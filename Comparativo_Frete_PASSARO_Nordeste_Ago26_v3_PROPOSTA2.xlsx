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UF" sheetId="1" state="visible" r:id="rId3"/>
    <sheet name="Top10 Cidades" sheetId="2" state="visible" r:id="rId4"/>
    <sheet name="Concorrência Praças" sheetId="3" state="visible" r:id="rId5"/>
    <sheet name="Premissas" sheetId="4" state="visible" r:id="rId6"/>
    <sheet name="Tabela Passaro" sheetId="5" state="visible" r:id="rId7"/>
    <sheet name="Pedidos Top10" sheetId="6" state="visible" r:id="rId8"/>
  </sheets>
  <definedNames>
    <definedName function="false" hidden="true" localSheetId="2" name="_xlnm._FilterDatabase" vbProcedure="false">'Concorrência Praças'!$A$1:$Q$160</definedName>
    <definedName function="false" hidden="true" localSheetId="5" name="_xlnm._FilterDatabase" vbProcedure="false">'Pedidos Top10'!$A$1:$AJ$1839</definedName>
    <definedName function="false" hidden="true" localSheetId="4" name="_xlnm._FilterDatabase" vbProcedure="false">'Tabela Passaro'!$A$1:$X$1795</definedName>
    <definedName function="false" hidden="true" localSheetId="1" name="_xlnm._FilterDatabase" vbProcedure="false">'Top10 Cidades'!$A$1:$R$91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Prazo da faixa de CEP da Passaro mais usada pelos pedidos da cidade (valor da aba Tabela Passaro).</t>
        </r>
      </text>
    </comment>
  </commentList>
</comments>
</file>

<file path=xl/sharedStrings.xml><?xml version="1.0" encoding="utf-8"?>
<sst xmlns="http://schemas.openxmlformats.org/spreadsheetml/2006/main" count="24656" uniqueCount="8982">
  <si>
    <t xml:space="preserve">Comparativo PASSARO – PROPOSTA 2 (07/10/2026) x fretes realizados – Top 10 cidades por UF (Nordeste, Ago/2026)</t>
  </si>
  <si>
    <t xml:space="preserve">Valores com ICMS. Frete atual = coluna J (Valor CTe). Passaro = tabela proposta, origem SP. Diferença negativa = Passaro mais barata.</t>
  </si>
  <si>
    <t xml:space="preserve">UF</t>
  </si>
  <si>
    <t xml:space="preserve">Pedidos</t>
  </si>
  <si>
    <t xml:space="preserve">Peso total (kg)</t>
  </si>
  <si>
    <t xml:space="preserve">Valor NF total (R$)</t>
  </si>
  <si>
    <t xml:space="preserve">Frete atual (R$)</t>
  </si>
  <si>
    <t xml:space="preserve">Frete PASSARO (R$)</t>
  </si>
  <si>
    <t xml:space="preserve">Diferença (R$)</t>
  </si>
  <si>
    <t xml:space="preserve">Dif. %</t>
  </si>
  <si>
    <t xml:space="preserve">% frete/NF atual</t>
  </si>
  <si>
    <t xml:space="preserve">% frete/NF Passaro</t>
  </si>
  <si>
    <t xml:space="preserve">Pedidos em que Passaro é mais barata</t>
  </si>
  <si>
    <t xml:space="preserve">% pedidos Passaro mais barata</t>
  </si>
  <si>
    <t xml:space="preserve">Desconto que a Passaro precisa dar p/ empatar</t>
  </si>
  <si>
    <t xml:space="preserve">AL</t>
  </si>
  <si>
    <t xml:space="preserve">BA</t>
  </si>
  <si>
    <t xml:space="preserve">CE</t>
  </si>
  <si>
    <t xml:space="preserve">MA</t>
  </si>
  <si>
    <t xml:space="preserve">PB</t>
  </si>
  <si>
    <t xml:space="preserve">PE</t>
  </si>
  <si>
    <t xml:space="preserve">PI</t>
  </si>
  <si>
    <t xml:space="preserve">RN</t>
  </si>
  <si>
    <t xml:space="preserve">SE</t>
  </si>
  <si>
    <t xml:space="preserve">TOTAL</t>
  </si>
  <si>
    <t xml:space="preserve">Por transportadora atual (mesmos pedidos, Top 10 cidades)</t>
  </si>
  <si>
    <t xml:space="preserve">Transportadora</t>
  </si>
  <si>
    <t xml:space="preserve">Ticket médio atual</t>
  </si>
  <si>
    <t xml:space="preserve">Ticket médio Passaro</t>
  </si>
  <si>
    <t xml:space="preserve">R$/kg atual</t>
  </si>
  <si>
    <t xml:space="preserve">DOMINALOG</t>
  </si>
  <si>
    <t xml:space="preserve">JADLOG</t>
  </si>
  <si>
    <t xml:space="preserve">Bento Brasil</t>
  </si>
  <si>
    <t xml:space="preserve">Atual Cargas</t>
  </si>
  <si>
    <t xml:space="preserve">FORMATO TRANSPORTES</t>
  </si>
  <si>
    <t xml:space="preserve">ZAFER</t>
  </si>
  <si>
    <t xml:space="preserve">Por faixa de peso (onde a tabela Passaro é mais competitiva)</t>
  </si>
  <si>
    <t xml:space="preserve">Faixa de peso</t>
  </si>
  <si>
    <t xml:space="preserve">até 10 kg</t>
  </si>
  <si>
    <t xml:space="preserve">10–30 kg</t>
  </si>
  <si>
    <t xml:space="preserve">30–50 kg</t>
  </si>
  <si>
    <t xml:space="preserve">50–70 kg</t>
  </si>
  <si>
    <t xml:space="preserve">70–100 kg</t>
  </si>
  <si>
    <t xml:space="preserve">acima de 100 kg</t>
  </si>
  <si>
    <t xml:space="preserve">Proposta 1 (com TRT/TDA) x Proposta 2 – mesmos pedidos</t>
  </si>
  <si>
    <t xml:space="preserve">Pedidos comparáveis</t>
  </si>
  <si>
    <t xml:space="preserve">Passaro PROPOSTA 1 (R$)</t>
  </si>
  <si>
    <t xml:space="preserve">Passaro PROPOSTA 2 (R$)</t>
  </si>
  <si>
    <t xml:space="preserve">Variação P2 − P1 (R$)</t>
  </si>
  <si>
    <t xml:space="preserve">Variação %</t>
  </si>
  <si>
    <t xml:space="preserve">Dif. % PROPOSTA 1 x atual</t>
  </si>
  <si>
    <t xml:space="preserve">Dif. % PROPOSTA 2 x atual</t>
  </si>
  <si>
    <t xml:space="preserve">Rank</t>
  </si>
  <si>
    <t xml:space="preserve">Cidade</t>
  </si>
  <si>
    <t xml:space="preserve">R$/kg Passaro</t>
  </si>
  <si>
    <t xml:space="preserve">Prazo Passaro (dias)</t>
  </si>
  <si>
    <t xml:space="preserve">Transportadora principal hoje</t>
  </si>
  <si>
    <t xml:space="preserve">Transportadoras atuantes</t>
  </si>
  <si>
    <t xml:space="preserve">Veredito</t>
  </si>
  <si>
    <t xml:space="preserve">MACEIO</t>
  </si>
  <si>
    <t xml:space="preserve">DOMINALOG (90), JADLOG (19), ZAFER (1)</t>
  </si>
  <si>
    <t xml:space="preserve">ARAPIRACA</t>
  </si>
  <si>
    <t xml:space="preserve">DOMINALOG (22), JADLOG (4)</t>
  </si>
  <si>
    <t xml:space="preserve">MARECHAL DEODORO</t>
  </si>
  <si>
    <t xml:space="preserve">DOMINALOG (6)</t>
  </si>
  <si>
    <t xml:space="preserve">RIO LARGO</t>
  </si>
  <si>
    <t xml:space="preserve">MARAGOGI</t>
  </si>
  <si>
    <t xml:space="preserve">DOMINALOG (4)</t>
  </si>
  <si>
    <t xml:space="preserve">DELMIRO GOUVEIA</t>
  </si>
  <si>
    <t xml:space="preserve">DOMINALOG (3)</t>
  </si>
  <si>
    <t xml:space="preserve">PIRANHAS</t>
  </si>
  <si>
    <t xml:space="preserve">SAO MIGUEL DOS MILAGRES</t>
  </si>
  <si>
    <t xml:space="preserve">DOMINALOG (2), FORMATO TRANSPORTES (1)</t>
  </si>
  <si>
    <t xml:space="preserve">PORTO CALVO</t>
  </si>
  <si>
    <t xml:space="preserve">SAO LUIS DO QUITUNDE</t>
  </si>
  <si>
    <t xml:space="preserve">SALVADOR</t>
  </si>
  <si>
    <t xml:space="preserve">DOMINALOG (261), JADLOG (33), Atual Cargas (2)</t>
  </si>
  <si>
    <t xml:space="preserve">FEIRA DE SANTANA</t>
  </si>
  <si>
    <t xml:space="preserve">DOMINALOG (39), JADLOG (3)</t>
  </si>
  <si>
    <t xml:space="preserve">CAMACARI</t>
  </si>
  <si>
    <t xml:space="preserve">DOMINALOG (34), Atual Cargas (4), JADLOG (1)</t>
  </si>
  <si>
    <t xml:space="preserve">VITORIA DA CONQUISTA</t>
  </si>
  <si>
    <t xml:space="preserve">DOMINALOG (27), JADLOG (2)</t>
  </si>
  <si>
    <t xml:space="preserve">LAURO DE FREITAS</t>
  </si>
  <si>
    <t xml:space="preserve">DOMINALOG (19), JADLOG (3)</t>
  </si>
  <si>
    <t xml:space="preserve">JUAZEIRO</t>
  </si>
  <si>
    <t xml:space="preserve">DOMINALOG (16), JADLOG (3)</t>
  </si>
  <si>
    <t xml:space="preserve">SIMOES FILHO</t>
  </si>
  <si>
    <t xml:space="preserve">DOMINALOG (18), Atual Cargas (1)</t>
  </si>
  <si>
    <t xml:space="preserve">ILHEUS</t>
  </si>
  <si>
    <t xml:space="preserve">DOMINALOG (11), JADLOG (1)</t>
  </si>
  <si>
    <t xml:space="preserve">ITABUNA</t>
  </si>
  <si>
    <t xml:space="preserve">DOMINALOG (11), ZAFER (1)</t>
  </si>
  <si>
    <t xml:space="preserve">BARREIRAS</t>
  </si>
  <si>
    <t xml:space="preserve">DOMINALOG (11)</t>
  </si>
  <si>
    <t xml:space="preserve">FORTALEZA</t>
  </si>
  <si>
    <t xml:space="preserve">DOMINALOG (167), JADLOG (19)</t>
  </si>
  <si>
    <t xml:space="preserve">JUAZEIRO DO NORTE</t>
  </si>
  <si>
    <t xml:space="preserve">DOMINALOG (14), JADLOG (1)</t>
  </si>
  <si>
    <t xml:space="preserve">CAUCAIA</t>
  </si>
  <si>
    <t xml:space="preserve">DOMINALOG (12), JADLOG (2)</t>
  </si>
  <si>
    <t xml:space="preserve">MARACANAU</t>
  </si>
  <si>
    <t xml:space="preserve">CRATO</t>
  </si>
  <si>
    <t xml:space="preserve">AQUIRAZ</t>
  </si>
  <si>
    <t xml:space="preserve">Atual Cargas (3), DOMINALOG (3)</t>
  </si>
  <si>
    <t xml:space="preserve">SOBRAL</t>
  </si>
  <si>
    <t xml:space="preserve">DOMINALOG (5), JADLOG (1)</t>
  </si>
  <si>
    <t xml:space="preserve">ITAITINGA</t>
  </si>
  <si>
    <t xml:space="preserve">DOMINALOG (4), Atual Cargas (1), FORMATO TRANSPORTES (1)</t>
  </si>
  <si>
    <t xml:space="preserve">PACATUBA</t>
  </si>
  <si>
    <t xml:space="preserve">DOMINALOG (5)</t>
  </si>
  <si>
    <t xml:space="preserve">BREJO SANTO</t>
  </si>
  <si>
    <t xml:space="preserve">SAO LUIS</t>
  </si>
  <si>
    <t xml:space="preserve">Bento Brasil (27), DOMINALOG (27), JADLOG (14)</t>
  </si>
  <si>
    <t xml:space="preserve">IMPERATRIZ</t>
  </si>
  <si>
    <t xml:space="preserve">Bento Brasil (14), DOMINALOG (4), JADLOG (3)</t>
  </si>
  <si>
    <t xml:space="preserve">SAO JOSE DE RIBAMAR</t>
  </si>
  <si>
    <t xml:space="preserve">Bento Brasil (11), DOMINALOG (7), JADLOG (1)</t>
  </si>
  <si>
    <t xml:space="preserve">CAXIAS</t>
  </si>
  <si>
    <t xml:space="preserve">Bento Brasil (5), DOMINALOG (2), JADLOG (1)</t>
  </si>
  <si>
    <t xml:space="preserve">PACO DO LUMIAR</t>
  </si>
  <si>
    <t xml:space="preserve">DOMINALOG (4), Bento Brasil (3)</t>
  </si>
  <si>
    <t xml:space="preserve">LAGO DA PEDRA</t>
  </si>
  <si>
    <t xml:space="preserve">Bento Brasil (4), DOMINALOG (2)</t>
  </si>
  <si>
    <t xml:space="preserve">MARACACUME</t>
  </si>
  <si>
    <t xml:space="preserve">Bento Brasil (3), DOMINALOG (3)</t>
  </si>
  <si>
    <t xml:space="preserve">BARRA DO CORDA</t>
  </si>
  <si>
    <t xml:space="preserve">BARREIRINHAS</t>
  </si>
  <si>
    <t xml:space="preserve">DOMINALOG (4), Bento Brasil (2)</t>
  </si>
  <si>
    <t xml:space="preserve">BACABAL</t>
  </si>
  <si>
    <t xml:space="preserve">Bento Brasil (4), DOMINALOG (1)</t>
  </si>
  <si>
    <t xml:space="preserve">JOAO PESSOA</t>
  </si>
  <si>
    <t xml:space="preserve">DOMINALOG (64), JADLOG (6)</t>
  </si>
  <si>
    <t xml:space="preserve">CAMPINA GRANDE</t>
  </si>
  <si>
    <t xml:space="preserve">DOMINALOG (14), JADLOG (2)</t>
  </si>
  <si>
    <t xml:space="preserve">PATOS</t>
  </si>
  <si>
    <t xml:space="preserve">DOMINALOG (6), FORMATO TRANSPORTES (1)</t>
  </si>
  <si>
    <t xml:space="preserve">BAYEUX</t>
  </si>
  <si>
    <t xml:space="preserve">DOMINALOG (4), JADLOG (1)</t>
  </si>
  <si>
    <t xml:space="preserve">SANTA RITA</t>
  </si>
  <si>
    <t xml:space="preserve">CABEDELO</t>
  </si>
  <si>
    <t xml:space="preserve">JACARAU</t>
  </si>
  <si>
    <t xml:space="preserve">CONDE</t>
  </si>
  <si>
    <t xml:space="preserve">Atual Cargas (2)</t>
  </si>
  <si>
    <t xml:space="preserve">ESPERANCA</t>
  </si>
  <si>
    <t xml:space="preserve">DOMINALOG (2)</t>
  </si>
  <si>
    <t xml:space="preserve">SERRA REDONDA</t>
  </si>
  <si>
    <t xml:space="preserve">RECIFE</t>
  </si>
  <si>
    <t xml:space="preserve">DOMINALOG (120), JADLOG (14)</t>
  </si>
  <si>
    <t xml:space="preserve">JABOATAO DOS GUARARAPES</t>
  </si>
  <si>
    <t xml:space="preserve">DOMINALOG (33), JADLOG (8)</t>
  </si>
  <si>
    <t xml:space="preserve">PAULISTA</t>
  </si>
  <si>
    <t xml:space="preserve">DOMINALOG (35), JADLOG (4)</t>
  </si>
  <si>
    <t xml:space="preserve">OLINDA</t>
  </si>
  <si>
    <t xml:space="preserve">DOMINALOG (33), JADLOG (3)</t>
  </si>
  <si>
    <t xml:space="preserve">PETROLINA</t>
  </si>
  <si>
    <t xml:space="preserve">DOMINALOG (28), JADLOG (2), FORMATO TRANSPORTES (1)</t>
  </si>
  <si>
    <t xml:space="preserve">CARUARU</t>
  </si>
  <si>
    <t xml:space="preserve">DOMINALOG (13), JADLOG (4), FORMATO TRANSPORTES (3)</t>
  </si>
  <si>
    <t xml:space="preserve">CABO DE SANTO AGOSTINHO</t>
  </si>
  <si>
    <t xml:space="preserve">DOMINALOG (13)</t>
  </si>
  <si>
    <t xml:space="preserve">CAMARAGIBE</t>
  </si>
  <si>
    <t xml:space="preserve">DOMINALOG (10), JADLOG (2), FORMATO TRANSPORTES (1)</t>
  </si>
  <si>
    <t xml:space="preserve">GARANHUNS</t>
  </si>
  <si>
    <t xml:space="preserve">DOMINALOG (10), JADLOG (1)</t>
  </si>
  <si>
    <t xml:space="preserve">IGARASSU</t>
  </si>
  <si>
    <t xml:space="preserve">DOMINALOG (9), FORMATO TRANSPORTES (1), JADLOG (1)</t>
  </si>
  <si>
    <t xml:space="preserve">TERESINA</t>
  </si>
  <si>
    <t xml:space="preserve">DOMINALOG (35), Bento Brasil (15), JADLOG (11)</t>
  </si>
  <si>
    <t xml:space="preserve">PARNAIBA</t>
  </si>
  <si>
    <t xml:space="preserve">DOMINALOG (10), Bento Brasil (2)</t>
  </si>
  <si>
    <t xml:space="preserve">PICOS</t>
  </si>
  <si>
    <t xml:space="preserve">VALENCA DO PIAUI</t>
  </si>
  <si>
    <t xml:space="preserve">DOMINALOG (5), Bento Brasil (1)</t>
  </si>
  <si>
    <t xml:space="preserve">BAIXA GRANDE DO RIBEIRO</t>
  </si>
  <si>
    <t xml:space="preserve">BOM JESUS</t>
  </si>
  <si>
    <t xml:space="preserve">PIRIPIRI</t>
  </si>
  <si>
    <t xml:space="preserve">Bento Brasil (2), DOMINALOG (2)</t>
  </si>
  <si>
    <t xml:space="preserve">CAMPO MAIOR</t>
  </si>
  <si>
    <t xml:space="preserve">FLORIANO</t>
  </si>
  <si>
    <t xml:space="preserve">DOMINALOG (2), Bento Brasil (1)</t>
  </si>
  <si>
    <t xml:space="preserve">PEDRO II</t>
  </si>
  <si>
    <t xml:space="preserve">NATAL</t>
  </si>
  <si>
    <t xml:space="preserve">DOMINALOG (29), JADLOG (7)</t>
  </si>
  <si>
    <t xml:space="preserve">PARNAMIRIM</t>
  </si>
  <si>
    <t xml:space="preserve">DOMINALOG (15), JADLOG (6)</t>
  </si>
  <si>
    <t xml:space="preserve">MOSSORO</t>
  </si>
  <si>
    <t xml:space="preserve">DOMINALOG (7)</t>
  </si>
  <si>
    <t xml:space="preserve">EXTREMOZ</t>
  </si>
  <si>
    <t xml:space="preserve">DOMINALOG (3), Atual Cargas (1), FORMATO TRANSPORTES (1)</t>
  </si>
  <si>
    <t xml:space="preserve">CEARA-MIRIM</t>
  </si>
  <si>
    <t xml:space="preserve">Atual Cargas (3), DOMINALOG (1)</t>
  </si>
  <si>
    <t xml:space="preserve">SAO GONCALO DO AMARANTE</t>
  </si>
  <si>
    <t xml:space="preserve">CURRAIS NOVOS</t>
  </si>
  <si>
    <t xml:space="preserve">SAO JOSE DE MIPIBU</t>
  </si>
  <si>
    <t xml:space="preserve">CAICO</t>
  </si>
  <si>
    <t xml:space="preserve">PENDENCIAS</t>
  </si>
  <si>
    <t xml:space="preserve">DOMINALOG (1)</t>
  </si>
  <si>
    <t xml:space="preserve">ARACAJU</t>
  </si>
  <si>
    <t xml:space="preserve">DOMINALOG (47), JADLOG (7), Atual Cargas (1)</t>
  </si>
  <si>
    <t xml:space="preserve">NOSSA SENHORA DO SOCORRO</t>
  </si>
  <si>
    <t xml:space="preserve">DOMINALOG (9)</t>
  </si>
  <si>
    <t xml:space="preserve">ITABAIANA</t>
  </si>
  <si>
    <t xml:space="preserve">SIMAO DIAS</t>
  </si>
  <si>
    <t xml:space="preserve">BARRA DOS COQUEIROS</t>
  </si>
  <si>
    <t xml:space="preserve">SAO CRISTOVAO</t>
  </si>
  <si>
    <t xml:space="preserve">DOMINALOG (2), JADLOG (2)</t>
  </si>
  <si>
    <t xml:space="preserve">UMBAUBA</t>
  </si>
  <si>
    <t xml:space="preserve">POCO VERDE</t>
  </si>
  <si>
    <t xml:space="preserve">NOSSA SENHORA DA GLORIA</t>
  </si>
  <si>
    <t xml:space="preserve">CRISTINAPOLIS</t>
  </si>
  <si>
    <t xml:space="preserve">Rank cidade</t>
  </si>
  <si>
    <t xml:space="preserve">Transportadora atual</t>
  </si>
  <si>
    <t xml:space="preserve">Share da praça</t>
  </si>
  <si>
    <t xml:space="preserve">Frete PASSARO nos mesmos pedidos (R$)</t>
  </si>
  <si>
    <t xml:space="preserve">Leitura</t>
  </si>
  <si>
    <t xml:space="preserve">Premissas e metodologia – Simulação PASSARO TRANSPORTES – PROPOSTA 2 de 07/10/2026 (origem SP capital) x fretes realizados Ago/2026 – Nordeste</t>
  </si>
  <si>
    <t xml:space="preserve">ICMS por UF de destino (origem SP)</t>
  </si>
  <si>
    <t xml:space="preserve">Alíquota ICMS</t>
  </si>
  <si>
    <t xml:space="preserve">Alíquota interestadual SP → Nordeste = 7% para todas as UFs (Resolução do Senado 22/1989). Células amarelas são editáveis.</t>
  </si>
  <si>
    <t xml:space="preserve">ICMS aplicado "por dentro": Total = Subtotal / (1 − alíquota), igual à forma como o ICMS compõe o valor do CT-e.</t>
  </si>
  <si>
    <t xml:space="preserve">Metodologia</t>
  </si>
  <si>
    <t xml:space="preserve">Base de pedidos</t>
  </si>
  <si>
    <t xml:space="preserve">2933 CT-es no arquivo. Excluídos: 44 CT-es de redespacho (cobrem só um trecho da viagem), 24 CT-es repetidos da mesma NF (2º CT-e da mesma nota, normalmente reentrega ou complemento; mantido só o 1º emitido), 3 CT-es com CEP fora das faixas da Passaro (Porto Seguro/BA, CEPs 46xxx). Sobram 2862 pedidos atendidos pela Passaro; desses, 1838 caem nas Top 10 cidades de cada UF: 1838 com preço na proposta, que são os comparados, e 0 de São Luís/MA, sem preço. Os outros 1024 pedidos (cidades fora do Top 10) ficam fora da análise.</t>
  </si>
  <si>
    <t xml:space="preserve">Cruzamento por CEP</t>
  </si>
  <si>
    <t xml:space="preserve">O CEP de entrega (col. S) é comparado com as faixas CEPI–CEPF da Passaro. Onde duas faixas se sobrepõem (3 casos na tabela), vale a faixa mais estreita.</t>
  </si>
  <si>
    <t xml:space="preserve">Top 10 cidades</t>
  </si>
  <si>
    <t xml:space="preserve">Ranking por número de pedidos (NF) em cada UF, entre as cidades atendidas pela Passaro. Em caso de empate, desempata pelo maior valor de frete atual. PB, RN e SE têm vários empates perto da 10ª posição.</t>
  </si>
  <si>
    <t xml:space="preserve">Proposta 2 – como a tabela foi montada</t>
  </si>
  <si>
    <t xml:space="preserve">O preço por peso segue a "área de atendimento" de cada faixa de CEP, conforme a planilha de prazos/áreas da Passaro: Capital (inclui região metropolitana), Feira de Santana (só BA), Interior 1, Interior 2 e Interior 3 (só BA). As 1.794 faixas de CEP são as mesmas da tabela anterior. O prazo também foi atualizado pela planilha de áreas.</t>
  </si>
  <si>
    <t xml:space="preserve">ATENÇÃO – UF usada no preço</t>
  </si>
  <si>
    <t xml:space="preserve">56 faixas continuam cadastradas com a UF de uma cidade homônima de outro estado (ex.: Paulista/PE aparece como "PB"). Nessas faixas usamos o preço da UF real do CEP + a área informada (ex.: Paulista/PE = Capital PE). A coluna "UF pelo CEP" da aba Tabela Passaro mostra a UF usada.</t>
  </si>
  <si>
    <t xml:space="preserve">ATENÇÃO – TDA</t>
  </si>
  <si>
    <t xml:space="preserve">A proposta diz "TDA conforme listagem em anexo", mas a listagem não veio. Mantivemos os TDAs da tabela anterior (R$ 250/400/500 em 277 faixas). Nas Top 10 isso afeta 15 pedidos. Pedir a listagem para confirmar.</t>
  </si>
  <si>
    <t xml:space="preserve">Taxas que saíram</t>
  </si>
  <si>
    <t xml:space="preserve">A Proposta 2 não tem TRT (R$ 15 nas capitais) nem a "outra taxa" de R$ 0,45/kg da proposta anterior. O despacho passou de R$ 20 para R$ 30 por CT-e.</t>
  </si>
  <si>
    <t xml:space="preserve">Não considerado</t>
  </si>
  <si>
    <t xml:space="preserve">TDE (R$ 349,83, só em entregas com dificuldade), reentrega (50%), devolução (100%), armazenagem após 7 dias (R$ 50/ton/dia + 0,20% de seguro sobre a NF), serviços adicionais (veículo dedicado, pernoite, paletização etc.) e cubagem (300 kg/m³; a base não tem dimensões, então usamos o peso bruto).</t>
  </si>
  <si>
    <t xml:space="preserve">Valor atual</t>
  </si>
  <si>
    <t xml:space="preserve">Coluna J (Valor CTe), já com impostos.</t>
  </si>
  <si>
    <t xml:space="preserve">Peso</t>
  </si>
  <si>
    <t xml:space="preserve">Peso bruto da NF (col. P).</t>
  </si>
  <si>
    <t xml:space="preserve">Valor da NF</t>
  </si>
  <si>
    <t xml:space="preserve">Valor Total da NF (col. O), base do Frete Valor (ad valorem) e do GRIS.</t>
  </si>
  <si>
    <t xml:space="preserve">Frete peso</t>
  </si>
  <si>
    <t xml:space="preserve">Faixas até 10 / 11–30 / 31–50 / 51–70 / 71–100 kg, pela UF e área da faixa de CEP. Acima de 100 kg: valor da faixa de 100 kg + (peso − 100) × Valor Excedente.</t>
  </si>
  <si>
    <t xml:space="preserve">Frete valor (ad valorem)</t>
  </si>
  <si>
    <t xml:space="preserve">0,50% sobre o valor da NF ("Frete Valor + RCV").</t>
  </si>
  <si>
    <t xml:space="preserve">GRIS</t>
  </si>
  <si>
    <t xml:space="preserve">0,20% sobre o valor da NF, sem mínimo.</t>
  </si>
  <si>
    <t xml:space="preserve">TAS</t>
  </si>
  <si>
    <t xml:space="preserve">R$ 5,00 fixo por CT-e.</t>
  </si>
  <si>
    <t xml:space="preserve">TDA</t>
  </si>
  <si>
    <t xml:space="preserve">Valor fixo por CT-e da faixa (R$ 250, 400 ou 500), mantido da tabela anterior.</t>
  </si>
  <si>
    <t xml:space="preserve">Pedágio</t>
  </si>
  <si>
    <t xml:space="preserve">R$ 5,00 a cada 100 kg ou fração.</t>
  </si>
  <si>
    <t xml:space="preserve">Despacho (taxa CT-e)</t>
  </si>
  <si>
    <t xml:space="preserve">R$ 30,00 fixo por CT-e.</t>
  </si>
  <si>
    <t xml:space="preserve">ICMS</t>
  </si>
  <si>
    <t xml:space="preserve">"Conforme legislação": o ICMS não está incluso nos preços, então foi somado conforme a tabela acima.</t>
  </si>
  <si>
    <t xml:space="preserve">ID</t>
  </si>
  <si>
    <t xml:space="preserve">CIDADE</t>
  </si>
  <si>
    <t xml:space="preserve">CEPI</t>
  </si>
  <si>
    <t xml:space="preserve">CEPF</t>
  </si>
  <si>
    <t xml:space="preserve">PRAZO (dias)</t>
  </si>
  <si>
    <t xml:space="preserve">Até 10 kg</t>
  </si>
  <si>
    <t xml:space="preserve">Até 30 kg</t>
  </si>
  <si>
    <t xml:space="preserve">Até 50 kg</t>
  </si>
  <si>
    <t xml:space="preserve">Até 70 kg</t>
  </si>
  <si>
    <t xml:space="preserve">Até 100 kg</t>
  </si>
  <si>
    <t xml:space="preserve">Excedente R$/kg (&gt;100)</t>
  </si>
  <si>
    <t xml:space="preserve">Frete Valor (% NF)</t>
  </si>
  <si>
    <t xml:space="preserve">GRIS (% NF)</t>
  </si>
  <si>
    <t xml:space="preserve">TAS fixo</t>
  </si>
  <si>
    <t xml:space="preserve">Pedágio fixo</t>
  </si>
  <si>
    <t xml:space="preserve">Faixa pedágio (kg)</t>
  </si>
  <si>
    <t xml:space="preserve">CT-e fixo</t>
  </si>
  <si>
    <t xml:space="preserve">Outra taxa fixo</t>
  </si>
  <si>
    <t xml:space="preserve">Faixa outra taxa (kg)</t>
  </si>
  <si>
    <t xml:space="preserve">TRT fixo</t>
  </si>
  <si>
    <t xml:space="preserve">TDA fixo</t>
  </si>
  <si>
    <t xml:space="preserve">UF pelo CEP (UF do preço)</t>
  </si>
  <si>
    <t xml:space="preserve">Área de atendimento</t>
  </si>
  <si>
    <t xml:space="preserve">PAS0001</t>
  </si>
  <si>
    <t xml:space="preserve">57000-001</t>
  </si>
  <si>
    <t xml:space="preserve">57099-999</t>
  </si>
  <si>
    <t xml:space="preserve">CAPITAL</t>
  </si>
  <si>
    <t xml:space="preserve">PAS0002</t>
  </si>
  <si>
    <t xml:space="preserve">57100-000</t>
  </si>
  <si>
    <t xml:space="preserve">57119-999</t>
  </si>
  <si>
    <t xml:space="preserve">PAS0003</t>
  </si>
  <si>
    <t xml:space="preserve">57300-001</t>
  </si>
  <si>
    <t xml:space="preserve">57319-999</t>
  </si>
  <si>
    <t xml:space="preserve">INTERIOR 1</t>
  </si>
  <si>
    <t xml:space="preserve">PAS0004</t>
  </si>
  <si>
    <t xml:space="preserve">ATALAIA</t>
  </si>
  <si>
    <t xml:space="preserve">57690-000</t>
  </si>
  <si>
    <t xml:space="preserve">57699-999</t>
  </si>
  <si>
    <t xml:space="preserve">PAS0005</t>
  </si>
  <si>
    <t xml:space="preserve">BARRA DE SANTO ANTONIO</t>
  </si>
  <si>
    <t xml:space="preserve">57925-000</t>
  </si>
  <si>
    <t xml:space="preserve">57929-999</t>
  </si>
  <si>
    <t xml:space="preserve">PAS0006</t>
  </si>
  <si>
    <t xml:space="preserve">BARRA DE SAO MIGUEL</t>
  </si>
  <si>
    <t xml:space="preserve">57180-000</t>
  </si>
  <si>
    <t xml:space="preserve">57199-999</t>
  </si>
  <si>
    <t xml:space="preserve">PAS0007</t>
  </si>
  <si>
    <t xml:space="preserve">BRANQUINHA</t>
  </si>
  <si>
    <t xml:space="preserve">57830-000</t>
  </si>
  <si>
    <t xml:space="preserve">57839-999</t>
  </si>
  <si>
    <t xml:space="preserve">PAS0008</t>
  </si>
  <si>
    <t xml:space="preserve">CAJUEIRO</t>
  </si>
  <si>
    <t xml:space="preserve">57770-000</t>
  </si>
  <si>
    <t xml:space="preserve">57779-999</t>
  </si>
  <si>
    <t xml:space="preserve">PAS0009</t>
  </si>
  <si>
    <t xml:space="preserve">CAPELA</t>
  </si>
  <si>
    <t xml:space="preserve">49700-000</t>
  </si>
  <si>
    <t xml:space="preserve">49739-999</t>
  </si>
  <si>
    <t xml:space="preserve">PAS0010</t>
  </si>
  <si>
    <t xml:space="preserve">COQUEIRO SECO</t>
  </si>
  <si>
    <t xml:space="preserve">57140-000</t>
  </si>
  <si>
    <t xml:space="preserve">57149-999</t>
  </si>
  <si>
    <t xml:space="preserve">PAS0011</t>
  </si>
  <si>
    <t xml:space="preserve">57160-000</t>
  </si>
  <si>
    <t xml:space="preserve">57179-999</t>
  </si>
  <si>
    <t xml:space="preserve">PAS0012</t>
  </si>
  <si>
    <t xml:space="preserve">MESSIAS</t>
  </si>
  <si>
    <t xml:space="preserve">57990-000</t>
  </si>
  <si>
    <t xml:space="preserve">57994-999</t>
  </si>
  <si>
    <t xml:space="preserve">PAS0013</t>
  </si>
  <si>
    <t xml:space="preserve">MINADOR DO NEGRAO</t>
  </si>
  <si>
    <t xml:space="preserve">57615-000</t>
  </si>
  <si>
    <t xml:space="preserve">57619-999</t>
  </si>
  <si>
    <t xml:space="preserve">PAS0014</t>
  </si>
  <si>
    <t xml:space="preserve">MURICI</t>
  </si>
  <si>
    <t xml:space="preserve">57820-000</t>
  </si>
  <si>
    <t xml:space="preserve">57829-999</t>
  </si>
  <si>
    <t xml:space="preserve">PAS0015</t>
  </si>
  <si>
    <t xml:space="preserve">PARIPUEIRA</t>
  </si>
  <si>
    <t xml:space="preserve">57935-000</t>
  </si>
  <si>
    <t xml:space="preserve">57939-999</t>
  </si>
  <si>
    <t xml:space="preserve">PAS0016</t>
  </si>
  <si>
    <t xml:space="preserve">PILAR</t>
  </si>
  <si>
    <t xml:space="preserve">57150-000</t>
  </si>
  <si>
    <t xml:space="preserve">57159-999</t>
  </si>
  <si>
    <t xml:space="preserve">PAS0017</t>
  </si>
  <si>
    <t xml:space="preserve">SANTA LUZIA DO NORTE</t>
  </si>
  <si>
    <t xml:space="preserve">57130-000</t>
  </si>
  <si>
    <t xml:space="preserve">57139-999</t>
  </si>
  <si>
    <t xml:space="preserve">PAS0018</t>
  </si>
  <si>
    <t xml:space="preserve">SAO JOSE DA LAJE</t>
  </si>
  <si>
    <t xml:space="preserve">57860-000</t>
  </si>
  <si>
    <t xml:space="preserve">57889-999</t>
  </si>
  <si>
    <t xml:space="preserve">PAS0019</t>
  </si>
  <si>
    <t xml:space="preserve">SAO MIGUEL DOS CAMPOS</t>
  </si>
  <si>
    <t xml:space="preserve">57240-001</t>
  </si>
  <si>
    <t xml:space="preserve">57249-999</t>
  </si>
  <si>
    <t xml:space="preserve">PAS0020</t>
  </si>
  <si>
    <t xml:space="preserve">SATUBA</t>
  </si>
  <si>
    <t xml:space="preserve">57120-000</t>
  </si>
  <si>
    <t xml:space="preserve">57129-999</t>
  </si>
  <si>
    <t xml:space="preserve">PAS0021</t>
  </si>
  <si>
    <t xml:space="preserve">UNIAO DOS PALMARES</t>
  </si>
  <si>
    <t xml:space="preserve">57800-000</t>
  </si>
  <si>
    <t xml:space="preserve">57819-999</t>
  </si>
  <si>
    <t xml:space="preserve">PAS0022</t>
  </si>
  <si>
    <t xml:space="preserve">VICOSA</t>
  </si>
  <si>
    <t xml:space="preserve">57700-000</t>
  </si>
  <si>
    <t xml:space="preserve">57719-999</t>
  </si>
  <si>
    <t xml:space="preserve">PAS0023</t>
  </si>
  <si>
    <t xml:space="preserve">AGUA BRANCA</t>
  </si>
  <si>
    <t xml:space="preserve">57490-000</t>
  </si>
  <si>
    <t xml:space="preserve">57499-999</t>
  </si>
  <si>
    <t xml:space="preserve">INTERIOR 2</t>
  </si>
  <si>
    <t xml:space="preserve">PAS0024</t>
  </si>
  <si>
    <t xml:space="preserve">ANADIA</t>
  </si>
  <si>
    <t xml:space="preserve">57660-000</t>
  </si>
  <si>
    <t xml:space="preserve">57669-999</t>
  </si>
  <si>
    <t xml:space="preserve">PAS0025</t>
  </si>
  <si>
    <t xml:space="preserve">BATALHA</t>
  </si>
  <si>
    <t xml:space="preserve">57420-000</t>
  </si>
  <si>
    <t xml:space="preserve">57424-999</t>
  </si>
  <si>
    <t xml:space="preserve">PAS0026</t>
  </si>
  <si>
    <t xml:space="preserve">BELEM</t>
  </si>
  <si>
    <t xml:space="preserve">57630-000</t>
  </si>
  <si>
    <t xml:space="preserve">57634-999</t>
  </si>
  <si>
    <t xml:space="preserve">PAS0027</t>
  </si>
  <si>
    <t xml:space="preserve">BELO MONTE</t>
  </si>
  <si>
    <t xml:space="preserve">57435-000</t>
  </si>
  <si>
    <t xml:space="preserve">57439-999</t>
  </si>
  <si>
    <t xml:space="preserve">PAS0028</t>
  </si>
  <si>
    <t xml:space="preserve">BOCA DA MATA</t>
  </si>
  <si>
    <t xml:space="preserve">57680-000</t>
  </si>
  <si>
    <t xml:space="preserve">57689-999</t>
  </si>
  <si>
    <t xml:space="preserve">PAS0029</t>
  </si>
  <si>
    <t xml:space="preserve">CACIMBINHAS</t>
  </si>
  <si>
    <t xml:space="preserve">57570-000</t>
  </si>
  <si>
    <t xml:space="preserve">57579-999</t>
  </si>
  <si>
    <t xml:space="preserve">PAS0030</t>
  </si>
  <si>
    <t xml:space="preserve">CAMPESTRE</t>
  </si>
  <si>
    <t xml:space="preserve">57968-000</t>
  </si>
  <si>
    <t xml:space="preserve">57969-999</t>
  </si>
  <si>
    <t xml:space="preserve">PAS0031</t>
  </si>
  <si>
    <t xml:space="preserve">CAMPO ALEGRE</t>
  </si>
  <si>
    <t xml:space="preserve">57250-000</t>
  </si>
  <si>
    <t xml:space="preserve">57254-999</t>
  </si>
  <si>
    <t xml:space="preserve">PAS0032</t>
  </si>
  <si>
    <t xml:space="preserve">CAMPO GRANDE</t>
  </si>
  <si>
    <t xml:space="preserve">57350-000</t>
  </si>
  <si>
    <t xml:space="preserve">57359-999</t>
  </si>
  <si>
    <t xml:space="preserve">PAS0033</t>
  </si>
  <si>
    <t xml:space="preserve">CANAPI</t>
  </si>
  <si>
    <t xml:space="preserve">57530-000</t>
  </si>
  <si>
    <t xml:space="preserve">57534-999</t>
  </si>
  <si>
    <t xml:space="preserve">PAS0034</t>
  </si>
  <si>
    <t xml:space="preserve">CARNEIROS</t>
  </si>
  <si>
    <t xml:space="preserve">57535-000</t>
  </si>
  <si>
    <t xml:space="preserve">57539-999</t>
  </si>
  <si>
    <t xml:space="preserve">PAS0035</t>
  </si>
  <si>
    <t xml:space="preserve">CHA PRETA</t>
  </si>
  <si>
    <t xml:space="preserve">57760-000</t>
  </si>
  <si>
    <t xml:space="preserve">57769-999</t>
  </si>
  <si>
    <t xml:space="preserve">PAS0036</t>
  </si>
  <si>
    <t xml:space="preserve">COITE DO NOIA</t>
  </si>
  <si>
    <t xml:space="preserve">57325-000</t>
  </si>
  <si>
    <t xml:space="preserve">57329-999</t>
  </si>
  <si>
    <t xml:space="preserve">PAS0037</t>
  </si>
  <si>
    <t xml:space="preserve">COLONIA LEOPOLDINA</t>
  </si>
  <si>
    <t xml:space="preserve">57975-000</t>
  </si>
  <si>
    <t xml:space="preserve">57979-999</t>
  </si>
  <si>
    <t xml:space="preserve">PAS0038</t>
  </si>
  <si>
    <t xml:space="preserve">CORURIPE</t>
  </si>
  <si>
    <t xml:space="preserve">57230-000</t>
  </si>
  <si>
    <t xml:space="preserve">57239-999</t>
  </si>
  <si>
    <t xml:space="preserve">PAS0039</t>
  </si>
  <si>
    <t xml:space="preserve">CRAIBAS</t>
  </si>
  <si>
    <t xml:space="preserve">57320-000</t>
  </si>
  <si>
    <t xml:space="preserve">57324-999</t>
  </si>
  <si>
    <t xml:space="preserve">PAS0040</t>
  </si>
  <si>
    <t xml:space="preserve">57480-000</t>
  </si>
  <si>
    <t xml:space="preserve">57489-999</t>
  </si>
  <si>
    <t xml:space="preserve">PAS0041</t>
  </si>
  <si>
    <t xml:space="preserve">DOIS RIACHOS</t>
  </si>
  <si>
    <t xml:space="preserve">57560-000</t>
  </si>
  <si>
    <t xml:space="preserve">57569-999</t>
  </si>
  <si>
    <t xml:space="preserve">PAS0042</t>
  </si>
  <si>
    <t xml:space="preserve">ESTRELA DE ALAGOAS</t>
  </si>
  <si>
    <t xml:space="preserve">57625-000</t>
  </si>
  <si>
    <t xml:space="preserve">57629-999</t>
  </si>
  <si>
    <t xml:space="preserve">PAS0043</t>
  </si>
  <si>
    <t xml:space="preserve">FEIRA GRANDE</t>
  </si>
  <si>
    <t xml:space="preserve">57340-000</t>
  </si>
  <si>
    <t xml:space="preserve">57349-999</t>
  </si>
  <si>
    <t xml:space="preserve">PAS0044</t>
  </si>
  <si>
    <t xml:space="preserve">FELIZ DESERTO</t>
  </si>
  <si>
    <t xml:space="preserve">57220-000</t>
  </si>
  <si>
    <t xml:space="preserve">57229-999</t>
  </si>
  <si>
    <t xml:space="preserve">PAS0045</t>
  </si>
  <si>
    <t xml:space="preserve">FLEXEIRAS</t>
  </si>
  <si>
    <t xml:space="preserve">57995-000</t>
  </si>
  <si>
    <t xml:space="preserve">57999-999</t>
  </si>
  <si>
    <t xml:space="preserve">PAS0046</t>
  </si>
  <si>
    <t xml:space="preserve">GIRAU DO PONCIANO</t>
  </si>
  <si>
    <t xml:space="preserve">57360-000</t>
  </si>
  <si>
    <t xml:space="preserve">57369-999</t>
  </si>
  <si>
    <t xml:space="preserve">PAS0047</t>
  </si>
  <si>
    <t xml:space="preserve">IBATEGUARA</t>
  </si>
  <si>
    <t xml:space="preserve">57890-000</t>
  </si>
  <si>
    <t xml:space="preserve">57899-999</t>
  </si>
  <si>
    <t xml:space="preserve">PAS0048</t>
  </si>
  <si>
    <t xml:space="preserve">IGACI</t>
  </si>
  <si>
    <t xml:space="preserve">57620-000</t>
  </si>
  <si>
    <t xml:space="preserve">57624-999</t>
  </si>
  <si>
    <t xml:space="preserve">PAS0049</t>
  </si>
  <si>
    <t xml:space="preserve">IGREJA NOVA</t>
  </si>
  <si>
    <t xml:space="preserve">57280-000</t>
  </si>
  <si>
    <t xml:space="preserve">57289-999</t>
  </si>
  <si>
    <t xml:space="preserve">PAS0050</t>
  </si>
  <si>
    <t xml:space="preserve">INHAPI</t>
  </si>
  <si>
    <t xml:space="preserve">57545-000</t>
  </si>
  <si>
    <t xml:space="preserve">57549-999</t>
  </si>
  <si>
    <t xml:space="preserve">PAS0051</t>
  </si>
  <si>
    <t xml:space="preserve">JACARE DOS HOMENS</t>
  </si>
  <si>
    <t xml:space="preserve">57430-000</t>
  </si>
  <si>
    <t xml:space="preserve">57434-999</t>
  </si>
  <si>
    <t xml:space="preserve">PAS0052</t>
  </si>
  <si>
    <t xml:space="preserve">JACUIPE</t>
  </si>
  <si>
    <t xml:space="preserve">57960-000</t>
  </si>
  <si>
    <t xml:space="preserve">57964-999</t>
  </si>
  <si>
    <t xml:space="preserve">PAS0053</t>
  </si>
  <si>
    <t xml:space="preserve">JAPARATINGA</t>
  </si>
  <si>
    <t xml:space="preserve">57950-000</t>
  </si>
  <si>
    <t xml:space="preserve">57954-999</t>
  </si>
  <si>
    <t xml:space="preserve">PAS0054</t>
  </si>
  <si>
    <t xml:space="preserve">JARAMATAIA</t>
  </si>
  <si>
    <t xml:space="preserve">57425-000</t>
  </si>
  <si>
    <t xml:space="preserve">57429-999</t>
  </si>
  <si>
    <t xml:space="preserve">PAS0055</t>
  </si>
  <si>
    <t xml:space="preserve">JEQUIA DA PRAIA</t>
  </si>
  <si>
    <t xml:space="preserve">57255-000</t>
  </si>
  <si>
    <t xml:space="preserve">57256-999</t>
  </si>
  <si>
    <t xml:space="preserve">PAS0056</t>
  </si>
  <si>
    <t xml:space="preserve">JOAQUIM GOMES</t>
  </si>
  <si>
    <t xml:space="preserve">57980-000</t>
  </si>
  <si>
    <t xml:space="preserve">57989-999</t>
  </si>
  <si>
    <t xml:space="preserve">PAS0057</t>
  </si>
  <si>
    <t xml:space="preserve">JUNDIA</t>
  </si>
  <si>
    <t xml:space="preserve">57965-000</t>
  </si>
  <si>
    <t xml:space="preserve">57967-999</t>
  </si>
  <si>
    <t xml:space="preserve">PAS0058</t>
  </si>
  <si>
    <t xml:space="preserve">JUNQUEIRO</t>
  </si>
  <si>
    <t xml:space="preserve">57270-000</t>
  </si>
  <si>
    <t xml:space="preserve">57274-999</t>
  </si>
  <si>
    <t xml:space="preserve">PAS0059</t>
  </si>
  <si>
    <t xml:space="preserve">LAGOA DA CANOA</t>
  </si>
  <si>
    <t xml:space="preserve">57330-000</t>
  </si>
  <si>
    <t xml:space="preserve">57339-999</t>
  </si>
  <si>
    <t xml:space="preserve">PAS0060</t>
  </si>
  <si>
    <t xml:space="preserve">LIMOEIRO DE ANADIA</t>
  </si>
  <si>
    <t xml:space="preserve">57260-000</t>
  </si>
  <si>
    <t xml:space="preserve">57264-999</t>
  </si>
  <si>
    <t xml:space="preserve">PAS0061</t>
  </si>
  <si>
    <t xml:space="preserve">MAJOR ISIDORO</t>
  </si>
  <si>
    <t xml:space="preserve">57580-000</t>
  </si>
  <si>
    <t xml:space="preserve">57599-999</t>
  </si>
  <si>
    <t xml:space="preserve">PAS0062</t>
  </si>
  <si>
    <t xml:space="preserve">MAR VERMELHO</t>
  </si>
  <si>
    <t xml:space="preserve">57730-000</t>
  </si>
  <si>
    <t xml:space="preserve">57739-999</t>
  </si>
  <si>
    <t xml:space="preserve">PAS0063</t>
  </si>
  <si>
    <t xml:space="preserve">57955-000</t>
  </si>
  <si>
    <t xml:space="preserve">57959-999</t>
  </si>
  <si>
    <t xml:space="preserve">PAS0064</t>
  </si>
  <si>
    <t xml:space="preserve">MARAVILHA</t>
  </si>
  <si>
    <t xml:space="preserve">57520-000</t>
  </si>
  <si>
    <t xml:space="preserve">57524-999</t>
  </si>
  <si>
    <t xml:space="preserve">PAS0065</t>
  </si>
  <si>
    <t xml:space="preserve">MARIBONDO</t>
  </si>
  <si>
    <t xml:space="preserve">57670-000</t>
  </si>
  <si>
    <t xml:space="preserve">57679-999</t>
  </si>
  <si>
    <t xml:space="preserve">PAS0066</t>
  </si>
  <si>
    <t xml:space="preserve">MATA GRANDE</t>
  </si>
  <si>
    <t xml:space="preserve">57540-000</t>
  </si>
  <si>
    <t xml:space="preserve">57544-999</t>
  </si>
  <si>
    <t xml:space="preserve">PAS0067</t>
  </si>
  <si>
    <t xml:space="preserve">MATRIZ DE CAMARAGIBE</t>
  </si>
  <si>
    <t xml:space="preserve">57910-000</t>
  </si>
  <si>
    <t xml:space="preserve">57919-999</t>
  </si>
  <si>
    <t xml:space="preserve">PAS0068</t>
  </si>
  <si>
    <t xml:space="preserve">MONTEIROPOLIS</t>
  </si>
  <si>
    <t xml:space="preserve">57440-000</t>
  </si>
  <si>
    <t xml:space="preserve">57441-999</t>
  </si>
  <si>
    <t xml:space="preserve">PAS0069</t>
  </si>
  <si>
    <t xml:space="preserve">NOVO LINO</t>
  </si>
  <si>
    <t xml:space="preserve">57970-000</t>
  </si>
  <si>
    <t xml:space="preserve">57974-999</t>
  </si>
  <si>
    <t xml:space="preserve">PAS0070</t>
  </si>
  <si>
    <t xml:space="preserve">OLHO D AGUA DAS FLORES</t>
  </si>
  <si>
    <t xml:space="preserve">57442-000</t>
  </si>
  <si>
    <t xml:space="preserve">57444-999</t>
  </si>
  <si>
    <t xml:space="preserve">PAS0071</t>
  </si>
  <si>
    <t xml:space="preserve">OLHO D AGUA DO CASADO</t>
  </si>
  <si>
    <t xml:space="preserve">59730-000</t>
  </si>
  <si>
    <t xml:space="preserve">59739-999</t>
  </si>
  <si>
    <t xml:space="preserve">PAS0072</t>
  </si>
  <si>
    <t xml:space="preserve">OLHO D AGUA GRANDE</t>
  </si>
  <si>
    <t xml:space="preserve">64468-000</t>
  </si>
  <si>
    <t xml:space="preserve">64469-999</t>
  </si>
  <si>
    <t xml:space="preserve">PAS0073</t>
  </si>
  <si>
    <t xml:space="preserve">OLIVENCA</t>
  </si>
  <si>
    <t xml:space="preserve">57550-000</t>
  </si>
  <si>
    <t xml:space="preserve">57559-999</t>
  </si>
  <si>
    <t xml:space="preserve">PAS0074</t>
  </si>
  <si>
    <t xml:space="preserve">OURO BRANCO</t>
  </si>
  <si>
    <t xml:space="preserve">57525-000</t>
  </si>
  <si>
    <t xml:space="preserve">57529-999</t>
  </si>
  <si>
    <t xml:space="preserve">PAS0075</t>
  </si>
  <si>
    <t xml:space="preserve">PALESTINA</t>
  </si>
  <si>
    <t xml:space="preserve">57410-000</t>
  </si>
  <si>
    <t xml:space="preserve">57419-999</t>
  </si>
  <si>
    <t xml:space="preserve">PAS0076</t>
  </si>
  <si>
    <t xml:space="preserve">PALMEIRA DOS INDIOS</t>
  </si>
  <si>
    <t xml:space="preserve">57600-001</t>
  </si>
  <si>
    <t xml:space="preserve">57614-999</t>
  </si>
  <si>
    <t xml:space="preserve">PAS0077</t>
  </si>
  <si>
    <t xml:space="preserve">PAO DE ACUCAR</t>
  </si>
  <si>
    <t xml:space="preserve">57400-000</t>
  </si>
  <si>
    <t xml:space="preserve">57409-999</t>
  </si>
  <si>
    <t xml:space="preserve">PAS0078</t>
  </si>
  <si>
    <t xml:space="preserve">PARICONHA</t>
  </si>
  <si>
    <t xml:space="preserve">57475-000</t>
  </si>
  <si>
    <t xml:space="preserve">57479-999</t>
  </si>
  <si>
    <t xml:space="preserve">PAS0079</t>
  </si>
  <si>
    <t xml:space="preserve">PASSO DE CAMARAGIBE</t>
  </si>
  <si>
    <t xml:space="preserve">57930-000</t>
  </si>
  <si>
    <t xml:space="preserve">57934-999</t>
  </si>
  <si>
    <t xml:space="preserve">PAS0080</t>
  </si>
  <si>
    <t xml:space="preserve">PAULO JACINTO</t>
  </si>
  <si>
    <t xml:space="preserve">57740-000</t>
  </si>
  <si>
    <t xml:space="preserve">57749-999</t>
  </si>
  <si>
    <t xml:space="preserve">PAS0081</t>
  </si>
  <si>
    <t xml:space="preserve">PENEDO</t>
  </si>
  <si>
    <t xml:space="preserve">57200-000</t>
  </si>
  <si>
    <t xml:space="preserve">57209-999</t>
  </si>
  <si>
    <t xml:space="preserve">PAS0082</t>
  </si>
  <si>
    <t xml:space="preserve">PIACABUCU</t>
  </si>
  <si>
    <t xml:space="preserve">57210-000</t>
  </si>
  <si>
    <t xml:space="preserve">57219-999</t>
  </si>
  <si>
    <t xml:space="preserve">PAS0083</t>
  </si>
  <si>
    <t xml:space="preserve">PINDOBA</t>
  </si>
  <si>
    <t xml:space="preserve">57720-000</t>
  </si>
  <si>
    <t xml:space="preserve">57729-999</t>
  </si>
  <si>
    <t xml:space="preserve">PAS0084</t>
  </si>
  <si>
    <t xml:space="preserve">57460-000</t>
  </si>
  <si>
    <t xml:space="preserve">57469-999</t>
  </si>
  <si>
    <t xml:space="preserve">PAS0085</t>
  </si>
  <si>
    <t xml:space="preserve">POCO DAS TRINCHEIRAS</t>
  </si>
  <si>
    <t xml:space="preserve">57510-000</t>
  </si>
  <si>
    <t xml:space="preserve">57514-999</t>
  </si>
  <si>
    <t xml:space="preserve">PAS0086</t>
  </si>
  <si>
    <t xml:space="preserve">57900-000</t>
  </si>
  <si>
    <t xml:space="preserve">57909-999</t>
  </si>
  <si>
    <t xml:space="preserve">PAS0087</t>
  </si>
  <si>
    <t xml:space="preserve">PORTO DE PEDRAS</t>
  </si>
  <si>
    <t xml:space="preserve">57945-000</t>
  </si>
  <si>
    <t xml:space="preserve">57949-999</t>
  </si>
  <si>
    <t xml:space="preserve">PAS0088</t>
  </si>
  <si>
    <t xml:space="preserve">PORTO REAL DO COLEGIO</t>
  </si>
  <si>
    <t xml:space="preserve">57290-000</t>
  </si>
  <si>
    <t xml:space="preserve">57299-999</t>
  </si>
  <si>
    <t xml:space="preserve">PAS0089</t>
  </si>
  <si>
    <t xml:space="preserve">QUEBRANGULO</t>
  </si>
  <si>
    <t xml:space="preserve">57750-000</t>
  </si>
  <si>
    <t xml:space="preserve">57759-999</t>
  </si>
  <si>
    <t xml:space="preserve">PAS0090</t>
  </si>
  <si>
    <t xml:space="preserve">ROTEIRO</t>
  </si>
  <si>
    <t xml:space="preserve">57257-000</t>
  </si>
  <si>
    <t xml:space="preserve">57259-999</t>
  </si>
  <si>
    <t xml:space="preserve">PAS0091</t>
  </si>
  <si>
    <t xml:space="preserve">SANTANA DO IPANEMA</t>
  </si>
  <si>
    <t xml:space="preserve">57500-000</t>
  </si>
  <si>
    <t xml:space="preserve">57509-999</t>
  </si>
  <si>
    <t xml:space="preserve">PAS0092</t>
  </si>
  <si>
    <t xml:space="preserve">SANTANA DO MUNDAU</t>
  </si>
  <si>
    <t xml:space="preserve">57840-000</t>
  </si>
  <si>
    <t xml:space="preserve">57859-999</t>
  </si>
  <si>
    <t xml:space="preserve">PAS0093</t>
  </si>
  <si>
    <t xml:space="preserve">SAO BRAS</t>
  </si>
  <si>
    <t xml:space="preserve">57380-000</t>
  </si>
  <si>
    <t xml:space="preserve">57389-999</t>
  </si>
  <si>
    <t xml:space="preserve">PAS0094</t>
  </si>
  <si>
    <t xml:space="preserve">SAO JOSE DA TAPERA</t>
  </si>
  <si>
    <t xml:space="preserve">57445-000</t>
  </si>
  <si>
    <t xml:space="preserve">57459-999</t>
  </si>
  <si>
    <t xml:space="preserve">PAS0095</t>
  </si>
  <si>
    <t xml:space="preserve">57920-000</t>
  </si>
  <si>
    <t xml:space="preserve">57924-999</t>
  </si>
  <si>
    <t xml:space="preserve">PAS0096</t>
  </si>
  <si>
    <t xml:space="preserve">57940-000</t>
  </si>
  <si>
    <t xml:space="preserve">57944-999</t>
  </si>
  <si>
    <t xml:space="preserve">PAS0097</t>
  </si>
  <si>
    <t xml:space="preserve">SAO SEBASTIAO</t>
  </si>
  <si>
    <t xml:space="preserve">57275-000</t>
  </si>
  <si>
    <t xml:space="preserve">57279-999</t>
  </si>
  <si>
    <t xml:space="preserve">PAS0098</t>
  </si>
  <si>
    <t xml:space="preserve">SENADOR RUI PALMEIRA</t>
  </si>
  <si>
    <t xml:space="preserve">57515-000</t>
  </si>
  <si>
    <t xml:space="preserve">57519-999</t>
  </si>
  <si>
    <t xml:space="preserve">PAS0099</t>
  </si>
  <si>
    <t xml:space="preserve">TANQUE D ARCA</t>
  </si>
  <si>
    <t xml:space="preserve">57635-000</t>
  </si>
  <si>
    <t xml:space="preserve">57639-999</t>
  </si>
  <si>
    <t xml:space="preserve">PAS0100</t>
  </si>
  <si>
    <t xml:space="preserve">TAQUARANA</t>
  </si>
  <si>
    <t xml:space="preserve">57640-000</t>
  </si>
  <si>
    <t xml:space="preserve">57659-999</t>
  </si>
  <si>
    <t xml:space="preserve">PAS0101</t>
  </si>
  <si>
    <t xml:space="preserve">TEOTONIO VILELA</t>
  </si>
  <si>
    <t xml:space="preserve">57265-001</t>
  </si>
  <si>
    <t xml:space="preserve">57269-999</t>
  </si>
  <si>
    <t xml:space="preserve">PAS0102</t>
  </si>
  <si>
    <t xml:space="preserve">TRAIPU</t>
  </si>
  <si>
    <t xml:space="preserve">57370-000</t>
  </si>
  <si>
    <t xml:space="preserve">57379-999</t>
  </si>
  <si>
    <t xml:space="preserve">PAS0103</t>
  </si>
  <si>
    <t xml:space="preserve">42800-001</t>
  </si>
  <si>
    <t xml:space="preserve">42849-999</t>
  </si>
  <si>
    <t xml:space="preserve">PAS0104</t>
  </si>
  <si>
    <t xml:space="preserve">DIAS D AVILA</t>
  </si>
  <si>
    <t xml:space="preserve">42850-000</t>
  </si>
  <si>
    <t xml:space="preserve">43699-999</t>
  </si>
  <si>
    <t xml:space="preserve">PAS0105</t>
  </si>
  <si>
    <t xml:space="preserve">42700-001</t>
  </si>
  <si>
    <t xml:space="preserve">42799-999</t>
  </si>
  <si>
    <t xml:space="preserve">PAS0106</t>
  </si>
  <si>
    <t xml:space="preserve">40000-001</t>
  </si>
  <si>
    <t xml:space="preserve">42599-999</t>
  </si>
  <si>
    <t xml:space="preserve">PAS0107</t>
  </si>
  <si>
    <t xml:space="preserve">43700-000</t>
  </si>
  <si>
    <t xml:space="preserve">43799-999</t>
  </si>
  <si>
    <t xml:space="preserve">PAS0108</t>
  </si>
  <si>
    <t xml:space="preserve">44000-001</t>
  </si>
  <si>
    <t xml:space="preserve">44149-999</t>
  </si>
  <si>
    <t xml:space="preserve">PAS0109</t>
  </si>
  <si>
    <t xml:space="preserve">ACAJUTIBA</t>
  </si>
  <si>
    <t xml:space="preserve">48360-000</t>
  </si>
  <si>
    <t xml:space="preserve">48369-999</t>
  </si>
  <si>
    <t xml:space="preserve">PAS0110</t>
  </si>
  <si>
    <t xml:space="preserve">ADUSTINA</t>
  </si>
  <si>
    <t xml:space="preserve">48435-000</t>
  </si>
  <si>
    <t xml:space="preserve">48439-999</t>
  </si>
  <si>
    <t xml:space="preserve">PAS0111</t>
  </si>
  <si>
    <t xml:space="preserve">AGUA FRIA</t>
  </si>
  <si>
    <t xml:space="preserve">48170-000</t>
  </si>
  <si>
    <t xml:space="preserve">48179-999</t>
  </si>
  <si>
    <t xml:space="preserve">PAS0112</t>
  </si>
  <si>
    <t xml:space="preserve">ALAGOINHAS</t>
  </si>
  <si>
    <t xml:space="preserve">48000-001</t>
  </si>
  <si>
    <t xml:space="preserve">48107-999</t>
  </si>
  <si>
    <t xml:space="preserve">PAS0113</t>
  </si>
  <si>
    <t xml:space="preserve">AMELIA RODRIGUES</t>
  </si>
  <si>
    <t xml:space="preserve">44230-000</t>
  </si>
  <si>
    <t xml:space="preserve">44244-999</t>
  </si>
  <si>
    <t xml:space="preserve">PAS0114</t>
  </si>
  <si>
    <t xml:space="preserve">ANGUERA</t>
  </si>
  <si>
    <t xml:space="preserve">44670-001</t>
  </si>
  <si>
    <t xml:space="preserve">44679-999</t>
  </si>
  <si>
    <t xml:space="preserve">PAS0115</t>
  </si>
  <si>
    <t xml:space="preserve">ANTAS</t>
  </si>
  <si>
    <t xml:space="preserve">48420-000</t>
  </si>
  <si>
    <t xml:space="preserve">48429-999</t>
  </si>
  <si>
    <t xml:space="preserve">PAS0116</t>
  </si>
  <si>
    <t xml:space="preserve">APORA</t>
  </si>
  <si>
    <t xml:space="preserve">48350-000</t>
  </si>
  <si>
    <t xml:space="preserve">48359-999</t>
  </si>
  <si>
    <t xml:space="preserve">PAS0117</t>
  </si>
  <si>
    <t xml:space="preserve">ARAMARI</t>
  </si>
  <si>
    <t xml:space="preserve">48130-000</t>
  </si>
  <si>
    <t xml:space="preserve">48139-999</t>
  </si>
  <si>
    <t xml:space="preserve">PAS0118</t>
  </si>
  <si>
    <t xml:space="preserve">BANZAE</t>
  </si>
  <si>
    <t xml:space="preserve">48405-000</t>
  </si>
  <si>
    <t xml:space="preserve">48409-999</t>
  </si>
  <si>
    <t xml:space="preserve">PAS0119</t>
  </si>
  <si>
    <t xml:space="preserve">CABACEIRAS DO PARAGUACU</t>
  </si>
  <si>
    <t xml:space="preserve">44345-000</t>
  </si>
  <si>
    <t xml:space="preserve">44349-999</t>
  </si>
  <si>
    <t xml:space="preserve">PAS0120</t>
  </si>
  <si>
    <t xml:space="preserve">CACHOEIRA</t>
  </si>
  <si>
    <t xml:space="preserve">44300-000</t>
  </si>
  <si>
    <t xml:space="preserve">44319-999</t>
  </si>
  <si>
    <t xml:space="preserve">PAS0121</t>
  </si>
  <si>
    <t xml:space="preserve">CANDEAL</t>
  </si>
  <si>
    <t xml:space="preserve">48710-000</t>
  </si>
  <si>
    <t xml:space="preserve">48719-999</t>
  </si>
  <si>
    <t xml:space="preserve">PAS0122</t>
  </si>
  <si>
    <t xml:space="preserve">CANDEIAS</t>
  </si>
  <si>
    <t xml:space="preserve">43800-001</t>
  </si>
  <si>
    <t xml:space="preserve">43849-999</t>
  </si>
  <si>
    <t xml:space="preserve">PAS0123</t>
  </si>
  <si>
    <t xml:space="preserve">CAPIM GROSSO</t>
  </si>
  <si>
    <t xml:space="preserve">44695-000</t>
  </si>
  <si>
    <t xml:space="preserve">44829-999</t>
  </si>
  <si>
    <t xml:space="preserve">PAS0124</t>
  </si>
  <si>
    <t xml:space="preserve">CARDEAL DA SILVA</t>
  </si>
  <si>
    <t xml:space="preserve">48390-000</t>
  </si>
  <si>
    <t xml:space="preserve">48399-999</t>
  </si>
  <si>
    <t xml:space="preserve">PAS0125</t>
  </si>
  <si>
    <t xml:space="preserve">CICERO DANTAS</t>
  </si>
  <si>
    <t xml:space="preserve">48410-000</t>
  </si>
  <si>
    <t xml:space="preserve">48414-999</t>
  </si>
  <si>
    <t xml:space="preserve">PAS0126</t>
  </si>
  <si>
    <t xml:space="preserve">CIPO</t>
  </si>
  <si>
    <t xml:space="preserve">48450-000</t>
  </si>
  <si>
    <t xml:space="preserve">48454-999</t>
  </si>
  <si>
    <t xml:space="preserve">PAS0127</t>
  </si>
  <si>
    <t xml:space="preserve">CONCEICAO DA FEIRA</t>
  </si>
  <si>
    <t xml:space="preserve">44320-000</t>
  </si>
  <si>
    <t xml:space="preserve">44329-999</t>
  </si>
  <si>
    <t xml:space="preserve">PAS0128</t>
  </si>
  <si>
    <t xml:space="preserve">CONCEICAO DO ALMEIDA</t>
  </si>
  <si>
    <t xml:space="preserve">44540-000</t>
  </si>
  <si>
    <t xml:space="preserve">44549-999</t>
  </si>
  <si>
    <t xml:space="preserve">PAS0129</t>
  </si>
  <si>
    <t xml:space="preserve">CONCEICAO DO COITE</t>
  </si>
  <si>
    <t xml:space="preserve">48730-000</t>
  </si>
  <si>
    <t xml:space="preserve">48749-999</t>
  </si>
  <si>
    <t xml:space="preserve">PAS0130</t>
  </si>
  <si>
    <t xml:space="preserve">CONCEICAO DO JACUIPE</t>
  </si>
  <si>
    <t xml:space="preserve">44245-000</t>
  </si>
  <si>
    <t xml:space="preserve">44249-999</t>
  </si>
  <si>
    <t xml:space="preserve">PAS0131</t>
  </si>
  <si>
    <t xml:space="preserve">48300-000</t>
  </si>
  <si>
    <t xml:space="preserve">48309-999</t>
  </si>
  <si>
    <t xml:space="preserve">PAS0132</t>
  </si>
  <si>
    <t xml:space="preserve">CORACAO DE MARIA</t>
  </si>
  <si>
    <t xml:space="preserve">44250-000</t>
  </si>
  <si>
    <t xml:space="preserve">44254-999</t>
  </si>
  <si>
    <t xml:space="preserve">PAS0133</t>
  </si>
  <si>
    <t xml:space="preserve">CORONEL JOAO SA</t>
  </si>
  <si>
    <t xml:space="preserve">48590-000</t>
  </si>
  <si>
    <t xml:space="preserve">48599-999</t>
  </si>
  <si>
    <t xml:space="preserve">PAS0134</t>
  </si>
  <si>
    <t xml:space="preserve">CRISOPOLIS</t>
  </si>
  <si>
    <t xml:space="preserve">48480-000</t>
  </si>
  <si>
    <t xml:space="preserve">48484-999</t>
  </si>
  <si>
    <t xml:space="preserve">PAS0135</t>
  </si>
  <si>
    <t xml:space="preserve">CRUZ DAS ALMAS</t>
  </si>
  <si>
    <t xml:space="preserve">44380-000</t>
  </si>
  <si>
    <t xml:space="preserve">44399-999</t>
  </si>
  <si>
    <t xml:space="preserve">PAS0136</t>
  </si>
  <si>
    <t xml:space="preserve">DOM MACEDO COSTA</t>
  </si>
  <si>
    <t xml:space="preserve">44560-000</t>
  </si>
  <si>
    <t xml:space="preserve">44564-999</t>
  </si>
  <si>
    <t xml:space="preserve">PAS0137</t>
  </si>
  <si>
    <t xml:space="preserve">ENTRE RIOS</t>
  </si>
  <si>
    <t xml:space="preserve">48180-000</t>
  </si>
  <si>
    <t xml:space="preserve">48279-999</t>
  </si>
  <si>
    <t xml:space="preserve">PAS0138</t>
  </si>
  <si>
    <t xml:space="preserve">ESPLANADA</t>
  </si>
  <si>
    <t xml:space="preserve">48370-000</t>
  </si>
  <si>
    <t xml:space="preserve">48389-999</t>
  </si>
  <si>
    <t xml:space="preserve">PAS0139</t>
  </si>
  <si>
    <t xml:space="preserve">FATIMA</t>
  </si>
  <si>
    <t xml:space="preserve">48415-000</t>
  </si>
  <si>
    <t xml:space="preserve">48419-999</t>
  </si>
  <si>
    <t xml:space="preserve">PAS0140</t>
  </si>
  <si>
    <t xml:space="preserve">GLORIA</t>
  </si>
  <si>
    <t xml:space="preserve">48620-000</t>
  </si>
  <si>
    <t xml:space="preserve">48629-999</t>
  </si>
  <si>
    <t xml:space="preserve">PAS0141</t>
  </si>
  <si>
    <t xml:space="preserve">HELIOPOLIS</t>
  </si>
  <si>
    <t xml:space="preserve">48445-000</t>
  </si>
  <si>
    <t xml:space="preserve">48449-999</t>
  </si>
  <si>
    <t xml:space="preserve">PAS0142</t>
  </si>
  <si>
    <t xml:space="preserve">ICHU</t>
  </si>
  <si>
    <t xml:space="preserve">48725-000</t>
  </si>
  <si>
    <t xml:space="preserve">48729-999</t>
  </si>
  <si>
    <t xml:space="preserve">PAS0143</t>
  </si>
  <si>
    <t xml:space="preserve">INHAMBUPE</t>
  </si>
  <si>
    <t xml:space="preserve">48490-000</t>
  </si>
  <si>
    <t xml:space="preserve">48499-999</t>
  </si>
  <si>
    <t xml:space="preserve">PAS0144</t>
  </si>
  <si>
    <t xml:space="preserve">IPECAETA</t>
  </si>
  <si>
    <t xml:space="preserve">44680-000</t>
  </si>
  <si>
    <t xml:space="preserve">44689-999</t>
  </si>
  <si>
    <t xml:space="preserve">PAS0145</t>
  </si>
  <si>
    <t xml:space="preserve">IPIRA</t>
  </si>
  <si>
    <t xml:space="preserve">44600-000</t>
  </si>
  <si>
    <t xml:space="preserve">44609-999</t>
  </si>
  <si>
    <t xml:space="preserve">PAS0146</t>
  </si>
  <si>
    <t xml:space="preserve">IRARA</t>
  </si>
  <si>
    <t xml:space="preserve">44255-000</t>
  </si>
  <si>
    <t xml:space="preserve">44259-999</t>
  </si>
  <si>
    <t xml:space="preserve">PAS0147</t>
  </si>
  <si>
    <t xml:space="preserve">ITAPICURU</t>
  </si>
  <si>
    <t xml:space="preserve">48475-000</t>
  </si>
  <si>
    <t xml:space="preserve">48479-999</t>
  </si>
  <si>
    <t xml:space="preserve">PAS0148</t>
  </si>
  <si>
    <t xml:space="preserve">ITATIM</t>
  </si>
  <si>
    <t xml:space="preserve">46875-000</t>
  </si>
  <si>
    <t xml:space="preserve">46879-999</t>
  </si>
  <si>
    <t xml:space="preserve">PAS0149</t>
  </si>
  <si>
    <t xml:space="preserve">JANDAIRA</t>
  </si>
  <si>
    <t xml:space="preserve">48310-000</t>
  </si>
  <si>
    <t xml:space="preserve">48329-999</t>
  </si>
  <si>
    <t xml:space="preserve">PAS0150</t>
  </si>
  <si>
    <t xml:space="preserve">MADRE DE DEUS</t>
  </si>
  <si>
    <t xml:space="preserve">42600-000</t>
  </si>
  <si>
    <t xml:space="preserve">42699-999</t>
  </si>
  <si>
    <t xml:space="preserve">PAS0151</t>
  </si>
  <si>
    <t xml:space="preserve">MAIRI</t>
  </si>
  <si>
    <t xml:space="preserve">44630-000</t>
  </si>
  <si>
    <t xml:space="preserve">44634-999</t>
  </si>
  <si>
    <t xml:space="preserve">PAS0152</t>
  </si>
  <si>
    <t xml:space="preserve">MARAGOGIPE</t>
  </si>
  <si>
    <t xml:space="preserve">44420-000</t>
  </si>
  <si>
    <t xml:space="preserve">44429-999</t>
  </si>
  <si>
    <t xml:space="preserve">PAS0153</t>
  </si>
  <si>
    <t xml:space="preserve">MATA DE SAO JOAO</t>
  </si>
  <si>
    <t xml:space="preserve">48280-000</t>
  </si>
  <si>
    <t xml:space="preserve">48289-999</t>
  </si>
  <si>
    <t xml:space="preserve">PAS0154</t>
  </si>
  <si>
    <t xml:space="preserve">MUNDO NOVO</t>
  </si>
  <si>
    <t xml:space="preserve">44800-000</t>
  </si>
  <si>
    <t xml:space="preserve">44819-999</t>
  </si>
  <si>
    <t xml:space="preserve">PAS0155</t>
  </si>
  <si>
    <t xml:space="preserve">MUNIZ FERREIRA</t>
  </si>
  <si>
    <t xml:space="preserve">44575-000</t>
  </si>
  <si>
    <t xml:space="preserve">44579-999</t>
  </si>
  <si>
    <t xml:space="preserve">PAS0156</t>
  </si>
  <si>
    <t xml:space="preserve">MURITIBA</t>
  </si>
  <si>
    <t xml:space="preserve">44340-000</t>
  </si>
  <si>
    <t xml:space="preserve">44344-999</t>
  </si>
  <si>
    <t xml:space="preserve">PAS0157</t>
  </si>
  <si>
    <t xml:space="preserve">MUTUIPE</t>
  </si>
  <si>
    <t xml:space="preserve">45480-000</t>
  </si>
  <si>
    <t xml:space="preserve">45489-999</t>
  </si>
  <si>
    <t xml:space="preserve">PAS0158</t>
  </si>
  <si>
    <t xml:space="preserve">NAZARE</t>
  </si>
  <si>
    <t xml:space="preserve">44400-000</t>
  </si>
  <si>
    <t xml:space="preserve">44419-999</t>
  </si>
  <si>
    <t xml:space="preserve">PAS0159</t>
  </si>
  <si>
    <t xml:space="preserve">NOVA FATIMA</t>
  </si>
  <si>
    <t xml:space="preserve">44642-000</t>
  </si>
  <si>
    <t xml:space="preserve">44644-999</t>
  </si>
  <si>
    <t xml:space="preserve">PAS0160</t>
  </si>
  <si>
    <t xml:space="preserve">NOVA SOURE</t>
  </si>
  <si>
    <t xml:space="preserve">48460-000</t>
  </si>
  <si>
    <t xml:space="preserve">48469-999</t>
  </si>
  <si>
    <t xml:space="preserve">PAS0161</t>
  </si>
  <si>
    <t xml:space="preserve">OLINDINA</t>
  </si>
  <si>
    <t xml:space="preserve">48470-000</t>
  </si>
  <si>
    <t xml:space="preserve">48474-999</t>
  </si>
  <si>
    <t xml:space="preserve">PAS0162</t>
  </si>
  <si>
    <t xml:space="preserve">OURICANGAS</t>
  </si>
  <si>
    <t xml:space="preserve">48150-000</t>
  </si>
  <si>
    <t xml:space="preserve">48169-999</t>
  </si>
  <si>
    <t xml:space="preserve">PAS0163</t>
  </si>
  <si>
    <t xml:space="preserve">PARIPIRANGA</t>
  </si>
  <si>
    <t xml:space="preserve">48430-000</t>
  </si>
  <si>
    <t xml:space="preserve">48434-999</t>
  </si>
  <si>
    <t xml:space="preserve">PAS0164</t>
  </si>
  <si>
    <t xml:space="preserve">PE DE SERRA</t>
  </si>
  <si>
    <t xml:space="preserve">44655-000</t>
  </si>
  <si>
    <t xml:space="preserve">44659-999</t>
  </si>
  <si>
    <t xml:space="preserve">PAS0165</t>
  </si>
  <si>
    <t xml:space="preserve">PEDRAO</t>
  </si>
  <si>
    <t xml:space="preserve">48140-000</t>
  </si>
  <si>
    <t xml:space="preserve">48149-999</t>
  </si>
  <si>
    <t xml:space="preserve">PAS0166</t>
  </si>
  <si>
    <t xml:space="preserve">RAFAEL JAMBEIRO</t>
  </si>
  <si>
    <t xml:space="preserve">44520-000</t>
  </si>
  <si>
    <t xml:space="preserve">44529-999</t>
  </si>
  <si>
    <t xml:space="preserve">PAS0167</t>
  </si>
  <si>
    <t xml:space="preserve">RETIROLANDIA</t>
  </si>
  <si>
    <t xml:space="preserve">48750-000</t>
  </si>
  <si>
    <t xml:space="preserve">48759-999</t>
  </si>
  <si>
    <t xml:space="preserve">PAS0168</t>
  </si>
  <si>
    <t xml:space="preserve">RIACHAO DO JACUIPE</t>
  </si>
  <si>
    <t xml:space="preserve">44640-000</t>
  </si>
  <si>
    <t xml:space="preserve">44641-999</t>
  </si>
  <si>
    <t xml:space="preserve">PAS0169</t>
  </si>
  <si>
    <t xml:space="preserve">RIBEIRA DO AMPARO</t>
  </si>
  <si>
    <t xml:space="preserve">48440-000</t>
  </si>
  <si>
    <t xml:space="preserve">48444-999</t>
  </si>
  <si>
    <t xml:space="preserve">PAS0170</t>
  </si>
  <si>
    <t xml:space="preserve">RIBEIRA DO POMBAL</t>
  </si>
  <si>
    <t xml:space="preserve">48400-000</t>
  </si>
  <si>
    <t xml:space="preserve">48404-999</t>
  </si>
  <si>
    <t xml:space="preserve">PAS0171</t>
  </si>
  <si>
    <t xml:space="preserve">RIO REAL</t>
  </si>
  <si>
    <t xml:space="preserve">48330-000</t>
  </si>
  <si>
    <t xml:space="preserve">48349-999</t>
  </si>
  <si>
    <t xml:space="preserve">PAS0172</t>
  </si>
  <si>
    <t xml:space="preserve">SALINAS DA MARGARIDA</t>
  </si>
  <si>
    <t xml:space="preserve">44450-000</t>
  </si>
  <si>
    <t xml:space="preserve">44459-999</t>
  </si>
  <si>
    <t xml:space="preserve">PAS0173</t>
  </si>
  <si>
    <t xml:space="preserve">SANTA BARBARA</t>
  </si>
  <si>
    <t xml:space="preserve">44150-000</t>
  </si>
  <si>
    <t xml:space="preserve">44159-999</t>
  </si>
  <si>
    <t xml:space="preserve">PAS0174</t>
  </si>
  <si>
    <t xml:space="preserve">SANTA INES</t>
  </si>
  <si>
    <t xml:space="preserve">45320-000</t>
  </si>
  <si>
    <t xml:space="preserve">45324-999</t>
  </si>
  <si>
    <t xml:space="preserve">PAS0175</t>
  </si>
  <si>
    <t xml:space="preserve">SANTA TERESINHA</t>
  </si>
  <si>
    <t xml:space="preserve">44590-000</t>
  </si>
  <si>
    <t xml:space="preserve">44599-999</t>
  </si>
  <si>
    <t xml:space="preserve">PAS0176</t>
  </si>
  <si>
    <t xml:space="preserve">SANTALUZ</t>
  </si>
  <si>
    <t xml:space="preserve">48880-000</t>
  </si>
  <si>
    <t xml:space="preserve">48889-999</t>
  </si>
  <si>
    <t xml:space="preserve">PAS0177</t>
  </si>
  <si>
    <t xml:space="preserve">SANTANOPOLIS</t>
  </si>
  <si>
    <t xml:space="preserve">44260-000</t>
  </si>
  <si>
    <t xml:space="preserve">44269-999</t>
  </si>
  <si>
    <t xml:space="preserve">PAS0178</t>
  </si>
  <si>
    <t xml:space="preserve">SANTO AMARO</t>
  </si>
  <si>
    <t xml:space="preserve">44200-000</t>
  </si>
  <si>
    <t xml:space="preserve">44219-999</t>
  </si>
  <si>
    <t xml:space="preserve">PAS0179</t>
  </si>
  <si>
    <t xml:space="preserve">SANTO ANTONIO DE JESUS</t>
  </si>
  <si>
    <t xml:space="preserve">44430-001</t>
  </si>
  <si>
    <t xml:space="preserve">44449-999</t>
  </si>
  <si>
    <t xml:space="preserve">PAS0180</t>
  </si>
  <si>
    <t xml:space="preserve">SANTO ESTEVAO</t>
  </si>
  <si>
    <t xml:space="preserve">44190-000</t>
  </si>
  <si>
    <t xml:space="preserve">44199-999</t>
  </si>
  <si>
    <t xml:space="preserve">PAS0181</t>
  </si>
  <si>
    <t xml:space="preserve">SAO DOMINGOS</t>
  </si>
  <si>
    <t xml:space="preserve">48895-000</t>
  </si>
  <si>
    <t xml:space="preserve">48899-999</t>
  </si>
  <si>
    <t xml:space="preserve">PAS0182</t>
  </si>
  <si>
    <t xml:space="preserve">SAO FELIPE</t>
  </si>
  <si>
    <t xml:space="preserve">44550-000</t>
  </si>
  <si>
    <t xml:space="preserve">44559-999</t>
  </si>
  <si>
    <t xml:space="preserve">PAS0183</t>
  </si>
  <si>
    <t xml:space="preserve">SAO FELIX</t>
  </si>
  <si>
    <t xml:space="preserve">44360-000</t>
  </si>
  <si>
    <t xml:space="preserve">44379-999</t>
  </si>
  <si>
    <t xml:space="preserve">PAS0184</t>
  </si>
  <si>
    <t xml:space="preserve">SAO FRANCISCO DO CONDE</t>
  </si>
  <si>
    <t xml:space="preserve">43900-000</t>
  </si>
  <si>
    <t xml:space="preserve">43999-999</t>
  </si>
  <si>
    <t xml:space="preserve">PAS0185</t>
  </si>
  <si>
    <t xml:space="preserve">SAO GONCALO DOS CAMPOS</t>
  </si>
  <si>
    <t xml:space="preserve">44330-000</t>
  </si>
  <si>
    <t xml:space="preserve">44339-999</t>
  </si>
  <si>
    <t xml:space="preserve">PAS0186</t>
  </si>
  <si>
    <t xml:space="preserve">SAO SEBASTIAO DO PASSE</t>
  </si>
  <si>
    <t xml:space="preserve">43850-000</t>
  </si>
  <si>
    <t xml:space="preserve">43899-999</t>
  </si>
  <si>
    <t xml:space="preserve">PAS0187</t>
  </si>
  <si>
    <t xml:space="preserve">SAPEACU</t>
  </si>
  <si>
    <t xml:space="preserve">44530-000</t>
  </si>
  <si>
    <t xml:space="preserve">44539-999</t>
  </si>
  <si>
    <t xml:space="preserve">PAS0188</t>
  </si>
  <si>
    <t xml:space="preserve">SATIRO DIAS</t>
  </si>
  <si>
    <t xml:space="preserve">48485-000</t>
  </si>
  <si>
    <t xml:space="preserve">48489-999</t>
  </si>
  <si>
    <t xml:space="preserve">PAS0189</t>
  </si>
  <si>
    <t xml:space="preserve">SAUBARA</t>
  </si>
  <si>
    <t xml:space="preserve">44220-000</t>
  </si>
  <si>
    <t xml:space="preserve">44229-999</t>
  </si>
  <si>
    <t xml:space="preserve">PAS0190</t>
  </si>
  <si>
    <t xml:space="preserve">SERRA PRETA</t>
  </si>
  <si>
    <t xml:space="preserve">44660-000</t>
  </si>
  <si>
    <t xml:space="preserve">44669-999</t>
  </si>
  <si>
    <t xml:space="preserve">PAS0191</t>
  </si>
  <si>
    <t xml:space="preserve">SERRINHA</t>
  </si>
  <si>
    <t xml:space="preserve">48700-000</t>
  </si>
  <si>
    <t xml:space="preserve">48704-999</t>
  </si>
  <si>
    <t xml:space="preserve">PAS0192</t>
  </si>
  <si>
    <t xml:space="preserve">TANQUINHO</t>
  </si>
  <si>
    <t xml:space="preserve">44160-000</t>
  </si>
  <si>
    <t xml:space="preserve">44179-999</t>
  </si>
  <si>
    <t xml:space="preserve">PAS0193</t>
  </si>
  <si>
    <t xml:space="preserve">TEODORO SAMPAIO</t>
  </si>
  <si>
    <t xml:space="preserve">44280-000</t>
  </si>
  <si>
    <t xml:space="preserve">44299-999</t>
  </si>
  <si>
    <t xml:space="preserve">PAS0194</t>
  </si>
  <si>
    <t xml:space="preserve">TEOFILANDIA</t>
  </si>
  <si>
    <t xml:space="preserve">48770-000</t>
  </si>
  <si>
    <t xml:space="preserve">48779-999</t>
  </si>
  <si>
    <t xml:space="preserve">PAS0195</t>
  </si>
  <si>
    <t xml:space="preserve">TERRA NOVA</t>
  </si>
  <si>
    <t xml:space="preserve">44270-000</t>
  </si>
  <si>
    <t xml:space="preserve">44279-999</t>
  </si>
  <si>
    <t xml:space="preserve">PAS0196</t>
  </si>
  <si>
    <t xml:space="preserve">VALENCA</t>
  </si>
  <si>
    <t xml:space="preserve">45400-000</t>
  </si>
  <si>
    <t xml:space="preserve">45415-999</t>
  </si>
  <si>
    <t xml:space="preserve">PAS0197</t>
  </si>
  <si>
    <t xml:space="preserve">VALENTE</t>
  </si>
  <si>
    <t xml:space="preserve">48890-000</t>
  </si>
  <si>
    <t xml:space="preserve">48894-999</t>
  </si>
  <si>
    <t xml:space="preserve">PAS0198</t>
  </si>
  <si>
    <t xml:space="preserve">VARZEA DA ROCA</t>
  </si>
  <si>
    <t xml:space="preserve">44635-000</t>
  </si>
  <si>
    <t xml:space="preserve">44639-999</t>
  </si>
  <si>
    <t xml:space="preserve">PAS0199</t>
  </si>
  <si>
    <t xml:space="preserve">VARZEA DO POCO</t>
  </si>
  <si>
    <t xml:space="preserve">44715-000</t>
  </si>
  <si>
    <t xml:space="preserve">44717-999</t>
  </si>
  <si>
    <t xml:space="preserve">PAS0200</t>
  </si>
  <si>
    <t xml:space="preserve">VARZEDO</t>
  </si>
  <si>
    <t xml:space="preserve">44565-000</t>
  </si>
  <si>
    <t xml:space="preserve">44569-999</t>
  </si>
  <si>
    <t xml:space="preserve">PAS0201</t>
  </si>
  <si>
    <t xml:space="preserve">VERA CRUZ</t>
  </si>
  <si>
    <t xml:space="preserve">44470-000</t>
  </si>
  <si>
    <t xml:space="preserve">44479-999</t>
  </si>
  <si>
    <t xml:space="preserve">PAS0202</t>
  </si>
  <si>
    <t xml:space="preserve">ABAIRA</t>
  </si>
  <si>
    <t xml:space="preserve">46690-000</t>
  </si>
  <si>
    <t xml:space="preserve">46699-999</t>
  </si>
  <si>
    <t xml:space="preserve">PAS0203</t>
  </si>
  <si>
    <t xml:space="preserve">ABARE</t>
  </si>
  <si>
    <t xml:space="preserve">48680-000</t>
  </si>
  <si>
    <t xml:space="preserve">48699-999</t>
  </si>
  <si>
    <t xml:space="preserve">PAS0204</t>
  </si>
  <si>
    <t xml:space="preserve">AIQUARA</t>
  </si>
  <si>
    <t xml:space="preserve">45220-000</t>
  </si>
  <si>
    <t xml:space="preserve">45224-999</t>
  </si>
  <si>
    <t xml:space="preserve">PAS0205</t>
  </si>
  <si>
    <t xml:space="preserve">ALCOBACA</t>
  </si>
  <si>
    <t xml:space="preserve">45910-000</t>
  </si>
  <si>
    <t xml:space="preserve">45919-999</t>
  </si>
  <si>
    <t xml:space="preserve">PAS0206</t>
  </si>
  <si>
    <t xml:space="preserve">ALMADINA</t>
  </si>
  <si>
    <t xml:space="preserve">45640-000</t>
  </si>
  <si>
    <t xml:space="preserve">45644-999</t>
  </si>
  <si>
    <t xml:space="preserve">PAS0207</t>
  </si>
  <si>
    <t xml:space="preserve">AMARGOSA</t>
  </si>
  <si>
    <t xml:space="preserve">45300-000</t>
  </si>
  <si>
    <t xml:space="preserve">45304-999</t>
  </si>
  <si>
    <t xml:space="preserve">PAS0208</t>
  </si>
  <si>
    <t xml:space="preserve">AMERICA DOURADA</t>
  </si>
  <si>
    <t xml:space="preserve">44910-000</t>
  </si>
  <si>
    <t xml:space="preserve">44914-999</t>
  </si>
  <si>
    <t xml:space="preserve">PAS0209</t>
  </si>
  <si>
    <t xml:space="preserve">ANAGE</t>
  </si>
  <si>
    <t xml:space="preserve">45180-000</t>
  </si>
  <si>
    <t xml:space="preserve">45189-999</t>
  </si>
  <si>
    <t xml:space="preserve">PAS0210</t>
  </si>
  <si>
    <t xml:space="preserve">ANDARAI</t>
  </si>
  <si>
    <t xml:space="preserve">46830-000</t>
  </si>
  <si>
    <t xml:space="preserve">46834-999</t>
  </si>
  <si>
    <t xml:space="preserve">PAS0211</t>
  </si>
  <si>
    <t xml:space="preserve">ANDORINHA</t>
  </si>
  <si>
    <t xml:space="preserve">48990-000</t>
  </si>
  <si>
    <t xml:space="preserve">48999-999</t>
  </si>
  <si>
    <t xml:space="preserve">PAS0212</t>
  </si>
  <si>
    <t xml:space="preserve">ANTONIO CARDOSO</t>
  </si>
  <si>
    <t xml:space="preserve">44180-000</t>
  </si>
  <si>
    <t xml:space="preserve">44189-999</t>
  </si>
  <si>
    <t xml:space="preserve">PAS0213</t>
  </si>
  <si>
    <t xml:space="preserve">ANTONIO GONCALVES</t>
  </si>
  <si>
    <t xml:space="preserve">44780-000</t>
  </si>
  <si>
    <t xml:space="preserve">44789-999</t>
  </si>
  <si>
    <t xml:space="preserve">PAS0214</t>
  </si>
  <si>
    <t xml:space="preserve">APUAREMA</t>
  </si>
  <si>
    <t xml:space="preserve">45355-000</t>
  </si>
  <si>
    <t xml:space="preserve">45359-999</t>
  </si>
  <si>
    <t xml:space="preserve">PAS0215</t>
  </si>
  <si>
    <t xml:space="preserve">ARACAS</t>
  </si>
  <si>
    <t xml:space="preserve">48108-000</t>
  </si>
  <si>
    <t xml:space="preserve">48109-999</t>
  </si>
  <si>
    <t xml:space="preserve">PAS0216</t>
  </si>
  <si>
    <t xml:space="preserve">ARACATU</t>
  </si>
  <si>
    <t xml:space="preserve">46130-000</t>
  </si>
  <si>
    <t xml:space="preserve">46139-999</t>
  </si>
  <si>
    <t xml:space="preserve">PAS0217</t>
  </si>
  <si>
    <t xml:space="preserve">ARACI</t>
  </si>
  <si>
    <t xml:space="preserve">48760-000</t>
  </si>
  <si>
    <t xml:space="preserve">48769-999</t>
  </si>
  <si>
    <t xml:space="preserve">PAS0218</t>
  </si>
  <si>
    <t xml:space="preserve">ARATACA</t>
  </si>
  <si>
    <t xml:space="preserve">45695-000</t>
  </si>
  <si>
    <t xml:space="preserve">45699-999</t>
  </si>
  <si>
    <t xml:space="preserve">PAS0219</t>
  </si>
  <si>
    <t xml:space="preserve">ARATUIPE</t>
  </si>
  <si>
    <t xml:space="preserve">44490-000</t>
  </si>
  <si>
    <t xml:space="preserve">44499-999</t>
  </si>
  <si>
    <t xml:space="preserve">PAS0220</t>
  </si>
  <si>
    <t xml:space="preserve">AURELINO LEAL</t>
  </si>
  <si>
    <t xml:space="preserve">45675-000</t>
  </si>
  <si>
    <t xml:space="preserve">45679-999</t>
  </si>
  <si>
    <t xml:space="preserve">PAS0221</t>
  </si>
  <si>
    <t xml:space="preserve">BAIXA GRANDE</t>
  </si>
  <si>
    <t xml:space="preserve">44620-000</t>
  </si>
  <si>
    <t xml:space="preserve">44629-999</t>
  </si>
  <si>
    <t xml:space="preserve">PAS0222</t>
  </si>
  <si>
    <t xml:space="preserve">BARRA DA ESTIVA</t>
  </si>
  <si>
    <t xml:space="preserve">46650-000</t>
  </si>
  <si>
    <t xml:space="preserve">46669-999</t>
  </si>
  <si>
    <t xml:space="preserve">PAS0223</t>
  </si>
  <si>
    <t xml:space="preserve">BARRA DO CHOCA</t>
  </si>
  <si>
    <t xml:space="preserve">45120-000</t>
  </si>
  <si>
    <t xml:space="preserve">45129-999</t>
  </si>
  <si>
    <t xml:space="preserve">PAS0224</t>
  </si>
  <si>
    <t xml:space="preserve">BARRA DO MENDES</t>
  </si>
  <si>
    <t xml:space="preserve">44990-000</t>
  </si>
  <si>
    <t xml:space="preserve">44999-999</t>
  </si>
  <si>
    <t xml:space="preserve">PAS0225</t>
  </si>
  <si>
    <t xml:space="preserve">BARRA DO ROCHA</t>
  </si>
  <si>
    <t xml:space="preserve">45560-000</t>
  </si>
  <si>
    <t xml:space="preserve">45569-999</t>
  </si>
  <si>
    <t xml:space="preserve">PAS0226</t>
  </si>
  <si>
    <t xml:space="preserve">BARRO ALTO</t>
  </si>
  <si>
    <t xml:space="preserve">44895-000</t>
  </si>
  <si>
    <t xml:space="preserve">44899-999</t>
  </si>
  <si>
    <t xml:space="preserve">PAS0227</t>
  </si>
  <si>
    <t xml:space="preserve">BARRO PRETO</t>
  </si>
  <si>
    <t xml:space="preserve">45625-000</t>
  </si>
  <si>
    <t xml:space="preserve">45629-999</t>
  </si>
  <si>
    <t xml:space="preserve">PAS0228</t>
  </si>
  <si>
    <t xml:space="preserve">BARROCAS</t>
  </si>
  <si>
    <t xml:space="preserve">48705-000</t>
  </si>
  <si>
    <t xml:space="preserve">48709-999</t>
  </si>
  <si>
    <t xml:space="preserve">PAS0229</t>
  </si>
  <si>
    <t xml:space="preserve">BELMONTE</t>
  </si>
  <si>
    <t xml:space="preserve">45800-000</t>
  </si>
  <si>
    <t xml:space="preserve">45806-999</t>
  </si>
  <si>
    <t xml:space="preserve">PAS0230</t>
  </si>
  <si>
    <t xml:space="preserve">BELO CAMPO</t>
  </si>
  <si>
    <t xml:space="preserve">45160-000</t>
  </si>
  <si>
    <t xml:space="preserve">45169-999</t>
  </si>
  <si>
    <t xml:space="preserve">PAS0231</t>
  </si>
  <si>
    <t xml:space="preserve">BIRITINGA</t>
  </si>
  <si>
    <t xml:space="preserve">48780-000</t>
  </si>
  <si>
    <t xml:space="preserve">48789-999</t>
  </si>
  <si>
    <t xml:space="preserve">PAS0232</t>
  </si>
  <si>
    <t xml:space="preserve">BOA NOVA</t>
  </si>
  <si>
    <t xml:space="preserve">45250-000</t>
  </si>
  <si>
    <t xml:space="preserve">45254-999</t>
  </si>
  <si>
    <t xml:space="preserve">PAS0233</t>
  </si>
  <si>
    <t xml:space="preserve">BOA VISTA DO TUPIM</t>
  </si>
  <si>
    <t xml:space="preserve">46850-000</t>
  </si>
  <si>
    <t xml:space="preserve">46859-999</t>
  </si>
  <si>
    <t xml:space="preserve">PAS0234</t>
  </si>
  <si>
    <t xml:space="preserve">BOM JESUS DA LAPA</t>
  </si>
  <si>
    <t xml:space="preserve">47600-000</t>
  </si>
  <si>
    <t xml:space="preserve">47609-999</t>
  </si>
  <si>
    <t xml:space="preserve">PAS0235</t>
  </si>
  <si>
    <t xml:space="preserve">BONINAL</t>
  </si>
  <si>
    <t xml:space="preserve">46740-000</t>
  </si>
  <si>
    <t xml:space="preserve">46749-999</t>
  </si>
  <si>
    <t xml:space="preserve">PAS0236</t>
  </si>
  <si>
    <t xml:space="preserve">BONITO</t>
  </si>
  <si>
    <t xml:space="preserve">46820-000</t>
  </si>
  <si>
    <t xml:space="preserve">46824-999</t>
  </si>
  <si>
    <t xml:space="preserve">PAS0237</t>
  </si>
  <si>
    <t xml:space="preserve">BOQUIRA</t>
  </si>
  <si>
    <t xml:space="preserve">46530-000</t>
  </si>
  <si>
    <t xml:space="preserve">46539-999</t>
  </si>
  <si>
    <t xml:space="preserve">PAS0238</t>
  </si>
  <si>
    <t xml:space="preserve">BOTUPORA</t>
  </si>
  <si>
    <t xml:space="preserve">46570-000</t>
  </si>
  <si>
    <t xml:space="preserve">46574-999</t>
  </si>
  <si>
    <t xml:space="preserve">PAS0239</t>
  </si>
  <si>
    <t xml:space="preserve">BREJOES</t>
  </si>
  <si>
    <t xml:space="preserve">45325-000</t>
  </si>
  <si>
    <t xml:space="preserve">45329-999</t>
  </si>
  <si>
    <t xml:space="preserve">PAS0240</t>
  </si>
  <si>
    <t xml:space="preserve">BRUMADO</t>
  </si>
  <si>
    <t xml:space="preserve">46100-001</t>
  </si>
  <si>
    <t xml:space="preserve">46126-999</t>
  </si>
  <si>
    <t xml:space="preserve">PAS0241</t>
  </si>
  <si>
    <t xml:space="preserve">BUERAREMA</t>
  </si>
  <si>
    <t xml:space="preserve">45615-000</t>
  </si>
  <si>
    <t xml:space="preserve">45619-999</t>
  </si>
  <si>
    <t xml:space="preserve">PAS0242</t>
  </si>
  <si>
    <t xml:space="preserve">CAATIBA</t>
  </si>
  <si>
    <t xml:space="preserve">45130-000</t>
  </si>
  <si>
    <t xml:space="preserve">45139-999</t>
  </si>
  <si>
    <t xml:space="preserve">PAS0243</t>
  </si>
  <si>
    <t xml:space="preserve">CACULE</t>
  </si>
  <si>
    <t xml:space="preserve">46300-000</t>
  </si>
  <si>
    <t xml:space="preserve">46309-999</t>
  </si>
  <si>
    <t xml:space="preserve">PAS0244</t>
  </si>
  <si>
    <t xml:space="preserve">CAEM</t>
  </si>
  <si>
    <t xml:space="preserve">44730-000</t>
  </si>
  <si>
    <t xml:space="preserve">44739-999</t>
  </si>
  <si>
    <t xml:space="preserve">PAS0245</t>
  </si>
  <si>
    <t xml:space="preserve">CAETITE</t>
  </si>
  <si>
    <t xml:space="preserve">46400-000</t>
  </si>
  <si>
    <t xml:space="preserve">46424-999</t>
  </si>
  <si>
    <t xml:space="preserve">PAS0246</t>
  </si>
  <si>
    <t xml:space="preserve">CAFARNAUM</t>
  </si>
  <si>
    <t xml:space="preserve">44880-000</t>
  </si>
  <si>
    <t xml:space="preserve">44884-999</t>
  </si>
  <si>
    <t xml:space="preserve">PAS0247</t>
  </si>
  <si>
    <t xml:space="preserve">CAIRU</t>
  </si>
  <si>
    <t xml:space="preserve">45420-000</t>
  </si>
  <si>
    <t xml:space="preserve">45429-999</t>
  </si>
  <si>
    <t xml:space="preserve">PAS0248</t>
  </si>
  <si>
    <t xml:space="preserve">CALDEIRAO GRANDE</t>
  </si>
  <si>
    <t xml:space="preserve">44750-000</t>
  </si>
  <si>
    <t xml:space="preserve">44754-999</t>
  </si>
  <si>
    <t xml:space="preserve">PAS0249</t>
  </si>
  <si>
    <t xml:space="preserve">CAMACAN</t>
  </si>
  <si>
    <t xml:space="preserve">45880-000</t>
  </si>
  <si>
    <t xml:space="preserve">45889-999</t>
  </si>
  <si>
    <t xml:space="preserve">PAS0250</t>
  </si>
  <si>
    <t xml:space="preserve">CAMAMU</t>
  </si>
  <si>
    <t xml:space="preserve">45445-000</t>
  </si>
  <si>
    <t xml:space="preserve">45449-999</t>
  </si>
  <si>
    <t xml:space="preserve">PAS0251</t>
  </si>
  <si>
    <t xml:space="preserve">CAMPO FORMOSO</t>
  </si>
  <si>
    <t xml:space="preserve">44790-000</t>
  </si>
  <si>
    <t xml:space="preserve">44797-999</t>
  </si>
  <si>
    <t xml:space="preserve">PAS0252</t>
  </si>
  <si>
    <t xml:space="preserve">CANARANA</t>
  </si>
  <si>
    <t xml:space="preserve">44890-000</t>
  </si>
  <si>
    <t xml:space="preserve">44894-999</t>
  </si>
  <si>
    <t xml:space="preserve">PAS0253</t>
  </si>
  <si>
    <t xml:space="preserve">CANAVIEIRAS</t>
  </si>
  <si>
    <t xml:space="preserve">45860-000</t>
  </si>
  <si>
    <t xml:space="preserve">45864-999</t>
  </si>
  <si>
    <t xml:space="preserve">PAS0254</t>
  </si>
  <si>
    <t xml:space="preserve">CANDIBA</t>
  </si>
  <si>
    <t xml:space="preserve">46380-000</t>
  </si>
  <si>
    <t xml:space="preserve">46389-999</t>
  </si>
  <si>
    <t xml:space="preserve">PAS0255</t>
  </si>
  <si>
    <t xml:space="preserve">CANDIDO SALES</t>
  </si>
  <si>
    <t xml:space="preserve">45157-000</t>
  </si>
  <si>
    <t xml:space="preserve">45159-999</t>
  </si>
  <si>
    <t xml:space="preserve">PAS0256</t>
  </si>
  <si>
    <t xml:space="preserve">CANSANCAO</t>
  </si>
  <si>
    <t xml:space="preserve">48840-000</t>
  </si>
  <si>
    <t xml:space="preserve">48849-999</t>
  </si>
  <si>
    <t xml:space="preserve">PAS0257</t>
  </si>
  <si>
    <t xml:space="preserve">CANUDOS</t>
  </si>
  <si>
    <t xml:space="preserve">48520-000</t>
  </si>
  <si>
    <t xml:space="preserve">48539-999</t>
  </si>
  <si>
    <t xml:space="preserve">PAS0258</t>
  </si>
  <si>
    <t xml:space="preserve">CAPELA DO ALTO ALEGRE</t>
  </si>
  <si>
    <t xml:space="preserve">44645-000</t>
  </si>
  <si>
    <t xml:space="preserve">44649-999</t>
  </si>
  <si>
    <t xml:space="preserve">PAS0259</t>
  </si>
  <si>
    <t xml:space="preserve">CARAIBAS</t>
  </si>
  <si>
    <t xml:space="preserve">45177-000</t>
  </si>
  <si>
    <t xml:space="preserve">45179-999</t>
  </si>
  <si>
    <t xml:space="preserve">PAS0260</t>
  </si>
  <si>
    <t xml:space="preserve">CARAVELAS</t>
  </si>
  <si>
    <t xml:space="preserve">45900-000</t>
  </si>
  <si>
    <t xml:space="preserve">45909-999</t>
  </si>
  <si>
    <t xml:space="preserve">PAS0261</t>
  </si>
  <si>
    <t xml:space="preserve">CASTRO ALVES</t>
  </si>
  <si>
    <t xml:space="preserve">44500-000</t>
  </si>
  <si>
    <t xml:space="preserve">44519-999</t>
  </si>
  <si>
    <t xml:space="preserve">PAS0262</t>
  </si>
  <si>
    <t xml:space="preserve">CATOLANDIA</t>
  </si>
  <si>
    <t xml:space="preserve">47845-000</t>
  </si>
  <si>
    <t xml:space="preserve">47849-999</t>
  </si>
  <si>
    <t xml:space="preserve">PAS0263</t>
  </si>
  <si>
    <t xml:space="preserve">CATU</t>
  </si>
  <si>
    <t xml:space="preserve">48110-000</t>
  </si>
  <si>
    <t xml:space="preserve">48119-999</t>
  </si>
  <si>
    <t xml:space="preserve">PAS0264</t>
  </si>
  <si>
    <t xml:space="preserve">CATURAMA</t>
  </si>
  <si>
    <t xml:space="preserve">46575-000</t>
  </si>
  <si>
    <t xml:space="preserve">46579-999</t>
  </si>
  <si>
    <t xml:space="preserve">PAS0265</t>
  </si>
  <si>
    <t xml:space="preserve">COARACI</t>
  </si>
  <si>
    <t xml:space="preserve">45638-000</t>
  </si>
  <si>
    <t xml:space="preserve">45639-999</t>
  </si>
  <si>
    <t xml:space="preserve">PAS0266</t>
  </si>
  <si>
    <t xml:space="preserve">COCOS</t>
  </si>
  <si>
    <t xml:space="preserve">47680-000</t>
  </si>
  <si>
    <t xml:space="preserve">47689-999</t>
  </si>
  <si>
    <t xml:space="preserve">PAS0267</t>
  </si>
  <si>
    <t xml:space="preserve">CONDEUBA</t>
  </si>
  <si>
    <t xml:space="preserve">46200-000</t>
  </si>
  <si>
    <t xml:space="preserve">46204-999</t>
  </si>
  <si>
    <t xml:space="preserve">PAS0268</t>
  </si>
  <si>
    <t xml:space="preserve">CONTENDAS DO SINCORA</t>
  </si>
  <si>
    <t xml:space="preserve">46620-000</t>
  </si>
  <si>
    <t xml:space="preserve">46639-999</t>
  </si>
  <si>
    <t xml:space="preserve">PAS0269</t>
  </si>
  <si>
    <t xml:space="preserve">CORDEIROS</t>
  </si>
  <si>
    <t xml:space="preserve">46280-000</t>
  </si>
  <si>
    <t xml:space="preserve">46289-999</t>
  </si>
  <si>
    <t xml:space="preserve">PAS0270</t>
  </si>
  <si>
    <t xml:space="preserve">CORIBE</t>
  </si>
  <si>
    <t xml:space="preserve">47690-000</t>
  </si>
  <si>
    <t xml:space="preserve">47699-999</t>
  </si>
  <si>
    <t xml:space="preserve">PAS0271</t>
  </si>
  <si>
    <t xml:space="preserve">CORRENTINA</t>
  </si>
  <si>
    <t xml:space="preserve">47650-000</t>
  </si>
  <si>
    <t xml:space="preserve">47654-999</t>
  </si>
  <si>
    <t xml:space="preserve">PAS0272</t>
  </si>
  <si>
    <t xml:space="preserve">CRAVOLANDIA</t>
  </si>
  <si>
    <t xml:space="preserve">45330-000</t>
  </si>
  <si>
    <t xml:space="preserve">45339-999</t>
  </si>
  <si>
    <t xml:space="preserve">PAS0273</t>
  </si>
  <si>
    <t xml:space="preserve">DARIO MEIRA</t>
  </si>
  <si>
    <t xml:space="preserve">45590-000</t>
  </si>
  <si>
    <t xml:space="preserve">45599-999</t>
  </si>
  <si>
    <t xml:space="preserve">PAS0274</t>
  </si>
  <si>
    <t xml:space="preserve">DOM BASILIO</t>
  </si>
  <si>
    <t xml:space="preserve">46165-000</t>
  </si>
  <si>
    <t xml:space="preserve">46169-999</t>
  </si>
  <si>
    <t xml:space="preserve">PAS0275</t>
  </si>
  <si>
    <t xml:space="preserve">ELISIO MEDRADO</t>
  </si>
  <si>
    <t xml:space="preserve">45305-000</t>
  </si>
  <si>
    <t xml:space="preserve">45309-999</t>
  </si>
  <si>
    <t xml:space="preserve">PAS0276</t>
  </si>
  <si>
    <t xml:space="preserve">ENCRUZILHADA</t>
  </si>
  <si>
    <t xml:space="preserve">45150-000</t>
  </si>
  <si>
    <t xml:space="preserve">45154-999</t>
  </si>
  <si>
    <t xml:space="preserve">PAS0277</t>
  </si>
  <si>
    <t xml:space="preserve">ERICO CARDOSO</t>
  </si>
  <si>
    <t xml:space="preserve">46180-000</t>
  </si>
  <si>
    <t xml:space="preserve">46189-999</t>
  </si>
  <si>
    <t xml:space="preserve">PAS0278</t>
  </si>
  <si>
    <t xml:space="preserve">EUCLIDES DA CUNHA</t>
  </si>
  <si>
    <t xml:space="preserve">48500-000</t>
  </si>
  <si>
    <t xml:space="preserve">48519-999</t>
  </si>
  <si>
    <t xml:space="preserve">PAS0279</t>
  </si>
  <si>
    <t xml:space="preserve">EUNAPOLIS</t>
  </si>
  <si>
    <t xml:space="preserve">45820-001</t>
  </si>
  <si>
    <t xml:space="preserve">45833-999</t>
  </si>
  <si>
    <t xml:space="preserve">PAS0280</t>
  </si>
  <si>
    <t xml:space="preserve">FEIRA DA MATA</t>
  </si>
  <si>
    <t xml:space="preserve">46446-000</t>
  </si>
  <si>
    <t xml:space="preserve">46449-999</t>
  </si>
  <si>
    <t xml:space="preserve">PAS0281</t>
  </si>
  <si>
    <t xml:space="preserve">FILADELFIA</t>
  </si>
  <si>
    <t xml:space="preserve">44775-000</t>
  </si>
  <si>
    <t xml:space="preserve">44779-999</t>
  </si>
  <si>
    <t xml:space="preserve">PAS0282</t>
  </si>
  <si>
    <t xml:space="preserve">FIRMINO ALVES</t>
  </si>
  <si>
    <t xml:space="preserve">45720-000</t>
  </si>
  <si>
    <t xml:space="preserve">45724-999</t>
  </si>
  <si>
    <t xml:space="preserve">PAS0283</t>
  </si>
  <si>
    <t xml:space="preserve">FLORESTA AZUL</t>
  </si>
  <si>
    <t xml:space="preserve">45740-000</t>
  </si>
  <si>
    <t xml:space="preserve">45744-999</t>
  </si>
  <si>
    <t xml:space="preserve">PAS0284</t>
  </si>
  <si>
    <t xml:space="preserve">GANDU</t>
  </si>
  <si>
    <t xml:space="preserve">45450-000</t>
  </si>
  <si>
    <t xml:space="preserve">45451-999</t>
  </si>
  <si>
    <t xml:space="preserve">PAS0285</t>
  </si>
  <si>
    <t xml:space="preserve">GAVIAO</t>
  </si>
  <si>
    <t xml:space="preserve">44650-000</t>
  </si>
  <si>
    <t xml:space="preserve">44654-999</t>
  </si>
  <si>
    <t xml:space="preserve">PAS0286</t>
  </si>
  <si>
    <t xml:space="preserve">GONGOGI</t>
  </si>
  <si>
    <t xml:space="preserve">45540-000</t>
  </si>
  <si>
    <t xml:space="preserve">45544-999</t>
  </si>
  <si>
    <t xml:space="preserve">PAS0287</t>
  </si>
  <si>
    <t xml:space="preserve">GOVERNADOR MANGABEIRA</t>
  </si>
  <si>
    <t xml:space="preserve">44350-000</t>
  </si>
  <si>
    <t xml:space="preserve">44359-999</t>
  </si>
  <si>
    <t xml:space="preserve">PAS0288</t>
  </si>
  <si>
    <t xml:space="preserve">GUAJERU</t>
  </si>
  <si>
    <t xml:space="preserve">46205-000</t>
  </si>
  <si>
    <t xml:space="preserve">46219-999</t>
  </si>
  <si>
    <t xml:space="preserve">PAS0289</t>
  </si>
  <si>
    <t xml:space="preserve">GUANAMBI</t>
  </si>
  <si>
    <t xml:space="preserve">46430-000</t>
  </si>
  <si>
    <t xml:space="preserve">46437-999</t>
  </si>
  <si>
    <t xml:space="preserve">PAS0290</t>
  </si>
  <si>
    <t xml:space="preserve">GUARATINGA</t>
  </si>
  <si>
    <t xml:space="preserve">45840-000</t>
  </si>
  <si>
    <t xml:space="preserve">45847-999</t>
  </si>
  <si>
    <t xml:space="preserve">PAS0291</t>
  </si>
  <si>
    <t xml:space="preserve">IACU</t>
  </si>
  <si>
    <t xml:space="preserve">46860-000</t>
  </si>
  <si>
    <t xml:space="preserve">46874-999</t>
  </si>
  <si>
    <t xml:space="preserve">PAS0292</t>
  </si>
  <si>
    <t xml:space="preserve">IBIASSUCE</t>
  </si>
  <si>
    <t xml:space="preserve">46390-000</t>
  </si>
  <si>
    <t xml:space="preserve">46399-999</t>
  </si>
  <si>
    <t xml:space="preserve">PAS0293</t>
  </si>
  <si>
    <t xml:space="preserve">IBICARAI</t>
  </si>
  <si>
    <t xml:space="preserve">45745-000</t>
  </si>
  <si>
    <t xml:space="preserve">45749-999</t>
  </si>
  <si>
    <t xml:space="preserve">PAS0294</t>
  </si>
  <si>
    <t xml:space="preserve">IBICOARA</t>
  </si>
  <si>
    <t xml:space="preserve">46760-000</t>
  </si>
  <si>
    <t xml:space="preserve">46764-999</t>
  </si>
  <si>
    <t xml:space="preserve">PAS0295</t>
  </si>
  <si>
    <t xml:space="preserve">IBICUI</t>
  </si>
  <si>
    <t xml:space="preserve">45290-000</t>
  </si>
  <si>
    <t xml:space="preserve">45299-999</t>
  </si>
  <si>
    <t xml:space="preserve">PAS0296</t>
  </si>
  <si>
    <t xml:space="preserve">IBIPEBA</t>
  </si>
  <si>
    <t xml:space="preserve">44970-000</t>
  </si>
  <si>
    <t xml:space="preserve">44989-999</t>
  </si>
  <si>
    <t xml:space="preserve">PAS0297</t>
  </si>
  <si>
    <t xml:space="preserve">IBIPITANGA</t>
  </si>
  <si>
    <t xml:space="preserve">46540-000</t>
  </si>
  <si>
    <t xml:space="preserve">46549-999</t>
  </si>
  <si>
    <t xml:space="preserve">PAS0298</t>
  </si>
  <si>
    <t xml:space="preserve">IBIQUERA</t>
  </si>
  <si>
    <t xml:space="preserve">46840-000</t>
  </si>
  <si>
    <t xml:space="preserve">46849-999</t>
  </si>
  <si>
    <t xml:space="preserve">PAS0299</t>
  </si>
  <si>
    <t xml:space="preserve">IBIRAPITANGA</t>
  </si>
  <si>
    <t xml:space="preserve">45500-000</t>
  </si>
  <si>
    <t xml:space="preserve">45519-999</t>
  </si>
  <si>
    <t xml:space="preserve">PAS0300</t>
  </si>
  <si>
    <t xml:space="preserve">IBIRAPUA</t>
  </si>
  <si>
    <t xml:space="preserve">45940-000</t>
  </si>
  <si>
    <t xml:space="preserve">45949-999</t>
  </si>
  <si>
    <t xml:space="preserve">PAS0301</t>
  </si>
  <si>
    <t xml:space="preserve">IBIRATAIA</t>
  </si>
  <si>
    <t xml:space="preserve">45580-000</t>
  </si>
  <si>
    <t xml:space="preserve">45584-999</t>
  </si>
  <si>
    <t xml:space="preserve">PAS0302</t>
  </si>
  <si>
    <t xml:space="preserve">IBITIARA</t>
  </si>
  <si>
    <t xml:space="preserve">46700-000</t>
  </si>
  <si>
    <t xml:space="preserve">46729-999</t>
  </si>
  <si>
    <t xml:space="preserve">PAS0303</t>
  </si>
  <si>
    <t xml:space="preserve">IBITITA</t>
  </si>
  <si>
    <t xml:space="preserve">44960-000</t>
  </si>
  <si>
    <t xml:space="preserve">44969-999</t>
  </si>
  <si>
    <t xml:space="preserve">PAS0304</t>
  </si>
  <si>
    <t xml:space="preserve">IGAPORA</t>
  </si>
  <si>
    <t xml:space="preserve">46490-000</t>
  </si>
  <si>
    <t xml:space="preserve">46499-999</t>
  </si>
  <si>
    <t xml:space="preserve">PAS0305</t>
  </si>
  <si>
    <t xml:space="preserve">IGRAPIUNA</t>
  </si>
  <si>
    <t xml:space="preserve">45443-000</t>
  </si>
  <si>
    <t xml:space="preserve">45444-999</t>
  </si>
  <si>
    <t xml:space="preserve">PAS0306</t>
  </si>
  <si>
    <t xml:space="preserve">IGUAI</t>
  </si>
  <si>
    <t xml:space="preserve">45280-000</t>
  </si>
  <si>
    <t xml:space="preserve">45289-999</t>
  </si>
  <si>
    <t xml:space="preserve">PAS0307</t>
  </si>
  <si>
    <t xml:space="preserve">45650-001</t>
  </si>
  <si>
    <t xml:space="preserve">45674-999</t>
  </si>
  <si>
    <t xml:space="preserve">PAS0308</t>
  </si>
  <si>
    <t xml:space="preserve">IPIAU</t>
  </si>
  <si>
    <t xml:space="preserve">45570-000</t>
  </si>
  <si>
    <t xml:space="preserve">45579-999</t>
  </si>
  <si>
    <t xml:space="preserve">PAS0309</t>
  </si>
  <si>
    <t xml:space="preserve">IRAJUBA</t>
  </si>
  <si>
    <t xml:space="preserve">45370-000</t>
  </si>
  <si>
    <t xml:space="preserve">45374-999</t>
  </si>
  <si>
    <t xml:space="preserve">PAS0310</t>
  </si>
  <si>
    <t xml:space="preserve">IRAMAIA</t>
  </si>
  <si>
    <t xml:space="preserve">46770-000</t>
  </si>
  <si>
    <t xml:space="preserve">46779-999</t>
  </si>
  <si>
    <t xml:space="preserve">PAS0311</t>
  </si>
  <si>
    <t xml:space="preserve">IRECE</t>
  </si>
  <si>
    <t xml:space="preserve">44860-000</t>
  </si>
  <si>
    <t xml:space="preserve">44879-999</t>
  </si>
  <si>
    <t xml:space="preserve">PAS0312</t>
  </si>
  <si>
    <t xml:space="preserve">ITABELA</t>
  </si>
  <si>
    <t xml:space="preserve">45848-000</t>
  </si>
  <si>
    <t xml:space="preserve">45849-999</t>
  </si>
  <si>
    <t xml:space="preserve">PAS0313</t>
  </si>
  <si>
    <t xml:space="preserve">ITABERABA</t>
  </si>
  <si>
    <t xml:space="preserve">46880-000</t>
  </si>
  <si>
    <t xml:space="preserve">46899-999</t>
  </si>
  <si>
    <t xml:space="preserve">PAS0314</t>
  </si>
  <si>
    <t xml:space="preserve">45600-001</t>
  </si>
  <si>
    <t xml:space="preserve">45614-999</t>
  </si>
  <si>
    <t xml:space="preserve">PAS0315</t>
  </si>
  <si>
    <t xml:space="preserve">ITACARE</t>
  </si>
  <si>
    <t xml:space="preserve">45530-000</t>
  </si>
  <si>
    <t xml:space="preserve">45539-999</t>
  </si>
  <si>
    <t xml:space="preserve">PAS0316</t>
  </si>
  <si>
    <t xml:space="preserve">ITAETE</t>
  </si>
  <si>
    <t xml:space="preserve">46790-000</t>
  </si>
  <si>
    <t xml:space="preserve">46799-999</t>
  </si>
  <si>
    <t xml:space="preserve">PAS0317</t>
  </si>
  <si>
    <t xml:space="preserve">ITAGI</t>
  </si>
  <si>
    <t xml:space="preserve">45230-000</t>
  </si>
  <si>
    <t xml:space="preserve">45239-999</t>
  </si>
  <si>
    <t xml:space="preserve">PAS0318</t>
  </si>
  <si>
    <t xml:space="preserve">ITAGIBA</t>
  </si>
  <si>
    <t xml:space="preserve">45585-000</t>
  </si>
  <si>
    <t xml:space="preserve">45589-999</t>
  </si>
  <si>
    <t xml:space="preserve">PAS0319</t>
  </si>
  <si>
    <t xml:space="preserve">ITAGIMIRIM</t>
  </si>
  <si>
    <t xml:space="preserve">45850-000</t>
  </si>
  <si>
    <t xml:space="preserve">45854-999</t>
  </si>
  <si>
    <t xml:space="preserve">PAS0320</t>
  </si>
  <si>
    <t xml:space="preserve">ITAJU DO COLONIA</t>
  </si>
  <si>
    <t xml:space="preserve">45730-000</t>
  </si>
  <si>
    <t xml:space="preserve">45739-999</t>
  </si>
  <si>
    <t xml:space="preserve">PAS0321</t>
  </si>
  <si>
    <t xml:space="preserve">ITAJUIPE</t>
  </si>
  <si>
    <t xml:space="preserve">45630-000</t>
  </si>
  <si>
    <t xml:space="preserve">45637-999</t>
  </si>
  <si>
    <t xml:space="preserve">PAS0322</t>
  </si>
  <si>
    <t xml:space="preserve">ITAMARAJU</t>
  </si>
  <si>
    <t xml:space="preserve">45836-000</t>
  </si>
  <si>
    <t xml:space="preserve">45839-999</t>
  </si>
  <si>
    <t xml:space="preserve">PAS0323</t>
  </si>
  <si>
    <t xml:space="preserve">ITAMARI</t>
  </si>
  <si>
    <t xml:space="preserve">45455-000</t>
  </si>
  <si>
    <t xml:space="preserve">45459-999</t>
  </si>
  <si>
    <t xml:space="preserve">PAS0324</t>
  </si>
  <si>
    <t xml:space="preserve">ITAMBE</t>
  </si>
  <si>
    <t xml:space="preserve">45140-000</t>
  </si>
  <si>
    <t xml:space="preserve">45149-999</t>
  </si>
  <si>
    <t xml:space="preserve">PAS0325</t>
  </si>
  <si>
    <t xml:space="preserve">ITANAGRA</t>
  </si>
  <si>
    <t xml:space="preserve">48290-000</t>
  </si>
  <si>
    <t xml:space="preserve">48299-999</t>
  </si>
  <si>
    <t xml:space="preserve">PAS0326</t>
  </si>
  <si>
    <t xml:space="preserve">ITANHEM</t>
  </si>
  <si>
    <t xml:space="preserve">45970-000</t>
  </si>
  <si>
    <t xml:space="preserve">45979-999</t>
  </si>
  <si>
    <t xml:space="preserve">PAS0327</t>
  </si>
  <si>
    <t xml:space="preserve">ITAPARICA</t>
  </si>
  <si>
    <t xml:space="preserve">44460-000</t>
  </si>
  <si>
    <t xml:space="preserve">44469-999</t>
  </si>
  <si>
    <t xml:space="preserve">PAS0328</t>
  </si>
  <si>
    <t xml:space="preserve">ITAPE</t>
  </si>
  <si>
    <t xml:space="preserve">45750-000</t>
  </si>
  <si>
    <t xml:space="preserve">45759-999</t>
  </si>
  <si>
    <t xml:space="preserve">PAS0329</t>
  </si>
  <si>
    <t xml:space="preserve">ITAPETINGA</t>
  </si>
  <si>
    <t xml:space="preserve">45700-000</t>
  </si>
  <si>
    <t xml:space="preserve">45709-999</t>
  </si>
  <si>
    <t xml:space="preserve">PAS0330</t>
  </si>
  <si>
    <t xml:space="preserve">ITAPITANGA</t>
  </si>
  <si>
    <t xml:space="preserve">45645-000</t>
  </si>
  <si>
    <t xml:space="preserve">45649-999</t>
  </si>
  <si>
    <t xml:space="preserve">PAS0331</t>
  </si>
  <si>
    <t xml:space="preserve">ITAQUARA</t>
  </si>
  <si>
    <t xml:space="preserve">45340-000</t>
  </si>
  <si>
    <t xml:space="preserve">45344-999</t>
  </si>
  <si>
    <t xml:space="preserve">PAS0332</t>
  </si>
  <si>
    <t xml:space="preserve">ITARANTIM</t>
  </si>
  <si>
    <t xml:space="preserve">45780-000</t>
  </si>
  <si>
    <t xml:space="preserve">45789-999</t>
  </si>
  <si>
    <t xml:space="preserve">PAS0333</t>
  </si>
  <si>
    <t xml:space="preserve">ITIRUCU</t>
  </si>
  <si>
    <t xml:space="preserve">45350-000</t>
  </si>
  <si>
    <t xml:space="preserve">45354-999</t>
  </si>
  <si>
    <t xml:space="preserve">PAS0334</t>
  </si>
  <si>
    <t xml:space="preserve">ITIUBA</t>
  </si>
  <si>
    <t xml:space="preserve">48850-000</t>
  </si>
  <si>
    <t xml:space="preserve">48859-999</t>
  </si>
  <si>
    <t xml:space="preserve">PAS0335</t>
  </si>
  <si>
    <t xml:space="preserve">ITORORO</t>
  </si>
  <si>
    <t xml:space="preserve">45710-000</t>
  </si>
  <si>
    <t xml:space="preserve">45719-999</t>
  </si>
  <si>
    <t xml:space="preserve">PAS0336</t>
  </si>
  <si>
    <t xml:space="preserve">ITUACU</t>
  </si>
  <si>
    <t xml:space="preserve">46640-000</t>
  </si>
  <si>
    <t xml:space="preserve">46649-999</t>
  </si>
  <si>
    <t xml:space="preserve">PAS0337</t>
  </si>
  <si>
    <t xml:space="preserve">ITUBERA</t>
  </si>
  <si>
    <t xml:space="preserve">45435-000</t>
  </si>
  <si>
    <t xml:space="preserve">45435-999</t>
  </si>
  <si>
    <t xml:space="preserve">PAS0338</t>
  </si>
  <si>
    <t xml:space="preserve">JABORANDI</t>
  </si>
  <si>
    <t xml:space="preserve">47655-000</t>
  </si>
  <si>
    <t xml:space="preserve">47664-999</t>
  </si>
  <si>
    <t xml:space="preserve">PAS0339</t>
  </si>
  <si>
    <t xml:space="preserve">JACARACI</t>
  </si>
  <si>
    <t xml:space="preserve">46310-000</t>
  </si>
  <si>
    <t xml:space="preserve">46329-999</t>
  </si>
  <si>
    <t xml:space="preserve">PAS0340</t>
  </si>
  <si>
    <t xml:space="preserve">JACOBINA</t>
  </si>
  <si>
    <t xml:space="preserve">44700-000</t>
  </si>
  <si>
    <t xml:space="preserve">44709-999</t>
  </si>
  <si>
    <t xml:space="preserve">PAS0341</t>
  </si>
  <si>
    <t xml:space="preserve">JAGUAQUARA</t>
  </si>
  <si>
    <t xml:space="preserve">45345-000</t>
  </si>
  <si>
    <t xml:space="preserve">45349-999</t>
  </si>
  <si>
    <t xml:space="preserve">PAS0342</t>
  </si>
  <si>
    <t xml:space="preserve">JAGUARARI</t>
  </si>
  <si>
    <t xml:space="preserve">48960-000</t>
  </si>
  <si>
    <t xml:space="preserve">48969-999</t>
  </si>
  <si>
    <t xml:space="preserve">PAS0343</t>
  </si>
  <si>
    <t xml:space="preserve">JAGUARIPE</t>
  </si>
  <si>
    <t xml:space="preserve">44480-000</t>
  </si>
  <si>
    <t xml:space="preserve">44489-999</t>
  </si>
  <si>
    <t xml:space="preserve">PAS0344</t>
  </si>
  <si>
    <t xml:space="preserve">JEQUIE</t>
  </si>
  <si>
    <t xml:space="preserve">45200-001</t>
  </si>
  <si>
    <t xml:space="preserve">45214-999</t>
  </si>
  <si>
    <t xml:space="preserve">PAS0345</t>
  </si>
  <si>
    <t xml:space="preserve">JIQUIRICA</t>
  </si>
  <si>
    <t xml:space="preserve">45470-000</t>
  </si>
  <si>
    <t xml:space="preserve">45479-999</t>
  </si>
  <si>
    <t xml:space="preserve">PAS0346</t>
  </si>
  <si>
    <t xml:space="preserve">JITAUNA</t>
  </si>
  <si>
    <t xml:space="preserve">45225-000</t>
  </si>
  <si>
    <t xml:space="preserve">45229-999</t>
  </si>
  <si>
    <t xml:space="preserve">PAS0347</t>
  </si>
  <si>
    <t xml:space="preserve">JOAO DOURADO</t>
  </si>
  <si>
    <t xml:space="preserve">44920-000</t>
  </si>
  <si>
    <t xml:space="preserve">44924-999</t>
  </si>
  <si>
    <t xml:space="preserve">PAS0348</t>
  </si>
  <si>
    <t xml:space="preserve">48900-001</t>
  </si>
  <si>
    <t xml:space="preserve">48924-999</t>
  </si>
  <si>
    <t xml:space="preserve">PAS0349</t>
  </si>
  <si>
    <t xml:space="preserve">JUCURUCU</t>
  </si>
  <si>
    <t xml:space="preserve">45834-000</t>
  </si>
  <si>
    <t xml:space="preserve">45835-999</t>
  </si>
  <si>
    <t xml:space="preserve">PAS0350</t>
  </si>
  <si>
    <t xml:space="preserve">JUSSARI</t>
  </si>
  <si>
    <t xml:space="preserve">45622-000</t>
  </si>
  <si>
    <t xml:space="preserve">45624-999</t>
  </si>
  <si>
    <t xml:space="preserve">PAS0351</t>
  </si>
  <si>
    <t xml:space="preserve">JUSSIAPE</t>
  </si>
  <si>
    <t xml:space="preserve">46670-000</t>
  </si>
  <si>
    <t xml:space="preserve">46689-999</t>
  </si>
  <si>
    <t xml:space="preserve">PAS0352</t>
  </si>
  <si>
    <t xml:space="preserve">LAFAIETE COUTINHO</t>
  </si>
  <si>
    <t xml:space="preserve">45215-000</t>
  </si>
  <si>
    <t xml:space="preserve">45219-999</t>
  </si>
  <si>
    <t xml:space="preserve">PAS0353</t>
  </si>
  <si>
    <t xml:space="preserve">LAGOA REAL</t>
  </si>
  <si>
    <t xml:space="preserve">46425-000</t>
  </si>
  <si>
    <t xml:space="preserve">46429-999</t>
  </si>
  <si>
    <t xml:space="preserve">PAS0354</t>
  </si>
  <si>
    <t xml:space="preserve">LAJE</t>
  </si>
  <si>
    <t xml:space="preserve">45490-000</t>
  </si>
  <si>
    <t xml:space="preserve">45499-999</t>
  </si>
  <si>
    <t xml:space="preserve">PAS0355</t>
  </si>
  <si>
    <t xml:space="preserve">LAJEDAO</t>
  </si>
  <si>
    <t xml:space="preserve">45950-000</t>
  </si>
  <si>
    <t xml:space="preserve">45954-999</t>
  </si>
  <si>
    <t xml:space="preserve">PAS0356</t>
  </si>
  <si>
    <t xml:space="preserve">LAJEDINHO</t>
  </si>
  <si>
    <t xml:space="preserve">46825-000</t>
  </si>
  <si>
    <t xml:space="preserve">46829-999</t>
  </si>
  <si>
    <t xml:space="preserve">PAS0357</t>
  </si>
  <si>
    <t xml:space="preserve">LAJEDO DO TABOCAL</t>
  </si>
  <si>
    <t xml:space="preserve">45365-000</t>
  </si>
  <si>
    <t xml:space="preserve">45369-999</t>
  </si>
  <si>
    <t xml:space="preserve">PAS0358</t>
  </si>
  <si>
    <t xml:space="preserve">LAMARAO</t>
  </si>
  <si>
    <t xml:space="preserve">48720-000</t>
  </si>
  <si>
    <t xml:space="preserve">48724-999</t>
  </si>
  <si>
    <t xml:space="preserve">PAS0359</t>
  </si>
  <si>
    <t xml:space="preserve">LAPAO</t>
  </si>
  <si>
    <t xml:space="preserve">44905-000</t>
  </si>
  <si>
    <t xml:space="preserve">44909-999</t>
  </si>
  <si>
    <t xml:space="preserve">PAS0360</t>
  </si>
  <si>
    <t xml:space="preserve">LENCOIS</t>
  </si>
  <si>
    <t xml:space="preserve">46960-000</t>
  </si>
  <si>
    <t xml:space="preserve">46969-999</t>
  </si>
  <si>
    <t xml:space="preserve">PAS0361</t>
  </si>
  <si>
    <t xml:space="preserve">LICINIO DE ALMEIDA</t>
  </si>
  <si>
    <t xml:space="preserve">46330-000</t>
  </si>
  <si>
    <t xml:space="preserve">46349-999</t>
  </si>
  <si>
    <t xml:space="preserve">PAS0362</t>
  </si>
  <si>
    <t xml:space="preserve">LIVRAMENTO DE NOSSA SENHORA</t>
  </si>
  <si>
    <t xml:space="preserve">46140-000</t>
  </si>
  <si>
    <t xml:space="preserve">46164-999</t>
  </si>
  <si>
    <t xml:space="preserve">PAS0363</t>
  </si>
  <si>
    <t xml:space="preserve">MACAJUBA</t>
  </si>
  <si>
    <t xml:space="preserve">46805-000</t>
  </si>
  <si>
    <t xml:space="preserve">46809-999</t>
  </si>
  <si>
    <t xml:space="preserve">PAS0364</t>
  </si>
  <si>
    <t xml:space="preserve">MACARANI</t>
  </si>
  <si>
    <t xml:space="preserve">45760-000</t>
  </si>
  <si>
    <t xml:space="preserve">45769-999</t>
  </si>
  <si>
    <t xml:space="preserve">PAS0365</t>
  </si>
  <si>
    <t xml:space="preserve">MACAUBAS</t>
  </si>
  <si>
    <t xml:space="preserve">46500-000</t>
  </si>
  <si>
    <t xml:space="preserve">46529-999</t>
  </si>
  <si>
    <t xml:space="preserve">PAS0366</t>
  </si>
  <si>
    <t xml:space="preserve">MAETINGA</t>
  </si>
  <si>
    <t xml:space="preserve">46255-000</t>
  </si>
  <si>
    <t xml:space="preserve">46269-999</t>
  </si>
  <si>
    <t xml:space="preserve">PAS0367</t>
  </si>
  <si>
    <t xml:space="preserve">MALHADA</t>
  </si>
  <si>
    <t xml:space="preserve">46440-000</t>
  </si>
  <si>
    <t xml:space="preserve">46444-999</t>
  </si>
  <si>
    <t xml:space="preserve">PAS0368</t>
  </si>
  <si>
    <t xml:space="preserve">MALHADA DE PEDRAS</t>
  </si>
  <si>
    <t xml:space="preserve">46127-000</t>
  </si>
  <si>
    <t xml:space="preserve">46129-999</t>
  </si>
  <si>
    <t xml:space="preserve">PAS0369</t>
  </si>
  <si>
    <t xml:space="preserve">MANOEL VITORINO</t>
  </si>
  <si>
    <t xml:space="preserve">45240-000</t>
  </si>
  <si>
    <t xml:space="preserve">45249-999</t>
  </si>
  <si>
    <t xml:space="preserve">PAS0370</t>
  </si>
  <si>
    <t xml:space="preserve">MARACAS</t>
  </si>
  <si>
    <t xml:space="preserve">45360-000</t>
  </si>
  <si>
    <t xml:space="preserve">45364-999</t>
  </si>
  <si>
    <t xml:space="preserve">PAS0371</t>
  </si>
  <si>
    <t xml:space="preserve">MARAU</t>
  </si>
  <si>
    <t xml:space="preserve">45520-000</t>
  </si>
  <si>
    <t xml:space="preserve">45529-999</t>
  </si>
  <si>
    <t xml:space="preserve">PAS0372</t>
  </si>
  <si>
    <t xml:space="preserve">MARCIONILIO SOUZA</t>
  </si>
  <si>
    <t xml:space="preserve">46780-000</t>
  </si>
  <si>
    <t xml:space="preserve">46789-999</t>
  </si>
  <si>
    <t xml:space="preserve">PAS0373</t>
  </si>
  <si>
    <t xml:space="preserve">MASCOTE</t>
  </si>
  <si>
    <t xml:space="preserve">45870-000</t>
  </si>
  <si>
    <t xml:space="preserve">45879-999</t>
  </si>
  <si>
    <t xml:space="preserve">PAS0374</t>
  </si>
  <si>
    <t xml:space="preserve">MATINA</t>
  </si>
  <si>
    <t xml:space="preserve">46480-000</t>
  </si>
  <si>
    <t xml:space="preserve">46489-999</t>
  </si>
  <si>
    <t xml:space="preserve">PAS0375</t>
  </si>
  <si>
    <t xml:space="preserve">MEDEIROS NETO</t>
  </si>
  <si>
    <t xml:space="preserve">45960-000</t>
  </si>
  <si>
    <t xml:space="preserve">45969-999</t>
  </si>
  <si>
    <t xml:space="preserve">PAS0376</t>
  </si>
  <si>
    <t xml:space="preserve">MIGUEL CALMON</t>
  </si>
  <si>
    <t xml:space="preserve">44720-000</t>
  </si>
  <si>
    <t xml:space="preserve">44729-999</t>
  </si>
  <si>
    <t xml:space="preserve">PAS0377</t>
  </si>
  <si>
    <t xml:space="preserve">MILAGRES</t>
  </si>
  <si>
    <t xml:space="preserve">45315-000</t>
  </si>
  <si>
    <t xml:space="preserve">45319-999</t>
  </si>
  <si>
    <t xml:space="preserve">PAS0378</t>
  </si>
  <si>
    <t xml:space="preserve">MIRANGABA</t>
  </si>
  <si>
    <t xml:space="preserve">44745-000</t>
  </si>
  <si>
    <t xml:space="preserve">44749-999</t>
  </si>
  <si>
    <t xml:space="preserve">PAS0379</t>
  </si>
  <si>
    <t xml:space="preserve">MIRANTE</t>
  </si>
  <si>
    <t xml:space="preserve">45255-000</t>
  </si>
  <si>
    <t xml:space="preserve">45255-999</t>
  </si>
  <si>
    <t xml:space="preserve">PAS0380</t>
  </si>
  <si>
    <t xml:space="preserve">MONTE SANTO</t>
  </si>
  <si>
    <t xml:space="preserve">48800-000</t>
  </si>
  <si>
    <t xml:space="preserve">48829-999</t>
  </si>
  <si>
    <t xml:space="preserve">PAS0381</t>
  </si>
  <si>
    <t xml:space="preserve">MORPARA</t>
  </si>
  <si>
    <t xml:space="preserve">47580-000</t>
  </si>
  <si>
    <t xml:space="preserve">47589-999</t>
  </si>
  <si>
    <t xml:space="preserve">PAS0382</t>
  </si>
  <si>
    <t xml:space="preserve">MORRO DO CHAPEU</t>
  </si>
  <si>
    <t xml:space="preserve">44850-000</t>
  </si>
  <si>
    <t xml:space="preserve">44859-999</t>
  </si>
  <si>
    <t xml:space="preserve">PAS0383</t>
  </si>
  <si>
    <t xml:space="preserve">MUCUGE</t>
  </si>
  <si>
    <t xml:space="preserve">46750-000</t>
  </si>
  <si>
    <t xml:space="preserve">46759-999</t>
  </si>
  <si>
    <t xml:space="preserve">PAS0384</t>
  </si>
  <si>
    <t xml:space="preserve">MUCURI</t>
  </si>
  <si>
    <t xml:space="preserve">45930-000</t>
  </si>
  <si>
    <t xml:space="preserve">45939-999</t>
  </si>
  <si>
    <t xml:space="preserve">PAS0385</t>
  </si>
  <si>
    <t xml:space="preserve">MULUNGU DO MORRO</t>
  </si>
  <si>
    <t xml:space="preserve">44885-000</t>
  </si>
  <si>
    <t xml:space="preserve">44889-999</t>
  </si>
  <si>
    <t xml:space="preserve">PAS0386</t>
  </si>
  <si>
    <t xml:space="preserve">NILO PECANHA</t>
  </si>
  <si>
    <t xml:space="preserve">45440-000</t>
  </si>
  <si>
    <t xml:space="preserve">45442-999</t>
  </si>
  <si>
    <t xml:space="preserve">PAS0387</t>
  </si>
  <si>
    <t xml:space="preserve">NORDESTINA</t>
  </si>
  <si>
    <t xml:space="preserve">48870-000</t>
  </si>
  <si>
    <t xml:space="preserve">48879-999</t>
  </si>
  <si>
    <t xml:space="preserve">PAS0388</t>
  </si>
  <si>
    <t xml:space="preserve">NOVA CANAA</t>
  </si>
  <si>
    <t xml:space="preserve">45270-000</t>
  </si>
  <si>
    <t xml:space="preserve">45279-999</t>
  </si>
  <si>
    <t xml:space="preserve">PAS0389</t>
  </si>
  <si>
    <t xml:space="preserve">NOVA IBIA</t>
  </si>
  <si>
    <t xml:space="preserve">45452-000</t>
  </si>
  <si>
    <t xml:space="preserve">45454-999</t>
  </si>
  <si>
    <t xml:space="preserve">PAS0390</t>
  </si>
  <si>
    <t xml:space="preserve">NOVA ITARANA</t>
  </si>
  <si>
    <t xml:space="preserve">45390-000</t>
  </si>
  <si>
    <t xml:space="preserve">45399-999</t>
  </si>
  <si>
    <t xml:space="preserve">PAS0391</t>
  </si>
  <si>
    <t xml:space="preserve">NOVA REDENCAO</t>
  </si>
  <si>
    <t xml:space="preserve">46835-000</t>
  </si>
  <si>
    <t xml:space="preserve">46839-999</t>
  </si>
  <si>
    <t xml:space="preserve">PAS0392</t>
  </si>
  <si>
    <t xml:space="preserve">NOVA VICOSA</t>
  </si>
  <si>
    <t xml:space="preserve">45920-000</t>
  </si>
  <si>
    <t xml:space="preserve">45929-999</t>
  </si>
  <si>
    <t xml:space="preserve">PAS0393</t>
  </si>
  <si>
    <t xml:space="preserve">NOVO HORIZONTE</t>
  </si>
  <si>
    <t xml:space="preserve">46730-000</t>
  </si>
  <si>
    <t xml:space="preserve">46739-999</t>
  </si>
  <si>
    <t xml:space="preserve">PAS0394</t>
  </si>
  <si>
    <t xml:space="preserve">OUROLANDIA</t>
  </si>
  <si>
    <t xml:space="preserve">44718-000</t>
  </si>
  <si>
    <t xml:space="preserve">44719-999</t>
  </si>
  <si>
    <t xml:space="preserve">PAS0395</t>
  </si>
  <si>
    <t xml:space="preserve">PALMEIRAS</t>
  </si>
  <si>
    <t xml:space="preserve">46930-000</t>
  </si>
  <si>
    <t xml:space="preserve">46959-999</t>
  </si>
  <si>
    <t xml:space="preserve">PAS0396</t>
  </si>
  <si>
    <t xml:space="preserve">PAU BRASIL</t>
  </si>
  <si>
    <t xml:space="preserve">45890-000</t>
  </si>
  <si>
    <t xml:space="preserve">45899-999</t>
  </si>
  <si>
    <t xml:space="preserve">PAS0397</t>
  </si>
  <si>
    <t xml:space="preserve">PIATA</t>
  </si>
  <si>
    <t xml:space="preserve">46765-000</t>
  </si>
  <si>
    <t xml:space="preserve">46769-999</t>
  </si>
  <si>
    <t xml:space="preserve">PAS0398</t>
  </si>
  <si>
    <t xml:space="preserve">PINDAI</t>
  </si>
  <si>
    <t xml:space="preserve">46360-000</t>
  </si>
  <si>
    <t xml:space="preserve">46379-999</t>
  </si>
  <si>
    <t xml:space="preserve">PAS0399</t>
  </si>
  <si>
    <t xml:space="preserve">PINDOBACU</t>
  </si>
  <si>
    <t xml:space="preserve">44770-000</t>
  </si>
  <si>
    <t xml:space="preserve">44774-999</t>
  </si>
  <si>
    <t xml:space="preserve">PAS0400</t>
  </si>
  <si>
    <t xml:space="preserve">PINTADAS</t>
  </si>
  <si>
    <t xml:space="preserve">44610-000</t>
  </si>
  <si>
    <t xml:space="preserve">44619-999</t>
  </si>
  <si>
    <t xml:space="preserve">PAS0401</t>
  </si>
  <si>
    <t xml:space="preserve">PIRAI DO NORTE</t>
  </si>
  <si>
    <t xml:space="preserve">45436-000</t>
  </si>
  <si>
    <t xml:space="preserve">45439-999</t>
  </si>
  <si>
    <t xml:space="preserve">PAS0402</t>
  </si>
  <si>
    <t xml:space="preserve">PIRIPA</t>
  </si>
  <si>
    <t xml:space="preserve">46270-000</t>
  </si>
  <si>
    <t xml:space="preserve">46279-999</t>
  </si>
  <si>
    <t xml:space="preserve">PAS0403</t>
  </si>
  <si>
    <t xml:space="preserve">PIRITIBA</t>
  </si>
  <si>
    <t xml:space="preserve">44830-000</t>
  </si>
  <si>
    <t xml:space="preserve">44839-999</t>
  </si>
  <si>
    <t xml:space="preserve">PAS0404</t>
  </si>
  <si>
    <t xml:space="preserve">PLANALTINO</t>
  </si>
  <si>
    <t xml:space="preserve">45375-000</t>
  </si>
  <si>
    <t xml:space="preserve">45389-999</t>
  </si>
  <si>
    <t xml:space="preserve">PAS0405</t>
  </si>
  <si>
    <t xml:space="preserve">PLANALTO</t>
  </si>
  <si>
    <t xml:space="preserve">45190-000</t>
  </si>
  <si>
    <t xml:space="preserve">45199-999</t>
  </si>
  <si>
    <t xml:space="preserve">PAS0406</t>
  </si>
  <si>
    <t xml:space="preserve">POCOES</t>
  </si>
  <si>
    <t xml:space="preserve">45260-000</t>
  </si>
  <si>
    <t xml:space="preserve">45269-999</t>
  </si>
  <si>
    <t xml:space="preserve">PAS0407</t>
  </si>
  <si>
    <t xml:space="preserve">POJUCA</t>
  </si>
  <si>
    <t xml:space="preserve">48120-000</t>
  </si>
  <si>
    <t xml:space="preserve">48129-999</t>
  </si>
  <si>
    <t xml:space="preserve">PAS0408</t>
  </si>
  <si>
    <t xml:space="preserve">PONTO NOVO</t>
  </si>
  <si>
    <t xml:space="preserve">44755-000</t>
  </si>
  <si>
    <t xml:space="preserve">44769-999</t>
  </si>
  <si>
    <t xml:space="preserve">PAS0409</t>
  </si>
  <si>
    <t xml:space="preserve">PORTO SEGURO</t>
  </si>
  <si>
    <t xml:space="preserve">45810-000</t>
  </si>
  <si>
    <t xml:space="preserve">45819-999</t>
  </si>
  <si>
    <t xml:space="preserve">PAS0410</t>
  </si>
  <si>
    <t xml:space="preserve">POTIRAGUA</t>
  </si>
  <si>
    <t xml:space="preserve">45790-000</t>
  </si>
  <si>
    <t xml:space="preserve">45799-999</t>
  </si>
  <si>
    <t xml:space="preserve">PAS0411</t>
  </si>
  <si>
    <t xml:space="preserve">PRADO</t>
  </si>
  <si>
    <t xml:space="preserve">45980-000</t>
  </si>
  <si>
    <t xml:space="preserve">45984-999</t>
  </si>
  <si>
    <t xml:space="preserve">PAS0412</t>
  </si>
  <si>
    <t xml:space="preserve">PRESIDENTE DUTRA</t>
  </si>
  <si>
    <t xml:space="preserve">44930-000</t>
  </si>
  <si>
    <t xml:space="preserve">44939-999</t>
  </si>
  <si>
    <t xml:space="preserve">PAS0413</t>
  </si>
  <si>
    <t xml:space="preserve">PRESIDENTE JANIO QUADROS</t>
  </si>
  <si>
    <t xml:space="preserve">46250-000</t>
  </si>
  <si>
    <t xml:space="preserve">46254-999</t>
  </si>
  <si>
    <t xml:space="preserve">PAS0414</t>
  </si>
  <si>
    <t xml:space="preserve">PRESIDENTE TANCREDO NEVES</t>
  </si>
  <si>
    <t xml:space="preserve">45416-000</t>
  </si>
  <si>
    <t xml:space="preserve">45419-999</t>
  </si>
  <si>
    <t xml:space="preserve">PAS0415</t>
  </si>
  <si>
    <t xml:space="preserve">QUEIMADAS</t>
  </si>
  <si>
    <t xml:space="preserve">48860-000</t>
  </si>
  <si>
    <t xml:space="preserve">48869-999</t>
  </si>
  <si>
    <t xml:space="preserve">PAS0416</t>
  </si>
  <si>
    <t xml:space="preserve">QUIJINGUE</t>
  </si>
  <si>
    <t xml:space="preserve">48830-000</t>
  </si>
  <si>
    <t xml:space="preserve">48839-999</t>
  </si>
  <si>
    <t xml:space="preserve">PAS0417</t>
  </si>
  <si>
    <t xml:space="preserve">QUIXABEIRA</t>
  </si>
  <si>
    <t xml:space="preserve">44713-000</t>
  </si>
  <si>
    <t xml:space="preserve">44714-999</t>
  </si>
  <si>
    <t xml:space="preserve">PAS0418</t>
  </si>
  <si>
    <t xml:space="preserve">RIACHO DE SANTANA</t>
  </si>
  <si>
    <t xml:space="preserve">46470-000</t>
  </si>
  <si>
    <t xml:space="preserve">46479-999</t>
  </si>
  <si>
    <t xml:space="preserve">PAS0419</t>
  </si>
  <si>
    <t xml:space="preserve">RIBEIRAO DO LARGO</t>
  </si>
  <si>
    <t xml:space="preserve">45155-000</t>
  </si>
  <si>
    <t xml:space="preserve">45156-999</t>
  </si>
  <si>
    <t xml:space="preserve">PAS0420</t>
  </si>
  <si>
    <t xml:space="preserve">RIO DO ANTONIO</t>
  </si>
  <si>
    <t xml:space="preserve">46220-000</t>
  </si>
  <si>
    <t xml:space="preserve">46249-999</t>
  </si>
  <si>
    <t xml:space="preserve">PAS0421</t>
  </si>
  <si>
    <t xml:space="preserve">RIO DO PIRES</t>
  </si>
  <si>
    <t xml:space="preserve">46550-000</t>
  </si>
  <si>
    <t xml:space="preserve">46569-999</t>
  </si>
  <si>
    <t xml:space="preserve">PAS0422</t>
  </si>
  <si>
    <t xml:space="preserve">RUY BARBOSA</t>
  </si>
  <si>
    <t xml:space="preserve">46800-000</t>
  </si>
  <si>
    <t xml:space="preserve">46804-999</t>
  </si>
  <si>
    <t xml:space="preserve">PAS0423</t>
  </si>
  <si>
    <t xml:space="preserve">SANTA CRUZ CABRALIA</t>
  </si>
  <si>
    <t xml:space="preserve">45807-000</t>
  </si>
  <si>
    <t xml:space="preserve">45809-999</t>
  </si>
  <si>
    <t xml:space="preserve">PAS0424</t>
  </si>
  <si>
    <t xml:space="preserve">SANTA CRUZ DA VITORIA</t>
  </si>
  <si>
    <t xml:space="preserve">45725-000</t>
  </si>
  <si>
    <t xml:space="preserve">45729-999</t>
  </si>
  <si>
    <t xml:space="preserve">PAS0425</t>
  </si>
  <si>
    <t xml:space="preserve">SANTA LUZIA</t>
  </si>
  <si>
    <t xml:space="preserve">45865-000</t>
  </si>
  <si>
    <t xml:space="preserve">45869-999</t>
  </si>
  <si>
    <t xml:space="preserve">PAS0426</t>
  </si>
  <si>
    <t xml:space="preserve">SANTA MARIA DA VITORIA</t>
  </si>
  <si>
    <t xml:space="preserve">47640-000</t>
  </si>
  <si>
    <t xml:space="preserve">47649-999</t>
  </si>
  <si>
    <t xml:space="preserve">PAS0427</t>
  </si>
  <si>
    <t xml:space="preserve">SAO FELIX DO CORIBE</t>
  </si>
  <si>
    <t xml:space="preserve">47670-000</t>
  </si>
  <si>
    <t xml:space="preserve">47679-999</t>
  </si>
  <si>
    <t xml:space="preserve">PAS0428</t>
  </si>
  <si>
    <t xml:space="preserve">SAO JOSE DA VITORIA</t>
  </si>
  <si>
    <t xml:space="preserve">45620-000</t>
  </si>
  <si>
    <t xml:space="preserve">45621-999</t>
  </si>
  <si>
    <t xml:space="preserve">PAS0429</t>
  </si>
  <si>
    <t xml:space="preserve">SAO JOSE DO JACUIPE</t>
  </si>
  <si>
    <t xml:space="preserve">44698-000</t>
  </si>
  <si>
    <t xml:space="preserve">44699-999</t>
  </si>
  <si>
    <t xml:space="preserve">PAS0430</t>
  </si>
  <si>
    <t xml:space="preserve">SAO MIGUEL DAS MATAS</t>
  </si>
  <si>
    <t xml:space="preserve">44580-000</t>
  </si>
  <si>
    <t xml:space="preserve">44589-999</t>
  </si>
  <si>
    <t xml:space="preserve">PAS0431</t>
  </si>
  <si>
    <t xml:space="preserve">SAUDE</t>
  </si>
  <si>
    <t xml:space="preserve">44740-000</t>
  </si>
  <si>
    <t xml:space="preserve">44744-999</t>
  </si>
  <si>
    <t xml:space="preserve">PAS0432</t>
  </si>
  <si>
    <t xml:space="preserve">SEABRA</t>
  </si>
  <si>
    <t xml:space="preserve">46900-000</t>
  </si>
  <si>
    <t xml:space="preserve">46929-999</t>
  </si>
  <si>
    <t xml:space="preserve">PAS0433</t>
  </si>
  <si>
    <t xml:space="preserve">SEBASTIAO LARANJEIRAS</t>
  </si>
  <si>
    <t xml:space="preserve">46450-000</t>
  </si>
  <si>
    <t xml:space="preserve">46459-999</t>
  </si>
  <si>
    <t xml:space="preserve">PAS0434</t>
  </si>
  <si>
    <t xml:space="preserve">SENHOR DO BONFIM</t>
  </si>
  <si>
    <t xml:space="preserve">48970-000</t>
  </si>
  <si>
    <t xml:space="preserve">48989-999</t>
  </si>
  <si>
    <t xml:space="preserve">PAS0435</t>
  </si>
  <si>
    <t xml:space="preserve">SERROLANDIA</t>
  </si>
  <si>
    <t xml:space="preserve">44710-000</t>
  </si>
  <si>
    <t xml:space="preserve">44712-999</t>
  </si>
  <si>
    <t xml:space="preserve">PAS0436</t>
  </si>
  <si>
    <t xml:space="preserve">SOUTO SOARES</t>
  </si>
  <si>
    <t xml:space="preserve">46990-000</t>
  </si>
  <si>
    <t xml:space="preserve">47099-999</t>
  </si>
  <si>
    <t xml:space="preserve">PAS0437</t>
  </si>
  <si>
    <t xml:space="preserve">TANHACU</t>
  </si>
  <si>
    <t xml:space="preserve">46600-000</t>
  </si>
  <si>
    <t xml:space="preserve">46619-999</t>
  </si>
  <si>
    <t xml:space="preserve">PAS0438</t>
  </si>
  <si>
    <t xml:space="preserve">TANQUE NOVO</t>
  </si>
  <si>
    <t xml:space="preserve">46580-000</t>
  </si>
  <si>
    <t xml:space="preserve">46599-999</t>
  </si>
  <si>
    <t xml:space="preserve">PAS0439</t>
  </si>
  <si>
    <t xml:space="preserve">TAPEROA</t>
  </si>
  <si>
    <t xml:space="preserve">45430-000</t>
  </si>
  <si>
    <t xml:space="preserve">45434-999</t>
  </si>
  <si>
    <t xml:space="preserve">PAS0440</t>
  </si>
  <si>
    <t xml:space="preserve">TAPIRAMUTA</t>
  </si>
  <si>
    <t xml:space="preserve">44840-000</t>
  </si>
  <si>
    <t xml:space="preserve">44849-999</t>
  </si>
  <si>
    <t xml:space="preserve">PAS0441</t>
  </si>
  <si>
    <t xml:space="preserve">TEIXEIRA DE FREITAS</t>
  </si>
  <si>
    <t xml:space="preserve">45985-001</t>
  </si>
  <si>
    <t xml:space="preserve">45999-999</t>
  </si>
  <si>
    <t xml:space="preserve">PAS0442</t>
  </si>
  <si>
    <t xml:space="preserve">TEOLANDIA</t>
  </si>
  <si>
    <t xml:space="preserve">45465-000</t>
  </si>
  <si>
    <t xml:space="preserve">45469-999</t>
  </si>
  <si>
    <t xml:space="preserve">PAS0443</t>
  </si>
  <si>
    <t xml:space="preserve">TREMEDAL</t>
  </si>
  <si>
    <t xml:space="preserve">45170-000</t>
  </si>
  <si>
    <t xml:space="preserve">45176-999</t>
  </si>
  <si>
    <t xml:space="preserve">PAS0444</t>
  </si>
  <si>
    <t xml:space="preserve">TUCANO</t>
  </si>
  <si>
    <t xml:space="preserve">48790-000</t>
  </si>
  <si>
    <t xml:space="preserve">48799-999</t>
  </si>
  <si>
    <t xml:space="preserve">PAS0445</t>
  </si>
  <si>
    <t xml:space="preserve">UAUA</t>
  </si>
  <si>
    <t xml:space="preserve">48950-000</t>
  </si>
  <si>
    <t xml:space="preserve">48959-999</t>
  </si>
  <si>
    <t xml:space="preserve">PAS0446</t>
  </si>
  <si>
    <t xml:space="preserve">UBAIRA</t>
  </si>
  <si>
    <t xml:space="preserve">45310-000</t>
  </si>
  <si>
    <t xml:space="preserve">45314-999</t>
  </si>
  <si>
    <t xml:space="preserve">PAS0447</t>
  </si>
  <si>
    <t xml:space="preserve">UBAITABA</t>
  </si>
  <si>
    <t xml:space="preserve">45545-000</t>
  </si>
  <si>
    <t xml:space="preserve">45549-999</t>
  </si>
  <si>
    <t xml:space="preserve">PAS0448</t>
  </si>
  <si>
    <t xml:space="preserve">UBATA</t>
  </si>
  <si>
    <t xml:space="preserve">45550-000</t>
  </si>
  <si>
    <t xml:space="preserve">45559-999</t>
  </si>
  <si>
    <t xml:space="preserve">PAS0449</t>
  </si>
  <si>
    <t xml:space="preserve">UIBAI</t>
  </si>
  <si>
    <t xml:space="preserve">44950-000</t>
  </si>
  <si>
    <t xml:space="preserve">44959-999</t>
  </si>
  <si>
    <t xml:space="preserve">PAS0450</t>
  </si>
  <si>
    <t xml:space="preserve">UMBURANAS</t>
  </si>
  <si>
    <t xml:space="preserve">44798-000</t>
  </si>
  <si>
    <t xml:space="preserve">44799-999</t>
  </si>
  <si>
    <t xml:space="preserve">PAS0451</t>
  </si>
  <si>
    <t xml:space="preserve">UNA</t>
  </si>
  <si>
    <t xml:space="preserve">45690-000</t>
  </si>
  <si>
    <t xml:space="preserve">45694-999</t>
  </si>
  <si>
    <t xml:space="preserve">PAS0452</t>
  </si>
  <si>
    <t xml:space="preserve">URANDI</t>
  </si>
  <si>
    <t xml:space="preserve">46350-000</t>
  </si>
  <si>
    <t xml:space="preserve">46359-999</t>
  </si>
  <si>
    <t xml:space="preserve">PAS0453</t>
  </si>
  <si>
    <t xml:space="preserve">URUCUCA</t>
  </si>
  <si>
    <t xml:space="preserve">45680-000</t>
  </si>
  <si>
    <t xml:space="preserve">45689-999</t>
  </si>
  <si>
    <t xml:space="preserve">PAS0454</t>
  </si>
  <si>
    <t xml:space="preserve">UTINGA</t>
  </si>
  <si>
    <t xml:space="preserve">46810-000</t>
  </si>
  <si>
    <t xml:space="preserve">46819-999</t>
  </si>
  <si>
    <t xml:space="preserve">PAS0455</t>
  </si>
  <si>
    <t xml:space="preserve">VARZEA NOVA</t>
  </si>
  <si>
    <t xml:space="preserve">44690-000</t>
  </si>
  <si>
    <t xml:space="preserve">44694-999</t>
  </si>
  <si>
    <t xml:space="preserve">PAS0456</t>
  </si>
  <si>
    <t xml:space="preserve">VEREDA</t>
  </si>
  <si>
    <t xml:space="preserve">45955-000</t>
  </si>
  <si>
    <t xml:space="preserve">45959-999</t>
  </si>
  <si>
    <t xml:space="preserve">PAS0457</t>
  </si>
  <si>
    <t xml:space="preserve">45000-001</t>
  </si>
  <si>
    <t xml:space="preserve">45119-999</t>
  </si>
  <si>
    <t xml:space="preserve">PAS0458</t>
  </si>
  <si>
    <t xml:space="preserve">WAGNER</t>
  </si>
  <si>
    <t xml:space="preserve">46970-000</t>
  </si>
  <si>
    <t xml:space="preserve">46979-999</t>
  </si>
  <si>
    <t xml:space="preserve">PAS0459</t>
  </si>
  <si>
    <t xml:space="preserve">WENCESLAU GUIMARAES</t>
  </si>
  <si>
    <t xml:space="preserve">45460-000</t>
  </si>
  <si>
    <t xml:space="preserve">45464-999</t>
  </si>
  <si>
    <t xml:space="preserve">PAS0460</t>
  </si>
  <si>
    <t xml:space="preserve">ANGICAL</t>
  </si>
  <si>
    <t xml:space="preserve">47960-000</t>
  </si>
  <si>
    <t xml:space="preserve">47969-999</t>
  </si>
  <si>
    <t xml:space="preserve">INTERIOR 3</t>
  </si>
  <si>
    <t xml:space="preserve">PAS0461</t>
  </si>
  <si>
    <t xml:space="preserve">BAIANOPOLIS</t>
  </si>
  <si>
    <t xml:space="preserve">47830-000</t>
  </si>
  <si>
    <t xml:space="preserve">47844-999</t>
  </si>
  <si>
    <t xml:space="preserve">PAS0462</t>
  </si>
  <si>
    <t xml:space="preserve">BARRA</t>
  </si>
  <si>
    <t xml:space="preserve">47100-000</t>
  </si>
  <si>
    <t xml:space="preserve">47114-999</t>
  </si>
  <si>
    <t xml:space="preserve">PAS0463</t>
  </si>
  <si>
    <t xml:space="preserve">47800-001</t>
  </si>
  <si>
    <t xml:space="preserve">47819-999</t>
  </si>
  <si>
    <t xml:space="preserve">PAS0464</t>
  </si>
  <si>
    <t xml:space="preserve">BOM JESUS DA SERRA</t>
  </si>
  <si>
    <t xml:space="preserve">45258-000</t>
  </si>
  <si>
    <t xml:space="preserve">45259-999</t>
  </si>
  <si>
    <t xml:space="preserve">PAS0465</t>
  </si>
  <si>
    <t xml:space="preserve">BREJOLANDIA</t>
  </si>
  <si>
    <t xml:space="preserve">47750-000</t>
  </si>
  <si>
    <t xml:space="preserve">47759-999</t>
  </si>
  <si>
    <t xml:space="preserve">PAS0466</t>
  </si>
  <si>
    <t xml:space="preserve">BROTAS DE MACAUBAS</t>
  </si>
  <si>
    <t xml:space="preserve">47560-000</t>
  </si>
  <si>
    <t xml:space="preserve">47579-999</t>
  </si>
  <si>
    <t xml:space="preserve">PAS0467</t>
  </si>
  <si>
    <t xml:space="preserve">BURITIRAMA</t>
  </si>
  <si>
    <t xml:space="preserve">47120-000</t>
  </si>
  <si>
    <t xml:space="preserve">47149-999</t>
  </si>
  <si>
    <t xml:space="preserve">PAS0468</t>
  </si>
  <si>
    <t xml:space="preserve">CAETANOS</t>
  </si>
  <si>
    <t xml:space="preserve">45256-000</t>
  </si>
  <si>
    <t xml:space="preserve">45257-999</t>
  </si>
  <si>
    <t xml:space="preserve">PAS0469</t>
  </si>
  <si>
    <t xml:space="preserve">CAMPO ALEGRE DE LOURDES</t>
  </si>
  <si>
    <t xml:space="preserve">47220-000</t>
  </si>
  <si>
    <t xml:space="preserve">47239-999</t>
  </si>
  <si>
    <t xml:space="preserve">PAS0470</t>
  </si>
  <si>
    <t xml:space="preserve">CANAPOLIS</t>
  </si>
  <si>
    <t xml:space="preserve">47730-000</t>
  </si>
  <si>
    <t xml:space="preserve">47739-999</t>
  </si>
  <si>
    <t xml:space="preserve">PAS0471</t>
  </si>
  <si>
    <t xml:space="preserve">CARINHANHA</t>
  </si>
  <si>
    <t xml:space="preserve">46445-000</t>
  </si>
  <si>
    <t xml:space="preserve">46445-999</t>
  </si>
  <si>
    <t xml:space="preserve">PAS0472</t>
  </si>
  <si>
    <t xml:space="preserve">CASA NOVA</t>
  </si>
  <si>
    <t xml:space="preserve">47300-000</t>
  </si>
  <si>
    <t xml:space="preserve">47349-999</t>
  </si>
  <si>
    <t xml:space="preserve">PAS0473</t>
  </si>
  <si>
    <t xml:space="preserve">CENTRAL</t>
  </si>
  <si>
    <t xml:space="preserve">44940-000</t>
  </si>
  <si>
    <t xml:space="preserve">44949-999</t>
  </si>
  <si>
    <t xml:space="preserve">PAS0474</t>
  </si>
  <si>
    <t xml:space="preserve">CHORROCHO</t>
  </si>
  <si>
    <t xml:space="preserve">48660-000</t>
  </si>
  <si>
    <t xml:space="preserve">48679-999</t>
  </si>
  <si>
    <t xml:space="preserve">PAS0475</t>
  </si>
  <si>
    <t xml:space="preserve">COTEGIPE</t>
  </si>
  <si>
    <t xml:space="preserve">47900-000</t>
  </si>
  <si>
    <t xml:space="preserve">47939-999</t>
  </si>
  <si>
    <t xml:space="preserve">PAS0476</t>
  </si>
  <si>
    <t xml:space="preserve">CRISTOPOLIS</t>
  </si>
  <si>
    <t xml:space="preserve">47950-000</t>
  </si>
  <si>
    <t xml:space="preserve">47959-999</t>
  </si>
  <si>
    <t xml:space="preserve">PAS0477</t>
  </si>
  <si>
    <t xml:space="preserve">CURACA</t>
  </si>
  <si>
    <t xml:space="preserve">48930-000</t>
  </si>
  <si>
    <t xml:space="preserve">48949-999</t>
  </si>
  <si>
    <t xml:space="preserve">PAS0478</t>
  </si>
  <si>
    <t xml:space="preserve">FORMOSA DO RIO PRETO</t>
  </si>
  <si>
    <t xml:space="preserve">47990-000</t>
  </si>
  <si>
    <t xml:space="preserve">47999-999</t>
  </si>
  <si>
    <t xml:space="preserve">PAS0479</t>
  </si>
  <si>
    <t xml:space="preserve">GENTIO DO OURO</t>
  </si>
  <si>
    <t xml:space="preserve">47450-000</t>
  </si>
  <si>
    <t xml:space="preserve">47499-999</t>
  </si>
  <si>
    <t xml:space="preserve">PAS0480</t>
  </si>
  <si>
    <t xml:space="preserve">IBOTIRAMA</t>
  </si>
  <si>
    <t xml:space="preserve">47520-000</t>
  </si>
  <si>
    <t xml:space="preserve">47529-999</t>
  </si>
  <si>
    <t xml:space="preserve">PAS0481</t>
  </si>
  <si>
    <t xml:space="preserve">IPUPIARA</t>
  </si>
  <si>
    <t xml:space="preserve">47590-000</t>
  </si>
  <si>
    <t xml:space="preserve">47599-999</t>
  </si>
  <si>
    <t xml:space="preserve">PAS0482</t>
  </si>
  <si>
    <t xml:space="preserve">IRAQUARA</t>
  </si>
  <si>
    <t xml:space="preserve">46980-000</t>
  </si>
  <si>
    <t xml:space="preserve">46989-999</t>
  </si>
  <si>
    <t xml:space="preserve">PAS0483</t>
  </si>
  <si>
    <t xml:space="preserve">ITAGUACU DA BAHIA</t>
  </si>
  <si>
    <t xml:space="preserve">47440-000</t>
  </si>
  <si>
    <t xml:space="preserve">47449-999</t>
  </si>
  <si>
    <t xml:space="preserve">PAS0484</t>
  </si>
  <si>
    <t xml:space="preserve">ITAPEBI</t>
  </si>
  <si>
    <t xml:space="preserve">45855-000</t>
  </si>
  <si>
    <t xml:space="preserve">45859-999</t>
  </si>
  <si>
    <t xml:space="preserve">PAS0485</t>
  </si>
  <si>
    <t xml:space="preserve">IUIU</t>
  </si>
  <si>
    <t xml:space="preserve">46438-001</t>
  </si>
  <si>
    <t xml:space="preserve">46439-999</t>
  </si>
  <si>
    <t xml:space="preserve">PAS0486</t>
  </si>
  <si>
    <t xml:space="preserve">JEREMOABO</t>
  </si>
  <si>
    <t xml:space="preserve">48540-000</t>
  </si>
  <si>
    <t xml:space="preserve">48564-999</t>
  </si>
  <si>
    <t xml:space="preserve">PAS0487</t>
  </si>
  <si>
    <t xml:space="preserve">JUSSARA</t>
  </si>
  <si>
    <t xml:space="preserve">44925-000</t>
  </si>
  <si>
    <t xml:space="preserve">44929-999</t>
  </si>
  <si>
    <t xml:space="preserve">PAS0488</t>
  </si>
  <si>
    <t xml:space="preserve">LUIS EDUARDO MAGALHAES</t>
  </si>
  <si>
    <t xml:space="preserve">47850-001</t>
  </si>
  <si>
    <t xml:space="preserve">47869-999</t>
  </si>
  <si>
    <t xml:space="preserve">PAS0489</t>
  </si>
  <si>
    <t xml:space="preserve">MACURURE</t>
  </si>
  <si>
    <t xml:space="preserve">48650-000</t>
  </si>
  <si>
    <t xml:space="preserve">48659-999</t>
  </si>
  <si>
    <t xml:space="preserve">PAS0490</t>
  </si>
  <si>
    <t xml:space="preserve">MAIQUINIQUE</t>
  </si>
  <si>
    <t xml:space="preserve">45770-000</t>
  </si>
  <si>
    <t xml:space="preserve">45779-999</t>
  </si>
  <si>
    <t xml:space="preserve">PAS0491</t>
  </si>
  <si>
    <t xml:space="preserve">MANSIDAO</t>
  </si>
  <si>
    <t xml:space="preserve">47160-000</t>
  </si>
  <si>
    <t xml:space="preserve">47199-999</t>
  </si>
  <si>
    <t xml:space="preserve">PAS0492</t>
  </si>
  <si>
    <t xml:space="preserve">MORTUGABA</t>
  </si>
  <si>
    <t xml:space="preserve">46290-000</t>
  </si>
  <si>
    <t xml:space="preserve">46299-999</t>
  </si>
  <si>
    <t xml:space="preserve">PAS0493</t>
  </si>
  <si>
    <t xml:space="preserve">MUQUEM DE SAO FRANCISCO</t>
  </si>
  <si>
    <t xml:space="preserve">47115-000</t>
  </si>
  <si>
    <t xml:space="preserve">47119-999</t>
  </si>
  <si>
    <t xml:space="preserve">PAS0494</t>
  </si>
  <si>
    <t xml:space="preserve">NOVO TRIUNFO</t>
  </si>
  <si>
    <t xml:space="preserve">48455-000</t>
  </si>
  <si>
    <t xml:space="preserve">48459-999</t>
  </si>
  <si>
    <t xml:space="preserve">PAS0495</t>
  </si>
  <si>
    <t xml:space="preserve">OLIVEIRA DOS BREJINHOS</t>
  </si>
  <si>
    <t xml:space="preserve">47530-000</t>
  </si>
  <si>
    <t xml:space="preserve">47559-999</t>
  </si>
  <si>
    <t xml:space="preserve">PAS0496</t>
  </si>
  <si>
    <t xml:space="preserve">PALMAS DE MONTE ALTO</t>
  </si>
  <si>
    <t xml:space="preserve">46460-000</t>
  </si>
  <si>
    <t xml:space="preserve">46469-999</t>
  </si>
  <si>
    <t xml:space="preserve">PAS0497</t>
  </si>
  <si>
    <t xml:space="preserve">PARAMIRIM</t>
  </si>
  <si>
    <t xml:space="preserve">46190-000</t>
  </si>
  <si>
    <t xml:space="preserve">46199-999</t>
  </si>
  <si>
    <t xml:space="preserve">PAS0498</t>
  </si>
  <si>
    <t xml:space="preserve">PARATINGA</t>
  </si>
  <si>
    <t xml:space="preserve">47500-000</t>
  </si>
  <si>
    <t xml:space="preserve">47519-999</t>
  </si>
  <si>
    <t xml:space="preserve">PAS0499</t>
  </si>
  <si>
    <t xml:space="preserve">PAULO AFONSO</t>
  </si>
  <si>
    <t xml:space="preserve">48600-001</t>
  </si>
  <si>
    <t xml:space="preserve">48619-999</t>
  </si>
  <si>
    <t xml:space="preserve">PAS0500</t>
  </si>
  <si>
    <t xml:space="preserve">PEDRO ALEXANDRE</t>
  </si>
  <si>
    <t xml:space="preserve">48580-000</t>
  </si>
  <si>
    <t xml:space="preserve">48589-999</t>
  </si>
  <si>
    <t xml:space="preserve">PAS0501</t>
  </si>
  <si>
    <t xml:space="preserve">PILAO ARCADO</t>
  </si>
  <si>
    <t xml:space="preserve">47240-000</t>
  </si>
  <si>
    <t xml:space="preserve">47299-999</t>
  </si>
  <si>
    <t xml:space="preserve">PAS0502</t>
  </si>
  <si>
    <t xml:space="preserve">REMANSO</t>
  </si>
  <si>
    <t xml:space="preserve">47200-000</t>
  </si>
  <si>
    <t xml:space="preserve">47219-999</t>
  </si>
  <si>
    <t xml:space="preserve">PAS0503</t>
  </si>
  <si>
    <t xml:space="preserve">RIACHAO DAS NEVES</t>
  </si>
  <si>
    <t xml:space="preserve">47970-000</t>
  </si>
  <si>
    <t xml:space="preserve">47989-999</t>
  </si>
  <si>
    <t xml:space="preserve">PAS0504</t>
  </si>
  <si>
    <t xml:space="preserve">RIO DE CONTAS</t>
  </si>
  <si>
    <t xml:space="preserve">46170-000</t>
  </si>
  <si>
    <t xml:space="preserve">46179-999</t>
  </si>
  <si>
    <t xml:space="preserve">PAS0505</t>
  </si>
  <si>
    <t xml:space="preserve">RODELAS</t>
  </si>
  <si>
    <t xml:space="preserve">48630-000</t>
  </si>
  <si>
    <t xml:space="preserve">48649-999</t>
  </si>
  <si>
    <t xml:space="preserve">PAS0506</t>
  </si>
  <si>
    <t xml:space="preserve">SANTA BRIGIDA</t>
  </si>
  <si>
    <t xml:space="preserve">48570-000</t>
  </si>
  <si>
    <t xml:space="preserve">48579-999</t>
  </si>
  <si>
    <t xml:space="preserve">PAS0507</t>
  </si>
  <si>
    <t xml:space="preserve">SANTA RITA DE CASSIA</t>
  </si>
  <si>
    <t xml:space="preserve">47150-000</t>
  </si>
  <si>
    <t xml:space="preserve">47159-999</t>
  </si>
  <si>
    <t xml:space="preserve">PAS0508</t>
  </si>
  <si>
    <t xml:space="preserve">SANTANA</t>
  </si>
  <si>
    <t xml:space="preserve">47700-000</t>
  </si>
  <si>
    <t xml:space="preserve">47729-999</t>
  </si>
  <si>
    <t xml:space="preserve">PAS0509</t>
  </si>
  <si>
    <t xml:space="preserve">SAO DESIDERIO</t>
  </si>
  <si>
    <t xml:space="preserve">47820-000</t>
  </si>
  <si>
    <t xml:space="preserve">47829-999</t>
  </si>
  <si>
    <t xml:space="preserve">PAS0510</t>
  </si>
  <si>
    <t xml:space="preserve">SAO GABRIEL</t>
  </si>
  <si>
    <t xml:space="preserve">44915-000</t>
  </si>
  <si>
    <t xml:space="preserve">44919-999</t>
  </si>
  <si>
    <t xml:space="preserve">PAS0511</t>
  </si>
  <si>
    <t xml:space="preserve">SENTO SE</t>
  </si>
  <si>
    <t xml:space="preserve">47350-000</t>
  </si>
  <si>
    <t xml:space="preserve">47399-999</t>
  </si>
  <si>
    <t xml:space="preserve">PAS0512</t>
  </si>
  <si>
    <t xml:space="preserve">SERRA DO RAMALHO</t>
  </si>
  <si>
    <t xml:space="preserve">47630-000</t>
  </si>
  <si>
    <t xml:space="preserve">47639-999</t>
  </si>
  <si>
    <t xml:space="preserve">PAS0513</t>
  </si>
  <si>
    <t xml:space="preserve">SERRA DOURADA</t>
  </si>
  <si>
    <t xml:space="preserve">47740-000</t>
  </si>
  <si>
    <t xml:space="preserve">47749-999</t>
  </si>
  <si>
    <t xml:space="preserve">PAS0514</t>
  </si>
  <si>
    <t xml:space="preserve">SITIO DO MATO</t>
  </si>
  <si>
    <t xml:space="preserve">47610-000</t>
  </si>
  <si>
    <t xml:space="preserve">47629-999</t>
  </si>
  <si>
    <t xml:space="preserve">PAS0515</t>
  </si>
  <si>
    <t xml:space="preserve">SITIO DO QUINTO</t>
  </si>
  <si>
    <t xml:space="preserve">48565-000</t>
  </si>
  <si>
    <t xml:space="preserve">48569-999</t>
  </si>
  <si>
    <t xml:space="preserve">PAS0516</t>
  </si>
  <si>
    <t xml:space="preserve">SOBRADINHO</t>
  </si>
  <si>
    <t xml:space="preserve">48925-000</t>
  </si>
  <si>
    <t xml:space="preserve">48929-999</t>
  </si>
  <si>
    <t xml:space="preserve">PAS0517</t>
  </si>
  <si>
    <t xml:space="preserve">TABOCAS DO BREJO VELHO</t>
  </si>
  <si>
    <t xml:space="preserve">47760-000</t>
  </si>
  <si>
    <t xml:space="preserve">47799-999</t>
  </si>
  <si>
    <t xml:space="preserve">PAS0518</t>
  </si>
  <si>
    <t xml:space="preserve">WANDERLEY</t>
  </si>
  <si>
    <t xml:space="preserve">47940-000</t>
  </si>
  <si>
    <t xml:space="preserve">47949-999</t>
  </si>
  <si>
    <t xml:space="preserve">PAS0519</t>
  </si>
  <si>
    <t xml:space="preserve">XIQUE-XIQUE</t>
  </si>
  <si>
    <t xml:space="preserve">47400-000</t>
  </si>
  <si>
    <t xml:space="preserve">47439-999</t>
  </si>
  <si>
    <t xml:space="preserve">PAS0520</t>
  </si>
  <si>
    <t xml:space="preserve">61600-001</t>
  </si>
  <si>
    <t xml:space="preserve">61699-999</t>
  </si>
  <si>
    <t xml:space="preserve">PAS0521</t>
  </si>
  <si>
    <t xml:space="preserve">EUSEBIO</t>
  </si>
  <si>
    <t xml:space="preserve">61760-001</t>
  </si>
  <si>
    <t xml:space="preserve">61799-999</t>
  </si>
  <si>
    <t xml:space="preserve">PAS0522</t>
  </si>
  <si>
    <t xml:space="preserve">60000-001</t>
  </si>
  <si>
    <t xml:space="preserve">61599-999</t>
  </si>
  <si>
    <t xml:space="preserve">PAS0523</t>
  </si>
  <si>
    <t xml:space="preserve">61900-001</t>
  </si>
  <si>
    <t xml:space="preserve">61939-999</t>
  </si>
  <si>
    <t xml:space="preserve">PAS0524</t>
  </si>
  <si>
    <t xml:space="preserve">ACARAPE</t>
  </si>
  <si>
    <t xml:space="preserve">62785-000</t>
  </si>
  <si>
    <t xml:space="preserve">62789-999</t>
  </si>
  <si>
    <t xml:space="preserve">PAS0525</t>
  </si>
  <si>
    <t xml:space="preserve">APUIARES</t>
  </si>
  <si>
    <t xml:space="preserve">62630-000</t>
  </si>
  <si>
    <t xml:space="preserve">62639-999</t>
  </si>
  <si>
    <t xml:space="preserve">PAS0526</t>
  </si>
  <si>
    <t xml:space="preserve">61700-000</t>
  </si>
  <si>
    <t xml:space="preserve">61759-999</t>
  </si>
  <si>
    <t xml:space="preserve">PAS0527</t>
  </si>
  <si>
    <t xml:space="preserve">ARACATI</t>
  </si>
  <si>
    <t xml:space="preserve">62800-000</t>
  </si>
  <si>
    <t xml:space="preserve">62809-999</t>
  </si>
  <si>
    <t xml:space="preserve">PAS0528</t>
  </si>
  <si>
    <t xml:space="preserve">ARACOIABA</t>
  </si>
  <si>
    <t xml:space="preserve">53690-000</t>
  </si>
  <si>
    <t xml:space="preserve">53699-999</t>
  </si>
  <si>
    <t xml:space="preserve">PAS0529</t>
  </si>
  <si>
    <t xml:space="preserve">ARATUBA</t>
  </si>
  <si>
    <t xml:space="preserve">62762-000</t>
  </si>
  <si>
    <t xml:space="preserve">62763-999</t>
  </si>
  <si>
    <t xml:space="preserve">PAS0530</t>
  </si>
  <si>
    <t xml:space="preserve">BARREIRA</t>
  </si>
  <si>
    <t xml:space="preserve">62795-000</t>
  </si>
  <si>
    <t xml:space="preserve">62799-999</t>
  </si>
  <si>
    <t xml:space="preserve">PAS0531</t>
  </si>
  <si>
    <t xml:space="preserve">BATURITE</t>
  </si>
  <si>
    <t xml:space="preserve">62760-000</t>
  </si>
  <si>
    <t xml:space="preserve">62761-999</t>
  </si>
  <si>
    <t xml:space="preserve">PAS0532</t>
  </si>
  <si>
    <t xml:space="preserve">BEBERIBE</t>
  </si>
  <si>
    <t xml:space="preserve">62840-000</t>
  </si>
  <si>
    <t xml:space="preserve">62849-999</t>
  </si>
  <si>
    <t xml:space="preserve">PAS0533</t>
  </si>
  <si>
    <t xml:space="preserve">CANINDE</t>
  </si>
  <si>
    <t xml:space="preserve">62700-000</t>
  </si>
  <si>
    <t xml:space="preserve">62719-999</t>
  </si>
  <si>
    <t xml:space="preserve">PAS0534</t>
  </si>
  <si>
    <t xml:space="preserve">CAPISTRANO</t>
  </si>
  <si>
    <t xml:space="preserve">62748-000</t>
  </si>
  <si>
    <t xml:space="preserve">62749-999</t>
  </si>
  <si>
    <t xml:space="preserve">PAS0535</t>
  </si>
  <si>
    <t xml:space="preserve">CARIDADE</t>
  </si>
  <si>
    <t xml:space="preserve">62730-000</t>
  </si>
  <si>
    <t xml:space="preserve">62735-999</t>
  </si>
  <si>
    <t xml:space="preserve">PAS0536</t>
  </si>
  <si>
    <t xml:space="preserve">CASCAVEL</t>
  </si>
  <si>
    <t xml:space="preserve">62850-000</t>
  </si>
  <si>
    <t xml:space="preserve">62859-999</t>
  </si>
  <si>
    <t xml:space="preserve">PAS0537</t>
  </si>
  <si>
    <t xml:space="preserve">CHOROZINHO</t>
  </si>
  <si>
    <t xml:space="preserve">62875-000</t>
  </si>
  <si>
    <t xml:space="preserve">62879-999</t>
  </si>
  <si>
    <t xml:space="preserve">PAS0538</t>
  </si>
  <si>
    <t xml:space="preserve">FORTIM</t>
  </si>
  <si>
    <t xml:space="preserve">62815-000</t>
  </si>
  <si>
    <t xml:space="preserve">62819-999</t>
  </si>
  <si>
    <t xml:space="preserve">PAS0539</t>
  </si>
  <si>
    <t xml:space="preserve">GENERAL SAMPAIO</t>
  </si>
  <si>
    <t xml:space="preserve">62738-000</t>
  </si>
  <si>
    <t xml:space="preserve">62739-999</t>
  </si>
  <si>
    <t xml:space="preserve">PAS0540</t>
  </si>
  <si>
    <t xml:space="preserve">GUAIUBA</t>
  </si>
  <si>
    <t xml:space="preserve">61890-000</t>
  </si>
  <si>
    <t xml:space="preserve">61899-999</t>
  </si>
  <si>
    <t xml:space="preserve">PAS0541</t>
  </si>
  <si>
    <t xml:space="preserve">GUARAMIRANGA</t>
  </si>
  <si>
    <t xml:space="preserve">62766-000</t>
  </si>
  <si>
    <t xml:space="preserve">62769-999</t>
  </si>
  <si>
    <t xml:space="preserve">PAS0542</t>
  </si>
  <si>
    <t xml:space="preserve">HORIZONTE</t>
  </si>
  <si>
    <t xml:space="preserve">62880-001</t>
  </si>
  <si>
    <t xml:space="preserve">62899-999</t>
  </si>
  <si>
    <t xml:space="preserve">PAS0543</t>
  </si>
  <si>
    <t xml:space="preserve">IBARETAMA</t>
  </si>
  <si>
    <t xml:space="preserve">63970-000</t>
  </si>
  <si>
    <t xml:space="preserve">63999-999</t>
  </si>
  <si>
    <t xml:space="preserve">PAS0544</t>
  </si>
  <si>
    <t xml:space="preserve">61880-000</t>
  </si>
  <si>
    <t xml:space="preserve">61889-999</t>
  </si>
  <si>
    <t xml:space="preserve">PAS0545</t>
  </si>
  <si>
    <t xml:space="preserve">ITAPIPOCA</t>
  </si>
  <si>
    <t xml:space="preserve">62500-001</t>
  </si>
  <si>
    <t xml:space="preserve">62529-999</t>
  </si>
  <si>
    <t xml:space="preserve">PAS0546</t>
  </si>
  <si>
    <t xml:space="preserve">ITAPIUNA</t>
  </si>
  <si>
    <t xml:space="preserve">62740-000</t>
  </si>
  <si>
    <t xml:space="preserve">62747-999</t>
  </si>
  <si>
    <t xml:space="preserve">PAS0547</t>
  </si>
  <si>
    <t xml:space="preserve">MARANGUAPE</t>
  </si>
  <si>
    <t xml:space="preserve">61940-001</t>
  </si>
  <si>
    <t xml:space="preserve">61999-999</t>
  </si>
  <si>
    <t xml:space="preserve">PAS0548</t>
  </si>
  <si>
    <t xml:space="preserve">MULUNGU</t>
  </si>
  <si>
    <t xml:space="preserve">58354-000</t>
  </si>
  <si>
    <t xml:space="preserve">58355-999</t>
  </si>
  <si>
    <t xml:space="preserve">PAS0549</t>
  </si>
  <si>
    <t xml:space="preserve">OCARA</t>
  </si>
  <si>
    <t xml:space="preserve">62755-000</t>
  </si>
  <si>
    <t xml:space="preserve">62759-999</t>
  </si>
  <si>
    <t xml:space="preserve">PAS0550</t>
  </si>
  <si>
    <t xml:space="preserve">PACAJUS</t>
  </si>
  <si>
    <t xml:space="preserve">62870-000</t>
  </si>
  <si>
    <t xml:space="preserve">62874-999</t>
  </si>
  <si>
    <t xml:space="preserve">PAS0551</t>
  </si>
  <si>
    <t xml:space="preserve">PACOTI</t>
  </si>
  <si>
    <t xml:space="preserve">62770-000</t>
  </si>
  <si>
    <t xml:space="preserve">62779-999</t>
  </si>
  <si>
    <t xml:space="preserve">PAS0552</t>
  </si>
  <si>
    <t xml:space="preserve">PALMACIA</t>
  </si>
  <si>
    <t xml:space="preserve">62780-000</t>
  </si>
  <si>
    <t xml:space="preserve">62784-999</t>
  </si>
  <si>
    <t xml:space="preserve">PAS0553</t>
  </si>
  <si>
    <t xml:space="preserve">PARACURU</t>
  </si>
  <si>
    <t xml:space="preserve">62680-000</t>
  </si>
  <si>
    <t xml:space="preserve">62684-999</t>
  </si>
  <si>
    <t xml:space="preserve">PAS0554</t>
  </si>
  <si>
    <t xml:space="preserve">PARAIPABA</t>
  </si>
  <si>
    <t xml:space="preserve">62685-000</t>
  </si>
  <si>
    <t xml:space="preserve">62689-999</t>
  </si>
  <si>
    <t xml:space="preserve">PAS0555</t>
  </si>
  <si>
    <t xml:space="preserve">PARAMOTI</t>
  </si>
  <si>
    <t xml:space="preserve">62736-000</t>
  </si>
  <si>
    <t xml:space="preserve">62737-999</t>
  </si>
  <si>
    <t xml:space="preserve">PAS0556</t>
  </si>
  <si>
    <t xml:space="preserve">PENTECOSTE</t>
  </si>
  <si>
    <t xml:space="preserve">62640-000</t>
  </si>
  <si>
    <t xml:space="preserve">62649-999</t>
  </si>
  <si>
    <t xml:space="preserve">PAS0557</t>
  </si>
  <si>
    <t xml:space="preserve">PEREIRO</t>
  </si>
  <si>
    <t xml:space="preserve">63460-000</t>
  </si>
  <si>
    <t xml:space="preserve">63469-999</t>
  </si>
  <si>
    <t xml:space="preserve">PAS0558</t>
  </si>
  <si>
    <t xml:space="preserve">PIQUET CARNEIRO</t>
  </si>
  <si>
    <t xml:space="preserve">63605-000</t>
  </si>
  <si>
    <t xml:space="preserve">63609-999</t>
  </si>
  <si>
    <t xml:space="preserve">PAS0559</t>
  </si>
  <si>
    <t xml:space="preserve">REDENCAO</t>
  </si>
  <si>
    <t xml:space="preserve">62790-000</t>
  </si>
  <si>
    <t xml:space="preserve">62794-999</t>
  </si>
  <si>
    <t xml:space="preserve">PAS0560</t>
  </si>
  <si>
    <t xml:space="preserve">59290-001</t>
  </si>
  <si>
    <t xml:space="preserve">59299-999</t>
  </si>
  <si>
    <t xml:space="preserve">PAS0561</t>
  </si>
  <si>
    <t xml:space="preserve">SAO LUIS DO CURU</t>
  </si>
  <si>
    <t xml:space="preserve">62665-000</t>
  </si>
  <si>
    <t xml:space="preserve">62669-999</t>
  </si>
  <si>
    <t xml:space="preserve">PAS0562</t>
  </si>
  <si>
    <t xml:space="preserve">TRAIRI</t>
  </si>
  <si>
    <t xml:space="preserve">62690-000</t>
  </si>
  <si>
    <t xml:space="preserve">62699-999</t>
  </si>
  <si>
    <t xml:space="preserve">PAS0563</t>
  </si>
  <si>
    <t xml:space="preserve">TURURU</t>
  </si>
  <si>
    <t xml:space="preserve">62655-000</t>
  </si>
  <si>
    <t xml:space="preserve">62659-999</t>
  </si>
  <si>
    <t xml:space="preserve">PAS0564</t>
  </si>
  <si>
    <t xml:space="preserve">UMIRIM</t>
  </si>
  <si>
    <t xml:space="preserve">62660-000</t>
  </si>
  <si>
    <t xml:space="preserve">62664-999</t>
  </si>
  <si>
    <t xml:space="preserve">PAS0565</t>
  </si>
  <si>
    <t xml:space="preserve">URUBURETAMA</t>
  </si>
  <si>
    <t xml:space="preserve">62650-000</t>
  </si>
  <si>
    <t xml:space="preserve">62654-999</t>
  </si>
  <si>
    <t xml:space="preserve">PAS0566</t>
  </si>
  <si>
    <t xml:space="preserve">ABAIARA</t>
  </si>
  <si>
    <t xml:space="preserve">63240-000</t>
  </si>
  <si>
    <t xml:space="preserve">63249-999</t>
  </si>
  <si>
    <t xml:space="preserve">PAS0567</t>
  </si>
  <si>
    <t xml:space="preserve">ACARAU</t>
  </si>
  <si>
    <t xml:space="preserve">62580-000</t>
  </si>
  <si>
    <t xml:space="preserve">62589-999</t>
  </si>
  <si>
    <t xml:space="preserve">PAS0568</t>
  </si>
  <si>
    <t xml:space="preserve">ACOPIARA</t>
  </si>
  <si>
    <t xml:space="preserve">63560-000</t>
  </si>
  <si>
    <t xml:space="preserve">63569-999</t>
  </si>
  <si>
    <t xml:space="preserve">PAS0569</t>
  </si>
  <si>
    <t xml:space="preserve">AIUABA</t>
  </si>
  <si>
    <t xml:space="preserve">63575-000</t>
  </si>
  <si>
    <t xml:space="preserve">63579-999</t>
  </si>
  <si>
    <t xml:space="preserve">PAS0570</t>
  </si>
  <si>
    <t xml:space="preserve">ALCANTARAS</t>
  </si>
  <si>
    <t xml:space="preserve">62120-000</t>
  </si>
  <si>
    <t xml:space="preserve">62129-999</t>
  </si>
  <si>
    <t xml:space="preserve">PAS0571</t>
  </si>
  <si>
    <t xml:space="preserve">ALTANEIRA</t>
  </si>
  <si>
    <t xml:space="preserve">63195-000</t>
  </si>
  <si>
    <t xml:space="preserve">63199-999</t>
  </si>
  <si>
    <t xml:space="preserve">PAS0572</t>
  </si>
  <si>
    <t xml:space="preserve">ALTO SANTO</t>
  </si>
  <si>
    <t xml:space="preserve">62970-000</t>
  </si>
  <si>
    <t xml:space="preserve">62979-999</t>
  </si>
  <si>
    <t xml:space="preserve">PAS0573</t>
  </si>
  <si>
    <t xml:space="preserve">AMONTADA</t>
  </si>
  <si>
    <t xml:space="preserve">62540-000</t>
  </si>
  <si>
    <t xml:space="preserve">62549-999</t>
  </si>
  <si>
    <t xml:space="preserve">PAS0574</t>
  </si>
  <si>
    <t xml:space="preserve">ANTONINA DO NORTE</t>
  </si>
  <si>
    <t xml:space="preserve">63570-000</t>
  </si>
  <si>
    <t xml:space="preserve">63574-999</t>
  </si>
  <si>
    <t xml:space="preserve">PAS0575</t>
  </si>
  <si>
    <t xml:space="preserve">ARARENDA</t>
  </si>
  <si>
    <t xml:space="preserve">62210-000</t>
  </si>
  <si>
    <t xml:space="preserve">62214-999</t>
  </si>
  <si>
    <t xml:space="preserve">PAS0576</t>
  </si>
  <si>
    <t xml:space="preserve">ARARIPE</t>
  </si>
  <si>
    <t xml:space="preserve">63170-000</t>
  </si>
  <si>
    <t xml:space="preserve">63179-999</t>
  </si>
  <si>
    <t xml:space="preserve">PAS0577</t>
  </si>
  <si>
    <t xml:space="preserve">ARNEIROZ</t>
  </si>
  <si>
    <t xml:space="preserve">63670-000</t>
  </si>
  <si>
    <t xml:space="preserve">63679-999</t>
  </si>
  <si>
    <t xml:space="preserve">PAS0578</t>
  </si>
  <si>
    <t xml:space="preserve">ASSARE</t>
  </si>
  <si>
    <t xml:space="preserve">63140-000</t>
  </si>
  <si>
    <t xml:space="preserve">63144-999</t>
  </si>
  <si>
    <t xml:space="preserve">PAS0579</t>
  </si>
  <si>
    <t xml:space="preserve">AURORA</t>
  </si>
  <si>
    <t xml:space="preserve">63360-000</t>
  </si>
  <si>
    <t xml:space="preserve">63379-999</t>
  </si>
  <si>
    <t xml:space="preserve">PAS0580</t>
  </si>
  <si>
    <t xml:space="preserve">BAIXIO</t>
  </si>
  <si>
    <t xml:space="preserve">63320-000</t>
  </si>
  <si>
    <t xml:space="preserve">63339-999</t>
  </si>
  <si>
    <t xml:space="preserve">PAS0581</t>
  </si>
  <si>
    <t xml:space="preserve">BANABUIU</t>
  </si>
  <si>
    <t xml:space="preserve">63960-000</t>
  </si>
  <si>
    <t xml:space="preserve">63969-999</t>
  </si>
  <si>
    <t xml:space="preserve">PAS0582</t>
  </si>
  <si>
    <t xml:space="preserve">BARBALHA</t>
  </si>
  <si>
    <t xml:space="preserve">63090-000</t>
  </si>
  <si>
    <t xml:space="preserve">63184-999</t>
  </si>
  <si>
    <t xml:space="preserve">PAS0583</t>
  </si>
  <si>
    <t xml:space="preserve">BARRO</t>
  </si>
  <si>
    <t xml:space="preserve">63380-000</t>
  </si>
  <si>
    <t xml:space="preserve">63399-999</t>
  </si>
  <si>
    <t xml:space="preserve">PAS0584</t>
  </si>
  <si>
    <t xml:space="preserve">BARROQUINHA</t>
  </si>
  <si>
    <t xml:space="preserve">62410-000</t>
  </si>
  <si>
    <t xml:space="preserve">62419-999</t>
  </si>
  <si>
    <t xml:space="preserve">PAS0585</t>
  </si>
  <si>
    <t xml:space="preserve">BELA CRUZ</t>
  </si>
  <si>
    <t xml:space="preserve">62570-000</t>
  </si>
  <si>
    <t xml:space="preserve">62579-999</t>
  </si>
  <si>
    <t xml:space="preserve">PAS0586</t>
  </si>
  <si>
    <t xml:space="preserve">BOA VIAGEM</t>
  </si>
  <si>
    <t xml:space="preserve">63870-000</t>
  </si>
  <si>
    <t xml:space="preserve">63899-999</t>
  </si>
  <si>
    <t xml:space="preserve">PAS0587</t>
  </si>
  <si>
    <t xml:space="preserve">63260-000</t>
  </si>
  <si>
    <t xml:space="preserve">63269-999</t>
  </si>
  <si>
    <t xml:space="preserve">PAS0588</t>
  </si>
  <si>
    <t xml:space="preserve">CAMOCIM</t>
  </si>
  <si>
    <t xml:space="preserve">62400-000</t>
  </si>
  <si>
    <t xml:space="preserve">62409-999</t>
  </si>
  <si>
    <t xml:space="preserve">PAS0589</t>
  </si>
  <si>
    <t xml:space="preserve">CAMPOS SALES</t>
  </si>
  <si>
    <t xml:space="preserve">63150-000</t>
  </si>
  <si>
    <t xml:space="preserve">63154-999</t>
  </si>
  <si>
    <t xml:space="preserve">PAS0590</t>
  </si>
  <si>
    <t xml:space="preserve">CARIRE</t>
  </si>
  <si>
    <t xml:space="preserve">62184-000</t>
  </si>
  <si>
    <t xml:space="preserve">62189-999</t>
  </si>
  <si>
    <t xml:space="preserve">PAS0591</t>
  </si>
  <si>
    <t xml:space="preserve">CARIRIACU</t>
  </si>
  <si>
    <t xml:space="preserve">63220-000</t>
  </si>
  <si>
    <t xml:space="preserve">63229-999</t>
  </si>
  <si>
    <t xml:space="preserve">PAS0592</t>
  </si>
  <si>
    <t xml:space="preserve">CARIUS</t>
  </si>
  <si>
    <t xml:space="preserve">63530-000</t>
  </si>
  <si>
    <t xml:space="preserve">63539-999</t>
  </si>
  <si>
    <t xml:space="preserve">PAS0593</t>
  </si>
  <si>
    <t xml:space="preserve">CARNAUBAL</t>
  </si>
  <si>
    <t xml:space="preserve">62375-000</t>
  </si>
  <si>
    <t xml:space="preserve">62379-999</t>
  </si>
  <si>
    <t xml:space="preserve">PAS0594</t>
  </si>
  <si>
    <t xml:space="preserve">CATARINA</t>
  </si>
  <si>
    <t xml:space="preserve">63595-000</t>
  </si>
  <si>
    <t xml:space="preserve">63599-999</t>
  </si>
  <si>
    <t xml:space="preserve">PAS0595</t>
  </si>
  <si>
    <t xml:space="preserve">CATUNDA</t>
  </si>
  <si>
    <t xml:space="preserve">62297-000</t>
  </si>
  <si>
    <t xml:space="preserve">62299-999</t>
  </si>
  <si>
    <t xml:space="preserve">PAS0596</t>
  </si>
  <si>
    <t xml:space="preserve">CEDRO</t>
  </si>
  <si>
    <t xml:space="preserve">56130-000</t>
  </si>
  <si>
    <t xml:space="preserve">56139-999</t>
  </si>
  <si>
    <t xml:space="preserve">PAS0597</t>
  </si>
  <si>
    <t xml:space="preserve">CHAVAL</t>
  </si>
  <si>
    <t xml:space="preserve">62420-000</t>
  </si>
  <si>
    <t xml:space="preserve">62429-999</t>
  </si>
  <si>
    <t xml:space="preserve">PAS0598</t>
  </si>
  <si>
    <t xml:space="preserve">CHORO</t>
  </si>
  <si>
    <t xml:space="preserve">63950-000</t>
  </si>
  <si>
    <t xml:space="preserve">63959-999</t>
  </si>
  <si>
    <t xml:space="preserve">PAS0599</t>
  </si>
  <si>
    <t xml:space="preserve">COREAU</t>
  </si>
  <si>
    <t xml:space="preserve">62160-000</t>
  </si>
  <si>
    <t xml:space="preserve">62169-999</t>
  </si>
  <si>
    <t xml:space="preserve">PAS0600</t>
  </si>
  <si>
    <t xml:space="preserve">CRATEUS</t>
  </si>
  <si>
    <t xml:space="preserve">63700-001</t>
  </si>
  <si>
    <t xml:space="preserve">63739-999</t>
  </si>
  <si>
    <t xml:space="preserve">PAS0601</t>
  </si>
  <si>
    <t xml:space="preserve">63100-001</t>
  </si>
  <si>
    <t xml:space="preserve">63139-999</t>
  </si>
  <si>
    <t xml:space="preserve">PAS0602</t>
  </si>
  <si>
    <t xml:space="preserve">CROATA</t>
  </si>
  <si>
    <t xml:space="preserve">62390-000</t>
  </si>
  <si>
    <t xml:space="preserve">62399-999</t>
  </si>
  <si>
    <t xml:space="preserve">PAS0603</t>
  </si>
  <si>
    <t xml:space="preserve">CRUZ</t>
  </si>
  <si>
    <t xml:space="preserve">62595-000</t>
  </si>
  <si>
    <t xml:space="preserve">62597-999</t>
  </si>
  <si>
    <t xml:space="preserve">PAS0604</t>
  </si>
  <si>
    <t xml:space="preserve">DEPUTADO IRAPUAN PINHEIRO</t>
  </si>
  <si>
    <t xml:space="preserve">63645-000</t>
  </si>
  <si>
    <t xml:space="preserve">63649-999</t>
  </si>
  <si>
    <t xml:space="preserve">PAS0605</t>
  </si>
  <si>
    <t xml:space="preserve">ERERE</t>
  </si>
  <si>
    <t xml:space="preserve">63470-000</t>
  </si>
  <si>
    <t xml:space="preserve">63474-999</t>
  </si>
  <si>
    <t xml:space="preserve">PAS0606</t>
  </si>
  <si>
    <t xml:space="preserve">FARIAS BRITO</t>
  </si>
  <si>
    <t xml:space="preserve">63185-000</t>
  </si>
  <si>
    <t xml:space="preserve">63189-999</t>
  </si>
  <si>
    <t xml:space="preserve">PAS0607</t>
  </si>
  <si>
    <t xml:space="preserve">FORQUILHA</t>
  </si>
  <si>
    <t xml:space="preserve">62115-000</t>
  </si>
  <si>
    <t xml:space="preserve">62119-999</t>
  </si>
  <si>
    <t xml:space="preserve">PAS0608</t>
  </si>
  <si>
    <t xml:space="preserve">FRECHEIRINHA</t>
  </si>
  <si>
    <t xml:space="preserve">62340-000</t>
  </si>
  <si>
    <t xml:space="preserve">62349-999</t>
  </si>
  <si>
    <t xml:space="preserve">PAS0609</t>
  </si>
  <si>
    <t xml:space="preserve">GRACA</t>
  </si>
  <si>
    <t xml:space="preserve">62365-000</t>
  </si>
  <si>
    <t xml:space="preserve">62369-999</t>
  </si>
  <si>
    <t xml:space="preserve">PAS0610</t>
  </si>
  <si>
    <t xml:space="preserve">GRANJA</t>
  </si>
  <si>
    <t xml:space="preserve">62430-000</t>
  </si>
  <si>
    <t xml:space="preserve">62449-999</t>
  </si>
  <si>
    <t xml:space="preserve">PAS0611</t>
  </si>
  <si>
    <t xml:space="preserve">GRANJEIRO</t>
  </si>
  <si>
    <t xml:space="preserve">63230-000</t>
  </si>
  <si>
    <t xml:space="preserve">63239-999</t>
  </si>
  <si>
    <t xml:space="preserve">PAS0612</t>
  </si>
  <si>
    <t xml:space="preserve">GROAIRAS</t>
  </si>
  <si>
    <t xml:space="preserve">62190-000</t>
  </si>
  <si>
    <t xml:space="preserve">62199-999</t>
  </si>
  <si>
    <t xml:space="preserve">PAS0613</t>
  </si>
  <si>
    <t xml:space="preserve">GUARACIABA DO NORTE</t>
  </si>
  <si>
    <t xml:space="preserve">62380-000</t>
  </si>
  <si>
    <t xml:space="preserve">62389-999</t>
  </si>
  <si>
    <t xml:space="preserve">PAS0614</t>
  </si>
  <si>
    <t xml:space="preserve">HIDROLANDIA</t>
  </si>
  <si>
    <t xml:space="preserve">62270-000</t>
  </si>
  <si>
    <t xml:space="preserve">62279-999</t>
  </si>
  <si>
    <t xml:space="preserve">PAS0615</t>
  </si>
  <si>
    <t xml:space="preserve">IBIAPINA</t>
  </si>
  <si>
    <t xml:space="preserve">62360-000</t>
  </si>
  <si>
    <t xml:space="preserve">62364-999</t>
  </si>
  <si>
    <t xml:space="preserve">PAS0616</t>
  </si>
  <si>
    <t xml:space="preserve">IBICUITINGA</t>
  </si>
  <si>
    <t xml:space="preserve">62955-000</t>
  </si>
  <si>
    <t xml:space="preserve">62959-999</t>
  </si>
  <si>
    <t xml:space="preserve">PAS0617</t>
  </si>
  <si>
    <t xml:space="preserve">ICAPUI</t>
  </si>
  <si>
    <t xml:space="preserve">62810-000</t>
  </si>
  <si>
    <t xml:space="preserve">62814-999</t>
  </si>
  <si>
    <t xml:space="preserve">PAS0618</t>
  </si>
  <si>
    <t xml:space="preserve">ICO</t>
  </si>
  <si>
    <t xml:space="preserve">63430-000</t>
  </si>
  <si>
    <t xml:space="preserve">63459-999</t>
  </si>
  <si>
    <t xml:space="preserve">PAS0619</t>
  </si>
  <si>
    <t xml:space="preserve">IGUATU</t>
  </si>
  <si>
    <t xml:space="preserve">63500-001</t>
  </si>
  <si>
    <t xml:space="preserve">63514-999</t>
  </si>
  <si>
    <t xml:space="preserve">PAS0620</t>
  </si>
  <si>
    <t xml:space="preserve">INDEPENDENCIA</t>
  </si>
  <si>
    <t xml:space="preserve">63640-000</t>
  </si>
  <si>
    <t xml:space="preserve">63644-999</t>
  </si>
  <si>
    <t xml:space="preserve">PAS0621</t>
  </si>
  <si>
    <t xml:space="preserve">IPAPORANGA</t>
  </si>
  <si>
    <t xml:space="preserve">62215-000</t>
  </si>
  <si>
    <t xml:space="preserve">62219-999</t>
  </si>
  <si>
    <t xml:space="preserve">PAS0622</t>
  </si>
  <si>
    <t xml:space="preserve">IPAUMIRIM</t>
  </si>
  <si>
    <t xml:space="preserve">63340-000</t>
  </si>
  <si>
    <t xml:space="preserve">63359-999</t>
  </si>
  <si>
    <t xml:space="preserve">PAS0623</t>
  </si>
  <si>
    <t xml:space="preserve">IPU</t>
  </si>
  <si>
    <t xml:space="preserve">62250-000</t>
  </si>
  <si>
    <t xml:space="preserve">62254-999</t>
  </si>
  <si>
    <t xml:space="preserve">PAS0624</t>
  </si>
  <si>
    <t xml:space="preserve">IPUEIRAS</t>
  </si>
  <si>
    <t xml:space="preserve">62230-000</t>
  </si>
  <si>
    <t xml:space="preserve">62249-999</t>
  </si>
  <si>
    <t xml:space="preserve">PAS0625</t>
  </si>
  <si>
    <t xml:space="preserve">IRACEMA</t>
  </si>
  <si>
    <t xml:space="preserve">62980-000</t>
  </si>
  <si>
    <t xml:space="preserve">62989-999</t>
  </si>
  <si>
    <t xml:space="preserve">PAS0626</t>
  </si>
  <si>
    <t xml:space="preserve">IRAUCUBA</t>
  </si>
  <si>
    <t xml:space="preserve">62620-000</t>
  </si>
  <si>
    <t xml:space="preserve">62629-999</t>
  </si>
  <si>
    <t xml:space="preserve">PAS0627</t>
  </si>
  <si>
    <t xml:space="preserve">ITAICABA</t>
  </si>
  <si>
    <t xml:space="preserve">62820-000</t>
  </si>
  <si>
    <t xml:space="preserve">62822-999</t>
  </si>
  <si>
    <t xml:space="preserve">PAS0628</t>
  </si>
  <si>
    <t xml:space="preserve">ITAPAJE</t>
  </si>
  <si>
    <t xml:space="preserve">62600-000</t>
  </si>
  <si>
    <t xml:space="preserve">62609-999</t>
  </si>
  <si>
    <t xml:space="preserve">PAS0629</t>
  </si>
  <si>
    <t xml:space="preserve">ITAREMA</t>
  </si>
  <si>
    <t xml:space="preserve">62590-000</t>
  </si>
  <si>
    <t xml:space="preserve">62594-999</t>
  </si>
  <si>
    <t xml:space="preserve">PAS0630</t>
  </si>
  <si>
    <t xml:space="preserve">ITATIRA</t>
  </si>
  <si>
    <t xml:space="preserve">62720-000</t>
  </si>
  <si>
    <t xml:space="preserve">62729-999</t>
  </si>
  <si>
    <t xml:space="preserve">PAS0631</t>
  </si>
  <si>
    <t xml:space="preserve">JAGUARETAMA</t>
  </si>
  <si>
    <t xml:space="preserve">63480-000</t>
  </si>
  <si>
    <t xml:space="preserve">63489-999</t>
  </si>
  <si>
    <t xml:space="preserve">PAS0632</t>
  </si>
  <si>
    <t xml:space="preserve">JAGUARIBARA</t>
  </si>
  <si>
    <t xml:space="preserve">63490-000</t>
  </si>
  <si>
    <t xml:space="preserve">63499-999</t>
  </si>
  <si>
    <t xml:space="preserve">PAS0633</t>
  </si>
  <si>
    <t xml:space="preserve">JAGUARIBE</t>
  </si>
  <si>
    <t xml:space="preserve">63475-000</t>
  </si>
  <si>
    <t xml:space="preserve">63479-999</t>
  </si>
  <si>
    <t xml:space="preserve">PAS0634</t>
  </si>
  <si>
    <t xml:space="preserve">JAGUARUANA</t>
  </si>
  <si>
    <t xml:space="preserve">62823-000</t>
  </si>
  <si>
    <t xml:space="preserve">62839-999</t>
  </si>
  <si>
    <t xml:space="preserve">PAS0635</t>
  </si>
  <si>
    <t xml:space="preserve">JARDIM</t>
  </si>
  <si>
    <t xml:space="preserve">63290-000</t>
  </si>
  <si>
    <t xml:space="preserve">63299-999</t>
  </si>
  <si>
    <t xml:space="preserve">PAS0636</t>
  </si>
  <si>
    <t xml:space="preserve">JATI</t>
  </si>
  <si>
    <t xml:space="preserve">63275-000</t>
  </si>
  <si>
    <t xml:space="preserve">63279-999</t>
  </si>
  <si>
    <t xml:space="preserve">PAS0637</t>
  </si>
  <si>
    <t xml:space="preserve">JIJOCA DE JERICOACOARA</t>
  </si>
  <si>
    <t xml:space="preserve">62598-000</t>
  </si>
  <si>
    <t xml:space="preserve">62599-999</t>
  </si>
  <si>
    <t xml:space="preserve">PAS0638</t>
  </si>
  <si>
    <t xml:space="preserve">63000-001</t>
  </si>
  <si>
    <t xml:space="preserve">63089-999</t>
  </si>
  <si>
    <t xml:space="preserve">PAS0639</t>
  </si>
  <si>
    <t xml:space="preserve">JUCAS</t>
  </si>
  <si>
    <t xml:space="preserve">63580-000</t>
  </si>
  <si>
    <t xml:space="preserve">63589-999</t>
  </si>
  <si>
    <t xml:space="preserve">PAS0640</t>
  </si>
  <si>
    <t xml:space="preserve">LAVRAS DA MANGABEIRA</t>
  </si>
  <si>
    <t xml:space="preserve">63300-000</t>
  </si>
  <si>
    <t xml:space="preserve">63309-999</t>
  </si>
  <si>
    <t xml:space="preserve">PAS0641</t>
  </si>
  <si>
    <t xml:space="preserve">LIMOEIRO DO NORTE</t>
  </si>
  <si>
    <t xml:space="preserve">62930-000</t>
  </si>
  <si>
    <t xml:space="preserve">62939-999</t>
  </si>
  <si>
    <t xml:space="preserve">PAS0642</t>
  </si>
  <si>
    <t xml:space="preserve">MADALENA</t>
  </si>
  <si>
    <t xml:space="preserve">63860-000</t>
  </si>
  <si>
    <t xml:space="preserve">63869-999</t>
  </si>
  <si>
    <t xml:space="preserve">PAS0643</t>
  </si>
  <si>
    <t xml:space="preserve">MARCO</t>
  </si>
  <si>
    <t xml:space="preserve">62560-000</t>
  </si>
  <si>
    <t xml:space="preserve">62569-999</t>
  </si>
  <si>
    <t xml:space="preserve">PAS0644</t>
  </si>
  <si>
    <t xml:space="preserve">MARTINOPOLE</t>
  </si>
  <si>
    <t xml:space="preserve">62450-000</t>
  </si>
  <si>
    <t xml:space="preserve">62459-999</t>
  </si>
  <si>
    <t xml:space="preserve">PAS0645</t>
  </si>
  <si>
    <t xml:space="preserve">MASSAPE</t>
  </si>
  <si>
    <t xml:space="preserve">62140-000</t>
  </si>
  <si>
    <t xml:space="preserve">62149-999</t>
  </si>
  <si>
    <t xml:space="preserve">PAS0646</t>
  </si>
  <si>
    <t xml:space="preserve">MAURITI</t>
  </si>
  <si>
    <t xml:space="preserve">63210-000</t>
  </si>
  <si>
    <t xml:space="preserve">63219-999</t>
  </si>
  <si>
    <t xml:space="preserve">PAS0647</t>
  </si>
  <si>
    <t xml:space="preserve">MERUOCA</t>
  </si>
  <si>
    <t xml:space="preserve">62130-000</t>
  </si>
  <si>
    <t xml:space="preserve">62139-999</t>
  </si>
  <si>
    <t xml:space="preserve">PAS0648</t>
  </si>
  <si>
    <t xml:space="preserve">63250-000</t>
  </si>
  <si>
    <t xml:space="preserve">63259-999</t>
  </si>
  <si>
    <t xml:space="preserve">PAS0649</t>
  </si>
  <si>
    <t xml:space="preserve">MILHA</t>
  </si>
  <si>
    <t xml:space="preserve">63635-000</t>
  </si>
  <si>
    <t xml:space="preserve">63639-999</t>
  </si>
  <si>
    <t xml:space="preserve">PAS0650</t>
  </si>
  <si>
    <t xml:space="preserve">MIRAIMA</t>
  </si>
  <si>
    <t xml:space="preserve">62530-000</t>
  </si>
  <si>
    <t xml:space="preserve">62539-999</t>
  </si>
  <si>
    <t xml:space="preserve">PAS0651</t>
  </si>
  <si>
    <t xml:space="preserve">MISSAO VELHA</t>
  </si>
  <si>
    <t xml:space="preserve">63200-000</t>
  </si>
  <si>
    <t xml:space="preserve">63209-999</t>
  </si>
  <si>
    <t xml:space="preserve">PAS0652</t>
  </si>
  <si>
    <t xml:space="preserve">MOMBACA</t>
  </si>
  <si>
    <t xml:space="preserve">63610-000</t>
  </si>
  <si>
    <t xml:space="preserve">63619-999</t>
  </si>
  <si>
    <t xml:space="preserve">PAS0653</t>
  </si>
  <si>
    <t xml:space="preserve">MONSENHOR TABOSA</t>
  </si>
  <si>
    <t xml:space="preserve">63780-000</t>
  </si>
  <si>
    <t xml:space="preserve">63799-999</t>
  </si>
  <si>
    <t xml:space="preserve">PAS0654</t>
  </si>
  <si>
    <t xml:space="preserve">MORADA NOVA</t>
  </si>
  <si>
    <t xml:space="preserve">62940-000</t>
  </si>
  <si>
    <t xml:space="preserve">62954-999</t>
  </si>
  <si>
    <t xml:space="preserve">PAS0655</t>
  </si>
  <si>
    <t xml:space="preserve">MORAUJO</t>
  </si>
  <si>
    <t xml:space="preserve">62480-000</t>
  </si>
  <si>
    <t xml:space="preserve">62499-999</t>
  </si>
  <si>
    <t xml:space="preserve">PAS0656</t>
  </si>
  <si>
    <t xml:space="preserve">MORRINHOS</t>
  </si>
  <si>
    <t xml:space="preserve">62550-000</t>
  </si>
  <si>
    <t xml:space="preserve">62559-999</t>
  </si>
  <si>
    <t xml:space="preserve">PAS0657</t>
  </si>
  <si>
    <t xml:space="preserve">MUCAMBO</t>
  </si>
  <si>
    <t xml:space="preserve">62170-000</t>
  </si>
  <si>
    <t xml:space="preserve">62179-999</t>
  </si>
  <si>
    <t xml:space="preserve">PAS0658</t>
  </si>
  <si>
    <t xml:space="preserve">NOVA OLINDA</t>
  </si>
  <si>
    <t xml:space="preserve">58798-000</t>
  </si>
  <si>
    <t xml:space="preserve">58799-999</t>
  </si>
  <si>
    <t xml:space="preserve">PAS0659</t>
  </si>
  <si>
    <t xml:space="preserve">NOVA RUSSAS</t>
  </si>
  <si>
    <t xml:space="preserve">62200-000</t>
  </si>
  <si>
    <t xml:space="preserve">62209-999</t>
  </si>
  <si>
    <t xml:space="preserve">PAS0660</t>
  </si>
  <si>
    <t xml:space="preserve">NOVO ORIENTE</t>
  </si>
  <si>
    <t xml:space="preserve">63740-000</t>
  </si>
  <si>
    <t xml:space="preserve">63749-999</t>
  </si>
  <si>
    <t xml:space="preserve">PAS0661</t>
  </si>
  <si>
    <t xml:space="preserve">OROS</t>
  </si>
  <si>
    <t xml:space="preserve">63520-000</t>
  </si>
  <si>
    <t xml:space="preserve">63529-999</t>
  </si>
  <si>
    <t xml:space="preserve">PAS0662</t>
  </si>
  <si>
    <t xml:space="preserve">49970-000</t>
  </si>
  <si>
    <t xml:space="preserve">49979-999</t>
  </si>
  <si>
    <t xml:space="preserve">PAS0663</t>
  </si>
  <si>
    <t xml:space="preserve">PACUJA</t>
  </si>
  <si>
    <t xml:space="preserve">62180-000</t>
  </si>
  <si>
    <t xml:space="preserve">62183-999</t>
  </si>
  <si>
    <t xml:space="preserve">PAS0664</t>
  </si>
  <si>
    <t xml:space="preserve">PALHANO</t>
  </si>
  <si>
    <t xml:space="preserve">62910-000</t>
  </si>
  <si>
    <t xml:space="preserve">62919-999</t>
  </si>
  <si>
    <t xml:space="preserve">PAS0665</t>
  </si>
  <si>
    <t xml:space="preserve">PARAMBU</t>
  </si>
  <si>
    <t xml:space="preserve">63680-000</t>
  </si>
  <si>
    <t xml:space="preserve">63699-999</t>
  </si>
  <si>
    <t xml:space="preserve">PAS0666</t>
  </si>
  <si>
    <t xml:space="preserve">PEDRA BRANCA</t>
  </si>
  <si>
    <t xml:space="preserve">58790-000</t>
  </si>
  <si>
    <t xml:space="preserve">58794-999</t>
  </si>
  <si>
    <t xml:space="preserve">PAS0667</t>
  </si>
  <si>
    <t xml:space="preserve">PENAFORTE</t>
  </si>
  <si>
    <t xml:space="preserve">63280-000</t>
  </si>
  <si>
    <t xml:space="preserve">63289-999</t>
  </si>
  <si>
    <t xml:space="preserve">PAS0668</t>
  </si>
  <si>
    <t xml:space="preserve">PINDORETAMA</t>
  </si>
  <si>
    <t xml:space="preserve">62860-000</t>
  </si>
  <si>
    <t xml:space="preserve">62869-999</t>
  </si>
  <si>
    <t xml:space="preserve">PAS0669</t>
  </si>
  <si>
    <t xml:space="preserve">PIRES FERREIRA</t>
  </si>
  <si>
    <t xml:space="preserve">62255-000</t>
  </si>
  <si>
    <t xml:space="preserve">62259-999</t>
  </si>
  <si>
    <t xml:space="preserve">PAS0670</t>
  </si>
  <si>
    <t xml:space="preserve">PORANGA</t>
  </si>
  <si>
    <t xml:space="preserve">62220-000</t>
  </si>
  <si>
    <t xml:space="preserve">62229-999</t>
  </si>
  <si>
    <t xml:space="preserve">PAS0671</t>
  </si>
  <si>
    <t xml:space="preserve">PORTEIRAS</t>
  </si>
  <si>
    <t xml:space="preserve">63270-000</t>
  </si>
  <si>
    <t xml:space="preserve">63274-999</t>
  </si>
  <si>
    <t xml:space="preserve">PAS0672</t>
  </si>
  <si>
    <t xml:space="preserve">POTENGI</t>
  </si>
  <si>
    <t xml:space="preserve">63160-000</t>
  </si>
  <si>
    <t xml:space="preserve">63164-999</t>
  </si>
  <si>
    <t xml:space="preserve">PAS0673</t>
  </si>
  <si>
    <t xml:space="preserve">POTIRETAMA</t>
  </si>
  <si>
    <t xml:space="preserve">62990-000</t>
  </si>
  <si>
    <t xml:space="preserve">62999-999</t>
  </si>
  <si>
    <t xml:space="preserve">PAS0674</t>
  </si>
  <si>
    <t xml:space="preserve">QUITERIANOPOLIS</t>
  </si>
  <si>
    <t xml:space="preserve">63650-000</t>
  </si>
  <si>
    <t xml:space="preserve">63659-999</t>
  </si>
  <si>
    <t xml:space="preserve">PAS0675</t>
  </si>
  <si>
    <t xml:space="preserve">QUIXADA</t>
  </si>
  <si>
    <t xml:space="preserve">63900-001</t>
  </si>
  <si>
    <t xml:space="preserve">63949-999</t>
  </si>
  <si>
    <t xml:space="preserve">PAS0676</t>
  </si>
  <si>
    <t xml:space="preserve">QUIXELO</t>
  </si>
  <si>
    <t xml:space="preserve">63515-000</t>
  </si>
  <si>
    <t xml:space="preserve">63519-999</t>
  </si>
  <si>
    <t xml:space="preserve">PAS0677</t>
  </si>
  <si>
    <t xml:space="preserve">QUIXERAMOBIM</t>
  </si>
  <si>
    <t xml:space="preserve">63800-000</t>
  </si>
  <si>
    <t xml:space="preserve">63859-999</t>
  </si>
  <si>
    <t xml:space="preserve">PAS0678</t>
  </si>
  <si>
    <t xml:space="preserve">QUIXERE</t>
  </si>
  <si>
    <t xml:space="preserve">62920-000</t>
  </si>
  <si>
    <t xml:space="preserve">62929-999</t>
  </si>
  <si>
    <t xml:space="preserve">PAS0679</t>
  </si>
  <si>
    <t xml:space="preserve">RERIUTABA</t>
  </si>
  <si>
    <t xml:space="preserve">62260-000</t>
  </si>
  <si>
    <t xml:space="preserve">62264-999</t>
  </si>
  <si>
    <t xml:space="preserve">PAS0680</t>
  </si>
  <si>
    <t xml:space="preserve">RUSSAS</t>
  </si>
  <si>
    <t xml:space="preserve">62900-000</t>
  </si>
  <si>
    <t xml:space="preserve">62909-999</t>
  </si>
  <si>
    <t xml:space="preserve">PAS0681</t>
  </si>
  <si>
    <t xml:space="preserve">SABOEIRO</t>
  </si>
  <si>
    <t xml:space="preserve">63590-000</t>
  </si>
  <si>
    <t xml:space="preserve">63594-999</t>
  </si>
  <si>
    <t xml:space="preserve">PAS0682</t>
  </si>
  <si>
    <t xml:space="preserve">SALITRE</t>
  </si>
  <si>
    <t xml:space="preserve">63155-000</t>
  </si>
  <si>
    <t xml:space="preserve">63159-999</t>
  </si>
  <si>
    <t xml:space="preserve">PAS0683</t>
  </si>
  <si>
    <t xml:space="preserve">SANTA QUITERIA</t>
  </si>
  <si>
    <t xml:space="preserve">62280-000</t>
  </si>
  <si>
    <t xml:space="preserve">62296-999</t>
  </si>
  <si>
    <t xml:space="preserve">PAS0684</t>
  </si>
  <si>
    <t xml:space="preserve">SANTANA DO ACARAU</t>
  </si>
  <si>
    <t xml:space="preserve">62150-000</t>
  </si>
  <si>
    <t xml:space="preserve">62159-999</t>
  </si>
  <si>
    <t xml:space="preserve">PAS0685</t>
  </si>
  <si>
    <t xml:space="preserve">SANTANA DO CARIRI</t>
  </si>
  <si>
    <t xml:space="preserve">63190-000</t>
  </si>
  <si>
    <t xml:space="preserve">63194-999</t>
  </si>
  <si>
    <t xml:space="preserve">PAS0686</t>
  </si>
  <si>
    <t xml:space="preserve">SAO BENEDITO</t>
  </si>
  <si>
    <t xml:space="preserve">62370-000</t>
  </si>
  <si>
    <t xml:space="preserve">62374-999</t>
  </si>
  <si>
    <t xml:space="preserve">PAS0687</t>
  </si>
  <si>
    <t xml:space="preserve">SAO JOAO DO JAGUARIBE</t>
  </si>
  <si>
    <t xml:space="preserve">62965-000</t>
  </si>
  <si>
    <t xml:space="preserve">62969-999</t>
  </si>
  <si>
    <t xml:space="preserve">PAS0688</t>
  </si>
  <si>
    <t xml:space="preserve">SENADOR POMPEU</t>
  </si>
  <si>
    <t xml:space="preserve">63600-000</t>
  </si>
  <si>
    <t xml:space="preserve">63604-999</t>
  </si>
  <si>
    <t xml:space="preserve">PAS0689</t>
  </si>
  <si>
    <t xml:space="preserve">SENADOR SA</t>
  </si>
  <si>
    <t xml:space="preserve">62470-000</t>
  </si>
  <si>
    <t xml:space="preserve">62479-999</t>
  </si>
  <si>
    <t xml:space="preserve">PAS0690</t>
  </si>
  <si>
    <t xml:space="preserve">62000-001</t>
  </si>
  <si>
    <t xml:space="preserve">62114-999</t>
  </si>
  <si>
    <t xml:space="preserve">PAS0691</t>
  </si>
  <si>
    <t xml:space="preserve">SOLONOPOLE</t>
  </si>
  <si>
    <t xml:space="preserve">63620-000</t>
  </si>
  <si>
    <t xml:space="preserve">63629-999</t>
  </si>
  <si>
    <t xml:space="preserve">PAS0692</t>
  </si>
  <si>
    <t xml:space="preserve">TABULEIRO DO NORTE</t>
  </si>
  <si>
    <t xml:space="preserve">62960-000</t>
  </si>
  <si>
    <t xml:space="preserve">62964-999</t>
  </si>
  <si>
    <t xml:space="preserve">PAS0693</t>
  </si>
  <si>
    <t xml:space="preserve">TAMBORIL</t>
  </si>
  <si>
    <t xml:space="preserve">63750-000</t>
  </si>
  <si>
    <t xml:space="preserve">63779-999</t>
  </si>
  <si>
    <t xml:space="preserve">PAS0694</t>
  </si>
  <si>
    <t xml:space="preserve">TARRAFAS</t>
  </si>
  <si>
    <t xml:space="preserve">63145-000</t>
  </si>
  <si>
    <t xml:space="preserve">63149-999</t>
  </si>
  <si>
    <t xml:space="preserve">PAS0695</t>
  </si>
  <si>
    <t xml:space="preserve">TAUA</t>
  </si>
  <si>
    <t xml:space="preserve">63660-000</t>
  </si>
  <si>
    <t xml:space="preserve">63669-999</t>
  </si>
  <si>
    <t xml:space="preserve">PAS0696</t>
  </si>
  <si>
    <t xml:space="preserve">TEJUCUOCA</t>
  </si>
  <si>
    <t xml:space="preserve">62610-000</t>
  </si>
  <si>
    <t xml:space="preserve">62619-999</t>
  </si>
  <si>
    <t xml:space="preserve">PAS0697</t>
  </si>
  <si>
    <t xml:space="preserve">TIANGUA</t>
  </si>
  <si>
    <t xml:space="preserve">62320-001</t>
  </si>
  <si>
    <t xml:space="preserve">62339-999</t>
  </si>
  <si>
    <t xml:space="preserve">PAS0698</t>
  </si>
  <si>
    <t xml:space="preserve">UBAJARA</t>
  </si>
  <si>
    <t xml:space="preserve">62350-000</t>
  </si>
  <si>
    <t xml:space="preserve">62359-999</t>
  </si>
  <si>
    <t xml:space="preserve">PAS0699</t>
  </si>
  <si>
    <t xml:space="preserve">UMARI</t>
  </si>
  <si>
    <t xml:space="preserve">63310-000</t>
  </si>
  <si>
    <t xml:space="preserve">63319-999</t>
  </si>
  <si>
    <t xml:space="preserve">PAS0700</t>
  </si>
  <si>
    <t xml:space="preserve">URUOCA</t>
  </si>
  <si>
    <t xml:space="preserve">62460-000</t>
  </si>
  <si>
    <t xml:space="preserve">62469-999</t>
  </si>
  <si>
    <t xml:space="preserve">PAS0701</t>
  </si>
  <si>
    <t xml:space="preserve">VARJOTA</t>
  </si>
  <si>
    <t xml:space="preserve">62265-000</t>
  </si>
  <si>
    <t xml:space="preserve">62269-999</t>
  </si>
  <si>
    <t xml:space="preserve">PAS0702</t>
  </si>
  <si>
    <t xml:space="preserve">VARZEA ALEGRE</t>
  </si>
  <si>
    <t xml:space="preserve">63540-000</t>
  </si>
  <si>
    <t xml:space="preserve">63559-999</t>
  </si>
  <si>
    <t xml:space="preserve">PAS0703</t>
  </si>
  <si>
    <t xml:space="preserve">VICOSA DO CEARA</t>
  </si>
  <si>
    <t xml:space="preserve">62300-000</t>
  </si>
  <si>
    <t xml:space="preserve">62319-999</t>
  </si>
  <si>
    <t xml:space="preserve">PAS0704</t>
  </si>
  <si>
    <t xml:space="preserve">65000-001</t>
  </si>
  <si>
    <t xml:space="preserve">65109-999</t>
  </si>
  <si>
    <t xml:space="preserve">PAS0705</t>
  </si>
  <si>
    <t xml:space="preserve">ALTO ALEGRE DO MARANHAO</t>
  </si>
  <si>
    <t xml:space="preserve">65413-000</t>
  </si>
  <si>
    <t xml:space="preserve">65414-999</t>
  </si>
  <si>
    <t xml:space="preserve">PAS0706</t>
  </si>
  <si>
    <t xml:space="preserve">65700-000</t>
  </si>
  <si>
    <t xml:space="preserve">65703-999</t>
  </si>
  <si>
    <t xml:space="preserve">PAS0707</t>
  </si>
  <si>
    <t xml:space="preserve">BELA VISTA DO MARANHAO</t>
  </si>
  <si>
    <t xml:space="preserve">65335-000</t>
  </si>
  <si>
    <t xml:space="preserve">65339-999</t>
  </si>
  <si>
    <t xml:space="preserve">PAS0708</t>
  </si>
  <si>
    <t xml:space="preserve">BOM LUGAR</t>
  </si>
  <si>
    <t xml:space="preserve">65704-000</t>
  </si>
  <si>
    <t xml:space="preserve">65704-999</t>
  </si>
  <si>
    <t xml:space="preserve">PAS0709</t>
  </si>
  <si>
    <t xml:space="preserve">CAPINZAL DO NORTE</t>
  </si>
  <si>
    <t xml:space="preserve">65735-000</t>
  </si>
  <si>
    <t xml:space="preserve">65739-999</t>
  </si>
  <si>
    <t xml:space="preserve">PAS0710</t>
  </si>
  <si>
    <t xml:space="preserve">CODO</t>
  </si>
  <si>
    <t xml:space="preserve">65400-000</t>
  </si>
  <si>
    <t xml:space="preserve">65412-999</t>
  </si>
  <si>
    <t xml:space="preserve">PAS0711</t>
  </si>
  <si>
    <t xml:space="preserve">COROATA</t>
  </si>
  <si>
    <t xml:space="preserve">65415-000</t>
  </si>
  <si>
    <t xml:space="preserve">65417-999</t>
  </si>
  <si>
    <t xml:space="preserve">PAS0712</t>
  </si>
  <si>
    <t xml:space="preserve">DOM PEDRO</t>
  </si>
  <si>
    <t xml:space="preserve">65765-000</t>
  </si>
  <si>
    <t xml:space="preserve">65767-999</t>
  </si>
  <si>
    <t xml:space="preserve">PAS0713</t>
  </si>
  <si>
    <t xml:space="preserve">IGARAPE DO MEIO</t>
  </si>
  <si>
    <t xml:space="preserve">65345-000</t>
  </si>
  <si>
    <t xml:space="preserve">65349-999</t>
  </si>
  <si>
    <t xml:space="preserve">PAS0714</t>
  </si>
  <si>
    <t xml:space="preserve">IGARAPE GRANDE</t>
  </si>
  <si>
    <t xml:space="preserve">65720-000</t>
  </si>
  <si>
    <t xml:space="preserve">65722-999</t>
  </si>
  <si>
    <t xml:space="preserve">PAS0715</t>
  </si>
  <si>
    <t xml:space="preserve">ITAPECURU MIRIM</t>
  </si>
  <si>
    <t xml:space="preserve">65485-000</t>
  </si>
  <si>
    <t xml:space="preserve">65489-999</t>
  </si>
  <si>
    <t xml:space="preserve">PAS0716</t>
  </si>
  <si>
    <t xml:space="preserve">65715-000</t>
  </si>
  <si>
    <t xml:space="preserve">65715-999</t>
  </si>
  <si>
    <t xml:space="preserve">PAS0717</t>
  </si>
  <si>
    <t xml:space="preserve">LAGO DO JUNCO</t>
  </si>
  <si>
    <t xml:space="preserve">65710-000</t>
  </si>
  <si>
    <t xml:space="preserve">65711-999</t>
  </si>
  <si>
    <t xml:space="preserve">PAS0718</t>
  </si>
  <si>
    <t xml:space="preserve">LAGO DOS RODRIGUES</t>
  </si>
  <si>
    <t xml:space="preserve">65712-000</t>
  </si>
  <si>
    <t xml:space="preserve">65713-999</t>
  </si>
  <si>
    <t xml:space="preserve">PAS0719</t>
  </si>
  <si>
    <t xml:space="preserve">LAGO VERDE</t>
  </si>
  <si>
    <t xml:space="preserve">65705-000</t>
  </si>
  <si>
    <t xml:space="preserve">65705-999</t>
  </si>
  <si>
    <t xml:space="preserve">PAS0720</t>
  </si>
  <si>
    <t xml:space="preserve">LIMA CAMPOS</t>
  </si>
  <si>
    <t xml:space="preserve">65728-000</t>
  </si>
  <si>
    <t xml:space="preserve">65729-999</t>
  </si>
  <si>
    <t xml:space="preserve">PAS0721</t>
  </si>
  <si>
    <t xml:space="preserve">MIRANDA DO NORTE</t>
  </si>
  <si>
    <t xml:space="preserve">65495-000</t>
  </si>
  <si>
    <t xml:space="preserve">65499-999</t>
  </si>
  <si>
    <t xml:space="preserve">PAS0722</t>
  </si>
  <si>
    <t xml:space="preserve">OLHO D AGUA DAS CUNHAS</t>
  </si>
  <si>
    <t xml:space="preserve">65706-000</t>
  </si>
  <si>
    <t xml:space="preserve">65706-999</t>
  </si>
  <si>
    <t xml:space="preserve">PAS0723</t>
  </si>
  <si>
    <t xml:space="preserve">65130-000</t>
  </si>
  <si>
    <t xml:space="preserve">65137-999</t>
  </si>
  <si>
    <t xml:space="preserve">PAS0724</t>
  </si>
  <si>
    <t xml:space="preserve">PAULO RAMOS</t>
  </si>
  <si>
    <t xml:space="preserve">65716-000</t>
  </si>
  <si>
    <t xml:space="preserve">65717-999</t>
  </si>
  <si>
    <t xml:space="preserve">PAS0725</t>
  </si>
  <si>
    <t xml:space="preserve">PEDREIRAS</t>
  </si>
  <si>
    <t xml:space="preserve">65725-000</t>
  </si>
  <si>
    <t xml:space="preserve">65726-999</t>
  </si>
  <si>
    <t xml:space="preserve">PAS0726</t>
  </si>
  <si>
    <t xml:space="preserve">PERITORO</t>
  </si>
  <si>
    <t xml:space="preserve">65418-000</t>
  </si>
  <si>
    <t xml:space="preserve">65419-999</t>
  </si>
  <si>
    <t xml:space="preserve">PAS0727</t>
  </si>
  <si>
    <t xml:space="preserve">PINDARE MIRIM</t>
  </si>
  <si>
    <t xml:space="preserve">65370-000</t>
  </si>
  <si>
    <t xml:space="preserve">65377-999</t>
  </si>
  <si>
    <t xml:space="preserve">PAS0728</t>
  </si>
  <si>
    <t xml:space="preserve">PIO XII</t>
  </si>
  <si>
    <t xml:space="preserve">65707-000</t>
  </si>
  <si>
    <t xml:space="preserve">65707-999</t>
  </si>
  <si>
    <t xml:space="preserve">PAS0729</t>
  </si>
  <si>
    <t xml:space="preserve">POCAO DE PEDRAS</t>
  </si>
  <si>
    <t xml:space="preserve">65740-000</t>
  </si>
  <si>
    <t xml:space="preserve">65749-999</t>
  </si>
  <si>
    <t xml:space="preserve">PAS0730</t>
  </si>
  <si>
    <t xml:space="preserve">RAPOSA</t>
  </si>
  <si>
    <t xml:space="preserve">65138-000</t>
  </si>
  <si>
    <t xml:space="preserve">65139-999</t>
  </si>
  <si>
    <t xml:space="preserve">PAS0731</t>
  </si>
  <si>
    <t xml:space="preserve">ROSARIO</t>
  </si>
  <si>
    <t xml:space="preserve">65150-000</t>
  </si>
  <si>
    <t xml:space="preserve">65152-999</t>
  </si>
  <si>
    <t xml:space="preserve">PAS0732</t>
  </si>
  <si>
    <t xml:space="preserve">58978-000</t>
  </si>
  <si>
    <t xml:space="preserve">58979-999</t>
  </si>
  <si>
    <t xml:space="preserve">PAS0733</t>
  </si>
  <si>
    <t xml:space="preserve">58300-001</t>
  </si>
  <si>
    <t xml:space="preserve">58309-999</t>
  </si>
  <si>
    <t xml:space="preserve">PAS0734</t>
  </si>
  <si>
    <t xml:space="preserve">SANTO ANTONIO DOS LOPES</t>
  </si>
  <si>
    <t xml:space="preserve">65730-000</t>
  </si>
  <si>
    <t xml:space="preserve">65734-999</t>
  </si>
  <si>
    <t xml:space="preserve">PAS0735</t>
  </si>
  <si>
    <t xml:space="preserve">65110-000</t>
  </si>
  <si>
    <t xml:space="preserve">65129-999</t>
  </si>
  <si>
    <t xml:space="preserve">PAS0736</t>
  </si>
  <si>
    <t xml:space="preserve">SAO MATEUS DO MARANHAO</t>
  </si>
  <si>
    <t xml:space="preserve">65470-000</t>
  </si>
  <si>
    <t xml:space="preserve">65479-999</t>
  </si>
  <si>
    <t xml:space="preserve">PAS0737</t>
  </si>
  <si>
    <t xml:space="preserve">SATUBINHA</t>
  </si>
  <si>
    <t xml:space="preserve">65709-000</t>
  </si>
  <si>
    <t xml:space="preserve">65709-999</t>
  </si>
  <si>
    <t xml:space="preserve">PAS0738</t>
  </si>
  <si>
    <t xml:space="preserve">TIMBIRAS</t>
  </si>
  <si>
    <t xml:space="preserve">65420-000</t>
  </si>
  <si>
    <t xml:space="preserve">65429-999</t>
  </si>
  <si>
    <t xml:space="preserve">PAS0739</t>
  </si>
  <si>
    <t xml:space="preserve">TRIZIDELA DO VALE</t>
  </si>
  <si>
    <t xml:space="preserve">65727-000</t>
  </si>
  <si>
    <t xml:space="preserve">65727-999</t>
  </si>
  <si>
    <t xml:space="preserve">PAS0740</t>
  </si>
  <si>
    <t xml:space="preserve">TUNTUM</t>
  </si>
  <si>
    <t xml:space="preserve">65763-000</t>
  </si>
  <si>
    <t xml:space="preserve">65764-999</t>
  </si>
  <si>
    <t xml:space="preserve">PAS0741</t>
  </si>
  <si>
    <t xml:space="preserve">VITORINO FREIRE</t>
  </si>
  <si>
    <t xml:space="preserve">65320-000</t>
  </si>
  <si>
    <t xml:space="preserve">65334-999</t>
  </si>
  <si>
    <t xml:space="preserve">PAS0742</t>
  </si>
  <si>
    <t xml:space="preserve">ZE DOCA</t>
  </si>
  <si>
    <t xml:space="preserve">65365-000</t>
  </si>
  <si>
    <t xml:space="preserve">65367-999</t>
  </si>
  <si>
    <t xml:space="preserve">PAS0743</t>
  </si>
  <si>
    <t xml:space="preserve">ACAILANDIA</t>
  </si>
  <si>
    <t xml:space="preserve">65930-000</t>
  </si>
  <si>
    <t xml:space="preserve">65934-999</t>
  </si>
  <si>
    <t xml:space="preserve">PAS0744</t>
  </si>
  <si>
    <t xml:space="preserve">AFONSO CUNHA</t>
  </si>
  <si>
    <t xml:space="preserve">65505-000</t>
  </si>
  <si>
    <t xml:space="preserve">65509-999</t>
  </si>
  <si>
    <t xml:space="preserve">PAS0745</t>
  </si>
  <si>
    <t xml:space="preserve">AGUA DOCE DO MARANHAO</t>
  </si>
  <si>
    <t xml:space="preserve">65578-000</t>
  </si>
  <si>
    <t xml:space="preserve">65579-999</t>
  </si>
  <si>
    <t xml:space="preserve">PAS0746</t>
  </si>
  <si>
    <t xml:space="preserve">ALCANTARA</t>
  </si>
  <si>
    <t xml:space="preserve">65250-000</t>
  </si>
  <si>
    <t xml:space="preserve">65254-999</t>
  </si>
  <si>
    <t xml:space="preserve">PAS0747</t>
  </si>
  <si>
    <t xml:space="preserve">ALDEIAS ALTAS</t>
  </si>
  <si>
    <t xml:space="preserve">65610-000</t>
  </si>
  <si>
    <t xml:space="preserve">65614-999</t>
  </si>
  <si>
    <t xml:space="preserve">PAS0748</t>
  </si>
  <si>
    <t xml:space="preserve">ALTAMIRA DO MARANHAO</t>
  </si>
  <si>
    <t xml:space="preserve">65310-000</t>
  </si>
  <si>
    <t xml:space="preserve">65314-999</t>
  </si>
  <si>
    <t xml:space="preserve">PAS0749</t>
  </si>
  <si>
    <t xml:space="preserve">ALTO ALEGRE DO PINDARE</t>
  </si>
  <si>
    <t xml:space="preserve">65398-000</t>
  </si>
  <si>
    <t xml:space="preserve">65399-999</t>
  </si>
  <si>
    <t xml:space="preserve">PAS0750</t>
  </si>
  <si>
    <t xml:space="preserve">ALTO PARNAIBA</t>
  </si>
  <si>
    <t xml:space="preserve">65810-000</t>
  </si>
  <si>
    <t xml:space="preserve">65819-999</t>
  </si>
  <si>
    <t xml:space="preserve">PAS0751</t>
  </si>
  <si>
    <t xml:space="preserve">AMAPA DO MARANHAO</t>
  </si>
  <si>
    <t xml:space="preserve">65293-000</t>
  </si>
  <si>
    <t xml:space="preserve">65293-999</t>
  </si>
  <si>
    <t xml:space="preserve">PAS0752</t>
  </si>
  <si>
    <t xml:space="preserve">AMARANTE DO MARANHAO</t>
  </si>
  <si>
    <t xml:space="preserve">65923-000</t>
  </si>
  <si>
    <t xml:space="preserve">65923-999</t>
  </si>
  <si>
    <t xml:space="preserve">PAS0753</t>
  </si>
  <si>
    <t xml:space="preserve">ANAJATUBA</t>
  </si>
  <si>
    <t xml:space="preserve">65490-000</t>
  </si>
  <si>
    <t xml:space="preserve">65494-999</t>
  </si>
  <si>
    <t xml:space="preserve">PAS0754</t>
  </si>
  <si>
    <t xml:space="preserve">ANAPURUS</t>
  </si>
  <si>
    <t xml:space="preserve">65525-000</t>
  </si>
  <si>
    <t xml:space="preserve">65529-999</t>
  </si>
  <si>
    <t xml:space="preserve">PAS0755</t>
  </si>
  <si>
    <t xml:space="preserve">APICUM-ACU</t>
  </si>
  <si>
    <t xml:space="preserve">65275-000</t>
  </si>
  <si>
    <t xml:space="preserve">65275-999</t>
  </si>
  <si>
    <t xml:space="preserve">PAS0756</t>
  </si>
  <si>
    <t xml:space="preserve">ARAGUANA</t>
  </si>
  <si>
    <t xml:space="preserve">65368-000</t>
  </si>
  <si>
    <t xml:space="preserve">65369-999</t>
  </si>
  <si>
    <t xml:space="preserve">PAS0757</t>
  </si>
  <si>
    <t xml:space="preserve">ARAIOSES</t>
  </si>
  <si>
    <t xml:space="preserve">65570-000</t>
  </si>
  <si>
    <t xml:space="preserve">65577-999</t>
  </si>
  <si>
    <t xml:space="preserve">PAS0758</t>
  </si>
  <si>
    <t xml:space="preserve">ARAME</t>
  </si>
  <si>
    <t xml:space="preserve">65945-000</t>
  </si>
  <si>
    <t xml:space="preserve">65947-999</t>
  </si>
  <si>
    <t xml:space="preserve">PAS0759</t>
  </si>
  <si>
    <t xml:space="preserve">ARARI</t>
  </si>
  <si>
    <t xml:space="preserve">65480-000</t>
  </si>
  <si>
    <t xml:space="preserve">65484-999</t>
  </si>
  <si>
    <t xml:space="preserve">PAS0760</t>
  </si>
  <si>
    <t xml:space="preserve">AXIXA</t>
  </si>
  <si>
    <t xml:space="preserve">65148-000</t>
  </si>
  <si>
    <t xml:space="preserve">65149-999</t>
  </si>
  <si>
    <t xml:space="preserve">PAS0761</t>
  </si>
  <si>
    <t xml:space="preserve">BACABEIRA</t>
  </si>
  <si>
    <t xml:space="preserve">65143-000</t>
  </si>
  <si>
    <t xml:space="preserve">65144-999</t>
  </si>
  <si>
    <t xml:space="preserve">PAS0762</t>
  </si>
  <si>
    <t xml:space="preserve">BACURI</t>
  </si>
  <si>
    <t xml:space="preserve">65270-000</t>
  </si>
  <si>
    <t xml:space="preserve">65271-999</t>
  </si>
  <si>
    <t xml:space="preserve">PAS0763</t>
  </si>
  <si>
    <t xml:space="preserve">BACURITUBA</t>
  </si>
  <si>
    <t xml:space="preserve">65233-000</t>
  </si>
  <si>
    <t xml:space="preserve">65234-999</t>
  </si>
  <si>
    <t xml:space="preserve">PAS0764</t>
  </si>
  <si>
    <t xml:space="preserve">BALSAS</t>
  </si>
  <si>
    <t xml:space="preserve">65800-000</t>
  </si>
  <si>
    <t xml:space="preserve">65804-999</t>
  </si>
  <si>
    <t xml:space="preserve">PAS0765</t>
  </si>
  <si>
    <t xml:space="preserve">BARAO DE GRAJAU</t>
  </si>
  <si>
    <t xml:space="preserve">65660-000</t>
  </si>
  <si>
    <t xml:space="preserve">65664-999</t>
  </si>
  <si>
    <t xml:space="preserve">PAS0766</t>
  </si>
  <si>
    <t xml:space="preserve">65950-000</t>
  </si>
  <si>
    <t xml:space="preserve">65961-999</t>
  </si>
  <si>
    <t xml:space="preserve">PAS0767</t>
  </si>
  <si>
    <t xml:space="preserve">65590-000</t>
  </si>
  <si>
    <t xml:space="preserve">65599-999</t>
  </si>
  <si>
    <t xml:space="preserve">PAS0768</t>
  </si>
  <si>
    <t xml:space="preserve">BELAGUA</t>
  </si>
  <si>
    <t xml:space="preserve">65535-000</t>
  </si>
  <si>
    <t xml:space="preserve">65539-999</t>
  </si>
  <si>
    <t xml:space="preserve">PAS0769</t>
  </si>
  <si>
    <t xml:space="preserve">BENEDITO LEITE</t>
  </si>
  <si>
    <t xml:space="preserve">65885-000</t>
  </si>
  <si>
    <t xml:space="preserve">65887-999</t>
  </si>
  <si>
    <t xml:space="preserve">PAS0770</t>
  </si>
  <si>
    <t xml:space="preserve">BEQUIMAO</t>
  </si>
  <si>
    <t xml:space="preserve">65248-000</t>
  </si>
  <si>
    <t xml:space="preserve">65249-999</t>
  </si>
  <si>
    <t xml:space="preserve">PAS0771</t>
  </si>
  <si>
    <t xml:space="preserve">BERNARDO DO MEARIM</t>
  </si>
  <si>
    <t xml:space="preserve">65723-000</t>
  </si>
  <si>
    <t xml:space="preserve">65724-999</t>
  </si>
  <si>
    <t xml:space="preserve">PAS0772</t>
  </si>
  <si>
    <t xml:space="preserve">BOA VISTA DO GURUPI</t>
  </si>
  <si>
    <t xml:space="preserve">65292-000</t>
  </si>
  <si>
    <t xml:space="preserve">65292-999</t>
  </si>
  <si>
    <t xml:space="preserve">PAS0773</t>
  </si>
  <si>
    <t xml:space="preserve">BOM JARDIM</t>
  </si>
  <si>
    <t xml:space="preserve">55730-000</t>
  </si>
  <si>
    <t xml:space="preserve">55739-999</t>
  </si>
  <si>
    <t xml:space="preserve">PAS0774</t>
  </si>
  <si>
    <t xml:space="preserve">BOM JESUS DAS SELVAS</t>
  </si>
  <si>
    <t xml:space="preserve">65395-000</t>
  </si>
  <si>
    <t xml:space="preserve">65397-999</t>
  </si>
  <si>
    <t xml:space="preserve">PAS0775</t>
  </si>
  <si>
    <t xml:space="preserve">BREJO</t>
  </si>
  <si>
    <t xml:space="preserve">65520-000</t>
  </si>
  <si>
    <t xml:space="preserve">65524-999</t>
  </si>
  <si>
    <t xml:space="preserve">PAS0776</t>
  </si>
  <si>
    <t xml:space="preserve">BREJO DE AREIA</t>
  </si>
  <si>
    <t xml:space="preserve">65315-000</t>
  </si>
  <si>
    <t xml:space="preserve">65319-999</t>
  </si>
  <si>
    <t xml:space="preserve">PAS0777</t>
  </si>
  <si>
    <t xml:space="preserve">BURITI</t>
  </si>
  <si>
    <t xml:space="preserve">65515-000</t>
  </si>
  <si>
    <t xml:space="preserve">65519-999</t>
  </si>
  <si>
    <t xml:space="preserve">PAS0778</t>
  </si>
  <si>
    <t xml:space="preserve">BURITI BRAVO</t>
  </si>
  <si>
    <t xml:space="preserve">65685-000</t>
  </si>
  <si>
    <t xml:space="preserve">65689-999</t>
  </si>
  <si>
    <t xml:space="preserve">PAS0779</t>
  </si>
  <si>
    <t xml:space="preserve">BURITICUPU</t>
  </si>
  <si>
    <t xml:space="preserve">65393-000</t>
  </si>
  <si>
    <t xml:space="preserve">65394-999</t>
  </si>
  <si>
    <t xml:space="preserve">PAS0780</t>
  </si>
  <si>
    <t xml:space="preserve">BURITIRANA</t>
  </si>
  <si>
    <t xml:space="preserve">65935-500</t>
  </si>
  <si>
    <t xml:space="preserve">65935-971</t>
  </si>
  <si>
    <t xml:space="preserve">PAS0781</t>
  </si>
  <si>
    <t xml:space="preserve">CACHOEIRA GRANDE</t>
  </si>
  <si>
    <t xml:space="preserve">65165-000</t>
  </si>
  <si>
    <t xml:space="preserve">65169-999</t>
  </si>
  <si>
    <t xml:space="preserve">PAS0782</t>
  </si>
  <si>
    <t xml:space="preserve">CAJAPIO</t>
  </si>
  <si>
    <t xml:space="preserve">65230-000</t>
  </si>
  <si>
    <t xml:space="preserve">65232-999</t>
  </si>
  <si>
    <t xml:space="preserve">PAS0783</t>
  </si>
  <si>
    <t xml:space="preserve">CAJARI</t>
  </si>
  <si>
    <t xml:space="preserve">65210-000</t>
  </si>
  <si>
    <t xml:space="preserve">65212-999</t>
  </si>
  <si>
    <t xml:space="preserve">PAS0784</t>
  </si>
  <si>
    <t xml:space="preserve">CAMPESTRE DO MARANHAO</t>
  </si>
  <si>
    <t xml:space="preserve">65968-000</t>
  </si>
  <si>
    <t xml:space="preserve">65969-999</t>
  </si>
  <si>
    <t xml:space="preserve">PAS0785</t>
  </si>
  <si>
    <t xml:space="preserve">CANDIDO MENDES</t>
  </si>
  <si>
    <t xml:space="preserve">65280-000</t>
  </si>
  <si>
    <t xml:space="preserve">65282-999</t>
  </si>
  <si>
    <t xml:space="preserve">PAS0786</t>
  </si>
  <si>
    <t xml:space="preserve">CANTANHEDE</t>
  </si>
  <si>
    <t xml:space="preserve">65465-000</t>
  </si>
  <si>
    <t xml:space="preserve">65467-999</t>
  </si>
  <si>
    <t xml:space="preserve">PAS0787</t>
  </si>
  <si>
    <t xml:space="preserve">CAROLINA</t>
  </si>
  <si>
    <t xml:space="preserve">65980-000</t>
  </si>
  <si>
    <t xml:space="preserve">65989-999</t>
  </si>
  <si>
    <t xml:space="preserve">PAS0788</t>
  </si>
  <si>
    <t xml:space="preserve">CARUTAPERA</t>
  </si>
  <si>
    <t xml:space="preserve">65295-000</t>
  </si>
  <si>
    <t xml:space="preserve">65298-999</t>
  </si>
  <si>
    <t xml:space="preserve">PAS0789</t>
  </si>
  <si>
    <t xml:space="preserve">65600-001</t>
  </si>
  <si>
    <t xml:space="preserve">65609-999</t>
  </si>
  <si>
    <t xml:space="preserve">PAS0790</t>
  </si>
  <si>
    <t xml:space="preserve">CEDRAL</t>
  </si>
  <si>
    <t xml:space="preserve">65260-000</t>
  </si>
  <si>
    <t xml:space="preserve">65262-999</t>
  </si>
  <si>
    <t xml:space="preserve">PAS0791</t>
  </si>
  <si>
    <t xml:space="preserve">CENTRAL DO MARANHAO</t>
  </si>
  <si>
    <t xml:space="preserve">65267-000</t>
  </si>
  <si>
    <t xml:space="preserve">65267-999</t>
  </si>
  <si>
    <t xml:space="preserve">PAS0792</t>
  </si>
  <si>
    <t xml:space="preserve">CENTRO DO GUILHERME</t>
  </si>
  <si>
    <t xml:space="preserve">65288-000</t>
  </si>
  <si>
    <t xml:space="preserve">65288-999</t>
  </si>
  <si>
    <t xml:space="preserve">PAS0793</t>
  </si>
  <si>
    <t xml:space="preserve">CENTRO NOVO DO MARANHAO</t>
  </si>
  <si>
    <t xml:space="preserve">65299-000</t>
  </si>
  <si>
    <t xml:space="preserve">65299-999</t>
  </si>
  <si>
    <t xml:space="preserve">PAS0794</t>
  </si>
  <si>
    <t xml:space="preserve">CHAPADINHA</t>
  </si>
  <si>
    <t xml:space="preserve">65500-000</t>
  </si>
  <si>
    <t xml:space="preserve">65504-999</t>
  </si>
  <si>
    <t xml:space="preserve">PAS0795</t>
  </si>
  <si>
    <t xml:space="preserve">CIDELANDIA</t>
  </si>
  <si>
    <t xml:space="preserve">65921-000</t>
  </si>
  <si>
    <t xml:space="preserve">65921-999</t>
  </si>
  <si>
    <t xml:space="preserve">PAS0796</t>
  </si>
  <si>
    <t xml:space="preserve">COELHO NETO</t>
  </si>
  <si>
    <t xml:space="preserve">65620-000</t>
  </si>
  <si>
    <t xml:space="preserve">65624-999</t>
  </si>
  <si>
    <t xml:space="preserve">PAS0797</t>
  </si>
  <si>
    <t xml:space="preserve">COLINAS</t>
  </si>
  <si>
    <t xml:space="preserve">65690-000</t>
  </si>
  <si>
    <t xml:space="preserve">65692-999</t>
  </si>
  <si>
    <t xml:space="preserve">PAS0798</t>
  </si>
  <si>
    <t xml:space="preserve">CONCEICAO DO LAGO-ACU</t>
  </si>
  <si>
    <t xml:space="preserve">65340-000</t>
  </si>
  <si>
    <t xml:space="preserve">65344-999</t>
  </si>
  <si>
    <t xml:space="preserve">PAS0799</t>
  </si>
  <si>
    <t xml:space="preserve">CURURUPU</t>
  </si>
  <si>
    <t xml:space="preserve">65268-000</t>
  </si>
  <si>
    <t xml:space="preserve">65268-999</t>
  </si>
  <si>
    <t xml:space="preserve">PAS0800</t>
  </si>
  <si>
    <t xml:space="preserve">DAVINOPOLIS</t>
  </si>
  <si>
    <t xml:space="preserve">65927-000</t>
  </si>
  <si>
    <t xml:space="preserve">65927-999</t>
  </si>
  <si>
    <t xml:space="preserve">PAS0801</t>
  </si>
  <si>
    <t xml:space="preserve">DUQUE BACELAR</t>
  </si>
  <si>
    <t xml:space="preserve">65625-000</t>
  </si>
  <si>
    <t xml:space="preserve">65629-999</t>
  </si>
  <si>
    <t xml:space="preserve">PAS0802</t>
  </si>
  <si>
    <t xml:space="preserve">ESPERANTINOPOLIS</t>
  </si>
  <si>
    <t xml:space="preserve">65750-000</t>
  </si>
  <si>
    <t xml:space="preserve">65752-999</t>
  </si>
  <si>
    <t xml:space="preserve">PAS0803</t>
  </si>
  <si>
    <t xml:space="preserve">ESTREITO</t>
  </si>
  <si>
    <t xml:space="preserve">65975-000</t>
  </si>
  <si>
    <t xml:space="preserve">65977-999</t>
  </si>
  <si>
    <t xml:space="preserve">PAS0804</t>
  </si>
  <si>
    <t xml:space="preserve">FEIRA NOVA DO MARANHAO</t>
  </si>
  <si>
    <t xml:space="preserve">65995-000</t>
  </si>
  <si>
    <t xml:space="preserve">65999-999</t>
  </si>
  <si>
    <t xml:space="preserve">PAS0805</t>
  </si>
  <si>
    <t xml:space="preserve">FERNANDO FALCAO</t>
  </si>
  <si>
    <t xml:space="preserve">65964-000</t>
  </si>
  <si>
    <t xml:space="preserve">65967-999</t>
  </si>
  <si>
    <t xml:space="preserve">PAS0806</t>
  </si>
  <si>
    <t xml:space="preserve">FORMOSA DA SERRA NEGRA</t>
  </si>
  <si>
    <t xml:space="preserve">65943-000</t>
  </si>
  <si>
    <t xml:space="preserve">65944-999</t>
  </si>
  <si>
    <t xml:space="preserve">PAS0807</t>
  </si>
  <si>
    <t xml:space="preserve">FORTALEZA DOS NOGUEIRAS</t>
  </si>
  <si>
    <t xml:space="preserve">65805-000</t>
  </si>
  <si>
    <t xml:space="preserve">65807-999</t>
  </si>
  <si>
    <t xml:space="preserve">PAS0808</t>
  </si>
  <si>
    <t xml:space="preserve">FORTUNA</t>
  </si>
  <si>
    <t xml:space="preserve">65695-000</t>
  </si>
  <si>
    <t xml:space="preserve">65699-999</t>
  </si>
  <si>
    <t xml:space="preserve">PAS0809</t>
  </si>
  <si>
    <t xml:space="preserve">GODOFREDO VIANA</t>
  </si>
  <si>
    <t xml:space="preserve">65285-000</t>
  </si>
  <si>
    <t xml:space="preserve">65287-999</t>
  </si>
  <si>
    <t xml:space="preserve">PAS0810</t>
  </si>
  <si>
    <t xml:space="preserve">GONCALVES DIAS</t>
  </si>
  <si>
    <t xml:space="preserve">65775-000</t>
  </si>
  <si>
    <t xml:space="preserve">65779-999</t>
  </si>
  <si>
    <t xml:space="preserve">PAS0811</t>
  </si>
  <si>
    <t xml:space="preserve">GOVERNADOR ARCHER</t>
  </si>
  <si>
    <t xml:space="preserve">65770-000</t>
  </si>
  <si>
    <t xml:space="preserve">65774-999</t>
  </si>
  <si>
    <t xml:space="preserve">PAS0812</t>
  </si>
  <si>
    <t xml:space="preserve">GOVERNADOR EDISON LOBAO</t>
  </si>
  <si>
    <t xml:space="preserve">65928-000</t>
  </si>
  <si>
    <t xml:space="preserve">65928-999</t>
  </si>
  <si>
    <t xml:space="preserve">PAS0813</t>
  </si>
  <si>
    <t xml:space="preserve">GOVERNADOR EUGENIO BARROS</t>
  </si>
  <si>
    <t xml:space="preserve">65780-000</t>
  </si>
  <si>
    <t xml:space="preserve">65782-999</t>
  </si>
  <si>
    <t xml:space="preserve">PAS0814</t>
  </si>
  <si>
    <t xml:space="preserve">GOVERNADOR LUIZ ROCHA</t>
  </si>
  <si>
    <t xml:space="preserve">65795-000</t>
  </si>
  <si>
    <t xml:space="preserve">65799-999</t>
  </si>
  <si>
    <t xml:space="preserve">PAS0815</t>
  </si>
  <si>
    <t xml:space="preserve">GOVERNADOR NEWTON BELLO</t>
  </si>
  <si>
    <t xml:space="preserve">65363-000</t>
  </si>
  <si>
    <t xml:space="preserve">65364-999</t>
  </si>
  <si>
    <t xml:space="preserve">PAS0816</t>
  </si>
  <si>
    <t xml:space="preserve">GOVERNADOR NUNES FREIRE</t>
  </si>
  <si>
    <t xml:space="preserve">65284-000</t>
  </si>
  <si>
    <t xml:space="preserve">65284-999</t>
  </si>
  <si>
    <t xml:space="preserve">PAS0817</t>
  </si>
  <si>
    <t xml:space="preserve">GRACA ARANHA</t>
  </si>
  <si>
    <t xml:space="preserve">65785-000</t>
  </si>
  <si>
    <t xml:space="preserve">65789-999</t>
  </si>
  <si>
    <t xml:space="preserve">PAS0818</t>
  </si>
  <si>
    <t xml:space="preserve">GRAJAU</t>
  </si>
  <si>
    <t xml:space="preserve">65940-000</t>
  </si>
  <si>
    <t xml:space="preserve">65942-999</t>
  </si>
  <si>
    <t xml:space="preserve">PAS0819</t>
  </si>
  <si>
    <t xml:space="preserve">GUIMARAES</t>
  </si>
  <si>
    <t xml:space="preserve">65255-000</t>
  </si>
  <si>
    <t xml:space="preserve">65259-999</t>
  </si>
  <si>
    <t xml:space="preserve">PAS0820</t>
  </si>
  <si>
    <t xml:space="preserve">HUMBERTO DE CAMPOS</t>
  </si>
  <si>
    <t xml:space="preserve">65180-000</t>
  </si>
  <si>
    <t xml:space="preserve">65189-999</t>
  </si>
  <si>
    <t xml:space="preserve">PAS0821</t>
  </si>
  <si>
    <t xml:space="preserve">ICATU</t>
  </si>
  <si>
    <t xml:space="preserve">65170-000</t>
  </si>
  <si>
    <t xml:space="preserve">65179-999</t>
  </si>
  <si>
    <t xml:space="preserve">PAS0822</t>
  </si>
  <si>
    <t xml:space="preserve">65900-001</t>
  </si>
  <si>
    <t xml:space="preserve">65919-999</t>
  </si>
  <si>
    <t xml:space="preserve">PAS0823</t>
  </si>
  <si>
    <t xml:space="preserve">ITAIPAVA DO GRAJAU</t>
  </si>
  <si>
    <t xml:space="preserve">65948-000</t>
  </si>
  <si>
    <t xml:space="preserve">65949-999</t>
  </si>
  <si>
    <t xml:space="preserve">PAS0824</t>
  </si>
  <si>
    <t xml:space="preserve">ITINGA DO MARANHAO</t>
  </si>
  <si>
    <t xml:space="preserve">65939-000</t>
  </si>
  <si>
    <t xml:space="preserve">65939-999</t>
  </si>
  <si>
    <t xml:space="preserve">PAS0825</t>
  </si>
  <si>
    <t xml:space="preserve">JATOBA</t>
  </si>
  <si>
    <t xml:space="preserve">65693-000</t>
  </si>
  <si>
    <t xml:space="preserve">65694-999</t>
  </si>
  <si>
    <t xml:space="preserve">PAS0826</t>
  </si>
  <si>
    <t xml:space="preserve">JENIPAPO DOS VIEIRAS</t>
  </si>
  <si>
    <t xml:space="preserve">65962-000</t>
  </si>
  <si>
    <t xml:space="preserve">65963-999</t>
  </si>
  <si>
    <t xml:space="preserve">PAS0827</t>
  </si>
  <si>
    <t xml:space="preserve">JOAO LISBOA</t>
  </si>
  <si>
    <t xml:space="preserve">65922-000</t>
  </si>
  <si>
    <t xml:space="preserve">65922-999</t>
  </si>
  <si>
    <t xml:space="preserve">PAS0828</t>
  </si>
  <si>
    <t xml:space="preserve">JOSELANDIA</t>
  </si>
  <si>
    <t xml:space="preserve">65755-000</t>
  </si>
  <si>
    <t xml:space="preserve">65757-999</t>
  </si>
  <si>
    <t xml:space="preserve">PAS0829</t>
  </si>
  <si>
    <t xml:space="preserve">JUNCO DO MARANHAO</t>
  </si>
  <si>
    <t xml:space="preserve">65294-000</t>
  </si>
  <si>
    <t xml:space="preserve">65294-999</t>
  </si>
  <si>
    <t xml:space="preserve">PAS0830</t>
  </si>
  <si>
    <t xml:space="preserve">LAGOA DO MATO</t>
  </si>
  <si>
    <t xml:space="preserve">65683-000</t>
  </si>
  <si>
    <t xml:space="preserve">65684-999</t>
  </si>
  <si>
    <t xml:space="preserve">PAS0831</t>
  </si>
  <si>
    <t xml:space="preserve">LAGOA GRANDE DO MARANHAO</t>
  </si>
  <si>
    <t xml:space="preserve">65718-000</t>
  </si>
  <si>
    <t xml:space="preserve">65719-999</t>
  </si>
  <si>
    <t xml:space="preserve">PAS0832</t>
  </si>
  <si>
    <t xml:space="preserve">LAJEADO NOVO</t>
  </si>
  <si>
    <t xml:space="preserve">65937-000</t>
  </si>
  <si>
    <t xml:space="preserve">65937-999</t>
  </si>
  <si>
    <t xml:space="preserve">PAS0833</t>
  </si>
  <si>
    <t xml:space="preserve">LORETO</t>
  </si>
  <si>
    <t xml:space="preserve">65895-000</t>
  </si>
  <si>
    <t xml:space="preserve">65899-999</t>
  </si>
  <si>
    <t xml:space="preserve">PAS0834</t>
  </si>
  <si>
    <t xml:space="preserve">LUIS DOMINGUES</t>
  </si>
  <si>
    <t xml:space="preserve">65290-000</t>
  </si>
  <si>
    <t xml:space="preserve">65291-999</t>
  </si>
  <si>
    <t xml:space="preserve">PAS0835</t>
  </si>
  <si>
    <t xml:space="preserve">MAGALHAES DE ALMEIDA</t>
  </si>
  <si>
    <t xml:space="preserve">65560-000</t>
  </si>
  <si>
    <t xml:space="preserve">65569-999</t>
  </si>
  <si>
    <t xml:space="preserve">PAS0836</t>
  </si>
  <si>
    <t xml:space="preserve">65289-000</t>
  </si>
  <si>
    <t xml:space="preserve">65289-999</t>
  </si>
  <si>
    <t xml:space="preserve">PAS0837</t>
  </si>
  <si>
    <t xml:space="preserve">MARAJA DO SENA</t>
  </si>
  <si>
    <t xml:space="preserve">65714-000</t>
  </si>
  <si>
    <t xml:space="preserve">65714-999</t>
  </si>
  <si>
    <t xml:space="preserve">PAS0838</t>
  </si>
  <si>
    <t xml:space="preserve">MARANHAOZINHO</t>
  </si>
  <si>
    <t xml:space="preserve">65283-000</t>
  </si>
  <si>
    <t xml:space="preserve">65283-999</t>
  </si>
  <si>
    <t xml:space="preserve">PAS0839</t>
  </si>
  <si>
    <t xml:space="preserve">MATA ROMA</t>
  </si>
  <si>
    <t xml:space="preserve">65510-000</t>
  </si>
  <si>
    <t xml:space="preserve">65514-999</t>
  </si>
  <si>
    <t xml:space="preserve">PAS0840</t>
  </si>
  <si>
    <t xml:space="preserve">MATINHA</t>
  </si>
  <si>
    <t xml:space="preserve">65218-000</t>
  </si>
  <si>
    <t xml:space="preserve">65219-999</t>
  </si>
  <si>
    <t xml:space="preserve">PAS0841</t>
  </si>
  <si>
    <t xml:space="preserve">MATOES</t>
  </si>
  <si>
    <t xml:space="preserve">65645-000</t>
  </si>
  <si>
    <t xml:space="preserve">65649-999</t>
  </si>
  <si>
    <t xml:space="preserve">PAS0842</t>
  </si>
  <si>
    <t xml:space="preserve">MATOES DO NORTE</t>
  </si>
  <si>
    <t xml:space="preserve">65468-000</t>
  </si>
  <si>
    <t xml:space="preserve">65469-999</t>
  </si>
  <si>
    <t xml:space="preserve">PAS0843</t>
  </si>
  <si>
    <t xml:space="preserve">MILAGRES DO MARANHAO</t>
  </si>
  <si>
    <t xml:space="preserve">65545-000</t>
  </si>
  <si>
    <t xml:space="preserve">65549-999</t>
  </si>
  <si>
    <t xml:space="preserve">PAS0844</t>
  </si>
  <si>
    <t xml:space="preserve">MIRADOR</t>
  </si>
  <si>
    <t xml:space="preserve">65850-000</t>
  </si>
  <si>
    <t xml:space="preserve">65859-999</t>
  </si>
  <si>
    <t xml:space="preserve">PAS0845</t>
  </si>
  <si>
    <t xml:space="preserve">MIRINZAL</t>
  </si>
  <si>
    <t xml:space="preserve">65265-000</t>
  </si>
  <si>
    <t xml:space="preserve">65266-999</t>
  </si>
  <si>
    <t xml:space="preserve">PAS0846</t>
  </si>
  <si>
    <t xml:space="preserve">MONCAO</t>
  </si>
  <si>
    <t xml:space="preserve">65360-000</t>
  </si>
  <si>
    <t xml:space="preserve">65362-999</t>
  </si>
  <si>
    <t xml:space="preserve">PAS0847</t>
  </si>
  <si>
    <t xml:space="preserve">MONTES ALTOS</t>
  </si>
  <si>
    <t xml:space="preserve">65936-000</t>
  </si>
  <si>
    <t xml:space="preserve">65936-999</t>
  </si>
  <si>
    <t xml:space="preserve">PAS0848</t>
  </si>
  <si>
    <t xml:space="preserve">MORROS</t>
  </si>
  <si>
    <t xml:space="preserve">65160-000</t>
  </si>
  <si>
    <t xml:space="preserve">65164-999</t>
  </si>
  <si>
    <t xml:space="preserve">PAS0849</t>
  </si>
  <si>
    <t xml:space="preserve">NINA RODRIGUES</t>
  </si>
  <si>
    <t xml:space="preserve">65450-000</t>
  </si>
  <si>
    <t xml:space="preserve">65454-999</t>
  </si>
  <si>
    <t xml:space="preserve">PAS0850</t>
  </si>
  <si>
    <t xml:space="preserve">NOVA COLINAS</t>
  </si>
  <si>
    <t xml:space="preserve">65808-000</t>
  </si>
  <si>
    <t xml:space="preserve">65809-999</t>
  </si>
  <si>
    <t xml:space="preserve">PAS0851</t>
  </si>
  <si>
    <t xml:space="preserve">NOVA IORQUE</t>
  </si>
  <si>
    <t xml:space="preserve">65880-000</t>
  </si>
  <si>
    <t xml:space="preserve">65884-999</t>
  </si>
  <si>
    <t xml:space="preserve">PAS0852</t>
  </si>
  <si>
    <t xml:space="preserve">NOVA OLINDA DO MARANHAO</t>
  </si>
  <si>
    <t xml:space="preserve">65274-000</t>
  </si>
  <si>
    <t xml:space="preserve">65274-999</t>
  </si>
  <si>
    <t xml:space="preserve">PAS0853</t>
  </si>
  <si>
    <t xml:space="preserve">OLINDA NOVA DO MARANHAO</t>
  </si>
  <si>
    <t xml:space="preserve">65223-000</t>
  </si>
  <si>
    <t xml:space="preserve">65224-999</t>
  </si>
  <si>
    <t xml:space="preserve">PAS0854</t>
  </si>
  <si>
    <t xml:space="preserve">PALMEIRANDIA</t>
  </si>
  <si>
    <t xml:space="preserve">65238-000</t>
  </si>
  <si>
    <t xml:space="preserve">65244-999</t>
  </si>
  <si>
    <t xml:space="preserve">PAS0855</t>
  </si>
  <si>
    <t xml:space="preserve">PARAIBANO</t>
  </si>
  <si>
    <t xml:space="preserve">65670-000</t>
  </si>
  <si>
    <t xml:space="preserve">65679-999</t>
  </si>
  <si>
    <t xml:space="preserve">PAS0856</t>
  </si>
  <si>
    <t xml:space="preserve">PARNARAMA</t>
  </si>
  <si>
    <t xml:space="preserve">65640-000</t>
  </si>
  <si>
    <t xml:space="preserve">65644-999</t>
  </si>
  <si>
    <t xml:space="preserve">PAS0857</t>
  </si>
  <si>
    <t xml:space="preserve">PASSAGEM FRANCA</t>
  </si>
  <si>
    <t xml:space="preserve">65680-000</t>
  </si>
  <si>
    <t xml:space="preserve">65682-999</t>
  </si>
  <si>
    <t xml:space="preserve">PAS0858</t>
  </si>
  <si>
    <t xml:space="preserve">PASTOS BONS</t>
  </si>
  <si>
    <t xml:space="preserve">65870-000</t>
  </si>
  <si>
    <t xml:space="preserve">65879-999</t>
  </si>
  <si>
    <t xml:space="preserve">PAS0859</t>
  </si>
  <si>
    <t xml:space="preserve">PAULINO NEVES</t>
  </si>
  <si>
    <t xml:space="preserve">65585-000</t>
  </si>
  <si>
    <t xml:space="preserve">65589-999</t>
  </si>
  <si>
    <t xml:space="preserve">PAS0860</t>
  </si>
  <si>
    <t xml:space="preserve">PEDRO DO ROSARIO</t>
  </si>
  <si>
    <t xml:space="preserve">65206-000</t>
  </si>
  <si>
    <t xml:space="preserve">65207-999</t>
  </si>
  <si>
    <t xml:space="preserve">PAS0861</t>
  </si>
  <si>
    <t xml:space="preserve">PENALVA</t>
  </si>
  <si>
    <t xml:space="preserve">65213-000</t>
  </si>
  <si>
    <t xml:space="preserve">65214-999</t>
  </si>
  <si>
    <t xml:space="preserve">PAS0862</t>
  </si>
  <si>
    <t xml:space="preserve">PERI MIRIM</t>
  </si>
  <si>
    <t xml:space="preserve">65245-000</t>
  </si>
  <si>
    <t xml:space="preserve">65247-999</t>
  </si>
  <si>
    <t xml:space="preserve">PAS0863</t>
  </si>
  <si>
    <t xml:space="preserve">PINHEIRO</t>
  </si>
  <si>
    <t xml:space="preserve">65200-000</t>
  </si>
  <si>
    <t xml:space="preserve">65203-999</t>
  </si>
  <si>
    <t xml:space="preserve">PAS0864</t>
  </si>
  <si>
    <t xml:space="preserve">PIRAPEMAS</t>
  </si>
  <si>
    <t xml:space="preserve">65460-000</t>
  </si>
  <si>
    <t xml:space="preserve">65464-999</t>
  </si>
  <si>
    <t xml:space="preserve">PAS0865</t>
  </si>
  <si>
    <t xml:space="preserve">PORTO FRANCO</t>
  </si>
  <si>
    <t xml:space="preserve">65970-000</t>
  </si>
  <si>
    <t xml:space="preserve">65972-999</t>
  </si>
  <si>
    <t xml:space="preserve">PAS0866</t>
  </si>
  <si>
    <t xml:space="preserve">PORTO RICO DO MARANHAO</t>
  </si>
  <si>
    <t xml:space="preserve">65263-000</t>
  </si>
  <si>
    <t xml:space="preserve">65264-999</t>
  </si>
  <si>
    <t xml:space="preserve">PAS0867</t>
  </si>
  <si>
    <t xml:space="preserve">65760-000</t>
  </si>
  <si>
    <t xml:space="preserve">65761-999</t>
  </si>
  <si>
    <t xml:space="preserve">PAS0868</t>
  </si>
  <si>
    <t xml:space="preserve">PRESIDENTE JUSCELINO</t>
  </si>
  <si>
    <t xml:space="preserve">65140-000</t>
  </si>
  <si>
    <t xml:space="preserve">65142-999</t>
  </si>
  <si>
    <t xml:space="preserve">PAS0869</t>
  </si>
  <si>
    <t xml:space="preserve">PRESIDENTE MEDICI</t>
  </si>
  <si>
    <t xml:space="preserve">65279-000</t>
  </si>
  <si>
    <t xml:space="preserve">65279-999</t>
  </si>
  <si>
    <t xml:space="preserve">PAS0870</t>
  </si>
  <si>
    <t xml:space="preserve">PRESIDENTE SARNEY</t>
  </si>
  <si>
    <t xml:space="preserve">65204-000</t>
  </si>
  <si>
    <t xml:space="preserve">65205-999</t>
  </si>
  <si>
    <t xml:space="preserve">PAS0871</t>
  </si>
  <si>
    <t xml:space="preserve">PRESIDENTE VARGAS</t>
  </si>
  <si>
    <t xml:space="preserve">65455-000</t>
  </si>
  <si>
    <t xml:space="preserve">65459-999</t>
  </si>
  <si>
    <t xml:space="preserve">PAS0872</t>
  </si>
  <si>
    <t xml:space="preserve">PRIMEIRA CRUZ</t>
  </si>
  <si>
    <t xml:space="preserve">65190-000</t>
  </si>
  <si>
    <t xml:space="preserve">65194-999</t>
  </si>
  <si>
    <t xml:space="preserve">PAS0873</t>
  </si>
  <si>
    <t xml:space="preserve">RIACHAO</t>
  </si>
  <si>
    <t xml:space="preserve">65990-000</t>
  </si>
  <si>
    <t xml:space="preserve">65994-999</t>
  </si>
  <si>
    <t xml:space="preserve">PAS0874</t>
  </si>
  <si>
    <t xml:space="preserve">RIBAMAR FIQUENE</t>
  </si>
  <si>
    <t xml:space="preserve">65938-000</t>
  </si>
  <si>
    <t xml:space="preserve">65938-999</t>
  </si>
  <si>
    <t xml:space="preserve">PAS0875</t>
  </si>
  <si>
    <t xml:space="preserve">SAMBAIBA</t>
  </si>
  <si>
    <t xml:space="preserve">65830-000</t>
  </si>
  <si>
    <t xml:space="preserve">65839-999</t>
  </si>
  <si>
    <t xml:space="preserve">PAS0876</t>
  </si>
  <si>
    <t xml:space="preserve">SANTA FILOMENA DO MARANHAO</t>
  </si>
  <si>
    <t xml:space="preserve">65768-000</t>
  </si>
  <si>
    <t xml:space="preserve">65769-999</t>
  </si>
  <si>
    <t xml:space="preserve">PAS0877</t>
  </si>
  <si>
    <t xml:space="preserve">SANTA HELENA</t>
  </si>
  <si>
    <t xml:space="preserve">65208-000</t>
  </si>
  <si>
    <t xml:space="preserve">65209-999</t>
  </si>
  <si>
    <t xml:space="preserve">PAS0878</t>
  </si>
  <si>
    <t xml:space="preserve">58600-000</t>
  </si>
  <si>
    <t xml:space="preserve">58609-999</t>
  </si>
  <si>
    <t xml:space="preserve">PAS0879</t>
  </si>
  <si>
    <t xml:space="preserve">SANTA LUZIA DO PARUA</t>
  </si>
  <si>
    <t xml:space="preserve">65272-000</t>
  </si>
  <si>
    <t xml:space="preserve">65273-999</t>
  </si>
  <si>
    <t xml:space="preserve">PAS0880</t>
  </si>
  <si>
    <t xml:space="preserve">SANTA QUITERIA DO MARANHAO</t>
  </si>
  <si>
    <t xml:space="preserve">65540-000</t>
  </si>
  <si>
    <t xml:space="preserve">65544-999</t>
  </si>
  <si>
    <t xml:space="preserve">PAS0881</t>
  </si>
  <si>
    <t xml:space="preserve">SANTANA DO MARANHAO</t>
  </si>
  <si>
    <t xml:space="preserve">65555-000</t>
  </si>
  <si>
    <t xml:space="preserve">65559-999</t>
  </si>
  <si>
    <t xml:space="preserve">PAS0882</t>
  </si>
  <si>
    <t xml:space="preserve">SANTO AMARO DO MARANHAO</t>
  </si>
  <si>
    <t xml:space="preserve">65195-000</t>
  </si>
  <si>
    <t xml:space="preserve">65199-999</t>
  </si>
  <si>
    <t xml:space="preserve">PAS0883</t>
  </si>
  <si>
    <t xml:space="preserve">SAO BENEDITO DO RIO PRETO</t>
  </si>
  <si>
    <t xml:space="preserve">65440-000</t>
  </si>
  <si>
    <t xml:space="preserve">65449-999</t>
  </si>
  <si>
    <t xml:space="preserve">PAS0884</t>
  </si>
  <si>
    <t xml:space="preserve">SAO BENTO</t>
  </si>
  <si>
    <t xml:space="preserve">58865-000</t>
  </si>
  <si>
    <t xml:space="preserve">58869-999</t>
  </si>
  <si>
    <t xml:space="preserve">PAS0885</t>
  </si>
  <si>
    <t xml:space="preserve">SAO BERNARDO</t>
  </si>
  <si>
    <t xml:space="preserve">65550-000</t>
  </si>
  <si>
    <t xml:space="preserve">65554-999</t>
  </si>
  <si>
    <t xml:space="preserve">PAS0886</t>
  </si>
  <si>
    <t xml:space="preserve">SAO DOMINGOS DO AZEITAO</t>
  </si>
  <si>
    <t xml:space="preserve">65888-000</t>
  </si>
  <si>
    <t xml:space="preserve">65889-999</t>
  </si>
  <si>
    <t xml:space="preserve">PAS0887</t>
  </si>
  <si>
    <t xml:space="preserve">SAO DOMINGOS DO MARANHAO</t>
  </si>
  <si>
    <t xml:space="preserve">65790-000</t>
  </si>
  <si>
    <t xml:space="preserve">65794-999</t>
  </si>
  <si>
    <t xml:space="preserve">PAS0888</t>
  </si>
  <si>
    <t xml:space="preserve">SAO FELIX DE BALSAS</t>
  </si>
  <si>
    <t xml:space="preserve">65890-000</t>
  </si>
  <si>
    <t xml:space="preserve">65894-999</t>
  </si>
  <si>
    <t xml:space="preserve">PAS0889</t>
  </si>
  <si>
    <t xml:space="preserve">SAO FRANCISCO DO BREJAO</t>
  </si>
  <si>
    <t xml:space="preserve">65929-000</t>
  </si>
  <si>
    <t xml:space="preserve">65929-999</t>
  </si>
  <si>
    <t xml:space="preserve">PAS0890</t>
  </si>
  <si>
    <t xml:space="preserve">SAO FRANCISCO DO MARANHAO</t>
  </si>
  <si>
    <t xml:space="preserve">65650-000</t>
  </si>
  <si>
    <t xml:space="preserve">65659-999</t>
  </si>
  <si>
    <t xml:space="preserve">PAS0891</t>
  </si>
  <si>
    <t xml:space="preserve">SAO JOAO BATISTA</t>
  </si>
  <si>
    <t xml:space="preserve">65225-000</t>
  </si>
  <si>
    <t xml:space="preserve">65229-999</t>
  </si>
  <si>
    <t xml:space="preserve">PAS0892</t>
  </si>
  <si>
    <t xml:space="preserve">SAO JOAO DO CARU</t>
  </si>
  <si>
    <t xml:space="preserve">65385-000</t>
  </si>
  <si>
    <t xml:space="preserve">65389-999</t>
  </si>
  <si>
    <t xml:space="preserve">PAS0893</t>
  </si>
  <si>
    <t xml:space="preserve">SAO JOAO DO PARAISO</t>
  </si>
  <si>
    <t xml:space="preserve">65973-000</t>
  </si>
  <si>
    <t xml:space="preserve">65974-999</t>
  </si>
  <si>
    <t xml:space="preserve">PAS0894</t>
  </si>
  <si>
    <t xml:space="preserve">SAO JOAO DO SOTER</t>
  </si>
  <si>
    <t xml:space="preserve">65615-000</t>
  </si>
  <si>
    <t xml:space="preserve">65619-999</t>
  </si>
  <si>
    <t xml:space="preserve">PAS0895</t>
  </si>
  <si>
    <t xml:space="preserve">SAO JOAO DOS PATOS</t>
  </si>
  <si>
    <t xml:space="preserve">65665-000</t>
  </si>
  <si>
    <t xml:space="preserve">65667-999</t>
  </si>
  <si>
    <t xml:space="preserve">PAS0896</t>
  </si>
  <si>
    <t xml:space="preserve">SAO JOSE DOS BASILIOS</t>
  </si>
  <si>
    <t xml:space="preserve">65762-000</t>
  </si>
  <si>
    <t xml:space="preserve">65762-999</t>
  </si>
  <si>
    <t xml:space="preserve">PAS0897</t>
  </si>
  <si>
    <t xml:space="preserve">SAO LUIS GONZAGA DO MARANHAO</t>
  </si>
  <si>
    <t xml:space="preserve">65708-000</t>
  </si>
  <si>
    <t xml:space="preserve">65708-999</t>
  </si>
  <si>
    <t xml:space="preserve">PAS0898</t>
  </si>
  <si>
    <t xml:space="preserve">SAO PEDRO DA AGUA BRANCA</t>
  </si>
  <si>
    <t xml:space="preserve">65920-000</t>
  </si>
  <si>
    <t xml:space="preserve">65920-999</t>
  </si>
  <si>
    <t xml:space="preserve">PAS0899</t>
  </si>
  <si>
    <t xml:space="preserve">SAO PEDRO DOS CRENTES</t>
  </si>
  <si>
    <t xml:space="preserve">65978-000</t>
  </si>
  <si>
    <t xml:space="preserve">65979-999</t>
  </si>
  <si>
    <t xml:space="preserve">PAS0900</t>
  </si>
  <si>
    <t xml:space="preserve">SAO RAIMUNDO DAS MANGABEIRAS</t>
  </si>
  <si>
    <t xml:space="preserve">65840-000</t>
  </si>
  <si>
    <t xml:space="preserve">65849-999</t>
  </si>
  <si>
    <t xml:space="preserve">PAS0901</t>
  </si>
  <si>
    <t xml:space="preserve">SAO RAIMUNDO DO DOCA BEZERRA</t>
  </si>
  <si>
    <t xml:space="preserve">65753-000</t>
  </si>
  <si>
    <t xml:space="preserve">65754-999</t>
  </si>
  <si>
    <t xml:space="preserve">PAS0902</t>
  </si>
  <si>
    <t xml:space="preserve">SAO ROBERTO</t>
  </si>
  <si>
    <t xml:space="preserve">65758-000</t>
  </si>
  <si>
    <t xml:space="preserve">65759-999</t>
  </si>
  <si>
    <t xml:space="preserve">PAS0903</t>
  </si>
  <si>
    <t xml:space="preserve">SAO VICENTE FERRER</t>
  </si>
  <si>
    <t xml:space="preserve">55860-000</t>
  </si>
  <si>
    <t xml:space="preserve">55864-999</t>
  </si>
  <si>
    <t xml:space="preserve">PAS0904</t>
  </si>
  <si>
    <t xml:space="preserve">SENADOR ALEXANDRE COSTA</t>
  </si>
  <si>
    <t xml:space="preserve">65783-000</t>
  </si>
  <si>
    <t xml:space="preserve">65784-999</t>
  </si>
  <si>
    <t xml:space="preserve">PAS0905</t>
  </si>
  <si>
    <t xml:space="preserve">SENADOR LA ROCQUE</t>
  </si>
  <si>
    <t xml:space="preserve">65935-000</t>
  </si>
  <si>
    <t xml:space="preserve">65935-970</t>
  </si>
  <si>
    <t xml:space="preserve">PAS0906</t>
  </si>
  <si>
    <t xml:space="preserve">SERRANO DO MARANHAO</t>
  </si>
  <si>
    <t xml:space="preserve">65269-000</t>
  </si>
  <si>
    <t xml:space="preserve">65269-999</t>
  </si>
  <si>
    <t xml:space="preserve">PAS0907</t>
  </si>
  <si>
    <t xml:space="preserve">SITIO NOVO</t>
  </si>
  <si>
    <t xml:space="preserve">65925-000</t>
  </si>
  <si>
    <t xml:space="preserve">65926-999</t>
  </si>
  <si>
    <t xml:space="preserve">PAS0908</t>
  </si>
  <si>
    <t xml:space="preserve">SUCUPIRA DO NORTE</t>
  </si>
  <si>
    <t xml:space="preserve">65860-000</t>
  </si>
  <si>
    <t xml:space="preserve">65869-999</t>
  </si>
  <si>
    <t xml:space="preserve">PAS0909</t>
  </si>
  <si>
    <t xml:space="preserve">SUCUPIRA DO RIACHAO</t>
  </si>
  <si>
    <t xml:space="preserve">65668-000</t>
  </si>
  <si>
    <t xml:space="preserve">65669-999</t>
  </si>
  <si>
    <t xml:space="preserve">PAS0910</t>
  </si>
  <si>
    <t xml:space="preserve">TASSO FRAGOSO</t>
  </si>
  <si>
    <t xml:space="preserve">65820-000</t>
  </si>
  <si>
    <t xml:space="preserve">65829-999</t>
  </si>
  <si>
    <t xml:space="preserve">PAS0911</t>
  </si>
  <si>
    <t xml:space="preserve">TIMON</t>
  </si>
  <si>
    <t xml:space="preserve">65630-001</t>
  </si>
  <si>
    <t xml:space="preserve">65639-999</t>
  </si>
  <si>
    <t xml:space="preserve">PAS0912</t>
  </si>
  <si>
    <t xml:space="preserve">TUFILANDIA</t>
  </si>
  <si>
    <t xml:space="preserve">65378-000</t>
  </si>
  <si>
    <t xml:space="preserve">65379-999</t>
  </si>
  <si>
    <t xml:space="preserve">PAS0913</t>
  </si>
  <si>
    <t xml:space="preserve">TURIACU</t>
  </si>
  <si>
    <t xml:space="preserve">65278-000</t>
  </si>
  <si>
    <t xml:space="preserve">65278-999</t>
  </si>
  <si>
    <t xml:space="preserve">PAS0914</t>
  </si>
  <si>
    <t xml:space="preserve">TURILANDIA</t>
  </si>
  <si>
    <t xml:space="preserve">65276-000</t>
  </si>
  <si>
    <t xml:space="preserve">65277-999</t>
  </si>
  <si>
    <t xml:space="preserve">PAS0915</t>
  </si>
  <si>
    <t xml:space="preserve">TUTOIA</t>
  </si>
  <si>
    <t xml:space="preserve">65580-000</t>
  </si>
  <si>
    <t xml:space="preserve">65584-999</t>
  </si>
  <si>
    <t xml:space="preserve">PAS0916</t>
  </si>
  <si>
    <t xml:space="preserve">URBANO SANTOS</t>
  </si>
  <si>
    <t xml:space="preserve">65530-000</t>
  </si>
  <si>
    <t xml:space="preserve">65534-999</t>
  </si>
  <si>
    <t xml:space="preserve">PAS0917</t>
  </si>
  <si>
    <t xml:space="preserve">VARGEM GRANDE</t>
  </si>
  <si>
    <t xml:space="preserve">65430-000</t>
  </si>
  <si>
    <t xml:space="preserve">65439-999</t>
  </si>
  <si>
    <t xml:space="preserve">PAS0918</t>
  </si>
  <si>
    <t xml:space="preserve">VIANA</t>
  </si>
  <si>
    <t xml:space="preserve">65215-000</t>
  </si>
  <si>
    <t xml:space="preserve">65217-999</t>
  </si>
  <si>
    <t xml:space="preserve">PAS0919</t>
  </si>
  <si>
    <t xml:space="preserve">VILA NOVA DOS MARTIRIOS</t>
  </si>
  <si>
    <t xml:space="preserve">65924-000</t>
  </si>
  <si>
    <t xml:space="preserve">65924-999</t>
  </si>
  <si>
    <t xml:space="preserve">PAS0920</t>
  </si>
  <si>
    <t xml:space="preserve">VITORIA DO MEARIM</t>
  </si>
  <si>
    <t xml:space="preserve">65350-000</t>
  </si>
  <si>
    <t xml:space="preserve">65359-999</t>
  </si>
  <si>
    <t xml:space="preserve">PAS0921</t>
  </si>
  <si>
    <t xml:space="preserve">58110-001</t>
  </si>
  <si>
    <t xml:space="preserve">58114-999</t>
  </si>
  <si>
    <t xml:space="preserve">PAS0922</t>
  </si>
  <si>
    <t xml:space="preserve">58100-001</t>
  </si>
  <si>
    <t xml:space="preserve">58109-999</t>
  </si>
  <si>
    <t xml:space="preserve">PAS0923</t>
  </si>
  <si>
    <t xml:space="preserve">58000-001</t>
  </si>
  <si>
    <t xml:space="preserve">58099-999</t>
  </si>
  <si>
    <t xml:space="preserve">PAS0924</t>
  </si>
  <si>
    <t xml:space="preserve">53400-001</t>
  </si>
  <si>
    <t xml:space="preserve">53499-999</t>
  </si>
  <si>
    <t xml:space="preserve">PAS0925</t>
  </si>
  <si>
    <t xml:space="preserve">ALAGOA GRANDE</t>
  </si>
  <si>
    <t xml:space="preserve">58388-000</t>
  </si>
  <si>
    <t xml:space="preserve">58389-999</t>
  </si>
  <si>
    <t xml:space="preserve">PAS0926</t>
  </si>
  <si>
    <t xml:space="preserve">ALAGOA NOVA</t>
  </si>
  <si>
    <t xml:space="preserve">58125-000</t>
  </si>
  <si>
    <t xml:space="preserve">58127-999</t>
  </si>
  <si>
    <t xml:space="preserve">PAS0927</t>
  </si>
  <si>
    <t xml:space="preserve">ALHANDRA</t>
  </si>
  <si>
    <t xml:space="preserve">58320-000</t>
  </si>
  <si>
    <t xml:space="preserve">58321-999</t>
  </si>
  <si>
    <t xml:space="preserve">PAS0928</t>
  </si>
  <si>
    <t xml:space="preserve">ARACAGI</t>
  </si>
  <si>
    <t xml:space="preserve">58270-000</t>
  </si>
  <si>
    <t xml:space="preserve">58272-999</t>
  </si>
  <si>
    <t xml:space="preserve">PAS0929</t>
  </si>
  <si>
    <t xml:space="preserve">AREIA</t>
  </si>
  <si>
    <t xml:space="preserve">58397-000</t>
  </si>
  <si>
    <t xml:space="preserve">58397-999</t>
  </si>
  <si>
    <t xml:space="preserve">PAS0930</t>
  </si>
  <si>
    <t xml:space="preserve">BAIA DA TRAICAO</t>
  </si>
  <si>
    <t xml:space="preserve">58295-000</t>
  </si>
  <si>
    <t xml:space="preserve">58296-999</t>
  </si>
  <si>
    <t xml:space="preserve">PAS0931</t>
  </si>
  <si>
    <t xml:space="preserve">BANANEIRAS</t>
  </si>
  <si>
    <t xml:space="preserve">58220-000</t>
  </si>
  <si>
    <t xml:space="preserve">58224-999</t>
  </si>
  <si>
    <t xml:space="preserve">PAS0932</t>
  </si>
  <si>
    <t xml:space="preserve">58483-000</t>
  </si>
  <si>
    <t xml:space="preserve">58484-999</t>
  </si>
  <si>
    <t xml:space="preserve">PAS0933</t>
  </si>
  <si>
    <t xml:space="preserve">BOQUEIRAO</t>
  </si>
  <si>
    <t xml:space="preserve">58450-000</t>
  </si>
  <si>
    <t xml:space="preserve">58454-999</t>
  </si>
  <si>
    <t xml:space="preserve">PAS0934</t>
  </si>
  <si>
    <t xml:space="preserve">BORBOREMA</t>
  </si>
  <si>
    <t xml:space="preserve">58394-000</t>
  </si>
  <si>
    <t xml:space="preserve">58394-999</t>
  </si>
  <si>
    <t xml:space="preserve">PAS0935</t>
  </si>
  <si>
    <t xml:space="preserve">CAAPORA</t>
  </si>
  <si>
    <t xml:space="preserve">58326-000</t>
  </si>
  <si>
    <t xml:space="preserve">58327-999</t>
  </si>
  <si>
    <t xml:space="preserve">PAS0936</t>
  </si>
  <si>
    <t xml:space="preserve">CABACEIRAS</t>
  </si>
  <si>
    <t xml:space="preserve">58480-000</t>
  </si>
  <si>
    <t xml:space="preserve">58482-999</t>
  </si>
  <si>
    <t xml:space="preserve">PAS0937</t>
  </si>
  <si>
    <t xml:space="preserve">CAICARA</t>
  </si>
  <si>
    <t xml:space="preserve">58253-000</t>
  </si>
  <si>
    <t xml:space="preserve">58253-999</t>
  </si>
  <si>
    <t xml:space="preserve">PAS0938</t>
  </si>
  <si>
    <t xml:space="preserve">CALDAS BRANDAO</t>
  </si>
  <si>
    <t xml:space="preserve">58350-000</t>
  </si>
  <si>
    <t xml:space="preserve">58353-999</t>
  </si>
  <si>
    <t xml:space="preserve">PAS0939</t>
  </si>
  <si>
    <t xml:space="preserve">58400-001</t>
  </si>
  <si>
    <t xml:space="preserve">58449-999</t>
  </si>
  <si>
    <t xml:space="preserve">PAS0940</t>
  </si>
  <si>
    <t xml:space="preserve">CONDADO</t>
  </si>
  <si>
    <t xml:space="preserve">55940-000</t>
  </si>
  <si>
    <t xml:space="preserve">55949-999</t>
  </si>
  <si>
    <t xml:space="preserve">PAS0941</t>
  </si>
  <si>
    <t xml:space="preserve">58322-000</t>
  </si>
  <si>
    <t xml:space="preserve">58323-999</t>
  </si>
  <si>
    <t xml:space="preserve">PAS0942</t>
  </si>
  <si>
    <t xml:space="preserve">CRUZ DO ESPIRITO SANTO</t>
  </si>
  <si>
    <t xml:space="preserve">58337-000</t>
  </si>
  <si>
    <t xml:space="preserve">58337-999</t>
  </si>
  <si>
    <t xml:space="preserve">PAS0943</t>
  </si>
  <si>
    <t xml:space="preserve">CUITEGI</t>
  </si>
  <si>
    <t xml:space="preserve">58208-000</t>
  </si>
  <si>
    <t xml:space="preserve">58209-999</t>
  </si>
  <si>
    <t xml:space="preserve">PAS0944</t>
  </si>
  <si>
    <t xml:space="preserve">CURRAL DE CIMA</t>
  </si>
  <si>
    <t xml:space="preserve">58291-000</t>
  </si>
  <si>
    <t xml:space="preserve">58291-999</t>
  </si>
  <si>
    <t xml:space="preserve">PAS0945</t>
  </si>
  <si>
    <t xml:space="preserve">DUAS ESTRADAS</t>
  </si>
  <si>
    <t xml:space="preserve">58265-000</t>
  </si>
  <si>
    <t xml:space="preserve">58267-999</t>
  </si>
  <si>
    <t xml:space="preserve">PAS0946</t>
  </si>
  <si>
    <t xml:space="preserve">58135-000</t>
  </si>
  <si>
    <t xml:space="preserve">58139-999</t>
  </si>
  <si>
    <t xml:space="preserve">PAS0947</t>
  </si>
  <si>
    <t xml:space="preserve">FAGUNDES</t>
  </si>
  <si>
    <t xml:space="preserve">58487-000</t>
  </si>
  <si>
    <t xml:space="preserve">58488-999</t>
  </si>
  <si>
    <t xml:space="preserve">PAS0948</t>
  </si>
  <si>
    <t xml:space="preserve">GUARABIRA</t>
  </si>
  <si>
    <t xml:space="preserve">58200-000</t>
  </si>
  <si>
    <t xml:space="preserve">58207-999</t>
  </si>
  <si>
    <t xml:space="preserve">PAS0949</t>
  </si>
  <si>
    <t xml:space="preserve">GURINHEM</t>
  </si>
  <si>
    <t xml:space="preserve">58356-000</t>
  </si>
  <si>
    <t xml:space="preserve">58359-999</t>
  </si>
  <si>
    <t xml:space="preserve">PAS0950</t>
  </si>
  <si>
    <t xml:space="preserve">INGA</t>
  </si>
  <si>
    <t xml:space="preserve">58380-000</t>
  </si>
  <si>
    <t xml:space="preserve">58381-999</t>
  </si>
  <si>
    <t xml:space="preserve">PAS0951</t>
  </si>
  <si>
    <t xml:space="preserve">49500-001</t>
  </si>
  <si>
    <t xml:space="preserve">49511-999</t>
  </si>
  <si>
    <t xml:space="preserve">PAS0952</t>
  </si>
  <si>
    <t xml:space="preserve">ITAPOROROCA</t>
  </si>
  <si>
    <t xml:space="preserve">58275-000</t>
  </si>
  <si>
    <t xml:space="preserve">58277-999</t>
  </si>
  <si>
    <t xml:space="preserve">PAS0953</t>
  </si>
  <si>
    <t xml:space="preserve">58278-000</t>
  </si>
  <si>
    <t xml:space="preserve">58279-999</t>
  </si>
  <si>
    <t xml:space="preserve">PAS0954</t>
  </si>
  <si>
    <t xml:space="preserve">JUAREZ TAVORA</t>
  </si>
  <si>
    <t xml:space="preserve">58387-000</t>
  </si>
  <si>
    <t xml:space="preserve">58387-999</t>
  </si>
  <si>
    <t xml:space="preserve">PAS0955</t>
  </si>
  <si>
    <t xml:space="preserve">JURIPIRANGA</t>
  </si>
  <si>
    <t xml:space="preserve">58330-000</t>
  </si>
  <si>
    <t xml:space="preserve">58333-999</t>
  </si>
  <si>
    <t xml:space="preserve">PAS0956</t>
  </si>
  <si>
    <t xml:space="preserve">LAGOA DE DENTRO</t>
  </si>
  <si>
    <t xml:space="preserve">58250-000</t>
  </si>
  <si>
    <t xml:space="preserve">58252-999</t>
  </si>
  <si>
    <t xml:space="preserve">PAS0957</t>
  </si>
  <si>
    <t xml:space="preserve">LAGOA SECA</t>
  </si>
  <si>
    <t xml:space="preserve">58117-000</t>
  </si>
  <si>
    <t xml:space="preserve">58118-999</t>
  </si>
  <si>
    <t xml:space="preserve">PAS0958</t>
  </si>
  <si>
    <t xml:space="preserve">LOGRADOURO</t>
  </si>
  <si>
    <t xml:space="preserve">58254-000</t>
  </si>
  <si>
    <t xml:space="preserve">58254-999</t>
  </si>
  <si>
    <t xml:space="preserve">PAS0959</t>
  </si>
  <si>
    <t xml:space="preserve">LUCENA</t>
  </si>
  <si>
    <t xml:space="preserve">58315-000</t>
  </si>
  <si>
    <t xml:space="preserve">58319-999</t>
  </si>
  <si>
    <t xml:space="preserve">PAS0960</t>
  </si>
  <si>
    <t xml:space="preserve">MAMANGUAPE</t>
  </si>
  <si>
    <t xml:space="preserve">58280-000</t>
  </si>
  <si>
    <t xml:space="preserve">58286-999</t>
  </si>
  <si>
    <t xml:space="preserve">PAS0961</t>
  </si>
  <si>
    <t xml:space="preserve">MARI</t>
  </si>
  <si>
    <t xml:space="preserve">58345-000</t>
  </si>
  <si>
    <t xml:space="preserve">58347-999</t>
  </si>
  <si>
    <t xml:space="preserve">PAS0962</t>
  </si>
  <si>
    <t xml:space="preserve">MATARACA</t>
  </si>
  <si>
    <t xml:space="preserve">58292-000</t>
  </si>
  <si>
    <t xml:space="preserve">58293-999</t>
  </si>
  <si>
    <t xml:space="preserve">PAS0963</t>
  </si>
  <si>
    <t xml:space="preserve">MOGEIRO</t>
  </si>
  <si>
    <t xml:space="preserve">58375-000</t>
  </si>
  <si>
    <t xml:space="preserve">58377-999</t>
  </si>
  <si>
    <t xml:space="preserve">PAS0964</t>
  </si>
  <si>
    <t xml:space="preserve">62764-000</t>
  </si>
  <si>
    <t xml:space="preserve">62765-999</t>
  </si>
  <si>
    <t xml:space="preserve">PAS0965</t>
  </si>
  <si>
    <t xml:space="preserve">NOVA FLORESTA</t>
  </si>
  <si>
    <t xml:space="preserve">58178-000</t>
  </si>
  <si>
    <t xml:space="preserve">58179-999</t>
  </si>
  <si>
    <t xml:space="preserve">PAS0966</t>
  </si>
  <si>
    <t xml:space="preserve">PEDRAS DE FOGO</t>
  </si>
  <si>
    <t xml:space="preserve">58328-000</t>
  </si>
  <si>
    <t xml:space="preserve">58329-999</t>
  </si>
  <si>
    <t xml:space="preserve">PAS0967</t>
  </si>
  <si>
    <t xml:space="preserve">58338-000</t>
  </si>
  <si>
    <t xml:space="preserve">58338-999</t>
  </si>
  <si>
    <t xml:space="preserve">PAS0968</t>
  </si>
  <si>
    <t xml:space="preserve">65300-001</t>
  </si>
  <si>
    <t xml:space="preserve">65309-999</t>
  </si>
  <si>
    <t xml:space="preserve">PAS0969</t>
  </si>
  <si>
    <t xml:space="preserve">65145-000</t>
  </si>
  <si>
    <t xml:space="preserve">65147-999</t>
  </si>
  <si>
    <t xml:space="preserve">PAS0970</t>
  </si>
  <si>
    <t xml:space="preserve">58720-000</t>
  </si>
  <si>
    <t xml:space="preserve">58722-999</t>
  </si>
  <si>
    <t xml:space="preserve">PAS0971</t>
  </si>
  <si>
    <t xml:space="preserve">49525-000</t>
  </si>
  <si>
    <t xml:space="preserve">49529-999</t>
  </si>
  <si>
    <t xml:space="preserve">PAS0972</t>
  </si>
  <si>
    <t xml:space="preserve">58748-000</t>
  </si>
  <si>
    <t xml:space="preserve">58749-999</t>
  </si>
  <si>
    <t xml:space="preserve">PAS0973</t>
  </si>
  <si>
    <t xml:space="preserve">AGUIAR</t>
  </si>
  <si>
    <t xml:space="preserve">58778-000</t>
  </si>
  <si>
    <t xml:space="preserve">58779-999</t>
  </si>
  <si>
    <t xml:space="preserve">PAS0974</t>
  </si>
  <si>
    <t xml:space="preserve">ALAGOINHA</t>
  </si>
  <si>
    <t xml:space="preserve">55260-000</t>
  </si>
  <si>
    <t xml:space="preserve">55269-999</t>
  </si>
  <si>
    <t xml:space="preserve">PAS0975</t>
  </si>
  <si>
    <t xml:space="preserve">ALCANTIL</t>
  </si>
  <si>
    <t xml:space="preserve">58460-000</t>
  </si>
  <si>
    <t xml:space="preserve">58462-999</t>
  </si>
  <si>
    <t xml:space="preserve">PAS0976</t>
  </si>
  <si>
    <t xml:space="preserve">ALGODAO DE JANDAIRA</t>
  </si>
  <si>
    <t xml:space="preserve">58399-000</t>
  </si>
  <si>
    <t xml:space="preserve">58399-999</t>
  </si>
  <si>
    <t xml:space="preserve">PAS0977</t>
  </si>
  <si>
    <t xml:space="preserve">AMPARO</t>
  </si>
  <si>
    <t xml:space="preserve">58548-000</t>
  </si>
  <si>
    <t xml:space="preserve">58549-999</t>
  </si>
  <si>
    <t xml:space="preserve">PAS0978</t>
  </si>
  <si>
    <t xml:space="preserve">APARECIDA</t>
  </si>
  <si>
    <t xml:space="preserve">58823-000</t>
  </si>
  <si>
    <t xml:space="preserve">58823-999</t>
  </si>
  <si>
    <t xml:space="preserve">PAS0979</t>
  </si>
  <si>
    <t xml:space="preserve">ARARA</t>
  </si>
  <si>
    <t xml:space="preserve">58396-000</t>
  </si>
  <si>
    <t xml:space="preserve">58396-999</t>
  </si>
  <si>
    <t xml:space="preserve">PAS0980</t>
  </si>
  <si>
    <t xml:space="preserve">ARARUNA</t>
  </si>
  <si>
    <t xml:space="preserve">58233-000</t>
  </si>
  <si>
    <t xml:space="preserve">58234-999</t>
  </si>
  <si>
    <t xml:space="preserve">PAS0981</t>
  </si>
  <si>
    <t xml:space="preserve">AREIA DE BARAUNAS</t>
  </si>
  <si>
    <t xml:space="preserve">58732-000</t>
  </si>
  <si>
    <t xml:space="preserve">58732-999</t>
  </si>
  <si>
    <t xml:space="preserve">PAS0982</t>
  </si>
  <si>
    <t xml:space="preserve">AREIAL</t>
  </si>
  <si>
    <t xml:space="preserve">58140-000</t>
  </si>
  <si>
    <t xml:space="preserve">58144-999</t>
  </si>
  <si>
    <t xml:space="preserve">PAS0983</t>
  </si>
  <si>
    <t xml:space="preserve">AROEIRAS</t>
  </si>
  <si>
    <t xml:space="preserve">58489-000</t>
  </si>
  <si>
    <t xml:space="preserve">58491-999</t>
  </si>
  <si>
    <t xml:space="preserve">PAS0984</t>
  </si>
  <si>
    <t xml:space="preserve">ASSUNCAO</t>
  </si>
  <si>
    <t xml:space="preserve">58685-000</t>
  </si>
  <si>
    <t xml:space="preserve">58689-999</t>
  </si>
  <si>
    <t xml:space="preserve">PAS0985</t>
  </si>
  <si>
    <t xml:space="preserve">BARAUNA</t>
  </si>
  <si>
    <t xml:space="preserve">58188-000</t>
  </si>
  <si>
    <t xml:space="preserve">58194-999</t>
  </si>
  <si>
    <t xml:space="preserve">PAS0986</t>
  </si>
  <si>
    <t xml:space="preserve">BARRA DE SANTA ROSA</t>
  </si>
  <si>
    <t xml:space="preserve">58170-000</t>
  </si>
  <si>
    <t xml:space="preserve">58172-999</t>
  </si>
  <si>
    <t xml:space="preserve">PAS0987</t>
  </si>
  <si>
    <t xml:space="preserve">BARRA DE SANTANA</t>
  </si>
  <si>
    <t xml:space="preserve">58458-000</t>
  </si>
  <si>
    <t xml:space="preserve">58459-999</t>
  </si>
  <si>
    <t xml:space="preserve">PAS0988</t>
  </si>
  <si>
    <t xml:space="preserve">58255-000</t>
  </si>
  <si>
    <t xml:space="preserve">58259-999</t>
  </si>
  <si>
    <t xml:space="preserve">PAS0989</t>
  </si>
  <si>
    <t xml:space="preserve">BELEM DO BREJO DO CRUZ</t>
  </si>
  <si>
    <t xml:space="preserve">58895-000</t>
  </si>
  <si>
    <t xml:space="preserve">58899-999</t>
  </si>
  <si>
    <t xml:space="preserve">PAS0990</t>
  </si>
  <si>
    <t xml:space="preserve">BERNARDINO BATISTA</t>
  </si>
  <si>
    <t xml:space="preserve">58922-000</t>
  </si>
  <si>
    <t xml:space="preserve">58924-999</t>
  </si>
  <si>
    <t xml:space="preserve">PAS0991</t>
  </si>
  <si>
    <t xml:space="preserve">BOA VENTURA</t>
  </si>
  <si>
    <t xml:space="preserve">58993-000</t>
  </si>
  <si>
    <t xml:space="preserve">58993-999</t>
  </si>
  <si>
    <t xml:space="preserve">PAS0992</t>
  </si>
  <si>
    <t xml:space="preserve">BOA VISTA</t>
  </si>
  <si>
    <t xml:space="preserve">58123-000</t>
  </si>
  <si>
    <t xml:space="preserve">58124-999</t>
  </si>
  <si>
    <t xml:space="preserve">PAS0993</t>
  </si>
  <si>
    <t xml:space="preserve">58930-000</t>
  </si>
  <si>
    <t xml:space="preserve">58932-999</t>
  </si>
  <si>
    <t xml:space="preserve">PAS0994</t>
  </si>
  <si>
    <t xml:space="preserve">BOM SUCESSO</t>
  </si>
  <si>
    <t xml:space="preserve">58887-000</t>
  </si>
  <si>
    <t xml:space="preserve">58889-999</t>
  </si>
  <si>
    <t xml:space="preserve">PAS0995</t>
  </si>
  <si>
    <t xml:space="preserve">BONITO DE SANTA FE</t>
  </si>
  <si>
    <t xml:space="preserve">58960-000</t>
  </si>
  <si>
    <t xml:space="preserve">58969-999</t>
  </si>
  <si>
    <t xml:space="preserve">PAS0996</t>
  </si>
  <si>
    <t xml:space="preserve">BREJO DO CRUZ</t>
  </si>
  <si>
    <t xml:space="preserve">58890-000</t>
  </si>
  <si>
    <t xml:space="preserve">58892-999</t>
  </si>
  <si>
    <t xml:space="preserve">PAS0997</t>
  </si>
  <si>
    <t xml:space="preserve">BREJO DOS SANTOS</t>
  </si>
  <si>
    <t xml:space="preserve">58880-000</t>
  </si>
  <si>
    <t xml:space="preserve">58883-999</t>
  </si>
  <si>
    <t xml:space="preserve">PAS0998</t>
  </si>
  <si>
    <t xml:space="preserve">CACHOEIRA DOS INDIOS</t>
  </si>
  <si>
    <t xml:space="preserve">58935-000</t>
  </si>
  <si>
    <t xml:space="preserve">58939-999</t>
  </si>
  <si>
    <t xml:space="preserve">PAS0999</t>
  </si>
  <si>
    <t xml:space="preserve">CACIMBA DE AREIA</t>
  </si>
  <si>
    <t xml:space="preserve">58730-000</t>
  </si>
  <si>
    <t xml:space="preserve">58731-999</t>
  </si>
  <si>
    <t xml:space="preserve">PAS1000</t>
  </si>
  <si>
    <t xml:space="preserve">CACIMBA DE DENTRO</t>
  </si>
  <si>
    <t xml:space="preserve">58230-000</t>
  </si>
  <si>
    <t xml:space="preserve">58232-999</t>
  </si>
  <si>
    <t xml:space="preserve">PAS1001</t>
  </si>
  <si>
    <t xml:space="preserve">CACIMBAS</t>
  </si>
  <si>
    <t xml:space="preserve">58698-000</t>
  </si>
  <si>
    <t xml:space="preserve">58699-999</t>
  </si>
  <si>
    <t xml:space="preserve">PAS1002</t>
  </si>
  <si>
    <t xml:space="preserve">CAJAZEIRAS</t>
  </si>
  <si>
    <t xml:space="preserve">58900-000</t>
  </si>
  <si>
    <t xml:space="preserve">58907-999</t>
  </si>
  <si>
    <t xml:space="preserve">PAS1003</t>
  </si>
  <si>
    <t xml:space="preserve">CAJAZEIRINHAS</t>
  </si>
  <si>
    <t xml:space="preserve">58855-000</t>
  </si>
  <si>
    <t xml:space="preserve">58856-999</t>
  </si>
  <si>
    <t xml:space="preserve">PAS1004</t>
  </si>
  <si>
    <t xml:space="preserve">CAMALAU</t>
  </si>
  <si>
    <t xml:space="preserve">58530-000</t>
  </si>
  <si>
    <t xml:space="preserve">58534-999</t>
  </si>
  <si>
    <t xml:space="preserve">PAS1005</t>
  </si>
  <si>
    <t xml:space="preserve">CAPIM</t>
  </si>
  <si>
    <t xml:space="preserve">58287-000</t>
  </si>
  <si>
    <t xml:space="preserve">58288-999</t>
  </si>
  <si>
    <t xml:space="preserve">PAS1006</t>
  </si>
  <si>
    <t xml:space="preserve">CARAUBAS</t>
  </si>
  <si>
    <t xml:space="preserve">58595-000</t>
  </si>
  <si>
    <t xml:space="preserve">58599-999</t>
  </si>
  <si>
    <t xml:space="preserve">PAS1007</t>
  </si>
  <si>
    <t xml:space="preserve">CARRAPATEIRA</t>
  </si>
  <si>
    <t xml:space="preserve">58945-000</t>
  </si>
  <si>
    <t xml:space="preserve">58949-999</t>
  </si>
  <si>
    <t xml:space="preserve">PAS1008</t>
  </si>
  <si>
    <t xml:space="preserve">CASSERENGUE</t>
  </si>
  <si>
    <t xml:space="preserve">58238-000</t>
  </si>
  <si>
    <t xml:space="preserve">58239-999</t>
  </si>
  <si>
    <t xml:space="preserve">PAS1009</t>
  </si>
  <si>
    <t xml:space="preserve">CATINGUEIRA</t>
  </si>
  <si>
    <t xml:space="preserve">58715-000</t>
  </si>
  <si>
    <t xml:space="preserve">58719-999</t>
  </si>
  <si>
    <t xml:space="preserve">PAS1010</t>
  </si>
  <si>
    <t xml:space="preserve">CATOLE DO ROCHA</t>
  </si>
  <si>
    <t xml:space="preserve">58884-000</t>
  </si>
  <si>
    <t xml:space="preserve">58886-999</t>
  </si>
  <si>
    <t xml:space="preserve">PAS1011</t>
  </si>
  <si>
    <t xml:space="preserve">CATURITE</t>
  </si>
  <si>
    <t xml:space="preserve">58455-000</t>
  </si>
  <si>
    <t xml:space="preserve">58457-999</t>
  </si>
  <si>
    <t xml:space="preserve">PAS1012</t>
  </si>
  <si>
    <t xml:space="preserve">CONCEICAO</t>
  </si>
  <si>
    <t xml:space="preserve">58970-000</t>
  </si>
  <si>
    <t xml:space="preserve">58977-999</t>
  </si>
  <si>
    <t xml:space="preserve">PAS1013</t>
  </si>
  <si>
    <t xml:space="preserve">CONGO</t>
  </si>
  <si>
    <t xml:space="preserve">58535-000</t>
  </si>
  <si>
    <t xml:space="preserve">58539-999</t>
  </si>
  <si>
    <t xml:space="preserve">PAS1014</t>
  </si>
  <si>
    <t xml:space="preserve">COREMAS</t>
  </si>
  <si>
    <t xml:space="preserve">58770-000</t>
  </si>
  <si>
    <t xml:space="preserve">58774-999</t>
  </si>
  <si>
    <t xml:space="preserve">PAS1015</t>
  </si>
  <si>
    <t xml:space="preserve">COXIXOLA</t>
  </si>
  <si>
    <t xml:space="preserve">58588-000</t>
  </si>
  <si>
    <t xml:space="preserve">58589-999</t>
  </si>
  <si>
    <t xml:space="preserve">PAS1016</t>
  </si>
  <si>
    <t xml:space="preserve">CUBATI</t>
  </si>
  <si>
    <t xml:space="preserve">58167-000</t>
  </si>
  <si>
    <t xml:space="preserve">58169-999</t>
  </si>
  <si>
    <t xml:space="preserve">PAS1017</t>
  </si>
  <si>
    <t xml:space="preserve">CUITE</t>
  </si>
  <si>
    <t xml:space="preserve">58175-000</t>
  </si>
  <si>
    <t xml:space="preserve">58176-999</t>
  </si>
  <si>
    <t xml:space="preserve">PAS1018</t>
  </si>
  <si>
    <t xml:space="preserve">CUITE DE MAMANGUAPE</t>
  </si>
  <si>
    <t xml:space="preserve">58289-000</t>
  </si>
  <si>
    <t xml:space="preserve">58290-999</t>
  </si>
  <si>
    <t xml:space="preserve">PAS1019</t>
  </si>
  <si>
    <t xml:space="preserve">CURRAL VELHO</t>
  </si>
  <si>
    <t xml:space="preserve">58990-000</t>
  </si>
  <si>
    <t xml:space="preserve">58992-999</t>
  </si>
  <si>
    <t xml:space="preserve">PAS1020</t>
  </si>
  <si>
    <t xml:space="preserve">DAMIAO</t>
  </si>
  <si>
    <t xml:space="preserve">58173-000</t>
  </si>
  <si>
    <t xml:space="preserve">58174-999</t>
  </si>
  <si>
    <t xml:space="preserve">PAS1021</t>
  </si>
  <si>
    <t xml:space="preserve">DESTERRO</t>
  </si>
  <si>
    <t xml:space="preserve">58695-000</t>
  </si>
  <si>
    <t xml:space="preserve">58697-999</t>
  </si>
  <si>
    <t xml:space="preserve">PAS1022</t>
  </si>
  <si>
    <t xml:space="preserve">DIAMANTE</t>
  </si>
  <si>
    <t xml:space="preserve">58994-000</t>
  </si>
  <si>
    <t xml:space="preserve">58994-999</t>
  </si>
  <si>
    <t xml:space="preserve">PAS1023</t>
  </si>
  <si>
    <t xml:space="preserve">DONA INES</t>
  </si>
  <si>
    <t xml:space="preserve">58228-000</t>
  </si>
  <si>
    <t xml:space="preserve">58229-999</t>
  </si>
  <si>
    <t xml:space="preserve">PAS1024</t>
  </si>
  <si>
    <t xml:space="preserve">EMAS</t>
  </si>
  <si>
    <t xml:space="preserve">58763-000</t>
  </si>
  <si>
    <t xml:space="preserve">58764-999</t>
  </si>
  <si>
    <t xml:space="preserve">PAS1025</t>
  </si>
  <si>
    <t xml:space="preserve">FREI MARTINHO</t>
  </si>
  <si>
    <t xml:space="preserve">58195-000</t>
  </si>
  <si>
    <t xml:space="preserve">58199-999</t>
  </si>
  <si>
    <t xml:space="preserve">PAS1026</t>
  </si>
  <si>
    <t xml:space="preserve">GADO BRAVO</t>
  </si>
  <si>
    <t xml:space="preserve">58492-000</t>
  </si>
  <si>
    <t xml:space="preserve">58493-999</t>
  </si>
  <si>
    <t xml:space="preserve">PAS1027</t>
  </si>
  <si>
    <t xml:space="preserve">GURJAO</t>
  </si>
  <si>
    <t xml:space="preserve">58670-000</t>
  </si>
  <si>
    <t xml:space="preserve">58674-999</t>
  </si>
  <si>
    <t xml:space="preserve">PAS1028</t>
  </si>
  <si>
    <t xml:space="preserve">IBIARA</t>
  </si>
  <si>
    <t xml:space="preserve">58980-000</t>
  </si>
  <si>
    <t xml:space="preserve">58984-999</t>
  </si>
  <si>
    <t xml:space="preserve">PAS1029</t>
  </si>
  <si>
    <t xml:space="preserve">IGARACY</t>
  </si>
  <si>
    <t xml:space="preserve">58775-000</t>
  </si>
  <si>
    <t xml:space="preserve">58777-999</t>
  </si>
  <si>
    <t xml:space="preserve">PAS1030</t>
  </si>
  <si>
    <t xml:space="preserve">IMACULADA</t>
  </si>
  <si>
    <t xml:space="preserve">58745-000</t>
  </si>
  <si>
    <t xml:space="preserve">58747-999</t>
  </si>
  <si>
    <t xml:space="preserve">PAS1031</t>
  </si>
  <si>
    <t xml:space="preserve">ITAPORANGA</t>
  </si>
  <si>
    <t xml:space="preserve">58780-000</t>
  </si>
  <si>
    <t xml:space="preserve">58783-999</t>
  </si>
  <si>
    <t xml:space="preserve">PAS1032</t>
  </si>
  <si>
    <t xml:space="preserve">ITATUBA</t>
  </si>
  <si>
    <t xml:space="preserve">58378-000</t>
  </si>
  <si>
    <t xml:space="preserve">58379-999</t>
  </si>
  <si>
    <t xml:space="preserve">PAS1033</t>
  </si>
  <si>
    <t xml:space="preserve">JERICO</t>
  </si>
  <si>
    <t xml:space="preserve">58830-000</t>
  </si>
  <si>
    <t xml:space="preserve">58831-999</t>
  </si>
  <si>
    <t xml:space="preserve">PAS1034</t>
  </si>
  <si>
    <t xml:space="preserve">JOCA CLAUDINO</t>
  </si>
  <si>
    <t xml:space="preserve">58928-000</t>
  </si>
  <si>
    <t xml:space="preserve">58929-999</t>
  </si>
  <si>
    <t xml:space="preserve">PAS1035</t>
  </si>
  <si>
    <t xml:space="preserve">JUAZEIRINHO</t>
  </si>
  <si>
    <t xml:space="preserve">58660-000</t>
  </si>
  <si>
    <t xml:space="preserve">58664-999</t>
  </si>
  <si>
    <t xml:space="preserve">PAS1036</t>
  </si>
  <si>
    <t xml:space="preserve">JUNCO DO SERIDO</t>
  </si>
  <si>
    <t xml:space="preserve">58640-000</t>
  </si>
  <si>
    <t xml:space="preserve">58649-999</t>
  </si>
  <si>
    <t xml:space="preserve">PAS1037</t>
  </si>
  <si>
    <t xml:space="preserve">JURU</t>
  </si>
  <si>
    <t xml:space="preserve">58750-000</t>
  </si>
  <si>
    <t xml:space="preserve">58752-999</t>
  </si>
  <si>
    <t xml:space="preserve">PAS1038</t>
  </si>
  <si>
    <t xml:space="preserve">LAGOA</t>
  </si>
  <si>
    <t xml:space="preserve">58835-000</t>
  </si>
  <si>
    <t xml:space="preserve">58839-999</t>
  </si>
  <si>
    <t xml:space="preserve">PAS1039</t>
  </si>
  <si>
    <t xml:space="preserve">LASTRO</t>
  </si>
  <si>
    <t xml:space="preserve">58820-000</t>
  </si>
  <si>
    <t xml:space="preserve">58821-999</t>
  </si>
  <si>
    <t xml:space="preserve">PAS1040</t>
  </si>
  <si>
    <t xml:space="preserve">LIVRAMENTO</t>
  </si>
  <si>
    <t xml:space="preserve">58690-000</t>
  </si>
  <si>
    <t xml:space="preserve">58694-999</t>
  </si>
  <si>
    <t xml:space="preserve">PAS1041</t>
  </si>
  <si>
    <t xml:space="preserve">MAE D AGUA</t>
  </si>
  <si>
    <t xml:space="preserve">58740-000</t>
  </si>
  <si>
    <t xml:space="preserve">58744-999</t>
  </si>
  <si>
    <t xml:space="preserve">PAS1042</t>
  </si>
  <si>
    <t xml:space="preserve">MALTA</t>
  </si>
  <si>
    <t xml:space="preserve">58713-000</t>
  </si>
  <si>
    <t xml:space="preserve">58713-999</t>
  </si>
  <si>
    <t xml:space="preserve">PAS1043</t>
  </si>
  <si>
    <t xml:space="preserve">MANAIRA</t>
  </si>
  <si>
    <t xml:space="preserve">58995-000</t>
  </si>
  <si>
    <t xml:space="preserve">58996-999</t>
  </si>
  <si>
    <t xml:space="preserve">PAS1044</t>
  </si>
  <si>
    <t xml:space="preserve">MARCACAO</t>
  </si>
  <si>
    <t xml:space="preserve">58294-000</t>
  </si>
  <si>
    <t xml:space="preserve">58294-999</t>
  </si>
  <si>
    <t xml:space="preserve">PAS1045</t>
  </si>
  <si>
    <t xml:space="preserve">MARIZOPOLIS</t>
  </si>
  <si>
    <t xml:space="preserve">58819-000</t>
  </si>
  <si>
    <t xml:space="preserve">58819-999</t>
  </si>
  <si>
    <t xml:space="preserve">PAS1046</t>
  </si>
  <si>
    <t xml:space="preserve">MASSARANDUBA</t>
  </si>
  <si>
    <t xml:space="preserve">58120-000</t>
  </si>
  <si>
    <t xml:space="preserve">58122-999</t>
  </si>
  <si>
    <t xml:space="preserve">PAS1047</t>
  </si>
  <si>
    <t xml:space="preserve">MATINHAS</t>
  </si>
  <si>
    <t xml:space="preserve">58128-000</t>
  </si>
  <si>
    <t xml:space="preserve">58134-999</t>
  </si>
  <si>
    <t xml:space="preserve">PAS1048</t>
  </si>
  <si>
    <t xml:space="preserve">MATO GROSSO</t>
  </si>
  <si>
    <t xml:space="preserve">58832-000</t>
  </si>
  <si>
    <t xml:space="preserve">58834-999</t>
  </si>
  <si>
    <t xml:space="preserve">PAS1049</t>
  </si>
  <si>
    <t xml:space="preserve">MATUREIA</t>
  </si>
  <si>
    <t xml:space="preserve">58737-000</t>
  </si>
  <si>
    <t xml:space="preserve">58739-999</t>
  </si>
  <si>
    <t xml:space="preserve">PAS1050</t>
  </si>
  <si>
    <t xml:space="preserve">MONTADAS</t>
  </si>
  <si>
    <t xml:space="preserve">58145-000</t>
  </si>
  <si>
    <t xml:space="preserve">58149-999</t>
  </si>
  <si>
    <t xml:space="preserve">PAS1051</t>
  </si>
  <si>
    <t xml:space="preserve">MONTE HOREBE</t>
  </si>
  <si>
    <t xml:space="preserve">58950-000</t>
  </si>
  <si>
    <t xml:space="preserve">58954-999</t>
  </si>
  <si>
    <t xml:space="preserve">PAS1052</t>
  </si>
  <si>
    <t xml:space="preserve">MONTEIRO</t>
  </si>
  <si>
    <t xml:space="preserve">58500-000</t>
  </si>
  <si>
    <t xml:space="preserve">58509-999</t>
  </si>
  <si>
    <t xml:space="preserve">PAS1053</t>
  </si>
  <si>
    <t xml:space="preserve">NATUBA</t>
  </si>
  <si>
    <t xml:space="preserve">58494-000</t>
  </si>
  <si>
    <t xml:space="preserve">58496-999</t>
  </si>
  <si>
    <t xml:space="preserve">PAS1054</t>
  </si>
  <si>
    <t xml:space="preserve">NAZAREZINHO</t>
  </si>
  <si>
    <t xml:space="preserve">58817-000</t>
  </si>
  <si>
    <t xml:space="preserve">58817-999</t>
  </si>
  <si>
    <t xml:space="preserve">PAS1055</t>
  </si>
  <si>
    <t xml:space="preserve">63165-000</t>
  </si>
  <si>
    <t xml:space="preserve">63169-999</t>
  </si>
  <si>
    <t xml:space="preserve">PAS1056</t>
  </si>
  <si>
    <t xml:space="preserve">NOVA PALMEIRA</t>
  </si>
  <si>
    <t xml:space="preserve">58184-000</t>
  </si>
  <si>
    <t xml:space="preserve">58186-999</t>
  </si>
  <si>
    <t xml:space="preserve">PAS1057</t>
  </si>
  <si>
    <t xml:space="preserve">OLHO D AGUA</t>
  </si>
  <si>
    <t xml:space="preserve">58760-000</t>
  </si>
  <si>
    <t xml:space="preserve">58762-999</t>
  </si>
  <si>
    <t xml:space="preserve">PAS1058</t>
  </si>
  <si>
    <t xml:space="preserve">OLIVEDOS</t>
  </si>
  <si>
    <t xml:space="preserve">58160-000</t>
  </si>
  <si>
    <t xml:space="preserve">58166-999</t>
  </si>
  <si>
    <t xml:space="preserve">PAS1059</t>
  </si>
  <si>
    <t xml:space="preserve">OURO VELHO</t>
  </si>
  <si>
    <t xml:space="preserve">58560-000</t>
  </si>
  <si>
    <t xml:space="preserve">58569-999</t>
  </si>
  <si>
    <t xml:space="preserve">PAS1060</t>
  </si>
  <si>
    <t xml:space="preserve">PARARI</t>
  </si>
  <si>
    <t xml:space="preserve">58575-000</t>
  </si>
  <si>
    <t xml:space="preserve">58579-999</t>
  </si>
  <si>
    <t xml:space="preserve">PAS1061</t>
  </si>
  <si>
    <t xml:space="preserve">PASSAGEM</t>
  </si>
  <si>
    <t xml:space="preserve">58734-000</t>
  </si>
  <si>
    <t xml:space="preserve">58734-999</t>
  </si>
  <si>
    <t xml:space="preserve">PAS1062</t>
  </si>
  <si>
    <t xml:space="preserve">58700-001</t>
  </si>
  <si>
    <t xml:space="preserve">58709-999</t>
  </si>
  <si>
    <t xml:space="preserve">PAS1063</t>
  </si>
  <si>
    <t xml:space="preserve">63630-000</t>
  </si>
  <si>
    <t xml:space="preserve">63634-999</t>
  </si>
  <si>
    <t xml:space="preserve">PAS1064</t>
  </si>
  <si>
    <t xml:space="preserve">PEDRA LAVRADA</t>
  </si>
  <si>
    <t xml:space="preserve">58180-000</t>
  </si>
  <si>
    <t xml:space="preserve">58183-999</t>
  </si>
  <si>
    <t xml:space="preserve">PAS1065</t>
  </si>
  <si>
    <t xml:space="preserve">PEDRO REGIS</t>
  </si>
  <si>
    <t xml:space="preserve">58273-000</t>
  </si>
  <si>
    <t xml:space="preserve">58274-999</t>
  </si>
  <si>
    <t xml:space="preserve">PAS1066</t>
  </si>
  <si>
    <t xml:space="preserve">PIANCO</t>
  </si>
  <si>
    <t xml:space="preserve">58765-000</t>
  </si>
  <si>
    <t xml:space="preserve">58769-999</t>
  </si>
  <si>
    <t xml:space="preserve">PAS1067</t>
  </si>
  <si>
    <t xml:space="preserve">PICUI</t>
  </si>
  <si>
    <t xml:space="preserve">58187-000</t>
  </si>
  <si>
    <t xml:space="preserve">58187-999</t>
  </si>
  <si>
    <t xml:space="preserve">PAS1068</t>
  </si>
  <si>
    <t xml:space="preserve">PILOES</t>
  </si>
  <si>
    <t xml:space="preserve">58393-000</t>
  </si>
  <si>
    <t xml:space="preserve">58393-999</t>
  </si>
  <si>
    <t xml:space="preserve">PAS1069</t>
  </si>
  <si>
    <t xml:space="preserve">PILOEZINHOS</t>
  </si>
  <si>
    <t xml:space="preserve">58210-000</t>
  </si>
  <si>
    <t xml:space="preserve">58212-999</t>
  </si>
  <si>
    <t xml:space="preserve">PAS1070</t>
  </si>
  <si>
    <t xml:space="preserve">PIRPIRITUBA</t>
  </si>
  <si>
    <t xml:space="preserve">58213-000</t>
  </si>
  <si>
    <t xml:space="preserve">58219-999</t>
  </si>
  <si>
    <t xml:space="preserve">PAS1071</t>
  </si>
  <si>
    <t xml:space="preserve">PITIMBU</t>
  </si>
  <si>
    <t xml:space="preserve">58324-000</t>
  </si>
  <si>
    <t xml:space="preserve">58325-999</t>
  </si>
  <si>
    <t xml:space="preserve">PAS1072</t>
  </si>
  <si>
    <t xml:space="preserve">POCINHOS</t>
  </si>
  <si>
    <t xml:space="preserve">58150-000</t>
  </si>
  <si>
    <t xml:space="preserve">58154-999</t>
  </si>
  <si>
    <t xml:space="preserve">PAS1073</t>
  </si>
  <si>
    <t xml:space="preserve">POCO DANTAS</t>
  </si>
  <si>
    <t xml:space="preserve">58933-000</t>
  </si>
  <si>
    <t xml:space="preserve">58934-999</t>
  </si>
  <si>
    <t xml:space="preserve">PAS1074</t>
  </si>
  <si>
    <t xml:space="preserve">POCO DE JOSE DE MOURA</t>
  </si>
  <si>
    <t xml:space="preserve">58908-000</t>
  </si>
  <si>
    <t xml:space="preserve">58909-999</t>
  </si>
  <si>
    <t xml:space="preserve">PAS1075</t>
  </si>
  <si>
    <t xml:space="preserve">POMBAL</t>
  </si>
  <si>
    <t xml:space="preserve">58840-000</t>
  </si>
  <si>
    <t xml:space="preserve">58852-999</t>
  </si>
  <si>
    <t xml:space="preserve">PAS1076</t>
  </si>
  <si>
    <t xml:space="preserve">PRATA</t>
  </si>
  <si>
    <t xml:space="preserve">58550-000</t>
  </si>
  <si>
    <t xml:space="preserve">58559-999</t>
  </si>
  <si>
    <t xml:space="preserve">PAS1077</t>
  </si>
  <si>
    <t xml:space="preserve">PRINCESA ISABEL</t>
  </si>
  <si>
    <t xml:space="preserve">58755-000</t>
  </si>
  <si>
    <t xml:space="preserve">58757-999</t>
  </si>
  <si>
    <t xml:space="preserve">PAS1078</t>
  </si>
  <si>
    <t xml:space="preserve">PUXINANA</t>
  </si>
  <si>
    <t xml:space="preserve">58115-000</t>
  </si>
  <si>
    <t xml:space="preserve">58116-999</t>
  </si>
  <si>
    <t xml:space="preserve">PAS1079</t>
  </si>
  <si>
    <t xml:space="preserve">58470-000</t>
  </si>
  <si>
    <t xml:space="preserve">58479-999</t>
  </si>
  <si>
    <t xml:space="preserve">PAS1080</t>
  </si>
  <si>
    <t xml:space="preserve">QUIXABA</t>
  </si>
  <si>
    <t xml:space="preserve">56828-000</t>
  </si>
  <si>
    <t xml:space="preserve">56829-999</t>
  </si>
  <si>
    <t xml:space="preserve">PAS1081</t>
  </si>
  <si>
    <t xml:space="preserve">REMIGIO</t>
  </si>
  <si>
    <t xml:space="preserve">58398-000</t>
  </si>
  <si>
    <t xml:space="preserve">58398-999</t>
  </si>
  <si>
    <t xml:space="preserve">PAS1082</t>
  </si>
  <si>
    <t xml:space="preserve">58235-000</t>
  </si>
  <si>
    <t xml:space="preserve">58237-999</t>
  </si>
  <si>
    <t xml:space="preserve">PAS1083</t>
  </si>
  <si>
    <t xml:space="preserve">RIACHAO DO BACAMARTE</t>
  </si>
  <si>
    <t xml:space="preserve">58382-000</t>
  </si>
  <si>
    <t xml:space="preserve">58384-999</t>
  </si>
  <si>
    <t xml:space="preserve">PAS1084</t>
  </si>
  <si>
    <t xml:space="preserve">RIACHAO DO POCO</t>
  </si>
  <si>
    <t xml:space="preserve">58348-000</t>
  </si>
  <si>
    <t xml:space="preserve">58349-999</t>
  </si>
  <si>
    <t xml:space="preserve">PAS1085</t>
  </si>
  <si>
    <t xml:space="preserve">RIACHO DE SANTO ANTONIO</t>
  </si>
  <si>
    <t xml:space="preserve">58465-000</t>
  </si>
  <si>
    <t xml:space="preserve">58469-999</t>
  </si>
  <si>
    <t xml:space="preserve">PAS1086</t>
  </si>
  <si>
    <t xml:space="preserve">RIACHO DOS CAVALOS</t>
  </si>
  <si>
    <t xml:space="preserve">58870-000</t>
  </si>
  <si>
    <t xml:space="preserve">58879-999</t>
  </si>
  <si>
    <t xml:space="preserve">PAS1087</t>
  </si>
  <si>
    <t xml:space="preserve">RIO TINTO</t>
  </si>
  <si>
    <t xml:space="preserve">58297-000</t>
  </si>
  <si>
    <t xml:space="preserve">58299-999</t>
  </si>
  <si>
    <t xml:space="preserve">PAS1088</t>
  </si>
  <si>
    <t xml:space="preserve">SALGADINHO</t>
  </si>
  <si>
    <t xml:space="preserve">55675-000</t>
  </si>
  <si>
    <t xml:space="preserve">55679-999</t>
  </si>
  <si>
    <t xml:space="preserve">PAS1089</t>
  </si>
  <si>
    <t xml:space="preserve">SALGADO DE SAO FELIX</t>
  </si>
  <si>
    <t xml:space="preserve">58370-000</t>
  </si>
  <si>
    <t xml:space="preserve">58373-999</t>
  </si>
  <si>
    <t xml:space="preserve">PAS1090</t>
  </si>
  <si>
    <t xml:space="preserve">SANTA CECILIA</t>
  </si>
  <si>
    <t xml:space="preserve">58463-000</t>
  </si>
  <si>
    <t xml:space="preserve">58464-999</t>
  </si>
  <si>
    <t xml:space="preserve">PAS1091</t>
  </si>
  <si>
    <t xml:space="preserve">SANTA CRUZ</t>
  </si>
  <si>
    <t xml:space="preserve">56215-000</t>
  </si>
  <si>
    <t xml:space="preserve">56219-999</t>
  </si>
  <si>
    <t xml:space="preserve">PAS1092</t>
  </si>
  <si>
    <t xml:space="preserve">58925-000</t>
  </si>
  <si>
    <t xml:space="preserve">58927-999</t>
  </si>
  <si>
    <t xml:space="preserve">PAS1093</t>
  </si>
  <si>
    <t xml:space="preserve">65390-000</t>
  </si>
  <si>
    <t xml:space="preserve">65392-999</t>
  </si>
  <si>
    <t xml:space="preserve">PAS1094</t>
  </si>
  <si>
    <t xml:space="preserve">SANTANA DE MANGUEIRA</t>
  </si>
  <si>
    <t xml:space="preserve">58985-000</t>
  </si>
  <si>
    <t xml:space="preserve">58989-999</t>
  </si>
  <si>
    <t xml:space="preserve">PAS1095</t>
  </si>
  <si>
    <t xml:space="preserve">SANTANA DOS GARROTES</t>
  </si>
  <si>
    <t xml:space="preserve">58795-000</t>
  </si>
  <si>
    <t xml:space="preserve">58797-999</t>
  </si>
  <si>
    <t xml:space="preserve">PAS1096</t>
  </si>
  <si>
    <t xml:space="preserve">SANTO ANDRE</t>
  </si>
  <si>
    <t xml:space="preserve">58675-000</t>
  </si>
  <si>
    <t xml:space="preserve">58679-999</t>
  </si>
  <si>
    <t xml:space="preserve">PAS1097</t>
  </si>
  <si>
    <t xml:space="preserve">SAO BENTINHO</t>
  </si>
  <si>
    <t xml:space="preserve">58857-000</t>
  </si>
  <si>
    <t xml:space="preserve">58859-999</t>
  </si>
  <si>
    <t xml:space="preserve">PAS1098</t>
  </si>
  <si>
    <t xml:space="preserve">65235-000</t>
  </si>
  <si>
    <t xml:space="preserve">65237-999</t>
  </si>
  <si>
    <t xml:space="preserve">PAS1099</t>
  </si>
  <si>
    <t xml:space="preserve">SAO DOMINGOS DO CARIRI</t>
  </si>
  <si>
    <t xml:space="preserve">58485-000</t>
  </si>
  <si>
    <t xml:space="preserve">58486-999</t>
  </si>
  <si>
    <t xml:space="preserve">PAS1100</t>
  </si>
  <si>
    <t xml:space="preserve">SAO FRANCISCO</t>
  </si>
  <si>
    <t xml:space="preserve">49945-000</t>
  </si>
  <si>
    <t xml:space="preserve">49949-999</t>
  </si>
  <si>
    <t xml:space="preserve">PAS1101</t>
  </si>
  <si>
    <t xml:space="preserve">SAO JOAO DO CARIRI</t>
  </si>
  <si>
    <t xml:space="preserve">58590-000</t>
  </si>
  <si>
    <t xml:space="preserve">58594-999</t>
  </si>
  <si>
    <t xml:space="preserve">PAS1102</t>
  </si>
  <si>
    <t xml:space="preserve">SAO JOAO DO RIO DO PEIXE</t>
  </si>
  <si>
    <t xml:space="preserve">58910-000</t>
  </si>
  <si>
    <t xml:space="preserve">58914-999</t>
  </si>
  <si>
    <t xml:space="preserve">PAS1103</t>
  </si>
  <si>
    <t xml:space="preserve">SAO JOAO DO TIGRE</t>
  </si>
  <si>
    <t xml:space="preserve">58520-000</t>
  </si>
  <si>
    <t xml:space="preserve">58529-999</t>
  </si>
  <si>
    <t xml:space="preserve">PAS1104</t>
  </si>
  <si>
    <t xml:space="preserve">SAO JOSE DA LAGOA TAPADA</t>
  </si>
  <si>
    <t xml:space="preserve">58815-000</t>
  </si>
  <si>
    <t xml:space="preserve">58816-999</t>
  </si>
  <si>
    <t xml:space="preserve">PAS1105</t>
  </si>
  <si>
    <t xml:space="preserve">SAO JOSE DE CAIANA</t>
  </si>
  <si>
    <t xml:space="preserve">58784-000</t>
  </si>
  <si>
    <t xml:space="preserve">58789-999</t>
  </si>
  <si>
    <t xml:space="preserve">PAS1106</t>
  </si>
  <si>
    <t xml:space="preserve">SAO JOSE DE ESPINHARAS</t>
  </si>
  <si>
    <t xml:space="preserve">58723-000</t>
  </si>
  <si>
    <t xml:space="preserve">58724-999</t>
  </si>
  <si>
    <t xml:space="preserve">PAS1107</t>
  </si>
  <si>
    <t xml:space="preserve">SAO JOSE DE PIRANHAS</t>
  </si>
  <si>
    <t xml:space="preserve">58940-000</t>
  </si>
  <si>
    <t xml:space="preserve">58944-999</t>
  </si>
  <si>
    <t xml:space="preserve">PAS1108</t>
  </si>
  <si>
    <t xml:space="preserve">SAO JOSE DE PRINCESA</t>
  </si>
  <si>
    <t xml:space="preserve">58758-000</t>
  </si>
  <si>
    <t xml:space="preserve">58759-999</t>
  </si>
  <si>
    <t xml:space="preserve">PAS1109</t>
  </si>
  <si>
    <t xml:space="preserve">SAO JOSE DO BONFIM</t>
  </si>
  <si>
    <t xml:space="preserve">58725-000</t>
  </si>
  <si>
    <t xml:space="preserve">58729-999</t>
  </si>
  <si>
    <t xml:space="preserve">PAS1110</t>
  </si>
  <si>
    <t xml:space="preserve">SAO JOSE DO BREJO DO CRUZ</t>
  </si>
  <si>
    <t xml:space="preserve">58893-000</t>
  </si>
  <si>
    <t xml:space="preserve">58894-999</t>
  </si>
  <si>
    <t xml:space="preserve">PAS1111</t>
  </si>
  <si>
    <t xml:space="preserve">SAO JOSE DO SABUGI</t>
  </si>
  <si>
    <t xml:space="preserve">58610-000</t>
  </si>
  <si>
    <t xml:space="preserve">58619-999</t>
  </si>
  <si>
    <t xml:space="preserve">PAS1112</t>
  </si>
  <si>
    <t xml:space="preserve">SAO JOSE DOS CORDEIROS</t>
  </si>
  <si>
    <t xml:space="preserve">58570-000</t>
  </si>
  <si>
    <t xml:space="preserve">58574-999</t>
  </si>
  <si>
    <t xml:space="preserve">PAS1113</t>
  </si>
  <si>
    <t xml:space="preserve">SAO JOSE DOS RAMOS</t>
  </si>
  <si>
    <t xml:space="preserve">58339-000</t>
  </si>
  <si>
    <t xml:space="preserve">58339-999</t>
  </si>
  <si>
    <t xml:space="preserve">PAS1114</t>
  </si>
  <si>
    <t xml:space="preserve">SAO MAMEDE</t>
  </si>
  <si>
    <t xml:space="preserve">58625-000</t>
  </si>
  <si>
    <t xml:space="preserve">58639-999</t>
  </si>
  <si>
    <t xml:space="preserve">PAS1115</t>
  </si>
  <si>
    <t xml:space="preserve">SAO MIGUEL DE TAIPU</t>
  </si>
  <si>
    <t xml:space="preserve">58334-000</t>
  </si>
  <si>
    <t xml:space="preserve">58336-999</t>
  </si>
  <si>
    <t xml:space="preserve">PAS1116</t>
  </si>
  <si>
    <t xml:space="preserve">SAO SEBASTIAO DE LAGOA DE ROCA</t>
  </si>
  <si>
    <t xml:space="preserve">58119-000</t>
  </si>
  <si>
    <t xml:space="preserve">58119-999</t>
  </si>
  <si>
    <t xml:space="preserve">PAS1117</t>
  </si>
  <si>
    <t xml:space="preserve">SAO SEBASTIAO DO UMBUZEIRO</t>
  </si>
  <si>
    <t xml:space="preserve">58510-000</t>
  </si>
  <si>
    <t xml:space="preserve">58514-999</t>
  </si>
  <si>
    <t xml:space="preserve">PAS1118</t>
  </si>
  <si>
    <t xml:space="preserve">SAO VICENTE DO SERIDO</t>
  </si>
  <si>
    <t xml:space="preserve">58158-000</t>
  </si>
  <si>
    <t xml:space="preserve">58159-999</t>
  </si>
  <si>
    <t xml:space="preserve">PAS1119</t>
  </si>
  <si>
    <t xml:space="preserve">SAPE</t>
  </si>
  <si>
    <t xml:space="preserve">58340-000</t>
  </si>
  <si>
    <t xml:space="preserve">58341-999</t>
  </si>
  <si>
    <t xml:space="preserve">PAS1120</t>
  </si>
  <si>
    <t xml:space="preserve">SERRA BRANCA</t>
  </si>
  <si>
    <t xml:space="preserve">58580-000</t>
  </si>
  <si>
    <t xml:space="preserve">58587-999</t>
  </si>
  <si>
    <t xml:space="preserve">PAS1121</t>
  </si>
  <si>
    <t xml:space="preserve">SERRA DA RAIZ</t>
  </si>
  <si>
    <t xml:space="preserve">58260-000</t>
  </si>
  <si>
    <t xml:space="preserve">58264-999</t>
  </si>
  <si>
    <t xml:space="preserve">PAS1122</t>
  </si>
  <si>
    <t xml:space="preserve">SERRA GRANDE</t>
  </si>
  <si>
    <t xml:space="preserve">58955-000</t>
  </si>
  <si>
    <t xml:space="preserve">58959-999</t>
  </si>
  <si>
    <t xml:space="preserve">PAS1123</t>
  </si>
  <si>
    <t xml:space="preserve">58385-000</t>
  </si>
  <si>
    <t xml:space="preserve">58386-999</t>
  </si>
  <si>
    <t xml:space="preserve">PAS1124</t>
  </si>
  <si>
    <t xml:space="preserve">SERRARIA</t>
  </si>
  <si>
    <t xml:space="preserve">58395-000</t>
  </si>
  <si>
    <t xml:space="preserve">58395-999</t>
  </si>
  <si>
    <t xml:space="preserve">PAS1125</t>
  </si>
  <si>
    <t xml:space="preserve">SERTAOZINHO</t>
  </si>
  <si>
    <t xml:space="preserve">58268-000</t>
  </si>
  <si>
    <t xml:space="preserve">58269-999</t>
  </si>
  <si>
    <t xml:space="preserve">PAS1126</t>
  </si>
  <si>
    <t xml:space="preserve">SOBRADO</t>
  </si>
  <si>
    <t xml:space="preserve">58342-000</t>
  </si>
  <si>
    <t xml:space="preserve">58344-999</t>
  </si>
  <si>
    <t xml:space="preserve">PAS1127</t>
  </si>
  <si>
    <t xml:space="preserve">SOLANEA</t>
  </si>
  <si>
    <t xml:space="preserve">58225-000</t>
  </si>
  <si>
    <t xml:space="preserve">58227-999</t>
  </si>
  <si>
    <t xml:space="preserve">PAS1128</t>
  </si>
  <si>
    <t xml:space="preserve">SOLEDADE</t>
  </si>
  <si>
    <t xml:space="preserve">58155-000</t>
  </si>
  <si>
    <t xml:space="preserve">58157-999</t>
  </si>
  <si>
    <t xml:space="preserve">PAS1129</t>
  </si>
  <si>
    <t xml:space="preserve">SOSSEGO</t>
  </si>
  <si>
    <t xml:space="preserve">58177-000</t>
  </si>
  <si>
    <t xml:space="preserve">58177-999</t>
  </si>
  <si>
    <t xml:space="preserve">PAS1130</t>
  </si>
  <si>
    <t xml:space="preserve">SOUSA</t>
  </si>
  <si>
    <t xml:space="preserve">58800-001</t>
  </si>
  <si>
    <t xml:space="preserve">58814-999</t>
  </si>
  <si>
    <t xml:space="preserve">PAS1131</t>
  </si>
  <si>
    <t xml:space="preserve">SUME</t>
  </si>
  <si>
    <t xml:space="preserve">58540-000</t>
  </si>
  <si>
    <t xml:space="preserve">58547-999</t>
  </si>
  <si>
    <t xml:space="preserve">PAS1132</t>
  </si>
  <si>
    <t xml:space="preserve">TACIMA</t>
  </si>
  <si>
    <t xml:space="preserve">58240-000</t>
  </si>
  <si>
    <t xml:space="preserve">58249-999</t>
  </si>
  <si>
    <t xml:space="preserve">PAS1133</t>
  </si>
  <si>
    <t xml:space="preserve">58680-000</t>
  </si>
  <si>
    <t xml:space="preserve">58684-999</t>
  </si>
  <si>
    <t xml:space="preserve">PAS1134</t>
  </si>
  <si>
    <t xml:space="preserve">TAVARES</t>
  </si>
  <si>
    <t xml:space="preserve">58753-000</t>
  </si>
  <si>
    <t xml:space="preserve">58754-999</t>
  </si>
  <si>
    <t xml:space="preserve">PAS1135</t>
  </si>
  <si>
    <t xml:space="preserve">TEIXEIRA</t>
  </si>
  <si>
    <t xml:space="preserve">58735-000</t>
  </si>
  <si>
    <t xml:space="preserve">58736-999</t>
  </si>
  <si>
    <t xml:space="preserve">PAS1136</t>
  </si>
  <si>
    <t xml:space="preserve">TENORIO</t>
  </si>
  <si>
    <t xml:space="preserve">58665-000</t>
  </si>
  <si>
    <t xml:space="preserve">58669-999</t>
  </si>
  <si>
    <t xml:space="preserve">PAS1137</t>
  </si>
  <si>
    <t xml:space="preserve">TRIUNFO</t>
  </si>
  <si>
    <t xml:space="preserve">58920-000</t>
  </si>
  <si>
    <t xml:space="preserve">58921-999</t>
  </si>
  <si>
    <t xml:space="preserve">PAS1138</t>
  </si>
  <si>
    <t xml:space="preserve">UIRAUNA</t>
  </si>
  <si>
    <t xml:space="preserve">58915-000</t>
  </si>
  <si>
    <t xml:space="preserve">58919-999</t>
  </si>
  <si>
    <t xml:space="preserve">PAS1139</t>
  </si>
  <si>
    <t xml:space="preserve">UMBUZEIRO</t>
  </si>
  <si>
    <t xml:space="preserve">58497-000</t>
  </si>
  <si>
    <t xml:space="preserve">58499-999</t>
  </si>
  <si>
    <t xml:space="preserve">PAS1140</t>
  </si>
  <si>
    <t xml:space="preserve">VARZEA</t>
  </si>
  <si>
    <t xml:space="preserve">58620-000</t>
  </si>
  <si>
    <t xml:space="preserve">58624-999</t>
  </si>
  <si>
    <t xml:space="preserve">PAS1141</t>
  </si>
  <si>
    <t xml:space="preserve">VIEIROPOLIS</t>
  </si>
  <si>
    <t xml:space="preserve">58822-000</t>
  </si>
  <si>
    <t xml:space="preserve">58822-999</t>
  </si>
  <si>
    <t xml:space="preserve">PAS1142</t>
  </si>
  <si>
    <t xml:space="preserve">VISTA SERRANA</t>
  </si>
  <si>
    <t xml:space="preserve">58710-000</t>
  </si>
  <si>
    <t xml:space="preserve">58712-999</t>
  </si>
  <si>
    <t xml:space="preserve">PAS1143</t>
  </si>
  <si>
    <t xml:space="preserve">ZABELE</t>
  </si>
  <si>
    <t xml:space="preserve">58515-000</t>
  </si>
  <si>
    <t xml:space="preserve">58519-999</t>
  </si>
  <si>
    <t xml:space="preserve">PAS1144</t>
  </si>
  <si>
    <t xml:space="preserve">ABREU E LIMA</t>
  </si>
  <si>
    <t xml:space="preserve">53500-001</t>
  </si>
  <si>
    <t xml:space="preserve">53599-999</t>
  </si>
  <si>
    <t xml:space="preserve">PAS1145</t>
  </si>
  <si>
    <t xml:space="preserve">54750-001</t>
  </si>
  <si>
    <t xml:space="preserve">54799-999</t>
  </si>
  <si>
    <t xml:space="preserve">PAS1146</t>
  </si>
  <si>
    <t xml:space="preserve">53600-001</t>
  </si>
  <si>
    <t xml:space="preserve">53689-999</t>
  </si>
  <si>
    <t xml:space="preserve">PAS1147</t>
  </si>
  <si>
    <t xml:space="preserve">54000-001</t>
  </si>
  <si>
    <t xml:space="preserve">54499-999</t>
  </si>
  <si>
    <t xml:space="preserve">PAS1148</t>
  </si>
  <si>
    <t xml:space="preserve">53000-001</t>
  </si>
  <si>
    <t xml:space="preserve">53399-999</t>
  </si>
  <si>
    <t xml:space="preserve">PAS1149</t>
  </si>
  <si>
    <t xml:space="preserve">58860-000</t>
  </si>
  <si>
    <t xml:space="preserve">58864-999</t>
  </si>
  <si>
    <t xml:space="preserve">PAS1150</t>
  </si>
  <si>
    <t xml:space="preserve">50000-001</t>
  </si>
  <si>
    <t xml:space="preserve">52999-999</t>
  </si>
  <si>
    <t xml:space="preserve">PAS1151</t>
  </si>
  <si>
    <t xml:space="preserve">AGUA PRETA</t>
  </si>
  <si>
    <t xml:space="preserve">55550-000</t>
  </si>
  <si>
    <t xml:space="preserve">55554-999</t>
  </si>
  <si>
    <t xml:space="preserve">PAS1152</t>
  </si>
  <si>
    <t xml:space="preserve">ALIANCA</t>
  </si>
  <si>
    <t xml:space="preserve">55890-000</t>
  </si>
  <si>
    <t xml:space="preserve">55899-999</t>
  </si>
  <si>
    <t xml:space="preserve">PAS1153</t>
  </si>
  <si>
    <t xml:space="preserve">AMARAJI</t>
  </si>
  <si>
    <t xml:space="preserve">55515-000</t>
  </si>
  <si>
    <t xml:space="preserve">55519-999</t>
  </si>
  <si>
    <t xml:space="preserve">PAS1154</t>
  </si>
  <si>
    <t xml:space="preserve">62750-000</t>
  </si>
  <si>
    <t xml:space="preserve">62754-999</t>
  </si>
  <si>
    <t xml:space="preserve">PAS1155</t>
  </si>
  <si>
    <t xml:space="preserve">BARRA DE GUABIRABA</t>
  </si>
  <si>
    <t xml:space="preserve">55690-000</t>
  </si>
  <si>
    <t xml:space="preserve">55694-999</t>
  </si>
  <si>
    <t xml:space="preserve">PAS1156</t>
  </si>
  <si>
    <t xml:space="preserve">BARREIROS</t>
  </si>
  <si>
    <t xml:space="preserve">55560-000</t>
  </si>
  <si>
    <t xml:space="preserve">55564-999</t>
  </si>
  <si>
    <t xml:space="preserve">PAS1157</t>
  </si>
  <si>
    <t xml:space="preserve">BEZERROS</t>
  </si>
  <si>
    <t xml:space="preserve">55660-000</t>
  </si>
  <si>
    <t xml:space="preserve">55664-999</t>
  </si>
  <si>
    <t xml:space="preserve">PAS1158</t>
  </si>
  <si>
    <t xml:space="preserve">54500-001</t>
  </si>
  <si>
    <t xml:space="preserve">54599-999</t>
  </si>
  <si>
    <t xml:space="preserve">PAS1159</t>
  </si>
  <si>
    <t xml:space="preserve">CARPINA</t>
  </si>
  <si>
    <t xml:space="preserve">55810-001</t>
  </si>
  <si>
    <t xml:space="preserve">55819-999</t>
  </si>
  <si>
    <t xml:space="preserve">PAS1160</t>
  </si>
  <si>
    <t xml:space="preserve">55000-001</t>
  </si>
  <si>
    <t xml:space="preserve">55119-999</t>
  </si>
  <si>
    <t xml:space="preserve">PAS1161</t>
  </si>
  <si>
    <t xml:space="preserve">CATENDE</t>
  </si>
  <si>
    <t xml:space="preserve">55400-000</t>
  </si>
  <si>
    <t xml:space="preserve">55404-999</t>
  </si>
  <si>
    <t xml:space="preserve">PAS1162</t>
  </si>
  <si>
    <t xml:space="preserve">CHA DE ALEGRIA</t>
  </si>
  <si>
    <t xml:space="preserve">55835-000</t>
  </si>
  <si>
    <t xml:space="preserve">55839-999</t>
  </si>
  <si>
    <t xml:space="preserve">PAS1163</t>
  </si>
  <si>
    <t xml:space="preserve">CHA GRANDE</t>
  </si>
  <si>
    <t xml:space="preserve">55636-000</t>
  </si>
  <si>
    <t xml:space="preserve">55639-999</t>
  </si>
  <si>
    <t xml:space="preserve">PAS1164</t>
  </si>
  <si>
    <t xml:space="preserve">58714-000</t>
  </si>
  <si>
    <t xml:space="preserve">58714-999</t>
  </si>
  <si>
    <t xml:space="preserve">PAS1165</t>
  </si>
  <si>
    <t xml:space="preserve">ESCADA</t>
  </si>
  <si>
    <t xml:space="preserve">55500-000</t>
  </si>
  <si>
    <t xml:space="preserve">55509-999</t>
  </si>
  <si>
    <t xml:space="preserve">PAS1166</t>
  </si>
  <si>
    <t xml:space="preserve">GLORIA DO GOITA</t>
  </si>
  <si>
    <t xml:space="preserve">55620-000</t>
  </si>
  <si>
    <t xml:space="preserve">55629-999</t>
  </si>
  <si>
    <t xml:space="preserve">PAS1167</t>
  </si>
  <si>
    <t xml:space="preserve">GOIANA</t>
  </si>
  <si>
    <t xml:space="preserve">55900-000</t>
  </si>
  <si>
    <t xml:space="preserve">55919-999</t>
  </si>
  <si>
    <t xml:space="preserve">PAS1168</t>
  </si>
  <si>
    <t xml:space="preserve">GRAVATA</t>
  </si>
  <si>
    <t xml:space="preserve">55640-001</t>
  </si>
  <si>
    <t xml:space="preserve">55649-999</t>
  </si>
  <si>
    <t xml:space="preserve">PAS1169</t>
  </si>
  <si>
    <t xml:space="preserve">ILHA DE ITAMARACA</t>
  </si>
  <si>
    <t xml:space="preserve">53900-000</t>
  </si>
  <si>
    <t xml:space="preserve">53989-999</t>
  </si>
  <si>
    <t xml:space="preserve">PAS1170</t>
  </si>
  <si>
    <t xml:space="preserve">IPOJUCA</t>
  </si>
  <si>
    <t xml:space="preserve">55590-000</t>
  </si>
  <si>
    <t xml:space="preserve">55599-999</t>
  </si>
  <si>
    <t xml:space="preserve">PAS1171</t>
  </si>
  <si>
    <t xml:space="preserve">ITAPISSUMA</t>
  </si>
  <si>
    <t xml:space="preserve">53700-000</t>
  </si>
  <si>
    <t xml:space="preserve">53899-999</t>
  </si>
  <si>
    <t xml:space="preserve">PAS1172</t>
  </si>
  <si>
    <t xml:space="preserve">LIMOEIRO</t>
  </si>
  <si>
    <t xml:space="preserve">55700-000</t>
  </si>
  <si>
    <t xml:space="preserve">55714-999</t>
  </si>
  <si>
    <t xml:space="preserve">PAS1173</t>
  </si>
  <si>
    <t xml:space="preserve">MORENO</t>
  </si>
  <si>
    <t xml:space="preserve">54800-000</t>
  </si>
  <si>
    <t xml:space="preserve">54999-999</t>
  </si>
  <si>
    <t xml:space="preserve">PAS1174</t>
  </si>
  <si>
    <t xml:space="preserve">NAZARE DA MATA</t>
  </si>
  <si>
    <t xml:space="preserve">55800-000</t>
  </si>
  <si>
    <t xml:space="preserve">55804-999</t>
  </si>
  <si>
    <t xml:space="preserve">PAS1175</t>
  </si>
  <si>
    <t xml:space="preserve">PALMARES</t>
  </si>
  <si>
    <t xml:space="preserve">55540-000</t>
  </si>
  <si>
    <t xml:space="preserve">55549-999</t>
  </si>
  <si>
    <t xml:space="preserve">PAS1176</t>
  </si>
  <si>
    <t xml:space="preserve">PAUDALHO</t>
  </si>
  <si>
    <t xml:space="preserve">55825-000</t>
  </si>
  <si>
    <t xml:space="preserve">55834-999</t>
  </si>
  <si>
    <t xml:space="preserve">PAS1177</t>
  </si>
  <si>
    <t xml:space="preserve">POMBOS</t>
  </si>
  <si>
    <t xml:space="preserve">55630-000</t>
  </si>
  <si>
    <t xml:space="preserve">55635-999</t>
  </si>
  <si>
    <t xml:space="preserve">PAS1178</t>
  </si>
  <si>
    <t xml:space="preserve">RIBEIRAO</t>
  </si>
  <si>
    <t xml:space="preserve">55520-000</t>
  </si>
  <si>
    <t xml:space="preserve">55524-999</t>
  </si>
  <si>
    <t xml:space="preserve">PAS1179</t>
  </si>
  <si>
    <t xml:space="preserve">RIO FORMOSO</t>
  </si>
  <si>
    <t xml:space="preserve">55570-000</t>
  </si>
  <si>
    <t xml:space="preserve">55577-999</t>
  </si>
  <si>
    <t xml:space="preserve">PAS1180</t>
  </si>
  <si>
    <t xml:space="preserve">SAIRE</t>
  </si>
  <si>
    <t xml:space="preserve">55695-000</t>
  </si>
  <si>
    <t xml:space="preserve">55699-999</t>
  </si>
  <si>
    <t xml:space="preserve">PAS1181</t>
  </si>
  <si>
    <t xml:space="preserve">SANTA CRUZ DO CAPIBARIBE</t>
  </si>
  <si>
    <t xml:space="preserve">55190-001</t>
  </si>
  <si>
    <t xml:space="preserve">55199-999</t>
  </si>
  <si>
    <t xml:space="preserve">PAS1182</t>
  </si>
  <si>
    <t xml:space="preserve">SAO LOURENCO DA MATA</t>
  </si>
  <si>
    <t xml:space="preserve">54700-001</t>
  </si>
  <si>
    <t xml:space="preserve">54749-999</t>
  </si>
  <si>
    <t xml:space="preserve">PAS1183</t>
  </si>
  <si>
    <t xml:space="preserve">SIRINHAEM</t>
  </si>
  <si>
    <t xml:space="preserve">55580-000</t>
  </si>
  <si>
    <t xml:space="preserve">55589-999</t>
  </si>
  <si>
    <t xml:space="preserve">PAS1184</t>
  </si>
  <si>
    <t xml:space="preserve">TAMANDARE</t>
  </si>
  <si>
    <t xml:space="preserve">55578-000</t>
  </si>
  <si>
    <t xml:space="preserve">55579-999</t>
  </si>
  <si>
    <t xml:space="preserve">PAS1185</t>
  </si>
  <si>
    <t xml:space="preserve">56190-000</t>
  </si>
  <si>
    <t xml:space="preserve">56199-999</t>
  </si>
  <si>
    <t xml:space="preserve">PAS1186</t>
  </si>
  <si>
    <t xml:space="preserve">TIMBAUBA</t>
  </si>
  <si>
    <t xml:space="preserve">55870-000</t>
  </si>
  <si>
    <t xml:space="preserve">55879-999</t>
  </si>
  <si>
    <t xml:space="preserve">PAS1187</t>
  </si>
  <si>
    <t xml:space="preserve">VITORIA DE SANTO ANTAO</t>
  </si>
  <si>
    <t xml:space="preserve">55600-001</t>
  </si>
  <si>
    <t xml:space="preserve">55619-999</t>
  </si>
  <si>
    <t xml:space="preserve">PAS1188</t>
  </si>
  <si>
    <t xml:space="preserve">AFOGADOS DA INGAZEIRA</t>
  </si>
  <si>
    <t xml:space="preserve">56800-000</t>
  </si>
  <si>
    <t xml:space="preserve">56819-999</t>
  </si>
  <si>
    <t xml:space="preserve">PAS1189</t>
  </si>
  <si>
    <t xml:space="preserve">AFRANIO</t>
  </si>
  <si>
    <t xml:space="preserve">56360-000</t>
  </si>
  <si>
    <t xml:space="preserve">56379-999</t>
  </si>
  <si>
    <t xml:space="preserve">PAS1190</t>
  </si>
  <si>
    <t xml:space="preserve">AGRESTINA</t>
  </si>
  <si>
    <t xml:space="preserve">55495-000</t>
  </si>
  <si>
    <t xml:space="preserve">55499-999</t>
  </si>
  <si>
    <t xml:space="preserve">PAS1191</t>
  </si>
  <si>
    <t xml:space="preserve">AGUAS BELAS</t>
  </si>
  <si>
    <t xml:space="preserve">55340-000</t>
  </si>
  <si>
    <t xml:space="preserve">55344-999</t>
  </si>
  <si>
    <t xml:space="preserve">PAS1192</t>
  </si>
  <si>
    <t xml:space="preserve">58390-000</t>
  </si>
  <si>
    <t xml:space="preserve">58392-999</t>
  </si>
  <si>
    <t xml:space="preserve">PAS1193</t>
  </si>
  <si>
    <t xml:space="preserve">ALTINHO</t>
  </si>
  <si>
    <t xml:space="preserve">55490-000</t>
  </si>
  <si>
    <t xml:space="preserve">55494-999</t>
  </si>
  <si>
    <t xml:space="preserve">PAS1194</t>
  </si>
  <si>
    <t xml:space="preserve">ANGELIM</t>
  </si>
  <si>
    <t xml:space="preserve">55430-000</t>
  </si>
  <si>
    <t xml:space="preserve">55434-999</t>
  </si>
  <si>
    <t xml:space="preserve">PAS1195</t>
  </si>
  <si>
    <t xml:space="preserve">ARARIPINA</t>
  </si>
  <si>
    <t xml:space="preserve">56280-000</t>
  </si>
  <si>
    <t xml:space="preserve">56299-999</t>
  </si>
  <si>
    <t xml:space="preserve">PAS1196</t>
  </si>
  <si>
    <t xml:space="preserve">ARCOVERDE</t>
  </si>
  <si>
    <t xml:space="preserve">56500-001</t>
  </si>
  <si>
    <t xml:space="preserve">56519-999</t>
  </si>
  <si>
    <t xml:space="preserve">PAS1197</t>
  </si>
  <si>
    <t xml:space="preserve">BELEM DE MARIA</t>
  </si>
  <si>
    <t xml:space="preserve">55440-000</t>
  </si>
  <si>
    <t xml:space="preserve">55449-999</t>
  </si>
  <si>
    <t xml:space="preserve">PAS1198</t>
  </si>
  <si>
    <t xml:space="preserve">BELEM DO SAO FRANCISCO</t>
  </si>
  <si>
    <t xml:space="preserve">56440-000</t>
  </si>
  <si>
    <t xml:space="preserve">56459-999</t>
  </si>
  <si>
    <t xml:space="preserve">PAS1199</t>
  </si>
  <si>
    <t xml:space="preserve">BELO JARDIM</t>
  </si>
  <si>
    <t xml:space="preserve">55150-001</t>
  </si>
  <si>
    <t xml:space="preserve">55169-999</t>
  </si>
  <si>
    <t xml:space="preserve">PAS1200</t>
  </si>
  <si>
    <t xml:space="preserve">BETANIA</t>
  </si>
  <si>
    <t xml:space="preserve">56670-000</t>
  </si>
  <si>
    <t xml:space="preserve">56699-999</t>
  </si>
  <si>
    <t xml:space="preserve">PAS1201</t>
  </si>
  <si>
    <t xml:space="preserve">BODOCO</t>
  </si>
  <si>
    <t xml:space="preserve">56220-000</t>
  </si>
  <si>
    <t xml:space="preserve">56229-999</t>
  </si>
  <si>
    <t xml:space="preserve">PAS1202</t>
  </si>
  <si>
    <t xml:space="preserve">BOM CONSELHO</t>
  </si>
  <si>
    <t xml:space="preserve">55330-000</t>
  </si>
  <si>
    <t xml:space="preserve">55339-999</t>
  </si>
  <si>
    <t xml:space="preserve">PAS1203</t>
  </si>
  <si>
    <t xml:space="preserve">65380-000</t>
  </si>
  <si>
    <t xml:space="preserve">65384-999</t>
  </si>
  <si>
    <t xml:space="preserve">PAS1204</t>
  </si>
  <si>
    <t xml:space="preserve">55680-000</t>
  </si>
  <si>
    <t xml:space="preserve">55689-999</t>
  </si>
  <si>
    <t xml:space="preserve">PAS1205</t>
  </si>
  <si>
    <t xml:space="preserve">BREJAO</t>
  </si>
  <si>
    <t xml:space="preserve">55325-000</t>
  </si>
  <si>
    <t xml:space="preserve">55329-999</t>
  </si>
  <si>
    <t xml:space="preserve">PAS1206</t>
  </si>
  <si>
    <t xml:space="preserve">BREJINHO</t>
  </si>
  <si>
    <t xml:space="preserve">56740-000</t>
  </si>
  <si>
    <t xml:space="preserve">56749-999</t>
  </si>
  <si>
    <t xml:space="preserve">PAS1207</t>
  </si>
  <si>
    <t xml:space="preserve">BREJO DA MADRE DE DEUS</t>
  </si>
  <si>
    <t xml:space="preserve">55170-000</t>
  </si>
  <si>
    <t xml:space="preserve">55179-999</t>
  </si>
  <si>
    <t xml:space="preserve">PAS1208</t>
  </si>
  <si>
    <t xml:space="preserve">BUENOS AIRES</t>
  </si>
  <si>
    <t xml:space="preserve">55845-000</t>
  </si>
  <si>
    <t xml:space="preserve">55849-999</t>
  </si>
  <si>
    <t xml:space="preserve">PAS1209</t>
  </si>
  <si>
    <t xml:space="preserve">BUIQUE</t>
  </si>
  <si>
    <t xml:space="preserve">56520-000</t>
  </si>
  <si>
    <t xml:space="preserve">56539-999</t>
  </si>
  <si>
    <t xml:space="preserve">PAS1210</t>
  </si>
  <si>
    <t xml:space="preserve">CABROBO</t>
  </si>
  <si>
    <t xml:space="preserve">56180-000</t>
  </si>
  <si>
    <t xml:space="preserve">56189-999</t>
  </si>
  <si>
    <t xml:space="preserve">PAS1211</t>
  </si>
  <si>
    <t xml:space="preserve">CACHOEIRINHA</t>
  </si>
  <si>
    <t xml:space="preserve">55380-000</t>
  </si>
  <si>
    <t xml:space="preserve">55384-999</t>
  </si>
  <si>
    <t xml:space="preserve">PAS1212</t>
  </si>
  <si>
    <t xml:space="preserve">CAETES</t>
  </si>
  <si>
    <t xml:space="preserve">55360-000</t>
  </si>
  <si>
    <t xml:space="preserve">55364-999</t>
  </si>
  <si>
    <t xml:space="preserve">PAS1213</t>
  </si>
  <si>
    <t xml:space="preserve">CALCADO</t>
  </si>
  <si>
    <t xml:space="preserve">55375-000</t>
  </si>
  <si>
    <t xml:space="preserve">55379-999</t>
  </si>
  <si>
    <t xml:space="preserve">PAS1214</t>
  </si>
  <si>
    <t xml:space="preserve">CALUMBI</t>
  </si>
  <si>
    <t xml:space="preserve">56930-000</t>
  </si>
  <si>
    <t xml:space="preserve">56949-999</t>
  </si>
  <si>
    <t xml:space="preserve">PAS1215</t>
  </si>
  <si>
    <t xml:space="preserve">CAMOCIM DE SAO FELIX</t>
  </si>
  <si>
    <t xml:space="preserve">55665-000</t>
  </si>
  <si>
    <t xml:space="preserve">55669-999</t>
  </si>
  <si>
    <t xml:space="preserve">PAS1216</t>
  </si>
  <si>
    <t xml:space="preserve">CAMUTANGA</t>
  </si>
  <si>
    <t xml:space="preserve">55930-000</t>
  </si>
  <si>
    <t xml:space="preserve">55939-999</t>
  </si>
  <si>
    <t xml:space="preserve">PAS1217</t>
  </si>
  <si>
    <t xml:space="preserve">CANHOTINHO</t>
  </si>
  <si>
    <t xml:space="preserve">55420-000</t>
  </si>
  <si>
    <t xml:space="preserve">55429-999</t>
  </si>
  <si>
    <t xml:space="preserve">PAS1218</t>
  </si>
  <si>
    <t xml:space="preserve">CAPOEIRAS</t>
  </si>
  <si>
    <t xml:space="preserve">55365-000</t>
  </si>
  <si>
    <t xml:space="preserve">55369-999</t>
  </si>
  <si>
    <t xml:space="preserve">PAS1219</t>
  </si>
  <si>
    <t xml:space="preserve">CARNAIBA</t>
  </si>
  <si>
    <t xml:space="preserve">56820-000</t>
  </si>
  <si>
    <t xml:space="preserve">56827-999</t>
  </si>
  <si>
    <t xml:space="preserve">PAS1220</t>
  </si>
  <si>
    <t xml:space="preserve">CARNAUBEIRA DA PENHA</t>
  </si>
  <si>
    <t xml:space="preserve">56420-000</t>
  </si>
  <si>
    <t xml:space="preserve">56429-999</t>
  </si>
  <si>
    <t xml:space="preserve">PAS1221</t>
  </si>
  <si>
    <t xml:space="preserve">CASINHAS</t>
  </si>
  <si>
    <t xml:space="preserve">55755-000</t>
  </si>
  <si>
    <t xml:space="preserve">55759-999</t>
  </si>
  <si>
    <t xml:space="preserve">PAS1222</t>
  </si>
  <si>
    <t xml:space="preserve">63400-000</t>
  </si>
  <si>
    <t xml:space="preserve">63429-999</t>
  </si>
  <si>
    <t xml:space="preserve">PAS1223</t>
  </si>
  <si>
    <t xml:space="preserve">CORRENTES</t>
  </si>
  <si>
    <t xml:space="preserve">55315-000</t>
  </si>
  <si>
    <t xml:space="preserve">55319-999</t>
  </si>
  <si>
    <t xml:space="preserve">PAS1224</t>
  </si>
  <si>
    <t xml:space="preserve">CORTES</t>
  </si>
  <si>
    <t xml:space="preserve">55525-000</t>
  </si>
  <si>
    <t xml:space="preserve">55529-999</t>
  </si>
  <si>
    <t xml:space="preserve">PAS1225</t>
  </si>
  <si>
    <t xml:space="preserve">CUMARU</t>
  </si>
  <si>
    <t xml:space="preserve">55655-000</t>
  </si>
  <si>
    <t xml:space="preserve">55659-999</t>
  </si>
  <si>
    <t xml:space="preserve">PAS1226</t>
  </si>
  <si>
    <t xml:space="preserve">CUPIRA</t>
  </si>
  <si>
    <t xml:space="preserve">55460-000</t>
  </si>
  <si>
    <t xml:space="preserve">55469-999</t>
  </si>
  <si>
    <t xml:space="preserve">PAS1227</t>
  </si>
  <si>
    <t xml:space="preserve">CUSTODIA</t>
  </si>
  <si>
    <t xml:space="preserve">56640-000</t>
  </si>
  <si>
    <t xml:space="preserve">56669-999</t>
  </si>
  <si>
    <t xml:space="preserve">PAS1228</t>
  </si>
  <si>
    <t xml:space="preserve">DORMENTES</t>
  </si>
  <si>
    <t xml:space="preserve">56355-000</t>
  </si>
  <si>
    <t xml:space="preserve">56359-999</t>
  </si>
  <si>
    <t xml:space="preserve">PAS1229</t>
  </si>
  <si>
    <t xml:space="preserve">EXU</t>
  </si>
  <si>
    <t xml:space="preserve">56230-000</t>
  </si>
  <si>
    <t xml:space="preserve">56249-999</t>
  </si>
  <si>
    <t xml:space="preserve">PAS1230</t>
  </si>
  <si>
    <t xml:space="preserve">FEIRA NOVA</t>
  </si>
  <si>
    <t xml:space="preserve">49670-000</t>
  </si>
  <si>
    <t xml:space="preserve">49679-999</t>
  </si>
  <si>
    <t xml:space="preserve">PAS1231</t>
  </si>
  <si>
    <t xml:space="preserve">FERNANDO DE NORONHA</t>
  </si>
  <si>
    <t xml:space="preserve">53990-000</t>
  </si>
  <si>
    <t xml:space="preserve">53999-999</t>
  </si>
  <si>
    <t xml:space="preserve">PAS1232</t>
  </si>
  <si>
    <t xml:space="preserve">FERREIROS</t>
  </si>
  <si>
    <t xml:space="preserve">55880-000</t>
  </si>
  <si>
    <t xml:space="preserve">55889-999</t>
  </si>
  <si>
    <t xml:space="preserve">PAS1233</t>
  </si>
  <si>
    <t xml:space="preserve">FLORES</t>
  </si>
  <si>
    <t xml:space="preserve">56850-000</t>
  </si>
  <si>
    <t xml:space="preserve">56869-999</t>
  </si>
  <si>
    <t xml:space="preserve">PAS1234</t>
  </si>
  <si>
    <t xml:space="preserve">FLORESTA</t>
  </si>
  <si>
    <t xml:space="preserve">56400-000</t>
  </si>
  <si>
    <t xml:space="preserve">56419-999</t>
  </si>
  <si>
    <t xml:space="preserve">PAS1235</t>
  </si>
  <si>
    <t xml:space="preserve">FREI MIGUELINHO</t>
  </si>
  <si>
    <t xml:space="preserve">55780-000</t>
  </si>
  <si>
    <t xml:space="preserve">55789-999</t>
  </si>
  <si>
    <t xml:space="preserve">PAS1236</t>
  </si>
  <si>
    <t xml:space="preserve">GAMELEIRA</t>
  </si>
  <si>
    <t xml:space="preserve">55530-000</t>
  </si>
  <si>
    <t xml:space="preserve">55534-999</t>
  </si>
  <si>
    <t xml:space="preserve">PAS1237</t>
  </si>
  <si>
    <t xml:space="preserve">55290-001</t>
  </si>
  <si>
    <t xml:space="preserve">55304-999</t>
  </si>
  <si>
    <t xml:space="preserve">PAS1238</t>
  </si>
  <si>
    <t xml:space="preserve">GRANITO</t>
  </si>
  <si>
    <t xml:space="preserve">56160-000</t>
  </si>
  <si>
    <t xml:space="preserve">56162-999</t>
  </si>
  <si>
    <t xml:space="preserve">PAS1239</t>
  </si>
  <si>
    <t xml:space="preserve">IATI</t>
  </si>
  <si>
    <t xml:space="preserve">55345-000</t>
  </si>
  <si>
    <t xml:space="preserve">55349-999</t>
  </si>
  <si>
    <t xml:space="preserve">PAS1240</t>
  </si>
  <si>
    <t xml:space="preserve">IBIMIRIM</t>
  </si>
  <si>
    <t xml:space="preserve">56580-000</t>
  </si>
  <si>
    <t xml:space="preserve">56599-999</t>
  </si>
  <si>
    <t xml:space="preserve">PAS1241</t>
  </si>
  <si>
    <t xml:space="preserve">IBIRAJUBA</t>
  </si>
  <si>
    <t xml:space="preserve">55390-000</t>
  </si>
  <si>
    <t xml:space="preserve">55394-999</t>
  </si>
  <si>
    <t xml:space="preserve">PAS1242</t>
  </si>
  <si>
    <t xml:space="preserve">IGUARACI</t>
  </si>
  <si>
    <t xml:space="preserve">56840-000</t>
  </si>
  <si>
    <t xml:space="preserve">56849-999</t>
  </si>
  <si>
    <t xml:space="preserve">PAS1243</t>
  </si>
  <si>
    <t xml:space="preserve">INAJA</t>
  </si>
  <si>
    <t xml:space="preserve">56560-000</t>
  </si>
  <si>
    <t xml:space="preserve">56564-999</t>
  </si>
  <si>
    <t xml:space="preserve">PAS1244</t>
  </si>
  <si>
    <t xml:space="preserve">INGAZEIRA</t>
  </si>
  <si>
    <t xml:space="preserve">56830-000</t>
  </si>
  <si>
    <t xml:space="preserve">56839-999</t>
  </si>
  <si>
    <t xml:space="preserve">PAS1245</t>
  </si>
  <si>
    <t xml:space="preserve">IPUBI</t>
  </si>
  <si>
    <t xml:space="preserve">56260-000</t>
  </si>
  <si>
    <t xml:space="preserve">56279-999</t>
  </si>
  <si>
    <t xml:space="preserve">PAS1246</t>
  </si>
  <si>
    <t xml:space="preserve">ITACURUBA</t>
  </si>
  <si>
    <t xml:space="preserve">56430-000</t>
  </si>
  <si>
    <t xml:space="preserve">56439-999</t>
  </si>
  <si>
    <t xml:space="preserve">PAS1247</t>
  </si>
  <si>
    <t xml:space="preserve">ITAIBA</t>
  </si>
  <si>
    <t xml:space="preserve">56550-000</t>
  </si>
  <si>
    <t xml:space="preserve">56559-999</t>
  </si>
  <si>
    <t xml:space="preserve">PAS1248</t>
  </si>
  <si>
    <t xml:space="preserve">55920-000</t>
  </si>
  <si>
    <t xml:space="preserve">55929-999</t>
  </si>
  <si>
    <t xml:space="preserve">PAS1249</t>
  </si>
  <si>
    <t xml:space="preserve">ITAPETIM</t>
  </si>
  <si>
    <t xml:space="preserve">56720-000</t>
  </si>
  <si>
    <t xml:space="preserve">56739-999</t>
  </si>
  <si>
    <t xml:space="preserve">PAS1250</t>
  </si>
  <si>
    <t xml:space="preserve">ITAQUITINGA</t>
  </si>
  <si>
    <t xml:space="preserve">55950-000</t>
  </si>
  <si>
    <t xml:space="preserve">55999-999</t>
  </si>
  <si>
    <t xml:space="preserve">PAS1251</t>
  </si>
  <si>
    <t xml:space="preserve">JAQUEIRA</t>
  </si>
  <si>
    <t xml:space="preserve">55409-000</t>
  </si>
  <si>
    <t xml:space="preserve">55409-999</t>
  </si>
  <si>
    <t xml:space="preserve">PAS1252</t>
  </si>
  <si>
    <t xml:space="preserve">JATAUBA</t>
  </si>
  <si>
    <t xml:space="preserve">55180-000</t>
  </si>
  <si>
    <t xml:space="preserve">55189-999</t>
  </si>
  <si>
    <t xml:space="preserve">PAS1253</t>
  </si>
  <si>
    <t xml:space="preserve">56470-000</t>
  </si>
  <si>
    <t xml:space="preserve">56479-999</t>
  </si>
  <si>
    <t xml:space="preserve">PAS1254</t>
  </si>
  <si>
    <t xml:space="preserve">JOAO ALFREDO</t>
  </si>
  <si>
    <t xml:space="preserve">55720-000</t>
  </si>
  <si>
    <t xml:space="preserve">55729-999</t>
  </si>
  <si>
    <t xml:space="preserve">PAS1255</t>
  </si>
  <si>
    <t xml:space="preserve">JOAQUIM NABUCO</t>
  </si>
  <si>
    <t xml:space="preserve">55535-000</t>
  </si>
  <si>
    <t xml:space="preserve">55539-999</t>
  </si>
  <si>
    <t xml:space="preserve">PAS1256</t>
  </si>
  <si>
    <t xml:space="preserve">JUCATI</t>
  </si>
  <si>
    <t xml:space="preserve">55398-000</t>
  </si>
  <si>
    <t xml:space="preserve">55399-999</t>
  </si>
  <si>
    <t xml:space="preserve">PAS1257</t>
  </si>
  <si>
    <t xml:space="preserve">JUPI</t>
  </si>
  <si>
    <t xml:space="preserve">55395-000</t>
  </si>
  <si>
    <t xml:space="preserve">55397-999</t>
  </si>
  <si>
    <t xml:space="preserve">PAS1258</t>
  </si>
  <si>
    <t xml:space="preserve">JUREMA</t>
  </si>
  <si>
    <t xml:space="preserve">55480-000</t>
  </si>
  <si>
    <t xml:space="preserve">55489-999</t>
  </si>
  <si>
    <t xml:space="preserve">PAS1259</t>
  </si>
  <si>
    <t xml:space="preserve">LAGOA DO CARRO</t>
  </si>
  <si>
    <t xml:space="preserve">55820-000</t>
  </si>
  <si>
    <t xml:space="preserve">55824-999</t>
  </si>
  <si>
    <t xml:space="preserve">PAS1260</t>
  </si>
  <si>
    <t xml:space="preserve">LAGOA DO ITAENGA</t>
  </si>
  <si>
    <t xml:space="preserve">55840-000</t>
  </si>
  <si>
    <t xml:space="preserve">55844-999</t>
  </si>
  <si>
    <t xml:space="preserve">PAS1261</t>
  </si>
  <si>
    <t xml:space="preserve">LAGOA DO OURO</t>
  </si>
  <si>
    <t xml:space="preserve">55320-000</t>
  </si>
  <si>
    <t xml:space="preserve">55324-999</t>
  </si>
  <si>
    <t xml:space="preserve">PAS1262</t>
  </si>
  <si>
    <t xml:space="preserve">LAGOA DOS GATOS</t>
  </si>
  <si>
    <t xml:space="preserve">55450-000</t>
  </si>
  <si>
    <t xml:space="preserve">55459-999</t>
  </si>
  <si>
    <t xml:space="preserve">PAS1263</t>
  </si>
  <si>
    <t xml:space="preserve">LAGOA GRANDE</t>
  </si>
  <si>
    <t xml:space="preserve">56395-000</t>
  </si>
  <si>
    <t xml:space="preserve">56399-999</t>
  </si>
  <si>
    <t xml:space="preserve">PAS1264</t>
  </si>
  <si>
    <t xml:space="preserve">LAJEDO</t>
  </si>
  <si>
    <t xml:space="preserve">55385-000</t>
  </si>
  <si>
    <t xml:space="preserve">55389-999</t>
  </si>
  <si>
    <t xml:space="preserve">PAS1265</t>
  </si>
  <si>
    <t xml:space="preserve">MACAPARANA</t>
  </si>
  <si>
    <t xml:space="preserve">55865-000</t>
  </si>
  <si>
    <t xml:space="preserve">55869-999</t>
  </si>
  <si>
    <t xml:space="preserve">PAS1266</t>
  </si>
  <si>
    <t xml:space="preserve">MACHADOS</t>
  </si>
  <si>
    <t xml:space="preserve">55740-000</t>
  </si>
  <si>
    <t xml:space="preserve">55744-999</t>
  </si>
  <si>
    <t xml:space="preserve">PAS1267</t>
  </si>
  <si>
    <t xml:space="preserve">MANARI</t>
  </si>
  <si>
    <t xml:space="preserve">56565-000</t>
  </si>
  <si>
    <t xml:space="preserve">56579-999</t>
  </si>
  <si>
    <t xml:space="preserve">PAS1268</t>
  </si>
  <si>
    <t xml:space="preserve">MARAIAL</t>
  </si>
  <si>
    <t xml:space="preserve">55405-000</t>
  </si>
  <si>
    <t xml:space="preserve">55408-999</t>
  </si>
  <si>
    <t xml:space="preserve">PAS1269</t>
  </si>
  <si>
    <t xml:space="preserve">MIRANDIBA</t>
  </si>
  <si>
    <t xml:space="preserve">56980-000</t>
  </si>
  <si>
    <t xml:space="preserve">56999-999</t>
  </si>
  <si>
    <t xml:space="preserve">PAS1270</t>
  </si>
  <si>
    <t xml:space="preserve">MOREILANDIA</t>
  </si>
  <si>
    <t xml:space="preserve">56150-000</t>
  </si>
  <si>
    <t xml:space="preserve">56159-999</t>
  </si>
  <si>
    <t xml:space="preserve">PAS1271</t>
  </si>
  <si>
    <t xml:space="preserve">OROBO</t>
  </si>
  <si>
    <t xml:space="preserve">55745-000</t>
  </si>
  <si>
    <t xml:space="preserve">55749-999</t>
  </si>
  <si>
    <t xml:space="preserve">PAS1272</t>
  </si>
  <si>
    <t xml:space="preserve">OROCO</t>
  </si>
  <si>
    <t xml:space="preserve">56170-000</t>
  </si>
  <si>
    <t xml:space="preserve">56179-999</t>
  </si>
  <si>
    <t xml:space="preserve">PAS1273</t>
  </si>
  <si>
    <t xml:space="preserve">OURICURI</t>
  </si>
  <si>
    <t xml:space="preserve">56200-000</t>
  </si>
  <si>
    <t xml:space="preserve">56209-999</t>
  </si>
  <si>
    <t xml:space="preserve">PAS1274</t>
  </si>
  <si>
    <t xml:space="preserve">PALMEIRINA</t>
  </si>
  <si>
    <t xml:space="preserve">55310-000</t>
  </si>
  <si>
    <t xml:space="preserve">55314-999</t>
  </si>
  <si>
    <t xml:space="preserve">PAS1275</t>
  </si>
  <si>
    <t xml:space="preserve">PANELAS</t>
  </si>
  <si>
    <t xml:space="preserve">55470-000</t>
  </si>
  <si>
    <t xml:space="preserve">55479-999</t>
  </si>
  <si>
    <t xml:space="preserve">PAS1276</t>
  </si>
  <si>
    <t xml:space="preserve">PARANATAMA</t>
  </si>
  <si>
    <t xml:space="preserve">55355-000</t>
  </si>
  <si>
    <t xml:space="preserve">55359-999</t>
  </si>
  <si>
    <t xml:space="preserve">PAS1277</t>
  </si>
  <si>
    <t xml:space="preserve">56163-000</t>
  </si>
  <si>
    <t xml:space="preserve">56169-999</t>
  </si>
  <si>
    <t xml:space="preserve">PAS1278</t>
  </si>
  <si>
    <t xml:space="preserve">PASSIRA</t>
  </si>
  <si>
    <t xml:space="preserve">55650-000</t>
  </si>
  <si>
    <t xml:space="preserve">55654-999</t>
  </si>
  <si>
    <t xml:space="preserve">PAS1279</t>
  </si>
  <si>
    <t xml:space="preserve">PEDRA</t>
  </si>
  <si>
    <t xml:space="preserve">55280-000</t>
  </si>
  <si>
    <t xml:space="preserve">55289-999</t>
  </si>
  <si>
    <t xml:space="preserve">PAS1280</t>
  </si>
  <si>
    <t xml:space="preserve">PESQUEIRA</t>
  </si>
  <si>
    <t xml:space="preserve">55200-000</t>
  </si>
  <si>
    <t xml:space="preserve">55239-999</t>
  </si>
  <si>
    <t xml:space="preserve">PAS1281</t>
  </si>
  <si>
    <t xml:space="preserve">PETROLANDIA</t>
  </si>
  <si>
    <t xml:space="preserve">56460-000</t>
  </si>
  <si>
    <t xml:space="preserve">56469-999</t>
  </si>
  <si>
    <t xml:space="preserve">PAS1282</t>
  </si>
  <si>
    <t xml:space="preserve">56300-001</t>
  </si>
  <si>
    <t xml:space="preserve">56354-999</t>
  </si>
  <si>
    <t xml:space="preserve">PAS1283</t>
  </si>
  <si>
    <t xml:space="preserve">POCAO</t>
  </si>
  <si>
    <t xml:space="preserve">55240-000</t>
  </si>
  <si>
    <t xml:space="preserve">55249-999</t>
  </si>
  <si>
    <t xml:space="preserve">PAS1284</t>
  </si>
  <si>
    <t xml:space="preserve">PRIMAVERA</t>
  </si>
  <si>
    <t xml:space="preserve">55510-000</t>
  </si>
  <si>
    <t xml:space="preserve">55514-999</t>
  </si>
  <si>
    <t xml:space="preserve">PAS1285</t>
  </si>
  <si>
    <t xml:space="preserve">QUIPAPA</t>
  </si>
  <si>
    <t xml:space="preserve">55415-000</t>
  </si>
  <si>
    <t xml:space="preserve">55419-999</t>
  </si>
  <si>
    <t xml:space="preserve">PAS1286</t>
  </si>
  <si>
    <t xml:space="preserve">58733-000</t>
  </si>
  <si>
    <t xml:space="preserve">58733-999</t>
  </si>
  <si>
    <t xml:space="preserve">PAS1287</t>
  </si>
  <si>
    <t xml:space="preserve">RIACHO DAS ALMAS</t>
  </si>
  <si>
    <t xml:space="preserve">55120-000</t>
  </si>
  <si>
    <t xml:space="preserve">55124-999</t>
  </si>
  <si>
    <t xml:space="preserve">PAS1288</t>
  </si>
  <si>
    <t xml:space="preserve">58650-000</t>
  </si>
  <si>
    <t xml:space="preserve">58659-999</t>
  </si>
  <si>
    <t xml:space="preserve">PAS1289</t>
  </si>
  <si>
    <t xml:space="preserve">SALGUEIRO</t>
  </si>
  <si>
    <t xml:space="preserve">56000-000</t>
  </si>
  <si>
    <t xml:space="preserve">56119-999</t>
  </si>
  <si>
    <t xml:space="preserve">PAS1290</t>
  </si>
  <si>
    <t xml:space="preserve">SALOA</t>
  </si>
  <si>
    <t xml:space="preserve">55350-000</t>
  </si>
  <si>
    <t xml:space="preserve">55354-999</t>
  </si>
  <si>
    <t xml:space="preserve">PAS1291</t>
  </si>
  <si>
    <t xml:space="preserve">SANHARO</t>
  </si>
  <si>
    <t xml:space="preserve">55250-000</t>
  </si>
  <si>
    <t xml:space="preserve">55259-999</t>
  </si>
  <si>
    <t xml:space="preserve">PAS1292</t>
  </si>
  <si>
    <t xml:space="preserve">58824-000</t>
  </si>
  <si>
    <t xml:space="preserve">58829-999</t>
  </si>
  <si>
    <t xml:space="preserve">PAS1293</t>
  </si>
  <si>
    <t xml:space="preserve">SANTA CRUZ DA BAIXA VERDE</t>
  </si>
  <si>
    <t xml:space="preserve">56895-000</t>
  </si>
  <si>
    <t xml:space="preserve">56899-999</t>
  </si>
  <si>
    <t xml:space="preserve">PAS1294</t>
  </si>
  <si>
    <t xml:space="preserve">SANTA FILOMENA</t>
  </si>
  <si>
    <t xml:space="preserve">56210-000</t>
  </si>
  <si>
    <t xml:space="preserve">56214-999</t>
  </si>
  <si>
    <t xml:space="preserve">PAS1295</t>
  </si>
  <si>
    <t xml:space="preserve">SANTA MARIA DA BOA VISTA</t>
  </si>
  <si>
    <t xml:space="preserve">56380-000</t>
  </si>
  <si>
    <t xml:space="preserve">56394-999</t>
  </si>
  <si>
    <t xml:space="preserve">PAS1296</t>
  </si>
  <si>
    <t xml:space="preserve">SANTA MARIA DO CAMBUCA</t>
  </si>
  <si>
    <t xml:space="preserve">55765-000</t>
  </si>
  <si>
    <t xml:space="preserve">55769-999</t>
  </si>
  <si>
    <t xml:space="preserve">PAS1297</t>
  </si>
  <si>
    <t xml:space="preserve">SANTA TEREZINHA</t>
  </si>
  <si>
    <t xml:space="preserve">56750-000</t>
  </si>
  <si>
    <t xml:space="preserve">56759-999</t>
  </si>
  <si>
    <t xml:space="preserve">PAS1298</t>
  </si>
  <si>
    <t xml:space="preserve">SAO BENEDITO DO SUL</t>
  </si>
  <si>
    <t xml:space="preserve">55410-000</t>
  </si>
  <si>
    <t xml:space="preserve">55414-999</t>
  </si>
  <si>
    <t xml:space="preserve">PAS1299</t>
  </si>
  <si>
    <t xml:space="preserve">SAO BENTO DO UNA</t>
  </si>
  <si>
    <t xml:space="preserve">55370-000</t>
  </si>
  <si>
    <t xml:space="preserve">55374-999</t>
  </si>
  <si>
    <t xml:space="preserve">PAS1300</t>
  </si>
  <si>
    <t xml:space="preserve">SAO CAITANO</t>
  </si>
  <si>
    <t xml:space="preserve">55130-000</t>
  </si>
  <si>
    <t xml:space="preserve">55139-999</t>
  </si>
  <si>
    <t xml:space="preserve">PAS1301</t>
  </si>
  <si>
    <t xml:space="preserve">SAO JOAO</t>
  </si>
  <si>
    <t xml:space="preserve">55435-000</t>
  </si>
  <si>
    <t xml:space="preserve">55439-999</t>
  </si>
  <si>
    <t xml:space="preserve">PAS1302</t>
  </si>
  <si>
    <t xml:space="preserve">SAO JOAQUIM DO MONTE</t>
  </si>
  <si>
    <t xml:space="preserve">55670-000</t>
  </si>
  <si>
    <t xml:space="preserve">55674-999</t>
  </si>
  <si>
    <t xml:space="preserve">PAS1303</t>
  </si>
  <si>
    <t xml:space="preserve">SAO JOSE DA COROA GRANDE</t>
  </si>
  <si>
    <t xml:space="preserve">55565-000</t>
  </si>
  <si>
    <t xml:space="preserve">55569-999</t>
  </si>
  <si>
    <t xml:space="preserve">PAS1304</t>
  </si>
  <si>
    <t xml:space="preserve">SAO JOSE DO BELMONTE</t>
  </si>
  <si>
    <t xml:space="preserve">56950-000</t>
  </si>
  <si>
    <t xml:space="preserve">56979-999</t>
  </si>
  <si>
    <t xml:space="preserve">PAS1305</t>
  </si>
  <si>
    <t xml:space="preserve">SAO JOSE DO EGITO</t>
  </si>
  <si>
    <t xml:space="preserve">56700-000</t>
  </si>
  <si>
    <t xml:space="preserve">56719-999</t>
  </si>
  <si>
    <t xml:space="preserve">PAS1306</t>
  </si>
  <si>
    <t xml:space="preserve">65220-000</t>
  </si>
  <si>
    <t xml:space="preserve">65222-999</t>
  </si>
  <si>
    <t xml:space="preserve">PAS1307</t>
  </si>
  <si>
    <t xml:space="preserve">SERRA TALHADA</t>
  </si>
  <si>
    <t xml:space="preserve">56900-001</t>
  </si>
  <si>
    <t xml:space="preserve">56929-999</t>
  </si>
  <si>
    <t xml:space="preserve">PAS1308</t>
  </si>
  <si>
    <t xml:space="preserve">SERRITA</t>
  </si>
  <si>
    <t xml:space="preserve">56140-000</t>
  </si>
  <si>
    <t xml:space="preserve">56149-999</t>
  </si>
  <si>
    <t xml:space="preserve">PAS1309</t>
  </si>
  <si>
    <t xml:space="preserve">SERTANIA</t>
  </si>
  <si>
    <t xml:space="preserve">56600-000</t>
  </si>
  <si>
    <t xml:space="preserve">56639-999</t>
  </si>
  <si>
    <t xml:space="preserve">PAS1310</t>
  </si>
  <si>
    <t xml:space="preserve">SOLIDAO</t>
  </si>
  <si>
    <t xml:space="preserve">56795-000</t>
  </si>
  <si>
    <t xml:space="preserve">56799-999</t>
  </si>
  <si>
    <t xml:space="preserve">PAS1311</t>
  </si>
  <si>
    <t xml:space="preserve">SURUBIM</t>
  </si>
  <si>
    <t xml:space="preserve">55750-000</t>
  </si>
  <si>
    <t xml:space="preserve">55754-999</t>
  </si>
  <si>
    <t xml:space="preserve">PAS1312</t>
  </si>
  <si>
    <t xml:space="preserve">TABIRA</t>
  </si>
  <si>
    <t xml:space="preserve">56780-000</t>
  </si>
  <si>
    <t xml:space="preserve">56794-999</t>
  </si>
  <si>
    <t xml:space="preserve">PAS1313</t>
  </si>
  <si>
    <t xml:space="preserve">TACAIMBO</t>
  </si>
  <si>
    <t xml:space="preserve">55140-000</t>
  </si>
  <si>
    <t xml:space="preserve">55149-999</t>
  </si>
  <si>
    <t xml:space="preserve">PAS1314</t>
  </si>
  <si>
    <t xml:space="preserve">TACARATU</t>
  </si>
  <si>
    <t xml:space="preserve">56480-000</t>
  </si>
  <si>
    <t xml:space="preserve">56499-999</t>
  </si>
  <si>
    <t xml:space="preserve">PAS1315</t>
  </si>
  <si>
    <t xml:space="preserve">TAQUARITINGA DO NORTE</t>
  </si>
  <si>
    <t xml:space="preserve">55790-000</t>
  </si>
  <si>
    <t xml:space="preserve">55799-999</t>
  </si>
  <si>
    <t xml:space="preserve">PAS1316</t>
  </si>
  <si>
    <t xml:space="preserve">TEREZINHA</t>
  </si>
  <si>
    <t xml:space="preserve">55305-000</t>
  </si>
  <si>
    <t xml:space="preserve">55309-999</t>
  </si>
  <si>
    <t xml:space="preserve">PAS1317</t>
  </si>
  <si>
    <t xml:space="preserve">TORITAMA</t>
  </si>
  <si>
    <t xml:space="preserve">55125-000</t>
  </si>
  <si>
    <t xml:space="preserve">55129-999</t>
  </si>
  <si>
    <t xml:space="preserve">PAS1318</t>
  </si>
  <si>
    <t xml:space="preserve">TRACUNHAEM</t>
  </si>
  <si>
    <t xml:space="preserve">55805-000</t>
  </si>
  <si>
    <t xml:space="preserve">55809-999</t>
  </si>
  <si>
    <t xml:space="preserve">PAS1319</t>
  </si>
  <si>
    <t xml:space="preserve">TRINDADE</t>
  </si>
  <si>
    <t xml:space="preserve">56250-000</t>
  </si>
  <si>
    <t xml:space="preserve">56259-999</t>
  </si>
  <si>
    <t xml:space="preserve">PAS1320</t>
  </si>
  <si>
    <t xml:space="preserve">56870-000</t>
  </si>
  <si>
    <t xml:space="preserve">56894-999</t>
  </si>
  <si>
    <t xml:space="preserve">PAS1321</t>
  </si>
  <si>
    <t xml:space="preserve">TUPANATINGA</t>
  </si>
  <si>
    <t xml:space="preserve">56540-000</t>
  </si>
  <si>
    <t xml:space="preserve">56549-999</t>
  </si>
  <si>
    <t xml:space="preserve">PAS1322</t>
  </si>
  <si>
    <t xml:space="preserve">TUPARETAMA</t>
  </si>
  <si>
    <t xml:space="preserve">56760-000</t>
  </si>
  <si>
    <t xml:space="preserve">56779-999</t>
  </si>
  <si>
    <t xml:space="preserve">PAS1323</t>
  </si>
  <si>
    <t xml:space="preserve">VENTUROSA</t>
  </si>
  <si>
    <t xml:space="preserve">55270-000</t>
  </si>
  <si>
    <t xml:space="preserve">55279-999</t>
  </si>
  <si>
    <t xml:space="preserve">PAS1324</t>
  </si>
  <si>
    <t xml:space="preserve">VERDEJANTE</t>
  </si>
  <si>
    <t xml:space="preserve">56120-000</t>
  </si>
  <si>
    <t xml:space="preserve">56129-999</t>
  </si>
  <si>
    <t xml:space="preserve">PAS1325</t>
  </si>
  <si>
    <t xml:space="preserve">VERTENTE DO LERIO</t>
  </si>
  <si>
    <t xml:space="preserve">55760-000</t>
  </si>
  <si>
    <t xml:space="preserve">55764-999</t>
  </si>
  <si>
    <t xml:space="preserve">PAS1326</t>
  </si>
  <si>
    <t xml:space="preserve">VERTENTES</t>
  </si>
  <si>
    <t xml:space="preserve">55770-000</t>
  </si>
  <si>
    <t xml:space="preserve">55779-999</t>
  </si>
  <si>
    <t xml:space="preserve">PAS1327</t>
  </si>
  <si>
    <t xml:space="preserve">VICENCIA</t>
  </si>
  <si>
    <t xml:space="preserve">55850-000</t>
  </si>
  <si>
    <t xml:space="preserve">55859-999</t>
  </si>
  <si>
    <t xml:space="preserve">PAS1328</t>
  </si>
  <si>
    <t xml:space="preserve">XEXEU</t>
  </si>
  <si>
    <t xml:space="preserve">55555-000</t>
  </si>
  <si>
    <t xml:space="preserve">55559-999</t>
  </si>
  <si>
    <t xml:space="preserve">PAS1329</t>
  </si>
  <si>
    <t xml:space="preserve">64000-001</t>
  </si>
  <si>
    <t xml:space="preserve">64099-999</t>
  </si>
  <si>
    <t xml:space="preserve">PAS1330</t>
  </si>
  <si>
    <t xml:space="preserve">ALTO LONGA</t>
  </si>
  <si>
    <t xml:space="preserve">64360-000</t>
  </si>
  <si>
    <t xml:space="preserve">64364-999</t>
  </si>
  <si>
    <t xml:space="preserve">PAS1331</t>
  </si>
  <si>
    <t xml:space="preserve">ALTOS</t>
  </si>
  <si>
    <t xml:space="preserve">64290-000</t>
  </si>
  <si>
    <t xml:space="preserve">64294-999</t>
  </si>
  <si>
    <t xml:space="preserve">PAS1332</t>
  </si>
  <si>
    <t xml:space="preserve">AMARANTE</t>
  </si>
  <si>
    <t xml:space="preserve">64400-000</t>
  </si>
  <si>
    <t xml:space="preserve">64409-999</t>
  </si>
  <si>
    <t xml:space="preserve">PAS1333</t>
  </si>
  <si>
    <t xml:space="preserve">ANGICAL DO PIAUI</t>
  </si>
  <si>
    <t xml:space="preserve">64410-000</t>
  </si>
  <si>
    <t xml:space="preserve">64414-999</t>
  </si>
  <si>
    <t xml:space="preserve">PAS1334</t>
  </si>
  <si>
    <t xml:space="preserve">BARRAS</t>
  </si>
  <si>
    <t xml:space="preserve">64100-000</t>
  </si>
  <si>
    <t xml:space="preserve">64104-999</t>
  </si>
  <si>
    <t xml:space="preserve">PAS1335</t>
  </si>
  <si>
    <t xml:space="preserve">BARRO DURO</t>
  </si>
  <si>
    <t xml:space="preserve">64455-000</t>
  </si>
  <si>
    <t xml:space="preserve">64459-999</t>
  </si>
  <si>
    <t xml:space="preserve">PAS1336</t>
  </si>
  <si>
    <t xml:space="preserve">BENEDITINOS</t>
  </si>
  <si>
    <t xml:space="preserve">64380-000</t>
  </si>
  <si>
    <t xml:space="preserve">64387-999</t>
  </si>
  <si>
    <t xml:space="preserve">PAS1337</t>
  </si>
  <si>
    <t xml:space="preserve">BOA HORA</t>
  </si>
  <si>
    <t xml:space="preserve">64108-000</t>
  </si>
  <si>
    <t xml:space="preserve">64109-999</t>
  </si>
  <si>
    <t xml:space="preserve">PAS1338</t>
  </si>
  <si>
    <t xml:space="preserve">BONFIM DO PIAUI</t>
  </si>
  <si>
    <t xml:space="preserve">64775-000</t>
  </si>
  <si>
    <t xml:space="preserve">64777-999</t>
  </si>
  <si>
    <t xml:space="preserve">PAS1339</t>
  </si>
  <si>
    <t xml:space="preserve">BRASILEIRA</t>
  </si>
  <si>
    <t xml:space="preserve">64265-000</t>
  </si>
  <si>
    <t xml:space="preserve">64269-999</t>
  </si>
  <si>
    <t xml:space="preserve">PAS1340</t>
  </si>
  <si>
    <t xml:space="preserve">BURITI DOS LOPES</t>
  </si>
  <si>
    <t xml:space="preserve">64230-000</t>
  </si>
  <si>
    <t xml:space="preserve">64232-999</t>
  </si>
  <si>
    <t xml:space="preserve">PAS1341</t>
  </si>
  <si>
    <t xml:space="preserve">CABECEIRAS DO PIAUI</t>
  </si>
  <si>
    <t xml:space="preserve">64105-000</t>
  </si>
  <si>
    <t xml:space="preserve">64107-999</t>
  </si>
  <si>
    <t xml:space="preserve">PAS1342</t>
  </si>
  <si>
    <t xml:space="preserve">CAMPO LARGO DO PIAUI</t>
  </si>
  <si>
    <t xml:space="preserve">64148-000</t>
  </si>
  <si>
    <t xml:space="preserve">64149-999</t>
  </si>
  <si>
    <t xml:space="preserve">PAS1343</t>
  </si>
  <si>
    <t xml:space="preserve">64280-000</t>
  </si>
  <si>
    <t xml:space="preserve">64282-999</t>
  </si>
  <si>
    <t xml:space="preserve">PAS1344</t>
  </si>
  <si>
    <t xml:space="preserve">CAPITAO DE CAMPOS</t>
  </si>
  <si>
    <t xml:space="preserve">64270-000</t>
  </si>
  <si>
    <t xml:space="preserve">64274-999</t>
  </si>
  <si>
    <t xml:space="preserve">PAS1345</t>
  </si>
  <si>
    <t xml:space="preserve">CAPITAO GERVASIO OLIVEIRA</t>
  </si>
  <si>
    <t xml:space="preserve">64763-000</t>
  </si>
  <si>
    <t xml:space="preserve">64763-999</t>
  </si>
  <si>
    <t xml:space="preserve">PAS1346</t>
  </si>
  <si>
    <t xml:space="preserve">CARAUBAS DO PIAUI</t>
  </si>
  <si>
    <t xml:space="preserve">64233-000</t>
  </si>
  <si>
    <t xml:space="preserve">64234-999</t>
  </si>
  <si>
    <t xml:space="preserve">PAS1347</t>
  </si>
  <si>
    <t xml:space="preserve">CASTELO DO PIAUI</t>
  </si>
  <si>
    <t xml:space="preserve">64340-000</t>
  </si>
  <si>
    <t xml:space="preserve">64342-999</t>
  </si>
  <si>
    <t xml:space="preserve">PAS1348</t>
  </si>
  <si>
    <t xml:space="preserve">CAXINGO</t>
  </si>
  <si>
    <t xml:space="preserve">64228-000</t>
  </si>
  <si>
    <t xml:space="preserve">64229-999</t>
  </si>
  <si>
    <t xml:space="preserve">PAS1349</t>
  </si>
  <si>
    <t xml:space="preserve">COCAL</t>
  </si>
  <si>
    <t xml:space="preserve">64235-000</t>
  </si>
  <si>
    <t xml:space="preserve">64237-999</t>
  </si>
  <si>
    <t xml:space="preserve">PAS1350</t>
  </si>
  <si>
    <t xml:space="preserve">DEMERVAL LOBAO</t>
  </si>
  <si>
    <t xml:space="preserve">64390-000</t>
  </si>
  <si>
    <t xml:space="preserve">64394-999</t>
  </si>
  <si>
    <t xml:space="preserve">PAS1351</t>
  </si>
  <si>
    <t xml:space="preserve">ESPERANTINA</t>
  </si>
  <si>
    <t xml:space="preserve">64180-000</t>
  </si>
  <si>
    <t xml:space="preserve">64189-999</t>
  </si>
  <si>
    <t xml:space="preserve">PAS1352</t>
  </si>
  <si>
    <t xml:space="preserve">ILHA GRANDE</t>
  </si>
  <si>
    <t xml:space="preserve">64224-000</t>
  </si>
  <si>
    <t xml:space="preserve">64224-999</t>
  </si>
  <si>
    <t xml:space="preserve">PAS1353</t>
  </si>
  <si>
    <t xml:space="preserve">JATOBA DO PIAUI</t>
  </si>
  <si>
    <t xml:space="preserve">64275-000</t>
  </si>
  <si>
    <t xml:space="preserve">64277-999</t>
  </si>
  <si>
    <t xml:space="preserve">PAS1354</t>
  </si>
  <si>
    <t xml:space="preserve">JOAQUIM PIRES</t>
  </si>
  <si>
    <t xml:space="preserve">64170-000</t>
  </si>
  <si>
    <t xml:space="preserve">64174-999</t>
  </si>
  <si>
    <t xml:space="preserve">PAS1355</t>
  </si>
  <si>
    <t xml:space="preserve">JOSE DE FREITAS</t>
  </si>
  <si>
    <t xml:space="preserve">64110-000</t>
  </si>
  <si>
    <t xml:space="preserve">64119-999</t>
  </si>
  <si>
    <t xml:space="preserve">PAS1356</t>
  </si>
  <si>
    <t xml:space="preserve">LAGOA ALEGRE</t>
  </si>
  <si>
    <t xml:space="preserve">64138-000</t>
  </si>
  <si>
    <t xml:space="preserve">64139-999</t>
  </si>
  <si>
    <t xml:space="preserve">PAS1357</t>
  </si>
  <si>
    <t xml:space="preserve">LAGOA DE SAO FRANCISCO</t>
  </si>
  <si>
    <t xml:space="preserve">64258-000</t>
  </si>
  <si>
    <t xml:space="preserve">64259-999</t>
  </si>
  <si>
    <t xml:space="preserve">PAS1358</t>
  </si>
  <si>
    <t xml:space="preserve">LAGOA DO PIAUI</t>
  </si>
  <si>
    <t xml:space="preserve">64388-000</t>
  </si>
  <si>
    <t xml:space="preserve">64389-999</t>
  </si>
  <si>
    <t xml:space="preserve">PAS1359</t>
  </si>
  <si>
    <t xml:space="preserve">LUIS CORREIA</t>
  </si>
  <si>
    <t xml:space="preserve">64220-000</t>
  </si>
  <si>
    <t xml:space="preserve">64221-999</t>
  </si>
  <si>
    <t xml:space="preserve">PAS1360</t>
  </si>
  <si>
    <t xml:space="preserve">LUZILANDIA</t>
  </si>
  <si>
    <t xml:space="preserve">64160-000</t>
  </si>
  <si>
    <t xml:space="preserve">64164-999</t>
  </si>
  <si>
    <t xml:space="preserve">PAS1361</t>
  </si>
  <si>
    <t xml:space="preserve">MADEIRO</t>
  </si>
  <si>
    <t xml:space="preserve">64168-000</t>
  </si>
  <si>
    <t xml:space="preserve">64169-999</t>
  </si>
  <si>
    <t xml:space="preserve">PAS1362</t>
  </si>
  <si>
    <t xml:space="preserve">MATIAS OLIMPIO</t>
  </si>
  <si>
    <t xml:space="preserve">64150-000</t>
  </si>
  <si>
    <t xml:space="preserve">64154-999</t>
  </si>
  <si>
    <t xml:space="preserve">PAS1363</t>
  </si>
  <si>
    <t xml:space="preserve">MIGUEL ALVES</t>
  </si>
  <si>
    <t xml:space="preserve">64130-000</t>
  </si>
  <si>
    <t xml:space="preserve">64137-999</t>
  </si>
  <si>
    <t xml:space="preserve">PAS1364</t>
  </si>
  <si>
    <t xml:space="preserve">MILTON BRANDAO</t>
  </si>
  <si>
    <t xml:space="preserve">64253-000</t>
  </si>
  <si>
    <t xml:space="preserve">64254-999</t>
  </si>
  <si>
    <t xml:space="preserve">PAS1365</t>
  </si>
  <si>
    <t xml:space="preserve">MONSENHOR GIL</t>
  </si>
  <si>
    <t xml:space="preserve">64450-000</t>
  </si>
  <si>
    <t xml:space="preserve">64452-999</t>
  </si>
  <si>
    <t xml:space="preserve">PAS1366</t>
  </si>
  <si>
    <t xml:space="preserve">MURICI DOS PORTELAS</t>
  </si>
  <si>
    <t xml:space="preserve">64175-000</t>
  </si>
  <si>
    <t xml:space="preserve">64177-999</t>
  </si>
  <si>
    <t xml:space="preserve">PAS1367</t>
  </si>
  <si>
    <t xml:space="preserve">NAZARE DO PIAUI</t>
  </si>
  <si>
    <t xml:space="preserve">64825-000</t>
  </si>
  <si>
    <t xml:space="preserve">64829-999</t>
  </si>
  <si>
    <t xml:space="preserve">PAS1368</t>
  </si>
  <si>
    <t xml:space="preserve">NOSSA SENHORA DOS REMEDIOS</t>
  </si>
  <si>
    <t xml:space="preserve">64140-000</t>
  </si>
  <si>
    <t xml:space="preserve">64144-999</t>
  </si>
  <si>
    <t xml:space="preserve">PAS1369</t>
  </si>
  <si>
    <t xml:space="preserve">NOVO SANTO ANTONIO</t>
  </si>
  <si>
    <t xml:space="preserve">64365-000</t>
  </si>
  <si>
    <t xml:space="preserve">64369-999</t>
  </si>
  <si>
    <t xml:space="preserve">PAS1370</t>
  </si>
  <si>
    <t xml:space="preserve">PALMEIRAIS</t>
  </si>
  <si>
    <t xml:space="preserve">64420-000</t>
  </si>
  <si>
    <t xml:space="preserve">64429-999</t>
  </si>
  <si>
    <t xml:space="preserve">PAS1371</t>
  </si>
  <si>
    <t xml:space="preserve">64200-001</t>
  </si>
  <si>
    <t xml:space="preserve">64219-999</t>
  </si>
  <si>
    <t xml:space="preserve">PAS1372</t>
  </si>
  <si>
    <t xml:space="preserve">PASSAGEM FRANCA DO PIAUI</t>
  </si>
  <si>
    <t xml:space="preserve">64395-000</t>
  </si>
  <si>
    <t xml:space="preserve">64399-999</t>
  </si>
  <si>
    <t xml:space="preserve">PAS1373</t>
  </si>
  <si>
    <t xml:space="preserve">64255-000</t>
  </si>
  <si>
    <t xml:space="preserve">64257-999</t>
  </si>
  <si>
    <t xml:space="preserve">PAS1374</t>
  </si>
  <si>
    <t xml:space="preserve">PIRACURUCA</t>
  </si>
  <si>
    <t xml:space="preserve">64240-000</t>
  </si>
  <si>
    <t xml:space="preserve">64242-999</t>
  </si>
  <si>
    <t xml:space="preserve">PAS1375</t>
  </si>
  <si>
    <t xml:space="preserve">64260-000</t>
  </si>
  <si>
    <t xml:space="preserve">64264-999</t>
  </si>
  <si>
    <t xml:space="preserve">PAS1376</t>
  </si>
  <si>
    <t xml:space="preserve">PORTO</t>
  </si>
  <si>
    <t xml:space="preserve">64145-000</t>
  </si>
  <si>
    <t xml:space="preserve">64147-999</t>
  </si>
  <si>
    <t xml:space="preserve">PAS1377</t>
  </si>
  <si>
    <t xml:space="preserve">PRATA DO PIAUI</t>
  </si>
  <si>
    <t xml:space="preserve">64370-000</t>
  </si>
  <si>
    <t xml:space="preserve">64374-999</t>
  </si>
  <si>
    <t xml:space="preserve">PAS1378</t>
  </si>
  <si>
    <t xml:space="preserve">REGENERACAO</t>
  </si>
  <si>
    <t xml:space="preserve">64490-000</t>
  </si>
  <si>
    <t xml:space="preserve">64494-999</t>
  </si>
  <si>
    <t xml:space="preserve">PAS1379</t>
  </si>
  <si>
    <t xml:space="preserve">SAO JOAO DA SERRA</t>
  </si>
  <si>
    <t xml:space="preserve">64350-000</t>
  </si>
  <si>
    <t xml:space="preserve">64359-999</t>
  </si>
  <si>
    <t xml:space="preserve">PAS1380</t>
  </si>
  <si>
    <t xml:space="preserve">SAO JOAO DO ARRAIAL</t>
  </si>
  <si>
    <t xml:space="preserve">64155-000</t>
  </si>
  <si>
    <t xml:space="preserve">64159-999</t>
  </si>
  <si>
    <t xml:space="preserve">PAS1381</t>
  </si>
  <si>
    <t xml:space="preserve">SAO JOSE DO DIVINO</t>
  </si>
  <si>
    <t xml:space="preserve">64245-000</t>
  </si>
  <si>
    <t xml:space="preserve">64249-999</t>
  </si>
  <si>
    <t xml:space="preserve">PAS1382</t>
  </si>
  <si>
    <t xml:space="preserve">SAO MIGUEL DO TAPUIO</t>
  </si>
  <si>
    <t xml:space="preserve">64330-000</t>
  </si>
  <si>
    <t xml:space="preserve">64332-999</t>
  </si>
  <si>
    <t xml:space="preserve">PAS1383</t>
  </si>
  <si>
    <t xml:space="preserve">SAO PEDRO DO PIAUI</t>
  </si>
  <si>
    <t xml:space="preserve">64430-000</t>
  </si>
  <si>
    <t xml:space="preserve">64434-999</t>
  </si>
  <si>
    <t xml:space="preserve">PAS1384</t>
  </si>
  <si>
    <t xml:space="preserve">SIGEFREDO PACHECO</t>
  </si>
  <si>
    <t xml:space="preserve">64285-000</t>
  </si>
  <si>
    <t xml:space="preserve">64287-999</t>
  </si>
  <si>
    <t xml:space="preserve">PAS1385</t>
  </si>
  <si>
    <t xml:space="preserve">UNIAO</t>
  </si>
  <si>
    <t xml:space="preserve">64120-000</t>
  </si>
  <si>
    <t xml:space="preserve">64125-999</t>
  </si>
  <si>
    <t xml:space="preserve">PAS1386</t>
  </si>
  <si>
    <t xml:space="preserve">VARZEA GRANDE</t>
  </si>
  <si>
    <t xml:space="preserve">64525-000</t>
  </si>
  <si>
    <t xml:space="preserve">64527-999</t>
  </si>
  <si>
    <t xml:space="preserve">PAS1387</t>
  </si>
  <si>
    <t xml:space="preserve">ACAUA</t>
  </si>
  <si>
    <t xml:space="preserve">64748-000</t>
  </si>
  <si>
    <t xml:space="preserve">64749-999</t>
  </si>
  <si>
    <t xml:space="preserve">PAS1388</t>
  </si>
  <si>
    <t xml:space="preserve">AGRICOLANDIA</t>
  </si>
  <si>
    <t xml:space="preserve">64440-000</t>
  </si>
  <si>
    <t xml:space="preserve">64444-999</t>
  </si>
  <si>
    <t xml:space="preserve">PAS1389</t>
  </si>
  <si>
    <t xml:space="preserve">64460-000</t>
  </si>
  <si>
    <t xml:space="preserve">64464-999</t>
  </si>
  <si>
    <t xml:space="preserve">PAS1390</t>
  </si>
  <si>
    <t xml:space="preserve">ALAGOINHA DO PIAUI</t>
  </si>
  <si>
    <t xml:space="preserve">64655-000</t>
  </si>
  <si>
    <t xml:space="preserve">64659-999</t>
  </si>
  <si>
    <t xml:space="preserve">PAS1391</t>
  </si>
  <si>
    <t xml:space="preserve">ALEGRETE DO PIAUI</t>
  </si>
  <si>
    <t xml:space="preserve">64675-000</t>
  </si>
  <si>
    <t xml:space="preserve">64677-999</t>
  </si>
  <si>
    <t xml:space="preserve">PAS1392</t>
  </si>
  <si>
    <t xml:space="preserve">ALVORADA DO GURGUEIA</t>
  </si>
  <si>
    <t xml:space="preserve">64923-000</t>
  </si>
  <si>
    <t xml:space="preserve">64924-999</t>
  </si>
  <si>
    <t xml:space="preserve">PAS1393</t>
  </si>
  <si>
    <t xml:space="preserve">ANISIO DE ABREU</t>
  </si>
  <si>
    <t xml:space="preserve">64780-000</t>
  </si>
  <si>
    <t xml:space="preserve">64781-999</t>
  </si>
  <si>
    <t xml:space="preserve">PAS1394</t>
  </si>
  <si>
    <t xml:space="preserve">ANTONIO ALMEIDA</t>
  </si>
  <si>
    <t xml:space="preserve">64855-000</t>
  </si>
  <si>
    <t xml:space="preserve">64857-999</t>
  </si>
  <si>
    <t xml:space="preserve">PAS1395</t>
  </si>
  <si>
    <t xml:space="preserve">AROAZES</t>
  </si>
  <si>
    <t xml:space="preserve">64310-000</t>
  </si>
  <si>
    <t xml:space="preserve">64314-999</t>
  </si>
  <si>
    <t xml:space="preserve">PAS1396</t>
  </si>
  <si>
    <t xml:space="preserve">AROEIRAS DO ITAIM</t>
  </si>
  <si>
    <t xml:space="preserve">64612-000</t>
  </si>
  <si>
    <t xml:space="preserve">64612-999</t>
  </si>
  <si>
    <t xml:space="preserve">PAS1397</t>
  </si>
  <si>
    <t xml:space="preserve">ARRAIAL</t>
  </si>
  <si>
    <t xml:space="preserve">64480-000</t>
  </si>
  <si>
    <t xml:space="preserve">64489-999</t>
  </si>
  <si>
    <t xml:space="preserve">PAS1398</t>
  </si>
  <si>
    <t xml:space="preserve">ASSUNCAO DO PIAUI</t>
  </si>
  <si>
    <t xml:space="preserve">64333-000</t>
  </si>
  <si>
    <t xml:space="preserve">64334-999</t>
  </si>
  <si>
    <t xml:space="preserve">PAS1399</t>
  </si>
  <si>
    <t xml:space="preserve">AVELINO LOPES</t>
  </si>
  <si>
    <t xml:space="preserve">64965-000</t>
  </si>
  <si>
    <t xml:space="preserve">64967-999</t>
  </si>
  <si>
    <t xml:space="preserve">PAS1400</t>
  </si>
  <si>
    <t xml:space="preserve">64868-000</t>
  </si>
  <si>
    <t xml:space="preserve">64869-999</t>
  </si>
  <si>
    <t xml:space="preserve">PAS1401</t>
  </si>
  <si>
    <t xml:space="preserve">BARRA D ALCANTARA</t>
  </si>
  <si>
    <t xml:space="preserve">64528-000</t>
  </si>
  <si>
    <t xml:space="preserve">64529-999</t>
  </si>
  <si>
    <t xml:space="preserve">PAS1402</t>
  </si>
  <si>
    <t xml:space="preserve">BARREIRAS DO PIAUI</t>
  </si>
  <si>
    <t xml:space="preserve">64990-000</t>
  </si>
  <si>
    <t xml:space="preserve">64992-999</t>
  </si>
  <si>
    <t xml:space="preserve">PAS1403</t>
  </si>
  <si>
    <t xml:space="preserve">64190-000</t>
  </si>
  <si>
    <t xml:space="preserve">64199-999</t>
  </si>
  <si>
    <t xml:space="preserve">PAS1404</t>
  </si>
  <si>
    <t xml:space="preserve">BELA VISTA DO PIAUI</t>
  </si>
  <si>
    <t xml:space="preserve">64705-000</t>
  </si>
  <si>
    <t xml:space="preserve">64709-999</t>
  </si>
  <si>
    <t xml:space="preserve">PAS1405</t>
  </si>
  <si>
    <t xml:space="preserve">BELEM DO PIAUI</t>
  </si>
  <si>
    <t xml:space="preserve">64678-000</t>
  </si>
  <si>
    <t xml:space="preserve">64679-999</t>
  </si>
  <si>
    <t xml:space="preserve">PAS1406</t>
  </si>
  <si>
    <t xml:space="preserve">BERTOLINIA</t>
  </si>
  <si>
    <t xml:space="preserve">64870-000</t>
  </si>
  <si>
    <t xml:space="preserve">64872-999</t>
  </si>
  <si>
    <t xml:space="preserve">PAS1407</t>
  </si>
  <si>
    <t xml:space="preserve">BETANIA DO PIAUI</t>
  </si>
  <si>
    <t xml:space="preserve">64753-000</t>
  </si>
  <si>
    <t xml:space="preserve">64754-999</t>
  </si>
  <si>
    <t xml:space="preserve">PAS1408</t>
  </si>
  <si>
    <t xml:space="preserve">BOCAINA</t>
  </si>
  <si>
    <t xml:space="preserve">64630-000</t>
  </si>
  <si>
    <t xml:space="preserve">64634-999</t>
  </si>
  <si>
    <t xml:space="preserve">PAS1409</t>
  </si>
  <si>
    <t xml:space="preserve">64900-000</t>
  </si>
  <si>
    <t xml:space="preserve">64904-999</t>
  </si>
  <si>
    <t xml:space="preserve">PAS1410</t>
  </si>
  <si>
    <t xml:space="preserve">BOM PRINCIPIO DO PIAUI</t>
  </si>
  <si>
    <t xml:space="preserve">64225-000</t>
  </si>
  <si>
    <t xml:space="preserve">64227-999</t>
  </si>
  <si>
    <t xml:space="preserve">PAS1411</t>
  </si>
  <si>
    <t xml:space="preserve">BOQUEIRAO DO PIAUI</t>
  </si>
  <si>
    <t xml:space="preserve">64283-000</t>
  </si>
  <si>
    <t xml:space="preserve">64284-999</t>
  </si>
  <si>
    <t xml:space="preserve">PAS1412</t>
  </si>
  <si>
    <t xml:space="preserve">BREJO DO PIAUI</t>
  </si>
  <si>
    <t xml:space="preserve">64895-000</t>
  </si>
  <si>
    <t xml:space="preserve">64897-999</t>
  </si>
  <si>
    <t xml:space="preserve">PAS1413</t>
  </si>
  <si>
    <t xml:space="preserve">BURITI DOS MONTES</t>
  </si>
  <si>
    <t xml:space="preserve">64345-000</t>
  </si>
  <si>
    <t xml:space="preserve">64349-999</t>
  </si>
  <si>
    <t xml:space="preserve">PAS1414</t>
  </si>
  <si>
    <t xml:space="preserve">CAJAZEIRAS DO PIAUI</t>
  </si>
  <si>
    <t xml:space="preserve">64514-000</t>
  </si>
  <si>
    <t xml:space="preserve">64515-999</t>
  </si>
  <si>
    <t xml:space="preserve">PAS1415</t>
  </si>
  <si>
    <t xml:space="preserve">CAJUEIRO DA PRAIA</t>
  </si>
  <si>
    <t xml:space="preserve">64222-000</t>
  </si>
  <si>
    <t xml:space="preserve">64223-999</t>
  </si>
  <si>
    <t xml:space="preserve">PAS1416</t>
  </si>
  <si>
    <t xml:space="preserve">CALDEIRAO GRANDE DO PIAUI</t>
  </si>
  <si>
    <t xml:space="preserve">64695-000</t>
  </si>
  <si>
    <t xml:space="preserve">64699-999</t>
  </si>
  <si>
    <t xml:space="preserve">PAS1417</t>
  </si>
  <si>
    <t xml:space="preserve">CAMPINAS DO PIAUI</t>
  </si>
  <si>
    <t xml:space="preserve">64730-000</t>
  </si>
  <si>
    <t xml:space="preserve">64739-999</t>
  </si>
  <si>
    <t xml:space="preserve">PAS1418</t>
  </si>
  <si>
    <t xml:space="preserve">CAMPO ALEGRE DO FIDALGO</t>
  </si>
  <si>
    <t xml:space="preserve">64767-000</t>
  </si>
  <si>
    <t xml:space="preserve">64767-999</t>
  </si>
  <si>
    <t xml:space="preserve">PAS1419</t>
  </si>
  <si>
    <t xml:space="preserve">CAMPO GRANDE DO PIAUI</t>
  </si>
  <si>
    <t xml:space="preserve">64578-000</t>
  </si>
  <si>
    <t xml:space="preserve">64579-999</t>
  </si>
  <si>
    <t xml:space="preserve">PAS1420</t>
  </si>
  <si>
    <t xml:space="preserve">CANAVIEIRA</t>
  </si>
  <si>
    <t xml:space="preserve">64833-000</t>
  </si>
  <si>
    <t xml:space="preserve">64834-999</t>
  </si>
  <si>
    <t xml:space="preserve">PAS1421</t>
  </si>
  <si>
    <t xml:space="preserve">CANTO DO BURITI</t>
  </si>
  <si>
    <t xml:space="preserve">64890-000</t>
  </si>
  <si>
    <t xml:space="preserve">64892-999</t>
  </si>
  <si>
    <t xml:space="preserve">PAS1422</t>
  </si>
  <si>
    <t xml:space="preserve">CARACOL</t>
  </si>
  <si>
    <t xml:space="preserve">64795-000</t>
  </si>
  <si>
    <t xml:space="preserve">64797-999</t>
  </si>
  <si>
    <t xml:space="preserve">PAS1423</t>
  </si>
  <si>
    <t xml:space="preserve">CARIDADE DO PIAUI</t>
  </si>
  <si>
    <t xml:space="preserve">64590-000</t>
  </si>
  <si>
    <t xml:space="preserve">64594-999</t>
  </si>
  <si>
    <t xml:space="preserve">PAS1424</t>
  </si>
  <si>
    <t xml:space="preserve">COCAL DE TELHA</t>
  </si>
  <si>
    <t xml:space="preserve">64278-000</t>
  </si>
  <si>
    <t xml:space="preserve">64279-999</t>
  </si>
  <si>
    <t xml:space="preserve">PAS1425</t>
  </si>
  <si>
    <t xml:space="preserve">COCAL DOS ALVES</t>
  </si>
  <si>
    <t xml:space="preserve">64238-000</t>
  </si>
  <si>
    <t xml:space="preserve">64239-999</t>
  </si>
  <si>
    <t xml:space="preserve">PAS1426</t>
  </si>
  <si>
    <t xml:space="preserve">COIVARAS</t>
  </si>
  <si>
    <t xml:space="preserve">64335-000</t>
  </si>
  <si>
    <t xml:space="preserve">64339-999</t>
  </si>
  <si>
    <t xml:space="preserve">PAS1427</t>
  </si>
  <si>
    <t xml:space="preserve">COLONIA DO GURGUEIA</t>
  </si>
  <si>
    <t xml:space="preserve">64885-000</t>
  </si>
  <si>
    <t xml:space="preserve">64889-999</t>
  </si>
  <si>
    <t xml:space="preserve">PAS1428</t>
  </si>
  <si>
    <t xml:space="preserve">COLONIA DO PIAUI</t>
  </si>
  <si>
    <t xml:space="preserve">64516-000</t>
  </si>
  <si>
    <t xml:space="preserve">64517-999</t>
  </si>
  <si>
    <t xml:space="preserve">PAS1429</t>
  </si>
  <si>
    <t xml:space="preserve">CONCEICAO DO CANINDE</t>
  </si>
  <si>
    <t xml:space="preserve">64740-000</t>
  </si>
  <si>
    <t xml:space="preserve">64744-999</t>
  </si>
  <si>
    <t xml:space="preserve">PAS1430</t>
  </si>
  <si>
    <t xml:space="preserve">CORONEL JOSE DIAS</t>
  </si>
  <si>
    <t xml:space="preserve">64793-000</t>
  </si>
  <si>
    <t xml:space="preserve">64794-999</t>
  </si>
  <si>
    <t xml:space="preserve">PAS1431</t>
  </si>
  <si>
    <t xml:space="preserve">CORRENTE</t>
  </si>
  <si>
    <t xml:space="preserve">64980-000</t>
  </si>
  <si>
    <t xml:space="preserve">64984-999</t>
  </si>
  <si>
    <t xml:space="preserve">PAS1432</t>
  </si>
  <si>
    <t xml:space="preserve">CRISTALANDIA DO PIAUI</t>
  </si>
  <si>
    <t xml:space="preserve">64995-000</t>
  </si>
  <si>
    <t xml:space="preserve">64999-999</t>
  </si>
  <si>
    <t xml:space="preserve">PAS1433</t>
  </si>
  <si>
    <t xml:space="preserve">CRISTINO CASTRO</t>
  </si>
  <si>
    <t xml:space="preserve">64920-000</t>
  </si>
  <si>
    <t xml:space="preserve">64922-999</t>
  </si>
  <si>
    <t xml:space="preserve">PAS1434</t>
  </si>
  <si>
    <t xml:space="preserve">CURIMATA</t>
  </si>
  <si>
    <t xml:space="preserve">64960-000</t>
  </si>
  <si>
    <t xml:space="preserve">64962-999</t>
  </si>
  <si>
    <t xml:space="preserve">PAS1435</t>
  </si>
  <si>
    <t xml:space="preserve">CURRAIS</t>
  </si>
  <si>
    <t xml:space="preserve">64905-000</t>
  </si>
  <si>
    <t xml:space="preserve">64909-999</t>
  </si>
  <si>
    <t xml:space="preserve">PAS1436</t>
  </si>
  <si>
    <t xml:space="preserve">CURRAL NOVO DO PIAUI</t>
  </si>
  <si>
    <t xml:space="preserve">64595-000</t>
  </si>
  <si>
    <t xml:space="preserve">64599-999</t>
  </si>
  <si>
    <t xml:space="preserve">PAS1437</t>
  </si>
  <si>
    <t xml:space="preserve">CURRALINHOS</t>
  </si>
  <si>
    <t xml:space="preserve">64453-000</t>
  </si>
  <si>
    <t xml:space="preserve">64454-999</t>
  </si>
  <si>
    <t xml:space="preserve">PAS1438</t>
  </si>
  <si>
    <t xml:space="preserve">DIRCEU ARCOVERDE</t>
  </si>
  <si>
    <t xml:space="preserve">64785-000</t>
  </si>
  <si>
    <t xml:space="preserve">64787-999</t>
  </si>
  <si>
    <t xml:space="preserve">PAS1439</t>
  </si>
  <si>
    <t xml:space="preserve">DOM EXPEDITO LOPES</t>
  </si>
  <si>
    <t xml:space="preserve">64620-000</t>
  </si>
  <si>
    <t xml:space="preserve">64624-999</t>
  </si>
  <si>
    <t xml:space="preserve">PAS1440</t>
  </si>
  <si>
    <t xml:space="preserve">DOM INOCENCIO</t>
  </si>
  <si>
    <t xml:space="preserve">64790-000</t>
  </si>
  <si>
    <t xml:space="preserve">64792-999</t>
  </si>
  <si>
    <t xml:space="preserve">PAS1441</t>
  </si>
  <si>
    <t xml:space="preserve">DOMINGOS MOURAO</t>
  </si>
  <si>
    <t xml:space="preserve">64250-000</t>
  </si>
  <si>
    <t xml:space="preserve">64252-999</t>
  </si>
  <si>
    <t xml:space="preserve">PAS1442</t>
  </si>
  <si>
    <t xml:space="preserve">ELESBAO VELOSO</t>
  </si>
  <si>
    <t xml:space="preserve">64325-000</t>
  </si>
  <si>
    <t xml:space="preserve">64329-999</t>
  </si>
  <si>
    <t xml:space="preserve">PAS1443</t>
  </si>
  <si>
    <t xml:space="preserve">ELISEU MARTINS</t>
  </si>
  <si>
    <t xml:space="preserve">64880-000</t>
  </si>
  <si>
    <t xml:space="preserve">64884-999</t>
  </si>
  <si>
    <t xml:space="preserve">PAS1444</t>
  </si>
  <si>
    <t xml:space="preserve">FARTURA DO PIAUI</t>
  </si>
  <si>
    <t xml:space="preserve">64788-000</t>
  </si>
  <si>
    <t xml:space="preserve">64789-999</t>
  </si>
  <si>
    <t xml:space="preserve">PAS1445</t>
  </si>
  <si>
    <t xml:space="preserve">FLORES DO PIAUI</t>
  </si>
  <si>
    <t xml:space="preserve">64815-000</t>
  </si>
  <si>
    <t xml:space="preserve">64819-999</t>
  </si>
  <si>
    <t xml:space="preserve">PAS1446</t>
  </si>
  <si>
    <t xml:space="preserve">FLORESTA DO PIAUI</t>
  </si>
  <si>
    <t xml:space="preserve">64563-000</t>
  </si>
  <si>
    <t xml:space="preserve">64564-999</t>
  </si>
  <si>
    <t xml:space="preserve">PAS1447</t>
  </si>
  <si>
    <t xml:space="preserve">64800-001</t>
  </si>
  <si>
    <t xml:space="preserve">64814-999</t>
  </si>
  <si>
    <t xml:space="preserve">PAS1448</t>
  </si>
  <si>
    <t xml:space="preserve">FRANCINOPOLIS</t>
  </si>
  <si>
    <t xml:space="preserve">64520-000</t>
  </si>
  <si>
    <t xml:space="preserve">64524-999</t>
  </si>
  <si>
    <t xml:space="preserve">PAS1449</t>
  </si>
  <si>
    <t xml:space="preserve">FRANCISCO AYRES</t>
  </si>
  <si>
    <t xml:space="preserve">64475-000</t>
  </si>
  <si>
    <t xml:space="preserve">64479-999</t>
  </si>
  <si>
    <t xml:space="preserve">PAS1450</t>
  </si>
  <si>
    <t xml:space="preserve">FRANCISCO MACEDO</t>
  </si>
  <si>
    <t xml:space="preserve">64683-000</t>
  </si>
  <si>
    <t xml:space="preserve">64684-999</t>
  </si>
  <si>
    <t xml:space="preserve">PAS1451</t>
  </si>
  <si>
    <t xml:space="preserve">FRANCISCO SANTOS</t>
  </si>
  <si>
    <t xml:space="preserve">64645-000</t>
  </si>
  <si>
    <t xml:space="preserve">64649-999</t>
  </si>
  <si>
    <t xml:space="preserve">PAS1452</t>
  </si>
  <si>
    <t xml:space="preserve">FRONTEIRAS</t>
  </si>
  <si>
    <t xml:space="preserve">64690-000</t>
  </si>
  <si>
    <t xml:space="preserve">64694-999</t>
  </si>
  <si>
    <t xml:space="preserve">PAS1453</t>
  </si>
  <si>
    <t xml:space="preserve">GEMINIANO</t>
  </si>
  <si>
    <t xml:space="preserve">64613-000</t>
  </si>
  <si>
    <t xml:space="preserve">64614-999</t>
  </si>
  <si>
    <t xml:space="preserve">PAS1454</t>
  </si>
  <si>
    <t xml:space="preserve">GILBUES</t>
  </si>
  <si>
    <t xml:space="preserve">64930-000</t>
  </si>
  <si>
    <t xml:space="preserve">64939-999</t>
  </si>
  <si>
    <t xml:space="preserve">PAS1455</t>
  </si>
  <si>
    <t xml:space="preserve">GUADALUPE</t>
  </si>
  <si>
    <t xml:space="preserve">64840-000</t>
  </si>
  <si>
    <t xml:space="preserve">64844-999</t>
  </si>
  <si>
    <t xml:space="preserve">PAS1456</t>
  </si>
  <si>
    <t xml:space="preserve">GUARIBAS</t>
  </si>
  <si>
    <t xml:space="preserve">64798-000</t>
  </si>
  <si>
    <t xml:space="preserve">64799-999</t>
  </si>
  <si>
    <t xml:space="preserve">PAS1457</t>
  </si>
  <si>
    <t xml:space="preserve">HUGO NAPOLEAO</t>
  </si>
  <si>
    <t xml:space="preserve">64470-000</t>
  </si>
  <si>
    <t xml:space="preserve">64474-999</t>
  </si>
  <si>
    <t xml:space="preserve">PAS1458</t>
  </si>
  <si>
    <t xml:space="preserve">INHUMA</t>
  </si>
  <si>
    <t xml:space="preserve">64535-000</t>
  </si>
  <si>
    <t xml:space="preserve">64539-999</t>
  </si>
  <si>
    <t xml:space="preserve">PAS1459</t>
  </si>
  <si>
    <t xml:space="preserve">IPIRANGA DO PIAUI</t>
  </si>
  <si>
    <t xml:space="preserve">64540-000</t>
  </si>
  <si>
    <t xml:space="preserve">64544-999</t>
  </si>
  <si>
    <t xml:space="preserve">PAS1460</t>
  </si>
  <si>
    <t xml:space="preserve">ISAIAS COELHO</t>
  </si>
  <si>
    <t xml:space="preserve">64570-000</t>
  </si>
  <si>
    <t xml:space="preserve">64572-999</t>
  </si>
  <si>
    <t xml:space="preserve">PAS1461</t>
  </si>
  <si>
    <t xml:space="preserve">ITAINOPOLIS</t>
  </si>
  <si>
    <t xml:space="preserve">64565-000</t>
  </si>
  <si>
    <t xml:space="preserve">64567-999</t>
  </si>
  <si>
    <t xml:space="preserve">PAS1462</t>
  </si>
  <si>
    <t xml:space="preserve">ITAUEIRA</t>
  </si>
  <si>
    <t xml:space="preserve">64820-000</t>
  </si>
  <si>
    <t xml:space="preserve">64824-999</t>
  </si>
  <si>
    <t xml:space="preserve">PAS1463</t>
  </si>
  <si>
    <t xml:space="preserve">JACOBINA DO PIAUI</t>
  </si>
  <si>
    <t xml:space="preserve">64755-000</t>
  </si>
  <si>
    <t xml:space="preserve">64757-999</t>
  </si>
  <si>
    <t xml:space="preserve">PAS1464</t>
  </si>
  <si>
    <t xml:space="preserve">JAICOS</t>
  </si>
  <si>
    <t xml:space="preserve">64575-000</t>
  </si>
  <si>
    <t xml:space="preserve">64577-999</t>
  </si>
  <si>
    <t xml:space="preserve">PAS1465</t>
  </si>
  <si>
    <t xml:space="preserve">JARDIM DO MULATO</t>
  </si>
  <si>
    <t xml:space="preserve">64495-000</t>
  </si>
  <si>
    <t xml:space="preserve">64499-999</t>
  </si>
  <si>
    <t xml:space="preserve">PAS1466</t>
  </si>
  <si>
    <t xml:space="preserve">JERUMENHA</t>
  </si>
  <si>
    <t xml:space="preserve">64830-000</t>
  </si>
  <si>
    <t xml:space="preserve">64832-999</t>
  </si>
  <si>
    <t xml:space="preserve">PAS1467</t>
  </si>
  <si>
    <t xml:space="preserve">JOAO COSTA</t>
  </si>
  <si>
    <t xml:space="preserve">64765-000</t>
  </si>
  <si>
    <t xml:space="preserve">64766-999</t>
  </si>
  <si>
    <t xml:space="preserve">PAS1468</t>
  </si>
  <si>
    <t xml:space="preserve">JOCA MARQUES</t>
  </si>
  <si>
    <t xml:space="preserve">64165-000</t>
  </si>
  <si>
    <t xml:space="preserve">64167-999</t>
  </si>
  <si>
    <t xml:space="preserve">PAS1469</t>
  </si>
  <si>
    <t xml:space="preserve">JUAZEIRO DO PIAUI</t>
  </si>
  <si>
    <t xml:space="preserve">64343-000</t>
  </si>
  <si>
    <t xml:space="preserve">64344-999</t>
  </si>
  <si>
    <t xml:space="preserve">PAS1470</t>
  </si>
  <si>
    <t xml:space="preserve">JULIO BORGES</t>
  </si>
  <si>
    <t xml:space="preserve">64963-000</t>
  </si>
  <si>
    <t xml:space="preserve">64964-999</t>
  </si>
  <si>
    <t xml:space="preserve">PAS1471</t>
  </si>
  <si>
    <t xml:space="preserve">64782-000</t>
  </si>
  <si>
    <t xml:space="preserve">64782-999</t>
  </si>
  <si>
    <t xml:space="preserve">PAS1472</t>
  </si>
  <si>
    <t xml:space="preserve">LAGOA DO BARRO DO PIAUI</t>
  </si>
  <si>
    <t xml:space="preserve">64768-000</t>
  </si>
  <si>
    <t xml:space="preserve">64769-999</t>
  </si>
  <si>
    <t xml:space="preserve">PAS1473</t>
  </si>
  <si>
    <t xml:space="preserve">LAGOA DO SITIO</t>
  </si>
  <si>
    <t xml:space="preserve">64308-000</t>
  </si>
  <si>
    <t xml:space="preserve">64309-999</t>
  </si>
  <si>
    <t xml:space="preserve">PAS1474</t>
  </si>
  <si>
    <t xml:space="preserve">LAGOINHA DO PIAUI</t>
  </si>
  <si>
    <t xml:space="preserve">64465-000</t>
  </si>
  <si>
    <t xml:space="preserve">64467-999</t>
  </si>
  <si>
    <t xml:space="preserve">PAS1475</t>
  </si>
  <si>
    <t xml:space="preserve">LANDRI SALES</t>
  </si>
  <si>
    <t xml:space="preserve">64850-000</t>
  </si>
  <si>
    <t xml:space="preserve">64854-999</t>
  </si>
  <si>
    <t xml:space="preserve">PAS1476</t>
  </si>
  <si>
    <t xml:space="preserve">MANOEL EMIDIO</t>
  </si>
  <si>
    <t xml:space="preserve">64875-000</t>
  </si>
  <si>
    <t xml:space="preserve">64879-999</t>
  </si>
  <si>
    <t xml:space="preserve">PAS1477</t>
  </si>
  <si>
    <t xml:space="preserve">MARCOLANDIA</t>
  </si>
  <si>
    <t xml:space="preserve">64685-000</t>
  </si>
  <si>
    <t xml:space="preserve">64687-999</t>
  </si>
  <si>
    <t xml:space="preserve">PAS1478</t>
  </si>
  <si>
    <t xml:space="preserve">MARCOS PARENTE</t>
  </si>
  <si>
    <t xml:space="preserve">64845-000</t>
  </si>
  <si>
    <t xml:space="preserve">64849-999</t>
  </si>
  <si>
    <t xml:space="preserve">PAS1479</t>
  </si>
  <si>
    <t xml:space="preserve">MASSAPE DO PIAUI</t>
  </si>
  <si>
    <t xml:space="preserve">64573-000</t>
  </si>
  <si>
    <t xml:space="preserve">64574-999</t>
  </si>
  <si>
    <t xml:space="preserve">PAS1480</t>
  </si>
  <si>
    <t xml:space="preserve">MIGUEL LEAO</t>
  </si>
  <si>
    <t xml:space="preserve">64445-000</t>
  </si>
  <si>
    <t xml:space="preserve">64449-999</t>
  </si>
  <si>
    <t xml:space="preserve">PAS1481</t>
  </si>
  <si>
    <t xml:space="preserve">MONSENHOR HIPOLITO</t>
  </si>
  <si>
    <t xml:space="preserve">64650-000</t>
  </si>
  <si>
    <t xml:space="preserve">64654-999</t>
  </si>
  <si>
    <t xml:space="preserve">PAS1482</t>
  </si>
  <si>
    <t xml:space="preserve">MONTE ALEGRE DO PIAUI</t>
  </si>
  <si>
    <t xml:space="preserve">64940-000</t>
  </si>
  <si>
    <t xml:space="preserve">64944-999</t>
  </si>
  <si>
    <t xml:space="preserve">PAS1483</t>
  </si>
  <si>
    <t xml:space="preserve">MORRO CABECA NO TEMPO</t>
  </si>
  <si>
    <t xml:space="preserve">64968-000</t>
  </si>
  <si>
    <t xml:space="preserve">64969-999</t>
  </si>
  <si>
    <t xml:space="preserve">PAS1484</t>
  </si>
  <si>
    <t xml:space="preserve">MORRO DO CHAPEU DO PIAUI</t>
  </si>
  <si>
    <t xml:space="preserve">64178-000</t>
  </si>
  <si>
    <t xml:space="preserve">64179-999</t>
  </si>
  <si>
    <t xml:space="preserve">PAS1485</t>
  </si>
  <si>
    <t xml:space="preserve">NAZARIA</t>
  </si>
  <si>
    <t xml:space="preserve">64415-000</t>
  </si>
  <si>
    <t xml:space="preserve">64419-999</t>
  </si>
  <si>
    <t xml:space="preserve">PAS1486</t>
  </si>
  <si>
    <t xml:space="preserve">NOSSA SENHORA DE NAZARE</t>
  </si>
  <si>
    <t xml:space="preserve">64288-000</t>
  </si>
  <si>
    <t xml:space="preserve">64289-999</t>
  </si>
  <si>
    <t xml:space="preserve">PAS1487</t>
  </si>
  <si>
    <t xml:space="preserve">NOVA SANTA RITA</t>
  </si>
  <si>
    <t xml:space="preserve">64764-000</t>
  </si>
  <si>
    <t xml:space="preserve">64764-999</t>
  </si>
  <si>
    <t xml:space="preserve">PAS1488</t>
  </si>
  <si>
    <t xml:space="preserve">NOVO ORIENTE DO PIAUI</t>
  </si>
  <si>
    <t xml:space="preserve">64530-000</t>
  </si>
  <si>
    <t xml:space="preserve">64534-999</t>
  </si>
  <si>
    <t xml:space="preserve">PAS1489</t>
  </si>
  <si>
    <t xml:space="preserve">OEIRAS</t>
  </si>
  <si>
    <t xml:space="preserve">64500-000</t>
  </si>
  <si>
    <t xml:space="preserve">64509-999</t>
  </si>
  <si>
    <t xml:space="preserve">PAS1490</t>
  </si>
  <si>
    <t xml:space="preserve">OLHO D AGUA DO PIAUI</t>
  </si>
  <si>
    <t xml:space="preserve">57470-000</t>
  </si>
  <si>
    <t xml:space="preserve">57474-999</t>
  </si>
  <si>
    <t xml:space="preserve">PAS1491</t>
  </si>
  <si>
    <t xml:space="preserve">PADRE MARCOS</t>
  </si>
  <si>
    <t xml:space="preserve">64680-000</t>
  </si>
  <si>
    <t xml:space="preserve">64682-999</t>
  </si>
  <si>
    <t xml:space="preserve">PAS1492</t>
  </si>
  <si>
    <t xml:space="preserve">PAES LANDIM</t>
  </si>
  <si>
    <t xml:space="preserve">64710-000</t>
  </si>
  <si>
    <t xml:space="preserve">64719-999</t>
  </si>
  <si>
    <t xml:space="preserve">PAS1493</t>
  </si>
  <si>
    <t xml:space="preserve">PAJEU DO PIAUI</t>
  </si>
  <si>
    <t xml:space="preserve">64898-000</t>
  </si>
  <si>
    <t xml:space="preserve">64899-999</t>
  </si>
  <si>
    <t xml:space="preserve">PAS1494</t>
  </si>
  <si>
    <t xml:space="preserve">PALMEIRA DO PIAUI</t>
  </si>
  <si>
    <t xml:space="preserve">64925-000</t>
  </si>
  <si>
    <t xml:space="preserve">64929-999</t>
  </si>
  <si>
    <t xml:space="preserve">PAS1495</t>
  </si>
  <si>
    <t xml:space="preserve">PAQUETA</t>
  </si>
  <si>
    <t xml:space="preserve">64618-000</t>
  </si>
  <si>
    <t xml:space="preserve">64619-999</t>
  </si>
  <si>
    <t xml:space="preserve">PAS1496</t>
  </si>
  <si>
    <t xml:space="preserve">PARNAGUA</t>
  </si>
  <si>
    <t xml:space="preserve">64970-000</t>
  </si>
  <si>
    <t xml:space="preserve">64974-999</t>
  </si>
  <si>
    <t xml:space="preserve">PAS1497</t>
  </si>
  <si>
    <t xml:space="preserve">PATOS DO PIAUI</t>
  </si>
  <si>
    <t xml:space="preserve">64580-000</t>
  </si>
  <si>
    <t xml:space="preserve">64584-999</t>
  </si>
  <si>
    <t xml:space="preserve">PAS1498</t>
  </si>
  <si>
    <t xml:space="preserve">PAU D ARCO DO PIAUI</t>
  </si>
  <si>
    <t xml:space="preserve">64295-000</t>
  </si>
  <si>
    <t xml:space="preserve">64299-999</t>
  </si>
  <si>
    <t xml:space="preserve">PAS1499</t>
  </si>
  <si>
    <t xml:space="preserve">PAULISTANA</t>
  </si>
  <si>
    <t xml:space="preserve">64750-000</t>
  </si>
  <si>
    <t xml:space="preserve">64752-999</t>
  </si>
  <si>
    <t xml:space="preserve">PAS1500</t>
  </si>
  <si>
    <t xml:space="preserve">PAVUSSU</t>
  </si>
  <si>
    <t xml:space="preserve">64838-000</t>
  </si>
  <si>
    <t xml:space="preserve">64839-999</t>
  </si>
  <si>
    <t xml:space="preserve">PAS1501</t>
  </si>
  <si>
    <t xml:space="preserve">PEDRO LAURENTINO</t>
  </si>
  <si>
    <t xml:space="preserve">64728-000</t>
  </si>
  <si>
    <t xml:space="preserve">64729-999</t>
  </si>
  <si>
    <t xml:space="preserve">PAS1502</t>
  </si>
  <si>
    <t xml:space="preserve">64600-001</t>
  </si>
  <si>
    <t xml:space="preserve">64609-999</t>
  </si>
  <si>
    <t xml:space="preserve">PAS1503</t>
  </si>
  <si>
    <t xml:space="preserve">PIMENTEIRAS</t>
  </si>
  <si>
    <t xml:space="preserve">64320-000</t>
  </si>
  <si>
    <t xml:space="preserve">64324-999</t>
  </si>
  <si>
    <t xml:space="preserve">PAS1504</t>
  </si>
  <si>
    <t xml:space="preserve">PIO IX</t>
  </si>
  <si>
    <t xml:space="preserve">64660-000</t>
  </si>
  <si>
    <t xml:space="preserve">64669-999</t>
  </si>
  <si>
    <t xml:space="preserve">PAS1505</t>
  </si>
  <si>
    <t xml:space="preserve">PORTO ALEGRE DO PIAUI</t>
  </si>
  <si>
    <t xml:space="preserve">64858-000</t>
  </si>
  <si>
    <t xml:space="preserve">64859-999</t>
  </si>
  <si>
    <t xml:space="preserve">PAS1506</t>
  </si>
  <si>
    <t xml:space="preserve">QUEIMADA NOVA</t>
  </si>
  <si>
    <t xml:space="preserve">64758-000</t>
  </si>
  <si>
    <t xml:space="preserve">64759-999</t>
  </si>
  <si>
    <t xml:space="preserve">PAS1507</t>
  </si>
  <si>
    <t xml:space="preserve">REDENCAO DO GURGUEIA</t>
  </si>
  <si>
    <t xml:space="preserve">64915-000</t>
  </si>
  <si>
    <t xml:space="preserve">64919-999</t>
  </si>
  <si>
    <t xml:space="preserve">PAS1508</t>
  </si>
  <si>
    <t xml:space="preserve">RIACHO FRIO</t>
  </si>
  <si>
    <t xml:space="preserve">64975-000</t>
  </si>
  <si>
    <t xml:space="preserve">64979-999</t>
  </si>
  <si>
    <t xml:space="preserve">PAS1509</t>
  </si>
  <si>
    <t xml:space="preserve">RIBEIRA DO PIAUI</t>
  </si>
  <si>
    <t xml:space="preserve">64725-000</t>
  </si>
  <si>
    <t xml:space="preserve">64727-999</t>
  </si>
  <si>
    <t xml:space="preserve">PAS1510</t>
  </si>
  <si>
    <t xml:space="preserve">RIBEIRO GONCALVES</t>
  </si>
  <si>
    <t xml:space="preserve">64865-000</t>
  </si>
  <si>
    <t xml:space="preserve">64867-999</t>
  </si>
  <si>
    <t xml:space="preserve">PAS1511</t>
  </si>
  <si>
    <t xml:space="preserve">RIO GRANDE DO PIAUI</t>
  </si>
  <si>
    <t xml:space="preserve">64835-000</t>
  </si>
  <si>
    <t xml:space="preserve">64837-999</t>
  </si>
  <si>
    <t xml:space="preserve">PAS1512</t>
  </si>
  <si>
    <t xml:space="preserve">SANTA CRUZ DO PIAUI</t>
  </si>
  <si>
    <t xml:space="preserve">64545-000</t>
  </si>
  <si>
    <t xml:space="preserve">64547-999</t>
  </si>
  <si>
    <t xml:space="preserve">PAS1513</t>
  </si>
  <si>
    <t xml:space="preserve">SANTA CRUZ DOS MILAGRES</t>
  </si>
  <si>
    <t xml:space="preserve">64315-000</t>
  </si>
  <si>
    <t xml:space="preserve">64319-999</t>
  </si>
  <si>
    <t xml:space="preserve">PAS1514</t>
  </si>
  <si>
    <t xml:space="preserve">64945-000</t>
  </si>
  <si>
    <t xml:space="preserve">64959-999</t>
  </si>
  <si>
    <t xml:space="preserve">PAS1515</t>
  </si>
  <si>
    <t xml:space="preserve">SANTA LUZ</t>
  </si>
  <si>
    <t xml:space="preserve">64910-000</t>
  </si>
  <si>
    <t xml:space="preserve">64914-999</t>
  </si>
  <si>
    <t xml:space="preserve">PAS1516</t>
  </si>
  <si>
    <t xml:space="preserve">SANTA ROSA DO PIAUI</t>
  </si>
  <si>
    <t xml:space="preserve">64518-000</t>
  </si>
  <si>
    <t xml:space="preserve">64519-999</t>
  </si>
  <si>
    <t xml:space="preserve">PAS1517</t>
  </si>
  <si>
    <t xml:space="preserve">SANTANA DO PIAUI</t>
  </si>
  <si>
    <t xml:space="preserve">64615-000</t>
  </si>
  <si>
    <t xml:space="preserve">64617-999</t>
  </si>
  <si>
    <t xml:space="preserve">PAS1518</t>
  </si>
  <si>
    <t xml:space="preserve">SANTO ANTONIO DE LISBOA</t>
  </si>
  <si>
    <t xml:space="preserve">64640-000</t>
  </si>
  <si>
    <t xml:space="preserve">64644-999</t>
  </si>
  <si>
    <t xml:space="preserve">PAS1519</t>
  </si>
  <si>
    <t xml:space="preserve">SANTO ANTONIO DOS MILAGRES</t>
  </si>
  <si>
    <t xml:space="preserve">64438-000</t>
  </si>
  <si>
    <t xml:space="preserve">64439-999</t>
  </si>
  <si>
    <t xml:space="preserve">PAS1520</t>
  </si>
  <si>
    <t xml:space="preserve">SANTO INACIO DO PIAUI</t>
  </si>
  <si>
    <t xml:space="preserve">64560-000</t>
  </si>
  <si>
    <t xml:space="preserve">64562-999</t>
  </si>
  <si>
    <t xml:space="preserve">PAS1521</t>
  </si>
  <si>
    <t xml:space="preserve">SAO BRAZ DO PIAUI</t>
  </si>
  <si>
    <t xml:space="preserve">64783-000</t>
  </si>
  <si>
    <t xml:space="preserve">64784-999</t>
  </si>
  <si>
    <t xml:space="preserve">PAS1522</t>
  </si>
  <si>
    <t xml:space="preserve">SAO FELIX DO PIAUI</t>
  </si>
  <si>
    <t xml:space="preserve">64375-000</t>
  </si>
  <si>
    <t xml:space="preserve">64377-999</t>
  </si>
  <si>
    <t xml:space="preserve">PAS1523</t>
  </si>
  <si>
    <t xml:space="preserve">SAO FRANCISCO DE ASSIS DO PIAUI</t>
  </si>
  <si>
    <t xml:space="preserve">64745-000</t>
  </si>
  <si>
    <t xml:space="preserve">64747-999</t>
  </si>
  <si>
    <t xml:space="preserve">PAS1524</t>
  </si>
  <si>
    <t xml:space="preserve">SAO FRANCISCO DO PIAUI</t>
  </si>
  <si>
    <t xml:space="preserve">64550-000</t>
  </si>
  <si>
    <t xml:space="preserve">64554-999</t>
  </si>
  <si>
    <t xml:space="preserve">PAS1525</t>
  </si>
  <si>
    <t xml:space="preserve">SAO GONCALO DO GURGUEIA</t>
  </si>
  <si>
    <t xml:space="preserve">64993-000</t>
  </si>
  <si>
    <t xml:space="preserve">64994-999</t>
  </si>
  <si>
    <t xml:space="preserve">PAS1526</t>
  </si>
  <si>
    <t xml:space="preserve">SAO GONCALO DO PIAUI</t>
  </si>
  <si>
    <t xml:space="preserve">64435-000</t>
  </si>
  <si>
    <t xml:space="preserve">64437-999</t>
  </si>
  <si>
    <t xml:space="preserve">PAS1527</t>
  </si>
  <si>
    <t xml:space="preserve">SAO JOAO DA CANABRAVA</t>
  </si>
  <si>
    <t xml:space="preserve">64635-000</t>
  </si>
  <si>
    <t xml:space="preserve">64637-999</t>
  </si>
  <si>
    <t xml:space="preserve">PAS1528</t>
  </si>
  <si>
    <t xml:space="preserve">SAO JOAO DA FRONTEIRA</t>
  </si>
  <si>
    <t xml:space="preserve">64243-000</t>
  </si>
  <si>
    <t xml:space="preserve">64244-999</t>
  </si>
  <si>
    <t xml:space="preserve">PAS1529</t>
  </si>
  <si>
    <t xml:space="preserve">SAO JOAO DA VARJOTA</t>
  </si>
  <si>
    <t xml:space="preserve">64510-000</t>
  </si>
  <si>
    <t xml:space="preserve">64511-999</t>
  </si>
  <si>
    <t xml:space="preserve">PAS1530</t>
  </si>
  <si>
    <t xml:space="preserve">SAO JOAO DO PIAUI</t>
  </si>
  <si>
    <t xml:space="preserve">64760-000</t>
  </si>
  <si>
    <t xml:space="preserve">64762-999</t>
  </si>
  <si>
    <t xml:space="preserve">PAS1531</t>
  </si>
  <si>
    <t xml:space="preserve">SAO JOSE DO PEIXE</t>
  </si>
  <si>
    <t xml:space="preserve">64555-000</t>
  </si>
  <si>
    <t xml:space="preserve">64557-999</t>
  </si>
  <si>
    <t xml:space="preserve">PAS1532</t>
  </si>
  <si>
    <t xml:space="preserve">SAO JOSE DO PIAUI</t>
  </si>
  <si>
    <t xml:space="preserve">64625-000</t>
  </si>
  <si>
    <t xml:space="preserve">64629-999</t>
  </si>
  <si>
    <t xml:space="preserve">PAS1533</t>
  </si>
  <si>
    <t xml:space="preserve">SAO JULIAO</t>
  </si>
  <si>
    <t xml:space="preserve">64670-000</t>
  </si>
  <si>
    <t xml:space="preserve">64674-999</t>
  </si>
  <si>
    <t xml:space="preserve">PAS1534</t>
  </si>
  <si>
    <t xml:space="preserve">SAO LOURENCO DO PIAUI</t>
  </si>
  <si>
    <t xml:space="preserve">64778-000</t>
  </si>
  <si>
    <t xml:space="preserve">64779-999</t>
  </si>
  <si>
    <t xml:space="preserve">PAS1535</t>
  </si>
  <si>
    <t xml:space="preserve">SAO LUIS DO PIAUI</t>
  </si>
  <si>
    <t xml:space="preserve">64638-000</t>
  </si>
  <si>
    <t xml:space="preserve">64639-999</t>
  </si>
  <si>
    <t xml:space="preserve">PAS1536</t>
  </si>
  <si>
    <t xml:space="preserve">SAO MIGUEL DA BAIXA GRANDE</t>
  </si>
  <si>
    <t xml:space="preserve">64378-000</t>
  </si>
  <si>
    <t xml:space="preserve">64379-999</t>
  </si>
  <si>
    <t xml:space="preserve">PAS1537</t>
  </si>
  <si>
    <t xml:space="preserve">SAO MIGUEL DO FIDALGO</t>
  </si>
  <si>
    <t xml:space="preserve">64558-000</t>
  </si>
  <si>
    <t xml:space="preserve">64559-999</t>
  </si>
  <si>
    <t xml:space="preserve">PAS1538</t>
  </si>
  <si>
    <t xml:space="preserve">SAO RAIMUNDO NONATO</t>
  </si>
  <si>
    <t xml:space="preserve">64770-000</t>
  </si>
  <si>
    <t xml:space="preserve">64772-999</t>
  </si>
  <si>
    <t xml:space="preserve">PAS1539</t>
  </si>
  <si>
    <t xml:space="preserve">SEBASTIAO BARROS</t>
  </si>
  <si>
    <t xml:space="preserve">64985-000</t>
  </si>
  <si>
    <t xml:space="preserve">64989-999</t>
  </si>
  <si>
    <t xml:space="preserve">PAS1540</t>
  </si>
  <si>
    <t xml:space="preserve">SEBASTIAO LEAL</t>
  </si>
  <si>
    <t xml:space="preserve">64873-000</t>
  </si>
  <si>
    <t xml:space="preserve">64874-999</t>
  </si>
  <si>
    <t xml:space="preserve">PAS1541</t>
  </si>
  <si>
    <t xml:space="preserve">SIMOES</t>
  </si>
  <si>
    <t xml:space="preserve">64585-000</t>
  </si>
  <si>
    <t xml:space="preserve">64589-999</t>
  </si>
  <si>
    <t xml:space="preserve">PAS1542</t>
  </si>
  <si>
    <t xml:space="preserve">SIMPLICIO MENDES</t>
  </si>
  <si>
    <t xml:space="preserve">64700-000</t>
  </si>
  <si>
    <t xml:space="preserve">64704-999</t>
  </si>
  <si>
    <t xml:space="preserve">PAS1543</t>
  </si>
  <si>
    <t xml:space="preserve">SOCORRO DO PIAUÍ</t>
  </si>
  <si>
    <t xml:space="preserve">64720-000</t>
  </si>
  <si>
    <t xml:space="preserve">64724-999</t>
  </si>
  <si>
    <t xml:space="preserve">PAS1544</t>
  </si>
  <si>
    <t xml:space="preserve">SUSSUAPARA</t>
  </si>
  <si>
    <t xml:space="preserve">64610-000</t>
  </si>
  <si>
    <t xml:space="preserve">64611-999</t>
  </si>
  <si>
    <t xml:space="preserve">PAS1545</t>
  </si>
  <si>
    <t xml:space="preserve">TAMBORIL DO PIAUI</t>
  </si>
  <si>
    <t xml:space="preserve">64893-000</t>
  </si>
  <si>
    <t xml:space="preserve">64894-999</t>
  </si>
  <si>
    <t xml:space="preserve">PAS1546</t>
  </si>
  <si>
    <t xml:space="preserve">TANQUE DO PIAUI</t>
  </si>
  <si>
    <t xml:space="preserve">64512-000</t>
  </si>
  <si>
    <t xml:space="preserve">64513-999</t>
  </si>
  <si>
    <t xml:space="preserve">PAS1547</t>
  </si>
  <si>
    <t xml:space="preserve">URUCUI</t>
  </si>
  <si>
    <t xml:space="preserve">64860-000</t>
  </si>
  <si>
    <t xml:space="preserve">64864-999</t>
  </si>
  <si>
    <t xml:space="preserve">PAS1548</t>
  </si>
  <si>
    <t xml:space="preserve">64300-000</t>
  </si>
  <si>
    <t xml:space="preserve">64307-999</t>
  </si>
  <si>
    <t xml:space="preserve">PAS1549</t>
  </si>
  <si>
    <t xml:space="preserve">VARZEA BRANCA</t>
  </si>
  <si>
    <t xml:space="preserve">64773-000</t>
  </si>
  <si>
    <t xml:space="preserve">64774-999</t>
  </si>
  <si>
    <t xml:space="preserve">PAS1550</t>
  </si>
  <si>
    <t xml:space="preserve">VERA MENDES</t>
  </si>
  <si>
    <t xml:space="preserve">64568-000</t>
  </si>
  <si>
    <t xml:space="preserve">64569-999</t>
  </si>
  <si>
    <t xml:space="preserve">PAS1551</t>
  </si>
  <si>
    <t xml:space="preserve">VILA NOVA DO PIAUI</t>
  </si>
  <si>
    <t xml:space="preserve">64688-000</t>
  </si>
  <si>
    <t xml:space="preserve">64689-999</t>
  </si>
  <si>
    <t xml:space="preserve">PAS1552</t>
  </si>
  <si>
    <t xml:space="preserve">WALL FERRAZ</t>
  </si>
  <si>
    <t xml:space="preserve">64548-000</t>
  </si>
  <si>
    <t xml:space="preserve">64549-999</t>
  </si>
  <si>
    <t xml:space="preserve">PAS1553</t>
  </si>
  <si>
    <t xml:space="preserve">MACAIBA</t>
  </si>
  <si>
    <t xml:space="preserve">59280-001</t>
  </si>
  <si>
    <t xml:space="preserve">59289-999</t>
  </si>
  <si>
    <t xml:space="preserve">PAS1554</t>
  </si>
  <si>
    <t xml:space="preserve">59000-001</t>
  </si>
  <si>
    <t xml:space="preserve">59139-999</t>
  </si>
  <si>
    <t xml:space="preserve">PAS1555</t>
  </si>
  <si>
    <t xml:space="preserve">ACU</t>
  </si>
  <si>
    <t xml:space="preserve">59650-000</t>
  </si>
  <si>
    <t xml:space="preserve">59654-999</t>
  </si>
  <si>
    <t xml:space="preserve">PAS1556</t>
  </si>
  <si>
    <t xml:space="preserve">AFONSO BEZERRA</t>
  </si>
  <si>
    <t xml:space="preserve">59510-000</t>
  </si>
  <si>
    <t xml:space="preserve">59512-999</t>
  </si>
  <si>
    <t xml:space="preserve">PAS1557</t>
  </si>
  <si>
    <t xml:space="preserve">ALTO DO RODRIGUES</t>
  </si>
  <si>
    <t xml:space="preserve">59507-000</t>
  </si>
  <si>
    <t xml:space="preserve">59507-999</t>
  </si>
  <si>
    <t xml:space="preserve">PAS1558</t>
  </si>
  <si>
    <t xml:space="preserve">ANGICOS</t>
  </si>
  <si>
    <t xml:space="preserve">59515-000</t>
  </si>
  <si>
    <t xml:space="preserve">59516-999</t>
  </si>
  <si>
    <t xml:space="preserve">PAS1559</t>
  </si>
  <si>
    <t xml:space="preserve">AREIA BRANCA</t>
  </si>
  <si>
    <t xml:space="preserve">49580-000</t>
  </si>
  <si>
    <t xml:space="preserve">49599-999</t>
  </si>
  <si>
    <t xml:space="preserve">PAS1560</t>
  </si>
  <si>
    <t xml:space="preserve">AREZ</t>
  </si>
  <si>
    <t xml:space="preserve">59170-000</t>
  </si>
  <si>
    <t xml:space="preserve">59172-999</t>
  </si>
  <si>
    <t xml:space="preserve">PAS1561</t>
  </si>
  <si>
    <t xml:space="preserve">BAIA FORMOSA</t>
  </si>
  <si>
    <t xml:space="preserve">59194-000</t>
  </si>
  <si>
    <t xml:space="preserve">59195-999</t>
  </si>
  <si>
    <t xml:space="preserve">PAS1562</t>
  </si>
  <si>
    <t xml:space="preserve">BARCELONA</t>
  </si>
  <si>
    <t xml:space="preserve">59410-000</t>
  </si>
  <si>
    <t xml:space="preserve">59419-999</t>
  </si>
  <si>
    <t xml:space="preserve">PAS1563</t>
  </si>
  <si>
    <t xml:space="preserve">BENTO FERNANDES</t>
  </si>
  <si>
    <t xml:space="preserve">59555-000</t>
  </si>
  <si>
    <t xml:space="preserve">59559-999</t>
  </si>
  <si>
    <t xml:space="preserve">PAS1564</t>
  </si>
  <si>
    <t xml:space="preserve">BOA SAUDE</t>
  </si>
  <si>
    <t xml:space="preserve">59260-000</t>
  </si>
  <si>
    <t xml:space="preserve">59269-999</t>
  </si>
  <si>
    <t xml:space="preserve">PAS1565</t>
  </si>
  <si>
    <t xml:space="preserve">CAICARA DO NORTE</t>
  </si>
  <si>
    <t xml:space="preserve">59592-000</t>
  </si>
  <si>
    <t xml:space="preserve">59593-999</t>
  </si>
  <si>
    <t xml:space="preserve">PAS1566</t>
  </si>
  <si>
    <t xml:space="preserve">CAICARA DO RIO DO VENTO</t>
  </si>
  <si>
    <t xml:space="preserve">59540-000</t>
  </si>
  <si>
    <t xml:space="preserve">59543-999</t>
  </si>
  <si>
    <t xml:space="preserve">PAS1567</t>
  </si>
  <si>
    <t xml:space="preserve">CANGUARETAMA</t>
  </si>
  <si>
    <t xml:space="preserve">59190-000</t>
  </si>
  <si>
    <t xml:space="preserve">59191-999</t>
  </si>
  <si>
    <t xml:space="preserve">PAS1568</t>
  </si>
  <si>
    <t xml:space="preserve">CARNAUBAIS</t>
  </si>
  <si>
    <t xml:space="preserve">59665-000</t>
  </si>
  <si>
    <t xml:space="preserve">59667-999</t>
  </si>
  <si>
    <t xml:space="preserve">PAS1569</t>
  </si>
  <si>
    <t xml:space="preserve">59570-000</t>
  </si>
  <si>
    <t xml:space="preserve">59574-999</t>
  </si>
  <si>
    <t xml:space="preserve">PAS1570</t>
  </si>
  <si>
    <t xml:space="preserve">ESPIRITO SANTO</t>
  </si>
  <si>
    <t xml:space="preserve">59180-000</t>
  </si>
  <si>
    <t xml:space="preserve">59181-999</t>
  </si>
  <si>
    <t xml:space="preserve">PAS1571</t>
  </si>
  <si>
    <t xml:space="preserve">59575-000</t>
  </si>
  <si>
    <t xml:space="preserve">59577-999</t>
  </si>
  <si>
    <t xml:space="preserve">PAS1572</t>
  </si>
  <si>
    <t xml:space="preserve">FERNANDO PEDROZA</t>
  </si>
  <si>
    <t xml:space="preserve">59517-000</t>
  </si>
  <si>
    <t xml:space="preserve">59517-999</t>
  </si>
  <si>
    <t xml:space="preserve">PAS1573</t>
  </si>
  <si>
    <t xml:space="preserve">GALINHOS</t>
  </si>
  <si>
    <t xml:space="preserve">59596-000</t>
  </si>
  <si>
    <t xml:space="preserve">59597-999</t>
  </si>
  <si>
    <t xml:space="preserve">PAS1574</t>
  </si>
  <si>
    <t xml:space="preserve">GOIANINHA</t>
  </si>
  <si>
    <t xml:space="preserve">59173-000</t>
  </si>
  <si>
    <t xml:space="preserve">59177-999</t>
  </si>
  <si>
    <t xml:space="preserve">PAS1575</t>
  </si>
  <si>
    <t xml:space="preserve">GUAMARE</t>
  </si>
  <si>
    <t xml:space="preserve">59598-000</t>
  </si>
  <si>
    <t xml:space="preserve">59599-999</t>
  </si>
  <si>
    <t xml:space="preserve">PAS1576</t>
  </si>
  <si>
    <t xml:space="preserve">IELMO MARINHO</t>
  </si>
  <si>
    <t xml:space="preserve">59490-000</t>
  </si>
  <si>
    <t xml:space="preserve">59499-999</t>
  </si>
  <si>
    <t xml:space="preserve">PAS1577</t>
  </si>
  <si>
    <t xml:space="preserve">IPANGUACU</t>
  </si>
  <si>
    <t xml:space="preserve">59508-000</t>
  </si>
  <si>
    <t xml:space="preserve">59509-999</t>
  </si>
  <si>
    <t xml:space="preserve">PAS1578</t>
  </si>
  <si>
    <t xml:space="preserve">ITAJA</t>
  </si>
  <si>
    <t xml:space="preserve">59513-000</t>
  </si>
  <si>
    <t xml:space="preserve">59514-999</t>
  </si>
  <si>
    <t xml:space="preserve">PAS1579</t>
  </si>
  <si>
    <t xml:space="preserve">59594-000</t>
  </si>
  <si>
    <t xml:space="preserve">59595-999</t>
  </si>
  <si>
    <t xml:space="preserve">PAS1580</t>
  </si>
  <si>
    <t xml:space="preserve">JAPI</t>
  </si>
  <si>
    <t xml:space="preserve">59213-000</t>
  </si>
  <si>
    <t xml:space="preserve">59213-999</t>
  </si>
  <si>
    <t xml:space="preserve">PAS1581</t>
  </si>
  <si>
    <t xml:space="preserve">JARDIM DE ANGICOS</t>
  </si>
  <si>
    <t xml:space="preserve">59544-000</t>
  </si>
  <si>
    <t xml:space="preserve">59546-999</t>
  </si>
  <si>
    <t xml:space="preserve">PAS1582</t>
  </si>
  <si>
    <t xml:space="preserve">JOAO CAMARA</t>
  </si>
  <si>
    <t xml:space="preserve">59550-000</t>
  </si>
  <si>
    <t xml:space="preserve">59554-999</t>
  </si>
  <si>
    <t xml:space="preserve">PAS1583</t>
  </si>
  <si>
    <t xml:space="preserve">LAGOA D ANTA</t>
  </si>
  <si>
    <t xml:space="preserve">59227-000</t>
  </si>
  <si>
    <t xml:space="preserve">59229-999</t>
  </si>
  <si>
    <t xml:space="preserve">PAS1584</t>
  </si>
  <si>
    <t xml:space="preserve">LAGOA DE PEDRAS</t>
  </si>
  <si>
    <t xml:space="preserve">59244-000</t>
  </si>
  <si>
    <t xml:space="preserve">59244-999</t>
  </si>
  <si>
    <t xml:space="preserve">PAS1585</t>
  </si>
  <si>
    <t xml:space="preserve">LAGOA DE VELHOS</t>
  </si>
  <si>
    <t xml:space="preserve">59430-000</t>
  </si>
  <si>
    <t xml:space="preserve">59439-999</t>
  </si>
  <si>
    <t xml:space="preserve">PAS1586</t>
  </si>
  <si>
    <t xml:space="preserve">LAGOA SALGADA</t>
  </si>
  <si>
    <t xml:space="preserve">59247-000</t>
  </si>
  <si>
    <t xml:space="preserve">59249-999</t>
  </si>
  <si>
    <t xml:space="preserve">PAS1587</t>
  </si>
  <si>
    <t xml:space="preserve">LAJES</t>
  </si>
  <si>
    <t xml:space="preserve">59535-000</t>
  </si>
  <si>
    <t xml:space="preserve">59539-999</t>
  </si>
  <si>
    <t xml:space="preserve">PAS1588</t>
  </si>
  <si>
    <t xml:space="preserve">LAJES PINTADAS</t>
  </si>
  <si>
    <t xml:space="preserve">59235-000</t>
  </si>
  <si>
    <t xml:space="preserve">59239-999</t>
  </si>
  <si>
    <t xml:space="preserve">PAS1589</t>
  </si>
  <si>
    <t xml:space="preserve">MACAU</t>
  </si>
  <si>
    <t xml:space="preserve">59500-000</t>
  </si>
  <si>
    <t xml:space="preserve">59503-999</t>
  </si>
  <si>
    <t xml:space="preserve">PAS1590</t>
  </si>
  <si>
    <t xml:space="preserve">MAXARANGUAPE</t>
  </si>
  <si>
    <t xml:space="preserve">59580-000</t>
  </si>
  <si>
    <t xml:space="preserve">59581-999</t>
  </si>
  <si>
    <t xml:space="preserve">PAS1591</t>
  </si>
  <si>
    <t xml:space="preserve">MONTANHAS</t>
  </si>
  <si>
    <t xml:space="preserve">59198-000</t>
  </si>
  <si>
    <t xml:space="preserve">59199-999</t>
  </si>
  <si>
    <t xml:space="preserve">PAS1592</t>
  </si>
  <si>
    <t xml:space="preserve">MONTE ALEGRE</t>
  </si>
  <si>
    <t xml:space="preserve">59182-000</t>
  </si>
  <si>
    <t xml:space="preserve">59183-999</t>
  </si>
  <si>
    <t xml:space="preserve">PAS1593</t>
  </si>
  <si>
    <t xml:space="preserve">MONTE DAS GAMELEIRAS</t>
  </si>
  <si>
    <t xml:space="preserve">59217-000</t>
  </si>
  <si>
    <t xml:space="preserve">59217-999</t>
  </si>
  <si>
    <t xml:space="preserve">PAS1594</t>
  </si>
  <si>
    <t xml:space="preserve">59600-001</t>
  </si>
  <si>
    <t xml:space="preserve">59649-999</t>
  </si>
  <si>
    <t xml:space="preserve">PAS1595</t>
  </si>
  <si>
    <t xml:space="preserve">NISIA FLORESTA</t>
  </si>
  <si>
    <t xml:space="preserve">59164-000</t>
  </si>
  <si>
    <t xml:space="preserve">59167-999</t>
  </si>
  <si>
    <t xml:space="preserve">PAS1596</t>
  </si>
  <si>
    <t xml:space="preserve">NOVA CRUZ</t>
  </si>
  <si>
    <t xml:space="preserve">59215-000</t>
  </si>
  <si>
    <t xml:space="preserve">59216-999</t>
  </si>
  <si>
    <t xml:space="preserve">PAS1597</t>
  </si>
  <si>
    <t xml:space="preserve">PARAZINHO</t>
  </si>
  <si>
    <t xml:space="preserve">59586-000</t>
  </si>
  <si>
    <t xml:space="preserve">59587-999</t>
  </si>
  <si>
    <t xml:space="preserve">PAS1598</t>
  </si>
  <si>
    <t xml:space="preserve">PASSA E FICA</t>
  </si>
  <si>
    <t xml:space="preserve">59218-000</t>
  </si>
  <si>
    <t xml:space="preserve">59218-999</t>
  </si>
  <si>
    <t xml:space="preserve">PAS1599</t>
  </si>
  <si>
    <t xml:space="preserve">PEDRA GRANDE</t>
  </si>
  <si>
    <t xml:space="preserve">59588-000</t>
  </si>
  <si>
    <t xml:space="preserve">59589-999</t>
  </si>
  <si>
    <t xml:space="preserve">PAS1600</t>
  </si>
  <si>
    <t xml:space="preserve">PEDRA PRETA</t>
  </si>
  <si>
    <t xml:space="preserve">59547-000</t>
  </si>
  <si>
    <t xml:space="preserve">59549-999</t>
  </si>
  <si>
    <t xml:space="preserve">PAS1601</t>
  </si>
  <si>
    <t xml:space="preserve">PEDRO AVELINO</t>
  </si>
  <si>
    <t xml:space="preserve">59530-000</t>
  </si>
  <si>
    <t xml:space="preserve">59534-999</t>
  </si>
  <si>
    <t xml:space="preserve">PAS1602</t>
  </si>
  <si>
    <t xml:space="preserve">PEDRO VELHO</t>
  </si>
  <si>
    <t xml:space="preserve">59196-000</t>
  </si>
  <si>
    <t xml:space="preserve">59197-999</t>
  </si>
  <si>
    <t xml:space="preserve">PAS1603</t>
  </si>
  <si>
    <t xml:space="preserve">59504-000</t>
  </si>
  <si>
    <t xml:space="preserve">59506-999</t>
  </si>
  <si>
    <t xml:space="preserve">PAS1604</t>
  </si>
  <si>
    <t xml:space="preserve">POCO BRANCO</t>
  </si>
  <si>
    <t xml:space="preserve">59560-000</t>
  </si>
  <si>
    <t xml:space="preserve">59564-999</t>
  </si>
  <si>
    <t xml:space="preserve">PAS1605</t>
  </si>
  <si>
    <t xml:space="preserve">PORTO DO MANGUE</t>
  </si>
  <si>
    <t xml:space="preserve">59668-000</t>
  </si>
  <si>
    <t xml:space="preserve">59669-999</t>
  </si>
  <si>
    <t xml:space="preserve">PAS1606</t>
  </si>
  <si>
    <t xml:space="preserve">PUREZA</t>
  </si>
  <si>
    <t xml:space="preserve">59582-000</t>
  </si>
  <si>
    <t xml:space="preserve">59583-999</t>
  </si>
  <si>
    <t xml:space="preserve">PAS1607</t>
  </si>
  <si>
    <t xml:space="preserve">RIACHUELO</t>
  </si>
  <si>
    <t xml:space="preserve">49130-000</t>
  </si>
  <si>
    <t xml:space="preserve">49139-999</t>
  </si>
  <si>
    <t xml:space="preserve">PAS1608</t>
  </si>
  <si>
    <t xml:space="preserve">RIO DO FOGO</t>
  </si>
  <si>
    <t xml:space="preserve">59578-000</t>
  </si>
  <si>
    <t xml:space="preserve">59579-999</t>
  </si>
  <si>
    <t xml:space="preserve">PAS1609</t>
  </si>
  <si>
    <t xml:space="preserve">SANTA MARIA</t>
  </si>
  <si>
    <t xml:space="preserve">59464-000</t>
  </si>
  <si>
    <t xml:space="preserve">59469-999</t>
  </si>
  <si>
    <t xml:space="preserve">PAS1610</t>
  </si>
  <si>
    <t xml:space="preserve">SANTO ANTONIO</t>
  </si>
  <si>
    <t xml:space="preserve">59255-000</t>
  </si>
  <si>
    <t xml:space="preserve">59257-999</t>
  </si>
  <si>
    <t xml:space="preserve">PAS1611</t>
  </si>
  <si>
    <t xml:space="preserve">62670-000</t>
  </si>
  <si>
    <t xml:space="preserve">62679-999</t>
  </si>
  <si>
    <t xml:space="preserve">PAS1612</t>
  </si>
  <si>
    <t xml:space="preserve">59162-000</t>
  </si>
  <si>
    <t xml:space="preserve">59163-999</t>
  </si>
  <si>
    <t xml:space="preserve">PAS1613</t>
  </si>
  <si>
    <t xml:space="preserve">SAO JOSE DO CAMPESTRE</t>
  </si>
  <si>
    <t xml:space="preserve">59275-000</t>
  </si>
  <si>
    <t xml:space="preserve">59279-999</t>
  </si>
  <si>
    <t xml:space="preserve">PAS1614</t>
  </si>
  <si>
    <t xml:space="preserve">SAO PAULO DO POTENGI</t>
  </si>
  <si>
    <t xml:space="preserve">59460-000</t>
  </si>
  <si>
    <t xml:space="preserve">59463-999</t>
  </si>
  <si>
    <t xml:space="preserve">PAS1615</t>
  </si>
  <si>
    <t xml:space="preserve">SAO PEDRO</t>
  </si>
  <si>
    <t xml:space="preserve">59480-000</t>
  </si>
  <si>
    <t xml:space="preserve">59489-999</t>
  </si>
  <si>
    <t xml:space="preserve">PAS1616</t>
  </si>
  <si>
    <t xml:space="preserve">SAO RAFAEL</t>
  </si>
  <si>
    <t xml:space="preserve">59518-000</t>
  </si>
  <si>
    <t xml:space="preserve">59519-999</t>
  </si>
  <si>
    <t xml:space="preserve">PAS1617</t>
  </si>
  <si>
    <t xml:space="preserve">SAO TOME</t>
  </si>
  <si>
    <t xml:space="preserve">59400-000</t>
  </si>
  <si>
    <t xml:space="preserve">59409-999</t>
  </si>
  <si>
    <t xml:space="preserve">PAS1618</t>
  </si>
  <si>
    <t xml:space="preserve">SENADOR ELOI DE SOUZA</t>
  </si>
  <si>
    <t xml:space="preserve">59250-000</t>
  </si>
  <si>
    <t xml:space="preserve">59254-999</t>
  </si>
  <si>
    <t xml:space="preserve">PAS1619</t>
  </si>
  <si>
    <t xml:space="preserve">SENADOR GEORGINO AVELINO</t>
  </si>
  <si>
    <t xml:space="preserve">59168-000</t>
  </si>
  <si>
    <t xml:space="preserve">59169-999</t>
  </si>
  <si>
    <t xml:space="preserve">PAS1620</t>
  </si>
  <si>
    <t xml:space="preserve">SERRA DE SAO BENTO</t>
  </si>
  <si>
    <t xml:space="preserve">59214-000</t>
  </si>
  <si>
    <t xml:space="preserve">59214-999</t>
  </si>
  <si>
    <t xml:space="preserve">PAS1621</t>
  </si>
  <si>
    <t xml:space="preserve">59258-000</t>
  </si>
  <si>
    <t xml:space="preserve">59258-999</t>
  </si>
  <si>
    <t xml:space="preserve">PAS1622</t>
  </si>
  <si>
    <t xml:space="preserve">TAIPU</t>
  </si>
  <si>
    <t xml:space="preserve">59565-000</t>
  </si>
  <si>
    <t xml:space="preserve">59569-999</t>
  </si>
  <si>
    <t xml:space="preserve">PAS1623</t>
  </si>
  <si>
    <t xml:space="preserve">TIBAU DO SUL</t>
  </si>
  <si>
    <t xml:space="preserve">59178-000</t>
  </si>
  <si>
    <t xml:space="preserve">59179-999</t>
  </si>
  <si>
    <t xml:space="preserve">PAS1624</t>
  </si>
  <si>
    <t xml:space="preserve">TOUROS</t>
  </si>
  <si>
    <t xml:space="preserve">59584-000</t>
  </si>
  <si>
    <t xml:space="preserve">59584-999</t>
  </si>
  <si>
    <t xml:space="preserve">PAS1625</t>
  </si>
  <si>
    <t xml:space="preserve">59184-000</t>
  </si>
  <si>
    <t xml:space="preserve">59184-999</t>
  </si>
  <si>
    <t xml:space="preserve">PAS1626</t>
  </si>
  <si>
    <t xml:space="preserve">59815-000</t>
  </si>
  <si>
    <t xml:space="preserve">59819-999</t>
  </si>
  <si>
    <t xml:space="preserve">PAS1627</t>
  </si>
  <si>
    <t xml:space="preserve">VILA FLOR</t>
  </si>
  <si>
    <t xml:space="preserve">59192-000</t>
  </si>
  <si>
    <t xml:space="preserve">59193-999</t>
  </si>
  <si>
    <t xml:space="preserve">PAS1628</t>
  </si>
  <si>
    <t xml:space="preserve">ACARI</t>
  </si>
  <si>
    <t xml:space="preserve">59370-000</t>
  </si>
  <si>
    <t xml:space="preserve">59373-999</t>
  </si>
  <si>
    <t xml:space="preserve">PAS1629</t>
  </si>
  <si>
    <t xml:space="preserve">AGUA NOVA</t>
  </si>
  <si>
    <t xml:space="preserve">59995-000</t>
  </si>
  <si>
    <t xml:space="preserve">59999-999</t>
  </si>
  <si>
    <t xml:space="preserve">PAS1630</t>
  </si>
  <si>
    <t xml:space="preserve">ALEXANDRIA</t>
  </si>
  <si>
    <t xml:space="preserve">59965-000</t>
  </si>
  <si>
    <t xml:space="preserve">59969-999</t>
  </si>
  <si>
    <t xml:space="preserve">PAS1631</t>
  </si>
  <si>
    <t xml:space="preserve">ALMINO AFONSO</t>
  </si>
  <si>
    <t xml:space="preserve">59760-000</t>
  </si>
  <si>
    <t xml:space="preserve">59769-999</t>
  </si>
  <si>
    <t xml:space="preserve">PAS1632</t>
  </si>
  <si>
    <t xml:space="preserve">ANTONIO MARTINS</t>
  </si>
  <si>
    <t xml:space="preserve">59870-000</t>
  </si>
  <si>
    <t xml:space="preserve">59879-999</t>
  </si>
  <si>
    <t xml:space="preserve">PAS1633</t>
  </si>
  <si>
    <t xml:space="preserve">APODI</t>
  </si>
  <si>
    <t xml:space="preserve">59700-000</t>
  </si>
  <si>
    <t xml:space="preserve">59729-999</t>
  </si>
  <si>
    <t xml:space="preserve">PAS1634</t>
  </si>
  <si>
    <t xml:space="preserve">59695-000</t>
  </si>
  <si>
    <t xml:space="preserve">59699-999</t>
  </si>
  <si>
    <t xml:space="preserve">PAS1635</t>
  </si>
  <si>
    <t xml:space="preserve">BODO</t>
  </si>
  <si>
    <t xml:space="preserve">59528-000</t>
  </si>
  <si>
    <t xml:space="preserve">59529-999</t>
  </si>
  <si>
    <t xml:space="preserve">PAS1636</t>
  </si>
  <si>
    <t xml:space="preserve">59270-000</t>
  </si>
  <si>
    <t xml:space="preserve">59274-999</t>
  </si>
  <si>
    <t xml:space="preserve">PAS1637</t>
  </si>
  <si>
    <t xml:space="preserve">59219-000</t>
  </si>
  <si>
    <t xml:space="preserve">59219-999</t>
  </si>
  <si>
    <t xml:space="preserve">PAS1638</t>
  </si>
  <si>
    <t xml:space="preserve">59300-000</t>
  </si>
  <si>
    <t xml:space="preserve">59309-999</t>
  </si>
  <si>
    <t xml:space="preserve">PAS1639</t>
  </si>
  <si>
    <t xml:space="preserve">59680-000</t>
  </si>
  <si>
    <t xml:space="preserve">59684-999</t>
  </si>
  <si>
    <t xml:space="preserve">PAS1640</t>
  </si>
  <si>
    <t xml:space="preserve">CAMPO REDONDO</t>
  </si>
  <si>
    <t xml:space="preserve">59230-000</t>
  </si>
  <si>
    <t xml:space="preserve">59234-999</t>
  </si>
  <si>
    <t xml:space="preserve">PAS1641</t>
  </si>
  <si>
    <t xml:space="preserve">59780-000</t>
  </si>
  <si>
    <t xml:space="preserve">59789-999</t>
  </si>
  <si>
    <t xml:space="preserve">PAS1642</t>
  </si>
  <si>
    <t xml:space="preserve">CARNAUBA DOS DANTAS</t>
  </si>
  <si>
    <t xml:space="preserve">59374-000</t>
  </si>
  <si>
    <t xml:space="preserve">59374-999</t>
  </si>
  <si>
    <t xml:space="preserve">PAS1643</t>
  </si>
  <si>
    <t xml:space="preserve">CERRO CORA</t>
  </si>
  <si>
    <t xml:space="preserve">59395-000</t>
  </si>
  <si>
    <t xml:space="preserve">59399-999</t>
  </si>
  <si>
    <t xml:space="preserve">PAS1644</t>
  </si>
  <si>
    <t xml:space="preserve">CORONEL EZEQUIEL</t>
  </si>
  <si>
    <t xml:space="preserve">59220-000</t>
  </si>
  <si>
    <t xml:space="preserve">59224-999</t>
  </si>
  <si>
    <t xml:space="preserve">PAS1645</t>
  </si>
  <si>
    <t xml:space="preserve">CORONEL JOAO PESSOA</t>
  </si>
  <si>
    <t xml:space="preserve">59930-000</t>
  </si>
  <si>
    <t xml:space="preserve">59939-999</t>
  </si>
  <si>
    <t xml:space="preserve">PAS1646</t>
  </si>
  <si>
    <t xml:space="preserve">CRUZETA</t>
  </si>
  <si>
    <t xml:space="preserve">59375-000</t>
  </si>
  <si>
    <t xml:space="preserve">59377-999</t>
  </si>
  <si>
    <t xml:space="preserve">PAS1647</t>
  </si>
  <si>
    <t xml:space="preserve">59380-000</t>
  </si>
  <si>
    <t xml:space="preserve">59389-999</t>
  </si>
  <si>
    <t xml:space="preserve">PAS1648</t>
  </si>
  <si>
    <t xml:space="preserve">DOUTOR SEVERIANO</t>
  </si>
  <si>
    <t xml:space="preserve">59910-000</t>
  </si>
  <si>
    <t xml:space="preserve">59919-999</t>
  </si>
  <si>
    <t xml:space="preserve">PAS1649</t>
  </si>
  <si>
    <t xml:space="preserve">ENCANTO</t>
  </si>
  <si>
    <t xml:space="preserve">59905-000</t>
  </si>
  <si>
    <t xml:space="preserve">59907-999</t>
  </si>
  <si>
    <t xml:space="preserve">PAS1650</t>
  </si>
  <si>
    <t xml:space="preserve">EQUADOR</t>
  </si>
  <si>
    <t xml:space="preserve">59355-000</t>
  </si>
  <si>
    <t xml:space="preserve">59359-999</t>
  </si>
  <si>
    <t xml:space="preserve">PAS1651</t>
  </si>
  <si>
    <t xml:space="preserve">FELIPE GUERRA</t>
  </si>
  <si>
    <t xml:space="preserve">59795-000</t>
  </si>
  <si>
    <t xml:space="preserve">59799-999</t>
  </si>
  <si>
    <t xml:space="preserve">PAS1652</t>
  </si>
  <si>
    <t xml:space="preserve">FLORANIA</t>
  </si>
  <si>
    <t xml:space="preserve">59335-000</t>
  </si>
  <si>
    <t xml:space="preserve">59337-999</t>
  </si>
  <si>
    <t xml:space="preserve">PAS1653</t>
  </si>
  <si>
    <t xml:space="preserve">FRANCISCO DANTAS</t>
  </si>
  <si>
    <t xml:space="preserve">59902-000</t>
  </si>
  <si>
    <t xml:space="preserve">59904-999</t>
  </si>
  <si>
    <t xml:space="preserve">PAS1654</t>
  </si>
  <si>
    <t xml:space="preserve">FRUTUOSO GOMES</t>
  </si>
  <si>
    <t xml:space="preserve">59890-000</t>
  </si>
  <si>
    <t xml:space="preserve">59899-999</t>
  </si>
  <si>
    <t xml:space="preserve">PAS1655</t>
  </si>
  <si>
    <t xml:space="preserve">GOVERNADOR DIX-SEPT ROSADO</t>
  </si>
  <si>
    <t xml:space="preserve">59790-000</t>
  </si>
  <si>
    <t xml:space="preserve">59794-999</t>
  </si>
  <si>
    <t xml:space="preserve">PAS1656</t>
  </si>
  <si>
    <t xml:space="preserve">GROSSOS</t>
  </si>
  <si>
    <t xml:space="preserve">59675-000</t>
  </si>
  <si>
    <t xml:space="preserve">59677-999</t>
  </si>
  <si>
    <t xml:space="preserve">PAS1657</t>
  </si>
  <si>
    <t xml:space="preserve">IPUEIRA</t>
  </si>
  <si>
    <t xml:space="preserve">59315-000</t>
  </si>
  <si>
    <t xml:space="preserve">59317-999</t>
  </si>
  <si>
    <t xml:space="preserve">PAS1658</t>
  </si>
  <si>
    <t xml:space="preserve">ITAU</t>
  </si>
  <si>
    <t xml:space="preserve">59855-000</t>
  </si>
  <si>
    <t xml:space="preserve">59855-999</t>
  </si>
  <si>
    <t xml:space="preserve">PAS1659</t>
  </si>
  <si>
    <t xml:space="preserve">JACANA</t>
  </si>
  <si>
    <t xml:space="preserve">59225-000</t>
  </si>
  <si>
    <t xml:space="preserve">59226-999</t>
  </si>
  <si>
    <t xml:space="preserve">PAS1660</t>
  </si>
  <si>
    <t xml:space="preserve">JANDUIS</t>
  </si>
  <si>
    <t xml:space="preserve">59690-000</t>
  </si>
  <si>
    <t xml:space="preserve">59694-999</t>
  </si>
  <si>
    <t xml:space="preserve">PAS1661</t>
  </si>
  <si>
    <t xml:space="preserve">JARDIM DE PIRANHAS</t>
  </si>
  <si>
    <t xml:space="preserve">59324-000</t>
  </si>
  <si>
    <t xml:space="preserve">59326-999</t>
  </si>
  <si>
    <t xml:space="preserve">PAS1662</t>
  </si>
  <si>
    <t xml:space="preserve">JARDIM DO SERIDO</t>
  </si>
  <si>
    <t xml:space="preserve">59343-000</t>
  </si>
  <si>
    <t xml:space="preserve">59346-999</t>
  </si>
  <si>
    <t xml:space="preserve">PAS1663</t>
  </si>
  <si>
    <t xml:space="preserve">JOAO DIAS</t>
  </si>
  <si>
    <t xml:space="preserve">59880-000</t>
  </si>
  <si>
    <t xml:space="preserve">59889-999</t>
  </si>
  <si>
    <t xml:space="preserve">PAS1664</t>
  </si>
  <si>
    <t xml:space="preserve">JOSE DA PENHA</t>
  </si>
  <si>
    <t xml:space="preserve">59980-000</t>
  </si>
  <si>
    <t xml:space="preserve">59986-999</t>
  </si>
  <si>
    <t xml:space="preserve">PAS1665</t>
  </si>
  <si>
    <t xml:space="preserve">JUCURUTU</t>
  </si>
  <si>
    <t xml:space="preserve">59330-000</t>
  </si>
  <si>
    <t xml:space="preserve">59334-999</t>
  </si>
  <si>
    <t xml:space="preserve">PAS1666</t>
  </si>
  <si>
    <t xml:space="preserve">59188-000</t>
  </si>
  <si>
    <t xml:space="preserve">59189-999</t>
  </si>
  <si>
    <t xml:space="preserve">PAS1667</t>
  </si>
  <si>
    <t xml:space="preserve">LAGOA NOVA</t>
  </si>
  <si>
    <t xml:space="preserve">59390-000</t>
  </si>
  <si>
    <t xml:space="preserve">59394-999</t>
  </si>
  <si>
    <t xml:space="preserve">PAS1668</t>
  </si>
  <si>
    <t xml:space="preserve">LUCRECIA</t>
  </si>
  <si>
    <t xml:space="preserve">59805-000</t>
  </si>
  <si>
    <t xml:space="preserve">59807-999</t>
  </si>
  <si>
    <t xml:space="preserve">PAS1669</t>
  </si>
  <si>
    <t xml:space="preserve">LUIS GOMES</t>
  </si>
  <si>
    <t xml:space="preserve">59940-000</t>
  </si>
  <si>
    <t xml:space="preserve">59944-999</t>
  </si>
  <si>
    <t xml:space="preserve">PAS1670</t>
  </si>
  <si>
    <t xml:space="preserve">MAJOR SALES</t>
  </si>
  <si>
    <t xml:space="preserve">59945-000</t>
  </si>
  <si>
    <t xml:space="preserve">59949-999</t>
  </si>
  <si>
    <t xml:space="preserve">PAS1671</t>
  </si>
  <si>
    <t xml:space="preserve">MARCELINO VIEIRA</t>
  </si>
  <si>
    <t xml:space="preserve">59970-000</t>
  </si>
  <si>
    <t xml:space="preserve">59979-999</t>
  </si>
  <si>
    <t xml:space="preserve">PAS1672</t>
  </si>
  <si>
    <t xml:space="preserve">MARTINS</t>
  </si>
  <si>
    <t xml:space="preserve">59800-000</t>
  </si>
  <si>
    <t xml:space="preserve">59804-999</t>
  </si>
  <si>
    <t xml:space="preserve">PAS1673</t>
  </si>
  <si>
    <t xml:space="preserve">MESSIAS TARGINO</t>
  </si>
  <si>
    <t xml:space="preserve">59775-000</t>
  </si>
  <si>
    <t xml:space="preserve">59779-999</t>
  </si>
  <si>
    <t xml:space="preserve">PAS1674</t>
  </si>
  <si>
    <t xml:space="preserve">OLHO-D AGUA DO BORGES</t>
  </si>
  <si>
    <t xml:space="preserve">57390-000</t>
  </si>
  <si>
    <t xml:space="preserve">57399-999</t>
  </si>
  <si>
    <t xml:space="preserve">PAS1675</t>
  </si>
  <si>
    <t xml:space="preserve">59347-000</t>
  </si>
  <si>
    <t xml:space="preserve">59349-999</t>
  </si>
  <si>
    <t xml:space="preserve">PAS1676</t>
  </si>
  <si>
    <t xml:space="preserve">PARANA</t>
  </si>
  <si>
    <t xml:space="preserve">59950-000</t>
  </si>
  <si>
    <t xml:space="preserve">59954-999</t>
  </si>
  <si>
    <t xml:space="preserve">PAS1677</t>
  </si>
  <si>
    <t xml:space="preserve">PARAU</t>
  </si>
  <si>
    <t xml:space="preserve">59660-000</t>
  </si>
  <si>
    <t xml:space="preserve">59662-999</t>
  </si>
  <si>
    <t xml:space="preserve">PAS1678</t>
  </si>
  <si>
    <t xml:space="preserve">PARELHAS</t>
  </si>
  <si>
    <t xml:space="preserve">59360-000</t>
  </si>
  <si>
    <t xml:space="preserve">59369-999</t>
  </si>
  <si>
    <t xml:space="preserve">PAS1679</t>
  </si>
  <si>
    <t xml:space="preserve">59140-001</t>
  </si>
  <si>
    <t xml:space="preserve">59161-999</t>
  </si>
  <si>
    <t xml:space="preserve">PAS1680</t>
  </si>
  <si>
    <t xml:space="preserve">59259-000</t>
  </si>
  <si>
    <t xml:space="preserve">59259-999</t>
  </si>
  <si>
    <t xml:space="preserve">PAS1681</t>
  </si>
  <si>
    <t xml:space="preserve">PATU</t>
  </si>
  <si>
    <t xml:space="preserve">59770-000</t>
  </si>
  <si>
    <t xml:space="preserve">59774-999</t>
  </si>
  <si>
    <t xml:space="preserve">PAS1682</t>
  </si>
  <si>
    <t xml:space="preserve">PAU DOS FERROS</t>
  </si>
  <si>
    <t xml:space="preserve">59900-000</t>
  </si>
  <si>
    <t xml:space="preserve">59901-999</t>
  </si>
  <si>
    <t xml:space="preserve">PAS1683</t>
  </si>
  <si>
    <t xml:space="preserve">59960-000</t>
  </si>
  <si>
    <t xml:space="preserve">59964-999</t>
  </si>
  <si>
    <t xml:space="preserve">PAS1684</t>
  </si>
  <si>
    <t xml:space="preserve">PORTALEGRE</t>
  </si>
  <si>
    <t xml:space="preserve">59810-000</t>
  </si>
  <si>
    <t xml:space="preserve">59814-999</t>
  </si>
  <si>
    <t xml:space="preserve">PAS1685</t>
  </si>
  <si>
    <t xml:space="preserve">RAFAEL FERNANDES</t>
  </si>
  <si>
    <t xml:space="preserve">59990-000</t>
  </si>
  <si>
    <t xml:space="preserve">59994-999</t>
  </si>
  <si>
    <t xml:space="preserve">PAS1686</t>
  </si>
  <si>
    <t xml:space="preserve">RAFAEL GODEIRO</t>
  </si>
  <si>
    <t xml:space="preserve">59740-000</t>
  </si>
  <si>
    <t xml:space="preserve">59759-999</t>
  </si>
  <si>
    <t xml:space="preserve">PAS1687</t>
  </si>
  <si>
    <t xml:space="preserve">RIACHO DA CRUZ</t>
  </si>
  <si>
    <t xml:space="preserve">59820-000</t>
  </si>
  <si>
    <t xml:space="preserve">59829-999</t>
  </si>
  <si>
    <t xml:space="preserve">PAS1688</t>
  </si>
  <si>
    <t xml:space="preserve">59987-000</t>
  </si>
  <si>
    <t xml:space="preserve">59989-999</t>
  </si>
  <si>
    <t xml:space="preserve">PAS1689</t>
  </si>
  <si>
    <t xml:space="preserve">RODOLFO FERNANDES</t>
  </si>
  <si>
    <t xml:space="preserve">59830-000</t>
  </si>
  <si>
    <t xml:space="preserve">59839-999</t>
  </si>
  <si>
    <t xml:space="preserve">PAS1690</t>
  </si>
  <si>
    <t xml:space="preserve">59420-000</t>
  </si>
  <si>
    <t xml:space="preserve">59429-999</t>
  </si>
  <si>
    <t xml:space="preserve">PAS1691</t>
  </si>
  <si>
    <t xml:space="preserve">59200-000</t>
  </si>
  <si>
    <t xml:space="preserve">59209-999</t>
  </si>
  <si>
    <t xml:space="preserve">PAS1692</t>
  </si>
  <si>
    <t xml:space="preserve">SANTANA DO MATOS</t>
  </si>
  <si>
    <t xml:space="preserve">59520-000</t>
  </si>
  <si>
    <t xml:space="preserve">59527-999</t>
  </si>
  <si>
    <t xml:space="preserve">PAS1693</t>
  </si>
  <si>
    <t xml:space="preserve">SANTANA DO SERIDO</t>
  </si>
  <si>
    <t xml:space="preserve">59350-000</t>
  </si>
  <si>
    <t xml:space="preserve">59354-999</t>
  </si>
  <si>
    <t xml:space="preserve">PAS1694</t>
  </si>
  <si>
    <t xml:space="preserve">SAO BENTO DO NORTE</t>
  </si>
  <si>
    <t xml:space="preserve">59590-000</t>
  </si>
  <si>
    <t xml:space="preserve">59591-999</t>
  </si>
  <si>
    <t xml:space="preserve">PAS1695</t>
  </si>
  <si>
    <t xml:space="preserve">SAO BENTO DO TRAIRI</t>
  </si>
  <si>
    <t xml:space="preserve">59210-000</t>
  </si>
  <si>
    <t xml:space="preserve">59212-999</t>
  </si>
  <si>
    <t xml:space="preserve">PAS1696</t>
  </si>
  <si>
    <t xml:space="preserve">SAO FERNANDO</t>
  </si>
  <si>
    <t xml:space="preserve">59327-000</t>
  </si>
  <si>
    <t xml:space="preserve">59329-999</t>
  </si>
  <si>
    <t xml:space="preserve">PAS1697</t>
  </si>
  <si>
    <t xml:space="preserve">SAO FRANCISCO DO OESTE</t>
  </si>
  <si>
    <t xml:space="preserve">59908-000</t>
  </si>
  <si>
    <t xml:space="preserve">59909-999</t>
  </si>
  <si>
    <t xml:space="preserve">PAS1698</t>
  </si>
  <si>
    <t xml:space="preserve">SAO JOAO DO SABUGI</t>
  </si>
  <si>
    <t xml:space="preserve">59310-000</t>
  </si>
  <si>
    <t xml:space="preserve">59314-999</t>
  </si>
  <si>
    <t xml:space="preserve">PAS1699</t>
  </si>
  <si>
    <t xml:space="preserve">SAO JOSE DO SERIDO</t>
  </si>
  <si>
    <t xml:space="preserve">59378-000</t>
  </si>
  <si>
    <t xml:space="preserve">59379-999</t>
  </si>
  <si>
    <t xml:space="preserve">PAS1700</t>
  </si>
  <si>
    <t xml:space="preserve">SAO MIGUEL</t>
  </si>
  <si>
    <t xml:space="preserve">59920-000</t>
  </si>
  <si>
    <t xml:space="preserve">59924-999</t>
  </si>
  <si>
    <t xml:space="preserve">PAS1701</t>
  </si>
  <si>
    <t xml:space="preserve">SAO MIGUEL DO GOSTOSO</t>
  </si>
  <si>
    <t xml:space="preserve">59585-000</t>
  </si>
  <si>
    <t xml:space="preserve">59585-999</t>
  </si>
  <si>
    <t xml:space="preserve">PAS1702</t>
  </si>
  <si>
    <t xml:space="preserve">SAO VICENTE</t>
  </si>
  <si>
    <t xml:space="preserve">59340-000</t>
  </si>
  <si>
    <t xml:space="preserve">59342-999</t>
  </si>
  <si>
    <t xml:space="preserve">PAS1703</t>
  </si>
  <si>
    <t xml:space="preserve">SERRA CAIADA</t>
  </si>
  <si>
    <t xml:space="preserve">59245-000</t>
  </si>
  <si>
    <t xml:space="preserve">59246-999</t>
  </si>
  <si>
    <t xml:space="preserve">PAS1704</t>
  </si>
  <si>
    <t xml:space="preserve">SERRA DO MEL</t>
  </si>
  <si>
    <t xml:space="preserve">59663-000</t>
  </si>
  <si>
    <t xml:space="preserve">59664-999</t>
  </si>
  <si>
    <t xml:space="preserve">PAS1705</t>
  </si>
  <si>
    <t xml:space="preserve">SERRA NEGRA DO NORTE</t>
  </si>
  <si>
    <t xml:space="preserve">59318-000</t>
  </si>
  <si>
    <t xml:space="preserve">59319-999</t>
  </si>
  <si>
    <t xml:space="preserve">PAS1706</t>
  </si>
  <si>
    <t xml:space="preserve">SERRINHA DOS PINTOS</t>
  </si>
  <si>
    <t xml:space="preserve">59808-000</t>
  </si>
  <si>
    <t xml:space="preserve">59809-999</t>
  </si>
  <si>
    <t xml:space="preserve">PAS1707</t>
  </si>
  <si>
    <t xml:space="preserve">SEVERIANO MELO</t>
  </si>
  <si>
    <t xml:space="preserve">59856-000</t>
  </si>
  <si>
    <t xml:space="preserve">59864-999</t>
  </si>
  <si>
    <t xml:space="preserve">PAS1708</t>
  </si>
  <si>
    <t xml:space="preserve">59440-000</t>
  </si>
  <si>
    <t xml:space="preserve">59459-999</t>
  </si>
  <si>
    <t xml:space="preserve">PAS1709</t>
  </si>
  <si>
    <t xml:space="preserve">TABOLEIRO GRANDE</t>
  </si>
  <si>
    <t xml:space="preserve">59840-000</t>
  </si>
  <si>
    <t xml:space="preserve">59854-999</t>
  </si>
  <si>
    <t xml:space="preserve">PAS1710</t>
  </si>
  <si>
    <t xml:space="preserve">TANGARA</t>
  </si>
  <si>
    <t xml:space="preserve">59240-000</t>
  </si>
  <si>
    <t xml:space="preserve">59243-999</t>
  </si>
  <si>
    <t xml:space="preserve">PAS1711</t>
  </si>
  <si>
    <t xml:space="preserve">TENENTE ANANIAS</t>
  </si>
  <si>
    <t xml:space="preserve">59955-000</t>
  </si>
  <si>
    <t xml:space="preserve">59959-999</t>
  </si>
  <si>
    <t xml:space="preserve">PAS1712</t>
  </si>
  <si>
    <t xml:space="preserve">TENENTE LAURENTINO CRUZ</t>
  </si>
  <si>
    <t xml:space="preserve">59338-000</t>
  </si>
  <si>
    <t xml:space="preserve">59339-999</t>
  </si>
  <si>
    <t xml:space="preserve">PAS1713</t>
  </si>
  <si>
    <t xml:space="preserve">TIBAU</t>
  </si>
  <si>
    <t xml:space="preserve">59678-000</t>
  </si>
  <si>
    <t xml:space="preserve">59679-999</t>
  </si>
  <si>
    <t xml:space="preserve">PAS1714</t>
  </si>
  <si>
    <t xml:space="preserve">TIMBAUBA DOS BATISTAS</t>
  </si>
  <si>
    <t xml:space="preserve">59320-000</t>
  </si>
  <si>
    <t xml:space="preserve">59323-999</t>
  </si>
  <si>
    <t xml:space="preserve">PAS1715</t>
  </si>
  <si>
    <t xml:space="preserve">TRIUNFO POTIGUAR</t>
  </si>
  <si>
    <t xml:space="preserve">59685-000</t>
  </si>
  <si>
    <t xml:space="preserve">59689-999</t>
  </si>
  <si>
    <t xml:space="preserve">PAS1716</t>
  </si>
  <si>
    <t xml:space="preserve">UMARIZAL</t>
  </si>
  <si>
    <t xml:space="preserve">59865-000</t>
  </si>
  <si>
    <t xml:space="preserve">59869-999</t>
  </si>
  <si>
    <t xml:space="preserve">PAS1717</t>
  </si>
  <si>
    <t xml:space="preserve">UPANEMA</t>
  </si>
  <si>
    <t xml:space="preserve">59670-000</t>
  </si>
  <si>
    <t xml:space="preserve">59674-999</t>
  </si>
  <si>
    <t xml:space="preserve">PAS1718</t>
  </si>
  <si>
    <t xml:space="preserve">59185-000</t>
  </si>
  <si>
    <t xml:space="preserve">59186-999</t>
  </si>
  <si>
    <t xml:space="preserve">PAS1719</t>
  </si>
  <si>
    <t xml:space="preserve">VENHA-VER</t>
  </si>
  <si>
    <t xml:space="preserve">59925-000</t>
  </si>
  <si>
    <t xml:space="preserve">59929-999</t>
  </si>
  <si>
    <t xml:space="preserve">PAS1720</t>
  </si>
  <si>
    <t xml:space="preserve">49000-001</t>
  </si>
  <si>
    <t xml:space="preserve">49099-999</t>
  </si>
  <si>
    <t xml:space="preserve">PAS1721</t>
  </si>
  <si>
    <t xml:space="preserve">49150-000</t>
  </si>
  <si>
    <t xml:space="preserve">49169-999</t>
  </si>
  <si>
    <t xml:space="preserve">PAS1722</t>
  </si>
  <si>
    <t xml:space="preserve">49100-000</t>
  </si>
  <si>
    <t xml:space="preserve">49119-999</t>
  </si>
  <si>
    <t xml:space="preserve">PAS1723</t>
  </si>
  <si>
    <t xml:space="preserve">ARAUA</t>
  </si>
  <si>
    <t xml:space="preserve">49220-000</t>
  </si>
  <si>
    <t xml:space="preserve">49229-999</t>
  </si>
  <si>
    <t xml:space="preserve">PAS1724</t>
  </si>
  <si>
    <t xml:space="preserve">59655-000</t>
  </si>
  <si>
    <t xml:space="preserve">59659-999</t>
  </si>
  <si>
    <t xml:space="preserve">PAS1725</t>
  </si>
  <si>
    <t xml:space="preserve">BOQUIM</t>
  </si>
  <si>
    <t xml:space="preserve">49360-000</t>
  </si>
  <si>
    <t xml:space="preserve">49389-999</t>
  </si>
  <si>
    <t xml:space="preserve">PAS1726</t>
  </si>
  <si>
    <t xml:space="preserve">CAMPO DO BRITO</t>
  </si>
  <si>
    <t xml:space="preserve">49520-000</t>
  </si>
  <si>
    <t xml:space="preserve">49524-999</t>
  </si>
  <si>
    <t xml:space="preserve">PAS1727</t>
  </si>
  <si>
    <t xml:space="preserve">57780-000</t>
  </si>
  <si>
    <t xml:space="preserve">57799-999</t>
  </si>
  <si>
    <t xml:space="preserve">PAS1728</t>
  </si>
  <si>
    <t xml:space="preserve">CARMOPOLIS</t>
  </si>
  <si>
    <t xml:space="preserve">49740-000</t>
  </si>
  <si>
    <t xml:space="preserve">49749-999</t>
  </si>
  <si>
    <t xml:space="preserve">PAS1729</t>
  </si>
  <si>
    <t xml:space="preserve">ESTANCIA</t>
  </si>
  <si>
    <t xml:space="preserve">49200-000</t>
  </si>
  <si>
    <t xml:space="preserve">49219-999</t>
  </si>
  <si>
    <t xml:space="preserve">PAS1730</t>
  </si>
  <si>
    <t xml:space="preserve">GENERAL MAYNARD</t>
  </si>
  <si>
    <t xml:space="preserve">49750-000</t>
  </si>
  <si>
    <t xml:space="preserve">49759-999</t>
  </si>
  <si>
    <t xml:space="preserve">PAS1731</t>
  </si>
  <si>
    <t xml:space="preserve">INDIAROBA</t>
  </si>
  <si>
    <t xml:space="preserve">49250-000</t>
  </si>
  <si>
    <t xml:space="preserve">49259-999</t>
  </si>
  <si>
    <t xml:space="preserve">PAS1732</t>
  </si>
  <si>
    <t xml:space="preserve">58360-000</t>
  </si>
  <si>
    <t xml:space="preserve">58369-999</t>
  </si>
  <si>
    <t xml:space="preserve">PAS1733</t>
  </si>
  <si>
    <t xml:space="preserve">ITAPORANGA D AJUDA</t>
  </si>
  <si>
    <t xml:space="preserve">49120-000</t>
  </si>
  <si>
    <t xml:space="preserve">49129-999</t>
  </si>
  <si>
    <t xml:space="preserve">PAS1734</t>
  </si>
  <si>
    <t xml:space="preserve">JAPARATUBA</t>
  </si>
  <si>
    <t xml:space="preserve">49960-000</t>
  </si>
  <si>
    <t xml:space="preserve">49969-999</t>
  </si>
  <si>
    <t xml:space="preserve">PAS1735</t>
  </si>
  <si>
    <t xml:space="preserve">LAGARTO</t>
  </si>
  <si>
    <t xml:space="preserve">49400-000</t>
  </si>
  <si>
    <t xml:space="preserve">49479-999</t>
  </si>
  <si>
    <t xml:space="preserve">PAS1736</t>
  </si>
  <si>
    <t xml:space="preserve">LARANJEIRAS</t>
  </si>
  <si>
    <t xml:space="preserve">49170-000</t>
  </si>
  <si>
    <t xml:space="preserve">49179-999</t>
  </si>
  <si>
    <t xml:space="preserve">PAS1737</t>
  </si>
  <si>
    <t xml:space="preserve">MACAMBIRA</t>
  </si>
  <si>
    <t xml:space="preserve">49565-000</t>
  </si>
  <si>
    <t xml:space="preserve">49569-999</t>
  </si>
  <si>
    <t xml:space="preserve">PAS1738</t>
  </si>
  <si>
    <t xml:space="preserve">MALHADOR</t>
  </si>
  <si>
    <t xml:space="preserve">49570-000</t>
  </si>
  <si>
    <t xml:space="preserve">49579-999</t>
  </si>
  <si>
    <t xml:space="preserve">PAS1739</t>
  </si>
  <si>
    <t xml:space="preserve">MARUIM</t>
  </si>
  <si>
    <t xml:space="preserve">49770-000</t>
  </si>
  <si>
    <t xml:space="preserve">49779-999</t>
  </si>
  <si>
    <t xml:space="preserve">PAS1740</t>
  </si>
  <si>
    <t xml:space="preserve">MURIBECA</t>
  </si>
  <si>
    <t xml:space="preserve">49780-000</t>
  </si>
  <si>
    <t xml:space="preserve">49789-999</t>
  </si>
  <si>
    <t xml:space="preserve">PAS1741</t>
  </si>
  <si>
    <t xml:space="preserve">NOSSA SENHORA DAS DORES</t>
  </si>
  <si>
    <t xml:space="preserve">49600-000</t>
  </si>
  <si>
    <t xml:space="preserve">49629-999</t>
  </si>
  <si>
    <t xml:space="preserve">PAS1742</t>
  </si>
  <si>
    <t xml:space="preserve">PEDRINHAS</t>
  </si>
  <si>
    <t xml:space="preserve">49350-000</t>
  </si>
  <si>
    <t xml:space="preserve">49359-999</t>
  </si>
  <si>
    <t xml:space="preserve">PAS1743</t>
  </si>
  <si>
    <t xml:space="preserve">59470-000</t>
  </si>
  <si>
    <t xml:space="preserve">59479-999</t>
  </si>
  <si>
    <t xml:space="preserve">PAS1744</t>
  </si>
  <si>
    <t xml:space="preserve">RIBEIROPOLIS</t>
  </si>
  <si>
    <t xml:space="preserve">49530-000</t>
  </si>
  <si>
    <t xml:space="preserve">49534-999</t>
  </si>
  <si>
    <t xml:space="preserve">PAS1745</t>
  </si>
  <si>
    <t xml:space="preserve">ROSARIO DO CATETE</t>
  </si>
  <si>
    <t xml:space="preserve">49760-000</t>
  </si>
  <si>
    <t xml:space="preserve">49769-999</t>
  </si>
  <si>
    <t xml:space="preserve">PAS1746</t>
  </si>
  <si>
    <t xml:space="preserve">SALGADO</t>
  </si>
  <si>
    <t xml:space="preserve">49390-000</t>
  </si>
  <si>
    <t xml:space="preserve">49399-999</t>
  </si>
  <si>
    <t xml:space="preserve">PAS1747</t>
  </si>
  <si>
    <t xml:space="preserve">SANTO AMARO DAS BROTAS</t>
  </si>
  <si>
    <t xml:space="preserve">49180-000</t>
  </si>
  <si>
    <t xml:space="preserve">49189-999</t>
  </si>
  <si>
    <t xml:space="preserve">PAS1748</t>
  </si>
  <si>
    <t xml:space="preserve">58853-000</t>
  </si>
  <si>
    <t xml:space="preserve">58854-999</t>
  </si>
  <si>
    <t xml:space="preserve">PAS1749</t>
  </si>
  <si>
    <t xml:space="preserve">SIRIRI</t>
  </si>
  <si>
    <t xml:space="preserve">49630-000</t>
  </si>
  <si>
    <t xml:space="preserve">49639-999</t>
  </si>
  <si>
    <t xml:space="preserve">PAS1750</t>
  </si>
  <si>
    <t xml:space="preserve">49260-000</t>
  </si>
  <si>
    <t xml:space="preserve">49269-999</t>
  </si>
  <si>
    <t xml:space="preserve">PAS1751</t>
  </si>
  <si>
    <t xml:space="preserve">AMPARO DE SAO FRANCISCO</t>
  </si>
  <si>
    <t xml:space="preserve">49920-000</t>
  </si>
  <si>
    <t xml:space="preserve">49929-999</t>
  </si>
  <si>
    <t xml:space="preserve">PAS1752</t>
  </si>
  <si>
    <t xml:space="preserve">AQUIDABA</t>
  </si>
  <si>
    <t xml:space="preserve">49790-000</t>
  </si>
  <si>
    <t xml:space="preserve">49799-999</t>
  </si>
  <si>
    <t xml:space="preserve">PAS1753</t>
  </si>
  <si>
    <t xml:space="preserve">49140-000</t>
  </si>
  <si>
    <t xml:space="preserve">49149-999</t>
  </si>
  <si>
    <t xml:space="preserve">PAS1754</t>
  </si>
  <si>
    <t xml:space="preserve">BREJO GRANDE</t>
  </si>
  <si>
    <t xml:space="preserve">49995-000</t>
  </si>
  <si>
    <t xml:space="preserve">49999-999</t>
  </si>
  <si>
    <t xml:space="preserve">PAS1755</t>
  </si>
  <si>
    <t xml:space="preserve">CANHOBA</t>
  </si>
  <si>
    <t xml:space="preserve">49880-000</t>
  </si>
  <si>
    <t xml:space="preserve">49889-999</t>
  </si>
  <si>
    <t xml:space="preserve">PAS1756</t>
  </si>
  <si>
    <t xml:space="preserve">CANINDE DE SAO FRANCISCO</t>
  </si>
  <si>
    <t xml:space="preserve">49820-000</t>
  </si>
  <si>
    <t xml:space="preserve">49829-999</t>
  </si>
  <si>
    <t xml:space="preserve">PAS1757</t>
  </si>
  <si>
    <t xml:space="preserve">CARIRA</t>
  </si>
  <si>
    <t xml:space="preserve">49550-000</t>
  </si>
  <si>
    <t xml:space="preserve">49559-999</t>
  </si>
  <si>
    <t xml:space="preserve">PAS1758</t>
  </si>
  <si>
    <t xml:space="preserve">CEDRO DE SAO JOAO</t>
  </si>
  <si>
    <t xml:space="preserve">49930-000</t>
  </si>
  <si>
    <t xml:space="preserve">49939-999</t>
  </si>
  <si>
    <t xml:space="preserve">PAS1759</t>
  </si>
  <si>
    <t xml:space="preserve">49270-000</t>
  </si>
  <si>
    <t xml:space="preserve">49279-999</t>
  </si>
  <si>
    <t xml:space="preserve">PAS1760</t>
  </si>
  <si>
    <t xml:space="preserve">CUMBE</t>
  </si>
  <si>
    <t xml:space="preserve">49660-000</t>
  </si>
  <si>
    <t xml:space="preserve">49669-999</t>
  </si>
  <si>
    <t xml:space="preserve">PAS1761</t>
  </si>
  <si>
    <t xml:space="preserve">DIVINA PASTORA</t>
  </si>
  <si>
    <t xml:space="preserve">49650-000</t>
  </si>
  <si>
    <t xml:space="preserve">49659-999</t>
  </si>
  <si>
    <t xml:space="preserve">PAS1762</t>
  </si>
  <si>
    <t xml:space="preserve">55715-000</t>
  </si>
  <si>
    <t xml:space="preserve">55719-999</t>
  </si>
  <si>
    <t xml:space="preserve">PAS1763</t>
  </si>
  <si>
    <t xml:space="preserve">FREI PAULO</t>
  </si>
  <si>
    <t xml:space="preserve">49514-000</t>
  </si>
  <si>
    <t xml:space="preserve">49516-999</t>
  </si>
  <si>
    <t xml:space="preserve">PAS1764</t>
  </si>
  <si>
    <t xml:space="preserve">GARARU</t>
  </si>
  <si>
    <t xml:space="preserve">49830-000</t>
  </si>
  <si>
    <t xml:space="preserve">49859-999</t>
  </si>
  <si>
    <t xml:space="preserve">PAS1765</t>
  </si>
  <si>
    <t xml:space="preserve">GRACCHO CARDOSO</t>
  </si>
  <si>
    <t xml:space="preserve">49860-000</t>
  </si>
  <si>
    <t xml:space="preserve">49869-999</t>
  </si>
  <si>
    <t xml:space="preserve">PAS1766</t>
  </si>
  <si>
    <t xml:space="preserve">ILHA DAS FLORES</t>
  </si>
  <si>
    <t xml:space="preserve">49990-000</t>
  </si>
  <si>
    <t xml:space="preserve">49994-999</t>
  </si>
  <si>
    <t xml:space="preserve">PAS1767</t>
  </si>
  <si>
    <t xml:space="preserve">ITABAIANINHA</t>
  </si>
  <si>
    <t xml:space="preserve">49290-000</t>
  </si>
  <si>
    <t xml:space="preserve">49299-999</t>
  </si>
  <si>
    <t xml:space="preserve">PAS1768</t>
  </si>
  <si>
    <t xml:space="preserve">ITABI</t>
  </si>
  <si>
    <t xml:space="preserve">49870-000</t>
  </si>
  <si>
    <t xml:space="preserve">49879-999</t>
  </si>
  <si>
    <t xml:space="preserve">PAS1769</t>
  </si>
  <si>
    <t xml:space="preserve">JAPOATA</t>
  </si>
  <si>
    <t xml:space="preserve">49950-000</t>
  </si>
  <si>
    <t xml:space="preserve">49959-999</t>
  </si>
  <si>
    <t xml:space="preserve">PAS1770</t>
  </si>
  <si>
    <t xml:space="preserve">MALHADA DOS BOIS</t>
  </si>
  <si>
    <t xml:space="preserve">49940-000</t>
  </si>
  <si>
    <t xml:space="preserve">49944-999</t>
  </si>
  <si>
    <t xml:space="preserve">PAS1771</t>
  </si>
  <si>
    <t xml:space="preserve">MOITA BONITA</t>
  </si>
  <si>
    <t xml:space="preserve">49560-000</t>
  </si>
  <si>
    <t xml:space="preserve">49564-999</t>
  </si>
  <si>
    <t xml:space="preserve">PAS1772</t>
  </si>
  <si>
    <t xml:space="preserve">MONTE ALEGRE DE SERGIPE</t>
  </si>
  <si>
    <t xml:space="preserve">49690-000</t>
  </si>
  <si>
    <t xml:space="preserve">49699-999</t>
  </si>
  <si>
    <t xml:space="preserve">PAS1773</t>
  </si>
  <si>
    <t xml:space="preserve">NEOPOLIS</t>
  </si>
  <si>
    <t xml:space="preserve">49980-000</t>
  </si>
  <si>
    <t xml:space="preserve">49984-999</t>
  </si>
  <si>
    <t xml:space="preserve">PAS1774</t>
  </si>
  <si>
    <t xml:space="preserve">NOSSA SENHORA APARECIDA</t>
  </si>
  <si>
    <t xml:space="preserve">49540-000</t>
  </si>
  <si>
    <t xml:space="preserve">49549-999</t>
  </si>
  <si>
    <t xml:space="preserve">PAS1775</t>
  </si>
  <si>
    <t xml:space="preserve">49680-000</t>
  </si>
  <si>
    <t xml:space="preserve">49689-999</t>
  </si>
  <si>
    <t xml:space="preserve">PAS1776</t>
  </si>
  <si>
    <t xml:space="preserve">NOSSA SENHORA DE LOURDES</t>
  </si>
  <si>
    <t xml:space="preserve">49890-000</t>
  </si>
  <si>
    <t xml:space="preserve">49899-999</t>
  </si>
  <si>
    <t xml:space="preserve">PAS1777</t>
  </si>
  <si>
    <t xml:space="preserve">61800-001</t>
  </si>
  <si>
    <t xml:space="preserve">61879-999</t>
  </si>
  <si>
    <t xml:space="preserve">PAS1778</t>
  </si>
  <si>
    <t xml:space="preserve">PEDRA MOLE</t>
  </si>
  <si>
    <t xml:space="preserve">49512-000</t>
  </si>
  <si>
    <t xml:space="preserve">49513-999</t>
  </si>
  <si>
    <t xml:space="preserve">PAS1779</t>
  </si>
  <si>
    <t xml:space="preserve">PINHAO</t>
  </si>
  <si>
    <t xml:space="preserve">49517-000</t>
  </si>
  <si>
    <t xml:space="preserve">49519-999</t>
  </si>
  <si>
    <t xml:space="preserve">PAS1780</t>
  </si>
  <si>
    <t xml:space="preserve">PIRAMBU</t>
  </si>
  <si>
    <t xml:space="preserve">49190-000</t>
  </si>
  <si>
    <t xml:space="preserve">49199-999</t>
  </si>
  <si>
    <t xml:space="preserve">PAS1781</t>
  </si>
  <si>
    <t xml:space="preserve">POCO REDONDO</t>
  </si>
  <si>
    <t xml:space="preserve">49810-000</t>
  </si>
  <si>
    <t xml:space="preserve">49819-999</t>
  </si>
  <si>
    <t xml:space="preserve">PAS1782</t>
  </si>
  <si>
    <t xml:space="preserve">49490-000</t>
  </si>
  <si>
    <t xml:space="preserve">49499-999</t>
  </si>
  <si>
    <t xml:space="preserve">PAS1783</t>
  </si>
  <si>
    <t xml:space="preserve">PORTO DA FOLHA</t>
  </si>
  <si>
    <t xml:space="preserve">49800-000</t>
  </si>
  <si>
    <t xml:space="preserve">49809-999</t>
  </si>
  <si>
    <t xml:space="preserve">PAS1784</t>
  </si>
  <si>
    <t xml:space="preserve">PROPRIA</t>
  </si>
  <si>
    <t xml:space="preserve">49900-000</t>
  </si>
  <si>
    <t xml:space="preserve">49909-999</t>
  </si>
  <si>
    <t xml:space="preserve">PAS1785</t>
  </si>
  <si>
    <t xml:space="preserve">RIACHAO DO DANTAS</t>
  </si>
  <si>
    <t xml:space="preserve">49320-000</t>
  </si>
  <si>
    <t xml:space="preserve">49349-999</t>
  </si>
  <si>
    <t xml:space="preserve">PAS1786</t>
  </si>
  <si>
    <t xml:space="preserve">SANTA LUZIA DO ITANHY</t>
  </si>
  <si>
    <t xml:space="preserve">49230-000</t>
  </si>
  <si>
    <t xml:space="preserve">49249-999</t>
  </si>
  <si>
    <t xml:space="preserve">PAS1787</t>
  </si>
  <si>
    <t xml:space="preserve">SANTA ROSA DE LIMA</t>
  </si>
  <si>
    <t xml:space="preserve">49640-000</t>
  </si>
  <si>
    <t xml:space="preserve">49649-999</t>
  </si>
  <si>
    <t xml:space="preserve">PAS1788</t>
  </si>
  <si>
    <t xml:space="preserve">SANTANA DO SAO FRANCISCO</t>
  </si>
  <si>
    <t xml:space="preserve">49985-000</t>
  </si>
  <si>
    <t xml:space="preserve">49989-999</t>
  </si>
  <si>
    <t xml:space="preserve">PAS1789</t>
  </si>
  <si>
    <t xml:space="preserve">58818-000</t>
  </si>
  <si>
    <t xml:space="preserve">58818-999</t>
  </si>
  <si>
    <t xml:space="preserve">PAS1790</t>
  </si>
  <si>
    <t xml:space="preserve">SAO MIGUEL DO ALEIXO</t>
  </si>
  <si>
    <t xml:space="preserve">49535-000</t>
  </si>
  <si>
    <t xml:space="preserve">49539-999</t>
  </si>
  <si>
    <t xml:space="preserve">PAS1791</t>
  </si>
  <si>
    <t xml:space="preserve">49480-000</t>
  </si>
  <si>
    <t xml:space="preserve">49489-999</t>
  </si>
  <si>
    <t xml:space="preserve">PAS1792</t>
  </si>
  <si>
    <t xml:space="preserve">TELHA</t>
  </si>
  <si>
    <t xml:space="preserve">49910-000</t>
  </si>
  <si>
    <t xml:space="preserve">49919-999</t>
  </si>
  <si>
    <t xml:space="preserve">PAS1793</t>
  </si>
  <si>
    <t xml:space="preserve">TOBIAS BARRETO</t>
  </si>
  <si>
    <t xml:space="preserve">49300-000</t>
  </si>
  <si>
    <t xml:space="preserve">49319-999</t>
  </si>
  <si>
    <t xml:space="preserve">PAS1794</t>
  </si>
  <si>
    <t xml:space="preserve">TOMAR DO GERU</t>
  </si>
  <si>
    <t xml:space="preserve">49280-000</t>
  </si>
  <si>
    <t xml:space="preserve">49289-999</t>
  </si>
  <si>
    <t xml:space="preserve">UF emissão CT-e</t>
  </si>
  <si>
    <t xml:space="preserve">Nº CT-e</t>
  </si>
  <si>
    <t xml:space="preserve">Data CT-e</t>
  </si>
  <si>
    <t xml:space="preserve">NF</t>
  </si>
  <si>
    <t xml:space="preserve">CEP</t>
  </si>
  <si>
    <t xml:space="preserve">Peso bruto (kg)</t>
  </si>
  <si>
    <t xml:space="preserve">Valor NF (R$)</t>
  </si>
  <si>
    <t xml:space="preserve">Frete atual c/ imp. (R$)</t>
  </si>
  <si>
    <t xml:space="preserve">ID faixa Passaro</t>
  </si>
  <si>
    <t xml:space="preserve">Linha tabela</t>
  </si>
  <si>
    <t xml:space="preserve">Cidade (tabela Passaro)</t>
  </si>
  <si>
    <t xml:space="preserve">UF (tabela Passaro)</t>
  </si>
  <si>
    <t xml:space="preserve">Taxa CT-e</t>
  </si>
  <si>
    <t xml:space="preserve">Outra taxa</t>
  </si>
  <si>
    <t xml:space="preserve">TRT</t>
  </si>
  <si>
    <t xml:space="preserve">Subtotal s/ ICMS</t>
  </si>
  <si>
    <t xml:space="preserve">Frete PASSARO c/ ICMS (R$)</t>
  </si>
  <si>
    <t xml:space="preserve">Diferença (Passaro − Atual)</t>
  </si>
  <si>
    <t xml:space="preserve">Mais barato</t>
  </si>
  <si>
    <t xml:space="preserve">Alerta</t>
  </si>
  <si>
    <t xml:space="preserve">Passaro PROPOSTA 1 c/ TRT/TDA (R$)</t>
  </si>
  <si>
    <t xml:space="preserve">Área Passaro</t>
  </si>
  <si>
    <t xml:space="preserve">57038620</t>
  </si>
  <si>
    <t xml:space="preserve">RS</t>
  </si>
  <si>
    <t xml:space="preserve">57018400</t>
  </si>
  <si>
    <t xml:space="preserve">MG</t>
  </si>
  <si>
    <t xml:space="preserve">57010050</t>
  </si>
  <si>
    <t xml:space="preserve">57015111</t>
  </si>
  <si>
    <t xml:space="preserve">57074400</t>
  </si>
  <si>
    <t xml:space="preserve">57043000</t>
  </si>
  <si>
    <t xml:space="preserve">57035400</t>
  </si>
  <si>
    <t xml:space="preserve">57052827</t>
  </si>
  <si>
    <t xml:space="preserve">57035740</t>
  </si>
  <si>
    <t xml:space="preserve">57035230</t>
  </si>
  <si>
    <t xml:space="preserve">57043310</t>
  </si>
  <si>
    <t xml:space="preserve">57017255</t>
  </si>
  <si>
    <t xml:space="preserve">57045622</t>
  </si>
  <si>
    <t xml:space="preserve">57025260</t>
  </si>
  <si>
    <t xml:space="preserve">57081131</t>
  </si>
  <si>
    <t xml:space="preserve">57046831</t>
  </si>
  <si>
    <t xml:space="preserve">57060182</t>
  </si>
  <si>
    <t xml:space="preserve">57015265</t>
  </si>
  <si>
    <t xml:space="preserve">57035851</t>
  </si>
  <si>
    <t xml:space="preserve">57035610</t>
  </si>
  <si>
    <t xml:space="preserve">57072245</t>
  </si>
  <si>
    <t xml:space="preserve">57086172</t>
  </si>
  <si>
    <t xml:space="preserve">57073510</t>
  </si>
  <si>
    <t xml:space="preserve">57039842</t>
  </si>
  <si>
    <t xml:space="preserve">57071700</t>
  </si>
  <si>
    <t xml:space="preserve">57062593</t>
  </si>
  <si>
    <t xml:space="preserve">57080549</t>
  </si>
  <si>
    <t xml:space="preserve">57052580</t>
  </si>
  <si>
    <t xml:space="preserve">57045480</t>
  </si>
  <si>
    <t xml:space="preserve">57041622</t>
  </si>
  <si>
    <t xml:space="preserve">57085390</t>
  </si>
  <si>
    <t xml:space="preserve">57075048</t>
  </si>
  <si>
    <t xml:space="preserve">57082792</t>
  </si>
  <si>
    <t xml:space="preserve">57014680</t>
  </si>
  <si>
    <t xml:space="preserve">57062632</t>
  </si>
  <si>
    <t xml:space="preserve">57081120</t>
  </si>
  <si>
    <t xml:space="preserve">57039201</t>
  </si>
  <si>
    <t xml:space="preserve">57071142</t>
  </si>
  <si>
    <t xml:space="preserve">57025870</t>
  </si>
  <si>
    <t xml:space="preserve">57040500</t>
  </si>
  <si>
    <t xml:space="preserve">57085060</t>
  </si>
  <si>
    <t xml:space="preserve">57017210</t>
  </si>
  <si>
    <t xml:space="preserve">57084136</t>
  </si>
  <si>
    <t xml:space="preserve">57017601</t>
  </si>
  <si>
    <t xml:space="preserve">57010375</t>
  </si>
  <si>
    <t xml:space="preserve">57035-670</t>
  </si>
  <si>
    <t xml:space="preserve">57014498</t>
  </si>
  <si>
    <t xml:space="preserve">57018524</t>
  </si>
  <si>
    <t xml:space="preserve">57073590</t>
  </si>
  <si>
    <t xml:space="preserve">57083185</t>
  </si>
  <si>
    <t xml:space="preserve">57046258</t>
  </si>
  <si>
    <t xml:space="preserve">57015573</t>
  </si>
  <si>
    <t xml:space="preserve">57051000</t>
  </si>
  <si>
    <t xml:space="preserve">57073383</t>
  </si>
  <si>
    <t xml:space="preserve">57038230</t>
  </si>
  <si>
    <t xml:space="preserve">57052350</t>
  </si>
  <si>
    <t xml:space="preserve">57075550</t>
  </si>
  <si>
    <t xml:space="preserve">57045265</t>
  </si>
  <si>
    <t xml:space="preserve">57071087</t>
  </si>
  <si>
    <t xml:space="preserve">57038430</t>
  </si>
  <si>
    <t xml:space="preserve">57010383</t>
  </si>
  <si>
    <t xml:space="preserve">57055235</t>
  </si>
  <si>
    <t xml:space="preserve">57072257</t>
  </si>
  <si>
    <t xml:space="preserve">57062165</t>
  </si>
  <si>
    <t xml:space="preserve">57073470</t>
  </si>
  <si>
    <t xml:space="preserve">57073490</t>
  </si>
  <si>
    <t xml:space="preserve">57042774</t>
  </si>
  <si>
    <t xml:space="preserve">57035160</t>
  </si>
  <si>
    <t xml:space="preserve">57084148</t>
  </si>
  <si>
    <t xml:space="preserve">57073090</t>
  </si>
  <si>
    <t xml:space="preserve">57070535</t>
  </si>
  <si>
    <t xml:space="preserve">57071190</t>
  </si>
  <si>
    <t xml:space="preserve">SP</t>
  </si>
  <si>
    <t xml:space="preserve">57073480</t>
  </si>
  <si>
    <t xml:space="preserve">57010368</t>
  </si>
  <si>
    <t xml:space="preserve">57073452</t>
  </si>
  <si>
    <t xml:space="preserve">57071601</t>
  </si>
  <si>
    <t xml:space="preserve">57060280</t>
  </si>
  <si>
    <t xml:space="preserve">57018570</t>
  </si>
  <si>
    <t xml:space="preserve">57046341</t>
  </si>
  <si>
    <t xml:space="preserve">57020420</t>
  </si>
  <si>
    <t xml:space="preserve">57081780</t>
  </si>
  <si>
    <t xml:space="preserve">57071002</t>
  </si>
  <si>
    <t xml:space="preserve">57035060</t>
  </si>
  <si>
    <t xml:space="preserve">57062811</t>
  </si>
  <si>
    <t xml:space="preserve">57018510</t>
  </si>
  <si>
    <t xml:space="preserve">57073451</t>
  </si>
  <si>
    <t xml:space="preserve">57072258</t>
  </si>
  <si>
    <t xml:space="preserve">57072372</t>
  </si>
  <si>
    <t xml:space="preserve">57084440</t>
  </si>
  <si>
    <t xml:space="preserve">57072471</t>
  </si>
  <si>
    <t xml:space="preserve">57035686</t>
  </si>
  <si>
    <t xml:space="preserve">57063000</t>
  </si>
  <si>
    <t xml:space="preserve">57085779</t>
  </si>
  <si>
    <t xml:space="preserve">57074202</t>
  </si>
  <si>
    <t xml:space="preserve">57015430</t>
  </si>
  <si>
    <t xml:space="preserve">57035120</t>
  </si>
  <si>
    <t xml:space="preserve">57046295</t>
  </si>
  <si>
    <t xml:space="preserve">57046256</t>
  </si>
  <si>
    <t xml:space="preserve">57046780</t>
  </si>
  <si>
    <t xml:space="preserve">57084700</t>
  </si>
  <si>
    <t xml:space="preserve">57082136</t>
  </si>
  <si>
    <t xml:space="preserve">57052860</t>
  </si>
  <si>
    <t xml:space="preserve">57045000</t>
  </si>
  <si>
    <t xml:space="preserve">57085210</t>
  </si>
  <si>
    <t xml:space="preserve">57041540</t>
  </si>
  <si>
    <t xml:space="preserve">57038680</t>
  </si>
  <si>
    <t xml:space="preserve">57303132</t>
  </si>
  <si>
    <t xml:space="preserve">57309610</t>
  </si>
  <si>
    <t xml:space="preserve">57307330</t>
  </si>
  <si>
    <t xml:space="preserve">57304000</t>
  </si>
  <si>
    <t xml:space="preserve">57314110</t>
  </si>
  <si>
    <t xml:space="preserve">57301706</t>
  </si>
  <si>
    <t xml:space="preserve">57302676</t>
  </si>
  <si>
    <t xml:space="preserve">57304190</t>
  </si>
  <si>
    <t xml:space="preserve">57309429</t>
  </si>
  <si>
    <t xml:space="preserve">57305340</t>
  </si>
  <si>
    <t xml:space="preserve">57309750</t>
  </si>
  <si>
    <t xml:space="preserve">57303310</t>
  </si>
  <si>
    <t xml:space="preserve">57309618</t>
  </si>
  <si>
    <t xml:space="preserve">57309806</t>
  </si>
  <si>
    <t xml:space="preserve">57303706</t>
  </si>
  <si>
    <t xml:space="preserve">57312590</t>
  </si>
  <si>
    <t xml:space="preserve">57307740</t>
  </si>
  <si>
    <t xml:space="preserve">57314140</t>
  </si>
  <si>
    <t xml:space="preserve">57303100</t>
  </si>
  <si>
    <t xml:space="preserve">57300970</t>
  </si>
  <si>
    <t xml:space="preserve">57318600</t>
  </si>
  <si>
    <t xml:space="preserve">57303349</t>
  </si>
  <si>
    <t xml:space="preserve">57315745</t>
  </si>
  <si>
    <t xml:space="preserve">57303770</t>
  </si>
  <si>
    <t xml:space="preserve">57304410</t>
  </si>
  <si>
    <t xml:space="preserve">57160000</t>
  </si>
  <si>
    <t xml:space="preserve">57100000</t>
  </si>
  <si>
    <t xml:space="preserve">57955000</t>
  </si>
  <si>
    <t xml:space="preserve">57480000</t>
  </si>
  <si>
    <t xml:space="preserve">57467020</t>
  </si>
  <si>
    <t xml:space="preserve">57467070</t>
  </si>
  <si>
    <t xml:space="preserve">57462060</t>
  </si>
  <si>
    <t xml:space="preserve">57940000</t>
  </si>
  <si>
    <t xml:space="preserve">57900000</t>
  </si>
  <si>
    <t xml:space="preserve">57920000</t>
  </si>
  <si>
    <t xml:space="preserve">41620620</t>
  </si>
  <si>
    <t xml:space="preserve">40330475</t>
  </si>
  <si>
    <t xml:space="preserve">41950220</t>
  </si>
  <si>
    <t xml:space="preserve">41310160</t>
  </si>
  <si>
    <t xml:space="preserve">40240440</t>
  </si>
  <si>
    <t xml:space="preserve">40279680</t>
  </si>
  <si>
    <t xml:space="preserve">40472690</t>
  </si>
  <si>
    <t xml:space="preserve">40440532</t>
  </si>
  <si>
    <t xml:space="preserve">41192041</t>
  </si>
  <si>
    <t xml:space="preserve">41830270</t>
  </si>
  <si>
    <t xml:space="preserve">41412334</t>
  </si>
  <si>
    <t xml:space="preserve">40285610</t>
  </si>
  <si>
    <t xml:space="preserve">40435480</t>
  </si>
  <si>
    <t xml:space="preserve">41150000</t>
  </si>
  <si>
    <t xml:space="preserve">41630670</t>
  </si>
  <si>
    <t xml:space="preserve">40315360</t>
  </si>
  <si>
    <t xml:space="preserve">40335611</t>
  </si>
  <si>
    <t xml:space="preserve">41225700</t>
  </si>
  <si>
    <t xml:space="preserve">41350040</t>
  </si>
  <si>
    <t xml:space="preserve">41730140</t>
  </si>
  <si>
    <t xml:space="preserve">40773395</t>
  </si>
  <si>
    <t xml:space="preserve">41197060</t>
  </si>
  <si>
    <t xml:space="preserve">41601290</t>
  </si>
  <si>
    <t xml:space="preserve">41925090</t>
  </si>
  <si>
    <t xml:space="preserve">41260015</t>
  </si>
  <si>
    <t xml:space="preserve">40343440</t>
  </si>
  <si>
    <t xml:space="preserve">41741010</t>
  </si>
  <si>
    <t xml:space="preserve">40310650</t>
  </si>
  <si>
    <t xml:space="preserve">41706010</t>
  </si>
  <si>
    <t xml:space="preserve">41720275</t>
  </si>
  <si>
    <t xml:space="preserve">41250480</t>
  </si>
  <si>
    <t xml:space="preserve">41345100</t>
  </si>
  <si>
    <t xml:space="preserve">40491585</t>
  </si>
  <si>
    <t xml:space="preserve">40454080</t>
  </si>
  <si>
    <t xml:space="preserve">40230320</t>
  </si>
  <si>
    <t xml:space="preserve">41830300</t>
  </si>
  <si>
    <t xml:space="preserve">40450665</t>
  </si>
  <si>
    <t xml:space="preserve">41830500</t>
  </si>
  <si>
    <t xml:space="preserve">41256210</t>
  </si>
  <si>
    <t xml:space="preserve">41351175</t>
  </si>
  <si>
    <t xml:space="preserve">41830070</t>
  </si>
  <si>
    <t xml:space="preserve">41219482</t>
  </si>
  <si>
    <t xml:space="preserve">41315180</t>
  </si>
  <si>
    <t xml:space="preserve">41100290</t>
  </si>
  <si>
    <t xml:space="preserve">40344230</t>
  </si>
  <si>
    <t xml:space="preserve">41620837</t>
  </si>
  <si>
    <t xml:space="preserve">41150850</t>
  </si>
  <si>
    <t xml:space="preserve">40340330</t>
  </si>
  <si>
    <t xml:space="preserve">40471410</t>
  </si>
  <si>
    <t xml:space="preserve">40391116</t>
  </si>
  <si>
    <t xml:space="preserve">41370120</t>
  </si>
  <si>
    <t xml:space="preserve">40321085</t>
  </si>
  <si>
    <t xml:space="preserve">41254445</t>
  </si>
  <si>
    <t xml:space="preserve">41481175</t>
  </si>
  <si>
    <t xml:space="preserve">41342385</t>
  </si>
  <si>
    <t xml:space="preserve">40732135</t>
  </si>
  <si>
    <t xml:space="preserve">41315010</t>
  </si>
  <si>
    <t xml:space="preserve">40415240</t>
  </si>
  <si>
    <t xml:space="preserve">40391050</t>
  </si>
  <si>
    <t xml:space="preserve">40390609</t>
  </si>
  <si>
    <t xml:space="preserve">40260465</t>
  </si>
  <si>
    <t xml:space="preserve">40748485</t>
  </si>
  <si>
    <t xml:space="preserve">41600100</t>
  </si>
  <si>
    <t xml:space="preserve">40150170</t>
  </si>
  <si>
    <t xml:space="preserve">41720375</t>
  </si>
  <si>
    <t xml:space="preserve">41740035</t>
  </si>
  <si>
    <t xml:space="preserve">40050460</t>
  </si>
  <si>
    <t xml:space="preserve">41385120</t>
  </si>
  <si>
    <t xml:space="preserve">40712495</t>
  </si>
  <si>
    <t xml:space="preserve">41502135</t>
  </si>
  <si>
    <t xml:space="preserve">41250020</t>
  </si>
  <si>
    <t xml:space="preserve">40421580</t>
  </si>
  <si>
    <t xml:space="preserve">41760160</t>
  </si>
  <si>
    <t xml:space="preserve">41253230</t>
  </si>
  <si>
    <t xml:space="preserve">41180390</t>
  </si>
  <si>
    <t xml:space="preserve">40394130</t>
  </si>
  <si>
    <t xml:space="preserve">40471795</t>
  </si>
  <si>
    <t xml:space="preserve">41321460</t>
  </si>
  <si>
    <t xml:space="preserve">41347360</t>
  </si>
  <si>
    <t xml:space="preserve">40708705</t>
  </si>
  <si>
    <t xml:space="preserve">41130085</t>
  </si>
  <si>
    <t xml:space="preserve">41211480</t>
  </si>
  <si>
    <t xml:space="preserve">40711825</t>
  </si>
  <si>
    <t xml:space="preserve">41925370</t>
  </si>
  <si>
    <t xml:space="preserve">40070290</t>
  </si>
  <si>
    <t xml:space="preserve">41341545</t>
  </si>
  <si>
    <t xml:space="preserve">41280630</t>
  </si>
  <si>
    <t xml:space="preserve">41290730</t>
  </si>
  <si>
    <t xml:space="preserve">40230621</t>
  </si>
  <si>
    <t xml:space="preserve">41339230</t>
  </si>
  <si>
    <t xml:space="preserve">41300250</t>
  </si>
  <si>
    <t xml:space="preserve">41218091</t>
  </si>
  <si>
    <t xml:space="preserve">41770035</t>
  </si>
  <si>
    <t xml:space="preserve">41185230</t>
  </si>
  <si>
    <t xml:space="preserve">41310485</t>
  </si>
  <si>
    <t xml:space="preserve">41502200</t>
  </si>
  <si>
    <t xml:space="preserve">41820410</t>
  </si>
  <si>
    <t xml:space="preserve">40260001</t>
  </si>
  <si>
    <t xml:space="preserve">40323295</t>
  </si>
  <si>
    <t xml:space="preserve">41345310</t>
  </si>
  <si>
    <t xml:space="preserve">41927265</t>
  </si>
  <si>
    <t xml:space="preserve">40454120</t>
  </si>
  <si>
    <t xml:space="preserve">41227068</t>
  </si>
  <si>
    <t xml:space="preserve">41099145</t>
  </si>
  <si>
    <t xml:space="preserve">41195410</t>
  </si>
  <si>
    <t xml:space="preserve">41214555</t>
  </si>
  <si>
    <t xml:space="preserve">40340440</t>
  </si>
  <si>
    <t xml:space="preserve">41610685</t>
  </si>
  <si>
    <t xml:space="preserve">41301240</t>
  </si>
  <si>
    <t xml:space="preserve">40773470</t>
  </si>
  <si>
    <t xml:space="preserve">41621135</t>
  </si>
  <si>
    <t xml:space="preserve">41515120</t>
  </si>
  <si>
    <t xml:space="preserve">41280000</t>
  </si>
  <si>
    <t xml:space="preserve">40230106</t>
  </si>
  <si>
    <t xml:space="preserve">41211385</t>
  </si>
  <si>
    <t xml:space="preserve">40250020</t>
  </si>
  <si>
    <t xml:space="preserve">40385685</t>
  </si>
  <si>
    <t xml:space="preserve">40375000</t>
  </si>
  <si>
    <t xml:space="preserve">41940426</t>
  </si>
  <si>
    <t xml:space="preserve">41940840</t>
  </si>
  <si>
    <t xml:space="preserve">40270550</t>
  </si>
  <si>
    <t xml:space="preserve">41500350</t>
  </si>
  <si>
    <t xml:space="preserve">41310493</t>
  </si>
  <si>
    <t xml:space="preserve">41710200</t>
  </si>
  <si>
    <t xml:space="preserve">40772140</t>
  </si>
  <si>
    <t xml:space="preserve">41110020</t>
  </si>
  <si>
    <t xml:space="preserve">41620660</t>
  </si>
  <si>
    <t xml:space="preserve">41720070</t>
  </si>
  <si>
    <t xml:space="preserve">41207380</t>
  </si>
  <si>
    <t xml:space="preserve">41343800</t>
  </si>
  <si>
    <t xml:space="preserve">41335360</t>
  </si>
  <si>
    <t xml:space="preserve">41180000</t>
  </si>
  <si>
    <t xml:space="preserve">40230682</t>
  </si>
  <si>
    <t xml:space="preserve">40320690</t>
  </si>
  <si>
    <t xml:space="preserve">40335000</t>
  </si>
  <si>
    <t xml:space="preserve">40773460</t>
  </si>
  <si>
    <t xml:space="preserve">41342470</t>
  </si>
  <si>
    <t xml:space="preserve">41615260</t>
  </si>
  <si>
    <t xml:space="preserve">40391060</t>
  </si>
  <si>
    <t xml:space="preserve">40727485</t>
  </si>
  <si>
    <t xml:space="preserve">41630065</t>
  </si>
  <si>
    <t xml:space="preserve">40411-080</t>
  </si>
  <si>
    <t xml:space="preserve">41730145</t>
  </si>
  <si>
    <t xml:space="preserve">41295190</t>
  </si>
  <si>
    <t xml:space="preserve">41120420</t>
  </si>
  <si>
    <t xml:space="preserve">41218035</t>
  </si>
  <si>
    <t xml:space="preserve">41515150</t>
  </si>
  <si>
    <t xml:space="preserve">40169630</t>
  </si>
  <si>
    <t xml:space="preserve">40393030</t>
  </si>
  <si>
    <t xml:space="preserve">41926270</t>
  </si>
  <si>
    <t xml:space="preserve">40733165</t>
  </si>
  <si>
    <t xml:space="preserve">41236570</t>
  </si>
  <si>
    <t xml:space="preserve">41190100</t>
  </si>
  <si>
    <t xml:space="preserve">40226110</t>
  </si>
  <si>
    <t xml:space="preserve">41400045</t>
  </si>
  <si>
    <t xml:space="preserve">41307180</t>
  </si>
  <si>
    <t xml:space="preserve">41338650</t>
  </si>
  <si>
    <t xml:space="preserve">41481356</t>
  </si>
  <si>
    <t xml:space="preserve">40155030</t>
  </si>
  <si>
    <t xml:space="preserve">40732405</t>
  </si>
  <si>
    <t xml:space="preserve">41308010</t>
  </si>
  <si>
    <t xml:space="preserve">41227190</t>
  </si>
  <si>
    <t xml:space="preserve">41220200</t>
  </si>
  <si>
    <t xml:space="preserve">40772605</t>
  </si>
  <si>
    <t xml:space="preserve">41615190</t>
  </si>
  <si>
    <t xml:space="preserve">40387190</t>
  </si>
  <si>
    <t xml:space="preserve">41302060</t>
  </si>
  <si>
    <t xml:space="preserve">41630045</t>
  </si>
  <si>
    <t xml:space="preserve">41650470</t>
  </si>
  <si>
    <t xml:space="preserve">41830490</t>
  </si>
  <si>
    <t xml:space="preserve">41347035</t>
  </si>
  <si>
    <t xml:space="preserve">41950740</t>
  </si>
  <si>
    <t xml:space="preserve">41231030</t>
  </si>
  <si>
    <t xml:space="preserve">40345100</t>
  </si>
  <si>
    <t xml:space="preserve">41600270</t>
  </si>
  <si>
    <t xml:space="preserve">40335510</t>
  </si>
  <si>
    <t xml:space="preserve">40296370</t>
  </si>
  <si>
    <t xml:space="preserve">40349535</t>
  </si>
  <si>
    <t xml:space="preserve">41730101</t>
  </si>
  <si>
    <t xml:space="preserve">41481182</t>
  </si>
  <si>
    <t xml:space="preserve">41504095</t>
  </si>
  <si>
    <t xml:space="preserve">40169600</t>
  </si>
  <si>
    <t xml:space="preserve">41710010</t>
  </si>
  <si>
    <t xml:space="preserve">41705010</t>
  </si>
  <si>
    <t xml:space="preserve">41195200</t>
  </si>
  <si>
    <t xml:space="preserve">41110260</t>
  </si>
  <si>
    <t xml:space="preserve">41504190</t>
  </si>
  <si>
    <t xml:space="preserve">41180335</t>
  </si>
  <si>
    <t xml:space="preserve">41211800</t>
  </si>
  <si>
    <t xml:space="preserve">41194095</t>
  </si>
  <si>
    <t xml:space="preserve">41510575</t>
  </si>
  <si>
    <t xml:space="preserve">41194135</t>
  </si>
  <si>
    <t xml:space="preserve">41342045</t>
  </si>
  <si>
    <t xml:space="preserve">41481130</t>
  </si>
  <si>
    <t xml:space="preserve">41720100</t>
  </si>
  <si>
    <t xml:space="preserve">41630330</t>
  </si>
  <si>
    <t xml:space="preserve">41347290</t>
  </si>
  <si>
    <t xml:space="preserve">40709050</t>
  </si>
  <si>
    <t xml:space="preserve">41204350</t>
  </si>
  <si>
    <t xml:space="preserve">40352000</t>
  </si>
  <si>
    <t xml:space="preserve">40391118</t>
  </si>
  <si>
    <t xml:space="preserve">40255310</t>
  </si>
  <si>
    <t xml:space="preserve">41601265</t>
  </si>
  <si>
    <t xml:space="preserve">41099355</t>
  </si>
  <si>
    <t xml:space="preserve">40472085</t>
  </si>
  <si>
    <t xml:space="preserve">41600900</t>
  </si>
  <si>
    <t xml:space="preserve">41390220</t>
  </si>
  <si>
    <t xml:space="preserve">40728430</t>
  </si>
  <si>
    <t xml:space="preserve">41480270</t>
  </si>
  <si>
    <t xml:space="preserve">41315120</t>
  </si>
  <si>
    <t xml:space="preserve">41290200</t>
  </si>
  <si>
    <t xml:space="preserve">41905370</t>
  </si>
  <si>
    <t xml:space="preserve">41830290</t>
  </si>
  <si>
    <t xml:space="preserve">40484570</t>
  </si>
  <si>
    <t xml:space="preserve">40255265</t>
  </si>
  <si>
    <t xml:space="preserve">40727095</t>
  </si>
  <si>
    <t xml:space="preserve">41230205</t>
  </si>
  <si>
    <t xml:space="preserve">41100180</t>
  </si>
  <si>
    <t xml:space="preserve">41295210</t>
  </si>
  <si>
    <t xml:space="preserve">41180710</t>
  </si>
  <si>
    <t xml:space="preserve">40280240</t>
  </si>
  <si>
    <t xml:space="preserve">41750030</t>
  </si>
  <si>
    <t xml:space="preserve">41510867</t>
  </si>
  <si>
    <t xml:space="preserve">41810480</t>
  </si>
  <si>
    <t xml:space="preserve">41349405</t>
  </si>
  <si>
    <t xml:space="preserve">41760110</t>
  </si>
  <si>
    <t xml:space="preserve">41707110</t>
  </si>
  <si>
    <t xml:space="preserve">41206350</t>
  </si>
  <si>
    <t xml:space="preserve">41110300</t>
  </si>
  <si>
    <t xml:space="preserve">40110010</t>
  </si>
  <si>
    <t xml:space="preserve">40355210</t>
  </si>
  <si>
    <t xml:space="preserve">41213263</t>
  </si>
  <si>
    <t xml:space="preserve">40313605</t>
  </si>
  <si>
    <t xml:space="preserve">41280340</t>
  </si>
  <si>
    <t xml:space="preserve">41100280</t>
  </si>
  <si>
    <t xml:space="preserve">41342445</t>
  </si>
  <si>
    <t xml:space="preserve">41347278</t>
  </si>
  <si>
    <t xml:space="preserve">40060060</t>
  </si>
  <si>
    <t xml:space="preserve">41601115</t>
  </si>
  <si>
    <t xml:space="preserve">40391120</t>
  </si>
  <si>
    <t xml:space="preserve">41621005</t>
  </si>
  <si>
    <t xml:space="preserve">40231300</t>
  </si>
  <si>
    <t xml:space="preserve">40716490</t>
  </si>
  <si>
    <t xml:space="preserve">41281050</t>
  </si>
  <si>
    <t xml:space="preserve">41905540</t>
  </si>
  <si>
    <t xml:space="preserve">40772595</t>
  </si>
  <si>
    <t xml:space="preserve">41340645</t>
  </si>
  <si>
    <t xml:space="preserve">41270436</t>
  </si>
  <si>
    <t xml:space="preserve">41505305</t>
  </si>
  <si>
    <t xml:space="preserve">41940240</t>
  </si>
  <si>
    <t xml:space="preserve">41390090</t>
  </si>
  <si>
    <t xml:space="preserve">41701015</t>
  </si>
  <si>
    <t xml:space="preserve">41211830</t>
  </si>
  <si>
    <t xml:space="preserve">41928108</t>
  </si>
  <si>
    <t xml:space="preserve">40425170</t>
  </si>
  <si>
    <t xml:space="preserve">41345182</t>
  </si>
  <si>
    <t xml:space="preserve">40491475</t>
  </si>
  <si>
    <t xml:space="preserve">41181100</t>
  </si>
  <si>
    <t xml:space="preserve">41205845</t>
  </si>
  <si>
    <t xml:space="preserve">40719220</t>
  </si>
  <si>
    <t xml:space="preserve">41205003</t>
  </si>
  <si>
    <t xml:space="preserve">40484480</t>
  </si>
  <si>
    <t xml:space="preserve">40708395</t>
  </si>
  <si>
    <t xml:space="preserve">40321235</t>
  </si>
  <si>
    <t xml:space="preserve">41207180</t>
  </si>
  <si>
    <t xml:space="preserve">41200835</t>
  </si>
  <si>
    <t xml:space="preserve">40296295</t>
  </si>
  <si>
    <t xml:space="preserve">41745180</t>
  </si>
  <si>
    <t xml:space="preserve">41830600</t>
  </si>
  <si>
    <t xml:space="preserve">40440515</t>
  </si>
  <si>
    <t xml:space="preserve">40719035</t>
  </si>
  <si>
    <t xml:space="preserve">41830390</t>
  </si>
  <si>
    <t xml:space="preserve">41810710</t>
  </si>
  <si>
    <t xml:space="preserve">41720050</t>
  </si>
  <si>
    <t xml:space="preserve">44094742</t>
  </si>
  <si>
    <t xml:space="preserve">44091356</t>
  </si>
  <si>
    <t xml:space="preserve">44091368</t>
  </si>
  <si>
    <t xml:space="preserve">44135000</t>
  </si>
  <si>
    <t xml:space="preserve">44021225</t>
  </si>
  <si>
    <t xml:space="preserve">44094072</t>
  </si>
  <si>
    <t xml:space="preserve">44099385</t>
  </si>
  <si>
    <t xml:space="preserve">44059770</t>
  </si>
  <si>
    <t xml:space="preserve">44090652</t>
  </si>
  <si>
    <t xml:space="preserve">44073100</t>
  </si>
  <si>
    <t xml:space="preserve">44059370</t>
  </si>
  <si>
    <t xml:space="preserve">44095300</t>
  </si>
  <si>
    <t xml:space="preserve">44034292</t>
  </si>
  <si>
    <t xml:space="preserve">44050391</t>
  </si>
  <si>
    <t xml:space="preserve">44090228</t>
  </si>
  <si>
    <t xml:space="preserve">44073440</t>
  </si>
  <si>
    <t xml:space="preserve">44030775</t>
  </si>
  <si>
    <t xml:space="preserve">44009570</t>
  </si>
  <si>
    <t xml:space="preserve">44052394</t>
  </si>
  <si>
    <t xml:space="preserve">44032386</t>
  </si>
  <si>
    <t xml:space="preserve">44073500</t>
  </si>
  <si>
    <t xml:space="preserve">44110000</t>
  </si>
  <si>
    <t xml:space="preserve">44028153</t>
  </si>
  <si>
    <t xml:space="preserve">44067102</t>
  </si>
  <si>
    <t xml:space="preserve">44072198</t>
  </si>
  <si>
    <t xml:space="preserve">44013440</t>
  </si>
  <si>
    <t xml:space="preserve">44055901</t>
  </si>
  <si>
    <t xml:space="preserve">44044304</t>
  </si>
  <si>
    <t xml:space="preserve">44056828</t>
  </si>
  <si>
    <t xml:space="preserve">44078080</t>
  </si>
  <si>
    <t xml:space="preserve">44065538</t>
  </si>
  <si>
    <t xml:space="preserve">44073450</t>
  </si>
  <si>
    <t xml:space="preserve">44066300</t>
  </si>
  <si>
    <t xml:space="preserve">44072172</t>
  </si>
  <si>
    <t xml:space="preserve">44034285</t>
  </si>
  <si>
    <t xml:space="preserve">44076020</t>
  </si>
  <si>
    <t xml:space="preserve">44056692</t>
  </si>
  <si>
    <t xml:space="preserve">44008710</t>
  </si>
  <si>
    <t xml:space="preserve">44007200</t>
  </si>
  <si>
    <t xml:space="preserve">44066164</t>
  </si>
  <si>
    <t xml:space="preserve">42808065</t>
  </si>
  <si>
    <t xml:space="preserve">42827686</t>
  </si>
  <si>
    <t xml:space="preserve">42822224</t>
  </si>
  <si>
    <t xml:space="preserve">42807907</t>
  </si>
  <si>
    <t xml:space="preserve">42813092</t>
  </si>
  <si>
    <t xml:space="preserve">42803125</t>
  </si>
  <si>
    <t xml:space="preserve">42823060</t>
  </si>
  <si>
    <t xml:space="preserve">42805097</t>
  </si>
  <si>
    <t xml:space="preserve">42802399</t>
  </si>
  <si>
    <t xml:space="preserve">42800621</t>
  </si>
  <si>
    <t xml:space="preserve">42808334</t>
  </si>
  <si>
    <t xml:space="preserve">42804587</t>
  </si>
  <si>
    <t xml:space="preserve">42821690</t>
  </si>
  <si>
    <t xml:space="preserve">42807686</t>
  </si>
  <si>
    <t xml:space="preserve">42839800</t>
  </si>
  <si>
    <t xml:space="preserve">42809188</t>
  </si>
  <si>
    <t xml:space="preserve">42827494</t>
  </si>
  <si>
    <t xml:space="preserve">42802362</t>
  </si>
  <si>
    <t xml:space="preserve">42801900</t>
  </si>
  <si>
    <t xml:space="preserve">42804629</t>
  </si>
  <si>
    <t xml:space="preserve">42827826</t>
  </si>
  <si>
    <t xml:space="preserve">42800625</t>
  </si>
  <si>
    <t xml:space="preserve">42813040</t>
  </si>
  <si>
    <t xml:space="preserve">42825016</t>
  </si>
  <si>
    <t xml:space="preserve">42801859</t>
  </si>
  <si>
    <t xml:space="preserve">42801053</t>
  </si>
  <si>
    <t xml:space="preserve">42830310</t>
  </si>
  <si>
    <t xml:space="preserve">42826716</t>
  </si>
  <si>
    <t xml:space="preserve">42805511</t>
  </si>
  <si>
    <t xml:space="preserve">42830574</t>
  </si>
  <si>
    <t xml:space="preserve">42838774</t>
  </si>
  <si>
    <t xml:space="preserve">42833000</t>
  </si>
  <si>
    <t xml:space="preserve">42821794</t>
  </si>
  <si>
    <t xml:space="preserve">42807381</t>
  </si>
  <si>
    <t xml:space="preserve">42801105</t>
  </si>
  <si>
    <t xml:space="preserve">42830334</t>
  </si>
  <si>
    <t xml:space="preserve">42803329</t>
  </si>
  <si>
    <t xml:space="preserve">45111000</t>
  </si>
  <si>
    <t xml:space="preserve">45002140</t>
  </si>
  <si>
    <t xml:space="preserve">45027104</t>
  </si>
  <si>
    <t xml:space="preserve">45000135</t>
  </si>
  <si>
    <t xml:space="preserve">45057220</t>
  </si>
  <si>
    <t xml:space="preserve">45027400</t>
  </si>
  <si>
    <t xml:space="preserve">45012114</t>
  </si>
  <si>
    <t xml:space="preserve">45002175</t>
  </si>
  <si>
    <t xml:space="preserve">45075395</t>
  </si>
  <si>
    <t xml:space="preserve">45066408</t>
  </si>
  <si>
    <t xml:space="preserve">45023325</t>
  </si>
  <si>
    <t xml:space="preserve">45051190</t>
  </si>
  <si>
    <t xml:space="preserve">45012080</t>
  </si>
  <si>
    <t xml:space="preserve">45079444</t>
  </si>
  <si>
    <t xml:space="preserve">45078548</t>
  </si>
  <si>
    <t xml:space="preserve">45051525</t>
  </si>
  <si>
    <t xml:space="preserve">45107970</t>
  </si>
  <si>
    <t xml:space="preserve">45055390</t>
  </si>
  <si>
    <t xml:space="preserve">45057225</t>
  </si>
  <si>
    <t xml:space="preserve">45028190</t>
  </si>
  <si>
    <t xml:space="preserve">45089320</t>
  </si>
  <si>
    <t xml:space="preserve">45005390</t>
  </si>
  <si>
    <t xml:space="preserve">45051305</t>
  </si>
  <si>
    <t xml:space="preserve">45055535</t>
  </si>
  <si>
    <t xml:space="preserve">45028854</t>
  </si>
  <si>
    <t xml:space="preserve">45065590</t>
  </si>
  <si>
    <t xml:space="preserve">45075280</t>
  </si>
  <si>
    <t xml:space="preserve">45065170</t>
  </si>
  <si>
    <t xml:space="preserve">45070130</t>
  </si>
  <si>
    <t xml:space="preserve">42739145</t>
  </si>
  <si>
    <t xml:space="preserve">42738640</t>
  </si>
  <si>
    <t xml:space="preserve">42721810</t>
  </si>
  <si>
    <t xml:space="preserve">42712750</t>
  </si>
  <si>
    <t xml:space="preserve">42717100</t>
  </si>
  <si>
    <t xml:space="preserve">42709290</t>
  </si>
  <si>
    <t xml:space="preserve">42739215</t>
  </si>
  <si>
    <t xml:space="preserve">42711830</t>
  </si>
  <si>
    <t xml:space="preserve">42701310</t>
  </si>
  <si>
    <t xml:space="preserve">42706650</t>
  </si>
  <si>
    <t xml:space="preserve">42741160</t>
  </si>
  <si>
    <t xml:space="preserve">42717880</t>
  </si>
  <si>
    <t xml:space="preserve">42703050</t>
  </si>
  <si>
    <t xml:space="preserve">42718400</t>
  </si>
  <si>
    <t xml:space="preserve">42722020</t>
  </si>
  <si>
    <t xml:space="preserve">42738730</t>
  </si>
  <si>
    <t xml:space="preserve">42700570</t>
  </si>
  <si>
    <t xml:space="preserve">42739225</t>
  </si>
  <si>
    <t xml:space="preserve">42702260</t>
  </si>
  <si>
    <t xml:space="preserve">42711800</t>
  </si>
  <si>
    <t xml:space="preserve">48900290</t>
  </si>
  <si>
    <t xml:space="preserve">48906600</t>
  </si>
  <si>
    <t xml:space="preserve">48916426</t>
  </si>
  <si>
    <t xml:space="preserve">48918621</t>
  </si>
  <si>
    <t xml:space="preserve">48909289</t>
  </si>
  <si>
    <t xml:space="preserve">48916207</t>
  </si>
  <si>
    <t xml:space="preserve">48902503</t>
  </si>
  <si>
    <t xml:space="preserve">48900300</t>
  </si>
  <si>
    <t xml:space="preserve">48901430</t>
  </si>
  <si>
    <t xml:space="preserve">48905347</t>
  </si>
  <si>
    <t xml:space="preserve">48906798</t>
  </si>
  <si>
    <t xml:space="preserve">48904619</t>
  </si>
  <si>
    <t xml:space="preserve">48908560</t>
  </si>
  <si>
    <t xml:space="preserve">48906860</t>
  </si>
  <si>
    <t xml:space="preserve">48923000</t>
  </si>
  <si>
    <t xml:space="preserve">48914080</t>
  </si>
  <si>
    <t xml:space="preserve">48902350</t>
  </si>
  <si>
    <t xml:space="preserve">48900028</t>
  </si>
  <si>
    <t xml:space="preserve">48906020</t>
  </si>
  <si>
    <t xml:space="preserve">43713435</t>
  </si>
  <si>
    <t xml:space="preserve">43721450</t>
  </si>
  <si>
    <t xml:space="preserve">43707500</t>
  </si>
  <si>
    <t xml:space="preserve">43700142</t>
  </si>
  <si>
    <t xml:space="preserve">43711215</t>
  </si>
  <si>
    <t xml:space="preserve">43723070</t>
  </si>
  <si>
    <t xml:space="preserve">43715080</t>
  </si>
  <si>
    <t xml:space="preserve">43724605</t>
  </si>
  <si>
    <t xml:space="preserve">43716440</t>
  </si>
  <si>
    <t xml:space="preserve">43703675</t>
  </si>
  <si>
    <t xml:space="preserve">43715745</t>
  </si>
  <si>
    <t xml:space="preserve">43713320</t>
  </si>
  <si>
    <t xml:space="preserve">43713080</t>
  </si>
  <si>
    <t xml:space="preserve">43708470</t>
  </si>
  <si>
    <t xml:space="preserve">43711040</t>
  </si>
  <si>
    <t xml:space="preserve">43716550</t>
  </si>
  <si>
    <t xml:space="preserve">43707-415</t>
  </si>
  <si>
    <t xml:space="preserve">43715870</t>
  </si>
  <si>
    <t xml:space="preserve">45654110</t>
  </si>
  <si>
    <t xml:space="preserve">45660532</t>
  </si>
  <si>
    <t xml:space="preserve">45653540</t>
  </si>
  <si>
    <t xml:space="preserve">45656574</t>
  </si>
  <si>
    <t xml:space="preserve">45660500</t>
  </si>
  <si>
    <t xml:space="preserve">45658330</t>
  </si>
  <si>
    <t xml:space="preserve">45670000</t>
  </si>
  <si>
    <t xml:space="preserve">45654001</t>
  </si>
  <si>
    <t xml:space="preserve">45658442</t>
  </si>
  <si>
    <t xml:space="preserve">45654256</t>
  </si>
  <si>
    <t xml:space="preserve">45657212</t>
  </si>
  <si>
    <t xml:space="preserve">45656520</t>
  </si>
  <si>
    <t xml:space="preserve">45605505</t>
  </si>
  <si>
    <t xml:space="preserve">45600045</t>
  </si>
  <si>
    <t xml:space="preserve">45602262</t>
  </si>
  <si>
    <t xml:space="preserve">45600465</t>
  </si>
  <si>
    <t xml:space="preserve">45607127</t>
  </si>
  <si>
    <t xml:space="preserve">45608496</t>
  </si>
  <si>
    <t xml:space="preserve">45601434</t>
  </si>
  <si>
    <t xml:space="preserve">45602606</t>
  </si>
  <si>
    <t xml:space="preserve">45603652</t>
  </si>
  <si>
    <t xml:space="preserve">45601150</t>
  </si>
  <si>
    <t xml:space="preserve">45607088</t>
  </si>
  <si>
    <t xml:space="preserve">45603023</t>
  </si>
  <si>
    <t xml:space="preserve">47813136</t>
  </si>
  <si>
    <t xml:space="preserve">47800416</t>
  </si>
  <si>
    <t xml:space="preserve">47800452</t>
  </si>
  <si>
    <t xml:space="preserve">47808072</t>
  </si>
  <si>
    <t xml:space="preserve">47810740</t>
  </si>
  <si>
    <t xml:space="preserve">47802401</t>
  </si>
  <si>
    <t xml:space="preserve">47810620</t>
  </si>
  <si>
    <t xml:space="preserve">47808075</t>
  </si>
  <si>
    <t xml:space="preserve">47801028</t>
  </si>
  <si>
    <t xml:space="preserve">47800181</t>
  </si>
  <si>
    <t xml:space="preserve">60872111</t>
  </si>
  <si>
    <t xml:space="preserve">60749025</t>
  </si>
  <si>
    <t xml:space="preserve">60842090</t>
  </si>
  <si>
    <t xml:space="preserve">60520022</t>
  </si>
  <si>
    <t xml:space="preserve">60352250</t>
  </si>
  <si>
    <t xml:space="preserve">60050160</t>
  </si>
  <si>
    <t xml:space="preserve">60165121</t>
  </si>
  <si>
    <t xml:space="preserve">60875775</t>
  </si>
  <si>
    <t xml:space="preserve">60332380</t>
  </si>
  <si>
    <t xml:space="preserve">60811150</t>
  </si>
  <si>
    <t xml:space="preserve">60851225</t>
  </si>
  <si>
    <t xml:space="preserve">60351720</t>
  </si>
  <si>
    <t xml:space="preserve">60541012</t>
  </si>
  <si>
    <t xml:space="preserve">60743160</t>
  </si>
  <si>
    <t xml:space="preserve">60870035</t>
  </si>
  <si>
    <t xml:space="preserve">60182130</t>
  </si>
  <si>
    <t xml:space="preserve">60830535</t>
  </si>
  <si>
    <t xml:space="preserve">60543640</t>
  </si>
  <si>
    <t xml:space="preserve">60357350</t>
  </si>
  <si>
    <t xml:space="preserve">60863560</t>
  </si>
  <si>
    <t xml:space="preserve">60425685</t>
  </si>
  <si>
    <t xml:space="preserve">60030141</t>
  </si>
  <si>
    <t xml:space="preserve">60440594</t>
  </si>
  <si>
    <t xml:space="preserve">60714755</t>
  </si>
  <si>
    <t xml:space="preserve">60356205</t>
  </si>
  <si>
    <t xml:space="preserve">60450042</t>
  </si>
  <si>
    <t xml:space="preserve">60530570</t>
  </si>
  <si>
    <t xml:space="preserve">60170041</t>
  </si>
  <si>
    <t xml:space="preserve">60180012</t>
  </si>
  <si>
    <t xml:space="preserve">60822285</t>
  </si>
  <si>
    <t xml:space="preserve">60822178</t>
  </si>
  <si>
    <t xml:space="preserve">60349260</t>
  </si>
  <si>
    <t xml:space="preserve">60875800</t>
  </si>
  <si>
    <t xml:space="preserve">60455001</t>
  </si>
  <si>
    <t xml:space="preserve">60336010</t>
  </si>
  <si>
    <t xml:space="preserve">60541192</t>
  </si>
  <si>
    <t xml:space="preserve">60833365</t>
  </si>
  <si>
    <t xml:space="preserve">60110301</t>
  </si>
  <si>
    <t xml:space="preserve">60060390</t>
  </si>
  <si>
    <t xml:space="preserve">60527050</t>
  </si>
  <si>
    <t xml:space="preserve">60334150</t>
  </si>
  <si>
    <t xml:space="preserve">60420130</t>
  </si>
  <si>
    <t xml:space="preserve">60525570</t>
  </si>
  <si>
    <t xml:space="preserve">60711055</t>
  </si>
  <si>
    <t xml:space="preserve">60760685</t>
  </si>
  <si>
    <t xml:space="preserve">60130370</t>
  </si>
  <si>
    <t xml:space="preserve">60810080</t>
  </si>
  <si>
    <t xml:space="preserve">60822250</t>
  </si>
  <si>
    <t xml:space="preserve">60355075</t>
  </si>
  <si>
    <t xml:space="preserve">60540474</t>
  </si>
  <si>
    <t xml:space="preserve">60830155</t>
  </si>
  <si>
    <t xml:space="preserve">60860390</t>
  </si>
  <si>
    <t xml:space="preserve">60120024</t>
  </si>
  <si>
    <t xml:space="preserve">60822155</t>
  </si>
  <si>
    <t xml:space="preserve">60350550</t>
  </si>
  <si>
    <t xml:space="preserve">60333050</t>
  </si>
  <si>
    <t xml:space="preserve">60181740</t>
  </si>
  <si>
    <t xml:space="preserve">60440040</t>
  </si>
  <si>
    <t xml:space="preserve">60015-140</t>
  </si>
  <si>
    <t xml:space="preserve">60711465</t>
  </si>
  <si>
    <t xml:space="preserve">60130450</t>
  </si>
  <si>
    <t xml:space="preserve">60337578</t>
  </si>
  <si>
    <t xml:space="preserve">60115282</t>
  </si>
  <si>
    <t xml:space="preserve">60861105</t>
  </si>
  <si>
    <t xml:space="preserve">60811275</t>
  </si>
  <si>
    <t xml:space="preserve">60531770</t>
  </si>
  <si>
    <t xml:space="preserve">60873080</t>
  </si>
  <si>
    <t xml:space="preserve">60442202</t>
  </si>
  <si>
    <t xml:space="preserve">60743410</t>
  </si>
  <si>
    <t xml:space="preserve">60060292</t>
  </si>
  <si>
    <t xml:space="preserve">60760260</t>
  </si>
  <si>
    <t xml:space="preserve">60824200</t>
  </si>
  <si>
    <t xml:space="preserve">60733410</t>
  </si>
  <si>
    <t xml:space="preserve">60440544</t>
  </si>
  <si>
    <t xml:space="preserve">60530340</t>
  </si>
  <si>
    <t xml:space="preserve">60873183</t>
  </si>
  <si>
    <t xml:space="preserve">60861760</t>
  </si>
  <si>
    <t xml:space="preserve">60742175</t>
  </si>
  <si>
    <t xml:space="preserve">60540174</t>
  </si>
  <si>
    <t xml:space="preserve">60752480</t>
  </si>
  <si>
    <t xml:space="preserve">60125121</t>
  </si>
  <si>
    <t xml:space="preserve">60326220</t>
  </si>
  <si>
    <t xml:space="preserve">60763785</t>
  </si>
  <si>
    <t xml:space="preserve">60176115</t>
  </si>
  <si>
    <t xml:space="preserve">60764485</t>
  </si>
  <si>
    <t xml:space="preserve">60811341</t>
  </si>
  <si>
    <t xml:space="preserve">60140120</t>
  </si>
  <si>
    <t xml:space="preserve">60410804</t>
  </si>
  <si>
    <t xml:space="preserve">60350350</t>
  </si>
  <si>
    <t xml:space="preserve">60743240</t>
  </si>
  <si>
    <t xml:space="preserve">60192025</t>
  </si>
  <si>
    <t xml:space="preserve">60741575</t>
  </si>
  <si>
    <t xml:space="preserve">60532390</t>
  </si>
  <si>
    <t xml:space="preserve">60831310</t>
  </si>
  <si>
    <t xml:space="preserve">60841670</t>
  </si>
  <si>
    <t xml:space="preserve">60543467</t>
  </si>
  <si>
    <t xml:space="preserve">60182685</t>
  </si>
  <si>
    <t xml:space="preserve">60711540</t>
  </si>
  <si>
    <t xml:space="preserve">60540445</t>
  </si>
  <si>
    <t xml:space="preserve">60822785</t>
  </si>
  <si>
    <t xml:space="preserve">60543305</t>
  </si>
  <si>
    <t xml:space="preserve">60841710</t>
  </si>
  <si>
    <t xml:space="preserve">60830135</t>
  </si>
  <si>
    <t xml:space="preserve">60862120</t>
  </si>
  <si>
    <t xml:space="preserve">60833252</t>
  </si>
  <si>
    <t xml:space="preserve">60175330</t>
  </si>
  <si>
    <t xml:space="preserve">60350730</t>
  </si>
  <si>
    <t xml:space="preserve">60840455</t>
  </si>
  <si>
    <t xml:space="preserve">60422748</t>
  </si>
  <si>
    <t xml:space="preserve">60713360</t>
  </si>
  <si>
    <t xml:space="preserve">60714140</t>
  </si>
  <si>
    <t xml:space="preserve">60348050</t>
  </si>
  <si>
    <t xml:space="preserve">60010340</t>
  </si>
  <si>
    <t xml:space="preserve">60731050</t>
  </si>
  <si>
    <t xml:space="preserve">60740020</t>
  </si>
  <si>
    <t xml:space="preserve">60850680</t>
  </si>
  <si>
    <t xml:space="preserve">60821500</t>
  </si>
  <si>
    <t xml:space="preserve">60311630</t>
  </si>
  <si>
    <t xml:space="preserve">60871790</t>
  </si>
  <si>
    <t xml:space="preserve">60866540</t>
  </si>
  <si>
    <t xml:space="preserve">60714310</t>
  </si>
  <si>
    <t xml:space="preserve">60872070</t>
  </si>
  <si>
    <t xml:space="preserve">60831414</t>
  </si>
  <si>
    <t xml:space="preserve">60730145</t>
  </si>
  <si>
    <t xml:space="preserve">60337320</t>
  </si>
  <si>
    <t xml:space="preserve">60546210</t>
  </si>
  <si>
    <t xml:space="preserve">60822142</t>
  </si>
  <si>
    <t xml:space="preserve">60440104</t>
  </si>
  <si>
    <t xml:space="preserve">60420-570</t>
  </si>
  <si>
    <t xml:space="preserve">60863365</t>
  </si>
  <si>
    <t xml:space="preserve">60170079</t>
  </si>
  <si>
    <t xml:space="preserve">60541724</t>
  </si>
  <si>
    <t xml:space="preserve">60824235</t>
  </si>
  <si>
    <t xml:space="preserve">60455330</t>
  </si>
  <si>
    <t xml:space="preserve">60873575</t>
  </si>
  <si>
    <t xml:space="preserve">60710715</t>
  </si>
  <si>
    <t xml:space="preserve">60440135</t>
  </si>
  <si>
    <t xml:space="preserve">60743246</t>
  </si>
  <si>
    <t xml:space="preserve">60180710</t>
  </si>
  <si>
    <t xml:space="preserve">60861330</t>
  </si>
  <si>
    <t xml:space="preserve">60110000</t>
  </si>
  <si>
    <t xml:space="preserve">60181485</t>
  </si>
  <si>
    <t xml:space="preserve">60115222</t>
  </si>
  <si>
    <t xml:space="preserve">60115125</t>
  </si>
  <si>
    <t xml:space="preserve">60440845</t>
  </si>
  <si>
    <t xml:space="preserve">60861132</t>
  </si>
  <si>
    <t xml:space="preserve">60160200</t>
  </si>
  <si>
    <t xml:space="preserve">60876500</t>
  </si>
  <si>
    <t xml:space="preserve">60355504</t>
  </si>
  <si>
    <t xml:space="preserve">60870500</t>
  </si>
  <si>
    <t xml:space="preserve">60192055</t>
  </si>
  <si>
    <t xml:space="preserve">60325490</t>
  </si>
  <si>
    <t xml:space="preserve">60876670</t>
  </si>
  <si>
    <t xml:space="preserve">60762625</t>
  </si>
  <si>
    <t xml:space="preserve">60877260</t>
  </si>
  <si>
    <t xml:space="preserve">60192060</t>
  </si>
  <si>
    <t xml:space="preserve">60350720</t>
  </si>
  <si>
    <t xml:space="preserve">60811030</t>
  </si>
  <si>
    <t xml:space="preserve">60332490</t>
  </si>
  <si>
    <t xml:space="preserve">60751060</t>
  </si>
  <si>
    <t xml:space="preserve">60868240</t>
  </si>
  <si>
    <t xml:space="preserve">60441685</t>
  </si>
  <si>
    <t xml:space="preserve">60731402</t>
  </si>
  <si>
    <t xml:space="preserve">60710435</t>
  </si>
  <si>
    <t xml:space="preserve">60831421</t>
  </si>
  <si>
    <t xml:space="preserve">60736020</t>
  </si>
  <si>
    <t xml:space="preserve">60110370</t>
  </si>
  <si>
    <t xml:space="preserve">60356830</t>
  </si>
  <si>
    <t xml:space="preserve">60521065</t>
  </si>
  <si>
    <t xml:space="preserve">60334140</t>
  </si>
  <si>
    <t xml:space="preserve">60355337</t>
  </si>
  <si>
    <t xml:space="preserve">60824040</t>
  </si>
  <si>
    <t xml:space="preserve">60873000</t>
  </si>
  <si>
    <t xml:space="preserve">60741000</t>
  </si>
  <si>
    <t xml:space="preserve">60431075</t>
  </si>
  <si>
    <t xml:space="preserve">60545065</t>
  </si>
  <si>
    <t xml:space="preserve">60824245</t>
  </si>
  <si>
    <t xml:space="preserve">60190630</t>
  </si>
  <si>
    <t xml:space="preserve">60710901</t>
  </si>
  <si>
    <t xml:space="preserve">60873185</t>
  </si>
  <si>
    <t xml:space="preserve">63050760</t>
  </si>
  <si>
    <t xml:space="preserve">63047210</t>
  </si>
  <si>
    <t xml:space="preserve">63024808</t>
  </si>
  <si>
    <t xml:space="preserve">63043345</t>
  </si>
  <si>
    <t xml:space="preserve">63028400</t>
  </si>
  <si>
    <t xml:space="preserve">63022125</t>
  </si>
  <si>
    <t xml:space="preserve">63044514</t>
  </si>
  <si>
    <t xml:space="preserve">63013112</t>
  </si>
  <si>
    <t xml:space="preserve">63010545</t>
  </si>
  <si>
    <t xml:space="preserve">63018050</t>
  </si>
  <si>
    <t xml:space="preserve">63050730</t>
  </si>
  <si>
    <t xml:space="preserve">63010222</t>
  </si>
  <si>
    <t xml:space="preserve">63017523</t>
  </si>
  <si>
    <t xml:space="preserve">63043170</t>
  </si>
  <si>
    <t xml:space="preserve">63049230</t>
  </si>
  <si>
    <t xml:space="preserve">61627010</t>
  </si>
  <si>
    <t xml:space="preserve">61655750</t>
  </si>
  <si>
    <t xml:space="preserve">61656170</t>
  </si>
  <si>
    <t xml:space="preserve">61615502</t>
  </si>
  <si>
    <t xml:space="preserve">61602070</t>
  </si>
  <si>
    <t xml:space="preserve">61608075</t>
  </si>
  <si>
    <t xml:space="preserve">61601350</t>
  </si>
  <si>
    <t xml:space="preserve">61605680</t>
  </si>
  <si>
    <t xml:space="preserve">61655680</t>
  </si>
  <si>
    <t xml:space="preserve">61645410</t>
  </si>
  <si>
    <t xml:space="preserve">61624477</t>
  </si>
  <si>
    <t xml:space="preserve">61645380</t>
  </si>
  <si>
    <t xml:space="preserve">61605240</t>
  </si>
  <si>
    <t xml:space="preserve">61645230</t>
  </si>
  <si>
    <t xml:space="preserve">60732380</t>
  </si>
  <si>
    <t xml:space="preserve">61921505</t>
  </si>
  <si>
    <t xml:space="preserve">61932600</t>
  </si>
  <si>
    <t xml:space="preserve">61936350</t>
  </si>
  <si>
    <t xml:space="preserve">61900410</t>
  </si>
  <si>
    <t xml:space="preserve">61901080</t>
  </si>
  <si>
    <t xml:space="preserve">61932-300</t>
  </si>
  <si>
    <t xml:space="preserve">61932472</t>
  </si>
  <si>
    <t xml:space="preserve">61922080</t>
  </si>
  <si>
    <t xml:space="preserve">61932185</t>
  </si>
  <si>
    <t xml:space="preserve">61900500</t>
  </si>
  <si>
    <t xml:space="preserve">63123342</t>
  </si>
  <si>
    <t xml:space="preserve">63119130</t>
  </si>
  <si>
    <t xml:space="preserve">63111140</t>
  </si>
  <si>
    <t xml:space="preserve">63133740</t>
  </si>
  <si>
    <t xml:space="preserve">63115030</t>
  </si>
  <si>
    <t xml:space="preserve">63124006</t>
  </si>
  <si>
    <t xml:space="preserve">61700000</t>
  </si>
  <si>
    <t xml:space="preserve">62033260</t>
  </si>
  <si>
    <t xml:space="preserve">62051042</t>
  </si>
  <si>
    <t xml:space="preserve">62053775</t>
  </si>
  <si>
    <t xml:space="preserve">62031175</t>
  </si>
  <si>
    <t xml:space="preserve">62030480</t>
  </si>
  <si>
    <t xml:space="preserve">62030675</t>
  </si>
  <si>
    <t xml:space="preserve">61885380</t>
  </si>
  <si>
    <t xml:space="preserve">61885844</t>
  </si>
  <si>
    <t xml:space="preserve">61881365</t>
  </si>
  <si>
    <t xml:space="preserve">61885562</t>
  </si>
  <si>
    <t xml:space="preserve">61887542</t>
  </si>
  <si>
    <t xml:space="preserve">61884505</t>
  </si>
  <si>
    <t xml:space="preserve">61814901</t>
  </si>
  <si>
    <t xml:space="preserve">61814060</t>
  </si>
  <si>
    <t xml:space="preserve">61809210</t>
  </si>
  <si>
    <t xml:space="preserve">61805715</t>
  </si>
  <si>
    <t xml:space="preserve">63260000</t>
  </si>
  <si>
    <t xml:space="preserve">63260959</t>
  </si>
  <si>
    <t xml:space="preserve">65085083</t>
  </si>
  <si>
    <t xml:space="preserve">65093322</t>
  </si>
  <si>
    <t xml:space="preserve">65075610</t>
  </si>
  <si>
    <t xml:space="preserve">65075090</t>
  </si>
  <si>
    <t xml:space="preserve">65035260</t>
  </si>
  <si>
    <t xml:space="preserve">65058487</t>
  </si>
  <si>
    <t xml:space="preserve">65057755</t>
  </si>
  <si>
    <t xml:space="preserve">65082093</t>
  </si>
  <si>
    <t xml:space="preserve">65059730</t>
  </si>
  <si>
    <t xml:space="preserve">65058034</t>
  </si>
  <si>
    <t xml:space="preserve">65081620</t>
  </si>
  <si>
    <t xml:space="preserve">65058774</t>
  </si>
  <si>
    <t xml:space="preserve">65066620</t>
  </si>
  <si>
    <t xml:space="preserve">65036670</t>
  </si>
  <si>
    <t xml:space="preserve">65066432</t>
  </si>
  <si>
    <t xml:space="preserve">65056480</t>
  </si>
  <si>
    <t xml:space="preserve">65057824</t>
  </si>
  <si>
    <t xml:space="preserve">65058067</t>
  </si>
  <si>
    <t xml:space="preserve">65092120</t>
  </si>
  <si>
    <t xml:space="preserve">65043160</t>
  </si>
  <si>
    <t xml:space="preserve">65035770</t>
  </si>
  <si>
    <t xml:space="preserve">65054040</t>
  </si>
  <si>
    <t xml:space="preserve">65058235</t>
  </si>
  <si>
    <t xml:space="preserve">65053660</t>
  </si>
  <si>
    <t xml:space="preserve">65065750</t>
  </si>
  <si>
    <t xml:space="preserve">65076132</t>
  </si>
  <si>
    <t xml:space="preserve">65042300</t>
  </si>
  <si>
    <t xml:space="preserve">65068890</t>
  </si>
  <si>
    <t xml:space="preserve">65090650</t>
  </si>
  <si>
    <t xml:space="preserve">65043876</t>
  </si>
  <si>
    <t xml:space="preserve">65058769</t>
  </si>
  <si>
    <t xml:space="preserve">65044480</t>
  </si>
  <si>
    <t xml:space="preserve">65051630</t>
  </si>
  <si>
    <t xml:space="preserve">65058512</t>
  </si>
  <si>
    <t xml:space="preserve">65037024</t>
  </si>
  <si>
    <t xml:space="preserve">65071062</t>
  </si>
  <si>
    <t xml:space="preserve">65052380</t>
  </si>
  <si>
    <t xml:space="preserve">65054740</t>
  </si>
  <si>
    <t xml:space="preserve">65041582</t>
  </si>
  <si>
    <t xml:space="preserve">65044650</t>
  </si>
  <si>
    <t xml:space="preserve">65083336</t>
  </si>
  <si>
    <t xml:space="preserve">65020330</t>
  </si>
  <si>
    <t xml:space="preserve">65092100</t>
  </si>
  <si>
    <t xml:space="preserve">65042871</t>
  </si>
  <si>
    <t xml:space="preserve">65090801</t>
  </si>
  <si>
    <t xml:space="preserve">65071351</t>
  </si>
  <si>
    <t xml:space="preserve">65090044</t>
  </si>
  <si>
    <t xml:space="preserve">65055790</t>
  </si>
  <si>
    <t xml:space="preserve">65059887</t>
  </si>
  <si>
    <t xml:space="preserve">65067190</t>
  </si>
  <si>
    <t xml:space="preserve">65095550</t>
  </si>
  <si>
    <t xml:space="preserve">65064522</t>
  </si>
  <si>
    <t xml:space="preserve">65046611</t>
  </si>
  <si>
    <t xml:space="preserve">65065687</t>
  </si>
  <si>
    <t xml:space="preserve">65090478</t>
  </si>
  <si>
    <t xml:space="preserve">65058533</t>
  </si>
  <si>
    <t xml:space="preserve">65066330</t>
  </si>
  <si>
    <t xml:space="preserve">65055361</t>
  </si>
  <si>
    <t xml:space="preserve">65056200</t>
  </si>
  <si>
    <t xml:space="preserve">65025225</t>
  </si>
  <si>
    <t xml:space="preserve">65054280</t>
  </si>
  <si>
    <t xml:space="preserve">65047848</t>
  </si>
  <si>
    <t xml:space="preserve">65062190</t>
  </si>
  <si>
    <t xml:space="preserve">65074492</t>
  </si>
  <si>
    <t xml:space="preserve">65035280</t>
  </si>
  <si>
    <t xml:space="preserve">65074856</t>
  </si>
  <si>
    <t xml:space="preserve">65068500</t>
  </si>
  <si>
    <t xml:space="preserve">65911630</t>
  </si>
  <si>
    <t xml:space="preserve">65910560</t>
  </si>
  <si>
    <t xml:space="preserve">65907430</t>
  </si>
  <si>
    <t xml:space="preserve">65905256</t>
  </si>
  <si>
    <t xml:space="preserve">65901280</t>
  </si>
  <si>
    <t xml:space="preserve">65914170</t>
  </si>
  <si>
    <t xml:space="preserve">65916695</t>
  </si>
  <si>
    <t xml:space="preserve">65907487</t>
  </si>
  <si>
    <t xml:space="preserve">65905125</t>
  </si>
  <si>
    <t xml:space="preserve">65913625</t>
  </si>
  <si>
    <t xml:space="preserve">65919190</t>
  </si>
  <si>
    <t xml:space="preserve">65912080</t>
  </si>
  <si>
    <t xml:space="preserve">65910170</t>
  </si>
  <si>
    <t xml:space="preserve">65919899</t>
  </si>
  <si>
    <t xml:space="preserve">65918525</t>
  </si>
  <si>
    <t xml:space="preserve">65914730</t>
  </si>
  <si>
    <t xml:space="preserve">65900001</t>
  </si>
  <si>
    <t xml:space="preserve">65911560</t>
  </si>
  <si>
    <t xml:space="preserve">65905591</t>
  </si>
  <si>
    <t xml:space="preserve">65919339</t>
  </si>
  <si>
    <t xml:space="preserve">65123178</t>
  </si>
  <si>
    <t xml:space="preserve">65124176</t>
  </si>
  <si>
    <t xml:space="preserve">65112500</t>
  </si>
  <si>
    <t xml:space="preserve">65120181</t>
  </si>
  <si>
    <t xml:space="preserve">65112615</t>
  </si>
  <si>
    <t xml:space="preserve">65113301</t>
  </si>
  <si>
    <t xml:space="preserve">65124556</t>
  </si>
  <si>
    <t xml:space="preserve">65110214</t>
  </si>
  <si>
    <t xml:space="preserve">65120511</t>
  </si>
  <si>
    <t xml:space="preserve">65113325</t>
  </si>
  <si>
    <t xml:space="preserve">65110001</t>
  </si>
  <si>
    <t xml:space="preserve">65120596</t>
  </si>
  <si>
    <t xml:space="preserve">65123890</t>
  </si>
  <si>
    <t xml:space="preserve">65123097</t>
  </si>
  <si>
    <t xml:space="preserve">65121652</t>
  </si>
  <si>
    <t xml:space="preserve">65120626</t>
  </si>
  <si>
    <t xml:space="preserve">65118830</t>
  </si>
  <si>
    <t xml:space="preserve">65120176</t>
  </si>
  <si>
    <t xml:space="preserve">65117391</t>
  </si>
  <si>
    <t xml:space="preserve">65602060</t>
  </si>
  <si>
    <t xml:space="preserve">65605170</t>
  </si>
  <si>
    <t xml:space="preserve">65606743</t>
  </si>
  <si>
    <t xml:space="preserve">65606882</t>
  </si>
  <si>
    <t xml:space="preserve">65604030</t>
  </si>
  <si>
    <t xml:space="preserve">65606851</t>
  </si>
  <si>
    <t xml:space="preserve">65604110</t>
  </si>
  <si>
    <t xml:space="preserve">65605013</t>
  </si>
  <si>
    <t xml:space="preserve">65130000</t>
  </si>
  <si>
    <t xml:space="preserve">65715959</t>
  </si>
  <si>
    <t xml:space="preserve">65715000</t>
  </si>
  <si>
    <t xml:space="preserve">65289000</t>
  </si>
  <si>
    <t xml:space="preserve">65950000</t>
  </si>
  <si>
    <t xml:space="preserve">65590000</t>
  </si>
  <si>
    <t xml:space="preserve">65700000</t>
  </si>
  <si>
    <t xml:space="preserve">58068480</t>
  </si>
  <si>
    <t xml:space="preserve">58041010</t>
  </si>
  <si>
    <t xml:space="preserve">58090254</t>
  </si>
  <si>
    <t xml:space="preserve">58073442</t>
  </si>
  <si>
    <t xml:space="preserve">58039130</t>
  </si>
  <si>
    <t xml:space="preserve">58056470</t>
  </si>
  <si>
    <t xml:space="preserve">58045110</t>
  </si>
  <si>
    <t xml:space="preserve">58051140</t>
  </si>
  <si>
    <t xml:space="preserve">58030230</t>
  </si>
  <si>
    <t xml:space="preserve">58057020</t>
  </si>
  <si>
    <t xml:space="preserve">58067330</t>
  </si>
  <si>
    <t xml:space="preserve">58068048</t>
  </si>
  <si>
    <t xml:space="preserve">58046700</t>
  </si>
  <si>
    <t xml:space="preserve">58038190</t>
  </si>
  <si>
    <t xml:space="preserve">58046900</t>
  </si>
  <si>
    <t xml:space="preserve">58077125</t>
  </si>
  <si>
    <t xml:space="preserve">58046550</t>
  </si>
  <si>
    <t xml:space="preserve">58052230</t>
  </si>
  <si>
    <t xml:space="preserve">58036520</t>
  </si>
  <si>
    <t xml:space="preserve">58045050</t>
  </si>
  <si>
    <t xml:space="preserve">58084046</t>
  </si>
  <si>
    <t xml:space="preserve">58052170</t>
  </si>
  <si>
    <t xml:space="preserve">58035160</t>
  </si>
  <si>
    <t xml:space="preserve">58076690</t>
  </si>
  <si>
    <t xml:space="preserve">58050600</t>
  </si>
  <si>
    <t xml:space="preserve">58032210</t>
  </si>
  <si>
    <t xml:space="preserve">58030216</t>
  </si>
  <si>
    <t xml:space="preserve">58036460</t>
  </si>
  <si>
    <t xml:space="preserve">58038491</t>
  </si>
  <si>
    <t xml:space="preserve">58064090</t>
  </si>
  <si>
    <t xml:space="preserve">58070380</t>
  </si>
  <si>
    <t xml:space="preserve">58062073</t>
  </si>
  <si>
    <t xml:space="preserve">58066120</t>
  </si>
  <si>
    <t xml:space="preserve">58068370</t>
  </si>
  <si>
    <t xml:space="preserve">58036820</t>
  </si>
  <si>
    <t xml:space="preserve">58075508</t>
  </si>
  <si>
    <t xml:space="preserve">58058840</t>
  </si>
  <si>
    <t xml:space="preserve">58046260</t>
  </si>
  <si>
    <t xml:space="preserve">58045080</t>
  </si>
  <si>
    <t xml:space="preserve">58046170</t>
  </si>
  <si>
    <t xml:space="preserve">58033370</t>
  </si>
  <si>
    <t xml:space="preserve">58013190</t>
  </si>
  <si>
    <t xml:space="preserve">58057260</t>
  </si>
  <si>
    <t xml:space="preserve">58066148</t>
  </si>
  <si>
    <t xml:space="preserve">58037435</t>
  </si>
  <si>
    <t xml:space="preserve">58062058</t>
  </si>
  <si>
    <t xml:space="preserve">58034050</t>
  </si>
  <si>
    <t xml:space="preserve">58059432</t>
  </si>
  <si>
    <t xml:space="preserve">58037155</t>
  </si>
  <si>
    <t xml:space="preserve">58070590</t>
  </si>
  <si>
    <t xml:space="preserve">58074180</t>
  </si>
  <si>
    <t xml:space="preserve">58067180</t>
  </si>
  <si>
    <t xml:space="preserve">58065156</t>
  </si>
  <si>
    <t xml:space="preserve">58063480</t>
  </si>
  <si>
    <t xml:space="preserve">58068090</t>
  </si>
  <si>
    <t xml:space="preserve">58065075</t>
  </si>
  <si>
    <t xml:space="preserve">58015340</t>
  </si>
  <si>
    <t xml:space="preserve">58063039</t>
  </si>
  <si>
    <t xml:space="preserve">58068243</t>
  </si>
  <si>
    <t xml:space="preserve">58046523</t>
  </si>
  <si>
    <t xml:space="preserve">58067323</t>
  </si>
  <si>
    <t xml:space="preserve">58087130</t>
  </si>
  <si>
    <t xml:space="preserve">58068478</t>
  </si>
  <si>
    <t xml:space="preserve">58050620</t>
  </si>
  <si>
    <t xml:space="preserve">58075-300</t>
  </si>
  <si>
    <t xml:space="preserve">58027697</t>
  </si>
  <si>
    <t xml:space="preserve">58038102</t>
  </si>
  <si>
    <t xml:space="preserve">58414150</t>
  </si>
  <si>
    <t xml:space="preserve">58424232</t>
  </si>
  <si>
    <t xml:space="preserve">58446000</t>
  </si>
  <si>
    <t xml:space="preserve">58410255</t>
  </si>
  <si>
    <t xml:space="preserve">58424280</t>
  </si>
  <si>
    <t xml:space="preserve">58434323</t>
  </si>
  <si>
    <t xml:space="preserve">58430768</t>
  </si>
  <si>
    <t xml:space="preserve">58423-147</t>
  </si>
  <si>
    <t xml:space="preserve">58401078</t>
  </si>
  <si>
    <t xml:space="preserve">58416300</t>
  </si>
  <si>
    <t xml:space="preserve">58432606</t>
  </si>
  <si>
    <t xml:space="preserve">58406135</t>
  </si>
  <si>
    <t xml:space="preserve">58432581</t>
  </si>
  <si>
    <t xml:space="preserve">58410505</t>
  </si>
  <si>
    <t xml:space="preserve">58707320</t>
  </si>
  <si>
    <t xml:space="preserve">58706022</t>
  </si>
  <si>
    <t xml:space="preserve">58707432</t>
  </si>
  <si>
    <t xml:space="preserve">58703230</t>
  </si>
  <si>
    <t xml:space="preserve">58704230</t>
  </si>
  <si>
    <t xml:space="preserve">58700050</t>
  </si>
  <si>
    <t xml:space="preserve">58703277</t>
  </si>
  <si>
    <t xml:space="preserve">58113080</t>
  </si>
  <si>
    <t xml:space="preserve">58113055</t>
  </si>
  <si>
    <t xml:space="preserve">58111096</t>
  </si>
  <si>
    <t xml:space="preserve">58113550</t>
  </si>
  <si>
    <t xml:space="preserve">58111638</t>
  </si>
  <si>
    <t xml:space="preserve">58304116</t>
  </si>
  <si>
    <t xml:space="preserve">58301410</t>
  </si>
  <si>
    <t xml:space="preserve">58301440</t>
  </si>
  <si>
    <t xml:space="preserve">58304500</t>
  </si>
  <si>
    <t xml:space="preserve">58302702</t>
  </si>
  <si>
    <t xml:space="preserve">58103126</t>
  </si>
  <si>
    <t xml:space="preserve">58102031</t>
  </si>
  <si>
    <t xml:space="preserve">58105069</t>
  </si>
  <si>
    <t xml:space="preserve">58102128</t>
  </si>
  <si>
    <t xml:space="preserve">58101582</t>
  </si>
  <si>
    <t xml:space="preserve">58278000</t>
  </si>
  <si>
    <t xml:space="preserve">58322000</t>
  </si>
  <si>
    <t xml:space="preserve">58135000</t>
  </si>
  <si>
    <t xml:space="preserve">58385000</t>
  </si>
  <si>
    <t xml:space="preserve">50710001</t>
  </si>
  <si>
    <t xml:space="preserve">51021190</t>
  </si>
  <si>
    <t xml:space="preserve">51110310</t>
  </si>
  <si>
    <t xml:space="preserve">52011020</t>
  </si>
  <si>
    <t xml:space="preserve">52050118</t>
  </si>
  <si>
    <t xml:space="preserve">50731000</t>
  </si>
  <si>
    <t xml:space="preserve">51021540</t>
  </si>
  <si>
    <t xml:space="preserve">52070013</t>
  </si>
  <si>
    <t xml:space="preserve">50761440</t>
  </si>
  <si>
    <t xml:space="preserve">51021020</t>
  </si>
  <si>
    <t xml:space="preserve">51160070</t>
  </si>
  <si>
    <t xml:space="preserve">50781600</t>
  </si>
  <si>
    <t xml:space="preserve">51130250</t>
  </si>
  <si>
    <t xml:space="preserve">50980380</t>
  </si>
  <si>
    <t xml:space="preserve">52031050</t>
  </si>
  <si>
    <t xml:space="preserve">52291662</t>
  </si>
  <si>
    <t xml:space="preserve">52081560</t>
  </si>
  <si>
    <t xml:space="preserve">50741465</t>
  </si>
  <si>
    <t xml:space="preserve">50630560</t>
  </si>
  <si>
    <t xml:space="preserve">51030540</t>
  </si>
  <si>
    <t xml:space="preserve">52050375</t>
  </si>
  <si>
    <t xml:space="preserve">50760740</t>
  </si>
  <si>
    <t xml:space="preserve">51300140</t>
  </si>
  <si>
    <t xml:space="preserve">52120710</t>
  </si>
  <si>
    <t xml:space="preserve">51350420</t>
  </si>
  <si>
    <t xml:space="preserve">52020041</t>
  </si>
  <si>
    <t xml:space="preserve">51030300</t>
  </si>
  <si>
    <t xml:space="preserve">51160035</t>
  </si>
  <si>
    <t xml:space="preserve">51011010</t>
  </si>
  <si>
    <t xml:space="preserve">52011090</t>
  </si>
  <si>
    <t xml:space="preserve">50740370</t>
  </si>
  <si>
    <t xml:space="preserve">50711170</t>
  </si>
  <si>
    <t xml:space="preserve">52291113</t>
  </si>
  <si>
    <t xml:space="preserve">51020190</t>
  </si>
  <si>
    <t xml:space="preserve">50810040</t>
  </si>
  <si>
    <t xml:space="preserve">52030175</t>
  </si>
  <si>
    <t xml:space="preserve">51275660</t>
  </si>
  <si>
    <t xml:space="preserve">51021070</t>
  </si>
  <si>
    <t xml:space="preserve">52060370</t>
  </si>
  <si>
    <t xml:space="preserve">50610340</t>
  </si>
  <si>
    <t xml:space="preserve">51011685</t>
  </si>
  <si>
    <t xml:space="preserve">51020220</t>
  </si>
  <si>
    <t xml:space="preserve">51021060</t>
  </si>
  <si>
    <t xml:space="preserve">50741430</t>
  </si>
  <si>
    <t xml:space="preserve">51130300</t>
  </si>
  <si>
    <t xml:space="preserve">50740340</t>
  </si>
  <si>
    <t xml:space="preserve">50760475</t>
  </si>
  <si>
    <t xml:space="preserve">50740110</t>
  </si>
  <si>
    <t xml:space="preserve">51310090</t>
  </si>
  <si>
    <t xml:space="preserve">52211005</t>
  </si>
  <si>
    <t xml:space="preserve">51030420</t>
  </si>
  <si>
    <t xml:space="preserve">51030010</t>
  </si>
  <si>
    <t xml:space="preserve">50710210</t>
  </si>
  <si>
    <t xml:space="preserve">50920310</t>
  </si>
  <si>
    <t xml:space="preserve">51160400</t>
  </si>
  <si>
    <t xml:space="preserve">50721235</t>
  </si>
  <si>
    <t xml:space="preserve">50710030</t>
  </si>
  <si>
    <t xml:space="preserve">52280590</t>
  </si>
  <si>
    <t xml:space="preserve">50710165</t>
  </si>
  <si>
    <t xml:space="preserve">52130165</t>
  </si>
  <si>
    <t xml:space="preserve">52090080</t>
  </si>
  <si>
    <t xml:space="preserve">50790410</t>
  </si>
  <si>
    <t xml:space="preserve">52070360</t>
  </si>
  <si>
    <t xml:space="preserve">52040000</t>
  </si>
  <si>
    <t xml:space="preserve">50721540</t>
  </si>
  <si>
    <t xml:space="preserve">50900110</t>
  </si>
  <si>
    <t xml:space="preserve">51180500</t>
  </si>
  <si>
    <t xml:space="preserve">50670310</t>
  </si>
  <si>
    <t xml:space="preserve">50810020</t>
  </si>
  <si>
    <t xml:space="preserve">50780500</t>
  </si>
  <si>
    <t xml:space="preserve">52030100</t>
  </si>
  <si>
    <t xml:space="preserve">52061540</t>
  </si>
  <si>
    <t xml:space="preserve">51260230</t>
  </si>
  <si>
    <t xml:space="preserve">50781680</t>
  </si>
  <si>
    <t xml:space="preserve">50740180</t>
  </si>
  <si>
    <t xml:space="preserve">52091315</t>
  </si>
  <si>
    <t xml:space="preserve">50070080</t>
  </si>
  <si>
    <t xml:space="preserve">52291690</t>
  </si>
  <si>
    <t xml:space="preserve">52050380</t>
  </si>
  <si>
    <t xml:space="preserve">52071132</t>
  </si>
  <si>
    <t xml:space="preserve">52041380</t>
  </si>
  <si>
    <t xml:space="preserve">51240200</t>
  </si>
  <si>
    <t xml:space="preserve">52051395</t>
  </si>
  <si>
    <t xml:space="preserve">50740030</t>
  </si>
  <si>
    <t xml:space="preserve">50660300</t>
  </si>
  <si>
    <t xml:space="preserve">51250230</t>
  </si>
  <si>
    <t xml:space="preserve">51275380</t>
  </si>
  <si>
    <t xml:space="preserve">51260000</t>
  </si>
  <si>
    <t xml:space="preserve">51020001</t>
  </si>
  <si>
    <t xml:space="preserve">52120335</t>
  </si>
  <si>
    <t xml:space="preserve">52490250</t>
  </si>
  <si>
    <t xml:space="preserve">50760030</t>
  </si>
  <si>
    <t xml:space="preserve">52291530</t>
  </si>
  <si>
    <t xml:space="preserve">51300080</t>
  </si>
  <si>
    <t xml:space="preserve">52041370</t>
  </si>
  <si>
    <t xml:space="preserve">50100260</t>
  </si>
  <si>
    <t xml:space="preserve">52061275</t>
  </si>
  <si>
    <t xml:space="preserve">50710025</t>
  </si>
  <si>
    <t xml:space="preserve">50910140</t>
  </si>
  <si>
    <t xml:space="preserve">50920700</t>
  </si>
  <si>
    <t xml:space="preserve">50920121</t>
  </si>
  <si>
    <t xml:space="preserve">52191405</t>
  </si>
  <si>
    <t xml:space="preserve">52020220</t>
  </si>
  <si>
    <t xml:space="preserve">51110300</t>
  </si>
  <si>
    <t xml:space="preserve">51310331</t>
  </si>
  <si>
    <t xml:space="preserve">50750260</t>
  </si>
  <si>
    <t xml:space="preserve">50731480</t>
  </si>
  <si>
    <t xml:space="preserve">51030215</t>
  </si>
  <si>
    <t xml:space="preserve">52031216</t>
  </si>
  <si>
    <t xml:space="preserve">50865120</t>
  </si>
  <si>
    <t xml:space="preserve">52130315</t>
  </si>
  <si>
    <t xml:space="preserve">52010250</t>
  </si>
  <si>
    <t xml:space="preserve">50800220</t>
  </si>
  <si>
    <t xml:space="preserve">50711055</t>
  </si>
  <si>
    <t xml:space="preserve">52061160</t>
  </si>
  <si>
    <t xml:space="preserve">52020140</t>
  </si>
  <si>
    <t xml:space="preserve">52165054</t>
  </si>
  <si>
    <t xml:space="preserve">50850110</t>
  </si>
  <si>
    <t xml:space="preserve">51030630</t>
  </si>
  <si>
    <t xml:space="preserve">51030360</t>
  </si>
  <si>
    <t xml:space="preserve">51030030</t>
  </si>
  <si>
    <t xml:space="preserve">51021300</t>
  </si>
  <si>
    <t xml:space="preserve">50610610</t>
  </si>
  <si>
    <t xml:space="preserve">52050050</t>
  </si>
  <si>
    <t xml:space="preserve">52130470</t>
  </si>
  <si>
    <t xml:space="preserve">50740531</t>
  </si>
  <si>
    <t xml:space="preserve">51350080</t>
  </si>
  <si>
    <t xml:space="preserve">50050590</t>
  </si>
  <si>
    <t xml:space="preserve">54353165</t>
  </si>
  <si>
    <t xml:space="preserve">54300051</t>
  </si>
  <si>
    <t xml:space="preserve">54080022</t>
  </si>
  <si>
    <t xml:space="preserve">54440350</t>
  </si>
  <si>
    <t xml:space="preserve">54325021</t>
  </si>
  <si>
    <t xml:space="preserve">54352265</t>
  </si>
  <si>
    <t xml:space="preserve">54490571</t>
  </si>
  <si>
    <t xml:space="preserve">54100161</t>
  </si>
  <si>
    <t xml:space="preserve">54220000</t>
  </si>
  <si>
    <t xml:space="preserve">54100582</t>
  </si>
  <si>
    <t xml:space="preserve">54410315</t>
  </si>
  <si>
    <t xml:space="preserve">54360167</t>
  </si>
  <si>
    <t xml:space="preserve">54090230</t>
  </si>
  <si>
    <t xml:space="preserve">54440290</t>
  </si>
  <si>
    <t xml:space="preserve">54410390</t>
  </si>
  <si>
    <t xml:space="preserve">54125-010</t>
  </si>
  <si>
    <t xml:space="preserve">54340060</t>
  </si>
  <si>
    <t xml:space="preserve">54170030</t>
  </si>
  <si>
    <t xml:space="preserve">54260010</t>
  </si>
  <si>
    <t xml:space="preserve">54280744</t>
  </si>
  <si>
    <t xml:space="preserve">54430295</t>
  </si>
  <si>
    <t xml:space="preserve">54310710</t>
  </si>
  <si>
    <t xml:space="preserve">54160546</t>
  </si>
  <si>
    <t xml:space="preserve">54315090</t>
  </si>
  <si>
    <t xml:space="preserve">54320140</t>
  </si>
  <si>
    <t xml:space="preserve">54420240</t>
  </si>
  <si>
    <t xml:space="preserve">54340210</t>
  </si>
  <si>
    <t xml:space="preserve">54230117</t>
  </si>
  <si>
    <t xml:space="preserve">54350796</t>
  </si>
  <si>
    <t xml:space="preserve">54420120</t>
  </si>
  <si>
    <t xml:space="preserve">54320050</t>
  </si>
  <si>
    <t xml:space="preserve">54310295</t>
  </si>
  <si>
    <t xml:space="preserve">54260014</t>
  </si>
  <si>
    <t xml:space="preserve">54495190</t>
  </si>
  <si>
    <t xml:space="preserve">54100574</t>
  </si>
  <si>
    <t xml:space="preserve">54430440</t>
  </si>
  <si>
    <t xml:space="preserve">54430770</t>
  </si>
  <si>
    <t xml:space="preserve">54310210</t>
  </si>
  <si>
    <t xml:space="preserve">54270060</t>
  </si>
  <si>
    <t xml:space="preserve">53401090</t>
  </si>
  <si>
    <t xml:space="preserve">53435630</t>
  </si>
  <si>
    <t xml:space="preserve">53409490</t>
  </si>
  <si>
    <t xml:space="preserve">53429240</t>
  </si>
  <si>
    <t xml:space="preserve">53407520</t>
  </si>
  <si>
    <t xml:space="preserve">53444160</t>
  </si>
  <si>
    <t xml:space="preserve">53413660</t>
  </si>
  <si>
    <t xml:space="preserve">53433090</t>
  </si>
  <si>
    <t xml:space="preserve">53415380</t>
  </si>
  <si>
    <t xml:space="preserve">53401105</t>
  </si>
  <si>
    <t xml:space="preserve">53439380</t>
  </si>
  <si>
    <t xml:space="preserve">53442180</t>
  </si>
  <si>
    <t xml:space="preserve">53401615</t>
  </si>
  <si>
    <t xml:space="preserve">53439570</t>
  </si>
  <si>
    <t xml:space="preserve">53422530</t>
  </si>
  <si>
    <t xml:space="preserve">53433070</t>
  </si>
  <si>
    <t xml:space="preserve">53431395</t>
  </si>
  <si>
    <t xml:space="preserve">53435020</t>
  </si>
  <si>
    <t xml:space="preserve">53444490</t>
  </si>
  <si>
    <t xml:space="preserve">53416630</t>
  </si>
  <si>
    <t xml:space="preserve">53420200</t>
  </si>
  <si>
    <t xml:space="preserve">53444120</t>
  </si>
  <si>
    <t xml:space="preserve">53433760</t>
  </si>
  <si>
    <t xml:space="preserve">53431155</t>
  </si>
  <si>
    <t xml:space="preserve">53435550</t>
  </si>
  <si>
    <t xml:space="preserve">53413180</t>
  </si>
  <si>
    <t xml:space="preserve">53441430</t>
  </si>
  <si>
    <t xml:space="preserve">53402723</t>
  </si>
  <si>
    <t xml:space="preserve">53433750</t>
  </si>
  <si>
    <t xml:space="preserve">53439000</t>
  </si>
  <si>
    <t xml:space="preserve">53444320</t>
  </si>
  <si>
    <t xml:space="preserve">53409190</t>
  </si>
  <si>
    <t xml:space="preserve">53433510</t>
  </si>
  <si>
    <t xml:space="preserve">53429680</t>
  </si>
  <si>
    <t xml:space="preserve">53431370</t>
  </si>
  <si>
    <t xml:space="preserve">53435330</t>
  </si>
  <si>
    <t xml:space="preserve">53425740</t>
  </si>
  <si>
    <t xml:space="preserve">53437490</t>
  </si>
  <si>
    <t xml:space="preserve">53405748</t>
  </si>
  <si>
    <t xml:space="preserve">53020370</t>
  </si>
  <si>
    <t xml:space="preserve">53220376</t>
  </si>
  <si>
    <t xml:space="preserve">53250350</t>
  </si>
  <si>
    <t xml:space="preserve">53050130</t>
  </si>
  <si>
    <t xml:space="preserve">53170110</t>
  </si>
  <si>
    <t xml:space="preserve">53060001</t>
  </si>
  <si>
    <t xml:space="preserve">53060520</t>
  </si>
  <si>
    <t xml:space="preserve">53300240</t>
  </si>
  <si>
    <t xml:space="preserve">53370650</t>
  </si>
  <si>
    <t xml:space="preserve">53370710</t>
  </si>
  <si>
    <t xml:space="preserve">53370490</t>
  </si>
  <si>
    <t xml:space="preserve">53210575</t>
  </si>
  <si>
    <t xml:space="preserve">53160390</t>
  </si>
  <si>
    <t xml:space="preserve">53030250</t>
  </si>
  <si>
    <t xml:space="preserve">53350844</t>
  </si>
  <si>
    <t xml:space="preserve">53200320</t>
  </si>
  <si>
    <t xml:space="preserve">53210250</t>
  </si>
  <si>
    <t xml:space="preserve">53110510</t>
  </si>
  <si>
    <t xml:space="preserve">53210490</t>
  </si>
  <si>
    <t xml:space="preserve">53230080</t>
  </si>
  <si>
    <t xml:space="preserve">53220461</t>
  </si>
  <si>
    <t xml:space="preserve">53280060</t>
  </si>
  <si>
    <t xml:space="preserve">53210180</t>
  </si>
  <si>
    <t xml:space="preserve">53050010</t>
  </si>
  <si>
    <t xml:space="preserve">53080740</t>
  </si>
  <si>
    <t xml:space="preserve">53040180</t>
  </si>
  <si>
    <t xml:space="preserve">53220200</t>
  </si>
  <si>
    <t xml:space="preserve">53270310</t>
  </si>
  <si>
    <t xml:space="preserve">53110610</t>
  </si>
  <si>
    <t xml:space="preserve">53130540</t>
  </si>
  <si>
    <t xml:space="preserve">53010390</t>
  </si>
  <si>
    <t xml:space="preserve">53080650</t>
  </si>
  <si>
    <t xml:space="preserve">53370540</t>
  </si>
  <si>
    <t xml:space="preserve">53200080</t>
  </si>
  <si>
    <t xml:space="preserve">53130400</t>
  </si>
  <si>
    <t xml:space="preserve">53130070</t>
  </si>
  <si>
    <t xml:space="preserve">56322000</t>
  </si>
  <si>
    <t xml:space="preserve">56353700</t>
  </si>
  <si>
    <t xml:space="preserve">56328500</t>
  </si>
  <si>
    <t xml:space="preserve">56306395</t>
  </si>
  <si>
    <t xml:space="preserve">56309440</t>
  </si>
  <si>
    <t xml:space="preserve">56322540</t>
  </si>
  <si>
    <t xml:space="preserve">56328030</t>
  </si>
  <si>
    <t xml:space="preserve">56320806</t>
  </si>
  <si>
    <t xml:space="preserve">56310120</t>
  </si>
  <si>
    <t xml:space="preserve">56323210</t>
  </si>
  <si>
    <t xml:space="preserve">56318840</t>
  </si>
  <si>
    <t xml:space="preserve">56316566</t>
  </si>
  <si>
    <t xml:space="preserve">56322715</t>
  </si>
  <si>
    <t xml:space="preserve">56321625</t>
  </si>
  <si>
    <t xml:space="preserve">56332066</t>
  </si>
  <si>
    <t xml:space="preserve">56321630</t>
  </si>
  <si>
    <t xml:space="preserve">56313030</t>
  </si>
  <si>
    <t xml:space="preserve">56318260</t>
  </si>
  <si>
    <t xml:space="preserve">56310560</t>
  </si>
  <si>
    <t xml:space="preserve">56343000</t>
  </si>
  <si>
    <t xml:space="preserve">56319020</t>
  </si>
  <si>
    <t xml:space="preserve">56332170</t>
  </si>
  <si>
    <t xml:space="preserve">56328510</t>
  </si>
  <si>
    <t xml:space="preserve">56328560</t>
  </si>
  <si>
    <t xml:space="preserve">56315040</t>
  </si>
  <si>
    <t xml:space="preserve">55014385</t>
  </si>
  <si>
    <t xml:space="preserve">55010013</t>
  </si>
  <si>
    <t xml:space="preserve">55101000</t>
  </si>
  <si>
    <t xml:space="preserve">55103000</t>
  </si>
  <si>
    <t xml:space="preserve">55039475</t>
  </si>
  <si>
    <t xml:space="preserve">55016400</t>
  </si>
  <si>
    <t xml:space="preserve">55022520</t>
  </si>
  <si>
    <t xml:space="preserve">55032350</t>
  </si>
  <si>
    <t xml:space="preserve">55024203</t>
  </si>
  <si>
    <t xml:space="preserve">55038520</t>
  </si>
  <si>
    <t xml:space="preserve">55022660</t>
  </si>
  <si>
    <t xml:space="preserve">55044230</t>
  </si>
  <si>
    <t xml:space="preserve">55025045</t>
  </si>
  <si>
    <t xml:space="preserve">55026005</t>
  </si>
  <si>
    <t xml:space="preserve">55020504</t>
  </si>
  <si>
    <t xml:space="preserve">55036000</t>
  </si>
  <si>
    <t xml:space="preserve">55004470</t>
  </si>
  <si>
    <t xml:space="preserve">55015020</t>
  </si>
  <si>
    <t xml:space="preserve">55014748</t>
  </si>
  <si>
    <t xml:space="preserve">55030200</t>
  </si>
  <si>
    <t xml:space="preserve">54520420</t>
  </si>
  <si>
    <t xml:space="preserve">54523175</t>
  </si>
  <si>
    <t xml:space="preserve">54519040</t>
  </si>
  <si>
    <t xml:space="preserve">54517080</t>
  </si>
  <si>
    <t xml:space="preserve">54505010</t>
  </si>
  <si>
    <t xml:space="preserve">54580590</t>
  </si>
  <si>
    <t xml:space="preserve">54523180</t>
  </si>
  <si>
    <t xml:space="preserve">54590000</t>
  </si>
  <si>
    <t xml:space="preserve">54580430</t>
  </si>
  <si>
    <t xml:space="preserve">54580225</t>
  </si>
  <si>
    <t xml:space="preserve">54515405</t>
  </si>
  <si>
    <t xml:space="preserve">54580540</t>
  </si>
  <si>
    <t xml:space="preserve">54767622</t>
  </si>
  <si>
    <t xml:space="preserve">54762740</t>
  </si>
  <si>
    <t xml:space="preserve">54762303</t>
  </si>
  <si>
    <t xml:space="preserve">54768190</t>
  </si>
  <si>
    <t xml:space="preserve">54766090</t>
  </si>
  <si>
    <t xml:space="preserve">54777410</t>
  </si>
  <si>
    <t xml:space="preserve">54753130</t>
  </si>
  <si>
    <t xml:space="preserve">54768360</t>
  </si>
  <si>
    <t xml:space="preserve">54768620</t>
  </si>
  <si>
    <t xml:space="preserve">54762787</t>
  </si>
  <si>
    <t xml:space="preserve">54767160</t>
  </si>
  <si>
    <t xml:space="preserve">54753325</t>
  </si>
  <si>
    <t xml:space="preserve">54765345</t>
  </si>
  <si>
    <t xml:space="preserve">55299535</t>
  </si>
  <si>
    <t xml:space="preserve">55294260</t>
  </si>
  <si>
    <t xml:space="preserve">55292760</t>
  </si>
  <si>
    <t xml:space="preserve">55290245</t>
  </si>
  <si>
    <t xml:space="preserve">55299590</t>
  </si>
  <si>
    <t xml:space="preserve">55294140</t>
  </si>
  <si>
    <t xml:space="preserve">55294572</t>
  </si>
  <si>
    <t xml:space="preserve">55294592</t>
  </si>
  <si>
    <t xml:space="preserve">55299455</t>
  </si>
  <si>
    <t xml:space="preserve">55298520</t>
  </si>
  <si>
    <t xml:space="preserve">55293180</t>
  </si>
  <si>
    <t xml:space="preserve">53620200</t>
  </si>
  <si>
    <t xml:space="preserve">53610346</t>
  </si>
  <si>
    <t xml:space="preserve">53615480</t>
  </si>
  <si>
    <t xml:space="preserve">53647822</t>
  </si>
  <si>
    <t xml:space="preserve">53620852</t>
  </si>
  <si>
    <t xml:space="preserve">53605540</t>
  </si>
  <si>
    <t xml:space="preserve">53645337</t>
  </si>
  <si>
    <t xml:space="preserve">53615145</t>
  </si>
  <si>
    <t xml:space="preserve">53637130</t>
  </si>
  <si>
    <t xml:space="preserve">53610231</t>
  </si>
  <si>
    <t xml:space="preserve">53640150</t>
  </si>
  <si>
    <t xml:space="preserve">64027210</t>
  </si>
  <si>
    <t xml:space="preserve">64077142</t>
  </si>
  <si>
    <t xml:space="preserve">64073650</t>
  </si>
  <si>
    <t xml:space="preserve">64020290</t>
  </si>
  <si>
    <t xml:space="preserve">64019050</t>
  </si>
  <si>
    <t xml:space="preserve">64000180</t>
  </si>
  <si>
    <t xml:space="preserve">64027110</t>
  </si>
  <si>
    <t xml:space="preserve">64031580</t>
  </si>
  <si>
    <t xml:space="preserve">64012328</t>
  </si>
  <si>
    <t xml:space="preserve">64005570</t>
  </si>
  <si>
    <t xml:space="preserve">64023614</t>
  </si>
  <si>
    <t xml:space="preserve">64079160</t>
  </si>
  <si>
    <t xml:space="preserve">64037470</t>
  </si>
  <si>
    <t xml:space="preserve">64019364</t>
  </si>
  <si>
    <t xml:space="preserve">64031300</t>
  </si>
  <si>
    <t xml:space="preserve">64015300</t>
  </si>
  <si>
    <t xml:space="preserve">64056530</t>
  </si>
  <si>
    <t xml:space="preserve">64082017</t>
  </si>
  <si>
    <t xml:space="preserve">64012450</t>
  </si>
  <si>
    <t xml:space="preserve">64056670</t>
  </si>
  <si>
    <t xml:space="preserve">64022055</t>
  </si>
  <si>
    <t xml:space="preserve">64010430</t>
  </si>
  <si>
    <t xml:space="preserve">64028420</t>
  </si>
  <si>
    <t xml:space="preserve">64083010</t>
  </si>
  <si>
    <t xml:space="preserve">64031185</t>
  </si>
  <si>
    <t xml:space="preserve">64080150</t>
  </si>
  <si>
    <t xml:space="preserve">64006040</t>
  </si>
  <si>
    <t xml:space="preserve">64093015</t>
  </si>
  <si>
    <t xml:space="preserve">64082016</t>
  </si>
  <si>
    <t xml:space="preserve">64036480</t>
  </si>
  <si>
    <t xml:space="preserve">64025190</t>
  </si>
  <si>
    <t xml:space="preserve">64089040</t>
  </si>
  <si>
    <t xml:space="preserve">64038285</t>
  </si>
  <si>
    <t xml:space="preserve">64056648</t>
  </si>
  <si>
    <t xml:space="preserve">64056440</t>
  </si>
  <si>
    <t xml:space="preserve">64022250</t>
  </si>
  <si>
    <t xml:space="preserve">64046610</t>
  </si>
  <si>
    <t xml:space="preserve">64062040</t>
  </si>
  <si>
    <t xml:space="preserve">64076305</t>
  </si>
  <si>
    <t xml:space="preserve">64086230</t>
  </si>
  <si>
    <t xml:space="preserve">64057105</t>
  </si>
  <si>
    <t xml:space="preserve">64025320</t>
  </si>
  <si>
    <t xml:space="preserve">64016060</t>
  </si>
  <si>
    <t xml:space="preserve">64073217</t>
  </si>
  <si>
    <t xml:space="preserve">64049410</t>
  </si>
  <si>
    <t xml:space="preserve">64037025</t>
  </si>
  <si>
    <t xml:space="preserve">64073046</t>
  </si>
  <si>
    <t xml:space="preserve">64076030</t>
  </si>
  <si>
    <t xml:space="preserve">64004560</t>
  </si>
  <si>
    <t xml:space="preserve">64046-410</t>
  </si>
  <si>
    <t xml:space="preserve">64011080</t>
  </si>
  <si>
    <t xml:space="preserve">64066010</t>
  </si>
  <si>
    <t xml:space="preserve">64069100</t>
  </si>
  <si>
    <t xml:space="preserve">64012065</t>
  </si>
  <si>
    <t xml:space="preserve">64050240</t>
  </si>
  <si>
    <t xml:space="preserve">64016360</t>
  </si>
  <si>
    <t xml:space="preserve">64205627</t>
  </si>
  <si>
    <t xml:space="preserve">64208090</t>
  </si>
  <si>
    <t xml:space="preserve">64208460</t>
  </si>
  <si>
    <t xml:space="preserve">64212800</t>
  </si>
  <si>
    <t xml:space="preserve">64207290</t>
  </si>
  <si>
    <t xml:space="preserve">64211225</t>
  </si>
  <si>
    <t xml:space="preserve">64215315</t>
  </si>
  <si>
    <t xml:space="preserve">64216050</t>
  </si>
  <si>
    <t xml:space="preserve">64205780</t>
  </si>
  <si>
    <t xml:space="preserve">64207010</t>
  </si>
  <si>
    <t xml:space="preserve">64200420</t>
  </si>
  <si>
    <t xml:space="preserve">64208335</t>
  </si>
  <si>
    <t xml:space="preserve">64604365</t>
  </si>
  <si>
    <t xml:space="preserve">64601394</t>
  </si>
  <si>
    <t xml:space="preserve">64606115</t>
  </si>
  <si>
    <t xml:space="preserve">64600054</t>
  </si>
  <si>
    <t xml:space="preserve">64607760</t>
  </si>
  <si>
    <t xml:space="preserve">64607685</t>
  </si>
  <si>
    <t xml:space="preserve">64300000</t>
  </si>
  <si>
    <t xml:space="preserve">64868000</t>
  </si>
  <si>
    <t xml:space="preserve">64900000</t>
  </si>
  <si>
    <t xml:space="preserve">64260000</t>
  </si>
  <si>
    <t xml:space="preserve">64280000</t>
  </si>
  <si>
    <t xml:space="preserve">64808044</t>
  </si>
  <si>
    <t xml:space="preserve">64801398</t>
  </si>
  <si>
    <t xml:space="preserve">64806080</t>
  </si>
  <si>
    <t xml:space="preserve">64255000</t>
  </si>
  <si>
    <t xml:space="preserve">59132440</t>
  </si>
  <si>
    <t xml:space="preserve">59056510</t>
  </si>
  <si>
    <t xml:space="preserve">59090310</t>
  </si>
  <si>
    <t xml:space="preserve">59139120</t>
  </si>
  <si>
    <t xml:space="preserve">59020640</t>
  </si>
  <si>
    <t xml:space="preserve">59082070</t>
  </si>
  <si>
    <t xml:space="preserve">59131080</t>
  </si>
  <si>
    <t xml:space="preserve">59014425</t>
  </si>
  <si>
    <t xml:space="preserve">59138605</t>
  </si>
  <si>
    <t xml:space="preserve">59106114</t>
  </si>
  <si>
    <t xml:space="preserve">59132690</t>
  </si>
  <si>
    <t xml:space="preserve">59112210</t>
  </si>
  <si>
    <t xml:space="preserve">59072220</t>
  </si>
  <si>
    <t xml:space="preserve">59114192</t>
  </si>
  <si>
    <t xml:space="preserve">59064741</t>
  </si>
  <si>
    <t xml:space="preserve">59031700</t>
  </si>
  <si>
    <t xml:space="preserve">59035050</t>
  </si>
  <si>
    <t xml:space="preserve">59054090</t>
  </si>
  <si>
    <t xml:space="preserve">59022170</t>
  </si>
  <si>
    <t xml:space="preserve">59115595</t>
  </si>
  <si>
    <t xml:space="preserve">59094100</t>
  </si>
  <si>
    <t xml:space="preserve">59070360</t>
  </si>
  <si>
    <t xml:space="preserve">59108230</t>
  </si>
  <si>
    <t xml:space="preserve">59072410</t>
  </si>
  <si>
    <t xml:space="preserve">59070400</t>
  </si>
  <si>
    <t xml:space="preserve">59086005</t>
  </si>
  <si>
    <t xml:space="preserve">59014180</t>
  </si>
  <si>
    <t xml:space="preserve">59031-180</t>
  </si>
  <si>
    <t xml:space="preserve">59090568</t>
  </si>
  <si>
    <t xml:space="preserve">59056150</t>
  </si>
  <si>
    <t xml:space="preserve">59025370</t>
  </si>
  <si>
    <t xml:space="preserve">59078400</t>
  </si>
  <si>
    <t xml:space="preserve">59139430</t>
  </si>
  <si>
    <t xml:space="preserve">59037250</t>
  </si>
  <si>
    <t xml:space="preserve">59082170</t>
  </si>
  <si>
    <t xml:space="preserve">59152780</t>
  </si>
  <si>
    <t xml:space="preserve">59148550</t>
  </si>
  <si>
    <t xml:space="preserve">59156325</t>
  </si>
  <si>
    <t xml:space="preserve">59152820</t>
  </si>
  <si>
    <t xml:space="preserve">59151400</t>
  </si>
  <si>
    <t xml:space="preserve">59154330</t>
  </si>
  <si>
    <t xml:space="preserve">59149356</t>
  </si>
  <si>
    <t xml:space="preserve">59158150</t>
  </si>
  <si>
    <t xml:space="preserve">59141705</t>
  </si>
  <si>
    <t xml:space="preserve">59152845</t>
  </si>
  <si>
    <t xml:space="preserve">59149350</t>
  </si>
  <si>
    <t xml:space="preserve">59158400</t>
  </si>
  <si>
    <t xml:space="preserve">59155740</t>
  </si>
  <si>
    <t xml:space="preserve">59152725</t>
  </si>
  <si>
    <t xml:space="preserve">59152210</t>
  </si>
  <si>
    <t xml:space="preserve">59140160</t>
  </si>
  <si>
    <t xml:space="preserve">59158860</t>
  </si>
  <si>
    <t xml:space="preserve">59142380</t>
  </si>
  <si>
    <t xml:space="preserve">59145060</t>
  </si>
  <si>
    <t xml:space="preserve">59616650</t>
  </si>
  <si>
    <t xml:space="preserve">59630363</t>
  </si>
  <si>
    <t xml:space="preserve">59625608</t>
  </si>
  <si>
    <t xml:space="preserve">59643670</t>
  </si>
  <si>
    <t xml:space="preserve">59612000</t>
  </si>
  <si>
    <t xml:space="preserve">59605320</t>
  </si>
  <si>
    <t xml:space="preserve">59640280</t>
  </si>
  <si>
    <t xml:space="preserve">59575000</t>
  </si>
  <si>
    <t xml:space="preserve">59570000</t>
  </si>
  <si>
    <t xml:space="preserve">59295321</t>
  </si>
  <si>
    <t xml:space="preserve">59290647</t>
  </si>
  <si>
    <t xml:space="preserve">59295605</t>
  </si>
  <si>
    <t xml:space="preserve">59296817</t>
  </si>
  <si>
    <t xml:space="preserve">59380000</t>
  </si>
  <si>
    <t xml:space="preserve">59162000</t>
  </si>
  <si>
    <t xml:space="preserve">59300000</t>
  </si>
  <si>
    <t xml:space="preserve">59504000</t>
  </si>
  <si>
    <t xml:space="preserve">49037000</t>
  </si>
  <si>
    <t xml:space="preserve">49090520</t>
  </si>
  <si>
    <t xml:space="preserve">49060630</t>
  </si>
  <si>
    <t xml:space="preserve">49030460</t>
  </si>
  <si>
    <t xml:space="preserve">49065230</t>
  </si>
  <si>
    <t xml:space="preserve">49044451</t>
  </si>
  <si>
    <t xml:space="preserve">49043775</t>
  </si>
  <si>
    <t xml:space="preserve">49072533</t>
  </si>
  <si>
    <t xml:space="preserve">49039241</t>
  </si>
  <si>
    <t xml:space="preserve">49045200</t>
  </si>
  <si>
    <t xml:space="preserve">49007000</t>
  </si>
  <si>
    <t xml:space="preserve">49075460</t>
  </si>
  <si>
    <t xml:space="preserve">49063136</t>
  </si>
  <si>
    <t xml:space="preserve">49036090</t>
  </si>
  <si>
    <t xml:space="preserve">49039038</t>
  </si>
  <si>
    <t xml:space="preserve">49090760</t>
  </si>
  <si>
    <t xml:space="preserve">49092070</t>
  </si>
  <si>
    <t xml:space="preserve">49048010</t>
  </si>
  <si>
    <t xml:space="preserve">49031040</t>
  </si>
  <si>
    <t xml:space="preserve">49040350</t>
  </si>
  <si>
    <t xml:space="preserve">49032280</t>
  </si>
  <si>
    <t xml:space="preserve">49032016</t>
  </si>
  <si>
    <t xml:space="preserve">49041023</t>
  </si>
  <si>
    <t xml:space="preserve">49088000</t>
  </si>
  <si>
    <t xml:space="preserve">49047443</t>
  </si>
  <si>
    <t xml:space="preserve">49000813</t>
  </si>
  <si>
    <t xml:space="preserve">49095809</t>
  </si>
  <si>
    <t xml:space="preserve">49045700</t>
  </si>
  <si>
    <t xml:space="preserve">49010160</t>
  </si>
  <si>
    <t xml:space="preserve">49043550</t>
  </si>
  <si>
    <t xml:space="preserve">49027260</t>
  </si>
  <si>
    <t xml:space="preserve">49000620</t>
  </si>
  <si>
    <t xml:space="preserve">49015400</t>
  </si>
  <si>
    <t xml:space="preserve">49044307</t>
  </si>
  <si>
    <t xml:space="preserve">49095230</t>
  </si>
  <si>
    <t xml:space="preserve">49040720</t>
  </si>
  <si>
    <t xml:space="preserve">49037400</t>
  </si>
  <si>
    <t xml:space="preserve">49096170</t>
  </si>
  <si>
    <t xml:space="preserve">49052260</t>
  </si>
  <si>
    <t xml:space="preserve">49065420</t>
  </si>
  <si>
    <t xml:space="preserve">49090300</t>
  </si>
  <si>
    <t xml:space="preserve">49031060</t>
  </si>
  <si>
    <t xml:space="preserve">49085360</t>
  </si>
  <si>
    <t xml:space="preserve">49035180</t>
  </si>
  <si>
    <t xml:space="preserve">49065770</t>
  </si>
  <si>
    <t xml:space="preserve">49097000</t>
  </si>
  <si>
    <t xml:space="preserve">49090783</t>
  </si>
  <si>
    <t xml:space="preserve">49050750</t>
  </si>
  <si>
    <t xml:space="preserve">49025140</t>
  </si>
  <si>
    <t xml:space="preserve">49020140</t>
  </si>
  <si>
    <t xml:space="preserve">49066290</t>
  </si>
  <si>
    <t xml:space="preserve">49060440</t>
  </si>
  <si>
    <t xml:space="preserve">49032490</t>
  </si>
  <si>
    <t xml:space="preserve">49090113</t>
  </si>
  <si>
    <t xml:space="preserve">49153482</t>
  </si>
  <si>
    <t xml:space="preserve">49153566</t>
  </si>
  <si>
    <t xml:space="preserve">49156688</t>
  </si>
  <si>
    <t xml:space="preserve">49156703</t>
  </si>
  <si>
    <t xml:space="preserve">49152610</t>
  </si>
  <si>
    <t xml:space="preserve">49156402</t>
  </si>
  <si>
    <t xml:space="preserve">49156823</t>
  </si>
  <si>
    <t xml:space="preserve">49162448</t>
  </si>
  <si>
    <t xml:space="preserve">49500106</t>
  </si>
  <si>
    <t xml:space="preserve">49500241</t>
  </si>
  <si>
    <t xml:space="preserve">49506243</t>
  </si>
  <si>
    <t xml:space="preserve">49507076</t>
  </si>
  <si>
    <t xml:space="preserve">49500217</t>
  </si>
  <si>
    <t xml:space="preserve">49506303</t>
  </si>
  <si>
    <t xml:space="preserve">49480000</t>
  </si>
  <si>
    <t xml:space="preserve">49142632</t>
  </si>
  <si>
    <t xml:space="preserve">49140310</t>
  </si>
  <si>
    <t xml:space="preserve">49142630</t>
  </si>
  <si>
    <t xml:space="preserve">49141462</t>
  </si>
  <si>
    <t xml:space="preserve">49142198</t>
  </si>
  <si>
    <t xml:space="preserve">49107020</t>
  </si>
  <si>
    <t xml:space="preserve">49109899</t>
  </si>
  <si>
    <t xml:space="preserve">49101199</t>
  </si>
  <si>
    <t xml:space="preserve">49260000</t>
  </si>
  <si>
    <t xml:space="preserve">49490000</t>
  </si>
  <si>
    <t xml:space="preserve">49680000</t>
  </si>
  <si>
    <t xml:space="preserve">49270000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</si>
</sst>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"/>
    <numFmt numFmtId="167" formatCode="&quot;R$ &quot;#,##0.00;[RED]&quot;-R$ &quot;#,##0.00;\-"/>
    <numFmt numFmtId="168" formatCode="0.0%;[RED]\-0.0%;\-"/>
    <numFmt numFmtId="169" formatCode="0%"/>
    <numFmt numFmtId="170" formatCode="0.0%"/>
    <numFmt numFmtId="171" formatCode="0.00%"/>
    <numFmt numFmtId="172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6" min="4" style="0" width="15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12" min="9" style="0" width="12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n">
        <f aca="false">COUNTIFS('Pedidos Top10'!$A$2:$A$1839,A5)</f>
        <v>167</v>
      </c>
      <c r="C5" s="6" t="n">
        <f aca="false">SUMIFS('Pedidos Top10'!$J$2:$J$1839,'Pedidos Top10'!$A$2:$A$1839,A5)</f>
        <v>8123.94</v>
      </c>
      <c r="D5" s="7" t="n">
        <f aca="false">SUMIFS('Pedidos Top10'!$K$2:$K$1839,'Pedidos Top10'!$A$2:$A$1839,A5)</f>
        <v>156881.45</v>
      </c>
      <c r="E5" s="7" t="n">
        <f aca="false">SUMIFS('Pedidos Top10'!$L$2:$L$1839,'Pedidos Top10'!$A$2:$A$1839,A5)</f>
        <v>29157.55</v>
      </c>
      <c r="F5" s="7" t="n">
        <f aca="false">SUMIFS('Pedidos Top10'!$AD$2:$AD$1839,'Pedidos Top10'!$A$2:$A$1839,A5)</f>
        <v>25733.4</v>
      </c>
      <c r="G5" s="8" t="n">
        <f aca="false">F5-E5</f>
        <v>-3424.15</v>
      </c>
      <c r="H5" s="9" t="n">
        <f aca="false">IF(E5=0,0,G5/E5)</f>
        <v>-0.117436135752146</v>
      </c>
      <c r="I5" s="9" t="n">
        <f aca="false">IF(D5=0,0,E5/D5)</f>
        <v>0.185857218938249</v>
      </c>
      <c r="J5" s="9" t="n">
        <f aca="false">IF(D5=0,0,F5/D5)</f>
        <v>0.164030865344501</v>
      </c>
      <c r="K5" s="5" t="n">
        <f aca="false">COUNTIFS('Pedidos Top10'!$A$2:$A$1839,A5,'Pedidos Top10'!$AG$2:$AG$1839,"PASSARO")</f>
        <v>115</v>
      </c>
      <c r="L5" s="9" t="n">
        <f aca="false">IF(B5=0,0,K5/B5)</f>
        <v>0.688622754491018</v>
      </c>
      <c r="M5" s="9" t="n">
        <f aca="false">IF(F5&lt;=E5,0,1-E5/F5)</f>
        <v>0</v>
      </c>
    </row>
    <row r="6" customFormat="false" ht="15" hidden="false" customHeight="false" outlineLevel="0" collapsed="false">
      <c r="A6" s="4" t="s">
        <v>16</v>
      </c>
      <c r="B6" s="5" t="n">
        <f aca="false">COUNTIFS('Pedidos Top10'!$A$2:$A$1839,A6)</f>
        <v>501</v>
      </c>
      <c r="C6" s="6" t="n">
        <f aca="false">SUMIFS('Pedidos Top10'!$J$2:$J$1839,'Pedidos Top10'!$A$2:$A$1839,A6)</f>
        <v>26699.12</v>
      </c>
      <c r="D6" s="7" t="n">
        <f aca="false">SUMIFS('Pedidos Top10'!$K$2:$K$1839,'Pedidos Top10'!$A$2:$A$1839,A6)</f>
        <v>458094.85</v>
      </c>
      <c r="E6" s="7" t="n">
        <f aca="false">SUMIFS('Pedidos Top10'!$L$2:$L$1839,'Pedidos Top10'!$A$2:$A$1839,A6)</f>
        <v>87126.83</v>
      </c>
      <c r="F6" s="7" t="n">
        <f aca="false">SUMIFS('Pedidos Top10'!$AD$2:$AD$1839,'Pedidos Top10'!$A$2:$A$1839,A6)</f>
        <v>65815.37</v>
      </c>
      <c r="G6" s="8" t="n">
        <f aca="false">F6-E6</f>
        <v>-21311.46</v>
      </c>
      <c r="H6" s="9" t="n">
        <f aca="false">IF(E6=0,0,G6/E6)</f>
        <v>-0.244602724556833</v>
      </c>
      <c r="I6" s="9" t="n">
        <f aca="false">IF(D6=0,0,E6/D6)</f>
        <v>0.190193864873181</v>
      </c>
      <c r="J6" s="9" t="n">
        <f aca="false">IF(D6=0,0,F6/D6)</f>
        <v>0.143671927331207</v>
      </c>
      <c r="K6" s="5" t="n">
        <f aca="false">COUNTIFS('Pedidos Top10'!$A$2:$A$1839,A6,'Pedidos Top10'!$AG$2:$AG$1839,"PASSARO")</f>
        <v>439</v>
      </c>
      <c r="L6" s="9" t="n">
        <f aca="false">IF(B6=0,0,K6/B6)</f>
        <v>0.87624750499002</v>
      </c>
      <c r="M6" s="9" t="n">
        <f aca="false">IF(F6&lt;=E6,0,1-E6/F6)</f>
        <v>0</v>
      </c>
    </row>
    <row r="7" customFormat="false" ht="15" hidden="false" customHeight="false" outlineLevel="0" collapsed="false">
      <c r="A7" s="4" t="s">
        <v>17</v>
      </c>
      <c r="B7" s="5" t="n">
        <f aca="false">COUNTIFS('Pedidos Top10'!$A$2:$A$1839,A7)</f>
        <v>259</v>
      </c>
      <c r="C7" s="6" t="n">
        <f aca="false">SUMIFS('Pedidos Top10'!$J$2:$J$1839,'Pedidos Top10'!$A$2:$A$1839,A7)</f>
        <v>13113.76</v>
      </c>
      <c r="D7" s="7" t="n">
        <f aca="false">SUMIFS('Pedidos Top10'!$K$2:$K$1839,'Pedidos Top10'!$A$2:$A$1839,A7)</f>
        <v>239912.91</v>
      </c>
      <c r="E7" s="7" t="n">
        <f aca="false">SUMIFS('Pedidos Top10'!$L$2:$L$1839,'Pedidos Top10'!$A$2:$A$1839,A7)</f>
        <v>49566.26</v>
      </c>
      <c r="F7" s="7" t="n">
        <f aca="false">SUMIFS('Pedidos Top10'!$AD$2:$AD$1839,'Pedidos Top10'!$A$2:$A$1839,A7)</f>
        <v>61581.4</v>
      </c>
      <c r="G7" s="8" t="n">
        <f aca="false">F7-E7</f>
        <v>12015.14</v>
      </c>
      <c r="H7" s="9" t="n">
        <f aca="false">IF(E7=0,0,G7/E7)</f>
        <v>0.242405620274759</v>
      </c>
      <c r="I7" s="9" t="n">
        <f aca="false">IF(D7=0,0,E7/D7)</f>
        <v>0.206601053690691</v>
      </c>
      <c r="J7" s="9" t="n">
        <f aca="false">IF(D7=0,0,F7/D7)</f>
        <v>0.256682310260002</v>
      </c>
      <c r="K7" s="5" t="n">
        <f aca="false">COUNTIFS('Pedidos Top10'!$A$2:$A$1839,A7,'Pedidos Top10'!$AG$2:$AG$1839,"PASSARO")</f>
        <v>24</v>
      </c>
      <c r="L7" s="9" t="n">
        <f aca="false">IF(B7=0,0,K7/B7)</f>
        <v>0.0926640926640927</v>
      </c>
      <c r="M7" s="9" t="n">
        <f aca="false">IF(F7&lt;=E7,0,1-E7/F7)</f>
        <v>0.195109887076293</v>
      </c>
    </row>
    <row r="8" customFormat="false" ht="15" hidden="false" customHeight="false" outlineLevel="0" collapsed="false">
      <c r="A8" s="4" t="s">
        <v>18</v>
      </c>
      <c r="B8" s="5" t="n">
        <f aca="false">COUNTIFS('Pedidos Top10'!$A$2:$A$1839,A8)</f>
        <v>152</v>
      </c>
      <c r="C8" s="6" t="n">
        <f aca="false">SUMIFS('Pedidos Top10'!$J$2:$J$1839,'Pedidos Top10'!$A$2:$A$1839,A8)</f>
        <v>8439.19</v>
      </c>
      <c r="D8" s="7" t="n">
        <f aca="false">SUMIFS('Pedidos Top10'!$K$2:$K$1839,'Pedidos Top10'!$A$2:$A$1839,A8)</f>
        <v>156324.13</v>
      </c>
      <c r="E8" s="7" t="n">
        <f aca="false">SUMIFS('Pedidos Top10'!$L$2:$L$1839,'Pedidos Top10'!$A$2:$A$1839,A8)</f>
        <v>27876.98</v>
      </c>
      <c r="F8" s="7" t="n">
        <f aca="false">SUMIFS('Pedidos Top10'!$AD$2:$AD$1839,'Pedidos Top10'!$A$2:$A$1839,A8)</f>
        <v>48379.73</v>
      </c>
      <c r="G8" s="8" t="n">
        <f aca="false">F8-E8</f>
        <v>20502.75</v>
      </c>
      <c r="H8" s="9" t="n">
        <f aca="false">IF(E8=0,0,G8/E8)</f>
        <v>0.735472422048586</v>
      </c>
      <c r="I8" s="9" t="n">
        <f aca="false">IF(D8=0,0,E8/D8)</f>
        <v>0.1783280674583</v>
      </c>
      <c r="J8" s="9" t="n">
        <f aca="false">IF(D8=0,0,F8/D8)</f>
        <v>0.309483443151099</v>
      </c>
      <c r="K8" s="5" t="n">
        <f aca="false">COUNTIFS('Pedidos Top10'!$A$2:$A$1839,A8,'Pedidos Top10'!$AG$2:$AG$1839,"PASSARO")</f>
        <v>0</v>
      </c>
      <c r="L8" s="9" t="n">
        <f aca="false">IF(B8=0,0,K8/B8)</f>
        <v>0</v>
      </c>
      <c r="M8" s="9" t="n">
        <f aca="false">IF(F8&lt;=E8,0,1-E8/F8)</f>
        <v>0.423788020313466</v>
      </c>
    </row>
    <row r="9" customFormat="false" ht="15" hidden="false" customHeight="false" outlineLevel="0" collapsed="false">
      <c r="A9" s="4" t="s">
        <v>19</v>
      </c>
      <c r="B9" s="5" t="n">
        <f aca="false">COUNTIFS('Pedidos Top10'!$A$2:$A$1839,A9)</f>
        <v>117</v>
      </c>
      <c r="C9" s="6" t="n">
        <f aca="false">SUMIFS('Pedidos Top10'!$J$2:$J$1839,'Pedidos Top10'!$A$2:$A$1839,A9)</f>
        <v>5471.92</v>
      </c>
      <c r="D9" s="7" t="n">
        <f aca="false">SUMIFS('Pedidos Top10'!$K$2:$K$1839,'Pedidos Top10'!$A$2:$A$1839,A9)</f>
        <v>101595.23</v>
      </c>
      <c r="E9" s="7" t="n">
        <f aca="false">SUMIFS('Pedidos Top10'!$L$2:$L$1839,'Pedidos Top10'!$A$2:$A$1839,A9)</f>
        <v>20680.9</v>
      </c>
      <c r="F9" s="7" t="n">
        <f aca="false">SUMIFS('Pedidos Top10'!$AD$2:$AD$1839,'Pedidos Top10'!$A$2:$A$1839,A9)</f>
        <v>18903.35</v>
      </c>
      <c r="G9" s="8" t="n">
        <f aca="false">F9-E9</f>
        <v>-1777.55</v>
      </c>
      <c r="H9" s="9" t="n">
        <f aca="false">IF(E9=0,0,G9/E9)</f>
        <v>-0.0859512883868692</v>
      </c>
      <c r="I9" s="9" t="n">
        <f aca="false">IF(D9=0,0,E9/D9)</f>
        <v>0.203561722336767</v>
      </c>
      <c r="J9" s="9" t="n">
        <f aca="false">IF(D9=0,0,F9/D9)</f>
        <v>0.186065330035672</v>
      </c>
      <c r="K9" s="5" t="n">
        <f aca="false">COUNTIFS('Pedidos Top10'!$A$2:$A$1839,A9,'Pedidos Top10'!$AG$2:$AG$1839,"PASSARO")</f>
        <v>62</v>
      </c>
      <c r="L9" s="9" t="n">
        <f aca="false">IF(B9=0,0,K9/B9)</f>
        <v>0.52991452991453</v>
      </c>
      <c r="M9" s="9" t="n">
        <f aca="false">IF(F9&lt;=E9,0,1-E9/F9)</f>
        <v>0</v>
      </c>
    </row>
    <row r="10" customFormat="false" ht="15" hidden="false" customHeight="false" outlineLevel="0" collapsed="false">
      <c r="A10" s="4" t="s">
        <v>20</v>
      </c>
      <c r="B10" s="5" t="n">
        <f aca="false">COUNTIFS('Pedidos Top10'!$A$2:$A$1839,A10)</f>
        <v>349</v>
      </c>
      <c r="C10" s="6" t="n">
        <f aca="false">SUMIFS('Pedidos Top10'!$J$2:$J$1839,'Pedidos Top10'!$A$2:$A$1839,A10)</f>
        <v>16860.63</v>
      </c>
      <c r="D10" s="7" t="n">
        <f aca="false">SUMIFS('Pedidos Top10'!$K$2:$K$1839,'Pedidos Top10'!$A$2:$A$1839,A10)</f>
        <v>309095.04</v>
      </c>
      <c r="E10" s="7" t="n">
        <f aca="false">SUMIFS('Pedidos Top10'!$L$2:$L$1839,'Pedidos Top10'!$A$2:$A$1839,A10)</f>
        <v>61261.87</v>
      </c>
      <c r="F10" s="7" t="n">
        <f aca="false">SUMIFS('Pedidos Top10'!$AD$2:$AD$1839,'Pedidos Top10'!$A$2:$A$1839,A10)</f>
        <v>55213.96</v>
      </c>
      <c r="G10" s="8" t="n">
        <f aca="false">F10-E10</f>
        <v>-6047.91</v>
      </c>
      <c r="H10" s="9" t="n">
        <f aca="false">IF(E10=0,0,G10/E10)</f>
        <v>-0.098722255784879</v>
      </c>
      <c r="I10" s="9" t="n">
        <f aca="false">IF(D10=0,0,E10/D10)</f>
        <v>0.198197518795514</v>
      </c>
      <c r="J10" s="9" t="n">
        <f aca="false">IF(D10=0,0,F10/D10)</f>
        <v>0.178631012649054</v>
      </c>
      <c r="K10" s="5" t="n">
        <f aca="false">COUNTIFS('Pedidos Top10'!$A$2:$A$1839,A10,'Pedidos Top10'!$AG$2:$AG$1839,"PASSARO")</f>
        <v>229</v>
      </c>
      <c r="L10" s="9" t="n">
        <f aca="false">IF(B10=0,0,K10/B10)</f>
        <v>0.656160458452722</v>
      </c>
      <c r="M10" s="9" t="n">
        <f aca="false">IF(F10&lt;=E10,0,1-E10/F10)</f>
        <v>0</v>
      </c>
    </row>
    <row r="11" customFormat="false" ht="15" hidden="false" customHeight="false" outlineLevel="0" collapsed="false">
      <c r="A11" s="4" t="s">
        <v>21</v>
      </c>
      <c r="B11" s="5" t="n">
        <f aca="false">COUNTIFS('Pedidos Top10'!$A$2:$A$1839,A11)</f>
        <v>109</v>
      </c>
      <c r="C11" s="6" t="n">
        <f aca="false">SUMIFS('Pedidos Top10'!$J$2:$J$1839,'Pedidos Top10'!$A$2:$A$1839,A11)</f>
        <v>6382.36</v>
      </c>
      <c r="D11" s="7" t="n">
        <f aca="false">SUMIFS('Pedidos Top10'!$K$2:$K$1839,'Pedidos Top10'!$A$2:$A$1839,A11)</f>
        <v>121179.11</v>
      </c>
      <c r="E11" s="7" t="n">
        <f aca="false">SUMIFS('Pedidos Top10'!$L$2:$L$1839,'Pedidos Top10'!$A$2:$A$1839,A11)</f>
        <v>22463.82</v>
      </c>
      <c r="F11" s="7" t="n">
        <f aca="false">SUMIFS('Pedidos Top10'!$AD$2:$AD$1839,'Pedidos Top10'!$A$2:$A$1839,A11)</f>
        <v>38265.91</v>
      </c>
      <c r="G11" s="8" t="n">
        <f aca="false">F11-E11</f>
        <v>15802.09</v>
      </c>
      <c r="H11" s="9" t="n">
        <f aca="false">IF(E11=0,0,G11/E11)</f>
        <v>0.703446252685429</v>
      </c>
      <c r="I11" s="9" t="n">
        <f aca="false">IF(D11=0,0,E11/D11)</f>
        <v>0.185377001035905</v>
      </c>
      <c r="J11" s="9" t="n">
        <f aca="false">IF(D11=0,0,F11/D11)</f>
        <v>0.315779757748675</v>
      </c>
      <c r="K11" s="5" t="n">
        <f aca="false">COUNTIFS('Pedidos Top10'!$A$2:$A$1839,A11,'Pedidos Top10'!$AG$2:$AG$1839,"PASSARO")</f>
        <v>0</v>
      </c>
      <c r="L11" s="9" t="n">
        <f aca="false">IF(B11=0,0,K11/B11)</f>
        <v>0</v>
      </c>
      <c r="M11" s="9" t="n">
        <f aca="false">IF(F11&lt;=E11,0,1-E11/F11)</f>
        <v>0.412954768356482</v>
      </c>
    </row>
    <row r="12" customFormat="false" ht="15" hidden="false" customHeight="false" outlineLevel="0" collapsed="false">
      <c r="A12" s="4" t="s">
        <v>22</v>
      </c>
      <c r="B12" s="5" t="n">
        <f aca="false">COUNTIFS('Pedidos Top10'!$A$2:$A$1839,A12)</f>
        <v>87</v>
      </c>
      <c r="C12" s="6" t="n">
        <f aca="false">SUMIFS('Pedidos Top10'!$J$2:$J$1839,'Pedidos Top10'!$A$2:$A$1839,A12)</f>
        <v>3596.46</v>
      </c>
      <c r="D12" s="7" t="n">
        <f aca="false">SUMIFS('Pedidos Top10'!$K$2:$K$1839,'Pedidos Top10'!$A$2:$A$1839,A12)</f>
        <v>72403.64</v>
      </c>
      <c r="E12" s="7" t="n">
        <f aca="false">SUMIFS('Pedidos Top10'!$L$2:$L$1839,'Pedidos Top10'!$A$2:$A$1839,A12)</f>
        <v>15341.02</v>
      </c>
      <c r="F12" s="7" t="n">
        <f aca="false">SUMIFS('Pedidos Top10'!$AD$2:$AD$1839,'Pedidos Top10'!$A$2:$A$1839,A12)</f>
        <v>17311.51</v>
      </c>
      <c r="G12" s="8" t="n">
        <f aca="false">F12-E12</f>
        <v>1970.49</v>
      </c>
      <c r="H12" s="9" t="n">
        <f aca="false">IF(E12=0,0,G12/E12)</f>
        <v>0.128445826939799</v>
      </c>
      <c r="I12" s="9" t="n">
        <f aca="false">IF(D12=0,0,E12/D12)</f>
        <v>0.211881888811115</v>
      </c>
      <c r="J12" s="9" t="n">
        <f aca="false">IF(D12=0,0,F12/D12)</f>
        <v>0.239097233233025</v>
      </c>
      <c r="K12" s="5" t="n">
        <f aca="false">COUNTIFS('Pedidos Top10'!$A$2:$A$1839,A12,'Pedidos Top10'!$AG$2:$AG$1839,"PASSARO")</f>
        <v>37</v>
      </c>
      <c r="L12" s="9" t="n">
        <f aca="false">IF(B12=0,0,K12/B12)</f>
        <v>0.425287356321839</v>
      </c>
      <c r="M12" s="9" t="n">
        <f aca="false">IF(F12&lt;=E12,0,1-E12/F12)</f>
        <v>0.113825425973817</v>
      </c>
    </row>
    <row r="13" customFormat="false" ht="15" hidden="false" customHeight="false" outlineLevel="0" collapsed="false">
      <c r="A13" s="4" t="s">
        <v>23</v>
      </c>
      <c r="B13" s="5" t="n">
        <f aca="false">COUNTIFS('Pedidos Top10'!$A$2:$A$1839,A13)</f>
        <v>97</v>
      </c>
      <c r="C13" s="6" t="n">
        <f aca="false">SUMIFS('Pedidos Top10'!$J$2:$J$1839,'Pedidos Top10'!$A$2:$A$1839,A13)</f>
        <v>5118.27</v>
      </c>
      <c r="D13" s="7" t="n">
        <f aca="false">SUMIFS('Pedidos Top10'!$K$2:$K$1839,'Pedidos Top10'!$A$2:$A$1839,A13)</f>
        <v>90462.68</v>
      </c>
      <c r="E13" s="7" t="n">
        <f aca="false">SUMIFS('Pedidos Top10'!$L$2:$L$1839,'Pedidos Top10'!$A$2:$A$1839,A13)</f>
        <v>17913.36</v>
      </c>
      <c r="F13" s="7" t="n">
        <f aca="false">SUMIFS('Pedidos Top10'!$AD$2:$AD$1839,'Pedidos Top10'!$A$2:$A$1839,A13)</f>
        <v>14694.3</v>
      </c>
      <c r="G13" s="8" t="n">
        <f aca="false">F13-E13</f>
        <v>-3219.06</v>
      </c>
      <c r="H13" s="9" t="n">
        <f aca="false">IF(E13=0,0,G13/E13)</f>
        <v>-0.179701630514878</v>
      </c>
      <c r="I13" s="9" t="n">
        <f aca="false">IF(D13=0,0,E13/D13)</f>
        <v>0.198019337919239</v>
      </c>
      <c r="J13" s="9" t="n">
        <f aca="false">IF(D13=0,0,F13/D13)</f>
        <v>0.162434940021675</v>
      </c>
      <c r="K13" s="5" t="n">
        <f aca="false">COUNTIFS('Pedidos Top10'!$A$2:$A$1839,A13,'Pedidos Top10'!$AG$2:$AG$1839,"PASSARO")</f>
        <v>72</v>
      </c>
      <c r="L13" s="9" t="n">
        <f aca="false">IF(B13=0,0,K13/B13)</f>
        <v>0.742268041237113</v>
      </c>
      <c r="M13" s="9" t="n">
        <f aca="false">IF(F13&lt;=E13,0,1-E13/F13)</f>
        <v>0</v>
      </c>
    </row>
    <row r="14" customFormat="false" ht="15" hidden="false" customHeight="false" outlineLevel="0" collapsed="false">
      <c r="A14" s="10" t="s">
        <v>24</v>
      </c>
      <c r="B14" s="11" t="n">
        <f aca="false">SUM(B5:B13)</f>
        <v>1838</v>
      </c>
      <c r="C14" s="12" t="n">
        <f aca="false">SUM(C5:C13)</f>
        <v>93805.65</v>
      </c>
      <c r="D14" s="13" t="n">
        <f aca="false">SUM(D5:D13)</f>
        <v>1705949.04</v>
      </c>
      <c r="E14" s="13" t="n">
        <f aca="false">SUM(E5:E13)</f>
        <v>331388.59</v>
      </c>
      <c r="F14" s="13" t="n">
        <f aca="false">SUM(F5:F13)</f>
        <v>345898.93</v>
      </c>
      <c r="G14" s="13" t="n">
        <f aca="false">F14-E14</f>
        <v>14510.34</v>
      </c>
      <c r="H14" s="14" t="n">
        <f aca="false">IF(E14=0,0,G14/E14)</f>
        <v>0.0437864803975298</v>
      </c>
      <c r="I14" s="14" t="n">
        <f aca="false">IF(D14=0,0,E14/D14)</f>
        <v>0.194254683012102</v>
      </c>
      <c r="J14" s="14" t="n">
        <f aca="false">IF(D14=0,0,F14/D14)</f>
        <v>0.20276041188194</v>
      </c>
      <c r="K14" s="11" t="n">
        <f aca="false">SUM(K5:K13)</f>
        <v>978</v>
      </c>
      <c r="L14" s="14" t="n">
        <f aca="false">IF(B14=0,0,K14/B14)</f>
        <v>0.532100108813928</v>
      </c>
      <c r="M14" s="14" t="n">
        <f aca="false">IF(F14&lt;=E14,0,1-E14/F14)</f>
        <v>0.041949652749721</v>
      </c>
    </row>
    <row r="17" customFormat="false" ht="15" hidden="false" customHeight="false" outlineLevel="0" collapsed="false">
      <c r="A17" s="15" t="s">
        <v>25</v>
      </c>
    </row>
    <row r="18" customFormat="false" ht="42" hidden="false" customHeight="true" outlineLevel="0" collapsed="false">
      <c r="A18" s="3" t="s">
        <v>26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27</v>
      </c>
      <c r="J18" s="3" t="s">
        <v>28</v>
      </c>
      <c r="K18" s="3" t="s">
        <v>12</v>
      </c>
      <c r="L18" s="3" t="s">
        <v>13</v>
      </c>
      <c r="M18" s="3" t="s">
        <v>29</v>
      </c>
    </row>
    <row r="19" customFormat="false" ht="15" hidden="false" customHeight="false" outlineLevel="0" collapsed="false">
      <c r="A19" s="4" t="s">
        <v>30</v>
      </c>
      <c r="B19" s="5" t="n">
        <f aca="false">COUNTIFS('Pedidos Top10'!$D$2:$D$1839,A19)</f>
        <v>1515</v>
      </c>
      <c r="C19" s="6" t="n">
        <f aca="false">SUMIFS('Pedidos Top10'!$J$2:$J$1839,'Pedidos Top10'!$D$2:$D$1839,A19)</f>
        <v>80915.33</v>
      </c>
      <c r="D19" s="7" t="n">
        <f aca="false">SUMIFS('Pedidos Top10'!$K$2:$K$1839,'Pedidos Top10'!$D$2:$D$1839,A19)</f>
        <v>1449016.02</v>
      </c>
      <c r="E19" s="7" t="n">
        <f aca="false">SUMIFS('Pedidos Top10'!$L$2:$L$1839,'Pedidos Top10'!$D$2:$D$1839,A19)</f>
        <v>287729.07</v>
      </c>
      <c r="F19" s="7" t="n">
        <f aca="false">SUMIFS('Pedidos Top10'!$AD$2:$AD$1839,'Pedidos Top10'!$D$2:$D$1839,A19)</f>
        <v>276618.41</v>
      </c>
      <c r="G19" s="7" t="n">
        <f aca="false">F19-E19</f>
        <v>-11110.66</v>
      </c>
      <c r="H19" s="16" t="n">
        <f aca="false">IF(E19=0,0,G19/E19)</f>
        <v>-0.0386150068187411</v>
      </c>
      <c r="I19" s="7" t="n">
        <f aca="false">IF(B19=0,0,E19/B19)</f>
        <v>189.920178217822</v>
      </c>
      <c r="J19" s="7" t="n">
        <f aca="false">IF(B19=0,0,F19/B19)</f>
        <v>182.586409240924</v>
      </c>
      <c r="K19" s="5" t="n">
        <f aca="false">COUNTIFS('Pedidos Top10'!$D$2:$D$1839,A19,'Pedidos Top10'!$AG$2:$AG$1839,"PASSARO")</f>
        <v>952</v>
      </c>
      <c r="L19" s="16" t="n">
        <f aca="false">IF(B19=0,0,K19/B19)</f>
        <v>0.628382838283828</v>
      </c>
      <c r="M19" s="7" t="n">
        <f aca="false">IF(C19=0,0,E19/C19)</f>
        <v>3.55592778278232</v>
      </c>
    </row>
    <row r="20" customFormat="false" ht="15" hidden="false" customHeight="false" outlineLevel="0" collapsed="false">
      <c r="A20" s="4" t="s">
        <v>31</v>
      </c>
      <c r="B20" s="5" t="n">
        <f aca="false">COUNTIFS('Pedidos Top10'!$D$2:$D$1839,A20)</f>
        <v>193</v>
      </c>
      <c r="C20" s="6" t="n">
        <f aca="false">SUMIFS('Pedidos Top10'!$J$2:$J$1839,'Pedidos Top10'!$D$2:$D$1839,A20)</f>
        <v>3725.4</v>
      </c>
      <c r="D20" s="7" t="n">
        <f aca="false">SUMIFS('Pedidos Top10'!$K$2:$K$1839,'Pedidos Top10'!$D$2:$D$1839,A20)</f>
        <v>93526.9</v>
      </c>
      <c r="E20" s="7" t="n">
        <f aca="false">SUMIFS('Pedidos Top10'!$L$2:$L$1839,'Pedidos Top10'!$D$2:$D$1839,A20)</f>
        <v>15437.82</v>
      </c>
      <c r="F20" s="7" t="n">
        <f aca="false">SUMIFS('Pedidos Top10'!$AD$2:$AD$1839,'Pedidos Top10'!$D$2:$D$1839,A20)</f>
        <v>29194.04</v>
      </c>
      <c r="G20" s="7" t="n">
        <f aca="false">F20-E20</f>
        <v>13756.22</v>
      </c>
      <c r="H20" s="16" t="n">
        <f aca="false">IF(E20=0,0,G20/E20)</f>
        <v>0.89107270327028</v>
      </c>
      <c r="I20" s="7" t="n">
        <f aca="false">IF(B20=0,0,E20/B20)</f>
        <v>79.9887046632124</v>
      </c>
      <c r="J20" s="7" t="n">
        <f aca="false">IF(B20=0,0,F20/B20)</f>
        <v>151.264455958549</v>
      </c>
      <c r="K20" s="5" t="n">
        <f aca="false">COUNTIFS('Pedidos Top10'!$D$2:$D$1839,A20,'Pedidos Top10'!$AG$2:$AG$1839,"PASSARO")</f>
        <v>0</v>
      </c>
      <c r="L20" s="16" t="n">
        <f aca="false">IF(B20=0,0,K20/B20)</f>
        <v>0</v>
      </c>
      <c r="M20" s="7" t="n">
        <f aca="false">IF(C20=0,0,E20/C20)</f>
        <v>4.14393622161379</v>
      </c>
    </row>
    <row r="21" customFormat="false" ht="15" hidden="false" customHeight="false" outlineLevel="0" collapsed="false">
      <c r="A21" s="4" t="s">
        <v>32</v>
      </c>
      <c r="B21" s="5" t="n">
        <f aca="false">COUNTIFS('Pedidos Top10'!$D$2:$D$1839,A21)</f>
        <v>100</v>
      </c>
      <c r="C21" s="6" t="n">
        <f aca="false">SUMIFS('Pedidos Top10'!$J$2:$J$1839,'Pedidos Top10'!$D$2:$D$1839,A21)</f>
        <v>7362.73</v>
      </c>
      <c r="D21" s="7" t="n">
        <f aca="false">SUMIFS('Pedidos Top10'!$K$2:$K$1839,'Pedidos Top10'!$D$2:$D$1839,A21)</f>
        <v>131134.43</v>
      </c>
      <c r="E21" s="7" t="n">
        <f aca="false">SUMIFS('Pedidos Top10'!$L$2:$L$1839,'Pedidos Top10'!$D$2:$D$1839,A21)</f>
        <v>21243.1</v>
      </c>
      <c r="F21" s="7" t="n">
        <f aca="false">SUMIFS('Pedidos Top10'!$AD$2:$AD$1839,'Pedidos Top10'!$D$2:$D$1839,A21)</f>
        <v>34564.99</v>
      </c>
      <c r="G21" s="7" t="n">
        <f aca="false">F21-E21</f>
        <v>13321.89</v>
      </c>
      <c r="H21" s="16" t="n">
        <f aca="false">IF(E21=0,0,G21/E21)</f>
        <v>0.627116098874458</v>
      </c>
      <c r="I21" s="7" t="n">
        <f aca="false">IF(B21=0,0,E21/B21)</f>
        <v>212.431</v>
      </c>
      <c r="J21" s="7" t="n">
        <f aca="false">IF(B21=0,0,F21/B21)</f>
        <v>345.6499</v>
      </c>
      <c r="K21" s="5" t="n">
        <f aca="false">COUNTIFS('Pedidos Top10'!$D$2:$D$1839,A21,'Pedidos Top10'!$AG$2:$AG$1839,"PASSARO")</f>
        <v>0</v>
      </c>
      <c r="L21" s="16" t="n">
        <f aca="false">IF(B21=0,0,K21/B21)</f>
        <v>0</v>
      </c>
      <c r="M21" s="7" t="n">
        <f aca="false">IF(C21=0,0,E21/C21)</f>
        <v>2.88522056356813</v>
      </c>
    </row>
    <row r="22" customFormat="false" ht="15" hidden="false" customHeight="false" outlineLevel="0" collapsed="false">
      <c r="A22" s="4" t="s">
        <v>33</v>
      </c>
      <c r="B22" s="5" t="n">
        <f aca="false">COUNTIFS('Pedidos Top10'!$D$2:$D$1839,A22)</f>
        <v>18</v>
      </c>
      <c r="C22" s="6" t="n">
        <f aca="false">SUMIFS('Pedidos Top10'!$J$2:$J$1839,'Pedidos Top10'!$D$2:$D$1839,A22)</f>
        <v>998.13</v>
      </c>
      <c r="D22" s="7" t="n">
        <f aca="false">SUMIFS('Pedidos Top10'!$K$2:$K$1839,'Pedidos Top10'!$D$2:$D$1839,A22)</f>
        <v>19241.74</v>
      </c>
      <c r="E22" s="7" t="n">
        <f aca="false">SUMIFS('Pedidos Top10'!$L$2:$L$1839,'Pedidos Top10'!$D$2:$D$1839,A22)</f>
        <v>4141.87</v>
      </c>
      <c r="F22" s="7" t="n">
        <f aca="false">SUMIFS('Pedidos Top10'!$AD$2:$AD$1839,'Pedidos Top10'!$D$2:$D$1839,A22)</f>
        <v>3131.26</v>
      </c>
      <c r="G22" s="7" t="n">
        <f aca="false">F22-E22</f>
        <v>-1010.61</v>
      </c>
      <c r="H22" s="16" t="n">
        <f aca="false">IF(E22=0,0,G22/E22)</f>
        <v>-0.243998483776652</v>
      </c>
      <c r="I22" s="7" t="n">
        <f aca="false">IF(B22=0,0,E22/B22)</f>
        <v>230.103888888889</v>
      </c>
      <c r="J22" s="7" t="n">
        <f aca="false">IF(B22=0,0,F22/B22)</f>
        <v>173.958888888889</v>
      </c>
      <c r="K22" s="5" t="n">
        <f aca="false">COUNTIFS('Pedidos Top10'!$D$2:$D$1839,A22,'Pedidos Top10'!$AG$2:$AG$1839,"PASSARO")</f>
        <v>15</v>
      </c>
      <c r="L22" s="16" t="n">
        <f aca="false">IF(B22=0,0,K22/B22)</f>
        <v>0.833333333333333</v>
      </c>
      <c r="M22" s="7" t="n">
        <f aca="false">IF(C22=0,0,E22/C22)</f>
        <v>4.14962980774047</v>
      </c>
    </row>
    <row r="23" customFormat="false" ht="15" hidden="false" customHeight="false" outlineLevel="0" collapsed="false">
      <c r="A23" s="4" t="s">
        <v>34</v>
      </c>
      <c r="B23" s="5" t="n">
        <f aca="false">COUNTIFS('Pedidos Top10'!$D$2:$D$1839,A23)</f>
        <v>10</v>
      </c>
      <c r="C23" s="6" t="n">
        <f aca="false">SUMIFS('Pedidos Top10'!$J$2:$J$1839,'Pedidos Top10'!$D$2:$D$1839,A23)</f>
        <v>681.96</v>
      </c>
      <c r="D23" s="7" t="n">
        <f aca="false">SUMIFS('Pedidos Top10'!$K$2:$K$1839,'Pedidos Top10'!$D$2:$D$1839,A23)</f>
        <v>10834.21</v>
      </c>
      <c r="E23" s="7" t="n">
        <f aca="false">SUMIFS('Pedidos Top10'!$L$2:$L$1839,'Pedidos Top10'!$D$2:$D$1839,A23)</f>
        <v>2402.66</v>
      </c>
      <c r="F23" s="7" t="n">
        <f aca="false">SUMIFS('Pedidos Top10'!$AD$2:$AD$1839,'Pedidos Top10'!$D$2:$D$1839,A23)</f>
        <v>2083.78</v>
      </c>
      <c r="G23" s="7" t="n">
        <f aca="false">F23-E23</f>
        <v>-318.88</v>
      </c>
      <c r="H23" s="16" t="n">
        <f aca="false">IF(E23=0,0,G23/E23)</f>
        <v>-0.132719569144198</v>
      </c>
      <c r="I23" s="7" t="n">
        <f aca="false">IF(B23=0,0,E23/B23)</f>
        <v>240.266</v>
      </c>
      <c r="J23" s="7" t="n">
        <f aca="false">IF(B23=0,0,F23/B23)</f>
        <v>208.378</v>
      </c>
      <c r="K23" s="5" t="n">
        <f aca="false">COUNTIFS('Pedidos Top10'!$D$2:$D$1839,A23,'Pedidos Top10'!$AG$2:$AG$1839,"PASSARO")</f>
        <v>9</v>
      </c>
      <c r="L23" s="16" t="n">
        <f aca="false">IF(B23=0,0,K23/B23)</f>
        <v>0.9</v>
      </c>
      <c r="M23" s="7" t="n">
        <f aca="false">IF(C23=0,0,E23/C23)</f>
        <v>3.52316851428236</v>
      </c>
    </row>
    <row r="24" customFormat="false" ht="15" hidden="false" customHeight="false" outlineLevel="0" collapsed="false">
      <c r="A24" s="4" t="s">
        <v>35</v>
      </c>
      <c r="B24" s="5" t="n">
        <f aca="false">COUNTIFS('Pedidos Top10'!$D$2:$D$1839,A24)</f>
        <v>2</v>
      </c>
      <c r="C24" s="6" t="n">
        <f aca="false">SUMIFS('Pedidos Top10'!$J$2:$J$1839,'Pedidos Top10'!$D$2:$D$1839,A24)</f>
        <v>122.1</v>
      </c>
      <c r="D24" s="7" t="n">
        <f aca="false">SUMIFS('Pedidos Top10'!$K$2:$K$1839,'Pedidos Top10'!$D$2:$D$1839,A24)</f>
        <v>2195.74</v>
      </c>
      <c r="E24" s="7" t="n">
        <f aca="false">SUMIFS('Pedidos Top10'!$L$2:$L$1839,'Pedidos Top10'!$D$2:$D$1839,A24)</f>
        <v>434.07</v>
      </c>
      <c r="F24" s="7" t="n">
        <f aca="false">SUMIFS('Pedidos Top10'!$AD$2:$AD$1839,'Pedidos Top10'!$D$2:$D$1839,A24)</f>
        <v>306.45</v>
      </c>
      <c r="G24" s="7" t="n">
        <f aca="false">F24-E24</f>
        <v>-127.62</v>
      </c>
      <c r="H24" s="16" t="n">
        <f aca="false">IF(E24=0,0,G24/E24)</f>
        <v>-0.294007878913539</v>
      </c>
      <c r="I24" s="7" t="n">
        <f aca="false">IF(B24=0,0,E24/B24)</f>
        <v>217.035</v>
      </c>
      <c r="J24" s="7" t="n">
        <f aca="false">IF(B24=0,0,F24/B24)</f>
        <v>153.225</v>
      </c>
      <c r="K24" s="5" t="n">
        <f aca="false">COUNTIFS('Pedidos Top10'!$D$2:$D$1839,A24,'Pedidos Top10'!$AG$2:$AG$1839,"PASSARO")</f>
        <v>2</v>
      </c>
      <c r="L24" s="16" t="n">
        <f aca="false">IF(B24=0,0,K24/B24)</f>
        <v>1</v>
      </c>
      <c r="M24" s="7" t="n">
        <f aca="false">IF(C24=0,0,E24/C24)</f>
        <v>3.55503685503686</v>
      </c>
    </row>
    <row r="27" customFormat="false" ht="15" hidden="false" customHeight="false" outlineLevel="0" collapsed="false">
      <c r="A27" s="15" t="s">
        <v>36</v>
      </c>
    </row>
    <row r="28" customFormat="false" ht="42" hidden="false" customHeight="true" outlineLevel="0" collapsed="false">
      <c r="A28" s="3" t="s">
        <v>37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8</v>
      </c>
      <c r="H28" s="3" t="s">
        <v>9</v>
      </c>
      <c r="I28" s="3" t="s">
        <v>27</v>
      </c>
      <c r="J28" s="3" t="s">
        <v>28</v>
      </c>
      <c r="K28" s="3" t="s">
        <v>12</v>
      </c>
      <c r="L28" s="3" t="s">
        <v>13</v>
      </c>
    </row>
    <row r="29" customFormat="false" ht="15" hidden="false" customHeight="false" outlineLevel="0" collapsed="false">
      <c r="A29" s="4" t="s">
        <v>38</v>
      </c>
      <c r="B29" s="5" t="n">
        <f aca="false">COUNTIFS('Pedidos Top10'!$J$2:$J$1839,"&gt;"&amp;0,'Pedidos Top10'!$J$2:$J$1839,"&lt;="&amp;10)</f>
        <v>22</v>
      </c>
      <c r="C29" s="6" t="n">
        <f aca="false">SUMIFS('Pedidos Top10'!$J$2:$J$1839,'Pedidos Top10'!$J$2:$J$1839,"&gt;"&amp;0,'Pedidos Top10'!$J$2:$J$1839,"&lt;="&amp;10)</f>
        <v>132.93</v>
      </c>
      <c r="D29" s="7" t="n">
        <f aca="false">SUMIFS('Pedidos Top10'!$K$2:$K$1839,'Pedidos Top10'!$J$2:$J$1839,"&gt;"&amp;0,'Pedidos Top10'!$J$2:$J$1839,"&lt;="&amp;10)</f>
        <v>10157.63</v>
      </c>
      <c r="E29" s="7" t="n">
        <f aca="false">SUMIFS('Pedidos Top10'!$L$2:$L$1839,'Pedidos Top10'!$J$2:$J$1839,"&gt;"&amp;0,'Pedidos Top10'!$J$2:$J$1839,"&lt;="&amp;10)</f>
        <v>1364.48</v>
      </c>
      <c r="F29" s="7" t="n">
        <f aca="false">SUMIFS('Pedidos Top10'!$AD$2:$AD$1839,'Pedidos Top10'!$J$2:$J$1839,"&gt;"&amp;0,'Pedidos Top10'!$J$2:$J$1839,"&lt;="&amp;10)</f>
        <v>2929.13</v>
      </c>
      <c r="G29" s="7" t="n">
        <f aca="false">F29-E29</f>
        <v>1564.65</v>
      </c>
      <c r="H29" s="16" t="n">
        <f aca="false">IF(E29=0,0,G29/E29)</f>
        <v>1.14670057457786</v>
      </c>
      <c r="I29" s="7" t="n">
        <f aca="false">IF(B29=0,0,E29/B29)</f>
        <v>62.0218181818182</v>
      </c>
      <c r="J29" s="7" t="n">
        <f aca="false">IF(B29=0,0,F29/B29)</f>
        <v>133.142272727273</v>
      </c>
      <c r="K29" s="5" t="n">
        <f aca="false">COUNTIFS('Pedidos Top10'!$J$2:$J$1839,"&gt;"&amp;0,'Pedidos Top10'!$J$2:$J$1839,"&lt;="&amp;10,'Pedidos Top10'!$AG$2:$AG$1839,"PASSARO")</f>
        <v>0</v>
      </c>
      <c r="L29" s="16" t="n">
        <f aca="false">IF(B29=0,0,K29/B29)</f>
        <v>0</v>
      </c>
    </row>
    <row r="30" customFormat="false" ht="15" hidden="false" customHeight="false" outlineLevel="0" collapsed="false">
      <c r="A30" s="4" t="s">
        <v>39</v>
      </c>
      <c r="B30" s="5" t="n">
        <f aca="false">COUNTIFS('Pedidos Top10'!$J$2:$J$1839,"&gt;"&amp;10,'Pedidos Top10'!$J$2:$J$1839,"&lt;="&amp;30)</f>
        <v>528</v>
      </c>
      <c r="C30" s="6" t="n">
        <f aca="false">SUMIFS('Pedidos Top10'!$J$2:$J$1839,'Pedidos Top10'!$J$2:$J$1839,"&gt;"&amp;10,'Pedidos Top10'!$J$2:$J$1839,"&lt;="&amp;30)</f>
        <v>11946.07</v>
      </c>
      <c r="D30" s="7" t="n">
        <f aca="false">SUMIFS('Pedidos Top10'!$K$2:$K$1839,'Pedidos Top10'!$J$2:$J$1839,"&gt;"&amp;10,'Pedidos Top10'!$J$2:$J$1839,"&lt;="&amp;30)</f>
        <v>305423.88</v>
      </c>
      <c r="E30" s="7" t="n">
        <f aca="false">SUMIFS('Pedidos Top10'!$L$2:$L$1839,'Pedidos Top10'!$J$2:$J$1839,"&gt;"&amp;10,'Pedidos Top10'!$J$2:$J$1839,"&lt;="&amp;30)</f>
        <v>56316.91</v>
      </c>
      <c r="F30" s="7" t="n">
        <f aca="false">SUMIFS('Pedidos Top10'!$AD$2:$AD$1839,'Pedidos Top10'!$J$2:$J$1839,"&gt;"&amp;10,'Pedidos Top10'!$J$2:$J$1839,"&lt;="&amp;30)</f>
        <v>82983.09</v>
      </c>
      <c r="G30" s="7" t="n">
        <f aca="false">F30-E30</f>
        <v>26666.18</v>
      </c>
      <c r="H30" s="16" t="n">
        <f aca="false">IF(E30=0,0,G30/E30)</f>
        <v>0.473502186110708</v>
      </c>
      <c r="I30" s="7" t="n">
        <f aca="false">IF(B30=0,0,E30/B30)</f>
        <v>106.660814393939</v>
      </c>
      <c r="J30" s="7" t="n">
        <f aca="false">IF(B30=0,0,F30/B30)</f>
        <v>157.164943181818</v>
      </c>
      <c r="K30" s="5" t="n">
        <f aca="false">COUNTIFS('Pedidos Top10'!$J$2:$J$1839,"&gt;"&amp;10,'Pedidos Top10'!$J$2:$J$1839,"&lt;="&amp;30,'Pedidos Top10'!$AG$2:$AG$1839,"PASSARO")</f>
        <v>120</v>
      </c>
      <c r="L30" s="16" t="n">
        <f aca="false">IF(B30=0,0,K30/B30)</f>
        <v>0.227272727272727</v>
      </c>
    </row>
    <row r="31" customFormat="false" ht="15" hidden="false" customHeight="false" outlineLevel="0" collapsed="false">
      <c r="A31" s="4" t="s">
        <v>40</v>
      </c>
      <c r="B31" s="5" t="n">
        <f aca="false">COUNTIFS('Pedidos Top10'!$J$2:$J$1839,"&gt;"&amp;30,'Pedidos Top10'!$J$2:$J$1839,"&lt;="&amp;50)</f>
        <v>533</v>
      </c>
      <c r="C31" s="6" t="n">
        <f aca="false">SUMIFS('Pedidos Top10'!$J$2:$J$1839,'Pedidos Top10'!$J$2:$J$1839,"&gt;"&amp;30,'Pedidos Top10'!$J$2:$J$1839,"&lt;="&amp;50)</f>
        <v>21075.53</v>
      </c>
      <c r="D31" s="7" t="n">
        <f aca="false">SUMIFS('Pedidos Top10'!$K$2:$K$1839,'Pedidos Top10'!$J$2:$J$1839,"&gt;"&amp;30,'Pedidos Top10'!$J$2:$J$1839,"&lt;="&amp;50)</f>
        <v>379477.45</v>
      </c>
      <c r="E31" s="7" t="n">
        <f aca="false">SUMIFS('Pedidos Top10'!$L$2:$L$1839,'Pedidos Top10'!$J$2:$J$1839,"&gt;"&amp;30,'Pedidos Top10'!$J$2:$J$1839,"&lt;="&amp;50)</f>
        <v>87391.89</v>
      </c>
      <c r="F31" s="7" t="n">
        <f aca="false">SUMIFS('Pedidos Top10'!$AD$2:$AD$1839,'Pedidos Top10'!$J$2:$J$1839,"&gt;"&amp;30,'Pedidos Top10'!$J$2:$J$1839,"&lt;="&amp;50)</f>
        <v>92274.79</v>
      </c>
      <c r="G31" s="7" t="n">
        <f aca="false">F31-E31</f>
        <v>4882.89999999999</v>
      </c>
      <c r="H31" s="16" t="n">
        <f aca="false">IF(E31=0,0,G31/E31)</f>
        <v>0.055873605662951</v>
      </c>
      <c r="I31" s="7" t="n">
        <f aca="false">IF(B31=0,0,E31/B31)</f>
        <v>163.962270168856</v>
      </c>
      <c r="J31" s="7" t="n">
        <f aca="false">IF(B31=0,0,F31/B31)</f>
        <v>173.123433395872</v>
      </c>
      <c r="K31" s="5" t="n">
        <f aca="false">COUNTIFS('Pedidos Top10'!$J$2:$J$1839,"&gt;"&amp;30,'Pedidos Top10'!$J$2:$J$1839,"&lt;="&amp;50,'Pedidos Top10'!$AG$2:$AG$1839,"PASSARO")</f>
        <v>333</v>
      </c>
      <c r="L31" s="16" t="n">
        <f aca="false">IF(B31=0,0,K31/B31)</f>
        <v>0.624765478424015</v>
      </c>
    </row>
    <row r="32" customFormat="false" ht="15" hidden="false" customHeight="false" outlineLevel="0" collapsed="false">
      <c r="A32" s="4" t="s">
        <v>41</v>
      </c>
      <c r="B32" s="5" t="n">
        <f aca="false">COUNTIFS('Pedidos Top10'!$J$2:$J$1839,"&gt;"&amp;50,'Pedidos Top10'!$J$2:$J$1839,"&lt;="&amp;70)</f>
        <v>456</v>
      </c>
      <c r="C32" s="6" t="n">
        <f aca="false">SUMIFS('Pedidos Top10'!$J$2:$J$1839,'Pedidos Top10'!$J$2:$J$1839,"&gt;"&amp;50,'Pedidos Top10'!$J$2:$J$1839,"&lt;="&amp;70)</f>
        <v>27589.22</v>
      </c>
      <c r="D32" s="7" t="n">
        <f aca="false">SUMIFS('Pedidos Top10'!$K$2:$K$1839,'Pedidos Top10'!$J$2:$J$1839,"&gt;"&amp;50,'Pedidos Top10'!$J$2:$J$1839,"&lt;="&amp;70)</f>
        <v>479901.08</v>
      </c>
      <c r="E32" s="7" t="n">
        <f aca="false">SUMIFS('Pedidos Top10'!$L$2:$L$1839,'Pedidos Top10'!$J$2:$J$1839,"&gt;"&amp;50,'Pedidos Top10'!$J$2:$J$1839,"&lt;="&amp;70)</f>
        <v>92754.76</v>
      </c>
      <c r="F32" s="7" t="n">
        <f aca="false">SUMIFS('Pedidos Top10'!$AD$2:$AD$1839,'Pedidos Top10'!$J$2:$J$1839,"&gt;"&amp;50,'Pedidos Top10'!$J$2:$J$1839,"&lt;="&amp;70)</f>
        <v>88503.04</v>
      </c>
      <c r="G32" s="7" t="n">
        <f aca="false">F32-E32</f>
        <v>-4251.72</v>
      </c>
      <c r="H32" s="16" t="n">
        <f aca="false">IF(E32=0,0,G32/E32)</f>
        <v>-0.0458382944444037</v>
      </c>
      <c r="I32" s="7" t="n">
        <f aca="false">IF(B32=0,0,E32/B32)</f>
        <v>203.409561403509</v>
      </c>
      <c r="J32" s="7" t="n">
        <f aca="false">IF(B32=0,0,F32/B32)</f>
        <v>194.085614035088</v>
      </c>
      <c r="K32" s="5" t="n">
        <f aca="false">COUNTIFS('Pedidos Top10'!$J$2:$J$1839,"&gt;"&amp;50,'Pedidos Top10'!$J$2:$J$1839,"&lt;="&amp;70,'Pedidos Top10'!$AG$2:$AG$1839,"PASSARO")</f>
        <v>300</v>
      </c>
      <c r="L32" s="16" t="n">
        <f aca="false">IF(B32=0,0,K32/B32)</f>
        <v>0.657894736842105</v>
      </c>
    </row>
    <row r="33" customFormat="false" ht="15" hidden="false" customHeight="false" outlineLevel="0" collapsed="false">
      <c r="A33" s="4" t="s">
        <v>42</v>
      </c>
      <c r="B33" s="5" t="n">
        <f aca="false">COUNTIFS('Pedidos Top10'!$J$2:$J$1839,"&gt;"&amp;70,'Pedidos Top10'!$J$2:$J$1839,"&lt;="&amp;100)</f>
        <v>109</v>
      </c>
      <c r="C33" s="6" t="n">
        <f aca="false">SUMIFS('Pedidos Top10'!$J$2:$J$1839,'Pedidos Top10'!$J$2:$J$1839,"&gt;"&amp;70,'Pedidos Top10'!$J$2:$J$1839,"&lt;="&amp;100)</f>
        <v>8662.37</v>
      </c>
      <c r="D33" s="7" t="n">
        <f aca="false">SUMIFS('Pedidos Top10'!$K$2:$K$1839,'Pedidos Top10'!$J$2:$J$1839,"&gt;"&amp;70,'Pedidos Top10'!$J$2:$J$1839,"&lt;="&amp;100)</f>
        <v>143464</v>
      </c>
      <c r="E33" s="7" t="n">
        <f aca="false">SUMIFS('Pedidos Top10'!$L$2:$L$1839,'Pedidos Top10'!$J$2:$J$1839,"&gt;"&amp;70,'Pedidos Top10'!$J$2:$J$1839,"&lt;="&amp;100)</f>
        <v>27897.63</v>
      </c>
      <c r="F33" s="7" t="n">
        <f aca="false">SUMIFS('Pedidos Top10'!$AD$2:$AD$1839,'Pedidos Top10'!$J$2:$J$1839,"&gt;"&amp;70,'Pedidos Top10'!$J$2:$J$1839,"&lt;="&amp;100)</f>
        <v>22871.45</v>
      </c>
      <c r="G33" s="7" t="n">
        <f aca="false">F33-E33</f>
        <v>-5026.18</v>
      </c>
      <c r="H33" s="16" t="n">
        <f aca="false">IF(E33=0,0,G33/E33)</f>
        <v>-0.18016512513787</v>
      </c>
      <c r="I33" s="7" t="n">
        <f aca="false">IF(B33=0,0,E33/B33)</f>
        <v>255.941559633028</v>
      </c>
      <c r="J33" s="7" t="n">
        <f aca="false">IF(B33=0,0,F33/B33)</f>
        <v>209.829816513761</v>
      </c>
      <c r="K33" s="5" t="n">
        <f aca="false">COUNTIFS('Pedidos Top10'!$J$2:$J$1839,"&gt;"&amp;70,'Pedidos Top10'!$J$2:$J$1839,"&lt;="&amp;100,'Pedidos Top10'!$AG$2:$AG$1839,"PASSARO")</f>
        <v>87</v>
      </c>
      <c r="L33" s="16" t="n">
        <f aca="false">IF(B33=0,0,K33/B33)</f>
        <v>0.798165137614679</v>
      </c>
    </row>
    <row r="34" customFormat="false" ht="15" hidden="false" customHeight="false" outlineLevel="0" collapsed="false">
      <c r="A34" s="4" t="s">
        <v>43</v>
      </c>
      <c r="B34" s="5" t="n">
        <f aca="false">COUNTIFS('Pedidos Top10'!$J$2:$J$1839,"&gt;"&amp;100,'Pedidos Top10'!$J$2:$J$1839,"&lt;="&amp;1000000000)</f>
        <v>190</v>
      </c>
      <c r="C34" s="6" t="n">
        <f aca="false">SUMIFS('Pedidos Top10'!$J$2:$J$1839,'Pedidos Top10'!$J$2:$J$1839,"&gt;"&amp;100,'Pedidos Top10'!$J$2:$J$1839,"&lt;="&amp;1000000000)</f>
        <v>24399.53</v>
      </c>
      <c r="D34" s="7" t="n">
        <f aca="false">SUMIFS('Pedidos Top10'!$K$2:$K$1839,'Pedidos Top10'!$J$2:$J$1839,"&gt;"&amp;100,'Pedidos Top10'!$J$2:$J$1839,"&lt;="&amp;1000000000)</f>
        <v>387525</v>
      </c>
      <c r="E34" s="7" t="n">
        <f aca="false">SUMIFS('Pedidos Top10'!$L$2:$L$1839,'Pedidos Top10'!$J$2:$J$1839,"&gt;"&amp;100,'Pedidos Top10'!$J$2:$J$1839,"&lt;="&amp;1000000000)</f>
        <v>65662.92</v>
      </c>
      <c r="F34" s="7" t="n">
        <f aca="false">SUMIFS('Pedidos Top10'!$AD$2:$AD$1839,'Pedidos Top10'!$J$2:$J$1839,"&gt;"&amp;100,'Pedidos Top10'!$J$2:$J$1839,"&lt;="&amp;1000000000)</f>
        <v>56337.43</v>
      </c>
      <c r="G34" s="7" t="n">
        <f aca="false">F34-E34</f>
        <v>-9325.49</v>
      </c>
      <c r="H34" s="16" t="n">
        <f aca="false">IF(E34=0,0,G34/E34)</f>
        <v>-0.1420206411777</v>
      </c>
      <c r="I34" s="7" t="n">
        <f aca="false">IF(B34=0,0,E34/B34)</f>
        <v>345.594315789474</v>
      </c>
      <c r="J34" s="7" t="n">
        <f aca="false">IF(B34=0,0,F34/B34)</f>
        <v>296.512789473684</v>
      </c>
      <c r="K34" s="5" t="n">
        <f aca="false">COUNTIFS('Pedidos Top10'!$J$2:$J$1839,"&gt;"&amp;100,'Pedidos Top10'!$J$2:$J$1839,"&lt;="&amp;1000000000,'Pedidos Top10'!$AG$2:$AG$1839,"PASSARO")</f>
        <v>138</v>
      </c>
      <c r="L34" s="16" t="n">
        <f aca="false">IF(B34=0,0,K34/B34)</f>
        <v>0.726315789473684</v>
      </c>
    </row>
    <row r="37" customFormat="false" ht="15" hidden="false" customHeight="false" outlineLevel="0" collapsed="false">
      <c r="A37" s="15" t="s">
        <v>44</v>
      </c>
    </row>
    <row r="38" customFormat="false" ht="42" hidden="false" customHeight="true" outlineLevel="0" collapsed="false">
      <c r="A38" s="3" t="s">
        <v>2</v>
      </c>
      <c r="B38" s="3" t="s">
        <v>45</v>
      </c>
      <c r="C38" s="3" t="s">
        <v>6</v>
      </c>
      <c r="D38" s="3" t="s">
        <v>46</v>
      </c>
      <c r="E38" s="3" t="s">
        <v>47</v>
      </c>
      <c r="F38" s="3" t="s">
        <v>48</v>
      </c>
      <c r="G38" s="3" t="s">
        <v>49</v>
      </c>
      <c r="H38" s="3" t="s">
        <v>50</v>
      </c>
      <c r="I38" s="3" t="s">
        <v>51</v>
      </c>
    </row>
    <row r="39" customFormat="false" ht="15" hidden="false" customHeight="false" outlineLevel="0" collapsed="false">
      <c r="A39" s="4" t="s">
        <v>15</v>
      </c>
      <c r="B39" s="17" t="n">
        <f aca="false">COUNTIFS('Pedidos Top10'!$A$2:$A$1839,A39,'Pedidos Top10'!$AI$2:$AI$1839,"&lt;&gt;")</f>
        <v>167</v>
      </c>
      <c r="C39" s="8" t="n">
        <f aca="false">SUMIFS('Pedidos Top10'!$L$2:$L$1839,'Pedidos Top10'!$A$2:$A$1839,A39,'Pedidos Top10'!$AI$2:$AI$1839,"&lt;&gt;")</f>
        <v>29157.55</v>
      </c>
      <c r="D39" s="8" t="n">
        <f aca="false">SUMIFS('Pedidos Top10'!$AI$2:$AI$1839,'Pedidos Top10'!$A$2:$A$1839,A39)</f>
        <v>31156.23</v>
      </c>
      <c r="E39" s="8" t="n">
        <f aca="false">SUMIFS('Pedidos Top10'!$AD$2:$AD$1839,'Pedidos Top10'!$A$2:$A$1839,A39,'Pedidos Top10'!$AI$2:$AI$1839,"&lt;&gt;")</f>
        <v>25733.4</v>
      </c>
      <c r="F39" s="8" t="n">
        <f aca="false">E39-D39</f>
        <v>-5422.83</v>
      </c>
      <c r="G39" s="9" t="n">
        <f aca="false">IF(D39=0,0,F39/D39)</f>
        <v>-0.174052829883461</v>
      </c>
      <c r="H39" s="9" t="n">
        <f aca="false">IF(C39=0,0,D39/C39-1)</f>
        <v>0.0685475974490313</v>
      </c>
      <c r="I39" s="9" t="n">
        <f aca="false">IF(C39=0,0,E39/C39-1)</f>
        <v>-0.117436135752147</v>
      </c>
    </row>
    <row r="40" customFormat="false" ht="15" hidden="false" customHeight="false" outlineLevel="0" collapsed="false">
      <c r="A40" s="4" t="s">
        <v>16</v>
      </c>
      <c r="B40" s="17" t="n">
        <f aca="false">COUNTIFS('Pedidos Top10'!$A$2:$A$1839,A40,'Pedidos Top10'!$AI$2:$AI$1839,"&lt;&gt;")</f>
        <v>501</v>
      </c>
      <c r="C40" s="8" t="n">
        <f aca="false">SUMIFS('Pedidos Top10'!$L$2:$L$1839,'Pedidos Top10'!$A$2:$A$1839,A40,'Pedidos Top10'!$AI$2:$AI$1839,"&lt;&gt;")</f>
        <v>87126.83</v>
      </c>
      <c r="D40" s="8" t="n">
        <f aca="false">SUMIFS('Pedidos Top10'!$AI$2:$AI$1839,'Pedidos Top10'!$A$2:$A$1839,A40)</f>
        <v>81429.66</v>
      </c>
      <c r="E40" s="8" t="n">
        <f aca="false">SUMIFS('Pedidos Top10'!$AD$2:$AD$1839,'Pedidos Top10'!$A$2:$A$1839,A40,'Pedidos Top10'!$AI$2:$AI$1839,"&lt;&gt;")</f>
        <v>65815.37</v>
      </c>
      <c r="F40" s="8" t="n">
        <f aca="false">E40-D40</f>
        <v>-15614.29</v>
      </c>
      <c r="G40" s="9" t="n">
        <f aca="false">IF(D40=0,0,F40/D40)</f>
        <v>-0.191751875176686</v>
      </c>
      <c r="H40" s="9" t="n">
        <f aca="false">IF(C40=0,0,D40/C40-1)</f>
        <v>-0.0653893869431494</v>
      </c>
      <c r="I40" s="9" t="n">
        <f aca="false">IF(C40=0,0,E40/C40-1)</f>
        <v>-0.244602724556833</v>
      </c>
    </row>
    <row r="41" customFormat="false" ht="15" hidden="false" customHeight="false" outlineLevel="0" collapsed="false">
      <c r="A41" s="4" t="s">
        <v>17</v>
      </c>
      <c r="B41" s="17" t="n">
        <f aca="false">COUNTIFS('Pedidos Top10'!$A$2:$A$1839,A41,'Pedidos Top10'!$AI$2:$AI$1839,"&lt;&gt;")</f>
        <v>259</v>
      </c>
      <c r="C41" s="8" t="n">
        <f aca="false">SUMIFS('Pedidos Top10'!$L$2:$L$1839,'Pedidos Top10'!$A$2:$A$1839,A41,'Pedidos Top10'!$AI$2:$AI$1839,"&lt;&gt;")</f>
        <v>49566.26</v>
      </c>
      <c r="D41" s="8" t="n">
        <f aca="false">SUMIFS('Pedidos Top10'!$AI$2:$AI$1839,'Pedidos Top10'!$A$2:$A$1839,A41)</f>
        <v>71205.24</v>
      </c>
      <c r="E41" s="8" t="n">
        <f aca="false">SUMIFS('Pedidos Top10'!$AD$2:$AD$1839,'Pedidos Top10'!$A$2:$A$1839,A41,'Pedidos Top10'!$AI$2:$AI$1839,"&lt;&gt;")</f>
        <v>61581.4</v>
      </c>
      <c r="F41" s="8" t="n">
        <f aca="false">E41-D41</f>
        <v>-9623.84</v>
      </c>
      <c r="G41" s="9" t="n">
        <f aca="false">IF(D41=0,0,F41/D41)</f>
        <v>-0.135156345235266</v>
      </c>
      <c r="H41" s="9" t="n">
        <f aca="false">IF(C41=0,0,D41/C41-1)</f>
        <v>0.436566729061261</v>
      </c>
      <c r="I41" s="9" t="n">
        <f aca="false">IF(C41=0,0,E41/C41-1)</f>
        <v>0.24240562027476</v>
      </c>
    </row>
    <row r="42" customFormat="false" ht="15" hidden="false" customHeight="false" outlineLevel="0" collapsed="false">
      <c r="A42" s="4" t="s">
        <v>18</v>
      </c>
      <c r="B42" s="17" t="n">
        <f aca="false">COUNTIFS('Pedidos Top10'!$A$2:$A$1839,A42,'Pedidos Top10'!$AI$2:$AI$1839,"&lt;&gt;")</f>
        <v>152</v>
      </c>
      <c r="C42" s="8" t="n">
        <f aca="false">SUMIFS('Pedidos Top10'!$L$2:$L$1839,'Pedidos Top10'!$A$2:$A$1839,A42,'Pedidos Top10'!$AI$2:$AI$1839,"&lt;&gt;")</f>
        <v>27876.98</v>
      </c>
      <c r="D42" s="8" t="n">
        <f aca="false">SUMIFS('Pedidos Top10'!$AI$2:$AI$1839,'Pedidos Top10'!$A$2:$A$1839,A42)</f>
        <v>54495.97</v>
      </c>
      <c r="E42" s="8" t="n">
        <f aca="false">SUMIFS('Pedidos Top10'!$AD$2:$AD$1839,'Pedidos Top10'!$A$2:$A$1839,A42,'Pedidos Top10'!$AI$2:$AI$1839,"&lt;&gt;")</f>
        <v>48379.73</v>
      </c>
      <c r="F42" s="8" t="n">
        <f aca="false">E42-D42</f>
        <v>-6116.24</v>
      </c>
      <c r="G42" s="9" t="n">
        <f aca="false">IF(D42=0,0,F42/D42)</f>
        <v>-0.112232886211586</v>
      </c>
      <c r="H42" s="9" t="n">
        <f aca="false">IF(C42=0,0,D42/C42-1)</f>
        <v>0.954873519298002</v>
      </c>
      <c r="I42" s="9" t="n">
        <f aca="false">IF(C42=0,0,E42/C42-1)</f>
        <v>0.735472422048586</v>
      </c>
    </row>
    <row r="43" customFormat="false" ht="15" hidden="false" customHeight="false" outlineLevel="0" collapsed="false">
      <c r="A43" s="4" t="s">
        <v>19</v>
      </c>
      <c r="B43" s="17" t="n">
        <f aca="false">COUNTIFS('Pedidos Top10'!$A$2:$A$1839,A43,'Pedidos Top10'!$AI$2:$AI$1839,"&lt;&gt;")</f>
        <v>117</v>
      </c>
      <c r="C43" s="8" t="n">
        <f aca="false">SUMIFS('Pedidos Top10'!$L$2:$L$1839,'Pedidos Top10'!$A$2:$A$1839,A43,'Pedidos Top10'!$AI$2:$AI$1839,"&lt;&gt;")</f>
        <v>20680.9</v>
      </c>
      <c r="D43" s="8" t="n">
        <f aca="false">SUMIFS('Pedidos Top10'!$AI$2:$AI$1839,'Pedidos Top10'!$A$2:$A$1839,A43)</f>
        <v>23356.17</v>
      </c>
      <c r="E43" s="8" t="n">
        <f aca="false">SUMIFS('Pedidos Top10'!$AD$2:$AD$1839,'Pedidos Top10'!$A$2:$A$1839,A43,'Pedidos Top10'!$AI$2:$AI$1839,"&lt;&gt;")</f>
        <v>18903.35</v>
      </c>
      <c r="F43" s="8" t="n">
        <f aca="false">E43-D43</f>
        <v>-4452.82</v>
      </c>
      <c r="G43" s="9" t="n">
        <f aca="false">IF(D43=0,0,F43/D43)</f>
        <v>-0.190648552395363</v>
      </c>
      <c r="H43" s="9" t="n">
        <f aca="false">IF(C43=0,0,D43/C43-1)</f>
        <v>0.129359457277004</v>
      </c>
      <c r="I43" s="9" t="n">
        <f aca="false">IF(C43=0,0,E43/C43-1)</f>
        <v>-0.0859512883868692</v>
      </c>
    </row>
    <row r="44" customFormat="false" ht="15" hidden="false" customHeight="false" outlineLevel="0" collapsed="false">
      <c r="A44" s="4" t="s">
        <v>20</v>
      </c>
      <c r="B44" s="17" t="n">
        <f aca="false">COUNTIFS('Pedidos Top10'!$A$2:$A$1839,A44,'Pedidos Top10'!$AI$2:$AI$1839,"&lt;&gt;")</f>
        <v>349</v>
      </c>
      <c r="C44" s="8" t="n">
        <f aca="false">SUMIFS('Pedidos Top10'!$L$2:$L$1839,'Pedidos Top10'!$A$2:$A$1839,A44,'Pedidos Top10'!$AI$2:$AI$1839,"&lt;&gt;")</f>
        <v>61261.87</v>
      </c>
      <c r="D44" s="8" t="n">
        <f aca="false">SUMIFS('Pedidos Top10'!$AI$2:$AI$1839,'Pedidos Top10'!$A$2:$A$1839,A44)</f>
        <v>67195.61</v>
      </c>
      <c r="E44" s="8" t="n">
        <f aca="false">SUMIFS('Pedidos Top10'!$AD$2:$AD$1839,'Pedidos Top10'!$A$2:$A$1839,A44,'Pedidos Top10'!$AI$2:$AI$1839,"&lt;&gt;")</f>
        <v>55213.96</v>
      </c>
      <c r="F44" s="8" t="n">
        <f aca="false">E44-D44</f>
        <v>-11981.65</v>
      </c>
      <c r="G44" s="9" t="n">
        <f aca="false">IF(D44=0,0,F44/D44)</f>
        <v>-0.178310011621295</v>
      </c>
      <c r="H44" s="9" t="n">
        <f aca="false">IF(C44=0,0,D44/C44-1)</f>
        <v>0.0968586169504784</v>
      </c>
      <c r="I44" s="9" t="n">
        <f aca="false">IF(C44=0,0,E44/C44-1)</f>
        <v>-0.0987222557848789</v>
      </c>
    </row>
    <row r="45" customFormat="false" ht="15" hidden="false" customHeight="false" outlineLevel="0" collapsed="false">
      <c r="A45" s="4" t="s">
        <v>21</v>
      </c>
      <c r="B45" s="17" t="n">
        <f aca="false">COUNTIFS('Pedidos Top10'!$A$2:$A$1839,A45,'Pedidos Top10'!$AI$2:$AI$1839,"&lt;&gt;")</f>
        <v>109</v>
      </c>
      <c r="C45" s="8" t="n">
        <f aca="false">SUMIFS('Pedidos Top10'!$L$2:$L$1839,'Pedidos Top10'!$A$2:$A$1839,A45,'Pedidos Top10'!$AI$2:$AI$1839,"&lt;&gt;")</f>
        <v>22463.82</v>
      </c>
      <c r="D45" s="8" t="n">
        <f aca="false">SUMIFS('Pedidos Top10'!$AI$2:$AI$1839,'Pedidos Top10'!$A$2:$A$1839,A45)</f>
        <v>43050.97</v>
      </c>
      <c r="E45" s="8" t="n">
        <f aca="false">SUMIFS('Pedidos Top10'!$AD$2:$AD$1839,'Pedidos Top10'!$A$2:$A$1839,A45,'Pedidos Top10'!$AI$2:$AI$1839,"&lt;&gt;")</f>
        <v>38265.91</v>
      </c>
      <c r="F45" s="8" t="n">
        <f aca="false">E45-D45</f>
        <v>-4785.06000000001</v>
      </c>
      <c r="G45" s="9" t="n">
        <f aca="false">IF(D45=0,0,F45/D45)</f>
        <v>-0.111148715116059</v>
      </c>
      <c r="H45" s="9" t="n">
        <f aca="false">IF(C45=0,0,D45/C45-1)</f>
        <v>0.916458109083851</v>
      </c>
      <c r="I45" s="9" t="n">
        <f aca="false">IF(C45=0,0,E45/C45-1)</f>
        <v>0.703446252685429</v>
      </c>
    </row>
    <row r="46" customFormat="false" ht="15" hidden="false" customHeight="false" outlineLevel="0" collapsed="false">
      <c r="A46" s="4" t="s">
        <v>22</v>
      </c>
      <c r="B46" s="17" t="n">
        <f aca="false">COUNTIFS('Pedidos Top10'!$A$2:$A$1839,A46,'Pedidos Top10'!$AI$2:$AI$1839,"&lt;&gt;")</f>
        <v>87</v>
      </c>
      <c r="C46" s="8" t="n">
        <f aca="false">SUMIFS('Pedidos Top10'!$L$2:$L$1839,'Pedidos Top10'!$A$2:$A$1839,A46,'Pedidos Top10'!$AI$2:$AI$1839,"&lt;&gt;")</f>
        <v>15341.02</v>
      </c>
      <c r="D46" s="8" t="n">
        <f aca="false">SUMIFS('Pedidos Top10'!$AI$2:$AI$1839,'Pedidos Top10'!$A$2:$A$1839,A46)</f>
        <v>20833.87</v>
      </c>
      <c r="E46" s="8" t="n">
        <f aca="false">SUMIFS('Pedidos Top10'!$AD$2:$AD$1839,'Pedidos Top10'!$A$2:$A$1839,A46,'Pedidos Top10'!$AI$2:$AI$1839,"&lt;&gt;")</f>
        <v>17311.51</v>
      </c>
      <c r="F46" s="8" t="n">
        <f aca="false">E46-D46</f>
        <v>-3522.36</v>
      </c>
      <c r="G46" s="9" t="n">
        <f aca="false">IF(D46=0,0,F46/D46)</f>
        <v>-0.169068924784498</v>
      </c>
      <c r="H46" s="9" t="n">
        <f aca="false">IF(C46=0,0,D46/C46-1)</f>
        <v>0.358049855876597</v>
      </c>
      <c r="I46" s="9" t="n">
        <f aca="false">IF(C46=0,0,E46/C46-1)</f>
        <v>0.128445826939799</v>
      </c>
    </row>
    <row r="47" customFormat="false" ht="15" hidden="false" customHeight="false" outlineLevel="0" collapsed="false">
      <c r="A47" s="4" t="s">
        <v>23</v>
      </c>
      <c r="B47" s="17" t="n">
        <f aca="false">COUNTIFS('Pedidos Top10'!$A$2:$A$1839,A47,'Pedidos Top10'!$AI$2:$AI$1839,"&lt;&gt;")</f>
        <v>97</v>
      </c>
      <c r="C47" s="8" t="n">
        <f aca="false">SUMIFS('Pedidos Top10'!$L$2:$L$1839,'Pedidos Top10'!$A$2:$A$1839,A47,'Pedidos Top10'!$AI$2:$AI$1839,"&lt;&gt;")</f>
        <v>17913.36</v>
      </c>
      <c r="D47" s="8" t="n">
        <f aca="false">SUMIFS('Pedidos Top10'!$AI$2:$AI$1839,'Pedidos Top10'!$A$2:$A$1839,A47)</f>
        <v>17802.36</v>
      </c>
      <c r="E47" s="8" t="n">
        <f aca="false">SUMIFS('Pedidos Top10'!$AD$2:$AD$1839,'Pedidos Top10'!$A$2:$A$1839,A47,'Pedidos Top10'!$AI$2:$AI$1839,"&lt;&gt;")</f>
        <v>14694.3</v>
      </c>
      <c r="F47" s="8" t="n">
        <f aca="false">E47-D47</f>
        <v>-3108.06</v>
      </c>
      <c r="G47" s="9" t="n">
        <f aca="false">IF(D47=0,0,F47/D47)</f>
        <v>-0.17458696487432</v>
      </c>
      <c r="H47" s="9" t="n">
        <f aca="false">IF(C47=0,0,D47/C47-1)</f>
        <v>-0.00619649245032761</v>
      </c>
      <c r="I47" s="9" t="n">
        <f aca="false">IF(C47=0,0,E47/C47-1)</f>
        <v>-0.179701630514878</v>
      </c>
    </row>
    <row r="48" customFormat="false" ht="15" hidden="false" customHeight="false" outlineLevel="0" collapsed="false">
      <c r="A48" s="10" t="s">
        <v>24</v>
      </c>
      <c r="B48" s="11" t="n">
        <f aca="false">SUM(B39:B47)</f>
        <v>1838</v>
      </c>
      <c r="C48" s="13" t="n">
        <f aca="false">SUM(C39:C47)</f>
        <v>331388.59</v>
      </c>
      <c r="D48" s="13" t="n">
        <f aca="false">SUM(D39:D47)</f>
        <v>410526.08</v>
      </c>
      <c r="E48" s="13" t="n">
        <f aca="false">SUM(E39:E47)</f>
        <v>345898.93</v>
      </c>
      <c r="F48" s="13" t="n">
        <f aca="false">E48-D48</f>
        <v>-64627.15</v>
      </c>
      <c r="G48" s="14" t="n">
        <f aca="false">IF(D48=0,0,F48/D48)</f>
        <v>-0.157425199392935</v>
      </c>
      <c r="H48" s="14" t="n">
        <f aca="false">IF(C48=0,0,D48/C48-1)</f>
        <v>0.2388057174811</v>
      </c>
      <c r="I48" s="14" t="n">
        <f aca="false">IF(C48=0,0,E48/C48-1)</f>
        <v>0.0437864803975299</v>
      </c>
    </row>
  </sheetData>
  <conditionalFormatting sqref="H5:H1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H19:H24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H29:H34">
    <cfRule type="cellIs" priority="6" operator="lessThan" aboveAverage="0" equalAverage="0" bottom="0" percent="0" rank="0" text="" dxfId="0">
      <formula>0</formula>
    </cfRule>
    <cfRule type="cellIs" priority="7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1" min="10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1"/>
    <col collapsed="false" customWidth="true" hidden="false" outlineLevel="0" max="16" min="16" style="0" width="18"/>
    <col collapsed="false" customWidth="true" hidden="false" outlineLevel="0" max="17" min="17" style="0" width="34"/>
    <col collapsed="false" customWidth="true" hidden="false" outlineLevel="0" max="18" min="18" style="0" width="26"/>
  </cols>
  <sheetData>
    <row r="1" customFormat="false" ht="42" hidden="false" customHeight="true" outlineLevel="0" collapsed="false">
      <c r="A1" s="3" t="s">
        <v>2</v>
      </c>
      <c r="B1" s="3" t="s">
        <v>52</v>
      </c>
      <c r="C1" s="3" t="s">
        <v>53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27</v>
      </c>
      <c r="K1" s="3" t="s">
        <v>28</v>
      </c>
      <c r="L1" s="3" t="s">
        <v>29</v>
      </c>
      <c r="M1" s="3" t="s">
        <v>54</v>
      </c>
      <c r="N1" s="3" t="s">
        <v>55</v>
      </c>
      <c r="O1" s="3" t="s">
        <v>13</v>
      </c>
      <c r="P1" s="3" t="s">
        <v>56</v>
      </c>
      <c r="Q1" s="3" t="s">
        <v>57</v>
      </c>
      <c r="R1" s="3" t="s">
        <v>58</v>
      </c>
    </row>
    <row r="2" customFormat="false" ht="15" hidden="false" customHeight="false" outlineLevel="0" collapsed="false">
      <c r="A2" s="18" t="s">
        <v>15</v>
      </c>
      <c r="B2" s="18" t="n">
        <v>1</v>
      </c>
      <c r="C2" s="4" t="s">
        <v>59</v>
      </c>
      <c r="D2" s="17" t="n">
        <f aca="false">COUNTIFS('Pedidos Top10'!$A$2:$A$1839,A2,'Pedidos Top10'!$C$2:$C$1839,C2)</f>
        <v>110</v>
      </c>
      <c r="E2" s="19" t="n">
        <f aca="false">SUMIFS('Pedidos Top10'!$J$2:$J$1839,'Pedidos Top10'!$A$2:$A$1839,A2,'Pedidos Top10'!$C$2:$C$1839,C2)</f>
        <v>5274.84</v>
      </c>
      <c r="F2" s="8" t="n">
        <f aca="false">SUMIFS('Pedidos Top10'!$L$2:$L$1839,'Pedidos Top10'!$A$2:$A$1839,A2,'Pedidos Top10'!$C$2:$C$1839,C2)</f>
        <v>18085.24</v>
      </c>
      <c r="G2" s="8" t="n">
        <f aca="false">SUMIFS('Pedidos Top10'!$AD$2:$AD$1839,'Pedidos Top10'!$A$2:$A$1839,A2,'Pedidos Top10'!$C$2:$C$1839,C2)</f>
        <v>15398.57</v>
      </c>
      <c r="H2" s="8" t="n">
        <f aca="false">G2-F2</f>
        <v>-2686.67</v>
      </c>
      <c r="I2" s="9" t="n">
        <f aca="false">IF(F2=0,0,H2/F2)</f>
        <v>-0.148555949492514</v>
      </c>
      <c r="J2" s="8" t="n">
        <f aca="false">IF(D2=0,0,F2/D2)</f>
        <v>164.411272727273</v>
      </c>
      <c r="K2" s="8" t="n">
        <f aca="false">IF(D2=0,0,G2/D2)</f>
        <v>139.987</v>
      </c>
      <c r="L2" s="8" t="n">
        <f aca="false">IF(E2=0,0,F2/E2)</f>
        <v>3.42858551159846</v>
      </c>
      <c r="M2" s="8" t="n">
        <f aca="false">IF(E2=0,0,G2/E2)</f>
        <v>2.91924873550667</v>
      </c>
      <c r="N2" s="20" t="n">
        <v>8</v>
      </c>
      <c r="O2" s="9" t="n">
        <f aca="false">IF(D2=0,0,COUNTIFS('Pedidos Top10'!$A$2:$A$1839,A2,'Pedidos Top10'!$C$2:$C$1839,C2,'Pedidos Top10'!$AG$2:$AG$1839,"PASSARO")/D2)</f>
        <v>0.781818181818182</v>
      </c>
      <c r="P2" s="18" t="s">
        <v>30</v>
      </c>
      <c r="Q2" s="18" t="s">
        <v>60</v>
      </c>
      <c r="R2" s="18" t="str">
        <f aca="false">IF(I2&lt;=-0.05,"Passaro mais barata",IF(I2&lt;0.05,"Empate técnico (±5%)","Passaro mais cara"))</f>
        <v>Passaro mais barata</v>
      </c>
    </row>
    <row r="3" customFormat="false" ht="15" hidden="false" customHeight="false" outlineLevel="0" collapsed="false">
      <c r="A3" s="18" t="s">
        <v>15</v>
      </c>
      <c r="B3" s="18" t="n">
        <v>2</v>
      </c>
      <c r="C3" s="4" t="s">
        <v>61</v>
      </c>
      <c r="D3" s="17" t="n">
        <f aca="false">COUNTIFS('Pedidos Top10'!$A$2:$A$1839,A3,'Pedidos Top10'!$C$2:$C$1839,C3)</f>
        <v>26</v>
      </c>
      <c r="E3" s="19" t="n">
        <f aca="false">SUMIFS('Pedidos Top10'!$J$2:$J$1839,'Pedidos Top10'!$A$2:$A$1839,A3,'Pedidos Top10'!$C$2:$C$1839,C3)</f>
        <v>921.45</v>
      </c>
      <c r="F3" s="8" t="n">
        <f aca="false">SUMIFS('Pedidos Top10'!$L$2:$L$1839,'Pedidos Top10'!$A$2:$A$1839,A3,'Pedidos Top10'!$C$2:$C$1839,C3)</f>
        <v>3849.53</v>
      </c>
      <c r="G3" s="8" t="n">
        <f aca="false">SUMIFS('Pedidos Top10'!$AD$2:$AD$1839,'Pedidos Top10'!$A$2:$A$1839,A3,'Pedidos Top10'!$C$2:$C$1839,C3)</f>
        <v>4064.41</v>
      </c>
      <c r="H3" s="8" t="n">
        <f aca="false">G3-F3</f>
        <v>214.88</v>
      </c>
      <c r="I3" s="9" t="n">
        <f aca="false">IF(F3=0,0,H3/F3)</f>
        <v>0.0558198013783501</v>
      </c>
      <c r="J3" s="8" t="n">
        <f aca="false">IF(D3=0,0,F3/D3)</f>
        <v>148.058846153846</v>
      </c>
      <c r="K3" s="8" t="n">
        <f aca="false">IF(D3=0,0,G3/D3)</f>
        <v>156.323461538462</v>
      </c>
      <c r="L3" s="8" t="n">
        <f aca="false">IF(E3=0,0,F3/E3)</f>
        <v>4.17768734060448</v>
      </c>
      <c r="M3" s="8" t="n">
        <f aca="false">IF(E3=0,0,G3/E3)</f>
        <v>4.41088501817787</v>
      </c>
      <c r="N3" s="20" t="n">
        <v>10</v>
      </c>
      <c r="O3" s="9" t="n">
        <f aca="false">IF(D3=0,0,COUNTIFS('Pedidos Top10'!$A$2:$A$1839,A3,'Pedidos Top10'!$C$2:$C$1839,C3,'Pedidos Top10'!$AG$2:$AG$1839,"PASSARO")/D3)</f>
        <v>0.346153846153846</v>
      </c>
      <c r="P3" s="18" t="s">
        <v>30</v>
      </c>
      <c r="Q3" s="18" t="s">
        <v>62</v>
      </c>
      <c r="R3" s="18" t="str">
        <f aca="false">IF(I3&lt;=-0.05,"Passaro mais barata",IF(I3&lt;0.05,"Empate técnico (±5%)","Passaro mais cara"))</f>
        <v>Passaro mais cara</v>
      </c>
    </row>
    <row r="4" customFormat="false" ht="15" hidden="false" customHeight="false" outlineLevel="0" collapsed="false">
      <c r="A4" s="18" t="s">
        <v>15</v>
      </c>
      <c r="B4" s="18" t="n">
        <v>3</v>
      </c>
      <c r="C4" s="4" t="s">
        <v>63</v>
      </c>
      <c r="D4" s="17" t="n">
        <f aca="false">COUNTIFS('Pedidos Top10'!$A$2:$A$1839,A4,'Pedidos Top10'!$C$2:$C$1839,C4)</f>
        <v>6</v>
      </c>
      <c r="E4" s="19" t="n">
        <f aca="false">SUMIFS('Pedidos Top10'!$J$2:$J$1839,'Pedidos Top10'!$A$2:$A$1839,A4,'Pedidos Top10'!$C$2:$C$1839,C4)</f>
        <v>427</v>
      </c>
      <c r="F4" s="8" t="n">
        <f aca="false">SUMIFS('Pedidos Top10'!$L$2:$L$1839,'Pedidos Top10'!$A$2:$A$1839,A4,'Pedidos Top10'!$C$2:$C$1839,C4)</f>
        <v>1414.13</v>
      </c>
      <c r="G4" s="8" t="n">
        <f aca="false">SUMIFS('Pedidos Top10'!$AD$2:$AD$1839,'Pedidos Top10'!$A$2:$A$1839,A4,'Pedidos Top10'!$C$2:$C$1839,C4)</f>
        <v>1161.84</v>
      </c>
      <c r="H4" s="8" t="n">
        <f aca="false">G4-F4</f>
        <v>-252.29</v>
      </c>
      <c r="I4" s="9" t="n">
        <f aca="false">IF(F4=0,0,H4/F4)</f>
        <v>-0.178406511423985</v>
      </c>
      <c r="J4" s="8" t="n">
        <f aca="false">IF(D4=0,0,F4/D4)</f>
        <v>235.688333333333</v>
      </c>
      <c r="K4" s="8" t="n">
        <f aca="false">IF(D4=0,0,G4/D4)</f>
        <v>193.64</v>
      </c>
      <c r="L4" s="8" t="n">
        <f aca="false">IF(E4=0,0,F4/E4)</f>
        <v>3.31177985948478</v>
      </c>
      <c r="M4" s="8" t="n">
        <f aca="false">IF(E4=0,0,G4/E4)</f>
        <v>2.72093676814988</v>
      </c>
      <c r="N4" s="20" t="n">
        <v>10</v>
      </c>
      <c r="O4" s="9" t="n">
        <f aca="false">IF(D4=0,0,COUNTIFS('Pedidos Top10'!$A$2:$A$1839,A4,'Pedidos Top10'!$C$2:$C$1839,C4,'Pedidos Top10'!$AG$2:$AG$1839,"PASSARO")/D4)</f>
        <v>0.5</v>
      </c>
      <c r="P4" s="18" t="s">
        <v>30</v>
      </c>
      <c r="Q4" s="18" t="s">
        <v>64</v>
      </c>
      <c r="R4" s="18" t="str">
        <f aca="false">IF(I4&lt;=-0.05,"Passaro mais barata",IF(I4&lt;0.05,"Empate técnico (±5%)","Passaro mais cara"))</f>
        <v>Passaro mais barata</v>
      </c>
    </row>
    <row r="5" customFormat="false" ht="15" hidden="false" customHeight="false" outlineLevel="0" collapsed="false">
      <c r="A5" s="18" t="s">
        <v>15</v>
      </c>
      <c r="B5" s="18" t="n">
        <v>4</v>
      </c>
      <c r="C5" s="4" t="s">
        <v>65</v>
      </c>
      <c r="D5" s="17" t="n">
        <f aca="false">COUNTIFS('Pedidos Top10'!$A$2:$A$1839,A5,'Pedidos Top10'!$C$2:$C$1839,C5)</f>
        <v>6</v>
      </c>
      <c r="E5" s="19" t="n">
        <f aca="false">SUMIFS('Pedidos Top10'!$J$2:$J$1839,'Pedidos Top10'!$A$2:$A$1839,A5,'Pedidos Top10'!$C$2:$C$1839,C5)</f>
        <v>277.41</v>
      </c>
      <c r="F5" s="8" t="n">
        <f aca="false">SUMIFS('Pedidos Top10'!$L$2:$L$1839,'Pedidos Top10'!$A$2:$A$1839,A5,'Pedidos Top10'!$C$2:$C$1839,C5)</f>
        <v>1067.67</v>
      </c>
      <c r="G5" s="8" t="n">
        <f aca="false">SUMIFS('Pedidos Top10'!$AD$2:$AD$1839,'Pedidos Top10'!$A$2:$A$1839,A5,'Pedidos Top10'!$C$2:$C$1839,C5)</f>
        <v>821.11</v>
      </c>
      <c r="H5" s="8" t="n">
        <f aca="false">G5-F5</f>
        <v>-246.56</v>
      </c>
      <c r="I5" s="9" t="n">
        <f aca="false">IF(F5=0,0,H5/F5)</f>
        <v>-0.23093277885489</v>
      </c>
      <c r="J5" s="8" t="n">
        <f aca="false">IF(D5=0,0,F5/D5)</f>
        <v>177.945</v>
      </c>
      <c r="K5" s="8" t="n">
        <f aca="false">IF(D5=0,0,G5/D5)</f>
        <v>136.851666666667</v>
      </c>
      <c r="L5" s="8" t="n">
        <f aca="false">IF(E5=0,0,F5/E5)</f>
        <v>3.84870768898021</v>
      </c>
      <c r="M5" s="8" t="n">
        <f aca="false">IF(E5=0,0,G5/E5)</f>
        <v>2.95991492736383</v>
      </c>
      <c r="N5" s="20" t="n">
        <v>8</v>
      </c>
      <c r="O5" s="9" t="n">
        <f aca="false">IF(D5=0,0,COUNTIFS('Pedidos Top10'!$A$2:$A$1839,A5,'Pedidos Top10'!$C$2:$C$1839,C5,'Pedidos Top10'!$AG$2:$AG$1839,"PASSARO")/D5)</f>
        <v>1</v>
      </c>
      <c r="P5" s="18" t="s">
        <v>30</v>
      </c>
      <c r="Q5" s="18" t="s">
        <v>64</v>
      </c>
      <c r="R5" s="18" t="str">
        <f aca="false">IF(I5&lt;=-0.05,"Passaro mais barata",IF(I5&lt;0.05,"Empate técnico (±5%)","Passaro mais cara"))</f>
        <v>Passaro mais barata</v>
      </c>
    </row>
    <row r="6" customFormat="false" ht="15" hidden="false" customHeight="false" outlineLevel="0" collapsed="false">
      <c r="A6" s="18" t="s">
        <v>15</v>
      </c>
      <c r="B6" s="18" t="n">
        <v>5</v>
      </c>
      <c r="C6" s="4" t="s">
        <v>66</v>
      </c>
      <c r="D6" s="17" t="n">
        <f aca="false">COUNTIFS('Pedidos Top10'!$A$2:$A$1839,A6,'Pedidos Top10'!$C$2:$C$1839,C6)</f>
        <v>4</v>
      </c>
      <c r="E6" s="19" t="n">
        <f aca="false">SUMIFS('Pedidos Top10'!$J$2:$J$1839,'Pedidos Top10'!$A$2:$A$1839,A6,'Pedidos Top10'!$C$2:$C$1839,C6)</f>
        <v>134.2</v>
      </c>
      <c r="F6" s="8" t="n">
        <f aca="false">SUMIFS('Pedidos Top10'!$L$2:$L$1839,'Pedidos Top10'!$A$2:$A$1839,A6,'Pedidos Top10'!$C$2:$C$1839,C6)</f>
        <v>652.13</v>
      </c>
      <c r="G6" s="8" t="n">
        <f aca="false">SUMIFS('Pedidos Top10'!$AD$2:$AD$1839,'Pedidos Top10'!$A$2:$A$1839,A6,'Pedidos Top10'!$C$2:$C$1839,C6)</f>
        <v>720.53</v>
      </c>
      <c r="H6" s="8" t="n">
        <f aca="false">G6-F6</f>
        <v>68.4</v>
      </c>
      <c r="I6" s="9" t="n">
        <f aca="false">IF(F6=0,0,H6/F6)</f>
        <v>0.104887062395535</v>
      </c>
      <c r="J6" s="8" t="n">
        <f aca="false">IF(D6=0,0,F6/D6)</f>
        <v>163.0325</v>
      </c>
      <c r="K6" s="8" t="n">
        <f aca="false">IF(D6=0,0,G6/D6)</f>
        <v>180.1325</v>
      </c>
      <c r="L6" s="8" t="n">
        <f aca="false">IF(E6=0,0,F6/E6)</f>
        <v>4.85938897168405</v>
      </c>
      <c r="M6" s="8" t="n">
        <f aca="false">IF(E6=0,0,G6/E6)</f>
        <v>5.36907600596125</v>
      </c>
      <c r="N6" s="20" t="n">
        <v>13</v>
      </c>
      <c r="O6" s="9" t="n">
        <f aca="false">IF(D6=0,0,COUNTIFS('Pedidos Top10'!$A$2:$A$1839,A6,'Pedidos Top10'!$C$2:$C$1839,C6,'Pedidos Top10'!$AG$2:$AG$1839,"PASSARO")/D6)</f>
        <v>0.25</v>
      </c>
      <c r="P6" s="18" t="s">
        <v>30</v>
      </c>
      <c r="Q6" s="18" t="s">
        <v>67</v>
      </c>
      <c r="R6" s="18" t="str">
        <f aca="false">IF(I6&lt;=-0.05,"Passaro mais barata",IF(I6&lt;0.05,"Empate técnico (±5%)","Passaro mais cara"))</f>
        <v>Passaro mais cara</v>
      </c>
    </row>
    <row r="7" customFormat="false" ht="15" hidden="false" customHeight="false" outlineLevel="0" collapsed="false">
      <c r="A7" s="18" t="s">
        <v>15</v>
      </c>
      <c r="B7" s="18" t="n">
        <v>6</v>
      </c>
      <c r="C7" s="4" t="s">
        <v>68</v>
      </c>
      <c r="D7" s="17" t="n">
        <f aca="false">COUNTIFS('Pedidos Top10'!$A$2:$A$1839,A7,'Pedidos Top10'!$C$2:$C$1839,C7)</f>
        <v>3</v>
      </c>
      <c r="E7" s="19" t="n">
        <f aca="false">SUMIFS('Pedidos Top10'!$J$2:$J$1839,'Pedidos Top10'!$A$2:$A$1839,A7,'Pedidos Top10'!$C$2:$C$1839,C7)</f>
        <v>349.7</v>
      </c>
      <c r="F7" s="8" t="n">
        <f aca="false">SUMIFS('Pedidos Top10'!$L$2:$L$1839,'Pedidos Top10'!$A$2:$A$1839,A7,'Pedidos Top10'!$C$2:$C$1839,C7)</f>
        <v>1136.84</v>
      </c>
      <c r="G7" s="8" t="n">
        <f aca="false">SUMIFS('Pedidos Top10'!$AD$2:$AD$1839,'Pedidos Top10'!$A$2:$A$1839,A7,'Pedidos Top10'!$C$2:$C$1839,C7)</f>
        <v>968.53</v>
      </c>
      <c r="H7" s="8" t="n">
        <f aca="false">G7-F7</f>
        <v>-168.31</v>
      </c>
      <c r="I7" s="9" t="n">
        <f aca="false">IF(F7=0,0,H7/F7)</f>
        <v>-0.148050737130995</v>
      </c>
      <c r="J7" s="8" t="n">
        <f aca="false">IF(D7=0,0,F7/D7)</f>
        <v>378.946666666667</v>
      </c>
      <c r="K7" s="8" t="n">
        <f aca="false">IF(D7=0,0,G7/D7)</f>
        <v>322.843333333333</v>
      </c>
      <c r="L7" s="8" t="n">
        <f aca="false">IF(E7=0,0,F7/E7)</f>
        <v>3.25090077209036</v>
      </c>
      <c r="M7" s="8" t="n">
        <f aca="false">IF(E7=0,0,G7/E7)</f>
        <v>2.76960251644267</v>
      </c>
      <c r="N7" s="20" t="n">
        <v>13</v>
      </c>
      <c r="O7" s="9" t="n">
        <f aca="false">IF(D7=0,0,COUNTIFS('Pedidos Top10'!$A$2:$A$1839,A7,'Pedidos Top10'!$C$2:$C$1839,C7,'Pedidos Top10'!$AG$2:$AG$1839,"PASSARO")/D7)</f>
        <v>0.666666666666667</v>
      </c>
      <c r="P7" s="18" t="s">
        <v>30</v>
      </c>
      <c r="Q7" s="18" t="s">
        <v>69</v>
      </c>
      <c r="R7" s="18" t="str">
        <f aca="false">IF(I7&lt;=-0.05,"Passaro mais barata",IF(I7&lt;0.05,"Empate técnico (±5%)","Passaro mais cara"))</f>
        <v>Passaro mais barata</v>
      </c>
    </row>
    <row r="8" customFormat="false" ht="15" hidden="false" customHeight="false" outlineLevel="0" collapsed="false">
      <c r="A8" s="18" t="s">
        <v>15</v>
      </c>
      <c r="B8" s="18" t="n">
        <v>7</v>
      </c>
      <c r="C8" s="4" t="s">
        <v>70</v>
      </c>
      <c r="D8" s="17" t="n">
        <f aca="false">COUNTIFS('Pedidos Top10'!$A$2:$A$1839,A8,'Pedidos Top10'!$C$2:$C$1839,C8)</f>
        <v>3</v>
      </c>
      <c r="E8" s="19" t="n">
        <f aca="false">SUMIFS('Pedidos Top10'!$J$2:$J$1839,'Pedidos Top10'!$A$2:$A$1839,A8,'Pedidos Top10'!$C$2:$C$1839,C8)</f>
        <v>203.78</v>
      </c>
      <c r="F8" s="8" t="n">
        <f aca="false">SUMIFS('Pedidos Top10'!$L$2:$L$1839,'Pedidos Top10'!$A$2:$A$1839,A8,'Pedidos Top10'!$C$2:$C$1839,C8)</f>
        <v>862.25</v>
      </c>
      <c r="G8" s="8" t="n">
        <f aca="false">SUMIFS('Pedidos Top10'!$AD$2:$AD$1839,'Pedidos Top10'!$A$2:$A$1839,A8,'Pedidos Top10'!$C$2:$C$1839,C8)</f>
        <v>694.83</v>
      </c>
      <c r="H8" s="8" t="n">
        <f aca="false">G8-F8</f>
        <v>-167.42</v>
      </c>
      <c r="I8" s="9" t="n">
        <f aca="false">IF(F8=0,0,H8/F8)</f>
        <v>-0.194166425050739</v>
      </c>
      <c r="J8" s="8" t="n">
        <f aca="false">IF(D8=0,0,F8/D8)</f>
        <v>287.416666666667</v>
      </c>
      <c r="K8" s="8" t="n">
        <f aca="false">IF(D8=0,0,G8/D8)</f>
        <v>231.61</v>
      </c>
      <c r="L8" s="8" t="n">
        <f aca="false">IF(E8=0,0,F8/E8)</f>
        <v>4.2312788301109</v>
      </c>
      <c r="M8" s="8" t="n">
        <f aca="false">IF(E8=0,0,G8/E8)</f>
        <v>3.4097065462754</v>
      </c>
      <c r="N8" s="20" t="n">
        <v>13</v>
      </c>
      <c r="O8" s="9" t="n">
        <f aca="false">IF(D8=0,0,COUNTIFS('Pedidos Top10'!$A$2:$A$1839,A8,'Pedidos Top10'!$C$2:$C$1839,C8,'Pedidos Top10'!$AG$2:$AG$1839,"PASSARO")/D8)</f>
        <v>1</v>
      </c>
      <c r="P8" s="18" t="s">
        <v>30</v>
      </c>
      <c r="Q8" s="18" t="s">
        <v>69</v>
      </c>
      <c r="R8" s="18" t="str">
        <f aca="false">IF(I8&lt;=-0.05,"Passaro mais barata",IF(I8&lt;0.05,"Empate técnico (±5%)","Passaro mais cara"))</f>
        <v>Passaro mais barata</v>
      </c>
    </row>
    <row r="9" customFormat="false" ht="15" hidden="false" customHeight="false" outlineLevel="0" collapsed="false">
      <c r="A9" s="18" t="s">
        <v>15</v>
      </c>
      <c r="B9" s="18" t="n">
        <v>8</v>
      </c>
      <c r="C9" s="4" t="s">
        <v>71</v>
      </c>
      <c r="D9" s="17" t="n">
        <f aca="false">COUNTIFS('Pedidos Top10'!$A$2:$A$1839,A9,'Pedidos Top10'!$C$2:$C$1839,C9)</f>
        <v>3</v>
      </c>
      <c r="E9" s="19" t="n">
        <f aca="false">SUMIFS('Pedidos Top10'!$J$2:$J$1839,'Pedidos Top10'!$A$2:$A$1839,A9,'Pedidos Top10'!$C$2:$C$1839,C9)</f>
        <v>230.38</v>
      </c>
      <c r="F9" s="8" t="n">
        <f aca="false">SUMIFS('Pedidos Top10'!$L$2:$L$1839,'Pedidos Top10'!$A$2:$A$1839,A9,'Pedidos Top10'!$C$2:$C$1839,C9)</f>
        <v>850.42</v>
      </c>
      <c r="G9" s="8" t="n">
        <f aca="false">SUMIFS('Pedidos Top10'!$AD$2:$AD$1839,'Pedidos Top10'!$A$2:$A$1839,A9,'Pedidos Top10'!$C$2:$C$1839,C9)</f>
        <v>701.54</v>
      </c>
      <c r="H9" s="8" t="n">
        <f aca="false">G9-F9</f>
        <v>-148.88</v>
      </c>
      <c r="I9" s="9" t="n">
        <f aca="false">IF(F9=0,0,H9/F9)</f>
        <v>-0.175066437760166</v>
      </c>
      <c r="J9" s="8" t="n">
        <f aca="false">IF(D9=0,0,F9/D9)</f>
        <v>283.473333333333</v>
      </c>
      <c r="K9" s="8" t="n">
        <f aca="false">IF(D9=0,0,G9/D9)</f>
        <v>233.846666666667</v>
      </c>
      <c r="L9" s="8" t="n">
        <f aca="false">IF(E9=0,0,F9/E9)</f>
        <v>3.69137946002257</v>
      </c>
      <c r="M9" s="8" t="n">
        <f aca="false">IF(E9=0,0,G9/E9)</f>
        <v>3.04514280753538</v>
      </c>
      <c r="N9" s="20" t="n">
        <v>13</v>
      </c>
      <c r="O9" s="9" t="n">
        <f aca="false">IF(D9=0,0,COUNTIFS('Pedidos Top10'!$A$2:$A$1839,A9,'Pedidos Top10'!$C$2:$C$1839,C9,'Pedidos Top10'!$AG$2:$AG$1839,"PASSARO")/D9)</f>
        <v>0.666666666666667</v>
      </c>
      <c r="P9" s="18" t="s">
        <v>30</v>
      </c>
      <c r="Q9" s="18" t="s">
        <v>72</v>
      </c>
      <c r="R9" s="18" t="str">
        <f aca="false">IF(I9&lt;=-0.05,"Passaro mais barata",IF(I9&lt;0.05,"Empate técnico (±5%)","Passaro mais cara"))</f>
        <v>Passaro mais barata</v>
      </c>
    </row>
    <row r="10" customFormat="false" ht="15" hidden="false" customHeight="false" outlineLevel="0" collapsed="false">
      <c r="A10" s="18" t="s">
        <v>15</v>
      </c>
      <c r="B10" s="18" t="n">
        <v>9</v>
      </c>
      <c r="C10" s="4" t="s">
        <v>73</v>
      </c>
      <c r="D10" s="17" t="n">
        <f aca="false">COUNTIFS('Pedidos Top10'!$A$2:$A$1839,A10,'Pedidos Top10'!$C$2:$C$1839,C10)</f>
        <v>3</v>
      </c>
      <c r="E10" s="19" t="n">
        <f aca="false">SUMIFS('Pedidos Top10'!$J$2:$J$1839,'Pedidos Top10'!$A$2:$A$1839,A10,'Pedidos Top10'!$C$2:$C$1839,C10)</f>
        <v>186.48</v>
      </c>
      <c r="F10" s="8" t="n">
        <f aca="false">SUMIFS('Pedidos Top10'!$L$2:$L$1839,'Pedidos Top10'!$A$2:$A$1839,A10,'Pedidos Top10'!$C$2:$C$1839,C10)</f>
        <v>686.94</v>
      </c>
      <c r="G10" s="8" t="n">
        <f aca="false">SUMIFS('Pedidos Top10'!$AD$2:$AD$1839,'Pedidos Top10'!$A$2:$A$1839,A10,'Pedidos Top10'!$C$2:$C$1839,C10)</f>
        <v>633.64</v>
      </c>
      <c r="H10" s="8" t="n">
        <f aca="false">G10-F10</f>
        <v>-53.3000000000001</v>
      </c>
      <c r="I10" s="9" t="n">
        <f aca="false">IF(F10=0,0,H10/F10)</f>
        <v>-0.0775904736949371</v>
      </c>
      <c r="J10" s="8" t="n">
        <f aca="false">IF(D10=0,0,F10/D10)</f>
        <v>228.98</v>
      </c>
      <c r="K10" s="8" t="n">
        <f aca="false">IF(D10=0,0,G10/D10)</f>
        <v>211.213333333333</v>
      </c>
      <c r="L10" s="8" t="n">
        <f aca="false">IF(E10=0,0,F10/E10)</f>
        <v>3.68371943371943</v>
      </c>
      <c r="M10" s="8" t="n">
        <f aca="false">IF(E10=0,0,G10/E10)</f>
        <v>3.3978978978979</v>
      </c>
      <c r="N10" s="20" t="n">
        <v>13</v>
      </c>
      <c r="O10" s="9" t="n">
        <f aca="false">IF(D10=0,0,COUNTIFS('Pedidos Top10'!$A$2:$A$1839,A10,'Pedidos Top10'!$C$2:$C$1839,C10,'Pedidos Top10'!$AG$2:$AG$1839,"PASSARO")/D10)</f>
        <v>0.666666666666667</v>
      </c>
      <c r="P10" s="18" t="s">
        <v>30</v>
      </c>
      <c r="Q10" s="18" t="s">
        <v>69</v>
      </c>
      <c r="R10" s="18" t="str">
        <f aca="false">IF(I10&lt;=-0.05,"Passaro mais barata",IF(I10&lt;0.05,"Empate técnico (±5%)","Passaro mais cara"))</f>
        <v>Passaro mais barata</v>
      </c>
    </row>
    <row r="11" customFormat="false" ht="15" hidden="false" customHeight="false" outlineLevel="0" collapsed="false">
      <c r="A11" s="18" t="s">
        <v>15</v>
      </c>
      <c r="B11" s="18" t="n">
        <v>10</v>
      </c>
      <c r="C11" s="4" t="s">
        <v>74</v>
      </c>
      <c r="D11" s="17" t="n">
        <f aca="false">COUNTIFS('Pedidos Top10'!$A$2:$A$1839,A11,'Pedidos Top10'!$C$2:$C$1839,C11)</f>
        <v>3</v>
      </c>
      <c r="E11" s="19" t="n">
        <f aca="false">SUMIFS('Pedidos Top10'!$J$2:$J$1839,'Pedidos Top10'!$A$2:$A$1839,A11,'Pedidos Top10'!$C$2:$C$1839,C11)</f>
        <v>118.7</v>
      </c>
      <c r="F11" s="8" t="n">
        <f aca="false">SUMIFS('Pedidos Top10'!$L$2:$L$1839,'Pedidos Top10'!$A$2:$A$1839,A11,'Pedidos Top10'!$C$2:$C$1839,C11)</f>
        <v>552.4</v>
      </c>
      <c r="G11" s="8" t="n">
        <f aca="false">SUMIFS('Pedidos Top10'!$AD$2:$AD$1839,'Pedidos Top10'!$A$2:$A$1839,A11,'Pedidos Top10'!$C$2:$C$1839,C11)</f>
        <v>568.4</v>
      </c>
      <c r="H11" s="8" t="n">
        <f aca="false">G11-F11</f>
        <v>16</v>
      </c>
      <c r="I11" s="9" t="n">
        <f aca="false">IF(F11=0,0,H11/F11)</f>
        <v>0.0289645184648805</v>
      </c>
      <c r="J11" s="8" t="n">
        <f aca="false">IF(D11=0,0,F11/D11)</f>
        <v>184.133333333333</v>
      </c>
      <c r="K11" s="8" t="n">
        <f aca="false">IF(D11=0,0,G11/D11)</f>
        <v>189.466666666667</v>
      </c>
      <c r="L11" s="8" t="n">
        <f aca="false">IF(E11=0,0,F11/E11)</f>
        <v>4.65374894692502</v>
      </c>
      <c r="M11" s="8" t="n">
        <f aca="false">IF(E11=0,0,G11/E11)</f>
        <v>4.78854254422915</v>
      </c>
      <c r="N11" s="20" t="n">
        <v>13</v>
      </c>
      <c r="O11" s="9" t="n">
        <f aca="false">IF(D11=0,0,COUNTIFS('Pedidos Top10'!$A$2:$A$1839,A11,'Pedidos Top10'!$C$2:$C$1839,C11,'Pedidos Top10'!$AG$2:$AG$1839,"PASSARO")/D11)</f>
        <v>0.333333333333333</v>
      </c>
      <c r="P11" s="18" t="s">
        <v>30</v>
      </c>
      <c r="Q11" s="18" t="s">
        <v>69</v>
      </c>
      <c r="R11" s="18" t="str">
        <f aca="false">IF(I11&lt;=-0.05,"Passaro mais barata",IF(I11&lt;0.05,"Empate técnico (±5%)","Passaro mais cara"))</f>
        <v>Empate técnico (±5%)</v>
      </c>
    </row>
    <row r="12" customFormat="false" ht="15" hidden="false" customHeight="false" outlineLevel="0" collapsed="false">
      <c r="A12" s="18" t="s">
        <v>16</v>
      </c>
      <c r="B12" s="18" t="n">
        <v>1</v>
      </c>
      <c r="C12" s="4" t="s">
        <v>75</v>
      </c>
      <c r="D12" s="17" t="n">
        <f aca="false">COUNTIFS('Pedidos Top10'!$A$2:$A$1839,A12,'Pedidos Top10'!$C$2:$C$1839,C12)</f>
        <v>296</v>
      </c>
      <c r="E12" s="19" t="n">
        <f aca="false">SUMIFS('Pedidos Top10'!$J$2:$J$1839,'Pedidos Top10'!$A$2:$A$1839,A12,'Pedidos Top10'!$C$2:$C$1839,C12)</f>
        <v>15122.53</v>
      </c>
      <c r="F12" s="8" t="n">
        <f aca="false">SUMIFS('Pedidos Top10'!$L$2:$L$1839,'Pedidos Top10'!$A$2:$A$1839,A12,'Pedidos Top10'!$C$2:$C$1839,C12)</f>
        <v>47672.61</v>
      </c>
      <c r="G12" s="8" t="n">
        <f aca="false">SUMIFS('Pedidos Top10'!$AD$2:$AD$1839,'Pedidos Top10'!$A$2:$A$1839,A12,'Pedidos Top10'!$C$2:$C$1839,C12)</f>
        <v>36586.8</v>
      </c>
      <c r="H12" s="8" t="n">
        <f aca="false">G12-F12</f>
        <v>-11085.81</v>
      </c>
      <c r="I12" s="9" t="n">
        <f aca="false">IF(F12=0,0,H12/F12)</f>
        <v>-0.232540446180731</v>
      </c>
      <c r="J12" s="8" t="n">
        <f aca="false">IF(D12=0,0,F12/D12)</f>
        <v>161.056114864865</v>
      </c>
      <c r="K12" s="8" t="n">
        <f aca="false">IF(D12=0,0,G12/D12)</f>
        <v>123.604054054054</v>
      </c>
      <c r="L12" s="8" t="n">
        <f aca="false">IF(E12=0,0,F12/E12)</f>
        <v>3.1524229080716</v>
      </c>
      <c r="M12" s="8" t="n">
        <f aca="false">IF(E12=0,0,G12/E12)</f>
        <v>2.41935707847827</v>
      </c>
      <c r="N12" s="20" t="n">
        <v>6</v>
      </c>
      <c r="O12" s="9" t="n">
        <f aca="false">IF(D12=0,0,COUNTIFS('Pedidos Top10'!$A$2:$A$1839,A12,'Pedidos Top10'!$C$2:$C$1839,C12,'Pedidos Top10'!$AG$2:$AG$1839,"PASSARO")/D12)</f>
        <v>0.881756756756757</v>
      </c>
      <c r="P12" s="18" t="s">
        <v>30</v>
      </c>
      <c r="Q12" s="18" t="s">
        <v>76</v>
      </c>
      <c r="R12" s="18" t="str">
        <f aca="false">IF(I12&lt;=-0.05,"Passaro mais barata",IF(I12&lt;0.05,"Empate técnico (±5%)","Passaro mais cara"))</f>
        <v>Passaro mais barata</v>
      </c>
    </row>
    <row r="13" customFormat="false" ht="15" hidden="false" customHeight="false" outlineLevel="0" collapsed="false">
      <c r="A13" s="18" t="s">
        <v>16</v>
      </c>
      <c r="B13" s="18" t="n">
        <v>2</v>
      </c>
      <c r="C13" s="4" t="s">
        <v>77</v>
      </c>
      <c r="D13" s="17" t="n">
        <f aca="false">COUNTIFS('Pedidos Top10'!$A$2:$A$1839,A13,'Pedidos Top10'!$C$2:$C$1839,C13)</f>
        <v>42</v>
      </c>
      <c r="E13" s="19" t="n">
        <f aca="false">SUMIFS('Pedidos Top10'!$J$2:$J$1839,'Pedidos Top10'!$A$2:$A$1839,A13,'Pedidos Top10'!$C$2:$C$1839,C13)</f>
        <v>2552.96</v>
      </c>
      <c r="F13" s="8" t="n">
        <f aca="false">SUMIFS('Pedidos Top10'!$L$2:$L$1839,'Pedidos Top10'!$A$2:$A$1839,A13,'Pedidos Top10'!$C$2:$C$1839,C13)</f>
        <v>8347.68</v>
      </c>
      <c r="G13" s="8" t="n">
        <f aca="false">SUMIFS('Pedidos Top10'!$AD$2:$AD$1839,'Pedidos Top10'!$A$2:$A$1839,A13,'Pedidos Top10'!$C$2:$C$1839,C13)</f>
        <v>5453.87</v>
      </c>
      <c r="H13" s="8" t="n">
        <f aca="false">G13-F13</f>
        <v>-2893.81</v>
      </c>
      <c r="I13" s="9" t="n">
        <f aca="false">IF(F13=0,0,H13/F13)</f>
        <v>-0.346660389473483</v>
      </c>
      <c r="J13" s="8" t="n">
        <f aca="false">IF(D13=0,0,F13/D13)</f>
        <v>198.754285714286</v>
      </c>
      <c r="K13" s="8" t="n">
        <f aca="false">IF(D13=0,0,G13/D13)</f>
        <v>129.854047619048</v>
      </c>
      <c r="L13" s="8" t="n">
        <f aca="false">IF(E13=0,0,F13/E13)</f>
        <v>3.26980446227125</v>
      </c>
      <c r="M13" s="8" t="n">
        <f aca="false">IF(E13=0,0,G13/E13)</f>
        <v>2.13629277387816</v>
      </c>
      <c r="N13" s="20" t="n">
        <v>5</v>
      </c>
      <c r="O13" s="9" t="n">
        <f aca="false">IF(D13=0,0,COUNTIFS('Pedidos Top10'!$A$2:$A$1839,A13,'Pedidos Top10'!$C$2:$C$1839,C13,'Pedidos Top10'!$AG$2:$AG$1839,"PASSARO")/D13)</f>
        <v>0.904761904761905</v>
      </c>
      <c r="P13" s="18" t="s">
        <v>30</v>
      </c>
      <c r="Q13" s="18" t="s">
        <v>78</v>
      </c>
      <c r="R13" s="18" t="str">
        <f aca="false">IF(I13&lt;=-0.05,"Passaro mais barata",IF(I13&lt;0.05,"Empate técnico (±5%)","Passaro mais cara"))</f>
        <v>Passaro mais barata</v>
      </c>
    </row>
    <row r="14" customFormat="false" ht="15" hidden="false" customHeight="false" outlineLevel="0" collapsed="false">
      <c r="A14" s="18" t="s">
        <v>16</v>
      </c>
      <c r="B14" s="18" t="n">
        <v>3</v>
      </c>
      <c r="C14" s="4" t="s">
        <v>79</v>
      </c>
      <c r="D14" s="17" t="n">
        <f aca="false">COUNTIFS('Pedidos Top10'!$A$2:$A$1839,A14,'Pedidos Top10'!$C$2:$C$1839,C14)</f>
        <v>39</v>
      </c>
      <c r="E14" s="19" t="n">
        <f aca="false">SUMIFS('Pedidos Top10'!$J$2:$J$1839,'Pedidos Top10'!$A$2:$A$1839,A14,'Pedidos Top10'!$C$2:$C$1839,C14)</f>
        <v>2198.92</v>
      </c>
      <c r="F14" s="8" t="n">
        <f aca="false">SUMIFS('Pedidos Top10'!$L$2:$L$1839,'Pedidos Top10'!$A$2:$A$1839,A14,'Pedidos Top10'!$C$2:$C$1839,C14)</f>
        <v>7443.97</v>
      </c>
      <c r="G14" s="8" t="n">
        <f aca="false">SUMIFS('Pedidos Top10'!$AD$2:$AD$1839,'Pedidos Top10'!$A$2:$A$1839,A14,'Pedidos Top10'!$C$2:$C$1839,C14)</f>
        <v>4895.07</v>
      </c>
      <c r="H14" s="8" t="n">
        <f aca="false">G14-F14</f>
        <v>-2548.9</v>
      </c>
      <c r="I14" s="9" t="n">
        <f aca="false">IF(F14=0,0,H14/F14)</f>
        <v>-0.342411374575663</v>
      </c>
      <c r="J14" s="8" t="n">
        <f aca="false">IF(D14=0,0,F14/D14)</f>
        <v>190.871025641026</v>
      </c>
      <c r="K14" s="8" t="n">
        <f aca="false">IF(D14=0,0,G14/D14)</f>
        <v>125.514615384615</v>
      </c>
      <c r="L14" s="8" t="n">
        <f aca="false">IF(E14=0,0,F14/E14)</f>
        <v>3.38528459425536</v>
      </c>
      <c r="M14" s="8" t="n">
        <f aca="false">IF(E14=0,0,G14/E14)</f>
        <v>2.22612464300657</v>
      </c>
      <c r="N14" s="20" t="n">
        <v>6</v>
      </c>
      <c r="O14" s="9" t="n">
        <f aca="false">IF(D14=0,0,COUNTIFS('Pedidos Top10'!$A$2:$A$1839,A14,'Pedidos Top10'!$C$2:$C$1839,C14,'Pedidos Top10'!$AG$2:$AG$1839,"PASSARO")/D14)</f>
        <v>0.974358974358974</v>
      </c>
      <c r="P14" s="18" t="s">
        <v>30</v>
      </c>
      <c r="Q14" s="18" t="s">
        <v>80</v>
      </c>
      <c r="R14" s="18" t="str">
        <f aca="false">IF(I14&lt;=-0.05,"Passaro mais barata",IF(I14&lt;0.05,"Empate técnico (±5%)","Passaro mais cara"))</f>
        <v>Passaro mais barata</v>
      </c>
    </row>
    <row r="15" customFormat="false" ht="15" hidden="false" customHeight="false" outlineLevel="0" collapsed="false">
      <c r="A15" s="18" t="s">
        <v>16</v>
      </c>
      <c r="B15" s="18" t="n">
        <v>4</v>
      </c>
      <c r="C15" s="4" t="s">
        <v>81</v>
      </c>
      <c r="D15" s="17" t="n">
        <f aca="false">COUNTIFS('Pedidos Top10'!$A$2:$A$1839,A15,'Pedidos Top10'!$C$2:$C$1839,C15)</f>
        <v>29</v>
      </c>
      <c r="E15" s="19" t="n">
        <f aca="false">SUMIFS('Pedidos Top10'!$J$2:$J$1839,'Pedidos Top10'!$A$2:$A$1839,A15,'Pedidos Top10'!$C$2:$C$1839,C15)</f>
        <v>1773.19</v>
      </c>
      <c r="F15" s="8" t="n">
        <f aca="false">SUMIFS('Pedidos Top10'!$L$2:$L$1839,'Pedidos Top10'!$A$2:$A$1839,A15,'Pedidos Top10'!$C$2:$C$1839,C15)</f>
        <v>5600.33</v>
      </c>
      <c r="G15" s="8" t="n">
        <f aca="false">SUMIFS('Pedidos Top10'!$AD$2:$AD$1839,'Pedidos Top10'!$A$2:$A$1839,A15,'Pedidos Top10'!$C$2:$C$1839,C15)</f>
        <v>4883.75</v>
      </c>
      <c r="H15" s="8" t="n">
        <f aca="false">G15-F15</f>
        <v>-716.58</v>
      </c>
      <c r="I15" s="9" t="n">
        <f aca="false">IF(F15=0,0,H15/F15)</f>
        <v>-0.12795317418795</v>
      </c>
      <c r="J15" s="8" t="n">
        <f aca="false">IF(D15=0,0,F15/D15)</f>
        <v>193.114827586207</v>
      </c>
      <c r="K15" s="8" t="n">
        <f aca="false">IF(D15=0,0,G15/D15)</f>
        <v>168.405172413793</v>
      </c>
      <c r="L15" s="8" t="n">
        <f aca="false">IF(E15=0,0,F15/E15)</f>
        <v>3.15833610611384</v>
      </c>
      <c r="M15" s="8" t="n">
        <f aca="false">IF(E15=0,0,G15/E15)</f>
        <v>2.75421697618417</v>
      </c>
      <c r="N15" s="20" t="n">
        <v>9</v>
      </c>
      <c r="O15" s="9" t="n">
        <f aca="false">IF(D15=0,0,COUNTIFS('Pedidos Top10'!$A$2:$A$1839,A15,'Pedidos Top10'!$C$2:$C$1839,C15,'Pedidos Top10'!$AG$2:$AG$1839,"PASSARO")/D15)</f>
        <v>0.827586206896552</v>
      </c>
      <c r="P15" s="18" t="s">
        <v>30</v>
      </c>
      <c r="Q15" s="18" t="s">
        <v>82</v>
      </c>
      <c r="R15" s="18" t="str">
        <f aca="false">IF(I15&lt;=-0.05,"Passaro mais barata",IF(I15&lt;0.05,"Empate técnico (±5%)","Passaro mais cara"))</f>
        <v>Passaro mais barata</v>
      </c>
    </row>
    <row r="16" customFormat="false" ht="15" hidden="false" customHeight="false" outlineLevel="0" collapsed="false">
      <c r="A16" s="18" t="s">
        <v>16</v>
      </c>
      <c r="B16" s="18" t="n">
        <v>5</v>
      </c>
      <c r="C16" s="4" t="s">
        <v>83</v>
      </c>
      <c r="D16" s="17" t="n">
        <f aca="false">COUNTIFS('Pedidos Top10'!$A$2:$A$1839,A16,'Pedidos Top10'!$C$2:$C$1839,C16)</f>
        <v>22</v>
      </c>
      <c r="E16" s="19" t="n">
        <f aca="false">SUMIFS('Pedidos Top10'!$J$2:$J$1839,'Pedidos Top10'!$A$2:$A$1839,A16,'Pedidos Top10'!$C$2:$C$1839,C16)</f>
        <v>1149.7</v>
      </c>
      <c r="F16" s="8" t="n">
        <f aca="false">SUMIFS('Pedidos Top10'!$L$2:$L$1839,'Pedidos Top10'!$A$2:$A$1839,A16,'Pedidos Top10'!$C$2:$C$1839,C16)</f>
        <v>3583.75</v>
      </c>
      <c r="G16" s="8" t="n">
        <f aca="false">SUMIFS('Pedidos Top10'!$AD$2:$AD$1839,'Pedidos Top10'!$A$2:$A$1839,A16,'Pedidos Top10'!$C$2:$C$1839,C16)</f>
        <v>2714.61</v>
      </c>
      <c r="H16" s="8" t="n">
        <f aca="false">G16-F16</f>
        <v>-869.14</v>
      </c>
      <c r="I16" s="9" t="n">
        <f aca="false">IF(F16=0,0,H16/F16)</f>
        <v>-0.242522497384025</v>
      </c>
      <c r="J16" s="8" t="n">
        <f aca="false">IF(D16=0,0,F16/D16)</f>
        <v>162.897727272727</v>
      </c>
      <c r="K16" s="8" t="n">
        <f aca="false">IF(D16=0,0,G16/D16)</f>
        <v>123.391363636364</v>
      </c>
      <c r="L16" s="8" t="n">
        <f aca="false">IF(E16=0,0,F16/E16)</f>
        <v>3.11711750891537</v>
      </c>
      <c r="M16" s="8" t="n">
        <f aca="false">IF(E16=0,0,G16/E16)</f>
        <v>2.36114638601374</v>
      </c>
      <c r="N16" s="20" t="n">
        <v>6</v>
      </c>
      <c r="O16" s="9" t="n">
        <f aca="false">IF(D16=0,0,COUNTIFS('Pedidos Top10'!$A$2:$A$1839,A16,'Pedidos Top10'!$C$2:$C$1839,C16,'Pedidos Top10'!$AG$2:$AG$1839,"PASSARO")/D16)</f>
        <v>0.863636363636364</v>
      </c>
      <c r="P16" s="18" t="s">
        <v>30</v>
      </c>
      <c r="Q16" s="18" t="s">
        <v>84</v>
      </c>
      <c r="R16" s="18" t="str">
        <f aca="false">IF(I16&lt;=-0.05,"Passaro mais barata",IF(I16&lt;0.05,"Empate técnico (±5%)","Passaro mais cara"))</f>
        <v>Passaro mais barata</v>
      </c>
    </row>
    <row r="17" customFormat="false" ht="15" hidden="false" customHeight="false" outlineLevel="0" collapsed="false">
      <c r="A17" s="18" t="s">
        <v>16</v>
      </c>
      <c r="B17" s="18" t="n">
        <v>6</v>
      </c>
      <c r="C17" s="4" t="s">
        <v>85</v>
      </c>
      <c r="D17" s="17" t="n">
        <f aca="false">COUNTIFS('Pedidos Top10'!$A$2:$A$1839,A17,'Pedidos Top10'!$C$2:$C$1839,C17)</f>
        <v>19</v>
      </c>
      <c r="E17" s="19" t="n">
        <f aca="false">SUMIFS('Pedidos Top10'!$J$2:$J$1839,'Pedidos Top10'!$A$2:$A$1839,A17,'Pedidos Top10'!$C$2:$C$1839,C17)</f>
        <v>951</v>
      </c>
      <c r="F17" s="8" t="n">
        <f aca="false">SUMIFS('Pedidos Top10'!$L$2:$L$1839,'Pedidos Top10'!$A$2:$A$1839,A17,'Pedidos Top10'!$C$2:$C$1839,C17)</f>
        <v>3713.88</v>
      </c>
      <c r="G17" s="8" t="n">
        <f aca="false">SUMIFS('Pedidos Top10'!$AD$2:$AD$1839,'Pedidos Top10'!$A$2:$A$1839,A17,'Pedidos Top10'!$C$2:$C$1839,C17)</f>
        <v>2964.66</v>
      </c>
      <c r="H17" s="8" t="n">
        <f aca="false">G17-F17</f>
        <v>-749.22</v>
      </c>
      <c r="I17" s="9" t="n">
        <f aca="false">IF(F17=0,0,H17/F17)</f>
        <v>-0.201735112604608</v>
      </c>
      <c r="J17" s="8" t="n">
        <f aca="false">IF(D17=0,0,F17/D17)</f>
        <v>195.467368421053</v>
      </c>
      <c r="K17" s="8" t="n">
        <f aca="false">IF(D17=0,0,G17/D17)</f>
        <v>156.034736842105</v>
      </c>
      <c r="L17" s="8" t="n">
        <f aca="false">IF(E17=0,0,F17/E17)</f>
        <v>3.90523659305994</v>
      </c>
      <c r="M17" s="8" t="n">
        <f aca="false">IF(E17=0,0,G17/E17)</f>
        <v>3.11741324921136</v>
      </c>
      <c r="N17" s="20" t="n">
        <v>9</v>
      </c>
      <c r="O17" s="9" t="n">
        <f aca="false">IF(D17=0,0,COUNTIFS('Pedidos Top10'!$A$2:$A$1839,A17,'Pedidos Top10'!$C$2:$C$1839,C17,'Pedidos Top10'!$AG$2:$AG$1839,"PASSARO")/D17)</f>
        <v>0.736842105263158</v>
      </c>
      <c r="P17" s="18" t="s">
        <v>30</v>
      </c>
      <c r="Q17" s="18" t="s">
        <v>86</v>
      </c>
      <c r="R17" s="18" t="str">
        <f aca="false">IF(I17&lt;=-0.05,"Passaro mais barata",IF(I17&lt;0.05,"Empate técnico (±5%)","Passaro mais cara"))</f>
        <v>Passaro mais barata</v>
      </c>
    </row>
    <row r="18" customFormat="false" ht="15" hidden="false" customHeight="false" outlineLevel="0" collapsed="false">
      <c r="A18" s="18" t="s">
        <v>16</v>
      </c>
      <c r="B18" s="18" t="n">
        <v>7</v>
      </c>
      <c r="C18" s="4" t="s">
        <v>87</v>
      </c>
      <c r="D18" s="17" t="n">
        <f aca="false">COUNTIFS('Pedidos Top10'!$A$2:$A$1839,A18,'Pedidos Top10'!$C$2:$C$1839,C18)</f>
        <v>19</v>
      </c>
      <c r="E18" s="19" t="n">
        <f aca="false">SUMIFS('Pedidos Top10'!$J$2:$J$1839,'Pedidos Top10'!$A$2:$A$1839,A18,'Pedidos Top10'!$C$2:$C$1839,C18)</f>
        <v>1046.45</v>
      </c>
      <c r="F18" s="8" t="n">
        <f aca="false">SUMIFS('Pedidos Top10'!$L$2:$L$1839,'Pedidos Top10'!$A$2:$A$1839,A18,'Pedidos Top10'!$C$2:$C$1839,C18)</f>
        <v>3503.89</v>
      </c>
      <c r="G18" s="8" t="n">
        <f aca="false">SUMIFS('Pedidos Top10'!$AD$2:$AD$1839,'Pedidos Top10'!$A$2:$A$1839,A18,'Pedidos Top10'!$C$2:$C$1839,C18)</f>
        <v>2385.72</v>
      </c>
      <c r="H18" s="8" t="n">
        <f aca="false">G18-F18</f>
        <v>-1118.17</v>
      </c>
      <c r="I18" s="9" t="n">
        <f aca="false">IF(F18=0,0,H18/F18)</f>
        <v>-0.319122461036163</v>
      </c>
      <c r="J18" s="8" t="n">
        <f aca="false">IF(D18=0,0,F18/D18)</f>
        <v>184.415263157895</v>
      </c>
      <c r="K18" s="8" t="n">
        <f aca="false">IF(D18=0,0,G18/D18)</f>
        <v>125.564210526316</v>
      </c>
      <c r="L18" s="8" t="n">
        <f aca="false">IF(E18=0,0,F18/E18)</f>
        <v>3.34835873668116</v>
      </c>
      <c r="M18" s="8" t="n">
        <f aca="false">IF(E18=0,0,G18/E18)</f>
        <v>2.27982225619953</v>
      </c>
      <c r="N18" s="20" t="n">
        <v>6</v>
      </c>
      <c r="O18" s="9" t="n">
        <f aca="false">IF(D18=0,0,COUNTIFS('Pedidos Top10'!$A$2:$A$1839,A18,'Pedidos Top10'!$C$2:$C$1839,C18,'Pedidos Top10'!$AG$2:$AG$1839,"PASSARO")/D18)</f>
        <v>0.947368421052632</v>
      </c>
      <c r="P18" s="18" t="s">
        <v>30</v>
      </c>
      <c r="Q18" s="18" t="s">
        <v>88</v>
      </c>
      <c r="R18" s="18" t="str">
        <f aca="false">IF(I18&lt;=-0.05,"Passaro mais barata",IF(I18&lt;0.05,"Empate técnico (±5%)","Passaro mais cara"))</f>
        <v>Passaro mais barata</v>
      </c>
    </row>
    <row r="19" customFormat="false" ht="15" hidden="false" customHeight="false" outlineLevel="0" collapsed="false">
      <c r="A19" s="18" t="s">
        <v>16</v>
      </c>
      <c r="B19" s="18" t="n">
        <v>8</v>
      </c>
      <c r="C19" s="4" t="s">
        <v>89</v>
      </c>
      <c r="D19" s="17" t="n">
        <f aca="false">COUNTIFS('Pedidos Top10'!$A$2:$A$1839,A19,'Pedidos Top10'!$C$2:$C$1839,C19)</f>
        <v>12</v>
      </c>
      <c r="E19" s="19" t="n">
        <f aca="false">SUMIFS('Pedidos Top10'!$J$2:$J$1839,'Pedidos Top10'!$A$2:$A$1839,A19,'Pedidos Top10'!$C$2:$C$1839,C19)</f>
        <v>648.6</v>
      </c>
      <c r="F19" s="8" t="n">
        <f aca="false">SUMIFS('Pedidos Top10'!$L$2:$L$1839,'Pedidos Top10'!$A$2:$A$1839,A19,'Pedidos Top10'!$C$2:$C$1839,C19)</f>
        <v>2420.65</v>
      </c>
      <c r="G19" s="8" t="n">
        <f aca="false">SUMIFS('Pedidos Top10'!$AD$2:$AD$1839,'Pedidos Top10'!$A$2:$A$1839,A19,'Pedidos Top10'!$C$2:$C$1839,C19)</f>
        <v>1991.68</v>
      </c>
      <c r="H19" s="8" t="n">
        <f aca="false">G19-F19</f>
        <v>-428.97</v>
      </c>
      <c r="I19" s="9" t="n">
        <f aca="false">IF(F19=0,0,H19/F19)</f>
        <v>-0.177212732117406</v>
      </c>
      <c r="J19" s="8" t="n">
        <f aca="false">IF(D19=0,0,F19/D19)</f>
        <v>201.720833333333</v>
      </c>
      <c r="K19" s="8" t="n">
        <f aca="false">IF(D19=0,0,G19/D19)</f>
        <v>165.973333333333</v>
      </c>
      <c r="L19" s="8" t="n">
        <f aca="false">IF(E19=0,0,F19/E19)</f>
        <v>3.73211532531607</v>
      </c>
      <c r="M19" s="8" t="n">
        <f aca="false">IF(E19=0,0,G19/E19)</f>
        <v>3.07073697193956</v>
      </c>
      <c r="N19" s="20" t="n">
        <v>11</v>
      </c>
      <c r="O19" s="9" t="n">
        <f aca="false">IF(D19=0,0,COUNTIFS('Pedidos Top10'!$A$2:$A$1839,A19,'Pedidos Top10'!$C$2:$C$1839,C19,'Pedidos Top10'!$AG$2:$AG$1839,"PASSARO")/D19)</f>
        <v>0.833333333333333</v>
      </c>
      <c r="P19" s="18" t="s">
        <v>30</v>
      </c>
      <c r="Q19" s="18" t="s">
        <v>90</v>
      </c>
      <c r="R19" s="18" t="str">
        <f aca="false">IF(I19&lt;=-0.05,"Passaro mais barata",IF(I19&lt;0.05,"Empate técnico (±5%)","Passaro mais cara"))</f>
        <v>Passaro mais barata</v>
      </c>
    </row>
    <row r="20" customFormat="false" ht="15" hidden="false" customHeight="false" outlineLevel="0" collapsed="false">
      <c r="A20" s="18" t="s">
        <v>16</v>
      </c>
      <c r="B20" s="18" t="n">
        <v>9</v>
      </c>
      <c r="C20" s="4" t="s">
        <v>91</v>
      </c>
      <c r="D20" s="17" t="n">
        <f aca="false">COUNTIFS('Pedidos Top10'!$A$2:$A$1839,A20,'Pedidos Top10'!$C$2:$C$1839,C20)</f>
        <v>12</v>
      </c>
      <c r="E20" s="19" t="n">
        <f aca="false">SUMIFS('Pedidos Top10'!$J$2:$J$1839,'Pedidos Top10'!$A$2:$A$1839,A20,'Pedidos Top10'!$C$2:$C$1839,C20)</f>
        <v>615.75</v>
      </c>
      <c r="F20" s="8" t="n">
        <f aca="false">SUMIFS('Pedidos Top10'!$L$2:$L$1839,'Pedidos Top10'!$A$2:$A$1839,A20,'Pedidos Top10'!$C$2:$C$1839,C20)</f>
        <v>2381.03</v>
      </c>
      <c r="G20" s="8" t="n">
        <f aca="false">SUMIFS('Pedidos Top10'!$AD$2:$AD$1839,'Pedidos Top10'!$A$2:$A$1839,A20,'Pedidos Top10'!$C$2:$C$1839,C20)</f>
        <v>1880</v>
      </c>
      <c r="H20" s="8" t="n">
        <f aca="false">G20-F20</f>
        <v>-501.03</v>
      </c>
      <c r="I20" s="9" t="n">
        <f aca="false">IF(F20=0,0,H20/F20)</f>
        <v>-0.210425740120872</v>
      </c>
      <c r="J20" s="8" t="n">
        <f aca="false">IF(D20=0,0,F20/D20)</f>
        <v>198.419166666667</v>
      </c>
      <c r="K20" s="8" t="n">
        <f aca="false">IF(D20=0,0,G20/D20)</f>
        <v>156.666666666667</v>
      </c>
      <c r="L20" s="8" t="n">
        <f aca="false">IF(E20=0,0,F20/E20)</f>
        <v>3.86687779131141</v>
      </c>
      <c r="M20" s="8" t="n">
        <f aca="false">IF(E20=0,0,G20/E20)</f>
        <v>3.05318717011774</v>
      </c>
      <c r="N20" s="20" t="n">
        <v>11</v>
      </c>
      <c r="O20" s="9" t="n">
        <f aca="false">IF(D20=0,0,COUNTIFS('Pedidos Top10'!$A$2:$A$1839,A20,'Pedidos Top10'!$C$2:$C$1839,C20,'Pedidos Top10'!$AG$2:$AG$1839,"PASSARO")/D20)</f>
        <v>0.833333333333333</v>
      </c>
      <c r="P20" s="18" t="s">
        <v>30</v>
      </c>
      <c r="Q20" s="18" t="s">
        <v>92</v>
      </c>
      <c r="R20" s="18" t="str">
        <f aca="false">IF(I20&lt;=-0.05,"Passaro mais barata",IF(I20&lt;0.05,"Empate técnico (±5%)","Passaro mais cara"))</f>
        <v>Passaro mais barata</v>
      </c>
    </row>
    <row r="21" customFormat="false" ht="15" hidden="false" customHeight="false" outlineLevel="0" collapsed="false">
      <c r="A21" s="18" t="s">
        <v>16</v>
      </c>
      <c r="B21" s="18" t="n">
        <v>10</v>
      </c>
      <c r="C21" s="4" t="s">
        <v>93</v>
      </c>
      <c r="D21" s="17" t="n">
        <f aca="false">COUNTIFS('Pedidos Top10'!$A$2:$A$1839,A21,'Pedidos Top10'!$C$2:$C$1839,C21)</f>
        <v>11</v>
      </c>
      <c r="E21" s="19" t="n">
        <f aca="false">SUMIFS('Pedidos Top10'!$J$2:$J$1839,'Pedidos Top10'!$A$2:$A$1839,A21,'Pedidos Top10'!$C$2:$C$1839,C21)</f>
        <v>640.02</v>
      </c>
      <c r="F21" s="8" t="n">
        <f aca="false">SUMIFS('Pedidos Top10'!$L$2:$L$1839,'Pedidos Top10'!$A$2:$A$1839,A21,'Pedidos Top10'!$C$2:$C$1839,C21)</f>
        <v>2459.04</v>
      </c>
      <c r="G21" s="8" t="n">
        <f aca="false">SUMIFS('Pedidos Top10'!$AD$2:$AD$1839,'Pedidos Top10'!$A$2:$A$1839,A21,'Pedidos Top10'!$C$2:$C$1839,C21)</f>
        <v>2059.21</v>
      </c>
      <c r="H21" s="8" t="n">
        <f aca="false">G21-F21</f>
        <v>-399.83</v>
      </c>
      <c r="I21" s="9" t="n">
        <f aca="false">IF(F21=0,0,H21/F21)</f>
        <v>-0.162595972411998</v>
      </c>
      <c r="J21" s="8" t="n">
        <f aca="false">IF(D21=0,0,F21/D21)</f>
        <v>223.549090909091</v>
      </c>
      <c r="K21" s="8" t="n">
        <f aca="false">IF(D21=0,0,G21/D21)</f>
        <v>187.200909090909</v>
      </c>
      <c r="L21" s="8" t="n">
        <f aca="false">IF(E21=0,0,F21/E21)</f>
        <v>3.84212993343958</v>
      </c>
      <c r="M21" s="8" t="n">
        <f aca="false">IF(E21=0,0,G21/E21)</f>
        <v>3.21741508077873</v>
      </c>
      <c r="N21" s="20" t="n">
        <v>12</v>
      </c>
      <c r="O21" s="9" t="n">
        <f aca="false">IF(D21=0,0,COUNTIFS('Pedidos Top10'!$A$2:$A$1839,A21,'Pedidos Top10'!$C$2:$C$1839,C21,'Pedidos Top10'!$AG$2:$AG$1839,"PASSARO")/D21)</f>
        <v>0.636363636363636</v>
      </c>
      <c r="P21" s="18" t="s">
        <v>30</v>
      </c>
      <c r="Q21" s="18" t="s">
        <v>94</v>
      </c>
      <c r="R21" s="18" t="str">
        <f aca="false">IF(I21&lt;=-0.05,"Passaro mais barata",IF(I21&lt;0.05,"Empate técnico (±5%)","Passaro mais cara"))</f>
        <v>Passaro mais barata</v>
      </c>
    </row>
    <row r="22" customFormat="false" ht="15" hidden="false" customHeight="false" outlineLevel="0" collapsed="false">
      <c r="A22" s="18" t="s">
        <v>17</v>
      </c>
      <c r="B22" s="18" t="n">
        <v>1</v>
      </c>
      <c r="C22" s="4" t="s">
        <v>95</v>
      </c>
      <c r="D22" s="17" t="n">
        <f aca="false">COUNTIFS('Pedidos Top10'!$A$2:$A$1839,A22,'Pedidos Top10'!$C$2:$C$1839,C22)</f>
        <v>186</v>
      </c>
      <c r="E22" s="19" t="n">
        <f aca="false">SUMIFS('Pedidos Top10'!$J$2:$J$1839,'Pedidos Top10'!$A$2:$A$1839,A22,'Pedidos Top10'!$C$2:$C$1839,C22)</f>
        <v>9191.01</v>
      </c>
      <c r="F22" s="8" t="n">
        <f aca="false">SUMIFS('Pedidos Top10'!$L$2:$L$1839,'Pedidos Top10'!$A$2:$A$1839,A22,'Pedidos Top10'!$C$2:$C$1839,C22)</f>
        <v>32976.78</v>
      </c>
      <c r="G22" s="8" t="n">
        <f aca="false">SUMIFS('Pedidos Top10'!$AD$2:$AD$1839,'Pedidos Top10'!$A$2:$A$1839,A22,'Pedidos Top10'!$C$2:$C$1839,C22)</f>
        <v>41790.13</v>
      </c>
      <c r="H22" s="8" t="n">
        <f aca="false">G22-F22</f>
        <v>8813.35</v>
      </c>
      <c r="I22" s="9" t="n">
        <f aca="false">IF(F22=0,0,H22/F22)</f>
        <v>0.267259265458908</v>
      </c>
      <c r="J22" s="8" t="n">
        <f aca="false">IF(D22=0,0,F22/D22)</f>
        <v>177.294516129032</v>
      </c>
      <c r="K22" s="8" t="n">
        <f aca="false">IF(D22=0,0,G22/D22)</f>
        <v>224.67811827957</v>
      </c>
      <c r="L22" s="8" t="n">
        <f aca="false">IF(E22=0,0,F22/E22)</f>
        <v>3.58793864874481</v>
      </c>
      <c r="M22" s="8" t="n">
        <f aca="false">IF(E22=0,0,G22/E22)</f>
        <v>4.54684849651997</v>
      </c>
      <c r="N22" s="20" t="n">
        <v>8</v>
      </c>
      <c r="O22" s="9" t="n">
        <f aca="false">IF(D22=0,0,COUNTIFS('Pedidos Top10'!$A$2:$A$1839,A22,'Pedidos Top10'!$C$2:$C$1839,C22,'Pedidos Top10'!$AG$2:$AG$1839,"PASSARO")/D22)</f>
        <v>0.0752688172043011</v>
      </c>
      <c r="P22" s="18" t="s">
        <v>30</v>
      </c>
      <c r="Q22" s="18" t="s">
        <v>96</v>
      </c>
      <c r="R22" s="18" t="str">
        <f aca="false">IF(I22&lt;=-0.05,"Passaro mais barata",IF(I22&lt;0.05,"Empate técnico (±5%)","Passaro mais cara"))</f>
        <v>Passaro mais cara</v>
      </c>
    </row>
    <row r="23" customFormat="false" ht="15" hidden="false" customHeight="false" outlineLevel="0" collapsed="false">
      <c r="A23" s="18" t="s">
        <v>17</v>
      </c>
      <c r="B23" s="18" t="n">
        <v>2</v>
      </c>
      <c r="C23" s="4" t="s">
        <v>97</v>
      </c>
      <c r="D23" s="17" t="n">
        <f aca="false">COUNTIFS('Pedidos Top10'!$A$2:$A$1839,A23,'Pedidos Top10'!$C$2:$C$1839,C23)</f>
        <v>15</v>
      </c>
      <c r="E23" s="19" t="n">
        <f aca="false">SUMIFS('Pedidos Top10'!$J$2:$J$1839,'Pedidos Top10'!$A$2:$A$1839,A23,'Pedidos Top10'!$C$2:$C$1839,C23)</f>
        <v>779.62</v>
      </c>
      <c r="F23" s="8" t="n">
        <f aca="false">SUMIFS('Pedidos Top10'!$L$2:$L$1839,'Pedidos Top10'!$A$2:$A$1839,A23,'Pedidos Top10'!$C$2:$C$1839,C23)</f>
        <v>3433.09</v>
      </c>
      <c r="G23" s="8" t="n">
        <f aca="false">SUMIFS('Pedidos Top10'!$AD$2:$AD$1839,'Pedidos Top10'!$A$2:$A$1839,A23,'Pedidos Top10'!$C$2:$C$1839,C23)</f>
        <v>4573.09</v>
      </c>
      <c r="H23" s="8" t="n">
        <f aca="false">G23-F23</f>
        <v>1140</v>
      </c>
      <c r="I23" s="9" t="n">
        <f aca="false">IF(F23=0,0,H23/F23)</f>
        <v>0.332062369468904</v>
      </c>
      <c r="J23" s="8" t="n">
        <f aca="false">IF(D23=0,0,F23/D23)</f>
        <v>228.872666666667</v>
      </c>
      <c r="K23" s="8" t="n">
        <f aca="false">IF(D23=0,0,G23/D23)</f>
        <v>304.872666666667</v>
      </c>
      <c r="L23" s="8" t="n">
        <f aca="false">IF(E23=0,0,F23/E23)</f>
        <v>4.40354275159693</v>
      </c>
      <c r="M23" s="8" t="n">
        <f aca="false">IF(E23=0,0,G23/E23)</f>
        <v>5.86579359174983</v>
      </c>
      <c r="N23" s="20" t="n">
        <v>14</v>
      </c>
      <c r="O23" s="9" t="n">
        <f aca="false">IF(D23=0,0,COUNTIFS('Pedidos Top10'!$A$2:$A$1839,A23,'Pedidos Top10'!$C$2:$C$1839,C23,'Pedidos Top10'!$AG$2:$AG$1839,"PASSARO")/D23)</f>
        <v>0.0666666666666667</v>
      </c>
      <c r="P23" s="18" t="s">
        <v>30</v>
      </c>
      <c r="Q23" s="18" t="s">
        <v>98</v>
      </c>
      <c r="R23" s="18" t="str">
        <f aca="false">IF(I23&lt;=-0.05,"Passaro mais barata",IF(I23&lt;0.05,"Empate técnico (±5%)","Passaro mais cara"))</f>
        <v>Passaro mais cara</v>
      </c>
    </row>
    <row r="24" customFormat="false" ht="15" hidden="false" customHeight="false" outlineLevel="0" collapsed="false">
      <c r="A24" s="18" t="s">
        <v>17</v>
      </c>
      <c r="B24" s="18" t="n">
        <v>3</v>
      </c>
      <c r="C24" s="4" t="s">
        <v>99</v>
      </c>
      <c r="D24" s="17" t="n">
        <f aca="false">COUNTIFS('Pedidos Top10'!$A$2:$A$1839,A24,'Pedidos Top10'!$C$2:$C$1839,C24)</f>
        <v>14</v>
      </c>
      <c r="E24" s="19" t="n">
        <f aca="false">SUMIFS('Pedidos Top10'!$J$2:$J$1839,'Pedidos Top10'!$A$2:$A$1839,A24,'Pedidos Top10'!$C$2:$C$1839,C24)</f>
        <v>724.04</v>
      </c>
      <c r="F24" s="8" t="n">
        <f aca="false">SUMIFS('Pedidos Top10'!$L$2:$L$1839,'Pedidos Top10'!$A$2:$A$1839,A24,'Pedidos Top10'!$C$2:$C$1839,C24)</f>
        <v>2874.38</v>
      </c>
      <c r="G24" s="8" t="n">
        <f aca="false">SUMIFS('Pedidos Top10'!$AD$2:$AD$1839,'Pedidos Top10'!$A$2:$A$1839,A24,'Pedidos Top10'!$C$2:$C$1839,C24)</f>
        <v>3129.02</v>
      </c>
      <c r="H24" s="8" t="n">
        <f aca="false">G24-F24</f>
        <v>254.64</v>
      </c>
      <c r="I24" s="9" t="n">
        <f aca="false">IF(F24=0,0,H24/F24)</f>
        <v>0.0885895393093467</v>
      </c>
      <c r="J24" s="8" t="n">
        <f aca="false">IF(D24=0,0,F24/D24)</f>
        <v>205.312857142857</v>
      </c>
      <c r="K24" s="8" t="n">
        <f aca="false">IF(D24=0,0,G24/D24)</f>
        <v>223.501428571429</v>
      </c>
      <c r="L24" s="8" t="n">
        <f aca="false">IF(E24=0,0,F24/E24)</f>
        <v>3.96991878901718</v>
      </c>
      <c r="M24" s="8" t="n">
        <f aca="false">IF(E24=0,0,G24/E24)</f>
        <v>4.32161206563173</v>
      </c>
      <c r="N24" s="20" t="n">
        <v>8</v>
      </c>
      <c r="O24" s="9" t="n">
        <f aca="false">IF(D24=0,0,COUNTIFS('Pedidos Top10'!$A$2:$A$1839,A24,'Pedidos Top10'!$C$2:$C$1839,C24,'Pedidos Top10'!$AG$2:$AG$1839,"PASSARO")/D24)</f>
        <v>0.142857142857143</v>
      </c>
      <c r="P24" s="18" t="s">
        <v>30</v>
      </c>
      <c r="Q24" s="18" t="s">
        <v>100</v>
      </c>
      <c r="R24" s="18" t="str">
        <f aca="false">IF(I24&lt;=-0.05,"Passaro mais barata",IF(I24&lt;0.05,"Empate técnico (±5%)","Passaro mais cara"))</f>
        <v>Passaro mais cara</v>
      </c>
    </row>
    <row r="25" customFormat="false" ht="15" hidden="false" customHeight="false" outlineLevel="0" collapsed="false">
      <c r="A25" s="18" t="s">
        <v>17</v>
      </c>
      <c r="B25" s="18" t="n">
        <v>4</v>
      </c>
      <c r="C25" s="4" t="s">
        <v>101</v>
      </c>
      <c r="D25" s="17" t="n">
        <f aca="false">COUNTIFS('Pedidos Top10'!$A$2:$A$1839,A25,'Pedidos Top10'!$C$2:$C$1839,C25)</f>
        <v>11</v>
      </c>
      <c r="E25" s="19" t="n">
        <f aca="false">SUMIFS('Pedidos Top10'!$J$2:$J$1839,'Pedidos Top10'!$A$2:$A$1839,A25,'Pedidos Top10'!$C$2:$C$1839,C25)</f>
        <v>588.5</v>
      </c>
      <c r="F25" s="8" t="n">
        <f aca="false">SUMIFS('Pedidos Top10'!$L$2:$L$1839,'Pedidos Top10'!$A$2:$A$1839,A25,'Pedidos Top10'!$C$2:$C$1839,C25)</f>
        <v>2327.22</v>
      </c>
      <c r="G25" s="8" t="n">
        <f aca="false">SUMIFS('Pedidos Top10'!$AD$2:$AD$1839,'Pedidos Top10'!$A$2:$A$1839,A25,'Pedidos Top10'!$C$2:$C$1839,C25)</f>
        <v>2489.83</v>
      </c>
      <c r="H25" s="8" t="n">
        <f aca="false">G25-F25</f>
        <v>162.61</v>
      </c>
      <c r="I25" s="9" t="n">
        <f aca="false">IF(F25=0,0,H25/F25)</f>
        <v>0.069873067436684</v>
      </c>
      <c r="J25" s="8" t="n">
        <f aca="false">IF(D25=0,0,F25/D25)</f>
        <v>211.565454545455</v>
      </c>
      <c r="K25" s="8" t="n">
        <f aca="false">IF(D25=0,0,G25/D25)</f>
        <v>226.348181818182</v>
      </c>
      <c r="L25" s="8" t="n">
        <f aca="false">IF(E25=0,0,F25/E25)</f>
        <v>3.95449447748513</v>
      </c>
      <c r="M25" s="8" t="n">
        <f aca="false">IF(E25=0,0,G25/E25)</f>
        <v>4.23080713678845</v>
      </c>
      <c r="N25" s="20" t="n">
        <v>8</v>
      </c>
      <c r="O25" s="9" t="n">
        <f aca="false">IF(D25=0,0,COUNTIFS('Pedidos Top10'!$A$2:$A$1839,A25,'Pedidos Top10'!$C$2:$C$1839,C25,'Pedidos Top10'!$AG$2:$AG$1839,"PASSARO")/D25)</f>
        <v>0.272727272727273</v>
      </c>
      <c r="P25" s="18" t="s">
        <v>30</v>
      </c>
      <c r="Q25" s="18" t="s">
        <v>94</v>
      </c>
      <c r="R25" s="18" t="str">
        <f aca="false">IF(I25&lt;=-0.05,"Passaro mais barata",IF(I25&lt;0.05,"Empate técnico (±5%)","Passaro mais cara"))</f>
        <v>Passaro mais cara</v>
      </c>
    </row>
    <row r="26" customFormat="false" ht="15" hidden="false" customHeight="false" outlineLevel="0" collapsed="false">
      <c r="A26" s="18" t="s">
        <v>17</v>
      </c>
      <c r="B26" s="18" t="n">
        <v>5</v>
      </c>
      <c r="C26" s="4" t="s">
        <v>102</v>
      </c>
      <c r="D26" s="17" t="n">
        <f aca="false">COUNTIFS('Pedidos Top10'!$A$2:$A$1839,A26,'Pedidos Top10'!$C$2:$C$1839,C26)</f>
        <v>6</v>
      </c>
      <c r="E26" s="19" t="n">
        <f aca="false">SUMIFS('Pedidos Top10'!$J$2:$J$1839,'Pedidos Top10'!$A$2:$A$1839,A26,'Pedidos Top10'!$C$2:$C$1839,C26)</f>
        <v>355.82</v>
      </c>
      <c r="F26" s="8" t="n">
        <f aca="false">SUMIFS('Pedidos Top10'!$L$2:$L$1839,'Pedidos Top10'!$A$2:$A$1839,A26,'Pedidos Top10'!$C$2:$C$1839,C26)</f>
        <v>1419.46</v>
      </c>
      <c r="G26" s="8" t="n">
        <f aca="false">SUMIFS('Pedidos Top10'!$AD$2:$AD$1839,'Pedidos Top10'!$A$2:$A$1839,A26,'Pedidos Top10'!$C$2:$C$1839,C26)</f>
        <v>1929.27</v>
      </c>
      <c r="H26" s="8" t="n">
        <f aca="false">G26-F26</f>
        <v>509.81</v>
      </c>
      <c r="I26" s="9" t="n">
        <f aca="false">IF(F26=0,0,H26/F26)</f>
        <v>0.359157707860736</v>
      </c>
      <c r="J26" s="8" t="n">
        <f aca="false">IF(D26=0,0,F26/D26)</f>
        <v>236.576666666667</v>
      </c>
      <c r="K26" s="8" t="n">
        <f aca="false">IF(D26=0,0,G26/D26)</f>
        <v>321.545</v>
      </c>
      <c r="L26" s="8" t="n">
        <f aca="false">IF(E26=0,0,F26/E26)</f>
        <v>3.98926423472542</v>
      </c>
      <c r="M26" s="8" t="n">
        <f aca="false">IF(E26=0,0,G26/E26)</f>
        <v>5.42203923332022</v>
      </c>
      <c r="N26" s="20" t="n">
        <v>14</v>
      </c>
      <c r="O26" s="9" t="n">
        <f aca="false">IF(D26=0,0,COUNTIFS('Pedidos Top10'!$A$2:$A$1839,A26,'Pedidos Top10'!$C$2:$C$1839,C26,'Pedidos Top10'!$AG$2:$AG$1839,"PASSARO")/D26)</f>
        <v>0</v>
      </c>
      <c r="P26" s="18" t="s">
        <v>30</v>
      </c>
      <c r="Q26" s="18" t="s">
        <v>64</v>
      </c>
      <c r="R26" s="18" t="str">
        <f aca="false">IF(I26&lt;=-0.05,"Passaro mais barata",IF(I26&lt;0.05,"Empate técnico (±5%)","Passaro mais cara"))</f>
        <v>Passaro mais cara</v>
      </c>
    </row>
    <row r="27" customFormat="false" ht="15" hidden="false" customHeight="false" outlineLevel="0" collapsed="false">
      <c r="A27" s="18" t="s">
        <v>17</v>
      </c>
      <c r="B27" s="18" t="n">
        <v>6</v>
      </c>
      <c r="C27" s="4" t="s">
        <v>103</v>
      </c>
      <c r="D27" s="17" t="n">
        <f aca="false">COUNTIFS('Pedidos Top10'!$A$2:$A$1839,A27,'Pedidos Top10'!$C$2:$C$1839,C27)</f>
        <v>6</v>
      </c>
      <c r="E27" s="19" t="n">
        <f aca="false">SUMIFS('Pedidos Top10'!$J$2:$J$1839,'Pedidos Top10'!$A$2:$A$1839,A27,'Pedidos Top10'!$C$2:$C$1839,C27)</f>
        <v>282.2</v>
      </c>
      <c r="F27" s="8" t="n">
        <f aca="false">SUMIFS('Pedidos Top10'!$L$2:$L$1839,'Pedidos Top10'!$A$2:$A$1839,A27,'Pedidos Top10'!$C$2:$C$1839,C27)</f>
        <v>1412.64</v>
      </c>
      <c r="G27" s="8" t="n">
        <f aca="false">SUMIFS('Pedidos Top10'!$AD$2:$AD$1839,'Pedidos Top10'!$A$2:$A$1839,A27,'Pedidos Top10'!$C$2:$C$1839,C27)</f>
        <v>1443.6</v>
      </c>
      <c r="H27" s="8" t="n">
        <f aca="false">G27-F27</f>
        <v>30.96</v>
      </c>
      <c r="I27" s="9" t="n">
        <f aca="false">IF(F27=0,0,H27/F27)</f>
        <v>0.0219164118246687</v>
      </c>
      <c r="J27" s="8" t="n">
        <f aca="false">IF(D27=0,0,F27/D27)</f>
        <v>235.44</v>
      </c>
      <c r="K27" s="8" t="n">
        <f aca="false">IF(D27=0,0,G27/D27)</f>
        <v>240.6</v>
      </c>
      <c r="L27" s="8" t="n">
        <f aca="false">IF(E27=0,0,F27/E27)</f>
        <v>5.00581148121899</v>
      </c>
      <c r="M27" s="8" t="n">
        <f aca="false">IF(E27=0,0,G27/E27)</f>
        <v>5.11552090715804</v>
      </c>
      <c r="N27" s="20" t="n">
        <v>12</v>
      </c>
      <c r="O27" s="9" t="n">
        <f aca="false">IF(D27=0,0,COUNTIFS('Pedidos Top10'!$A$2:$A$1839,A27,'Pedidos Top10'!$C$2:$C$1839,C27,'Pedidos Top10'!$AG$2:$AG$1839,"PASSARO")/D27)</f>
        <v>0.166666666666667</v>
      </c>
      <c r="P27" s="18" t="s">
        <v>33</v>
      </c>
      <c r="Q27" s="18" t="s">
        <v>104</v>
      </c>
      <c r="R27" s="18" t="str">
        <f aca="false">IF(I27&lt;=-0.05,"Passaro mais barata",IF(I27&lt;0.05,"Empate técnico (±5%)","Passaro mais cara"))</f>
        <v>Empate técnico (±5%)</v>
      </c>
    </row>
    <row r="28" customFormat="false" ht="15" hidden="false" customHeight="false" outlineLevel="0" collapsed="false">
      <c r="A28" s="18" t="s">
        <v>17</v>
      </c>
      <c r="B28" s="18" t="n">
        <v>7</v>
      </c>
      <c r="C28" s="4" t="s">
        <v>105</v>
      </c>
      <c r="D28" s="17" t="n">
        <f aca="false">COUNTIFS('Pedidos Top10'!$A$2:$A$1839,A28,'Pedidos Top10'!$C$2:$C$1839,C28)</f>
        <v>6</v>
      </c>
      <c r="E28" s="19" t="n">
        <f aca="false">SUMIFS('Pedidos Top10'!$J$2:$J$1839,'Pedidos Top10'!$A$2:$A$1839,A28,'Pedidos Top10'!$C$2:$C$1839,C28)</f>
        <v>393.1</v>
      </c>
      <c r="F28" s="8" t="n">
        <f aca="false">SUMIFS('Pedidos Top10'!$L$2:$L$1839,'Pedidos Top10'!$A$2:$A$1839,A28,'Pedidos Top10'!$C$2:$C$1839,C28)</f>
        <v>1371.61</v>
      </c>
      <c r="G28" s="8" t="n">
        <f aca="false">SUMIFS('Pedidos Top10'!$AD$2:$AD$1839,'Pedidos Top10'!$A$2:$A$1839,A28,'Pedidos Top10'!$C$2:$C$1839,C28)</f>
        <v>1909.41</v>
      </c>
      <c r="H28" s="8" t="n">
        <f aca="false">G28-F28</f>
        <v>537.8</v>
      </c>
      <c r="I28" s="9" t="n">
        <f aca="false">IF(F28=0,0,H28/F28)</f>
        <v>0.392093962569535</v>
      </c>
      <c r="J28" s="8" t="n">
        <f aca="false">IF(D28=0,0,F28/D28)</f>
        <v>228.601666666667</v>
      </c>
      <c r="K28" s="8" t="n">
        <f aca="false">IF(D28=0,0,G28/D28)</f>
        <v>318.235</v>
      </c>
      <c r="L28" s="8" t="n">
        <f aca="false">IF(E28=0,0,F28/E28)</f>
        <v>3.48921394047316</v>
      </c>
      <c r="M28" s="8" t="n">
        <f aca="false">IF(E28=0,0,G28/E28)</f>
        <v>4.85731366064615</v>
      </c>
      <c r="N28" s="20" t="n">
        <v>14</v>
      </c>
      <c r="O28" s="9" t="n">
        <f aca="false">IF(D28=0,0,COUNTIFS('Pedidos Top10'!$A$2:$A$1839,A28,'Pedidos Top10'!$C$2:$C$1839,C28,'Pedidos Top10'!$AG$2:$AG$1839,"PASSARO")/D28)</f>
        <v>0</v>
      </c>
      <c r="P28" s="18" t="s">
        <v>30</v>
      </c>
      <c r="Q28" s="18" t="s">
        <v>106</v>
      </c>
      <c r="R28" s="18" t="str">
        <f aca="false">IF(I28&lt;=-0.05,"Passaro mais barata",IF(I28&lt;0.05,"Empate técnico (±5%)","Passaro mais cara"))</f>
        <v>Passaro mais cara</v>
      </c>
    </row>
    <row r="29" customFormat="false" ht="15" hidden="false" customHeight="false" outlineLevel="0" collapsed="false">
      <c r="A29" s="18" t="s">
        <v>17</v>
      </c>
      <c r="B29" s="18" t="n">
        <v>8</v>
      </c>
      <c r="C29" s="4" t="s">
        <v>107</v>
      </c>
      <c r="D29" s="17" t="n">
        <f aca="false">COUNTIFS('Pedidos Top10'!$A$2:$A$1839,A29,'Pedidos Top10'!$C$2:$C$1839,C29)</f>
        <v>6</v>
      </c>
      <c r="E29" s="19" t="n">
        <f aca="false">SUMIFS('Pedidos Top10'!$J$2:$J$1839,'Pedidos Top10'!$A$2:$A$1839,A29,'Pedidos Top10'!$C$2:$C$1839,C29)</f>
        <v>279.39</v>
      </c>
      <c r="F29" s="8" t="n">
        <f aca="false">SUMIFS('Pedidos Top10'!$L$2:$L$1839,'Pedidos Top10'!$A$2:$A$1839,A29,'Pedidos Top10'!$C$2:$C$1839,C29)</f>
        <v>1350.78</v>
      </c>
      <c r="G29" s="8" t="n">
        <f aca="false">SUMIFS('Pedidos Top10'!$AD$2:$AD$1839,'Pedidos Top10'!$A$2:$A$1839,A29,'Pedidos Top10'!$C$2:$C$1839,C29)</f>
        <v>1437.38</v>
      </c>
      <c r="H29" s="8" t="n">
        <f aca="false">G29-F29</f>
        <v>86.5999999999999</v>
      </c>
      <c r="I29" s="9" t="n">
        <f aca="false">IF(F29=0,0,H29/F29)</f>
        <v>0.064111106175691</v>
      </c>
      <c r="J29" s="8" t="n">
        <f aca="false">IF(D29=0,0,F29/D29)</f>
        <v>225.13</v>
      </c>
      <c r="K29" s="8" t="n">
        <f aca="false">IF(D29=0,0,G29/D29)</f>
        <v>239.563333333333</v>
      </c>
      <c r="L29" s="8" t="n">
        <f aca="false">IF(E29=0,0,F29/E29)</f>
        <v>4.834747127671</v>
      </c>
      <c r="M29" s="8" t="n">
        <f aca="false">IF(E29=0,0,G29/E29)</f>
        <v>5.14470811410573</v>
      </c>
      <c r="N29" s="20" t="n">
        <v>12</v>
      </c>
      <c r="O29" s="9" t="n">
        <f aca="false">IF(D29=0,0,COUNTIFS('Pedidos Top10'!$A$2:$A$1839,A29,'Pedidos Top10'!$C$2:$C$1839,C29,'Pedidos Top10'!$AG$2:$AG$1839,"PASSARO")/D29)</f>
        <v>0.333333333333333</v>
      </c>
      <c r="P29" s="18" t="s">
        <v>30</v>
      </c>
      <c r="Q29" s="18" t="s">
        <v>108</v>
      </c>
      <c r="R29" s="18" t="str">
        <f aca="false">IF(I29&lt;=-0.05,"Passaro mais barata",IF(I29&lt;0.05,"Empate técnico (±5%)","Passaro mais cara"))</f>
        <v>Passaro mais cara</v>
      </c>
    </row>
    <row r="30" customFormat="false" ht="15" hidden="false" customHeight="false" outlineLevel="0" collapsed="false">
      <c r="A30" s="18" t="s">
        <v>17</v>
      </c>
      <c r="B30" s="18" t="n">
        <v>9</v>
      </c>
      <c r="C30" s="4" t="s">
        <v>109</v>
      </c>
      <c r="D30" s="17" t="n">
        <f aca="false">COUNTIFS('Pedidos Top10'!$A$2:$A$1839,A30,'Pedidos Top10'!$C$2:$C$1839,C30)</f>
        <v>5</v>
      </c>
      <c r="E30" s="19" t="n">
        <f aca="false">SUMIFS('Pedidos Top10'!$J$2:$J$1839,'Pedidos Top10'!$A$2:$A$1839,A30,'Pedidos Top10'!$C$2:$C$1839,C30)</f>
        <v>199.08</v>
      </c>
      <c r="F30" s="8" t="n">
        <f aca="false">SUMIFS('Pedidos Top10'!$L$2:$L$1839,'Pedidos Top10'!$A$2:$A$1839,A30,'Pedidos Top10'!$C$2:$C$1839,C30)</f>
        <v>1060.15</v>
      </c>
      <c r="G30" s="8" t="n">
        <f aca="false">SUMIFS('Pedidos Top10'!$AD$2:$AD$1839,'Pedidos Top10'!$A$2:$A$1839,A30,'Pedidos Top10'!$C$2:$C$1839,C30)</f>
        <v>1446.64</v>
      </c>
      <c r="H30" s="8" t="n">
        <f aca="false">G30-F30</f>
        <v>386.49</v>
      </c>
      <c r="I30" s="9" t="n">
        <f aca="false">IF(F30=0,0,H30/F30)</f>
        <v>0.364561618638872</v>
      </c>
      <c r="J30" s="8" t="n">
        <f aca="false">IF(D30=0,0,F30/D30)</f>
        <v>212.03</v>
      </c>
      <c r="K30" s="8" t="n">
        <f aca="false">IF(D30=0,0,G30/D30)</f>
        <v>289.328</v>
      </c>
      <c r="L30" s="8" t="n">
        <f aca="false">IF(E30=0,0,F30/E30)</f>
        <v>5.32524613220816</v>
      </c>
      <c r="M30" s="8" t="n">
        <f aca="false">IF(E30=0,0,G30/E30)</f>
        <v>7.26662648181636</v>
      </c>
      <c r="N30" s="20" t="n">
        <v>10</v>
      </c>
      <c r="O30" s="9" t="n">
        <f aca="false">IF(D30=0,0,COUNTIFS('Pedidos Top10'!$A$2:$A$1839,A30,'Pedidos Top10'!$C$2:$C$1839,C30,'Pedidos Top10'!$AG$2:$AG$1839,"PASSARO")/D30)</f>
        <v>0</v>
      </c>
      <c r="P30" s="18" t="s">
        <v>30</v>
      </c>
      <c r="Q30" s="18" t="s">
        <v>110</v>
      </c>
      <c r="R30" s="18" t="str">
        <f aca="false">IF(I30&lt;=-0.05,"Passaro mais barata",IF(I30&lt;0.05,"Empate técnico (±5%)","Passaro mais cara"))</f>
        <v>Passaro mais cara</v>
      </c>
    </row>
    <row r="31" customFormat="false" ht="15" hidden="false" customHeight="false" outlineLevel="0" collapsed="false">
      <c r="A31" s="18" t="s">
        <v>17</v>
      </c>
      <c r="B31" s="18" t="n">
        <v>10</v>
      </c>
      <c r="C31" s="4" t="s">
        <v>111</v>
      </c>
      <c r="D31" s="17" t="n">
        <f aca="false">COUNTIFS('Pedidos Top10'!$A$2:$A$1839,A31,'Pedidos Top10'!$C$2:$C$1839,C31)</f>
        <v>4</v>
      </c>
      <c r="E31" s="19" t="n">
        <f aca="false">SUMIFS('Pedidos Top10'!$J$2:$J$1839,'Pedidos Top10'!$A$2:$A$1839,A31,'Pedidos Top10'!$C$2:$C$1839,C31)</f>
        <v>321</v>
      </c>
      <c r="F31" s="8" t="n">
        <f aca="false">SUMIFS('Pedidos Top10'!$L$2:$L$1839,'Pedidos Top10'!$A$2:$A$1839,A31,'Pedidos Top10'!$C$2:$C$1839,C31)</f>
        <v>1340.15</v>
      </c>
      <c r="G31" s="8" t="n">
        <f aca="false">SUMIFS('Pedidos Top10'!$AD$2:$AD$1839,'Pedidos Top10'!$A$2:$A$1839,A31,'Pedidos Top10'!$C$2:$C$1839,C31)</f>
        <v>1433.03</v>
      </c>
      <c r="H31" s="8" t="n">
        <f aca="false">G31-F31</f>
        <v>92.8800000000001</v>
      </c>
      <c r="I31" s="9" t="n">
        <f aca="false">IF(F31=0,0,H31/F31)</f>
        <v>0.0693056747379026</v>
      </c>
      <c r="J31" s="8" t="n">
        <f aca="false">IF(D31=0,0,F31/D31)</f>
        <v>335.0375</v>
      </c>
      <c r="K31" s="8" t="n">
        <f aca="false">IF(D31=0,0,G31/D31)</f>
        <v>358.2575</v>
      </c>
      <c r="L31" s="8" t="n">
        <f aca="false">IF(E31=0,0,F31/E31)</f>
        <v>4.17492211838006</v>
      </c>
      <c r="M31" s="8" t="n">
        <f aca="false">IF(E31=0,0,G31/E31)</f>
        <v>4.46426791277259</v>
      </c>
      <c r="N31" s="20" t="n">
        <v>14</v>
      </c>
      <c r="O31" s="9" t="n">
        <f aca="false">IF(D31=0,0,COUNTIFS('Pedidos Top10'!$A$2:$A$1839,A31,'Pedidos Top10'!$C$2:$C$1839,C31,'Pedidos Top10'!$AG$2:$AG$1839,"PASSARO")/D31)</f>
        <v>0.25</v>
      </c>
      <c r="P31" s="18" t="s">
        <v>30</v>
      </c>
      <c r="Q31" s="18" t="s">
        <v>67</v>
      </c>
      <c r="R31" s="18" t="str">
        <f aca="false">IF(I31&lt;=-0.05,"Passaro mais barata",IF(I31&lt;0.05,"Empate técnico (±5%)","Passaro mais cara"))</f>
        <v>Passaro mais cara</v>
      </c>
    </row>
    <row r="32" customFormat="false" ht="15" hidden="false" customHeight="false" outlineLevel="0" collapsed="false">
      <c r="A32" s="18" t="s">
        <v>18</v>
      </c>
      <c r="B32" s="18" t="n">
        <v>1</v>
      </c>
      <c r="C32" s="4" t="s">
        <v>112</v>
      </c>
      <c r="D32" s="17" t="n">
        <f aca="false">COUNTIFS('Pedidos Top10'!$A$2:$A$1839,A32,'Pedidos Top10'!$C$2:$C$1839,C32)</f>
        <v>68</v>
      </c>
      <c r="E32" s="19" t="n">
        <f aca="false">SUMIFS('Pedidos Top10'!$J$2:$J$1839,'Pedidos Top10'!$A$2:$A$1839,A32,'Pedidos Top10'!$C$2:$C$1839,C32)</f>
        <v>3126.07</v>
      </c>
      <c r="F32" s="8" t="n">
        <f aca="false">SUMIFS('Pedidos Top10'!$L$2:$L$1839,'Pedidos Top10'!$A$2:$A$1839,A32,'Pedidos Top10'!$C$2:$C$1839,C32)</f>
        <v>10370.36</v>
      </c>
      <c r="G32" s="8" t="n">
        <f aca="false">SUMIFS('Pedidos Top10'!$AD$2:$AD$1839,'Pedidos Top10'!$A$2:$A$1839,A32,'Pedidos Top10'!$C$2:$C$1839,C32)</f>
        <v>19665.78</v>
      </c>
      <c r="H32" s="8" t="n">
        <f aca="false">G32-F32</f>
        <v>9295.42</v>
      </c>
      <c r="I32" s="9" t="n">
        <f aca="false">IF(F32=0,0,H32/F32)</f>
        <v>0.896344967773539</v>
      </c>
      <c r="J32" s="8" t="n">
        <f aca="false">IF(D32=0,0,F32/D32)</f>
        <v>152.505294117647</v>
      </c>
      <c r="K32" s="8" t="n">
        <f aca="false">IF(D32=0,0,G32/D32)</f>
        <v>289.202647058824</v>
      </c>
      <c r="L32" s="8" t="n">
        <f aca="false">IF(E32=0,0,F32/E32)</f>
        <v>3.31737932931764</v>
      </c>
      <c r="M32" s="8" t="n">
        <f aca="false">IF(E32=0,0,G32/E32)</f>
        <v>6.29089559734747</v>
      </c>
      <c r="N32" s="20" t="n">
        <v>11</v>
      </c>
      <c r="O32" s="9" t="n">
        <f aca="false">IF(D32=0,0,COUNTIFS('Pedidos Top10'!$A$2:$A$1839,A32,'Pedidos Top10'!$C$2:$C$1839,C32,'Pedidos Top10'!$AG$2:$AG$1839,"PASSARO")/D32)</f>
        <v>0</v>
      </c>
      <c r="P32" s="18" t="s">
        <v>32</v>
      </c>
      <c r="Q32" s="18" t="s">
        <v>113</v>
      </c>
      <c r="R32" s="18" t="str">
        <f aca="false">IF(I32&lt;=-0.05,"Passaro mais barata",IF(I32&lt;0.05,"Empate técnico (±5%)","Passaro mais cara"))</f>
        <v>Passaro mais cara</v>
      </c>
    </row>
    <row r="33" customFormat="false" ht="15" hidden="false" customHeight="false" outlineLevel="0" collapsed="false">
      <c r="A33" s="18" t="s">
        <v>18</v>
      </c>
      <c r="B33" s="18" t="n">
        <v>2</v>
      </c>
      <c r="C33" s="4" t="s">
        <v>114</v>
      </c>
      <c r="D33" s="17" t="n">
        <f aca="false">COUNTIFS('Pedidos Top10'!$A$2:$A$1839,A33,'Pedidos Top10'!$C$2:$C$1839,C33)</f>
        <v>21</v>
      </c>
      <c r="E33" s="19" t="n">
        <f aca="false">SUMIFS('Pedidos Top10'!$J$2:$J$1839,'Pedidos Top10'!$A$2:$A$1839,A33,'Pedidos Top10'!$C$2:$C$1839,C33)</f>
        <v>1271.15</v>
      </c>
      <c r="F33" s="8" t="n">
        <f aca="false">SUMIFS('Pedidos Top10'!$L$2:$L$1839,'Pedidos Top10'!$A$2:$A$1839,A33,'Pedidos Top10'!$C$2:$C$1839,C33)</f>
        <v>3730.02</v>
      </c>
      <c r="G33" s="8" t="n">
        <f aca="false">SUMIFS('Pedidos Top10'!$AD$2:$AD$1839,'Pedidos Top10'!$A$2:$A$1839,A33,'Pedidos Top10'!$C$2:$C$1839,C33)</f>
        <v>7259.22</v>
      </c>
      <c r="H33" s="8" t="n">
        <f aca="false">G33-F33</f>
        <v>3529.2</v>
      </c>
      <c r="I33" s="9" t="n">
        <f aca="false">IF(F33=0,0,H33/F33)</f>
        <v>0.946161146589026</v>
      </c>
      <c r="J33" s="8" t="n">
        <f aca="false">IF(D33=0,0,F33/D33)</f>
        <v>177.62</v>
      </c>
      <c r="K33" s="8" t="n">
        <f aca="false">IF(D33=0,0,G33/D33)</f>
        <v>345.677142857143</v>
      </c>
      <c r="L33" s="8" t="n">
        <f aca="false">IF(E33=0,0,F33/E33)</f>
        <v>2.93436651850686</v>
      </c>
      <c r="M33" s="8" t="n">
        <f aca="false">IF(E33=0,0,G33/E33)</f>
        <v>5.71075010816977</v>
      </c>
      <c r="N33" s="20" t="n">
        <v>17</v>
      </c>
      <c r="O33" s="9" t="n">
        <f aca="false">IF(D33=0,0,COUNTIFS('Pedidos Top10'!$A$2:$A$1839,A33,'Pedidos Top10'!$C$2:$C$1839,C33,'Pedidos Top10'!$AG$2:$AG$1839,"PASSARO")/D33)</f>
        <v>0</v>
      </c>
      <c r="P33" s="18" t="s">
        <v>32</v>
      </c>
      <c r="Q33" s="18" t="s">
        <v>115</v>
      </c>
      <c r="R33" s="18" t="str">
        <f aca="false">IF(I33&lt;=-0.05,"Passaro mais barata",IF(I33&lt;0.05,"Empate técnico (±5%)","Passaro mais cara"))</f>
        <v>Passaro mais cara</v>
      </c>
    </row>
    <row r="34" customFormat="false" ht="15" hidden="false" customHeight="false" outlineLevel="0" collapsed="false">
      <c r="A34" s="18" t="s">
        <v>18</v>
      </c>
      <c r="B34" s="18" t="n">
        <v>3</v>
      </c>
      <c r="C34" s="4" t="s">
        <v>116</v>
      </c>
      <c r="D34" s="17" t="n">
        <f aca="false">COUNTIFS('Pedidos Top10'!$A$2:$A$1839,A34,'Pedidos Top10'!$C$2:$C$1839,C34)</f>
        <v>19</v>
      </c>
      <c r="E34" s="19" t="n">
        <f aca="false">SUMIFS('Pedidos Top10'!$J$2:$J$1839,'Pedidos Top10'!$A$2:$A$1839,A34,'Pedidos Top10'!$C$2:$C$1839,C34)</f>
        <v>1249.89</v>
      </c>
      <c r="F34" s="8" t="n">
        <f aca="false">SUMIFS('Pedidos Top10'!$L$2:$L$1839,'Pedidos Top10'!$A$2:$A$1839,A34,'Pedidos Top10'!$C$2:$C$1839,C34)</f>
        <v>3682.77</v>
      </c>
      <c r="G34" s="8" t="n">
        <f aca="false">SUMIFS('Pedidos Top10'!$AD$2:$AD$1839,'Pedidos Top10'!$A$2:$A$1839,A34,'Pedidos Top10'!$C$2:$C$1839,C34)</f>
        <v>6426.39</v>
      </c>
      <c r="H34" s="8" t="n">
        <f aca="false">G34-F34</f>
        <v>2743.62</v>
      </c>
      <c r="I34" s="9" t="n">
        <f aca="false">IF(F34=0,0,H34/F34)</f>
        <v>0.744988147508533</v>
      </c>
      <c r="J34" s="8" t="n">
        <f aca="false">IF(D34=0,0,F34/D34)</f>
        <v>193.83</v>
      </c>
      <c r="K34" s="8" t="n">
        <f aca="false">IF(D34=0,0,G34/D34)</f>
        <v>338.231052631579</v>
      </c>
      <c r="L34" s="8" t="n">
        <f aca="false">IF(E34=0,0,F34/E34)</f>
        <v>2.9464752898255</v>
      </c>
      <c r="M34" s="8" t="n">
        <f aca="false">IF(E34=0,0,G34/E34)</f>
        <v>5.14156445767228</v>
      </c>
      <c r="N34" s="20" t="n">
        <v>13</v>
      </c>
      <c r="O34" s="9" t="n">
        <f aca="false">IF(D34=0,0,COUNTIFS('Pedidos Top10'!$A$2:$A$1839,A34,'Pedidos Top10'!$C$2:$C$1839,C34,'Pedidos Top10'!$AG$2:$AG$1839,"PASSARO")/D34)</f>
        <v>0</v>
      </c>
      <c r="P34" s="18" t="s">
        <v>32</v>
      </c>
      <c r="Q34" s="18" t="s">
        <v>117</v>
      </c>
      <c r="R34" s="18" t="str">
        <f aca="false">IF(I34&lt;=-0.05,"Passaro mais barata",IF(I34&lt;0.05,"Empate técnico (±5%)","Passaro mais cara"))</f>
        <v>Passaro mais cara</v>
      </c>
    </row>
    <row r="35" customFormat="false" ht="15" hidden="false" customHeight="false" outlineLevel="0" collapsed="false">
      <c r="A35" s="18" t="s">
        <v>18</v>
      </c>
      <c r="B35" s="18" t="n">
        <v>4</v>
      </c>
      <c r="C35" s="4" t="s">
        <v>118</v>
      </c>
      <c r="D35" s="17" t="n">
        <f aca="false">COUNTIFS('Pedidos Top10'!$A$2:$A$1839,A35,'Pedidos Top10'!$C$2:$C$1839,C35)</f>
        <v>8</v>
      </c>
      <c r="E35" s="19" t="n">
        <f aca="false">SUMIFS('Pedidos Top10'!$J$2:$J$1839,'Pedidos Top10'!$A$2:$A$1839,A35,'Pedidos Top10'!$C$2:$C$1839,C35)</f>
        <v>638.89</v>
      </c>
      <c r="F35" s="8" t="n">
        <f aca="false">SUMIFS('Pedidos Top10'!$L$2:$L$1839,'Pedidos Top10'!$A$2:$A$1839,A35,'Pedidos Top10'!$C$2:$C$1839,C35)</f>
        <v>2050.63</v>
      </c>
      <c r="G35" s="8" t="n">
        <f aca="false">SUMIFS('Pedidos Top10'!$AD$2:$AD$1839,'Pedidos Top10'!$A$2:$A$1839,A35,'Pedidos Top10'!$C$2:$C$1839,C35)</f>
        <v>2909.82</v>
      </c>
      <c r="H35" s="8" t="n">
        <f aca="false">G35-F35</f>
        <v>859.19</v>
      </c>
      <c r="I35" s="9" t="n">
        <f aca="false">IF(F35=0,0,H35/F35)</f>
        <v>0.41898831090933</v>
      </c>
      <c r="J35" s="8" t="n">
        <f aca="false">IF(D35=0,0,F35/D35)</f>
        <v>256.32875</v>
      </c>
      <c r="K35" s="8" t="n">
        <f aca="false">IF(D35=0,0,G35/D35)</f>
        <v>363.7275</v>
      </c>
      <c r="L35" s="8" t="n">
        <f aca="false">IF(E35=0,0,F35/E35)</f>
        <v>3.20967615708494</v>
      </c>
      <c r="M35" s="8" t="n">
        <f aca="false">IF(E35=0,0,G35/E35)</f>
        <v>4.55449294870792</v>
      </c>
      <c r="N35" s="20" t="n">
        <v>17</v>
      </c>
      <c r="O35" s="9" t="n">
        <f aca="false">IF(D35=0,0,COUNTIFS('Pedidos Top10'!$A$2:$A$1839,A35,'Pedidos Top10'!$C$2:$C$1839,C35,'Pedidos Top10'!$AG$2:$AG$1839,"PASSARO")/D35)</f>
        <v>0</v>
      </c>
      <c r="P35" s="18" t="s">
        <v>32</v>
      </c>
      <c r="Q35" s="18" t="s">
        <v>119</v>
      </c>
      <c r="R35" s="18" t="str">
        <f aca="false">IF(I35&lt;=-0.05,"Passaro mais barata",IF(I35&lt;0.05,"Empate técnico (±5%)","Passaro mais cara"))</f>
        <v>Passaro mais cara</v>
      </c>
    </row>
    <row r="36" customFormat="false" ht="15" hidden="false" customHeight="false" outlineLevel="0" collapsed="false">
      <c r="A36" s="18" t="s">
        <v>18</v>
      </c>
      <c r="B36" s="18" t="n">
        <v>5</v>
      </c>
      <c r="C36" s="4" t="s">
        <v>120</v>
      </c>
      <c r="D36" s="17" t="n">
        <f aca="false">COUNTIFS('Pedidos Top10'!$A$2:$A$1839,A36,'Pedidos Top10'!$C$2:$C$1839,C36)</f>
        <v>7</v>
      </c>
      <c r="E36" s="19" t="n">
        <f aca="false">SUMIFS('Pedidos Top10'!$J$2:$J$1839,'Pedidos Top10'!$A$2:$A$1839,A36,'Pedidos Top10'!$C$2:$C$1839,C36)</f>
        <v>266.81</v>
      </c>
      <c r="F36" s="8" t="n">
        <f aca="false">SUMIFS('Pedidos Top10'!$L$2:$L$1839,'Pedidos Top10'!$A$2:$A$1839,A36,'Pedidos Top10'!$C$2:$C$1839,C36)</f>
        <v>1162.31</v>
      </c>
      <c r="G36" s="8" t="n">
        <f aca="false">SUMIFS('Pedidos Top10'!$AD$2:$AD$1839,'Pedidos Top10'!$A$2:$A$1839,A36,'Pedidos Top10'!$C$2:$C$1839,C36)</f>
        <v>2131.77</v>
      </c>
      <c r="H36" s="8" t="n">
        <f aca="false">G36-F36</f>
        <v>969.46</v>
      </c>
      <c r="I36" s="9" t="n">
        <f aca="false">IF(F36=0,0,H36/F36)</f>
        <v>0.834080408841015</v>
      </c>
      <c r="J36" s="8" t="n">
        <f aca="false">IF(D36=0,0,F36/D36)</f>
        <v>166.044285714286</v>
      </c>
      <c r="K36" s="8" t="n">
        <f aca="false">IF(D36=0,0,G36/D36)</f>
        <v>304.538571428571</v>
      </c>
      <c r="L36" s="8" t="n">
        <f aca="false">IF(E36=0,0,F36/E36)</f>
        <v>4.35632097747461</v>
      </c>
      <c r="M36" s="8" t="n">
        <f aca="false">IF(E36=0,0,G36/E36)</f>
        <v>7.98984295940932</v>
      </c>
      <c r="N36" s="20" t="n">
        <v>13</v>
      </c>
      <c r="O36" s="9" t="n">
        <f aca="false">IF(D36=0,0,COUNTIFS('Pedidos Top10'!$A$2:$A$1839,A36,'Pedidos Top10'!$C$2:$C$1839,C36,'Pedidos Top10'!$AG$2:$AG$1839,"PASSARO")/D36)</f>
        <v>0</v>
      </c>
      <c r="P36" s="18" t="s">
        <v>30</v>
      </c>
      <c r="Q36" s="18" t="s">
        <v>121</v>
      </c>
      <c r="R36" s="18" t="str">
        <f aca="false">IF(I36&lt;=-0.05,"Passaro mais barata",IF(I36&lt;0.05,"Empate técnico (±5%)","Passaro mais cara"))</f>
        <v>Passaro mais cara</v>
      </c>
    </row>
    <row r="37" customFormat="false" ht="15" hidden="false" customHeight="false" outlineLevel="0" collapsed="false">
      <c r="A37" s="18" t="s">
        <v>18</v>
      </c>
      <c r="B37" s="18" t="n">
        <v>6</v>
      </c>
      <c r="C37" s="4" t="s">
        <v>122</v>
      </c>
      <c r="D37" s="17" t="n">
        <f aca="false">COUNTIFS('Pedidos Top10'!$A$2:$A$1839,A37,'Pedidos Top10'!$C$2:$C$1839,C37)</f>
        <v>6</v>
      </c>
      <c r="E37" s="19" t="n">
        <f aca="false">SUMIFS('Pedidos Top10'!$J$2:$J$1839,'Pedidos Top10'!$A$2:$A$1839,A37,'Pedidos Top10'!$C$2:$C$1839,C37)</f>
        <v>447.7</v>
      </c>
      <c r="F37" s="8" t="n">
        <f aca="false">SUMIFS('Pedidos Top10'!$L$2:$L$1839,'Pedidos Top10'!$A$2:$A$1839,A37,'Pedidos Top10'!$C$2:$C$1839,C37)</f>
        <v>1584.71</v>
      </c>
      <c r="G37" s="8" t="n">
        <f aca="false">SUMIFS('Pedidos Top10'!$AD$2:$AD$1839,'Pedidos Top10'!$A$2:$A$1839,A37,'Pedidos Top10'!$C$2:$C$1839,C37)</f>
        <v>2080.32</v>
      </c>
      <c r="H37" s="8" t="n">
        <f aca="false">G37-F37</f>
        <v>495.61</v>
      </c>
      <c r="I37" s="9" t="n">
        <f aca="false">IF(F37=0,0,H37/F37)</f>
        <v>0.312744918628645</v>
      </c>
      <c r="J37" s="8" t="n">
        <f aca="false">IF(D37=0,0,F37/D37)</f>
        <v>264.118333333333</v>
      </c>
      <c r="K37" s="8" t="n">
        <f aca="false">IF(D37=0,0,G37/D37)</f>
        <v>346.72</v>
      </c>
      <c r="L37" s="8" t="n">
        <f aca="false">IF(E37=0,0,F37/E37)</f>
        <v>3.5396694214876</v>
      </c>
      <c r="M37" s="8" t="n">
        <f aca="false">IF(E37=0,0,G37/E37)</f>
        <v>4.64668304668305</v>
      </c>
      <c r="N37" s="20" t="n">
        <v>13</v>
      </c>
      <c r="O37" s="9" t="n">
        <f aca="false">IF(D37=0,0,COUNTIFS('Pedidos Top10'!$A$2:$A$1839,A37,'Pedidos Top10'!$C$2:$C$1839,C37,'Pedidos Top10'!$AG$2:$AG$1839,"PASSARO")/D37)</f>
        <v>0</v>
      </c>
      <c r="P37" s="18" t="s">
        <v>32</v>
      </c>
      <c r="Q37" s="18" t="s">
        <v>123</v>
      </c>
      <c r="R37" s="18" t="str">
        <f aca="false">IF(I37&lt;=-0.05,"Passaro mais barata",IF(I37&lt;0.05,"Empate técnico (±5%)","Passaro mais cara"))</f>
        <v>Passaro mais cara</v>
      </c>
    </row>
    <row r="38" customFormat="false" ht="15" hidden="false" customHeight="false" outlineLevel="0" collapsed="false">
      <c r="A38" s="18" t="s">
        <v>18</v>
      </c>
      <c r="B38" s="18" t="n">
        <v>7</v>
      </c>
      <c r="C38" s="4" t="s">
        <v>124</v>
      </c>
      <c r="D38" s="17" t="n">
        <f aca="false">COUNTIFS('Pedidos Top10'!$A$2:$A$1839,A38,'Pedidos Top10'!$C$2:$C$1839,C38)</f>
        <v>6</v>
      </c>
      <c r="E38" s="19" t="n">
        <f aca="false">SUMIFS('Pedidos Top10'!$J$2:$J$1839,'Pedidos Top10'!$A$2:$A$1839,A38,'Pedidos Top10'!$C$2:$C$1839,C38)</f>
        <v>404.11</v>
      </c>
      <c r="F38" s="8" t="n">
        <f aca="false">SUMIFS('Pedidos Top10'!$L$2:$L$1839,'Pedidos Top10'!$A$2:$A$1839,A38,'Pedidos Top10'!$C$2:$C$1839,C38)</f>
        <v>1506.43</v>
      </c>
      <c r="G38" s="8" t="n">
        <f aca="false">SUMIFS('Pedidos Top10'!$AD$2:$AD$1839,'Pedidos Top10'!$A$2:$A$1839,A38,'Pedidos Top10'!$C$2:$C$1839,C38)</f>
        <v>2104.86</v>
      </c>
      <c r="H38" s="8" t="n">
        <f aca="false">G38-F38</f>
        <v>598.43</v>
      </c>
      <c r="I38" s="9" t="n">
        <f aca="false">IF(F38=0,0,H38/F38)</f>
        <v>0.397250453057892</v>
      </c>
      <c r="J38" s="8" t="n">
        <f aca="false">IF(D38=0,0,F38/D38)</f>
        <v>251.071666666667</v>
      </c>
      <c r="K38" s="8" t="n">
        <f aca="false">IF(D38=0,0,G38/D38)</f>
        <v>350.81</v>
      </c>
      <c r="L38" s="8" t="n">
        <f aca="false">IF(E38=0,0,F38/E38)</f>
        <v>3.72777214124867</v>
      </c>
      <c r="M38" s="8" t="n">
        <f aca="false">IF(E38=0,0,G38/E38)</f>
        <v>5.20863131325629</v>
      </c>
      <c r="N38" s="20" t="n">
        <v>17</v>
      </c>
      <c r="O38" s="9" t="n">
        <f aca="false">IF(D38=0,0,COUNTIFS('Pedidos Top10'!$A$2:$A$1839,A38,'Pedidos Top10'!$C$2:$C$1839,C38,'Pedidos Top10'!$AG$2:$AG$1839,"PASSARO")/D38)</f>
        <v>0</v>
      </c>
      <c r="P38" s="18" t="s">
        <v>32</v>
      </c>
      <c r="Q38" s="18" t="s">
        <v>125</v>
      </c>
      <c r="R38" s="18" t="str">
        <f aca="false">IF(I38&lt;=-0.05,"Passaro mais barata",IF(I38&lt;0.05,"Empate técnico (±5%)","Passaro mais cara"))</f>
        <v>Passaro mais cara</v>
      </c>
    </row>
    <row r="39" customFormat="false" ht="15" hidden="false" customHeight="false" outlineLevel="0" collapsed="false">
      <c r="A39" s="18" t="s">
        <v>18</v>
      </c>
      <c r="B39" s="18" t="n">
        <v>8</v>
      </c>
      <c r="C39" s="4" t="s">
        <v>126</v>
      </c>
      <c r="D39" s="17" t="n">
        <f aca="false">COUNTIFS('Pedidos Top10'!$A$2:$A$1839,A39,'Pedidos Top10'!$C$2:$C$1839,C39)</f>
        <v>6</v>
      </c>
      <c r="E39" s="19" t="n">
        <f aca="false">SUMIFS('Pedidos Top10'!$J$2:$J$1839,'Pedidos Top10'!$A$2:$A$1839,A39,'Pedidos Top10'!$C$2:$C$1839,C39)</f>
        <v>416.45</v>
      </c>
      <c r="F39" s="8" t="n">
        <f aca="false">SUMIFS('Pedidos Top10'!$L$2:$L$1839,'Pedidos Top10'!$A$2:$A$1839,A39,'Pedidos Top10'!$C$2:$C$1839,C39)</f>
        <v>1435.82</v>
      </c>
      <c r="G39" s="8" t="n">
        <f aca="false">SUMIFS('Pedidos Top10'!$AD$2:$AD$1839,'Pedidos Top10'!$A$2:$A$1839,A39,'Pedidos Top10'!$C$2:$C$1839,C39)</f>
        <v>2105.32</v>
      </c>
      <c r="H39" s="8" t="n">
        <f aca="false">G39-F39</f>
        <v>669.5</v>
      </c>
      <c r="I39" s="9" t="n">
        <f aca="false">IF(F39=0,0,H39/F39)</f>
        <v>0.466284074605452</v>
      </c>
      <c r="J39" s="8" t="n">
        <f aca="false">IF(D39=0,0,F39/D39)</f>
        <v>239.303333333333</v>
      </c>
      <c r="K39" s="8" t="n">
        <f aca="false">IF(D39=0,0,G39/D39)</f>
        <v>350.886666666667</v>
      </c>
      <c r="L39" s="8" t="n">
        <f aca="false">IF(E39=0,0,F39/E39)</f>
        <v>3.44776083563453</v>
      </c>
      <c r="M39" s="8" t="n">
        <f aca="false">IF(E39=0,0,G39/E39)</f>
        <v>5.0553968063393</v>
      </c>
      <c r="N39" s="20" t="n">
        <v>17</v>
      </c>
      <c r="O39" s="9" t="n">
        <f aca="false">IF(D39=0,0,COUNTIFS('Pedidos Top10'!$A$2:$A$1839,A39,'Pedidos Top10'!$C$2:$C$1839,C39,'Pedidos Top10'!$AG$2:$AG$1839,"PASSARO")/D39)</f>
        <v>0</v>
      </c>
      <c r="P39" s="18" t="s">
        <v>32</v>
      </c>
      <c r="Q39" s="18" t="s">
        <v>125</v>
      </c>
      <c r="R39" s="18" t="str">
        <f aca="false">IF(I39&lt;=-0.05,"Passaro mais barata",IF(I39&lt;0.05,"Empate técnico (±5%)","Passaro mais cara"))</f>
        <v>Passaro mais cara</v>
      </c>
    </row>
    <row r="40" customFormat="false" ht="15" hidden="false" customHeight="false" outlineLevel="0" collapsed="false">
      <c r="A40" s="18" t="s">
        <v>18</v>
      </c>
      <c r="B40" s="18" t="n">
        <v>9</v>
      </c>
      <c r="C40" s="4" t="s">
        <v>127</v>
      </c>
      <c r="D40" s="17" t="n">
        <f aca="false">COUNTIFS('Pedidos Top10'!$A$2:$A$1839,A40,'Pedidos Top10'!$C$2:$C$1839,C40)</f>
        <v>6</v>
      </c>
      <c r="E40" s="19" t="n">
        <f aca="false">SUMIFS('Pedidos Top10'!$J$2:$J$1839,'Pedidos Top10'!$A$2:$A$1839,A40,'Pedidos Top10'!$C$2:$C$1839,C40)</f>
        <v>346.5</v>
      </c>
      <c r="F40" s="8" t="n">
        <f aca="false">SUMIFS('Pedidos Top10'!$L$2:$L$1839,'Pedidos Top10'!$A$2:$A$1839,A40,'Pedidos Top10'!$C$2:$C$1839,C40)</f>
        <v>1297.74</v>
      </c>
      <c r="G40" s="8" t="n">
        <f aca="false">SUMIFS('Pedidos Top10'!$AD$2:$AD$1839,'Pedidos Top10'!$A$2:$A$1839,A40,'Pedidos Top10'!$C$2:$C$1839,C40)</f>
        <v>2068.1</v>
      </c>
      <c r="H40" s="8" t="n">
        <f aca="false">G40-F40</f>
        <v>770.36</v>
      </c>
      <c r="I40" s="9" t="n">
        <f aca="false">IF(F40=0,0,H40/F40)</f>
        <v>0.593616595003622</v>
      </c>
      <c r="J40" s="8" t="n">
        <f aca="false">IF(D40=0,0,F40/D40)</f>
        <v>216.29</v>
      </c>
      <c r="K40" s="8" t="n">
        <f aca="false">IF(D40=0,0,G40/D40)</f>
        <v>344.683333333333</v>
      </c>
      <c r="L40" s="8" t="n">
        <f aca="false">IF(E40=0,0,F40/E40)</f>
        <v>3.74528138528139</v>
      </c>
      <c r="M40" s="8" t="n">
        <f aca="false">IF(E40=0,0,G40/E40)</f>
        <v>5.96854256854257</v>
      </c>
      <c r="N40" s="20" t="n">
        <v>17</v>
      </c>
      <c r="O40" s="9" t="n">
        <f aca="false">IF(D40=0,0,COUNTIFS('Pedidos Top10'!$A$2:$A$1839,A40,'Pedidos Top10'!$C$2:$C$1839,C40,'Pedidos Top10'!$AG$2:$AG$1839,"PASSARO")/D40)</f>
        <v>0</v>
      </c>
      <c r="P40" s="18" t="s">
        <v>30</v>
      </c>
      <c r="Q40" s="18" t="s">
        <v>128</v>
      </c>
      <c r="R40" s="18" t="str">
        <f aca="false">IF(I40&lt;=-0.05,"Passaro mais barata",IF(I40&lt;0.05,"Empate técnico (±5%)","Passaro mais cara"))</f>
        <v>Passaro mais cara</v>
      </c>
    </row>
    <row r="41" customFormat="false" ht="15" hidden="false" customHeight="false" outlineLevel="0" collapsed="false">
      <c r="A41" s="18" t="s">
        <v>18</v>
      </c>
      <c r="B41" s="18" t="n">
        <v>10</v>
      </c>
      <c r="C41" s="4" t="s">
        <v>129</v>
      </c>
      <c r="D41" s="17" t="n">
        <f aca="false">COUNTIFS('Pedidos Top10'!$A$2:$A$1839,A41,'Pedidos Top10'!$C$2:$C$1839,C41)</f>
        <v>5</v>
      </c>
      <c r="E41" s="19" t="n">
        <f aca="false">SUMIFS('Pedidos Top10'!$J$2:$J$1839,'Pedidos Top10'!$A$2:$A$1839,A41,'Pedidos Top10'!$C$2:$C$1839,C41)</f>
        <v>271.62</v>
      </c>
      <c r="F41" s="8" t="n">
        <f aca="false">SUMIFS('Pedidos Top10'!$L$2:$L$1839,'Pedidos Top10'!$A$2:$A$1839,A41,'Pedidos Top10'!$C$2:$C$1839,C41)</f>
        <v>1056.19</v>
      </c>
      <c r="G41" s="8" t="n">
        <f aca="false">SUMIFS('Pedidos Top10'!$AD$2:$AD$1839,'Pedidos Top10'!$A$2:$A$1839,A41,'Pedidos Top10'!$C$2:$C$1839,C41)</f>
        <v>1628.15</v>
      </c>
      <c r="H41" s="8" t="n">
        <f aca="false">G41-F41</f>
        <v>571.96</v>
      </c>
      <c r="I41" s="9" t="n">
        <f aca="false">IF(F41=0,0,H41/F41)</f>
        <v>0.541531353260304</v>
      </c>
      <c r="J41" s="8" t="n">
        <f aca="false">IF(D41=0,0,F41/D41)</f>
        <v>211.238</v>
      </c>
      <c r="K41" s="8" t="n">
        <f aca="false">IF(D41=0,0,G41/D41)</f>
        <v>325.63</v>
      </c>
      <c r="L41" s="8" t="n">
        <f aca="false">IF(E41=0,0,F41/E41)</f>
        <v>3.88848391134673</v>
      </c>
      <c r="M41" s="8" t="n">
        <f aca="false">IF(E41=0,0,G41/E41)</f>
        <v>5.99421986598925</v>
      </c>
      <c r="N41" s="20" t="n">
        <v>13</v>
      </c>
      <c r="O41" s="9" t="n">
        <f aca="false">IF(D41=0,0,COUNTIFS('Pedidos Top10'!$A$2:$A$1839,A41,'Pedidos Top10'!$C$2:$C$1839,C41,'Pedidos Top10'!$AG$2:$AG$1839,"PASSARO")/D41)</f>
        <v>0</v>
      </c>
      <c r="P41" s="18" t="s">
        <v>32</v>
      </c>
      <c r="Q41" s="18" t="s">
        <v>130</v>
      </c>
      <c r="R41" s="18" t="str">
        <f aca="false">IF(I41&lt;=-0.05,"Passaro mais barata",IF(I41&lt;0.05,"Empate técnico (±5%)","Passaro mais cara"))</f>
        <v>Passaro mais cara</v>
      </c>
    </row>
    <row r="42" customFormat="false" ht="15" hidden="false" customHeight="false" outlineLevel="0" collapsed="false">
      <c r="A42" s="18" t="s">
        <v>19</v>
      </c>
      <c r="B42" s="18" t="n">
        <v>1</v>
      </c>
      <c r="C42" s="4" t="s">
        <v>131</v>
      </c>
      <c r="D42" s="17" t="n">
        <f aca="false">COUNTIFS('Pedidos Top10'!$A$2:$A$1839,A42,'Pedidos Top10'!$C$2:$C$1839,C42)</f>
        <v>70</v>
      </c>
      <c r="E42" s="19" t="n">
        <f aca="false">SUMIFS('Pedidos Top10'!$J$2:$J$1839,'Pedidos Top10'!$A$2:$A$1839,A42,'Pedidos Top10'!$C$2:$C$1839,C42)</f>
        <v>3160.64</v>
      </c>
      <c r="F42" s="8" t="n">
        <f aca="false">SUMIFS('Pedidos Top10'!$L$2:$L$1839,'Pedidos Top10'!$A$2:$A$1839,A42,'Pedidos Top10'!$C$2:$C$1839,C42)</f>
        <v>11091.33</v>
      </c>
      <c r="G42" s="8" t="n">
        <f aca="false">SUMIFS('Pedidos Top10'!$AD$2:$AD$1839,'Pedidos Top10'!$A$2:$A$1839,A42,'Pedidos Top10'!$C$2:$C$1839,C42)</f>
        <v>10813.37</v>
      </c>
      <c r="H42" s="8" t="n">
        <f aca="false">G42-F42</f>
        <v>-277.960000000001</v>
      </c>
      <c r="I42" s="9" t="n">
        <f aca="false">IF(F42=0,0,H42/F42)</f>
        <v>-0.025061016127011</v>
      </c>
      <c r="J42" s="8" t="n">
        <f aca="false">IF(D42=0,0,F42/D42)</f>
        <v>158.447571428571</v>
      </c>
      <c r="K42" s="8" t="n">
        <f aca="false">IF(D42=0,0,G42/D42)</f>
        <v>154.476714285714</v>
      </c>
      <c r="L42" s="8" t="n">
        <f aca="false">IF(E42=0,0,F42/E42)</f>
        <v>3.50920383213526</v>
      </c>
      <c r="M42" s="8" t="n">
        <f aca="false">IF(E42=0,0,G42/E42)</f>
        <v>3.42125961830515</v>
      </c>
      <c r="N42" s="20" t="n">
        <v>9</v>
      </c>
      <c r="O42" s="9" t="n">
        <f aca="false">IF(D42=0,0,COUNTIFS('Pedidos Top10'!$A$2:$A$1839,A42,'Pedidos Top10'!$C$2:$C$1839,C42,'Pedidos Top10'!$AG$2:$AG$1839,"PASSARO")/D42)</f>
        <v>0.471428571428571</v>
      </c>
      <c r="P42" s="18" t="s">
        <v>30</v>
      </c>
      <c r="Q42" s="18" t="s">
        <v>132</v>
      </c>
      <c r="R42" s="18" t="str">
        <f aca="false">IF(I42&lt;=-0.05,"Passaro mais barata",IF(I42&lt;0.05,"Empate técnico (±5%)","Passaro mais cara"))</f>
        <v>Empate técnico (±5%)</v>
      </c>
    </row>
    <row r="43" customFormat="false" ht="15" hidden="false" customHeight="false" outlineLevel="0" collapsed="false">
      <c r="A43" s="18" t="s">
        <v>19</v>
      </c>
      <c r="B43" s="18" t="n">
        <v>2</v>
      </c>
      <c r="C43" s="4" t="s">
        <v>133</v>
      </c>
      <c r="D43" s="17" t="n">
        <f aca="false">COUNTIFS('Pedidos Top10'!$A$2:$A$1839,A43,'Pedidos Top10'!$C$2:$C$1839,C43)</f>
        <v>16</v>
      </c>
      <c r="E43" s="19" t="n">
        <f aca="false">SUMIFS('Pedidos Top10'!$J$2:$J$1839,'Pedidos Top10'!$A$2:$A$1839,A43,'Pedidos Top10'!$C$2:$C$1839,C43)</f>
        <v>831.51</v>
      </c>
      <c r="F43" s="8" t="n">
        <f aca="false">SUMIFS('Pedidos Top10'!$L$2:$L$1839,'Pedidos Top10'!$A$2:$A$1839,A43,'Pedidos Top10'!$C$2:$C$1839,C43)</f>
        <v>3314.91</v>
      </c>
      <c r="G43" s="8" t="n">
        <f aca="false">SUMIFS('Pedidos Top10'!$AD$2:$AD$1839,'Pedidos Top10'!$A$2:$A$1839,A43,'Pedidos Top10'!$C$2:$C$1839,C43)</f>
        <v>2819.15</v>
      </c>
      <c r="H43" s="8" t="n">
        <f aca="false">G43-F43</f>
        <v>-495.76</v>
      </c>
      <c r="I43" s="9" t="n">
        <f aca="false">IF(F43=0,0,H43/F43)</f>
        <v>-0.149554588209031</v>
      </c>
      <c r="J43" s="8" t="n">
        <f aca="false">IF(D43=0,0,F43/D43)</f>
        <v>207.181875</v>
      </c>
      <c r="K43" s="8" t="n">
        <f aca="false">IF(D43=0,0,G43/D43)</f>
        <v>176.196875</v>
      </c>
      <c r="L43" s="8" t="n">
        <f aca="false">IF(E43=0,0,F43/E43)</f>
        <v>3.98661471299203</v>
      </c>
      <c r="M43" s="8" t="n">
        <f aca="false">IF(E43=0,0,G43/E43)</f>
        <v>3.39039819124244</v>
      </c>
      <c r="N43" s="20" t="n">
        <v>12</v>
      </c>
      <c r="O43" s="9" t="n">
        <f aca="false">IF(D43=0,0,COUNTIFS('Pedidos Top10'!$A$2:$A$1839,A43,'Pedidos Top10'!$C$2:$C$1839,C43,'Pedidos Top10'!$AG$2:$AG$1839,"PASSARO")/D43)</f>
        <v>0.6875</v>
      </c>
      <c r="P43" s="18" t="s">
        <v>30</v>
      </c>
      <c r="Q43" s="18" t="s">
        <v>134</v>
      </c>
      <c r="R43" s="18" t="str">
        <f aca="false">IF(I43&lt;=-0.05,"Passaro mais barata",IF(I43&lt;0.05,"Empate técnico (±5%)","Passaro mais cara"))</f>
        <v>Passaro mais barata</v>
      </c>
    </row>
    <row r="44" customFormat="false" ht="15" hidden="false" customHeight="false" outlineLevel="0" collapsed="false">
      <c r="A44" s="18" t="s">
        <v>19</v>
      </c>
      <c r="B44" s="18" t="n">
        <v>3</v>
      </c>
      <c r="C44" s="4" t="s">
        <v>135</v>
      </c>
      <c r="D44" s="17" t="n">
        <f aca="false">COUNTIFS('Pedidos Top10'!$A$2:$A$1839,A44,'Pedidos Top10'!$C$2:$C$1839,C44)</f>
        <v>7</v>
      </c>
      <c r="E44" s="19" t="n">
        <f aca="false">SUMIFS('Pedidos Top10'!$J$2:$J$1839,'Pedidos Top10'!$A$2:$A$1839,A44,'Pedidos Top10'!$C$2:$C$1839,C44)</f>
        <v>387.38</v>
      </c>
      <c r="F44" s="8" t="n">
        <f aca="false">SUMIFS('Pedidos Top10'!$L$2:$L$1839,'Pedidos Top10'!$A$2:$A$1839,A44,'Pedidos Top10'!$C$2:$C$1839,C44)</f>
        <v>1588.99</v>
      </c>
      <c r="G44" s="8" t="n">
        <f aca="false">SUMIFS('Pedidos Top10'!$AD$2:$AD$1839,'Pedidos Top10'!$A$2:$A$1839,A44,'Pedidos Top10'!$C$2:$C$1839,C44)</f>
        <v>1398.94</v>
      </c>
      <c r="H44" s="8" t="n">
        <f aca="false">G44-F44</f>
        <v>-190.05</v>
      </c>
      <c r="I44" s="9" t="n">
        <f aca="false">IF(F44=0,0,H44/F44)</f>
        <v>-0.119604276930629</v>
      </c>
      <c r="J44" s="8" t="n">
        <f aca="false">IF(D44=0,0,F44/D44)</f>
        <v>226.998571428571</v>
      </c>
      <c r="K44" s="8" t="n">
        <f aca="false">IF(D44=0,0,G44/D44)</f>
        <v>199.848571428571</v>
      </c>
      <c r="L44" s="8" t="n">
        <f aca="false">IF(E44=0,0,F44/E44)</f>
        <v>4.10188961742991</v>
      </c>
      <c r="M44" s="8" t="n">
        <f aca="false">IF(E44=0,0,G44/E44)</f>
        <v>3.61128607568796</v>
      </c>
      <c r="N44" s="20" t="n">
        <v>13</v>
      </c>
      <c r="O44" s="9" t="n">
        <f aca="false">IF(D44=0,0,COUNTIFS('Pedidos Top10'!$A$2:$A$1839,A44,'Pedidos Top10'!$C$2:$C$1839,C44,'Pedidos Top10'!$AG$2:$AG$1839,"PASSARO")/D44)</f>
        <v>0.571428571428571</v>
      </c>
      <c r="P44" s="18" t="s">
        <v>30</v>
      </c>
      <c r="Q44" s="18" t="s">
        <v>136</v>
      </c>
      <c r="R44" s="18" t="str">
        <f aca="false">IF(I44&lt;=-0.05,"Passaro mais barata",IF(I44&lt;0.05,"Empate técnico (±5%)","Passaro mais cara"))</f>
        <v>Passaro mais barata</v>
      </c>
    </row>
    <row r="45" customFormat="false" ht="15" hidden="false" customHeight="false" outlineLevel="0" collapsed="false">
      <c r="A45" s="18" t="s">
        <v>19</v>
      </c>
      <c r="B45" s="18" t="n">
        <v>4</v>
      </c>
      <c r="C45" s="4" t="s">
        <v>137</v>
      </c>
      <c r="D45" s="17" t="n">
        <f aca="false">COUNTIFS('Pedidos Top10'!$A$2:$A$1839,A45,'Pedidos Top10'!$C$2:$C$1839,C45)</f>
        <v>5</v>
      </c>
      <c r="E45" s="19" t="n">
        <f aca="false">SUMIFS('Pedidos Top10'!$J$2:$J$1839,'Pedidos Top10'!$A$2:$A$1839,A45,'Pedidos Top10'!$C$2:$C$1839,C45)</f>
        <v>218.39</v>
      </c>
      <c r="F45" s="8" t="n">
        <f aca="false">SUMIFS('Pedidos Top10'!$L$2:$L$1839,'Pedidos Top10'!$A$2:$A$1839,A45,'Pedidos Top10'!$C$2:$C$1839,C45)</f>
        <v>940.95</v>
      </c>
      <c r="G45" s="8" t="n">
        <f aca="false">SUMIFS('Pedidos Top10'!$AD$2:$AD$1839,'Pedidos Top10'!$A$2:$A$1839,A45,'Pedidos Top10'!$C$2:$C$1839,C45)</f>
        <v>745.51</v>
      </c>
      <c r="H45" s="8" t="n">
        <f aca="false">G45-F45</f>
        <v>-195.44</v>
      </c>
      <c r="I45" s="9" t="n">
        <f aca="false">IF(F45=0,0,H45/F45)</f>
        <v>-0.207704979010574</v>
      </c>
      <c r="J45" s="8" t="n">
        <f aca="false">IF(D45=0,0,F45/D45)</f>
        <v>188.19</v>
      </c>
      <c r="K45" s="8" t="n">
        <f aca="false">IF(D45=0,0,G45/D45)</f>
        <v>149.102</v>
      </c>
      <c r="L45" s="8" t="n">
        <f aca="false">IF(E45=0,0,F45/E45)</f>
        <v>4.30857640001832</v>
      </c>
      <c r="M45" s="8" t="n">
        <f aca="false">IF(E45=0,0,G45/E45)</f>
        <v>3.41366362928706</v>
      </c>
      <c r="N45" s="20" t="n">
        <v>9</v>
      </c>
      <c r="O45" s="9" t="n">
        <f aca="false">IF(D45=0,0,COUNTIFS('Pedidos Top10'!$A$2:$A$1839,A45,'Pedidos Top10'!$C$2:$C$1839,C45,'Pedidos Top10'!$AG$2:$AG$1839,"PASSARO")/D45)</f>
        <v>0.6</v>
      </c>
      <c r="P45" s="18" t="s">
        <v>30</v>
      </c>
      <c r="Q45" s="18" t="s">
        <v>138</v>
      </c>
      <c r="R45" s="18" t="str">
        <f aca="false">IF(I45&lt;=-0.05,"Passaro mais barata",IF(I45&lt;0.05,"Empate técnico (±5%)","Passaro mais cara"))</f>
        <v>Passaro mais barata</v>
      </c>
    </row>
    <row r="46" customFormat="false" ht="15" hidden="false" customHeight="false" outlineLevel="0" collapsed="false">
      <c r="A46" s="18" t="s">
        <v>19</v>
      </c>
      <c r="B46" s="18" t="n">
        <v>5</v>
      </c>
      <c r="C46" s="4" t="s">
        <v>139</v>
      </c>
      <c r="D46" s="17" t="n">
        <f aca="false">COUNTIFS('Pedidos Top10'!$A$2:$A$1839,A46,'Pedidos Top10'!$C$2:$C$1839,C46)</f>
        <v>5</v>
      </c>
      <c r="E46" s="19" t="n">
        <f aca="false">SUMIFS('Pedidos Top10'!$J$2:$J$1839,'Pedidos Top10'!$A$2:$A$1839,A46,'Pedidos Top10'!$C$2:$C$1839,C46)</f>
        <v>227.2</v>
      </c>
      <c r="F46" s="8" t="n">
        <f aca="false">SUMIFS('Pedidos Top10'!$L$2:$L$1839,'Pedidos Top10'!$A$2:$A$1839,A46,'Pedidos Top10'!$C$2:$C$1839,C46)</f>
        <v>790.15</v>
      </c>
      <c r="G46" s="8" t="n">
        <f aca="false">SUMIFS('Pedidos Top10'!$AD$2:$AD$1839,'Pedidos Top10'!$A$2:$A$1839,A46,'Pedidos Top10'!$C$2:$C$1839,C46)</f>
        <v>827.31</v>
      </c>
      <c r="H46" s="8" t="n">
        <f aca="false">G46-F46</f>
        <v>37.16</v>
      </c>
      <c r="I46" s="9" t="n">
        <f aca="false">IF(F46=0,0,H46/F46)</f>
        <v>0.0470290451180155</v>
      </c>
      <c r="J46" s="8" t="n">
        <f aca="false">IF(D46=0,0,F46/D46)</f>
        <v>158.03</v>
      </c>
      <c r="K46" s="8" t="n">
        <f aca="false">IF(D46=0,0,G46/D46)</f>
        <v>165.462</v>
      </c>
      <c r="L46" s="8" t="n">
        <f aca="false">IF(E46=0,0,F46/E46)</f>
        <v>3.47777288732394</v>
      </c>
      <c r="M46" s="8" t="n">
        <f aca="false">IF(E46=0,0,G46/E46)</f>
        <v>3.64132922535211</v>
      </c>
      <c r="N46" s="20" t="n">
        <v>13</v>
      </c>
      <c r="O46" s="9" t="n">
        <f aca="false">IF(D46=0,0,COUNTIFS('Pedidos Top10'!$A$2:$A$1839,A46,'Pedidos Top10'!$C$2:$C$1839,C46,'Pedidos Top10'!$AG$2:$AG$1839,"PASSARO")/D46)</f>
        <v>0.6</v>
      </c>
      <c r="P46" s="18" t="s">
        <v>30</v>
      </c>
      <c r="Q46" s="18" t="s">
        <v>110</v>
      </c>
      <c r="R46" s="18" t="str">
        <f aca="false">IF(I46&lt;=-0.05,"Passaro mais barata",IF(I46&lt;0.05,"Empate técnico (±5%)","Passaro mais cara"))</f>
        <v>Empate técnico (±5%)</v>
      </c>
    </row>
    <row r="47" customFormat="false" ht="15" hidden="false" customHeight="false" outlineLevel="0" collapsed="false">
      <c r="A47" s="18" t="s">
        <v>19</v>
      </c>
      <c r="B47" s="18" t="n">
        <v>6</v>
      </c>
      <c r="C47" s="4" t="s">
        <v>140</v>
      </c>
      <c r="D47" s="17" t="n">
        <f aca="false">COUNTIFS('Pedidos Top10'!$A$2:$A$1839,A47,'Pedidos Top10'!$C$2:$C$1839,C47)</f>
        <v>5</v>
      </c>
      <c r="E47" s="19" t="n">
        <f aca="false">SUMIFS('Pedidos Top10'!$J$2:$J$1839,'Pedidos Top10'!$A$2:$A$1839,A47,'Pedidos Top10'!$C$2:$C$1839,C47)</f>
        <v>178.89</v>
      </c>
      <c r="F47" s="8" t="n">
        <f aca="false">SUMIFS('Pedidos Top10'!$L$2:$L$1839,'Pedidos Top10'!$A$2:$A$1839,A47,'Pedidos Top10'!$C$2:$C$1839,C47)</f>
        <v>720.63</v>
      </c>
      <c r="G47" s="8" t="n">
        <f aca="false">SUMIFS('Pedidos Top10'!$AD$2:$AD$1839,'Pedidos Top10'!$A$2:$A$1839,A47,'Pedidos Top10'!$C$2:$C$1839,C47)</f>
        <v>712.45</v>
      </c>
      <c r="H47" s="8" t="n">
        <f aca="false">G47-F47</f>
        <v>-8.17999999999995</v>
      </c>
      <c r="I47" s="9" t="n">
        <f aca="false">IF(F47=0,0,H47/F47)</f>
        <v>-0.0113511788296351</v>
      </c>
      <c r="J47" s="8" t="n">
        <f aca="false">IF(D47=0,0,F47/D47)</f>
        <v>144.126</v>
      </c>
      <c r="K47" s="8" t="n">
        <f aca="false">IF(D47=0,0,G47/D47)</f>
        <v>142.49</v>
      </c>
      <c r="L47" s="8" t="n">
        <f aca="false">IF(E47=0,0,F47/E47)</f>
        <v>4.02834143887305</v>
      </c>
      <c r="M47" s="8" t="n">
        <f aca="false">IF(E47=0,0,G47/E47)</f>
        <v>3.98261501481357</v>
      </c>
      <c r="N47" s="20" t="n">
        <v>9</v>
      </c>
      <c r="O47" s="9" t="n">
        <f aca="false">IF(D47=0,0,COUNTIFS('Pedidos Top10'!$A$2:$A$1839,A47,'Pedidos Top10'!$C$2:$C$1839,C47,'Pedidos Top10'!$AG$2:$AG$1839,"PASSARO")/D47)</f>
        <v>0.2</v>
      </c>
      <c r="P47" s="18" t="s">
        <v>30</v>
      </c>
      <c r="Q47" s="18" t="s">
        <v>110</v>
      </c>
      <c r="R47" s="18" t="str">
        <f aca="false">IF(I47&lt;=-0.05,"Passaro mais barata",IF(I47&lt;0.05,"Empate técnico (±5%)","Passaro mais cara"))</f>
        <v>Empate técnico (±5%)</v>
      </c>
    </row>
    <row r="48" customFormat="false" ht="15" hidden="false" customHeight="false" outlineLevel="0" collapsed="false">
      <c r="A48" s="18" t="s">
        <v>19</v>
      </c>
      <c r="B48" s="18" t="n">
        <v>7</v>
      </c>
      <c r="C48" s="4" t="s">
        <v>141</v>
      </c>
      <c r="D48" s="17" t="n">
        <f aca="false">COUNTIFS('Pedidos Top10'!$A$2:$A$1839,A48,'Pedidos Top10'!$C$2:$C$1839,C48)</f>
        <v>3</v>
      </c>
      <c r="E48" s="19" t="n">
        <f aca="false">SUMIFS('Pedidos Top10'!$J$2:$J$1839,'Pedidos Top10'!$A$2:$A$1839,A48,'Pedidos Top10'!$C$2:$C$1839,C48)</f>
        <v>121.3</v>
      </c>
      <c r="F48" s="8" t="n">
        <f aca="false">SUMIFS('Pedidos Top10'!$L$2:$L$1839,'Pedidos Top10'!$A$2:$A$1839,A48,'Pedidos Top10'!$C$2:$C$1839,C48)</f>
        <v>608.33</v>
      </c>
      <c r="G48" s="8" t="n">
        <f aca="false">SUMIFS('Pedidos Top10'!$AD$2:$AD$1839,'Pedidos Top10'!$A$2:$A$1839,A48,'Pedidos Top10'!$C$2:$C$1839,C48)</f>
        <v>489.1</v>
      </c>
      <c r="H48" s="8" t="n">
        <f aca="false">G48-F48</f>
        <v>-119.23</v>
      </c>
      <c r="I48" s="9" t="n">
        <f aca="false">IF(F48=0,0,H48/F48)</f>
        <v>-0.195995594496408</v>
      </c>
      <c r="J48" s="8" t="n">
        <f aca="false">IF(D48=0,0,F48/D48)</f>
        <v>202.776666666667</v>
      </c>
      <c r="K48" s="8" t="n">
        <f aca="false">IF(D48=0,0,G48/D48)</f>
        <v>163.033333333333</v>
      </c>
      <c r="L48" s="8" t="n">
        <f aca="false">IF(E48=0,0,F48/E48)</f>
        <v>5.01508656224238</v>
      </c>
      <c r="M48" s="8" t="n">
        <f aca="false">IF(E48=0,0,G48/E48)</f>
        <v>4.03215169002473</v>
      </c>
      <c r="N48" s="20" t="n">
        <v>12</v>
      </c>
      <c r="O48" s="9" t="n">
        <f aca="false">IF(D48=0,0,COUNTIFS('Pedidos Top10'!$A$2:$A$1839,A48,'Pedidos Top10'!$C$2:$C$1839,C48,'Pedidos Top10'!$AG$2:$AG$1839,"PASSARO")/D48)</f>
        <v>0.666666666666667</v>
      </c>
      <c r="P48" s="18" t="s">
        <v>30</v>
      </c>
      <c r="Q48" s="18" t="s">
        <v>69</v>
      </c>
      <c r="R48" s="18" t="str">
        <f aca="false">IF(I48&lt;=-0.05,"Passaro mais barata",IF(I48&lt;0.05,"Empate técnico (±5%)","Passaro mais cara"))</f>
        <v>Passaro mais barata</v>
      </c>
    </row>
    <row r="49" customFormat="false" ht="15" hidden="false" customHeight="false" outlineLevel="0" collapsed="false">
      <c r="A49" s="18" t="s">
        <v>19</v>
      </c>
      <c r="B49" s="18" t="n">
        <v>8</v>
      </c>
      <c r="C49" s="4" t="s">
        <v>142</v>
      </c>
      <c r="D49" s="17" t="n">
        <f aca="false">COUNTIFS('Pedidos Top10'!$A$2:$A$1839,A49,'Pedidos Top10'!$C$2:$C$1839,C49)</f>
        <v>2</v>
      </c>
      <c r="E49" s="19" t="n">
        <f aca="false">SUMIFS('Pedidos Top10'!$J$2:$J$1839,'Pedidos Top10'!$A$2:$A$1839,A49,'Pedidos Top10'!$C$2:$C$1839,C49)</f>
        <v>126.2</v>
      </c>
      <c r="F49" s="8" t="n">
        <f aca="false">SUMIFS('Pedidos Top10'!$L$2:$L$1839,'Pedidos Top10'!$A$2:$A$1839,A49,'Pedidos Top10'!$C$2:$C$1839,C49)</f>
        <v>578.63</v>
      </c>
      <c r="G49" s="8" t="n">
        <f aca="false">SUMIFS('Pedidos Top10'!$AD$2:$AD$1839,'Pedidos Top10'!$A$2:$A$1839,A49,'Pedidos Top10'!$C$2:$C$1839,C49)</f>
        <v>363.61</v>
      </c>
      <c r="H49" s="8" t="n">
        <f aca="false">G49-F49</f>
        <v>-215.02</v>
      </c>
      <c r="I49" s="9" t="n">
        <f aca="false">IF(F49=0,0,H49/F49)</f>
        <v>-0.371601887216356</v>
      </c>
      <c r="J49" s="8" t="n">
        <f aca="false">IF(D49=0,0,F49/D49)</f>
        <v>289.315</v>
      </c>
      <c r="K49" s="8" t="n">
        <f aca="false">IF(D49=0,0,G49/D49)</f>
        <v>181.805</v>
      </c>
      <c r="L49" s="8" t="n">
        <f aca="false">IF(E49=0,0,F49/E49)</f>
        <v>4.58502377179081</v>
      </c>
      <c r="M49" s="8" t="n">
        <f aca="false">IF(E49=0,0,G49/E49)</f>
        <v>2.88122028526149</v>
      </c>
      <c r="N49" s="20" t="n">
        <v>9</v>
      </c>
      <c r="O49" s="9" t="n">
        <f aca="false">IF(D49=0,0,COUNTIFS('Pedidos Top10'!$A$2:$A$1839,A49,'Pedidos Top10'!$C$2:$C$1839,C49,'Pedidos Top10'!$AG$2:$AG$1839,"PASSARO")/D49)</f>
        <v>1</v>
      </c>
      <c r="P49" s="18" t="s">
        <v>33</v>
      </c>
      <c r="Q49" s="18" t="s">
        <v>143</v>
      </c>
      <c r="R49" s="18" t="str">
        <f aca="false">IF(I49&lt;=-0.05,"Passaro mais barata",IF(I49&lt;0.05,"Empate técnico (±5%)","Passaro mais cara"))</f>
        <v>Passaro mais barata</v>
      </c>
    </row>
    <row r="50" customFormat="false" ht="15" hidden="false" customHeight="false" outlineLevel="0" collapsed="false">
      <c r="A50" s="18" t="s">
        <v>19</v>
      </c>
      <c r="B50" s="18" t="n">
        <v>9</v>
      </c>
      <c r="C50" s="4" t="s">
        <v>144</v>
      </c>
      <c r="D50" s="17" t="n">
        <f aca="false">COUNTIFS('Pedidos Top10'!$A$2:$A$1839,A50,'Pedidos Top10'!$C$2:$C$1839,C50)</f>
        <v>2</v>
      </c>
      <c r="E50" s="19" t="n">
        <f aca="false">SUMIFS('Pedidos Top10'!$J$2:$J$1839,'Pedidos Top10'!$A$2:$A$1839,A50,'Pedidos Top10'!$C$2:$C$1839,C50)</f>
        <v>105.8</v>
      </c>
      <c r="F50" s="8" t="n">
        <f aca="false">SUMIFS('Pedidos Top10'!$L$2:$L$1839,'Pedidos Top10'!$A$2:$A$1839,A50,'Pedidos Top10'!$C$2:$C$1839,C50)</f>
        <v>538.66</v>
      </c>
      <c r="G50" s="8" t="n">
        <f aca="false">SUMIFS('Pedidos Top10'!$AD$2:$AD$1839,'Pedidos Top10'!$A$2:$A$1839,A50,'Pedidos Top10'!$C$2:$C$1839,C50)</f>
        <v>343.35</v>
      </c>
      <c r="H50" s="8" t="n">
        <f aca="false">G50-F50</f>
        <v>-195.31</v>
      </c>
      <c r="I50" s="9" t="n">
        <f aca="false">IF(F50=0,0,H50/F50)</f>
        <v>-0.362584932981844</v>
      </c>
      <c r="J50" s="8" t="n">
        <f aca="false">IF(D50=0,0,F50/D50)</f>
        <v>269.33</v>
      </c>
      <c r="K50" s="8" t="n">
        <f aca="false">IF(D50=0,0,G50/D50)</f>
        <v>171.675</v>
      </c>
      <c r="L50" s="8" t="n">
        <f aca="false">IF(E50=0,0,F50/E50)</f>
        <v>5.09130434782609</v>
      </c>
      <c r="M50" s="8" t="n">
        <f aca="false">IF(E50=0,0,G50/E50)</f>
        <v>3.2452741020794</v>
      </c>
      <c r="N50" s="20" t="n">
        <v>12</v>
      </c>
      <c r="O50" s="9" t="n">
        <f aca="false">IF(D50=0,0,COUNTIFS('Pedidos Top10'!$A$2:$A$1839,A50,'Pedidos Top10'!$C$2:$C$1839,C50,'Pedidos Top10'!$AG$2:$AG$1839,"PASSARO")/D50)</f>
        <v>1</v>
      </c>
      <c r="P50" s="18" t="s">
        <v>30</v>
      </c>
      <c r="Q50" s="18" t="s">
        <v>145</v>
      </c>
      <c r="R50" s="18" t="str">
        <f aca="false">IF(I50&lt;=-0.05,"Passaro mais barata",IF(I50&lt;0.05,"Empate técnico (±5%)","Passaro mais cara"))</f>
        <v>Passaro mais barata</v>
      </c>
    </row>
    <row r="51" customFormat="false" ht="15" hidden="false" customHeight="false" outlineLevel="0" collapsed="false">
      <c r="A51" s="18" t="s">
        <v>19</v>
      </c>
      <c r="B51" s="18" t="n">
        <v>10</v>
      </c>
      <c r="C51" s="4" t="s">
        <v>146</v>
      </c>
      <c r="D51" s="17" t="n">
        <f aca="false">COUNTIFS('Pedidos Top10'!$A$2:$A$1839,A51,'Pedidos Top10'!$C$2:$C$1839,C51)</f>
        <v>2</v>
      </c>
      <c r="E51" s="19" t="n">
        <f aca="false">SUMIFS('Pedidos Top10'!$J$2:$J$1839,'Pedidos Top10'!$A$2:$A$1839,A51,'Pedidos Top10'!$C$2:$C$1839,C51)</f>
        <v>114.61</v>
      </c>
      <c r="F51" s="8" t="n">
        <f aca="false">SUMIFS('Pedidos Top10'!$L$2:$L$1839,'Pedidos Top10'!$A$2:$A$1839,A51,'Pedidos Top10'!$C$2:$C$1839,C51)</f>
        <v>508.32</v>
      </c>
      <c r="G51" s="8" t="n">
        <f aca="false">SUMIFS('Pedidos Top10'!$AD$2:$AD$1839,'Pedidos Top10'!$A$2:$A$1839,A51,'Pedidos Top10'!$C$2:$C$1839,C51)</f>
        <v>390.56</v>
      </c>
      <c r="H51" s="8" t="n">
        <f aca="false">G51-F51</f>
        <v>-117.76</v>
      </c>
      <c r="I51" s="9" t="n">
        <f aca="false">IF(F51=0,0,H51/F51)</f>
        <v>-0.231665092854895</v>
      </c>
      <c r="J51" s="8" t="n">
        <f aca="false">IF(D51=0,0,F51/D51)</f>
        <v>254.16</v>
      </c>
      <c r="K51" s="8" t="n">
        <f aca="false">IF(D51=0,0,G51/D51)</f>
        <v>195.28</v>
      </c>
      <c r="L51" s="8" t="n">
        <f aca="false">IF(E51=0,0,F51/E51)</f>
        <v>4.43521507721839</v>
      </c>
      <c r="M51" s="8" t="n">
        <f aca="false">IF(E51=0,0,G51/E51)</f>
        <v>3.40773056452317</v>
      </c>
      <c r="N51" s="20" t="n">
        <v>13</v>
      </c>
      <c r="O51" s="9" t="n">
        <f aca="false">IF(D51=0,0,COUNTIFS('Pedidos Top10'!$A$2:$A$1839,A51,'Pedidos Top10'!$C$2:$C$1839,C51,'Pedidos Top10'!$AG$2:$AG$1839,"PASSARO")/D51)</f>
        <v>0.5</v>
      </c>
      <c r="P51" s="18" t="s">
        <v>30</v>
      </c>
      <c r="Q51" s="18" t="s">
        <v>145</v>
      </c>
      <c r="R51" s="18" t="str">
        <f aca="false">IF(I51&lt;=-0.05,"Passaro mais barata",IF(I51&lt;0.05,"Empate técnico (±5%)","Passaro mais cara"))</f>
        <v>Passaro mais barata</v>
      </c>
    </row>
    <row r="52" customFormat="false" ht="15" hidden="false" customHeight="false" outlineLevel="0" collapsed="false">
      <c r="A52" s="18" t="s">
        <v>20</v>
      </c>
      <c r="B52" s="18" t="n">
        <v>1</v>
      </c>
      <c r="C52" s="4" t="s">
        <v>147</v>
      </c>
      <c r="D52" s="17" t="n">
        <f aca="false">COUNTIFS('Pedidos Top10'!$A$2:$A$1839,A52,'Pedidos Top10'!$C$2:$C$1839,C52)</f>
        <v>134</v>
      </c>
      <c r="E52" s="19" t="n">
        <f aca="false">SUMIFS('Pedidos Top10'!$J$2:$J$1839,'Pedidos Top10'!$A$2:$A$1839,A52,'Pedidos Top10'!$C$2:$C$1839,C52)</f>
        <v>5833.42</v>
      </c>
      <c r="F52" s="8" t="n">
        <f aca="false">SUMIFS('Pedidos Top10'!$L$2:$L$1839,'Pedidos Top10'!$A$2:$A$1839,A52,'Pedidos Top10'!$C$2:$C$1839,C52)</f>
        <v>19556.69</v>
      </c>
      <c r="G52" s="8" t="n">
        <f aca="false">SUMIFS('Pedidos Top10'!$AD$2:$AD$1839,'Pedidos Top10'!$A$2:$A$1839,A52,'Pedidos Top10'!$C$2:$C$1839,C52)</f>
        <v>19238.63</v>
      </c>
      <c r="H52" s="8" t="n">
        <f aca="false">G52-F52</f>
        <v>-318.059999999998</v>
      </c>
      <c r="I52" s="9" t="n">
        <f aca="false">IF(F52=0,0,H52/F52)</f>
        <v>-0.016263488351045</v>
      </c>
      <c r="J52" s="8" t="n">
        <f aca="false">IF(D52=0,0,F52/D52)</f>
        <v>145.945447761194</v>
      </c>
      <c r="K52" s="8" t="n">
        <f aca="false">IF(D52=0,0,G52/D52)</f>
        <v>143.571865671642</v>
      </c>
      <c r="L52" s="8" t="n">
        <f aca="false">IF(E52=0,0,F52/E52)</f>
        <v>3.35252561961937</v>
      </c>
      <c r="M52" s="8" t="n">
        <f aca="false">IF(E52=0,0,G52/E52)</f>
        <v>3.29800185825811</v>
      </c>
      <c r="N52" s="20" t="n">
        <v>8</v>
      </c>
      <c r="O52" s="9" t="n">
        <f aca="false">IF(D52=0,0,COUNTIFS('Pedidos Top10'!$A$2:$A$1839,A52,'Pedidos Top10'!$C$2:$C$1839,C52,'Pedidos Top10'!$AG$2:$AG$1839,"PASSARO")/D52)</f>
        <v>0.626865671641791</v>
      </c>
      <c r="P52" s="18" t="s">
        <v>30</v>
      </c>
      <c r="Q52" s="18" t="s">
        <v>148</v>
      </c>
      <c r="R52" s="18" t="str">
        <f aca="false">IF(I52&lt;=-0.05,"Passaro mais barata",IF(I52&lt;0.05,"Empate técnico (±5%)","Passaro mais cara"))</f>
        <v>Empate técnico (±5%)</v>
      </c>
    </row>
    <row r="53" customFormat="false" ht="15" hidden="false" customHeight="false" outlineLevel="0" collapsed="false">
      <c r="A53" s="18" t="s">
        <v>20</v>
      </c>
      <c r="B53" s="18" t="n">
        <v>2</v>
      </c>
      <c r="C53" s="4" t="s">
        <v>149</v>
      </c>
      <c r="D53" s="17" t="n">
        <f aca="false">COUNTIFS('Pedidos Top10'!$A$2:$A$1839,A53,'Pedidos Top10'!$C$2:$C$1839,C53)</f>
        <v>41</v>
      </c>
      <c r="E53" s="19" t="n">
        <f aca="false">SUMIFS('Pedidos Top10'!$J$2:$J$1839,'Pedidos Top10'!$A$2:$A$1839,A53,'Pedidos Top10'!$C$2:$C$1839,C53)</f>
        <v>1838.16</v>
      </c>
      <c r="F53" s="8" t="n">
        <f aca="false">SUMIFS('Pedidos Top10'!$L$2:$L$1839,'Pedidos Top10'!$A$2:$A$1839,A53,'Pedidos Top10'!$C$2:$C$1839,C53)</f>
        <v>6688.1</v>
      </c>
      <c r="G53" s="8" t="n">
        <f aca="false">SUMIFS('Pedidos Top10'!$AD$2:$AD$1839,'Pedidos Top10'!$A$2:$A$1839,A53,'Pedidos Top10'!$C$2:$C$1839,C53)</f>
        <v>5943.83</v>
      </c>
      <c r="H53" s="8" t="n">
        <f aca="false">G53-F53</f>
        <v>-744.27</v>
      </c>
      <c r="I53" s="9" t="n">
        <f aca="false">IF(F53=0,0,H53/F53)</f>
        <v>-0.111282726035795</v>
      </c>
      <c r="J53" s="8" t="n">
        <f aca="false">IF(D53=0,0,F53/D53)</f>
        <v>163.124390243902</v>
      </c>
      <c r="K53" s="8" t="n">
        <f aca="false">IF(D53=0,0,G53/D53)</f>
        <v>144.971463414634</v>
      </c>
      <c r="L53" s="8" t="n">
        <f aca="false">IF(E53=0,0,F53/E53)</f>
        <v>3.63847543195369</v>
      </c>
      <c r="M53" s="8" t="n">
        <f aca="false">IF(E53=0,0,G53/E53)</f>
        <v>3.23357596727162</v>
      </c>
      <c r="N53" s="20" t="n">
        <v>8</v>
      </c>
      <c r="O53" s="9" t="n">
        <f aca="false">IF(D53=0,0,COUNTIFS('Pedidos Top10'!$A$2:$A$1839,A53,'Pedidos Top10'!$C$2:$C$1839,C53,'Pedidos Top10'!$AG$2:$AG$1839,"PASSARO")/D53)</f>
        <v>0.609756097560976</v>
      </c>
      <c r="P53" s="18" t="s">
        <v>30</v>
      </c>
      <c r="Q53" s="18" t="s">
        <v>150</v>
      </c>
      <c r="R53" s="18" t="str">
        <f aca="false">IF(I53&lt;=-0.05,"Passaro mais barata",IF(I53&lt;0.05,"Empate técnico (±5%)","Passaro mais cara"))</f>
        <v>Passaro mais barata</v>
      </c>
    </row>
    <row r="54" customFormat="false" ht="15" hidden="false" customHeight="false" outlineLevel="0" collapsed="false">
      <c r="A54" s="18" t="s">
        <v>20</v>
      </c>
      <c r="B54" s="18" t="n">
        <v>3</v>
      </c>
      <c r="C54" s="4" t="s">
        <v>151</v>
      </c>
      <c r="D54" s="17" t="n">
        <f aca="false">COUNTIFS('Pedidos Top10'!$A$2:$A$1839,A54,'Pedidos Top10'!$C$2:$C$1839,C54)</f>
        <v>39</v>
      </c>
      <c r="E54" s="19" t="n">
        <f aca="false">SUMIFS('Pedidos Top10'!$J$2:$J$1839,'Pedidos Top10'!$A$2:$A$1839,A54,'Pedidos Top10'!$C$2:$C$1839,C54)</f>
        <v>1662.49</v>
      </c>
      <c r="F54" s="8" t="n">
        <f aca="false">SUMIFS('Pedidos Top10'!$L$2:$L$1839,'Pedidos Top10'!$A$2:$A$1839,A54,'Pedidos Top10'!$C$2:$C$1839,C54)</f>
        <v>6829.18</v>
      </c>
      <c r="G54" s="8" t="n">
        <f aca="false">SUMIFS('Pedidos Top10'!$AD$2:$AD$1839,'Pedidos Top10'!$A$2:$A$1839,A54,'Pedidos Top10'!$C$2:$C$1839,C54)</f>
        <v>5493.34</v>
      </c>
      <c r="H54" s="8" t="n">
        <f aca="false">G54-F54</f>
        <v>-1335.84</v>
      </c>
      <c r="I54" s="9" t="n">
        <f aca="false">IF(F54=0,0,H54/F54)</f>
        <v>-0.1956076717849</v>
      </c>
      <c r="J54" s="8" t="n">
        <f aca="false">IF(D54=0,0,F54/D54)</f>
        <v>175.10717948718</v>
      </c>
      <c r="K54" s="8" t="n">
        <f aca="false">IF(D54=0,0,G54/D54)</f>
        <v>140.854871794872</v>
      </c>
      <c r="L54" s="8" t="n">
        <f aca="false">IF(E54=0,0,F54/E54)</f>
        <v>4.1078021521934</v>
      </c>
      <c r="M54" s="8" t="n">
        <f aca="false">IF(E54=0,0,G54/E54)</f>
        <v>3.30428453704985</v>
      </c>
      <c r="N54" s="20" t="n">
        <v>13</v>
      </c>
      <c r="O54" s="9" t="n">
        <f aca="false">IF(D54=0,0,COUNTIFS('Pedidos Top10'!$A$2:$A$1839,A54,'Pedidos Top10'!$C$2:$C$1839,C54,'Pedidos Top10'!$AG$2:$AG$1839,"PASSARO")/D54)</f>
        <v>0.769230769230769</v>
      </c>
      <c r="P54" s="18" t="s">
        <v>30</v>
      </c>
      <c r="Q54" s="18" t="s">
        <v>152</v>
      </c>
      <c r="R54" s="18" t="str">
        <f aca="false">IF(I54&lt;=-0.05,"Passaro mais barata",IF(I54&lt;0.05,"Empate técnico (±5%)","Passaro mais cara"))</f>
        <v>Passaro mais barata</v>
      </c>
    </row>
    <row r="55" customFormat="false" ht="15" hidden="false" customHeight="false" outlineLevel="0" collapsed="false">
      <c r="A55" s="18" t="s">
        <v>20</v>
      </c>
      <c r="B55" s="18" t="n">
        <v>4</v>
      </c>
      <c r="C55" s="4" t="s">
        <v>153</v>
      </c>
      <c r="D55" s="17" t="n">
        <f aca="false">COUNTIFS('Pedidos Top10'!$A$2:$A$1839,A55,'Pedidos Top10'!$C$2:$C$1839,C55)</f>
        <v>36</v>
      </c>
      <c r="E55" s="19" t="n">
        <f aca="false">SUMIFS('Pedidos Top10'!$J$2:$J$1839,'Pedidos Top10'!$A$2:$A$1839,A55,'Pedidos Top10'!$C$2:$C$1839,C55)</f>
        <v>1757.79</v>
      </c>
      <c r="F55" s="8" t="n">
        <f aca="false">SUMIFS('Pedidos Top10'!$L$2:$L$1839,'Pedidos Top10'!$A$2:$A$1839,A55,'Pedidos Top10'!$C$2:$C$1839,C55)</f>
        <v>5901.05</v>
      </c>
      <c r="G55" s="8" t="n">
        <f aca="false">SUMIFS('Pedidos Top10'!$AD$2:$AD$1839,'Pedidos Top10'!$A$2:$A$1839,A55,'Pedidos Top10'!$C$2:$C$1839,C55)</f>
        <v>5347.42</v>
      </c>
      <c r="H55" s="8" t="n">
        <f aca="false">G55-F55</f>
        <v>-553.63</v>
      </c>
      <c r="I55" s="9" t="n">
        <f aca="false">IF(F55=0,0,H55/F55)</f>
        <v>-0.0938188966370392</v>
      </c>
      <c r="J55" s="8" t="n">
        <f aca="false">IF(D55=0,0,F55/D55)</f>
        <v>163.918055555556</v>
      </c>
      <c r="K55" s="8" t="n">
        <f aca="false">IF(D55=0,0,G55/D55)</f>
        <v>148.539444444444</v>
      </c>
      <c r="L55" s="8" t="n">
        <f aca="false">IF(E55=0,0,F55/E55)</f>
        <v>3.35708474846256</v>
      </c>
      <c r="M55" s="8" t="n">
        <f aca="false">IF(E55=0,0,G55/E55)</f>
        <v>3.04212676144477</v>
      </c>
      <c r="N55" s="20" t="n">
        <v>8</v>
      </c>
      <c r="O55" s="9" t="n">
        <f aca="false">IF(D55=0,0,COUNTIFS('Pedidos Top10'!$A$2:$A$1839,A55,'Pedidos Top10'!$C$2:$C$1839,C55,'Pedidos Top10'!$AG$2:$AG$1839,"PASSARO")/D55)</f>
        <v>0.694444444444444</v>
      </c>
      <c r="P55" s="18" t="s">
        <v>30</v>
      </c>
      <c r="Q55" s="18" t="s">
        <v>154</v>
      </c>
      <c r="R55" s="18" t="str">
        <f aca="false">IF(I55&lt;=-0.05,"Passaro mais barata",IF(I55&lt;0.05,"Empate técnico (±5%)","Passaro mais cara"))</f>
        <v>Passaro mais barata</v>
      </c>
    </row>
    <row r="56" customFormat="false" ht="15" hidden="false" customHeight="false" outlineLevel="0" collapsed="false">
      <c r="A56" s="18" t="s">
        <v>20</v>
      </c>
      <c r="B56" s="18" t="n">
        <v>5</v>
      </c>
      <c r="C56" s="4" t="s">
        <v>155</v>
      </c>
      <c r="D56" s="17" t="n">
        <f aca="false">COUNTIFS('Pedidos Top10'!$A$2:$A$1839,A56,'Pedidos Top10'!$C$2:$C$1839,C56)</f>
        <v>31</v>
      </c>
      <c r="E56" s="19" t="n">
        <f aca="false">SUMIFS('Pedidos Top10'!$J$2:$J$1839,'Pedidos Top10'!$A$2:$A$1839,A56,'Pedidos Top10'!$C$2:$C$1839,C56)</f>
        <v>1879.82</v>
      </c>
      <c r="F56" s="8" t="n">
        <f aca="false">SUMIFS('Pedidos Top10'!$L$2:$L$1839,'Pedidos Top10'!$A$2:$A$1839,A56,'Pedidos Top10'!$C$2:$C$1839,C56)</f>
        <v>7848.48</v>
      </c>
      <c r="G56" s="8" t="n">
        <f aca="false">SUMIFS('Pedidos Top10'!$AD$2:$AD$1839,'Pedidos Top10'!$A$2:$A$1839,A56,'Pedidos Top10'!$C$2:$C$1839,C56)</f>
        <v>6952.42</v>
      </c>
      <c r="H56" s="8" t="n">
        <f aca="false">G56-F56</f>
        <v>-896.06</v>
      </c>
      <c r="I56" s="9" t="n">
        <f aca="false">IF(F56=0,0,H56/F56)</f>
        <v>-0.114169877479461</v>
      </c>
      <c r="J56" s="8" t="n">
        <f aca="false">IF(D56=0,0,F56/D56)</f>
        <v>253.176774193548</v>
      </c>
      <c r="K56" s="8" t="n">
        <f aca="false">IF(D56=0,0,G56/D56)</f>
        <v>224.271612903226</v>
      </c>
      <c r="L56" s="8" t="n">
        <f aca="false">IF(E56=0,0,F56/E56)</f>
        <v>4.17512315008884</v>
      </c>
      <c r="M56" s="8" t="n">
        <f aca="false">IF(E56=0,0,G56/E56)</f>
        <v>3.69844985158153</v>
      </c>
      <c r="N56" s="20" t="n">
        <v>12</v>
      </c>
      <c r="O56" s="9" t="n">
        <f aca="false">IF(D56=0,0,COUNTIFS('Pedidos Top10'!$A$2:$A$1839,A56,'Pedidos Top10'!$C$2:$C$1839,C56,'Pedidos Top10'!$AG$2:$AG$1839,"PASSARO")/D56)</f>
        <v>0.612903225806452</v>
      </c>
      <c r="P56" s="18" t="s">
        <v>30</v>
      </c>
      <c r="Q56" s="18" t="s">
        <v>156</v>
      </c>
      <c r="R56" s="18" t="str">
        <f aca="false">IF(I56&lt;=-0.05,"Passaro mais barata",IF(I56&lt;0.05,"Empate técnico (±5%)","Passaro mais cara"))</f>
        <v>Passaro mais barata</v>
      </c>
    </row>
    <row r="57" customFormat="false" ht="15" hidden="false" customHeight="false" outlineLevel="0" collapsed="false">
      <c r="A57" s="18" t="s">
        <v>20</v>
      </c>
      <c r="B57" s="18" t="n">
        <v>6</v>
      </c>
      <c r="C57" s="4" t="s">
        <v>157</v>
      </c>
      <c r="D57" s="17" t="n">
        <f aca="false">COUNTIFS('Pedidos Top10'!$A$2:$A$1839,A57,'Pedidos Top10'!$C$2:$C$1839,C57)</f>
        <v>20</v>
      </c>
      <c r="E57" s="19" t="n">
        <f aca="false">SUMIFS('Pedidos Top10'!$J$2:$J$1839,'Pedidos Top10'!$A$2:$A$1839,A57,'Pedidos Top10'!$C$2:$C$1839,C57)</f>
        <v>1065.68</v>
      </c>
      <c r="F57" s="8" t="n">
        <f aca="false">SUMIFS('Pedidos Top10'!$L$2:$L$1839,'Pedidos Top10'!$A$2:$A$1839,A57,'Pedidos Top10'!$C$2:$C$1839,C57)</f>
        <v>4193.4</v>
      </c>
      <c r="G57" s="8" t="n">
        <f aca="false">SUMIFS('Pedidos Top10'!$AD$2:$AD$1839,'Pedidos Top10'!$A$2:$A$1839,A57,'Pedidos Top10'!$C$2:$C$1839,C57)</f>
        <v>3624.59</v>
      </c>
      <c r="H57" s="8" t="n">
        <f aca="false">G57-F57</f>
        <v>-568.81</v>
      </c>
      <c r="I57" s="9" t="n">
        <f aca="false">IF(F57=0,0,H57/F57)</f>
        <v>-0.135644107406877</v>
      </c>
      <c r="J57" s="8" t="n">
        <f aca="false">IF(D57=0,0,F57/D57)</f>
        <v>209.67</v>
      </c>
      <c r="K57" s="8" t="n">
        <f aca="false">IF(D57=0,0,G57/D57)</f>
        <v>181.2295</v>
      </c>
      <c r="L57" s="8" t="n">
        <f aca="false">IF(E57=0,0,F57/E57)</f>
        <v>3.93495233090609</v>
      </c>
      <c r="M57" s="8" t="n">
        <f aca="false">IF(E57=0,0,G57/E57)</f>
        <v>3.40119923429172</v>
      </c>
      <c r="N57" s="20" t="n">
        <v>11</v>
      </c>
      <c r="O57" s="9" t="n">
        <f aca="false">IF(D57=0,0,COUNTIFS('Pedidos Top10'!$A$2:$A$1839,A57,'Pedidos Top10'!$C$2:$C$1839,C57,'Pedidos Top10'!$AG$2:$AG$1839,"PASSARO")/D57)</f>
        <v>0.7</v>
      </c>
      <c r="P57" s="18" t="s">
        <v>30</v>
      </c>
      <c r="Q57" s="18" t="s">
        <v>158</v>
      </c>
      <c r="R57" s="18" t="str">
        <f aca="false">IF(I57&lt;=-0.05,"Passaro mais barata",IF(I57&lt;0.05,"Empate técnico (±5%)","Passaro mais cara"))</f>
        <v>Passaro mais barata</v>
      </c>
    </row>
    <row r="58" customFormat="false" ht="15" hidden="false" customHeight="false" outlineLevel="0" collapsed="false">
      <c r="A58" s="18" t="s">
        <v>20</v>
      </c>
      <c r="B58" s="18" t="n">
        <v>7</v>
      </c>
      <c r="C58" s="4" t="s">
        <v>159</v>
      </c>
      <c r="D58" s="17" t="n">
        <f aca="false">COUNTIFS('Pedidos Top10'!$A$2:$A$1839,A58,'Pedidos Top10'!$C$2:$C$1839,C58)</f>
        <v>13</v>
      </c>
      <c r="E58" s="19" t="n">
        <f aca="false">SUMIFS('Pedidos Top10'!$J$2:$J$1839,'Pedidos Top10'!$A$2:$A$1839,A58,'Pedidos Top10'!$C$2:$C$1839,C58)</f>
        <v>815.53</v>
      </c>
      <c r="F58" s="8" t="n">
        <f aca="false">SUMIFS('Pedidos Top10'!$L$2:$L$1839,'Pedidos Top10'!$A$2:$A$1839,A58,'Pedidos Top10'!$C$2:$C$1839,C58)</f>
        <v>2731.97</v>
      </c>
      <c r="G58" s="8" t="n">
        <f aca="false">SUMIFS('Pedidos Top10'!$AD$2:$AD$1839,'Pedidos Top10'!$A$2:$A$1839,A58,'Pedidos Top10'!$C$2:$C$1839,C58)</f>
        <v>2404.25</v>
      </c>
      <c r="H58" s="8" t="n">
        <f aca="false">G58-F58</f>
        <v>-327.72</v>
      </c>
      <c r="I58" s="9" t="n">
        <f aca="false">IF(F58=0,0,H58/F58)</f>
        <v>-0.119957393382797</v>
      </c>
      <c r="J58" s="8" t="n">
        <f aca="false">IF(D58=0,0,F58/D58)</f>
        <v>210.151538461538</v>
      </c>
      <c r="K58" s="8" t="n">
        <f aca="false">IF(D58=0,0,G58/D58)</f>
        <v>184.942307692308</v>
      </c>
      <c r="L58" s="8" t="n">
        <f aca="false">IF(E58=0,0,F58/E58)</f>
        <v>3.3499319460964</v>
      </c>
      <c r="M58" s="8" t="n">
        <f aca="false">IF(E58=0,0,G58/E58)</f>
        <v>2.94808284183292</v>
      </c>
      <c r="N58" s="20" t="n">
        <v>11</v>
      </c>
      <c r="O58" s="9" t="n">
        <f aca="false">IF(D58=0,0,COUNTIFS('Pedidos Top10'!$A$2:$A$1839,A58,'Pedidos Top10'!$C$2:$C$1839,C58,'Pedidos Top10'!$AG$2:$AG$1839,"PASSARO")/D58)</f>
        <v>0.692307692307692</v>
      </c>
      <c r="P58" s="18" t="s">
        <v>30</v>
      </c>
      <c r="Q58" s="18" t="s">
        <v>160</v>
      </c>
      <c r="R58" s="18" t="str">
        <f aca="false">IF(I58&lt;=-0.05,"Passaro mais barata",IF(I58&lt;0.05,"Empate técnico (±5%)","Passaro mais cara"))</f>
        <v>Passaro mais barata</v>
      </c>
    </row>
    <row r="59" customFormat="false" ht="15" hidden="false" customHeight="false" outlineLevel="0" collapsed="false">
      <c r="A59" s="18" t="s">
        <v>20</v>
      </c>
      <c r="B59" s="18" t="n">
        <v>8</v>
      </c>
      <c r="C59" s="4" t="s">
        <v>161</v>
      </c>
      <c r="D59" s="17" t="n">
        <f aca="false">COUNTIFS('Pedidos Top10'!$A$2:$A$1839,A59,'Pedidos Top10'!$C$2:$C$1839,C59)</f>
        <v>13</v>
      </c>
      <c r="E59" s="19" t="n">
        <f aca="false">SUMIFS('Pedidos Top10'!$J$2:$J$1839,'Pedidos Top10'!$A$2:$A$1839,A59,'Pedidos Top10'!$C$2:$C$1839,C59)</f>
        <v>636.89</v>
      </c>
      <c r="F59" s="8" t="n">
        <f aca="false">SUMIFS('Pedidos Top10'!$L$2:$L$1839,'Pedidos Top10'!$A$2:$A$1839,A59,'Pedidos Top10'!$C$2:$C$1839,C59)</f>
        <v>2213.79</v>
      </c>
      <c r="G59" s="8" t="n">
        <f aca="false">SUMIFS('Pedidos Top10'!$AD$2:$AD$1839,'Pedidos Top10'!$A$2:$A$1839,A59,'Pedidos Top10'!$C$2:$C$1839,C59)</f>
        <v>1902.31</v>
      </c>
      <c r="H59" s="8" t="n">
        <f aca="false">G59-F59</f>
        <v>-311.48</v>
      </c>
      <c r="I59" s="9" t="n">
        <f aca="false">IF(F59=0,0,H59/F59)</f>
        <v>-0.140699885716351</v>
      </c>
      <c r="J59" s="8" t="n">
        <f aca="false">IF(D59=0,0,F59/D59)</f>
        <v>170.291538461538</v>
      </c>
      <c r="K59" s="8" t="n">
        <f aca="false">IF(D59=0,0,G59/D59)</f>
        <v>146.331538461538</v>
      </c>
      <c r="L59" s="8" t="n">
        <f aca="false">IF(E59=0,0,F59/E59)</f>
        <v>3.47593776005276</v>
      </c>
      <c r="M59" s="8" t="n">
        <f aca="false">IF(E59=0,0,G59/E59)</f>
        <v>2.98687371445619</v>
      </c>
      <c r="N59" s="20" t="n">
        <v>8</v>
      </c>
      <c r="O59" s="9" t="n">
        <f aca="false">IF(D59=0,0,COUNTIFS('Pedidos Top10'!$A$2:$A$1839,A59,'Pedidos Top10'!$C$2:$C$1839,C59,'Pedidos Top10'!$AG$2:$AG$1839,"PASSARO")/D59)</f>
        <v>0.692307692307692</v>
      </c>
      <c r="P59" s="18" t="s">
        <v>30</v>
      </c>
      <c r="Q59" s="18" t="s">
        <v>162</v>
      </c>
      <c r="R59" s="18" t="str">
        <f aca="false">IF(I59&lt;=-0.05,"Passaro mais barata",IF(I59&lt;0.05,"Empate técnico (±5%)","Passaro mais cara"))</f>
        <v>Passaro mais barata</v>
      </c>
    </row>
    <row r="60" customFormat="false" ht="15" hidden="false" customHeight="false" outlineLevel="0" collapsed="false">
      <c r="A60" s="18" t="s">
        <v>20</v>
      </c>
      <c r="B60" s="18" t="n">
        <v>9</v>
      </c>
      <c r="C60" s="4" t="s">
        <v>163</v>
      </c>
      <c r="D60" s="17" t="n">
        <f aca="false">COUNTIFS('Pedidos Top10'!$A$2:$A$1839,A60,'Pedidos Top10'!$C$2:$C$1839,C60)</f>
        <v>11</v>
      </c>
      <c r="E60" s="19" t="n">
        <f aca="false">SUMIFS('Pedidos Top10'!$J$2:$J$1839,'Pedidos Top10'!$A$2:$A$1839,A60,'Pedidos Top10'!$C$2:$C$1839,C60)</f>
        <v>801.7</v>
      </c>
      <c r="F60" s="8" t="n">
        <f aca="false">SUMIFS('Pedidos Top10'!$L$2:$L$1839,'Pedidos Top10'!$A$2:$A$1839,A60,'Pedidos Top10'!$C$2:$C$1839,C60)</f>
        <v>2963.84</v>
      </c>
      <c r="G60" s="8" t="n">
        <f aca="false">SUMIFS('Pedidos Top10'!$AD$2:$AD$1839,'Pedidos Top10'!$A$2:$A$1839,A60,'Pedidos Top10'!$C$2:$C$1839,C60)</f>
        <v>2630.1</v>
      </c>
      <c r="H60" s="8" t="n">
        <f aca="false">G60-F60</f>
        <v>-333.74</v>
      </c>
      <c r="I60" s="9" t="n">
        <f aca="false">IF(F60=0,0,H60/F60)</f>
        <v>-0.112603919239905</v>
      </c>
      <c r="J60" s="8" t="n">
        <f aca="false">IF(D60=0,0,F60/D60)</f>
        <v>269.44</v>
      </c>
      <c r="K60" s="8" t="n">
        <f aca="false">IF(D60=0,0,G60/D60)</f>
        <v>239.1</v>
      </c>
      <c r="L60" s="8" t="n">
        <f aca="false">IF(E60=0,0,F60/E60)</f>
        <v>3.69694399401272</v>
      </c>
      <c r="M60" s="8" t="n">
        <f aca="false">IF(E60=0,0,G60/E60)</f>
        <v>3.28065361107646</v>
      </c>
      <c r="N60" s="20" t="n">
        <v>13</v>
      </c>
      <c r="O60" s="9" t="n">
        <f aca="false">IF(D60=0,0,COUNTIFS('Pedidos Top10'!$A$2:$A$1839,A60,'Pedidos Top10'!$C$2:$C$1839,C60,'Pedidos Top10'!$AG$2:$AG$1839,"PASSARO")/D60)</f>
        <v>0.545454545454545</v>
      </c>
      <c r="P60" s="18" t="s">
        <v>30</v>
      </c>
      <c r="Q60" s="18" t="s">
        <v>164</v>
      </c>
      <c r="R60" s="18" t="str">
        <f aca="false">IF(I60&lt;=-0.05,"Passaro mais barata",IF(I60&lt;0.05,"Empate técnico (±5%)","Passaro mais cara"))</f>
        <v>Passaro mais barata</v>
      </c>
    </row>
    <row r="61" customFormat="false" ht="15" hidden="false" customHeight="false" outlineLevel="0" collapsed="false">
      <c r="A61" s="18" t="s">
        <v>20</v>
      </c>
      <c r="B61" s="18" t="n">
        <v>10</v>
      </c>
      <c r="C61" s="4" t="s">
        <v>165</v>
      </c>
      <c r="D61" s="17" t="n">
        <f aca="false">COUNTIFS('Pedidos Top10'!$A$2:$A$1839,A61,'Pedidos Top10'!$C$2:$C$1839,C61)</f>
        <v>11</v>
      </c>
      <c r="E61" s="19" t="n">
        <f aca="false">SUMIFS('Pedidos Top10'!$J$2:$J$1839,'Pedidos Top10'!$A$2:$A$1839,A61,'Pedidos Top10'!$C$2:$C$1839,C61)</f>
        <v>569.15</v>
      </c>
      <c r="F61" s="8" t="n">
        <f aca="false">SUMIFS('Pedidos Top10'!$L$2:$L$1839,'Pedidos Top10'!$A$2:$A$1839,A61,'Pedidos Top10'!$C$2:$C$1839,C61)</f>
        <v>2335.37</v>
      </c>
      <c r="G61" s="8" t="n">
        <f aca="false">SUMIFS('Pedidos Top10'!$AD$2:$AD$1839,'Pedidos Top10'!$A$2:$A$1839,A61,'Pedidos Top10'!$C$2:$C$1839,C61)</f>
        <v>1677.07</v>
      </c>
      <c r="H61" s="8" t="n">
        <f aca="false">G61-F61</f>
        <v>-658.3</v>
      </c>
      <c r="I61" s="9" t="n">
        <f aca="false">IF(F61=0,0,H61/F61)</f>
        <v>-0.281882528250342</v>
      </c>
      <c r="J61" s="8" t="n">
        <f aca="false">IF(D61=0,0,F61/D61)</f>
        <v>212.306363636364</v>
      </c>
      <c r="K61" s="8" t="n">
        <f aca="false">IF(D61=0,0,G61/D61)</f>
        <v>152.460909090909</v>
      </c>
      <c r="L61" s="8" t="n">
        <f aca="false">IF(E61=0,0,F61/E61)</f>
        <v>4.1032592462444</v>
      </c>
      <c r="M61" s="8" t="n">
        <f aca="false">IF(E61=0,0,G61/E61)</f>
        <v>2.94662215584644</v>
      </c>
      <c r="N61" s="20" t="n">
        <v>8</v>
      </c>
      <c r="O61" s="9" t="n">
        <f aca="false">IF(D61=0,0,COUNTIFS('Pedidos Top10'!$A$2:$A$1839,A61,'Pedidos Top10'!$C$2:$C$1839,C61,'Pedidos Top10'!$AG$2:$AG$1839,"PASSARO")/D61)</f>
        <v>0.727272727272727</v>
      </c>
      <c r="P61" s="18" t="s">
        <v>30</v>
      </c>
      <c r="Q61" s="18" t="s">
        <v>166</v>
      </c>
      <c r="R61" s="18" t="str">
        <f aca="false">IF(I61&lt;=-0.05,"Passaro mais barata",IF(I61&lt;0.05,"Empate técnico (±5%)","Passaro mais cara"))</f>
        <v>Passaro mais barata</v>
      </c>
    </row>
    <row r="62" customFormat="false" ht="15" hidden="false" customHeight="false" outlineLevel="0" collapsed="false">
      <c r="A62" s="18" t="s">
        <v>21</v>
      </c>
      <c r="B62" s="18" t="n">
        <v>1</v>
      </c>
      <c r="C62" s="4" t="s">
        <v>167</v>
      </c>
      <c r="D62" s="17" t="n">
        <f aca="false">COUNTIFS('Pedidos Top10'!$A$2:$A$1839,A62,'Pedidos Top10'!$C$2:$C$1839,C62)</f>
        <v>61</v>
      </c>
      <c r="E62" s="19" t="n">
        <f aca="false">SUMIFS('Pedidos Top10'!$J$2:$J$1839,'Pedidos Top10'!$A$2:$A$1839,A62,'Pedidos Top10'!$C$2:$C$1839,C62)</f>
        <v>3366.78</v>
      </c>
      <c r="F62" s="8" t="n">
        <f aca="false">SUMIFS('Pedidos Top10'!$L$2:$L$1839,'Pedidos Top10'!$A$2:$A$1839,A62,'Pedidos Top10'!$C$2:$C$1839,C62)</f>
        <v>10893.23</v>
      </c>
      <c r="G62" s="8" t="n">
        <f aca="false">SUMIFS('Pedidos Top10'!$AD$2:$AD$1839,'Pedidos Top10'!$A$2:$A$1839,A62,'Pedidos Top10'!$C$2:$C$1839,C62)</f>
        <v>18366.26</v>
      </c>
      <c r="H62" s="8" t="n">
        <f aca="false">G62-F62</f>
        <v>7473.03</v>
      </c>
      <c r="I62" s="9" t="n">
        <f aca="false">IF(F62=0,0,H62/F62)</f>
        <v>0.686025173433408</v>
      </c>
      <c r="J62" s="8" t="n">
        <f aca="false">IF(D62=0,0,F62/D62)</f>
        <v>178.577540983607</v>
      </c>
      <c r="K62" s="8" t="n">
        <f aca="false">IF(D62=0,0,G62/D62)</f>
        <v>301.086229508197</v>
      </c>
      <c r="L62" s="8" t="n">
        <f aca="false">IF(E62=0,0,F62/E62)</f>
        <v>3.23550395333226</v>
      </c>
      <c r="M62" s="8" t="n">
        <f aca="false">IF(E62=0,0,G62/E62)</f>
        <v>5.45514111406151</v>
      </c>
      <c r="N62" s="20" t="n">
        <v>10</v>
      </c>
      <c r="O62" s="9" t="n">
        <f aca="false">IF(D62=0,0,COUNTIFS('Pedidos Top10'!$A$2:$A$1839,A62,'Pedidos Top10'!$C$2:$C$1839,C62,'Pedidos Top10'!$AG$2:$AG$1839,"PASSARO")/D62)</f>
        <v>0</v>
      </c>
      <c r="P62" s="18" t="s">
        <v>30</v>
      </c>
      <c r="Q62" s="18" t="s">
        <v>168</v>
      </c>
      <c r="R62" s="18" t="str">
        <f aca="false">IF(I62&lt;=-0.05,"Passaro mais barata",IF(I62&lt;0.05,"Empate técnico (±5%)","Passaro mais cara"))</f>
        <v>Passaro mais cara</v>
      </c>
    </row>
    <row r="63" customFormat="false" ht="15" hidden="false" customHeight="false" outlineLevel="0" collapsed="false">
      <c r="A63" s="18" t="s">
        <v>21</v>
      </c>
      <c r="B63" s="18" t="n">
        <v>2</v>
      </c>
      <c r="C63" s="4" t="s">
        <v>169</v>
      </c>
      <c r="D63" s="17" t="n">
        <f aca="false">COUNTIFS('Pedidos Top10'!$A$2:$A$1839,A63,'Pedidos Top10'!$C$2:$C$1839,C63)</f>
        <v>12</v>
      </c>
      <c r="E63" s="19" t="n">
        <f aca="false">SUMIFS('Pedidos Top10'!$J$2:$J$1839,'Pedidos Top10'!$A$2:$A$1839,A63,'Pedidos Top10'!$C$2:$C$1839,C63)</f>
        <v>785.92</v>
      </c>
      <c r="F63" s="8" t="n">
        <f aca="false">SUMIFS('Pedidos Top10'!$L$2:$L$1839,'Pedidos Top10'!$A$2:$A$1839,A63,'Pedidos Top10'!$C$2:$C$1839,C63)</f>
        <v>2850.79</v>
      </c>
      <c r="G63" s="8" t="n">
        <f aca="false">SUMIFS('Pedidos Top10'!$AD$2:$AD$1839,'Pedidos Top10'!$A$2:$A$1839,A63,'Pedidos Top10'!$C$2:$C$1839,C63)</f>
        <v>3933.56</v>
      </c>
      <c r="H63" s="8" t="n">
        <f aca="false">G63-F63</f>
        <v>1082.77</v>
      </c>
      <c r="I63" s="9" t="n">
        <f aca="false">IF(F63=0,0,H63/F63)</f>
        <v>0.379814016465611</v>
      </c>
      <c r="J63" s="8" t="n">
        <f aca="false">IF(D63=0,0,F63/D63)</f>
        <v>237.565833333333</v>
      </c>
      <c r="K63" s="8" t="n">
        <f aca="false">IF(D63=0,0,G63/D63)</f>
        <v>327.796666666667</v>
      </c>
      <c r="L63" s="8" t="n">
        <f aca="false">IF(E63=0,0,F63/E63)</f>
        <v>3.62732848127036</v>
      </c>
      <c r="M63" s="8" t="n">
        <f aca="false">IF(E63=0,0,G63/E63)</f>
        <v>5.00503868078176</v>
      </c>
      <c r="N63" s="20" t="n">
        <v>13</v>
      </c>
      <c r="O63" s="9" t="n">
        <f aca="false">IF(D63=0,0,COUNTIFS('Pedidos Top10'!$A$2:$A$1839,A63,'Pedidos Top10'!$C$2:$C$1839,C63,'Pedidos Top10'!$AG$2:$AG$1839,"PASSARO")/D63)</f>
        <v>0</v>
      </c>
      <c r="P63" s="18" t="s">
        <v>30</v>
      </c>
      <c r="Q63" s="18" t="s">
        <v>170</v>
      </c>
      <c r="R63" s="18" t="str">
        <f aca="false">IF(I63&lt;=-0.05,"Passaro mais barata",IF(I63&lt;0.05,"Empate técnico (±5%)","Passaro mais cara"))</f>
        <v>Passaro mais cara</v>
      </c>
    </row>
    <row r="64" customFormat="false" ht="15" hidden="false" customHeight="false" outlineLevel="0" collapsed="false">
      <c r="A64" s="18" t="s">
        <v>21</v>
      </c>
      <c r="B64" s="18" t="n">
        <v>3</v>
      </c>
      <c r="C64" s="4" t="s">
        <v>171</v>
      </c>
      <c r="D64" s="17" t="n">
        <f aca="false">COUNTIFS('Pedidos Top10'!$A$2:$A$1839,A64,'Pedidos Top10'!$C$2:$C$1839,C64)</f>
        <v>6</v>
      </c>
      <c r="E64" s="19" t="n">
        <f aca="false">SUMIFS('Pedidos Top10'!$J$2:$J$1839,'Pedidos Top10'!$A$2:$A$1839,A64,'Pedidos Top10'!$C$2:$C$1839,C64)</f>
        <v>508.79</v>
      </c>
      <c r="F64" s="8" t="n">
        <f aca="false">SUMIFS('Pedidos Top10'!$L$2:$L$1839,'Pedidos Top10'!$A$2:$A$1839,A64,'Pedidos Top10'!$C$2:$C$1839,C64)</f>
        <v>1742.81</v>
      </c>
      <c r="G64" s="8" t="n">
        <f aca="false">SUMIFS('Pedidos Top10'!$AD$2:$AD$1839,'Pedidos Top10'!$A$2:$A$1839,A64,'Pedidos Top10'!$C$2:$C$1839,C64)</f>
        <v>2288.24</v>
      </c>
      <c r="H64" s="8" t="n">
        <f aca="false">G64-F64</f>
        <v>545.43</v>
      </c>
      <c r="I64" s="9" t="n">
        <f aca="false">IF(F64=0,0,H64/F64)</f>
        <v>0.312960104658569</v>
      </c>
      <c r="J64" s="8" t="n">
        <f aca="false">IF(D64=0,0,F64/D64)</f>
        <v>290.468333333333</v>
      </c>
      <c r="K64" s="8" t="n">
        <f aca="false">IF(D64=0,0,G64/D64)</f>
        <v>381.373333333333</v>
      </c>
      <c r="L64" s="8" t="n">
        <f aca="false">IF(E64=0,0,F64/E64)</f>
        <v>3.42540144263842</v>
      </c>
      <c r="M64" s="8" t="n">
        <f aca="false">IF(E64=0,0,G64/E64)</f>
        <v>4.49741543662415</v>
      </c>
      <c r="N64" s="20" t="n">
        <v>15</v>
      </c>
      <c r="O64" s="9" t="n">
        <f aca="false">IF(D64=0,0,COUNTIFS('Pedidos Top10'!$A$2:$A$1839,A64,'Pedidos Top10'!$C$2:$C$1839,C64,'Pedidos Top10'!$AG$2:$AG$1839,"PASSARO")/D64)</f>
        <v>0</v>
      </c>
      <c r="P64" s="18" t="s">
        <v>32</v>
      </c>
      <c r="Q64" s="18" t="s">
        <v>125</v>
      </c>
      <c r="R64" s="18" t="str">
        <f aca="false">IF(I64&lt;=-0.05,"Passaro mais barata",IF(I64&lt;0.05,"Empate técnico (±5%)","Passaro mais cara"))</f>
        <v>Passaro mais cara</v>
      </c>
    </row>
    <row r="65" customFormat="false" ht="15" hidden="false" customHeight="false" outlineLevel="0" collapsed="false">
      <c r="A65" s="18" t="s">
        <v>21</v>
      </c>
      <c r="B65" s="18" t="n">
        <v>4</v>
      </c>
      <c r="C65" s="4" t="s">
        <v>172</v>
      </c>
      <c r="D65" s="17" t="n">
        <f aca="false">COUNTIFS('Pedidos Top10'!$A$2:$A$1839,A65,'Pedidos Top10'!$C$2:$C$1839,C65)</f>
        <v>6</v>
      </c>
      <c r="E65" s="19" t="n">
        <f aca="false">SUMIFS('Pedidos Top10'!$J$2:$J$1839,'Pedidos Top10'!$A$2:$A$1839,A65,'Pedidos Top10'!$C$2:$C$1839,C65)</f>
        <v>296.52</v>
      </c>
      <c r="F65" s="8" t="n">
        <f aca="false">SUMIFS('Pedidos Top10'!$L$2:$L$1839,'Pedidos Top10'!$A$2:$A$1839,A65,'Pedidos Top10'!$C$2:$C$1839,C65)</f>
        <v>1227.45</v>
      </c>
      <c r="G65" s="8" t="n">
        <f aca="false">SUMIFS('Pedidos Top10'!$AD$2:$AD$1839,'Pedidos Top10'!$A$2:$A$1839,A65,'Pedidos Top10'!$C$2:$C$1839,C65)</f>
        <v>2054.03</v>
      </c>
      <c r="H65" s="8" t="n">
        <f aca="false">G65-F65</f>
        <v>826.58</v>
      </c>
      <c r="I65" s="9" t="n">
        <f aca="false">IF(F65=0,0,H65/F65)</f>
        <v>0.673412358955558</v>
      </c>
      <c r="J65" s="8" t="n">
        <f aca="false">IF(D65=0,0,F65/D65)</f>
        <v>204.575</v>
      </c>
      <c r="K65" s="8" t="n">
        <f aca="false">IF(D65=0,0,G65/D65)</f>
        <v>342.338333333333</v>
      </c>
      <c r="L65" s="8" t="n">
        <f aca="false">IF(E65=0,0,F65/E65)</f>
        <v>4.13951841359773</v>
      </c>
      <c r="M65" s="8" t="n">
        <f aca="false">IF(E65=0,0,G65/E65)</f>
        <v>6.92712127343855</v>
      </c>
      <c r="N65" s="20" t="n">
        <v>15</v>
      </c>
      <c r="O65" s="9" t="n">
        <f aca="false">IF(D65=0,0,COUNTIFS('Pedidos Top10'!$A$2:$A$1839,A65,'Pedidos Top10'!$C$2:$C$1839,C65,'Pedidos Top10'!$AG$2:$AG$1839,"PASSARO")/D65)</f>
        <v>0</v>
      </c>
      <c r="P65" s="18" t="s">
        <v>30</v>
      </c>
      <c r="Q65" s="18" t="s">
        <v>173</v>
      </c>
      <c r="R65" s="18" t="str">
        <f aca="false">IF(I65&lt;=-0.05,"Passaro mais barata",IF(I65&lt;0.05,"Empate técnico (±5%)","Passaro mais cara"))</f>
        <v>Passaro mais cara</v>
      </c>
    </row>
    <row r="66" customFormat="false" ht="15" hidden="false" customHeight="false" outlineLevel="0" collapsed="false">
      <c r="A66" s="18" t="s">
        <v>21</v>
      </c>
      <c r="B66" s="18" t="n">
        <v>5</v>
      </c>
      <c r="C66" s="4" t="s">
        <v>174</v>
      </c>
      <c r="D66" s="17" t="n">
        <f aca="false">COUNTIFS('Pedidos Top10'!$A$2:$A$1839,A66,'Pedidos Top10'!$C$2:$C$1839,C66)</f>
        <v>5</v>
      </c>
      <c r="E66" s="19" t="n">
        <f aca="false">SUMIFS('Pedidos Top10'!$J$2:$J$1839,'Pedidos Top10'!$A$2:$A$1839,A66,'Pedidos Top10'!$C$2:$C$1839,C66)</f>
        <v>403.7</v>
      </c>
      <c r="F66" s="8" t="n">
        <f aca="false">SUMIFS('Pedidos Top10'!$L$2:$L$1839,'Pedidos Top10'!$A$2:$A$1839,A66,'Pedidos Top10'!$C$2:$C$1839,C66)</f>
        <v>1521.59</v>
      </c>
      <c r="G66" s="8" t="n">
        <f aca="false">SUMIFS('Pedidos Top10'!$AD$2:$AD$1839,'Pedidos Top10'!$A$2:$A$1839,A66,'Pedidos Top10'!$C$2:$C$1839,C66)</f>
        <v>4117.69</v>
      </c>
      <c r="H66" s="8" t="n">
        <f aca="false">G66-F66</f>
        <v>2596.1</v>
      </c>
      <c r="I66" s="9" t="n">
        <f aca="false">IF(F66=0,0,H66/F66)</f>
        <v>1.70617577665468</v>
      </c>
      <c r="J66" s="8" t="n">
        <f aca="false">IF(D66=0,0,F66/D66)</f>
        <v>304.318</v>
      </c>
      <c r="K66" s="8" t="n">
        <f aca="false">IF(D66=0,0,G66/D66)</f>
        <v>823.538</v>
      </c>
      <c r="L66" s="8" t="n">
        <f aca="false">IF(E66=0,0,F66/E66)</f>
        <v>3.76911072578648</v>
      </c>
      <c r="M66" s="8" t="n">
        <f aca="false">IF(E66=0,0,G66/E66)</f>
        <v>10.1998761456527</v>
      </c>
      <c r="N66" s="20" t="n">
        <v>15</v>
      </c>
      <c r="O66" s="9" t="n">
        <f aca="false">IF(D66=0,0,COUNTIFS('Pedidos Top10'!$A$2:$A$1839,A66,'Pedidos Top10'!$C$2:$C$1839,C66,'Pedidos Top10'!$AG$2:$AG$1839,"PASSARO")/D66)</f>
        <v>0</v>
      </c>
      <c r="P66" s="18" t="s">
        <v>30</v>
      </c>
      <c r="Q66" s="18" t="s">
        <v>110</v>
      </c>
      <c r="R66" s="18" t="str">
        <f aca="false">IF(I66&lt;=-0.05,"Passaro mais barata",IF(I66&lt;0.05,"Empate técnico (±5%)","Passaro mais cara"))</f>
        <v>Passaro mais cara</v>
      </c>
    </row>
    <row r="67" customFormat="false" ht="15" hidden="false" customHeight="false" outlineLevel="0" collapsed="false">
      <c r="A67" s="18" t="s">
        <v>21</v>
      </c>
      <c r="B67" s="18" t="n">
        <v>6</v>
      </c>
      <c r="C67" s="4" t="s">
        <v>175</v>
      </c>
      <c r="D67" s="17" t="n">
        <f aca="false">COUNTIFS('Pedidos Top10'!$A$2:$A$1839,A67,'Pedidos Top10'!$C$2:$C$1839,C67)</f>
        <v>5</v>
      </c>
      <c r="E67" s="19" t="n">
        <f aca="false">SUMIFS('Pedidos Top10'!$J$2:$J$1839,'Pedidos Top10'!$A$2:$A$1839,A67,'Pedidos Top10'!$C$2:$C$1839,C67)</f>
        <v>211.7</v>
      </c>
      <c r="F67" s="8" t="n">
        <f aca="false">SUMIFS('Pedidos Top10'!$L$2:$L$1839,'Pedidos Top10'!$A$2:$A$1839,A67,'Pedidos Top10'!$C$2:$C$1839,C67)</f>
        <v>1026.44</v>
      </c>
      <c r="G67" s="8" t="n">
        <f aca="false">SUMIFS('Pedidos Top10'!$AD$2:$AD$1839,'Pedidos Top10'!$A$2:$A$1839,A67,'Pedidos Top10'!$C$2:$C$1839,C67)</f>
        <v>1657.76</v>
      </c>
      <c r="H67" s="8" t="n">
        <f aca="false">G67-F67</f>
        <v>631.32</v>
      </c>
      <c r="I67" s="9" t="n">
        <f aca="false">IF(F67=0,0,H67/F67)</f>
        <v>0.615057869919333</v>
      </c>
      <c r="J67" s="8" t="n">
        <f aca="false">IF(D67=0,0,F67/D67)</f>
        <v>205.288</v>
      </c>
      <c r="K67" s="8" t="n">
        <f aca="false">IF(D67=0,0,G67/D67)</f>
        <v>331.552</v>
      </c>
      <c r="L67" s="8" t="n">
        <f aca="false">IF(E67=0,0,F67/E67)</f>
        <v>4.84855928200284</v>
      </c>
      <c r="M67" s="8" t="n">
        <f aca="false">IF(E67=0,0,G67/E67)</f>
        <v>7.83070382616911</v>
      </c>
      <c r="N67" s="20" t="n">
        <v>12</v>
      </c>
      <c r="O67" s="9" t="n">
        <f aca="false">IF(D67=0,0,COUNTIFS('Pedidos Top10'!$A$2:$A$1839,A67,'Pedidos Top10'!$C$2:$C$1839,C67,'Pedidos Top10'!$AG$2:$AG$1839,"PASSARO")/D67)</f>
        <v>0</v>
      </c>
      <c r="P67" s="18" t="s">
        <v>30</v>
      </c>
      <c r="Q67" s="18" t="s">
        <v>110</v>
      </c>
      <c r="R67" s="18" t="str">
        <f aca="false">IF(I67&lt;=-0.05,"Passaro mais barata",IF(I67&lt;0.05,"Empate técnico (±5%)","Passaro mais cara"))</f>
        <v>Passaro mais cara</v>
      </c>
    </row>
    <row r="68" customFormat="false" ht="15" hidden="false" customHeight="false" outlineLevel="0" collapsed="false">
      <c r="A68" s="18" t="s">
        <v>21</v>
      </c>
      <c r="B68" s="18" t="n">
        <v>7</v>
      </c>
      <c r="C68" s="4" t="s">
        <v>176</v>
      </c>
      <c r="D68" s="17" t="n">
        <f aca="false">COUNTIFS('Pedidos Top10'!$A$2:$A$1839,A68,'Pedidos Top10'!$C$2:$C$1839,C68)</f>
        <v>4</v>
      </c>
      <c r="E68" s="19" t="n">
        <f aca="false">SUMIFS('Pedidos Top10'!$J$2:$J$1839,'Pedidos Top10'!$A$2:$A$1839,A68,'Pedidos Top10'!$C$2:$C$1839,C68)</f>
        <v>272</v>
      </c>
      <c r="F68" s="8" t="n">
        <f aca="false">SUMIFS('Pedidos Top10'!$L$2:$L$1839,'Pedidos Top10'!$A$2:$A$1839,A68,'Pedidos Top10'!$C$2:$C$1839,C68)</f>
        <v>993.88</v>
      </c>
      <c r="G68" s="8" t="n">
        <f aca="false">SUMIFS('Pedidos Top10'!$AD$2:$AD$1839,'Pedidos Top10'!$A$2:$A$1839,A68,'Pedidos Top10'!$C$2:$C$1839,C68)</f>
        <v>1324.23</v>
      </c>
      <c r="H68" s="8" t="n">
        <f aca="false">G68-F68</f>
        <v>330.35</v>
      </c>
      <c r="I68" s="9" t="n">
        <f aca="false">IF(F68=0,0,H68/F68)</f>
        <v>0.332384191250453</v>
      </c>
      <c r="J68" s="8" t="n">
        <f aca="false">IF(D68=0,0,F68/D68)</f>
        <v>248.47</v>
      </c>
      <c r="K68" s="8" t="n">
        <f aca="false">IF(D68=0,0,G68/D68)</f>
        <v>331.0575</v>
      </c>
      <c r="L68" s="8" t="n">
        <f aca="false">IF(E68=0,0,F68/E68)</f>
        <v>3.65397058823529</v>
      </c>
      <c r="M68" s="8" t="n">
        <f aca="false">IF(E68=0,0,G68/E68)</f>
        <v>4.86849264705882</v>
      </c>
      <c r="N68" s="20" t="n">
        <v>13</v>
      </c>
      <c r="O68" s="9" t="n">
        <f aca="false">IF(D68=0,0,COUNTIFS('Pedidos Top10'!$A$2:$A$1839,A68,'Pedidos Top10'!$C$2:$C$1839,C68,'Pedidos Top10'!$AG$2:$AG$1839,"PASSARO")/D68)</f>
        <v>0</v>
      </c>
      <c r="P68" s="18" t="s">
        <v>32</v>
      </c>
      <c r="Q68" s="18" t="s">
        <v>177</v>
      </c>
      <c r="R68" s="18" t="str">
        <f aca="false">IF(I68&lt;=-0.05,"Passaro mais barata",IF(I68&lt;0.05,"Empate técnico (±5%)","Passaro mais cara"))</f>
        <v>Passaro mais cara</v>
      </c>
    </row>
    <row r="69" customFormat="false" ht="15" hidden="false" customHeight="false" outlineLevel="0" collapsed="false">
      <c r="A69" s="18" t="s">
        <v>21</v>
      </c>
      <c r="B69" s="18" t="n">
        <v>8</v>
      </c>
      <c r="C69" s="4" t="s">
        <v>178</v>
      </c>
      <c r="D69" s="17" t="n">
        <f aca="false">COUNTIFS('Pedidos Top10'!$A$2:$A$1839,A69,'Pedidos Top10'!$C$2:$C$1839,C69)</f>
        <v>4</v>
      </c>
      <c r="E69" s="19" t="n">
        <f aca="false">SUMIFS('Pedidos Top10'!$J$2:$J$1839,'Pedidos Top10'!$A$2:$A$1839,A69,'Pedidos Top10'!$C$2:$C$1839,C69)</f>
        <v>192.9</v>
      </c>
      <c r="F69" s="8" t="n">
        <f aca="false">SUMIFS('Pedidos Top10'!$L$2:$L$1839,'Pedidos Top10'!$A$2:$A$1839,A69,'Pedidos Top10'!$C$2:$C$1839,C69)</f>
        <v>773.16</v>
      </c>
      <c r="G69" s="8" t="n">
        <f aca="false">SUMIFS('Pedidos Top10'!$AD$2:$AD$1839,'Pedidos Top10'!$A$2:$A$1839,A69,'Pedidos Top10'!$C$2:$C$1839,C69)</f>
        <v>1226.72</v>
      </c>
      <c r="H69" s="8" t="n">
        <f aca="false">G69-F69</f>
        <v>453.56</v>
      </c>
      <c r="I69" s="9" t="n">
        <f aca="false">IF(F69=0,0,H69/F69)</f>
        <v>0.586631486367634</v>
      </c>
      <c r="J69" s="8" t="n">
        <f aca="false">IF(D69=0,0,F69/D69)</f>
        <v>193.29</v>
      </c>
      <c r="K69" s="8" t="n">
        <f aca="false">IF(D69=0,0,G69/D69)</f>
        <v>306.68</v>
      </c>
      <c r="L69" s="8" t="n">
        <f aca="false">IF(E69=0,0,F69/E69)</f>
        <v>4.00808709175739</v>
      </c>
      <c r="M69" s="8" t="n">
        <f aca="false">IF(E69=0,0,G69/E69)</f>
        <v>6.35935717988595</v>
      </c>
      <c r="N69" s="20" t="n">
        <v>13</v>
      </c>
      <c r="O69" s="9" t="n">
        <f aca="false">IF(D69=0,0,COUNTIFS('Pedidos Top10'!$A$2:$A$1839,A69,'Pedidos Top10'!$C$2:$C$1839,C69,'Pedidos Top10'!$AG$2:$AG$1839,"PASSARO")/D69)</f>
        <v>0</v>
      </c>
      <c r="P69" s="18" t="s">
        <v>30</v>
      </c>
      <c r="Q69" s="18" t="s">
        <v>67</v>
      </c>
      <c r="R69" s="18" t="str">
        <f aca="false">IF(I69&lt;=-0.05,"Passaro mais barata",IF(I69&lt;0.05,"Empate técnico (±5%)","Passaro mais cara"))</f>
        <v>Passaro mais cara</v>
      </c>
    </row>
    <row r="70" customFormat="false" ht="15" hidden="false" customHeight="false" outlineLevel="0" collapsed="false">
      <c r="A70" s="18" t="s">
        <v>21</v>
      </c>
      <c r="B70" s="18" t="n">
        <v>9</v>
      </c>
      <c r="C70" s="4" t="s">
        <v>179</v>
      </c>
      <c r="D70" s="17" t="n">
        <f aca="false">COUNTIFS('Pedidos Top10'!$A$2:$A$1839,A70,'Pedidos Top10'!$C$2:$C$1839,C70)</f>
        <v>3</v>
      </c>
      <c r="E70" s="19" t="n">
        <f aca="false">SUMIFS('Pedidos Top10'!$J$2:$J$1839,'Pedidos Top10'!$A$2:$A$1839,A70,'Pedidos Top10'!$C$2:$C$1839,C70)</f>
        <v>184.5</v>
      </c>
      <c r="F70" s="8" t="n">
        <f aca="false">SUMIFS('Pedidos Top10'!$L$2:$L$1839,'Pedidos Top10'!$A$2:$A$1839,A70,'Pedidos Top10'!$C$2:$C$1839,C70)</f>
        <v>743.3</v>
      </c>
      <c r="G70" s="8" t="n">
        <f aca="false">SUMIFS('Pedidos Top10'!$AD$2:$AD$1839,'Pedidos Top10'!$A$2:$A$1839,A70,'Pedidos Top10'!$C$2:$C$1839,C70)</f>
        <v>2348.74</v>
      </c>
      <c r="H70" s="8" t="n">
        <f aca="false">G70-F70</f>
        <v>1605.44</v>
      </c>
      <c r="I70" s="9" t="n">
        <f aca="false">IF(F70=0,0,H70/F70)</f>
        <v>2.15988160904076</v>
      </c>
      <c r="J70" s="8" t="n">
        <f aca="false">IF(D70=0,0,F70/D70)</f>
        <v>247.766666666667</v>
      </c>
      <c r="K70" s="8" t="n">
        <f aca="false">IF(D70=0,0,G70/D70)</f>
        <v>782.913333333333</v>
      </c>
      <c r="L70" s="8" t="n">
        <f aca="false">IF(E70=0,0,F70/E70)</f>
        <v>4.02872628726287</v>
      </c>
      <c r="M70" s="8" t="n">
        <f aca="false">IF(E70=0,0,G70/E70)</f>
        <v>12.730298102981</v>
      </c>
      <c r="N70" s="20" t="n">
        <v>15</v>
      </c>
      <c r="O70" s="9" t="n">
        <f aca="false">IF(D70=0,0,COUNTIFS('Pedidos Top10'!$A$2:$A$1839,A70,'Pedidos Top10'!$C$2:$C$1839,C70,'Pedidos Top10'!$AG$2:$AG$1839,"PASSARO")/D70)</f>
        <v>0</v>
      </c>
      <c r="P70" s="18" t="s">
        <v>30</v>
      </c>
      <c r="Q70" s="18" t="s">
        <v>180</v>
      </c>
      <c r="R70" s="18" t="str">
        <f aca="false">IF(I70&lt;=-0.05,"Passaro mais barata",IF(I70&lt;0.05,"Empate técnico (±5%)","Passaro mais cara"))</f>
        <v>Passaro mais cara</v>
      </c>
    </row>
    <row r="71" customFormat="false" ht="15" hidden="false" customHeight="false" outlineLevel="0" collapsed="false">
      <c r="A71" s="18" t="s">
        <v>21</v>
      </c>
      <c r="B71" s="18" t="n">
        <v>10</v>
      </c>
      <c r="C71" s="4" t="s">
        <v>181</v>
      </c>
      <c r="D71" s="17" t="n">
        <f aca="false">COUNTIFS('Pedidos Top10'!$A$2:$A$1839,A71,'Pedidos Top10'!$C$2:$C$1839,C71)</f>
        <v>3</v>
      </c>
      <c r="E71" s="19" t="n">
        <f aca="false">SUMIFS('Pedidos Top10'!$J$2:$J$1839,'Pedidos Top10'!$A$2:$A$1839,A71,'Pedidos Top10'!$C$2:$C$1839,C71)</f>
        <v>159.55</v>
      </c>
      <c r="F71" s="8" t="n">
        <f aca="false">SUMIFS('Pedidos Top10'!$L$2:$L$1839,'Pedidos Top10'!$A$2:$A$1839,A71,'Pedidos Top10'!$C$2:$C$1839,C71)</f>
        <v>691.17</v>
      </c>
      <c r="G71" s="8" t="n">
        <f aca="false">SUMIFS('Pedidos Top10'!$AD$2:$AD$1839,'Pedidos Top10'!$A$2:$A$1839,A71,'Pedidos Top10'!$C$2:$C$1839,C71)</f>
        <v>948.68</v>
      </c>
      <c r="H71" s="8" t="n">
        <f aca="false">G71-F71</f>
        <v>257.51</v>
      </c>
      <c r="I71" s="9" t="n">
        <f aca="false">IF(F71=0,0,H71/F71)</f>
        <v>0.372571147474572</v>
      </c>
      <c r="J71" s="8" t="n">
        <f aca="false">IF(D71=0,0,F71/D71)</f>
        <v>230.39</v>
      </c>
      <c r="K71" s="8" t="n">
        <f aca="false">IF(D71=0,0,G71/D71)</f>
        <v>316.226666666667</v>
      </c>
      <c r="L71" s="8" t="n">
        <f aca="false">IF(E71=0,0,F71/E71)</f>
        <v>4.33199623942338</v>
      </c>
      <c r="M71" s="8" t="n">
        <f aca="false">IF(E71=0,0,G71/E71)</f>
        <v>5.94597304920088</v>
      </c>
      <c r="N71" s="20" t="n">
        <v>13</v>
      </c>
      <c r="O71" s="9" t="n">
        <f aca="false">IF(D71=0,0,COUNTIFS('Pedidos Top10'!$A$2:$A$1839,A71,'Pedidos Top10'!$C$2:$C$1839,C71,'Pedidos Top10'!$AG$2:$AG$1839,"PASSARO")/D71)</f>
        <v>0</v>
      </c>
      <c r="P71" s="18" t="s">
        <v>30</v>
      </c>
      <c r="Q71" s="18" t="s">
        <v>69</v>
      </c>
      <c r="R71" s="18" t="str">
        <f aca="false">IF(I71&lt;=-0.05,"Passaro mais barata",IF(I71&lt;0.05,"Empate técnico (±5%)","Passaro mais cara"))</f>
        <v>Passaro mais cara</v>
      </c>
    </row>
    <row r="72" customFormat="false" ht="15" hidden="false" customHeight="false" outlineLevel="0" collapsed="false">
      <c r="A72" s="18" t="s">
        <v>22</v>
      </c>
      <c r="B72" s="18" t="n">
        <v>1</v>
      </c>
      <c r="C72" s="4" t="s">
        <v>182</v>
      </c>
      <c r="D72" s="17" t="n">
        <f aca="false">COUNTIFS('Pedidos Top10'!$A$2:$A$1839,A72,'Pedidos Top10'!$C$2:$C$1839,C72)</f>
        <v>36</v>
      </c>
      <c r="E72" s="19" t="n">
        <f aca="false">SUMIFS('Pedidos Top10'!$J$2:$J$1839,'Pedidos Top10'!$A$2:$A$1839,A72,'Pedidos Top10'!$C$2:$C$1839,C72)</f>
        <v>1330.05</v>
      </c>
      <c r="F72" s="8" t="n">
        <f aca="false">SUMIFS('Pedidos Top10'!$L$2:$L$1839,'Pedidos Top10'!$A$2:$A$1839,A72,'Pedidos Top10'!$C$2:$C$1839,C72)</f>
        <v>5271.76</v>
      </c>
      <c r="G72" s="8" t="n">
        <f aca="false">SUMIFS('Pedidos Top10'!$AD$2:$AD$1839,'Pedidos Top10'!$A$2:$A$1839,A72,'Pedidos Top10'!$C$2:$C$1839,C72)</f>
        <v>5319.24</v>
      </c>
      <c r="H72" s="8" t="n">
        <f aca="false">G72-F72</f>
        <v>47.4799999999996</v>
      </c>
      <c r="I72" s="9" t="n">
        <f aca="false">IF(F72=0,0,H72/F72)</f>
        <v>0.00900647980939943</v>
      </c>
      <c r="J72" s="8" t="n">
        <f aca="false">IF(D72=0,0,F72/D72)</f>
        <v>146.437777777778</v>
      </c>
      <c r="K72" s="8" t="n">
        <f aca="false">IF(D72=0,0,G72/D72)</f>
        <v>147.756666666667</v>
      </c>
      <c r="L72" s="8" t="n">
        <f aca="false">IF(E72=0,0,F72/E72)</f>
        <v>3.96358031652945</v>
      </c>
      <c r="M72" s="8" t="n">
        <f aca="false">IF(E72=0,0,G72/E72)</f>
        <v>3.99927822262321</v>
      </c>
      <c r="N72" s="20" t="n">
        <v>9</v>
      </c>
      <c r="O72" s="9" t="n">
        <f aca="false">IF(D72=0,0,COUNTIFS('Pedidos Top10'!$A$2:$A$1839,A72,'Pedidos Top10'!$C$2:$C$1839,C72,'Pedidos Top10'!$AG$2:$AG$1839,"PASSARO")/D72)</f>
        <v>0.5</v>
      </c>
      <c r="P72" s="18" t="s">
        <v>30</v>
      </c>
      <c r="Q72" s="18" t="s">
        <v>183</v>
      </c>
      <c r="R72" s="18" t="str">
        <f aca="false">IF(I72&lt;=-0.05,"Passaro mais barata",IF(I72&lt;0.05,"Empate técnico (±5%)","Passaro mais cara"))</f>
        <v>Empate técnico (±5%)</v>
      </c>
    </row>
    <row r="73" customFormat="false" ht="15" hidden="false" customHeight="false" outlineLevel="0" collapsed="false">
      <c r="A73" s="18" t="s">
        <v>22</v>
      </c>
      <c r="B73" s="18" t="n">
        <v>2</v>
      </c>
      <c r="C73" s="4" t="s">
        <v>184</v>
      </c>
      <c r="D73" s="17" t="n">
        <f aca="false">COUNTIFS('Pedidos Top10'!$A$2:$A$1839,A73,'Pedidos Top10'!$C$2:$C$1839,C73)</f>
        <v>21</v>
      </c>
      <c r="E73" s="19" t="n">
        <f aca="false">SUMIFS('Pedidos Top10'!$J$2:$J$1839,'Pedidos Top10'!$A$2:$A$1839,A73,'Pedidos Top10'!$C$2:$C$1839,C73)</f>
        <v>843.32</v>
      </c>
      <c r="F73" s="8" t="n">
        <f aca="false">SUMIFS('Pedidos Top10'!$L$2:$L$1839,'Pedidos Top10'!$A$2:$A$1839,A73,'Pedidos Top10'!$C$2:$C$1839,C73)</f>
        <v>3530.8</v>
      </c>
      <c r="G73" s="8" t="n">
        <f aca="false">SUMIFS('Pedidos Top10'!$AD$2:$AD$1839,'Pedidos Top10'!$A$2:$A$1839,A73,'Pedidos Top10'!$C$2:$C$1839,C73)</f>
        <v>4256.27</v>
      </c>
      <c r="H73" s="8" t="n">
        <f aca="false">G73-F73</f>
        <v>725.47</v>
      </c>
      <c r="I73" s="9" t="n">
        <f aca="false">IF(F73=0,0,H73/F73)</f>
        <v>0.205469015520562</v>
      </c>
      <c r="J73" s="8" t="n">
        <f aca="false">IF(D73=0,0,F73/D73)</f>
        <v>168.133333333333</v>
      </c>
      <c r="K73" s="8" t="n">
        <f aca="false">IF(D73=0,0,G73/D73)</f>
        <v>202.679523809524</v>
      </c>
      <c r="L73" s="8" t="n">
        <f aca="false">IF(E73=0,0,F73/E73)</f>
        <v>4.18678556182707</v>
      </c>
      <c r="M73" s="8" t="n">
        <f aca="false">IF(E73=0,0,G73/E73)</f>
        <v>5.04704026941138</v>
      </c>
      <c r="N73" s="20" t="n">
        <v>9</v>
      </c>
      <c r="O73" s="9" t="n">
        <f aca="false">IF(D73=0,0,COUNTIFS('Pedidos Top10'!$A$2:$A$1839,A73,'Pedidos Top10'!$C$2:$C$1839,C73,'Pedidos Top10'!$AG$2:$AG$1839,"PASSARO")/D73)</f>
        <v>0.285714285714286</v>
      </c>
      <c r="P73" s="18" t="s">
        <v>30</v>
      </c>
      <c r="Q73" s="18" t="s">
        <v>185</v>
      </c>
      <c r="R73" s="18" t="str">
        <f aca="false">IF(I73&lt;=-0.05,"Passaro mais barata",IF(I73&lt;0.05,"Empate técnico (±5%)","Passaro mais cara"))</f>
        <v>Passaro mais cara</v>
      </c>
    </row>
    <row r="74" customFormat="false" ht="15" hidden="false" customHeight="false" outlineLevel="0" collapsed="false">
      <c r="A74" s="18" t="s">
        <v>22</v>
      </c>
      <c r="B74" s="18" t="n">
        <v>3</v>
      </c>
      <c r="C74" s="4" t="s">
        <v>186</v>
      </c>
      <c r="D74" s="17" t="n">
        <f aca="false">COUNTIFS('Pedidos Top10'!$A$2:$A$1839,A74,'Pedidos Top10'!$C$2:$C$1839,C74)</f>
        <v>7</v>
      </c>
      <c r="E74" s="19" t="n">
        <f aca="false">SUMIFS('Pedidos Top10'!$J$2:$J$1839,'Pedidos Top10'!$A$2:$A$1839,A74,'Pedidos Top10'!$C$2:$C$1839,C74)</f>
        <v>413.32</v>
      </c>
      <c r="F74" s="8" t="n">
        <f aca="false">SUMIFS('Pedidos Top10'!$L$2:$L$1839,'Pedidos Top10'!$A$2:$A$1839,A74,'Pedidos Top10'!$C$2:$C$1839,C74)</f>
        <v>1869.64</v>
      </c>
      <c r="G74" s="8" t="n">
        <f aca="false">SUMIFS('Pedidos Top10'!$AD$2:$AD$1839,'Pedidos Top10'!$A$2:$A$1839,A74,'Pedidos Top10'!$C$2:$C$1839,C74)</f>
        <v>1444.16</v>
      </c>
      <c r="H74" s="8" t="n">
        <f aca="false">G74-F74</f>
        <v>-425.48</v>
      </c>
      <c r="I74" s="9" t="n">
        <f aca="false">IF(F74=0,0,H74/F74)</f>
        <v>-0.227573222652489</v>
      </c>
      <c r="J74" s="8" t="n">
        <f aca="false">IF(D74=0,0,F74/D74)</f>
        <v>267.091428571429</v>
      </c>
      <c r="K74" s="8" t="n">
        <f aca="false">IF(D74=0,0,G74/D74)</f>
        <v>206.308571428571</v>
      </c>
      <c r="L74" s="8" t="n">
        <f aca="false">IF(E74=0,0,F74/E74)</f>
        <v>4.52346849898384</v>
      </c>
      <c r="M74" s="8" t="n">
        <f aca="false">IF(E74=0,0,G74/E74)</f>
        <v>3.49404819510307</v>
      </c>
      <c r="N74" s="20" t="n">
        <v>12</v>
      </c>
      <c r="O74" s="9" t="n">
        <f aca="false">IF(D74=0,0,COUNTIFS('Pedidos Top10'!$A$2:$A$1839,A74,'Pedidos Top10'!$C$2:$C$1839,C74,'Pedidos Top10'!$AG$2:$AG$1839,"PASSARO")/D74)</f>
        <v>0.714285714285714</v>
      </c>
      <c r="P74" s="18" t="s">
        <v>30</v>
      </c>
      <c r="Q74" s="18" t="s">
        <v>187</v>
      </c>
      <c r="R74" s="18" t="str">
        <f aca="false">IF(I74&lt;=-0.05,"Passaro mais barata",IF(I74&lt;0.05,"Empate técnico (±5%)","Passaro mais cara"))</f>
        <v>Passaro mais barata</v>
      </c>
    </row>
    <row r="75" customFormat="false" ht="15" hidden="false" customHeight="false" outlineLevel="0" collapsed="false">
      <c r="A75" s="18" t="s">
        <v>22</v>
      </c>
      <c r="B75" s="18" t="n">
        <v>4</v>
      </c>
      <c r="C75" s="4" t="s">
        <v>188</v>
      </c>
      <c r="D75" s="17" t="n">
        <f aca="false">COUNTIFS('Pedidos Top10'!$A$2:$A$1839,A75,'Pedidos Top10'!$C$2:$C$1839,C75)</f>
        <v>5</v>
      </c>
      <c r="E75" s="19" t="n">
        <f aca="false">SUMIFS('Pedidos Top10'!$J$2:$J$1839,'Pedidos Top10'!$A$2:$A$1839,A75,'Pedidos Top10'!$C$2:$C$1839,C75)</f>
        <v>265.26</v>
      </c>
      <c r="F75" s="8" t="n">
        <f aca="false">SUMIFS('Pedidos Top10'!$L$2:$L$1839,'Pedidos Top10'!$A$2:$A$1839,A75,'Pedidos Top10'!$C$2:$C$1839,C75)</f>
        <v>1211.45</v>
      </c>
      <c r="G75" s="8" t="n">
        <f aca="false">SUMIFS('Pedidos Top10'!$AD$2:$AD$1839,'Pedidos Top10'!$A$2:$A$1839,A75,'Pedidos Top10'!$C$2:$C$1839,C75)</f>
        <v>980.21</v>
      </c>
      <c r="H75" s="8" t="n">
        <f aca="false">G75-F75</f>
        <v>-231.24</v>
      </c>
      <c r="I75" s="9" t="n">
        <f aca="false">IF(F75=0,0,H75/F75)</f>
        <v>-0.190878699079615</v>
      </c>
      <c r="J75" s="8" t="n">
        <f aca="false">IF(D75=0,0,F75/D75)</f>
        <v>242.29</v>
      </c>
      <c r="K75" s="8" t="n">
        <f aca="false">IF(D75=0,0,G75/D75)</f>
        <v>196.042</v>
      </c>
      <c r="L75" s="8" t="n">
        <f aca="false">IF(E75=0,0,F75/E75)</f>
        <v>4.56702857573701</v>
      </c>
      <c r="M75" s="8" t="n">
        <f aca="false">IF(E75=0,0,G75/E75)</f>
        <v>3.6952801025409</v>
      </c>
      <c r="N75" s="20" t="n">
        <v>12</v>
      </c>
      <c r="O75" s="9" t="n">
        <f aca="false">IF(D75=0,0,COUNTIFS('Pedidos Top10'!$A$2:$A$1839,A75,'Pedidos Top10'!$C$2:$C$1839,C75,'Pedidos Top10'!$AG$2:$AG$1839,"PASSARO")/D75)</f>
        <v>0.8</v>
      </c>
      <c r="P75" s="18" t="s">
        <v>30</v>
      </c>
      <c r="Q75" s="18" t="s">
        <v>189</v>
      </c>
      <c r="R75" s="18" t="str">
        <f aca="false">IF(I75&lt;=-0.05,"Passaro mais barata",IF(I75&lt;0.05,"Empate técnico (±5%)","Passaro mais cara"))</f>
        <v>Passaro mais barata</v>
      </c>
    </row>
    <row r="76" customFormat="false" ht="15" hidden="false" customHeight="false" outlineLevel="0" collapsed="false">
      <c r="A76" s="18" t="s">
        <v>22</v>
      </c>
      <c r="B76" s="18" t="n">
        <v>5</v>
      </c>
      <c r="C76" s="4" t="s">
        <v>190</v>
      </c>
      <c r="D76" s="17" t="n">
        <f aca="false">COUNTIFS('Pedidos Top10'!$A$2:$A$1839,A76,'Pedidos Top10'!$C$2:$C$1839,C76)</f>
        <v>4</v>
      </c>
      <c r="E76" s="19" t="n">
        <f aca="false">SUMIFS('Pedidos Top10'!$J$2:$J$1839,'Pedidos Top10'!$A$2:$A$1839,A76,'Pedidos Top10'!$C$2:$C$1839,C76)</f>
        <v>184.01</v>
      </c>
      <c r="F76" s="8" t="n">
        <f aca="false">SUMIFS('Pedidos Top10'!$L$2:$L$1839,'Pedidos Top10'!$A$2:$A$1839,A76,'Pedidos Top10'!$C$2:$C$1839,C76)</f>
        <v>826.78</v>
      </c>
      <c r="G76" s="8" t="n">
        <f aca="false">SUMIFS('Pedidos Top10'!$AD$2:$AD$1839,'Pedidos Top10'!$A$2:$A$1839,A76,'Pedidos Top10'!$C$2:$C$1839,C76)</f>
        <v>745.04</v>
      </c>
      <c r="H76" s="8" t="n">
        <f aca="false">G76-F76</f>
        <v>-81.74</v>
      </c>
      <c r="I76" s="9" t="n">
        <f aca="false">IF(F76=0,0,H76/F76)</f>
        <v>-0.0988654781199352</v>
      </c>
      <c r="J76" s="8" t="n">
        <f aca="false">IF(D76=0,0,F76/D76)</f>
        <v>206.695</v>
      </c>
      <c r="K76" s="8" t="n">
        <f aca="false">IF(D76=0,0,G76/D76)</f>
        <v>186.26</v>
      </c>
      <c r="L76" s="8" t="n">
        <f aca="false">IF(E76=0,0,F76/E76)</f>
        <v>4.493125373621</v>
      </c>
      <c r="M76" s="8" t="n">
        <f aca="false">IF(E76=0,0,G76/E76)</f>
        <v>4.04891038530515</v>
      </c>
      <c r="N76" s="20" t="n">
        <v>12</v>
      </c>
      <c r="O76" s="9" t="n">
        <f aca="false">IF(D76=0,0,COUNTIFS('Pedidos Top10'!$A$2:$A$1839,A76,'Pedidos Top10'!$C$2:$C$1839,C76,'Pedidos Top10'!$AG$2:$AG$1839,"PASSARO")/D76)</f>
        <v>0.75</v>
      </c>
      <c r="P76" s="18" t="s">
        <v>33</v>
      </c>
      <c r="Q76" s="18" t="s">
        <v>191</v>
      </c>
      <c r="R76" s="18" t="str">
        <f aca="false">IF(I76&lt;=-0.05,"Passaro mais barata",IF(I76&lt;0.05,"Empate técnico (±5%)","Passaro mais cara"))</f>
        <v>Passaro mais barata</v>
      </c>
    </row>
    <row r="77" customFormat="false" ht="15" hidden="false" customHeight="false" outlineLevel="0" collapsed="false">
      <c r="A77" s="18" t="s">
        <v>22</v>
      </c>
      <c r="B77" s="18" t="n">
        <v>6</v>
      </c>
      <c r="C77" s="4" t="s">
        <v>192</v>
      </c>
      <c r="D77" s="17" t="n">
        <f aca="false">COUNTIFS('Pedidos Top10'!$A$2:$A$1839,A77,'Pedidos Top10'!$C$2:$C$1839,C77)</f>
        <v>4</v>
      </c>
      <c r="E77" s="19" t="n">
        <f aca="false">SUMIFS('Pedidos Top10'!$J$2:$J$1839,'Pedidos Top10'!$A$2:$A$1839,A77,'Pedidos Top10'!$C$2:$C$1839,C77)</f>
        <v>154.4</v>
      </c>
      <c r="F77" s="8" t="n">
        <f aca="false">SUMIFS('Pedidos Top10'!$L$2:$L$1839,'Pedidos Top10'!$A$2:$A$1839,A77,'Pedidos Top10'!$C$2:$C$1839,C77)</f>
        <v>689.02</v>
      </c>
      <c r="G77" s="8" t="n">
        <f aca="false">SUMIFS('Pedidos Top10'!$AD$2:$AD$1839,'Pedidos Top10'!$A$2:$A$1839,A77,'Pedidos Top10'!$C$2:$C$1839,C77)</f>
        <v>750.16</v>
      </c>
      <c r="H77" s="8" t="n">
        <f aca="false">G77-F77</f>
        <v>61.14</v>
      </c>
      <c r="I77" s="9" t="n">
        <f aca="false">IF(F77=0,0,H77/F77)</f>
        <v>0.0887347246814316</v>
      </c>
      <c r="J77" s="8" t="n">
        <f aca="false">IF(D77=0,0,F77/D77)</f>
        <v>172.255</v>
      </c>
      <c r="K77" s="8" t="n">
        <f aca="false">IF(D77=0,0,G77/D77)</f>
        <v>187.54</v>
      </c>
      <c r="L77" s="8" t="n">
        <f aca="false">IF(E77=0,0,F77/E77)</f>
        <v>4.46256476683938</v>
      </c>
      <c r="M77" s="8" t="n">
        <f aca="false">IF(E77=0,0,G77/E77)</f>
        <v>4.85854922279793</v>
      </c>
      <c r="N77" s="20" t="n">
        <v>12</v>
      </c>
      <c r="O77" s="9" t="n">
        <f aca="false">IF(D77=0,0,COUNTIFS('Pedidos Top10'!$A$2:$A$1839,A77,'Pedidos Top10'!$C$2:$C$1839,C77,'Pedidos Top10'!$AG$2:$AG$1839,"PASSARO")/D77)</f>
        <v>0.25</v>
      </c>
      <c r="P77" s="18" t="s">
        <v>30</v>
      </c>
      <c r="Q77" s="18" t="s">
        <v>67</v>
      </c>
      <c r="R77" s="18" t="str">
        <f aca="false">IF(I77&lt;=-0.05,"Passaro mais barata",IF(I77&lt;0.05,"Empate técnico (±5%)","Passaro mais cara"))</f>
        <v>Passaro mais cara</v>
      </c>
    </row>
    <row r="78" customFormat="false" ht="15" hidden="false" customHeight="false" outlineLevel="0" collapsed="false">
      <c r="A78" s="18" t="s">
        <v>22</v>
      </c>
      <c r="B78" s="18" t="n">
        <v>7</v>
      </c>
      <c r="C78" s="4" t="s">
        <v>193</v>
      </c>
      <c r="D78" s="17" t="n">
        <f aca="false">COUNTIFS('Pedidos Top10'!$A$2:$A$1839,A78,'Pedidos Top10'!$C$2:$C$1839,C78)</f>
        <v>3</v>
      </c>
      <c r="E78" s="19" t="n">
        <f aca="false">SUMIFS('Pedidos Top10'!$J$2:$J$1839,'Pedidos Top10'!$A$2:$A$1839,A78,'Pedidos Top10'!$C$2:$C$1839,C78)</f>
        <v>136.1</v>
      </c>
      <c r="F78" s="8" t="n">
        <f aca="false">SUMIFS('Pedidos Top10'!$L$2:$L$1839,'Pedidos Top10'!$A$2:$A$1839,A78,'Pedidos Top10'!$C$2:$C$1839,C78)</f>
        <v>643.35</v>
      </c>
      <c r="G78" s="8" t="n">
        <f aca="false">SUMIFS('Pedidos Top10'!$AD$2:$AD$1839,'Pedidos Top10'!$A$2:$A$1839,A78,'Pedidos Top10'!$C$2:$C$1839,C78)</f>
        <v>1419.89</v>
      </c>
      <c r="H78" s="8" t="n">
        <f aca="false">G78-F78</f>
        <v>776.54</v>
      </c>
      <c r="I78" s="9" t="n">
        <f aca="false">IF(F78=0,0,H78/F78)</f>
        <v>1.20702572472216</v>
      </c>
      <c r="J78" s="8" t="n">
        <f aca="false">IF(D78=0,0,F78/D78)</f>
        <v>214.45</v>
      </c>
      <c r="K78" s="8" t="n">
        <f aca="false">IF(D78=0,0,G78/D78)</f>
        <v>473.296666666667</v>
      </c>
      <c r="L78" s="8" t="n">
        <f aca="false">IF(E78=0,0,F78/E78)</f>
        <v>4.72703894195445</v>
      </c>
      <c r="M78" s="8" t="n">
        <f aca="false">IF(E78=0,0,G78/E78)</f>
        <v>10.4326965466569</v>
      </c>
      <c r="N78" s="20" t="n">
        <v>14</v>
      </c>
      <c r="O78" s="9" t="n">
        <f aca="false">IF(D78=0,0,COUNTIFS('Pedidos Top10'!$A$2:$A$1839,A78,'Pedidos Top10'!$C$2:$C$1839,C78,'Pedidos Top10'!$AG$2:$AG$1839,"PASSARO")/D78)</f>
        <v>0</v>
      </c>
      <c r="P78" s="18" t="s">
        <v>30</v>
      </c>
      <c r="Q78" s="18" t="s">
        <v>69</v>
      </c>
      <c r="R78" s="18" t="str">
        <f aca="false">IF(I78&lt;=-0.05,"Passaro mais barata",IF(I78&lt;0.05,"Empate técnico (±5%)","Passaro mais cara"))</f>
        <v>Passaro mais cara</v>
      </c>
    </row>
    <row r="79" customFormat="false" ht="15" hidden="false" customHeight="false" outlineLevel="0" collapsed="false">
      <c r="A79" s="18" t="s">
        <v>22</v>
      </c>
      <c r="B79" s="18" t="n">
        <v>8</v>
      </c>
      <c r="C79" s="4" t="s">
        <v>194</v>
      </c>
      <c r="D79" s="17" t="n">
        <f aca="false">COUNTIFS('Pedidos Top10'!$A$2:$A$1839,A79,'Pedidos Top10'!$C$2:$C$1839,C79)</f>
        <v>3</v>
      </c>
      <c r="E79" s="19" t="n">
        <f aca="false">SUMIFS('Pedidos Top10'!$J$2:$J$1839,'Pedidos Top10'!$A$2:$A$1839,A79,'Pedidos Top10'!$C$2:$C$1839,C79)</f>
        <v>93.8</v>
      </c>
      <c r="F79" s="8" t="n">
        <f aca="false">SUMIFS('Pedidos Top10'!$L$2:$L$1839,'Pedidos Top10'!$A$2:$A$1839,A79,'Pedidos Top10'!$C$2:$C$1839,C79)</f>
        <v>502.46</v>
      </c>
      <c r="G79" s="8" t="n">
        <f aca="false">SUMIFS('Pedidos Top10'!$AD$2:$AD$1839,'Pedidos Top10'!$A$2:$A$1839,A79,'Pedidos Top10'!$C$2:$C$1839,C79)</f>
        <v>539.7</v>
      </c>
      <c r="H79" s="8" t="n">
        <f aca="false">G79-F79</f>
        <v>37.2400000000001</v>
      </c>
      <c r="I79" s="9" t="n">
        <f aca="false">IF(F79=0,0,H79/F79)</f>
        <v>0.0741153524658681</v>
      </c>
      <c r="J79" s="8" t="n">
        <f aca="false">IF(D79=0,0,F79/D79)</f>
        <v>167.486666666667</v>
      </c>
      <c r="K79" s="8" t="n">
        <f aca="false">IF(D79=0,0,G79/D79)</f>
        <v>179.9</v>
      </c>
      <c r="L79" s="8" t="n">
        <f aca="false">IF(E79=0,0,F79/E79)</f>
        <v>5.35671641791045</v>
      </c>
      <c r="M79" s="8" t="n">
        <f aca="false">IF(E79=0,0,G79/E79)</f>
        <v>5.75373134328358</v>
      </c>
      <c r="N79" s="20" t="n">
        <v>12</v>
      </c>
      <c r="O79" s="9" t="n">
        <f aca="false">IF(D79=0,0,COUNTIFS('Pedidos Top10'!$A$2:$A$1839,A79,'Pedidos Top10'!$C$2:$C$1839,C79,'Pedidos Top10'!$AG$2:$AG$1839,"PASSARO")/D79)</f>
        <v>0</v>
      </c>
      <c r="P79" s="18" t="s">
        <v>30</v>
      </c>
      <c r="Q79" s="18" t="s">
        <v>69</v>
      </c>
      <c r="R79" s="18" t="str">
        <f aca="false">IF(I79&lt;=-0.05,"Passaro mais barata",IF(I79&lt;0.05,"Empate técnico (±5%)","Passaro mais cara"))</f>
        <v>Passaro mais cara</v>
      </c>
    </row>
    <row r="80" customFormat="false" ht="15" hidden="false" customHeight="false" outlineLevel="0" collapsed="false">
      <c r="A80" s="18" t="s">
        <v>22</v>
      </c>
      <c r="B80" s="18" t="n">
        <v>9</v>
      </c>
      <c r="C80" s="4" t="s">
        <v>195</v>
      </c>
      <c r="D80" s="17" t="n">
        <f aca="false">COUNTIFS('Pedidos Top10'!$A$2:$A$1839,A80,'Pedidos Top10'!$C$2:$C$1839,C80)</f>
        <v>3</v>
      </c>
      <c r="E80" s="19" t="n">
        <f aca="false">SUMIFS('Pedidos Top10'!$J$2:$J$1839,'Pedidos Top10'!$A$2:$A$1839,A80,'Pedidos Top10'!$C$2:$C$1839,C80)</f>
        <v>106.2</v>
      </c>
      <c r="F80" s="8" t="n">
        <f aca="false">SUMIFS('Pedidos Top10'!$L$2:$L$1839,'Pedidos Top10'!$A$2:$A$1839,A80,'Pedidos Top10'!$C$2:$C$1839,C80)</f>
        <v>476.8</v>
      </c>
      <c r="G80" s="8" t="n">
        <f aca="false">SUMIFS('Pedidos Top10'!$AD$2:$AD$1839,'Pedidos Top10'!$A$2:$A$1839,A80,'Pedidos Top10'!$C$2:$C$1839,C80)</f>
        <v>1379.66</v>
      </c>
      <c r="H80" s="8" t="n">
        <f aca="false">G80-F80</f>
        <v>902.86</v>
      </c>
      <c r="I80" s="9" t="n">
        <f aca="false">IF(F80=0,0,H80/F80)</f>
        <v>1.8935822147651</v>
      </c>
      <c r="J80" s="8" t="n">
        <f aca="false">IF(D80=0,0,F80/D80)</f>
        <v>158.933333333333</v>
      </c>
      <c r="K80" s="8" t="n">
        <f aca="false">IF(D80=0,0,G80/D80)</f>
        <v>459.886666666667</v>
      </c>
      <c r="L80" s="8" t="n">
        <f aca="false">IF(E80=0,0,F80/E80)</f>
        <v>4.48964218455744</v>
      </c>
      <c r="M80" s="8" t="n">
        <f aca="false">IF(E80=0,0,G80/E80)</f>
        <v>12.9911487758945</v>
      </c>
      <c r="N80" s="20" t="n">
        <v>14</v>
      </c>
      <c r="O80" s="9" t="n">
        <f aca="false">IF(D80=0,0,COUNTIFS('Pedidos Top10'!$A$2:$A$1839,A80,'Pedidos Top10'!$C$2:$C$1839,C80,'Pedidos Top10'!$AG$2:$AG$1839,"PASSARO")/D80)</f>
        <v>0</v>
      </c>
      <c r="P80" s="18" t="s">
        <v>30</v>
      </c>
      <c r="Q80" s="18" t="s">
        <v>69</v>
      </c>
      <c r="R80" s="18" t="str">
        <f aca="false">IF(I80&lt;=-0.05,"Passaro mais barata",IF(I80&lt;0.05,"Empate técnico (±5%)","Passaro mais cara"))</f>
        <v>Passaro mais cara</v>
      </c>
    </row>
    <row r="81" customFormat="false" ht="15" hidden="false" customHeight="false" outlineLevel="0" collapsed="false">
      <c r="A81" s="18" t="s">
        <v>22</v>
      </c>
      <c r="B81" s="18" t="n">
        <v>10</v>
      </c>
      <c r="C81" s="4" t="s">
        <v>196</v>
      </c>
      <c r="D81" s="17" t="n">
        <f aca="false">COUNTIFS('Pedidos Top10'!$A$2:$A$1839,A81,'Pedidos Top10'!$C$2:$C$1839,C81)</f>
        <v>1</v>
      </c>
      <c r="E81" s="19" t="n">
        <f aca="false">SUMIFS('Pedidos Top10'!$J$2:$J$1839,'Pedidos Top10'!$A$2:$A$1839,A81,'Pedidos Top10'!$C$2:$C$1839,C81)</f>
        <v>70</v>
      </c>
      <c r="F81" s="8" t="n">
        <f aca="false">SUMIFS('Pedidos Top10'!$L$2:$L$1839,'Pedidos Top10'!$A$2:$A$1839,A81,'Pedidos Top10'!$C$2:$C$1839,C81)</f>
        <v>318.96</v>
      </c>
      <c r="G81" s="8" t="n">
        <f aca="false">SUMIFS('Pedidos Top10'!$AD$2:$AD$1839,'Pedidos Top10'!$A$2:$A$1839,A81,'Pedidos Top10'!$C$2:$C$1839,C81)</f>
        <v>477.18</v>
      </c>
      <c r="H81" s="8" t="n">
        <f aca="false">G81-F81</f>
        <v>158.22</v>
      </c>
      <c r="I81" s="9" t="n">
        <f aca="false">IF(F81=0,0,H81/F81)</f>
        <v>0.496049661399549</v>
      </c>
      <c r="J81" s="8" t="n">
        <f aca="false">IF(D81=0,0,F81/D81)</f>
        <v>318.96</v>
      </c>
      <c r="K81" s="8" t="n">
        <f aca="false">IF(D81=0,0,G81/D81)</f>
        <v>477.18</v>
      </c>
      <c r="L81" s="8" t="n">
        <f aca="false">IF(E81=0,0,F81/E81)</f>
        <v>4.55657142857143</v>
      </c>
      <c r="M81" s="8" t="n">
        <f aca="false">IF(E81=0,0,G81/E81)</f>
        <v>6.81685714285714</v>
      </c>
      <c r="N81" s="20" t="n">
        <v>12</v>
      </c>
      <c r="O81" s="9" t="n">
        <f aca="false">IF(D81=0,0,COUNTIFS('Pedidos Top10'!$A$2:$A$1839,A81,'Pedidos Top10'!$C$2:$C$1839,C81,'Pedidos Top10'!$AG$2:$AG$1839,"PASSARO")/D81)</f>
        <v>0</v>
      </c>
      <c r="P81" s="18" t="s">
        <v>30</v>
      </c>
      <c r="Q81" s="18" t="s">
        <v>197</v>
      </c>
      <c r="R81" s="18" t="str">
        <f aca="false">IF(I81&lt;=-0.05,"Passaro mais barata",IF(I81&lt;0.05,"Empate técnico (±5%)","Passaro mais cara"))</f>
        <v>Passaro mais cara</v>
      </c>
    </row>
    <row r="82" customFormat="false" ht="15" hidden="false" customHeight="false" outlineLevel="0" collapsed="false">
      <c r="A82" s="18" t="s">
        <v>23</v>
      </c>
      <c r="B82" s="18" t="n">
        <v>1</v>
      </c>
      <c r="C82" s="4" t="s">
        <v>198</v>
      </c>
      <c r="D82" s="17" t="n">
        <f aca="false">COUNTIFS('Pedidos Top10'!$A$2:$A$1839,A82,'Pedidos Top10'!$C$2:$C$1839,C82)</f>
        <v>55</v>
      </c>
      <c r="E82" s="19" t="n">
        <f aca="false">SUMIFS('Pedidos Top10'!$J$2:$J$1839,'Pedidos Top10'!$A$2:$A$1839,A82,'Pedidos Top10'!$C$2:$C$1839,C82)</f>
        <v>2801.41</v>
      </c>
      <c r="F82" s="8" t="n">
        <f aca="false">SUMIFS('Pedidos Top10'!$L$2:$L$1839,'Pedidos Top10'!$A$2:$A$1839,A82,'Pedidos Top10'!$C$2:$C$1839,C82)</f>
        <v>9175.03</v>
      </c>
      <c r="G82" s="8" t="n">
        <f aca="false">SUMIFS('Pedidos Top10'!$AD$2:$AD$1839,'Pedidos Top10'!$A$2:$A$1839,A82,'Pedidos Top10'!$C$2:$C$1839,C82)</f>
        <v>7519.97</v>
      </c>
      <c r="H82" s="8" t="n">
        <f aca="false">G82-F82</f>
        <v>-1655.06</v>
      </c>
      <c r="I82" s="9" t="n">
        <f aca="false">IF(F82=0,0,H82/F82)</f>
        <v>-0.180387421076552</v>
      </c>
      <c r="J82" s="8" t="n">
        <f aca="false">IF(D82=0,0,F82/D82)</f>
        <v>166.818727272727</v>
      </c>
      <c r="K82" s="8" t="n">
        <f aca="false">IF(D82=0,0,G82/D82)</f>
        <v>136.726727272727</v>
      </c>
      <c r="L82" s="8" t="n">
        <f aca="false">IF(E82=0,0,F82/E82)</f>
        <v>3.27514715803827</v>
      </c>
      <c r="M82" s="8" t="n">
        <f aca="false">IF(E82=0,0,G82/E82)</f>
        <v>2.68435180855355</v>
      </c>
      <c r="N82" s="20" t="n">
        <v>7</v>
      </c>
      <c r="O82" s="9" t="n">
        <f aca="false">IF(D82=0,0,COUNTIFS('Pedidos Top10'!$A$2:$A$1839,A82,'Pedidos Top10'!$C$2:$C$1839,C82,'Pedidos Top10'!$AG$2:$AG$1839,"PASSARO")/D82)</f>
        <v>0.781818181818182</v>
      </c>
      <c r="P82" s="18" t="s">
        <v>30</v>
      </c>
      <c r="Q82" s="18" t="s">
        <v>199</v>
      </c>
      <c r="R82" s="18" t="str">
        <f aca="false">IF(I82&lt;=-0.05,"Passaro mais barata",IF(I82&lt;0.05,"Empate técnico (±5%)","Passaro mais cara"))</f>
        <v>Passaro mais barata</v>
      </c>
    </row>
    <row r="83" customFormat="false" ht="15" hidden="false" customHeight="false" outlineLevel="0" collapsed="false">
      <c r="A83" s="18" t="s">
        <v>23</v>
      </c>
      <c r="B83" s="18" t="n">
        <v>2</v>
      </c>
      <c r="C83" s="4" t="s">
        <v>200</v>
      </c>
      <c r="D83" s="17" t="n">
        <f aca="false">COUNTIFS('Pedidos Top10'!$A$2:$A$1839,A83,'Pedidos Top10'!$C$2:$C$1839,C83)</f>
        <v>9</v>
      </c>
      <c r="E83" s="19" t="n">
        <f aca="false">SUMIFS('Pedidos Top10'!$J$2:$J$1839,'Pedidos Top10'!$A$2:$A$1839,A83,'Pedidos Top10'!$C$2:$C$1839,C83)</f>
        <v>642.69</v>
      </c>
      <c r="F83" s="8" t="n">
        <f aca="false">SUMIFS('Pedidos Top10'!$L$2:$L$1839,'Pedidos Top10'!$A$2:$A$1839,A83,'Pedidos Top10'!$C$2:$C$1839,C83)</f>
        <v>2145.93</v>
      </c>
      <c r="G83" s="8" t="n">
        <f aca="false">SUMIFS('Pedidos Top10'!$AD$2:$AD$1839,'Pedidos Top10'!$A$2:$A$1839,A83,'Pedidos Top10'!$C$2:$C$1839,C83)</f>
        <v>1390.04</v>
      </c>
      <c r="H83" s="8" t="n">
        <f aca="false">G83-F83</f>
        <v>-755.89</v>
      </c>
      <c r="I83" s="9" t="n">
        <f aca="false">IF(F83=0,0,H83/F83)</f>
        <v>-0.352243549416803</v>
      </c>
      <c r="J83" s="8" t="n">
        <f aca="false">IF(D83=0,0,F83/D83)</f>
        <v>238.436666666667</v>
      </c>
      <c r="K83" s="8" t="n">
        <f aca="false">IF(D83=0,0,G83/D83)</f>
        <v>154.448888888889</v>
      </c>
      <c r="L83" s="8" t="n">
        <f aca="false">IF(E83=0,0,F83/E83)</f>
        <v>3.33898146851515</v>
      </c>
      <c r="M83" s="8" t="n">
        <f aca="false">IF(E83=0,0,G83/E83)</f>
        <v>2.16284678460844</v>
      </c>
      <c r="N83" s="20" t="n">
        <v>7</v>
      </c>
      <c r="O83" s="9" t="n">
        <f aca="false">IF(D83=0,0,COUNTIFS('Pedidos Top10'!$A$2:$A$1839,A83,'Pedidos Top10'!$C$2:$C$1839,C83,'Pedidos Top10'!$AG$2:$AG$1839,"PASSARO")/D83)</f>
        <v>1</v>
      </c>
      <c r="P83" s="18" t="s">
        <v>30</v>
      </c>
      <c r="Q83" s="18" t="s">
        <v>201</v>
      </c>
      <c r="R83" s="18" t="str">
        <f aca="false">IF(I83&lt;=-0.05,"Passaro mais barata",IF(I83&lt;0.05,"Empate técnico (±5%)","Passaro mais cara"))</f>
        <v>Passaro mais barata</v>
      </c>
    </row>
    <row r="84" customFormat="false" ht="15" hidden="false" customHeight="false" outlineLevel="0" collapsed="false">
      <c r="A84" s="18" t="s">
        <v>23</v>
      </c>
      <c r="B84" s="18" t="n">
        <v>3</v>
      </c>
      <c r="C84" s="4" t="s">
        <v>202</v>
      </c>
      <c r="D84" s="17" t="n">
        <f aca="false">COUNTIFS('Pedidos Top10'!$A$2:$A$1839,A84,'Pedidos Top10'!$C$2:$C$1839,C84)</f>
        <v>6</v>
      </c>
      <c r="E84" s="19" t="n">
        <f aca="false">SUMIFS('Pedidos Top10'!$J$2:$J$1839,'Pedidos Top10'!$A$2:$A$1839,A84,'Pedidos Top10'!$C$2:$C$1839,C84)</f>
        <v>364.96</v>
      </c>
      <c r="F84" s="8" t="n">
        <f aca="false">SUMIFS('Pedidos Top10'!$L$2:$L$1839,'Pedidos Top10'!$A$2:$A$1839,A84,'Pedidos Top10'!$C$2:$C$1839,C84)</f>
        <v>1418.84</v>
      </c>
      <c r="G84" s="8" t="n">
        <f aca="false">SUMIFS('Pedidos Top10'!$AD$2:$AD$1839,'Pedidos Top10'!$A$2:$A$1839,A84,'Pedidos Top10'!$C$2:$C$1839,C84)</f>
        <v>1023.99</v>
      </c>
      <c r="H84" s="8" t="n">
        <f aca="false">G84-F84</f>
        <v>-394.85</v>
      </c>
      <c r="I84" s="9" t="n">
        <f aca="false">IF(F84=0,0,H84/F84)</f>
        <v>-0.278290716359843</v>
      </c>
      <c r="J84" s="8" t="n">
        <f aca="false">IF(D84=0,0,F84/D84)</f>
        <v>236.473333333333</v>
      </c>
      <c r="K84" s="8" t="n">
        <f aca="false">IF(D84=0,0,G84/D84)</f>
        <v>170.665</v>
      </c>
      <c r="L84" s="8" t="n">
        <f aca="false">IF(E84=0,0,F84/E84)</f>
        <v>3.88765892152565</v>
      </c>
      <c r="M84" s="8" t="n">
        <f aca="false">IF(E84=0,0,G84/E84)</f>
        <v>2.80575953529154</v>
      </c>
      <c r="N84" s="20" t="n">
        <v>12</v>
      </c>
      <c r="O84" s="9" t="n">
        <f aca="false">IF(D84=0,0,COUNTIFS('Pedidos Top10'!$A$2:$A$1839,A84,'Pedidos Top10'!$C$2:$C$1839,C84,'Pedidos Top10'!$AG$2:$AG$1839,"PASSARO")/D84)</f>
        <v>1</v>
      </c>
      <c r="P84" s="18" t="s">
        <v>30</v>
      </c>
      <c r="Q84" s="18" t="s">
        <v>64</v>
      </c>
      <c r="R84" s="18" t="str">
        <f aca="false">IF(I84&lt;=-0.05,"Passaro mais barata",IF(I84&lt;0.05,"Empate técnico (±5%)","Passaro mais cara"))</f>
        <v>Passaro mais barata</v>
      </c>
    </row>
    <row r="85" customFormat="false" ht="15" hidden="false" customHeight="false" outlineLevel="0" collapsed="false">
      <c r="A85" s="18" t="s">
        <v>23</v>
      </c>
      <c r="B85" s="18" t="n">
        <v>4</v>
      </c>
      <c r="C85" s="4" t="s">
        <v>203</v>
      </c>
      <c r="D85" s="17" t="n">
        <f aca="false">COUNTIFS('Pedidos Top10'!$A$2:$A$1839,A85,'Pedidos Top10'!$C$2:$C$1839,C85)</f>
        <v>6</v>
      </c>
      <c r="E85" s="19" t="n">
        <f aca="false">SUMIFS('Pedidos Top10'!$J$2:$J$1839,'Pedidos Top10'!$A$2:$A$1839,A85,'Pedidos Top10'!$C$2:$C$1839,C85)</f>
        <v>268.48</v>
      </c>
      <c r="F85" s="8" t="n">
        <f aca="false">SUMIFS('Pedidos Top10'!$L$2:$L$1839,'Pedidos Top10'!$A$2:$A$1839,A85,'Pedidos Top10'!$C$2:$C$1839,C85)</f>
        <v>1140.95</v>
      </c>
      <c r="G85" s="8" t="n">
        <f aca="false">SUMIFS('Pedidos Top10'!$AD$2:$AD$1839,'Pedidos Top10'!$A$2:$A$1839,A85,'Pedidos Top10'!$C$2:$C$1839,C85)</f>
        <v>1063.76</v>
      </c>
      <c r="H85" s="8" t="n">
        <f aca="false">G85-F85</f>
        <v>-77.1900000000001</v>
      </c>
      <c r="I85" s="9" t="n">
        <f aca="false">IF(F85=0,0,H85/F85)</f>
        <v>-0.0676541478592402</v>
      </c>
      <c r="J85" s="8" t="n">
        <f aca="false">IF(D85=0,0,F85/D85)</f>
        <v>190.158333333333</v>
      </c>
      <c r="K85" s="8" t="n">
        <f aca="false">IF(D85=0,0,G85/D85)</f>
        <v>177.293333333333</v>
      </c>
      <c r="L85" s="8" t="n">
        <f aca="false">IF(E85=0,0,F85/E85)</f>
        <v>4.2496647794994</v>
      </c>
      <c r="M85" s="8" t="n">
        <f aca="false">IF(E85=0,0,G85/E85)</f>
        <v>3.96215733015495</v>
      </c>
      <c r="N85" s="20" t="n">
        <v>10</v>
      </c>
      <c r="O85" s="9" t="n">
        <f aca="false">IF(D85=0,0,COUNTIFS('Pedidos Top10'!$A$2:$A$1839,A85,'Pedidos Top10'!$C$2:$C$1839,C85,'Pedidos Top10'!$AG$2:$AG$1839,"PASSARO")/D85)</f>
        <v>0.5</v>
      </c>
      <c r="P85" s="18" t="s">
        <v>30</v>
      </c>
      <c r="Q85" s="18" t="s">
        <v>64</v>
      </c>
      <c r="R85" s="18" t="str">
        <f aca="false">IF(I85&lt;=-0.05,"Passaro mais barata",IF(I85&lt;0.05,"Empate técnico (±5%)","Passaro mais cara"))</f>
        <v>Passaro mais barata</v>
      </c>
    </row>
    <row r="86" customFormat="false" ht="15" hidden="false" customHeight="false" outlineLevel="0" collapsed="false">
      <c r="A86" s="18" t="s">
        <v>23</v>
      </c>
      <c r="B86" s="18" t="n">
        <v>5</v>
      </c>
      <c r="C86" s="4" t="s">
        <v>204</v>
      </c>
      <c r="D86" s="17" t="n">
        <f aca="false">COUNTIFS('Pedidos Top10'!$A$2:$A$1839,A86,'Pedidos Top10'!$C$2:$C$1839,C86)</f>
        <v>6</v>
      </c>
      <c r="E86" s="19" t="n">
        <f aca="false">SUMIFS('Pedidos Top10'!$J$2:$J$1839,'Pedidos Top10'!$A$2:$A$1839,A86,'Pedidos Top10'!$C$2:$C$1839,C86)</f>
        <v>182.85</v>
      </c>
      <c r="F86" s="8" t="n">
        <f aca="false">SUMIFS('Pedidos Top10'!$L$2:$L$1839,'Pedidos Top10'!$A$2:$A$1839,A86,'Pedidos Top10'!$C$2:$C$1839,C86)</f>
        <v>857.45</v>
      </c>
      <c r="G86" s="8" t="n">
        <f aca="false">SUMIFS('Pedidos Top10'!$AD$2:$AD$1839,'Pedidos Top10'!$A$2:$A$1839,A86,'Pedidos Top10'!$C$2:$C$1839,C86)</f>
        <v>1002.73</v>
      </c>
      <c r="H86" s="8" t="n">
        <f aca="false">G86-F86</f>
        <v>145.28</v>
      </c>
      <c r="I86" s="9" t="n">
        <f aca="false">IF(F86=0,0,H86/F86)</f>
        <v>0.169432619977841</v>
      </c>
      <c r="J86" s="8" t="n">
        <f aca="false">IF(D86=0,0,F86/D86)</f>
        <v>142.908333333333</v>
      </c>
      <c r="K86" s="8" t="n">
        <f aca="false">IF(D86=0,0,G86/D86)</f>
        <v>167.121666666667</v>
      </c>
      <c r="L86" s="8" t="n">
        <f aca="false">IF(E86=0,0,F86/E86)</f>
        <v>4.68936286573694</v>
      </c>
      <c r="M86" s="8" t="n">
        <f aca="false">IF(E86=0,0,G86/E86)</f>
        <v>5.48389390210555</v>
      </c>
      <c r="N86" s="20" t="n">
        <v>12</v>
      </c>
      <c r="O86" s="9" t="n">
        <f aca="false">IF(D86=0,0,COUNTIFS('Pedidos Top10'!$A$2:$A$1839,A86,'Pedidos Top10'!$C$2:$C$1839,C86,'Pedidos Top10'!$AG$2:$AG$1839,"PASSARO")/D86)</f>
        <v>0.166666666666667</v>
      </c>
      <c r="P86" s="18" t="s">
        <v>30</v>
      </c>
      <c r="Q86" s="18" t="s">
        <v>106</v>
      </c>
      <c r="R86" s="18" t="str">
        <f aca="false">IF(I86&lt;=-0.05,"Passaro mais barata",IF(I86&lt;0.05,"Empate técnico (±5%)","Passaro mais cara"))</f>
        <v>Passaro mais cara</v>
      </c>
    </row>
    <row r="87" customFormat="false" ht="15" hidden="false" customHeight="false" outlineLevel="0" collapsed="false">
      <c r="A87" s="18" t="s">
        <v>23</v>
      </c>
      <c r="B87" s="18" t="n">
        <v>6</v>
      </c>
      <c r="C87" s="4" t="s">
        <v>205</v>
      </c>
      <c r="D87" s="17" t="n">
        <f aca="false">COUNTIFS('Pedidos Top10'!$A$2:$A$1839,A87,'Pedidos Top10'!$C$2:$C$1839,C87)</f>
        <v>4</v>
      </c>
      <c r="E87" s="19" t="n">
        <f aca="false">SUMIFS('Pedidos Top10'!$J$2:$J$1839,'Pedidos Top10'!$A$2:$A$1839,A87,'Pedidos Top10'!$C$2:$C$1839,C87)</f>
        <v>125.88</v>
      </c>
      <c r="F87" s="8" t="n">
        <f aca="false">SUMIFS('Pedidos Top10'!$L$2:$L$1839,'Pedidos Top10'!$A$2:$A$1839,A87,'Pedidos Top10'!$C$2:$C$1839,C87)</f>
        <v>496.95</v>
      </c>
      <c r="G87" s="8" t="n">
        <f aca="false">SUMIFS('Pedidos Top10'!$AD$2:$AD$1839,'Pedidos Top10'!$A$2:$A$1839,A87,'Pedidos Top10'!$C$2:$C$1839,C87)</f>
        <v>467.55</v>
      </c>
      <c r="H87" s="8" t="n">
        <f aca="false">G87-F87</f>
        <v>-29.4</v>
      </c>
      <c r="I87" s="9" t="n">
        <f aca="false">IF(F87=0,0,H87/F87)</f>
        <v>-0.0591608813763961</v>
      </c>
      <c r="J87" s="8" t="n">
        <f aca="false">IF(D87=0,0,F87/D87)</f>
        <v>124.2375</v>
      </c>
      <c r="K87" s="8" t="n">
        <f aca="false">IF(D87=0,0,G87/D87)</f>
        <v>116.8875</v>
      </c>
      <c r="L87" s="8" t="n">
        <f aca="false">IF(E87=0,0,F87/E87)</f>
        <v>3.947807435653</v>
      </c>
      <c r="M87" s="8" t="n">
        <f aca="false">IF(E87=0,0,G87/E87)</f>
        <v>3.71425166825548</v>
      </c>
      <c r="N87" s="20" t="n">
        <v>7</v>
      </c>
      <c r="O87" s="9" t="n">
        <f aca="false">IF(D87=0,0,COUNTIFS('Pedidos Top10'!$A$2:$A$1839,A87,'Pedidos Top10'!$C$2:$C$1839,C87,'Pedidos Top10'!$AG$2:$AG$1839,"PASSARO")/D87)</f>
        <v>0.5</v>
      </c>
      <c r="P87" s="18" t="s">
        <v>30</v>
      </c>
      <c r="Q87" s="18" t="s">
        <v>206</v>
      </c>
      <c r="R87" s="18" t="str">
        <f aca="false">IF(I87&lt;=-0.05,"Passaro mais barata",IF(I87&lt;0.05,"Empate técnico (±5%)","Passaro mais cara"))</f>
        <v>Passaro mais barata</v>
      </c>
    </row>
    <row r="88" customFormat="false" ht="15" hidden="false" customHeight="false" outlineLevel="0" collapsed="false">
      <c r="A88" s="18" t="s">
        <v>23</v>
      </c>
      <c r="B88" s="18" t="n">
        <v>7</v>
      </c>
      <c r="C88" s="4" t="s">
        <v>207</v>
      </c>
      <c r="D88" s="17" t="n">
        <f aca="false">COUNTIFS('Pedidos Top10'!$A$2:$A$1839,A88,'Pedidos Top10'!$C$2:$C$1839,C88)</f>
        <v>3</v>
      </c>
      <c r="E88" s="19" t="n">
        <f aca="false">SUMIFS('Pedidos Top10'!$J$2:$J$1839,'Pedidos Top10'!$A$2:$A$1839,A88,'Pedidos Top10'!$C$2:$C$1839,C88)</f>
        <v>197.8</v>
      </c>
      <c r="F88" s="8" t="n">
        <f aca="false">SUMIFS('Pedidos Top10'!$L$2:$L$1839,'Pedidos Top10'!$A$2:$A$1839,A88,'Pedidos Top10'!$C$2:$C$1839,C88)</f>
        <v>781.59</v>
      </c>
      <c r="G88" s="8" t="n">
        <f aca="false">SUMIFS('Pedidos Top10'!$AD$2:$AD$1839,'Pedidos Top10'!$A$2:$A$1839,A88,'Pedidos Top10'!$C$2:$C$1839,C88)</f>
        <v>546.24</v>
      </c>
      <c r="H88" s="8" t="n">
        <f aca="false">G88-F88</f>
        <v>-235.35</v>
      </c>
      <c r="I88" s="9" t="n">
        <f aca="false">IF(F88=0,0,H88/F88)</f>
        <v>-0.301116953901662</v>
      </c>
      <c r="J88" s="8" t="n">
        <f aca="false">IF(D88=0,0,F88/D88)</f>
        <v>260.53</v>
      </c>
      <c r="K88" s="8" t="n">
        <f aca="false">IF(D88=0,0,G88/D88)</f>
        <v>182.08</v>
      </c>
      <c r="L88" s="8" t="n">
        <f aca="false">IF(E88=0,0,F88/E88)</f>
        <v>3.95141557128413</v>
      </c>
      <c r="M88" s="8" t="n">
        <f aca="false">IF(E88=0,0,G88/E88)</f>
        <v>2.76157735085945</v>
      </c>
      <c r="N88" s="20" t="n">
        <v>10</v>
      </c>
      <c r="O88" s="9" t="n">
        <f aca="false">IF(D88=0,0,COUNTIFS('Pedidos Top10'!$A$2:$A$1839,A88,'Pedidos Top10'!$C$2:$C$1839,C88,'Pedidos Top10'!$AG$2:$AG$1839,"PASSARO")/D88)</f>
        <v>1</v>
      </c>
      <c r="P88" s="18" t="s">
        <v>30</v>
      </c>
      <c r="Q88" s="18" t="s">
        <v>69</v>
      </c>
      <c r="R88" s="18" t="str">
        <f aca="false">IF(I88&lt;=-0.05,"Passaro mais barata",IF(I88&lt;0.05,"Empate técnico (±5%)","Passaro mais cara"))</f>
        <v>Passaro mais barata</v>
      </c>
    </row>
    <row r="89" customFormat="false" ht="15" hidden="false" customHeight="false" outlineLevel="0" collapsed="false">
      <c r="A89" s="18" t="s">
        <v>23</v>
      </c>
      <c r="B89" s="18" t="n">
        <v>8</v>
      </c>
      <c r="C89" s="4" t="s">
        <v>208</v>
      </c>
      <c r="D89" s="17" t="n">
        <f aca="false">COUNTIFS('Pedidos Top10'!$A$2:$A$1839,A89,'Pedidos Top10'!$C$2:$C$1839,C89)</f>
        <v>3</v>
      </c>
      <c r="E89" s="19" t="n">
        <f aca="false">SUMIFS('Pedidos Top10'!$J$2:$J$1839,'Pedidos Top10'!$A$2:$A$1839,A89,'Pedidos Top10'!$C$2:$C$1839,C89)</f>
        <v>209.6</v>
      </c>
      <c r="F89" s="8" t="n">
        <f aca="false">SUMIFS('Pedidos Top10'!$L$2:$L$1839,'Pedidos Top10'!$A$2:$A$1839,A89,'Pedidos Top10'!$C$2:$C$1839,C89)</f>
        <v>703.56</v>
      </c>
      <c r="G89" s="8" t="n">
        <f aca="false">SUMIFS('Pedidos Top10'!$AD$2:$AD$1839,'Pedidos Top10'!$A$2:$A$1839,A89,'Pedidos Top10'!$C$2:$C$1839,C89)</f>
        <v>619.2</v>
      </c>
      <c r="H89" s="8" t="n">
        <f aca="false">G89-F89</f>
        <v>-84.3599999999999</v>
      </c>
      <c r="I89" s="9" t="n">
        <f aca="false">IF(F89=0,0,H89/F89)</f>
        <v>-0.119904485758144</v>
      </c>
      <c r="J89" s="8" t="n">
        <f aca="false">IF(D89=0,0,F89/D89)</f>
        <v>234.52</v>
      </c>
      <c r="K89" s="8" t="n">
        <f aca="false">IF(D89=0,0,G89/D89)</f>
        <v>206.4</v>
      </c>
      <c r="L89" s="8" t="n">
        <f aca="false">IF(E89=0,0,F89/E89)</f>
        <v>3.35667938931298</v>
      </c>
      <c r="M89" s="8" t="n">
        <f aca="false">IF(E89=0,0,G89/E89)</f>
        <v>2.95419847328244</v>
      </c>
      <c r="N89" s="20" t="n">
        <v>12</v>
      </c>
      <c r="O89" s="9" t="n">
        <f aca="false">IF(D89=0,0,COUNTIFS('Pedidos Top10'!$A$2:$A$1839,A89,'Pedidos Top10'!$C$2:$C$1839,C89,'Pedidos Top10'!$AG$2:$AG$1839,"PASSARO")/D89)</f>
        <v>0.666666666666667</v>
      </c>
      <c r="P89" s="18" t="s">
        <v>30</v>
      </c>
      <c r="Q89" s="18" t="s">
        <v>69</v>
      </c>
      <c r="R89" s="18" t="str">
        <f aca="false">IF(I89&lt;=-0.05,"Passaro mais barata",IF(I89&lt;0.05,"Empate técnico (±5%)","Passaro mais cara"))</f>
        <v>Passaro mais barata</v>
      </c>
    </row>
    <row r="90" customFormat="false" ht="15" hidden="false" customHeight="false" outlineLevel="0" collapsed="false">
      <c r="A90" s="18" t="s">
        <v>23</v>
      </c>
      <c r="B90" s="18" t="n">
        <v>9</v>
      </c>
      <c r="C90" s="4" t="s">
        <v>209</v>
      </c>
      <c r="D90" s="17" t="n">
        <f aca="false">COUNTIFS('Pedidos Top10'!$A$2:$A$1839,A90,'Pedidos Top10'!$C$2:$C$1839,C90)</f>
        <v>3</v>
      </c>
      <c r="E90" s="19" t="n">
        <f aca="false">SUMIFS('Pedidos Top10'!$J$2:$J$1839,'Pedidos Top10'!$A$2:$A$1839,A90,'Pedidos Top10'!$C$2:$C$1839,C90)</f>
        <v>100.7</v>
      </c>
      <c r="F90" s="8" t="n">
        <f aca="false">SUMIFS('Pedidos Top10'!$L$2:$L$1839,'Pedidos Top10'!$A$2:$A$1839,A90,'Pedidos Top10'!$C$2:$C$1839,C90)</f>
        <v>480.16</v>
      </c>
      <c r="G90" s="8" t="n">
        <f aca="false">SUMIFS('Pedidos Top10'!$AD$2:$AD$1839,'Pedidos Top10'!$A$2:$A$1839,A90,'Pedidos Top10'!$C$2:$C$1839,C90)</f>
        <v>501.34</v>
      </c>
      <c r="H90" s="8" t="n">
        <f aca="false">G90-F90</f>
        <v>21.18</v>
      </c>
      <c r="I90" s="9" t="n">
        <f aca="false">IF(F90=0,0,H90/F90)</f>
        <v>0.0441102965678107</v>
      </c>
      <c r="J90" s="8" t="n">
        <f aca="false">IF(D90=0,0,F90/D90)</f>
        <v>160.053333333333</v>
      </c>
      <c r="K90" s="8" t="n">
        <f aca="false">IF(D90=0,0,G90/D90)</f>
        <v>167.113333333333</v>
      </c>
      <c r="L90" s="8" t="n">
        <f aca="false">IF(E90=0,0,F90/E90)</f>
        <v>4.7682224428997</v>
      </c>
      <c r="M90" s="8" t="n">
        <f aca="false">IF(E90=0,0,G90/E90)</f>
        <v>4.9785501489573</v>
      </c>
      <c r="N90" s="20" t="n">
        <v>12</v>
      </c>
      <c r="O90" s="9" t="n">
        <f aca="false">IF(D90=0,0,COUNTIFS('Pedidos Top10'!$A$2:$A$1839,A90,'Pedidos Top10'!$C$2:$C$1839,C90,'Pedidos Top10'!$AG$2:$AG$1839,"PASSARO")/D90)</f>
        <v>0.333333333333333</v>
      </c>
      <c r="P90" s="18" t="s">
        <v>30</v>
      </c>
      <c r="Q90" s="18" t="s">
        <v>69</v>
      </c>
      <c r="R90" s="18" t="str">
        <f aca="false">IF(I90&lt;=-0.05,"Passaro mais barata",IF(I90&lt;0.05,"Empate técnico (±5%)","Passaro mais cara"))</f>
        <v>Empate técnico (±5%)</v>
      </c>
    </row>
    <row r="91" customFormat="false" ht="15" hidden="false" customHeight="false" outlineLevel="0" collapsed="false">
      <c r="A91" s="18" t="s">
        <v>23</v>
      </c>
      <c r="B91" s="18" t="n">
        <v>10</v>
      </c>
      <c r="C91" s="4" t="s">
        <v>210</v>
      </c>
      <c r="D91" s="17" t="n">
        <f aca="false">COUNTIFS('Pedidos Top10'!$A$2:$A$1839,A91,'Pedidos Top10'!$C$2:$C$1839,C91)</f>
        <v>2</v>
      </c>
      <c r="E91" s="19" t="n">
        <f aca="false">SUMIFS('Pedidos Top10'!$J$2:$J$1839,'Pedidos Top10'!$A$2:$A$1839,A91,'Pedidos Top10'!$C$2:$C$1839,C91)</f>
        <v>223.9</v>
      </c>
      <c r="F91" s="8" t="n">
        <f aca="false">SUMIFS('Pedidos Top10'!$L$2:$L$1839,'Pedidos Top10'!$A$2:$A$1839,A91,'Pedidos Top10'!$C$2:$C$1839,C91)</f>
        <v>712.9</v>
      </c>
      <c r="G91" s="8" t="n">
        <f aca="false">SUMIFS('Pedidos Top10'!$AD$2:$AD$1839,'Pedidos Top10'!$A$2:$A$1839,A91,'Pedidos Top10'!$C$2:$C$1839,C91)</f>
        <v>559.48</v>
      </c>
      <c r="H91" s="8" t="n">
        <f aca="false">G91-F91</f>
        <v>-153.42</v>
      </c>
      <c r="I91" s="9" t="n">
        <f aca="false">IF(F91=0,0,H91/F91)</f>
        <v>-0.215205498667415</v>
      </c>
      <c r="J91" s="8" t="n">
        <f aca="false">IF(D91=0,0,F91/D91)</f>
        <v>356.45</v>
      </c>
      <c r="K91" s="8" t="n">
        <f aca="false">IF(D91=0,0,G91/D91)</f>
        <v>279.74</v>
      </c>
      <c r="L91" s="8" t="n">
        <f aca="false">IF(E91=0,0,F91/E91)</f>
        <v>3.18401071907101</v>
      </c>
      <c r="M91" s="8" t="n">
        <f aca="false">IF(E91=0,0,G91/E91)</f>
        <v>2.49879410451094</v>
      </c>
      <c r="N91" s="20" t="n">
        <v>10</v>
      </c>
      <c r="O91" s="9" t="n">
        <f aca="false">IF(D91=0,0,COUNTIFS('Pedidos Top10'!$A$2:$A$1839,A91,'Pedidos Top10'!$C$2:$C$1839,C91,'Pedidos Top10'!$AG$2:$AG$1839,"PASSARO")/D91)</f>
        <v>1</v>
      </c>
      <c r="P91" s="18" t="s">
        <v>30</v>
      </c>
      <c r="Q91" s="18" t="s">
        <v>145</v>
      </c>
      <c r="R91" s="18" t="str">
        <f aca="false">IF(I91&lt;=-0.05,"Passaro mais barata",IF(I91&lt;0.05,"Empate técnico (±5%)","Passaro mais cara"))</f>
        <v>Passaro mais barata</v>
      </c>
    </row>
  </sheetData>
  <autoFilter ref="A1:R91"/>
  <conditionalFormatting sqref="I2:I91">
    <cfRule type="cellIs" priority="2" operator="lessThan" aboveAverage="0" equalAverage="0" bottom="0" percent="0" rank="0" text="" dxfId="0">
      <formula>-0.05</formula>
    </cfRule>
    <cfRule type="cellIs" priority="3" operator="greaterThan" aboveAverage="0" equalAverage="0" bottom="0" percent="0" rank="0" text="" dxfId="1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1"/>
    <col collapsed="false" customWidth="true" hidden="false" outlineLevel="0" max="15" min="14" style="0" width="9"/>
    <col collapsed="false" customWidth="true" hidden="false" outlineLevel="0" max="16" min="16" style="0" width="11"/>
    <col collapsed="false" customWidth="true" hidden="false" outlineLevel="0" max="17" min="17" style="0" width="40"/>
  </cols>
  <sheetData>
    <row r="1" customFormat="false" ht="42" hidden="false" customHeight="true" outlineLevel="0" collapsed="false">
      <c r="A1" s="3" t="s">
        <v>2</v>
      </c>
      <c r="B1" s="3" t="s">
        <v>211</v>
      </c>
      <c r="C1" s="3" t="s">
        <v>53</v>
      </c>
      <c r="D1" s="3" t="s">
        <v>212</v>
      </c>
      <c r="E1" s="3" t="s">
        <v>3</v>
      </c>
      <c r="F1" s="3" t="s">
        <v>213</v>
      </c>
      <c r="G1" s="3" t="s">
        <v>4</v>
      </c>
      <c r="H1" s="3" t="s">
        <v>6</v>
      </c>
      <c r="I1" s="3" t="s">
        <v>214</v>
      </c>
      <c r="J1" s="3" t="s">
        <v>8</v>
      </c>
      <c r="K1" s="3" t="s">
        <v>9</v>
      </c>
      <c r="L1" s="3" t="s">
        <v>27</v>
      </c>
      <c r="M1" s="3" t="s">
        <v>28</v>
      </c>
      <c r="N1" s="3" t="s">
        <v>29</v>
      </c>
      <c r="O1" s="3" t="s">
        <v>54</v>
      </c>
      <c r="P1" s="3" t="s">
        <v>13</v>
      </c>
      <c r="Q1" s="3" t="s">
        <v>215</v>
      </c>
    </row>
    <row r="2" customFormat="false" ht="15" hidden="false" customHeight="false" outlineLevel="0" collapsed="false">
      <c r="A2" s="18" t="s">
        <v>15</v>
      </c>
      <c r="B2" s="18" t="n">
        <v>1</v>
      </c>
      <c r="C2" s="18" t="s">
        <v>59</v>
      </c>
      <c r="D2" s="18" t="s">
        <v>30</v>
      </c>
      <c r="E2" s="17" t="n">
        <f aca="false">COUNTIFS('Pedidos Top10'!$A$2:$A$1839,A2,'Pedidos Top10'!$C$2:$C$1839,C2,'Pedidos Top10'!$D$2:$D$1839,D2)</f>
        <v>90</v>
      </c>
      <c r="F2" s="21" t="n">
        <f aca="false">E2/COUNTIFS('Pedidos Top10'!$A$2:$A$1839,A2,'Pedidos Top10'!$C$2:$C$1839,C2)</f>
        <v>0.818181818181818</v>
      </c>
      <c r="G2" s="19" t="n">
        <f aca="false">SUMIFS('Pedidos Top10'!$J$2:$J$1839,'Pedidos Top10'!$A$2:$A$1839,A2,'Pedidos Top10'!$C$2:$C$1839,C2,'Pedidos Top10'!$D$2:$D$1839,D2)</f>
        <v>4819.05</v>
      </c>
      <c r="H2" s="8" t="n">
        <f aca="false">SUMIFS('Pedidos Top10'!$L$2:$L$1839,'Pedidos Top10'!$A$2:$A$1839,A2,'Pedidos Top10'!$C$2:$C$1839,C2,'Pedidos Top10'!$D$2:$D$1839,D2)</f>
        <v>16352.14</v>
      </c>
      <c r="I2" s="8" t="n">
        <f aca="false">SUMIFS('Pedidos Top10'!$AD$2:$AD$1839,'Pedidos Top10'!$A$2:$A$1839,A2,'Pedidos Top10'!$C$2:$C$1839,C2,'Pedidos Top10'!$D$2:$D$1839,D2)</f>
        <v>12990.97</v>
      </c>
      <c r="J2" s="8" t="n">
        <f aca="false">I2-H2</f>
        <v>-3361.17</v>
      </c>
      <c r="K2" s="9" t="n">
        <f aca="false">IF(H2=0,0,J2/H2)</f>
        <v>-0.205549243096011</v>
      </c>
      <c r="L2" s="8" t="n">
        <f aca="false">IF(E2=0,0,H2/E2)</f>
        <v>181.690444444444</v>
      </c>
      <c r="M2" s="8" t="n">
        <f aca="false">IF(E2=0,0,I2/E2)</f>
        <v>144.344111111111</v>
      </c>
      <c r="N2" s="8" t="n">
        <f aca="false">IF(G2=0,0,H2/G2)</f>
        <v>3.39322895591455</v>
      </c>
      <c r="O2" s="8" t="n">
        <f aca="false">IF(G2=0,0,I2/G2)</f>
        <v>2.69575331237485</v>
      </c>
      <c r="P2" s="21" t="n">
        <f aca="false">IF(E2=0,0,COUNTIFS('Pedidos Top10'!$A$2:$A$1839,A2,'Pedidos Top10'!$C$2:$C$1839,C2,'Pedidos Top10'!$D$2:$D$1839,D2,'Pedidos Top10'!$AG$2:$AG$1839,"PASSARO")/E2)</f>
        <v>0.944444444444444</v>
      </c>
      <c r="Q2" s="18" t="str">
        <f aca="false">IF(K2&lt;=-0.05,"Passaro compete: "&amp;TEXT(-K2,"0%")&amp;" abaixo de "&amp;D2,IF(K2&lt;0.05,"Empate técnico com "&amp;D2,D2&amp;" é "&amp;TEXT(1-H2/I2,"0%")&amp;" mais barata que a Passaro"))</f>
        <v>Passaro compete: 21% abaixo de DOMINALOG</v>
      </c>
    </row>
    <row r="3" customFormat="false" ht="15" hidden="false" customHeight="false" outlineLevel="0" collapsed="false">
      <c r="A3" s="18" t="s">
        <v>15</v>
      </c>
      <c r="B3" s="18" t="n">
        <v>1</v>
      </c>
      <c r="C3" s="18" t="s">
        <v>59</v>
      </c>
      <c r="D3" s="18" t="s">
        <v>31</v>
      </c>
      <c r="E3" s="17" t="n">
        <f aca="false">COUNTIFS('Pedidos Top10'!$A$2:$A$1839,A3,'Pedidos Top10'!$C$2:$C$1839,C3,'Pedidos Top10'!$D$2:$D$1839,D3)</f>
        <v>19</v>
      </c>
      <c r="F3" s="21" t="n">
        <f aca="false">E3/COUNTIFS('Pedidos Top10'!$A$2:$A$1839,A3,'Pedidos Top10'!$C$2:$C$1839,C3)</f>
        <v>0.172727272727273</v>
      </c>
      <c r="G3" s="19" t="n">
        <f aca="false">SUMIFS('Pedidos Top10'!$J$2:$J$1839,'Pedidos Top10'!$A$2:$A$1839,A3,'Pedidos Top10'!$C$2:$C$1839,C3,'Pedidos Top10'!$D$2:$D$1839,D3)</f>
        <v>388.99</v>
      </c>
      <c r="H3" s="8" t="n">
        <f aca="false">SUMIFS('Pedidos Top10'!$L$2:$L$1839,'Pedidos Top10'!$A$2:$A$1839,A3,'Pedidos Top10'!$C$2:$C$1839,C3,'Pedidos Top10'!$D$2:$D$1839,D3)</f>
        <v>1557.14</v>
      </c>
      <c r="I3" s="8" t="n">
        <f aca="false">SUMIFS('Pedidos Top10'!$AD$2:$AD$1839,'Pedidos Top10'!$A$2:$A$1839,A3,'Pedidos Top10'!$C$2:$C$1839,C3,'Pedidos Top10'!$D$2:$D$1839,D3)</f>
        <v>2262.53</v>
      </c>
      <c r="J3" s="8" t="n">
        <f aca="false">I3-H3</f>
        <v>705.39</v>
      </c>
      <c r="K3" s="9" t="n">
        <f aca="false">IF(H3=0,0,J3/H3)</f>
        <v>0.453003583492814</v>
      </c>
      <c r="L3" s="8" t="n">
        <f aca="false">IF(E3=0,0,H3/E3)</f>
        <v>81.9547368421053</v>
      </c>
      <c r="M3" s="8" t="n">
        <f aca="false">IF(E3=0,0,I3/E3)</f>
        <v>119.080526315789</v>
      </c>
      <c r="N3" s="8" t="n">
        <f aca="false">IF(G3=0,0,H3/G3)</f>
        <v>4.00303349700507</v>
      </c>
      <c r="O3" s="8" t="n">
        <f aca="false">IF(G3=0,0,I3/G3)</f>
        <v>5.81642201599013</v>
      </c>
      <c r="P3" s="21" t="n">
        <f aca="false">IF(E3=0,0,COUNTIFS('Pedidos Top10'!$A$2:$A$1839,A3,'Pedidos Top10'!$C$2:$C$1839,C3,'Pedidos Top10'!$D$2:$D$1839,D3,'Pedidos Top10'!$AG$2:$AG$1839,"PASSARO")/E3)</f>
        <v>0</v>
      </c>
      <c r="Q3" s="18" t="str">
        <f aca="false">IF(K3&lt;=-0.05,"Passaro compete: "&amp;TEXT(-K3,"0%")&amp;" abaixo de "&amp;D3,IF(K3&lt;0.05,"Empate técnico com "&amp;D3,D3&amp;" é "&amp;TEXT(1-H3/I3,"0%")&amp;" mais barata que a Passaro"))</f>
        <v>JADLOG é 31% mais barata que a Passaro</v>
      </c>
    </row>
    <row r="4" customFormat="false" ht="15" hidden="false" customHeight="false" outlineLevel="0" collapsed="false">
      <c r="A4" s="18" t="s">
        <v>15</v>
      </c>
      <c r="B4" s="18" t="n">
        <v>1</v>
      </c>
      <c r="C4" s="18" t="s">
        <v>59</v>
      </c>
      <c r="D4" s="18" t="s">
        <v>35</v>
      </c>
      <c r="E4" s="17" t="n">
        <f aca="false">COUNTIFS('Pedidos Top10'!$A$2:$A$1839,A4,'Pedidos Top10'!$C$2:$C$1839,C4,'Pedidos Top10'!$D$2:$D$1839,D4)</f>
        <v>1</v>
      </c>
      <c r="F4" s="21" t="n">
        <f aca="false">E4/COUNTIFS('Pedidos Top10'!$A$2:$A$1839,A4,'Pedidos Top10'!$C$2:$C$1839,C4)</f>
        <v>0.00909090909090909</v>
      </c>
      <c r="G4" s="19" t="n">
        <f aca="false">SUMIFS('Pedidos Top10'!$J$2:$J$1839,'Pedidos Top10'!$A$2:$A$1839,A4,'Pedidos Top10'!$C$2:$C$1839,C4,'Pedidos Top10'!$D$2:$D$1839,D4)</f>
        <v>66.8</v>
      </c>
      <c r="H4" s="8" t="n">
        <f aca="false">SUMIFS('Pedidos Top10'!$L$2:$L$1839,'Pedidos Top10'!$A$2:$A$1839,A4,'Pedidos Top10'!$C$2:$C$1839,C4,'Pedidos Top10'!$D$2:$D$1839,D4)</f>
        <v>175.96</v>
      </c>
      <c r="I4" s="8" t="n">
        <f aca="false">SUMIFS('Pedidos Top10'!$AD$2:$AD$1839,'Pedidos Top10'!$A$2:$A$1839,A4,'Pedidos Top10'!$C$2:$C$1839,C4,'Pedidos Top10'!$D$2:$D$1839,D4)</f>
        <v>145.07</v>
      </c>
      <c r="J4" s="8" t="n">
        <f aca="false">I4-H4</f>
        <v>-30.89</v>
      </c>
      <c r="K4" s="9" t="n">
        <f aca="false">IF(H4=0,0,J4/H4)</f>
        <v>-0.175551261650375</v>
      </c>
      <c r="L4" s="8" t="n">
        <f aca="false">IF(E4=0,0,H4/E4)</f>
        <v>175.96</v>
      </c>
      <c r="M4" s="8" t="n">
        <f aca="false">IF(E4=0,0,I4/E4)</f>
        <v>145.07</v>
      </c>
      <c r="N4" s="8" t="n">
        <f aca="false">IF(G4=0,0,H4/G4)</f>
        <v>2.63413173652695</v>
      </c>
      <c r="O4" s="8" t="n">
        <f aca="false">IF(G4=0,0,I4/G4)</f>
        <v>2.17170658682635</v>
      </c>
      <c r="P4" s="21" t="n">
        <f aca="false">IF(E4=0,0,COUNTIFS('Pedidos Top10'!$A$2:$A$1839,A4,'Pedidos Top10'!$C$2:$C$1839,C4,'Pedidos Top10'!$D$2:$D$1839,D4,'Pedidos Top10'!$AG$2:$AG$1839,"PASSARO")/E4)</f>
        <v>1</v>
      </c>
      <c r="Q4" s="18" t="str">
        <f aca="false">IF(K4&lt;=-0.05,"Passaro compete: "&amp;TEXT(-K4,"0%")&amp;" abaixo de "&amp;D4,IF(K4&lt;0.05,"Empate técnico com "&amp;D4,D4&amp;" é "&amp;TEXT(1-H4/I4,"0%")&amp;" mais barata que a Passaro"))</f>
        <v>Passaro compete: 18% abaixo de ZAFER</v>
      </c>
    </row>
    <row r="5" customFormat="false" ht="15" hidden="false" customHeight="false" outlineLevel="0" collapsed="false">
      <c r="A5" s="18" t="s">
        <v>15</v>
      </c>
      <c r="B5" s="18" t="n">
        <v>2</v>
      </c>
      <c r="C5" s="18" t="s">
        <v>61</v>
      </c>
      <c r="D5" s="18" t="s">
        <v>30</v>
      </c>
      <c r="E5" s="17" t="n">
        <f aca="false">COUNTIFS('Pedidos Top10'!$A$2:$A$1839,A5,'Pedidos Top10'!$C$2:$C$1839,C5,'Pedidos Top10'!$D$2:$D$1839,D5)</f>
        <v>22</v>
      </c>
      <c r="F5" s="21" t="n">
        <f aca="false">E5/COUNTIFS('Pedidos Top10'!$A$2:$A$1839,A5,'Pedidos Top10'!$C$2:$C$1839,C5)</f>
        <v>0.846153846153846</v>
      </c>
      <c r="G5" s="19" t="n">
        <f aca="false">SUMIFS('Pedidos Top10'!$J$2:$J$1839,'Pedidos Top10'!$A$2:$A$1839,A5,'Pedidos Top10'!$C$2:$C$1839,C5,'Pedidos Top10'!$D$2:$D$1839,D5)</f>
        <v>838.36</v>
      </c>
      <c r="H5" s="8" t="n">
        <f aca="false">SUMIFS('Pedidos Top10'!$L$2:$L$1839,'Pedidos Top10'!$A$2:$A$1839,A5,'Pedidos Top10'!$C$2:$C$1839,C5,'Pedidos Top10'!$D$2:$D$1839,D5)</f>
        <v>3498.11</v>
      </c>
      <c r="I5" s="8" t="n">
        <f aca="false">SUMIFS('Pedidos Top10'!$AD$2:$AD$1839,'Pedidos Top10'!$A$2:$A$1839,A5,'Pedidos Top10'!$C$2:$C$1839,C5,'Pedidos Top10'!$D$2:$D$1839,D5)</f>
        <v>3501.79</v>
      </c>
      <c r="J5" s="8" t="n">
        <f aca="false">I5-H5</f>
        <v>3.67999999999984</v>
      </c>
      <c r="K5" s="9" t="n">
        <f aca="false">IF(H5=0,0,J5/H5)</f>
        <v>0.00105199664961932</v>
      </c>
      <c r="L5" s="8" t="n">
        <f aca="false">IF(E5=0,0,H5/E5)</f>
        <v>159.005</v>
      </c>
      <c r="M5" s="8" t="n">
        <f aca="false">IF(E5=0,0,I5/E5)</f>
        <v>159.172272727273</v>
      </c>
      <c r="N5" s="8" t="n">
        <f aca="false">IF(G5=0,0,H5/G5)</f>
        <v>4.17256309938451</v>
      </c>
      <c r="O5" s="8" t="n">
        <f aca="false">IF(G5=0,0,I5/G5)</f>
        <v>4.17695262178539</v>
      </c>
      <c r="P5" s="21" t="n">
        <f aca="false">IF(E5=0,0,COUNTIFS('Pedidos Top10'!$A$2:$A$1839,A5,'Pedidos Top10'!$C$2:$C$1839,C5,'Pedidos Top10'!$D$2:$D$1839,D5,'Pedidos Top10'!$AG$2:$AG$1839,"PASSARO")/E5)</f>
        <v>0.409090909090909</v>
      </c>
      <c r="Q5" s="18" t="str">
        <f aca="false">IF(K5&lt;=-0.05,"Passaro compete: "&amp;TEXT(-K5,"0%")&amp;" abaixo de "&amp;D5,IF(K5&lt;0.05,"Empate técnico com "&amp;D5,D5&amp;" é "&amp;TEXT(1-H5/I5,"0%")&amp;" mais barata que a Passaro"))</f>
        <v>Empate técnico com DOMINALOG</v>
      </c>
    </row>
    <row r="6" customFormat="false" ht="15" hidden="false" customHeight="false" outlineLevel="0" collapsed="false">
      <c r="A6" s="18" t="s">
        <v>15</v>
      </c>
      <c r="B6" s="18" t="n">
        <v>2</v>
      </c>
      <c r="C6" s="18" t="s">
        <v>61</v>
      </c>
      <c r="D6" s="18" t="s">
        <v>31</v>
      </c>
      <c r="E6" s="17" t="n">
        <f aca="false">COUNTIFS('Pedidos Top10'!$A$2:$A$1839,A6,'Pedidos Top10'!$C$2:$C$1839,C6,'Pedidos Top10'!$D$2:$D$1839,D6)</f>
        <v>4</v>
      </c>
      <c r="F6" s="21" t="n">
        <f aca="false">E6/COUNTIFS('Pedidos Top10'!$A$2:$A$1839,A6,'Pedidos Top10'!$C$2:$C$1839,C6)</f>
        <v>0.153846153846154</v>
      </c>
      <c r="G6" s="19" t="n">
        <f aca="false">SUMIFS('Pedidos Top10'!$J$2:$J$1839,'Pedidos Top10'!$A$2:$A$1839,A6,'Pedidos Top10'!$C$2:$C$1839,C6,'Pedidos Top10'!$D$2:$D$1839,D6)</f>
        <v>83.09</v>
      </c>
      <c r="H6" s="8" t="n">
        <f aca="false">SUMIFS('Pedidos Top10'!$L$2:$L$1839,'Pedidos Top10'!$A$2:$A$1839,A6,'Pedidos Top10'!$C$2:$C$1839,C6,'Pedidos Top10'!$D$2:$D$1839,D6)</f>
        <v>351.42</v>
      </c>
      <c r="I6" s="8" t="n">
        <f aca="false">SUMIFS('Pedidos Top10'!$AD$2:$AD$1839,'Pedidos Top10'!$A$2:$A$1839,A6,'Pedidos Top10'!$C$2:$C$1839,C6,'Pedidos Top10'!$D$2:$D$1839,D6)</f>
        <v>562.62</v>
      </c>
      <c r="J6" s="8" t="n">
        <f aca="false">I6-H6</f>
        <v>211.2</v>
      </c>
      <c r="K6" s="9" t="n">
        <f aca="false">IF(H6=0,0,J6/H6)</f>
        <v>0.600990268055318</v>
      </c>
      <c r="L6" s="8" t="n">
        <f aca="false">IF(E6=0,0,H6/E6)</f>
        <v>87.855</v>
      </c>
      <c r="M6" s="8" t="n">
        <f aca="false">IF(E6=0,0,I6/E6)</f>
        <v>140.655</v>
      </c>
      <c r="N6" s="8" t="n">
        <f aca="false">IF(G6=0,0,H6/G6)</f>
        <v>4.22938981826935</v>
      </c>
      <c r="O6" s="8" t="n">
        <f aca="false">IF(G6=0,0,I6/G6)</f>
        <v>6.77121193886148</v>
      </c>
      <c r="P6" s="21" t="n">
        <f aca="false">IF(E6=0,0,COUNTIFS('Pedidos Top10'!$A$2:$A$1839,A6,'Pedidos Top10'!$C$2:$C$1839,C6,'Pedidos Top10'!$D$2:$D$1839,D6,'Pedidos Top10'!$AG$2:$AG$1839,"PASSARO")/E6)</f>
        <v>0</v>
      </c>
      <c r="Q6" s="18" t="str">
        <f aca="false">IF(K6&lt;=-0.05,"Passaro compete: "&amp;TEXT(-K6,"0%")&amp;" abaixo de "&amp;D6,IF(K6&lt;0.05,"Empate técnico com "&amp;D6,D6&amp;" é "&amp;TEXT(1-H6/I6,"0%")&amp;" mais barata que a Passaro"))</f>
        <v>JADLOG é 38% mais barata que a Passaro</v>
      </c>
    </row>
    <row r="7" customFormat="false" ht="15" hidden="false" customHeight="false" outlineLevel="0" collapsed="false">
      <c r="A7" s="18" t="s">
        <v>15</v>
      </c>
      <c r="B7" s="18" t="n">
        <v>3</v>
      </c>
      <c r="C7" s="18" t="s">
        <v>63</v>
      </c>
      <c r="D7" s="18" t="s">
        <v>30</v>
      </c>
      <c r="E7" s="17" t="n">
        <f aca="false">COUNTIFS('Pedidos Top10'!$A$2:$A$1839,A7,'Pedidos Top10'!$C$2:$C$1839,C7,'Pedidos Top10'!$D$2:$D$1839,D7)</f>
        <v>6</v>
      </c>
      <c r="F7" s="21" t="n">
        <f aca="false">E7/COUNTIFS('Pedidos Top10'!$A$2:$A$1839,A7,'Pedidos Top10'!$C$2:$C$1839,C7)</f>
        <v>1</v>
      </c>
      <c r="G7" s="19" t="n">
        <f aca="false">SUMIFS('Pedidos Top10'!$J$2:$J$1839,'Pedidos Top10'!$A$2:$A$1839,A7,'Pedidos Top10'!$C$2:$C$1839,C7,'Pedidos Top10'!$D$2:$D$1839,D7)</f>
        <v>427</v>
      </c>
      <c r="H7" s="8" t="n">
        <f aca="false">SUMIFS('Pedidos Top10'!$L$2:$L$1839,'Pedidos Top10'!$A$2:$A$1839,A7,'Pedidos Top10'!$C$2:$C$1839,C7,'Pedidos Top10'!$D$2:$D$1839,D7)</f>
        <v>1414.13</v>
      </c>
      <c r="I7" s="8" t="n">
        <f aca="false">SUMIFS('Pedidos Top10'!$AD$2:$AD$1839,'Pedidos Top10'!$A$2:$A$1839,A7,'Pedidos Top10'!$C$2:$C$1839,C7,'Pedidos Top10'!$D$2:$D$1839,D7)</f>
        <v>1161.84</v>
      </c>
      <c r="J7" s="8" t="n">
        <f aca="false">I7-H7</f>
        <v>-252.29</v>
      </c>
      <c r="K7" s="9" t="n">
        <f aca="false">IF(H7=0,0,J7/H7)</f>
        <v>-0.178406511423985</v>
      </c>
      <c r="L7" s="8" t="n">
        <f aca="false">IF(E7=0,0,H7/E7)</f>
        <v>235.688333333333</v>
      </c>
      <c r="M7" s="8" t="n">
        <f aca="false">IF(E7=0,0,I7/E7)</f>
        <v>193.64</v>
      </c>
      <c r="N7" s="8" t="n">
        <f aca="false">IF(G7=0,0,H7/G7)</f>
        <v>3.31177985948478</v>
      </c>
      <c r="O7" s="8" t="n">
        <f aca="false">IF(G7=0,0,I7/G7)</f>
        <v>2.72093676814988</v>
      </c>
      <c r="P7" s="21" t="n">
        <f aca="false">IF(E7=0,0,COUNTIFS('Pedidos Top10'!$A$2:$A$1839,A7,'Pedidos Top10'!$C$2:$C$1839,C7,'Pedidos Top10'!$D$2:$D$1839,D7,'Pedidos Top10'!$AG$2:$AG$1839,"PASSARO")/E7)</f>
        <v>0.5</v>
      </c>
      <c r="Q7" s="18" t="str">
        <f aca="false">IF(K7&lt;=-0.05,"Passaro compete: "&amp;TEXT(-K7,"0%")&amp;" abaixo de "&amp;D7,IF(K7&lt;0.05,"Empate técnico com "&amp;D7,D7&amp;" é "&amp;TEXT(1-H7/I7,"0%")&amp;" mais barata que a Passaro"))</f>
        <v>Passaro compete: 18% abaixo de DOMINALOG</v>
      </c>
    </row>
    <row r="8" customFormat="false" ht="15" hidden="false" customHeight="false" outlineLevel="0" collapsed="false">
      <c r="A8" s="18" t="s">
        <v>15</v>
      </c>
      <c r="B8" s="18" t="n">
        <v>4</v>
      </c>
      <c r="C8" s="18" t="s">
        <v>65</v>
      </c>
      <c r="D8" s="18" t="s">
        <v>30</v>
      </c>
      <c r="E8" s="17" t="n">
        <f aca="false">COUNTIFS('Pedidos Top10'!$A$2:$A$1839,A8,'Pedidos Top10'!$C$2:$C$1839,C8,'Pedidos Top10'!$D$2:$D$1839,D8)</f>
        <v>6</v>
      </c>
      <c r="F8" s="21" t="n">
        <f aca="false">E8/COUNTIFS('Pedidos Top10'!$A$2:$A$1839,A8,'Pedidos Top10'!$C$2:$C$1839,C8)</f>
        <v>1</v>
      </c>
      <c r="G8" s="19" t="n">
        <f aca="false">SUMIFS('Pedidos Top10'!$J$2:$J$1839,'Pedidos Top10'!$A$2:$A$1839,A8,'Pedidos Top10'!$C$2:$C$1839,C8,'Pedidos Top10'!$D$2:$D$1839,D8)</f>
        <v>277.41</v>
      </c>
      <c r="H8" s="8" t="n">
        <f aca="false">SUMIFS('Pedidos Top10'!$L$2:$L$1839,'Pedidos Top10'!$A$2:$A$1839,A8,'Pedidos Top10'!$C$2:$C$1839,C8,'Pedidos Top10'!$D$2:$D$1839,D8)</f>
        <v>1067.67</v>
      </c>
      <c r="I8" s="8" t="n">
        <f aca="false">SUMIFS('Pedidos Top10'!$AD$2:$AD$1839,'Pedidos Top10'!$A$2:$A$1839,A8,'Pedidos Top10'!$C$2:$C$1839,C8,'Pedidos Top10'!$D$2:$D$1839,D8)</f>
        <v>821.11</v>
      </c>
      <c r="J8" s="8" t="n">
        <f aca="false">I8-H8</f>
        <v>-246.56</v>
      </c>
      <c r="K8" s="9" t="n">
        <f aca="false">IF(H8=0,0,J8/H8)</f>
        <v>-0.23093277885489</v>
      </c>
      <c r="L8" s="8" t="n">
        <f aca="false">IF(E8=0,0,H8/E8)</f>
        <v>177.945</v>
      </c>
      <c r="M8" s="8" t="n">
        <f aca="false">IF(E8=0,0,I8/E8)</f>
        <v>136.851666666667</v>
      </c>
      <c r="N8" s="8" t="n">
        <f aca="false">IF(G8=0,0,H8/G8)</f>
        <v>3.84870768898021</v>
      </c>
      <c r="O8" s="8" t="n">
        <f aca="false">IF(G8=0,0,I8/G8)</f>
        <v>2.95991492736383</v>
      </c>
      <c r="P8" s="21" t="n">
        <f aca="false">IF(E8=0,0,COUNTIFS('Pedidos Top10'!$A$2:$A$1839,A8,'Pedidos Top10'!$C$2:$C$1839,C8,'Pedidos Top10'!$D$2:$D$1839,D8,'Pedidos Top10'!$AG$2:$AG$1839,"PASSARO")/E8)</f>
        <v>1</v>
      </c>
      <c r="Q8" s="18" t="str">
        <f aca="false">IF(K8&lt;=-0.05,"Passaro compete: "&amp;TEXT(-K8,"0%")&amp;" abaixo de "&amp;D8,IF(K8&lt;0.05,"Empate técnico com "&amp;D8,D8&amp;" é "&amp;TEXT(1-H8/I8,"0%")&amp;" mais barata que a Passaro"))</f>
        <v>Passaro compete: 23% abaixo de DOMINALOG</v>
      </c>
    </row>
    <row r="9" customFormat="false" ht="15" hidden="false" customHeight="false" outlineLevel="0" collapsed="false">
      <c r="A9" s="18" t="s">
        <v>15</v>
      </c>
      <c r="B9" s="18" t="n">
        <v>5</v>
      </c>
      <c r="C9" s="18" t="s">
        <v>66</v>
      </c>
      <c r="D9" s="18" t="s">
        <v>30</v>
      </c>
      <c r="E9" s="17" t="n">
        <f aca="false">COUNTIFS('Pedidos Top10'!$A$2:$A$1839,A9,'Pedidos Top10'!$C$2:$C$1839,C9,'Pedidos Top10'!$D$2:$D$1839,D9)</f>
        <v>4</v>
      </c>
      <c r="F9" s="21" t="n">
        <f aca="false">E9/COUNTIFS('Pedidos Top10'!$A$2:$A$1839,A9,'Pedidos Top10'!$C$2:$C$1839,C9)</f>
        <v>1</v>
      </c>
      <c r="G9" s="19" t="n">
        <f aca="false">SUMIFS('Pedidos Top10'!$J$2:$J$1839,'Pedidos Top10'!$A$2:$A$1839,A9,'Pedidos Top10'!$C$2:$C$1839,C9,'Pedidos Top10'!$D$2:$D$1839,D9)</f>
        <v>134.2</v>
      </c>
      <c r="H9" s="8" t="n">
        <f aca="false">SUMIFS('Pedidos Top10'!$L$2:$L$1839,'Pedidos Top10'!$A$2:$A$1839,A9,'Pedidos Top10'!$C$2:$C$1839,C9,'Pedidos Top10'!$D$2:$D$1839,D9)</f>
        <v>652.13</v>
      </c>
      <c r="I9" s="8" t="n">
        <f aca="false">SUMIFS('Pedidos Top10'!$AD$2:$AD$1839,'Pedidos Top10'!$A$2:$A$1839,A9,'Pedidos Top10'!$C$2:$C$1839,C9,'Pedidos Top10'!$D$2:$D$1839,D9)</f>
        <v>720.53</v>
      </c>
      <c r="J9" s="8" t="n">
        <f aca="false">I9-H9</f>
        <v>68.4</v>
      </c>
      <c r="K9" s="9" t="n">
        <f aca="false">IF(H9=0,0,J9/H9)</f>
        <v>0.104887062395535</v>
      </c>
      <c r="L9" s="8" t="n">
        <f aca="false">IF(E9=0,0,H9/E9)</f>
        <v>163.0325</v>
      </c>
      <c r="M9" s="8" t="n">
        <f aca="false">IF(E9=0,0,I9/E9)</f>
        <v>180.1325</v>
      </c>
      <c r="N9" s="8" t="n">
        <f aca="false">IF(G9=0,0,H9/G9)</f>
        <v>4.85938897168405</v>
      </c>
      <c r="O9" s="8" t="n">
        <f aca="false">IF(G9=0,0,I9/G9)</f>
        <v>5.36907600596125</v>
      </c>
      <c r="P9" s="21" t="n">
        <f aca="false">IF(E9=0,0,COUNTIFS('Pedidos Top10'!$A$2:$A$1839,A9,'Pedidos Top10'!$C$2:$C$1839,C9,'Pedidos Top10'!$D$2:$D$1839,D9,'Pedidos Top10'!$AG$2:$AG$1839,"PASSARO")/E9)</f>
        <v>0.25</v>
      </c>
      <c r="Q9" s="18" t="str">
        <f aca="false">IF(K9&lt;=-0.05,"Passaro compete: "&amp;TEXT(-K9,"0%")&amp;" abaixo de "&amp;D9,IF(K9&lt;0.05,"Empate técnico com "&amp;D9,D9&amp;" é "&amp;TEXT(1-H9/I9,"0%")&amp;" mais barata que a Passaro"))</f>
        <v>DOMINALOG é 9% mais barata que a Passaro</v>
      </c>
    </row>
    <row r="10" customFormat="false" ht="15" hidden="false" customHeight="false" outlineLevel="0" collapsed="false">
      <c r="A10" s="18" t="s">
        <v>15</v>
      </c>
      <c r="B10" s="18" t="n">
        <v>6</v>
      </c>
      <c r="C10" s="18" t="s">
        <v>68</v>
      </c>
      <c r="D10" s="18" t="s">
        <v>30</v>
      </c>
      <c r="E10" s="17" t="n">
        <f aca="false">COUNTIFS('Pedidos Top10'!$A$2:$A$1839,A10,'Pedidos Top10'!$C$2:$C$1839,C10,'Pedidos Top10'!$D$2:$D$1839,D10)</f>
        <v>3</v>
      </c>
      <c r="F10" s="21" t="n">
        <f aca="false">E10/COUNTIFS('Pedidos Top10'!$A$2:$A$1839,A10,'Pedidos Top10'!$C$2:$C$1839,C10)</f>
        <v>1</v>
      </c>
      <c r="G10" s="19" t="n">
        <f aca="false">SUMIFS('Pedidos Top10'!$J$2:$J$1839,'Pedidos Top10'!$A$2:$A$1839,A10,'Pedidos Top10'!$C$2:$C$1839,C10,'Pedidos Top10'!$D$2:$D$1839,D10)</f>
        <v>349.7</v>
      </c>
      <c r="H10" s="8" t="n">
        <f aca="false">SUMIFS('Pedidos Top10'!$L$2:$L$1839,'Pedidos Top10'!$A$2:$A$1839,A10,'Pedidos Top10'!$C$2:$C$1839,C10,'Pedidos Top10'!$D$2:$D$1839,D10)</f>
        <v>1136.84</v>
      </c>
      <c r="I10" s="8" t="n">
        <f aca="false">SUMIFS('Pedidos Top10'!$AD$2:$AD$1839,'Pedidos Top10'!$A$2:$A$1839,A10,'Pedidos Top10'!$C$2:$C$1839,C10,'Pedidos Top10'!$D$2:$D$1839,D10)</f>
        <v>968.53</v>
      </c>
      <c r="J10" s="8" t="n">
        <f aca="false">I10-H10</f>
        <v>-168.31</v>
      </c>
      <c r="K10" s="9" t="n">
        <f aca="false">IF(H10=0,0,J10/H10)</f>
        <v>-0.148050737130995</v>
      </c>
      <c r="L10" s="8" t="n">
        <f aca="false">IF(E10=0,0,H10/E10)</f>
        <v>378.946666666667</v>
      </c>
      <c r="M10" s="8" t="n">
        <f aca="false">IF(E10=0,0,I10/E10)</f>
        <v>322.843333333333</v>
      </c>
      <c r="N10" s="8" t="n">
        <f aca="false">IF(G10=0,0,H10/G10)</f>
        <v>3.25090077209036</v>
      </c>
      <c r="O10" s="8" t="n">
        <f aca="false">IF(G10=0,0,I10/G10)</f>
        <v>2.76960251644267</v>
      </c>
      <c r="P10" s="21" t="n">
        <f aca="false">IF(E10=0,0,COUNTIFS('Pedidos Top10'!$A$2:$A$1839,A10,'Pedidos Top10'!$C$2:$C$1839,C10,'Pedidos Top10'!$D$2:$D$1839,D10,'Pedidos Top10'!$AG$2:$AG$1839,"PASSARO")/E10)</f>
        <v>0.666666666666667</v>
      </c>
      <c r="Q10" s="18" t="str">
        <f aca="false">IF(K10&lt;=-0.05,"Passaro compete: "&amp;TEXT(-K10,"0%")&amp;" abaixo de "&amp;D10,IF(K10&lt;0.05,"Empate técnico com "&amp;D10,D10&amp;" é "&amp;TEXT(1-H10/I10,"0%")&amp;" mais barata que a Passaro"))</f>
        <v>Passaro compete: 15% abaixo de DOMINALOG</v>
      </c>
    </row>
    <row r="11" customFormat="false" ht="15" hidden="false" customHeight="false" outlineLevel="0" collapsed="false">
      <c r="A11" s="18" t="s">
        <v>15</v>
      </c>
      <c r="B11" s="18" t="n">
        <v>7</v>
      </c>
      <c r="C11" s="18" t="s">
        <v>70</v>
      </c>
      <c r="D11" s="18" t="s">
        <v>30</v>
      </c>
      <c r="E11" s="17" t="n">
        <f aca="false">COUNTIFS('Pedidos Top10'!$A$2:$A$1839,A11,'Pedidos Top10'!$C$2:$C$1839,C11,'Pedidos Top10'!$D$2:$D$1839,D11)</f>
        <v>3</v>
      </c>
      <c r="F11" s="21" t="n">
        <f aca="false">E11/COUNTIFS('Pedidos Top10'!$A$2:$A$1839,A11,'Pedidos Top10'!$C$2:$C$1839,C11)</f>
        <v>1</v>
      </c>
      <c r="G11" s="19" t="n">
        <f aca="false">SUMIFS('Pedidos Top10'!$J$2:$J$1839,'Pedidos Top10'!$A$2:$A$1839,A11,'Pedidos Top10'!$C$2:$C$1839,C11,'Pedidos Top10'!$D$2:$D$1839,D11)</f>
        <v>203.78</v>
      </c>
      <c r="H11" s="8" t="n">
        <f aca="false">SUMIFS('Pedidos Top10'!$L$2:$L$1839,'Pedidos Top10'!$A$2:$A$1839,A11,'Pedidos Top10'!$C$2:$C$1839,C11,'Pedidos Top10'!$D$2:$D$1839,D11)</f>
        <v>862.25</v>
      </c>
      <c r="I11" s="8" t="n">
        <f aca="false">SUMIFS('Pedidos Top10'!$AD$2:$AD$1839,'Pedidos Top10'!$A$2:$A$1839,A11,'Pedidos Top10'!$C$2:$C$1839,C11,'Pedidos Top10'!$D$2:$D$1839,D11)</f>
        <v>694.83</v>
      </c>
      <c r="J11" s="8" t="n">
        <f aca="false">I11-H11</f>
        <v>-167.42</v>
      </c>
      <c r="K11" s="9" t="n">
        <f aca="false">IF(H11=0,0,J11/H11)</f>
        <v>-0.194166425050739</v>
      </c>
      <c r="L11" s="8" t="n">
        <f aca="false">IF(E11=0,0,H11/E11)</f>
        <v>287.416666666667</v>
      </c>
      <c r="M11" s="8" t="n">
        <f aca="false">IF(E11=0,0,I11/E11)</f>
        <v>231.61</v>
      </c>
      <c r="N11" s="8" t="n">
        <f aca="false">IF(G11=0,0,H11/G11)</f>
        <v>4.2312788301109</v>
      </c>
      <c r="O11" s="8" t="n">
        <f aca="false">IF(G11=0,0,I11/G11)</f>
        <v>3.4097065462754</v>
      </c>
      <c r="P11" s="21" t="n">
        <f aca="false">IF(E11=0,0,COUNTIFS('Pedidos Top10'!$A$2:$A$1839,A11,'Pedidos Top10'!$C$2:$C$1839,C11,'Pedidos Top10'!$D$2:$D$1839,D11,'Pedidos Top10'!$AG$2:$AG$1839,"PASSARO")/E11)</f>
        <v>1</v>
      </c>
      <c r="Q11" s="18" t="str">
        <f aca="false">IF(K11&lt;=-0.05,"Passaro compete: "&amp;TEXT(-K11,"0%")&amp;" abaixo de "&amp;D11,IF(K11&lt;0.05,"Empate técnico com "&amp;D11,D11&amp;" é "&amp;TEXT(1-H11/I11,"0%")&amp;" mais barata que a Passaro"))</f>
        <v>Passaro compete: 19% abaixo de DOMINALOG</v>
      </c>
    </row>
    <row r="12" customFormat="false" ht="15" hidden="false" customHeight="false" outlineLevel="0" collapsed="false">
      <c r="A12" s="18" t="s">
        <v>15</v>
      </c>
      <c r="B12" s="18" t="n">
        <v>8</v>
      </c>
      <c r="C12" s="18" t="s">
        <v>71</v>
      </c>
      <c r="D12" s="18" t="s">
        <v>30</v>
      </c>
      <c r="E12" s="17" t="n">
        <f aca="false">COUNTIFS('Pedidos Top10'!$A$2:$A$1839,A12,'Pedidos Top10'!$C$2:$C$1839,C12,'Pedidos Top10'!$D$2:$D$1839,D12)</f>
        <v>2</v>
      </c>
      <c r="F12" s="21" t="n">
        <f aca="false">E12/COUNTIFS('Pedidos Top10'!$A$2:$A$1839,A12,'Pedidos Top10'!$C$2:$C$1839,C12)</f>
        <v>0.666666666666667</v>
      </c>
      <c r="G12" s="19" t="n">
        <f aca="false">SUMIFS('Pedidos Top10'!$J$2:$J$1839,'Pedidos Top10'!$A$2:$A$1839,A12,'Pedidos Top10'!$C$2:$C$1839,C12,'Pedidos Top10'!$D$2:$D$1839,D12)</f>
        <v>156.9</v>
      </c>
      <c r="H12" s="8" t="n">
        <f aca="false">SUMIFS('Pedidos Top10'!$L$2:$L$1839,'Pedidos Top10'!$A$2:$A$1839,A12,'Pedidos Top10'!$C$2:$C$1839,C12,'Pedidos Top10'!$D$2:$D$1839,D12)</f>
        <v>583.47</v>
      </c>
      <c r="I12" s="8" t="n">
        <f aca="false">SUMIFS('Pedidos Top10'!$AD$2:$AD$1839,'Pedidos Top10'!$A$2:$A$1839,A12,'Pedidos Top10'!$C$2:$C$1839,C12,'Pedidos Top10'!$D$2:$D$1839,D12)</f>
        <v>474.61</v>
      </c>
      <c r="J12" s="8" t="n">
        <f aca="false">I12-H12</f>
        <v>-108.86</v>
      </c>
      <c r="K12" s="9" t="n">
        <f aca="false">IF(H12=0,0,J12/H12)</f>
        <v>-0.186573431367508</v>
      </c>
      <c r="L12" s="8" t="n">
        <f aca="false">IF(E12=0,0,H12/E12)</f>
        <v>291.735</v>
      </c>
      <c r="M12" s="8" t="n">
        <f aca="false">IF(E12=0,0,I12/E12)</f>
        <v>237.305</v>
      </c>
      <c r="N12" s="8" t="n">
        <f aca="false">IF(G12=0,0,H12/G12)</f>
        <v>3.71873804971319</v>
      </c>
      <c r="O12" s="8" t="n">
        <f aca="false">IF(G12=0,0,I12/G12)</f>
        <v>3.02492033142129</v>
      </c>
      <c r="P12" s="21" t="n">
        <f aca="false">IF(E12=0,0,COUNTIFS('Pedidos Top10'!$A$2:$A$1839,A12,'Pedidos Top10'!$C$2:$C$1839,C12,'Pedidos Top10'!$D$2:$D$1839,D12,'Pedidos Top10'!$AG$2:$AG$1839,"PASSARO")/E12)</f>
        <v>0.5</v>
      </c>
      <c r="Q12" s="18" t="str">
        <f aca="false">IF(K12&lt;=-0.05,"Passaro compete: "&amp;TEXT(-K12,"0%")&amp;" abaixo de "&amp;D12,IF(K12&lt;0.05,"Empate técnico com "&amp;D12,D12&amp;" é "&amp;TEXT(1-H12/I12,"0%")&amp;" mais barata que a Passaro"))</f>
        <v>Passaro compete: 19% abaixo de DOMINALOG</v>
      </c>
    </row>
    <row r="13" customFormat="false" ht="15" hidden="false" customHeight="false" outlineLevel="0" collapsed="false">
      <c r="A13" s="18" t="s">
        <v>15</v>
      </c>
      <c r="B13" s="18" t="n">
        <v>8</v>
      </c>
      <c r="C13" s="18" t="s">
        <v>71</v>
      </c>
      <c r="D13" s="18" t="s">
        <v>34</v>
      </c>
      <c r="E13" s="17" t="n">
        <f aca="false">COUNTIFS('Pedidos Top10'!$A$2:$A$1839,A13,'Pedidos Top10'!$C$2:$C$1839,C13,'Pedidos Top10'!$D$2:$D$1839,D13)</f>
        <v>1</v>
      </c>
      <c r="F13" s="21" t="n">
        <f aca="false">E13/COUNTIFS('Pedidos Top10'!$A$2:$A$1839,A13,'Pedidos Top10'!$C$2:$C$1839,C13)</f>
        <v>0.333333333333333</v>
      </c>
      <c r="G13" s="19" t="n">
        <f aca="false">SUMIFS('Pedidos Top10'!$J$2:$J$1839,'Pedidos Top10'!$A$2:$A$1839,A13,'Pedidos Top10'!$C$2:$C$1839,C13,'Pedidos Top10'!$D$2:$D$1839,D13)</f>
        <v>73.48</v>
      </c>
      <c r="H13" s="8" t="n">
        <f aca="false">SUMIFS('Pedidos Top10'!$L$2:$L$1839,'Pedidos Top10'!$A$2:$A$1839,A13,'Pedidos Top10'!$C$2:$C$1839,C13,'Pedidos Top10'!$D$2:$D$1839,D13)</f>
        <v>266.95</v>
      </c>
      <c r="I13" s="8" t="n">
        <f aca="false">SUMIFS('Pedidos Top10'!$AD$2:$AD$1839,'Pedidos Top10'!$A$2:$A$1839,A13,'Pedidos Top10'!$C$2:$C$1839,C13,'Pedidos Top10'!$D$2:$D$1839,D13)</f>
        <v>226.93</v>
      </c>
      <c r="J13" s="8" t="n">
        <f aca="false">I13-H13</f>
        <v>-40.02</v>
      </c>
      <c r="K13" s="9" t="n">
        <f aca="false">IF(H13=0,0,J13/H13)</f>
        <v>-0.149915714553287</v>
      </c>
      <c r="L13" s="8" t="n">
        <f aca="false">IF(E13=0,0,H13/E13)</f>
        <v>266.95</v>
      </c>
      <c r="M13" s="8" t="n">
        <f aca="false">IF(E13=0,0,I13/E13)</f>
        <v>226.93</v>
      </c>
      <c r="N13" s="8" t="n">
        <f aca="false">IF(G13=0,0,H13/G13)</f>
        <v>3.63296135002722</v>
      </c>
      <c r="O13" s="8" t="n">
        <f aca="false">IF(G13=0,0,I13/G13)</f>
        <v>3.08832335329341</v>
      </c>
      <c r="P13" s="21" t="n">
        <f aca="false">IF(E13=0,0,COUNTIFS('Pedidos Top10'!$A$2:$A$1839,A13,'Pedidos Top10'!$C$2:$C$1839,C13,'Pedidos Top10'!$D$2:$D$1839,D13,'Pedidos Top10'!$AG$2:$AG$1839,"PASSARO")/E13)</f>
        <v>1</v>
      </c>
      <c r="Q13" s="18" t="str">
        <f aca="false">IF(K13&lt;=-0.05,"Passaro compete: "&amp;TEXT(-K13,"0%")&amp;" abaixo de "&amp;D13,IF(K13&lt;0.05,"Empate técnico com "&amp;D13,D13&amp;" é "&amp;TEXT(1-H13/I13,"0%")&amp;" mais barata que a Passaro"))</f>
        <v>Passaro compete: 15% abaixo de FORMATO TRANSPORTES</v>
      </c>
    </row>
    <row r="14" customFormat="false" ht="15" hidden="false" customHeight="false" outlineLevel="0" collapsed="false">
      <c r="A14" s="18" t="s">
        <v>15</v>
      </c>
      <c r="B14" s="18" t="n">
        <v>9</v>
      </c>
      <c r="C14" s="18" t="s">
        <v>73</v>
      </c>
      <c r="D14" s="18" t="s">
        <v>30</v>
      </c>
      <c r="E14" s="17" t="n">
        <f aca="false">COUNTIFS('Pedidos Top10'!$A$2:$A$1839,A14,'Pedidos Top10'!$C$2:$C$1839,C14,'Pedidos Top10'!$D$2:$D$1839,D14)</f>
        <v>3</v>
      </c>
      <c r="F14" s="21" t="n">
        <f aca="false">E14/COUNTIFS('Pedidos Top10'!$A$2:$A$1839,A14,'Pedidos Top10'!$C$2:$C$1839,C14)</f>
        <v>1</v>
      </c>
      <c r="G14" s="19" t="n">
        <f aca="false">SUMIFS('Pedidos Top10'!$J$2:$J$1839,'Pedidos Top10'!$A$2:$A$1839,A14,'Pedidos Top10'!$C$2:$C$1839,C14,'Pedidos Top10'!$D$2:$D$1839,D14)</f>
        <v>186.48</v>
      </c>
      <c r="H14" s="8" t="n">
        <f aca="false">SUMIFS('Pedidos Top10'!$L$2:$L$1839,'Pedidos Top10'!$A$2:$A$1839,A14,'Pedidos Top10'!$C$2:$C$1839,C14,'Pedidos Top10'!$D$2:$D$1839,D14)</f>
        <v>686.94</v>
      </c>
      <c r="I14" s="8" t="n">
        <f aca="false">SUMIFS('Pedidos Top10'!$AD$2:$AD$1839,'Pedidos Top10'!$A$2:$A$1839,A14,'Pedidos Top10'!$C$2:$C$1839,C14,'Pedidos Top10'!$D$2:$D$1839,D14)</f>
        <v>633.64</v>
      </c>
      <c r="J14" s="8" t="n">
        <f aca="false">I14-H14</f>
        <v>-53.3000000000001</v>
      </c>
      <c r="K14" s="9" t="n">
        <f aca="false">IF(H14=0,0,J14/H14)</f>
        <v>-0.0775904736949371</v>
      </c>
      <c r="L14" s="8" t="n">
        <f aca="false">IF(E14=0,0,H14/E14)</f>
        <v>228.98</v>
      </c>
      <c r="M14" s="8" t="n">
        <f aca="false">IF(E14=0,0,I14/E14)</f>
        <v>211.213333333333</v>
      </c>
      <c r="N14" s="8" t="n">
        <f aca="false">IF(G14=0,0,H14/G14)</f>
        <v>3.68371943371943</v>
      </c>
      <c r="O14" s="8" t="n">
        <f aca="false">IF(G14=0,0,I14/G14)</f>
        <v>3.3978978978979</v>
      </c>
      <c r="P14" s="21" t="n">
        <f aca="false">IF(E14=0,0,COUNTIFS('Pedidos Top10'!$A$2:$A$1839,A14,'Pedidos Top10'!$C$2:$C$1839,C14,'Pedidos Top10'!$D$2:$D$1839,D14,'Pedidos Top10'!$AG$2:$AG$1839,"PASSARO")/E14)</f>
        <v>0.666666666666667</v>
      </c>
      <c r="Q14" s="18" t="str">
        <f aca="false">IF(K14&lt;=-0.05,"Passaro compete: "&amp;TEXT(-K14,"0%")&amp;" abaixo de "&amp;D14,IF(K14&lt;0.05,"Empate técnico com "&amp;D14,D14&amp;" é "&amp;TEXT(1-H14/I14,"0%")&amp;" mais barata que a Passaro"))</f>
        <v>Passaro compete: 8% abaixo de DOMINALOG</v>
      </c>
    </row>
    <row r="15" customFormat="false" ht="15" hidden="false" customHeight="false" outlineLevel="0" collapsed="false">
      <c r="A15" s="18" t="s">
        <v>15</v>
      </c>
      <c r="B15" s="18" t="n">
        <v>10</v>
      </c>
      <c r="C15" s="18" t="s">
        <v>74</v>
      </c>
      <c r="D15" s="18" t="s">
        <v>30</v>
      </c>
      <c r="E15" s="17" t="n">
        <f aca="false">COUNTIFS('Pedidos Top10'!$A$2:$A$1839,A15,'Pedidos Top10'!$C$2:$C$1839,C15,'Pedidos Top10'!$D$2:$D$1839,D15)</f>
        <v>3</v>
      </c>
      <c r="F15" s="21" t="n">
        <f aca="false">E15/COUNTIFS('Pedidos Top10'!$A$2:$A$1839,A15,'Pedidos Top10'!$C$2:$C$1839,C15)</f>
        <v>1</v>
      </c>
      <c r="G15" s="19" t="n">
        <f aca="false">SUMIFS('Pedidos Top10'!$J$2:$J$1839,'Pedidos Top10'!$A$2:$A$1839,A15,'Pedidos Top10'!$C$2:$C$1839,C15,'Pedidos Top10'!$D$2:$D$1839,D15)</f>
        <v>118.7</v>
      </c>
      <c r="H15" s="8" t="n">
        <f aca="false">SUMIFS('Pedidos Top10'!$L$2:$L$1839,'Pedidos Top10'!$A$2:$A$1839,A15,'Pedidos Top10'!$C$2:$C$1839,C15,'Pedidos Top10'!$D$2:$D$1839,D15)</f>
        <v>552.4</v>
      </c>
      <c r="I15" s="8" t="n">
        <f aca="false">SUMIFS('Pedidos Top10'!$AD$2:$AD$1839,'Pedidos Top10'!$A$2:$A$1839,A15,'Pedidos Top10'!$C$2:$C$1839,C15,'Pedidos Top10'!$D$2:$D$1839,D15)</f>
        <v>568.4</v>
      </c>
      <c r="J15" s="8" t="n">
        <f aca="false">I15-H15</f>
        <v>16</v>
      </c>
      <c r="K15" s="9" t="n">
        <f aca="false">IF(H15=0,0,J15/H15)</f>
        <v>0.0289645184648805</v>
      </c>
      <c r="L15" s="8" t="n">
        <f aca="false">IF(E15=0,0,H15/E15)</f>
        <v>184.133333333333</v>
      </c>
      <c r="M15" s="8" t="n">
        <f aca="false">IF(E15=0,0,I15/E15)</f>
        <v>189.466666666667</v>
      </c>
      <c r="N15" s="8" t="n">
        <f aca="false">IF(G15=0,0,H15/G15)</f>
        <v>4.65374894692502</v>
      </c>
      <c r="O15" s="8" t="n">
        <f aca="false">IF(G15=0,0,I15/G15)</f>
        <v>4.78854254422915</v>
      </c>
      <c r="P15" s="21" t="n">
        <f aca="false">IF(E15=0,0,COUNTIFS('Pedidos Top10'!$A$2:$A$1839,A15,'Pedidos Top10'!$C$2:$C$1839,C15,'Pedidos Top10'!$D$2:$D$1839,D15,'Pedidos Top10'!$AG$2:$AG$1839,"PASSARO")/E15)</f>
        <v>0.333333333333333</v>
      </c>
      <c r="Q15" s="18" t="str">
        <f aca="false">IF(K15&lt;=-0.05,"Passaro compete: "&amp;TEXT(-K15,"0%")&amp;" abaixo de "&amp;D15,IF(K15&lt;0.05,"Empate técnico com "&amp;D15,D15&amp;" é "&amp;TEXT(1-H15/I15,"0%")&amp;" mais barata que a Passaro"))</f>
        <v>Empate técnico com DOMINALOG</v>
      </c>
    </row>
    <row r="16" customFormat="false" ht="15" hidden="false" customHeight="false" outlineLevel="0" collapsed="false">
      <c r="A16" s="18" t="s">
        <v>16</v>
      </c>
      <c r="B16" s="18" t="n">
        <v>1</v>
      </c>
      <c r="C16" s="18" t="s">
        <v>75</v>
      </c>
      <c r="D16" s="18" t="s">
        <v>30</v>
      </c>
      <c r="E16" s="17" t="n">
        <f aca="false">COUNTIFS('Pedidos Top10'!$A$2:$A$1839,A16,'Pedidos Top10'!$C$2:$C$1839,C16,'Pedidos Top10'!$D$2:$D$1839,D16)</f>
        <v>261</v>
      </c>
      <c r="F16" s="21" t="n">
        <f aca="false">E16/COUNTIFS('Pedidos Top10'!$A$2:$A$1839,A16,'Pedidos Top10'!$C$2:$C$1839,C16)</f>
        <v>0.881756756756757</v>
      </c>
      <c r="G16" s="19" t="n">
        <f aca="false">SUMIFS('Pedidos Top10'!$J$2:$J$1839,'Pedidos Top10'!$A$2:$A$1839,A16,'Pedidos Top10'!$C$2:$C$1839,C16,'Pedidos Top10'!$D$2:$D$1839,D16)</f>
        <v>14445.97</v>
      </c>
      <c r="H16" s="8" t="n">
        <f aca="false">SUMIFS('Pedidos Top10'!$L$2:$L$1839,'Pedidos Top10'!$A$2:$A$1839,A16,'Pedidos Top10'!$C$2:$C$1839,C16,'Pedidos Top10'!$D$2:$D$1839,D16)</f>
        <v>45202.72</v>
      </c>
      <c r="I16" s="8" t="n">
        <f aca="false">SUMIFS('Pedidos Top10'!$AD$2:$AD$1839,'Pedidos Top10'!$A$2:$A$1839,A16,'Pedidos Top10'!$C$2:$C$1839,C16,'Pedidos Top10'!$D$2:$D$1839,D16)</f>
        <v>33062.94</v>
      </c>
      <c r="J16" s="8" t="n">
        <f aca="false">I16-H16</f>
        <v>-12139.78</v>
      </c>
      <c r="K16" s="9" t="n">
        <f aca="false">IF(H16=0,0,J16/H16)</f>
        <v>-0.268563042224008</v>
      </c>
      <c r="L16" s="8" t="n">
        <f aca="false">IF(E16=0,0,H16/E16)</f>
        <v>173.190498084291</v>
      </c>
      <c r="M16" s="8" t="n">
        <f aca="false">IF(E16=0,0,I16/E16)</f>
        <v>126.677931034483</v>
      </c>
      <c r="N16" s="8" t="n">
        <f aca="false">IF(G16=0,0,H16/G16)</f>
        <v>3.12908859702741</v>
      </c>
      <c r="O16" s="8" t="n">
        <f aca="false">IF(G16=0,0,I16/G16)</f>
        <v>2.28873104402127</v>
      </c>
      <c r="P16" s="21" t="n">
        <f aca="false">IF(E16=0,0,COUNTIFS('Pedidos Top10'!$A$2:$A$1839,A16,'Pedidos Top10'!$C$2:$C$1839,C16,'Pedidos Top10'!$D$2:$D$1839,D16,'Pedidos Top10'!$AG$2:$AG$1839,"PASSARO")/E16)</f>
        <v>0.992337164750958</v>
      </c>
      <c r="Q16" s="18" t="str">
        <f aca="false">IF(K16&lt;=-0.05,"Passaro compete: "&amp;TEXT(-K16,"0%")&amp;" abaixo de "&amp;D16,IF(K16&lt;0.05,"Empate técnico com "&amp;D16,D16&amp;" é "&amp;TEXT(1-H16/I16,"0%")&amp;" mais barata que a Passaro"))</f>
        <v>Passaro compete: 27% abaixo de DOMINALOG</v>
      </c>
    </row>
    <row r="17" customFormat="false" ht="15" hidden="false" customHeight="false" outlineLevel="0" collapsed="false">
      <c r="A17" s="18" t="s">
        <v>16</v>
      </c>
      <c r="B17" s="18" t="n">
        <v>1</v>
      </c>
      <c r="C17" s="18" t="s">
        <v>75</v>
      </c>
      <c r="D17" s="18" t="s">
        <v>31</v>
      </c>
      <c r="E17" s="17" t="n">
        <f aca="false">COUNTIFS('Pedidos Top10'!$A$2:$A$1839,A17,'Pedidos Top10'!$C$2:$C$1839,C17,'Pedidos Top10'!$D$2:$D$1839,D17)</f>
        <v>33</v>
      </c>
      <c r="F17" s="21" t="n">
        <f aca="false">E17/COUNTIFS('Pedidos Top10'!$A$2:$A$1839,A17,'Pedidos Top10'!$C$2:$C$1839,C17)</f>
        <v>0.111486486486486</v>
      </c>
      <c r="G17" s="19" t="n">
        <f aca="false">SUMIFS('Pedidos Top10'!$J$2:$J$1839,'Pedidos Top10'!$A$2:$A$1839,A17,'Pedidos Top10'!$C$2:$C$1839,C17,'Pedidos Top10'!$D$2:$D$1839,D17)</f>
        <v>641.96</v>
      </c>
      <c r="H17" s="8" t="n">
        <f aca="false">SUMIFS('Pedidos Top10'!$L$2:$L$1839,'Pedidos Top10'!$A$2:$A$1839,A17,'Pedidos Top10'!$C$2:$C$1839,C17,'Pedidos Top10'!$D$2:$D$1839,D17)</f>
        <v>2203.37</v>
      </c>
      <c r="I17" s="8" t="n">
        <f aca="false">SUMIFS('Pedidos Top10'!$AD$2:$AD$1839,'Pedidos Top10'!$A$2:$A$1839,A17,'Pedidos Top10'!$C$2:$C$1839,C17,'Pedidos Top10'!$D$2:$D$1839,D17)</f>
        <v>3308.41</v>
      </c>
      <c r="J17" s="8" t="n">
        <f aca="false">I17-H17</f>
        <v>1105.04</v>
      </c>
      <c r="K17" s="9" t="n">
        <f aca="false">IF(H17=0,0,J17/H17)</f>
        <v>0.501522667550162</v>
      </c>
      <c r="L17" s="8" t="n">
        <f aca="false">IF(E17=0,0,H17/E17)</f>
        <v>66.7687878787879</v>
      </c>
      <c r="M17" s="8" t="n">
        <f aca="false">IF(E17=0,0,I17/E17)</f>
        <v>100.254848484848</v>
      </c>
      <c r="N17" s="8" t="n">
        <f aca="false">IF(G17=0,0,H17/G17)</f>
        <v>3.43225434606518</v>
      </c>
      <c r="O17" s="8" t="n">
        <f aca="false">IF(G17=0,0,I17/G17)</f>
        <v>5.15360770141442</v>
      </c>
      <c r="P17" s="21" t="n">
        <f aca="false">IF(E17=0,0,COUNTIFS('Pedidos Top10'!$A$2:$A$1839,A17,'Pedidos Top10'!$C$2:$C$1839,C17,'Pedidos Top10'!$D$2:$D$1839,D17,'Pedidos Top10'!$AG$2:$AG$1839,"PASSARO")/E17)</f>
        <v>0</v>
      </c>
      <c r="Q17" s="18" t="str">
        <f aca="false">IF(K17&lt;=-0.05,"Passaro compete: "&amp;TEXT(-K17,"0%")&amp;" abaixo de "&amp;D17,IF(K17&lt;0.05,"Empate técnico com "&amp;D17,D17&amp;" é "&amp;TEXT(1-H17/I17,"0%")&amp;" mais barata que a Passaro"))</f>
        <v>JADLOG é 33% mais barata que a Passaro</v>
      </c>
    </row>
    <row r="18" customFormat="false" ht="15" hidden="false" customHeight="false" outlineLevel="0" collapsed="false">
      <c r="A18" s="18" t="s">
        <v>16</v>
      </c>
      <c r="B18" s="18" t="n">
        <v>1</v>
      </c>
      <c r="C18" s="18" t="s">
        <v>75</v>
      </c>
      <c r="D18" s="18" t="s">
        <v>33</v>
      </c>
      <c r="E18" s="17" t="n">
        <f aca="false">COUNTIFS('Pedidos Top10'!$A$2:$A$1839,A18,'Pedidos Top10'!$C$2:$C$1839,C18,'Pedidos Top10'!$D$2:$D$1839,D18)</f>
        <v>2</v>
      </c>
      <c r="F18" s="21" t="n">
        <f aca="false">E18/COUNTIFS('Pedidos Top10'!$A$2:$A$1839,A18,'Pedidos Top10'!$C$2:$C$1839,C18)</f>
        <v>0.00675675675675676</v>
      </c>
      <c r="G18" s="19" t="n">
        <f aca="false">SUMIFS('Pedidos Top10'!$J$2:$J$1839,'Pedidos Top10'!$A$2:$A$1839,A18,'Pedidos Top10'!$C$2:$C$1839,C18,'Pedidos Top10'!$D$2:$D$1839,D18)</f>
        <v>34.6</v>
      </c>
      <c r="H18" s="8" t="n">
        <f aca="false">SUMIFS('Pedidos Top10'!$L$2:$L$1839,'Pedidos Top10'!$A$2:$A$1839,A18,'Pedidos Top10'!$C$2:$C$1839,C18,'Pedidos Top10'!$D$2:$D$1839,D18)</f>
        <v>266.52</v>
      </c>
      <c r="I18" s="8" t="n">
        <f aca="false">SUMIFS('Pedidos Top10'!$AD$2:$AD$1839,'Pedidos Top10'!$A$2:$A$1839,A18,'Pedidos Top10'!$C$2:$C$1839,C18,'Pedidos Top10'!$D$2:$D$1839,D18)</f>
        <v>215.45</v>
      </c>
      <c r="J18" s="8" t="n">
        <f aca="false">I18-H18</f>
        <v>-51.07</v>
      </c>
      <c r="K18" s="9" t="n">
        <f aca="false">IF(H18=0,0,J18/H18)</f>
        <v>-0.191617889839412</v>
      </c>
      <c r="L18" s="8" t="n">
        <f aca="false">IF(E18=0,0,H18/E18)</f>
        <v>133.26</v>
      </c>
      <c r="M18" s="8" t="n">
        <f aca="false">IF(E18=0,0,I18/E18)</f>
        <v>107.725</v>
      </c>
      <c r="N18" s="8" t="n">
        <f aca="false">IF(G18=0,0,H18/G18)</f>
        <v>7.7028901734104</v>
      </c>
      <c r="O18" s="8" t="n">
        <f aca="false">IF(G18=0,0,I18/G18)</f>
        <v>6.22687861271676</v>
      </c>
      <c r="P18" s="21" t="n">
        <f aca="false">IF(E18=0,0,COUNTIFS('Pedidos Top10'!$A$2:$A$1839,A18,'Pedidos Top10'!$C$2:$C$1839,C18,'Pedidos Top10'!$D$2:$D$1839,D18,'Pedidos Top10'!$AG$2:$AG$1839,"PASSARO")/E18)</f>
        <v>1</v>
      </c>
      <c r="Q18" s="18" t="str">
        <f aca="false">IF(K18&lt;=-0.05,"Passaro compete: "&amp;TEXT(-K18,"0%")&amp;" abaixo de "&amp;D18,IF(K18&lt;0.05,"Empate técnico com "&amp;D18,D18&amp;" é "&amp;TEXT(1-H18/I18,"0%")&amp;" mais barata que a Passaro"))</f>
        <v>Passaro compete: 19% abaixo de Atual Cargas</v>
      </c>
    </row>
    <row r="19" customFormat="false" ht="15" hidden="false" customHeight="false" outlineLevel="0" collapsed="false">
      <c r="A19" s="18" t="s">
        <v>16</v>
      </c>
      <c r="B19" s="18" t="n">
        <v>2</v>
      </c>
      <c r="C19" s="18" t="s">
        <v>77</v>
      </c>
      <c r="D19" s="18" t="s">
        <v>30</v>
      </c>
      <c r="E19" s="17" t="n">
        <f aca="false">COUNTIFS('Pedidos Top10'!$A$2:$A$1839,A19,'Pedidos Top10'!$C$2:$C$1839,C19,'Pedidos Top10'!$D$2:$D$1839,D19)</f>
        <v>39</v>
      </c>
      <c r="F19" s="21" t="n">
        <f aca="false">E19/COUNTIFS('Pedidos Top10'!$A$2:$A$1839,A19,'Pedidos Top10'!$C$2:$C$1839,C19)</f>
        <v>0.928571428571429</v>
      </c>
      <c r="G19" s="19" t="n">
        <f aca="false">SUMIFS('Pedidos Top10'!$J$2:$J$1839,'Pedidos Top10'!$A$2:$A$1839,A19,'Pedidos Top10'!$C$2:$C$1839,C19,'Pedidos Top10'!$D$2:$D$1839,D19)</f>
        <v>2493.96</v>
      </c>
      <c r="H19" s="8" t="n">
        <f aca="false">SUMIFS('Pedidos Top10'!$L$2:$L$1839,'Pedidos Top10'!$A$2:$A$1839,A19,'Pedidos Top10'!$C$2:$C$1839,C19,'Pedidos Top10'!$D$2:$D$1839,D19)</f>
        <v>8142.26</v>
      </c>
      <c r="I19" s="8" t="n">
        <f aca="false">SUMIFS('Pedidos Top10'!$AD$2:$AD$1839,'Pedidos Top10'!$A$2:$A$1839,A19,'Pedidos Top10'!$C$2:$C$1839,C19,'Pedidos Top10'!$D$2:$D$1839,D19)</f>
        <v>5155.25</v>
      </c>
      <c r="J19" s="8" t="n">
        <f aca="false">I19-H19</f>
        <v>-2987.01</v>
      </c>
      <c r="K19" s="9" t="n">
        <f aca="false">IF(H19=0,0,J19/H19)</f>
        <v>-0.366852692004431</v>
      </c>
      <c r="L19" s="8" t="n">
        <f aca="false">IF(E19=0,0,H19/E19)</f>
        <v>208.775897435897</v>
      </c>
      <c r="M19" s="8" t="n">
        <f aca="false">IF(E19=0,0,I19/E19)</f>
        <v>132.185897435897</v>
      </c>
      <c r="N19" s="8" t="n">
        <f aca="false">IF(G19=0,0,H19/G19)</f>
        <v>3.2647917368362</v>
      </c>
      <c r="O19" s="8" t="n">
        <f aca="false">IF(G19=0,0,I19/G19)</f>
        <v>2.06709409934402</v>
      </c>
      <c r="P19" s="21" t="n">
        <f aca="false">IF(E19=0,0,COUNTIFS('Pedidos Top10'!$A$2:$A$1839,A19,'Pedidos Top10'!$C$2:$C$1839,C19,'Pedidos Top10'!$D$2:$D$1839,D19,'Pedidos Top10'!$AG$2:$AG$1839,"PASSARO")/E19)</f>
        <v>0.974358974358974</v>
      </c>
      <c r="Q19" s="18" t="str">
        <f aca="false">IF(K19&lt;=-0.05,"Passaro compete: "&amp;TEXT(-K19,"0%")&amp;" abaixo de "&amp;D19,IF(K19&lt;0.05,"Empate técnico com "&amp;D19,D19&amp;" é "&amp;TEXT(1-H19/I19,"0%")&amp;" mais barata que a Passaro"))</f>
        <v>Passaro compete: 37% abaixo de DOMINALOG</v>
      </c>
    </row>
    <row r="20" customFormat="false" ht="15" hidden="false" customHeight="false" outlineLevel="0" collapsed="false">
      <c r="A20" s="18" t="s">
        <v>16</v>
      </c>
      <c r="B20" s="18" t="n">
        <v>2</v>
      </c>
      <c r="C20" s="18" t="s">
        <v>77</v>
      </c>
      <c r="D20" s="18" t="s">
        <v>31</v>
      </c>
      <c r="E20" s="17" t="n">
        <f aca="false">COUNTIFS('Pedidos Top10'!$A$2:$A$1839,A20,'Pedidos Top10'!$C$2:$C$1839,C20,'Pedidos Top10'!$D$2:$D$1839,D20)</f>
        <v>3</v>
      </c>
      <c r="F20" s="21" t="n">
        <f aca="false">E20/COUNTIFS('Pedidos Top10'!$A$2:$A$1839,A20,'Pedidos Top10'!$C$2:$C$1839,C20)</f>
        <v>0.0714285714285714</v>
      </c>
      <c r="G20" s="19" t="n">
        <f aca="false">SUMIFS('Pedidos Top10'!$J$2:$J$1839,'Pedidos Top10'!$A$2:$A$1839,A20,'Pedidos Top10'!$C$2:$C$1839,C20,'Pedidos Top10'!$D$2:$D$1839,D20)</f>
        <v>59</v>
      </c>
      <c r="H20" s="8" t="n">
        <f aca="false">SUMIFS('Pedidos Top10'!$L$2:$L$1839,'Pedidos Top10'!$A$2:$A$1839,A20,'Pedidos Top10'!$C$2:$C$1839,C20,'Pedidos Top10'!$D$2:$D$1839,D20)</f>
        <v>205.42</v>
      </c>
      <c r="I20" s="8" t="n">
        <f aca="false">SUMIFS('Pedidos Top10'!$AD$2:$AD$1839,'Pedidos Top10'!$A$2:$A$1839,A20,'Pedidos Top10'!$C$2:$C$1839,C20,'Pedidos Top10'!$D$2:$D$1839,D20)</f>
        <v>298.62</v>
      </c>
      <c r="J20" s="8" t="n">
        <f aca="false">I20-H20</f>
        <v>93.2</v>
      </c>
      <c r="K20" s="9" t="n">
        <f aca="false">IF(H20=0,0,J20/H20)</f>
        <v>0.453704605199104</v>
      </c>
      <c r="L20" s="8" t="n">
        <f aca="false">IF(E20=0,0,H20/E20)</f>
        <v>68.4733333333333</v>
      </c>
      <c r="M20" s="8" t="n">
        <f aca="false">IF(E20=0,0,I20/E20)</f>
        <v>99.54</v>
      </c>
      <c r="N20" s="8" t="n">
        <f aca="false">IF(G20=0,0,H20/G20)</f>
        <v>3.48169491525424</v>
      </c>
      <c r="O20" s="8" t="n">
        <f aca="false">IF(G20=0,0,I20/G20)</f>
        <v>5.06135593220339</v>
      </c>
      <c r="P20" s="21" t="n">
        <f aca="false">IF(E20=0,0,COUNTIFS('Pedidos Top10'!$A$2:$A$1839,A20,'Pedidos Top10'!$C$2:$C$1839,C20,'Pedidos Top10'!$D$2:$D$1839,D20,'Pedidos Top10'!$AG$2:$AG$1839,"PASSARO")/E20)</f>
        <v>0</v>
      </c>
      <c r="Q20" s="18" t="str">
        <f aca="false">IF(K20&lt;=-0.05,"Passaro compete: "&amp;TEXT(-K20,"0%")&amp;" abaixo de "&amp;D20,IF(K20&lt;0.05,"Empate técnico com "&amp;D20,D20&amp;" é "&amp;TEXT(1-H20/I20,"0%")&amp;" mais barata que a Passaro"))</f>
        <v>JADLOG é 31% mais barata que a Passaro</v>
      </c>
    </row>
    <row r="21" customFormat="false" ht="15" hidden="false" customHeight="false" outlineLevel="0" collapsed="false">
      <c r="A21" s="18" t="s">
        <v>16</v>
      </c>
      <c r="B21" s="18" t="n">
        <v>3</v>
      </c>
      <c r="C21" s="18" t="s">
        <v>79</v>
      </c>
      <c r="D21" s="18" t="s">
        <v>30</v>
      </c>
      <c r="E21" s="17" t="n">
        <f aca="false">COUNTIFS('Pedidos Top10'!$A$2:$A$1839,A21,'Pedidos Top10'!$C$2:$C$1839,C21,'Pedidos Top10'!$D$2:$D$1839,D21)</f>
        <v>34</v>
      </c>
      <c r="F21" s="21" t="n">
        <f aca="false">E21/COUNTIFS('Pedidos Top10'!$A$2:$A$1839,A21,'Pedidos Top10'!$C$2:$C$1839,C21)</f>
        <v>0.871794871794872</v>
      </c>
      <c r="G21" s="19" t="n">
        <f aca="false">SUMIFS('Pedidos Top10'!$J$2:$J$1839,'Pedidos Top10'!$A$2:$A$1839,A21,'Pedidos Top10'!$C$2:$C$1839,C21,'Pedidos Top10'!$D$2:$D$1839,D21)</f>
        <v>1911.56</v>
      </c>
      <c r="H21" s="8" t="n">
        <f aca="false">SUMIFS('Pedidos Top10'!$L$2:$L$1839,'Pedidos Top10'!$A$2:$A$1839,A21,'Pedidos Top10'!$C$2:$C$1839,C21,'Pedidos Top10'!$D$2:$D$1839,D21)</f>
        <v>6546.76</v>
      </c>
      <c r="I21" s="8" t="n">
        <f aca="false">SUMIFS('Pedidos Top10'!$AD$2:$AD$1839,'Pedidos Top10'!$A$2:$A$1839,A21,'Pedidos Top10'!$C$2:$C$1839,C21,'Pedidos Top10'!$D$2:$D$1839,D21)</f>
        <v>4279.19</v>
      </c>
      <c r="J21" s="8" t="n">
        <f aca="false">I21-H21</f>
        <v>-2267.57</v>
      </c>
      <c r="K21" s="9" t="n">
        <f aca="false">IF(H21=0,0,J21/H21)</f>
        <v>-0.346365224935693</v>
      </c>
      <c r="L21" s="8" t="n">
        <f aca="false">IF(E21=0,0,H21/E21)</f>
        <v>192.551764705882</v>
      </c>
      <c r="M21" s="8" t="n">
        <f aca="false">IF(E21=0,0,I21/E21)</f>
        <v>125.858529411765</v>
      </c>
      <c r="N21" s="8" t="n">
        <f aca="false">IF(G21=0,0,H21/G21)</f>
        <v>3.42482579673147</v>
      </c>
      <c r="O21" s="8" t="n">
        <f aca="false">IF(G21=0,0,I21/G21)</f>
        <v>2.23858523928101</v>
      </c>
      <c r="P21" s="21" t="n">
        <f aca="false">IF(E21=0,0,COUNTIFS('Pedidos Top10'!$A$2:$A$1839,A21,'Pedidos Top10'!$C$2:$C$1839,C21,'Pedidos Top10'!$D$2:$D$1839,D21,'Pedidos Top10'!$AG$2:$AG$1839,"PASSARO")/E21)</f>
        <v>1</v>
      </c>
      <c r="Q21" s="18" t="str">
        <f aca="false">IF(K21&lt;=-0.05,"Passaro compete: "&amp;TEXT(-K21,"0%")&amp;" abaixo de "&amp;D21,IF(K21&lt;0.05,"Empate técnico com "&amp;D21,D21&amp;" é "&amp;TEXT(1-H21/I21,"0%")&amp;" mais barata que a Passaro"))</f>
        <v>Passaro compete: 35% abaixo de DOMINALOG</v>
      </c>
    </row>
    <row r="22" customFormat="false" ht="15" hidden="false" customHeight="false" outlineLevel="0" collapsed="false">
      <c r="A22" s="18" t="s">
        <v>16</v>
      </c>
      <c r="B22" s="18" t="n">
        <v>3</v>
      </c>
      <c r="C22" s="18" t="s">
        <v>79</v>
      </c>
      <c r="D22" s="18" t="s">
        <v>33</v>
      </c>
      <c r="E22" s="17" t="n">
        <f aca="false">COUNTIFS('Pedidos Top10'!$A$2:$A$1839,A22,'Pedidos Top10'!$C$2:$C$1839,C22,'Pedidos Top10'!$D$2:$D$1839,D22)</f>
        <v>4</v>
      </c>
      <c r="F22" s="21" t="n">
        <f aca="false">E22/COUNTIFS('Pedidos Top10'!$A$2:$A$1839,A22,'Pedidos Top10'!$C$2:$C$1839,C22)</f>
        <v>0.102564102564103</v>
      </c>
      <c r="G22" s="19" t="n">
        <f aca="false">SUMIFS('Pedidos Top10'!$J$2:$J$1839,'Pedidos Top10'!$A$2:$A$1839,A22,'Pedidos Top10'!$C$2:$C$1839,C22,'Pedidos Top10'!$D$2:$D$1839,D22)</f>
        <v>272.21</v>
      </c>
      <c r="H22" s="8" t="n">
        <f aca="false">SUMIFS('Pedidos Top10'!$L$2:$L$1839,'Pedidos Top10'!$A$2:$A$1839,A22,'Pedidos Top10'!$C$2:$C$1839,C22,'Pedidos Top10'!$D$2:$D$1839,D22)</f>
        <v>855.32</v>
      </c>
      <c r="I22" s="8" t="n">
        <f aca="false">SUMIFS('Pedidos Top10'!$AD$2:$AD$1839,'Pedidos Top10'!$A$2:$A$1839,A22,'Pedidos Top10'!$C$2:$C$1839,C22,'Pedidos Top10'!$D$2:$D$1839,D22)</f>
        <v>516.35</v>
      </c>
      <c r="J22" s="8" t="n">
        <f aca="false">I22-H22</f>
        <v>-338.97</v>
      </c>
      <c r="K22" s="9" t="n">
        <f aca="false">IF(H22=0,0,J22/H22)</f>
        <v>-0.39630781461909</v>
      </c>
      <c r="L22" s="8" t="n">
        <f aca="false">IF(E22=0,0,H22/E22)</f>
        <v>213.83</v>
      </c>
      <c r="M22" s="8" t="n">
        <f aca="false">IF(E22=0,0,I22/E22)</f>
        <v>129.0875</v>
      </c>
      <c r="N22" s="8" t="n">
        <f aca="false">IF(G22=0,0,H22/G22)</f>
        <v>3.14213291208993</v>
      </c>
      <c r="O22" s="8" t="n">
        <f aca="false">IF(G22=0,0,I22/G22)</f>
        <v>1.89688108445685</v>
      </c>
      <c r="P22" s="21" t="n">
        <f aca="false">IF(E22=0,0,COUNTIFS('Pedidos Top10'!$A$2:$A$1839,A22,'Pedidos Top10'!$C$2:$C$1839,C22,'Pedidos Top10'!$D$2:$D$1839,D22,'Pedidos Top10'!$AG$2:$AG$1839,"PASSARO")/E22)</f>
        <v>1</v>
      </c>
      <c r="Q22" s="18" t="str">
        <f aca="false">IF(K22&lt;=-0.05,"Passaro compete: "&amp;TEXT(-K22,"0%")&amp;" abaixo de "&amp;D22,IF(K22&lt;0.05,"Empate técnico com "&amp;D22,D22&amp;" é "&amp;TEXT(1-H22/I22,"0%")&amp;" mais barata que a Passaro"))</f>
        <v>Passaro compete: 40% abaixo de Atual Cargas</v>
      </c>
    </row>
    <row r="23" customFormat="false" ht="15" hidden="false" customHeight="false" outlineLevel="0" collapsed="false">
      <c r="A23" s="18" t="s">
        <v>16</v>
      </c>
      <c r="B23" s="18" t="n">
        <v>3</v>
      </c>
      <c r="C23" s="18" t="s">
        <v>79</v>
      </c>
      <c r="D23" s="18" t="s">
        <v>31</v>
      </c>
      <c r="E23" s="17" t="n">
        <f aca="false">COUNTIFS('Pedidos Top10'!$A$2:$A$1839,A23,'Pedidos Top10'!$C$2:$C$1839,C23,'Pedidos Top10'!$D$2:$D$1839,D23)</f>
        <v>1</v>
      </c>
      <c r="F23" s="21" t="n">
        <f aca="false">E23/COUNTIFS('Pedidos Top10'!$A$2:$A$1839,A23,'Pedidos Top10'!$C$2:$C$1839,C23)</f>
        <v>0.0256410256410256</v>
      </c>
      <c r="G23" s="19" t="n">
        <f aca="false">SUMIFS('Pedidos Top10'!$J$2:$J$1839,'Pedidos Top10'!$A$2:$A$1839,A23,'Pedidos Top10'!$C$2:$C$1839,C23,'Pedidos Top10'!$D$2:$D$1839,D23)</f>
        <v>15.15</v>
      </c>
      <c r="H23" s="8" t="n">
        <f aca="false">SUMIFS('Pedidos Top10'!$L$2:$L$1839,'Pedidos Top10'!$A$2:$A$1839,A23,'Pedidos Top10'!$C$2:$C$1839,C23,'Pedidos Top10'!$D$2:$D$1839,D23)</f>
        <v>41.89</v>
      </c>
      <c r="I23" s="8" t="n">
        <f aca="false">SUMIFS('Pedidos Top10'!$AD$2:$AD$1839,'Pedidos Top10'!$A$2:$A$1839,A23,'Pedidos Top10'!$C$2:$C$1839,C23,'Pedidos Top10'!$D$2:$D$1839,D23)</f>
        <v>99.53</v>
      </c>
      <c r="J23" s="8" t="n">
        <f aca="false">I23-H23</f>
        <v>57.64</v>
      </c>
      <c r="K23" s="9" t="n">
        <f aca="false">IF(H23=0,0,J23/H23)</f>
        <v>1.37598472189067</v>
      </c>
      <c r="L23" s="8" t="n">
        <f aca="false">IF(E23=0,0,H23/E23)</f>
        <v>41.89</v>
      </c>
      <c r="M23" s="8" t="n">
        <f aca="false">IF(E23=0,0,I23/E23)</f>
        <v>99.53</v>
      </c>
      <c r="N23" s="8" t="n">
        <f aca="false">IF(G23=0,0,H23/G23)</f>
        <v>2.76501650165017</v>
      </c>
      <c r="O23" s="8" t="n">
        <f aca="false">IF(G23=0,0,I23/G23)</f>
        <v>6.56963696369637</v>
      </c>
      <c r="P23" s="21" t="n">
        <f aca="false">IF(E23=0,0,COUNTIFS('Pedidos Top10'!$A$2:$A$1839,A23,'Pedidos Top10'!$C$2:$C$1839,C23,'Pedidos Top10'!$D$2:$D$1839,D23,'Pedidos Top10'!$AG$2:$AG$1839,"PASSARO")/E23)</f>
        <v>0</v>
      </c>
      <c r="Q23" s="18" t="str">
        <f aca="false">IF(K23&lt;=-0.05,"Passaro compete: "&amp;TEXT(-K23,"0%")&amp;" abaixo de "&amp;D23,IF(K23&lt;0.05,"Empate técnico com "&amp;D23,D23&amp;" é "&amp;TEXT(1-H23/I23,"0%")&amp;" mais barata que a Passaro"))</f>
        <v>JADLOG é 58% mais barata que a Passaro</v>
      </c>
    </row>
    <row r="24" customFormat="false" ht="15" hidden="false" customHeight="false" outlineLevel="0" collapsed="false">
      <c r="A24" s="18" t="s">
        <v>16</v>
      </c>
      <c r="B24" s="18" t="n">
        <v>4</v>
      </c>
      <c r="C24" s="18" t="s">
        <v>81</v>
      </c>
      <c r="D24" s="18" t="s">
        <v>30</v>
      </c>
      <c r="E24" s="17" t="n">
        <f aca="false">COUNTIFS('Pedidos Top10'!$A$2:$A$1839,A24,'Pedidos Top10'!$C$2:$C$1839,C24,'Pedidos Top10'!$D$2:$D$1839,D24)</f>
        <v>27</v>
      </c>
      <c r="F24" s="21" t="n">
        <f aca="false">E24/COUNTIFS('Pedidos Top10'!$A$2:$A$1839,A24,'Pedidos Top10'!$C$2:$C$1839,C24)</f>
        <v>0.931034482758621</v>
      </c>
      <c r="G24" s="19" t="n">
        <f aca="false">SUMIFS('Pedidos Top10'!$J$2:$J$1839,'Pedidos Top10'!$A$2:$A$1839,A24,'Pedidos Top10'!$C$2:$C$1839,C24,'Pedidos Top10'!$D$2:$D$1839,D24)</f>
        <v>1731.49</v>
      </c>
      <c r="H24" s="8" t="n">
        <f aca="false">SUMIFS('Pedidos Top10'!$L$2:$L$1839,'Pedidos Top10'!$A$2:$A$1839,A24,'Pedidos Top10'!$C$2:$C$1839,C24,'Pedidos Top10'!$D$2:$D$1839,D24)</f>
        <v>5442.06</v>
      </c>
      <c r="I24" s="8" t="n">
        <f aca="false">SUMIFS('Pedidos Top10'!$AD$2:$AD$1839,'Pedidos Top10'!$A$2:$A$1839,A24,'Pedidos Top10'!$C$2:$C$1839,C24,'Pedidos Top10'!$D$2:$D$1839,D24)</f>
        <v>4622.44</v>
      </c>
      <c r="J24" s="8" t="n">
        <f aca="false">I24-H24</f>
        <v>-819.620000000001</v>
      </c>
      <c r="K24" s="9" t="n">
        <f aca="false">IF(H24=0,0,J24/H24)</f>
        <v>-0.15060840931559</v>
      </c>
      <c r="L24" s="8" t="n">
        <f aca="false">IF(E24=0,0,H24/E24)</f>
        <v>201.557777777778</v>
      </c>
      <c r="M24" s="8" t="n">
        <f aca="false">IF(E24=0,0,I24/E24)</f>
        <v>171.201481481481</v>
      </c>
      <c r="N24" s="8" t="n">
        <f aca="false">IF(G24=0,0,H24/G24)</f>
        <v>3.14299245158794</v>
      </c>
      <c r="O24" s="8" t="n">
        <f aca="false">IF(G24=0,0,I24/G24)</f>
        <v>2.66963135796337</v>
      </c>
      <c r="P24" s="21" t="n">
        <f aca="false">IF(E24=0,0,COUNTIFS('Pedidos Top10'!$A$2:$A$1839,A24,'Pedidos Top10'!$C$2:$C$1839,C24,'Pedidos Top10'!$D$2:$D$1839,D24,'Pedidos Top10'!$AG$2:$AG$1839,"PASSARO")/E24)</f>
        <v>0.888888888888889</v>
      </c>
      <c r="Q24" s="18" t="str">
        <f aca="false">IF(K24&lt;=-0.05,"Passaro compete: "&amp;TEXT(-K24,"0%")&amp;" abaixo de "&amp;D24,IF(K24&lt;0.05,"Empate técnico com "&amp;D24,D24&amp;" é "&amp;TEXT(1-H24/I24,"0%")&amp;" mais barata que a Passaro"))</f>
        <v>Passaro compete: 15% abaixo de DOMINALOG</v>
      </c>
    </row>
    <row r="25" customFormat="false" ht="15" hidden="false" customHeight="false" outlineLevel="0" collapsed="false">
      <c r="A25" s="18" t="s">
        <v>16</v>
      </c>
      <c r="B25" s="18" t="n">
        <v>4</v>
      </c>
      <c r="C25" s="18" t="s">
        <v>81</v>
      </c>
      <c r="D25" s="18" t="s">
        <v>31</v>
      </c>
      <c r="E25" s="17" t="n">
        <f aca="false">COUNTIFS('Pedidos Top10'!$A$2:$A$1839,A25,'Pedidos Top10'!$C$2:$C$1839,C25,'Pedidos Top10'!$D$2:$D$1839,D25)</f>
        <v>2</v>
      </c>
      <c r="F25" s="21" t="n">
        <f aca="false">E25/COUNTIFS('Pedidos Top10'!$A$2:$A$1839,A25,'Pedidos Top10'!$C$2:$C$1839,C25)</f>
        <v>0.0689655172413793</v>
      </c>
      <c r="G25" s="19" t="n">
        <f aca="false">SUMIFS('Pedidos Top10'!$J$2:$J$1839,'Pedidos Top10'!$A$2:$A$1839,A25,'Pedidos Top10'!$C$2:$C$1839,C25,'Pedidos Top10'!$D$2:$D$1839,D25)</f>
        <v>41.7</v>
      </c>
      <c r="H25" s="8" t="n">
        <f aca="false">SUMIFS('Pedidos Top10'!$L$2:$L$1839,'Pedidos Top10'!$A$2:$A$1839,A25,'Pedidos Top10'!$C$2:$C$1839,C25,'Pedidos Top10'!$D$2:$D$1839,D25)</f>
        <v>158.27</v>
      </c>
      <c r="I25" s="8" t="n">
        <f aca="false">SUMIFS('Pedidos Top10'!$AD$2:$AD$1839,'Pedidos Top10'!$A$2:$A$1839,A25,'Pedidos Top10'!$C$2:$C$1839,C25,'Pedidos Top10'!$D$2:$D$1839,D25)</f>
        <v>261.31</v>
      </c>
      <c r="J25" s="8" t="n">
        <f aca="false">I25-H25</f>
        <v>103.04</v>
      </c>
      <c r="K25" s="9" t="n">
        <f aca="false">IF(H25=0,0,J25/H25)</f>
        <v>0.651039363113667</v>
      </c>
      <c r="L25" s="8" t="n">
        <f aca="false">IF(E25=0,0,H25/E25)</f>
        <v>79.135</v>
      </c>
      <c r="M25" s="8" t="n">
        <f aca="false">IF(E25=0,0,I25/E25)</f>
        <v>130.655</v>
      </c>
      <c r="N25" s="8" t="n">
        <f aca="false">IF(G25=0,0,H25/G25)</f>
        <v>3.79544364508393</v>
      </c>
      <c r="O25" s="8" t="n">
        <f aca="false">IF(G25=0,0,I25/G25)</f>
        <v>6.26642685851319</v>
      </c>
      <c r="P25" s="21" t="n">
        <f aca="false">IF(E25=0,0,COUNTIFS('Pedidos Top10'!$A$2:$A$1839,A25,'Pedidos Top10'!$C$2:$C$1839,C25,'Pedidos Top10'!$D$2:$D$1839,D25,'Pedidos Top10'!$AG$2:$AG$1839,"PASSARO")/E25)</f>
        <v>0</v>
      </c>
      <c r="Q25" s="18" t="str">
        <f aca="false">IF(K25&lt;=-0.05,"Passaro compete: "&amp;TEXT(-K25,"0%")&amp;" abaixo de "&amp;D25,IF(K25&lt;0.05,"Empate técnico com "&amp;D25,D25&amp;" é "&amp;TEXT(1-H25/I25,"0%")&amp;" mais barata que a Passaro"))</f>
        <v>JADLOG é 39% mais barata que a Passaro</v>
      </c>
    </row>
    <row r="26" customFormat="false" ht="15" hidden="false" customHeight="false" outlineLevel="0" collapsed="false">
      <c r="A26" s="18" t="s">
        <v>16</v>
      </c>
      <c r="B26" s="18" t="n">
        <v>5</v>
      </c>
      <c r="C26" s="18" t="s">
        <v>83</v>
      </c>
      <c r="D26" s="18" t="s">
        <v>30</v>
      </c>
      <c r="E26" s="17" t="n">
        <f aca="false">COUNTIFS('Pedidos Top10'!$A$2:$A$1839,A26,'Pedidos Top10'!$C$2:$C$1839,C26,'Pedidos Top10'!$D$2:$D$1839,D26)</f>
        <v>19</v>
      </c>
      <c r="F26" s="21" t="n">
        <f aca="false">E26/COUNTIFS('Pedidos Top10'!$A$2:$A$1839,A26,'Pedidos Top10'!$C$2:$C$1839,C26)</f>
        <v>0.863636363636364</v>
      </c>
      <c r="G26" s="19" t="n">
        <f aca="false">SUMIFS('Pedidos Top10'!$J$2:$J$1839,'Pedidos Top10'!$A$2:$A$1839,A26,'Pedidos Top10'!$C$2:$C$1839,C26,'Pedidos Top10'!$D$2:$D$1839,D26)</f>
        <v>1086.85</v>
      </c>
      <c r="H26" s="8" t="n">
        <f aca="false">SUMIFS('Pedidos Top10'!$L$2:$L$1839,'Pedidos Top10'!$A$2:$A$1839,A26,'Pedidos Top10'!$C$2:$C$1839,C26,'Pedidos Top10'!$D$2:$D$1839,D26)</f>
        <v>3345.55</v>
      </c>
      <c r="I26" s="8" t="n">
        <f aca="false">SUMIFS('Pedidos Top10'!$AD$2:$AD$1839,'Pedidos Top10'!$A$2:$A$1839,A26,'Pedidos Top10'!$C$2:$C$1839,C26,'Pedidos Top10'!$D$2:$D$1839,D26)</f>
        <v>2411.67</v>
      </c>
      <c r="J26" s="8" t="n">
        <f aca="false">I26-H26</f>
        <v>-933.88</v>
      </c>
      <c r="K26" s="9" t="n">
        <f aca="false">IF(H26=0,0,J26/H26)</f>
        <v>-0.279140948424026</v>
      </c>
      <c r="L26" s="8" t="n">
        <f aca="false">IF(E26=0,0,H26/E26)</f>
        <v>176.081578947368</v>
      </c>
      <c r="M26" s="8" t="n">
        <f aca="false">IF(E26=0,0,I26/E26)</f>
        <v>126.93</v>
      </c>
      <c r="N26" s="8" t="n">
        <f aca="false">IF(G26=0,0,H26/G26)</f>
        <v>3.07820766435111</v>
      </c>
      <c r="O26" s="8" t="n">
        <f aca="false">IF(G26=0,0,I26/G26)</f>
        <v>2.21895385747803</v>
      </c>
      <c r="P26" s="21" t="n">
        <f aca="false">IF(E26=0,0,COUNTIFS('Pedidos Top10'!$A$2:$A$1839,A26,'Pedidos Top10'!$C$2:$C$1839,C26,'Pedidos Top10'!$D$2:$D$1839,D26,'Pedidos Top10'!$AG$2:$AG$1839,"PASSARO")/E26)</f>
        <v>1</v>
      </c>
      <c r="Q26" s="18" t="str">
        <f aca="false">IF(K26&lt;=-0.05,"Passaro compete: "&amp;TEXT(-K26,"0%")&amp;" abaixo de "&amp;D26,IF(K26&lt;0.05,"Empate técnico com "&amp;D26,D26&amp;" é "&amp;TEXT(1-H26/I26,"0%")&amp;" mais barata que a Passaro"))</f>
        <v>Passaro compete: 28% abaixo de DOMINALOG</v>
      </c>
    </row>
    <row r="27" customFormat="false" ht="15" hidden="false" customHeight="false" outlineLevel="0" collapsed="false">
      <c r="A27" s="18" t="s">
        <v>16</v>
      </c>
      <c r="B27" s="18" t="n">
        <v>5</v>
      </c>
      <c r="C27" s="18" t="s">
        <v>83</v>
      </c>
      <c r="D27" s="18" t="s">
        <v>31</v>
      </c>
      <c r="E27" s="17" t="n">
        <f aca="false">COUNTIFS('Pedidos Top10'!$A$2:$A$1839,A27,'Pedidos Top10'!$C$2:$C$1839,C27,'Pedidos Top10'!$D$2:$D$1839,D27)</f>
        <v>3</v>
      </c>
      <c r="F27" s="21" t="n">
        <f aca="false">E27/COUNTIFS('Pedidos Top10'!$A$2:$A$1839,A27,'Pedidos Top10'!$C$2:$C$1839,C27)</f>
        <v>0.136363636363636</v>
      </c>
      <c r="G27" s="19" t="n">
        <f aca="false">SUMIFS('Pedidos Top10'!$J$2:$J$1839,'Pedidos Top10'!$A$2:$A$1839,A27,'Pedidos Top10'!$C$2:$C$1839,C27,'Pedidos Top10'!$D$2:$D$1839,D27)</f>
        <v>62.85</v>
      </c>
      <c r="H27" s="8" t="n">
        <f aca="false">SUMIFS('Pedidos Top10'!$L$2:$L$1839,'Pedidos Top10'!$A$2:$A$1839,A27,'Pedidos Top10'!$C$2:$C$1839,C27,'Pedidos Top10'!$D$2:$D$1839,D27)</f>
        <v>238.2</v>
      </c>
      <c r="I27" s="8" t="n">
        <f aca="false">SUMIFS('Pedidos Top10'!$AD$2:$AD$1839,'Pedidos Top10'!$A$2:$A$1839,A27,'Pedidos Top10'!$C$2:$C$1839,C27,'Pedidos Top10'!$D$2:$D$1839,D27)</f>
        <v>302.94</v>
      </c>
      <c r="J27" s="8" t="n">
        <f aca="false">I27-H27</f>
        <v>64.74</v>
      </c>
      <c r="K27" s="9" t="n">
        <f aca="false">IF(H27=0,0,J27/H27)</f>
        <v>0.271788413098237</v>
      </c>
      <c r="L27" s="8" t="n">
        <f aca="false">IF(E27=0,0,H27/E27)</f>
        <v>79.4</v>
      </c>
      <c r="M27" s="8" t="n">
        <f aca="false">IF(E27=0,0,I27/E27)</f>
        <v>100.98</v>
      </c>
      <c r="N27" s="8" t="n">
        <f aca="false">IF(G27=0,0,H27/G27)</f>
        <v>3.78997613365155</v>
      </c>
      <c r="O27" s="8" t="n">
        <f aca="false">IF(G27=0,0,I27/G27)</f>
        <v>4.8200477326969</v>
      </c>
      <c r="P27" s="21" t="n">
        <f aca="false">IF(E27=0,0,COUNTIFS('Pedidos Top10'!$A$2:$A$1839,A27,'Pedidos Top10'!$C$2:$C$1839,C27,'Pedidos Top10'!$D$2:$D$1839,D27,'Pedidos Top10'!$AG$2:$AG$1839,"PASSARO")/E27)</f>
        <v>0</v>
      </c>
      <c r="Q27" s="18" t="str">
        <f aca="false">IF(K27&lt;=-0.05,"Passaro compete: "&amp;TEXT(-K27,"0%")&amp;" abaixo de "&amp;D27,IF(K27&lt;0.05,"Empate técnico com "&amp;D27,D27&amp;" é "&amp;TEXT(1-H27/I27,"0%")&amp;" mais barata que a Passaro"))</f>
        <v>JADLOG é 21% mais barata que a Passaro</v>
      </c>
    </row>
    <row r="28" customFormat="false" ht="15" hidden="false" customHeight="false" outlineLevel="0" collapsed="false">
      <c r="A28" s="18" t="s">
        <v>16</v>
      </c>
      <c r="B28" s="18" t="n">
        <v>6</v>
      </c>
      <c r="C28" s="18" t="s">
        <v>85</v>
      </c>
      <c r="D28" s="18" t="s">
        <v>30</v>
      </c>
      <c r="E28" s="17" t="n">
        <f aca="false">COUNTIFS('Pedidos Top10'!$A$2:$A$1839,A28,'Pedidos Top10'!$C$2:$C$1839,C28,'Pedidos Top10'!$D$2:$D$1839,D28)</f>
        <v>16</v>
      </c>
      <c r="F28" s="21" t="n">
        <f aca="false">E28/COUNTIFS('Pedidos Top10'!$A$2:$A$1839,A28,'Pedidos Top10'!$C$2:$C$1839,C28)</f>
        <v>0.842105263157895</v>
      </c>
      <c r="G28" s="19" t="n">
        <f aca="false">SUMIFS('Pedidos Top10'!$J$2:$J$1839,'Pedidos Top10'!$A$2:$A$1839,A28,'Pedidos Top10'!$C$2:$C$1839,C28,'Pedidos Top10'!$D$2:$D$1839,D28)</f>
        <v>896.8</v>
      </c>
      <c r="H28" s="8" t="n">
        <f aca="false">SUMIFS('Pedidos Top10'!$L$2:$L$1839,'Pedidos Top10'!$A$2:$A$1839,A28,'Pedidos Top10'!$C$2:$C$1839,C28,'Pedidos Top10'!$D$2:$D$1839,D28)</f>
        <v>3504.68</v>
      </c>
      <c r="I28" s="8" t="n">
        <f aca="false">SUMIFS('Pedidos Top10'!$AD$2:$AD$1839,'Pedidos Top10'!$A$2:$A$1839,A28,'Pedidos Top10'!$C$2:$C$1839,C28,'Pedidos Top10'!$D$2:$D$1839,D28)</f>
        <v>2574.49</v>
      </c>
      <c r="J28" s="8" t="n">
        <f aca="false">I28-H28</f>
        <v>-930.19</v>
      </c>
      <c r="K28" s="9" t="n">
        <f aca="false">IF(H28=0,0,J28/H28)</f>
        <v>-0.265413675428285</v>
      </c>
      <c r="L28" s="8" t="n">
        <f aca="false">IF(E28=0,0,H28/E28)</f>
        <v>219.0425</v>
      </c>
      <c r="M28" s="8" t="n">
        <f aca="false">IF(E28=0,0,I28/E28)</f>
        <v>160.905625</v>
      </c>
      <c r="N28" s="8" t="n">
        <f aca="false">IF(G28=0,0,H28/G28)</f>
        <v>3.90798394290812</v>
      </c>
      <c r="O28" s="8" t="n">
        <f aca="false">IF(G28=0,0,I28/G28)</f>
        <v>2.87075156110616</v>
      </c>
      <c r="P28" s="21" t="n">
        <f aca="false">IF(E28=0,0,COUNTIFS('Pedidos Top10'!$A$2:$A$1839,A28,'Pedidos Top10'!$C$2:$C$1839,C28,'Pedidos Top10'!$D$2:$D$1839,D28,'Pedidos Top10'!$AG$2:$AG$1839,"PASSARO")/E28)</f>
        <v>0.875</v>
      </c>
      <c r="Q28" s="18" t="str">
        <f aca="false">IF(K28&lt;=-0.05,"Passaro compete: "&amp;TEXT(-K28,"0%")&amp;" abaixo de "&amp;D28,IF(K28&lt;0.05,"Empate técnico com "&amp;D28,D28&amp;" é "&amp;TEXT(1-H28/I28,"0%")&amp;" mais barata que a Passaro"))</f>
        <v>Passaro compete: 27% abaixo de DOMINALOG</v>
      </c>
    </row>
    <row r="29" customFormat="false" ht="15" hidden="false" customHeight="false" outlineLevel="0" collapsed="false">
      <c r="A29" s="18" t="s">
        <v>16</v>
      </c>
      <c r="B29" s="18" t="n">
        <v>6</v>
      </c>
      <c r="C29" s="18" t="s">
        <v>85</v>
      </c>
      <c r="D29" s="18" t="s">
        <v>31</v>
      </c>
      <c r="E29" s="17" t="n">
        <f aca="false">COUNTIFS('Pedidos Top10'!$A$2:$A$1839,A29,'Pedidos Top10'!$C$2:$C$1839,C29,'Pedidos Top10'!$D$2:$D$1839,D29)</f>
        <v>3</v>
      </c>
      <c r="F29" s="21" t="n">
        <f aca="false">E29/COUNTIFS('Pedidos Top10'!$A$2:$A$1839,A29,'Pedidos Top10'!$C$2:$C$1839,C29)</f>
        <v>0.157894736842105</v>
      </c>
      <c r="G29" s="19" t="n">
        <f aca="false">SUMIFS('Pedidos Top10'!$J$2:$J$1839,'Pedidos Top10'!$A$2:$A$1839,A29,'Pedidos Top10'!$C$2:$C$1839,C29,'Pedidos Top10'!$D$2:$D$1839,D29)</f>
        <v>54.2</v>
      </c>
      <c r="H29" s="8" t="n">
        <f aca="false">SUMIFS('Pedidos Top10'!$L$2:$L$1839,'Pedidos Top10'!$A$2:$A$1839,A29,'Pedidos Top10'!$C$2:$C$1839,C29,'Pedidos Top10'!$D$2:$D$1839,D29)</f>
        <v>209.2</v>
      </c>
      <c r="I29" s="8" t="n">
        <f aca="false">SUMIFS('Pedidos Top10'!$AD$2:$AD$1839,'Pedidos Top10'!$A$2:$A$1839,A29,'Pedidos Top10'!$C$2:$C$1839,C29,'Pedidos Top10'!$D$2:$D$1839,D29)</f>
        <v>390.17</v>
      </c>
      <c r="J29" s="8" t="n">
        <f aca="false">I29-H29</f>
        <v>180.97</v>
      </c>
      <c r="K29" s="9" t="n">
        <f aca="false">IF(H29=0,0,J29/H29)</f>
        <v>0.865057361376673</v>
      </c>
      <c r="L29" s="8" t="n">
        <f aca="false">IF(E29=0,0,H29/E29)</f>
        <v>69.7333333333333</v>
      </c>
      <c r="M29" s="8" t="n">
        <f aca="false">IF(E29=0,0,I29/E29)</f>
        <v>130.056666666667</v>
      </c>
      <c r="N29" s="8" t="n">
        <f aca="false">IF(G29=0,0,H29/G29)</f>
        <v>3.85977859778598</v>
      </c>
      <c r="O29" s="8" t="n">
        <f aca="false">IF(G29=0,0,I29/G29)</f>
        <v>7.19870848708487</v>
      </c>
      <c r="P29" s="21" t="n">
        <f aca="false">IF(E29=0,0,COUNTIFS('Pedidos Top10'!$A$2:$A$1839,A29,'Pedidos Top10'!$C$2:$C$1839,C29,'Pedidos Top10'!$D$2:$D$1839,D29,'Pedidos Top10'!$AG$2:$AG$1839,"PASSARO")/E29)</f>
        <v>0</v>
      </c>
      <c r="Q29" s="18" t="str">
        <f aca="false">IF(K29&lt;=-0.05,"Passaro compete: "&amp;TEXT(-K29,"0%")&amp;" abaixo de "&amp;D29,IF(K29&lt;0.05,"Empate técnico com "&amp;D29,D29&amp;" é "&amp;TEXT(1-H29/I29,"0%")&amp;" mais barata que a Passaro"))</f>
        <v>JADLOG é 46% mais barata que a Passaro</v>
      </c>
    </row>
    <row r="30" customFormat="false" ht="15" hidden="false" customHeight="false" outlineLevel="0" collapsed="false">
      <c r="A30" s="18" t="s">
        <v>16</v>
      </c>
      <c r="B30" s="18" t="n">
        <v>7</v>
      </c>
      <c r="C30" s="18" t="s">
        <v>87</v>
      </c>
      <c r="D30" s="18" t="s">
        <v>30</v>
      </c>
      <c r="E30" s="17" t="n">
        <f aca="false">COUNTIFS('Pedidos Top10'!$A$2:$A$1839,A30,'Pedidos Top10'!$C$2:$C$1839,C30,'Pedidos Top10'!$D$2:$D$1839,D30)</f>
        <v>18</v>
      </c>
      <c r="F30" s="21" t="n">
        <f aca="false">E30/COUNTIFS('Pedidos Top10'!$A$2:$A$1839,A30,'Pedidos Top10'!$C$2:$C$1839,C30)</f>
        <v>0.947368421052632</v>
      </c>
      <c r="G30" s="19" t="n">
        <f aca="false">SUMIFS('Pedidos Top10'!$J$2:$J$1839,'Pedidos Top10'!$A$2:$A$1839,A30,'Pedidos Top10'!$C$2:$C$1839,C30,'Pedidos Top10'!$D$2:$D$1839,D30)</f>
        <v>979.15</v>
      </c>
      <c r="H30" s="8" t="n">
        <f aca="false">SUMIFS('Pedidos Top10'!$L$2:$L$1839,'Pedidos Top10'!$A$2:$A$1839,A30,'Pedidos Top10'!$C$2:$C$1839,C30,'Pedidos Top10'!$D$2:$D$1839,D30)</f>
        <v>3289.69</v>
      </c>
      <c r="I30" s="8" t="n">
        <f aca="false">SUMIFS('Pedidos Top10'!$AD$2:$AD$1839,'Pedidos Top10'!$A$2:$A$1839,A30,'Pedidos Top10'!$C$2:$C$1839,C30,'Pedidos Top10'!$D$2:$D$1839,D30)</f>
        <v>2256.1</v>
      </c>
      <c r="J30" s="8" t="n">
        <f aca="false">I30-H30</f>
        <v>-1033.59</v>
      </c>
      <c r="K30" s="9" t="n">
        <f aca="false">IF(H30=0,0,J30/H30)</f>
        <v>-0.314190698819646</v>
      </c>
      <c r="L30" s="8" t="n">
        <f aca="false">IF(E30=0,0,H30/E30)</f>
        <v>182.760555555556</v>
      </c>
      <c r="M30" s="8" t="n">
        <f aca="false">IF(E30=0,0,I30/E30)</f>
        <v>125.338888888889</v>
      </c>
      <c r="N30" s="8" t="n">
        <f aca="false">IF(G30=0,0,H30/G30)</f>
        <v>3.35974059132921</v>
      </c>
      <c r="O30" s="8" t="n">
        <f aca="false">IF(G30=0,0,I30/G30)</f>
        <v>2.30414134708676</v>
      </c>
      <c r="P30" s="21" t="n">
        <f aca="false">IF(E30=0,0,COUNTIFS('Pedidos Top10'!$A$2:$A$1839,A30,'Pedidos Top10'!$C$2:$C$1839,C30,'Pedidos Top10'!$D$2:$D$1839,D30,'Pedidos Top10'!$AG$2:$AG$1839,"PASSARO")/E30)</f>
        <v>0.944444444444444</v>
      </c>
      <c r="Q30" s="18" t="str">
        <f aca="false">IF(K30&lt;=-0.05,"Passaro compete: "&amp;TEXT(-K30,"0%")&amp;" abaixo de "&amp;D30,IF(K30&lt;0.05,"Empate técnico com "&amp;D30,D30&amp;" é "&amp;TEXT(1-H30/I30,"0%")&amp;" mais barata que a Passaro"))</f>
        <v>Passaro compete: 31% abaixo de DOMINALOG</v>
      </c>
    </row>
    <row r="31" customFormat="false" ht="15" hidden="false" customHeight="false" outlineLevel="0" collapsed="false">
      <c r="A31" s="18" t="s">
        <v>16</v>
      </c>
      <c r="B31" s="18" t="n">
        <v>7</v>
      </c>
      <c r="C31" s="18" t="s">
        <v>87</v>
      </c>
      <c r="D31" s="18" t="s">
        <v>33</v>
      </c>
      <c r="E31" s="17" t="n">
        <f aca="false">COUNTIFS('Pedidos Top10'!$A$2:$A$1839,A31,'Pedidos Top10'!$C$2:$C$1839,C31,'Pedidos Top10'!$D$2:$D$1839,D31)</f>
        <v>1</v>
      </c>
      <c r="F31" s="21" t="n">
        <f aca="false">E31/COUNTIFS('Pedidos Top10'!$A$2:$A$1839,A31,'Pedidos Top10'!$C$2:$C$1839,C31)</f>
        <v>0.0526315789473684</v>
      </c>
      <c r="G31" s="19" t="n">
        <f aca="false">SUMIFS('Pedidos Top10'!$J$2:$J$1839,'Pedidos Top10'!$A$2:$A$1839,A31,'Pedidos Top10'!$C$2:$C$1839,C31,'Pedidos Top10'!$D$2:$D$1839,D31)</f>
        <v>67.3</v>
      </c>
      <c r="H31" s="8" t="n">
        <f aca="false">SUMIFS('Pedidos Top10'!$L$2:$L$1839,'Pedidos Top10'!$A$2:$A$1839,A31,'Pedidos Top10'!$C$2:$C$1839,C31,'Pedidos Top10'!$D$2:$D$1839,D31)</f>
        <v>214.2</v>
      </c>
      <c r="I31" s="8" t="n">
        <f aca="false">SUMIFS('Pedidos Top10'!$AD$2:$AD$1839,'Pedidos Top10'!$A$2:$A$1839,A31,'Pedidos Top10'!$C$2:$C$1839,C31,'Pedidos Top10'!$D$2:$D$1839,D31)</f>
        <v>129.62</v>
      </c>
      <c r="J31" s="8" t="n">
        <f aca="false">I31-H31</f>
        <v>-84.58</v>
      </c>
      <c r="K31" s="9" t="n">
        <f aca="false">IF(H31=0,0,J31/H31)</f>
        <v>-0.394864612511671</v>
      </c>
      <c r="L31" s="8" t="n">
        <f aca="false">IF(E31=0,0,H31/E31)</f>
        <v>214.2</v>
      </c>
      <c r="M31" s="8" t="n">
        <f aca="false">IF(E31=0,0,I31/E31)</f>
        <v>129.62</v>
      </c>
      <c r="N31" s="8" t="n">
        <f aca="false">IF(G31=0,0,H31/G31)</f>
        <v>3.18276374442793</v>
      </c>
      <c r="O31" s="8" t="n">
        <f aca="false">IF(G31=0,0,I31/G31)</f>
        <v>1.9260029717682</v>
      </c>
      <c r="P31" s="21" t="n">
        <f aca="false">IF(E31=0,0,COUNTIFS('Pedidos Top10'!$A$2:$A$1839,A31,'Pedidos Top10'!$C$2:$C$1839,C31,'Pedidos Top10'!$D$2:$D$1839,D31,'Pedidos Top10'!$AG$2:$AG$1839,"PASSARO")/E31)</f>
        <v>1</v>
      </c>
      <c r="Q31" s="18" t="str">
        <f aca="false">IF(K31&lt;=-0.05,"Passaro compete: "&amp;TEXT(-K31,"0%")&amp;" abaixo de "&amp;D31,IF(K31&lt;0.05,"Empate técnico com "&amp;D31,D31&amp;" é "&amp;TEXT(1-H31/I31,"0%")&amp;" mais barata que a Passaro"))</f>
        <v>Passaro compete: 39% abaixo de Atual Cargas</v>
      </c>
    </row>
    <row r="32" customFormat="false" ht="15" hidden="false" customHeight="false" outlineLevel="0" collapsed="false">
      <c r="A32" s="18" t="s">
        <v>16</v>
      </c>
      <c r="B32" s="18" t="n">
        <v>8</v>
      </c>
      <c r="C32" s="18" t="s">
        <v>89</v>
      </c>
      <c r="D32" s="18" t="s">
        <v>30</v>
      </c>
      <c r="E32" s="17" t="n">
        <f aca="false">COUNTIFS('Pedidos Top10'!$A$2:$A$1839,A32,'Pedidos Top10'!$C$2:$C$1839,C32,'Pedidos Top10'!$D$2:$D$1839,D32)</f>
        <v>11</v>
      </c>
      <c r="F32" s="21" t="n">
        <f aca="false">E32/COUNTIFS('Pedidos Top10'!$A$2:$A$1839,A32,'Pedidos Top10'!$C$2:$C$1839,C32)</f>
        <v>0.916666666666667</v>
      </c>
      <c r="G32" s="19" t="n">
        <f aca="false">SUMIFS('Pedidos Top10'!$J$2:$J$1839,'Pedidos Top10'!$A$2:$A$1839,A32,'Pedidos Top10'!$C$2:$C$1839,C32,'Pedidos Top10'!$D$2:$D$1839,D32)</f>
        <v>646.6</v>
      </c>
      <c r="H32" s="8" t="n">
        <f aca="false">SUMIFS('Pedidos Top10'!$L$2:$L$1839,'Pedidos Top10'!$A$2:$A$1839,A32,'Pedidos Top10'!$C$2:$C$1839,C32,'Pedidos Top10'!$D$2:$D$1839,D32)</f>
        <v>2393.13</v>
      </c>
      <c r="I32" s="8" t="n">
        <f aca="false">SUMIFS('Pedidos Top10'!$AD$2:$AD$1839,'Pedidos Top10'!$A$2:$A$1839,A32,'Pedidos Top10'!$C$2:$C$1839,C32,'Pedidos Top10'!$D$2:$D$1839,D32)</f>
        <v>1873.76</v>
      </c>
      <c r="J32" s="8" t="n">
        <f aca="false">I32-H32</f>
        <v>-519.37</v>
      </c>
      <c r="K32" s="9" t="n">
        <f aca="false">IF(H32=0,0,J32/H32)</f>
        <v>-0.217025401879547</v>
      </c>
      <c r="L32" s="8" t="n">
        <f aca="false">IF(E32=0,0,H32/E32)</f>
        <v>217.557272727273</v>
      </c>
      <c r="M32" s="8" t="n">
        <f aca="false">IF(E32=0,0,I32/E32)</f>
        <v>170.341818181818</v>
      </c>
      <c r="N32" s="8" t="n">
        <f aca="false">IF(G32=0,0,H32/G32)</f>
        <v>3.7010980513455</v>
      </c>
      <c r="O32" s="8" t="n">
        <f aca="false">IF(G32=0,0,I32/G32)</f>
        <v>2.89786575935663</v>
      </c>
      <c r="P32" s="21" t="n">
        <f aca="false">IF(E32=0,0,COUNTIFS('Pedidos Top10'!$A$2:$A$1839,A32,'Pedidos Top10'!$C$2:$C$1839,C32,'Pedidos Top10'!$D$2:$D$1839,D32,'Pedidos Top10'!$AG$2:$AG$1839,"PASSARO")/E32)</f>
        <v>0.909090909090909</v>
      </c>
      <c r="Q32" s="18" t="str">
        <f aca="false">IF(K32&lt;=-0.05,"Passaro compete: "&amp;TEXT(-K32,"0%")&amp;" abaixo de "&amp;D32,IF(K32&lt;0.05,"Empate técnico com "&amp;D32,D32&amp;" é "&amp;TEXT(1-H32/I32,"0%")&amp;" mais barata que a Passaro"))</f>
        <v>Passaro compete: 22% abaixo de DOMINALOG</v>
      </c>
    </row>
    <row r="33" customFormat="false" ht="15" hidden="false" customHeight="false" outlineLevel="0" collapsed="false">
      <c r="A33" s="18" t="s">
        <v>16</v>
      </c>
      <c r="B33" s="18" t="n">
        <v>8</v>
      </c>
      <c r="C33" s="18" t="s">
        <v>89</v>
      </c>
      <c r="D33" s="18" t="s">
        <v>31</v>
      </c>
      <c r="E33" s="17" t="n">
        <f aca="false">COUNTIFS('Pedidos Top10'!$A$2:$A$1839,A33,'Pedidos Top10'!$C$2:$C$1839,C33,'Pedidos Top10'!$D$2:$D$1839,D33)</f>
        <v>1</v>
      </c>
      <c r="F33" s="21" t="n">
        <f aca="false">E33/COUNTIFS('Pedidos Top10'!$A$2:$A$1839,A33,'Pedidos Top10'!$C$2:$C$1839,C33)</f>
        <v>0.0833333333333333</v>
      </c>
      <c r="G33" s="19" t="n">
        <f aca="false">SUMIFS('Pedidos Top10'!$J$2:$J$1839,'Pedidos Top10'!$A$2:$A$1839,A33,'Pedidos Top10'!$C$2:$C$1839,C33,'Pedidos Top10'!$D$2:$D$1839,D33)</f>
        <v>2</v>
      </c>
      <c r="H33" s="8" t="n">
        <f aca="false">SUMIFS('Pedidos Top10'!$L$2:$L$1839,'Pedidos Top10'!$A$2:$A$1839,A33,'Pedidos Top10'!$C$2:$C$1839,C33,'Pedidos Top10'!$D$2:$D$1839,D33)</f>
        <v>27.52</v>
      </c>
      <c r="I33" s="8" t="n">
        <f aca="false">SUMIFS('Pedidos Top10'!$AD$2:$AD$1839,'Pedidos Top10'!$A$2:$A$1839,A33,'Pedidos Top10'!$C$2:$C$1839,C33,'Pedidos Top10'!$D$2:$D$1839,D33)</f>
        <v>117.92</v>
      </c>
      <c r="J33" s="8" t="n">
        <f aca="false">I33-H33</f>
        <v>90.4</v>
      </c>
      <c r="K33" s="9" t="n">
        <f aca="false">IF(H33=0,0,J33/H33)</f>
        <v>3.28488372093023</v>
      </c>
      <c r="L33" s="8" t="n">
        <f aca="false">IF(E33=0,0,H33/E33)</f>
        <v>27.52</v>
      </c>
      <c r="M33" s="8" t="n">
        <f aca="false">IF(E33=0,0,I33/E33)</f>
        <v>117.92</v>
      </c>
      <c r="N33" s="8" t="n">
        <f aca="false">IF(G33=0,0,H33/G33)</f>
        <v>13.76</v>
      </c>
      <c r="O33" s="8" t="n">
        <f aca="false">IF(G33=0,0,I33/G33)</f>
        <v>58.96</v>
      </c>
      <c r="P33" s="21" t="n">
        <f aca="false">IF(E33=0,0,COUNTIFS('Pedidos Top10'!$A$2:$A$1839,A33,'Pedidos Top10'!$C$2:$C$1839,C33,'Pedidos Top10'!$D$2:$D$1839,D33,'Pedidos Top10'!$AG$2:$AG$1839,"PASSARO")/E33)</f>
        <v>0</v>
      </c>
      <c r="Q33" s="18" t="str">
        <f aca="false">IF(K33&lt;=-0.05,"Passaro compete: "&amp;TEXT(-K33,"0%")&amp;" abaixo de "&amp;D33,IF(K33&lt;0.05,"Empate técnico com "&amp;D33,D33&amp;" é "&amp;TEXT(1-H33/I33,"0%")&amp;" mais barata que a Passaro"))</f>
        <v>JADLOG é 77% mais barata que a Passaro</v>
      </c>
    </row>
    <row r="34" customFormat="false" ht="15" hidden="false" customHeight="false" outlineLevel="0" collapsed="false">
      <c r="A34" s="18" t="s">
        <v>16</v>
      </c>
      <c r="B34" s="18" t="n">
        <v>9</v>
      </c>
      <c r="C34" s="18" t="s">
        <v>91</v>
      </c>
      <c r="D34" s="18" t="s">
        <v>30</v>
      </c>
      <c r="E34" s="17" t="n">
        <f aca="false">COUNTIFS('Pedidos Top10'!$A$2:$A$1839,A34,'Pedidos Top10'!$C$2:$C$1839,C34,'Pedidos Top10'!$D$2:$D$1839,D34)</f>
        <v>11</v>
      </c>
      <c r="F34" s="21" t="n">
        <f aca="false">E34/COUNTIFS('Pedidos Top10'!$A$2:$A$1839,A34,'Pedidos Top10'!$C$2:$C$1839,C34)</f>
        <v>0.916666666666667</v>
      </c>
      <c r="G34" s="19" t="n">
        <f aca="false">SUMIFS('Pedidos Top10'!$J$2:$J$1839,'Pedidos Top10'!$A$2:$A$1839,A34,'Pedidos Top10'!$C$2:$C$1839,C34,'Pedidos Top10'!$D$2:$D$1839,D34)</f>
        <v>560.45</v>
      </c>
      <c r="H34" s="8" t="n">
        <f aca="false">SUMIFS('Pedidos Top10'!$L$2:$L$1839,'Pedidos Top10'!$A$2:$A$1839,A34,'Pedidos Top10'!$C$2:$C$1839,C34,'Pedidos Top10'!$D$2:$D$1839,D34)</f>
        <v>2122.92</v>
      </c>
      <c r="I34" s="8" t="n">
        <f aca="false">SUMIFS('Pedidos Top10'!$AD$2:$AD$1839,'Pedidos Top10'!$A$2:$A$1839,A34,'Pedidos Top10'!$C$2:$C$1839,C34,'Pedidos Top10'!$D$2:$D$1839,D34)</f>
        <v>1718.62</v>
      </c>
      <c r="J34" s="8" t="n">
        <f aca="false">I34-H34</f>
        <v>-404.3</v>
      </c>
      <c r="K34" s="9" t="n">
        <f aca="false">IF(H34=0,0,J34/H34)</f>
        <v>-0.190445235807284</v>
      </c>
      <c r="L34" s="8" t="n">
        <f aca="false">IF(E34=0,0,H34/E34)</f>
        <v>192.992727272727</v>
      </c>
      <c r="M34" s="8" t="n">
        <f aca="false">IF(E34=0,0,I34/E34)</f>
        <v>156.238181818182</v>
      </c>
      <c r="N34" s="8" t="n">
        <f aca="false">IF(G34=0,0,H34/G34)</f>
        <v>3.78788473548042</v>
      </c>
      <c r="O34" s="8" t="n">
        <f aca="false">IF(G34=0,0,I34/G34)</f>
        <v>3.06650013382104</v>
      </c>
      <c r="P34" s="21" t="n">
        <f aca="false">IF(E34=0,0,COUNTIFS('Pedidos Top10'!$A$2:$A$1839,A34,'Pedidos Top10'!$C$2:$C$1839,C34,'Pedidos Top10'!$D$2:$D$1839,D34,'Pedidos Top10'!$AG$2:$AG$1839,"PASSARO")/E34)</f>
        <v>0.818181818181818</v>
      </c>
      <c r="Q34" s="18" t="str">
        <f aca="false">IF(K34&lt;=-0.05,"Passaro compete: "&amp;TEXT(-K34,"0%")&amp;" abaixo de "&amp;D34,IF(K34&lt;0.05,"Empate técnico com "&amp;D34,D34&amp;" é "&amp;TEXT(1-H34/I34,"0%")&amp;" mais barata que a Passaro"))</f>
        <v>Passaro compete: 19% abaixo de DOMINALOG</v>
      </c>
    </row>
    <row r="35" customFormat="false" ht="15" hidden="false" customHeight="false" outlineLevel="0" collapsed="false">
      <c r="A35" s="18" t="s">
        <v>16</v>
      </c>
      <c r="B35" s="18" t="n">
        <v>9</v>
      </c>
      <c r="C35" s="18" t="s">
        <v>91</v>
      </c>
      <c r="D35" s="18" t="s">
        <v>35</v>
      </c>
      <c r="E35" s="17" t="n">
        <f aca="false">COUNTIFS('Pedidos Top10'!$A$2:$A$1839,A35,'Pedidos Top10'!$C$2:$C$1839,C35,'Pedidos Top10'!$D$2:$D$1839,D35)</f>
        <v>1</v>
      </c>
      <c r="F35" s="21" t="n">
        <f aca="false">E35/COUNTIFS('Pedidos Top10'!$A$2:$A$1839,A35,'Pedidos Top10'!$C$2:$C$1839,C35)</f>
        <v>0.0833333333333333</v>
      </c>
      <c r="G35" s="19" t="n">
        <f aca="false">SUMIFS('Pedidos Top10'!$J$2:$J$1839,'Pedidos Top10'!$A$2:$A$1839,A35,'Pedidos Top10'!$C$2:$C$1839,C35,'Pedidos Top10'!$D$2:$D$1839,D35)</f>
        <v>55.3</v>
      </c>
      <c r="H35" s="8" t="n">
        <f aca="false">SUMIFS('Pedidos Top10'!$L$2:$L$1839,'Pedidos Top10'!$A$2:$A$1839,A35,'Pedidos Top10'!$C$2:$C$1839,C35,'Pedidos Top10'!$D$2:$D$1839,D35)</f>
        <v>258.11</v>
      </c>
      <c r="I35" s="8" t="n">
        <f aca="false">SUMIFS('Pedidos Top10'!$AD$2:$AD$1839,'Pedidos Top10'!$A$2:$A$1839,A35,'Pedidos Top10'!$C$2:$C$1839,C35,'Pedidos Top10'!$D$2:$D$1839,D35)</f>
        <v>161.38</v>
      </c>
      <c r="J35" s="8" t="n">
        <f aca="false">I35-H35</f>
        <v>-96.73</v>
      </c>
      <c r="K35" s="9" t="n">
        <f aca="false">IF(H35=0,0,J35/H35)</f>
        <v>-0.374762698074464</v>
      </c>
      <c r="L35" s="8" t="n">
        <f aca="false">IF(E35=0,0,H35/E35)</f>
        <v>258.11</v>
      </c>
      <c r="M35" s="8" t="n">
        <f aca="false">IF(E35=0,0,I35/E35)</f>
        <v>161.38</v>
      </c>
      <c r="N35" s="8" t="n">
        <f aca="false">IF(G35=0,0,H35/G35)</f>
        <v>4.66745027124774</v>
      </c>
      <c r="O35" s="8" t="n">
        <f aca="false">IF(G35=0,0,I35/G35)</f>
        <v>2.91826401446655</v>
      </c>
      <c r="P35" s="21" t="n">
        <f aca="false">IF(E35=0,0,COUNTIFS('Pedidos Top10'!$A$2:$A$1839,A35,'Pedidos Top10'!$C$2:$C$1839,C35,'Pedidos Top10'!$D$2:$D$1839,D35,'Pedidos Top10'!$AG$2:$AG$1839,"PASSARO")/E35)</f>
        <v>1</v>
      </c>
      <c r="Q35" s="18" t="str">
        <f aca="false">IF(K35&lt;=-0.05,"Passaro compete: "&amp;TEXT(-K35,"0%")&amp;" abaixo de "&amp;D35,IF(K35&lt;0.05,"Empate técnico com "&amp;D35,D35&amp;" é "&amp;TEXT(1-H35/I35,"0%")&amp;" mais barata que a Passaro"))</f>
        <v>Passaro compete: 37% abaixo de ZAFER</v>
      </c>
    </row>
    <row r="36" customFormat="false" ht="15" hidden="false" customHeight="false" outlineLevel="0" collapsed="false">
      <c r="A36" s="18" t="s">
        <v>16</v>
      </c>
      <c r="B36" s="18" t="n">
        <v>10</v>
      </c>
      <c r="C36" s="18" t="s">
        <v>93</v>
      </c>
      <c r="D36" s="18" t="s">
        <v>30</v>
      </c>
      <c r="E36" s="17" t="n">
        <f aca="false">COUNTIFS('Pedidos Top10'!$A$2:$A$1839,A36,'Pedidos Top10'!$C$2:$C$1839,C36,'Pedidos Top10'!$D$2:$D$1839,D36)</f>
        <v>11</v>
      </c>
      <c r="F36" s="21" t="n">
        <f aca="false">E36/COUNTIFS('Pedidos Top10'!$A$2:$A$1839,A36,'Pedidos Top10'!$C$2:$C$1839,C36)</f>
        <v>1</v>
      </c>
      <c r="G36" s="19" t="n">
        <f aca="false">SUMIFS('Pedidos Top10'!$J$2:$J$1839,'Pedidos Top10'!$A$2:$A$1839,A36,'Pedidos Top10'!$C$2:$C$1839,C36,'Pedidos Top10'!$D$2:$D$1839,D36)</f>
        <v>640.02</v>
      </c>
      <c r="H36" s="8" t="n">
        <f aca="false">SUMIFS('Pedidos Top10'!$L$2:$L$1839,'Pedidos Top10'!$A$2:$A$1839,A36,'Pedidos Top10'!$C$2:$C$1839,C36,'Pedidos Top10'!$D$2:$D$1839,D36)</f>
        <v>2459.04</v>
      </c>
      <c r="I36" s="8" t="n">
        <f aca="false">SUMIFS('Pedidos Top10'!$AD$2:$AD$1839,'Pedidos Top10'!$A$2:$A$1839,A36,'Pedidos Top10'!$C$2:$C$1839,C36,'Pedidos Top10'!$D$2:$D$1839,D36)</f>
        <v>2059.21</v>
      </c>
      <c r="J36" s="8" t="n">
        <f aca="false">I36-H36</f>
        <v>-399.83</v>
      </c>
      <c r="K36" s="9" t="n">
        <f aca="false">IF(H36=0,0,J36/H36)</f>
        <v>-0.162595972411998</v>
      </c>
      <c r="L36" s="8" t="n">
        <f aca="false">IF(E36=0,0,H36/E36)</f>
        <v>223.549090909091</v>
      </c>
      <c r="M36" s="8" t="n">
        <f aca="false">IF(E36=0,0,I36/E36)</f>
        <v>187.200909090909</v>
      </c>
      <c r="N36" s="8" t="n">
        <f aca="false">IF(G36=0,0,H36/G36)</f>
        <v>3.84212993343958</v>
      </c>
      <c r="O36" s="8" t="n">
        <f aca="false">IF(G36=0,0,I36/G36)</f>
        <v>3.21741508077873</v>
      </c>
      <c r="P36" s="21" t="n">
        <f aca="false">IF(E36=0,0,COUNTIFS('Pedidos Top10'!$A$2:$A$1839,A36,'Pedidos Top10'!$C$2:$C$1839,C36,'Pedidos Top10'!$D$2:$D$1839,D36,'Pedidos Top10'!$AG$2:$AG$1839,"PASSARO")/E36)</f>
        <v>0.636363636363636</v>
      </c>
      <c r="Q36" s="18" t="str">
        <f aca="false">IF(K36&lt;=-0.05,"Passaro compete: "&amp;TEXT(-K36,"0%")&amp;" abaixo de "&amp;D36,IF(K36&lt;0.05,"Empate técnico com "&amp;D36,D36&amp;" é "&amp;TEXT(1-H36/I36,"0%")&amp;" mais barata que a Passaro"))</f>
        <v>Passaro compete: 16% abaixo de DOMINALOG</v>
      </c>
    </row>
    <row r="37" customFormat="false" ht="15" hidden="false" customHeight="false" outlineLevel="0" collapsed="false">
      <c r="A37" s="18" t="s">
        <v>17</v>
      </c>
      <c r="B37" s="18" t="n">
        <v>1</v>
      </c>
      <c r="C37" s="18" t="s">
        <v>95</v>
      </c>
      <c r="D37" s="18" t="s">
        <v>30</v>
      </c>
      <c r="E37" s="17" t="n">
        <f aca="false">COUNTIFS('Pedidos Top10'!$A$2:$A$1839,A37,'Pedidos Top10'!$C$2:$C$1839,C37,'Pedidos Top10'!$D$2:$D$1839,D37)</f>
        <v>167</v>
      </c>
      <c r="F37" s="21" t="n">
        <f aca="false">E37/COUNTIFS('Pedidos Top10'!$A$2:$A$1839,A37,'Pedidos Top10'!$C$2:$C$1839,C37)</f>
        <v>0.897849462365591</v>
      </c>
      <c r="G37" s="19" t="n">
        <f aca="false">SUMIFS('Pedidos Top10'!$J$2:$J$1839,'Pedidos Top10'!$A$2:$A$1839,A37,'Pedidos Top10'!$C$2:$C$1839,C37,'Pedidos Top10'!$D$2:$D$1839,D37)</f>
        <v>8862.07</v>
      </c>
      <c r="H37" s="8" t="n">
        <f aca="false">SUMIFS('Pedidos Top10'!$L$2:$L$1839,'Pedidos Top10'!$A$2:$A$1839,A37,'Pedidos Top10'!$C$2:$C$1839,C37,'Pedidos Top10'!$D$2:$D$1839,D37)</f>
        <v>31443.58</v>
      </c>
      <c r="I37" s="8" t="n">
        <f aca="false">SUMIFS('Pedidos Top10'!$AD$2:$AD$1839,'Pedidos Top10'!$A$2:$A$1839,A37,'Pedidos Top10'!$C$2:$C$1839,C37,'Pedidos Top10'!$D$2:$D$1839,D37)</f>
        <v>38265.03</v>
      </c>
      <c r="J37" s="8" t="n">
        <f aca="false">I37-H37</f>
        <v>6821.45</v>
      </c>
      <c r="K37" s="9" t="n">
        <f aca="false">IF(H37=0,0,J37/H37)</f>
        <v>0.216942536441461</v>
      </c>
      <c r="L37" s="8" t="n">
        <f aca="false">IF(E37=0,0,H37/E37)</f>
        <v>188.284910179641</v>
      </c>
      <c r="M37" s="8" t="n">
        <f aca="false">IF(E37=0,0,I37/E37)</f>
        <v>229.131916167665</v>
      </c>
      <c r="N37" s="8" t="n">
        <f aca="false">IF(G37=0,0,H37/G37)</f>
        <v>3.54810783485123</v>
      </c>
      <c r="O37" s="8" t="n">
        <f aca="false">IF(G37=0,0,I37/G37)</f>
        <v>4.31784334811167</v>
      </c>
      <c r="P37" s="21" t="n">
        <f aca="false">IF(E37=0,0,COUNTIFS('Pedidos Top10'!$A$2:$A$1839,A37,'Pedidos Top10'!$C$2:$C$1839,C37,'Pedidos Top10'!$D$2:$D$1839,D37,'Pedidos Top10'!$AG$2:$AG$1839,"PASSARO")/E37)</f>
        <v>0.0838323353293413</v>
      </c>
      <c r="Q37" s="18" t="str">
        <f aca="false">IF(K37&lt;=-0.05,"Passaro compete: "&amp;TEXT(-K37,"0%")&amp;" abaixo de "&amp;D37,IF(K37&lt;0.05,"Empate técnico com "&amp;D37,D37&amp;" é "&amp;TEXT(1-H37/I37,"0%")&amp;" mais barata que a Passaro"))</f>
        <v>DOMINALOG é 18% mais barata que a Passaro</v>
      </c>
    </row>
    <row r="38" customFormat="false" ht="15" hidden="false" customHeight="false" outlineLevel="0" collapsed="false">
      <c r="A38" s="18" t="s">
        <v>17</v>
      </c>
      <c r="B38" s="18" t="n">
        <v>1</v>
      </c>
      <c r="C38" s="18" t="s">
        <v>95</v>
      </c>
      <c r="D38" s="18" t="s">
        <v>31</v>
      </c>
      <c r="E38" s="17" t="n">
        <f aca="false">COUNTIFS('Pedidos Top10'!$A$2:$A$1839,A38,'Pedidos Top10'!$C$2:$C$1839,C38,'Pedidos Top10'!$D$2:$D$1839,D38)</f>
        <v>19</v>
      </c>
      <c r="F38" s="21" t="n">
        <f aca="false">E38/COUNTIFS('Pedidos Top10'!$A$2:$A$1839,A38,'Pedidos Top10'!$C$2:$C$1839,C38)</f>
        <v>0.102150537634409</v>
      </c>
      <c r="G38" s="19" t="n">
        <f aca="false">SUMIFS('Pedidos Top10'!$J$2:$J$1839,'Pedidos Top10'!$A$2:$A$1839,A38,'Pedidos Top10'!$C$2:$C$1839,C38,'Pedidos Top10'!$D$2:$D$1839,D38)</f>
        <v>328.94</v>
      </c>
      <c r="H38" s="8" t="n">
        <f aca="false">SUMIFS('Pedidos Top10'!$L$2:$L$1839,'Pedidos Top10'!$A$2:$A$1839,A38,'Pedidos Top10'!$C$2:$C$1839,C38,'Pedidos Top10'!$D$2:$D$1839,D38)</f>
        <v>1533.2</v>
      </c>
      <c r="I38" s="8" t="n">
        <f aca="false">SUMIFS('Pedidos Top10'!$AD$2:$AD$1839,'Pedidos Top10'!$A$2:$A$1839,A38,'Pedidos Top10'!$C$2:$C$1839,C38,'Pedidos Top10'!$D$2:$D$1839,D38)</f>
        <v>3525.1</v>
      </c>
      <c r="J38" s="8" t="n">
        <f aca="false">I38-H38</f>
        <v>1991.9</v>
      </c>
      <c r="K38" s="9" t="n">
        <f aca="false">IF(H38=0,0,J38/H38)</f>
        <v>1.29917818940777</v>
      </c>
      <c r="L38" s="8" t="n">
        <f aca="false">IF(E38=0,0,H38/E38)</f>
        <v>80.6947368421053</v>
      </c>
      <c r="M38" s="8" t="n">
        <f aca="false">IF(E38=0,0,I38/E38)</f>
        <v>185.531578947368</v>
      </c>
      <c r="N38" s="8" t="n">
        <f aca="false">IF(G38=0,0,H38/G38)</f>
        <v>4.66103240712592</v>
      </c>
      <c r="O38" s="8" t="n">
        <f aca="false">IF(G38=0,0,I38/G38)</f>
        <v>10.7165440505867</v>
      </c>
      <c r="P38" s="21" t="n">
        <f aca="false">IF(E38=0,0,COUNTIFS('Pedidos Top10'!$A$2:$A$1839,A38,'Pedidos Top10'!$C$2:$C$1839,C38,'Pedidos Top10'!$D$2:$D$1839,D38,'Pedidos Top10'!$AG$2:$AG$1839,"PASSARO")/E38)</f>
        <v>0</v>
      </c>
      <c r="Q38" s="18" t="str">
        <f aca="false">IF(K38&lt;=-0.05,"Passaro compete: "&amp;TEXT(-K38,"0%")&amp;" abaixo de "&amp;D38,IF(K38&lt;0.05,"Empate técnico com "&amp;D38,D38&amp;" é "&amp;TEXT(1-H38/I38,"0%")&amp;" mais barata que a Passaro"))</f>
        <v>JADLOG é 57% mais barata que a Passaro</v>
      </c>
    </row>
    <row r="39" customFormat="false" ht="15" hidden="false" customHeight="false" outlineLevel="0" collapsed="false">
      <c r="A39" s="18" t="s">
        <v>17</v>
      </c>
      <c r="B39" s="18" t="n">
        <v>2</v>
      </c>
      <c r="C39" s="18" t="s">
        <v>97</v>
      </c>
      <c r="D39" s="18" t="s">
        <v>30</v>
      </c>
      <c r="E39" s="17" t="n">
        <f aca="false">COUNTIFS('Pedidos Top10'!$A$2:$A$1839,A39,'Pedidos Top10'!$C$2:$C$1839,C39,'Pedidos Top10'!$D$2:$D$1839,D39)</f>
        <v>14</v>
      </c>
      <c r="F39" s="21" t="n">
        <f aca="false">E39/COUNTIFS('Pedidos Top10'!$A$2:$A$1839,A39,'Pedidos Top10'!$C$2:$C$1839,C39)</f>
        <v>0.933333333333333</v>
      </c>
      <c r="G39" s="19" t="n">
        <f aca="false">SUMIFS('Pedidos Top10'!$J$2:$J$1839,'Pedidos Top10'!$A$2:$A$1839,A39,'Pedidos Top10'!$C$2:$C$1839,C39,'Pedidos Top10'!$D$2:$D$1839,D39)</f>
        <v>760.12</v>
      </c>
      <c r="H39" s="8" t="n">
        <f aca="false">SUMIFS('Pedidos Top10'!$L$2:$L$1839,'Pedidos Top10'!$A$2:$A$1839,A39,'Pedidos Top10'!$C$2:$C$1839,C39,'Pedidos Top10'!$D$2:$D$1839,D39)</f>
        <v>3338.55</v>
      </c>
      <c r="I39" s="8" t="n">
        <f aca="false">SUMIFS('Pedidos Top10'!$AD$2:$AD$1839,'Pedidos Top10'!$A$2:$A$1839,A39,'Pedidos Top10'!$C$2:$C$1839,C39,'Pedidos Top10'!$D$2:$D$1839,D39)</f>
        <v>4305.66</v>
      </c>
      <c r="J39" s="8" t="n">
        <f aca="false">I39-H39</f>
        <v>967.11</v>
      </c>
      <c r="K39" s="9" t="n">
        <f aca="false">IF(H39=0,0,J39/H39)</f>
        <v>0.289679651345644</v>
      </c>
      <c r="L39" s="8" t="n">
        <f aca="false">IF(E39=0,0,H39/E39)</f>
        <v>238.467857142857</v>
      </c>
      <c r="M39" s="8" t="n">
        <f aca="false">IF(E39=0,0,I39/E39)</f>
        <v>307.547142857143</v>
      </c>
      <c r="N39" s="8" t="n">
        <f aca="false">IF(G39=0,0,H39/G39)</f>
        <v>4.39213545229701</v>
      </c>
      <c r="O39" s="8" t="n">
        <f aca="false">IF(G39=0,0,I39/G39)</f>
        <v>5.66444771878125</v>
      </c>
      <c r="P39" s="21" t="n">
        <f aca="false">IF(E39=0,0,COUNTIFS('Pedidos Top10'!$A$2:$A$1839,A39,'Pedidos Top10'!$C$2:$C$1839,C39,'Pedidos Top10'!$D$2:$D$1839,D39,'Pedidos Top10'!$AG$2:$AG$1839,"PASSARO")/E39)</f>
        <v>0.0714285714285714</v>
      </c>
      <c r="Q39" s="18" t="str">
        <f aca="false">IF(K39&lt;=-0.05,"Passaro compete: "&amp;TEXT(-K39,"0%")&amp;" abaixo de "&amp;D39,IF(K39&lt;0.05,"Empate técnico com "&amp;D39,D39&amp;" é "&amp;TEXT(1-H39/I39,"0%")&amp;" mais barata que a Passaro"))</f>
        <v>DOMINALOG é 22% mais barata que a Passaro</v>
      </c>
    </row>
    <row r="40" customFormat="false" ht="15" hidden="false" customHeight="false" outlineLevel="0" collapsed="false">
      <c r="A40" s="18" t="s">
        <v>17</v>
      </c>
      <c r="B40" s="18" t="n">
        <v>2</v>
      </c>
      <c r="C40" s="18" t="s">
        <v>97</v>
      </c>
      <c r="D40" s="18" t="s">
        <v>31</v>
      </c>
      <c r="E40" s="17" t="n">
        <f aca="false">COUNTIFS('Pedidos Top10'!$A$2:$A$1839,A40,'Pedidos Top10'!$C$2:$C$1839,C40,'Pedidos Top10'!$D$2:$D$1839,D40)</f>
        <v>1</v>
      </c>
      <c r="F40" s="21" t="n">
        <f aca="false">E40/COUNTIFS('Pedidos Top10'!$A$2:$A$1839,A40,'Pedidos Top10'!$C$2:$C$1839,C40)</f>
        <v>0.0666666666666667</v>
      </c>
      <c r="G40" s="19" t="n">
        <f aca="false">SUMIFS('Pedidos Top10'!$J$2:$J$1839,'Pedidos Top10'!$A$2:$A$1839,A40,'Pedidos Top10'!$C$2:$C$1839,C40,'Pedidos Top10'!$D$2:$D$1839,D40)</f>
        <v>19.5</v>
      </c>
      <c r="H40" s="8" t="n">
        <f aca="false">SUMIFS('Pedidos Top10'!$L$2:$L$1839,'Pedidos Top10'!$A$2:$A$1839,A40,'Pedidos Top10'!$C$2:$C$1839,C40,'Pedidos Top10'!$D$2:$D$1839,D40)</f>
        <v>94.54</v>
      </c>
      <c r="I40" s="8" t="n">
        <f aca="false">SUMIFS('Pedidos Top10'!$AD$2:$AD$1839,'Pedidos Top10'!$A$2:$A$1839,A40,'Pedidos Top10'!$C$2:$C$1839,C40,'Pedidos Top10'!$D$2:$D$1839,D40)</f>
        <v>267.43</v>
      </c>
      <c r="J40" s="8" t="n">
        <f aca="false">I40-H40</f>
        <v>172.89</v>
      </c>
      <c r="K40" s="9" t="n">
        <f aca="false">IF(H40=0,0,J40/H40)</f>
        <v>1.82874973556167</v>
      </c>
      <c r="L40" s="8" t="n">
        <f aca="false">IF(E40=0,0,H40/E40)</f>
        <v>94.54</v>
      </c>
      <c r="M40" s="8" t="n">
        <f aca="false">IF(E40=0,0,I40/E40)</f>
        <v>267.43</v>
      </c>
      <c r="N40" s="8" t="n">
        <f aca="false">IF(G40=0,0,H40/G40)</f>
        <v>4.84820512820513</v>
      </c>
      <c r="O40" s="8" t="n">
        <f aca="false">IF(G40=0,0,I40/G40)</f>
        <v>13.714358974359</v>
      </c>
      <c r="P40" s="21" t="n">
        <f aca="false">IF(E40=0,0,COUNTIFS('Pedidos Top10'!$A$2:$A$1839,A40,'Pedidos Top10'!$C$2:$C$1839,C40,'Pedidos Top10'!$D$2:$D$1839,D40,'Pedidos Top10'!$AG$2:$AG$1839,"PASSARO")/E40)</f>
        <v>0</v>
      </c>
      <c r="Q40" s="18" t="str">
        <f aca="false">IF(K40&lt;=-0.05,"Passaro compete: "&amp;TEXT(-K40,"0%")&amp;" abaixo de "&amp;D40,IF(K40&lt;0.05,"Empate técnico com "&amp;D40,D40&amp;" é "&amp;TEXT(1-H40/I40,"0%")&amp;" mais barata que a Passaro"))</f>
        <v>JADLOG é 65% mais barata que a Passaro</v>
      </c>
    </row>
    <row r="41" customFormat="false" ht="15" hidden="false" customHeight="false" outlineLevel="0" collapsed="false">
      <c r="A41" s="18" t="s">
        <v>17</v>
      </c>
      <c r="B41" s="18" t="n">
        <v>3</v>
      </c>
      <c r="C41" s="18" t="s">
        <v>99</v>
      </c>
      <c r="D41" s="18" t="s">
        <v>30</v>
      </c>
      <c r="E41" s="17" t="n">
        <f aca="false">COUNTIFS('Pedidos Top10'!$A$2:$A$1839,A41,'Pedidos Top10'!$C$2:$C$1839,C41,'Pedidos Top10'!$D$2:$D$1839,D41)</f>
        <v>12</v>
      </c>
      <c r="F41" s="21" t="n">
        <f aca="false">E41/COUNTIFS('Pedidos Top10'!$A$2:$A$1839,A41,'Pedidos Top10'!$C$2:$C$1839,C41)</f>
        <v>0.857142857142857</v>
      </c>
      <c r="G41" s="19" t="n">
        <f aca="false">SUMIFS('Pedidos Top10'!$J$2:$J$1839,'Pedidos Top10'!$A$2:$A$1839,A41,'Pedidos Top10'!$C$2:$C$1839,C41,'Pedidos Top10'!$D$2:$D$1839,D41)</f>
        <v>682.14</v>
      </c>
      <c r="H41" s="8" t="n">
        <f aca="false">SUMIFS('Pedidos Top10'!$L$2:$L$1839,'Pedidos Top10'!$A$2:$A$1839,A41,'Pedidos Top10'!$C$2:$C$1839,C41,'Pedidos Top10'!$D$2:$D$1839,D41)</f>
        <v>2685.97</v>
      </c>
      <c r="I41" s="8" t="n">
        <f aca="false">SUMIFS('Pedidos Top10'!$AD$2:$AD$1839,'Pedidos Top10'!$A$2:$A$1839,A41,'Pedidos Top10'!$C$2:$C$1839,C41,'Pedidos Top10'!$D$2:$D$1839,D41)</f>
        <v>2752.77</v>
      </c>
      <c r="J41" s="8" t="n">
        <f aca="false">I41-H41</f>
        <v>66.8000000000002</v>
      </c>
      <c r="K41" s="9" t="n">
        <f aca="false">IF(H41=0,0,J41/H41)</f>
        <v>0.0248699724866622</v>
      </c>
      <c r="L41" s="8" t="n">
        <f aca="false">IF(E41=0,0,H41/E41)</f>
        <v>223.830833333333</v>
      </c>
      <c r="M41" s="8" t="n">
        <f aca="false">IF(E41=0,0,I41/E41)</f>
        <v>229.3975</v>
      </c>
      <c r="N41" s="8" t="n">
        <f aca="false">IF(G41=0,0,H41/G41)</f>
        <v>3.93756413639429</v>
      </c>
      <c r="O41" s="8" t="n">
        <f aca="false">IF(G41=0,0,I41/G41)</f>
        <v>4.03549124813088</v>
      </c>
      <c r="P41" s="21" t="n">
        <f aca="false">IF(E41=0,0,COUNTIFS('Pedidos Top10'!$A$2:$A$1839,A41,'Pedidos Top10'!$C$2:$C$1839,C41,'Pedidos Top10'!$D$2:$D$1839,D41,'Pedidos Top10'!$AG$2:$AG$1839,"PASSARO")/E41)</f>
        <v>0.166666666666667</v>
      </c>
      <c r="Q41" s="18" t="str">
        <f aca="false">IF(K41&lt;=-0.05,"Passaro compete: "&amp;TEXT(-K41,"0%")&amp;" abaixo de "&amp;D41,IF(K41&lt;0.05,"Empate técnico com "&amp;D41,D41&amp;" é "&amp;TEXT(1-H41/I41,"0%")&amp;" mais barata que a Passaro"))</f>
        <v>Empate técnico com DOMINALOG</v>
      </c>
    </row>
    <row r="42" customFormat="false" ht="15" hidden="false" customHeight="false" outlineLevel="0" collapsed="false">
      <c r="A42" s="18" t="s">
        <v>17</v>
      </c>
      <c r="B42" s="18" t="n">
        <v>3</v>
      </c>
      <c r="C42" s="18" t="s">
        <v>99</v>
      </c>
      <c r="D42" s="18" t="s">
        <v>31</v>
      </c>
      <c r="E42" s="17" t="n">
        <f aca="false">COUNTIFS('Pedidos Top10'!$A$2:$A$1839,A42,'Pedidos Top10'!$C$2:$C$1839,C42,'Pedidos Top10'!$D$2:$D$1839,D42)</f>
        <v>2</v>
      </c>
      <c r="F42" s="21" t="n">
        <f aca="false">E42/COUNTIFS('Pedidos Top10'!$A$2:$A$1839,A42,'Pedidos Top10'!$C$2:$C$1839,C42)</f>
        <v>0.142857142857143</v>
      </c>
      <c r="G42" s="19" t="n">
        <f aca="false">SUMIFS('Pedidos Top10'!$J$2:$J$1839,'Pedidos Top10'!$A$2:$A$1839,A42,'Pedidos Top10'!$C$2:$C$1839,C42,'Pedidos Top10'!$D$2:$D$1839,D42)</f>
        <v>41.9</v>
      </c>
      <c r="H42" s="8" t="n">
        <f aca="false">SUMIFS('Pedidos Top10'!$L$2:$L$1839,'Pedidos Top10'!$A$2:$A$1839,A42,'Pedidos Top10'!$C$2:$C$1839,C42,'Pedidos Top10'!$D$2:$D$1839,D42)</f>
        <v>188.41</v>
      </c>
      <c r="I42" s="8" t="n">
        <f aca="false">SUMIFS('Pedidos Top10'!$AD$2:$AD$1839,'Pedidos Top10'!$A$2:$A$1839,A42,'Pedidos Top10'!$C$2:$C$1839,C42,'Pedidos Top10'!$D$2:$D$1839,D42)</f>
        <v>376.25</v>
      </c>
      <c r="J42" s="8" t="n">
        <f aca="false">I42-H42</f>
        <v>187.84</v>
      </c>
      <c r="K42" s="9" t="n">
        <f aca="false">IF(H42=0,0,J42/H42)</f>
        <v>0.996974682872459</v>
      </c>
      <c r="L42" s="8" t="n">
        <f aca="false">IF(E42=0,0,H42/E42)</f>
        <v>94.205</v>
      </c>
      <c r="M42" s="8" t="n">
        <f aca="false">IF(E42=0,0,I42/E42)</f>
        <v>188.125</v>
      </c>
      <c r="N42" s="8" t="n">
        <f aca="false">IF(G42=0,0,H42/G42)</f>
        <v>4.49665871121719</v>
      </c>
      <c r="O42" s="8" t="n">
        <f aca="false">IF(G42=0,0,I42/G42)</f>
        <v>8.97971360381862</v>
      </c>
      <c r="P42" s="21" t="n">
        <f aca="false">IF(E42=0,0,COUNTIFS('Pedidos Top10'!$A$2:$A$1839,A42,'Pedidos Top10'!$C$2:$C$1839,C42,'Pedidos Top10'!$D$2:$D$1839,D42,'Pedidos Top10'!$AG$2:$AG$1839,"PASSARO")/E42)</f>
        <v>0</v>
      </c>
      <c r="Q42" s="18" t="str">
        <f aca="false">IF(K42&lt;=-0.05,"Passaro compete: "&amp;TEXT(-K42,"0%")&amp;" abaixo de "&amp;D42,IF(K42&lt;0.05,"Empate técnico com "&amp;D42,D42&amp;" é "&amp;TEXT(1-H42/I42,"0%")&amp;" mais barata que a Passaro"))</f>
        <v>JADLOG é 50% mais barata que a Passaro</v>
      </c>
    </row>
    <row r="43" customFormat="false" ht="15" hidden="false" customHeight="false" outlineLevel="0" collapsed="false">
      <c r="A43" s="18" t="s">
        <v>17</v>
      </c>
      <c r="B43" s="18" t="n">
        <v>4</v>
      </c>
      <c r="C43" s="18" t="s">
        <v>101</v>
      </c>
      <c r="D43" s="18" t="s">
        <v>30</v>
      </c>
      <c r="E43" s="17" t="n">
        <f aca="false">COUNTIFS('Pedidos Top10'!$A$2:$A$1839,A43,'Pedidos Top10'!$C$2:$C$1839,C43,'Pedidos Top10'!$D$2:$D$1839,D43)</f>
        <v>11</v>
      </c>
      <c r="F43" s="21" t="n">
        <f aca="false">E43/COUNTIFS('Pedidos Top10'!$A$2:$A$1839,A43,'Pedidos Top10'!$C$2:$C$1839,C43)</f>
        <v>1</v>
      </c>
      <c r="G43" s="19" t="n">
        <f aca="false">SUMIFS('Pedidos Top10'!$J$2:$J$1839,'Pedidos Top10'!$A$2:$A$1839,A43,'Pedidos Top10'!$C$2:$C$1839,C43,'Pedidos Top10'!$D$2:$D$1839,D43)</f>
        <v>588.5</v>
      </c>
      <c r="H43" s="8" t="n">
        <f aca="false">SUMIFS('Pedidos Top10'!$L$2:$L$1839,'Pedidos Top10'!$A$2:$A$1839,A43,'Pedidos Top10'!$C$2:$C$1839,C43,'Pedidos Top10'!$D$2:$D$1839,D43)</f>
        <v>2327.22</v>
      </c>
      <c r="I43" s="8" t="n">
        <f aca="false">SUMIFS('Pedidos Top10'!$AD$2:$AD$1839,'Pedidos Top10'!$A$2:$A$1839,A43,'Pedidos Top10'!$C$2:$C$1839,C43,'Pedidos Top10'!$D$2:$D$1839,D43)</f>
        <v>2489.83</v>
      </c>
      <c r="J43" s="8" t="n">
        <f aca="false">I43-H43</f>
        <v>162.61</v>
      </c>
      <c r="K43" s="9" t="n">
        <f aca="false">IF(H43=0,0,J43/H43)</f>
        <v>0.069873067436684</v>
      </c>
      <c r="L43" s="8" t="n">
        <f aca="false">IF(E43=0,0,H43/E43)</f>
        <v>211.565454545455</v>
      </c>
      <c r="M43" s="8" t="n">
        <f aca="false">IF(E43=0,0,I43/E43)</f>
        <v>226.348181818182</v>
      </c>
      <c r="N43" s="8" t="n">
        <f aca="false">IF(G43=0,0,H43/G43)</f>
        <v>3.95449447748513</v>
      </c>
      <c r="O43" s="8" t="n">
        <f aca="false">IF(G43=0,0,I43/G43)</f>
        <v>4.23080713678845</v>
      </c>
      <c r="P43" s="21" t="n">
        <f aca="false">IF(E43=0,0,COUNTIFS('Pedidos Top10'!$A$2:$A$1839,A43,'Pedidos Top10'!$C$2:$C$1839,C43,'Pedidos Top10'!$D$2:$D$1839,D43,'Pedidos Top10'!$AG$2:$AG$1839,"PASSARO")/E43)</f>
        <v>0.272727272727273</v>
      </c>
      <c r="Q43" s="18" t="str">
        <f aca="false">IF(K43&lt;=-0.05,"Passaro compete: "&amp;TEXT(-K43,"0%")&amp;" abaixo de "&amp;D43,IF(K43&lt;0.05,"Empate técnico com "&amp;D43,D43&amp;" é "&amp;TEXT(1-H43/I43,"0%")&amp;" mais barata que a Passaro"))</f>
        <v>DOMINALOG é 7% mais barata que a Passaro</v>
      </c>
    </row>
    <row r="44" customFormat="false" ht="15" hidden="false" customHeight="false" outlineLevel="0" collapsed="false">
      <c r="A44" s="18" t="s">
        <v>17</v>
      </c>
      <c r="B44" s="18" t="n">
        <v>5</v>
      </c>
      <c r="C44" s="18" t="s">
        <v>102</v>
      </c>
      <c r="D44" s="18" t="s">
        <v>30</v>
      </c>
      <c r="E44" s="17" t="n">
        <f aca="false">COUNTIFS('Pedidos Top10'!$A$2:$A$1839,A44,'Pedidos Top10'!$C$2:$C$1839,C44,'Pedidos Top10'!$D$2:$D$1839,D44)</f>
        <v>6</v>
      </c>
      <c r="F44" s="21" t="n">
        <f aca="false">E44/COUNTIFS('Pedidos Top10'!$A$2:$A$1839,A44,'Pedidos Top10'!$C$2:$C$1839,C44)</f>
        <v>1</v>
      </c>
      <c r="G44" s="19" t="n">
        <f aca="false">SUMIFS('Pedidos Top10'!$J$2:$J$1839,'Pedidos Top10'!$A$2:$A$1839,A44,'Pedidos Top10'!$C$2:$C$1839,C44,'Pedidos Top10'!$D$2:$D$1839,D44)</f>
        <v>355.82</v>
      </c>
      <c r="H44" s="8" t="n">
        <f aca="false">SUMIFS('Pedidos Top10'!$L$2:$L$1839,'Pedidos Top10'!$A$2:$A$1839,A44,'Pedidos Top10'!$C$2:$C$1839,C44,'Pedidos Top10'!$D$2:$D$1839,D44)</f>
        <v>1419.46</v>
      </c>
      <c r="I44" s="8" t="n">
        <f aca="false">SUMIFS('Pedidos Top10'!$AD$2:$AD$1839,'Pedidos Top10'!$A$2:$A$1839,A44,'Pedidos Top10'!$C$2:$C$1839,C44,'Pedidos Top10'!$D$2:$D$1839,D44)</f>
        <v>1929.27</v>
      </c>
      <c r="J44" s="8" t="n">
        <f aca="false">I44-H44</f>
        <v>509.81</v>
      </c>
      <c r="K44" s="9" t="n">
        <f aca="false">IF(H44=0,0,J44/H44)</f>
        <v>0.359157707860736</v>
      </c>
      <c r="L44" s="8" t="n">
        <f aca="false">IF(E44=0,0,H44/E44)</f>
        <v>236.576666666667</v>
      </c>
      <c r="M44" s="8" t="n">
        <f aca="false">IF(E44=0,0,I44/E44)</f>
        <v>321.545</v>
      </c>
      <c r="N44" s="8" t="n">
        <f aca="false">IF(G44=0,0,H44/G44)</f>
        <v>3.98926423472542</v>
      </c>
      <c r="O44" s="8" t="n">
        <f aca="false">IF(G44=0,0,I44/G44)</f>
        <v>5.42203923332022</v>
      </c>
      <c r="P44" s="21" t="n">
        <f aca="false">IF(E44=0,0,COUNTIFS('Pedidos Top10'!$A$2:$A$1839,A44,'Pedidos Top10'!$C$2:$C$1839,C44,'Pedidos Top10'!$D$2:$D$1839,D44,'Pedidos Top10'!$AG$2:$AG$1839,"PASSARO")/E44)</f>
        <v>0</v>
      </c>
      <c r="Q44" s="18" t="str">
        <f aca="false">IF(K44&lt;=-0.05,"Passaro compete: "&amp;TEXT(-K44,"0%")&amp;" abaixo de "&amp;D44,IF(K44&lt;0.05,"Empate técnico com "&amp;D44,D44&amp;" é "&amp;TEXT(1-H44/I44,"0%")&amp;" mais barata que a Passaro"))</f>
        <v>DOMINALOG é 26% mais barata que a Passaro</v>
      </c>
    </row>
    <row r="45" customFormat="false" ht="15" hidden="false" customHeight="false" outlineLevel="0" collapsed="false">
      <c r="A45" s="18" t="s">
        <v>17</v>
      </c>
      <c r="B45" s="18" t="n">
        <v>6</v>
      </c>
      <c r="C45" s="18" t="s">
        <v>103</v>
      </c>
      <c r="D45" s="18" t="s">
        <v>33</v>
      </c>
      <c r="E45" s="17" t="n">
        <f aca="false">COUNTIFS('Pedidos Top10'!$A$2:$A$1839,A45,'Pedidos Top10'!$C$2:$C$1839,C45,'Pedidos Top10'!$D$2:$D$1839,D45)</f>
        <v>3</v>
      </c>
      <c r="F45" s="21" t="n">
        <f aca="false">E45/COUNTIFS('Pedidos Top10'!$A$2:$A$1839,A45,'Pedidos Top10'!$C$2:$C$1839,C45)</f>
        <v>0.5</v>
      </c>
      <c r="G45" s="19" t="n">
        <f aca="false">SUMIFS('Pedidos Top10'!$J$2:$J$1839,'Pedidos Top10'!$A$2:$A$1839,A45,'Pedidos Top10'!$C$2:$C$1839,C45,'Pedidos Top10'!$D$2:$D$1839,D45)</f>
        <v>166.6</v>
      </c>
      <c r="H45" s="8" t="n">
        <f aca="false">SUMIFS('Pedidos Top10'!$L$2:$L$1839,'Pedidos Top10'!$A$2:$A$1839,A45,'Pedidos Top10'!$C$2:$C$1839,C45,'Pedidos Top10'!$D$2:$D$1839,D45)</f>
        <v>750.98</v>
      </c>
      <c r="I45" s="8" t="n">
        <f aca="false">SUMIFS('Pedidos Top10'!$AD$2:$AD$1839,'Pedidos Top10'!$A$2:$A$1839,A45,'Pedidos Top10'!$C$2:$C$1839,C45,'Pedidos Top10'!$D$2:$D$1839,D45)</f>
        <v>732.22</v>
      </c>
      <c r="J45" s="8" t="n">
        <f aca="false">I45-H45</f>
        <v>-18.76</v>
      </c>
      <c r="K45" s="9" t="n">
        <f aca="false">IF(H45=0,0,J45/H45)</f>
        <v>-0.0249806918959226</v>
      </c>
      <c r="L45" s="8" t="n">
        <f aca="false">IF(E45=0,0,H45/E45)</f>
        <v>250.326666666667</v>
      </c>
      <c r="M45" s="8" t="n">
        <f aca="false">IF(E45=0,0,I45/E45)</f>
        <v>244.073333333333</v>
      </c>
      <c r="N45" s="8" t="n">
        <f aca="false">IF(G45=0,0,H45/G45)</f>
        <v>4.50768307322929</v>
      </c>
      <c r="O45" s="8" t="n">
        <f aca="false">IF(G45=0,0,I45/G45)</f>
        <v>4.39507803121249</v>
      </c>
      <c r="P45" s="21" t="n">
        <f aca="false">IF(E45=0,0,COUNTIFS('Pedidos Top10'!$A$2:$A$1839,A45,'Pedidos Top10'!$C$2:$C$1839,C45,'Pedidos Top10'!$D$2:$D$1839,D45,'Pedidos Top10'!$AG$2:$AG$1839,"PASSARO")/E45)</f>
        <v>0.333333333333333</v>
      </c>
      <c r="Q45" s="18" t="str">
        <f aca="false">IF(K45&lt;=-0.05,"Passaro compete: "&amp;TEXT(-K45,"0%")&amp;" abaixo de "&amp;D45,IF(K45&lt;0.05,"Empate técnico com "&amp;D45,D45&amp;" é "&amp;TEXT(1-H45/I45,"0%")&amp;" mais barata que a Passaro"))</f>
        <v>Empate técnico com Atual Cargas</v>
      </c>
    </row>
    <row r="46" customFormat="false" ht="15" hidden="false" customHeight="false" outlineLevel="0" collapsed="false">
      <c r="A46" s="18" t="s">
        <v>17</v>
      </c>
      <c r="B46" s="18" t="n">
        <v>6</v>
      </c>
      <c r="C46" s="18" t="s">
        <v>103</v>
      </c>
      <c r="D46" s="18" t="s">
        <v>30</v>
      </c>
      <c r="E46" s="17" t="n">
        <f aca="false">COUNTIFS('Pedidos Top10'!$A$2:$A$1839,A46,'Pedidos Top10'!$C$2:$C$1839,C46,'Pedidos Top10'!$D$2:$D$1839,D46)</f>
        <v>3</v>
      </c>
      <c r="F46" s="21" t="n">
        <f aca="false">E46/COUNTIFS('Pedidos Top10'!$A$2:$A$1839,A46,'Pedidos Top10'!$C$2:$C$1839,C46)</f>
        <v>0.5</v>
      </c>
      <c r="G46" s="19" t="n">
        <f aca="false">SUMIFS('Pedidos Top10'!$J$2:$J$1839,'Pedidos Top10'!$A$2:$A$1839,A46,'Pedidos Top10'!$C$2:$C$1839,C46,'Pedidos Top10'!$D$2:$D$1839,D46)</f>
        <v>115.6</v>
      </c>
      <c r="H46" s="8" t="n">
        <f aca="false">SUMIFS('Pedidos Top10'!$L$2:$L$1839,'Pedidos Top10'!$A$2:$A$1839,A46,'Pedidos Top10'!$C$2:$C$1839,C46,'Pedidos Top10'!$D$2:$D$1839,D46)</f>
        <v>661.66</v>
      </c>
      <c r="I46" s="8" t="n">
        <f aca="false">SUMIFS('Pedidos Top10'!$AD$2:$AD$1839,'Pedidos Top10'!$A$2:$A$1839,A46,'Pedidos Top10'!$C$2:$C$1839,C46,'Pedidos Top10'!$D$2:$D$1839,D46)</f>
        <v>711.38</v>
      </c>
      <c r="J46" s="8" t="n">
        <f aca="false">I46-H46</f>
        <v>49.72</v>
      </c>
      <c r="K46" s="9" t="n">
        <f aca="false">IF(H46=0,0,J46/H46)</f>
        <v>0.0751443339479491</v>
      </c>
      <c r="L46" s="8" t="n">
        <f aca="false">IF(E46=0,0,H46/E46)</f>
        <v>220.553333333333</v>
      </c>
      <c r="M46" s="8" t="n">
        <f aca="false">IF(E46=0,0,I46/E46)</f>
        <v>237.126666666667</v>
      </c>
      <c r="N46" s="8" t="n">
        <f aca="false">IF(G46=0,0,H46/G46)</f>
        <v>5.72370242214533</v>
      </c>
      <c r="O46" s="8" t="n">
        <f aca="false">IF(G46=0,0,I46/G46)</f>
        <v>6.1538062283737</v>
      </c>
      <c r="P46" s="21" t="n">
        <f aca="false">IF(E46=0,0,COUNTIFS('Pedidos Top10'!$A$2:$A$1839,A46,'Pedidos Top10'!$C$2:$C$1839,C46,'Pedidos Top10'!$D$2:$D$1839,D46,'Pedidos Top10'!$AG$2:$AG$1839,"PASSARO")/E46)</f>
        <v>0</v>
      </c>
      <c r="Q46" s="18" t="str">
        <f aca="false">IF(K46&lt;=-0.05,"Passaro compete: "&amp;TEXT(-K46,"0%")&amp;" abaixo de "&amp;D46,IF(K46&lt;0.05,"Empate técnico com "&amp;D46,D46&amp;" é "&amp;TEXT(1-H46/I46,"0%")&amp;" mais barata que a Passaro"))</f>
        <v>DOMINALOG é 7% mais barata que a Passaro</v>
      </c>
    </row>
    <row r="47" customFormat="false" ht="15" hidden="false" customHeight="false" outlineLevel="0" collapsed="false">
      <c r="A47" s="18" t="s">
        <v>17</v>
      </c>
      <c r="B47" s="18" t="n">
        <v>7</v>
      </c>
      <c r="C47" s="18" t="s">
        <v>105</v>
      </c>
      <c r="D47" s="18" t="s">
        <v>30</v>
      </c>
      <c r="E47" s="17" t="n">
        <f aca="false">COUNTIFS('Pedidos Top10'!$A$2:$A$1839,A47,'Pedidos Top10'!$C$2:$C$1839,C47,'Pedidos Top10'!$D$2:$D$1839,D47)</f>
        <v>5</v>
      </c>
      <c r="F47" s="21" t="n">
        <f aca="false">E47/COUNTIFS('Pedidos Top10'!$A$2:$A$1839,A47,'Pedidos Top10'!$C$2:$C$1839,C47)</f>
        <v>0.833333333333333</v>
      </c>
      <c r="G47" s="19" t="n">
        <f aca="false">SUMIFS('Pedidos Top10'!$J$2:$J$1839,'Pedidos Top10'!$A$2:$A$1839,A47,'Pedidos Top10'!$C$2:$C$1839,C47,'Pedidos Top10'!$D$2:$D$1839,D47)</f>
        <v>370.7</v>
      </c>
      <c r="H47" s="8" t="n">
        <f aca="false">SUMIFS('Pedidos Top10'!$L$2:$L$1839,'Pedidos Top10'!$A$2:$A$1839,A47,'Pedidos Top10'!$C$2:$C$1839,C47,'Pedidos Top10'!$D$2:$D$1839,D47)</f>
        <v>1275.83</v>
      </c>
      <c r="I47" s="8" t="n">
        <f aca="false">SUMIFS('Pedidos Top10'!$AD$2:$AD$1839,'Pedidos Top10'!$A$2:$A$1839,A47,'Pedidos Top10'!$C$2:$C$1839,C47,'Pedidos Top10'!$D$2:$D$1839,D47)</f>
        <v>1641.62</v>
      </c>
      <c r="J47" s="8" t="n">
        <f aca="false">I47-H47</f>
        <v>365.79</v>
      </c>
      <c r="K47" s="9" t="n">
        <f aca="false">IF(H47=0,0,J47/H47)</f>
        <v>0.286707476701441</v>
      </c>
      <c r="L47" s="8" t="n">
        <f aca="false">IF(E47=0,0,H47/E47)</f>
        <v>255.166</v>
      </c>
      <c r="M47" s="8" t="n">
        <f aca="false">IF(E47=0,0,I47/E47)</f>
        <v>328.324</v>
      </c>
      <c r="N47" s="8" t="n">
        <f aca="false">IF(G47=0,0,H47/G47)</f>
        <v>3.44167790666307</v>
      </c>
      <c r="O47" s="8" t="n">
        <f aca="false">IF(G47=0,0,I47/G47)</f>
        <v>4.42843269490154</v>
      </c>
      <c r="P47" s="21" t="n">
        <f aca="false">IF(E47=0,0,COUNTIFS('Pedidos Top10'!$A$2:$A$1839,A47,'Pedidos Top10'!$C$2:$C$1839,C47,'Pedidos Top10'!$D$2:$D$1839,D47,'Pedidos Top10'!$AG$2:$AG$1839,"PASSARO")/E47)</f>
        <v>0</v>
      </c>
      <c r="Q47" s="18" t="str">
        <f aca="false">IF(K47&lt;=-0.05,"Passaro compete: "&amp;TEXT(-K47,"0%")&amp;" abaixo de "&amp;D47,IF(K47&lt;0.05,"Empate técnico com "&amp;D47,D47&amp;" é "&amp;TEXT(1-H47/I47,"0%")&amp;" mais barata que a Passaro"))</f>
        <v>DOMINALOG é 22% mais barata que a Passaro</v>
      </c>
    </row>
    <row r="48" customFormat="false" ht="15" hidden="false" customHeight="false" outlineLevel="0" collapsed="false">
      <c r="A48" s="18" t="s">
        <v>17</v>
      </c>
      <c r="B48" s="18" t="n">
        <v>7</v>
      </c>
      <c r="C48" s="18" t="s">
        <v>105</v>
      </c>
      <c r="D48" s="18" t="s">
        <v>31</v>
      </c>
      <c r="E48" s="17" t="n">
        <f aca="false">COUNTIFS('Pedidos Top10'!$A$2:$A$1839,A48,'Pedidos Top10'!$C$2:$C$1839,C48,'Pedidos Top10'!$D$2:$D$1839,D48)</f>
        <v>1</v>
      </c>
      <c r="F48" s="21" t="n">
        <f aca="false">E48/COUNTIFS('Pedidos Top10'!$A$2:$A$1839,A48,'Pedidos Top10'!$C$2:$C$1839,C48)</f>
        <v>0.166666666666667</v>
      </c>
      <c r="G48" s="19" t="n">
        <f aca="false">SUMIFS('Pedidos Top10'!$J$2:$J$1839,'Pedidos Top10'!$A$2:$A$1839,A48,'Pedidos Top10'!$C$2:$C$1839,C48,'Pedidos Top10'!$D$2:$D$1839,D48)</f>
        <v>22.4</v>
      </c>
      <c r="H48" s="8" t="n">
        <f aca="false">SUMIFS('Pedidos Top10'!$L$2:$L$1839,'Pedidos Top10'!$A$2:$A$1839,A48,'Pedidos Top10'!$C$2:$C$1839,C48,'Pedidos Top10'!$D$2:$D$1839,D48)</f>
        <v>95.78</v>
      </c>
      <c r="I48" s="8" t="n">
        <f aca="false">SUMIFS('Pedidos Top10'!$AD$2:$AD$1839,'Pedidos Top10'!$A$2:$A$1839,A48,'Pedidos Top10'!$C$2:$C$1839,C48,'Pedidos Top10'!$D$2:$D$1839,D48)</f>
        <v>267.79</v>
      </c>
      <c r="J48" s="8" t="n">
        <f aca="false">I48-H48</f>
        <v>172.01</v>
      </c>
      <c r="K48" s="9" t="n">
        <f aca="false">IF(H48=0,0,J48/H48)</f>
        <v>1.79588640634788</v>
      </c>
      <c r="L48" s="8" t="n">
        <f aca="false">IF(E48=0,0,H48/E48)</f>
        <v>95.78</v>
      </c>
      <c r="M48" s="8" t="n">
        <f aca="false">IF(E48=0,0,I48/E48)</f>
        <v>267.79</v>
      </c>
      <c r="N48" s="8" t="n">
        <f aca="false">IF(G48=0,0,H48/G48)</f>
        <v>4.27589285714286</v>
      </c>
      <c r="O48" s="8" t="n">
        <f aca="false">IF(G48=0,0,I48/G48)</f>
        <v>11.9549107142857</v>
      </c>
      <c r="P48" s="21" t="n">
        <f aca="false">IF(E48=0,0,COUNTIFS('Pedidos Top10'!$A$2:$A$1839,A48,'Pedidos Top10'!$C$2:$C$1839,C48,'Pedidos Top10'!$D$2:$D$1839,D48,'Pedidos Top10'!$AG$2:$AG$1839,"PASSARO")/E48)</f>
        <v>0</v>
      </c>
      <c r="Q48" s="18" t="str">
        <f aca="false">IF(K48&lt;=-0.05,"Passaro compete: "&amp;TEXT(-K48,"0%")&amp;" abaixo de "&amp;D48,IF(K48&lt;0.05,"Empate técnico com "&amp;D48,D48&amp;" é "&amp;TEXT(1-H48/I48,"0%")&amp;" mais barata que a Passaro"))</f>
        <v>JADLOG é 64% mais barata que a Passaro</v>
      </c>
    </row>
    <row r="49" customFormat="false" ht="15" hidden="false" customHeight="false" outlineLevel="0" collapsed="false">
      <c r="A49" s="18" t="s">
        <v>17</v>
      </c>
      <c r="B49" s="18" t="n">
        <v>8</v>
      </c>
      <c r="C49" s="18" t="s">
        <v>107</v>
      </c>
      <c r="D49" s="18" t="s">
        <v>30</v>
      </c>
      <c r="E49" s="17" t="n">
        <f aca="false">COUNTIFS('Pedidos Top10'!$A$2:$A$1839,A49,'Pedidos Top10'!$C$2:$C$1839,C49,'Pedidos Top10'!$D$2:$D$1839,D49)</f>
        <v>4</v>
      </c>
      <c r="F49" s="21" t="n">
        <f aca="false">E49/COUNTIFS('Pedidos Top10'!$A$2:$A$1839,A49,'Pedidos Top10'!$C$2:$C$1839,C49)</f>
        <v>0.666666666666667</v>
      </c>
      <c r="G49" s="19" t="n">
        <f aca="false">SUMIFS('Pedidos Top10'!$J$2:$J$1839,'Pedidos Top10'!$A$2:$A$1839,A49,'Pedidos Top10'!$C$2:$C$1839,C49,'Pedidos Top10'!$D$2:$D$1839,D49)</f>
        <v>137.19</v>
      </c>
      <c r="H49" s="8" t="n">
        <f aca="false">SUMIFS('Pedidos Top10'!$L$2:$L$1839,'Pedidos Top10'!$A$2:$A$1839,A49,'Pedidos Top10'!$C$2:$C$1839,C49,'Pedidos Top10'!$D$2:$D$1839,D49)</f>
        <v>703.81</v>
      </c>
      <c r="I49" s="8" t="n">
        <f aca="false">SUMIFS('Pedidos Top10'!$AD$2:$AD$1839,'Pedidos Top10'!$A$2:$A$1839,A49,'Pedidos Top10'!$C$2:$C$1839,C49,'Pedidos Top10'!$D$2:$D$1839,D49)</f>
        <v>893.88</v>
      </c>
      <c r="J49" s="8" t="n">
        <f aca="false">I49-H49</f>
        <v>190.07</v>
      </c>
      <c r="K49" s="9" t="n">
        <f aca="false">IF(H49=0,0,J49/H49)</f>
        <v>0.270058680609824</v>
      </c>
      <c r="L49" s="8" t="n">
        <f aca="false">IF(E49=0,0,H49/E49)</f>
        <v>175.9525</v>
      </c>
      <c r="M49" s="8" t="n">
        <f aca="false">IF(E49=0,0,I49/E49)</f>
        <v>223.47</v>
      </c>
      <c r="N49" s="8" t="n">
        <f aca="false">IF(G49=0,0,H49/G49)</f>
        <v>5.13018441577375</v>
      </c>
      <c r="O49" s="8" t="n">
        <f aca="false">IF(G49=0,0,I49/G49)</f>
        <v>6.51563525038268</v>
      </c>
      <c r="P49" s="21" t="n">
        <f aca="false">IF(E49=0,0,COUNTIFS('Pedidos Top10'!$A$2:$A$1839,A49,'Pedidos Top10'!$C$2:$C$1839,C49,'Pedidos Top10'!$D$2:$D$1839,D49,'Pedidos Top10'!$AG$2:$AG$1839,"PASSARO")/E49)</f>
        <v>0.25</v>
      </c>
      <c r="Q49" s="18" t="str">
        <f aca="false">IF(K49&lt;=-0.05,"Passaro compete: "&amp;TEXT(-K49,"0%")&amp;" abaixo de "&amp;D49,IF(K49&lt;0.05,"Empate técnico com "&amp;D49,D49&amp;" é "&amp;TEXT(1-H49/I49,"0%")&amp;" mais barata que a Passaro"))</f>
        <v>DOMINALOG é 21% mais barata que a Passaro</v>
      </c>
    </row>
    <row r="50" customFormat="false" ht="15" hidden="false" customHeight="false" outlineLevel="0" collapsed="false">
      <c r="A50" s="18" t="s">
        <v>17</v>
      </c>
      <c r="B50" s="18" t="n">
        <v>8</v>
      </c>
      <c r="C50" s="18" t="s">
        <v>107</v>
      </c>
      <c r="D50" s="18" t="s">
        <v>33</v>
      </c>
      <c r="E50" s="17" t="n">
        <f aca="false">COUNTIFS('Pedidos Top10'!$A$2:$A$1839,A50,'Pedidos Top10'!$C$2:$C$1839,C50,'Pedidos Top10'!$D$2:$D$1839,D50)</f>
        <v>1</v>
      </c>
      <c r="F50" s="21" t="n">
        <f aca="false">E50/COUNTIFS('Pedidos Top10'!$A$2:$A$1839,A50,'Pedidos Top10'!$C$2:$C$1839,C50)</f>
        <v>0.166666666666667</v>
      </c>
      <c r="G50" s="19" t="n">
        <f aca="false">SUMIFS('Pedidos Top10'!$J$2:$J$1839,'Pedidos Top10'!$A$2:$A$1839,A50,'Pedidos Top10'!$C$2:$C$1839,C50,'Pedidos Top10'!$D$2:$D$1839,D50)</f>
        <v>107.8</v>
      </c>
      <c r="H50" s="8" t="n">
        <f aca="false">SUMIFS('Pedidos Top10'!$L$2:$L$1839,'Pedidos Top10'!$A$2:$A$1839,A50,'Pedidos Top10'!$C$2:$C$1839,C50,'Pedidos Top10'!$D$2:$D$1839,D50)</f>
        <v>450.13</v>
      </c>
      <c r="I50" s="8" t="n">
        <f aca="false">SUMIFS('Pedidos Top10'!$AD$2:$AD$1839,'Pedidos Top10'!$A$2:$A$1839,A50,'Pedidos Top10'!$C$2:$C$1839,C50,'Pedidos Top10'!$D$2:$D$1839,D50)</f>
        <v>306.43</v>
      </c>
      <c r="J50" s="8" t="n">
        <f aca="false">I50-H50</f>
        <v>-143.7</v>
      </c>
      <c r="K50" s="9" t="n">
        <f aca="false">IF(H50=0,0,J50/H50)</f>
        <v>-0.31924110812432</v>
      </c>
      <c r="L50" s="8" t="n">
        <f aca="false">IF(E50=0,0,H50/E50)</f>
        <v>450.13</v>
      </c>
      <c r="M50" s="8" t="n">
        <f aca="false">IF(E50=0,0,I50/E50)</f>
        <v>306.43</v>
      </c>
      <c r="N50" s="8" t="n">
        <f aca="false">IF(G50=0,0,H50/G50)</f>
        <v>4.17560296846011</v>
      </c>
      <c r="O50" s="8" t="n">
        <f aca="false">IF(G50=0,0,I50/G50)</f>
        <v>2.84257884972171</v>
      </c>
      <c r="P50" s="21" t="n">
        <f aca="false">IF(E50=0,0,COUNTIFS('Pedidos Top10'!$A$2:$A$1839,A50,'Pedidos Top10'!$C$2:$C$1839,C50,'Pedidos Top10'!$D$2:$D$1839,D50,'Pedidos Top10'!$AG$2:$AG$1839,"PASSARO")/E50)</f>
        <v>1</v>
      </c>
      <c r="Q50" s="18" t="str">
        <f aca="false">IF(K50&lt;=-0.05,"Passaro compete: "&amp;TEXT(-K50,"0%")&amp;" abaixo de "&amp;D50,IF(K50&lt;0.05,"Empate técnico com "&amp;D50,D50&amp;" é "&amp;TEXT(1-H50/I50,"0%")&amp;" mais barata que a Passaro"))</f>
        <v>Passaro compete: 32% abaixo de Atual Cargas</v>
      </c>
    </row>
    <row r="51" customFormat="false" ht="15" hidden="false" customHeight="false" outlineLevel="0" collapsed="false">
      <c r="A51" s="18" t="s">
        <v>17</v>
      </c>
      <c r="B51" s="18" t="n">
        <v>8</v>
      </c>
      <c r="C51" s="18" t="s">
        <v>107</v>
      </c>
      <c r="D51" s="18" t="s">
        <v>34</v>
      </c>
      <c r="E51" s="17" t="n">
        <f aca="false">COUNTIFS('Pedidos Top10'!$A$2:$A$1839,A51,'Pedidos Top10'!$C$2:$C$1839,C51,'Pedidos Top10'!$D$2:$D$1839,D51)</f>
        <v>1</v>
      </c>
      <c r="F51" s="21" t="n">
        <f aca="false">E51/COUNTIFS('Pedidos Top10'!$A$2:$A$1839,A51,'Pedidos Top10'!$C$2:$C$1839,C51)</f>
        <v>0.166666666666667</v>
      </c>
      <c r="G51" s="19" t="n">
        <f aca="false">SUMIFS('Pedidos Top10'!$J$2:$J$1839,'Pedidos Top10'!$A$2:$A$1839,A51,'Pedidos Top10'!$C$2:$C$1839,C51,'Pedidos Top10'!$D$2:$D$1839,D51)</f>
        <v>34.4</v>
      </c>
      <c r="H51" s="8" t="n">
        <f aca="false">SUMIFS('Pedidos Top10'!$L$2:$L$1839,'Pedidos Top10'!$A$2:$A$1839,A51,'Pedidos Top10'!$C$2:$C$1839,C51,'Pedidos Top10'!$D$2:$D$1839,D51)</f>
        <v>196.84</v>
      </c>
      <c r="I51" s="8" t="n">
        <f aca="false">SUMIFS('Pedidos Top10'!$AD$2:$AD$1839,'Pedidos Top10'!$A$2:$A$1839,A51,'Pedidos Top10'!$C$2:$C$1839,C51,'Pedidos Top10'!$D$2:$D$1839,D51)</f>
        <v>237.07</v>
      </c>
      <c r="J51" s="8" t="n">
        <f aca="false">I51-H51</f>
        <v>40.23</v>
      </c>
      <c r="K51" s="9" t="n">
        <f aca="false">IF(H51=0,0,J51/H51)</f>
        <v>0.204379191221296</v>
      </c>
      <c r="L51" s="8" t="n">
        <f aca="false">IF(E51=0,0,H51/E51)</f>
        <v>196.84</v>
      </c>
      <c r="M51" s="8" t="n">
        <f aca="false">IF(E51=0,0,I51/E51)</f>
        <v>237.07</v>
      </c>
      <c r="N51" s="8" t="n">
        <f aca="false">IF(G51=0,0,H51/G51)</f>
        <v>5.72209302325581</v>
      </c>
      <c r="O51" s="8" t="n">
        <f aca="false">IF(G51=0,0,I51/G51)</f>
        <v>6.89156976744186</v>
      </c>
      <c r="P51" s="21" t="n">
        <f aca="false">IF(E51=0,0,COUNTIFS('Pedidos Top10'!$A$2:$A$1839,A51,'Pedidos Top10'!$C$2:$C$1839,C51,'Pedidos Top10'!$D$2:$D$1839,D51,'Pedidos Top10'!$AG$2:$AG$1839,"PASSARO")/E51)</f>
        <v>0</v>
      </c>
      <c r="Q51" s="18" t="str">
        <f aca="false">IF(K51&lt;=-0.05,"Passaro compete: "&amp;TEXT(-K51,"0%")&amp;" abaixo de "&amp;D51,IF(K51&lt;0.05,"Empate técnico com "&amp;D51,D51&amp;" é "&amp;TEXT(1-H51/I51,"0%")&amp;" mais barata que a Passaro"))</f>
        <v>FORMATO TRANSPORTES é 17% mais barata que a Passaro</v>
      </c>
    </row>
    <row r="52" customFormat="false" ht="15" hidden="false" customHeight="false" outlineLevel="0" collapsed="false">
      <c r="A52" s="18" t="s">
        <v>17</v>
      </c>
      <c r="B52" s="18" t="n">
        <v>9</v>
      </c>
      <c r="C52" s="18" t="s">
        <v>109</v>
      </c>
      <c r="D52" s="18" t="s">
        <v>30</v>
      </c>
      <c r="E52" s="17" t="n">
        <f aca="false">COUNTIFS('Pedidos Top10'!$A$2:$A$1839,A52,'Pedidos Top10'!$C$2:$C$1839,C52,'Pedidos Top10'!$D$2:$D$1839,D52)</f>
        <v>5</v>
      </c>
      <c r="F52" s="21" t="n">
        <f aca="false">E52/COUNTIFS('Pedidos Top10'!$A$2:$A$1839,A52,'Pedidos Top10'!$C$2:$C$1839,C52)</f>
        <v>1</v>
      </c>
      <c r="G52" s="19" t="n">
        <f aca="false">SUMIFS('Pedidos Top10'!$J$2:$J$1839,'Pedidos Top10'!$A$2:$A$1839,A52,'Pedidos Top10'!$C$2:$C$1839,C52,'Pedidos Top10'!$D$2:$D$1839,D52)</f>
        <v>199.08</v>
      </c>
      <c r="H52" s="8" t="n">
        <f aca="false">SUMIFS('Pedidos Top10'!$L$2:$L$1839,'Pedidos Top10'!$A$2:$A$1839,A52,'Pedidos Top10'!$C$2:$C$1839,C52,'Pedidos Top10'!$D$2:$D$1839,D52)</f>
        <v>1060.15</v>
      </c>
      <c r="I52" s="8" t="n">
        <f aca="false">SUMIFS('Pedidos Top10'!$AD$2:$AD$1839,'Pedidos Top10'!$A$2:$A$1839,A52,'Pedidos Top10'!$C$2:$C$1839,C52,'Pedidos Top10'!$D$2:$D$1839,D52)</f>
        <v>1446.64</v>
      </c>
      <c r="J52" s="8" t="n">
        <f aca="false">I52-H52</f>
        <v>386.49</v>
      </c>
      <c r="K52" s="9" t="n">
        <f aca="false">IF(H52=0,0,J52/H52)</f>
        <v>0.364561618638872</v>
      </c>
      <c r="L52" s="8" t="n">
        <f aca="false">IF(E52=0,0,H52/E52)</f>
        <v>212.03</v>
      </c>
      <c r="M52" s="8" t="n">
        <f aca="false">IF(E52=0,0,I52/E52)</f>
        <v>289.328</v>
      </c>
      <c r="N52" s="8" t="n">
        <f aca="false">IF(G52=0,0,H52/G52)</f>
        <v>5.32524613220816</v>
      </c>
      <c r="O52" s="8" t="n">
        <f aca="false">IF(G52=0,0,I52/G52)</f>
        <v>7.26662648181636</v>
      </c>
      <c r="P52" s="21" t="n">
        <f aca="false">IF(E52=0,0,COUNTIFS('Pedidos Top10'!$A$2:$A$1839,A52,'Pedidos Top10'!$C$2:$C$1839,C52,'Pedidos Top10'!$D$2:$D$1839,D52,'Pedidos Top10'!$AG$2:$AG$1839,"PASSARO")/E52)</f>
        <v>0</v>
      </c>
      <c r="Q52" s="18" t="str">
        <f aca="false">IF(K52&lt;=-0.05,"Passaro compete: "&amp;TEXT(-K52,"0%")&amp;" abaixo de "&amp;D52,IF(K52&lt;0.05,"Empate técnico com "&amp;D52,D52&amp;" é "&amp;TEXT(1-H52/I52,"0%")&amp;" mais barata que a Passaro"))</f>
        <v>DOMINALOG é 27% mais barata que a Passaro</v>
      </c>
    </row>
    <row r="53" customFormat="false" ht="15" hidden="false" customHeight="false" outlineLevel="0" collapsed="false">
      <c r="A53" s="18" t="s">
        <v>17</v>
      </c>
      <c r="B53" s="18" t="n">
        <v>10</v>
      </c>
      <c r="C53" s="18" t="s">
        <v>111</v>
      </c>
      <c r="D53" s="18" t="s">
        <v>30</v>
      </c>
      <c r="E53" s="17" t="n">
        <f aca="false">COUNTIFS('Pedidos Top10'!$A$2:$A$1839,A53,'Pedidos Top10'!$C$2:$C$1839,C53,'Pedidos Top10'!$D$2:$D$1839,D53)</f>
        <v>4</v>
      </c>
      <c r="F53" s="21" t="n">
        <f aca="false">E53/COUNTIFS('Pedidos Top10'!$A$2:$A$1839,A53,'Pedidos Top10'!$C$2:$C$1839,C53)</f>
        <v>1</v>
      </c>
      <c r="G53" s="19" t="n">
        <f aca="false">SUMIFS('Pedidos Top10'!$J$2:$J$1839,'Pedidos Top10'!$A$2:$A$1839,A53,'Pedidos Top10'!$C$2:$C$1839,C53,'Pedidos Top10'!$D$2:$D$1839,D53)</f>
        <v>321</v>
      </c>
      <c r="H53" s="8" t="n">
        <f aca="false">SUMIFS('Pedidos Top10'!$L$2:$L$1839,'Pedidos Top10'!$A$2:$A$1839,A53,'Pedidos Top10'!$C$2:$C$1839,C53,'Pedidos Top10'!$D$2:$D$1839,D53)</f>
        <v>1340.15</v>
      </c>
      <c r="I53" s="8" t="n">
        <f aca="false">SUMIFS('Pedidos Top10'!$AD$2:$AD$1839,'Pedidos Top10'!$A$2:$A$1839,A53,'Pedidos Top10'!$C$2:$C$1839,C53,'Pedidos Top10'!$D$2:$D$1839,D53)</f>
        <v>1433.03</v>
      </c>
      <c r="J53" s="8" t="n">
        <f aca="false">I53-H53</f>
        <v>92.8800000000001</v>
      </c>
      <c r="K53" s="9" t="n">
        <f aca="false">IF(H53=0,0,J53/H53)</f>
        <v>0.0693056747379026</v>
      </c>
      <c r="L53" s="8" t="n">
        <f aca="false">IF(E53=0,0,H53/E53)</f>
        <v>335.0375</v>
      </c>
      <c r="M53" s="8" t="n">
        <f aca="false">IF(E53=0,0,I53/E53)</f>
        <v>358.2575</v>
      </c>
      <c r="N53" s="8" t="n">
        <f aca="false">IF(G53=0,0,H53/G53)</f>
        <v>4.17492211838006</v>
      </c>
      <c r="O53" s="8" t="n">
        <f aca="false">IF(G53=0,0,I53/G53)</f>
        <v>4.46426791277259</v>
      </c>
      <c r="P53" s="21" t="n">
        <f aca="false">IF(E53=0,0,COUNTIFS('Pedidos Top10'!$A$2:$A$1839,A53,'Pedidos Top10'!$C$2:$C$1839,C53,'Pedidos Top10'!$D$2:$D$1839,D53,'Pedidos Top10'!$AG$2:$AG$1839,"PASSARO")/E53)</f>
        <v>0.25</v>
      </c>
      <c r="Q53" s="18" t="str">
        <f aca="false">IF(K53&lt;=-0.05,"Passaro compete: "&amp;TEXT(-K53,"0%")&amp;" abaixo de "&amp;D53,IF(K53&lt;0.05,"Empate técnico com "&amp;D53,D53&amp;" é "&amp;TEXT(1-H53/I53,"0%")&amp;" mais barata que a Passaro"))</f>
        <v>DOMINALOG é 6% mais barata que a Passaro</v>
      </c>
    </row>
    <row r="54" customFormat="false" ht="15" hidden="false" customHeight="false" outlineLevel="0" collapsed="false">
      <c r="A54" s="18" t="s">
        <v>18</v>
      </c>
      <c r="B54" s="18" t="n">
        <v>1</v>
      </c>
      <c r="C54" s="18" t="s">
        <v>112</v>
      </c>
      <c r="D54" s="18" t="s">
        <v>32</v>
      </c>
      <c r="E54" s="17" t="n">
        <f aca="false">COUNTIFS('Pedidos Top10'!$A$2:$A$1839,A54,'Pedidos Top10'!$C$2:$C$1839,C54,'Pedidos Top10'!$D$2:$D$1839,D54)</f>
        <v>27</v>
      </c>
      <c r="F54" s="21" t="n">
        <f aca="false">E54/COUNTIFS('Pedidos Top10'!$A$2:$A$1839,A54,'Pedidos Top10'!$C$2:$C$1839,C54)</f>
        <v>0.397058823529412</v>
      </c>
      <c r="G54" s="19" t="n">
        <f aca="false">SUMIFS('Pedidos Top10'!$J$2:$J$1839,'Pedidos Top10'!$A$2:$A$1839,A54,'Pedidos Top10'!$C$2:$C$1839,C54,'Pedidos Top10'!$D$2:$D$1839,D54)</f>
        <v>1518.45</v>
      </c>
      <c r="H54" s="8" t="n">
        <f aca="false">SUMIFS('Pedidos Top10'!$L$2:$L$1839,'Pedidos Top10'!$A$2:$A$1839,A54,'Pedidos Top10'!$C$2:$C$1839,C54,'Pedidos Top10'!$D$2:$D$1839,D54)</f>
        <v>4344.4</v>
      </c>
      <c r="I54" s="8" t="n">
        <f aca="false">SUMIFS('Pedidos Top10'!$AD$2:$AD$1839,'Pedidos Top10'!$A$2:$A$1839,A54,'Pedidos Top10'!$C$2:$C$1839,C54,'Pedidos Top10'!$D$2:$D$1839,D54)</f>
        <v>8196.98</v>
      </c>
      <c r="J54" s="8" t="n">
        <f aca="false">I54-H54</f>
        <v>3852.58</v>
      </c>
      <c r="K54" s="9" t="n">
        <f aca="false">IF(H54=0,0,J54/H54)</f>
        <v>0.886792192247491</v>
      </c>
      <c r="L54" s="8" t="n">
        <f aca="false">IF(E54=0,0,H54/E54)</f>
        <v>160.903703703704</v>
      </c>
      <c r="M54" s="8" t="n">
        <f aca="false">IF(E54=0,0,I54/E54)</f>
        <v>303.591851851852</v>
      </c>
      <c r="N54" s="8" t="n">
        <f aca="false">IF(G54=0,0,H54/G54)</f>
        <v>2.8610754387698</v>
      </c>
      <c r="O54" s="8" t="n">
        <f aca="false">IF(G54=0,0,I54/G54)</f>
        <v>5.39825479930192</v>
      </c>
      <c r="P54" s="21" t="n">
        <f aca="false">IF(E54=0,0,COUNTIFS('Pedidos Top10'!$A$2:$A$1839,A54,'Pedidos Top10'!$C$2:$C$1839,C54,'Pedidos Top10'!$D$2:$D$1839,D54,'Pedidos Top10'!$AG$2:$AG$1839,"PASSARO")/E54)</f>
        <v>0</v>
      </c>
      <c r="Q54" s="18" t="str">
        <f aca="false">IF(K54&lt;=-0.05,"Passaro compete: "&amp;TEXT(-K54,"0%")&amp;" abaixo de "&amp;D54,IF(K54&lt;0.05,"Empate técnico com "&amp;D54,D54&amp;" é "&amp;TEXT(1-H54/I54,"0%")&amp;" mais barata que a Passaro"))</f>
        <v>Bento Brasil é 47% mais barata que a Passaro</v>
      </c>
    </row>
    <row r="55" customFormat="false" ht="15" hidden="false" customHeight="false" outlineLevel="0" collapsed="false">
      <c r="A55" s="18" t="s">
        <v>18</v>
      </c>
      <c r="B55" s="18" t="n">
        <v>1</v>
      </c>
      <c r="C55" s="18" t="s">
        <v>112</v>
      </c>
      <c r="D55" s="18" t="s">
        <v>30</v>
      </c>
      <c r="E55" s="17" t="n">
        <f aca="false">COUNTIFS('Pedidos Top10'!$A$2:$A$1839,A55,'Pedidos Top10'!$C$2:$C$1839,C55,'Pedidos Top10'!$D$2:$D$1839,D55)</f>
        <v>27</v>
      </c>
      <c r="F55" s="21" t="n">
        <f aca="false">E55/COUNTIFS('Pedidos Top10'!$A$2:$A$1839,A55,'Pedidos Top10'!$C$2:$C$1839,C55)</f>
        <v>0.397058823529412</v>
      </c>
      <c r="G55" s="19" t="n">
        <f aca="false">SUMIFS('Pedidos Top10'!$J$2:$J$1839,'Pedidos Top10'!$A$2:$A$1839,A55,'Pedidos Top10'!$C$2:$C$1839,C55,'Pedidos Top10'!$D$2:$D$1839,D55)</f>
        <v>1327.73</v>
      </c>
      <c r="H55" s="8" t="n">
        <f aca="false">SUMIFS('Pedidos Top10'!$L$2:$L$1839,'Pedidos Top10'!$A$2:$A$1839,A55,'Pedidos Top10'!$C$2:$C$1839,C55,'Pedidos Top10'!$D$2:$D$1839,D55)</f>
        <v>4869.78</v>
      </c>
      <c r="I55" s="8" t="n">
        <f aca="false">SUMIFS('Pedidos Top10'!$AD$2:$AD$1839,'Pedidos Top10'!$A$2:$A$1839,A55,'Pedidos Top10'!$C$2:$C$1839,C55,'Pedidos Top10'!$D$2:$D$1839,D55)</f>
        <v>7840</v>
      </c>
      <c r="J55" s="8" t="n">
        <f aca="false">I55-H55</f>
        <v>2970.22</v>
      </c>
      <c r="K55" s="9" t="n">
        <f aca="false">IF(H55=0,0,J55/H55)</f>
        <v>0.60992899063202</v>
      </c>
      <c r="L55" s="8" t="n">
        <f aca="false">IF(E55=0,0,H55/E55)</f>
        <v>180.362222222222</v>
      </c>
      <c r="M55" s="8" t="n">
        <f aca="false">IF(E55=0,0,I55/E55)</f>
        <v>290.37037037037</v>
      </c>
      <c r="N55" s="8" t="n">
        <f aca="false">IF(G55=0,0,H55/G55)</f>
        <v>3.66774871397046</v>
      </c>
      <c r="O55" s="8" t="n">
        <f aca="false">IF(G55=0,0,I55/G55)</f>
        <v>5.90481498497435</v>
      </c>
      <c r="P55" s="21" t="n">
        <f aca="false">IF(E55=0,0,COUNTIFS('Pedidos Top10'!$A$2:$A$1839,A55,'Pedidos Top10'!$C$2:$C$1839,C55,'Pedidos Top10'!$D$2:$D$1839,D55,'Pedidos Top10'!$AG$2:$AG$1839,"PASSARO")/E55)</f>
        <v>0</v>
      </c>
      <c r="Q55" s="18" t="str">
        <f aca="false">IF(K55&lt;=-0.05,"Passaro compete: "&amp;TEXT(-K55,"0%")&amp;" abaixo de "&amp;D55,IF(K55&lt;0.05,"Empate técnico com "&amp;D55,D55&amp;" é "&amp;TEXT(1-H55/I55,"0%")&amp;" mais barata que a Passaro"))</f>
        <v>DOMINALOG é 38% mais barata que a Passaro</v>
      </c>
    </row>
    <row r="56" customFormat="false" ht="15" hidden="false" customHeight="false" outlineLevel="0" collapsed="false">
      <c r="A56" s="18" t="s">
        <v>18</v>
      </c>
      <c r="B56" s="18" t="n">
        <v>1</v>
      </c>
      <c r="C56" s="18" t="s">
        <v>112</v>
      </c>
      <c r="D56" s="18" t="s">
        <v>31</v>
      </c>
      <c r="E56" s="17" t="n">
        <f aca="false">COUNTIFS('Pedidos Top10'!$A$2:$A$1839,A56,'Pedidos Top10'!$C$2:$C$1839,C56,'Pedidos Top10'!$D$2:$D$1839,D56)</f>
        <v>14</v>
      </c>
      <c r="F56" s="21" t="n">
        <f aca="false">E56/COUNTIFS('Pedidos Top10'!$A$2:$A$1839,A56,'Pedidos Top10'!$C$2:$C$1839,C56)</f>
        <v>0.205882352941176</v>
      </c>
      <c r="G56" s="19" t="n">
        <f aca="false">SUMIFS('Pedidos Top10'!$J$2:$J$1839,'Pedidos Top10'!$A$2:$A$1839,A56,'Pedidos Top10'!$C$2:$C$1839,C56,'Pedidos Top10'!$D$2:$D$1839,D56)</f>
        <v>279.89</v>
      </c>
      <c r="H56" s="8" t="n">
        <f aca="false">SUMIFS('Pedidos Top10'!$L$2:$L$1839,'Pedidos Top10'!$A$2:$A$1839,A56,'Pedidos Top10'!$C$2:$C$1839,C56,'Pedidos Top10'!$D$2:$D$1839,D56)</f>
        <v>1156.18</v>
      </c>
      <c r="I56" s="8" t="n">
        <f aca="false">SUMIFS('Pedidos Top10'!$AD$2:$AD$1839,'Pedidos Top10'!$A$2:$A$1839,A56,'Pedidos Top10'!$C$2:$C$1839,C56,'Pedidos Top10'!$D$2:$D$1839,D56)</f>
        <v>3628.8</v>
      </c>
      <c r="J56" s="8" t="n">
        <f aca="false">I56-H56</f>
        <v>2472.62</v>
      </c>
      <c r="K56" s="9" t="n">
        <f aca="false">IF(H56=0,0,J56/H56)</f>
        <v>2.13861163486654</v>
      </c>
      <c r="L56" s="8" t="n">
        <f aca="false">IF(E56=0,0,H56/E56)</f>
        <v>82.5842857142857</v>
      </c>
      <c r="M56" s="8" t="n">
        <f aca="false">IF(E56=0,0,I56/E56)</f>
        <v>259.2</v>
      </c>
      <c r="N56" s="8" t="n">
        <f aca="false">IF(G56=0,0,H56/G56)</f>
        <v>4.13083711458073</v>
      </c>
      <c r="O56" s="8" t="n">
        <f aca="false">IF(G56=0,0,I56/G56)</f>
        <v>12.9650934295616</v>
      </c>
      <c r="P56" s="21" t="n">
        <f aca="false">IF(E56=0,0,COUNTIFS('Pedidos Top10'!$A$2:$A$1839,A56,'Pedidos Top10'!$C$2:$C$1839,C56,'Pedidos Top10'!$D$2:$D$1839,D56,'Pedidos Top10'!$AG$2:$AG$1839,"PASSARO")/E56)</f>
        <v>0</v>
      </c>
      <c r="Q56" s="18" t="str">
        <f aca="false">IF(K56&lt;=-0.05,"Passaro compete: "&amp;TEXT(-K56,"0%")&amp;" abaixo de "&amp;D56,IF(K56&lt;0.05,"Empate técnico com "&amp;D56,D56&amp;" é "&amp;TEXT(1-H56/I56,"0%")&amp;" mais barata que a Passaro"))</f>
        <v>JADLOG é 68% mais barata que a Passaro</v>
      </c>
    </row>
    <row r="57" customFormat="false" ht="15" hidden="false" customHeight="false" outlineLevel="0" collapsed="false">
      <c r="A57" s="18" t="s">
        <v>18</v>
      </c>
      <c r="B57" s="18" t="n">
        <v>2</v>
      </c>
      <c r="C57" s="18" t="s">
        <v>114</v>
      </c>
      <c r="D57" s="18" t="s">
        <v>32</v>
      </c>
      <c r="E57" s="17" t="n">
        <f aca="false">COUNTIFS('Pedidos Top10'!$A$2:$A$1839,A57,'Pedidos Top10'!$C$2:$C$1839,C57,'Pedidos Top10'!$D$2:$D$1839,D57)</f>
        <v>14</v>
      </c>
      <c r="F57" s="21" t="n">
        <f aca="false">E57/COUNTIFS('Pedidos Top10'!$A$2:$A$1839,A57,'Pedidos Top10'!$C$2:$C$1839,C57)</f>
        <v>0.666666666666667</v>
      </c>
      <c r="G57" s="19" t="n">
        <f aca="false">SUMIFS('Pedidos Top10'!$J$2:$J$1839,'Pedidos Top10'!$A$2:$A$1839,A57,'Pedidos Top10'!$C$2:$C$1839,C57,'Pedidos Top10'!$D$2:$D$1839,D57)</f>
        <v>1011.4</v>
      </c>
      <c r="H57" s="8" t="n">
        <f aca="false">SUMIFS('Pedidos Top10'!$L$2:$L$1839,'Pedidos Top10'!$A$2:$A$1839,A57,'Pedidos Top10'!$C$2:$C$1839,C57,'Pedidos Top10'!$D$2:$D$1839,D57)</f>
        <v>2505.32</v>
      </c>
      <c r="I57" s="8" t="n">
        <f aca="false">SUMIFS('Pedidos Top10'!$AD$2:$AD$1839,'Pedidos Top10'!$A$2:$A$1839,A57,'Pedidos Top10'!$C$2:$C$1839,C57,'Pedidos Top10'!$D$2:$D$1839,D57)</f>
        <v>5046.4</v>
      </c>
      <c r="J57" s="8" t="n">
        <f aca="false">I57-H57</f>
        <v>2541.08</v>
      </c>
      <c r="K57" s="9" t="n">
        <f aca="false">IF(H57=0,0,J57/H57)</f>
        <v>1.01427362572446</v>
      </c>
      <c r="L57" s="8" t="n">
        <f aca="false">IF(E57=0,0,H57/E57)</f>
        <v>178.951428571429</v>
      </c>
      <c r="M57" s="8" t="n">
        <f aca="false">IF(E57=0,0,I57/E57)</f>
        <v>360.457142857143</v>
      </c>
      <c r="N57" s="8" t="n">
        <f aca="false">IF(G57=0,0,H57/G57)</f>
        <v>2.4770812734823</v>
      </c>
      <c r="O57" s="8" t="n">
        <f aca="false">IF(G57=0,0,I57/G57)</f>
        <v>4.98951947795135</v>
      </c>
      <c r="P57" s="21" t="n">
        <f aca="false">IF(E57=0,0,COUNTIFS('Pedidos Top10'!$A$2:$A$1839,A57,'Pedidos Top10'!$C$2:$C$1839,C57,'Pedidos Top10'!$D$2:$D$1839,D57,'Pedidos Top10'!$AG$2:$AG$1839,"PASSARO")/E57)</f>
        <v>0</v>
      </c>
      <c r="Q57" s="18" t="str">
        <f aca="false">IF(K57&lt;=-0.05,"Passaro compete: "&amp;TEXT(-K57,"0%")&amp;" abaixo de "&amp;D57,IF(K57&lt;0.05,"Empate técnico com "&amp;D57,D57&amp;" é "&amp;TEXT(1-H57/I57,"0%")&amp;" mais barata que a Passaro"))</f>
        <v>Bento Brasil é 50% mais barata que a Passaro</v>
      </c>
    </row>
    <row r="58" customFormat="false" ht="15" hidden="false" customHeight="false" outlineLevel="0" collapsed="false">
      <c r="A58" s="18" t="s">
        <v>18</v>
      </c>
      <c r="B58" s="18" t="n">
        <v>2</v>
      </c>
      <c r="C58" s="18" t="s">
        <v>114</v>
      </c>
      <c r="D58" s="18" t="s">
        <v>30</v>
      </c>
      <c r="E58" s="17" t="n">
        <f aca="false">COUNTIFS('Pedidos Top10'!$A$2:$A$1839,A58,'Pedidos Top10'!$C$2:$C$1839,C58,'Pedidos Top10'!$D$2:$D$1839,D58)</f>
        <v>4</v>
      </c>
      <c r="F58" s="21" t="n">
        <f aca="false">E58/COUNTIFS('Pedidos Top10'!$A$2:$A$1839,A58,'Pedidos Top10'!$C$2:$C$1839,C58)</f>
        <v>0.19047619047619</v>
      </c>
      <c r="G58" s="19" t="n">
        <f aca="false">SUMIFS('Pedidos Top10'!$J$2:$J$1839,'Pedidos Top10'!$A$2:$A$1839,A58,'Pedidos Top10'!$C$2:$C$1839,C58,'Pedidos Top10'!$D$2:$D$1839,D58)</f>
        <v>205.05</v>
      </c>
      <c r="H58" s="8" t="n">
        <f aca="false">SUMIFS('Pedidos Top10'!$L$2:$L$1839,'Pedidos Top10'!$A$2:$A$1839,A58,'Pedidos Top10'!$C$2:$C$1839,C58,'Pedidos Top10'!$D$2:$D$1839,D58)</f>
        <v>1000.82</v>
      </c>
      <c r="I58" s="8" t="n">
        <f aca="false">SUMIFS('Pedidos Top10'!$AD$2:$AD$1839,'Pedidos Top10'!$A$2:$A$1839,A58,'Pedidos Top10'!$C$2:$C$1839,C58,'Pedidos Top10'!$D$2:$D$1839,D58)</f>
        <v>1339.59</v>
      </c>
      <c r="J58" s="8" t="n">
        <f aca="false">I58-H58</f>
        <v>338.77</v>
      </c>
      <c r="K58" s="9" t="n">
        <f aca="false">IF(H58=0,0,J58/H58)</f>
        <v>0.338492436202314</v>
      </c>
      <c r="L58" s="8" t="n">
        <f aca="false">IF(E58=0,0,H58/E58)</f>
        <v>250.205</v>
      </c>
      <c r="M58" s="8" t="n">
        <f aca="false">IF(E58=0,0,I58/E58)</f>
        <v>334.8975</v>
      </c>
      <c r="N58" s="8" t="n">
        <f aca="false">IF(G58=0,0,H58/G58)</f>
        <v>4.88085832723726</v>
      </c>
      <c r="O58" s="8" t="n">
        <f aca="false">IF(G58=0,0,I58/G58)</f>
        <v>6.53299195318215</v>
      </c>
      <c r="P58" s="21" t="n">
        <f aca="false">IF(E58=0,0,COUNTIFS('Pedidos Top10'!$A$2:$A$1839,A58,'Pedidos Top10'!$C$2:$C$1839,C58,'Pedidos Top10'!$D$2:$D$1839,D58,'Pedidos Top10'!$AG$2:$AG$1839,"PASSARO")/E58)</f>
        <v>0</v>
      </c>
      <c r="Q58" s="18" t="str">
        <f aca="false">IF(K58&lt;=-0.05,"Passaro compete: "&amp;TEXT(-K58,"0%")&amp;" abaixo de "&amp;D58,IF(K58&lt;0.05,"Empate técnico com "&amp;D58,D58&amp;" é "&amp;TEXT(1-H58/I58,"0%")&amp;" mais barata que a Passaro"))</f>
        <v>DOMINALOG é 25% mais barata que a Passaro</v>
      </c>
    </row>
    <row r="59" customFormat="false" ht="15" hidden="false" customHeight="false" outlineLevel="0" collapsed="false">
      <c r="A59" s="18" t="s">
        <v>18</v>
      </c>
      <c r="B59" s="18" t="n">
        <v>2</v>
      </c>
      <c r="C59" s="18" t="s">
        <v>114</v>
      </c>
      <c r="D59" s="18" t="s">
        <v>31</v>
      </c>
      <c r="E59" s="17" t="n">
        <f aca="false">COUNTIFS('Pedidos Top10'!$A$2:$A$1839,A59,'Pedidos Top10'!$C$2:$C$1839,C59,'Pedidos Top10'!$D$2:$D$1839,D59)</f>
        <v>3</v>
      </c>
      <c r="F59" s="21" t="n">
        <f aca="false">E59/COUNTIFS('Pedidos Top10'!$A$2:$A$1839,A59,'Pedidos Top10'!$C$2:$C$1839,C59)</f>
        <v>0.142857142857143</v>
      </c>
      <c r="G59" s="19" t="n">
        <f aca="false">SUMIFS('Pedidos Top10'!$J$2:$J$1839,'Pedidos Top10'!$A$2:$A$1839,A59,'Pedidos Top10'!$C$2:$C$1839,C59,'Pedidos Top10'!$D$2:$D$1839,D59)</f>
        <v>54.7</v>
      </c>
      <c r="H59" s="8" t="n">
        <f aca="false">SUMIFS('Pedidos Top10'!$L$2:$L$1839,'Pedidos Top10'!$A$2:$A$1839,A59,'Pedidos Top10'!$C$2:$C$1839,C59,'Pedidos Top10'!$D$2:$D$1839,D59)</f>
        <v>223.88</v>
      </c>
      <c r="I59" s="8" t="n">
        <f aca="false">SUMIFS('Pedidos Top10'!$AD$2:$AD$1839,'Pedidos Top10'!$A$2:$A$1839,A59,'Pedidos Top10'!$C$2:$C$1839,C59,'Pedidos Top10'!$D$2:$D$1839,D59)</f>
        <v>873.23</v>
      </c>
      <c r="J59" s="8" t="n">
        <f aca="false">I59-H59</f>
        <v>649.35</v>
      </c>
      <c r="K59" s="9" t="n">
        <f aca="false">IF(H59=0,0,J59/H59)</f>
        <v>2.90043773450063</v>
      </c>
      <c r="L59" s="8" t="n">
        <f aca="false">IF(E59=0,0,H59/E59)</f>
        <v>74.6266666666667</v>
      </c>
      <c r="M59" s="8" t="n">
        <f aca="false">IF(E59=0,0,I59/E59)</f>
        <v>291.076666666667</v>
      </c>
      <c r="N59" s="8" t="n">
        <f aca="false">IF(G59=0,0,H59/G59)</f>
        <v>4.09287020109689</v>
      </c>
      <c r="O59" s="8" t="n">
        <f aca="false">IF(G59=0,0,I59/G59)</f>
        <v>15.9639853747715</v>
      </c>
      <c r="P59" s="21" t="n">
        <f aca="false">IF(E59=0,0,COUNTIFS('Pedidos Top10'!$A$2:$A$1839,A59,'Pedidos Top10'!$C$2:$C$1839,C59,'Pedidos Top10'!$D$2:$D$1839,D59,'Pedidos Top10'!$AG$2:$AG$1839,"PASSARO")/E59)</f>
        <v>0</v>
      </c>
      <c r="Q59" s="18" t="str">
        <f aca="false">IF(K59&lt;=-0.05,"Passaro compete: "&amp;TEXT(-K59,"0%")&amp;" abaixo de "&amp;D59,IF(K59&lt;0.05,"Empate técnico com "&amp;D59,D59&amp;" é "&amp;TEXT(1-H59/I59,"0%")&amp;" mais barata que a Passaro"))</f>
        <v>JADLOG é 74% mais barata que a Passaro</v>
      </c>
    </row>
    <row r="60" customFormat="false" ht="15" hidden="false" customHeight="false" outlineLevel="0" collapsed="false">
      <c r="A60" s="18" t="s">
        <v>18</v>
      </c>
      <c r="B60" s="18" t="n">
        <v>3</v>
      </c>
      <c r="C60" s="18" t="s">
        <v>116</v>
      </c>
      <c r="D60" s="18" t="s">
        <v>32</v>
      </c>
      <c r="E60" s="17" t="n">
        <f aca="false">COUNTIFS('Pedidos Top10'!$A$2:$A$1839,A60,'Pedidos Top10'!$C$2:$C$1839,C60,'Pedidos Top10'!$D$2:$D$1839,D60)</f>
        <v>11</v>
      </c>
      <c r="F60" s="21" t="n">
        <f aca="false">E60/COUNTIFS('Pedidos Top10'!$A$2:$A$1839,A60,'Pedidos Top10'!$C$2:$C$1839,C60)</f>
        <v>0.578947368421053</v>
      </c>
      <c r="G60" s="19" t="n">
        <f aca="false">SUMIFS('Pedidos Top10'!$J$2:$J$1839,'Pedidos Top10'!$A$2:$A$1839,A60,'Pedidos Top10'!$C$2:$C$1839,C60,'Pedidos Top10'!$D$2:$D$1839,D60)</f>
        <v>768.97</v>
      </c>
      <c r="H60" s="8" t="n">
        <f aca="false">SUMIFS('Pedidos Top10'!$L$2:$L$1839,'Pedidos Top10'!$A$2:$A$1839,A60,'Pedidos Top10'!$C$2:$C$1839,C60,'Pedidos Top10'!$D$2:$D$1839,D60)</f>
        <v>1928.08</v>
      </c>
      <c r="I60" s="8" t="n">
        <f aca="false">SUMIFS('Pedidos Top10'!$AD$2:$AD$1839,'Pedidos Top10'!$A$2:$A$1839,A60,'Pedidos Top10'!$C$2:$C$1839,C60,'Pedidos Top10'!$D$2:$D$1839,D60)</f>
        <v>3762.09</v>
      </c>
      <c r="J60" s="8" t="n">
        <f aca="false">I60-H60</f>
        <v>1834.01</v>
      </c>
      <c r="K60" s="9" t="n">
        <f aca="false">IF(H60=0,0,J60/H60)</f>
        <v>0.951210530683374</v>
      </c>
      <c r="L60" s="8" t="n">
        <f aca="false">IF(E60=0,0,H60/E60)</f>
        <v>175.28</v>
      </c>
      <c r="M60" s="8" t="n">
        <f aca="false">IF(E60=0,0,I60/E60)</f>
        <v>342.008181818182</v>
      </c>
      <c r="N60" s="8" t="n">
        <f aca="false">IF(G60=0,0,H60/G60)</f>
        <v>2.50735399300363</v>
      </c>
      <c r="O60" s="8" t="n">
        <f aca="false">IF(G60=0,0,I60/G60)</f>
        <v>4.89237551529969</v>
      </c>
      <c r="P60" s="21" t="n">
        <f aca="false">IF(E60=0,0,COUNTIFS('Pedidos Top10'!$A$2:$A$1839,A60,'Pedidos Top10'!$C$2:$C$1839,C60,'Pedidos Top10'!$D$2:$D$1839,D60,'Pedidos Top10'!$AG$2:$AG$1839,"PASSARO")/E60)</f>
        <v>0</v>
      </c>
      <c r="Q60" s="18" t="str">
        <f aca="false">IF(K60&lt;=-0.05,"Passaro compete: "&amp;TEXT(-K60,"0%")&amp;" abaixo de "&amp;D60,IF(K60&lt;0.05,"Empate técnico com "&amp;D60,D60&amp;" é "&amp;TEXT(1-H60/I60,"0%")&amp;" mais barata que a Passaro"))</f>
        <v>Bento Brasil é 49% mais barata que a Passaro</v>
      </c>
    </row>
    <row r="61" customFormat="false" ht="15" hidden="false" customHeight="false" outlineLevel="0" collapsed="false">
      <c r="A61" s="18" t="s">
        <v>18</v>
      </c>
      <c r="B61" s="18" t="n">
        <v>3</v>
      </c>
      <c r="C61" s="18" t="s">
        <v>116</v>
      </c>
      <c r="D61" s="18" t="s">
        <v>30</v>
      </c>
      <c r="E61" s="17" t="n">
        <f aca="false">COUNTIFS('Pedidos Top10'!$A$2:$A$1839,A61,'Pedidos Top10'!$C$2:$C$1839,C61,'Pedidos Top10'!$D$2:$D$1839,D61)</f>
        <v>7</v>
      </c>
      <c r="F61" s="21" t="n">
        <f aca="false">E61/COUNTIFS('Pedidos Top10'!$A$2:$A$1839,A61,'Pedidos Top10'!$C$2:$C$1839,C61)</f>
        <v>0.368421052631579</v>
      </c>
      <c r="G61" s="19" t="n">
        <f aca="false">SUMIFS('Pedidos Top10'!$J$2:$J$1839,'Pedidos Top10'!$A$2:$A$1839,A61,'Pedidos Top10'!$C$2:$C$1839,C61,'Pedidos Top10'!$D$2:$D$1839,D61)</f>
        <v>461.52</v>
      </c>
      <c r="H61" s="8" t="n">
        <f aca="false">SUMIFS('Pedidos Top10'!$L$2:$L$1839,'Pedidos Top10'!$A$2:$A$1839,A61,'Pedidos Top10'!$C$2:$C$1839,C61,'Pedidos Top10'!$D$2:$D$1839,D61)</f>
        <v>1664.02</v>
      </c>
      <c r="I61" s="8" t="n">
        <f aca="false">SUMIFS('Pedidos Top10'!$AD$2:$AD$1839,'Pedidos Top10'!$A$2:$A$1839,A61,'Pedidos Top10'!$C$2:$C$1839,C61,'Pedidos Top10'!$D$2:$D$1839,D61)</f>
        <v>2380.94</v>
      </c>
      <c r="J61" s="8" t="n">
        <f aca="false">I61-H61</f>
        <v>716.92</v>
      </c>
      <c r="K61" s="9" t="n">
        <f aca="false">IF(H61=0,0,J61/H61)</f>
        <v>0.430836167834521</v>
      </c>
      <c r="L61" s="8" t="n">
        <f aca="false">IF(E61=0,0,H61/E61)</f>
        <v>237.717142857143</v>
      </c>
      <c r="M61" s="8" t="n">
        <f aca="false">IF(E61=0,0,I61/E61)</f>
        <v>340.134285714286</v>
      </c>
      <c r="N61" s="8" t="n">
        <f aca="false">IF(G61=0,0,H61/G61)</f>
        <v>3.60552088750217</v>
      </c>
      <c r="O61" s="8" t="n">
        <f aca="false">IF(G61=0,0,I61/G61)</f>
        <v>5.15890968972092</v>
      </c>
      <c r="P61" s="21" t="n">
        <f aca="false">IF(E61=0,0,COUNTIFS('Pedidos Top10'!$A$2:$A$1839,A61,'Pedidos Top10'!$C$2:$C$1839,C61,'Pedidos Top10'!$D$2:$D$1839,D61,'Pedidos Top10'!$AG$2:$AG$1839,"PASSARO")/E61)</f>
        <v>0</v>
      </c>
      <c r="Q61" s="18" t="str">
        <f aca="false">IF(K61&lt;=-0.05,"Passaro compete: "&amp;TEXT(-K61,"0%")&amp;" abaixo de "&amp;D61,IF(K61&lt;0.05,"Empate técnico com "&amp;D61,D61&amp;" é "&amp;TEXT(1-H61/I61,"0%")&amp;" mais barata que a Passaro"))</f>
        <v>DOMINALOG é 30% mais barata que a Passaro</v>
      </c>
    </row>
    <row r="62" customFormat="false" ht="15" hidden="false" customHeight="false" outlineLevel="0" collapsed="false">
      <c r="A62" s="18" t="s">
        <v>18</v>
      </c>
      <c r="B62" s="18" t="n">
        <v>3</v>
      </c>
      <c r="C62" s="18" t="s">
        <v>116</v>
      </c>
      <c r="D62" s="18" t="s">
        <v>31</v>
      </c>
      <c r="E62" s="17" t="n">
        <f aca="false">COUNTIFS('Pedidos Top10'!$A$2:$A$1839,A62,'Pedidos Top10'!$C$2:$C$1839,C62,'Pedidos Top10'!$D$2:$D$1839,D62)</f>
        <v>1</v>
      </c>
      <c r="F62" s="21" t="n">
        <f aca="false">E62/COUNTIFS('Pedidos Top10'!$A$2:$A$1839,A62,'Pedidos Top10'!$C$2:$C$1839,C62)</f>
        <v>0.0526315789473684</v>
      </c>
      <c r="G62" s="19" t="n">
        <f aca="false">SUMIFS('Pedidos Top10'!$J$2:$J$1839,'Pedidos Top10'!$A$2:$A$1839,A62,'Pedidos Top10'!$C$2:$C$1839,C62,'Pedidos Top10'!$D$2:$D$1839,D62)</f>
        <v>19.4</v>
      </c>
      <c r="H62" s="8" t="n">
        <f aca="false">SUMIFS('Pedidos Top10'!$L$2:$L$1839,'Pedidos Top10'!$A$2:$A$1839,A62,'Pedidos Top10'!$C$2:$C$1839,C62,'Pedidos Top10'!$D$2:$D$1839,D62)</f>
        <v>90.67</v>
      </c>
      <c r="I62" s="8" t="n">
        <f aca="false">SUMIFS('Pedidos Top10'!$AD$2:$AD$1839,'Pedidos Top10'!$A$2:$A$1839,A62,'Pedidos Top10'!$C$2:$C$1839,C62,'Pedidos Top10'!$D$2:$D$1839,D62)</f>
        <v>283.36</v>
      </c>
      <c r="J62" s="8" t="n">
        <f aca="false">I62-H62</f>
        <v>192.69</v>
      </c>
      <c r="K62" s="9" t="n">
        <f aca="false">IF(H62=0,0,J62/H62)</f>
        <v>2.12517922135216</v>
      </c>
      <c r="L62" s="8" t="n">
        <f aca="false">IF(E62=0,0,H62/E62)</f>
        <v>90.67</v>
      </c>
      <c r="M62" s="8" t="n">
        <f aca="false">IF(E62=0,0,I62/E62)</f>
        <v>283.36</v>
      </c>
      <c r="N62" s="8" t="n">
        <f aca="false">IF(G62=0,0,H62/G62)</f>
        <v>4.67371134020619</v>
      </c>
      <c r="O62" s="8" t="n">
        <f aca="false">IF(G62=0,0,I62/G62)</f>
        <v>14.6061855670103</v>
      </c>
      <c r="P62" s="21" t="n">
        <f aca="false">IF(E62=0,0,COUNTIFS('Pedidos Top10'!$A$2:$A$1839,A62,'Pedidos Top10'!$C$2:$C$1839,C62,'Pedidos Top10'!$D$2:$D$1839,D62,'Pedidos Top10'!$AG$2:$AG$1839,"PASSARO")/E62)</f>
        <v>0</v>
      </c>
      <c r="Q62" s="18" t="str">
        <f aca="false">IF(K62&lt;=-0.05,"Passaro compete: "&amp;TEXT(-K62,"0%")&amp;" abaixo de "&amp;D62,IF(K62&lt;0.05,"Empate técnico com "&amp;D62,D62&amp;" é "&amp;TEXT(1-H62/I62,"0%")&amp;" mais barata que a Passaro"))</f>
        <v>JADLOG é 68% mais barata que a Passaro</v>
      </c>
    </row>
    <row r="63" customFormat="false" ht="15" hidden="false" customHeight="false" outlineLevel="0" collapsed="false">
      <c r="A63" s="18" t="s">
        <v>18</v>
      </c>
      <c r="B63" s="18" t="n">
        <v>4</v>
      </c>
      <c r="C63" s="18" t="s">
        <v>118</v>
      </c>
      <c r="D63" s="18" t="s">
        <v>32</v>
      </c>
      <c r="E63" s="17" t="n">
        <f aca="false">COUNTIFS('Pedidos Top10'!$A$2:$A$1839,A63,'Pedidos Top10'!$C$2:$C$1839,C63,'Pedidos Top10'!$D$2:$D$1839,D63)</f>
        <v>5</v>
      </c>
      <c r="F63" s="21" t="n">
        <f aca="false">E63/COUNTIFS('Pedidos Top10'!$A$2:$A$1839,A63,'Pedidos Top10'!$C$2:$C$1839,C63)</f>
        <v>0.625</v>
      </c>
      <c r="G63" s="19" t="n">
        <f aca="false">SUMIFS('Pedidos Top10'!$J$2:$J$1839,'Pedidos Top10'!$A$2:$A$1839,A63,'Pedidos Top10'!$C$2:$C$1839,C63,'Pedidos Top10'!$D$2:$D$1839,D63)</f>
        <v>479.2</v>
      </c>
      <c r="H63" s="8" t="n">
        <f aca="false">SUMIFS('Pedidos Top10'!$L$2:$L$1839,'Pedidos Top10'!$A$2:$A$1839,A63,'Pedidos Top10'!$C$2:$C$1839,C63,'Pedidos Top10'!$D$2:$D$1839,D63)</f>
        <v>1455.81</v>
      </c>
      <c r="I63" s="8" t="n">
        <f aca="false">SUMIFS('Pedidos Top10'!$AD$2:$AD$1839,'Pedidos Top10'!$A$2:$A$1839,A63,'Pedidos Top10'!$C$2:$C$1839,C63,'Pedidos Top10'!$D$2:$D$1839,D63)</f>
        <v>1914.77</v>
      </c>
      <c r="J63" s="8" t="n">
        <f aca="false">I63-H63</f>
        <v>458.96</v>
      </c>
      <c r="K63" s="9" t="n">
        <f aca="false">IF(H63=0,0,J63/H63)</f>
        <v>0.315260920037642</v>
      </c>
      <c r="L63" s="8" t="n">
        <f aca="false">IF(E63=0,0,H63/E63)</f>
        <v>291.162</v>
      </c>
      <c r="M63" s="8" t="n">
        <f aca="false">IF(E63=0,0,I63/E63)</f>
        <v>382.954</v>
      </c>
      <c r="N63" s="8" t="n">
        <f aca="false">IF(G63=0,0,H63/G63)</f>
        <v>3.03800083472454</v>
      </c>
      <c r="O63" s="8" t="n">
        <f aca="false">IF(G63=0,0,I63/G63)</f>
        <v>3.99576377295493</v>
      </c>
      <c r="P63" s="21" t="n">
        <f aca="false">IF(E63=0,0,COUNTIFS('Pedidos Top10'!$A$2:$A$1839,A63,'Pedidos Top10'!$C$2:$C$1839,C63,'Pedidos Top10'!$D$2:$D$1839,D63,'Pedidos Top10'!$AG$2:$AG$1839,"PASSARO")/E63)</f>
        <v>0</v>
      </c>
      <c r="Q63" s="18" t="str">
        <f aca="false">IF(K63&lt;=-0.05,"Passaro compete: "&amp;TEXT(-K63,"0%")&amp;" abaixo de "&amp;D63,IF(K63&lt;0.05,"Empate técnico com "&amp;D63,D63&amp;" é "&amp;TEXT(1-H63/I63,"0%")&amp;" mais barata que a Passaro"))</f>
        <v>Bento Brasil é 24% mais barata que a Passaro</v>
      </c>
    </row>
    <row r="64" customFormat="false" ht="15" hidden="false" customHeight="false" outlineLevel="0" collapsed="false">
      <c r="A64" s="18" t="s">
        <v>18</v>
      </c>
      <c r="B64" s="18" t="n">
        <v>4</v>
      </c>
      <c r="C64" s="18" t="s">
        <v>118</v>
      </c>
      <c r="D64" s="18" t="s">
        <v>30</v>
      </c>
      <c r="E64" s="17" t="n">
        <f aca="false">COUNTIFS('Pedidos Top10'!$A$2:$A$1839,A64,'Pedidos Top10'!$C$2:$C$1839,C64,'Pedidos Top10'!$D$2:$D$1839,D64)</f>
        <v>2</v>
      </c>
      <c r="F64" s="21" t="n">
        <f aca="false">E64/COUNTIFS('Pedidos Top10'!$A$2:$A$1839,A64,'Pedidos Top10'!$C$2:$C$1839,C64)</f>
        <v>0.25</v>
      </c>
      <c r="G64" s="19" t="n">
        <f aca="false">SUMIFS('Pedidos Top10'!$J$2:$J$1839,'Pedidos Top10'!$A$2:$A$1839,A64,'Pedidos Top10'!$C$2:$C$1839,C64,'Pedidos Top10'!$D$2:$D$1839,D64)</f>
        <v>137.29</v>
      </c>
      <c r="H64" s="8" t="n">
        <f aca="false">SUMIFS('Pedidos Top10'!$L$2:$L$1839,'Pedidos Top10'!$A$2:$A$1839,A64,'Pedidos Top10'!$C$2:$C$1839,C64,'Pedidos Top10'!$D$2:$D$1839,D64)</f>
        <v>503.73</v>
      </c>
      <c r="I64" s="8" t="n">
        <f aca="false">SUMIFS('Pedidos Top10'!$AD$2:$AD$1839,'Pedidos Top10'!$A$2:$A$1839,A64,'Pedidos Top10'!$C$2:$C$1839,C64,'Pedidos Top10'!$D$2:$D$1839,D64)</f>
        <v>695.86</v>
      </c>
      <c r="J64" s="8" t="n">
        <f aca="false">I64-H64</f>
        <v>192.13</v>
      </c>
      <c r="K64" s="9" t="n">
        <f aca="false">IF(H64=0,0,J64/H64)</f>
        <v>0.381414646735354</v>
      </c>
      <c r="L64" s="8" t="n">
        <f aca="false">IF(E64=0,0,H64/E64)</f>
        <v>251.865</v>
      </c>
      <c r="M64" s="8" t="n">
        <f aca="false">IF(E64=0,0,I64/E64)</f>
        <v>347.93</v>
      </c>
      <c r="N64" s="8" t="n">
        <f aca="false">IF(G64=0,0,H64/G64)</f>
        <v>3.66909461723359</v>
      </c>
      <c r="O64" s="8" t="n">
        <f aca="false">IF(G64=0,0,I64/G64)</f>
        <v>5.06854104450433</v>
      </c>
      <c r="P64" s="21" t="n">
        <f aca="false">IF(E64=0,0,COUNTIFS('Pedidos Top10'!$A$2:$A$1839,A64,'Pedidos Top10'!$C$2:$C$1839,C64,'Pedidos Top10'!$D$2:$D$1839,D64,'Pedidos Top10'!$AG$2:$AG$1839,"PASSARO")/E64)</f>
        <v>0</v>
      </c>
      <c r="Q64" s="18" t="str">
        <f aca="false">IF(K64&lt;=-0.05,"Passaro compete: "&amp;TEXT(-K64,"0%")&amp;" abaixo de "&amp;D64,IF(K64&lt;0.05,"Empate técnico com "&amp;D64,D64&amp;" é "&amp;TEXT(1-H64/I64,"0%")&amp;" mais barata que a Passaro"))</f>
        <v>DOMINALOG é 28% mais barata que a Passaro</v>
      </c>
    </row>
    <row r="65" customFormat="false" ht="15" hidden="false" customHeight="false" outlineLevel="0" collapsed="false">
      <c r="A65" s="18" t="s">
        <v>18</v>
      </c>
      <c r="B65" s="18" t="n">
        <v>4</v>
      </c>
      <c r="C65" s="18" t="s">
        <v>118</v>
      </c>
      <c r="D65" s="18" t="s">
        <v>31</v>
      </c>
      <c r="E65" s="17" t="n">
        <f aca="false">COUNTIFS('Pedidos Top10'!$A$2:$A$1839,A65,'Pedidos Top10'!$C$2:$C$1839,C65,'Pedidos Top10'!$D$2:$D$1839,D65)</f>
        <v>1</v>
      </c>
      <c r="F65" s="21" t="n">
        <f aca="false">E65/COUNTIFS('Pedidos Top10'!$A$2:$A$1839,A65,'Pedidos Top10'!$C$2:$C$1839,C65)</f>
        <v>0.125</v>
      </c>
      <c r="G65" s="19" t="n">
        <f aca="false">SUMIFS('Pedidos Top10'!$J$2:$J$1839,'Pedidos Top10'!$A$2:$A$1839,A65,'Pedidos Top10'!$C$2:$C$1839,C65,'Pedidos Top10'!$D$2:$D$1839,D65)</f>
        <v>22.4</v>
      </c>
      <c r="H65" s="8" t="n">
        <f aca="false">SUMIFS('Pedidos Top10'!$L$2:$L$1839,'Pedidos Top10'!$A$2:$A$1839,A65,'Pedidos Top10'!$C$2:$C$1839,C65,'Pedidos Top10'!$D$2:$D$1839,D65)</f>
        <v>91.09</v>
      </c>
      <c r="I65" s="8" t="n">
        <f aca="false">SUMIFS('Pedidos Top10'!$AD$2:$AD$1839,'Pedidos Top10'!$A$2:$A$1839,A65,'Pedidos Top10'!$C$2:$C$1839,C65,'Pedidos Top10'!$D$2:$D$1839,D65)</f>
        <v>299.19</v>
      </c>
      <c r="J65" s="8" t="n">
        <f aca="false">I65-H65</f>
        <v>208.1</v>
      </c>
      <c r="K65" s="9" t="n">
        <f aca="false">IF(H65=0,0,J65/H65)</f>
        <v>2.28455373806126</v>
      </c>
      <c r="L65" s="8" t="n">
        <f aca="false">IF(E65=0,0,H65/E65)</f>
        <v>91.09</v>
      </c>
      <c r="M65" s="8" t="n">
        <f aca="false">IF(E65=0,0,I65/E65)</f>
        <v>299.19</v>
      </c>
      <c r="N65" s="8" t="n">
        <f aca="false">IF(G65=0,0,H65/G65)</f>
        <v>4.06651785714286</v>
      </c>
      <c r="O65" s="8" t="n">
        <f aca="false">IF(G65=0,0,I65/G65)</f>
        <v>13.3566964285714</v>
      </c>
      <c r="P65" s="21" t="n">
        <f aca="false">IF(E65=0,0,COUNTIFS('Pedidos Top10'!$A$2:$A$1839,A65,'Pedidos Top10'!$C$2:$C$1839,C65,'Pedidos Top10'!$D$2:$D$1839,D65,'Pedidos Top10'!$AG$2:$AG$1839,"PASSARO")/E65)</f>
        <v>0</v>
      </c>
      <c r="Q65" s="18" t="str">
        <f aca="false">IF(K65&lt;=-0.05,"Passaro compete: "&amp;TEXT(-K65,"0%")&amp;" abaixo de "&amp;D65,IF(K65&lt;0.05,"Empate técnico com "&amp;D65,D65&amp;" é "&amp;TEXT(1-H65/I65,"0%")&amp;" mais barata que a Passaro"))</f>
        <v>JADLOG é 70% mais barata que a Passaro</v>
      </c>
    </row>
    <row r="66" customFormat="false" ht="15" hidden="false" customHeight="false" outlineLevel="0" collapsed="false">
      <c r="A66" s="18" t="s">
        <v>18</v>
      </c>
      <c r="B66" s="18" t="n">
        <v>5</v>
      </c>
      <c r="C66" s="18" t="s">
        <v>120</v>
      </c>
      <c r="D66" s="18" t="s">
        <v>30</v>
      </c>
      <c r="E66" s="17" t="n">
        <f aca="false">COUNTIFS('Pedidos Top10'!$A$2:$A$1839,A66,'Pedidos Top10'!$C$2:$C$1839,C66,'Pedidos Top10'!$D$2:$D$1839,D66)</f>
        <v>4</v>
      </c>
      <c r="F66" s="21" t="n">
        <f aca="false">E66/COUNTIFS('Pedidos Top10'!$A$2:$A$1839,A66,'Pedidos Top10'!$C$2:$C$1839,C66)</f>
        <v>0.571428571428571</v>
      </c>
      <c r="G66" s="19" t="n">
        <f aca="false">SUMIFS('Pedidos Top10'!$J$2:$J$1839,'Pedidos Top10'!$A$2:$A$1839,A66,'Pedidos Top10'!$C$2:$C$1839,C66,'Pedidos Top10'!$D$2:$D$1839,D66)</f>
        <v>154.39</v>
      </c>
      <c r="H66" s="8" t="n">
        <f aca="false">SUMIFS('Pedidos Top10'!$L$2:$L$1839,'Pedidos Top10'!$A$2:$A$1839,A66,'Pedidos Top10'!$C$2:$C$1839,C66,'Pedidos Top10'!$D$2:$D$1839,D66)</f>
        <v>770.07</v>
      </c>
      <c r="I66" s="8" t="n">
        <f aca="false">SUMIFS('Pedidos Top10'!$AD$2:$AD$1839,'Pedidos Top10'!$A$2:$A$1839,A66,'Pedidos Top10'!$C$2:$C$1839,C66,'Pedidos Top10'!$D$2:$D$1839,D66)</f>
        <v>1229.71</v>
      </c>
      <c r="J66" s="8" t="n">
        <f aca="false">I66-H66</f>
        <v>459.64</v>
      </c>
      <c r="K66" s="9" t="n">
        <f aca="false">IF(H66=0,0,J66/H66)</f>
        <v>0.596880803043879</v>
      </c>
      <c r="L66" s="8" t="n">
        <f aca="false">IF(E66=0,0,H66/E66)</f>
        <v>192.5175</v>
      </c>
      <c r="M66" s="8" t="n">
        <f aca="false">IF(E66=0,0,I66/E66)</f>
        <v>307.4275</v>
      </c>
      <c r="N66" s="8" t="n">
        <f aca="false">IF(G66=0,0,H66/G66)</f>
        <v>4.98782304553404</v>
      </c>
      <c r="O66" s="8" t="n">
        <f aca="false">IF(G66=0,0,I66/G66)</f>
        <v>7.96495887039316</v>
      </c>
      <c r="P66" s="21" t="n">
        <f aca="false">IF(E66=0,0,COUNTIFS('Pedidos Top10'!$A$2:$A$1839,A66,'Pedidos Top10'!$C$2:$C$1839,C66,'Pedidos Top10'!$D$2:$D$1839,D66,'Pedidos Top10'!$AG$2:$AG$1839,"PASSARO")/E66)</f>
        <v>0</v>
      </c>
      <c r="Q66" s="18" t="str">
        <f aca="false">IF(K66&lt;=-0.05,"Passaro compete: "&amp;TEXT(-K66,"0%")&amp;" abaixo de "&amp;D66,IF(K66&lt;0.05,"Empate técnico com "&amp;D66,D66&amp;" é "&amp;TEXT(1-H66/I66,"0%")&amp;" mais barata que a Passaro"))</f>
        <v>DOMINALOG é 37% mais barata que a Passaro</v>
      </c>
    </row>
    <row r="67" customFormat="false" ht="15" hidden="false" customHeight="false" outlineLevel="0" collapsed="false">
      <c r="A67" s="18" t="s">
        <v>18</v>
      </c>
      <c r="B67" s="18" t="n">
        <v>5</v>
      </c>
      <c r="C67" s="18" t="s">
        <v>120</v>
      </c>
      <c r="D67" s="18" t="s">
        <v>32</v>
      </c>
      <c r="E67" s="17" t="n">
        <f aca="false">COUNTIFS('Pedidos Top10'!$A$2:$A$1839,A67,'Pedidos Top10'!$C$2:$C$1839,C67,'Pedidos Top10'!$D$2:$D$1839,D67)</f>
        <v>3</v>
      </c>
      <c r="F67" s="21" t="n">
        <f aca="false">E67/COUNTIFS('Pedidos Top10'!$A$2:$A$1839,A67,'Pedidos Top10'!$C$2:$C$1839,C67)</f>
        <v>0.428571428571429</v>
      </c>
      <c r="G67" s="19" t="n">
        <f aca="false">SUMIFS('Pedidos Top10'!$J$2:$J$1839,'Pedidos Top10'!$A$2:$A$1839,A67,'Pedidos Top10'!$C$2:$C$1839,C67,'Pedidos Top10'!$D$2:$D$1839,D67)</f>
        <v>112.42</v>
      </c>
      <c r="H67" s="8" t="n">
        <f aca="false">SUMIFS('Pedidos Top10'!$L$2:$L$1839,'Pedidos Top10'!$A$2:$A$1839,A67,'Pedidos Top10'!$C$2:$C$1839,C67,'Pedidos Top10'!$D$2:$D$1839,D67)</f>
        <v>392.24</v>
      </c>
      <c r="I67" s="8" t="n">
        <f aca="false">SUMIFS('Pedidos Top10'!$AD$2:$AD$1839,'Pedidos Top10'!$A$2:$A$1839,A67,'Pedidos Top10'!$C$2:$C$1839,C67,'Pedidos Top10'!$D$2:$D$1839,D67)</f>
        <v>902.06</v>
      </c>
      <c r="J67" s="8" t="n">
        <f aca="false">I67-H67</f>
        <v>509.82</v>
      </c>
      <c r="K67" s="9" t="n">
        <f aca="false">IF(H67=0,0,J67/H67)</f>
        <v>1.29976544972466</v>
      </c>
      <c r="L67" s="8" t="n">
        <f aca="false">IF(E67=0,0,H67/E67)</f>
        <v>130.746666666667</v>
      </c>
      <c r="M67" s="8" t="n">
        <f aca="false">IF(E67=0,0,I67/E67)</f>
        <v>300.686666666667</v>
      </c>
      <c r="N67" s="8" t="n">
        <f aca="false">IF(G67=0,0,H67/G67)</f>
        <v>3.48905888631916</v>
      </c>
      <c r="O67" s="8" t="n">
        <f aca="false">IF(G67=0,0,I67/G67)</f>
        <v>8.0240170788116</v>
      </c>
      <c r="P67" s="21" t="n">
        <f aca="false">IF(E67=0,0,COUNTIFS('Pedidos Top10'!$A$2:$A$1839,A67,'Pedidos Top10'!$C$2:$C$1839,C67,'Pedidos Top10'!$D$2:$D$1839,D67,'Pedidos Top10'!$AG$2:$AG$1839,"PASSARO")/E67)</f>
        <v>0</v>
      </c>
      <c r="Q67" s="18" t="str">
        <f aca="false">IF(K67&lt;=-0.05,"Passaro compete: "&amp;TEXT(-K67,"0%")&amp;" abaixo de "&amp;D67,IF(K67&lt;0.05,"Empate técnico com "&amp;D67,D67&amp;" é "&amp;TEXT(1-H67/I67,"0%")&amp;" mais barata que a Passaro"))</f>
        <v>Bento Brasil é 57% mais barata que a Passaro</v>
      </c>
    </row>
    <row r="68" customFormat="false" ht="15" hidden="false" customHeight="false" outlineLevel="0" collapsed="false">
      <c r="A68" s="18" t="s">
        <v>18</v>
      </c>
      <c r="B68" s="18" t="n">
        <v>6</v>
      </c>
      <c r="C68" s="18" t="s">
        <v>122</v>
      </c>
      <c r="D68" s="18" t="s">
        <v>32</v>
      </c>
      <c r="E68" s="17" t="n">
        <f aca="false">COUNTIFS('Pedidos Top10'!$A$2:$A$1839,A68,'Pedidos Top10'!$C$2:$C$1839,C68,'Pedidos Top10'!$D$2:$D$1839,D68)</f>
        <v>4</v>
      </c>
      <c r="F68" s="21" t="n">
        <f aca="false">E68/COUNTIFS('Pedidos Top10'!$A$2:$A$1839,A68,'Pedidos Top10'!$C$2:$C$1839,C68)</f>
        <v>0.666666666666667</v>
      </c>
      <c r="G68" s="19" t="n">
        <f aca="false">SUMIFS('Pedidos Top10'!$J$2:$J$1839,'Pedidos Top10'!$A$2:$A$1839,A68,'Pedidos Top10'!$C$2:$C$1839,C68,'Pedidos Top10'!$D$2:$D$1839,D68)</f>
        <v>320.1</v>
      </c>
      <c r="H68" s="8" t="n">
        <f aca="false">SUMIFS('Pedidos Top10'!$L$2:$L$1839,'Pedidos Top10'!$A$2:$A$1839,A68,'Pedidos Top10'!$C$2:$C$1839,C68,'Pedidos Top10'!$D$2:$D$1839,D68)</f>
        <v>1014.52</v>
      </c>
      <c r="I68" s="8" t="n">
        <f aca="false">SUMIFS('Pedidos Top10'!$AD$2:$AD$1839,'Pedidos Top10'!$A$2:$A$1839,A68,'Pedidos Top10'!$C$2:$C$1839,C68,'Pedidos Top10'!$D$2:$D$1839,D68)</f>
        <v>1418.77</v>
      </c>
      <c r="J68" s="8" t="n">
        <f aca="false">I68-H68</f>
        <v>404.25</v>
      </c>
      <c r="K68" s="9" t="n">
        <f aca="false">IF(H68=0,0,J68/H68)</f>
        <v>0.398464298387415</v>
      </c>
      <c r="L68" s="8" t="n">
        <f aca="false">IF(E68=0,0,H68/E68)</f>
        <v>253.63</v>
      </c>
      <c r="M68" s="8" t="n">
        <f aca="false">IF(E68=0,0,I68/E68)</f>
        <v>354.6925</v>
      </c>
      <c r="N68" s="8" t="n">
        <f aca="false">IF(G68=0,0,H68/G68)</f>
        <v>3.16938456732271</v>
      </c>
      <c r="O68" s="8" t="n">
        <f aca="false">IF(G68=0,0,I68/G68)</f>
        <v>4.43227116526086</v>
      </c>
      <c r="P68" s="21" t="n">
        <f aca="false">IF(E68=0,0,COUNTIFS('Pedidos Top10'!$A$2:$A$1839,A68,'Pedidos Top10'!$C$2:$C$1839,C68,'Pedidos Top10'!$D$2:$D$1839,D68,'Pedidos Top10'!$AG$2:$AG$1839,"PASSARO")/E68)</f>
        <v>0</v>
      </c>
      <c r="Q68" s="18" t="str">
        <f aca="false">IF(K68&lt;=-0.05,"Passaro compete: "&amp;TEXT(-K68,"0%")&amp;" abaixo de "&amp;D68,IF(K68&lt;0.05,"Empate técnico com "&amp;D68,D68&amp;" é "&amp;TEXT(1-H68/I68,"0%")&amp;" mais barata que a Passaro"))</f>
        <v>Bento Brasil é 28% mais barata que a Passaro</v>
      </c>
    </row>
    <row r="69" customFormat="false" ht="15" hidden="false" customHeight="false" outlineLevel="0" collapsed="false">
      <c r="A69" s="18" t="s">
        <v>18</v>
      </c>
      <c r="B69" s="18" t="n">
        <v>6</v>
      </c>
      <c r="C69" s="18" t="s">
        <v>122</v>
      </c>
      <c r="D69" s="18" t="s">
        <v>30</v>
      </c>
      <c r="E69" s="17" t="n">
        <f aca="false">COUNTIFS('Pedidos Top10'!$A$2:$A$1839,A69,'Pedidos Top10'!$C$2:$C$1839,C69,'Pedidos Top10'!$D$2:$D$1839,D69)</f>
        <v>2</v>
      </c>
      <c r="F69" s="21" t="n">
        <f aca="false">E69/COUNTIFS('Pedidos Top10'!$A$2:$A$1839,A69,'Pedidos Top10'!$C$2:$C$1839,C69)</f>
        <v>0.333333333333333</v>
      </c>
      <c r="G69" s="19" t="n">
        <f aca="false">SUMIFS('Pedidos Top10'!$J$2:$J$1839,'Pedidos Top10'!$A$2:$A$1839,A69,'Pedidos Top10'!$C$2:$C$1839,C69,'Pedidos Top10'!$D$2:$D$1839,D69)</f>
        <v>127.6</v>
      </c>
      <c r="H69" s="8" t="n">
        <f aca="false">SUMIFS('Pedidos Top10'!$L$2:$L$1839,'Pedidos Top10'!$A$2:$A$1839,A69,'Pedidos Top10'!$C$2:$C$1839,C69,'Pedidos Top10'!$D$2:$D$1839,D69)</f>
        <v>570.19</v>
      </c>
      <c r="I69" s="8" t="n">
        <f aca="false">SUMIFS('Pedidos Top10'!$AD$2:$AD$1839,'Pedidos Top10'!$A$2:$A$1839,A69,'Pedidos Top10'!$C$2:$C$1839,C69,'Pedidos Top10'!$D$2:$D$1839,D69)</f>
        <v>661.55</v>
      </c>
      <c r="J69" s="8" t="n">
        <f aca="false">I69-H69</f>
        <v>91.3599999999999</v>
      </c>
      <c r="K69" s="9" t="n">
        <f aca="false">IF(H69=0,0,J69/H69)</f>
        <v>0.160227292656834</v>
      </c>
      <c r="L69" s="8" t="n">
        <f aca="false">IF(E69=0,0,H69/E69)</f>
        <v>285.095</v>
      </c>
      <c r="M69" s="8" t="n">
        <f aca="false">IF(E69=0,0,I69/E69)</f>
        <v>330.775</v>
      </c>
      <c r="N69" s="8" t="n">
        <f aca="false">IF(G69=0,0,H69/G69)</f>
        <v>4.4685736677116</v>
      </c>
      <c r="O69" s="8" t="n">
        <f aca="false">IF(G69=0,0,I69/G69)</f>
        <v>5.18456112852665</v>
      </c>
      <c r="P69" s="21" t="n">
        <f aca="false">IF(E69=0,0,COUNTIFS('Pedidos Top10'!$A$2:$A$1839,A69,'Pedidos Top10'!$C$2:$C$1839,C69,'Pedidos Top10'!$D$2:$D$1839,D69,'Pedidos Top10'!$AG$2:$AG$1839,"PASSARO")/E69)</f>
        <v>0</v>
      </c>
      <c r="Q69" s="18" t="str">
        <f aca="false">IF(K69&lt;=-0.05,"Passaro compete: "&amp;TEXT(-K69,"0%")&amp;" abaixo de "&amp;D69,IF(K69&lt;0.05,"Empate técnico com "&amp;D69,D69&amp;" é "&amp;TEXT(1-H69/I69,"0%")&amp;" mais barata que a Passaro"))</f>
        <v>DOMINALOG é 14% mais barata que a Passaro</v>
      </c>
    </row>
    <row r="70" customFormat="false" ht="15" hidden="false" customHeight="false" outlineLevel="0" collapsed="false">
      <c r="A70" s="18" t="s">
        <v>18</v>
      </c>
      <c r="B70" s="18" t="n">
        <v>7</v>
      </c>
      <c r="C70" s="18" t="s">
        <v>124</v>
      </c>
      <c r="D70" s="18" t="s">
        <v>32</v>
      </c>
      <c r="E70" s="17" t="n">
        <f aca="false">COUNTIFS('Pedidos Top10'!$A$2:$A$1839,A70,'Pedidos Top10'!$C$2:$C$1839,C70,'Pedidos Top10'!$D$2:$D$1839,D70)</f>
        <v>3</v>
      </c>
      <c r="F70" s="21" t="n">
        <f aca="false">E70/COUNTIFS('Pedidos Top10'!$A$2:$A$1839,A70,'Pedidos Top10'!$C$2:$C$1839,C70)</f>
        <v>0.5</v>
      </c>
      <c r="G70" s="19" t="n">
        <f aca="false">SUMIFS('Pedidos Top10'!$J$2:$J$1839,'Pedidos Top10'!$A$2:$A$1839,A70,'Pedidos Top10'!$C$2:$C$1839,C70,'Pedidos Top10'!$D$2:$D$1839,D70)</f>
        <v>248.61</v>
      </c>
      <c r="H70" s="8" t="n">
        <f aca="false">SUMIFS('Pedidos Top10'!$L$2:$L$1839,'Pedidos Top10'!$A$2:$A$1839,A70,'Pedidos Top10'!$C$2:$C$1839,C70,'Pedidos Top10'!$D$2:$D$1839,D70)</f>
        <v>792.53</v>
      </c>
      <c r="I70" s="8" t="n">
        <f aca="false">SUMIFS('Pedidos Top10'!$AD$2:$AD$1839,'Pedidos Top10'!$A$2:$A$1839,A70,'Pedidos Top10'!$C$2:$C$1839,C70,'Pedidos Top10'!$D$2:$D$1839,D70)</f>
        <v>1114.37</v>
      </c>
      <c r="J70" s="8" t="n">
        <f aca="false">I70-H70</f>
        <v>321.84</v>
      </c>
      <c r="K70" s="9" t="n">
        <f aca="false">IF(H70=0,0,J70/H70)</f>
        <v>0.406091882957112</v>
      </c>
      <c r="L70" s="8" t="n">
        <f aca="false">IF(E70=0,0,H70/E70)</f>
        <v>264.176666666667</v>
      </c>
      <c r="M70" s="8" t="n">
        <f aca="false">IF(E70=0,0,I70/E70)</f>
        <v>371.456666666667</v>
      </c>
      <c r="N70" s="8" t="n">
        <f aca="false">IF(G70=0,0,H70/G70)</f>
        <v>3.18784441494711</v>
      </c>
      <c r="O70" s="8" t="n">
        <f aca="false">IF(G70=0,0,I70/G70)</f>
        <v>4.48240215598729</v>
      </c>
      <c r="P70" s="21" t="n">
        <f aca="false">IF(E70=0,0,COUNTIFS('Pedidos Top10'!$A$2:$A$1839,A70,'Pedidos Top10'!$C$2:$C$1839,C70,'Pedidos Top10'!$D$2:$D$1839,D70,'Pedidos Top10'!$AG$2:$AG$1839,"PASSARO")/E70)</f>
        <v>0</v>
      </c>
      <c r="Q70" s="18" t="str">
        <f aca="false">IF(K70&lt;=-0.05,"Passaro compete: "&amp;TEXT(-K70,"0%")&amp;" abaixo de "&amp;D70,IF(K70&lt;0.05,"Empate técnico com "&amp;D70,D70&amp;" é "&amp;TEXT(1-H70/I70,"0%")&amp;" mais barata que a Passaro"))</f>
        <v>Bento Brasil é 29% mais barata que a Passaro</v>
      </c>
    </row>
    <row r="71" customFormat="false" ht="15" hidden="false" customHeight="false" outlineLevel="0" collapsed="false">
      <c r="A71" s="18" t="s">
        <v>18</v>
      </c>
      <c r="B71" s="18" t="n">
        <v>7</v>
      </c>
      <c r="C71" s="18" t="s">
        <v>124</v>
      </c>
      <c r="D71" s="18" t="s">
        <v>30</v>
      </c>
      <c r="E71" s="17" t="n">
        <f aca="false">COUNTIFS('Pedidos Top10'!$A$2:$A$1839,A71,'Pedidos Top10'!$C$2:$C$1839,C71,'Pedidos Top10'!$D$2:$D$1839,D71)</f>
        <v>3</v>
      </c>
      <c r="F71" s="21" t="n">
        <f aca="false">E71/COUNTIFS('Pedidos Top10'!$A$2:$A$1839,A71,'Pedidos Top10'!$C$2:$C$1839,C71)</f>
        <v>0.5</v>
      </c>
      <c r="G71" s="19" t="n">
        <f aca="false">SUMIFS('Pedidos Top10'!$J$2:$J$1839,'Pedidos Top10'!$A$2:$A$1839,A71,'Pedidos Top10'!$C$2:$C$1839,C71,'Pedidos Top10'!$D$2:$D$1839,D71)</f>
        <v>155.5</v>
      </c>
      <c r="H71" s="8" t="n">
        <f aca="false">SUMIFS('Pedidos Top10'!$L$2:$L$1839,'Pedidos Top10'!$A$2:$A$1839,A71,'Pedidos Top10'!$C$2:$C$1839,C71,'Pedidos Top10'!$D$2:$D$1839,D71)</f>
        <v>713.9</v>
      </c>
      <c r="I71" s="8" t="n">
        <f aca="false">SUMIFS('Pedidos Top10'!$AD$2:$AD$1839,'Pedidos Top10'!$A$2:$A$1839,A71,'Pedidos Top10'!$C$2:$C$1839,C71,'Pedidos Top10'!$D$2:$D$1839,D71)</f>
        <v>990.49</v>
      </c>
      <c r="J71" s="8" t="n">
        <f aca="false">I71-H71</f>
        <v>276.59</v>
      </c>
      <c r="K71" s="9" t="n">
        <f aca="false">IF(H71=0,0,J71/H71)</f>
        <v>0.387435215016109</v>
      </c>
      <c r="L71" s="8" t="n">
        <f aca="false">IF(E71=0,0,H71/E71)</f>
        <v>237.966666666667</v>
      </c>
      <c r="M71" s="8" t="n">
        <f aca="false">IF(E71=0,0,I71/E71)</f>
        <v>330.163333333333</v>
      </c>
      <c r="N71" s="8" t="n">
        <f aca="false">IF(G71=0,0,H71/G71)</f>
        <v>4.59099678456592</v>
      </c>
      <c r="O71" s="8" t="n">
        <f aca="false">IF(G71=0,0,I71/G71)</f>
        <v>6.36971061093248</v>
      </c>
      <c r="P71" s="21" t="n">
        <f aca="false">IF(E71=0,0,COUNTIFS('Pedidos Top10'!$A$2:$A$1839,A71,'Pedidos Top10'!$C$2:$C$1839,C71,'Pedidos Top10'!$D$2:$D$1839,D71,'Pedidos Top10'!$AG$2:$AG$1839,"PASSARO")/E71)</f>
        <v>0</v>
      </c>
      <c r="Q71" s="18" t="str">
        <f aca="false">IF(K71&lt;=-0.05,"Passaro compete: "&amp;TEXT(-K71,"0%")&amp;" abaixo de "&amp;D71,IF(K71&lt;0.05,"Empate técnico com "&amp;D71,D71&amp;" é "&amp;TEXT(1-H71/I71,"0%")&amp;" mais barata que a Passaro"))</f>
        <v>DOMINALOG é 28% mais barata que a Passaro</v>
      </c>
    </row>
    <row r="72" customFormat="false" ht="15" hidden="false" customHeight="false" outlineLevel="0" collapsed="false">
      <c r="A72" s="18" t="s">
        <v>18</v>
      </c>
      <c r="B72" s="18" t="n">
        <v>8</v>
      </c>
      <c r="C72" s="18" t="s">
        <v>126</v>
      </c>
      <c r="D72" s="18" t="s">
        <v>32</v>
      </c>
      <c r="E72" s="17" t="n">
        <f aca="false">COUNTIFS('Pedidos Top10'!$A$2:$A$1839,A72,'Pedidos Top10'!$C$2:$C$1839,C72,'Pedidos Top10'!$D$2:$D$1839,D72)</f>
        <v>3</v>
      </c>
      <c r="F72" s="21" t="n">
        <f aca="false">E72/COUNTIFS('Pedidos Top10'!$A$2:$A$1839,A72,'Pedidos Top10'!$C$2:$C$1839,C72)</f>
        <v>0.5</v>
      </c>
      <c r="G72" s="19" t="n">
        <f aca="false">SUMIFS('Pedidos Top10'!$J$2:$J$1839,'Pedidos Top10'!$A$2:$A$1839,A72,'Pedidos Top10'!$C$2:$C$1839,C72,'Pedidos Top10'!$D$2:$D$1839,D72)</f>
        <v>257.7</v>
      </c>
      <c r="H72" s="8" t="n">
        <f aca="false">SUMIFS('Pedidos Top10'!$L$2:$L$1839,'Pedidos Top10'!$A$2:$A$1839,A72,'Pedidos Top10'!$C$2:$C$1839,C72,'Pedidos Top10'!$D$2:$D$1839,D72)</f>
        <v>754.49</v>
      </c>
      <c r="I72" s="8" t="n">
        <f aca="false">SUMIFS('Pedidos Top10'!$AD$2:$AD$1839,'Pedidos Top10'!$A$2:$A$1839,A72,'Pedidos Top10'!$C$2:$C$1839,C72,'Pedidos Top10'!$D$2:$D$1839,D72)</f>
        <v>1110.41</v>
      </c>
      <c r="J72" s="8" t="n">
        <f aca="false">I72-H72</f>
        <v>355.92</v>
      </c>
      <c r="K72" s="9" t="n">
        <f aca="false">IF(H72=0,0,J72/H72)</f>
        <v>0.471735874564275</v>
      </c>
      <c r="L72" s="8" t="n">
        <f aca="false">IF(E72=0,0,H72/E72)</f>
        <v>251.496666666667</v>
      </c>
      <c r="M72" s="8" t="n">
        <f aca="false">IF(E72=0,0,I72/E72)</f>
        <v>370.136666666667</v>
      </c>
      <c r="N72" s="8" t="n">
        <f aca="false">IF(G72=0,0,H72/G72)</f>
        <v>2.92778424524641</v>
      </c>
      <c r="O72" s="8" t="n">
        <f aca="false">IF(G72=0,0,I72/G72)</f>
        <v>4.30892510671323</v>
      </c>
      <c r="P72" s="21" t="n">
        <f aca="false">IF(E72=0,0,COUNTIFS('Pedidos Top10'!$A$2:$A$1839,A72,'Pedidos Top10'!$C$2:$C$1839,C72,'Pedidos Top10'!$D$2:$D$1839,D72,'Pedidos Top10'!$AG$2:$AG$1839,"PASSARO")/E72)</f>
        <v>0</v>
      </c>
      <c r="Q72" s="18" t="str">
        <f aca="false">IF(K72&lt;=-0.05,"Passaro compete: "&amp;TEXT(-K72,"0%")&amp;" abaixo de "&amp;D72,IF(K72&lt;0.05,"Empate técnico com "&amp;D72,D72&amp;" é "&amp;TEXT(1-H72/I72,"0%")&amp;" mais barata que a Passaro"))</f>
        <v>Bento Brasil é 32% mais barata que a Passaro</v>
      </c>
    </row>
    <row r="73" customFormat="false" ht="15" hidden="false" customHeight="false" outlineLevel="0" collapsed="false">
      <c r="A73" s="18" t="s">
        <v>18</v>
      </c>
      <c r="B73" s="18" t="n">
        <v>8</v>
      </c>
      <c r="C73" s="18" t="s">
        <v>126</v>
      </c>
      <c r="D73" s="18" t="s">
        <v>30</v>
      </c>
      <c r="E73" s="17" t="n">
        <f aca="false">COUNTIFS('Pedidos Top10'!$A$2:$A$1839,A73,'Pedidos Top10'!$C$2:$C$1839,C73,'Pedidos Top10'!$D$2:$D$1839,D73)</f>
        <v>3</v>
      </c>
      <c r="F73" s="21" t="n">
        <f aca="false">E73/COUNTIFS('Pedidos Top10'!$A$2:$A$1839,A73,'Pedidos Top10'!$C$2:$C$1839,C73)</f>
        <v>0.5</v>
      </c>
      <c r="G73" s="19" t="n">
        <f aca="false">SUMIFS('Pedidos Top10'!$J$2:$J$1839,'Pedidos Top10'!$A$2:$A$1839,A73,'Pedidos Top10'!$C$2:$C$1839,C73,'Pedidos Top10'!$D$2:$D$1839,D73)</f>
        <v>158.75</v>
      </c>
      <c r="H73" s="8" t="n">
        <f aca="false">SUMIFS('Pedidos Top10'!$L$2:$L$1839,'Pedidos Top10'!$A$2:$A$1839,A73,'Pedidos Top10'!$C$2:$C$1839,C73,'Pedidos Top10'!$D$2:$D$1839,D73)</f>
        <v>681.33</v>
      </c>
      <c r="I73" s="8" t="n">
        <f aca="false">SUMIFS('Pedidos Top10'!$AD$2:$AD$1839,'Pedidos Top10'!$A$2:$A$1839,A73,'Pedidos Top10'!$C$2:$C$1839,C73,'Pedidos Top10'!$D$2:$D$1839,D73)</f>
        <v>994.91</v>
      </c>
      <c r="J73" s="8" t="n">
        <f aca="false">I73-H73</f>
        <v>313.58</v>
      </c>
      <c r="K73" s="9" t="n">
        <f aca="false">IF(H73=0,0,J73/H73)</f>
        <v>0.460246870092319</v>
      </c>
      <c r="L73" s="8" t="n">
        <f aca="false">IF(E73=0,0,H73/E73)</f>
        <v>227.11</v>
      </c>
      <c r="M73" s="8" t="n">
        <f aca="false">IF(E73=0,0,I73/E73)</f>
        <v>331.636666666667</v>
      </c>
      <c r="N73" s="8" t="n">
        <f aca="false">IF(G73=0,0,H73/G73)</f>
        <v>4.29184251968504</v>
      </c>
      <c r="O73" s="8" t="n">
        <f aca="false">IF(G73=0,0,I73/G73)</f>
        <v>6.26714960629921</v>
      </c>
      <c r="P73" s="21" t="n">
        <f aca="false">IF(E73=0,0,COUNTIFS('Pedidos Top10'!$A$2:$A$1839,A73,'Pedidos Top10'!$C$2:$C$1839,C73,'Pedidos Top10'!$D$2:$D$1839,D73,'Pedidos Top10'!$AG$2:$AG$1839,"PASSARO")/E73)</f>
        <v>0</v>
      </c>
      <c r="Q73" s="18" t="str">
        <f aca="false">IF(K73&lt;=-0.05,"Passaro compete: "&amp;TEXT(-K73,"0%")&amp;" abaixo de "&amp;D73,IF(K73&lt;0.05,"Empate técnico com "&amp;D73,D73&amp;" é "&amp;TEXT(1-H73/I73,"0%")&amp;" mais barata que a Passaro"))</f>
        <v>DOMINALOG é 32% mais barata que a Passaro</v>
      </c>
    </row>
    <row r="74" customFormat="false" ht="15" hidden="false" customHeight="false" outlineLevel="0" collapsed="false">
      <c r="A74" s="18" t="s">
        <v>18</v>
      </c>
      <c r="B74" s="18" t="n">
        <v>9</v>
      </c>
      <c r="C74" s="18" t="s">
        <v>127</v>
      </c>
      <c r="D74" s="18" t="s">
        <v>30</v>
      </c>
      <c r="E74" s="17" t="n">
        <f aca="false">COUNTIFS('Pedidos Top10'!$A$2:$A$1839,A74,'Pedidos Top10'!$C$2:$C$1839,C74,'Pedidos Top10'!$D$2:$D$1839,D74)</f>
        <v>4</v>
      </c>
      <c r="F74" s="21" t="n">
        <f aca="false">E74/COUNTIFS('Pedidos Top10'!$A$2:$A$1839,A74,'Pedidos Top10'!$C$2:$C$1839,C74)</f>
        <v>0.666666666666667</v>
      </c>
      <c r="G74" s="19" t="n">
        <f aca="false">SUMIFS('Pedidos Top10'!$J$2:$J$1839,'Pedidos Top10'!$A$2:$A$1839,A74,'Pedidos Top10'!$C$2:$C$1839,C74,'Pedidos Top10'!$D$2:$D$1839,D74)</f>
        <v>116</v>
      </c>
      <c r="H74" s="8" t="n">
        <f aca="false">SUMIFS('Pedidos Top10'!$L$2:$L$1839,'Pedidos Top10'!$A$2:$A$1839,A74,'Pedidos Top10'!$C$2:$C$1839,C74,'Pedidos Top10'!$D$2:$D$1839,D74)</f>
        <v>671.28</v>
      </c>
      <c r="I74" s="8" t="n">
        <f aca="false">SUMIFS('Pedidos Top10'!$AD$2:$AD$1839,'Pedidos Top10'!$A$2:$A$1839,A74,'Pedidos Top10'!$C$2:$C$1839,C74,'Pedidos Top10'!$D$2:$D$1839,D74)</f>
        <v>1228.83</v>
      </c>
      <c r="J74" s="8" t="n">
        <f aca="false">I74-H74</f>
        <v>557.55</v>
      </c>
      <c r="K74" s="9" t="n">
        <f aca="false">IF(H74=0,0,J74/H74)</f>
        <v>0.830577404361816</v>
      </c>
      <c r="L74" s="8" t="n">
        <f aca="false">IF(E74=0,0,H74/E74)</f>
        <v>167.82</v>
      </c>
      <c r="M74" s="8" t="n">
        <f aca="false">IF(E74=0,0,I74/E74)</f>
        <v>307.2075</v>
      </c>
      <c r="N74" s="8" t="n">
        <f aca="false">IF(G74=0,0,H74/G74)</f>
        <v>5.78689655172414</v>
      </c>
      <c r="O74" s="8" t="n">
        <f aca="false">IF(G74=0,0,I74/G74)</f>
        <v>10.5933620689655</v>
      </c>
      <c r="P74" s="21" t="n">
        <f aca="false">IF(E74=0,0,COUNTIFS('Pedidos Top10'!$A$2:$A$1839,A74,'Pedidos Top10'!$C$2:$C$1839,C74,'Pedidos Top10'!$D$2:$D$1839,D74,'Pedidos Top10'!$AG$2:$AG$1839,"PASSARO")/E74)</f>
        <v>0</v>
      </c>
      <c r="Q74" s="18" t="str">
        <f aca="false">IF(K74&lt;=-0.05,"Passaro compete: "&amp;TEXT(-K74,"0%")&amp;" abaixo de "&amp;D74,IF(K74&lt;0.05,"Empate técnico com "&amp;D74,D74&amp;" é "&amp;TEXT(1-H74/I74,"0%")&amp;" mais barata que a Passaro"))</f>
        <v>DOMINALOG é 45% mais barata que a Passaro</v>
      </c>
    </row>
    <row r="75" customFormat="false" ht="15" hidden="false" customHeight="false" outlineLevel="0" collapsed="false">
      <c r="A75" s="18" t="s">
        <v>18</v>
      </c>
      <c r="B75" s="18" t="n">
        <v>9</v>
      </c>
      <c r="C75" s="18" t="s">
        <v>127</v>
      </c>
      <c r="D75" s="18" t="s">
        <v>32</v>
      </c>
      <c r="E75" s="17" t="n">
        <f aca="false">COUNTIFS('Pedidos Top10'!$A$2:$A$1839,A75,'Pedidos Top10'!$C$2:$C$1839,C75,'Pedidos Top10'!$D$2:$D$1839,D75)</f>
        <v>2</v>
      </c>
      <c r="F75" s="21" t="n">
        <f aca="false">E75/COUNTIFS('Pedidos Top10'!$A$2:$A$1839,A75,'Pedidos Top10'!$C$2:$C$1839,C75)</f>
        <v>0.333333333333333</v>
      </c>
      <c r="G75" s="19" t="n">
        <f aca="false">SUMIFS('Pedidos Top10'!$J$2:$J$1839,'Pedidos Top10'!$A$2:$A$1839,A75,'Pedidos Top10'!$C$2:$C$1839,C75,'Pedidos Top10'!$D$2:$D$1839,D75)</f>
        <v>230.5</v>
      </c>
      <c r="H75" s="8" t="n">
        <f aca="false">SUMIFS('Pedidos Top10'!$L$2:$L$1839,'Pedidos Top10'!$A$2:$A$1839,A75,'Pedidos Top10'!$C$2:$C$1839,C75,'Pedidos Top10'!$D$2:$D$1839,D75)</f>
        <v>626.46</v>
      </c>
      <c r="I75" s="8" t="n">
        <f aca="false">SUMIFS('Pedidos Top10'!$AD$2:$AD$1839,'Pedidos Top10'!$A$2:$A$1839,A75,'Pedidos Top10'!$C$2:$C$1839,C75,'Pedidos Top10'!$D$2:$D$1839,D75)</f>
        <v>839.27</v>
      </c>
      <c r="J75" s="8" t="n">
        <f aca="false">I75-H75</f>
        <v>212.81</v>
      </c>
      <c r="K75" s="9" t="n">
        <f aca="false">IF(H75=0,0,J75/H75)</f>
        <v>0.339702455064968</v>
      </c>
      <c r="L75" s="8" t="n">
        <f aca="false">IF(E75=0,0,H75/E75)</f>
        <v>313.23</v>
      </c>
      <c r="M75" s="8" t="n">
        <f aca="false">IF(E75=0,0,I75/E75)</f>
        <v>419.635</v>
      </c>
      <c r="N75" s="8" t="n">
        <f aca="false">IF(G75=0,0,H75/G75)</f>
        <v>2.71783080260304</v>
      </c>
      <c r="O75" s="8" t="n">
        <f aca="false">IF(G75=0,0,I75/G75)</f>
        <v>3.64108459869848</v>
      </c>
      <c r="P75" s="21" t="n">
        <f aca="false">IF(E75=0,0,COUNTIFS('Pedidos Top10'!$A$2:$A$1839,A75,'Pedidos Top10'!$C$2:$C$1839,C75,'Pedidos Top10'!$D$2:$D$1839,D75,'Pedidos Top10'!$AG$2:$AG$1839,"PASSARO")/E75)</f>
        <v>0</v>
      </c>
      <c r="Q75" s="18" t="str">
        <f aca="false">IF(K75&lt;=-0.05,"Passaro compete: "&amp;TEXT(-K75,"0%")&amp;" abaixo de "&amp;D75,IF(K75&lt;0.05,"Empate técnico com "&amp;D75,D75&amp;" é "&amp;TEXT(1-H75/I75,"0%")&amp;" mais barata que a Passaro"))</f>
        <v>Bento Brasil é 25% mais barata que a Passaro</v>
      </c>
    </row>
    <row r="76" customFormat="false" ht="15" hidden="false" customHeight="false" outlineLevel="0" collapsed="false">
      <c r="A76" s="18" t="s">
        <v>18</v>
      </c>
      <c r="B76" s="18" t="n">
        <v>10</v>
      </c>
      <c r="C76" s="18" t="s">
        <v>129</v>
      </c>
      <c r="D76" s="18" t="s">
        <v>32</v>
      </c>
      <c r="E76" s="17" t="n">
        <f aca="false">COUNTIFS('Pedidos Top10'!$A$2:$A$1839,A76,'Pedidos Top10'!$C$2:$C$1839,C76,'Pedidos Top10'!$D$2:$D$1839,D76)</f>
        <v>4</v>
      </c>
      <c r="F76" s="21" t="n">
        <f aca="false">E76/COUNTIFS('Pedidos Top10'!$A$2:$A$1839,A76,'Pedidos Top10'!$C$2:$C$1839,C76)</f>
        <v>0.8</v>
      </c>
      <c r="G76" s="19" t="n">
        <f aca="false">SUMIFS('Pedidos Top10'!$J$2:$J$1839,'Pedidos Top10'!$A$2:$A$1839,A76,'Pedidos Top10'!$C$2:$C$1839,C76,'Pedidos Top10'!$D$2:$D$1839,D76)</f>
        <v>244.02</v>
      </c>
      <c r="H76" s="8" t="n">
        <f aca="false">SUMIFS('Pedidos Top10'!$L$2:$L$1839,'Pedidos Top10'!$A$2:$A$1839,A76,'Pedidos Top10'!$C$2:$C$1839,C76,'Pedidos Top10'!$D$2:$D$1839,D76)</f>
        <v>907.88</v>
      </c>
      <c r="I76" s="8" t="n">
        <f aca="false">SUMIFS('Pedidos Top10'!$AD$2:$AD$1839,'Pedidos Top10'!$A$2:$A$1839,A76,'Pedidos Top10'!$C$2:$C$1839,C76,'Pedidos Top10'!$D$2:$D$1839,D76)</f>
        <v>1341.68</v>
      </c>
      <c r="J76" s="8" t="n">
        <f aca="false">I76-H76</f>
        <v>433.8</v>
      </c>
      <c r="K76" s="9" t="n">
        <f aca="false">IF(H76=0,0,J76/H76)</f>
        <v>0.477816451513416</v>
      </c>
      <c r="L76" s="8" t="n">
        <f aca="false">IF(E76=0,0,H76/E76)</f>
        <v>226.97</v>
      </c>
      <c r="M76" s="8" t="n">
        <f aca="false">IF(E76=0,0,I76/E76)</f>
        <v>335.42</v>
      </c>
      <c r="N76" s="8" t="n">
        <f aca="false">IF(G76=0,0,H76/G76)</f>
        <v>3.72051471190886</v>
      </c>
      <c r="O76" s="8" t="n">
        <f aca="false">IF(G76=0,0,I76/G76)</f>
        <v>5.49823784935661</v>
      </c>
      <c r="P76" s="21" t="n">
        <f aca="false">IF(E76=0,0,COUNTIFS('Pedidos Top10'!$A$2:$A$1839,A76,'Pedidos Top10'!$C$2:$C$1839,C76,'Pedidos Top10'!$D$2:$D$1839,D76,'Pedidos Top10'!$AG$2:$AG$1839,"PASSARO")/E76)</f>
        <v>0</v>
      </c>
      <c r="Q76" s="18" t="str">
        <f aca="false">IF(K76&lt;=-0.05,"Passaro compete: "&amp;TEXT(-K76,"0%")&amp;" abaixo de "&amp;D76,IF(K76&lt;0.05,"Empate técnico com "&amp;D76,D76&amp;" é "&amp;TEXT(1-H76/I76,"0%")&amp;" mais barata que a Passaro"))</f>
        <v>Bento Brasil é 32% mais barata que a Passaro</v>
      </c>
    </row>
    <row r="77" customFormat="false" ht="15" hidden="false" customHeight="false" outlineLevel="0" collapsed="false">
      <c r="A77" s="18" t="s">
        <v>18</v>
      </c>
      <c r="B77" s="18" t="n">
        <v>10</v>
      </c>
      <c r="C77" s="18" t="s">
        <v>129</v>
      </c>
      <c r="D77" s="18" t="s">
        <v>30</v>
      </c>
      <c r="E77" s="17" t="n">
        <f aca="false">COUNTIFS('Pedidos Top10'!$A$2:$A$1839,A77,'Pedidos Top10'!$C$2:$C$1839,C77,'Pedidos Top10'!$D$2:$D$1839,D77)</f>
        <v>1</v>
      </c>
      <c r="F77" s="21" t="n">
        <f aca="false">E77/COUNTIFS('Pedidos Top10'!$A$2:$A$1839,A77,'Pedidos Top10'!$C$2:$C$1839,C77)</f>
        <v>0.2</v>
      </c>
      <c r="G77" s="19" t="n">
        <f aca="false">SUMIFS('Pedidos Top10'!$J$2:$J$1839,'Pedidos Top10'!$A$2:$A$1839,A77,'Pedidos Top10'!$C$2:$C$1839,C77,'Pedidos Top10'!$D$2:$D$1839,D77)</f>
        <v>27.6</v>
      </c>
      <c r="H77" s="8" t="n">
        <f aca="false">SUMIFS('Pedidos Top10'!$L$2:$L$1839,'Pedidos Top10'!$A$2:$A$1839,A77,'Pedidos Top10'!$C$2:$C$1839,C77,'Pedidos Top10'!$D$2:$D$1839,D77)</f>
        <v>148.31</v>
      </c>
      <c r="I77" s="8" t="n">
        <f aca="false">SUMIFS('Pedidos Top10'!$AD$2:$AD$1839,'Pedidos Top10'!$A$2:$A$1839,A77,'Pedidos Top10'!$C$2:$C$1839,C77,'Pedidos Top10'!$D$2:$D$1839,D77)</f>
        <v>286.47</v>
      </c>
      <c r="J77" s="8" t="n">
        <f aca="false">I77-H77</f>
        <v>138.16</v>
      </c>
      <c r="K77" s="9" t="n">
        <f aca="false">IF(H77=0,0,J77/H77)</f>
        <v>0.931562268221968</v>
      </c>
      <c r="L77" s="8" t="n">
        <f aca="false">IF(E77=0,0,H77/E77)</f>
        <v>148.31</v>
      </c>
      <c r="M77" s="8" t="n">
        <f aca="false">IF(E77=0,0,I77/E77)</f>
        <v>286.47</v>
      </c>
      <c r="N77" s="8" t="n">
        <f aca="false">IF(G77=0,0,H77/G77)</f>
        <v>5.37355072463768</v>
      </c>
      <c r="O77" s="8" t="n">
        <f aca="false">IF(G77=0,0,I77/G77)</f>
        <v>10.379347826087</v>
      </c>
      <c r="P77" s="21" t="n">
        <f aca="false">IF(E77=0,0,COUNTIFS('Pedidos Top10'!$A$2:$A$1839,A77,'Pedidos Top10'!$C$2:$C$1839,C77,'Pedidos Top10'!$D$2:$D$1839,D77,'Pedidos Top10'!$AG$2:$AG$1839,"PASSARO")/E77)</f>
        <v>0</v>
      </c>
      <c r="Q77" s="18" t="str">
        <f aca="false">IF(K77&lt;=-0.05,"Passaro compete: "&amp;TEXT(-K77,"0%")&amp;" abaixo de "&amp;D77,IF(K77&lt;0.05,"Empate técnico com "&amp;D77,D77&amp;" é "&amp;TEXT(1-H77/I77,"0%")&amp;" mais barata que a Passaro"))</f>
        <v>DOMINALOG é 48% mais barata que a Passaro</v>
      </c>
    </row>
    <row r="78" customFormat="false" ht="15" hidden="false" customHeight="false" outlineLevel="0" collapsed="false">
      <c r="A78" s="18" t="s">
        <v>19</v>
      </c>
      <c r="B78" s="18" t="n">
        <v>1</v>
      </c>
      <c r="C78" s="18" t="s">
        <v>131</v>
      </c>
      <c r="D78" s="18" t="s">
        <v>30</v>
      </c>
      <c r="E78" s="17" t="n">
        <f aca="false">COUNTIFS('Pedidos Top10'!$A$2:$A$1839,A78,'Pedidos Top10'!$C$2:$C$1839,C78,'Pedidos Top10'!$D$2:$D$1839,D78)</f>
        <v>64</v>
      </c>
      <c r="F78" s="21" t="n">
        <f aca="false">E78/COUNTIFS('Pedidos Top10'!$A$2:$A$1839,A78,'Pedidos Top10'!$C$2:$C$1839,C78)</f>
        <v>0.914285714285714</v>
      </c>
      <c r="G78" s="19" t="n">
        <f aca="false">SUMIFS('Pedidos Top10'!$J$2:$J$1839,'Pedidos Top10'!$A$2:$A$1839,A78,'Pedidos Top10'!$C$2:$C$1839,C78,'Pedidos Top10'!$D$2:$D$1839,D78)</f>
        <v>3050.24</v>
      </c>
      <c r="H78" s="8" t="n">
        <f aca="false">SUMIFS('Pedidos Top10'!$L$2:$L$1839,'Pedidos Top10'!$A$2:$A$1839,A78,'Pedidos Top10'!$C$2:$C$1839,C78,'Pedidos Top10'!$D$2:$D$1839,D78)</f>
        <v>10601.81</v>
      </c>
      <c r="I78" s="8" t="n">
        <f aca="false">SUMIFS('Pedidos Top10'!$AD$2:$AD$1839,'Pedidos Top10'!$A$2:$A$1839,A78,'Pedidos Top10'!$C$2:$C$1839,C78,'Pedidos Top10'!$D$2:$D$1839,D78)</f>
        <v>10050.26</v>
      </c>
      <c r="J78" s="8" t="n">
        <f aca="false">I78-H78</f>
        <v>-551.549999999999</v>
      </c>
      <c r="K78" s="9" t="n">
        <f aca="false">IF(H78=0,0,J78/H78)</f>
        <v>-0.0520241355013907</v>
      </c>
      <c r="L78" s="8" t="n">
        <f aca="false">IF(E78=0,0,H78/E78)</f>
        <v>165.65328125</v>
      </c>
      <c r="M78" s="8" t="n">
        <f aca="false">IF(E78=0,0,I78/E78)</f>
        <v>157.0353125</v>
      </c>
      <c r="N78" s="8" t="n">
        <f aca="false">IF(G78=0,0,H78/G78)</f>
        <v>3.47572977864037</v>
      </c>
      <c r="O78" s="8" t="n">
        <f aca="false">IF(G78=0,0,I78/G78)</f>
        <v>3.29490794167016</v>
      </c>
      <c r="P78" s="21" t="n">
        <f aca="false">IF(E78=0,0,COUNTIFS('Pedidos Top10'!$A$2:$A$1839,A78,'Pedidos Top10'!$C$2:$C$1839,C78,'Pedidos Top10'!$D$2:$D$1839,D78,'Pedidos Top10'!$AG$2:$AG$1839,"PASSARO")/E78)</f>
        <v>0.515625</v>
      </c>
      <c r="Q78" s="18" t="str">
        <f aca="false">IF(K78&lt;=-0.05,"Passaro compete: "&amp;TEXT(-K78,"0%")&amp;" abaixo de "&amp;D78,IF(K78&lt;0.05,"Empate técnico com "&amp;D78,D78&amp;" é "&amp;TEXT(1-H78/I78,"0%")&amp;" mais barata que a Passaro"))</f>
        <v>Passaro compete: 5% abaixo de DOMINALOG</v>
      </c>
    </row>
    <row r="79" customFormat="false" ht="15" hidden="false" customHeight="false" outlineLevel="0" collapsed="false">
      <c r="A79" s="18" t="s">
        <v>19</v>
      </c>
      <c r="B79" s="18" t="n">
        <v>1</v>
      </c>
      <c r="C79" s="18" t="s">
        <v>131</v>
      </c>
      <c r="D79" s="18" t="s">
        <v>31</v>
      </c>
      <c r="E79" s="17" t="n">
        <f aca="false">COUNTIFS('Pedidos Top10'!$A$2:$A$1839,A79,'Pedidos Top10'!$C$2:$C$1839,C79,'Pedidos Top10'!$D$2:$D$1839,D79)</f>
        <v>6</v>
      </c>
      <c r="F79" s="21" t="n">
        <f aca="false">E79/COUNTIFS('Pedidos Top10'!$A$2:$A$1839,A79,'Pedidos Top10'!$C$2:$C$1839,C79)</f>
        <v>0.0857142857142857</v>
      </c>
      <c r="G79" s="19" t="n">
        <f aca="false">SUMIFS('Pedidos Top10'!$J$2:$J$1839,'Pedidos Top10'!$A$2:$A$1839,A79,'Pedidos Top10'!$C$2:$C$1839,C79,'Pedidos Top10'!$D$2:$D$1839,D79)</f>
        <v>110.4</v>
      </c>
      <c r="H79" s="8" t="n">
        <f aca="false">SUMIFS('Pedidos Top10'!$L$2:$L$1839,'Pedidos Top10'!$A$2:$A$1839,A79,'Pedidos Top10'!$C$2:$C$1839,C79,'Pedidos Top10'!$D$2:$D$1839,D79)</f>
        <v>489.52</v>
      </c>
      <c r="I79" s="8" t="n">
        <f aca="false">SUMIFS('Pedidos Top10'!$AD$2:$AD$1839,'Pedidos Top10'!$A$2:$A$1839,A79,'Pedidos Top10'!$C$2:$C$1839,C79,'Pedidos Top10'!$D$2:$D$1839,D79)</f>
        <v>763.11</v>
      </c>
      <c r="J79" s="8" t="n">
        <f aca="false">I79-H79</f>
        <v>273.59</v>
      </c>
      <c r="K79" s="9" t="n">
        <f aca="false">IF(H79=0,0,J79/H79)</f>
        <v>0.558894427193986</v>
      </c>
      <c r="L79" s="8" t="n">
        <f aca="false">IF(E79=0,0,H79/E79)</f>
        <v>81.5866666666667</v>
      </c>
      <c r="M79" s="8" t="n">
        <f aca="false">IF(E79=0,0,I79/E79)</f>
        <v>127.185</v>
      </c>
      <c r="N79" s="8" t="n">
        <f aca="false">IF(G79=0,0,H79/G79)</f>
        <v>4.43405797101449</v>
      </c>
      <c r="O79" s="8" t="n">
        <f aca="false">IF(G79=0,0,I79/G79)</f>
        <v>6.91222826086957</v>
      </c>
      <c r="P79" s="21" t="n">
        <f aca="false">IF(E79=0,0,COUNTIFS('Pedidos Top10'!$A$2:$A$1839,A79,'Pedidos Top10'!$C$2:$C$1839,C79,'Pedidos Top10'!$D$2:$D$1839,D79,'Pedidos Top10'!$AG$2:$AG$1839,"PASSARO")/E79)</f>
        <v>0</v>
      </c>
      <c r="Q79" s="18" t="str">
        <f aca="false">IF(K79&lt;=-0.05,"Passaro compete: "&amp;TEXT(-K79,"0%")&amp;" abaixo de "&amp;D79,IF(K79&lt;0.05,"Empate técnico com "&amp;D79,D79&amp;" é "&amp;TEXT(1-H79/I79,"0%")&amp;" mais barata que a Passaro"))</f>
        <v>JADLOG é 36% mais barata que a Passaro</v>
      </c>
    </row>
    <row r="80" customFormat="false" ht="15" hidden="false" customHeight="false" outlineLevel="0" collapsed="false">
      <c r="A80" s="18" t="s">
        <v>19</v>
      </c>
      <c r="B80" s="18" t="n">
        <v>2</v>
      </c>
      <c r="C80" s="18" t="s">
        <v>133</v>
      </c>
      <c r="D80" s="18" t="s">
        <v>30</v>
      </c>
      <c r="E80" s="17" t="n">
        <f aca="false">COUNTIFS('Pedidos Top10'!$A$2:$A$1839,A80,'Pedidos Top10'!$C$2:$C$1839,C80,'Pedidos Top10'!$D$2:$D$1839,D80)</f>
        <v>14</v>
      </c>
      <c r="F80" s="21" t="n">
        <f aca="false">E80/COUNTIFS('Pedidos Top10'!$A$2:$A$1839,A80,'Pedidos Top10'!$C$2:$C$1839,C80)</f>
        <v>0.875</v>
      </c>
      <c r="G80" s="19" t="n">
        <f aca="false">SUMIFS('Pedidos Top10'!$J$2:$J$1839,'Pedidos Top10'!$A$2:$A$1839,A80,'Pedidos Top10'!$C$2:$C$1839,C80,'Pedidos Top10'!$D$2:$D$1839,D80)</f>
        <v>819.71</v>
      </c>
      <c r="H80" s="8" t="n">
        <f aca="false">SUMIFS('Pedidos Top10'!$L$2:$L$1839,'Pedidos Top10'!$A$2:$A$1839,A80,'Pedidos Top10'!$C$2:$C$1839,C80,'Pedidos Top10'!$D$2:$D$1839,D80)</f>
        <v>3256.28</v>
      </c>
      <c r="I80" s="8" t="n">
        <f aca="false">SUMIFS('Pedidos Top10'!$AD$2:$AD$1839,'Pedidos Top10'!$A$2:$A$1839,A80,'Pedidos Top10'!$C$2:$C$1839,C80,'Pedidos Top10'!$D$2:$D$1839,D80)</f>
        <v>2550.47</v>
      </c>
      <c r="J80" s="8" t="n">
        <f aca="false">I80-H80</f>
        <v>-705.81</v>
      </c>
      <c r="K80" s="9" t="n">
        <f aca="false">IF(H80=0,0,J80/H80)</f>
        <v>-0.216753473288538</v>
      </c>
      <c r="L80" s="8" t="n">
        <f aca="false">IF(E80=0,0,H80/E80)</f>
        <v>232.591428571429</v>
      </c>
      <c r="M80" s="8" t="n">
        <f aca="false">IF(E80=0,0,I80/E80)</f>
        <v>182.176428571429</v>
      </c>
      <c r="N80" s="8" t="n">
        <f aca="false">IF(G80=0,0,H80/G80)</f>
        <v>3.9724780715131</v>
      </c>
      <c r="O80" s="8" t="n">
        <f aca="false">IF(G80=0,0,I80/G80)</f>
        <v>3.11142965195008</v>
      </c>
      <c r="P80" s="21" t="n">
        <f aca="false">IF(E80=0,0,COUNTIFS('Pedidos Top10'!$A$2:$A$1839,A80,'Pedidos Top10'!$C$2:$C$1839,C80,'Pedidos Top10'!$D$2:$D$1839,D80,'Pedidos Top10'!$AG$2:$AG$1839,"PASSARO")/E80)</f>
        <v>0.785714285714286</v>
      </c>
      <c r="Q80" s="18" t="str">
        <f aca="false">IF(K80&lt;=-0.05,"Passaro compete: "&amp;TEXT(-K80,"0%")&amp;" abaixo de "&amp;D80,IF(K80&lt;0.05,"Empate técnico com "&amp;D80,D80&amp;" é "&amp;TEXT(1-H80/I80,"0%")&amp;" mais barata que a Passaro"))</f>
        <v>Passaro compete: 22% abaixo de DOMINALOG</v>
      </c>
    </row>
    <row r="81" customFormat="false" ht="15" hidden="false" customHeight="false" outlineLevel="0" collapsed="false">
      <c r="A81" s="18" t="s">
        <v>19</v>
      </c>
      <c r="B81" s="18" t="n">
        <v>2</v>
      </c>
      <c r="C81" s="18" t="s">
        <v>133</v>
      </c>
      <c r="D81" s="18" t="s">
        <v>31</v>
      </c>
      <c r="E81" s="17" t="n">
        <f aca="false">COUNTIFS('Pedidos Top10'!$A$2:$A$1839,A81,'Pedidos Top10'!$C$2:$C$1839,C81,'Pedidos Top10'!$D$2:$D$1839,D81)</f>
        <v>2</v>
      </c>
      <c r="F81" s="21" t="n">
        <f aca="false">E81/COUNTIFS('Pedidos Top10'!$A$2:$A$1839,A81,'Pedidos Top10'!$C$2:$C$1839,C81)</f>
        <v>0.125</v>
      </c>
      <c r="G81" s="19" t="n">
        <f aca="false">SUMIFS('Pedidos Top10'!$J$2:$J$1839,'Pedidos Top10'!$A$2:$A$1839,A81,'Pedidos Top10'!$C$2:$C$1839,C81,'Pedidos Top10'!$D$2:$D$1839,D81)</f>
        <v>11.8</v>
      </c>
      <c r="H81" s="8" t="n">
        <f aca="false">SUMIFS('Pedidos Top10'!$L$2:$L$1839,'Pedidos Top10'!$A$2:$A$1839,A81,'Pedidos Top10'!$C$2:$C$1839,C81,'Pedidos Top10'!$D$2:$D$1839,D81)</f>
        <v>58.63</v>
      </c>
      <c r="I81" s="8" t="n">
        <f aca="false">SUMIFS('Pedidos Top10'!$AD$2:$AD$1839,'Pedidos Top10'!$A$2:$A$1839,A81,'Pedidos Top10'!$C$2:$C$1839,C81,'Pedidos Top10'!$D$2:$D$1839,D81)</f>
        <v>268.68</v>
      </c>
      <c r="J81" s="8" t="n">
        <f aca="false">I81-H81</f>
        <v>210.05</v>
      </c>
      <c r="K81" s="9" t="n">
        <f aca="false">IF(H81=0,0,J81/H81)</f>
        <v>3.5826368753198</v>
      </c>
      <c r="L81" s="8" t="n">
        <f aca="false">IF(E81=0,0,H81/E81)</f>
        <v>29.315</v>
      </c>
      <c r="M81" s="8" t="n">
        <f aca="false">IF(E81=0,0,I81/E81)</f>
        <v>134.34</v>
      </c>
      <c r="N81" s="8" t="n">
        <f aca="false">IF(G81=0,0,H81/G81)</f>
        <v>4.96864406779661</v>
      </c>
      <c r="O81" s="8" t="n">
        <f aca="false">IF(G81=0,0,I81/G81)</f>
        <v>22.7694915254237</v>
      </c>
      <c r="P81" s="21" t="n">
        <f aca="false">IF(E81=0,0,COUNTIFS('Pedidos Top10'!$A$2:$A$1839,A81,'Pedidos Top10'!$C$2:$C$1839,C81,'Pedidos Top10'!$D$2:$D$1839,D81,'Pedidos Top10'!$AG$2:$AG$1839,"PASSARO")/E81)</f>
        <v>0</v>
      </c>
      <c r="Q81" s="18" t="str">
        <f aca="false">IF(K81&lt;=-0.05,"Passaro compete: "&amp;TEXT(-K81,"0%")&amp;" abaixo de "&amp;D81,IF(K81&lt;0.05,"Empate técnico com "&amp;D81,D81&amp;" é "&amp;TEXT(1-H81/I81,"0%")&amp;" mais barata que a Passaro"))</f>
        <v>JADLOG é 78% mais barata que a Passaro</v>
      </c>
    </row>
    <row r="82" customFormat="false" ht="15" hidden="false" customHeight="false" outlineLevel="0" collapsed="false">
      <c r="A82" s="18" t="s">
        <v>19</v>
      </c>
      <c r="B82" s="18" t="n">
        <v>3</v>
      </c>
      <c r="C82" s="18" t="s">
        <v>135</v>
      </c>
      <c r="D82" s="18" t="s">
        <v>30</v>
      </c>
      <c r="E82" s="17" t="n">
        <f aca="false">COUNTIFS('Pedidos Top10'!$A$2:$A$1839,A82,'Pedidos Top10'!$C$2:$C$1839,C82,'Pedidos Top10'!$D$2:$D$1839,D82)</f>
        <v>6</v>
      </c>
      <c r="F82" s="21" t="n">
        <f aca="false">E82/COUNTIFS('Pedidos Top10'!$A$2:$A$1839,A82,'Pedidos Top10'!$C$2:$C$1839,C82)</f>
        <v>0.857142857142857</v>
      </c>
      <c r="G82" s="19" t="n">
        <f aca="false">SUMIFS('Pedidos Top10'!$J$2:$J$1839,'Pedidos Top10'!$A$2:$A$1839,A82,'Pedidos Top10'!$C$2:$C$1839,C82,'Pedidos Top10'!$D$2:$D$1839,D82)</f>
        <v>308.12</v>
      </c>
      <c r="H82" s="8" t="n">
        <f aca="false">SUMIFS('Pedidos Top10'!$L$2:$L$1839,'Pedidos Top10'!$A$2:$A$1839,A82,'Pedidos Top10'!$C$2:$C$1839,C82,'Pedidos Top10'!$D$2:$D$1839,D82)</f>
        <v>1300.84</v>
      </c>
      <c r="I82" s="8" t="n">
        <f aca="false">SUMIFS('Pedidos Top10'!$AD$2:$AD$1839,'Pedidos Top10'!$A$2:$A$1839,A82,'Pedidos Top10'!$C$2:$C$1839,C82,'Pedidos Top10'!$D$2:$D$1839,D82)</f>
        <v>1181.49</v>
      </c>
      <c r="J82" s="8" t="n">
        <f aca="false">I82-H82</f>
        <v>-119.35</v>
      </c>
      <c r="K82" s="9" t="n">
        <f aca="false">IF(H82=0,0,J82/H82)</f>
        <v>-0.0917484087205192</v>
      </c>
      <c r="L82" s="8" t="n">
        <f aca="false">IF(E82=0,0,H82/E82)</f>
        <v>216.806666666667</v>
      </c>
      <c r="M82" s="8" t="n">
        <f aca="false">IF(E82=0,0,I82/E82)</f>
        <v>196.915</v>
      </c>
      <c r="N82" s="8" t="n">
        <f aca="false">IF(G82=0,0,H82/G82)</f>
        <v>4.22186161235882</v>
      </c>
      <c r="O82" s="8" t="n">
        <f aca="false">IF(G82=0,0,I82/G82)</f>
        <v>3.83451252758665</v>
      </c>
      <c r="P82" s="21" t="n">
        <f aca="false">IF(E82=0,0,COUNTIFS('Pedidos Top10'!$A$2:$A$1839,A82,'Pedidos Top10'!$C$2:$C$1839,C82,'Pedidos Top10'!$D$2:$D$1839,D82,'Pedidos Top10'!$AG$2:$AG$1839,"PASSARO")/E82)</f>
        <v>0.5</v>
      </c>
      <c r="Q82" s="18" t="str">
        <f aca="false">IF(K82&lt;=-0.05,"Passaro compete: "&amp;TEXT(-K82,"0%")&amp;" abaixo de "&amp;D82,IF(K82&lt;0.05,"Empate técnico com "&amp;D82,D82&amp;" é "&amp;TEXT(1-H82/I82,"0%")&amp;" mais barata que a Passaro"))</f>
        <v>Passaro compete: 9% abaixo de DOMINALOG</v>
      </c>
    </row>
    <row r="83" customFormat="false" ht="15" hidden="false" customHeight="false" outlineLevel="0" collapsed="false">
      <c r="A83" s="18" t="s">
        <v>19</v>
      </c>
      <c r="B83" s="18" t="n">
        <v>3</v>
      </c>
      <c r="C83" s="18" t="s">
        <v>135</v>
      </c>
      <c r="D83" s="18" t="s">
        <v>34</v>
      </c>
      <c r="E83" s="17" t="n">
        <f aca="false">COUNTIFS('Pedidos Top10'!$A$2:$A$1839,A83,'Pedidos Top10'!$C$2:$C$1839,C83,'Pedidos Top10'!$D$2:$D$1839,D83)</f>
        <v>1</v>
      </c>
      <c r="F83" s="21" t="n">
        <f aca="false">E83/COUNTIFS('Pedidos Top10'!$A$2:$A$1839,A83,'Pedidos Top10'!$C$2:$C$1839,C83)</f>
        <v>0.142857142857143</v>
      </c>
      <c r="G83" s="19" t="n">
        <f aca="false">SUMIFS('Pedidos Top10'!$J$2:$J$1839,'Pedidos Top10'!$A$2:$A$1839,A83,'Pedidos Top10'!$C$2:$C$1839,C83,'Pedidos Top10'!$D$2:$D$1839,D83)</f>
        <v>79.26</v>
      </c>
      <c r="H83" s="8" t="n">
        <f aca="false">SUMIFS('Pedidos Top10'!$L$2:$L$1839,'Pedidos Top10'!$A$2:$A$1839,A83,'Pedidos Top10'!$C$2:$C$1839,C83,'Pedidos Top10'!$D$2:$D$1839,D83)</f>
        <v>288.15</v>
      </c>
      <c r="I83" s="8" t="n">
        <f aca="false">SUMIFS('Pedidos Top10'!$AD$2:$AD$1839,'Pedidos Top10'!$A$2:$A$1839,A83,'Pedidos Top10'!$C$2:$C$1839,C83,'Pedidos Top10'!$D$2:$D$1839,D83)</f>
        <v>217.45</v>
      </c>
      <c r="J83" s="8" t="n">
        <f aca="false">I83-H83</f>
        <v>-70.7</v>
      </c>
      <c r="K83" s="9" t="n">
        <f aca="false">IF(H83=0,0,J83/H83)</f>
        <v>-0.245358320319278</v>
      </c>
      <c r="L83" s="8" t="n">
        <f aca="false">IF(E83=0,0,H83/E83)</f>
        <v>288.15</v>
      </c>
      <c r="M83" s="8" t="n">
        <f aca="false">IF(E83=0,0,I83/E83)</f>
        <v>217.45</v>
      </c>
      <c r="N83" s="8" t="n">
        <f aca="false">IF(G83=0,0,H83/G83)</f>
        <v>3.63550340651022</v>
      </c>
      <c r="O83" s="8" t="n">
        <f aca="false">IF(G83=0,0,I83/G83)</f>
        <v>2.74350239717386</v>
      </c>
      <c r="P83" s="21" t="n">
        <f aca="false">IF(E83=0,0,COUNTIFS('Pedidos Top10'!$A$2:$A$1839,A83,'Pedidos Top10'!$C$2:$C$1839,C83,'Pedidos Top10'!$D$2:$D$1839,D83,'Pedidos Top10'!$AG$2:$AG$1839,"PASSARO")/E83)</f>
        <v>1</v>
      </c>
      <c r="Q83" s="18" t="str">
        <f aca="false">IF(K83&lt;=-0.05,"Passaro compete: "&amp;TEXT(-K83,"0%")&amp;" abaixo de "&amp;D83,IF(K83&lt;0.05,"Empate técnico com "&amp;D83,D83&amp;" é "&amp;TEXT(1-H83/I83,"0%")&amp;" mais barata que a Passaro"))</f>
        <v>Passaro compete: 25% abaixo de FORMATO TRANSPORTES</v>
      </c>
    </row>
    <row r="84" customFormat="false" ht="15" hidden="false" customHeight="false" outlineLevel="0" collapsed="false">
      <c r="A84" s="18" t="s">
        <v>19</v>
      </c>
      <c r="B84" s="18" t="n">
        <v>4</v>
      </c>
      <c r="C84" s="18" t="s">
        <v>137</v>
      </c>
      <c r="D84" s="18" t="s">
        <v>30</v>
      </c>
      <c r="E84" s="17" t="n">
        <f aca="false">COUNTIFS('Pedidos Top10'!$A$2:$A$1839,A84,'Pedidos Top10'!$C$2:$C$1839,C84,'Pedidos Top10'!$D$2:$D$1839,D84)</f>
        <v>4</v>
      </c>
      <c r="F84" s="21" t="n">
        <f aca="false">E84/COUNTIFS('Pedidos Top10'!$A$2:$A$1839,A84,'Pedidos Top10'!$C$2:$C$1839,C84)</f>
        <v>0.8</v>
      </c>
      <c r="G84" s="19" t="n">
        <f aca="false">SUMIFS('Pedidos Top10'!$J$2:$J$1839,'Pedidos Top10'!$A$2:$A$1839,A84,'Pedidos Top10'!$C$2:$C$1839,C84,'Pedidos Top10'!$D$2:$D$1839,D84)</f>
        <v>197.59</v>
      </c>
      <c r="H84" s="8" t="n">
        <f aca="false">SUMIFS('Pedidos Top10'!$L$2:$L$1839,'Pedidos Top10'!$A$2:$A$1839,A84,'Pedidos Top10'!$C$2:$C$1839,C84,'Pedidos Top10'!$D$2:$D$1839,D84)</f>
        <v>839.28</v>
      </c>
      <c r="I84" s="8" t="n">
        <f aca="false">SUMIFS('Pedidos Top10'!$AD$2:$AD$1839,'Pedidos Top10'!$A$2:$A$1839,A84,'Pedidos Top10'!$C$2:$C$1839,C84,'Pedidos Top10'!$D$2:$D$1839,D84)</f>
        <v>616.38</v>
      </c>
      <c r="J84" s="8" t="n">
        <f aca="false">I84-H84</f>
        <v>-222.9</v>
      </c>
      <c r="K84" s="9" t="n">
        <f aca="false">IF(H84=0,0,J84/H84)</f>
        <v>-0.265584786960252</v>
      </c>
      <c r="L84" s="8" t="n">
        <f aca="false">IF(E84=0,0,H84/E84)</f>
        <v>209.82</v>
      </c>
      <c r="M84" s="8" t="n">
        <f aca="false">IF(E84=0,0,I84/E84)</f>
        <v>154.095</v>
      </c>
      <c r="N84" s="8" t="n">
        <f aca="false">IF(G84=0,0,H84/G84)</f>
        <v>4.24758337972569</v>
      </c>
      <c r="O84" s="8" t="n">
        <f aca="false">IF(G84=0,0,I84/G84)</f>
        <v>3.11948985272534</v>
      </c>
      <c r="P84" s="21" t="n">
        <f aca="false">IF(E84=0,0,COUNTIFS('Pedidos Top10'!$A$2:$A$1839,A84,'Pedidos Top10'!$C$2:$C$1839,C84,'Pedidos Top10'!$D$2:$D$1839,D84,'Pedidos Top10'!$AG$2:$AG$1839,"PASSARO")/E84)</f>
        <v>0.75</v>
      </c>
      <c r="Q84" s="18" t="str">
        <f aca="false">IF(K84&lt;=-0.05,"Passaro compete: "&amp;TEXT(-K84,"0%")&amp;" abaixo de "&amp;D84,IF(K84&lt;0.05,"Empate técnico com "&amp;D84,D84&amp;" é "&amp;TEXT(1-H84/I84,"0%")&amp;" mais barata que a Passaro"))</f>
        <v>Passaro compete: 27% abaixo de DOMINALOG</v>
      </c>
    </row>
    <row r="85" customFormat="false" ht="15" hidden="false" customHeight="false" outlineLevel="0" collapsed="false">
      <c r="A85" s="18" t="s">
        <v>19</v>
      </c>
      <c r="B85" s="18" t="n">
        <v>4</v>
      </c>
      <c r="C85" s="18" t="s">
        <v>137</v>
      </c>
      <c r="D85" s="18" t="s">
        <v>31</v>
      </c>
      <c r="E85" s="17" t="n">
        <f aca="false">COUNTIFS('Pedidos Top10'!$A$2:$A$1839,A85,'Pedidos Top10'!$C$2:$C$1839,C85,'Pedidos Top10'!$D$2:$D$1839,D85)</f>
        <v>1</v>
      </c>
      <c r="F85" s="21" t="n">
        <f aca="false">E85/COUNTIFS('Pedidos Top10'!$A$2:$A$1839,A85,'Pedidos Top10'!$C$2:$C$1839,C85)</f>
        <v>0.2</v>
      </c>
      <c r="G85" s="19" t="n">
        <f aca="false">SUMIFS('Pedidos Top10'!$J$2:$J$1839,'Pedidos Top10'!$A$2:$A$1839,A85,'Pedidos Top10'!$C$2:$C$1839,C85,'Pedidos Top10'!$D$2:$D$1839,D85)</f>
        <v>20.8</v>
      </c>
      <c r="H85" s="8" t="n">
        <f aca="false">SUMIFS('Pedidos Top10'!$L$2:$L$1839,'Pedidos Top10'!$A$2:$A$1839,A85,'Pedidos Top10'!$C$2:$C$1839,C85,'Pedidos Top10'!$D$2:$D$1839,D85)</f>
        <v>101.67</v>
      </c>
      <c r="I85" s="8" t="n">
        <f aca="false">SUMIFS('Pedidos Top10'!$AD$2:$AD$1839,'Pedidos Top10'!$A$2:$A$1839,A85,'Pedidos Top10'!$C$2:$C$1839,C85,'Pedidos Top10'!$D$2:$D$1839,D85)</f>
        <v>129.13</v>
      </c>
      <c r="J85" s="8" t="n">
        <f aca="false">I85-H85</f>
        <v>27.46</v>
      </c>
      <c r="K85" s="9" t="n">
        <f aca="false">IF(H85=0,0,J85/H85)</f>
        <v>0.270089505262123</v>
      </c>
      <c r="L85" s="8" t="n">
        <f aca="false">IF(E85=0,0,H85/E85)</f>
        <v>101.67</v>
      </c>
      <c r="M85" s="8" t="n">
        <f aca="false">IF(E85=0,0,I85/E85)</f>
        <v>129.13</v>
      </c>
      <c r="N85" s="8" t="n">
        <f aca="false">IF(G85=0,0,H85/G85)</f>
        <v>4.88798076923077</v>
      </c>
      <c r="O85" s="8" t="n">
        <f aca="false">IF(G85=0,0,I85/G85)</f>
        <v>6.20817307692308</v>
      </c>
      <c r="P85" s="21" t="n">
        <f aca="false">IF(E85=0,0,COUNTIFS('Pedidos Top10'!$A$2:$A$1839,A85,'Pedidos Top10'!$C$2:$C$1839,C85,'Pedidos Top10'!$D$2:$D$1839,D85,'Pedidos Top10'!$AG$2:$AG$1839,"PASSARO")/E85)</f>
        <v>0</v>
      </c>
      <c r="Q85" s="18" t="str">
        <f aca="false">IF(K85&lt;=-0.05,"Passaro compete: "&amp;TEXT(-K85,"0%")&amp;" abaixo de "&amp;D85,IF(K85&lt;0.05,"Empate técnico com "&amp;D85,D85&amp;" é "&amp;TEXT(1-H85/I85,"0%")&amp;" mais barata que a Passaro"))</f>
        <v>JADLOG é 21% mais barata que a Passaro</v>
      </c>
    </row>
    <row r="86" customFormat="false" ht="15" hidden="false" customHeight="false" outlineLevel="0" collapsed="false">
      <c r="A86" s="18" t="s">
        <v>19</v>
      </c>
      <c r="B86" s="18" t="n">
        <v>5</v>
      </c>
      <c r="C86" s="18" t="s">
        <v>139</v>
      </c>
      <c r="D86" s="18" t="s">
        <v>30</v>
      </c>
      <c r="E86" s="17" t="n">
        <f aca="false">COUNTIFS('Pedidos Top10'!$A$2:$A$1839,A86,'Pedidos Top10'!$C$2:$C$1839,C86,'Pedidos Top10'!$D$2:$D$1839,D86)</f>
        <v>5</v>
      </c>
      <c r="F86" s="21" t="n">
        <f aca="false">E86/COUNTIFS('Pedidos Top10'!$A$2:$A$1839,A86,'Pedidos Top10'!$C$2:$C$1839,C86)</f>
        <v>1</v>
      </c>
      <c r="G86" s="19" t="n">
        <f aca="false">SUMIFS('Pedidos Top10'!$J$2:$J$1839,'Pedidos Top10'!$A$2:$A$1839,A86,'Pedidos Top10'!$C$2:$C$1839,C86,'Pedidos Top10'!$D$2:$D$1839,D86)</f>
        <v>227.2</v>
      </c>
      <c r="H86" s="8" t="n">
        <f aca="false">SUMIFS('Pedidos Top10'!$L$2:$L$1839,'Pedidos Top10'!$A$2:$A$1839,A86,'Pedidos Top10'!$C$2:$C$1839,C86,'Pedidos Top10'!$D$2:$D$1839,D86)</f>
        <v>790.15</v>
      </c>
      <c r="I86" s="8" t="n">
        <f aca="false">SUMIFS('Pedidos Top10'!$AD$2:$AD$1839,'Pedidos Top10'!$A$2:$A$1839,A86,'Pedidos Top10'!$C$2:$C$1839,C86,'Pedidos Top10'!$D$2:$D$1839,D86)</f>
        <v>827.31</v>
      </c>
      <c r="J86" s="8" t="n">
        <f aca="false">I86-H86</f>
        <v>37.16</v>
      </c>
      <c r="K86" s="9" t="n">
        <f aca="false">IF(H86=0,0,J86/H86)</f>
        <v>0.0470290451180155</v>
      </c>
      <c r="L86" s="8" t="n">
        <f aca="false">IF(E86=0,0,H86/E86)</f>
        <v>158.03</v>
      </c>
      <c r="M86" s="8" t="n">
        <f aca="false">IF(E86=0,0,I86/E86)</f>
        <v>165.462</v>
      </c>
      <c r="N86" s="8" t="n">
        <f aca="false">IF(G86=0,0,H86/G86)</f>
        <v>3.47777288732394</v>
      </c>
      <c r="O86" s="8" t="n">
        <f aca="false">IF(G86=0,0,I86/G86)</f>
        <v>3.64132922535211</v>
      </c>
      <c r="P86" s="21" t="n">
        <f aca="false">IF(E86=0,0,COUNTIFS('Pedidos Top10'!$A$2:$A$1839,A86,'Pedidos Top10'!$C$2:$C$1839,C86,'Pedidos Top10'!$D$2:$D$1839,D86,'Pedidos Top10'!$AG$2:$AG$1839,"PASSARO")/E86)</f>
        <v>0.6</v>
      </c>
      <c r="Q86" s="18" t="str">
        <f aca="false">IF(K86&lt;=-0.05,"Passaro compete: "&amp;TEXT(-K86,"0%")&amp;" abaixo de "&amp;D86,IF(K86&lt;0.05,"Empate técnico com "&amp;D86,D86&amp;" é "&amp;TEXT(1-H86/I86,"0%")&amp;" mais barata que a Passaro"))</f>
        <v>Empate técnico com DOMINALOG</v>
      </c>
    </row>
    <row r="87" customFormat="false" ht="15" hidden="false" customHeight="false" outlineLevel="0" collapsed="false">
      <c r="A87" s="18" t="s">
        <v>19</v>
      </c>
      <c r="B87" s="18" t="n">
        <v>6</v>
      </c>
      <c r="C87" s="18" t="s">
        <v>140</v>
      </c>
      <c r="D87" s="18" t="s">
        <v>30</v>
      </c>
      <c r="E87" s="17" t="n">
        <f aca="false">COUNTIFS('Pedidos Top10'!$A$2:$A$1839,A87,'Pedidos Top10'!$C$2:$C$1839,C87,'Pedidos Top10'!$D$2:$D$1839,D87)</f>
        <v>5</v>
      </c>
      <c r="F87" s="21" t="n">
        <f aca="false">E87/COUNTIFS('Pedidos Top10'!$A$2:$A$1839,A87,'Pedidos Top10'!$C$2:$C$1839,C87)</f>
        <v>1</v>
      </c>
      <c r="G87" s="19" t="n">
        <f aca="false">SUMIFS('Pedidos Top10'!$J$2:$J$1839,'Pedidos Top10'!$A$2:$A$1839,A87,'Pedidos Top10'!$C$2:$C$1839,C87,'Pedidos Top10'!$D$2:$D$1839,D87)</f>
        <v>178.89</v>
      </c>
      <c r="H87" s="8" t="n">
        <f aca="false">SUMIFS('Pedidos Top10'!$L$2:$L$1839,'Pedidos Top10'!$A$2:$A$1839,A87,'Pedidos Top10'!$C$2:$C$1839,C87,'Pedidos Top10'!$D$2:$D$1839,D87)</f>
        <v>720.63</v>
      </c>
      <c r="I87" s="8" t="n">
        <f aca="false">SUMIFS('Pedidos Top10'!$AD$2:$AD$1839,'Pedidos Top10'!$A$2:$A$1839,A87,'Pedidos Top10'!$C$2:$C$1839,C87,'Pedidos Top10'!$D$2:$D$1839,D87)</f>
        <v>712.45</v>
      </c>
      <c r="J87" s="8" t="n">
        <f aca="false">I87-H87</f>
        <v>-8.17999999999995</v>
      </c>
      <c r="K87" s="9" t="n">
        <f aca="false">IF(H87=0,0,J87/H87)</f>
        <v>-0.0113511788296351</v>
      </c>
      <c r="L87" s="8" t="n">
        <f aca="false">IF(E87=0,0,H87/E87)</f>
        <v>144.126</v>
      </c>
      <c r="M87" s="8" t="n">
        <f aca="false">IF(E87=0,0,I87/E87)</f>
        <v>142.49</v>
      </c>
      <c r="N87" s="8" t="n">
        <f aca="false">IF(G87=0,0,H87/G87)</f>
        <v>4.02834143887305</v>
      </c>
      <c r="O87" s="8" t="n">
        <f aca="false">IF(G87=0,0,I87/G87)</f>
        <v>3.98261501481357</v>
      </c>
      <c r="P87" s="21" t="n">
        <f aca="false">IF(E87=0,0,COUNTIFS('Pedidos Top10'!$A$2:$A$1839,A87,'Pedidos Top10'!$C$2:$C$1839,C87,'Pedidos Top10'!$D$2:$D$1839,D87,'Pedidos Top10'!$AG$2:$AG$1839,"PASSARO")/E87)</f>
        <v>0.2</v>
      </c>
      <c r="Q87" s="18" t="str">
        <f aca="false">IF(K87&lt;=-0.05,"Passaro compete: "&amp;TEXT(-K87,"0%")&amp;" abaixo de "&amp;D87,IF(K87&lt;0.05,"Empate técnico com "&amp;D87,D87&amp;" é "&amp;TEXT(1-H87/I87,"0%")&amp;" mais barata que a Passaro"))</f>
        <v>Empate técnico com DOMINALOG</v>
      </c>
    </row>
    <row r="88" customFormat="false" ht="15" hidden="false" customHeight="false" outlineLevel="0" collapsed="false">
      <c r="A88" s="18" t="s">
        <v>19</v>
      </c>
      <c r="B88" s="18" t="n">
        <v>7</v>
      </c>
      <c r="C88" s="18" t="s">
        <v>141</v>
      </c>
      <c r="D88" s="18" t="s">
        <v>30</v>
      </c>
      <c r="E88" s="17" t="n">
        <f aca="false">COUNTIFS('Pedidos Top10'!$A$2:$A$1839,A88,'Pedidos Top10'!$C$2:$C$1839,C88,'Pedidos Top10'!$D$2:$D$1839,D88)</f>
        <v>3</v>
      </c>
      <c r="F88" s="21" t="n">
        <f aca="false">E88/COUNTIFS('Pedidos Top10'!$A$2:$A$1839,A88,'Pedidos Top10'!$C$2:$C$1839,C88)</f>
        <v>1</v>
      </c>
      <c r="G88" s="19" t="n">
        <f aca="false">SUMIFS('Pedidos Top10'!$J$2:$J$1839,'Pedidos Top10'!$A$2:$A$1839,A88,'Pedidos Top10'!$C$2:$C$1839,C88,'Pedidos Top10'!$D$2:$D$1839,D88)</f>
        <v>121.3</v>
      </c>
      <c r="H88" s="8" t="n">
        <f aca="false">SUMIFS('Pedidos Top10'!$L$2:$L$1839,'Pedidos Top10'!$A$2:$A$1839,A88,'Pedidos Top10'!$C$2:$C$1839,C88,'Pedidos Top10'!$D$2:$D$1839,D88)</f>
        <v>608.33</v>
      </c>
      <c r="I88" s="8" t="n">
        <f aca="false">SUMIFS('Pedidos Top10'!$AD$2:$AD$1839,'Pedidos Top10'!$A$2:$A$1839,A88,'Pedidos Top10'!$C$2:$C$1839,C88,'Pedidos Top10'!$D$2:$D$1839,D88)</f>
        <v>489.1</v>
      </c>
      <c r="J88" s="8" t="n">
        <f aca="false">I88-H88</f>
        <v>-119.23</v>
      </c>
      <c r="K88" s="9" t="n">
        <f aca="false">IF(H88=0,0,J88/H88)</f>
        <v>-0.195995594496408</v>
      </c>
      <c r="L88" s="8" t="n">
        <f aca="false">IF(E88=0,0,H88/E88)</f>
        <v>202.776666666667</v>
      </c>
      <c r="M88" s="8" t="n">
        <f aca="false">IF(E88=0,0,I88/E88)</f>
        <v>163.033333333333</v>
      </c>
      <c r="N88" s="8" t="n">
        <f aca="false">IF(G88=0,0,H88/G88)</f>
        <v>5.01508656224238</v>
      </c>
      <c r="O88" s="8" t="n">
        <f aca="false">IF(G88=0,0,I88/G88)</f>
        <v>4.03215169002473</v>
      </c>
      <c r="P88" s="21" t="n">
        <f aca="false">IF(E88=0,0,COUNTIFS('Pedidos Top10'!$A$2:$A$1839,A88,'Pedidos Top10'!$C$2:$C$1839,C88,'Pedidos Top10'!$D$2:$D$1839,D88,'Pedidos Top10'!$AG$2:$AG$1839,"PASSARO")/E88)</f>
        <v>0.666666666666667</v>
      </c>
      <c r="Q88" s="18" t="str">
        <f aca="false">IF(K88&lt;=-0.05,"Passaro compete: "&amp;TEXT(-K88,"0%")&amp;" abaixo de "&amp;D88,IF(K88&lt;0.05,"Empate técnico com "&amp;D88,D88&amp;" é "&amp;TEXT(1-H88/I88,"0%")&amp;" mais barata que a Passaro"))</f>
        <v>Passaro compete: 20% abaixo de DOMINALOG</v>
      </c>
    </row>
    <row r="89" customFormat="false" ht="15" hidden="false" customHeight="false" outlineLevel="0" collapsed="false">
      <c r="A89" s="18" t="s">
        <v>19</v>
      </c>
      <c r="B89" s="18" t="n">
        <v>8</v>
      </c>
      <c r="C89" s="18" t="s">
        <v>142</v>
      </c>
      <c r="D89" s="18" t="s">
        <v>33</v>
      </c>
      <c r="E89" s="17" t="n">
        <f aca="false">COUNTIFS('Pedidos Top10'!$A$2:$A$1839,A89,'Pedidos Top10'!$C$2:$C$1839,C89,'Pedidos Top10'!$D$2:$D$1839,D89)</f>
        <v>2</v>
      </c>
      <c r="F89" s="21" t="n">
        <f aca="false">E89/COUNTIFS('Pedidos Top10'!$A$2:$A$1839,A89,'Pedidos Top10'!$C$2:$C$1839,C89)</f>
        <v>1</v>
      </c>
      <c r="G89" s="19" t="n">
        <f aca="false">SUMIFS('Pedidos Top10'!$J$2:$J$1839,'Pedidos Top10'!$A$2:$A$1839,A89,'Pedidos Top10'!$C$2:$C$1839,C89,'Pedidos Top10'!$D$2:$D$1839,D89)</f>
        <v>126.2</v>
      </c>
      <c r="H89" s="8" t="n">
        <f aca="false">SUMIFS('Pedidos Top10'!$L$2:$L$1839,'Pedidos Top10'!$A$2:$A$1839,A89,'Pedidos Top10'!$C$2:$C$1839,C89,'Pedidos Top10'!$D$2:$D$1839,D89)</f>
        <v>578.63</v>
      </c>
      <c r="I89" s="8" t="n">
        <f aca="false">SUMIFS('Pedidos Top10'!$AD$2:$AD$1839,'Pedidos Top10'!$A$2:$A$1839,A89,'Pedidos Top10'!$C$2:$C$1839,C89,'Pedidos Top10'!$D$2:$D$1839,D89)</f>
        <v>363.61</v>
      </c>
      <c r="J89" s="8" t="n">
        <f aca="false">I89-H89</f>
        <v>-215.02</v>
      </c>
      <c r="K89" s="9" t="n">
        <f aca="false">IF(H89=0,0,J89/H89)</f>
        <v>-0.371601887216356</v>
      </c>
      <c r="L89" s="8" t="n">
        <f aca="false">IF(E89=0,0,H89/E89)</f>
        <v>289.315</v>
      </c>
      <c r="M89" s="8" t="n">
        <f aca="false">IF(E89=0,0,I89/E89)</f>
        <v>181.805</v>
      </c>
      <c r="N89" s="8" t="n">
        <f aca="false">IF(G89=0,0,H89/G89)</f>
        <v>4.58502377179081</v>
      </c>
      <c r="O89" s="8" t="n">
        <f aca="false">IF(G89=0,0,I89/G89)</f>
        <v>2.88122028526149</v>
      </c>
      <c r="P89" s="21" t="n">
        <f aca="false">IF(E89=0,0,COUNTIFS('Pedidos Top10'!$A$2:$A$1839,A89,'Pedidos Top10'!$C$2:$C$1839,C89,'Pedidos Top10'!$D$2:$D$1839,D89,'Pedidos Top10'!$AG$2:$AG$1839,"PASSARO")/E89)</f>
        <v>1</v>
      </c>
      <c r="Q89" s="18" t="str">
        <f aca="false">IF(K89&lt;=-0.05,"Passaro compete: "&amp;TEXT(-K89,"0%")&amp;" abaixo de "&amp;D89,IF(K89&lt;0.05,"Empate técnico com "&amp;D89,D89&amp;" é "&amp;TEXT(1-H89/I89,"0%")&amp;" mais barata que a Passaro"))</f>
        <v>Passaro compete: 37% abaixo de Atual Cargas</v>
      </c>
    </row>
    <row r="90" customFormat="false" ht="15" hidden="false" customHeight="false" outlineLevel="0" collapsed="false">
      <c r="A90" s="18" t="s">
        <v>19</v>
      </c>
      <c r="B90" s="18" t="n">
        <v>9</v>
      </c>
      <c r="C90" s="18" t="s">
        <v>144</v>
      </c>
      <c r="D90" s="18" t="s">
        <v>30</v>
      </c>
      <c r="E90" s="17" t="n">
        <f aca="false">COUNTIFS('Pedidos Top10'!$A$2:$A$1839,A90,'Pedidos Top10'!$C$2:$C$1839,C90,'Pedidos Top10'!$D$2:$D$1839,D90)</f>
        <v>2</v>
      </c>
      <c r="F90" s="21" t="n">
        <f aca="false">E90/COUNTIFS('Pedidos Top10'!$A$2:$A$1839,A90,'Pedidos Top10'!$C$2:$C$1839,C90)</f>
        <v>1</v>
      </c>
      <c r="G90" s="19" t="n">
        <f aca="false">SUMIFS('Pedidos Top10'!$J$2:$J$1839,'Pedidos Top10'!$A$2:$A$1839,A90,'Pedidos Top10'!$C$2:$C$1839,C90,'Pedidos Top10'!$D$2:$D$1839,D90)</f>
        <v>105.8</v>
      </c>
      <c r="H90" s="8" t="n">
        <f aca="false">SUMIFS('Pedidos Top10'!$L$2:$L$1839,'Pedidos Top10'!$A$2:$A$1839,A90,'Pedidos Top10'!$C$2:$C$1839,C90,'Pedidos Top10'!$D$2:$D$1839,D90)</f>
        <v>538.66</v>
      </c>
      <c r="I90" s="8" t="n">
        <f aca="false">SUMIFS('Pedidos Top10'!$AD$2:$AD$1839,'Pedidos Top10'!$A$2:$A$1839,A90,'Pedidos Top10'!$C$2:$C$1839,C90,'Pedidos Top10'!$D$2:$D$1839,D90)</f>
        <v>343.35</v>
      </c>
      <c r="J90" s="8" t="n">
        <f aca="false">I90-H90</f>
        <v>-195.31</v>
      </c>
      <c r="K90" s="9" t="n">
        <f aca="false">IF(H90=0,0,J90/H90)</f>
        <v>-0.362584932981844</v>
      </c>
      <c r="L90" s="8" t="n">
        <f aca="false">IF(E90=0,0,H90/E90)</f>
        <v>269.33</v>
      </c>
      <c r="M90" s="8" t="n">
        <f aca="false">IF(E90=0,0,I90/E90)</f>
        <v>171.675</v>
      </c>
      <c r="N90" s="8" t="n">
        <f aca="false">IF(G90=0,0,H90/G90)</f>
        <v>5.09130434782609</v>
      </c>
      <c r="O90" s="8" t="n">
        <f aca="false">IF(G90=0,0,I90/G90)</f>
        <v>3.2452741020794</v>
      </c>
      <c r="P90" s="21" t="n">
        <f aca="false">IF(E90=0,0,COUNTIFS('Pedidos Top10'!$A$2:$A$1839,A90,'Pedidos Top10'!$C$2:$C$1839,C90,'Pedidos Top10'!$D$2:$D$1839,D90,'Pedidos Top10'!$AG$2:$AG$1839,"PASSARO")/E90)</f>
        <v>1</v>
      </c>
      <c r="Q90" s="18" t="str">
        <f aca="false">IF(K90&lt;=-0.05,"Passaro compete: "&amp;TEXT(-K90,"0%")&amp;" abaixo de "&amp;D90,IF(K90&lt;0.05,"Empate técnico com "&amp;D90,D90&amp;" é "&amp;TEXT(1-H90/I90,"0%")&amp;" mais barata que a Passaro"))</f>
        <v>Passaro compete: 36% abaixo de DOMINALOG</v>
      </c>
    </row>
    <row r="91" customFormat="false" ht="15" hidden="false" customHeight="false" outlineLevel="0" collapsed="false">
      <c r="A91" s="18" t="s">
        <v>19</v>
      </c>
      <c r="B91" s="18" t="n">
        <v>10</v>
      </c>
      <c r="C91" s="18" t="s">
        <v>146</v>
      </c>
      <c r="D91" s="18" t="s">
        <v>30</v>
      </c>
      <c r="E91" s="17" t="n">
        <f aca="false">COUNTIFS('Pedidos Top10'!$A$2:$A$1839,A91,'Pedidos Top10'!$C$2:$C$1839,C91,'Pedidos Top10'!$D$2:$D$1839,D91)</f>
        <v>2</v>
      </c>
      <c r="F91" s="21" t="n">
        <f aca="false">E91/COUNTIFS('Pedidos Top10'!$A$2:$A$1839,A91,'Pedidos Top10'!$C$2:$C$1839,C91)</f>
        <v>1</v>
      </c>
      <c r="G91" s="19" t="n">
        <f aca="false">SUMIFS('Pedidos Top10'!$J$2:$J$1839,'Pedidos Top10'!$A$2:$A$1839,A91,'Pedidos Top10'!$C$2:$C$1839,C91,'Pedidos Top10'!$D$2:$D$1839,D91)</f>
        <v>114.61</v>
      </c>
      <c r="H91" s="8" t="n">
        <f aca="false">SUMIFS('Pedidos Top10'!$L$2:$L$1839,'Pedidos Top10'!$A$2:$A$1839,A91,'Pedidos Top10'!$C$2:$C$1839,C91,'Pedidos Top10'!$D$2:$D$1839,D91)</f>
        <v>508.32</v>
      </c>
      <c r="I91" s="8" t="n">
        <f aca="false">SUMIFS('Pedidos Top10'!$AD$2:$AD$1839,'Pedidos Top10'!$A$2:$A$1839,A91,'Pedidos Top10'!$C$2:$C$1839,C91,'Pedidos Top10'!$D$2:$D$1839,D91)</f>
        <v>390.56</v>
      </c>
      <c r="J91" s="8" t="n">
        <f aca="false">I91-H91</f>
        <v>-117.76</v>
      </c>
      <c r="K91" s="9" t="n">
        <f aca="false">IF(H91=0,0,J91/H91)</f>
        <v>-0.231665092854895</v>
      </c>
      <c r="L91" s="8" t="n">
        <f aca="false">IF(E91=0,0,H91/E91)</f>
        <v>254.16</v>
      </c>
      <c r="M91" s="8" t="n">
        <f aca="false">IF(E91=0,0,I91/E91)</f>
        <v>195.28</v>
      </c>
      <c r="N91" s="8" t="n">
        <f aca="false">IF(G91=0,0,H91/G91)</f>
        <v>4.43521507721839</v>
      </c>
      <c r="O91" s="8" t="n">
        <f aca="false">IF(G91=0,0,I91/G91)</f>
        <v>3.40773056452317</v>
      </c>
      <c r="P91" s="21" t="n">
        <f aca="false">IF(E91=0,0,COUNTIFS('Pedidos Top10'!$A$2:$A$1839,A91,'Pedidos Top10'!$C$2:$C$1839,C91,'Pedidos Top10'!$D$2:$D$1839,D91,'Pedidos Top10'!$AG$2:$AG$1839,"PASSARO")/E91)</f>
        <v>0.5</v>
      </c>
      <c r="Q91" s="18" t="str">
        <f aca="false">IF(K91&lt;=-0.05,"Passaro compete: "&amp;TEXT(-K91,"0%")&amp;" abaixo de "&amp;D91,IF(K91&lt;0.05,"Empate técnico com "&amp;D91,D91&amp;" é "&amp;TEXT(1-H91/I91,"0%")&amp;" mais barata que a Passaro"))</f>
        <v>Passaro compete: 23% abaixo de DOMINALOG</v>
      </c>
    </row>
    <row r="92" customFormat="false" ht="15" hidden="false" customHeight="false" outlineLevel="0" collapsed="false">
      <c r="A92" s="18" t="s">
        <v>20</v>
      </c>
      <c r="B92" s="18" t="n">
        <v>1</v>
      </c>
      <c r="C92" s="18" t="s">
        <v>147</v>
      </c>
      <c r="D92" s="18" t="s">
        <v>30</v>
      </c>
      <c r="E92" s="17" t="n">
        <f aca="false">COUNTIFS('Pedidos Top10'!$A$2:$A$1839,A92,'Pedidos Top10'!$C$2:$C$1839,C92,'Pedidos Top10'!$D$2:$D$1839,D92)</f>
        <v>120</v>
      </c>
      <c r="F92" s="21" t="n">
        <f aca="false">E92/COUNTIFS('Pedidos Top10'!$A$2:$A$1839,A92,'Pedidos Top10'!$C$2:$C$1839,C92)</f>
        <v>0.895522388059702</v>
      </c>
      <c r="G92" s="19" t="n">
        <f aca="false">SUMIFS('Pedidos Top10'!$J$2:$J$1839,'Pedidos Top10'!$A$2:$A$1839,A92,'Pedidos Top10'!$C$2:$C$1839,C92,'Pedidos Top10'!$D$2:$D$1839,D92)</f>
        <v>5566.82</v>
      </c>
      <c r="H92" s="8" t="n">
        <f aca="false">SUMIFS('Pedidos Top10'!$L$2:$L$1839,'Pedidos Top10'!$A$2:$A$1839,A92,'Pedidos Top10'!$C$2:$C$1839,C92,'Pedidos Top10'!$D$2:$D$1839,D92)</f>
        <v>18388.73</v>
      </c>
      <c r="I92" s="8" t="n">
        <f aca="false">SUMIFS('Pedidos Top10'!$AD$2:$AD$1839,'Pedidos Top10'!$A$2:$A$1839,A92,'Pedidos Top10'!$C$2:$C$1839,C92,'Pedidos Top10'!$D$2:$D$1839,D92)</f>
        <v>17588.84</v>
      </c>
      <c r="J92" s="8" t="n">
        <f aca="false">I92-H92</f>
        <v>-799.889999999999</v>
      </c>
      <c r="K92" s="9" t="n">
        <f aca="false">IF(H92=0,0,J92/H92)</f>
        <v>-0.0434989257006873</v>
      </c>
      <c r="L92" s="8" t="n">
        <f aca="false">IF(E92=0,0,H92/E92)</f>
        <v>153.239416666667</v>
      </c>
      <c r="M92" s="8" t="n">
        <f aca="false">IF(E92=0,0,I92/E92)</f>
        <v>146.573666666667</v>
      </c>
      <c r="N92" s="8" t="n">
        <f aca="false">IF(G92=0,0,H92/G92)</f>
        <v>3.30327368228181</v>
      </c>
      <c r="O92" s="8" t="n">
        <f aca="false">IF(G92=0,0,I92/G92)</f>
        <v>3.15958482580719</v>
      </c>
      <c r="P92" s="21" t="n">
        <f aca="false">IF(E92=0,0,COUNTIFS('Pedidos Top10'!$A$2:$A$1839,A92,'Pedidos Top10'!$C$2:$C$1839,C92,'Pedidos Top10'!$D$2:$D$1839,D92,'Pedidos Top10'!$AG$2:$AG$1839,"PASSARO")/E92)</f>
        <v>0.7</v>
      </c>
      <c r="Q92" s="18" t="str">
        <f aca="false">IF(K92&lt;=-0.05,"Passaro compete: "&amp;TEXT(-K92,"0%")&amp;" abaixo de "&amp;D92,IF(K92&lt;0.05,"Empate técnico com "&amp;D92,D92&amp;" é "&amp;TEXT(1-H92/I92,"0%")&amp;" mais barata que a Passaro"))</f>
        <v>Empate técnico com DOMINALOG</v>
      </c>
    </row>
    <row r="93" customFormat="false" ht="15" hidden="false" customHeight="false" outlineLevel="0" collapsed="false">
      <c r="A93" s="18" t="s">
        <v>20</v>
      </c>
      <c r="B93" s="18" t="n">
        <v>1</v>
      </c>
      <c r="C93" s="18" t="s">
        <v>147</v>
      </c>
      <c r="D93" s="18" t="s">
        <v>31</v>
      </c>
      <c r="E93" s="17" t="n">
        <f aca="false">COUNTIFS('Pedidos Top10'!$A$2:$A$1839,A93,'Pedidos Top10'!$C$2:$C$1839,C93,'Pedidos Top10'!$D$2:$D$1839,D93)</f>
        <v>14</v>
      </c>
      <c r="F93" s="21" t="n">
        <f aca="false">E93/COUNTIFS('Pedidos Top10'!$A$2:$A$1839,A93,'Pedidos Top10'!$C$2:$C$1839,C93)</f>
        <v>0.104477611940299</v>
      </c>
      <c r="G93" s="19" t="n">
        <f aca="false">SUMIFS('Pedidos Top10'!$J$2:$J$1839,'Pedidos Top10'!$A$2:$A$1839,A93,'Pedidos Top10'!$C$2:$C$1839,C93,'Pedidos Top10'!$D$2:$D$1839,D93)</f>
        <v>266.6</v>
      </c>
      <c r="H93" s="8" t="n">
        <f aca="false">SUMIFS('Pedidos Top10'!$L$2:$L$1839,'Pedidos Top10'!$A$2:$A$1839,A93,'Pedidos Top10'!$C$2:$C$1839,C93,'Pedidos Top10'!$D$2:$D$1839,D93)</f>
        <v>1167.96</v>
      </c>
      <c r="I93" s="8" t="n">
        <f aca="false">SUMIFS('Pedidos Top10'!$AD$2:$AD$1839,'Pedidos Top10'!$A$2:$A$1839,A93,'Pedidos Top10'!$C$2:$C$1839,C93,'Pedidos Top10'!$D$2:$D$1839,D93)</f>
        <v>1649.79</v>
      </c>
      <c r="J93" s="8" t="n">
        <f aca="false">I93-H93</f>
        <v>481.83</v>
      </c>
      <c r="K93" s="9" t="n">
        <f aca="false">IF(H93=0,0,J93/H93)</f>
        <v>0.412539813007295</v>
      </c>
      <c r="L93" s="8" t="n">
        <f aca="false">IF(E93=0,0,H93/E93)</f>
        <v>83.4257142857143</v>
      </c>
      <c r="M93" s="8" t="n">
        <f aca="false">IF(E93=0,0,I93/E93)</f>
        <v>117.842142857143</v>
      </c>
      <c r="N93" s="8" t="n">
        <f aca="false">IF(G93=0,0,H93/G93)</f>
        <v>4.38094523630908</v>
      </c>
      <c r="O93" s="8" t="n">
        <f aca="false">IF(G93=0,0,I93/G93)</f>
        <v>6.18825956489122</v>
      </c>
      <c r="P93" s="21" t="n">
        <f aca="false">IF(E93=0,0,COUNTIFS('Pedidos Top10'!$A$2:$A$1839,A93,'Pedidos Top10'!$C$2:$C$1839,C93,'Pedidos Top10'!$D$2:$D$1839,D93,'Pedidos Top10'!$AG$2:$AG$1839,"PASSARO")/E93)</f>
        <v>0</v>
      </c>
      <c r="Q93" s="18" t="str">
        <f aca="false">IF(K93&lt;=-0.05,"Passaro compete: "&amp;TEXT(-K93,"0%")&amp;" abaixo de "&amp;D93,IF(K93&lt;0.05,"Empate técnico com "&amp;D93,D93&amp;" é "&amp;TEXT(1-H93/I93,"0%")&amp;" mais barata que a Passaro"))</f>
        <v>JADLOG é 29% mais barata que a Passaro</v>
      </c>
    </row>
    <row r="94" customFormat="false" ht="15" hidden="false" customHeight="false" outlineLevel="0" collapsed="false">
      <c r="A94" s="18" t="s">
        <v>20</v>
      </c>
      <c r="B94" s="18" t="n">
        <v>2</v>
      </c>
      <c r="C94" s="18" t="s">
        <v>149</v>
      </c>
      <c r="D94" s="18" t="s">
        <v>30</v>
      </c>
      <c r="E94" s="17" t="n">
        <f aca="false">COUNTIFS('Pedidos Top10'!$A$2:$A$1839,A94,'Pedidos Top10'!$C$2:$C$1839,C94,'Pedidos Top10'!$D$2:$D$1839,D94)</f>
        <v>33</v>
      </c>
      <c r="F94" s="21" t="n">
        <f aca="false">E94/COUNTIFS('Pedidos Top10'!$A$2:$A$1839,A94,'Pedidos Top10'!$C$2:$C$1839,C94)</f>
        <v>0.804878048780488</v>
      </c>
      <c r="G94" s="19" t="n">
        <f aca="false">SUMIFS('Pedidos Top10'!$J$2:$J$1839,'Pedidos Top10'!$A$2:$A$1839,A94,'Pedidos Top10'!$C$2:$C$1839,C94,'Pedidos Top10'!$D$2:$D$1839,D94)</f>
        <v>1682.96</v>
      </c>
      <c r="H94" s="8" t="n">
        <f aca="false">SUMIFS('Pedidos Top10'!$L$2:$L$1839,'Pedidos Top10'!$A$2:$A$1839,A94,'Pedidos Top10'!$C$2:$C$1839,C94,'Pedidos Top10'!$D$2:$D$1839,D94)</f>
        <v>5983.69</v>
      </c>
      <c r="I94" s="8" t="n">
        <f aca="false">SUMIFS('Pedidos Top10'!$AD$2:$AD$1839,'Pedidos Top10'!$A$2:$A$1839,A94,'Pedidos Top10'!$C$2:$C$1839,C94,'Pedidos Top10'!$D$2:$D$1839,D94)</f>
        <v>4995.47</v>
      </c>
      <c r="J94" s="8" t="n">
        <f aca="false">I94-H94</f>
        <v>-988.219999999999</v>
      </c>
      <c r="K94" s="9" t="n">
        <f aca="false">IF(H94=0,0,J94/H94)</f>
        <v>-0.165152272260094</v>
      </c>
      <c r="L94" s="8" t="n">
        <f aca="false">IF(E94=0,0,H94/E94)</f>
        <v>181.323939393939</v>
      </c>
      <c r="M94" s="8" t="n">
        <f aca="false">IF(E94=0,0,I94/E94)</f>
        <v>151.377878787879</v>
      </c>
      <c r="N94" s="8" t="n">
        <f aca="false">IF(G94=0,0,H94/G94)</f>
        <v>3.55545586347863</v>
      </c>
      <c r="O94" s="8" t="n">
        <f aca="false">IF(G94=0,0,I94/G94)</f>
        <v>2.96826424870466</v>
      </c>
      <c r="P94" s="21" t="n">
        <f aca="false">IF(E94=0,0,COUNTIFS('Pedidos Top10'!$A$2:$A$1839,A94,'Pedidos Top10'!$C$2:$C$1839,C94,'Pedidos Top10'!$D$2:$D$1839,D94,'Pedidos Top10'!$AG$2:$AG$1839,"PASSARO")/E94)</f>
        <v>0.757575757575758</v>
      </c>
      <c r="Q94" s="18" t="str">
        <f aca="false">IF(K94&lt;=-0.05,"Passaro compete: "&amp;TEXT(-K94,"0%")&amp;" abaixo de "&amp;D94,IF(K94&lt;0.05,"Empate técnico com "&amp;D94,D94&amp;" é "&amp;TEXT(1-H94/I94,"0%")&amp;" mais barata que a Passaro"))</f>
        <v>Passaro compete: 17% abaixo de DOMINALOG</v>
      </c>
    </row>
    <row r="95" customFormat="false" ht="15" hidden="false" customHeight="false" outlineLevel="0" collapsed="false">
      <c r="A95" s="18" t="s">
        <v>20</v>
      </c>
      <c r="B95" s="18" t="n">
        <v>2</v>
      </c>
      <c r="C95" s="18" t="s">
        <v>149</v>
      </c>
      <c r="D95" s="18" t="s">
        <v>31</v>
      </c>
      <c r="E95" s="17" t="n">
        <f aca="false">COUNTIFS('Pedidos Top10'!$A$2:$A$1839,A95,'Pedidos Top10'!$C$2:$C$1839,C95,'Pedidos Top10'!$D$2:$D$1839,D95)</f>
        <v>8</v>
      </c>
      <c r="F95" s="21" t="n">
        <f aca="false">E95/COUNTIFS('Pedidos Top10'!$A$2:$A$1839,A95,'Pedidos Top10'!$C$2:$C$1839,C95)</f>
        <v>0.195121951219512</v>
      </c>
      <c r="G95" s="19" t="n">
        <f aca="false">SUMIFS('Pedidos Top10'!$J$2:$J$1839,'Pedidos Top10'!$A$2:$A$1839,A95,'Pedidos Top10'!$C$2:$C$1839,C95,'Pedidos Top10'!$D$2:$D$1839,D95)</f>
        <v>155.2</v>
      </c>
      <c r="H95" s="8" t="n">
        <f aca="false">SUMIFS('Pedidos Top10'!$L$2:$L$1839,'Pedidos Top10'!$A$2:$A$1839,A95,'Pedidos Top10'!$C$2:$C$1839,C95,'Pedidos Top10'!$D$2:$D$1839,D95)</f>
        <v>704.41</v>
      </c>
      <c r="I95" s="8" t="n">
        <f aca="false">SUMIFS('Pedidos Top10'!$AD$2:$AD$1839,'Pedidos Top10'!$A$2:$A$1839,A95,'Pedidos Top10'!$C$2:$C$1839,C95,'Pedidos Top10'!$D$2:$D$1839,D95)</f>
        <v>948.36</v>
      </c>
      <c r="J95" s="8" t="n">
        <f aca="false">I95-H95</f>
        <v>243.95</v>
      </c>
      <c r="K95" s="9" t="n">
        <f aca="false">IF(H95=0,0,J95/H95)</f>
        <v>0.346318195369174</v>
      </c>
      <c r="L95" s="8" t="n">
        <f aca="false">IF(E95=0,0,H95/E95)</f>
        <v>88.05125</v>
      </c>
      <c r="M95" s="8" t="n">
        <f aca="false">IF(E95=0,0,I95/E95)</f>
        <v>118.545</v>
      </c>
      <c r="N95" s="8" t="n">
        <f aca="false">IF(G95=0,0,H95/G95)</f>
        <v>4.53872422680412</v>
      </c>
      <c r="O95" s="8" t="n">
        <f aca="false">IF(G95=0,0,I95/G95)</f>
        <v>6.11056701030928</v>
      </c>
      <c r="P95" s="21" t="n">
        <f aca="false">IF(E95=0,0,COUNTIFS('Pedidos Top10'!$A$2:$A$1839,A95,'Pedidos Top10'!$C$2:$C$1839,C95,'Pedidos Top10'!$D$2:$D$1839,D95,'Pedidos Top10'!$AG$2:$AG$1839,"PASSARO")/E95)</f>
        <v>0</v>
      </c>
      <c r="Q95" s="18" t="str">
        <f aca="false">IF(K95&lt;=-0.05,"Passaro compete: "&amp;TEXT(-K95,"0%")&amp;" abaixo de "&amp;D95,IF(K95&lt;0.05,"Empate técnico com "&amp;D95,D95&amp;" é "&amp;TEXT(1-H95/I95,"0%")&amp;" mais barata que a Passaro"))</f>
        <v>JADLOG é 26% mais barata que a Passaro</v>
      </c>
    </row>
    <row r="96" customFormat="false" ht="15" hidden="false" customHeight="false" outlineLevel="0" collapsed="false">
      <c r="A96" s="18" t="s">
        <v>20</v>
      </c>
      <c r="B96" s="18" t="n">
        <v>3</v>
      </c>
      <c r="C96" s="18" t="s">
        <v>151</v>
      </c>
      <c r="D96" s="18" t="s">
        <v>30</v>
      </c>
      <c r="E96" s="17" t="n">
        <f aca="false">COUNTIFS('Pedidos Top10'!$A$2:$A$1839,A96,'Pedidos Top10'!$C$2:$C$1839,C96,'Pedidos Top10'!$D$2:$D$1839,D96)</f>
        <v>35</v>
      </c>
      <c r="F96" s="21" t="n">
        <f aca="false">E96/COUNTIFS('Pedidos Top10'!$A$2:$A$1839,A96,'Pedidos Top10'!$C$2:$C$1839,C96)</f>
        <v>0.897435897435898</v>
      </c>
      <c r="G96" s="19" t="n">
        <f aca="false">SUMIFS('Pedidos Top10'!$J$2:$J$1839,'Pedidos Top10'!$A$2:$A$1839,A96,'Pedidos Top10'!$C$2:$C$1839,C96,'Pedidos Top10'!$D$2:$D$1839,D96)</f>
        <v>1576.43</v>
      </c>
      <c r="H96" s="8" t="n">
        <f aca="false">SUMIFS('Pedidos Top10'!$L$2:$L$1839,'Pedidos Top10'!$A$2:$A$1839,A96,'Pedidos Top10'!$C$2:$C$1839,C96,'Pedidos Top10'!$D$2:$D$1839,D96)</f>
        <v>6431.18</v>
      </c>
      <c r="I96" s="8" t="n">
        <f aca="false">SUMIFS('Pedidos Top10'!$AD$2:$AD$1839,'Pedidos Top10'!$A$2:$A$1839,A96,'Pedidos Top10'!$C$2:$C$1839,C96,'Pedidos Top10'!$D$2:$D$1839,D96)</f>
        <v>5019.37</v>
      </c>
      <c r="J96" s="8" t="n">
        <f aca="false">I96-H96</f>
        <v>-1411.81</v>
      </c>
      <c r="K96" s="9" t="n">
        <f aca="false">IF(H96=0,0,J96/H96)</f>
        <v>-0.219525810193464</v>
      </c>
      <c r="L96" s="8" t="n">
        <f aca="false">IF(E96=0,0,H96/E96)</f>
        <v>183.748</v>
      </c>
      <c r="M96" s="8" t="n">
        <f aca="false">IF(E96=0,0,I96/E96)</f>
        <v>143.410571428571</v>
      </c>
      <c r="N96" s="8" t="n">
        <f aca="false">IF(G96=0,0,H96/G96)</f>
        <v>4.07958488483472</v>
      </c>
      <c r="O96" s="8" t="n">
        <f aca="false">IF(G96=0,0,I96/G96)</f>
        <v>3.18401070773837</v>
      </c>
      <c r="P96" s="21" t="n">
        <f aca="false">IF(E96=0,0,COUNTIFS('Pedidos Top10'!$A$2:$A$1839,A96,'Pedidos Top10'!$C$2:$C$1839,C96,'Pedidos Top10'!$D$2:$D$1839,D96,'Pedidos Top10'!$AG$2:$AG$1839,"PASSARO")/E96)</f>
        <v>0.857142857142857</v>
      </c>
      <c r="Q96" s="18" t="str">
        <f aca="false">IF(K96&lt;=-0.05,"Passaro compete: "&amp;TEXT(-K96,"0%")&amp;" abaixo de "&amp;D96,IF(K96&lt;0.05,"Empate técnico com "&amp;D96,D96&amp;" é "&amp;TEXT(1-H96/I96,"0%")&amp;" mais barata que a Passaro"))</f>
        <v>Passaro compete: 22% abaixo de DOMINALOG</v>
      </c>
    </row>
    <row r="97" customFormat="false" ht="15" hidden="false" customHeight="false" outlineLevel="0" collapsed="false">
      <c r="A97" s="18" t="s">
        <v>20</v>
      </c>
      <c r="B97" s="18" t="n">
        <v>3</v>
      </c>
      <c r="C97" s="18" t="s">
        <v>151</v>
      </c>
      <c r="D97" s="18" t="s">
        <v>31</v>
      </c>
      <c r="E97" s="17" t="n">
        <f aca="false">COUNTIFS('Pedidos Top10'!$A$2:$A$1839,A97,'Pedidos Top10'!$C$2:$C$1839,C97,'Pedidos Top10'!$D$2:$D$1839,D97)</f>
        <v>4</v>
      </c>
      <c r="F97" s="21" t="n">
        <f aca="false">E97/COUNTIFS('Pedidos Top10'!$A$2:$A$1839,A97,'Pedidos Top10'!$C$2:$C$1839,C97)</f>
        <v>0.102564102564103</v>
      </c>
      <c r="G97" s="19" t="n">
        <f aca="false">SUMIFS('Pedidos Top10'!$J$2:$J$1839,'Pedidos Top10'!$A$2:$A$1839,A97,'Pedidos Top10'!$C$2:$C$1839,C97,'Pedidos Top10'!$D$2:$D$1839,D97)</f>
        <v>86.06</v>
      </c>
      <c r="H97" s="8" t="n">
        <f aca="false">SUMIFS('Pedidos Top10'!$L$2:$L$1839,'Pedidos Top10'!$A$2:$A$1839,A97,'Pedidos Top10'!$C$2:$C$1839,C97,'Pedidos Top10'!$D$2:$D$1839,D97)</f>
        <v>398</v>
      </c>
      <c r="I97" s="8" t="n">
        <f aca="false">SUMIFS('Pedidos Top10'!$AD$2:$AD$1839,'Pedidos Top10'!$A$2:$A$1839,A97,'Pedidos Top10'!$C$2:$C$1839,C97,'Pedidos Top10'!$D$2:$D$1839,D97)</f>
        <v>473.97</v>
      </c>
      <c r="J97" s="8" t="n">
        <f aca="false">I97-H97</f>
        <v>75.97</v>
      </c>
      <c r="K97" s="9" t="n">
        <f aca="false">IF(H97=0,0,J97/H97)</f>
        <v>0.190879396984925</v>
      </c>
      <c r="L97" s="8" t="n">
        <f aca="false">IF(E97=0,0,H97/E97)</f>
        <v>99.5</v>
      </c>
      <c r="M97" s="8" t="n">
        <f aca="false">IF(E97=0,0,I97/E97)</f>
        <v>118.4925</v>
      </c>
      <c r="N97" s="8" t="n">
        <f aca="false">IF(G97=0,0,H97/G97)</f>
        <v>4.62468045549617</v>
      </c>
      <c r="O97" s="8" t="n">
        <f aca="false">IF(G97=0,0,I97/G97)</f>
        <v>5.50743667208924</v>
      </c>
      <c r="P97" s="21" t="n">
        <f aca="false">IF(E97=0,0,COUNTIFS('Pedidos Top10'!$A$2:$A$1839,A97,'Pedidos Top10'!$C$2:$C$1839,C97,'Pedidos Top10'!$D$2:$D$1839,D97,'Pedidos Top10'!$AG$2:$AG$1839,"PASSARO")/E97)</f>
        <v>0</v>
      </c>
      <c r="Q97" s="18" t="str">
        <f aca="false">IF(K97&lt;=-0.05,"Passaro compete: "&amp;TEXT(-K97,"0%")&amp;" abaixo de "&amp;D97,IF(K97&lt;0.05,"Empate técnico com "&amp;D97,D97&amp;" é "&amp;TEXT(1-H97/I97,"0%")&amp;" mais barata que a Passaro"))</f>
        <v>JADLOG é 16% mais barata que a Passaro</v>
      </c>
    </row>
    <row r="98" customFormat="false" ht="15" hidden="false" customHeight="false" outlineLevel="0" collapsed="false">
      <c r="A98" s="18" t="s">
        <v>20</v>
      </c>
      <c r="B98" s="18" t="n">
        <v>4</v>
      </c>
      <c r="C98" s="18" t="s">
        <v>153</v>
      </c>
      <c r="D98" s="18" t="s">
        <v>30</v>
      </c>
      <c r="E98" s="17" t="n">
        <f aca="false">COUNTIFS('Pedidos Top10'!$A$2:$A$1839,A98,'Pedidos Top10'!$C$2:$C$1839,C98,'Pedidos Top10'!$D$2:$D$1839,D98)</f>
        <v>33</v>
      </c>
      <c r="F98" s="21" t="n">
        <f aca="false">E98/COUNTIFS('Pedidos Top10'!$A$2:$A$1839,A98,'Pedidos Top10'!$C$2:$C$1839,C98)</f>
        <v>0.916666666666667</v>
      </c>
      <c r="G98" s="19" t="n">
        <f aca="false">SUMIFS('Pedidos Top10'!$J$2:$J$1839,'Pedidos Top10'!$A$2:$A$1839,A98,'Pedidos Top10'!$C$2:$C$1839,C98,'Pedidos Top10'!$D$2:$D$1839,D98)</f>
        <v>1700.19</v>
      </c>
      <c r="H98" s="8" t="n">
        <f aca="false">SUMIFS('Pedidos Top10'!$L$2:$L$1839,'Pedidos Top10'!$A$2:$A$1839,A98,'Pedidos Top10'!$C$2:$C$1839,C98,'Pedidos Top10'!$D$2:$D$1839,D98)</f>
        <v>5651.1</v>
      </c>
      <c r="I98" s="8" t="n">
        <f aca="false">SUMIFS('Pedidos Top10'!$AD$2:$AD$1839,'Pedidos Top10'!$A$2:$A$1839,A98,'Pedidos Top10'!$C$2:$C$1839,C98,'Pedidos Top10'!$D$2:$D$1839,D98)</f>
        <v>4992.27</v>
      </c>
      <c r="J98" s="8" t="n">
        <f aca="false">I98-H98</f>
        <v>-658.83</v>
      </c>
      <c r="K98" s="9" t="n">
        <f aca="false">IF(H98=0,0,J98/H98)</f>
        <v>-0.116584381801773</v>
      </c>
      <c r="L98" s="8" t="n">
        <f aca="false">IF(E98=0,0,H98/E98)</f>
        <v>171.245454545455</v>
      </c>
      <c r="M98" s="8" t="n">
        <f aca="false">IF(E98=0,0,I98/E98)</f>
        <v>151.280909090909</v>
      </c>
      <c r="N98" s="8" t="n">
        <f aca="false">IF(G98=0,0,H98/G98)</f>
        <v>3.32380498650151</v>
      </c>
      <c r="O98" s="8" t="n">
        <f aca="false">IF(G98=0,0,I98/G98)</f>
        <v>2.93630123692058</v>
      </c>
      <c r="P98" s="21" t="n">
        <f aca="false">IF(E98=0,0,COUNTIFS('Pedidos Top10'!$A$2:$A$1839,A98,'Pedidos Top10'!$C$2:$C$1839,C98,'Pedidos Top10'!$D$2:$D$1839,D98,'Pedidos Top10'!$AG$2:$AG$1839,"PASSARO")/E98)</f>
        <v>0.757575757575758</v>
      </c>
      <c r="Q98" s="18" t="str">
        <f aca="false">IF(K98&lt;=-0.05,"Passaro compete: "&amp;TEXT(-K98,"0%")&amp;" abaixo de "&amp;D98,IF(K98&lt;0.05,"Empate técnico com "&amp;D98,D98&amp;" é "&amp;TEXT(1-H98/I98,"0%")&amp;" mais barata que a Passaro"))</f>
        <v>Passaro compete: 12% abaixo de DOMINALOG</v>
      </c>
    </row>
    <row r="99" customFormat="false" ht="15" hidden="false" customHeight="false" outlineLevel="0" collapsed="false">
      <c r="A99" s="18" t="s">
        <v>20</v>
      </c>
      <c r="B99" s="18" t="n">
        <v>4</v>
      </c>
      <c r="C99" s="18" t="s">
        <v>153</v>
      </c>
      <c r="D99" s="18" t="s">
        <v>31</v>
      </c>
      <c r="E99" s="17" t="n">
        <f aca="false">COUNTIFS('Pedidos Top10'!$A$2:$A$1839,A99,'Pedidos Top10'!$C$2:$C$1839,C99,'Pedidos Top10'!$D$2:$D$1839,D99)</f>
        <v>3</v>
      </c>
      <c r="F99" s="21" t="n">
        <f aca="false">E99/COUNTIFS('Pedidos Top10'!$A$2:$A$1839,A99,'Pedidos Top10'!$C$2:$C$1839,C99)</f>
        <v>0.0833333333333333</v>
      </c>
      <c r="G99" s="19" t="n">
        <f aca="false">SUMIFS('Pedidos Top10'!$J$2:$J$1839,'Pedidos Top10'!$A$2:$A$1839,A99,'Pedidos Top10'!$C$2:$C$1839,C99,'Pedidos Top10'!$D$2:$D$1839,D99)</f>
        <v>57.6</v>
      </c>
      <c r="H99" s="8" t="n">
        <f aca="false">SUMIFS('Pedidos Top10'!$L$2:$L$1839,'Pedidos Top10'!$A$2:$A$1839,A99,'Pedidos Top10'!$C$2:$C$1839,C99,'Pedidos Top10'!$D$2:$D$1839,D99)</f>
        <v>249.95</v>
      </c>
      <c r="I99" s="8" t="n">
        <f aca="false">SUMIFS('Pedidos Top10'!$AD$2:$AD$1839,'Pedidos Top10'!$A$2:$A$1839,A99,'Pedidos Top10'!$C$2:$C$1839,C99,'Pedidos Top10'!$D$2:$D$1839,D99)</f>
        <v>355.15</v>
      </c>
      <c r="J99" s="8" t="n">
        <f aca="false">I99-H99</f>
        <v>105.2</v>
      </c>
      <c r="K99" s="9" t="n">
        <f aca="false">IF(H99=0,0,J99/H99)</f>
        <v>0.420884176835367</v>
      </c>
      <c r="L99" s="8" t="n">
        <f aca="false">IF(E99=0,0,H99/E99)</f>
        <v>83.3166666666667</v>
      </c>
      <c r="M99" s="8" t="n">
        <f aca="false">IF(E99=0,0,I99/E99)</f>
        <v>118.383333333333</v>
      </c>
      <c r="N99" s="8" t="n">
        <f aca="false">IF(G99=0,0,H99/G99)</f>
        <v>4.33940972222222</v>
      </c>
      <c r="O99" s="8" t="n">
        <f aca="false">IF(G99=0,0,I99/G99)</f>
        <v>6.16579861111111</v>
      </c>
      <c r="P99" s="21" t="n">
        <f aca="false">IF(E99=0,0,COUNTIFS('Pedidos Top10'!$A$2:$A$1839,A99,'Pedidos Top10'!$C$2:$C$1839,C99,'Pedidos Top10'!$D$2:$D$1839,D99,'Pedidos Top10'!$AG$2:$AG$1839,"PASSARO")/E99)</f>
        <v>0</v>
      </c>
      <c r="Q99" s="18" t="str">
        <f aca="false">IF(K99&lt;=-0.05,"Passaro compete: "&amp;TEXT(-K99,"0%")&amp;" abaixo de "&amp;D99,IF(K99&lt;0.05,"Empate técnico com "&amp;D99,D99&amp;" é "&amp;TEXT(1-H99/I99,"0%")&amp;" mais barata que a Passaro"))</f>
        <v>JADLOG é 30% mais barata que a Passaro</v>
      </c>
    </row>
    <row r="100" customFormat="false" ht="15" hidden="false" customHeight="false" outlineLevel="0" collapsed="false">
      <c r="A100" s="18" t="s">
        <v>20</v>
      </c>
      <c r="B100" s="18" t="n">
        <v>5</v>
      </c>
      <c r="C100" s="18" t="s">
        <v>155</v>
      </c>
      <c r="D100" s="18" t="s">
        <v>30</v>
      </c>
      <c r="E100" s="17" t="n">
        <f aca="false">COUNTIFS('Pedidos Top10'!$A$2:$A$1839,A100,'Pedidos Top10'!$C$2:$C$1839,C100,'Pedidos Top10'!$D$2:$D$1839,D100)</f>
        <v>28</v>
      </c>
      <c r="F100" s="21" t="n">
        <f aca="false">E100/COUNTIFS('Pedidos Top10'!$A$2:$A$1839,A100,'Pedidos Top10'!$C$2:$C$1839,C100)</f>
        <v>0.903225806451613</v>
      </c>
      <c r="G100" s="19" t="n">
        <f aca="false">SUMIFS('Pedidos Top10'!$J$2:$J$1839,'Pedidos Top10'!$A$2:$A$1839,A100,'Pedidos Top10'!$C$2:$C$1839,C100,'Pedidos Top10'!$D$2:$D$1839,D100)</f>
        <v>1708.12</v>
      </c>
      <c r="H100" s="8" t="n">
        <f aca="false">SUMIFS('Pedidos Top10'!$L$2:$L$1839,'Pedidos Top10'!$A$2:$A$1839,A100,'Pedidos Top10'!$C$2:$C$1839,C100,'Pedidos Top10'!$D$2:$D$1839,D100)</f>
        <v>7318.29</v>
      </c>
      <c r="I100" s="8" t="n">
        <f aca="false">SUMIFS('Pedidos Top10'!$AD$2:$AD$1839,'Pedidos Top10'!$A$2:$A$1839,A100,'Pedidos Top10'!$C$2:$C$1839,C100,'Pedidos Top10'!$D$2:$D$1839,D100)</f>
        <v>6283.01</v>
      </c>
      <c r="J100" s="8" t="n">
        <f aca="false">I100-H100</f>
        <v>-1035.28</v>
      </c>
      <c r="K100" s="9" t="n">
        <f aca="false">IF(H100=0,0,J100/H100)</f>
        <v>-0.141464741080225</v>
      </c>
      <c r="L100" s="8" t="n">
        <f aca="false">IF(E100=0,0,H100/E100)</f>
        <v>261.3675</v>
      </c>
      <c r="M100" s="8" t="n">
        <f aca="false">IF(E100=0,0,I100/E100)</f>
        <v>224.393214285714</v>
      </c>
      <c r="N100" s="8" t="n">
        <f aca="false">IF(G100=0,0,H100/G100)</f>
        <v>4.28441210219423</v>
      </c>
      <c r="O100" s="8" t="n">
        <f aca="false">IF(G100=0,0,I100/G100)</f>
        <v>3.67831885347634</v>
      </c>
      <c r="P100" s="21" t="n">
        <f aca="false">IF(E100=0,0,COUNTIFS('Pedidos Top10'!$A$2:$A$1839,A100,'Pedidos Top10'!$C$2:$C$1839,C100,'Pedidos Top10'!$D$2:$D$1839,D100,'Pedidos Top10'!$AG$2:$AG$1839,"PASSARO")/E100)</f>
        <v>0.642857142857143</v>
      </c>
      <c r="Q100" s="18" t="str">
        <f aca="false">IF(K100&lt;=-0.05,"Passaro compete: "&amp;TEXT(-K100,"0%")&amp;" abaixo de "&amp;D100,IF(K100&lt;0.05,"Empate técnico com "&amp;D100,D100&amp;" é "&amp;TEXT(1-H100/I100,"0%")&amp;" mais barata que a Passaro"))</f>
        <v>Passaro compete: 14% abaixo de DOMINALOG</v>
      </c>
    </row>
    <row r="101" customFormat="false" ht="15" hidden="false" customHeight="false" outlineLevel="0" collapsed="false">
      <c r="A101" s="18" t="s">
        <v>20</v>
      </c>
      <c r="B101" s="18" t="n">
        <v>5</v>
      </c>
      <c r="C101" s="18" t="s">
        <v>155</v>
      </c>
      <c r="D101" s="18" t="s">
        <v>31</v>
      </c>
      <c r="E101" s="17" t="n">
        <f aca="false">COUNTIFS('Pedidos Top10'!$A$2:$A$1839,A101,'Pedidos Top10'!$C$2:$C$1839,C101,'Pedidos Top10'!$D$2:$D$1839,D101)</f>
        <v>2</v>
      </c>
      <c r="F101" s="21" t="n">
        <f aca="false">E101/COUNTIFS('Pedidos Top10'!$A$2:$A$1839,A101,'Pedidos Top10'!$C$2:$C$1839,C101)</f>
        <v>0.0645161290322581</v>
      </c>
      <c r="G101" s="19" t="n">
        <f aca="false">SUMIFS('Pedidos Top10'!$J$2:$J$1839,'Pedidos Top10'!$A$2:$A$1839,A101,'Pedidos Top10'!$C$2:$C$1839,C101,'Pedidos Top10'!$D$2:$D$1839,D101)</f>
        <v>41.4</v>
      </c>
      <c r="H101" s="8" t="n">
        <f aca="false">SUMIFS('Pedidos Top10'!$L$2:$L$1839,'Pedidos Top10'!$A$2:$A$1839,A101,'Pedidos Top10'!$C$2:$C$1839,C101,'Pedidos Top10'!$D$2:$D$1839,D101)</f>
        <v>177.24</v>
      </c>
      <c r="I101" s="8" t="n">
        <f aca="false">SUMIFS('Pedidos Top10'!$AD$2:$AD$1839,'Pedidos Top10'!$A$2:$A$1839,A101,'Pedidos Top10'!$C$2:$C$1839,C101,'Pedidos Top10'!$D$2:$D$1839,D101)</f>
        <v>356.44</v>
      </c>
      <c r="J101" s="8" t="n">
        <f aca="false">I101-H101</f>
        <v>179.2</v>
      </c>
      <c r="K101" s="9" t="n">
        <f aca="false">IF(H101=0,0,J101/H101)</f>
        <v>1.01105845181675</v>
      </c>
      <c r="L101" s="8" t="n">
        <f aca="false">IF(E101=0,0,H101/E101)</f>
        <v>88.62</v>
      </c>
      <c r="M101" s="8" t="n">
        <f aca="false">IF(E101=0,0,I101/E101)</f>
        <v>178.22</v>
      </c>
      <c r="N101" s="8" t="n">
        <f aca="false">IF(G101=0,0,H101/G101)</f>
        <v>4.28115942028986</v>
      </c>
      <c r="O101" s="8" t="n">
        <f aca="false">IF(G101=0,0,I101/G101)</f>
        <v>8.60966183574879</v>
      </c>
      <c r="P101" s="21" t="n">
        <f aca="false">IF(E101=0,0,COUNTIFS('Pedidos Top10'!$A$2:$A$1839,A101,'Pedidos Top10'!$C$2:$C$1839,C101,'Pedidos Top10'!$D$2:$D$1839,D101,'Pedidos Top10'!$AG$2:$AG$1839,"PASSARO")/E101)</f>
        <v>0</v>
      </c>
      <c r="Q101" s="18" t="str">
        <f aca="false">IF(K101&lt;=-0.05,"Passaro compete: "&amp;TEXT(-K101,"0%")&amp;" abaixo de "&amp;D101,IF(K101&lt;0.05,"Empate técnico com "&amp;D101,D101&amp;" é "&amp;TEXT(1-H101/I101,"0%")&amp;" mais barata que a Passaro"))</f>
        <v>JADLOG é 50% mais barata que a Passaro</v>
      </c>
    </row>
    <row r="102" customFormat="false" ht="15" hidden="false" customHeight="false" outlineLevel="0" collapsed="false">
      <c r="A102" s="18" t="s">
        <v>20</v>
      </c>
      <c r="B102" s="18" t="n">
        <v>5</v>
      </c>
      <c r="C102" s="18" t="s">
        <v>155</v>
      </c>
      <c r="D102" s="18" t="s">
        <v>34</v>
      </c>
      <c r="E102" s="17" t="n">
        <f aca="false">COUNTIFS('Pedidos Top10'!$A$2:$A$1839,A102,'Pedidos Top10'!$C$2:$C$1839,C102,'Pedidos Top10'!$D$2:$D$1839,D102)</f>
        <v>1</v>
      </c>
      <c r="F102" s="21" t="n">
        <f aca="false">E102/COUNTIFS('Pedidos Top10'!$A$2:$A$1839,A102,'Pedidos Top10'!$C$2:$C$1839,C102)</f>
        <v>0.032258064516129</v>
      </c>
      <c r="G102" s="19" t="n">
        <f aca="false">SUMIFS('Pedidos Top10'!$J$2:$J$1839,'Pedidos Top10'!$A$2:$A$1839,A102,'Pedidos Top10'!$C$2:$C$1839,C102,'Pedidos Top10'!$D$2:$D$1839,D102)</f>
        <v>130.3</v>
      </c>
      <c r="H102" s="8" t="n">
        <f aca="false">SUMIFS('Pedidos Top10'!$L$2:$L$1839,'Pedidos Top10'!$A$2:$A$1839,A102,'Pedidos Top10'!$C$2:$C$1839,C102,'Pedidos Top10'!$D$2:$D$1839,D102)</f>
        <v>352.95</v>
      </c>
      <c r="I102" s="8" t="n">
        <f aca="false">SUMIFS('Pedidos Top10'!$AD$2:$AD$1839,'Pedidos Top10'!$A$2:$A$1839,A102,'Pedidos Top10'!$C$2:$C$1839,C102,'Pedidos Top10'!$D$2:$D$1839,D102)</f>
        <v>312.97</v>
      </c>
      <c r="J102" s="8" t="n">
        <f aca="false">I102-H102</f>
        <v>-39.98</v>
      </c>
      <c r="K102" s="9" t="n">
        <f aca="false">IF(H102=0,0,J102/H102)</f>
        <v>-0.113273834820796</v>
      </c>
      <c r="L102" s="8" t="n">
        <f aca="false">IF(E102=0,0,H102/E102)</f>
        <v>352.95</v>
      </c>
      <c r="M102" s="8" t="n">
        <f aca="false">IF(E102=0,0,I102/E102)</f>
        <v>312.97</v>
      </c>
      <c r="N102" s="8" t="n">
        <f aca="false">IF(G102=0,0,H102/G102)</f>
        <v>2.70874904067536</v>
      </c>
      <c r="O102" s="8" t="n">
        <f aca="false">IF(G102=0,0,I102/G102)</f>
        <v>2.40191864927091</v>
      </c>
      <c r="P102" s="21" t="n">
        <f aca="false">IF(E102=0,0,COUNTIFS('Pedidos Top10'!$A$2:$A$1839,A102,'Pedidos Top10'!$C$2:$C$1839,C102,'Pedidos Top10'!$D$2:$D$1839,D102,'Pedidos Top10'!$AG$2:$AG$1839,"PASSARO")/E102)</f>
        <v>1</v>
      </c>
      <c r="Q102" s="18" t="str">
        <f aca="false">IF(K102&lt;=-0.05,"Passaro compete: "&amp;TEXT(-K102,"0%")&amp;" abaixo de "&amp;D102,IF(K102&lt;0.05,"Empate técnico com "&amp;D102,D102&amp;" é "&amp;TEXT(1-H102/I102,"0%")&amp;" mais barata que a Passaro"))</f>
        <v>Passaro compete: 11% abaixo de FORMATO TRANSPORTES</v>
      </c>
    </row>
    <row r="103" customFormat="false" ht="15" hidden="false" customHeight="false" outlineLevel="0" collapsed="false">
      <c r="A103" s="18" t="s">
        <v>20</v>
      </c>
      <c r="B103" s="18" t="n">
        <v>6</v>
      </c>
      <c r="C103" s="18" t="s">
        <v>157</v>
      </c>
      <c r="D103" s="18" t="s">
        <v>30</v>
      </c>
      <c r="E103" s="17" t="n">
        <f aca="false">COUNTIFS('Pedidos Top10'!$A$2:$A$1839,A103,'Pedidos Top10'!$C$2:$C$1839,C103,'Pedidos Top10'!$D$2:$D$1839,D103)</f>
        <v>13</v>
      </c>
      <c r="F103" s="21" t="n">
        <f aca="false">E103/COUNTIFS('Pedidos Top10'!$A$2:$A$1839,A103,'Pedidos Top10'!$C$2:$C$1839,C103)</f>
        <v>0.65</v>
      </c>
      <c r="G103" s="19" t="n">
        <f aca="false">SUMIFS('Pedidos Top10'!$J$2:$J$1839,'Pedidos Top10'!$A$2:$A$1839,A103,'Pedidos Top10'!$C$2:$C$1839,C103,'Pedidos Top10'!$D$2:$D$1839,D103)</f>
        <v>784.02</v>
      </c>
      <c r="H103" s="8" t="n">
        <f aca="false">SUMIFS('Pedidos Top10'!$L$2:$L$1839,'Pedidos Top10'!$A$2:$A$1839,A103,'Pedidos Top10'!$C$2:$C$1839,C103,'Pedidos Top10'!$D$2:$D$1839,D103)</f>
        <v>3189.95</v>
      </c>
      <c r="I103" s="8" t="n">
        <f aca="false">SUMIFS('Pedidos Top10'!$AD$2:$AD$1839,'Pedidos Top10'!$A$2:$A$1839,A103,'Pedidos Top10'!$C$2:$C$1839,C103,'Pedidos Top10'!$D$2:$D$1839,D103)</f>
        <v>2487</v>
      </c>
      <c r="J103" s="8" t="n">
        <f aca="false">I103-H103</f>
        <v>-702.95</v>
      </c>
      <c r="K103" s="9" t="n">
        <f aca="false">IF(H103=0,0,J103/H103)</f>
        <v>-0.220363955547893</v>
      </c>
      <c r="L103" s="8" t="n">
        <f aca="false">IF(E103=0,0,H103/E103)</f>
        <v>245.380769230769</v>
      </c>
      <c r="M103" s="8" t="n">
        <f aca="false">IF(E103=0,0,I103/E103)</f>
        <v>191.307692307692</v>
      </c>
      <c r="N103" s="8" t="n">
        <f aca="false">IF(G103=0,0,H103/G103)</f>
        <v>4.06870998188822</v>
      </c>
      <c r="O103" s="8" t="n">
        <f aca="false">IF(G103=0,0,I103/G103)</f>
        <v>3.17211295630214</v>
      </c>
      <c r="P103" s="21" t="n">
        <f aca="false">IF(E103=0,0,COUNTIFS('Pedidos Top10'!$A$2:$A$1839,A103,'Pedidos Top10'!$C$2:$C$1839,C103,'Pedidos Top10'!$D$2:$D$1839,D103,'Pedidos Top10'!$AG$2:$AG$1839,"PASSARO")/E103)</f>
        <v>0.846153846153846</v>
      </c>
      <c r="Q103" s="18" t="str">
        <f aca="false">IF(K103&lt;=-0.05,"Passaro compete: "&amp;TEXT(-K103,"0%")&amp;" abaixo de "&amp;D103,IF(K103&lt;0.05,"Empate técnico com "&amp;D103,D103&amp;" é "&amp;TEXT(1-H103/I103,"0%")&amp;" mais barata que a Passaro"))</f>
        <v>Passaro compete: 22% abaixo de DOMINALOG</v>
      </c>
    </row>
    <row r="104" customFormat="false" ht="15" hidden="false" customHeight="false" outlineLevel="0" collapsed="false">
      <c r="A104" s="18" t="s">
        <v>20</v>
      </c>
      <c r="B104" s="18" t="n">
        <v>6</v>
      </c>
      <c r="C104" s="18" t="s">
        <v>157</v>
      </c>
      <c r="D104" s="18" t="s">
        <v>31</v>
      </c>
      <c r="E104" s="17" t="n">
        <f aca="false">COUNTIFS('Pedidos Top10'!$A$2:$A$1839,A104,'Pedidos Top10'!$C$2:$C$1839,C104,'Pedidos Top10'!$D$2:$D$1839,D104)</f>
        <v>4</v>
      </c>
      <c r="F104" s="21" t="n">
        <f aca="false">E104/COUNTIFS('Pedidos Top10'!$A$2:$A$1839,A104,'Pedidos Top10'!$C$2:$C$1839,C104)</f>
        <v>0.2</v>
      </c>
      <c r="G104" s="19" t="n">
        <f aca="false">SUMIFS('Pedidos Top10'!$J$2:$J$1839,'Pedidos Top10'!$A$2:$A$1839,A104,'Pedidos Top10'!$C$2:$C$1839,C104,'Pedidos Top10'!$D$2:$D$1839,D104)</f>
        <v>78.4</v>
      </c>
      <c r="H104" s="8" t="n">
        <f aca="false">SUMIFS('Pedidos Top10'!$L$2:$L$1839,'Pedidos Top10'!$A$2:$A$1839,A104,'Pedidos Top10'!$C$2:$C$1839,C104,'Pedidos Top10'!$D$2:$D$1839,D104)</f>
        <v>343.28</v>
      </c>
      <c r="I104" s="8" t="n">
        <f aca="false">SUMIFS('Pedidos Top10'!$AD$2:$AD$1839,'Pedidos Top10'!$A$2:$A$1839,A104,'Pedidos Top10'!$C$2:$C$1839,C104,'Pedidos Top10'!$D$2:$D$1839,D104)</f>
        <v>568.94</v>
      </c>
      <c r="J104" s="8" t="n">
        <f aca="false">I104-H104</f>
        <v>225.66</v>
      </c>
      <c r="K104" s="9" t="n">
        <f aca="false">IF(H104=0,0,J104/H104)</f>
        <v>0.657364250757399</v>
      </c>
      <c r="L104" s="8" t="n">
        <f aca="false">IF(E104=0,0,H104/E104)</f>
        <v>85.82</v>
      </c>
      <c r="M104" s="8" t="n">
        <f aca="false">IF(E104=0,0,I104/E104)</f>
        <v>142.235</v>
      </c>
      <c r="N104" s="8" t="n">
        <f aca="false">IF(G104=0,0,H104/G104)</f>
        <v>4.37857142857143</v>
      </c>
      <c r="O104" s="8" t="n">
        <f aca="false">IF(G104=0,0,I104/G104)</f>
        <v>7.25688775510204</v>
      </c>
      <c r="P104" s="21" t="n">
        <f aca="false">IF(E104=0,0,COUNTIFS('Pedidos Top10'!$A$2:$A$1839,A104,'Pedidos Top10'!$C$2:$C$1839,C104,'Pedidos Top10'!$D$2:$D$1839,D104,'Pedidos Top10'!$AG$2:$AG$1839,"PASSARO")/E104)</f>
        <v>0</v>
      </c>
      <c r="Q104" s="18" t="str">
        <f aca="false">IF(K104&lt;=-0.05,"Passaro compete: "&amp;TEXT(-K104,"0%")&amp;" abaixo de "&amp;D104,IF(K104&lt;0.05,"Empate técnico com "&amp;D104,D104&amp;" é "&amp;TEXT(1-H104/I104,"0%")&amp;" mais barata que a Passaro"))</f>
        <v>JADLOG é 40% mais barata que a Passaro</v>
      </c>
    </row>
    <row r="105" customFormat="false" ht="15" hidden="false" customHeight="false" outlineLevel="0" collapsed="false">
      <c r="A105" s="18" t="s">
        <v>20</v>
      </c>
      <c r="B105" s="18" t="n">
        <v>6</v>
      </c>
      <c r="C105" s="18" t="s">
        <v>157</v>
      </c>
      <c r="D105" s="18" t="s">
        <v>34</v>
      </c>
      <c r="E105" s="17" t="n">
        <f aca="false">COUNTIFS('Pedidos Top10'!$A$2:$A$1839,A105,'Pedidos Top10'!$C$2:$C$1839,C105,'Pedidos Top10'!$D$2:$D$1839,D105)</f>
        <v>3</v>
      </c>
      <c r="F105" s="21" t="n">
        <f aca="false">E105/COUNTIFS('Pedidos Top10'!$A$2:$A$1839,A105,'Pedidos Top10'!$C$2:$C$1839,C105)</f>
        <v>0.15</v>
      </c>
      <c r="G105" s="19" t="n">
        <f aca="false">SUMIFS('Pedidos Top10'!$J$2:$J$1839,'Pedidos Top10'!$A$2:$A$1839,A105,'Pedidos Top10'!$C$2:$C$1839,C105,'Pedidos Top10'!$D$2:$D$1839,D105)</f>
        <v>203.26</v>
      </c>
      <c r="H105" s="8" t="n">
        <f aca="false">SUMIFS('Pedidos Top10'!$L$2:$L$1839,'Pedidos Top10'!$A$2:$A$1839,A105,'Pedidos Top10'!$C$2:$C$1839,C105,'Pedidos Top10'!$D$2:$D$1839,D105)</f>
        <v>660.17</v>
      </c>
      <c r="I105" s="8" t="n">
        <f aca="false">SUMIFS('Pedidos Top10'!$AD$2:$AD$1839,'Pedidos Top10'!$A$2:$A$1839,A105,'Pedidos Top10'!$C$2:$C$1839,C105,'Pedidos Top10'!$D$2:$D$1839,D105)</f>
        <v>568.65</v>
      </c>
      <c r="J105" s="8" t="n">
        <f aca="false">I105-H105</f>
        <v>-91.5200000000001</v>
      </c>
      <c r="K105" s="9" t="n">
        <f aca="false">IF(H105=0,0,J105/H105)</f>
        <v>-0.138630958692458</v>
      </c>
      <c r="L105" s="8" t="n">
        <f aca="false">IF(E105=0,0,H105/E105)</f>
        <v>220.056666666667</v>
      </c>
      <c r="M105" s="8" t="n">
        <f aca="false">IF(E105=0,0,I105/E105)</f>
        <v>189.55</v>
      </c>
      <c r="N105" s="8" t="n">
        <f aca="false">IF(G105=0,0,H105/G105)</f>
        <v>3.24790908196399</v>
      </c>
      <c r="O105" s="8" t="n">
        <f aca="false">IF(G105=0,0,I105/G105)</f>
        <v>2.79764833218538</v>
      </c>
      <c r="P105" s="21" t="n">
        <f aca="false">IF(E105=0,0,COUNTIFS('Pedidos Top10'!$A$2:$A$1839,A105,'Pedidos Top10'!$C$2:$C$1839,C105,'Pedidos Top10'!$D$2:$D$1839,D105,'Pedidos Top10'!$AG$2:$AG$1839,"PASSARO")/E105)</f>
        <v>1</v>
      </c>
      <c r="Q105" s="18" t="str">
        <f aca="false">IF(K105&lt;=-0.05,"Passaro compete: "&amp;TEXT(-K105,"0%")&amp;" abaixo de "&amp;D105,IF(K105&lt;0.05,"Empate técnico com "&amp;D105,D105&amp;" é "&amp;TEXT(1-H105/I105,"0%")&amp;" mais barata que a Passaro"))</f>
        <v>Passaro compete: 14% abaixo de FORMATO TRANSPORTES</v>
      </c>
    </row>
    <row r="106" customFormat="false" ht="15" hidden="false" customHeight="false" outlineLevel="0" collapsed="false">
      <c r="A106" s="18" t="s">
        <v>20</v>
      </c>
      <c r="B106" s="18" t="n">
        <v>7</v>
      </c>
      <c r="C106" s="18" t="s">
        <v>159</v>
      </c>
      <c r="D106" s="18" t="s">
        <v>30</v>
      </c>
      <c r="E106" s="17" t="n">
        <f aca="false">COUNTIFS('Pedidos Top10'!$A$2:$A$1839,A106,'Pedidos Top10'!$C$2:$C$1839,C106,'Pedidos Top10'!$D$2:$D$1839,D106)</f>
        <v>13</v>
      </c>
      <c r="F106" s="21" t="n">
        <f aca="false">E106/COUNTIFS('Pedidos Top10'!$A$2:$A$1839,A106,'Pedidos Top10'!$C$2:$C$1839,C106)</f>
        <v>1</v>
      </c>
      <c r="G106" s="19" t="n">
        <f aca="false">SUMIFS('Pedidos Top10'!$J$2:$J$1839,'Pedidos Top10'!$A$2:$A$1839,A106,'Pedidos Top10'!$C$2:$C$1839,C106,'Pedidos Top10'!$D$2:$D$1839,D106)</f>
        <v>815.53</v>
      </c>
      <c r="H106" s="8" t="n">
        <f aca="false">SUMIFS('Pedidos Top10'!$L$2:$L$1839,'Pedidos Top10'!$A$2:$A$1839,A106,'Pedidos Top10'!$C$2:$C$1839,C106,'Pedidos Top10'!$D$2:$D$1839,D106)</f>
        <v>2731.97</v>
      </c>
      <c r="I106" s="8" t="n">
        <f aca="false">SUMIFS('Pedidos Top10'!$AD$2:$AD$1839,'Pedidos Top10'!$A$2:$A$1839,A106,'Pedidos Top10'!$C$2:$C$1839,C106,'Pedidos Top10'!$D$2:$D$1839,D106)</f>
        <v>2404.25</v>
      </c>
      <c r="J106" s="8" t="n">
        <f aca="false">I106-H106</f>
        <v>-327.72</v>
      </c>
      <c r="K106" s="9" t="n">
        <f aca="false">IF(H106=0,0,J106/H106)</f>
        <v>-0.119957393382797</v>
      </c>
      <c r="L106" s="8" t="n">
        <f aca="false">IF(E106=0,0,H106/E106)</f>
        <v>210.151538461538</v>
      </c>
      <c r="M106" s="8" t="n">
        <f aca="false">IF(E106=0,0,I106/E106)</f>
        <v>184.942307692308</v>
      </c>
      <c r="N106" s="8" t="n">
        <f aca="false">IF(G106=0,0,H106/G106)</f>
        <v>3.3499319460964</v>
      </c>
      <c r="O106" s="8" t="n">
        <f aca="false">IF(G106=0,0,I106/G106)</f>
        <v>2.94808284183292</v>
      </c>
      <c r="P106" s="21" t="n">
        <f aca="false">IF(E106=0,0,COUNTIFS('Pedidos Top10'!$A$2:$A$1839,A106,'Pedidos Top10'!$C$2:$C$1839,C106,'Pedidos Top10'!$D$2:$D$1839,D106,'Pedidos Top10'!$AG$2:$AG$1839,"PASSARO")/E106)</f>
        <v>0.692307692307692</v>
      </c>
      <c r="Q106" s="18" t="str">
        <f aca="false">IF(K106&lt;=-0.05,"Passaro compete: "&amp;TEXT(-K106,"0%")&amp;" abaixo de "&amp;D106,IF(K106&lt;0.05,"Empate técnico com "&amp;D106,D106&amp;" é "&amp;TEXT(1-H106/I106,"0%")&amp;" mais barata que a Passaro"))</f>
        <v>Passaro compete: 12% abaixo de DOMINALOG</v>
      </c>
    </row>
    <row r="107" customFormat="false" ht="15" hidden="false" customHeight="false" outlineLevel="0" collapsed="false">
      <c r="A107" s="18" t="s">
        <v>20</v>
      </c>
      <c r="B107" s="18" t="n">
        <v>8</v>
      </c>
      <c r="C107" s="18" t="s">
        <v>161</v>
      </c>
      <c r="D107" s="18" t="s">
        <v>30</v>
      </c>
      <c r="E107" s="17" t="n">
        <f aca="false">COUNTIFS('Pedidos Top10'!$A$2:$A$1839,A107,'Pedidos Top10'!$C$2:$C$1839,C107,'Pedidos Top10'!$D$2:$D$1839,D107)</f>
        <v>10</v>
      </c>
      <c r="F107" s="21" t="n">
        <f aca="false">E107/COUNTIFS('Pedidos Top10'!$A$2:$A$1839,A107,'Pedidos Top10'!$C$2:$C$1839,C107)</f>
        <v>0.769230769230769</v>
      </c>
      <c r="G107" s="19" t="n">
        <f aca="false">SUMIFS('Pedidos Top10'!$J$2:$J$1839,'Pedidos Top10'!$A$2:$A$1839,A107,'Pedidos Top10'!$C$2:$C$1839,C107,'Pedidos Top10'!$D$2:$D$1839,D107)</f>
        <v>523.39</v>
      </c>
      <c r="H107" s="8" t="n">
        <f aca="false">SUMIFS('Pedidos Top10'!$L$2:$L$1839,'Pedidos Top10'!$A$2:$A$1839,A107,'Pedidos Top10'!$C$2:$C$1839,C107,'Pedidos Top10'!$D$2:$D$1839,D107)</f>
        <v>1785.09</v>
      </c>
      <c r="I107" s="8" t="n">
        <f aca="false">SUMIFS('Pedidos Top10'!$AD$2:$AD$1839,'Pedidos Top10'!$A$2:$A$1839,A107,'Pedidos Top10'!$C$2:$C$1839,C107,'Pedidos Top10'!$D$2:$D$1839,D107)</f>
        <v>1488.89</v>
      </c>
      <c r="J107" s="8" t="n">
        <f aca="false">I107-H107</f>
        <v>-296.2</v>
      </c>
      <c r="K107" s="9" t="n">
        <f aca="false">IF(H107=0,0,J107/H107)</f>
        <v>-0.165930009131192</v>
      </c>
      <c r="L107" s="8" t="n">
        <f aca="false">IF(E107=0,0,H107/E107)</f>
        <v>178.509</v>
      </c>
      <c r="M107" s="8" t="n">
        <f aca="false">IF(E107=0,0,I107/E107)</f>
        <v>148.889</v>
      </c>
      <c r="N107" s="8" t="n">
        <f aca="false">IF(G107=0,0,H107/G107)</f>
        <v>3.41063069603928</v>
      </c>
      <c r="O107" s="8" t="n">
        <f aca="false">IF(G107=0,0,I107/G107)</f>
        <v>2.84470471350236</v>
      </c>
      <c r="P107" s="21" t="n">
        <f aca="false">IF(E107=0,0,COUNTIFS('Pedidos Top10'!$A$2:$A$1839,A107,'Pedidos Top10'!$C$2:$C$1839,C107,'Pedidos Top10'!$D$2:$D$1839,D107,'Pedidos Top10'!$AG$2:$AG$1839,"PASSARO")/E107)</f>
        <v>0.8</v>
      </c>
      <c r="Q107" s="18" t="str">
        <f aca="false">IF(K107&lt;=-0.05,"Passaro compete: "&amp;TEXT(-K107,"0%")&amp;" abaixo de "&amp;D107,IF(K107&lt;0.05,"Empate técnico com "&amp;D107,D107&amp;" é "&amp;TEXT(1-H107/I107,"0%")&amp;" mais barata que a Passaro"))</f>
        <v>Passaro compete: 17% abaixo de DOMINALOG</v>
      </c>
    </row>
    <row r="108" customFormat="false" ht="15" hidden="false" customHeight="false" outlineLevel="0" collapsed="false">
      <c r="A108" s="18" t="s">
        <v>20</v>
      </c>
      <c r="B108" s="18" t="n">
        <v>8</v>
      </c>
      <c r="C108" s="18" t="s">
        <v>161</v>
      </c>
      <c r="D108" s="18" t="s">
        <v>31</v>
      </c>
      <c r="E108" s="17" t="n">
        <f aca="false">COUNTIFS('Pedidos Top10'!$A$2:$A$1839,A108,'Pedidos Top10'!$C$2:$C$1839,C108,'Pedidos Top10'!$D$2:$D$1839,D108)</f>
        <v>2</v>
      </c>
      <c r="F108" s="21" t="n">
        <f aca="false">E108/COUNTIFS('Pedidos Top10'!$A$2:$A$1839,A108,'Pedidos Top10'!$C$2:$C$1839,C108)</f>
        <v>0.153846153846154</v>
      </c>
      <c r="G108" s="19" t="n">
        <f aca="false">SUMIFS('Pedidos Top10'!$J$2:$J$1839,'Pedidos Top10'!$A$2:$A$1839,A108,'Pedidos Top10'!$C$2:$C$1839,C108,'Pedidos Top10'!$D$2:$D$1839,D108)</f>
        <v>40.2</v>
      </c>
      <c r="H108" s="8" t="n">
        <f aca="false">SUMIFS('Pedidos Top10'!$L$2:$L$1839,'Pedidos Top10'!$A$2:$A$1839,A108,'Pedidos Top10'!$C$2:$C$1839,C108,'Pedidos Top10'!$D$2:$D$1839,D108)</f>
        <v>194.5</v>
      </c>
      <c r="I108" s="8" t="n">
        <f aca="false">SUMIFS('Pedidos Top10'!$AD$2:$AD$1839,'Pedidos Top10'!$A$2:$A$1839,A108,'Pedidos Top10'!$C$2:$C$1839,C108,'Pedidos Top10'!$D$2:$D$1839,D108)</f>
        <v>236.39</v>
      </c>
      <c r="J108" s="8" t="n">
        <f aca="false">I108-H108</f>
        <v>41.89</v>
      </c>
      <c r="K108" s="9" t="n">
        <f aca="false">IF(H108=0,0,J108/H108)</f>
        <v>0.215372750642673</v>
      </c>
      <c r="L108" s="8" t="n">
        <f aca="false">IF(E108=0,0,H108/E108)</f>
        <v>97.25</v>
      </c>
      <c r="M108" s="8" t="n">
        <f aca="false">IF(E108=0,0,I108/E108)</f>
        <v>118.195</v>
      </c>
      <c r="N108" s="8" t="n">
        <f aca="false">IF(G108=0,0,H108/G108)</f>
        <v>4.83830845771144</v>
      </c>
      <c r="O108" s="8" t="n">
        <f aca="false">IF(G108=0,0,I108/G108)</f>
        <v>5.88034825870647</v>
      </c>
      <c r="P108" s="21" t="n">
        <f aca="false">IF(E108=0,0,COUNTIFS('Pedidos Top10'!$A$2:$A$1839,A108,'Pedidos Top10'!$C$2:$C$1839,C108,'Pedidos Top10'!$D$2:$D$1839,D108,'Pedidos Top10'!$AG$2:$AG$1839,"PASSARO")/E108)</f>
        <v>0</v>
      </c>
      <c r="Q108" s="18" t="str">
        <f aca="false">IF(K108&lt;=-0.05,"Passaro compete: "&amp;TEXT(-K108,"0%")&amp;" abaixo de "&amp;D108,IF(K108&lt;0.05,"Empate técnico com "&amp;D108,D108&amp;" é "&amp;TEXT(1-H108/I108,"0%")&amp;" mais barata que a Passaro"))</f>
        <v>JADLOG é 18% mais barata que a Passaro</v>
      </c>
    </row>
    <row r="109" customFormat="false" ht="15" hidden="false" customHeight="false" outlineLevel="0" collapsed="false">
      <c r="A109" s="18" t="s">
        <v>20</v>
      </c>
      <c r="B109" s="18" t="n">
        <v>8</v>
      </c>
      <c r="C109" s="18" t="s">
        <v>161</v>
      </c>
      <c r="D109" s="18" t="s">
        <v>34</v>
      </c>
      <c r="E109" s="17" t="n">
        <f aca="false">COUNTIFS('Pedidos Top10'!$A$2:$A$1839,A109,'Pedidos Top10'!$C$2:$C$1839,C109,'Pedidos Top10'!$D$2:$D$1839,D109)</f>
        <v>1</v>
      </c>
      <c r="F109" s="21" t="n">
        <f aca="false">E109/COUNTIFS('Pedidos Top10'!$A$2:$A$1839,A109,'Pedidos Top10'!$C$2:$C$1839,C109)</f>
        <v>0.0769230769230769</v>
      </c>
      <c r="G109" s="19" t="n">
        <f aca="false">SUMIFS('Pedidos Top10'!$J$2:$J$1839,'Pedidos Top10'!$A$2:$A$1839,A109,'Pedidos Top10'!$C$2:$C$1839,C109,'Pedidos Top10'!$D$2:$D$1839,D109)</f>
        <v>73.3</v>
      </c>
      <c r="H109" s="8" t="n">
        <f aca="false">SUMIFS('Pedidos Top10'!$L$2:$L$1839,'Pedidos Top10'!$A$2:$A$1839,A109,'Pedidos Top10'!$C$2:$C$1839,C109,'Pedidos Top10'!$D$2:$D$1839,D109)</f>
        <v>234.2</v>
      </c>
      <c r="I109" s="8" t="n">
        <f aca="false">SUMIFS('Pedidos Top10'!$AD$2:$AD$1839,'Pedidos Top10'!$A$2:$A$1839,A109,'Pedidos Top10'!$C$2:$C$1839,C109,'Pedidos Top10'!$D$2:$D$1839,D109)</f>
        <v>177.03</v>
      </c>
      <c r="J109" s="8" t="n">
        <f aca="false">I109-H109</f>
        <v>-57.17</v>
      </c>
      <c r="K109" s="9" t="n">
        <f aca="false">IF(H109=0,0,J109/H109)</f>
        <v>-0.244107600341588</v>
      </c>
      <c r="L109" s="8" t="n">
        <f aca="false">IF(E109=0,0,H109/E109)</f>
        <v>234.2</v>
      </c>
      <c r="M109" s="8" t="n">
        <f aca="false">IF(E109=0,0,I109/E109)</f>
        <v>177.03</v>
      </c>
      <c r="N109" s="8" t="n">
        <f aca="false">IF(G109=0,0,H109/G109)</f>
        <v>3.19508867667121</v>
      </c>
      <c r="O109" s="8" t="n">
        <f aca="false">IF(G109=0,0,I109/G109)</f>
        <v>2.41514324693042</v>
      </c>
      <c r="P109" s="21" t="n">
        <f aca="false">IF(E109=0,0,COUNTIFS('Pedidos Top10'!$A$2:$A$1839,A109,'Pedidos Top10'!$C$2:$C$1839,C109,'Pedidos Top10'!$D$2:$D$1839,D109,'Pedidos Top10'!$AG$2:$AG$1839,"PASSARO")/E109)</f>
        <v>1</v>
      </c>
      <c r="Q109" s="18" t="str">
        <f aca="false">IF(K109&lt;=-0.05,"Passaro compete: "&amp;TEXT(-K109,"0%")&amp;" abaixo de "&amp;D109,IF(K109&lt;0.05,"Empate técnico com "&amp;D109,D109&amp;" é "&amp;TEXT(1-H109/I109,"0%")&amp;" mais barata que a Passaro"))</f>
        <v>Passaro compete: 24% abaixo de FORMATO TRANSPORTES</v>
      </c>
    </row>
    <row r="110" customFormat="false" ht="15" hidden="false" customHeight="false" outlineLevel="0" collapsed="false">
      <c r="A110" s="18" t="s">
        <v>20</v>
      </c>
      <c r="B110" s="18" t="n">
        <v>9</v>
      </c>
      <c r="C110" s="18" t="s">
        <v>163</v>
      </c>
      <c r="D110" s="18" t="s">
        <v>30</v>
      </c>
      <c r="E110" s="17" t="n">
        <f aca="false">COUNTIFS('Pedidos Top10'!$A$2:$A$1839,A110,'Pedidos Top10'!$C$2:$C$1839,C110,'Pedidos Top10'!$D$2:$D$1839,D110)</f>
        <v>10</v>
      </c>
      <c r="F110" s="21" t="n">
        <f aca="false">E110/COUNTIFS('Pedidos Top10'!$A$2:$A$1839,A110,'Pedidos Top10'!$C$2:$C$1839,C110)</f>
        <v>0.909090909090909</v>
      </c>
      <c r="G110" s="19" t="n">
        <f aca="false">SUMIFS('Pedidos Top10'!$J$2:$J$1839,'Pedidos Top10'!$A$2:$A$1839,A110,'Pedidos Top10'!$C$2:$C$1839,C110,'Pedidos Top10'!$D$2:$D$1839,D110)</f>
        <v>779.4</v>
      </c>
      <c r="H110" s="8" t="n">
        <f aca="false">SUMIFS('Pedidos Top10'!$L$2:$L$1839,'Pedidos Top10'!$A$2:$A$1839,A110,'Pedidos Top10'!$C$2:$C$1839,C110,'Pedidos Top10'!$D$2:$D$1839,D110)</f>
        <v>2867.78</v>
      </c>
      <c r="I110" s="8" t="n">
        <f aca="false">SUMIFS('Pedidos Top10'!$AD$2:$AD$1839,'Pedidos Top10'!$A$2:$A$1839,A110,'Pedidos Top10'!$C$2:$C$1839,C110,'Pedidos Top10'!$D$2:$D$1839,D110)</f>
        <v>2452.34</v>
      </c>
      <c r="J110" s="8" t="n">
        <f aca="false">I110-H110</f>
        <v>-415.44</v>
      </c>
      <c r="K110" s="9" t="n">
        <f aca="false">IF(H110=0,0,J110/H110)</f>
        <v>-0.144864668837916</v>
      </c>
      <c r="L110" s="8" t="n">
        <f aca="false">IF(E110=0,0,H110/E110)</f>
        <v>286.778</v>
      </c>
      <c r="M110" s="8" t="n">
        <f aca="false">IF(E110=0,0,I110/E110)</f>
        <v>245.234</v>
      </c>
      <c r="N110" s="8" t="n">
        <f aca="false">IF(G110=0,0,H110/G110)</f>
        <v>3.67947138824737</v>
      </c>
      <c r="O110" s="8" t="n">
        <f aca="false">IF(G110=0,0,I110/G110)</f>
        <v>3.14644598409033</v>
      </c>
      <c r="P110" s="21" t="n">
        <f aca="false">IF(E110=0,0,COUNTIFS('Pedidos Top10'!$A$2:$A$1839,A110,'Pedidos Top10'!$C$2:$C$1839,C110,'Pedidos Top10'!$D$2:$D$1839,D110,'Pedidos Top10'!$AG$2:$AG$1839,"PASSARO")/E110)</f>
        <v>0.6</v>
      </c>
      <c r="Q110" s="18" t="str">
        <f aca="false">IF(K110&lt;=-0.05,"Passaro compete: "&amp;TEXT(-K110,"0%")&amp;" abaixo de "&amp;D110,IF(K110&lt;0.05,"Empate técnico com "&amp;D110,D110&amp;" é "&amp;TEXT(1-H110/I110,"0%")&amp;" mais barata que a Passaro"))</f>
        <v>Passaro compete: 14% abaixo de DOMINALOG</v>
      </c>
    </row>
    <row r="111" customFormat="false" ht="15" hidden="false" customHeight="false" outlineLevel="0" collapsed="false">
      <c r="A111" s="18" t="s">
        <v>20</v>
      </c>
      <c r="B111" s="18" t="n">
        <v>9</v>
      </c>
      <c r="C111" s="18" t="s">
        <v>163</v>
      </c>
      <c r="D111" s="18" t="s">
        <v>31</v>
      </c>
      <c r="E111" s="17" t="n">
        <f aca="false">COUNTIFS('Pedidos Top10'!$A$2:$A$1839,A111,'Pedidos Top10'!$C$2:$C$1839,C111,'Pedidos Top10'!$D$2:$D$1839,D111)</f>
        <v>1</v>
      </c>
      <c r="F111" s="21" t="n">
        <f aca="false">E111/COUNTIFS('Pedidos Top10'!$A$2:$A$1839,A111,'Pedidos Top10'!$C$2:$C$1839,C111)</f>
        <v>0.0909090909090909</v>
      </c>
      <c r="G111" s="19" t="n">
        <f aca="false">SUMIFS('Pedidos Top10'!$J$2:$J$1839,'Pedidos Top10'!$A$2:$A$1839,A111,'Pedidos Top10'!$C$2:$C$1839,C111,'Pedidos Top10'!$D$2:$D$1839,D111)</f>
        <v>22.3</v>
      </c>
      <c r="H111" s="8" t="n">
        <f aca="false">SUMIFS('Pedidos Top10'!$L$2:$L$1839,'Pedidos Top10'!$A$2:$A$1839,A111,'Pedidos Top10'!$C$2:$C$1839,C111,'Pedidos Top10'!$D$2:$D$1839,D111)</f>
        <v>96.06</v>
      </c>
      <c r="I111" s="8" t="n">
        <f aca="false">SUMIFS('Pedidos Top10'!$AD$2:$AD$1839,'Pedidos Top10'!$A$2:$A$1839,A111,'Pedidos Top10'!$C$2:$C$1839,C111,'Pedidos Top10'!$D$2:$D$1839,D111)</f>
        <v>177.76</v>
      </c>
      <c r="J111" s="8" t="n">
        <f aca="false">I111-H111</f>
        <v>81.7</v>
      </c>
      <c r="K111" s="9" t="n">
        <f aca="false">IF(H111=0,0,J111/H111)</f>
        <v>0.850510097855507</v>
      </c>
      <c r="L111" s="8" t="n">
        <f aca="false">IF(E111=0,0,H111/E111)</f>
        <v>96.06</v>
      </c>
      <c r="M111" s="8" t="n">
        <f aca="false">IF(E111=0,0,I111/E111)</f>
        <v>177.76</v>
      </c>
      <c r="N111" s="8" t="n">
        <f aca="false">IF(G111=0,0,H111/G111)</f>
        <v>4.30762331838565</v>
      </c>
      <c r="O111" s="8" t="n">
        <f aca="false">IF(G111=0,0,I111/G111)</f>
        <v>7.97130044843049</v>
      </c>
      <c r="P111" s="21" t="n">
        <f aca="false">IF(E111=0,0,COUNTIFS('Pedidos Top10'!$A$2:$A$1839,A111,'Pedidos Top10'!$C$2:$C$1839,C111,'Pedidos Top10'!$D$2:$D$1839,D111,'Pedidos Top10'!$AG$2:$AG$1839,"PASSARO")/E111)</f>
        <v>0</v>
      </c>
      <c r="Q111" s="18" t="str">
        <f aca="false">IF(K111&lt;=-0.05,"Passaro compete: "&amp;TEXT(-K111,"0%")&amp;" abaixo de "&amp;D111,IF(K111&lt;0.05,"Empate técnico com "&amp;D111,D111&amp;" é "&amp;TEXT(1-H111/I111,"0%")&amp;" mais barata que a Passaro"))</f>
        <v>JADLOG é 46% mais barata que a Passaro</v>
      </c>
    </row>
    <row r="112" customFormat="false" ht="15" hidden="false" customHeight="false" outlineLevel="0" collapsed="false">
      <c r="A112" s="18" t="s">
        <v>20</v>
      </c>
      <c r="B112" s="18" t="n">
        <v>10</v>
      </c>
      <c r="C112" s="18" t="s">
        <v>165</v>
      </c>
      <c r="D112" s="18" t="s">
        <v>30</v>
      </c>
      <c r="E112" s="17" t="n">
        <f aca="false">COUNTIFS('Pedidos Top10'!$A$2:$A$1839,A112,'Pedidos Top10'!$C$2:$C$1839,C112,'Pedidos Top10'!$D$2:$D$1839,D112)</f>
        <v>9</v>
      </c>
      <c r="F112" s="21" t="n">
        <f aca="false">E112/COUNTIFS('Pedidos Top10'!$A$2:$A$1839,A112,'Pedidos Top10'!$C$2:$C$1839,C112)</f>
        <v>0.818181818181818</v>
      </c>
      <c r="G112" s="19" t="n">
        <f aca="false">SUMIFS('Pedidos Top10'!$J$2:$J$1839,'Pedidos Top10'!$A$2:$A$1839,A112,'Pedidos Top10'!$C$2:$C$1839,C112,'Pedidos Top10'!$D$2:$D$1839,D112)</f>
        <v>498.69</v>
      </c>
      <c r="H112" s="8" t="n">
        <f aca="false">SUMIFS('Pedidos Top10'!$L$2:$L$1839,'Pedidos Top10'!$A$2:$A$1839,A112,'Pedidos Top10'!$C$2:$C$1839,C112,'Pedidos Top10'!$D$2:$D$1839,D112)</f>
        <v>2030.9</v>
      </c>
      <c r="I112" s="8" t="n">
        <f aca="false">SUMIFS('Pedidos Top10'!$AD$2:$AD$1839,'Pedidos Top10'!$A$2:$A$1839,A112,'Pedidos Top10'!$C$2:$C$1839,C112,'Pedidos Top10'!$D$2:$D$1839,D112)</f>
        <v>1402.65</v>
      </c>
      <c r="J112" s="8" t="n">
        <f aca="false">I112-H112</f>
        <v>-628.25</v>
      </c>
      <c r="K112" s="9" t="n">
        <f aca="false">IF(H112=0,0,J112/H112)</f>
        <v>-0.309345610320548</v>
      </c>
      <c r="L112" s="8" t="n">
        <f aca="false">IF(E112=0,0,H112/E112)</f>
        <v>225.655555555556</v>
      </c>
      <c r="M112" s="8" t="n">
        <f aca="false">IF(E112=0,0,I112/E112)</f>
        <v>155.85</v>
      </c>
      <c r="N112" s="8" t="n">
        <f aca="false">IF(G112=0,0,H112/G112)</f>
        <v>4.07246987106218</v>
      </c>
      <c r="O112" s="8" t="n">
        <f aca="false">IF(G112=0,0,I112/G112)</f>
        <v>2.81266919328641</v>
      </c>
      <c r="P112" s="21" t="n">
        <f aca="false">IF(E112=0,0,COUNTIFS('Pedidos Top10'!$A$2:$A$1839,A112,'Pedidos Top10'!$C$2:$C$1839,C112,'Pedidos Top10'!$D$2:$D$1839,D112,'Pedidos Top10'!$AG$2:$AG$1839,"PASSARO")/E112)</f>
        <v>0.777777777777778</v>
      </c>
      <c r="Q112" s="18" t="str">
        <f aca="false">IF(K112&lt;=-0.05,"Passaro compete: "&amp;TEXT(-K112,"0%")&amp;" abaixo de "&amp;D112,IF(K112&lt;0.05,"Empate técnico com "&amp;D112,D112&amp;" é "&amp;TEXT(1-H112/I112,"0%")&amp;" mais barata que a Passaro"))</f>
        <v>Passaro compete: 31% abaixo de DOMINALOG</v>
      </c>
    </row>
    <row r="113" customFormat="false" ht="15" hidden="false" customHeight="false" outlineLevel="0" collapsed="false">
      <c r="A113" s="18" t="s">
        <v>20</v>
      </c>
      <c r="B113" s="18" t="n">
        <v>10</v>
      </c>
      <c r="C113" s="18" t="s">
        <v>165</v>
      </c>
      <c r="D113" s="18" t="s">
        <v>34</v>
      </c>
      <c r="E113" s="17" t="n">
        <f aca="false">COUNTIFS('Pedidos Top10'!$A$2:$A$1839,A113,'Pedidos Top10'!$C$2:$C$1839,C113,'Pedidos Top10'!$D$2:$D$1839,D113)</f>
        <v>1</v>
      </c>
      <c r="F113" s="21" t="n">
        <f aca="false">E113/COUNTIFS('Pedidos Top10'!$A$2:$A$1839,A113,'Pedidos Top10'!$C$2:$C$1839,C113)</f>
        <v>0.0909090909090909</v>
      </c>
      <c r="G113" s="19" t="n">
        <f aca="false">SUMIFS('Pedidos Top10'!$J$2:$J$1839,'Pedidos Top10'!$A$2:$A$1839,A113,'Pedidos Top10'!$C$2:$C$1839,C113,'Pedidos Top10'!$D$2:$D$1839,D113)</f>
        <v>51.06</v>
      </c>
      <c r="H113" s="8" t="n">
        <f aca="false">SUMIFS('Pedidos Top10'!$L$2:$L$1839,'Pedidos Top10'!$A$2:$A$1839,A113,'Pedidos Top10'!$C$2:$C$1839,C113,'Pedidos Top10'!$D$2:$D$1839,D113)</f>
        <v>207.72</v>
      </c>
      <c r="I113" s="8" t="n">
        <f aca="false">SUMIFS('Pedidos Top10'!$AD$2:$AD$1839,'Pedidos Top10'!$A$2:$A$1839,A113,'Pedidos Top10'!$C$2:$C$1839,C113,'Pedidos Top10'!$D$2:$D$1839,D113)</f>
        <v>156.31</v>
      </c>
      <c r="J113" s="8" t="n">
        <f aca="false">I113-H113</f>
        <v>-51.41</v>
      </c>
      <c r="K113" s="9" t="n">
        <f aca="false">IF(H113=0,0,J113/H113)</f>
        <v>-0.247496630078952</v>
      </c>
      <c r="L113" s="8" t="n">
        <f aca="false">IF(E113=0,0,H113/E113)</f>
        <v>207.72</v>
      </c>
      <c r="M113" s="8" t="n">
        <f aca="false">IF(E113=0,0,I113/E113)</f>
        <v>156.31</v>
      </c>
      <c r="N113" s="8" t="n">
        <f aca="false">IF(G113=0,0,H113/G113)</f>
        <v>4.06815511163337</v>
      </c>
      <c r="O113" s="8" t="n">
        <f aca="false">IF(G113=0,0,I113/G113)</f>
        <v>3.06130043086565</v>
      </c>
      <c r="P113" s="21" t="n">
        <f aca="false">IF(E113=0,0,COUNTIFS('Pedidos Top10'!$A$2:$A$1839,A113,'Pedidos Top10'!$C$2:$C$1839,C113,'Pedidos Top10'!$D$2:$D$1839,D113,'Pedidos Top10'!$AG$2:$AG$1839,"PASSARO")/E113)</f>
        <v>1</v>
      </c>
      <c r="Q113" s="18" t="str">
        <f aca="false">IF(K113&lt;=-0.05,"Passaro compete: "&amp;TEXT(-K113,"0%")&amp;" abaixo de "&amp;D113,IF(K113&lt;0.05,"Empate técnico com "&amp;D113,D113&amp;" é "&amp;TEXT(1-H113/I113,"0%")&amp;" mais barata que a Passaro"))</f>
        <v>Passaro compete: 25% abaixo de FORMATO TRANSPORTES</v>
      </c>
    </row>
    <row r="114" customFormat="false" ht="15" hidden="false" customHeight="false" outlineLevel="0" collapsed="false">
      <c r="A114" s="18" t="s">
        <v>20</v>
      </c>
      <c r="B114" s="18" t="n">
        <v>10</v>
      </c>
      <c r="C114" s="18" t="s">
        <v>165</v>
      </c>
      <c r="D114" s="18" t="s">
        <v>31</v>
      </c>
      <c r="E114" s="17" t="n">
        <f aca="false">COUNTIFS('Pedidos Top10'!$A$2:$A$1839,A114,'Pedidos Top10'!$C$2:$C$1839,C114,'Pedidos Top10'!$D$2:$D$1839,D114)</f>
        <v>1</v>
      </c>
      <c r="F114" s="21" t="n">
        <f aca="false">E114/COUNTIFS('Pedidos Top10'!$A$2:$A$1839,A114,'Pedidos Top10'!$C$2:$C$1839,C114)</f>
        <v>0.0909090909090909</v>
      </c>
      <c r="G114" s="19" t="n">
        <f aca="false">SUMIFS('Pedidos Top10'!$J$2:$J$1839,'Pedidos Top10'!$A$2:$A$1839,A114,'Pedidos Top10'!$C$2:$C$1839,C114,'Pedidos Top10'!$D$2:$D$1839,D114)</f>
        <v>19.4</v>
      </c>
      <c r="H114" s="8" t="n">
        <f aca="false">SUMIFS('Pedidos Top10'!$L$2:$L$1839,'Pedidos Top10'!$A$2:$A$1839,A114,'Pedidos Top10'!$C$2:$C$1839,C114,'Pedidos Top10'!$D$2:$D$1839,D114)</f>
        <v>96.75</v>
      </c>
      <c r="I114" s="8" t="n">
        <f aca="false">SUMIFS('Pedidos Top10'!$AD$2:$AD$1839,'Pedidos Top10'!$A$2:$A$1839,A114,'Pedidos Top10'!$C$2:$C$1839,C114,'Pedidos Top10'!$D$2:$D$1839,D114)</f>
        <v>118.11</v>
      </c>
      <c r="J114" s="8" t="n">
        <f aca="false">I114-H114</f>
        <v>21.36</v>
      </c>
      <c r="K114" s="9" t="n">
        <f aca="false">IF(H114=0,0,J114/H114)</f>
        <v>0.22077519379845</v>
      </c>
      <c r="L114" s="8" t="n">
        <f aca="false">IF(E114=0,0,H114/E114)</f>
        <v>96.75</v>
      </c>
      <c r="M114" s="8" t="n">
        <f aca="false">IF(E114=0,0,I114/E114)</f>
        <v>118.11</v>
      </c>
      <c r="N114" s="8" t="n">
        <f aca="false">IF(G114=0,0,H114/G114)</f>
        <v>4.98711340206186</v>
      </c>
      <c r="O114" s="8" t="n">
        <f aca="false">IF(G114=0,0,I114/G114)</f>
        <v>6.08814432989691</v>
      </c>
      <c r="P114" s="21" t="n">
        <f aca="false">IF(E114=0,0,COUNTIFS('Pedidos Top10'!$A$2:$A$1839,A114,'Pedidos Top10'!$C$2:$C$1839,C114,'Pedidos Top10'!$D$2:$D$1839,D114,'Pedidos Top10'!$AG$2:$AG$1839,"PASSARO")/E114)</f>
        <v>0</v>
      </c>
      <c r="Q114" s="18" t="str">
        <f aca="false">IF(K114&lt;=-0.05,"Passaro compete: "&amp;TEXT(-K114,"0%")&amp;" abaixo de "&amp;D114,IF(K114&lt;0.05,"Empate técnico com "&amp;D114,D114&amp;" é "&amp;TEXT(1-H114/I114,"0%")&amp;" mais barata que a Passaro"))</f>
        <v>JADLOG é 18% mais barata que a Passaro</v>
      </c>
    </row>
    <row r="115" customFormat="false" ht="15" hidden="false" customHeight="false" outlineLevel="0" collapsed="false">
      <c r="A115" s="18" t="s">
        <v>21</v>
      </c>
      <c r="B115" s="18" t="n">
        <v>1</v>
      </c>
      <c r="C115" s="18" t="s">
        <v>167</v>
      </c>
      <c r="D115" s="18" t="s">
        <v>30</v>
      </c>
      <c r="E115" s="17" t="n">
        <f aca="false">COUNTIFS('Pedidos Top10'!$A$2:$A$1839,A115,'Pedidos Top10'!$C$2:$C$1839,C115,'Pedidos Top10'!$D$2:$D$1839,D115)</f>
        <v>35</v>
      </c>
      <c r="F115" s="21" t="n">
        <f aca="false">E115/COUNTIFS('Pedidos Top10'!$A$2:$A$1839,A115,'Pedidos Top10'!$C$2:$C$1839,C115)</f>
        <v>0.573770491803279</v>
      </c>
      <c r="G115" s="19" t="n">
        <f aca="false">SUMIFS('Pedidos Top10'!$J$2:$J$1839,'Pedidos Top10'!$A$2:$A$1839,A115,'Pedidos Top10'!$C$2:$C$1839,C115,'Pedidos Top10'!$D$2:$D$1839,D115)</f>
        <v>1840.68</v>
      </c>
      <c r="H115" s="8" t="n">
        <f aca="false">SUMIFS('Pedidos Top10'!$L$2:$L$1839,'Pedidos Top10'!$A$2:$A$1839,A115,'Pedidos Top10'!$C$2:$C$1839,C115,'Pedidos Top10'!$D$2:$D$1839,D115)</f>
        <v>6447.53</v>
      </c>
      <c r="I115" s="8" t="n">
        <f aca="false">SUMIFS('Pedidos Top10'!$AD$2:$AD$1839,'Pedidos Top10'!$A$2:$A$1839,A115,'Pedidos Top10'!$C$2:$C$1839,C115,'Pedidos Top10'!$D$2:$D$1839,D115)</f>
        <v>10430.72</v>
      </c>
      <c r="J115" s="8" t="n">
        <f aca="false">I115-H115</f>
        <v>3983.19</v>
      </c>
      <c r="K115" s="9" t="n">
        <f aca="false">IF(H115=0,0,J115/H115)</f>
        <v>0.617785415500199</v>
      </c>
      <c r="L115" s="8" t="n">
        <f aca="false">IF(E115=0,0,H115/E115)</f>
        <v>184.215142857143</v>
      </c>
      <c r="M115" s="8" t="n">
        <f aca="false">IF(E115=0,0,I115/E115)</f>
        <v>298.020571428571</v>
      </c>
      <c r="N115" s="8" t="n">
        <f aca="false">IF(G115=0,0,H115/G115)</f>
        <v>3.5027978790447</v>
      </c>
      <c r="O115" s="8" t="n">
        <f aca="false">IF(G115=0,0,I115/G115)</f>
        <v>5.66677532216355</v>
      </c>
      <c r="P115" s="21" t="n">
        <f aca="false">IF(E115=0,0,COUNTIFS('Pedidos Top10'!$A$2:$A$1839,A115,'Pedidos Top10'!$C$2:$C$1839,C115,'Pedidos Top10'!$D$2:$D$1839,D115,'Pedidos Top10'!$AG$2:$AG$1839,"PASSARO")/E115)</f>
        <v>0</v>
      </c>
      <c r="Q115" s="18" t="str">
        <f aca="false">IF(K115&lt;=-0.05,"Passaro compete: "&amp;TEXT(-K115,"0%")&amp;" abaixo de "&amp;D115,IF(K115&lt;0.05,"Empate técnico com "&amp;D115,D115&amp;" é "&amp;TEXT(1-H115/I115,"0%")&amp;" mais barata que a Passaro"))</f>
        <v>DOMINALOG é 38% mais barata que a Passaro</v>
      </c>
    </row>
    <row r="116" customFormat="false" ht="15" hidden="false" customHeight="false" outlineLevel="0" collapsed="false">
      <c r="A116" s="18" t="s">
        <v>21</v>
      </c>
      <c r="B116" s="18" t="n">
        <v>1</v>
      </c>
      <c r="C116" s="18" t="s">
        <v>167</v>
      </c>
      <c r="D116" s="18" t="s">
        <v>32</v>
      </c>
      <c r="E116" s="17" t="n">
        <f aca="false">COUNTIFS('Pedidos Top10'!$A$2:$A$1839,A116,'Pedidos Top10'!$C$2:$C$1839,C116,'Pedidos Top10'!$D$2:$D$1839,D116)</f>
        <v>15</v>
      </c>
      <c r="F116" s="21" t="n">
        <f aca="false">E116/COUNTIFS('Pedidos Top10'!$A$2:$A$1839,A116,'Pedidos Top10'!$C$2:$C$1839,C116)</f>
        <v>0.245901639344262</v>
      </c>
      <c r="G116" s="19" t="n">
        <f aca="false">SUMIFS('Pedidos Top10'!$J$2:$J$1839,'Pedidos Top10'!$A$2:$A$1839,A116,'Pedidos Top10'!$C$2:$C$1839,C116,'Pedidos Top10'!$D$2:$D$1839,D116)</f>
        <v>1297.4</v>
      </c>
      <c r="H116" s="8" t="n">
        <f aca="false">SUMIFS('Pedidos Top10'!$L$2:$L$1839,'Pedidos Top10'!$A$2:$A$1839,A116,'Pedidos Top10'!$C$2:$C$1839,C116,'Pedidos Top10'!$D$2:$D$1839,D116)</f>
        <v>3460.59</v>
      </c>
      <c r="I116" s="8" t="n">
        <f aca="false">SUMIFS('Pedidos Top10'!$AD$2:$AD$1839,'Pedidos Top10'!$A$2:$A$1839,A116,'Pedidos Top10'!$C$2:$C$1839,C116,'Pedidos Top10'!$D$2:$D$1839,D116)</f>
        <v>5055.05</v>
      </c>
      <c r="J116" s="8" t="n">
        <f aca="false">I116-H116</f>
        <v>1594.46</v>
      </c>
      <c r="K116" s="9" t="n">
        <f aca="false">IF(H116=0,0,J116/H116)</f>
        <v>0.460748022736007</v>
      </c>
      <c r="L116" s="8" t="n">
        <f aca="false">IF(E116=0,0,H116/E116)</f>
        <v>230.706</v>
      </c>
      <c r="M116" s="8" t="n">
        <f aca="false">IF(E116=0,0,I116/E116)</f>
        <v>337.003333333333</v>
      </c>
      <c r="N116" s="8" t="n">
        <f aca="false">IF(G116=0,0,H116/G116)</f>
        <v>2.66732696161554</v>
      </c>
      <c r="O116" s="8" t="n">
        <f aca="false">IF(G116=0,0,I116/G116)</f>
        <v>3.89629258517034</v>
      </c>
      <c r="P116" s="21" t="n">
        <f aca="false">IF(E116=0,0,COUNTIFS('Pedidos Top10'!$A$2:$A$1839,A116,'Pedidos Top10'!$C$2:$C$1839,C116,'Pedidos Top10'!$D$2:$D$1839,D116,'Pedidos Top10'!$AG$2:$AG$1839,"PASSARO")/E116)</f>
        <v>0</v>
      </c>
      <c r="Q116" s="18" t="str">
        <f aca="false">IF(K116&lt;=-0.05,"Passaro compete: "&amp;TEXT(-K116,"0%")&amp;" abaixo de "&amp;D116,IF(K116&lt;0.05,"Empate técnico com "&amp;D116,D116&amp;" é "&amp;TEXT(1-H116/I116,"0%")&amp;" mais barata que a Passaro"))</f>
        <v>Bento Brasil é 32% mais barata que a Passaro</v>
      </c>
    </row>
    <row r="117" customFormat="false" ht="15" hidden="false" customHeight="false" outlineLevel="0" collapsed="false">
      <c r="A117" s="18" t="s">
        <v>21</v>
      </c>
      <c r="B117" s="18" t="n">
        <v>1</v>
      </c>
      <c r="C117" s="18" t="s">
        <v>167</v>
      </c>
      <c r="D117" s="18" t="s">
        <v>31</v>
      </c>
      <c r="E117" s="17" t="n">
        <f aca="false">COUNTIFS('Pedidos Top10'!$A$2:$A$1839,A117,'Pedidos Top10'!$C$2:$C$1839,C117,'Pedidos Top10'!$D$2:$D$1839,D117)</f>
        <v>11</v>
      </c>
      <c r="F117" s="21" t="n">
        <f aca="false">E117/COUNTIFS('Pedidos Top10'!$A$2:$A$1839,A117,'Pedidos Top10'!$C$2:$C$1839,C117)</f>
        <v>0.180327868852459</v>
      </c>
      <c r="G117" s="19" t="n">
        <f aca="false">SUMIFS('Pedidos Top10'!$J$2:$J$1839,'Pedidos Top10'!$A$2:$A$1839,A117,'Pedidos Top10'!$C$2:$C$1839,C117,'Pedidos Top10'!$D$2:$D$1839,D117)</f>
        <v>228.7</v>
      </c>
      <c r="H117" s="8" t="n">
        <f aca="false">SUMIFS('Pedidos Top10'!$L$2:$L$1839,'Pedidos Top10'!$A$2:$A$1839,A117,'Pedidos Top10'!$C$2:$C$1839,C117,'Pedidos Top10'!$D$2:$D$1839,D117)</f>
        <v>985.11</v>
      </c>
      <c r="I117" s="8" t="n">
        <f aca="false">SUMIFS('Pedidos Top10'!$AD$2:$AD$1839,'Pedidos Top10'!$A$2:$A$1839,A117,'Pedidos Top10'!$C$2:$C$1839,C117,'Pedidos Top10'!$D$2:$D$1839,D117)</f>
        <v>2880.49</v>
      </c>
      <c r="J117" s="8" t="n">
        <f aca="false">I117-H117</f>
        <v>1895.38</v>
      </c>
      <c r="K117" s="9" t="n">
        <f aca="false">IF(H117=0,0,J117/H117)</f>
        <v>1.92402878866319</v>
      </c>
      <c r="L117" s="8" t="n">
        <f aca="false">IF(E117=0,0,H117/E117)</f>
        <v>89.5554545454546</v>
      </c>
      <c r="M117" s="8" t="n">
        <f aca="false">IF(E117=0,0,I117/E117)</f>
        <v>261.862727272727</v>
      </c>
      <c r="N117" s="8" t="n">
        <f aca="false">IF(G117=0,0,H117/G117)</f>
        <v>4.3074333187582</v>
      </c>
      <c r="O117" s="8" t="n">
        <f aca="false">IF(G117=0,0,I117/G117)</f>
        <v>12.595059029296</v>
      </c>
      <c r="P117" s="21" t="n">
        <f aca="false">IF(E117=0,0,COUNTIFS('Pedidos Top10'!$A$2:$A$1839,A117,'Pedidos Top10'!$C$2:$C$1839,C117,'Pedidos Top10'!$D$2:$D$1839,D117,'Pedidos Top10'!$AG$2:$AG$1839,"PASSARO")/E117)</f>
        <v>0</v>
      </c>
      <c r="Q117" s="18" t="str">
        <f aca="false">IF(K117&lt;=-0.05,"Passaro compete: "&amp;TEXT(-K117,"0%")&amp;" abaixo de "&amp;D117,IF(K117&lt;0.05,"Empate técnico com "&amp;D117,D117&amp;" é "&amp;TEXT(1-H117/I117,"0%")&amp;" mais barata que a Passaro"))</f>
        <v>JADLOG é 66% mais barata que a Passaro</v>
      </c>
    </row>
    <row r="118" customFormat="false" ht="15" hidden="false" customHeight="false" outlineLevel="0" collapsed="false">
      <c r="A118" s="18" t="s">
        <v>21</v>
      </c>
      <c r="B118" s="18" t="n">
        <v>2</v>
      </c>
      <c r="C118" s="18" t="s">
        <v>169</v>
      </c>
      <c r="D118" s="18" t="s">
        <v>30</v>
      </c>
      <c r="E118" s="17" t="n">
        <f aca="false">COUNTIFS('Pedidos Top10'!$A$2:$A$1839,A118,'Pedidos Top10'!$C$2:$C$1839,C118,'Pedidos Top10'!$D$2:$D$1839,D118)</f>
        <v>10</v>
      </c>
      <c r="F118" s="21" t="n">
        <f aca="false">E118/COUNTIFS('Pedidos Top10'!$A$2:$A$1839,A118,'Pedidos Top10'!$C$2:$C$1839,C118)</f>
        <v>0.833333333333333</v>
      </c>
      <c r="G118" s="19" t="n">
        <f aca="false">SUMIFS('Pedidos Top10'!$J$2:$J$1839,'Pedidos Top10'!$A$2:$A$1839,A118,'Pedidos Top10'!$C$2:$C$1839,C118,'Pedidos Top10'!$D$2:$D$1839,D118)</f>
        <v>642.76</v>
      </c>
      <c r="H118" s="8" t="n">
        <f aca="false">SUMIFS('Pedidos Top10'!$L$2:$L$1839,'Pedidos Top10'!$A$2:$A$1839,A118,'Pedidos Top10'!$C$2:$C$1839,C118,'Pedidos Top10'!$D$2:$D$1839,D118)</f>
        <v>2242.34</v>
      </c>
      <c r="I118" s="8" t="n">
        <f aca="false">SUMIFS('Pedidos Top10'!$AD$2:$AD$1839,'Pedidos Top10'!$A$2:$A$1839,A118,'Pedidos Top10'!$C$2:$C$1839,C118,'Pedidos Top10'!$D$2:$D$1839,D118)</f>
        <v>3255.37</v>
      </c>
      <c r="J118" s="8" t="n">
        <f aca="false">I118-H118</f>
        <v>1013.03</v>
      </c>
      <c r="K118" s="9" t="n">
        <f aca="false">IF(H118=0,0,J118/H118)</f>
        <v>0.451773593656626</v>
      </c>
      <c r="L118" s="8" t="n">
        <f aca="false">IF(E118=0,0,H118/E118)</f>
        <v>224.234</v>
      </c>
      <c r="M118" s="8" t="n">
        <f aca="false">IF(E118=0,0,I118/E118)</f>
        <v>325.537</v>
      </c>
      <c r="N118" s="8" t="n">
        <f aca="false">IF(G118=0,0,H118/G118)</f>
        <v>3.48861161242143</v>
      </c>
      <c r="O118" s="8" t="n">
        <f aca="false">IF(G118=0,0,I118/G118)</f>
        <v>5.0646742174373</v>
      </c>
      <c r="P118" s="21" t="n">
        <f aca="false">IF(E118=0,0,COUNTIFS('Pedidos Top10'!$A$2:$A$1839,A118,'Pedidos Top10'!$C$2:$C$1839,C118,'Pedidos Top10'!$D$2:$D$1839,D118,'Pedidos Top10'!$AG$2:$AG$1839,"PASSARO")/E118)</f>
        <v>0</v>
      </c>
      <c r="Q118" s="18" t="str">
        <f aca="false">IF(K118&lt;=-0.05,"Passaro compete: "&amp;TEXT(-K118,"0%")&amp;" abaixo de "&amp;D118,IF(K118&lt;0.05,"Empate técnico com "&amp;D118,D118&amp;" é "&amp;TEXT(1-H118/I118,"0%")&amp;" mais barata que a Passaro"))</f>
        <v>DOMINALOG é 31% mais barata que a Passaro</v>
      </c>
    </row>
    <row r="119" customFormat="false" ht="15" hidden="false" customHeight="false" outlineLevel="0" collapsed="false">
      <c r="A119" s="18" t="s">
        <v>21</v>
      </c>
      <c r="B119" s="18" t="n">
        <v>2</v>
      </c>
      <c r="C119" s="18" t="s">
        <v>169</v>
      </c>
      <c r="D119" s="18" t="s">
        <v>32</v>
      </c>
      <c r="E119" s="17" t="n">
        <f aca="false">COUNTIFS('Pedidos Top10'!$A$2:$A$1839,A119,'Pedidos Top10'!$C$2:$C$1839,C119,'Pedidos Top10'!$D$2:$D$1839,D119)</f>
        <v>2</v>
      </c>
      <c r="F119" s="21" t="n">
        <f aca="false">E119/COUNTIFS('Pedidos Top10'!$A$2:$A$1839,A119,'Pedidos Top10'!$C$2:$C$1839,C119)</f>
        <v>0.166666666666667</v>
      </c>
      <c r="G119" s="19" t="n">
        <f aca="false">SUMIFS('Pedidos Top10'!$J$2:$J$1839,'Pedidos Top10'!$A$2:$A$1839,A119,'Pedidos Top10'!$C$2:$C$1839,C119,'Pedidos Top10'!$D$2:$D$1839,D119)</f>
        <v>143.16</v>
      </c>
      <c r="H119" s="8" t="n">
        <f aca="false">SUMIFS('Pedidos Top10'!$L$2:$L$1839,'Pedidos Top10'!$A$2:$A$1839,A119,'Pedidos Top10'!$C$2:$C$1839,C119,'Pedidos Top10'!$D$2:$D$1839,D119)</f>
        <v>608.45</v>
      </c>
      <c r="I119" s="8" t="n">
        <f aca="false">SUMIFS('Pedidos Top10'!$AD$2:$AD$1839,'Pedidos Top10'!$A$2:$A$1839,A119,'Pedidos Top10'!$C$2:$C$1839,C119,'Pedidos Top10'!$D$2:$D$1839,D119)</f>
        <v>678.19</v>
      </c>
      <c r="J119" s="8" t="n">
        <f aca="false">I119-H119</f>
        <v>69.74</v>
      </c>
      <c r="K119" s="9" t="n">
        <f aca="false">IF(H119=0,0,J119/H119)</f>
        <v>0.114619114142493</v>
      </c>
      <c r="L119" s="8" t="n">
        <f aca="false">IF(E119=0,0,H119/E119)</f>
        <v>304.225</v>
      </c>
      <c r="M119" s="8" t="n">
        <f aca="false">IF(E119=0,0,I119/E119)</f>
        <v>339.095</v>
      </c>
      <c r="N119" s="8" t="n">
        <f aca="false">IF(G119=0,0,H119/G119)</f>
        <v>4.25013970382789</v>
      </c>
      <c r="O119" s="8" t="n">
        <f aca="false">IF(G119=0,0,I119/G119)</f>
        <v>4.73728695166248</v>
      </c>
      <c r="P119" s="21" t="n">
        <f aca="false">IF(E119=0,0,COUNTIFS('Pedidos Top10'!$A$2:$A$1839,A119,'Pedidos Top10'!$C$2:$C$1839,C119,'Pedidos Top10'!$D$2:$D$1839,D119,'Pedidos Top10'!$AG$2:$AG$1839,"PASSARO")/E119)</f>
        <v>0</v>
      </c>
      <c r="Q119" s="18" t="str">
        <f aca="false">IF(K119&lt;=-0.05,"Passaro compete: "&amp;TEXT(-K119,"0%")&amp;" abaixo de "&amp;D119,IF(K119&lt;0.05,"Empate técnico com "&amp;D119,D119&amp;" é "&amp;TEXT(1-H119/I119,"0%")&amp;" mais barata que a Passaro"))</f>
        <v>Bento Brasil é 10% mais barata que a Passaro</v>
      </c>
    </row>
    <row r="120" customFormat="false" ht="15" hidden="false" customHeight="false" outlineLevel="0" collapsed="false">
      <c r="A120" s="18" t="s">
        <v>21</v>
      </c>
      <c r="B120" s="18" t="n">
        <v>3</v>
      </c>
      <c r="C120" s="18" t="s">
        <v>171</v>
      </c>
      <c r="D120" s="18" t="s">
        <v>32</v>
      </c>
      <c r="E120" s="17" t="n">
        <f aca="false">COUNTIFS('Pedidos Top10'!$A$2:$A$1839,A120,'Pedidos Top10'!$C$2:$C$1839,C120,'Pedidos Top10'!$D$2:$D$1839,D120)</f>
        <v>3</v>
      </c>
      <c r="F120" s="21" t="n">
        <f aca="false">E120/COUNTIFS('Pedidos Top10'!$A$2:$A$1839,A120,'Pedidos Top10'!$C$2:$C$1839,C120)</f>
        <v>0.5</v>
      </c>
      <c r="G120" s="19" t="n">
        <f aca="false">SUMIFS('Pedidos Top10'!$J$2:$J$1839,'Pedidos Top10'!$A$2:$A$1839,A120,'Pedidos Top10'!$C$2:$C$1839,C120,'Pedidos Top10'!$D$2:$D$1839,D120)</f>
        <v>320.1</v>
      </c>
      <c r="H120" s="8" t="n">
        <f aca="false">SUMIFS('Pedidos Top10'!$L$2:$L$1839,'Pedidos Top10'!$A$2:$A$1839,A120,'Pedidos Top10'!$C$2:$C$1839,C120,'Pedidos Top10'!$D$2:$D$1839,D120)</f>
        <v>1092.07</v>
      </c>
      <c r="I120" s="8" t="n">
        <f aca="false">SUMIFS('Pedidos Top10'!$AD$2:$AD$1839,'Pedidos Top10'!$A$2:$A$1839,A120,'Pedidos Top10'!$C$2:$C$1839,C120,'Pedidos Top10'!$D$2:$D$1839,D120)</f>
        <v>1199.31</v>
      </c>
      <c r="J120" s="8" t="n">
        <f aca="false">I120-H120</f>
        <v>107.24</v>
      </c>
      <c r="K120" s="9" t="n">
        <f aca="false">IF(H120=0,0,J120/H120)</f>
        <v>0.0981988334081149</v>
      </c>
      <c r="L120" s="8" t="n">
        <f aca="false">IF(E120=0,0,H120/E120)</f>
        <v>364.023333333333</v>
      </c>
      <c r="M120" s="8" t="n">
        <f aca="false">IF(E120=0,0,I120/E120)</f>
        <v>399.77</v>
      </c>
      <c r="N120" s="8" t="n">
        <f aca="false">IF(G120=0,0,H120/G120)</f>
        <v>3.41165260855982</v>
      </c>
      <c r="O120" s="8" t="n">
        <f aca="false">IF(G120=0,0,I120/G120)</f>
        <v>3.74667291471415</v>
      </c>
      <c r="P120" s="21" t="n">
        <f aca="false">IF(E120=0,0,COUNTIFS('Pedidos Top10'!$A$2:$A$1839,A120,'Pedidos Top10'!$C$2:$C$1839,C120,'Pedidos Top10'!$D$2:$D$1839,D120,'Pedidos Top10'!$AG$2:$AG$1839,"PASSARO")/E120)</f>
        <v>0</v>
      </c>
      <c r="Q120" s="18" t="str">
        <f aca="false">IF(K120&lt;=-0.05,"Passaro compete: "&amp;TEXT(-K120,"0%")&amp;" abaixo de "&amp;D120,IF(K120&lt;0.05,"Empate técnico com "&amp;D120,D120&amp;" é "&amp;TEXT(1-H120/I120,"0%")&amp;" mais barata que a Passaro"))</f>
        <v>Bento Brasil é 9% mais barata que a Passaro</v>
      </c>
    </row>
    <row r="121" customFormat="false" ht="15" hidden="false" customHeight="false" outlineLevel="0" collapsed="false">
      <c r="A121" s="18" t="s">
        <v>21</v>
      </c>
      <c r="B121" s="18" t="n">
        <v>3</v>
      </c>
      <c r="C121" s="18" t="s">
        <v>171</v>
      </c>
      <c r="D121" s="18" t="s">
        <v>30</v>
      </c>
      <c r="E121" s="17" t="n">
        <f aca="false">COUNTIFS('Pedidos Top10'!$A$2:$A$1839,A121,'Pedidos Top10'!$C$2:$C$1839,C121,'Pedidos Top10'!$D$2:$D$1839,D121)</f>
        <v>3</v>
      </c>
      <c r="F121" s="21" t="n">
        <f aca="false">E121/COUNTIFS('Pedidos Top10'!$A$2:$A$1839,A121,'Pedidos Top10'!$C$2:$C$1839,C121)</f>
        <v>0.5</v>
      </c>
      <c r="G121" s="19" t="n">
        <f aca="false">SUMIFS('Pedidos Top10'!$J$2:$J$1839,'Pedidos Top10'!$A$2:$A$1839,A121,'Pedidos Top10'!$C$2:$C$1839,C121,'Pedidos Top10'!$D$2:$D$1839,D121)</f>
        <v>188.69</v>
      </c>
      <c r="H121" s="8" t="n">
        <f aca="false">SUMIFS('Pedidos Top10'!$L$2:$L$1839,'Pedidos Top10'!$A$2:$A$1839,A121,'Pedidos Top10'!$C$2:$C$1839,C121,'Pedidos Top10'!$D$2:$D$1839,D121)</f>
        <v>650.74</v>
      </c>
      <c r="I121" s="8" t="n">
        <f aca="false">SUMIFS('Pedidos Top10'!$AD$2:$AD$1839,'Pedidos Top10'!$A$2:$A$1839,A121,'Pedidos Top10'!$C$2:$C$1839,C121,'Pedidos Top10'!$D$2:$D$1839,D121)</f>
        <v>1088.93</v>
      </c>
      <c r="J121" s="8" t="n">
        <f aca="false">I121-H121</f>
        <v>438.19</v>
      </c>
      <c r="K121" s="9" t="n">
        <f aca="false">IF(H121=0,0,J121/H121)</f>
        <v>0.673371853582076</v>
      </c>
      <c r="L121" s="8" t="n">
        <f aca="false">IF(E121=0,0,H121/E121)</f>
        <v>216.913333333333</v>
      </c>
      <c r="M121" s="8" t="n">
        <f aca="false">IF(E121=0,0,I121/E121)</f>
        <v>362.976666666667</v>
      </c>
      <c r="N121" s="8" t="n">
        <f aca="false">IF(G121=0,0,H121/G121)</f>
        <v>3.44872542265091</v>
      </c>
      <c r="O121" s="8" t="n">
        <f aca="false">IF(G121=0,0,I121/G121)</f>
        <v>5.77100005299698</v>
      </c>
      <c r="P121" s="21" t="n">
        <f aca="false">IF(E121=0,0,COUNTIFS('Pedidos Top10'!$A$2:$A$1839,A121,'Pedidos Top10'!$C$2:$C$1839,C121,'Pedidos Top10'!$D$2:$D$1839,D121,'Pedidos Top10'!$AG$2:$AG$1839,"PASSARO")/E121)</f>
        <v>0</v>
      </c>
      <c r="Q121" s="18" t="str">
        <f aca="false">IF(K121&lt;=-0.05,"Passaro compete: "&amp;TEXT(-K121,"0%")&amp;" abaixo de "&amp;D121,IF(K121&lt;0.05,"Empate técnico com "&amp;D121,D121&amp;" é "&amp;TEXT(1-H121/I121,"0%")&amp;" mais barata que a Passaro"))</f>
        <v>DOMINALOG é 40% mais barata que a Passaro</v>
      </c>
    </row>
    <row r="122" customFormat="false" ht="15" hidden="false" customHeight="false" outlineLevel="0" collapsed="false">
      <c r="A122" s="18" t="s">
        <v>21</v>
      </c>
      <c r="B122" s="18" t="n">
        <v>4</v>
      </c>
      <c r="C122" s="18" t="s">
        <v>172</v>
      </c>
      <c r="D122" s="18" t="s">
        <v>30</v>
      </c>
      <c r="E122" s="17" t="n">
        <f aca="false">COUNTIFS('Pedidos Top10'!$A$2:$A$1839,A122,'Pedidos Top10'!$C$2:$C$1839,C122,'Pedidos Top10'!$D$2:$D$1839,D122)</f>
        <v>5</v>
      </c>
      <c r="F122" s="21" t="n">
        <f aca="false">E122/COUNTIFS('Pedidos Top10'!$A$2:$A$1839,A122,'Pedidos Top10'!$C$2:$C$1839,C122)</f>
        <v>0.833333333333333</v>
      </c>
      <c r="G122" s="19" t="n">
        <f aca="false">SUMIFS('Pedidos Top10'!$J$2:$J$1839,'Pedidos Top10'!$A$2:$A$1839,A122,'Pedidos Top10'!$C$2:$C$1839,C122,'Pedidos Top10'!$D$2:$D$1839,D122)</f>
        <v>176.72</v>
      </c>
      <c r="H122" s="8" t="n">
        <f aca="false">SUMIFS('Pedidos Top10'!$L$2:$L$1839,'Pedidos Top10'!$A$2:$A$1839,A122,'Pedidos Top10'!$C$2:$C$1839,C122,'Pedidos Top10'!$D$2:$D$1839,D122)</f>
        <v>861.77</v>
      </c>
      <c r="I122" s="8" t="n">
        <f aca="false">SUMIFS('Pedidos Top10'!$AD$2:$AD$1839,'Pedidos Top10'!$A$2:$A$1839,A122,'Pedidos Top10'!$C$2:$C$1839,C122,'Pedidos Top10'!$D$2:$D$1839,D122)</f>
        <v>1617.23</v>
      </c>
      <c r="J122" s="8" t="n">
        <f aca="false">I122-H122</f>
        <v>755.46</v>
      </c>
      <c r="K122" s="9" t="n">
        <f aca="false">IF(H122=0,0,J122/H122)</f>
        <v>0.876637617925897</v>
      </c>
      <c r="L122" s="8" t="n">
        <f aca="false">IF(E122=0,0,H122/E122)</f>
        <v>172.354</v>
      </c>
      <c r="M122" s="8" t="n">
        <f aca="false">IF(E122=0,0,I122/E122)</f>
        <v>323.446</v>
      </c>
      <c r="N122" s="8" t="n">
        <f aca="false">IF(G122=0,0,H122/G122)</f>
        <v>4.87647125396107</v>
      </c>
      <c r="O122" s="8" t="n">
        <f aca="false">IF(G122=0,0,I122/G122)</f>
        <v>9.15136939791761</v>
      </c>
      <c r="P122" s="21" t="n">
        <f aca="false">IF(E122=0,0,COUNTIFS('Pedidos Top10'!$A$2:$A$1839,A122,'Pedidos Top10'!$C$2:$C$1839,C122,'Pedidos Top10'!$D$2:$D$1839,D122,'Pedidos Top10'!$AG$2:$AG$1839,"PASSARO")/E122)</f>
        <v>0</v>
      </c>
      <c r="Q122" s="18" t="str">
        <f aca="false">IF(K122&lt;=-0.05,"Passaro compete: "&amp;TEXT(-K122,"0%")&amp;" abaixo de "&amp;D122,IF(K122&lt;0.05,"Empate técnico com "&amp;D122,D122&amp;" é "&amp;TEXT(1-H122/I122,"0%")&amp;" mais barata que a Passaro"))</f>
        <v>DOMINALOG é 47% mais barata que a Passaro</v>
      </c>
    </row>
    <row r="123" customFormat="false" ht="15" hidden="false" customHeight="false" outlineLevel="0" collapsed="false">
      <c r="A123" s="18" t="s">
        <v>21</v>
      </c>
      <c r="B123" s="18" t="n">
        <v>4</v>
      </c>
      <c r="C123" s="18" t="s">
        <v>172</v>
      </c>
      <c r="D123" s="18" t="s">
        <v>32</v>
      </c>
      <c r="E123" s="17" t="n">
        <f aca="false">COUNTIFS('Pedidos Top10'!$A$2:$A$1839,A123,'Pedidos Top10'!$C$2:$C$1839,C123,'Pedidos Top10'!$D$2:$D$1839,D123)</f>
        <v>1</v>
      </c>
      <c r="F123" s="21" t="n">
        <f aca="false">E123/COUNTIFS('Pedidos Top10'!$A$2:$A$1839,A123,'Pedidos Top10'!$C$2:$C$1839,C123)</f>
        <v>0.166666666666667</v>
      </c>
      <c r="G123" s="19" t="n">
        <f aca="false">SUMIFS('Pedidos Top10'!$J$2:$J$1839,'Pedidos Top10'!$A$2:$A$1839,A123,'Pedidos Top10'!$C$2:$C$1839,C123,'Pedidos Top10'!$D$2:$D$1839,D123)</f>
        <v>119.8</v>
      </c>
      <c r="H123" s="8" t="n">
        <f aca="false">SUMIFS('Pedidos Top10'!$L$2:$L$1839,'Pedidos Top10'!$A$2:$A$1839,A123,'Pedidos Top10'!$C$2:$C$1839,C123,'Pedidos Top10'!$D$2:$D$1839,D123)</f>
        <v>365.68</v>
      </c>
      <c r="I123" s="8" t="n">
        <f aca="false">SUMIFS('Pedidos Top10'!$AD$2:$AD$1839,'Pedidos Top10'!$A$2:$A$1839,A123,'Pedidos Top10'!$C$2:$C$1839,C123,'Pedidos Top10'!$D$2:$D$1839,D123)</f>
        <v>436.8</v>
      </c>
      <c r="J123" s="8" t="n">
        <f aca="false">I123-H123</f>
        <v>71.12</v>
      </c>
      <c r="K123" s="9" t="n">
        <f aca="false">IF(H123=0,0,J123/H123)</f>
        <v>0.194486983154671</v>
      </c>
      <c r="L123" s="8" t="n">
        <f aca="false">IF(E123=0,0,H123/E123)</f>
        <v>365.68</v>
      </c>
      <c r="M123" s="8" t="n">
        <f aca="false">IF(E123=0,0,I123/E123)</f>
        <v>436.8</v>
      </c>
      <c r="N123" s="8" t="n">
        <f aca="false">IF(G123=0,0,H123/G123)</f>
        <v>3.05242070116861</v>
      </c>
      <c r="O123" s="8" t="n">
        <f aca="false">IF(G123=0,0,I123/G123)</f>
        <v>3.64607679465776</v>
      </c>
      <c r="P123" s="21" t="n">
        <f aca="false">IF(E123=0,0,COUNTIFS('Pedidos Top10'!$A$2:$A$1839,A123,'Pedidos Top10'!$C$2:$C$1839,C123,'Pedidos Top10'!$D$2:$D$1839,D123,'Pedidos Top10'!$AG$2:$AG$1839,"PASSARO")/E123)</f>
        <v>0</v>
      </c>
      <c r="Q123" s="18" t="str">
        <f aca="false">IF(K123&lt;=-0.05,"Passaro compete: "&amp;TEXT(-K123,"0%")&amp;" abaixo de "&amp;D123,IF(K123&lt;0.05,"Empate técnico com "&amp;D123,D123&amp;" é "&amp;TEXT(1-H123/I123,"0%")&amp;" mais barata que a Passaro"))</f>
        <v>Bento Brasil é 16% mais barata que a Passaro</v>
      </c>
    </row>
    <row r="124" customFormat="false" ht="15" hidden="false" customHeight="false" outlineLevel="0" collapsed="false">
      <c r="A124" s="18" t="s">
        <v>21</v>
      </c>
      <c r="B124" s="18" t="n">
        <v>5</v>
      </c>
      <c r="C124" s="18" t="s">
        <v>174</v>
      </c>
      <c r="D124" s="18" t="s">
        <v>30</v>
      </c>
      <c r="E124" s="17" t="n">
        <f aca="false">COUNTIFS('Pedidos Top10'!$A$2:$A$1839,A124,'Pedidos Top10'!$C$2:$C$1839,C124,'Pedidos Top10'!$D$2:$D$1839,D124)</f>
        <v>5</v>
      </c>
      <c r="F124" s="21" t="n">
        <f aca="false">E124/COUNTIFS('Pedidos Top10'!$A$2:$A$1839,A124,'Pedidos Top10'!$C$2:$C$1839,C124)</f>
        <v>1</v>
      </c>
      <c r="G124" s="19" t="n">
        <f aca="false">SUMIFS('Pedidos Top10'!$J$2:$J$1839,'Pedidos Top10'!$A$2:$A$1839,A124,'Pedidos Top10'!$C$2:$C$1839,C124,'Pedidos Top10'!$D$2:$D$1839,D124)</f>
        <v>403.7</v>
      </c>
      <c r="H124" s="8" t="n">
        <f aca="false">SUMIFS('Pedidos Top10'!$L$2:$L$1839,'Pedidos Top10'!$A$2:$A$1839,A124,'Pedidos Top10'!$C$2:$C$1839,C124,'Pedidos Top10'!$D$2:$D$1839,D124)</f>
        <v>1521.59</v>
      </c>
      <c r="I124" s="8" t="n">
        <f aca="false">SUMIFS('Pedidos Top10'!$AD$2:$AD$1839,'Pedidos Top10'!$A$2:$A$1839,A124,'Pedidos Top10'!$C$2:$C$1839,C124,'Pedidos Top10'!$D$2:$D$1839,D124)</f>
        <v>4117.69</v>
      </c>
      <c r="J124" s="8" t="n">
        <f aca="false">I124-H124</f>
        <v>2596.1</v>
      </c>
      <c r="K124" s="9" t="n">
        <f aca="false">IF(H124=0,0,J124/H124)</f>
        <v>1.70617577665468</v>
      </c>
      <c r="L124" s="8" t="n">
        <f aca="false">IF(E124=0,0,H124/E124)</f>
        <v>304.318</v>
      </c>
      <c r="M124" s="8" t="n">
        <f aca="false">IF(E124=0,0,I124/E124)</f>
        <v>823.538</v>
      </c>
      <c r="N124" s="8" t="n">
        <f aca="false">IF(G124=0,0,H124/G124)</f>
        <v>3.76911072578648</v>
      </c>
      <c r="O124" s="8" t="n">
        <f aca="false">IF(G124=0,0,I124/G124)</f>
        <v>10.1998761456527</v>
      </c>
      <c r="P124" s="21" t="n">
        <f aca="false">IF(E124=0,0,COUNTIFS('Pedidos Top10'!$A$2:$A$1839,A124,'Pedidos Top10'!$C$2:$C$1839,C124,'Pedidos Top10'!$D$2:$D$1839,D124,'Pedidos Top10'!$AG$2:$AG$1839,"PASSARO")/E124)</f>
        <v>0</v>
      </c>
      <c r="Q124" s="18" t="str">
        <f aca="false">IF(K124&lt;=-0.05,"Passaro compete: "&amp;TEXT(-K124,"0%")&amp;" abaixo de "&amp;D124,IF(K124&lt;0.05,"Empate técnico com "&amp;D124,D124&amp;" é "&amp;TEXT(1-H124/I124,"0%")&amp;" mais barata que a Passaro"))</f>
        <v>DOMINALOG é 63% mais barata que a Passaro</v>
      </c>
    </row>
    <row r="125" customFormat="false" ht="15" hidden="false" customHeight="false" outlineLevel="0" collapsed="false">
      <c r="A125" s="18" t="s">
        <v>21</v>
      </c>
      <c r="B125" s="18" t="n">
        <v>6</v>
      </c>
      <c r="C125" s="18" t="s">
        <v>175</v>
      </c>
      <c r="D125" s="18" t="s">
        <v>30</v>
      </c>
      <c r="E125" s="17" t="n">
        <f aca="false">COUNTIFS('Pedidos Top10'!$A$2:$A$1839,A125,'Pedidos Top10'!$C$2:$C$1839,C125,'Pedidos Top10'!$D$2:$D$1839,D125)</f>
        <v>5</v>
      </c>
      <c r="F125" s="21" t="n">
        <f aca="false">E125/COUNTIFS('Pedidos Top10'!$A$2:$A$1839,A125,'Pedidos Top10'!$C$2:$C$1839,C125)</f>
        <v>1</v>
      </c>
      <c r="G125" s="19" t="n">
        <f aca="false">SUMIFS('Pedidos Top10'!$J$2:$J$1839,'Pedidos Top10'!$A$2:$A$1839,A125,'Pedidos Top10'!$C$2:$C$1839,C125,'Pedidos Top10'!$D$2:$D$1839,D125)</f>
        <v>211.7</v>
      </c>
      <c r="H125" s="8" t="n">
        <f aca="false">SUMIFS('Pedidos Top10'!$L$2:$L$1839,'Pedidos Top10'!$A$2:$A$1839,A125,'Pedidos Top10'!$C$2:$C$1839,C125,'Pedidos Top10'!$D$2:$D$1839,D125)</f>
        <v>1026.44</v>
      </c>
      <c r="I125" s="8" t="n">
        <f aca="false">SUMIFS('Pedidos Top10'!$AD$2:$AD$1839,'Pedidos Top10'!$A$2:$A$1839,A125,'Pedidos Top10'!$C$2:$C$1839,C125,'Pedidos Top10'!$D$2:$D$1839,D125)</f>
        <v>1657.76</v>
      </c>
      <c r="J125" s="8" t="n">
        <f aca="false">I125-H125</f>
        <v>631.32</v>
      </c>
      <c r="K125" s="9" t="n">
        <f aca="false">IF(H125=0,0,J125/H125)</f>
        <v>0.615057869919333</v>
      </c>
      <c r="L125" s="8" t="n">
        <f aca="false">IF(E125=0,0,H125/E125)</f>
        <v>205.288</v>
      </c>
      <c r="M125" s="8" t="n">
        <f aca="false">IF(E125=0,0,I125/E125)</f>
        <v>331.552</v>
      </c>
      <c r="N125" s="8" t="n">
        <f aca="false">IF(G125=0,0,H125/G125)</f>
        <v>4.84855928200284</v>
      </c>
      <c r="O125" s="8" t="n">
        <f aca="false">IF(G125=0,0,I125/G125)</f>
        <v>7.83070382616911</v>
      </c>
      <c r="P125" s="21" t="n">
        <f aca="false">IF(E125=0,0,COUNTIFS('Pedidos Top10'!$A$2:$A$1839,A125,'Pedidos Top10'!$C$2:$C$1839,C125,'Pedidos Top10'!$D$2:$D$1839,D125,'Pedidos Top10'!$AG$2:$AG$1839,"PASSARO")/E125)</f>
        <v>0</v>
      </c>
      <c r="Q125" s="18" t="str">
        <f aca="false">IF(K125&lt;=-0.05,"Passaro compete: "&amp;TEXT(-K125,"0%")&amp;" abaixo de "&amp;D125,IF(K125&lt;0.05,"Empate técnico com "&amp;D125,D125&amp;" é "&amp;TEXT(1-H125/I125,"0%")&amp;" mais barata que a Passaro"))</f>
        <v>DOMINALOG é 38% mais barata que a Passaro</v>
      </c>
    </row>
    <row r="126" customFormat="false" ht="15" hidden="false" customHeight="false" outlineLevel="0" collapsed="false">
      <c r="A126" s="18" t="s">
        <v>21</v>
      </c>
      <c r="B126" s="18" t="n">
        <v>7</v>
      </c>
      <c r="C126" s="18" t="s">
        <v>176</v>
      </c>
      <c r="D126" s="18" t="s">
        <v>32</v>
      </c>
      <c r="E126" s="17" t="n">
        <f aca="false">COUNTIFS('Pedidos Top10'!$A$2:$A$1839,A126,'Pedidos Top10'!$C$2:$C$1839,C126,'Pedidos Top10'!$D$2:$D$1839,D126)</f>
        <v>2</v>
      </c>
      <c r="F126" s="21" t="n">
        <f aca="false">E126/COUNTIFS('Pedidos Top10'!$A$2:$A$1839,A126,'Pedidos Top10'!$C$2:$C$1839,C126)</f>
        <v>0.5</v>
      </c>
      <c r="G126" s="19" t="n">
        <f aca="false">SUMIFS('Pedidos Top10'!$J$2:$J$1839,'Pedidos Top10'!$A$2:$A$1839,A126,'Pedidos Top10'!$C$2:$C$1839,C126,'Pedidos Top10'!$D$2:$D$1839,D126)</f>
        <v>186.2</v>
      </c>
      <c r="H126" s="8" t="n">
        <f aca="false">SUMIFS('Pedidos Top10'!$L$2:$L$1839,'Pedidos Top10'!$A$2:$A$1839,A126,'Pedidos Top10'!$C$2:$C$1839,C126,'Pedidos Top10'!$D$2:$D$1839,D126)</f>
        <v>632.3</v>
      </c>
      <c r="I126" s="8" t="n">
        <f aca="false">SUMIFS('Pedidos Top10'!$AD$2:$AD$1839,'Pedidos Top10'!$A$2:$A$1839,A126,'Pedidos Top10'!$C$2:$C$1839,C126,'Pedidos Top10'!$D$2:$D$1839,D126)</f>
        <v>725.48</v>
      </c>
      <c r="J126" s="8" t="n">
        <f aca="false">I126-H126</f>
        <v>93.1800000000001</v>
      </c>
      <c r="K126" s="9" t="n">
        <f aca="false">IF(H126=0,0,J126/H126)</f>
        <v>0.147366756286573</v>
      </c>
      <c r="L126" s="8" t="n">
        <f aca="false">IF(E126=0,0,H126/E126)</f>
        <v>316.15</v>
      </c>
      <c r="M126" s="8" t="n">
        <f aca="false">IF(E126=0,0,I126/E126)</f>
        <v>362.74</v>
      </c>
      <c r="N126" s="8" t="n">
        <f aca="false">IF(G126=0,0,H126/G126)</f>
        <v>3.39581095596133</v>
      </c>
      <c r="O126" s="8" t="n">
        <f aca="false">IF(G126=0,0,I126/G126)</f>
        <v>3.89624060150376</v>
      </c>
      <c r="P126" s="21" t="n">
        <f aca="false">IF(E126=0,0,COUNTIFS('Pedidos Top10'!$A$2:$A$1839,A126,'Pedidos Top10'!$C$2:$C$1839,C126,'Pedidos Top10'!$D$2:$D$1839,D126,'Pedidos Top10'!$AG$2:$AG$1839,"PASSARO")/E126)</f>
        <v>0</v>
      </c>
      <c r="Q126" s="18" t="str">
        <f aca="false">IF(K126&lt;=-0.05,"Passaro compete: "&amp;TEXT(-K126,"0%")&amp;" abaixo de "&amp;D126,IF(K126&lt;0.05,"Empate técnico com "&amp;D126,D126&amp;" é "&amp;TEXT(1-H126/I126,"0%")&amp;" mais barata que a Passaro"))</f>
        <v>Bento Brasil é 13% mais barata que a Passaro</v>
      </c>
    </row>
    <row r="127" customFormat="false" ht="15" hidden="false" customHeight="false" outlineLevel="0" collapsed="false">
      <c r="A127" s="18" t="s">
        <v>21</v>
      </c>
      <c r="B127" s="18" t="n">
        <v>7</v>
      </c>
      <c r="C127" s="18" t="s">
        <v>176</v>
      </c>
      <c r="D127" s="18" t="s">
        <v>30</v>
      </c>
      <c r="E127" s="17" t="n">
        <f aca="false">COUNTIFS('Pedidos Top10'!$A$2:$A$1839,A127,'Pedidos Top10'!$C$2:$C$1839,C127,'Pedidos Top10'!$D$2:$D$1839,D127)</f>
        <v>2</v>
      </c>
      <c r="F127" s="21" t="n">
        <f aca="false">E127/COUNTIFS('Pedidos Top10'!$A$2:$A$1839,A127,'Pedidos Top10'!$C$2:$C$1839,C127)</f>
        <v>0.5</v>
      </c>
      <c r="G127" s="19" t="n">
        <f aca="false">SUMIFS('Pedidos Top10'!$J$2:$J$1839,'Pedidos Top10'!$A$2:$A$1839,A127,'Pedidos Top10'!$C$2:$C$1839,C127,'Pedidos Top10'!$D$2:$D$1839,D127)</f>
        <v>85.8</v>
      </c>
      <c r="H127" s="8" t="n">
        <f aca="false">SUMIFS('Pedidos Top10'!$L$2:$L$1839,'Pedidos Top10'!$A$2:$A$1839,A127,'Pedidos Top10'!$C$2:$C$1839,C127,'Pedidos Top10'!$D$2:$D$1839,D127)</f>
        <v>361.58</v>
      </c>
      <c r="I127" s="8" t="n">
        <f aca="false">SUMIFS('Pedidos Top10'!$AD$2:$AD$1839,'Pedidos Top10'!$A$2:$A$1839,A127,'Pedidos Top10'!$C$2:$C$1839,C127,'Pedidos Top10'!$D$2:$D$1839,D127)</f>
        <v>598.75</v>
      </c>
      <c r="J127" s="8" t="n">
        <f aca="false">I127-H127</f>
        <v>237.17</v>
      </c>
      <c r="K127" s="9" t="n">
        <f aca="false">IF(H127=0,0,J127/H127)</f>
        <v>0.655926765860944</v>
      </c>
      <c r="L127" s="8" t="n">
        <f aca="false">IF(E127=0,0,H127/E127)</f>
        <v>180.79</v>
      </c>
      <c r="M127" s="8" t="n">
        <f aca="false">IF(E127=0,0,I127/E127)</f>
        <v>299.375</v>
      </c>
      <c r="N127" s="8" t="n">
        <f aca="false">IF(G127=0,0,H127/G127)</f>
        <v>4.21421911421911</v>
      </c>
      <c r="O127" s="8" t="n">
        <f aca="false">IF(G127=0,0,I127/G127)</f>
        <v>6.97843822843823</v>
      </c>
      <c r="P127" s="21" t="n">
        <f aca="false">IF(E127=0,0,COUNTIFS('Pedidos Top10'!$A$2:$A$1839,A127,'Pedidos Top10'!$C$2:$C$1839,C127,'Pedidos Top10'!$D$2:$D$1839,D127,'Pedidos Top10'!$AG$2:$AG$1839,"PASSARO")/E127)</f>
        <v>0</v>
      </c>
      <c r="Q127" s="18" t="str">
        <f aca="false">IF(K127&lt;=-0.05,"Passaro compete: "&amp;TEXT(-K127,"0%")&amp;" abaixo de "&amp;D127,IF(K127&lt;0.05,"Empate técnico com "&amp;D127,D127&amp;" é "&amp;TEXT(1-H127/I127,"0%")&amp;" mais barata que a Passaro"))</f>
        <v>DOMINALOG é 40% mais barata que a Passaro</v>
      </c>
    </row>
    <row r="128" customFormat="false" ht="15" hidden="false" customHeight="false" outlineLevel="0" collapsed="false">
      <c r="A128" s="18" t="s">
        <v>21</v>
      </c>
      <c r="B128" s="18" t="n">
        <v>8</v>
      </c>
      <c r="C128" s="18" t="s">
        <v>178</v>
      </c>
      <c r="D128" s="18" t="s">
        <v>30</v>
      </c>
      <c r="E128" s="17" t="n">
        <f aca="false">COUNTIFS('Pedidos Top10'!$A$2:$A$1839,A128,'Pedidos Top10'!$C$2:$C$1839,C128,'Pedidos Top10'!$D$2:$D$1839,D128)</f>
        <v>4</v>
      </c>
      <c r="F128" s="21" t="n">
        <f aca="false">E128/COUNTIFS('Pedidos Top10'!$A$2:$A$1839,A128,'Pedidos Top10'!$C$2:$C$1839,C128)</f>
        <v>1</v>
      </c>
      <c r="G128" s="19" t="n">
        <f aca="false">SUMIFS('Pedidos Top10'!$J$2:$J$1839,'Pedidos Top10'!$A$2:$A$1839,A128,'Pedidos Top10'!$C$2:$C$1839,C128,'Pedidos Top10'!$D$2:$D$1839,D128)</f>
        <v>192.9</v>
      </c>
      <c r="H128" s="8" t="n">
        <f aca="false">SUMIFS('Pedidos Top10'!$L$2:$L$1839,'Pedidos Top10'!$A$2:$A$1839,A128,'Pedidos Top10'!$C$2:$C$1839,C128,'Pedidos Top10'!$D$2:$D$1839,D128)</f>
        <v>773.16</v>
      </c>
      <c r="I128" s="8" t="n">
        <f aca="false">SUMIFS('Pedidos Top10'!$AD$2:$AD$1839,'Pedidos Top10'!$A$2:$A$1839,A128,'Pedidos Top10'!$C$2:$C$1839,C128,'Pedidos Top10'!$D$2:$D$1839,D128)</f>
        <v>1226.72</v>
      </c>
      <c r="J128" s="8" t="n">
        <f aca="false">I128-H128</f>
        <v>453.56</v>
      </c>
      <c r="K128" s="9" t="n">
        <f aca="false">IF(H128=0,0,J128/H128)</f>
        <v>0.586631486367634</v>
      </c>
      <c r="L128" s="8" t="n">
        <f aca="false">IF(E128=0,0,H128/E128)</f>
        <v>193.29</v>
      </c>
      <c r="M128" s="8" t="n">
        <f aca="false">IF(E128=0,0,I128/E128)</f>
        <v>306.68</v>
      </c>
      <c r="N128" s="8" t="n">
        <f aca="false">IF(G128=0,0,H128/G128)</f>
        <v>4.00808709175739</v>
      </c>
      <c r="O128" s="8" t="n">
        <f aca="false">IF(G128=0,0,I128/G128)</f>
        <v>6.35935717988595</v>
      </c>
      <c r="P128" s="21" t="n">
        <f aca="false">IF(E128=0,0,COUNTIFS('Pedidos Top10'!$A$2:$A$1839,A128,'Pedidos Top10'!$C$2:$C$1839,C128,'Pedidos Top10'!$D$2:$D$1839,D128,'Pedidos Top10'!$AG$2:$AG$1839,"PASSARO")/E128)</f>
        <v>0</v>
      </c>
      <c r="Q128" s="18" t="str">
        <f aca="false">IF(K128&lt;=-0.05,"Passaro compete: "&amp;TEXT(-K128,"0%")&amp;" abaixo de "&amp;D128,IF(K128&lt;0.05,"Empate técnico com "&amp;D128,D128&amp;" é "&amp;TEXT(1-H128/I128,"0%")&amp;" mais barata que a Passaro"))</f>
        <v>DOMINALOG é 37% mais barata que a Passaro</v>
      </c>
    </row>
    <row r="129" customFormat="false" ht="15" hidden="false" customHeight="false" outlineLevel="0" collapsed="false">
      <c r="A129" s="18" t="s">
        <v>21</v>
      </c>
      <c r="B129" s="18" t="n">
        <v>9</v>
      </c>
      <c r="C129" s="18" t="s">
        <v>179</v>
      </c>
      <c r="D129" s="18" t="s">
        <v>30</v>
      </c>
      <c r="E129" s="17" t="n">
        <f aca="false">COUNTIFS('Pedidos Top10'!$A$2:$A$1839,A129,'Pedidos Top10'!$C$2:$C$1839,C129,'Pedidos Top10'!$D$2:$D$1839,D129)</f>
        <v>2</v>
      </c>
      <c r="F129" s="21" t="n">
        <f aca="false">E129/COUNTIFS('Pedidos Top10'!$A$2:$A$1839,A129,'Pedidos Top10'!$C$2:$C$1839,C129)</f>
        <v>0.666666666666667</v>
      </c>
      <c r="G129" s="19" t="n">
        <f aca="false">SUMIFS('Pedidos Top10'!$J$2:$J$1839,'Pedidos Top10'!$A$2:$A$1839,A129,'Pedidos Top10'!$C$2:$C$1839,C129,'Pedidos Top10'!$D$2:$D$1839,D129)</f>
        <v>79.8</v>
      </c>
      <c r="H129" s="8" t="n">
        <f aca="false">SUMIFS('Pedidos Top10'!$L$2:$L$1839,'Pedidos Top10'!$A$2:$A$1839,A129,'Pedidos Top10'!$C$2:$C$1839,C129,'Pedidos Top10'!$D$2:$D$1839,D129)</f>
        <v>381.02</v>
      </c>
      <c r="I129" s="8" t="n">
        <f aca="false">SUMIFS('Pedidos Top10'!$AD$2:$AD$1839,'Pedidos Top10'!$A$2:$A$1839,A129,'Pedidos Top10'!$C$2:$C$1839,C129,'Pedidos Top10'!$D$2:$D$1839,D129)</f>
        <v>1525.38</v>
      </c>
      <c r="J129" s="8" t="n">
        <f aca="false">I129-H129</f>
        <v>1144.36</v>
      </c>
      <c r="K129" s="9" t="n">
        <f aca="false">IF(H129=0,0,J129/H129)</f>
        <v>3.00341189438875</v>
      </c>
      <c r="L129" s="8" t="n">
        <f aca="false">IF(E129=0,0,H129/E129)</f>
        <v>190.51</v>
      </c>
      <c r="M129" s="8" t="n">
        <f aca="false">IF(E129=0,0,I129/E129)</f>
        <v>762.69</v>
      </c>
      <c r="N129" s="8" t="n">
        <f aca="false">IF(G129=0,0,H129/G129)</f>
        <v>4.77468671679198</v>
      </c>
      <c r="O129" s="8" t="n">
        <f aca="false">IF(G129=0,0,I129/G129)</f>
        <v>19.115037593985</v>
      </c>
      <c r="P129" s="21" t="n">
        <f aca="false">IF(E129=0,0,COUNTIFS('Pedidos Top10'!$A$2:$A$1839,A129,'Pedidos Top10'!$C$2:$C$1839,C129,'Pedidos Top10'!$D$2:$D$1839,D129,'Pedidos Top10'!$AG$2:$AG$1839,"PASSARO")/E129)</f>
        <v>0</v>
      </c>
      <c r="Q129" s="18" t="str">
        <f aca="false">IF(K129&lt;=-0.05,"Passaro compete: "&amp;TEXT(-K129,"0%")&amp;" abaixo de "&amp;D129,IF(K129&lt;0.05,"Empate técnico com "&amp;D129,D129&amp;" é "&amp;TEXT(1-H129/I129,"0%")&amp;" mais barata que a Passaro"))</f>
        <v>DOMINALOG é 75% mais barata que a Passaro</v>
      </c>
    </row>
    <row r="130" customFormat="false" ht="15" hidden="false" customHeight="false" outlineLevel="0" collapsed="false">
      <c r="A130" s="18" t="s">
        <v>21</v>
      </c>
      <c r="B130" s="18" t="n">
        <v>9</v>
      </c>
      <c r="C130" s="18" t="s">
        <v>179</v>
      </c>
      <c r="D130" s="18" t="s">
        <v>32</v>
      </c>
      <c r="E130" s="17" t="n">
        <f aca="false">COUNTIFS('Pedidos Top10'!$A$2:$A$1839,A130,'Pedidos Top10'!$C$2:$C$1839,C130,'Pedidos Top10'!$D$2:$D$1839,D130)</f>
        <v>1</v>
      </c>
      <c r="F130" s="21" t="n">
        <f aca="false">E130/COUNTIFS('Pedidos Top10'!$A$2:$A$1839,A130,'Pedidos Top10'!$C$2:$C$1839,C130)</f>
        <v>0.333333333333333</v>
      </c>
      <c r="G130" s="19" t="n">
        <f aca="false">SUMIFS('Pedidos Top10'!$J$2:$J$1839,'Pedidos Top10'!$A$2:$A$1839,A130,'Pedidos Top10'!$C$2:$C$1839,C130,'Pedidos Top10'!$D$2:$D$1839,D130)</f>
        <v>104.7</v>
      </c>
      <c r="H130" s="8" t="n">
        <f aca="false">SUMIFS('Pedidos Top10'!$L$2:$L$1839,'Pedidos Top10'!$A$2:$A$1839,A130,'Pedidos Top10'!$C$2:$C$1839,C130,'Pedidos Top10'!$D$2:$D$1839,D130)</f>
        <v>362.28</v>
      </c>
      <c r="I130" s="8" t="n">
        <f aca="false">SUMIFS('Pedidos Top10'!$AD$2:$AD$1839,'Pedidos Top10'!$A$2:$A$1839,A130,'Pedidos Top10'!$C$2:$C$1839,C130,'Pedidos Top10'!$D$2:$D$1839,D130)</f>
        <v>823.36</v>
      </c>
      <c r="J130" s="8" t="n">
        <f aca="false">I130-H130</f>
        <v>461.08</v>
      </c>
      <c r="K130" s="9" t="n">
        <f aca="false">IF(H130=0,0,J130/H130)</f>
        <v>1.27271723528762</v>
      </c>
      <c r="L130" s="8" t="n">
        <f aca="false">IF(E130=0,0,H130/E130)</f>
        <v>362.28</v>
      </c>
      <c r="M130" s="8" t="n">
        <f aca="false">IF(E130=0,0,I130/E130)</f>
        <v>823.36</v>
      </c>
      <c r="N130" s="8" t="n">
        <f aca="false">IF(G130=0,0,H130/G130)</f>
        <v>3.46017191977077</v>
      </c>
      <c r="O130" s="8" t="n">
        <f aca="false">IF(G130=0,0,I130/G130)</f>
        <v>7.8639923591213</v>
      </c>
      <c r="P130" s="21" t="n">
        <f aca="false">IF(E130=0,0,COUNTIFS('Pedidos Top10'!$A$2:$A$1839,A130,'Pedidos Top10'!$C$2:$C$1839,C130,'Pedidos Top10'!$D$2:$D$1839,D130,'Pedidos Top10'!$AG$2:$AG$1839,"PASSARO")/E130)</f>
        <v>0</v>
      </c>
      <c r="Q130" s="18" t="str">
        <f aca="false">IF(K130&lt;=-0.05,"Passaro compete: "&amp;TEXT(-K130,"0%")&amp;" abaixo de "&amp;D130,IF(K130&lt;0.05,"Empate técnico com "&amp;D130,D130&amp;" é "&amp;TEXT(1-H130/I130,"0%")&amp;" mais barata que a Passaro"))</f>
        <v>Bento Brasil é 56% mais barata que a Passaro</v>
      </c>
    </row>
    <row r="131" customFormat="false" ht="15" hidden="false" customHeight="false" outlineLevel="0" collapsed="false">
      <c r="A131" s="18" t="s">
        <v>21</v>
      </c>
      <c r="B131" s="18" t="n">
        <v>10</v>
      </c>
      <c r="C131" s="18" t="s">
        <v>181</v>
      </c>
      <c r="D131" s="18" t="s">
        <v>30</v>
      </c>
      <c r="E131" s="17" t="n">
        <f aca="false">COUNTIFS('Pedidos Top10'!$A$2:$A$1839,A131,'Pedidos Top10'!$C$2:$C$1839,C131,'Pedidos Top10'!$D$2:$D$1839,D131)</f>
        <v>3</v>
      </c>
      <c r="F131" s="21" t="n">
        <f aca="false">E131/COUNTIFS('Pedidos Top10'!$A$2:$A$1839,A131,'Pedidos Top10'!$C$2:$C$1839,C131)</f>
        <v>1</v>
      </c>
      <c r="G131" s="19" t="n">
        <f aca="false">SUMIFS('Pedidos Top10'!$J$2:$J$1839,'Pedidos Top10'!$A$2:$A$1839,A131,'Pedidos Top10'!$C$2:$C$1839,C131,'Pedidos Top10'!$D$2:$D$1839,D131)</f>
        <v>159.55</v>
      </c>
      <c r="H131" s="8" t="n">
        <f aca="false">SUMIFS('Pedidos Top10'!$L$2:$L$1839,'Pedidos Top10'!$A$2:$A$1839,A131,'Pedidos Top10'!$C$2:$C$1839,C131,'Pedidos Top10'!$D$2:$D$1839,D131)</f>
        <v>691.17</v>
      </c>
      <c r="I131" s="8" t="n">
        <f aca="false">SUMIFS('Pedidos Top10'!$AD$2:$AD$1839,'Pedidos Top10'!$A$2:$A$1839,A131,'Pedidos Top10'!$C$2:$C$1839,C131,'Pedidos Top10'!$D$2:$D$1839,D131)</f>
        <v>948.68</v>
      </c>
      <c r="J131" s="8" t="n">
        <f aca="false">I131-H131</f>
        <v>257.51</v>
      </c>
      <c r="K131" s="9" t="n">
        <f aca="false">IF(H131=0,0,J131/H131)</f>
        <v>0.372571147474572</v>
      </c>
      <c r="L131" s="8" t="n">
        <f aca="false">IF(E131=0,0,H131/E131)</f>
        <v>230.39</v>
      </c>
      <c r="M131" s="8" t="n">
        <f aca="false">IF(E131=0,0,I131/E131)</f>
        <v>316.226666666667</v>
      </c>
      <c r="N131" s="8" t="n">
        <f aca="false">IF(G131=0,0,H131/G131)</f>
        <v>4.33199623942338</v>
      </c>
      <c r="O131" s="8" t="n">
        <f aca="false">IF(G131=0,0,I131/G131)</f>
        <v>5.94597304920088</v>
      </c>
      <c r="P131" s="21" t="n">
        <f aca="false">IF(E131=0,0,COUNTIFS('Pedidos Top10'!$A$2:$A$1839,A131,'Pedidos Top10'!$C$2:$C$1839,C131,'Pedidos Top10'!$D$2:$D$1839,D131,'Pedidos Top10'!$AG$2:$AG$1839,"PASSARO")/E131)</f>
        <v>0</v>
      </c>
      <c r="Q131" s="18" t="str">
        <f aca="false">IF(K131&lt;=-0.05,"Passaro compete: "&amp;TEXT(-K131,"0%")&amp;" abaixo de "&amp;D131,IF(K131&lt;0.05,"Empate técnico com "&amp;D131,D131&amp;" é "&amp;TEXT(1-H131/I131,"0%")&amp;" mais barata que a Passaro"))</f>
        <v>DOMINALOG é 27% mais barata que a Passaro</v>
      </c>
    </row>
    <row r="132" customFormat="false" ht="15" hidden="false" customHeight="false" outlineLevel="0" collapsed="false">
      <c r="A132" s="18" t="s">
        <v>22</v>
      </c>
      <c r="B132" s="18" t="n">
        <v>1</v>
      </c>
      <c r="C132" s="18" t="s">
        <v>182</v>
      </c>
      <c r="D132" s="18" t="s">
        <v>30</v>
      </c>
      <c r="E132" s="17" t="n">
        <f aca="false">COUNTIFS('Pedidos Top10'!$A$2:$A$1839,A132,'Pedidos Top10'!$C$2:$C$1839,C132,'Pedidos Top10'!$D$2:$D$1839,D132)</f>
        <v>29</v>
      </c>
      <c r="F132" s="21" t="n">
        <f aca="false">E132/COUNTIFS('Pedidos Top10'!$A$2:$A$1839,A132,'Pedidos Top10'!$C$2:$C$1839,C132)</f>
        <v>0.805555555555556</v>
      </c>
      <c r="G132" s="19" t="n">
        <f aca="false">SUMIFS('Pedidos Top10'!$J$2:$J$1839,'Pedidos Top10'!$A$2:$A$1839,A132,'Pedidos Top10'!$C$2:$C$1839,C132,'Pedidos Top10'!$D$2:$D$1839,D132)</f>
        <v>1203.3</v>
      </c>
      <c r="H132" s="8" t="n">
        <f aca="false">SUMIFS('Pedidos Top10'!$L$2:$L$1839,'Pedidos Top10'!$A$2:$A$1839,A132,'Pedidos Top10'!$C$2:$C$1839,C132,'Pedidos Top10'!$D$2:$D$1839,D132)</f>
        <v>4716.1</v>
      </c>
      <c r="I132" s="8" t="n">
        <f aca="false">SUMIFS('Pedidos Top10'!$AD$2:$AD$1839,'Pedidos Top10'!$A$2:$A$1839,A132,'Pedidos Top10'!$C$2:$C$1839,C132,'Pedidos Top10'!$D$2:$D$1839,D132)</f>
        <v>4416.92</v>
      </c>
      <c r="J132" s="8" t="n">
        <f aca="false">I132-H132</f>
        <v>-299.18</v>
      </c>
      <c r="K132" s="9" t="n">
        <f aca="false">IF(H132=0,0,J132/H132)</f>
        <v>-0.0634380102203092</v>
      </c>
      <c r="L132" s="8" t="n">
        <f aca="false">IF(E132=0,0,H132/E132)</f>
        <v>162.624137931034</v>
      </c>
      <c r="M132" s="8" t="n">
        <f aca="false">IF(E132=0,0,I132/E132)</f>
        <v>152.307586206897</v>
      </c>
      <c r="N132" s="8" t="n">
        <f aca="false">IF(G132=0,0,H132/G132)</f>
        <v>3.91930524391257</v>
      </c>
      <c r="O132" s="8" t="n">
        <f aca="false">IF(G132=0,0,I132/G132)</f>
        <v>3.67067231779274</v>
      </c>
      <c r="P132" s="21" t="n">
        <f aca="false">IF(E132=0,0,COUNTIFS('Pedidos Top10'!$A$2:$A$1839,A132,'Pedidos Top10'!$C$2:$C$1839,C132,'Pedidos Top10'!$D$2:$D$1839,D132,'Pedidos Top10'!$AG$2:$AG$1839,"PASSARO")/E132)</f>
        <v>0.620689655172414</v>
      </c>
      <c r="Q132" s="18" t="str">
        <f aca="false">IF(K132&lt;=-0.05,"Passaro compete: "&amp;TEXT(-K132,"0%")&amp;" abaixo de "&amp;D132,IF(K132&lt;0.05,"Empate técnico com "&amp;D132,D132&amp;" é "&amp;TEXT(1-H132/I132,"0%")&amp;" mais barata que a Passaro"))</f>
        <v>Passaro compete: 6% abaixo de DOMINALOG</v>
      </c>
    </row>
    <row r="133" customFormat="false" ht="15" hidden="false" customHeight="false" outlineLevel="0" collapsed="false">
      <c r="A133" s="18" t="s">
        <v>22</v>
      </c>
      <c r="B133" s="18" t="n">
        <v>1</v>
      </c>
      <c r="C133" s="18" t="s">
        <v>182</v>
      </c>
      <c r="D133" s="18" t="s">
        <v>31</v>
      </c>
      <c r="E133" s="17" t="n">
        <f aca="false">COUNTIFS('Pedidos Top10'!$A$2:$A$1839,A133,'Pedidos Top10'!$C$2:$C$1839,C133,'Pedidos Top10'!$D$2:$D$1839,D133)</f>
        <v>7</v>
      </c>
      <c r="F133" s="21" t="n">
        <f aca="false">E133/COUNTIFS('Pedidos Top10'!$A$2:$A$1839,A133,'Pedidos Top10'!$C$2:$C$1839,C133)</f>
        <v>0.194444444444444</v>
      </c>
      <c r="G133" s="19" t="n">
        <f aca="false">SUMIFS('Pedidos Top10'!$J$2:$J$1839,'Pedidos Top10'!$A$2:$A$1839,A133,'Pedidos Top10'!$C$2:$C$1839,C133,'Pedidos Top10'!$D$2:$D$1839,D133)</f>
        <v>126.75</v>
      </c>
      <c r="H133" s="8" t="n">
        <f aca="false">SUMIFS('Pedidos Top10'!$L$2:$L$1839,'Pedidos Top10'!$A$2:$A$1839,A133,'Pedidos Top10'!$C$2:$C$1839,C133,'Pedidos Top10'!$D$2:$D$1839,D133)</f>
        <v>555.66</v>
      </c>
      <c r="I133" s="8" t="n">
        <f aca="false">SUMIFS('Pedidos Top10'!$AD$2:$AD$1839,'Pedidos Top10'!$A$2:$A$1839,A133,'Pedidos Top10'!$C$2:$C$1839,C133,'Pedidos Top10'!$D$2:$D$1839,D133)</f>
        <v>902.32</v>
      </c>
      <c r="J133" s="8" t="n">
        <f aca="false">I133-H133</f>
        <v>346.66</v>
      </c>
      <c r="K133" s="9" t="n">
        <f aca="false">IF(H133=0,0,J133/H133)</f>
        <v>0.623870712306087</v>
      </c>
      <c r="L133" s="8" t="n">
        <f aca="false">IF(E133=0,0,H133/E133)</f>
        <v>79.38</v>
      </c>
      <c r="M133" s="8" t="n">
        <f aca="false">IF(E133=0,0,I133/E133)</f>
        <v>128.902857142857</v>
      </c>
      <c r="N133" s="8" t="n">
        <f aca="false">IF(G133=0,0,H133/G133)</f>
        <v>4.38390532544379</v>
      </c>
      <c r="O133" s="8" t="n">
        <f aca="false">IF(G133=0,0,I133/G133)</f>
        <v>7.11889546351085</v>
      </c>
      <c r="P133" s="21" t="n">
        <f aca="false">IF(E133=0,0,COUNTIFS('Pedidos Top10'!$A$2:$A$1839,A133,'Pedidos Top10'!$C$2:$C$1839,C133,'Pedidos Top10'!$D$2:$D$1839,D133,'Pedidos Top10'!$AG$2:$AG$1839,"PASSARO")/E133)</f>
        <v>0</v>
      </c>
      <c r="Q133" s="18" t="str">
        <f aca="false">IF(K133&lt;=-0.05,"Passaro compete: "&amp;TEXT(-K133,"0%")&amp;" abaixo de "&amp;D133,IF(K133&lt;0.05,"Empate técnico com "&amp;D133,D133&amp;" é "&amp;TEXT(1-H133/I133,"0%")&amp;" mais barata que a Passaro"))</f>
        <v>JADLOG é 38% mais barata que a Passaro</v>
      </c>
    </row>
    <row r="134" customFormat="false" ht="15" hidden="false" customHeight="false" outlineLevel="0" collapsed="false">
      <c r="A134" s="18" t="s">
        <v>22</v>
      </c>
      <c r="B134" s="18" t="n">
        <v>2</v>
      </c>
      <c r="C134" s="18" t="s">
        <v>184</v>
      </c>
      <c r="D134" s="18" t="s">
        <v>30</v>
      </c>
      <c r="E134" s="17" t="n">
        <f aca="false">COUNTIFS('Pedidos Top10'!$A$2:$A$1839,A134,'Pedidos Top10'!$C$2:$C$1839,C134,'Pedidos Top10'!$D$2:$D$1839,D134)</f>
        <v>15</v>
      </c>
      <c r="F134" s="21" t="n">
        <f aca="false">E134/COUNTIFS('Pedidos Top10'!$A$2:$A$1839,A134,'Pedidos Top10'!$C$2:$C$1839,C134)</f>
        <v>0.714285714285714</v>
      </c>
      <c r="G134" s="19" t="n">
        <f aca="false">SUMIFS('Pedidos Top10'!$J$2:$J$1839,'Pedidos Top10'!$A$2:$A$1839,A134,'Pedidos Top10'!$C$2:$C$1839,C134,'Pedidos Top10'!$D$2:$D$1839,D134)</f>
        <v>728.07</v>
      </c>
      <c r="H134" s="8" t="n">
        <f aca="false">SUMIFS('Pedidos Top10'!$L$2:$L$1839,'Pedidos Top10'!$A$2:$A$1839,A134,'Pedidos Top10'!$C$2:$C$1839,C134,'Pedidos Top10'!$D$2:$D$1839,D134)</f>
        <v>3031</v>
      </c>
      <c r="I134" s="8" t="n">
        <f aca="false">SUMIFS('Pedidos Top10'!$AD$2:$AD$1839,'Pedidos Top10'!$A$2:$A$1839,A134,'Pedidos Top10'!$C$2:$C$1839,C134,'Pedidos Top10'!$D$2:$D$1839,D134)</f>
        <v>3163.16</v>
      </c>
      <c r="J134" s="8" t="n">
        <f aca="false">I134-H134</f>
        <v>132.16</v>
      </c>
      <c r="K134" s="9" t="n">
        <f aca="false">IF(H134=0,0,J134/H134)</f>
        <v>0.0436027713625866</v>
      </c>
      <c r="L134" s="8" t="n">
        <f aca="false">IF(E134=0,0,H134/E134)</f>
        <v>202.066666666667</v>
      </c>
      <c r="M134" s="8" t="n">
        <f aca="false">IF(E134=0,0,I134/E134)</f>
        <v>210.877333333333</v>
      </c>
      <c r="N134" s="8" t="n">
        <f aca="false">IF(G134=0,0,H134/G134)</f>
        <v>4.16306124411114</v>
      </c>
      <c r="O134" s="8" t="n">
        <f aca="false">IF(G134=0,0,I134/G134)</f>
        <v>4.34458225170657</v>
      </c>
      <c r="P134" s="21" t="n">
        <f aca="false">IF(E134=0,0,COUNTIFS('Pedidos Top10'!$A$2:$A$1839,A134,'Pedidos Top10'!$C$2:$C$1839,C134,'Pedidos Top10'!$D$2:$D$1839,D134,'Pedidos Top10'!$AG$2:$AG$1839,"PASSARO")/E134)</f>
        <v>0.4</v>
      </c>
      <c r="Q134" s="18" t="str">
        <f aca="false">IF(K134&lt;=-0.05,"Passaro compete: "&amp;TEXT(-K134,"0%")&amp;" abaixo de "&amp;D134,IF(K134&lt;0.05,"Empate técnico com "&amp;D134,D134&amp;" é "&amp;TEXT(1-H134/I134,"0%")&amp;" mais barata que a Passaro"))</f>
        <v>Empate técnico com DOMINALOG</v>
      </c>
    </row>
    <row r="135" customFormat="false" ht="15" hidden="false" customHeight="false" outlineLevel="0" collapsed="false">
      <c r="A135" s="18" t="s">
        <v>22</v>
      </c>
      <c r="B135" s="18" t="n">
        <v>2</v>
      </c>
      <c r="C135" s="18" t="s">
        <v>184</v>
      </c>
      <c r="D135" s="18" t="s">
        <v>31</v>
      </c>
      <c r="E135" s="17" t="n">
        <f aca="false">COUNTIFS('Pedidos Top10'!$A$2:$A$1839,A135,'Pedidos Top10'!$C$2:$C$1839,C135,'Pedidos Top10'!$D$2:$D$1839,D135)</f>
        <v>6</v>
      </c>
      <c r="F135" s="21" t="n">
        <f aca="false">E135/COUNTIFS('Pedidos Top10'!$A$2:$A$1839,A135,'Pedidos Top10'!$C$2:$C$1839,C135)</f>
        <v>0.285714285714286</v>
      </c>
      <c r="G135" s="19" t="n">
        <f aca="false">SUMIFS('Pedidos Top10'!$J$2:$J$1839,'Pedidos Top10'!$A$2:$A$1839,A135,'Pedidos Top10'!$C$2:$C$1839,C135,'Pedidos Top10'!$D$2:$D$1839,D135)</f>
        <v>115.25</v>
      </c>
      <c r="H135" s="8" t="n">
        <f aca="false">SUMIFS('Pedidos Top10'!$L$2:$L$1839,'Pedidos Top10'!$A$2:$A$1839,A135,'Pedidos Top10'!$C$2:$C$1839,C135,'Pedidos Top10'!$D$2:$D$1839,D135)</f>
        <v>499.8</v>
      </c>
      <c r="I135" s="8" t="n">
        <f aca="false">SUMIFS('Pedidos Top10'!$AD$2:$AD$1839,'Pedidos Top10'!$A$2:$A$1839,A135,'Pedidos Top10'!$C$2:$C$1839,C135,'Pedidos Top10'!$D$2:$D$1839,D135)</f>
        <v>1093.11</v>
      </c>
      <c r="J135" s="8" t="n">
        <f aca="false">I135-H135</f>
        <v>593.31</v>
      </c>
      <c r="K135" s="9" t="n">
        <f aca="false">IF(H135=0,0,J135/H135)</f>
        <v>1.18709483793517</v>
      </c>
      <c r="L135" s="8" t="n">
        <f aca="false">IF(E135=0,0,H135/E135)</f>
        <v>83.3</v>
      </c>
      <c r="M135" s="8" t="n">
        <f aca="false">IF(E135=0,0,I135/E135)</f>
        <v>182.185</v>
      </c>
      <c r="N135" s="8" t="n">
        <f aca="false">IF(G135=0,0,H135/G135)</f>
        <v>4.33665943600868</v>
      </c>
      <c r="O135" s="8" t="n">
        <f aca="false">IF(G135=0,0,I135/G135)</f>
        <v>9.48468546637744</v>
      </c>
      <c r="P135" s="21" t="n">
        <f aca="false">IF(E135=0,0,COUNTIFS('Pedidos Top10'!$A$2:$A$1839,A135,'Pedidos Top10'!$C$2:$C$1839,C135,'Pedidos Top10'!$D$2:$D$1839,D135,'Pedidos Top10'!$AG$2:$AG$1839,"PASSARO")/E135)</f>
        <v>0</v>
      </c>
      <c r="Q135" s="18" t="str">
        <f aca="false">IF(K135&lt;=-0.05,"Passaro compete: "&amp;TEXT(-K135,"0%")&amp;" abaixo de "&amp;D135,IF(K135&lt;0.05,"Empate técnico com "&amp;D135,D135&amp;" é "&amp;TEXT(1-H135/I135,"0%")&amp;" mais barata que a Passaro"))</f>
        <v>JADLOG é 54% mais barata que a Passaro</v>
      </c>
    </row>
    <row r="136" customFormat="false" ht="15" hidden="false" customHeight="false" outlineLevel="0" collapsed="false">
      <c r="A136" s="18" t="s">
        <v>22</v>
      </c>
      <c r="B136" s="18" t="n">
        <v>3</v>
      </c>
      <c r="C136" s="18" t="s">
        <v>186</v>
      </c>
      <c r="D136" s="18" t="s">
        <v>30</v>
      </c>
      <c r="E136" s="17" t="n">
        <f aca="false">COUNTIFS('Pedidos Top10'!$A$2:$A$1839,A136,'Pedidos Top10'!$C$2:$C$1839,C136,'Pedidos Top10'!$D$2:$D$1839,D136)</f>
        <v>7</v>
      </c>
      <c r="F136" s="21" t="n">
        <f aca="false">E136/COUNTIFS('Pedidos Top10'!$A$2:$A$1839,A136,'Pedidos Top10'!$C$2:$C$1839,C136)</f>
        <v>1</v>
      </c>
      <c r="G136" s="19" t="n">
        <f aca="false">SUMIFS('Pedidos Top10'!$J$2:$J$1839,'Pedidos Top10'!$A$2:$A$1839,A136,'Pedidos Top10'!$C$2:$C$1839,C136,'Pedidos Top10'!$D$2:$D$1839,D136)</f>
        <v>413.32</v>
      </c>
      <c r="H136" s="8" t="n">
        <f aca="false">SUMIFS('Pedidos Top10'!$L$2:$L$1839,'Pedidos Top10'!$A$2:$A$1839,A136,'Pedidos Top10'!$C$2:$C$1839,C136,'Pedidos Top10'!$D$2:$D$1839,D136)</f>
        <v>1869.64</v>
      </c>
      <c r="I136" s="8" t="n">
        <f aca="false">SUMIFS('Pedidos Top10'!$AD$2:$AD$1839,'Pedidos Top10'!$A$2:$A$1839,A136,'Pedidos Top10'!$C$2:$C$1839,C136,'Pedidos Top10'!$D$2:$D$1839,D136)</f>
        <v>1444.16</v>
      </c>
      <c r="J136" s="8" t="n">
        <f aca="false">I136-H136</f>
        <v>-425.48</v>
      </c>
      <c r="K136" s="9" t="n">
        <f aca="false">IF(H136=0,0,J136/H136)</f>
        <v>-0.227573222652489</v>
      </c>
      <c r="L136" s="8" t="n">
        <f aca="false">IF(E136=0,0,H136/E136)</f>
        <v>267.091428571429</v>
      </c>
      <c r="M136" s="8" t="n">
        <f aca="false">IF(E136=0,0,I136/E136)</f>
        <v>206.308571428571</v>
      </c>
      <c r="N136" s="8" t="n">
        <f aca="false">IF(G136=0,0,H136/G136)</f>
        <v>4.52346849898384</v>
      </c>
      <c r="O136" s="8" t="n">
        <f aca="false">IF(G136=0,0,I136/G136)</f>
        <v>3.49404819510307</v>
      </c>
      <c r="P136" s="21" t="n">
        <f aca="false">IF(E136=0,0,COUNTIFS('Pedidos Top10'!$A$2:$A$1839,A136,'Pedidos Top10'!$C$2:$C$1839,C136,'Pedidos Top10'!$D$2:$D$1839,D136,'Pedidos Top10'!$AG$2:$AG$1839,"PASSARO")/E136)</f>
        <v>0.714285714285714</v>
      </c>
      <c r="Q136" s="18" t="str">
        <f aca="false">IF(K136&lt;=-0.05,"Passaro compete: "&amp;TEXT(-K136,"0%")&amp;" abaixo de "&amp;D136,IF(K136&lt;0.05,"Empate técnico com "&amp;D136,D136&amp;" é "&amp;TEXT(1-H136/I136,"0%")&amp;" mais barata que a Passaro"))</f>
        <v>Passaro compete: 23% abaixo de DOMINALOG</v>
      </c>
    </row>
    <row r="137" customFormat="false" ht="15" hidden="false" customHeight="false" outlineLevel="0" collapsed="false">
      <c r="A137" s="18" t="s">
        <v>22</v>
      </c>
      <c r="B137" s="18" t="n">
        <v>4</v>
      </c>
      <c r="C137" s="18" t="s">
        <v>188</v>
      </c>
      <c r="D137" s="18" t="s">
        <v>30</v>
      </c>
      <c r="E137" s="17" t="n">
        <f aca="false">COUNTIFS('Pedidos Top10'!$A$2:$A$1839,A137,'Pedidos Top10'!$C$2:$C$1839,C137,'Pedidos Top10'!$D$2:$D$1839,D137)</f>
        <v>3</v>
      </c>
      <c r="F137" s="21" t="n">
        <f aca="false">E137/COUNTIFS('Pedidos Top10'!$A$2:$A$1839,A137,'Pedidos Top10'!$C$2:$C$1839,C137)</f>
        <v>0.6</v>
      </c>
      <c r="G137" s="19" t="n">
        <f aca="false">SUMIFS('Pedidos Top10'!$J$2:$J$1839,'Pedidos Top10'!$A$2:$A$1839,A137,'Pedidos Top10'!$C$2:$C$1839,C137,'Pedidos Top10'!$D$2:$D$1839,D137)</f>
        <v>160.56</v>
      </c>
      <c r="H137" s="8" t="n">
        <f aca="false">SUMIFS('Pedidos Top10'!$L$2:$L$1839,'Pedidos Top10'!$A$2:$A$1839,A137,'Pedidos Top10'!$C$2:$C$1839,C137,'Pedidos Top10'!$D$2:$D$1839,D137)</f>
        <v>745.78</v>
      </c>
      <c r="I137" s="8" t="n">
        <f aca="false">SUMIFS('Pedidos Top10'!$AD$2:$AD$1839,'Pedidos Top10'!$A$2:$A$1839,A137,'Pedidos Top10'!$C$2:$C$1839,C137,'Pedidos Top10'!$D$2:$D$1839,D137)</f>
        <v>590.29</v>
      </c>
      <c r="J137" s="8" t="n">
        <f aca="false">I137-H137</f>
        <v>-155.49</v>
      </c>
      <c r="K137" s="9" t="n">
        <f aca="false">IF(H137=0,0,J137/H137)</f>
        <v>-0.208493121295825</v>
      </c>
      <c r="L137" s="8" t="n">
        <f aca="false">IF(E137=0,0,H137/E137)</f>
        <v>248.593333333333</v>
      </c>
      <c r="M137" s="8" t="n">
        <f aca="false">IF(E137=0,0,I137/E137)</f>
        <v>196.763333333333</v>
      </c>
      <c r="N137" s="8" t="n">
        <f aca="false">IF(G137=0,0,H137/G137)</f>
        <v>4.64486796213254</v>
      </c>
      <c r="O137" s="8" t="n">
        <f aca="false">IF(G137=0,0,I137/G137)</f>
        <v>3.67644494270055</v>
      </c>
      <c r="P137" s="21" t="n">
        <f aca="false">IF(E137=0,0,COUNTIFS('Pedidos Top10'!$A$2:$A$1839,A137,'Pedidos Top10'!$C$2:$C$1839,C137,'Pedidos Top10'!$D$2:$D$1839,D137,'Pedidos Top10'!$AG$2:$AG$1839,"PASSARO")/E137)</f>
        <v>0.666666666666667</v>
      </c>
      <c r="Q137" s="18" t="str">
        <f aca="false">IF(K137&lt;=-0.05,"Passaro compete: "&amp;TEXT(-K137,"0%")&amp;" abaixo de "&amp;D137,IF(K137&lt;0.05,"Empate técnico com "&amp;D137,D137&amp;" é "&amp;TEXT(1-H137/I137,"0%")&amp;" mais barata que a Passaro"))</f>
        <v>Passaro compete: 21% abaixo de DOMINALOG</v>
      </c>
    </row>
    <row r="138" customFormat="false" ht="15" hidden="false" customHeight="false" outlineLevel="0" collapsed="false">
      <c r="A138" s="18" t="s">
        <v>22</v>
      </c>
      <c r="B138" s="18" t="n">
        <v>4</v>
      </c>
      <c r="C138" s="18" t="s">
        <v>188</v>
      </c>
      <c r="D138" s="18" t="s">
        <v>33</v>
      </c>
      <c r="E138" s="17" t="n">
        <f aca="false">COUNTIFS('Pedidos Top10'!$A$2:$A$1839,A138,'Pedidos Top10'!$C$2:$C$1839,C138,'Pedidos Top10'!$D$2:$D$1839,D138)</f>
        <v>1</v>
      </c>
      <c r="F138" s="21" t="n">
        <f aca="false">E138/COUNTIFS('Pedidos Top10'!$A$2:$A$1839,A138,'Pedidos Top10'!$C$2:$C$1839,C138)</f>
        <v>0.2</v>
      </c>
      <c r="G138" s="19" t="n">
        <f aca="false">SUMIFS('Pedidos Top10'!$J$2:$J$1839,'Pedidos Top10'!$A$2:$A$1839,A138,'Pedidos Top10'!$C$2:$C$1839,C138,'Pedidos Top10'!$D$2:$D$1839,D138)</f>
        <v>67.8</v>
      </c>
      <c r="H138" s="8" t="n">
        <f aca="false">SUMIFS('Pedidos Top10'!$L$2:$L$1839,'Pedidos Top10'!$A$2:$A$1839,A138,'Pedidos Top10'!$C$2:$C$1839,C138,'Pedidos Top10'!$D$2:$D$1839,D138)</f>
        <v>269.99</v>
      </c>
      <c r="I138" s="8" t="n">
        <f aca="false">SUMIFS('Pedidos Top10'!$AD$2:$AD$1839,'Pedidos Top10'!$A$2:$A$1839,A138,'Pedidos Top10'!$C$2:$C$1839,C138,'Pedidos Top10'!$D$2:$D$1839,D138)</f>
        <v>202.55</v>
      </c>
      <c r="J138" s="8" t="n">
        <f aca="false">I138-H138</f>
        <v>-67.44</v>
      </c>
      <c r="K138" s="9" t="n">
        <f aca="false">IF(H138=0,0,J138/H138)</f>
        <v>-0.249787029149228</v>
      </c>
      <c r="L138" s="8" t="n">
        <f aca="false">IF(E138=0,0,H138/E138)</f>
        <v>269.99</v>
      </c>
      <c r="M138" s="8" t="n">
        <f aca="false">IF(E138=0,0,I138/E138)</f>
        <v>202.55</v>
      </c>
      <c r="N138" s="8" t="n">
        <f aca="false">IF(G138=0,0,H138/G138)</f>
        <v>3.98215339233038</v>
      </c>
      <c r="O138" s="8" t="n">
        <f aca="false">IF(G138=0,0,I138/G138)</f>
        <v>2.98746312684366</v>
      </c>
      <c r="P138" s="21" t="n">
        <f aca="false">IF(E138=0,0,COUNTIFS('Pedidos Top10'!$A$2:$A$1839,A138,'Pedidos Top10'!$C$2:$C$1839,C138,'Pedidos Top10'!$D$2:$D$1839,D138,'Pedidos Top10'!$AG$2:$AG$1839,"PASSARO")/E138)</f>
        <v>1</v>
      </c>
      <c r="Q138" s="18" t="str">
        <f aca="false">IF(K138&lt;=-0.05,"Passaro compete: "&amp;TEXT(-K138,"0%")&amp;" abaixo de "&amp;D138,IF(K138&lt;0.05,"Empate técnico com "&amp;D138,D138&amp;" é "&amp;TEXT(1-H138/I138,"0%")&amp;" mais barata que a Passaro"))</f>
        <v>Passaro compete: 25% abaixo de Atual Cargas</v>
      </c>
    </row>
    <row r="139" customFormat="false" ht="15" hidden="false" customHeight="false" outlineLevel="0" collapsed="false">
      <c r="A139" s="18" t="s">
        <v>22</v>
      </c>
      <c r="B139" s="18" t="n">
        <v>4</v>
      </c>
      <c r="C139" s="18" t="s">
        <v>188</v>
      </c>
      <c r="D139" s="18" t="s">
        <v>34</v>
      </c>
      <c r="E139" s="17" t="n">
        <f aca="false">COUNTIFS('Pedidos Top10'!$A$2:$A$1839,A139,'Pedidos Top10'!$C$2:$C$1839,C139,'Pedidos Top10'!$D$2:$D$1839,D139)</f>
        <v>1</v>
      </c>
      <c r="F139" s="21" t="n">
        <f aca="false">E139/COUNTIFS('Pedidos Top10'!$A$2:$A$1839,A139,'Pedidos Top10'!$C$2:$C$1839,C139)</f>
        <v>0.2</v>
      </c>
      <c r="G139" s="19" t="n">
        <f aca="false">SUMIFS('Pedidos Top10'!$J$2:$J$1839,'Pedidos Top10'!$A$2:$A$1839,A139,'Pedidos Top10'!$C$2:$C$1839,C139,'Pedidos Top10'!$D$2:$D$1839,D139)</f>
        <v>36.9</v>
      </c>
      <c r="H139" s="8" t="n">
        <f aca="false">SUMIFS('Pedidos Top10'!$L$2:$L$1839,'Pedidos Top10'!$A$2:$A$1839,A139,'Pedidos Top10'!$C$2:$C$1839,C139,'Pedidos Top10'!$D$2:$D$1839,D139)</f>
        <v>195.68</v>
      </c>
      <c r="I139" s="8" t="n">
        <f aca="false">SUMIFS('Pedidos Top10'!$AD$2:$AD$1839,'Pedidos Top10'!$A$2:$A$1839,A139,'Pedidos Top10'!$C$2:$C$1839,C139,'Pedidos Top10'!$D$2:$D$1839,D139)</f>
        <v>187.37</v>
      </c>
      <c r="J139" s="8" t="n">
        <f aca="false">I139-H139</f>
        <v>-8.31</v>
      </c>
      <c r="K139" s="9" t="n">
        <f aca="false">IF(H139=0,0,J139/H139)</f>
        <v>-0.0424672935404743</v>
      </c>
      <c r="L139" s="8" t="n">
        <f aca="false">IF(E139=0,0,H139/E139)</f>
        <v>195.68</v>
      </c>
      <c r="M139" s="8" t="n">
        <f aca="false">IF(E139=0,0,I139/E139)</f>
        <v>187.37</v>
      </c>
      <c r="N139" s="8" t="n">
        <f aca="false">IF(G139=0,0,H139/G139)</f>
        <v>5.3029810298103</v>
      </c>
      <c r="O139" s="8" t="n">
        <f aca="false">IF(G139=0,0,I139/G139)</f>
        <v>5.07777777777778</v>
      </c>
      <c r="P139" s="21" t="n">
        <f aca="false">IF(E139=0,0,COUNTIFS('Pedidos Top10'!$A$2:$A$1839,A139,'Pedidos Top10'!$C$2:$C$1839,C139,'Pedidos Top10'!$D$2:$D$1839,D139,'Pedidos Top10'!$AG$2:$AG$1839,"PASSARO")/E139)</f>
        <v>1</v>
      </c>
      <c r="Q139" s="18" t="str">
        <f aca="false">IF(K139&lt;=-0.05,"Passaro compete: "&amp;TEXT(-K139,"0%")&amp;" abaixo de "&amp;D139,IF(K139&lt;0.05,"Empate técnico com "&amp;D139,D139&amp;" é "&amp;TEXT(1-H139/I139,"0%")&amp;" mais barata que a Passaro"))</f>
        <v>Empate técnico com FORMATO TRANSPORTES</v>
      </c>
    </row>
    <row r="140" customFormat="false" ht="15" hidden="false" customHeight="false" outlineLevel="0" collapsed="false">
      <c r="A140" s="18" t="s">
        <v>22</v>
      </c>
      <c r="B140" s="18" t="n">
        <v>5</v>
      </c>
      <c r="C140" s="18" t="s">
        <v>190</v>
      </c>
      <c r="D140" s="18" t="s">
        <v>33</v>
      </c>
      <c r="E140" s="17" t="n">
        <f aca="false">COUNTIFS('Pedidos Top10'!$A$2:$A$1839,A140,'Pedidos Top10'!$C$2:$C$1839,C140,'Pedidos Top10'!$D$2:$D$1839,D140)</f>
        <v>3</v>
      </c>
      <c r="F140" s="21" t="n">
        <f aca="false">E140/COUNTIFS('Pedidos Top10'!$A$2:$A$1839,A140,'Pedidos Top10'!$C$2:$C$1839,C140)</f>
        <v>0.75</v>
      </c>
      <c r="G140" s="19" t="n">
        <f aca="false">SUMIFS('Pedidos Top10'!$J$2:$J$1839,'Pedidos Top10'!$A$2:$A$1839,A140,'Pedidos Top10'!$C$2:$C$1839,C140,'Pedidos Top10'!$D$2:$D$1839,D140)</f>
        <v>140.51</v>
      </c>
      <c r="H140" s="8" t="n">
        <f aca="false">SUMIFS('Pedidos Top10'!$L$2:$L$1839,'Pedidos Top10'!$A$2:$A$1839,A140,'Pedidos Top10'!$C$2:$C$1839,C140,'Pedidos Top10'!$D$2:$D$1839,D140)</f>
        <v>633.68</v>
      </c>
      <c r="I140" s="8" t="n">
        <f aca="false">SUMIFS('Pedidos Top10'!$AD$2:$AD$1839,'Pedidos Top10'!$A$2:$A$1839,A140,'Pedidos Top10'!$C$2:$C$1839,C140,'Pedidos Top10'!$D$2:$D$1839,D140)</f>
        <v>555.62</v>
      </c>
      <c r="J140" s="8" t="n">
        <f aca="false">I140-H140</f>
        <v>-78.06</v>
      </c>
      <c r="K140" s="9" t="n">
        <f aca="false">IF(H140=0,0,J140/H140)</f>
        <v>-0.123185203888398</v>
      </c>
      <c r="L140" s="8" t="n">
        <f aca="false">IF(E140=0,0,H140/E140)</f>
        <v>211.226666666667</v>
      </c>
      <c r="M140" s="8" t="n">
        <f aca="false">IF(E140=0,0,I140/E140)</f>
        <v>185.206666666667</v>
      </c>
      <c r="N140" s="8" t="n">
        <f aca="false">IF(G140=0,0,H140/G140)</f>
        <v>4.5098569496833</v>
      </c>
      <c r="O140" s="8" t="n">
        <f aca="false">IF(G140=0,0,I140/G140)</f>
        <v>3.95430930182905</v>
      </c>
      <c r="P140" s="21" t="n">
        <f aca="false">IF(E140=0,0,COUNTIFS('Pedidos Top10'!$A$2:$A$1839,A140,'Pedidos Top10'!$C$2:$C$1839,C140,'Pedidos Top10'!$D$2:$D$1839,D140,'Pedidos Top10'!$AG$2:$AG$1839,"PASSARO")/E140)</f>
        <v>0.666666666666667</v>
      </c>
      <c r="Q140" s="18" t="str">
        <f aca="false">IF(K140&lt;=-0.05,"Passaro compete: "&amp;TEXT(-K140,"0%")&amp;" abaixo de "&amp;D140,IF(K140&lt;0.05,"Empate técnico com "&amp;D140,D140&amp;" é "&amp;TEXT(1-H140/I140,"0%")&amp;" mais barata que a Passaro"))</f>
        <v>Passaro compete: 12% abaixo de Atual Cargas</v>
      </c>
    </row>
    <row r="141" customFormat="false" ht="15" hidden="false" customHeight="false" outlineLevel="0" collapsed="false">
      <c r="A141" s="18" t="s">
        <v>22</v>
      </c>
      <c r="B141" s="18" t="n">
        <v>5</v>
      </c>
      <c r="C141" s="18" t="s">
        <v>190</v>
      </c>
      <c r="D141" s="18" t="s">
        <v>30</v>
      </c>
      <c r="E141" s="17" t="n">
        <f aca="false">COUNTIFS('Pedidos Top10'!$A$2:$A$1839,A141,'Pedidos Top10'!$C$2:$C$1839,C141,'Pedidos Top10'!$D$2:$D$1839,D141)</f>
        <v>1</v>
      </c>
      <c r="F141" s="21" t="n">
        <f aca="false">E141/COUNTIFS('Pedidos Top10'!$A$2:$A$1839,A141,'Pedidos Top10'!$C$2:$C$1839,C141)</f>
        <v>0.25</v>
      </c>
      <c r="G141" s="19" t="n">
        <f aca="false">SUMIFS('Pedidos Top10'!$J$2:$J$1839,'Pedidos Top10'!$A$2:$A$1839,A141,'Pedidos Top10'!$C$2:$C$1839,C141,'Pedidos Top10'!$D$2:$D$1839,D141)</f>
        <v>43.5</v>
      </c>
      <c r="H141" s="8" t="n">
        <f aca="false">SUMIFS('Pedidos Top10'!$L$2:$L$1839,'Pedidos Top10'!$A$2:$A$1839,A141,'Pedidos Top10'!$C$2:$C$1839,C141,'Pedidos Top10'!$D$2:$D$1839,D141)</f>
        <v>193.1</v>
      </c>
      <c r="I141" s="8" t="n">
        <f aca="false">SUMIFS('Pedidos Top10'!$AD$2:$AD$1839,'Pedidos Top10'!$A$2:$A$1839,A141,'Pedidos Top10'!$C$2:$C$1839,C141,'Pedidos Top10'!$D$2:$D$1839,D141)</f>
        <v>189.42</v>
      </c>
      <c r="J141" s="8" t="n">
        <f aca="false">I141-H141</f>
        <v>-3.68000000000001</v>
      </c>
      <c r="K141" s="9" t="n">
        <f aca="false">IF(H141=0,0,J141/H141)</f>
        <v>-0.0190574831693423</v>
      </c>
      <c r="L141" s="8" t="n">
        <f aca="false">IF(E141=0,0,H141/E141)</f>
        <v>193.1</v>
      </c>
      <c r="M141" s="8" t="n">
        <f aca="false">IF(E141=0,0,I141/E141)</f>
        <v>189.42</v>
      </c>
      <c r="N141" s="8" t="n">
        <f aca="false">IF(G141=0,0,H141/G141)</f>
        <v>4.43908045977012</v>
      </c>
      <c r="O141" s="8" t="n">
        <f aca="false">IF(G141=0,0,I141/G141)</f>
        <v>4.35448275862069</v>
      </c>
      <c r="P141" s="21" t="n">
        <f aca="false">IF(E141=0,0,COUNTIFS('Pedidos Top10'!$A$2:$A$1839,A141,'Pedidos Top10'!$C$2:$C$1839,C141,'Pedidos Top10'!$D$2:$D$1839,D141,'Pedidos Top10'!$AG$2:$AG$1839,"PASSARO")/E141)</f>
        <v>1</v>
      </c>
      <c r="Q141" s="18" t="str">
        <f aca="false">IF(K141&lt;=-0.05,"Passaro compete: "&amp;TEXT(-K141,"0%")&amp;" abaixo de "&amp;D141,IF(K141&lt;0.05,"Empate técnico com "&amp;D141,D141&amp;" é "&amp;TEXT(1-H141/I141,"0%")&amp;" mais barata que a Passaro"))</f>
        <v>Empate técnico com DOMINALOG</v>
      </c>
    </row>
    <row r="142" customFormat="false" ht="15" hidden="false" customHeight="false" outlineLevel="0" collapsed="false">
      <c r="A142" s="18" t="s">
        <v>22</v>
      </c>
      <c r="B142" s="18" t="n">
        <v>6</v>
      </c>
      <c r="C142" s="18" t="s">
        <v>192</v>
      </c>
      <c r="D142" s="18" t="s">
        <v>30</v>
      </c>
      <c r="E142" s="17" t="n">
        <f aca="false">COUNTIFS('Pedidos Top10'!$A$2:$A$1839,A142,'Pedidos Top10'!$C$2:$C$1839,C142,'Pedidos Top10'!$D$2:$D$1839,D142)</f>
        <v>4</v>
      </c>
      <c r="F142" s="21" t="n">
        <f aca="false">E142/COUNTIFS('Pedidos Top10'!$A$2:$A$1839,A142,'Pedidos Top10'!$C$2:$C$1839,C142)</f>
        <v>1</v>
      </c>
      <c r="G142" s="19" t="n">
        <f aca="false">SUMIFS('Pedidos Top10'!$J$2:$J$1839,'Pedidos Top10'!$A$2:$A$1839,A142,'Pedidos Top10'!$C$2:$C$1839,C142,'Pedidos Top10'!$D$2:$D$1839,D142)</f>
        <v>154.4</v>
      </c>
      <c r="H142" s="8" t="n">
        <f aca="false">SUMIFS('Pedidos Top10'!$L$2:$L$1839,'Pedidos Top10'!$A$2:$A$1839,A142,'Pedidos Top10'!$C$2:$C$1839,C142,'Pedidos Top10'!$D$2:$D$1839,D142)</f>
        <v>689.02</v>
      </c>
      <c r="I142" s="8" t="n">
        <f aca="false">SUMIFS('Pedidos Top10'!$AD$2:$AD$1839,'Pedidos Top10'!$A$2:$A$1839,A142,'Pedidos Top10'!$C$2:$C$1839,C142,'Pedidos Top10'!$D$2:$D$1839,D142)</f>
        <v>750.16</v>
      </c>
      <c r="J142" s="8" t="n">
        <f aca="false">I142-H142</f>
        <v>61.14</v>
      </c>
      <c r="K142" s="9" t="n">
        <f aca="false">IF(H142=0,0,J142/H142)</f>
        <v>0.0887347246814316</v>
      </c>
      <c r="L142" s="8" t="n">
        <f aca="false">IF(E142=0,0,H142/E142)</f>
        <v>172.255</v>
      </c>
      <c r="M142" s="8" t="n">
        <f aca="false">IF(E142=0,0,I142/E142)</f>
        <v>187.54</v>
      </c>
      <c r="N142" s="8" t="n">
        <f aca="false">IF(G142=0,0,H142/G142)</f>
        <v>4.46256476683938</v>
      </c>
      <c r="O142" s="8" t="n">
        <f aca="false">IF(G142=0,0,I142/G142)</f>
        <v>4.85854922279793</v>
      </c>
      <c r="P142" s="21" t="n">
        <f aca="false">IF(E142=0,0,COUNTIFS('Pedidos Top10'!$A$2:$A$1839,A142,'Pedidos Top10'!$C$2:$C$1839,C142,'Pedidos Top10'!$D$2:$D$1839,D142,'Pedidos Top10'!$AG$2:$AG$1839,"PASSARO")/E142)</f>
        <v>0.25</v>
      </c>
      <c r="Q142" s="18" t="str">
        <f aca="false">IF(K142&lt;=-0.05,"Passaro compete: "&amp;TEXT(-K142,"0%")&amp;" abaixo de "&amp;D142,IF(K142&lt;0.05,"Empate técnico com "&amp;D142,D142&amp;" é "&amp;TEXT(1-H142/I142,"0%")&amp;" mais barata que a Passaro"))</f>
        <v>DOMINALOG é 8% mais barata que a Passaro</v>
      </c>
    </row>
    <row r="143" customFormat="false" ht="15" hidden="false" customHeight="false" outlineLevel="0" collapsed="false">
      <c r="A143" s="18" t="s">
        <v>22</v>
      </c>
      <c r="B143" s="18" t="n">
        <v>7</v>
      </c>
      <c r="C143" s="18" t="s">
        <v>193</v>
      </c>
      <c r="D143" s="18" t="s">
        <v>30</v>
      </c>
      <c r="E143" s="17" t="n">
        <f aca="false">COUNTIFS('Pedidos Top10'!$A$2:$A$1839,A143,'Pedidos Top10'!$C$2:$C$1839,C143,'Pedidos Top10'!$D$2:$D$1839,D143)</f>
        <v>3</v>
      </c>
      <c r="F143" s="21" t="n">
        <f aca="false">E143/COUNTIFS('Pedidos Top10'!$A$2:$A$1839,A143,'Pedidos Top10'!$C$2:$C$1839,C143)</f>
        <v>1</v>
      </c>
      <c r="G143" s="19" t="n">
        <f aca="false">SUMIFS('Pedidos Top10'!$J$2:$J$1839,'Pedidos Top10'!$A$2:$A$1839,A143,'Pedidos Top10'!$C$2:$C$1839,C143,'Pedidos Top10'!$D$2:$D$1839,D143)</f>
        <v>136.1</v>
      </c>
      <c r="H143" s="8" t="n">
        <f aca="false">SUMIFS('Pedidos Top10'!$L$2:$L$1839,'Pedidos Top10'!$A$2:$A$1839,A143,'Pedidos Top10'!$C$2:$C$1839,C143,'Pedidos Top10'!$D$2:$D$1839,D143)</f>
        <v>643.35</v>
      </c>
      <c r="I143" s="8" t="n">
        <f aca="false">SUMIFS('Pedidos Top10'!$AD$2:$AD$1839,'Pedidos Top10'!$A$2:$A$1839,A143,'Pedidos Top10'!$C$2:$C$1839,C143,'Pedidos Top10'!$D$2:$D$1839,D143)</f>
        <v>1419.89</v>
      </c>
      <c r="J143" s="8" t="n">
        <f aca="false">I143-H143</f>
        <v>776.54</v>
      </c>
      <c r="K143" s="9" t="n">
        <f aca="false">IF(H143=0,0,J143/H143)</f>
        <v>1.20702572472216</v>
      </c>
      <c r="L143" s="8" t="n">
        <f aca="false">IF(E143=0,0,H143/E143)</f>
        <v>214.45</v>
      </c>
      <c r="M143" s="8" t="n">
        <f aca="false">IF(E143=0,0,I143/E143)</f>
        <v>473.296666666667</v>
      </c>
      <c r="N143" s="8" t="n">
        <f aca="false">IF(G143=0,0,H143/G143)</f>
        <v>4.72703894195445</v>
      </c>
      <c r="O143" s="8" t="n">
        <f aca="false">IF(G143=0,0,I143/G143)</f>
        <v>10.4326965466569</v>
      </c>
      <c r="P143" s="21" t="n">
        <f aca="false">IF(E143=0,0,COUNTIFS('Pedidos Top10'!$A$2:$A$1839,A143,'Pedidos Top10'!$C$2:$C$1839,C143,'Pedidos Top10'!$D$2:$D$1839,D143,'Pedidos Top10'!$AG$2:$AG$1839,"PASSARO")/E143)</f>
        <v>0</v>
      </c>
      <c r="Q143" s="18" t="str">
        <f aca="false">IF(K143&lt;=-0.05,"Passaro compete: "&amp;TEXT(-K143,"0%")&amp;" abaixo de "&amp;D143,IF(K143&lt;0.05,"Empate técnico com "&amp;D143,D143&amp;" é "&amp;TEXT(1-H143/I143,"0%")&amp;" mais barata que a Passaro"))</f>
        <v>DOMINALOG é 55% mais barata que a Passaro</v>
      </c>
    </row>
    <row r="144" customFormat="false" ht="15" hidden="false" customHeight="false" outlineLevel="0" collapsed="false">
      <c r="A144" s="18" t="s">
        <v>22</v>
      </c>
      <c r="B144" s="18" t="n">
        <v>8</v>
      </c>
      <c r="C144" s="18" t="s">
        <v>194</v>
      </c>
      <c r="D144" s="18" t="s">
        <v>30</v>
      </c>
      <c r="E144" s="17" t="n">
        <f aca="false">COUNTIFS('Pedidos Top10'!$A$2:$A$1839,A144,'Pedidos Top10'!$C$2:$C$1839,C144,'Pedidos Top10'!$D$2:$D$1839,D144)</f>
        <v>3</v>
      </c>
      <c r="F144" s="21" t="n">
        <f aca="false">E144/COUNTIFS('Pedidos Top10'!$A$2:$A$1839,A144,'Pedidos Top10'!$C$2:$C$1839,C144)</f>
        <v>1</v>
      </c>
      <c r="G144" s="19" t="n">
        <f aca="false">SUMIFS('Pedidos Top10'!$J$2:$J$1839,'Pedidos Top10'!$A$2:$A$1839,A144,'Pedidos Top10'!$C$2:$C$1839,C144,'Pedidos Top10'!$D$2:$D$1839,D144)</f>
        <v>93.8</v>
      </c>
      <c r="H144" s="8" t="n">
        <f aca="false">SUMIFS('Pedidos Top10'!$L$2:$L$1839,'Pedidos Top10'!$A$2:$A$1839,A144,'Pedidos Top10'!$C$2:$C$1839,C144,'Pedidos Top10'!$D$2:$D$1839,D144)</f>
        <v>502.46</v>
      </c>
      <c r="I144" s="8" t="n">
        <f aca="false">SUMIFS('Pedidos Top10'!$AD$2:$AD$1839,'Pedidos Top10'!$A$2:$A$1839,A144,'Pedidos Top10'!$C$2:$C$1839,C144,'Pedidos Top10'!$D$2:$D$1839,D144)</f>
        <v>539.7</v>
      </c>
      <c r="J144" s="8" t="n">
        <f aca="false">I144-H144</f>
        <v>37.2400000000001</v>
      </c>
      <c r="K144" s="9" t="n">
        <f aca="false">IF(H144=0,0,J144/H144)</f>
        <v>0.0741153524658681</v>
      </c>
      <c r="L144" s="8" t="n">
        <f aca="false">IF(E144=0,0,H144/E144)</f>
        <v>167.486666666667</v>
      </c>
      <c r="M144" s="8" t="n">
        <f aca="false">IF(E144=0,0,I144/E144)</f>
        <v>179.9</v>
      </c>
      <c r="N144" s="8" t="n">
        <f aca="false">IF(G144=0,0,H144/G144)</f>
        <v>5.35671641791045</v>
      </c>
      <c r="O144" s="8" t="n">
        <f aca="false">IF(G144=0,0,I144/G144)</f>
        <v>5.75373134328358</v>
      </c>
      <c r="P144" s="21" t="n">
        <f aca="false">IF(E144=0,0,COUNTIFS('Pedidos Top10'!$A$2:$A$1839,A144,'Pedidos Top10'!$C$2:$C$1839,C144,'Pedidos Top10'!$D$2:$D$1839,D144,'Pedidos Top10'!$AG$2:$AG$1839,"PASSARO")/E144)</f>
        <v>0</v>
      </c>
      <c r="Q144" s="18" t="str">
        <f aca="false">IF(K144&lt;=-0.05,"Passaro compete: "&amp;TEXT(-K144,"0%")&amp;" abaixo de "&amp;D144,IF(K144&lt;0.05,"Empate técnico com "&amp;D144,D144&amp;" é "&amp;TEXT(1-H144/I144,"0%")&amp;" mais barata que a Passaro"))</f>
        <v>DOMINALOG é 7% mais barata que a Passaro</v>
      </c>
    </row>
    <row r="145" customFormat="false" ht="15" hidden="false" customHeight="false" outlineLevel="0" collapsed="false">
      <c r="A145" s="18" t="s">
        <v>22</v>
      </c>
      <c r="B145" s="18" t="n">
        <v>9</v>
      </c>
      <c r="C145" s="18" t="s">
        <v>195</v>
      </c>
      <c r="D145" s="18" t="s">
        <v>30</v>
      </c>
      <c r="E145" s="17" t="n">
        <f aca="false">COUNTIFS('Pedidos Top10'!$A$2:$A$1839,A145,'Pedidos Top10'!$C$2:$C$1839,C145,'Pedidos Top10'!$D$2:$D$1839,D145)</f>
        <v>3</v>
      </c>
      <c r="F145" s="21" t="n">
        <f aca="false">E145/COUNTIFS('Pedidos Top10'!$A$2:$A$1839,A145,'Pedidos Top10'!$C$2:$C$1839,C145)</f>
        <v>1</v>
      </c>
      <c r="G145" s="19" t="n">
        <f aca="false">SUMIFS('Pedidos Top10'!$J$2:$J$1839,'Pedidos Top10'!$A$2:$A$1839,A145,'Pedidos Top10'!$C$2:$C$1839,C145,'Pedidos Top10'!$D$2:$D$1839,D145)</f>
        <v>106.2</v>
      </c>
      <c r="H145" s="8" t="n">
        <f aca="false">SUMIFS('Pedidos Top10'!$L$2:$L$1839,'Pedidos Top10'!$A$2:$A$1839,A145,'Pedidos Top10'!$C$2:$C$1839,C145,'Pedidos Top10'!$D$2:$D$1839,D145)</f>
        <v>476.8</v>
      </c>
      <c r="I145" s="8" t="n">
        <f aca="false">SUMIFS('Pedidos Top10'!$AD$2:$AD$1839,'Pedidos Top10'!$A$2:$A$1839,A145,'Pedidos Top10'!$C$2:$C$1839,C145,'Pedidos Top10'!$D$2:$D$1839,D145)</f>
        <v>1379.66</v>
      </c>
      <c r="J145" s="8" t="n">
        <f aca="false">I145-H145</f>
        <v>902.86</v>
      </c>
      <c r="K145" s="9" t="n">
        <f aca="false">IF(H145=0,0,J145/H145)</f>
        <v>1.8935822147651</v>
      </c>
      <c r="L145" s="8" t="n">
        <f aca="false">IF(E145=0,0,H145/E145)</f>
        <v>158.933333333333</v>
      </c>
      <c r="M145" s="8" t="n">
        <f aca="false">IF(E145=0,0,I145/E145)</f>
        <v>459.886666666667</v>
      </c>
      <c r="N145" s="8" t="n">
        <f aca="false">IF(G145=0,0,H145/G145)</f>
        <v>4.48964218455744</v>
      </c>
      <c r="O145" s="8" t="n">
        <f aca="false">IF(G145=0,0,I145/G145)</f>
        <v>12.9911487758945</v>
      </c>
      <c r="P145" s="21" t="n">
        <f aca="false">IF(E145=0,0,COUNTIFS('Pedidos Top10'!$A$2:$A$1839,A145,'Pedidos Top10'!$C$2:$C$1839,C145,'Pedidos Top10'!$D$2:$D$1839,D145,'Pedidos Top10'!$AG$2:$AG$1839,"PASSARO")/E145)</f>
        <v>0</v>
      </c>
      <c r="Q145" s="18" t="str">
        <f aca="false">IF(K145&lt;=-0.05,"Passaro compete: "&amp;TEXT(-K145,"0%")&amp;" abaixo de "&amp;D145,IF(K145&lt;0.05,"Empate técnico com "&amp;D145,D145&amp;" é "&amp;TEXT(1-H145/I145,"0%")&amp;" mais barata que a Passaro"))</f>
        <v>DOMINALOG é 65% mais barata que a Passaro</v>
      </c>
    </row>
    <row r="146" customFormat="false" ht="15" hidden="false" customHeight="false" outlineLevel="0" collapsed="false">
      <c r="A146" s="18" t="s">
        <v>22</v>
      </c>
      <c r="B146" s="18" t="n">
        <v>10</v>
      </c>
      <c r="C146" s="18" t="s">
        <v>196</v>
      </c>
      <c r="D146" s="18" t="s">
        <v>30</v>
      </c>
      <c r="E146" s="17" t="n">
        <f aca="false">COUNTIFS('Pedidos Top10'!$A$2:$A$1839,A146,'Pedidos Top10'!$C$2:$C$1839,C146,'Pedidos Top10'!$D$2:$D$1839,D146)</f>
        <v>1</v>
      </c>
      <c r="F146" s="21" t="n">
        <f aca="false">E146/COUNTIFS('Pedidos Top10'!$A$2:$A$1839,A146,'Pedidos Top10'!$C$2:$C$1839,C146)</f>
        <v>1</v>
      </c>
      <c r="G146" s="19" t="n">
        <f aca="false">SUMIFS('Pedidos Top10'!$J$2:$J$1839,'Pedidos Top10'!$A$2:$A$1839,A146,'Pedidos Top10'!$C$2:$C$1839,C146,'Pedidos Top10'!$D$2:$D$1839,D146)</f>
        <v>70</v>
      </c>
      <c r="H146" s="8" t="n">
        <f aca="false">SUMIFS('Pedidos Top10'!$L$2:$L$1839,'Pedidos Top10'!$A$2:$A$1839,A146,'Pedidos Top10'!$C$2:$C$1839,C146,'Pedidos Top10'!$D$2:$D$1839,D146)</f>
        <v>318.96</v>
      </c>
      <c r="I146" s="8" t="n">
        <f aca="false">SUMIFS('Pedidos Top10'!$AD$2:$AD$1839,'Pedidos Top10'!$A$2:$A$1839,A146,'Pedidos Top10'!$C$2:$C$1839,C146,'Pedidos Top10'!$D$2:$D$1839,D146)</f>
        <v>477.18</v>
      </c>
      <c r="J146" s="8" t="n">
        <f aca="false">I146-H146</f>
        <v>158.22</v>
      </c>
      <c r="K146" s="9" t="n">
        <f aca="false">IF(H146=0,0,J146/H146)</f>
        <v>0.496049661399549</v>
      </c>
      <c r="L146" s="8" t="n">
        <f aca="false">IF(E146=0,0,H146/E146)</f>
        <v>318.96</v>
      </c>
      <c r="M146" s="8" t="n">
        <f aca="false">IF(E146=0,0,I146/E146)</f>
        <v>477.18</v>
      </c>
      <c r="N146" s="8" t="n">
        <f aca="false">IF(G146=0,0,H146/G146)</f>
        <v>4.55657142857143</v>
      </c>
      <c r="O146" s="8" t="n">
        <f aca="false">IF(G146=0,0,I146/G146)</f>
        <v>6.81685714285714</v>
      </c>
      <c r="P146" s="21" t="n">
        <f aca="false">IF(E146=0,0,COUNTIFS('Pedidos Top10'!$A$2:$A$1839,A146,'Pedidos Top10'!$C$2:$C$1839,C146,'Pedidos Top10'!$D$2:$D$1839,D146,'Pedidos Top10'!$AG$2:$AG$1839,"PASSARO")/E146)</f>
        <v>0</v>
      </c>
      <c r="Q146" s="18" t="str">
        <f aca="false">IF(K146&lt;=-0.05,"Passaro compete: "&amp;TEXT(-K146,"0%")&amp;" abaixo de "&amp;D146,IF(K146&lt;0.05,"Empate técnico com "&amp;D146,D146&amp;" é "&amp;TEXT(1-H146/I146,"0%")&amp;" mais barata que a Passaro"))</f>
        <v>DOMINALOG é 33% mais barata que a Passaro</v>
      </c>
    </row>
    <row r="147" customFormat="false" ht="15" hidden="false" customHeight="false" outlineLevel="0" collapsed="false">
      <c r="A147" s="18" t="s">
        <v>23</v>
      </c>
      <c r="B147" s="18" t="n">
        <v>1</v>
      </c>
      <c r="C147" s="18" t="s">
        <v>198</v>
      </c>
      <c r="D147" s="18" t="s">
        <v>30</v>
      </c>
      <c r="E147" s="17" t="n">
        <f aca="false">COUNTIFS('Pedidos Top10'!$A$2:$A$1839,A147,'Pedidos Top10'!$C$2:$C$1839,C147,'Pedidos Top10'!$D$2:$D$1839,D147)</f>
        <v>47</v>
      </c>
      <c r="F147" s="21" t="n">
        <f aca="false">E147/COUNTIFS('Pedidos Top10'!$A$2:$A$1839,A147,'Pedidos Top10'!$C$2:$C$1839,C147)</f>
        <v>0.854545454545455</v>
      </c>
      <c r="G147" s="19" t="n">
        <f aca="false">SUMIFS('Pedidos Top10'!$J$2:$J$1839,'Pedidos Top10'!$A$2:$A$1839,A147,'Pedidos Top10'!$C$2:$C$1839,C147,'Pedidos Top10'!$D$2:$D$1839,D147)</f>
        <v>2640.52</v>
      </c>
      <c r="H147" s="8" t="n">
        <f aca="false">SUMIFS('Pedidos Top10'!$L$2:$L$1839,'Pedidos Top10'!$A$2:$A$1839,A147,'Pedidos Top10'!$C$2:$C$1839,C147,'Pedidos Top10'!$D$2:$D$1839,D147)</f>
        <v>8467.53</v>
      </c>
      <c r="I147" s="8" t="n">
        <f aca="false">SUMIFS('Pedidos Top10'!$AD$2:$AD$1839,'Pedidos Top10'!$A$2:$A$1839,A147,'Pedidos Top10'!$C$2:$C$1839,C147,'Pedidos Top10'!$D$2:$D$1839,D147)</f>
        <v>6640.34</v>
      </c>
      <c r="J147" s="8" t="n">
        <f aca="false">I147-H147</f>
        <v>-1827.19</v>
      </c>
      <c r="K147" s="9" t="n">
        <f aca="false">IF(H147=0,0,J147/H147)</f>
        <v>-0.215787838956579</v>
      </c>
      <c r="L147" s="8" t="n">
        <f aca="false">IF(E147=0,0,H147/E147)</f>
        <v>180.160212765957</v>
      </c>
      <c r="M147" s="8" t="n">
        <f aca="false">IF(E147=0,0,I147/E147)</f>
        <v>141.283829787234</v>
      </c>
      <c r="N147" s="8" t="n">
        <f aca="false">IF(G147=0,0,H147/G147)</f>
        <v>3.20676609152743</v>
      </c>
      <c r="O147" s="8" t="n">
        <f aca="false">IF(G147=0,0,I147/G147)</f>
        <v>2.51478496659749</v>
      </c>
      <c r="P147" s="21" t="n">
        <f aca="false">IF(E147=0,0,COUNTIFS('Pedidos Top10'!$A$2:$A$1839,A147,'Pedidos Top10'!$C$2:$C$1839,C147,'Pedidos Top10'!$D$2:$D$1839,D147,'Pedidos Top10'!$AG$2:$AG$1839,"PASSARO")/E147)</f>
        <v>0.893617021276596</v>
      </c>
      <c r="Q147" s="18" t="str">
        <f aca="false">IF(K147&lt;=-0.05,"Passaro compete: "&amp;TEXT(-K147,"0%")&amp;" abaixo de "&amp;D147,IF(K147&lt;0.05,"Empate técnico com "&amp;D147,D147&amp;" é "&amp;TEXT(1-H147/I147,"0%")&amp;" mais barata que a Passaro"))</f>
        <v>Passaro compete: 22% abaixo de DOMINALOG</v>
      </c>
    </row>
    <row r="148" customFormat="false" ht="15" hidden="false" customHeight="false" outlineLevel="0" collapsed="false">
      <c r="A148" s="18" t="s">
        <v>23</v>
      </c>
      <c r="B148" s="18" t="n">
        <v>1</v>
      </c>
      <c r="C148" s="18" t="s">
        <v>198</v>
      </c>
      <c r="D148" s="18" t="s">
        <v>31</v>
      </c>
      <c r="E148" s="17" t="n">
        <f aca="false">COUNTIFS('Pedidos Top10'!$A$2:$A$1839,A148,'Pedidos Top10'!$C$2:$C$1839,C148,'Pedidos Top10'!$D$2:$D$1839,D148)</f>
        <v>7</v>
      </c>
      <c r="F148" s="21" t="n">
        <f aca="false">E148/COUNTIFS('Pedidos Top10'!$A$2:$A$1839,A148,'Pedidos Top10'!$C$2:$C$1839,C148)</f>
        <v>0.127272727272727</v>
      </c>
      <c r="G148" s="19" t="n">
        <f aca="false">SUMIFS('Pedidos Top10'!$J$2:$J$1839,'Pedidos Top10'!$A$2:$A$1839,A148,'Pedidos Top10'!$C$2:$C$1839,C148,'Pedidos Top10'!$D$2:$D$1839,D148)</f>
        <v>145.78</v>
      </c>
      <c r="H148" s="8" t="n">
        <f aca="false">SUMIFS('Pedidos Top10'!$L$2:$L$1839,'Pedidos Top10'!$A$2:$A$1839,A148,'Pedidos Top10'!$C$2:$C$1839,C148,'Pedidos Top10'!$D$2:$D$1839,D148)</f>
        <v>585.08</v>
      </c>
      <c r="I148" s="8" t="n">
        <f aca="false">SUMIFS('Pedidos Top10'!$AD$2:$AD$1839,'Pedidos Top10'!$A$2:$A$1839,A148,'Pedidos Top10'!$C$2:$C$1839,C148,'Pedidos Top10'!$D$2:$D$1839,D148)</f>
        <v>770.22</v>
      </c>
      <c r="J148" s="8" t="n">
        <f aca="false">I148-H148</f>
        <v>185.14</v>
      </c>
      <c r="K148" s="9" t="n">
        <f aca="false">IF(H148=0,0,J148/H148)</f>
        <v>0.316435359267109</v>
      </c>
      <c r="L148" s="8" t="n">
        <f aca="false">IF(E148=0,0,H148/E148)</f>
        <v>83.5828571428571</v>
      </c>
      <c r="M148" s="8" t="n">
        <f aca="false">IF(E148=0,0,I148/E148)</f>
        <v>110.031428571429</v>
      </c>
      <c r="N148" s="8" t="n">
        <f aca="false">IF(G148=0,0,H148/G148)</f>
        <v>4.01344491699822</v>
      </c>
      <c r="O148" s="8" t="n">
        <f aca="false">IF(G148=0,0,I148/G148)</f>
        <v>5.2834408012073</v>
      </c>
      <c r="P148" s="21" t="n">
        <f aca="false">IF(E148=0,0,COUNTIFS('Pedidos Top10'!$A$2:$A$1839,A148,'Pedidos Top10'!$C$2:$C$1839,C148,'Pedidos Top10'!$D$2:$D$1839,D148,'Pedidos Top10'!$AG$2:$AG$1839,"PASSARO")/E148)</f>
        <v>0</v>
      </c>
      <c r="Q148" s="18" t="str">
        <f aca="false">IF(K148&lt;=-0.05,"Passaro compete: "&amp;TEXT(-K148,"0%")&amp;" abaixo de "&amp;D148,IF(K148&lt;0.05,"Empate técnico com "&amp;D148,D148&amp;" é "&amp;TEXT(1-H148/I148,"0%")&amp;" mais barata que a Passaro"))</f>
        <v>JADLOG é 24% mais barata que a Passaro</v>
      </c>
    </row>
    <row r="149" customFormat="false" ht="15" hidden="false" customHeight="false" outlineLevel="0" collapsed="false">
      <c r="A149" s="18" t="s">
        <v>23</v>
      </c>
      <c r="B149" s="18" t="n">
        <v>1</v>
      </c>
      <c r="C149" s="18" t="s">
        <v>198</v>
      </c>
      <c r="D149" s="18" t="s">
        <v>33</v>
      </c>
      <c r="E149" s="17" t="n">
        <f aca="false">COUNTIFS('Pedidos Top10'!$A$2:$A$1839,A149,'Pedidos Top10'!$C$2:$C$1839,C149,'Pedidos Top10'!$D$2:$D$1839,D149)</f>
        <v>1</v>
      </c>
      <c r="F149" s="21" t="n">
        <f aca="false">E149/COUNTIFS('Pedidos Top10'!$A$2:$A$1839,A149,'Pedidos Top10'!$C$2:$C$1839,C149)</f>
        <v>0.0181818181818182</v>
      </c>
      <c r="G149" s="19" t="n">
        <f aca="false">SUMIFS('Pedidos Top10'!$J$2:$J$1839,'Pedidos Top10'!$A$2:$A$1839,A149,'Pedidos Top10'!$C$2:$C$1839,C149,'Pedidos Top10'!$D$2:$D$1839,D149)</f>
        <v>15.11</v>
      </c>
      <c r="H149" s="8" t="n">
        <f aca="false">SUMIFS('Pedidos Top10'!$L$2:$L$1839,'Pedidos Top10'!$A$2:$A$1839,A149,'Pedidos Top10'!$C$2:$C$1839,C149,'Pedidos Top10'!$D$2:$D$1839,D149)</f>
        <v>122.42</v>
      </c>
      <c r="I149" s="8" t="n">
        <f aca="false">SUMIFS('Pedidos Top10'!$AD$2:$AD$1839,'Pedidos Top10'!$A$2:$A$1839,A149,'Pedidos Top10'!$C$2:$C$1839,C149,'Pedidos Top10'!$D$2:$D$1839,D149)</f>
        <v>109.41</v>
      </c>
      <c r="J149" s="8" t="n">
        <f aca="false">I149-H149</f>
        <v>-13.01</v>
      </c>
      <c r="K149" s="9" t="n">
        <f aca="false">IF(H149=0,0,J149/H149)</f>
        <v>-0.106273484724718</v>
      </c>
      <c r="L149" s="8" t="n">
        <f aca="false">IF(E149=0,0,H149/E149)</f>
        <v>122.42</v>
      </c>
      <c r="M149" s="8" t="n">
        <f aca="false">IF(E149=0,0,I149/E149)</f>
        <v>109.41</v>
      </c>
      <c r="N149" s="8" t="n">
        <f aca="false">IF(G149=0,0,H149/G149)</f>
        <v>8.10191925876903</v>
      </c>
      <c r="O149" s="8" t="n">
        <f aca="false">IF(G149=0,0,I149/G149)</f>
        <v>7.24090006618134</v>
      </c>
      <c r="P149" s="21" t="n">
        <f aca="false">IF(E149=0,0,COUNTIFS('Pedidos Top10'!$A$2:$A$1839,A149,'Pedidos Top10'!$C$2:$C$1839,C149,'Pedidos Top10'!$D$2:$D$1839,D149,'Pedidos Top10'!$AG$2:$AG$1839,"PASSARO")/E149)</f>
        <v>1</v>
      </c>
      <c r="Q149" s="18" t="str">
        <f aca="false">IF(K149&lt;=-0.05,"Passaro compete: "&amp;TEXT(-K149,"0%")&amp;" abaixo de "&amp;D149,IF(K149&lt;0.05,"Empate técnico com "&amp;D149,D149&amp;" é "&amp;TEXT(1-H149/I149,"0%")&amp;" mais barata que a Passaro"))</f>
        <v>Passaro compete: 11% abaixo de Atual Cargas</v>
      </c>
    </row>
    <row r="150" customFormat="false" ht="15" hidden="false" customHeight="false" outlineLevel="0" collapsed="false">
      <c r="A150" s="18" t="s">
        <v>23</v>
      </c>
      <c r="B150" s="18" t="n">
        <v>2</v>
      </c>
      <c r="C150" s="18" t="s">
        <v>200</v>
      </c>
      <c r="D150" s="18" t="s">
        <v>30</v>
      </c>
      <c r="E150" s="17" t="n">
        <f aca="false">COUNTIFS('Pedidos Top10'!$A$2:$A$1839,A150,'Pedidos Top10'!$C$2:$C$1839,C150,'Pedidos Top10'!$D$2:$D$1839,D150)</f>
        <v>9</v>
      </c>
      <c r="F150" s="21" t="n">
        <f aca="false">E150/COUNTIFS('Pedidos Top10'!$A$2:$A$1839,A150,'Pedidos Top10'!$C$2:$C$1839,C150)</f>
        <v>1</v>
      </c>
      <c r="G150" s="19" t="n">
        <f aca="false">SUMIFS('Pedidos Top10'!$J$2:$J$1839,'Pedidos Top10'!$A$2:$A$1839,A150,'Pedidos Top10'!$C$2:$C$1839,C150,'Pedidos Top10'!$D$2:$D$1839,D150)</f>
        <v>642.69</v>
      </c>
      <c r="H150" s="8" t="n">
        <f aca="false">SUMIFS('Pedidos Top10'!$L$2:$L$1839,'Pedidos Top10'!$A$2:$A$1839,A150,'Pedidos Top10'!$C$2:$C$1839,C150,'Pedidos Top10'!$D$2:$D$1839,D150)</f>
        <v>2145.93</v>
      </c>
      <c r="I150" s="8" t="n">
        <f aca="false">SUMIFS('Pedidos Top10'!$AD$2:$AD$1839,'Pedidos Top10'!$A$2:$A$1839,A150,'Pedidos Top10'!$C$2:$C$1839,C150,'Pedidos Top10'!$D$2:$D$1839,D150)</f>
        <v>1390.04</v>
      </c>
      <c r="J150" s="8" t="n">
        <f aca="false">I150-H150</f>
        <v>-755.89</v>
      </c>
      <c r="K150" s="9" t="n">
        <f aca="false">IF(H150=0,0,J150/H150)</f>
        <v>-0.352243549416803</v>
      </c>
      <c r="L150" s="8" t="n">
        <f aca="false">IF(E150=0,0,H150/E150)</f>
        <v>238.436666666667</v>
      </c>
      <c r="M150" s="8" t="n">
        <f aca="false">IF(E150=0,0,I150/E150)</f>
        <v>154.448888888889</v>
      </c>
      <c r="N150" s="8" t="n">
        <f aca="false">IF(G150=0,0,H150/G150)</f>
        <v>3.33898146851515</v>
      </c>
      <c r="O150" s="8" t="n">
        <f aca="false">IF(G150=0,0,I150/G150)</f>
        <v>2.16284678460844</v>
      </c>
      <c r="P150" s="21" t="n">
        <f aca="false">IF(E150=0,0,COUNTIFS('Pedidos Top10'!$A$2:$A$1839,A150,'Pedidos Top10'!$C$2:$C$1839,C150,'Pedidos Top10'!$D$2:$D$1839,D150,'Pedidos Top10'!$AG$2:$AG$1839,"PASSARO")/E150)</f>
        <v>1</v>
      </c>
      <c r="Q150" s="18" t="str">
        <f aca="false">IF(K150&lt;=-0.05,"Passaro compete: "&amp;TEXT(-K150,"0%")&amp;" abaixo de "&amp;D150,IF(K150&lt;0.05,"Empate técnico com "&amp;D150,D150&amp;" é "&amp;TEXT(1-H150/I150,"0%")&amp;" mais barata que a Passaro"))</f>
        <v>Passaro compete: 35% abaixo de DOMINALOG</v>
      </c>
    </row>
    <row r="151" customFormat="false" ht="15" hidden="false" customHeight="false" outlineLevel="0" collapsed="false">
      <c r="A151" s="18" t="s">
        <v>23</v>
      </c>
      <c r="B151" s="18" t="n">
        <v>3</v>
      </c>
      <c r="C151" s="18" t="s">
        <v>202</v>
      </c>
      <c r="D151" s="18" t="s">
        <v>30</v>
      </c>
      <c r="E151" s="17" t="n">
        <f aca="false">COUNTIFS('Pedidos Top10'!$A$2:$A$1839,A151,'Pedidos Top10'!$C$2:$C$1839,C151,'Pedidos Top10'!$D$2:$D$1839,D151)</f>
        <v>6</v>
      </c>
      <c r="F151" s="21" t="n">
        <f aca="false">E151/COUNTIFS('Pedidos Top10'!$A$2:$A$1839,A151,'Pedidos Top10'!$C$2:$C$1839,C151)</f>
        <v>1</v>
      </c>
      <c r="G151" s="19" t="n">
        <f aca="false">SUMIFS('Pedidos Top10'!$J$2:$J$1839,'Pedidos Top10'!$A$2:$A$1839,A151,'Pedidos Top10'!$C$2:$C$1839,C151,'Pedidos Top10'!$D$2:$D$1839,D151)</f>
        <v>364.96</v>
      </c>
      <c r="H151" s="8" t="n">
        <f aca="false">SUMIFS('Pedidos Top10'!$L$2:$L$1839,'Pedidos Top10'!$A$2:$A$1839,A151,'Pedidos Top10'!$C$2:$C$1839,C151,'Pedidos Top10'!$D$2:$D$1839,D151)</f>
        <v>1418.84</v>
      </c>
      <c r="I151" s="8" t="n">
        <f aca="false">SUMIFS('Pedidos Top10'!$AD$2:$AD$1839,'Pedidos Top10'!$A$2:$A$1839,A151,'Pedidos Top10'!$C$2:$C$1839,C151,'Pedidos Top10'!$D$2:$D$1839,D151)</f>
        <v>1023.99</v>
      </c>
      <c r="J151" s="8" t="n">
        <f aca="false">I151-H151</f>
        <v>-394.85</v>
      </c>
      <c r="K151" s="9" t="n">
        <f aca="false">IF(H151=0,0,J151/H151)</f>
        <v>-0.278290716359843</v>
      </c>
      <c r="L151" s="8" t="n">
        <f aca="false">IF(E151=0,0,H151/E151)</f>
        <v>236.473333333333</v>
      </c>
      <c r="M151" s="8" t="n">
        <f aca="false">IF(E151=0,0,I151/E151)</f>
        <v>170.665</v>
      </c>
      <c r="N151" s="8" t="n">
        <f aca="false">IF(G151=0,0,H151/G151)</f>
        <v>3.88765892152565</v>
      </c>
      <c r="O151" s="8" t="n">
        <f aca="false">IF(G151=0,0,I151/G151)</f>
        <v>2.80575953529154</v>
      </c>
      <c r="P151" s="21" t="n">
        <f aca="false">IF(E151=0,0,COUNTIFS('Pedidos Top10'!$A$2:$A$1839,A151,'Pedidos Top10'!$C$2:$C$1839,C151,'Pedidos Top10'!$D$2:$D$1839,D151,'Pedidos Top10'!$AG$2:$AG$1839,"PASSARO")/E151)</f>
        <v>1</v>
      </c>
      <c r="Q151" s="18" t="str">
        <f aca="false">IF(K151&lt;=-0.05,"Passaro compete: "&amp;TEXT(-K151,"0%")&amp;" abaixo de "&amp;D151,IF(K151&lt;0.05,"Empate técnico com "&amp;D151,D151&amp;" é "&amp;TEXT(1-H151/I151,"0%")&amp;" mais barata que a Passaro"))</f>
        <v>Passaro compete: 28% abaixo de DOMINALOG</v>
      </c>
    </row>
    <row r="152" customFormat="false" ht="15" hidden="false" customHeight="false" outlineLevel="0" collapsed="false">
      <c r="A152" s="18" t="s">
        <v>23</v>
      </c>
      <c r="B152" s="18" t="n">
        <v>4</v>
      </c>
      <c r="C152" s="18" t="s">
        <v>203</v>
      </c>
      <c r="D152" s="18" t="s">
        <v>30</v>
      </c>
      <c r="E152" s="17" t="n">
        <f aca="false">COUNTIFS('Pedidos Top10'!$A$2:$A$1839,A152,'Pedidos Top10'!$C$2:$C$1839,C152,'Pedidos Top10'!$D$2:$D$1839,D152)</f>
        <v>6</v>
      </c>
      <c r="F152" s="21" t="n">
        <f aca="false">E152/COUNTIFS('Pedidos Top10'!$A$2:$A$1839,A152,'Pedidos Top10'!$C$2:$C$1839,C152)</f>
        <v>1</v>
      </c>
      <c r="G152" s="19" t="n">
        <f aca="false">SUMIFS('Pedidos Top10'!$J$2:$J$1839,'Pedidos Top10'!$A$2:$A$1839,A152,'Pedidos Top10'!$C$2:$C$1839,C152,'Pedidos Top10'!$D$2:$D$1839,D152)</f>
        <v>268.48</v>
      </c>
      <c r="H152" s="8" t="n">
        <f aca="false">SUMIFS('Pedidos Top10'!$L$2:$L$1839,'Pedidos Top10'!$A$2:$A$1839,A152,'Pedidos Top10'!$C$2:$C$1839,C152,'Pedidos Top10'!$D$2:$D$1839,D152)</f>
        <v>1140.95</v>
      </c>
      <c r="I152" s="8" t="n">
        <f aca="false">SUMIFS('Pedidos Top10'!$AD$2:$AD$1839,'Pedidos Top10'!$A$2:$A$1839,A152,'Pedidos Top10'!$C$2:$C$1839,C152,'Pedidos Top10'!$D$2:$D$1839,D152)</f>
        <v>1063.76</v>
      </c>
      <c r="J152" s="8" t="n">
        <f aca="false">I152-H152</f>
        <v>-77.1900000000001</v>
      </c>
      <c r="K152" s="9" t="n">
        <f aca="false">IF(H152=0,0,J152/H152)</f>
        <v>-0.0676541478592402</v>
      </c>
      <c r="L152" s="8" t="n">
        <f aca="false">IF(E152=0,0,H152/E152)</f>
        <v>190.158333333333</v>
      </c>
      <c r="M152" s="8" t="n">
        <f aca="false">IF(E152=0,0,I152/E152)</f>
        <v>177.293333333333</v>
      </c>
      <c r="N152" s="8" t="n">
        <f aca="false">IF(G152=0,0,H152/G152)</f>
        <v>4.2496647794994</v>
      </c>
      <c r="O152" s="8" t="n">
        <f aca="false">IF(G152=0,0,I152/G152)</f>
        <v>3.96215733015495</v>
      </c>
      <c r="P152" s="21" t="n">
        <f aca="false">IF(E152=0,0,COUNTIFS('Pedidos Top10'!$A$2:$A$1839,A152,'Pedidos Top10'!$C$2:$C$1839,C152,'Pedidos Top10'!$D$2:$D$1839,D152,'Pedidos Top10'!$AG$2:$AG$1839,"PASSARO")/E152)</f>
        <v>0.5</v>
      </c>
      <c r="Q152" s="18" t="str">
        <f aca="false">IF(K152&lt;=-0.05,"Passaro compete: "&amp;TEXT(-K152,"0%")&amp;" abaixo de "&amp;D152,IF(K152&lt;0.05,"Empate técnico com "&amp;D152,D152&amp;" é "&amp;TEXT(1-H152/I152,"0%")&amp;" mais barata que a Passaro"))</f>
        <v>Passaro compete: 7% abaixo de DOMINALOG</v>
      </c>
    </row>
    <row r="153" customFormat="false" ht="15" hidden="false" customHeight="false" outlineLevel="0" collapsed="false">
      <c r="A153" s="18" t="s">
        <v>23</v>
      </c>
      <c r="B153" s="18" t="n">
        <v>5</v>
      </c>
      <c r="C153" s="18" t="s">
        <v>204</v>
      </c>
      <c r="D153" s="18" t="s">
        <v>30</v>
      </c>
      <c r="E153" s="17" t="n">
        <f aca="false">COUNTIFS('Pedidos Top10'!$A$2:$A$1839,A153,'Pedidos Top10'!$C$2:$C$1839,C153,'Pedidos Top10'!$D$2:$D$1839,D153)</f>
        <v>5</v>
      </c>
      <c r="F153" s="21" t="n">
        <f aca="false">E153/COUNTIFS('Pedidos Top10'!$A$2:$A$1839,A153,'Pedidos Top10'!$C$2:$C$1839,C153)</f>
        <v>0.833333333333333</v>
      </c>
      <c r="G153" s="19" t="n">
        <f aca="false">SUMIFS('Pedidos Top10'!$J$2:$J$1839,'Pedidos Top10'!$A$2:$A$1839,A153,'Pedidos Top10'!$C$2:$C$1839,C153,'Pedidos Top10'!$D$2:$D$1839,D153)</f>
        <v>165.05</v>
      </c>
      <c r="H153" s="8" t="n">
        <f aca="false">SUMIFS('Pedidos Top10'!$L$2:$L$1839,'Pedidos Top10'!$A$2:$A$1839,A153,'Pedidos Top10'!$C$2:$C$1839,C153,'Pedidos Top10'!$D$2:$D$1839,D153)</f>
        <v>787.05</v>
      </c>
      <c r="I153" s="8" t="n">
        <f aca="false">SUMIFS('Pedidos Top10'!$AD$2:$AD$1839,'Pedidos Top10'!$A$2:$A$1839,A153,'Pedidos Top10'!$C$2:$C$1839,C153,'Pedidos Top10'!$D$2:$D$1839,D153)</f>
        <v>845.93</v>
      </c>
      <c r="J153" s="8" t="n">
        <f aca="false">I153-H153</f>
        <v>58.8800000000001</v>
      </c>
      <c r="K153" s="9" t="n">
        <f aca="false">IF(H153=0,0,J153/H153)</f>
        <v>0.0748110031128901</v>
      </c>
      <c r="L153" s="8" t="n">
        <f aca="false">IF(E153=0,0,H153/E153)</f>
        <v>157.41</v>
      </c>
      <c r="M153" s="8" t="n">
        <f aca="false">IF(E153=0,0,I153/E153)</f>
        <v>169.186</v>
      </c>
      <c r="N153" s="8" t="n">
        <f aca="false">IF(G153=0,0,H153/G153)</f>
        <v>4.76855498333838</v>
      </c>
      <c r="O153" s="8" t="n">
        <f aca="false">IF(G153=0,0,I153/G153)</f>
        <v>5.1252953650409</v>
      </c>
      <c r="P153" s="21" t="n">
        <f aca="false">IF(E153=0,0,COUNTIFS('Pedidos Top10'!$A$2:$A$1839,A153,'Pedidos Top10'!$C$2:$C$1839,C153,'Pedidos Top10'!$D$2:$D$1839,D153,'Pedidos Top10'!$AG$2:$AG$1839,"PASSARO")/E153)</f>
        <v>0.2</v>
      </c>
      <c r="Q153" s="18" t="str">
        <f aca="false">IF(K153&lt;=-0.05,"Passaro compete: "&amp;TEXT(-K153,"0%")&amp;" abaixo de "&amp;D153,IF(K153&lt;0.05,"Empate técnico com "&amp;D153,D153&amp;" é "&amp;TEXT(1-H153/I153,"0%")&amp;" mais barata que a Passaro"))</f>
        <v>DOMINALOG é 7% mais barata que a Passaro</v>
      </c>
    </row>
    <row r="154" customFormat="false" ht="15" hidden="false" customHeight="false" outlineLevel="0" collapsed="false">
      <c r="A154" s="18" t="s">
        <v>23</v>
      </c>
      <c r="B154" s="18" t="n">
        <v>5</v>
      </c>
      <c r="C154" s="18" t="s">
        <v>204</v>
      </c>
      <c r="D154" s="18" t="s">
        <v>31</v>
      </c>
      <c r="E154" s="17" t="n">
        <f aca="false">COUNTIFS('Pedidos Top10'!$A$2:$A$1839,A154,'Pedidos Top10'!$C$2:$C$1839,C154,'Pedidos Top10'!$D$2:$D$1839,D154)</f>
        <v>1</v>
      </c>
      <c r="F154" s="21" t="n">
        <f aca="false">E154/COUNTIFS('Pedidos Top10'!$A$2:$A$1839,A154,'Pedidos Top10'!$C$2:$C$1839,C154)</f>
        <v>0.166666666666667</v>
      </c>
      <c r="G154" s="19" t="n">
        <f aca="false">SUMIFS('Pedidos Top10'!$J$2:$J$1839,'Pedidos Top10'!$A$2:$A$1839,A154,'Pedidos Top10'!$C$2:$C$1839,C154,'Pedidos Top10'!$D$2:$D$1839,D154)</f>
        <v>17.8</v>
      </c>
      <c r="H154" s="8" t="n">
        <f aca="false">SUMIFS('Pedidos Top10'!$L$2:$L$1839,'Pedidos Top10'!$A$2:$A$1839,A154,'Pedidos Top10'!$C$2:$C$1839,C154,'Pedidos Top10'!$D$2:$D$1839,D154)</f>
        <v>70.4</v>
      </c>
      <c r="I154" s="8" t="n">
        <f aca="false">SUMIFS('Pedidos Top10'!$AD$2:$AD$1839,'Pedidos Top10'!$A$2:$A$1839,A154,'Pedidos Top10'!$C$2:$C$1839,C154,'Pedidos Top10'!$D$2:$D$1839,D154)</f>
        <v>156.8</v>
      </c>
      <c r="J154" s="8" t="n">
        <f aca="false">I154-H154</f>
        <v>86.4</v>
      </c>
      <c r="K154" s="9" t="n">
        <f aca="false">IF(H154=0,0,J154/H154)</f>
        <v>1.22727272727273</v>
      </c>
      <c r="L154" s="8" t="n">
        <f aca="false">IF(E154=0,0,H154/E154)</f>
        <v>70.4</v>
      </c>
      <c r="M154" s="8" t="n">
        <f aca="false">IF(E154=0,0,I154/E154)</f>
        <v>156.8</v>
      </c>
      <c r="N154" s="8" t="n">
        <f aca="false">IF(G154=0,0,H154/G154)</f>
        <v>3.95505617977528</v>
      </c>
      <c r="O154" s="8" t="n">
        <f aca="false">IF(G154=0,0,I154/G154)</f>
        <v>8.80898876404494</v>
      </c>
      <c r="P154" s="21" t="n">
        <f aca="false">IF(E154=0,0,COUNTIFS('Pedidos Top10'!$A$2:$A$1839,A154,'Pedidos Top10'!$C$2:$C$1839,C154,'Pedidos Top10'!$D$2:$D$1839,D154,'Pedidos Top10'!$AG$2:$AG$1839,"PASSARO")/E154)</f>
        <v>0</v>
      </c>
      <c r="Q154" s="18" t="str">
        <f aca="false">IF(K154&lt;=-0.05,"Passaro compete: "&amp;TEXT(-K154,"0%")&amp;" abaixo de "&amp;D154,IF(K154&lt;0.05,"Empate técnico com "&amp;D154,D154&amp;" é "&amp;TEXT(1-H154/I154,"0%")&amp;" mais barata que a Passaro"))</f>
        <v>JADLOG é 55% mais barata que a Passaro</v>
      </c>
    </row>
    <row r="155" customFormat="false" ht="15" hidden="false" customHeight="false" outlineLevel="0" collapsed="false">
      <c r="A155" s="18" t="s">
        <v>23</v>
      </c>
      <c r="B155" s="18" t="n">
        <v>6</v>
      </c>
      <c r="C155" s="18" t="s">
        <v>205</v>
      </c>
      <c r="D155" s="18" t="s">
        <v>30</v>
      </c>
      <c r="E155" s="17" t="n">
        <f aca="false">COUNTIFS('Pedidos Top10'!$A$2:$A$1839,A155,'Pedidos Top10'!$C$2:$C$1839,C155,'Pedidos Top10'!$D$2:$D$1839,D155)</f>
        <v>2</v>
      </c>
      <c r="F155" s="21" t="n">
        <f aca="false">E155/COUNTIFS('Pedidos Top10'!$A$2:$A$1839,A155,'Pedidos Top10'!$C$2:$C$1839,C155)</f>
        <v>0.5</v>
      </c>
      <c r="G155" s="19" t="n">
        <f aca="false">SUMIFS('Pedidos Top10'!$J$2:$J$1839,'Pedidos Top10'!$A$2:$A$1839,A155,'Pedidos Top10'!$C$2:$C$1839,C155,'Pedidos Top10'!$D$2:$D$1839,D155)</f>
        <v>82.99</v>
      </c>
      <c r="H155" s="8" t="n">
        <f aca="false">SUMIFS('Pedidos Top10'!$L$2:$L$1839,'Pedidos Top10'!$A$2:$A$1839,A155,'Pedidos Top10'!$C$2:$C$1839,C155,'Pedidos Top10'!$D$2:$D$1839,D155)</f>
        <v>299.33</v>
      </c>
      <c r="I155" s="8" t="n">
        <f aca="false">SUMIFS('Pedidos Top10'!$AD$2:$AD$1839,'Pedidos Top10'!$A$2:$A$1839,A155,'Pedidos Top10'!$C$2:$C$1839,C155,'Pedidos Top10'!$D$2:$D$1839,D155)</f>
        <v>247.48</v>
      </c>
      <c r="J155" s="8" t="n">
        <f aca="false">I155-H155</f>
        <v>-51.85</v>
      </c>
      <c r="K155" s="9" t="n">
        <f aca="false">IF(H155=0,0,J155/H155)</f>
        <v>-0.173220191761601</v>
      </c>
      <c r="L155" s="8" t="n">
        <f aca="false">IF(E155=0,0,H155/E155)</f>
        <v>149.665</v>
      </c>
      <c r="M155" s="8" t="n">
        <f aca="false">IF(E155=0,0,I155/E155)</f>
        <v>123.74</v>
      </c>
      <c r="N155" s="8" t="n">
        <f aca="false">IF(G155=0,0,H155/G155)</f>
        <v>3.60682009880709</v>
      </c>
      <c r="O155" s="8" t="n">
        <f aca="false">IF(G155=0,0,I155/G155)</f>
        <v>2.98204602964213</v>
      </c>
      <c r="P155" s="21" t="n">
        <f aca="false">IF(E155=0,0,COUNTIFS('Pedidos Top10'!$A$2:$A$1839,A155,'Pedidos Top10'!$C$2:$C$1839,C155,'Pedidos Top10'!$D$2:$D$1839,D155,'Pedidos Top10'!$AG$2:$AG$1839,"PASSARO")/E155)</f>
        <v>1</v>
      </c>
      <c r="Q155" s="18" t="str">
        <f aca="false">IF(K155&lt;=-0.05,"Passaro compete: "&amp;TEXT(-K155,"0%")&amp;" abaixo de "&amp;D155,IF(K155&lt;0.05,"Empate técnico com "&amp;D155,D155&amp;" é "&amp;TEXT(1-H155/I155,"0%")&amp;" mais barata que a Passaro"))</f>
        <v>Passaro compete: 17% abaixo de DOMINALOG</v>
      </c>
    </row>
    <row r="156" customFormat="false" ht="15" hidden="false" customHeight="false" outlineLevel="0" collapsed="false">
      <c r="A156" s="18" t="s">
        <v>23</v>
      </c>
      <c r="B156" s="18" t="n">
        <v>6</v>
      </c>
      <c r="C156" s="18" t="s">
        <v>205</v>
      </c>
      <c r="D156" s="18" t="s">
        <v>31</v>
      </c>
      <c r="E156" s="17" t="n">
        <f aca="false">COUNTIFS('Pedidos Top10'!$A$2:$A$1839,A156,'Pedidos Top10'!$C$2:$C$1839,C156,'Pedidos Top10'!$D$2:$D$1839,D156)</f>
        <v>2</v>
      </c>
      <c r="F156" s="21" t="n">
        <f aca="false">E156/COUNTIFS('Pedidos Top10'!$A$2:$A$1839,A156,'Pedidos Top10'!$C$2:$C$1839,C156)</f>
        <v>0.5</v>
      </c>
      <c r="G156" s="19" t="n">
        <f aca="false">SUMIFS('Pedidos Top10'!$J$2:$J$1839,'Pedidos Top10'!$A$2:$A$1839,A156,'Pedidos Top10'!$C$2:$C$1839,C156,'Pedidos Top10'!$D$2:$D$1839,D156)</f>
        <v>42.89</v>
      </c>
      <c r="H156" s="8" t="n">
        <f aca="false">SUMIFS('Pedidos Top10'!$L$2:$L$1839,'Pedidos Top10'!$A$2:$A$1839,A156,'Pedidos Top10'!$C$2:$C$1839,C156,'Pedidos Top10'!$D$2:$D$1839,D156)</f>
        <v>197.62</v>
      </c>
      <c r="I156" s="8" t="n">
        <f aca="false">SUMIFS('Pedidos Top10'!$AD$2:$AD$1839,'Pedidos Top10'!$A$2:$A$1839,A156,'Pedidos Top10'!$C$2:$C$1839,C156,'Pedidos Top10'!$D$2:$D$1839,D156)</f>
        <v>220.07</v>
      </c>
      <c r="J156" s="8" t="n">
        <f aca="false">I156-H156</f>
        <v>22.45</v>
      </c>
      <c r="K156" s="9" t="n">
        <f aca="false">IF(H156=0,0,J156/H156)</f>
        <v>0.1136018621597</v>
      </c>
      <c r="L156" s="8" t="n">
        <f aca="false">IF(E156=0,0,H156/E156)</f>
        <v>98.81</v>
      </c>
      <c r="M156" s="8" t="n">
        <f aca="false">IF(E156=0,0,I156/E156)</f>
        <v>110.035</v>
      </c>
      <c r="N156" s="8" t="n">
        <f aca="false">IF(G156=0,0,H156/G156)</f>
        <v>4.60760083935649</v>
      </c>
      <c r="O156" s="8" t="n">
        <f aca="false">IF(G156=0,0,I156/G156)</f>
        <v>5.13103287479599</v>
      </c>
      <c r="P156" s="21" t="n">
        <f aca="false">IF(E156=0,0,COUNTIFS('Pedidos Top10'!$A$2:$A$1839,A156,'Pedidos Top10'!$C$2:$C$1839,C156,'Pedidos Top10'!$D$2:$D$1839,D156,'Pedidos Top10'!$AG$2:$AG$1839,"PASSARO")/E156)</f>
        <v>0</v>
      </c>
      <c r="Q156" s="18" t="str">
        <f aca="false">IF(K156&lt;=-0.05,"Passaro compete: "&amp;TEXT(-K156,"0%")&amp;" abaixo de "&amp;D156,IF(K156&lt;0.05,"Empate técnico com "&amp;D156,D156&amp;" é "&amp;TEXT(1-H156/I156,"0%")&amp;" mais barata que a Passaro"))</f>
        <v>JADLOG é 10% mais barata que a Passaro</v>
      </c>
    </row>
    <row r="157" customFormat="false" ht="15" hidden="false" customHeight="false" outlineLevel="0" collapsed="false">
      <c r="A157" s="18" t="s">
        <v>23</v>
      </c>
      <c r="B157" s="18" t="n">
        <v>7</v>
      </c>
      <c r="C157" s="18" t="s">
        <v>207</v>
      </c>
      <c r="D157" s="18" t="s">
        <v>30</v>
      </c>
      <c r="E157" s="17" t="n">
        <f aca="false">COUNTIFS('Pedidos Top10'!$A$2:$A$1839,A157,'Pedidos Top10'!$C$2:$C$1839,C157,'Pedidos Top10'!$D$2:$D$1839,D157)</f>
        <v>3</v>
      </c>
      <c r="F157" s="21" t="n">
        <f aca="false">E157/COUNTIFS('Pedidos Top10'!$A$2:$A$1839,A157,'Pedidos Top10'!$C$2:$C$1839,C157)</f>
        <v>1</v>
      </c>
      <c r="G157" s="19" t="n">
        <f aca="false">SUMIFS('Pedidos Top10'!$J$2:$J$1839,'Pedidos Top10'!$A$2:$A$1839,A157,'Pedidos Top10'!$C$2:$C$1839,C157,'Pedidos Top10'!$D$2:$D$1839,D157)</f>
        <v>197.8</v>
      </c>
      <c r="H157" s="8" t="n">
        <f aca="false">SUMIFS('Pedidos Top10'!$L$2:$L$1839,'Pedidos Top10'!$A$2:$A$1839,A157,'Pedidos Top10'!$C$2:$C$1839,C157,'Pedidos Top10'!$D$2:$D$1839,D157)</f>
        <v>781.59</v>
      </c>
      <c r="I157" s="8" t="n">
        <f aca="false">SUMIFS('Pedidos Top10'!$AD$2:$AD$1839,'Pedidos Top10'!$A$2:$A$1839,A157,'Pedidos Top10'!$C$2:$C$1839,C157,'Pedidos Top10'!$D$2:$D$1839,D157)</f>
        <v>546.24</v>
      </c>
      <c r="J157" s="8" t="n">
        <f aca="false">I157-H157</f>
        <v>-235.35</v>
      </c>
      <c r="K157" s="9" t="n">
        <f aca="false">IF(H157=0,0,J157/H157)</f>
        <v>-0.301116953901662</v>
      </c>
      <c r="L157" s="8" t="n">
        <f aca="false">IF(E157=0,0,H157/E157)</f>
        <v>260.53</v>
      </c>
      <c r="M157" s="8" t="n">
        <f aca="false">IF(E157=0,0,I157/E157)</f>
        <v>182.08</v>
      </c>
      <c r="N157" s="8" t="n">
        <f aca="false">IF(G157=0,0,H157/G157)</f>
        <v>3.95141557128413</v>
      </c>
      <c r="O157" s="8" t="n">
        <f aca="false">IF(G157=0,0,I157/G157)</f>
        <v>2.76157735085945</v>
      </c>
      <c r="P157" s="21" t="n">
        <f aca="false">IF(E157=0,0,COUNTIFS('Pedidos Top10'!$A$2:$A$1839,A157,'Pedidos Top10'!$C$2:$C$1839,C157,'Pedidos Top10'!$D$2:$D$1839,D157,'Pedidos Top10'!$AG$2:$AG$1839,"PASSARO")/E157)</f>
        <v>1</v>
      </c>
      <c r="Q157" s="18" t="str">
        <f aca="false">IF(K157&lt;=-0.05,"Passaro compete: "&amp;TEXT(-K157,"0%")&amp;" abaixo de "&amp;D157,IF(K157&lt;0.05,"Empate técnico com "&amp;D157,D157&amp;" é "&amp;TEXT(1-H157/I157,"0%")&amp;" mais barata que a Passaro"))</f>
        <v>Passaro compete: 30% abaixo de DOMINALOG</v>
      </c>
    </row>
    <row r="158" customFormat="false" ht="15" hidden="false" customHeight="false" outlineLevel="0" collapsed="false">
      <c r="A158" s="18" t="s">
        <v>23</v>
      </c>
      <c r="B158" s="18" t="n">
        <v>8</v>
      </c>
      <c r="C158" s="18" t="s">
        <v>208</v>
      </c>
      <c r="D158" s="18" t="s">
        <v>30</v>
      </c>
      <c r="E158" s="17" t="n">
        <f aca="false">COUNTIFS('Pedidos Top10'!$A$2:$A$1839,A158,'Pedidos Top10'!$C$2:$C$1839,C158,'Pedidos Top10'!$D$2:$D$1839,D158)</f>
        <v>3</v>
      </c>
      <c r="F158" s="21" t="n">
        <f aca="false">E158/COUNTIFS('Pedidos Top10'!$A$2:$A$1839,A158,'Pedidos Top10'!$C$2:$C$1839,C158)</f>
        <v>1</v>
      </c>
      <c r="G158" s="19" t="n">
        <f aca="false">SUMIFS('Pedidos Top10'!$J$2:$J$1839,'Pedidos Top10'!$A$2:$A$1839,A158,'Pedidos Top10'!$C$2:$C$1839,C158,'Pedidos Top10'!$D$2:$D$1839,D158)</f>
        <v>209.6</v>
      </c>
      <c r="H158" s="8" t="n">
        <f aca="false">SUMIFS('Pedidos Top10'!$L$2:$L$1839,'Pedidos Top10'!$A$2:$A$1839,A158,'Pedidos Top10'!$C$2:$C$1839,C158,'Pedidos Top10'!$D$2:$D$1839,D158)</f>
        <v>703.56</v>
      </c>
      <c r="I158" s="8" t="n">
        <f aca="false">SUMIFS('Pedidos Top10'!$AD$2:$AD$1839,'Pedidos Top10'!$A$2:$A$1839,A158,'Pedidos Top10'!$C$2:$C$1839,C158,'Pedidos Top10'!$D$2:$D$1839,D158)</f>
        <v>619.2</v>
      </c>
      <c r="J158" s="8" t="n">
        <f aca="false">I158-H158</f>
        <v>-84.3599999999999</v>
      </c>
      <c r="K158" s="9" t="n">
        <f aca="false">IF(H158=0,0,J158/H158)</f>
        <v>-0.119904485758144</v>
      </c>
      <c r="L158" s="8" t="n">
        <f aca="false">IF(E158=0,0,H158/E158)</f>
        <v>234.52</v>
      </c>
      <c r="M158" s="8" t="n">
        <f aca="false">IF(E158=0,0,I158/E158)</f>
        <v>206.4</v>
      </c>
      <c r="N158" s="8" t="n">
        <f aca="false">IF(G158=0,0,H158/G158)</f>
        <v>3.35667938931298</v>
      </c>
      <c r="O158" s="8" t="n">
        <f aca="false">IF(G158=0,0,I158/G158)</f>
        <v>2.95419847328244</v>
      </c>
      <c r="P158" s="21" t="n">
        <f aca="false">IF(E158=0,0,COUNTIFS('Pedidos Top10'!$A$2:$A$1839,A158,'Pedidos Top10'!$C$2:$C$1839,C158,'Pedidos Top10'!$D$2:$D$1839,D158,'Pedidos Top10'!$AG$2:$AG$1839,"PASSARO")/E158)</f>
        <v>0.666666666666667</v>
      </c>
      <c r="Q158" s="18" t="str">
        <f aca="false">IF(K158&lt;=-0.05,"Passaro compete: "&amp;TEXT(-K158,"0%")&amp;" abaixo de "&amp;D158,IF(K158&lt;0.05,"Empate técnico com "&amp;D158,D158&amp;" é "&amp;TEXT(1-H158/I158,"0%")&amp;" mais barata que a Passaro"))</f>
        <v>Passaro compete: 12% abaixo de DOMINALOG</v>
      </c>
    </row>
    <row r="159" customFormat="false" ht="15" hidden="false" customHeight="false" outlineLevel="0" collapsed="false">
      <c r="A159" s="18" t="s">
        <v>23</v>
      </c>
      <c r="B159" s="18" t="n">
        <v>9</v>
      </c>
      <c r="C159" s="18" t="s">
        <v>209</v>
      </c>
      <c r="D159" s="18" t="s">
        <v>30</v>
      </c>
      <c r="E159" s="17" t="n">
        <f aca="false">COUNTIFS('Pedidos Top10'!$A$2:$A$1839,A159,'Pedidos Top10'!$C$2:$C$1839,C159,'Pedidos Top10'!$D$2:$D$1839,D159)</f>
        <v>3</v>
      </c>
      <c r="F159" s="21" t="n">
        <f aca="false">E159/COUNTIFS('Pedidos Top10'!$A$2:$A$1839,A159,'Pedidos Top10'!$C$2:$C$1839,C159)</f>
        <v>1</v>
      </c>
      <c r="G159" s="19" t="n">
        <f aca="false">SUMIFS('Pedidos Top10'!$J$2:$J$1839,'Pedidos Top10'!$A$2:$A$1839,A159,'Pedidos Top10'!$C$2:$C$1839,C159,'Pedidos Top10'!$D$2:$D$1839,D159)</f>
        <v>100.7</v>
      </c>
      <c r="H159" s="8" t="n">
        <f aca="false">SUMIFS('Pedidos Top10'!$L$2:$L$1839,'Pedidos Top10'!$A$2:$A$1839,A159,'Pedidos Top10'!$C$2:$C$1839,C159,'Pedidos Top10'!$D$2:$D$1839,D159)</f>
        <v>480.16</v>
      </c>
      <c r="I159" s="8" t="n">
        <f aca="false">SUMIFS('Pedidos Top10'!$AD$2:$AD$1839,'Pedidos Top10'!$A$2:$A$1839,A159,'Pedidos Top10'!$C$2:$C$1839,C159,'Pedidos Top10'!$D$2:$D$1839,D159)</f>
        <v>501.34</v>
      </c>
      <c r="J159" s="8" t="n">
        <f aca="false">I159-H159</f>
        <v>21.18</v>
      </c>
      <c r="K159" s="9" t="n">
        <f aca="false">IF(H159=0,0,J159/H159)</f>
        <v>0.0441102965678107</v>
      </c>
      <c r="L159" s="8" t="n">
        <f aca="false">IF(E159=0,0,H159/E159)</f>
        <v>160.053333333333</v>
      </c>
      <c r="M159" s="8" t="n">
        <f aca="false">IF(E159=0,0,I159/E159)</f>
        <v>167.113333333333</v>
      </c>
      <c r="N159" s="8" t="n">
        <f aca="false">IF(G159=0,0,H159/G159)</f>
        <v>4.7682224428997</v>
      </c>
      <c r="O159" s="8" t="n">
        <f aca="false">IF(G159=0,0,I159/G159)</f>
        <v>4.9785501489573</v>
      </c>
      <c r="P159" s="21" t="n">
        <f aca="false">IF(E159=0,0,COUNTIFS('Pedidos Top10'!$A$2:$A$1839,A159,'Pedidos Top10'!$C$2:$C$1839,C159,'Pedidos Top10'!$D$2:$D$1839,D159,'Pedidos Top10'!$AG$2:$AG$1839,"PASSARO")/E159)</f>
        <v>0.333333333333333</v>
      </c>
      <c r="Q159" s="18" t="str">
        <f aca="false">IF(K159&lt;=-0.05,"Passaro compete: "&amp;TEXT(-K159,"0%")&amp;" abaixo de "&amp;D159,IF(K159&lt;0.05,"Empate técnico com "&amp;D159,D159&amp;" é "&amp;TEXT(1-H159/I159,"0%")&amp;" mais barata que a Passaro"))</f>
        <v>Empate técnico com DOMINALOG</v>
      </c>
    </row>
    <row r="160" customFormat="false" ht="15" hidden="false" customHeight="false" outlineLevel="0" collapsed="false">
      <c r="A160" s="18" t="s">
        <v>23</v>
      </c>
      <c r="B160" s="18" t="n">
        <v>10</v>
      </c>
      <c r="C160" s="18" t="s">
        <v>210</v>
      </c>
      <c r="D160" s="18" t="s">
        <v>30</v>
      </c>
      <c r="E160" s="17" t="n">
        <f aca="false">COUNTIFS('Pedidos Top10'!$A$2:$A$1839,A160,'Pedidos Top10'!$C$2:$C$1839,C160,'Pedidos Top10'!$D$2:$D$1839,D160)</f>
        <v>2</v>
      </c>
      <c r="F160" s="21" t="n">
        <f aca="false">E160/COUNTIFS('Pedidos Top10'!$A$2:$A$1839,A160,'Pedidos Top10'!$C$2:$C$1839,C160)</f>
        <v>1</v>
      </c>
      <c r="G160" s="19" t="n">
        <f aca="false">SUMIFS('Pedidos Top10'!$J$2:$J$1839,'Pedidos Top10'!$A$2:$A$1839,A160,'Pedidos Top10'!$C$2:$C$1839,C160,'Pedidos Top10'!$D$2:$D$1839,D160)</f>
        <v>223.9</v>
      </c>
      <c r="H160" s="8" t="n">
        <f aca="false">SUMIFS('Pedidos Top10'!$L$2:$L$1839,'Pedidos Top10'!$A$2:$A$1839,A160,'Pedidos Top10'!$C$2:$C$1839,C160,'Pedidos Top10'!$D$2:$D$1839,D160)</f>
        <v>712.9</v>
      </c>
      <c r="I160" s="8" t="n">
        <f aca="false">SUMIFS('Pedidos Top10'!$AD$2:$AD$1839,'Pedidos Top10'!$A$2:$A$1839,A160,'Pedidos Top10'!$C$2:$C$1839,C160,'Pedidos Top10'!$D$2:$D$1839,D160)</f>
        <v>559.48</v>
      </c>
      <c r="J160" s="8" t="n">
        <f aca="false">I160-H160</f>
        <v>-153.42</v>
      </c>
      <c r="K160" s="9" t="n">
        <f aca="false">IF(H160=0,0,J160/H160)</f>
        <v>-0.215205498667415</v>
      </c>
      <c r="L160" s="8" t="n">
        <f aca="false">IF(E160=0,0,H160/E160)</f>
        <v>356.45</v>
      </c>
      <c r="M160" s="8" t="n">
        <f aca="false">IF(E160=0,0,I160/E160)</f>
        <v>279.74</v>
      </c>
      <c r="N160" s="8" t="n">
        <f aca="false">IF(G160=0,0,H160/G160)</f>
        <v>3.18401071907101</v>
      </c>
      <c r="O160" s="8" t="n">
        <f aca="false">IF(G160=0,0,I160/G160)</f>
        <v>2.49879410451094</v>
      </c>
      <c r="P160" s="21" t="n">
        <f aca="false">IF(E160=0,0,COUNTIFS('Pedidos Top10'!$A$2:$A$1839,A160,'Pedidos Top10'!$C$2:$C$1839,C160,'Pedidos Top10'!$D$2:$D$1839,D160,'Pedidos Top10'!$AG$2:$AG$1839,"PASSARO")/E160)</f>
        <v>1</v>
      </c>
      <c r="Q160" s="18" t="str">
        <f aca="false">IF(K160&lt;=-0.05,"Passaro compete: "&amp;TEXT(-K160,"0%")&amp;" abaixo de "&amp;D160,IF(K160&lt;0.05,"Empate técnico com "&amp;D160,D160&amp;" é "&amp;TEXT(1-H160/I160,"0%")&amp;" mais barata que a Passaro"))</f>
        <v>Passaro compete: 22% abaixo de DOMINALOG</v>
      </c>
    </row>
  </sheetData>
  <autoFilter ref="A1:Q160"/>
  <conditionalFormatting sqref="K2:K160">
    <cfRule type="cellIs" priority="2" operator="lessThan" aboveAverage="0" equalAverage="0" bottom="0" percent="0" rank="0" text="" dxfId="0">
      <formula>-0.05</formula>
    </cfRule>
    <cfRule type="cellIs" priority="3" operator="greaterThan" aboveAverage="0" equalAverage="0" bottom="0" percent="0" rank="0" text="" dxfId="1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8" min="3" style="0" width="20"/>
  </cols>
  <sheetData>
    <row r="1" customFormat="false" ht="16.15" hidden="false" customHeight="false" outlineLevel="0" collapsed="false">
      <c r="A1" s="1" t="s">
        <v>216</v>
      </c>
    </row>
    <row r="3" customFormat="false" ht="15" hidden="false" customHeight="false" outlineLevel="0" collapsed="false">
      <c r="A3" s="15" t="s">
        <v>217</v>
      </c>
    </row>
    <row r="4" customFormat="false" ht="15" hidden="false" customHeight="false" outlineLevel="0" collapsed="false">
      <c r="A4" s="15" t="s">
        <v>2</v>
      </c>
      <c r="B4" s="15" t="s">
        <v>218</v>
      </c>
    </row>
    <row r="5" customFormat="false" ht="15" hidden="false" customHeight="false" outlineLevel="0" collapsed="false">
      <c r="A5" s="22" t="s">
        <v>15</v>
      </c>
      <c r="B5" s="23" t="n">
        <v>0.07</v>
      </c>
      <c r="C5" s="24" t="s">
        <v>219</v>
      </c>
    </row>
    <row r="6" customFormat="false" ht="15" hidden="false" customHeight="false" outlineLevel="0" collapsed="false">
      <c r="A6" s="22" t="s">
        <v>16</v>
      </c>
      <c r="B6" s="23" t="n">
        <v>0.07</v>
      </c>
      <c r="C6" s="24" t="s">
        <v>220</v>
      </c>
    </row>
    <row r="7" customFormat="false" ht="15" hidden="false" customHeight="false" outlineLevel="0" collapsed="false">
      <c r="A7" s="22" t="s">
        <v>17</v>
      </c>
      <c r="B7" s="23" t="n">
        <v>0.07</v>
      </c>
    </row>
    <row r="8" customFormat="false" ht="15" hidden="false" customHeight="false" outlineLevel="0" collapsed="false">
      <c r="A8" s="22" t="s">
        <v>18</v>
      </c>
      <c r="B8" s="23" t="n">
        <v>0.07</v>
      </c>
    </row>
    <row r="9" customFormat="false" ht="15" hidden="false" customHeight="false" outlineLevel="0" collapsed="false">
      <c r="A9" s="22" t="s">
        <v>19</v>
      </c>
      <c r="B9" s="23" t="n">
        <v>0.07</v>
      </c>
    </row>
    <row r="10" customFormat="false" ht="15" hidden="false" customHeight="false" outlineLevel="0" collapsed="false">
      <c r="A10" s="22" t="s">
        <v>20</v>
      </c>
      <c r="B10" s="23" t="n">
        <v>0.07</v>
      </c>
    </row>
    <row r="11" customFormat="false" ht="15" hidden="false" customHeight="false" outlineLevel="0" collapsed="false">
      <c r="A11" s="22" t="s">
        <v>21</v>
      </c>
      <c r="B11" s="23" t="n">
        <v>0.07</v>
      </c>
    </row>
    <row r="12" customFormat="false" ht="15" hidden="false" customHeight="false" outlineLevel="0" collapsed="false">
      <c r="A12" s="22" t="s">
        <v>22</v>
      </c>
      <c r="B12" s="23" t="n">
        <v>0.07</v>
      </c>
    </row>
    <row r="13" customFormat="false" ht="15" hidden="false" customHeight="false" outlineLevel="0" collapsed="false">
      <c r="A13" s="22" t="s">
        <v>23</v>
      </c>
      <c r="B13" s="23" t="n">
        <v>0.07</v>
      </c>
    </row>
    <row r="15" customFormat="false" ht="15" hidden="false" customHeight="false" outlineLevel="0" collapsed="false">
      <c r="A15" s="15" t="s">
        <v>221</v>
      </c>
    </row>
    <row r="16" customFormat="false" ht="75" hidden="false" customHeight="true" outlineLevel="0" collapsed="false">
      <c r="A16" s="15" t="s">
        <v>222</v>
      </c>
      <c r="B16" s="25" t="s">
        <v>223</v>
      </c>
      <c r="C16" s="25"/>
      <c r="D16" s="25"/>
      <c r="E16" s="25"/>
      <c r="F16" s="25"/>
      <c r="G16" s="25"/>
      <c r="H16" s="25"/>
    </row>
    <row r="17" customFormat="false" ht="30" hidden="false" customHeight="true" outlineLevel="0" collapsed="false">
      <c r="A17" s="15" t="s">
        <v>224</v>
      </c>
      <c r="B17" s="25" t="s">
        <v>225</v>
      </c>
      <c r="C17" s="25"/>
      <c r="D17" s="25"/>
      <c r="E17" s="25"/>
      <c r="F17" s="25"/>
      <c r="G17" s="25"/>
      <c r="H17" s="25"/>
    </row>
    <row r="18" customFormat="false" ht="30" hidden="false" customHeight="true" outlineLevel="0" collapsed="false">
      <c r="A18" s="15" t="s">
        <v>226</v>
      </c>
      <c r="B18" s="25" t="s">
        <v>227</v>
      </c>
      <c r="C18" s="25"/>
      <c r="D18" s="25"/>
      <c r="E18" s="25"/>
      <c r="F18" s="25"/>
      <c r="G18" s="25"/>
      <c r="H18" s="25"/>
    </row>
    <row r="19" customFormat="false" ht="60" hidden="false" customHeight="true" outlineLevel="0" collapsed="false">
      <c r="A19" s="15" t="s">
        <v>228</v>
      </c>
      <c r="B19" s="25" t="s">
        <v>229</v>
      </c>
      <c r="C19" s="25"/>
      <c r="D19" s="25"/>
      <c r="E19" s="25"/>
      <c r="F19" s="25"/>
      <c r="G19" s="25"/>
      <c r="H19" s="25"/>
    </row>
    <row r="20" customFormat="false" ht="45" hidden="false" customHeight="true" outlineLevel="0" collapsed="false">
      <c r="A20" s="15" t="s">
        <v>230</v>
      </c>
      <c r="B20" s="25" t="s">
        <v>231</v>
      </c>
      <c r="C20" s="25"/>
      <c r="D20" s="25"/>
      <c r="E20" s="25"/>
      <c r="F20" s="25"/>
      <c r="G20" s="25"/>
      <c r="H20" s="25"/>
    </row>
    <row r="21" customFormat="false" ht="30" hidden="false" customHeight="true" outlineLevel="0" collapsed="false">
      <c r="A21" s="15" t="s">
        <v>232</v>
      </c>
      <c r="B21" s="25" t="s">
        <v>233</v>
      </c>
      <c r="C21" s="25"/>
      <c r="D21" s="25"/>
      <c r="E21" s="25"/>
      <c r="F21" s="25"/>
      <c r="G21" s="25"/>
      <c r="H21" s="25"/>
    </row>
    <row r="22" customFormat="false" ht="30" hidden="false" customHeight="true" outlineLevel="0" collapsed="false">
      <c r="A22" s="15" t="s">
        <v>234</v>
      </c>
      <c r="B22" s="25" t="s">
        <v>235</v>
      </c>
      <c r="C22" s="25"/>
      <c r="D22" s="25"/>
      <c r="E22" s="25"/>
      <c r="F22" s="25"/>
      <c r="G22" s="25"/>
      <c r="H22" s="25"/>
    </row>
    <row r="23" customFormat="false" ht="45" hidden="false" customHeight="true" outlineLevel="0" collapsed="false">
      <c r="A23" s="15" t="s">
        <v>236</v>
      </c>
      <c r="B23" s="25" t="s">
        <v>237</v>
      </c>
      <c r="C23" s="25"/>
      <c r="D23" s="25"/>
      <c r="E23" s="25"/>
      <c r="F23" s="25"/>
      <c r="G23" s="25"/>
      <c r="H23" s="25"/>
    </row>
    <row r="24" customFormat="false" ht="18" hidden="false" customHeight="true" outlineLevel="0" collapsed="false">
      <c r="A24" s="15" t="s">
        <v>238</v>
      </c>
      <c r="B24" s="25" t="s">
        <v>239</v>
      </c>
      <c r="C24" s="25"/>
      <c r="D24" s="25"/>
      <c r="E24" s="25"/>
      <c r="F24" s="25"/>
      <c r="G24" s="25"/>
      <c r="H24" s="25"/>
    </row>
    <row r="25" customFormat="false" ht="18" hidden="false" customHeight="true" outlineLevel="0" collapsed="false">
      <c r="A25" s="15" t="s">
        <v>240</v>
      </c>
      <c r="B25" s="25" t="s">
        <v>241</v>
      </c>
      <c r="C25" s="25"/>
      <c r="D25" s="25"/>
      <c r="E25" s="25"/>
      <c r="F25" s="25"/>
      <c r="G25" s="25"/>
      <c r="H25" s="25"/>
    </row>
    <row r="26" customFormat="false" ht="18" hidden="false" customHeight="true" outlineLevel="0" collapsed="false">
      <c r="A26" s="15" t="s">
        <v>242</v>
      </c>
      <c r="B26" s="25" t="s">
        <v>243</v>
      </c>
      <c r="C26" s="25"/>
      <c r="D26" s="25"/>
      <c r="E26" s="25"/>
      <c r="F26" s="25"/>
      <c r="G26" s="25"/>
      <c r="H26" s="25"/>
    </row>
    <row r="27" customFormat="false" ht="30" hidden="false" customHeight="true" outlineLevel="0" collapsed="false">
      <c r="A27" s="15" t="s">
        <v>244</v>
      </c>
      <c r="B27" s="25" t="s">
        <v>245</v>
      </c>
      <c r="C27" s="25"/>
      <c r="D27" s="25"/>
      <c r="E27" s="25"/>
      <c r="F27" s="25"/>
      <c r="G27" s="25"/>
      <c r="H27" s="25"/>
    </row>
    <row r="28" customFormat="false" ht="18" hidden="false" customHeight="true" outlineLevel="0" collapsed="false">
      <c r="A28" s="15" t="s">
        <v>246</v>
      </c>
      <c r="B28" s="25" t="s">
        <v>247</v>
      </c>
      <c r="C28" s="25"/>
      <c r="D28" s="25"/>
      <c r="E28" s="25"/>
      <c r="F28" s="25"/>
      <c r="G28" s="25"/>
      <c r="H28" s="25"/>
    </row>
    <row r="29" customFormat="false" ht="18" hidden="false" customHeight="true" outlineLevel="0" collapsed="false">
      <c r="A29" s="15" t="s">
        <v>248</v>
      </c>
      <c r="B29" s="25" t="s">
        <v>249</v>
      </c>
      <c r="C29" s="25"/>
      <c r="D29" s="25"/>
      <c r="E29" s="25"/>
      <c r="F29" s="25"/>
      <c r="G29" s="25"/>
      <c r="H29" s="25"/>
    </row>
    <row r="30" customFormat="false" ht="18" hidden="false" customHeight="true" outlineLevel="0" collapsed="false">
      <c r="A30" s="15" t="s">
        <v>250</v>
      </c>
      <c r="B30" s="25" t="s">
        <v>251</v>
      </c>
      <c r="C30" s="25"/>
      <c r="D30" s="25"/>
      <c r="E30" s="25"/>
      <c r="F30" s="25"/>
      <c r="G30" s="25"/>
      <c r="H30" s="25"/>
    </row>
    <row r="31" customFormat="false" ht="18" hidden="false" customHeight="true" outlineLevel="0" collapsed="false">
      <c r="A31" s="15" t="s">
        <v>252</v>
      </c>
      <c r="B31" s="25" t="s">
        <v>253</v>
      </c>
      <c r="C31" s="25"/>
      <c r="D31" s="25"/>
      <c r="E31" s="25"/>
      <c r="F31" s="25"/>
      <c r="G31" s="25"/>
      <c r="H31" s="25"/>
    </row>
    <row r="32" customFormat="false" ht="18" hidden="false" customHeight="true" outlineLevel="0" collapsed="false">
      <c r="A32" s="15" t="s">
        <v>254</v>
      </c>
      <c r="B32" s="25" t="s">
        <v>255</v>
      </c>
      <c r="C32" s="25"/>
      <c r="D32" s="25"/>
      <c r="E32" s="25"/>
      <c r="F32" s="25"/>
      <c r="G32" s="25"/>
      <c r="H32" s="25"/>
    </row>
    <row r="33" customFormat="false" ht="18" hidden="false" customHeight="true" outlineLevel="0" collapsed="false">
      <c r="A33" s="15" t="s">
        <v>256</v>
      </c>
      <c r="B33" s="25" t="s">
        <v>257</v>
      </c>
      <c r="C33" s="25"/>
      <c r="D33" s="25"/>
      <c r="E33" s="25"/>
      <c r="F33" s="25"/>
      <c r="G33" s="25"/>
      <c r="H33" s="25"/>
    </row>
    <row r="34" customFormat="false" ht="18" hidden="false" customHeight="true" outlineLevel="0" collapsed="false">
      <c r="A34" s="15" t="s">
        <v>258</v>
      </c>
      <c r="B34" s="25" t="s">
        <v>259</v>
      </c>
      <c r="C34" s="25"/>
      <c r="D34" s="25"/>
      <c r="E34" s="25"/>
      <c r="F34" s="25"/>
      <c r="G34" s="25"/>
      <c r="H34" s="25"/>
    </row>
  </sheetData>
  <mergeCells count="19"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7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8"/>
    <col collapsed="false" customWidth="true" hidden="false" outlineLevel="0" max="23" min="7" style="0" width="10"/>
    <col collapsed="false" customWidth="true" hidden="false" outlineLevel="0" max="24" min="24" style="0" width="18"/>
  </cols>
  <sheetData>
    <row r="1" customFormat="false" ht="42" hidden="false" customHeight="true" outlineLevel="0" collapsed="false">
      <c r="A1" s="3" t="s">
        <v>260</v>
      </c>
      <c r="B1" s="3" t="s">
        <v>2</v>
      </c>
      <c r="C1" s="3" t="s">
        <v>261</v>
      </c>
      <c r="D1" s="3" t="s">
        <v>262</v>
      </c>
      <c r="E1" s="3" t="s">
        <v>263</v>
      </c>
      <c r="F1" s="3" t="s">
        <v>264</v>
      </c>
      <c r="G1" s="3" t="s">
        <v>265</v>
      </c>
      <c r="H1" s="3" t="s">
        <v>266</v>
      </c>
      <c r="I1" s="3" t="s">
        <v>267</v>
      </c>
      <c r="J1" s="3" t="s">
        <v>268</v>
      </c>
      <c r="K1" s="3" t="s">
        <v>269</v>
      </c>
      <c r="L1" s="3" t="s">
        <v>270</v>
      </c>
      <c r="M1" s="3" t="s">
        <v>271</v>
      </c>
      <c r="N1" s="3" t="s">
        <v>272</v>
      </c>
      <c r="O1" s="3" t="s">
        <v>273</v>
      </c>
      <c r="P1" s="3" t="s">
        <v>274</v>
      </c>
      <c r="Q1" s="3" t="s">
        <v>275</v>
      </c>
      <c r="R1" s="3" t="s">
        <v>276</v>
      </c>
      <c r="S1" s="3" t="s">
        <v>277</v>
      </c>
      <c r="T1" s="3" t="s">
        <v>278</v>
      </c>
      <c r="U1" s="3" t="s">
        <v>279</v>
      </c>
      <c r="V1" s="3" t="s">
        <v>280</v>
      </c>
      <c r="W1" s="3" t="s">
        <v>281</v>
      </c>
      <c r="X1" s="3" t="s">
        <v>282</v>
      </c>
    </row>
    <row r="2" customFormat="false" ht="15" hidden="false" customHeight="false" outlineLevel="0" collapsed="false">
      <c r="A2" s="22" t="s">
        <v>283</v>
      </c>
      <c r="B2" s="22" t="s">
        <v>15</v>
      </c>
      <c r="C2" s="22" t="s">
        <v>59</v>
      </c>
      <c r="D2" s="22" t="s">
        <v>284</v>
      </c>
      <c r="E2" s="22" t="s">
        <v>285</v>
      </c>
      <c r="F2" s="22" t="n">
        <v>8</v>
      </c>
      <c r="G2" s="26" t="n">
        <v>55.92</v>
      </c>
      <c r="H2" s="26" t="n">
        <v>66.94</v>
      </c>
      <c r="I2" s="26" t="n">
        <v>77.96</v>
      </c>
      <c r="J2" s="26" t="n">
        <v>88.98</v>
      </c>
      <c r="K2" s="26" t="n">
        <v>105.51</v>
      </c>
      <c r="L2" s="26" t="n">
        <v>1.5</v>
      </c>
      <c r="M2" s="27" t="n">
        <v>0.005</v>
      </c>
      <c r="N2" s="27" t="n">
        <v>0.002</v>
      </c>
      <c r="O2" s="26" t="n">
        <v>5</v>
      </c>
      <c r="P2" s="26" t="n">
        <v>5</v>
      </c>
      <c r="Q2" s="28" t="n">
        <v>100</v>
      </c>
      <c r="R2" s="26" t="n">
        <v>30</v>
      </c>
      <c r="S2" s="26" t="n">
        <v>0</v>
      </c>
      <c r="T2" s="28" t="n">
        <v>1</v>
      </c>
      <c r="U2" s="26" t="n">
        <v>0</v>
      </c>
      <c r="V2" s="26" t="n">
        <v>0</v>
      </c>
      <c r="W2" s="22" t="s">
        <v>15</v>
      </c>
      <c r="X2" s="22" t="s">
        <v>286</v>
      </c>
    </row>
    <row r="3" customFormat="false" ht="15" hidden="false" customHeight="false" outlineLevel="0" collapsed="false">
      <c r="A3" s="22" t="s">
        <v>287</v>
      </c>
      <c r="B3" s="22" t="s">
        <v>15</v>
      </c>
      <c r="C3" s="22" t="s">
        <v>65</v>
      </c>
      <c r="D3" s="22" t="s">
        <v>288</v>
      </c>
      <c r="E3" s="22" t="s">
        <v>289</v>
      </c>
      <c r="F3" s="22" t="n">
        <v>8</v>
      </c>
      <c r="G3" s="26" t="n">
        <v>55.92</v>
      </c>
      <c r="H3" s="26" t="n">
        <v>66.94</v>
      </c>
      <c r="I3" s="26" t="n">
        <v>77.96</v>
      </c>
      <c r="J3" s="26" t="n">
        <v>88.98</v>
      </c>
      <c r="K3" s="26" t="n">
        <v>105.51</v>
      </c>
      <c r="L3" s="26" t="n">
        <v>1.5</v>
      </c>
      <c r="M3" s="27" t="n">
        <v>0.005</v>
      </c>
      <c r="N3" s="27" t="n">
        <v>0.002</v>
      </c>
      <c r="O3" s="26" t="n">
        <v>5</v>
      </c>
      <c r="P3" s="26" t="n">
        <v>5</v>
      </c>
      <c r="Q3" s="28" t="n">
        <v>100</v>
      </c>
      <c r="R3" s="26" t="n">
        <v>30</v>
      </c>
      <c r="S3" s="26" t="n">
        <v>0</v>
      </c>
      <c r="T3" s="28" t="n">
        <v>1</v>
      </c>
      <c r="U3" s="26" t="n">
        <v>0</v>
      </c>
      <c r="V3" s="26" t="n">
        <v>0</v>
      </c>
      <c r="W3" s="22" t="s">
        <v>15</v>
      </c>
      <c r="X3" s="22" t="s">
        <v>286</v>
      </c>
    </row>
    <row r="4" customFormat="false" ht="15" hidden="false" customHeight="false" outlineLevel="0" collapsed="false">
      <c r="A4" s="22" t="s">
        <v>290</v>
      </c>
      <c r="B4" s="22" t="s">
        <v>15</v>
      </c>
      <c r="C4" s="22" t="s">
        <v>61</v>
      </c>
      <c r="D4" s="22" t="s">
        <v>291</v>
      </c>
      <c r="E4" s="22" t="s">
        <v>292</v>
      </c>
      <c r="F4" s="22" t="n">
        <v>10</v>
      </c>
      <c r="G4" s="26" t="n">
        <v>76.24</v>
      </c>
      <c r="H4" s="26" t="n">
        <v>87.26</v>
      </c>
      <c r="I4" s="26" t="n">
        <v>109.29</v>
      </c>
      <c r="J4" s="26" t="n">
        <v>120.31</v>
      </c>
      <c r="K4" s="26" t="n">
        <v>136.84</v>
      </c>
      <c r="L4" s="26" t="n">
        <v>1.59</v>
      </c>
      <c r="M4" s="27" t="n">
        <v>0.005</v>
      </c>
      <c r="N4" s="27" t="n">
        <v>0.002</v>
      </c>
      <c r="O4" s="26" t="n">
        <v>5</v>
      </c>
      <c r="P4" s="26" t="n">
        <v>5</v>
      </c>
      <c r="Q4" s="28" t="n">
        <v>100</v>
      </c>
      <c r="R4" s="26" t="n">
        <v>30</v>
      </c>
      <c r="S4" s="26" t="n">
        <v>0</v>
      </c>
      <c r="T4" s="28" t="n">
        <v>1</v>
      </c>
      <c r="U4" s="26" t="n">
        <v>0</v>
      </c>
      <c r="V4" s="26" t="n">
        <v>0</v>
      </c>
      <c r="W4" s="22" t="s">
        <v>15</v>
      </c>
      <c r="X4" s="22" t="s">
        <v>293</v>
      </c>
    </row>
    <row r="5" customFormat="false" ht="15" hidden="false" customHeight="false" outlineLevel="0" collapsed="false">
      <c r="A5" s="22" t="s">
        <v>294</v>
      </c>
      <c r="B5" s="22" t="s">
        <v>15</v>
      </c>
      <c r="C5" s="22" t="s">
        <v>295</v>
      </c>
      <c r="D5" s="22" t="s">
        <v>296</v>
      </c>
      <c r="E5" s="22" t="s">
        <v>297</v>
      </c>
      <c r="F5" s="22" t="n">
        <v>10</v>
      </c>
      <c r="G5" s="26" t="n">
        <v>76.24</v>
      </c>
      <c r="H5" s="26" t="n">
        <v>87.26</v>
      </c>
      <c r="I5" s="26" t="n">
        <v>109.29</v>
      </c>
      <c r="J5" s="26" t="n">
        <v>120.31</v>
      </c>
      <c r="K5" s="26" t="n">
        <v>136.84</v>
      </c>
      <c r="L5" s="26" t="n">
        <v>1.59</v>
      </c>
      <c r="M5" s="27" t="n">
        <v>0.005</v>
      </c>
      <c r="N5" s="27" t="n">
        <v>0.002</v>
      </c>
      <c r="O5" s="26" t="n">
        <v>5</v>
      </c>
      <c r="P5" s="26" t="n">
        <v>5</v>
      </c>
      <c r="Q5" s="28" t="n">
        <v>100</v>
      </c>
      <c r="R5" s="26" t="n">
        <v>30</v>
      </c>
      <c r="S5" s="26" t="n">
        <v>0</v>
      </c>
      <c r="T5" s="28" t="n">
        <v>1</v>
      </c>
      <c r="U5" s="26" t="n">
        <v>0</v>
      </c>
      <c r="V5" s="26" t="n">
        <v>0</v>
      </c>
      <c r="W5" s="22" t="s">
        <v>15</v>
      </c>
      <c r="X5" s="22" t="s">
        <v>293</v>
      </c>
    </row>
    <row r="6" customFormat="false" ht="15" hidden="false" customHeight="false" outlineLevel="0" collapsed="false">
      <c r="A6" s="22" t="s">
        <v>298</v>
      </c>
      <c r="B6" s="22" t="s">
        <v>15</v>
      </c>
      <c r="C6" s="22" t="s">
        <v>299</v>
      </c>
      <c r="D6" s="22" t="s">
        <v>300</v>
      </c>
      <c r="E6" s="22" t="s">
        <v>301</v>
      </c>
      <c r="F6" s="22" t="n">
        <v>10</v>
      </c>
      <c r="G6" s="26" t="n">
        <v>76.24</v>
      </c>
      <c r="H6" s="26" t="n">
        <v>87.26</v>
      </c>
      <c r="I6" s="26" t="n">
        <v>109.29</v>
      </c>
      <c r="J6" s="26" t="n">
        <v>120.31</v>
      </c>
      <c r="K6" s="26" t="n">
        <v>136.84</v>
      </c>
      <c r="L6" s="26" t="n">
        <v>1.59</v>
      </c>
      <c r="M6" s="27" t="n">
        <v>0.005</v>
      </c>
      <c r="N6" s="27" t="n">
        <v>0.002</v>
      </c>
      <c r="O6" s="26" t="n">
        <v>5</v>
      </c>
      <c r="P6" s="26" t="n">
        <v>5</v>
      </c>
      <c r="Q6" s="28" t="n">
        <v>100</v>
      </c>
      <c r="R6" s="26" t="n">
        <v>30</v>
      </c>
      <c r="S6" s="26" t="n">
        <v>0</v>
      </c>
      <c r="T6" s="28" t="n">
        <v>1</v>
      </c>
      <c r="U6" s="26" t="n">
        <v>0</v>
      </c>
      <c r="V6" s="26" t="n">
        <v>0</v>
      </c>
      <c r="W6" s="22" t="s">
        <v>15</v>
      </c>
      <c r="X6" s="22" t="s">
        <v>293</v>
      </c>
    </row>
    <row r="7" customFormat="false" ht="15" hidden="false" customHeight="false" outlineLevel="0" collapsed="false">
      <c r="A7" s="22" t="s">
        <v>302</v>
      </c>
      <c r="B7" s="22" t="s">
        <v>15</v>
      </c>
      <c r="C7" s="22" t="s">
        <v>303</v>
      </c>
      <c r="D7" s="22" t="s">
        <v>304</v>
      </c>
      <c r="E7" s="22" t="s">
        <v>305</v>
      </c>
      <c r="F7" s="22" t="n">
        <v>10</v>
      </c>
      <c r="G7" s="26" t="n">
        <v>76.24</v>
      </c>
      <c r="H7" s="26" t="n">
        <v>87.26</v>
      </c>
      <c r="I7" s="26" t="n">
        <v>109.29</v>
      </c>
      <c r="J7" s="26" t="n">
        <v>120.31</v>
      </c>
      <c r="K7" s="26" t="n">
        <v>136.84</v>
      </c>
      <c r="L7" s="26" t="n">
        <v>1.59</v>
      </c>
      <c r="M7" s="27" t="n">
        <v>0.005</v>
      </c>
      <c r="N7" s="27" t="n">
        <v>0.002</v>
      </c>
      <c r="O7" s="26" t="n">
        <v>5</v>
      </c>
      <c r="P7" s="26" t="n">
        <v>5</v>
      </c>
      <c r="Q7" s="28" t="n">
        <v>100</v>
      </c>
      <c r="R7" s="26" t="n">
        <v>30</v>
      </c>
      <c r="S7" s="26" t="n">
        <v>0</v>
      </c>
      <c r="T7" s="28" t="n">
        <v>1</v>
      </c>
      <c r="U7" s="26" t="n">
        <v>0</v>
      </c>
      <c r="V7" s="26" t="n">
        <v>0</v>
      </c>
      <c r="W7" s="22" t="s">
        <v>15</v>
      </c>
      <c r="X7" s="22" t="s">
        <v>293</v>
      </c>
    </row>
    <row r="8" customFormat="false" ht="15" hidden="false" customHeight="false" outlineLevel="0" collapsed="false">
      <c r="A8" s="22" t="s">
        <v>306</v>
      </c>
      <c r="B8" s="22" t="s">
        <v>15</v>
      </c>
      <c r="C8" s="22" t="s">
        <v>307</v>
      </c>
      <c r="D8" s="22" t="s">
        <v>308</v>
      </c>
      <c r="E8" s="22" t="s">
        <v>309</v>
      </c>
      <c r="F8" s="22" t="n">
        <v>10</v>
      </c>
      <c r="G8" s="26" t="n">
        <v>76.24</v>
      </c>
      <c r="H8" s="26" t="n">
        <v>87.26</v>
      </c>
      <c r="I8" s="26" t="n">
        <v>109.29</v>
      </c>
      <c r="J8" s="26" t="n">
        <v>120.31</v>
      </c>
      <c r="K8" s="26" t="n">
        <v>136.84</v>
      </c>
      <c r="L8" s="26" t="n">
        <v>1.59</v>
      </c>
      <c r="M8" s="27" t="n">
        <v>0.005</v>
      </c>
      <c r="N8" s="27" t="n">
        <v>0.002</v>
      </c>
      <c r="O8" s="26" t="n">
        <v>5</v>
      </c>
      <c r="P8" s="26" t="n">
        <v>5</v>
      </c>
      <c r="Q8" s="28" t="n">
        <v>100</v>
      </c>
      <c r="R8" s="26" t="n">
        <v>30</v>
      </c>
      <c r="S8" s="26" t="n">
        <v>0</v>
      </c>
      <c r="T8" s="28" t="n">
        <v>1</v>
      </c>
      <c r="U8" s="26" t="n">
        <v>0</v>
      </c>
      <c r="V8" s="26" t="n">
        <v>0</v>
      </c>
      <c r="W8" s="22" t="s">
        <v>15</v>
      </c>
      <c r="X8" s="22" t="s">
        <v>293</v>
      </c>
    </row>
    <row r="9" customFormat="false" ht="15" hidden="false" customHeight="false" outlineLevel="0" collapsed="false">
      <c r="A9" s="22" t="s">
        <v>310</v>
      </c>
      <c r="B9" s="22" t="s">
        <v>15</v>
      </c>
      <c r="C9" s="22" t="s">
        <v>311</v>
      </c>
      <c r="D9" s="22" t="s">
        <v>312</v>
      </c>
      <c r="E9" s="22" t="s">
        <v>313</v>
      </c>
      <c r="F9" s="22" t="n">
        <v>10</v>
      </c>
      <c r="G9" s="26" t="n">
        <v>76.24</v>
      </c>
      <c r="H9" s="26" t="n">
        <v>87.26</v>
      </c>
      <c r="I9" s="26" t="n">
        <v>109.29</v>
      </c>
      <c r="J9" s="26" t="n">
        <v>120.31</v>
      </c>
      <c r="K9" s="26" t="n">
        <v>136.84</v>
      </c>
      <c r="L9" s="26" t="n">
        <v>1.59</v>
      </c>
      <c r="M9" s="27" t="n">
        <v>0.005</v>
      </c>
      <c r="N9" s="27" t="n">
        <v>0.002</v>
      </c>
      <c r="O9" s="26" t="n">
        <v>5</v>
      </c>
      <c r="P9" s="26" t="n">
        <v>5</v>
      </c>
      <c r="Q9" s="28" t="n">
        <v>100</v>
      </c>
      <c r="R9" s="26" t="n">
        <v>30</v>
      </c>
      <c r="S9" s="26" t="n">
        <v>0</v>
      </c>
      <c r="T9" s="28" t="n">
        <v>1</v>
      </c>
      <c r="U9" s="26" t="n">
        <v>0</v>
      </c>
      <c r="V9" s="26" t="n">
        <v>0</v>
      </c>
      <c r="W9" s="22" t="s">
        <v>15</v>
      </c>
      <c r="X9" s="22" t="s">
        <v>293</v>
      </c>
    </row>
    <row r="10" customFormat="false" ht="15" hidden="false" customHeight="false" outlineLevel="0" collapsed="false">
      <c r="A10" s="22" t="s">
        <v>314</v>
      </c>
      <c r="B10" s="29" t="s">
        <v>15</v>
      </c>
      <c r="C10" s="29" t="s">
        <v>315</v>
      </c>
      <c r="D10" s="22" t="s">
        <v>316</v>
      </c>
      <c r="E10" s="22" t="s">
        <v>317</v>
      </c>
      <c r="F10" s="22" t="n">
        <v>10</v>
      </c>
      <c r="G10" s="26" t="n">
        <v>75.1</v>
      </c>
      <c r="H10" s="26" t="n">
        <v>86.62</v>
      </c>
      <c r="I10" s="26" t="n">
        <v>98.13</v>
      </c>
      <c r="J10" s="26" t="n">
        <v>109.65</v>
      </c>
      <c r="K10" s="26" t="n">
        <v>126.93</v>
      </c>
      <c r="L10" s="26" t="n">
        <v>1.93</v>
      </c>
      <c r="M10" s="27" t="n">
        <v>0.005</v>
      </c>
      <c r="N10" s="27" t="n">
        <v>0.002</v>
      </c>
      <c r="O10" s="26" t="n">
        <v>5</v>
      </c>
      <c r="P10" s="26" t="n">
        <v>5</v>
      </c>
      <c r="Q10" s="28" t="n">
        <v>100</v>
      </c>
      <c r="R10" s="26" t="n">
        <v>30</v>
      </c>
      <c r="S10" s="26" t="n">
        <v>0</v>
      </c>
      <c r="T10" s="28" t="n">
        <v>1</v>
      </c>
      <c r="U10" s="26" t="n">
        <v>0</v>
      </c>
      <c r="V10" s="26" t="n">
        <v>0</v>
      </c>
      <c r="W10" s="29" t="s">
        <v>23</v>
      </c>
      <c r="X10" s="22" t="s">
        <v>293</v>
      </c>
    </row>
    <row r="11" customFormat="false" ht="15" hidden="false" customHeight="false" outlineLevel="0" collapsed="false">
      <c r="A11" s="22" t="s">
        <v>318</v>
      </c>
      <c r="B11" s="22" t="s">
        <v>15</v>
      </c>
      <c r="C11" s="22" t="s">
        <v>319</v>
      </c>
      <c r="D11" s="22" t="s">
        <v>320</v>
      </c>
      <c r="E11" s="22" t="s">
        <v>321</v>
      </c>
      <c r="F11" s="22" t="n">
        <v>10</v>
      </c>
      <c r="G11" s="26" t="n">
        <v>76.24</v>
      </c>
      <c r="H11" s="26" t="n">
        <v>87.26</v>
      </c>
      <c r="I11" s="26" t="n">
        <v>109.29</v>
      </c>
      <c r="J11" s="26" t="n">
        <v>120.31</v>
      </c>
      <c r="K11" s="26" t="n">
        <v>136.84</v>
      </c>
      <c r="L11" s="26" t="n">
        <v>1.59</v>
      </c>
      <c r="M11" s="27" t="n">
        <v>0.005</v>
      </c>
      <c r="N11" s="27" t="n">
        <v>0.002</v>
      </c>
      <c r="O11" s="26" t="n">
        <v>5</v>
      </c>
      <c r="P11" s="26" t="n">
        <v>5</v>
      </c>
      <c r="Q11" s="28" t="n">
        <v>100</v>
      </c>
      <c r="R11" s="26" t="n">
        <v>30</v>
      </c>
      <c r="S11" s="26" t="n">
        <v>0</v>
      </c>
      <c r="T11" s="28" t="n">
        <v>1</v>
      </c>
      <c r="U11" s="26" t="n">
        <v>0</v>
      </c>
      <c r="V11" s="26" t="n">
        <v>0</v>
      </c>
      <c r="W11" s="22" t="s">
        <v>15</v>
      </c>
      <c r="X11" s="22" t="s">
        <v>293</v>
      </c>
    </row>
    <row r="12" customFormat="false" ht="15" hidden="false" customHeight="false" outlineLevel="0" collapsed="false">
      <c r="A12" s="22" t="s">
        <v>322</v>
      </c>
      <c r="B12" s="22" t="s">
        <v>15</v>
      </c>
      <c r="C12" s="22" t="s">
        <v>63</v>
      </c>
      <c r="D12" s="22" t="s">
        <v>323</v>
      </c>
      <c r="E12" s="22" t="s">
        <v>324</v>
      </c>
      <c r="F12" s="22" t="n">
        <v>10</v>
      </c>
      <c r="G12" s="26" t="n">
        <v>76.24</v>
      </c>
      <c r="H12" s="26" t="n">
        <v>87.26</v>
      </c>
      <c r="I12" s="26" t="n">
        <v>109.29</v>
      </c>
      <c r="J12" s="26" t="n">
        <v>120.31</v>
      </c>
      <c r="K12" s="26" t="n">
        <v>136.84</v>
      </c>
      <c r="L12" s="26" t="n">
        <v>1.59</v>
      </c>
      <c r="M12" s="27" t="n">
        <v>0.005</v>
      </c>
      <c r="N12" s="27" t="n">
        <v>0.002</v>
      </c>
      <c r="O12" s="26" t="n">
        <v>5</v>
      </c>
      <c r="P12" s="26" t="n">
        <v>5</v>
      </c>
      <c r="Q12" s="28" t="n">
        <v>100</v>
      </c>
      <c r="R12" s="26" t="n">
        <v>30</v>
      </c>
      <c r="S12" s="26" t="n">
        <v>0</v>
      </c>
      <c r="T12" s="28" t="n">
        <v>1</v>
      </c>
      <c r="U12" s="26" t="n">
        <v>0</v>
      </c>
      <c r="V12" s="26" t="n">
        <v>0</v>
      </c>
      <c r="W12" s="22" t="s">
        <v>15</v>
      </c>
      <c r="X12" s="22" t="s">
        <v>293</v>
      </c>
    </row>
    <row r="13" customFormat="false" ht="15" hidden="false" customHeight="false" outlineLevel="0" collapsed="false">
      <c r="A13" s="22" t="s">
        <v>325</v>
      </c>
      <c r="B13" s="22" t="s">
        <v>15</v>
      </c>
      <c r="C13" s="22" t="s">
        <v>326</v>
      </c>
      <c r="D13" s="22" t="s">
        <v>327</v>
      </c>
      <c r="E13" s="22" t="s">
        <v>328</v>
      </c>
      <c r="F13" s="22" t="n">
        <v>10</v>
      </c>
      <c r="G13" s="26" t="n">
        <v>76.24</v>
      </c>
      <c r="H13" s="26" t="n">
        <v>87.26</v>
      </c>
      <c r="I13" s="26" t="n">
        <v>109.29</v>
      </c>
      <c r="J13" s="26" t="n">
        <v>120.31</v>
      </c>
      <c r="K13" s="26" t="n">
        <v>136.84</v>
      </c>
      <c r="L13" s="26" t="n">
        <v>1.59</v>
      </c>
      <c r="M13" s="27" t="n">
        <v>0.005</v>
      </c>
      <c r="N13" s="27" t="n">
        <v>0.002</v>
      </c>
      <c r="O13" s="26" t="n">
        <v>5</v>
      </c>
      <c r="P13" s="26" t="n">
        <v>5</v>
      </c>
      <c r="Q13" s="28" t="n">
        <v>100</v>
      </c>
      <c r="R13" s="26" t="n">
        <v>30</v>
      </c>
      <c r="S13" s="26" t="n">
        <v>0</v>
      </c>
      <c r="T13" s="28" t="n">
        <v>1</v>
      </c>
      <c r="U13" s="26" t="n">
        <v>0</v>
      </c>
      <c r="V13" s="26" t="n">
        <v>0</v>
      </c>
      <c r="W13" s="22" t="s">
        <v>15</v>
      </c>
      <c r="X13" s="22" t="s">
        <v>293</v>
      </c>
    </row>
    <row r="14" customFormat="false" ht="15" hidden="false" customHeight="false" outlineLevel="0" collapsed="false">
      <c r="A14" s="22" t="s">
        <v>329</v>
      </c>
      <c r="B14" s="22" t="s">
        <v>15</v>
      </c>
      <c r="C14" s="22" t="s">
        <v>330</v>
      </c>
      <c r="D14" s="22" t="s">
        <v>331</v>
      </c>
      <c r="E14" s="22" t="s">
        <v>332</v>
      </c>
      <c r="F14" s="22" t="n">
        <v>10</v>
      </c>
      <c r="G14" s="26" t="n">
        <v>76.24</v>
      </c>
      <c r="H14" s="26" t="n">
        <v>87.26</v>
      </c>
      <c r="I14" s="26" t="n">
        <v>109.29</v>
      </c>
      <c r="J14" s="26" t="n">
        <v>120.31</v>
      </c>
      <c r="K14" s="26" t="n">
        <v>136.84</v>
      </c>
      <c r="L14" s="26" t="n">
        <v>1.59</v>
      </c>
      <c r="M14" s="27" t="n">
        <v>0.005</v>
      </c>
      <c r="N14" s="27" t="n">
        <v>0.002</v>
      </c>
      <c r="O14" s="26" t="n">
        <v>5</v>
      </c>
      <c r="P14" s="26" t="n">
        <v>5</v>
      </c>
      <c r="Q14" s="28" t="n">
        <v>100</v>
      </c>
      <c r="R14" s="26" t="n">
        <v>30</v>
      </c>
      <c r="S14" s="26" t="n">
        <v>0</v>
      </c>
      <c r="T14" s="28" t="n">
        <v>1</v>
      </c>
      <c r="U14" s="26" t="n">
        <v>0</v>
      </c>
      <c r="V14" s="26" t="n">
        <v>0</v>
      </c>
      <c r="W14" s="22" t="s">
        <v>15</v>
      </c>
      <c r="X14" s="22" t="s">
        <v>293</v>
      </c>
    </row>
    <row r="15" customFormat="false" ht="15" hidden="false" customHeight="false" outlineLevel="0" collapsed="false">
      <c r="A15" s="22" t="s">
        <v>333</v>
      </c>
      <c r="B15" s="22" t="s">
        <v>15</v>
      </c>
      <c r="C15" s="22" t="s">
        <v>334</v>
      </c>
      <c r="D15" s="22" t="s">
        <v>335</v>
      </c>
      <c r="E15" s="22" t="s">
        <v>336</v>
      </c>
      <c r="F15" s="22" t="n">
        <v>10</v>
      </c>
      <c r="G15" s="26" t="n">
        <v>76.24</v>
      </c>
      <c r="H15" s="26" t="n">
        <v>87.26</v>
      </c>
      <c r="I15" s="26" t="n">
        <v>109.29</v>
      </c>
      <c r="J15" s="26" t="n">
        <v>120.31</v>
      </c>
      <c r="K15" s="26" t="n">
        <v>136.84</v>
      </c>
      <c r="L15" s="26" t="n">
        <v>1.59</v>
      </c>
      <c r="M15" s="27" t="n">
        <v>0.005</v>
      </c>
      <c r="N15" s="27" t="n">
        <v>0.002</v>
      </c>
      <c r="O15" s="26" t="n">
        <v>5</v>
      </c>
      <c r="P15" s="26" t="n">
        <v>5</v>
      </c>
      <c r="Q15" s="28" t="n">
        <v>100</v>
      </c>
      <c r="R15" s="26" t="n">
        <v>30</v>
      </c>
      <c r="S15" s="26" t="n">
        <v>0</v>
      </c>
      <c r="T15" s="28" t="n">
        <v>1</v>
      </c>
      <c r="U15" s="26" t="n">
        <v>0</v>
      </c>
      <c r="V15" s="26" t="n">
        <v>0</v>
      </c>
      <c r="W15" s="22" t="s">
        <v>15</v>
      </c>
      <c r="X15" s="22" t="s">
        <v>293</v>
      </c>
    </row>
    <row r="16" customFormat="false" ht="15" hidden="false" customHeight="false" outlineLevel="0" collapsed="false">
      <c r="A16" s="22" t="s">
        <v>337</v>
      </c>
      <c r="B16" s="22" t="s">
        <v>15</v>
      </c>
      <c r="C16" s="22" t="s">
        <v>338</v>
      </c>
      <c r="D16" s="22" t="s">
        <v>339</v>
      </c>
      <c r="E16" s="22" t="s">
        <v>340</v>
      </c>
      <c r="F16" s="22" t="n">
        <v>10</v>
      </c>
      <c r="G16" s="26" t="n">
        <v>76.24</v>
      </c>
      <c r="H16" s="26" t="n">
        <v>87.26</v>
      </c>
      <c r="I16" s="26" t="n">
        <v>109.29</v>
      </c>
      <c r="J16" s="26" t="n">
        <v>120.31</v>
      </c>
      <c r="K16" s="26" t="n">
        <v>136.84</v>
      </c>
      <c r="L16" s="26" t="n">
        <v>1.59</v>
      </c>
      <c r="M16" s="27" t="n">
        <v>0.005</v>
      </c>
      <c r="N16" s="27" t="n">
        <v>0.002</v>
      </c>
      <c r="O16" s="26" t="n">
        <v>5</v>
      </c>
      <c r="P16" s="26" t="n">
        <v>5</v>
      </c>
      <c r="Q16" s="28" t="n">
        <v>100</v>
      </c>
      <c r="R16" s="26" t="n">
        <v>30</v>
      </c>
      <c r="S16" s="26" t="n">
        <v>0</v>
      </c>
      <c r="T16" s="28" t="n">
        <v>1</v>
      </c>
      <c r="U16" s="26" t="n">
        <v>0</v>
      </c>
      <c r="V16" s="26" t="n">
        <v>0</v>
      </c>
      <c r="W16" s="22" t="s">
        <v>15</v>
      </c>
      <c r="X16" s="22" t="s">
        <v>293</v>
      </c>
    </row>
    <row r="17" customFormat="false" ht="15" hidden="false" customHeight="false" outlineLevel="0" collapsed="false">
      <c r="A17" s="22" t="s">
        <v>341</v>
      </c>
      <c r="B17" s="22" t="s">
        <v>15</v>
      </c>
      <c r="C17" s="22" t="s">
        <v>342</v>
      </c>
      <c r="D17" s="22" t="s">
        <v>343</v>
      </c>
      <c r="E17" s="22" t="s">
        <v>344</v>
      </c>
      <c r="F17" s="22" t="n">
        <v>10</v>
      </c>
      <c r="G17" s="26" t="n">
        <v>76.24</v>
      </c>
      <c r="H17" s="26" t="n">
        <v>87.26</v>
      </c>
      <c r="I17" s="26" t="n">
        <v>109.29</v>
      </c>
      <c r="J17" s="26" t="n">
        <v>120.31</v>
      </c>
      <c r="K17" s="26" t="n">
        <v>136.84</v>
      </c>
      <c r="L17" s="26" t="n">
        <v>1.59</v>
      </c>
      <c r="M17" s="27" t="n">
        <v>0.005</v>
      </c>
      <c r="N17" s="27" t="n">
        <v>0.002</v>
      </c>
      <c r="O17" s="26" t="n">
        <v>5</v>
      </c>
      <c r="P17" s="26" t="n">
        <v>5</v>
      </c>
      <c r="Q17" s="28" t="n">
        <v>100</v>
      </c>
      <c r="R17" s="26" t="n">
        <v>30</v>
      </c>
      <c r="S17" s="26" t="n">
        <v>0</v>
      </c>
      <c r="T17" s="28" t="n">
        <v>1</v>
      </c>
      <c r="U17" s="26" t="n">
        <v>0</v>
      </c>
      <c r="V17" s="26" t="n">
        <v>0</v>
      </c>
      <c r="W17" s="22" t="s">
        <v>15</v>
      </c>
      <c r="X17" s="22" t="s">
        <v>293</v>
      </c>
    </row>
    <row r="18" customFormat="false" ht="15" hidden="false" customHeight="false" outlineLevel="0" collapsed="false">
      <c r="A18" s="22" t="s">
        <v>345</v>
      </c>
      <c r="B18" s="22" t="s">
        <v>15</v>
      </c>
      <c r="C18" s="22" t="s">
        <v>346</v>
      </c>
      <c r="D18" s="22" t="s">
        <v>347</v>
      </c>
      <c r="E18" s="22" t="s">
        <v>348</v>
      </c>
      <c r="F18" s="22" t="n">
        <v>10</v>
      </c>
      <c r="G18" s="26" t="n">
        <v>76.24</v>
      </c>
      <c r="H18" s="26" t="n">
        <v>87.26</v>
      </c>
      <c r="I18" s="26" t="n">
        <v>109.29</v>
      </c>
      <c r="J18" s="26" t="n">
        <v>120.31</v>
      </c>
      <c r="K18" s="26" t="n">
        <v>136.84</v>
      </c>
      <c r="L18" s="26" t="n">
        <v>1.59</v>
      </c>
      <c r="M18" s="27" t="n">
        <v>0.005</v>
      </c>
      <c r="N18" s="27" t="n">
        <v>0.002</v>
      </c>
      <c r="O18" s="26" t="n">
        <v>5</v>
      </c>
      <c r="P18" s="26" t="n">
        <v>5</v>
      </c>
      <c r="Q18" s="28" t="n">
        <v>100</v>
      </c>
      <c r="R18" s="26" t="n">
        <v>30</v>
      </c>
      <c r="S18" s="26" t="n">
        <v>0</v>
      </c>
      <c r="T18" s="28" t="n">
        <v>1</v>
      </c>
      <c r="U18" s="26" t="n">
        <v>0</v>
      </c>
      <c r="V18" s="26" t="n">
        <v>0</v>
      </c>
      <c r="W18" s="22" t="s">
        <v>15</v>
      </c>
      <c r="X18" s="22" t="s">
        <v>293</v>
      </c>
    </row>
    <row r="19" customFormat="false" ht="15" hidden="false" customHeight="false" outlineLevel="0" collapsed="false">
      <c r="A19" s="22" t="s">
        <v>349</v>
      </c>
      <c r="B19" s="22" t="s">
        <v>15</v>
      </c>
      <c r="C19" s="22" t="s">
        <v>350</v>
      </c>
      <c r="D19" s="22" t="s">
        <v>351</v>
      </c>
      <c r="E19" s="22" t="s">
        <v>352</v>
      </c>
      <c r="F19" s="22" t="n">
        <v>10</v>
      </c>
      <c r="G19" s="26" t="n">
        <v>76.24</v>
      </c>
      <c r="H19" s="26" t="n">
        <v>87.26</v>
      </c>
      <c r="I19" s="26" t="n">
        <v>109.29</v>
      </c>
      <c r="J19" s="26" t="n">
        <v>120.31</v>
      </c>
      <c r="K19" s="26" t="n">
        <v>136.84</v>
      </c>
      <c r="L19" s="26" t="n">
        <v>1.59</v>
      </c>
      <c r="M19" s="27" t="n">
        <v>0.005</v>
      </c>
      <c r="N19" s="27" t="n">
        <v>0.002</v>
      </c>
      <c r="O19" s="26" t="n">
        <v>5</v>
      </c>
      <c r="P19" s="26" t="n">
        <v>5</v>
      </c>
      <c r="Q19" s="28" t="n">
        <v>100</v>
      </c>
      <c r="R19" s="26" t="n">
        <v>30</v>
      </c>
      <c r="S19" s="26" t="n">
        <v>0</v>
      </c>
      <c r="T19" s="28" t="n">
        <v>1</v>
      </c>
      <c r="U19" s="26" t="n">
        <v>0</v>
      </c>
      <c r="V19" s="26" t="n">
        <v>0</v>
      </c>
      <c r="W19" s="22" t="s">
        <v>15</v>
      </c>
      <c r="X19" s="22" t="s">
        <v>293</v>
      </c>
    </row>
    <row r="20" customFormat="false" ht="15" hidden="false" customHeight="false" outlineLevel="0" collapsed="false">
      <c r="A20" s="22" t="s">
        <v>353</v>
      </c>
      <c r="B20" s="22" t="s">
        <v>15</v>
      </c>
      <c r="C20" s="22" t="s">
        <v>354</v>
      </c>
      <c r="D20" s="22" t="s">
        <v>355</v>
      </c>
      <c r="E20" s="22" t="s">
        <v>356</v>
      </c>
      <c r="F20" s="22" t="n">
        <v>10</v>
      </c>
      <c r="G20" s="26" t="n">
        <v>76.24</v>
      </c>
      <c r="H20" s="26" t="n">
        <v>87.26</v>
      </c>
      <c r="I20" s="26" t="n">
        <v>109.29</v>
      </c>
      <c r="J20" s="26" t="n">
        <v>120.31</v>
      </c>
      <c r="K20" s="26" t="n">
        <v>136.84</v>
      </c>
      <c r="L20" s="26" t="n">
        <v>1.59</v>
      </c>
      <c r="M20" s="27" t="n">
        <v>0.005</v>
      </c>
      <c r="N20" s="27" t="n">
        <v>0.002</v>
      </c>
      <c r="O20" s="26" t="n">
        <v>5</v>
      </c>
      <c r="P20" s="26" t="n">
        <v>5</v>
      </c>
      <c r="Q20" s="28" t="n">
        <v>100</v>
      </c>
      <c r="R20" s="26" t="n">
        <v>30</v>
      </c>
      <c r="S20" s="26" t="n">
        <v>0</v>
      </c>
      <c r="T20" s="28" t="n">
        <v>1</v>
      </c>
      <c r="U20" s="26" t="n">
        <v>0</v>
      </c>
      <c r="V20" s="26" t="n">
        <v>0</v>
      </c>
      <c r="W20" s="22" t="s">
        <v>15</v>
      </c>
      <c r="X20" s="22" t="s">
        <v>293</v>
      </c>
    </row>
    <row r="21" customFormat="false" ht="15" hidden="false" customHeight="false" outlineLevel="0" collapsed="false">
      <c r="A21" s="22" t="s">
        <v>357</v>
      </c>
      <c r="B21" s="22" t="s">
        <v>15</v>
      </c>
      <c r="C21" s="22" t="s">
        <v>358</v>
      </c>
      <c r="D21" s="22" t="s">
        <v>359</v>
      </c>
      <c r="E21" s="22" t="s">
        <v>360</v>
      </c>
      <c r="F21" s="22" t="n">
        <v>10</v>
      </c>
      <c r="G21" s="26" t="n">
        <v>76.24</v>
      </c>
      <c r="H21" s="26" t="n">
        <v>87.26</v>
      </c>
      <c r="I21" s="26" t="n">
        <v>109.29</v>
      </c>
      <c r="J21" s="26" t="n">
        <v>120.31</v>
      </c>
      <c r="K21" s="26" t="n">
        <v>136.84</v>
      </c>
      <c r="L21" s="26" t="n">
        <v>1.59</v>
      </c>
      <c r="M21" s="27" t="n">
        <v>0.005</v>
      </c>
      <c r="N21" s="27" t="n">
        <v>0.002</v>
      </c>
      <c r="O21" s="26" t="n">
        <v>5</v>
      </c>
      <c r="P21" s="26" t="n">
        <v>5</v>
      </c>
      <c r="Q21" s="28" t="n">
        <v>100</v>
      </c>
      <c r="R21" s="26" t="n">
        <v>30</v>
      </c>
      <c r="S21" s="26" t="n">
        <v>0</v>
      </c>
      <c r="T21" s="28" t="n">
        <v>1</v>
      </c>
      <c r="U21" s="26" t="n">
        <v>0</v>
      </c>
      <c r="V21" s="26" t="n">
        <v>0</v>
      </c>
      <c r="W21" s="22" t="s">
        <v>15</v>
      </c>
      <c r="X21" s="22" t="s">
        <v>293</v>
      </c>
    </row>
    <row r="22" customFormat="false" ht="15" hidden="false" customHeight="false" outlineLevel="0" collapsed="false">
      <c r="A22" s="22" t="s">
        <v>361</v>
      </c>
      <c r="B22" s="22" t="s">
        <v>15</v>
      </c>
      <c r="C22" s="22" t="s">
        <v>362</v>
      </c>
      <c r="D22" s="22" t="s">
        <v>363</v>
      </c>
      <c r="E22" s="22" t="s">
        <v>364</v>
      </c>
      <c r="F22" s="22" t="n">
        <v>10</v>
      </c>
      <c r="G22" s="26" t="n">
        <v>76.24</v>
      </c>
      <c r="H22" s="26" t="n">
        <v>87.26</v>
      </c>
      <c r="I22" s="26" t="n">
        <v>109.29</v>
      </c>
      <c r="J22" s="26" t="n">
        <v>120.31</v>
      </c>
      <c r="K22" s="26" t="n">
        <v>136.84</v>
      </c>
      <c r="L22" s="26" t="n">
        <v>1.59</v>
      </c>
      <c r="M22" s="27" t="n">
        <v>0.005</v>
      </c>
      <c r="N22" s="27" t="n">
        <v>0.002</v>
      </c>
      <c r="O22" s="26" t="n">
        <v>5</v>
      </c>
      <c r="P22" s="26" t="n">
        <v>5</v>
      </c>
      <c r="Q22" s="28" t="n">
        <v>100</v>
      </c>
      <c r="R22" s="26" t="n">
        <v>30</v>
      </c>
      <c r="S22" s="26" t="n">
        <v>0</v>
      </c>
      <c r="T22" s="28" t="n">
        <v>1</v>
      </c>
      <c r="U22" s="26" t="n">
        <v>0</v>
      </c>
      <c r="V22" s="26" t="n">
        <v>0</v>
      </c>
      <c r="W22" s="22" t="s">
        <v>15</v>
      </c>
      <c r="X22" s="22" t="s">
        <v>293</v>
      </c>
    </row>
    <row r="23" customFormat="false" ht="15" hidden="false" customHeight="false" outlineLevel="0" collapsed="false">
      <c r="A23" s="22" t="s">
        <v>365</v>
      </c>
      <c r="B23" s="22" t="s">
        <v>15</v>
      </c>
      <c r="C23" s="22" t="s">
        <v>366</v>
      </c>
      <c r="D23" s="22" t="s">
        <v>367</v>
      </c>
      <c r="E23" s="22" t="s">
        <v>368</v>
      </c>
      <c r="F23" s="22" t="n">
        <v>10</v>
      </c>
      <c r="G23" s="26" t="n">
        <v>76.24</v>
      </c>
      <c r="H23" s="26" t="n">
        <v>87.26</v>
      </c>
      <c r="I23" s="26" t="n">
        <v>109.29</v>
      </c>
      <c r="J23" s="26" t="n">
        <v>120.31</v>
      </c>
      <c r="K23" s="26" t="n">
        <v>136.84</v>
      </c>
      <c r="L23" s="26" t="n">
        <v>1.59</v>
      </c>
      <c r="M23" s="27" t="n">
        <v>0.005</v>
      </c>
      <c r="N23" s="27" t="n">
        <v>0.002</v>
      </c>
      <c r="O23" s="26" t="n">
        <v>5</v>
      </c>
      <c r="P23" s="26" t="n">
        <v>5</v>
      </c>
      <c r="Q23" s="28" t="n">
        <v>100</v>
      </c>
      <c r="R23" s="26" t="n">
        <v>30</v>
      </c>
      <c r="S23" s="26" t="n">
        <v>0</v>
      </c>
      <c r="T23" s="28" t="n">
        <v>1</v>
      </c>
      <c r="U23" s="26" t="n">
        <v>0</v>
      </c>
      <c r="V23" s="26" t="n">
        <v>0</v>
      </c>
      <c r="W23" s="22" t="s">
        <v>15</v>
      </c>
      <c r="X23" s="22" t="s">
        <v>293</v>
      </c>
    </row>
    <row r="24" customFormat="false" ht="15" hidden="false" customHeight="false" outlineLevel="0" collapsed="false">
      <c r="A24" s="22" t="s">
        <v>369</v>
      </c>
      <c r="B24" s="22" t="s">
        <v>15</v>
      </c>
      <c r="C24" s="22" t="s">
        <v>370</v>
      </c>
      <c r="D24" s="22" t="s">
        <v>371</v>
      </c>
      <c r="E24" s="22" t="s">
        <v>372</v>
      </c>
      <c r="F24" s="22" t="n">
        <v>13</v>
      </c>
      <c r="G24" s="26" t="n">
        <v>101.65</v>
      </c>
      <c r="H24" s="26" t="n">
        <v>112.67</v>
      </c>
      <c r="I24" s="26" t="n">
        <v>134.71</v>
      </c>
      <c r="J24" s="26" t="n">
        <v>145.73</v>
      </c>
      <c r="K24" s="26" t="n">
        <v>162.25</v>
      </c>
      <c r="L24" s="26" t="n">
        <v>2.12</v>
      </c>
      <c r="M24" s="27" t="n">
        <v>0.005</v>
      </c>
      <c r="N24" s="27" t="n">
        <v>0.002</v>
      </c>
      <c r="O24" s="26" t="n">
        <v>5</v>
      </c>
      <c r="P24" s="26" t="n">
        <v>5</v>
      </c>
      <c r="Q24" s="28" t="n">
        <v>100</v>
      </c>
      <c r="R24" s="26" t="n">
        <v>30</v>
      </c>
      <c r="S24" s="26" t="n">
        <v>0</v>
      </c>
      <c r="T24" s="28" t="n">
        <v>1</v>
      </c>
      <c r="U24" s="26" t="n">
        <v>0</v>
      </c>
      <c r="V24" s="26" t="n">
        <v>0</v>
      </c>
      <c r="W24" s="22" t="s">
        <v>15</v>
      </c>
      <c r="X24" s="22" t="s">
        <v>373</v>
      </c>
    </row>
    <row r="25" customFormat="false" ht="15" hidden="false" customHeight="false" outlineLevel="0" collapsed="false">
      <c r="A25" s="22" t="s">
        <v>374</v>
      </c>
      <c r="B25" s="22" t="s">
        <v>15</v>
      </c>
      <c r="C25" s="22" t="s">
        <v>375</v>
      </c>
      <c r="D25" s="22" t="s">
        <v>376</v>
      </c>
      <c r="E25" s="22" t="s">
        <v>377</v>
      </c>
      <c r="F25" s="22" t="n">
        <v>13</v>
      </c>
      <c r="G25" s="26" t="n">
        <v>101.65</v>
      </c>
      <c r="H25" s="26" t="n">
        <v>112.67</v>
      </c>
      <c r="I25" s="26" t="n">
        <v>134.71</v>
      </c>
      <c r="J25" s="26" t="n">
        <v>145.73</v>
      </c>
      <c r="K25" s="26" t="n">
        <v>162.25</v>
      </c>
      <c r="L25" s="26" t="n">
        <v>2.12</v>
      </c>
      <c r="M25" s="27" t="n">
        <v>0.005</v>
      </c>
      <c r="N25" s="27" t="n">
        <v>0.002</v>
      </c>
      <c r="O25" s="26" t="n">
        <v>5</v>
      </c>
      <c r="P25" s="26" t="n">
        <v>5</v>
      </c>
      <c r="Q25" s="28" t="n">
        <v>100</v>
      </c>
      <c r="R25" s="26" t="n">
        <v>30</v>
      </c>
      <c r="S25" s="26" t="n">
        <v>0</v>
      </c>
      <c r="T25" s="28" t="n">
        <v>1</v>
      </c>
      <c r="U25" s="26" t="n">
        <v>0</v>
      </c>
      <c r="V25" s="26" t="n">
        <v>0</v>
      </c>
      <c r="W25" s="22" t="s">
        <v>15</v>
      </c>
      <c r="X25" s="22" t="s">
        <v>373</v>
      </c>
    </row>
    <row r="26" customFormat="false" ht="15" hidden="false" customHeight="false" outlineLevel="0" collapsed="false">
      <c r="A26" s="22" t="s">
        <v>378</v>
      </c>
      <c r="B26" s="22" t="s">
        <v>15</v>
      </c>
      <c r="C26" s="22" t="s">
        <v>379</v>
      </c>
      <c r="D26" s="22" t="s">
        <v>380</v>
      </c>
      <c r="E26" s="22" t="s">
        <v>381</v>
      </c>
      <c r="F26" s="22" t="n">
        <v>13</v>
      </c>
      <c r="G26" s="26" t="n">
        <v>101.65</v>
      </c>
      <c r="H26" s="26" t="n">
        <v>112.67</v>
      </c>
      <c r="I26" s="26" t="n">
        <v>134.71</v>
      </c>
      <c r="J26" s="26" t="n">
        <v>145.73</v>
      </c>
      <c r="K26" s="26" t="n">
        <v>162.25</v>
      </c>
      <c r="L26" s="26" t="n">
        <v>2.12</v>
      </c>
      <c r="M26" s="27" t="n">
        <v>0.005</v>
      </c>
      <c r="N26" s="27" t="n">
        <v>0.002</v>
      </c>
      <c r="O26" s="26" t="n">
        <v>5</v>
      </c>
      <c r="P26" s="26" t="n">
        <v>5</v>
      </c>
      <c r="Q26" s="28" t="n">
        <v>100</v>
      </c>
      <c r="R26" s="26" t="n">
        <v>30</v>
      </c>
      <c r="S26" s="26" t="n">
        <v>0</v>
      </c>
      <c r="T26" s="28" t="n">
        <v>1</v>
      </c>
      <c r="U26" s="26" t="n">
        <v>0</v>
      </c>
      <c r="V26" s="26" t="n">
        <v>0</v>
      </c>
      <c r="W26" s="22" t="s">
        <v>15</v>
      </c>
      <c r="X26" s="22" t="s">
        <v>373</v>
      </c>
    </row>
    <row r="27" customFormat="false" ht="15" hidden="false" customHeight="false" outlineLevel="0" collapsed="false">
      <c r="A27" s="22" t="s">
        <v>382</v>
      </c>
      <c r="B27" s="22" t="s">
        <v>15</v>
      </c>
      <c r="C27" s="22" t="s">
        <v>383</v>
      </c>
      <c r="D27" s="22" t="s">
        <v>384</v>
      </c>
      <c r="E27" s="22" t="s">
        <v>385</v>
      </c>
      <c r="F27" s="22" t="n">
        <v>13</v>
      </c>
      <c r="G27" s="26" t="n">
        <v>101.65</v>
      </c>
      <c r="H27" s="26" t="n">
        <v>112.67</v>
      </c>
      <c r="I27" s="26" t="n">
        <v>134.71</v>
      </c>
      <c r="J27" s="26" t="n">
        <v>145.73</v>
      </c>
      <c r="K27" s="26" t="n">
        <v>162.25</v>
      </c>
      <c r="L27" s="26" t="n">
        <v>2.12</v>
      </c>
      <c r="M27" s="27" t="n">
        <v>0.005</v>
      </c>
      <c r="N27" s="27" t="n">
        <v>0.002</v>
      </c>
      <c r="O27" s="26" t="n">
        <v>5</v>
      </c>
      <c r="P27" s="26" t="n">
        <v>5</v>
      </c>
      <c r="Q27" s="28" t="n">
        <v>100</v>
      </c>
      <c r="R27" s="26" t="n">
        <v>30</v>
      </c>
      <c r="S27" s="26" t="n">
        <v>0</v>
      </c>
      <c r="T27" s="28" t="n">
        <v>1</v>
      </c>
      <c r="U27" s="26" t="n">
        <v>0</v>
      </c>
      <c r="V27" s="26" t="n">
        <v>0</v>
      </c>
      <c r="W27" s="22" t="s">
        <v>15</v>
      </c>
      <c r="X27" s="22" t="s">
        <v>373</v>
      </c>
    </row>
    <row r="28" customFormat="false" ht="15" hidden="false" customHeight="false" outlineLevel="0" collapsed="false">
      <c r="A28" s="22" t="s">
        <v>386</v>
      </c>
      <c r="B28" s="22" t="s">
        <v>15</v>
      </c>
      <c r="C28" s="22" t="s">
        <v>387</v>
      </c>
      <c r="D28" s="22" t="s">
        <v>388</v>
      </c>
      <c r="E28" s="22" t="s">
        <v>389</v>
      </c>
      <c r="F28" s="22" t="n">
        <v>13</v>
      </c>
      <c r="G28" s="26" t="n">
        <v>101.65</v>
      </c>
      <c r="H28" s="26" t="n">
        <v>112.67</v>
      </c>
      <c r="I28" s="26" t="n">
        <v>134.71</v>
      </c>
      <c r="J28" s="26" t="n">
        <v>145.73</v>
      </c>
      <c r="K28" s="26" t="n">
        <v>162.25</v>
      </c>
      <c r="L28" s="26" t="n">
        <v>2.12</v>
      </c>
      <c r="M28" s="27" t="n">
        <v>0.005</v>
      </c>
      <c r="N28" s="27" t="n">
        <v>0.002</v>
      </c>
      <c r="O28" s="26" t="n">
        <v>5</v>
      </c>
      <c r="P28" s="26" t="n">
        <v>5</v>
      </c>
      <c r="Q28" s="28" t="n">
        <v>100</v>
      </c>
      <c r="R28" s="26" t="n">
        <v>30</v>
      </c>
      <c r="S28" s="26" t="n">
        <v>0</v>
      </c>
      <c r="T28" s="28" t="n">
        <v>1</v>
      </c>
      <c r="U28" s="26" t="n">
        <v>0</v>
      </c>
      <c r="V28" s="26" t="n">
        <v>0</v>
      </c>
      <c r="W28" s="22" t="s">
        <v>15</v>
      </c>
      <c r="X28" s="22" t="s">
        <v>373</v>
      </c>
    </row>
    <row r="29" customFormat="false" ht="15" hidden="false" customHeight="false" outlineLevel="0" collapsed="false">
      <c r="A29" s="22" t="s">
        <v>390</v>
      </c>
      <c r="B29" s="22" t="s">
        <v>15</v>
      </c>
      <c r="C29" s="22" t="s">
        <v>391</v>
      </c>
      <c r="D29" s="22" t="s">
        <v>392</v>
      </c>
      <c r="E29" s="22" t="s">
        <v>393</v>
      </c>
      <c r="F29" s="22" t="n">
        <v>13</v>
      </c>
      <c r="G29" s="26" t="n">
        <v>101.65</v>
      </c>
      <c r="H29" s="26" t="n">
        <v>112.67</v>
      </c>
      <c r="I29" s="26" t="n">
        <v>134.71</v>
      </c>
      <c r="J29" s="26" t="n">
        <v>145.73</v>
      </c>
      <c r="K29" s="26" t="n">
        <v>162.25</v>
      </c>
      <c r="L29" s="26" t="n">
        <v>2.12</v>
      </c>
      <c r="M29" s="27" t="n">
        <v>0.005</v>
      </c>
      <c r="N29" s="27" t="n">
        <v>0.002</v>
      </c>
      <c r="O29" s="26" t="n">
        <v>5</v>
      </c>
      <c r="P29" s="26" t="n">
        <v>5</v>
      </c>
      <c r="Q29" s="28" t="n">
        <v>100</v>
      </c>
      <c r="R29" s="26" t="n">
        <v>30</v>
      </c>
      <c r="S29" s="26" t="n">
        <v>0</v>
      </c>
      <c r="T29" s="28" t="n">
        <v>1</v>
      </c>
      <c r="U29" s="26" t="n">
        <v>0</v>
      </c>
      <c r="V29" s="26" t="n">
        <v>0</v>
      </c>
      <c r="W29" s="22" t="s">
        <v>15</v>
      </c>
      <c r="X29" s="22" t="s">
        <v>373</v>
      </c>
    </row>
    <row r="30" customFormat="false" ht="15" hidden="false" customHeight="false" outlineLevel="0" collapsed="false">
      <c r="A30" s="22" t="s">
        <v>394</v>
      </c>
      <c r="B30" s="22" t="s">
        <v>15</v>
      </c>
      <c r="C30" s="22" t="s">
        <v>395</v>
      </c>
      <c r="D30" s="22" t="s">
        <v>396</v>
      </c>
      <c r="E30" s="22" t="s">
        <v>397</v>
      </c>
      <c r="F30" s="22" t="n">
        <v>13</v>
      </c>
      <c r="G30" s="26" t="n">
        <v>101.65</v>
      </c>
      <c r="H30" s="26" t="n">
        <v>112.67</v>
      </c>
      <c r="I30" s="26" t="n">
        <v>134.71</v>
      </c>
      <c r="J30" s="26" t="n">
        <v>145.73</v>
      </c>
      <c r="K30" s="26" t="n">
        <v>162.25</v>
      </c>
      <c r="L30" s="26" t="n">
        <v>2.12</v>
      </c>
      <c r="M30" s="27" t="n">
        <v>0.005</v>
      </c>
      <c r="N30" s="27" t="n">
        <v>0.002</v>
      </c>
      <c r="O30" s="26" t="n">
        <v>5</v>
      </c>
      <c r="P30" s="26" t="n">
        <v>5</v>
      </c>
      <c r="Q30" s="28" t="n">
        <v>100</v>
      </c>
      <c r="R30" s="26" t="n">
        <v>30</v>
      </c>
      <c r="S30" s="26" t="n">
        <v>0</v>
      </c>
      <c r="T30" s="28" t="n">
        <v>1</v>
      </c>
      <c r="U30" s="26" t="n">
        <v>0</v>
      </c>
      <c r="V30" s="26" t="n">
        <v>0</v>
      </c>
      <c r="W30" s="22" t="s">
        <v>15</v>
      </c>
      <c r="X30" s="22" t="s">
        <v>373</v>
      </c>
    </row>
    <row r="31" customFormat="false" ht="15" hidden="false" customHeight="false" outlineLevel="0" collapsed="false">
      <c r="A31" s="22" t="s">
        <v>398</v>
      </c>
      <c r="B31" s="22" t="s">
        <v>15</v>
      </c>
      <c r="C31" s="22" t="s">
        <v>399</v>
      </c>
      <c r="D31" s="22" t="s">
        <v>400</v>
      </c>
      <c r="E31" s="22" t="s">
        <v>401</v>
      </c>
      <c r="F31" s="22" t="n">
        <v>13</v>
      </c>
      <c r="G31" s="26" t="n">
        <v>101.65</v>
      </c>
      <c r="H31" s="26" t="n">
        <v>112.67</v>
      </c>
      <c r="I31" s="26" t="n">
        <v>134.71</v>
      </c>
      <c r="J31" s="26" t="n">
        <v>145.73</v>
      </c>
      <c r="K31" s="26" t="n">
        <v>162.25</v>
      </c>
      <c r="L31" s="26" t="n">
        <v>2.12</v>
      </c>
      <c r="M31" s="27" t="n">
        <v>0.005</v>
      </c>
      <c r="N31" s="27" t="n">
        <v>0.002</v>
      </c>
      <c r="O31" s="26" t="n">
        <v>5</v>
      </c>
      <c r="P31" s="26" t="n">
        <v>5</v>
      </c>
      <c r="Q31" s="28" t="n">
        <v>100</v>
      </c>
      <c r="R31" s="26" t="n">
        <v>30</v>
      </c>
      <c r="S31" s="26" t="n">
        <v>0</v>
      </c>
      <c r="T31" s="28" t="n">
        <v>1</v>
      </c>
      <c r="U31" s="26" t="n">
        <v>0</v>
      </c>
      <c r="V31" s="26" t="n">
        <v>0</v>
      </c>
      <c r="W31" s="22" t="s">
        <v>15</v>
      </c>
      <c r="X31" s="22" t="s">
        <v>373</v>
      </c>
    </row>
    <row r="32" customFormat="false" ht="15" hidden="false" customHeight="false" outlineLevel="0" collapsed="false">
      <c r="A32" s="22" t="s">
        <v>402</v>
      </c>
      <c r="B32" s="22" t="s">
        <v>15</v>
      </c>
      <c r="C32" s="22" t="s">
        <v>403</v>
      </c>
      <c r="D32" s="22" t="s">
        <v>404</v>
      </c>
      <c r="E32" s="22" t="s">
        <v>405</v>
      </c>
      <c r="F32" s="22" t="n">
        <v>13</v>
      </c>
      <c r="G32" s="26" t="n">
        <v>101.65</v>
      </c>
      <c r="H32" s="26" t="n">
        <v>112.67</v>
      </c>
      <c r="I32" s="26" t="n">
        <v>134.71</v>
      </c>
      <c r="J32" s="26" t="n">
        <v>145.73</v>
      </c>
      <c r="K32" s="26" t="n">
        <v>162.25</v>
      </c>
      <c r="L32" s="26" t="n">
        <v>2.12</v>
      </c>
      <c r="M32" s="27" t="n">
        <v>0.005</v>
      </c>
      <c r="N32" s="27" t="n">
        <v>0.002</v>
      </c>
      <c r="O32" s="26" t="n">
        <v>5</v>
      </c>
      <c r="P32" s="26" t="n">
        <v>5</v>
      </c>
      <c r="Q32" s="28" t="n">
        <v>100</v>
      </c>
      <c r="R32" s="26" t="n">
        <v>30</v>
      </c>
      <c r="S32" s="26" t="n">
        <v>0</v>
      </c>
      <c r="T32" s="28" t="n">
        <v>1</v>
      </c>
      <c r="U32" s="26" t="n">
        <v>0</v>
      </c>
      <c r="V32" s="26" t="n">
        <v>0</v>
      </c>
      <c r="W32" s="22" t="s">
        <v>15</v>
      </c>
      <c r="X32" s="22" t="s">
        <v>373</v>
      </c>
    </row>
    <row r="33" customFormat="false" ht="15" hidden="false" customHeight="false" outlineLevel="0" collapsed="false">
      <c r="A33" s="22" t="s">
        <v>406</v>
      </c>
      <c r="B33" s="22" t="s">
        <v>15</v>
      </c>
      <c r="C33" s="22" t="s">
        <v>407</v>
      </c>
      <c r="D33" s="22" t="s">
        <v>408</v>
      </c>
      <c r="E33" s="22" t="s">
        <v>409</v>
      </c>
      <c r="F33" s="22" t="n">
        <v>13</v>
      </c>
      <c r="G33" s="26" t="n">
        <v>101.65</v>
      </c>
      <c r="H33" s="26" t="n">
        <v>112.67</v>
      </c>
      <c r="I33" s="26" t="n">
        <v>134.71</v>
      </c>
      <c r="J33" s="26" t="n">
        <v>145.73</v>
      </c>
      <c r="K33" s="26" t="n">
        <v>162.25</v>
      </c>
      <c r="L33" s="26" t="n">
        <v>2.12</v>
      </c>
      <c r="M33" s="27" t="n">
        <v>0.005</v>
      </c>
      <c r="N33" s="27" t="n">
        <v>0.002</v>
      </c>
      <c r="O33" s="26" t="n">
        <v>5</v>
      </c>
      <c r="P33" s="26" t="n">
        <v>5</v>
      </c>
      <c r="Q33" s="28" t="n">
        <v>100</v>
      </c>
      <c r="R33" s="26" t="n">
        <v>30</v>
      </c>
      <c r="S33" s="26" t="n">
        <v>0</v>
      </c>
      <c r="T33" s="28" t="n">
        <v>1</v>
      </c>
      <c r="U33" s="26" t="n">
        <v>0</v>
      </c>
      <c r="V33" s="26" t="n">
        <v>0</v>
      </c>
      <c r="W33" s="22" t="s">
        <v>15</v>
      </c>
      <c r="X33" s="22" t="s">
        <v>373</v>
      </c>
    </row>
    <row r="34" customFormat="false" ht="15" hidden="false" customHeight="false" outlineLevel="0" collapsed="false">
      <c r="A34" s="22" t="s">
        <v>410</v>
      </c>
      <c r="B34" s="22" t="s">
        <v>15</v>
      </c>
      <c r="C34" s="22" t="s">
        <v>411</v>
      </c>
      <c r="D34" s="22" t="s">
        <v>412</v>
      </c>
      <c r="E34" s="22" t="s">
        <v>413</v>
      </c>
      <c r="F34" s="22" t="n">
        <v>13</v>
      </c>
      <c r="G34" s="26" t="n">
        <v>101.65</v>
      </c>
      <c r="H34" s="26" t="n">
        <v>112.67</v>
      </c>
      <c r="I34" s="26" t="n">
        <v>134.71</v>
      </c>
      <c r="J34" s="26" t="n">
        <v>145.73</v>
      </c>
      <c r="K34" s="26" t="n">
        <v>162.25</v>
      </c>
      <c r="L34" s="26" t="n">
        <v>2.12</v>
      </c>
      <c r="M34" s="27" t="n">
        <v>0.005</v>
      </c>
      <c r="N34" s="27" t="n">
        <v>0.002</v>
      </c>
      <c r="O34" s="26" t="n">
        <v>5</v>
      </c>
      <c r="P34" s="26" t="n">
        <v>5</v>
      </c>
      <c r="Q34" s="28" t="n">
        <v>100</v>
      </c>
      <c r="R34" s="26" t="n">
        <v>30</v>
      </c>
      <c r="S34" s="26" t="n">
        <v>0</v>
      </c>
      <c r="T34" s="28" t="n">
        <v>1</v>
      </c>
      <c r="U34" s="26" t="n">
        <v>0</v>
      </c>
      <c r="V34" s="26" t="n">
        <v>0</v>
      </c>
      <c r="W34" s="22" t="s">
        <v>15</v>
      </c>
      <c r="X34" s="22" t="s">
        <v>373</v>
      </c>
    </row>
    <row r="35" customFormat="false" ht="15" hidden="false" customHeight="false" outlineLevel="0" collapsed="false">
      <c r="A35" s="22" t="s">
        <v>414</v>
      </c>
      <c r="B35" s="22" t="s">
        <v>15</v>
      </c>
      <c r="C35" s="22" t="s">
        <v>415</v>
      </c>
      <c r="D35" s="22" t="s">
        <v>416</v>
      </c>
      <c r="E35" s="22" t="s">
        <v>417</v>
      </c>
      <c r="F35" s="22" t="n">
        <v>13</v>
      </c>
      <c r="G35" s="26" t="n">
        <v>101.65</v>
      </c>
      <c r="H35" s="26" t="n">
        <v>112.67</v>
      </c>
      <c r="I35" s="26" t="n">
        <v>134.71</v>
      </c>
      <c r="J35" s="26" t="n">
        <v>145.73</v>
      </c>
      <c r="K35" s="26" t="n">
        <v>162.25</v>
      </c>
      <c r="L35" s="26" t="n">
        <v>2.12</v>
      </c>
      <c r="M35" s="27" t="n">
        <v>0.005</v>
      </c>
      <c r="N35" s="27" t="n">
        <v>0.002</v>
      </c>
      <c r="O35" s="26" t="n">
        <v>5</v>
      </c>
      <c r="P35" s="26" t="n">
        <v>5</v>
      </c>
      <c r="Q35" s="28" t="n">
        <v>100</v>
      </c>
      <c r="R35" s="26" t="n">
        <v>30</v>
      </c>
      <c r="S35" s="26" t="n">
        <v>0</v>
      </c>
      <c r="T35" s="28" t="n">
        <v>1</v>
      </c>
      <c r="U35" s="26" t="n">
        <v>0</v>
      </c>
      <c r="V35" s="26" t="n">
        <v>0</v>
      </c>
      <c r="W35" s="22" t="s">
        <v>15</v>
      </c>
      <c r="X35" s="22" t="s">
        <v>373</v>
      </c>
    </row>
    <row r="36" customFormat="false" ht="15" hidden="false" customHeight="false" outlineLevel="0" collapsed="false">
      <c r="A36" s="22" t="s">
        <v>418</v>
      </c>
      <c r="B36" s="22" t="s">
        <v>15</v>
      </c>
      <c r="C36" s="22" t="s">
        <v>419</v>
      </c>
      <c r="D36" s="22" t="s">
        <v>420</v>
      </c>
      <c r="E36" s="22" t="s">
        <v>421</v>
      </c>
      <c r="F36" s="22" t="n">
        <v>13</v>
      </c>
      <c r="G36" s="26" t="n">
        <v>101.65</v>
      </c>
      <c r="H36" s="26" t="n">
        <v>112.67</v>
      </c>
      <c r="I36" s="26" t="n">
        <v>134.71</v>
      </c>
      <c r="J36" s="26" t="n">
        <v>145.73</v>
      </c>
      <c r="K36" s="26" t="n">
        <v>162.25</v>
      </c>
      <c r="L36" s="26" t="n">
        <v>2.12</v>
      </c>
      <c r="M36" s="27" t="n">
        <v>0.005</v>
      </c>
      <c r="N36" s="27" t="n">
        <v>0.002</v>
      </c>
      <c r="O36" s="26" t="n">
        <v>5</v>
      </c>
      <c r="P36" s="26" t="n">
        <v>5</v>
      </c>
      <c r="Q36" s="28" t="n">
        <v>100</v>
      </c>
      <c r="R36" s="26" t="n">
        <v>30</v>
      </c>
      <c r="S36" s="26" t="n">
        <v>0</v>
      </c>
      <c r="T36" s="28" t="n">
        <v>1</v>
      </c>
      <c r="U36" s="26" t="n">
        <v>0</v>
      </c>
      <c r="V36" s="26" t="n">
        <v>0</v>
      </c>
      <c r="W36" s="22" t="s">
        <v>15</v>
      </c>
      <c r="X36" s="22" t="s">
        <v>373</v>
      </c>
    </row>
    <row r="37" customFormat="false" ht="15" hidden="false" customHeight="false" outlineLevel="0" collapsed="false">
      <c r="A37" s="22" t="s">
        <v>422</v>
      </c>
      <c r="B37" s="22" t="s">
        <v>15</v>
      </c>
      <c r="C37" s="22" t="s">
        <v>423</v>
      </c>
      <c r="D37" s="22" t="s">
        <v>424</v>
      </c>
      <c r="E37" s="22" t="s">
        <v>425</v>
      </c>
      <c r="F37" s="22" t="n">
        <v>13</v>
      </c>
      <c r="G37" s="26" t="n">
        <v>101.65</v>
      </c>
      <c r="H37" s="26" t="n">
        <v>112.67</v>
      </c>
      <c r="I37" s="26" t="n">
        <v>134.71</v>
      </c>
      <c r="J37" s="26" t="n">
        <v>145.73</v>
      </c>
      <c r="K37" s="26" t="n">
        <v>162.25</v>
      </c>
      <c r="L37" s="26" t="n">
        <v>2.12</v>
      </c>
      <c r="M37" s="27" t="n">
        <v>0.005</v>
      </c>
      <c r="N37" s="27" t="n">
        <v>0.002</v>
      </c>
      <c r="O37" s="26" t="n">
        <v>5</v>
      </c>
      <c r="P37" s="26" t="n">
        <v>5</v>
      </c>
      <c r="Q37" s="28" t="n">
        <v>100</v>
      </c>
      <c r="R37" s="26" t="n">
        <v>30</v>
      </c>
      <c r="S37" s="26" t="n">
        <v>0</v>
      </c>
      <c r="T37" s="28" t="n">
        <v>1</v>
      </c>
      <c r="U37" s="26" t="n">
        <v>0</v>
      </c>
      <c r="V37" s="26" t="n">
        <v>0</v>
      </c>
      <c r="W37" s="22" t="s">
        <v>15</v>
      </c>
      <c r="X37" s="22" t="s">
        <v>373</v>
      </c>
    </row>
    <row r="38" customFormat="false" ht="15" hidden="false" customHeight="false" outlineLevel="0" collapsed="false">
      <c r="A38" s="22" t="s">
        <v>426</v>
      </c>
      <c r="B38" s="22" t="s">
        <v>15</v>
      </c>
      <c r="C38" s="22" t="s">
        <v>427</v>
      </c>
      <c r="D38" s="22" t="s">
        <v>428</v>
      </c>
      <c r="E38" s="22" t="s">
        <v>429</v>
      </c>
      <c r="F38" s="22" t="n">
        <v>13</v>
      </c>
      <c r="G38" s="26" t="n">
        <v>101.65</v>
      </c>
      <c r="H38" s="26" t="n">
        <v>112.67</v>
      </c>
      <c r="I38" s="26" t="n">
        <v>134.71</v>
      </c>
      <c r="J38" s="26" t="n">
        <v>145.73</v>
      </c>
      <c r="K38" s="26" t="n">
        <v>162.25</v>
      </c>
      <c r="L38" s="26" t="n">
        <v>2.12</v>
      </c>
      <c r="M38" s="27" t="n">
        <v>0.005</v>
      </c>
      <c r="N38" s="27" t="n">
        <v>0.002</v>
      </c>
      <c r="O38" s="26" t="n">
        <v>5</v>
      </c>
      <c r="P38" s="26" t="n">
        <v>5</v>
      </c>
      <c r="Q38" s="28" t="n">
        <v>100</v>
      </c>
      <c r="R38" s="26" t="n">
        <v>30</v>
      </c>
      <c r="S38" s="26" t="n">
        <v>0</v>
      </c>
      <c r="T38" s="28" t="n">
        <v>1</v>
      </c>
      <c r="U38" s="26" t="n">
        <v>0</v>
      </c>
      <c r="V38" s="26" t="n">
        <v>0</v>
      </c>
      <c r="W38" s="22" t="s">
        <v>15</v>
      </c>
      <c r="X38" s="22" t="s">
        <v>373</v>
      </c>
    </row>
    <row r="39" customFormat="false" ht="15" hidden="false" customHeight="false" outlineLevel="0" collapsed="false">
      <c r="A39" s="22" t="s">
        <v>430</v>
      </c>
      <c r="B39" s="22" t="s">
        <v>15</v>
      </c>
      <c r="C39" s="22" t="s">
        <v>431</v>
      </c>
      <c r="D39" s="22" t="s">
        <v>432</v>
      </c>
      <c r="E39" s="22" t="s">
        <v>433</v>
      </c>
      <c r="F39" s="22" t="n">
        <v>13</v>
      </c>
      <c r="G39" s="26" t="n">
        <v>101.65</v>
      </c>
      <c r="H39" s="26" t="n">
        <v>112.67</v>
      </c>
      <c r="I39" s="26" t="n">
        <v>134.71</v>
      </c>
      <c r="J39" s="26" t="n">
        <v>145.73</v>
      </c>
      <c r="K39" s="26" t="n">
        <v>162.25</v>
      </c>
      <c r="L39" s="26" t="n">
        <v>2.12</v>
      </c>
      <c r="M39" s="27" t="n">
        <v>0.005</v>
      </c>
      <c r="N39" s="27" t="n">
        <v>0.002</v>
      </c>
      <c r="O39" s="26" t="n">
        <v>5</v>
      </c>
      <c r="P39" s="26" t="n">
        <v>5</v>
      </c>
      <c r="Q39" s="28" t="n">
        <v>100</v>
      </c>
      <c r="R39" s="26" t="n">
        <v>30</v>
      </c>
      <c r="S39" s="26" t="n">
        <v>0</v>
      </c>
      <c r="T39" s="28" t="n">
        <v>1</v>
      </c>
      <c r="U39" s="26" t="n">
        <v>0</v>
      </c>
      <c r="V39" s="26" t="n">
        <v>0</v>
      </c>
      <c r="W39" s="22" t="s">
        <v>15</v>
      </c>
      <c r="X39" s="22" t="s">
        <v>373</v>
      </c>
    </row>
    <row r="40" customFormat="false" ht="15" hidden="false" customHeight="false" outlineLevel="0" collapsed="false">
      <c r="A40" s="22" t="s">
        <v>434</v>
      </c>
      <c r="B40" s="22" t="s">
        <v>15</v>
      </c>
      <c r="C40" s="22" t="s">
        <v>435</v>
      </c>
      <c r="D40" s="22" t="s">
        <v>436</v>
      </c>
      <c r="E40" s="22" t="s">
        <v>437</v>
      </c>
      <c r="F40" s="22" t="n">
        <v>13</v>
      </c>
      <c r="G40" s="26" t="n">
        <v>101.65</v>
      </c>
      <c r="H40" s="26" t="n">
        <v>112.67</v>
      </c>
      <c r="I40" s="26" t="n">
        <v>134.71</v>
      </c>
      <c r="J40" s="26" t="n">
        <v>145.73</v>
      </c>
      <c r="K40" s="26" t="n">
        <v>162.25</v>
      </c>
      <c r="L40" s="26" t="n">
        <v>2.12</v>
      </c>
      <c r="M40" s="27" t="n">
        <v>0.005</v>
      </c>
      <c r="N40" s="27" t="n">
        <v>0.002</v>
      </c>
      <c r="O40" s="26" t="n">
        <v>5</v>
      </c>
      <c r="P40" s="26" t="n">
        <v>5</v>
      </c>
      <c r="Q40" s="28" t="n">
        <v>100</v>
      </c>
      <c r="R40" s="26" t="n">
        <v>30</v>
      </c>
      <c r="S40" s="26" t="n">
        <v>0</v>
      </c>
      <c r="T40" s="28" t="n">
        <v>1</v>
      </c>
      <c r="U40" s="26" t="n">
        <v>0</v>
      </c>
      <c r="V40" s="26" t="n">
        <v>0</v>
      </c>
      <c r="W40" s="22" t="s">
        <v>15</v>
      </c>
      <c r="X40" s="22" t="s">
        <v>373</v>
      </c>
    </row>
    <row r="41" customFormat="false" ht="15" hidden="false" customHeight="false" outlineLevel="0" collapsed="false">
      <c r="A41" s="22" t="s">
        <v>438</v>
      </c>
      <c r="B41" s="22" t="s">
        <v>15</v>
      </c>
      <c r="C41" s="22" t="s">
        <v>68</v>
      </c>
      <c r="D41" s="22" t="s">
        <v>439</v>
      </c>
      <c r="E41" s="22" t="s">
        <v>440</v>
      </c>
      <c r="F41" s="22" t="n">
        <v>13</v>
      </c>
      <c r="G41" s="26" t="n">
        <v>101.65</v>
      </c>
      <c r="H41" s="26" t="n">
        <v>112.67</v>
      </c>
      <c r="I41" s="26" t="n">
        <v>134.71</v>
      </c>
      <c r="J41" s="26" t="n">
        <v>145.73</v>
      </c>
      <c r="K41" s="26" t="n">
        <v>162.25</v>
      </c>
      <c r="L41" s="26" t="n">
        <v>2.12</v>
      </c>
      <c r="M41" s="27" t="n">
        <v>0.005</v>
      </c>
      <c r="N41" s="27" t="n">
        <v>0.002</v>
      </c>
      <c r="O41" s="26" t="n">
        <v>5</v>
      </c>
      <c r="P41" s="26" t="n">
        <v>5</v>
      </c>
      <c r="Q41" s="28" t="n">
        <v>100</v>
      </c>
      <c r="R41" s="26" t="n">
        <v>30</v>
      </c>
      <c r="S41" s="26" t="n">
        <v>0</v>
      </c>
      <c r="T41" s="28" t="n">
        <v>1</v>
      </c>
      <c r="U41" s="26" t="n">
        <v>0</v>
      </c>
      <c r="V41" s="26" t="n">
        <v>0</v>
      </c>
      <c r="W41" s="22" t="s">
        <v>15</v>
      </c>
      <c r="X41" s="22" t="s">
        <v>373</v>
      </c>
    </row>
    <row r="42" customFormat="false" ht="15" hidden="false" customHeight="false" outlineLevel="0" collapsed="false">
      <c r="A42" s="22" t="s">
        <v>441</v>
      </c>
      <c r="B42" s="22" t="s">
        <v>15</v>
      </c>
      <c r="C42" s="22" t="s">
        <v>442</v>
      </c>
      <c r="D42" s="22" t="s">
        <v>443</v>
      </c>
      <c r="E42" s="22" t="s">
        <v>444</v>
      </c>
      <c r="F42" s="22" t="n">
        <v>13</v>
      </c>
      <c r="G42" s="26" t="n">
        <v>101.65</v>
      </c>
      <c r="H42" s="26" t="n">
        <v>112.67</v>
      </c>
      <c r="I42" s="26" t="n">
        <v>134.71</v>
      </c>
      <c r="J42" s="26" t="n">
        <v>145.73</v>
      </c>
      <c r="K42" s="26" t="n">
        <v>162.25</v>
      </c>
      <c r="L42" s="26" t="n">
        <v>2.12</v>
      </c>
      <c r="M42" s="27" t="n">
        <v>0.005</v>
      </c>
      <c r="N42" s="27" t="n">
        <v>0.002</v>
      </c>
      <c r="O42" s="26" t="n">
        <v>5</v>
      </c>
      <c r="P42" s="26" t="n">
        <v>5</v>
      </c>
      <c r="Q42" s="28" t="n">
        <v>100</v>
      </c>
      <c r="R42" s="26" t="n">
        <v>30</v>
      </c>
      <c r="S42" s="26" t="n">
        <v>0</v>
      </c>
      <c r="T42" s="28" t="n">
        <v>1</v>
      </c>
      <c r="U42" s="26" t="n">
        <v>0</v>
      </c>
      <c r="V42" s="26" t="n">
        <v>0</v>
      </c>
      <c r="W42" s="22" t="s">
        <v>15</v>
      </c>
      <c r="X42" s="22" t="s">
        <v>373</v>
      </c>
    </row>
    <row r="43" customFormat="false" ht="15" hidden="false" customHeight="false" outlineLevel="0" collapsed="false">
      <c r="A43" s="22" t="s">
        <v>445</v>
      </c>
      <c r="B43" s="22" t="s">
        <v>15</v>
      </c>
      <c r="C43" s="22" t="s">
        <v>446</v>
      </c>
      <c r="D43" s="22" t="s">
        <v>447</v>
      </c>
      <c r="E43" s="22" t="s">
        <v>448</v>
      </c>
      <c r="F43" s="22" t="n">
        <v>13</v>
      </c>
      <c r="G43" s="26" t="n">
        <v>101.65</v>
      </c>
      <c r="H43" s="26" t="n">
        <v>112.67</v>
      </c>
      <c r="I43" s="26" t="n">
        <v>134.71</v>
      </c>
      <c r="J43" s="26" t="n">
        <v>145.73</v>
      </c>
      <c r="K43" s="26" t="n">
        <v>162.25</v>
      </c>
      <c r="L43" s="26" t="n">
        <v>2.12</v>
      </c>
      <c r="M43" s="27" t="n">
        <v>0.005</v>
      </c>
      <c r="N43" s="27" t="n">
        <v>0.002</v>
      </c>
      <c r="O43" s="26" t="n">
        <v>5</v>
      </c>
      <c r="P43" s="26" t="n">
        <v>5</v>
      </c>
      <c r="Q43" s="28" t="n">
        <v>100</v>
      </c>
      <c r="R43" s="26" t="n">
        <v>30</v>
      </c>
      <c r="S43" s="26" t="n">
        <v>0</v>
      </c>
      <c r="T43" s="28" t="n">
        <v>1</v>
      </c>
      <c r="U43" s="26" t="n">
        <v>0</v>
      </c>
      <c r="V43" s="26" t="n">
        <v>0</v>
      </c>
      <c r="W43" s="22" t="s">
        <v>15</v>
      </c>
      <c r="X43" s="22" t="s">
        <v>373</v>
      </c>
    </row>
    <row r="44" customFormat="false" ht="15" hidden="false" customHeight="false" outlineLevel="0" collapsed="false">
      <c r="A44" s="22" t="s">
        <v>449</v>
      </c>
      <c r="B44" s="22" t="s">
        <v>15</v>
      </c>
      <c r="C44" s="22" t="s">
        <v>450</v>
      </c>
      <c r="D44" s="22" t="s">
        <v>451</v>
      </c>
      <c r="E44" s="22" t="s">
        <v>452</v>
      </c>
      <c r="F44" s="22" t="n">
        <v>13</v>
      </c>
      <c r="G44" s="26" t="n">
        <v>101.65</v>
      </c>
      <c r="H44" s="26" t="n">
        <v>112.67</v>
      </c>
      <c r="I44" s="26" t="n">
        <v>134.71</v>
      </c>
      <c r="J44" s="26" t="n">
        <v>145.73</v>
      </c>
      <c r="K44" s="26" t="n">
        <v>162.25</v>
      </c>
      <c r="L44" s="26" t="n">
        <v>2.12</v>
      </c>
      <c r="M44" s="27" t="n">
        <v>0.005</v>
      </c>
      <c r="N44" s="27" t="n">
        <v>0.002</v>
      </c>
      <c r="O44" s="26" t="n">
        <v>5</v>
      </c>
      <c r="P44" s="26" t="n">
        <v>5</v>
      </c>
      <c r="Q44" s="28" t="n">
        <v>100</v>
      </c>
      <c r="R44" s="26" t="n">
        <v>30</v>
      </c>
      <c r="S44" s="26" t="n">
        <v>0</v>
      </c>
      <c r="T44" s="28" t="n">
        <v>1</v>
      </c>
      <c r="U44" s="26" t="n">
        <v>0</v>
      </c>
      <c r="V44" s="26" t="n">
        <v>0</v>
      </c>
      <c r="W44" s="22" t="s">
        <v>15</v>
      </c>
      <c r="X44" s="22" t="s">
        <v>373</v>
      </c>
    </row>
    <row r="45" customFormat="false" ht="15" hidden="false" customHeight="false" outlineLevel="0" collapsed="false">
      <c r="A45" s="22" t="s">
        <v>453</v>
      </c>
      <c r="B45" s="22" t="s">
        <v>15</v>
      </c>
      <c r="C45" s="22" t="s">
        <v>454</v>
      </c>
      <c r="D45" s="22" t="s">
        <v>455</v>
      </c>
      <c r="E45" s="22" t="s">
        <v>456</v>
      </c>
      <c r="F45" s="22" t="n">
        <v>13</v>
      </c>
      <c r="G45" s="26" t="n">
        <v>101.65</v>
      </c>
      <c r="H45" s="26" t="n">
        <v>112.67</v>
      </c>
      <c r="I45" s="26" t="n">
        <v>134.71</v>
      </c>
      <c r="J45" s="26" t="n">
        <v>145.73</v>
      </c>
      <c r="K45" s="26" t="n">
        <v>162.25</v>
      </c>
      <c r="L45" s="26" t="n">
        <v>2.12</v>
      </c>
      <c r="M45" s="27" t="n">
        <v>0.005</v>
      </c>
      <c r="N45" s="27" t="n">
        <v>0.002</v>
      </c>
      <c r="O45" s="26" t="n">
        <v>5</v>
      </c>
      <c r="P45" s="26" t="n">
        <v>5</v>
      </c>
      <c r="Q45" s="28" t="n">
        <v>100</v>
      </c>
      <c r="R45" s="26" t="n">
        <v>30</v>
      </c>
      <c r="S45" s="26" t="n">
        <v>0</v>
      </c>
      <c r="T45" s="28" t="n">
        <v>1</v>
      </c>
      <c r="U45" s="26" t="n">
        <v>0</v>
      </c>
      <c r="V45" s="26" t="n">
        <v>0</v>
      </c>
      <c r="W45" s="22" t="s">
        <v>15</v>
      </c>
      <c r="X45" s="22" t="s">
        <v>373</v>
      </c>
    </row>
    <row r="46" customFormat="false" ht="15" hidden="false" customHeight="false" outlineLevel="0" collapsed="false">
      <c r="A46" s="22" t="s">
        <v>457</v>
      </c>
      <c r="B46" s="22" t="s">
        <v>15</v>
      </c>
      <c r="C46" s="22" t="s">
        <v>458</v>
      </c>
      <c r="D46" s="22" t="s">
        <v>459</v>
      </c>
      <c r="E46" s="22" t="s">
        <v>460</v>
      </c>
      <c r="F46" s="22" t="n">
        <v>13</v>
      </c>
      <c r="G46" s="26" t="n">
        <v>101.65</v>
      </c>
      <c r="H46" s="26" t="n">
        <v>112.67</v>
      </c>
      <c r="I46" s="26" t="n">
        <v>134.71</v>
      </c>
      <c r="J46" s="26" t="n">
        <v>145.73</v>
      </c>
      <c r="K46" s="26" t="n">
        <v>162.25</v>
      </c>
      <c r="L46" s="26" t="n">
        <v>2.12</v>
      </c>
      <c r="M46" s="27" t="n">
        <v>0.005</v>
      </c>
      <c r="N46" s="27" t="n">
        <v>0.002</v>
      </c>
      <c r="O46" s="26" t="n">
        <v>5</v>
      </c>
      <c r="P46" s="26" t="n">
        <v>5</v>
      </c>
      <c r="Q46" s="28" t="n">
        <v>100</v>
      </c>
      <c r="R46" s="26" t="n">
        <v>30</v>
      </c>
      <c r="S46" s="26" t="n">
        <v>0</v>
      </c>
      <c r="T46" s="28" t="n">
        <v>1</v>
      </c>
      <c r="U46" s="26" t="n">
        <v>0</v>
      </c>
      <c r="V46" s="26" t="n">
        <v>0</v>
      </c>
      <c r="W46" s="22" t="s">
        <v>15</v>
      </c>
      <c r="X46" s="22" t="s">
        <v>373</v>
      </c>
    </row>
    <row r="47" customFormat="false" ht="15" hidden="false" customHeight="false" outlineLevel="0" collapsed="false">
      <c r="A47" s="22" t="s">
        <v>461</v>
      </c>
      <c r="B47" s="22" t="s">
        <v>15</v>
      </c>
      <c r="C47" s="22" t="s">
        <v>462</v>
      </c>
      <c r="D47" s="22" t="s">
        <v>463</v>
      </c>
      <c r="E47" s="22" t="s">
        <v>464</v>
      </c>
      <c r="F47" s="22" t="n">
        <v>13</v>
      </c>
      <c r="G47" s="26" t="n">
        <v>101.65</v>
      </c>
      <c r="H47" s="26" t="n">
        <v>112.67</v>
      </c>
      <c r="I47" s="26" t="n">
        <v>134.71</v>
      </c>
      <c r="J47" s="26" t="n">
        <v>145.73</v>
      </c>
      <c r="K47" s="26" t="n">
        <v>162.25</v>
      </c>
      <c r="L47" s="26" t="n">
        <v>2.12</v>
      </c>
      <c r="M47" s="27" t="n">
        <v>0.005</v>
      </c>
      <c r="N47" s="27" t="n">
        <v>0.002</v>
      </c>
      <c r="O47" s="26" t="n">
        <v>5</v>
      </c>
      <c r="P47" s="26" t="n">
        <v>5</v>
      </c>
      <c r="Q47" s="28" t="n">
        <v>100</v>
      </c>
      <c r="R47" s="26" t="n">
        <v>30</v>
      </c>
      <c r="S47" s="26" t="n">
        <v>0</v>
      </c>
      <c r="T47" s="28" t="n">
        <v>1</v>
      </c>
      <c r="U47" s="26" t="n">
        <v>0</v>
      </c>
      <c r="V47" s="26" t="n">
        <v>0</v>
      </c>
      <c r="W47" s="22" t="s">
        <v>15</v>
      </c>
      <c r="X47" s="22" t="s">
        <v>373</v>
      </c>
    </row>
    <row r="48" customFormat="false" ht="15" hidden="false" customHeight="false" outlineLevel="0" collapsed="false">
      <c r="A48" s="22" t="s">
        <v>465</v>
      </c>
      <c r="B48" s="22" t="s">
        <v>15</v>
      </c>
      <c r="C48" s="22" t="s">
        <v>466</v>
      </c>
      <c r="D48" s="22" t="s">
        <v>467</v>
      </c>
      <c r="E48" s="22" t="s">
        <v>468</v>
      </c>
      <c r="F48" s="22" t="n">
        <v>13</v>
      </c>
      <c r="G48" s="26" t="n">
        <v>101.65</v>
      </c>
      <c r="H48" s="26" t="n">
        <v>112.67</v>
      </c>
      <c r="I48" s="26" t="n">
        <v>134.71</v>
      </c>
      <c r="J48" s="26" t="n">
        <v>145.73</v>
      </c>
      <c r="K48" s="26" t="n">
        <v>162.25</v>
      </c>
      <c r="L48" s="26" t="n">
        <v>2.12</v>
      </c>
      <c r="M48" s="27" t="n">
        <v>0.005</v>
      </c>
      <c r="N48" s="27" t="n">
        <v>0.002</v>
      </c>
      <c r="O48" s="26" t="n">
        <v>5</v>
      </c>
      <c r="P48" s="26" t="n">
        <v>5</v>
      </c>
      <c r="Q48" s="28" t="n">
        <v>100</v>
      </c>
      <c r="R48" s="26" t="n">
        <v>30</v>
      </c>
      <c r="S48" s="26" t="n">
        <v>0</v>
      </c>
      <c r="T48" s="28" t="n">
        <v>1</v>
      </c>
      <c r="U48" s="26" t="n">
        <v>0</v>
      </c>
      <c r="V48" s="26" t="n">
        <v>0</v>
      </c>
      <c r="W48" s="22" t="s">
        <v>15</v>
      </c>
      <c r="X48" s="22" t="s">
        <v>373</v>
      </c>
    </row>
    <row r="49" customFormat="false" ht="15" hidden="false" customHeight="false" outlineLevel="0" collapsed="false">
      <c r="A49" s="22" t="s">
        <v>469</v>
      </c>
      <c r="B49" s="22" t="s">
        <v>15</v>
      </c>
      <c r="C49" s="22" t="s">
        <v>470</v>
      </c>
      <c r="D49" s="22" t="s">
        <v>471</v>
      </c>
      <c r="E49" s="22" t="s">
        <v>472</v>
      </c>
      <c r="F49" s="22" t="n">
        <v>13</v>
      </c>
      <c r="G49" s="26" t="n">
        <v>101.65</v>
      </c>
      <c r="H49" s="26" t="n">
        <v>112.67</v>
      </c>
      <c r="I49" s="26" t="n">
        <v>134.71</v>
      </c>
      <c r="J49" s="26" t="n">
        <v>145.73</v>
      </c>
      <c r="K49" s="26" t="n">
        <v>162.25</v>
      </c>
      <c r="L49" s="26" t="n">
        <v>2.12</v>
      </c>
      <c r="M49" s="27" t="n">
        <v>0.005</v>
      </c>
      <c r="N49" s="27" t="n">
        <v>0.002</v>
      </c>
      <c r="O49" s="26" t="n">
        <v>5</v>
      </c>
      <c r="P49" s="26" t="n">
        <v>5</v>
      </c>
      <c r="Q49" s="28" t="n">
        <v>100</v>
      </c>
      <c r="R49" s="26" t="n">
        <v>30</v>
      </c>
      <c r="S49" s="26" t="n">
        <v>0</v>
      </c>
      <c r="T49" s="28" t="n">
        <v>1</v>
      </c>
      <c r="U49" s="26" t="n">
        <v>0</v>
      </c>
      <c r="V49" s="26" t="n">
        <v>0</v>
      </c>
      <c r="W49" s="22" t="s">
        <v>15</v>
      </c>
      <c r="X49" s="22" t="s">
        <v>373</v>
      </c>
    </row>
    <row r="50" customFormat="false" ht="15" hidden="false" customHeight="false" outlineLevel="0" collapsed="false">
      <c r="A50" s="22" t="s">
        <v>473</v>
      </c>
      <c r="B50" s="22" t="s">
        <v>15</v>
      </c>
      <c r="C50" s="22" t="s">
        <v>474</v>
      </c>
      <c r="D50" s="22" t="s">
        <v>475</v>
      </c>
      <c r="E50" s="22" t="s">
        <v>476</v>
      </c>
      <c r="F50" s="22" t="n">
        <v>13</v>
      </c>
      <c r="G50" s="26" t="n">
        <v>101.65</v>
      </c>
      <c r="H50" s="26" t="n">
        <v>112.67</v>
      </c>
      <c r="I50" s="26" t="n">
        <v>134.71</v>
      </c>
      <c r="J50" s="26" t="n">
        <v>145.73</v>
      </c>
      <c r="K50" s="26" t="n">
        <v>162.25</v>
      </c>
      <c r="L50" s="26" t="n">
        <v>2.12</v>
      </c>
      <c r="M50" s="27" t="n">
        <v>0.005</v>
      </c>
      <c r="N50" s="27" t="n">
        <v>0.002</v>
      </c>
      <c r="O50" s="26" t="n">
        <v>5</v>
      </c>
      <c r="P50" s="26" t="n">
        <v>5</v>
      </c>
      <c r="Q50" s="28" t="n">
        <v>100</v>
      </c>
      <c r="R50" s="26" t="n">
        <v>30</v>
      </c>
      <c r="S50" s="26" t="n">
        <v>0</v>
      </c>
      <c r="T50" s="28" t="n">
        <v>1</v>
      </c>
      <c r="U50" s="26" t="n">
        <v>0</v>
      </c>
      <c r="V50" s="26" t="n">
        <v>0</v>
      </c>
      <c r="W50" s="22" t="s">
        <v>15</v>
      </c>
      <c r="X50" s="22" t="s">
        <v>373</v>
      </c>
    </row>
    <row r="51" customFormat="false" ht="15" hidden="false" customHeight="false" outlineLevel="0" collapsed="false">
      <c r="A51" s="22" t="s">
        <v>477</v>
      </c>
      <c r="B51" s="22" t="s">
        <v>15</v>
      </c>
      <c r="C51" s="22" t="s">
        <v>478</v>
      </c>
      <c r="D51" s="22" t="s">
        <v>479</v>
      </c>
      <c r="E51" s="22" t="s">
        <v>480</v>
      </c>
      <c r="F51" s="22" t="n">
        <v>13</v>
      </c>
      <c r="G51" s="26" t="n">
        <v>101.65</v>
      </c>
      <c r="H51" s="26" t="n">
        <v>112.67</v>
      </c>
      <c r="I51" s="26" t="n">
        <v>134.71</v>
      </c>
      <c r="J51" s="26" t="n">
        <v>145.73</v>
      </c>
      <c r="K51" s="26" t="n">
        <v>162.25</v>
      </c>
      <c r="L51" s="26" t="n">
        <v>2.12</v>
      </c>
      <c r="M51" s="27" t="n">
        <v>0.005</v>
      </c>
      <c r="N51" s="27" t="n">
        <v>0.002</v>
      </c>
      <c r="O51" s="26" t="n">
        <v>5</v>
      </c>
      <c r="P51" s="26" t="n">
        <v>5</v>
      </c>
      <c r="Q51" s="28" t="n">
        <v>100</v>
      </c>
      <c r="R51" s="26" t="n">
        <v>30</v>
      </c>
      <c r="S51" s="26" t="n">
        <v>0</v>
      </c>
      <c r="T51" s="28" t="n">
        <v>1</v>
      </c>
      <c r="U51" s="26" t="n">
        <v>0</v>
      </c>
      <c r="V51" s="26" t="n">
        <v>0</v>
      </c>
      <c r="W51" s="22" t="s">
        <v>15</v>
      </c>
      <c r="X51" s="22" t="s">
        <v>373</v>
      </c>
    </row>
    <row r="52" customFormat="false" ht="15" hidden="false" customHeight="false" outlineLevel="0" collapsed="false">
      <c r="A52" s="22" t="s">
        <v>481</v>
      </c>
      <c r="B52" s="22" t="s">
        <v>15</v>
      </c>
      <c r="C52" s="22" t="s">
        <v>482</v>
      </c>
      <c r="D52" s="22" t="s">
        <v>483</v>
      </c>
      <c r="E52" s="22" t="s">
        <v>484</v>
      </c>
      <c r="F52" s="22" t="n">
        <v>13</v>
      </c>
      <c r="G52" s="26" t="n">
        <v>101.65</v>
      </c>
      <c r="H52" s="26" t="n">
        <v>112.67</v>
      </c>
      <c r="I52" s="26" t="n">
        <v>134.71</v>
      </c>
      <c r="J52" s="26" t="n">
        <v>145.73</v>
      </c>
      <c r="K52" s="26" t="n">
        <v>162.25</v>
      </c>
      <c r="L52" s="26" t="n">
        <v>2.12</v>
      </c>
      <c r="M52" s="27" t="n">
        <v>0.005</v>
      </c>
      <c r="N52" s="27" t="n">
        <v>0.002</v>
      </c>
      <c r="O52" s="26" t="n">
        <v>5</v>
      </c>
      <c r="P52" s="26" t="n">
        <v>5</v>
      </c>
      <c r="Q52" s="28" t="n">
        <v>100</v>
      </c>
      <c r="R52" s="26" t="n">
        <v>30</v>
      </c>
      <c r="S52" s="26" t="n">
        <v>0</v>
      </c>
      <c r="T52" s="28" t="n">
        <v>1</v>
      </c>
      <c r="U52" s="26" t="n">
        <v>0</v>
      </c>
      <c r="V52" s="26" t="n">
        <v>0</v>
      </c>
      <c r="W52" s="22" t="s">
        <v>15</v>
      </c>
      <c r="X52" s="22" t="s">
        <v>373</v>
      </c>
    </row>
    <row r="53" customFormat="false" ht="15" hidden="false" customHeight="false" outlineLevel="0" collapsed="false">
      <c r="A53" s="22" t="s">
        <v>485</v>
      </c>
      <c r="B53" s="22" t="s">
        <v>15</v>
      </c>
      <c r="C53" s="22" t="s">
        <v>486</v>
      </c>
      <c r="D53" s="22" t="s">
        <v>487</v>
      </c>
      <c r="E53" s="22" t="s">
        <v>488</v>
      </c>
      <c r="F53" s="22" t="n">
        <v>13</v>
      </c>
      <c r="G53" s="26" t="n">
        <v>101.65</v>
      </c>
      <c r="H53" s="26" t="n">
        <v>112.67</v>
      </c>
      <c r="I53" s="26" t="n">
        <v>134.71</v>
      </c>
      <c r="J53" s="26" t="n">
        <v>145.73</v>
      </c>
      <c r="K53" s="26" t="n">
        <v>162.25</v>
      </c>
      <c r="L53" s="26" t="n">
        <v>2.12</v>
      </c>
      <c r="M53" s="27" t="n">
        <v>0.005</v>
      </c>
      <c r="N53" s="27" t="n">
        <v>0.002</v>
      </c>
      <c r="O53" s="26" t="n">
        <v>5</v>
      </c>
      <c r="P53" s="26" t="n">
        <v>5</v>
      </c>
      <c r="Q53" s="28" t="n">
        <v>100</v>
      </c>
      <c r="R53" s="26" t="n">
        <v>30</v>
      </c>
      <c r="S53" s="26" t="n">
        <v>0</v>
      </c>
      <c r="T53" s="28" t="n">
        <v>1</v>
      </c>
      <c r="U53" s="26" t="n">
        <v>0</v>
      </c>
      <c r="V53" s="26" t="n">
        <v>0</v>
      </c>
      <c r="W53" s="22" t="s">
        <v>15</v>
      </c>
      <c r="X53" s="22" t="s">
        <v>373</v>
      </c>
    </row>
    <row r="54" customFormat="false" ht="15" hidden="false" customHeight="false" outlineLevel="0" collapsed="false">
      <c r="A54" s="22" t="s">
        <v>489</v>
      </c>
      <c r="B54" s="22" t="s">
        <v>15</v>
      </c>
      <c r="C54" s="22" t="s">
        <v>490</v>
      </c>
      <c r="D54" s="22" t="s">
        <v>491</v>
      </c>
      <c r="E54" s="22" t="s">
        <v>492</v>
      </c>
      <c r="F54" s="22" t="n">
        <v>13</v>
      </c>
      <c r="G54" s="26" t="n">
        <v>101.65</v>
      </c>
      <c r="H54" s="26" t="n">
        <v>112.67</v>
      </c>
      <c r="I54" s="26" t="n">
        <v>134.71</v>
      </c>
      <c r="J54" s="26" t="n">
        <v>145.73</v>
      </c>
      <c r="K54" s="26" t="n">
        <v>162.25</v>
      </c>
      <c r="L54" s="26" t="n">
        <v>2.12</v>
      </c>
      <c r="M54" s="27" t="n">
        <v>0.005</v>
      </c>
      <c r="N54" s="27" t="n">
        <v>0.002</v>
      </c>
      <c r="O54" s="26" t="n">
        <v>5</v>
      </c>
      <c r="P54" s="26" t="n">
        <v>5</v>
      </c>
      <c r="Q54" s="28" t="n">
        <v>100</v>
      </c>
      <c r="R54" s="26" t="n">
        <v>30</v>
      </c>
      <c r="S54" s="26" t="n">
        <v>0</v>
      </c>
      <c r="T54" s="28" t="n">
        <v>1</v>
      </c>
      <c r="U54" s="26" t="n">
        <v>0</v>
      </c>
      <c r="V54" s="26" t="n">
        <v>0</v>
      </c>
      <c r="W54" s="22" t="s">
        <v>15</v>
      </c>
      <c r="X54" s="22" t="s">
        <v>373</v>
      </c>
    </row>
    <row r="55" customFormat="false" ht="15" hidden="false" customHeight="false" outlineLevel="0" collapsed="false">
      <c r="A55" s="22" t="s">
        <v>493</v>
      </c>
      <c r="B55" s="22" t="s">
        <v>15</v>
      </c>
      <c r="C55" s="22" t="s">
        <v>494</v>
      </c>
      <c r="D55" s="22" t="s">
        <v>495</v>
      </c>
      <c r="E55" s="22" t="s">
        <v>496</v>
      </c>
      <c r="F55" s="22" t="n">
        <v>13</v>
      </c>
      <c r="G55" s="26" t="n">
        <v>101.65</v>
      </c>
      <c r="H55" s="26" t="n">
        <v>112.67</v>
      </c>
      <c r="I55" s="26" t="n">
        <v>134.71</v>
      </c>
      <c r="J55" s="26" t="n">
        <v>145.73</v>
      </c>
      <c r="K55" s="26" t="n">
        <v>162.25</v>
      </c>
      <c r="L55" s="26" t="n">
        <v>2.12</v>
      </c>
      <c r="M55" s="27" t="n">
        <v>0.005</v>
      </c>
      <c r="N55" s="27" t="n">
        <v>0.002</v>
      </c>
      <c r="O55" s="26" t="n">
        <v>5</v>
      </c>
      <c r="P55" s="26" t="n">
        <v>5</v>
      </c>
      <c r="Q55" s="28" t="n">
        <v>100</v>
      </c>
      <c r="R55" s="26" t="n">
        <v>30</v>
      </c>
      <c r="S55" s="26" t="n">
        <v>0</v>
      </c>
      <c r="T55" s="28" t="n">
        <v>1</v>
      </c>
      <c r="U55" s="26" t="n">
        <v>0</v>
      </c>
      <c r="V55" s="26" t="n">
        <v>0</v>
      </c>
      <c r="W55" s="22" t="s">
        <v>15</v>
      </c>
      <c r="X55" s="22" t="s">
        <v>373</v>
      </c>
    </row>
    <row r="56" customFormat="false" ht="15" hidden="false" customHeight="false" outlineLevel="0" collapsed="false">
      <c r="A56" s="22" t="s">
        <v>497</v>
      </c>
      <c r="B56" s="22" t="s">
        <v>15</v>
      </c>
      <c r="C56" s="22" t="s">
        <v>498</v>
      </c>
      <c r="D56" s="22" t="s">
        <v>499</v>
      </c>
      <c r="E56" s="22" t="s">
        <v>500</v>
      </c>
      <c r="F56" s="22" t="n">
        <v>13</v>
      </c>
      <c r="G56" s="26" t="n">
        <v>101.65</v>
      </c>
      <c r="H56" s="26" t="n">
        <v>112.67</v>
      </c>
      <c r="I56" s="26" t="n">
        <v>134.71</v>
      </c>
      <c r="J56" s="26" t="n">
        <v>145.73</v>
      </c>
      <c r="K56" s="26" t="n">
        <v>162.25</v>
      </c>
      <c r="L56" s="26" t="n">
        <v>2.12</v>
      </c>
      <c r="M56" s="27" t="n">
        <v>0.005</v>
      </c>
      <c r="N56" s="27" t="n">
        <v>0.002</v>
      </c>
      <c r="O56" s="26" t="n">
        <v>5</v>
      </c>
      <c r="P56" s="26" t="n">
        <v>5</v>
      </c>
      <c r="Q56" s="28" t="n">
        <v>100</v>
      </c>
      <c r="R56" s="26" t="n">
        <v>30</v>
      </c>
      <c r="S56" s="26" t="n">
        <v>0</v>
      </c>
      <c r="T56" s="28" t="n">
        <v>1</v>
      </c>
      <c r="U56" s="26" t="n">
        <v>0</v>
      </c>
      <c r="V56" s="26" t="n">
        <v>0</v>
      </c>
      <c r="W56" s="22" t="s">
        <v>15</v>
      </c>
      <c r="X56" s="22" t="s">
        <v>373</v>
      </c>
    </row>
    <row r="57" customFormat="false" ht="15" hidden="false" customHeight="false" outlineLevel="0" collapsed="false">
      <c r="A57" s="22" t="s">
        <v>501</v>
      </c>
      <c r="B57" s="22" t="s">
        <v>15</v>
      </c>
      <c r="C57" s="22" t="s">
        <v>502</v>
      </c>
      <c r="D57" s="22" t="s">
        <v>503</v>
      </c>
      <c r="E57" s="22" t="s">
        <v>504</v>
      </c>
      <c r="F57" s="22" t="n">
        <v>13</v>
      </c>
      <c r="G57" s="26" t="n">
        <v>101.65</v>
      </c>
      <c r="H57" s="26" t="n">
        <v>112.67</v>
      </c>
      <c r="I57" s="26" t="n">
        <v>134.71</v>
      </c>
      <c r="J57" s="26" t="n">
        <v>145.73</v>
      </c>
      <c r="K57" s="26" t="n">
        <v>162.25</v>
      </c>
      <c r="L57" s="26" t="n">
        <v>2.12</v>
      </c>
      <c r="M57" s="27" t="n">
        <v>0.005</v>
      </c>
      <c r="N57" s="27" t="n">
        <v>0.002</v>
      </c>
      <c r="O57" s="26" t="n">
        <v>5</v>
      </c>
      <c r="P57" s="26" t="n">
        <v>5</v>
      </c>
      <c r="Q57" s="28" t="n">
        <v>100</v>
      </c>
      <c r="R57" s="26" t="n">
        <v>30</v>
      </c>
      <c r="S57" s="26" t="n">
        <v>0</v>
      </c>
      <c r="T57" s="28" t="n">
        <v>1</v>
      </c>
      <c r="U57" s="26" t="n">
        <v>0</v>
      </c>
      <c r="V57" s="26" t="n">
        <v>0</v>
      </c>
      <c r="W57" s="22" t="s">
        <v>15</v>
      </c>
      <c r="X57" s="22" t="s">
        <v>373</v>
      </c>
    </row>
    <row r="58" customFormat="false" ht="15" hidden="false" customHeight="false" outlineLevel="0" collapsed="false">
      <c r="A58" s="22" t="s">
        <v>505</v>
      </c>
      <c r="B58" s="22" t="s">
        <v>15</v>
      </c>
      <c r="C58" s="22" t="s">
        <v>506</v>
      </c>
      <c r="D58" s="22" t="s">
        <v>507</v>
      </c>
      <c r="E58" s="22" t="s">
        <v>508</v>
      </c>
      <c r="F58" s="22" t="n">
        <v>13</v>
      </c>
      <c r="G58" s="26" t="n">
        <v>101.65</v>
      </c>
      <c r="H58" s="26" t="n">
        <v>112.67</v>
      </c>
      <c r="I58" s="26" t="n">
        <v>134.71</v>
      </c>
      <c r="J58" s="26" t="n">
        <v>145.73</v>
      </c>
      <c r="K58" s="26" t="n">
        <v>162.25</v>
      </c>
      <c r="L58" s="26" t="n">
        <v>2.12</v>
      </c>
      <c r="M58" s="27" t="n">
        <v>0.005</v>
      </c>
      <c r="N58" s="27" t="n">
        <v>0.002</v>
      </c>
      <c r="O58" s="26" t="n">
        <v>5</v>
      </c>
      <c r="P58" s="26" t="n">
        <v>5</v>
      </c>
      <c r="Q58" s="28" t="n">
        <v>100</v>
      </c>
      <c r="R58" s="26" t="n">
        <v>30</v>
      </c>
      <c r="S58" s="26" t="n">
        <v>0</v>
      </c>
      <c r="T58" s="28" t="n">
        <v>1</v>
      </c>
      <c r="U58" s="26" t="n">
        <v>0</v>
      </c>
      <c r="V58" s="26" t="n">
        <v>0</v>
      </c>
      <c r="W58" s="22" t="s">
        <v>15</v>
      </c>
      <c r="X58" s="22" t="s">
        <v>373</v>
      </c>
    </row>
    <row r="59" customFormat="false" ht="15" hidden="false" customHeight="false" outlineLevel="0" collapsed="false">
      <c r="A59" s="22" t="s">
        <v>509</v>
      </c>
      <c r="B59" s="22" t="s">
        <v>15</v>
      </c>
      <c r="C59" s="22" t="s">
        <v>510</v>
      </c>
      <c r="D59" s="22" t="s">
        <v>511</v>
      </c>
      <c r="E59" s="22" t="s">
        <v>512</v>
      </c>
      <c r="F59" s="22" t="n">
        <v>13</v>
      </c>
      <c r="G59" s="26" t="n">
        <v>101.65</v>
      </c>
      <c r="H59" s="26" t="n">
        <v>112.67</v>
      </c>
      <c r="I59" s="26" t="n">
        <v>134.71</v>
      </c>
      <c r="J59" s="26" t="n">
        <v>145.73</v>
      </c>
      <c r="K59" s="26" t="n">
        <v>162.25</v>
      </c>
      <c r="L59" s="26" t="n">
        <v>2.12</v>
      </c>
      <c r="M59" s="27" t="n">
        <v>0.005</v>
      </c>
      <c r="N59" s="27" t="n">
        <v>0.002</v>
      </c>
      <c r="O59" s="26" t="n">
        <v>5</v>
      </c>
      <c r="P59" s="26" t="n">
        <v>5</v>
      </c>
      <c r="Q59" s="28" t="n">
        <v>100</v>
      </c>
      <c r="R59" s="26" t="n">
        <v>30</v>
      </c>
      <c r="S59" s="26" t="n">
        <v>0</v>
      </c>
      <c r="T59" s="28" t="n">
        <v>1</v>
      </c>
      <c r="U59" s="26" t="n">
        <v>0</v>
      </c>
      <c r="V59" s="26" t="n">
        <v>0</v>
      </c>
      <c r="W59" s="22" t="s">
        <v>15</v>
      </c>
      <c r="X59" s="22" t="s">
        <v>373</v>
      </c>
    </row>
    <row r="60" customFormat="false" ht="15" hidden="false" customHeight="false" outlineLevel="0" collapsed="false">
      <c r="A60" s="22" t="s">
        <v>513</v>
      </c>
      <c r="B60" s="22" t="s">
        <v>15</v>
      </c>
      <c r="C60" s="22" t="s">
        <v>514</v>
      </c>
      <c r="D60" s="22" t="s">
        <v>515</v>
      </c>
      <c r="E60" s="22" t="s">
        <v>516</v>
      </c>
      <c r="F60" s="22" t="n">
        <v>13</v>
      </c>
      <c r="G60" s="26" t="n">
        <v>101.65</v>
      </c>
      <c r="H60" s="26" t="n">
        <v>112.67</v>
      </c>
      <c r="I60" s="26" t="n">
        <v>134.71</v>
      </c>
      <c r="J60" s="26" t="n">
        <v>145.73</v>
      </c>
      <c r="K60" s="26" t="n">
        <v>162.25</v>
      </c>
      <c r="L60" s="26" t="n">
        <v>2.12</v>
      </c>
      <c r="M60" s="27" t="n">
        <v>0.005</v>
      </c>
      <c r="N60" s="27" t="n">
        <v>0.002</v>
      </c>
      <c r="O60" s="26" t="n">
        <v>5</v>
      </c>
      <c r="P60" s="26" t="n">
        <v>5</v>
      </c>
      <c r="Q60" s="28" t="n">
        <v>100</v>
      </c>
      <c r="R60" s="26" t="n">
        <v>30</v>
      </c>
      <c r="S60" s="26" t="n">
        <v>0</v>
      </c>
      <c r="T60" s="28" t="n">
        <v>1</v>
      </c>
      <c r="U60" s="26" t="n">
        <v>0</v>
      </c>
      <c r="V60" s="26" t="n">
        <v>0</v>
      </c>
      <c r="W60" s="22" t="s">
        <v>15</v>
      </c>
      <c r="X60" s="22" t="s">
        <v>373</v>
      </c>
    </row>
    <row r="61" customFormat="false" ht="15" hidden="false" customHeight="false" outlineLevel="0" collapsed="false">
      <c r="A61" s="22" t="s">
        <v>517</v>
      </c>
      <c r="B61" s="22" t="s">
        <v>15</v>
      </c>
      <c r="C61" s="22" t="s">
        <v>518</v>
      </c>
      <c r="D61" s="22" t="s">
        <v>519</v>
      </c>
      <c r="E61" s="22" t="s">
        <v>520</v>
      </c>
      <c r="F61" s="22" t="n">
        <v>13</v>
      </c>
      <c r="G61" s="26" t="n">
        <v>101.65</v>
      </c>
      <c r="H61" s="26" t="n">
        <v>112.67</v>
      </c>
      <c r="I61" s="26" t="n">
        <v>134.71</v>
      </c>
      <c r="J61" s="26" t="n">
        <v>145.73</v>
      </c>
      <c r="K61" s="26" t="n">
        <v>162.25</v>
      </c>
      <c r="L61" s="26" t="n">
        <v>2.12</v>
      </c>
      <c r="M61" s="27" t="n">
        <v>0.005</v>
      </c>
      <c r="N61" s="27" t="n">
        <v>0.002</v>
      </c>
      <c r="O61" s="26" t="n">
        <v>5</v>
      </c>
      <c r="P61" s="26" t="n">
        <v>5</v>
      </c>
      <c r="Q61" s="28" t="n">
        <v>100</v>
      </c>
      <c r="R61" s="26" t="n">
        <v>30</v>
      </c>
      <c r="S61" s="26" t="n">
        <v>0</v>
      </c>
      <c r="T61" s="28" t="n">
        <v>1</v>
      </c>
      <c r="U61" s="26" t="n">
        <v>0</v>
      </c>
      <c r="V61" s="26" t="n">
        <v>0</v>
      </c>
      <c r="W61" s="22" t="s">
        <v>15</v>
      </c>
      <c r="X61" s="22" t="s">
        <v>373</v>
      </c>
    </row>
    <row r="62" customFormat="false" ht="15" hidden="false" customHeight="false" outlineLevel="0" collapsed="false">
      <c r="A62" s="22" t="s">
        <v>521</v>
      </c>
      <c r="B62" s="22" t="s">
        <v>15</v>
      </c>
      <c r="C62" s="22" t="s">
        <v>522</v>
      </c>
      <c r="D62" s="22" t="s">
        <v>523</v>
      </c>
      <c r="E62" s="22" t="s">
        <v>524</v>
      </c>
      <c r="F62" s="22" t="n">
        <v>13</v>
      </c>
      <c r="G62" s="26" t="n">
        <v>101.65</v>
      </c>
      <c r="H62" s="26" t="n">
        <v>112.67</v>
      </c>
      <c r="I62" s="26" t="n">
        <v>134.71</v>
      </c>
      <c r="J62" s="26" t="n">
        <v>145.73</v>
      </c>
      <c r="K62" s="26" t="n">
        <v>162.25</v>
      </c>
      <c r="L62" s="26" t="n">
        <v>2.12</v>
      </c>
      <c r="M62" s="27" t="n">
        <v>0.005</v>
      </c>
      <c r="N62" s="27" t="n">
        <v>0.002</v>
      </c>
      <c r="O62" s="26" t="n">
        <v>5</v>
      </c>
      <c r="P62" s="26" t="n">
        <v>5</v>
      </c>
      <c r="Q62" s="28" t="n">
        <v>100</v>
      </c>
      <c r="R62" s="26" t="n">
        <v>30</v>
      </c>
      <c r="S62" s="26" t="n">
        <v>0</v>
      </c>
      <c r="T62" s="28" t="n">
        <v>1</v>
      </c>
      <c r="U62" s="26" t="n">
        <v>0</v>
      </c>
      <c r="V62" s="26" t="n">
        <v>0</v>
      </c>
      <c r="W62" s="22" t="s">
        <v>15</v>
      </c>
      <c r="X62" s="22" t="s">
        <v>373</v>
      </c>
    </row>
    <row r="63" customFormat="false" ht="15" hidden="false" customHeight="false" outlineLevel="0" collapsed="false">
      <c r="A63" s="22" t="s">
        <v>525</v>
      </c>
      <c r="B63" s="22" t="s">
        <v>15</v>
      </c>
      <c r="C63" s="22" t="s">
        <v>526</v>
      </c>
      <c r="D63" s="22" t="s">
        <v>527</v>
      </c>
      <c r="E63" s="22" t="s">
        <v>528</v>
      </c>
      <c r="F63" s="22" t="n">
        <v>13</v>
      </c>
      <c r="G63" s="26" t="n">
        <v>101.65</v>
      </c>
      <c r="H63" s="26" t="n">
        <v>112.67</v>
      </c>
      <c r="I63" s="26" t="n">
        <v>134.71</v>
      </c>
      <c r="J63" s="26" t="n">
        <v>145.73</v>
      </c>
      <c r="K63" s="26" t="n">
        <v>162.25</v>
      </c>
      <c r="L63" s="26" t="n">
        <v>2.12</v>
      </c>
      <c r="M63" s="27" t="n">
        <v>0.005</v>
      </c>
      <c r="N63" s="27" t="n">
        <v>0.002</v>
      </c>
      <c r="O63" s="26" t="n">
        <v>5</v>
      </c>
      <c r="P63" s="26" t="n">
        <v>5</v>
      </c>
      <c r="Q63" s="28" t="n">
        <v>100</v>
      </c>
      <c r="R63" s="26" t="n">
        <v>30</v>
      </c>
      <c r="S63" s="26" t="n">
        <v>0</v>
      </c>
      <c r="T63" s="28" t="n">
        <v>1</v>
      </c>
      <c r="U63" s="26" t="n">
        <v>0</v>
      </c>
      <c r="V63" s="26" t="n">
        <v>0</v>
      </c>
      <c r="W63" s="22" t="s">
        <v>15</v>
      </c>
      <c r="X63" s="22" t="s">
        <v>373</v>
      </c>
    </row>
    <row r="64" customFormat="false" ht="15" hidden="false" customHeight="false" outlineLevel="0" collapsed="false">
      <c r="A64" s="22" t="s">
        <v>529</v>
      </c>
      <c r="B64" s="22" t="s">
        <v>15</v>
      </c>
      <c r="C64" s="22" t="s">
        <v>66</v>
      </c>
      <c r="D64" s="22" t="s">
        <v>530</v>
      </c>
      <c r="E64" s="22" t="s">
        <v>531</v>
      </c>
      <c r="F64" s="22" t="n">
        <v>13</v>
      </c>
      <c r="G64" s="26" t="n">
        <v>101.65</v>
      </c>
      <c r="H64" s="26" t="n">
        <v>112.67</v>
      </c>
      <c r="I64" s="26" t="n">
        <v>134.71</v>
      </c>
      <c r="J64" s="26" t="n">
        <v>145.73</v>
      </c>
      <c r="K64" s="26" t="n">
        <v>162.25</v>
      </c>
      <c r="L64" s="26" t="n">
        <v>2.12</v>
      </c>
      <c r="M64" s="27" t="n">
        <v>0.005</v>
      </c>
      <c r="N64" s="27" t="n">
        <v>0.002</v>
      </c>
      <c r="O64" s="26" t="n">
        <v>5</v>
      </c>
      <c r="P64" s="26" t="n">
        <v>5</v>
      </c>
      <c r="Q64" s="28" t="n">
        <v>100</v>
      </c>
      <c r="R64" s="26" t="n">
        <v>30</v>
      </c>
      <c r="S64" s="26" t="n">
        <v>0</v>
      </c>
      <c r="T64" s="28" t="n">
        <v>1</v>
      </c>
      <c r="U64" s="26" t="n">
        <v>0</v>
      </c>
      <c r="V64" s="26" t="n">
        <v>0</v>
      </c>
      <c r="W64" s="22" t="s">
        <v>15</v>
      </c>
      <c r="X64" s="22" t="s">
        <v>373</v>
      </c>
    </row>
    <row r="65" customFormat="false" ht="15" hidden="false" customHeight="false" outlineLevel="0" collapsed="false">
      <c r="A65" s="22" t="s">
        <v>532</v>
      </c>
      <c r="B65" s="22" t="s">
        <v>15</v>
      </c>
      <c r="C65" s="22" t="s">
        <v>533</v>
      </c>
      <c r="D65" s="22" t="s">
        <v>534</v>
      </c>
      <c r="E65" s="22" t="s">
        <v>535</v>
      </c>
      <c r="F65" s="22" t="n">
        <v>13</v>
      </c>
      <c r="G65" s="26" t="n">
        <v>101.65</v>
      </c>
      <c r="H65" s="26" t="n">
        <v>112.67</v>
      </c>
      <c r="I65" s="26" t="n">
        <v>134.71</v>
      </c>
      <c r="J65" s="26" t="n">
        <v>145.73</v>
      </c>
      <c r="K65" s="26" t="n">
        <v>162.25</v>
      </c>
      <c r="L65" s="26" t="n">
        <v>2.12</v>
      </c>
      <c r="M65" s="27" t="n">
        <v>0.005</v>
      </c>
      <c r="N65" s="27" t="n">
        <v>0.002</v>
      </c>
      <c r="O65" s="26" t="n">
        <v>5</v>
      </c>
      <c r="P65" s="26" t="n">
        <v>5</v>
      </c>
      <c r="Q65" s="28" t="n">
        <v>100</v>
      </c>
      <c r="R65" s="26" t="n">
        <v>30</v>
      </c>
      <c r="S65" s="26" t="n">
        <v>0</v>
      </c>
      <c r="T65" s="28" t="n">
        <v>1</v>
      </c>
      <c r="U65" s="26" t="n">
        <v>0</v>
      </c>
      <c r="V65" s="26" t="n">
        <v>0</v>
      </c>
      <c r="W65" s="22" t="s">
        <v>15</v>
      </c>
      <c r="X65" s="22" t="s">
        <v>373</v>
      </c>
    </row>
    <row r="66" customFormat="false" ht="15" hidden="false" customHeight="false" outlineLevel="0" collapsed="false">
      <c r="A66" s="22" t="s">
        <v>536</v>
      </c>
      <c r="B66" s="22" t="s">
        <v>15</v>
      </c>
      <c r="C66" s="22" t="s">
        <v>537</v>
      </c>
      <c r="D66" s="22" t="s">
        <v>538</v>
      </c>
      <c r="E66" s="22" t="s">
        <v>539</v>
      </c>
      <c r="F66" s="22" t="n">
        <v>13</v>
      </c>
      <c r="G66" s="26" t="n">
        <v>101.65</v>
      </c>
      <c r="H66" s="26" t="n">
        <v>112.67</v>
      </c>
      <c r="I66" s="26" t="n">
        <v>134.71</v>
      </c>
      <c r="J66" s="26" t="n">
        <v>145.73</v>
      </c>
      <c r="K66" s="26" t="n">
        <v>162.25</v>
      </c>
      <c r="L66" s="26" t="n">
        <v>2.12</v>
      </c>
      <c r="M66" s="27" t="n">
        <v>0.005</v>
      </c>
      <c r="N66" s="27" t="n">
        <v>0.002</v>
      </c>
      <c r="O66" s="26" t="n">
        <v>5</v>
      </c>
      <c r="P66" s="26" t="n">
        <v>5</v>
      </c>
      <c r="Q66" s="28" t="n">
        <v>100</v>
      </c>
      <c r="R66" s="26" t="n">
        <v>30</v>
      </c>
      <c r="S66" s="26" t="n">
        <v>0</v>
      </c>
      <c r="T66" s="28" t="n">
        <v>1</v>
      </c>
      <c r="U66" s="26" t="n">
        <v>0</v>
      </c>
      <c r="V66" s="26" t="n">
        <v>0</v>
      </c>
      <c r="W66" s="22" t="s">
        <v>15</v>
      </c>
      <c r="X66" s="22" t="s">
        <v>373</v>
      </c>
    </row>
    <row r="67" customFormat="false" ht="15" hidden="false" customHeight="false" outlineLevel="0" collapsed="false">
      <c r="A67" s="22" t="s">
        <v>540</v>
      </c>
      <c r="B67" s="22" t="s">
        <v>15</v>
      </c>
      <c r="C67" s="22" t="s">
        <v>541</v>
      </c>
      <c r="D67" s="22" t="s">
        <v>542</v>
      </c>
      <c r="E67" s="22" t="s">
        <v>543</v>
      </c>
      <c r="F67" s="22" t="n">
        <v>13</v>
      </c>
      <c r="G67" s="26" t="n">
        <v>101.65</v>
      </c>
      <c r="H67" s="26" t="n">
        <v>112.67</v>
      </c>
      <c r="I67" s="26" t="n">
        <v>134.71</v>
      </c>
      <c r="J67" s="26" t="n">
        <v>145.73</v>
      </c>
      <c r="K67" s="26" t="n">
        <v>162.25</v>
      </c>
      <c r="L67" s="26" t="n">
        <v>2.12</v>
      </c>
      <c r="M67" s="27" t="n">
        <v>0.005</v>
      </c>
      <c r="N67" s="27" t="n">
        <v>0.002</v>
      </c>
      <c r="O67" s="26" t="n">
        <v>5</v>
      </c>
      <c r="P67" s="26" t="n">
        <v>5</v>
      </c>
      <c r="Q67" s="28" t="n">
        <v>100</v>
      </c>
      <c r="R67" s="26" t="n">
        <v>30</v>
      </c>
      <c r="S67" s="26" t="n">
        <v>0</v>
      </c>
      <c r="T67" s="28" t="n">
        <v>1</v>
      </c>
      <c r="U67" s="26" t="n">
        <v>0</v>
      </c>
      <c r="V67" s="26" t="n">
        <v>0</v>
      </c>
      <c r="W67" s="22" t="s">
        <v>15</v>
      </c>
      <c r="X67" s="22" t="s">
        <v>373</v>
      </c>
    </row>
    <row r="68" customFormat="false" ht="15" hidden="false" customHeight="false" outlineLevel="0" collapsed="false">
      <c r="A68" s="22" t="s">
        <v>544</v>
      </c>
      <c r="B68" s="22" t="s">
        <v>15</v>
      </c>
      <c r="C68" s="22" t="s">
        <v>545</v>
      </c>
      <c r="D68" s="22" t="s">
        <v>546</v>
      </c>
      <c r="E68" s="22" t="s">
        <v>547</v>
      </c>
      <c r="F68" s="22" t="n">
        <v>13</v>
      </c>
      <c r="G68" s="26" t="n">
        <v>101.65</v>
      </c>
      <c r="H68" s="26" t="n">
        <v>112.67</v>
      </c>
      <c r="I68" s="26" t="n">
        <v>134.71</v>
      </c>
      <c r="J68" s="26" t="n">
        <v>145.73</v>
      </c>
      <c r="K68" s="26" t="n">
        <v>162.25</v>
      </c>
      <c r="L68" s="26" t="n">
        <v>2.12</v>
      </c>
      <c r="M68" s="27" t="n">
        <v>0.005</v>
      </c>
      <c r="N68" s="27" t="n">
        <v>0.002</v>
      </c>
      <c r="O68" s="26" t="n">
        <v>5</v>
      </c>
      <c r="P68" s="26" t="n">
        <v>5</v>
      </c>
      <c r="Q68" s="28" t="n">
        <v>100</v>
      </c>
      <c r="R68" s="26" t="n">
        <v>30</v>
      </c>
      <c r="S68" s="26" t="n">
        <v>0</v>
      </c>
      <c r="T68" s="28" t="n">
        <v>1</v>
      </c>
      <c r="U68" s="26" t="n">
        <v>0</v>
      </c>
      <c r="V68" s="26" t="n">
        <v>0</v>
      </c>
      <c r="W68" s="22" t="s">
        <v>15</v>
      </c>
      <c r="X68" s="22" t="s">
        <v>373</v>
      </c>
    </row>
    <row r="69" customFormat="false" ht="15" hidden="false" customHeight="false" outlineLevel="0" collapsed="false">
      <c r="A69" s="22" t="s">
        <v>548</v>
      </c>
      <c r="B69" s="22" t="s">
        <v>15</v>
      </c>
      <c r="C69" s="22" t="s">
        <v>549</v>
      </c>
      <c r="D69" s="22" t="s">
        <v>550</v>
      </c>
      <c r="E69" s="22" t="s">
        <v>551</v>
      </c>
      <c r="F69" s="22" t="n">
        <v>13</v>
      </c>
      <c r="G69" s="26" t="n">
        <v>101.65</v>
      </c>
      <c r="H69" s="26" t="n">
        <v>112.67</v>
      </c>
      <c r="I69" s="26" t="n">
        <v>134.71</v>
      </c>
      <c r="J69" s="26" t="n">
        <v>145.73</v>
      </c>
      <c r="K69" s="26" t="n">
        <v>162.25</v>
      </c>
      <c r="L69" s="26" t="n">
        <v>2.12</v>
      </c>
      <c r="M69" s="27" t="n">
        <v>0.005</v>
      </c>
      <c r="N69" s="27" t="n">
        <v>0.002</v>
      </c>
      <c r="O69" s="26" t="n">
        <v>5</v>
      </c>
      <c r="P69" s="26" t="n">
        <v>5</v>
      </c>
      <c r="Q69" s="28" t="n">
        <v>100</v>
      </c>
      <c r="R69" s="26" t="n">
        <v>30</v>
      </c>
      <c r="S69" s="26" t="n">
        <v>0</v>
      </c>
      <c r="T69" s="28" t="n">
        <v>1</v>
      </c>
      <c r="U69" s="26" t="n">
        <v>0</v>
      </c>
      <c r="V69" s="26" t="n">
        <v>0</v>
      </c>
      <c r="W69" s="22" t="s">
        <v>15</v>
      </c>
      <c r="X69" s="22" t="s">
        <v>373</v>
      </c>
    </row>
    <row r="70" customFormat="false" ht="15" hidden="false" customHeight="false" outlineLevel="0" collapsed="false">
      <c r="A70" s="22" t="s">
        <v>552</v>
      </c>
      <c r="B70" s="22" t="s">
        <v>15</v>
      </c>
      <c r="C70" s="22" t="s">
        <v>553</v>
      </c>
      <c r="D70" s="22" t="s">
        <v>554</v>
      </c>
      <c r="E70" s="22" t="s">
        <v>555</v>
      </c>
      <c r="F70" s="22" t="n">
        <v>13</v>
      </c>
      <c r="G70" s="26" t="n">
        <v>101.65</v>
      </c>
      <c r="H70" s="26" t="n">
        <v>112.67</v>
      </c>
      <c r="I70" s="26" t="n">
        <v>134.71</v>
      </c>
      <c r="J70" s="26" t="n">
        <v>145.73</v>
      </c>
      <c r="K70" s="26" t="n">
        <v>162.25</v>
      </c>
      <c r="L70" s="26" t="n">
        <v>2.12</v>
      </c>
      <c r="M70" s="27" t="n">
        <v>0.005</v>
      </c>
      <c r="N70" s="27" t="n">
        <v>0.002</v>
      </c>
      <c r="O70" s="26" t="n">
        <v>5</v>
      </c>
      <c r="P70" s="26" t="n">
        <v>5</v>
      </c>
      <c r="Q70" s="28" t="n">
        <v>100</v>
      </c>
      <c r="R70" s="26" t="n">
        <v>30</v>
      </c>
      <c r="S70" s="26" t="n">
        <v>0</v>
      </c>
      <c r="T70" s="28" t="n">
        <v>1</v>
      </c>
      <c r="U70" s="26" t="n">
        <v>0</v>
      </c>
      <c r="V70" s="26" t="n">
        <v>0</v>
      </c>
      <c r="W70" s="22" t="s">
        <v>15</v>
      </c>
      <c r="X70" s="22" t="s">
        <v>373</v>
      </c>
    </row>
    <row r="71" customFormat="false" ht="15" hidden="false" customHeight="false" outlineLevel="0" collapsed="false">
      <c r="A71" s="22" t="s">
        <v>556</v>
      </c>
      <c r="B71" s="22" t="s">
        <v>15</v>
      </c>
      <c r="C71" s="22" t="s">
        <v>557</v>
      </c>
      <c r="D71" s="22" t="s">
        <v>558</v>
      </c>
      <c r="E71" s="22" t="s">
        <v>559</v>
      </c>
      <c r="F71" s="22" t="n">
        <v>13</v>
      </c>
      <c r="G71" s="26" t="n">
        <v>101.65</v>
      </c>
      <c r="H71" s="26" t="n">
        <v>112.67</v>
      </c>
      <c r="I71" s="26" t="n">
        <v>134.71</v>
      </c>
      <c r="J71" s="26" t="n">
        <v>145.73</v>
      </c>
      <c r="K71" s="26" t="n">
        <v>162.25</v>
      </c>
      <c r="L71" s="26" t="n">
        <v>2.12</v>
      </c>
      <c r="M71" s="27" t="n">
        <v>0.005</v>
      </c>
      <c r="N71" s="27" t="n">
        <v>0.002</v>
      </c>
      <c r="O71" s="26" t="n">
        <v>5</v>
      </c>
      <c r="P71" s="26" t="n">
        <v>5</v>
      </c>
      <c r="Q71" s="28" t="n">
        <v>100</v>
      </c>
      <c r="R71" s="26" t="n">
        <v>30</v>
      </c>
      <c r="S71" s="26" t="n">
        <v>0</v>
      </c>
      <c r="T71" s="28" t="n">
        <v>1</v>
      </c>
      <c r="U71" s="26" t="n">
        <v>0</v>
      </c>
      <c r="V71" s="26" t="n">
        <v>0</v>
      </c>
      <c r="W71" s="22" t="s">
        <v>15</v>
      </c>
      <c r="X71" s="22" t="s">
        <v>373</v>
      </c>
    </row>
    <row r="72" customFormat="false" ht="15" hidden="false" customHeight="false" outlineLevel="0" collapsed="false">
      <c r="A72" s="22" t="s">
        <v>560</v>
      </c>
      <c r="B72" s="29" t="s">
        <v>15</v>
      </c>
      <c r="C72" s="29" t="s">
        <v>561</v>
      </c>
      <c r="D72" s="22" t="s">
        <v>562</v>
      </c>
      <c r="E72" s="22" t="s">
        <v>563</v>
      </c>
      <c r="F72" s="22" t="n">
        <v>13</v>
      </c>
      <c r="G72" s="26" t="n">
        <v>116.39</v>
      </c>
      <c r="H72" s="26" t="n">
        <v>126.41</v>
      </c>
      <c r="I72" s="26" t="n">
        <v>146.44</v>
      </c>
      <c r="J72" s="26" t="n">
        <v>156.46</v>
      </c>
      <c r="K72" s="26" t="n">
        <v>171.48</v>
      </c>
      <c r="L72" s="26" t="n">
        <v>2.19</v>
      </c>
      <c r="M72" s="27" t="n">
        <v>0.005</v>
      </c>
      <c r="N72" s="27" t="n">
        <v>0.002</v>
      </c>
      <c r="O72" s="26" t="n">
        <v>5</v>
      </c>
      <c r="P72" s="26" t="n">
        <v>5</v>
      </c>
      <c r="Q72" s="28" t="n">
        <v>100</v>
      </c>
      <c r="R72" s="26" t="n">
        <v>30</v>
      </c>
      <c r="S72" s="26" t="n">
        <v>0</v>
      </c>
      <c r="T72" s="28" t="n">
        <v>1</v>
      </c>
      <c r="U72" s="26" t="n">
        <v>0</v>
      </c>
      <c r="V72" s="26" t="n">
        <v>0</v>
      </c>
      <c r="W72" s="29" t="s">
        <v>22</v>
      </c>
      <c r="X72" s="22" t="s">
        <v>373</v>
      </c>
    </row>
    <row r="73" customFormat="false" ht="15" hidden="false" customHeight="false" outlineLevel="0" collapsed="false">
      <c r="A73" s="22" t="s">
        <v>564</v>
      </c>
      <c r="B73" s="29" t="s">
        <v>15</v>
      </c>
      <c r="C73" s="29" t="s">
        <v>565</v>
      </c>
      <c r="D73" s="22" t="s">
        <v>566</v>
      </c>
      <c r="E73" s="22" t="s">
        <v>567</v>
      </c>
      <c r="F73" s="22" t="n">
        <v>13</v>
      </c>
      <c r="G73" s="26" t="n">
        <v>219.1</v>
      </c>
      <c r="H73" s="26" t="n">
        <v>241.23</v>
      </c>
      <c r="I73" s="26" t="n">
        <v>263.36</v>
      </c>
      <c r="J73" s="26" t="n">
        <v>279.96</v>
      </c>
      <c r="K73" s="26" t="n">
        <v>296.56</v>
      </c>
      <c r="L73" s="26" t="n">
        <v>2.56</v>
      </c>
      <c r="M73" s="27" t="n">
        <v>0.005</v>
      </c>
      <c r="N73" s="27" t="n">
        <v>0.002</v>
      </c>
      <c r="O73" s="26" t="n">
        <v>5</v>
      </c>
      <c r="P73" s="26" t="n">
        <v>5</v>
      </c>
      <c r="Q73" s="28" t="n">
        <v>100</v>
      </c>
      <c r="R73" s="26" t="n">
        <v>30</v>
      </c>
      <c r="S73" s="26" t="n">
        <v>0</v>
      </c>
      <c r="T73" s="28" t="n">
        <v>1</v>
      </c>
      <c r="U73" s="26" t="n">
        <v>0</v>
      </c>
      <c r="V73" s="26" t="n">
        <v>0</v>
      </c>
      <c r="W73" s="29" t="s">
        <v>21</v>
      </c>
      <c r="X73" s="22" t="s">
        <v>373</v>
      </c>
    </row>
    <row r="74" customFormat="false" ht="15" hidden="false" customHeight="false" outlineLevel="0" collapsed="false">
      <c r="A74" s="22" t="s">
        <v>568</v>
      </c>
      <c r="B74" s="22" t="s">
        <v>15</v>
      </c>
      <c r="C74" s="22" t="s">
        <v>569</v>
      </c>
      <c r="D74" s="22" t="s">
        <v>570</v>
      </c>
      <c r="E74" s="22" t="s">
        <v>571</v>
      </c>
      <c r="F74" s="22" t="n">
        <v>13</v>
      </c>
      <c r="G74" s="26" t="n">
        <v>101.65</v>
      </c>
      <c r="H74" s="26" t="n">
        <v>112.67</v>
      </c>
      <c r="I74" s="26" t="n">
        <v>134.71</v>
      </c>
      <c r="J74" s="26" t="n">
        <v>145.73</v>
      </c>
      <c r="K74" s="26" t="n">
        <v>162.25</v>
      </c>
      <c r="L74" s="26" t="n">
        <v>2.12</v>
      </c>
      <c r="M74" s="27" t="n">
        <v>0.005</v>
      </c>
      <c r="N74" s="27" t="n">
        <v>0.002</v>
      </c>
      <c r="O74" s="26" t="n">
        <v>5</v>
      </c>
      <c r="P74" s="26" t="n">
        <v>5</v>
      </c>
      <c r="Q74" s="28" t="n">
        <v>100</v>
      </c>
      <c r="R74" s="26" t="n">
        <v>30</v>
      </c>
      <c r="S74" s="26" t="n">
        <v>0</v>
      </c>
      <c r="T74" s="28" t="n">
        <v>1</v>
      </c>
      <c r="U74" s="26" t="n">
        <v>0</v>
      </c>
      <c r="V74" s="26" t="n">
        <v>0</v>
      </c>
      <c r="W74" s="22" t="s">
        <v>15</v>
      </c>
      <c r="X74" s="22" t="s">
        <v>373</v>
      </c>
    </row>
    <row r="75" customFormat="false" ht="15" hidden="false" customHeight="false" outlineLevel="0" collapsed="false">
      <c r="A75" s="22" t="s">
        <v>572</v>
      </c>
      <c r="B75" s="22" t="s">
        <v>15</v>
      </c>
      <c r="C75" s="22" t="s">
        <v>573</v>
      </c>
      <c r="D75" s="22" t="s">
        <v>574</v>
      </c>
      <c r="E75" s="22" t="s">
        <v>575</v>
      </c>
      <c r="F75" s="22" t="n">
        <v>13</v>
      </c>
      <c r="G75" s="26" t="n">
        <v>101.65</v>
      </c>
      <c r="H75" s="26" t="n">
        <v>112.67</v>
      </c>
      <c r="I75" s="26" t="n">
        <v>134.71</v>
      </c>
      <c r="J75" s="26" t="n">
        <v>145.73</v>
      </c>
      <c r="K75" s="26" t="n">
        <v>162.25</v>
      </c>
      <c r="L75" s="26" t="n">
        <v>2.12</v>
      </c>
      <c r="M75" s="27" t="n">
        <v>0.005</v>
      </c>
      <c r="N75" s="27" t="n">
        <v>0.002</v>
      </c>
      <c r="O75" s="26" t="n">
        <v>5</v>
      </c>
      <c r="P75" s="26" t="n">
        <v>5</v>
      </c>
      <c r="Q75" s="28" t="n">
        <v>100</v>
      </c>
      <c r="R75" s="26" t="n">
        <v>30</v>
      </c>
      <c r="S75" s="26" t="n">
        <v>0</v>
      </c>
      <c r="T75" s="28" t="n">
        <v>1</v>
      </c>
      <c r="U75" s="26" t="n">
        <v>0</v>
      </c>
      <c r="V75" s="26" t="n">
        <v>0</v>
      </c>
      <c r="W75" s="22" t="s">
        <v>15</v>
      </c>
      <c r="X75" s="22" t="s">
        <v>373</v>
      </c>
    </row>
    <row r="76" customFormat="false" ht="15" hidden="false" customHeight="false" outlineLevel="0" collapsed="false">
      <c r="A76" s="22" t="s">
        <v>576</v>
      </c>
      <c r="B76" s="22" t="s">
        <v>15</v>
      </c>
      <c r="C76" s="22" t="s">
        <v>577</v>
      </c>
      <c r="D76" s="22" t="s">
        <v>578</v>
      </c>
      <c r="E76" s="22" t="s">
        <v>579</v>
      </c>
      <c r="F76" s="22" t="n">
        <v>13</v>
      </c>
      <c r="G76" s="26" t="n">
        <v>101.65</v>
      </c>
      <c r="H76" s="26" t="n">
        <v>112.67</v>
      </c>
      <c r="I76" s="26" t="n">
        <v>134.71</v>
      </c>
      <c r="J76" s="26" t="n">
        <v>145.73</v>
      </c>
      <c r="K76" s="26" t="n">
        <v>162.25</v>
      </c>
      <c r="L76" s="26" t="n">
        <v>2.12</v>
      </c>
      <c r="M76" s="27" t="n">
        <v>0.005</v>
      </c>
      <c r="N76" s="27" t="n">
        <v>0.002</v>
      </c>
      <c r="O76" s="26" t="n">
        <v>5</v>
      </c>
      <c r="P76" s="26" t="n">
        <v>5</v>
      </c>
      <c r="Q76" s="28" t="n">
        <v>100</v>
      </c>
      <c r="R76" s="26" t="n">
        <v>30</v>
      </c>
      <c r="S76" s="26" t="n">
        <v>0</v>
      </c>
      <c r="T76" s="28" t="n">
        <v>1</v>
      </c>
      <c r="U76" s="26" t="n">
        <v>0</v>
      </c>
      <c r="V76" s="26" t="n">
        <v>0</v>
      </c>
      <c r="W76" s="22" t="s">
        <v>15</v>
      </c>
      <c r="X76" s="22" t="s">
        <v>373</v>
      </c>
    </row>
    <row r="77" customFormat="false" ht="15" hidden="false" customHeight="false" outlineLevel="0" collapsed="false">
      <c r="A77" s="22" t="s">
        <v>580</v>
      </c>
      <c r="B77" s="22" t="s">
        <v>15</v>
      </c>
      <c r="C77" s="22" t="s">
        <v>581</v>
      </c>
      <c r="D77" s="22" t="s">
        <v>582</v>
      </c>
      <c r="E77" s="22" t="s">
        <v>583</v>
      </c>
      <c r="F77" s="22" t="n">
        <v>13</v>
      </c>
      <c r="G77" s="26" t="n">
        <v>101.65</v>
      </c>
      <c r="H77" s="26" t="n">
        <v>112.67</v>
      </c>
      <c r="I77" s="26" t="n">
        <v>134.71</v>
      </c>
      <c r="J77" s="26" t="n">
        <v>145.73</v>
      </c>
      <c r="K77" s="26" t="n">
        <v>162.25</v>
      </c>
      <c r="L77" s="26" t="n">
        <v>2.12</v>
      </c>
      <c r="M77" s="27" t="n">
        <v>0.005</v>
      </c>
      <c r="N77" s="27" t="n">
        <v>0.002</v>
      </c>
      <c r="O77" s="26" t="n">
        <v>5</v>
      </c>
      <c r="P77" s="26" t="n">
        <v>5</v>
      </c>
      <c r="Q77" s="28" t="n">
        <v>100</v>
      </c>
      <c r="R77" s="26" t="n">
        <v>30</v>
      </c>
      <c r="S77" s="26" t="n">
        <v>0</v>
      </c>
      <c r="T77" s="28" t="n">
        <v>1</v>
      </c>
      <c r="U77" s="26" t="n">
        <v>0</v>
      </c>
      <c r="V77" s="26" t="n">
        <v>0</v>
      </c>
      <c r="W77" s="22" t="s">
        <v>15</v>
      </c>
      <c r="X77" s="22" t="s">
        <v>373</v>
      </c>
    </row>
    <row r="78" customFormat="false" ht="15" hidden="false" customHeight="false" outlineLevel="0" collapsed="false">
      <c r="A78" s="22" t="s">
        <v>584</v>
      </c>
      <c r="B78" s="22" t="s">
        <v>15</v>
      </c>
      <c r="C78" s="22" t="s">
        <v>585</v>
      </c>
      <c r="D78" s="22" t="s">
        <v>586</v>
      </c>
      <c r="E78" s="22" t="s">
        <v>587</v>
      </c>
      <c r="F78" s="22" t="n">
        <v>13</v>
      </c>
      <c r="G78" s="26" t="n">
        <v>101.65</v>
      </c>
      <c r="H78" s="26" t="n">
        <v>112.67</v>
      </c>
      <c r="I78" s="26" t="n">
        <v>134.71</v>
      </c>
      <c r="J78" s="26" t="n">
        <v>145.73</v>
      </c>
      <c r="K78" s="26" t="n">
        <v>162.25</v>
      </c>
      <c r="L78" s="26" t="n">
        <v>2.12</v>
      </c>
      <c r="M78" s="27" t="n">
        <v>0.005</v>
      </c>
      <c r="N78" s="27" t="n">
        <v>0.002</v>
      </c>
      <c r="O78" s="26" t="n">
        <v>5</v>
      </c>
      <c r="P78" s="26" t="n">
        <v>5</v>
      </c>
      <c r="Q78" s="28" t="n">
        <v>100</v>
      </c>
      <c r="R78" s="26" t="n">
        <v>30</v>
      </c>
      <c r="S78" s="26" t="n">
        <v>0</v>
      </c>
      <c r="T78" s="28" t="n">
        <v>1</v>
      </c>
      <c r="U78" s="26" t="n">
        <v>0</v>
      </c>
      <c r="V78" s="26" t="n">
        <v>0</v>
      </c>
      <c r="W78" s="22" t="s">
        <v>15</v>
      </c>
      <c r="X78" s="22" t="s">
        <v>373</v>
      </c>
    </row>
    <row r="79" customFormat="false" ht="15" hidden="false" customHeight="false" outlineLevel="0" collapsed="false">
      <c r="A79" s="22" t="s">
        <v>588</v>
      </c>
      <c r="B79" s="22" t="s">
        <v>15</v>
      </c>
      <c r="C79" s="22" t="s">
        <v>589</v>
      </c>
      <c r="D79" s="22" t="s">
        <v>590</v>
      </c>
      <c r="E79" s="22" t="s">
        <v>591</v>
      </c>
      <c r="F79" s="22" t="n">
        <v>13</v>
      </c>
      <c r="G79" s="26" t="n">
        <v>101.65</v>
      </c>
      <c r="H79" s="26" t="n">
        <v>112.67</v>
      </c>
      <c r="I79" s="26" t="n">
        <v>134.71</v>
      </c>
      <c r="J79" s="26" t="n">
        <v>145.73</v>
      </c>
      <c r="K79" s="26" t="n">
        <v>162.25</v>
      </c>
      <c r="L79" s="26" t="n">
        <v>2.12</v>
      </c>
      <c r="M79" s="27" t="n">
        <v>0.005</v>
      </c>
      <c r="N79" s="27" t="n">
        <v>0.002</v>
      </c>
      <c r="O79" s="26" t="n">
        <v>5</v>
      </c>
      <c r="P79" s="26" t="n">
        <v>5</v>
      </c>
      <c r="Q79" s="28" t="n">
        <v>100</v>
      </c>
      <c r="R79" s="26" t="n">
        <v>30</v>
      </c>
      <c r="S79" s="26" t="n">
        <v>0</v>
      </c>
      <c r="T79" s="28" t="n">
        <v>1</v>
      </c>
      <c r="U79" s="26" t="n">
        <v>0</v>
      </c>
      <c r="V79" s="26" t="n">
        <v>0</v>
      </c>
      <c r="W79" s="22" t="s">
        <v>15</v>
      </c>
      <c r="X79" s="22" t="s">
        <v>373</v>
      </c>
    </row>
    <row r="80" customFormat="false" ht="15" hidden="false" customHeight="false" outlineLevel="0" collapsed="false">
      <c r="A80" s="22" t="s">
        <v>592</v>
      </c>
      <c r="B80" s="22" t="s">
        <v>15</v>
      </c>
      <c r="C80" s="22" t="s">
        <v>593</v>
      </c>
      <c r="D80" s="22" t="s">
        <v>594</v>
      </c>
      <c r="E80" s="22" t="s">
        <v>595</v>
      </c>
      <c r="F80" s="22" t="n">
        <v>13</v>
      </c>
      <c r="G80" s="26" t="n">
        <v>101.65</v>
      </c>
      <c r="H80" s="26" t="n">
        <v>112.67</v>
      </c>
      <c r="I80" s="26" t="n">
        <v>134.71</v>
      </c>
      <c r="J80" s="26" t="n">
        <v>145.73</v>
      </c>
      <c r="K80" s="26" t="n">
        <v>162.25</v>
      </c>
      <c r="L80" s="26" t="n">
        <v>2.12</v>
      </c>
      <c r="M80" s="27" t="n">
        <v>0.005</v>
      </c>
      <c r="N80" s="27" t="n">
        <v>0.002</v>
      </c>
      <c r="O80" s="26" t="n">
        <v>5</v>
      </c>
      <c r="P80" s="26" t="n">
        <v>5</v>
      </c>
      <c r="Q80" s="28" t="n">
        <v>100</v>
      </c>
      <c r="R80" s="26" t="n">
        <v>30</v>
      </c>
      <c r="S80" s="26" t="n">
        <v>0</v>
      </c>
      <c r="T80" s="28" t="n">
        <v>1</v>
      </c>
      <c r="U80" s="26" t="n">
        <v>0</v>
      </c>
      <c r="V80" s="26" t="n">
        <v>0</v>
      </c>
      <c r="W80" s="22" t="s">
        <v>15</v>
      </c>
      <c r="X80" s="22" t="s">
        <v>373</v>
      </c>
    </row>
    <row r="81" customFormat="false" ht="15" hidden="false" customHeight="false" outlineLevel="0" collapsed="false">
      <c r="A81" s="22" t="s">
        <v>596</v>
      </c>
      <c r="B81" s="22" t="s">
        <v>15</v>
      </c>
      <c r="C81" s="22" t="s">
        <v>597</v>
      </c>
      <c r="D81" s="22" t="s">
        <v>598</v>
      </c>
      <c r="E81" s="22" t="s">
        <v>599</v>
      </c>
      <c r="F81" s="22" t="n">
        <v>13</v>
      </c>
      <c r="G81" s="26" t="n">
        <v>101.65</v>
      </c>
      <c r="H81" s="26" t="n">
        <v>112.67</v>
      </c>
      <c r="I81" s="26" t="n">
        <v>134.71</v>
      </c>
      <c r="J81" s="26" t="n">
        <v>145.73</v>
      </c>
      <c r="K81" s="26" t="n">
        <v>162.25</v>
      </c>
      <c r="L81" s="26" t="n">
        <v>2.12</v>
      </c>
      <c r="M81" s="27" t="n">
        <v>0.005</v>
      </c>
      <c r="N81" s="27" t="n">
        <v>0.002</v>
      </c>
      <c r="O81" s="26" t="n">
        <v>5</v>
      </c>
      <c r="P81" s="26" t="n">
        <v>5</v>
      </c>
      <c r="Q81" s="28" t="n">
        <v>100</v>
      </c>
      <c r="R81" s="26" t="n">
        <v>30</v>
      </c>
      <c r="S81" s="26" t="n">
        <v>0</v>
      </c>
      <c r="T81" s="28" t="n">
        <v>1</v>
      </c>
      <c r="U81" s="26" t="n">
        <v>0</v>
      </c>
      <c r="V81" s="26" t="n">
        <v>0</v>
      </c>
      <c r="W81" s="22" t="s">
        <v>15</v>
      </c>
      <c r="X81" s="22" t="s">
        <v>373</v>
      </c>
    </row>
    <row r="82" customFormat="false" ht="15" hidden="false" customHeight="false" outlineLevel="0" collapsed="false">
      <c r="A82" s="22" t="s">
        <v>600</v>
      </c>
      <c r="B82" s="22" t="s">
        <v>15</v>
      </c>
      <c r="C82" s="22" t="s">
        <v>601</v>
      </c>
      <c r="D82" s="22" t="s">
        <v>602</v>
      </c>
      <c r="E82" s="22" t="s">
        <v>603</v>
      </c>
      <c r="F82" s="22" t="n">
        <v>13</v>
      </c>
      <c r="G82" s="26" t="n">
        <v>101.65</v>
      </c>
      <c r="H82" s="26" t="n">
        <v>112.67</v>
      </c>
      <c r="I82" s="26" t="n">
        <v>134.71</v>
      </c>
      <c r="J82" s="26" t="n">
        <v>145.73</v>
      </c>
      <c r="K82" s="26" t="n">
        <v>162.25</v>
      </c>
      <c r="L82" s="26" t="n">
        <v>2.12</v>
      </c>
      <c r="M82" s="27" t="n">
        <v>0.005</v>
      </c>
      <c r="N82" s="27" t="n">
        <v>0.002</v>
      </c>
      <c r="O82" s="26" t="n">
        <v>5</v>
      </c>
      <c r="P82" s="26" t="n">
        <v>5</v>
      </c>
      <c r="Q82" s="28" t="n">
        <v>100</v>
      </c>
      <c r="R82" s="26" t="n">
        <v>30</v>
      </c>
      <c r="S82" s="26" t="n">
        <v>0</v>
      </c>
      <c r="T82" s="28" t="n">
        <v>1</v>
      </c>
      <c r="U82" s="26" t="n">
        <v>0</v>
      </c>
      <c r="V82" s="26" t="n">
        <v>0</v>
      </c>
      <c r="W82" s="22" t="s">
        <v>15</v>
      </c>
      <c r="X82" s="22" t="s">
        <v>373</v>
      </c>
    </row>
    <row r="83" customFormat="false" ht="15" hidden="false" customHeight="false" outlineLevel="0" collapsed="false">
      <c r="A83" s="22" t="s">
        <v>604</v>
      </c>
      <c r="B83" s="22" t="s">
        <v>15</v>
      </c>
      <c r="C83" s="22" t="s">
        <v>605</v>
      </c>
      <c r="D83" s="22" t="s">
        <v>606</v>
      </c>
      <c r="E83" s="22" t="s">
        <v>607</v>
      </c>
      <c r="F83" s="22" t="n">
        <v>13</v>
      </c>
      <c r="G83" s="26" t="n">
        <v>101.65</v>
      </c>
      <c r="H83" s="26" t="n">
        <v>112.67</v>
      </c>
      <c r="I83" s="26" t="n">
        <v>134.71</v>
      </c>
      <c r="J83" s="26" t="n">
        <v>145.73</v>
      </c>
      <c r="K83" s="26" t="n">
        <v>162.25</v>
      </c>
      <c r="L83" s="26" t="n">
        <v>2.12</v>
      </c>
      <c r="M83" s="27" t="n">
        <v>0.005</v>
      </c>
      <c r="N83" s="27" t="n">
        <v>0.002</v>
      </c>
      <c r="O83" s="26" t="n">
        <v>5</v>
      </c>
      <c r="P83" s="26" t="n">
        <v>5</v>
      </c>
      <c r="Q83" s="28" t="n">
        <v>100</v>
      </c>
      <c r="R83" s="26" t="n">
        <v>30</v>
      </c>
      <c r="S83" s="26" t="n">
        <v>0</v>
      </c>
      <c r="T83" s="28" t="n">
        <v>1</v>
      </c>
      <c r="U83" s="26" t="n">
        <v>0</v>
      </c>
      <c r="V83" s="26" t="n">
        <v>0</v>
      </c>
      <c r="W83" s="22" t="s">
        <v>15</v>
      </c>
      <c r="X83" s="22" t="s">
        <v>373</v>
      </c>
    </row>
    <row r="84" customFormat="false" ht="15" hidden="false" customHeight="false" outlineLevel="0" collapsed="false">
      <c r="A84" s="22" t="s">
        <v>608</v>
      </c>
      <c r="B84" s="22" t="s">
        <v>15</v>
      </c>
      <c r="C84" s="22" t="s">
        <v>609</v>
      </c>
      <c r="D84" s="22" t="s">
        <v>610</v>
      </c>
      <c r="E84" s="22" t="s">
        <v>611</v>
      </c>
      <c r="F84" s="22" t="n">
        <v>13</v>
      </c>
      <c r="G84" s="26" t="n">
        <v>101.65</v>
      </c>
      <c r="H84" s="26" t="n">
        <v>112.67</v>
      </c>
      <c r="I84" s="26" t="n">
        <v>134.71</v>
      </c>
      <c r="J84" s="26" t="n">
        <v>145.73</v>
      </c>
      <c r="K84" s="26" t="n">
        <v>162.25</v>
      </c>
      <c r="L84" s="26" t="n">
        <v>2.12</v>
      </c>
      <c r="M84" s="27" t="n">
        <v>0.005</v>
      </c>
      <c r="N84" s="27" t="n">
        <v>0.002</v>
      </c>
      <c r="O84" s="26" t="n">
        <v>5</v>
      </c>
      <c r="P84" s="26" t="n">
        <v>5</v>
      </c>
      <c r="Q84" s="28" t="n">
        <v>100</v>
      </c>
      <c r="R84" s="26" t="n">
        <v>30</v>
      </c>
      <c r="S84" s="26" t="n">
        <v>0</v>
      </c>
      <c r="T84" s="28" t="n">
        <v>1</v>
      </c>
      <c r="U84" s="26" t="n">
        <v>0</v>
      </c>
      <c r="V84" s="26" t="n">
        <v>0</v>
      </c>
      <c r="W84" s="22" t="s">
        <v>15</v>
      </c>
      <c r="X84" s="22" t="s">
        <v>373</v>
      </c>
    </row>
    <row r="85" customFormat="false" ht="15" hidden="false" customHeight="false" outlineLevel="0" collapsed="false">
      <c r="A85" s="22" t="s">
        <v>612</v>
      </c>
      <c r="B85" s="22" t="s">
        <v>15</v>
      </c>
      <c r="C85" s="22" t="s">
        <v>70</v>
      </c>
      <c r="D85" s="22" t="s">
        <v>613</v>
      </c>
      <c r="E85" s="22" t="s">
        <v>614</v>
      </c>
      <c r="F85" s="22" t="n">
        <v>13</v>
      </c>
      <c r="G85" s="26" t="n">
        <v>101.65</v>
      </c>
      <c r="H85" s="26" t="n">
        <v>112.67</v>
      </c>
      <c r="I85" s="26" t="n">
        <v>134.71</v>
      </c>
      <c r="J85" s="26" t="n">
        <v>145.73</v>
      </c>
      <c r="K85" s="26" t="n">
        <v>162.25</v>
      </c>
      <c r="L85" s="26" t="n">
        <v>2.12</v>
      </c>
      <c r="M85" s="27" t="n">
        <v>0.005</v>
      </c>
      <c r="N85" s="27" t="n">
        <v>0.002</v>
      </c>
      <c r="O85" s="26" t="n">
        <v>5</v>
      </c>
      <c r="P85" s="26" t="n">
        <v>5</v>
      </c>
      <c r="Q85" s="28" t="n">
        <v>100</v>
      </c>
      <c r="R85" s="26" t="n">
        <v>30</v>
      </c>
      <c r="S85" s="26" t="n">
        <v>0</v>
      </c>
      <c r="T85" s="28" t="n">
        <v>1</v>
      </c>
      <c r="U85" s="26" t="n">
        <v>0</v>
      </c>
      <c r="V85" s="26" t="n">
        <v>0</v>
      </c>
      <c r="W85" s="22" t="s">
        <v>15</v>
      </c>
      <c r="X85" s="22" t="s">
        <v>373</v>
      </c>
    </row>
    <row r="86" customFormat="false" ht="15" hidden="false" customHeight="false" outlineLevel="0" collapsed="false">
      <c r="A86" s="22" t="s">
        <v>615</v>
      </c>
      <c r="B86" s="22" t="s">
        <v>15</v>
      </c>
      <c r="C86" s="22" t="s">
        <v>616</v>
      </c>
      <c r="D86" s="22" t="s">
        <v>617</v>
      </c>
      <c r="E86" s="22" t="s">
        <v>618</v>
      </c>
      <c r="F86" s="22" t="n">
        <v>13</v>
      </c>
      <c r="G86" s="26" t="n">
        <v>101.65</v>
      </c>
      <c r="H86" s="26" t="n">
        <v>112.67</v>
      </c>
      <c r="I86" s="26" t="n">
        <v>134.71</v>
      </c>
      <c r="J86" s="26" t="n">
        <v>145.73</v>
      </c>
      <c r="K86" s="26" t="n">
        <v>162.25</v>
      </c>
      <c r="L86" s="26" t="n">
        <v>2.12</v>
      </c>
      <c r="M86" s="27" t="n">
        <v>0.005</v>
      </c>
      <c r="N86" s="27" t="n">
        <v>0.002</v>
      </c>
      <c r="O86" s="26" t="n">
        <v>5</v>
      </c>
      <c r="P86" s="26" t="n">
        <v>5</v>
      </c>
      <c r="Q86" s="28" t="n">
        <v>100</v>
      </c>
      <c r="R86" s="26" t="n">
        <v>30</v>
      </c>
      <c r="S86" s="26" t="n">
        <v>0</v>
      </c>
      <c r="T86" s="28" t="n">
        <v>1</v>
      </c>
      <c r="U86" s="26" t="n">
        <v>0</v>
      </c>
      <c r="V86" s="26" t="n">
        <v>0</v>
      </c>
      <c r="W86" s="22" t="s">
        <v>15</v>
      </c>
      <c r="X86" s="22" t="s">
        <v>373</v>
      </c>
    </row>
    <row r="87" customFormat="false" ht="15" hidden="false" customHeight="false" outlineLevel="0" collapsed="false">
      <c r="A87" s="22" t="s">
        <v>619</v>
      </c>
      <c r="B87" s="22" t="s">
        <v>15</v>
      </c>
      <c r="C87" s="22" t="s">
        <v>73</v>
      </c>
      <c r="D87" s="22" t="s">
        <v>620</v>
      </c>
      <c r="E87" s="22" t="s">
        <v>621</v>
      </c>
      <c r="F87" s="22" t="n">
        <v>13</v>
      </c>
      <c r="G87" s="26" t="n">
        <v>101.65</v>
      </c>
      <c r="H87" s="26" t="n">
        <v>112.67</v>
      </c>
      <c r="I87" s="26" t="n">
        <v>134.71</v>
      </c>
      <c r="J87" s="26" t="n">
        <v>145.73</v>
      </c>
      <c r="K87" s="26" t="n">
        <v>162.25</v>
      </c>
      <c r="L87" s="26" t="n">
        <v>2.12</v>
      </c>
      <c r="M87" s="27" t="n">
        <v>0.005</v>
      </c>
      <c r="N87" s="27" t="n">
        <v>0.002</v>
      </c>
      <c r="O87" s="26" t="n">
        <v>5</v>
      </c>
      <c r="P87" s="26" t="n">
        <v>5</v>
      </c>
      <c r="Q87" s="28" t="n">
        <v>100</v>
      </c>
      <c r="R87" s="26" t="n">
        <v>30</v>
      </c>
      <c r="S87" s="26" t="n">
        <v>0</v>
      </c>
      <c r="T87" s="28" t="n">
        <v>1</v>
      </c>
      <c r="U87" s="26" t="n">
        <v>0</v>
      </c>
      <c r="V87" s="26" t="n">
        <v>0</v>
      </c>
      <c r="W87" s="22" t="s">
        <v>15</v>
      </c>
      <c r="X87" s="22" t="s">
        <v>373</v>
      </c>
    </row>
    <row r="88" customFormat="false" ht="15" hidden="false" customHeight="false" outlineLevel="0" collapsed="false">
      <c r="A88" s="22" t="s">
        <v>622</v>
      </c>
      <c r="B88" s="22" t="s">
        <v>15</v>
      </c>
      <c r="C88" s="22" t="s">
        <v>623</v>
      </c>
      <c r="D88" s="22" t="s">
        <v>624</v>
      </c>
      <c r="E88" s="22" t="s">
        <v>625</v>
      </c>
      <c r="F88" s="22" t="n">
        <v>13</v>
      </c>
      <c r="G88" s="26" t="n">
        <v>101.65</v>
      </c>
      <c r="H88" s="26" t="n">
        <v>112.67</v>
      </c>
      <c r="I88" s="26" t="n">
        <v>134.71</v>
      </c>
      <c r="J88" s="26" t="n">
        <v>145.73</v>
      </c>
      <c r="K88" s="26" t="n">
        <v>162.25</v>
      </c>
      <c r="L88" s="26" t="n">
        <v>2.12</v>
      </c>
      <c r="M88" s="27" t="n">
        <v>0.005</v>
      </c>
      <c r="N88" s="27" t="n">
        <v>0.002</v>
      </c>
      <c r="O88" s="26" t="n">
        <v>5</v>
      </c>
      <c r="P88" s="26" t="n">
        <v>5</v>
      </c>
      <c r="Q88" s="28" t="n">
        <v>100</v>
      </c>
      <c r="R88" s="26" t="n">
        <v>30</v>
      </c>
      <c r="S88" s="26" t="n">
        <v>0</v>
      </c>
      <c r="T88" s="28" t="n">
        <v>1</v>
      </c>
      <c r="U88" s="26" t="n">
        <v>0</v>
      </c>
      <c r="V88" s="26" t="n">
        <v>0</v>
      </c>
      <c r="W88" s="22" t="s">
        <v>15</v>
      </c>
      <c r="X88" s="22" t="s">
        <v>373</v>
      </c>
    </row>
    <row r="89" customFormat="false" ht="15" hidden="false" customHeight="false" outlineLevel="0" collapsed="false">
      <c r="A89" s="22" t="s">
        <v>626</v>
      </c>
      <c r="B89" s="22" t="s">
        <v>15</v>
      </c>
      <c r="C89" s="22" t="s">
        <v>627</v>
      </c>
      <c r="D89" s="22" t="s">
        <v>628</v>
      </c>
      <c r="E89" s="22" t="s">
        <v>629</v>
      </c>
      <c r="F89" s="22" t="n">
        <v>13</v>
      </c>
      <c r="G89" s="26" t="n">
        <v>101.65</v>
      </c>
      <c r="H89" s="26" t="n">
        <v>112.67</v>
      </c>
      <c r="I89" s="26" t="n">
        <v>134.71</v>
      </c>
      <c r="J89" s="26" t="n">
        <v>145.73</v>
      </c>
      <c r="K89" s="26" t="n">
        <v>162.25</v>
      </c>
      <c r="L89" s="26" t="n">
        <v>2.12</v>
      </c>
      <c r="M89" s="27" t="n">
        <v>0.005</v>
      </c>
      <c r="N89" s="27" t="n">
        <v>0.002</v>
      </c>
      <c r="O89" s="26" t="n">
        <v>5</v>
      </c>
      <c r="P89" s="26" t="n">
        <v>5</v>
      </c>
      <c r="Q89" s="28" t="n">
        <v>100</v>
      </c>
      <c r="R89" s="26" t="n">
        <v>30</v>
      </c>
      <c r="S89" s="26" t="n">
        <v>0</v>
      </c>
      <c r="T89" s="28" t="n">
        <v>1</v>
      </c>
      <c r="U89" s="26" t="n">
        <v>0</v>
      </c>
      <c r="V89" s="26" t="n">
        <v>0</v>
      </c>
      <c r="W89" s="22" t="s">
        <v>15</v>
      </c>
      <c r="X89" s="22" t="s">
        <v>373</v>
      </c>
    </row>
    <row r="90" customFormat="false" ht="15" hidden="false" customHeight="false" outlineLevel="0" collapsed="false">
      <c r="A90" s="22" t="s">
        <v>630</v>
      </c>
      <c r="B90" s="22" t="s">
        <v>15</v>
      </c>
      <c r="C90" s="22" t="s">
        <v>631</v>
      </c>
      <c r="D90" s="22" t="s">
        <v>632</v>
      </c>
      <c r="E90" s="22" t="s">
        <v>633</v>
      </c>
      <c r="F90" s="22" t="n">
        <v>13</v>
      </c>
      <c r="G90" s="26" t="n">
        <v>101.65</v>
      </c>
      <c r="H90" s="26" t="n">
        <v>112.67</v>
      </c>
      <c r="I90" s="26" t="n">
        <v>134.71</v>
      </c>
      <c r="J90" s="26" t="n">
        <v>145.73</v>
      </c>
      <c r="K90" s="26" t="n">
        <v>162.25</v>
      </c>
      <c r="L90" s="26" t="n">
        <v>2.12</v>
      </c>
      <c r="M90" s="27" t="n">
        <v>0.005</v>
      </c>
      <c r="N90" s="27" t="n">
        <v>0.002</v>
      </c>
      <c r="O90" s="26" t="n">
        <v>5</v>
      </c>
      <c r="P90" s="26" t="n">
        <v>5</v>
      </c>
      <c r="Q90" s="28" t="n">
        <v>100</v>
      </c>
      <c r="R90" s="26" t="n">
        <v>30</v>
      </c>
      <c r="S90" s="26" t="n">
        <v>0</v>
      </c>
      <c r="T90" s="28" t="n">
        <v>1</v>
      </c>
      <c r="U90" s="26" t="n">
        <v>0</v>
      </c>
      <c r="V90" s="26" t="n">
        <v>0</v>
      </c>
      <c r="W90" s="22" t="s">
        <v>15</v>
      </c>
      <c r="X90" s="22" t="s">
        <v>373</v>
      </c>
    </row>
    <row r="91" customFormat="false" ht="15" hidden="false" customHeight="false" outlineLevel="0" collapsed="false">
      <c r="A91" s="22" t="s">
        <v>634</v>
      </c>
      <c r="B91" s="22" t="s">
        <v>15</v>
      </c>
      <c r="C91" s="22" t="s">
        <v>635</v>
      </c>
      <c r="D91" s="22" t="s">
        <v>636</v>
      </c>
      <c r="E91" s="22" t="s">
        <v>637</v>
      </c>
      <c r="F91" s="22" t="n">
        <v>13</v>
      </c>
      <c r="G91" s="26" t="n">
        <v>101.65</v>
      </c>
      <c r="H91" s="26" t="n">
        <v>112.67</v>
      </c>
      <c r="I91" s="26" t="n">
        <v>134.71</v>
      </c>
      <c r="J91" s="26" t="n">
        <v>145.73</v>
      </c>
      <c r="K91" s="26" t="n">
        <v>162.25</v>
      </c>
      <c r="L91" s="26" t="n">
        <v>2.12</v>
      </c>
      <c r="M91" s="27" t="n">
        <v>0.005</v>
      </c>
      <c r="N91" s="27" t="n">
        <v>0.002</v>
      </c>
      <c r="O91" s="26" t="n">
        <v>5</v>
      </c>
      <c r="P91" s="26" t="n">
        <v>5</v>
      </c>
      <c r="Q91" s="28" t="n">
        <v>100</v>
      </c>
      <c r="R91" s="26" t="n">
        <v>30</v>
      </c>
      <c r="S91" s="26" t="n">
        <v>0</v>
      </c>
      <c r="T91" s="28" t="n">
        <v>1</v>
      </c>
      <c r="U91" s="26" t="n">
        <v>0</v>
      </c>
      <c r="V91" s="26" t="n">
        <v>0</v>
      </c>
      <c r="W91" s="22" t="s">
        <v>15</v>
      </c>
      <c r="X91" s="22" t="s">
        <v>373</v>
      </c>
    </row>
    <row r="92" customFormat="false" ht="15" hidden="false" customHeight="false" outlineLevel="0" collapsed="false">
      <c r="A92" s="22" t="s">
        <v>638</v>
      </c>
      <c r="B92" s="22" t="s">
        <v>15</v>
      </c>
      <c r="C92" s="22" t="s">
        <v>639</v>
      </c>
      <c r="D92" s="22" t="s">
        <v>640</v>
      </c>
      <c r="E92" s="22" t="s">
        <v>641</v>
      </c>
      <c r="F92" s="22" t="n">
        <v>13</v>
      </c>
      <c r="G92" s="26" t="n">
        <v>101.65</v>
      </c>
      <c r="H92" s="26" t="n">
        <v>112.67</v>
      </c>
      <c r="I92" s="26" t="n">
        <v>134.71</v>
      </c>
      <c r="J92" s="26" t="n">
        <v>145.73</v>
      </c>
      <c r="K92" s="26" t="n">
        <v>162.25</v>
      </c>
      <c r="L92" s="26" t="n">
        <v>2.12</v>
      </c>
      <c r="M92" s="27" t="n">
        <v>0.005</v>
      </c>
      <c r="N92" s="27" t="n">
        <v>0.002</v>
      </c>
      <c r="O92" s="26" t="n">
        <v>5</v>
      </c>
      <c r="P92" s="26" t="n">
        <v>5</v>
      </c>
      <c r="Q92" s="28" t="n">
        <v>100</v>
      </c>
      <c r="R92" s="26" t="n">
        <v>30</v>
      </c>
      <c r="S92" s="26" t="n">
        <v>0</v>
      </c>
      <c r="T92" s="28" t="n">
        <v>1</v>
      </c>
      <c r="U92" s="26" t="n">
        <v>0</v>
      </c>
      <c r="V92" s="26" t="n">
        <v>0</v>
      </c>
      <c r="W92" s="22" t="s">
        <v>15</v>
      </c>
      <c r="X92" s="22" t="s">
        <v>373</v>
      </c>
    </row>
    <row r="93" customFormat="false" ht="15" hidden="false" customHeight="false" outlineLevel="0" collapsed="false">
      <c r="A93" s="22" t="s">
        <v>642</v>
      </c>
      <c r="B93" s="22" t="s">
        <v>15</v>
      </c>
      <c r="C93" s="22" t="s">
        <v>643</v>
      </c>
      <c r="D93" s="22" t="s">
        <v>644</v>
      </c>
      <c r="E93" s="22" t="s">
        <v>645</v>
      </c>
      <c r="F93" s="22" t="n">
        <v>13</v>
      </c>
      <c r="G93" s="26" t="n">
        <v>101.65</v>
      </c>
      <c r="H93" s="26" t="n">
        <v>112.67</v>
      </c>
      <c r="I93" s="26" t="n">
        <v>134.71</v>
      </c>
      <c r="J93" s="26" t="n">
        <v>145.73</v>
      </c>
      <c r="K93" s="26" t="n">
        <v>162.25</v>
      </c>
      <c r="L93" s="26" t="n">
        <v>2.12</v>
      </c>
      <c r="M93" s="27" t="n">
        <v>0.005</v>
      </c>
      <c r="N93" s="27" t="n">
        <v>0.002</v>
      </c>
      <c r="O93" s="26" t="n">
        <v>5</v>
      </c>
      <c r="P93" s="26" t="n">
        <v>5</v>
      </c>
      <c r="Q93" s="28" t="n">
        <v>100</v>
      </c>
      <c r="R93" s="26" t="n">
        <v>30</v>
      </c>
      <c r="S93" s="26" t="n">
        <v>0</v>
      </c>
      <c r="T93" s="28" t="n">
        <v>1</v>
      </c>
      <c r="U93" s="26" t="n">
        <v>0</v>
      </c>
      <c r="V93" s="26" t="n">
        <v>0</v>
      </c>
      <c r="W93" s="22" t="s">
        <v>15</v>
      </c>
      <c r="X93" s="22" t="s">
        <v>373</v>
      </c>
    </row>
    <row r="94" customFormat="false" ht="15" hidden="false" customHeight="false" outlineLevel="0" collapsed="false">
      <c r="A94" s="22" t="s">
        <v>646</v>
      </c>
      <c r="B94" s="22" t="s">
        <v>15</v>
      </c>
      <c r="C94" s="22" t="s">
        <v>647</v>
      </c>
      <c r="D94" s="22" t="s">
        <v>648</v>
      </c>
      <c r="E94" s="22" t="s">
        <v>649</v>
      </c>
      <c r="F94" s="22" t="n">
        <v>13</v>
      </c>
      <c r="G94" s="26" t="n">
        <v>101.65</v>
      </c>
      <c r="H94" s="26" t="n">
        <v>112.67</v>
      </c>
      <c r="I94" s="26" t="n">
        <v>134.71</v>
      </c>
      <c r="J94" s="26" t="n">
        <v>145.73</v>
      </c>
      <c r="K94" s="26" t="n">
        <v>162.25</v>
      </c>
      <c r="L94" s="26" t="n">
        <v>2.12</v>
      </c>
      <c r="M94" s="27" t="n">
        <v>0.005</v>
      </c>
      <c r="N94" s="27" t="n">
        <v>0.002</v>
      </c>
      <c r="O94" s="26" t="n">
        <v>5</v>
      </c>
      <c r="P94" s="26" t="n">
        <v>5</v>
      </c>
      <c r="Q94" s="28" t="n">
        <v>100</v>
      </c>
      <c r="R94" s="26" t="n">
        <v>30</v>
      </c>
      <c r="S94" s="26" t="n">
        <v>0</v>
      </c>
      <c r="T94" s="28" t="n">
        <v>1</v>
      </c>
      <c r="U94" s="26" t="n">
        <v>0</v>
      </c>
      <c r="V94" s="26" t="n">
        <v>0</v>
      </c>
      <c r="W94" s="22" t="s">
        <v>15</v>
      </c>
      <c r="X94" s="22" t="s">
        <v>373</v>
      </c>
    </row>
    <row r="95" customFormat="false" ht="15" hidden="false" customHeight="false" outlineLevel="0" collapsed="false">
      <c r="A95" s="22" t="s">
        <v>650</v>
      </c>
      <c r="B95" s="22" t="s">
        <v>15</v>
      </c>
      <c r="C95" s="22" t="s">
        <v>651</v>
      </c>
      <c r="D95" s="22" t="s">
        <v>652</v>
      </c>
      <c r="E95" s="22" t="s">
        <v>653</v>
      </c>
      <c r="F95" s="22" t="n">
        <v>13</v>
      </c>
      <c r="G95" s="26" t="n">
        <v>101.65</v>
      </c>
      <c r="H95" s="26" t="n">
        <v>112.67</v>
      </c>
      <c r="I95" s="26" t="n">
        <v>134.71</v>
      </c>
      <c r="J95" s="26" t="n">
        <v>145.73</v>
      </c>
      <c r="K95" s="26" t="n">
        <v>162.25</v>
      </c>
      <c r="L95" s="26" t="n">
        <v>2.12</v>
      </c>
      <c r="M95" s="27" t="n">
        <v>0.005</v>
      </c>
      <c r="N95" s="27" t="n">
        <v>0.002</v>
      </c>
      <c r="O95" s="26" t="n">
        <v>5</v>
      </c>
      <c r="P95" s="26" t="n">
        <v>5</v>
      </c>
      <c r="Q95" s="28" t="n">
        <v>100</v>
      </c>
      <c r="R95" s="26" t="n">
        <v>30</v>
      </c>
      <c r="S95" s="26" t="n">
        <v>0</v>
      </c>
      <c r="T95" s="28" t="n">
        <v>1</v>
      </c>
      <c r="U95" s="26" t="n">
        <v>0</v>
      </c>
      <c r="V95" s="26" t="n">
        <v>0</v>
      </c>
      <c r="W95" s="22" t="s">
        <v>15</v>
      </c>
      <c r="X95" s="22" t="s">
        <v>373</v>
      </c>
    </row>
    <row r="96" customFormat="false" ht="15" hidden="false" customHeight="false" outlineLevel="0" collapsed="false">
      <c r="A96" s="22" t="s">
        <v>654</v>
      </c>
      <c r="B96" s="22" t="s">
        <v>15</v>
      </c>
      <c r="C96" s="22" t="s">
        <v>74</v>
      </c>
      <c r="D96" s="22" t="s">
        <v>655</v>
      </c>
      <c r="E96" s="22" t="s">
        <v>656</v>
      </c>
      <c r="F96" s="22" t="n">
        <v>13</v>
      </c>
      <c r="G96" s="26" t="n">
        <v>101.65</v>
      </c>
      <c r="H96" s="26" t="n">
        <v>112.67</v>
      </c>
      <c r="I96" s="26" t="n">
        <v>134.71</v>
      </c>
      <c r="J96" s="26" t="n">
        <v>145.73</v>
      </c>
      <c r="K96" s="26" t="n">
        <v>162.25</v>
      </c>
      <c r="L96" s="26" t="n">
        <v>2.12</v>
      </c>
      <c r="M96" s="27" t="n">
        <v>0.005</v>
      </c>
      <c r="N96" s="27" t="n">
        <v>0.002</v>
      </c>
      <c r="O96" s="26" t="n">
        <v>5</v>
      </c>
      <c r="P96" s="26" t="n">
        <v>5</v>
      </c>
      <c r="Q96" s="28" t="n">
        <v>100</v>
      </c>
      <c r="R96" s="26" t="n">
        <v>30</v>
      </c>
      <c r="S96" s="26" t="n">
        <v>0</v>
      </c>
      <c r="T96" s="28" t="n">
        <v>1</v>
      </c>
      <c r="U96" s="26" t="n">
        <v>0</v>
      </c>
      <c r="V96" s="26" t="n">
        <v>0</v>
      </c>
      <c r="W96" s="22" t="s">
        <v>15</v>
      </c>
      <c r="X96" s="22" t="s">
        <v>373</v>
      </c>
    </row>
    <row r="97" customFormat="false" ht="15" hidden="false" customHeight="false" outlineLevel="0" collapsed="false">
      <c r="A97" s="22" t="s">
        <v>657</v>
      </c>
      <c r="B97" s="22" t="s">
        <v>15</v>
      </c>
      <c r="C97" s="22" t="s">
        <v>71</v>
      </c>
      <c r="D97" s="22" t="s">
        <v>658</v>
      </c>
      <c r="E97" s="22" t="s">
        <v>659</v>
      </c>
      <c r="F97" s="22" t="n">
        <v>13</v>
      </c>
      <c r="G97" s="26" t="n">
        <v>101.65</v>
      </c>
      <c r="H97" s="26" t="n">
        <v>112.67</v>
      </c>
      <c r="I97" s="26" t="n">
        <v>134.71</v>
      </c>
      <c r="J97" s="26" t="n">
        <v>145.73</v>
      </c>
      <c r="K97" s="26" t="n">
        <v>162.25</v>
      </c>
      <c r="L97" s="26" t="n">
        <v>2.12</v>
      </c>
      <c r="M97" s="27" t="n">
        <v>0.005</v>
      </c>
      <c r="N97" s="27" t="n">
        <v>0.002</v>
      </c>
      <c r="O97" s="26" t="n">
        <v>5</v>
      </c>
      <c r="P97" s="26" t="n">
        <v>5</v>
      </c>
      <c r="Q97" s="28" t="n">
        <v>100</v>
      </c>
      <c r="R97" s="26" t="n">
        <v>30</v>
      </c>
      <c r="S97" s="26" t="n">
        <v>0</v>
      </c>
      <c r="T97" s="28" t="n">
        <v>1</v>
      </c>
      <c r="U97" s="26" t="n">
        <v>0</v>
      </c>
      <c r="V97" s="26" t="n">
        <v>0</v>
      </c>
      <c r="W97" s="22" t="s">
        <v>15</v>
      </c>
      <c r="X97" s="22" t="s">
        <v>373</v>
      </c>
    </row>
    <row r="98" customFormat="false" ht="15" hidden="false" customHeight="false" outlineLevel="0" collapsed="false">
      <c r="A98" s="22" t="s">
        <v>660</v>
      </c>
      <c r="B98" s="22" t="s">
        <v>15</v>
      </c>
      <c r="C98" s="22" t="s">
        <v>661</v>
      </c>
      <c r="D98" s="22" t="s">
        <v>662</v>
      </c>
      <c r="E98" s="22" t="s">
        <v>663</v>
      </c>
      <c r="F98" s="22" t="n">
        <v>13</v>
      </c>
      <c r="G98" s="26" t="n">
        <v>101.65</v>
      </c>
      <c r="H98" s="26" t="n">
        <v>112.67</v>
      </c>
      <c r="I98" s="26" t="n">
        <v>134.71</v>
      </c>
      <c r="J98" s="26" t="n">
        <v>145.73</v>
      </c>
      <c r="K98" s="26" t="n">
        <v>162.25</v>
      </c>
      <c r="L98" s="26" t="n">
        <v>2.12</v>
      </c>
      <c r="M98" s="27" t="n">
        <v>0.005</v>
      </c>
      <c r="N98" s="27" t="n">
        <v>0.002</v>
      </c>
      <c r="O98" s="26" t="n">
        <v>5</v>
      </c>
      <c r="P98" s="26" t="n">
        <v>5</v>
      </c>
      <c r="Q98" s="28" t="n">
        <v>100</v>
      </c>
      <c r="R98" s="26" t="n">
        <v>30</v>
      </c>
      <c r="S98" s="26" t="n">
        <v>0</v>
      </c>
      <c r="T98" s="28" t="n">
        <v>1</v>
      </c>
      <c r="U98" s="26" t="n">
        <v>0</v>
      </c>
      <c r="V98" s="26" t="n">
        <v>0</v>
      </c>
      <c r="W98" s="22" t="s">
        <v>15</v>
      </c>
      <c r="X98" s="22" t="s">
        <v>373</v>
      </c>
    </row>
    <row r="99" customFormat="false" ht="15" hidden="false" customHeight="false" outlineLevel="0" collapsed="false">
      <c r="A99" s="22" t="s">
        <v>664</v>
      </c>
      <c r="B99" s="22" t="s">
        <v>15</v>
      </c>
      <c r="C99" s="22" t="s">
        <v>665</v>
      </c>
      <c r="D99" s="22" t="s">
        <v>666</v>
      </c>
      <c r="E99" s="22" t="s">
        <v>667</v>
      </c>
      <c r="F99" s="22" t="n">
        <v>13</v>
      </c>
      <c r="G99" s="26" t="n">
        <v>101.65</v>
      </c>
      <c r="H99" s="26" t="n">
        <v>112.67</v>
      </c>
      <c r="I99" s="26" t="n">
        <v>134.71</v>
      </c>
      <c r="J99" s="26" t="n">
        <v>145.73</v>
      </c>
      <c r="K99" s="26" t="n">
        <v>162.25</v>
      </c>
      <c r="L99" s="26" t="n">
        <v>2.12</v>
      </c>
      <c r="M99" s="27" t="n">
        <v>0.005</v>
      </c>
      <c r="N99" s="27" t="n">
        <v>0.002</v>
      </c>
      <c r="O99" s="26" t="n">
        <v>5</v>
      </c>
      <c r="P99" s="26" t="n">
        <v>5</v>
      </c>
      <c r="Q99" s="28" t="n">
        <v>100</v>
      </c>
      <c r="R99" s="26" t="n">
        <v>30</v>
      </c>
      <c r="S99" s="26" t="n">
        <v>0</v>
      </c>
      <c r="T99" s="28" t="n">
        <v>1</v>
      </c>
      <c r="U99" s="26" t="n">
        <v>0</v>
      </c>
      <c r="V99" s="26" t="n">
        <v>0</v>
      </c>
      <c r="W99" s="22" t="s">
        <v>15</v>
      </c>
      <c r="X99" s="22" t="s">
        <v>373</v>
      </c>
    </row>
    <row r="100" customFormat="false" ht="15" hidden="false" customHeight="false" outlineLevel="0" collapsed="false">
      <c r="A100" s="22" t="s">
        <v>668</v>
      </c>
      <c r="B100" s="22" t="s">
        <v>15</v>
      </c>
      <c r="C100" s="22" t="s">
        <v>669</v>
      </c>
      <c r="D100" s="22" t="s">
        <v>670</v>
      </c>
      <c r="E100" s="22" t="s">
        <v>671</v>
      </c>
      <c r="F100" s="22" t="n">
        <v>13</v>
      </c>
      <c r="G100" s="26" t="n">
        <v>101.65</v>
      </c>
      <c r="H100" s="26" t="n">
        <v>112.67</v>
      </c>
      <c r="I100" s="26" t="n">
        <v>134.71</v>
      </c>
      <c r="J100" s="26" t="n">
        <v>145.73</v>
      </c>
      <c r="K100" s="26" t="n">
        <v>162.25</v>
      </c>
      <c r="L100" s="26" t="n">
        <v>2.12</v>
      </c>
      <c r="M100" s="27" t="n">
        <v>0.005</v>
      </c>
      <c r="N100" s="27" t="n">
        <v>0.002</v>
      </c>
      <c r="O100" s="26" t="n">
        <v>5</v>
      </c>
      <c r="P100" s="26" t="n">
        <v>5</v>
      </c>
      <c r="Q100" s="28" t="n">
        <v>100</v>
      </c>
      <c r="R100" s="26" t="n">
        <v>30</v>
      </c>
      <c r="S100" s="26" t="n">
        <v>0</v>
      </c>
      <c r="T100" s="28" t="n">
        <v>1</v>
      </c>
      <c r="U100" s="26" t="n">
        <v>0</v>
      </c>
      <c r="V100" s="26" t="n">
        <v>0</v>
      </c>
      <c r="W100" s="22" t="s">
        <v>15</v>
      </c>
      <c r="X100" s="22" t="s">
        <v>373</v>
      </c>
    </row>
    <row r="101" customFormat="false" ht="15" hidden="false" customHeight="false" outlineLevel="0" collapsed="false">
      <c r="A101" s="22" t="s">
        <v>672</v>
      </c>
      <c r="B101" s="22" t="s">
        <v>15</v>
      </c>
      <c r="C101" s="22" t="s">
        <v>673</v>
      </c>
      <c r="D101" s="22" t="s">
        <v>674</v>
      </c>
      <c r="E101" s="22" t="s">
        <v>675</v>
      </c>
      <c r="F101" s="22" t="n">
        <v>13</v>
      </c>
      <c r="G101" s="26" t="n">
        <v>101.65</v>
      </c>
      <c r="H101" s="26" t="n">
        <v>112.67</v>
      </c>
      <c r="I101" s="26" t="n">
        <v>134.71</v>
      </c>
      <c r="J101" s="26" t="n">
        <v>145.73</v>
      </c>
      <c r="K101" s="26" t="n">
        <v>162.25</v>
      </c>
      <c r="L101" s="26" t="n">
        <v>2.12</v>
      </c>
      <c r="M101" s="27" t="n">
        <v>0.005</v>
      </c>
      <c r="N101" s="27" t="n">
        <v>0.002</v>
      </c>
      <c r="O101" s="26" t="n">
        <v>5</v>
      </c>
      <c r="P101" s="26" t="n">
        <v>5</v>
      </c>
      <c r="Q101" s="28" t="n">
        <v>100</v>
      </c>
      <c r="R101" s="26" t="n">
        <v>30</v>
      </c>
      <c r="S101" s="26" t="n">
        <v>0</v>
      </c>
      <c r="T101" s="28" t="n">
        <v>1</v>
      </c>
      <c r="U101" s="26" t="n">
        <v>0</v>
      </c>
      <c r="V101" s="26" t="n">
        <v>0</v>
      </c>
      <c r="W101" s="22" t="s">
        <v>15</v>
      </c>
      <c r="X101" s="22" t="s">
        <v>373</v>
      </c>
    </row>
    <row r="102" customFormat="false" ht="15" hidden="false" customHeight="false" outlineLevel="0" collapsed="false">
      <c r="A102" s="22" t="s">
        <v>676</v>
      </c>
      <c r="B102" s="22" t="s">
        <v>15</v>
      </c>
      <c r="C102" s="22" t="s">
        <v>677</v>
      </c>
      <c r="D102" s="22" t="s">
        <v>678</v>
      </c>
      <c r="E102" s="22" t="s">
        <v>679</v>
      </c>
      <c r="F102" s="22" t="n">
        <v>13</v>
      </c>
      <c r="G102" s="26" t="n">
        <v>101.65</v>
      </c>
      <c r="H102" s="26" t="n">
        <v>112.67</v>
      </c>
      <c r="I102" s="26" t="n">
        <v>134.71</v>
      </c>
      <c r="J102" s="26" t="n">
        <v>145.73</v>
      </c>
      <c r="K102" s="26" t="n">
        <v>162.25</v>
      </c>
      <c r="L102" s="26" t="n">
        <v>2.12</v>
      </c>
      <c r="M102" s="27" t="n">
        <v>0.005</v>
      </c>
      <c r="N102" s="27" t="n">
        <v>0.002</v>
      </c>
      <c r="O102" s="26" t="n">
        <v>5</v>
      </c>
      <c r="P102" s="26" t="n">
        <v>5</v>
      </c>
      <c r="Q102" s="28" t="n">
        <v>100</v>
      </c>
      <c r="R102" s="26" t="n">
        <v>30</v>
      </c>
      <c r="S102" s="26" t="n">
        <v>0</v>
      </c>
      <c r="T102" s="28" t="n">
        <v>1</v>
      </c>
      <c r="U102" s="26" t="n">
        <v>0</v>
      </c>
      <c r="V102" s="26" t="n">
        <v>0</v>
      </c>
      <c r="W102" s="22" t="s">
        <v>15</v>
      </c>
      <c r="X102" s="22" t="s">
        <v>373</v>
      </c>
    </row>
    <row r="103" customFormat="false" ht="15" hidden="false" customHeight="false" outlineLevel="0" collapsed="false">
      <c r="A103" s="22" t="s">
        <v>680</v>
      </c>
      <c r="B103" s="22" t="s">
        <v>15</v>
      </c>
      <c r="C103" s="22" t="s">
        <v>681</v>
      </c>
      <c r="D103" s="22" t="s">
        <v>682</v>
      </c>
      <c r="E103" s="22" t="s">
        <v>683</v>
      </c>
      <c r="F103" s="22" t="n">
        <v>13</v>
      </c>
      <c r="G103" s="26" t="n">
        <v>101.65</v>
      </c>
      <c r="H103" s="26" t="n">
        <v>112.67</v>
      </c>
      <c r="I103" s="26" t="n">
        <v>134.71</v>
      </c>
      <c r="J103" s="26" t="n">
        <v>145.73</v>
      </c>
      <c r="K103" s="26" t="n">
        <v>162.25</v>
      </c>
      <c r="L103" s="26" t="n">
        <v>2.12</v>
      </c>
      <c r="M103" s="27" t="n">
        <v>0.005</v>
      </c>
      <c r="N103" s="27" t="n">
        <v>0.002</v>
      </c>
      <c r="O103" s="26" t="n">
        <v>5</v>
      </c>
      <c r="P103" s="26" t="n">
        <v>5</v>
      </c>
      <c r="Q103" s="28" t="n">
        <v>100</v>
      </c>
      <c r="R103" s="26" t="n">
        <v>30</v>
      </c>
      <c r="S103" s="26" t="n">
        <v>0</v>
      </c>
      <c r="T103" s="28" t="n">
        <v>1</v>
      </c>
      <c r="U103" s="26" t="n">
        <v>0</v>
      </c>
      <c r="V103" s="26" t="n">
        <v>0</v>
      </c>
      <c r="W103" s="22" t="s">
        <v>15</v>
      </c>
      <c r="X103" s="22" t="s">
        <v>373</v>
      </c>
    </row>
    <row r="104" customFormat="false" ht="15" hidden="false" customHeight="false" outlineLevel="0" collapsed="false">
      <c r="A104" s="22" t="s">
        <v>684</v>
      </c>
      <c r="B104" s="22" t="s">
        <v>16</v>
      </c>
      <c r="C104" s="22" t="s">
        <v>79</v>
      </c>
      <c r="D104" s="22" t="s">
        <v>685</v>
      </c>
      <c r="E104" s="22" t="s">
        <v>686</v>
      </c>
      <c r="F104" s="22" t="n">
        <v>6</v>
      </c>
      <c r="G104" s="26" t="n">
        <v>38.88</v>
      </c>
      <c r="H104" s="26" t="n">
        <v>50.4</v>
      </c>
      <c r="I104" s="26" t="n">
        <v>61.92</v>
      </c>
      <c r="J104" s="26" t="n">
        <v>73.44</v>
      </c>
      <c r="K104" s="26" t="n">
        <v>84.96</v>
      </c>
      <c r="L104" s="26" t="n">
        <v>1.16</v>
      </c>
      <c r="M104" s="27" t="n">
        <v>0.005</v>
      </c>
      <c r="N104" s="27" t="n">
        <v>0.002</v>
      </c>
      <c r="O104" s="26" t="n">
        <v>5</v>
      </c>
      <c r="P104" s="26" t="n">
        <v>5</v>
      </c>
      <c r="Q104" s="28" t="n">
        <v>100</v>
      </c>
      <c r="R104" s="26" t="n">
        <v>30</v>
      </c>
      <c r="S104" s="26" t="n">
        <v>0</v>
      </c>
      <c r="T104" s="28" t="n">
        <v>1</v>
      </c>
      <c r="U104" s="26" t="n">
        <v>0</v>
      </c>
      <c r="V104" s="26" t="n">
        <v>0</v>
      </c>
      <c r="W104" s="22" t="s">
        <v>16</v>
      </c>
      <c r="X104" s="22" t="s">
        <v>286</v>
      </c>
    </row>
    <row r="105" customFormat="false" ht="15" hidden="false" customHeight="false" outlineLevel="0" collapsed="false">
      <c r="A105" s="22" t="s">
        <v>687</v>
      </c>
      <c r="B105" s="22" t="s">
        <v>16</v>
      </c>
      <c r="C105" s="22" t="s">
        <v>688</v>
      </c>
      <c r="D105" s="22" t="s">
        <v>689</v>
      </c>
      <c r="E105" s="22" t="s">
        <v>690</v>
      </c>
      <c r="F105" s="22" t="n">
        <v>6</v>
      </c>
      <c r="G105" s="26" t="n">
        <v>38.88</v>
      </c>
      <c r="H105" s="26" t="n">
        <v>50.4</v>
      </c>
      <c r="I105" s="26" t="n">
        <v>61.92</v>
      </c>
      <c r="J105" s="26" t="n">
        <v>73.44</v>
      </c>
      <c r="K105" s="26" t="n">
        <v>84.96</v>
      </c>
      <c r="L105" s="26" t="n">
        <v>1.16</v>
      </c>
      <c r="M105" s="27" t="n">
        <v>0.005</v>
      </c>
      <c r="N105" s="27" t="n">
        <v>0.002</v>
      </c>
      <c r="O105" s="26" t="n">
        <v>5</v>
      </c>
      <c r="P105" s="26" t="n">
        <v>5</v>
      </c>
      <c r="Q105" s="28" t="n">
        <v>100</v>
      </c>
      <c r="R105" s="26" t="n">
        <v>30</v>
      </c>
      <c r="S105" s="26" t="n">
        <v>0</v>
      </c>
      <c r="T105" s="28" t="n">
        <v>1</v>
      </c>
      <c r="U105" s="26" t="n">
        <v>0</v>
      </c>
      <c r="V105" s="26" t="n">
        <v>0</v>
      </c>
      <c r="W105" s="22" t="s">
        <v>16</v>
      </c>
      <c r="X105" s="22" t="s">
        <v>286</v>
      </c>
    </row>
    <row r="106" customFormat="false" ht="15" hidden="false" customHeight="false" outlineLevel="0" collapsed="false">
      <c r="A106" s="22" t="s">
        <v>691</v>
      </c>
      <c r="B106" s="22" t="s">
        <v>16</v>
      </c>
      <c r="C106" s="22" t="s">
        <v>83</v>
      </c>
      <c r="D106" s="22" t="s">
        <v>692</v>
      </c>
      <c r="E106" s="22" t="s">
        <v>693</v>
      </c>
      <c r="F106" s="22" t="n">
        <v>6</v>
      </c>
      <c r="G106" s="26" t="n">
        <v>38.88</v>
      </c>
      <c r="H106" s="26" t="n">
        <v>50.4</v>
      </c>
      <c r="I106" s="26" t="n">
        <v>61.92</v>
      </c>
      <c r="J106" s="26" t="n">
        <v>73.44</v>
      </c>
      <c r="K106" s="26" t="n">
        <v>84.96</v>
      </c>
      <c r="L106" s="26" t="n">
        <v>1.16</v>
      </c>
      <c r="M106" s="27" t="n">
        <v>0.005</v>
      </c>
      <c r="N106" s="27" t="n">
        <v>0.002</v>
      </c>
      <c r="O106" s="26" t="n">
        <v>5</v>
      </c>
      <c r="P106" s="26" t="n">
        <v>5</v>
      </c>
      <c r="Q106" s="28" t="n">
        <v>100</v>
      </c>
      <c r="R106" s="26" t="n">
        <v>30</v>
      </c>
      <c r="S106" s="26" t="n">
        <v>0</v>
      </c>
      <c r="T106" s="28" t="n">
        <v>1</v>
      </c>
      <c r="U106" s="26" t="n">
        <v>0</v>
      </c>
      <c r="V106" s="26" t="n">
        <v>0</v>
      </c>
      <c r="W106" s="22" t="s">
        <v>16</v>
      </c>
      <c r="X106" s="22" t="s">
        <v>286</v>
      </c>
    </row>
    <row r="107" customFormat="false" ht="15" hidden="false" customHeight="false" outlineLevel="0" collapsed="false">
      <c r="A107" s="22" t="s">
        <v>694</v>
      </c>
      <c r="B107" s="22" t="s">
        <v>16</v>
      </c>
      <c r="C107" s="22" t="s">
        <v>75</v>
      </c>
      <c r="D107" s="22" t="s">
        <v>695</v>
      </c>
      <c r="E107" s="22" t="s">
        <v>696</v>
      </c>
      <c r="F107" s="22" t="n">
        <v>6</v>
      </c>
      <c r="G107" s="26" t="n">
        <v>38.88</v>
      </c>
      <c r="H107" s="26" t="n">
        <v>50.4</v>
      </c>
      <c r="I107" s="26" t="n">
        <v>61.92</v>
      </c>
      <c r="J107" s="26" t="n">
        <v>73.44</v>
      </c>
      <c r="K107" s="26" t="n">
        <v>84.96</v>
      </c>
      <c r="L107" s="26" t="n">
        <v>1.16</v>
      </c>
      <c r="M107" s="27" t="n">
        <v>0.005</v>
      </c>
      <c r="N107" s="27" t="n">
        <v>0.002</v>
      </c>
      <c r="O107" s="26" t="n">
        <v>5</v>
      </c>
      <c r="P107" s="26" t="n">
        <v>5</v>
      </c>
      <c r="Q107" s="28" t="n">
        <v>100</v>
      </c>
      <c r="R107" s="26" t="n">
        <v>30</v>
      </c>
      <c r="S107" s="26" t="n">
        <v>0</v>
      </c>
      <c r="T107" s="28" t="n">
        <v>1</v>
      </c>
      <c r="U107" s="26" t="n">
        <v>0</v>
      </c>
      <c r="V107" s="26" t="n">
        <v>0</v>
      </c>
      <c r="W107" s="22" t="s">
        <v>16</v>
      </c>
      <c r="X107" s="22" t="s">
        <v>286</v>
      </c>
    </row>
    <row r="108" customFormat="false" ht="15" hidden="false" customHeight="false" outlineLevel="0" collapsed="false">
      <c r="A108" s="22" t="s">
        <v>697</v>
      </c>
      <c r="B108" s="22" t="s">
        <v>16</v>
      </c>
      <c r="C108" s="22" t="s">
        <v>87</v>
      </c>
      <c r="D108" s="22" t="s">
        <v>698</v>
      </c>
      <c r="E108" s="22" t="s">
        <v>699</v>
      </c>
      <c r="F108" s="22" t="n">
        <v>6</v>
      </c>
      <c r="G108" s="26" t="n">
        <v>38.88</v>
      </c>
      <c r="H108" s="26" t="n">
        <v>50.4</v>
      </c>
      <c r="I108" s="26" t="n">
        <v>61.92</v>
      </c>
      <c r="J108" s="26" t="n">
        <v>73.44</v>
      </c>
      <c r="K108" s="26" t="n">
        <v>84.96</v>
      </c>
      <c r="L108" s="26" t="n">
        <v>1.16</v>
      </c>
      <c r="M108" s="27" t="n">
        <v>0.005</v>
      </c>
      <c r="N108" s="27" t="n">
        <v>0.002</v>
      </c>
      <c r="O108" s="26" t="n">
        <v>5</v>
      </c>
      <c r="P108" s="26" t="n">
        <v>5</v>
      </c>
      <c r="Q108" s="28" t="n">
        <v>100</v>
      </c>
      <c r="R108" s="26" t="n">
        <v>30</v>
      </c>
      <c r="S108" s="26" t="n">
        <v>0</v>
      </c>
      <c r="T108" s="28" t="n">
        <v>1</v>
      </c>
      <c r="U108" s="26" t="n">
        <v>0</v>
      </c>
      <c r="V108" s="26" t="n">
        <v>0</v>
      </c>
      <c r="W108" s="22" t="s">
        <v>16</v>
      </c>
      <c r="X108" s="22" t="s">
        <v>286</v>
      </c>
    </row>
    <row r="109" customFormat="false" ht="15" hidden="false" customHeight="false" outlineLevel="0" collapsed="false">
      <c r="A109" s="22" t="s">
        <v>700</v>
      </c>
      <c r="B109" s="22" t="s">
        <v>16</v>
      </c>
      <c r="C109" s="22" t="s">
        <v>77</v>
      </c>
      <c r="D109" s="22" t="s">
        <v>701</v>
      </c>
      <c r="E109" s="22" t="s">
        <v>702</v>
      </c>
      <c r="F109" s="22" t="n">
        <v>5</v>
      </c>
      <c r="G109" s="26" t="n">
        <v>37.58</v>
      </c>
      <c r="H109" s="26" t="n">
        <v>49.1</v>
      </c>
      <c r="I109" s="26" t="n">
        <v>60.62</v>
      </c>
      <c r="J109" s="26" t="n">
        <v>72.14</v>
      </c>
      <c r="K109" s="26" t="n">
        <v>83.66</v>
      </c>
      <c r="L109" s="26" t="n">
        <v>1.13</v>
      </c>
      <c r="M109" s="27" t="n">
        <v>0.005</v>
      </c>
      <c r="N109" s="27" t="n">
        <v>0.002</v>
      </c>
      <c r="O109" s="26" t="n">
        <v>5</v>
      </c>
      <c r="P109" s="26" t="n">
        <v>5</v>
      </c>
      <c r="Q109" s="28" t="n">
        <v>100</v>
      </c>
      <c r="R109" s="26" t="n">
        <v>30</v>
      </c>
      <c r="S109" s="26" t="n">
        <v>0</v>
      </c>
      <c r="T109" s="28" t="n">
        <v>1</v>
      </c>
      <c r="U109" s="26" t="n">
        <v>0</v>
      </c>
      <c r="V109" s="26" t="n">
        <v>0</v>
      </c>
      <c r="W109" s="22" t="s">
        <v>16</v>
      </c>
      <c r="X109" s="22" t="s">
        <v>77</v>
      </c>
    </row>
    <row r="110" customFormat="false" ht="15" hidden="false" customHeight="false" outlineLevel="0" collapsed="false">
      <c r="A110" s="22" t="s">
        <v>703</v>
      </c>
      <c r="B110" s="22" t="s">
        <v>16</v>
      </c>
      <c r="C110" s="22" t="s">
        <v>704</v>
      </c>
      <c r="D110" s="22" t="s">
        <v>705</v>
      </c>
      <c r="E110" s="22" t="s">
        <v>706</v>
      </c>
      <c r="F110" s="22" t="n">
        <v>9</v>
      </c>
      <c r="G110" s="26" t="n">
        <v>51.04</v>
      </c>
      <c r="H110" s="26" t="n">
        <v>62.56</v>
      </c>
      <c r="I110" s="26" t="n">
        <v>74.08</v>
      </c>
      <c r="J110" s="26" t="n">
        <v>85.6</v>
      </c>
      <c r="K110" s="26" t="n">
        <v>97.12</v>
      </c>
      <c r="L110" s="26" t="n">
        <v>1.53</v>
      </c>
      <c r="M110" s="27" t="n">
        <v>0.005</v>
      </c>
      <c r="N110" s="27" t="n">
        <v>0.002</v>
      </c>
      <c r="O110" s="26" t="n">
        <v>5</v>
      </c>
      <c r="P110" s="26" t="n">
        <v>5</v>
      </c>
      <c r="Q110" s="28" t="n">
        <v>100</v>
      </c>
      <c r="R110" s="26" t="n">
        <v>30</v>
      </c>
      <c r="S110" s="26" t="n">
        <v>0</v>
      </c>
      <c r="T110" s="28" t="n">
        <v>1</v>
      </c>
      <c r="U110" s="26" t="n">
        <v>0</v>
      </c>
      <c r="V110" s="26" t="n">
        <v>0</v>
      </c>
      <c r="W110" s="22" t="s">
        <v>16</v>
      </c>
      <c r="X110" s="22" t="s">
        <v>293</v>
      </c>
    </row>
    <row r="111" customFormat="false" ht="15" hidden="false" customHeight="false" outlineLevel="0" collapsed="false">
      <c r="A111" s="22" t="s">
        <v>707</v>
      </c>
      <c r="B111" s="22" t="s">
        <v>16</v>
      </c>
      <c r="C111" s="22" t="s">
        <v>708</v>
      </c>
      <c r="D111" s="22" t="s">
        <v>709</v>
      </c>
      <c r="E111" s="22" t="s">
        <v>710</v>
      </c>
      <c r="F111" s="22" t="n">
        <v>9</v>
      </c>
      <c r="G111" s="26" t="n">
        <v>51.04</v>
      </c>
      <c r="H111" s="26" t="n">
        <v>62.56</v>
      </c>
      <c r="I111" s="26" t="n">
        <v>74.08</v>
      </c>
      <c r="J111" s="26" t="n">
        <v>85.6</v>
      </c>
      <c r="K111" s="26" t="n">
        <v>97.12</v>
      </c>
      <c r="L111" s="26" t="n">
        <v>1.53</v>
      </c>
      <c r="M111" s="27" t="n">
        <v>0.005</v>
      </c>
      <c r="N111" s="27" t="n">
        <v>0.002</v>
      </c>
      <c r="O111" s="26" t="n">
        <v>5</v>
      </c>
      <c r="P111" s="26" t="n">
        <v>5</v>
      </c>
      <c r="Q111" s="28" t="n">
        <v>100</v>
      </c>
      <c r="R111" s="26" t="n">
        <v>30</v>
      </c>
      <c r="S111" s="26" t="n">
        <v>0</v>
      </c>
      <c r="T111" s="28" t="n">
        <v>1</v>
      </c>
      <c r="U111" s="26" t="n">
        <v>0</v>
      </c>
      <c r="V111" s="26" t="n">
        <v>0</v>
      </c>
      <c r="W111" s="22" t="s">
        <v>16</v>
      </c>
      <c r="X111" s="22" t="s">
        <v>293</v>
      </c>
    </row>
    <row r="112" customFormat="false" ht="15" hidden="false" customHeight="false" outlineLevel="0" collapsed="false">
      <c r="A112" s="22" t="s">
        <v>711</v>
      </c>
      <c r="B112" s="22" t="s">
        <v>16</v>
      </c>
      <c r="C112" s="22" t="s">
        <v>712</v>
      </c>
      <c r="D112" s="22" t="s">
        <v>713</v>
      </c>
      <c r="E112" s="22" t="s">
        <v>714</v>
      </c>
      <c r="F112" s="22" t="n">
        <v>9</v>
      </c>
      <c r="G112" s="26" t="n">
        <v>51.04</v>
      </c>
      <c r="H112" s="26" t="n">
        <v>62.56</v>
      </c>
      <c r="I112" s="26" t="n">
        <v>74.08</v>
      </c>
      <c r="J112" s="26" t="n">
        <v>85.6</v>
      </c>
      <c r="K112" s="26" t="n">
        <v>97.12</v>
      </c>
      <c r="L112" s="26" t="n">
        <v>1.53</v>
      </c>
      <c r="M112" s="27" t="n">
        <v>0.005</v>
      </c>
      <c r="N112" s="27" t="n">
        <v>0.002</v>
      </c>
      <c r="O112" s="26" t="n">
        <v>5</v>
      </c>
      <c r="P112" s="26" t="n">
        <v>5</v>
      </c>
      <c r="Q112" s="28" t="n">
        <v>100</v>
      </c>
      <c r="R112" s="26" t="n">
        <v>30</v>
      </c>
      <c r="S112" s="26" t="n">
        <v>0</v>
      </c>
      <c r="T112" s="28" t="n">
        <v>1</v>
      </c>
      <c r="U112" s="26" t="n">
        <v>0</v>
      </c>
      <c r="V112" s="26" t="n">
        <v>0</v>
      </c>
      <c r="W112" s="22" t="s">
        <v>16</v>
      </c>
      <c r="X112" s="22" t="s">
        <v>293</v>
      </c>
    </row>
    <row r="113" customFormat="false" ht="15" hidden="false" customHeight="false" outlineLevel="0" collapsed="false">
      <c r="A113" s="22" t="s">
        <v>715</v>
      </c>
      <c r="B113" s="22" t="s">
        <v>16</v>
      </c>
      <c r="C113" s="22" t="s">
        <v>716</v>
      </c>
      <c r="D113" s="22" t="s">
        <v>717</v>
      </c>
      <c r="E113" s="22" t="s">
        <v>718</v>
      </c>
      <c r="F113" s="22" t="n">
        <v>9</v>
      </c>
      <c r="G113" s="26" t="n">
        <v>51.04</v>
      </c>
      <c r="H113" s="26" t="n">
        <v>62.56</v>
      </c>
      <c r="I113" s="26" t="n">
        <v>74.08</v>
      </c>
      <c r="J113" s="26" t="n">
        <v>85.6</v>
      </c>
      <c r="K113" s="26" t="n">
        <v>97.12</v>
      </c>
      <c r="L113" s="26" t="n">
        <v>1.53</v>
      </c>
      <c r="M113" s="27" t="n">
        <v>0.005</v>
      </c>
      <c r="N113" s="27" t="n">
        <v>0.002</v>
      </c>
      <c r="O113" s="26" t="n">
        <v>5</v>
      </c>
      <c r="P113" s="26" t="n">
        <v>5</v>
      </c>
      <c r="Q113" s="28" t="n">
        <v>100</v>
      </c>
      <c r="R113" s="26" t="n">
        <v>30</v>
      </c>
      <c r="S113" s="26" t="n">
        <v>0</v>
      </c>
      <c r="T113" s="28" t="n">
        <v>1</v>
      </c>
      <c r="U113" s="26" t="n">
        <v>0</v>
      </c>
      <c r="V113" s="26" t="n">
        <v>0</v>
      </c>
      <c r="W113" s="22" t="s">
        <v>16</v>
      </c>
      <c r="X113" s="22" t="s">
        <v>293</v>
      </c>
    </row>
    <row r="114" customFormat="false" ht="15" hidden="false" customHeight="false" outlineLevel="0" collapsed="false">
      <c r="A114" s="22" t="s">
        <v>719</v>
      </c>
      <c r="B114" s="22" t="s">
        <v>16</v>
      </c>
      <c r="C114" s="22" t="s">
        <v>720</v>
      </c>
      <c r="D114" s="22" t="s">
        <v>721</v>
      </c>
      <c r="E114" s="22" t="s">
        <v>722</v>
      </c>
      <c r="F114" s="22" t="n">
        <v>9</v>
      </c>
      <c r="G114" s="26" t="n">
        <v>51.04</v>
      </c>
      <c r="H114" s="26" t="n">
        <v>62.56</v>
      </c>
      <c r="I114" s="26" t="n">
        <v>74.08</v>
      </c>
      <c r="J114" s="26" t="n">
        <v>85.6</v>
      </c>
      <c r="K114" s="26" t="n">
        <v>97.12</v>
      </c>
      <c r="L114" s="26" t="n">
        <v>1.53</v>
      </c>
      <c r="M114" s="27" t="n">
        <v>0.005</v>
      </c>
      <c r="N114" s="27" t="n">
        <v>0.002</v>
      </c>
      <c r="O114" s="26" t="n">
        <v>5</v>
      </c>
      <c r="P114" s="26" t="n">
        <v>5</v>
      </c>
      <c r="Q114" s="28" t="n">
        <v>100</v>
      </c>
      <c r="R114" s="26" t="n">
        <v>30</v>
      </c>
      <c r="S114" s="26" t="n">
        <v>0</v>
      </c>
      <c r="T114" s="28" t="n">
        <v>1</v>
      </c>
      <c r="U114" s="26" t="n">
        <v>0</v>
      </c>
      <c r="V114" s="26" t="n">
        <v>0</v>
      </c>
      <c r="W114" s="22" t="s">
        <v>16</v>
      </c>
      <c r="X114" s="22" t="s">
        <v>293</v>
      </c>
    </row>
    <row r="115" customFormat="false" ht="15" hidden="false" customHeight="false" outlineLevel="0" collapsed="false">
      <c r="A115" s="22" t="s">
        <v>723</v>
      </c>
      <c r="B115" s="22" t="s">
        <v>16</v>
      </c>
      <c r="C115" s="22" t="s">
        <v>724</v>
      </c>
      <c r="D115" s="22" t="s">
        <v>725</v>
      </c>
      <c r="E115" s="22" t="s">
        <v>726</v>
      </c>
      <c r="F115" s="22" t="n">
        <v>9</v>
      </c>
      <c r="G115" s="26" t="n">
        <v>51.04</v>
      </c>
      <c r="H115" s="26" t="n">
        <v>62.56</v>
      </c>
      <c r="I115" s="26" t="n">
        <v>74.08</v>
      </c>
      <c r="J115" s="26" t="n">
        <v>85.6</v>
      </c>
      <c r="K115" s="26" t="n">
        <v>97.12</v>
      </c>
      <c r="L115" s="26" t="n">
        <v>1.53</v>
      </c>
      <c r="M115" s="27" t="n">
        <v>0.005</v>
      </c>
      <c r="N115" s="27" t="n">
        <v>0.002</v>
      </c>
      <c r="O115" s="26" t="n">
        <v>5</v>
      </c>
      <c r="P115" s="26" t="n">
        <v>5</v>
      </c>
      <c r="Q115" s="28" t="n">
        <v>100</v>
      </c>
      <c r="R115" s="26" t="n">
        <v>30</v>
      </c>
      <c r="S115" s="26" t="n">
        <v>0</v>
      </c>
      <c r="T115" s="28" t="n">
        <v>1</v>
      </c>
      <c r="U115" s="26" t="n">
        <v>0</v>
      </c>
      <c r="V115" s="26" t="n">
        <v>0</v>
      </c>
      <c r="W115" s="22" t="s">
        <v>16</v>
      </c>
      <c r="X115" s="22" t="s">
        <v>293</v>
      </c>
    </row>
    <row r="116" customFormat="false" ht="15" hidden="false" customHeight="false" outlineLevel="0" collapsed="false">
      <c r="A116" s="22" t="s">
        <v>727</v>
      </c>
      <c r="B116" s="22" t="s">
        <v>16</v>
      </c>
      <c r="C116" s="22" t="s">
        <v>728</v>
      </c>
      <c r="D116" s="22" t="s">
        <v>729</v>
      </c>
      <c r="E116" s="22" t="s">
        <v>730</v>
      </c>
      <c r="F116" s="22" t="n">
        <v>9</v>
      </c>
      <c r="G116" s="26" t="n">
        <v>51.04</v>
      </c>
      <c r="H116" s="26" t="n">
        <v>62.56</v>
      </c>
      <c r="I116" s="26" t="n">
        <v>74.08</v>
      </c>
      <c r="J116" s="26" t="n">
        <v>85.6</v>
      </c>
      <c r="K116" s="26" t="n">
        <v>97.12</v>
      </c>
      <c r="L116" s="26" t="n">
        <v>1.53</v>
      </c>
      <c r="M116" s="27" t="n">
        <v>0.005</v>
      </c>
      <c r="N116" s="27" t="n">
        <v>0.002</v>
      </c>
      <c r="O116" s="26" t="n">
        <v>5</v>
      </c>
      <c r="P116" s="26" t="n">
        <v>5</v>
      </c>
      <c r="Q116" s="28" t="n">
        <v>100</v>
      </c>
      <c r="R116" s="26" t="n">
        <v>30</v>
      </c>
      <c r="S116" s="26" t="n">
        <v>0</v>
      </c>
      <c r="T116" s="28" t="n">
        <v>1</v>
      </c>
      <c r="U116" s="26" t="n">
        <v>0</v>
      </c>
      <c r="V116" s="26" t="n">
        <v>0</v>
      </c>
      <c r="W116" s="22" t="s">
        <v>16</v>
      </c>
      <c r="X116" s="22" t="s">
        <v>293</v>
      </c>
    </row>
    <row r="117" customFormat="false" ht="15" hidden="false" customHeight="false" outlineLevel="0" collapsed="false">
      <c r="A117" s="22" t="s">
        <v>731</v>
      </c>
      <c r="B117" s="22" t="s">
        <v>16</v>
      </c>
      <c r="C117" s="22" t="s">
        <v>732</v>
      </c>
      <c r="D117" s="22" t="s">
        <v>733</v>
      </c>
      <c r="E117" s="22" t="s">
        <v>734</v>
      </c>
      <c r="F117" s="22" t="n">
        <v>9</v>
      </c>
      <c r="G117" s="26" t="n">
        <v>51.04</v>
      </c>
      <c r="H117" s="26" t="n">
        <v>62.56</v>
      </c>
      <c r="I117" s="26" t="n">
        <v>74.08</v>
      </c>
      <c r="J117" s="26" t="n">
        <v>85.6</v>
      </c>
      <c r="K117" s="26" t="n">
        <v>97.12</v>
      </c>
      <c r="L117" s="26" t="n">
        <v>1.53</v>
      </c>
      <c r="M117" s="27" t="n">
        <v>0.005</v>
      </c>
      <c r="N117" s="27" t="n">
        <v>0.002</v>
      </c>
      <c r="O117" s="26" t="n">
        <v>5</v>
      </c>
      <c r="P117" s="26" t="n">
        <v>5</v>
      </c>
      <c r="Q117" s="28" t="n">
        <v>100</v>
      </c>
      <c r="R117" s="26" t="n">
        <v>30</v>
      </c>
      <c r="S117" s="26" t="n">
        <v>0</v>
      </c>
      <c r="T117" s="28" t="n">
        <v>1</v>
      </c>
      <c r="U117" s="26" t="n">
        <v>0</v>
      </c>
      <c r="V117" s="26" t="n">
        <v>0</v>
      </c>
      <c r="W117" s="22" t="s">
        <v>16</v>
      </c>
      <c r="X117" s="22" t="s">
        <v>293</v>
      </c>
    </row>
    <row r="118" customFormat="false" ht="15" hidden="false" customHeight="false" outlineLevel="0" collapsed="false">
      <c r="A118" s="22" t="s">
        <v>735</v>
      </c>
      <c r="B118" s="22" t="s">
        <v>16</v>
      </c>
      <c r="C118" s="22" t="s">
        <v>736</v>
      </c>
      <c r="D118" s="22" t="s">
        <v>737</v>
      </c>
      <c r="E118" s="22" t="s">
        <v>738</v>
      </c>
      <c r="F118" s="22" t="n">
        <v>9</v>
      </c>
      <c r="G118" s="26" t="n">
        <v>51.04</v>
      </c>
      <c r="H118" s="26" t="n">
        <v>62.56</v>
      </c>
      <c r="I118" s="26" t="n">
        <v>74.08</v>
      </c>
      <c r="J118" s="26" t="n">
        <v>85.6</v>
      </c>
      <c r="K118" s="26" t="n">
        <v>97.12</v>
      </c>
      <c r="L118" s="26" t="n">
        <v>1.53</v>
      </c>
      <c r="M118" s="27" t="n">
        <v>0.005</v>
      </c>
      <c r="N118" s="27" t="n">
        <v>0.002</v>
      </c>
      <c r="O118" s="26" t="n">
        <v>5</v>
      </c>
      <c r="P118" s="26" t="n">
        <v>5</v>
      </c>
      <c r="Q118" s="28" t="n">
        <v>100</v>
      </c>
      <c r="R118" s="26" t="n">
        <v>30</v>
      </c>
      <c r="S118" s="26" t="n">
        <v>0</v>
      </c>
      <c r="T118" s="28" t="n">
        <v>1</v>
      </c>
      <c r="U118" s="26" t="n">
        <v>0</v>
      </c>
      <c r="V118" s="26" t="n">
        <v>0</v>
      </c>
      <c r="W118" s="22" t="s">
        <v>16</v>
      </c>
      <c r="X118" s="22" t="s">
        <v>293</v>
      </c>
    </row>
    <row r="119" customFormat="false" ht="15" hidden="false" customHeight="false" outlineLevel="0" collapsed="false">
      <c r="A119" s="22" t="s">
        <v>739</v>
      </c>
      <c r="B119" s="22" t="s">
        <v>16</v>
      </c>
      <c r="C119" s="22" t="s">
        <v>740</v>
      </c>
      <c r="D119" s="22" t="s">
        <v>741</v>
      </c>
      <c r="E119" s="22" t="s">
        <v>742</v>
      </c>
      <c r="F119" s="22" t="n">
        <v>9</v>
      </c>
      <c r="G119" s="26" t="n">
        <v>51.04</v>
      </c>
      <c r="H119" s="26" t="n">
        <v>62.56</v>
      </c>
      <c r="I119" s="26" t="n">
        <v>74.08</v>
      </c>
      <c r="J119" s="26" t="n">
        <v>85.6</v>
      </c>
      <c r="K119" s="26" t="n">
        <v>97.12</v>
      </c>
      <c r="L119" s="26" t="n">
        <v>1.53</v>
      </c>
      <c r="M119" s="27" t="n">
        <v>0.005</v>
      </c>
      <c r="N119" s="27" t="n">
        <v>0.002</v>
      </c>
      <c r="O119" s="26" t="n">
        <v>5</v>
      </c>
      <c r="P119" s="26" t="n">
        <v>5</v>
      </c>
      <c r="Q119" s="28" t="n">
        <v>100</v>
      </c>
      <c r="R119" s="26" t="n">
        <v>30</v>
      </c>
      <c r="S119" s="26" t="n">
        <v>0</v>
      </c>
      <c r="T119" s="28" t="n">
        <v>1</v>
      </c>
      <c r="U119" s="26" t="n">
        <v>0</v>
      </c>
      <c r="V119" s="26" t="n">
        <v>0</v>
      </c>
      <c r="W119" s="22" t="s">
        <v>16</v>
      </c>
      <c r="X119" s="22" t="s">
        <v>293</v>
      </c>
    </row>
    <row r="120" customFormat="false" ht="15" hidden="false" customHeight="false" outlineLevel="0" collapsed="false">
      <c r="A120" s="22" t="s">
        <v>743</v>
      </c>
      <c r="B120" s="22" t="s">
        <v>16</v>
      </c>
      <c r="C120" s="22" t="s">
        <v>744</v>
      </c>
      <c r="D120" s="22" t="s">
        <v>745</v>
      </c>
      <c r="E120" s="22" t="s">
        <v>746</v>
      </c>
      <c r="F120" s="22" t="n">
        <v>9</v>
      </c>
      <c r="G120" s="26" t="n">
        <v>51.04</v>
      </c>
      <c r="H120" s="26" t="n">
        <v>62.56</v>
      </c>
      <c r="I120" s="26" t="n">
        <v>74.08</v>
      </c>
      <c r="J120" s="26" t="n">
        <v>85.6</v>
      </c>
      <c r="K120" s="26" t="n">
        <v>97.12</v>
      </c>
      <c r="L120" s="26" t="n">
        <v>1.53</v>
      </c>
      <c r="M120" s="27" t="n">
        <v>0.005</v>
      </c>
      <c r="N120" s="27" t="n">
        <v>0.002</v>
      </c>
      <c r="O120" s="26" t="n">
        <v>5</v>
      </c>
      <c r="P120" s="26" t="n">
        <v>5</v>
      </c>
      <c r="Q120" s="28" t="n">
        <v>100</v>
      </c>
      <c r="R120" s="26" t="n">
        <v>30</v>
      </c>
      <c r="S120" s="26" t="n">
        <v>0</v>
      </c>
      <c r="T120" s="28" t="n">
        <v>1</v>
      </c>
      <c r="U120" s="26" t="n">
        <v>0</v>
      </c>
      <c r="V120" s="26" t="n">
        <v>0</v>
      </c>
      <c r="W120" s="22" t="s">
        <v>16</v>
      </c>
      <c r="X120" s="22" t="s">
        <v>293</v>
      </c>
    </row>
    <row r="121" customFormat="false" ht="15" hidden="false" customHeight="false" outlineLevel="0" collapsed="false">
      <c r="A121" s="22" t="s">
        <v>747</v>
      </c>
      <c r="B121" s="22" t="s">
        <v>16</v>
      </c>
      <c r="C121" s="22" t="s">
        <v>748</v>
      </c>
      <c r="D121" s="22" t="s">
        <v>749</v>
      </c>
      <c r="E121" s="22" t="s">
        <v>750</v>
      </c>
      <c r="F121" s="22" t="n">
        <v>9</v>
      </c>
      <c r="G121" s="26" t="n">
        <v>51.04</v>
      </c>
      <c r="H121" s="26" t="n">
        <v>62.56</v>
      </c>
      <c r="I121" s="26" t="n">
        <v>74.08</v>
      </c>
      <c r="J121" s="26" t="n">
        <v>85.6</v>
      </c>
      <c r="K121" s="26" t="n">
        <v>97.12</v>
      </c>
      <c r="L121" s="26" t="n">
        <v>1.53</v>
      </c>
      <c r="M121" s="27" t="n">
        <v>0.005</v>
      </c>
      <c r="N121" s="27" t="n">
        <v>0.002</v>
      </c>
      <c r="O121" s="26" t="n">
        <v>5</v>
      </c>
      <c r="P121" s="26" t="n">
        <v>5</v>
      </c>
      <c r="Q121" s="28" t="n">
        <v>100</v>
      </c>
      <c r="R121" s="26" t="n">
        <v>30</v>
      </c>
      <c r="S121" s="26" t="n">
        <v>0</v>
      </c>
      <c r="T121" s="28" t="n">
        <v>1</v>
      </c>
      <c r="U121" s="26" t="n">
        <v>0</v>
      </c>
      <c r="V121" s="26" t="n">
        <v>0</v>
      </c>
      <c r="W121" s="22" t="s">
        <v>16</v>
      </c>
      <c r="X121" s="22" t="s">
        <v>293</v>
      </c>
    </row>
    <row r="122" customFormat="false" ht="15" hidden="false" customHeight="false" outlineLevel="0" collapsed="false">
      <c r="A122" s="22" t="s">
        <v>751</v>
      </c>
      <c r="B122" s="22" t="s">
        <v>16</v>
      </c>
      <c r="C122" s="22" t="s">
        <v>752</v>
      </c>
      <c r="D122" s="22" t="s">
        <v>753</v>
      </c>
      <c r="E122" s="22" t="s">
        <v>754</v>
      </c>
      <c r="F122" s="22" t="n">
        <v>9</v>
      </c>
      <c r="G122" s="26" t="n">
        <v>51.04</v>
      </c>
      <c r="H122" s="26" t="n">
        <v>62.56</v>
      </c>
      <c r="I122" s="26" t="n">
        <v>74.08</v>
      </c>
      <c r="J122" s="26" t="n">
        <v>85.6</v>
      </c>
      <c r="K122" s="26" t="n">
        <v>97.12</v>
      </c>
      <c r="L122" s="26" t="n">
        <v>1.53</v>
      </c>
      <c r="M122" s="27" t="n">
        <v>0.005</v>
      </c>
      <c r="N122" s="27" t="n">
        <v>0.002</v>
      </c>
      <c r="O122" s="26" t="n">
        <v>5</v>
      </c>
      <c r="P122" s="26" t="n">
        <v>5</v>
      </c>
      <c r="Q122" s="28" t="n">
        <v>100</v>
      </c>
      <c r="R122" s="26" t="n">
        <v>30</v>
      </c>
      <c r="S122" s="26" t="n">
        <v>0</v>
      </c>
      <c r="T122" s="28" t="n">
        <v>1</v>
      </c>
      <c r="U122" s="26" t="n">
        <v>0</v>
      </c>
      <c r="V122" s="26" t="n">
        <v>0</v>
      </c>
      <c r="W122" s="22" t="s">
        <v>16</v>
      </c>
      <c r="X122" s="22" t="s">
        <v>293</v>
      </c>
    </row>
    <row r="123" customFormat="false" ht="15" hidden="false" customHeight="false" outlineLevel="0" collapsed="false">
      <c r="A123" s="22" t="s">
        <v>755</v>
      </c>
      <c r="B123" s="22" t="s">
        <v>16</v>
      </c>
      <c r="C123" s="22" t="s">
        <v>756</v>
      </c>
      <c r="D123" s="22" t="s">
        <v>757</v>
      </c>
      <c r="E123" s="22" t="s">
        <v>758</v>
      </c>
      <c r="F123" s="22" t="n">
        <v>6</v>
      </c>
      <c r="G123" s="26" t="n">
        <v>51.04</v>
      </c>
      <c r="H123" s="26" t="n">
        <v>62.56</v>
      </c>
      <c r="I123" s="26" t="n">
        <v>74.08</v>
      </c>
      <c r="J123" s="26" t="n">
        <v>85.6</v>
      </c>
      <c r="K123" s="26" t="n">
        <v>97.12</v>
      </c>
      <c r="L123" s="26" t="n">
        <v>1.53</v>
      </c>
      <c r="M123" s="27" t="n">
        <v>0.005</v>
      </c>
      <c r="N123" s="27" t="n">
        <v>0.002</v>
      </c>
      <c r="O123" s="26" t="n">
        <v>5</v>
      </c>
      <c r="P123" s="26" t="n">
        <v>5</v>
      </c>
      <c r="Q123" s="28" t="n">
        <v>100</v>
      </c>
      <c r="R123" s="26" t="n">
        <v>30</v>
      </c>
      <c r="S123" s="26" t="n">
        <v>0</v>
      </c>
      <c r="T123" s="28" t="n">
        <v>1</v>
      </c>
      <c r="U123" s="26" t="n">
        <v>0</v>
      </c>
      <c r="V123" s="26" t="n">
        <v>0</v>
      </c>
      <c r="W123" s="22" t="s">
        <v>16</v>
      </c>
      <c r="X123" s="22" t="s">
        <v>293</v>
      </c>
    </row>
    <row r="124" customFormat="false" ht="15" hidden="false" customHeight="false" outlineLevel="0" collapsed="false">
      <c r="A124" s="22" t="s">
        <v>759</v>
      </c>
      <c r="B124" s="22" t="s">
        <v>16</v>
      </c>
      <c r="C124" s="22" t="s">
        <v>760</v>
      </c>
      <c r="D124" s="22" t="s">
        <v>761</v>
      </c>
      <c r="E124" s="22" t="s">
        <v>762</v>
      </c>
      <c r="F124" s="22" t="n">
        <v>9</v>
      </c>
      <c r="G124" s="26" t="n">
        <v>51.04</v>
      </c>
      <c r="H124" s="26" t="n">
        <v>62.56</v>
      </c>
      <c r="I124" s="26" t="n">
        <v>74.08</v>
      </c>
      <c r="J124" s="26" t="n">
        <v>85.6</v>
      </c>
      <c r="K124" s="26" t="n">
        <v>97.12</v>
      </c>
      <c r="L124" s="26" t="n">
        <v>1.53</v>
      </c>
      <c r="M124" s="27" t="n">
        <v>0.005</v>
      </c>
      <c r="N124" s="27" t="n">
        <v>0.002</v>
      </c>
      <c r="O124" s="26" t="n">
        <v>5</v>
      </c>
      <c r="P124" s="26" t="n">
        <v>5</v>
      </c>
      <c r="Q124" s="28" t="n">
        <v>100</v>
      </c>
      <c r="R124" s="26" t="n">
        <v>30</v>
      </c>
      <c r="S124" s="26" t="n">
        <v>0</v>
      </c>
      <c r="T124" s="28" t="n">
        <v>1</v>
      </c>
      <c r="U124" s="26" t="n">
        <v>0</v>
      </c>
      <c r="V124" s="26" t="n">
        <v>0</v>
      </c>
      <c r="W124" s="22" t="s">
        <v>16</v>
      </c>
      <c r="X124" s="22" t="s">
        <v>293</v>
      </c>
    </row>
    <row r="125" customFormat="false" ht="15" hidden="false" customHeight="false" outlineLevel="0" collapsed="false">
      <c r="A125" s="22" t="s">
        <v>763</v>
      </c>
      <c r="B125" s="22" t="s">
        <v>16</v>
      </c>
      <c r="C125" s="22" t="s">
        <v>764</v>
      </c>
      <c r="D125" s="22" t="s">
        <v>765</v>
      </c>
      <c r="E125" s="22" t="s">
        <v>766</v>
      </c>
      <c r="F125" s="22" t="n">
        <v>9</v>
      </c>
      <c r="G125" s="26" t="n">
        <v>51.04</v>
      </c>
      <c r="H125" s="26" t="n">
        <v>62.56</v>
      </c>
      <c r="I125" s="26" t="n">
        <v>74.08</v>
      </c>
      <c r="J125" s="26" t="n">
        <v>85.6</v>
      </c>
      <c r="K125" s="26" t="n">
        <v>97.12</v>
      </c>
      <c r="L125" s="26" t="n">
        <v>1.53</v>
      </c>
      <c r="M125" s="27" t="n">
        <v>0.005</v>
      </c>
      <c r="N125" s="27" t="n">
        <v>0.002</v>
      </c>
      <c r="O125" s="26" t="n">
        <v>5</v>
      </c>
      <c r="P125" s="26" t="n">
        <v>5</v>
      </c>
      <c r="Q125" s="28" t="n">
        <v>100</v>
      </c>
      <c r="R125" s="26" t="n">
        <v>30</v>
      </c>
      <c r="S125" s="26" t="n">
        <v>0</v>
      </c>
      <c r="T125" s="28" t="n">
        <v>1</v>
      </c>
      <c r="U125" s="26" t="n">
        <v>0</v>
      </c>
      <c r="V125" s="26" t="n">
        <v>0</v>
      </c>
      <c r="W125" s="22" t="s">
        <v>16</v>
      </c>
      <c r="X125" s="22" t="s">
        <v>293</v>
      </c>
    </row>
    <row r="126" customFormat="false" ht="15" hidden="false" customHeight="false" outlineLevel="0" collapsed="false">
      <c r="A126" s="22" t="s">
        <v>767</v>
      </c>
      <c r="B126" s="22" t="s">
        <v>16</v>
      </c>
      <c r="C126" s="22" t="s">
        <v>768</v>
      </c>
      <c r="D126" s="22" t="s">
        <v>769</v>
      </c>
      <c r="E126" s="22" t="s">
        <v>770</v>
      </c>
      <c r="F126" s="22" t="n">
        <v>9</v>
      </c>
      <c r="G126" s="26" t="n">
        <v>51.04</v>
      </c>
      <c r="H126" s="26" t="n">
        <v>62.56</v>
      </c>
      <c r="I126" s="26" t="n">
        <v>74.08</v>
      </c>
      <c r="J126" s="26" t="n">
        <v>85.6</v>
      </c>
      <c r="K126" s="26" t="n">
        <v>97.12</v>
      </c>
      <c r="L126" s="26" t="n">
        <v>1.53</v>
      </c>
      <c r="M126" s="27" t="n">
        <v>0.005</v>
      </c>
      <c r="N126" s="27" t="n">
        <v>0.002</v>
      </c>
      <c r="O126" s="26" t="n">
        <v>5</v>
      </c>
      <c r="P126" s="26" t="n">
        <v>5</v>
      </c>
      <c r="Q126" s="28" t="n">
        <v>100</v>
      </c>
      <c r="R126" s="26" t="n">
        <v>30</v>
      </c>
      <c r="S126" s="26" t="n">
        <v>0</v>
      </c>
      <c r="T126" s="28" t="n">
        <v>1</v>
      </c>
      <c r="U126" s="26" t="n">
        <v>0</v>
      </c>
      <c r="V126" s="26" t="n">
        <v>0</v>
      </c>
      <c r="W126" s="22" t="s">
        <v>16</v>
      </c>
      <c r="X126" s="22" t="s">
        <v>293</v>
      </c>
    </row>
    <row r="127" customFormat="false" ht="15" hidden="false" customHeight="false" outlineLevel="0" collapsed="false">
      <c r="A127" s="22" t="s">
        <v>771</v>
      </c>
      <c r="B127" s="22" t="s">
        <v>16</v>
      </c>
      <c r="C127" s="22" t="s">
        <v>772</v>
      </c>
      <c r="D127" s="22" t="s">
        <v>773</v>
      </c>
      <c r="E127" s="22" t="s">
        <v>774</v>
      </c>
      <c r="F127" s="22" t="n">
        <v>9</v>
      </c>
      <c r="G127" s="26" t="n">
        <v>51.04</v>
      </c>
      <c r="H127" s="26" t="n">
        <v>62.56</v>
      </c>
      <c r="I127" s="26" t="n">
        <v>74.08</v>
      </c>
      <c r="J127" s="26" t="n">
        <v>85.6</v>
      </c>
      <c r="K127" s="26" t="n">
        <v>97.12</v>
      </c>
      <c r="L127" s="26" t="n">
        <v>1.53</v>
      </c>
      <c r="M127" s="27" t="n">
        <v>0.005</v>
      </c>
      <c r="N127" s="27" t="n">
        <v>0.002</v>
      </c>
      <c r="O127" s="26" t="n">
        <v>5</v>
      </c>
      <c r="P127" s="26" t="n">
        <v>5</v>
      </c>
      <c r="Q127" s="28" t="n">
        <v>100</v>
      </c>
      <c r="R127" s="26" t="n">
        <v>30</v>
      </c>
      <c r="S127" s="26" t="n">
        <v>0</v>
      </c>
      <c r="T127" s="28" t="n">
        <v>1</v>
      </c>
      <c r="U127" s="26" t="n">
        <v>0</v>
      </c>
      <c r="V127" s="26" t="n">
        <v>0</v>
      </c>
      <c r="W127" s="22" t="s">
        <v>16</v>
      </c>
      <c r="X127" s="22" t="s">
        <v>293</v>
      </c>
    </row>
    <row r="128" customFormat="false" ht="15" hidden="false" customHeight="false" outlineLevel="0" collapsed="false">
      <c r="A128" s="22" t="s">
        <v>775</v>
      </c>
      <c r="B128" s="22" t="s">
        <v>16</v>
      </c>
      <c r="C128" s="22" t="s">
        <v>776</v>
      </c>
      <c r="D128" s="22" t="s">
        <v>777</v>
      </c>
      <c r="E128" s="22" t="s">
        <v>778</v>
      </c>
      <c r="F128" s="22" t="n">
        <v>9</v>
      </c>
      <c r="G128" s="26" t="n">
        <v>51.04</v>
      </c>
      <c r="H128" s="26" t="n">
        <v>62.56</v>
      </c>
      <c r="I128" s="26" t="n">
        <v>74.08</v>
      </c>
      <c r="J128" s="26" t="n">
        <v>85.6</v>
      </c>
      <c r="K128" s="26" t="n">
        <v>97.12</v>
      </c>
      <c r="L128" s="26" t="n">
        <v>1.53</v>
      </c>
      <c r="M128" s="27" t="n">
        <v>0.005</v>
      </c>
      <c r="N128" s="27" t="n">
        <v>0.002</v>
      </c>
      <c r="O128" s="26" t="n">
        <v>5</v>
      </c>
      <c r="P128" s="26" t="n">
        <v>5</v>
      </c>
      <c r="Q128" s="28" t="n">
        <v>100</v>
      </c>
      <c r="R128" s="26" t="n">
        <v>30</v>
      </c>
      <c r="S128" s="26" t="n">
        <v>0</v>
      </c>
      <c r="T128" s="28" t="n">
        <v>1</v>
      </c>
      <c r="U128" s="26" t="n">
        <v>0</v>
      </c>
      <c r="V128" s="26" t="n">
        <v>0</v>
      </c>
      <c r="W128" s="22" t="s">
        <v>16</v>
      </c>
      <c r="X128" s="22" t="s">
        <v>293</v>
      </c>
    </row>
    <row r="129" customFormat="false" ht="15" hidden="false" customHeight="false" outlineLevel="0" collapsed="false">
      <c r="A129" s="22" t="s">
        <v>779</v>
      </c>
      <c r="B129" s="22" t="s">
        <v>16</v>
      </c>
      <c r="C129" s="22" t="s">
        <v>780</v>
      </c>
      <c r="D129" s="22" t="s">
        <v>781</v>
      </c>
      <c r="E129" s="22" t="s">
        <v>782</v>
      </c>
      <c r="F129" s="22" t="n">
        <v>9</v>
      </c>
      <c r="G129" s="26" t="n">
        <v>51.04</v>
      </c>
      <c r="H129" s="26" t="n">
        <v>62.56</v>
      </c>
      <c r="I129" s="26" t="n">
        <v>74.08</v>
      </c>
      <c r="J129" s="26" t="n">
        <v>85.6</v>
      </c>
      <c r="K129" s="26" t="n">
        <v>97.12</v>
      </c>
      <c r="L129" s="26" t="n">
        <v>1.53</v>
      </c>
      <c r="M129" s="27" t="n">
        <v>0.005</v>
      </c>
      <c r="N129" s="27" t="n">
        <v>0.002</v>
      </c>
      <c r="O129" s="26" t="n">
        <v>5</v>
      </c>
      <c r="P129" s="26" t="n">
        <v>5</v>
      </c>
      <c r="Q129" s="28" t="n">
        <v>100</v>
      </c>
      <c r="R129" s="26" t="n">
        <v>30</v>
      </c>
      <c r="S129" s="26" t="n">
        <v>0</v>
      </c>
      <c r="T129" s="28" t="n">
        <v>1</v>
      </c>
      <c r="U129" s="26" t="n">
        <v>0</v>
      </c>
      <c r="V129" s="26" t="n">
        <v>0</v>
      </c>
      <c r="W129" s="22" t="s">
        <v>16</v>
      </c>
      <c r="X129" s="22" t="s">
        <v>293</v>
      </c>
    </row>
    <row r="130" customFormat="false" ht="15" hidden="false" customHeight="false" outlineLevel="0" collapsed="false">
      <c r="A130" s="22" t="s">
        <v>783</v>
      </c>
      <c r="B130" s="22" t="s">
        <v>16</v>
      </c>
      <c r="C130" s="22" t="s">
        <v>784</v>
      </c>
      <c r="D130" s="22" t="s">
        <v>785</v>
      </c>
      <c r="E130" s="22" t="s">
        <v>786</v>
      </c>
      <c r="F130" s="22" t="n">
        <v>9</v>
      </c>
      <c r="G130" s="26" t="n">
        <v>51.04</v>
      </c>
      <c r="H130" s="26" t="n">
        <v>62.56</v>
      </c>
      <c r="I130" s="26" t="n">
        <v>74.08</v>
      </c>
      <c r="J130" s="26" t="n">
        <v>85.6</v>
      </c>
      <c r="K130" s="26" t="n">
        <v>97.12</v>
      </c>
      <c r="L130" s="26" t="n">
        <v>1.53</v>
      </c>
      <c r="M130" s="27" t="n">
        <v>0.005</v>
      </c>
      <c r="N130" s="27" t="n">
        <v>0.002</v>
      </c>
      <c r="O130" s="26" t="n">
        <v>5</v>
      </c>
      <c r="P130" s="26" t="n">
        <v>5</v>
      </c>
      <c r="Q130" s="28" t="n">
        <v>100</v>
      </c>
      <c r="R130" s="26" t="n">
        <v>30</v>
      </c>
      <c r="S130" s="26" t="n">
        <v>0</v>
      </c>
      <c r="T130" s="28" t="n">
        <v>1</v>
      </c>
      <c r="U130" s="26" t="n">
        <v>0</v>
      </c>
      <c r="V130" s="26" t="n">
        <v>0</v>
      </c>
      <c r="W130" s="22" t="s">
        <v>16</v>
      </c>
      <c r="X130" s="22" t="s">
        <v>293</v>
      </c>
    </row>
    <row r="131" customFormat="false" ht="15" hidden="false" customHeight="false" outlineLevel="0" collapsed="false">
      <c r="A131" s="22" t="s">
        <v>787</v>
      </c>
      <c r="B131" s="22" t="s">
        <v>16</v>
      </c>
      <c r="C131" s="22" t="s">
        <v>788</v>
      </c>
      <c r="D131" s="22" t="s">
        <v>789</v>
      </c>
      <c r="E131" s="22" t="s">
        <v>790</v>
      </c>
      <c r="F131" s="22" t="n">
        <v>9</v>
      </c>
      <c r="G131" s="26" t="n">
        <v>51.04</v>
      </c>
      <c r="H131" s="26" t="n">
        <v>62.56</v>
      </c>
      <c r="I131" s="26" t="n">
        <v>74.08</v>
      </c>
      <c r="J131" s="26" t="n">
        <v>85.6</v>
      </c>
      <c r="K131" s="26" t="n">
        <v>97.12</v>
      </c>
      <c r="L131" s="26" t="n">
        <v>1.53</v>
      </c>
      <c r="M131" s="27" t="n">
        <v>0.005</v>
      </c>
      <c r="N131" s="27" t="n">
        <v>0.002</v>
      </c>
      <c r="O131" s="26" t="n">
        <v>5</v>
      </c>
      <c r="P131" s="26" t="n">
        <v>5</v>
      </c>
      <c r="Q131" s="28" t="n">
        <v>100</v>
      </c>
      <c r="R131" s="26" t="n">
        <v>30</v>
      </c>
      <c r="S131" s="26" t="n">
        <v>0</v>
      </c>
      <c r="T131" s="28" t="n">
        <v>1</v>
      </c>
      <c r="U131" s="26" t="n">
        <v>0</v>
      </c>
      <c r="V131" s="26" t="n">
        <v>0</v>
      </c>
      <c r="W131" s="22" t="s">
        <v>16</v>
      </c>
      <c r="X131" s="22" t="s">
        <v>293</v>
      </c>
    </row>
    <row r="132" customFormat="false" ht="15" hidden="false" customHeight="false" outlineLevel="0" collapsed="false">
      <c r="A132" s="22" t="s">
        <v>791</v>
      </c>
      <c r="B132" s="22" t="s">
        <v>16</v>
      </c>
      <c r="C132" s="22" t="s">
        <v>142</v>
      </c>
      <c r="D132" s="22" t="s">
        <v>792</v>
      </c>
      <c r="E132" s="22" t="s">
        <v>793</v>
      </c>
      <c r="F132" s="22" t="n">
        <v>9</v>
      </c>
      <c r="G132" s="26" t="n">
        <v>51.04</v>
      </c>
      <c r="H132" s="26" t="n">
        <v>62.56</v>
      </c>
      <c r="I132" s="26" t="n">
        <v>74.08</v>
      </c>
      <c r="J132" s="26" t="n">
        <v>85.6</v>
      </c>
      <c r="K132" s="26" t="n">
        <v>97.12</v>
      </c>
      <c r="L132" s="26" t="n">
        <v>1.53</v>
      </c>
      <c r="M132" s="27" t="n">
        <v>0.005</v>
      </c>
      <c r="N132" s="27" t="n">
        <v>0.002</v>
      </c>
      <c r="O132" s="26" t="n">
        <v>5</v>
      </c>
      <c r="P132" s="26" t="n">
        <v>5</v>
      </c>
      <c r="Q132" s="28" t="n">
        <v>100</v>
      </c>
      <c r="R132" s="26" t="n">
        <v>30</v>
      </c>
      <c r="S132" s="26" t="n">
        <v>0</v>
      </c>
      <c r="T132" s="28" t="n">
        <v>1</v>
      </c>
      <c r="U132" s="26" t="n">
        <v>0</v>
      </c>
      <c r="V132" s="26" t="n">
        <v>0</v>
      </c>
      <c r="W132" s="22" t="s">
        <v>16</v>
      </c>
      <c r="X132" s="22" t="s">
        <v>293</v>
      </c>
    </row>
    <row r="133" customFormat="false" ht="15" hidden="false" customHeight="false" outlineLevel="0" collapsed="false">
      <c r="A133" s="22" t="s">
        <v>794</v>
      </c>
      <c r="B133" s="22" t="s">
        <v>16</v>
      </c>
      <c r="C133" s="22" t="s">
        <v>795</v>
      </c>
      <c r="D133" s="22" t="s">
        <v>796</v>
      </c>
      <c r="E133" s="22" t="s">
        <v>797</v>
      </c>
      <c r="F133" s="22" t="n">
        <v>9</v>
      </c>
      <c r="G133" s="26" t="n">
        <v>51.04</v>
      </c>
      <c r="H133" s="26" t="n">
        <v>62.56</v>
      </c>
      <c r="I133" s="26" t="n">
        <v>74.08</v>
      </c>
      <c r="J133" s="26" t="n">
        <v>85.6</v>
      </c>
      <c r="K133" s="26" t="n">
        <v>97.12</v>
      </c>
      <c r="L133" s="26" t="n">
        <v>1.53</v>
      </c>
      <c r="M133" s="27" t="n">
        <v>0.005</v>
      </c>
      <c r="N133" s="27" t="n">
        <v>0.002</v>
      </c>
      <c r="O133" s="26" t="n">
        <v>5</v>
      </c>
      <c r="P133" s="26" t="n">
        <v>5</v>
      </c>
      <c r="Q133" s="28" t="n">
        <v>100</v>
      </c>
      <c r="R133" s="26" t="n">
        <v>30</v>
      </c>
      <c r="S133" s="26" t="n">
        <v>0</v>
      </c>
      <c r="T133" s="28" t="n">
        <v>1</v>
      </c>
      <c r="U133" s="26" t="n">
        <v>0</v>
      </c>
      <c r="V133" s="26" t="n">
        <v>250</v>
      </c>
      <c r="W133" s="22" t="s">
        <v>16</v>
      </c>
      <c r="X133" s="22" t="s">
        <v>293</v>
      </c>
    </row>
    <row r="134" customFormat="false" ht="15" hidden="false" customHeight="false" outlineLevel="0" collapsed="false">
      <c r="A134" s="22" t="s">
        <v>798</v>
      </c>
      <c r="B134" s="22" t="s">
        <v>16</v>
      </c>
      <c r="C134" s="22" t="s">
        <v>799</v>
      </c>
      <c r="D134" s="22" t="s">
        <v>800</v>
      </c>
      <c r="E134" s="22" t="s">
        <v>801</v>
      </c>
      <c r="F134" s="22" t="n">
        <v>9</v>
      </c>
      <c r="G134" s="26" t="n">
        <v>51.04</v>
      </c>
      <c r="H134" s="26" t="n">
        <v>62.56</v>
      </c>
      <c r="I134" s="26" t="n">
        <v>74.08</v>
      </c>
      <c r="J134" s="26" t="n">
        <v>85.6</v>
      </c>
      <c r="K134" s="26" t="n">
        <v>97.12</v>
      </c>
      <c r="L134" s="26" t="n">
        <v>1.53</v>
      </c>
      <c r="M134" s="27" t="n">
        <v>0.005</v>
      </c>
      <c r="N134" s="27" t="n">
        <v>0.002</v>
      </c>
      <c r="O134" s="26" t="n">
        <v>5</v>
      </c>
      <c r="P134" s="26" t="n">
        <v>5</v>
      </c>
      <c r="Q134" s="28" t="n">
        <v>100</v>
      </c>
      <c r="R134" s="26" t="n">
        <v>30</v>
      </c>
      <c r="S134" s="26" t="n">
        <v>0</v>
      </c>
      <c r="T134" s="28" t="n">
        <v>1</v>
      </c>
      <c r="U134" s="26" t="n">
        <v>0</v>
      </c>
      <c r="V134" s="26" t="n">
        <v>0</v>
      </c>
      <c r="W134" s="22" t="s">
        <v>16</v>
      </c>
      <c r="X134" s="22" t="s">
        <v>293</v>
      </c>
    </row>
    <row r="135" customFormat="false" ht="15" hidden="false" customHeight="false" outlineLevel="0" collapsed="false">
      <c r="A135" s="22" t="s">
        <v>802</v>
      </c>
      <c r="B135" s="22" t="s">
        <v>16</v>
      </c>
      <c r="C135" s="22" t="s">
        <v>803</v>
      </c>
      <c r="D135" s="22" t="s">
        <v>804</v>
      </c>
      <c r="E135" s="22" t="s">
        <v>805</v>
      </c>
      <c r="F135" s="22" t="n">
        <v>9</v>
      </c>
      <c r="G135" s="26" t="n">
        <v>51.04</v>
      </c>
      <c r="H135" s="26" t="n">
        <v>62.56</v>
      </c>
      <c r="I135" s="26" t="n">
        <v>74.08</v>
      </c>
      <c r="J135" s="26" t="n">
        <v>85.6</v>
      </c>
      <c r="K135" s="26" t="n">
        <v>97.12</v>
      </c>
      <c r="L135" s="26" t="n">
        <v>1.53</v>
      </c>
      <c r="M135" s="27" t="n">
        <v>0.005</v>
      </c>
      <c r="N135" s="27" t="n">
        <v>0.002</v>
      </c>
      <c r="O135" s="26" t="n">
        <v>5</v>
      </c>
      <c r="P135" s="26" t="n">
        <v>5</v>
      </c>
      <c r="Q135" s="28" t="n">
        <v>100</v>
      </c>
      <c r="R135" s="26" t="n">
        <v>30</v>
      </c>
      <c r="S135" s="26" t="n">
        <v>0</v>
      </c>
      <c r="T135" s="28" t="n">
        <v>1</v>
      </c>
      <c r="U135" s="26" t="n">
        <v>0</v>
      </c>
      <c r="V135" s="26" t="n">
        <v>0</v>
      </c>
      <c r="W135" s="22" t="s">
        <v>16</v>
      </c>
      <c r="X135" s="22" t="s">
        <v>293</v>
      </c>
    </row>
    <row r="136" customFormat="false" ht="15" hidden="false" customHeight="false" outlineLevel="0" collapsed="false">
      <c r="A136" s="22" t="s">
        <v>806</v>
      </c>
      <c r="B136" s="22" t="s">
        <v>16</v>
      </c>
      <c r="C136" s="22" t="s">
        <v>807</v>
      </c>
      <c r="D136" s="22" t="s">
        <v>808</v>
      </c>
      <c r="E136" s="22" t="s">
        <v>809</v>
      </c>
      <c r="F136" s="22" t="n">
        <v>9</v>
      </c>
      <c r="G136" s="26" t="n">
        <v>51.04</v>
      </c>
      <c r="H136" s="26" t="n">
        <v>62.56</v>
      </c>
      <c r="I136" s="26" t="n">
        <v>74.08</v>
      </c>
      <c r="J136" s="26" t="n">
        <v>85.6</v>
      </c>
      <c r="K136" s="26" t="n">
        <v>97.12</v>
      </c>
      <c r="L136" s="26" t="n">
        <v>1.53</v>
      </c>
      <c r="M136" s="27" t="n">
        <v>0.005</v>
      </c>
      <c r="N136" s="27" t="n">
        <v>0.002</v>
      </c>
      <c r="O136" s="26" t="n">
        <v>5</v>
      </c>
      <c r="P136" s="26" t="n">
        <v>5</v>
      </c>
      <c r="Q136" s="28" t="n">
        <v>100</v>
      </c>
      <c r="R136" s="26" t="n">
        <v>30</v>
      </c>
      <c r="S136" s="26" t="n">
        <v>0</v>
      </c>
      <c r="T136" s="28" t="n">
        <v>1</v>
      </c>
      <c r="U136" s="26" t="n">
        <v>0</v>
      </c>
      <c r="V136" s="26" t="n">
        <v>0</v>
      </c>
      <c r="W136" s="22" t="s">
        <v>16</v>
      </c>
      <c r="X136" s="22" t="s">
        <v>293</v>
      </c>
    </row>
    <row r="137" customFormat="false" ht="15" hidden="false" customHeight="false" outlineLevel="0" collapsed="false">
      <c r="A137" s="22" t="s">
        <v>810</v>
      </c>
      <c r="B137" s="22" t="s">
        <v>16</v>
      </c>
      <c r="C137" s="22" t="s">
        <v>811</v>
      </c>
      <c r="D137" s="22" t="s">
        <v>812</v>
      </c>
      <c r="E137" s="22" t="s">
        <v>813</v>
      </c>
      <c r="F137" s="22" t="n">
        <v>9</v>
      </c>
      <c r="G137" s="26" t="n">
        <v>51.04</v>
      </c>
      <c r="H137" s="26" t="n">
        <v>62.56</v>
      </c>
      <c r="I137" s="26" t="n">
        <v>74.08</v>
      </c>
      <c r="J137" s="26" t="n">
        <v>85.6</v>
      </c>
      <c r="K137" s="26" t="n">
        <v>97.12</v>
      </c>
      <c r="L137" s="26" t="n">
        <v>1.53</v>
      </c>
      <c r="M137" s="27" t="n">
        <v>0.005</v>
      </c>
      <c r="N137" s="27" t="n">
        <v>0.002</v>
      </c>
      <c r="O137" s="26" t="n">
        <v>5</v>
      </c>
      <c r="P137" s="26" t="n">
        <v>5</v>
      </c>
      <c r="Q137" s="28" t="n">
        <v>100</v>
      </c>
      <c r="R137" s="26" t="n">
        <v>30</v>
      </c>
      <c r="S137" s="26" t="n">
        <v>0</v>
      </c>
      <c r="T137" s="28" t="n">
        <v>1</v>
      </c>
      <c r="U137" s="26" t="n">
        <v>0</v>
      </c>
      <c r="V137" s="26" t="n">
        <v>0</v>
      </c>
      <c r="W137" s="22" t="s">
        <v>16</v>
      </c>
      <c r="X137" s="22" t="s">
        <v>293</v>
      </c>
    </row>
    <row r="138" customFormat="false" ht="15" hidden="false" customHeight="false" outlineLevel="0" collapsed="false">
      <c r="A138" s="22" t="s">
        <v>814</v>
      </c>
      <c r="B138" s="22" t="s">
        <v>16</v>
      </c>
      <c r="C138" s="22" t="s">
        <v>815</v>
      </c>
      <c r="D138" s="22" t="s">
        <v>816</v>
      </c>
      <c r="E138" s="22" t="s">
        <v>817</v>
      </c>
      <c r="F138" s="22" t="n">
        <v>9</v>
      </c>
      <c r="G138" s="26" t="n">
        <v>51.04</v>
      </c>
      <c r="H138" s="26" t="n">
        <v>62.56</v>
      </c>
      <c r="I138" s="26" t="n">
        <v>74.08</v>
      </c>
      <c r="J138" s="26" t="n">
        <v>85.6</v>
      </c>
      <c r="K138" s="26" t="n">
        <v>97.12</v>
      </c>
      <c r="L138" s="26" t="n">
        <v>1.53</v>
      </c>
      <c r="M138" s="27" t="n">
        <v>0.005</v>
      </c>
      <c r="N138" s="27" t="n">
        <v>0.002</v>
      </c>
      <c r="O138" s="26" t="n">
        <v>5</v>
      </c>
      <c r="P138" s="26" t="n">
        <v>5</v>
      </c>
      <c r="Q138" s="28" t="n">
        <v>100</v>
      </c>
      <c r="R138" s="26" t="n">
        <v>30</v>
      </c>
      <c r="S138" s="26" t="n">
        <v>0</v>
      </c>
      <c r="T138" s="28" t="n">
        <v>1</v>
      </c>
      <c r="U138" s="26" t="n">
        <v>0</v>
      </c>
      <c r="V138" s="26" t="n">
        <v>0</v>
      </c>
      <c r="W138" s="22" t="s">
        <v>16</v>
      </c>
      <c r="X138" s="22" t="s">
        <v>293</v>
      </c>
    </row>
    <row r="139" customFormat="false" ht="15" hidden="false" customHeight="false" outlineLevel="0" collapsed="false">
      <c r="A139" s="22" t="s">
        <v>818</v>
      </c>
      <c r="B139" s="22" t="s">
        <v>16</v>
      </c>
      <c r="C139" s="22" t="s">
        <v>819</v>
      </c>
      <c r="D139" s="22" t="s">
        <v>820</v>
      </c>
      <c r="E139" s="22" t="s">
        <v>821</v>
      </c>
      <c r="F139" s="22" t="n">
        <v>9</v>
      </c>
      <c r="G139" s="26" t="n">
        <v>51.04</v>
      </c>
      <c r="H139" s="26" t="n">
        <v>62.56</v>
      </c>
      <c r="I139" s="26" t="n">
        <v>74.08</v>
      </c>
      <c r="J139" s="26" t="n">
        <v>85.6</v>
      </c>
      <c r="K139" s="26" t="n">
        <v>97.12</v>
      </c>
      <c r="L139" s="26" t="n">
        <v>1.53</v>
      </c>
      <c r="M139" s="27" t="n">
        <v>0.005</v>
      </c>
      <c r="N139" s="27" t="n">
        <v>0.002</v>
      </c>
      <c r="O139" s="26" t="n">
        <v>5</v>
      </c>
      <c r="P139" s="26" t="n">
        <v>5</v>
      </c>
      <c r="Q139" s="28" t="n">
        <v>100</v>
      </c>
      <c r="R139" s="26" t="n">
        <v>30</v>
      </c>
      <c r="S139" s="26" t="n">
        <v>0</v>
      </c>
      <c r="T139" s="28" t="n">
        <v>1</v>
      </c>
      <c r="U139" s="26" t="n">
        <v>0</v>
      </c>
      <c r="V139" s="26" t="n">
        <v>0</v>
      </c>
      <c r="W139" s="22" t="s">
        <v>16</v>
      </c>
      <c r="X139" s="22" t="s">
        <v>293</v>
      </c>
    </row>
    <row r="140" customFormat="false" ht="15" hidden="false" customHeight="false" outlineLevel="0" collapsed="false">
      <c r="A140" s="22" t="s">
        <v>822</v>
      </c>
      <c r="B140" s="22" t="s">
        <v>16</v>
      </c>
      <c r="C140" s="22" t="s">
        <v>823</v>
      </c>
      <c r="D140" s="22" t="s">
        <v>824</v>
      </c>
      <c r="E140" s="22" t="s">
        <v>825</v>
      </c>
      <c r="F140" s="22" t="n">
        <v>9</v>
      </c>
      <c r="G140" s="26" t="n">
        <v>51.04</v>
      </c>
      <c r="H140" s="26" t="n">
        <v>62.56</v>
      </c>
      <c r="I140" s="26" t="n">
        <v>74.08</v>
      </c>
      <c r="J140" s="26" t="n">
        <v>85.6</v>
      </c>
      <c r="K140" s="26" t="n">
        <v>97.12</v>
      </c>
      <c r="L140" s="26" t="n">
        <v>1.53</v>
      </c>
      <c r="M140" s="27" t="n">
        <v>0.005</v>
      </c>
      <c r="N140" s="27" t="n">
        <v>0.002</v>
      </c>
      <c r="O140" s="26" t="n">
        <v>5</v>
      </c>
      <c r="P140" s="26" t="n">
        <v>5</v>
      </c>
      <c r="Q140" s="28" t="n">
        <v>100</v>
      </c>
      <c r="R140" s="26" t="n">
        <v>30</v>
      </c>
      <c r="S140" s="26" t="n">
        <v>0</v>
      </c>
      <c r="T140" s="28" t="n">
        <v>1</v>
      </c>
      <c r="U140" s="26" t="n">
        <v>0</v>
      </c>
      <c r="V140" s="26" t="n">
        <v>0</v>
      </c>
      <c r="W140" s="22" t="s">
        <v>16</v>
      </c>
      <c r="X140" s="22" t="s">
        <v>293</v>
      </c>
    </row>
    <row r="141" customFormat="false" ht="15" hidden="false" customHeight="false" outlineLevel="0" collapsed="false">
      <c r="A141" s="22" t="s">
        <v>826</v>
      </c>
      <c r="B141" s="22" t="s">
        <v>16</v>
      </c>
      <c r="C141" s="22" t="s">
        <v>827</v>
      </c>
      <c r="D141" s="22" t="s">
        <v>828</v>
      </c>
      <c r="E141" s="22" t="s">
        <v>829</v>
      </c>
      <c r="F141" s="22" t="n">
        <v>9</v>
      </c>
      <c r="G141" s="26" t="n">
        <v>51.04</v>
      </c>
      <c r="H141" s="26" t="n">
        <v>62.56</v>
      </c>
      <c r="I141" s="26" t="n">
        <v>74.08</v>
      </c>
      <c r="J141" s="26" t="n">
        <v>85.6</v>
      </c>
      <c r="K141" s="26" t="n">
        <v>97.12</v>
      </c>
      <c r="L141" s="26" t="n">
        <v>1.53</v>
      </c>
      <c r="M141" s="27" t="n">
        <v>0.005</v>
      </c>
      <c r="N141" s="27" t="n">
        <v>0.002</v>
      </c>
      <c r="O141" s="26" t="n">
        <v>5</v>
      </c>
      <c r="P141" s="26" t="n">
        <v>5</v>
      </c>
      <c r="Q141" s="28" t="n">
        <v>100</v>
      </c>
      <c r="R141" s="26" t="n">
        <v>30</v>
      </c>
      <c r="S141" s="26" t="n">
        <v>0</v>
      </c>
      <c r="T141" s="28" t="n">
        <v>1</v>
      </c>
      <c r="U141" s="26" t="n">
        <v>0</v>
      </c>
      <c r="V141" s="26" t="n">
        <v>0</v>
      </c>
      <c r="W141" s="22" t="s">
        <v>16</v>
      </c>
      <c r="X141" s="22" t="s">
        <v>293</v>
      </c>
    </row>
    <row r="142" customFormat="false" ht="15" hidden="false" customHeight="false" outlineLevel="0" collapsed="false">
      <c r="A142" s="22" t="s">
        <v>830</v>
      </c>
      <c r="B142" s="22" t="s">
        <v>16</v>
      </c>
      <c r="C142" s="22" t="s">
        <v>831</v>
      </c>
      <c r="D142" s="22" t="s">
        <v>832</v>
      </c>
      <c r="E142" s="22" t="s">
        <v>833</v>
      </c>
      <c r="F142" s="22" t="n">
        <v>9</v>
      </c>
      <c r="G142" s="26" t="n">
        <v>51.04</v>
      </c>
      <c r="H142" s="26" t="n">
        <v>62.56</v>
      </c>
      <c r="I142" s="26" t="n">
        <v>74.08</v>
      </c>
      <c r="J142" s="26" t="n">
        <v>85.6</v>
      </c>
      <c r="K142" s="26" t="n">
        <v>97.12</v>
      </c>
      <c r="L142" s="26" t="n">
        <v>1.53</v>
      </c>
      <c r="M142" s="27" t="n">
        <v>0.005</v>
      </c>
      <c r="N142" s="27" t="n">
        <v>0.002</v>
      </c>
      <c r="O142" s="26" t="n">
        <v>5</v>
      </c>
      <c r="P142" s="26" t="n">
        <v>5</v>
      </c>
      <c r="Q142" s="28" t="n">
        <v>100</v>
      </c>
      <c r="R142" s="26" t="n">
        <v>30</v>
      </c>
      <c r="S142" s="26" t="n">
        <v>0</v>
      </c>
      <c r="T142" s="28" t="n">
        <v>1</v>
      </c>
      <c r="U142" s="26" t="n">
        <v>0</v>
      </c>
      <c r="V142" s="26" t="n">
        <v>0</v>
      </c>
      <c r="W142" s="22" t="s">
        <v>16</v>
      </c>
      <c r="X142" s="22" t="s">
        <v>293</v>
      </c>
    </row>
    <row r="143" customFormat="false" ht="15" hidden="false" customHeight="false" outlineLevel="0" collapsed="false">
      <c r="A143" s="22" t="s">
        <v>834</v>
      </c>
      <c r="B143" s="22" t="s">
        <v>16</v>
      </c>
      <c r="C143" s="22" t="s">
        <v>835</v>
      </c>
      <c r="D143" s="22" t="s">
        <v>836</v>
      </c>
      <c r="E143" s="22" t="s">
        <v>837</v>
      </c>
      <c r="F143" s="22" t="n">
        <v>9</v>
      </c>
      <c r="G143" s="26" t="n">
        <v>51.04</v>
      </c>
      <c r="H143" s="26" t="n">
        <v>62.56</v>
      </c>
      <c r="I143" s="26" t="n">
        <v>74.08</v>
      </c>
      <c r="J143" s="26" t="n">
        <v>85.6</v>
      </c>
      <c r="K143" s="26" t="n">
        <v>97.12</v>
      </c>
      <c r="L143" s="26" t="n">
        <v>1.53</v>
      </c>
      <c r="M143" s="27" t="n">
        <v>0.005</v>
      </c>
      <c r="N143" s="27" t="n">
        <v>0.002</v>
      </c>
      <c r="O143" s="26" t="n">
        <v>5</v>
      </c>
      <c r="P143" s="26" t="n">
        <v>5</v>
      </c>
      <c r="Q143" s="28" t="n">
        <v>100</v>
      </c>
      <c r="R143" s="26" t="n">
        <v>30</v>
      </c>
      <c r="S143" s="26" t="n">
        <v>0</v>
      </c>
      <c r="T143" s="28" t="n">
        <v>1</v>
      </c>
      <c r="U143" s="26" t="n">
        <v>0</v>
      </c>
      <c r="V143" s="26" t="n">
        <v>0</v>
      </c>
      <c r="W143" s="22" t="s">
        <v>16</v>
      </c>
      <c r="X143" s="22" t="s">
        <v>293</v>
      </c>
    </row>
    <row r="144" customFormat="false" ht="15" hidden="false" customHeight="false" outlineLevel="0" collapsed="false">
      <c r="A144" s="22" t="s">
        <v>838</v>
      </c>
      <c r="B144" s="22" t="s">
        <v>16</v>
      </c>
      <c r="C144" s="22" t="s">
        <v>839</v>
      </c>
      <c r="D144" s="22" t="s">
        <v>840</v>
      </c>
      <c r="E144" s="22" t="s">
        <v>841</v>
      </c>
      <c r="F144" s="22" t="n">
        <v>9</v>
      </c>
      <c r="G144" s="26" t="n">
        <v>51.04</v>
      </c>
      <c r="H144" s="26" t="n">
        <v>62.56</v>
      </c>
      <c r="I144" s="26" t="n">
        <v>74.08</v>
      </c>
      <c r="J144" s="26" t="n">
        <v>85.6</v>
      </c>
      <c r="K144" s="26" t="n">
        <v>97.12</v>
      </c>
      <c r="L144" s="26" t="n">
        <v>1.53</v>
      </c>
      <c r="M144" s="27" t="n">
        <v>0.005</v>
      </c>
      <c r="N144" s="27" t="n">
        <v>0.002</v>
      </c>
      <c r="O144" s="26" t="n">
        <v>5</v>
      </c>
      <c r="P144" s="26" t="n">
        <v>5</v>
      </c>
      <c r="Q144" s="28" t="n">
        <v>100</v>
      </c>
      <c r="R144" s="26" t="n">
        <v>30</v>
      </c>
      <c r="S144" s="26" t="n">
        <v>0</v>
      </c>
      <c r="T144" s="28" t="n">
        <v>1</v>
      </c>
      <c r="U144" s="26" t="n">
        <v>0</v>
      </c>
      <c r="V144" s="26" t="n">
        <v>0</v>
      </c>
      <c r="W144" s="22" t="s">
        <v>16</v>
      </c>
      <c r="X144" s="22" t="s">
        <v>293</v>
      </c>
    </row>
    <row r="145" customFormat="false" ht="15" hidden="false" customHeight="false" outlineLevel="0" collapsed="false">
      <c r="A145" s="22" t="s">
        <v>842</v>
      </c>
      <c r="B145" s="22" t="s">
        <v>16</v>
      </c>
      <c r="C145" s="22" t="s">
        <v>843</v>
      </c>
      <c r="D145" s="22" t="s">
        <v>844</v>
      </c>
      <c r="E145" s="22" t="s">
        <v>845</v>
      </c>
      <c r="F145" s="22" t="n">
        <v>9</v>
      </c>
      <c r="G145" s="26" t="n">
        <v>51.04</v>
      </c>
      <c r="H145" s="26" t="n">
        <v>62.56</v>
      </c>
      <c r="I145" s="26" t="n">
        <v>74.08</v>
      </c>
      <c r="J145" s="26" t="n">
        <v>85.6</v>
      </c>
      <c r="K145" s="26" t="n">
        <v>97.12</v>
      </c>
      <c r="L145" s="26" t="n">
        <v>1.53</v>
      </c>
      <c r="M145" s="27" t="n">
        <v>0.005</v>
      </c>
      <c r="N145" s="27" t="n">
        <v>0.002</v>
      </c>
      <c r="O145" s="26" t="n">
        <v>5</v>
      </c>
      <c r="P145" s="26" t="n">
        <v>5</v>
      </c>
      <c r="Q145" s="28" t="n">
        <v>100</v>
      </c>
      <c r="R145" s="26" t="n">
        <v>30</v>
      </c>
      <c r="S145" s="26" t="n">
        <v>0</v>
      </c>
      <c r="T145" s="28" t="n">
        <v>1</v>
      </c>
      <c r="U145" s="26" t="n">
        <v>0</v>
      </c>
      <c r="V145" s="26" t="n">
        <v>0</v>
      </c>
      <c r="W145" s="22" t="s">
        <v>16</v>
      </c>
      <c r="X145" s="22" t="s">
        <v>293</v>
      </c>
    </row>
    <row r="146" customFormat="false" ht="15" hidden="false" customHeight="false" outlineLevel="0" collapsed="false">
      <c r="A146" s="22" t="s">
        <v>846</v>
      </c>
      <c r="B146" s="22" t="s">
        <v>16</v>
      </c>
      <c r="C146" s="22" t="s">
        <v>847</v>
      </c>
      <c r="D146" s="22" t="s">
        <v>848</v>
      </c>
      <c r="E146" s="22" t="s">
        <v>849</v>
      </c>
      <c r="F146" s="22" t="n">
        <v>9</v>
      </c>
      <c r="G146" s="26" t="n">
        <v>51.04</v>
      </c>
      <c r="H146" s="26" t="n">
        <v>62.56</v>
      </c>
      <c r="I146" s="26" t="n">
        <v>74.08</v>
      </c>
      <c r="J146" s="26" t="n">
        <v>85.6</v>
      </c>
      <c r="K146" s="26" t="n">
        <v>97.12</v>
      </c>
      <c r="L146" s="26" t="n">
        <v>1.53</v>
      </c>
      <c r="M146" s="27" t="n">
        <v>0.005</v>
      </c>
      <c r="N146" s="27" t="n">
        <v>0.002</v>
      </c>
      <c r="O146" s="26" t="n">
        <v>5</v>
      </c>
      <c r="P146" s="26" t="n">
        <v>5</v>
      </c>
      <c r="Q146" s="28" t="n">
        <v>100</v>
      </c>
      <c r="R146" s="26" t="n">
        <v>30</v>
      </c>
      <c r="S146" s="26" t="n">
        <v>0</v>
      </c>
      <c r="T146" s="28" t="n">
        <v>1</v>
      </c>
      <c r="U146" s="26" t="n">
        <v>0</v>
      </c>
      <c r="V146" s="26" t="n">
        <v>0</v>
      </c>
      <c r="W146" s="22" t="s">
        <v>16</v>
      </c>
      <c r="X146" s="22" t="s">
        <v>293</v>
      </c>
    </row>
    <row r="147" customFormat="false" ht="15" hidden="false" customHeight="false" outlineLevel="0" collapsed="false">
      <c r="A147" s="22" t="s">
        <v>850</v>
      </c>
      <c r="B147" s="22" t="s">
        <v>16</v>
      </c>
      <c r="C147" s="22" t="s">
        <v>851</v>
      </c>
      <c r="D147" s="22" t="s">
        <v>852</v>
      </c>
      <c r="E147" s="22" t="s">
        <v>853</v>
      </c>
      <c r="F147" s="22" t="n">
        <v>9</v>
      </c>
      <c r="G147" s="26" t="n">
        <v>51.04</v>
      </c>
      <c r="H147" s="26" t="n">
        <v>62.56</v>
      </c>
      <c r="I147" s="26" t="n">
        <v>74.08</v>
      </c>
      <c r="J147" s="26" t="n">
        <v>85.6</v>
      </c>
      <c r="K147" s="26" t="n">
        <v>97.12</v>
      </c>
      <c r="L147" s="26" t="n">
        <v>1.53</v>
      </c>
      <c r="M147" s="27" t="n">
        <v>0.005</v>
      </c>
      <c r="N147" s="27" t="n">
        <v>0.002</v>
      </c>
      <c r="O147" s="26" t="n">
        <v>5</v>
      </c>
      <c r="P147" s="26" t="n">
        <v>5</v>
      </c>
      <c r="Q147" s="28" t="n">
        <v>100</v>
      </c>
      <c r="R147" s="26" t="n">
        <v>30</v>
      </c>
      <c r="S147" s="26" t="n">
        <v>0</v>
      </c>
      <c r="T147" s="28" t="n">
        <v>1</v>
      </c>
      <c r="U147" s="26" t="n">
        <v>0</v>
      </c>
      <c r="V147" s="26" t="n">
        <v>0</v>
      </c>
      <c r="W147" s="22" t="s">
        <v>16</v>
      </c>
      <c r="X147" s="22" t="s">
        <v>293</v>
      </c>
    </row>
    <row r="148" customFormat="false" ht="15" hidden="false" customHeight="false" outlineLevel="0" collapsed="false">
      <c r="A148" s="22" t="s">
        <v>854</v>
      </c>
      <c r="B148" s="22" t="s">
        <v>16</v>
      </c>
      <c r="C148" s="22" t="s">
        <v>855</v>
      </c>
      <c r="D148" s="22" t="s">
        <v>856</v>
      </c>
      <c r="E148" s="22" t="s">
        <v>857</v>
      </c>
      <c r="F148" s="22" t="n">
        <v>9</v>
      </c>
      <c r="G148" s="26" t="n">
        <v>51.04</v>
      </c>
      <c r="H148" s="26" t="n">
        <v>62.56</v>
      </c>
      <c r="I148" s="26" t="n">
        <v>74.08</v>
      </c>
      <c r="J148" s="26" t="n">
        <v>85.6</v>
      </c>
      <c r="K148" s="26" t="n">
        <v>97.12</v>
      </c>
      <c r="L148" s="26" t="n">
        <v>1.53</v>
      </c>
      <c r="M148" s="27" t="n">
        <v>0.005</v>
      </c>
      <c r="N148" s="27" t="n">
        <v>0.002</v>
      </c>
      <c r="O148" s="26" t="n">
        <v>5</v>
      </c>
      <c r="P148" s="26" t="n">
        <v>5</v>
      </c>
      <c r="Q148" s="28" t="n">
        <v>100</v>
      </c>
      <c r="R148" s="26" t="n">
        <v>30</v>
      </c>
      <c r="S148" s="26" t="n">
        <v>0</v>
      </c>
      <c r="T148" s="28" t="n">
        <v>1</v>
      </c>
      <c r="U148" s="26" t="n">
        <v>0</v>
      </c>
      <c r="V148" s="26" t="n">
        <v>250</v>
      </c>
      <c r="W148" s="22" t="s">
        <v>16</v>
      </c>
      <c r="X148" s="22" t="s">
        <v>293</v>
      </c>
    </row>
    <row r="149" customFormat="false" ht="15" hidden="false" customHeight="false" outlineLevel="0" collapsed="false">
      <c r="A149" s="22" t="s">
        <v>858</v>
      </c>
      <c r="B149" s="22" t="s">
        <v>16</v>
      </c>
      <c r="C149" s="22" t="s">
        <v>859</v>
      </c>
      <c r="D149" s="22" t="s">
        <v>860</v>
      </c>
      <c r="E149" s="22" t="s">
        <v>861</v>
      </c>
      <c r="F149" s="22" t="n">
        <v>9</v>
      </c>
      <c r="G149" s="26" t="n">
        <v>51.04</v>
      </c>
      <c r="H149" s="26" t="n">
        <v>62.56</v>
      </c>
      <c r="I149" s="26" t="n">
        <v>74.08</v>
      </c>
      <c r="J149" s="26" t="n">
        <v>85.6</v>
      </c>
      <c r="K149" s="26" t="n">
        <v>97.12</v>
      </c>
      <c r="L149" s="26" t="n">
        <v>1.53</v>
      </c>
      <c r="M149" s="27" t="n">
        <v>0.005</v>
      </c>
      <c r="N149" s="27" t="n">
        <v>0.002</v>
      </c>
      <c r="O149" s="26" t="n">
        <v>5</v>
      </c>
      <c r="P149" s="26" t="n">
        <v>5</v>
      </c>
      <c r="Q149" s="28" t="n">
        <v>100</v>
      </c>
      <c r="R149" s="26" t="n">
        <v>30</v>
      </c>
      <c r="S149" s="26" t="n">
        <v>0</v>
      </c>
      <c r="T149" s="28" t="n">
        <v>1</v>
      </c>
      <c r="U149" s="26" t="n">
        <v>0</v>
      </c>
      <c r="V149" s="26" t="n">
        <v>0</v>
      </c>
      <c r="W149" s="22" t="s">
        <v>16</v>
      </c>
      <c r="X149" s="22" t="s">
        <v>293</v>
      </c>
    </row>
    <row r="150" customFormat="false" ht="15" hidden="false" customHeight="false" outlineLevel="0" collapsed="false">
      <c r="A150" s="22" t="s">
        <v>862</v>
      </c>
      <c r="B150" s="22" t="s">
        <v>16</v>
      </c>
      <c r="C150" s="22" t="s">
        <v>863</v>
      </c>
      <c r="D150" s="22" t="s">
        <v>864</v>
      </c>
      <c r="E150" s="22" t="s">
        <v>865</v>
      </c>
      <c r="F150" s="22" t="n">
        <v>9</v>
      </c>
      <c r="G150" s="26" t="n">
        <v>51.04</v>
      </c>
      <c r="H150" s="26" t="n">
        <v>62.56</v>
      </c>
      <c r="I150" s="26" t="n">
        <v>74.08</v>
      </c>
      <c r="J150" s="26" t="n">
        <v>85.6</v>
      </c>
      <c r="K150" s="26" t="n">
        <v>97.12</v>
      </c>
      <c r="L150" s="26" t="n">
        <v>1.53</v>
      </c>
      <c r="M150" s="27" t="n">
        <v>0.005</v>
      </c>
      <c r="N150" s="27" t="n">
        <v>0.002</v>
      </c>
      <c r="O150" s="26" t="n">
        <v>5</v>
      </c>
      <c r="P150" s="26" t="n">
        <v>5</v>
      </c>
      <c r="Q150" s="28" t="n">
        <v>100</v>
      </c>
      <c r="R150" s="26" t="n">
        <v>30</v>
      </c>
      <c r="S150" s="26" t="n">
        <v>0</v>
      </c>
      <c r="T150" s="28" t="n">
        <v>1</v>
      </c>
      <c r="U150" s="26" t="n">
        <v>0</v>
      </c>
      <c r="V150" s="26" t="n">
        <v>250</v>
      </c>
      <c r="W150" s="22" t="s">
        <v>16</v>
      </c>
      <c r="X150" s="22" t="s">
        <v>293</v>
      </c>
    </row>
    <row r="151" customFormat="false" ht="15" hidden="false" customHeight="false" outlineLevel="0" collapsed="false">
      <c r="A151" s="22" t="s">
        <v>866</v>
      </c>
      <c r="B151" s="22" t="s">
        <v>16</v>
      </c>
      <c r="C151" s="22" t="s">
        <v>867</v>
      </c>
      <c r="D151" s="22" t="s">
        <v>868</v>
      </c>
      <c r="E151" s="22" t="s">
        <v>869</v>
      </c>
      <c r="F151" s="22" t="n">
        <v>6</v>
      </c>
      <c r="G151" s="26" t="n">
        <v>51.04</v>
      </c>
      <c r="H151" s="26" t="n">
        <v>62.56</v>
      </c>
      <c r="I151" s="26" t="n">
        <v>74.08</v>
      </c>
      <c r="J151" s="26" t="n">
        <v>85.6</v>
      </c>
      <c r="K151" s="26" t="n">
        <v>97.12</v>
      </c>
      <c r="L151" s="26" t="n">
        <v>1.53</v>
      </c>
      <c r="M151" s="27" t="n">
        <v>0.005</v>
      </c>
      <c r="N151" s="27" t="n">
        <v>0.002</v>
      </c>
      <c r="O151" s="26" t="n">
        <v>5</v>
      </c>
      <c r="P151" s="26" t="n">
        <v>5</v>
      </c>
      <c r="Q151" s="28" t="n">
        <v>100</v>
      </c>
      <c r="R151" s="26" t="n">
        <v>30</v>
      </c>
      <c r="S151" s="26" t="n">
        <v>0</v>
      </c>
      <c r="T151" s="28" t="n">
        <v>1</v>
      </c>
      <c r="U151" s="26" t="n">
        <v>0</v>
      </c>
      <c r="V151" s="26" t="n">
        <v>0</v>
      </c>
      <c r="W151" s="22" t="s">
        <v>16</v>
      </c>
      <c r="X151" s="22" t="s">
        <v>293</v>
      </c>
    </row>
    <row r="152" customFormat="false" ht="15" hidden="false" customHeight="false" outlineLevel="0" collapsed="false">
      <c r="A152" s="22" t="s">
        <v>870</v>
      </c>
      <c r="B152" s="22" t="s">
        <v>16</v>
      </c>
      <c r="C152" s="22" t="s">
        <v>871</v>
      </c>
      <c r="D152" s="22" t="s">
        <v>872</v>
      </c>
      <c r="E152" s="22" t="s">
        <v>873</v>
      </c>
      <c r="F152" s="22" t="n">
        <v>9</v>
      </c>
      <c r="G152" s="26" t="n">
        <v>51.04</v>
      </c>
      <c r="H152" s="26" t="n">
        <v>62.56</v>
      </c>
      <c r="I152" s="26" t="n">
        <v>74.08</v>
      </c>
      <c r="J152" s="26" t="n">
        <v>85.6</v>
      </c>
      <c r="K152" s="26" t="n">
        <v>97.12</v>
      </c>
      <c r="L152" s="26" t="n">
        <v>1.53</v>
      </c>
      <c r="M152" s="27" t="n">
        <v>0.005</v>
      </c>
      <c r="N152" s="27" t="n">
        <v>0.002</v>
      </c>
      <c r="O152" s="26" t="n">
        <v>5</v>
      </c>
      <c r="P152" s="26" t="n">
        <v>5</v>
      </c>
      <c r="Q152" s="28" t="n">
        <v>100</v>
      </c>
      <c r="R152" s="26" t="n">
        <v>30</v>
      </c>
      <c r="S152" s="26" t="n">
        <v>0</v>
      </c>
      <c r="T152" s="28" t="n">
        <v>1</v>
      </c>
      <c r="U152" s="26" t="n">
        <v>0</v>
      </c>
      <c r="V152" s="26" t="n">
        <v>250</v>
      </c>
      <c r="W152" s="22" t="s">
        <v>16</v>
      </c>
      <c r="X152" s="22" t="s">
        <v>293</v>
      </c>
    </row>
    <row r="153" customFormat="false" ht="15" hidden="false" customHeight="false" outlineLevel="0" collapsed="false">
      <c r="A153" s="22" t="s">
        <v>874</v>
      </c>
      <c r="B153" s="22" t="s">
        <v>16</v>
      </c>
      <c r="C153" s="22" t="s">
        <v>875</v>
      </c>
      <c r="D153" s="22" t="s">
        <v>876</v>
      </c>
      <c r="E153" s="22" t="s">
        <v>877</v>
      </c>
      <c r="F153" s="22" t="n">
        <v>9</v>
      </c>
      <c r="G153" s="26" t="n">
        <v>51.04</v>
      </c>
      <c r="H153" s="26" t="n">
        <v>62.56</v>
      </c>
      <c r="I153" s="26" t="n">
        <v>74.08</v>
      </c>
      <c r="J153" s="26" t="n">
        <v>85.6</v>
      </c>
      <c r="K153" s="26" t="n">
        <v>97.12</v>
      </c>
      <c r="L153" s="26" t="n">
        <v>1.53</v>
      </c>
      <c r="M153" s="27" t="n">
        <v>0.005</v>
      </c>
      <c r="N153" s="27" t="n">
        <v>0.002</v>
      </c>
      <c r="O153" s="26" t="n">
        <v>5</v>
      </c>
      <c r="P153" s="26" t="n">
        <v>5</v>
      </c>
      <c r="Q153" s="28" t="n">
        <v>100</v>
      </c>
      <c r="R153" s="26" t="n">
        <v>30</v>
      </c>
      <c r="S153" s="26" t="n">
        <v>0</v>
      </c>
      <c r="T153" s="28" t="n">
        <v>1</v>
      </c>
      <c r="U153" s="26" t="n">
        <v>0</v>
      </c>
      <c r="V153" s="26" t="n">
        <v>0</v>
      </c>
      <c r="W153" s="22" t="s">
        <v>16</v>
      </c>
      <c r="X153" s="22" t="s">
        <v>293</v>
      </c>
    </row>
    <row r="154" customFormat="false" ht="15" hidden="false" customHeight="false" outlineLevel="0" collapsed="false">
      <c r="A154" s="22" t="s">
        <v>878</v>
      </c>
      <c r="B154" s="22" t="s">
        <v>16</v>
      </c>
      <c r="C154" s="22" t="s">
        <v>879</v>
      </c>
      <c r="D154" s="22" t="s">
        <v>880</v>
      </c>
      <c r="E154" s="22" t="s">
        <v>881</v>
      </c>
      <c r="F154" s="22" t="n">
        <v>6</v>
      </c>
      <c r="G154" s="26" t="n">
        <v>51.04</v>
      </c>
      <c r="H154" s="26" t="n">
        <v>62.56</v>
      </c>
      <c r="I154" s="26" t="n">
        <v>74.08</v>
      </c>
      <c r="J154" s="26" t="n">
        <v>85.6</v>
      </c>
      <c r="K154" s="26" t="n">
        <v>97.12</v>
      </c>
      <c r="L154" s="26" t="n">
        <v>1.53</v>
      </c>
      <c r="M154" s="27" t="n">
        <v>0.005</v>
      </c>
      <c r="N154" s="27" t="n">
        <v>0.002</v>
      </c>
      <c r="O154" s="26" t="n">
        <v>5</v>
      </c>
      <c r="P154" s="26" t="n">
        <v>5</v>
      </c>
      <c r="Q154" s="28" t="n">
        <v>100</v>
      </c>
      <c r="R154" s="26" t="n">
        <v>30</v>
      </c>
      <c r="S154" s="26" t="n">
        <v>0</v>
      </c>
      <c r="T154" s="28" t="n">
        <v>1</v>
      </c>
      <c r="U154" s="26" t="n">
        <v>0</v>
      </c>
      <c r="V154" s="26" t="n">
        <v>0</v>
      </c>
      <c r="W154" s="22" t="s">
        <v>16</v>
      </c>
      <c r="X154" s="22" t="s">
        <v>293</v>
      </c>
    </row>
    <row r="155" customFormat="false" ht="15" hidden="false" customHeight="false" outlineLevel="0" collapsed="false">
      <c r="A155" s="22" t="s">
        <v>882</v>
      </c>
      <c r="B155" s="22" t="s">
        <v>16</v>
      </c>
      <c r="C155" s="22" t="s">
        <v>883</v>
      </c>
      <c r="D155" s="22" t="s">
        <v>884</v>
      </c>
      <c r="E155" s="22" t="s">
        <v>885</v>
      </c>
      <c r="F155" s="22" t="n">
        <v>9</v>
      </c>
      <c r="G155" s="26" t="n">
        <v>51.04</v>
      </c>
      <c r="H155" s="26" t="n">
        <v>62.56</v>
      </c>
      <c r="I155" s="26" t="n">
        <v>74.08</v>
      </c>
      <c r="J155" s="26" t="n">
        <v>85.6</v>
      </c>
      <c r="K155" s="26" t="n">
        <v>97.12</v>
      </c>
      <c r="L155" s="26" t="n">
        <v>1.53</v>
      </c>
      <c r="M155" s="27" t="n">
        <v>0.005</v>
      </c>
      <c r="N155" s="27" t="n">
        <v>0.002</v>
      </c>
      <c r="O155" s="26" t="n">
        <v>5</v>
      </c>
      <c r="P155" s="26" t="n">
        <v>5</v>
      </c>
      <c r="Q155" s="28" t="n">
        <v>100</v>
      </c>
      <c r="R155" s="26" t="n">
        <v>30</v>
      </c>
      <c r="S155" s="26" t="n">
        <v>0</v>
      </c>
      <c r="T155" s="28" t="n">
        <v>1</v>
      </c>
      <c r="U155" s="26" t="n">
        <v>0</v>
      </c>
      <c r="V155" s="26" t="n">
        <v>0</v>
      </c>
      <c r="W155" s="22" t="s">
        <v>16</v>
      </c>
      <c r="X155" s="22" t="s">
        <v>293</v>
      </c>
    </row>
    <row r="156" customFormat="false" ht="15" hidden="false" customHeight="false" outlineLevel="0" collapsed="false">
      <c r="A156" s="22" t="s">
        <v>886</v>
      </c>
      <c r="B156" s="22" t="s">
        <v>16</v>
      </c>
      <c r="C156" s="22" t="s">
        <v>887</v>
      </c>
      <c r="D156" s="22" t="s">
        <v>888</v>
      </c>
      <c r="E156" s="22" t="s">
        <v>889</v>
      </c>
      <c r="F156" s="22" t="n">
        <v>9</v>
      </c>
      <c r="G156" s="26" t="n">
        <v>51.04</v>
      </c>
      <c r="H156" s="26" t="n">
        <v>62.56</v>
      </c>
      <c r="I156" s="26" t="n">
        <v>74.08</v>
      </c>
      <c r="J156" s="26" t="n">
        <v>85.6</v>
      </c>
      <c r="K156" s="26" t="n">
        <v>97.12</v>
      </c>
      <c r="L156" s="26" t="n">
        <v>1.53</v>
      </c>
      <c r="M156" s="27" t="n">
        <v>0.005</v>
      </c>
      <c r="N156" s="27" t="n">
        <v>0.002</v>
      </c>
      <c r="O156" s="26" t="n">
        <v>5</v>
      </c>
      <c r="P156" s="26" t="n">
        <v>5</v>
      </c>
      <c r="Q156" s="28" t="n">
        <v>100</v>
      </c>
      <c r="R156" s="26" t="n">
        <v>30</v>
      </c>
      <c r="S156" s="26" t="n">
        <v>0</v>
      </c>
      <c r="T156" s="28" t="n">
        <v>1</v>
      </c>
      <c r="U156" s="26" t="n">
        <v>0</v>
      </c>
      <c r="V156" s="26" t="n">
        <v>0</v>
      </c>
      <c r="W156" s="22" t="s">
        <v>16</v>
      </c>
      <c r="X156" s="22" t="s">
        <v>293</v>
      </c>
    </row>
    <row r="157" customFormat="false" ht="15" hidden="false" customHeight="false" outlineLevel="0" collapsed="false">
      <c r="A157" s="22" t="s">
        <v>890</v>
      </c>
      <c r="B157" s="22" t="s">
        <v>16</v>
      </c>
      <c r="C157" s="22" t="s">
        <v>891</v>
      </c>
      <c r="D157" s="22" t="s">
        <v>892</v>
      </c>
      <c r="E157" s="22" t="s">
        <v>893</v>
      </c>
      <c r="F157" s="22" t="n">
        <v>9</v>
      </c>
      <c r="G157" s="26" t="n">
        <v>51.04</v>
      </c>
      <c r="H157" s="26" t="n">
        <v>62.56</v>
      </c>
      <c r="I157" s="26" t="n">
        <v>74.08</v>
      </c>
      <c r="J157" s="26" t="n">
        <v>85.6</v>
      </c>
      <c r="K157" s="26" t="n">
        <v>97.12</v>
      </c>
      <c r="L157" s="26" t="n">
        <v>1.53</v>
      </c>
      <c r="M157" s="27" t="n">
        <v>0.005</v>
      </c>
      <c r="N157" s="27" t="n">
        <v>0.002</v>
      </c>
      <c r="O157" s="26" t="n">
        <v>5</v>
      </c>
      <c r="P157" s="26" t="n">
        <v>5</v>
      </c>
      <c r="Q157" s="28" t="n">
        <v>100</v>
      </c>
      <c r="R157" s="26" t="n">
        <v>30</v>
      </c>
      <c r="S157" s="26" t="n">
        <v>0</v>
      </c>
      <c r="T157" s="28" t="n">
        <v>1</v>
      </c>
      <c r="U157" s="26" t="n">
        <v>0</v>
      </c>
      <c r="V157" s="26" t="n">
        <v>0</v>
      </c>
      <c r="W157" s="22" t="s">
        <v>16</v>
      </c>
      <c r="X157" s="22" t="s">
        <v>293</v>
      </c>
    </row>
    <row r="158" customFormat="false" ht="15" hidden="false" customHeight="false" outlineLevel="0" collapsed="false">
      <c r="A158" s="22" t="s">
        <v>894</v>
      </c>
      <c r="B158" s="22" t="s">
        <v>16</v>
      </c>
      <c r="C158" s="22" t="s">
        <v>895</v>
      </c>
      <c r="D158" s="22" t="s">
        <v>896</v>
      </c>
      <c r="E158" s="22" t="s">
        <v>897</v>
      </c>
      <c r="F158" s="22" t="n">
        <v>9</v>
      </c>
      <c r="G158" s="26" t="n">
        <v>51.04</v>
      </c>
      <c r="H158" s="26" t="n">
        <v>62.56</v>
      </c>
      <c r="I158" s="26" t="n">
        <v>74.08</v>
      </c>
      <c r="J158" s="26" t="n">
        <v>85.6</v>
      </c>
      <c r="K158" s="26" t="n">
        <v>97.12</v>
      </c>
      <c r="L158" s="26" t="n">
        <v>1.53</v>
      </c>
      <c r="M158" s="27" t="n">
        <v>0.005</v>
      </c>
      <c r="N158" s="27" t="n">
        <v>0.002</v>
      </c>
      <c r="O158" s="26" t="n">
        <v>5</v>
      </c>
      <c r="P158" s="26" t="n">
        <v>5</v>
      </c>
      <c r="Q158" s="28" t="n">
        <v>100</v>
      </c>
      <c r="R158" s="26" t="n">
        <v>30</v>
      </c>
      <c r="S158" s="26" t="n">
        <v>0</v>
      </c>
      <c r="T158" s="28" t="n">
        <v>1</v>
      </c>
      <c r="U158" s="26" t="n">
        <v>0</v>
      </c>
      <c r="V158" s="26" t="n">
        <v>0</v>
      </c>
      <c r="W158" s="22" t="s">
        <v>16</v>
      </c>
      <c r="X158" s="22" t="s">
        <v>293</v>
      </c>
    </row>
    <row r="159" customFormat="false" ht="15" hidden="false" customHeight="false" outlineLevel="0" collapsed="false">
      <c r="A159" s="22" t="s">
        <v>898</v>
      </c>
      <c r="B159" s="22" t="s">
        <v>16</v>
      </c>
      <c r="C159" s="22" t="s">
        <v>899</v>
      </c>
      <c r="D159" s="22" t="s">
        <v>900</v>
      </c>
      <c r="E159" s="22" t="s">
        <v>901</v>
      </c>
      <c r="F159" s="22" t="n">
        <v>9</v>
      </c>
      <c r="G159" s="26" t="n">
        <v>51.04</v>
      </c>
      <c r="H159" s="26" t="n">
        <v>62.56</v>
      </c>
      <c r="I159" s="26" t="n">
        <v>74.08</v>
      </c>
      <c r="J159" s="26" t="n">
        <v>85.6</v>
      </c>
      <c r="K159" s="26" t="n">
        <v>97.12</v>
      </c>
      <c r="L159" s="26" t="n">
        <v>1.53</v>
      </c>
      <c r="M159" s="27" t="n">
        <v>0.005</v>
      </c>
      <c r="N159" s="27" t="n">
        <v>0.002</v>
      </c>
      <c r="O159" s="26" t="n">
        <v>5</v>
      </c>
      <c r="P159" s="26" t="n">
        <v>5</v>
      </c>
      <c r="Q159" s="28" t="n">
        <v>100</v>
      </c>
      <c r="R159" s="26" t="n">
        <v>30</v>
      </c>
      <c r="S159" s="26" t="n">
        <v>0</v>
      </c>
      <c r="T159" s="28" t="n">
        <v>1</v>
      </c>
      <c r="U159" s="26" t="n">
        <v>0</v>
      </c>
      <c r="V159" s="26" t="n">
        <v>0</v>
      </c>
      <c r="W159" s="22" t="s">
        <v>16</v>
      </c>
      <c r="X159" s="22" t="s">
        <v>293</v>
      </c>
    </row>
    <row r="160" customFormat="false" ht="15" hidden="false" customHeight="false" outlineLevel="0" collapsed="false">
      <c r="A160" s="22" t="s">
        <v>902</v>
      </c>
      <c r="B160" s="22" t="s">
        <v>16</v>
      </c>
      <c r="C160" s="22" t="s">
        <v>903</v>
      </c>
      <c r="D160" s="22" t="s">
        <v>904</v>
      </c>
      <c r="E160" s="22" t="s">
        <v>905</v>
      </c>
      <c r="F160" s="22" t="n">
        <v>9</v>
      </c>
      <c r="G160" s="26" t="n">
        <v>51.04</v>
      </c>
      <c r="H160" s="26" t="n">
        <v>62.56</v>
      </c>
      <c r="I160" s="26" t="n">
        <v>74.08</v>
      </c>
      <c r="J160" s="26" t="n">
        <v>85.6</v>
      </c>
      <c r="K160" s="26" t="n">
        <v>97.12</v>
      </c>
      <c r="L160" s="26" t="n">
        <v>1.53</v>
      </c>
      <c r="M160" s="27" t="n">
        <v>0.005</v>
      </c>
      <c r="N160" s="27" t="n">
        <v>0.002</v>
      </c>
      <c r="O160" s="26" t="n">
        <v>5</v>
      </c>
      <c r="P160" s="26" t="n">
        <v>5</v>
      </c>
      <c r="Q160" s="28" t="n">
        <v>100</v>
      </c>
      <c r="R160" s="26" t="n">
        <v>30</v>
      </c>
      <c r="S160" s="26" t="n">
        <v>0</v>
      </c>
      <c r="T160" s="28" t="n">
        <v>1</v>
      </c>
      <c r="U160" s="26" t="n">
        <v>0</v>
      </c>
      <c r="V160" s="26" t="n">
        <v>0</v>
      </c>
      <c r="W160" s="22" t="s">
        <v>16</v>
      </c>
      <c r="X160" s="22" t="s">
        <v>293</v>
      </c>
    </row>
    <row r="161" customFormat="false" ht="15" hidden="false" customHeight="false" outlineLevel="0" collapsed="false">
      <c r="A161" s="22" t="s">
        <v>906</v>
      </c>
      <c r="B161" s="22" t="s">
        <v>16</v>
      </c>
      <c r="C161" s="22" t="s">
        <v>907</v>
      </c>
      <c r="D161" s="22" t="s">
        <v>908</v>
      </c>
      <c r="E161" s="22" t="s">
        <v>909</v>
      </c>
      <c r="F161" s="22" t="n">
        <v>9</v>
      </c>
      <c r="G161" s="26" t="n">
        <v>51.04</v>
      </c>
      <c r="H161" s="26" t="n">
        <v>62.56</v>
      </c>
      <c r="I161" s="26" t="n">
        <v>74.08</v>
      </c>
      <c r="J161" s="26" t="n">
        <v>85.6</v>
      </c>
      <c r="K161" s="26" t="n">
        <v>97.12</v>
      </c>
      <c r="L161" s="26" t="n">
        <v>1.53</v>
      </c>
      <c r="M161" s="27" t="n">
        <v>0.005</v>
      </c>
      <c r="N161" s="27" t="n">
        <v>0.002</v>
      </c>
      <c r="O161" s="26" t="n">
        <v>5</v>
      </c>
      <c r="P161" s="26" t="n">
        <v>5</v>
      </c>
      <c r="Q161" s="28" t="n">
        <v>100</v>
      </c>
      <c r="R161" s="26" t="n">
        <v>30</v>
      </c>
      <c r="S161" s="26" t="n">
        <v>0</v>
      </c>
      <c r="T161" s="28" t="n">
        <v>1</v>
      </c>
      <c r="U161" s="26" t="n">
        <v>0</v>
      </c>
      <c r="V161" s="26" t="n">
        <v>0</v>
      </c>
      <c r="W161" s="22" t="s">
        <v>16</v>
      </c>
      <c r="X161" s="22" t="s">
        <v>293</v>
      </c>
    </row>
    <row r="162" customFormat="false" ht="15" hidden="false" customHeight="false" outlineLevel="0" collapsed="false">
      <c r="A162" s="22" t="s">
        <v>910</v>
      </c>
      <c r="B162" s="22" t="s">
        <v>16</v>
      </c>
      <c r="C162" s="22" t="s">
        <v>911</v>
      </c>
      <c r="D162" s="22" t="s">
        <v>912</v>
      </c>
      <c r="E162" s="22" t="s">
        <v>913</v>
      </c>
      <c r="F162" s="22" t="n">
        <v>9</v>
      </c>
      <c r="G162" s="26" t="n">
        <v>51.04</v>
      </c>
      <c r="H162" s="26" t="n">
        <v>62.56</v>
      </c>
      <c r="I162" s="26" t="n">
        <v>74.08</v>
      </c>
      <c r="J162" s="26" t="n">
        <v>85.6</v>
      </c>
      <c r="K162" s="26" t="n">
        <v>97.12</v>
      </c>
      <c r="L162" s="26" t="n">
        <v>1.53</v>
      </c>
      <c r="M162" s="27" t="n">
        <v>0.005</v>
      </c>
      <c r="N162" s="27" t="n">
        <v>0.002</v>
      </c>
      <c r="O162" s="26" t="n">
        <v>5</v>
      </c>
      <c r="P162" s="26" t="n">
        <v>5</v>
      </c>
      <c r="Q162" s="28" t="n">
        <v>100</v>
      </c>
      <c r="R162" s="26" t="n">
        <v>30</v>
      </c>
      <c r="S162" s="26" t="n">
        <v>0</v>
      </c>
      <c r="T162" s="28" t="n">
        <v>1</v>
      </c>
      <c r="U162" s="26" t="n">
        <v>0</v>
      </c>
      <c r="V162" s="26" t="n">
        <v>0</v>
      </c>
      <c r="W162" s="22" t="s">
        <v>16</v>
      </c>
      <c r="X162" s="22" t="s">
        <v>293</v>
      </c>
    </row>
    <row r="163" customFormat="false" ht="15" hidden="false" customHeight="false" outlineLevel="0" collapsed="false">
      <c r="A163" s="22" t="s">
        <v>914</v>
      </c>
      <c r="B163" s="22" t="s">
        <v>16</v>
      </c>
      <c r="C163" s="22" t="s">
        <v>915</v>
      </c>
      <c r="D163" s="22" t="s">
        <v>916</v>
      </c>
      <c r="E163" s="22" t="s">
        <v>917</v>
      </c>
      <c r="F163" s="22" t="n">
        <v>9</v>
      </c>
      <c r="G163" s="26" t="n">
        <v>51.04</v>
      </c>
      <c r="H163" s="26" t="n">
        <v>62.56</v>
      </c>
      <c r="I163" s="26" t="n">
        <v>74.08</v>
      </c>
      <c r="J163" s="26" t="n">
        <v>85.6</v>
      </c>
      <c r="K163" s="26" t="n">
        <v>97.12</v>
      </c>
      <c r="L163" s="26" t="n">
        <v>1.53</v>
      </c>
      <c r="M163" s="27" t="n">
        <v>0.005</v>
      </c>
      <c r="N163" s="27" t="n">
        <v>0.002</v>
      </c>
      <c r="O163" s="26" t="n">
        <v>5</v>
      </c>
      <c r="P163" s="26" t="n">
        <v>5</v>
      </c>
      <c r="Q163" s="28" t="n">
        <v>100</v>
      </c>
      <c r="R163" s="26" t="n">
        <v>30</v>
      </c>
      <c r="S163" s="26" t="n">
        <v>0</v>
      </c>
      <c r="T163" s="28" t="n">
        <v>1</v>
      </c>
      <c r="U163" s="26" t="n">
        <v>0</v>
      </c>
      <c r="V163" s="26" t="n">
        <v>0</v>
      </c>
      <c r="W163" s="22" t="s">
        <v>16</v>
      </c>
      <c r="X163" s="22" t="s">
        <v>293</v>
      </c>
    </row>
    <row r="164" customFormat="false" ht="15" hidden="false" customHeight="false" outlineLevel="0" collapsed="false">
      <c r="A164" s="22" t="s">
        <v>918</v>
      </c>
      <c r="B164" s="22" t="s">
        <v>16</v>
      </c>
      <c r="C164" s="22" t="s">
        <v>919</v>
      </c>
      <c r="D164" s="22" t="s">
        <v>920</v>
      </c>
      <c r="E164" s="22" t="s">
        <v>921</v>
      </c>
      <c r="F164" s="22" t="n">
        <v>9</v>
      </c>
      <c r="G164" s="26" t="n">
        <v>51.04</v>
      </c>
      <c r="H164" s="26" t="n">
        <v>62.56</v>
      </c>
      <c r="I164" s="26" t="n">
        <v>74.08</v>
      </c>
      <c r="J164" s="26" t="n">
        <v>85.6</v>
      </c>
      <c r="K164" s="26" t="n">
        <v>97.12</v>
      </c>
      <c r="L164" s="26" t="n">
        <v>1.53</v>
      </c>
      <c r="M164" s="27" t="n">
        <v>0.005</v>
      </c>
      <c r="N164" s="27" t="n">
        <v>0.002</v>
      </c>
      <c r="O164" s="26" t="n">
        <v>5</v>
      </c>
      <c r="P164" s="26" t="n">
        <v>5</v>
      </c>
      <c r="Q164" s="28" t="n">
        <v>100</v>
      </c>
      <c r="R164" s="26" t="n">
        <v>30</v>
      </c>
      <c r="S164" s="26" t="n">
        <v>0</v>
      </c>
      <c r="T164" s="28" t="n">
        <v>1</v>
      </c>
      <c r="U164" s="26" t="n">
        <v>0</v>
      </c>
      <c r="V164" s="26" t="n">
        <v>0</v>
      </c>
      <c r="W164" s="22" t="s">
        <v>16</v>
      </c>
      <c r="X164" s="22" t="s">
        <v>293</v>
      </c>
    </row>
    <row r="165" customFormat="false" ht="15" hidden="false" customHeight="false" outlineLevel="0" collapsed="false">
      <c r="A165" s="22" t="s">
        <v>922</v>
      </c>
      <c r="B165" s="22" t="s">
        <v>16</v>
      </c>
      <c r="C165" s="22" t="s">
        <v>923</v>
      </c>
      <c r="D165" s="22" t="s">
        <v>924</v>
      </c>
      <c r="E165" s="22" t="s">
        <v>925</v>
      </c>
      <c r="F165" s="22" t="n">
        <v>9</v>
      </c>
      <c r="G165" s="26" t="n">
        <v>51.04</v>
      </c>
      <c r="H165" s="26" t="n">
        <v>62.56</v>
      </c>
      <c r="I165" s="26" t="n">
        <v>74.08</v>
      </c>
      <c r="J165" s="26" t="n">
        <v>85.6</v>
      </c>
      <c r="K165" s="26" t="n">
        <v>97.12</v>
      </c>
      <c r="L165" s="26" t="n">
        <v>1.53</v>
      </c>
      <c r="M165" s="27" t="n">
        <v>0.005</v>
      </c>
      <c r="N165" s="27" t="n">
        <v>0.002</v>
      </c>
      <c r="O165" s="26" t="n">
        <v>5</v>
      </c>
      <c r="P165" s="26" t="n">
        <v>5</v>
      </c>
      <c r="Q165" s="28" t="n">
        <v>100</v>
      </c>
      <c r="R165" s="26" t="n">
        <v>30</v>
      </c>
      <c r="S165" s="26" t="n">
        <v>0</v>
      </c>
      <c r="T165" s="28" t="n">
        <v>1</v>
      </c>
      <c r="U165" s="26" t="n">
        <v>0</v>
      </c>
      <c r="V165" s="26" t="n">
        <v>0</v>
      </c>
      <c r="W165" s="22" t="s">
        <v>16</v>
      </c>
      <c r="X165" s="22" t="s">
        <v>293</v>
      </c>
    </row>
    <row r="166" customFormat="false" ht="15" hidden="false" customHeight="false" outlineLevel="0" collapsed="false">
      <c r="A166" s="22" t="s">
        <v>926</v>
      </c>
      <c r="B166" s="22" t="s">
        <v>16</v>
      </c>
      <c r="C166" s="22" t="s">
        <v>927</v>
      </c>
      <c r="D166" s="22" t="s">
        <v>928</v>
      </c>
      <c r="E166" s="22" t="s">
        <v>929</v>
      </c>
      <c r="F166" s="22" t="n">
        <v>9</v>
      </c>
      <c r="G166" s="26" t="n">
        <v>51.04</v>
      </c>
      <c r="H166" s="26" t="n">
        <v>62.56</v>
      </c>
      <c r="I166" s="26" t="n">
        <v>74.08</v>
      </c>
      <c r="J166" s="26" t="n">
        <v>85.6</v>
      </c>
      <c r="K166" s="26" t="n">
        <v>97.12</v>
      </c>
      <c r="L166" s="26" t="n">
        <v>1.53</v>
      </c>
      <c r="M166" s="27" t="n">
        <v>0.005</v>
      </c>
      <c r="N166" s="27" t="n">
        <v>0.002</v>
      </c>
      <c r="O166" s="26" t="n">
        <v>5</v>
      </c>
      <c r="P166" s="26" t="n">
        <v>5</v>
      </c>
      <c r="Q166" s="28" t="n">
        <v>100</v>
      </c>
      <c r="R166" s="26" t="n">
        <v>30</v>
      </c>
      <c r="S166" s="26" t="n">
        <v>0</v>
      </c>
      <c r="T166" s="28" t="n">
        <v>1</v>
      </c>
      <c r="U166" s="26" t="n">
        <v>0</v>
      </c>
      <c r="V166" s="26" t="n">
        <v>0</v>
      </c>
      <c r="W166" s="22" t="s">
        <v>16</v>
      </c>
      <c r="X166" s="22" t="s">
        <v>293</v>
      </c>
    </row>
    <row r="167" customFormat="false" ht="15" hidden="false" customHeight="false" outlineLevel="0" collapsed="false">
      <c r="A167" s="22" t="s">
        <v>930</v>
      </c>
      <c r="B167" s="22" t="s">
        <v>16</v>
      </c>
      <c r="C167" s="22" t="s">
        <v>931</v>
      </c>
      <c r="D167" s="22" t="s">
        <v>932</v>
      </c>
      <c r="E167" s="22" t="s">
        <v>933</v>
      </c>
      <c r="F167" s="22" t="n">
        <v>9</v>
      </c>
      <c r="G167" s="26" t="n">
        <v>51.04</v>
      </c>
      <c r="H167" s="26" t="n">
        <v>62.56</v>
      </c>
      <c r="I167" s="26" t="n">
        <v>74.08</v>
      </c>
      <c r="J167" s="26" t="n">
        <v>85.6</v>
      </c>
      <c r="K167" s="26" t="n">
        <v>97.12</v>
      </c>
      <c r="L167" s="26" t="n">
        <v>1.53</v>
      </c>
      <c r="M167" s="27" t="n">
        <v>0.005</v>
      </c>
      <c r="N167" s="27" t="n">
        <v>0.002</v>
      </c>
      <c r="O167" s="26" t="n">
        <v>5</v>
      </c>
      <c r="P167" s="26" t="n">
        <v>5</v>
      </c>
      <c r="Q167" s="28" t="n">
        <v>100</v>
      </c>
      <c r="R167" s="26" t="n">
        <v>30</v>
      </c>
      <c r="S167" s="26" t="n">
        <v>0</v>
      </c>
      <c r="T167" s="28" t="n">
        <v>1</v>
      </c>
      <c r="U167" s="26" t="n">
        <v>0</v>
      </c>
      <c r="V167" s="26" t="n">
        <v>0</v>
      </c>
      <c r="W167" s="22" t="s">
        <v>16</v>
      </c>
      <c r="X167" s="22" t="s">
        <v>293</v>
      </c>
    </row>
    <row r="168" customFormat="false" ht="15" hidden="false" customHeight="false" outlineLevel="0" collapsed="false">
      <c r="A168" s="22" t="s">
        <v>934</v>
      </c>
      <c r="B168" s="22" t="s">
        <v>16</v>
      </c>
      <c r="C168" s="22" t="s">
        <v>935</v>
      </c>
      <c r="D168" s="22" t="s">
        <v>936</v>
      </c>
      <c r="E168" s="22" t="s">
        <v>937</v>
      </c>
      <c r="F168" s="22" t="n">
        <v>9</v>
      </c>
      <c r="G168" s="26" t="n">
        <v>51.04</v>
      </c>
      <c r="H168" s="26" t="n">
        <v>62.56</v>
      </c>
      <c r="I168" s="26" t="n">
        <v>74.08</v>
      </c>
      <c r="J168" s="26" t="n">
        <v>85.6</v>
      </c>
      <c r="K168" s="26" t="n">
        <v>97.12</v>
      </c>
      <c r="L168" s="26" t="n">
        <v>1.53</v>
      </c>
      <c r="M168" s="27" t="n">
        <v>0.005</v>
      </c>
      <c r="N168" s="27" t="n">
        <v>0.002</v>
      </c>
      <c r="O168" s="26" t="n">
        <v>5</v>
      </c>
      <c r="P168" s="26" t="n">
        <v>5</v>
      </c>
      <c r="Q168" s="28" t="n">
        <v>100</v>
      </c>
      <c r="R168" s="26" t="n">
        <v>30</v>
      </c>
      <c r="S168" s="26" t="n">
        <v>0</v>
      </c>
      <c r="T168" s="28" t="n">
        <v>1</v>
      </c>
      <c r="U168" s="26" t="n">
        <v>0</v>
      </c>
      <c r="V168" s="26" t="n">
        <v>0</v>
      </c>
      <c r="W168" s="22" t="s">
        <v>16</v>
      </c>
      <c r="X168" s="22" t="s">
        <v>293</v>
      </c>
    </row>
    <row r="169" customFormat="false" ht="15" hidden="false" customHeight="false" outlineLevel="0" collapsed="false">
      <c r="A169" s="22" t="s">
        <v>938</v>
      </c>
      <c r="B169" s="22" t="s">
        <v>16</v>
      </c>
      <c r="C169" s="22" t="s">
        <v>939</v>
      </c>
      <c r="D169" s="22" t="s">
        <v>940</v>
      </c>
      <c r="E169" s="22" t="s">
        <v>941</v>
      </c>
      <c r="F169" s="22" t="n">
        <v>9</v>
      </c>
      <c r="G169" s="26" t="n">
        <v>51.04</v>
      </c>
      <c r="H169" s="26" t="n">
        <v>62.56</v>
      </c>
      <c r="I169" s="26" t="n">
        <v>74.08</v>
      </c>
      <c r="J169" s="26" t="n">
        <v>85.6</v>
      </c>
      <c r="K169" s="26" t="n">
        <v>97.12</v>
      </c>
      <c r="L169" s="26" t="n">
        <v>1.53</v>
      </c>
      <c r="M169" s="27" t="n">
        <v>0.005</v>
      </c>
      <c r="N169" s="27" t="n">
        <v>0.002</v>
      </c>
      <c r="O169" s="26" t="n">
        <v>5</v>
      </c>
      <c r="P169" s="26" t="n">
        <v>5</v>
      </c>
      <c r="Q169" s="28" t="n">
        <v>100</v>
      </c>
      <c r="R169" s="26" t="n">
        <v>30</v>
      </c>
      <c r="S169" s="26" t="n">
        <v>0</v>
      </c>
      <c r="T169" s="28" t="n">
        <v>1</v>
      </c>
      <c r="U169" s="26" t="n">
        <v>0</v>
      </c>
      <c r="V169" s="26" t="n">
        <v>0</v>
      </c>
      <c r="W169" s="22" t="s">
        <v>16</v>
      </c>
      <c r="X169" s="22" t="s">
        <v>293</v>
      </c>
    </row>
    <row r="170" customFormat="false" ht="15" hidden="false" customHeight="false" outlineLevel="0" collapsed="false">
      <c r="A170" s="22" t="s">
        <v>942</v>
      </c>
      <c r="B170" s="22" t="s">
        <v>16</v>
      </c>
      <c r="C170" s="22" t="s">
        <v>943</v>
      </c>
      <c r="D170" s="22" t="s">
        <v>944</v>
      </c>
      <c r="E170" s="22" t="s">
        <v>945</v>
      </c>
      <c r="F170" s="22" t="n">
        <v>9</v>
      </c>
      <c r="G170" s="26" t="n">
        <v>51.04</v>
      </c>
      <c r="H170" s="26" t="n">
        <v>62.56</v>
      </c>
      <c r="I170" s="26" t="n">
        <v>74.08</v>
      </c>
      <c r="J170" s="26" t="n">
        <v>85.6</v>
      </c>
      <c r="K170" s="26" t="n">
        <v>97.12</v>
      </c>
      <c r="L170" s="26" t="n">
        <v>1.53</v>
      </c>
      <c r="M170" s="27" t="n">
        <v>0.005</v>
      </c>
      <c r="N170" s="27" t="n">
        <v>0.002</v>
      </c>
      <c r="O170" s="26" t="n">
        <v>5</v>
      </c>
      <c r="P170" s="26" t="n">
        <v>5</v>
      </c>
      <c r="Q170" s="28" t="n">
        <v>100</v>
      </c>
      <c r="R170" s="26" t="n">
        <v>30</v>
      </c>
      <c r="S170" s="26" t="n">
        <v>0</v>
      </c>
      <c r="T170" s="28" t="n">
        <v>1</v>
      </c>
      <c r="U170" s="26" t="n">
        <v>0</v>
      </c>
      <c r="V170" s="26" t="n">
        <v>250</v>
      </c>
      <c r="W170" s="22" t="s">
        <v>16</v>
      </c>
      <c r="X170" s="22" t="s">
        <v>293</v>
      </c>
    </row>
    <row r="171" customFormat="false" ht="15" hidden="false" customHeight="false" outlineLevel="0" collapsed="false">
      <c r="A171" s="22" t="s">
        <v>946</v>
      </c>
      <c r="B171" s="22" t="s">
        <v>16</v>
      </c>
      <c r="C171" s="22" t="s">
        <v>947</v>
      </c>
      <c r="D171" s="22" t="s">
        <v>948</v>
      </c>
      <c r="E171" s="22" t="s">
        <v>949</v>
      </c>
      <c r="F171" s="22" t="n">
        <v>9</v>
      </c>
      <c r="G171" s="26" t="n">
        <v>51.04</v>
      </c>
      <c r="H171" s="26" t="n">
        <v>62.56</v>
      </c>
      <c r="I171" s="26" t="n">
        <v>74.08</v>
      </c>
      <c r="J171" s="26" t="n">
        <v>85.6</v>
      </c>
      <c r="K171" s="26" t="n">
        <v>97.12</v>
      </c>
      <c r="L171" s="26" t="n">
        <v>1.53</v>
      </c>
      <c r="M171" s="27" t="n">
        <v>0.005</v>
      </c>
      <c r="N171" s="27" t="n">
        <v>0.002</v>
      </c>
      <c r="O171" s="26" t="n">
        <v>5</v>
      </c>
      <c r="P171" s="26" t="n">
        <v>5</v>
      </c>
      <c r="Q171" s="28" t="n">
        <v>100</v>
      </c>
      <c r="R171" s="26" t="n">
        <v>30</v>
      </c>
      <c r="S171" s="26" t="n">
        <v>0</v>
      </c>
      <c r="T171" s="28" t="n">
        <v>1</v>
      </c>
      <c r="U171" s="26" t="n">
        <v>0</v>
      </c>
      <c r="V171" s="26" t="n">
        <v>0</v>
      </c>
      <c r="W171" s="22" t="s">
        <v>16</v>
      </c>
      <c r="X171" s="22" t="s">
        <v>293</v>
      </c>
    </row>
    <row r="172" customFormat="false" ht="15" hidden="false" customHeight="false" outlineLevel="0" collapsed="false">
      <c r="A172" s="22" t="s">
        <v>950</v>
      </c>
      <c r="B172" s="22" t="s">
        <v>16</v>
      </c>
      <c r="C172" s="22" t="s">
        <v>951</v>
      </c>
      <c r="D172" s="22" t="s">
        <v>952</v>
      </c>
      <c r="E172" s="22" t="s">
        <v>953</v>
      </c>
      <c r="F172" s="22" t="n">
        <v>9</v>
      </c>
      <c r="G172" s="26" t="n">
        <v>51.04</v>
      </c>
      <c r="H172" s="26" t="n">
        <v>62.56</v>
      </c>
      <c r="I172" s="26" t="n">
        <v>74.08</v>
      </c>
      <c r="J172" s="26" t="n">
        <v>85.6</v>
      </c>
      <c r="K172" s="26" t="n">
        <v>97.12</v>
      </c>
      <c r="L172" s="26" t="n">
        <v>1.53</v>
      </c>
      <c r="M172" s="27" t="n">
        <v>0.005</v>
      </c>
      <c r="N172" s="27" t="n">
        <v>0.002</v>
      </c>
      <c r="O172" s="26" t="n">
        <v>5</v>
      </c>
      <c r="P172" s="26" t="n">
        <v>5</v>
      </c>
      <c r="Q172" s="28" t="n">
        <v>100</v>
      </c>
      <c r="R172" s="26" t="n">
        <v>30</v>
      </c>
      <c r="S172" s="26" t="n">
        <v>0</v>
      </c>
      <c r="T172" s="28" t="n">
        <v>1</v>
      </c>
      <c r="U172" s="26" t="n">
        <v>0</v>
      </c>
      <c r="V172" s="26" t="n">
        <v>0</v>
      </c>
      <c r="W172" s="22" t="s">
        <v>16</v>
      </c>
      <c r="X172" s="22" t="s">
        <v>293</v>
      </c>
    </row>
    <row r="173" customFormat="false" ht="15" hidden="false" customHeight="false" outlineLevel="0" collapsed="false">
      <c r="A173" s="22" t="s">
        <v>954</v>
      </c>
      <c r="B173" s="22" t="s">
        <v>16</v>
      </c>
      <c r="C173" s="22" t="s">
        <v>955</v>
      </c>
      <c r="D173" s="22" t="s">
        <v>956</v>
      </c>
      <c r="E173" s="22" t="s">
        <v>957</v>
      </c>
      <c r="F173" s="22" t="n">
        <v>9</v>
      </c>
      <c r="G173" s="26" t="n">
        <v>51.04</v>
      </c>
      <c r="H173" s="26" t="n">
        <v>62.56</v>
      </c>
      <c r="I173" s="26" t="n">
        <v>74.08</v>
      </c>
      <c r="J173" s="26" t="n">
        <v>85.6</v>
      </c>
      <c r="K173" s="26" t="n">
        <v>97.12</v>
      </c>
      <c r="L173" s="26" t="n">
        <v>1.53</v>
      </c>
      <c r="M173" s="27" t="n">
        <v>0.005</v>
      </c>
      <c r="N173" s="27" t="n">
        <v>0.002</v>
      </c>
      <c r="O173" s="26" t="n">
        <v>5</v>
      </c>
      <c r="P173" s="26" t="n">
        <v>5</v>
      </c>
      <c r="Q173" s="28" t="n">
        <v>100</v>
      </c>
      <c r="R173" s="26" t="n">
        <v>30</v>
      </c>
      <c r="S173" s="26" t="n">
        <v>0</v>
      </c>
      <c r="T173" s="28" t="n">
        <v>1</v>
      </c>
      <c r="U173" s="26" t="n">
        <v>0</v>
      </c>
      <c r="V173" s="26" t="n">
        <v>0</v>
      </c>
      <c r="W173" s="22" t="s">
        <v>16</v>
      </c>
      <c r="X173" s="22" t="s">
        <v>293</v>
      </c>
    </row>
    <row r="174" customFormat="false" ht="15" hidden="false" customHeight="false" outlineLevel="0" collapsed="false">
      <c r="A174" s="22" t="s">
        <v>958</v>
      </c>
      <c r="B174" s="22" t="s">
        <v>16</v>
      </c>
      <c r="C174" s="22" t="s">
        <v>959</v>
      </c>
      <c r="D174" s="22" t="s">
        <v>960</v>
      </c>
      <c r="E174" s="22" t="s">
        <v>961</v>
      </c>
      <c r="F174" s="22" t="n">
        <v>9</v>
      </c>
      <c r="G174" s="26" t="n">
        <v>51.04</v>
      </c>
      <c r="H174" s="26" t="n">
        <v>62.56</v>
      </c>
      <c r="I174" s="26" t="n">
        <v>74.08</v>
      </c>
      <c r="J174" s="26" t="n">
        <v>85.6</v>
      </c>
      <c r="K174" s="26" t="n">
        <v>97.12</v>
      </c>
      <c r="L174" s="26" t="n">
        <v>1.53</v>
      </c>
      <c r="M174" s="27" t="n">
        <v>0.005</v>
      </c>
      <c r="N174" s="27" t="n">
        <v>0.002</v>
      </c>
      <c r="O174" s="26" t="n">
        <v>5</v>
      </c>
      <c r="P174" s="26" t="n">
        <v>5</v>
      </c>
      <c r="Q174" s="28" t="n">
        <v>100</v>
      </c>
      <c r="R174" s="26" t="n">
        <v>30</v>
      </c>
      <c r="S174" s="26" t="n">
        <v>0</v>
      </c>
      <c r="T174" s="28" t="n">
        <v>1</v>
      </c>
      <c r="U174" s="26" t="n">
        <v>0</v>
      </c>
      <c r="V174" s="26" t="n">
        <v>0</v>
      </c>
      <c r="W174" s="22" t="s">
        <v>16</v>
      </c>
      <c r="X174" s="22" t="s">
        <v>293</v>
      </c>
    </row>
    <row r="175" customFormat="false" ht="15" hidden="false" customHeight="false" outlineLevel="0" collapsed="false">
      <c r="A175" s="22" t="s">
        <v>962</v>
      </c>
      <c r="B175" s="22" t="s">
        <v>16</v>
      </c>
      <c r="C175" s="22" t="s">
        <v>963</v>
      </c>
      <c r="D175" s="22" t="s">
        <v>964</v>
      </c>
      <c r="E175" s="22" t="s">
        <v>965</v>
      </c>
      <c r="F175" s="22" t="n">
        <v>9</v>
      </c>
      <c r="G175" s="26" t="n">
        <v>51.04</v>
      </c>
      <c r="H175" s="26" t="n">
        <v>62.56</v>
      </c>
      <c r="I175" s="26" t="n">
        <v>74.08</v>
      </c>
      <c r="J175" s="26" t="n">
        <v>85.6</v>
      </c>
      <c r="K175" s="26" t="n">
        <v>97.12</v>
      </c>
      <c r="L175" s="26" t="n">
        <v>1.53</v>
      </c>
      <c r="M175" s="27" t="n">
        <v>0.005</v>
      </c>
      <c r="N175" s="27" t="n">
        <v>0.002</v>
      </c>
      <c r="O175" s="26" t="n">
        <v>5</v>
      </c>
      <c r="P175" s="26" t="n">
        <v>5</v>
      </c>
      <c r="Q175" s="28" t="n">
        <v>100</v>
      </c>
      <c r="R175" s="26" t="n">
        <v>30</v>
      </c>
      <c r="S175" s="26" t="n">
        <v>0</v>
      </c>
      <c r="T175" s="28" t="n">
        <v>1</v>
      </c>
      <c r="U175" s="26" t="n">
        <v>0</v>
      </c>
      <c r="V175" s="26" t="n">
        <v>0</v>
      </c>
      <c r="W175" s="22" t="s">
        <v>16</v>
      </c>
      <c r="X175" s="22" t="s">
        <v>293</v>
      </c>
    </row>
    <row r="176" customFormat="false" ht="15" hidden="false" customHeight="false" outlineLevel="0" collapsed="false">
      <c r="A176" s="22" t="s">
        <v>966</v>
      </c>
      <c r="B176" s="22" t="s">
        <v>16</v>
      </c>
      <c r="C176" s="22" t="s">
        <v>967</v>
      </c>
      <c r="D176" s="22" t="s">
        <v>968</v>
      </c>
      <c r="E176" s="22" t="s">
        <v>969</v>
      </c>
      <c r="F176" s="22" t="n">
        <v>9</v>
      </c>
      <c r="G176" s="26" t="n">
        <v>51.04</v>
      </c>
      <c r="H176" s="26" t="n">
        <v>62.56</v>
      </c>
      <c r="I176" s="26" t="n">
        <v>74.08</v>
      </c>
      <c r="J176" s="26" t="n">
        <v>85.6</v>
      </c>
      <c r="K176" s="26" t="n">
        <v>97.12</v>
      </c>
      <c r="L176" s="26" t="n">
        <v>1.53</v>
      </c>
      <c r="M176" s="27" t="n">
        <v>0.005</v>
      </c>
      <c r="N176" s="27" t="n">
        <v>0.002</v>
      </c>
      <c r="O176" s="26" t="n">
        <v>5</v>
      </c>
      <c r="P176" s="26" t="n">
        <v>5</v>
      </c>
      <c r="Q176" s="28" t="n">
        <v>100</v>
      </c>
      <c r="R176" s="26" t="n">
        <v>30</v>
      </c>
      <c r="S176" s="26" t="n">
        <v>0</v>
      </c>
      <c r="T176" s="28" t="n">
        <v>1</v>
      </c>
      <c r="U176" s="26" t="n">
        <v>0</v>
      </c>
      <c r="V176" s="26" t="n">
        <v>0</v>
      </c>
      <c r="W176" s="22" t="s">
        <v>16</v>
      </c>
      <c r="X176" s="22" t="s">
        <v>293</v>
      </c>
    </row>
    <row r="177" customFormat="false" ht="15" hidden="false" customHeight="false" outlineLevel="0" collapsed="false">
      <c r="A177" s="22" t="s">
        <v>970</v>
      </c>
      <c r="B177" s="22" t="s">
        <v>16</v>
      </c>
      <c r="C177" s="22" t="s">
        <v>971</v>
      </c>
      <c r="D177" s="22" t="s">
        <v>972</v>
      </c>
      <c r="E177" s="22" t="s">
        <v>973</v>
      </c>
      <c r="F177" s="22" t="n">
        <v>9</v>
      </c>
      <c r="G177" s="26" t="n">
        <v>51.04</v>
      </c>
      <c r="H177" s="26" t="n">
        <v>62.56</v>
      </c>
      <c r="I177" s="26" t="n">
        <v>74.08</v>
      </c>
      <c r="J177" s="26" t="n">
        <v>85.6</v>
      </c>
      <c r="K177" s="26" t="n">
        <v>97.12</v>
      </c>
      <c r="L177" s="26" t="n">
        <v>1.53</v>
      </c>
      <c r="M177" s="27" t="n">
        <v>0.005</v>
      </c>
      <c r="N177" s="27" t="n">
        <v>0.002</v>
      </c>
      <c r="O177" s="26" t="n">
        <v>5</v>
      </c>
      <c r="P177" s="26" t="n">
        <v>5</v>
      </c>
      <c r="Q177" s="28" t="n">
        <v>100</v>
      </c>
      <c r="R177" s="26" t="n">
        <v>30</v>
      </c>
      <c r="S177" s="26" t="n">
        <v>0</v>
      </c>
      <c r="T177" s="28" t="n">
        <v>1</v>
      </c>
      <c r="U177" s="26" t="n">
        <v>0</v>
      </c>
      <c r="V177" s="26" t="n">
        <v>0</v>
      </c>
      <c r="W177" s="22" t="s">
        <v>16</v>
      </c>
      <c r="X177" s="22" t="s">
        <v>293</v>
      </c>
    </row>
    <row r="178" customFormat="false" ht="15" hidden="false" customHeight="false" outlineLevel="0" collapsed="false">
      <c r="A178" s="22" t="s">
        <v>974</v>
      </c>
      <c r="B178" s="22" t="s">
        <v>16</v>
      </c>
      <c r="C178" s="22" t="s">
        <v>975</v>
      </c>
      <c r="D178" s="22" t="s">
        <v>976</v>
      </c>
      <c r="E178" s="22" t="s">
        <v>977</v>
      </c>
      <c r="F178" s="22" t="n">
        <v>9</v>
      </c>
      <c r="G178" s="26" t="n">
        <v>51.04</v>
      </c>
      <c r="H178" s="26" t="n">
        <v>62.56</v>
      </c>
      <c r="I178" s="26" t="n">
        <v>74.08</v>
      </c>
      <c r="J178" s="26" t="n">
        <v>85.6</v>
      </c>
      <c r="K178" s="26" t="n">
        <v>97.12</v>
      </c>
      <c r="L178" s="26" t="n">
        <v>1.53</v>
      </c>
      <c r="M178" s="27" t="n">
        <v>0.005</v>
      </c>
      <c r="N178" s="27" t="n">
        <v>0.002</v>
      </c>
      <c r="O178" s="26" t="n">
        <v>5</v>
      </c>
      <c r="P178" s="26" t="n">
        <v>5</v>
      </c>
      <c r="Q178" s="28" t="n">
        <v>100</v>
      </c>
      <c r="R178" s="26" t="n">
        <v>30</v>
      </c>
      <c r="S178" s="26" t="n">
        <v>0</v>
      </c>
      <c r="T178" s="28" t="n">
        <v>1</v>
      </c>
      <c r="U178" s="26" t="n">
        <v>0</v>
      </c>
      <c r="V178" s="26" t="n">
        <v>0</v>
      </c>
      <c r="W178" s="22" t="s">
        <v>16</v>
      </c>
      <c r="X178" s="22" t="s">
        <v>293</v>
      </c>
    </row>
    <row r="179" customFormat="false" ht="15" hidden="false" customHeight="false" outlineLevel="0" collapsed="false">
      <c r="A179" s="22" t="s">
        <v>978</v>
      </c>
      <c r="B179" s="22" t="s">
        <v>16</v>
      </c>
      <c r="C179" s="22" t="s">
        <v>979</v>
      </c>
      <c r="D179" s="22" t="s">
        <v>980</v>
      </c>
      <c r="E179" s="22" t="s">
        <v>981</v>
      </c>
      <c r="F179" s="22" t="n">
        <v>9</v>
      </c>
      <c r="G179" s="26" t="n">
        <v>51.04</v>
      </c>
      <c r="H179" s="26" t="n">
        <v>62.56</v>
      </c>
      <c r="I179" s="26" t="n">
        <v>74.08</v>
      </c>
      <c r="J179" s="26" t="n">
        <v>85.6</v>
      </c>
      <c r="K179" s="26" t="n">
        <v>97.12</v>
      </c>
      <c r="L179" s="26" t="n">
        <v>1.53</v>
      </c>
      <c r="M179" s="27" t="n">
        <v>0.005</v>
      </c>
      <c r="N179" s="27" t="n">
        <v>0.002</v>
      </c>
      <c r="O179" s="26" t="n">
        <v>5</v>
      </c>
      <c r="P179" s="26" t="n">
        <v>5</v>
      </c>
      <c r="Q179" s="28" t="n">
        <v>100</v>
      </c>
      <c r="R179" s="26" t="n">
        <v>30</v>
      </c>
      <c r="S179" s="26" t="n">
        <v>0</v>
      </c>
      <c r="T179" s="28" t="n">
        <v>1</v>
      </c>
      <c r="U179" s="26" t="n">
        <v>0</v>
      </c>
      <c r="V179" s="26" t="n">
        <v>0</v>
      </c>
      <c r="W179" s="22" t="s">
        <v>16</v>
      </c>
      <c r="X179" s="22" t="s">
        <v>293</v>
      </c>
    </row>
    <row r="180" customFormat="false" ht="15" hidden="false" customHeight="false" outlineLevel="0" collapsed="false">
      <c r="A180" s="22" t="s">
        <v>982</v>
      </c>
      <c r="B180" s="22" t="s">
        <v>16</v>
      </c>
      <c r="C180" s="22" t="s">
        <v>983</v>
      </c>
      <c r="D180" s="22" t="s">
        <v>984</v>
      </c>
      <c r="E180" s="22" t="s">
        <v>985</v>
      </c>
      <c r="F180" s="22" t="n">
        <v>9</v>
      </c>
      <c r="G180" s="26" t="n">
        <v>51.04</v>
      </c>
      <c r="H180" s="26" t="n">
        <v>62.56</v>
      </c>
      <c r="I180" s="26" t="n">
        <v>74.08</v>
      </c>
      <c r="J180" s="26" t="n">
        <v>85.6</v>
      </c>
      <c r="K180" s="26" t="n">
        <v>97.12</v>
      </c>
      <c r="L180" s="26" t="n">
        <v>1.53</v>
      </c>
      <c r="M180" s="27" t="n">
        <v>0.005</v>
      </c>
      <c r="N180" s="27" t="n">
        <v>0.002</v>
      </c>
      <c r="O180" s="26" t="n">
        <v>5</v>
      </c>
      <c r="P180" s="26" t="n">
        <v>5</v>
      </c>
      <c r="Q180" s="28" t="n">
        <v>100</v>
      </c>
      <c r="R180" s="26" t="n">
        <v>30</v>
      </c>
      <c r="S180" s="26" t="n">
        <v>0</v>
      </c>
      <c r="T180" s="28" t="n">
        <v>1</v>
      </c>
      <c r="U180" s="26" t="n">
        <v>0</v>
      </c>
      <c r="V180" s="26" t="n">
        <v>0</v>
      </c>
      <c r="W180" s="22" t="s">
        <v>16</v>
      </c>
      <c r="X180" s="22" t="s">
        <v>293</v>
      </c>
    </row>
    <row r="181" customFormat="false" ht="15" hidden="false" customHeight="false" outlineLevel="0" collapsed="false">
      <c r="A181" s="22" t="s">
        <v>986</v>
      </c>
      <c r="B181" s="22" t="s">
        <v>16</v>
      </c>
      <c r="C181" s="22" t="s">
        <v>987</v>
      </c>
      <c r="D181" s="22" t="s">
        <v>988</v>
      </c>
      <c r="E181" s="22" t="s">
        <v>989</v>
      </c>
      <c r="F181" s="22" t="n">
        <v>9</v>
      </c>
      <c r="G181" s="26" t="n">
        <v>51.04</v>
      </c>
      <c r="H181" s="26" t="n">
        <v>62.56</v>
      </c>
      <c r="I181" s="26" t="n">
        <v>74.08</v>
      </c>
      <c r="J181" s="26" t="n">
        <v>85.6</v>
      </c>
      <c r="K181" s="26" t="n">
        <v>97.12</v>
      </c>
      <c r="L181" s="26" t="n">
        <v>1.53</v>
      </c>
      <c r="M181" s="27" t="n">
        <v>0.005</v>
      </c>
      <c r="N181" s="27" t="n">
        <v>0.002</v>
      </c>
      <c r="O181" s="26" t="n">
        <v>5</v>
      </c>
      <c r="P181" s="26" t="n">
        <v>5</v>
      </c>
      <c r="Q181" s="28" t="n">
        <v>100</v>
      </c>
      <c r="R181" s="26" t="n">
        <v>30</v>
      </c>
      <c r="S181" s="26" t="n">
        <v>0</v>
      </c>
      <c r="T181" s="28" t="n">
        <v>1</v>
      </c>
      <c r="U181" s="26" t="n">
        <v>0</v>
      </c>
      <c r="V181" s="26" t="n">
        <v>0</v>
      </c>
      <c r="W181" s="22" t="s">
        <v>16</v>
      </c>
      <c r="X181" s="22" t="s">
        <v>293</v>
      </c>
    </row>
    <row r="182" customFormat="false" ht="15" hidden="false" customHeight="false" outlineLevel="0" collapsed="false">
      <c r="A182" s="22" t="s">
        <v>990</v>
      </c>
      <c r="B182" s="22" t="s">
        <v>16</v>
      </c>
      <c r="C182" s="22" t="s">
        <v>991</v>
      </c>
      <c r="D182" s="22" t="s">
        <v>992</v>
      </c>
      <c r="E182" s="22" t="s">
        <v>993</v>
      </c>
      <c r="F182" s="22" t="n">
        <v>9</v>
      </c>
      <c r="G182" s="26" t="n">
        <v>51.04</v>
      </c>
      <c r="H182" s="26" t="n">
        <v>62.56</v>
      </c>
      <c r="I182" s="26" t="n">
        <v>74.08</v>
      </c>
      <c r="J182" s="26" t="n">
        <v>85.6</v>
      </c>
      <c r="K182" s="26" t="n">
        <v>97.12</v>
      </c>
      <c r="L182" s="26" t="n">
        <v>1.53</v>
      </c>
      <c r="M182" s="27" t="n">
        <v>0.005</v>
      </c>
      <c r="N182" s="27" t="n">
        <v>0.002</v>
      </c>
      <c r="O182" s="26" t="n">
        <v>5</v>
      </c>
      <c r="P182" s="26" t="n">
        <v>5</v>
      </c>
      <c r="Q182" s="28" t="n">
        <v>100</v>
      </c>
      <c r="R182" s="26" t="n">
        <v>30</v>
      </c>
      <c r="S182" s="26" t="n">
        <v>0</v>
      </c>
      <c r="T182" s="28" t="n">
        <v>1</v>
      </c>
      <c r="U182" s="26" t="n">
        <v>0</v>
      </c>
      <c r="V182" s="26" t="n">
        <v>0</v>
      </c>
      <c r="W182" s="22" t="s">
        <v>16</v>
      </c>
      <c r="X182" s="22" t="s">
        <v>293</v>
      </c>
    </row>
    <row r="183" customFormat="false" ht="15" hidden="false" customHeight="false" outlineLevel="0" collapsed="false">
      <c r="A183" s="22" t="s">
        <v>994</v>
      </c>
      <c r="B183" s="22" t="s">
        <v>16</v>
      </c>
      <c r="C183" s="22" t="s">
        <v>995</v>
      </c>
      <c r="D183" s="22" t="s">
        <v>996</v>
      </c>
      <c r="E183" s="22" t="s">
        <v>997</v>
      </c>
      <c r="F183" s="22" t="n">
        <v>9</v>
      </c>
      <c r="G183" s="26" t="n">
        <v>51.04</v>
      </c>
      <c r="H183" s="26" t="n">
        <v>62.56</v>
      </c>
      <c r="I183" s="26" t="n">
        <v>74.08</v>
      </c>
      <c r="J183" s="26" t="n">
        <v>85.6</v>
      </c>
      <c r="K183" s="26" t="n">
        <v>97.12</v>
      </c>
      <c r="L183" s="26" t="n">
        <v>1.53</v>
      </c>
      <c r="M183" s="27" t="n">
        <v>0.005</v>
      </c>
      <c r="N183" s="27" t="n">
        <v>0.002</v>
      </c>
      <c r="O183" s="26" t="n">
        <v>5</v>
      </c>
      <c r="P183" s="26" t="n">
        <v>5</v>
      </c>
      <c r="Q183" s="28" t="n">
        <v>100</v>
      </c>
      <c r="R183" s="26" t="n">
        <v>30</v>
      </c>
      <c r="S183" s="26" t="n">
        <v>0</v>
      </c>
      <c r="T183" s="28" t="n">
        <v>1</v>
      </c>
      <c r="U183" s="26" t="n">
        <v>0</v>
      </c>
      <c r="V183" s="26" t="n">
        <v>0</v>
      </c>
      <c r="W183" s="22" t="s">
        <v>16</v>
      </c>
      <c r="X183" s="22" t="s">
        <v>293</v>
      </c>
    </row>
    <row r="184" customFormat="false" ht="15" hidden="false" customHeight="false" outlineLevel="0" collapsed="false">
      <c r="A184" s="22" t="s">
        <v>998</v>
      </c>
      <c r="B184" s="22" t="s">
        <v>16</v>
      </c>
      <c r="C184" s="22" t="s">
        <v>999</v>
      </c>
      <c r="D184" s="22" t="s">
        <v>1000</v>
      </c>
      <c r="E184" s="22" t="s">
        <v>1001</v>
      </c>
      <c r="F184" s="22" t="n">
        <v>9</v>
      </c>
      <c r="G184" s="26" t="n">
        <v>51.04</v>
      </c>
      <c r="H184" s="26" t="n">
        <v>62.56</v>
      </c>
      <c r="I184" s="26" t="n">
        <v>74.08</v>
      </c>
      <c r="J184" s="26" t="n">
        <v>85.6</v>
      </c>
      <c r="K184" s="26" t="n">
        <v>97.12</v>
      </c>
      <c r="L184" s="26" t="n">
        <v>1.53</v>
      </c>
      <c r="M184" s="27" t="n">
        <v>0.005</v>
      </c>
      <c r="N184" s="27" t="n">
        <v>0.002</v>
      </c>
      <c r="O184" s="26" t="n">
        <v>5</v>
      </c>
      <c r="P184" s="26" t="n">
        <v>5</v>
      </c>
      <c r="Q184" s="28" t="n">
        <v>100</v>
      </c>
      <c r="R184" s="26" t="n">
        <v>30</v>
      </c>
      <c r="S184" s="26" t="n">
        <v>0</v>
      </c>
      <c r="T184" s="28" t="n">
        <v>1</v>
      </c>
      <c r="U184" s="26" t="n">
        <v>0</v>
      </c>
      <c r="V184" s="26" t="n">
        <v>0</v>
      </c>
      <c r="W184" s="22" t="s">
        <v>16</v>
      </c>
      <c r="X184" s="22" t="s">
        <v>293</v>
      </c>
    </row>
    <row r="185" customFormat="false" ht="15" hidden="false" customHeight="false" outlineLevel="0" collapsed="false">
      <c r="A185" s="22" t="s">
        <v>1002</v>
      </c>
      <c r="B185" s="22" t="s">
        <v>16</v>
      </c>
      <c r="C185" s="22" t="s">
        <v>1003</v>
      </c>
      <c r="D185" s="22" t="s">
        <v>1004</v>
      </c>
      <c r="E185" s="22" t="s">
        <v>1005</v>
      </c>
      <c r="F185" s="22" t="n">
        <v>9</v>
      </c>
      <c r="G185" s="26" t="n">
        <v>51.04</v>
      </c>
      <c r="H185" s="26" t="n">
        <v>62.56</v>
      </c>
      <c r="I185" s="26" t="n">
        <v>74.08</v>
      </c>
      <c r="J185" s="26" t="n">
        <v>85.6</v>
      </c>
      <c r="K185" s="26" t="n">
        <v>97.12</v>
      </c>
      <c r="L185" s="26" t="n">
        <v>1.53</v>
      </c>
      <c r="M185" s="27" t="n">
        <v>0.005</v>
      </c>
      <c r="N185" s="27" t="n">
        <v>0.002</v>
      </c>
      <c r="O185" s="26" t="n">
        <v>5</v>
      </c>
      <c r="P185" s="26" t="n">
        <v>5</v>
      </c>
      <c r="Q185" s="28" t="n">
        <v>100</v>
      </c>
      <c r="R185" s="26" t="n">
        <v>30</v>
      </c>
      <c r="S185" s="26" t="n">
        <v>0</v>
      </c>
      <c r="T185" s="28" t="n">
        <v>1</v>
      </c>
      <c r="U185" s="26" t="n">
        <v>0</v>
      </c>
      <c r="V185" s="26" t="n">
        <v>0</v>
      </c>
      <c r="W185" s="22" t="s">
        <v>16</v>
      </c>
      <c r="X185" s="22" t="s">
        <v>293</v>
      </c>
    </row>
    <row r="186" customFormat="false" ht="15" hidden="false" customHeight="false" outlineLevel="0" collapsed="false">
      <c r="A186" s="22" t="s">
        <v>1006</v>
      </c>
      <c r="B186" s="22" t="s">
        <v>16</v>
      </c>
      <c r="C186" s="22" t="s">
        <v>1007</v>
      </c>
      <c r="D186" s="22" t="s">
        <v>1008</v>
      </c>
      <c r="E186" s="22" t="s">
        <v>1009</v>
      </c>
      <c r="F186" s="22" t="n">
        <v>9</v>
      </c>
      <c r="G186" s="26" t="n">
        <v>51.04</v>
      </c>
      <c r="H186" s="26" t="n">
        <v>62.56</v>
      </c>
      <c r="I186" s="26" t="n">
        <v>74.08</v>
      </c>
      <c r="J186" s="26" t="n">
        <v>85.6</v>
      </c>
      <c r="K186" s="26" t="n">
        <v>97.12</v>
      </c>
      <c r="L186" s="26" t="n">
        <v>1.53</v>
      </c>
      <c r="M186" s="27" t="n">
        <v>0.005</v>
      </c>
      <c r="N186" s="27" t="n">
        <v>0.002</v>
      </c>
      <c r="O186" s="26" t="n">
        <v>5</v>
      </c>
      <c r="P186" s="26" t="n">
        <v>5</v>
      </c>
      <c r="Q186" s="28" t="n">
        <v>100</v>
      </c>
      <c r="R186" s="26" t="n">
        <v>30</v>
      </c>
      <c r="S186" s="26" t="n">
        <v>0</v>
      </c>
      <c r="T186" s="28" t="n">
        <v>1</v>
      </c>
      <c r="U186" s="26" t="n">
        <v>0</v>
      </c>
      <c r="V186" s="26" t="n">
        <v>0</v>
      </c>
      <c r="W186" s="22" t="s">
        <v>16</v>
      </c>
      <c r="X186" s="22" t="s">
        <v>293</v>
      </c>
    </row>
    <row r="187" customFormat="false" ht="15" hidden="false" customHeight="false" outlineLevel="0" collapsed="false">
      <c r="A187" s="22" t="s">
        <v>1010</v>
      </c>
      <c r="B187" s="22" t="s">
        <v>16</v>
      </c>
      <c r="C187" s="22" t="s">
        <v>1011</v>
      </c>
      <c r="D187" s="22" t="s">
        <v>1012</v>
      </c>
      <c r="E187" s="22" t="s">
        <v>1013</v>
      </c>
      <c r="F187" s="22" t="n">
        <v>6</v>
      </c>
      <c r="G187" s="26" t="n">
        <v>51.04</v>
      </c>
      <c r="H187" s="26" t="n">
        <v>62.56</v>
      </c>
      <c r="I187" s="26" t="n">
        <v>74.08</v>
      </c>
      <c r="J187" s="26" t="n">
        <v>85.6</v>
      </c>
      <c r="K187" s="26" t="n">
        <v>97.12</v>
      </c>
      <c r="L187" s="26" t="n">
        <v>1.53</v>
      </c>
      <c r="M187" s="27" t="n">
        <v>0.005</v>
      </c>
      <c r="N187" s="27" t="n">
        <v>0.002</v>
      </c>
      <c r="O187" s="26" t="n">
        <v>5</v>
      </c>
      <c r="P187" s="26" t="n">
        <v>5</v>
      </c>
      <c r="Q187" s="28" t="n">
        <v>100</v>
      </c>
      <c r="R187" s="26" t="n">
        <v>30</v>
      </c>
      <c r="S187" s="26" t="n">
        <v>0</v>
      </c>
      <c r="T187" s="28" t="n">
        <v>1</v>
      </c>
      <c r="U187" s="26" t="n">
        <v>0</v>
      </c>
      <c r="V187" s="26" t="n">
        <v>0</v>
      </c>
      <c r="W187" s="22" t="s">
        <v>16</v>
      </c>
      <c r="X187" s="22" t="s">
        <v>293</v>
      </c>
    </row>
    <row r="188" customFormat="false" ht="15" hidden="false" customHeight="false" outlineLevel="0" collapsed="false">
      <c r="A188" s="22" t="s">
        <v>1014</v>
      </c>
      <c r="B188" s="22" t="s">
        <v>16</v>
      </c>
      <c r="C188" s="22" t="s">
        <v>1015</v>
      </c>
      <c r="D188" s="22" t="s">
        <v>1016</v>
      </c>
      <c r="E188" s="22" t="s">
        <v>1017</v>
      </c>
      <c r="F188" s="22" t="n">
        <v>9</v>
      </c>
      <c r="G188" s="26" t="n">
        <v>51.04</v>
      </c>
      <c r="H188" s="26" t="n">
        <v>62.56</v>
      </c>
      <c r="I188" s="26" t="n">
        <v>74.08</v>
      </c>
      <c r="J188" s="26" t="n">
        <v>85.6</v>
      </c>
      <c r="K188" s="26" t="n">
        <v>97.12</v>
      </c>
      <c r="L188" s="26" t="n">
        <v>1.53</v>
      </c>
      <c r="M188" s="27" t="n">
        <v>0.005</v>
      </c>
      <c r="N188" s="27" t="n">
        <v>0.002</v>
      </c>
      <c r="O188" s="26" t="n">
        <v>5</v>
      </c>
      <c r="P188" s="26" t="n">
        <v>5</v>
      </c>
      <c r="Q188" s="28" t="n">
        <v>100</v>
      </c>
      <c r="R188" s="26" t="n">
        <v>30</v>
      </c>
      <c r="S188" s="26" t="n">
        <v>0</v>
      </c>
      <c r="T188" s="28" t="n">
        <v>1</v>
      </c>
      <c r="U188" s="26" t="n">
        <v>0</v>
      </c>
      <c r="V188" s="26" t="n">
        <v>0</v>
      </c>
      <c r="W188" s="22" t="s">
        <v>16</v>
      </c>
      <c r="X188" s="22" t="s">
        <v>293</v>
      </c>
    </row>
    <row r="189" customFormat="false" ht="15" hidden="false" customHeight="false" outlineLevel="0" collapsed="false">
      <c r="A189" s="22" t="s">
        <v>1018</v>
      </c>
      <c r="B189" s="22" t="s">
        <v>16</v>
      </c>
      <c r="C189" s="22" t="s">
        <v>1019</v>
      </c>
      <c r="D189" s="22" t="s">
        <v>1020</v>
      </c>
      <c r="E189" s="22" t="s">
        <v>1021</v>
      </c>
      <c r="F189" s="22" t="n">
        <v>9</v>
      </c>
      <c r="G189" s="26" t="n">
        <v>51.04</v>
      </c>
      <c r="H189" s="26" t="n">
        <v>62.56</v>
      </c>
      <c r="I189" s="26" t="n">
        <v>74.08</v>
      </c>
      <c r="J189" s="26" t="n">
        <v>85.6</v>
      </c>
      <c r="K189" s="26" t="n">
        <v>97.12</v>
      </c>
      <c r="L189" s="26" t="n">
        <v>1.53</v>
      </c>
      <c r="M189" s="27" t="n">
        <v>0.005</v>
      </c>
      <c r="N189" s="27" t="n">
        <v>0.002</v>
      </c>
      <c r="O189" s="26" t="n">
        <v>5</v>
      </c>
      <c r="P189" s="26" t="n">
        <v>5</v>
      </c>
      <c r="Q189" s="28" t="n">
        <v>100</v>
      </c>
      <c r="R189" s="26" t="n">
        <v>30</v>
      </c>
      <c r="S189" s="26" t="n">
        <v>0</v>
      </c>
      <c r="T189" s="28" t="n">
        <v>1</v>
      </c>
      <c r="U189" s="26" t="n">
        <v>0</v>
      </c>
      <c r="V189" s="26" t="n">
        <v>0</v>
      </c>
      <c r="W189" s="22" t="s">
        <v>16</v>
      </c>
      <c r="X189" s="22" t="s">
        <v>293</v>
      </c>
    </row>
    <row r="190" customFormat="false" ht="15" hidden="false" customHeight="false" outlineLevel="0" collapsed="false">
      <c r="A190" s="22" t="s">
        <v>1022</v>
      </c>
      <c r="B190" s="22" t="s">
        <v>16</v>
      </c>
      <c r="C190" s="22" t="s">
        <v>1023</v>
      </c>
      <c r="D190" s="22" t="s">
        <v>1024</v>
      </c>
      <c r="E190" s="22" t="s">
        <v>1025</v>
      </c>
      <c r="F190" s="22" t="n">
        <v>9</v>
      </c>
      <c r="G190" s="26" t="n">
        <v>51.04</v>
      </c>
      <c r="H190" s="26" t="n">
        <v>62.56</v>
      </c>
      <c r="I190" s="26" t="n">
        <v>74.08</v>
      </c>
      <c r="J190" s="26" t="n">
        <v>85.6</v>
      </c>
      <c r="K190" s="26" t="n">
        <v>97.12</v>
      </c>
      <c r="L190" s="26" t="n">
        <v>1.53</v>
      </c>
      <c r="M190" s="27" t="n">
        <v>0.005</v>
      </c>
      <c r="N190" s="27" t="n">
        <v>0.002</v>
      </c>
      <c r="O190" s="26" t="n">
        <v>5</v>
      </c>
      <c r="P190" s="26" t="n">
        <v>5</v>
      </c>
      <c r="Q190" s="28" t="n">
        <v>100</v>
      </c>
      <c r="R190" s="26" t="n">
        <v>30</v>
      </c>
      <c r="S190" s="26" t="n">
        <v>0</v>
      </c>
      <c r="T190" s="28" t="n">
        <v>1</v>
      </c>
      <c r="U190" s="26" t="n">
        <v>0</v>
      </c>
      <c r="V190" s="26" t="n">
        <v>0</v>
      </c>
      <c r="W190" s="22" t="s">
        <v>16</v>
      </c>
      <c r="X190" s="22" t="s">
        <v>293</v>
      </c>
    </row>
    <row r="191" customFormat="false" ht="15" hidden="false" customHeight="false" outlineLevel="0" collapsed="false">
      <c r="A191" s="22" t="s">
        <v>1026</v>
      </c>
      <c r="B191" s="22" t="s">
        <v>16</v>
      </c>
      <c r="C191" s="22" t="s">
        <v>1027</v>
      </c>
      <c r="D191" s="22" t="s">
        <v>1028</v>
      </c>
      <c r="E191" s="22" t="s">
        <v>1029</v>
      </c>
      <c r="F191" s="22" t="n">
        <v>9</v>
      </c>
      <c r="G191" s="26" t="n">
        <v>51.04</v>
      </c>
      <c r="H191" s="26" t="n">
        <v>62.56</v>
      </c>
      <c r="I191" s="26" t="n">
        <v>74.08</v>
      </c>
      <c r="J191" s="26" t="n">
        <v>85.6</v>
      </c>
      <c r="K191" s="26" t="n">
        <v>97.12</v>
      </c>
      <c r="L191" s="26" t="n">
        <v>1.53</v>
      </c>
      <c r="M191" s="27" t="n">
        <v>0.005</v>
      </c>
      <c r="N191" s="27" t="n">
        <v>0.002</v>
      </c>
      <c r="O191" s="26" t="n">
        <v>5</v>
      </c>
      <c r="P191" s="26" t="n">
        <v>5</v>
      </c>
      <c r="Q191" s="28" t="n">
        <v>100</v>
      </c>
      <c r="R191" s="26" t="n">
        <v>30</v>
      </c>
      <c r="S191" s="26" t="n">
        <v>0</v>
      </c>
      <c r="T191" s="28" t="n">
        <v>1</v>
      </c>
      <c r="U191" s="26" t="n">
        <v>0</v>
      </c>
      <c r="V191" s="26" t="n">
        <v>0</v>
      </c>
      <c r="W191" s="22" t="s">
        <v>16</v>
      </c>
      <c r="X191" s="22" t="s">
        <v>293</v>
      </c>
    </row>
    <row r="192" customFormat="false" ht="15" hidden="false" customHeight="false" outlineLevel="0" collapsed="false">
      <c r="A192" s="22" t="s">
        <v>1030</v>
      </c>
      <c r="B192" s="22" t="s">
        <v>16</v>
      </c>
      <c r="C192" s="22" t="s">
        <v>1031</v>
      </c>
      <c r="D192" s="22" t="s">
        <v>1032</v>
      </c>
      <c r="E192" s="22" t="s">
        <v>1033</v>
      </c>
      <c r="F192" s="22" t="n">
        <v>9</v>
      </c>
      <c r="G192" s="26" t="n">
        <v>51.04</v>
      </c>
      <c r="H192" s="26" t="n">
        <v>62.56</v>
      </c>
      <c r="I192" s="26" t="n">
        <v>74.08</v>
      </c>
      <c r="J192" s="26" t="n">
        <v>85.6</v>
      </c>
      <c r="K192" s="26" t="n">
        <v>97.12</v>
      </c>
      <c r="L192" s="26" t="n">
        <v>1.53</v>
      </c>
      <c r="M192" s="27" t="n">
        <v>0.005</v>
      </c>
      <c r="N192" s="27" t="n">
        <v>0.002</v>
      </c>
      <c r="O192" s="26" t="n">
        <v>5</v>
      </c>
      <c r="P192" s="26" t="n">
        <v>5</v>
      </c>
      <c r="Q192" s="28" t="n">
        <v>100</v>
      </c>
      <c r="R192" s="26" t="n">
        <v>30</v>
      </c>
      <c r="S192" s="26" t="n">
        <v>0</v>
      </c>
      <c r="T192" s="28" t="n">
        <v>1</v>
      </c>
      <c r="U192" s="26" t="n">
        <v>0</v>
      </c>
      <c r="V192" s="26" t="n">
        <v>0</v>
      </c>
      <c r="W192" s="22" t="s">
        <v>16</v>
      </c>
      <c r="X192" s="22" t="s">
        <v>293</v>
      </c>
    </row>
    <row r="193" customFormat="false" ht="15" hidden="false" customHeight="false" outlineLevel="0" collapsed="false">
      <c r="A193" s="22" t="s">
        <v>1034</v>
      </c>
      <c r="B193" s="22" t="s">
        <v>16</v>
      </c>
      <c r="C193" s="22" t="s">
        <v>1035</v>
      </c>
      <c r="D193" s="22" t="s">
        <v>1036</v>
      </c>
      <c r="E193" s="22" t="s">
        <v>1037</v>
      </c>
      <c r="F193" s="22" t="n">
        <v>9</v>
      </c>
      <c r="G193" s="26" t="n">
        <v>51.04</v>
      </c>
      <c r="H193" s="26" t="n">
        <v>62.56</v>
      </c>
      <c r="I193" s="26" t="n">
        <v>74.08</v>
      </c>
      <c r="J193" s="26" t="n">
        <v>85.6</v>
      </c>
      <c r="K193" s="26" t="n">
        <v>97.12</v>
      </c>
      <c r="L193" s="26" t="n">
        <v>1.53</v>
      </c>
      <c r="M193" s="27" t="n">
        <v>0.005</v>
      </c>
      <c r="N193" s="27" t="n">
        <v>0.002</v>
      </c>
      <c r="O193" s="26" t="n">
        <v>5</v>
      </c>
      <c r="P193" s="26" t="n">
        <v>5</v>
      </c>
      <c r="Q193" s="28" t="n">
        <v>100</v>
      </c>
      <c r="R193" s="26" t="n">
        <v>30</v>
      </c>
      <c r="S193" s="26" t="n">
        <v>0</v>
      </c>
      <c r="T193" s="28" t="n">
        <v>1</v>
      </c>
      <c r="U193" s="26" t="n">
        <v>0</v>
      </c>
      <c r="V193" s="26" t="n">
        <v>0</v>
      </c>
      <c r="W193" s="22" t="s">
        <v>16</v>
      </c>
      <c r="X193" s="22" t="s">
        <v>293</v>
      </c>
    </row>
    <row r="194" customFormat="false" ht="15" hidden="false" customHeight="false" outlineLevel="0" collapsed="false">
      <c r="A194" s="22" t="s">
        <v>1038</v>
      </c>
      <c r="B194" s="22" t="s">
        <v>16</v>
      </c>
      <c r="C194" s="22" t="s">
        <v>1039</v>
      </c>
      <c r="D194" s="22" t="s">
        <v>1040</v>
      </c>
      <c r="E194" s="22" t="s">
        <v>1041</v>
      </c>
      <c r="F194" s="22" t="n">
        <v>9</v>
      </c>
      <c r="G194" s="26" t="n">
        <v>51.04</v>
      </c>
      <c r="H194" s="26" t="n">
        <v>62.56</v>
      </c>
      <c r="I194" s="26" t="n">
        <v>74.08</v>
      </c>
      <c r="J194" s="26" t="n">
        <v>85.6</v>
      </c>
      <c r="K194" s="26" t="n">
        <v>97.12</v>
      </c>
      <c r="L194" s="26" t="n">
        <v>1.53</v>
      </c>
      <c r="M194" s="27" t="n">
        <v>0.005</v>
      </c>
      <c r="N194" s="27" t="n">
        <v>0.002</v>
      </c>
      <c r="O194" s="26" t="n">
        <v>5</v>
      </c>
      <c r="P194" s="26" t="n">
        <v>5</v>
      </c>
      <c r="Q194" s="28" t="n">
        <v>100</v>
      </c>
      <c r="R194" s="26" t="n">
        <v>30</v>
      </c>
      <c r="S194" s="26" t="n">
        <v>0</v>
      </c>
      <c r="T194" s="28" t="n">
        <v>1</v>
      </c>
      <c r="U194" s="26" t="n">
        <v>0</v>
      </c>
      <c r="V194" s="26" t="n">
        <v>0</v>
      </c>
      <c r="W194" s="22" t="s">
        <v>16</v>
      </c>
      <c r="X194" s="22" t="s">
        <v>293</v>
      </c>
    </row>
    <row r="195" customFormat="false" ht="15" hidden="false" customHeight="false" outlineLevel="0" collapsed="false">
      <c r="A195" s="22" t="s">
        <v>1042</v>
      </c>
      <c r="B195" s="22" t="s">
        <v>16</v>
      </c>
      <c r="C195" s="22" t="s">
        <v>1043</v>
      </c>
      <c r="D195" s="22" t="s">
        <v>1044</v>
      </c>
      <c r="E195" s="22" t="s">
        <v>1045</v>
      </c>
      <c r="F195" s="22" t="n">
        <v>9</v>
      </c>
      <c r="G195" s="26" t="n">
        <v>51.04</v>
      </c>
      <c r="H195" s="26" t="n">
        <v>62.56</v>
      </c>
      <c r="I195" s="26" t="n">
        <v>74.08</v>
      </c>
      <c r="J195" s="26" t="n">
        <v>85.6</v>
      </c>
      <c r="K195" s="26" t="n">
        <v>97.12</v>
      </c>
      <c r="L195" s="26" t="n">
        <v>1.53</v>
      </c>
      <c r="M195" s="27" t="n">
        <v>0.005</v>
      </c>
      <c r="N195" s="27" t="n">
        <v>0.002</v>
      </c>
      <c r="O195" s="26" t="n">
        <v>5</v>
      </c>
      <c r="P195" s="26" t="n">
        <v>5</v>
      </c>
      <c r="Q195" s="28" t="n">
        <v>100</v>
      </c>
      <c r="R195" s="26" t="n">
        <v>30</v>
      </c>
      <c r="S195" s="26" t="n">
        <v>0</v>
      </c>
      <c r="T195" s="28" t="n">
        <v>1</v>
      </c>
      <c r="U195" s="26" t="n">
        <v>0</v>
      </c>
      <c r="V195" s="26" t="n">
        <v>0</v>
      </c>
      <c r="W195" s="22" t="s">
        <v>16</v>
      </c>
      <c r="X195" s="22" t="s">
        <v>293</v>
      </c>
    </row>
    <row r="196" customFormat="false" ht="15" hidden="false" customHeight="false" outlineLevel="0" collapsed="false">
      <c r="A196" s="22" t="s">
        <v>1046</v>
      </c>
      <c r="B196" s="22" t="s">
        <v>16</v>
      </c>
      <c r="C196" s="22" t="s">
        <v>1047</v>
      </c>
      <c r="D196" s="22" t="s">
        <v>1048</v>
      </c>
      <c r="E196" s="22" t="s">
        <v>1049</v>
      </c>
      <c r="F196" s="22" t="n">
        <v>12</v>
      </c>
      <c r="G196" s="26" t="n">
        <v>51.04</v>
      </c>
      <c r="H196" s="26" t="n">
        <v>62.56</v>
      </c>
      <c r="I196" s="26" t="n">
        <v>74.08</v>
      </c>
      <c r="J196" s="26" t="n">
        <v>85.6</v>
      </c>
      <c r="K196" s="26" t="n">
        <v>97.12</v>
      </c>
      <c r="L196" s="26" t="n">
        <v>1.53</v>
      </c>
      <c r="M196" s="27" t="n">
        <v>0.005</v>
      </c>
      <c r="N196" s="27" t="n">
        <v>0.002</v>
      </c>
      <c r="O196" s="26" t="n">
        <v>5</v>
      </c>
      <c r="P196" s="26" t="n">
        <v>5</v>
      </c>
      <c r="Q196" s="28" t="n">
        <v>100</v>
      </c>
      <c r="R196" s="26" t="n">
        <v>30</v>
      </c>
      <c r="S196" s="26" t="n">
        <v>0</v>
      </c>
      <c r="T196" s="28" t="n">
        <v>1</v>
      </c>
      <c r="U196" s="26" t="n">
        <v>0</v>
      </c>
      <c r="V196" s="26" t="n">
        <v>0</v>
      </c>
      <c r="W196" s="22" t="s">
        <v>16</v>
      </c>
      <c r="X196" s="22" t="s">
        <v>293</v>
      </c>
    </row>
    <row r="197" customFormat="false" ht="15" hidden="false" customHeight="false" outlineLevel="0" collapsed="false">
      <c r="A197" s="22" t="s">
        <v>1050</v>
      </c>
      <c r="B197" s="22" t="s">
        <v>16</v>
      </c>
      <c r="C197" s="22" t="s">
        <v>1051</v>
      </c>
      <c r="D197" s="22" t="s">
        <v>1052</v>
      </c>
      <c r="E197" s="22" t="s">
        <v>1053</v>
      </c>
      <c r="F197" s="22" t="n">
        <v>9</v>
      </c>
      <c r="G197" s="26" t="n">
        <v>51.04</v>
      </c>
      <c r="H197" s="26" t="n">
        <v>62.56</v>
      </c>
      <c r="I197" s="26" t="n">
        <v>74.08</v>
      </c>
      <c r="J197" s="26" t="n">
        <v>85.6</v>
      </c>
      <c r="K197" s="26" t="n">
        <v>97.12</v>
      </c>
      <c r="L197" s="26" t="n">
        <v>1.53</v>
      </c>
      <c r="M197" s="27" t="n">
        <v>0.005</v>
      </c>
      <c r="N197" s="27" t="n">
        <v>0.002</v>
      </c>
      <c r="O197" s="26" t="n">
        <v>5</v>
      </c>
      <c r="P197" s="26" t="n">
        <v>5</v>
      </c>
      <c r="Q197" s="28" t="n">
        <v>100</v>
      </c>
      <c r="R197" s="26" t="n">
        <v>30</v>
      </c>
      <c r="S197" s="26" t="n">
        <v>0</v>
      </c>
      <c r="T197" s="28" t="n">
        <v>1</v>
      </c>
      <c r="U197" s="26" t="n">
        <v>0</v>
      </c>
      <c r="V197" s="26" t="n">
        <v>0</v>
      </c>
      <c r="W197" s="22" t="s">
        <v>16</v>
      </c>
      <c r="X197" s="22" t="s">
        <v>293</v>
      </c>
    </row>
    <row r="198" customFormat="false" ht="15" hidden="false" customHeight="false" outlineLevel="0" collapsed="false">
      <c r="A198" s="22" t="s">
        <v>1054</v>
      </c>
      <c r="B198" s="22" t="s">
        <v>16</v>
      </c>
      <c r="C198" s="22" t="s">
        <v>1055</v>
      </c>
      <c r="D198" s="22" t="s">
        <v>1056</v>
      </c>
      <c r="E198" s="22" t="s">
        <v>1057</v>
      </c>
      <c r="F198" s="22" t="n">
        <v>9</v>
      </c>
      <c r="G198" s="26" t="n">
        <v>51.04</v>
      </c>
      <c r="H198" s="26" t="n">
        <v>62.56</v>
      </c>
      <c r="I198" s="26" t="n">
        <v>74.08</v>
      </c>
      <c r="J198" s="26" t="n">
        <v>85.6</v>
      </c>
      <c r="K198" s="26" t="n">
        <v>97.12</v>
      </c>
      <c r="L198" s="26" t="n">
        <v>1.53</v>
      </c>
      <c r="M198" s="27" t="n">
        <v>0.005</v>
      </c>
      <c r="N198" s="27" t="n">
        <v>0.002</v>
      </c>
      <c r="O198" s="26" t="n">
        <v>5</v>
      </c>
      <c r="P198" s="26" t="n">
        <v>5</v>
      </c>
      <c r="Q198" s="28" t="n">
        <v>100</v>
      </c>
      <c r="R198" s="26" t="n">
        <v>30</v>
      </c>
      <c r="S198" s="26" t="n">
        <v>0</v>
      </c>
      <c r="T198" s="28" t="n">
        <v>1</v>
      </c>
      <c r="U198" s="26" t="n">
        <v>0</v>
      </c>
      <c r="V198" s="26" t="n">
        <v>250</v>
      </c>
      <c r="W198" s="22" t="s">
        <v>16</v>
      </c>
      <c r="X198" s="22" t="s">
        <v>293</v>
      </c>
    </row>
    <row r="199" customFormat="false" ht="15" hidden="false" customHeight="false" outlineLevel="0" collapsed="false">
      <c r="A199" s="22" t="s">
        <v>1058</v>
      </c>
      <c r="B199" s="22" t="s">
        <v>16</v>
      </c>
      <c r="C199" s="22" t="s">
        <v>1059</v>
      </c>
      <c r="D199" s="22" t="s">
        <v>1060</v>
      </c>
      <c r="E199" s="22" t="s">
        <v>1061</v>
      </c>
      <c r="F199" s="22" t="n">
        <v>9</v>
      </c>
      <c r="G199" s="26" t="n">
        <v>51.04</v>
      </c>
      <c r="H199" s="26" t="n">
        <v>62.56</v>
      </c>
      <c r="I199" s="26" t="n">
        <v>74.08</v>
      </c>
      <c r="J199" s="26" t="n">
        <v>85.6</v>
      </c>
      <c r="K199" s="26" t="n">
        <v>97.12</v>
      </c>
      <c r="L199" s="26" t="n">
        <v>1.53</v>
      </c>
      <c r="M199" s="27" t="n">
        <v>0.005</v>
      </c>
      <c r="N199" s="27" t="n">
        <v>0.002</v>
      </c>
      <c r="O199" s="26" t="n">
        <v>5</v>
      </c>
      <c r="P199" s="26" t="n">
        <v>5</v>
      </c>
      <c r="Q199" s="28" t="n">
        <v>100</v>
      </c>
      <c r="R199" s="26" t="n">
        <v>30</v>
      </c>
      <c r="S199" s="26" t="n">
        <v>0</v>
      </c>
      <c r="T199" s="28" t="n">
        <v>1</v>
      </c>
      <c r="U199" s="26" t="n">
        <v>0</v>
      </c>
      <c r="V199" s="26" t="n">
        <v>0</v>
      </c>
      <c r="W199" s="22" t="s">
        <v>16</v>
      </c>
      <c r="X199" s="22" t="s">
        <v>293</v>
      </c>
    </row>
    <row r="200" customFormat="false" ht="15" hidden="false" customHeight="false" outlineLevel="0" collapsed="false">
      <c r="A200" s="22" t="s">
        <v>1062</v>
      </c>
      <c r="B200" s="22" t="s">
        <v>16</v>
      </c>
      <c r="C200" s="22" t="s">
        <v>1063</v>
      </c>
      <c r="D200" s="22" t="s">
        <v>1064</v>
      </c>
      <c r="E200" s="22" t="s">
        <v>1065</v>
      </c>
      <c r="F200" s="22" t="n">
        <v>9</v>
      </c>
      <c r="G200" s="26" t="n">
        <v>51.04</v>
      </c>
      <c r="H200" s="26" t="n">
        <v>62.56</v>
      </c>
      <c r="I200" s="26" t="n">
        <v>74.08</v>
      </c>
      <c r="J200" s="26" t="n">
        <v>85.6</v>
      </c>
      <c r="K200" s="26" t="n">
        <v>97.12</v>
      </c>
      <c r="L200" s="26" t="n">
        <v>1.53</v>
      </c>
      <c r="M200" s="27" t="n">
        <v>0.005</v>
      </c>
      <c r="N200" s="27" t="n">
        <v>0.002</v>
      </c>
      <c r="O200" s="26" t="n">
        <v>5</v>
      </c>
      <c r="P200" s="26" t="n">
        <v>5</v>
      </c>
      <c r="Q200" s="28" t="n">
        <v>100</v>
      </c>
      <c r="R200" s="26" t="n">
        <v>30</v>
      </c>
      <c r="S200" s="26" t="n">
        <v>0</v>
      </c>
      <c r="T200" s="28" t="n">
        <v>1</v>
      </c>
      <c r="U200" s="26" t="n">
        <v>0</v>
      </c>
      <c r="V200" s="26" t="n">
        <v>0</v>
      </c>
      <c r="W200" s="22" t="s">
        <v>16</v>
      </c>
      <c r="X200" s="22" t="s">
        <v>293</v>
      </c>
    </row>
    <row r="201" customFormat="false" ht="15" hidden="false" customHeight="false" outlineLevel="0" collapsed="false">
      <c r="A201" s="22" t="s">
        <v>1066</v>
      </c>
      <c r="B201" s="22" t="s">
        <v>16</v>
      </c>
      <c r="C201" s="22" t="s">
        <v>1067</v>
      </c>
      <c r="D201" s="22" t="s">
        <v>1068</v>
      </c>
      <c r="E201" s="22" t="s">
        <v>1069</v>
      </c>
      <c r="F201" s="22" t="n">
        <v>9</v>
      </c>
      <c r="G201" s="26" t="n">
        <v>51.04</v>
      </c>
      <c r="H201" s="26" t="n">
        <v>62.56</v>
      </c>
      <c r="I201" s="26" t="n">
        <v>74.08</v>
      </c>
      <c r="J201" s="26" t="n">
        <v>85.6</v>
      </c>
      <c r="K201" s="26" t="n">
        <v>97.12</v>
      </c>
      <c r="L201" s="26" t="n">
        <v>1.53</v>
      </c>
      <c r="M201" s="27" t="n">
        <v>0.005</v>
      </c>
      <c r="N201" s="27" t="n">
        <v>0.002</v>
      </c>
      <c r="O201" s="26" t="n">
        <v>5</v>
      </c>
      <c r="P201" s="26" t="n">
        <v>5</v>
      </c>
      <c r="Q201" s="28" t="n">
        <v>100</v>
      </c>
      <c r="R201" s="26" t="n">
        <v>30</v>
      </c>
      <c r="S201" s="26" t="n">
        <v>0</v>
      </c>
      <c r="T201" s="28" t="n">
        <v>1</v>
      </c>
      <c r="U201" s="26" t="n">
        <v>0</v>
      </c>
      <c r="V201" s="26" t="n">
        <v>0</v>
      </c>
      <c r="W201" s="22" t="s">
        <v>16</v>
      </c>
      <c r="X201" s="22" t="s">
        <v>293</v>
      </c>
    </row>
    <row r="202" customFormat="false" ht="15" hidden="false" customHeight="false" outlineLevel="0" collapsed="false">
      <c r="A202" s="22" t="s">
        <v>1070</v>
      </c>
      <c r="B202" s="22" t="s">
        <v>16</v>
      </c>
      <c r="C202" s="22" t="s">
        <v>1071</v>
      </c>
      <c r="D202" s="22" t="s">
        <v>1072</v>
      </c>
      <c r="E202" s="22" t="s">
        <v>1073</v>
      </c>
      <c r="F202" s="22" t="n">
        <v>9</v>
      </c>
      <c r="G202" s="26" t="n">
        <v>51.04</v>
      </c>
      <c r="H202" s="26" t="n">
        <v>62.56</v>
      </c>
      <c r="I202" s="26" t="n">
        <v>74.08</v>
      </c>
      <c r="J202" s="26" t="n">
        <v>85.6</v>
      </c>
      <c r="K202" s="26" t="n">
        <v>97.12</v>
      </c>
      <c r="L202" s="26" t="n">
        <v>1.53</v>
      </c>
      <c r="M202" s="27" t="n">
        <v>0.005</v>
      </c>
      <c r="N202" s="27" t="n">
        <v>0.002</v>
      </c>
      <c r="O202" s="26" t="n">
        <v>5</v>
      </c>
      <c r="P202" s="26" t="n">
        <v>5</v>
      </c>
      <c r="Q202" s="28" t="n">
        <v>100</v>
      </c>
      <c r="R202" s="26" t="n">
        <v>30</v>
      </c>
      <c r="S202" s="26" t="n">
        <v>0</v>
      </c>
      <c r="T202" s="28" t="n">
        <v>1</v>
      </c>
      <c r="U202" s="26" t="n">
        <v>0</v>
      </c>
      <c r="V202" s="26" t="n">
        <v>0</v>
      </c>
      <c r="W202" s="22" t="s">
        <v>16</v>
      </c>
      <c r="X202" s="22" t="s">
        <v>293</v>
      </c>
    </row>
    <row r="203" customFormat="false" ht="15" hidden="false" customHeight="false" outlineLevel="0" collapsed="false">
      <c r="A203" s="22" t="s">
        <v>1074</v>
      </c>
      <c r="B203" s="22" t="s">
        <v>16</v>
      </c>
      <c r="C203" s="22" t="s">
        <v>1075</v>
      </c>
      <c r="D203" s="22" t="s">
        <v>1076</v>
      </c>
      <c r="E203" s="22" t="s">
        <v>1077</v>
      </c>
      <c r="F203" s="22" t="n">
        <v>9</v>
      </c>
      <c r="G203" s="26" t="n">
        <v>66.1</v>
      </c>
      <c r="H203" s="26" t="n">
        <v>77.62</v>
      </c>
      <c r="I203" s="26" t="n">
        <v>89.14</v>
      </c>
      <c r="J203" s="26" t="n">
        <v>100.65</v>
      </c>
      <c r="K203" s="26" t="n">
        <v>112.17</v>
      </c>
      <c r="L203" s="26" t="n">
        <v>1.98</v>
      </c>
      <c r="M203" s="27" t="n">
        <v>0.005</v>
      </c>
      <c r="N203" s="27" t="n">
        <v>0.002</v>
      </c>
      <c r="O203" s="26" t="n">
        <v>5</v>
      </c>
      <c r="P203" s="26" t="n">
        <v>5</v>
      </c>
      <c r="Q203" s="28" t="n">
        <v>100</v>
      </c>
      <c r="R203" s="26" t="n">
        <v>30</v>
      </c>
      <c r="S203" s="26" t="n">
        <v>0</v>
      </c>
      <c r="T203" s="28" t="n">
        <v>1</v>
      </c>
      <c r="U203" s="26" t="n">
        <v>0</v>
      </c>
      <c r="V203" s="26" t="n">
        <v>250</v>
      </c>
      <c r="W203" s="22" t="s">
        <v>16</v>
      </c>
      <c r="X203" s="22" t="s">
        <v>373</v>
      </c>
    </row>
    <row r="204" customFormat="false" ht="15" hidden="false" customHeight="false" outlineLevel="0" collapsed="false">
      <c r="A204" s="22" t="s">
        <v>1078</v>
      </c>
      <c r="B204" s="22" t="s">
        <v>16</v>
      </c>
      <c r="C204" s="22" t="s">
        <v>1079</v>
      </c>
      <c r="D204" s="22" t="s">
        <v>1080</v>
      </c>
      <c r="E204" s="22" t="s">
        <v>1081</v>
      </c>
      <c r="F204" s="22" t="n">
        <v>9</v>
      </c>
      <c r="G204" s="26" t="n">
        <v>66.1</v>
      </c>
      <c r="H204" s="26" t="n">
        <v>77.62</v>
      </c>
      <c r="I204" s="26" t="n">
        <v>89.14</v>
      </c>
      <c r="J204" s="26" t="n">
        <v>100.65</v>
      </c>
      <c r="K204" s="26" t="n">
        <v>112.17</v>
      </c>
      <c r="L204" s="26" t="n">
        <v>1.98</v>
      </c>
      <c r="M204" s="27" t="n">
        <v>0.005</v>
      </c>
      <c r="N204" s="27" t="n">
        <v>0.002</v>
      </c>
      <c r="O204" s="26" t="n">
        <v>5</v>
      </c>
      <c r="P204" s="26" t="n">
        <v>5</v>
      </c>
      <c r="Q204" s="28" t="n">
        <v>100</v>
      </c>
      <c r="R204" s="26" t="n">
        <v>30</v>
      </c>
      <c r="S204" s="26" t="n">
        <v>0</v>
      </c>
      <c r="T204" s="28" t="n">
        <v>1</v>
      </c>
      <c r="U204" s="26" t="n">
        <v>0</v>
      </c>
      <c r="V204" s="26" t="n">
        <v>250</v>
      </c>
      <c r="W204" s="22" t="s">
        <v>16</v>
      </c>
      <c r="X204" s="22" t="s">
        <v>373</v>
      </c>
    </row>
    <row r="205" customFormat="false" ht="15" hidden="false" customHeight="false" outlineLevel="0" collapsed="false">
      <c r="A205" s="22" t="s">
        <v>1082</v>
      </c>
      <c r="B205" s="22" t="s">
        <v>16</v>
      </c>
      <c r="C205" s="22" t="s">
        <v>1083</v>
      </c>
      <c r="D205" s="22" t="s">
        <v>1084</v>
      </c>
      <c r="E205" s="22" t="s">
        <v>1085</v>
      </c>
      <c r="F205" s="22" t="n">
        <v>9</v>
      </c>
      <c r="G205" s="26" t="n">
        <v>66.1</v>
      </c>
      <c r="H205" s="26" t="n">
        <v>77.62</v>
      </c>
      <c r="I205" s="26" t="n">
        <v>89.14</v>
      </c>
      <c r="J205" s="26" t="n">
        <v>100.65</v>
      </c>
      <c r="K205" s="26" t="n">
        <v>112.17</v>
      </c>
      <c r="L205" s="26" t="n">
        <v>1.98</v>
      </c>
      <c r="M205" s="27" t="n">
        <v>0.005</v>
      </c>
      <c r="N205" s="27" t="n">
        <v>0.002</v>
      </c>
      <c r="O205" s="26" t="n">
        <v>5</v>
      </c>
      <c r="P205" s="26" t="n">
        <v>5</v>
      </c>
      <c r="Q205" s="28" t="n">
        <v>100</v>
      </c>
      <c r="R205" s="26" t="n">
        <v>30</v>
      </c>
      <c r="S205" s="26" t="n">
        <v>0</v>
      </c>
      <c r="T205" s="28" t="n">
        <v>1</v>
      </c>
      <c r="U205" s="26" t="n">
        <v>0</v>
      </c>
      <c r="V205" s="26" t="n">
        <v>0</v>
      </c>
      <c r="W205" s="22" t="s">
        <v>16</v>
      </c>
      <c r="X205" s="22" t="s">
        <v>373</v>
      </c>
    </row>
    <row r="206" customFormat="false" ht="15" hidden="false" customHeight="false" outlineLevel="0" collapsed="false">
      <c r="A206" s="22" t="s">
        <v>1086</v>
      </c>
      <c r="B206" s="22" t="s">
        <v>16</v>
      </c>
      <c r="C206" s="22" t="s">
        <v>1087</v>
      </c>
      <c r="D206" s="22" t="s">
        <v>1088</v>
      </c>
      <c r="E206" s="22" t="s">
        <v>1089</v>
      </c>
      <c r="F206" s="22" t="n">
        <v>11</v>
      </c>
      <c r="G206" s="26" t="n">
        <v>66.1</v>
      </c>
      <c r="H206" s="26" t="n">
        <v>77.62</v>
      </c>
      <c r="I206" s="26" t="n">
        <v>89.14</v>
      </c>
      <c r="J206" s="26" t="n">
        <v>100.65</v>
      </c>
      <c r="K206" s="26" t="n">
        <v>112.17</v>
      </c>
      <c r="L206" s="26" t="n">
        <v>1.98</v>
      </c>
      <c r="M206" s="27" t="n">
        <v>0.005</v>
      </c>
      <c r="N206" s="27" t="n">
        <v>0.002</v>
      </c>
      <c r="O206" s="26" t="n">
        <v>5</v>
      </c>
      <c r="P206" s="26" t="n">
        <v>5</v>
      </c>
      <c r="Q206" s="28" t="n">
        <v>100</v>
      </c>
      <c r="R206" s="26" t="n">
        <v>30</v>
      </c>
      <c r="S206" s="26" t="n">
        <v>0</v>
      </c>
      <c r="T206" s="28" t="n">
        <v>1</v>
      </c>
      <c r="U206" s="26" t="n">
        <v>0</v>
      </c>
      <c r="V206" s="26" t="n">
        <v>0</v>
      </c>
      <c r="W206" s="22" t="s">
        <v>16</v>
      </c>
      <c r="X206" s="22" t="s">
        <v>373</v>
      </c>
    </row>
    <row r="207" customFormat="false" ht="15" hidden="false" customHeight="false" outlineLevel="0" collapsed="false">
      <c r="A207" s="22" t="s">
        <v>1090</v>
      </c>
      <c r="B207" s="22" t="s">
        <v>16</v>
      </c>
      <c r="C207" s="22" t="s">
        <v>1091</v>
      </c>
      <c r="D207" s="22" t="s">
        <v>1092</v>
      </c>
      <c r="E207" s="22" t="s">
        <v>1093</v>
      </c>
      <c r="F207" s="22" t="n">
        <v>11</v>
      </c>
      <c r="G207" s="26" t="n">
        <v>66.1</v>
      </c>
      <c r="H207" s="26" t="n">
        <v>77.62</v>
      </c>
      <c r="I207" s="26" t="n">
        <v>89.14</v>
      </c>
      <c r="J207" s="26" t="n">
        <v>100.65</v>
      </c>
      <c r="K207" s="26" t="n">
        <v>112.17</v>
      </c>
      <c r="L207" s="26" t="n">
        <v>1.98</v>
      </c>
      <c r="M207" s="27" t="n">
        <v>0.005</v>
      </c>
      <c r="N207" s="27" t="n">
        <v>0.002</v>
      </c>
      <c r="O207" s="26" t="n">
        <v>5</v>
      </c>
      <c r="P207" s="26" t="n">
        <v>5</v>
      </c>
      <c r="Q207" s="28" t="n">
        <v>100</v>
      </c>
      <c r="R207" s="26" t="n">
        <v>30</v>
      </c>
      <c r="S207" s="26" t="n">
        <v>0</v>
      </c>
      <c r="T207" s="28" t="n">
        <v>1</v>
      </c>
      <c r="U207" s="26" t="n">
        <v>0</v>
      </c>
      <c r="V207" s="26" t="n">
        <v>250</v>
      </c>
      <c r="W207" s="22" t="s">
        <v>16</v>
      </c>
      <c r="X207" s="22" t="s">
        <v>373</v>
      </c>
    </row>
    <row r="208" customFormat="false" ht="15" hidden="false" customHeight="false" outlineLevel="0" collapsed="false">
      <c r="A208" s="22" t="s">
        <v>1094</v>
      </c>
      <c r="B208" s="22" t="s">
        <v>16</v>
      </c>
      <c r="C208" s="22" t="s">
        <v>1095</v>
      </c>
      <c r="D208" s="22" t="s">
        <v>1096</v>
      </c>
      <c r="E208" s="22" t="s">
        <v>1097</v>
      </c>
      <c r="F208" s="22" t="n">
        <v>9</v>
      </c>
      <c r="G208" s="26" t="n">
        <v>66.1</v>
      </c>
      <c r="H208" s="26" t="n">
        <v>77.62</v>
      </c>
      <c r="I208" s="26" t="n">
        <v>89.14</v>
      </c>
      <c r="J208" s="26" t="n">
        <v>100.65</v>
      </c>
      <c r="K208" s="26" t="n">
        <v>112.17</v>
      </c>
      <c r="L208" s="26" t="n">
        <v>1.98</v>
      </c>
      <c r="M208" s="27" t="n">
        <v>0.005</v>
      </c>
      <c r="N208" s="27" t="n">
        <v>0.002</v>
      </c>
      <c r="O208" s="26" t="n">
        <v>5</v>
      </c>
      <c r="P208" s="26" t="n">
        <v>5</v>
      </c>
      <c r="Q208" s="28" t="n">
        <v>100</v>
      </c>
      <c r="R208" s="26" t="n">
        <v>30</v>
      </c>
      <c r="S208" s="26" t="n">
        <v>0</v>
      </c>
      <c r="T208" s="28" t="n">
        <v>1</v>
      </c>
      <c r="U208" s="26" t="n">
        <v>0</v>
      </c>
      <c r="V208" s="26" t="n">
        <v>0</v>
      </c>
      <c r="W208" s="22" t="s">
        <v>16</v>
      </c>
      <c r="X208" s="22" t="s">
        <v>373</v>
      </c>
    </row>
    <row r="209" customFormat="false" ht="15" hidden="false" customHeight="false" outlineLevel="0" collapsed="false">
      <c r="A209" s="22" t="s">
        <v>1098</v>
      </c>
      <c r="B209" s="22" t="s">
        <v>16</v>
      </c>
      <c r="C209" s="22" t="s">
        <v>1099</v>
      </c>
      <c r="D209" s="22" t="s">
        <v>1100</v>
      </c>
      <c r="E209" s="22" t="s">
        <v>1101</v>
      </c>
      <c r="F209" s="22" t="n">
        <v>9</v>
      </c>
      <c r="G209" s="26" t="n">
        <v>66.1</v>
      </c>
      <c r="H209" s="26" t="n">
        <v>77.62</v>
      </c>
      <c r="I209" s="26" t="n">
        <v>89.14</v>
      </c>
      <c r="J209" s="26" t="n">
        <v>100.65</v>
      </c>
      <c r="K209" s="26" t="n">
        <v>112.17</v>
      </c>
      <c r="L209" s="26" t="n">
        <v>1.98</v>
      </c>
      <c r="M209" s="27" t="n">
        <v>0.005</v>
      </c>
      <c r="N209" s="27" t="n">
        <v>0.002</v>
      </c>
      <c r="O209" s="26" t="n">
        <v>5</v>
      </c>
      <c r="P209" s="26" t="n">
        <v>5</v>
      </c>
      <c r="Q209" s="28" t="n">
        <v>100</v>
      </c>
      <c r="R209" s="26" t="n">
        <v>30</v>
      </c>
      <c r="S209" s="26" t="n">
        <v>0</v>
      </c>
      <c r="T209" s="28" t="n">
        <v>1</v>
      </c>
      <c r="U209" s="26" t="n">
        <v>0</v>
      </c>
      <c r="V209" s="26" t="n">
        <v>0</v>
      </c>
      <c r="W209" s="22" t="s">
        <v>16</v>
      </c>
      <c r="X209" s="22" t="s">
        <v>373</v>
      </c>
    </row>
    <row r="210" customFormat="false" ht="15" hidden="false" customHeight="false" outlineLevel="0" collapsed="false">
      <c r="A210" s="22" t="s">
        <v>1102</v>
      </c>
      <c r="B210" s="22" t="s">
        <v>16</v>
      </c>
      <c r="C210" s="22" t="s">
        <v>1103</v>
      </c>
      <c r="D210" s="22" t="s">
        <v>1104</v>
      </c>
      <c r="E210" s="22" t="s">
        <v>1105</v>
      </c>
      <c r="F210" s="22" t="n">
        <v>11</v>
      </c>
      <c r="G210" s="26" t="n">
        <v>66.1</v>
      </c>
      <c r="H210" s="26" t="n">
        <v>77.62</v>
      </c>
      <c r="I210" s="26" t="n">
        <v>89.14</v>
      </c>
      <c r="J210" s="26" t="n">
        <v>100.65</v>
      </c>
      <c r="K210" s="26" t="n">
        <v>112.17</v>
      </c>
      <c r="L210" s="26" t="n">
        <v>1.98</v>
      </c>
      <c r="M210" s="27" t="n">
        <v>0.005</v>
      </c>
      <c r="N210" s="27" t="n">
        <v>0.002</v>
      </c>
      <c r="O210" s="26" t="n">
        <v>5</v>
      </c>
      <c r="P210" s="26" t="n">
        <v>5</v>
      </c>
      <c r="Q210" s="28" t="n">
        <v>100</v>
      </c>
      <c r="R210" s="26" t="n">
        <v>30</v>
      </c>
      <c r="S210" s="26" t="n">
        <v>0</v>
      </c>
      <c r="T210" s="28" t="n">
        <v>1</v>
      </c>
      <c r="U210" s="26" t="n">
        <v>0</v>
      </c>
      <c r="V210" s="26" t="n">
        <v>0</v>
      </c>
      <c r="W210" s="22" t="s">
        <v>16</v>
      </c>
      <c r="X210" s="22" t="s">
        <v>373</v>
      </c>
    </row>
    <row r="211" customFormat="false" ht="15" hidden="false" customHeight="false" outlineLevel="0" collapsed="false">
      <c r="A211" s="22" t="s">
        <v>1106</v>
      </c>
      <c r="B211" s="22" t="s">
        <v>16</v>
      </c>
      <c r="C211" s="22" t="s">
        <v>1107</v>
      </c>
      <c r="D211" s="22" t="s">
        <v>1108</v>
      </c>
      <c r="E211" s="22" t="s">
        <v>1109</v>
      </c>
      <c r="F211" s="22" t="n">
        <v>9</v>
      </c>
      <c r="G211" s="26" t="n">
        <v>66.1</v>
      </c>
      <c r="H211" s="26" t="n">
        <v>77.62</v>
      </c>
      <c r="I211" s="26" t="n">
        <v>89.14</v>
      </c>
      <c r="J211" s="26" t="n">
        <v>100.65</v>
      </c>
      <c r="K211" s="26" t="n">
        <v>112.17</v>
      </c>
      <c r="L211" s="26" t="n">
        <v>1.98</v>
      </c>
      <c r="M211" s="27" t="n">
        <v>0.005</v>
      </c>
      <c r="N211" s="27" t="n">
        <v>0.002</v>
      </c>
      <c r="O211" s="26" t="n">
        <v>5</v>
      </c>
      <c r="P211" s="26" t="n">
        <v>5</v>
      </c>
      <c r="Q211" s="28" t="n">
        <v>100</v>
      </c>
      <c r="R211" s="26" t="n">
        <v>30</v>
      </c>
      <c r="S211" s="26" t="n">
        <v>0</v>
      </c>
      <c r="T211" s="28" t="n">
        <v>1</v>
      </c>
      <c r="U211" s="26" t="n">
        <v>0</v>
      </c>
      <c r="V211" s="26" t="n">
        <v>0</v>
      </c>
      <c r="W211" s="22" t="s">
        <v>16</v>
      </c>
      <c r="X211" s="22" t="s">
        <v>373</v>
      </c>
    </row>
    <row r="212" customFormat="false" ht="15" hidden="false" customHeight="false" outlineLevel="0" collapsed="false">
      <c r="A212" s="22" t="s">
        <v>1110</v>
      </c>
      <c r="B212" s="22" t="s">
        <v>16</v>
      </c>
      <c r="C212" s="22" t="s">
        <v>1111</v>
      </c>
      <c r="D212" s="22" t="s">
        <v>1112</v>
      </c>
      <c r="E212" s="22" t="s">
        <v>1113</v>
      </c>
      <c r="F212" s="22" t="n">
        <v>9</v>
      </c>
      <c r="G212" s="26" t="n">
        <v>66.1</v>
      </c>
      <c r="H212" s="26" t="n">
        <v>77.62</v>
      </c>
      <c r="I212" s="26" t="n">
        <v>89.14</v>
      </c>
      <c r="J212" s="26" t="n">
        <v>100.65</v>
      </c>
      <c r="K212" s="26" t="n">
        <v>112.17</v>
      </c>
      <c r="L212" s="26" t="n">
        <v>1.98</v>
      </c>
      <c r="M212" s="27" t="n">
        <v>0.005</v>
      </c>
      <c r="N212" s="27" t="n">
        <v>0.002</v>
      </c>
      <c r="O212" s="26" t="n">
        <v>5</v>
      </c>
      <c r="P212" s="26" t="n">
        <v>5</v>
      </c>
      <c r="Q212" s="28" t="n">
        <v>100</v>
      </c>
      <c r="R212" s="26" t="n">
        <v>30</v>
      </c>
      <c r="S212" s="26" t="n">
        <v>0</v>
      </c>
      <c r="T212" s="28" t="n">
        <v>1</v>
      </c>
      <c r="U212" s="26" t="n">
        <v>0</v>
      </c>
      <c r="V212" s="26" t="n">
        <v>0</v>
      </c>
      <c r="W212" s="22" t="s">
        <v>16</v>
      </c>
      <c r="X212" s="22" t="s">
        <v>373</v>
      </c>
    </row>
    <row r="213" customFormat="false" ht="15" hidden="false" customHeight="false" outlineLevel="0" collapsed="false">
      <c r="A213" s="22" t="s">
        <v>1114</v>
      </c>
      <c r="B213" s="22" t="s">
        <v>16</v>
      </c>
      <c r="C213" s="22" t="s">
        <v>1115</v>
      </c>
      <c r="D213" s="22" t="s">
        <v>1116</v>
      </c>
      <c r="E213" s="22" t="s">
        <v>1117</v>
      </c>
      <c r="F213" s="22" t="n">
        <v>9</v>
      </c>
      <c r="G213" s="26" t="n">
        <v>66.1</v>
      </c>
      <c r="H213" s="26" t="n">
        <v>77.62</v>
      </c>
      <c r="I213" s="26" t="n">
        <v>89.14</v>
      </c>
      <c r="J213" s="26" t="n">
        <v>100.65</v>
      </c>
      <c r="K213" s="26" t="n">
        <v>112.17</v>
      </c>
      <c r="L213" s="26" t="n">
        <v>1.98</v>
      </c>
      <c r="M213" s="27" t="n">
        <v>0.005</v>
      </c>
      <c r="N213" s="27" t="n">
        <v>0.002</v>
      </c>
      <c r="O213" s="26" t="n">
        <v>5</v>
      </c>
      <c r="P213" s="26" t="n">
        <v>5</v>
      </c>
      <c r="Q213" s="28" t="n">
        <v>100</v>
      </c>
      <c r="R213" s="26" t="n">
        <v>30</v>
      </c>
      <c r="S213" s="26" t="n">
        <v>0</v>
      </c>
      <c r="T213" s="28" t="n">
        <v>1</v>
      </c>
      <c r="U213" s="26" t="n">
        <v>0</v>
      </c>
      <c r="V213" s="26" t="n">
        <v>0</v>
      </c>
      <c r="W213" s="22" t="s">
        <v>16</v>
      </c>
      <c r="X213" s="22" t="s">
        <v>373</v>
      </c>
    </row>
    <row r="214" customFormat="false" ht="15" hidden="false" customHeight="false" outlineLevel="0" collapsed="false">
      <c r="A214" s="22" t="s">
        <v>1118</v>
      </c>
      <c r="B214" s="22" t="s">
        <v>16</v>
      </c>
      <c r="C214" s="22" t="s">
        <v>1119</v>
      </c>
      <c r="D214" s="22" t="s">
        <v>1120</v>
      </c>
      <c r="E214" s="22" t="s">
        <v>1121</v>
      </c>
      <c r="F214" s="22" t="n">
        <v>9</v>
      </c>
      <c r="G214" s="26" t="n">
        <v>66.1</v>
      </c>
      <c r="H214" s="26" t="n">
        <v>77.62</v>
      </c>
      <c r="I214" s="26" t="n">
        <v>89.14</v>
      </c>
      <c r="J214" s="26" t="n">
        <v>100.65</v>
      </c>
      <c r="K214" s="26" t="n">
        <v>112.17</v>
      </c>
      <c r="L214" s="26" t="n">
        <v>1.98</v>
      </c>
      <c r="M214" s="27" t="n">
        <v>0.005</v>
      </c>
      <c r="N214" s="27" t="n">
        <v>0.002</v>
      </c>
      <c r="O214" s="26" t="n">
        <v>5</v>
      </c>
      <c r="P214" s="26" t="n">
        <v>5</v>
      </c>
      <c r="Q214" s="28" t="n">
        <v>100</v>
      </c>
      <c r="R214" s="26" t="n">
        <v>30</v>
      </c>
      <c r="S214" s="26" t="n">
        <v>0</v>
      </c>
      <c r="T214" s="28" t="n">
        <v>1</v>
      </c>
      <c r="U214" s="26" t="n">
        <v>0</v>
      </c>
      <c r="V214" s="26" t="n">
        <v>0</v>
      </c>
      <c r="W214" s="22" t="s">
        <v>16</v>
      </c>
      <c r="X214" s="22" t="s">
        <v>373</v>
      </c>
    </row>
    <row r="215" customFormat="false" ht="15" hidden="false" customHeight="false" outlineLevel="0" collapsed="false">
      <c r="A215" s="22" t="s">
        <v>1122</v>
      </c>
      <c r="B215" s="22" t="s">
        <v>16</v>
      </c>
      <c r="C215" s="22" t="s">
        <v>1123</v>
      </c>
      <c r="D215" s="22" t="s">
        <v>1124</v>
      </c>
      <c r="E215" s="22" t="s">
        <v>1125</v>
      </c>
      <c r="F215" s="22" t="n">
        <v>9</v>
      </c>
      <c r="G215" s="26" t="n">
        <v>66.1</v>
      </c>
      <c r="H215" s="26" t="n">
        <v>77.62</v>
      </c>
      <c r="I215" s="26" t="n">
        <v>89.14</v>
      </c>
      <c r="J215" s="26" t="n">
        <v>100.65</v>
      </c>
      <c r="K215" s="26" t="n">
        <v>112.17</v>
      </c>
      <c r="L215" s="26" t="n">
        <v>1.98</v>
      </c>
      <c r="M215" s="27" t="n">
        <v>0.005</v>
      </c>
      <c r="N215" s="27" t="n">
        <v>0.002</v>
      </c>
      <c r="O215" s="26" t="n">
        <v>5</v>
      </c>
      <c r="P215" s="26" t="n">
        <v>5</v>
      </c>
      <c r="Q215" s="28" t="n">
        <v>100</v>
      </c>
      <c r="R215" s="26" t="n">
        <v>30</v>
      </c>
      <c r="S215" s="26" t="n">
        <v>0</v>
      </c>
      <c r="T215" s="28" t="n">
        <v>1</v>
      </c>
      <c r="U215" s="26" t="n">
        <v>0</v>
      </c>
      <c r="V215" s="26" t="n">
        <v>250</v>
      </c>
      <c r="W215" s="22" t="s">
        <v>16</v>
      </c>
      <c r="X215" s="22" t="s">
        <v>373</v>
      </c>
    </row>
    <row r="216" customFormat="false" ht="15" hidden="false" customHeight="false" outlineLevel="0" collapsed="false">
      <c r="A216" s="22" t="s">
        <v>1126</v>
      </c>
      <c r="B216" s="22" t="s">
        <v>16</v>
      </c>
      <c r="C216" s="22" t="s">
        <v>1127</v>
      </c>
      <c r="D216" s="22" t="s">
        <v>1128</v>
      </c>
      <c r="E216" s="22" t="s">
        <v>1129</v>
      </c>
      <c r="F216" s="22" t="n">
        <v>9</v>
      </c>
      <c r="G216" s="26" t="n">
        <v>66.1</v>
      </c>
      <c r="H216" s="26" t="n">
        <v>77.62</v>
      </c>
      <c r="I216" s="26" t="n">
        <v>89.14</v>
      </c>
      <c r="J216" s="26" t="n">
        <v>100.65</v>
      </c>
      <c r="K216" s="26" t="n">
        <v>112.17</v>
      </c>
      <c r="L216" s="26" t="n">
        <v>1.98</v>
      </c>
      <c r="M216" s="27" t="n">
        <v>0.005</v>
      </c>
      <c r="N216" s="27" t="n">
        <v>0.002</v>
      </c>
      <c r="O216" s="26" t="n">
        <v>5</v>
      </c>
      <c r="P216" s="26" t="n">
        <v>5</v>
      </c>
      <c r="Q216" s="28" t="n">
        <v>100</v>
      </c>
      <c r="R216" s="26" t="n">
        <v>30</v>
      </c>
      <c r="S216" s="26" t="n">
        <v>0</v>
      </c>
      <c r="T216" s="28" t="n">
        <v>1</v>
      </c>
      <c r="U216" s="26" t="n">
        <v>0</v>
      </c>
      <c r="V216" s="26" t="n">
        <v>0</v>
      </c>
      <c r="W216" s="22" t="s">
        <v>16</v>
      </c>
      <c r="X216" s="22" t="s">
        <v>373</v>
      </c>
    </row>
    <row r="217" customFormat="false" ht="15" hidden="false" customHeight="false" outlineLevel="0" collapsed="false">
      <c r="A217" s="22" t="s">
        <v>1130</v>
      </c>
      <c r="B217" s="22" t="s">
        <v>16</v>
      </c>
      <c r="C217" s="22" t="s">
        <v>1131</v>
      </c>
      <c r="D217" s="22" t="s">
        <v>1132</v>
      </c>
      <c r="E217" s="22" t="s">
        <v>1133</v>
      </c>
      <c r="F217" s="22" t="n">
        <v>11</v>
      </c>
      <c r="G217" s="26" t="n">
        <v>66.1</v>
      </c>
      <c r="H217" s="26" t="n">
        <v>77.62</v>
      </c>
      <c r="I217" s="26" t="n">
        <v>89.14</v>
      </c>
      <c r="J217" s="26" t="n">
        <v>100.65</v>
      </c>
      <c r="K217" s="26" t="n">
        <v>112.17</v>
      </c>
      <c r="L217" s="26" t="n">
        <v>1.98</v>
      </c>
      <c r="M217" s="27" t="n">
        <v>0.005</v>
      </c>
      <c r="N217" s="27" t="n">
        <v>0.002</v>
      </c>
      <c r="O217" s="26" t="n">
        <v>5</v>
      </c>
      <c r="P217" s="26" t="n">
        <v>5</v>
      </c>
      <c r="Q217" s="28" t="n">
        <v>100</v>
      </c>
      <c r="R217" s="26" t="n">
        <v>30</v>
      </c>
      <c r="S217" s="26" t="n">
        <v>0</v>
      </c>
      <c r="T217" s="28" t="n">
        <v>1</v>
      </c>
      <c r="U217" s="26" t="n">
        <v>0</v>
      </c>
      <c r="V217" s="26" t="n">
        <v>0</v>
      </c>
      <c r="W217" s="22" t="s">
        <v>16</v>
      </c>
      <c r="X217" s="22" t="s">
        <v>373</v>
      </c>
    </row>
    <row r="218" customFormat="false" ht="15" hidden="false" customHeight="false" outlineLevel="0" collapsed="false">
      <c r="A218" s="22" t="s">
        <v>1134</v>
      </c>
      <c r="B218" s="22" t="s">
        <v>16</v>
      </c>
      <c r="C218" s="22" t="s">
        <v>1135</v>
      </c>
      <c r="D218" s="22" t="s">
        <v>1136</v>
      </c>
      <c r="E218" s="22" t="s">
        <v>1137</v>
      </c>
      <c r="F218" s="22" t="n">
        <v>9</v>
      </c>
      <c r="G218" s="26" t="n">
        <v>66.1</v>
      </c>
      <c r="H218" s="26" t="n">
        <v>77.62</v>
      </c>
      <c r="I218" s="26" t="n">
        <v>89.14</v>
      </c>
      <c r="J218" s="26" t="n">
        <v>100.65</v>
      </c>
      <c r="K218" s="26" t="n">
        <v>112.17</v>
      </c>
      <c r="L218" s="26" t="n">
        <v>1.98</v>
      </c>
      <c r="M218" s="27" t="n">
        <v>0.005</v>
      </c>
      <c r="N218" s="27" t="n">
        <v>0.002</v>
      </c>
      <c r="O218" s="26" t="n">
        <v>5</v>
      </c>
      <c r="P218" s="26" t="n">
        <v>5</v>
      </c>
      <c r="Q218" s="28" t="n">
        <v>100</v>
      </c>
      <c r="R218" s="26" t="n">
        <v>30</v>
      </c>
      <c r="S218" s="26" t="n">
        <v>0</v>
      </c>
      <c r="T218" s="28" t="n">
        <v>1</v>
      </c>
      <c r="U218" s="26" t="n">
        <v>0</v>
      </c>
      <c r="V218" s="26" t="n">
        <v>0</v>
      </c>
      <c r="W218" s="22" t="s">
        <v>16</v>
      </c>
      <c r="X218" s="22" t="s">
        <v>373</v>
      </c>
    </row>
    <row r="219" customFormat="false" ht="15" hidden="false" customHeight="false" outlineLevel="0" collapsed="false">
      <c r="A219" s="22" t="s">
        <v>1138</v>
      </c>
      <c r="B219" s="22" t="s">
        <v>16</v>
      </c>
      <c r="C219" s="22" t="s">
        <v>1139</v>
      </c>
      <c r="D219" s="22" t="s">
        <v>1140</v>
      </c>
      <c r="E219" s="22" t="s">
        <v>1141</v>
      </c>
      <c r="F219" s="22" t="n">
        <v>11</v>
      </c>
      <c r="G219" s="26" t="n">
        <v>66.1</v>
      </c>
      <c r="H219" s="26" t="n">
        <v>77.62</v>
      </c>
      <c r="I219" s="26" t="n">
        <v>89.14</v>
      </c>
      <c r="J219" s="26" t="n">
        <v>100.65</v>
      </c>
      <c r="K219" s="26" t="n">
        <v>112.17</v>
      </c>
      <c r="L219" s="26" t="n">
        <v>1.98</v>
      </c>
      <c r="M219" s="27" t="n">
        <v>0.005</v>
      </c>
      <c r="N219" s="27" t="n">
        <v>0.002</v>
      </c>
      <c r="O219" s="26" t="n">
        <v>5</v>
      </c>
      <c r="P219" s="26" t="n">
        <v>5</v>
      </c>
      <c r="Q219" s="28" t="n">
        <v>100</v>
      </c>
      <c r="R219" s="26" t="n">
        <v>30</v>
      </c>
      <c r="S219" s="26" t="n">
        <v>0</v>
      </c>
      <c r="T219" s="28" t="n">
        <v>1</v>
      </c>
      <c r="U219" s="26" t="n">
        <v>0</v>
      </c>
      <c r="V219" s="26" t="n">
        <v>0</v>
      </c>
      <c r="W219" s="22" t="s">
        <v>16</v>
      </c>
      <c r="X219" s="22" t="s">
        <v>373</v>
      </c>
    </row>
    <row r="220" customFormat="false" ht="15" hidden="false" customHeight="false" outlineLevel="0" collapsed="false">
      <c r="A220" s="22" t="s">
        <v>1142</v>
      </c>
      <c r="B220" s="22" t="s">
        <v>16</v>
      </c>
      <c r="C220" s="22" t="s">
        <v>1143</v>
      </c>
      <c r="D220" s="22" t="s">
        <v>1144</v>
      </c>
      <c r="E220" s="22" t="s">
        <v>1145</v>
      </c>
      <c r="F220" s="22" t="n">
        <v>9</v>
      </c>
      <c r="G220" s="26" t="n">
        <v>66.1</v>
      </c>
      <c r="H220" s="26" t="n">
        <v>77.62</v>
      </c>
      <c r="I220" s="26" t="n">
        <v>89.14</v>
      </c>
      <c r="J220" s="26" t="n">
        <v>100.65</v>
      </c>
      <c r="K220" s="26" t="n">
        <v>112.17</v>
      </c>
      <c r="L220" s="26" t="n">
        <v>1.98</v>
      </c>
      <c r="M220" s="27" t="n">
        <v>0.005</v>
      </c>
      <c r="N220" s="27" t="n">
        <v>0.002</v>
      </c>
      <c r="O220" s="26" t="n">
        <v>5</v>
      </c>
      <c r="P220" s="26" t="n">
        <v>5</v>
      </c>
      <c r="Q220" s="28" t="n">
        <v>100</v>
      </c>
      <c r="R220" s="26" t="n">
        <v>30</v>
      </c>
      <c r="S220" s="26" t="n">
        <v>0</v>
      </c>
      <c r="T220" s="28" t="n">
        <v>1</v>
      </c>
      <c r="U220" s="26" t="n">
        <v>0</v>
      </c>
      <c r="V220" s="26" t="n">
        <v>0</v>
      </c>
      <c r="W220" s="22" t="s">
        <v>16</v>
      </c>
      <c r="X220" s="22" t="s">
        <v>373</v>
      </c>
    </row>
    <row r="221" customFormat="false" ht="15" hidden="false" customHeight="false" outlineLevel="0" collapsed="false">
      <c r="A221" s="22" t="s">
        <v>1146</v>
      </c>
      <c r="B221" s="22" t="s">
        <v>16</v>
      </c>
      <c r="C221" s="22" t="s">
        <v>1147</v>
      </c>
      <c r="D221" s="22" t="s">
        <v>1148</v>
      </c>
      <c r="E221" s="22" t="s">
        <v>1149</v>
      </c>
      <c r="F221" s="22" t="n">
        <v>9</v>
      </c>
      <c r="G221" s="26" t="n">
        <v>66.1</v>
      </c>
      <c r="H221" s="26" t="n">
        <v>77.62</v>
      </c>
      <c r="I221" s="26" t="n">
        <v>89.14</v>
      </c>
      <c r="J221" s="26" t="n">
        <v>100.65</v>
      </c>
      <c r="K221" s="26" t="n">
        <v>112.17</v>
      </c>
      <c r="L221" s="26" t="n">
        <v>1.98</v>
      </c>
      <c r="M221" s="27" t="n">
        <v>0.005</v>
      </c>
      <c r="N221" s="27" t="n">
        <v>0.002</v>
      </c>
      <c r="O221" s="26" t="n">
        <v>5</v>
      </c>
      <c r="P221" s="26" t="n">
        <v>5</v>
      </c>
      <c r="Q221" s="28" t="n">
        <v>100</v>
      </c>
      <c r="R221" s="26" t="n">
        <v>30</v>
      </c>
      <c r="S221" s="26" t="n">
        <v>0</v>
      </c>
      <c r="T221" s="28" t="n">
        <v>1</v>
      </c>
      <c r="U221" s="26" t="n">
        <v>0</v>
      </c>
      <c r="V221" s="26" t="n">
        <v>0</v>
      </c>
      <c r="W221" s="22" t="s">
        <v>16</v>
      </c>
      <c r="X221" s="22" t="s">
        <v>373</v>
      </c>
    </row>
    <row r="222" customFormat="false" ht="15" hidden="false" customHeight="false" outlineLevel="0" collapsed="false">
      <c r="A222" s="22" t="s">
        <v>1150</v>
      </c>
      <c r="B222" s="22" t="s">
        <v>16</v>
      </c>
      <c r="C222" s="22" t="s">
        <v>1151</v>
      </c>
      <c r="D222" s="22" t="s">
        <v>1152</v>
      </c>
      <c r="E222" s="22" t="s">
        <v>1153</v>
      </c>
      <c r="F222" s="22" t="n">
        <v>9</v>
      </c>
      <c r="G222" s="26" t="n">
        <v>66.1</v>
      </c>
      <c r="H222" s="26" t="n">
        <v>77.62</v>
      </c>
      <c r="I222" s="26" t="n">
        <v>89.14</v>
      </c>
      <c r="J222" s="26" t="n">
        <v>100.65</v>
      </c>
      <c r="K222" s="26" t="n">
        <v>112.17</v>
      </c>
      <c r="L222" s="26" t="n">
        <v>1.98</v>
      </c>
      <c r="M222" s="27" t="n">
        <v>0.005</v>
      </c>
      <c r="N222" s="27" t="n">
        <v>0.002</v>
      </c>
      <c r="O222" s="26" t="n">
        <v>5</v>
      </c>
      <c r="P222" s="26" t="n">
        <v>5</v>
      </c>
      <c r="Q222" s="28" t="n">
        <v>100</v>
      </c>
      <c r="R222" s="26" t="n">
        <v>30</v>
      </c>
      <c r="S222" s="26" t="n">
        <v>0</v>
      </c>
      <c r="T222" s="28" t="n">
        <v>1</v>
      </c>
      <c r="U222" s="26" t="n">
        <v>0</v>
      </c>
      <c r="V222" s="26" t="n">
        <v>0</v>
      </c>
      <c r="W222" s="22" t="s">
        <v>16</v>
      </c>
      <c r="X222" s="22" t="s">
        <v>373</v>
      </c>
    </row>
    <row r="223" customFormat="false" ht="15" hidden="false" customHeight="false" outlineLevel="0" collapsed="false">
      <c r="A223" s="22" t="s">
        <v>1154</v>
      </c>
      <c r="B223" s="22" t="s">
        <v>16</v>
      </c>
      <c r="C223" s="22" t="s">
        <v>1155</v>
      </c>
      <c r="D223" s="22" t="s">
        <v>1156</v>
      </c>
      <c r="E223" s="22" t="s">
        <v>1157</v>
      </c>
      <c r="F223" s="22" t="n">
        <v>11</v>
      </c>
      <c r="G223" s="26" t="n">
        <v>66.1</v>
      </c>
      <c r="H223" s="26" t="n">
        <v>77.62</v>
      </c>
      <c r="I223" s="26" t="n">
        <v>89.14</v>
      </c>
      <c r="J223" s="26" t="n">
        <v>100.65</v>
      </c>
      <c r="K223" s="26" t="n">
        <v>112.17</v>
      </c>
      <c r="L223" s="26" t="n">
        <v>1.98</v>
      </c>
      <c r="M223" s="27" t="n">
        <v>0.005</v>
      </c>
      <c r="N223" s="27" t="n">
        <v>0.002</v>
      </c>
      <c r="O223" s="26" t="n">
        <v>5</v>
      </c>
      <c r="P223" s="26" t="n">
        <v>5</v>
      </c>
      <c r="Q223" s="28" t="n">
        <v>100</v>
      </c>
      <c r="R223" s="26" t="n">
        <v>30</v>
      </c>
      <c r="S223" s="26" t="n">
        <v>0</v>
      </c>
      <c r="T223" s="28" t="n">
        <v>1</v>
      </c>
      <c r="U223" s="26" t="n">
        <v>0</v>
      </c>
      <c r="V223" s="26" t="n">
        <v>0</v>
      </c>
      <c r="W223" s="22" t="s">
        <v>16</v>
      </c>
      <c r="X223" s="22" t="s">
        <v>373</v>
      </c>
    </row>
    <row r="224" customFormat="false" ht="15" hidden="false" customHeight="false" outlineLevel="0" collapsed="false">
      <c r="A224" s="22" t="s">
        <v>1158</v>
      </c>
      <c r="B224" s="22" t="s">
        <v>16</v>
      </c>
      <c r="C224" s="22" t="s">
        <v>1159</v>
      </c>
      <c r="D224" s="22" t="s">
        <v>1160</v>
      </c>
      <c r="E224" s="22" t="s">
        <v>1161</v>
      </c>
      <c r="F224" s="22" t="n">
        <v>11</v>
      </c>
      <c r="G224" s="26" t="n">
        <v>66.1</v>
      </c>
      <c r="H224" s="26" t="n">
        <v>77.62</v>
      </c>
      <c r="I224" s="26" t="n">
        <v>89.14</v>
      </c>
      <c r="J224" s="26" t="n">
        <v>100.65</v>
      </c>
      <c r="K224" s="26" t="n">
        <v>112.17</v>
      </c>
      <c r="L224" s="26" t="n">
        <v>1.98</v>
      </c>
      <c r="M224" s="27" t="n">
        <v>0.005</v>
      </c>
      <c r="N224" s="27" t="n">
        <v>0.002</v>
      </c>
      <c r="O224" s="26" t="n">
        <v>5</v>
      </c>
      <c r="P224" s="26" t="n">
        <v>5</v>
      </c>
      <c r="Q224" s="28" t="n">
        <v>100</v>
      </c>
      <c r="R224" s="26" t="n">
        <v>30</v>
      </c>
      <c r="S224" s="26" t="n">
        <v>0</v>
      </c>
      <c r="T224" s="28" t="n">
        <v>1</v>
      </c>
      <c r="U224" s="26" t="n">
        <v>0</v>
      </c>
      <c r="V224" s="26" t="n">
        <v>0</v>
      </c>
      <c r="W224" s="22" t="s">
        <v>16</v>
      </c>
      <c r="X224" s="22" t="s">
        <v>373</v>
      </c>
    </row>
    <row r="225" customFormat="false" ht="15" hidden="false" customHeight="false" outlineLevel="0" collapsed="false">
      <c r="A225" s="22" t="s">
        <v>1162</v>
      </c>
      <c r="B225" s="22" t="s">
        <v>16</v>
      </c>
      <c r="C225" s="22" t="s">
        <v>1163</v>
      </c>
      <c r="D225" s="22" t="s">
        <v>1164</v>
      </c>
      <c r="E225" s="22" t="s">
        <v>1165</v>
      </c>
      <c r="F225" s="22" t="n">
        <v>9</v>
      </c>
      <c r="G225" s="26" t="n">
        <v>66.1</v>
      </c>
      <c r="H225" s="26" t="n">
        <v>77.62</v>
      </c>
      <c r="I225" s="26" t="n">
        <v>89.14</v>
      </c>
      <c r="J225" s="26" t="n">
        <v>100.65</v>
      </c>
      <c r="K225" s="26" t="n">
        <v>112.17</v>
      </c>
      <c r="L225" s="26" t="n">
        <v>1.98</v>
      </c>
      <c r="M225" s="27" t="n">
        <v>0.005</v>
      </c>
      <c r="N225" s="27" t="n">
        <v>0.002</v>
      </c>
      <c r="O225" s="26" t="n">
        <v>5</v>
      </c>
      <c r="P225" s="26" t="n">
        <v>5</v>
      </c>
      <c r="Q225" s="28" t="n">
        <v>100</v>
      </c>
      <c r="R225" s="26" t="n">
        <v>30</v>
      </c>
      <c r="S225" s="26" t="n">
        <v>0</v>
      </c>
      <c r="T225" s="28" t="n">
        <v>1</v>
      </c>
      <c r="U225" s="26" t="n">
        <v>0</v>
      </c>
      <c r="V225" s="26" t="n">
        <v>0</v>
      </c>
      <c r="W225" s="22" t="s">
        <v>16</v>
      </c>
      <c r="X225" s="22" t="s">
        <v>373</v>
      </c>
    </row>
    <row r="226" customFormat="false" ht="15" hidden="false" customHeight="false" outlineLevel="0" collapsed="false">
      <c r="A226" s="22" t="s">
        <v>1166</v>
      </c>
      <c r="B226" s="22" t="s">
        <v>16</v>
      </c>
      <c r="C226" s="22" t="s">
        <v>1167</v>
      </c>
      <c r="D226" s="22" t="s">
        <v>1168</v>
      </c>
      <c r="E226" s="22" t="s">
        <v>1169</v>
      </c>
      <c r="F226" s="22" t="n">
        <v>11</v>
      </c>
      <c r="G226" s="26" t="n">
        <v>66.1</v>
      </c>
      <c r="H226" s="26" t="n">
        <v>77.62</v>
      </c>
      <c r="I226" s="26" t="n">
        <v>89.14</v>
      </c>
      <c r="J226" s="26" t="n">
        <v>100.65</v>
      </c>
      <c r="K226" s="26" t="n">
        <v>112.17</v>
      </c>
      <c r="L226" s="26" t="n">
        <v>1.98</v>
      </c>
      <c r="M226" s="27" t="n">
        <v>0.005</v>
      </c>
      <c r="N226" s="27" t="n">
        <v>0.002</v>
      </c>
      <c r="O226" s="26" t="n">
        <v>5</v>
      </c>
      <c r="P226" s="26" t="n">
        <v>5</v>
      </c>
      <c r="Q226" s="28" t="n">
        <v>100</v>
      </c>
      <c r="R226" s="26" t="n">
        <v>30</v>
      </c>
      <c r="S226" s="26" t="n">
        <v>0</v>
      </c>
      <c r="T226" s="28" t="n">
        <v>1</v>
      </c>
      <c r="U226" s="26" t="n">
        <v>0</v>
      </c>
      <c r="V226" s="26" t="n">
        <v>0</v>
      </c>
      <c r="W226" s="22" t="s">
        <v>16</v>
      </c>
      <c r="X226" s="22" t="s">
        <v>373</v>
      </c>
    </row>
    <row r="227" customFormat="false" ht="15" hidden="false" customHeight="false" outlineLevel="0" collapsed="false">
      <c r="A227" s="22" t="s">
        <v>1170</v>
      </c>
      <c r="B227" s="22" t="s">
        <v>16</v>
      </c>
      <c r="C227" s="22" t="s">
        <v>1171</v>
      </c>
      <c r="D227" s="22" t="s">
        <v>1172</v>
      </c>
      <c r="E227" s="22" t="s">
        <v>1173</v>
      </c>
      <c r="F227" s="22" t="n">
        <v>9</v>
      </c>
      <c r="G227" s="26" t="n">
        <v>66.1</v>
      </c>
      <c r="H227" s="26" t="n">
        <v>77.62</v>
      </c>
      <c r="I227" s="26" t="n">
        <v>89.14</v>
      </c>
      <c r="J227" s="26" t="n">
        <v>100.65</v>
      </c>
      <c r="K227" s="26" t="n">
        <v>112.17</v>
      </c>
      <c r="L227" s="26" t="n">
        <v>1.98</v>
      </c>
      <c r="M227" s="27" t="n">
        <v>0.005</v>
      </c>
      <c r="N227" s="27" t="n">
        <v>0.002</v>
      </c>
      <c r="O227" s="26" t="n">
        <v>5</v>
      </c>
      <c r="P227" s="26" t="n">
        <v>5</v>
      </c>
      <c r="Q227" s="28" t="n">
        <v>100</v>
      </c>
      <c r="R227" s="26" t="n">
        <v>30</v>
      </c>
      <c r="S227" s="26" t="n">
        <v>0</v>
      </c>
      <c r="T227" s="28" t="n">
        <v>1</v>
      </c>
      <c r="U227" s="26" t="n">
        <v>0</v>
      </c>
      <c r="V227" s="26" t="n">
        <v>0</v>
      </c>
      <c r="W227" s="22" t="s">
        <v>16</v>
      </c>
      <c r="X227" s="22" t="s">
        <v>373</v>
      </c>
    </row>
    <row r="228" customFormat="false" ht="15" hidden="false" customHeight="false" outlineLevel="0" collapsed="false">
      <c r="A228" s="22" t="s">
        <v>1174</v>
      </c>
      <c r="B228" s="22" t="s">
        <v>16</v>
      </c>
      <c r="C228" s="22" t="s">
        <v>1175</v>
      </c>
      <c r="D228" s="22" t="s">
        <v>1176</v>
      </c>
      <c r="E228" s="22" t="s">
        <v>1177</v>
      </c>
      <c r="F228" s="22" t="n">
        <v>9</v>
      </c>
      <c r="G228" s="26" t="n">
        <v>66.1</v>
      </c>
      <c r="H228" s="26" t="n">
        <v>77.62</v>
      </c>
      <c r="I228" s="26" t="n">
        <v>89.14</v>
      </c>
      <c r="J228" s="26" t="n">
        <v>100.65</v>
      </c>
      <c r="K228" s="26" t="n">
        <v>112.17</v>
      </c>
      <c r="L228" s="26" t="n">
        <v>1.98</v>
      </c>
      <c r="M228" s="27" t="n">
        <v>0.005</v>
      </c>
      <c r="N228" s="27" t="n">
        <v>0.002</v>
      </c>
      <c r="O228" s="26" t="n">
        <v>5</v>
      </c>
      <c r="P228" s="26" t="n">
        <v>5</v>
      </c>
      <c r="Q228" s="28" t="n">
        <v>100</v>
      </c>
      <c r="R228" s="26" t="n">
        <v>30</v>
      </c>
      <c r="S228" s="26" t="n">
        <v>0</v>
      </c>
      <c r="T228" s="28" t="n">
        <v>1</v>
      </c>
      <c r="U228" s="26" t="n">
        <v>0</v>
      </c>
      <c r="V228" s="26" t="n">
        <v>0</v>
      </c>
      <c r="W228" s="22" t="s">
        <v>16</v>
      </c>
      <c r="X228" s="22" t="s">
        <v>373</v>
      </c>
    </row>
    <row r="229" customFormat="false" ht="15" hidden="false" customHeight="false" outlineLevel="0" collapsed="false">
      <c r="A229" s="22" t="s">
        <v>1178</v>
      </c>
      <c r="B229" s="22" t="s">
        <v>16</v>
      </c>
      <c r="C229" s="22" t="s">
        <v>1179</v>
      </c>
      <c r="D229" s="22" t="s">
        <v>1180</v>
      </c>
      <c r="E229" s="22" t="s">
        <v>1181</v>
      </c>
      <c r="F229" s="22" t="n">
        <v>9</v>
      </c>
      <c r="G229" s="26" t="n">
        <v>66.1</v>
      </c>
      <c r="H229" s="26" t="n">
        <v>77.62</v>
      </c>
      <c r="I229" s="26" t="n">
        <v>89.14</v>
      </c>
      <c r="J229" s="26" t="n">
        <v>100.65</v>
      </c>
      <c r="K229" s="26" t="n">
        <v>112.17</v>
      </c>
      <c r="L229" s="26" t="n">
        <v>1.98</v>
      </c>
      <c r="M229" s="27" t="n">
        <v>0.005</v>
      </c>
      <c r="N229" s="27" t="n">
        <v>0.002</v>
      </c>
      <c r="O229" s="26" t="n">
        <v>5</v>
      </c>
      <c r="P229" s="26" t="n">
        <v>5</v>
      </c>
      <c r="Q229" s="28" t="n">
        <v>100</v>
      </c>
      <c r="R229" s="26" t="n">
        <v>30</v>
      </c>
      <c r="S229" s="26" t="n">
        <v>0</v>
      </c>
      <c r="T229" s="28" t="n">
        <v>1</v>
      </c>
      <c r="U229" s="26" t="n">
        <v>0</v>
      </c>
      <c r="V229" s="26" t="n">
        <v>0</v>
      </c>
      <c r="W229" s="22" t="s">
        <v>16</v>
      </c>
      <c r="X229" s="22" t="s">
        <v>373</v>
      </c>
    </row>
    <row r="230" customFormat="false" ht="15" hidden="false" customHeight="false" outlineLevel="0" collapsed="false">
      <c r="A230" s="22" t="s">
        <v>1182</v>
      </c>
      <c r="B230" s="22" t="s">
        <v>16</v>
      </c>
      <c r="C230" s="22" t="s">
        <v>1183</v>
      </c>
      <c r="D230" s="22" t="s">
        <v>1184</v>
      </c>
      <c r="E230" s="22" t="s">
        <v>1185</v>
      </c>
      <c r="F230" s="22" t="n">
        <v>11</v>
      </c>
      <c r="G230" s="26" t="n">
        <v>66.1</v>
      </c>
      <c r="H230" s="26" t="n">
        <v>77.62</v>
      </c>
      <c r="I230" s="26" t="n">
        <v>89.14</v>
      </c>
      <c r="J230" s="26" t="n">
        <v>100.65</v>
      </c>
      <c r="K230" s="26" t="n">
        <v>112.17</v>
      </c>
      <c r="L230" s="26" t="n">
        <v>1.98</v>
      </c>
      <c r="M230" s="27" t="n">
        <v>0.005</v>
      </c>
      <c r="N230" s="27" t="n">
        <v>0.002</v>
      </c>
      <c r="O230" s="26" t="n">
        <v>5</v>
      </c>
      <c r="P230" s="26" t="n">
        <v>5</v>
      </c>
      <c r="Q230" s="28" t="n">
        <v>100</v>
      </c>
      <c r="R230" s="26" t="n">
        <v>30</v>
      </c>
      <c r="S230" s="26" t="n">
        <v>0</v>
      </c>
      <c r="T230" s="28" t="n">
        <v>1</v>
      </c>
      <c r="U230" s="26" t="n">
        <v>0</v>
      </c>
      <c r="V230" s="26" t="n">
        <v>250</v>
      </c>
      <c r="W230" s="22" t="s">
        <v>16</v>
      </c>
      <c r="X230" s="22" t="s">
        <v>373</v>
      </c>
    </row>
    <row r="231" customFormat="false" ht="15" hidden="false" customHeight="false" outlineLevel="0" collapsed="false">
      <c r="A231" s="22" t="s">
        <v>1186</v>
      </c>
      <c r="B231" s="22" t="s">
        <v>16</v>
      </c>
      <c r="C231" s="22" t="s">
        <v>1187</v>
      </c>
      <c r="D231" s="22" t="s">
        <v>1188</v>
      </c>
      <c r="E231" s="22" t="s">
        <v>1189</v>
      </c>
      <c r="F231" s="22" t="n">
        <v>11</v>
      </c>
      <c r="G231" s="26" t="n">
        <v>66.1</v>
      </c>
      <c r="H231" s="26" t="n">
        <v>77.62</v>
      </c>
      <c r="I231" s="26" t="n">
        <v>89.14</v>
      </c>
      <c r="J231" s="26" t="n">
        <v>100.65</v>
      </c>
      <c r="K231" s="26" t="n">
        <v>112.17</v>
      </c>
      <c r="L231" s="26" t="n">
        <v>1.98</v>
      </c>
      <c r="M231" s="27" t="n">
        <v>0.005</v>
      </c>
      <c r="N231" s="27" t="n">
        <v>0.002</v>
      </c>
      <c r="O231" s="26" t="n">
        <v>5</v>
      </c>
      <c r="P231" s="26" t="n">
        <v>5</v>
      </c>
      <c r="Q231" s="28" t="n">
        <v>100</v>
      </c>
      <c r="R231" s="26" t="n">
        <v>30</v>
      </c>
      <c r="S231" s="26" t="n">
        <v>0</v>
      </c>
      <c r="T231" s="28" t="n">
        <v>1</v>
      </c>
      <c r="U231" s="26" t="n">
        <v>0</v>
      </c>
      <c r="V231" s="26" t="n">
        <v>0</v>
      </c>
      <c r="W231" s="22" t="s">
        <v>16</v>
      </c>
      <c r="X231" s="22" t="s">
        <v>373</v>
      </c>
    </row>
    <row r="232" customFormat="false" ht="15" hidden="false" customHeight="false" outlineLevel="0" collapsed="false">
      <c r="A232" s="22" t="s">
        <v>1190</v>
      </c>
      <c r="B232" s="22" t="s">
        <v>16</v>
      </c>
      <c r="C232" s="22" t="s">
        <v>1191</v>
      </c>
      <c r="D232" s="22" t="s">
        <v>1192</v>
      </c>
      <c r="E232" s="22" t="s">
        <v>1193</v>
      </c>
      <c r="F232" s="22" t="n">
        <v>9</v>
      </c>
      <c r="G232" s="26" t="n">
        <v>66.1</v>
      </c>
      <c r="H232" s="26" t="n">
        <v>77.62</v>
      </c>
      <c r="I232" s="26" t="n">
        <v>89.14</v>
      </c>
      <c r="J232" s="26" t="n">
        <v>100.65</v>
      </c>
      <c r="K232" s="26" t="n">
        <v>112.17</v>
      </c>
      <c r="L232" s="26" t="n">
        <v>1.98</v>
      </c>
      <c r="M232" s="27" t="n">
        <v>0.005</v>
      </c>
      <c r="N232" s="27" t="n">
        <v>0.002</v>
      </c>
      <c r="O232" s="26" t="n">
        <v>5</v>
      </c>
      <c r="P232" s="26" t="n">
        <v>5</v>
      </c>
      <c r="Q232" s="28" t="n">
        <v>100</v>
      </c>
      <c r="R232" s="26" t="n">
        <v>30</v>
      </c>
      <c r="S232" s="26" t="n">
        <v>0</v>
      </c>
      <c r="T232" s="28" t="n">
        <v>1</v>
      </c>
      <c r="U232" s="26" t="n">
        <v>0</v>
      </c>
      <c r="V232" s="26" t="n">
        <v>0</v>
      </c>
      <c r="W232" s="22" t="s">
        <v>16</v>
      </c>
      <c r="X232" s="22" t="s">
        <v>373</v>
      </c>
    </row>
    <row r="233" customFormat="false" ht="15" hidden="false" customHeight="false" outlineLevel="0" collapsed="false">
      <c r="A233" s="22" t="s">
        <v>1194</v>
      </c>
      <c r="B233" s="22" t="s">
        <v>16</v>
      </c>
      <c r="C233" s="22" t="s">
        <v>1195</v>
      </c>
      <c r="D233" s="22" t="s">
        <v>1196</v>
      </c>
      <c r="E233" s="22" t="s">
        <v>1197</v>
      </c>
      <c r="F233" s="22" t="n">
        <v>11</v>
      </c>
      <c r="G233" s="26" t="n">
        <v>66.1</v>
      </c>
      <c r="H233" s="26" t="n">
        <v>77.62</v>
      </c>
      <c r="I233" s="26" t="n">
        <v>89.14</v>
      </c>
      <c r="J233" s="26" t="n">
        <v>100.65</v>
      </c>
      <c r="K233" s="26" t="n">
        <v>112.17</v>
      </c>
      <c r="L233" s="26" t="n">
        <v>1.98</v>
      </c>
      <c r="M233" s="27" t="n">
        <v>0.005</v>
      </c>
      <c r="N233" s="27" t="n">
        <v>0.002</v>
      </c>
      <c r="O233" s="26" t="n">
        <v>5</v>
      </c>
      <c r="P233" s="26" t="n">
        <v>5</v>
      </c>
      <c r="Q233" s="28" t="n">
        <v>100</v>
      </c>
      <c r="R233" s="26" t="n">
        <v>30</v>
      </c>
      <c r="S233" s="26" t="n">
        <v>0</v>
      </c>
      <c r="T233" s="28" t="n">
        <v>1</v>
      </c>
      <c r="U233" s="26" t="n">
        <v>0</v>
      </c>
      <c r="V233" s="26" t="n">
        <v>250</v>
      </c>
      <c r="W233" s="22" t="s">
        <v>16</v>
      </c>
      <c r="X233" s="22" t="s">
        <v>373</v>
      </c>
    </row>
    <row r="234" customFormat="false" ht="15" hidden="false" customHeight="false" outlineLevel="0" collapsed="false">
      <c r="A234" s="22" t="s">
        <v>1198</v>
      </c>
      <c r="B234" s="22" t="s">
        <v>16</v>
      </c>
      <c r="C234" s="22" t="s">
        <v>1199</v>
      </c>
      <c r="D234" s="22" t="s">
        <v>1200</v>
      </c>
      <c r="E234" s="22" t="s">
        <v>1201</v>
      </c>
      <c r="F234" s="22" t="n">
        <v>9</v>
      </c>
      <c r="G234" s="26" t="n">
        <v>66.1</v>
      </c>
      <c r="H234" s="26" t="n">
        <v>77.62</v>
      </c>
      <c r="I234" s="26" t="n">
        <v>89.14</v>
      </c>
      <c r="J234" s="26" t="n">
        <v>100.65</v>
      </c>
      <c r="K234" s="26" t="n">
        <v>112.17</v>
      </c>
      <c r="L234" s="26" t="n">
        <v>1.98</v>
      </c>
      <c r="M234" s="27" t="n">
        <v>0.005</v>
      </c>
      <c r="N234" s="27" t="n">
        <v>0.002</v>
      </c>
      <c r="O234" s="26" t="n">
        <v>5</v>
      </c>
      <c r="P234" s="26" t="n">
        <v>5</v>
      </c>
      <c r="Q234" s="28" t="n">
        <v>100</v>
      </c>
      <c r="R234" s="26" t="n">
        <v>30</v>
      </c>
      <c r="S234" s="26" t="n">
        <v>0</v>
      </c>
      <c r="T234" s="28" t="n">
        <v>1</v>
      </c>
      <c r="U234" s="26" t="n">
        <v>0</v>
      </c>
      <c r="V234" s="26" t="n">
        <v>0</v>
      </c>
      <c r="W234" s="22" t="s">
        <v>16</v>
      </c>
      <c r="X234" s="22" t="s">
        <v>373</v>
      </c>
    </row>
    <row r="235" customFormat="false" ht="15" hidden="false" customHeight="false" outlineLevel="0" collapsed="false">
      <c r="A235" s="22" t="s">
        <v>1202</v>
      </c>
      <c r="B235" s="22" t="s">
        <v>16</v>
      </c>
      <c r="C235" s="22" t="s">
        <v>1203</v>
      </c>
      <c r="D235" s="22" t="s">
        <v>1204</v>
      </c>
      <c r="E235" s="22" t="s">
        <v>1205</v>
      </c>
      <c r="F235" s="22" t="n">
        <v>11</v>
      </c>
      <c r="G235" s="26" t="n">
        <v>66.1</v>
      </c>
      <c r="H235" s="26" t="n">
        <v>77.62</v>
      </c>
      <c r="I235" s="26" t="n">
        <v>89.14</v>
      </c>
      <c r="J235" s="26" t="n">
        <v>100.65</v>
      </c>
      <c r="K235" s="26" t="n">
        <v>112.17</v>
      </c>
      <c r="L235" s="26" t="n">
        <v>1.98</v>
      </c>
      <c r="M235" s="27" t="n">
        <v>0.005</v>
      </c>
      <c r="N235" s="27" t="n">
        <v>0.002</v>
      </c>
      <c r="O235" s="26" t="n">
        <v>5</v>
      </c>
      <c r="P235" s="26" t="n">
        <v>5</v>
      </c>
      <c r="Q235" s="28" t="n">
        <v>100</v>
      </c>
      <c r="R235" s="26" t="n">
        <v>30</v>
      </c>
      <c r="S235" s="26" t="n">
        <v>0</v>
      </c>
      <c r="T235" s="28" t="n">
        <v>1</v>
      </c>
      <c r="U235" s="26" t="n">
        <v>0</v>
      </c>
      <c r="V235" s="26" t="n">
        <v>0</v>
      </c>
      <c r="W235" s="22" t="s">
        <v>16</v>
      </c>
      <c r="X235" s="22" t="s">
        <v>373</v>
      </c>
    </row>
    <row r="236" customFormat="false" ht="15" hidden="false" customHeight="false" outlineLevel="0" collapsed="false">
      <c r="A236" s="22" t="s">
        <v>1206</v>
      </c>
      <c r="B236" s="22" t="s">
        <v>16</v>
      </c>
      <c r="C236" s="22" t="s">
        <v>1207</v>
      </c>
      <c r="D236" s="22" t="s">
        <v>1208</v>
      </c>
      <c r="E236" s="22" t="s">
        <v>1209</v>
      </c>
      <c r="F236" s="22" t="n">
        <v>9</v>
      </c>
      <c r="G236" s="26" t="n">
        <v>66.1</v>
      </c>
      <c r="H236" s="26" t="n">
        <v>77.62</v>
      </c>
      <c r="I236" s="26" t="n">
        <v>89.14</v>
      </c>
      <c r="J236" s="26" t="n">
        <v>100.65</v>
      </c>
      <c r="K236" s="26" t="n">
        <v>112.17</v>
      </c>
      <c r="L236" s="26" t="n">
        <v>1.98</v>
      </c>
      <c r="M236" s="27" t="n">
        <v>0.005</v>
      </c>
      <c r="N236" s="27" t="n">
        <v>0.002</v>
      </c>
      <c r="O236" s="26" t="n">
        <v>5</v>
      </c>
      <c r="P236" s="26" t="n">
        <v>5</v>
      </c>
      <c r="Q236" s="28" t="n">
        <v>100</v>
      </c>
      <c r="R236" s="26" t="n">
        <v>30</v>
      </c>
      <c r="S236" s="26" t="n">
        <v>0</v>
      </c>
      <c r="T236" s="28" t="n">
        <v>1</v>
      </c>
      <c r="U236" s="26" t="n">
        <v>0</v>
      </c>
      <c r="V236" s="26" t="n">
        <v>0</v>
      </c>
      <c r="W236" s="22" t="s">
        <v>16</v>
      </c>
      <c r="X236" s="22" t="s">
        <v>373</v>
      </c>
    </row>
    <row r="237" customFormat="false" ht="15" hidden="false" customHeight="false" outlineLevel="0" collapsed="false">
      <c r="A237" s="22" t="s">
        <v>1210</v>
      </c>
      <c r="B237" s="22" t="s">
        <v>16</v>
      </c>
      <c r="C237" s="22" t="s">
        <v>1211</v>
      </c>
      <c r="D237" s="22" t="s">
        <v>1212</v>
      </c>
      <c r="E237" s="22" t="s">
        <v>1213</v>
      </c>
      <c r="F237" s="22" t="n">
        <v>9</v>
      </c>
      <c r="G237" s="26" t="n">
        <v>66.1</v>
      </c>
      <c r="H237" s="26" t="n">
        <v>77.62</v>
      </c>
      <c r="I237" s="26" t="n">
        <v>89.14</v>
      </c>
      <c r="J237" s="26" t="n">
        <v>100.65</v>
      </c>
      <c r="K237" s="26" t="n">
        <v>112.17</v>
      </c>
      <c r="L237" s="26" t="n">
        <v>1.98</v>
      </c>
      <c r="M237" s="27" t="n">
        <v>0.005</v>
      </c>
      <c r="N237" s="27" t="n">
        <v>0.002</v>
      </c>
      <c r="O237" s="26" t="n">
        <v>5</v>
      </c>
      <c r="P237" s="26" t="n">
        <v>5</v>
      </c>
      <c r="Q237" s="28" t="n">
        <v>100</v>
      </c>
      <c r="R237" s="26" t="n">
        <v>30</v>
      </c>
      <c r="S237" s="26" t="n">
        <v>0</v>
      </c>
      <c r="T237" s="28" t="n">
        <v>1</v>
      </c>
      <c r="U237" s="26" t="n">
        <v>0</v>
      </c>
      <c r="V237" s="26" t="n">
        <v>0</v>
      </c>
      <c r="W237" s="22" t="s">
        <v>16</v>
      </c>
      <c r="X237" s="22" t="s">
        <v>373</v>
      </c>
    </row>
    <row r="238" customFormat="false" ht="15" hidden="false" customHeight="false" outlineLevel="0" collapsed="false">
      <c r="A238" s="22" t="s">
        <v>1214</v>
      </c>
      <c r="B238" s="22" t="s">
        <v>16</v>
      </c>
      <c r="C238" s="22" t="s">
        <v>1215</v>
      </c>
      <c r="D238" s="22" t="s">
        <v>1216</v>
      </c>
      <c r="E238" s="22" t="s">
        <v>1217</v>
      </c>
      <c r="F238" s="22" t="n">
        <v>11</v>
      </c>
      <c r="G238" s="26" t="n">
        <v>66.1</v>
      </c>
      <c r="H238" s="26" t="n">
        <v>77.62</v>
      </c>
      <c r="I238" s="26" t="n">
        <v>89.14</v>
      </c>
      <c r="J238" s="26" t="n">
        <v>100.65</v>
      </c>
      <c r="K238" s="26" t="n">
        <v>112.17</v>
      </c>
      <c r="L238" s="26" t="n">
        <v>1.98</v>
      </c>
      <c r="M238" s="27" t="n">
        <v>0.005</v>
      </c>
      <c r="N238" s="27" t="n">
        <v>0.002</v>
      </c>
      <c r="O238" s="26" t="n">
        <v>5</v>
      </c>
      <c r="P238" s="26" t="n">
        <v>5</v>
      </c>
      <c r="Q238" s="28" t="n">
        <v>100</v>
      </c>
      <c r="R238" s="26" t="n">
        <v>30</v>
      </c>
      <c r="S238" s="26" t="n">
        <v>0</v>
      </c>
      <c r="T238" s="28" t="n">
        <v>1</v>
      </c>
      <c r="U238" s="26" t="n">
        <v>0</v>
      </c>
      <c r="V238" s="26" t="n">
        <v>0</v>
      </c>
      <c r="W238" s="22" t="s">
        <v>16</v>
      </c>
      <c r="X238" s="22" t="s">
        <v>373</v>
      </c>
    </row>
    <row r="239" customFormat="false" ht="15" hidden="false" customHeight="false" outlineLevel="0" collapsed="false">
      <c r="A239" s="22" t="s">
        <v>1218</v>
      </c>
      <c r="B239" s="22" t="s">
        <v>16</v>
      </c>
      <c r="C239" s="22" t="s">
        <v>1219</v>
      </c>
      <c r="D239" s="22" t="s">
        <v>1220</v>
      </c>
      <c r="E239" s="22" t="s">
        <v>1221</v>
      </c>
      <c r="F239" s="22" t="n">
        <v>11</v>
      </c>
      <c r="G239" s="26" t="n">
        <v>66.1</v>
      </c>
      <c r="H239" s="26" t="n">
        <v>77.62</v>
      </c>
      <c r="I239" s="26" t="n">
        <v>89.14</v>
      </c>
      <c r="J239" s="26" t="n">
        <v>100.65</v>
      </c>
      <c r="K239" s="26" t="n">
        <v>112.17</v>
      </c>
      <c r="L239" s="26" t="n">
        <v>1.98</v>
      </c>
      <c r="M239" s="27" t="n">
        <v>0.005</v>
      </c>
      <c r="N239" s="27" t="n">
        <v>0.002</v>
      </c>
      <c r="O239" s="26" t="n">
        <v>5</v>
      </c>
      <c r="P239" s="26" t="n">
        <v>5</v>
      </c>
      <c r="Q239" s="28" t="n">
        <v>100</v>
      </c>
      <c r="R239" s="26" t="n">
        <v>30</v>
      </c>
      <c r="S239" s="26" t="n">
        <v>0</v>
      </c>
      <c r="T239" s="28" t="n">
        <v>1</v>
      </c>
      <c r="U239" s="26" t="n">
        <v>0</v>
      </c>
      <c r="V239" s="26" t="n">
        <v>0</v>
      </c>
      <c r="W239" s="22" t="s">
        <v>16</v>
      </c>
      <c r="X239" s="22" t="s">
        <v>373</v>
      </c>
    </row>
    <row r="240" customFormat="false" ht="15" hidden="false" customHeight="false" outlineLevel="0" collapsed="false">
      <c r="A240" s="22" t="s">
        <v>1222</v>
      </c>
      <c r="B240" s="22" t="s">
        <v>16</v>
      </c>
      <c r="C240" s="22" t="s">
        <v>1223</v>
      </c>
      <c r="D240" s="22" t="s">
        <v>1224</v>
      </c>
      <c r="E240" s="22" t="s">
        <v>1225</v>
      </c>
      <c r="F240" s="22" t="n">
        <v>9</v>
      </c>
      <c r="G240" s="26" t="n">
        <v>66.1</v>
      </c>
      <c r="H240" s="26" t="n">
        <v>77.62</v>
      </c>
      <c r="I240" s="26" t="n">
        <v>89.14</v>
      </c>
      <c r="J240" s="26" t="n">
        <v>100.65</v>
      </c>
      <c r="K240" s="26" t="n">
        <v>112.17</v>
      </c>
      <c r="L240" s="26" t="n">
        <v>1.98</v>
      </c>
      <c r="M240" s="27" t="n">
        <v>0.005</v>
      </c>
      <c r="N240" s="27" t="n">
        <v>0.002</v>
      </c>
      <c r="O240" s="26" t="n">
        <v>5</v>
      </c>
      <c r="P240" s="26" t="n">
        <v>5</v>
      </c>
      <c r="Q240" s="28" t="n">
        <v>100</v>
      </c>
      <c r="R240" s="26" t="n">
        <v>30</v>
      </c>
      <c r="S240" s="26" t="n">
        <v>0</v>
      </c>
      <c r="T240" s="28" t="n">
        <v>1</v>
      </c>
      <c r="U240" s="26" t="n">
        <v>0</v>
      </c>
      <c r="V240" s="26" t="n">
        <v>0</v>
      </c>
      <c r="W240" s="22" t="s">
        <v>16</v>
      </c>
      <c r="X240" s="22" t="s">
        <v>373</v>
      </c>
    </row>
    <row r="241" customFormat="false" ht="15" hidden="false" customHeight="false" outlineLevel="0" collapsed="false">
      <c r="A241" s="22" t="s">
        <v>1226</v>
      </c>
      <c r="B241" s="22" t="s">
        <v>16</v>
      </c>
      <c r="C241" s="22" t="s">
        <v>1227</v>
      </c>
      <c r="D241" s="22" t="s">
        <v>1228</v>
      </c>
      <c r="E241" s="22" t="s">
        <v>1229</v>
      </c>
      <c r="F241" s="22" t="n">
        <v>11</v>
      </c>
      <c r="G241" s="26" t="n">
        <v>66.1</v>
      </c>
      <c r="H241" s="26" t="n">
        <v>77.62</v>
      </c>
      <c r="I241" s="26" t="n">
        <v>89.14</v>
      </c>
      <c r="J241" s="26" t="n">
        <v>100.65</v>
      </c>
      <c r="K241" s="26" t="n">
        <v>112.17</v>
      </c>
      <c r="L241" s="26" t="n">
        <v>1.98</v>
      </c>
      <c r="M241" s="27" t="n">
        <v>0.005</v>
      </c>
      <c r="N241" s="27" t="n">
        <v>0.002</v>
      </c>
      <c r="O241" s="26" t="n">
        <v>5</v>
      </c>
      <c r="P241" s="26" t="n">
        <v>5</v>
      </c>
      <c r="Q241" s="28" t="n">
        <v>100</v>
      </c>
      <c r="R241" s="26" t="n">
        <v>30</v>
      </c>
      <c r="S241" s="26" t="n">
        <v>0</v>
      </c>
      <c r="T241" s="28" t="n">
        <v>1</v>
      </c>
      <c r="U241" s="26" t="n">
        <v>0</v>
      </c>
      <c r="V241" s="26" t="n">
        <v>0</v>
      </c>
      <c r="W241" s="22" t="s">
        <v>16</v>
      </c>
      <c r="X241" s="22" t="s">
        <v>373</v>
      </c>
    </row>
    <row r="242" customFormat="false" ht="15" hidden="false" customHeight="false" outlineLevel="0" collapsed="false">
      <c r="A242" s="22" t="s">
        <v>1230</v>
      </c>
      <c r="B242" s="22" t="s">
        <v>16</v>
      </c>
      <c r="C242" s="22" t="s">
        <v>1231</v>
      </c>
      <c r="D242" s="22" t="s">
        <v>1232</v>
      </c>
      <c r="E242" s="22" t="s">
        <v>1233</v>
      </c>
      <c r="F242" s="22" t="n">
        <v>11</v>
      </c>
      <c r="G242" s="26" t="n">
        <v>66.1</v>
      </c>
      <c r="H242" s="26" t="n">
        <v>77.62</v>
      </c>
      <c r="I242" s="26" t="n">
        <v>89.14</v>
      </c>
      <c r="J242" s="26" t="n">
        <v>100.65</v>
      </c>
      <c r="K242" s="26" t="n">
        <v>112.17</v>
      </c>
      <c r="L242" s="26" t="n">
        <v>1.98</v>
      </c>
      <c r="M242" s="27" t="n">
        <v>0.005</v>
      </c>
      <c r="N242" s="27" t="n">
        <v>0.002</v>
      </c>
      <c r="O242" s="26" t="n">
        <v>5</v>
      </c>
      <c r="P242" s="26" t="n">
        <v>5</v>
      </c>
      <c r="Q242" s="28" t="n">
        <v>100</v>
      </c>
      <c r="R242" s="26" t="n">
        <v>30</v>
      </c>
      <c r="S242" s="26" t="n">
        <v>0</v>
      </c>
      <c r="T242" s="28" t="n">
        <v>1</v>
      </c>
      <c r="U242" s="26" t="n">
        <v>0</v>
      </c>
      <c r="V242" s="26" t="n">
        <v>0</v>
      </c>
      <c r="W242" s="22" t="s">
        <v>16</v>
      </c>
      <c r="X242" s="22" t="s">
        <v>373</v>
      </c>
    </row>
    <row r="243" customFormat="false" ht="15" hidden="false" customHeight="false" outlineLevel="0" collapsed="false">
      <c r="A243" s="22" t="s">
        <v>1234</v>
      </c>
      <c r="B243" s="22" t="s">
        <v>16</v>
      </c>
      <c r="C243" s="22" t="s">
        <v>1235</v>
      </c>
      <c r="D243" s="22" t="s">
        <v>1236</v>
      </c>
      <c r="E243" s="22" t="s">
        <v>1237</v>
      </c>
      <c r="F243" s="22" t="n">
        <v>11</v>
      </c>
      <c r="G243" s="26" t="n">
        <v>66.1</v>
      </c>
      <c r="H243" s="26" t="n">
        <v>77.62</v>
      </c>
      <c r="I243" s="26" t="n">
        <v>89.14</v>
      </c>
      <c r="J243" s="26" t="n">
        <v>100.65</v>
      </c>
      <c r="K243" s="26" t="n">
        <v>112.17</v>
      </c>
      <c r="L243" s="26" t="n">
        <v>1.98</v>
      </c>
      <c r="M243" s="27" t="n">
        <v>0.005</v>
      </c>
      <c r="N243" s="27" t="n">
        <v>0.002</v>
      </c>
      <c r="O243" s="26" t="n">
        <v>5</v>
      </c>
      <c r="P243" s="26" t="n">
        <v>5</v>
      </c>
      <c r="Q243" s="28" t="n">
        <v>100</v>
      </c>
      <c r="R243" s="26" t="n">
        <v>30</v>
      </c>
      <c r="S243" s="26" t="n">
        <v>0</v>
      </c>
      <c r="T243" s="28" t="n">
        <v>1</v>
      </c>
      <c r="U243" s="26" t="n">
        <v>0</v>
      </c>
      <c r="V243" s="26" t="n">
        <v>0</v>
      </c>
      <c r="W243" s="22" t="s">
        <v>16</v>
      </c>
      <c r="X243" s="22" t="s">
        <v>373</v>
      </c>
    </row>
    <row r="244" customFormat="false" ht="15" hidden="false" customHeight="false" outlineLevel="0" collapsed="false">
      <c r="A244" s="22" t="s">
        <v>1238</v>
      </c>
      <c r="B244" s="22" t="s">
        <v>16</v>
      </c>
      <c r="C244" s="22" t="s">
        <v>1239</v>
      </c>
      <c r="D244" s="22" t="s">
        <v>1240</v>
      </c>
      <c r="E244" s="22" t="s">
        <v>1241</v>
      </c>
      <c r="F244" s="22" t="n">
        <v>11</v>
      </c>
      <c r="G244" s="26" t="n">
        <v>66.1</v>
      </c>
      <c r="H244" s="26" t="n">
        <v>77.62</v>
      </c>
      <c r="I244" s="26" t="n">
        <v>89.14</v>
      </c>
      <c r="J244" s="26" t="n">
        <v>100.65</v>
      </c>
      <c r="K244" s="26" t="n">
        <v>112.17</v>
      </c>
      <c r="L244" s="26" t="n">
        <v>1.98</v>
      </c>
      <c r="M244" s="27" t="n">
        <v>0.005</v>
      </c>
      <c r="N244" s="27" t="n">
        <v>0.002</v>
      </c>
      <c r="O244" s="26" t="n">
        <v>5</v>
      </c>
      <c r="P244" s="26" t="n">
        <v>5</v>
      </c>
      <c r="Q244" s="28" t="n">
        <v>100</v>
      </c>
      <c r="R244" s="26" t="n">
        <v>30</v>
      </c>
      <c r="S244" s="26" t="n">
        <v>0</v>
      </c>
      <c r="T244" s="28" t="n">
        <v>1</v>
      </c>
      <c r="U244" s="26" t="n">
        <v>0</v>
      </c>
      <c r="V244" s="26" t="n">
        <v>0</v>
      </c>
      <c r="W244" s="22" t="s">
        <v>16</v>
      </c>
      <c r="X244" s="22" t="s">
        <v>373</v>
      </c>
    </row>
    <row r="245" customFormat="false" ht="15" hidden="false" customHeight="false" outlineLevel="0" collapsed="false">
      <c r="A245" s="22" t="s">
        <v>1242</v>
      </c>
      <c r="B245" s="22" t="s">
        <v>16</v>
      </c>
      <c r="C245" s="22" t="s">
        <v>1243</v>
      </c>
      <c r="D245" s="22" t="s">
        <v>1244</v>
      </c>
      <c r="E245" s="22" t="s">
        <v>1245</v>
      </c>
      <c r="F245" s="22" t="n">
        <v>9</v>
      </c>
      <c r="G245" s="26" t="n">
        <v>66.1</v>
      </c>
      <c r="H245" s="26" t="n">
        <v>77.62</v>
      </c>
      <c r="I245" s="26" t="n">
        <v>89.14</v>
      </c>
      <c r="J245" s="26" t="n">
        <v>100.65</v>
      </c>
      <c r="K245" s="26" t="n">
        <v>112.17</v>
      </c>
      <c r="L245" s="26" t="n">
        <v>1.98</v>
      </c>
      <c r="M245" s="27" t="n">
        <v>0.005</v>
      </c>
      <c r="N245" s="27" t="n">
        <v>0.002</v>
      </c>
      <c r="O245" s="26" t="n">
        <v>5</v>
      </c>
      <c r="P245" s="26" t="n">
        <v>5</v>
      </c>
      <c r="Q245" s="28" t="n">
        <v>100</v>
      </c>
      <c r="R245" s="26" t="n">
        <v>30</v>
      </c>
      <c r="S245" s="26" t="n">
        <v>0</v>
      </c>
      <c r="T245" s="28" t="n">
        <v>1</v>
      </c>
      <c r="U245" s="26" t="n">
        <v>0</v>
      </c>
      <c r="V245" s="26" t="n">
        <v>0</v>
      </c>
      <c r="W245" s="22" t="s">
        <v>16</v>
      </c>
      <c r="X245" s="22" t="s">
        <v>373</v>
      </c>
    </row>
    <row r="246" customFormat="false" ht="15" hidden="false" customHeight="false" outlineLevel="0" collapsed="false">
      <c r="A246" s="22" t="s">
        <v>1246</v>
      </c>
      <c r="B246" s="22" t="s">
        <v>16</v>
      </c>
      <c r="C246" s="22" t="s">
        <v>1247</v>
      </c>
      <c r="D246" s="22" t="s">
        <v>1248</v>
      </c>
      <c r="E246" s="22" t="s">
        <v>1249</v>
      </c>
      <c r="F246" s="22" t="n">
        <v>11</v>
      </c>
      <c r="G246" s="26" t="n">
        <v>66.1</v>
      </c>
      <c r="H246" s="26" t="n">
        <v>77.62</v>
      </c>
      <c r="I246" s="26" t="n">
        <v>89.14</v>
      </c>
      <c r="J246" s="26" t="n">
        <v>100.65</v>
      </c>
      <c r="K246" s="26" t="n">
        <v>112.17</v>
      </c>
      <c r="L246" s="26" t="n">
        <v>1.98</v>
      </c>
      <c r="M246" s="27" t="n">
        <v>0.005</v>
      </c>
      <c r="N246" s="27" t="n">
        <v>0.002</v>
      </c>
      <c r="O246" s="26" t="n">
        <v>5</v>
      </c>
      <c r="P246" s="26" t="n">
        <v>5</v>
      </c>
      <c r="Q246" s="28" t="n">
        <v>100</v>
      </c>
      <c r="R246" s="26" t="n">
        <v>30</v>
      </c>
      <c r="S246" s="26" t="n">
        <v>0</v>
      </c>
      <c r="T246" s="28" t="n">
        <v>1</v>
      </c>
      <c r="U246" s="26" t="n">
        <v>0</v>
      </c>
      <c r="V246" s="26" t="n">
        <v>0</v>
      </c>
      <c r="W246" s="22" t="s">
        <v>16</v>
      </c>
      <c r="X246" s="22" t="s">
        <v>373</v>
      </c>
    </row>
    <row r="247" customFormat="false" ht="15" hidden="false" customHeight="false" outlineLevel="0" collapsed="false">
      <c r="A247" s="22" t="s">
        <v>1250</v>
      </c>
      <c r="B247" s="22" t="s">
        <v>16</v>
      </c>
      <c r="C247" s="22" t="s">
        <v>1251</v>
      </c>
      <c r="D247" s="22" t="s">
        <v>1252</v>
      </c>
      <c r="E247" s="22" t="s">
        <v>1253</v>
      </c>
      <c r="F247" s="22" t="n">
        <v>9</v>
      </c>
      <c r="G247" s="26" t="n">
        <v>66.1</v>
      </c>
      <c r="H247" s="26" t="n">
        <v>77.62</v>
      </c>
      <c r="I247" s="26" t="n">
        <v>89.14</v>
      </c>
      <c r="J247" s="26" t="n">
        <v>100.65</v>
      </c>
      <c r="K247" s="26" t="n">
        <v>112.17</v>
      </c>
      <c r="L247" s="26" t="n">
        <v>1.98</v>
      </c>
      <c r="M247" s="27" t="n">
        <v>0.005</v>
      </c>
      <c r="N247" s="27" t="n">
        <v>0.002</v>
      </c>
      <c r="O247" s="26" t="n">
        <v>5</v>
      </c>
      <c r="P247" s="26" t="n">
        <v>5</v>
      </c>
      <c r="Q247" s="28" t="n">
        <v>100</v>
      </c>
      <c r="R247" s="26" t="n">
        <v>30</v>
      </c>
      <c r="S247" s="26" t="n">
        <v>0</v>
      </c>
      <c r="T247" s="28" t="n">
        <v>1</v>
      </c>
      <c r="U247" s="26" t="n">
        <v>0</v>
      </c>
      <c r="V247" s="26" t="n">
        <v>0</v>
      </c>
      <c r="W247" s="22" t="s">
        <v>16</v>
      </c>
      <c r="X247" s="22" t="s">
        <v>373</v>
      </c>
    </row>
    <row r="248" customFormat="false" ht="15" hidden="false" customHeight="false" outlineLevel="0" collapsed="false">
      <c r="A248" s="22" t="s">
        <v>1254</v>
      </c>
      <c r="B248" s="22" t="s">
        <v>16</v>
      </c>
      <c r="C248" s="22" t="s">
        <v>1255</v>
      </c>
      <c r="D248" s="22" t="s">
        <v>1256</v>
      </c>
      <c r="E248" s="22" t="s">
        <v>1257</v>
      </c>
      <c r="F248" s="22" t="n">
        <v>9</v>
      </c>
      <c r="G248" s="26" t="n">
        <v>66.1</v>
      </c>
      <c r="H248" s="26" t="n">
        <v>77.62</v>
      </c>
      <c r="I248" s="26" t="n">
        <v>89.14</v>
      </c>
      <c r="J248" s="26" t="n">
        <v>100.65</v>
      </c>
      <c r="K248" s="26" t="n">
        <v>112.17</v>
      </c>
      <c r="L248" s="26" t="n">
        <v>1.98</v>
      </c>
      <c r="M248" s="27" t="n">
        <v>0.005</v>
      </c>
      <c r="N248" s="27" t="n">
        <v>0.002</v>
      </c>
      <c r="O248" s="26" t="n">
        <v>5</v>
      </c>
      <c r="P248" s="26" t="n">
        <v>5</v>
      </c>
      <c r="Q248" s="28" t="n">
        <v>100</v>
      </c>
      <c r="R248" s="26" t="n">
        <v>30</v>
      </c>
      <c r="S248" s="26" t="n">
        <v>0</v>
      </c>
      <c r="T248" s="28" t="n">
        <v>1</v>
      </c>
      <c r="U248" s="26" t="n">
        <v>0</v>
      </c>
      <c r="V248" s="26" t="n">
        <v>250</v>
      </c>
      <c r="W248" s="22" t="s">
        <v>16</v>
      </c>
      <c r="X248" s="22" t="s">
        <v>373</v>
      </c>
    </row>
    <row r="249" customFormat="false" ht="15" hidden="false" customHeight="false" outlineLevel="0" collapsed="false">
      <c r="A249" s="22" t="s">
        <v>1258</v>
      </c>
      <c r="B249" s="22" t="s">
        <v>16</v>
      </c>
      <c r="C249" s="22" t="s">
        <v>1259</v>
      </c>
      <c r="D249" s="22" t="s">
        <v>1260</v>
      </c>
      <c r="E249" s="22" t="s">
        <v>1261</v>
      </c>
      <c r="F249" s="22" t="n">
        <v>9</v>
      </c>
      <c r="G249" s="26" t="n">
        <v>66.1</v>
      </c>
      <c r="H249" s="26" t="n">
        <v>77.62</v>
      </c>
      <c r="I249" s="26" t="n">
        <v>89.14</v>
      </c>
      <c r="J249" s="26" t="n">
        <v>100.65</v>
      </c>
      <c r="K249" s="26" t="n">
        <v>112.17</v>
      </c>
      <c r="L249" s="26" t="n">
        <v>1.98</v>
      </c>
      <c r="M249" s="27" t="n">
        <v>0.005</v>
      </c>
      <c r="N249" s="27" t="n">
        <v>0.002</v>
      </c>
      <c r="O249" s="26" t="n">
        <v>5</v>
      </c>
      <c r="P249" s="26" t="n">
        <v>5</v>
      </c>
      <c r="Q249" s="28" t="n">
        <v>100</v>
      </c>
      <c r="R249" s="26" t="n">
        <v>30</v>
      </c>
      <c r="S249" s="26" t="n">
        <v>0</v>
      </c>
      <c r="T249" s="28" t="n">
        <v>1</v>
      </c>
      <c r="U249" s="26" t="n">
        <v>0</v>
      </c>
      <c r="V249" s="26" t="n">
        <v>0</v>
      </c>
      <c r="W249" s="22" t="s">
        <v>16</v>
      </c>
      <c r="X249" s="22" t="s">
        <v>373</v>
      </c>
    </row>
    <row r="250" customFormat="false" ht="15" hidden="false" customHeight="false" outlineLevel="0" collapsed="false">
      <c r="A250" s="22" t="s">
        <v>1262</v>
      </c>
      <c r="B250" s="22" t="s">
        <v>16</v>
      </c>
      <c r="C250" s="22" t="s">
        <v>1263</v>
      </c>
      <c r="D250" s="22" t="s">
        <v>1264</v>
      </c>
      <c r="E250" s="22" t="s">
        <v>1265</v>
      </c>
      <c r="F250" s="22" t="n">
        <v>11</v>
      </c>
      <c r="G250" s="26" t="n">
        <v>66.1</v>
      </c>
      <c r="H250" s="26" t="n">
        <v>77.62</v>
      </c>
      <c r="I250" s="26" t="n">
        <v>89.14</v>
      </c>
      <c r="J250" s="26" t="n">
        <v>100.65</v>
      </c>
      <c r="K250" s="26" t="n">
        <v>112.17</v>
      </c>
      <c r="L250" s="26" t="n">
        <v>1.98</v>
      </c>
      <c r="M250" s="27" t="n">
        <v>0.005</v>
      </c>
      <c r="N250" s="27" t="n">
        <v>0.002</v>
      </c>
      <c r="O250" s="26" t="n">
        <v>5</v>
      </c>
      <c r="P250" s="26" t="n">
        <v>5</v>
      </c>
      <c r="Q250" s="28" t="n">
        <v>100</v>
      </c>
      <c r="R250" s="26" t="n">
        <v>30</v>
      </c>
      <c r="S250" s="26" t="n">
        <v>0</v>
      </c>
      <c r="T250" s="28" t="n">
        <v>1</v>
      </c>
      <c r="U250" s="26" t="n">
        <v>0</v>
      </c>
      <c r="V250" s="26" t="n">
        <v>0</v>
      </c>
      <c r="W250" s="22" t="s">
        <v>16</v>
      </c>
      <c r="X250" s="22" t="s">
        <v>373</v>
      </c>
    </row>
    <row r="251" customFormat="false" ht="15" hidden="false" customHeight="false" outlineLevel="0" collapsed="false">
      <c r="A251" s="22" t="s">
        <v>1266</v>
      </c>
      <c r="B251" s="22" t="s">
        <v>16</v>
      </c>
      <c r="C251" s="22" t="s">
        <v>1267</v>
      </c>
      <c r="D251" s="22" t="s">
        <v>1268</v>
      </c>
      <c r="E251" s="22" t="s">
        <v>1269</v>
      </c>
      <c r="F251" s="22" t="n">
        <v>9</v>
      </c>
      <c r="G251" s="26" t="n">
        <v>66.1</v>
      </c>
      <c r="H251" s="26" t="n">
        <v>77.62</v>
      </c>
      <c r="I251" s="26" t="n">
        <v>89.14</v>
      </c>
      <c r="J251" s="26" t="n">
        <v>100.65</v>
      </c>
      <c r="K251" s="26" t="n">
        <v>112.17</v>
      </c>
      <c r="L251" s="26" t="n">
        <v>1.98</v>
      </c>
      <c r="M251" s="27" t="n">
        <v>0.005</v>
      </c>
      <c r="N251" s="27" t="n">
        <v>0.002</v>
      </c>
      <c r="O251" s="26" t="n">
        <v>5</v>
      </c>
      <c r="P251" s="26" t="n">
        <v>5</v>
      </c>
      <c r="Q251" s="28" t="n">
        <v>100</v>
      </c>
      <c r="R251" s="26" t="n">
        <v>30</v>
      </c>
      <c r="S251" s="26" t="n">
        <v>0</v>
      </c>
      <c r="T251" s="28" t="n">
        <v>1</v>
      </c>
      <c r="U251" s="26" t="n">
        <v>0</v>
      </c>
      <c r="V251" s="26" t="n">
        <v>250</v>
      </c>
      <c r="W251" s="22" t="s">
        <v>16</v>
      </c>
      <c r="X251" s="22" t="s">
        <v>373</v>
      </c>
    </row>
    <row r="252" customFormat="false" ht="15" hidden="false" customHeight="false" outlineLevel="0" collapsed="false">
      <c r="A252" s="22" t="s">
        <v>1270</v>
      </c>
      <c r="B252" s="22" t="s">
        <v>16</v>
      </c>
      <c r="C252" s="22" t="s">
        <v>1271</v>
      </c>
      <c r="D252" s="22" t="s">
        <v>1272</v>
      </c>
      <c r="E252" s="22" t="s">
        <v>1273</v>
      </c>
      <c r="F252" s="22" t="n">
        <v>9</v>
      </c>
      <c r="G252" s="26" t="n">
        <v>66.1</v>
      </c>
      <c r="H252" s="26" t="n">
        <v>77.62</v>
      </c>
      <c r="I252" s="26" t="n">
        <v>89.14</v>
      </c>
      <c r="J252" s="26" t="n">
        <v>100.65</v>
      </c>
      <c r="K252" s="26" t="n">
        <v>112.17</v>
      </c>
      <c r="L252" s="26" t="n">
        <v>1.98</v>
      </c>
      <c r="M252" s="27" t="n">
        <v>0.005</v>
      </c>
      <c r="N252" s="27" t="n">
        <v>0.002</v>
      </c>
      <c r="O252" s="26" t="n">
        <v>5</v>
      </c>
      <c r="P252" s="26" t="n">
        <v>5</v>
      </c>
      <c r="Q252" s="28" t="n">
        <v>100</v>
      </c>
      <c r="R252" s="26" t="n">
        <v>30</v>
      </c>
      <c r="S252" s="26" t="n">
        <v>0</v>
      </c>
      <c r="T252" s="28" t="n">
        <v>1</v>
      </c>
      <c r="U252" s="26" t="n">
        <v>0</v>
      </c>
      <c r="V252" s="26" t="n">
        <v>0</v>
      </c>
      <c r="W252" s="22" t="s">
        <v>16</v>
      </c>
      <c r="X252" s="22" t="s">
        <v>373</v>
      </c>
    </row>
    <row r="253" customFormat="false" ht="15" hidden="false" customHeight="false" outlineLevel="0" collapsed="false">
      <c r="A253" s="22" t="s">
        <v>1274</v>
      </c>
      <c r="B253" s="22" t="s">
        <v>16</v>
      </c>
      <c r="C253" s="22" t="s">
        <v>1275</v>
      </c>
      <c r="D253" s="22" t="s">
        <v>1276</v>
      </c>
      <c r="E253" s="22" t="s">
        <v>1277</v>
      </c>
      <c r="F253" s="22" t="n">
        <v>11</v>
      </c>
      <c r="G253" s="26" t="n">
        <v>66.1</v>
      </c>
      <c r="H253" s="26" t="n">
        <v>77.62</v>
      </c>
      <c r="I253" s="26" t="n">
        <v>89.14</v>
      </c>
      <c r="J253" s="26" t="n">
        <v>100.65</v>
      </c>
      <c r="K253" s="26" t="n">
        <v>112.17</v>
      </c>
      <c r="L253" s="26" t="n">
        <v>1.98</v>
      </c>
      <c r="M253" s="27" t="n">
        <v>0.005</v>
      </c>
      <c r="N253" s="27" t="n">
        <v>0.002</v>
      </c>
      <c r="O253" s="26" t="n">
        <v>5</v>
      </c>
      <c r="P253" s="26" t="n">
        <v>5</v>
      </c>
      <c r="Q253" s="28" t="n">
        <v>100</v>
      </c>
      <c r="R253" s="26" t="n">
        <v>30</v>
      </c>
      <c r="S253" s="26" t="n">
        <v>0</v>
      </c>
      <c r="T253" s="28" t="n">
        <v>1</v>
      </c>
      <c r="U253" s="26" t="n">
        <v>0</v>
      </c>
      <c r="V253" s="26" t="n">
        <v>0</v>
      </c>
      <c r="W253" s="22" t="s">
        <v>16</v>
      </c>
      <c r="X253" s="22" t="s">
        <v>373</v>
      </c>
    </row>
    <row r="254" customFormat="false" ht="15" hidden="false" customHeight="false" outlineLevel="0" collapsed="false">
      <c r="A254" s="22" t="s">
        <v>1278</v>
      </c>
      <c r="B254" s="22" t="s">
        <v>16</v>
      </c>
      <c r="C254" s="22" t="s">
        <v>1279</v>
      </c>
      <c r="D254" s="22" t="s">
        <v>1280</v>
      </c>
      <c r="E254" s="22" t="s">
        <v>1281</v>
      </c>
      <c r="F254" s="22" t="n">
        <v>11</v>
      </c>
      <c r="G254" s="26" t="n">
        <v>66.1</v>
      </c>
      <c r="H254" s="26" t="n">
        <v>77.62</v>
      </c>
      <c r="I254" s="26" t="n">
        <v>89.14</v>
      </c>
      <c r="J254" s="26" t="n">
        <v>100.65</v>
      </c>
      <c r="K254" s="26" t="n">
        <v>112.17</v>
      </c>
      <c r="L254" s="26" t="n">
        <v>1.98</v>
      </c>
      <c r="M254" s="27" t="n">
        <v>0.005</v>
      </c>
      <c r="N254" s="27" t="n">
        <v>0.002</v>
      </c>
      <c r="O254" s="26" t="n">
        <v>5</v>
      </c>
      <c r="P254" s="26" t="n">
        <v>5</v>
      </c>
      <c r="Q254" s="28" t="n">
        <v>100</v>
      </c>
      <c r="R254" s="26" t="n">
        <v>30</v>
      </c>
      <c r="S254" s="26" t="n">
        <v>0</v>
      </c>
      <c r="T254" s="28" t="n">
        <v>1</v>
      </c>
      <c r="U254" s="26" t="n">
        <v>0</v>
      </c>
      <c r="V254" s="26" t="n">
        <v>0</v>
      </c>
      <c r="W254" s="22" t="s">
        <v>16</v>
      </c>
      <c r="X254" s="22" t="s">
        <v>373</v>
      </c>
    </row>
    <row r="255" customFormat="false" ht="15" hidden="false" customHeight="false" outlineLevel="0" collapsed="false">
      <c r="A255" s="22" t="s">
        <v>1282</v>
      </c>
      <c r="B255" s="22" t="s">
        <v>16</v>
      </c>
      <c r="C255" s="22" t="s">
        <v>1283</v>
      </c>
      <c r="D255" s="22" t="s">
        <v>1284</v>
      </c>
      <c r="E255" s="22" t="s">
        <v>1285</v>
      </c>
      <c r="F255" s="22" t="n">
        <v>11</v>
      </c>
      <c r="G255" s="26" t="n">
        <v>66.1</v>
      </c>
      <c r="H255" s="26" t="n">
        <v>77.62</v>
      </c>
      <c r="I255" s="26" t="n">
        <v>89.14</v>
      </c>
      <c r="J255" s="26" t="n">
        <v>100.65</v>
      </c>
      <c r="K255" s="26" t="n">
        <v>112.17</v>
      </c>
      <c r="L255" s="26" t="n">
        <v>1.98</v>
      </c>
      <c r="M255" s="27" t="n">
        <v>0.005</v>
      </c>
      <c r="N255" s="27" t="n">
        <v>0.002</v>
      </c>
      <c r="O255" s="26" t="n">
        <v>5</v>
      </c>
      <c r="P255" s="26" t="n">
        <v>5</v>
      </c>
      <c r="Q255" s="28" t="n">
        <v>100</v>
      </c>
      <c r="R255" s="26" t="n">
        <v>30</v>
      </c>
      <c r="S255" s="26" t="n">
        <v>0</v>
      </c>
      <c r="T255" s="28" t="n">
        <v>1</v>
      </c>
      <c r="U255" s="26" t="n">
        <v>0</v>
      </c>
      <c r="V255" s="26" t="n">
        <v>0</v>
      </c>
      <c r="W255" s="22" t="s">
        <v>16</v>
      </c>
      <c r="X255" s="22" t="s">
        <v>373</v>
      </c>
    </row>
    <row r="256" customFormat="false" ht="15" hidden="false" customHeight="false" outlineLevel="0" collapsed="false">
      <c r="A256" s="22" t="s">
        <v>1286</v>
      </c>
      <c r="B256" s="22" t="s">
        <v>16</v>
      </c>
      <c r="C256" s="22" t="s">
        <v>1287</v>
      </c>
      <c r="D256" s="22" t="s">
        <v>1288</v>
      </c>
      <c r="E256" s="22" t="s">
        <v>1289</v>
      </c>
      <c r="F256" s="22" t="n">
        <v>11</v>
      </c>
      <c r="G256" s="26" t="n">
        <v>66.1</v>
      </c>
      <c r="H256" s="26" t="n">
        <v>77.62</v>
      </c>
      <c r="I256" s="26" t="n">
        <v>89.14</v>
      </c>
      <c r="J256" s="26" t="n">
        <v>100.65</v>
      </c>
      <c r="K256" s="26" t="n">
        <v>112.17</v>
      </c>
      <c r="L256" s="26" t="n">
        <v>1.98</v>
      </c>
      <c r="M256" s="27" t="n">
        <v>0.005</v>
      </c>
      <c r="N256" s="27" t="n">
        <v>0.002</v>
      </c>
      <c r="O256" s="26" t="n">
        <v>5</v>
      </c>
      <c r="P256" s="26" t="n">
        <v>5</v>
      </c>
      <c r="Q256" s="28" t="n">
        <v>100</v>
      </c>
      <c r="R256" s="26" t="n">
        <v>30</v>
      </c>
      <c r="S256" s="26" t="n">
        <v>0</v>
      </c>
      <c r="T256" s="28" t="n">
        <v>1</v>
      </c>
      <c r="U256" s="26" t="n">
        <v>0</v>
      </c>
      <c r="V256" s="26" t="n">
        <v>0</v>
      </c>
      <c r="W256" s="22" t="s">
        <v>16</v>
      </c>
      <c r="X256" s="22" t="s">
        <v>373</v>
      </c>
    </row>
    <row r="257" customFormat="false" ht="15" hidden="false" customHeight="false" outlineLevel="0" collapsed="false">
      <c r="A257" s="22" t="s">
        <v>1290</v>
      </c>
      <c r="B257" s="22" t="s">
        <v>16</v>
      </c>
      <c r="C257" s="22" t="s">
        <v>1291</v>
      </c>
      <c r="D257" s="22" t="s">
        <v>1292</v>
      </c>
      <c r="E257" s="22" t="s">
        <v>1293</v>
      </c>
      <c r="F257" s="22" t="n">
        <v>9</v>
      </c>
      <c r="G257" s="26" t="n">
        <v>66.1</v>
      </c>
      <c r="H257" s="26" t="n">
        <v>77.62</v>
      </c>
      <c r="I257" s="26" t="n">
        <v>89.14</v>
      </c>
      <c r="J257" s="26" t="n">
        <v>100.65</v>
      </c>
      <c r="K257" s="26" t="n">
        <v>112.17</v>
      </c>
      <c r="L257" s="26" t="n">
        <v>1.98</v>
      </c>
      <c r="M257" s="27" t="n">
        <v>0.005</v>
      </c>
      <c r="N257" s="27" t="n">
        <v>0.002</v>
      </c>
      <c r="O257" s="26" t="n">
        <v>5</v>
      </c>
      <c r="P257" s="26" t="n">
        <v>5</v>
      </c>
      <c r="Q257" s="28" t="n">
        <v>100</v>
      </c>
      <c r="R257" s="26" t="n">
        <v>30</v>
      </c>
      <c r="S257" s="26" t="n">
        <v>0</v>
      </c>
      <c r="T257" s="28" t="n">
        <v>1</v>
      </c>
      <c r="U257" s="26" t="n">
        <v>0</v>
      </c>
      <c r="V257" s="26" t="n">
        <v>0</v>
      </c>
      <c r="W257" s="22" t="s">
        <v>16</v>
      </c>
      <c r="X257" s="22" t="s">
        <v>373</v>
      </c>
    </row>
    <row r="258" customFormat="false" ht="15" hidden="false" customHeight="false" outlineLevel="0" collapsed="false">
      <c r="A258" s="22" t="s">
        <v>1294</v>
      </c>
      <c r="B258" s="22" t="s">
        <v>16</v>
      </c>
      <c r="C258" s="22" t="s">
        <v>1295</v>
      </c>
      <c r="D258" s="22" t="s">
        <v>1296</v>
      </c>
      <c r="E258" s="22" t="s">
        <v>1297</v>
      </c>
      <c r="F258" s="22" t="n">
        <v>9</v>
      </c>
      <c r="G258" s="26" t="n">
        <v>66.1</v>
      </c>
      <c r="H258" s="26" t="n">
        <v>77.62</v>
      </c>
      <c r="I258" s="26" t="n">
        <v>89.14</v>
      </c>
      <c r="J258" s="26" t="n">
        <v>100.65</v>
      </c>
      <c r="K258" s="26" t="n">
        <v>112.17</v>
      </c>
      <c r="L258" s="26" t="n">
        <v>1.98</v>
      </c>
      <c r="M258" s="27" t="n">
        <v>0.005</v>
      </c>
      <c r="N258" s="27" t="n">
        <v>0.002</v>
      </c>
      <c r="O258" s="26" t="n">
        <v>5</v>
      </c>
      <c r="P258" s="26" t="n">
        <v>5</v>
      </c>
      <c r="Q258" s="28" t="n">
        <v>100</v>
      </c>
      <c r="R258" s="26" t="n">
        <v>30</v>
      </c>
      <c r="S258" s="26" t="n">
        <v>0</v>
      </c>
      <c r="T258" s="28" t="n">
        <v>1</v>
      </c>
      <c r="U258" s="26" t="n">
        <v>0</v>
      </c>
      <c r="V258" s="26" t="n">
        <v>0</v>
      </c>
      <c r="W258" s="22" t="s">
        <v>16</v>
      </c>
      <c r="X258" s="22" t="s">
        <v>373</v>
      </c>
    </row>
    <row r="259" customFormat="false" ht="15" hidden="false" customHeight="false" outlineLevel="0" collapsed="false">
      <c r="A259" s="22" t="s">
        <v>1298</v>
      </c>
      <c r="B259" s="22" t="s">
        <v>16</v>
      </c>
      <c r="C259" s="22" t="s">
        <v>1299</v>
      </c>
      <c r="D259" s="22" t="s">
        <v>1300</v>
      </c>
      <c r="E259" s="22" t="s">
        <v>1301</v>
      </c>
      <c r="F259" s="22" t="n">
        <v>9</v>
      </c>
      <c r="G259" s="26" t="n">
        <v>66.1</v>
      </c>
      <c r="H259" s="26" t="n">
        <v>77.62</v>
      </c>
      <c r="I259" s="26" t="n">
        <v>89.14</v>
      </c>
      <c r="J259" s="26" t="n">
        <v>100.65</v>
      </c>
      <c r="K259" s="26" t="n">
        <v>112.17</v>
      </c>
      <c r="L259" s="26" t="n">
        <v>1.98</v>
      </c>
      <c r="M259" s="27" t="n">
        <v>0.005</v>
      </c>
      <c r="N259" s="27" t="n">
        <v>0.002</v>
      </c>
      <c r="O259" s="26" t="n">
        <v>5</v>
      </c>
      <c r="P259" s="26" t="n">
        <v>5</v>
      </c>
      <c r="Q259" s="28" t="n">
        <v>100</v>
      </c>
      <c r="R259" s="26" t="n">
        <v>30</v>
      </c>
      <c r="S259" s="26" t="n">
        <v>0</v>
      </c>
      <c r="T259" s="28" t="n">
        <v>1</v>
      </c>
      <c r="U259" s="26" t="n">
        <v>0</v>
      </c>
      <c r="V259" s="26" t="n">
        <v>0</v>
      </c>
      <c r="W259" s="22" t="s">
        <v>16</v>
      </c>
      <c r="X259" s="22" t="s">
        <v>373</v>
      </c>
    </row>
    <row r="260" customFormat="false" ht="15" hidden="false" customHeight="false" outlineLevel="0" collapsed="false">
      <c r="A260" s="22" t="s">
        <v>1302</v>
      </c>
      <c r="B260" s="22" t="s">
        <v>16</v>
      </c>
      <c r="C260" s="22" t="s">
        <v>1303</v>
      </c>
      <c r="D260" s="22" t="s">
        <v>1304</v>
      </c>
      <c r="E260" s="22" t="s">
        <v>1305</v>
      </c>
      <c r="F260" s="22" t="n">
        <v>11</v>
      </c>
      <c r="G260" s="26" t="n">
        <v>66.1</v>
      </c>
      <c r="H260" s="26" t="n">
        <v>77.62</v>
      </c>
      <c r="I260" s="26" t="n">
        <v>89.14</v>
      </c>
      <c r="J260" s="26" t="n">
        <v>100.65</v>
      </c>
      <c r="K260" s="26" t="n">
        <v>112.17</v>
      </c>
      <c r="L260" s="26" t="n">
        <v>1.98</v>
      </c>
      <c r="M260" s="27" t="n">
        <v>0.005</v>
      </c>
      <c r="N260" s="27" t="n">
        <v>0.002</v>
      </c>
      <c r="O260" s="26" t="n">
        <v>5</v>
      </c>
      <c r="P260" s="26" t="n">
        <v>5</v>
      </c>
      <c r="Q260" s="28" t="n">
        <v>100</v>
      </c>
      <c r="R260" s="26" t="n">
        <v>30</v>
      </c>
      <c r="S260" s="26" t="n">
        <v>0</v>
      </c>
      <c r="T260" s="28" t="n">
        <v>1</v>
      </c>
      <c r="U260" s="26" t="n">
        <v>0</v>
      </c>
      <c r="V260" s="26" t="n">
        <v>0</v>
      </c>
      <c r="W260" s="22" t="s">
        <v>16</v>
      </c>
      <c r="X260" s="22" t="s">
        <v>373</v>
      </c>
    </row>
    <row r="261" customFormat="false" ht="15" hidden="false" customHeight="false" outlineLevel="0" collapsed="false">
      <c r="A261" s="22" t="s">
        <v>1306</v>
      </c>
      <c r="B261" s="22" t="s">
        <v>16</v>
      </c>
      <c r="C261" s="22" t="s">
        <v>1307</v>
      </c>
      <c r="D261" s="22" t="s">
        <v>1308</v>
      </c>
      <c r="E261" s="22" t="s">
        <v>1309</v>
      </c>
      <c r="F261" s="22" t="n">
        <v>11</v>
      </c>
      <c r="G261" s="26" t="n">
        <v>66.1</v>
      </c>
      <c r="H261" s="26" t="n">
        <v>77.62</v>
      </c>
      <c r="I261" s="26" t="n">
        <v>89.14</v>
      </c>
      <c r="J261" s="26" t="n">
        <v>100.65</v>
      </c>
      <c r="K261" s="26" t="n">
        <v>112.17</v>
      </c>
      <c r="L261" s="26" t="n">
        <v>1.98</v>
      </c>
      <c r="M261" s="27" t="n">
        <v>0.005</v>
      </c>
      <c r="N261" s="27" t="n">
        <v>0.002</v>
      </c>
      <c r="O261" s="26" t="n">
        <v>5</v>
      </c>
      <c r="P261" s="26" t="n">
        <v>5</v>
      </c>
      <c r="Q261" s="28" t="n">
        <v>100</v>
      </c>
      <c r="R261" s="26" t="n">
        <v>30</v>
      </c>
      <c r="S261" s="26" t="n">
        <v>0</v>
      </c>
      <c r="T261" s="28" t="n">
        <v>1</v>
      </c>
      <c r="U261" s="26" t="n">
        <v>0</v>
      </c>
      <c r="V261" s="26" t="n">
        <v>0</v>
      </c>
      <c r="W261" s="22" t="s">
        <v>16</v>
      </c>
      <c r="X261" s="22" t="s">
        <v>373</v>
      </c>
    </row>
    <row r="262" customFormat="false" ht="15" hidden="false" customHeight="false" outlineLevel="0" collapsed="false">
      <c r="A262" s="22" t="s">
        <v>1310</v>
      </c>
      <c r="B262" s="22" t="s">
        <v>16</v>
      </c>
      <c r="C262" s="22" t="s">
        <v>1311</v>
      </c>
      <c r="D262" s="22" t="s">
        <v>1312</v>
      </c>
      <c r="E262" s="22" t="s">
        <v>1313</v>
      </c>
      <c r="F262" s="22" t="n">
        <v>9</v>
      </c>
      <c r="G262" s="26" t="n">
        <v>66.1</v>
      </c>
      <c r="H262" s="26" t="n">
        <v>77.62</v>
      </c>
      <c r="I262" s="26" t="n">
        <v>89.14</v>
      </c>
      <c r="J262" s="26" t="n">
        <v>100.65</v>
      </c>
      <c r="K262" s="26" t="n">
        <v>112.17</v>
      </c>
      <c r="L262" s="26" t="n">
        <v>1.98</v>
      </c>
      <c r="M262" s="27" t="n">
        <v>0.005</v>
      </c>
      <c r="N262" s="27" t="n">
        <v>0.002</v>
      </c>
      <c r="O262" s="26" t="n">
        <v>5</v>
      </c>
      <c r="P262" s="26" t="n">
        <v>5</v>
      </c>
      <c r="Q262" s="28" t="n">
        <v>100</v>
      </c>
      <c r="R262" s="26" t="n">
        <v>30</v>
      </c>
      <c r="S262" s="26" t="n">
        <v>0</v>
      </c>
      <c r="T262" s="28" t="n">
        <v>1</v>
      </c>
      <c r="U262" s="26" t="n">
        <v>0</v>
      </c>
      <c r="V262" s="26" t="n">
        <v>250</v>
      </c>
      <c r="W262" s="22" t="s">
        <v>16</v>
      </c>
      <c r="X262" s="22" t="s">
        <v>373</v>
      </c>
    </row>
    <row r="263" customFormat="false" ht="15" hidden="false" customHeight="false" outlineLevel="0" collapsed="false">
      <c r="A263" s="22" t="s">
        <v>1314</v>
      </c>
      <c r="B263" s="22" t="s">
        <v>16</v>
      </c>
      <c r="C263" s="22" t="s">
        <v>1315</v>
      </c>
      <c r="D263" s="22" t="s">
        <v>1316</v>
      </c>
      <c r="E263" s="22" t="s">
        <v>1317</v>
      </c>
      <c r="F263" s="22" t="n">
        <v>11</v>
      </c>
      <c r="G263" s="26" t="n">
        <v>66.1</v>
      </c>
      <c r="H263" s="26" t="n">
        <v>77.62</v>
      </c>
      <c r="I263" s="26" t="n">
        <v>89.14</v>
      </c>
      <c r="J263" s="26" t="n">
        <v>100.65</v>
      </c>
      <c r="K263" s="26" t="n">
        <v>112.17</v>
      </c>
      <c r="L263" s="26" t="n">
        <v>1.98</v>
      </c>
      <c r="M263" s="27" t="n">
        <v>0.005</v>
      </c>
      <c r="N263" s="27" t="n">
        <v>0.002</v>
      </c>
      <c r="O263" s="26" t="n">
        <v>5</v>
      </c>
      <c r="P263" s="26" t="n">
        <v>5</v>
      </c>
      <c r="Q263" s="28" t="n">
        <v>100</v>
      </c>
      <c r="R263" s="26" t="n">
        <v>30</v>
      </c>
      <c r="S263" s="26" t="n">
        <v>0</v>
      </c>
      <c r="T263" s="28" t="n">
        <v>1</v>
      </c>
      <c r="U263" s="26" t="n">
        <v>0</v>
      </c>
      <c r="V263" s="26" t="n">
        <v>0</v>
      </c>
      <c r="W263" s="22" t="s">
        <v>16</v>
      </c>
      <c r="X263" s="22" t="s">
        <v>373</v>
      </c>
    </row>
    <row r="264" customFormat="false" ht="15" hidden="false" customHeight="false" outlineLevel="0" collapsed="false">
      <c r="A264" s="22" t="s">
        <v>1318</v>
      </c>
      <c r="B264" s="22" t="s">
        <v>16</v>
      </c>
      <c r="C264" s="22" t="s">
        <v>1319</v>
      </c>
      <c r="D264" s="22" t="s">
        <v>1320</v>
      </c>
      <c r="E264" s="22" t="s">
        <v>1321</v>
      </c>
      <c r="F264" s="22" t="n">
        <v>9</v>
      </c>
      <c r="G264" s="26" t="n">
        <v>66.1</v>
      </c>
      <c r="H264" s="26" t="n">
        <v>77.62</v>
      </c>
      <c r="I264" s="26" t="n">
        <v>89.14</v>
      </c>
      <c r="J264" s="26" t="n">
        <v>100.65</v>
      </c>
      <c r="K264" s="26" t="n">
        <v>112.17</v>
      </c>
      <c r="L264" s="26" t="n">
        <v>1.98</v>
      </c>
      <c r="M264" s="27" t="n">
        <v>0.005</v>
      </c>
      <c r="N264" s="27" t="n">
        <v>0.002</v>
      </c>
      <c r="O264" s="26" t="n">
        <v>5</v>
      </c>
      <c r="P264" s="26" t="n">
        <v>5</v>
      </c>
      <c r="Q264" s="28" t="n">
        <v>100</v>
      </c>
      <c r="R264" s="26" t="n">
        <v>30</v>
      </c>
      <c r="S264" s="26" t="n">
        <v>0</v>
      </c>
      <c r="T264" s="28" t="n">
        <v>1</v>
      </c>
      <c r="U264" s="26" t="n">
        <v>0</v>
      </c>
      <c r="V264" s="26" t="n">
        <v>0</v>
      </c>
      <c r="W264" s="22" t="s">
        <v>16</v>
      </c>
      <c r="X264" s="22" t="s">
        <v>373</v>
      </c>
    </row>
    <row r="265" customFormat="false" ht="15" hidden="false" customHeight="false" outlineLevel="0" collapsed="false">
      <c r="A265" s="22" t="s">
        <v>1322</v>
      </c>
      <c r="B265" s="22" t="s">
        <v>16</v>
      </c>
      <c r="C265" s="22" t="s">
        <v>1323</v>
      </c>
      <c r="D265" s="22" t="s">
        <v>1324</v>
      </c>
      <c r="E265" s="22" t="s">
        <v>1325</v>
      </c>
      <c r="F265" s="22" t="n">
        <v>9</v>
      </c>
      <c r="G265" s="26" t="n">
        <v>66.1</v>
      </c>
      <c r="H265" s="26" t="n">
        <v>77.62</v>
      </c>
      <c r="I265" s="26" t="n">
        <v>89.14</v>
      </c>
      <c r="J265" s="26" t="n">
        <v>100.65</v>
      </c>
      <c r="K265" s="26" t="n">
        <v>112.17</v>
      </c>
      <c r="L265" s="26" t="n">
        <v>1.98</v>
      </c>
      <c r="M265" s="27" t="n">
        <v>0.005</v>
      </c>
      <c r="N265" s="27" t="n">
        <v>0.002</v>
      </c>
      <c r="O265" s="26" t="n">
        <v>5</v>
      </c>
      <c r="P265" s="26" t="n">
        <v>5</v>
      </c>
      <c r="Q265" s="28" t="n">
        <v>100</v>
      </c>
      <c r="R265" s="26" t="n">
        <v>30</v>
      </c>
      <c r="S265" s="26" t="n">
        <v>0</v>
      </c>
      <c r="T265" s="28" t="n">
        <v>1</v>
      </c>
      <c r="U265" s="26" t="n">
        <v>0</v>
      </c>
      <c r="V265" s="26" t="n">
        <v>0</v>
      </c>
      <c r="W265" s="22" t="s">
        <v>16</v>
      </c>
      <c r="X265" s="22" t="s">
        <v>373</v>
      </c>
    </row>
    <row r="266" customFormat="false" ht="15" hidden="false" customHeight="false" outlineLevel="0" collapsed="false">
      <c r="A266" s="22" t="s">
        <v>1326</v>
      </c>
      <c r="B266" s="22" t="s">
        <v>16</v>
      </c>
      <c r="C266" s="22" t="s">
        <v>1327</v>
      </c>
      <c r="D266" s="22" t="s">
        <v>1328</v>
      </c>
      <c r="E266" s="22" t="s">
        <v>1329</v>
      </c>
      <c r="F266" s="22" t="n">
        <v>11</v>
      </c>
      <c r="G266" s="26" t="n">
        <v>66.1</v>
      </c>
      <c r="H266" s="26" t="n">
        <v>77.62</v>
      </c>
      <c r="I266" s="26" t="n">
        <v>89.14</v>
      </c>
      <c r="J266" s="26" t="n">
        <v>100.65</v>
      </c>
      <c r="K266" s="26" t="n">
        <v>112.17</v>
      </c>
      <c r="L266" s="26" t="n">
        <v>1.98</v>
      </c>
      <c r="M266" s="27" t="n">
        <v>0.005</v>
      </c>
      <c r="N266" s="27" t="n">
        <v>0.002</v>
      </c>
      <c r="O266" s="26" t="n">
        <v>5</v>
      </c>
      <c r="P266" s="26" t="n">
        <v>5</v>
      </c>
      <c r="Q266" s="28" t="n">
        <v>100</v>
      </c>
      <c r="R266" s="26" t="n">
        <v>30</v>
      </c>
      <c r="S266" s="26" t="n">
        <v>0</v>
      </c>
      <c r="T266" s="28" t="n">
        <v>1</v>
      </c>
      <c r="U266" s="26" t="n">
        <v>0</v>
      </c>
      <c r="V266" s="26" t="n">
        <v>0</v>
      </c>
      <c r="W266" s="22" t="s">
        <v>16</v>
      </c>
      <c r="X266" s="22" t="s">
        <v>373</v>
      </c>
    </row>
    <row r="267" customFormat="false" ht="15" hidden="false" customHeight="false" outlineLevel="0" collapsed="false">
      <c r="A267" s="22" t="s">
        <v>1330</v>
      </c>
      <c r="B267" s="22" t="s">
        <v>16</v>
      </c>
      <c r="C267" s="22" t="s">
        <v>1331</v>
      </c>
      <c r="D267" s="22" t="s">
        <v>1332</v>
      </c>
      <c r="E267" s="22" t="s">
        <v>1333</v>
      </c>
      <c r="F267" s="22" t="n">
        <v>11</v>
      </c>
      <c r="G267" s="26" t="n">
        <v>66.1</v>
      </c>
      <c r="H267" s="26" t="n">
        <v>77.62</v>
      </c>
      <c r="I267" s="26" t="n">
        <v>89.14</v>
      </c>
      <c r="J267" s="26" t="n">
        <v>100.65</v>
      </c>
      <c r="K267" s="26" t="n">
        <v>112.17</v>
      </c>
      <c r="L267" s="26" t="n">
        <v>1.98</v>
      </c>
      <c r="M267" s="27" t="n">
        <v>0.005</v>
      </c>
      <c r="N267" s="27" t="n">
        <v>0.002</v>
      </c>
      <c r="O267" s="26" t="n">
        <v>5</v>
      </c>
      <c r="P267" s="26" t="n">
        <v>5</v>
      </c>
      <c r="Q267" s="28" t="n">
        <v>100</v>
      </c>
      <c r="R267" s="26" t="n">
        <v>30</v>
      </c>
      <c r="S267" s="26" t="n">
        <v>0</v>
      </c>
      <c r="T267" s="28" t="n">
        <v>1</v>
      </c>
      <c r="U267" s="26" t="n">
        <v>0</v>
      </c>
      <c r="V267" s="26" t="n">
        <v>250</v>
      </c>
      <c r="W267" s="22" t="s">
        <v>16</v>
      </c>
      <c r="X267" s="22" t="s">
        <v>373</v>
      </c>
    </row>
    <row r="268" customFormat="false" ht="15" hidden="false" customHeight="false" outlineLevel="0" collapsed="false">
      <c r="A268" s="22" t="s">
        <v>1334</v>
      </c>
      <c r="B268" s="22" t="s">
        <v>16</v>
      </c>
      <c r="C268" s="22" t="s">
        <v>1335</v>
      </c>
      <c r="D268" s="22" t="s">
        <v>1336</v>
      </c>
      <c r="E268" s="22" t="s">
        <v>1337</v>
      </c>
      <c r="F268" s="22" t="n">
        <v>11</v>
      </c>
      <c r="G268" s="26" t="n">
        <v>66.1</v>
      </c>
      <c r="H268" s="26" t="n">
        <v>77.62</v>
      </c>
      <c r="I268" s="26" t="n">
        <v>89.14</v>
      </c>
      <c r="J268" s="26" t="n">
        <v>100.65</v>
      </c>
      <c r="K268" s="26" t="n">
        <v>112.17</v>
      </c>
      <c r="L268" s="26" t="n">
        <v>1.98</v>
      </c>
      <c r="M268" s="27" t="n">
        <v>0.005</v>
      </c>
      <c r="N268" s="27" t="n">
        <v>0.002</v>
      </c>
      <c r="O268" s="26" t="n">
        <v>5</v>
      </c>
      <c r="P268" s="26" t="n">
        <v>5</v>
      </c>
      <c r="Q268" s="28" t="n">
        <v>100</v>
      </c>
      <c r="R268" s="26" t="n">
        <v>30</v>
      </c>
      <c r="S268" s="26" t="n">
        <v>0</v>
      </c>
      <c r="T268" s="28" t="n">
        <v>1</v>
      </c>
      <c r="U268" s="26" t="n">
        <v>0</v>
      </c>
      <c r="V268" s="26" t="n">
        <v>0</v>
      </c>
      <c r="W268" s="22" t="s">
        <v>16</v>
      </c>
      <c r="X268" s="22" t="s">
        <v>373</v>
      </c>
    </row>
    <row r="269" customFormat="false" ht="15" hidden="false" customHeight="false" outlineLevel="0" collapsed="false">
      <c r="A269" s="22" t="s">
        <v>1338</v>
      </c>
      <c r="B269" s="22" t="s">
        <v>16</v>
      </c>
      <c r="C269" s="22" t="s">
        <v>1339</v>
      </c>
      <c r="D269" s="22" t="s">
        <v>1340</v>
      </c>
      <c r="E269" s="22" t="s">
        <v>1341</v>
      </c>
      <c r="F269" s="22" t="n">
        <v>11</v>
      </c>
      <c r="G269" s="26" t="n">
        <v>66.1</v>
      </c>
      <c r="H269" s="26" t="n">
        <v>77.62</v>
      </c>
      <c r="I269" s="26" t="n">
        <v>89.14</v>
      </c>
      <c r="J269" s="26" t="n">
        <v>100.65</v>
      </c>
      <c r="K269" s="26" t="n">
        <v>112.17</v>
      </c>
      <c r="L269" s="26" t="n">
        <v>1.98</v>
      </c>
      <c r="M269" s="27" t="n">
        <v>0.005</v>
      </c>
      <c r="N269" s="27" t="n">
        <v>0.002</v>
      </c>
      <c r="O269" s="26" t="n">
        <v>5</v>
      </c>
      <c r="P269" s="26" t="n">
        <v>5</v>
      </c>
      <c r="Q269" s="28" t="n">
        <v>100</v>
      </c>
      <c r="R269" s="26" t="n">
        <v>30</v>
      </c>
      <c r="S269" s="26" t="n">
        <v>0</v>
      </c>
      <c r="T269" s="28" t="n">
        <v>1</v>
      </c>
      <c r="U269" s="26" t="n">
        <v>0</v>
      </c>
      <c r="V269" s="26" t="n">
        <v>0</v>
      </c>
      <c r="W269" s="22" t="s">
        <v>16</v>
      </c>
      <c r="X269" s="22" t="s">
        <v>373</v>
      </c>
    </row>
    <row r="270" customFormat="false" ht="15" hidden="false" customHeight="false" outlineLevel="0" collapsed="false">
      <c r="A270" s="22" t="s">
        <v>1342</v>
      </c>
      <c r="B270" s="22" t="s">
        <v>16</v>
      </c>
      <c r="C270" s="22" t="s">
        <v>1343</v>
      </c>
      <c r="D270" s="22" t="s">
        <v>1344</v>
      </c>
      <c r="E270" s="22" t="s">
        <v>1345</v>
      </c>
      <c r="F270" s="22" t="n">
        <v>11</v>
      </c>
      <c r="G270" s="26" t="n">
        <v>66.1</v>
      </c>
      <c r="H270" s="26" t="n">
        <v>77.62</v>
      </c>
      <c r="I270" s="26" t="n">
        <v>89.14</v>
      </c>
      <c r="J270" s="26" t="n">
        <v>100.65</v>
      </c>
      <c r="K270" s="26" t="n">
        <v>112.17</v>
      </c>
      <c r="L270" s="26" t="n">
        <v>1.98</v>
      </c>
      <c r="M270" s="27" t="n">
        <v>0.005</v>
      </c>
      <c r="N270" s="27" t="n">
        <v>0.002</v>
      </c>
      <c r="O270" s="26" t="n">
        <v>5</v>
      </c>
      <c r="P270" s="26" t="n">
        <v>5</v>
      </c>
      <c r="Q270" s="28" t="n">
        <v>100</v>
      </c>
      <c r="R270" s="26" t="n">
        <v>30</v>
      </c>
      <c r="S270" s="26" t="n">
        <v>0</v>
      </c>
      <c r="T270" s="28" t="n">
        <v>1</v>
      </c>
      <c r="U270" s="26" t="n">
        <v>0</v>
      </c>
      <c r="V270" s="26" t="n">
        <v>0</v>
      </c>
      <c r="W270" s="22" t="s">
        <v>16</v>
      </c>
      <c r="X270" s="22" t="s">
        <v>373</v>
      </c>
    </row>
    <row r="271" customFormat="false" ht="15" hidden="false" customHeight="false" outlineLevel="0" collapsed="false">
      <c r="A271" s="22" t="s">
        <v>1346</v>
      </c>
      <c r="B271" s="22" t="s">
        <v>16</v>
      </c>
      <c r="C271" s="22" t="s">
        <v>1347</v>
      </c>
      <c r="D271" s="22" t="s">
        <v>1348</v>
      </c>
      <c r="E271" s="22" t="s">
        <v>1349</v>
      </c>
      <c r="F271" s="22" t="n">
        <v>11</v>
      </c>
      <c r="G271" s="26" t="n">
        <v>66.1</v>
      </c>
      <c r="H271" s="26" t="n">
        <v>77.62</v>
      </c>
      <c r="I271" s="26" t="n">
        <v>89.14</v>
      </c>
      <c r="J271" s="26" t="n">
        <v>100.65</v>
      </c>
      <c r="K271" s="26" t="n">
        <v>112.17</v>
      </c>
      <c r="L271" s="26" t="n">
        <v>1.98</v>
      </c>
      <c r="M271" s="27" t="n">
        <v>0.005</v>
      </c>
      <c r="N271" s="27" t="n">
        <v>0.002</v>
      </c>
      <c r="O271" s="26" t="n">
        <v>5</v>
      </c>
      <c r="P271" s="26" t="n">
        <v>5</v>
      </c>
      <c r="Q271" s="28" t="n">
        <v>100</v>
      </c>
      <c r="R271" s="26" t="n">
        <v>30</v>
      </c>
      <c r="S271" s="26" t="n">
        <v>0</v>
      </c>
      <c r="T271" s="28" t="n">
        <v>1</v>
      </c>
      <c r="U271" s="26" t="n">
        <v>0</v>
      </c>
      <c r="V271" s="26" t="n">
        <v>250</v>
      </c>
      <c r="W271" s="22" t="s">
        <v>16</v>
      </c>
      <c r="X271" s="22" t="s">
        <v>373</v>
      </c>
    </row>
    <row r="272" customFormat="false" ht="15" hidden="false" customHeight="false" outlineLevel="0" collapsed="false">
      <c r="A272" s="22" t="s">
        <v>1350</v>
      </c>
      <c r="B272" s="22" t="s">
        <v>16</v>
      </c>
      <c r="C272" s="22" t="s">
        <v>1351</v>
      </c>
      <c r="D272" s="22" t="s">
        <v>1352</v>
      </c>
      <c r="E272" s="22" t="s">
        <v>1353</v>
      </c>
      <c r="F272" s="22" t="n">
        <v>11</v>
      </c>
      <c r="G272" s="26" t="n">
        <v>66.1</v>
      </c>
      <c r="H272" s="26" t="n">
        <v>77.62</v>
      </c>
      <c r="I272" s="26" t="n">
        <v>89.14</v>
      </c>
      <c r="J272" s="26" t="n">
        <v>100.65</v>
      </c>
      <c r="K272" s="26" t="n">
        <v>112.17</v>
      </c>
      <c r="L272" s="26" t="n">
        <v>1.98</v>
      </c>
      <c r="M272" s="27" t="n">
        <v>0.005</v>
      </c>
      <c r="N272" s="27" t="n">
        <v>0.002</v>
      </c>
      <c r="O272" s="26" t="n">
        <v>5</v>
      </c>
      <c r="P272" s="26" t="n">
        <v>5</v>
      </c>
      <c r="Q272" s="28" t="n">
        <v>100</v>
      </c>
      <c r="R272" s="26" t="n">
        <v>30</v>
      </c>
      <c r="S272" s="26" t="n">
        <v>0</v>
      </c>
      <c r="T272" s="28" t="n">
        <v>1</v>
      </c>
      <c r="U272" s="26" t="n">
        <v>0</v>
      </c>
      <c r="V272" s="26" t="n">
        <v>500</v>
      </c>
      <c r="W272" s="22" t="s">
        <v>16</v>
      </c>
      <c r="X272" s="22" t="s">
        <v>373</v>
      </c>
    </row>
    <row r="273" customFormat="false" ht="15" hidden="false" customHeight="false" outlineLevel="0" collapsed="false">
      <c r="A273" s="22" t="s">
        <v>1354</v>
      </c>
      <c r="B273" s="22" t="s">
        <v>16</v>
      </c>
      <c r="C273" s="22" t="s">
        <v>1355</v>
      </c>
      <c r="D273" s="22" t="s">
        <v>1356</v>
      </c>
      <c r="E273" s="22" t="s">
        <v>1357</v>
      </c>
      <c r="F273" s="22" t="n">
        <v>9</v>
      </c>
      <c r="G273" s="26" t="n">
        <v>66.1</v>
      </c>
      <c r="H273" s="26" t="n">
        <v>77.62</v>
      </c>
      <c r="I273" s="26" t="n">
        <v>89.14</v>
      </c>
      <c r="J273" s="26" t="n">
        <v>100.65</v>
      </c>
      <c r="K273" s="26" t="n">
        <v>112.17</v>
      </c>
      <c r="L273" s="26" t="n">
        <v>1.98</v>
      </c>
      <c r="M273" s="27" t="n">
        <v>0.005</v>
      </c>
      <c r="N273" s="27" t="n">
        <v>0.002</v>
      </c>
      <c r="O273" s="26" t="n">
        <v>5</v>
      </c>
      <c r="P273" s="26" t="n">
        <v>5</v>
      </c>
      <c r="Q273" s="28" t="n">
        <v>100</v>
      </c>
      <c r="R273" s="26" t="n">
        <v>30</v>
      </c>
      <c r="S273" s="26" t="n">
        <v>0</v>
      </c>
      <c r="T273" s="28" t="n">
        <v>1</v>
      </c>
      <c r="U273" s="26" t="n">
        <v>0</v>
      </c>
      <c r="V273" s="26" t="n">
        <v>0</v>
      </c>
      <c r="W273" s="22" t="s">
        <v>16</v>
      </c>
      <c r="X273" s="22" t="s">
        <v>373</v>
      </c>
    </row>
    <row r="274" customFormat="false" ht="15" hidden="false" customHeight="false" outlineLevel="0" collapsed="false">
      <c r="A274" s="22" t="s">
        <v>1358</v>
      </c>
      <c r="B274" s="22" t="s">
        <v>16</v>
      </c>
      <c r="C274" s="22" t="s">
        <v>1359</v>
      </c>
      <c r="D274" s="22" t="s">
        <v>1360</v>
      </c>
      <c r="E274" s="22" t="s">
        <v>1361</v>
      </c>
      <c r="F274" s="22" t="n">
        <v>9</v>
      </c>
      <c r="G274" s="26" t="n">
        <v>66.1</v>
      </c>
      <c r="H274" s="26" t="n">
        <v>77.62</v>
      </c>
      <c r="I274" s="26" t="n">
        <v>89.14</v>
      </c>
      <c r="J274" s="26" t="n">
        <v>100.65</v>
      </c>
      <c r="K274" s="26" t="n">
        <v>112.17</v>
      </c>
      <c r="L274" s="26" t="n">
        <v>1.98</v>
      </c>
      <c r="M274" s="27" t="n">
        <v>0.005</v>
      </c>
      <c r="N274" s="27" t="n">
        <v>0.002</v>
      </c>
      <c r="O274" s="26" t="n">
        <v>5</v>
      </c>
      <c r="P274" s="26" t="n">
        <v>5</v>
      </c>
      <c r="Q274" s="28" t="n">
        <v>100</v>
      </c>
      <c r="R274" s="26" t="n">
        <v>30</v>
      </c>
      <c r="S274" s="26" t="n">
        <v>0</v>
      </c>
      <c r="T274" s="28" t="n">
        <v>1</v>
      </c>
      <c r="U274" s="26" t="n">
        <v>0</v>
      </c>
      <c r="V274" s="26" t="n">
        <v>0</v>
      </c>
      <c r="W274" s="22" t="s">
        <v>16</v>
      </c>
      <c r="X274" s="22" t="s">
        <v>373</v>
      </c>
    </row>
    <row r="275" customFormat="false" ht="15" hidden="false" customHeight="false" outlineLevel="0" collapsed="false">
      <c r="A275" s="22" t="s">
        <v>1362</v>
      </c>
      <c r="B275" s="22" t="s">
        <v>16</v>
      </c>
      <c r="C275" s="22" t="s">
        <v>1363</v>
      </c>
      <c r="D275" s="22" t="s">
        <v>1364</v>
      </c>
      <c r="E275" s="22" t="s">
        <v>1365</v>
      </c>
      <c r="F275" s="22" t="n">
        <v>11</v>
      </c>
      <c r="G275" s="26" t="n">
        <v>66.1</v>
      </c>
      <c r="H275" s="26" t="n">
        <v>77.62</v>
      </c>
      <c r="I275" s="26" t="n">
        <v>89.14</v>
      </c>
      <c r="J275" s="26" t="n">
        <v>100.65</v>
      </c>
      <c r="K275" s="26" t="n">
        <v>112.17</v>
      </c>
      <c r="L275" s="26" t="n">
        <v>1.98</v>
      </c>
      <c r="M275" s="27" t="n">
        <v>0.005</v>
      </c>
      <c r="N275" s="27" t="n">
        <v>0.002</v>
      </c>
      <c r="O275" s="26" t="n">
        <v>5</v>
      </c>
      <c r="P275" s="26" t="n">
        <v>5</v>
      </c>
      <c r="Q275" s="28" t="n">
        <v>100</v>
      </c>
      <c r="R275" s="26" t="n">
        <v>30</v>
      </c>
      <c r="S275" s="26" t="n">
        <v>0</v>
      </c>
      <c r="T275" s="28" t="n">
        <v>1</v>
      </c>
      <c r="U275" s="26" t="n">
        <v>0</v>
      </c>
      <c r="V275" s="26" t="n">
        <v>0</v>
      </c>
      <c r="W275" s="22" t="s">
        <v>16</v>
      </c>
      <c r="X275" s="22" t="s">
        <v>373</v>
      </c>
    </row>
    <row r="276" customFormat="false" ht="15" hidden="false" customHeight="false" outlineLevel="0" collapsed="false">
      <c r="A276" s="22" t="s">
        <v>1366</v>
      </c>
      <c r="B276" s="22" t="s">
        <v>16</v>
      </c>
      <c r="C276" s="22" t="s">
        <v>1367</v>
      </c>
      <c r="D276" s="22" t="s">
        <v>1368</v>
      </c>
      <c r="E276" s="22" t="s">
        <v>1369</v>
      </c>
      <c r="F276" s="22" t="n">
        <v>9</v>
      </c>
      <c r="G276" s="26" t="n">
        <v>66.1</v>
      </c>
      <c r="H276" s="26" t="n">
        <v>77.62</v>
      </c>
      <c r="I276" s="26" t="n">
        <v>89.14</v>
      </c>
      <c r="J276" s="26" t="n">
        <v>100.65</v>
      </c>
      <c r="K276" s="26" t="n">
        <v>112.17</v>
      </c>
      <c r="L276" s="26" t="n">
        <v>1.98</v>
      </c>
      <c r="M276" s="27" t="n">
        <v>0.005</v>
      </c>
      <c r="N276" s="27" t="n">
        <v>0.002</v>
      </c>
      <c r="O276" s="26" t="n">
        <v>5</v>
      </c>
      <c r="P276" s="26" t="n">
        <v>5</v>
      </c>
      <c r="Q276" s="28" t="n">
        <v>100</v>
      </c>
      <c r="R276" s="26" t="n">
        <v>30</v>
      </c>
      <c r="S276" s="26" t="n">
        <v>0</v>
      </c>
      <c r="T276" s="28" t="n">
        <v>1</v>
      </c>
      <c r="U276" s="26" t="n">
        <v>0</v>
      </c>
      <c r="V276" s="26" t="n">
        <v>0</v>
      </c>
      <c r="W276" s="22" t="s">
        <v>16</v>
      </c>
      <c r="X276" s="22" t="s">
        <v>373</v>
      </c>
    </row>
    <row r="277" customFormat="false" ht="15" hidden="false" customHeight="false" outlineLevel="0" collapsed="false">
      <c r="A277" s="22" t="s">
        <v>1370</v>
      </c>
      <c r="B277" s="22" t="s">
        <v>16</v>
      </c>
      <c r="C277" s="22" t="s">
        <v>1371</v>
      </c>
      <c r="D277" s="22" t="s">
        <v>1372</v>
      </c>
      <c r="E277" s="22" t="s">
        <v>1373</v>
      </c>
      <c r="F277" s="22" t="n">
        <v>11</v>
      </c>
      <c r="G277" s="26" t="n">
        <v>66.1</v>
      </c>
      <c r="H277" s="26" t="n">
        <v>77.62</v>
      </c>
      <c r="I277" s="26" t="n">
        <v>89.14</v>
      </c>
      <c r="J277" s="26" t="n">
        <v>100.65</v>
      </c>
      <c r="K277" s="26" t="n">
        <v>112.17</v>
      </c>
      <c r="L277" s="26" t="n">
        <v>1.98</v>
      </c>
      <c r="M277" s="27" t="n">
        <v>0.005</v>
      </c>
      <c r="N277" s="27" t="n">
        <v>0.002</v>
      </c>
      <c r="O277" s="26" t="n">
        <v>5</v>
      </c>
      <c r="P277" s="26" t="n">
        <v>5</v>
      </c>
      <c r="Q277" s="28" t="n">
        <v>100</v>
      </c>
      <c r="R277" s="26" t="n">
        <v>30</v>
      </c>
      <c r="S277" s="26" t="n">
        <v>0</v>
      </c>
      <c r="T277" s="28" t="n">
        <v>1</v>
      </c>
      <c r="U277" s="26" t="n">
        <v>0</v>
      </c>
      <c r="V277" s="26" t="n">
        <v>250</v>
      </c>
      <c r="W277" s="22" t="s">
        <v>16</v>
      </c>
      <c r="X277" s="22" t="s">
        <v>373</v>
      </c>
    </row>
    <row r="278" customFormat="false" ht="15" hidden="false" customHeight="false" outlineLevel="0" collapsed="false">
      <c r="A278" s="22" t="s">
        <v>1374</v>
      </c>
      <c r="B278" s="22" t="s">
        <v>16</v>
      </c>
      <c r="C278" s="22" t="s">
        <v>1375</v>
      </c>
      <c r="D278" s="22" t="s">
        <v>1376</v>
      </c>
      <c r="E278" s="22" t="s">
        <v>1377</v>
      </c>
      <c r="F278" s="22" t="n">
        <v>11</v>
      </c>
      <c r="G278" s="26" t="n">
        <v>66.1</v>
      </c>
      <c r="H278" s="26" t="n">
        <v>77.62</v>
      </c>
      <c r="I278" s="26" t="n">
        <v>89.14</v>
      </c>
      <c r="J278" s="26" t="n">
        <v>100.65</v>
      </c>
      <c r="K278" s="26" t="n">
        <v>112.17</v>
      </c>
      <c r="L278" s="26" t="n">
        <v>1.98</v>
      </c>
      <c r="M278" s="27" t="n">
        <v>0.005</v>
      </c>
      <c r="N278" s="27" t="n">
        <v>0.002</v>
      </c>
      <c r="O278" s="26" t="n">
        <v>5</v>
      </c>
      <c r="P278" s="26" t="n">
        <v>5</v>
      </c>
      <c r="Q278" s="28" t="n">
        <v>100</v>
      </c>
      <c r="R278" s="26" t="n">
        <v>30</v>
      </c>
      <c r="S278" s="26" t="n">
        <v>0</v>
      </c>
      <c r="T278" s="28" t="n">
        <v>1</v>
      </c>
      <c r="U278" s="26" t="n">
        <v>0</v>
      </c>
      <c r="V278" s="26" t="n">
        <v>0</v>
      </c>
      <c r="W278" s="22" t="s">
        <v>16</v>
      </c>
      <c r="X278" s="22" t="s">
        <v>373</v>
      </c>
    </row>
    <row r="279" customFormat="false" ht="15" hidden="false" customHeight="false" outlineLevel="0" collapsed="false">
      <c r="A279" s="22" t="s">
        <v>1378</v>
      </c>
      <c r="B279" s="22" t="s">
        <v>16</v>
      </c>
      <c r="C279" s="22" t="s">
        <v>1379</v>
      </c>
      <c r="D279" s="22" t="s">
        <v>1380</v>
      </c>
      <c r="E279" s="22" t="s">
        <v>1381</v>
      </c>
      <c r="F279" s="22" t="n">
        <v>9</v>
      </c>
      <c r="G279" s="26" t="n">
        <v>66.1</v>
      </c>
      <c r="H279" s="26" t="n">
        <v>77.62</v>
      </c>
      <c r="I279" s="26" t="n">
        <v>89.14</v>
      </c>
      <c r="J279" s="26" t="n">
        <v>100.65</v>
      </c>
      <c r="K279" s="26" t="n">
        <v>112.17</v>
      </c>
      <c r="L279" s="26" t="n">
        <v>1.98</v>
      </c>
      <c r="M279" s="27" t="n">
        <v>0.005</v>
      </c>
      <c r="N279" s="27" t="n">
        <v>0.002</v>
      </c>
      <c r="O279" s="26" t="n">
        <v>5</v>
      </c>
      <c r="P279" s="26" t="n">
        <v>5</v>
      </c>
      <c r="Q279" s="28" t="n">
        <v>100</v>
      </c>
      <c r="R279" s="26" t="n">
        <v>30</v>
      </c>
      <c r="S279" s="26" t="n">
        <v>0</v>
      </c>
      <c r="T279" s="28" t="n">
        <v>1</v>
      </c>
      <c r="U279" s="26" t="n">
        <v>0</v>
      </c>
      <c r="V279" s="26" t="n">
        <v>0</v>
      </c>
      <c r="W279" s="22" t="s">
        <v>16</v>
      </c>
      <c r="X279" s="22" t="s">
        <v>373</v>
      </c>
    </row>
    <row r="280" customFormat="false" ht="15" hidden="false" customHeight="false" outlineLevel="0" collapsed="false">
      <c r="A280" s="22" t="s">
        <v>1382</v>
      </c>
      <c r="B280" s="22" t="s">
        <v>16</v>
      </c>
      <c r="C280" s="22" t="s">
        <v>1383</v>
      </c>
      <c r="D280" s="22" t="s">
        <v>1384</v>
      </c>
      <c r="E280" s="22" t="s">
        <v>1385</v>
      </c>
      <c r="F280" s="22" t="n">
        <v>11</v>
      </c>
      <c r="G280" s="26" t="n">
        <v>66.1</v>
      </c>
      <c r="H280" s="26" t="n">
        <v>77.62</v>
      </c>
      <c r="I280" s="26" t="n">
        <v>89.14</v>
      </c>
      <c r="J280" s="26" t="n">
        <v>100.65</v>
      </c>
      <c r="K280" s="26" t="n">
        <v>112.17</v>
      </c>
      <c r="L280" s="26" t="n">
        <v>1.98</v>
      </c>
      <c r="M280" s="27" t="n">
        <v>0.005</v>
      </c>
      <c r="N280" s="27" t="n">
        <v>0.002</v>
      </c>
      <c r="O280" s="26" t="n">
        <v>5</v>
      </c>
      <c r="P280" s="26" t="n">
        <v>5</v>
      </c>
      <c r="Q280" s="28" t="n">
        <v>100</v>
      </c>
      <c r="R280" s="26" t="n">
        <v>30</v>
      </c>
      <c r="S280" s="26" t="n">
        <v>0</v>
      </c>
      <c r="T280" s="28" t="n">
        <v>1</v>
      </c>
      <c r="U280" s="26" t="n">
        <v>0</v>
      </c>
      <c r="V280" s="26" t="n">
        <v>0</v>
      </c>
      <c r="W280" s="22" t="s">
        <v>16</v>
      </c>
      <c r="X280" s="22" t="s">
        <v>373</v>
      </c>
    </row>
    <row r="281" customFormat="false" ht="15" hidden="false" customHeight="false" outlineLevel="0" collapsed="false">
      <c r="A281" s="22" t="s">
        <v>1386</v>
      </c>
      <c r="B281" s="22" t="s">
        <v>16</v>
      </c>
      <c r="C281" s="22" t="s">
        <v>1387</v>
      </c>
      <c r="D281" s="22" t="s">
        <v>1388</v>
      </c>
      <c r="E281" s="22" t="s">
        <v>1389</v>
      </c>
      <c r="F281" s="22" t="n">
        <v>11</v>
      </c>
      <c r="G281" s="26" t="n">
        <v>66.1</v>
      </c>
      <c r="H281" s="26" t="n">
        <v>77.62</v>
      </c>
      <c r="I281" s="26" t="n">
        <v>89.14</v>
      </c>
      <c r="J281" s="26" t="n">
        <v>100.65</v>
      </c>
      <c r="K281" s="26" t="n">
        <v>112.17</v>
      </c>
      <c r="L281" s="26" t="n">
        <v>1.98</v>
      </c>
      <c r="M281" s="27" t="n">
        <v>0.005</v>
      </c>
      <c r="N281" s="27" t="n">
        <v>0.002</v>
      </c>
      <c r="O281" s="26" t="n">
        <v>5</v>
      </c>
      <c r="P281" s="26" t="n">
        <v>5</v>
      </c>
      <c r="Q281" s="28" t="n">
        <v>100</v>
      </c>
      <c r="R281" s="26" t="n">
        <v>30</v>
      </c>
      <c r="S281" s="26" t="n">
        <v>0</v>
      </c>
      <c r="T281" s="28" t="n">
        <v>1</v>
      </c>
      <c r="U281" s="26" t="n">
        <v>0</v>
      </c>
      <c r="V281" s="26" t="n">
        <v>250</v>
      </c>
      <c r="W281" s="22" t="s">
        <v>16</v>
      </c>
      <c r="X281" s="22" t="s">
        <v>373</v>
      </c>
    </row>
    <row r="282" customFormat="false" ht="15" hidden="false" customHeight="false" outlineLevel="0" collapsed="false">
      <c r="A282" s="22" t="s">
        <v>1390</v>
      </c>
      <c r="B282" s="22" t="s">
        <v>16</v>
      </c>
      <c r="C282" s="22" t="s">
        <v>1391</v>
      </c>
      <c r="D282" s="22" t="s">
        <v>1392</v>
      </c>
      <c r="E282" s="22" t="s">
        <v>1393</v>
      </c>
      <c r="F282" s="22" t="n">
        <v>9</v>
      </c>
      <c r="G282" s="26" t="n">
        <v>66.1</v>
      </c>
      <c r="H282" s="26" t="n">
        <v>77.62</v>
      </c>
      <c r="I282" s="26" t="n">
        <v>89.14</v>
      </c>
      <c r="J282" s="26" t="n">
        <v>100.65</v>
      </c>
      <c r="K282" s="26" t="n">
        <v>112.17</v>
      </c>
      <c r="L282" s="26" t="n">
        <v>1.98</v>
      </c>
      <c r="M282" s="27" t="n">
        <v>0.005</v>
      </c>
      <c r="N282" s="27" t="n">
        <v>0.002</v>
      </c>
      <c r="O282" s="26" t="n">
        <v>5</v>
      </c>
      <c r="P282" s="26" t="n">
        <v>5</v>
      </c>
      <c r="Q282" s="28" t="n">
        <v>100</v>
      </c>
      <c r="R282" s="26" t="n">
        <v>30</v>
      </c>
      <c r="S282" s="26" t="n">
        <v>0</v>
      </c>
      <c r="T282" s="28" t="n">
        <v>1</v>
      </c>
      <c r="U282" s="26" t="n">
        <v>0</v>
      </c>
      <c r="V282" s="26" t="n">
        <v>0</v>
      </c>
      <c r="W282" s="22" t="s">
        <v>16</v>
      </c>
      <c r="X282" s="22" t="s">
        <v>373</v>
      </c>
    </row>
    <row r="283" customFormat="false" ht="15" hidden="false" customHeight="false" outlineLevel="0" collapsed="false">
      <c r="A283" s="22" t="s">
        <v>1394</v>
      </c>
      <c r="B283" s="22" t="s">
        <v>16</v>
      </c>
      <c r="C283" s="22" t="s">
        <v>1395</v>
      </c>
      <c r="D283" s="22" t="s">
        <v>1396</v>
      </c>
      <c r="E283" s="22" t="s">
        <v>1397</v>
      </c>
      <c r="F283" s="22" t="n">
        <v>11</v>
      </c>
      <c r="G283" s="26" t="n">
        <v>66.1</v>
      </c>
      <c r="H283" s="26" t="n">
        <v>77.62</v>
      </c>
      <c r="I283" s="26" t="n">
        <v>89.14</v>
      </c>
      <c r="J283" s="26" t="n">
        <v>100.65</v>
      </c>
      <c r="K283" s="26" t="n">
        <v>112.17</v>
      </c>
      <c r="L283" s="26" t="n">
        <v>1.98</v>
      </c>
      <c r="M283" s="27" t="n">
        <v>0.005</v>
      </c>
      <c r="N283" s="27" t="n">
        <v>0.002</v>
      </c>
      <c r="O283" s="26" t="n">
        <v>5</v>
      </c>
      <c r="P283" s="26" t="n">
        <v>5</v>
      </c>
      <c r="Q283" s="28" t="n">
        <v>100</v>
      </c>
      <c r="R283" s="26" t="n">
        <v>30</v>
      </c>
      <c r="S283" s="26" t="n">
        <v>0</v>
      </c>
      <c r="T283" s="28" t="n">
        <v>1</v>
      </c>
      <c r="U283" s="26" t="n">
        <v>0</v>
      </c>
      <c r="V283" s="26" t="n">
        <v>0</v>
      </c>
      <c r="W283" s="22" t="s">
        <v>16</v>
      </c>
      <c r="X283" s="22" t="s">
        <v>373</v>
      </c>
    </row>
    <row r="284" customFormat="false" ht="15" hidden="false" customHeight="false" outlineLevel="0" collapsed="false">
      <c r="A284" s="22" t="s">
        <v>1398</v>
      </c>
      <c r="B284" s="22" t="s">
        <v>16</v>
      </c>
      <c r="C284" s="22" t="s">
        <v>1399</v>
      </c>
      <c r="D284" s="22" t="s">
        <v>1400</v>
      </c>
      <c r="E284" s="22" t="s">
        <v>1401</v>
      </c>
      <c r="F284" s="22" t="n">
        <v>11</v>
      </c>
      <c r="G284" s="26" t="n">
        <v>66.1</v>
      </c>
      <c r="H284" s="26" t="n">
        <v>77.62</v>
      </c>
      <c r="I284" s="26" t="n">
        <v>89.14</v>
      </c>
      <c r="J284" s="26" t="n">
        <v>100.65</v>
      </c>
      <c r="K284" s="26" t="n">
        <v>112.17</v>
      </c>
      <c r="L284" s="26" t="n">
        <v>1.98</v>
      </c>
      <c r="M284" s="27" t="n">
        <v>0.005</v>
      </c>
      <c r="N284" s="27" t="n">
        <v>0.002</v>
      </c>
      <c r="O284" s="26" t="n">
        <v>5</v>
      </c>
      <c r="P284" s="26" t="n">
        <v>5</v>
      </c>
      <c r="Q284" s="28" t="n">
        <v>100</v>
      </c>
      <c r="R284" s="26" t="n">
        <v>30</v>
      </c>
      <c r="S284" s="26" t="n">
        <v>0</v>
      </c>
      <c r="T284" s="28" t="n">
        <v>1</v>
      </c>
      <c r="U284" s="26" t="n">
        <v>0</v>
      </c>
      <c r="V284" s="26" t="n">
        <v>0</v>
      </c>
      <c r="W284" s="22" t="s">
        <v>16</v>
      </c>
      <c r="X284" s="22" t="s">
        <v>373</v>
      </c>
    </row>
    <row r="285" customFormat="false" ht="15" hidden="false" customHeight="false" outlineLevel="0" collapsed="false">
      <c r="A285" s="22" t="s">
        <v>1402</v>
      </c>
      <c r="B285" s="22" t="s">
        <v>16</v>
      </c>
      <c r="C285" s="22" t="s">
        <v>1403</v>
      </c>
      <c r="D285" s="22" t="s">
        <v>1404</v>
      </c>
      <c r="E285" s="22" t="s">
        <v>1405</v>
      </c>
      <c r="F285" s="22" t="n">
        <v>9</v>
      </c>
      <c r="G285" s="26" t="n">
        <v>66.1</v>
      </c>
      <c r="H285" s="26" t="n">
        <v>77.62</v>
      </c>
      <c r="I285" s="26" t="n">
        <v>89.14</v>
      </c>
      <c r="J285" s="26" t="n">
        <v>100.65</v>
      </c>
      <c r="K285" s="26" t="n">
        <v>112.17</v>
      </c>
      <c r="L285" s="26" t="n">
        <v>1.98</v>
      </c>
      <c r="M285" s="27" t="n">
        <v>0.005</v>
      </c>
      <c r="N285" s="27" t="n">
        <v>0.002</v>
      </c>
      <c r="O285" s="26" t="n">
        <v>5</v>
      </c>
      <c r="P285" s="26" t="n">
        <v>5</v>
      </c>
      <c r="Q285" s="28" t="n">
        <v>100</v>
      </c>
      <c r="R285" s="26" t="n">
        <v>30</v>
      </c>
      <c r="S285" s="26" t="n">
        <v>0</v>
      </c>
      <c r="T285" s="28" t="n">
        <v>1</v>
      </c>
      <c r="U285" s="26" t="n">
        <v>0</v>
      </c>
      <c r="V285" s="26" t="n">
        <v>0</v>
      </c>
      <c r="W285" s="22" t="s">
        <v>16</v>
      </c>
      <c r="X285" s="22" t="s">
        <v>373</v>
      </c>
    </row>
    <row r="286" customFormat="false" ht="15" hidden="false" customHeight="false" outlineLevel="0" collapsed="false">
      <c r="A286" s="22" t="s">
        <v>1406</v>
      </c>
      <c r="B286" s="22" t="s">
        <v>16</v>
      </c>
      <c r="C286" s="22" t="s">
        <v>1407</v>
      </c>
      <c r="D286" s="22" t="s">
        <v>1408</v>
      </c>
      <c r="E286" s="22" t="s">
        <v>1409</v>
      </c>
      <c r="F286" s="22" t="n">
        <v>9</v>
      </c>
      <c r="G286" s="26" t="n">
        <v>66.1</v>
      </c>
      <c r="H286" s="26" t="n">
        <v>77.62</v>
      </c>
      <c r="I286" s="26" t="n">
        <v>89.14</v>
      </c>
      <c r="J286" s="26" t="n">
        <v>100.65</v>
      </c>
      <c r="K286" s="26" t="n">
        <v>112.17</v>
      </c>
      <c r="L286" s="26" t="n">
        <v>1.98</v>
      </c>
      <c r="M286" s="27" t="n">
        <v>0.005</v>
      </c>
      <c r="N286" s="27" t="n">
        <v>0.002</v>
      </c>
      <c r="O286" s="26" t="n">
        <v>5</v>
      </c>
      <c r="P286" s="26" t="n">
        <v>5</v>
      </c>
      <c r="Q286" s="28" t="n">
        <v>100</v>
      </c>
      <c r="R286" s="26" t="n">
        <v>30</v>
      </c>
      <c r="S286" s="26" t="n">
        <v>0</v>
      </c>
      <c r="T286" s="28" t="n">
        <v>1</v>
      </c>
      <c r="U286" s="26" t="n">
        <v>0</v>
      </c>
      <c r="V286" s="26" t="n">
        <v>0</v>
      </c>
      <c r="W286" s="22" t="s">
        <v>16</v>
      </c>
      <c r="X286" s="22" t="s">
        <v>373</v>
      </c>
    </row>
    <row r="287" customFormat="false" ht="15" hidden="false" customHeight="false" outlineLevel="0" collapsed="false">
      <c r="A287" s="22" t="s">
        <v>1410</v>
      </c>
      <c r="B287" s="22" t="s">
        <v>16</v>
      </c>
      <c r="C287" s="22" t="s">
        <v>1411</v>
      </c>
      <c r="D287" s="22" t="s">
        <v>1412</v>
      </c>
      <c r="E287" s="22" t="s">
        <v>1413</v>
      </c>
      <c r="F287" s="22" t="n">
        <v>9</v>
      </c>
      <c r="G287" s="26" t="n">
        <v>66.1</v>
      </c>
      <c r="H287" s="26" t="n">
        <v>77.62</v>
      </c>
      <c r="I287" s="26" t="n">
        <v>89.14</v>
      </c>
      <c r="J287" s="26" t="n">
        <v>100.65</v>
      </c>
      <c r="K287" s="26" t="n">
        <v>112.17</v>
      </c>
      <c r="L287" s="26" t="n">
        <v>1.98</v>
      </c>
      <c r="M287" s="27" t="n">
        <v>0.005</v>
      </c>
      <c r="N287" s="27" t="n">
        <v>0.002</v>
      </c>
      <c r="O287" s="26" t="n">
        <v>5</v>
      </c>
      <c r="P287" s="26" t="n">
        <v>5</v>
      </c>
      <c r="Q287" s="28" t="n">
        <v>100</v>
      </c>
      <c r="R287" s="26" t="n">
        <v>30</v>
      </c>
      <c r="S287" s="26" t="n">
        <v>0</v>
      </c>
      <c r="T287" s="28" t="n">
        <v>1</v>
      </c>
      <c r="U287" s="26" t="n">
        <v>0</v>
      </c>
      <c r="V287" s="26" t="n">
        <v>250</v>
      </c>
      <c r="W287" s="22" t="s">
        <v>16</v>
      </c>
      <c r="X287" s="22" t="s">
        <v>373</v>
      </c>
    </row>
    <row r="288" customFormat="false" ht="15" hidden="false" customHeight="false" outlineLevel="0" collapsed="false">
      <c r="A288" s="22" t="s">
        <v>1414</v>
      </c>
      <c r="B288" s="22" t="s">
        <v>16</v>
      </c>
      <c r="C288" s="22" t="s">
        <v>1415</v>
      </c>
      <c r="D288" s="22" t="s">
        <v>1416</v>
      </c>
      <c r="E288" s="22" t="s">
        <v>1417</v>
      </c>
      <c r="F288" s="22" t="n">
        <v>9</v>
      </c>
      <c r="G288" s="26" t="n">
        <v>66.1</v>
      </c>
      <c r="H288" s="26" t="n">
        <v>77.62</v>
      </c>
      <c r="I288" s="26" t="n">
        <v>89.14</v>
      </c>
      <c r="J288" s="26" t="n">
        <v>100.65</v>
      </c>
      <c r="K288" s="26" t="n">
        <v>112.17</v>
      </c>
      <c r="L288" s="26" t="n">
        <v>1.98</v>
      </c>
      <c r="M288" s="27" t="n">
        <v>0.005</v>
      </c>
      <c r="N288" s="27" t="n">
        <v>0.002</v>
      </c>
      <c r="O288" s="26" t="n">
        <v>5</v>
      </c>
      <c r="P288" s="26" t="n">
        <v>5</v>
      </c>
      <c r="Q288" s="28" t="n">
        <v>100</v>
      </c>
      <c r="R288" s="26" t="n">
        <v>30</v>
      </c>
      <c r="S288" s="26" t="n">
        <v>0</v>
      </c>
      <c r="T288" s="28" t="n">
        <v>1</v>
      </c>
      <c r="U288" s="26" t="n">
        <v>0</v>
      </c>
      <c r="V288" s="26" t="n">
        <v>0</v>
      </c>
      <c r="W288" s="22" t="s">
        <v>16</v>
      </c>
      <c r="X288" s="22" t="s">
        <v>373</v>
      </c>
    </row>
    <row r="289" customFormat="false" ht="15" hidden="false" customHeight="false" outlineLevel="0" collapsed="false">
      <c r="A289" s="22" t="s">
        <v>1418</v>
      </c>
      <c r="B289" s="22" t="s">
        <v>16</v>
      </c>
      <c r="C289" s="22" t="s">
        <v>1419</v>
      </c>
      <c r="D289" s="22" t="s">
        <v>1420</v>
      </c>
      <c r="E289" s="22" t="s">
        <v>1421</v>
      </c>
      <c r="F289" s="22" t="n">
        <v>11</v>
      </c>
      <c r="G289" s="26" t="n">
        <v>66.1</v>
      </c>
      <c r="H289" s="26" t="n">
        <v>77.62</v>
      </c>
      <c r="I289" s="26" t="n">
        <v>89.14</v>
      </c>
      <c r="J289" s="26" t="n">
        <v>100.65</v>
      </c>
      <c r="K289" s="26" t="n">
        <v>112.17</v>
      </c>
      <c r="L289" s="26" t="n">
        <v>1.98</v>
      </c>
      <c r="M289" s="27" t="n">
        <v>0.005</v>
      </c>
      <c r="N289" s="27" t="n">
        <v>0.002</v>
      </c>
      <c r="O289" s="26" t="n">
        <v>5</v>
      </c>
      <c r="P289" s="26" t="n">
        <v>5</v>
      </c>
      <c r="Q289" s="28" t="n">
        <v>100</v>
      </c>
      <c r="R289" s="26" t="n">
        <v>30</v>
      </c>
      <c r="S289" s="26" t="n">
        <v>0</v>
      </c>
      <c r="T289" s="28" t="n">
        <v>1</v>
      </c>
      <c r="U289" s="26" t="n">
        <v>0</v>
      </c>
      <c r="V289" s="26" t="n">
        <v>250</v>
      </c>
      <c r="W289" s="22" t="s">
        <v>16</v>
      </c>
      <c r="X289" s="22" t="s">
        <v>373</v>
      </c>
    </row>
    <row r="290" customFormat="false" ht="15" hidden="false" customHeight="false" outlineLevel="0" collapsed="false">
      <c r="A290" s="22" t="s">
        <v>1422</v>
      </c>
      <c r="B290" s="22" t="s">
        <v>16</v>
      </c>
      <c r="C290" s="22" t="s">
        <v>1423</v>
      </c>
      <c r="D290" s="22" t="s">
        <v>1424</v>
      </c>
      <c r="E290" s="22" t="s">
        <v>1425</v>
      </c>
      <c r="F290" s="22" t="n">
        <v>11</v>
      </c>
      <c r="G290" s="26" t="n">
        <v>66.1</v>
      </c>
      <c r="H290" s="26" t="n">
        <v>77.62</v>
      </c>
      <c r="I290" s="26" t="n">
        <v>89.14</v>
      </c>
      <c r="J290" s="26" t="n">
        <v>100.65</v>
      </c>
      <c r="K290" s="26" t="n">
        <v>112.17</v>
      </c>
      <c r="L290" s="26" t="n">
        <v>1.98</v>
      </c>
      <c r="M290" s="27" t="n">
        <v>0.005</v>
      </c>
      <c r="N290" s="27" t="n">
        <v>0.002</v>
      </c>
      <c r="O290" s="26" t="n">
        <v>5</v>
      </c>
      <c r="P290" s="26" t="n">
        <v>5</v>
      </c>
      <c r="Q290" s="28" t="n">
        <v>100</v>
      </c>
      <c r="R290" s="26" t="n">
        <v>30</v>
      </c>
      <c r="S290" s="26" t="n">
        <v>0</v>
      </c>
      <c r="T290" s="28" t="n">
        <v>1</v>
      </c>
      <c r="U290" s="26" t="n">
        <v>0</v>
      </c>
      <c r="V290" s="26" t="n">
        <v>0</v>
      </c>
      <c r="W290" s="22" t="s">
        <v>16</v>
      </c>
      <c r="X290" s="22" t="s">
        <v>373</v>
      </c>
    </row>
    <row r="291" customFormat="false" ht="15" hidden="false" customHeight="false" outlineLevel="0" collapsed="false">
      <c r="A291" s="22" t="s">
        <v>1426</v>
      </c>
      <c r="B291" s="22" t="s">
        <v>16</v>
      </c>
      <c r="C291" s="22" t="s">
        <v>1427</v>
      </c>
      <c r="D291" s="22" t="s">
        <v>1428</v>
      </c>
      <c r="E291" s="22" t="s">
        <v>1429</v>
      </c>
      <c r="F291" s="22" t="n">
        <v>11</v>
      </c>
      <c r="G291" s="26" t="n">
        <v>66.1</v>
      </c>
      <c r="H291" s="26" t="n">
        <v>77.62</v>
      </c>
      <c r="I291" s="26" t="n">
        <v>89.14</v>
      </c>
      <c r="J291" s="26" t="n">
        <v>100.65</v>
      </c>
      <c r="K291" s="26" t="n">
        <v>112.17</v>
      </c>
      <c r="L291" s="26" t="n">
        <v>1.98</v>
      </c>
      <c r="M291" s="27" t="n">
        <v>0.005</v>
      </c>
      <c r="N291" s="27" t="n">
        <v>0.002</v>
      </c>
      <c r="O291" s="26" t="n">
        <v>5</v>
      </c>
      <c r="P291" s="26" t="n">
        <v>5</v>
      </c>
      <c r="Q291" s="28" t="n">
        <v>100</v>
      </c>
      <c r="R291" s="26" t="n">
        <v>30</v>
      </c>
      <c r="S291" s="26" t="n">
        <v>0</v>
      </c>
      <c r="T291" s="28" t="n">
        <v>1</v>
      </c>
      <c r="U291" s="26" t="n">
        <v>0</v>
      </c>
      <c r="V291" s="26" t="n">
        <v>250</v>
      </c>
      <c r="W291" s="22" t="s">
        <v>16</v>
      </c>
      <c r="X291" s="22" t="s">
        <v>373</v>
      </c>
    </row>
    <row r="292" customFormat="false" ht="15" hidden="false" customHeight="false" outlineLevel="0" collapsed="false">
      <c r="A292" s="22" t="s">
        <v>1430</v>
      </c>
      <c r="B292" s="22" t="s">
        <v>16</v>
      </c>
      <c r="C292" s="22" t="s">
        <v>1431</v>
      </c>
      <c r="D292" s="22" t="s">
        <v>1432</v>
      </c>
      <c r="E292" s="22" t="s">
        <v>1433</v>
      </c>
      <c r="F292" s="22" t="n">
        <v>9</v>
      </c>
      <c r="G292" s="26" t="n">
        <v>66.1</v>
      </c>
      <c r="H292" s="26" t="n">
        <v>77.62</v>
      </c>
      <c r="I292" s="26" t="n">
        <v>89.14</v>
      </c>
      <c r="J292" s="26" t="n">
        <v>100.65</v>
      </c>
      <c r="K292" s="26" t="n">
        <v>112.17</v>
      </c>
      <c r="L292" s="26" t="n">
        <v>1.98</v>
      </c>
      <c r="M292" s="27" t="n">
        <v>0.005</v>
      </c>
      <c r="N292" s="27" t="n">
        <v>0.002</v>
      </c>
      <c r="O292" s="26" t="n">
        <v>5</v>
      </c>
      <c r="P292" s="26" t="n">
        <v>5</v>
      </c>
      <c r="Q292" s="28" t="n">
        <v>100</v>
      </c>
      <c r="R292" s="26" t="n">
        <v>30</v>
      </c>
      <c r="S292" s="26" t="n">
        <v>0</v>
      </c>
      <c r="T292" s="28" t="n">
        <v>1</v>
      </c>
      <c r="U292" s="26" t="n">
        <v>0</v>
      </c>
      <c r="V292" s="26" t="n">
        <v>0</v>
      </c>
      <c r="W292" s="22" t="s">
        <v>16</v>
      </c>
      <c r="X292" s="22" t="s">
        <v>373</v>
      </c>
    </row>
    <row r="293" customFormat="false" ht="15" hidden="false" customHeight="false" outlineLevel="0" collapsed="false">
      <c r="A293" s="22" t="s">
        <v>1434</v>
      </c>
      <c r="B293" s="22" t="s">
        <v>16</v>
      </c>
      <c r="C293" s="22" t="s">
        <v>1435</v>
      </c>
      <c r="D293" s="22" t="s">
        <v>1436</v>
      </c>
      <c r="E293" s="22" t="s">
        <v>1437</v>
      </c>
      <c r="F293" s="22" t="n">
        <v>11</v>
      </c>
      <c r="G293" s="26" t="n">
        <v>66.1</v>
      </c>
      <c r="H293" s="26" t="n">
        <v>77.62</v>
      </c>
      <c r="I293" s="26" t="n">
        <v>89.14</v>
      </c>
      <c r="J293" s="26" t="n">
        <v>100.65</v>
      </c>
      <c r="K293" s="26" t="n">
        <v>112.17</v>
      </c>
      <c r="L293" s="26" t="n">
        <v>1.98</v>
      </c>
      <c r="M293" s="27" t="n">
        <v>0.005</v>
      </c>
      <c r="N293" s="27" t="n">
        <v>0.002</v>
      </c>
      <c r="O293" s="26" t="n">
        <v>5</v>
      </c>
      <c r="P293" s="26" t="n">
        <v>5</v>
      </c>
      <c r="Q293" s="28" t="n">
        <v>100</v>
      </c>
      <c r="R293" s="26" t="n">
        <v>30</v>
      </c>
      <c r="S293" s="26" t="n">
        <v>0</v>
      </c>
      <c r="T293" s="28" t="n">
        <v>1</v>
      </c>
      <c r="U293" s="26" t="n">
        <v>0</v>
      </c>
      <c r="V293" s="26" t="n">
        <v>0</v>
      </c>
      <c r="W293" s="22" t="s">
        <v>16</v>
      </c>
      <c r="X293" s="22" t="s">
        <v>373</v>
      </c>
    </row>
    <row r="294" customFormat="false" ht="15" hidden="false" customHeight="false" outlineLevel="0" collapsed="false">
      <c r="A294" s="22" t="s">
        <v>1438</v>
      </c>
      <c r="B294" s="22" t="s">
        <v>16</v>
      </c>
      <c r="C294" s="22" t="s">
        <v>1439</v>
      </c>
      <c r="D294" s="22" t="s">
        <v>1440</v>
      </c>
      <c r="E294" s="22" t="s">
        <v>1441</v>
      </c>
      <c r="F294" s="22" t="n">
        <v>11</v>
      </c>
      <c r="G294" s="26" t="n">
        <v>66.1</v>
      </c>
      <c r="H294" s="26" t="n">
        <v>77.62</v>
      </c>
      <c r="I294" s="26" t="n">
        <v>89.14</v>
      </c>
      <c r="J294" s="26" t="n">
        <v>100.65</v>
      </c>
      <c r="K294" s="26" t="n">
        <v>112.17</v>
      </c>
      <c r="L294" s="26" t="n">
        <v>1.98</v>
      </c>
      <c r="M294" s="27" t="n">
        <v>0.005</v>
      </c>
      <c r="N294" s="27" t="n">
        <v>0.002</v>
      </c>
      <c r="O294" s="26" t="n">
        <v>5</v>
      </c>
      <c r="P294" s="26" t="n">
        <v>5</v>
      </c>
      <c r="Q294" s="28" t="n">
        <v>100</v>
      </c>
      <c r="R294" s="26" t="n">
        <v>30</v>
      </c>
      <c r="S294" s="26" t="n">
        <v>0</v>
      </c>
      <c r="T294" s="28" t="n">
        <v>1</v>
      </c>
      <c r="U294" s="26" t="n">
        <v>0</v>
      </c>
      <c r="V294" s="26" t="n">
        <v>0</v>
      </c>
      <c r="W294" s="22" t="s">
        <v>16</v>
      </c>
      <c r="X294" s="22" t="s">
        <v>373</v>
      </c>
    </row>
    <row r="295" customFormat="false" ht="15" hidden="false" customHeight="false" outlineLevel="0" collapsed="false">
      <c r="A295" s="22" t="s">
        <v>1442</v>
      </c>
      <c r="B295" s="22" t="s">
        <v>16</v>
      </c>
      <c r="C295" s="22" t="s">
        <v>1443</v>
      </c>
      <c r="D295" s="22" t="s">
        <v>1444</v>
      </c>
      <c r="E295" s="22" t="s">
        <v>1445</v>
      </c>
      <c r="F295" s="22" t="n">
        <v>9</v>
      </c>
      <c r="G295" s="26" t="n">
        <v>66.1</v>
      </c>
      <c r="H295" s="26" t="n">
        <v>77.62</v>
      </c>
      <c r="I295" s="26" t="n">
        <v>89.14</v>
      </c>
      <c r="J295" s="26" t="n">
        <v>100.65</v>
      </c>
      <c r="K295" s="26" t="n">
        <v>112.17</v>
      </c>
      <c r="L295" s="26" t="n">
        <v>1.98</v>
      </c>
      <c r="M295" s="27" t="n">
        <v>0.005</v>
      </c>
      <c r="N295" s="27" t="n">
        <v>0.002</v>
      </c>
      <c r="O295" s="26" t="n">
        <v>5</v>
      </c>
      <c r="P295" s="26" t="n">
        <v>5</v>
      </c>
      <c r="Q295" s="28" t="n">
        <v>100</v>
      </c>
      <c r="R295" s="26" t="n">
        <v>30</v>
      </c>
      <c r="S295" s="26" t="n">
        <v>0</v>
      </c>
      <c r="T295" s="28" t="n">
        <v>1</v>
      </c>
      <c r="U295" s="26" t="n">
        <v>0</v>
      </c>
      <c r="V295" s="26" t="n">
        <v>0</v>
      </c>
      <c r="W295" s="22" t="s">
        <v>16</v>
      </c>
      <c r="X295" s="22" t="s">
        <v>373</v>
      </c>
    </row>
    <row r="296" customFormat="false" ht="15" hidden="false" customHeight="false" outlineLevel="0" collapsed="false">
      <c r="A296" s="22" t="s">
        <v>1446</v>
      </c>
      <c r="B296" s="22" t="s">
        <v>16</v>
      </c>
      <c r="C296" s="22" t="s">
        <v>1447</v>
      </c>
      <c r="D296" s="22" t="s">
        <v>1448</v>
      </c>
      <c r="E296" s="22" t="s">
        <v>1449</v>
      </c>
      <c r="F296" s="22" t="n">
        <v>11</v>
      </c>
      <c r="G296" s="26" t="n">
        <v>66.1</v>
      </c>
      <c r="H296" s="26" t="n">
        <v>77.62</v>
      </c>
      <c r="I296" s="26" t="n">
        <v>89.14</v>
      </c>
      <c r="J296" s="26" t="n">
        <v>100.65</v>
      </c>
      <c r="K296" s="26" t="n">
        <v>112.17</v>
      </c>
      <c r="L296" s="26" t="n">
        <v>1.98</v>
      </c>
      <c r="M296" s="27" t="n">
        <v>0.005</v>
      </c>
      <c r="N296" s="27" t="n">
        <v>0.002</v>
      </c>
      <c r="O296" s="26" t="n">
        <v>5</v>
      </c>
      <c r="P296" s="26" t="n">
        <v>5</v>
      </c>
      <c r="Q296" s="28" t="n">
        <v>100</v>
      </c>
      <c r="R296" s="26" t="n">
        <v>30</v>
      </c>
      <c r="S296" s="26" t="n">
        <v>0</v>
      </c>
      <c r="T296" s="28" t="n">
        <v>1</v>
      </c>
      <c r="U296" s="26" t="n">
        <v>0</v>
      </c>
      <c r="V296" s="26" t="n">
        <v>0</v>
      </c>
      <c r="W296" s="22" t="s">
        <v>16</v>
      </c>
      <c r="X296" s="22" t="s">
        <v>373</v>
      </c>
    </row>
    <row r="297" customFormat="false" ht="15" hidden="false" customHeight="false" outlineLevel="0" collapsed="false">
      <c r="A297" s="22" t="s">
        <v>1450</v>
      </c>
      <c r="B297" s="22" t="s">
        <v>16</v>
      </c>
      <c r="C297" s="22" t="s">
        <v>1451</v>
      </c>
      <c r="D297" s="22" t="s">
        <v>1452</v>
      </c>
      <c r="E297" s="22" t="s">
        <v>1453</v>
      </c>
      <c r="F297" s="22" t="n">
        <v>9</v>
      </c>
      <c r="G297" s="26" t="n">
        <v>66.1</v>
      </c>
      <c r="H297" s="26" t="n">
        <v>77.62</v>
      </c>
      <c r="I297" s="26" t="n">
        <v>89.14</v>
      </c>
      <c r="J297" s="26" t="n">
        <v>100.65</v>
      </c>
      <c r="K297" s="26" t="n">
        <v>112.17</v>
      </c>
      <c r="L297" s="26" t="n">
        <v>1.98</v>
      </c>
      <c r="M297" s="27" t="n">
        <v>0.005</v>
      </c>
      <c r="N297" s="27" t="n">
        <v>0.002</v>
      </c>
      <c r="O297" s="26" t="n">
        <v>5</v>
      </c>
      <c r="P297" s="26" t="n">
        <v>5</v>
      </c>
      <c r="Q297" s="28" t="n">
        <v>100</v>
      </c>
      <c r="R297" s="26" t="n">
        <v>30</v>
      </c>
      <c r="S297" s="26" t="n">
        <v>0</v>
      </c>
      <c r="T297" s="28" t="n">
        <v>1</v>
      </c>
      <c r="U297" s="26" t="n">
        <v>0</v>
      </c>
      <c r="V297" s="26" t="n">
        <v>0</v>
      </c>
      <c r="W297" s="22" t="s">
        <v>16</v>
      </c>
      <c r="X297" s="22" t="s">
        <v>373</v>
      </c>
    </row>
    <row r="298" customFormat="false" ht="15" hidden="false" customHeight="false" outlineLevel="0" collapsed="false">
      <c r="A298" s="22" t="s">
        <v>1454</v>
      </c>
      <c r="B298" s="22" t="s">
        <v>16</v>
      </c>
      <c r="C298" s="22" t="s">
        <v>1455</v>
      </c>
      <c r="D298" s="22" t="s">
        <v>1456</v>
      </c>
      <c r="E298" s="22" t="s">
        <v>1457</v>
      </c>
      <c r="F298" s="22" t="n">
        <v>9</v>
      </c>
      <c r="G298" s="26" t="n">
        <v>66.1</v>
      </c>
      <c r="H298" s="26" t="n">
        <v>77.62</v>
      </c>
      <c r="I298" s="26" t="n">
        <v>89.14</v>
      </c>
      <c r="J298" s="26" t="n">
        <v>100.65</v>
      </c>
      <c r="K298" s="26" t="n">
        <v>112.17</v>
      </c>
      <c r="L298" s="26" t="n">
        <v>1.98</v>
      </c>
      <c r="M298" s="27" t="n">
        <v>0.005</v>
      </c>
      <c r="N298" s="27" t="n">
        <v>0.002</v>
      </c>
      <c r="O298" s="26" t="n">
        <v>5</v>
      </c>
      <c r="P298" s="26" t="n">
        <v>5</v>
      </c>
      <c r="Q298" s="28" t="n">
        <v>100</v>
      </c>
      <c r="R298" s="26" t="n">
        <v>30</v>
      </c>
      <c r="S298" s="26" t="n">
        <v>0</v>
      </c>
      <c r="T298" s="28" t="n">
        <v>1</v>
      </c>
      <c r="U298" s="26" t="n">
        <v>0</v>
      </c>
      <c r="V298" s="26" t="n">
        <v>0</v>
      </c>
      <c r="W298" s="22" t="s">
        <v>16</v>
      </c>
      <c r="X298" s="22" t="s">
        <v>373</v>
      </c>
    </row>
    <row r="299" customFormat="false" ht="15" hidden="false" customHeight="false" outlineLevel="0" collapsed="false">
      <c r="A299" s="22" t="s">
        <v>1458</v>
      </c>
      <c r="B299" s="22" t="s">
        <v>16</v>
      </c>
      <c r="C299" s="22" t="s">
        <v>1459</v>
      </c>
      <c r="D299" s="22" t="s">
        <v>1460</v>
      </c>
      <c r="E299" s="22" t="s">
        <v>1461</v>
      </c>
      <c r="F299" s="22" t="n">
        <v>9</v>
      </c>
      <c r="G299" s="26" t="n">
        <v>66.1</v>
      </c>
      <c r="H299" s="26" t="n">
        <v>77.62</v>
      </c>
      <c r="I299" s="26" t="n">
        <v>89.14</v>
      </c>
      <c r="J299" s="26" t="n">
        <v>100.65</v>
      </c>
      <c r="K299" s="26" t="n">
        <v>112.17</v>
      </c>
      <c r="L299" s="26" t="n">
        <v>1.98</v>
      </c>
      <c r="M299" s="27" t="n">
        <v>0.005</v>
      </c>
      <c r="N299" s="27" t="n">
        <v>0.002</v>
      </c>
      <c r="O299" s="26" t="n">
        <v>5</v>
      </c>
      <c r="P299" s="26" t="n">
        <v>5</v>
      </c>
      <c r="Q299" s="28" t="n">
        <v>100</v>
      </c>
      <c r="R299" s="26" t="n">
        <v>30</v>
      </c>
      <c r="S299" s="26" t="n">
        <v>0</v>
      </c>
      <c r="T299" s="28" t="n">
        <v>1</v>
      </c>
      <c r="U299" s="26" t="n">
        <v>0</v>
      </c>
      <c r="V299" s="26" t="n">
        <v>0</v>
      </c>
      <c r="W299" s="22" t="s">
        <v>16</v>
      </c>
      <c r="X299" s="22" t="s">
        <v>373</v>
      </c>
    </row>
    <row r="300" customFormat="false" ht="15" hidden="false" customHeight="false" outlineLevel="0" collapsed="false">
      <c r="A300" s="22" t="s">
        <v>1462</v>
      </c>
      <c r="B300" s="22" t="s">
        <v>16</v>
      </c>
      <c r="C300" s="22" t="s">
        <v>1463</v>
      </c>
      <c r="D300" s="22" t="s">
        <v>1464</v>
      </c>
      <c r="E300" s="22" t="s">
        <v>1465</v>
      </c>
      <c r="F300" s="22" t="n">
        <v>9</v>
      </c>
      <c r="G300" s="26" t="n">
        <v>66.1</v>
      </c>
      <c r="H300" s="26" t="n">
        <v>77.62</v>
      </c>
      <c r="I300" s="26" t="n">
        <v>89.14</v>
      </c>
      <c r="J300" s="26" t="n">
        <v>100.65</v>
      </c>
      <c r="K300" s="26" t="n">
        <v>112.17</v>
      </c>
      <c r="L300" s="26" t="n">
        <v>1.98</v>
      </c>
      <c r="M300" s="27" t="n">
        <v>0.005</v>
      </c>
      <c r="N300" s="27" t="n">
        <v>0.002</v>
      </c>
      <c r="O300" s="26" t="n">
        <v>5</v>
      </c>
      <c r="P300" s="26" t="n">
        <v>5</v>
      </c>
      <c r="Q300" s="28" t="n">
        <v>100</v>
      </c>
      <c r="R300" s="26" t="n">
        <v>30</v>
      </c>
      <c r="S300" s="26" t="n">
        <v>0</v>
      </c>
      <c r="T300" s="28" t="n">
        <v>1</v>
      </c>
      <c r="U300" s="26" t="n">
        <v>0</v>
      </c>
      <c r="V300" s="26" t="n">
        <v>250</v>
      </c>
      <c r="W300" s="22" t="s">
        <v>16</v>
      </c>
      <c r="X300" s="22" t="s">
        <v>373</v>
      </c>
    </row>
    <row r="301" customFormat="false" ht="15" hidden="false" customHeight="false" outlineLevel="0" collapsed="false">
      <c r="A301" s="22" t="s">
        <v>1466</v>
      </c>
      <c r="B301" s="22" t="s">
        <v>16</v>
      </c>
      <c r="C301" s="22" t="s">
        <v>1467</v>
      </c>
      <c r="D301" s="22" t="s">
        <v>1468</v>
      </c>
      <c r="E301" s="22" t="s">
        <v>1469</v>
      </c>
      <c r="F301" s="22" t="n">
        <v>11</v>
      </c>
      <c r="G301" s="26" t="n">
        <v>66.1</v>
      </c>
      <c r="H301" s="26" t="n">
        <v>77.62</v>
      </c>
      <c r="I301" s="26" t="n">
        <v>89.14</v>
      </c>
      <c r="J301" s="26" t="n">
        <v>100.65</v>
      </c>
      <c r="K301" s="26" t="n">
        <v>112.17</v>
      </c>
      <c r="L301" s="26" t="n">
        <v>1.98</v>
      </c>
      <c r="M301" s="27" t="n">
        <v>0.005</v>
      </c>
      <c r="N301" s="27" t="n">
        <v>0.002</v>
      </c>
      <c r="O301" s="26" t="n">
        <v>5</v>
      </c>
      <c r="P301" s="26" t="n">
        <v>5</v>
      </c>
      <c r="Q301" s="28" t="n">
        <v>100</v>
      </c>
      <c r="R301" s="26" t="n">
        <v>30</v>
      </c>
      <c r="S301" s="26" t="n">
        <v>0</v>
      </c>
      <c r="T301" s="28" t="n">
        <v>1</v>
      </c>
      <c r="U301" s="26" t="n">
        <v>0</v>
      </c>
      <c r="V301" s="26" t="n">
        <v>0</v>
      </c>
      <c r="W301" s="22" t="s">
        <v>16</v>
      </c>
      <c r="X301" s="22" t="s">
        <v>373</v>
      </c>
    </row>
    <row r="302" customFormat="false" ht="15" hidden="false" customHeight="false" outlineLevel="0" collapsed="false">
      <c r="A302" s="22" t="s">
        <v>1470</v>
      </c>
      <c r="B302" s="22" t="s">
        <v>16</v>
      </c>
      <c r="C302" s="22" t="s">
        <v>1471</v>
      </c>
      <c r="D302" s="22" t="s">
        <v>1472</v>
      </c>
      <c r="E302" s="22" t="s">
        <v>1473</v>
      </c>
      <c r="F302" s="22" t="n">
        <v>9</v>
      </c>
      <c r="G302" s="26" t="n">
        <v>66.1</v>
      </c>
      <c r="H302" s="26" t="n">
        <v>77.62</v>
      </c>
      <c r="I302" s="26" t="n">
        <v>89.14</v>
      </c>
      <c r="J302" s="26" t="n">
        <v>100.65</v>
      </c>
      <c r="K302" s="26" t="n">
        <v>112.17</v>
      </c>
      <c r="L302" s="26" t="n">
        <v>1.98</v>
      </c>
      <c r="M302" s="27" t="n">
        <v>0.005</v>
      </c>
      <c r="N302" s="27" t="n">
        <v>0.002</v>
      </c>
      <c r="O302" s="26" t="n">
        <v>5</v>
      </c>
      <c r="P302" s="26" t="n">
        <v>5</v>
      </c>
      <c r="Q302" s="28" t="n">
        <v>100</v>
      </c>
      <c r="R302" s="26" t="n">
        <v>30</v>
      </c>
      <c r="S302" s="26" t="n">
        <v>0</v>
      </c>
      <c r="T302" s="28" t="n">
        <v>1</v>
      </c>
      <c r="U302" s="26" t="n">
        <v>0</v>
      </c>
      <c r="V302" s="26" t="n">
        <v>250</v>
      </c>
      <c r="W302" s="22" t="s">
        <v>16</v>
      </c>
      <c r="X302" s="22" t="s">
        <v>373</v>
      </c>
    </row>
    <row r="303" customFormat="false" ht="15" hidden="false" customHeight="false" outlineLevel="0" collapsed="false">
      <c r="A303" s="22" t="s">
        <v>1474</v>
      </c>
      <c r="B303" s="22" t="s">
        <v>16</v>
      </c>
      <c r="C303" s="22" t="s">
        <v>1475</v>
      </c>
      <c r="D303" s="22" t="s">
        <v>1476</v>
      </c>
      <c r="E303" s="22" t="s">
        <v>1477</v>
      </c>
      <c r="F303" s="22" t="n">
        <v>9</v>
      </c>
      <c r="G303" s="26" t="n">
        <v>66.1</v>
      </c>
      <c r="H303" s="26" t="n">
        <v>77.62</v>
      </c>
      <c r="I303" s="26" t="n">
        <v>89.14</v>
      </c>
      <c r="J303" s="26" t="n">
        <v>100.65</v>
      </c>
      <c r="K303" s="26" t="n">
        <v>112.17</v>
      </c>
      <c r="L303" s="26" t="n">
        <v>1.98</v>
      </c>
      <c r="M303" s="27" t="n">
        <v>0.005</v>
      </c>
      <c r="N303" s="27" t="n">
        <v>0.002</v>
      </c>
      <c r="O303" s="26" t="n">
        <v>5</v>
      </c>
      <c r="P303" s="26" t="n">
        <v>5</v>
      </c>
      <c r="Q303" s="28" t="n">
        <v>100</v>
      </c>
      <c r="R303" s="26" t="n">
        <v>30</v>
      </c>
      <c r="S303" s="26" t="n">
        <v>0</v>
      </c>
      <c r="T303" s="28" t="n">
        <v>1</v>
      </c>
      <c r="U303" s="26" t="n">
        <v>0</v>
      </c>
      <c r="V303" s="26" t="n">
        <v>0</v>
      </c>
      <c r="W303" s="22" t="s">
        <v>16</v>
      </c>
      <c r="X303" s="22" t="s">
        <v>373</v>
      </c>
    </row>
    <row r="304" customFormat="false" ht="15" hidden="false" customHeight="false" outlineLevel="0" collapsed="false">
      <c r="A304" s="22" t="s">
        <v>1478</v>
      </c>
      <c r="B304" s="22" t="s">
        <v>16</v>
      </c>
      <c r="C304" s="22" t="s">
        <v>1479</v>
      </c>
      <c r="D304" s="22" t="s">
        <v>1480</v>
      </c>
      <c r="E304" s="22" t="s">
        <v>1481</v>
      </c>
      <c r="F304" s="22" t="n">
        <v>9</v>
      </c>
      <c r="G304" s="26" t="n">
        <v>66.1</v>
      </c>
      <c r="H304" s="26" t="n">
        <v>77.62</v>
      </c>
      <c r="I304" s="26" t="n">
        <v>89.14</v>
      </c>
      <c r="J304" s="26" t="n">
        <v>100.65</v>
      </c>
      <c r="K304" s="26" t="n">
        <v>112.17</v>
      </c>
      <c r="L304" s="26" t="n">
        <v>1.98</v>
      </c>
      <c r="M304" s="27" t="n">
        <v>0.005</v>
      </c>
      <c r="N304" s="27" t="n">
        <v>0.002</v>
      </c>
      <c r="O304" s="26" t="n">
        <v>5</v>
      </c>
      <c r="P304" s="26" t="n">
        <v>5</v>
      </c>
      <c r="Q304" s="28" t="n">
        <v>100</v>
      </c>
      <c r="R304" s="26" t="n">
        <v>30</v>
      </c>
      <c r="S304" s="26" t="n">
        <v>0</v>
      </c>
      <c r="T304" s="28" t="n">
        <v>1</v>
      </c>
      <c r="U304" s="26" t="n">
        <v>0</v>
      </c>
      <c r="V304" s="26" t="n">
        <v>0</v>
      </c>
      <c r="W304" s="22" t="s">
        <v>16</v>
      </c>
      <c r="X304" s="22" t="s">
        <v>373</v>
      </c>
    </row>
    <row r="305" customFormat="false" ht="15" hidden="false" customHeight="false" outlineLevel="0" collapsed="false">
      <c r="A305" s="22" t="s">
        <v>1482</v>
      </c>
      <c r="B305" s="22" t="s">
        <v>16</v>
      </c>
      <c r="C305" s="22" t="s">
        <v>1483</v>
      </c>
      <c r="D305" s="22" t="s">
        <v>1484</v>
      </c>
      <c r="E305" s="22" t="s">
        <v>1485</v>
      </c>
      <c r="F305" s="22" t="n">
        <v>11</v>
      </c>
      <c r="G305" s="26" t="n">
        <v>66.1</v>
      </c>
      <c r="H305" s="26" t="n">
        <v>77.62</v>
      </c>
      <c r="I305" s="26" t="n">
        <v>89.14</v>
      </c>
      <c r="J305" s="26" t="n">
        <v>100.65</v>
      </c>
      <c r="K305" s="26" t="n">
        <v>112.17</v>
      </c>
      <c r="L305" s="26" t="n">
        <v>1.98</v>
      </c>
      <c r="M305" s="27" t="n">
        <v>0.005</v>
      </c>
      <c r="N305" s="27" t="n">
        <v>0.002</v>
      </c>
      <c r="O305" s="26" t="n">
        <v>5</v>
      </c>
      <c r="P305" s="26" t="n">
        <v>5</v>
      </c>
      <c r="Q305" s="28" t="n">
        <v>100</v>
      </c>
      <c r="R305" s="26" t="n">
        <v>30</v>
      </c>
      <c r="S305" s="26" t="n">
        <v>0</v>
      </c>
      <c r="T305" s="28" t="n">
        <v>1</v>
      </c>
      <c r="U305" s="26" t="n">
        <v>0</v>
      </c>
      <c r="V305" s="26" t="n">
        <v>0</v>
      </c>
      <c r="W305" s="22" t="s">
        <v>16</v>
      </c>
      <c r="X305" s="22" t="s">
        <v>373</v>
      </c>
    </row>
    <row r="306" customFormat="false" ht="15" hidden="false" customHeight="false" outlineLevel="0" collapsed="false">
      <c r="A306" s="22" t="s">
        <v>1486</v>
      </c>
      <c r="B306" s="22" t="s">
        <v>16</v>
      </c>
      <c r="C306" s="22" t="s">
        <v>1487</v>
      </c>
      <c r="D306" s="22" t="s">
        <v>1488</v>
      </c>
      <c r="E306" s="22" t="s">
        <v>1489</v>
      </c>
      <c r="F306" s="22" t="n">
        <v>9</v>
      </c>
      <c r="G306" s="26" t="n">
        <v>66.1</v>
      </c>
      <c r="H306" s="26" t="n">
        <v>77.62</v>
      </c>
      <c r="I306" s="26" t="n">
        <v>89.14</v>
      </c>
      <c r="J306" s="26" t="n">
        <v>100.65</v>
      </c>
      <c r="K306" s="26" t="n">
        <v>112.17</v>
      </c>
      <c r="L306" s="26" t="n">
        <v>1.98</v>
      </c>
      <c r="M306" s="27" t="n">
        <v>0.005</v>
      </c>
      <c r="N306" s="27" t="n">
        <v>0.002</v>
      </c>
      <c r="O306" s="26" t="n">
        <v>5</v>
      </c>
      <c r="P306" s="26" t="n">
        <v>5</v>
      </c>
      <c r="Q306" s="28" t="n">
        <v>100</v>
      </c>
      <c r="R306" s="26" t="n">
        <v>30</v>
      </c>
      <c r="S306" s="26" t="n">
        <v>0</v>
      </c>
      <c r="T306" s="28" t="n">
        <v>1</v>
      </c>
      <c r="U306" s="26" t="n">
        <v>0</v>
      </c>
      <c r="V306" s="26" t="n">
        <v>0</v>
      </c>
      <c r="W306" s="22" t="s">
        <v>16</v>
      </c>
      <c r="X306" s="22" t="s">
        <v>373</v>
      </c>
    </row>
    <row r="307" customFormat="false" ht="15" hidden="false" customHeight="false" outlineLevel="0" collapsed="false">
      <c r="A307" s="22" t="s">
        <v>1490</v>
      </c>
      <c r="B307" s="22" t="s">
        <v>16</v>
      </c>
      <c r="C307" s="22" t="s">
        <v>1491</v>
      </c>
      <c r="D307" s="22" t="s">
        <v>1492</v>
      </c>
      <c r="E307" s="22" t="s">
        <v>1493</v>
      </c>
      <c r="F307" s="22" t="n">
        <v>11</v>
      </c>
      <c r="G307" s="26" t="n">
        <v>66.1</v>
      </c>
      <c r="H307" s="26" t="n">
        <v>77.62</v>
      </c>
      <c r="I307" s="26" t="n">
        <v>89.14</v>
      </c>
      <c r="J307" s="26" t="n">
        <v>100.65</v>
      </c>
      <c r="K307" s="26" t="n">
        <v>112.17</v>
      </c>
      <c r="L307" s="26" t="n">
        <v>1.98</v>
      </c>
      <c r="M307" s="27" t="n">
        <v>0.005</v>
      </c>
      <c r="N307" s="27" t="n">
        <v>0.002</v>
      </c>
      <c r="O307" s="26" t="n">
        <v>5</v>
      </c>
      <c r="P307" s="26" t="n">
        <v>5</v>
      </c>
      <c r="Q307" s="28" t="n">
        <v>100</v>
      </c>
      <c r="R307" s="26" t="n">
        <v>30</v>
      </c>
      <c r="S307" s="26" t="n">
        <v>0</v>
      </c>
      <c r="T307" s="28" t="n">
        <v>1</v>
      </c>
      <c r="U307" s="26" t="n">
        <v>0</v>
      </c>
      <c r="V307" s="26" t="n">
        <v>0</v>
      </c>
      <c r="W307" s="22" t="s">
        <v>16</v>
      </c>
      <c r="X307" s="22" t="s">
        <v>373</v>
      </c>
    </row>
    <row r="308" customFormat="false" ht="15" hidden="false" customHeight="false" outlineLevel="0" collapsed="false">
      <c r="A308" s="22" t="s">
        <v>1494</v>
      </c>
      <c r="B308" s="22" t="s">
        <v>16</v>
      </c>
      <c r="C308" s="22" t="s">
        <v>89</v>
      </c>
      <c r="D308" s="22" t="s">
        <v>1495</v>
      </c>
      <c r="E308" s="22" t="s">
        <v>1496</v>
      </c>
      <c r="F308" s="22" t="n">
        <v>11</v>
      </c>
      <c r="G308" s="26" t="n">
        <v>66.1</v>
      </c>
      <c r="H308" s="26" t="n">
        <v>77.62</v>
      </c>
      <c r="I308" s="26" t="n">
        <v>89.14</v>
      </c>
      <c r="J308" s="26" t="n">
        <v>100.65</v>
      </c>
      <c r="K308" s="26" t="n">
        <v>112.17</v>
      </c>
      <c r="L308" s="26" t="n">
        <v>1.98</v>
      </c>
      <c r="M308" s="27" t="n">
        <v>0.005</v>
      </c>
      <c r="N308" s="27" t="n">
        <v>0.002</v>
      </c>
      <c r="O308" s="26" t="n">
        <v>5</v>
      </c>
      <c r="P308" s="26" t="n">
        <v>5</v>
      </c>
      <c r="Q308" s="28" t="n">
        <v>100</v>
      </c>
      <c r="R308" s="26" t="n">
        <v>30</v>
      </c>
      <c r="S308" s="26" t="n">
        <v>0</v>
      </c>
      <c r="T308" s="28" t="n">
        <v>1</v>
      </c>
      <c r="U308" s="26" t="n">
        <v>0</v>
      </c>
      <c r="V308" s="26" t="n">
        <v>0</v>
      </c>
      <c r="W308" s="22" t="s">
        <v>16</v>
      </c>
      <c r="X308" s="22" t="s">
        <v>373</v>
      </c>
    </row>
    <row r="309" customFormat="false" ht="15" hidden="false" customHeight="false" outlineLevel="0" collapsed="false">
      <c r="A309" s="22" t="s">
        <v>1497</v>
      </c>
      <c r="B309" s="22" t="s">
        <v>16</v>
      </c>
      <c r="C309" s="22" t="s">
        <v>1498</v>
      </c>
      <c r="D309" s="22" t="s">
        <v>1499</v>
      </c>
      <c r="E309" s="22" t="s">
        <v>1500</v>
      </c>
      <c r="F309" s="22" t="n">
        <v>9</v>
      </c>
      <c r="G309" s="26" t="n">
        <v>66.1</v>
      </c>
      <c r="H309" s="26" t="n">
        <v>77.62</v>
      </c>
      <c r="I309" s="26" t="n">
        <v>89.14</v>
      </c>
      <c r="J309" s="26" t="n">
        <v>100.65</v>
      </c>
      <c r="K309" s="26" t="n">
        <v>112.17</v>
      </c>
      <c r="L309" s="26" t="n">
        <v>1.98</v>
      </c>
      <c r="M309" s="27" t="n">
        <v>0.005</v>
      </c>
      <c r="N309" s="27" t="n">
        <v>0.002</v>
      </c>
      <c r="O309" s="26" t="n">
        <v>5</v>
      </c>
      <c r="P309" s="26" t="n">
        <v>5</v>
      </c>
      <c r="Q309" s="28" t="n">
        <v>100</v>
      </c>
      <c r="R309" s="26" t="n">
        <v>30</v>
      </c>
      <c r="S309" s="26" t="n">
        <v>0</v>
      </c>
      <c r="T309" s="28" t="n">
        <v>1</v>
      </c>
      <c r="U309" s="26" t="n">
        <v>0</v>
      </c>
      <c r="V309" s="26" t="n">
        <v>0</v>
      </c>
      <c r="W309" s="22" t="s">
        <v>16</v>
      </c>
      <c r="X309" s="22" t="s">
        <v>373</v>
      </c>
    </row>
    <row r="310" customFormat="false" ht="15" hidden="false" customHeight="false" outlineLevel="0" collapsed="false">
      <c r="A310" s="22" t="s">
        <v>1501</v>
      </c>
      <c r="B310" s="22" t="s">
        <v>16</v>
      </c>
      <c r="C310" s="22" t="s">
        <v>1502</v>
      </c>
      <c r="D310" s="22" t="s">
        <v>1503</v>
      </c>
      <c r="E310" s="22" t="s">
        <v>1504</v>
      </c>
      <c r="F310" s="22" t="n">
        <v>9</v>
      </c>
      <c r="G310" s="26" t="n">
        <v>66.1</v>
      </c>
      <c r="H310" s="26" t="n">
        <v>77.62</v>
      </c>
      <c r="I310" s="26" t="n">
        <v>89.14</v>
      </c>
      <c r="J310" s="26" t="n">
        <v>100.65</v>
      </c>
      <c r="K310" s="26" t="n">
        <v>112.17</v>
      </c>
      <c r="L310" s="26" t="n">
        <v>1.98</v>
      </c>
      <c r="M310" s="27" t="n">
        <v>0.005</v>
      </c>
      <c r="N310" s="27" t="n">
        <v>0.002</v>
      </c>
      <c r="O310" s="26" t="n">
        <v>5</v>
      </c>
      <c r="P310" s="26" t="n">
        <v>5</v>
      </c>
      <c r="Q310" s="28" t="n">
        <v>100</v>
      </c>
      <c r="R310" s="26" t="n">
        <v>30</v>
      </c>
      <c r="S310" s="26" t="n">
        <v>0</v>
      </c>
      <c r="T310" s="28" t="n">
        <v>1</v>
      </c>
      <c r="U310" s="26" t="n">
        <v>0</v>
      </c>
      <c r="V310" s="26" t="n">
        <v>0</v>
      </c>
      <c r="W310" s="22" t="s">
        <v>16</v>
      </c>
      <c r="X310" s="22" t="s">
        <v>373</v>
      </c>
    </row>
    <row r="311" customFormat="false" ht="15" hidden="false" customHeight="false" outlineLevel="0" collapsed="false">
      <c r="A311" s="22" t="s">
        <v>1505</v>
      </c>
      <c r="B311" s="22" t="s">
        <v>16</v>
      </c>
      <c r="C311" s="22" t="s">
        <v>1506</v>
      </c>
      <c r="D311" s="22" t="s">
        <v>1507</v>
      </c>
      <c r="E311" s="22" t="s">
        <v>1508</v>
      </c>
      <c r="F311" s="22" t="n">
        <v>9</v>
      </c>
      <c r="G311" s="26" t="n">
        <v>66.1</v>
      </c>
      <c r="H311" s="26" t="n">
        <v>77.62</v>
      </c>
      <c r="I311" s="26" t="n">
        <v>89.14</v>
      </c>
      <c r="J311" s="26" t="n">
        <v>100.65</v>
      </c>
      <c r="K311" s="26" t="n">
        <v>112.17</v>
      </c>
      <c r="L311" s="26" t="n">
        <v>1.98</v>
      </c>
      <c r="M311" s="27" t="n">
        <v>0.005</v>
      </c>
      <c r="N311" s="27" t="n">
        <v>0.002</v>
      </c>
      <c r="O311" s="26" t="n">
        <v>5</v>
      </c>
      <c r="P311" s="26" t="n">
        <v>5</v>
      </c>
      <c r="Q311" s="28" t="n">
        <v>100</v>
      </c>
      <c r="R311" s="26" t="n">
        <v>30</v>
      </c>
      <c r="S311" s="26" t="n">
        <v>0</v>
      </c>
      <c r="T311" s="28" t="n">
        <v>1</v>
      </c>
      <c r="U311" s="26" t="n">
        <v>0</v>
      </c>
      <c r="V311" s="26" t="n">
        <v>500</v>
      </c>
      <c r="W311" s="22" t="s">
        <v>16</v>
      </c>
      <c r="X311" s="22" t="s">
        <v>373</v>
      </c>
    </row>
    <row r="312" customFormat="false" ht="15" hidden="false" customHeight="false" outlineLevel="0" collapsed="false">
      <c r="A312" s="22" t="s">
        <v>1509</v>
      </c>
      <c r="B312" s="22" t="s">
        <v>16</v>
      </c>
      <c r="C312" s="22" t="s">
        <v>1510</v>
      </c>
      <c r="D312" s="22" t="s">
        <v>1511</v>
      </c>
      <c r="E312" s="22" t="s">
        <v>1512</v>
      </c>
      <c r="F312" s="22" t="n">
        <v>9</v>
      </c>
      <c r="G312" s="26" t="n">
        <v>66.1</v>
      </c>
      <c r="H312" s="26" t="n">
        <v>77.62</v>
      </c>
      <c r="I312" s="26" t="n">
        <v>89.14</v>
      </c>
      <c r="J312" s="26" t="n">
        <v>100.65</v>
      </c>
      <c r="K312" s="26" t="n">
        <v>112.17</v>
      </c>
      <c r="L312" s="26" t="n">
        <v>1.98</v>
      </c>
      <c r="M312" s="27" t="n">
        <v>0.005</v>
      </c>
      <c r="N312" s="27" t="n">
        <v>0.002</v>
      </c>
      <c r="O312" s="26" t="n">
        <v>5</v>
      </c>
      <c r="P312" s="26" t="n">
        <v>5</v>
      </c>
      <c r="Q312" s="28" t="n">
        <v>100</v>
      </c>
      <c r="R312" s="26" t="n">
        <v>30</v>
      </c>
      <c r="S312" s="26" t="n">
        <v>0</v>
      </c>
      <c r="T312" s="28" t="n">
        <v>1</v>
      </c>
      <c r="U312" s="26" t="n">
        <v>0</v>
      </c>
      <c r="V312" s="26" t="n">
        <v>0</v>
      </c>
      <c r="W312" s="22" t="s">
        <v>16</v>
      </c>
      <c r="X312" s="22" t="s">
        <v>373</v>
      </c>
    </row>
    <row r="313" customFormat="false" ht="15" hidden="false" customHeight="false" outlineLevel="0" collapsed="false">
      <c r="A313" s="22" t="s">
        <v>1513</v>
      </c>
      <c r="B313" s="22" t="s">
        <v>16</v>
      </c>
      <c r="C313" s="22" t="s">
        <v>1514</v>
      </c>
      <c r="D313" s="22" t="s">
        <v>1515</v>
      </c>
      <c r="E313" s="22" t="s">
        <v>1516</v>
      </c>
      <c r="F313" s="22" t="n">
        <v>11</v>
      </c>
      <c r="G313" s="26" t="n">
        <v>66.1</v>
      </c>
      <c r="H313" s="26" t="n">
        <v>77.62</v>
      </c>
      <c r="I313" s="26" t="n">
        <v>89.14</v>
      </c>
      <c r="J313" s="26" t="n">
        <v>100.65</v>
      </c>
      <c r="K313" s="26" t="n">
        <v>112.17</v>
      </c>
      <c r="L313" s="26" t="n">
        <v>1.98</v>
      </c>
      <c r="M313" s="27" t="n">
        <v>0.005</v>
      </c>
      <c r="N313" s="27" t="n">
        <v>0.002</v>
      </c>
      <c r="O313" s="26" t="n">
        <v>5</v>
      </c>
      <c r="P313" s="26" t="n">
        <v>5</v>
      </c>
      <c r="Q313" s="28" t="n">
        <v>100</v>
      </c>
      <c r="R313" s="26" t="n">
        <v>30</v>
      </c>
      <c r="S313" s="26" t="n">
        <v>0</v>
      </c>
      <c r="T313" s="28" t="n">
        <v>1</v>
      </c>
      <c r="U313" s="26" t="n">
        <v>0</v>
      </c>
      <c r="V313" s="26" t="n">
        <v>0</v>
      </c>
      <c r="W313" s="22" t="s">
        <v>16</v>
      </c>
      <c r="X313" s="22" t="s">
        <v>373</v>
      </c>
    </row>
    <row r="314" customFormat="false" ht="15" hidden="false" customHeight="false" outlineLevel="0" collapsed="false">
      <c r="A314" s="22" t="s">
        <v>1517</v>
      </c>
      <c r="B314" s="22" t="s">
        <v>16</v>
      </c>
      <c r="C314" s="22" t="s">
        <v>1518</v>
      </c>
      <c r="D314" s="22" t="s">
        <v>1519</v>
      </c>
      <c r="E314" s="22" t="s">
        <v>1520</v>
      </c>
      <c r="F314" s="22" t="n">
        <v>9</v>
      </c>
      <c r="G314" s="26" t="n">
        <v>66.1</v>
      </c>
      <c r="H314" s="26" t="n">
        <v>77.62</v>
      </c>
      <c r="I314" s="26" t="n">
        <v>89.14</v>
      </c>
      <c r="J314" s="26" t="n">
        <v>100.65</v>
      </c>
      <c r="K314" s="26" t="n">
        <v>112.17</v>
      </c>
      <c r="L314" s="26" t="n">
        <v>1.98</v>
      </c>
      <c r="M314" s="27" t="n">
        <v>0.005</v>
      </c>
      <c r="N314" s="27" t="n">
        <v>0.002</v>
      </c>
      <c r="O314" s="26" t="n">
        <v>5</v>
      </c>
      <c r="P314" s="26" t="n">
        <v>5</v>
      </c>
      <c r="Q314" s="28" t="n">
        <v>100</v>
      </c>
      <c r="R314" s="26" t="n">
        <v>30</v>
      </c>
      <c r="S314" s="26" t="n">
        <v>0</v>
      </c>
      <c r="T314" s="28" t="n">
        <v>1</v>
      </c>
      <c r="U314" s="26" t="n">
        <v>0</v>
      </c>
      <c r="V314" s="26" t="n">
        <v>0</v>
      </c>
      <c r="W314" s="22" t="s">
        <v>16</v>
      </c>
      <c r="X314" s="22" t="s">
        <v>373</v>
      </c>
    </row>
    <row r="315" customFormat="false" ht="15" hidden="false" customHeight="false" outlineLevel="0" collapsed="false">
      <c r="A315" s="22" t="s">
        <v>1521</v>
      </c>
      <c r="B315" s="22" t="s">
        <v>16</v>
      </c>
      <c r="C315" s="22" t="s">
        <v>91</v>
      </c>
      <c r="D315" s="22" t="s">
        <v>1522</v>
      </c>
      <c r="E315" s="22" t="s">
        <v>1523</v>
      </c>
      <c r="F315" s="22" t="n">
        <v>11</v>
      </c>
      <c r="G315" s="26" t="n">
        <v>66.1</v>
      </c>
      <c r="H315" s="26" t="n">
        <v>77.62</v>
      </c>
      <c r="I315" s="26" t="n">
        <v>89.14</v>
      </c>
      <c r="J315" s="26" t="n">
        <v>100.65</v>
      </c>
      <c r="K315" s="26" t="n">
        <v>112.17</v>
      </c>
      <c r="L315" s="26" t="n">
        <v>1.98</v>
      </c>
      <c r="M315" s="27" t="n">
        <v>0.005</v>
      </c>
      <c r="N315" s="27" t="n">
        <v>0.002</v>
      </c>
      <c r="O315" s="26" t="n">
        <v>5</v>
      </c>
      <c r="P315" s="26" t="n">
        <v>5</v>
      </c>
      <c r="Q315" s="28" t="n">
        <v>100</v>
      </c>
      <c r="R315" s="26" t="n">
        <v>30</v>
      </c>
      <c r="S315" s="26" t="n">
        <v>0</v>
      </c>
      <c r="T315" s="28" t="n">
        <v>1</v>
      </c>
      <c r="U315" s="26" t="n">
        <v>0</v>
      </c>
      <c r="V315" s="26" t="n">
        <v>0</v>
      </c>
      <c r="W315" s="22" t="s">
        <v>16</v>
      </c>
      <c r="X315" s="22" t="s">
        <v>373</v>
      </c>
    </row>
    <row r="316" customFormat="false" ht="15" hidden="false" customHeight="false" outlineLevel="0" collapsed="false">
      <c r="A316" s="22" t="s">
        <v>1524</v>
      </c>
      <c r="B316" s="22" t="s">
        <v>16</v>
      </c>
      <c r="C316" s="22" t="s">
        <v>1525</v>
      </c>
      <c r="D316" s="22" t="s">
        <v>1526</v>
      </c>
      <c r="E316" s="22" t="s">
        <v>1527</v>
      </c>
      <c r="F316" s="22" t="n">
        <v>9</v>
      </c>
      <c r="G316" s="26" t="n">
        <v>66.1</v>
      </c>
      <c r="H316" s="26" t="n">
        <v>77.62</v>
      </c>
      <c r="I316" s="26" t="n">
        <v>89.14</v>
      </c>
      <c r="J316" s="26" t="n">
        <v>100.65</v>
      </c>
      <c r="K316" s="26" t="n">
        <v>112.17</v>
      </c>
      <c r="L316" s="26" t="n">
        <v>1.98</v>
      </c>
      <c r="M316" s="27" t="n">
        <v>0.005</v>
      </c>
      <c r="N316" s="27" t="n">
        <v>0.002</v>
      </c>
      <c r="O316" s="26" t="n">
        <v>5</v>
      </c>
      <c r="P316" s="26" t="n">
        <v>5</v>
      </c>
      <c r="Q316" s="28" t="n">
        <v>100</v>
      </c>
      <c r="R316" s="26" t="n">
        <v>30</v>
      </c>
      <c r="S316" s="26" t="n">
        <v>0</v>
      </c>
      <c r="T316" s="28" t="n">
        <v>1</v>
      </c>
      <c r="U316" s="26" t="n">
        <v>0</v>
      </c>
      <c r="V316" s="26" t="n">
        <v>0</v>
      </c>
      <c r="W316" s="22" t="s">
        <v>16</v>
      </c>
      <c r="X316" s="22" t="s">
        <v>373</v>
      </c>
    </row>
    <row r="317" customFormat="false" ht="15" hidden="false" customHeight="false" outlineLevel="0" collapsed="false">
      <c r="A317" s="22" t="s">
        <v>1528</v>
      </c>
      <c r="B317" s="22" t="s">
        <v>16</v>
      </c>
      <c r="C317" s="22" t="s">
        <v>1529</v>
      </c>
      <c r="D317" s="22" t="s">
        <v>1530</v>
      </c>
      <c r="E317" s="22" t="s">
        <v>1531</v>
      </c>
      <c r="F317" s="22" t="n">
        <v>9</v>
      </c>
      <c r="G317" s="26" t="n">
        <v>66.1</v>
      </c>
      <c r="H317" s="26" t="n">
        <v>77.62</v>
      </c>
      <c r="I317" s="26" t="n">
        <v>89.14</v>
      </c>
      <c r="J317" s="26" t="n">
        <v>100.65</v>
      </c>
      <c r="K317" s="26" t="n">
        <v>112.17</v>
      </c>
      <c r="L317" s="26" t="n">
        <v>1.98</v>
      </c>
      <c r="M317" s="27" t="n">
        <v>0.005</v>
      </c>
      <c r="N317" s="27" t="n">
        <v>0.002</v>
      </c>
      <c r="O317" s="26" t="n">
        <v>5</v>
      </c>
      <c r="P317" s="26" t="n">
        <v>5</v>
      </c>
      <c r="Q317" s="28" t="n">
        <v>100</v>
      </c>
      <c r="R317" s="26" t="n">
        <v>30</v>
      </c>
      <c r="S317" s="26" t="n">
        <v>0</v>
      </c>
      <c r="T317" s="28" t="n">
        <v>1</v>
      </c>
      <c r="U317" s="26" t="n">
        <v>0</v>
      </c>
      <c r="V317" s="26" t="n">
        <v>0</v>
      </c>
      <c r="W317" s="22" t="s">
        <v>16</v>
      </c>
      <c r="X317" s="22" t="s">
        <v>373</v>
      </c>
    </row>
    <row r="318" customFormat="false" ht="15" hidden="false" customHeight="false" outlineLevel="0" collapsed="false">
      <c r="A318" s="22" t="s">
        <v>1532</v>
      </c>
      <c r="B318" s="22" t="s">
        <v>16</v>
      </c>
      <c r="C318" s="22" t="s">
        <v>1533</v>
      </c>
      <c r="D318" s="22" t="s">
        <v>1534</v>
      </c>
      <c r="E318" s="22" t="s">
        <v>1535</v>
      </c>
      <c r="F318" s="22" t="n">
        <v>9</v>
      </c>
      <c r="G318" s="26" t="n">
        <v>66.1</v>
      </c>
      <c r="H318" s="26" t="n">
        <v>77.62</v>
      </c>
      <c r="I318" s="26" t="n">
        <v>89.14</v>
      </c>
      <c r="J318" s="26" t="n">
        <v>100.65</v>
      </c>
      <c r="K318" s="26" t="n">
        <v>112.17</v>
      </c>
      <c r="L318" s="26" t="n">
        <v>1.98</v>
      </c>
      <c r="M318" s="27" t="n">
        <v>0.005</v>
      </c>
      <c r="N318" s="27" t="n">
        <v>0.002</v>
      </c>
      <c r="O318" s="26" t="n">
        <v>5</v>
      </c>
      <c r="P318" s="26" t="n">
        <v>5</v>
      </c>
      <c r="Q318" s="28" t="n">
        <v>100</v>
      </c>
      <c r="R318" s="26" t="n">
        <v>30</v>
      </c>
      <c r="S318" s="26" t="n">
        <v>0</v>
      </c>
      <c r="T318" s="28" t="n">
        <v>1</v>
      </c>
      <c r="U318" s="26" t="n">
        <v>0</v>
      </c>
      <c r="V318" s="26" t="n">
        <v>0</v>
      </c>
      <c r="W318" s="22" t="s">
        <v>16</v>
      </c>
      <c r="X318" s="22" t="s">
        <v>373</v>
      </c>
    </row>
    <row r="319" customFormat="false" ht="15" hidden="false" customHeight="false" outlineLevel="0" collapsed="false">
      <c r="A319" s="22" t="s">
        <v>1536</v>
      </c>
      <c r="B319" s="22" t="s">
        <v>16</v>
      </c>
      <c r="C319" s="22" t="s">
        <v>1537</v>
      </c>
      <c r="D319" s="22" t="s">
        <v>1538</v>
      </c>
      <c r="E319" s="22" t="s">
        <v>1539</v>
      </c>
      <c r="F319" s="22" t="n">
        <v>9</v>
      </c>
      <c r="G319" s="26" t="n">
        <v>66.1</v>
      </c>
      <c r="H319" s="26" t="n">
        <v>77.62</v>
      </c>
      <c r="I319" s="26" t="n">
        <v>89.14</v>
      </c>
      <c r="J319" s="26" t="n">
        <v>100.65</v>
      </c>
      <c r="K319" s="26" t="n">
        <v>112.17</v>
      </c>
      <c r="L319" s="26" t="n">
        <v>1.98</v>
      </c>
      <c r="M319" s="27" t="n">
        <v>0.005</v>
      </c>
      <c r="N319" s="27" t="n">
        <v>0.002</v>
      </c>
      <c r="O319" s="26" t="n">
        <v>5</v>
      </c>
      <c r="P319" s="26" t="n">
        <v>5</v>
      </c>
      <c r="Q319" s="28" t="n">
        <v>100</v>
      </c>
      <c r="R319" s="26" t="n">
        <v>30</v>
      </c>
      <c r="S319" s="26" t="n">
        <v>0</v>
      </c>
      <c r="T319" s="28" t="n">
        <v>1</v>
      </c>
      <c r="U319" s="26" t="n">
        <v>0</v>
      </c>
      <c r="V319" s="26" t="n">
        <v>250</v>
      </c>
      <c r="W319" s="22" t="s">
        <v>16</v>
      </c>
      <c r="X319" s="22" t="s">
        <v>373</v>
      </c>
    </row>
    <row r="320" customFormat="false" ht="15" hidden="false" customHeight="false" outlineLevel="0" collapsed="false">
      <c r="A320" s="22" t="s">
        <v>1540</v>
      </c>
      <c r="B320" s="22" t="s">
        <v>16</v>
      </c>
      <c r="C320" s="22" t="s">
        <v>1541</v>
      </c>
      <c r="D320" s="22" t="s">
        <v>1542</v>
      </c>
      <c r="E320" s="22" t="s">
        <v>1543</v>
      </c>
      <c r="F320" s="22" t="n">
        <v>11</v>
      </c>
      <c r="G320" s="26" t="n">
        <v>66.1</v>
      </c>
      <c r="H320" s="26" t="n">
        <v>77.62</v>
      </c>
      <c r="I320" s="26" t="n">
        <v>89.14</v>
      </c>
      <c r="J320" s="26" t="n">
        <v>100.65</v>
      </c>
      <c r="K320" s="26" t="n">
        <v>112.17</v>
      </c>
      <c r="L320" s="26" t="n">
        <v>1.98</v>
      </c>
      <c r="M320" s="27" t="n">
        <v>0.005</v>
      </c>
      <c r="N320" s="27" t="n">
        <v>0.002</v>
      </c>
      <c r="O320" s="26" t="n">
        <v>5</v>
      </c>
      <c r="P320" s="26" t="n">
        <v>5</v>
      </c>
      <c r="Q320" s="28" t="n">
        <v>100</v>
      </c>
      <c r="R320" s="26" t="n">
        <v>30</v>
      </c>
      <c r="S320" s="26" t="n">
        <v>0</v>
      </c>
      <c r="T320" s="28" t="n">
        <v>1</v>
      </c>
      <c r="U320" s="26" t="n">
        <v>0</v>
      </c>
      <c r="V320" s="26" t="n">
        <v>0</v>
      </c>
      <c r="W320" s="22" t="s">
        <v>16</v>
      </c>
      <c r="X320" s="22" t="s">
        <v>373</v>
      </c>
    </row>
    <row r="321" customFormat="false" ht="15" hidden="false" customHeight="false" outlineLevel="0" collapsed="false">
      <c r="A321" s="22" t="s">
        <v>1544</v>
      </c>
      <c r="B321" s="22" t="s">
        <v>16</v>
      </c>
      <c r="C321" s="22" t="s">
        <v>1545</v>
      </c>
      <c r="D321" s="22" t="s">
        <v>1546</v>
      </c>
      <c r="E321" s="22" t="s">
        <v>1547</v>
      </c>
      <c r="F321" s="22" t="n">
        <v>11</v>
      </c>
      <c r="G321" s="26" t="n">
        <v>66.1</v>
      </c>
      <c r="H321" s="26" t="n">
        <v>77.62</v>
      </c>
      <c r="I321" s="26" t="n">
        <v>89.14</v>
      </c>
      <c r="J321" s="26" t="n">
        <v>100.65</v>
      </c>
      <c r="K321" s="26" t="n">
        <v>112.17</v>
      </c>
      <c r="L321" s="26" t="n">
        <v>1.98</v>
      </c>
      <c r="M321" s="27" t="n">
        <v>0.005</v>
      </c>
      <c r="N321" s="27" t="n">
        <v>0.002</v>
      </c>
      <c r="O321" s="26" t="n">
        <v>5</v>
      </c>
      <c r="P321" s="26" t="n">
        <v>5</v>
      </c>
      <c r="Q321" s="28" t="n">
        <v>100</v>
      </c>
      <c r="R321" s="26" t="n">
        <v>30</v>
      </c>
      <c r="S321" s="26" t="n">
        <v>0</v>
      </c>
      <c r="T321" s="28" t="n">
        <v>1</v>
      </c>
      <c r="U321" s="26" t="n">
        <v>0</v>
      </c>
      <c r="V321" s="26" t="n">
        <v>0</v>
      </c>
      <c r="W321" s="22" t="s">
        <v>16</v>
      </c>
      <c r="X321" s="22" t="s">
        <v>373</v>
      </c>
    </row>
    <row r="322" customFormat="false" ht="15" hidden="false" customHeight="false" outlineLevel="0" collapsed="false">
      <c r="A322" s="22" t="s">
        <v>1548</v>
      </c>
      <c r="B322" s="22" t="s">
        <v>16</v>
      </c>
      <c r="C322" s="22" t="s">
        <v>1549</v>
      </c>
      <c r="D322" s="22" t="s">
        <v>1550</v>
      </c>
      <c r="E322" s="22" t="s">
        <v>1551</v>
      </c>
      <c r="F322" s="22" t="n">
        <v>9</v>
      </c>
      <c r="G322" s="26" t="n">
        <v>66.1</v>
      </c>
      <c r="H322" s="26" t="n">
        <v>77.62</v>
      </c>
      <c r="I322" s="26" t="n">
        <v>89.14</v>
      </c>
      <c r="J322" s="26" t="n">
        <v>100.65</v>
      </c>
      <c r="K322" s="26" t="n">
        <v>112.17</v>
      </c>
      <c r="L322" s="26" t="n">
        <v>1.98</v>
      </c>
      <c r="M322" s="27" t="n">
        <v>0.005</v>
      </c>
      <c r="N322" s="27" t="n">
        <v>0.002</v>
      </c>
      <c r="O322" s="26" t="n">
        <v>5</v>
      </c>
      <c r="P322" s="26" t="n">
        <v>5</v>
      </c>
      <c r="Q322" s="28" t="n">
        <v>100</v>
      </c>
      <c r="R322" s="26" t="n">
        <v>30</v>
      </c>
      <c r="S322" s="26" t="n">
        <v>0</v>
      </c>
      <c r="T322" s="28" t="n">
        <v>1</v>
      </c>
      <c r="U322" s="26" t="n">
        <v>0</v>
      </c>
      <c r="V322" s="26" t="n">
        <v>0</v>
      </c>
      <c r="W322" s="22" t="s">
        <v>16</v>
      </c>
      <c r="X322" s="22" t="s">
        <v>373</v>
      </c>
    </row>
    <row r="323" customFormat="false" ht="15" hidden="false" customHeight="false" outlineLevel="0" collapsed="false">
      <c r="A323" s="22" t="s">
        <v>1552</v>
      </c>
      <c r="B323" s="22" t="s">
        <v>16</v>
      </c>
      <c r="C323" s="22" t="s">
        <v>1553</v>
      </c>
      <c r="D323" s="22" t="s">
        <v>1554</v>
      </c>
      <c r="E323" s="22" t="s">
        <v>1555</v>
      </c>
      <c r="F323" s="22" t="n">
        <v>11</v>
      </c>
      <c r="G323" s="26" t="n">
        <v>66.1</v>
      </c>
      <c r="H323" s="26" t="n">
        <v>77.62</v>
      </c>
      <c r="I323" s="26" t="n">
        <v>89.14</v>
      </c>
      <c r="J323" s="26" t="n">
        <v>100.65</v>
      </c>
      <c r="K323" s="26" t="n">
        <v>112.17</v>
      </c>
      <c r="L323" s="26" t="n">
        <v>1.98</v>
      </c>
      <c r="M323" s="27" t="n">
        <v>0.005</v>
      </c>
      <c r="N323" s="27" t="n">
        <v>0.002</v>
      </c>
      <c r="O323" s="26" t="n">
        <v>5</v>
      </c>
      <c r="P323" s="26" t="n">
        <v>5</v>
      </c>
      <c r="Q323" s="28" t="n">
        <v>100</v>
      </c>
      <c r="R323" s="26" t="n">
        <v>30</v>
      </c>
      <c r="S323" s="26" t="n">
        <v>0</v>
      </c>
      <c r="T323" s="28" t="n">
        <v>1</v>
      </c>
      <c r="U323" s="26" t="n">
        <v>0</v>
      </c>
      <c r="V323" s="26" t="n">
        <v>0</v>
      </c>
      <c r="W323" s="22" t="s">
        <v>16</v>
      </c>
      <c r="X323" s="22" t="s">
        <v>373</v>
      </c>
    </row>
    <row r="324" customFormat="false" ht="15" hidden="false" customHeight="false" outlineLevel="0" collapsed="false">
      <c r="A324" s="22" t="s">
        <v>1556</v>
      </c>
      <c r="B324" s="22" t="s">
        <v>16</v>
      </c>
      <c r="C324" s="22" t="s">
        <v>1557</v>
      </c>
      <c r="D324" s="22" t="s">
        <v>1558</v>
      </c>
      <c r="E324" s="22" t="s">
        <v>1559</v>
      </c>
      <c r="F324" s="22" t="n">
        <v>9</v>
      </c>
      <c r="G324" s="26" t="n">
        <v>66.1</v>
      </c>
      <c r="H324" s="26" t="n">
        <v>77.62</v>
      </c>
      <c r="I324" s="26" t="n">
        <v>89.14</v>
      </c>
      <c r="J324" s="26" t="n">
        <v>100.65</v>
      </c>
      <c r="K324" s="26" t="n">
        <v>112.17</v>
      </c>
      <c r="L324" s="26" t="n">
        <v>1.98</v>
      </c>
      <c r="M324" s="27" t="n">
        <v>0.005</v>
      </c>
      <c r="N324" s="27" t="n">
        <v>0.002</v>
      </c>
      <c r="O324" s="26" t="n">
        <v>5</v>
      </c>
      <c r="P324" s="26" t="n">
        <v>5</v>
      </c>
      <c r="Q324" s="28" t="n">
        <v>100</v>
      </c>
      <c r="R324" s="26" t="n">
        <v>30</v>
      </c>
      <c r="S324" s="26" t="n">
        <v>0</v>
      </c>
      <c r="T324" s="28" t="n">
        <v>1</v>
      </c>
      <c r="U324" s="26" t="n">
        <v>0</v>
      </c>
      <c r="V324" s="26" t="n">
        <v>0</v>
      </c>
      <c r="W324" s="22" t="s">
        <v>16</v>
      </c>
      <c r="X324" s="22" t="s">
        <v>373</v>
      </c>
    </row>
    <row r="325" customFormat="false" ht="15" hidden="false" customHeight="false" outlineLevel="0" collapsed="false">
      <c r="A325" s="22" t="s">
        <v>1560</v>
      </c>
      <c r="B325" s="22" t="s">
        <v>16</v>
      </c>
      <c r="C325" s="22" t="s">
        <v>1561</v>
      </c>
      <c r="D325" s="22" t="s">
        <v>1562</v>
      </c>
      <c r="E325" s="22" t="s">
        <v>1563</v>
      </c>
      <c r="F325" s="22" t="n">
        <v>11</v>
      </c>
      <c r="G325" s="26" t="n">
        <v>66.1</v>
      </c>
      <c r="H325" s="26" t="n">
        <v>77.62</v>
      </c>
      <c r="I325" s="26" t="n">
        <v>89.14</v>
      </c>
      <c r="J325" s="26" t="n">
        <v>100.65</v>
      </c>
      <c r="K325" s="26" t="n">
        <v>112.17</v>
      </c>
      <c r="L325" s="26" t="n">
        <v>1.98</v>
      </c>
      <c r="M325" s="27" t="n">
        <v>0.005</v>
      </c>
      <c r="N325" s="27" t="n">
        <v>0.002</v>
      </c>
      <c r="O325" s="26" t="n">
        <v>5</v>
      </c>
      <c r="P325" s="26" t="n">
        <v>5</v>
      </c>
      <c r="Q325" s="28" t="n">
        <v>100</v>
      </c>
      <c r="R325" s="26" t="n">
        <v>30</v>
      </c>
      <c r="S325" s="26" t="n">
        <v>0</v>
      </c>
      <c r="T325" s="28" t="n">
        <v>1</v>
      </c>
      <c r="U325" s="26" t="n">
        <v>0</v>
      </c>
      <c r="V325" s="26" t="n">
        <v>0</v>
      </c>
      <c r="W325" s="22" t="s">
        <v>16</v>
      </c>
      <c r="X325" s="22" t="s">
        <v>373</v>
      </c>
    </row>
    <row r="326" customFormat="false" ht="15" hidden="false" customHeight="false" outlineLevel="0" collapsed="false">
      <c r="A326" s="22" t="s">
        <v>1564</v>
      </c>
      <c r="B326" s="22" t="s">
        <v>16</v>
      </c>
      <c r="C326" s="22" t="s">
        <v>1565</v>
      </c>
      <c r="D326" s="22" t="s">
        <v>1566</v>
      </c>
      <c r="E326" s="22" t="s">
        <v>1567</v>
      </c>
      <c r="F326" s="22" t="n">
        <v>9</v>
      </c>
      <c r="G326" s="26" t="n">
        <v>66.1</v>
      </c>
      <c r="H326" s="26" t="n">
        <v>77.62</v>
      </c>
      <c r="I326" s="26" t="n">
        <v>89.14</v>
      </c>
      <c r="J326" s="26" t="n">
        <v>100.65</v>
      </c>
      <c r="K326" s="26" t="n">
        <v>112.17</v>
      </c>
      <c r="L326" s="26" t="n">
        <v>1.98</v>
      </c>
      <c r="M326" s="27" t="n">
        <v>0.005</v>
      </c>
      <c r="N326" s="27" t="n">
        <v>0.002</v>
      </c>
      <c r="O326" s="26" t="n">
        <v>5</v>
      </c>
      <c r="P326" s="26" t="n">
        <v>5</v>
      </c>
      <c r="Q326" s="28" t="n">
        <v>100</v>
      </c>
      <c r="R326" s="26" t="n">
        <v>30</v>
      </c>
      <c r="S326" s="26" t="n">
        <v>0</v>
      </c>
      <c r="T326" s="28" t="n">
        <v>1</v>
      </c>
      <c r="U326" s="26" t="n">
        <v>0</v>
      </c>
      <c r="V326" s="26" t="n">
        <v>0</v>
      </c>
      <c r="W326" s="22" t="s">
        <v>16</v>
      </c>
      <c r="X326" s="22" t="s">
        <v>373</v>
      </c>
    </row>
    <row r="327" customFormat="false" ht="15" hidden="false" customHeight="false" outlineLevel="0" collapsed="false">
      <c r="A327" s="22" t="s">
        <v>1568</v>
      </c>
      <c r="B327" s="22" t="s">
        <v>16</v>
      </c>
      <c r="C327" s="22" t="s">
        <v>1569</v>
      </c>
      <c r="D327" s="22" t="s">
        <v>1570</v>
      </c>
      <c r="E327" s="22" t="s">
        <v>1571</v>
      </c>
      <c r="F327" s="22" t="n">
        <v>11</v>
      </c>
      <c r="G327" s="26" t="n">
        <v>66.1</v>
      </c>
      <c r="H327" s="26" t="n">
        <v>77.62</v>
      </c>
      <c r="I327" s="26" t="n">
        <v>89.14</v>
      </c>
      <c r="J327" s="26" t="n">
        <v>100.65</v>
      </c>
      <c r="K327" s="26" t="n">
        <v>112.17</v>
      </c>
      <c r="L327" s="26" t="n">
        <v>1.98</v>
      </c>
      <c r="M327" s="27" t="n">
        <v>0.005</v>
      </c>
      <c r="N327" s="27" t="n">
        <v>0.002</v>
      </c>
      <c r="O327" s="26" t="n">
        <v>5</v>
      </c>
      <c r="P327" s="26" t="n">
        <v>5</v>
      </c>
      <c r="Q327" s="28" t="n">
        <v>100</v>
      </c>
      <c r="R327" s="26" t="n">
        <v>30</v>
      </c>
      <c r="S327" s="26" t="n">
        <v>0</v>
      </c>
      <c r="T327" s="28" t="n">
        <v>1</v>
      </c>
      <c r="U327" s="26" t="n">
        <v>0</v>
      </c>
      <c r="V327" s="26" t="n">
        <v>0</v>
      </c>
      <c r="W327" s="22" t="s">
        <v>16</v>
      </c>
      <c r="X327" s="22" t="s">
        <v>373</v>
      </c>
    </row>
    <row r="328" customFormat="false" ht="15" hidden="false" customHeight="false" outlineLevel="0" collapsed="false">
      <c r="A328" s="22" t="s">
        <v>1572</v>
      </c>
      <c r="B328" s="22" t="s">
        <v>16</v>
      </c>
      <c r="C328" s="22" t="s">
        <v>1573</v>
      </c>
      <c r="D328" s="22" t="s">
        <v>1574</v>
      </c>
      <c r="E328" s="22" t="s">
        <v>1575</v>
      </c>
      <c r="F328" s="22" t="n">
        <v>9</v>
      </c>
      <c r="G328" s="26" t="n">
        <v>66.1</v>
      </c>
      <c r="H328" s="26" t="n">
        <v>77.62</v>
      </c>
      <c r="I328" s="26" t="n">
        <v>89.14</v>
      </c>
      <c r="J328" s="26" t="n">
        <v>100.65</v>
      </c>
      <c r="K328" s="26" t="n">
        <v>112.17</v>
      </c>
      <c r="L328" s="26" t="n">
        <v>1.98</v>
      </c>
      <c r="M328" s="27" t="n">
        <v>0.005</v>
      </c>
      <c r="N328" s="27" t="n">
        <v>0.002</v>
      </c>
      <c r="O328" s="26" t="n">
        <v>5</v>
      </c>
      <c r="P328" s="26" t="n">
        <v>5</v>
      </c>
      <c r="Q328" s="28" t="n">
        <v>100</v>
      </c>
      <c r="R328" s="26" t="n">
        <v>30</v>
      </c>
      <c r="S328" s="26" t="n">
        <v>0</v>
      </c>
      <c r="T328" s="28" t="n">
        <v>1</v>
      </c>
      <c r="U328" s="26" t="n">
        <v>0</v>
      </c>
      <c r="V328" s="26" t="n">
        <v>0</v>
      </c>
      <c r="W328" s="22" t="s">
        <v>16</v>
      </c>
      <c r="X328" s="22" t="s">
        <v>373</v>
      </c>
    </row>
    <row r="329" customFormat="false" ht="15" hidden="false" customHeight="false" outlineLevel="0" collapsed="false">
      <c r="A329" s="22" t="s">
        <v>1576</v>
      </c>
      <c r="B329" s="22" t="s">
        <v>16</v>
      </c>
      <c r="C329" s="22" t="s">
        <v>1577</v>
      </c>
      <c r="D329" s="22" t="s">
        <v>1578</v>
      </c>
      <c r="E329" s="22" t="s">
        <v>1579</v>
      </c>
      <c r="F329" s="22" t="n">
        <v>11</v>
      </c>
      <c r="G329" s="26" t="n">
        <v>66.1</v>
      </c>
      <c r="H329" s="26" t="n">
        <v>77.62</v>
      </c>
      <c r="I329" s="26" t="n">
        <v>89.14</v>
      </c>
      <c r="J329" s="26" t="n">
        <v>100.65</v>
      </c>
      <c r="K329" s="26" t="n">
        <v>112.17</v>
      </c>
      <c r="L329" s="26" t="n">
        <v>1.98</v>
      </c>
      <c r="M329" s="27" t="n">
        <v>0.005</v>
      </c>
      <c r="N329" s="27" t="n">
        <v>0.002</v>
      </c>
      <c r="O329" s="26" t="n">
        <v>5</v>
      </c>
      <c r="P329" s="26" t="n">
        <v>5</v>
      </c>
      <c r="Q329" s="28" t="n">
        <v>100</v>
      </c>
      <c r="R329" s="26" t="n">
        <v>30</v>
      </c>
      <c r="S329" s="26" t="n">
        <v>0</v>
      </c>
      <c r="T329" s="28" t="n">
        <v>1</v>
      </c>
      <c r="U329" s="26" t="n">
        <v>0</v>
      </c>
      <c r="V329" s="26" t="n">
        <v>0</v>
      </c>
      <c r="W329" s="22" t="s">
        <v>16</v>
      </c>
      <c r="X329" s="22" t="s">
        <v>373</v>
      </c>
    </row>
    <row r="330" customFormat="false" ht="15" hidden="false" customHeight="false" outlineLevel="0" collapsed="false">
      <c r="A330" s="22" t="s">
        <v>1580</v>
      </c>
      <c r="B330" s="22" t="s">
        <v>16</v>
      </c>
      <c r="C330" s="22" t="s">
        <v>1581</v>
      </c>
      <c r="D330" s="22" t="s">
        <v>1582</v>
      </c>
      <c r="E330" s="22" t="s">
        <v>1583</v>
      </c>
      <c r="F330" s="22" t="n">
        <v>11</v>
      </c>
      <c r="G330" s="26" t="n">
        <v>66.1</v>
      </c>
      <c r="H330" s="26" t="n">
        <v>77.62</v>
      </c>
      <c r="I330" s="26" t="n">
        <v>89.14</v>
      </c>
      <c r="J330" s="26" t="n">
        <v>100.65</v>
      </c>
      <c r="K330" s="26" t="n">
        <v>112.17</v>
      </c>
      <c r="L330" s="26" t="n">
        <v>1.98</v>
      </c>
      <c r="M330" s="27" t="n">
        <v>0.005</v>
      </c>
      <c r="N330" s="27" t="n">
        <v>0.002</v>
      </c>
      <c r="O330" s="26" t="n">
        <v>5</v>
      </c>
      <c r="P330" s="26" t="n">
        <v>5</v>
      </c>
      <c r="Q330" s="28" t="n">
        <v>100</v>
      </c>
      <c r="R330" s="26" t="n">
        <v>30</v>
      </c>
      <c r="S330" s="26" t="n">
        <v>0</v>
      </c>
      <c r="T330" s="28" t="n">
        <v>1</v>
      </c>
      <c r="U330" s="26" t="n">
        <v>0</v>
      </c>
      <c r="V330" s="26" t="n">
        <v>0</v>
      </c>
      <c r="W330" s="22" t="s">
        <v>16</v>
      </c>
      <c r="X330" s="22" t="s">
        <v>373</v>
      </c>
    </row>
    <row r="331" customFormat="false" ht="15" hidden="false" customHeight="false" outlineLevel="0" collapsed="false">
      <c r="A331" s="22" t="s">
        <v>1584</v>
      </c>
      <c r="B331" s="22" t="s">
        <v>16</v>
      </c>
      <c r="C331" s="22" t="s">
        <v>1585</v>
      </c>
      <c r="D331" s="22" t="s">
        <v>1586</v>
      </c>
      <c r="E331" s="22" t="s">
        <v>1587</v>
      </c>
      <c r="F331" s="22" t="n">
        <v>9</v>
      </c>
      <c r="G331" s="26" t="n">
        <v>66.1</v>
      </c>
      <c r="H331" s="26" t="n">
        <v>77.62</v>
      </c>
      <c r="I331" s="26" t="n">
        <v>89.14</v>
      </c>
      <c r="J331" s="26" t="n">
        <v>100.65</v>
      </c>
      <c r="K331" s="26" t="n">
        <v>112.17</v>
      </c>
      <c r="L331" s="26" t="n">
        <v>1.98</v>
      </c>
      <c r="M331" s="27" t="n">
        <v>0.005</v>
      </c>
      <c r="N331" s="27" t="n">
        <v>0.002</v>
      </c>
      <c r="O331" s="26" t="n">
        <v>5</v>
      </c>
      <c r="P331" s="26" t="n">
        <v>5</v>
      </c>
      <c r="Q331" s="28" t="n">
        <v>100</v>
      </c>
      <c r="R331" s="26" t="n">
        <v>30</v>
      </c>
      <c r="S331" s="26" t="n">
        <v>0</v>
      </c>
      <c r="T331" s="28" t="n">
        <v>1</v>
      </c>
      <c r="U331" s="26" t="n">
        <v>0</v>
      </c>
      <c r="V331" s="26" t="n">
        <v>250</v>
      </c>
      <c r="W331" s="22" t="s">
        <v>16</v>
      </c>
      <c r="X331" s="22" t="s">
        <v>373</v>
      </c>
    </row>
    <row r="332" customFormat="false" ht="15" hidden="false" customHeight="false" outlineLevel="0" collapsed="false">
      <c r="A332" s="22" t="s">
        <v>1588</v>
      </c>
      <c r="B332" s="22" t="s">
        <v>16</v>
      </c>
      <c r="C332" s="22" t="s">
        <v>1589</v>
      </c>
      <c r="D332" s="22" t="s">
        <v>1590</v>
      </c>
      <c r="E332" s="22" t="s">
        <v>1591</v>
      </c>
      <c r="F332" s="22" t="n">
        <v>9</v>
      </c>
      <c r="G332" s="26" t="n">
        <v>66.1</v>
      </c>
      <c r="H332" s="26" t="n">
        <v>77.62</v>
      </c>
      <c r="I332" s="26" t="n">
        <v>89.14</v>
      </c>
      <c r="J332" s="26" t="n">
        <v>100.65</v>
      </c>
      <c r="K332" s="26" t="n">
        <v>112.17</v>
      </c>
      <c r="L332" s="26" t="n">
        <v>1.98</v>
      </c>
      <c r="M332" s="27" t="n">
        <v>0.005</v>
      </c>
      <c r="N332" s="27" t="n">
        <v>0.002</v>
      </c>
      <c r="O332" s="26" t="n">
        <v>5</v>
      </c>
      <c r="P332" s="26" t="n">
        <v>5</v>
      </c>
      <c r="Q332" s="28" t="n">
        <v>100</v>
      </c>
      <c r="R332" s="26" t="n">
        <v>30</v>
      </c>
      <c r="S332" s="26" t="n">
        <v>0</v>
      </c>
      <c r="T332" s="28" t="n">
        <v>1</v>
      </c>
      <c r="U332" s="26" t="n">
        <v>0</v>
      </c>
      <c r="V332" s="26" t="n">
        <v>0</v>
      </c>
      <c r="W332" s="22" t="s">
        <v>16</v>
      </c>
      <c r="X332" s="22" t="s">
        <v>373</v>
      </c>
    </row>
    <row r="333" customFormat="false" ht="15" hidden="false" customHeight="false" outlineLevel="0" collapsed="false">
      <c r="A333" s="22" t="s">
        <v>1592</v>
      </c>
      <c r="B333" s="22" t="s">
        <v>16</v>
      </c>
      <c r="C333" s="22" t="s">
        <v>1593</v>
      </c>
      <c r="D333" s="22" t="s">
        <v>1594</v>
      </c>
      <c r="E333" s="22" t="s">
        <v>1595</v>
      </c>
      <c r="F333" s="22" t="n">
        <v>11</v>
      </c>
      <c r="G333" s="26" t="n">
        <v>66.1</v>
      </c>
      <c r="H333" s="26" t="n">
        <v>77.62</v>
      </c>
      <c r="I333" s="26" t="n">
        <v>89.14</v>
      </c>
      <c r="J333" s="26" t="n">
        <v>100.65</v>
      </c>
      <c r="K333" s="26" t="n">
        <v>112.17</v>
      </c>
      <c r="L333" s="26" t="n">
        <v>1.98</v>
      </c>
      <c r="M333" s="27" t="n">
        <v>0.005</v>
      </c>
      <c r="N333" s="27" t="n">
        <v>0.002</v>
      </c>
      <c r="O333" s="26" t="n">
        <v>5</v>
      </c>
      <c r="P333" s="26" t="n">
        <v>5</v>
      </c>
      <c r="Q333" s="28" t="n">
        <v>100</v>
      </c>
      <c r="R333" s="26" t="n">
        <v>30</v>
      </c>
      <c r="S333" s="26" t="n">
        <v>0</v>
      </c>
      <c r="T333" s="28" t="n">
        <v>1</v>
      </c>
      <c r="U333" s="26" t="n">
        <v>0</v>
      </c>
      <c r="V333" s="26" t="n">
        <v>0</v>
      </c>
      <c r="W333" s="22" t="s">
        <v>16</v>
      </c>
      <c r="X333" s="22" t="s">
        <v>373</v>
      </c>
    </row>
    <row r="334" customFormat="false" ht="15" hidden="false" customHeight="false" outlineLevel="0" collapsed="false">
      <c r="A334" s="22" t="s">
        <v>1596</v>
      </c>
      <c r="B334" s="22" t="s">
        <v>16</v>
      </c>
      <c r="C334" s="22" t="s">
        <v>1597</v>
      </c>
      <c r="D334" s="22" t="s">
        <v>1598</v>
      </c>
      <c r="E334" s="22" t="s">
        <v>1599</v>
      </c>
      <c r="F334" s="22" t="n">
        <v>9</v>
      </c>
      <c r="G334" s="26" t="n">
        <v>66.1</v>
      </c>
      <c r="H334" s="26" t="n">
        <v>77.62</v>
      </c>
      <c r="I334" s="26" t="n">
        <v>89.14</v>
      </c>
      <c r="J334" s="26" t="n">
        <v>100.65</v>
      </c>
      <c r="K334" s="26" t="n">
        <v>112.17</v>
      </c>
      <c r="L334" s="26" t="n">
        <v>1.98</v>
      </c>
      <c r="M334" s="27" t="n">
        <v>0.005</v>
      </c>
      <c r="N334" s="27" t="n">
        <v>0.002</v>
      </c>
      <c r="O334" s="26" t="n">
        <v>5</v>
      </c>
      <c r="P334" s="26" t="n">
        <v>5</v>
      </c>
      <c r="Q334" s="28" t="n">
        <v>100</v>
      </c>
      <c r="R334" s="26" t="n">
        <v>30</v>
      </c>
      <c r="S334" s="26" t="n">
        <v>0</v>
      </c>
      <c r="T334" s="28" t="n">
        <v>1</v>
      </c>
      <c r="U334" s="26" t="n">
        <v>0</v>
      </c>
      <c r="V334" s="26" t="n">
        <v>250</v>
      </c>
      <c r="W334" s="22" t="s">
        <v>16</v>
      </c>
      <c r="X334" s="22" t="s">
        <v>373</v>
      </c>
    </row>
    <row r="335" customFormat="false" ht="15" hidden="false" customHeight="false" outlineLevel="0" collapsed="false">
      <c r="A335" s="22" t="s">
        <v>1600</v>
      </c>
      <c r="B335" s="22" t="s">
        <v>16</v>
      </c>
      <c r="C335" s="22" t="s">
        <v>1601</v>
      </c>
      <c r="D335" s="22" t="s">
        <v>1602</v>
      </c>
      <c r="E335" s="22" t="s">
        <v>1603</v>
      </c>
      <c r="F335" s="22" t="n">
        <v>9</v>
      </c>
      <c r="G335" s="26" t="n">
        <v>66.1</v>
      </c>
      <c r="H335" s="26" t="n">
        <v>77.62</v>
      </c>
      <c r="I335" s="26" t="n">
        <v>89.14</v>
      </c>
      <c r="J335" s="26" t="n">
        <v>100.65</v>
      </c>
      <c r="K335" s="26" t="n">
        <v>112.17</v>
      </c>
      <c r="L335" s="26" t="n">
        <v>1.98</v>
      </c>
      <c r="M335" s="27" t="n">
        <v>0.005</v>
      </c>
      <c r="N335" s="27" t="n">
        <v>0.002</v>
      </c>
      <c r="O335" s="26" t="n">
        <v>5</v>
      </c>
      <c r="P335" s="26" t="n">
        <v>5</v>
      </c>
      <c r="Q335" s="28" t="n">
        <v>100</v>
      </c>
      <c r="R335" s="26" t="n">
        <v>30</v>
      </c>
      <c r="S335" s="26" t="n">
        <v>0</v>
      </c>
      <c r="T335" s="28" t="n">
        <v>1</v>
      </c>
      <c r="U335" s="26" t="n">
        <v>0</v>
      </c>
      <c r="V335" s="26" t="n">
        <v>0</v>
      </c>
      <c r="W335" s="22" t="s">
        <v>16</v>
      </c>
      <c r="X335" s="22" t="s">
        <v>373</v>
      </c>
    </row>
    <row r="336" customFormat="false" ht="15" hidden="false" customHeight="false" outlineLevel="0" collapsed="false">
      <c r="A336" s="22" t="s">
        <v>1604</v>
      </c>
      <c r="B336" s="22" t="s">
        <v>16</v>
      </c>
      <c r="C336" s="22" t="s">
        <v>1605</v>
      </c>
      <c r="D336" s="22" t="s">
        <v>1606</v>
      </c>
      <c r="E336" s="22" t="s">
        <v>1607</v>
      </c>
      <c r="F336" s="22" t="n">
        <v>11</v>
      </c>
      <c r="G336" s="26" t="n">
        <v>66.1</v>
      </c>
      <c r="H336" s="26" t="n">
        <v>77.62</v>
      </c>
      <c r="I336" s="26" t="n">
        <v>89.14</v>
      </c>
      <c r="J336" s="26" t="n">
        <v>100.65</v>
      </c>
      <c r="K336" s="26" t="n">
        <v>112.17</v>
      </c>
      <c r="L336" s="26" t="n">
        <v>1.98</v>
      </c>
      <c r="M336" s="27" t="n">
        <v>0.005</v>
      </c>
      <c r="N336" s="27" t="n">
        <v>0.002</v>
      </c>
      <c r="O336" s="26" t="n">
        <v>5</v>
      </c>
      <c r="P336" s="26" t="n">
        <v>5</v>
      </c>
      <c r="Q336" s="28" t="n">
        <v>100</v>
      </c>
      <c r="R336" s="26" t="n">
        <v>30</v>
      </c>
      <c r="S336" s="26" t="n">
        <v>0</v>
      </c>
      <c r="T336" s="28" t="n">
        <v>1</v>
      </c>
      <c r="U336" s="26" t="n">
        <v>0</v>
      </c>
      <c r="V336" s="26" t="n">
        <v>0</v>
      </c>
      <c r="W336" s="22" t="s">
        <v>16</v>
      </c>
      <c r="X336" s="22" t="s">
        <v>373</v>
      </c>
    </row>
    <row r="337" customFormat="false" ht="15" hidden="false" customHeight="false" outlineLevel="0" collapsed="false">
      <c r="A337" s="22" t="s">
        <v>1608</v>
      </c>
      <c r="B337" s="22" t="s">
        <v>16</v>
      </c>
      <c r="C337" s="22" t="s">
        <v>1609</v>
      </c>
      <c r="D337" s="22" t="s">
        <v>1610</v>
      </c>
      <c r="E337" s="22" t="s">
        <v>1611</v>
      </c>
      <c r="F337" s="22" t="n">
        <v>11</v>
      </c>
      <c r="G337" s="26" t="n">
        <v>66.1</v>
      </c>
      <c r="H337" s="26" t="n">
        <v>77.62</v>
      </c>
      <c r="I337" s="26" t="n">
        <v>89.14</v>
      </c>
      <c r="J337" s="26" t="n">
        <v>100.65</v>
      </c>
      <c r="K337" s="26" t="n">
        <v>112.17</v>
      </c>
      <c r="L337" s="26" t="n">
        <v>1.98</v>
      </c>
      <c r="M337" s="27" t="n">
        <v>0.005</v>
      </c>
      <c r="N337" s="27" t="n">
        <v>0.002</v>
      </c>
      <c r="O337" s="26" t="n">
        <v>5</v>
      </c>
      <c r="P337" s="26" t="n">
        <v>5</v>
      </c>
      <c r="Q337" s="28" t="n">
        <v>100</v>
      </c>
      <c r="R337" s="26" t="n">
        <v>30</v>
      </c>
      <c r="S337" s="26" t="n">
        <v>0</v>
      </c>
      <c r="T337" s="28" t="n">
        <v>1</v>
      </c>
      <c r="U337" s="26" t="n">
        <v>0</v>
      </c>
      <c r="V337" s="26" t="n">
        <v>0</v>
      </c>
      <c r="W337" s="22" t="s">
        <v>16</v>
      </c>
      <c r="X337" s="22" t="s">
        <v>373</v>
      </c>
    </row>
    <row r="338" customFormat="false" ht="15" hidden="false" customHeight="false" outlineLevel="0" collapsed="false">
      <c r="A338" s="22" t="s">
        <v>1612</v>
      </c>
      <c r="B338" s="22" t="s">
        <v>16</v>
      </c>
      <c r="C338" s="22" t="s">
        <v>1613</v>
      </c>
      <c r="D338" s="22" t="s">
        <v>1614</v>
      </c>
      <c r="E338" s="22" t="s">
        <v>1615</v>
      </c>
      <c r="F338" s="22" t="n">
        <v>9</v>
      </c>
      <c r="G338" s="26" t="n">
        <v>66.1</v>
      </c>
      <c r="H338" s="26" t="n">
        <v>77.62</v>
      </c>
      <c r="I338" s="26" t="n">
        <v>89.14</v>
      </c>
      <c r="J338" s="26" t="n">
        <v>100.65</v>
      </c>
      <c r="K338" s="26" t="n">
        <v>112.17</v>
      </c>
      <c r="L338" s="26" t="n">
        <v>1.98</v>
      </c>
      <c r="M338" s="27" t="n">
        <v>0.005</v>
      </c>
      <c r="N338" s="27" t="n">
        <v>0.002</v>
      </c>
      <c r="O338" s="26" t="n">
        <v>5</v>
      </c>
      <c r="P338" s="26" t="n">
        <v>5</v>
      </c>
      <c r="Q338" s="28" t="n">
        <v>100</v>
      </c>
      <c r="R338" s="26" t="n">
        <v>30</v>
      </c>
      <c r="S338" s="26" t="n">
        <v>0</v>
      </c>
      <c r="T338" s="28" t="n">
        <v>1</v>
      </c>
      <c r="U338" s="26" t="n">
        <v>0</v>
      </c>
      <c r="V338" s="26" t="n">
        <v>0</v>
      </c>
      <c r="W338" s="22" t="s">
        <v>16</v>
      </c>
      <c r="X338" s="22" t="s">
        <v>373</v>
      </c>
    </row>
    <row r="339" customFormat="false" ht="15" hidden="false" customHeight="false" outlineLevel="0" collapsed="false">
      <c r="A339" s="22" t="s">
        <v>1616</v>
      </c>
      <c r="B339" s="22" t="s">
        <v>16</v>
      </c>
      <c r="C339" s="22" t="s">
        <v>1617</v>
      </c>
      <c r="D339" s="22" t="s">
        <v>1618</v>
      </c>
      <c r="E339" s="22" t="s">
        <v>1619</v>
      </c>
      <c r="F339" s="22" t="n">
        <v>11</v>
      </c>
      <c r="G339" s="26" t="n">
        <v>66.1</v>
      </c>
      <c r="H339" s="26" t="n">
        <v>77.62</v>
      </c>
      <c r="I339" s="26" t="n">
        <v>89.14</v>
      </c>
      <c r="J339" s="26" t="n">
        <v>100.65</v>
      </c>
      <c r="K339" s="26" t="n">
        <v>112.17</v>
      </c>
      <c r="L339" s="26" t="n">
        <v>1.98</v>
      </c>
      <c r="M339" s="27" t="n">
        <v>0.005</v>
      </c>
      <c r="N339" s="27" t="n">
        <v>0.002</v>
      </c>
      <c r="O339" s="26" t="n">
        <v>5</v>
      </c>
      <c r="P339" s="26" t="n">
        <v>5</v>
      </c>
      <c r="Q339" s="28" t="n">
        <v>100</v>
      </c>
      <c r="R339" s="26" t="n">
        <v>30</v>
      </c>
      <c r="S339" s="26" t="n">
        <v>0</v>
      </c>
      <c r="T339" s="28" t="n">
        <v>1</v>
      </c>
      <c r="U339" s="26" t="n">
        <v>0</v>
      </c>
      <c r="V339" s="26" t="n">
        <v>250</v>
      </c>
      <c r="W339" s="22" t="s">
        <v>16</v>
      </c>
      <c r="X339" s="22" t="s">
        <v>373</v>
      </c>
    </row>
    <row r="340" customFormat="false" ht="15" hidden="false" customHeight="false" outlineLevel="0" collapsed="false">
      <c r="A340" s="22" t="s">
        <v>1620</v>
      </c>
      <c r="B340" s="22" t="s">
        <v>16</v>
      </c>
      <c r="C340" s="22" t="s">
        <v>1621</v>
      </c>
      <c r="D340" s="22" t="s">
        <v>1622</v>
      </c>
      <c r="E340" s="22" t="s">
        <v>1623</v>
      </c>
      <c r="F340" s="22" t="n">
        <v>11</v>
      </c>
      <c r="G340" s="26" t="n">
        <v>66.1</v>
      </c>
      <c r="H340" s="26" t="n">
        <v>77.62</v>
      </c>
      <c r="I340" s="26" t="n">
        <v>89.14</v>
      </c>
      <c r="J340" s="26" t="n">
        <v>100.65</v>
      </c>
      <c r="K340" s="26" t="n">
        <v>112.17</v>
      </c>
      <c r="L340" s="26" t="n">
        <v>1.98</v>
      </c>
      <c r="M340" s="27" t="n">
        <v>0.005</v>
      </c>
      <c r="N340" s="27" t="n">
        <v>0.002</v>
      </c>
      <c r="O340" s="26" t="n">
        <v>5</v>
      </c>
      <c r="P340" s="26" t="n">
        <v>5</v>
      </c>
      <c r="Q340" s="28" t="n">
        <v>100</v>
      </c>
      <c r="R340" s="26" t="n">
        <v>30</v>
      </c>
      <c r="S340" s="26" t="n">
        <v>0</v>
      </c>
      <c r="T340" s="28" t="n">
        <v>1</v>
      </c>
      <c r="U340" s="26" t="n">
        <v>0</v>
      </c>
      <c r="V340" s="26" t="n">
        <v>0</v>
      </c>
      <c r="W340" s="22" t="s">
        <v>16</v>
      </c>
      <c r="X340" s="22" t="s">
        <v>373</v>
      </c>
    </row>
    <row r="341" customFormat="false" ht="15" hidden="false" customHeight="false" outlineLevel="0" collapsed="false">
      <c r="A341" s="22" t="s">
        <v>1624</v>
      </c>
      <c r="B341" s="22" t="s">
        <v>16</v>
      </c>
      <c r="C341" s="22" t="s">
        <v>1625</v>
      </c>
      <c r="D341" s="22" t="s">
        <v>1626</v>
      </c>
      <c r="E341" s="22" t="s">
        <v>1627</v>
      </c>
      <c r="F341" s="22" t="n">
        <v>9</v>
      </c>
      <c r="G341" s="26" t="n">
        <v>66.1</v>
      </c>
      <c r="H341" s="26" t="n">
        <v>77.62</v>
      </c>
      <c r="I341" s="26" t="n">
        <v>89.14</v>
      </c>
      <c r="J341" s="26" t="n">
        <v>100.65</v>
      </c>
      <c r="K341" s="26" t="n">
        <v>112.17</v>
      </c>
      <c r="L341" s="26" t="n">
        <v>1.98</v>
      </c>
      <c r="M341" s="27" t="n">
        <v>0.005</v>
      </c>
      <c r="N341" s="27" t="n">
        <v>0.002</v>
      </c>
      <c r="O341" s="26" t="n">
        <v>5</v>
      </c>
      <c r="P341" s="26" t="n">
        <v>5</v>
      </c>
      <c r="Q341" s="28" t="n">
        <v>100</v>
      </c>
      <c r="R341" s="26" t="n">
        <v>30</v>
      </c>
      <c r="S341" s="26" t="n">
        <v>0</v>
      </c>
      <c r="T341" s="28" t="n">
        <v>1</v>
      </c>
      <c r="U341" s="26" t="n">
        <v>0</v>
      </c>
      <c r="V341" s="26" t="n">
        <v>0</v>
      </c>
      <c r="W341" s="22" t="s">
        <v>16</v>
      </c>
      <c r="X341" s="22" t="s">
        <v>373</v>
      </c>
    </row>
    <row r="342" customFormat="false" ht="15" hidden="false" customHeight="false" outlineLevel="0" collapsed="false">
      <c r="A342" s="22" t="s">
        <v>1628</v>
      </c>
      <c r="B342" s="22" t="s">
        <v>16</v>
      </c>
      <c r="C342" s="22" t="s">
        <v>1629</v>
      </c>
      <c r="D342" s="22" t="s">
        <v>1630</v>
      </c>
      <c r="E342" s="22" t="s">
        <v>1631</v>
      </c>
      <c r="F342" s="22" t="n">
        <v>9</v>
      </c>
      <c r="G342" s="26" t="n">
        <v>66.1</v>
      </c>
      <c r="H342" s="26" t="n">
        <v>77.62</v>
      </c>
      <c r="I342" s="26" t="n">
        <v>89.14</v>
      </c>
      <c r="J342" s="26" t="n">
        <v>100.65</v>
      </c>
      <c r="K342" s="26" t="n">
        <v>112.17</v>
      </c>
      <c r="L342" s="26" t="n">
        <v>1.98</v>
      </c>
      <c r="M342" s="27" t="n">
        <v>0.005</v>
      </c>
      <c r="N342" s="27" t="n">
        <v>0.002</v>
      </c>
      <c r="O342" s="26" t="n">
        <v>5</v>
      </c>
      <c r="P342" s="26" t="n">
        <v>5</v>
      </c>
      <c r="Q342" s="28" t="n">
        <v>100</v>
      </c>
      <c r="R342" s="26" t="n">
        <v>30</v>
      </c>
      <c r="S342" s="26" t="n">
        <v>0</v>
      </c>
      <c r="T342" s="28" t="n">
        <v>1</v>
      </c>
      <c r="U342" s="26" t="n">
        <v>0</v>
      </c>
      <c r="V342" s="26" t="n">
        <v>0</v>
      </c>
      <c r="W342" s="22" t="s">
        <v>16</v>
      </c>
      <c r="X342" s="22" t="s">
        <v>373</v>
      </c>
    </row>
    <row r="343" customFormat="false" ht="15" hidden="false" customHeight="false" outlineLevel="0" collapsed="false">
      <c r="A343" s="22" t="s">
        <v>1632</v>
      </c>
      <c r="B343" s="22" t="s">
        <v>16</v>
      </c>
      <c r="C343" s="22" t="s">
        <v>1633</v>
      </c>
      <c r="D343" s="22" t="s">
        <v>1634</v>
      </c>
      <c r="E343" s="22" t="s">
        <v>1635</v>
      </c>
      <c r="F343" s="22" t="n">
        <v>9</v>
      </c>
      <c r="G343" s="26" t="n">
        <v>66.1</v>
      </c>
      <c r="H343" s="26" t="n">
        <v>77.62</v>
      </c>
      <c r="I343" s="26" t="n">
        <v>89.14</v>
      </c>
      <c r="J343" s="26" t="n">
        <v>100.65</v>
      </c>
      <c r="K343" s="26" t="n">
        <v>112.17</v>
      </c>
      <c r="L343" s="26" t="n">
        <v>1.98</v>
      </c>
      <c r="M343" s="27" t="n">
        <v>0.005</v>
      </c>
      <c r="N343" s="27" t="n">
        <v>0.002</v>
      </c>
      <c r="O343" s="26" t="n">
        <v>5</v>
      </c>
      <c r="P343" s="26" t="n">
        <v>5</v>
      </c>
      <c r="Q343" s="28" t="n">
        <v>100</v>
      </c>
      <c r="R343" s="26" t="n">
        <v>30</v>
      </c>
      <c r="S343" s="26" t="n">
        <v>0</v>
      </c>
      <c r="T343" s="28" t="n">
        <v>1</v>
      </c>
      <c r="U343" s="26" t="n">
        <v>0</v>
      </c>
      <c r="V343" s="26" t="n">
        <v>250</v>
      </c>
      <c r="W343" s="22" t="s">
        <v>16</v>
      </c>
      <c r="X343" s="22" t="s">
        <v>373</v>
      </c>
    </row>
    <row r="344" customFormat="false" ht="15" hidden="false" customHeight="false" outlineLevel="0" collapsed="false">
      <c r="A344" s="22" t="s">
        <v>1636</v>
      </c>
      <c r="B344" s="22" t="s">
        <v>16</v>
      </c>
      <c r="C344" s="22" t="s">
        <v>1637</v>
      </c>
      <c r="D344" s="22" t="s">
        <v>1638</v>
      </c>
      <c r="E344" s="22" t="s">
        <v>1639</v>
      </c>
      <c r="F344" s="22" t="n">
        <v>9</v>
      </c>
      <c r="G344" s="26" t="n">
        <v>66.1</v>
      </c>
      <c r="H344" s="26" t="n">
        <v>77.62</v>
      </c>
      <c r="I344" s="26" t="n">
        <v>89.14</v>
      </c>
      <c r="J344" s="26" t="n">
        <v>100.65</v>
      </c>
      <c r="K344" s="26" t="n">
        <v>112.17</v>
      </c>
      <c r="L344" s="26" t="n">
        <v>1.98</v>
      </c>
      <c r="M344" s="27" t="n">
        <v>0.005</v>
      </c>
      <c r="N344" s="27" t="n">
        <v>0.002</v>
      </c>
      <c r="O344" s="26" t="n">
        <v>5</v>
      </c>
      <c r="P344" s="26" t="n">
        <v>5</v>
      </c>
      <c r="Q344" s="28" t="n">
        <v>100</v>
      </c>
      <c r="R344" s="26" t="n">
        <v>30</v>
      </c>
      <c r="S344" s="26" t="n">
        <v>0</v>
      </c>
      <c r="T344" s="28" t="n">
        <v>1</v>
      </c>
      <c r="U344" s="26" t="n">
        <v>0</v>
      </c>
      <c r="V344" s="26" t="n">
        <v>250</v>
      </c>
      <c r="W344" s="22" t="s">
        <v>16</v>
      </c>
      <c r="X344" s="22" t="s">
        <v>373</v>
      </c>
    </row>
    <row r="345" customFormat="false" ht="15" hidden="false" customHeight="false" outlineLevel="0" collapsed="false">
      <c r="A345" s="22" t="s">
        <v>1640</v>
      </c>
      <c r="B345" s="22" t="s">
        <v>16</v>
      </c>
      <c r="C345" s="22" t="s">
        <v>1641</v>
      </c>
      <c r="D345" s="22" t="s">
        <v>1642</v>
      </c>
      <c r="E345" s="22" t="s">
        <v>1643</v>
      </c>
      <c r="F345" s="22" t="n">
        <v>9</v>
      </c>
      <c r="G345" s="26" t="n">
        <v>66.1</v>
      </c>
      <c r="H345" s="26" t="n">
        <v>77.62</v>
      </c>
      <c r="I345" s="26" t="n">
        <v>89.14</v>
      </c>
      <c r="J345" s="26" t="n">
        <v>100.65</v>
      </c>
      <c r="K345" s="26" t="n">
        <v>112.17</v>
      </c>
      <c r="L345" s="26" t="n">
        <v>1.98</v>
      </c>
      <c r="M345" s="27" t="n">
        <v>0.005</v>
      </c>
      <c r="N345" s="27" t="n">
        <v>0.002</v>
      </c>
      <c r="O345" s="26" t="n">
        <v>5</v>
      </c>
      <c r="P345" s="26" t="n">
        <v>5</v>
      </c>
      <c r="Q345" s="28" t="n">
        <v>100</v>
      </c>
      <c r="R345" s="26" t="n">
        <v>30</v>
      </c>
      <c r="S345" s="26" t="n">
        <v>0</v>
      </c>
      <c r="T345" s="28" t="n">
        <v>1</v>
      </c>
      <c r="U345" s="26" t="n">
        <v>0</v>
      </c>
      <c r="V345" s="26" t="n">
        <v>0</v>
      </c>
      <c r="W345" s="22" t="s">
        <v>16</v>
      </c>
      <c r="X345" s="22" t="s">
        <v>373</v>
      </c>
    </row>
    <row r="346" customFormat="false" ht="15" hidden="false" customHeight="false" outlineLevel="0" collapsed="false">
      <c r="A346" s="22" t="s">
        <v>1644</v>
      </c>
      <c r="B346" s="22" t="s">
        <v>16</v>
      </c>
      <c r="C346" s="22" t="s">
        <v>1645</v>
      </c>
      <c r="D346" s="22" t="s">
        <v>1646</v>
      </c>
      <c r="E346" s="22" t="s">
        <v>1647</v>
      </c>
      <c r="F346" s="22" t="n">
        <v>9</v>
      </c>
      <c r="G346" s="26" t="n">
        <v>66.1</v>
      </c>
      <c r="H346" s="26" t="n">
        <v>77.62</v>
      </c>
      <c r="I346" s="26" t="n">
        <v>89.14</v>
      </c>
      <c r="J346" s="26" t="n">
        <v>100.65</v>
      </c>
      <c r="K346" s="26" t="n">
        <v>112.17</v>
      </c>
      <c r="L346" s="26" t="n">
        <v>1.98</v>
      </c>
      <c r="M346" s="27" t="n">
        <v>0.005</v>
      </c>
      <c r="N346" s="27" t="n">
        <v>0.002</v>
      </c>
      <c r="O346" s="26" t="n">
        <v>5</v>
      </c>
      <c r="P346" s="26" t="n">
        <v>5</v>
      </c>
      <c r="Q346" s="28" t="n">
        <v>100</v>
      </c>
      <c r="R346" s="26" t="n">
        <v>30</v>
      </c>
      <c r="S346" s="26" t="n">
        <v>0</v>
      </c>
      <c r="T346" s="28" t="n">
        <v>1</v>
      </c>
      <c r="U346" s="26" t="n">
        <v>0</v>
      </c>
      <c r="V346" s="26" t="n">
        <v>0</v>
      </c>
      <c r="W346" s="22" t="s">
        <v>16</v>
      </c>
      <c r="X346" s="22" t="s">
        <v>373</v>
      </c>
    </row>
    <row r="347" customFormat="false" ht="15" hidden="false" customHeight="false" outlineLevel="0" collapsed="false">
      <c r="A347" s="22" t="s">
        <v>1648</v>
      </c>
      <c r="B347" s="22" t="s">
        <v>16</v>
      </c>
      <c r="C347" s="22" t="s">
        <v>1649</v>
      </c>
      <c r="D347" s="22" t="s">
        <v>1650</v>
      </c>
      <c r="E347" s="22" t="s">
        <v>1651</v>
      </c>
      <c r="F347" s="22" t="n">
        <v>9</v>
      </c>
      <c r="G347" s="26" t="n">
        <v>66.1</v>
      </c>
      <c r="H347" s="26" t="n">
        <v>77.62</v>
      </c>
      <c r="I347" s="26" t="n">
        <v>89.14</v>
      </c>
      <c r="J347" s="26" t="n">
        <v>100.65</v>
      </c>
      <c r="K347" s="26" t="n">
        <v>112.17</v>
      </c>
      <c r="L347" s="26" t="n">
        <v>1.98</v>
      </c>
      <c r="M347" s="27" t="n">
        <v>0.005</v>
      </c>
      <c r="N347" s="27" t="n">
        <v>0.002</v>
      </c>
      <c r="O347" s="26" t="n">
        <v>5</v>
      </c>
      <c r="P347" s="26" t="n">
        <v>5</v>
      </c>
      <c r="Q347" s="28" t="n">
        <v>100</v>
      </c>
      <c r="R347" s="26" t="n">
        <v>30</v>
      </c>
      <c r="S347" s="26" t="n">
        <v>0</v>
      </c>
      <c r="T347" s="28" t="n">
        <v>1</v>
      </c>
      <c r="U347" s="26" t="n">
        <v>0</v>
      </c>
      <c r="V347" s="26" t="n">
        <v>0</v>
      </c>
      <c r="W347" s="22" t="s">
        <v>16</v>
      </c>
      <c r="X347" s="22" t="s">
        <v>373</v>
      </c>
    </row>
    <row r="348" customFormat="false" ht="15" hidden="false" customHeight="false" outlineLevel="0" collapsed="false">
      <c r="A348" s="22" t="s">
        <v>1652</v>
      </c>
      <c r="B348" s="22" t="s">
        <v>16</v>
      </c>
      <c r="C348" s="22" t="s">
        <v>1653</v>
      </c>
      <c r="D348" s="22" t="s">
        <v>1654</v>
      </c>
      <c r="E348" s="22" t="s">
        <v>1655</v>
      </c>
      <c r="F348" s="22" t="n">
        <v>9</v>
      </c>
      <c r="G348" s="26" t="n">
        <v>66.1</v>
      </c>
      <c r="H348" s="26" t="n">
        <v>77.62</v>
      </c>
      <c r="I348" s="26" t="n">
        <v>89.14</v>
      </c>
      <c r="J348" s="26" t="n">
        <v>100.65</v>
      </c>
      <c r="K348" s="26" t="n">
        <v>112.17</v>
      </c>
      <c r="L348" s="26" t="n">
        <v>1.98</v>
      </c>
      <c r="M348" s="27" t="n">
        <v>0.005</v>
      </c>
      <c r="N348" s="27" t="n">
        <v>0.002</v>
      </c>
      <c r="O348" s="26" t="n">
        <v>5</v>
      </c>
      <c r="P348" s="26" t="n">
        <v>5</v>
      </c>
      <c r="Q348" s="28" t="n">
        <v>100</v>
      </c>
      <c r="R348" s="26" t="n">
        <v>30</v>
      </c>
      <c r="S348" s="26" t="n">
        <v>0</v>
      </c>
      <c r="T348" s="28" t="n">
        <v>1</v>
      </c>
      <c r="U348" s="26" t="n">
        <v>0</v>
      </c>
      <c r="V348" s="26" t="n">
        <v>0</v>
      </c>
      <c r="W348" s="22" t="s">
        <v>16</v>
      </c>
      <c r="X348" s="22" t="s">
        <v>373</v>
      </c>
    </row>
    <row r="349" customFormat="false" ht="15" hidden="false" customHeight="false" outlineLevel="0" collapsed="false">
      <c r="A349" s="22" t="s">
        <v>1656</v>
      </c>
      <c r="B349" s="22" t="s">
        <v>16</v>
      </c>
      <c r="C349" s="22" t="s">
        <v>85</v>
      </c>
      <c r="D349" s="22" t="s">
        <v>1657</v>
      </c>
      <c r="E349" s="22" t="s">
        <v>1658</v>
      </c>
      <c r="F349" s="22" t="n">
        <v>9</v>
      </c>
      <c r="G349" s="26" t="n">
        <v>66.1</v>
      </c>
      <c r="H349" s="26" t="n">
        <v>77.62</v>
      </c>
      <c r="I349" s="26" t="n">
        <v>89.14</v>
      </c>
      <c r="J349" s="26" t="n">
        <v>100.65</v>
      </c>
      <c r="K349" s="26" t="n">
        <v>112.17</v>
      </c>
      <c r="L349" s="26" t="n">
        <v>1.98</v>
      </c>
      <c r="M349" s="27" t="n">
        <v>0.005</v>
      </c>
      <c r="N349" s="27" t="n">
        <v>0.002</v>
      </c>
      <c r="O349" s="26" t="n">
        <v>5</v>
      </c>
      <c r="P349" s="26" t="n">
        <v>5</v>
      </c>
      <c r="Q349" s="28" t="n">
        <v>100</v>
      </c>
      <c r="R349" s="26" t="n">
        <v>30</v>
      </c>
      <c r="S349" s="26" t="n">
        <v>0</v>
      </c>
      <c r="T349" s="28" t="n">
        <v>1</v>
      </c>
      <c r="U349" s="26" t="n">
        <v>0</v>
      </c>
      <c r="V349" s="26" t="n">
        <v>0</v>
      </c>
      <c r="W349" s="22" t="s">
        <v>16</v>
      </c>
      <c r="X349" s="22" t="s">
        <v>373</v>
      </c>
    </row>
    <row r="350" customFormat="false" ht="15" hidden="false" customHeight="false" outlineLevel="0" collapsed="false">
      <c r="A350" s="22" t="s">
        <v>1659</v>
      </c>
      <c r="B350" s="22" t="s">
        <v>16</v>
      </c>
      <c r="C350" s="22" t="s">
        <v>1660</v>
      </c>
      <c r="D350" s="22" t="s">
        <v>1661</v>
      </c>
      <c r="E350" s="22" t="s">
        <v>1662</v>
      </c>
      <c r="F350" s="22" t="n">
        <v>11</v>
      </c>
      <c r="G350" s="26" t="n">
        <v>66.1</v>
      </c>
      <c r="H350" s="26" t="n">
        <v>77.62</v>
      </c>
      <c r="I350" s="26" t="n">
        <v>89.14</v>
      </c>
      <c r="J350" s="26" t="n">
        <v>100.65</v>
      </c>
      <c r="K350" s="26" t="n">
        <v>112.17</v>
      </c>
      <c r="L350" s="26" t="n">
        <v>1.98</v>
      </c>
      <c r="M350" s="27" t="n">
        <v>0.005</v>
      </c>
      <c r="N350" s="27" t="n">
        <v>0.002</v>
      </c>
      <c r="O350" s="26" t="n">
        <v>5</v>
      </c>
      <c r="P350" s="26" t="n">
        <v>5</v>
      </c>
      <c r="Q350" s="28" t="n">
        <v>100</v>
      </c>
      <c r="R350" s="26" t="n">
        <v>30</v>
      </c>
      <c r="S350" s="26" t="n">
        <v>0</v>
      </c>
      <c r="T350" s="28" t="n">
        <v>1</v>
      </c>
      <c r="U350" s="26" t="n">
        <v>0</v>
      </c>
      <c r="V350" s="26" t="n">
        <v>250</v>
      </c>
      <c r="W350" s="22" t="s">
        <v>16</v>
      </c>
      <c r="X350" s="22" t="s">
        <v>373</v>
      </c>
    </row>
    <row r="351" customFormat="false" ht="15" hidden="false" customHeight="false" outlineLevel="0" collapsed="false">
      <c r="A351" s="22" t="s">
        <v>1663</v>
      </c>
      <c r="B351" s="22" t="s">
        <v>16</v>
      </c>
      <c r="C351" s="22" t="s">
        <v>1664</v>
      </c>
      <c r="D351" s="22" t="s">
        <v>1665</v>
      </c>
      <c r="E351" s="22" t="s">
        <v>1666</v>
      </c>
      <c r="F351" s="22" t="n">
        <v>11</v>
      </c>
      <c r="G351" s="26" t="n">
        <v>66.1</v>
      </c>
      <c r="H351" s="26" t="n">
        <v>77.62</v>
      </c>
      <c r="I351" s="26" t="n">
        <v>89.14</v>
      </c>
      <c r="J351" s="26" t="n">
        <v>100.65</v>
      </c>
      <c r="K351" s="26" t="n">
        <v>112.17</v>
      </c>
      <c r="L351" s="26" t="n">
        <v>1.98</v>
      </c>
      <c r="M351" s="27" t="n">
        <v>0.005</v>
      </c>
      <c r="N351" s="27" t="n">
        <v>0.002</v>
      </c>
      <c r="O351" s="26" t="n">
        <v>5</v>
      </c>
      <c r="P351" s="26" t="n">
        <v>5</v>
      </c>
      <c r="Q351" s="28" t="n">
        <v>100</v>
      </c>
      <c r="R351" s="26" t="n">
        <v>30</v>
      </c>
      <c r="S351" s="26" t="n">
        <v>0</v>
      </c>
      <c r="T351" s="28" t="n">
        <v>1</v>
      </c>
      <c r="U351" s="26" t="n">
        <v>0</v>
      </c>
      <c r="V351" s="26" t="n">
        <v>0</v>
      </c>
      <c r="W351" s="22" t="s">
        <v>16</v>
      </c>
      <c r="X351" s="22" t="s">
        <v>373</v>
      </c>
    </row>
    <row r="352" customFormat="false" ht="15" hidden="false" customHeight="false" outlineLevel="0" collapsed="false">
      <c r="A352" s="22" t="s">
        <v>1667</v>
      </c>
      <c r="B352" s="22" t="s">
        <v>16</v>
      </c>
      <c r="C352" s="22" t="s">
        <v>1668</v>
      </c>
      <c r="D352" s="22" t="s">
        <v>1669</v>
      </c>
      <c r="E352" s="22" t="s">
        <v>1670</v>
      </c>
      <c r="F352" s="22" t="n">
        <v>11</v>
      </c>
      <c r="G352" s="26" t="n">
        <v>66.1</v>
      </c>
      <c r="H352" s="26" t="n">
        <v>77.62</v>
      </c>
      <c r="I352" s="26" t="n">
        <v>89.14</v>
      </c>
      <c r="J352" s="26" t="n">
        <v>100.65</v>
      </c>
      <c r="K352" s="26" t="n">
        <v>112.17</v>
      </c>
      <c r="L352" s="26" t="n">
        <v>1.98</v>
      </c>
      <c r="M352" s="27" t="n">
        <v>0.005</v>
      </c>
      <c r="N352" s="27" t="n">
        <v>0.002</v>
      </c>
      <c r="O352" s="26" t="n">
        <v>5</v>
      </c>
      <c r="P352" s="26" t="n">
        <v>5</v>
      </c>
      <c r="Q352" s="28" t="n">
        <v>100</v>
      </c>
      <c r="R352" s="26" t="n">
        <v>30</v>
      </c>
      <c r="S352" s="26" t="n">
        <v>0</v>
      </c>
      <c r="T352" s="28" t="n">
        <v>1</v>
      </c>
      <c r="U352" s="26" t="n">
        <v>0</v>
      </c>
      <c r="V352" s="26" t="n">
        <v>250</v>
      </c>
      <c r="W352" s="22" t="s">
        <v>16</v>
      </c>
      <c r="X352" s="22" t="s">
        <v>373</v>
      </c>
    </row>
    <row r="353" customFormat="false" ht="15" hidden="false" customHeight="false" outlineLevel="0" collapsed="false">
      <c r="A353" s="22" t="s">
        <v>1671</v>
      </c>
      <c r="B353" s="22" t="s">
        <v>16</v>
      </c>
      <c r="C353" s="22" t="s">
        <v>1672</v>
      </c>
      <c r="D353" s="22" t="s">
        <v>1673</v>
      </c>
      <c r="E353" s="22" t="s">
        <v>1674</v>
      </c>
      <c r="F353" s="22" t="n">
        <v>9</v>
      </c>
      <c r="G353" s="26" t="n">
        <v>66.1</v>
      </c>
      <c r="H353" s="26" t="n">
        <v>77.62</v>
      </c>
      <c r="I353" s="26" t="n">
        <v>89.14</v>
      </c>
      <c r="J353" s="26" t="n">
        <v>100.65</v>
      </c>
      <c r="K353" s="26" t="n">
        <v>112.17</v>
      </c>
      <c r="L353" s="26" t="n">
        <v>1.98</v>
      </c>
      <c r="M353" s="27" t="n">
        <v>0.005</v>
      </c>
      <c r="N353" s="27" t="n">
        <v>0.002</v>
      </c>
      <c r="O353" s="26" t="n">
        <v>5</v>
      </c>
      <c r="P353" s="26" t="n">
        <v>5</v>
      </c>
      <c r="Q353" s="28" t="n">
        <v>100</v>
      </c>
      <c r="R353" s="26" t="n">
        <v>30</v>
      </c>
      <c r="S353" s="26" t="n">
        <v>0</v>
      </c>
      <c r="T353" s="28" t="n">
        <v>1</v>
      </c>
      <c r="U353" s="26" t="n">
        <v>0</v>
      </c>
      <c r="V353" s="26" t="n">
        <v>0</v>
      </c>
      <c r="W353" s="22" t="s">
        <v>16</v>
      </c>
      <c r="X353" s="22" t="s">
        <v>373</v>
      </c>
    </row>
    <row r="354" customFormat="false" ht="15" hidden="false" customHeight="false" outlineLevel="0" collapsed="false">
      <c r="A354" s="22" t="s">
        <v>1675</v>
      </c>
      <c r="B354" s="22" t="s">
        <v>16</v>
      </c>
      <c r="C354" s="22" t="s">
        <v>1676</v>
      </c>
      <c r="D354" s="22" t="s">
        <v>1677</v>
      </c>
      <c r="E354" s="22" t="s">
        <v>1678</v>
      </c>
      <c r="F354" s="22" t="n">
        <v>11</v>
      </c>
      <c r="G354" s="26" t="n">
        <v>66.1</v>
      </c>
      <c r="H354" s="26" t="n">
        <v>77.62</v>
      </c>
      <c r="I354" s="26" t="n">
        <v>89.14</v>
      </c>
      <c r="J354" s="26" t="n">
        <v>100.65</v>
      </c>
      <c r="K354" s="26" t="n">
        <v>112.17</v>
      </c>
      <c r="L354" s="26" t="n">
        <v>1.98</v>
      </c>
      <c r="M354" s="27" t="n">
        <v>0.005</v>
      </c>
      <c r="N354" s="27" t="n">
        <v>0.002</v>
      </c>
      <c r="O354" s="26" t="n">
        <v>5</v>
      </c>
      <c r="P354" s="26" t="n">
        <v>5</v>
      </c>
      <c r="Q354" s="28" t="n">
        <v>100</v>
      </c>
      <c r="R354" s="26" t="n">
        <v>30</v>
      </c>
      <c r="S354" s="26" t="n">
        <v>0</v>
      </c>
      <c r="T354" s="28" t="n">
        <v>1</v>
      </c>
      <c r="U354" s="26" t="n">
        <v>0</v>
      </c>
      <c r="V354" s="26" t="n">
        <v>0</v>
      </c>
      <c r="W354" s="22" t="s">
        <v>16</v>
      </c>
      <c r="X354" s="22" t="s">
        <v>373</v>
      </c>
    </row>
    <row r="355" customFormat="false" ht="15" hidden="false" customHeight="false" outlineLevel="0" collapsed="false">
      <c r="A355" s="22" t="s">
        <v>1679</v>
      </c>
      <c r="B355" s="22" t="s">
        <v>16</v>
      </c>
      <c r="C355" s="22" t="s">
        <v>1680</v>
      </c>
      <c r="D355" s="22" t="s">
        <v>1681</v>
      </c>
      <c r="E355" s="22" t="s">
        <v>1682</v>
      </c>
      <c r="F355" s="22" t="n">
        <v>9</v>
      </c>
      <c r="G355" s="26" t="n">
        <v>66.1</v>
      </c>
      <c r="H355" s="26" t="n">
        <v>77.62</v>
      </c>
      <c r="I355" s="26" t="n">
        <v>89.14</v>
      </c>
      <c r="J355" s="26" t="n">
        <v>100.65</v>
      </c>
      <c r="K355" s="26" t="n">
        <v>112.17</v>
      </c>
      <c r="L355" s="26" t="n">
        <v>1.98</v>
      </c>
      <c r="M355" s="27" t="n">
        <v>0.005</v>
      </c>
      <c r="N355" s="27" t="n">
        <v>0.002</v>
      </c>
      <c r="O355" s="26" t="n">
        <v>5</v>
      </c>
      <c r="P355" s="26" t="n">
        <v>5</v>
      </c>
      <c r="Q355" s="28" t="n">
        <v>100</v>
      </c>
      <c r="R355" s="26" t="n">
        <v>30</v>
      </c>
      <c r="S355" s="26" t="n">
        <v>0</v>
      </c>
      <c r="T355" s="28" t="n">
        <v>1</v>
      </c>
      <c r="U355" s="26" t="n">
        <v>0</v>
      </c>
      <c r="V355" s="26" t="n">
        <v>0</v>
      </c>
      <c r="W355" s="22" t="s">
        <v>16</v>
      </c>
      <c r="X355" s="22" t="s">
        <v>373</v>
      </c>
    </row>
    <row r="356" customFormat="false" ht="15" hidden="false" customHeight="false" outlineLevel="0" collapsed="false">
      <c r="A356" s="22" t="s">
        <v>1683</v>
      </c>
      <c r="B356" s="22" t="s">
        <v>16</v>
      </c>
      <c r="C356" s="22" t="s">
        <v>1684</v>
      </c>
      <c r="D356" s="22" t="s">
        <v>1685</v>
      </c>
      <c r="E356" s="22" t="s">
        <v>1686</v>
      </c>
      <c r="F356" s="22" t="n">
        <v>11</v>
      </c>
      <c r="G356" s="26" t="n">
        <v>66.1</v>
      </c>
      <c r="H356" s="26" t="n">
        <v>77.62</v>
      </c>
      <c r="I356" s="26" t="n">
        <v>89.14</v>
      </c>
      <c r="J356" s="26" t="n">
        <v>100.65</v>
      </c>
      <c r="K356" s="26" t="n">
        <v>112.17</v>
      </c>
      <c r="L356" s="26" t="n">
        <v>1.98</v>
      </c>
      <c r="M356" s="27" t="n">
        <v>0.005</v>
      </c>
      <c r="N356" s="27" t="n">
        <v>0.002</v>
      </c>
      <c r="O356" s="26" t="n">
        <v>5</v>
      </c>
      <c r="P356" s="26" t="n">
        <v>5</v>
      </c>
      <c r="Q356" s="28" t="n">
        <v>100</v>
      </c>
      <c r="R356" s="26" t="n">
        <v>30</v>
      </c>
      <c r="S356" s="26" t="n">
        <v>0</v>
      </c>
      <c r="T356" s="28" t="n">
        <v>1</v>
      </c>
      <c r="U356" s="26" t="n">
        <v>0</v>
      </c>
      <c r="V356" s="26" t="n">
        <v>0</v>
      </c>
      <c r="W356" s="22" t="s">
        <v>16</v>
      </c>
      <c r="X356" s="22" t="s">
        <v>373</v>
      </c>
    </row>
    <row r="357" customFormat="false" ht="15" hidden="false" customHeight="false" outlineLevel="0" collapsed="false">
      <c r="A357" s="22" t="s">
        <v>1687</v>
      </c>
      <c r="B357" s="22" t="s">
        <v>16</v>
      </c>
      <c r="C357" s="22" t="s">
        <v>1688</v>
      </c>
      <c r="D357" s="22" t="s">
        <v>1689</v>
      </c>
      <c r="E357" s="22" t="s">
        <v>1690</v>
      </c>
      <c r="F357" s="22" t="n">
        <v>9</v>
      </c>
      <c r="G357" s="26" t="n">
        <v>66.1</v>
      </c>
      <c r="H357" s="26" t="n">
        <v>77.62</v>
      </c>
      <c r="I357" s="26" t="n">
        <v>89.14</v>
      </c>
      <c r="J357" s="26" t="n">
        <v>100.65</v>
      </c>
      <c r="K357" s="26" t="n">
        <v>112.17</v>
      </c>
      <c r="L357" s="26" t="n">
        <v>1.98</v>
      </c>
      <c r="M357" s="27" t="n">
        <v>0.005</v>
      </c>
      <c r="N357" s="27" t="n">
        <v>0.002</v>
      </c>
      <c r="O357" s="26" t="n">
        <v>5</v>
      </c>
      <c r="P357" s="26" t="n">
        <v>5</v>
      </c>
      <c r="Q357" s="28" t="n">
        <v>100</v>
      </c>
      <c r="R357" s="26" t="n">
        <v>30</v>
      </c>
      <c r="S357" s="26" t="n">
        <v>0</v>
      </c>
      <c r="T357" s="28" t="n">
        <v>1</v>
      </c>
      <c r="U357" s="26" t="n">
        <v>0</v>
      </c>
      <c r="V357" s="26" t="n">
        <v>0</v>
      </c>
      <c r="W357" s="22" t="s">
        <v>16</v>
      </c>
      <c r="X357" s="22" t="s">
        <v>373</v>
      </c>
    </row>
    <row r="358" customFormat="false" ht="15" hidden="false" customHeight="false" outlineLevel="0" collapsed="false">
      <c r="A358" s="22" t="s">
        <v>1691</v>
      </c>
      <c r="B358" s="22" t="s">
        <v>16</v>
      </c>
      <c r="C358" s="22" t="s">
        <v>1692</v>
      </c>
      <c r="D358" s="22" t="s">
        <v>1693</v>
      </c>
      <c r="E358" s="22" t="s">
        <v>1694</v>
      </c>
      <c r="F358" s="22" t="n">
        <v>9</v>
      </c>
      <c r="G358" s="26" t="n">
        <v>66.1</v>
      </c>
      <c r="H358" s="26" t="n">
        <v>77.62</v>
      </c>
      <c r="I358" s="26" t="n">
        <v>89.14</v>
      </c>
      <c r="J358" s="26" t="n">
        <v>100.65</v>
      </c>
      <c r="K358" s="26" t="n">
        <v>112.17</v>
      </c>
      <c r="L358" s="26" t="n">
        <v>1.98</v>
      </c>
      <c r="M358" s="27" t="n">
        <v>0.005</v>
      </c>
      <c r="N358" s="27" t="n">
        <v>0.002</v>
      </c>
      <c r="O358" s="26" t="n">
        <v>5</v>
      </c>
      <c r="P358" s="26" t="n">
        <v>5</v>
      </c>
      <c r="Q358" s="28" t="n">
        <v>100</v>
      </c>
      <c r="R358" s="26" t="n">
        <v>30</v>
      </c>
      <c r="S358" s="26" t="n">
        <v>0</v>
      </c>
      <c r="T358" s="28" t="n">
        <v>1</v>
      </c>
      <c r="U358" s="26" t="n">
        <v>0</v>
      </c>
      <c r="V358" s="26" t="n">
        <v>0</v>
      </c>
      <c r="W358" s="22" t="s">
        <v>16</v>
      </c>
      <c r="X358" s="22" t="s">
        <v>373</v>
      </c>
    </row>
    <row r="359" customFormat="false" ht="15" hidden="false" customHeight="false" outlineLevel="0" collapsed="false">
      <c r="A359" s="22" t="s">
        <v>1695</v>
      </c>
      <c r="B359" s="22" t="s">
        <v>16</v>
      </c>
      <c r="C359" s="22" t="s">
        <v>1696</v>
      </c>
      <c r="D359" s="22" t="s">
        <v>1697</v>
      </c>
      <c r="E359" s="22" t="s">
        <v>1698</v>
      </c>
      <c r="F359" s="22" t="n">
        <v>9</v>
      </c>
      <c r="G359" s="26" t="n">
        <v>66.1</v>
      </c>
      <c r="H359" s="26" t="n">
        <v>77.62</v>
      </c>
      <c r="I359" s="26" t="n">
        <v>89.14</v>
      </c>
      <c r="J359" s="26" t="n">
        <v>100.65</v>
      </c>
      <c r="K359" s="26" t="n">
        <v>112.17</v>
      </c>
      <c r="L359" s="26" t="n">
        <v>1.98</v>
      </c>
      <c r="M359" s="27" t="n">
        <v>0.005</v>
      </c>
      <c r="N359" s="27" t="n">
        <v>0.002</v>
      </c>
      <c r="O359" s="26" t="n">
        <v>5</v>
      </c>
      <c r="P359" s="26" t="n">
        <v>5</v>
      </c>
      <c r="Q359" s="28" t="n">
        <v>100</v>
      </c>
      <c r="R359" s="26" t="n">
        <v>30</v>
      </c>
      <c r="S359" s="26" t="n">
        <v>0</v>
      </c>
      <c r="T359" s="28" t="n">
        <v>1</v>
      </c>
      <c r="U359" s="26" t="n">
        <v>0</v>
      </c>
      <c r="V359" s="26" t="n">
        <v>0</v>
      </c>
      <c r="W359" s="22" t="s">
        <v>16</v>
      </c>
      <c r="X359" s="22" t="s">
        <v>373</v>
      </c>
    </row>
    <row r="360" customFormat="false" ht="15" hidden="false" customHeight="false" outlineLevel="0" collapsed="false">
      <c r="A360" s="22" t="s">
        <v>1699</v>
      </c>
      <c r="B360" s="22" t="s">
        <v>16</v>
      </c>
      <c r="C360" s="22" t="s">
        <v>1700</v>
      </c>
      <c r="D360" s="22" t="s">
        <v>1701</v>
      </c>
      <c r="E360" s="22" t="s">
        <v>1702</v>
      </c>
      <c r="F360" s="22" t="n">
        <v>9</v>
      </c>
      <c r="G360" s="26" t="n">
        <v>66.1</v>
      </c>
      <c r="H360" s="26" t="n">
        <v>77.62</v>
      </c>
      <c r="I360" s="26" t="n">
        <v>89.14</v>
      </c>
      <c r="J360" s="26" t="n">
        <v>100.65</v>
      </c>
      <c r="K360" s="26" t="n">
        <v>112.17</v>
      </c>
      <c r="L360" s="26" t="n">
        <v>1.98</v>
      </c>
      <c r="M360" s="27" t="n">
        <v>0.005</v>
      </c>
      <c r="N360" s="27" t="n">
        <v>0.002</v>
      </c>
      <c r="O360" s="26" t="n">
        <v>5</v>
      </c>
      <c r="P360" s="26" t="n">
        <v>5</v>
      </c>
      <c r="Q360" s="28" t="n">
        <v>100</v>
      </c>
      <c r="R360" s="26" t="n">
        <v>30</v>
      </c>
      <c r="S360" s="26" t="n">
        <v>0</v>
      </c>
      <c r="T360" s="28" t="n">
        <v>1</v>
      </c>
      <c r="U360" s="26" t="n">
        <v>0</v>
      </c>
      <c r="V360" s="26" t="n">
        <v>0</v>
      </c>
      <c r="W360" s="22" t="s">
        <v>16</v>
      </c>
      <c r="X360" s="22" t="s">
        <v>373</v>
      </c>
    </row>
    <row r="361" customFormat="false" ht="15" hidden="false" customHeight="false" outlineLevel="0" collapsed="false">
      <c r="A361" s="22" t="s">
        <v>1703</v>
      </c>
      <c r="B361" s="22" t="s">
        <v>16</v>
      </c>
      <c r="C361" s="22" t="s">
        <v>1704</v>
      </c>
      <c r="D361" s="22" t="s">
        <v>1705</v>
      </c>
      <c r="E361" s="22" t="s">
        <v>1706</v>
      </c>
      <c r="F361" s="22" t="n">
        <v>9</v>
      </c>
      <c r="G361" s="26" t="n">
        <v>66.1</v>
      </c>
      <c r="H361" s="26" t="n">
        <v>77.62</v>
      </c>
      <c r="I361" s="26" t="n">
        <v>89.14</v>
      </c>
      <c r="J361" s="26" t="n">
        <v>100.65</v>
      </c>
      <c r="K361" s="26" t="n">
        <v>112.17</v>
      </c>
      <c r="L361" s="26" t="n">
        <v>1.98</v>
      </c>
      <c r="M361" s="27" t="n">
        <v>0.005</v>
      </c>
      <c r="N361" s="27" t="n">
        <v>0.002</v>
      </c>
      <c r="O361" s="26" t="n">
        <v>5</v>
      </c>
      <c r="P361" s="26" t="n">
        <v>5</v>
      </c>
      <c r="Q361" s="28" t="n">
        <v>100</v>
      </c>
      <c r="R361" s="26" t="n">
        <v>30</v>
      </c>
      <c r="S361" s="26" t="n">
        <v>0</v>
      </c>
      <c r="T361" s="28" t="n">
        <v>1</v>
      </c>
      <c r="U361" s="26" t="n">
        <v>0</v>
      </c>
      <c r="V361" s="26" t="n">
        <v>0</v>
      </c>
      <c r="W361" s="22" t="s">
        <v>16</v>
      </c>
      <c r="X361" s="22" t="s">
        <v>373</v>
      </c>
    </row>
    <row r="362" customFormat="false" ht="15" hidden="false" customHeight="false" outlineLevel="0" collapsed="false">
      <c r="A362" s="22" t="s">
        <v>1707</v>
      </c>
      <c r="B362" s="22" t="s">
        <v>16</v>
      </c>
      <c r="C362" s="22" t="s">
        <v>1708</v>
      </c>
      <c r="D362" s="22" t="s">
        <v>1709</v>
      </c>
      <c r="E362" s="22" t="s">
        <v>1710</v>
      </c>
      <c r="F362" s="22" t="n">
        <v>11</v>
      </c>
      <c r="G362" s="26" t="n">
        <v>66.1</v>
      </c>
      <c r="H362" s="26" t="n">
        <v>77.62</v>
      </c>
      <c r="I362" s="26" t="n">
        <v>89.14</v>
      </c>
      <c r="J362" s="26" t="n">
        <v>100.65</v>
      </c>
      <c r="K362" s="26" t="n">
        <v>112.17</v>
      </c>
      <c r="L362" s="26" t="n">
        <v>1.98</v>
      </c>
      <c r="M362" s="27" t="n">
        <v>0.005</v>
      </c>
      <c r="N362" s="27" t="n">
        <v>0.002</v>
      </c>
      <c r="O362" s="26" t="n">
        <v>5</v>
      </c>
      <c r="P362" s="26" t="n">
        <v>5</v>
      </c>
      <c r="Q362" s="28" t="n">
        <v>100</v>
      </c>
      <c r="R362" s="26" t="n">
        <v>30</v>
      </c>
      <c r="S362" s="26" t="n">
        <v>0</v>
      </c>
      <c r="T362" s="28" t="n">
        <v>1</v>
      </c>
      <c r="U362" s="26" t="n">
        <v>0</v>
      </c>
      <c r="V362" s="26" t="n">
        <v>0</v>
      </c>
      <c r="W362" s="22" t="s">
        <v>16</v>
      </c>
      <c r="X362" s="22" t="s">
        <v>373</v>
      </c>
    </row>
    <row r="363" customFormat="false" ht="15" hidden="false" customHeight="false" outlineLevel="0" collapsed="false">
      <c r="A363" s="22" t="s">
        <v>1711</v>
      </c>
      <c r="B363" s="22" t="s">
        <v>16</v>
      </c>
      <c r="C363" s="22" t="s">
        <v>1712</v>
      </c>
      <c r="D363" s="22" t="s">
        <v>1713</v>
      </c>
      <c r="E363" s="22" t="s">
        <v>1714</v>
      </c>
      <c r="F363" s="22" t="n">
        <v>11</v>
      </c>
      <c r="G363" s="26" t="n">
        <v>66.1</v>
      </c>
      <c r="H363" s="26" t="n">
        <v>77.62</v>
      </c>
      <c r="I363" s="26" t="n">
        <v>89.14</v>
      </c>
      <c r="J363" s="26" t="n">
        <v>100.65</v>
      </c>
      <c r="K363" s="26" t="n">
        <v>112.17</v>
      </c>
      <c r="L363" s="26" t="n">
        <v>1.98</v>
      </c>
      <c r="M363" s="27" t="n">
        <v>0.005</v>
      </c>
      <c r="N363" s="27" t="n">
        <v>0.002</v>
      </c>
      <c r="O363" s="26" t="n">
        <v>5</v>
      </c>
      <c r="P363" s="26" t="n">
        <v>5</v>
      </c>
      <c r="Q363" s="28" t="n">
        <v>100</v>
      </c>
      <c r="R363" s="26" t="n">
        <v>30</v>
      </c>
      <c r="S363" s="26" t="n">
        <v>0</v>
      </c>
      <c r="T363" s="28" t="n">
        <v>1</v>
      </c>
      <c r="U363" s="26" t="n">
        <v>0</v>
      </c>
      <c r="V363" s="26" t="n">
        <v>0</v>
      </c>
      <c r="W363" s="22" t="s">
        <v>16</v>
      </c>
      <c r="X363" s="22" t="s">
        <v>373</v>
      </c>
    </row>
    <row r="364" customFormat="false" ht="15" hidden="false" customHeight="false" outlineLevel="0" collapsed="false">
      <c r="A364" s="22" t="s">
        <v>1715</v>
      </c>
      <c r="B364" s="22" t="s">
        <v>16</v>
      </c>
      <c r="C364" s="22" t="s">
        <v>1716</v>
      </c>
      <c r="D364" s="22" t="s">
        <v>1717</v>
      </c>
      <c r="E364" s="22" t="s">
        <v>1718</v>
      </c>
      <c r="F364" s="22" t="n">
        <v>9</v>
      </c>
      <c r="G364" s="26" t="n">
        <v>66.1</v>
      </c>
      <c r="H364" s="26" t="n">
        <v>77.62</v>
      </c>
      <c r="I364" s="26" t="n">
        <v>89.14</v>
      </c>
      <c r="J364" s="26" t="n">
        <v>100.65</v>
      </c>
      <c r="K364" s="26" t="n">
        <v>112.17</v>
      </c>
      <c r="L364" s="26" t="n">
        <v>1.98</v>
      </c>
      <c r="M364" s="27" t="n">
        <v>0.005</v>
      </c>
      <c r="N364" s="27" t="n">
        <v>0.002</v>
      </c>
      <c r="O364" s="26" t="n">
        <v>5</v>
      </c>
      <c r="P364" s="26" t="n">
        <v>5</v>
      </c>
      <c r="Q364" s="28" t="n">
        <v>100</v>
      </c>
      <c r="R364" s="26" t="n">
        <v>30</v>
      </c>
      <c r="S364" s="26" t="n">
        <v>0</v>
      </c>
      <c r="T364" s="28" t="n">
        <v>1</v>
      </c>
      <c r="U364" s="26" t="n">
        <v>0</v>
      </c>
      <c r="V364" s="26" t="n">
        <v>0</v>
      </c>
      <c r="W364" s="22" t="s">
        <v>16</v>
      </c>
      <c r="X364" s="22" t="s">
        <v>373</v>
      </c>
    </row>
    <row r="365" customFormat="false" ht="15" hidden="false" customHeight="false" outlineLevel="0" collapsed="false">
      <c r="A365" s="22" t="s">
        <v>1719</v>
      </c>
      <c r="B365" s="22" t="s">
        <v>16</v>
      </c>
      <c r="C365" s="22" t="s">
        <v>1720</v>
      </c>
      <c r="D365" s="22" t="s">
        <v>1721</v>
      </c>
      <c r="E365" s="22" t="s">
        <v>1722</v>
      </c>
      <c r="F365" s="22" t="n">
        <v>11</v>
      </c>
      <c r="G365" s="26" t="n">
        <v>66.1</v>
      </c>
      <c r="H365" s="26" t="n">
        <v>77.62</v>
      </c>
      <c r="I365" s="26" t="n">
        <v>89.14</v>
      </c>
      <c r="J365" s="26" t="n">
        <v>100.65</v>
      </c>
      <c r="K365" s="26" t="n">
        <v>112.17</v>
      </c>
      <c r="L365" s="26" t="n">
        <v>1.98</v>
      </c>
      <c r="M365" s="27" t="n">
        <v>0.005</v>
      </c>
      <c r="N365" s="27" t="n">
        <v>0.002</v>
      </c>
      <c r="O365" s="26" t="n">
        <v>5</v>
      </c>
      <c r="P365" s="26" t="n">
        <v>5</v>
      </c>
      <c r="Q365" s="28" t="n">
        <v>100</v>
      </c>
      <c r="R365" s="26" t="n">
        <v>30</v>
      </c>
      <c r="S365" s="26" t="n">
        <v>0</v>
      </c>
      <c r="T365" s="28" t="n">
        <v>1</v>
      </c>
      <c r="U365" s="26" t="n">
        <v>0</v>
      </c>
      <c r="V365" s="26" t="n">
        <v>250</v>
      </c>
      <c r="W365" s="22" t="s">
        <v>16</v>
      </c>
      <c r="X365" s="22" t="s">
        <v>373</v>
      </c>
    </row>
    <row r="366" customFormat="false" ht="15" hidden="false" customHeight="false" outlineLevel="0" collapsed="false">
      <c r="A366" s="22" t="s">
        <v>1723</v>
      </c>
      <c r="B366" s="22" t="s">
        <v>16</v>
      </c>
      <c r="C366" s="22" t="s">
        <v>1724</v>
      </c>
      <c r="D366" s="22" t="s">
        <v>1725</v>
      </c>
      <c r="E366" s="22" t="s">
        <v>1726</v>
      </c>
      <c r="F366" s="22" t="n">
        <v>11</v>
      </c>
      <c r="G366" s="26" t="n">
        <v>66.1</v>
      </c>
      <c r="H366" s="26" t="n">
        <v>77.62</v>
      </c>
      <c r="I366" s="26" t="n">
        <v>89.14</v>
      </c>
      <c r="J366" s="26" t="n">
        <v>100.65</v>
      </c>
      <c r="K366" s="26" t="n">
        <v>112.17</v>
      </c>
      <c r="L366" s="26" t="n">
        <v>1.98</v>
      </c>
      <c r="M366" s="27" t="n">
        <v>0.005</v>
      </c>
      <c r="N366" s="27" t="n">
        <v>0.002</v>
      </c>
      <c r="O366" s="26" t="n">
        <v>5</v>
      </c>
      <c r="P366" s="26" t="n">
        <v>5</v>
      </c>
      <c r="Q366" s="28" t="n">
        <v>100</v>
      </c>
      <c r="R366" s="26" t="n">
        <v>30</v>
      </c>
      <c r="S366" s="26" t="n">
        <v>0</v>
      </c>
      <c r="T366" s="28" t="n">
        <v>1</v>
      </c>
      <c r="U366" s="26" t="n">
        <v>0</v>
      </c>
      <c r="V366" s="26" t="n">
        <v>0</v>
      </c>
      <c r="W366" s="22" t="s">
        <v>16</v>
      </c>
      <c r="X366" s="22" t="s">
        <v>373</v>
      </c>
    </row>
    <row r="367" customFormat="false" ht="15" hidden="false" customHeight="false" outlineLevel="0" collapsed="false">
      <c r="A367" s="22" t="s">
        <v>1727</v>
      </c>
      <c r="B367" s="22" t="s">
        <v>16</v>
      </c>
      <c r="C367" s="22" t="s">
        <v>1728</v>
      </c>
      <c r="D367" s="22" t="s">
        <v>1729</v>
      </c>
      <c r="E367" s="22" t="s">
        <v>1730</v>
      </c>
      <c r="F367" s="22" t="n">
        <v>11</v>
      </c>
      <c r="G367" s="26" t="n">
        <v>66.1</v>
      </c>
      <c r="H367" s="26" t="n">
        <v>77.62</v>
      </c>
      <c r="I367" s="26" t="n">
        <v>89.14</v>
      </c>
      <c r="J367" s="26" t="n">
        <v>100.65</v>
      </c>
      <c r="K367" s="26" t="n">
        <v>112.17</v>
      </c>
      <c r="L367" s="26" t="n">
        <v>1.98</v>
      </c>
      <c r="M367" s="27" t="n">
        <v>0.005</v>
      </c>
      <c r="N367" s="27" t="n">
        <v>0.002</v>
      </c>
      <c r="O367" s="26" t="n">
        <v>5</v>
      </c>
      <c r="P367" s="26" t="n">
        <v>5</v>
      </c>
      <c r="Q367" s="28" t="n">
        <v>100</v>
      </c>
      <c r="R367" s="26" t="n">
        <v>30</v>
      </c>
      <c r="S367" s="26" t="n">
        <v>0</v>
      </c>
      <c r="T367" s="28" t="n">
        <v>1</v>
      </c>
      <c r="U367" s="26" t="n">
        <v>0</v>
      </c>
      <c r="V367" s="26" t="n">
        <v>0</v>
      </c>
      <c r="W367" s="22" t="s">
        <v>16</v>
      </c>
      <c r="X367" s="22" t="s">
        <v>373</v>
      </c>
    </row>
    <row r="368" customFormat="false" ht="15" hidden="false" customHeight="false" outlineLevel="0" collapsed="false">
      <c r="A368" s="22" t="s">
        <v>1731</v>
      </c>
      <c r="B368" s="22" t="s">
        <v>16</v>
      </c>
      <c r="C368" s="22" t="s">
        <v>1732</v>
      </c>
      <c r="D368" s="22" t="s">
        <v>1733</v>
      </c>
      <c r="E368" s="22" t="s">
        <v>1734</v>
      </c>
      <c r="F368" s="22" t="n">
        <v>11</v>
      </c>
      <c r="G368" s="26" t="n">
        <v>66.1</v>
      </c>
      <c r="H368" s="26" t="n">
        <v>77.62</v>
      </c>
      <c r="I368" s="26" t="n">
        <v>89.14</v>
      </c>
      <c r="J368" s="26" t="n">
        <v>100.65</v>
      </c>
      <c r="K368" s="26" t="n">
        <v>112.17</v>
      </c>
      <c r="L368" s="26" t="n">
        <v>1.98</v>
      </c>
      <c r="M368" s="27" t="n">
        <v>0.005</v>
      </c>
      <c r="N368" s="27" t="n">
        <v>0.002</v>
      </c>
      <c r="O368" s="26" t="n">
        <v>5</v>
      </c>
      <c r="P368" s="26" t="n">
        <v>5</v>
      </c>
      <c r="Q368" s="28" t="n">
        <v>100</v>
      </c>
      <c r="R368" s="26" t="n">
        <v>30</v>
      </c>
      <c r="S368" s="26" t="n">
        <v>0</v>
      </c>
      <c r="T368" s="28" t="n">
        <v>1</v>
      </c>
      <c r="U368" s="26" t="n">
        <v>0</v>
      </c>
      <c r="V368" s="26" t="n">
        <v>250</v>
      </c>
      <c r="W368" s="22" t="s">
        <v>16</v>
      </c>
      <c r="X368" s="22" t="s">
        <v>373</v>
      </c>
    </row>
    <row r="369" customFormat="false" ht="15" hidden="false" customHeight="false" outlineLevel="0" collapsed="false">
      <c r="A369" s="22" t="s">
        <v>1735</v>
      </c>
      <c r="B369" s="22" t="s">
        <v>16</v>
      </c>
      <c r="C369" s="22" t="s">
        <v>1736</v>
      </c>
      <c r="D369" s="22" t="s">
        <v>1737</v>
      </c>
      <c r="E369" s="22" t="s">
        <v>1738</v>
      </c>
      <c r="F369" s="22" t="n">
        <v>11</v>
      </c>
      <c r="G369" s="26" t="n">
        <v>66.1</v>
      </c>
      <c r="H369" s="26" t="n">
        <v>77.62</v>
      </c>
      <c r="I369" s="26" t="n">
        <v>89.14</v>
      </c>
      <c r="J369" s="26" t="n">
        <v>100.65</v>
      </c>
      <c r="K369" s="26" t="n">
        <v>112.17</v>
      </c>
      <c r="L369" s="26" t="n">
        <v>1.98</v>
      </c>
      <c r="M369" s="27" t="n">
        <v>0.005</v>
      </c>
      <c r="N369" s="27" t="n">
        <v>0.002</v>
      </c>
      <c r="O369" s="26" t="n">
        <v>5</v>
      </c>
      <c r="P369" s="26" t="n">
        <v>5</v>
      </c>
      <c r="Q369" s="28" t="n">
        <v>100</v>
      </c>
      <c r="R369" s="26" t="n">
        <v>30</v>
      </c>
      <c r="S369" s="26" t="n">
        <v>0</v>
      </c>
      <c r="T369" s="28" t="n">
        <v>1</v>
      </c>
      <c r="U369" s="26" t="n">
        <v>0</v>
      </c>
      <c r="V369" s="26" t="n">
        <v>0</v>
      </c>
      <c r="W369" s="22" t="s">
        <v>16</v>
      </c>
      <c r="X369" s="22" t="s">
        <v>373</v>
      </c>
    </row>
    <row r="370" customFormat="false" ht="15" hidden="false" customHeight="false" outlineLevel="0" collapsed="false">
      <c r="A370" s="22" t="s">
        <v>1739</v>
      </c>
      <c r="B370" s="22" t="s">
        <v>16</v>
      </c>
      <c r="C370" s="22" t="s">
        <v>1740</v>
      </c>
      <c r="D370" s="22" t="s">
        <v>1741</v>
      </c>
      <c r="E370" s="22" t="s">
        <v>1742</v>
      </c>
      <c r="F370" s="22" t="n">
        <v>11</v>
      </c>
      <c r="G370" s="26" t="n">
        <v>66.1</v>
      </c>
      <c r="H370" s="26" t="n">
        <v>77.62</v>
      </c>
      <c r="I370" s="26" t="n">
        <v>89.14</v>
      </c>
      <c r="J370" s="26" t="n">
        <v>100.65</v>
      </c>
      <c r="K370" s="26" t="n">
        <v>112.17</v>
      </c>
      <c r="L370" s="26" t="n">
        <v>1.98</v>
      </c>
      <c r="M370" s="27" t="n">
        <v>0.005</v>
      </c>
      <c r="N370" s="27" t="n">
        <v>0.002</v>
      </c>
      <c r="O370" s="26" t="n">
        <v>5</v>
      </c>
      <c r="P370" s="26" t="n">
        <v>5</v>
      </c>
      <c r="Q370" s="28" t="n">
        <v>100</v>
      </c>
      <c r="R370" s="26" t="n">
        <v>30</v>
      </c>
      <c r="S370" s="26" t="n">
        <v>0</v>
      </c>
      <c r="T370" s="28" t="n">
        <v>1</v>
      </c>
      <c r="U370" s="26" t="n">
        <v>0</v>
      </c>
      <c r="V370" s="26" t="n">
        <v>250</v>
      </c>
      <c r="W370" s="22" t="s">
        <v>16</v>
      </c>
      <c r="X370" s="22" t="s">
        <v>373</v>
      </c>
    </row>
    <row r="371" customFormat="false" ht="15" hidden="false" customHeight="false" outlineLevel="0" collapsed="false">
      <c r="A371" s="22" t="s">
        <v>1743</v>
      </c>
      <c r="B371" s="22" t="s">
        <v>16</v>
      </c>
      <c r="C371" s="22" t="s">
        <v>1744</v>
      </c>
      <c r="D371" s="22" t="s">
        <v>1745</v>
      </c>
      <c r="E371" s="22" t="s">
        <v>1746</v>
      </c>
      <c r="F371" s="22" t="n">
        <v>9</v>
      </c>
      <c r="G371" s="26" t="n">
        <v>66.1</v>
      </c>
      <c r="H371" s="26" t="n">
        <v>77.62</v>
      </c>
      <c r="I371" s="26" t="n">
        <v>89.14</v>
      </c>
      <c r="J371" s="26" t="n">
        <v>100.65</v>
      </c>
      <c r="K371" s="26" t="n">
        <v>112.17</v>
      </c>
      <c r="L371" s="26" t="n">
        <v>1.98</v>
      </c>
      <c r="M371" s="27" t="n">
        <v>0.005</v>
      </c>
      <c r="N371" s="27" t="n">
        <v>0.002</v>
      </c>
      <c r="O371" s="26" t="n">
        <v>5</v>
      </c>
      <c r="P371" s="26" t="n">
        <v>5</v>
      </c>
      <c r="Q371" s="28" t="n">
        <v>100</v>
      </c>
      <c r="R371" s="26" t="n">
        <v>30</v>
      </c>
      <c r="S371" s="26" t="n">
        <v>0</v>
      </c>
      <c r="T371" s="28" t="n">
        <v>1</v>
      </c>
      <c r="U371" s="26" t="n">
        <v>0</v>
      </c>
      <c r="V371" s="26" t="n">
        <v>0</v>
      </c>
      <c r="W371" s="22" t="s">
        <v>16</v>
      </c>
      <c r="X371" s="22" t="s">
        <v>373</v>
      </c>
    </row>
    <row r="372" customFormat="false" ht="15" hidden="false" customHeight="false" outlineLevel="0" collapsed="false">
      <c r="A372" s="22" t="s">
        <v>1747</v>
      </c>
      <c r="B372" s="22" t="s">
        <v>16</v>
      </c>
      <c r="C372" s="22" t="s">
        <v>1748</v>
      </c>
      <c r="D372" s="22" t="s">
        <v>1749</v>
      </c>
      <c r="E372" s="22" t="s">
        <v>1750</v>
      </c>
      <c r="F372" s="22" t="n">
        <v>9</v>
      </c>
      <c r="G372" s="26" t="n">
        <v>66.1</v>
      </c>
      <c r="H372" s="26" t="n">
        <v>77.62</v>
      </c>
      <c r="I372" s="26" t="n">
        <v>89.14</v>
      </c>
      <c r="J372" s="26" t="n">
        <v>100.65</v>
      </c>
      <c r="K372" s="26" t="n">
        <v>112.17</v>
      </c>
      <c r="L372" s="26" t="n">
        <v>1.98</v>
      </c>
      <c r="M372" s="27" t="n">
        <v>0.005</v>
      </c>
      <c r="N372" s="27" t="n">
        <v>0.002</v>
      </c>
      <c r="O372" s="26" t="n">
        <v>5</v>
      </c>
      <c r="P372" s="26" t="n">
        <v>5</v>
      </c>
      <c r="Q372" s="28" t="n">
        <v>100</v>
      </c>
      <c r="R372" s="26" t="n">
        <v>30</v>
      </c>
      <c r="S372" s="26" t="n">
        <v>0</v>
      </c>
      <c r="T372" s="28" t="n">
        <v>1</v>
      </c>
      <c r="U372" s="26" t="n">
        <v>0</v>
      </c>
      <c r="V372" s="26" t="n">
        <v>500</v>
      </c>
      <c r="W372" s="22" t="s">
        <v>16</v>
      </c>
      <c r="X372" s="22" t="s">
        <v>373</v>
      </c>
    </row>
    <row r="373" customFormat="false" ht="15" hidden="false" customHeight="false" outlineLevel="0" collapsed="false">
      <c r="A373" s="22" t="s">
        <v>1751</v>
      </c>
      <c r="B373" s="22" t="s">
        <v>16</v>
      </c>
      <c r="C373" s="22" t="s">
        <v>1752</v>
      </c>
      <c r="D373" s="22" t="s">
        <v>1753</v>
      </c>
      <c r="E373" s="22" t="s">
        <v>1754</v>
      </c>
      <c r="F373" s="22" t="n">
        <v>9</v>
      </c>
      <c r="G373" s="26" t="n">
        <v>66.1</v>
      </c>
      <c r="H373" s="26" t="n">
        <v>77.62</v>
      </c>
      <c r="I373" s="26" t="n">
        <v>89.14</v>
      </c>
      <c r="J373" s="26" t="n">
        <v>100.65</v>
      </c>
      <c r="K373" s="26" t="n">
        <v>112.17</v>
      </c>
      <c r="L373" s="26" t="n">
        <v>1.98</v>
      </c>
      <c r="M373" s="27" t="n">
        <v>0.005</v>
      </c>
      <c r="N373" s="27" t="n">
        <v>0.002</v>
      </c>
      <c r="O373" s="26" t="n">
        <v>5</v>
      </c>
      <c r="P373" s="26" t="n">
        <v>5</v>
      </c>
      <c r="Q373" s="28" t="n">
        <v>100</v>
      </c>
      <c r="R373" s="26" t="n">
        <v>30</v>
      </c>
      <c r="S373" s="26" t="n">
        <v>0</v>
      </c>
      <c r="T373" s="28" t="n">
        <v>1</v>
      </c>
      <c r="U373" s="26" t="n">
        <v>0</v>
      </c>
      <c r="V373" s="26" t="n">
        <v>0</v>
      </c>
      <c r="W373" s="22" t="s">
        <v>16</v>
      </c>
      <c r="X373" s="22" t="s">
        <v>373</v>
      </c>
    </row>
    <row r="374" customFormat="false" ht="15" hidden="false" customHeight="false" outlineLevel="0" collapsed="false">
      <c r="A374" s="22" t="s">
        <v>1755</v>
      </c>
      <c r="B374" s="22" t="s">
        <v>16</v>
      </c>
      <c r="C374" s="22" t="s">
        <v>1756</v>
      </c>
      <c r="D374" s="22" t="s">
        <v>1757</v>
      </c>
      <c r="E374" s="22" t="s">
        <v>1758</v>
      </c>
      <c r="F374" s="22" t="n">
        <v>11</v>
      </c>
      <c r="G374" s="26" t="n">
        <v>66.1</v>
      </c>
      <c r="H374" s="26" t="n">
        <v>77.62</v>
      </c>
      <c r="I374" s="26" t="n">
        <v>89.14</v>
      </c>
      <c r="J374" s="26" t="n">
        <v>100.65</v>
      </c>
      <c r="K374" s="26" t="n">
        <v>112.17</v>
      </c>
      <c r="L374" s="26" t="n">
        <v>1.98</v>
      </c>
      <c r="M374" s="27" t="n">
        <v>0.005</v>
      </c>
      <c r="N374" s="27" t="n">
        <v>0.002</v>
      </c>
      <c r="O374" s="26" t="n">
        <v>5</v>
      </c>
      <c r="P374" s="26" t="n">
        <v>5</v>
      </c>
      <c r="Q374" s="28" t="n">
        <v>100</v>
      </c>
      <c r="R374" s="26" t="n">
        <v>30</v>
      </c>
      <c r="S374" s="26" t="n">
        <v>0</v>
      </c>
      <c r="T374" s="28" t="n">
        <v>1</v>
      </c>
      <c r="U374" s="26" t="n">
        <v>0</v>
      </c>
      <c r="V374" s="26" t="n">
        <v>0</v>
      </c>
      <c r="W374" s="22" t="s">
        <v>16</v>
      </c>
      <c r="X374" s="22" t="s">
        <v>373</v>
      </c>
    </row>
    <row r="375" customFormat="false" ht="15" hidden="false" customHeight="false" outlineLevel="0" collapsed="false">
      <c r="A375" s="22" t="s">
        <v>1759</v>
      </c>
      <c r="B375" s="22" t="s">
        <v>16</v>
      </c>
      <c r="C375" s="22" t="s">
        <v>1760</v>
      </c>
      <c r="D375" s="22" t="s">
        <v>1761</v>
      </c>
      <c r="E375" s="22" t="s">
        <v>1762</v>
      </c>
      <c r="F375" s="22" t="n">
        <v>11</v>
      </c>
      <c r="G375" s="26" t="n">
        <v>66.1</v>
      </c>
      <c r="H375" s="26" t="n">
        <v>77.62</v>
      </c>
      <c r="I375" s="26" t="n">
        <v>89.14</v>
      </c>
      <c r="J375" s="26" t="n">
        <v>100.65</v>
      </c>
      <c r="K375" s="26" t="n">
        <v>112.17</v>
      </c>
      <c r="L375" s="26" t="n">
        <v>1.98</v>
      </c>
      <c r="M375" s="27" t="n">
        <v>0.005</v>
      </c>
      <c r="N375" s="27" t="n">
        <v>0.002</v>
      </c>
      <c r="O375" s="26" t="n">
        <v>5</v>
      </c>
      <c r="P375" s="26" t="n">
        <v>5</v>
      </c>
      <c r="Q375" s="28" t="n">
        <v>100</v>
      </c>
      <c r="R375" s="26" t="n">
        <v>30</v>
      </c>
      <c r="S375" s="26" t="n">
        <v>0</v>
      </c>
      <c r="T375" s="28" t="n">
        <v>1</v>
      </c>
      <c r="U375" s="26" t="n">
        <v>0</v>
      </c>
      <c r="V375" s="26" t="n">
        <v>250</v>
      </c>
      <c r="W375" s="22" t="s">
        <v>16</v>
      </c>
      <c r="X375" s="22" t="s">
        <v>373</v>
      </c>
    </row>
    <row r="376" customFormat="false" ht="15" hidden="false" customHeight="false" outlineLevel="0" collapsed="false">
      <c r="A376" s="22" t="s">
        <v>1763</v>
      </c>
      <c r="B376" s="22" t="s">
        <v>16</v>
      </c>
      <c r="C376" s="22" t="s">
        <v>1764</v>
      </c>
      <c r="D376" s="22" t="s">
        <v>1765</v>
      </c>
      <c r="E376" s="22" t="s">
        <v>1766</v>
      </c>
      <c r="F376" s="22" t="n">
        <v>11</v>
      </c>
      <c r="G376" s="26" t="n">
        <v>66.1</v>
      </c>
      <c r="H376" s="26" t="n">
        <v>77.62</v>
      </c>
      <c r="I376" s="26" t="n">
        <v>89.14</v>
      </c>
      <c r="J376" s="26" t="n">
        <v>100.65</v>
      </c>
      <c r="K376" s="26" t="n">
        <v>112.17</v>
      </c>
      <c r="L376" s="26" t="n">
        <v>1.98</v>
      </c>
      <c r="M376" s="27" t="n">
        <v>0.005</v>
      </c>
      <c r="N376" s="27" t="n">
        <v>0.002</v>
      </c>
      <c r="O376" s="26" t="n">
        <v>5</v>
      </c>
      <c r="P376" s="26" t="n">
        <v>5</v>
      </c>
      <c r="Q376" s="28" t="n">
        <v>100</v>
      </c>
      <c r="R376" s="26" t="n">
        <v>30</v>
      </c>
      <c r="S376" s="26" t="n">
        <v>0</v>
      </c>
      <c r="T376" s="28" t="n">
        <v>1</v>
      </c>
      <c r="U376" s="26" t="n">
        <v>0</v>
      </c>
      <c r="V376" s="26" t="n">
        <v>0</v>
      </c>
      <c r="W376" s="22" t="s">
        <v>16</v>
      </c>
      <c r="X376" s="22" t="s">
        <v>373</v>
      </c>
    </row>
    <row r="377" customFormat="false" ht="15" hidden="false" customHeight="false" outlineLevel="0" collapsed="false">
      <c r="A377" s="22" t="s">
        <v>1767</v>
      </c>
      <c r="B377" s="22" t="s">
        <v>16</v>
      </c>
      <c r="C377" s="22" t="s">
        <v>1768</v>
      </c>
      <c r="D377" s="22" t="s">
        <v>1769</v>
      </c>
      <c r="E377" s="22" t="s">
        <v>1770</v>
      </c>
      <c r="F377" s="22" t="n">
        <v>9</v>
      </c>
      <c r="G377" s="26" t="n">
        <v>66.1</v>
      </c>
      <c r="H377" s="26" t="n">
        <v>77.62</v>
      </c>
      <c r="I377" s="26" t="n">
        <v>89.14</v>
      </c>
      <c r="J377" s="26" t="n">
        <v>100.65</v>
      </c>
      <c r="K377" s="26" t="n">
        <v>112.17</v>
      </c>
      <c r="L377" s="26" t="n">
        <v>1.98</v>
      </c>
      <c r="M377" s="27" t="n">
        <v>0.005</v>
      </c>
      <c r="N377" s="27" t="n">
        <v>0.002</v>
      </c>
      <c r="O377" s="26" t="n">
        <v>5</v>
      </c>
      <c r="P377" s="26" t="n">
        <v>5</v>
      </c>
      <c r="Q377" s="28" t="n">
        <v>100</v>
      </c>
      <c r="R377" s="26" t="n">
        <v>30</v>
      </c>
      <c r="S377" s="26" t="n">
        <v>0</v>
      </c>
      <c r="T377" s="28" t="n">
        <v>1</v>
      </c>
      <c r="U377" s="26" t="n">
        <v>0</v>
      </c>
      <c r="V377" s="26" t="n">
        <v>0</v>
      </c>
      <c r="W377" s="22" t="s">
        <v>16</v>
      </c>
      <c r="X377" s="22" t="s">
        <v>373</v>
      </c>
    </row>
    <row r="378" customFormat="false" ht="15" hidden="false" customHeight="false" outlineLevel="0" collapsed="false">
      <c r="A378" s="22" t="s">
        <v>1771</v>
      </c>
      <c r="B378" s="22" t="s">
        <v>16</v>
      </c>
      <c r="C378" s="22" t="s">
        <v>1772</v>
      </c>
      <c r="D378" s="22" t="s">
        <v>1773</v>
      </c>
      <c r="E378" s="22" t="s">
        <v>1774</v>
      </c>
      <c r="F378" s="22" t="n">
        <v>9</v>
      </c>
      <c r="G378" s="26" t="n">
        <v>66.1</v>
      </c>
      <c r="H378" s="26" t="n">
        <v>77.62</v>
      </c>
      <c r="I378" s="26" t="n">
        <v>89.14</v>
      </c>
      <c r="J378" s="26" t="n">
        <v>100.65</v>
      </c>
      <c r="K378" s="26" t="n">
        <v>112.17</v>
      </c>
      <c r="L378" s="26" t="n">
        <v>1.98</v>
      </c>
      <c r="M378" s="27" t="n">
        <v>0.005</v>
      </c>
      <c r="N378" s="27" t="n">
        <v>0.002</v>
      </c>
      <c r="O378" s="26" t="n">
        <v>5</v>
      </c>
      <c r="P378" s="26" t="n">
        <v>5</v>
      </c>
      <c r="Q378" s="28" t="n">
        <v>100</v>
      </c>
      <c r="R378" s="26" t="n">
        <v>30</v>
      </c>
      <c r="S378" s="26" t="n">
        <v>0</v>
      </c>
      <c r="T378" s="28" t="n">
        <v>1</v>
      </c>
      <c r="U378" s="26" t="n">
        <v>0</v>
      </c>
      <c r="V378" s="26" t="n">
        <v>0</v>
      </c>
      <c r="W378" s="22" t="s">
        <v>16</v>
      </c>
      <c r="X378" s="22" t="s">
        <v>373</v>
      </c>
    </row>
    <row r="379" customFormat="false" ht="15" hidden="false" customHeight="false" outlineLevel="0" collapsed="false">
      <c r="A379" s="22" t="s">
        <v>1775</v>
      </c>
      <c r="B379" s="22" t="s">
        <v>16</v>
      </c>
      <c r="C379" s="22" t="s">
        <v>1776</v>
      </c>
      <c r="D379" s="22" t="s">
        <v>1777</v>
      </c>
      <c r="E379" s="22" t="s">
        <v>1778</v>
      </c>
      <c r="F379" s="22" t="n">
        <v>9</v>
      </c>
      <c r="G379" s="26" t="n">
        <v>66.1</v>
      </c>
      <c r="H379" s="26" t="n">
        <v>77.62</v>
      </c>
      <c r="I379" s="26" t="n">
        <v>89.14</v>
      </c>
      <c r="J379" s="26" t="n">
        <v>100.65</v>
      </c>
      <c r="K379" s="26" t="n">
        <v>112.17</v>
      </c>
      <c r="L379" s="26" t="n">
        <v>1.98</v>
      </c>
      <c r="M379" s="27" t="n">
        <v>0.005</v>
      </c>
      <c r="N379" s="27" t="n">
        <v>0.002</v>
      </c>
      <c r="O379" s="26" t="n">
        <v>5</v>
      </c>
      <c r="P379" s="26" t="n">
        <v>5</v>
      </c>
      <c r="Q379" s="28" t="n">
        <v>100</v>
      </c>
      <c r="R379" s="26" t="n">
        <v>30</v>
      </c>
      <c r="S379" s="26" t="n">
        <v>0</v>
      </c>
      <c r="T379" s="28" t="n">
        <v>1</v>
      </c>
      <c r="U379" s="26" t="n">
        <v>0</v>
      </c>
      <c r="V379" s="26" t="n">
        <v>0</v>
      </c>
      <c r="W379" s="22" t="s">
        <v>16</v>
      </c>
      <c r="X379" s="22" t="s">
        <v>373</v>
      </c>
    </row>
    <row r="380" customFormat="false" ht="15" hidden="false" customHeight="false" outlineLevel="0" collapsed="false">
      <c r="A380" s="22" t="s">
        <v>1779</v>
      </c>
      <c r="B380" s="22" t="s">
        <v>16</v>
      </c>
      <c r="C380" s="22" t="s">
        <v>1780</v>
      </c>
      <c r="D380" s="22" t="s">
        <v>1781</v>
      </c>
      <c r="E380" s="22" t="s">
        <v>1782</v>
      </c>
      <c r="F380" s="22" t="n">
        <v>11</v>
      </c>
      <c r="G380" s="26" t="n">
        <v>66.1</v>
      </c>
      <c r="H380" s="26" t="n">
        <v>77.62</v>
      </c>
      <c r="I380" s="26" t="n">
        <v>89.14</v>
      </c>
      <c r="J380" s="26" t="n">
        <v>100.65</v>
      </c>
      <c r="K380" s="26" t="n">
        <v>112.17</v>
      </c>
      <c r="L380" s="26" t="n">
        <v>1.98</v>
      </c>
      <c r="M380" s="27" t="n">
        <v>0.005</v>
      </c>
      <c r="N380" s="27" t="n">
        <v>0.002</v>
      </c>
      <c r="O380" s="26" t="n">
        <v>5</v>
      </c>
      <c r="P380" s="26" t="n">
        <v>5</v>
      </c>
      <c r="Q380" s="28" t="n">
        <v>100</v>
      </c>
      <c r="R380" s="26" t="n">
        <v>30</v>
      </c>
      <c r="S380" s="26" t="n">
        <v>0</v>
      </c>
      <c r="T380" s="28" t="n">
        <v>1</v>
      </c>
      <c r="U380" s="26" t="n">
        <v>0</v>
      </c>
      <c r="V380" s="26" t="n">
        <v>250</v>
      </c>
      <c r="W380" s="22" t="s">
        <v>16</v>
      </c>
      <c r="X380" s="22" t="s">
        <v>373</v>
      </c>
    </row>
    <row r="381" customFormat="false" ht="15" hidden="false" customHeight="false" outlineLevel="0" collapsed="false">
      <c r="A381" s="22" t="s">
        <v>1783</v>
      </c>
      <c r="B381" s="22" t="s">
        <v>16</v>
      </c>
      <c r="C381" s="22" t="s">
        <v>1784</v>
      </c>
      <c r="D381" s="22" t="s">
        <v>1785</v>
      </c>
      <c r="E381" s="22" t="s">
        <v>1786</v>
      </c>
      <c r="F381" s="22" t="n">
        <v>9</v>
      </c>
      <c r="G381" s="26" t="n">
        <v>66.1</v>
      </c>
      <c r="H381" s="26" t="n">
        <v>77.62</v>
      </c>
      <c r="I381" s="26" t="n">
        <v>89.14</v>
      </c>
      <c r="J381" s="26" t="n">
        <v>100.65</v>
      </c>
      <c r="K381" s="26" t="n">
        <v>112.17</v>
      </c>
      <c r="L381" s="26" t="n">
        <v>1.98</v>
      </c>
      <c r="M381" s="27" t="n">
        <v>0.005</v>
      </c>
      <c r="N381" s="27" t="n">
        <v>0.002</v>
      </c>
      <c r="O381" s="26" t="n">
        <v>5</v>
      </c>
      <c r="P381" s="26" t="n">
        <v>5</v>
      </c>
      <c r="Q381" s="28" t="n">
        <v>100</v>
      </c>
      <c r="R381" s="26" t="n">
        <v>30</v>
      </c>
      <c r="S381" s="26" t="n">
        <v>0</v>
      </c>
      <c r="T381" s="28" t="n">
        <v>1</v>
      </c>
      <c r="U381" s="26" t="n">
        <v>0</v>
      </c>
      <c r="V381" s="26" t="n">
        <v>250</v>
      </c>
      <c r="W381" s="22" t="s">
        <v>16</v>
      </c>
      <c r="X381" s="22" t="s">
        <v>373</v>
      </c>
    </row>
    <row r="382" customFormat="false" ht="15" hidden="false" customHeight="false" outlineLevel="0" collapsed="false">
      <c r="A382" s="22" t="s">
        <v>1787</v>
      </c>
      <c r="B382" s="22" t="s">
        <v>16</v>
      </c>
      <c r="C382" s="22" t="s">
        <v>1788</v>
      </c>
      <c r="D382" s="22" t="s">
        <v>1789</v>
      </c>
      <c r="E382" s="22" t="s">
        <v>1790</v>
      </c>
      <c r="F382" s="22" t="n">
        <v>11</v>
      </c>
      <c r="G382" s="26" t="n">
        <v>66.1</v>
      </c>
      <c r="H382" s="26" t="n">
        <v>77.62</v>
      </c>
      <c r="I382" s="26" t="n">
        <v>89.14</v>
      </c>
      <c r="J382" s="26" t="n">
        <v>100.65</v>
      </c>
      <c r="K382" s="26" t="n">
        <v>112.17</v>
      </c>
      <c r="L382" s="26" t="n">
        <v>1.98</v>
      </c>
      <c r="M382" s="27" t="n">
        <v>0.005</v>
      </c>
      <c r="N382" s="27" t="n">
        <v>0.002</v>
      </c>
      <c r="O382" s="26" t="n">
        <v>5</v>
      </c>
      <c r="P382" s="26" t="n">
        <v>5</v>
      </c>
      <c r="Q382" s="28" t="n">
        <v>100</v>
      </c>
      <c r="R382" s="26" t="n">
        <v>30</v>
      </c>
      <c r="S382" s="26" t="n">
        <v>0</v>
      </c>
      <c r="T382" s="28" t="n">
        <v>1</v>
      </c>
      <c r="U382" s="26" t="n">
        <v>0</v>
      </c>
      <c r="V382" s="26" t="n">
        <v>250</v>
      </c>
      <c r="W382" s="22" t="s">
        <v>16</v>
      </c>
      <c r="X382" s="22" t="s">
        <v>373</v>
      </c>
    </row>
    <row r="383" customFormat="false" ht="15" hidden="false" customHeight="false" outlineLevel="0" collapsed="false">
      <c r="A383" s="22" t="s">
        <v>1791</v>
      </c>
      <c r="B383" s="22" t="s">
        <v>16</v>
      </c>
      <c r="C383" s="22" t="s">
        <v>1792</v>
      </c>
      <c r="D383" s="22" t="s">
        <v>1793</v>
      </c>
      <c r="E383" s="22" t="s">
        <v>1794</v>
      </c>
      <c r="F383" s="22" t="n">
        <v>9</v>
      </c>
      <c r="G383" s="26" t="n">
        <v>66.1</v>
      </c>
      <c r="H383" s="26" t="n">
        <v>77.62</v>
      </c>
      <c r="I383" s="26" t="n">
        <v>89.14</v>
      </c>
      <c r="J383" s="26" t="n">
        <v>100.65</v>
      </c>
      <c r="K383" s="26" t="n">
        <v>112.17</v>
      </c>
      <c r="L383" s="26" t="n">
        <v>1.98</v>
      </c>
      <c r="M383" s="27" t="n">
        <v>0.005</v>
      </c>
      <c r="N383" s="27" t="n">
        <v>0.002</v>
      </c>
      <c r="O383" s="26" t="n">
        <v>5</v>
      </c>
      <c r="P383" s="26" t="n">
        <v>5</v>
      </c>
      <c r="Q383" s="28" t="n">
        <v>100</v>
      </c>
      <c r="R383" s="26" t="n">
        <v>30</v>
      </c>
      <c r="S383" s="26" t="n">
        <v>0</v>
      </c>
      <c r="T383" s="28" t="n">
        <v>1</v>
      </c>
      <c r="U383" s="26" t="n">
        <v>0</v>
      </c>
      <c r="V383" s="26" t="n">
        <v>0</v>
      </c>
      <c r="W383" s="22" t="s">
        <v>16</v>
      </c>
      <c r="X383" s="22" t="s">
        <v>373</v>
      </c>
    </row>
    <row r="384" customFormat="false" ht="15" hidden="false" customHeight="false" outlineLevel="0" collapsed="false">
      <c r="A384" s="22" t="s">
        <v>1795</v>
      </c>
      <c r="B384" s="22" t="s">
        <v>16</v>
      </c>
      <c r="C384" s="22" t="s">
        <v>1796</v>
      </c>
      <c r="D384" s="22" t="s">
        <v>1797</v>
      </c>
      <c r="E384" s="22" t="s">
        <v>1798</v>
      </c>
      <c r="F384" s="22" t="n">
        <v>9</v>
      </c>
      <c r="G384" s="26" t="n">
        <v>66.1</v>
      </c>
      <c r="H384" s="26" t="n">
        <v>77.62</v>
      </c>
      <c r="I384" s="26" t="n">
        <v>89.14</v>
      </c>
      <c r="J384" s="26" t="n">
        <v>100.65</v>
      </c>
      <c r="K384" s="26" t="n">
        <v>112.17</v>
      </c>
      <c r="L384" s="26" t="n">
        <v>1.98</v>
      </c>
      <c r="M384" s="27" t="n">
        <v>0.005</v>
      </c>
      <c r="N384" s="27" t="n">
        <v>0.002</v>
      </c>
      <c r="O384" s="26" t="n">
        <v>5</v>
      </c>
      <c r="P384" s="26" t="n">
        <v>5</v>
      </c>
      <c r="Q384" s="28" t="n">
        <v>100</v>
      </c>
      <c r="R384" s="26" t="n">
        <v>30</v>
      </c>
      <c r="S384" s="26" t="n">
        <v>0</v>
      </c>
      <c r="T384" s="28" t="n">
        <v>1</v>
      </c>
      <c r="U384" s="26" t="n">
        <v>0</v>
      </c>
      <c r="V384" s="26" t="n">
        <v>0</v>
      </c>
      <c r="W384" s="22" t="s">
        <v>16</v>
      </c>
      <c r="X384" s="22" t="s">
        <v>373</v>
      </c>
    </row>
    <row r="385" customFormat="false" ht="15" hidden="false" customHeight="false" outlineLevel="0" collapsed="false">
      <c r="A385" s="22" t="s">
        <v>1799</v>
      </c>
      <c r="B385" s="22" t="s">
        <v>16</v>
      </c>
      <c r="C385" s="22" t="s">
        <v>1800</v>
      </c>
      <c r="D385" s="22" t="s">
        <v>1801</v>
      </c>
      <c r="E385" s="22" t="s">
        <v>1802</v>
      </c>
      <c r="F385" s="22" t="n">
        <v>11</v>
      </c>
      <c r="G385" s="26" t="n">
        <v>66.1</v>
      </c>
      <c r="H385" s="26" t="n">
        <v>77.62</v>
      </c>
      <c r="I385" s="26" t="n">
        <v>89.14</v>
      </c>
      <c r="J385" s="26" t="n">
        <v>100.65</v>
      </c>
      <c r="K385" s="26" t="n">
        <v>112.17</v>
      </c>
      <c r="L385" s="26" t="n">
        <v>1.98</v>
      </c>
      <c r="M385" s="27" t="n">
        <v>0.005</v>
      </c>
      <c r="N385" s="27" t="n">
        <v>0.002</v>
      </c>
      <c r="O385" s="26" t="n">
        <v>5</v>
      </c>
      <c r="P385" s="26" t="n">
        <v>5</v>
      </c>
      <c r="Q385" s="28" t="n">
        <v>100</v>
      </c>
      <c r="R385" s="26" t="n">
        <v>30</v>
      </c>
      <c r="S385" s="26" t="n">
        <v>0</v>
      </c>
      <c r="T385" s="28" t="n">
        <v>1</v>
      </c>
      <c r="U385" s="26" t="n">
        <v>0</v>
      </c>
      <c r="V385" s="26" t="n">
        <v>0</v>
      </c>
      <c r="W385" s="22" t="s">
        <v>16</v>
      </c>
      <c r="X385" s="22" t="s">
        <v>373</v>
      </c>
    </row>
    <row r="386" customFormat="false" ht="15" hidden="false" customHeight="false" outlineLevel="0" collapsed="false">
      <c r="A386" s="22" t="s">
        <v>1803</v>
      </c>
      <c r="B386" s="22" t="s">
        <v>16</v>
      </c>
      <c r="C386" s="22" t="s">
        <v>1804</v>
      </c>
      <c r="D386" s="22" t="s">
        <v>1805</v>
      </c>
      <c r="E386" s="22" t="s">
        <v>1806</v>
      </c>
      <c r="F386" s="22" t="n">
        <v>9</v>
      </c>
      <c r="G386" s="26" t="n">
        <v>66.1</v>
      </c>
      <c r="H386" s="26" t="n">
        <v>77.62</v>
      </c>
      <c r="I386" s="26" t="n">
        <v>89.14</v>
      </c>
      <c r="J386" s="26" t="n">
        <v>100.65</v>
      </c>
      <c r="K386" s="26" t="n">
        <v>112.17</v>
      </c>
      <c r="L386" s="26" t="n">
        <v>1.98</v>
      </c>
      <c r="M386" s="27" t="n">
        <v>0.005</v>
      </c>
      <c r="N386" s="27" t="n">
        <v>0.002</v>
      </c>
      <c r="O386" s="26" t="n">
        <v>5</v>
      </c>
      <c r="P386" s="26" t="n">
        <v>5</v>
      </c>
      <c r="Q386" s="28" t="n">
        <v>100</v>
      </c>
      <c r="R386" s="26" t="n">
        <v>30</v>
      </c>
      <c r="S386" s="26" t="n">
        <v>0</v>
      </c>
      <c r="T386" s="28" t="n">
        <v>1</v>
      </c>
      <c r="U386" s="26" t="n">
        <v>0</v>
      </c>
      <c r="V386" s="26" t="n">
        <v>0</v>
      </c>
      <c r="W386" s="22" t="s">
        <v>16</v>
      </c>
      <c r="X386" s="22" t="s">
        <v>373</v>
      </c>
    </row>
    <row r="387" customFormat="false" ht="15" hidden="false" customHeight="false" outlineLevel="0" collapsed="false">
      <c r="A387" s="22" t="s">
        <v>1807</v>
      </c>
      <c r="B387" s="22" t="s">
        <v>16</v>
      </c>
      <c r="C387" s="22" t="s">
        <v>1808</v>
      </c>
      <c r="D387" s="22" t="s">
        <v>1809</v>
      </c>
      <c r="E387" s="22" t="s">
        <v>1810</v>
      </c>
      <c r="F387" s="22" t="n">
        <v>11</v>
      </c>
      <c r="G387" s="26" t="n">
        <v>66.1</v>
      </c>
      <c r="H387" s="26" t="n">
        <v>77.62</v>
      </c>
      <c r="I387" s="26" t="n">
        <v>89.14</v>
      </c>
      <c r="J387" s="26" t="n">
        <v>100.65</v>
      </c>
      <c r="K387" s="26" t="n">
        <v>112.17</v>
      </c>
      <c r="L387" s="26" t="n">
        <v>1.98</v>
      </c>
      <c r="M387" s="27" t="n">
        <v>0.005</v>
      </c>
      <c r="N387" s="27" t="n">
        <v>0.002</v>
      </c>
      <c r="O387" s="26" t="n">
        <v>5</v>
      </c>
      <c r="P387" s="26" t="n">
        <v>5</v>
      </c>
      <c r="Q387" s="28" t="n">
        <v>100</v>
      </c>
      <c r="R387" s="26" t="n">
        <v>30</v>
      </c>
      <c r="S387" s="26" t="n">
        <v>0</v>
      </c>
      <c r="T387" s="28" t="n">
        <v>1</v>
      </c>
      <c r="U387" s="26" t="n">
        <v>0</v>
      </c>
      <c r="V387" s="26" t="n">
        <v>0</v>
      </c>
      <c r="W387" s="22" t="s">
        <v>16</v>
      </c>
      <c r="X387" s="22" t="s">
        <v>373</v>
      </c>
    </row>
    <row r="388" customFormat="false" ht="15" hidden="false" customHeight="false" outlineLevel="0" collapsed="false">
      <c r="A388" s="22" t="s">
        <v>1811</v>
      </c>
      <c r="B388" s="22" t="s">
        <v>16</v>
      </c>
      <c r="C388" s="22" t="s">
        <v>1812</v>
      </c>
      <c r="D388" s="22" t="s">
        <v>1813</v>
      </c>
      <c r="E388" s="22" t="s">
        <v>1814</v>
      </c>
      <c r="F388" s="22" t="n">
        <v>9</v>
      </c>
      <c r="G388" s="26" t="n">
        <v>66.1</v>
      </c>
      <c r="H388" s="26" t="n">
        <v>77.62</v>
      </c>
      <c r="I388" s="26" t="n">
        <v>89.14</v>
      </c>
      <c r="J388" s="26" t="n">
        <v>100.65</v>
      </c>
      <c r="K388" s="26" t="n">
        <v>112.17</v>
      </c>
      <c r="L388" s="26" t="n">
        <v>1.98</v>
      </c>
      <c r="M388" s="27" t="n">
        <v>0.005</v>
      </c>
      <c r="N388" s="27" t="n">
        <v>0.002</v>
      </c>
      <c r="O388" s="26" t="n">
        <v>5</v>
      </c>
      <c r="P388" s="26" t="n">
        <v>5</v>
      </c>
      <c r="Q388" s="28" t="n">
        <v>100</v>
      </c>
      <c r="R388" s="26" t="n">
        <v>30</v>
      </c>
      <c r="S388" s="26" t="n">
        <v>0</v>
      </c>
      <c r="T388" s="28" t="n">
        <v>1</v>
      </c>
      <c r="U388" s="26" t="n">
        <v>0</v>
      </c>
      <c r="V388" s="26" t="n">
        <v>0</v>
      </c>
      <c r="W388" s="22" t="s">
        <v>16</v>
      </c>
      <c r="X388" s="22" t="s">
        <v>373</v>
      </c>
    </row>
    <row r="389" customFormat="false" ht="15" hidden="false" customHeight="false" outlineLevel="0" collapsed="false">
      <c r="A389" s="22" t="s">
        <v>1815</v>
      </c>
      <c r="B389" s="22" t="s">
        <v>16</v>
      </c>
      <c r="C389" s="22" t="s">
        <v>1816</v>
      </c>
      <c r="D389" s="22" t="s">
        <v>1817</v>
      </c>
      <c r="E389" s="22" t="s">
        <v>1818</v>
      </c>
      <c r="F389" s="22" t="n">
        <v>11</v>
      </c>
      <c r="G389" s="26" t="n">
        <v>66.1</v>
      </c>
      <c r="H389" s="26" t="n">
        <v>77.62</v>
      </c>
      <c r="I389" s="26" t="n">
        <v>89.14</v>
      </c>
      <c r="J389" s="26" t="n">
        <v>100.65</v>
      </c>
      <c r="K389" s="26" t="n">
        <v>112.17</v>
      </c>
      <c r="L389" s="26" t="n">
        <v>1.98</v>
      </c>
      <c r="M389" s="27" t="n">
        <v>0.005</v>
      </c>
      <c r="N389" s="27" t="n">
        <v>0.002</v>
      </c>
      <c r="O389" s="26" t="n">
        <v>5</v>
      </c>
      <c r="P389" s="26" t="n">
        <v>5</v>
      </c>
      <c r="Q389" s="28" t="n">
        <v>100</v>
      </c>
      <c r="R389" s="26" t="n">
        <v>30</v>
      </c>
      <c r="S389" s="26" t="n">
        <v>0</v>
      </c>
      <c r="T389" s="28" t="n">
        <v>1</v>
      </c>
      <c r="U389" s="26" t="n">
        <v>0</v>
      </c>
      <c r="V389" s="26" t="n">
        <v>0</v>
      </c>
      <c r="W389" s="22" t="s">
        <v>16</v>
      </c>
      <c r="X389" s="22" t="s">
        <v>373</v>
      </c>
    </row>
    <row r="390" customFormat="false" ht="15" hidden="false" customHeight="false" outlineLevel="0" collapsed="false">
      <c r="A390" s="22" t="s">
        <v>1819</v>
      </c>
      <c r="B390" s="22" t="s">
        <v>16</v>
      </c>
      <c r="C390" s="22" t="s">
        <v>1820</v>
      </c>
      <c r="D390" s="22" t="s">
        <v>1821</v>
      </c>
      <c r="E390" s="22" t="s">
        <v>1822</v>
      </c>
      <c r="F390" s="22" t="n">
        <v>9</v>
      </c>
      <c r="G390" s="26" t="n">
        <v>66.1</v>
      </c>
      <c r="H390" s="26" t="n">
        <v>77.62</v>
      </c>
      <c r="I390" s="26" t="n">
        <v>89.14</v>
      </c>
      <c r="J390" s="26" t="n">
        <v>100.65</v>
      </c>
      <c r="K390" s="26" t="n">
        <v>112.17</v>
      </c>
      <c r="L390" s="26" t="n">
        <v>1.98</v>
      </c>
      <c r="M390" s="27" t="n">
        <v>0.005</v>
      </c>
      <c r="N390" s="27" t="n">
        <v>0.002</v>
      </c>
      <c r="O390" s="26" t="n">
        <v>5</v>
      </c>
      <c r="P390" s="26" t="n">
        <v>5</v>
      </c>
      <c r="Q390" s="28" t="n">
        <v>100</v>
      </c>
      <c r="R390" s="26" t="n">
        <v>30</v>
      </c>
      <c r="S390" s="26" t="n">
        <v>0</v>
      </c>
      <c r="T390" s="28" t="n">
        <v>1</v>
      </c>
      <c r="U390" s="26" t="n">
        <v>0</v>
      </c>
      <c r="V390" s="26" t="n">
        <v>0</v>
      </c>
      <c r="W390" s="22" t="s">
        <v>16</v>
      </c>
      <c r="X390" s="22" t="s">
        <v>373</v>
      </c>
    </row>
    <row r="391" customFormat="false" ht="15" hidden="false" customHeight="false" outlineLevel="0" collapsed="false">
      <c r="A391" s="22" t="s">
        <v>1823</v>
      </c>
      <c r="B391" s="22" t="s">
        <v>16</v>
      </c>
      <c r="C391" s="22" t="s">
        <v>1824</v>
      </c>
      <c r="D391" s="22" t="s">
        <v>1825</v>
      </c>
      <c r="E391" s="22" t="s">
        <v>1826</v>
      </c>
      <c r="F391" s="22" t="n">
        <v>9</v>
      </c>
      <c r="G391" s="26" t="n">
        <v>66.1</v>
      </c>
      <c r="H391" s="26" t="n">
        <v>77.62</v>
      </c>
      <c r="I391" s="26" t="n">
        <v>89.14</v>
      </c>
      <c r="J391" s="26" t="n">
        <v>100.65</v>
      </c>
      <c r="K391" s="26" t="n">
        <v>112.17</v>
      </c>
      <c r="L391" s="26" t="n">
        <v>1.98</v>
      </c>
      <c r="M391" s="27" t="n">
        <v>0.005</v>
      </c>
      <c r="N391" s="27" t="n">
        <v>0.002</v>
      </c>
      <c r="O391" s="26" t="n">
        <v>5</v>
      </c>
      <c r="P391" s="26" t="n">
        <v>5</v>
      </c>
      <c r="Q391" s="28" t="n">
        <v>100</v>
      </c>
      <c r="R391" s="26" t="n">
        <v>30</v>
      </c>
      <c r="S391" s="26" t="n">
        <v>0</v>
      </c>
      <c r="T391" s="28" t="n">
        <v>1</v>
      </c>
      <c r="U391" s="26" t="n">
        <v>0</v>
      </c>
      <c r="V391" s="26" t="n">
        <v>0</v>
      </c>
      <c r="W391" s="22" t="s">
        <v>16</v>
      </c>
      <c r="X391" s="22" t="s">
        <v>373</v>
      </c>
    </row>
    <row r="392" customFormat="false" ht="15" hidden="false" customHeight="false" outlineLevel="0" collapsed="false">
      <c r="A392" s="22" t="s">
        <v>1827</v>
      </c>
      <c r="B392" s="22" t="s">
        <v>16</v>
      </c>
      <c r="C392" s="22" t="s">
        <v>1828</v>
      </c>
      <c r="D392" s="22" t="s">
        <v>1829</v>
      </c>
      <c r="E392" s="22" t="s">
        <v>1830</v>
      </c>
      <c r="F392" s="22" t="n">
        <v>9</v>
      </c>
      <c r="G392" s="26" t="n">
        <v>66.1</v>
      </c>
      <c r="H392" s="26" t="n">
        <v>77.62</v>
      </c>
      <c r="I392" s="26" t="n">
        <v>89.14</v>
      </c>
      <c r="J392" s="26" t="n">
        <v>100.65</v>
      </c>
      <c r="K392" s="26" t="n">
        <v>112.17</v>
      </c>
      <c r="L392" s="26" t="n">
        <v>1.98</v>
      </c>
      <c r="M392" s="27" t="n">
        <v>0.005</v>
      </c>
      <c r="N392" s="27" t="n">
        <v>0.002</v>
      </c>
      <c r="O392" s="26" t="n">
        <v>5</v>
      </c>
      <c r="P392" s="26" t="n">
        <v>5</v>
      </c>
      <c r="Q392" s="28" t="n">
        <v>100</v>
      </c>
      <c r="R392" s="26" t="n">
        <v>30</v>
      </c>
      <c r="S392" s="26" t="n">
        <v>0</v>
      </c>
      <c r="T392" s="28" t="n">
        <v>1</v>
      </c>
      <c r="U392" s="26" t="n">
        <v>0</v>
      </c>
      <c r="V392" s="26" t="n">
        <v>0</v>
      </c>
      <c r="W392" s="22" t="s">
        <v>16</v>
      </c>
      <c r="X392" s="22" t="s">
        <v>373</v>
      </c>
    </row>
    <row r="393" customFormat="false" ht="15" hidden="false" customHeight="false" outlineLevel="0" collapsed="false">
      <c r="A393" s="22" t="s">
        <v>1831</v>
      </c>
      <c r="B393" s="22" t="s">
        <v>16</v>
      </c>
      <c r="C393" s="22" t="s">
        <v>1832</v>
      </c>
      <c r="D393" s="22" t="s">
        <v>1833</v>
      </c>
      <c r="E393" s="22" t="s">
        <v>1834</v>
      </c>
      <c r="F393" s="22" t="n">
        <v>11</v>
      </c>
      <c r="G393" s="26" t="n">
        <v>66.1</v>
      </c>
      <c r="H393" s="26" t="n">
        <v>77.62</v>
      </c>
      <c r="I393" s="26" t="n">
        <v>89.14</v>
      </c>
      <c r="J393" s="26" t="n">
        <v>100.65</v>
      </c>
      <c r="K393" s="26" t="n">
        <v>112.17</v>
      </c>
      <c r="L393" s="26" t="n">
        <v>1.98</v>
      </c>
      <c r="M393" s="27" t="n">
        <v>0.005</v>
      </c>
      <c r="N393" s="27" t="n">
        <v>0.002</v>
      </c>
      <c r="O393" s="26" t="n">
        <v>5</v>
      </c>
      <c r="P393" s="26" t="n">
        <v>5</v>
      </c>
      <c r="Q393" s="28" t="n">
        <v>100</v>
      </c>
      <c r="R393" s="26" t="n">
        <v>30</v>
      </c>
      <c r="S393" s="26" t="n">
        <v>0</v>
      </c>
      <c r="T393" s="28" t="n">
        <v>1</v>
      </c>
      <c r="U393" s="26" t="n">
        <v>0</v>
      </c>
      <c r="V393" s="26" t="n">
        <v>0</v>
      </c>
      <c r="W393" s="22" t="s">
        <v>16</v>
      </c>
      <c r="X393" s="22" t="s">
        <v>373</v>
      </c>
    </row>
    <row r="394" customFormat="false" ht="15" hidden="false" customHeight="false" outlineLevel="0" collapsed="false">
      <c r="A394" s="22" t="s">
        <v>1835</v>
      </c>
      <c r="B394" s="22" t="s">
        <v>16</v>
      </c>
      <c r="C394" s="22" t="s">
        <v>1836</v>
      </c>
      <c r="D394" s="22" t="s">
        <v>1837</v>
      </c>
      <c r="E394" s="22" t="s">
        <v>1838</v>
      </c>
      <c r="F394" s="22" t="n">
        <v>9</v>
      </c>
      <c r="G394" s="26" t="n">
        <v>66.1</v>
      </c>
      <c r="H394" s="26" t="n">
        <v>77.62</v>
      </c>
      <c r="I394" s="26" t="n">
        <v>89.14</v>
      </c>
      <c r="J394" s="26" t="n">
        <v>100.65</v>
      </c>
      <c r="K394" s="26" t="n">
        <v>112.17</v>
      </c>
      <c r="L394" s="26" t="n">
        <v>1.98</v>
      </c>
      <c r="M394" s="27" t="n">
        <v>0.005</v>
      </c>
      <c r="N394" s="27" t="n">
        <v>0.002</v>
      </c>
      <c r="O394" s="26" t="n">
        <v>5</v>
      </c>
      <c r="P394" s="26" t="n">
        <v>5</v>
      </c>
      <c r="Q394" s="28" t="n">
        <v>100</v>
      </c>
      <c r="R394" s="26" t="n">
        <v>30</v>
      </c>
      <c r="S394" s="26" t="n">
        <v>0</v>
      </c>
      <c r="T394" s="28" t="n">
        <v>1</v>
      </c>
      <c r="U394" s="26" t="n">
        <v>0</v>
      </c>
      <c r="V394" s="26" t="n">
        <v>0</v>
      </c>
      <c r="W394" s="22" t="s">
        <v>16</v>
      </c>
      <c r="X394" s="22" t="s">
        <v>373</v>
      </c>
    </row>
    <row r="395" customFormat="false" ht="15" hidden="false" customHeight="false" outlineLevel="0" collapsed="false">
      <c r="A395" s="22" t="s">
        <v>1839</v>
      </c>
      <c r="B395" s="22" t="s">
        <v>16</v>
      </c>
      <c r="C395" s="22" t="s">
        <v>1840</v>
      </c>
      <c r="D395" s="22" t="s">
        <v>1841</v>
      </c>
      <c r="E395" s="22" t="s">
        <v>1842</v>
      </c>
      <c r="F395" s="22" t="n">
        <v>9</v>
      </c>
      <c r="G395" s="26" t="n">
        <v>66.1</v>
      </c>
      <c r="H395" s="26" t="n">
        <v>77.62</v>
      </c>
      <c r="I395" s="26" t="n">
        <v>89.14</v>
      </c>
      <c r="J395" s="26" t="n">
        <v>100.65</v>
      </c>
      <c r="K395" s="26" t="n">
        <v>112.17</v>
      </c>
      <c r="L395" s="26" t="n">
        <v>1.98</v>
      </c>
      <c r="M395" s="27" t="n">
        <v>0.005</v>
      </c>
      <c r="N395" s="27" t="n">
        <v>0.002</v>
      </c>
      <c r="O395" s="26" t="n">
        <v>5</v>
      </c>
      <c r="P395" s="26" t="n">
        <v>5</v>
      </c>
      <c r="Q395" s="28" t="n">
        <v>100</v>
      </c>
      <c r="R395" s="26" t="n">
        <v>30</v>
      </c>
      <c r="S395" s="26" t="n">
        <v>0</v>
      </c>
      <c r="T395" s="28" t="n">
        <v>1</v>
      </c>
      <c r="U395" s="26" t="n">
        <v>0</v>
      </c>
      <c r="V395" s="26" t="n">
        <v>250</v>
      </c>
      <c r="W395" s="22" t="s">
        <v>16</v>
      </c>
      <c r="X395" s="22" t="s">
        <v>373</v>
      </c>
    </row>
    <row r="396" customFormat="false" ht="15" hidden="false" customHeight="false" outlineLevel="0" collapsed="false">
      <c r="A396" s="22" t="s">
        <v>1843</v>
      </c>
      <c r="B396" s="22" t="s">
        <v>16</v>
      </c>
      <c r="C396" s="22" t="s">
        <v>1844</v>
      </c>
      <c r="D396" s="22" t="s">
        <v>1845</v>
      </c>
      <c r="E396" s="22" t="s">
        <v>1846</v>
      </c>
      <c r="F396" s="22" t="n">
        <v>9</v>
      </c>
      <c r="G396" s="26" t="n">
        <v>66.1</v>
      </c>
      <c r="H396" s="26" t="n">
        <v>77.62</v>
      </c>
      <c r="I396" s="26" t="n">
        <v>89.14</v>
      </c>
      <c r="J396" s="26" t="n">
        <v>100.65</v>
      </c>
      <c r="K396" s="26" t="n">
        <v>112.17</v>
      </c>
      <c r="L396" s="26" t="n">
        <v>1.98</v>
      </c>
      <c r="M396" s="27" t="n">
        <v>0.005</v>
      </c>
      <c r="N396" s="27" t="n">
        <v>0.002</v>
      </c>
      <c r="O396" s="26" t="n">
        <v>5</v>
      </c>
      <c r="P396" s="26" t="n">
        <v>5</v>
      </c>
      <c r="Q396" s="28" t="n">
        <v>100</v>
      </c>
      <c r="R396" s="26" t="n">
        <v>30</v>
      </c>
      <c r="S396" s="26" t="n">
        <v>0</v>
      </c>
      <c r="T396" s="28" t="n">
        <v>1</v>
      </c>
      <c r="U396" s="26" t="n">
        <v>0</v>
      </c>
      <c r="V396" s="26" t="n">
        <v>250</v>
      </c>
      <c r="W396" s="22" t="s">
        <v>16</v>
      </c>
      <c r="X396" s="22" t="s">
        <v>373</v>
      </c>
    </row>
    <row r="397" customFormat="false" ht="15" hidden="false" customHeight="false" outlineLevel="0" collapsed="false">
      <c r="A397" s="22" t="s">
        <v>1847</v>
      </c>
      <c r="B397" s="22" t="s">
        <v>16</v>
      </c>
      <c r="C397" s="22" t="s">
        <v>1848</v>
      </c>
      <c r="D397" s="22" t="s">
        <v>1849</v>
      </c>
      <c r="E397" s="22" t="s">
        <v>1850</v>
      </c>
      <c r="F397" s="22" t="n">
        <v>11</v>
      </c>
      <c r="G397" s="26" t="n">
        <v>66.1</v>
      </c>
      <c r="H397" s="26" t="n">
        <v>77.62</v>
      </c>
      <c r="I397" s="26" t="n">
        <v>89.14</v>
      </c>
      <c r="J397" s="26" t="n">
        <v>100.65</v>
      </c>
      <c r="K397" s="26" t="n">
        <v>112.17</v>
      </c>
      <c r="L397" s="26" t="n">
        <v>1.98</v>
      </c>
      <c r="M397" s="27" t="n">
        <v>0.005</v>
      </c>
      <c r="N397" s="27" t="n">
        <v>0.002</v>
      </c>
      <c r="O397" s="26" t="n">
        <v>5</v>
      </c>
      <c r="P397" s="26" t="n">
        <v>5</v>
      </c>
      <c r="Q397" s="28" t="n">
        <v>100</v>
      </c>
      <c r="R397" s="26" t="n">
        <v>30</v>
      </c>
      <c r="S397" s="26" t="n">
        <v>0</v>
      </c>
      <c r="T397" s="28" t="n">
        <v>1</v>
      </c>
      <c r="U397" s="26" t="n">
        <v>0</v>
      </c>
      <c r="V397" s="26" t="n">
        <v>0</v>
      </c>
      <c r="W397" s="22" t="s">
        <v>16</v>
      </c>
      <c r="X397" s="22" t="s">
        <v>373</v>
      </c>
    </row>
    <row r="398" customFormat="false" ht="15" hidden="false" customHeight="false" outlineLevel="0" collapsed="false">
      <c r="A398" s="22" t="s">
        <v>1851</v>
      </c>
      <c r="B398" s="22" t="s">
        <v>16</v>
      </c>
      <c r="C398" s="22" t="s">
        <v>1852</v>
      </c>
      <c r="D398" s="22" t="s">
        <v>1853</v>
      </c>
      <c r="E398" s="22" t="s">
        <v>1854</v>
      </c>
      <c r="F398" s="22" t="n">
        <v>9</v>
      </c>
      <c r="G398" s="26" t="n">
        <v>66.1</v>
      </c>
      <c r="H398" s="26" t="n">
        <v>77.62</v>
      </c>
      <c r="I398" s="26" t="n">
        <v>89.14</v>
      </c>
      <c r="J398" s="26" t="n">
        <v>100.65</v>
      </c>
      <c r="K398" s="26" t="n">
        <v>112.17</v>
      </c>
      <c r="L398" s="26" t="n">
        <v>1.98</v>
      </c>
      <c r="M398" s="27" t="n">
        <v>0.005</v>
      </c>
      <c r="N398" s="27" t="n">
        <v>0.002</v>
      </c>
      <c r="O398" s="26" t="n">
        <v>5</v>
      </c>
      <c r="P398" s="26" t="n">
        <v>5</v>
      </c>
      <c r="Q398" s="28" t="n">
        <v>100</v>
      </c>
      <c r="R398" s="26" t="n">
        <v>30</v>
      </c>
      <c r="S398" s="26" t="n">
        <v>0</v>
      </c>
      <c r="T398" s="28" t="n">
        <v>1</v>
      </c>
      <c r="U398" s="26" t="n">
        <v>0</v>
      </c>
      <c r="V398" s="26" t="n">
        <v>0</v>
      </c>
      <c r="W398" s="22" t="s">
        <v>16</v>
      </c>
      <c r="X398" s="22" t="s">
        <v>373</v>
      </c>
    </row>
    <row r="399" customFormat="false" ht="15" hidden="false" customHeight="false" outlineLevel="0" collapsed="false">
      <c r="A399" s="22" t="s">
        <v>1855</v>
      </c>
      <c r="B399" s="22" t="s">
        <v>16</v>
      </c>
      <c r="C399" s="22" t="s">
        <v>1856</v>
      </c>
      <c r="D399" s="22" t="s">
        <v>1857</v>
      </c>
      <c r="E399" s="22" t="s">
        <v>1858</v>
      </c>
      <c r="F399" s="22" t="n">
        <v>11</v>
      </c>
      <c r="G399" s="26" t="n">
        <v>66.1</v>
      </c>
      <c r="H399" s="26" t="n">
        <v>77.62</v>
      </c>
      <c r="I399" s="26" t="n">
        <v>89.14</v>
      </c>
      <c r="J399" s="26" t="n">
        <v>100.65</v>
      </c>
      <c r="K399" s="26" t="n">
        <v>112.17</v>
      </c>
      <c r="L399" s="26" t="n">
        <v>1.98</v>
      </c>
      <c r="M399" s="27" t="n">
        <v>0.005</v>
      </c>
      <c r="N399" s="27" t="n">
        <v>0.002</v>
      </c>
      <c r="O399" s="26" t="n">
        <v>5</v>
      </c>
      <c r="P399" s="26" t="n">
        <v>5</v>
      </c>
      <c r="Q399" s="28" t="n">
        <v>100</v>
      </c>
      <c r="R399" s="26" t="n">
        <v>30</v>
      </c>
      <c r="S399" s="26" t="n">
        <v>0</v>
      </c>
      <c r="T399" s="28" t="n">
        <v>1</v>
      </c>
      <c r="U399" s="26" t="n">
        <v>0</v>
      </c>
      <c r="V399" s="26" t="n">
        <v>0</v>
      </c>
      <c r="W399" s="22" t="s">
        <v>16</v>
      </c>
      <c r="X399" s="22" t="s">
        <v>373</v>
      </c>
    </row>
    <row r="400" customFormat="false" ht="15" hidden="false" customHeight="false" outlineLevel="0" collapsed="false">
      <c r="A400" s="22" t="s">
        <v>1859</v>
      </c>
      <c r="B400" s="22" t="s">
        <v>16</v>
      </c>
      <c r="C400" s="22" t="s">
        <v>1860</v>
      </c>
      <c r="D400" s="22" t="s">
        <v>1861</v>
      </c>
      <c r="E400" s="22" t="s">
        <v>1862</v>
      </c>
      <c r="F400" s="22" t="n">
        <v>9</v>
      </c>
      <c r="G400" s="26" t="n">
        <v>66.1</v>
      </c>
      <c r="H400" s="26" t="n">
        <v>77.62</v>
      </c>
      <c r="I400" s="26" t="n">
        <v>89.14</v>
      </c>
      <c r="J400" s="26" t="n">
        <v>100.65</v>
      </c>
      <c r="K400" s="26" t="n">
        <v>112.17</v>
      </c>
      <c r="L400" s="26" t="n">
        <v>1.98</v>
      </c>
      <c r="M400" s="27" t="n">
        <v>0.005</v>
      </c>
      <c r="N400" s="27" t="n">
        <v>0.002</v>
      </c>
      <c r="O400" s="26" t="n">
        <v>5</v>
      </c>
      <c r="P400" s="26" t="n">
        <v>5</v>
      </c>
      <c r="Q400" s="28" t="n">
        <v>100</v>
      </c>
      <c r="R400" s="26" t="n">
        <v>30</v>
      </c>
      <c r="S400" s="26" t="n">
        <v>0</v>
      </c>
      <c r="T400" s="28" t="n">
        <v>1</v>
      </c>
      <c r="U400" s="26" t="n">
        <v>0</v>
      </c>
      <c r="V400" s="26" t="n">
        <v>0</v>
      </c>
      <c r="W400" s="22" t="s">
        <v>16</v>
      </c>
      <c r="X400" s="22" t="s">
        <v>373</v>
      </c>
    </row>
    <row r="401" customFormat="false" ht="15" hidden="false" customHeight="false" outlineLevel="0" collapsed="false">
      <c r="A401" s="22" t="s">
        <v>1863</v>
      </c>
      <c r="B401" s="22" t="s">
        <v>16</v>
      </c>
      <c r="C401" s="22" t="s">
        <v>1864</v>
      </c>
      <c r="D401" s="22" t="s">
        <v>1865</v>
      </c>
      <c r="E401" s="22" t="s">
        <v>1866</v>
      </c>
      <c r="F401" s="22" t="n">
        <v>9</v>
      </c>
      <c r="G401" s="26" t="n">
        <v>66.1</v>
      </c>
      <c r="H401" s="26" t="n">
        <v>77.62</v>
      </c>
      <c r="I401" s="26" t="n">
        <v>89.14</v>
      </c>
      <c r="J401" s="26" t="n">
        <v>100.65</v>
      </c>
      <c r="K401" s="26" t="n">
        <v>112.17</v>
      </c>
      <c r="L401" s="26" t="n">
        <v>1.98</v>
      </c>
      <c r="M401" s="27" t="n">
        <v>0.005</v>
      </c>
      <c r="N401" s="27" t="n">
        <v>0.002</v>
      </c>
      <c r="O401" s="26" t="n">
        <v>5</v>
      </c>
      <c r="P401" s="26" t="n">
        <v>5</v>
      </c>
      <c r="Q401" s="28" t="n">
        <v>100</v>
      </c>
      <c r="R401" s="26" t="n">
        <v>30</v>
      </c>
      <c r="S401" s="26" t="n">
        <v>0</v>
      </c>
      <c r="T401" s="28" t="n">
        <v>1</v>
      </c>
      <c r="U401" s="26" t="n">
        <v>0</v>
      </c>
      <c r="V401" s="26" t="n">
        <v>250</v>
      </c>
      <c r="W401" s="22" t="s">
        <v>16</v>
      </c>
      <c r="X401" s="22" t="s">
        <v>373</v>
      </c>
    </row>
    <row r="402" customFormat="false" ht="15" hidden="false" customHeight="false" outlineLevel="0" collapsed="false">
      <c r="A402" s="22" t="s">
        <v>1867</v>
      </c>
      <c r="B402" s="22" t="s">
        <v>16</v>
      </c>
      <c r="C402" s="22" t="s">
        <v>1868</v>
      </c>
      <c r="D402" s="22" t="s">
        <v>1869</v>
      </c>
      <c r="E402" s="22" t="s">
        <v>1870</v>
      </c>
      <c r="F402" s="22" t="n">
        <v>9</v>
      </c>
      <c r="G402" s="26" t="n">
        <v>66.1</v>
      </c>
      <c r="H402" s="26" t="n">
        <v>77.62</v>
      </c>
      <c r="I402" s="26" t="n">
        <v>89.14</v>
      </c>
      <c r="J402" s="26" t="n">
        <v>100.65</v>
      </c>
      <c r="K402" s="26" t="n">
        <v>112.17</v>
      </c>
      <c r="L402" s="26" t="n">
        <v>1.98</v>
      </c>
      <c r="M402" s="27" t="n">
        <v>0.005</v>
      </c>
      <c r="N402" s="27" t="n">
        <v>0.002</v>
      </c>
      <c r="O402" s="26" t="n">
        <v>5</v>
      </c>
      <c r="P402" s="26" t="n">
        <v>5</v>
      </c>
      <c r="Q402" s="28" t="n">
        <v>100</v>
      </c>
      <c r="R402" s="26" t="n">
        <v>30</v>
      </c>
      <c r="S402" s="26" t="n">
        <v>0</v>
      </c>
      <c r="T402" s="28" t="n">
        <v>1</v>
      </c>
      <c r="U402" s="26" t="n">
        <v>0</v>
      </c>
      <c r="V402" s="26" t="n">
        <v>250</v>
      </c>
      <c r="W402" s="22" t="s">
        <v>16</v>
      </c>
      <c r="X402" s="22" t="s">
        <v>373</v>
      </c>
    </row>
    <row r="403" customFormat="false" ht="15" hidden="false" customHeight="false" outlineLevel="0" collapsed="false">
      <c r="A403" s="22" t="s">
        <v>1871</v>
      </c>
      <c r="B403" s="22" t="s">
        <v>16</v>
      </c>
      <c r="C403" s="22" t="s">
        <v>1872</v>
      </c>
      <c r="D403" s="22" t="s">
        <v>1873</v>
      </c>
      <c r="E403" s="22" t="s">
        <v>1874</v>
      </c>
      <c r="F403" s="22" t="n">
        <v>11</v>
      </c>
      <c r="G403" s="26" t="n">
        <v>66.1</v>
      </c>
      <c r="H403" s="26" t="n">
        <v>77.62</v>
      </c>
      <c r="I403" s="26" t="n">
        <v>89.14</v>
      </c>
      <c r="J403" s="26" t="n">
        <v>100.65</v>
      </c>
      <c r="K403" s="26" t="n">
        <v>112.17</v>
      </c>
      <c r="L403" s="26" t="n">
        <v>1.98</v>
      </c>
      <c r="M403" s="27" t="n">
        <v>0.005</v>
      </c>
      <c r="N403" s="27" t="n">
        <v>0.002</v>
      </c>
      <c r="O403" s="26" t="n">
        <v>5</v>
      </c>
      <c r="P403" s="26" t="n">
        <v>5</v>
      </c>
      <c r="Q403" s="28" t="n">
        <v>100</v>
      </c>
      <c r="R403" s="26" t="n">
        <v>30</v>
      </c>
      <c r="S403" s="26" t="n">
        <v>0</v>
      </c>
      <c r="T403" s="28" t="n">
        <v>1</v>
      </c>
      <c r="U403" s="26" t="n">
        <v>0</v>
      </c>
      <c r="V403" s="26" t="n">
        <v>0</v>
      </c>
      <c r="W403" s="22" t="s">
        <v>16</v>
      </c>
      <c r="X403" s="22" t="s">
        <v>373</v>
      </c>
    </row>
    <row r="404" customFormat="false" ht="15" hidden="false" customHeight="false" outlineLevel="0" collapsed="false">
      <c r="A404" s="22" t="s">
        <v>1875</v>
      </c>
      <c r="B404" s="22" t="s">
        <v>16</v>
      </c>
      <c r="C404" s="22" t="s">
        <v>1876</v>
      </c>
      <c r="D404" s="22" t="s">
        <v>1877</v>
      </c>
      <c r="E404" s="22" t="s">
        <v>1878</v>
      </c>
      <c r="F404" s="22" t="n">
        <v>9</v>
      </c>
      <c r="G404" s="26" t="n">
        <v>66.1</v>
      </c>
      <c r="H404" s="26" t="n">
        <v>77.62</v>
      </c>
      <c r="I404" s="26" t="n">
        <v>89.14</v>
      </c>
      <c r="J404" s="26" t="n">
        <v>100.65</v>
      </c>
      <c r="K404" s="26" t="n">
        <v>112.17</v>
      </c>
      <c r="L404" s="26" t="n">
        <v>1.98</v>
      </c>
      <c r="M404" s="27" t="n">
        <v>0.005</v>
      </c>
      <c r="N404" s="27" t="n">
        <v>0.002</v>
      </c>
      <c r="O404" s="26" t="n">
        <v>5</v>
      </c>
      <c r="P404" s="26" t="n">
        <v>5</v>
      </c>
      <c r="Q404" s="28" t="n">
        <v>100</v>
      </c>
      <c r="R404" s="26" t="n">
        <v>30</v>
      </c>
      <c r="S404" s="26" t="n">
        <v>0</v>
      </c>
      <c r="T404" s="28" t="n">
        <v>1</v>
      </c>
      <c r="U404" s="26" t="n">
        <v>0</v>
      </c>
      <c r="V404" s="26" t="n">
        <v>0</v>
      </c>
      <c r="W404" s="22" t="s">
        <v>16</v>
      </c>
      <c r="X404" s="22" t="s">
        <v>373</v>
      </c>
    </row>
    <row r="405" customFormat="false" ht="15" hidden="false" customHeight="false" outlineLevel="0" collapsed="false">
      <c r="A405" s="22" t="s">
        <v>1879</v>
      </c>
      <c r="B405" s="22" t="s">
        <v>16</v>
      </c>
      <c r="C405" s="22" t="s">
        <v>1880</v>
      </c>
      <c r="D405" s="22" t="s">
        <v>1881</v>
      </c>
      <c r="E405" s="22" t="s">
        <v>1882</v>
      </c>
      <c r="F405" s="22" t="n">
        <v>9</v>
      </c>
      <c r="G405" s="26" t="n">
        <v>66.1</v>
      </c>
      <c r="H405" s="26" t="n">
        <v>77.62</v>
      </c>
      <c r="I405" s="26" t="n">
        <v>89.14</v>
      </c>
      <c r="J405" s="26" t="n">
        <v>100.65</v>
      </c>
      <c r="K405" s="26" t="n">
        <v>112.17</v>
      </c>
      <c r="L405" s="26" t="n">
        <v>1.98</v>
      </c>
      <c r="M405" s="27" t="n">
        <v>0.005</v>
      </c>
      <c r="N405" s="27" t="n">
        <v>0.002</v>
      </c>
      <c r="O405" s="26" t="n">
        <v>5</v>
      </c>
      <c r="P405" s="26" t="n">
        <v>5</v>
      </c>
      <c r="Q405" s="28" t="n">
        <v>100</v>
      </c>
      <c r="R405" s="26" t="n">
        <v>30</v>
      </c>
      <c r="S405" s="26" t="n">
        <v>0</v>
      </c>
      <c r="T405" s="28" t="n">
        <v>1</v>
      </c>
      <c r="U405" s="26" t="n">
        <v>0</v>
      </c>
      <c r="V405" s="26" t="n">
        <v>0</v>
      </c>
      <c r="W405" s="22" t="s">
        <v>16</v>
      </c>
      <c r="X405" s="22" t="s">
        <v>373</v>
      </c>
    </row>
    <row r="406" customFormat="false" ht="15" hidden="false" customHeight="false" outlineLevel="0" collapsed="false">
      <c r="A406" s="22" t="s">
        <v>1883</v>
      </c>
      <c r="B406" s="22" t="s">
        <v>16</v>
      </c>
      <c r="C406" s="22" t="s">
        <v>1884</v>
      </c>
      <c r="D406" s="22" t="s">
        <v>1885</v>
      </c>
      <c r="E406" s="22" t="s">
        <v>1886</v>
      </c>
      <c r="F406" s="22" t="n">
        <v>11</v>
      </c>
      <c r="G406" s="26" t="n">
        <v>66.1</v>
      </c>
      <c r="H406" s="26" t="n">
        <v>77.62</v>
      </c>
      <c r="I406" s="26" t="n">
        <v>89.14</v>
      </c>
      <c r="J406" s="26" t="n">
        <v>100.65</v>
      </c>
      <c r="K406" s="26" t="n">
        <v>112.17</v>
      </c>
      <c r="L406" s="26" t="n">
        <v>1.98</v>
      </c>
      <c r="M406" s="27" t="n">
        <v>0.005</v>
      </c>
      <c r="N406" s="27" t="n">
        <v>0.002</v>
      </c>
      <c r="O406" s="26" t="n">
        <v>5</v>
      </c>
      <c r="P406" s="26" t="n">
        <v>5</v>
      </c>
      <c r="Q406" s="28" t="n">
        <v>100</v>
      </c>
      <c r="R406" s="26" t="n">
        <v>30</v>
      </c>
      <c r="S406" s="26" t="n">
        <v>0</v>
      </c>
      <c r="T406" s="28" t="n">
        <v>1</v>
      </c>
      <c r="U406" s="26" t="n">
        <v>0</v>
      </c>
      <c r="V406" s="26" t="n">
        <v>0</v>
      </c>
      <c r="W406" s="22" t="s">
        <v>16</v>
      </c>
      <c r="X406" s="22" t="s">
        <v>373</v>
      </c>
    </row>
    <row r="407" customFormat="false" ht="15" hidden="false" customHeight="false" outlineLevel="0" collapsed="false">
      <c r="A407" s="22" t="s">
        <v>1887</v>
      </c>
      <c r="B407" s="22" t="s">
        <v>16</v>
      </c>
      <c r="C407" s="22" t="s">
        <v>1888</v>
      </c>
      <c r="D407" s="22" t="s">
        <v>1889</v>
      </c>
      <c r="E407" s="22" t="s">
        <v>1890</v>
      </c>
      <c r="F407" s="22" t="n">
        <v>11</v>
      </c>
      <c r="G407" s="26" t="n">
        <v>66.1</v>
      </c>
      <c r="H407" s="26" t="n">
        <v>77.62</v>
      </c>
      <c r="I407" s="26" t="n">
        <v>89.14</v>
      </c>
      <c r="J407" s="26" t="n">
        <v>100.65</v>
      </c>
      <c r="K407" s="26" t="n">
        <v>112.17</v>
      </c>
      <c r="L407" s="26" t="n">
        <v>1.98</v>
      </c>
      <c r="M407" s="27" t="n">
        <v>0.005</v>
      </c>
      <c r="N407" s="27" t="n">
        <v>0.002</v>
      </c>
      <c r="O407" s="26" t="n">
        <v>5</v>
      </c>
      <c r="P407" s="26" t="n">
        <v>5</v>
      </c>
      <c r="Q407" s="28" t="n">
        <v>100</v>
      </c>
      <c r="R407" s="26" t="n">
        <v>30</v>
      </c>
      <c r="S407" s="26" t="n">
        <v>0</v>
      </c>
      <c r="T407" s="28" t="n">
        <v>1</v>
      </c>
      <c r="U407" s="26" t="n">
        <v>0</v>
      </c>
      <c r="V407" s="26" t="n">
        <v>0</v>
      </c>
      <c r="W407" s="22" t="s">
        <v>16</v>
      </c>
      <c r="X407" s="22" t="s">
        <v>373</v>
      </c>
    </row>
    <row r="408" customFormat="false" ht="15" hidden="false" customHeight="false" outlineLevel="0" collapsed="false">
      <c r="A408" s="22" t="s">
        <v>1891</v>
      </c>
      <c r="B408" s="22" t="s">
        <v>16</v>
      </c>
      <c r="C408" s="22" t="s">
        <v>1892</v>
      </c>
      <c r="D408" s="22" t="s">
        <v>1893</v>
      </c>
      <c r="E408" s="22" t="s">
        <v>1894</v>
      </c>
      <c r="F408" s="22" t="n">
        <v>9</v>
      </c>
      <c r="G408" s="26" t="n">
        <v>66.1</v>
      </c>
      <c r="H408" s="26" t="n">
        <v>77.62</v>
      </c>
      <c r="I408" s="26" t="n">
        <v>89.14</v>
      </c>
      <c r="J408" s="26" t="n">
        <v>100.65</v>
      </c>
      <c r="K408" s="26" t="n">
        <v>112.17</v>
      </c>
      <c r="L408" s="26" t="n">
        <v>1.98</v>
      </c>
      <c r="M408" s="27" t="n">
        <v>0.005</v>
      </c>
      <c r="N408" s="27" t="n">
        <v>0.002</v>
      </c>
      <c r="O408" s="26" t="n">
        <v>5</v>
      </c>
      <c r="P408" s="26" t="n">
        <v>5</v>
      </c>
      <c r="Q408" s="28" t="n">
        <v>100</v>
      </c>
      <c r="R408" s="26" t="n">
        <v>30</v>
      </c>
      <c r="S408" s="26" t="n">
        <v>0</v>
      </c>
      <c r="T408" s="28" t="n">
        <v>1</v>
      </c>
      <c r="U408" s="26" t="n">
        <v>0</v>
      </c>
      <c r="V408" s="26" t="n">
        <v>0</v>
      </c>
      <c r="W408" s="22" t="s">
        <v>16</v>
      </c>
      <c r="X408" s="22" t="s">
        <v>373</v>
      </c>
    </row>
    <row r="409" customFormat="false" ht="15" hidden="false" customHeight="false" outlineLevel="0" collapsed="false">
      <c r="A409" s="22" t="s">
        <v>1895</v>
      </c>
      <c r="B409" s="22" t="s">
        <v>16</v>
      </c>
      <c r="C409" s="22" t="s">
        <v>1896</v>
      </c>
      <c r="D409" s="22" t="s">
        <v>1897</v>
      </c>
      <c r="E409" s="22" t="s">
        <v>1898</v>
      </c>
      <c r="F409" s="22" t="n">
        <v>9</v>
      </c>
      <c r="G409" s="26" t="n">
        <v>66.1</v>
      </c>
      <c r="H409" s="26" t="n">
        <v>77.62</v>
      </c>
      <c r="I409" s="26" t="n">
        <v>89.14</v>
      </c>
      <c r="J409" s="26" t="n">
        <v>100.65</v>
      </c>
      <c r="K409" s="26" t="n">
        <v>112.17</v>
      </c>
      <c r="L409" s="26" t="n">
        <v>1.98</v>
      </c>
      <c r="M409" s="27" t="n">
        <v>0.005</v>
      </c>
      <c r="N409" s="27" t="n">
        <v>0.002</v>
      </c>
      <c r="O409" s="26" t="n">
        <v>5</v>
      </c>
      <c r="P409" s="26" t="n">
        <v>5</v>
      </c>
      <c r="Q409" s="28" t="n">
        <v>100</v>
      </c>
      <c r="R409" s="26" t="n">
        <v>30</v>
      </c>
      <c r="S409" s="26" t="n">
        <v>0</v>
      </c>
      <c r="T409" s="28" t="n">
        <v>1</v>
      </c>
      <c r="U409" s="26" t="n">
        <v>0</v>
      </c>
      <c r="V409" s="26" t="n">
        <v>0</v>
      </c>
      <c r="W409" s="22" t="s">
        <v>16</v>
      </c>
      <c r="X409" s="22" t="s">
        <v>373</v>
      </c>
    </row>
    <row r="410" customFormat="false" ht="15" hidden="false" customHeight="false" outlineLevel="0" collapsed="false">
      <c r="A410" s="22" t="s">
        <v>1899</v>
      </c>
      <c r="B410" s="22" t="s">
        <v>16</v>
      </c>
      <c r="C410" s="22" t="s">
        <v>1900</v>
      </c>
      <c r="D410" s="22" t="s">
        <v>1901</v>
      </c>
      <c r="E410" s="22" t="s">
        <v>1902</v>
      </c>
      <c r="F410" s="22" t="n">
        <v>11</v>
      </c>
      <c r="G410" s="26" t="n">
        <v>66.1</v>
      </c>
      <c r="H410" s="26" t="n">
        <v>77.62</v>
      </c>
      <c r="I410" s="26" t="n">
        <v>89.14</v>
      </c>
      <c r="J410" s="26" t="n">
        <v>100.65</v>
      </c>
      <c r="K410" s="26" t="n">
        <v>112.17</v>
      </c>
      <c r="L410" s="26" t="n">
        <v>1.98</v>
      </c>
      <c r="M410" s="27" t="n">
        <v>0.005</v>
      </c>
      <c r="N410" s="27" t="n">
        <v>0.002</v>
      </c>
      <c r="O410" s="26" t="n">
        <v>5</v>
      </c>
      <c r="P410" s="26" t="n">
        <v>5</v>
      </c>
      <c r="Q410" s="28" t="n">
        <v>100</v>
      </c>
      <c r="R410" s="26" t="n">
        <v>30</v>
      </c>
      <c r="S410" s="26" t="n">
        <v>0</v>
      </c>
      <c r="T410" s="28" t="n">
        <v>1</v>
      </c>
      <c r="U410" s="26" t="n">
        <v>0</v>
      </c>
      <c r="V410" s="26" t="n">
        <v>250</v>
      </c>
      <c r="W410" s="22" t="s">
        <v>16</v>
      </c>
      <c r="X410" s="22" t="s">
        <v>373</v>
      </c>
    </row>
    <row r="411" customFormat="false" ht="15" hidden="false" customHeight="false" outlineLevel="0" collapsed="false">
      <c r="A411" s="22" t="s">
        <v>1903</v>
      </c>
      <c r="B411" s="22" t="s">
        <v>16</v>
      </c>
      <c r="C411" s="22" t="s">
        <v>1904</v>
      </c>
      <c r="D411" s="22" t="s">
        <v>1905</v>
      </c>
      <c r="E411" s="22" t="s">
        <v>1906</v>
      </c>
      <c r="F411" s="22" t="n">
        <v>11</v>
      </c>
      <c r="G411" s="26" t="n">
        <v>66.1</v>
      </c>
      <c r="H411" s="26" t="n">
        <v>77.62</v>
      </c>
      <c r="I411" s="26" t="n">
        <v>89.14</v>
      </c>
      <c r="J411" s="26" t="n">
        <v>100.65</v>
      </c>
      <c r="K411" s="26" t="n">
        <v>112.17</v>
      </c>
      <c r="L411" s="26" t="n">
        <v>1.98</v>
      </c>
      <c r="M411" s="27" t="n">
        <v>0.005</v>
      </c>
      <c r="N411" s="27" t="n">
        <v>0.002</v>
      </c>
      <c r="O411" s="26" t="n">
        <v>5</v>
      </c>
      <c r="P411" s="26" t="n">
        <v>5</v>
      </c>
      <c r="Q411" s="28" t="n">
        <v>100</v>
      </c>
      <c r="R411" s="26" t="n">
        <v>30</v>
      </c>
      <c r="S411" s="26" t="n">
        <v>0</v>
      </c>
      <c r="T411" s="28" t="n">
        <v>1</v>
      </c>
      <c r="U411" s="26" t="n">
        <v>0</v>
      </c>
      <c r="V411" s="26" t="n">
        <v>0</v>
      </c>
      <c r="W411" s="22" t="s">
        <v>16</v>
      </c>
      <c r="X411" s="22" t="s">
        <v>373</v>
      </c>
    </row>
    <row r="412" customFormat="false" ht="15" hidden="false" customHeight="false" outlineLevel="0" collapsed="false">
      <c r="A412" s="22" t="s">
        <v>1907</v>
      </c>
      <c r="B412" s="22" t="s">
        <v>16</v>
      </c>
      <c r="C412" s="22" t="s">
        <v>1908</v>
      </c>
      <c r="D412" s="22" t="s">
        <v>1909</v>
      </c>
      <c r="E412" s="22" t="s">
        <v>1910</v>
      </c>
      <c r="F412" s="22" t="n">
        <v>11</v>
      </c>
      <c r="G412" s="26" t="n">
        <v>66.1</v>
      </c>
      <c r="H412" s="26" t="n">
        <v>77.62</v>
      </c>
      <c r="I412" s="26" t="n">
        <v>89.14</v>
      </c>
      <c r="J412" s="26" t="n">
        <v>100.65</v>
      </c>
      <c r="K412" s="26" t="n">
        <v>112.17</v>
      </c>
      <c r="L412" s="26" t="n">
        <v>1.98</v>
      </c>
      <c r="M412" s="27" t="n">
        <v>0.005</v>
      </c>
      <c r="N412" s="27" t="n">
        <v>0.002</v>
      </c>
      <c r="O412" s="26" t="n">
        <v>5</v>
      </c>
      <c r="P412" s="26" t="n">
        <v>5</v>
      </c>
      <c r="Q412" s="28" t="n">
        <v>100</v>
      </c>
      <c r="R412" s="26" t="n">
        <v>30</v>
      </c>
      <c r="S412" s="26" t="n">
        <v>0</v>
      </c>
      <c r="T412" s="28" t="n">
        <v>1</v>
      </c>
      <c r="U412" s="26" t="n">
        <v>0</v>
      </c>
      <c r="V412" s="26" t="n">
        <v>0</v>
      </c>
      <c r="W412" s="22" t="s">
        <v>16</v>
      </c>
      <c r="X412" s="22" t="s">
        <v>373</v>
      </c>
    </row>
    <row r="413" customFormat="false" ht="15" hidden="false" customHeight="false" outlineLevel="0" collapsed="false">
      <c r="A413" s="22" t="s">
        <v>1911</v>
      </c>
      <c r="B413" s="22" t="s">
        <v>16</v>
      </c>
      <c r="C413" s="22" t="s">
        <v>1912</v>
      </c>
      <c r="D413" s="22" t="s">
        <v>1913</v>
      </c>
      <c r="E413" s="22" t="s">
        <v>1914</v>
      </c>
      <c r="F413" s="22" t="n">
        <v>9</v>
      </c>
      <c r="G413" s="26" t="n">
        <v>66.1</v>
      </c>
      <c r="H413" s="26" t="n">
        <v>77.62</v>
      </c>
      <c r="I413" s="26" t="n">
        <v>89.14</v>
      </c>
      <c r="J413" s="26" t="n">
        <v>100.65</v>
      </c>
      <c r="K413" s="26" t="n">
        <v>112.17</v>
      </c>
      <c r="L413" s="26" t="n">
        <v>1.98</v>
      </c>
      <c r="M413" s="27" t="n">
        <v>0.005</v>
      </c>
      <c r="N413" s="27" t="n">
        <v>0.002</v>
      </c>
      <c r="O413" s="26" t="n">
        <v>5</v>
      </c>
      <c r="P413" s="26" t="n">
        <v>5</v>
      </c>
      <c r="Q413" s="28" t="n">
        <v>100</v>
      </c>
      <c r="R413" s="26" t="n">
        <v>30</v>
      </c>
      <c r="S413" s="26" t="n">
        <v>0</v>
      </c>
      <c r="T413" s="28" t="n">
        <v>1</v>
      </c>
      <c r="U413" s="26" t="n">
        <v>0</v>
      </c>
      <c r="V413" s="26" t="n">
        <v>0</v>
      </c>
      <c r="W413" s="22" t="s">
        <v>16</v>
      </c>
      <c r="X413" s="22" t="s">
        <v>373</v>
      </c>
    </row>
    <row r="414" customFormat="false" ht="15" hidden="false" customHeight="false" outlineLevel="0" collapsed="false">
      <c r="A414" s="22" t="s">
        <v>1915</v>
      </c>
      <c r="B414" s="22" t="s">
        <v>16</v>
      </c>
      <c r="C414" s="22" t="s">
        <v>1916</v>
      </c>
      <c r="D414" s="22" t="s">
        <v>1917</v>
      </c>
      <c r="E414" s="22" t="s">
        <v>1918</v>
      </c>
      <c r="F414" s="22" t="n">
        <v>11</v>
      </c>
      <c r="G414" s="26" t="n">
        <v>66.1</v>
      </c>
      <c r="H414" s="26" t="n">
        <v>77.62</v>
      </c>
      <c r="I414" s="26" t="n">
        <v>89.14</v>
      </c>
      <c r="J414" s="26" t="n">
        <v>100.65</v>
      </c>
      <c r="K414" s="26" t="n">
        <v>112.17</v>
      </c>
      <c r="L414" s="26" t="n">
        <v>1.98</v>
      </c>
      <c r="M414" s="27" t="n">
        <v>0.005</v>
      </c>
      <c r="N414" s="27" t="n">
        <v>0.002</v>
      </c>
      <c r="O414" s="26" t="n">
        <v>5</v>
      </c>
      <c r="P414" s="26" t="n">
        <v>5</v>
      </c>
      <c r="Q414" s="28" t="n">
        <v>100</v>
      </c>
      <c r="R414" s="26" t="n">
        <v>30</v>
      </c>
      <c r="S414" s="26" t="n">
        <v>0</v>
      </c>
      <c r="T414" s="28" t="n">
        <v>1</v>
      </c>
      <c r="U414" s="26" t="n">
        <v>0</v>
      </c>
      <c r="V414" s="26" t="n">
        <v>250</v>
      </c>
      <c r="W414" s="22" t="s">
        <v>16</v>
      </c>
      <c r="X414" s="22" t="s">
        <v>373</v>
      </c>
    </row>
    <row r="415" customFormat="false" ht="15" hidden="false" customHeight="false" outlineLevel="0" collapsed="false">
      <c r="A415" s="22" t="s">
        <v>1919</v>
      </c>
      <c r="B415" s="22" t="s">
        <v>16</v>
      </c>
      <c r="C415" s="22" t="s">
        <v>1920</v>
      </c>
      <c r="D415" s="22" t="s">
        <v>1921</v>
      </c>
      <c r="E415" s="22" t="s">
        <v>1922</v>
      </c>
      <c r="F415" s="22" t="n">
        <v>9</v>
      </c>
      <c r="G415" s="26" t="n">
        <v>66.1</v>
      </c>
      <c r="H415" s="26" t="n">
        <v>77.62</v>
      </c>
      <c r="I415" s="26" t="n">
        <v>89.14</v>
      </c>
      <c r="J415" s="26" t="n">
        <v>100.65</v>
      </c>
      <c r="K415" s="26" t="n">
        <v>112.17</v>
      </c>
      <c r="L415" s="26" t="n">
        <v>1.98</v>
      </c>
      <c r="M415" s="27" t="n">
        <v>0.005</v>
      </c>
      <c r="N415" s="27" t="n">
        <v>0.002</v>
      </c>
      <c r="O415" s="26" t="n">
        <v>5</v>
      </c>
      <c r="P415" s="26" t="n">
        <v>5</v>
      </c>
      <c r="Q415" s="28" t="n">
        <v>100</v>
      </c>
      <c r="R415" s="26" t="n">
        <v>30</v>
      </c>
      <c r="S415" s="26" t="n">
        <v>0</v>
      </c>
      <c r="T415" s="28" t="n">
        <v>1</v>
      </c>
      <c r="U415" s="26" t="n">
        <v>0</v>
      </c>
      <c r="V415" s="26" t="n">
        <v>0</v>
      </c>
      <c r="W415" s="22" t="s">
        <v>16</v>
      </c>
      <c r="X415" s="22" t="s">
        <v>373</v>
      </c>
    </row>
    <row r="416" customFormat="false" ht="15" hidden="false" customHeight="false" outlineLevel="0" collapsed="false">
      <c r="A416" s="22" t="s">
        <v>1923</v>
      </c>
      <c r="B416" s="22" t="s">
        <v>16</v>
      </c>
      <c r="C416" s="22" t="s">
        <v>1924</v>
      </c>
      <c r="D416" s="22" t="s">
        <v>1925</v>
      </c>
      <c r="E416" s="22" t="s">
        <v>1926</v>
      </c>
      <c r="F416" s="22" t="n">
        <v>9</v>
      </c>
      <c r="G416" s="26" t="n">
        <v>66.1</v>
      </c>
      <c r="H416" s="26" t="n">
        <v>77.62</v>
      </c>
      <c r="I416" s="26" t="n">
        <v>89.14</v>
      </c>
      <c r="J416" s="26" t="n">
        <v>100.65</v>
      </c>
      <c r="K416" s="26" t="n">
        <v>112.17</v>
      </c>
      <c r="L416" s="26" t="n">
        <v>1.98</v>
      </c>
      <c r="M416" s="27" t="n">
        <v>0.005</v>
      </c>
      <c r="N416" s="27" t="n">
        <v>0.002</v>
      </c>
      <c r="O416" s="26" t="n">
        <v>5</v>
      </c>
      <c r="P416" s="26" t="n">
        <v>5</v>
      </c>
      <c r="Q416" s="28" t="n">
        <v>100</v>
      </c>
      <c r="R416" s="26" t="n">
        <v>30</v>
      </c>
      <c r="S416" s="26" t="n">
        <v>0</v>
      </c>
      <c r="T416" s="28" t="n">
        <v>1</v>
      </c>
      <c r="U416" s="26" t="n">
        <v>0</v>
      </c>
      <c r="V416" s="26" t="n">
        <v>0</v>
      </c>
      <c r="W416" s="22" t="s">
        <v>16</v>
      </c>
      <c r="X416" s="22" t="s">
        <v>373</v>
      </c>
    </row>
    <row r="417" customFormat="false" ht="15" hidden="false" customHeight="false" outlineLevel="0" collapsed="false">
      <c r="A417" s="22" t="s">
        <v>1927</v>
      </c>
      <c r="B417" s="22" t="s">
        <v>16</v>
      </c>
      <c r="C417" s="22" t="s">
        <v>1928</v>
      </c>
      <c r="D417" s="22" t="s">
        <v>1929</v>
      </c>
      <c r="E417" s="22" t="s">
        <v>1930</v>
      </c>
      <c r="F417" s="22" t="n">
        <v>9</v>
      </c>
      <c r="G417" s="26" t="n">
        <v>66.1</v>
      </c>
      <c r="H417" s="26" t="n">
        <v>77.62</v>
      </c>
      <c r="I417" s="26" t="n">
        <v>89.14</v>
      </c>
      <c r="J417" s="26" t="n">
        <v>100.65</v>
      </c>
      <c r="K417" s="26" t="n">
        <v>112.17</v>
      </c>
      <c r="L417" s="26" t="n">
        <v>1.98</v>
      </c>
      <c r="M417" s="27" t="n">
        <v>0.005</v>
      </c>
      <c r="N417" s="27" t="n">
        <v>0.002</v>
      </c>
      <c r="O417" s="26" t="n">
        <v>5</v>
      </c>
      <c r="P417" s="26" t="n">
        <v>5</v>
      </c>
      <c r="Q417" s="28" t="n">
        <v>100</v>
      </c>
      <c r="R417" s="26" t="n">
        <v>30</v>
      </c>
      <c r="S417" s="26" t="n">
        <v>0</v>
      </c>
      <c r="T417" s="28" t="n">
        <v>1</v>
      </c>
      <c r="U417" s="26" t="n">
        <v>0</v>
      </c>
      <c r="V417" s="26" t="n">
        <v>0</v>
      </c>
      <c r="W417" s="22" t="s">
        <v>16</v>
      </c>
      <c r="X417" s="22" t="s">
        <v>373</v>
      </c>
    </row>
    <row r="418" customFormat="false" ht="15" hidden="false" customHeight="false" outlineLevel="0" collapsed="false">
      <c r="A418" s="22" t="s">
        <v>1931</v>
      </c>
      <c r="B418" s="22" t="s">
        <v>16</v>
      </c>
      <c r="C418" s="22" t="s">
        <v>1932</v>
      </c>
      <c r="D418" s="22" t="s">
        <v>1933</v>
      </c>
      <c r="E418" s="22" t="s">
        <v>1934</v>
      </c>
      <c r="F418" s="22" t="n">
        <v>9</v>
      </c>
      <c r="G418" s="26" t="n">
        <v>66.1</v>
      </c>
      <c r="H418" s="26" t="n">
        <v>77.62</v>
      </c>
      <c r="I418" s="26" t="n">
        <v>89.14</v>
      </c>
      <c r="J418" s="26" t="n">
        <v>100.65</v>
      </c>
      <c r="K418" s="26" t="n">
        <v>112.17</v>
      </c>
      <c r="L418" s="26" t="n">
        <v>1.98</v>
      </c>
      <c r="M418" s="27" t="n">
        <v>0.005</v>
      </c>
      <c r="N418" s="27" t="n">
        <v>0.002</v>
      </c>
      <c r="O418" s="26" t="n">
        <v>5</v>
      </c>
      <c r="P418" s="26" t="n">
        <v>5</v>
      </c>
      <c r="Q418" s="28" t="n">
        <v>100</v>
      </c>
      <c r="R418" s="26" t="n">
        <v>30</v>
      </c>
      <c r="S418" s="26" t="n">
        <v>0</v>
      </c>
      <c r="T418" s="28" t="n">
        <v>1</v>
      </c>
      <c r="U418" s="26" t="n">
        <v>0</v>
      </c>
      <c r="V418" s="26" t="n">
        <v>250</v>
      </c>
      <c r="W418" s="22" t="s">
        <v>16</v>
      </c>
      <c r="X418" s="22" t="s">
        <v>373</v>
      </c>
    </row>
    <row r="419" customFormat="false" ht="15" hidden="false" customHeight="false" outlineLevel="0" collapsed="false">
      <c r="A419" s="22" t="s">
        <v>1935</v>
      </c>
      <c r="B419" s="22" t="s">
        <v>16</v>
      </c>
      <c r="C419" s="22" t="s">
        <v>1936</v>
      </c>
      <c r="D419" s="22" t="s">
        <v>1937</v>
      </c>
      <c r="E419" s="22" t="s">
        <v>1938</v>
      </c>
      <c r="F419" s="22" t="n">
        <v>11</v>
      </c>
      <c r="G419" s="26" t="n">
        <v>66.1</v>
      </c>
      <c r="H419" s="26" t="n">
        <v>77.62</v>
      </c>
      <c r="I419" s="26" t="n">
        <v>89.14</v>
      </c>
      <c r="J419" s="26" t="n">
        <v>100.65</v>
      </c>
      <c r="K419" s="26" t="n">
        <v>112.17</v>
      </c>
      <c r="L419" s="26" t="n">
        <v>1.98</v>
      </c>
      <c r="M419" s="27" t="n">
        <v>0.005</v>
      </c>
      <c r="N419" s="27" t="n">
        <v>0.002</v>
      </c>
      <c r="O419" s="26" t="n">
        <v>5</v>
      </c>
      <c r="P419" s="26" t="n">
        <v>5</v>
      </c>
      <c r="Q419" s="28" t="n">
        <v>100</v>
      </c>
      <c r="R419" s="26" t="n">
        <v>30</v>
      </c>
      <c r="S419" s="26" t="n">
        <v>0</v>
      </c>
      <c r="T419" s="28" t="n">
        <v>1</v>
      </c>
      <c r="U419" s="26" t="n">
        <v>0</v>
      </c>
      <c r="V419" s="26" t="n">
        <v>0</v>
      </c>
      <c r="W419" s="22" t="s">
        <v>16</v>
      </c>
      <c r="X419" s="22" t="s">
        <v>373</v>
      </c>
    </row>
    <row r="420" customFormat="false" ht="15" hidden="false" customHeight="false" outlineLevel="0" collapsed="false">
      <c r="A420" s="22" t="s">
        <v>1939</v>
      </c>
      <c r="B420" s="22" t="s">
        <v>16</v>
      </c>
      <c r="C420" s="22" t="s">
        <v>1940</v>
      </c>
      <c r="D420" s="22" t="s">
        <v>1941</v>
      </c>
      <c r="E420" s="22" t="s">
        <v>1942</v>
      </c>
      <c r="F420" s="22" t="n">
        <v>11</v>
      </c>
      <c r="G420" s="26" t="n">
        <v>66.1</v>
      </c>
      <c r="H420" s="26" t="n">
        <v>77.62</v>
      </c>
      <c r="I420" s="26" t="n">
        <v>89.14</v>
      </c>
      <c r="J420" s="26" t="n">
        <v>100.65</v>
      </c>
      <c r="K420" s="26" t="n">
        <v>112.17</v>
      </c>
      <c r="L420" s="26" t="n">
        <v>1.98</v>
      </c>
      <c r="M420" s="27" t="n">
        <v>0.005</v>
      </c>
      <c r="N420" s="27" t="n">
        <v>0.002</v>
      </c>
      <c r="O420" s="26" t="n">
        <v>5</v>
      </c>
      <c r="P420" s="26" t="n">
        <v>5</v>
      </c>
      <c r="Q420" s="28" t="n">
        <v>100</v>
      </c>
      <c r="R420" s="26" t="n">
        <v>30</v>
      </c>
      <c r="S420" s="26" t="n">
        <v>0</v>
      </c>
      <c r="T420" s="28" t="n">
        <v>1</v>
      </c>
      <c r="U420" s="26" t="n">
        <v>0</v>
      </c>
      <c r="V420" s="26" t="n">
        <v>250</v>
      </c>
      <c r="W420" s="22" t="s">
        <v>16</v>
      </c>
      <c r="X420" s="22" t="s">
        <v>373</v>
      </c>
    </row>
    <row r="421" customFormat="false" ht="15" hidden="false" customHeight="false" outlineLevel="0" collapsed="false">
      <c r="A421" s="22" t="s">
        <v>1943</v>
      </c>
      <c r="B421" s="22" t="s">
        <v>16</v>
      </c>
      <c r="C421" s="22" t="s">
        <v>1944</v>
      </c>
      <c r="D421" s="22" t="s">
        <v>1945</v>
      </c>
      <c r="E421" s="22" t="s">
        <v>1946</v>
      </c>
      <c r="F421" s="22" t="n">
        <v>11</v>
      </c>
      <c r="G421" s="26" t="n">
        <v>66.1</v>
      </c>
      <c r="H421" s="26" t="n">
        <v>77.62</v>
      </c>
      <c r="I421" s="26" t="n">
        <v>89.14</v>
      </c>
      <c r="J421" s="26" t="n">
        <v>100.65</v>
      </c>
      <c r="K421" s="26" t="n">
        <v>112.17</v>
      </c>
      <c r="L421" s="26" t="n">
        <v>1.98</v>
      </c>
      <c r="M421" s="27" t="n">
        <v>0.005</v>
      </c>
      <c r="N421" s="27" t="n">
        <v>0.002</v>
      </c>
      <c r="O421" s="26" t="n">
        <v>5</v>
      </c>
      <c r="P421" s="26" t="n">
        <v>5</v>
      </c>
      <c r="Q421" s="28" t="n">
        <v>100</v>
      </c>
      <c r="R421" s="26" t="n">
        <v>30</v>
      </c>
      <c r="S421" s="26" t="n">
        <v>0</v>
      </c>
      <c r="T421" s="28" t="n">
        <v>1</v>
      </c>
      <c r="U421" s="26" t="n">
        <v>0</v>
      </c>
      <c r="V421" s="26" t="n">
        <v>250</v>
      </c>
      <c r="W421" s="22" t="s">
        <v>16</v>
      </c>
      <c r="X421" s="22" t="s">
        <v>373</v>
      </c>
    </row>
    <row r="422" customFormat="false" ht="15" hidden="false" customHeight="false" outlineLevel="0" collapsed="false">
      <c r="A422" s="22" t="s">
        <v>1947</v>
      </c>
      <c r="B422" s="22" t="s">
        <v>16</v>
      </c>
      <c r="C422" s="22" t="s">
        <v>1948</v>
      </c>
      <c r="D422" s="22" t="s">
        <v>1949</v>
      </c>
      <c r="E422" s="22" t="s">
        <v>1950</v>
      </c>
      <c r="F422" s="22" t="n">
        <v>11</v>
      </c>
      <c r="G422" s="26" t="n">
        <v>66.1</v>
      </c>
      <c r="H422" s="26" t="n">
        <v>77.62</v>
      </c>
      <c r="I422" s="26" t="n">
        <v>89.14</v>
      </c>
      <c r="J422" s="26" t="n">
        <v>100.65</v>
      </c>
      <c r="K422" s="26" t="n">
        <v>112.17</v>
      </c>
      <c r="L422" s="26" t="n">
        <v>1.98</v>
      </c>
      <c r="M422" s="27" t="n">
        <v>0.005</v>
      </c>
      <c r="N422" s="27" t="n">
        <v>0.002</v>
      </c>
      <c r="O422" s="26" t="n">
        <v>5</v>
      </c>
      <c r="P422" s="26" t="n">
        <v>5</v>
      </c>
      <c r="Q422" s="28" t="n">
        <v>100</v>
      </c>
      <c r="R422" s="26" t="n">
        <v>30</v>
      </c>
      <c r="S422" s="26" t="n">
        <v>0</v>
      </c>
      <c r="T422" s="28" t="n">
        <v>1</v>
      </c>
      <c r="U422" s="26" t="n">
        <v>0</v>
      </c>
      <c r="V422" s="26" t="n">
        <v>250</v>
      </c>
      <c r="W422" s="22" t="s">
        <v>16</v>
      </c>
      <c r="X422" s="22" t="s">
        <v>373</v>
      </c>
    </row>
    <row r="423" customFormat="false" ht="15" hidden="false" customHeight="false" outlineLevel="0" collapsed="false">
      <c r="A423" s="22" t="s">
        <v>1951</v>
      </c>
      <c r="B423" s="22" t="s">
        <v>16</v>
      </c>
      <c r="C423" s="22" t="s">
        <v>1952</v>
      </c>
      <c r="D423" s="22" t="s">
        <v>1953</v>
      </c>
      <c r="E423" s="22" t="s">
        <v>1954</v>
      </c>
      <c r="F423" s="22" t="n">
        <v>9</v>
      </c>
      <c r="G423" s="26" t="n">
        <v>66.1</v>
      </c>
      <c r="H423" s="26" t="n">
        <v>77.62</v>
      </c>
      <c r="I423" s="26" t="n">
        <v>89.14</v>
      </c>
      <c r="J423" s="26" t="n">
        <v>100.65</v>
      </c>
      <c r="K423" s="26" t="n">
        <v>112.17</v>
      </c>
      <c r="L423" s="26" t="n">
        <v>1.98</v>
      </c>
      <c r="M423" s="27" t="n">
        <v>0.005</v>
      </c>
      <c r="N423" s="27" t="n">
        <v>0.002</v>
      </c>
      <c r="O423" s="26" t="n">
        <v>5</v>
      </c>
      <c r="P423" s="26" t="n">
        <v>5</v>
      </c>
      <c r="Q423" s="28" t="n">
        <v>100</v>
      </c>
      <c r="R423" s="26" t="n">
        <v>30</v>
      </c>
      <c r="S423" s="26" t="n">
        <v>0</v>
      </c>
      <c r="T423" s="28" t="n">
        <v>1</v>
      </c>
      <c r="U423" s="26" t="n">
        <v>0</v>
      </c>
      <c r="V423" s="26" t="n">
        <v>0</v>
      </c>
      <c r="W423" s="22" t="s">
        <v>16</v>
      </c>
      <c r="X423" s="22" t="s">
        <v>373</v>
      </c>
    </row>
    <row r="424" customFormat="false" ht="15" hidden="false" customHeight="false" outlineLevel="0" collapsed="false">
      <c r="A424" s="22" t="s">
        <v>1955</v>
      </c>
      <c r="B424" s="22" t="s">
        <v>16</v>
      </c>
      <c r="C424" s="22" t="s">
        <v>1956</v>
      </c>
      <c r="D424" s="22" t="s">
        <v>1957</v>
      </c>
      <c r="E424" s="22" t="s">
        <v>1958</v>
      </c>
      <c r="F424" s="22" t="n">
        <v>11</v>
      </c>
      <c r="G424" s="26" t="n">
        <v>66.1</v>
      </c>
      <c r="H424" s="26" t="n">
        <v>77.62</v>
      </c>
      <c r="I424" s="26" t="n">
        <v>89.14</v>
      </c>
      <c r="J424" s="26" t="n">
        <v>100.65</v>
      </c>
      <c r="K424" s="26" t="n">
        <v>112.17</v>
      </c>
      <c r="L424" s="26" t="n">
        <v>1.98</v>
      </c>
      <c r="M424" s="27" t="n">
        <v>0.005</v>
      </c>
      <c r="N424" s="27" t="n">
        <v>0.002</v>
      </c>
      <c r="O424" s="26" t="n">
        <v>5</v>
      </c>
      <c r="P424" s="26" t="n">
        <v>5</v>
      </c>
      <c r="Q424" s="28" t="n">
        <v>100</v>
      </c>
      <c r="R424" s="26" t="n">
        <v>30</v>
      </c>
      <c r="S424" s="26" t="n">
        <v>0</v>
      </c>
      <c r="T424" s="28" t="n">
        <v>1</v>
      </c>
      <c r="U424" s="26" t="n">
        <v>0</v>
      </c>
      <c r="V424" s="26" t="n">
        <v>0</v>
      </c>
      <c r="W424" s="22" t="s">
        <v>16</v>
      </c>
      <c r="X424" s="22" t="s">
        <v>373</v>
      </c>
    </row>
    <row r="425" customFormat="false" ht="15" hidden="false" customHeight="false" outlineLevel="0" collapsed="false">
      <c r="A425" s="22" t="s">
        <v>1959</v>
      </c>
      <c r="B425" s="22" t="s">
        <v>16</v>
      </c>
      <c r="C425" s="22" t="s">
        <v>1960</v>
      </c>
      <c r="D425" s="22" t="s">
        <v>1961</v>
      </c>
      <c r="E425" s="22" t="s">
        <v>1962</v>
      </c>
      <c r="F425" s="22" t="n">
        <v>9</v>
      </c>
      <c r="G425" s="26" t="n">
        <v>66.1</v>
      </c>
      <c r="H425" s="26" t="n">
        <v>77.62</v>
      </c>
      <c r="I425" s="26" t="n">
        <v>89.14</v>
      </c>
      <c r="J425" s="26" t="n">
        <v>100.65</v>
      </c>
      <c r="K425" s="26" t="n">
        <v>112.17</v>
      </c>
      <c r="L425" s="26" t="n">
        <v>1.98</v>
      </c>
      <c r="M425" s="27" t="n">
        <v>0.005</v>
      </c>
      <c r="N425" s="27" t="n">
        <v>0.002</v>
      </c>
      <c r="O425" s="26" t="n">
        <v>5</v>
      </c>
      <c r="P425" s="26" t="n">
        <v>5</v>
      </c>
      <c r="Q425" s="28" t="n">
        <v>100</v>
      </c>
      <c r="R425" s="26" t="n">
        <v>30</v>
      </c>
      <c r="S425" s="26" t="n">
        <v>0</v>
      </c>
      <c r="T425" s="28" t="n">
        <v>1</v>
      </c>
      <c r="U425" s="26" t="n">
        <v>0</v>
      </c>
      <c r="V425" s="26" t="n">
        <v>0</v>
      </c>
      <c r="W425" s="22" t="s">
        <v>16</v>
      </c>
      <c r="X425" s="22" t="s">
        <v>373</v>
      </c>
    </row>
    <row r="426" customFormat="false" ht="15" hidden="false" customHeight="false" outlineLevel="0" collapsed="false">
      <c r="A426" s="22" t="s">
        <v>1963</v>
      </c>
      <c r="B426" s="22" t="s">
        <v>16</v>
      </c>
      <c r="C426" s="22" t="s">
        <v>1964</v>
      </c>
      <c r="D426" s="22" t="s">
        <v>1965</v>
      </c>
      <c r="E426" s="22" t="s">
        <v>1966</v>
      </c>
      <c r="F426" s="22" t="n">
        <v>11</v>
      </c>
      <c r="G426" s="26" t="n">
        <v>66.1</v>
      </c>
      <c r="H426" s="26" t="n">
        <v>77.62</v>
      </c>
      <c r="I426" s="26" t="n">
        <v>89.14</v>
      </c>
      <c r="J426" s="26" t="n">
        <v>100.65</v>
      </c>
      <c r="K426" s="26" t="n">
        <v>112.17</v>
      </c>
      <c r="L426" s="26" t="n">
        <v>1.98</v>
      </c>
      <c r="M426" s="27" t="n">
        <v>0.005</v>
      </c>
      <c r="N426" s="27" t="n">
        <v>0.002</v>
      </c>
      <c r="O426" s="26" t="n">
        <v>5</v>
      </c>
      <c r="P426" s="26" t="n">
        <v>5</v>
      </c>
      <c r="Q426" s="28" t="n">
        <v>100</v>
      </c>
      <c r="R426" s="26" t="n">
        <v>30</v>
      </c>
      <c r="S426" s="26" t="n">
        <v>0</v>
      </c>
      <c r="T426" s="28" t="n">
        <v>1</v>
      </c>
      <c r="U426" s="26" t="n">
        <v>0</v>
      </c>
      <c r="V426" s="26" t="n">
        <v>0</v>
      </c>
      <c r="W426" s="22" t="s">
        <v>16</v>
      </c>
      <c r="X426" s="22" t="s">
        <v>373</v>
      </c>
    </row>
    <row r="427" customFormat="false" ht="15" hidden="false" customHeight="false" outlineLevel="0" collapsed="false">
      <c r="A427" s="22" t="s">
        <v>1967</v>
      </c>
      <c r="B427" s="22" t="s">
        <v>16</v>
      </c>
      <c r="C427" s="22" t="s">
        <v>1968</v>
      </c>
      <c r="D427" s="22" t="s">
        <v>1969</v>
      </c>
      <c r="E427" s="22" t="s">
        <v>1970</v>
      </c>
      <c r="F427" s="22" t="n">
        <v>11</v>
      </c>
      <c r="G427" s="26" t="n">
        <v>66.1</v>
      </c>
      <c r="H427" s="26" t="n">
        <v>77.62</v>
      </c>
      <c r="I427" s="26" t="n">
        <v>89.14</v>
      </c>
      <c r="J427" s="26" t="n">
        <v>100.65</v>
      </c>
      <c r="K427" s="26" t="n">
        <v>112.17</v>
      </c>
      <c r="L427" s="26" t="n">
        <v>1.98</v>
      </c>
      <c r="M427" s="27" t="n">
        <v>0.005</v>
      </c>
      <c r="N427" s="27" t="n">
        <v>0.002</v>
      </c>
      <c r="O427" s="26" t="n">
        <v>5</v>
      </c>
      <c r="P427" s="26" t="n">
        <v>5</v>
      </c>
      <c r="Q427" s="28" t="n">
        <v>100</v>
      </c>
      <c r="R427" s="26" t="n">
        <v>30</v>
      </c>
      <c r="S427" s="26" t="n">
        <v>0</v>
      </c>
      <c r="T427" s="28" t="n">
        <v>1</v>
      </c>
      <c r="U427" s="26" t="n">
        <v>0</v>
      </c>
      <c r="V427" s="26" t="n">
        <v>250</v>
      </c>
      <c r="W427" s="22" t="s">
        <v>16</v>
      </c>
      <c r="X427" s="22" t="s">
        <v>373</v>
      </c>
    </row>
    <row r="428" customFormat="false" ht="15" hidden="false" customHeight="false" outlineLevel="0" collapsed="false">
      <c r="A428" s="22" t="s">
        <v>1971</v>
      </c>
      <c r="B428" s="22" t="s">
        <v>16</v>
      </c>
      <c r="C428" s="22" t="s">
        <v>1972</v>
      </c>
      <c r="D428" s="22" t="s">
        <v>1973</v>
      </c>
      <c r="E428" s="22" t="s">
        <v>1974</v>
      </c>
      <c r="F428" s="22" t="n">
        <v>11</v>
      </c>
      <c r="G428" s="26" t="n">
        <v>66.1</v>
      </c>
      <c r="H428" s="26" t="n">
        <v>77.62</v>
      </c>
      <c r="I428" s="26" t="n">
        <v>89.14</v>
      </c>
      <c r="J428" s="26" t="n">
        <v>100.65</v>
      </c>
      <c r="K428" s="26" t="n">
        <v>112.17</v>
      </c>
      <c r="L428" s="26" t="n">
        <v>1.98</v>
      </c>
      <c r="M428" s="27" t="n">
        <v>0.005</v>
      </c>
      <c r="N428" s="27" t="n">
        <v>0.002</v>
      </c>
      <c r="O428" s="26" t="n">
        <v>5</v>
      </c>
      <c r="P428" s="26" t="n">
        <v>5</v>
      </c>
      <c r="Q428" s="28" t="n">
        <v>100</v>
      </c>
      <c r="R428" s="26" t="n">
        <v>30</v>
      </c>
      <c r="S428" s="26" t="n">
        <v>0</v>
      </c>
      <c r="T428" s="28" t="n">
        <v>1</v>
      </c>
      <c r="U428" s="26" t="n">
        <v>0</v>
      </c>
      <c r="V428" s="26" t="n">
        <v>0</v>
      </c>
      <c r="W428" s="22" t="s">
        <v>16</v>
      </c>
      <c r="X428" s="22" t="s">
        <v>373</v>
      </c>
    </row>
    <row r="429" customFormat="false" ht="15" hidden="false" customHeight="false" outlineLevel="0" collapsed="false">
      <c r="A429" s="22" t="s">
        <v>1975</v>
      </c>
      <c r="B429" s="22" t="s">
        <v>16</v>
      </c>
      <c r="C429" s="22" t="s">
        <v>1976</v>
      </c>
      <c r="D429" s="22" t="s">
        <v>1977</v>
      </c>
      <c r="E429" s="22" t="s">
        <v>1978</v>
      </c>
      <c r="F429" s="22" t="n">
        <v>9</v>
      </c>
      <c r="G429" s="26" t="n">
        <v>66.1</v>
      </c>
      <c r="H429" s="26" t="n">
        <v>77.62</v>
      </c>
      <c r="I429" s="26" t="n">
        <v>89.14</v>
      </c>
      <c r="J429" s="26" t="n">
        <v>100.65</v>
      </c>
      <c r="K429" s="26" t="n">
        <v>112.17</v>
      </c>
      <c r="L429" s="26" t="n">
        <v>1.98</v>
      </c>
      <c r="M429" s="27" t="n">
        <v>0.005</v>
      </c>
      <c r="N429" s="27" t="n">
        <v>0.002</v>
      </c>
      <c r="O429" s="26" t="n">
        <v>5</v>
      </c>
      <c r="P429" s="26" t="n">
        <v>5</v>
      </c>
      <c r="Q429" s="28" t="n">
        <v>100</v>
      </c>
      <c r="R429" s="26" t="n">
        <v>30</v>
      </c>
      <c r="S429" s="26" t="n">
        <v>0</v>
      </c>
      <c r="T429" s="28" t="n">
        <v>1</v>
      </c>
      <c r="U429" s="26" t="n">
        <v>0</v>
      </c>
      <c r="V429" s="26" t="n">
        <v>0</v>
      </c>
      <c r="W429" s="22" t="s">
        <v>16</v>
      </c>
      <c r="X429" s="22" t="s">
        <v>373</v>
      </c>
    </row>
    <row r="430" customFormat="false" ht="15" hidden="false" customHeight="false" outlineLevel="0" collapsed="false">
      <c r="A430" s="22" t="s">
        <v>1979</v>
      </c>
      <c r="B430" s="22" t="s">
        <v>16</v>
      </c>
      <c r="C430" s="22" t="s">
        <v>1980</v>
      </c>
      <c r="D430" s="22" t="s">
        <v>1981</v>
      </c>
      <c r="E430" s="22" t="s">
        <v>1982</v>
      </c>
      <c r="F430" s="22" t="n">
        <v>9</v>
      </c>
      <c r="G430" s="26" t="n">
        <v>66.1</v>
      </c>
      <c r="H430" s="26" t="n">
        <v>77.62</v>
      </c>
      <c r="I430" s="26" t="n">
        <v>89.14</v>
      </c>
      <c r="J430" s="26" t="n">
        <v>100.65</v>
      </c>
      <c r="K430" s="26" t="n">
        <v>112.17</v>
      </c>
      <c r="L430" s="26" t="n">
        <v>1.98</v>
      </c>
      <c r="M430" s="27" t="n">
        <v>0.005</v>
      </c>
      <c r="N430" s="27" t="n">
        <v>0.002</v>
      </c>
      <c r="O430" s="26" t="n">
        <v>5</v>
      </c>
      <c r="P430" s="26" t="n">
        <v>5</v>
      </c>
      <c r="Q430" s="28" t="n">
        <v>100</v>
      </c>
      <c r="R430" s="26" t="n">
        <v>30</v>
      </c>
      <c r="S430" s="26" t="n">
        <v>0</v>
      </c>
      <c r="T430" s="28" t="n">
        <v>1</v>
      </c>
      <c r="U430" s="26" t="n">
        <v>0</v>
      </c>
      <c r="V430" s="26" t="n">
        <v>0</v>
      </c>
      <c r="W430" s="22" t="s">
        <v>16</v>
      </c>
      <c r="X430" s="22" t="s">
        <v>373</v>
      </c>
    </row>
    <row r="431" customFormat="false" ht="15" hidden="false" customHeight="false" outlineLevel="0" collapsed="false">
      <c r="A431" s="22" t="s">
        <v>1983</v>
      </c>
      <c r="B431" s="22" t="s">
        <v>16</v>
      </c>
      <c r="C431" s="22" t="s">
        <v>1984</v>
      </c>
      <c r="D431" s="22" t="s">
        <v>1985</v>
      </c>
      <c r="E431" s="22" t="s">
        <v>1986</v>
      </c>
      <c r="F431" s="22" t="n">
        <v>9</v>
      </c>
      <c r="G431" s="26" t="n">
        <v>66.1</v>
      </c>
      <c r="H431" s="26" t="n">
        <v>77.62</v>
      </c>
      <c r="I431" s="26" t="n">
        <v>89.14</v>
      </c>
      <c r="J431" s="26" t="n">
        <v>100.65</v>
      </c>
      <c r="K431" s="26" t="n">
        <v>112.17</v>
      </c>
      <c r="L431" s="26" t="n">
        <v>1.98</v>
      </c>
      <c r="M431" s="27" t="n">
        <v>0.005</v>
      </c>
      <c r="N431" s="27" t="n">
        <v>0.002</v>
      </c>
      <c r="O431" s="26" t="n">
        <v>5</v>
      </c>
      <c r="P431" s="26" t="n">
        <v>5</v>
      </c>
      <c r="Q431" s="28" t="n">
        <v>100</v>
      </c>
      <c r="R431" s="26" t="n">
        <v>30</v>
      </c>
      <c r="S431" s="26" t="n">
        <v>0</v>
      </c>
      <c r="T431" s="28" t="n">
        <v>1</v>
      </c>
      <c r="U431" s="26" t="n">
        <v>0</v>
      </c>
      <c r="V431" s="26" t="n">
        <v>0</v>
      </c>
      <c r="W431" s="22" t="s">
        <v>16</v>
      </c>
      <c r="X431" s="22" t="s">
        <v>373</v>
      </c>
    </row>
    <row r="432" customFormat="false" ht="15" hidden="false" customHeight="false" outlineLevel="0" collapsed="false">
      <c r="A432" s="22" t="s">
        <v>1987</v>
      </c>
      <c r="B432" s="22" t="s">
        <v>16</v>
      </c>
      <c r="C432" s="22" t="s">
        <v>1988</v>
      </c>
      <c r="D432" s="22" t="s">
        <v>1989</v>
      </c>
      <c r="E432" s="22" t="s">
        <v>1990</v>
      </c>
      <c r="F432" s="22" t="n">
        <v>9</v>
      </c>
      <c r="G432" s="26" t="n">
        <v>66.1</v>
      </c>
      <c r="H432" s="26" t="n">
        <v>77.62</v>
      </c>
      <c r="I432" s="26" t="n">
        <v>89.14</v>
      </c>
      <c r="J432" s="26" t="n">
        <v>100.65</v>
      </c>
      <c r="K432" s="26" t="n">
        <v>112.17</v>
      </c>
      <c r="L432" s="26" t="n">
        <v>1.98</v>
      </c>
      <c r="M432" s="27" t="n">
        <v>0.005</v>
      </c>
      <c r="N432" s="27" t="n">
        <v>0.002</v>
      </c>
      <c r="O432" s="26" t="n">
        <v>5</v>
      </c>
      <c r="P432" s="26" t="n">
        <v>5</v>
      </c>
      <c r="Q432" s="28" t="n">
        <v>100</v>
      </c>
      <c r="R432" s="26" t="n">
        <v>30</v>
      </c>
      <c r="S432" s="26" t="n">
        <v>0</v>
      </c>
      <c r="T432" s="28" t="n">
        <v>1</v>
      </c>
      <c r="U432" s="26" t="n">
        <v>0</v>
      </c>
      <c r="V432" s="26" t="n">
        <v>0</v>
      </c>
      <c r="W432" s="22" t="s">
        <v>16</v>
      </c>
      <c r="X432" s="22" t="s">
        <v>373</v>
      </c>
    </row>
    <row r="433" customFormat="false" ht="15" hidden="false" customHeight="false" outlineLevel="0" collapsed="false">
      <c r="A433" s="22" t="s">
        <v>1991</v>
      </c>
      <c r="B433" s="22" t="s">
        <v>16</v>
      </c>
      <c r="C433" s="22" t="s">
        <v>1992</v>
      </c>
      <c r="D433" s="22" t="s">
        <v>1993</v>
      </c>
      <c r="E433" s="22" t="s">
        <v>1994</v>
      </c>
      <c r="F433" s="22" t="n">
        <v>9</v>
      </c>
      <c r="G433" s="26" t="n">
        <v>66.1</v>
      </c>
      <c r="H433" s="26" t="n">
        <v>77.62</v>
      </c>
      <c r="I433" s="26" t="n">
        <v>89.14</v>
      </c>
      <c r="J433" s="26" t="n">
        <v>100.65</v>
      </c>
      <c r="K433" s="26" t="n">
        <v>112.17</v>
      </c>
      <c r="L433" s="26" t="n">
        <v>1.98</v>
      </c>
      <c r="M433" s="27" t="n">
        <v>0.005</v>
      </c>
      <c r="N433" s="27" t="n">
        <v>0.002</v>
      </c>
      <c r="O433" s="26" t="n">
        <v>5</v>
      </c>
      <c r="P433" s="26" t="n">
        <v>5</v>
      </c>
      <c r="Q433" s="28" t="n">
        <v>100</v>
      </c>
      <c r="R433" s="26" t="n">
        <v>30</v>
      </c>
      <c r="S433" s="26" t="n">
        <v>0</v>
      </c>
      <c r="T433" s="28" t="n">
        <v>1</v>
      </c>
      <c r="U433" s="26" t="n">
        <v>0</v>
      </c>
      <c r="V433" s="26" t="n">
        <v>0</v>
      </c>
      <c r="W433" s="22" t="s">
        <v>16</v>
      </c>
      <c r="X433" s="22" t="s">
        <v>373</v>
      </c>
    </row>
    <row r="434" customFormat="false" ht="15" hidden="false" customHeight="false" outlineLevel="0" collapsed="false">
      <c r="A434" s="22" t="s">
        <v>1995</v>
      </c>
      <c r="B434" s="22" t="s">
        <v>16</v>
      </c>
      <c r="C434" s="22" t="s">
        <v>1996</v>
      </c>
      <c r="D434" s="22" t="s">
        <v>1997</v>
      </c>
      <c r="E434" s="22" t="s">
        <v>1998</v>
      </c>
      <c r="F434" s="22" t="n">
        <v>11</v>
      </c>
      <c r="G434" s="26" t="n">
        <v>66.1</v>
      </c>
      <c r="H434" s="26" t="n">
        <v>77.62</v>
      </c>
      <c r="I434" s="26" t="n">
        <v>89.14</v>
      </c>
      <c r="J434" s="26" t="n">
        <v>100.65</v>
      </c>
      <c r="K434" s="26" t="n">
        <v>112.17</v>
      </c>
      <c r="L434" s="26" t="n">
        <v>1.98</v>
      </c>
      <c r="M434" s="27" t="n">
        <v>0.005</v>
      </c>
      <c r="N434" s="27" t="n">
        <v>0.002</v>
      </c>
      <c r="O434" s="26" t="n">
        <v>5</v>
      </c>
      <c r="P434" s="26" t="n">
        <v>5</v>
      </c>
      <c r="Q434" s="28" t="n">
        <v>100</v>
      </c>
      <c r="R434" s="26" t="n">
        <v>30</v>
      </c>
      <c r="S434" s="26" t="n">
        <v>0</v>
      </c>
      <c r="T434" s="28" t="n">
        <v>1</v>
      </c>
      <c r="U434" s="26" t="n">
        <v>0</v>
      </c>
      <c r="V434" s="26" t="n">
        <v>250</v>
      </c>
      <c r="W434" s="22" t="s">
        <v>16</v>
      </c>
      <c r="X434" s="22" t="s">
        <v>373</v>
      </c>
    </row>
    <row r="435" customFormat="false" ht="15" hidden="false" customHeight="false" outlineLevel="0" collapsed="false">
      <c r="A435" s="22" t="s">
        <v>1999</v>
      </c>
      <c r="B435" s="22" t="s">
        <v>16</v>
      </c>
      <c r="C435" s="22" t="s">
        <v>2000</v>
      </c>
      <c r="D435" s="22" t="s">
        <v>2001</v>
      </c>
      <c r="E435" s="22" t="s">
        <v>2002</v>
      </c>
      <c r="F435" s="22" t="n">
        <v>9</v>
      </c>
      <c r="G435" s="26" t="n">
        <v>66.1</v>
      </c>
      <c r="H435" s="26" t="n">
        <v>77.62</v>
      </c>
      <c r="I435" s="26" t="n">
        <v>89.14</v>
      </c>
      <c r="J435" s="26" t="n">
        <v>100.65</v>
      </c>
      <c r="K435" s="26" t="n">
        <v>112.17</v>
      </c>
      <c r="L435" s="26" t="n">
        <v>1.98</v>
      </c>
      <c r="M435" s="27" t="n">
        <v>0.005</v>
      </c>
      <c r="N435" s="27" t="n">
        <v>0.002</v>
      </c>
      <c r="O435" s="26" t="n">
        <v>5</v>
      </c>
      <c r="P435" s="26" t="n">
        <v>5</v>
      </c>
      <c r="Q435" s="28" t="n">
        <v>100</v>
      </c>
      <c r="R435" s="26" t="n">
        <v>30</v>
      </c>
      <c r="S435" s="26" t="n">
        <v>0</v>
      </c>
      <c r="T435" s="28" t="n">
        <v>1</v>
      </c>
      <c r="U435" s="26" t="n">
        <v>0</v>
      </c>
      <c r="V435" s="26" t="n">
        <v>0</v>
      </c>
      <c r="W435" s="22" t="s">
        <v>16</v>
      </c>
      <c r="X435" s="22" t="s">
        <v>373</v>
      </c>
    </row>
    <row r="436" customFormat="false" ht="15" hidden="false" customHeight="false" outlineLevel="0" collapsed="false">
      <c r="A436" s="22" t="s">
        <v>2003</v>
      </c>
      <c r="B436" s="22" t="s">
        <v>16</v>
      </c>
      <c r="C436" s="22" t="s">
        <v>2004</v>
      </c>
      <c r="D436" s="22" t="s">
        <v>2005</v>
      </c>
      <c r="E436" s="22" t="s">
        <v>2006</v>
      </c>
      <c r="F436" s="22" t="n">
        <v>9</v>
      </c>
      <c r="G436" s="26" t="n">
        <v>66.1</v>
      </c>
      <c r="H436" s="26" t="n">
        <v>77.62</v>
      </c>
      <c r="I436" s="26" t="n">
        <v>89.14</v>
      </c>
      <c r="J436" s="26" t="n">
        <v>100.65</v>
      </c>
      <c r="K436" s="26" t="n">
        <v>112.17</v>
      </c>
      <c r="L436" s="26" t="n">
        <v>1.98</v>
      </c>
      <c r="M436" s="27" t="n">
        <v>0.005</v>
      </c>
      <c r="N436" s="27" t="n">
        <v>0.002</v>
      </c>
      <c r="O436" s="26" t="n">
        <v>5</v>
      </c>
      <c r="P436" s="26" t="n">
        <v>5</v>
      </c>
      <c r="Q436" s="28" t="n">
        <v>100</v>
      </c>
      <c r="R436" s="26" t="n">
        <v>30</v>
      </c>
      <c r="S436" s="26" t="n">
        <v>0</v>
      </c>
      <c r="T436" s="28" t="n">
        <v>1</v>
      </c>
      <c r="U436" s="26" t="n">
        <v>0</v>
      </c>
      <c r="V436" s="26" t="n">
        <v>0</v>
      </c>
      <c r="W436" s="22" t="s">
        <v>16</v>
      </c>
      <c r="X436" s="22" t="s">
        <v>373</v>
      </c>
    </row>
    <row r="437" customFormat="false" ht="15" hidden="false" customHeight="false" outlineLevel="0" collapsed="false">
      <c r="A437" s="22" t="s">
        <v>2007</v>
      </c>
      <c r="B437" s="22" t="s">
        <v>16</v>
      </c>
      <c r="C437" s="22" t="s">
        <v>2008</v>
      </c>
      <c r="D437" s="22" t="s">
        <v>2009</v>
      </c>
      <c r="E437" s="22" t="s">
        <v>2010</v>
      </c>
      <c r="F437" s="22" t="n">
        <v>9</v>
      </c>
      <c r="G437" s="26" t="n">
        <v>66.1</v>
      </c>
      <c r="H437" s="26" t="n">
        <v>77.62</v>
      </c>
      <c r="I437" s="26" t="n">
        <v>89.14</v>
      </c>
      <c r="J437" s="26" t="n">
        <v>100.65</v>
      </c>
      <c r="K437" s="26" t="n">
        <v>112.17</v>
      </c>
      <c r="L437" s="26" t="n">
        <v>1.98</v>
      </c>
      <c r="M437" s="27" t="n">
        <v>0.005</v>
      </c>
      <c r="N437" s="27" t="n">
        <v>0.002</v>
      </c>
      <c r="O437" s="26" t="n">
        <v>5</v>
      </c>
      <c r="P437" s="26" t="n">
        <v>5</v>
      </c>
      <c r="Q437" s="28" t="n">
        <v>100</v>
      </c>
      <c r="R437" s="26" t="n">
        <v>30</v>
      </c>
      <c r="S437" s="26" t="n">
        <v>0</v>
      </c>
      <c r="T437" s="28" t="n">
        <v>1</v>
      </c>
      <c r="U437" s="26" t="n">
        <v>0</v>
      </c>
      <c r="V437" s="26" t="n">
        <v>250</v>
      </c>
      <c r="W437" s="22" t="s">
        <v>16</v>
      </c>
      <c r="X437" s="22" t="s">
        <v>373</v>
      </c>
    </row>
    <row r="438" customFormat="false" ht="15" hidden="false" customHeight="false" outlineLevel="0" collapsed="false">
      <c r="A438" s="22" t="s">
        <v>2011</v>
      </c>
      <c r="B438" s="22" t="s">
        <v>16</v>
      </c>
      <c r="C438" s="22" t="s">
        <v>2012</v>
      </c>
      <c r="D438" s="22" t="s">
        <v>2013</v>
      </c>
      <c r="E438" s="22" t="s">
        <v>2014</v>
      </c>
      <c r="F438" s="22" t="n">
        <v>11</v>
      </c>
      <c r="G438" s="26" t="n">
        <v>66.1</v>
      </c>
      <c r="H438" s="26" t="n">
        <v>77.62</v>
      </c>
      <c r="I438" s="26" t="n">
        <v>89.14</v>
      </c>
      <c r="J438" s="26" t="n">
        <v>100.65</v>
      </c>
      <c r="K438" s="26" t="n">
        <v>112.17</v>
      </c>
      <c r="L438" s="26" t="n">
        <v>1.98</v>
      </c>
      <c r="M438" s="27" t="n">
        <v>0.005</v>
      </c>
      <c r="N438" s="27" t="n">
        <v>0.002</v>
      </c>
      <c r="O438" s="26" t="n">
        <v>5</v>
      </c>
      <c r="P438" s="26" t="n">
        <v>5</v>
      </c>
      <c r="Q438" s="28" t="n">
        <v>100</v>
      </c>
      <c r="R438" s="26" t="n">
        <v>30</v>
      </c>
      <c r="S438" s="26" t="n">
        <v>0</v>
      </c>
      <c r="T438" s="28" t="n">
        <v>1</v>
      </c>
      <c r="U438" s="26" t="n">
        <v>0</v>
      </c>
      <c r="V438" s="26" t="n">
        <v>0</v>
      </c>
      <c r="W438" s="22" t="s">
        <v>16</v>
      </c>
      <c r="X438" s="22" t="s">
        <v>373</v>
      </c>
    </row>
    <row r="439" customFormat="false" ht="15" hidden="false" customHeight="false" outlineLevel="0" collapsed="false">
      <c r="A439" s="22" t="s">
        <v>2015</v>
      </c>
      <c r="B439" s="22" t="s">
        <v>16</v>
      </c>
      <c r="C439" s="22" t="s">
        <v>2016</v>
      </c>
      <c r="D439" s="22" t="s">
        <v>2017</v>
      </c>
      <c r="E439" s="22" t="s">
        <v>2018</v>
      </c>
      <c r="F439" s="22" t="n">
        <v>11</v>
      </c>
      <c r="G439" s="26" t="n">
        <v>66.1</v>
      </c>
      <c r="H439" s="26" t="n">
        <v>77.62</v>
      </c>
      <c r="I439" s="26" t="n">
        <v>89.14</v>
      </c>
      <c r="J439" s="26" t="n">
        <v>100.65</v>
      </c>
      <c r="K439" s="26" t="n">
        <v>112.17</v>
      </c>
      <c r="L439" s="26" t="n">
        <v>1.98</v>
      </c>
      <c r="M439" s="27" t="n">
        <v>0.005</v>
      </c>
      <c r="N439" s="27" t="n">
        <v>0.002</v>
      </c>
      <c r="O439" s="26" t="n">
        <v>5</v>
      </c>
      <c r="P439" s="26" t="n">
        <v>5</v>
      </c>
      <c r="Q439" s="28" t="n">
        <v>100</v>
      </c>
      <c r="R439" s="26" t="n">
        <v>30</v>
      </c>
      <c r="S439" s="26" t="n">
        <v>0</v>
      </c>
      <c r="T439" s="28" t="n">
        <v>1</v>
      </c>
      <c r="U439" s="26" t="n">
        <v>0</v>
      </c>
      <c r="V439" s="26" t="n">
        <v>0</v>
      </c>
      <c r="W439" s="22" t="s">
        <v>16</v>
      </c>
      <c r="X439" s="22" t="s">
        <v>373</v>
      </c>
    </row>
    <row r="440" customFormat="false" ht="15" hidden="false" customHeight="false" outlineLevel="0" collapsed="false">
      <c r="A440" s="22" t="s">
        <v>2019</v>
      </c>
      <c r="B440" s="22" t="s">
        <v>16</v>
      </c>
      <c r="C440" s="22" t="s">
        <v>2020</v>
      </c>
      <c r="D440" s="22" t="s">
        <v>2021</v>
      </c>
      <c r="E440" s="22" t="s">
        <v>2022</v>
      </c>
      <c r="F440" s="22" t="n">
        <v>9</v>
      </c>
      <c r="G440" s="26" t="n">
        <v>66.1</v>
      </c>
      <c r="H440" s="26" t="n">
        <v>77.62</v>
      </c>
      <c r="I440" s="26" t="n">
        <v>89.14</v>
      </c>
      <c r="J440" s="26" t="n">
        <v>100.65</v>
      </c>
      <c r="K440" s="26" t="n">
        <v>112.17</v>
      </c>
      <c r="L440" s="26" t="n">
        <v>1.98</v>
      </c>
      <c r="M440" s="27" t="n">
        <v>0.005</v>
      </c>
      <c r="N440" s="27" t="n">
        <v>0.002</v>
      </c>
      <c r="O440" s="26" t="n">
        <v>5</v>
      </c>
      <c r="P440" s="26" t="n">
        <v>5</v>
      </c>
      <c r="Q440" s="28" t="n">
        <v>100</v>
      </c>
      <c r="R440" s="26" t="n">
        <v>30</v>
      </c>
      <c r="S440" s="26" t="n">
        <v>0</v>
      </c>
      <c r="T440" s="28" t="n">
        <v>1</v>
      </c>
      <c r="U440" s="26" t="n">
        <v>0</v>
      </c>
      <c r="V440" s="26" t="n">
        <v>0</v>
      </c>
      <c r="W440" s="22" t="s">
        <v>16</v>
      </c>
      <c r="X440" s="22" t="s">
        <v>373</v>
      </c>
    </row>
    <row r="441" customFormat="false" ht="15" hidden="false" customHeight="false" outlineLevel="0" collapsed="false">
      <c r="A441" s="22" t="s">
        <v>2023</v>
      </c>
      <c r="B441" s="22" t="s">
        <v>16</v>
      </c>
      <c r="C441" s="22" t="s">
        <v>2024</v>
      </c>
      <c r="D441" s="22" t="s">
        <v>2025</v>
      </c>
      <c r="E441" s="22" t="s">
        <v>2026</v>
      </c>
      <c r="F441" s="22" t="n">
        <v>9</v>
      </c>
      <c r="G441" s="26" t="n">
        <v>66.1</v>
      </c>
      <c r="H441" s="26" t="n">
        <v>77.62</v>
      </c>
      <c r="I441" s="26" t="n">
        <v>89.14</v>
      </c>
      <c r="J441" s="26" t="n">
        <v>100.65</v>
      </c>
      <c r="K441" s="26" t="n">
        <v>112.17</v>
      </c>
      <c r="L441" s="26" t="n">
        <v>1.98</v>
      </c>
      <c r="M441" s="27" t="n">
        <v>0.005</v>
      </c>
      <c r="N441" s="27" t="n">
        <v>0.002</v>
      </c>
      <c r="O441" s="26" t="n">
        <v>5</v>
      </c>
      <c r="P441" s="26" t="n">
        <v>5</v>
      </c>
      <c r="Q441" s="28" t="n">
        <v>100</v>
      </c>
      <c r="R441" s="26" t="n">
        <v>30</v>
      </c>
      <c r="S441" s="26" t="n">
        <v>0</v>
      </c>
      <c r="T441" s="28" t="n">
        <v>1</v>
      </c>
      <c r="U441" s="26" t="n">
        <v>0</v>
      </c>
      <c r="V441" s="26" t="n">
        <v>0</v>
      </c>
      <c r="W441" s="22" t="s">
        <v>16</v>
      </c>
      <c r="X441" s="22" t="s">
        <v>373</v>
      </c>
    </row>
    <row r="442" customFormat="false" ht="15" hidden="false" customHeight="false" outlineLevel="0" collapsed="false">
      <c r="A442" s="22" t="s">
        <v>2027</v>
      </c>
      <c r="B442" s="22" t="s">
        <v>16</v>
      </c>
      <c r="C442" s="22" t="s">
        <v>2028</v>
      </c>
      <c r="D442" s="22" t="s">
        <v>2029</v>
      </c>
      <c r="E442" s="22" t="s">
        <v>2030</v>
      </c>
      <c r="F442" s="22" t="n">
        <v>11</v>
      </c>
      <c r="G442" s="26" t="n">
        <v>66.1</v>
      </c>
      <c r="H442" s="26" t="n">
        <v>77.62</v>
      </c>
      <c r="I442" s="26" t="n">
        <v>89.14</v>
      </c>
      <c r="J442" s="26" t="n">
        <v>100.65</v>
      </c>
      <c r="K442" s="26" t="n">
        <v>112.17</v>
      </c>
      <c r="L442" s="26" t="n">
        <v>1.98</v>
      </c>
      <c r="M442" s="27" t="n">
        <v>0.005</v>
      </c>
      <c r="N442" s="27" t="n">
        <v>0.002</v>
      </c>
      <c r="O442" s="26" t="n">
        <v>5</v>
      </c>
      <c r="P442" s="26" t="n">
        <v>5</v>
      </c>
      <c r="Q442" s="28" t="n">
        <v>100</v>
      </c>
      <c r="R442" s="26" t="n">
        <v>30</v>
      </c>
      <c r="S442" s="26" t="n">
        <v>0</v>
      </c>
      <c r="T442" s="28" t="n">
        <v>1</v>
      </c>
      <c r="U442" s="26" t="n">
        <v>0</v>
      </c>
      <c r="V442" s="26" t="n">
        <v>0</v>
      </c>
      <c r="W442" s="22" t="s">
        <v>16</v>
      </c>
      <c r="X442" s="22" t="s">
        <v>373</v>
      </c>
    </row>
    <row r="443" customFormat="false" ht="15" hidden="false" customHeight="false" outlineLevel="0" collapsed="false">
      <c r="A443" s="22" t="s">
        <v>2031</v>
      </c>
      <c r="B443" s="22" t="s">
        <v>16</v>
      </c>
      <c r="C443" s="22" t="s">
        <v>2032</v>
      </c>
      <c r="D443" s="22" t="s">
        <v>2033</v>
      </c>
      <c r="E443" s="22" t="s">
        <v>2034</v>
      </c>
      <c r="F443" s="22" t="n">
        <v>9</v>
      </c>
      <c r="G443" s="26" t="n">
        <v>66.1</v>
      </c>
      <c r="H443" s="26" t="n">
        <v>77.62</v>
      </c>
      <c r="I443" s="26" t="n">
        <v>89.14</v>
      </c>
      <c r="J443" s="26" t="n">
        <v>100.65</v>
      </c>
      <c r="K443" s="26" t="n">
        <v>112.17</v>
      </c>
      <c r="L443" s="26" t="n">
        <v>1.98</v>
      </c>
      <c r="M443" s="27" t="n">
        <v>0.005</v>
      </c>
      <c r="N443" s="27" t="n">
        <v>0.002</v>
      </c>
      <c r="O443" s="26" t="n">
        <v>5</v>
      </c>
      <c r="P443" s="26" t="n">
        <v>5</v>
      </c>
      <c r="Q443" s="28" t="n">
        <v>100</v>
      </c>
      <c r="R443" s="26" t="n">
        <v>30</v>
      </c>
      <c r="S443" s="26" t="n">
        <v>0</v>
      </c>
      <c r="T443" s="28" t="n">
        <v>1</v>
      </c>
      <c r="U443" s="26" t="n">
        <v>0</v>
      </c>
      <c r="V443" s="26" t="n">
        <v>0</v>
      </c>
      <c r="W443" s="22" t="s">
        <v>16</v>
      </c>
      <c r="X443" s="22" t="s">
        <v>373</v>
      </c>
    </row>
    <row r="444" customFormat="false" ht="15" hidden="false" customHeight="false" outlineLevel="0" collapsed="false">
      <c r="A444" s="22" t="s">
        <v>2035</v>
      </c>
      <c r="B444" s="22" t="s">
        <v>16</v>
      </c>
      <c r="C444" s="22" t="s">
        <v>2036</v>
      </c>
      <c r="D444" s="22" t="s">
        <v>2037</v>
      </c>
      <c r="E444" s="22" t="s">
        <v>2038</v>
      </c>
      <c r="F444" s="22" t="n">
        <v>11</v>
      </c>
      <c r="G444" s="26" t="n">
        <v>66.1</v>
      </c>
      <c r="H444" s="26" t="n">
        <v>77.62</v>
      </c>
      <c r="I444" s="26" t="n">
        <v>89.14</v>
      </c>
      <c r="J444" s="26" t="n">
        <v>100.65</v>
      </c>
      <c r="K444" s="26" t="n">
        <v>112.17</v>
      </c>
      <c r="L444" s="26" t="n">
        <v>1.98</v>
      </c>
      <c r="M444" s="27" t="n">
        <v>0.005</v>
      </c>
      <c r="N444" s="27" t="n">
        <v>0.002</v>
      </c>
      <c r="O444" s="26" t="n">
        <v>5</v>
      </c>
      <c r="P444" s="26" t="n">
        <v>5</v>
      </c>
      <c r="Q444" s="28" t="n">
        <v>100</v>
      </c>
      <c r="R444" s="26" t="n">
        <v>30</v>
      </c>
      <c r="S444" s="26" t="n">
        <v>0</v>
      </c>
      <c r="T444" s="28" t="n">
        <v>1</v>
      </c>
      <c r="U444" s="26" t="n">
        <v>0</v>
      </c>
      <c r="V444" s="26" t="n">
        <v>0</v>
      </c>
      <c r="W444" s="22" t="s">
        <v>16</v>
      </c>
      <c r="X444" s="22" t="s">
        <v>373</v>
      </c>
    </row>
    <row r="445" customFormat="false" ht="15" hidden="false" customHeight="false" outlineLevel="0" collapsed="false">
      <c r="A445" s="22" t="s">
        <v>2039</v>
      </c>
      <c r="B445" s="22" t="s">
        <v>16</v>
      </c>
      <c r="C445" s="22" t="s">
        <v>2040</v>
      </c>
      <c r="D445" s="22" t="s">
        <v>2041</v>
      </c>
      <c r="E445" s="22" t="s">
        <v>2042</v>
      </c>
      <c r="F445" s="22" t="n">
        <v>9</v>
      </c>
      <c r="G445" s="26" t="n">
        <v>66.1</v>
      </c>
      <c r="H445" s="26" t="n">
        <v>77.62</v>
      </c>
      <c r="I445" s="26" t="n">
        <v>89.14</v>
      </c>
      <c r="J445" s="26" t="n">
        <v>100.65</v>
      </c>
      <c r="K445" s="26" t="n">
        <v>112.17</v>
      </c>
      <c r="L445" s="26" t="n">
        <v>1.98</v>
      </c>
      <c r="M445" s="27" t="n">
        <v>0.005</v>
      </c>
      <c r="N445" s="27" t="n">
        <v>0.002</v>
      </c>
      <c r="O445" s="26" t="n">
        <v>5</v>
      </c>
      <c r="P445" s="26" t="n">
        <v>5</v>
      </c>
      <c r="Q445" s="28" t="n">
        <v>100</v>
      </c>
      <c r="R445" s="26" t="n">
        <v>30</v>
      </c>
      <c r="S445" s="26" t="n">
        <v>0</v>
      </c>
      <c r="T445" s="28" t="n">
        <v>1</v>
      </c>
      <c r="U445" s="26" t="n">
        <v>0</v>
      </c>
      <c r="V445" s="26" t="n">
        <v>0</v>
      </c>
      <c r="W445" s="22" t="s">
        <v>16</v>
      </c>
      <c r="X445" s="22" t="s">
        <v>373</v>
      </c>
    </row>
    <row r="446" customFormat="false" ht="15" hidden="false" customHeight="false" outlineLevel="0" collapsed="false">
      <c r="A446" s="22" t="s">
        <v>2043</v>
      </c>
      <c r="B446" s="22" t="s">
        <v>16</v>
      </c>
      <c r="C446" s="22" t="s">
        <v>2044</v>
      </c>
      <c r="D446" s="22" t="s">
        <v>2045</v>
      </c>
      <c r="E446" s="22" t="s">
        <v>2046</v>
      </c>
      <c r="F446" s="22" t="n">
        <v>9</v>
      </c>
      <c r="G446" s="26" t="n">
        <v>66.1</v>
      </c>
      <c r="H446" s="26" t="n">
        <v>77.62</v>
      </c>
      <c r="I446" s="26" t="n">
        <v>89.14</v>
      </c>
      <c r="J446" s="26" t="n">
        <v>100.65</v>
      </c>
      <c r="K446" s="26" t="n">
        <v>112.17</v>
      </c>
      <c r="L446" s="26" t="n">
        <v>1.98</v>
      </c>
      <c r="M446" s="27" t="n">
        <v>0.005</v>
      </c>
      <c r="N446" s="27" t="n">
        <v>0.002</v>
      </c>
      <c r="O446" s="26" t="n">
        <v>5</v>
      </c>
      <c r="P446" s="26" t="n">
        <v>5</v>
      </c>
      <c r="Q446" s="28" t="n">
        <v>100</v>
      </c>
      <c r="R446" s="26" t="n">
        <v>30</v>
      </c>
      <c r="S446" s="26" t="n">
        <v>0</v>
      </c>
      <c r="T446" s="28" t="n">
        <v>1</v>
      </c>
      <c r="U446" s="26" t="n">
        <v>0</v>
      </c>
      <c r="V446" s="26" t="n">
        <v>250</v>
      </c>
      <c r="W446" s="22" t="s">
        <v>16</v>
      </c>
      <c r="X446" s="22" t="s">
        <v>373</v>
      </c>
    </row>
    <row r="447" customFormat="false" ht="15" hidden="false" customHeight="false" outlineLevel="0" collapsed="false">
      <c r="A447" s="22" t="s">
        <v>2047</v>
      </c>
      <c r="B447" s="22" t="s">
        <v>16</v>
      </c>
      <c r="C447" s="22" t="s">
        <v>2048</v>
      </c>
      <c r="D447" s="22" t="s">
        <v>2049</v>
      </c>
      <c r="E447" s="22" t="s">
        <v>2050</v>
      </c>
      <c r="F447" s="22" t="n">
        <v>9</v>
      </c>
      <c r="G447" s="26" t="n">
        <v>66.1</v>
      </c>
      <c r="H447" s="26" t="n">
        <v>77.62</v>
      </c>
      <c r="I447" s="26" t="n">
        <v>89.14</v>
      </c>
      <c r="J447" s="26" t="n">
        <v>100.65</v>
      </c>
      <c r="K447" s="26" t="n">
        <v>112.17</v>
      </c>
      <c r="L447" s="26" t="n">
        <v>1.98</v>
      </c>
      <c r="M447" s="27" t="n">
        <v>0.005</v>
      </c>
      <c r="N447" s="27" t="n">
        <v>0.002</v>
      </c>
      <c r="O447" s="26" t="n">
        <v>5</v>
      </c>
      <c r="P447" s="26" t="n">
        <v>5</v>
      </c>
      <c r="Q447" s="28" t="n">
        <v>100</v>
      </c>
      <c r="R447" s="26" t="n">
        <v>30</v>
      </c>
      <c r="S447" s="26" t="n">
        <v>0</v>
      </c>
      <c r="T447" s="28" t="n">
        <v>1</v>
      </c>
      <c r="U447" s="26" t="n">
        <v>0</v>
      </c>
      <c r="V447" s="26" t="n">
        <v>0</v>
      </c>
      <c r="W447" s="22" t="s">
        <v>16</v>
      </c>
      <c r="X447" s="22" t="s">
        <v>373</v>
      </c>
    </row>
    <row r="448" customFormat="false" ht="15" hidden="false" customHeight="false" outlineLevel="0" collapsed="false">
      <c r="A448" s="22" t="s">
        <v>2051</v>
      </c>
      <c r="B448" s="22" t="s">
        <v>16</v>
      </c>
      <c r="C448" s="22" t="s">
        <v>2052</v>
      </c>
      <c r="D448" s="22" t="s">
        <v>2053</v>
      </c>
      <c r="E448" s="22" t="s">
        <v>2054</v>
      </c>
      <c r="F448" s="22" t="n">
        <v>9</v>
      </c>
      <c r="G448" s="26" t="n">
        <v>66.1</v>
      </c>
      <c r="H448" s="26" t="n">
        <v>77.62</v>
      </c>
      <c r="I448" s="26" t="n">
        <v>89.14</v>
      </c>
      <c r="J448" s="26" t="n">
        <v>100.65</v>
      </c>
      <c r="K448" s="26" t="n">
        <v>112.17</v>
      </c>
      <c r="L448" s="26" t="n">
        <v>1.98</v>
      </c>
      <c r="M448" s="27" t="n">
        <v>0.005</v>
      </c>
      <c r="N448" s="27" t="n">
        <v>0.002</v>
      </c>
      <c r="O448" s="26" t="n">
        <v>5</v>
      </c>
      <c r="P448" s="26" t="n">
        <v>5</v>
      </c>
      <c r="Q448" s="28" t="n">
        <v>100</v>
      </c>
      <c r="R448" s="26" t="n">
        <v>30</v>
      </c>
      <c r="S448" s="26" t="n">
        <v>0</v>
      </c>
      <c r="T448" s="28" t="n">
        <v>1</v>
      </c>
      <c r="U448" s="26" t="n">
        <v>0</v>
      </c>
      <c r="V448" s="26" t="n">
        <v>0</v>
      </c>
      <c r="W448" s="22" t="s">
        <v>16</v>
      </c>
      <c r="X448" s="22" t="s">
        <v>373</v>
      </c>
    </row>
    <row r="449" customFormat="false" ht="15" hidden="false" customHeight="false" outlineLevel="0" collapsed="false">
      <c r="A449" s="22" t="s">
        <v>2055</v>
      </c>
      <c r="B449" s="22" t="s">
        <v>16</v>
      </c>
      <c r="C449" s="22" t="s">
        <v>2056</v>
      </c>
      <c r="D449" s="22" t="s">
        <v>2057</v>
      </c>
      <c r="E449" s="22" t="s">
        <v>2058</v>
      </c>
      <c r="F449" s="22" t="n">
        <v>9</v>
      </c>
      <c r="G449" s="26" t="n">
        <v>66.1</v>
      </c>
      <c r="H449" s="26" t="n">
        <v>77.62</v>
      </c>
      <c r="I449" s="26" t="n">
        <v>89.14</v>
      </c>
      <c r="J449" s="26" t="n">
        <v>100.65</v>
      </c>
      <c r="K449" s="26" t="n">
        <v>112.17</v>
      </c>
      <c r="L449" s="26" t="n">
        <v>1.98</v>
      </c>
      <c r="M449" s="27" t="n">
        <v>0.005</v>
      </c>
      <c r="N449" s="27" t="n">
        <v>0.002</v>
      </c>
      <c r="O449" s="26" t="n">
        <v>5</v>
      </c>
      <c r="P449" s="26" t="n">
        <v>5</v>
      </c>
      <c r="Q449" s="28" t="n">
        <v>100</v>
      </c>
      <c r="R449" s="26" t="n">
        <v>30</v>
      </c>
      <c r="S449" s="26" t="n">
        <v>0</v>
      </c>
      <c r="T449" s="28" t="n">
        <v>1</v>
      </c>
      <c r="U449" s="26" t="n">
        <v>0</v>
      </c>
      <c r="V449" s="26" t="n">
        <v>0</v>
      </c>
      <c r="W449" s="22" t="s">
        <v>16</v>
      </c>
      <c r="X449" s="22" t="s">
        <v>373</v>
      </c>
    </row>
    <row r="450" customFormat="false" ht="15" hidden="false" customHeight="false" outlineLevel="0" collapsed="false">
      <c r="A450" s="22" t="s">
        <v>2059</v>
      </c>
      <c r="B450" s="22" t="s">
        <v>16</v>
      </c>
      <c r="C450" s="22" t="s">
        <v>2060</v>
      </c>
      <c r="D450" s="22" t="s">
        <v>2061</v>
      </c>
      <c r="E450" s="22" t="s">
        <v>2062</v>
      </c>
      <c r="F450" s="22" t="n">
        <v>9</v>
      </c>
      <c r="G450" s="26" t="n">
        <v>66.1</v>
      </c>
      <c r="H450" s="26" t="n">
        <v>77.62</v>
      </c>
      <c r="I450" s="26" t="n">
        <v>89.14</v>
      </c>
      <c r="J450" s="26" t="n">
        <v>100.65</v>
      </c>
      <c r="K450" s="26" t="n">
        <v>112.17</v>
      </c>
      <c r="L450" s="26" t="n">
        <v>1.98</v>
      </c>
      <c r="M450" s="27" t="n">
        <v>0.005</v>
      </c>
      <c r="N450" s="27" t="n">
        <v>0.002</v>
      </c>
      <c r="O450" s="26" t="n">
        <v>5</v>
      </c>
      <c r="P450" s="26" t="n">
        <v>5</v>
      </c>
      <c r="Q450" s="28" t="n">
        <v>100</v>
      </c>
      <c r="R450" s="26" t="n">
        <v>30</v>
      </c>
      <c r="S450" s="26" t="n">
        <v>0</v>
      </c>
      <c r="T450" s="28" t="n">
        <v>1</v>
      </c>
      <c r="U450" s="26" t="n">
        <v>0</v>
      </c>
      <c r="V450" s="26" t="n">
        <v>0</v>
      </c>
      <c r="W450" s="22" t="s">
        <v>16</v>
      </c>
      <c r="X450" s="22" t="s">
        <v>373</v>
      </c>
    </row>
    <row r="451" customFormat="false" ht="15" hidden="false" customHeight="false" outlineLevel="0" collapsed="false">
      <c r="A451" s="22" t="s">
        <v>2063</v>
      </c>
      <c r="B451" s="22" t="s">
        <v>16</v>
      </c>
      <c r="C451" s="22" t="s">
        <v>2064</v>
      </c>
      <c r="D451" s="22" t="s">
        <v>2065</v>
      </c>
      <c r="E451" s="22" t="s">
        <v>2066</v>
      </c>
      <c r="F451" s="22" t="n">
        <v>9</v>
      </c>
      <c r="G451" s="26" t="n">
        <v>66.1</v>
      </c>
      <c r="H451" s="26" t="n">
        <v>77.62</v>
      </c>
      <c r="I451" s="26" t="n">
        <v>89.14</v>
      </c>
      <c r="J451" s="26" t="n">
        <v>100.65</v>
      </c>
      <c r="K451" s="26" t="n">
        <v>112.17</v>
      </c>
      <c r="L451" s="26" t="n">
        <v>1.98</v>
      </c>
      <c r="M451" s="27" t="n">
        <v>0.005</v>
      </c>
      <c r="N451" s="27" t="n">
        <v>0.002</v>
      </c>
      <c r="O451" s="26" t="n">
        <v>5</v>
      </c>
      <c r="P451" s="26" t="n">
        <v>5</v>
      </c>
      <c r="Q451" s="28" t="n">
        <v>100</v>
      </c>
      <c r="R451" s="26" t="n">
        <v>30</v>
      </c>
      <c r="S451" s="26" t="n">
        <v>0</v>
      </c>
      <c r="T451" s="28" t="n">
        <v>1</v>
      </c>
      <c r="U451" s="26" t="n">
        <v>0</v>
      </c>
      <c r="V451" s="26" t="n">
        <v>250</v>
      </c>
      <c r="W451" s="22" t="s">
        <v>16</v>
      </c>
      <c r="X451" s="22" t="s">
        <v>373</v>
      </c>
    </row>
    <row r="452" customFormat="false" ht="15" hidden="false" customHeight="false" outlineLevel="0" collapsed="false">
      <c r="A452" s="22" t="s">
        <v>2067</v>
      </c>
      <c r="B452" s="22" t="s">
        <v>16</v>
      </c>
      <c r="C452" s="22" t="s">
        <v>2068</v>
      </c>
      <c r="D452" s="22" t="s">
        <v>2069</v>
      </c>
      <c r="E452" s="22" t="s">
        <v>2070</v>
      </c>
      <c r="F452" s="22" t="n">
        <v>9</v>
      </c>
      <c r="G452" s="26" t="n">
        <v>66.1</v>
      </c>
      <c r="H452" s="26" t="n">
        <v>77.62</v>
      </c>
      <c r="I452" s="26" t="n">
        <v>89.14</v>
      </c>
      <c r="J452" s="26" t="n">
        <v>100.65</v>
      </c>
      <c r="K452" s="26" t="n">
        <v>112.17</v>
      </c>
      <c r="L452" s="26" t="n">
        <v>1.98</v>
      </c>
      <c r="M452" s="27" t="n">
        <v>0.005</v>
      </c>
      <c r="N452" s="27" t="n">
        <v>0.002</v>
      </c>
      <c r="O452" s="26" t="n">
        <v>5</v>
      </c>
      <c r="P452" s="26" t="n">
        <v>5</v>
      </c>
      <c r="Q452" s="28" t="n">
        <v>100</v>
      </c>
      <c r="R452" s="26" t="n">
        <v>30</v>
      </c>
      <c r="S452" s="26" t="n">
        <v>0</v>
      </c>
      <c r="T452" s="28" t="n">
        <v>1</v>
      </c>
      <c r="U452" s="26" t="n">
        <v>0</v>
      </c>
      <c r="V452" s="26" t="n">
        <v>0</v>
      </c>
      <c r="W452" s="22" t="s">
        <v>16</v>
      </c>
      <c r="X452" s="22" t="s">
        <v>373</v>
      </c>
    </row>
    <row r="453" customFormat="false" ht="15" hidden="false" customHeight="false" outlineLevel="0" collapsed="false">
      <c r="A453" s="22" t="s">
        <v>2071</v>
      </c>
      <c r="B453" s="22" t="s">
        <v>16</v>
      </c>
      <c r="C453" s="22" t="s">
        <v>2072</v>
      </c>
      <c r="D453" s="22" t="s">
        <v>2073</v>
      </c>
      <c r="E453" s="22" t="s">
        <v>2074</v>
      </c>
      <c r="F453" s="22" t="n">
        <v>11</v>
      </c>
      <c r="G453" s="26" t="n">
        <v>66.1</v>
      </c>
      <c r="H453" s="26" t="n">
        <v>77.62</v>
      </c>
      <c r="I453" s="26" t="n">
        <v>89.14</v>
      </c>
      <c r="J453" s="26" t="n">
        <v>100.65</v>
      </c>
      <c r="K453" s="26" t="n">
        <v>112.17</v>
      </c>
      <c r="L453" s="26" t="n">
        <v>1.98</v>
      </c>
      <c r="M453" s="27" t="n">
        <v>0.005</v>
      </c>
      <c r="N453" s="27" t="n">
        <v>0.002</v>
      </c>
      <c r="O453" s="26" t="n">
        <v>5</v>
      </c>
      <c r="P453" s="26" t="n">
        <v>5</v>
      </c>
      <c r="Q453" s="28" t="n">
        <v>100</v>
      </c>
      <c r="R453" s="26" t="n">
        <v>30</v>
      </c>
      <c r="S453" s="26" t="n">
        <v>0</v>
      </c>
      <c r="T453" s="28" t="n">
        <v>1</v>
      </c>
      <c r="U453" s="26" t="n">
        <v>0</v>
      </c>
      <c r="V453" s="26" t="n">
        <v>250</v>
      </c>
      <c r="W453" s="22" t="s">
        <v>16</v>
      </c>
      <c r="X453" s="22" t="s">
        <v>373</v>
      </c>
    </row>
    <row r="454" customFormat="false" ht="15" hidden="false" customHeight="false" outlineLevel="0" collapsed="false">
      <c r="A454" s="22" t="s">
        <v>2075</v>
      </c>
      <c r="B454" s="22" t="s">
        <v>16</v>
      </c>
      <c r="C454" s="22" t="s">
        <v>2076</v>
      </c>
      <c r="D454" s="22" t="s">
        <v>2077</v>
      </c>
      <c r="E454" s="22" t="s">
        <v>2078</v>
      </c>
      <c r="F454" s="22" t="n">
        <v>11</v>
      </c>
      <c r="G454" s="26" t="n">
        <v>66.1</v>
      </c>
      <c r="H454" s="26" t="n">
        <v>77.62</v>
      </c>
      <c r="I454" s="26" t="n">
        <v>89.14</v>
      </c>
      <c r="J454" s="26" t="n">
        <v>100.65</v>
      </c>
      <c r="K454" s="26" t="n">
        <v>112.17</v>
      </c>
      <c r="L454" s="26" t="n">
        <v>1.98</v>
      </c>
      <c r="M454" s="27" t="n">
        <v>0.005</v>
      </c>
      <c r="N454" s="27" t="n">
        <v>0.002</v>
      </c>
      <c r="O454" s="26" t="n">
        <v>5</v>
      </c>
      <c r="P454" s="26" t="n">
        <v>5</v>
      </c>
      <c r="Q454" s="28" t="n">
        <v>100</v>
      </c>
      <c r="R454" s="26" t="n">
        <v>30</v>
      </c>
      <c r="S454" s="26" t="n">
        <v>0</v>
      </c>
      <c r="T454" s="28" t="n">
        <v>1</v>
      </c>
      <c r="U454" s="26" t="n">
        <v>0</v>
      </c>
      <c r="V454" s="26" t="n">
        <v>250</v>
      </c>
      <c r="W454" s="22" t="s">
        <v>16</v>
      </c>
      <c r="X454" s="22" t="s">
        <v>373</v>
      </c>
    </row>
    <row r="455" customFormat="false" ht="15" hidden="false" customHeight="false" outlineLevel="0" collapsed="false">
      <c r="A455" s="22" t="s">
        <v>2079</v>
      </c>
      <c r="B455" s="22" t="s">
        <v>16</v>
      </c>
      <c r="C455" s="22" t="s">
        <v>2080</v>
      </c>
      <c r="D455" s="22" t="s">
        <v>2081</v>
      </c>
      <c r="E455" s="22" t="s">
        <v>2082</v>
      </c>
      <c r="F455" s="22" t="n">
        <v>9</v>
      </c>
      <c r="G455" s="26" t="n">
        <v>66.1</v>
      </c>
      <c r="H455" s="26" t="n">
        <v>77.62</v>
      </c>
      <c r="I455" s="26" t="n">
        <v>89.14</v>
      </c>
      <c r="J455" s="26" t="n">
        <v>100.65</v>
      </c>
      <c r="K455" s="26" t="n">
        <v>112.17</v>
      </c>
      <c r="L455" s="26" t="n">
        <v>1.98</v>
      </c>
      <c r="M455" s="27" t="n">
        <v>0.005</v>
      </c>
      <c r="N455" s="27" t="n">
        <v>0.002</v>
      </c>
      <c r="O455" s="26" t="n">
        <v>5</v>
      </c>
      <c r="P455" s="26" t="n">
        <v>5</v>
      </c>
      <c r="Q455" s="28" t="n">
        <v>100</v>
      </c>
      <c r="R455" s="26" t="n">
        <v>30</v>
      </c>
      <c r="S455" s="26" t="n">
        <v>0</v>
      </c>
      <c r="T455" s="28" t="n">
        <v>1</v>
      </c>
      <c r="U455" s="26" t="n">
        <v>0</v>
      </c>
      <c r="V455" s="26" t="n">
        <v>0</v>
      </c>
      <c r="W455" s="22" t="s">
        <v>16</v>
      </c>
      <c r="X455" s="22" t="s">
        <v>373</v>
      </c>
    </row>
    <row r="456" customFormat="false" ht="15" hidden="false" customHeight="false" outlineLevel="0" collapsed="false">
      <c r="A456" s="22" t="s">
        <v>2083</v>
      </c>
      <c r="B456" s="22" t="s">
        <v>16</v>
      </c>
      <c r="C456" s="22" t="s">
        <v>2084</v>
      </c>
      <c r="D456" s="22" t="s">
        <v>2085</v>
      </c>
      <c r="E456" s="22" t="s">
        <v>2086</v>
      </c>
      <c r="F456" s="22" t="n">
        <v>9</v>
      </c>
      <c r="G456" s="26" t="n">
        <v>66.1</v>
      </c>
      <c r="H456" s="26" t="n">
        <v>77.62</v>
      </c>
      <c r="I456" s="26" t="n">
        <v>89.14</v>
      </c>
      <c r="J456" s="26" t="n">
        <v>100.65</v>
      </c>
      <c r="K456" s="26" t="n">
        <v>112.17</v>
      </c>
      <c r="L456" s="26" t="n">
        <v>1.98</v>
      </c>
      <c r="M456" s="27" t="n">
        <v>0.005</v>
      </c>
      <c r="N456" s="27" t="n">
        <v>0.002</v>
      </c>
      <c r="O456" s="26" t="n">
        <v>5</v>
      </c>
      <c r="P456" s="26" t="n">
        <v>5</v>
      </c>
      <c r="Q456" s="28" t="n">
        <v>100</v>
      </c>
      <c r="R456" s="26" t="n">
        <v>30</v>
      </c>
      <c r="S456" s="26" t="n">
        <v>0</v>
      </c>
      <c r="T456" s="28" t="n">
        <v>1</v>
      </c>
      <c r="U456" s="26" t="n">
        <v>0</v>
      </c>
      <c r="V456" s="26" t="n">
        <v>0</v>
      </c>
      <c r="W456" s="22" t="s">
        <v>16</v>
      </c>
      <c r="X456" s="22" t="s">
        <v>373</v>
      </c>
    </row>
    <row r="457" customFormat="false" ht="15" hidden="false" customHeight="false" outlineLevel="0" collapsed="false">
      <c r="A457" s="22" t="s">
        <v>2087</v>
      </c>
      <c r="B457" s="22" t="s">
        <v>16</v>
      </c>
      <c r="C457" s="22" t="s">
        <v>2088</v>
      </c>
      <c r="D457" s="22" t="s">
        <v>2089</v>
      </c>
      <c r="E457" s="22" t="s">
        <v>2090</v>
      </c>
      <c r="F457" s="22" t="n">
        <v>11</v>
      </c>
      <c r="G457" s="26" t="n">
        <v>66.1</v>
      </c>
      <c r="H457" s="26" t="n">
        <v>77.62</v>
      </c>
      <c r="I457" s="26" t="n">
        <v>89.14</v>
      </c>
      <c r="J457" s="26" t="n">
        <v>100.65</v>
      </c>
      <c r="K457" s="26" t="n">
        <v>112.17</v>
      </c>
      <c r="L457" s="26" t="n">
        <v>1.98</v>
      </c>
      <c r="M457" s="27" t="n">
        <v>0.005</v>
      </c>
      <c r="N457" s="27" t="n">
        <v>0.002</v>
      </c>
      <c r="O457" s="26" t="n">
        <v>5</v>
      </c>
      <c r="P457" s="26" t="n">
        <v>5</v>
      </c>
      <c r="Q457" s="28" t="n">
        <v>100</v>
      </c>
      <c r="R457" s="26" t="n">
        <v>30</v>
      </c>
      <c r="S457" s="26" t="n">
        <v>0</v>
      </c>
      <c r="T457" s="28" t="n">
        <v>1</v>
      </c>
      <c r="U457" s="26" t="n">
        <v>0</v>
      </c>
      <c r="V457" s="26" t="n">
        <v>250</v>
      </c>
      <c r="W457" s="22" t="s">
        <v>16</v>
      </c>
      <c r="X457" s="22" t="s">
        <v>373</v>
      </c>
    </row>
    <row r="458" customFormat="false" ht="15" hidden="false" customHeight="false" outlineLevel="0" collapsed="false">
      <c r="A458" s="22" t="s">
        <v>2091</v>
      </c>
      <c r="B458" s="22" t="s">
        <v>16</v>
      </c>
      <c r="C458" s="22" t="s">
        <v>81</v>
      </c>
      <c r="D458" s="22" t="s">
        <v>2092</v>
      </c>
      <c r="E458" s="22" t="s">
        <v>2093</v>
      </c>
      <c r="F458" s="22" t="n">
        <v>9</v>
      </c>
      <c r="G458" s="26" t="n">
        <v>66.1</v>
      </c>
      <c r="H458" s="26" t="n">
        <v>77.62</v>
      </c>
      <c r="I458" s="26" t="n">
        <v>89.14</v>
      </c>
      <c r="J458" s="26" t="n">
        <v>100.65</v>
      </c>
      <c r="K458" s="26" t="n">
        <v>112.17</v>
      </c>
      <c r="L458" s="26" t="n">
        <v>1.98</v>
      </c>
      <c r="M458" s="27" t="n">
        <v>0.005</v>
      </c>
      <c r="N458" s="27" t="n">
        <v>0.002</v>
      </c>
      <c r="O458" s="26" t="n">
        <v>5</v>
      </c>
      <c r="P458" s="26" t="n">
        <v>5</v>
      </c>
      <c r="Q458" s="28" t="n">
        <v>100</v>
      </c>
      <c r="R458" s="26" t="n">
        <v>30</v>
      </c>
      <c r="S458" s="26" t="n">
        <v>0</v>
      </c>
      <c r="T458" s="28" t="n">
        <v>1</v>
      </c>
      <c r="U458" s="26" t="n">
        <v>0</v>
      </c>
      <c r="V458" s="26" t="n">
        <v>0</v>
      </c>
      <c r="W458" s="22" t="s">
        <v>16</v>
      </c>
      <c r="X458" s="22" t="s">
        <v>373</v>
      </c>
    </row>
    <row r="459" customFormat="false" ht="15" hidden="false" customHeight="false" outlineLevel="0" collapsed="false">
      <c r="A459" s="22" t="s">
        <v>2094</v>
      </c>
      <c r="B459" s="22" t="s">
        <v>16</v>
      </c>
      <c r="C459" s="22" t="s">
        <v>2095</v>
      </c>
      <c r="D459" s="22" t="s">
        <v>2096</v>
      </c>
      <c r="E459" s="22" t="s">
        <v>2097</v>
      </c>
      <c r="F459" s="22" t="n">
        <v>9</v>
      </c>
      <c r="G459" s="26" t="n">
        <v>66.1</v>
      </c>
      <c r="H459" s="26" t="n">
        <v>77.62</v>
      </c>
      <c r="I459" s="26" t="n">
        <v>89.14</v>
      </c>
      <c r="J459" s="26" t="n">
        <v>100.65</v>
      </c>
      <c r="K459" s="26" t="n">
        <v>112.17</v>
      </c>
      <c r="L459" s="26" t="n">
        <v>1.98</v>
      </c>
      <c r="M459" s="27" t="n">
        <v>0.005</v>
      </c>
      <c r="N459" s="27" t="n">
        <v>0.002</v>
      </c>
      <c r="O459" s="26" t="n">
        <v>5</v>
      </c>
      <c r="P459" s="26" t="n">
        <v>5</v>
      </c>
      <c r="Q459" s="28" t="n">
        <v>100</v>
      </c>
      <c r="R459" s="26" t="n">
        <v>30</v>
      </c>
      <c r="S459" s="26" t="n">
        <v>0</v>
      </c>
      <c r="T459" s="28" t="n">
        <v>1</v>
      </c>
      <c r="U459" s="26" t="n">
        <v>0</v>
      </c>
      <c r="V459" s="26" t="n">
        <v>0</v>
      </c>
      <c r="W459" s="22" t="s">
        <v>16</v>
      </c>
      <c r="X459" s="22" t="s">
        <v>373</v>
      </c>
    </row>
    <row r="460" customFormat="false" ht="15" hidden="false" customHeight="false" outlineLevel="0" collapsed="false">
      <c r="A460" s="22" t="s">
        <v>2098</v>
      </c>
      <c r="B460" s="22" t="s">
        <v>16</v>
      </c>
      <c r="C460" s="22" t="s">
        <v>2099</v>
      </c>
      <c r="D460" s="22" t="s">
        <v>2100</v>
      </c>
      <c r="E460" s="22" t="s">
        <v>2101</v>
      </c>
      <c r="F460" s="22" t="n">
        <v>9</v>
      </c>
      <c r="G460" s="26" t="n">
        <v>66.1</v>
      </c>
      <c r="H460" s="26" t="n">
        <v>77.62</v>
      </c>
      <c r="I460" s="26" t="n">
        <v>89.14</v>
      </c>
      <c r="J460" s="26" t="n">
        <v>100.65</v>
      </c>
      <c r="K460" s="26" t="n">
        <v>112.17</v>
      </c>
      <c r="L460" s="26" t="n">
        <v>1.98</v>
      </c>
      <c r="M460" s="27" t="n">
        <v>0.005</v>
      </c>
      <c r="N460" s="27" t="n">
        <v>0.002</v>
      </c>
      <c r="O460" s="26" t="n">
        <v>5</v>
      </c>
      <c r="P460" s="26" t="n">
        <v>5</v>
      </c>
      <c r="Q460" s="28" t="n">
        <v>100</v>
      </c>
      <c r="R460" s="26" t="n">
        <v>30</v>
      </c>
      <c r="S460" s="26" t="n">
        <v>0</v>
      </c>
      <c r="T460" s="28" t="n">
        <v>1</v>
      </c>
      <c r="U460" s="26" t="n">
        <v>0</v>
      </c>
      <c r="V460" s="26" t="n">
        <v>0</v>
      </c>
      <c r="W460" s="22" t="s">
        <v>16</v>
      </c>
      <c r="X460" s="22" t="s">
        <v>373</v>
      </c>
    </row>
    <row r="461" customFormat="false" ht="15" hidden="false" customHeight="false" outlineLevel="0" collapsed="false">
      <c r="A461" s="22" t="s">
        <v>2102</v>
      </c>
      <c r="B461" s="22" t="s">
        <v>16</v>
      </c>
      <c r="C461" s="22" t="s">
        <v>2103</v>
      </c>
      <c r="D461" s="22" t="s">
        <v>2104</v>
      </c>
      <c r="E461" s="22" t="s">
        <v>2105</v>
      </c>
      <c r="F461" s="22" t="n">
        <v>12</v>
      </c>
      <c r="G461" s="26" t="n">
        <v>88.13</v>
      </c>
      <c r="H461" s="26" t="n">
        <v>98.14</v>
      </c>
      <c r="I461" s="26" t="n">
        <v>118.18</v>
      </c>
      <c r="J461" s="26" t="n">
        <v>128.2</v>
      </c>
      <c r="K461" s="26" t="n">
        <v>143.22</v>
      </c>
      <c r="L461" s="26" t="n">
        <v>2.28</v>
      </c>
      <c r="M461" s="27" t="n">
        <v>0.005</v>
      </c>
      <c r="N461" s="27" t="n">
        <v>0.002</v>
      </c>
      <c r="O461" s="26" t="n">
        <v>5</v>
      </c>
      <c r="P461" s="26" t="n">
        <v>5</v>
      </c>
      <c r="Q461" s="28" t="n">
        <v>100</v>
      </c>
      <c r="R461" s="26" t="n">
        <v>30</v>
      </c>
      <c r="S461" s="26" t="n">
        <v>0</v>
      </c>
      <c r="T461" s="28" t="n">
        <v>1</v>
      </c>
      <c r="U461" s="26" t="n">
        <v>0</v>
      </c>
      <c r="V461" s="26" t="n">
        <v>0</v>
      </c>
      <c r="W461" s="22" t="s">
        <v>16</v>
      </c>
      <c r="X461" s="22" t="s">
        <v>2106</v>
      </c>
    </row>
    <row r="462" customFormat="false" ht="15" hidden="false" customHeight="false" outlineLevel="0" collapsed="false">
      <c r="A462" s="22" t="s">
        <v>2107</v>
      </c>
      <c r="B462" s="22" t="s">
        <v>16</v>
      </c>
      <c r="C462" s="22" t="s">
        <v>2108</v>
      </c>
      <c r="D462" s="22" t="s">
        <v>2109</v>
      </c>
      <c r="E462" s="22" t="s">
        <v>2110</v>
      </c>
      <c r="F462" s="22" t="n">
        <v>12</v>
      </c>
      <c r="G462" s="26" t="n">
        <v>88.13</v>
      </c>
      <c r="H462" s="26" t="n">
        <v>98.14</v>
      </c>
      <c r="I462" s="26" t="n">
        <v>118.18</v>
      </c>
      <c r="J462" s="26" t="n">
        <v>128.2</v>
      </c>
      <c r="K462" s="26" t="n">
        <v>143.22</v>
      </c>
      <c r="L462" s="26" t="n">
        <v>2.28</v>
      </c>
      <c r="M462" s="27" t="n">
        <v>0.005</v>
      </c>
      <c r="N462" s="27" t="n">
        <v>0.002</v>
      </c>
      <c r="O462" s="26" t="n">
        <v>5</v>
      </c>
      <c r="P462" s="26" t="n">
        <v>5</v>
      </c>
      <c r="Q462" s="28" t="n">
        <v>100</v>
      </c>
      <c r="R462" s="26" t="n">
        <v>30</v>
      </c>
      <c r="S462" s="26" t="n">
        <v>0</v>
      </c>
      <c r="T462" s="28" t="n">
        <v>1</v>
      </c>
      <c r="U462" s="26" t="n">
        <v>0</v>
      </c>
      <c r="V462" s="26" t="n">
        <v>0</v>
      </c>
      <c r="W462" s="22" t="s">
        <v>16</v>
      </c>
      <c r="X462" s="22" t="s">
        <v>2106</v>
      </c>
    </row>
    <row r="463" customFormat="false" ht="15" hidden="false" customHeight="false" outlineLevel="0" collapsed="false">
      <c r="A463" s="22" t="s">
        <v>2111</v>
      </c>
      <c r="B463" s="22" t="s">
        <v>16</v>
      </c>
      <c r="C463" s="22" t="s">
        <v>2112</v>
      </c>
      <c r="D463" s="22" t="s">
        <v>2113</v>
      </c>
      <c r="E463" s="22" t="s">
        <v>2114</v>
      </c>
      <c r="F463" s="22" t="n">
        <v>12</v>
      </c>
      <c r="G463" s="26" t="n">
        <v>88.13</v>
      </c>
      <c r="H463" s="26" t="n">
        <v>98.14</v>
      </c>
      <c r="I463" s="26" t="n">
        <v>118.18</v>
      </c>
      <c r="J463" s="26" t="n">
        <v>128.2</v>
      </c>
      <c r="K463" s="26" t="n">
        <v>143.22</v>
      </c>
      <c r="L463" s="26" t="n">
        <v>2.28</v>
      </c>
      <c r="M463" s="27" t="n">
        <v>0.005</v>
      </c>
      <c r="N463" s="27" t="n">
        <v>0.002</v>
      </c>
      <c r="O463" s="26" t="n">
        <v>5</v>
      </c>
      <c r="P463" s="26" t="n">
        <v>5</v>
      </c>
      <c r="Q463" s="28" t="n">
        <v>100</v>
      </c>
      <c r="R463" s="26" t="n">
        <v>30</v>
      </c>
      <c r="S463" s="26" t="n">
        <v>0</v>
      </c>
      <c r="T463" s="28" t="n">
        <v>1</v>
      </c>
      <c r="U463" s="26" t="n">
        <v>0</v>
      </c>
      <c r="V463" s="26" t="n">
        <v>500</v>
      </c>
      <c r="W463" s="22" t="s">
        <v>16</v>
      </c>
      <c r="X463" s="22" t="s">
        <v>2106</v>
      </c>
    </row>
    <row r="464" customFormat="false" ht="15" hidden="false" customHeight="false" outlineLevel="0" collapsed="false">
      <c r="A464" s="22" t="s">
        <v>2115</v>
      </c>
      <c r="B464" s="22" t="s">
        <v>16</v>
      </c>
      <c r="C464" s="22" t="s">
        <v>93</v>
      </c>
      <c r="D464" s="22" t="s">
        <v>2116</v>
      </c>
      <c r="E464" s="22" t="s">
        <v>2117</v>
      </c>
      <c r="F464" s="22" t="n">
        <v>12</v>
      </c>
      <c r="G464" s="26" t="n">
        <v>88.13</v>
      </c>
      <c r="H464" s="26" t="n">
        <v>98.14</v>
      </c>
      <c r="I464" s="26" t="n">
        <v>118.18</v>
      </c>
      <c r="J464" s="26" t="n">
        <v>128.2</v>
      </c>
      <c r="K464" s="26" t="n">
        <v>143.22</v>
      </c>
      <c r="L464" s="26" t="n">
        <v>2.28</v>
      </c>
      <c r="M464" s="27" t="n">
        <v>0.005</v>
      </c>
      <c r="N464" s="27" t="n">
        <v>0.002</v>
      </c>
      <c r="O464" s="26" t="n">
        <v>5</v>
      </c>
      <c r="P464" s="26" t="n">
        <v>5</v>
      </c>
      <c r="Q464" s="28" t="n">
        <v>100</v>
      </c>
      <c r="R464" s="26" t="n">
        <v>30</v>
      </c>
      <c r="S464" s="26" t="n">
        <v>0</v>
      </c>
      <c r="T464" s="28" t="n">
        <v>1</v>
      </c>
      <c r="U464" s="26" t="n">
        <v>0</v>
      </c>
      <c r="V464" s="26" t="n">
        <v>0</v>
      </c>
      <c r="W464" s="22" t="s">
        <v>16</v>
      </c>
      <c r="X464" s="22" t="s">
        <v>2106</v>
      </c>
    </row>
    <row r="465" customFormat="false" ht="15" hidden="false" customHeight="false" outlineLevel="0" collapsed="false">
      <c r="A465" s="22" t="s">
        <v>2118</v>
      </c>
      <c r="B465" s="22" t="s">
        <v>16</v>
      </c>
      <c r="C465" s="22" t="s">
        <v>2119</v>
      </c>
      <c r="D465" s="22" t="s">
        <v>2120</v>
      </c>
      <c r="E465" s="22" t="s">
        <v>2121</v>
      </c>
      <c r="F465" s="22" t="n">
        <v>12</v>
      </c>
      <c r="G465" s="26" t="n">
        <v>88.13</v>
      </c>
      <c r="H465" s="26" t="n">
        <v>98.14</v>
      </c>
      <c r="I465" s="26" t="n">
        <v>118.18</v>
      </c>
      <c r="J465" s="26" t="n">
        <v>128.2</v>
      </c>
      <c r="K465" s="26" t="n">
        <v>143.22</v>
      </c>
      <c r="L465" s="26" t="n">
        <v>2.28</v>
      </c>
      <c r="M465" s="27" t="n">
        <v>0.005</v>
      </c>
      <c r="N465" s="27" t="n">
        <v>0.002</v>
      </c>
      <c r="O465" s="26" t="n">
        <v>5</v>
      </c>
      <c r="P465" s="26" t="n">
        <v>5</v>
      </c>
      <c r="Q465" s="28" t="n">
        <v>100</v>
      </c>
      <c r="R465" s="26" t="n">
        <v>30</v>
      </c>
      <c r="S465" s="26" t="n">
        <v>0</v>
      </c>
      <c r="T465" s="28" t="n">
        <v>1</v>
      </c>
      <c r="U465" s="26" t="n">
        <v>0</v>
      </c>
      <c r="V465" s="26" t="n">
        <v>250</v>
      </c>
      <c r="W465" s="22" t="s">
        <v>16</v>
      </c>
      <c r="X465" s="22" t="s">
        <v>2106</v>
      </c>
    </row>
    <row r="466" customFormat="false" ht="15" hidden="false" customHeight="false" outlineLevel="0" collapsed="false">
      <c r="A466" s="22" t="s">
        <v>2122</v>
      </c>
      <c r="B466" s="22" t="s">
        <v>16</v>
      </c>
      <c r="C466" s="22" t="s">
        <v>2123</v>
      </c>
      <c r="D466" s="22" t="s">
        <v>2124</v>
      </c>
      <c r="E466" s="22" t="s">
        <v>2125</v>
      </c>
      <c r="F466" s="22" t="n">
        <v>12</v>
      </c>
      <c r="G466" s="26" t="n">
        <v>88.13</v>
      </c>
      <c r="H466" s="26" t="n">
        <v>98.14</v>
      </c>
      <c r="I466" s="26" t="n">
        <v>118.18</v>
      </c>
      <c r="J466" s="26" t="n">
        <v>128.2</v>
      </c>
      <c r="K466" s="26" t="n">
        <v>143.22</v>
      </c>
      <c r="L466" s="26" t="n">
        <v>2.28</v>
      </c>
      <c r="M466" s="27" t="n">
        <v>0.005</v>
      </c>
      <c r="N466" s="27" t="n">
        <v>0.002</v>
      </c>
      <c r="O466" s="26" t="n">
        <v>5</v>
      </c>
      <c r="P466" s="26" t="n">
        <v>5</v>
      </c>
      <c r="Q466" s="28" t="n">
        <v>100</v>
      </c>
      <c r="R466" s="26" t="n">
        <v>30</v>
      </c>
      <c r="S466" s="26" t="n">
        <v>0</v>
      </c>
      <c r="T466" s="28" t="n">
        <v>1</v>
      </c>
      <c r="U466" s="26" t="n">
        <v>0</v>
      </c>
      <c r="V466" s="26" t="n">
        <v>250</v>
      </c>
      <c r="W466" s="22" t="s">
        <v>16</v>
      </c>
      <c r="X466" s="22" t="s">
        <v>2106</v>
      </c>
    </row>
    <row r="467" customFormat="false" ht="15" hidden="false" customHeight="false" outlineLevel="0" collapsed="false">
      <c r="A467" s="22" t="s">
        <v>2126</v>
      </c>
      <c r="B467" s="22" t="s">
        <v>16</v>
      </c>
      <c r="C467" s="22" t="s">
        <v>2127</v>
      </c>
      <c r="D467" s="22" t="s">
        <v>2128</v>
      </c>
      <c r="E467" s="22" t="s">
        <v>2129</v>
      </c>
      <c r="F467" s="22" t="n">
        <v>12</v>
      </c>
      <c r="G467" s="26" t="n">
        <v>88.13</v>
      </c>
      <c r="H467" s="26" t="n">
        <v>98.14</v>
      </c>
      <c r="I467" s="26" t="n">
        <v>118.18</v>
      </c>
      <c r="J467" s="26" t="n">
        <v>128.2</v>
      </c>
      <c r="K467" s="26" t="n">
        <v>143.22</v>
      </c>
      <c r="L467" s="26" t="n">
        <v>2.28</v>
      </c>
      <c r="M467" s="27" t="n">
        <v>0.005</v>
      </c>
      <c r="N467" s="27" t="n">
        <v>0.002</v>
      </c>
      <c r="O467" s="26" t="n">
        <v>5</v>
      </c>
      <c r="P467" s="26" t="n">
        <v>5</v>
      </c>
      <c r="Q467" s="28" t="n">
        <v>100</v>
      </c>
      <c r="R467" s="26" t="n">
        <v>30</v>
      </c>
      <c r="S467" s="26" t="n">
        <v>0</v>
      </c>
      <c r="T467" s="28" t="n">
        <v>1</v>
      </c>
      <c r="U467" s="26" t="n">
        <v>0</v>
      </c>
      <c r="V467" s="26" t="n">
        <v>250</v>
      </c>
      <c r="W467" s="22" t="s">
        <v>16</v>
      </c>
      <c r="X467" s="22" t="s">
        <v>2106</v>
      </c>
    </row>
    <row r="468" customFormat="false" ht="15" hidden="false" customHeight="false" outlineLevel="0" collapsed="false">
      <c r="A468" s="22" t="s">
        <v>2130</v>
      </c>
      <c r="B468" s="22" t="s">
        <v>16</v>
      </c>
      <c r="C468" s="22" t="s">
        <v>2131</v>
      </c>
      <c r="D468" s="22" t="s">
        <v>2132</v>
      </c>
      <c r="E468" s="22" t="s">
        <v>2133</v>
      </c>
      <c r="F468" s="22" t="n">
        <v>12</v>
      </c>
      <c r="G468" s="26" t="n">
        <v>88.13</v>
      </c>
      <c r="H468" s="26" t="n">
        <v>98.14</v>
      </c>
      <c r="I468" s="26" t="n">
        <v>118.18</v>
      </c>
      <c r="J468" s="26" t="n">
        <v>128.2</v>
      </c>
      <c r="K468" s="26" t="n">
        <v>143.22</v>
      </c>
      <c r="L468" s="26" t="n">
        <v>2.28</v>
      </c>
      <c r="M468" s="27" t="n">
        <v>0.005</v>
      </c>
      <c r="N468" s="27" t="n">
        <v>0.002</v>
      </c>
      <c r="O468" s="26" t="n">
        <v>5</v>
      </c>
      <c r="P468" s="26" t="n">
        <v>5</v>
      </c>
      <c r="Q468" s="28" t="n">
        <v>100</v>
      </c>
      <c r="R468" s="26" t="n">
        <v>30</v>
      </c>
      <c r="S468" s="26" t="n">
        <v>0</v>
      </c>
      <c r="T468" s="28" t="n">
        <v>1</v>
      </c>
      <c r="U468" s="26" t="n">
        <v>0</v>
      </c>
      <c r="V468" s="26" t="n">
        <v>250</v>
      </c>
      <c r="W468" s="22" t="s">
        <v>16</v>
      </c>
      <c r="X468" s="22" t="s">
        <v>2106</v>
      </c>
    </row>
    <row r="469" customFormat="false" ht="15" hidden="false" customHeight="false" outlineLevel="0" collapsed="false">
      <c r="A469" s="22" t="s">
        <v>2134</v>
      </c>
      <c r="B469" s="22" t="s">
        <v>16</v>
      </c>
      <c r="C469" s="22" t="s">
        <v>2135</v>
      </c>
      <c r="D469" s="22" t="s">
        <v>2136</v>
      </c>
      <c r="E469" s="22" t="s">
        <v>2137</v>
      </c>
      <c r="F469" s="22" t="n">
        <v>12</v>
      </c>
      <c r="G469" s="26" t="n">
        <v>88.13</v>
      </c>
      <c r="H469" s="26" t="n">
        <v>98.14</v>
      </c>
      <c r="I469" s="26" t="n">
        <v>118.18</v>
      </c>
      <c r="J469" s="26" t="n">
        <v>128.2</v>
      </c>
      <c r="K469" s="26" t="n">
        <v>143.22</v>
      </c>
      <c r="L469" s="26" t="n">
        <v>2.28</v>
      </c>
      <c r="M469" s="27" t="n">
        <v>0.005</v>
      </c>
      <c r="N469" s="27" t="n">
        <v>0.002</v>
      </c>
      <c r="O469" s="26" t="n">
        <v>5</v>
      </c>
      <c r="P469" s="26" t="n">
        <v>5</v>
      </c>
      <c r="Q469" s="28" t="n">
        <v>100</v>
      </c>
      <c r="R469" s="26" t="n">
        <v>30</v>
      </c>
      <c r="S469" s="26" t="n">
        <v>0</v>
      </c>
      <c r="T469" s="28" t="n">
        <v>1</v>
      </c>
      <c r="U469" s="26" t="n">
        <v>0</v>
      </c>
      <c r="V469" s="26" t="n">
        <v>250</v>
      </c>
      <c r="W469" s="22" t="s">
        <v>16</v>
      </c>
      <c r="X469" s="22" t="s">
        <v>2106</v>
      </c>
    </row>
    <row r="470" customFormat="false" ht="15" hidden="false" customHeight="false" outlineLevel="0" collapsed="false">
      <c r="A470" s="22" t="s">
        <v>2138</v>
      </c>
      <c r="B470" s="22" t="s">
        <v>16</v>
      </c>
      <c r="C470" s="22" t="s">
        <v>2139</v>
      </c>
      <c r="D470" s="22" t="s">
        <v>2140</v>
      </c>
      <c r="E470" s="22" t="s">
        <v>2141</v>
      </c>
      <c r="F470" s="22" t="n">
        <v>12</v>
      </c>
      <c r="G470" s="26" t="n">
        <v>88.13</v>
      </c>
      <c r="H470" s="26" t="n">
        <v>98.14</v>
      </c>
      <c r="I470" s="26" t="n">
        <v>118.18</v>
      </c>
      <c r="J470" s="26" t="n">
        <v>128.2</v>
      </c>
      <c r="K470" s="26" t="n">
        <v>143.22</v>
      </c>
      <c r="L470" s="26" t="n">
        <v>2.28</v>
      </c>
      <c r="M470" s="27" t="n">
        <v>0.005</v>
      </c>
      <c r="N470" s="27" t="n">
        <v>0.002</v>
      </c>
      <c r="O470" s="26" t="n">
        <v>5</v>
      </c>
      <c r="P470" s="26" t="n">
        <v>5</v>
      </c>
      <c r="Q470" s="28" t="n">
        <v>100</v>
      </c>
      <c r="R470" s="26" t="n">
        <v>30</v>
      </c>
      <c r="S470" s="26" t="n">
        <v>0</v>
      </c>
      <c r="T470" s="28" t="n">
        <v>1</v>
      </c>
      <c r="U470" s="26" t="n">
        <v>0</v>
      </c>
      <c r="V470" s="26" t="n">
        <v>250</v>
      </c>
      <c r="W470" s="22" t="s">
        <v>16</v>
      </c>
      <c r="X470" s="22" t="s">
        <v>2106</v>
      </c>
    </row>
    <row r="471" customFormat="false" ht="15" hidden="false" customHeight="false" outlineLevel="0" collapsed="false">
      <c r="A471" s="22" t="s">
        <v>2142</v>
      </c>
      <c r="B471" s="22" t="s">
        <v>16</v>
      </c>
      <c r="C471" s="22" t="s">
        <v>2143</v>
      </c>
      <c r="D471" s="22" t="s">
        <v>2144</v>
      </c>
      <c r="E471" s="22" t="s">
        <v>2145</v>
      </c>
      <c r="F471" s="22" t="n">
        <v>12</v>
      </c>
      <c r="G471" s="26" t="n">
        <v>88.13</v>
      </c>
      <c r="H471" s="26" t="n">
        <v>98.14</v>
      </c>
      <c r="I471" s="26" t="n">
        <v>118.18</v>
      </c>
      <c r="J471" s="26" t="n">
        <v>128.2</v>
      </c>
      <c r="K471" s="26" t="n">
        <v>143.22</v>
      </c>
      <c r="L471" s="26" t="n">
        <v>2.28</v>
      </c>
      <c r="M471" s="27" t="n">
        <v>0.005</v>
      </c>
      <c r="N471" s="27" t="n">
        <v>0.002</v>
      </c>
      <c r="O471" s="26" t="n">
        <v>5</v>
      </c>
      <c r="P471" s="26" t="n">
        <v>5</v>
      </c>
      <c r="Q471" s="28" t="n">
        <v>100</v>
      </c>
      <c r="R471" s="26" t="n">
        <v>30</v>
      </c>
      <c r="S471" s="26" t="n">
        <v>0</v>
      </c>
      <c r="T471" s="28" t="n">
        <v>1</v>
      </c>
      <c r="U471" s="26" t="n">
        <v>0</v>
      </c>
      <c r="V471" s="26" t="n">
        <v>0</v>
      </c>
      <c r="W471" s="22" t="s">
        <v>16</v>
      </c>
      <c r="X471" s="22" t="s">
        <v>2106</v>
      </c>
    </row>
    <row r="472" customFormat="false" ht="15" hidden="false" customHeight="false" outlineLevel="0" collapsed="false">
      <c r="A472" s="22" t="s">
        <v>2146</v>
      </c>
      <c r="B472" s="22" t="s">
        <v>16</v>
      </c>
      <c r="C472" s="22" t="s">
        <v>2147</v>
      </c>
      <c r="D472" s="22" t="s">
        <v>2148</v>
      </c>
      <c r="E472" s="22" t="s">
        <v>2149</v>
      </c>
      <c r="F472" s="22" t="n">
        <v>12</v>
      </c>
      <c r="G472" s="26" t="n">
        <v>88.13</v>
      </c>
      <c r="H472" s="26" t="n">
        <v>98.14</v>
      </c>
      <c r="I472" s="26" t="n">
        <v>118.18</v>
      </c>
      <c r="J472" s="26" t="n">
        <v>128.2</v>
      </c>
      <c r="K472" s="26" t="n">
        <v>143.22</v>
      </c>
      <c r="L472" s="26" t="n">
        <v>2.28</v>
      </c>
      <c r="M472" s="27" t="n">
        <v>0.005</v>
      </c>
      <c r="N472" s="27" t="n">
        <v>0.002</v>
      </c>
      <c r="O472" s="26" t="n">
        <v>5</v>
      </c>
      <c r="P472" s="26" t="n">
        <v>5</v>
      </c>
      <c r="Q472" s="28" t="n">
        <v>100</v>
      </c>
      <c r="R472" s="26" t="n">
        <v>30</v>
      </c>
      <c r="S472" s="26" t="n">
        <v>0</v>
      </c>
      <c r="T472" s="28" t="n">
        <v>1</v>
      </c>
      <c r="U472" s="26" t="n">
        <v>0</v>
      </c>
      <c r="V472" s="26" t="n">
        <v>0</v>
      </c>
      <c r="W472" s="22" t="s">
        <v>16</v>
      </c>
      <c r="X472" s="22" t="s">
        <v>2106</v>
      </c>
    </row>
    <row r="473" customFormat="false" ht="15" hidden="false" customHeight="false" outlineLevel="0" collapsed="false">
      <c r="A473" s="22" t="s">
        <v>2150</v>
      </c>
      <c r="B473" s="22" t="s">
        <v>16</v>
      </c>
      <c r="C473" s="22" t="s">
        <v>2151</v>
      </c>
      <c r="D473" s="22" t="s">
        <v>2152</v>
      </c>
      <c r="E473" s="22" t="s">
        <v>2153</v>
      </c>
      <c r="F473" s="22" t="n">
        <v>12</v>
      </c>
      <c r="G473" s="26" t="n">
        <v>88.13</v>
      </c>
      <c r="H473" s="26" t="n">
        <v>98.14</v>
      </c>
      <c r="I473" s="26" t="n">
        <v>118.18</v>
      </c>
      <c r="J473" s="26" t="n">
        <v>128.2</v>
      </c>
      <c r="K473" s="26" t="n">
        <v>143.22</v>
      </c>
      <c r="L473" s="26" t="n">
        <v>2.28</v>
      </c>
      <c r="M473" s="27" t="n">
        <v>0.005</v>
      </c>
      <c r="N473" s="27" t="n">
        <v>0.002</v>
      </c>
      <c r="O473" s="26" t="n">
        <v>5</v>
      </c>
      <c r="P473" s="26" t="n">
        <v>5</v>
      </c>
      <c r="Q473" s="28" t="n">
        <v>100</v>
      </c>
      <c r="R473" s="26" t="n">
        <v>30</v>
      </c>
      <c r="S473" s="26" t="n">
        <v>0</v>
      </c>
      <c r="T473" s="28" t="n">
        <v>1</v>
      </c>
      <c r="U473" s="26" t="n">
        <v>0</v>
      </c>
      <c r="V473" s="26" t="n">
        <v>250</v>
      </c>
      <c r="W473" s="22" t="s">
        <v>16</v>
      </c>
      <c r="X473" s="22" t="s">
        <v>2106</v>
      </c>
    </row>
    <row r="474" customFormat="false" ht="15" hidden="false" customHeight="false" outlineLevel="0" collapsed="false">
      <c r="A474" s="22" t="s">
        <v>2154</v>
      </c>
      <c r="B474" s="22" t="s">
        <v>16</v>
      </c>
      <c r="C474" s="22" t="s">
        <v>2155</v>
      </c>
      <c r="D474" s="22" t="s">
        <v>2156</v>
      </c>
      <c r="E474" s="22" t="s">
        <v>2157</v>
      </c>
      <c r="F474" s="22" t="n">
        <v>12</v>
      </c>
      <c r="G474" s="26" t="n">
        <v>88.13</v>
      </c>
      <c r="H474" s="26" t="n">
        <v>98.14</v>
      </c>
      <c r="I474" s="26" t="n">
        <v>118.18</v>
      </c>
      <c r="J474" s="26" t="n">
        <v>128.2</v>
      </c>
      <c r="K474" s="26" t="n">
        <v>143.22</v>
      </c>
      <c r="L474" s="26" t="n">
        <v>2.28</v>
      </c>
      <c r="M474" s="27" t="n">
        <v>0.005</v>
      </c>
      <c r="N474" s="27" t="n">
        <v>0.002</v>
      </c>
      <c r="O474" s="26" t="n">
        <v>5</v>
      </c>
      <c r="P474" s="26" t="n">
        <v>5</v>
      </c>
      <c r="Q474" s="28" t="n">
        <v>100</v>
      </c>
      <c r="R474" s="26" t="n">
        <v>30</v>
      </c>
      <c r="S474" s="26" t="n">
        <v>0</v>
      </c>
      <c r="T474" s="28" t="n">
        <v>1</v>
      </c>
      <c r="U474" s="26" t="n">
        <v>0</v>
      </c>
      <c r="V474" s="26" t="n">
        <v>0</v>
      </c>
      <c r="W474" s="22" t="s">
        <v>16</v>
      </c>
      <c r="X474" s="22" t="s">
        <v>2106</v>
      </c>
    </row>
    <row r="475" customFormat="false" ht="15" hidden="false" customHeight="false" outlineLevel="0" collapsed="false">
      <c r="A475" s="22" t="s">
        <v>2158</v>
      </c>
      <c r="B475" s="22" t="s">
        <v>16</v>
      </c>
      <c r="C475" s="22" t="s">
        <v>2159</v>
      </c>
      <c r="D475" s="22" t="s">
        <v>2160</v>
      </c>
      <c r="E475" s="22" t="s">
        <v>2161</v>
      </c>
      <c r="F475" s="22" t="n">
        <v>12</v>
      </c>
      <c r="G475" s="26" t="n">
        <v>88.13</v>
      </c>
      <c r="H475" s="26" t="n">
        <v>98.14</v>
      </c>
      <c r="I475" s="26" t="n">
        <v>118.18</v>
      </c>
      <c r="J475" s="26" t="n">
        <v>128.2</v>
      </c>
      <c r="K475" s="26" t="n">
        <v>143.22</v>
      </c>
      <c r="L475" s="26" t="n">
        <v>2.28</v>
      </c>
      <c r="M475" s="27" t="n">
        <v>0.005</v>
      </c>
      <c r="N475" s="27" t="n">
        <v>0.002</v>
      </c>
      <c r="O475" s="26" t="n">
        <v>5</v>
      </c>
      <c r="P475" s="26" t="n">
        <v>5</v>
      </c>
      <c r="Q475" s="28" t="n">
        <v>100</v>
      </c>
      <c r="R475" s="26" t="n">
        <v>30</v>
      </c>
      <c r="S475" s="26" t="n">
        <v>0</v>
      </c>
      <c r="T475" s="28" t="n">
        <v>1</v>
      </c>
      <c r="U475" s="26" t="n">
        <v>0</v>
      </c>
      <c r="V475" s="26" t="n">
        <v>0</v>
      </c>
      <c r="W475" s="22" t="s">
        <v>16</v>
      </c>
      <c r="X475" s="22" t="s">
        <v>2106</v>
      </c>
    </row>
    <row r="476" customFormat="false" ht="15" hidden="false" customHeight="false" outlineLevel="0" collapsed="false">
      <c r="A476" s="22" t="s">
        <v>2162</v>
      </c>
      <c r="B476" s="22" t="s">
        <v>16</v>
      </c>
      <c r="C476" s="22" t="s">
        <v>2163</v>
      </c>
      <c r="D476" s="22" t="s">
        <v>2164</v>
      </c>
      <c r="E476" s="22" t="s">
        <v>2165</v>
      </c>
      <c r="F476" s="22" t="n">
        <v>12</v>
      </c>
      <c r="G476" s="26" t="n">
        <v>88.13</v>
      </c>
      <c r="H476" s="26" t="n">
        <v>98.14</v>
      </c>
      <c r="I476" s="26" t="n">
        <v>118.18</v>
      </c>
      <c r="J476" s="26" t="n">
        <v>128.2</v>
      </c>
      <c r="K476" s="26" t="n">
        <v>143.22</v>
      </c>
      <c r="L476" s="26" t="n">
        <v>2.28</v>
      </c>
      <c r="M476" s="27" t="n">
        <v>0.005</v>
      </c>
      <c r="N476" s="27" t="n">
        <v>0.002</v>
      </c>
      <c r="O476" s="26" t="n">
        <v>5</v>
      </c>
      <c r="P476" s="26" t="n">
        <v>5</v>
      </c>
      <c r="Q476" s="28" t="n">
        <v>100</v>
      </c>
      <c r="R476" s="26" t="n">
        <v>30</v>
      </c>
      <c r="S476" s="26" t="n">
        <v>0</v>
      </c>
      <c r="T476" s="28" t="n">
        <v>1</v>
      </c>
      <c r="U476" s="26" t="n">
        <v>0</v>
      </c>
      <c r="V476" s="26" t="n">
        <v>0</v>
      </c>
      <c r="W476" s="22" t="s">
        <v>16</v>
      </c>
      <c r="X476" s="22" t="s">
        <v>2106</v>
      </c>
    </row>
    <row r="477" customFormat="false" ht="15" hidden="false" customHeight="false" outlineLevel="0" collapsed="false">
      <c r="A477" s="22" t="s">
        <v>2166</v>
      </c>
      <c r="B477" s="22" t="s">
        <v>16</v>
      </c>
      <c r="C477" s="22" t="s">
        <v>2167</v>
      </c>
      <c r="D477" s="22" t="s">
        <v>2168</v>
      </c>
      <c r="E477" s="22" t="s">
        <v>2169</v>
      </c>
      <c r="F477" s="22" t="n">
        <v>12</v>
      </c>
      <c r="G477" s="26" t="n">
        <v>88.13</v>
      </c>
      <c r="H477" s="26" t="n">
        <v>98.14</v>
      </c>
      <c r="I477" s="26" t="n">
        <v>118.18</v>
      </c>
      <c r="J477" s="26" t="n">
        <v>128.2</v>
      </c>
      <c r="K477" s="26" t="n">
        <v>143.22</v>
      </c>
      <c r="L477" s="26" t="n">
        <v>2.28</v>
      </c>
      <c r="M477" s="27" t="n">
        <v>0.005</v>
      </c>
      <c r="N477" s="27" t="n">
        <v>0.002</v>
      </c>
      <c r="O477" s="26" t="n">
        <v>5</v>
      </c>
      <c r="P477" s="26" t="n">
        <v>5</v>
      </c>
      <c r="Q477" s="28" t="n">
        <v>100</v>
      </c>
      <c r="R477" s="26" t="n">
        <v>30</v>
      </c>
      <c r="S477" s="26" t="n">
        <v>0</v>
      </c>
      <c r="T477" s="28" t="n">
        <v>1</v>
      </c>
      <c r="U477" s="26" t="n">
        <v>0</v>
      </c>
      <c r="V477" s="26" t="n">
        <v>0</v>
      </c>
      <c r="W477" s="22" t="s">
        <v>16</v>
      </c>
      <c r="X477" s="22" t="s">
        <v>2106</v>
      </c>
    </row>
    <row r="478" customFormat="false" ht="15" hidden="false" customHeight="false" outlineLevel="0" collapsed="false">
      <c r="A478" s="22" t="s">
        <v>2170</v>
      </c>
      <c r="B478" s="22" t="s">
        <v>16</v>
      </c>
      <c r="C478" s="22" t="s">
        <v>2171</v>
      </c>
      <c r="D478" s="22" t="s">
        <v>2172</v>
      </c>
      <c r="E478" s="22" t="s">
        <v>2173</v>
      </c>
      <c r="F478" s="22" t="n">
        <v>12</v>
      </c>
      <c r="G478" s="26" t="n">
        <v>88.13</v>
      </c>
      <c r="H478" s="26" t="n">
        <v>98.14</v>
      </c>
      <c r="I478" s="26" t="n">
        <v>118.18</v>
      </c>
      <c r="J478" s="26" t="n">
        <v>128.2</v>
      </c>
      <c r="K478" s="26" t="n">
        <v>143.22</v>
      </c>
      <c r="L478" s="26" t="n">
        <v>2.28</v>
      </c>
      <c r="M478" s="27" t="n">
        <v>0.005</v>
      </c>
      <c r="N478" s="27" t="n">
        <v>0.002</v>
      </c>
      <c r="O478" s="26" t="n">
        <v>5</v>
      </c>
      <c r="P478" s="26" t="n">
        <v>5</v>
      </c>
      <c r="Q478" s="28" t="n">
        <v>100</v>
      </c>
      <c r="R478" s="26" t="n">
        <v>30</v>
      </c>
      <c r="S478" s="26" t="n">
        <v>0</v>
      </c>
      <c r="T478" s="28" t="n">
        <v>1</v>
      </c>
      <c r="U478" s="26" t="n">
        <v>0</v>
      </c>
      <c r="V478" s="26" t="n">
        <v>250</v>
      </c>
      <c r="W478" s="22" t="s">
        <v>16</v>
      </c>
      <c r="X478" s="22" t="s">
        <v>2106</v>
      </c>
    </row>
    <row r="479" customFormat="false" ht="15" hidden="false" customHeight="false" outlineLevel="0" collapsed="false">
      <c r="A479" s="22" t="s">
        <v>2174</v>
      </c>
      <c r="B479" s="22" t="s">
        <v>16</v>
      </c>
      <c r="C479" s="22" t="s">
        <v>2175</v>
      </c>
      <c r="D479" s="22" t="s">
        <v>2176</v>
      </c>
      <c r="E479" s="22" t="s">
        <v>2177</v>
      </c>
      <c r="F479" s="22" t="n">
        <v>12</v>
      </c>
      <c r="G479" s="26" t="n">
        <v>88.13</v>
      </c>
      <c r="H479" s="26" t="n">
        <v>98.14</v>
      </c>
      <c r="I479" s="26" t="n">
        <v>118.18</v>
      </c>
      <c r="J479" s="26" t="n">
        <v>128.2</v>
      </c>
      <c r="K479" s="26" t="n">
        <v>143.22</v>
      </c>
      <c r="L479" s="26" t="n">
        <v>2.28</v>
      </c>
      <c r="M479" s="27" t="n">
        <v>0.005</v>
      </c>
      <c r="N479" s="27" t="n">
        <v>0.002</v>
      </c>
      <c r="O479" s="26" t="n">
        <v>5</v>
      </c>
      <c r="P479" s="26" t="n">
        <v>5</v>
      </c>
      <c r="Q479" s="28" t="n">
        <v>100</v>
      </c>
      <c r="R479" s="26" t="n">
        <v>30</v>
      </c>
      <c r="S479" s="26" t="n">
        <v>0</v>
      </c>
      <c r="T479" s="28" t="n">
        <v>1</v>
      </c>
      <c r="U479" s="26" t="n">
        <v>0</v>
      </c>
      <c r="V479" s="26" t="n">
        <v>0</v>
      </c>
      <c r="W479" s="22" t="s">
        <v>16</v>
      </c>
      <c r="X479" s="22" t="s">
        <v>2106</v>
      </c>
    </row>
    <row r="480" customFormat="false" ht="15" hidden="false" customHeight="false" outlineLevel="0" collapsed="false">
      <c r="A480" s="22" t="s">
        <v>2178</v>
      </c>
      <c r="B480" s="22" t="s">
        <v>16</v>
      </c>
      <c r="C480" s="22" t="s">
        <v>2179</v>
      </c>
      <c r="D480" s="22" t="s">
        <v>2180</v>
      </c>
      <c r="E480" s="22" t="s">
        <v>2181</v>
      </c>
      <c r="F480" s="22" t="n">
        <v>12</v>
      </c>
      <c r="G480" s="26" t="n">
        <v>88.13</v>
      </c>
      <c r="H480" s="26" t="n">
        <v>98.14</v>
      </c>
      <c r="I480" s="26" t="n">
        <v>118.18</v>
      </c>
      <c r="J480" s="26" t="n">
        <v>128.2</v>
      </c>
      <c r="K480" s="26" t="n">
        <v>143.22</v>
      </c>
      <c r="L480" s="26" t="n">
        <v>2.28</v>
      </c>
      <c r="M480" s="27" t="n">
        <v>0.005</v>
      </c>
      <c r="N480" s="27" t="n">
        <v>0.002</v>
      </c>
      <c r="O480" s="26" t="n">
        <v>5</v>
      </c>
      <c r="P480" s="26" t="n">
        <v>5</v>
      </c>
      <c r="Q480" s="28" t="n">
        <v>100</v>
      </c>
      <c r="R480" s="26" t="n">
        <v>30</v>
      </c>
      <c r="S480" s="26" t="n">
        <v>0</v>
      </c>
      <c r="T480" s="28" t="n">
        <v>1</v>
      </c>
      <c r="U480" s="26" t="n">
        <v>0</v>
      </c>
      <c r="V480" s="26" t="n">
        <v>250</v>
      </c>
      <c r="W480" s="22" t="s">
        <v>16</v>
      </c>
      <c r="X480" s="22" t="s">
        <v>2106</v>
      </c>
    </row>
    <row r="481" customFormat="false" ht="15" hidden="false" customHeight="false" outlineLevel="0" collapsed="false">
      <c r="A481" s="22" t="s">
        <v>2182</v>
      </c>
      <c r="B481" s="22" t="s">
        <v>16</v>
      </c>
      <c r="C481" s="22" t="s">
        <v>2183</v>
      </c>
      <c r="D481" s="22" t="s">
        <v>2184</v>
      </c>
      <c r="E481" s="22" t="s">
        <v>2185</v>
      </c>
      <c r="F481" s="22" t="n">
        <v>12</v>
      </c>
      <c r="G481" s="26" t="n">
        <v>88.13</v>
      </c>
      <c r="H481" s="26" t="n">
        <v>98.14</v>
      </c>
      <c r="I481" s="26" t="n">
        <v>118.18</v>
      </c>
      <c r="J481" s="26" t="n">
        <v>128.2</v>
      </c>
      <c r="K481" s="26" t="n">
        <v>143.22</v>
      </c>
      <c r="L481" s="26" t="n">
        <v>2.28</v>
      </c>
      <c r="M481" s="27" t="n">
        <v>0.005</v>
      </c>
      <c r="N481" s="27" t="n">
        <v>0.002</v>
      </c>
      <c r="O481" s="26" t="n">
        <v>5</v>
      </c>
      <c r="P481" s="26" t="n">
        <v>5</v>
      </c>
      <c r="Q481" s="28" t="n">
        <v>100</v>
      </c>
      <c r="R481" s="26" t="n">
        <v>30</v>
      </c>
      <c r="S481" s="26" t="n">
        <v>0</v>
      </c>
      <c r="T481" s="28" t="n">
        <v>1</v>
      </c>
      <c r="U481" s="26" t="n">
        <v>0</v>
      </c>
      <c r="V481" s="26" t="n">
        <v>0</v>
      </c>
      <c r="W481" s="22" t="s">
        <v>16</v>
      </c>
      <c r="X481" s="22" t="s">
        <v>2106</v>
      </c>
    </row>
    <row r="482" customFormat="false" ht="15" hidden="false" customHeight="false" outlineLevel="0" collapsed="false">
      <c r="A482" s="22" t="s">
        <v>2186</v>
      </c>
      <c r="B482" s="22" t="s">
        <v>16</v>
      </c>
      <c r="C482" s="22" t="s">
        <v>2187</v>
      </c>
      <c r="D482" s="22" t="s">
        <v>2188</v>
      </c>
      <c r="E482" s="22" t="s">
        <v>2189</v>
      </c>
      <c r="F482" s="22" t="n">
        <v>12</v>
      </c>
      <c r="G482" s="26" t="n">
        <v>88.13</v>
      </c>
      <c r="H482" s="26" t="n">
        <v>98.14</v>
      </c>
      <c r="I482" s="26" t="n">
        <v>118.18</v>
      </c>
      <c r="J482" s="26" t="n">
        <v>128.2</v>
      </c>
      <c r="K482" s="26" t="n">
        <v>143.22</v>
      </c>
      <c r="L482" s="26" t="n">
        <v>2.28</v>
      </c>
      <c r="M482" s="27" t="n">
        <v>0.005</v>
      </c>
      <c r="N482" s="27" t="n">
        <v>0.002</v>
      </c>
      <c r="O482" s="26" t="n">
        <v>5</v>
      </c>
      <c r="P482" s="26" t="n">
        <v>5</v>
      </c>
      <c r="Q482" s="28" t="n">
        <v>100</v>
      </c>
      <c r="R482" s="26" t="n">
        <v>30</v>
      </c>
      <c r="S482" s="26" t="n">
        <v>0</v>
      </c>
      <c r="T482" s="28" t="n">
        <v>1</v>
      </c>
      <c r="U482" s="26" t="n">
        <v>0</v>
      </c>
      <c r="V482" s="26" t="n">
        <v>0</v>
      </c>
      <c r="W482" s="22" t="s">
        <v>16</v>
      </c>
      <c r="X482" s="22" t="s">
        <v>2106</v>
      </c>
    </row>
    <row r="483" customFormat="false" ht="15" hidden="false" customHeight="false" outlineLevel="0" collapsed="false">
      <c r="A483" s="22" t="s">
        <v>2190</v>
      </c>
      <c r="B483" s="22" t="s">
        <v>16</v>
      </c>
      <c r="C483" s="22" t="s">
        <v>2191</v>
      </c>
      <c r="D483" s="22" t="s">
        <v>2192</v>
      </c>
      <c r="E483" s="22" t="s">
        <v>2193</v>
      </c>
      <c r="F483" s="22" t="n">
        <v>12</v>
      </c>
      <c r="G483" s="26" t="n">
        <v>88.13</v>
      </c>
      <c r="H483" s="26" t="n">
        <v>98.14</v>
      </c>
      <c r="I483" s="26" t="n">
        <v>118.18</v>
      </c>
      <c r="J483" s="26" t="n">
        <v>128.2</v>
      </c>
      <c r="K483" s="26" t="n">
        <v>143.22</v>
      </c>
      <c r="L483" s="26" t="n">
        <v>2.28</v>
      </c>
      <c r="M483" s="27" t="n">
        <v>0.005</v>
      </c>
      <c r="N483" s="27" t="n">
        <v>0.002</v>
      </c>
      <c r="O483" s="26" t="n">
        <v>5</v>
      </c>
      <c r="P483" s="26" t="n">
        <v>5</v>
      </c>
      <c r="Q483" s="28" t="n">
        <v>100</v>
      </c>
      <c r="R483" s="26" t="n">
        <v>30</v>
      </c>
      <c r="S483" s="26" t="n">
        <v>0</v>
      </c>
      <c r="T483" s="28" t="n">
        <v>1</v>
      </c>
      <c r="U483" s="26" t="n">
        <v>0</v>
      </c>
      <c r="V483" s="26" t="n">
        <v>0</v>
      </c>
      <c r="W483" s="22" t="s">
        <v>16</v>
      </c>
      <c r="X483" s="22" t="s">
        <v>2106</v>
      </c>
    </row>
    <row r="484" customFormat="false" ht="15" hidden="false" customHeight="false" outlineLevel="0" collapsed="false">
      <c r="A484" s="22" t="s">
        <v>2194</v>
      </c>
      <c r="B484" s="22" t="s">
        <v>16</v>
      </c>
      <c r="C484" s="22" t="s">
        <v>2195</v>
      </c>
      <c r="D484" s="22" t="s">
        <v>2196</v>
      </c>
      <c r="E484" s="22" t="s">
        <v>2197</v>
      </c>
      <c r="F484" s="22" t="n">
        <v>12</v>
      </c>
      <c r="G484" s="26" t="n">
        <v>88.13</v>
      </c>
      <c r="H484" s="26" t="n">
        <v>98.14</v>
      </c>
      <c r="I484" s="26" t="n">
        <v>118.18</v>
      </c>
      <c r="J484" s="26" t="n">
        <v>128.2</v>
      </c>
      <c r="K484" s="26" t="n">
        <v>143.22</v>
      </c>
      <c r="L484" s="26" t="n">
        <v>2.28</v>
      </c>
      <c r="M484" s="27" t="n">
        <v>0.005</v>
      </c>
      <c r="N484" s="27" t="n">
        <v>0.002</v>
      </c>
      <c r="O484" s="26" t="n">
        <v>5</v>
      </c>
      <c r="P484" s="26" t="n">
        <v>5</v>
      </c>
      <c r="Q484" s="28" t="n">
        <v>100</v>
      </c>
      <c r="R484" s="26" t="n">
        <v>30</v>
      </c>
      <c r="S484" s="26" t="n">
        <v>0</v>
      </c>
      <c r="T484" s="28" t="n">
        <v>1</v>
      </c>
      <c r="U484" s="26" t="n">
        <v>0</v>
      </c>
      <c r="V484" s="26" t="n">
        <v>0</v>
      </c>
      <c r="W484" s="22" t="s">
        <v>16</v>
      </c>
      <c r="X484" s="22" t="s">
        <v>2106</v>
      </c>
    </row>
    <row r="485" customFormat="false" ht="15" hidden="false" customHeight="false" outlineLevel="0" collapsed="false">
      <c r="A485" s="22" t="s">
        <v>2198</v>
      </c>
      <c r="B485" s="22" t="s">
        <v>16</v>
      </c>
      <c r="C485" s="22" t="s">
        <v>2199</v>
      </c>
      <c r="D485" s="22" t="s">
        <v>2200</v>
      </c>
      <c r="E485" s="22" t="s">
        <v>2201</v>
      </c>
      <c r="F485" s="22" t="n">
        <v>12</v>
      </c>
      <c r="G485" s="26" t="n">
        <v>88.13</v>
      </c>
      <c r="H485" s="26" t="n">
        <v>98.14</v>
      </c>
      <c r="I485" s="26" t="n">
        <v>118.18</v>
      </c>
      <c r="J485" s="26" t="n">
        <v>128.2</v>
      </c>
      <c r="K485" s="26" t="n">
        <v>143.22</v>
      </c>
      <c r="L485" s="26" t="n">
        <v>2.28</v>
      </c>
      <c r="M485" s="27" t="n">
        <v>0.005</v>
      </c>
      <c r="N485" s="27" t="n">
        <v>0.002</v>
      </c>
      <c r="O485" s="26" t="n">
        <v>5</v>
      </c>
      <c r="P485" s="26" t="n">
        <v>5</v>
      </c>
      <c r="Q485" s="28" t="n">
        <v>100</v>
      </c>
      <c r="R485" s="26" t="n">
        <v>30</v>
      </c>
      <c r="S485" s="26" t="n">
        <v>0</v>
      </c>
      <c r="T485" s="28" t="n">
        <v>1</v>
      </c>
      <c r="U485" s="26" t="n">
        <v>0</v>
      </c>
      <c r="V485" s="26" t="n">
        <v>0</v>
      </c>
      <c r="W485" s="22" t="s">
        <v>16</v>
      </c>
      <c r="X485" s="22" t="s">
        <v>2106</v>
      </c>
    </row>
    <row r="486" customFormat="false" ht="15" hidden="false" customHeight="false" outlineLevel="0" collapsed="false">
      <c r="A486" s="22" t="s">
        <v>2202</v>
      </c>
      <c r="B486" s="22" t="s">
        <v>16</v>
      </c>
      <c r="C486" s="22" t="s">
        <v>2203</v>
      </c>
      <c r="D486" s="22" t="s">
        <v>2204</v>
      </c>
      <c r="E486" s="22" t="s">
        <v>2205</v>
      </c>
      <c r="F486" s="22" t="n">
        <v>12</v>
      </c>
      <c r="G486" s="26" t="n">
        <v>88.13</v>
      </c>
      <c r="H486" s="26" t="n">
        <v>98.14</v>
      </c>
      <c r="I486" s="26" t="n">
        <v>118.18</v>
      </c>
      <c r="J486" s="26" t="n">
        <v>128.2</v>
      </c>
      <c r="K486" s="26" t="n">
        <v>143.22</v>
      </c>
      <c r="L486" s="26" t="n">
        <v>2.28</v>
      </c>
      <c r="M486" s="27" t="n">
        <v>0.005</v>
      </c>
      <c r="N486" s="27" t="n">
        <v>0.002</v>
      </c>
      <c r="O486" s="26" t="n">
        <v>5</v>
      </c>
      <c r="P486" s="26" t="n">
        <v>5</v>
      </c>
      <c r="Q486" s="28" t="n">
        <v>100</v>
      </c>
      <c r="R486" s="26" t="n">
        <v>30</v>
      </c>
      <c r="S486" s="26" t="n">
        <v>0</v>
      </c>
      <c r="T486" s="28" t="n">
        <v>1</v>
      </c>
      <c r="U486" s="26" t="n">
        <v>0</v>
      </c>
      <c r="V486" s="26" t="n">
        <v>0</v>
      </c>
      <c r="W486" s="22" t="s">
        <v>16</v>
      </c>
      <c r="X486" s="22" t="s">
        <v>2106</v>
      </c>
    </row>
    <row r="487" customFormat="false" ht="15" hidden="false" customHeight="false" outlineLevel="0" collapsed="false">
      <c r="A487" s="22" t="s">
        <v>2206</v>
      </c>
      <c r="B487" s="22" t="s">
        <v>16</v>
      </c>
      <c r="C487" s="22" t="s">
        <v>2207</v>
      </c>
      <c r="D487" s="22" t="s">
        <v>2208</v>
      </c>
      <c r="E487" s="22" t="s">
        <v>2209</v>
      </c>
      <c r="F487" s="22" t="n">
        <v>12</v>
      </c>
      <c r="G487" s="26" t="n">
        <v>88.13</v>
      </c>
      <c r="H487" s="26" t="n">
        <v>98.14</v>
      </c>
      <c r="I487" s="26" t="n">
        <v>118.18</v>
      </c>
      <c r="J487" s="26" t="n">
        <v>128.2</v>
      </c>
      <c r="K487" s="26" t="n">
        <v>143.22</v>
      </c>
      <c r="L487" s="26" t="n">
        <v>2.28</v>
      </c>
      <c r="M487" s="27" t="n">
        <v>0.005</v>
      </c>
      <c r="N487" s="27" t="n">
        <v>0.002</v>
      </c>
      <c r="O487" s="26" t="n">
        <v>5</v>
      </c>
      <c r="P487" s="26" t="n">
        <v>5</v>
      </c>
      <c r="Q487" s="28" t="n">
        <v>100</v>
      </c>
      <c r="R487" s="26" t="n">
        <v>30</v>
      </c>
      <c r="S487" s="26" t="n">
        <v>0</v>
      </c>
      <c r="T487" s="28" t="n">
        <v>1</v>
      </c>
      <c r="U487" s="26" t="n">
        <v>0</v>
      </c>
      <c r="V487" s="26" t="n">
        <v>0</v>
      </c>
      <c r="W487" s="22" t="s">
        <v>16</v>
      </c>
      <c r="X487" s="22" t="s">
        <v>2106</v>
      </c>
    </row>
    <row r="488" customFormat="false" ht="15" hidden="false" customHeight="false" outlineLevel="0" collapsed="false">
      <c r="A488" s="22" t="s">
        <v>2210</v>
      </c>
      <c r="B488" s="22" t="s">
        <v>16</v>
      </c>
      <c r="C488" s="22" t="s">
        <v>2211</v>
      </c>
      <c r="D488" s="22" t="s">
        <v>2212</v>
      </c>
      <c r="E488" s="22" t="s">
        <v>2213</v>
      </c>
      <c r="F488" s="22" t="n">
        <v>12</v>
      </c>
      <c r="G488" s="26" t="n">
        <v>88.13</v>
      </c>
      <c r="H488" s="26" t="n">
        <v>98.14</v>
      </c>
      <c r="I488" s="26" t="n">
        <v>118.18</v>
      </c>
      <c r="J488" s="26" t="n">
        <v>128.2</v>
      </c>
      <c r="K488" s="26" t="n">
        <v>143.22</v>
      </c>
      <c r="L488" s="26" t="n">
        <v>2.28</v>
      </c>
      <c r="M488" s="27" t="n">
        <v>0.005</v>
      </c>
      <c r="N488" s="27" t="n">
        <v>0.002</v>
      </c>
      <c r="O488" s="26" t="n">
        <v>5</v>
      </c>
      <c r="P488" s="26" t="n">
        <v>5</v>
      </c>
      <c r="Q488" s="28" t="n">
        <v>100</v>
      </c>
      <c r="R488" s="26" t="n">
        <v>30</v>
      </c>
      <c r="S488" s="26" t="n">
        <v>0</v>
      </c>
      <c r="T488" s="28" t="n">
        <v>1</v>
      </c>
      <c r="U488" s="26" t="n">
        <v>0</v>
      </c>
      <c r="V488" s="26" t="n">
        <v>0</v>
      </c>
      <c r="W488" s="22" t="s">
        <v>16</v>
      </c>
      <c r="X488" s="22" t="s">
        <v>2106</v>
      </c>
    </row>
    <row r="489" customFormat="false" ht="15" hidden="false" customHeight="false" outlineLevel="0" collapsed="false">
      <c r="A489" s="22" t="s">
        <v>2214</v>
      </c>
      <c r="B489" s="22" t="s">
        <v>16</v>
      </c>
      <c r="C489" s="22" t="s">
        <v>2215</v>
      </c>
      <c r="D489" s="22" t="s">
        <v>2216</v>
      </c>
      <c r="E489" s="22" t="s">
        <v>2217</v>
      </c>
      <c r="F489" s="22" t="n">
        <v>12</v>
      </c>
      <c r="G489" s="26" t="n">
        <v>88.13</v>
      </c>
      <c r="H489" s="26" t="n">
        <v>98.14</v>
      </c>
      <c r="I489" s="26" t="n">
        <v>118.18</v>
      </c>
      <c r="J489" s="26" t="n">
        <v>128.2</v>
      </c>
      <c r="K489" s="26" t="n">
        <v>143.22</v>
      </c>
      <c r="L489" s="26" t="n">
        <v>2.28</v>
      </c>
      <c r="M489" s="27" t="n">
        <v>0.005</v>
      </c>
      <c r="N489" s="27" t="n">
        <v>0.002</v>
      </c>
      <c r="O489" s="26" t="n">
        <v>5</v>
      </c>
      <c r="P489" s="26" t="n">
        <v>5</v>
      </c>
      <c r="Q489" s="28" t="n">
        <v>100</v>
      </c>
      <c r="R489" s="26" t="n">
        <v>30</v>
      </c>
      <c r="S489" s="26" t="n">
        <v>0</v>
      </c>
      <c r="T489" s="28" t="n">
        <v>1</v>
      </c>
      <c r="U489" s="26" t="n">
        <v>0</v>
      </c>
      <c r="V489" s="26" t="n">
        <v>0</v>
      </c>
      <c r="W489" s="22" t="s">
        <v>16</v>
      </c>
      <c r="X489" s="22" t="s">
        <v>2106</v>
      </c>
    </row>
    <row r="490" customFormat="false" ht="15" hidden="false" customHeight="false" outlineLevel="0" collapsed="false">
      <c r="A490" s="22" t="s">
        <v>2218</v>
      </c>
      <c r="B490" s="22" t="s">
        <v>16</v>
      </c>
      <c r="C490" s="22" t="s">
        <v>2219</v>
      </c>
      <c r="D490" s="22" t="s">
        <v>2220</v>
      </c>
      <c r="E490" s="22" t="s">
        <v>2221</v>
      </c>
      <c r="F490" s="22" t="n">
        <v>12</v>
      </c>
      <c r="G490" s="26" t="n">
        <v>88.13</v>
      </c>
      <c r="H490" s="26" t="n">
        <v>98.14</v>
      </c>
      <c r="I490" s="26" t="n">
        <v>118.18</v>
      </c>
      <c r="J490" s="26" t="n">
        <v>128.2</v>
      </c>
      <c r="K490" s="26" t="n">
        <v>143.22</v>
      </c>
      <c r="L490" s="26" t="n">
        <v>2.28</v>
      </c>
      <c r="M490" s="27" t="n">
        <v>0.005</v>
      </c>
      <c r="N490" s="27" t="n">
        <v>0.002</v>
      </c>
      <c r="O490" s="26" t="n">
        <v>5</v>
      </c>
      <c r="P490" s="26" t="n">
        <v>5</v>
      </c>
      <c r="Q490" s="28" t="n">
        <v>100</v>
      </c>
      <c r="R490" s="26" t="n">
        <v>30</v>
      </c>
      <c r="S490" s="26" t="n">
        <v>0</v>
      </c>
      <c r="T490" s="28" t="n">
        <v>1</v>
      </c>
      <c r="U490" s="26" t="n">
        <v>0</v>
      </c>
      <c r="V490" s="26" t="n">
        <v>250</v>
      </c>
      <c r="W490" s="22" t="s">
        <v>16</v>
      </c>
      <c r="X490" s="22" t="s">
        <v>2106</v>
      </c>
    </row>
    <row r="491" customFormat="false" ht="15" hidden="false" customHeight="false" outlineLevel="0" collapsed="false">
      <c r="A491" s="22" t="s">
        <v>2222</v>
      </c>
      <c r="B491" s="22" t="s">
        <v>16</v>
      </c>
      <c r="C491" s="22" t="s">
        <v>2223</v>
      </c>
      <c r="D491" s="22" t="s">
        <v>2224</v>
      </c>
      <c r="E491" s="22" t="s">
        <v>2225</v>
      </c>
      <c r="F491" s="22" t="n">
        <v>12</v>
      </c>
      <c r="G491" s="26" t="n">
        <v>88.13</v>
      </c>
      <c r="H491" s="26" t="n">
        <v>98.14</v>
      </c>
      <c r="I491" s="26" t="n">
        <v>118.18</v>
      </c>
      <c r="J491" s="26" t="n">
        <v>128.2</v>
      </c>
      <c r="K491" s="26" t="n">
        <v>143.22</v>
      </c>
      <c r="L491" s="26" t="n">
        <v>2.28</v>
      </c>
      <c r="M491" s="27" t="n">
        <v>0.005</v>
      </c>
      <c r="N491" s="27" t="n">
        <v>0.002</v>
      </c>
      <c r="O491" s="26" t="n">
        <v>5</v>
      </c>
      <c r="P491" s="26" t="n">
        <v>5</v>
      </c>
      <c r="Q491" s="28" t="n">
        <v>100</v>
      </c>
      <c r="R491" s="26" t="n">
        <v>30</v>
      </c>
      <c r="S491" s="26" t="n">
        <v>0</v>
      </c>
      <c r="T491" s="28" t="n">
        <v>1</v>
      </c>
      <c r="U491" s="26" t="n">
        <v>0</v>
      </c>
      <c r="V491" s="26" t="n">
        <v>250</v>
      </c>
      <c r="W491" s="22" t="s">
        <v>16</v>
      </c>
      <c r="X491" s="22" t="s">
        <v>2106</v>
      </c>
    </row>
    <row r="492" customFormat="false" ht="15" hidden="false" customHeight="false" outlineLevel="0" collapsed="false">
      <c r="A492" s="22" t="s">
        <v>2226</v>
      </c>
      <c r="B492" s="22" t="s">
        <v>16</v>
      </c>
      <c r="C492" s="22" t="s">
        <v>2227</v>
      </c>
      <c r="D492" s="22" t="s">
        <v>2228</v>
      </c>
      <c r="E492" s="22" t="s">
        <v>2229</v>
      </c>
      <c r="F492" s="22" t="n">
        <v>12</v>
      </c>
      <c r="G492" s="26" t="n">
        <v>88.13</v>
      </c>
      <c r="H492" s="26" t="n">
        <v>98.14</v>
      </c>
      <c r="I492" s="26" t="n">
        <v>118.18</v>
      </c>
      <c r="J492" s="26" t="n">
        <v>128.2</v>
      </c>
      <c r="K492" s="26" t="n">
        <v>143.22</v>
      </c>
      <c r="L492" s="26" t="n">
        <v>2.28</v>
      </c>
      <c r="M492" s="27" t="n">
        <v>0.005</v>
      </c>
      <c r="N492" s="27" t="n">
        <v>0.002</v>
      </c>
      <c r="O492" s="26" t="n">
        <v>5</v>
      </c>
      <c r="P492" s="26" t="n">
        <v>5</v>
      </c>
      <c r="Q492" s="28" t="n">
        <v>100</v>
      </c>
      <c r="R492" s="26" t="n">
        <v>30</v>
      </c>
      <c r="S492" s="26" t="n">
        <v>0</v>
      </c>
      <c r="T492" s="28" t="n">
        <v>1</v>
      </c>
      <c r="U492" s="26" t="n">
        <v>0</v>
      </c>
      <c r="V492" s="26" t="n">
        <v>250</v>
      </c>
      <c r="W492" s="22" t="s">
        <v>16</v>
      </c>
      <c r="X492" s="22" t="s">
        <v>2106</v>
      </c>
    </row>
    <row r="493" customFormat="false" ht="15" hidden="false" customHeight="false" outlineLevel="0" collapsed="false">
      <c r="A493" s="22" t="s">
        <v>2230</v>
      </c>
      <c r="B493" s="22" t="s">
        <v>16</v>
      </c>
      <c r="C493" s="22" t="s">
        <v>2231</v>
      </c>
      <c r="D493" s="22" t="s">
        <v>2232</v>
      </c>
      <c r="E493" s="22" t="s">
        <v>2233</v>
      </c>
      <c r="F493" s="22" t="n">
        <v>12</v>
      </c>
      <c r="G493" s="26" t="n">
        <v>88.13</v>
      </c>
      <c r="H493" s="26" t="n">
        <v>98.14</v>
      </c>
      <c r="I493" s="26" t="n">
        <v>118.18</v>
      </c>
      <c r="J493" s="26" t="n">
        <v>128.2</v>
      </c>
      <c r="K493" s="26" t="n">
        <v>143.22</v>
      </c>
      <c r="L493" s="26" t="n">
        <v>2.28</v>
      </c>
      <c r="M493" s="27" t="n">
        <v>0.005</v>
      </c>
      <c r="N493" s="27" t="n">
        <v>0.002</v>
      </c>
      <c r="O493" s="26" t="n">
        <v>5</v>
      </c>
      <c r="P493" s="26" t="n">
        <v>5</v>
      </c>
      <c r="Q493" s="28" t="n">
        <v>100</v>
      </c>
      <c r="R493" s="26" t="n">
        <v>30</v>
      </c>
      <c r="S493" s="26" t="n">
        <v>0</v>
      </c>
      <c r="T493" s="28" t="n">
        <v>1</v>
      </c>
      <c r="U493" s="26" t="n">
        <v>0</v>
      </c>
      <c r="V493" s="26" t="n">
        <v>250</v>
      </c>
      <c r="W493" s="22" t="s">
        <v>16</v>
      </c>
      <c r="X493" s="22" t="s">
        <v>2106</v>
      </c>
    </row>
    <row r="494" customFormat="false" ht="15" hidden="false" customHeight="false" outlineLevel="0" collapsed="false">
      <c r="A494" s="22" t="s">
        <v>2234</v>
      </c>
      <c r="B494" s="22" t="s">
        <v>16</v>
      </c>
      <c r="C494" s="22" t="s">
        <v>2235</v>
      </c>
      <c r="D494" s="22" t="s">
        <v>2236</v>
      </c>
      <c r="E494" s="22" t="s">
        <v>2237</v>
      </c>
      <c r="F494" s="22" t="n">
        <v>12</v>
      </c>
      <c r="G494" s="26" t="n">
        <v>88.13</v>
      </c>
      <c r="H494" s="26" t="n">
        <v>98.14</v>
      </c>
      <c r="I494" s="26" t="n">
        <v>118.18</v>
      </c>
      <c r="J494" s="26" t="n">
        <v>128.2</v>
      </c>
      <c r="K494" s="26" t="n">
        <v>143.22</v>
      </c>
      <c r="L494" s="26" t="n">
        <v>2.28</v>
      </c>
      <c r="M494" s="27" t="n">
        <v>0.005</v>
      </c>
      <c r="N494" s="27" t="n">
        <v>0.002</v>
      </c>
      <c r="O494" s="26" t="n">
        <v>5</v>
      </c>
      <c r="P494" s="26" t="n">
        <v>5</v>
      </c>
      <c r="Q494" s="28" t="n">
        <v>100</v>
      </c>
      <c r="R494" s="26" t="n">
        <v>30</v>
      </c>
      <c r="S494" s="26" t="n">
        <v>0</v>
      </c>
      <c r="T494" s="28" t="n">
        <v>1</v>
      </c>
      <c r="U494" s="26" t="n">
        <v>0</v>
      </c>
      <c r="V494" s="26" t="n">
        <v>250</v>
      </c>
      <c r="W494" s="22" t="s">
        <v>16</v>
      </c>
      <c r="X494" s="22" t="s">
        <v>2106</v>
      </c>
    </row>
    <row r="495" customFormat="false" ht="15" hidden="false" customHeight="false" outlineLevel="0" collapsed="false">
      <c r="A495" s="22" t="s">
        <v>2238</v>
      </c>
      <c r="B495" s="22" t="s">
        <v>16</v>
      </c>
      <c r="C495" s="22" t="s">
        <v>2239</v>
      </c>
      <c r="D495" s="22" t="s">
        <v>2240</v>
      </c>
      <c r="E495" s="22" t="s">
        <v>2241</v>
      </c>
      <c r="F495" s="22" t="n">
        <v>12</v>
      </c>
      <c r="G495" s="26" t="n">
        <v>88.13</v>
      </c>
      <c r="H495" s="26" t="n">
        <v>98.14</v>
      </c>
      <c r="I495" s="26" t="n">
        <v>118.18</v>
      </c>
      <c r="J495" s="26" t="n">
        <v>128.2</v>
      </c>
      <c r="K495" s="26" t="n">
        <v>143.22</v>
      </c>
      <c r="L495" s="26" t="n">
        <v>2.28</v>
      </c>
      <c r="M495" s="27" t="n">
        <v>0.005</v>
      </c>
      <c r="N495" s="27" t="n">
        <v>0.002</v>
      </c>
      <c r="O495" s="26" t="n">
        <v>5</v>
      </c>
      <c r="P495" s="26" t="n">
        <v>5</v>
      </c>
      <c r="Q495" s="28" t="n">
        <v>100</v>
      </c>
      <c r="R495" s="26" t="n">
        <v>30</v>
      </c>
      <c r="S495" s="26" t="n">
        <v>0</v>
      </c>
      <c r="T495" s="28" t="n">
        <v>1</v>
      </c>
      <c r="U495" s="26" t="n">
        <v>0</v>
      </c>
      <c r="V495" s="26" t="n">
        <v>0</v>
      </c>
      <c r="W495" s="22" t="s">
        <v>16</v>
      </c>
      <c r="X495" s="22" t="s">
        <v>2106</v>
      </c>
    </row>
    <row r="496" customFormat="false" ht="15" hidden="false" customHeight="false" outlineLevel="0" collapsed="false">
      <c r="A496" s="22" t="s">
        <v>2242</v>
      </c>
      <c r="B496" s="22" t="s">
        <v>16</v>
      </c>
      <c r="C496" s="22" t="s">
        <v>2243</v>
      </c>
      <c r="D496" s="22" t="s">
        <v>2244</v>
      </c>
      <c r="E496" s="22" t="s">
        <v>2245</v>
      </c>
      <c r="F496" s="22" t="n">
        <v>12</v>
      </c>
      <c r="G496" s="26" t="n">
        <v>88.13</v>
      </c>
      <c r="H496" s="26" t="n">
        <v>98.14</v>
      </c>
      <c r="I496" s="26" t="n">
        <v>118.18</v>
      </c>
      <c r="J496" s="26" t="n">
        <v>128.2</v>
      </c>
      <c r="K496" s="26" t="n">
        <v>143.22</v>
      </c>
      <c r="L496" s="26" t="n">
        <v>2.28</v>
      </c>
      <c r="M496" s="27" t="n">
        <v>0.005</v>
      </c>
      <c r="N496" s="27" t="n">
        <v>0.002</v>
      </c>
      <c r="O496" s="26" t="n">
        <v>5</v>
      </c>
      <c r="P496" s="26" t="n">
        <v>5</v>
      </c>
      <c r="Q496" s="28" t="n">
        <v>100</v>
      </c>
      <c r="R496" s="26" t="n">
        <v>30</v>
      </c>
      <c r="S496" s="26" t="n">
        <v>0</v>
      </c>
      <c r="T496" s="28" t="n">
        <v>1</v>
      </c>
      <c r="U496" s="26" t="n">
        <v>0</v>
      </c>
      <c r="V496" s="26" t="n">
        <v>0</v>
      </c>
      <c r="W496" s="22" t="s">
        <v>16</v>
      </c>
      <c r="X496" s="22" t="s">
        <v>2106</v>
      </c>
    </row>
    <row r="497" customFormat="false" ht="15" hidden="false" customHeight="false" outlineLevel="0" collapsed="false">
      <c r="A497" s="22" t="s">
        <v>2246</v>
      </c>
      <c r="B497" s="22" t="s">
        <v>16</v>
      </c>
      <c r="C497" s="22" t="s">
        <v>2247</v>
      </c>
      <c r="D497" s="22" t="s">
        <v>2248</v>
      </c>
      <c r="E497" s="22" t="s">
        <v>2249</v>
      </c>
      <c r="F497" s="22" t="n">
        <v>12</v>
      </c>
      <c r="G497" s="26" t="n">
        <v>88.13</v>
      </c>
      <c r="H497" s="26" t="n">
        <v>98.14</v>
      </c>
      <c r="I497" s="26" t="n">
        <v>118.18</v>
      </c>
      <c r="J497" s="26" t="n">
        <v>128.2</v>
      </c>
      <c r="K497" s="26" t="n">
        <v>143.22</v>
      </c>
      <c r="L497" s="26" t="n">
        <v>2.28</v>
      </c>
      <c r="M497" s="27" t="n">
        <v>0.005</v>
      </c>
      <c r="N497" s="27" t="n">
        <v>0.002</v>
      </c>
      <c r="O497" s="26" t="n">
        <v>5</v>
      </c>
      <c r="P497" s="26" t="n">
        <v>5</v>
      </c>
      <c r="Q497" s="28" t="n">
        <v>100</v>
      </c>
      <c r="R497" s="26" t="n">
        <v>30</v>
      </c>
      <c r="S497" s="26" t="n">
        <v>0</v>
      </c>
      <c r="T497" s="28" t="n">
        <v>1</v>
      </c>
      <c r="U497" s="26" t="n">
        <v>0</v>
      </c>
      <c r="V497" s="26" t="n">
        <v>0</v>
      </c>
      <c r="W497" s="22" t="s">
        <v>16</v>
      </c>
      <c r="X497" s="22" t="s">
        <v>2106</v>
      </c>
    </row>
    <row r="498" customFormat="false" ht="15" hidden="false" customHeight="false" outlineLevel="0" collapsed="false">
      <c r="A498" s="22" t="s">
        <v>2250</v>
      </c>
      <c r="B498" s="22" t="s">
        <v>16</v>
      </c>
      <c r="C498" s="22" t="s">
        <v>2251</v>
      </c>
      <c r="D498" s="22" t="s">
        <v>2252</v>
      </c>
      <c r="E498" s="22" t="s">
        <v>2253</v>
      </c>
      <c r="F498" s="22" t="n">
        <v>12</v>
      </c>
      <c r="G498" s="26" t="n">
        <v>88.13</v>
      </c>
      <c r="H498" s="26" t="n">
        <v>98.14</v>
      </c>
      <c r="I498" s="26" t="n">
        <v>118.18</v>
      </c>
      <c r="J498" s="26" t="n">
        <v>128.2</v>
      </c>
      <c r="K498" s="26" t="n">
        <v>143.22</v>
      </c>
      <c r="L498" s="26" t="n">
        <v>2.28</v>
      </c>
      <c r="M498" s="27" t="n">
        <v>0.005</v>
      </c>
      <c r="N498" s="27" t="n">
        <v>0.002</v>
      </c>
      <c r="O498" s="26" t="n">
        <v>5</v>
      </c>
      <c r="P498" s="26" t="n">
        <v>5</v>
      </c>
      <c r="Q498" s="28" t="n">
        <v>100</v>
      </c>
      <c r="R498" s="26" t="n">
        <v>30</v>
      </c>
      <c r="S498" s="26" t="n">
        <v>0</v>
      </c>
      <c r="T498" s="28" t="n">
        <v>1</v>
      </c>
      <c r="U498" s="26" t="n">
        <v>0</v>
      </c>
      <c r="V498" s="26" t="n">
        <v>0</v>
      </c>
      <c r="W498" s="22" t="s">
        <v>16</v>
      </c>
      <c r="X498" s="22" t="s">
        <v>2106</v>
      </c>
    </row>
    <row r="499" customFormat="false" ht="15" hidden="false" customHeight="false" outlineLevel="0" collapsed="false">
      <c r="A499" s="22" t="s">
        <v>2254</v>
      </c>
      <c r="B499" s="22" t="s">
        <v>16</v>
      </c>
      <c r="C499" s="22" t="s">
        <v>2255</v>
      </c>
      <c r="D499" s="22" t="s">
        <v>2256</v>
      </c>
      <c r="E499" s="22" t="s">
        <v>2257</v>
      </c>
      <c r="F499" s="22" t="n">
        <v>12</v>
      </c>
      <c r="G499" s="26" t="n">
        <v>88.13</v>
      </c>
      <c r="H499" s="26" t="n">
        <v>98.14</v>
      </c>
      <c r="I499" s="26" t="n">
        <v>118.18</v>
      </c>
      <c r="J499" s="26" t="n">
        <v>128.2</v>
      </c>
      <c r="K499" s="26" t="n">
        <v>143.22</v>
      </c>
      <c r="L499" s="26" t="n">
        <v>2.28</v>
      </c>
      <c r="M499" s="27" t="n">
        <v>0.005</v>
      </c>
      <c r="N499" s="27" t="n">
        <v>0.002</v>
      </c>
      <c r="O499" s="26" t="n">
        <v>5</v>
      </c>
      <c r="P499" s="26" t="n">
        <v>5</v>
      </c>
      <c r="Q499" s="28" t="n">
        <v>100</v>
      </c>
      <c r="R499" s="26" t="n">
        <v>30</v>
      </c>
      <c r="S499" s="26" t="n">
        <v>0</v>
      </c>
      <c r="T499" s="28" t="n">
        <v>1</v>
      </c>
      <c r="U499" s="26" t="n">
        <v>0</v>
      </c>
      <c r="V499" s="26" t="n">
        <v>250</v>
      </c>
      <c r="W499" s="22" t="s">
        <v>16</v>
      </c>
      <c r="X499" s="22" t="s">
        <v>2106</v>
      </c>
    </row>
    <row r="500" customFormat="false" ht="15" hidden="false" customHeight="false" outlineLevel="0" collapsed="false">
      <c r="A500" s="22" t="s">
        <v>2258</v>
      </c>
      <c r="B500" s="22" t="s">
        <v>16</v>
      </c>
      <c r="C500" s="22" t="s">
        <v>2259</v>
      </c>
      <c r="D500" s="22" t="s">
        <v>2260</v>
      </c>
      <c r="E500" s="22" t="s">
        <v>2261</v>
      </c>
      <c r="F500" s="22" t="n">
        <v>12</v>
      </c>
      <c r="G500" s="26" t="n">
        <v>88.13</v>
      </c>
      <c r="H500" s="26" t="n">
        <v>98.14</v>
      </c>
      <c r="I500" s="26" t="n">
        <v>118.18</v>
      </c>
      <c r="J500" s="26" t="n">
        <v>128.2</v>
      </c>
      <c r="K500" s="26" t="n">
        <v>143.22</v>
      </c>
      <c r="L500" s="26" t="n">
        <v>2.28</v>
      </c>
      <c r="M500" s="27" t="n">
        <v>0.005</v>
      </c>
      <c r="N500" s="27" t="n">
        <v>0.002</v>
      </c>
      <c r="O500" s="26" t="n">
        <v>5</v>
      </c>
      <c r="P500" s="26" t="n">
        <v>5</v>
      </c>
      <c r="Q500" s="28" t="n">
        <v>100</v>
      </c>
      <c r="R500" s="26" t="n">
        <v>30</v>
      </c>
      <c r="S500" s="26" t="n">
        <v>0</v>
      </c>
      <c r="T500" s="28" t="n">
        <v>1</v>
      </c>
      <c r="U500" s="26" t="n">
        <v>0</v>
      </c>
      <c r="V500" s="26" t="n">
        <v>0</v>
      </c>
      <c r="W500" s="22" t="s">
        <v>16</v>
      </c>
      <c r="X500" s="22" t="s">
        <v>2106</v>
      </c>
    </row>
    <row r="501" customFormat="false" ht="15" hidden="false" customHeight="false" outlineLevel="0" collapsed="false">
      <c r="A501" s="22" t="s">
        <v>2262</v>
      </c>
      <c r="B501" s="22" t="s">
        <v>16</v>
      </c>
      <c r="C501" s="22" t="s">
        <v>2263</v>
      </c>
      <c r="D501" s="22" t="s">
        <v>2264</v>
      </c>
      <c r="E501" s="22" t="s">
        <v>2265</v>
      </c>
      <c r="F501" s="22" t="n">
        <v>12</v>
      </c>
      <c r="G501" s="26" t="n">
        <v>88.13</v>
      </c>
      <c r="H501" s="26" t="n">
        <v>98.14</v>
      </c>
      <c r="I501" s="26" t="n">
        <v>118.18</v>
      </c>
      <c r="J501" s="26" t="n">
        <v>128.2</v>
      </c>
      <c r="K501" s="26" t="n">
        <v>143.22</v>
      </c>
      <c r="L501" s="26" t="n">
        <v>2.28</v>
      </c>
      <c r="M501" s="27" t="n">
        <v>0.005</v>
      </c>
      <c r="N501" s="27" t="n">
        <v>0.002</v>
      </c>
      <c r="O501" s="26" t="n">
        <v>5</v>
      </c>
      <c r="P501" s="26" t="n">
        <v>5</v>
      </c>
      <c r="Q501" s="28" t="n">
        <v>100</v>
      </c>
      <c r="R501" s="26" t="n">
        <v>30</v>
      </c>
      <c r="S501" s="26" t="n">
        <v>0</v>
      </c>
      <c r="T501" s="28" t="n">
        <v>1</v>
      </c>
      <c r="U501" s="26" t="n">
        <v>0</v>
      </c>
      <c r="V501" s="26" t="n">
        <v>0</v>
      </c>
      <c r="W501" s="22" t="s">
        <v>16</v>
      </c>
      <c r="X501" s="22" t="s">
        <v>2106</v>
      </c>
    </row>
    <row r="502" customFormat="false" ht="15" hidden="false" customHeight="false" outlineLevel="0" collapsed="false">
      <c r="A502" s="22" t="s">
        <v>2266</v>
      </c>
      <c r="B502" s="22" t="s">
        <v>16</v>
      </c>
      <c r="C502" s="22" t="s">
        <v>2267</v>
      </c>
      <c r="D502" s="22" t="s">
        <v>2268</v>
      </c>
      <c r="E502" s="22" t="s">
        <v>2269</v>
      </c>
      <c r="F502" s="22" t="n">
        <v>12</v>
      </c>
      <c r="G502" s="26" t="n">
        <v>88.13</v>
      </c>
      <c r="H502" s="26" t="n">
        <v>98.14</v>
      </c>
      <c r="I502" s="26" t="n">
        <v>118.18</v>
      </c>
      <c r="J502" s="26" t="n">
        <v>128.2</v>
      </c>
      <c r="K502" s="26" t="n">
        <v>143.22</v>
      </c>
      <c r="L502" s="26" t="n">
        <v>2.28</v>
      </c>
      <c r="M502" s="27" t="n">
        <v>0.005</v>
      </c>
      <c r="N502" s="27" t="n">
        <v>0.002</v>
      </c>
      <c r="O502" s="26" t="n">
        <v>5</v>
      </c>
      <c r="P502" s="26" t="n">
        <v>5</v>
      </c>
      <c r="Q502" s="28" t="n">
        <v>100</v>
      </c>
      <c r="R502" s="26" t="n">
        <v>30</v>
      </c>
      <c r="S502" s="26" t="n">
        <v>0</v>
      </c>
      <c r="T502" s="28" t="n">
        <v>1</v>
      </c>
      <c r="U502" s="26" t="n">
        <v>0</v>
      </c>
      <c r="V502" s="26" t="n">
        <v>250</v>
      </c>
      <c r="W502" s="22" t="s">
        <v>16</v>
      </c>
      <c r="X502" s="22" t="s">
        <v>2106</v>
      </c>
    </row>
    <row r="503" customFormat="false" ht="15" hidden="false" customHeight="false" outlineLevel="0" collapsed="false">
      <c r="A503" s="22" t="s">
        <v>2270</v>
      </c>
      <c r="B503" s="22" t="s">
        <v>16</v>
      </c>
      <c r="C503" s="22" t="s">
        <v>2271</v>
      </c>
      <c r="D503" s="22" t="s">
        <v>2272</v>
      </c>
      <c r="E503" s="22" t="s">
        <v>2273</v>
      </c>
      <c r="F503" s="22" t="n">
        <v>12</v>
      </c>
      <c r="G503" s="26" t="n">
        <v>88.13</v>
      </c>
      <c r="H503" s="26" t="n">
        <v>98.14</v>
      </c>
      <c r="I503" s="26" t="n">
        <v>118.18</v>
      </c>
      <c r="J503" s="26" t="n">
        <v>128.2</v>
      </c>
      <c r="K503" s="26" t="n">
        <v>143.22</v>
      </c>
      <c r="L503" s="26" t="n">
        <v>2.28</v>
      </c>
      <c r="M503" s="27" t="n">
        <v>0.005</v>
      </c>
      <c r="N503" s="27" t="n">
        <v>0.002</v>
      </c>
      <c r="O503" s="26" t="n">
        <v>5</v>
      </c>
      <c r="P503" s="26" t="n">
        <v>5</v>
      </c>
      <c r="Q503" s="28" t="n">
        <v>100</v>
      </c>
      <c r="R503" s="26" t="n">
        <v>30</v>
      </c>
      <c r="S503" s="26" t="n">
        <v>0</v>
      </c>
      <c r="T503" s="28" t="n">
        <v>1</v>
      </c>
      <c r="U503" s="26" t="n">
        <v>0</v>
      </c>
      <c r="V503" s="26" t="n">
        <v>250</v>
      </c>
      <c r="W503" s="22" t="s">
        <v>16</v>
      </c>
      <c r="X503" s="22" t="s">
        <v>2106</v>
      </c>
    </row>
    <row r="504" customFormat="false" ht="15" hidden="false" customHeight="false" outlineLevel="0" collapsed="false">
      <c r="A504" s="22" t="s">
        <v>2274</v>
      </c>
      <c r="B504" s="22" t="s">
        <v>16</v>
      </c>
      <c r="C504" s="22" t="s">
        <v>2275</v>
      </c>
      <c r="D504" s="22" t="s">
        <v>2276</v>
      </c>
      <c r="E504" s="22" t="s">
        <v>2277</v>
      </c>
      <c r="F504" s="22" t="n">
        <v>12</v>
      </c>
      <c r="G504" s="26" t="n">
        <v>88.13</v>
      </c>
      <c r="H504" s="26" t="n">
        <v>98.14</v>
      </c>
      <c r="I504" s="26" t="n">
        <v>118.18</v>
      </c>
      <c r="J504" s="26" t="n">
        <v>128.2</v>
      </c>
      <c r="K504" s="26" t="n">
        <v>143.22</v>
      </c>
      <c r="L504" s="26" t="n">
        <v>2.28</v>
      </c>
      <c r="M504" s="27" t="n">
        <v>0.005</v>
      </c>
      <c r="N504" s="27" t="n">
        <v>0.002</v>
      </c>
      <c r="O504" s="26" t="n">
        <v>5</v>
      </c>
      <c r="P504" s="26" t="n">
        <v>5</v>
      </c>
      <c r="Q504" s="28" t="n">
        <v>100</v>
      </c>
      <c r="R504" s="26" t="n">
        <v>30</v>
      </c>
      <c r="S504" s="26" t="n">
        <v>0</v>
      </c>
      <c r="T504" s="28" t="n">
        <v>1</v>
      </c>
      <c r="U504" s="26" t="n">
        <v>0</v>
      </c>
      <c r="V504" s="26" t="n">
        <v>0</v>
      </c>
      <c r="W504" s="22" t="s">
        <v>16</v>
      </c>
      <c r="X504" s="22" t="s">
        <v>2106</v>
      </c>
    </row>
    <row r="505" customFormat="false" ht="15" hidden="false" customHeight="false" outlineLevel="0" collapsed="false">
      <c r="A505" s="22" t="s">
        <v>2278</v>
      </c>
      <c r="B505" s="22" t="s">
        <v>16</v>
      </c>
      <c r="C505" s="22" t="s">
        <v>2279</v>
      </c>
      <c r="D505" s="22" t="s">
        <v>2280</v>
      </c>
      <c r="E505" s="22" t="s">
        <v>2281</v>
      </c>
      <c r="F505" s="22" t="n">
        <v>12</v>
      </c>
      <c r="G505" s="26" t="n">
        <v>88.13</v>
      </c>
      <c r="H505" s="26" t="n">
        <v>98.14</v>
      </c>
      <c r="I505" s="26" t="n">
        <v>118.18</v>
      </c>
      <c r="J505" s="26" t="n">
        <v>128.2</v>
      </c>
      <c r="K505" s="26" t="n">
        <v>143.22</v>
      </c>
      <c r="L505" s="26" t="n">
        <v>2.28</v>
      </c>
      <c r="M505" s="27" t="n">
        <v>0.005</v>
      </c>
      <c r="N505" s="27" t="n">
        <v>0.002</v>
      </c>
      <c r="O505" s="26" t="n">
        <v>5</v>
      </c>
      <c r="P505" s="26" t="n">
        <v>5</v>
      </c>
      <c r="Q505" s="28" t="n">
        <v>100</v>
      </c>
      <c r="R505" s="26" t="n">
        <v>30</v>
      </c>
      <c r="S505" s="26" t="n">
        <v>0</v>
      </c>
      <c r="T505" s="28" t="n">
        <v>1</v>
      </c>
      <c r="U505" s="26" t="n">
        <v>0</v>
      </c>
      <c r="V505" s="26" t="n">
        <v>250</v>
      </c>
      <c r="W505" s="22" t="s">
        <v>16</v>
      </c>
      <c r="X505" s="22" t="s">
        <v>2106</v>
      </c>
    </row>
    <row r="506" customFormat="false" ht="15" hidden="false" customHeight="false" outlineLevel="0" collapsed="false">
      <c r="A506" s="22" t="s">
        <v>2282</v>
      </c>
      <c r="B506" s="22" t="s">
        <v>16</v>
      </c>
      <c r="C506" s="22" t="s">
        <v>2283</v>
      </c>
      <c r="D506" s="22" t="s">
        <v>2284</v>
      </c>
      <c r="E506" s="22" t="s">
        <v>2285</v>
      </c>
      <c r="F506" s="22" t="n">
        <v>12</v>
      </c>
      <c r="G506" s="26" t="n">
        <v>88.13</v>
      </c>
      <c r="H506" s="26" t="n">
        <v>98.14</v>
      </c>
      <c r="I506" s="26" t="n">
        <v>118.18</v>
      </c>
      <c r="J506" s="26" t="n">
        <v>128.2</v>
      </c>
      <c r="K506" s="26" t="n">
        <v>143.22</v>
      </c>
      <c r="L506" s="26" t="n">
        <v>2.28</v>
      </c>
      <c r="M506" s="27" t="n">
        <v>0.005</v>
      </c>
      <c r="N506" s="27" t="n">
        <v>0.002</v>
      </c>
      <c r="O506" s="26" t="n">
        <v>5</v>
      </c>
      <c r="P506" s="26" t="n">
        <v>5</v>
      </c>
      <c r="Q506" s="28" t="n">
        <v>100</v>
      </c>
      <c r="R506" s="26" t="n">
        <v>30</v>
      </c>
      <c r="S506" s="26" t="n">
        <v>0</v>
      </c>
      <c r="T506" s="28" t="n">
        <v>1</v>
      </c>
      <c r="U506" s="26" t="n">
        <v>0</v>
      </c>
      <c r="V506" s="26" t="n">
        <v>0</v>
      </c>
      <c r="W506" s="22" t="s">
        <v>16</v>
      </c>
      <c r="X506" s="22" t="s">
        <v>2106</v>
      </c>
    </row>
    <row r="507" customFormat="false" ht="15" hidden="false" customHeight="false" outlineLevel="0" collapsed="false">
      <c r="A507" s="22" t="s">
        <v>2286</v>
      </c>
      <c r="B507" s="22" t="s">
        <v>16</v>
      </c>
      <c r="C507" s="22" t="s">
        <v>2287</v>
      </c>
      <c r="D507" s="22" t="s">
        <v>2288</v>
      </c>
      <c r="E507" s="22" t="s">
        <v>2289</v>
      </c>
      <c r="F507" s="22" t="n">
        <v>12</v>
      </c>
      <c r="G507" s="26" t="n">
        <v>88.13</v>
      </c>
      <c r="H507" s="26" t="n">
        <v>98.14</v>
      </c>
      <c r="I507" s="26" t="n">
        <v>118.18</v>
      </c>
      <c r="J507" s="26" t="n">
        <v>128.2</v>
      </c>
      <c r="K507" s="26" t="n">
        <v>143.22</v>
      </c>
      <c r="L507" s="26" t="n">
        <v>2.28</v>
      </c>
      <c r="M507" s="27" t="n">
        <v>0.005</v>
      </c>
      <c r="N507" s="27" t="n">
        <v>0.002</v>
      </c>
      <c r="O507" s="26" t="n">
        <v>5</v>
      </c>
      <c r="P507" s="26" t="n">
        <v>5</v>
      </c>
      <c r="Q507" s="28" t="n">
        <v>100</v>
      </c>
      <c r="R507" s="26" t="n">
        <v>30</v>
      </c>
      <c r="S507" s="26" t="n">
        <v>0</v>
      </c>
      <c r="T507" s="28" t="n">
        <v>1</v>
      </c>
      <c r="U507" s="26" t="n">
        <v>0</v>
      </c>
      <c r="V507" s="26" t="n">
        <v>0</v>
      </c>
      <c r="W507" s="22" t="s">
        <v>16</v>
      </c>
      <c r="X507" s="22" t="s">
        <v>2106</v>
      </c>
    </row>
    <row r="508" customFormat="false" ht="15" hidden="false" customHeight="false" outlineLevel="0" collapsed="false">
      <c r="A508" s="22" t="s">
        <v>2290</v>
      </c>
      <c r="B508" s="22" t="s">
        <v>16</v>
      </c>
      <c r="C508" s="22" t="s">
        <v>2291</v>
      </c>
      <c r="D508" s="22" t="s">
        <v>2292</v>
      </c>
      <c r="E508" s="22" t="s">
        <v>2293</v>
      </c>
      <c r="F508" s="22" t="n">
        <v>12</v>
      </c>
      <c r="G508" s="26" t="n">
        <v>88.13</v>
      </c>
      <c r="H508" s="26" t="n">
        <v>98.14</v>
      </c>
      <c r="I508" s="26" t="n">
        <v>118.18</v>
      </c>
      <c r="J508" s="26" t="n">
        <v>128.2</v>
      </c>
      <c r="K508" s="26" t="n">
        <v>143.22</v>
      </c>
      <c r="L508" s="26" t="n">
        <v>2.28</v>
      </c>
      <c r="M508" s="27" t="n">
        <v>0.005</v>
      </c>
      <c r="N508" s="27" t="n">
        <v>0.002</v>
      </c>
      <c r="O508" s="26" t="n">
        <v>5</v>
      </c>
      <c r="P508" s="26" t="n">
        <v>5</v>
      </c>
      <c r="Q508" s="28" t="n">
        <v>100</v>
      </c>
      <c r="R508" s="26" t="n">
        <v>30</v>
      </c>
      <c r="S508" s="26" t="n">
        <v>0</v>
      </c>
      <c r="T508" s="28" t="n">
        <v>1</v>
      </c>
      <c r="U508" s="26" t="n">
        <v>0</v>
      </c>
      <c r="V508" s="26" t="n">
        <v>250</v>
      </c>
      <c r="W508" s="22" t="s">
        <v>16</v>
      </c>
      <c r="X508" s="22" t="s">
        <v>2106</v>
      </c>
    </row>
    <row r="509" customFormat="false" ht="15" hidden="false" customHeight="false" outlineLevel="0" collapsed="false">
      <c r="A509" s="22" t="s">
        <v>2294</v>
      </c>
      <c r="B509" s="22" t="s">
        <v>16</v>
      </c>
      <c r="C509" s="22" t="s">
        <v>2295</v>
      </c>
      <c r="D509" s="22" t="s">
        <v>2296</v>
      </c>
      <c r="E509" s="22" t="s">
        <v>2297</v>
      </c>
      <c r="F509" s="22" t="n">
        <v>12</v>
      </c>
      <c r="G509" s="26" t="n">
        <v>88.13</v>
      </c>
      <c r="H509" s="26" t="n">
        <v>98.14</v>
      </c>
      <c r="I509" s="26" t="n">
        <v>118.18</v>
      </c>
      <c r="J509" s="26" t="n">
        <v>128.2</v>
      </c>
      <c r="K509" s="26" t="n">
        <v>143.22</v>
      </c>
      <c r="L509" s="26" t="n">
        <v>2.28</v>
      </c>
      <c r="M509" s="27" t="n">
        <v>0.005</v>
      </c>
      <c r="N509" s="27" t="n">
        <v>0.002</v>
      </c>
      <c r="O509" s="26" t="n">
        <v>5</v>
      </c>
      <c r="P509" s="26" t="n">
        <v>5</v>
      </c>
      <c r="Q509" s="28" t="n">
        <v>100</v>
      </c>
      <c r="R509" s="26" t="n">
        <v>30</v>
      </c>
      <c r="S509" s="26" t="n">
        <v>0</v>
      </c>
      <c r="T509" s="28" t="n">
        <v>1</v>
      </c>
      <c r="U509" s="26" t="n">
        <v>0</v>
      </c>
      <c r="V509" s="26" t="n">
        <v>0</v>
      </c>
      <c r="W509" s="22" t="s">
        <v>16</v>
      </c>
      <c r="X509" s="22" t="s">
        <v>2106</v>
      </c>
    </row>
    <row r="510" customFormat="false" ht="15" hidden="false" customHeight="false" outlineLevel="0" collapsed="false">
      <c r="A510" s="22" t="s">
        <v>2298</v>
      </c>
      <c r="B510" s="22" t="s">
        <v>16</v>
      </c>
      <c r="C510" s="22" t="s">
        <v>2299</v>
      </c>
      <c r="D510" s="22" t="s">
        <v>2300</v>
      </c>
      <c r="E510" s="22" t="s">
        <v>2301</v>
      </c>
      <c r="F510" s="22" t="n">
        <v>12</v>
      </c>
      <c r="G510" s="26" t="n">
        <v>88.13</v>
      </c>
      <c r="H510" s="26" t="n">
        <v>98.14</v>
      </c>
      <c r="I510" s="26" t="n">
        <v>118.18</v>
      </c>
      <c r="J510" s="26" t="n">
        <v>128.2</v>
      </c>
      <c r="K510" s="26" t="n">
        <v>143.22</v>
      </c>
      <c r="L510" s="26" t="n">
        <v>2.28</v>
      </c>
      <c r="M510" s="27" t="n">
        <v>0.005</v>
      </c>
      <c r="N510" s="27" t="n">
        <v>0.002</v>
      </c>
      <c r="O510" s="26" t="n">
        <v>5</v>
      </c>
      <c r="P510" s="26" t="n">
        <v>5</v>
      </c>
      <c r="Q510" s="28" t="n">
        <v>100</v>
      </c>
      <c r="R510" s="26" t="n">
        <v>30</v>
      </c>
      <c r="S510" s="26" t="n">
        <v>0</v>
      </c>
      <c r="T510" s="28" t="n">
        <v>1</v>
      </c>
      <c r="U510" s="26" t="n">
        <v>0</v>
      </c>
      <c r="V510" s="26" t="n">
        <v>0</v>
      </c>
      <c r="W510" s="22" t="s">
        <v>16</v>
      </c>
      <c r="X510" s="22" t="s">
        <v>2106</v>
      </c>
    </row>
    <row r="511" customFormat="false" ht="15" hidden="false" customHeight="false" outlineLevel="0" collapsed="false">
      <c r="A511" s="22" t="s">
        <v>2302</v>
      </c>
      <c r="B511" s="22" t="s">
        <v>16</v>
      </c>
      <c r="C511" s="22" t="s">
        <v>2303</v>
      </c>
      <c r="D511" s="22" t="s">
        <v>2304</v>
      </c>
      <c r="E511" s="22" t="s">
        <v>2305</v>
      </c>
      <c r="F511" s="22" t="n">
        <v>12</v>
      </c>
      <c r="G511" s="26" t="n">
        <v>88.13</v>
      </c>
      <c r="H511" s="26" t="n">
        <v>98.14</v>
      </c>
      <c r="I511" s="26" t="n">
        <v>118.18</v>
      </c>
      <c r="J511" s="26" t="n">
        <v>128.2</v>
      </c>
      <c r="K511" s="26" t="n">
        <v>143.22</v>
      </c>
      <c r="L511" s="26" t="n">
        <v>2.28</v>
      </c>
      <c r="M511" s="27" t="n">
        <v>0.005</v>
      </c>
      <c r="N511" s="27" t="n">
        <v>0.002</v>
      </c>
      <c r="O511" s="26" t="n">
        <v>5</v>
      </c>
      <c r="P511" s="26" t="n">
        <v>5</v>
      </c>
      <c r="Q511" s="28" t="n">
        <v>100</v>
      </c>
      <c r="R511" s="26" t="n">
        <v>30</v>
      </c>
      <c r="S511" s="26" t="n">
        <v>0</v>
      </c>
      <c r="T511" s="28" t="n">
        <v>1</v>
      </c>
      <c r="U511" s="26" t="n">
        <v>0</v>
      </c>
      <c r="V511" s="26" t="n">
        <v>0</v>
      </c>
      <c r="W511" s="22" t="s">
        <v>16</v>
      </c>
      <c r="X511" s="22" t="s">
        <v>2106</v>
      </c>
    </row>
    <row r="512" customFormat="false" ht="15" hidden="false" customHeight="false" outlineLevel="0" collapsed="false">
      <c r="A512" s="22" t="s">
        <v>2306</v>
      </c>
      <c r="B512" s="22" t="s">
        <v>16</v>
      </c>
      <c r="C512" s="22" t="s">
        <v>2307</v>
      </c>
      <c r="D512" s="22" t="s">
        <v>2308</v>
      </c>
      <c r="E512" s="22" t="s">
        <v>2309</v>
      </c>
      <c r="F512" s="22" t="n">
        <v>12</v>
      </c>
      <c r="G512" s="26" t="n">
        <v>88.13</v>
      </c>
      <c r="H512" s="26" t="n">
        <v>98.14</v>
      </c>
      <c r="I512" s="26" t="n">
        <v>118.18</v>
      </c>
      <c r="J512" s="26" t="n">
        <v>128.2</v>
      </c>
      <c r="K512" s="26" t="n">
        <v>143.22</v>
      </c>
      <c r="L512" s="26" t="n">
        <v>2.28</v>
      </c>
      <c r="M512" s="27" t="n">
        <v>0.005</v>
      </c>
      <c r="N512" s="27" t="n">
        <v>0.002</v>
      </c>
      <c r="O512" s="26" t="n">
        <v>5</v>
      </c>
      <c r="P512" s="26" t="n">
        <v>5</v>
      </c>
      <c r="Q512" s="28" t="n">
        <v>100</v>
      </c>
      <c r="R512" s="26" t="n">
        <v>30</v>
      </c>
      <c r="S512" s="26" t="n">
        <v>0</v>
      </c>
      <c r="T512" s="28" t="n">
        <v>1</v>
      </c>
      <c r="U512" s="26" t="n">
        <v>0</v>
      </c>
      <c r="V512" s="26" t="n">
        <v>250</v>
      </c>
      <c r="W512" s="22" t="s">
        <v>16</v>
      </c>
      <c r="X512" s="22" t="s">
        <v>2106</v>
      </c>
    </row>
    <row r="513" customFormat="false" ht="15" hidden="false" customHeight="false" outlineLevel="0" collapsed="false">
      <c r="A513" s="22" t="s">
        <v>2310</v>
      </c>
      <c r="B513" s="22" t="s">
        <v>16</v>
      </c>
      <c r="C513" s="22" t="s">
        <v>2311</v>
      </c>
      <c r="D513" s="22" t="s">
        <v>2312</v>
      </c>
      <c r="E513" s="22" t="s">
        <v>2313</v>
      </c>
      <c r="F513" s="22" t="n">
        <v>12</v>
      </c>
      <c r="G513" s="26" t="n">
        <v>88.13</v>
      </c>
      <c r="H513" s="26" t="n">
        <v>98.14</v>
      </c>
      <c r="I513" s="26" t="n">
        <v>118.18</v>
      </c>
      <c r="J513" s="26" t="n">
        <v>128.2</v>
      </c>
      <c r="K513" s="26" t="n">
        <v>143.22</v>
      </c>
      <c r="L513" s="26" t="n">
        <v>2.28</v>
      </c>
      <c r="M513" s="27" t="n">
        <v>0.005</v>
      </c>
      <c r="N513" s="27" t="n">
        <v>0.002</v>
      </c>
      <c r="O513" s="26" t="n">
        <v>5</v>
      </c>
      <c r="P513" s="26" t="n">
        <v>5</v>
      </c>
      <c r="Q513" s="28" t="n">
        <v>100</v>
      </c>
      <c r="R513" s="26" t="n">
        <v>30</v>
      </c>
      <c r="S513" s="26" t="n">
        <v>0</v>
      </c>
      <c r="T513" s="28" t="n">
        <v>1</v>
      </c>
      <c r="U513" s="26" t="n">
        <v>0</v>
      </c>
      <c r="V513" s="26" t="n">
        <v>250</v>
      </c>
      <c r="W513" s="22" t="s">
        <v>16</v>
      </c>
      <c r="X513" s="22" t="s">
        <v>2106</v>
      </c>
    </row>
    <row r="514" customFormat="false" ht="15" hidden="false" customHeight="false" outlineLevel="0" collapsed="false">
      <c r="A514" s="22" t="s">
        <v>2314</v>
      </c>
      <c r="B514" s="22" t="s">
        <v>16</v>
      </c>
      <c r="C514" s="22" t="s">
        <v>2315</v>
      </c>
      <c r="D514" s="22" t="s">
        <v>2316</v>
      </c>
      <c r="E514" s="22" t="s">
        <v>2317</v>
      </c>
      <c r="F514" s="22" t="n">
        <v>12</v>
      </c>
      <c r="G514" s="26" t="n">
        <v>88.13</v>
      </c>
      <c r="H514" s="26" t="n">
        <v>98.14</v>
      </c>
      <c r="I514" s="26" t="n">
        <v>118.18</v>
      </c>
      <c r="J514" s="26" t="n">
        <v>128.2</v>
      </c>
      <c r="K514" s="26" t="n">
        <v>143.22</v>
      </c>
      <c r="L514" s="26" t="n">
        <v>2.28</v>
      </c>
      <c r="M514" s="27" t="n">
        <v>0.005</v>
      </c>
      <c r="N514" s="27" t="n">
        <v>0.002</v>
      </c>
      <c r="O514" s="26" t="n">
        <v>5</v>
      </c>
      <c r="P514" s="26" t="n">
        <v>5</v>
      </c>
      <c r="Q514" s="28" t="n">
        <v>100</v>
      </c>
      <c r="R514" s="26" t="n">
        <v>30</v>
      </c>
      <c r="S514" s="26" t="n">
        <v>0</v>
      </c>
      <c r="T514" s="28" t="n">
        <v>1</v>
      </c>
      <c r="U514" s="26" t="n">
        <v>0</v>
      </c>
      <c r="V514" s="26" t="n">
        <v>250</v>
      </c>
      <c r="W514" s="22" t="s">
        <v>16</v>
      </c>
      <c r="X514" s="22" t="s">
        <v>2106</v>
      </c>
    </row>
    <row r="515" customFormat="false" ht="15" hidden="false" customHeight="false" outlineLevel="0" collapsed="false">
      <c r="A515" s="22" t="s">
        <v>2318</v>
      </c>
      <c r="B515" s="22" t="s">
        <v>16</v>
      </c>
      <c r="C515" s="22" t="s">
        <v>2319</v>
      </c>
      <c r="D515" s="22" t="s">
        <v>2320</v>
      </c>
      <c r="E515" s="22" t="s">
        <v>2321</v>
      </c>
      <c r="F515" s="22" t="n">
        <v>12</v>
      </c>
      <c r="G515" s="26" t="n">
        <v>88.13</v>
      </c>
      <c r="H515" s="26" t="n">
        <v>98.14</v>
      </c>
      <c r="I515" s="26" t="n">
        <v>118.18</v>
      </c>
      <c r="J515" s="26" t="n">
        <v>128.2</v>
      </c>
      <c r="K515" s="26" t="n">
        <v>143.22</v>
      </c>
      <c r="L515" s="26" t="n">
        <v>2.28</v>
      </c>
      <c r="M515" s="27" t="n">
        <v>0.005</v>
      </c>
      <c r="N515" s="27" t="n">
        <v>0.002</v>
      </c>
      <c r="O515" s="26" t="n">
        <v>5</v>
      </c>
      <c r="P515" s="26" t="n">
        <v>5</v>
      </c>
      <c r="Q515" s="28" t="n">
        <v>100</v>
      </c>
      <c r="R515" s="26" t="n">
        <v>30</v>
      </c>
      <c r="S515" s="26" t="n">
        <v>0</v>
      </c>
      <c r="T515" s="28" t="n">
        <v>1</v>
      </c>
      <c r="U515" s="26" t="n">
        <v>0</v>
      </c>
      <c r="V515" s="26" t="n">
        <v>250</v>
      </c>
      <c r="W515" s="22" t="s">
        <v>16</v>
      </c>
      <c r="X515" s="22" t="s">
        <v>2106</v>
      </c>
    </row>
    <row r="516" customFormat="false" ht="15" hidden="false" customHeight="false" outlineLevel="0" collapsed="false">
      <c r="A516" s="22" t="s">
        <v>2322</v>
      </c>
      <c r="B516" s="22" t="s">
        <v>16</v>
      </c>
      <c r="C516" s="22" t="s">
        <v>2323</v>
      </c>
      <c r="D516" s="22" t="s">
        <v>2324</v>
      </c>
      <c r="E516" s="22" t="s">
        <v>2325</v>
      </c>
      <c r="F516" s="22" t="n">
        <v>12</v>
      </c>
      <c r="G516" s="26" t="n">
        <v>88.13</v>
      </c>
      <c r="H516" s="26" t="n">
        <v>98.14</v>
      </c>
      <c r="I516" s="26" t="n">
        <v>118.18</v>
      </c>
      <c r="J516" s="26" t="n">
        <v>128.2</v>
      </c>
      <c r="K516" s="26" t="n">
        <v>143.22</v>
      </c>
      <c r="L516" s="26" t="n">
        <v>2.28</v>
      </c>
      <c r="M516" s="27" t="n">
        <v>0.005</v>
      </c>
      <c r="N516" s="27" t="n">
        <v>0.002</v>
      </c>
      <c r="O516" s="26" t="n">
        <v>5</v>
      </c>
      <c r="P516" s="26" t="n">
        <v>5</v>
      </c>
      <c r="Q516" s="28" t="n">
        <v>100</v>
      </c>
      <c r="R516" s="26" t="n">
        <v>30</v>
      </c>
      <c r="S516" s="26" t="n">
        <v>0</v>
      </c>
      <c r="T516" s="28" t="n">
        <v>1</v>
      </c>
      <c r="U516" s="26" t="n">
        <v>0</v>
      </c>
      <c r="V516" s="26" t="n">
        <v>250</v>
      </c>
      <c r="W516" s="22" t="s">
        <v>16</v>
      </c>
      <c r="X516" s="22" t="s">
        <v>2106</v>
      </c>
    </row>
    <row r="517" customFormat="false" ht="15" hidden="false" customHeight="false" outlineLevel="0" collapsed="false">
      <c r="A517" s="22" t="s">
        <v>2326</v>
      </c>
      <c r="B517" s="22" t="s">
        <v>16</v>
      </c>
      <c r="C517" s="22" t="s">
        <v>2327</v>
      </c>
      <c r="D517" s="22" t="s">
        <v>2328</v>
      </c>
      <c r="E517" s="22" t="s">
        <v>2329</v>
      </c>
      <c r="F517" s="22" t="n">
        <v>12</v>
      </c>
      <c r="G517" s="26" t="n">
        <v>88.13</v>
      </c>
      <c r="H517" s="26" t="n">
        <v>98.14</v>
      </c>
      <c r="I517" s="26" t="n">
        <v>118.18</v>
      </c>
      <c r="J517" s="26" t="n">
        <v>128.2</v>
      </c>
      <c r="K517" s="26" t="n">
        <v>143.22</v>
      </c>
      <c r="L517" s="26" t="n">
        <v>2.28</v>
      </c>
      <c r="M517" s="27" t="n">
        <v>0.005</v>
      </c>
      <c r="N517" s="27" t="n">
        <v>0.002</v>
      </c>
      <c r="O517" s="26" t="n">
        <v>5</v>
      </c>
      <c r="P517" s="26" t="n">
        <v>5</v>
      </c>
      <c r="Q517" s="28" t="n">
        <v>100</v>
      </c>
      <c r="R517" s="26" t="n">
        <v>30</v>
      </c>
      <c r="S517" s="26" t="n">
        <v>0</v>
      </c>
      <c r="T517" s="28" t="n">
        <v>1</v>
      </c>
      <c r="U517" s="26" t="n">
        <v>0</v>
      </c>
      <c r="V517" s="26" t="n">
        <v>250</v>
      </c>
      <c r="W517" s="22" t="s">
        <v>16</v>
      </c>
      <c r="X517" s="22" t="s">
        <v>2106</v>
      </c>
    </row>
    <row r="518" customFormat="false" ht="15" hidden="false" customHeight="false" outlineLevel="0" collapsed="false">
      <c r="A518" s="22" t="s">
        <v>2330</v>
      </c>
      <c r="B518" s="22" t="s">
        <v>16</v>
      </c>
      <c r="C518" s="22" t="s">
        <v>2331</v>
      </c>
      <c r="D518" s="22" t="s">
        <v>2332</v>
      </c>
      <c r="E518" s="22" t="s">
        <v>2333</v>
      </c>
      <c r="F518" s="22" t="n">
        <v>12</v>
      </c>
      <c r="G518" s="26" t="n">
        <v>88.13</v>
      </c>
      <c r="H518" s="26" t="n">
        <v>98.14</v>
      </c>
      <c r="I518" s="26" t="n">
        <v>118.18</v>
      </c>
      <c r="J518" s="26" t="n">
        <v>128.2</v>
      </c>
      <c r="K518" s="26" t="n">
        <v>143.22</v>
      </c>
      <c r="L518" s="26" t="n">
        <v>2.28</v>
      </c>
      <c r="M518" s="27" t="n">
        <v>0.005</v>
      </c>
      <c r="N518" s="27" t="n">
        <v>0.002</v>
      </c>
      <c r="O518" s="26" t="n">
        <v>5</v>
      </c>
      <c r="P518" s="26" t="n">
        <v>5</v>
      </c>
      <c r="Q518" s="28" t="n">
        <v>100</v>
      </c>
      <c r="R518" s="26" t="n">
        <v>30</v>
      </c>
      <c r="S518" s="26" t="n">
        <v>0</v>
      </c>
      <c r="T518" s="28" t="n">
        <v>1</v>
      </c>
      <c r="U518" s="26" t="n">
        <v>0</v>
      </c>
      <c r="V518" s="26" t="n">
        <v>250</v>
      </c>
      <c r="W518" s="22" t="s">
        <v>16</v>
      </c>
      <c r="X518" s="22" t="s">
        <v>2106</v>
      </c>
    </row>
    <row r="519" customFormat="false" ht="15" hidden="false" customHeight="false" outlineLevel="0" collapsed="false">
      <c r="A519" s="22" t="s">
        <v>2334</v>
      </c>
      <c r="B519" s="22" t="s">
        <v>16</v>
      </c>
      <c r="C519" s="22" t="s">
        <v>2335</v>
      </c>
      <c r="D519" s="22" t="s">
        <v>2336</v>
      </c>
      <c r="E519" s="22" t="s">
        <v>2337</v>
      </c>
      <c r="F519" s="22" t="n">
        <v>12</v>
      </c>
      <c r="G519" s="26" t="n">
        <v>88.13</v>
      </c>
      <c r="H519" s="26" t="n">
        <v>98.14</v>
      </c>
      <c r="I519" s="26" t="n">
        <v>118.18</v>
      </c>
      <c r="J519" s="26" t="n">
        <v>128.2</v>
      </c>
      <c r="K519" s="26" t="n">
        <v>143.22</v>
      </c>
      <c r="L519" s="26" t="n">
        <v>2.28</v>
      </c>
      <c r="M519" s="27" t="n">
        <v>0.005</v>
      </c>
      <c r="N519" s="27" t="n">
        <v>0.002</v>
      </c>
      <c r="O519" s="26" t="n">
        <v>5</v>
      </c>
      <c r="P519" s="26" t="n">
        <v>5</v>
      </c>
      <c r="Q519" s="28" t="n">
        <v>100</v>
      </c>
      <c r="R519" s="26" t="n">
        <v>30</v>
      </c>
      <c r="S519" s="26" t="n">
        <v>0</v>
      </c>
      <c r="T519" s="28" t="n">
        <v>1</v>
      </c>
      <c r="U519" s="26" t="n">
        <v>0</v>
      </c>
      <c r="V519" s="26" t="n">
        <v>0</v>
      </c>
      <c r="W519" s="22" t="s">
        <v>16</v>
      </c>
      <c r="X519" s="22" t="s">
        <v>2106</v>
      </c>
    </row>
    <row r="520" customFormat="false" ht="15" hidden="false" customHeight="false" outlineLevel="0" collapsed="false">
      <c r="A520" s="22" t="s">
        <v>2338</v>
      </c>
      <c r="B520" s="22" t="s">
        <v>16</v>
      </c>
      <c r="C520" s="22" t="s">
        <v>2339</v>
      </c>
      <c r="D520" s="22" t="s">
        <v>2340</v>
      </c>
      <c r="E520" s="22" t="s">
        <v>2341</v>
      </c>
      <c r="F520" s="22" t="n">
        <v>12</v>
      </c>
      <c r="G520" s="26" t="n">
        <v>88.13</v>
      </c>
      <c r="H520" s="26" t="n">
        <v>98.14</v>
      </c>
      <c r="I520" s="26" t="n">
        <v>118.18</v>
      </c>
      <c r="J520" s="26" t="n">
        <v>128.2</v>
      </c>
      <c r="K520" s="26" t="n">
        <v>143.22</v>
      </c>
      <c r="L520" s="26" t="n">
        <v>2.28</v>
      </c>
      <c r="M520" s="27" t="n">
        <v>0.005</v>
      </c>
      <c r="N520" s="27" t="n">
        <v>0.002</v>
      </c>
      <c r="O520" s="26" t="n">
        <v>5</v>
      </c>
      <c r="P520" s="26" t="n">
        <v>5</v>
      </c>
      <c r="Q520" s="28" t="n">
        <v>100</v>
      </c>
      <c r="R520" s="26" t="n">
        <v>30</v>
      </c>
      <c r="S520" s="26" t="n">
        <v>0</v>
      </c>
      <c r="T520" s="28" t="n">
        <v>1</v>
      </c>
      <c r="U520" s="26" t="n">
        <v>0</v>
      </c>
      <c r="V520" s="26" t="n">
        <v>250</v>
      </c>
      <c r="W520" s="22" t="s">
        <v>16</v>
      </c>
      <c r="X520" s="22" t="s">
        <v>2106</v>
      </c>
    </row>
    <row r="521" customFormat="false" ht="15" hidden="false" customHeight="false" outlineLevel="0" collapsed="false">
      <c r="A521" s="22" t="s">
        <v>2342</v>
      </c>
      <c r="B521" s="22" t="s">
        <v>17</v>
      </c>
      <c r="C521" s="22" t="s">
        <v>99</v>
      </c>
      <c r="D521" s="22" t="s">
        <v>2343</v>
      </c>
      <c r="E521" s="22" t="s">
        <v>2344</v>
      </c>
      <c r="F521" s="22" t="n">
        <v>8</v>
      </c>
      <c r="G521" s="26" t="n">
        <v>108.72</v>
      </c>
      <c r="H521" s="26" t="n">
        <v>130.85</v>
      </c>
      <c r="I521" s="26" t="n">
        <v>152.98</v>
      </c>
      <c r="J521" s="26" t="n">
        <v>169.58</v>
      </c>
      <c r="K521" s="26" t="n">
        <v>186.18</v>
      </c>
      <c r="L521" s="26" t="n">
        <v>1.7</v>
      </c>
      <c r="M521" s="27" t="n">
        <v>0.005</v>
      </c>
      <c r="N521" s="27" t="n">
        <v>0.002</v>
      </c>
      <c r="O521" s="26" t="n">
        <v>5</v>
      </c>
      <c r="P521" s="26" t="n">
        <v>5</v>
      </c>
      <c r="Q521" s="28" t="n">
        <v>100</v>
      </c>
      <c r="R521" s="26" t="n">
        <v>30</v>
      </c>
      <c r="S521" s="26" t="n">
        <v>0</v>
      </c>
      <c r="T521" s="28" t="n">
        <v>1</v>
      </c>
      <c r="U521" s="26" t="n">
        <v>0</v>
      </c>
      <c r="V521" s="26" t="n">
        <v>0</v>
      </c>
      <c r="W521" s="22" t="s">
        <v>17</v>
      </c>
      <c r="X521" s="22" t="s">
        <v>286</v>
      </c>
    </row>
    <row r="522" customFormat="false" ht="15" hidden="false" customHeight="false" outlineLevel="0" collapsed="false">
      <c r="A522" s="22" t="s">
        <v>2345</v>
      </c>
      <c r="B522" s="22" t="s">
        <v>17</v>
      </c>
      <c r="C522" s="22" t="s">
        <v>2346</v>
      </c>
      <c r="D522" s="22" t="s">
        <v>2347</v>
      </c>
      <c r="E522" s="22" t="s">
        <v>2348</v>
      </c>
      <c r="F522" s="22" t="n">
        <v>8</v>
      </c>
      <c r="G522" s="26" t="n">
        <v>108.72</v>
      </c>
      <c r="H522" s="26" t="n">
        <v>130.85</v>
      </c>
      <c r="I522" s="26" t="n">
        <v>152.98</v>
      </c>
      <c r="J522" s="26" t="n">
        <v>169.58</v>
      </c>
      <c r="K522" s="26" t="n">
        <v>186.18</v>
      </c>
      <c r="L522" s="26" t="n">
        <v>1.7</v>
      </c>
      <c r="M522" s="27" t="n">
        <v>0.005</v>
      </c>
      <c r="N522" s="27" t="n">
        <v>0.002</v>
      </c>
      <c r="O522" s="26" t="n">
        <v>5</v>
      </c>
      <c r="P522" s="26" t="n">
        <v>5</v>
      </c>
      <c r="Q522" s="28" t="n">
        <v>100</v>
      </c>
      <c r="R522" s="26" t="n">
        <v>30</v>
      </c>
      <c r="S522" s="26" t="n">
        <v>0</v>
      </c>
      <c r="T522" s="28" t="n">
        <v>1</v>
      </c>
      <c r="U522" s="26" t="n">
        <v>0</v>
      </c>
      <c r="V522" s="26" t="n">
        <v>0</v>
      </c>
      <c r="W522" s="22" t="s">
        <v>17</v>
      </c>
      <c r="X522" s="22" t="s">
        <v>286</v>
      </c>
    </row>
    <row r="523" customFormat="false" ht="15" hidden="false" customHeight="false" outlineLevel="0" collapsed="false">
      <c r="A523" s="22" t="s">
        <v>2349</v>
      </c>
      <c r="B523" s="22" t="s">
        <v>17</v>
      </c>
      <c r="C523" s="22" t="s">
        <v>95</v>
      </c>
      <c r="D523" s="22" t="s">
        <v>2350</v>
      </c>
      <c r="E523" s="22" t="s">
        <v>2351</v>
      </c>
      <c r="F523" s="22" t="n">
        <v>8</v>
      </c>
      <c r="G523" s="26" t="n">
        <v>108.72</v>
      </c>
      <c r="H523" s="26" t="n">
        <v>130.85</v>
      </c>
      <c r="I523" s="26" t="n">
        <v>152.98</v>
      </c>
      <c r="J523" s="26" t="n">
        <v>169.58</v>
      </c>
      <c r="K523" s="26" t="n">
        <v>186.18</v>
      </c>
      <c r="L523" s="26" t="n">
        <v>1.7</v>
      </c>
      <c r="M523" s="27" t="n">
        <v>0.005</v>
      </c>
      <c r="N523" s="27" t="n">
        <v>0.002</v>
      </c>
      <c r="O523" s="26" t="n">
        <v>5</v>
      </c>
      <c r="P523" s="26" t="n">
        <v>5</v>
      </c>
      <c r="Q523" s="28" t="n">
        <v>100</v>
      </c>
      <c r="R523" s="26" t="n">
        <v>30</v>
      </c>
      <c r="S523" s="26" t="n">
        <v>0</v>
      </c>
      <c r="T523" s="28" t="n">
        <v>1</v>
      </c>
      <c r="U523" s="26" t="n">
        <v>0</v>
      </c>
      <c r="V523" s="26" t="n">
        <v>0</v>
      </c>
      <c r="W523" s="22" t="s">
        <v>17</v>
      </c>
      <c r="X523" s="22" t="s">
        <v>286</v>
      </c>
    </row>
    <row r="524" customFormat="false" ht="15" hidden="false" customHeight="false" outlineLevel="0" collapsed="false">
      <c r="A524" s="22" t="s">
        <v>2352</v>
      </c>
      <c r="B524" s="22" t="s">
        <v>17</v>
      </c>
      <c r="C524" s="22" t="s">
        <v>101</v>
      </c>
      <c r="D524" s="22" t="s">
        <v>2353</v>
      </c>
      <c r="E524" s="22" t="s">
        <v>2354</v>
      </c>
      <c r="F524" s="22" t="n">
        <v>8</v>
      </c>
      <c r="G524" s="26" t="n">
        <v>108.72</v>
      </c>
      <c r="H524" s="26" t="n">
        <v>130.85</v>
      </c>
      <c r="I524" s="26" t="n">
        <v>152.98</v>
      </c>
      <c r="J524" s="26" t="n">
        <v>169.58</v>
      </c>
      <c r="K524" s="26" t="n">
        <v>186.18</v>
      </c>
      <c r="L524" s="26" t="n">
        <v>1.7</v>
      </c>
      <c r="M524" s="27" t="n">
        <v>0.005</v>
      </c>
      <c r="N524" s="27" t="n">
        <v>0.002</v>
      </c>
      <c r="O524" s="26" t="n">
        <v>5</v>
      </c>
      <c r="P524" s="26" t="n">
        <v>5</v>
      </c>
      <c r="Q524" s="28" t="n">
        <v>100</v>
      </c>
      <c r="R524" s="26" t="n">
        <v>30</v>
      </c>
      <c r="S524" s="26" t="n">
        <v>0</v>
      </c>
      <c r="T524" s="28" t="n">
        <v>1</v>
      </c>
      <c r="U524" s="26" t="n">
        <v>0</v>
      </c>
      <c r="V524" s="26" t="n">
        <v>0</v>
      </c>
      <c r="W524" s="22" t="s">
        <v>17</v>
      </c>
      <c r="X524" s="22" t="s">
        <v>286</v>
      </c>
    </row>
    <row r="525" customFormat="false" ht="15" hidden="false" customHeight="false" outlineLevel="0" collapsed="false">
      <c r="A525" s="22" t="s">
        <v>2355</v>
      </c>
      <c r="B525" s="22" t="s">
        <v>17</v>
      </c>
      <c r="C525" s="22" t="s">
        <v>2356</v>
      </c>
      <c r="D525" s="22" t="s">
        <v>2357</v>
      </c>
      <c r="E525" s="22" t="s">
        <v>2358</v>
      </c>
      <c r="F525" s="22" t="n">
        <v>12</v>
      </c>
      <c r="G525" s="26" t="n">
        <v>131.96</v>
      </c>
      <c r="H525" s="26" t="n">
        <v>154.09</v>
      </c>
      <c r="I525" s="26" t="n">
        <v>176.22</v>
      </c>
      <c r="J525" s="26" t="n">
        <v>192.82</v>
      </c>
      <c r="K525" s="26" t="n">
        <v>209.42</v>
      </c>
      <c r="L525" s="26" t="n">
        <v>2.06</v>
      </c>
      <c r="M525" s="27" t="n">
        <v>0.005</v>
      </c>
      <c r="N525" s="27" t="n">
        <v>0.002</v>
      </c>
      <c r="O525" s="26" t="n">
        <v>5</v>
      </c>
      <c r="P525" s="26" t="n">
        <v>5</v>
      </c>
      <c r="Q525" s="28" t="n">
        <v>100</v>
      </c>
      <c r="R525" s="26" t="n">
        <v>30</v>
      </c>
      <c r="S525" s="26" t="n">
        <v>0</v>
      </c>
      <c r="T525" s="28" t="n">
        <v>1</v>
      </c>
      <c r="U525" s="26" t="n">
        <v>0</v>
      </c>
      <c r="V525" s="26" t="n">
        <v>0</v>
      </c>
      <c r="W525" s="22" t="s">
        <v>17</v>
      </c>
      <c r="X525" s="22" t="s">
        <v>293</v>
      </c>
    </row>
    <row r="526" customFormat="false" ht="15" hidden="false" customHeight="false" outlineLevel="0" collapsed="false">
      <c r="A526" s="22" t="s">
        <v>2359</v>
      </c>
      <c r="B526" s="22" t="s">
        <v>17</v>
      </c>
      <c r="C526" s="22" t="s">
        <v>2360</v>
      </c>
      <c r="D526" s="22" t="s">
        <v>2361</v>
      </c>
      <c r="E526" s="22" t="s">
        <v>2362</v>
      </c>
      <c r="F526" s="22" t="n">
        <v>12</v>
      </c>
      <c r="G526" s="26" t="n">
        <v>131.96</v>
      </c>
      <c r="H526" s="26" t="n">
        <v>154.09</v>
      </c>
      <c r="I526" s="26" t="n">
        <v>176.22</v>
      </c>
      <c r="J526" s="26" t="n">
        <v>192.82</v>
      </c>
      <c r="K526" s="26" t="n">
        <v>209.42</v>
      </c>
      <c r="L526" s="26" t="n">
        <v>2.06</v>
      </c>
      <c r="M526" s="27" t="n">
        <v>0.005</v>
      </c>
      <c r="N526" s="27" t="n">
        <v>0.002</v>
      </c>
      <c r="O526" s="26" t="n">
        <v>5</v>
      </c>
      <c r="P526" s="26" t="n">
        <v>5</v>
      </c>
      <c r="Q526" s="28" t="n">
        <v>100</v>
      </c>
      <c r="R526" s="26" t="n">
        <v>30</v>
      </c>
      <c r="S526" s="26" t="n">
        <v>0</v>
      </c>
      <c r="T526" s="28" t="n">
        <v>1</v>
      </c>
      <c r="U526" s="26" t="n">
        <v>0</v>
      </c>
      <c r="V526" s="26" t="n">
        <v>0</v>
      </c>
      <c r="W526" s="22" t="s">
        <v>17</v>
      </c>
      <c r="X526" s="22" t="s">
        <v>293</v>
      </c>
    </row>
    <row r="527" customFormat="false" ht="15" hidden="false" customHeight="false" outlineLevel="0" collapsed="false">
      <c r="A527" s="22" t="s">
        <v>2363</v>
      </c>
      <c r="B527" s="22" t="s">
        <v>17</v>
      </c>
      <c r="C527" s="22" t="s">
        <v>103</v>
      </c>
      <c r="D527" s="22" t="s">
        <v>2364</v>
      </c>
      <c r="E527" s="22" t="s">
        <v>2365</v>
      </c>
      <c r="F527" s="22" t="n">
        <v>12</v>
      </c>
      <c r="G527" s="26" t="n">
        <v>131.96</v>
      </c>
      <c r="H527" s="26" t="n">
        <v>154.09</v>
      </c>
      <c r="I527" s="26" t="n">
        <v>176.22</v>
      </c>
      <c r="J527" s="26" t="n">
        <v>192.82</v>
      </c>
      <c r="K527" s="26" t="n">
        <v>209.42</v>
      </c>
      <c r="L527" s="26" t="n">
        <v>2.06</v>
      </c>
      <c r="M527" s="27" t="n">
        <v>0.005</v>
      </c>
      <c r="N527" s="27" t="n">
        <v>0.002</v>
      </c>
      <c r="O527" s="26" t="n">
        <v>5</v>
      </c>
      <c r="P527" s="26" t="n">
        <v>5</v>
      </c>
      <c r="Q527" s="28" t="n">
        <v>100</v>
      </c>
      <c r="R527" s="26" t="n">
        <v>30</v>
      </c>
      <c r="S527" s="26" t="n">
        <v>0</v>
      </c>
      <c r="T527" s="28" t="n">
        <v>1</v>
      </c>
      <c r="U527" s="26" t="n">
        <v>0</v>
      </c>
      <c r="V527" s="26" t="n">
        <v>0</v>
      </c>
      <c r="W527" s="22" t="s">
        <v>17</v>
      </c>
      <c r="X527" s="22" t="s">
        <v>293</v>
      </c>
    </row>
    <row r="528" customFormat="false" ht="15" hidden="false" customHeight="false" outlineLevel="0" collapsed="false">
      <c r="A528" s="22" t="s">
        <v>2366</v>
      </c>
      <c r="B528" s="22" t="s">
        <v>17</v>
      </c>
      <c r="C528" s="22" t="s">
        <v>2367</v>
      </c>
      <c r="D528" s="22" t="s">
        <v>2368</v>
      </c>
      <c r="E528" s="22" t="s">
        <v>2369</v>
      </c>
      <c r="F528" s="22" t="n">
        <v>12</v>
      </c>
      <c r="G528" s="26" t="n">
        <v>131.96</v>
      </c>
      <c r="H528" s="26" t="n">
        <v>154.09</v>
      </c>
      <c r="I528" s="26" t="n">
        <v>176.22</v>
      </c>
      <c r="J528" s="26" t="n">
        <v>192.82</v>
      </c>
      <c r="K528" s="26" t="n">
        <v>209.42</v>
      </c>
      <c r="L528" s="26" t="n">
        <v>2.06</v>
      </c>
      <c r="M528" s="27" t="n">
        <v>0.005</v>
      </c>
      <c r="N528" s="27" t="n">
        <v>0.002</v>
      </c>
      <c r="O528" s="26" t="n">
        <v>5</v>
      </c>
      <c r="P528" s="26" t="n">
        <v>5</v>
      </c>
      <c r="Q528" s="28" t="n">
        <v>100</v>
      </c>
      <c r="R528" s="26" t="n">
        <v>30</v>
      </c>
      <c r="S528" s="26" t="n">
        <v>0</v>
      </c>
      <c r="T528" s="28" t="n">
        <v>1</v>
      </c>
      <c r="U528" s="26" t="n">
        <v>0</v>
      </c>
      <c r="V528" s="26" t="n">
        <v>0</v>
      </c>
      <c r="W528" s="22" t="s">
        <v>17</v>
      </c>
      <c r="X528" s="22" t="s">
        <v>293</v>
      </c>
    </row>
    <row r="529" customFormat="false" ht="15" hidden="false" customHeight="false" outlineLevel="0" collapsed="false">
      <c r="A529" s="22" t="s">
        <v>2370</v>
      </c>
      <c r="B529" s="29" t="s">
        <v>17</v>
      </c>
      <c r="C529" s="29" t="s">
        <v>2371</v>
      </c>
      <c r="D529" s="22" t="s">
        <v>2372</v>
      </c>
      <c r="E529" s="22" t="s">
        <v>2373</v>
      </c>
      <c r="F529" s="22" t="n">
        <v>12</v>
      </c>
      <c r="G529" s="26" t="n">
        <v>77.99</v>
      </c>
      <c r="H529" s="26" t="n">
        <v>89.01</v>
      </c>
      <c r="I529" s="26" t="n">
        <v>111.04</v>
      </c>
      <c r="J529" s="26" t="n">
        <v>122.06</v>
      </c>
      <c r="K529" s="26" t="n">
        <v>138.59</v>
      </c>
      <c r="L529" s="26" t="n">
        <v>1.93</v>
      </c>
      <c r="M529" s="27" t="n">
        <v>0.005</v>
      </c>
      <c r="N529" s="27" t="n">
        <v>0.002</v>
      </c>
      <c r="O529" s="26" t="n">
        <v>5</v>
      </c>
      <c r="P529" s="26" t="n">
        <v>5</v>
      </c>
      <c r="Q529" s="28" t="n">
        <v>100</v>
      </c>
      <c r="R529" s="26" t="n">
        <v>30</v>
      </c>
      <c r="S529" s="26" t="n">
        <v>0</v>
      </c>
      <c r="T529" s="28" t="n">
        <v>1</v>
      </c>
      <c r="U529" s="26" t="n">
        <v>0</v>
      </c>
      <c r="V529" s="26" t="n">
        <v>0</v>
      </c>
      <c r="W529" s="29" t="s">
        <v>20</v>
      </c>
      <c r="X529" s="22" t="s">
        <v>293</v>
      </c>
    </row>
    <row r="530" customFormat="false" ht="15" hidden="false" customHeight="false" outlineLevel="0" collapsed="false">
      <c r="A530" s="22" t="s">
        <v>2374</v>
      </c>
      <c r="B530" s="22" t="s">
        <v>17</v>
      </c>
      <c r="C530" s="22" t="s">
        <v>2375</v>
      </c>
      <c r="D530" s="22" t="s">
        <v>2376</v>
      </c>
      <c r="E530" s="22" t="s">
        <v>2377</v>
      </c>
      <c r="F530" s="22" t="n">
        <v>12</v>
      </c>
      <c r="G530" s="26" t="n">
        <v>131.96</v>
      </c>
      <c r="H530" s="26" t="n">
        <v>154.09</v>
      </c>
      <c r="I530" s="26" t="n">
        <v>176.22</v>
      </c>
      <c r="J530" s="26" t="n">
        <v>192.82</v>
      </c>
      <c r="K530" s="26" t="n">
        <v>209.42</v>
      </c>
      <c r="L530" s="26" t="n">
        <v>2.06</v>
      </c>
      <c r="M530" s="27" t="n">
        <v>0.005</v>
      </c>
      <c r="N530" s="27" t="n">
        <v>0.002</v>
      </c>
      <c r="O530" s="26" t="n">
        <v>5</v>
      </c>
      <c r="P530" s="26" t="n">
        <v>5</v>
      </c>
      <c r="Q530" s="28" t="n">
        <v>100</v>
      </c>
      <c r="R530" s="26" t="n">
        <v>30</v>
      </c>
      <c r="S530" s="26" t="n">
        <v>0</v>
      </c>
      <c r="T530" s="28" t="n">
        <v>1</v>
      </c>
      <c r="U530" s="26" t="n">
        <v>0</v>
      </c>
      <c r="V530" s="26" t="n">
        <v>0</v>
      </c>
      <c r="W530" s="22" t="s">
        <v>17</v>
      </c>
      <c r="X530" s="22" t="s">
        <v>293</v>
      </c>
    </row>
    <row r="531" customFormat="false" ht="15" hidden="false" customHeight="false" outlineLevel="0" collapsed="false">
      <c r="A531" s="22" t="s">
        <v>2378</v>
      </c>
      <c r="B531" s="22" t="s">
        <v>17</v>
      </c>
      <c r="C531" s="22" t="s">
        <v>2379</v>
      </c>
      <c r="D531" s="22" t="s">
        <v>2380</v>
      </c>
      <c r="E531" s="22" t="s">
        <v>2381</v>
      </c>
      <c r="F531" s="22" t="n">
        <v>12</v>
      </c>
      <c r="G531" s="26" t="n">
        <v>131.96</v>
      </c>
      <c r="H531" s="26" t="n">
        <v>154.09</v>
      </c>
      <c r="I531" s="26" t="n">
        <v>176.22</v>
      </c>
      <c r="J531" s="26" t="n">
        <v>192.82</v>
      </c>
      <c r="K531" s="26" t="n">
        <v>209.42</v>
      </c>
      <c r="L531" s="26" t="n">
        <v>2.06</v>
      </c>
      <c r="M531" s="27" t="n">
        <v>0.005</v>
      </c>
      <c r="N531" s="27" t="n">
        <v>0.002</v>
      </c>
      <c r="O531" s="26" t="n">
        <v>5</v>
      </c>
      <c r="P531" s="26" t="n">
        <v>5</v>
      </c>
      <c r="Q531" s="28" t="n">
        <v>100</v>
      </c>
      <c r="R531" s="26" t="n">
        <v>30</v>
      </c>
      <c r="S531" s="26" t="n">
        <v>0</v>
      </c>
      <c r="T531" s="28" t="n">
        <v>1</v>
      </c>
      <c r="U531" s="26" t="n">
        <v>0</v>
      </c>
      <c r="V531" s="26" t="n">
        <v>0</v>
      </c>
      <c r="W531" s="22" t="s">
        <v>17</v>
      </c>
      <c r="X531" s="22" t="s">
        <v>293</v>
      </c>
    </row>
    <row r="532" customFormat="false" ht="15" hidden="false" customHeight="false" outlineLevel="0" collapsed="false">
      <c r="A532" s="22" t="s">
        <v>2382</v>
      </c>
      <c r="B532" s="22" t="s">
        <v>17</v>
      </c>
      <c r="C532" s="22" t="s">
        <v>2383</v>
      </c>
      <c r="D532" s="22" t="s">
        <v>2384</v>
      </c>
      <c r="E532" s="22" t="s">
        <v>2385</v>
      </c>
      <c r="F532" s="22" t="n">
        <v>12</v>
      </c>
      <c r="G532" s="26" t="n">
        <v>131.96</v>
      </c>
      <c r="H532" s="26" t="n">
        <v>154.09</v>
      </c>
      <c r="I532" s="26" t="n">
        <v>176.22</v>
      </c>
      <c r="J532" s="26" t="n">
        <v>192.82</v>
      </c>
      <c r="K532" s="26" t="n">
        <v>209.42</v>
      </c>
      <c r="L532" s="26" t="n">
        <v>2.06</v>
      </c>
      <c r="M532" s="27" t="n">
        <v>0.005</v>
      </c>
      <c r="N532" s="27" t="n">
        <v>0.002</v>
      </c>
      <c r="O532" s="26" t="n">
        <v>5</v>
      </c>
      <c r="P532" s="26" t="n">
        <v>5</v>
      </c>
      <c r="Q532" s="28" t="n">
        <v>100</v>
      </c>
      <c r="R532" s="26" t="n">
        <v>30</v>
      </c>
      <c r="S532" s="26" t="n">
        <v>0</v>
      </c>
      <c r="T532" s="28" t="n">
        <v>1</v>
      </c>
      <c r="U532" s="26" t="n">
        <v>0</v>
      </c>
      <c r="V532" s="26" t="n">
        <v>0</v>
      </c>
      <c r="W532" s="22" t="s">
        <v>17</v>
      </c>
      <c r="X532" s="22" t="s">
        <v>293</v>
      </c>
    </row>
    <row r="533" customFormat="false" ht="15" hidden="false" customHeight="false" outlineLevel="0" collapsed="false">
      <c r="A533" s="22" t="s">
        <v>2386</v>
      </c>
      <c r="B533" s="22" t="s">
        <v>17</v>
      </c>
      <c r="C533" s="22" t="s">
        <v>2387</v>
      </c>
      <c r="D533" s="22" t="s">
        <v>2388</v>
      </c>
      <c r="E533" s="22" t="s">
        <v>2389</v>
      </c>
      <c r="F533" s="22" t="n">
        <v>12</v>
      </c>
      <c r="G533" s="26" t="n">
        <v>131.96</v>
      </c>
      <c r="H533" s="26" t="n">
        <v>154.09</v>
      </c>
      <c r="I533" s="26" t="n">
        <v>176.22</v>
      </c>
      <c r="J533" s="26" t="n">
        <v>192.82</v>
      </c>
      <c r="K533" s="26" t="n">
        <v>209.42</v>
      </c>
      <c r="L533" s="26" t="n">
        <v>2.06</v>
      </c>
      <c r="M533" s="27" t="n">
        <v>0.005</v>
      </c>
      <c r="N533" s="27" t="n">
        <v>0.002</v>
      </c>
      <c r="O533" s="26" t="n">
        <v>5</v>
      </c>
      <c r="P533" s="26" t="n">
        <v>5</v>
      </c>
      <c r="Q533" s="28" t="n">
        <v>100</v>
      </c>
      <c r="R533" s="26" t="n">
        <v>30</v>
      </c>
      <c r="S533" s="26" t="n">
        <v>0</v>
      </c>
      <c r="T533" s="28" t="n">
        <v>1</v>
      </c>
      <c r="U533" s="26" t="n">
        <v>0</v>
      </c>
      <c r="V533" s="26" t="n">
        <v>0</v>
      </c>
      <c r="W533" s="22" t="s">
        <v>17</v>
      </c>
      <c r="X533" s="22" t="s">
        <v>293</v>
      </c>
    </row>
    <row r="534" customFormat="false" ht="15" hidden="false" customHeight="false" outlineLevel="0" collapsed="false">
      <c r="A534" s="22" t="s">
        <v>2390</v>
      </c>
      <c r="B534" s="22" t="s">
        <v>17</v>
      </c>
      <c r="C534" s="22" t="s">
        <v>2391</v>
      </c>
      <c r="D534" s="22" t="s">
        <v>2392</v>
      </c>
      <c r="E534" s="22" t="s">
        <v>2393</v>
      </c>
      <c r="F534" s="22" t="n">
        <v>12</v>
      </c>
      <c r="G534" s="26" t="n">
        <v>131.96</v>
      </c>
      <c r="H534" s="26" t="n">
        <v>154.09</v>
      </c>
      <c r="I534" s="26" t="n">
        <v>176.22</v>
      </c>
      <c r="J534" s="26" t="n">
        <v>192.82</v>
      </c>
      <c r="K534" s="26" t="n">
        <v>209.42</v>
      </c>
      <c r="L534" s="26" t="n">
        <v>2.06</v>
      </c>
      <c r="M534" s="27" t="n">
        <v>0.005</v>
      </c>
      <c r="N534" s="27" t="n">
        <v>0.002</v>
      </c>
      <c r="O534" s="26" t="n">
        <v>5</v>
      </c>
      <c r="P534" s="26" t="n">
        <v>5</v>
      </c>
      <c r="Q534" s="28" t="n">
        <v>100</v>
      </c>
      <c r="R534" s="26" t="n">
        <v>30</v>
      </c>
      <c r="S534" s="26" t="n">
        <v>0</v>
      </c>
      <c r="T534" s="28" t="n">
        <v>1</v>
      </c>
      <c r="U534" s="26" t="n">
        <v>0</v>
      </c>
      <c r="V534" s="26" t="n">
        <v>0</v>
      </c>
      <c r="W534" s="22" t="s">
        <v>17</v>
      </c>
      <c r="X534" s="22" t="s">
        <v>293</v>
      </c>
    </row>
    <row r="535" customFormat="false" ht="15" hidden="false" customHeight="false" outlineLevel="0" collapsed="false">
      <c r="A535" s="22" t="s">
        <v>2394</v>
      </c>
      <c r="B535" s="22" t="s">
        <v>17</v>
      </c>
      <c r="C535" s="22" t="s">
        <v>2395</v>
      </c>
      <c r="D535" s="22" t="s">
        <v>2396</v>
      </c>
      <c r="E535" s="22" t="s">
        <v>2397</v>
      </c>
      <c r="F535" s="22" t="n">
        <v>12</v>
      </c>
      <c r="G535" s="26" t="n">
        <v>131.96</v>
      </c>
      <c r="H535" s="26" t="n">
        <v>154.09</v>
      </c>
      <c r="I535" s="26" t="n">
        <v>176.22</v>
      </c>
      <c r="J535" s="26" t="n">
        <v>192.82</v>
      </c>
      <c r="K535" s="26" t="n">
        <v>209.42</v>
      </c>
      <c r="L535" s="26" t="n">
        <v>2.06</v>
      </c>
      <c r="M535" s="27" t="n">
        <v>0.005</v>
      </c>
      <c r="N535" s="27" t="n">
        <v>0.002</v>
      </c>
      <c r="O535" s="26" t="n">
        <v>5</v>
      </c>
      <c r="P535" s="26" t="n">
        <v>5</v>
      </c>
      <c r="Q535" s="28" t="n">
        <v>100</v>
      </c>
      <c r="R535" s="26" t="n">
        <v>30</v>
      </c>
      <c r="S535" s="26" t="n">
        <v>0</v>
      </c>
      <c r="T535" s="28" t="n">
        <v>1</v>
      </c>
      <c r="U535" s="26" t="n">
        <v>0</v>
      </c>
      <c r="V535" s="26" t="n">
        <v>0</v>
      </c>
      <c r="W535" s="22" t="s">
        <v>17</v>
      </c>
      <c r="X535" s="22" t="s">
        <v>293</v>
      </c>
    </row>
    <row r="536" customFormat="false" ht="15" hidden="false" customHeight="false" outlineLevel="0" collapsed="false">
      <c r="A536" s="22" t="s">
        <v>2398</v>
      </c>
      <c r="B536" s="22" t="s">
        <v>17</v>
      </c>
      <c r="C536" s="22" t="s">
        <v>2399</v>
      </c>
      <c r="D536" s="22" t="s">
        <v>2400</v>
      </c>
      <c r="E536" s="22" t="s">
        <v>2401</v>
      </c>
      <c r="F536" s="22" t="n">
        <v>12</v>
      </c>
      <c r="G536" s="26" t="n">
        <v>131.96</v>
      </c>
      <c r="H536" s="26" t="n">
        <v>154.09</v>
      </c>
      <c r="I536" s="26" t="n">
        <v>176.22</v>
      </c>
      <c r="J536" s="26" t="n">
        <v>192.82</v>
      </c>
      <c r="K536" s="26" t="n">
        <v>209.42</v>
      </c>
      <c r="L536" s="26" t="n">
        <v>2.06</v>
      </c>
      <c r="M536" s="27" t="n">
        <v>0.005</v>
      </c>
      <c r="N536" s="27" t="n">
        <v>0.002</v>
      </c>
      <c r="O536" s="26" t="n">
        <v>5</v>
      </c>
      <c r="P536" s="26" t="n">
        <v>5</v>
      </c>
      <c r="Q536" s="28" t="n">
        <v>100</v>
      </c>
      <c r="R536" s="26" t="n">
        <v>30</v>
      </c>
      <c r="S536" s="26" t="n">
        <v>0</v>
      </c>
      <c r="T536" s="28" t="n">
        <v>1</v>
      </c>
      <c r="U536" s="26" t="n">
        <v>0</v>
      </c>
      <c r="V536" s="26" t="n">
        <v>0</v>
      </c>
      <c r="W536" s="22" t="s">
        <v>17</v>
      </c>
      <c r="X536" s="22" t="s">
        <v>293</v>
      </c>
    </row>
    <row r="537" customFormat="false" ht="15" hidden="false" customHeight="false" outlineLevel="0" collapsed="false">
      <c r="A537" s="22" t="s">
        <v>2402</v>
      </c>
      <c r="B537" s="22" t="s">
        <v>17</v>
      </c>
      <c r="C537" s="22" t="s">
        <v>2403</v>
      </c>
      <c r="D537" s="22" t="s">
        <v>2404</v>
      </c>
      <c r="E537" s="22" t="s">
        <v>2405</v>
      </c>
      <c r="F537" s="22" t="n">
        <v>12</v>
      </c>
      <c r="G537" s="26" t="n">
        <v>131.96</v>
      </c>
      <c r="H537" s="26" t="n">
        <v>154.09</v>
      </c>
      <c r="I537" s="26" t="n">
        <v>176.22</v>
      </c>
      <c r="J537" s="26" t="n">
        <v>192.82</v>
      </c>
      <c r="K537" s="26" t="n">
        <v>209.42</v>
      </c>
      <c r="L537" s="26" t="n">
        <v>2.06</v>
      </c>
      <c r="M537" s="27" t="n">
        <v>0.005</v>
      </c>
      <c r="N537" s="27" t="n">
        <v>0.002</v>
      </c>
      <c r="O537" s="26" t="n">
        <v>5</v>
      </c>
      <c r="P537" s="26" t="n">
        <v>5</v>
      </c>
      <c r="Q537" s="28" t="n">
        <v>100</v>
      </c>
      <c r="R537" s="26" t="n">
        <v>30</v>
      </c>
      <c r="S537" s="26" t="n">
        <v>0</v>
      </c>
      <c r="T537" s="28" t="n">
        <v>1</v>
      </c>
      <c r="U537" s="26" t="n">
        <v>0</v>
      </c>
      <c r="V537" s="26" t="n">
        <v>0</v>
      </c>
      <c r="W537" s="22" t="s">
        <v>17</v>
      </c>
      <c r="X537" s="22" t="s">
        <v>293</v>
      </c>
    </row>
    <row r="538" customFormat="false" ht="15" hidden="false" customHeight="false" outlineLevel="0" collapsed="false">
      <c r="A538" s="22" t="s">
        <v>2406</v>
      </c>
      <c r="B538" s="22" t="s">
        <v>17</v>
      </c>
      <c r="C538" s="22" t="s">
        <v>2407</v>
      </c>
      <c r="D538" s="22" t="s">
        <v>2408</v>
      </c>
      <c r="E538" s="22" t="s">
        <v>2409</v>
      </c>
      <c r="F538" s="22" t="n">
        <v>12</v>
      </c>
      <c r="G538" s="26" t="n">
        <v>131.96</v>
      </c>
      <c r="H538" s="26" t="n">
        <v>154.09</v>
      </c>
      <c r="I538" s="26" t="n">
        <v>176.22</v>
      </c>
      <c r="J538" s="26" t="n">
        <v>192.82</v>
      </c>
      <c r="K538" s="26" t="n">
        <v>209.42</v>
      </c>
      <c r="L538" s="26" t="n">
        <v>2.06</v>
      </c>
      <c r="M538" s="27" t="n">
        <v>0.005</v>
      </c>
      <c r="N538" s="27" t="n">
        <v>0.002</v>
      </c>
      <c r="O538" s="26" t="n">
        <v>5</v>
      </c>
      <c r="P538" s="26" t="n">
        <v>5</v>
      </c>
      <c r="Q538" s="28" t="n">
        <v>100</v>
      </c>
      <c r="R538" s="26" t="n">
        <v>30</v>
      </c>
      <c r="S538" s="26" t="n">
        <v>0</v>
      </c>
      <c r="T538" s="28" t="n">
        <v>1</v>
      </c>
      <c r="U538" s="26" t="n">
        <v>0</v>
      </c>
      <c r="V538" s="26" t="n">
        <v>0</v>
      </c>
      <c r="W538" s="22" t="s">
        <v>17</v>
      </c>
      <c r="X538" s="22" t="s">
        <v>293</v>
      </c>
    </row>
    <row r="539" customFormat="false" ht="15" hidden="false" customHeight="false" outlineLevel="0" collapsed="false">
      <c r="A539" s="22" t="s">
        <v>2410</v>
      </c>
      <c r="B539" s="22" t="s">
        <v>17</v>
      </c>
      <c r="C539" s="22" t="s">
        <v>2411</v>
      </c>
      <c r="D539" s="22" t="s">
        <v>2412</v>
      </c>
      <c r="E539" s="22" t="s">
        <v>2413</v>
      </c>
      <c r="F539" s="22" t="n">
        <v>12</v>
      </c>
      <c r="G539" s="26" t="n">
        <v>131.96</v>
      </c>
      <c r="H539" s="26" t="n">
        <v>154.09</v>
      </c>
      <c r="I539" s="26" t="n">
        <v>176.22</v>
      </c>
      <c r="J539" s="26" t="n">
        <v>192.82</v>
      </c>
      <c r="K539" s="26" t="n">
        <v>209.42</v>
      </c>
      <c r="L539" s="26" t="n">
        <v>2.06</v>
      </c>
      <c r="M539" s="27" t="n">
        <v>0.005</v>
      </c>
      <c r="N539" s="27" t="n">
        <v>0.002</v>
      </c>
      <c r="O539" s="26" t="n">
        <v>5</v>
      </c>
      <c r="P539" s="26" t="n">
        <v>5</v>
      </c>
      <c r="Q539" s="28" t="n">
        <v>100</v>
      </c>
      <c r="R539" s="26" t="n">
        <v>30</v>
      </c>
      <c r="S539" s="26" t="n">
        <v>0</v>
      </c>
      <c r="T539" s="28" t="n">
        <v>1</v>
      </c>
      <c r="U539" s="26" t="n">
        <v>0</v>
      </c>
      <c r="V539" s="26" t="n">
        <v>0</v>
      </c>
      <c r="W539" s="22" t="s">
        <v>17</v>
      </c>
      <c r="X539" s="22" t="s">
        <v>293</v>
      </c>
    </row>
    <row r="540" customFormat="false" ht="15" hidden="false" customHeight="false" outlineLevel="0" collapsed="false">
      <c r="A540" s="22" t="s">
        <v>2414</v>
      </c>
      <c r="B540" s="22" t="s">
        <v>17</v>
      </c>
      <c r="C540" s="22" t="s">
        <v>2415</v>
      </c>
      <c r="D540" s="22" t="s">
        <v>2416</v>
      </c>
      <c r="E540" s="22" t="s">
        <v>2417</v>
      </c>
      <c r="F540" s="22" t="n">
        <v>12</v>
      </c>
      <c r="G540" s="26" t="n">
        <v>131.96</v>
      </c>
      <c r="H540" s="26" t="n">
        <v>154.09</v>
      </c>
      <c r="I540" s="26" t="n">
        <v>176.22</v>
      </c>
      <c r="J540" s="26" t="n">
        <v>192.82</v>
      </c>
      <c r="K540" s="26" t="n">
        <v>209.42</v>
      </c>
      <c r="L540" s="26" t="n">
        <v>2.06</v>
      </c>
      <c r="M540" s="27" t="n">
        <v>0.005</v>
      </c>
      <c r="N540" s="27" t="n">
        <v>0.002</v>
      </c>
      <c r="O540" s="26" t="n">
        <v>5</v>
      </c>
      <c r="P540" s="26" t="n">
        <v>5</v>
      </c>
      <c r="Q540" s="28" t="n">
        <v>100</v>
      </c>
      <c r="R540" s="26" t="n">
        <v>30</v>
      </c>
      <c r="S540" s="26" t="n">
        <v>0</v>
      </c>
      <c r="T540" s="28" t="n">
        <v>1</v>
      </c>
      <c r="U540" s="26" t="n">
        <v>0</v>
      </c>
      <c r="V540" s="26" t="n">
        <v>0</v>
      </c>
      <c r="W540" s="22" t="s">
        <v>17</v>
      </c>
      <c r="X540" s="22" t="s">
        <v>293</v>
      </c>
    </row>
    <row r="541" customFormat="false" ht="15" hidden="false" customHeight="false" outlineLevel="0" collapsed="false">
      <c r="A541" s="22" t="s">
        <v>2418</v>
      </c>
      <c r="B541" s="22" t="s">
        <v>17</v>
      </c>
      <c r="C541" s="22" t="s">
        <v>2419</v>
      </c>
      <c r="D541" s="22" t="s">
        <v>2420</v>
      </c>
      <c r="E541" s="22" t="s">
        <v>2421</v>
      </c>
      <c r="F541" s="22" t="n">
        <v>12</v>
      </c>
      <c r="G541" s="26" t="n">
        <v>131.96</v>
      </c>
      <c r="H541" s="26" t="n">
        <v>154.09</v>
      </c>
      <c r="I541" s="26" t="n">
        <v>176.22</v>
      </c>
      <c r="J541" s="26" t="n">
        <v>192.82</v>
      </c>
      <c r="K541" s="26" t="n">
        <v>209.42</v>
      </c>
      <c r="L541" s="26" t="n">
        <v>2.06</v>
      </c>
      <c r="M541" s="27" t="n">
        <v>0.005</v>
      </c>
      <c r="N541" s="27" t="n">
        <v>0.002</v>
      </c>
      <c r="O541" s="26" t="n">
        <v>5</v>
      </c>
      <c r="P541" s="26" t="n">
        <v>5</v>
      </c>
      <c r="Q541" s="28" t="n">
        <v>100</v>
      </c>
      <c r="R541" s="26" t="n">
        <v>30</v>
      </c>
      <c r="S541" s="26" t="n">
        <v>0</v>
      </c>
      <c r="T541" s="28" t="n">
        <v>1</v>
      </c>
      <c r="U541" s="26" t="n">
        <v>0</v>
      </c>
      <c r="V541" s="26" t="n">
        <v>0</v>
      </c>
      <c r="W541" s="22" t="s">
        <v>17</v>
      </c>
      <c r="X541" s="22" t="s">
        <v>293</v>
      </c>
    </row>
    <row r="542" customFormat="false" ht="15" hidden="false" customHeight="false" outlineLevel="0" collapsed="false">
      <c r="A542" s="22" t="s">
        <v>2422</v>
      </c>
      <c r="B542" s="22" t="s">
        <v>17</v>
      </c>
      <c r="C542" s="22" t="s">
        <v>2423</v>
      </c>
      <c r="D542" s="22" t="s">
        <v>2424</v>
      </c>
      <c r="E542" s="22" t="s">
        <v>2425</v>
      </c>
      <c r="F542" s="22" t="n">
        <v>12</v>
      </c>
      <c r="G542" s="26" t="n">
        <v>131.96</v>
      </c>
      <c r="H542" s="26" t="n">
        <v>154.09</v>
      </c>
      <c r="I542" s="26" t="n">
        <v>176.22</v>
      </c>
      <c r="J542" s="26" t="n">
        <v>192.82</v>
      </c>
      <c r="K542" s="26" t="n">
        <v>209.42</v>
      </c>
      <c r="L542" s="26" t="n">
        <v>2.06</v>
      </c>
      <c r="M542" s="27" t="n">
        <v>0.005</v>
      </c>
      <c r="N542" s="27" t="n">
        <v>0.002</v>
      </c>
      <c r="O542" s="26" t="n">
        <v>5</v>
      </c>
      <c r="P542" s="26" t="n">
        <v>5</v>
      </c>
      <c r="Q542" s="28" t="n">
        <v>100</v>
      </c>
      <c r="R542" s="26" t="n">
        <v>30</v>
      </c>
      <c r="S542" s="26" t="n">
        <v>0</v>
      </c>
      <c r="T542" s="28" t="n">
        <v>1</v>
      </c>
      <c r="U542" s="26" t="n">
        <v>0</v>
      </c>
      <c r="V542" s="26" t="n">
        <v>0</v>
      </c>
      <c r="W542" s="22" t="s">
        <v>17</v>
      </c>
      <c r="X542" s="22" t="s">
        <v>293</v>
      </c>
    </row>
    <row r="543" customFormat="false" ht="15" hidden="false" customHeight="false" outlineLevel="0" collapsed="false">
      <c r="A543" s="22" t="s">
        <v>2426</v>
      </c>
      <c r="B543" s="22" t="s">
        <v>17</v>
      </c>
      <c r="C543" s="22" t="s">
        <v>2427</v>
      </c>
      <c r="D543" s="22" t="s">
        <v>2428</v>
      </c>
      <c r="E543" s="22" t="s">
        <v>2429</v>
      </c>
      <c r="F543" s="22" t="n">
        <v>12</v>
      </c>
      <c r="G543" s="26" t="n">
        <v>131.96</v>
      </c>
      <c r="H543" s="26" t="n">
        <v>154.09</v>
      </c>
      <c r="I543" s="26" t="n">
        <v>176.22</v>
      </c>
      <c r="J543" s="26" t="n">
        <v>192.82</v>
      </c>
      <c r="K543" s="26" t="n">
        <v>209.42</v>
      </c>
      <c r="L543" s="26" t="n">
        <v>2.06</v>
      </c>
      <c r="M543" s="27" t="n">
        <v>0.005</v>
      </c>
      <c r="N543" s="27" t="n">
        <v>0.002</v>
      </c>
      <c r="O543" s="26" t="n">
        <v>5</v>
      </c>
      <c r="P543" s="26" t="n">
        <v>5</v>
      </c>
      <c r="Q543" s="28" t="n">
        <v>100</v>
      </c>
      <c r="R543" s="26" t="n">
        <v>30</v>
      </c>
      <c r="S543" s="26" t="n">
        <v>0</v>
      </c>
      <c r="T543" s="28" t="n">
        <v>1</v>
      </c>
      <c r="U543" s="26" t="n">
        <v>0</v>
      </c>
      <c r="V543" s="26" t="n">
        <v>0</v>
      </c>
      <c r="W543" s="22" t="s">
        <v>17</v>
      </c>
      <c r="X543" s="22" t="s">
        <v>293</v>
      </c>
    </row>
    <row r="544" customFormat="false" ht="15" hidden="false" customHeight="false" outlineLevel="0" collapsed="false">
      <c r="A544" s="22" t="s">
        <v>2430</v>
      </c>
      <c r="B544" s="22" t="s">
        <v>17</v>
      </c>
      <c r="C544" s="22" t="s">
        <v>2431</v>
      </c>
      <c r="D544" s="22" t="s">
        <v>2432</v>
      </c>
      <c r="E544" s="22" t="s">
        <v>2433</v>
      </c>
      <c r="F544" s="22" t="n">
        <v>12</v>
      </c>
      <c r="G544" s="26" t="n">
        <v>131.96</v>
      </c>
      <c r="H544" s="26" t="n">
        <v>154.09</v>
      </c>
      <c r="I544" s="26" t="n">
        <v>176.22</v>
      </c>
      <c r="J544" s="26" t="n">
        <v>192.82</v>
      </c>
      <c r="K544" s="26" t="n">
        <v>209.42</v>
      </c>
      <c r="L544" s="26" t="n">
        <v>2.06</v>
      </c>
      <c r="M544" s="27" t="n">
        <v>0.005</v>
      </c>
      <c r="N544" s="27" t="n">
        <v>0.002</v>
      </c>
      <c r="O544" s="26" t="n">
        <v>5</v>
      </c>
      <c r="P544" s="26" t="n">
        <v>5</v>
      </c>
      <c r="Q544" s="28" t="n">
        <v>100</v>
      </c>
      <c r="R544" s="26" t="n">
        <v>30</v>
      </c>
      <c r="S544" s="26" t="n">
        <v>0</v>
      </c>
      <c r="T544" s="28" t="n">
        <v>1</v>
      </c>
      <c r="U544" s="26" t="n">
        <v>0</v>
      </c>
      <c r="V544" s="26" t="n">
        <v>0</v>
      </c>
      <c r="W544" s="22" t="s">
        <v>17</v>
      </c>
      <c r="X544" s="22" t="s">
        <v>293</v>
      </c>
    </row>
    <row r="545" customFormat="false" ht="15" hidden="false" customHeight="false" outlineLevel="0" collapsed="false">
      <c r="A545" s="22" t="s">
        <v>2434</v>
      </c>
      <c r="B545" s="22" t="s">
        <v>17</v>
      </c>
      <c r="C545" s="22" t="s">
        <v>107</v>
      </c>
      <c r="D545" s="22" t="s">
        <v>2435</v>
      </c>
      <c r="E545" s="22" t="s">
        <v>2436</v>
      </c>
      <c r="F545" s="22" t="n">
        <v>12</v>
      </c>
      <c r="G545" s="26" t="n">
        <v>131.96</v>
      </c>
      <c r="H545" s="26" t="n">
        <v>154.09</v>
      </c>
      <c r="I545" s="26" t="n">
        <v>176.22</v>
      </c>
      <c r="J545" s="26" t="n">
        <v>192.82</v>
      </c>
      <c r="K545" s="26" t="n">
        <v>209.42</v>
      </c>
      <c r="L545" s="26" t="n">
        <v>2.06</v>
      </c>
      <c r="M545" s="27" t="n">
        <v>0.005</v>
      </c>
      <c r="N545" s="27" t="n">
        <v>0.002</v>
      </c>
      <c r="O545" s="26" t="n">
        <v>5</v>
      </c>
      <c r="P545" s="26" t="n">
        <v>5</v>
      </c>
      <c r="Q545" s="28" t="n">
        <v>100</v>
      </c>
      <c r="R545" s="26" t="n">
        <v>30</v>
      </c>
      <c r="S545" s="26" t="n">
        <v>0</v>
      </c>
      <c r="T545" s="28" t="n">
        <v>1</v>
      </c>
      <c r="U545" s="26" t="n">
        <v>0</v>
      </c>
      <c r="V545" s="26" t="n">
        <v>0</v>
      </c>
      <c r="W545" s="22" t="s">
        <v>17</v>
      </c>
      <c r="X545" s="22" t="s">
        <v>293</v>
      </c>
    </row>
    <row r="546" customFormat="false" ht="15" hidden="false" customHeight="false" outlineLevel="0" collapsed="false">
      <c r="A546" s="22" t="s">
        <v>2437</v>
      </c>
      <c r="B546" s="22" t="s">
        <v>17</v>
      </c>
      <c r="C546" s="22" t="s">
        <v>2438</v>
      </c>
      <c r="D546" s="22" t="s">
        <v>2439</v>
      </c>
      <c r="E546" s="22" t="s">
        <v>2440</v>
      </c>
      <c r="F546" s="22" t="n">
        <v>12</v>
      </c>
      <c r="G546" s="26" t="n">
        <v>131.96</v>
      </c>
      <c r="H546" s="26" t="n">
        <v>154.09</v>
      </c>
      <c r="I546" s="26" t="n">
        <v>176.22</v>
      </c>
      <c r="J546" s="26" t="n">
        <v>192.82</v>
      </c>
      <c r="K546" s="26" t="n">
        <v>209.42</v>
      </c>
      <c r="L546" s="26" t="n">
        <v>2.06</v>
      </c>
      <c r="M546" s="27" t="n">
        <v>0.005</v>
      </c>
      <c r="N546" s="27" t="n">
        <v>0.002</v>
      </c>
      <c r="O546" s="26" t="n">
        <v>5</v>
      </c>
      <c r="P546" s="26" t="n">
        <v>5</v>
      </c>
      <c r="Q546" s="28" t="n">
        <v>100</v>
      </c>
      <c r="R546" s="26" t="n">
        <v>30</v>
      </c>
      <c r="S546" s="26" t="n">
        <v>0</v>
      </c>
      <c r="T546" s="28" t="n">
        <v>1</v>
      </c>
      <c r="U546" s="26" t="n">
        <v>0</v>
      </c>
      <c r="V546" s="26" t="n">
        <v>0</v>
      </c>
      <c r="W546" s="22" t="s">
        <v>17</v>
      </c>
      <c r="X546" s="22" t="s">
        <v>293</v>
      </c>
    </row>
    <row r="547" customFormat="false" ht="15" hidden="false" customHeight="false" outlineLevel="0" collapsed="false">
      <c r="A547" s="22" t="s">
        <v>2441</v>
      </c>
      <c r="B547" s="22" t="s">
        <v>17</v>
      </c>
      <c r="C547" s="22" t="s">
        <v>2442</v>
      </c>
      <c r="D547" s="22" t="s">
        <v>2443</v>
      </c>
      <c r="E547" s="22" t="s">
        <v>2444</v>
      </c>
      <c r="F547" s="22" t="n">
        <v>12</v>
      </c>
      <c r="G547" s="26" t="n">
        <v>131.96</v>
      </c>
      <c r="H547" s="26" t="n">
        <v>154.09</v>
      </c>
      <c r="I547" s="26" t="n">
        <v>176.22</v>
      </c>
      <c r="J547" s="26" t="n">
        <v>192.82</v>
      </c>
      <c r="K547" s="26" t="n">
        <v>209.42</v>
      </c>
      <c r="L547" s="26" t="n">
        <v>2.06</v>
      </c>
      <c r="M547" s="27" t="n">
        <v>0.005</v>
      </c>
      <c r="N547" s="27" t="n">
        <v>0.002</v>
      </c>
      <c r="O547" s="26" t="n">
        <v>5</v>
      </c>
      <c r="P547" s="26" t="n">
        <v>5</v>
      </c>
      <c r="Q547" s="28" t="n">
        <v>100</v>
      </c>
      <c r="R547" s="26" t="n">
        <v>30</v>
      </c>
      <c r="S547" s="26" t="n">
        <v>0</v>
      </c>
      <c r="T547" s="28" t="n">
        <v>1</v>
      </c>
      <c r="U547" s="26" t="n">
        <v>0</v>
      </c>
      <c r="V547" s="26" t="n">
        <v>0</v>
      </c>
      <c r="W547" s="22" t="s">
        <v>17</v>
      </c>
      <c r="X547" s="22" t="s">
        <v>293</v>
      </c>
    </row>
    <row r="548" customFormat="false" ht="15" hidden="false" customHeight="false" outlineLevel="0" collapsed="false">
      <c r="A548" s="22" t="s">
        <v>2445</v>
      </c>
      <c r="B548" s="22" t="s">
        <v>17</v>
      </c>
      <c r="C548" s="22" t="s">
        <v>2446</v>
      </c>
      <c r="D548" s="22" t="s">
        <v>2447</v>
      </c>
      <c r="E548" s="22" t="s">
        <v>2448</v>
      </c>
      <c r="F548" s="22" t="n">
        <v>12</v>
      </c>
      <c r="G548" s="26" t="n">
        <v>131.96</v>
      </c>
      <c r="H548" s="26" t="n">
        <v>154.09</v>
      </c>
      <c r="I548" s="26" t="n">
        <v>176.22</v>
      </c>
      <c r="J548" s="26" t="n">
        <v>192.82</v>
      </c>
      <c r="K548" s="26" t="n">
        <v>209.42</v>
      </c>
      <c r="L548" s="26" t="n">
        <v>2.06</v>
      </c>
      <c r="M548" s="27" t="n">
        <v>0.005</v>
      </c>
      <c r="N548" s="27" t="n">
        <v>0.002</v>
      </c>
      <c r="O548" s="26" t="n">
        <v>5</v>
      </c>
      <c r="P548" s="26" t="n">
        <v>5</v>
      </c>
      <c r="Q548" s="28" t="n">
        <v>100</v>
      </c>
      <c r="R548" s="26" t="n">
        <v>30</v>
      </c>
      <c r="S548" s="26" t="n">
        <v>0</v>
      </c>
      <c r="T548" s="28" t="n">
        <v>1</v>
      </c>
      <c r="U548" s="26" t="n">
        <v>0</v>
      </c>
      <c r="V548" s="26" t="n">
        <v>0</v>
      </c>
      <c r="W548" s="22" t="s">
        <v>17</v>
      </c>
      <c r="X548" s="22" t="s">
        <v>293</v>
      </c>
    </row>
    <row r="549" customFormat="false" ht="15" hidden="false" customHeight="false" outlineLevel="0" collapsed="false">
      <c r="A549" s="22" t="s">
        <v>2449</v>
      </c>
      <c r="B549" s="29" t="s">
        <v>17</v>
      </c>
      <c r="C549" s="29" t="s">
        <v>2450</v>
      </c>
      <c r="D549" s="22" t="s">
        <v>2451</v>
      </c>
      <c r="E549" s="22" t="s">
        <v>2452</v>
      </c>
      <c r="F549" s="22" t="n">
        <v>12</v>
      </c>
      <c r="G549" s="26" t="n">
        <v>78.36</v>
      </c>
      <c r="H549" s="26" t="n">
        <v>88.38</v>
      </c>
      <c r="I549" s="26" t="n">
        <v>108.41</v>
      </c>
      <c r="J549" s="26" t="n">
        <v>118.43</v>
      </c>
      <c r="K549" s="26" t="n">
        <v>133.46</v>
      </c>
      <c r="L549" s="26" t="n">
        <v>1.93</v>
      </c>
      <c r="M549" s="27" t="n">
        <v>0.005</v>
      </c>
      <c r="N549" s="27" t="n">
        <v>0.002</v>
      </c>
      <c r="O549" s="26" t="n">
        <v>5</v>
      </c>
      <c r="P549" s="26" t="n">
        <v>5</v>
      </c>
      <c r="Q549" s="28" t="n">
        <v>100</v>
      </c>
      <c r="R549" s="26" t="n">
        <v>30</v>
      </c>
      <c r="S549" s="26" t="n">
        <v>0</v>
      </c>
      <c r="T549" s="28" t="n">
        <v>1</v>
      </c>
      <c r="U549" s="26" t="n">
        <v>0</v>
      </c>
      <c r="V549" s="26" t="n">
        <v>0</v>
      </c>
      <c r="W549" s="29" t="s">
        <v>19</v>
      </c>
      <c r="X549" s="22" t="s">
        <v>293</v>
      </c>
    </row>
    <row r="550" customFormat="false" ht="15" hidden="false" customHeight="false" outlineLevel="0" collapsed="false">
      <c r="A550" s="22" t="s">
        <v>2453</v>
      </c>
      <c r="B550" s="22" t="s">
        <v>17</v>
      </c>
      <c r="C550" s="22" t="s">
        <v>2454</v>
      </c>
      <c r="D550" s="22" t="s">
        <v>2455</v>
      </c>
      <c r="E550" s="22" t="s">
        <v>2456</v>
      </c>
      <c r="F550" s="22" t="n">
        <v>12</v>
      </c>
      <c r="G550" s="26" t="n">
        <v>131.96</v>
      </c>
      <c r="H550" s="26" t="n">
        <v>154.09</v>
      </c>
      <c r="I550" s="26" t="n">
        <v>176.22</v>
      </c>
      <c r="J550" s="26" t="n">
        <v>192.82</v>
      </c>
      <c r="K550" s="26" t="n">
        <v>209.42</v>
      </c>
      <c r="L550" s="26" t="n">
        <v>2.06</v>
      </c>
      <c r="M550" s="27" t="n">
        <v>0.005</v>
      </c>
      <c r="N550" s="27" t="n">
        <v>0.002</v>
      </c>
      <c r="O550" s="26" t="n">
        <v>5</v>
      </c>
      <c r="P550" s="26" t="n">
        <v>5</v>
      </c>
      <c r="Q550" s="28" t="n">
        <v>100</v>
      </c>
      <c r="R550" s="26" t="n">
        <v>30</v>
      </c>
      <c r="S550" s="26" t="n">
        <v>0</v>
      </c>
      <c r="T550" s="28" t="n">
        <v>1</v>
      </c>
      <c r="U550" s="26" t="n">
        <v>0</v>
      </c>
      <c r="V550" s="26" t="n">
        <v>0</v>
      </c>
      <c r="W550" s="22" t="s">
        <v>17</v>
      </c>
      <c r="X550" s="22" t="s">
        <v>293</v>
      </c>
    </row>
    <row r="551" customFormat="false" ht="15" hidden="false" customHeight="false" outlineLevel="0" collapsed="false">
      <c r="A551" s="22" t="s">
        <v>2457</v>
      </c>
      <c r="B551" s="22" t="s">
        <v>17</v>
      </c>
      <c r="C551" s="22" t="s">
        <v>2458</v>
      </c>
      <c r="D551" s="22" t="s">
        <v>2459</v>
      </c>
      <c r="E551" s="22" t="s">
        <v>2460</v>
      </c>
      <c r="F551" s="22" t="n">
        <v>12</v>
      </c>
      <c r="G551" s="26" t="n">
        <v>131.96</v>
      </c>
      <c r="H551" s="26" t="n">
        <v>154.09</v>
      </c>
      <c r="I551" s="26" t="n">
        <v>176.22</v>
      </c>
      <c r="J551" s="26" t="n">
        <v>192.82</v>
      </c>
      <c r="K551" s="26" t="n">
        <v>209.42</v>
      </c>
      <c r="L551" s="26" t="n">
        <v>2.06</v>
      </c>
      <c r="M551" s="27" t="n">
        <v>0.005</v>
      </c>
      <c r="N551" s="27" t="n">
        <v>0.002</v>
      </c>
      <c r="O551" s="26" t="n">
        <v>5</v>
      </c>
      <c r="P551" s="26" t="n">
        <v>5</v>
      </c>
      <c r="Q551" s="28" t="n">
        <v>100</v>
      </c>
      <c r="R551" s="26" t="n">
        <v>30</v>
      </c>
      <c r="S551" s="26" t="n">
        <v>0</v>
      </c>
      <c r="T551" s="28" t="n">
        <v>1</v>
      </c>
      <c r="U551" s="26" t="n">
        <v>0</v>
      </c>
      <c r="V551" s="26" t="n">
        <v>0</v>
      </c>
      <c r="W551" s="22" t="s">
        <v>17</v>
      </c>
      <c r="X551" s="22" t="s">
        <v>293</v>
      </c>
    </row>
    <row r="552" customFormat="false" ht="15" hidden="false" customHeight="false" outlineLevel="0" collapsed="false">
      <c r="A552" s="22" t="s">
        <v>2461</v>
      </c>
      <c r="B552" s="22" t="s">
        <v>17</v>
      </c>
      <c r="C552" s="22" t="s">
        <v>2462</v>
      </c>
      <c r="D552" s="22" t="s">
        <v>2463</v>
      </c>
      <c r="E552" s="22" t="s">
        <v>2464</v>
      </c>
      <c r="F552" s="22" t="n">
        <v>12</v>
      </c>
      <c r="G552" s="26" t="n">
        <v>131.96</v>
      </c>
      <c r="H552" s="26" t="n">
        <v>154.09</v>
      </c>
      <c r="I552" s="26" t="n">
        <v>176.22</v>
      </c>
      <c r="J552" s="26" t="n">
        <v>192.82</v>
      </c>
      <c r="K552" s="26" t="n">
        <v>209.42</v>
      </c>
      <c r="L552" s="26" t="n">
        <v>2.06</v>
      </c>
      <c r="M552" s="27" t="n">
        <v>0.005</v>
      </c>
      <c r="N552" s="27" t="n">
        <v>0.002</v>
      </c>
      <c r="O552" s="26" t="n">
        <v>5</v>
      </c>
      <c r="P552" s="26" t="n">
        <v>5</v>
      </c>
      <c r="Q552" s="28" t="n">
        <v>100</v>
      </c>
      <c r="R552" s="26" t="n">
        <v>30</v>
      </c>
      <c r="S552" s="26" t="n">
        <v>0</v>
      </c>
      <c r="T552" s="28" t="n">
        <v>1</v>
      </c>
      <c r="U552" s="26" t="n">
        <v>0</v>
      </c>
      <c r="V552" s="26" t="n">
        <v>0</v>
      </c>
      <c r="W552" s="22" t="s">
        <v>17</v>
      </c>
      <c r="X552" s="22" t="s">
        <v>293</v>
      </c>
    </row>
    <row r="553" customFormat="false" ht="15" hidden="false" customHeight="false" outlineLevel="0" collapsed="false">
      <c r="A553" s="22" t="s">
        <v>2465</v>
      </c>
      <c r="B553" s="22" t="s">
        <v>17</v>
      </c>
      <c r="C553" s="22" t="s">
        <v>2466</v>
      </c>
      <c r="D553" s="22" t="s">
        <v>2467</v>
      </c>
      <c r="E553" s="22" t="s">
        <v>2468</v>
      </c>
      <c r="F553" s="22" t="n">
        <v>12</v>
      </c>
      <c r="G553" s="26" t="n">
        <v>131.96</v>
      </c>
      <c r="H553" s="26" t="n">
        <v>154.09</v>
      </c>
      <c r="I553" s="26" t="n">
        <v>176.22</v>
      </c>
      <c r="J553" s="26" t="n">
        <v>192.82</v>
      </c>
      <c r="K553" s="26" t="n">
        <v>209.42</v>
      </c>
      <c r="L553" s="26" t="n">
        <v>2.06</v>
      </c>
      <c r="M553" s="27" t="n">
        <v>0.005</v>
      </c>
      <c r="N553" s="27" t="n">
        <v>0.002</v>
      </c>
      <c r="O553" s="26" t="n">
        <v>5</v>
      </c>
      <c r="P553" s="26" t="n">
        <v>5</v>
      </c>
      <c r="Q553" s="28" t="n">
        <v>100</v>
      </c>
      <c r="R553" s="26" t="n">
        <v>30</v>
      </c>
      <c r="S553" s="26" t="n">
        <v>0</v>
      </c>
      <c r="T553" s="28" t="n">
        <v>1</v>
      </c>
      <c r="U553" s="26" t="n">
        <v>0</v>
      </c>
      <c r="V553" s="26" t="n">
        <v>0</v>
      </c>
      <c r="W553" s="22" t="s">
        <v>17</v>
      </c>
      <c r="X553" s="22" t="s">
        <v>293</v>
      </c>
    </row>
    <row r="554" customFormat="false" ht="15" hidden="false" customHeight="false" outlineLevel="0" collapsed="false">
      <c r="A554" s="22" t="s">
        <v>2469</v>
      </c>
      <c r="B554" s="22" t="s">
        <v>17</v>
      </c>
      <c r="C554" s="22" t="s">
        <v>2470</v>
      </c>
      <c r="D554" s="22" t="s">
        <v>2471</v>
      </c>
      <c r="E554" s="22" t="s">
        <v>2472</v>
      </c>
      <c r="F554" s="22" t="n">
        <v>12</v>
      </c>
      <c r="G554" s="26" t="n">
        <v>131.96</v>
      </c>
      <c r="H554" s="26" t="n">
        <v>154.09</v>
      </c>
      <c r="I554" s="26" t="n">
        <v>176.22</v>
      </c>
      <c r="J554" s="26" t="n">
        <v>192.82</v>
      </c>
      <c r="K554" s="26" t="n">
        <v>209.42</v>
      </c>
      <c r="L554" s="26" t="n">
        <v>2.06</v>
      </c>
      <c r="M554" s="27" t="n">
        <v>0.005</v>
      </c>
      <c r="N554" s="27" t="n">
        <v>0.002</v>
      </c>
      <c r="O554" s="26" t="n">
        <v>5</v>
      </c>
      <c r="P554" s="26" t="n">
        <v>5</v>
      </c>
      <c r="Q554" s="28" t="n">
        <v>100</v>
      </c>
      <c r="R554" s="26" t="n">
        <v>30</v>
      </c>
      <c r="S554" s="26" t="n">
        <v>0</v>
      </c>
      <c r="T554" s="28" t="n">
        <v>1</v>
      </c>
      <c r="U554" s="26" t="n">
        <v>0</v>
      </c>
      <c r="V554" s="26" t="n">
        <v>0</v>
      </c>
      <c r="W554" s="22" t="s">
        <v>17</v>
      </c>
      <c r="X554" s="22" t="s">
        <v>293</v>
      </c>
    </row>
    <row r="555" customFormat="false" ht="15" hidden="false" customHeight="false" outlineLevel="0" collapsed="false">
      <c r="A555" s="22" t="s">
        <v>2473</v>
      </c>
      <c r="B555" s="22" t="s">
        <v>17</v>
      </c>
      <c r="C555" s="22" t="s">
        <v>2474</v>
      </c>
      <c r="D555" s="22" t="s">
        <v>2475</v>
      </c>
      <c r="E555" s="22" t="s">
        <v>2476</v>
      </c>
      <c r="F555" s="22" t="n">
        <v>12</v>
      </c>
      <c r="G555" s="26" t="n">
        <v>131.96</v>
      </c>
      <c r="H555" s="26" t="n">
        <v>154.09</v>
      </c>
      <c r="I555" s="26" t="n">
        <v>176.22</v>
      </c>
      <c r="J555" s="26" t="n">
        <v>192.82</v>
      </c>
      <c r="K555" s="26" t="n">
        <v>209.42</v>
      </c>
      <c r="L555" s="26" t="n">
        <v>2.06</v>
      </c>
      <c r="M555" s="27" t="n">
        <v>0.005</v>
      </c>
      <c r="N555" s="27" t="n">
        <v>0.002</v>
      </c>
      <c r="O555" s="26" t="n">
        <v>5</v>
      </c>
      <c r="P555" s="26" t="n">
        <v>5</v>
      </c>
      <c r="Q555" s="28" t="n">
        <v>100</v>
      </c>
      <c r="R555" s="26" t="n">
        <v>30</v>
      </c>
      <c r="S555" s="26" t="n">
        <v>0</v>
      </c>
      <c r="T555" s="28" t="n">
        <v>1</v>
      </c>
      <c r="U555" s="26" t="n">
        <v>0</v>
      </c>
      <c r="V555" s="26" t="n">
        <v>0</v>
      </c>
      <c r="W555" s="22" t="s">
        <v>17</v>
      </c>
      <c r="X555" s="22" t="s">
        <v>293</v>
      </c>
    </row>
    <row r="556" customFormat="false" ht="15" hidden="false" customHeight="false" outlineLevel="0" collapsed="false">
      <c r="A556" s="22" t="s">
        <v>2477</v>
      </c>
      <c r="B556" s="22" t="s">
        <v>17</v>
      </c>
      <c r="C556" s="22" t="s">
        <v>2478</v>
      </c>
      <c r="D556" s="22" t="s">
        <v>2479</v>
      </c>
      <c r="E556" s="22" t="s">
        <v>2480</v>
      </c>
      <c r="F556" s="22" t="n">
        <v>12</v>
      </c>
      <c r="G556" s="26" t="n">
        <v>131.96</v>
      </c>
      <c r="H556" s="26" t="n">
        <v>154.09</v>
      </c>
      <c r="I556" s="26" t="n">
        <v>176.22</v>
      </c>
      <c r="J556" s="26" t="n">
        <v>192.82</v>
      </c>
      <c r="K556" s="26" t="n">
        <v>209.42</v>
      </c>
      <c r="L556" s="26" t="n">
        <v>2.06</v>
      </c>
      <c r="M556" s="27" t="n">
        <v>0.005</v>
      </c>
      <c r="N556" s="27" t="n">
        <v>0.002</v>
      </c>
      <c r="O556" s="26" t="n">
        <v>5</v>
      </c>
      <c r="P556" s="26" t="n">
        <v>5</v>
      </c>
      <c r="Q556" s="28" t="n">
        <v>100</v>
      </c>
      <c r="R556" s="26" t="n">
        <v>30</v>
      </c>
      <c r="S556" s="26" t="n">
        <v>0</v>
      </c>
      <c r="T556" s="28" t="n">
        <v>1</v>
      </c>
      <c r="U556" s="26" t="n">
        <v>0</v>
      </c>
      <c r="V556" s="26" t="n">
        <v>0</v>
      </c>
      <c r="W556" s="22" t="s">
        <v>17</v>
      </c>
      <c r="X556" s="22" t="s">
        <v>293</v>
      </c>
    </row>
    <row r="557" customFormat="false" ht="15" hidden="false" customHeight="false" outlineLevel="0" collapsed="false">
      <c r="A557" s="22" t="s">
        <v>2481</v>
      </c>
      <c r="B557" s="22" t="s">
        <v>17</v>
      </c>
      <c r="C557" s="22" t="s">
        <v>2482</v>
      </c>
      <c r="D557" s="22" t="s">
        <v>2483</v>
      </c>
      <c r="E557" s="22" t="s">
        <v>2484</v>
      </c>
      <c r="F557" s="22" t="n">
        <v>12</v>
      </c>
      <c r="G557" s="26" t="n">
        <v>131.96</v>
      </c>
      <c r="H557" s="26" t="n">
        <v>154.09</v>
      </c>
      <c r="I557" s="26" t="n">
        <v>176.22</v>
      </c>
      <c r="J557" s="26" t="n">
        <v>192.82</v>
      </c>
      <c r="K557" s="26" t="n">
        <v>209.42</v>
      </c>
      <c r="L557" s="26" t="n">
        <v>2.06</v>
      </c>
      <c r="M557" s="27" t="n">
        <v>0.005</v>
      </c>
      <c r="N557" s="27" t="n">
        <v>0.002</v>
      </c>
      <c r="O557" s="26" t="n">
        <v>5</v>
      </c>
      <c r="P557" s="26" t="n">
        <v>5</v>
      </c>
      <c r="Q557" s="28" t="n">
        <v>100</v>
      </c>
      <c r="R557" s="26" t="n">
        <v>30</v>
      </c>
      <c r="S557" s="26" t="n">
        <v>0</v>
      </c>
      <c r="T557" s="28" t="n">
        <v>1</v>
      </c>
      <c r="U557" s="26" t="n">
        <v>0</v>
      </c>
      <c r="V557" s="26" t="n">
        <v>0</v>
      </c>
      <c r="W557" s="22" t="s">
        <v>17</v>
      </c>
      <c r="X557" s="22" t="s">
        <v>293</v>
      </c>
    </row>
    <row r="558" customFormat="false" ht="15" hidden="false" customHeight="false" outlineLevel="0" collapsed="false">
      <c r="A558" s="22" t="s">
        <v>2485</v>
      </c>
      <c r="B558" s="22" t="s">
        <v>17</v>
      </c>
      <c r="C558" s="22" t="s">
        <v>2486</v>
      </c>
      <c r="D558" s="22" t="s">
        <v>2487</v>
      </c>
      <c r="E558" s="22" t="s">
        <v>2488</v>
      </c>
      <c r="F558" s="22" t="n">
        <v>12</v>
      </c>
      <c r="G558" s="26" t="n">
        <v>131.96</v>
      </c>
      <c r="H558" s="26" t="n">
        <v>154.09</v>
      </c>
      <c r="I558" s="26" t="n">
        <v>176.22</v>
      </c>
      <c r="J558" s="26" t="n">
        <v>192.82</v>
      </c>
      <c r="K558" s="26" t="n">
        <v>209.42</v>
      </c>
      <c r="L558" s="26" t="n">
        <v>2.06</v>
      </c>
      <c r="M558" s="27" t="n">
        <v>0.005</v>
      </c>
      <c r="N558" s="27" t="n">
        <v>0.002</v>
      </c>
      <c r="O558" s="26" t="n">
        <v>5</v>
      </c>
      <c r="P558" s="26" t="n">
        <v>5</v>
      </c>
      <c r="Q558" s="28" t="n">
        <v>100</v>
      </c>
      <c r="R558" s="26" t="n">
        <v>30</v>
      </c>
      <c r="S558" s="26" t="n">
        <v>0</v>
      </c>
      <c r="T558" s="28" t="n">
        <v>1</v>
      </c>
      <c r="U558" s="26" t="n">
        <v>0</v>
      </c>
      <c r="V558" s="26" t="n">
        <v>0</v>
      </c>
      <c r="W558" s="22" t="s">
        <v>17</v>
      </c>
      <c r="X558" s="22" t="s">
        <v>293</v>
      </c>
    </row>
    <row r="559" customFormat="false" ht="15" hidden="false" customHeight="false" outlineLevel="0" collapsed="false">
      <c r="A559" s="22" t="s">
        <v>2489</v>
      </c>
      <c r="B559" s="22" t="s">
        <v>17</v>
      </c>
      <c r="C559" s="22" t="s">
        <v>2490</v>
      </c>
      <c r="D559" s="22" t="s">
        <v>2491</v>
      </c>
      <c r="E559" s="22" t="s">
        <v>2492</v>
      </c>
      <c r="F559" s="22" t="n">
        <v>12</v>
      </c>
      <c r="G559" s="26" t="n">
        <v>131.96</v>
      </c>
      <c r="H559" s="26" t="n">
        <v>154.09</v>
      </c>
      <c r="I559" s="26" t="n">
        <v>176.22</v>
      </c>
      <c r="J559" s="26" t="n">
        <v>192.82</v>
      </c>
      <c r="K559" s="26" t="n">
        <v>209.42</v>
      </c>
      <c r="L559" s="26" t="n">
        <v>2.06</v>
      </c>
      <c r="M559" s="27" t="n">
        <v>0.005</v>
      </c>
      <c r="N559" s="27" t="n">
        <v>0.002</v>
      </c>
      <c r="O559" s="26" t="n">
        <v>5</v>
      </c>
      <c r="P559" s="26" t="n">
        <v>5</v>
      </c>
      <c r="Q559" s="28" t="n">
        <v>100</v>
      </c>
      <c r="R559" s="26" t="n">
        <v>30</v>
      </c>
      <c r="S559" s="26" t="n">
        <v>0</v>
      </c>
      <c r="T559" s="28" t="n">
        <v>1</v>
      </c>
      <c r="U559" s="26" t="n">
        <v>0</v>
      </c>
      <c r="V559" s="26" t="n">
        <v>0</v>
      </c>
      <c r="W559" s="22" t="s">
        <v>17</v>
      </c>
      <c r="X559" s="22" t="s">
        <v>293</v>
      </c>
    </row>
    <row r="560" customFormat="false" ht="15" hidden="false" customHeight="false" outlineLevel="0" collapsed="false">
      <c r="A560" s="22" t="s">
        <v>2493</v>
      </c>
      <c r="B560" s="22" t="s">
        <v>17</v>
      </c>
      <c r="C560" s="22" t="s">
        <v>2494</v>
      </c>
      <c r="D560" s="22" t="s">
        <v>2495</v>
      </c>
      <c r="E560" s="22" t="s">
        <v>2496</v>
      </c>
      <c r="F560" s="22" t="n">
        <v>12</v>
      </c>
      <c r="G560" s="26" t="n">
        <v>131.96</v>
      </c>
      <c r="H560" s="26" t="n">
        <v>154.09</v>
      </c>
      <c r="I560" s="26" t="n">
        <v>176.22</v>
      </c>
      <c r="J560" s="26" t="n">
        <v>192.82</v>
      </c>
      <c r="K560" s="26" t="n">
        <v>209.42</v>
      </c>
      <c r="L560" s="26" t="n">
        <v>2.06</v>
      </c>
      <c r="M560" s="27" t="n">
        <v>0.005</v>
      </c>
      <c r="N560" s="27" t="n">
        <v>0.002</v>
      </c>
      <c r="O560" s="26" t="n">
        <v>5</v>
      </c>
      <c r="P560" s="26" t="n">
        <v>5</v>
      </c>
      <c r="Q560" s="28" t="n">
        <v>100</v>
      </c>
      <c r="R560" s="26" t="n">
        <v>30</v>
      </c>
      <c r="S560" s="26" t="n">
        <v>0</v>
      </c>
      <c r="T560" s="28" t="n">
        <v>1</v>
      </c>
      <c r="U560" s="26" t="n">
        <v>0</v>
      </c>
      <c r="V560" s="26" t="n">
        <v>0</v>
      </c>
      <c r="W560" s="22" t="s">
        <v>17</v>
      </c>
      <c r="X560" s="22" t="s">
        <v>293</v>
      </c>
    </row>
    <row r="561" customFormat="false" ht="15" hidden="false" customHeight="false" outlineLevel="0" collapsed="false">
      <c r="A561" s="22" t="s">
        <v>2497</v>
      </c>
      <c r="B561" s="29" t="s">
        <v>17</v>
      </c>
      <c r="C561" s="29" t="s">
        <v>192</v>
      </c>
      <c r="D561" s="22" t="s">
        <v>2498</v>
      </c>
      <c r="E561" s="22" t="s">
        <v>2499</v>
      </c>
      <c r="F561" s="22" t="n">
        <v>12</v>
      </c>
      <c r="G561" s="26" t="n">
        <v>99.55</v>
      </c>
      <c r="H561" s="26" t="n">
        <v>109.56</v>
      </c>
      <c r="I561" s="26" t="n">
        <v>129.6</v>
      </c>
      <c r="J561" s="26" t="n">
        <v>139.62</v>
      </c>
      <c r="K561" s="26" t="n">
        <v>154.64</v>
      </c>
      <c r="L561" s="26" t="n">
        <v>2.06</v>
      </c>
      <c r="M561" s="27" t="n">
        <v>0.005</v>
      </c>
      <c r="N561" s="27" t="n">
        <v>0.002</v>
      </c>
      <c r="O561" s="26" t="n">
        <v>5</v>
      </c>
      <c r="P561" s="26" t="n">
        <v>5</v>
      </c>
      <c r="Q561" s="28" t="n">
        <v>100</v>
      </c>
      <c r="R561" s="26" t="n">
        <v>30</v>
      </c>
      <c r="S561" s="26" t="n">
        <v>0</v>
      </c>
      <c r="T561" s="28" t="n">
        <v>1</v>
      </c>
      <c r="U561" s="26" t="n">
        <v>0</v>
      </c>
      <c r="V561" s="26" t="n">
        <v>0</v>
      </c>
      <c r="W561" s="29" t="s">
        <v>22</v>
      </c>
      <c r="X561" s="22" t="s">
        <v>293</v>
      </c>
    </row>
    <row r="562" customFormat="false" ht="15" hidden="false" customHeight="false" outlineLevel="0" collapsed="false">
      <c r="A562" s="22" t="s">
        <v>2500</v>
      </c>
      <c r="B562" s="22" t="s">
        <v>17</v>
      </c>
      <c r="C562" s="22" t="s">
        <v>2501</v>
      </c>
      <c r="D562" s="22" t="s">
        <v>2502</v>
      </c>
      <c r="E562" s="22" t="s">
        <v>2503</v>
      </c>
      <c r="F562" s="22" t="n">
        <v>12</v>
      </c>
      <c r="G562" s="26" t="n">
        <v>131.96</v>
      </c>
      <c r="H562" s="26" t="n">
        <v>154.09</v>
      </c>
      <c r="I562" s="26" t="n">
        <v>176.22</v>
      </c>
      <c r="J562" s="26" t="n">
        <v>192.82</v>
      </c>
      <c r="K562" s="26" t="n">
        <v>209.42</v>
      </c>
      <c r="L562" s="26" t="n">
        <v>2.06</v>
      </c>
      <c r="M562" s="27" t="n">
        <v>0.005</v>
      </c>
      <c r="N562" s="27" t="n">
        <v>0.002</v>
      </c>
      <c r="O562" s="26" t="n">
        <v>5</v>
      </c>
      <c r="P562" s="26" t="n">
        <v>5</v>
      </c>
      <c r="Q562" s="28" t="n">
        <v>100</v>
      </c>
      <c r="R562" s="26" t="n">
        <v>30</v>
      </c>
      <c r="S562" s="26" t="n">
        <v>0</v>
      </c>
      <c r="T562" s="28" t="n">
        <v>1</v>
      </c>
      <c r="U562" s="26" t="n">
        <v>0</v>
      </c>
      <c r="V562" s="26" t="n">
        <v>0</v>
      </c>
      <c r="W562" s="22" t="s">
        <v>17</v>
      </c>
      <c r="X562" s="22" t="s">
        <v>293</v>
      </c>
    </row>
    <row r="563" customFormat="false" ht="15" hidden="false" customHeight="false" outlineLevel="0" collapsed="false">
      <c r="A563" s="22" t="s">
        <v>2504</v>
      </c>
      <c r="B563" s="22" t="s">
        <v>17</v>
      </c>
      <c r="C563" s="22" t="s">
        <v>2505</v>
      </c>
      <c r="D563" s="22" t="s">
        <v>2506</v>
      </c>
      <c r="E563" s="22" t="s">
        <v>2507</v>
      </c>
      <c r="F563" s="22" t="n">
        <v>12</v>
      </c>
      <c r="G563" s="26" t="n">
        <v>131.96</v>
      </c>
      <c r="H563" s="26" t="n">
        <v>154.09</v>
      </c>
      <c r="I563" s="26" t="n">
        <v>176.22</v>
      </c>
      <c r="J563" s="26" t="n">
        <v>192.82</v>
      </c>
      <c r="K563" s="26" t="n">
        <v>209.42</v>
      </c>
      <c r="L563" s="26" t="n">
        <v>2.06</v>
      </c>
      <c r="M563" s="27" t="n">
        <v>0.005</v>
      </c>
      <c r="N563" s="27" t="n">
        <v>0.002</v>
      </c>
      <c r="O563" s="26" t="n">
        <v>5</v>
      </c>
      <c r="P563" s="26" t="n">
        <v>5</v>
      </c>
      <c r="Q563" s="28" t="n">
        <v>100</v>
      </c>
      <c r="R563" s="26" t="n">
        <v>30</v>
      </c>
      <c r="S563" s="26" t="n">
        <v>0</v>
      </c>
      <c r="T563" s="28" t="n">
        <v>1</v>
      </c>
      <c r="U563" s="26" t="n">
        <v>0</v>
      </c>
      <c r="V563" s="26" t="n">
        <v>0</v>
      </c>
      <c r="W563" s="22" t="s">
        <v>17</v>
      </c>
      <c r="X563" s="22" t="s">
        <v>293</v>
      </c>
    </row>
    <row r="564" customFormat="false" ht="15" hidden="false" customHeight="false" outlineLevel="0" collapsed="false">
      <c r="A564" s="22" t="s">
        <v>2508</v>
      </c>
      <c r="B564" s="22" t="s">
        <v>17</v>
      </c>
      <c r="C564" s="22" t="s">
        <v>2509</v>
      </c>
      <c r="D564" s="22" t="s">
        <v>2510</v>
      </c>
      <c r="E564" s="22" t="s">
        <v>2511</v>
      </c>
      <c r="F564" s="22" t="n">
        <v>12</v>
      </c>
      <c r="G564" s="26" t="n">
        <v>131.96</v>
      </c>
      <c r="H564" s="26" t="n">
        <v>154.09</v>
      </c>
      <c r="I564" s="26" t="n">
        <v>176.22</v>
      </c>
      <c r="J564" s="26" t="n">
        <v>192.82</v>
      </c>
      <c r="K564" s="26" t="n">
        <v>209.42</v>
      </c>
      <c r="L564" s="26" t="n">
        <v>2.06</v>
      </c>
      <c r="M564" s="27" t="n">
        <v>0.005</v>
      </c>
      <c r="N564" s="27" t="n">
        <v>0.002</v>
      </c>
      <c r="O564" s="26" t="n">
        <v>5</v>
      </c>
      <c r="P564" s="26" t="n">
        <v>5</v>
      </c>
      <c r="Q564" s="28" t="n">
        <v>100</v>
      </c>
      <c r="R564" s="26" t="n">
        <v>30</v>
      </c>
      <c r="S564" s="26" t="n">
        <v>0</v>
      </c>
      <c r="T564" s="28" t="n">
        <v>1</v>
      </c>
      <c r="U564" s="26" t="n">
        <v>0</v>
      </c>
      <c r="V564" s="26" t="n">
        <v>0</v>
      </c>
      <c r="W564" s="22" t="s">
        <v>17</v>
      </c>
      <c r="X564" s="22" t="s">
        <v>293</v>
      </c>
    </row>
    <row r="565" customFormat="false" ht="15" hidden="false" customHeight="false" outlineLevel="0" collapsed="false">
      <c r="A565" s="22" t="s">
        <v>2512</v>
      </c>
      <c r="B565" s="22" t="s">
        <v>17</v>
      </c>
      <c r="C565" s="22" t="s">
        <v>2513</v>
      </c>
      <c r="D565" s="22" t="s">
        <v>2514</v>
      </c>
      <c r="E565" s="22" t="s">
        <v>2515</v>
      </c>
      <c r="F565" s="22" t="n">
        <v>12</v>
      </c>
      <c r="G565" s="26" t="n">
        <v>131.96</v>
      </c>
      <c r="H565" s="26" t="n">
        <v>154.09</v>
      </c>
      <c r="I565" s="26" t="n">
        <v>176.22</v>
      </c>
      <c r="J565" s="26" t="n">
        <v>192.82</v>
      </c>
      <c r="K565" s="26" t="n">
        <v>209.42</v>
      </c>
      <c r="L565" s="26" t="n">
        <v>2.06</v>
      </c>
      <c r="M565" s="27" t="n">
        <v>0.005</v>
      </c>
      <c r="N565" s="27" t="n">
        <v>0.002</v>
      </c>
      <c r="O565" s="26" t="n">
        <v>5</v>
      </c>
      <c r="P565" s="26" t="n">
        <v>5</v>
      </c>
      <c r="Q565" s="28" t="n">
        <v>100</v>
      </c>
      <c r="R565" s="26" t="n">
        <v>30</v>
      </c>
      <c r="S565" s="26" t="n">
        <v>0</v>
      </c>
      <c r="T565" s="28" t="n">
        <v>1</v>
      </c>
      <c r="U565" s="26" t="n">
        <v>0</v>
      </c>
      <c r="V565" s="26" t="n">
        <v>0</v>
      </c>
      <c r="W565" s="22" t="s">
        <v>17</v>
      </c>
      <c r="X565" s="22" t="s">
        <v>293</v>
      </c>
    </row>
    <row r="566" customFormat="false" ht="15" hidden="false" customHeight="false" outlineLevel="0" collapsed="false">
      <c r="A566" s="22" t="s">
        <v>2516</v>
      </c>
      <c r="B566" s="22" t="s">
        <v>17</v>
      </c>
      <c r="C566" s="22" t="s">
        <v>2517</v>
      </c>
      <c r="D566" s="22" t="s">
        <v>2518</v>
      </c>
      <c r="E566" s="22" t="s">
        <v>2519</v>
      </c>
      <c r="F566" s="22" t="n">
        <v>12</v>
      </c>
      <c r="G566" s="26" t="n">
        <v>131.96</v>
      </c>
      <c r="H566" s="26" t="n">
        <v>154.09</v>
      </c>
      <c r="I566" s="26" t="n">
        <v>176.22</v>
      </c>
      <c r="J566" s="26" t="n">
        <v>192.82</v>
      </c>
      <c r="K566" s="26" t="n">
        <v>209.42</v>
      </c>
      <c r="L566" s="26" t="n">
        <v>2.06</v>
      </c>
      <c r="M566" s="27" t="n">
        <v>0.005</v>
      </c>
      <c r="N566" s="27" t="n">
        <v>0.002</v>
      </c>
      <c r="O566" s="26" t="n">
        <v>5</v>
      </c>
      <c r="P566" s="26" t="n">
        <v>5</v>
      </c>
      <c r="Q566" s="28" t="n">
        <v>100</v>
      </c>
      <c r="R566" s="26" t="n">
        <v>30</v>
      </c>
      <c r="S566" s="26" t="n">
        <v>0</v>
      </c>
      <c r="T566" s="28" t="n">
        <v>1</v>
      </c>
      <c r="U566" s="26" t="n">
        <v>0</v>
      </c>
      <c r="V566" s="26" t="n">
        <v>0</v>
      </c>
      <c r="W566" s="22" t="s">
        <v>17</v>
      </c>
      <c r="X566" s="22" t="s">
        <v>293</v>
      </c>
    </row>
    <row r="567" customFormat="false" ht="15" hidden="false" customHeight="false" outlineLevel="0" collapsed="false">
      <c r="A567" s="22" t="s">
        <v>2520</v>
      </c>
      <c r="B567" s="22" t="s">
        <v>17</v>
      </c>
      <c r="C567" s="22" t="s">
        <v>2521</v>
      </c>
      <c r="D567" s="22" t="s">
        <v>2522</v>
      </c>
      <c r="E567" s="22" t="s">
        <v>2523</v>
      </c>
      <c r="F567" s="22" t="n">
        <v>14</v>
      </c>
      <c r="G567" s="26" t="n">
        <v>182.58</v>
      </c>
      <c r="H567" s="26" t="n">
        <v>204.71</v>
      </c>
      <c r="I567" s="26" t="n">
        <v>226.84</v>
      </c>
      <c r="J567" s="26" t="n">
        <v>243.44</v>
      </c>
      <c r="K567" s="26" t="n">
        <v>260.04</v>
      </c>
      <c r="L567" s="26" t="n">
        <v>2.28</v>
      </c>
      <c r="M567" s="27" t="n">
        <v>0.005</v>
      </c>
      <c r="N567" s="27" t="n">
        <v>0.002</v>
      </c>
      <c r="O567" s="26" t="n">
        <v>5</v>
      </c>
      <c r="P567" s="26" t="n">
        <v>5</v>
      </c>
      <c r="Q567" s="28" t="n">
        <v>100</v>
      </c>
      <c r="R567" s="26" t="n">
        <v>30</v>
      </c>
      <c r="S567" s="26" t="n">
        <v>0</v>
      </c>
      <c r="T567" s="28" t="n">
        <v>1</v>
      </c>
      <c r="U567" s="26" t="n">
        <v>0</v>
      </c>
      <c r="V567" s="26" t="n">
        <v>0</v>
      </c>
      <c r="W567" s="22" t="s">
        <v>17</v>
      </c>
      <c r="X567" s="22" t="s">
        <v>373</v>
      </c>
    </row>
    <row r="568" customFormat="false" ht="15" hidden="false" customHeight="false" outlineLevel="0" collapsed="false">
      <c r="A568" s="22" t="s">
        <v>2524</v>
      </c>
      <c r="B568" s="22" t="s">
        <v>17</v>
      </c>
      <c r="C568" s="22" t="s">
        <v>2525</v>
      </c>
      <c r="D568" s="22" t="s">
        <v>2526</v>
      </c>
      <c r="E568" s="22" t="s">
        <v>2527</v>
      </c>
      <c r="F568" s="22" t="n">
        <v>14</v>
      </c>
      <c r="G568" s="26" t="n">
        <v>182.58</v>
      </c>
      <c r="H568" s="26" t="n">
        <v>204.71</v>
      </c>
      <c r="I568" s="26" t="n">
        <v>226.84</v>
      </c>
      <c r="J568" s="26" t="n">
        <v>243.44</v>
      </c>
      <c r="K568" s="26" t="n">
        <v>260.04</v>
      </c>
      <c r="L568" s="26" t="n">
        <v>2.28</v>
      </c>
      <c r="M568" s="27" t="n">
        <v>0.005</v>
      </c>
      <c r="N568" s="27" t="n">
        <v>0.002</v>
      </c>
      <c r="O568" s="26" t="n">
        <v>5</v>
      </c>
      <c r="P568" s="26" t="n">
        <v>5</v>
      </c>
      <c r="Q568" s="28" t="n">
        <v>100</v>
      </c>
      <c r="R568" s="26" t="n">
        <v>30</v>
      </c>
      <c r="S568" s="26" t="n">
        <v>0</v>
      </c>
      <c r="T568" s="28" t="n">
        <v>1</v>
      </c>
      <c r="U568" s="26" t="n">
        <v>0</v>
      </c>
      <c r="V568" s="26" t="n">
        <v>0</v>
      </c>
      <c r="W568" s="22" t="s">
        <v>17</v>
      </c>
      <c r="X568" s="22" t="s">
        <v>373</v>
      </c>
    </row>
    <row r="569" customFormat="false" ht="15" hidden="false" customHeight="false" outlineLevel="0" collapsed="false">
      <c r="A569" s="22" t="s">
        <v>2528</v>
      </c>
      <c r="B569" s="22" t="s">
        <v>17</v>
      </c>
      <c r="C569" s="22" t="s">
        <v>2529</v>
      </c>
      <c r="D569" s="22" t="s">
        <v>2530</v>
      </c>
      <c r="E569" s="22" t="s">
        <v>2531</v>
      </c>
      <c r="F569" s="22" t="n">
        <v>14</v>
      </c>
      <c r="G569" s="26" t="n">
        <v>182.58</v>
      </c>
      <c r="H569" s="26" t="n">
        <v>204.71</v>
      </c>
      <c r="I569" s="26" t="n">
        <v>226.84</v>
      </c>
      <c r="J569" s="26" t="n">
        <v>243.44</v>
      </c>
      <c r="K569" s="26" t="n">
        <v>260.04</v>
      </c>
      <c r="L569" s="26" t="n">
        <v>2.28</v>
      </c>
      <c r="M569" s="27" t="n">
        <v>0.005</v>
      </c>
      <c r="N569" s="27" t="n">
        <v>0.002</v>
      </c>
      <c r="O569" s="26" t="n">
        <v>5</v>
      </c>
      <c r="P569" s="26" t="n">
        <v>5</v>
      </c>
      <c r="Q569" s="28" t="n">
        <v>100</v>
      </c>
      <c r="R569" s="26" t="n">
        <v>30</v>
      </c>
      <c r="S569" s="26" t="n">
        <v>0</v>
      </c>
      <c r="T569" s="28" t="n">
        <v>1</v>
      </c>
      <c r="U569" s="26" t="n">
        <v>0</v>
      </c>
      <c r="V569" s="26" t="n">
        <v>0</v>
      </c>
      <c r="W569" s="22" t="s">
        <v>17</v>
      </c>
      <c r="X569" s="22" t="s">
        <v>373</v>
      </c>
    </row>
    <row r="570" customFormat="false" ht="15" hidden="false" customHeight="false" outlineLevel="0" collapsed="false">
      <c r="A570" s="22" t="s">
        <v>2532</v>
      </c>
      <c r="B570" s="22" t="s">
        <v>17</v>
      </c>
      <c r="C570" s="22" t="s">
        <v>2533</v>
      </c>
      <c r="D570" s="22" t="s">
        <v>2534</v>
      </c>
      <c r="E570" s="22" t="s">
        <v>2535</v>
      </c>
      <c r="F570" s="22" t="n">
        <v>14</v>
      </c>
      <c r="G570" s="26" t="n">
        <v>182.58</v>
      </c>
      <c r="H570" s="26" t="n">
        <v>204.71</v>
      </c>
      <c r="I570" s="26" t="n">
        <v>226.84</v>
      </c>
      <c r="J570" s="26" t="n">
        <v>243.44</v>
      </c>
      <c r="K570" s="26" t="n">
        <v>260.04</v>
      </c>
      <c r="L570" s="26" t="n">
        <v>2.28</v>
      </c>
      <c r="M570" s="27" t="n">
        <v>0.005</v>
      </c>
      <c r="N570" s="27" t="n">
        <v>0.002</v>
      </c>
      <c r="O570" s="26" t="n">
        <v>5</v>
      </c>
      <c r="P570" s="26" t="n">
        <v>5</v>
      </c>
      <c r="Q570" s="28" t="n">
        <v>100</v>
      </c>
      <c r="R570" s="26" t="n">
        <v>30</v>
      </c>
      <c r="S570" s="26" t="n">
        <v>0</v>
      </c>
      <c r="T570" s="28" t="n">
        <v>1</v>
      </c>
      <c r="U570" s="26" t="n">
        <v>0</v>
      </c>
      <c r="V570" s="26" t="n">
        <v>0</v>
      </c>
      <c r="W570" s="22" t="s">
        <v>17</v>
      </c>
      <c r="X570" s="22" t="s">
        <v>373</v>
      </c>
    </row>
    <row r="571" customFormat="false" ht="15" hidden="false" customHeight="false" outlineLevel="0" collapsed="false">
      <c r="A571" s="22" t="s">
        <v>2536</v>
      </c>
      <c r="B571" s="22" t="s">
        <v>17</v>
      </c>
      <c r="C571" s="22" t="s">
        <v>2537</v>
      </c>
      <c r="D571" s="22" t="s">
        <v>2538</v>
      </c>
      <c r="E571" s="22" t="s">
        <v>2539</v>
      </c>
      <c r="F571" s="22" t="n">
        <v>14</v>
      </c>
      <c r="G571" s="26" t="n">
        <v>182.58</v>
      </c>
      <c r="H571" s="26" t="n">
        <v>204.71</v>
      </c>
      <c r="I571" s="26" t="n">
        <v>226.84</v>
      </c>
      <c r="J571" s="26" t="n">
        <v>243.44</v>
      </c>
      <c r="K571" s="26" t="n">
        <v>260.04</v>
      </c>
      <c r="L571" s="26" t="n">
        <v>2.28</v>
      </c>
      <c r="M571" s="27" t="n">
        <v>0.005</v>
      </c>
      <c r="N571" s="27" t="n">
        <v>0.002</v>
      </c>
      <c r="O571" s="26" t="n">
        <v>5</v>
      </c>
      <c r="P571" s="26" t="n">
        <v>5</v>
      </c>
      <c r="Q571" s="28" t="n">
        <v>100</v>
      </c>
      <c r="R571" s="26" t="n">
        <v>30</v>
      </c>
      <c r="S571" s="26" t="n">
        <v>0</v>
      </c>
      <c r="T571" s="28" t="n">
        <v>1</v>
      </c>
      <c r="U571" s="26" t="n">
        <v>0</v>
      </c>
      <c r="V571" s="26" t="n">
        <v>0</v>
      </c>
      <c r="W571" s="22" t="s">
        <v>17</v>
      </c>
      <c r="X571" s="22" t="s">
        <v>373</v>
      </c>
    </row>
    <row r="572" customFormat="false" ht="15" hidden="false" customHeight="false" outlineLevel="0" collapsed="false">
      <c r="A572" s="22" t="s">
        <v>2540</v>
      </c>
      <c r="B572" s="22" t="s">
        <v>17</v>
      </c>
      <c r="C572" s="22" t="s">
        <v>2541</v>
      </c>
      <c r="D572" s="22" t="s">
        <v>2542</v>
      </c>
      <c r="E572" s="22" t="s">
        <v>2543</v>
      </c>
      <c r="F572" s="22" t="n">
        <v>14</v>
      </c>
      <c r="G572" s="26" t="n">
        <v>182.58</v>
      </c>
      <c r="H572" s="26" t="n">
        <v>204.71</v>
      </c>
      <c r="I572" s="26" t="n">
        <v>226.84</v>
      </c>
      <c r="J572" s="26" t="n">
        <v>243.44</v>
      </c>
      <c r="K572" s="26" t="n">
        <v>260.04</v>
      </c>
      <c r="L572" s="26" t="n">
        <v>2.28</v>
      </c>
      <c r="M572" s="27" t="n">
        <v>0.005</v>
      </c>
      <c r="N572" s="27" t="n">
        <v>0.002</v>
      </c>
      <c r="O572" s="26" t="n">
        <v>5</v>
      </c>
      <c r="P572" s="26" t="n">
        <v>5</v>
      </c>
      <c r="Q572" s="28" t="n">
        <v>100</v>
      </c>
      <c r="R572" s="26" t="n">
        <v>30</v>
      </c>
      <c r="S572" s="26" t="n">
        <v>0</v>
      </c>
      <c r="T572" s="28" t="n">
        <v>1</v>
      </c>
      <c r="U572" s="26" t="n">
        <v>0</v>
      </c>
      <c r="V572" s="26" t="n">
        <v>0</v>
      </c>
      <c r="W572" s="22" t="s">
        <v>17</v>
      </c>
      <c r="X572" s="22" t="s">
        <v>373</v>
      </c>
    </row>
    <row r="573" customFormat="false" ht="15" hidden="false" customHeight="false" outlineLevel="0" collapsed="false">
      <c r="A573" s="22" t="s">
        <v>2544</v>
      </c>
      <c r="B573" s="22" t="s">
        <v>17</v>
      </c>
      <c r="C573" s="22" t="s">
        <v>2545</v>
      </c>
      <c r="D573" s="22" t="s">
        <v>2546</v>
      </c>
      <c r="E573" s="22" t="s">
        <v>2547</v>
      </c>
      <c r="F573" s="22" t="n">
        <v>14</v>
      </c>
      <c r="G573" s="26" t="n">
        <v>182.58</v>
      </c>
      <c r="H573" s="26" t="n">
        <v>204.71</v>
      </c>
      <c r="I573" s="26" t="n">
        <v>226.84</v>
      </c>
      <c r="J573" s="26" t="n">
        <v>243.44</v>
      </c>
      <c r="K573" s="26" t="n">
        <v>260.04</v>
      </c>
      <c r="L573" s="26" t="n">
        <v>2.28</v>
      </c>
      <c r="M573" s="27" t="n">
        <v>0.005</v>
      </c>
      <c r="N573" s="27" t="n">
        <v>0.002</v>
      </c>
      <c r="O573" s="26" t="n">
        <v>5</v>
      </c>
      <c r="P573" s="26" t="n">
        <v>5</v>
      </c>
      <c r="Q573" s="28" t="n">
        <v>100</v>
      </c>
      <c r="R573" s="26" t="n">
        <v>30</v>
      </c>
      <c r="S573" s="26" t="n">
        <v>0</v>
      </c>
      <c r="T573" s="28" t="n">
        <v>1</v>
      </c>
      <c r="U573" s="26" t="n">
        <v>0</v>
      </c>
      <c r="V573" s="26" t="n">
        <v>0</v>
      </c>
      <c r="W573" s="22" t="s">
        <v>17</v>
      </c>
      <c r="X573" s="22" t="s">
        <v>373</v>
      </c>
    </row>
    <row r="574" customFormat="false" ht="15" hidden="false" customHeight="false" outlineLevel="0" collapsed="false">
      <c r="A574" s="22" t="s">
        <v>2548</v>
      </c>
      <c r="B574" s="22" t="s">
        <v>17</v>
      </c>
      <c r="C574" s="22" t="s">
        <v>2549</v>
      </c>
      <c r="D574" s="22" t="s">
        <v>2550</v>
      </c>
      <c r="E574" s="22" t="s">
        <v>2551</v>
      </c>
      <c r="F574" s="22" t="n">
        <v>14</v>
      </c>
      <c r="G574" s="26" t="n">
        <v>182.58</v>
      </c>
      <c r="H574" s="26" t="n">
        <v>204.71</v>
      </c>
      <c r="I574" s="26" t="n">
        <v>226.84</v>
      </c>
      <c r="J574" s="26" t="n">
        <v>243.44</v>
      </c>
      <c r="K574" s="26" t="n">
        <v>260.04</v>
      </c>
      <c r="L574" s="26" t="n">
        <v>2.28</v>
      </c>
      <c r="M574" s="27" t="n">
        <v>0.005</v>
      </c>
      <c r="N574" s="27" t="n">
        <v>0.002</v>
      </c>
      <c r="O574" s="26" t="n">
        <v>5</v>
      </c>
      <c r="P574" s="26" t="n">
        <v>5</v>
      </c>
      <c r="Q574" s="28" t="n">
        <v>100</v>
      </c>
      <c r="R574" s="26" t="n">
        <v>30</v>
      </c>
      <c r="S574" s="26" t="n">
        <v>0</v>
      </c>
      <c r="T574" s="28" t="n">
        <v>1</v>
      </c>
      <c r="U574" s="26" t="n">
        <v>0</v>
      </c>
      <c r="V574" s="26" t="n">
        <v>0</v>
      </c>
      <c r="W574" s="22" t="s">
        <v>17</v>
      </c>
      <c r="X574" s="22" t="s">
        <v>373</v>
      </c>
    </row>
    <row r="575" customFormat="false" ht="15" hidden="false" customHeight="false" outlineLevel="0" collapsed="false">
      <c r="A575" s="22" t="s">
        <v>2552</v>
      </c>
      <c r="B575" s="22" t="s">
        <v>17</v>
      </c>
      <c r="C575" s="22" t="s">
        <v>2553</v>
      </c>
      <c r="D575" s="22" t="s">
        <v>2554</v>
      </c>
      <c r="E575" s="22" t="s">
        <v>2555</v>
      </c>
      <c r="F575" s="22" t="n">
        <v>14</v>
      </c>
      <c r="G575" s="26" t="n">
        <v>182.58</v>
      </c>
      <c r="H575" s="26" t="n">
        <v>204.71</v>
      </c>
      <c r="I575" s="26" t="n">
        <v>226.84</v>
      </c>
      <c r="J575" s="26" t="n">
        <v>243.44</v>
      </c>
      <c r="K575" s="26" t="n">
        <v>260.04</v>
      </c>
      <c r="L575" s="26" t="n">
        <v>2.28</v>
      </c>
      <c r="M575" s="27" t="n">
        <v>0.005</v>
      </c>
      <c r="N575" s="27" t="n">
        <v>0.002</v>
      </c>
      <c r="O575" s="26" t="n">
        <v>5</v>
      </c>
      <c r="P575" s="26" t="n">
        <v>5</v>
      </c>
      <c r="Q575" s="28" t="n">
        <v>100</v>
      </c>
      <c r="R575" s="26" t="n">
        <v>30</v>
      </c>
      <c r="S575" s="26" t="n">
        <v>0</v>
      </c>
      <c r="T575" s="28" t="n">
        <v>1</v>
      </c>
      <c r="U575" s="26" t="n">
        <v>0</v>
      </c>
      <c r="V575" s="26" t="n">
        <v>0</v>
      </c>
      <c r="W575" s="22" t="s">
        <v>17</v>
      </c>
      <c r="X575" s="22" t="s">
        <v>373</v>
      </c>
    </row>
    <row r="576" customFormat="false" ht="15" hidden="false" customHeight="false" outlineLevel="0" collapsed="false">
      <c r="A576" s="22" t="s">
        <v>2556</v>
      </c>
      <c r="B576" s="22" t="s">
        <v>17</v>
      </c>
      <c r="C576" s="22" t="s">
        <v>2557</v>
      </c>
      <c r="D576" s="22" t="s">
        <v>2558</v>
      </c>
      <c r="E576" s="22" t="s">
        <v>2559</v>
      </c>
      <c r="F576" s="22" t="n">
        <v>14</v>
      </c>
      <c r="G576" s="26" t="n">
        <v>182.58</v>
      </c>
      <c r="H576" s="26" t="n">
        <v>204.71</v>
      </c>
      <c r="I576" s="26" t="n">
        <v>226.84</v>
      </c>
      <c r="J576" s="26" t="n">
        <v>243.44</v>
      </c>
      <c r="K576" s="26" t="n">
        <v>260.04</v>
      </c>
      <c r="L576" s="26" t="n">
        <v>2.28</v>
      </c>
      <c r="M576" s="27" t="n">
        <v>0.005</v>
      </c>
      <c r="N576" s="27" t="n">
        <v>0.002</v>
      </c>
      <c r="O576" s="26" t="n">
        <v>5</v>
      </c>
      <c r="P576" s="26" t="n">
        <v>5</v>
      </c>
      <c r="Q576" s="28" t="n">
        <v>100</v>
      </c>
      <c r="R576" s="26" t="n">
        <v>30</v>
      </c>
      <c r="S576" s="26" t="n">
        <v>0</v>
      </c>
      <c r="T576" s="28" t="n">
        <v>1</v>
      </c>
      <c r="U576" s="26" t="n">
        <v>0</v>
      </c>
      <c r="V576" s="26" t="n">
        <v>250</v>
      </c>
      <c r="W576" s="22" t="s">
        <v>17</v>
      </c>
      <c r="X576" s="22" t="s">
        <v>373</v>
      </c>
    </row>
    <row r="577" customFormat="false" ht="15" hidden="false" customHeight="false" outlineLevel="0" collapsed="false">
      <c r="A577" s="22" t="s">
        <v>2560</v>
      </c>
      <c r="B577" s="22" t="s">
        <v>17</v>
      </c>
      <c r="C577" s="22" t="s">
        <v>2561</v>
      </c>
      <c r="D577" s="22" t="s">
        <v>2562</v>
      </c>
      <c r="E577" s="22" t="s">
        <v>2563</v>
      </c>
      <c r="F577" s="22" t="n">
        <v>14</v>
      </c>
      <c r="G577" s="26" t="n">
        <v>182.58</v>
      </c>
      <c r="H577" s="26" t="n">
        <v>204.71</v>
      </c>
      <c r="I577" s="26" t="n">
        <v>226.84</v>
      </c>
      <c r="J577" s="26" t="n">
        <v>243.44</v>
      </c>
      <c r="K577" s="26" t="n">
        <v>260.04</v>
      </c>
      <c r="L577" s="26" t="n">
        <v>2.28</v>
      </c>
      <c r="M577" s="27" t="n">
        <v>0.005</v>
      </c>
      <c r="N577" s="27" t="n">
        <v>0.002</v>
      </c>
      <c r="O577" s="26" t="n">
        <v>5</v>
      </c>
      <c r="P577" s="26" t="n">
        <v>5</v>
      </c>
      <c r="Q577" s="28" t="n">
        <v>100</v>
      </c>
      <c r="R577" s="26" t="n">
        <v>30</v>
      </c>
      <c r="S577" s="26" t="n">
        <v>0</v>
      </c>
      <c r="T577" s="28" t="n">
        <v>1</v>
      </c>
      <c r="U577" s="26" t="n">
        <v>0</v>
      </c>
      <c r="V577" s="26" t="n">
        <v>0</v>
      </c>
      <c r="W577" s="22" t="s">
        <v>17</v>
      </c>
      <c r="X577" s="22" t="s">
        <v>373</v>
      </c>
    </row>
    <row r="578" customFormat="false" ht="15" hidden="false" customHeight="false" outlineLevel="0" collapsed="false">
      <c r="A578" s="22" t="s">
        <v>2564</v>
      </c>
      <c r="B578" s="22" t="s">
        <v>17</v>
      </c>
      <c r="C578" s="22" t="s">
        <v>2565</v>
      </c>
      <c r="D578" s="22" t="s">
        <v>2566</v>
      </c>
      <c r="E578" s="22" t="s">
        <v>2567</v>
      </c>
      <c r="F578" s="22" t="n">
        <v>14</v>
      </c>
      <c r="G578" s="26" t="n">
        <v>182.58</v>
      </c>
      <c r="H578" s="26" t="n">
        <v>204.71</v>
      </c>
      <c r="I578" s="26" t="n">
        <v>226.84</v>
      </c>
      <c r="J578" s="26" t="n">
        <v>243.44</v>
      </c>
      <c r="K578" s="26" t="n">
        <v>260.04</v>
      </c>
      <c r="L578" s="26" t="n">
        <v>2.28</v>
      </c>
      <c r="M578" s="27" t="n">
        <v>0.005</v>
      </c>
      <c r="N578" s="27" t="n">
        <v>0.002</v>
      </c>
      <c r="O578" s="26" t="n">
        <v>5</v>
      </c>
      <c r="P578" s="26" t="n">
        <v>5</v>
      </c>
      <c r="Q578" s="28" t="n">
        <v>100</v>
      </c>
      <c r="R578" s="26" t="n">
        <v>30</v>
      </c>
      <c r="S578" s="26" t="n">
        <v>0</v>
      </c>
      <c r="T578" s="28" t="n">
        <v>1</v>
      </c>
      <c r="U578" s="26" t="n">
        <v>0</v>
      </c>
      <c r="V578" s="26" t="n">
        <v>0</v>
      </c>
      <c r="W578" s="22" t="s">
        <v>17</v>
      </c>
      <c r="X578" s="22" t="s">
        <v>373</v>
      </c>
    </row>
    <row r="579" customFormat="false" ht="15" hidden="false" customHeight="false" outlineLevel="0" collapsed="false">
      <c r="A579" s="22" t="s">
        <v>2568</v>
      </c>
      <c r="B579" s="22" t="s">
        <v>17</v>
      </c>
      <c r="C579" s="22" t="s">
        <v>2569</v>
      </c>
      <c r="D579" s="22" t="s">
        <v>2570</v>
      </c>
      <c r="E579" s="22" t="s">
        <v>2571</v>
      </c>
      <c r="F579" s="22" t="n">
        <v>14</v>
      </c>
      <c r="G579" s="26" t="n">
        <v>182.58</v>
      </c>
      <c r="H579" s="26" t="n">
        <v>204.71</v>
      </c>
      <c r="I579" s="26" t="n">
        <v>226.84</v>
      </c>
      <c r="J579" s="26" t="n">
        <v>243.44</v>
      </c>
      <c r="K579" s="26" t="n">
        <v>260.04</v>
      </c>
      <c r="L579" s="26" t="n">
        <v>2.28</v>
      </c>
      <c r="M579" s="27" t="n">
        <v>0.005</v>
      </c>
      <c r="N579" s="27" t="n">
        <v>0.002</v>
      </c>
      <c r="O579" s="26" t="n">
        <v>5</v>
      </c>
      <c r="P579" s="26" t="n">
        <v>5</v>
      </c>
      <c r="Q579" s="28" t="n">
        <v>100</v>
      </c>
      <c r="R579" s="26" t="n">
        <v>30</v>
      </c>
      <c r="S579" s="26" t="n">
        <v>0</v>
      </c>
      <c r="T579" s="28" t="n">
        <v>1</v>
      </c>
      <c r="U579" s="26" t="n">
        <v>0</v>
      </c>
      <c r="V579" s="26" t="n">
        <v>0</v>
      </c>
      <c r="W579" s="22" t="s">
        <v>17</v>
      </c>
      <c r="X579" s="22" t="s">
        <v>373</v>
      </c>
    </row>
    <row r="580" customFormat="false" ht="15" hidden="false" customHeight="false" outlineLevel="0" collapsed="false">
      <c r="A580" s="22" t="s">
        <v>2572</v>
      </c>
      <c r="B580" s="22" t="s">
        <v>17</v>
      </c>
      <c r="C580" s="22" t="s">
        <v>2573</v>
      </c>
      <c r="D580" s="22" t="s">
        <v>2574</v>
      </c>
      <c r="E580" s="22" t="s">
        <v>2575</v>
      </c>
      <c r="F580" s="22" t="n">
        <v>14</v>
      </c>
      <c r="G580" s="26" t="n">
        <v>182.58</v>
      </c>
      <c r="H580" s="26" t="n">
        <v>204.71</v>
      </c>
      <c r="I580" s="26" t="n">
        <v>226.84</v>
      </c>
      <c r="J580" s="26" t="n">
        <v>243.44</v>
      </c>
      <c r="K580" s="26" t="n">
        <v>260.04</v>
      </c>
      <c r="L580" s="26" t="n">
        <v>2.28</v>
      </c>
      <c r="M580" s="27" t="n">
        <v>0.005</v>
      </c>
      <c r="N580" s="27" t="n">
        <v>0.002</v>
      </c>
      <c r="O580" s="26" t="n">
        <v>5</v>
      </c>
      <c r="P580" s="26" t="n">
        <v>5</v>
      </c>
      <c r="Q580" s="28" t="n">
        <v>100</v>
      </c>
      <c r="R580" s="26" t="n">
        <v>30</v>
      </c>
      <c r="S580" s="26" t="n">
        <v>0</v>
      </c>
      <c r="T580" s="28" t="n">
        <v>1</v>
      </c>
      <c r="U580" s="26" t="n">
        <v>0</v>
      </c>
      <c r="V580" s="26" t="n">
        <v>0</v>
      </c>
      <c r="W580" s="22" t="s">
        <v>17</v>
      </c>
      <c r="X580" s="22" t="s">
        <v>373</v>
      </c>
    </row>
    <row r="581" customFormat="false" ht="15" hidden="false" customHeight="false" outlineLevel="0" collapsed="false">
      <c r="A581" s="22" t="s">
        <v>2576</v>
      </c>
      <c r="B581" s="22" t="s">
        <v>17</v>
      </c>
      <c r="C581" s="22" t="s">
        <v>2577</v>
      </c>
      <c r="D581" s="22" t="s">
        <v>2578</v>
      </c>
      <c r="E581" s="22" t="s">
        <v>2579</v>
      </c>
      <c r="F581" s="22" t="n">
        <v>14</v>
      </c>
      <c r="G581" s="26" t="n">
        <v>182.58</v>
      </c>
      <c r="H581" s="26" t="n">
        <v>204.71</v>
      </c>
      <c r="I581" s="26" t="n">
        <v>226.84</v>
      </c>
      <c r="J581" s="26" t="n">
        <v>243.44</v>
      </c>
      <c r="K581" s="26" t="n">
        <v>260.04</v>
      </c>
      <c r="L581" s="26" t="n">
        <v>2.28</v>
      </c>
      <c r="M581" s="27" t="n">
        <v>0.005</v>
      </c>
      <c r="N581" s="27" t="n">
        <v>0.002</v>
      </c>
      <c r="O581" s="26" t="n">
        <v>5</v>
      </c>
      <c r="P581" s="26" t="n">
        <v>5</v>
      </c>
      <c r="Q581" s="28" t="n">
        <v>100</v>
      </c>
      <c r="R581" s="26" t="n">
        <v>30</v>
      </c>
      <c r="S581" s="26" t="n">
        <v>0</v>
      </c>
      <c r="T581" s="28" t="n">
        <v>1</v>
      </c>
      <c r="U581" s="26" t="n">
        <v>0</v>
      </c>
      <c r="V581" s="26" t="n">
        <v>0</v>
      </c>
      <c r="W581" s="22" t="s">
        <v>17</v>
      </c>
      <c r="X581" s="22" t="s">
        <v>373</v>
      </c>
    </row>
    <row r="582" customFormat="false" ht="15" hidden="false" customHeight="false" outlineLevel="0" collapsed="false">
      <c r="A582" s="22" t="s">
        <v>2580</v>
      </c>
      <c r="B582" s="22" t="s">
        <v>17</v>
      </c>
      <c r="C582" s="22" t="s">
        <v>2581</v>
      </c>
      <c r="D582" s="22" t="s">
        <v>2582</v>
      </c>
      <c r="E582" s="22" t="s">
        <v>2583</v>
      </c>
      <c r="F582" s="22" t="n">
        <v>14</v>
      </c>
      <c r="G582" s="26" t="n">
        <v>182.58</v>
      </c>
      <c r="H582" s="26" t="n">
        <v>204.71</v>
      </c>
      <c r="I582" s="26" t="n">
        <v>226.84</v>
      </c>
      <c r="J582" s="26" t="n">
        <v>243.44</v>
      </c>
      <c r="K582" s="26" t="n">
        <v>260.04</v>
      </c>
      <c r="L582" s="26" t="n">
        <v>2.28</v>
      </c>
      <c r="M582" s="27" t="n">
        <v>0.005</v>
      </c>
      <c r="N582" s="27" t="n">
        <v>0.002</v>
      </c>
      <c r="O582" s="26" t="n">
        <v>5</v>
      </c>
      <c r="P582" s="26" t="n">
        <v>5</v>
      </c>
      <c r="Q582" s="28" t="n">
        <v>100</v>
      </c>
      <c r="R582" s="26" t="n">
        <v>30</v>
      </c>
      <c r="S582" s="26" t="n">
        <v>0</v>
      </c>
      <c r="T582" s="28" t="n">
        <v>1</v>
      </c>
      <c r="U582" s="26" t="n">
        <v>0</v>
      </c>
      <c r="V582" s="26" t="n">
        <v>0</v>
      </c>
      <c r="W582" s="22" t="s">
        <v>17</v>
      </c>
      <c r="X582" s="22" t="s">
        <v>373</v>
      </c>
    </row>
    <row r="583" customFormat="false" ht="15" hidden="false" customHeight="false" outlineLevel="0" collapsed="false">
      <c r="A583" s="22" t="s">
        <v>2584</v>
      </c>
      <c r="B583" s="22" t="s">
        <v>17</v>
      </c>
      <c r="C583" s="22" t="s">
        <v>2585</v>
      </c>
      <c r="D583" s="22" t="s">
        <v>2586</v>
      </c>
      <c r="E583" s="22" t="s">
        <v>2587</v>
      </c>
      <c r="F583" s="22" t="n">
        <v>14</v>
      </c>
      <c r="G583" s="26" t="n">
        <v>182.58</v>
      </c>
      <c r="H583" s="26" t="n">
        <v>204.71</v>
      </c>
      <c r="I583" s="26" t="n">
        <v>226.84</v>
      </c>
      <c r="J583" s="26" t="n">
        <v>243.44</v>
      </c>
      <c r="K583" s="26" t="n">
        <v>260.04</v>
      </c>
      <c r="L583" s="26" t="n">
        <v>2.28</v>
      </c>
      <c r="M583" s="27" t="n">
        <v>0.005</v>
      </c>
      <c r="N583" s="27" t="n">
        <v>0.002</v>
      </c>
      <c r="O583" s="26" t="n">
        <v>5</v>
      </c>
      <c r="P583" s="26" t="n">
        <v>5</v>
      </c>
      <c r="Q583" s="28" t="n">
        <v>100</v>
      </c>
      <c r="R583" s="26" t="n">
        <v>30</v>
      </c>
      <c r="S583" s="26" t="n">
        <v>0</v>
      </c>
      <c r="T583" s="28" t="n">
        <v>1</v>
      </c>
      <c r="U583" s="26" t="n">
        <v>0</v>
      </c>
      <c r="V583" s="26" t="n">
        <v>0</v>
      </c>
      <c r="W583" s="22" t="s">
        <v>17</v>
      </c>
      <c r="X583" s="22" t="s">
        <v>373</v>
      </c>
    </row>
    <row r="584" customFormat="false" ht="15" hidden="false" customHeight="false" outlineLevel="0" collapsed="false">
      <c r="A584" s="22" t="s">
        <v>2588</v>
      </c>
      <c r="B584" s="22" t="s">
        <v>17</v>
      </c>
      <c r="C584" s="22" t="s">
        <v>2589</v>
      </c>
      <c r="D584" s="22" t="s">
        <v>2590</v>
      </c>
      <c r="E584" s="22" t="s">
        <v>2591</v>
      </c>
      <c r="F584" s="22" t="n">
        <v>14</v>
      </c>
      <c r="G584" s="26" t="n">
        <v>182.58</v>
      </c>
      <c r="H584" s="26" t="n">
        <v>204.71</v>
      </c>
      <c r="I584" s="26" t="n">
        <v>226.84</v>
      </c>
      <c r="J584" s="26" t="n">
        <v>243.44</v>
      </c>
      <c r="K584" s="26" t="n">
        <v>260.04</v>
      </c>
      <c r="L584" s="26" t="n">
        <v>2.28</v>
      </c>
      <c r="M584" s="27" t="n">
        <v>0.005</v>
      </c>
      <c r="N584" s="27" t="n">
        <v>0.002</v>
      </c>
      <c r="O584" s="26" t="n">
        <v>5</v>
      </c>
      <c r="P584" s="26" t="n">
        <v>5</v>
      </c>
      <c r="Q584" s="28" t="n">
        <v>100</v>
      </c>
      <c r="R584" s="26" t="n">
        <v>30</v>
      </c>
      <c r="S584" s="26" t="n">
        <v>0</v>
      </c>
      <c r="T584" s="28" t="n">
        <v>1</v>
      </c>
      <c r="U584" s="26" t="n">
        <v>0</v>
      </c>
      <c r="V584" s="26" t="n">
        <v>0</v>
      </c>
      <c r="W584" s="22" t="s">
        <v>17</v>
      </c>
      <c r="X584" s="22" t="s">
        <v>373</v>
      </c>
    </row>
    <row r="585" customFormat="false" ht="15" hidden="false" customHeight="false" outlineLevel="0" collapsed="false">
      <c r="A585" s="22" t="s">
        <v>2592</v>
      </c>
      <c r="B585" s="22" t="s">
        <v>17</v>
      </c>
      <c r="C585" s="22" t="s">
        <v>2593</v>
      </c>
      <c r="D585" s="22" t="s">
        <v>2594</v>
      </c>
      <c r="E585" s="22" t="s">
        <v>2595</v>
      </c>
      <c r="F585" s="22" t="n">
        <v>14</v>
      </c>
      <c r="G585" s="26" t="n">
        <v>182.58</v>
      </c>
      <c r="H585" s="26" t="n">
        <v>204.71</v>
      </c>
      <c r="I585" s="26" t="n">
        <v>226.84</v>
      </c>
      <c r="J585" s="26" t="n">
        <v>243.44</v>
      </c>
      <c r="K585" s="26" t="n">
        <v>260.04</v>
      </c>
      <c r="L585" s="26" t="n">
        <v>2.28</v>
      </c>
      <c r="M585" s="27" t="n">
        <v>0.005</v>
      </c>
      <c r="N585" s="27" t="n">
        <v>0.002</v>
      </c>
      <c r="O585" s="26" t="n">
        <v>5</v>
      </c>
      <c r="P585" s="26" t="n">
        <v>5</v>
      </c>
      <c r="Q585" s="28" t="n">
        <v>100</v>
      </c>
      <c r="R585" s="26" t="n">
        <v>30</v>
      </c>
      <c r="S585" s="26" t="n">
        <v>0</v>
      </c>
      <c r="T585" s="28" t="n">
        <v>1</v>
      </c>
      <c r="U585" s="26" t="n">
        <v>0</v>
      </c>
      <c r="V585" s="26" t="n">
        <v>0</v>
      </c>
      <c r="W585" s="22" t="s">
        <v>17</v>
      </c>
      <c r="X585" s="22" t="s">
        <v>373</v>
      </c>
    </row>
    <row r="586" customFormat="false" ht="15" hidden="false" customHeight="false" outlineLevel="0" collapsed="false">
      <c r="A586" s="22" t="s">
        <v>2596</v>
      </c>
      <c r="B586" s="22" t="s">
        <v>17</v>
      </c>
      <c r="C586" s="22" t="s">
        <v>2597</v>
      </c>
      <c r="D586" s="22" t="s">
        <v>2598</v>
      </c>
      <c r="E586" s="22" t="s">
        <v>2599</v>
      </c>
      <c r="F586" s="22" t="n">
        <v>14</v>
      </c>
      <c r="G586" s="26" t="n">
        <v>182.58</v>
      </c>
      <c r="H586" s="26" t="n">
        <v>204.71</v>
      </c>
      <c r="I586" s="26" t="n">
        <v>226.84</v>
      </c>
      <c r="J586" s="26" t="n">
        <v>243.44</v>
      </c>
      <c r="K586" s="26" t="n">
        <v>260.04</v>
      </c>
      <c r="L586" s="26" t="n">
        <v>2.28</v>
      </c>
      <c r="M586" s="27" t="n">
        <v>0.005</v>
      </c>
      <c r="N586" s="27" t="n">
        <v>0.002</v>
      </c>
      <c r="O586" s="26" t="n">
        <v>5</v>
      </c>
      <c r="P586" s="26" t="n">
        <v>5</v>
      </c>
      <c r="Q586" s="28" t="n">
        <v>100</v>
      </c>
      <c r="R586" s="26" t="n">
        <v>30</v>
      </c>
      <c r="S586" s="26" t="n">
        <v>0</v>
      </c>
      <c r="T586" s="28" t="n">
        <v>1</v>
      </c>
      <c r="U586" s="26" t="n">
        <v>0</v>
      </c>
      <c r="V586" s="26" t="n">
        <v>0</v>
      </c>
      <c r="W586" s="22" t="s">
        <v>17</v>
      </c>
      <c r="X586" s="22" t="s">
        <v>373</v>
      </c>
    </row>
    <row r="587" customFormat="false" ht="15" hidden="false" customHeight="false" outlineLevel="0" collapsed="false">
      <c r="A587" s="22" t="s">
        <v>2600</v>
      </c>
      <c r="B587" s="22" t="s">
        <v>17</v>
      </c>
      <c r="C587" s="22" t="s">
        <v>2601</v>
      </c>
      <c r="D587" s="22" t="s">
        <v>2602</v>
      </c>
      <c r="E587" s="22" t="s">
        <v>2603</v>
      </c>
      <c r="F587" s="22" t="n">
        <v>14</v>
      </c>
      <c r="G587" s="26" t="n">
        <v>182.58</v>
      </c>
      <c r="H587" s="26" t="n">
        <v>204.71</v>
      </c>
      <c r="I587" s="26" t="n">
        <v>226.84</v>
      </c>
      <c r="J587" s="26" t="n">
        <v>243.44</v>
      </c>
      <c r="K587" s="26" t="n">
        <v>260.04</v>
      </c>
      <c r="L587" s="26" t="n">
        <v>2.28</v>
      </c>
      <c r="M587" s="27" t="n">
        <v>0.005</v>
      </c>
      <c r="N587" s="27" t="n">
        <v>0.002</v>
      </c>
      <c r="O587" s="26" t="n">
        <v>5</v>
      </c>
      <c r="P587" s="26" t="n">
        <v>5</v>
      </c>
      <c r="Q587" s="28" t="n">
        <v>100</v>
      </c>
      <c r="R587" s="26" t="n">
        <v>30</v>
      </c>
      <c r="S587" s="26" t="n">
        <v>0</v>
      </c>
      <c r="T587" s="28" t="n">
        <v>1</v>
      </c>
      <c r="U587" s="26" t="n">
        <v>0</v>
      </c>
      <c r="V587" s="26" t="n">
        <v>0</v>
      </c>
      <c r="W587" s="22" t="s">
        <v>17</v>
      </c>
      <c r="X587" s="22" t="s">
        <v>373</v>
      </c>
    </row>
    <row r="588" customFormat="false" ht="15" hidden="false" customHeight="false" outlineLevel="0" collapsed="false">
      <c r="A588" s="22" t="s">
        <v>2604</v>
      </c>
      <c r="B588" s="22" t="s">
        <v>17</v>
      </c>
      <c r="C588" s="22" t="s">
        <v>111</v>
      </c>
      <c r="D588" s="22" t="s">
        <v>2605</v>
      </c>
      <c r="E588" s="22" t="s">
        <v>2606</v>
      </c>
      <c r="F588" s="22" t="n">
        <v>14</v>
      </c>
      <c r="G588" s="26" t="n">
        <v>182.58</v>
      </c>
      <c r="H588" s="26" t="n">
        <v>204.71</v>
      </c>
      <c r="I588" s="26" t="n">
        <v>226.84</v>
      </c>
      <c r="J588" s="26" t="n">
        <v>243.44</v>
      </c>
      <c r="K588" s="26" t="n">
        <v>260.04</v>
      </c>
      <c r="L588" s="26" t="n">
        <v>2.28</v>
      </c>
      <c r="M588" s="27" t="n">
        <v>0.005</v>
      </c>
      <c r="N588" s="27" t="n">
        <v>0.002</v>
      </c>
      <c r="O588" s="26" t="n">
        <v>5</v>
      </c>
      <c r="P588" s="26" t="n">
        <v>5</v>
      </c>
      <c r="Q588" s="28" t="n">
        <v>100</v>
      </c>
      <c r="R588" s="26" t="n">
        <v>30</v>
      </c>
      <c r="S588" s="26" t="n">
        <v>0</v>
      </c>
      <c r="T588" s="28" t="n">
        <v>1</v>
      </c>
      <c r="U588" s="26" t="n">
        <v>0</v>
      </c>
      <c r="V588" s="26" t="n">
        <v>0</v>
      </c>
      <c r="W588" s="22" t="s">
        <v>17</v>
      </c>
      <c r="X588" s="22" t="s">
        <v>373</v>
      </c>
    </row>
    <row r="589" customFormat="false" ht="15" hidden="false" customHeight="false" outlineLevel="0" collapsed="false">
      <c r="A589" s="22" t="s">
        <v>2607</v>
      </c>
      <c r="B589" s="22" t="s">
        <v>17</v>
      </c>
      <c r="C589" s="22" t="s">
        <v>2608</v>
      </c>
      <c r="D589" s="22" t="s">
        <v>2609</v>
      </c>
      <c r="E589" s="22" t="s">
        <v>2610</v>
      </c>
      <c r="F589" s="22" t="n">
        <v>14</v>
      </c>
      <c r="G589" s="26" t="n">
        <v>182.58</v>
      </c>
      <c r="H589" s="26" t="n">
        <v>204.71</v>
      </c>
      <c r="I589" s="26" t="n">
        <v>226.84</v>
      </c>
      <c r="J589" s="26" t="n">
        <v>243.44</v>
      </c>
      <c r="K589" s="26" t="n">
        <v>260.04</v>
      </c>
      <c r="L589" s="26" t="n">
        <v>2.28</v>
      </c>
      <c r="M589" s="27" t="n">
        <v>0.005</v>
      </c>
      <c r="N589" s="27" t="n">
        <v>0.002</v>
      </c>
      <c r="O589" s="26" t="n">
        <v>5</v>
      </c>
      <c r="P589" s="26" t="n">
        <v>5</v>
      </c>
      <c r="Q589" s="28" t="n">
        <v>100</v>
      </c>
      <c r="R589" s="26" t="n">
        <v>30</v>
      </c>
      <c r="S589" s="26" t="n">
        <v>0</v>
      </c>
      <c r="T589" s="28" t="n">
        <v>1</v>
      </c>
      <c r="U589" s="26" t="n">
        <v>0</v>
      </c>
      <c r="V589" s="26" t="n">
        <v>0</v>
      </c>
      <c r="W589" s="22" t="s">
        <v>17</v>
      </c>
      <c r="X589" s="22" t="s">
        <v>373</v>
      </c>
    </row>
    <row r="590" customFormat="false" ht="15" hidden="false" customHeight="false" outlineLevel="0" collapsed="false">
      <c r="A590" s="22" t="s">
        <v>2611</v>
      </c>
      <c r="B590" s="22" t="s">
        <v>17</v>
      </c>
      <c r="C590" s="22" t="s">
        <v>2612</v>
      </c>
      <c r="D590" s="22" t="s">
        <v>2613</v>
      </c>
      <c r="E590" s="22" t="s">
        <v>2614</v>
      </c>
      <c r="F590" s="22" t="n">
        <v>14</v>
      </c>
      <c r="G590" s="26" t="n">
        <v>182.58</v>
      </c>
      <c r="H590" s="26" t="n">
        <v>204.71</v>
      </c>
      <c r="I590" s="26" t="n">
        <v>226.84</v>
      </c>
      <c r="J590" s="26" t="n">
        <v>243.44</v>
      </c>
      <c r="K590" s="26" t="n">
        <v>260.04</v>
      </c>
      <c r="L590" s="26" t="n">
        <v>2.28</v>
      </c>
      <c r="M590" s="27" t="n">
        <v>0.005</v>
      </c>
      <c r="N590" s="27" t="n">
        <v>0.002</v>
      </c>
      <c r="O590" s="26" t="n">
        <v>5</v>
      </c>
      <c r="P590" s="26" t="n">
        <v>5</v>
      </c>
      <c r="Q590" s="28" t="n">
        <v>100</v>
      </c>
      <c r="R590" s="26" t="n">
        <v>30</v>
      </c>
      <c r="S590" s="26" t="n">
        <v>0</v>
      </c>
      <c r="T590" s="28" t="n">
        <v>1</v>
      </c>
      <c r="U590" s="26" t="n">
        <v>0</v>
      </c>
      <c r="V590" s="26" t="n">
        <v>0</v>
      </c>
      <c r="W590" s="22" t="s">
        <v>17</v>
      </c>
      <c r="X590" s="22" t="s">
        <v>373</v>
      </c>
    </row>
    <row r="591" customFormat="false" ht="15" hidden="false" customHeight="false" outlineLevel="0" collapsed="false">
      <c r="A591" s="22" t="s">
        <v>2615</v>
      </c>
      <c r="B591" s="22" t="s">
        <v>17</v>
      </c>
      <c r="C591" s="22" t="s">
        <v>2616</v>
      </c>
      <c r="D591" s="22" t="s">
        <v>2617</v>
      </c>
      <c r="E591" s="22" t="s">
        <v>2618</v>
      </c>
      <c r="F591" s="22" t="n">
        <v>14</v>
      </c>
      <c r="G591" s="26" t="n">
        <v>182.58</v>
      </c>
      <c r="H591" s="26" t="n">
        <v>204.71</v>
      </c>
      <c r="I591" s="26" t="n">
        <v>226.84</v>
      </c>
      <c r="J591" s="26" t="n">
        <v>243.44</v>
      </c>
      <c r="K591" s="26" t="n">
        <v>260.04</v>
      </c>
      <c r="L591" s="26" t="n">
        <v>2.28</v>
      </c>
      <c r="M591" s="27" t="n">
        <v>0.005</v>
      </c>
      <c r="N591" s="27" t="n">
        <v>0.002</v>
      </c>
      <c r="O591" s="26" t="n">
        <v>5</v>
      </c>
      <c r="P591" s="26" t="n">
        <v>5</v>
      </c>
      <c r="Q591" s="28" t="n">
        <v>100</v>
      </c>
      <c r="R591" s="26" t="n">
        <v>30</v>
      </c>
      <c r="S591" s="26" t="n">
        <v>0</v>
      </c>
      <c r="T591" s="28" t="n">
        <v>1</v>
      </c>
      <c r="U591" s="26" t="n">
        <v>0</v>
      </c>
      <c r="V591" s="26" t="n">
        <v>0</v>
      </c>
      <c r="W591" s="22" t="s">
        <v>17</v>
      </c>
      <c r="X591" s="22" t="s">
        <v>373</v>
      </c>
    </row>
    <row r="592" customFormat="false" ht="15" hidden="false" customHeight="false" outlineLevel="0" collapsed="false">
      <c r="A592" s="22" t="s">
        <v>2619</v>
      </c>
      <c r="B592" s="22" t="s">
        <v>17</v>
      </c>
      <c r="C592" s="22" t="s">
        <v>2620</v>
      </c>
      <c r="D592" s="22" t="s">
        <v>2621</v>
      </c>
      <c r="E592" s="22" t="s">
        <v>2622</v>
      </c>
      <c r="F592" s="22" t="n">
        <v>14</v>
      </c>
      <c r="G592" s="26" t="n">
        <v>182.58</v>
      </c>
      <c r="H592" s="26" t="n">
        <v>204.71</v>
      </c>
      <c r="I592" s="26" t="n">
        <v>226.84</v>
      </c>
      <c r="J592" s="26" t="n">
        <v>243.44</v>
      </c>
      <c r="K592" s="26" t="n">
        <v>260.04</v>
      </c>
      <c r="L592" s="26" t="n">
        <v>2.28</v>
      </c>
      <c r="M592" s="27" t="n">
        <v>0.005</v>
      </c>
      <c r="N592" s="27" t="n">
        <v>0.002</v>
      </c>
      <c r="O592" s="26" t="n">
        <v>5</v>
      </c>
      <c r="P592" s="26" t="n">
        <v>5</v>
      </c>
      <c r="Q592" s="28" t="n">
        <v>100</v>
      </c>
      <c r="R592" s="26" t="n">
        <v>30</v>
      </c>
      <c r="S592" s="26" t="n">
        <v>0</v>
      </c>
      <c r="T592" s="28" t="n">
        <v>1</v>
      </c>
      <c r="U592" s="26" t="n">
        <v>0</v>
      </c>
      <c r="V592" s="26" t="n">
        <v>0</v>
      </c>
      <c r="W592" s="22" t="s">
        <v>17</v>
      </c>
      <c r="X592" s="22" t="s">
        <v>373</v>
      </c>
    </row>
    <row r="593" customFormat="false" ht="15" hidden="false" customHeight="false" outlineLevel="0" collapsed="false">
      <c r="A593" s="22" t="s">
        <v>2623</v>
      </c>
      <c r="B593" s="22" t="s">
        <v>17</v>
      </c>
      <c r="C593" s="22" t="s">
        <v>2624</v>
      </c>
      <c r="D593" s="22" t="s">
        <v>2625</v>
      </c>
      <c r="E593" s="22" t="s">
        <v>2626</v>
      </c>
      <c r="F593" s="22" t="n">
        <v>14</v>
      </c>
      <c r="G593" s="26" t="n">
        <v>182.58</v>
      </c>
      <c r="H593" s="26" t="n">
        <v>204.71</v>
      </c>
      <c r="I593" s="26" t="n">
        <v>226.84</v>
      </c>
      <c r="J593" s="26" t="n">
        <v>243.44</v>
      </c>
      <c r="K593" s="26" t="n">
        <v>260.04</v>
      </c>
      <c r="L593" s="26" t="n">
        <v>2.28</v>
      </c>
      <c r="M593" s="27" t="n">
        <v>0.005</v>
      </c>
      <c r="N593" s="27" t="n">
        <v>0.002</v>
      </c>
      <c r="O593" s="26" t="n">
        <v>5</v>
      </c>
      <c r="P593" s="26" t="n">
        <v>5</v>
      </c>
      <c r="Q593" s="28" t="n">
        <v>100</v>
      </c>
      <c r="R593" s="26" t="n">
        <v>30</v>
      </c>
      <c r="S593" s="26" t="n">
        <v>0</v>
      </c>
      <c r="T593" s="28" t="n">
        <v>1</v>
      </c>
      <c r="U593" s="26" t="n">
        <v>0</v>
      </c>
      <c r="V593" s="26" t="n">
        <v>0</v>
      </c>
      <c r="W593" s="22" t="s">
        <v>17</v>
      </c>
      <c r="X593" s="22" t="s">
        <v>373</v>
      </c>
    </row>
    <row r="594" customFormat="false" ht="15" hidden="false" customHeight="false" outlineLevel="0" collapsed="false">
      <c r="A594" s="22" t="s">
        <v>2627</v>
      </c>
      <c r="B594" s="22" t="s">
        <v>17</v>
      </c>
      <c r="C594" s="22" t="s">
        <v>2628</v>
      </c>
      <c r="D594" s="22" t="s">
        <v>2629</v>
      </c>
      <c r="E594" s="22" t="s">
        <v>2630</v>
      </c>
      <c r="F594" s="22" t="n">
        <v>14</v>
      </c>
      <c r="G594" s="26" t="n">
        <v>182.58</v>
      </c>
      <c r="H594" s="26" t="n">
        <v>204.71</v>
      </c>
      <c r="I594" s="26" t="n">
        <v>226.84</v>
      </c>
      <c r="J594" s="26" t="n">
        <v>243.44</v>
      </c>
      <c r="K594" s="26" t="n">
        <v>260.04</v>
      </c>
      <c r="L594" s="26" t="n">
        <v>2.28</v>
      </c>
      <c r="M594" s="27" t="n">
        <v>0.005</v>
      </c>
      <c r="N594" s="27" t="n">
        <v>0.002</v>
      </c>
      <c r="O594" s="26" t="n">
        <v>5</v>
      </c>
      <c r="P594" s="26" t="n">
        <v>5</v>
      </c>
      <c r="Q594" s="28" t="n">
        <v>100</v>
      </c>
      <c r="R594" s="26" t="n">
        <v>30</v>
      </c>
      <c r="S594" s="26" t="n">
        <v>0</v>
      </c>
      <c r="T594" s="28" t="n">
        <v>1</v>
      </c>
      <c r="U594" s="26" t="n">
        <v>0</v>
      </c>
      <c r="V594" s="26" t="n">
        <v>0</v>
      </c>
      <c r="W594" s="22" t="s">
        <v>17</v>
      </c>
      <c r="X594" s="22" t="s">
        <v>373</v>
      </c>
    </row>
    <row r="595" customFormat="false" ht="15" hidden="false" customHeight="false" outlineLevel="0" collapsed="false">
      <c r="A595" s="22" t="s">
        <v>2631</v>
      </c>
      <c r="B595" s="22" t="s">
        <v>17</v>
      </c>
      <c r="C595" s="22" t="s">
        <v>2632</v>
      </c>
      <c r="D595" s="22" t="s">
        <v>2633</v>
      </c>
      <c r="E595" s="22" t="s">
        <v>2634</v>
      </c>
      <c r="F595" s="22" t="n">
        <v>14</v>
      </c>
      <c r="G595" s="26" t="n">
        <v>182.58</v>
      </c>
      <c r="H595" s="26" t="n">
        <v>204.71</v>
      </c>
      <c r="I595" s="26" t="n">
        <v>226.84</v>
      </c>
      <c r="J595" s="26" t="n">
        <v>243.44</v>
      </c>
      <c r="K595" s="26" t="n">
        <v>260.04</v>
      </c>
      <c r="L595" s="26" t="n">
        <v>2.28</v>
      </c>
      <c r="M595" s="27" t="n">
        <v>0.005</v>
      </c>
      <c r="N595" s="27" t="n">
        <v>0.002</v>
      </c>
      <c r="O595" s="26" t="n">
        <v>5</v>
      </c>
      <c r="P595" s="26" t="n">
        <v>5</v>
      </c>
      <c r="Q595" s="28" t="n">
        <v>100</v>
      </c>
      <c r="R595" s="26" t="n">
        <v>30</v>
      </c>
      <c r="S595" s="26" t="n">
        <v>0</v>
      </c>
      <c r="T595" s="28" t="n">
        <v>1</v>
      </c>
      <c r="U595" s="26" t="n">
        <v>0</v>
      </c>
      <c r="V595" s="26" t="n">
        <v>250</v>
      </c>
      <c r="W595" s="22" t="s">
        <v>17</v>
      </c>
      <c r="X595" s="22" t="s">
        <v>373</v>
      </c>
    </row>
    <row r="596" customFormat="false" ht="15" hidden="false" customHeight="false" outlineLevel="0" collapsed="false">
      <c r="A596" s="22" t="s">
        <v>2635</v>
      </c>
      <c r="B596" s="22" t="s">
        <v>17</v>
      </c>
      <c r="C596" s="22" t="s">
        <v>2636</v>
      </c>
      <c r="D596" s="22" t="s">
        <v>2637</v>
      </c>
      <c r="E596" s="22" t="s">
        <v>2638</v>
      </c>
      <c r="F596" s="22" t="n">
        <v>14</v>
      </c>
      <c r="G596" s="26" t="n">
        <v>182.58</v>
      </c>
      <c r="H596" s="26" t="n">
        <v>204.71</v>
      </c>
      <c r="I596" s="26" t="n">
        <v>226.84</v>
      </c>
      <c r="J596" s="26" t="n">
        <v>243.44</v>
      </c>
      <c r="K596" s="26" t="n">
        <v>260.04</v>
      </c>
      <c r="L596" s="26" t="n">
        <v>2.28</v>
      </c>
      <c r="M596" s="27" t="n">
        <v>0.005</v>
      </c>
      <c r="N596" s="27" t="n">
        <v>0.002</v>
      </c>
      <c r="O596" s="26" t="n">
        <v>5</v>
      </c>
      <c r="P596" s="26" t="n">
        <v>5</v>
      </c>
      <c r="Q596" s="28" t="n">
        <v>100</v>
      </c>
      <c r="R596" s="26" t="n">
        <v>30</v>
      </c>
      <c r="S596" s="26" t="n">
        <v>0</v>
      </c>
      <c r="T596" s="28" t="n">
        <v>1</v>
      </c>
      <c r="U596" s="26" t="n">
        <v>0</v>
      </c>
      <c r="V596" s="26" t="n">
        <v>0</v>
      </c>
      <c r="W596" s="22" t="s">
        <v>17</v>
      </c>
      <c r="X596" s="22" t="s">
        <v>373</v>
      </c>
    </row>
    <row r="597" customFormat="false" ht="15" hidden="false" customHeight="false" outlineLevel="0" collapsed="false">
      <c r="A597" s="22" t="s">
        <v>2639</v>
      </c>
      <c r="B597" s="29" t="s">
        <v>17</v>
      </c>
      <c r="C597" s="29" t="s">
        <v>2640</v>
      </c>
      <c r="D597" s="22" t="s">
        <v>2641</v>
      </c>
      <c r="E597" s="22" t="s">
        <v>2642</v>
      </c>
      <c r="F597" s="22" t="n">
        <v>14</v>
      </c>
      <c r="G597" s="26" t="n">
        <v>109.5</v>
      </c>
      <c r="H597" s="26" t="n">
        <v>120.52</v>
      </c>
      <c r="I597" s="26" t="n">
        <v>142.56</v>
      </c>
      <c r="J597" s="26" t="n">
        <v>153.58</v>
      </c>
      <c r="K597" s="26" t="n">
        <v>170.11</v>
      </c>
      <c r="L597" s="26" t="n">
        <v>2.06</v>
      </c>
      <c r="M597" s="27" t="n">
        <v>0.005</v>
      </c>
      <c r="N597" s="27" t="n">
        <v>0.002</v>
      </c>
      <c r="O597" s="26" t="n">
        <v>5</v>
      </c>
      <c r="P597" s="26" t="n">
        <v>5</v>
      </c>
      <c r="Q597" s="28" t="n">
        <v>100</v>
      </c>
      <c r="R597" s="26" t="n">
        <v>30</v>
      </c>
      <c r="S597" s="26" t="n">
        <v>0</v>
      </c>
      <c r="T597" s="28" t="n">
        <v>1</v>
      </c>
      <c r="U597" s="26" t="n">
        <v>0</v>
      </c>
      <c r="V597" s="26" t="n">
        <v>0</v>
      </c>
      <c r="W597" s="29" t="s">
        <v>20</v>
      </c>
      <c r="X597" s="22" t="s">
        <v>373</v>
      </c>
    </row>
    <row r="598" customFormat="false" ht="15" hidden="false" customHeight="false" outlineLevel="0" collapsed="false">
      <c r="A598" s="22" t="s">
        <v>2643</v>
      </c>
      <c r="B598" s="22" t="s">
        <v>17</v>
      </c>
      <c r="C598" s="22" t="s">
        <v>2644</v>
      </c>
      <c r="D598" s="22" t="s">
        <v>2645</v>
      </c>
      <c r="E598" s="22" t="s">
        <v>2646</v>
      </c>
      <c r="F598" s="22" t="n">
        <v>14</v>
      </c>
      <c r="G598" s="26" t="n">
        <v>182.58</v>
      </c>
      <c r="H598" s="26" t="n">
        <v>204.71</v>
      </c>
      <c r="I598" s="26" t="n">
        <v>226.84</v>
      </c>
      <c r="J598" s="26" t="n">
        <v>243.44</v>
      </c>
      <c r="K598" s="26" t="n">
        <v>260.04</v>
      </c>
      <c r="L598" s="26" t="n">
        <v>2.28</v>
      </c>
      <c r="M598" s="27" t="n">
        <v>0.005</v>
      </c>
      <c r="N598" s="27" t="n">
        <v>0.002</v>
      </c>
      <c r="O598" s="26" t="n">
        <v>5</v>
      </c>
      <c r="P598" s="26" t="n">
        <v>5</v>
      </c>
      <c r="Q598" s="28" t="n">
        <v>100</v>
      </c>
      <c r="R598" s="26" t="n">
        <v>30</v>
      </c>
      <c r="S598" s="26" t="n">
        <v>0</v>
      </c>
      <c r="T598" s="28" t="n">
        <v>1</v>
      </c>
      <c r="U598" s="26" t="n">
        <v>0</v>
      </c>
      <c r="V598" s="26" t="n">
        <v>0</v>
      </c>
      <c r="W598" s="22" t="s">
        <v>17</v>
      </c>
      <c r="X598" s="22" t="s">
        <v>373</v>
      </c>
    </row>
    <row r="599" customFormat="false" ht="15" hidden="false" customHeight="false" outlineLevel="0" collapsed="false">
      <c r="A599" s="22" t="s">
        <v>2647</v>
      </c>
      <c r="B599" s="22" t="s">
        <v>17</v>
      </c>
      <c r="C599" s="22" t="s">
        <v>2648</v>
      </c>
      <c r="D599" s="22" t="s">
        <v>2649</v>
      </c>
      <c r="E599" s="22" t="s">
        <v>2650</v>
      </c>
      <c r="F599" s="22" t="n">
        <v>14</v>
      </c>
      <c r="G599" s="26" t="n">
        <v>182.58</v>
      </c>
      <c r="H599" s="26" t="n">
        <v>204.71</v>
      </c>
      <c r="I599" s="26" t="n">
        <v>226.84</v>
      </c>
      <c r="J599" s="26" t="n">
        <v>243.44</v>
      </c>
      <c r="K599" s="26" t="n">
        <v>260.04</v>
      </c>
      <c r="L599" s="26" t="n">
        <v>2.28</v>
      </c>
      <c r="M599" s="27" t="n">
        <v>0.005</v>
      </c>
      <c r="N599" s="27" t="n">
        <v>0.002</v>
      </c>
      <c r="O599" s="26" t="n">
        <v>5</v>
      </c>
      <c r="P599" s="26" t="n">
        <v>5</v>
      </c>
      <c r="Q599" s="28" t="n">
        <v>100</v>
      </c>
      <c r="R599" s="26" t="n">
        <v>30</v>
      </c>
      <c r="S599" s="26" t="n">
        <v>0</v>
      </c>
      <c r="T599" s="28" t="n">
        <v>1</v>
      </c>
      <c r="U599" s="26" t="n">
        <v>0</v>
      </c>
      <c r="V599" s="26" t="n">
        <v>0</v>
      </c>
      <c r="W599" s="22" t="s">
        <v>17</v>
      </c>
      <c r="X599" s="22" t="s">
        <v>373</v>
      </c>
    </row>
    <row r="600" customFormat="false" ht="15" hidden="false" customHeight="false" outlineLevel="0" collapsed="false">
      <c r="A600" s="22" t="s">
        <v>2651</v>
      </c>
      <c r="B600" s="22" t="s">
        <v>17</v>
      </c>
      <c r="C600" s="22" t="s">
        <v>2652</v>
      </c>
      <c r="D600" s="22" t="s">
        <v>2653</v>
      </c>
      <c r="E600" s="22" t="s">
        <v>2654</v>
      </c>
      <c r="F600" s="22" t="n">
        <v>14</v>
      </c>
      <c r="G600" s="26" t="n">
        <v>182.58</v>
      </c>
      <c r="H600" s="26" t="n">
        <v>204.71</v>
      </c>
      <c r="I600" s="26" t="n">
        <v>226.84</v>
      </c>
      <c r="J600" s="26" t="n">
        <v>243.44</v>
      </c>
      <c r="K600" s="26" t="n">
        <v>260.04</v>
      </c>
      <c r="L600" s="26" t="n">
        <v>2.28</v>
      </c>
      <c r="M600" s="27" t="n">
        <v>0.005</v>
      </c>
      <c r="N600" s="27" t="n">
        <v>0.002</v>
      </c>
      <c r="O600" s="26" t="n">
        <v>5</v>
      </c>
      <c r="P600" s="26" t="n">
        <v>5</v>
      </c>
      <c r="Q600" s="28" t="n">
        <v>100</v>
      </c>
      <c r="R600" s="26" t="n">
        <v>30</v>
      </c>
      <c r="S600" s="26" t="n">
        <v>0</v>
      </c>
      <c r="T600" s="28" t="n">
        <v>1</v>
      </c>
      <c r="U600" s="26" t="n">
        <v>0</v>
      </c>
      <c r="V600" s="26" t="n">
        <v>0</v>
      </c>
      <c r="W600" s="22" t="s">
        <v>17</v>
      </c>
      <c r="X600" s="22" t="s">
        <v>373</v>
      </c>
    </row>
    <row r="601" customFormat="false" ht="15" hidden="false" customHeight="false" outlineLevel="0" collapsed="false">
      <c r="A601" s="22" t="s">
        <v>2655</v>
      </c>
      <c r="B601" s="22" t="s">
        <v>17</v>
      </c>
      <c r="C601" s="22" t="s">
        <v>2656</v>
      </c>
      <c r="D601" s="22" t="s">
        <v>2657</v>
      </c>
      <c r="E601" s="22" t="s">
        <v>2658</v>
      </c>
      <c r="F601" s="22" t="n">
        <v>14</v>
      </c>
      <c r="G601" s="26" t="n">
        <v>182.58</v>
      </c>
      <c r="H601" s="26" t="n">
        <v>204.71</v>
      </c>
      <c r="I601" s="26" t="n">
        <v>226.84</v>
      </c>
      <c r="J601" s="26" t="n">
        <v>243.44</v>
      </c>
      <c r="K601" s="26" t="n">
        <v>260.04</v>
      </c>
      <c r="L601" s="26" t="n">
        <v>2.28</v>
      </c>
      <c r="M601" s="27" t="n">
        <v>0.005</v>
      </c>
      <c r="N601" s="27" t="n">
        <v>0.002</v>
      </c>
      <c r="O601" s="26" t="n">
        <v>5</v>
      </c>
      <c r="P601" s="26" t="n">
        <v>5</v>
      </c>
      <c r="Q601" s="28" t="n">
        <v>100</v>
      </c>
      <c r="R601" s="26" t="n">
        <v>30</v>
      </c>
      <c r="S601" s="26" t="n">
        <v>0</v>
      </c>
      <c r="T601" s="28" t="n">
        <v>1</v>
      </c>
      <c r="U601" s="26" t="n">
        <v>0</v>
      </c>
      <c r="V601" s="26" t="n">
        <v>0</v>
      </c>
      <c r="W601" s="22" t="s">
        <v>17</v>
      </c>
      <c r="X601" s="22" t="s">
        <v>373</v>
      </c>
    </row>
    <row r="602" customFormat="false" ht="15" hidden="false" customHeight="false" outlineLevel="0" collapsed="false">
      <c r="A602" s="22" t="s">
        <v>2659</v>
      </c>
      <c r="B602" s="22" t="s">
        <v>17</v>
      </c>
      <c r="C602" s="22" t="s">
        <v>102</v>
      </c>
      <c r="D602" s="22" t="s">
        <v>2660</v>
      </c>
      <c r="E602" s="22" t="s">
        <v>2661</v>
      </c>
      <c r="F602" s="22" t="n">
        <v>14</v>
      </c>
      <c r="G602" s="26" t="n">
        <v>182.58</v>
      </c>
      <c r="H602" s="26" t="n">
        <v>204.71</v>
      </c>
      <c r="I602" s="26" t="n">
        <v>226.84</v>
      </c>
      <c r="J602" s="26" t="n">
        <v>243.44</v>
      </c>
      <c r="K602" s="26" t="n">
        <v>260.04</v>
      </c>
      <c r="L602" s="26" t="n">
        <v>2.28</v>
      </c>
      <c r="M602" s="27" t="n">
        <v>0.005</v>
      </c>
      <c r="N602" s="27" t="n">
        <v>0.002</v>
      </c>
      <c r="O602" s="26" t="n">
        <v>5</v>
      </c>
      <c r="P602" s="26" t="n">
        <v>5</v>
      </c>
      <c r="Q602" s="28" t="n">
        <v>100</v>
      </c>
      <c r="R602" s="26" t="n">
        <v>30</v>
      </c>
      <c r="S602" s="26" t="n">
        <v>0</v>
      </c>
      <c r="T602" s="28" t="n">
        <v>1</v>
      </c>
      <c r="U602" s="26" t="n">
        <v>0</v>
      </c>
      <c r="V602" s="26" t="n">
        <v>0</v>
      </c>
      <c r="W602" s="22" t="s">
        <v>17</v>
      </c>
      <c r="X602" s="22" t="s">
        <v>373</v>
      </c>
    </row>
    <row r="603" customFormat="false" ht="15" hidden="false" customHeight="false" outlineLevel="0" collapsed="false">
      <c r="A603" s="22" t="s">
        <v>2662</v>
      </c>
      <c r="B603" s="22" t="s">
        <v>17</v>
      </c>
      <c r="C603" s="22" t="s">
        <v>2663</v>
      </c>
      <c r="D603" s="22" t="s">
        <v>2664</v>
      </c>
      <c r="E603" s="22" t="s">
        <v>2665</v>
      </c>
      <c r="F603" s="22" t="n">
        <v>14</v>
      </c>
      <c r="G603" s="26" t="n">
        <v>182.58</v>
      </c>
      <c r="H603" s="26" t="n">
        <v>204.71</v>
      </c>
      <c r="I603" s="26" t="n">
        <v>226.84</v>
      </c>
      <c r="J603" s="26" t="n">
        <v>243.44</v>
      </c>
      <c r="K603" s="26" t="n">
        <v>260.04</v>
      </c>
      <c r="L603" s="26" t="n">
        <v>2.28</v>
      </c>
      <c r="M603" s="27" t="n">
        <v>0.005</v>
      </c>
      <c r="N603" s="27" t="n">
        <v>0.002</v>
      </c>
      <c r="O603" s="26" t="n">
        <v>5</v>
      </c>
      <c r="P603" s="26" t="n">
        <v>5</v>
      </c>
      <c r="Q603" s="28" t="n">
        <v>100</v>
      </c>
      <c r="R603" s="26" t="n">
        <v>30</v>
      </c>
      <c r="S603" s="26" t="n">
        <v>0</v>
      </c>
      <c r="T603" s="28" t="n">
        <v>1</v>
      </c>
      <c r="U603" s="26" t="n">
        <v>0</v>
      </c>
      <c r="V603" s="26" t="n">
        <v>0</v>
      </c>
      <c r="W603" s="22" t="s">
        <v>17</v>
      </c>
      <c r="X603" s="22" t="s">
        <v>373</v>
      </c>
    </row>
    <row r="604" customFormat="false" ht="15" hidden="false" customHeight="false" outlineLevel="0" collapsed="false">
      <c r="A604" s="22" t="s">
        <v>2666</v>
      </c>
      <c r="B604" s="22" t="s">
        <v>17</v>
      </c>
      <c r="C604" s="22" t="s">
        <v>2667</v>
      </c>
      <c r="D604" s="22" t="s">
        <v>2668</v>
      </c>
      <c r="E604" s="22" t="s">
        <v>2669</v>
      </c>
      <c r="F604" s="22" t="n">
        <v>14</v>
      </c>
      <c r="G604" s="26" t="n">
        <v>182.58</v>
      </c>
      <c r="H604" s="26" t="n">
        <v>204.71</v>
      </c>
      <c r="I604" s="26" t="n">
        <v>226.84</v>
      </c>
      <c r="J604" s="26" t="n">
        <v>243.44</v>
      </c>
      <c r="K604" s="26" t="n">
        <v>260.04</v>
      </c>
      <c r="L604" s="26" t="n">
        <v>2.28</v>
      </c>
      <c r="M604" s="27" t="n">
        <v>0.005</v>
      </c>
      <c r="N604" s="27" t="n">
        <v>0.002</v>
      </c>
      <c r="O604" s="26" t="n">
        <v>5</v>
      </c>
      <c r="P604" s="26" t="n">
        <v>5</v>
      </c>
      <c r="Q604" s="28" t="n">
        <v>100</v>
      </c>
      <c r="R604" s="26" t="n">
        <v>30</v>
      </c>
      <c r="S604" s="26" t="n">
        <v>0</v>
      </c>
      <c r="T604" s="28" t="n">
        <v>1</v>
      </c>
      <c r="U604" s="26" t="n">
        <v>0</v>
      </c>
      <c r="V604" s="26" t="n">
        <v>250</v>
      </c>
      <c r="W604" s="22" t="s">
        <v>17</v>
      </c>
      <c r="X604" s="22" t="s">
        <v>373</v>
      </c>
    </row>
    <row r="605" customFormat="false" ht="15" hidden="false" customHeight="false" outlineLevel="0" collapsed="false">
      <c r="A605" s="22" t="s">
        <v>2670</v>
      </c>
      <c r="B605" s="22" t="s">
        <v>17</v>
      </c>
      <c r="C605" s="22" t="s">
        <v>2671</v>
      </c>
      <c r="D605" s="22" t="s">
        <v>2672</v>
      </c>
      <c r="E605" s="22" t="s">
        <v>2673</v>
      </c>
      <c r="F605" s="22" t="n">
        <v>14</v>
      </c>
      <c r="G605" s="26" t="n">
        <v>182.58</v>
      </c>
      <c r="H605" s="26" t="n">
        <v>204.71</v>
      </c>
      <c r="I605" s="26" t="n">
        <v>226.84</v>
      </c>
      <c r="J605" s="26" t="n">
        <v>243.44</v>
      </c>
      <c r="K605" s="26" t="n">
        <v>260.04</v>
      </c>
      <c r="L605" s="26" t="n">
        <v>2.28</v>
      </c>
      <c r="M605" s="27" t="n">
        <v>0.005</v>
      </c>
      <c r="N605" s="27" t="n">
        <v>0.002</v>
      </c>
      <c r="O605" s="26" t="n">
        <v>5</v>
      </c>
      <c r="P605" s="26" t="n">
        <v>5</v>
      </c>
      <c r="Q605" s="28" t="n">
        <v>100</v>
      </c>
      <c r="R605" s="26" t="n">
        <v>30</v>
      </c>
      <c r="S605" s="26" t="n">
        <v>0</v>
      </c>
      <c r="T605" s="28" t="n">
        <v>1</v>
      </c>
      <c r="U605" s="26" t="n">
        <v>0</v>
      </c>
      <c r="V605" s="26" t="n">
        <v>0</v>
      </c>
      <c r="W605" s="22" t="s">
        <v>17</v>
      </c>
      <c r="X605" s="22" t="s">
        <v>373</v>
      </c>
    </row>
    <row r="606" customFormat="false" ht="15" hidden="false" customHeight="false" outlineLevel="0" collapsed="false">
      <c r="A606" s="22" t="s">
        <v>2674</v>
      </c>
      <c r="B606" s="22" t="s">
        <v>17</v>
      </c>
      <c r="C606" s="22" t="s">
        <v>2675</v>
      </c>
      <c r="D606" s="22" t="s">
        <v>2676</v>
      </c>
      <c r="E606" s="22" t="s">
        <v>2677</v>
      </c>
      <c r="F606" s="22" t="n">
        <v>14</v>
      </c>
      <c r="G606" s="26" t="n">
        <v>182.58</v>
      </c>
      <c r="H606" s="26" t="n">
        <v>204.71</v>
      </c>
      <c r="I606" s="26" t="n">
        <v>226.84</v>
      </c>
      <c r="J606" s="26" t="n">
        <v>243.44</v>
      </c>
      <c r="K606" s="26" t="n">
        <v>260.04</v>
      </c>
      <c r="L606" s="26" t="n">
        <v>2.28</v>
      </c>
      <c r="M606" s="27" t="n">
        <v>0.005</v>
      </c>
      <c r="N606" s="27" t="n">
        <v>0.002</v>
      </c>
      <c r="O606" s="26" t="n">
        <v>5</v>
      </c>
      <c r="P606" s="26" t="n">
        <v>5</v>
      </c>
      <c r="Q606" s="28" t="n">
        <v>100</v>
      </c>
      <c r="R606" s="26" t="n">
        <v>30</v>
      </c>
      <c r="S606" s="26" t="n">
        <v>0</v>
      </c>
      <c r="T606" s="28" t="n">
        <v>1</v>
      </c>
      <c r="U606" s="26" t="n">
        <v>0</v>
      </c>
      <c r="V606" s="26" t="n">
        <v>0</v>
      </c>
      <c r="W606" s="22" t="s">
        <v>17</v>
      </c>
      <c r="X606" s="22" t="s">
        <v>373</v>
      </c>
    </row>
    <row r="607" customFormat="false" ht="15" hidden="false" customHeight="false" outlineLevel="0" collapsed="false">
      <c r="A607" s="22" t="s">
        <v>2678</v>
      </c>
      <c r="B607" s="22" t="s">
        <v>17</v>
      </c>
      <c r="C607" s="22" t="s">
        <v>2679</v>
      </c>
      <c r="D607" s="22" t="s">
        <v>2680</v>
      </c>
      <c r="E607" s="22" t="s">
        <v>2681</v>
      </c>
      <c r="F607" s="22" t="n">
        <v>14</v>
      </c>
      <c r="G607" s="26" t="n">
        <v>182.58</v>
      </c>
      <c r="H607" s="26" t="n">
        <v>204.71</v>
      </c>
      <c r="I607" s="26" t="n">
        <v>226.84</v>
      </c>
      <c r="J607" s="26" t="n">
        <v>243.44</v>
      </c>
      <c r="K607" s="26" t="n">
        <v>260.04</v>
      </c>
      <c r="L607" s="26" t="n">
        <v>2.28</v>
      </c>
      <c r="M607" s="27" t="n">
        <v>0.005</v>
      </c>
      <c r="N607" s="27" t="n">
        <v>0.002</v>
      </c>
      <c r="O607" s="26" t="n">
        <v>5</v>
      </c>
      <c r="P607" s="26" t="n">
        <v>5</v>
      </c>
      <c r="Q607" s="28" t="n">
        <v>100</v>
      </c>
      <c r="R607" s="26" t="n">
        <v>30</v>
      </c>
      <c r="S607" s="26" t="n">
        <v>0</v>
      </c>
      <c r="T607" s="28" t="n">
        <v>1</v>
      </c>
      <c r="U607" s="26" t="n">
        <v>0</v>
      </c>
      <c r="V607" s="26" t="n">
        <v>0</v>
      </c>
      <c r="W607" s="22" t="s">
        <v>17</v>
      </c>
      <c r="X607" s="22" t="s">
        <v>373</v>
      </c>
    </row>
    <row r="608" customFormat="false" ht="15" hidden="false" customHeight="false" outlineLevel="0" collapsed="false">
      <c r="A608" s="22" t="s">
        <v>2682</v>
      </c>
      <c r="B608" s="22" t="s">
        <v>17</v>
      </c>
      <c r="C608" s="22" t="s">
        <v>2683</v>
      </c>
      <c r="D608" s="22" t="s">
        <v>2684</v>
      </c>
      <c r="E608" s="22" t="s">
        <v>2685</v>
      </c>
      <c r="F608" s="22" t="n">
        <v>14</v>
      </c>
      <c r="G608" s="26" t="n">
        <v>182.58</v>
      </c>
      <c r="H608" s="26" t="n">
        <v>204.71</v>
      </c>
      <c r="I608" s="26" t="n">
        <v>226.84</v>
      </c>
      <c r="J608" s="26" t="n">
        <v>243.44</v>
      </c>
      <c r="K608" s="26" t="n">
        <v>260.04</v>
      </c>
      <c r="L608" s="26" t="n">
        <v>2.28</v>
      </c>
      <c r="M608" s="27" t="n">
        <v>0.005</v>
      </c>
      <c r="N608" s="27" t="n">
        <v>0.002</v>
      </c>
      <c r="O608" s="26" t="n">
        <v>5</v>
      </c>
      <c r="P608" s="26" t="n">
        <v>5</v>
      </c>
      <c r="Q608" s="28" t="n">
        <v>100</v>
      </c>
      <c r="R608" s="26" t="n">
        <v>30</v>
      </c>
      <c r="S608" s="26" t="n">
        <v>0</v>
      </c>
      <c r="T608" s="28" t="n">
        <v>1</v>
      </c>
      <c r="U608" s="26" t="n">
        <v>0</v>
      </c>
      <c r="V608" s="26" t="n">
        <v>0</v>
      </c>
      <c r="W608" s="22" t="s">
        <v>17</v>
      </c>
      <c r="X608" s="22" t="s">
        <v>373</v>
      </c>
    </row>
    <row r="609" customFormat="false" ht="15" hidden="false" customHeight="false" outlineLevel="0" collapsed="false">
      <c r="A609" s="22" t="s">
        <v>2686</v>
      </c>
      <c r="B609" s="22" t="s">
        <v>17</v>
      </c>
      <c r="C609" s="22" t="s">
        <v>2687</v>
      </c>
      <c r="D609" s="22" t="s">
        <v>2688</v>
      </c>
      <c r="E609" s="22" t="s">
        <v>2689</v>
      </c>
      <c r="F609" s="22" t="n">
        <v>14</v>
      </c>
      <c r="G609" s="26" t="n">
        <v>182.58</v>
      </c>
      <c r="H609" s="26" t="n">
        <v>204.71</v>
      </c>
      <c r="I609" s="26" t="n">
        <v>226.84</v>
      </c>
      <c r="J609" s="26" t="n">
        <v>243.44</v>
      </c>
      <c r="K609" s="26" t="n">
        <v>260.04</v>
      </c>
      <c r="L609" s="26" t="n">
        <v>2.28</v>
      </c>
      <c r="M609" s="27" t="n">
        <v>0.005</v>
      </c>
      <c r="N609" s="27" t="n">
        <v>0.002</v>
      </c>
      <c r="O609" s="26" t="n">
        <v>5</v>
      </c>
      <c r="P609" s="26" t="n">
        <v>5</v>
      </c>
      <c r="Q609" s="28" t="n">
        <v>100</v>
      </c>
      <c r="R609" s="26" t="n">
        <v>30</v>
      </c>
      <c r="S609" s="26" t="n">
        <v>0</v>
      </c>
      <c r="T609" s="28" t="n">
        <v>1</v>
      </c>
      <c r="U609" s="26" t="n">
        <v>0</v>
      </c>
      <c r="V609" s="26" t="n">
        <v>0</v>
      </c>
      <c r="W609" s="22" t="s">
        <v>17</v>
      </c>
      <c r="X609" s="22" t="s">
        <v>373</v>
      </c>
    </row>
    <row r="610" customFormat="false" ht="15" hidden="false" customHeight="false" outlineLevel="0" collapsed="false">
      <c r="A610" s="22" t="s">
        <v>2690</v>
      </c>
      <c r="B610" s="22" t="s">
        <v>17</v>
      </c>
      <c r="C610" s="22" t="s">
        <v>2691</v>
      </c>
      <c r="D610" s="22" t="s">
        <v>2692</v>
      </c>
      <c r="E610" s="22" t="s">
        <v>2693</v>
      </c>
      <c r="F610" s="22" t="n">
        <v>14</v>
      </c>
      <c r="G610" s="26" t="n">
        <v>182.58</v>
      </c>
      <c r="H610" s="26" t="n">
        <v>204.71</v>
      </c>
      <c r="I610" s="26" t="n">
        <v>226.84</v>
      </c>
      <c r="J610" s="26" t="n">
        <v>243.44</v>
      </c>
      <c r="K610" s="26" t="n">
        <v>260.04</v>
      </c>
      <c r="L610" s="26" t="n">
        <v>2.28</v>
      </c>
      <c r="M610" s="27" t="n">
        <v>0.005</v>
      </c>
      <c r="N610" s="27" t="n">
        <v>0.002</v>
      </c>
      <c r="O610" s="26" t="n">
        <v>5</v>
      </c>
      <c r="P610" s="26" t="n">
        <v>5</v>
      </c>
      <c r="Q610" s="28" t="n">
        <v>100</v>
      </c>
      <c r="R610" s="26" t="n">
        <v>30</v>
      </c>
      <c r="S610" s="26" t="n">
        <v>0</v>
      </c>
      <c r="T610" s="28" t="n">
        <v>1</v>
      </c>
      <c r="U610" s="26" t="n">
        <v>0</v>
      </c>
      <c r="V610" s="26" t="n">
        <v>0</v>
      </c>
      <c r="W610" s="22" t="s">
        <v>17</v>
      </c>
      <c r="X610" s="22" t="s">
        <v>373</v>
      </c>
    </row>
    <row r="611" customFormat="false" ht="15" hidden="false" customHeight="false" outlineLevel="0" collapsed="false">
      <c r="A611" s="22" t="s">
        <v>2694</v>
      </c>
      <c r="B611" s="22" t="s">
        <v>17</v>
      </c>
      <c r="C611" s="22" t="s">
        <v>2695</v>
      </c>
      <c r="D611" s="22" t="s">
        <v>2696</v>
      </c>
      <c r="E611" s="22" t="s">
        <v>2697</v>
      </c>
      <c r="F611" s="22" t="n">
        <v>14</v>
      </c>
      <c r="G611" s="26" t="n">
        <v>182.58</v>
      </c>
      <c r="H611" s="26" t="n">
        <v>204.71</v>
      </c>
      <c r="I611" s="26" t="n">
        <v>226.84</v>
      </c>
      <c r="J611" s="26" t="n">
        <v>243.44</v>
      </c>
      <c r="K611" s="26" t="n">
        <v>260.04</v>
      </c>
      <c r="L611" s="26" t="n">
        <v>2.28</v>
      </c>
      <c r="M611" s="27" t="n">
        <v>0.005</v>
      </c>
      <c r="N611" s="27" t="n">
        <v>0.002</v>
      </c>
      <c r="O611" s="26" t="n">
        <v>5</v>
      </c>
      <c r="P611" s="26" t="n">
        <v>5</v>
      </c>
      <c r="Q611" s="28" t="n">
        <v>100</v>
      </c>
      <c r="R611" s="26" t="n">
        <v>30</v>
      </c>
      <c r="S611" s="26" t="n">
        <v>0</v>
      </c>
      <c r="T611" s="28" t="n">
        <v>1</v>
      </c>
      <c r="U611" s="26" t="n">
        <v>0</v>
      </c>
      <c r="V611" s="26" t="n">
        <v>0</v>
      </c>
      <c r="W611" s="22" t="s">
        <v>17</v>
      </c>
      <c r="X611" s="22" t="s">
        <v>373</v>
      </c>
    </row>
    <row r="612" customFormat="false" ht="15" hidden="false" customHeight="false" outlineLevel="0" collapsed="false">
      <c r="A612" s="22" t="s">
        <v>2698</v>
      </c>
      <c r="B612" s="22" t="s">
        <v>17</v>
      </c>
      <c r="C612" s="22" t="s">
        <v>2699</v>
      </c>
      <c r="D612" s="22" t="s">
        <v>2700</v>
      </c>
      <c r="E612" s="22" t="s">
        <v>2701</v>
      </c>
      <c r="F612" s="22" t="n">
        <v>14</v>
      </c>
      <c r="G612" s="26" t="n">
        <v>182.58</v>
      </c>
      <c r="H612" s="26" t="n">
        <v>204.71</v>
      </c>
      <c r="I612" s="26" t="n">
        <v>226.84</v>
      </c>
      <c r="J612" s="26" t="n">
        <v>243.44</v>
      </c>
      <c r="K612" s="26" t="n">
        <v>260.04</v>
      </c>
      <c r="L612" s="26" t="n">
        <v>2.28</v>
      </c>
      <c r="M612" s="27" t="n">
        <v>0.005</v>
      </c>
      <c r="N612" s="27" t="n">
        <v>0.002</v>
      </c>
      <c r="O612" s="26" t="n">
        <v>5</v>
      </c>
      <c r="P612" s="26" t="n">
        <v>5</v>
      </c>
      <c r="Q612" s="28" t="n">
        <v>100</v>
      </c>
      <c r="R612" s="26" t="n">
        <v>30</v>
      </c>
      <c r="S612" s="26" t="n">
        <v>0</v>
      </c>
      <c r="T612" s="28" t="n">
        <v>1</v>
      </c>
      <c r="U612" s="26" t="n">
        <v>0</v>
      </c>
      <c r="V612" s="26" t="n">
        <v>0</v>
      </c>
      <c r="W612" s="22" t="s">
        <v>17</v>
      </c>
      <c r="X612" s="22" t="s">
        <v>373</v>
      </c>
    </row>
    <row r="613" customFormat="false" ht="15" hidden="false" customHeight="false" outlineLevel="0" collapsed="false">
      <c r="A613" s="22" t="s">
        <v>2702</v>
      </c>
      <c r="B613" s="22" t="s">
        <v>17</v>
      </c>
      <c r="C613" s="22" t="s">
        <v>2703</v>
      </c>
      <c r="D613" s="22" t="s">
        <v>2704</v>
      </c>
      <c r="E613" s="22" t="s">
        <v>2705</v>
      </c>
      <c r="F613" s="22" t="n">
        <v>14</v>
      </c>
      <c r="G613" s="26" t="n">
        <v>182.58</v>
      </c>
      <c r="H613" s="26" t="n">
        <v>204.71</v>
      </c>
      <c r="I613" s="26" t="n">
        <v>226.84</v>
      </c>
      <c r="J613" s="26" t="n">
        <v>243.44</v>
      </c>
      <c r="K613" s="26" t="n">
        <v>260.04</v>
      </c>
      <c r="L613" s="26" t="n">
        <v>2.28</v>
      </c>
      <c r="M613" s="27" t="n">
        <v>0.005</v>
      </c>
      <c r="N613" s="27" t="n">
        <v>0.002</v>
      </c>
      <c r="O613" s="26" t="n">
        <v>5</v>
      </c>
      <c r="P613" s="26" t="n">
        <v>5</v>
      </c>
      <c r="Q613" s="28" t="n">
        <v>100</v>
      </c>
      <c r="R613" s="26" t="n">
        <v>30</v>
      </c>
      <c r="S613" s="26" t="n">
        <v>0</v>
      </c>
      <c r="T613" s="28" t="n">
        <v>1</v>
      </c>
      <c r="U613" s="26" t="n">
        <v>0</v>
      </c>
      <c r="V613" s="26" t="n">
        <v>0</v>
      </c>
      <c r="W613" s="22" t="s">
        <v>17</v>
      </c>
      <c r="X613" s="22" t="s">
        <v>373</v>
      </c>
    </row>
    <row r="614" customFormat="false" ht="15" hidden="false" customHeight="false" outlineLevel="0" collapsed="false">
      <c r="A614" s="22" t="s">
        <v>2706</v>
      </c>
      <c r="B614" s="22" t="s">
        <v>17</v>
      </c>
      <c r="C614" s="22" t="s">
        <v>2707</v>
      </c>
      <c r="D614" s="22" t="s">
        <v>2708</v>
      </c>
      <c r="E614" s="22" t="s">
        <v>2709</v>
      </c>
      <c r="F614" s="22" t="n">
        <v>14</v>
      </c>
      <c r="G614" s="26" t="n">
        <v>182.58</v>
      </c>
      <c r="H614" s="26" t="n">
        <v>204.71</v>
      </c>
      <c r="I614" s="26" t="n">
        <v>226.84</v>
      </c>
      <c r="J614" s="26" t="n">
        <v>243.44</v>
      </c>
      <c r="K614" s="26" t="n">
        <v>260.04</v>
      </c>
      <c r="L614" s="26" t="n">
        <v>2.28</v>
      </c>
      <c r="M614" s="27" t="n">
        <v>0.005</v>
      </c>
      <c r="N614" s="27" t="n">
        <v>0.002</v>
      </c>
      <c r="O614" s="26" t="n">
        <v>5</v>
      </c>
      <c r="P614" s="26" t="n">
        <v>5</v>
      </c>
      <c r="Q614" s="28" t="n">
        <v>100</v>
      </c>
      <c r="R614" s="26" t="n">
        <v>30</v>
      </c>
      <c r="S614" s="26" t="n">
        <v>0</v>
      </c>
      <c r="T614" s="28" t="n">
        <v>1</v>
      </c>
      <c r="U614" s="26" t="n">
        <v>0</v>
      </c>
      <c r="V614" s="26" t="n">
        <v>0</v>
      </c>
      <c r="W614" s="22" t="s">
        <v>17</v>
      </c>
      <c r="X614" s="22" t="s">
        <v>373</v>
      </c>
    </row>
    <row r="615" customFormat="false" ht="15" hidden="false" customHeight="false" outlineLevel="0" collapsed="false">
      <c r="A615" s="22" t="s">
        <v>2710</v>
      </c>
      <c r="B615" s="22" t="s">
        <v>17</v>
      </c>
      <c r="C615" s="22" t="s">
        <v>2711</v>
      </c>
      <c r="D615" s="22" t="s">
        <v>2712</v>
      </c>
      <c r="E615" s="22" t="s">
        <v>2713</v>
      </c>
      <c r="F615" s="22" t="n">
        <v>14</v>
      </c>
      <c r="G615" s="26" t="n">
        <v>182.58</v>
      </c>
      <c r="H615" s="26" t="n">
        <v>204.71</v>
      </c>
      <c r="I615" s="26" t="n">
        <v>226.84</v>
      </c>
      <c r="J615" s="26" t="n">
        <v>243.44</v>
      </c>
      <c r="K615" s="26" t="n">
        <v>260.04</v>
      </c>
      <c r="L615" s="26" t="n">
        <v>2.28</v>
      </c>
      <c r="M615" s="27" t="n">
        <v>0.005</v>
      </c>
      <c r="N615" s="27" t="n">
        <v>0.002</v>
      </c>
      <c r="O615" s="26" t="n">
        <v>5</v>
      </c>
      <c r="P615" s="26" t="n">
        <v>5</v>
      </c>
      <c r="Q615" s="28" t="n">
        <v>100</v>
      </c>
      <c r="R615" s="26" t="n">
        <v>30</v>
      </c>
      <c r="S615" s="26" t="n">
        <v>0</v>
      </c>
      <c r="T615" s="28" t="n">
        <v>1</v>
      </c>
      <c r="U615" s="26" t="n">
        <v>0</v>
      </c>
      <c r="V615" s="26" t="n">
        <v>0</v>
      </c>
      <c r="W615" s="22" t="s">
        <v>17</v>
      </c>
      <c r="X615" s="22" t="s">
        <v>373</v>
      </c>
    </row>
    <row r="616" customFormat="false" ht="15" hidden="false" customHeight="false" outlineLevel="0" collapsed="false">
      <c r="A616" s="22" t="s">
        <v>2714</v>
      </c>
      <c r="B616" s="22" t="s">
        <v>17</v>
      </c>
      <c r="C616" s="22" t="s">
        <v>2715</v>
      </c>
      <c r="D616" s="22" t="s">
        <v>2716</v>
      </c>
      <c r="E616" s="22" t="s">
        <v>2717</v>
      </c>
      <c r="F616" s="22" t="n">
        <v>14</v>
      </c>
      <c r="G616" s="26" t="n">
        <v>182.58</v>
      </c>
      <c r="H616" s="26" t="n">
        <v>204.71</v>
      </c>
      <c r="I616" s="26" t="n">
        <v>226.84</v>
      </c>
      <c r="J616" s="26" t="n">
        <v>243.44</v>
      </c>
      <c r="K616" s="26" t="n">
        <v>260.04</v>
      </c>
      <c r="L616" s="26" t="n">
        <v>2.28</v>
      </c>
      <c r="M616" s="27" t="n">
        <v>0.005</v>
      </c>
      <c r="N616" s="27" t="n">
        <v>0.002</v>
      </c>
      <c r="O616" s="26" t="n">
        <v>5</v>
      </c>
      <c r="P616" s="26" t="n">
        <v>5</v>
      </c>
      <c r="Q616" s="28" t="n">
        <v>100</v>
      </c>
      <c r="R616" s="26" t="n">
        <v>30</v>
      </c>
      <c r="S616" s="26" t="n">
        <v>0</v>
      </c>
      <c r="T616" s="28" t="n">
        <v>1</v>
      </c>
      <c r="U616" s="26" t="n">
        <v>0</v>
      </c>
      <c r="V616" s="26" t="n">
        <v>0</v>
      </c>
      <c r="W616" s="22" t="s">
        <v>17</v>
      </c>
      <c r="X616" s="22" t="s">
        <v>373</v>
      </c>
    </row>
    <row r="617" customFormat="false" ht="15" hidden="false" customHeight="false" outlineLevel="0" collapsed="false">
      <c r="A617" s="22" t="s">
        <v>2718</v>
      </c>
      <c r="B617" s="22" t="s">
        <v>17</v>
      </c>
      <c r="C617" s="22" t="s">
        <v>2719</v>
      </c>
      <c r="D617" s="22" t="s">
        <v>2720</v>
      </c>
      <c r="E617" s="22" t="s">
        <v>2721</v>
      </c>
      <c r="F617" s="22" t="n">
        <v>14</v>
      </c>
      <c r="G617" s="26" t="n">
        <v>182.58</v>
      </c>
      <c r="H617" s="26" t="n">
        <v>204.71</v>
      </c>
      <c r="I617" s="26" t="n">
        <v>226.84</v>
      </c>
      <c r="J617" s="26" t="n">
        <v>243.44</v>
      </c>
      <c r="K617" s="26" t="n">
        <v>260.04</v>
      </c>
      <c r="L617" s="26" t="n">
        <v>2.28</v>
      </c>
      <c r="M617" s="27" t="n">
        <v>0.005</v>
      </c>
      <c r="N617" s="27" t="n">
        <v>0.002</v>
      </c>
      <c r="O617" s="26" t="n">
        <v>5</v>
      </c>
      <c r="P617" s="26" t="n">
        <v>5</v>
      </c>
      <c r="Q617" s="28" t="n">
        <v>100</v>
      </c>
      <c r="R617" s="26" t="n">
        <v>30</v>
      </c>
      <c r="S617" s="26" t="n">
        <v>0</v>
      </c>
      <c r="T617" s="28" t="n">
        <v>1</v>
      </c>
      <c r="U617" s="26" t="n">
        <v>0</v>
      </c>
      <c r="V617" s="26" t="n">
        <v>250</v>
      </c>
      <c r="W617" s="22" t="s">
        <v>17</v>
      </c>
      <c r="X617" s="22" t="s">
        <v>373</v>
      </c>
    </row>
    <row r="618" customFormat="false" ht="15" hidden="false" customHeight="false" outlineLevel="0" collapsed="false">
      <c r="A618" s="22" t="s">
        <v>2722</v>
      </c>
      <c r="B618" s="22" t="s">
        <v>17</v>
      </c>
      <c r="C618" s="22" t="s">
        <v>2723</v>
      </c>
      <c r="D618" s="22" t="s">
        <v>2724</v>
      </c>
      <c r="E618" s="22" t="s">
        <v>2725</v>
      </c>
      <c r="F618" s="22" t="n">
        <v>14</v>
      </c>
      <c r="G618" s="26" t="n">
        <v>182.58</v>
      </c>
      <c r="H618" s="26" t="n">
        <v>204.71</v>
      </c>
      <c r="I618" s="26" t="n">
        <v>226.84</v>
      </c>
      <c r="J618" s="26" t="n">
        <v>243.44</v>
      </c>
      <c r="K618" s="26" t="n">
        <v>260.04</v>
      </c>
      <c r="L618" s="26" t="n">
        <v>2.28</v>
      </c>
      <c r="M618" s="27" t="n">
        <v>0.005</v>
      </c>
      <c r="N618" s="27" t="n">
        <v>0.002</v>
      </c>
      <c r="O618" s="26" t="n">
        <v>5</v>
      </c>
      <c r="P618" s="26" t="n">
        <v>5</v>
      </c>
      <c r="Q618" s="28" t="n">
        <v>100</v>
      </c>
      <c r="R618" s="26" t="n">
        <v>30</v>
      </c>
      <c r="S618" s="26" t="n">
        <v>0</v>
      </c>
      <c r="T618" s="28" t="n">
        <v>1</v>
      </c>
      <c r="U618" s="26" t="n">
        <v>0</v>
      </c>
      <c r="V618" s="26" t="n">
        <v>0</v>
      </c>
      <c r="W618" s="22" t="s">
        <v>17</v>
      </c>
      <c r="X618" s="22" t="s">
        <v>373</v>
      </c>
    </row>
    <row r="619" customFormat="false" ht="15" hidden="false" customHeight="false" outlineLevel="0" collapsed="false">
      <c r="A619" s="22" t="s">
        <v>2726</v>
      </c>
      <c r="B619" s="22" t="s">
        <v>17</v>
      </c>
      <c r="C619" s="22" t="s">
        <v>2727</v>
      </c>
      <c r="D619" s="22" t="s">
        <v>2728</v>
      </c>
      <c r="E619" s="22" t="s">
        <v>2729</v>
      </c>
      <c r="F619" s="22" t="n">
        <v>14</v>
      </c>
      <c r="G619" s="26" t="n">
        <v>182.58</v>
      </c>
      <c r="H619" s="26" t="n">
        <v>204.71</v>
      </c>
      <c r="I619" s="26" t="n">
        <v>226.84</v>
      </c>
      <c r="J619" s="26" t="n">
        <v>243.44</v>
      </c>
      <c r="K619" s="26" t="n">
        <v>260.04</v>
      </c>
      <c r="L619" s="26" t="n">
        <v>2.28</v>
      </c>
      <c r="M619" s="27" t="n">
        <v>0.005</v>
      </c>
      <c r="N619" s="27" t="n">
        <v>0.002</v>
      </c>
      <c r="O619" s="26" t="n">
        <v>5</v>
      </c>
      <c r="P619" s="26" t="n">
        <v>5</v>
      </c>
      <c r="Q619" s="28" t="n">
        <v>100</v>
      </c>
      <c r="R619" s="26" t="n">
        <v>30</v>
      </c>
      <c r="S619" s="26" t="n">
        <v>0</v>
      </c>
      <c r="T619" s="28" t="n">
        <v>1</v>
      </c>
      <c r="U619" s="26" t="n">
        <v>0</v>
      </c>
      <c r="V619" s="26" t="n">
        <v>0</v>
      </c>
      <c r="W619" s="22" t="s">
        <v>17</v>
      </c>
      <c r="X619" s="22" t="s">
        <v>373</v>
      </c>
    </row>
    <row r="620" customFormat="false" ht="15" hidden="false" customHeight="false" outlineLevel="0" collapsed="false">
      <c r="A620" s="22" t="s">
        <v>2730</v>
      </c>
      <c r="B620" s="22" t="s">
        <v>17</v>
      </c>
      <c r="C620" s="22" t="s">
        <v>2731</v>
      </c>
      <c r="D620" s="22" t="s">
        <v>2732</v>
      </c>
      <c r="E620" s="22" t="s">
        <v>2733</v>
      </c>
      <c r="F620" s="22" t="n">
        <v>14</v>
      </c>
      <c r="G620" s="26" t="n">
        <v>182.58</v>
      </c>
      <c r="H620" s="26" t="n">
        <v>204.71</v>
      </c>
      <c r="I620" s="26" t="n">
        <v>226.84</v>
      </c>
      <c r="J620" s="26" t="n">
        <v>243.44</v>
      </c>
      <c r="K620" s="26" t="n">
        <v>260.04</v>
      </c>
      <c r="L620" s="26" t="n">
        <v>2.28</v>
      </c>
      <c r="M620" s="27" t="n">
        <v>0.005</v>
      </c>
      <c r="N620" s="27" t="n">
        <v>0.002</v>
      </c>
      <c r="O620" s="26" t="n">
        <v>5</v>
      </c>
      <c r="P620" s="26" t="n">
        <v>5</v>
      </c>
      <c r="Q620" s="28" t="n">
        <v>100</v>
      </c>
      <c r="R620" s="26" t="n">
        <v>30</v>
      </c>
      <c r="S620" s="26" t="n">
        <v>0</v>
      </c>
      <c r="T620" s="28" t="n">
        <v>1</v>
      </c>
      <c r="U620" s="26" t="n">
        <v>0</v>
      </c>
      <c r="V620" s="26" t="n">
        <v>0</v>
      </c>
      <c r="W620" s="22" t="s">
        <v>17</v>
      </c>
      <c r="X620" s="22" t="s">
        <v>373</v>
      </c>
    </row>
    <row r="621" customFormat="false" ht="15" hidden="false" customHeight="false" outlineLevel="0" collapsed="false">
      <c r="A621" s="22" t="s">
        <v>2734</v>
      </c>
      <c r="B621" s="22" t="s">
        <v>17</v>
      </c>
      <c r="C621" s="22" t="s">
        <v>2735</v>
      </c>
      <c r="D621" s="22" t="s">
        <v>2736</v>
      </c>
      <c r="E621" s="22" t="s">
        <v>2737</v>
      </c>
      <c r="F621" s="22" t="n">
        <v>14</v>
      </c>
      <c r="G621" s="26" t="n">
        <v>182.58</v>
      </c>
      <c r="H621" s="26" t="n">
        <v>204.71</v>
      </c>
      <c r="I621" s="26" t="n">
        <v>226.84</v>
      </c>
      <c r="J621" s="26" t="n">
        <v>243.44</v>
      </c>
      <c r="K621" s="26" t="n">
        <v>260.04</v>
      </c>
      <c r="L621" s="26" t="n">
        <v>2.28</v>
      </c>
      <c r="M621" s="27" t="n">
        <v>0.005</v>
      </c>
      <c r="N621" s="27" t="n">
        <v>0.002</v>
      </c>
      <c r="O621" s="26" t="n">
        <v>5</v>
      </c>
      <c r="P621" s="26" t="n">
        <v>5</v>
      </c>
      <c r="Q621" s="28" t="n">
        <v>100</v>
      </c>
      <c r="R621" s="26" t="n">
        <v>30</v>
      </c>
      <c r="S621" s="26" t="n">
        <v>0</v>
      </c>
      <c r="T621" s="28" t="n">
        <v>1</v>
      </c>
      <c r="U621" s="26" t="n">
        <v>0</v>
      </c>
      <c r="V621" s="26" t="n">
        <v>0</v>
      </c>
      <c r="W621" s="22" t="s">
        <v>17</v>
      </c>
      <c r="X621" s="22" t="s">
        <v>373</v>
      </c>
    </row>
    <row r="622" customFormat="false" ht="15" hidden="false" customHeight="false" outlineLevel="0" collapsed="false">
      <c r="A622" s="22" t="s">
        <v>2738</v>
      </c>
      <c r="B622" s="22" t="s">
        <v>17</v>
      </c>
      <c r="C622" s="22" t="s">
        <v>2739</v>
      </c>
      <c r="D622" s="22" t="s">
        <v>2740</v>
      </c>
      <c r="E622" s="22" t="s">
        <v>2741</v>
      </c>
      <c r="F622" s="22" t="n">
        <v>14</v>
      </c>
      <c r="G622" s="26" t="n">
        <v>182.58</v>
      </c>
      <c r="H622" s="26" t="n">
        <v>204.71</v>
      </c>
      <c r="I622" s="26" t="n">
        <v>226.84</v>
      </c>
      <c r="J622" s="26" t="n">
        <v>243.44</v>
      </c>
      <c r="K622" s="26" t="n">
        <v>260.04</v>
      </c>
      <c r="L622" s="26" t="n">
        <v>2.28</v>
      </c>
      <c r="M622" s="27" t="n">
        <v>0.005</v>
      </c>
      <c r="N622" s="27" t="n">
        <v>0.002</v>
      </c>
      <c r="O622" s="26" t="n">
        <v>5</v>
      </c>
      <c r="P622" s="26" t="n">
        <v>5</v>
      </c>
      <c r="Q622" s="28" t="n">
        <v>100</v>
      </c>
      <c r="R622" s="26" t="n">
        <v>30</v>
      </c>
      <c r="S622" s="26" t="n">
        <v>0</v>
      </c>
      <c r="T622" s="28" t="n">
        <v>1</v>
      </c>
      <c r="U622" s="26" t="n">
        <v>0</v>
      </c>
      <c r="V622" s="26" t="n">
        <v>250</v>
      </c>
      <c r="W622" s="22" t="s">
        <v>17</v>
      </c>
      <c r="X622" s="22" t="s">
        <v>373</v>
      </c>
    </row>
    <row r="623" customFormat="false" ht="15" hidden="false" customHeight="false" outlineLevel="0" collapsed="false">
      <c r="A623" s="22" t="s">
        <v>2742</v>
      </c>
      <c r="B623" s="22" t="s">
        <v>17</v>
      </c>
      <c r="C623" s="22" t="s">
        <v>2743</v>
      </c>
      <c r="D623" s="22" t="s">
        <v>2744</v>
      </c>
      <c r="E623" s="22" t="s">
        <v>2745</v>
      </c>
      <c r="F623" s="22" t="n">
        <v>14</v>
      </c>
      <c r="G623" s="26" t="n">
        <v>182.58</v>
      </c>
      <c r="H623" s="26" t="n">
        <v>204.71</v>
      </c>
      <c r="I623" s="26" t="n">
        <v>226.84</v>
      </c>
      <c r="J623" s="26" t="n">
        <v>243.44</v>
      </c>
      <c r="K623" s="26" t="n">
        <v>260.04</v>
      </c>
      <c r="L623" s="26" t="n">
        <v>2.28</v>
      </c>
      <c r="M623" s="27" t="n">
        <v>0.005</v>
      </c>
      <c r="N623" s="27" t="n">
        <v>0.002</v>
      </c>
      <c r="O623" s="26" t="n">
        <v>5</v>
      </c>
      <c r="P623" s="26" t="n">
        <v>5</v>
      </c>
      <c r="Q623" s="28" t="n">
        <v>100</v>
      </c>
      <c r="R623" s="26" t="n">
        <v>30</v>
      </c>
      <c r="S623" s="26" t="n">
        <v>0</v>
      </c>
      <c r="T623" s="28" t="n">
        <v>1</v>
      </c>
      <c r="U623" s="26" t="n">
        <v>0</v>
      </c>
      <c r="V623" s="26" t="n">
        <v>0</v>
      </c>
      <c r="W623" s="22" t="s">
        <v>17</v>
      </c>
      <c r="X623" s="22" t="s">
        <v>373</v>
      </c>
    </row>
    <row r="624" customFormat="false" ht="15" hidden="false" customHeight="false" outlineLevel="0" collapsed="false">
      <c r="A624" s="22" t="s">
        <v>2746</v>
      </c>
      <c r="B624" s="22" t="s">
        <v>17</v>
      </c>
      <c r="C624" s="22" t="s">
        <v>2747</v>
      </c>
      <c r="D624" s="22" t="s">
        <v>2748</v>
      </c>
      <c r="E624" s="22" t="s">
        <v>2749</v>
      </c>
      <c r="F624" s="22" t="n">
        <v>14</v>
      </c>
      <c r="G624" s="26" t="n">
        <v>182.58</v>
      </c>
      <c r="H624" s="26" t="n">
        <v>204.71</v>
      </c>
      <c r="I624" s="26" t="n">
        <v>226.84</v>
      </c>
      <c r="J624" s="26" t="n">
        <v>243.44</v>
      </c>
      <c r="K624" s="26" t="n">
        <v>260.04</v>
      </c>
      <c r="L624" s="26" t="n">
        <v>2.28</v>
      </c>
      <c r="M624" s="27" t="n">
        <v>0.005</v>
      </c>
      <c r="N624" s="27" t="n">
        <v>0.002</v>
      </c>
      <c r="O624" s="26" t="n">
        <v>5</v>
      </c>
      <c r="P624" s="26" t="n">
        <v>5</v>
      </c>
      <c r="Q624" s="28" t="n">
        <v>100</v>
      </c>
      <c r="R624" s="26" t="n">
        <v>30</v>
      </c>
      <c r="S624" s="26" t="n">
        <v>0</v>
      </c>
      <c r="T624" s="28" t="n">
        <v>1</v>
      </c>
      <c r="U624" s="26" t="n">
        <v>0</v>
      </c>
      <c r="V624" s="26" t="n">
        <v>0</v>
      </c>
      <c r="W624" s="22" t="s">
        <v>17</v>
      </c>
      <c r="X624" s="22" t="s">
        <v>373</v>
      </c>
    </row>
    <row r="625" customFormat="false" ht="15" hidden="false" customHeight="false" outlineLevel="0" collapsed="false">
      <c r="A625" s="22" t="s">
        <v>2750</v>
      </c>
      <c r="B625" s="22" t="s">
        <v>17</v>
      </c>
      <c r="C625" s="22" t="s">
        <v>2751</v>
      </c>
      <c r="D625" s="22" t="s">
        <v>2752</v>
      </c>
      <c r="E625" s="22" t="s">
        <v>2753</v>
      </c>
      <c r="F625" s="22" t="n">
        <v>14</v>
      </c>
      <c r="G625" s="26" t="n">
        <v>182.58</v>
      </c>
      <c r="H625" s="26" t="n">
        <v>204.71</v>
      </c>
      <c r="I625" s="26" t="n">
        <v>226.84</v>
      </c>
      <c r="J625" s="26" t="n">
        <v>243.44</v>
      </c>
      <c r="K625" s="26" t="n">
        <v>260.04</v>
      </c>
      <c r="L625" s="26" t="n">
        <v>2.28</v>
      </c>
      <c r="M625" s="27" t="n">
        <v>0.005</v>
      </c>
      <c r="N625" s="27" t="n">
        <v>0.002</v>
      </c>
      <c r="O625" s="26" t="n">
        <v>5</v>
      </c>
      <c r="P625" s="26" t="n">
        <v>5</v>
      </c>
      <c r="Q625" s="28" t="n">
        <v>100</v>
      </c>
      <c r="R625" s="26" t="n">
        <v>30</v>
      </c>
      <c r="S625" s="26" t="n">
        <v>0</v>
      </c>
      <c r="T625" s="28" t="n">
        <v>1</v>
      </c>
      <c r="U625" s="26" t="n">
        <v>0</v>
      </c>
      <c r="V625" s="26" t="n">
        <v>250</v>
      </c>
      <c r="W625" s="22" t="s">
        <v>17</v>
      </c>
      <c r="X625" s="22" t="s">
        <v>373</v>
      </c>
    </row>
    <row r="626" customFormat="false" ht="15" hidden="false" customHeight="false" outlineLevel="0" collapsed="false">
      <c r="A626" s="22" t="s">
        <v>2754</v>
      </c>
      <c r="B626" s="22" t="s">
        <v>17</v>
      </c>
      <c r="C626" s="22" t="s">
        <v>2755</v>
      </c>
      <c r="D626" s="22" t="s">
        <v>2756</v>
      </c>
      <c r="E626" s="22" t="s">
        <v>2757</v>
      </c>
      <c r="F626" s="22" t="n">
        <v>14</v>
      </c>
      <c r="G626" s="26" t="n">
        <v>182.58</v>
      </c>
      <c r="H626" s="26" t="n">
        <v>204.71</v>
      </c>
      <c r="I626" s="26" t="n">
        <v>226.84</v>
      </c>
      <c r="J626" s="26" t="n">
        <v>243.44</v>
      </c>
      <c r="K626" s="26" t="n">
        <v>260.04</v>
      </c>
      <c r="L626" s="26" t="n">
        <v>2.28</v>
      </c>
      <c r="M626" s="27" t="n">
        <v>0.005</v>
      </c>
      <c r="N626" s="27" t="n">
        <v>0.002</v>
      </c>
      <c r="O626" s="26" t="n">
        <v>5</v>
      </c>
      <c r="P626" s="26" t="n">
        <v>5</v>
      </c>
      <c r="Q626" s="28" t="n">
        <v>100</v>
      </c>
      <c r="R626" s="26" t="n">
        <v>30</v>
      </c>
      <c r="S626" s="26" t="n">
        <v>0</v>
      </c>
      <c r="T626" s="28" t="n">
        <v>1</v>
      </c>
      <c r="U626" s="26" t="n">
        <v>0</v>
      </c>
      <c r="V626" s="26" t="n">
        <v>0</v>
      </c>
      <c r="W626" s="22" t="s">
        <v>17</v>
      </c>
      <c r="X626" s="22" t="s">
        <v>373</v>
      </c>
    </row>
    <row r="627" customFormat="false" ht="15" hidden="false" customHeight="false" outlineLevel="0" collapsed="false">
      <c r="A627" s="22" t="s">
        <v>2758</v>
      </c>
      <c r="B627" s="22" t="s">
        <v>17</v>
      </c>
      <c r="C627" s="22" t="s">
        <v>2759</v>
      </c>
      <c r="D627" s="22" t="s">
        <v>2760</v>
      </c>
      <c r="E627" s="22" t="s">
        <v>2761</v>
      </c>
      <c r="F627" s="22" t="n">
        <v>14</v>
      </c>
      <c r="G627" s="26" t="n">
        <v>182.58</v>
      </c>
      <c r="H627" s="26" t="n">
        <v>204.71</v>
      </c>
      <c r="I627" s="26" t="n">
        <v>226.84</v>
      </c>
      <c r="J627" s="26" t="n">
        <v>243.44</v>
      </c>
      <c r="K627" s="26" t="n">
        <v>260.04</v>
      </c>
      <c r="L627" s="26" t="n">
        <v>2.28</v>
      </c>
      <c r="M627" s="27" t="n">
        <v>0.005</v>
      </c>
      <c r="N627" s="27" t="n">
        <v>0.002</v>
      </c>
      <c r="O627" s="26" t="n">
        <v>5</v>
      </c>
      <c r="P627" s="26" t="n">
        <v>5</v>
      </c>
      <c r="Q627" s="28" t="n">
        <v>100</v>
      </c>
      <c r="R627" s="26" t="n">
        <v>30</v>
      </c>
      <c r="S627" s="26" t="n">
        <v>0</v>
      </c>
      <c r="T627" s="28" t="n">
        <v>1</v>
      </c>
      <c r="U627" s="26" t="n">
        <v>0</v>
      </c>
      <c r="V627" s="26" t="n">
        <v>0</v>
      </c>
      <c r="W627" s="22" t="s">
        <v>17</v>
      </c>
      <c r="X627" s="22" t="s">
        <v>373</v>
      </c>
    </row>
    <row r="628" customFormat="false" ht="15" hidden="false" customHeight="false" outlineLevel="0" collapsed="false">
      <c r="A628" s="22" t="s">
        <v>2762</v>
      </c>
      <c r="B628" s="22" t="s">
        <v>17</v>
      </c>
      <c r="C628" s="22" t="s">
        <v>2763</v>
      </c>
      <c r="D628" s="22" t="s">
        <v>2764</v>
      </c>
      <c r="E628" s="22" t="s">
        <v>2765</v>
      </c>
      <c r="F628" s="22" t="n">
        <v>14</v>
      </c>
      <c r="G628" s="26" t="n">
        <v>182.58</v>
      </c>
      <c r="H628" s="26" t="n">
        <v>204.71</v>
      </c>
      <c r="I628" s="26" t="n">
        <v>226.84</v>
      </c>
      <c r="J628" s="26" t="n">
        <v>243.44</v>
      </c>
      <c r="K628" s="26" t="n">
        <v>260.04</v>
      </c>
      <c r="L628" s="26" t="n">
        <v>2.28</v>
      </c>
      <c r="M628" s="27" t="n">
        <v>0.005</v>
      </c>
      <c r="N628" s="27" t="n">
        <v>0.002</v>
      </c>
      <c r="O628" s="26" t="n">
        <v>5</v>
      </c>
      <c r="P628" s="26" t="n">
        <v>5</v>
      </c>
      <c r="Q628" s="28" t="n">
        <v>100</v>
      </c>
      <c r="R628" s="26" t="n">
        <v>30</v>
      </c>
      <c r="S628" s="26" t="n">
        <v>0</v>
      </c>
      <c r="T628" s="28" t="n">
        <v>1</v>
      </c>
      <c r="U628" s="26" t="n">
        <v>0</v>
      </c>
      <c r="V628" s="26" t="n">
        <v>0</v>
      </c>
      <c r="W628" s="22" t="s">
        <v>17</v>
      </c>
      <c r="X628" s="22" t="s">
        <v>373</v>
      </c>
    </row>
    <row r="629" customFormat="false" ht="15" hidden="false" customHeight="false" outlineLevel="0" collapsed="false">
      <c r="A629" s="22" t="s">
        <v>2766</v>
      </c>
      <c r="B629" s="22" t="s">
        <v>17</v>
      </c>
      <c r="C629" s="22" t="s">
        <v>2767</v>
      </c>
      <c r="D629" s="22" t="s">
        <v>2768</v>
      </c>
      <c r="E629" s="22" t="s">
        <v>2769</v>
      </c>
      <c r="F629" s="22" t="n">
        <v>12</v>
      </c>
      <c r="G629" s="26" t="n">
        <v>182.58</v>
      </c>
      <c r="H629" s="26" t="n">
        <v>204.71</v>
      </c>
      <c r="I629" s="26" t="n">
        <v>226.84</v>
      </c>
      <c r="J629" s="26" t="n">
        <v>243.44</v>
      </c>
      <c r="K629" s="26" t="n">
        <v>260.04</v>
      </c>
      <c r="L629" s="26" t="n">
        <v>2.28</v>
      </c>
      <c r="M629" s="27" t="n">
        <v>0.005</v>
      </c>
      <c r="N629" s="27" t="n">
        <v>0.002</v>
      </c>
      <c r="O629" s="26" t="n">
        <v>5</v>
      </c>
      <c r="P629" s="26" t="n">
        <v>5</v>
      </c>
      <c r="Q629" s="28" t="n">
        <v>100</v>
      </c>
      <c r="R629" s="26" t="n">
        <v>30</v>
      </c>
      <c r="S629" s="26" t="n">
        <v>0</v>
      </c>
      <c r="T629" s="28" t="n">
        <v>1</v>
      </c>
      <c r="U629" s="26" t="n">
        <v>0</v>
      </c>
      <c r="V629" s="26" t="n">
        <v>0</v>
      </c>
      <c r="W629" s="22" t="s">
        <v>17</v>
      </c>
      <c r="X629" s="22" t="s">
        <v>373</v>
      </c>
    </row>
    <row r="630" customFormat="false" ht="15" hidden="false" customHeight="false" outlineLevel="0" collapsed="false">
      <c r="A630" s="22" t="s">
        <v>2770</v>
      </c>
      <c r="B630" s="22" t="s">
        <v>17</v>
      </c>
      <c r="C630" s="22" t="s">
        <v>2771</v>
      </c>
      <c r="D630" s="22" t="s">
        <v>2772</v>
      </c>
      <c r="E630" s="22" t="s">
        <v>2773</v>
      </c>
      <c r="F630" s="22" t="n">
        <v>14</v>
      </c>
      <c r="G630" s="26" t="n">
        <v>182.58</v>
      </c>
      <c r="H630" s="26" t="n">
        <v>204.71</v>
      </c>
      <c r="I630" s="26" t="n">
        <v>226.84</v>
      </c>
      <c r="J630" s="26" t="n">
        <v>243.44</v>
      </c>
      <c r="K630" s="26" t="n">
        <v>260.04</v>
      </c>
      <c r="L630" s="26" t="n">
        <v>2.28</v>
      </c>
      <c r="M630" s="27" t="n">
        <v>0.005</v>
      </c>
      <c r="N630" s="27" t="n">
        <v>0.002</v>
      </c>
      <c r="O630" s="26" t="n">
        <v>5</v>
      </c>
      <c r="P630" s="26" t="n">
        <v>5</v>
      </c>
      <c r="Q630" s="28" t="n">
        <v>100</v>
      </c>
      <c r="R630" s="26" t="n">
        <v>30</v>
      </c>
      <c r="S630" s="26" t="n">
        <v>0</v>
      </c>
      <c r="T630" s="28" t="n">
        <v>1</v>
      </c>
      <c r="U630" s="26" t="n">
        <v>0</v>
      </c>
      <c r="V630" s="26" t="n">
        <v>0</v>
      </c>
      <c r="W630" s="22" t="s">
        <v>17</v>
      </c>
      <c r="X630" s="22" t="s">
        <v>373</v>
      </c>
    </row>
    <row r="631" customFormat="false" ht="15" hidden="false" customHeight="false" outlineLevel="0" collapsed="false">
      <c r="A631" s="22" t="s">
        <v>2774</v>
      </c>
      <c r="B631" s="22" t="s">
        <v>17</v>
      </c>
      <c r="C631" s="22" t="s">
        <v>2775</v>
      </c>
      <c r="D631" s="22" t="s">
        <v>2776</v>
      </c>
      <c r="E631" s="22" t="s">
        <v>2777</v>
      </c>
      <c r="F631" s="22" t="n">
        <v>14</v>
      </c>
      <c r="G631" s="26" t="n">
        <v>182.58</v>
      </c>
      <c r="H631" s="26" t="n">
        <v>204.71</v>
      </c>
      <c r="I631" s="26" t="n">
        <v>226.84</v>
      </c>
      <c r="J631" s="26" t="n">
        <v>243.44</v>
      </c>
      <c r="K631" s="26" t="n">
        <v>260.04</v>
      </c>
      <c r="L631" s="26" t="n">
        <v>2.28</v>
      </c>
      <c r="M631" s="27" t="n">
        <v>0.005</v>
      </c>
      <c r="N631" s="27" t="n">
        <v>0.002</v>
      </c>
      <c r="O631" s="26" t="n">
        <v>5</v>
      </c>
      <c r="P631" s="26" t="n">
        <v>5</v>
      </c>
      <c r="Q631" s="28" t="n">
        <v>100</v>
      </c>
      <c r="R631" s="26" t="n">
        <v>30</v>
      </c>
      <c r="S631" s="26" t="n">
        <v>0</v>
      </c>
      <c r="T631" s="28" t="n">
        <v>1</v>
      </c>
      <c r="U631" s="26" t="n">
        <v>0</v>
      </c>
      <c r="V631" s="26" t="n">
        <v>0</v>
      </c>
      <c r="W631" s="22" t="s">
        <v>17</v>
      </c>
      <c r="X631" s="22" t="s">
        <v>373</v>
      </c>
    </row>
    <row r="632" customFormat="false" ht="15" hidden="false" customHeight="false" outlineLevel="0" collapsed="false">
      <c r="A632" s="22" t="s">
        <v>2778</v>
      </c>
      <c r="B632" s="22" t="s">
        <v>17</v>
      </c>
      <c r="C632" s="22" t="s">
        <v>2779</v>
      </c>
      <c r="D632" s="22" t="s">
        <v>2780</v>
      </c>
      <c r="E632" s="22" t="s">
        <v>2781</v>
      </c>
      <c r="F632" s="22" t="n">
        <v>14</v>
      </c>
      <c r="G632" s="26" t="n">
        <v>182.58</v>
      </c>
      <c r="H632" s="26" t="n">
        <v>204.71</v>
      </c>
      <c r="I632" s="26" t="n">
        <v>226.84</v>
      </c>
      <c r="J632" s="26" t="n">
        <v>243.44</v>
      </c>
      <c r="K632" s="26" t="n">
        <v>260.04</v>
      </c>
      <c r="L632" s="26" t="n">
        <v>2.28</v>
      </c>
      <c r="M632" s="27" t="n">
        <v>0.005</v>
      </c>
      <c r="N632" s="27" t="n">
        <v>0.002</v>
      </c>
      <c r="O632" s="26" t="n">
        <v>5</v>
      </c>
      <c r="P632" s="26" t="n">
        <v>5</v>
      </c>
      <c r="Q632" s="28" t="n">
        <v>100</v>
      </c>
      <c r="R632" s="26" t="n">
        <v>30</v>
      </c>
      <c r="S632" s="26" t="n">
        <v>0</v>
      </c>
      <c r="T632" s="28" t="n">
        <v>1</v>
      </c>
      <c r="U632" s="26" t="n">
        <v>0</v>
      </c>
      <c r="V632" s="26" t="n">
        <v>0</v>
      </c>
      <c r="W632" s="22" t="s">
        <v>17</v>
      </c>
      <c r="X632" s="22" t="s">
        <v>373</v>
      </c>
    </row>
    <row r="633" customFormat="false" ht="15" hidden="false" customHeight="false" outlineLevel="0" collapsed="false">
      <c r="A633" s="22" t="s">
        <v>2782</v>
      </c>
      <c r="B633" s="22" t="s">
        <v>17</v>
      </c>
      <c r="C633" s="22" t="s">
        <v>2783</v>
      </c>
      <c r="D633" s="22" t="s">
        <v>2784</v>
      </c>
      <c r="E633" s="22" t="s">
        <v>2785</v>
      </c>
      <c r="F633" s="22" t="n">
        <v>14</v>
      </c>
      <c r="G633" s="26" t="n">
        <v>182.58</v>
      </c>
      <c r="H633" s="26" t="n">
        <v>204.71</v>
      </c>
      <c r="I633" s="26" t="n">
        <v>226.84</v>
      </c>
      <c r="J633" s="26" t="n">
        <v>243.44</v>
      </c>
      <c r="K633" s="26" t="n">
        <v>260.04</v>
      </c>
      <c r="L633" s="26" t="n">
        <v>2.28</v>
      </c>
      <c r="M633" s="27" t="n">
        <v>0.005</v>
      </c>
      <c r="N633" s="27" t="n">
        <v>0.002</v>
      </c>
      <c r="O633" s="26" t="n">
        <v>5</v>
      </c>
      <c r="P633" s="26" t="n">
        <v>5</v>
      </c>
      <c r="Q633" s="28" t="n">
        <v>100</v>
      </c>
      <c r="R633" s="26" t="n">
        <v>30</v>
      </c>
      <c r="S633" s="26" t="n">
        <v>0</v>
      </c>
      <c r="T633" s="28" t="n">
        <v>1</v>
      </c>
      <c r="U633" s="26" t="n">
        <v>0</v>
      </c>
      <c r="V633" s="26" t="n">
        <v>0</v>
      </c>
      <c r="W633" s="22" t="s">
        <v>17</v>
      </c>
      <c r="X633" s="22" t="s">
        <v>373</v>
      </c>
    </row>
    <row r="634" customFormat="false" ht="15" hidden="false" customHeight="false" outlineLevel="0" collapsed="false">
      <c r="A634" s="22" t="s">
        <v>2786</v>
      </c>
      <c r="B634" s="22" t="s">
        <v>17</v>
      </c>
      <c r="C634" s="22" t="s">
        <v>2787</v>
      </c>
      <c r="D634" s="22" t="s">
        <v>2788</v>
      </c>
      <c r="E634" s="22" t="s">
        <v>2789</v>
      </c>
      <c r="F634" s="22" t="n">
        <v>14</v>
      </c>
      <c r="G634" s="26" t="n">
        <v>182.58</v>
      </c>
      <c r="H634" s="26" t="n">
        <v>204.71</v>
      </c>
      <c r="I634" s="26" t="n">
        <v>226.84</v>
      </c>
      <c r="J634" s="26" t="n">
        <v>243.44</v>
      </c>
      <c r="K634" s="26" t="n">
        <v>260.04</v>
      </c>
      <c r="L634" s="26" t="n">
        <v>2.28</v>
      </c>
      <c r="M634" s="27" t="n">
        <v>0.005</v>
      </c>
      <c r="N634" s="27" t="n">
        <v>0.002</v>
      </c>
      <c r="O634" s="26" t="n">
        <v>5</v>
      </c>
      <c r="P634" s="26" t="n">
        <v>5</v>
      </c>
      <c r="Q634" s="28" t="n">
        <v>100</v>
      </c>
      <c r="R634" s="26" t="n">
        <v>30</v>
      </c>
      <c r="S634" s="26" t="n">
        <v>0</v>
      </c>
      <c r="T634" s="28" t="n">
        <v>1</v>
      </c>
      <c r="U634" s="26" t="n">
        <v>0</v>
      </c>
      <c r="V634" s="26" t="n">
        <v>0</v>
      </c>
      <c r="W634" s="22" t="s">
        <v>17</v>
      </c>
      <c r="X634" s="22" t="s">
        <v>373</v>
      </c>
    </row>
    <row r="635" customFormat="false" ht="15" hidden="false" customHeight="false" outlineLevel="0" collapsed="false">
      <c r="A635" s="22" t="s">
        <v>2790</v>
      </c>
      <c r="B635" s="22" t="s">
        <v>17</v>
      </c>
      <c r="C635" s="22" t="s">
        <v>2791</v>
      </c>
      <c r="D635" s="22" t="s">
        <v>2792</v>
      </c>
      <c r="E635" s="22" t="s">
        <v>2793</v>
      </c>
      <c r="F635" s="22" t="n">
        <v>14</v>
      </c>
      <c r="G635" s="26" t="n">
        <v>182.58</v>
      </c>
      <c r="H635" s="26" t="n">
        <v>204.71</v>
      </c>
      <c r="I635" s="26" t="n">
        <v>226.84</v>
      </c>
      <c r="J635" s="26" t="n">
        <v>243.44</v>
      </c>
      <c r="K635" s="26" t="n">
        <v>260.04</v>
      </c>
      <c r="L635" s="26" t="n">
        <v>2.28</v>
      </c>
      <c r="M635" s="27" t="n">
        <v>0.005</v>
      </c>
      <c r="N635" s="27" t="n">
        <v>0.002</v>
      </c>
      <c r="O635" s="26" t="n">
        <v>5</v>
      </c>
      <c r="P635" s="26" t="n">
        <v>5</v>
      </c>
      <c r="Q635" s="28" t="n">
        <v>100</v>
      </c>
      <c r="R635" s="26" t="n">
        <v>30</v>
      </c>
      <c r="S635" s="26" t="n">
        <v>0</v>
      </c>
      <c r="T635" s="28" t="n">
        <v>1</v>
      </c>
      <c r="U635" s="26" t="n">
        <v>0</v>
      </c>
      <c r="V635" s="26" t="n">
        <v>0</v>
      </c>
      <c r="W635" s="22" t="s">
        <v>17</v>
      </c>
      <c r="X635" s="22" t="s">
        <v>373</v>
      </c>
    </row>
    <row r="636" customFormat="false" ht="15" hidden="false" customHeight="false" outlineLevel="0" collapsed="false">
      <c r="A636" s="22" t="s">
        <v>2794</v>
      </c>
      <c r="B636" s="22" t="s">
        <v>17</v>
      </c>
      <c r="C636" s="22" t="s">
        <v>2795</v>
      </c>
      <c r="D636" s="22" t="s">
        <v>2796</v>
      </c>
      <c r="E636" s="22" t="s">
        <v>2797</v>
      </c>
      <c r="F636" s="22" t="n">
        <v>14</v>
      </c>
      <c r="G636" s="26" t="n">
        <v>182.58</v>
      </c>
      <c r="H636" s="26" t="n">
        <v>204.71</v>
      </c>
      <c r="I636" s="26" t="n">
        <v>226.84</v>
      </c>
      <c r="J636" s="26" t="n">
        <v>243.44</v>
      </c>
      <c r="K636" s="26" t="n">
        <v>260.04</v>
      </c>
      <c r="L636" s="26" t="n">
        <v>2.28</v>
      </c>
      <c r="M636" s="27" t="n">
        <v>0.005</v>
      </c>
      <c r="N636" s="27" t="n">
        <v>0.002</v>
      </c>
      <c r="O636" s="26" t="n">
        <v>5</v>
      </c>
      <c r="P636" s="26" t="n">
        <v>5</v>
      </c>
      <c r="Q636" s="28" t="n">
        <v>100</v>
      </c>
      <c r="R636" s="26" t="n">
        <v>30</v>
      </c>
      <c r="S636" s="26" t="n">
        <v>0</v>
      </c>
      <c r="T636" s="28" t="n">
        <v>1</v>
      </c>
      <c r="U636" s="26" t="n">
        <v>0</v>
      </c>
      <c r="V636" s="26" t="n">
        <v>0</v>
      </c>
      <c r="W636" s="22" t="s">
        <v>17</v>
      </c>
      <c r="X636" s="22" t="s">
        <v>373</v>
      </c>
    </row>
    <row r="637" customFormat="false" ht="15" hidden="false" customHeight="false" outlineLevel="0" collapsed="false">
      <c r="A637" s="22" t="s">
        <v>2798</v>
      </c>
      <c r="B637" s="22" t="s">
        <v>17</v>
      </c>
      <c r="C637" s="22" t="s">
        <v>2799</v>
      </c>
      <c r="D637" s="22" t="s">
        <v>2800</v>
      </c>
      <c r="E637" s="22" t="s">
        <v>2801</v>
      </c>
      <c r="F637" s="22" t="n">
        <v>14</v>
      </c>
      <c r="G637" s="26" t="n">
        <v>182.58</v>
      </c>
      <c r="H637" s="26" t="n">
        <v>204.71</v>
      </c>
      <c r="I637" s="26" t="n">
        <v>226.84</v>
      </c>
      <c r="J637" s="26" t="n">
        <v>243.44</v>
      </c>
      <c r="K637" s="26" t="n">
        <v>260.04</v>
      </c>
      <c r="L637" s="26" t="n">
        <v>2.28</v>
      </c>
      <c r="M637" s="27" t="n">
        <v>0.005</v>
      </c>
      <c r="N637" s="27" t="n">
        <v>0.002</v>
      </c>
      <c r="O637" s="26" t="n">
        <v>5</v>
      </c>
      <c r="P637" s="26" t="n">
        <v>5</v>
      </c>
      <c r="Q637" s="28" t="n">
        <v>100</v>
      </c>
      <c r="R637" s="26" t="n">
        <v>30</v>
      </c>
      <c r="S637" s="26" t="n">
        <v>0</v>
      </c>
      <c r="T637" s="28" t="n">
        <v>1</v>
      </c>
      <c r="U637" s="26" t="n">
        <v>0</v>
      </c>
      <c r="V637" s="26" t="n">
        <v>0</v>
      </c>
      <c r="W637" s="22" t="s">
        <v>17</v>
      </c>
      <c r="X637" s="22" t="s">
        <v>373</v>
      </c>
    </row>
    <row r="638" customFormat="false" ht="15" hidden="false" customHeight="false" outlineLevel="0" collapsed="false">
      <c r="A638" s="22" t="s">
        <v>2802</v>
      </c>
      <c r="B638" s="22" t="s">
        <v>17</v>
      </c>
      <c r="C638" s="22" t="s">
        <v>2803</v>
      </c>
      <c r="D638" s="22" t="s">
        <v>2804</v>
      </c>
      <c r="E638" s="22" t="s">
        <v>2805</v>
      </c>
      <c r="F638" s="22" t="n">
        <v>14</v>
      </c>
      <c r="G638" s="26" t="n">
        <v>182.58</v>
      </c>
      <c r="H638" s="26" t="n">
        <v>204.71</v>
      </c>
      <c r="I638" s="26" t="n">
        <v>226.84</v>
      </c>
      <c r="J638" s="26" t="n">
        <v>243.44</v>
      </c>
      <c r="K638" s="26" t="n">
        <v>260.04</v>
      </c>
      <c r="L638" s="26" t="n">
        <v>2.28</v>
      </c>
      <c r="M638" s="27" t="n">
        <v>0.005</v>
      </c>
      <c r="N638" s="27" t="n">
        <v>0.002</v>
      </c>
      <c r="O638" s="26" t="n">
        <v>5</v>
      </c>
      <c r="P638" s="26" t="n">
        <v>5</v>
      </c>
      <c r="Q638" s="28" t="n">
        <v>100</v>
      </c>
      <c r="R638" s="26" t="n">
        <v>30</v>
      </c>
      <c r="S638" s="26" t="n">
        <v>0</v>
      </c>
      <c r="T638" s="28" t="n">
        <v>1</v>
      </c>
      <c r="U638" s="26" t="n">
        <v>0</v>
      </c>
      <c r="V638" s="26" t="n">
        <v>500</v>
      </c>
      <c r="W638" s="22" t="s">
        <v>17</v>
      </c>
      <c r="X638" s="22" t="s">
        <v>373</v>
      </c>
    </row>
    <row r="639" customFormat="false" ht="15" hidden="false" customHeight="false" outlineLevel="0" collapsed="false">
      <c r="A639" s="22" t="s">
        <v>2806</v>
      </c>
      <c r="B639" s="22" t="s">
        <v>17</v>
      </c>
      <c r="C639" s="22" t="s">
        <v>97</v>
      </c>
      <c r="D639" s="22" t="s">
        <v>2807</v>
      </c>
      <c r="E639" s="22" t="s">
        <v>2808</v>
      </c>
      <c r="F639" s="22" t="n">
        <v>14</v>
      </c>
      <c r="G639" s="26" t="n">
        <v>182.58</v>
      </c>
      <c r="H639" s="26" t="n">
        <v>204.71</v>
      </c>
      <c r="I639" s="26" t="n">
        <v>226.84</v>
      </c>
      <c r="J639" s="26" t="n">
        <v>243.44</v>
      </c>
      <c r="K639" s="26" t="n">
        <v>260.04</v>
      </c>
      <c r="L639" s="26" t="n">
        <v>2.28</v>
      </c>
      <c r="M639" s="27" t="n">
        <v>0.005</v>
      </c>
      <c r="N639" s="27" t="n">
        <v>0.002</v>
      </c>
      <c r="O639" s="26" t="n">
        <v>5</v>
      </c>
      <c r="P639" s="26" t="n">
        <v>5</v>
      </c>
      <c r="Q639" s="28" t="n">
        <v>100</v>
      </c>
      <c r="R639" s="26" t="n">
        <v>30</v>
      </c>
      <c r="S639" s="26" t="n">
        <v>0</v>
      </c>
      <c r="T639" s="28" t="n">
        <v>1</v>
      </c>
      <c r="U639" s="26" t="n">
        <v>0</v>
      </c>
      <c r="V639" s="26" t="n">
        <v>0</v>
      </c>
      <c r="W639" s="22" t="s">
        <v>17</v>
      </c>
      <c r="X639" s="22" t="s">
        <v>373</v>
      </c>
    </row>
    <row r="640" customFormat="false" ht="15" hidden="false" customHeight="false" outlineLevel="0" collapsed="false">
      <c r="A640" s="22" t="s">
        <v>2809</v>
      </c>
      <c r="B640" s="22" t="s">
        <v>17</v>
      </c>
      <c r="C640" s="22" t="s">
        <v>2810</v>
      </c>
      <c r="D640" s="22" t="s">
        <v>2811</v>
      </c>
      <c r="E640" s="22" t="s">
        <v>2812</v>
      </c>
      <c r="F640" s="22" t="n">
        <v>14</v>
      </c>
      <c r="G640" s="26" t="n">
        <v>182.58</v>
      </c>
      <c r="H640" s="26" t="n">
        <v>204.71</v>
      </c>
      <c r="I640" s="26" t="n">
        <v>226.84</v>
      </c>
      <c r="J640" s="26" t="n">
        <v>243.44</v>
      </c>
      <c r="K640" s="26" t="n">
        <v>260.04</v>
      </c>
      <c r="L640" s="26" t="n">
        <v>2.28</v>
      </c>
      <c r="M640" s="27" t="n">
        <v>0.005</v>
      </c>
      <c r="N640" s="27" t="n">
        <v>0.002</v>
      </c>
      <c r="O640" s="26" t="n">
        <v>5</v>
      </c>
      <c r="P640" s="26" t="n">
        <v>5</v>
      </c>
      <c r="Q640" s="28" t="n">
        <v>100</v>
      </c>
      <c r="R640" s="26" t="n">
        <v>30</v>
      </c>
      <c r="S640" s="26" t="n">
        <v>0</v>
      </c>
      <c r="T640" s="28" t="n">
        <v>1</v>
      </c>
      <c r="U640" s="26" t="n">
        <v>0</v>
      </c>
      <c r="V640" s="26" t="n">
        <v>0</v>
      </c>
      <c r="W640" s="22" t="s">
        <v>17</v>
      </c>
      <c r="X640" s="22" t="s">
        <v>373</v>
      </c>
    </row>
    <row r="641" customFormat="false" ht="15" hidden="false" customHeight="false" outlineLevel="0" collapsed="false">
      <c r="A641" s="22" t="s">
        <v>2813</v>
      </c>
      <c r="B641" s="22" t="s">
        <v>17</v>
      </c>
      <c r="C641" s="22" t="s">
        <v>2814</v>
      </c>
      <c r="D641" s="22" t="s">
        <v>2815</v>
      </c>
      <c r="E641" s="22" t="s">
        <v>2816</v>
      </c>
      <c r="F641" s="22" t="n">
        <v>14</v>
      </c>
      <c r="G641" s="26" t="n">
        <v>182.58</v>
      </c>
      <c r="H641" s="26" t="n">
        <v>204.71</v>
      </c>
      <c r="I641" s="26" t="n">
        <v>226.84</v>
      </c>
      <c r="J641" s="26" t="n">
        <v>243.44</v>
      </c>
      <c r="K641" s="26" t="n">
        <v>260.04</v>
      </c>
      <c r="L641" s="26" t="n">
        <v>2.28</v>
      </c>
      <c r="M641" s="27" t="n">
        <v>0.005</v>
      </c>
      <c r="N641" s="27" t="n">
        <v>0.002</v>
      </c>
      <c r="O641" s="26" t="n">
        <v>5</v>
      </c>
      <c r="P641" s="26" t="n">
        <v>5</v>
      </c>
      <c r="Q641" s="28" t="n">
        <v>100</v>
      </c>
      <c r="R641" s="26" t="n">
        <v>30</v>
      </c>
      <c r="S641" s="26" t="n">
        <v>0</v>
      </c>
      <c r="T641" s="28" t="n">
        <v>1</v>
      </c>
      <c r="U641" s="26" t="n">
        <v>0</v>
      </c>
      <c r="V641" s="26" t="n">
        <v>0</v>
      </c>
      <c r="W641" s="22" t="s">
        <v>17</v>
      </c>
      <c r="X641" s="22" t="s">
        <v>373</v>
      </c>
    </row>
    <row r="642" customFormat="false" ht="15" hidden="false" customHeight="false" outlineLevel="0" collapsed="false">
      <c r="A642" s="22" t="s">
        <v>2817</v>
      </c>
      <c r="B642" s="22" t="s">
        <v>17</v>
      </c>
      <c r="C642" s="22" t="s">
        <v>2818</v>
      </c>
      <c r="D642" s="22" t="s">
        <v>2819</v>
      </c>
      <c r="E642" s="22" t="s">
        <v>2820</v>
      </c>
      <c r="F642" s="22" t="n">
        <v>14</v>
      </c>
      <c r="G642" s="26" t="n">
        <v>182.58</v>
      </c>
      <c r="H642" s="26" t="n">
        <v>204.71</v>
      </c>
      <c r="I642" s="26" t="n">
        <v>226.84</v>
      </c>
      <c r="J642" s="26" t="n">
        <v>243.44</v>
      </c>
      <c r="K642" s="26" t="n">
        <v>260.04</v>
      </c>
      <c r="L642" s="26" t="n">
        <v>2.28</v>
      </c>
      <c r="M642" s="27" t="n">
        <v>0.005</v>
      </c>
      <c r="N642" s="27" t="n">
        <v>0.002</v>
      </c>
      <c r="O642" s="26" t="n">
        <v>5</v>
      </c>
      <c r="P642" s="26" t="n">
        <v>5</v>
      </c>
      <c r="Q642" s="28" t="n">
        <v>100</v>
      </c>
      <c r="R642" s="26" t="n">
        <v>30</v>
      </c>
      <c r="S642" s="26" t="n">
        <v>0</v>
      </c>
      <c r="T642" s="28" t="n">
        <v>1</v>
      </c>
      <c r="U642" s="26" t="n">
        <v>0</v>
      </c>
      <c r="V642" s="26" t="n">
        <v>0</v>
      </c>
      <c r="W642" s="22" t="s">
        <v>17</v>
      </c>
      <c r="X642" s="22" t="s">
        <v>373</v>
      </c>
    </row>
    <row r="643" customFormat="false" ht="15" hidden="false" customHeight="false" outlineLevel="0" collapsed="false">
      <c r="A643" s="22" t="s">
        <v>2821</v>
      </c>
      <c r="B643" s="22" t="s">
        <v>17</v>
      </c>
      <c r="C643" s="22" t="s">
        <v>2822</v>
      </c>
      <c r="D643" s="22" t="s">
        <v>2823</v>
      </c>
      <c r="E643" s="22" t="s">
        <v>2824</v>
      </c>
      <c r="F643" s="22" t="n">
        <v>14</v>
      </c>
      <c r="G643" s="26" t="n">
        <v>182.58</v>
      </c>
      <c r="H643" s="26" t="n">
        <v>204.71</v>
      </c>
      <c r="I643" s="26" t="n">
        <v>226.84</v>
      </c>
      <c r="J643" s="26" t="n">
        <v>243.44</v>
      </c>
      <c r="K643" s="26" t="n">
        <v>260.04</v>
      </c>
      <c r="L643" s="26" t="n">
        <v>2.28</v>
      </c>
      <c r="M643" s="27" t="n">
        <v>0.005</v>
      </c>
      <c r="N643" s="27" t="n">
        <v>0.002</v>
      </c>
      <c r="O643" s="26" t="n">
        <v>5</v>
      </c>
      <c r="P643" s="26" t="n">
        <v>5</v>
      </c>
      <c r="Q643" s="28" t="n">
        <v>100</v>
      </c>
      <c r="R643" s="26" t="n">
        <v>30</v>
      </c>
      <c r="S643" s="26" t="n">
        <v>0</v>
      </c>
      <c r="T643" s="28" t="n">
        <v>1</v>
      </c>
      <c r="U643" s="26" t="n">
        <v>0</v>
      </c>
      <c r="V643" s="26" t="n">
        <v>0</v>
      </c>
      <c r="W643" s="22" t="s">
        <v>17</v>
      </c>
      <c r="X643" s="22" t="s">
        <v>373</v>
      </c>
    </row>
    <row r="644" customFormat="false" ht="15" hidden="false" customHeight="false" outlineLevel="0" collapsed="false">
      <c r="A644" s="22" t="s">
        <v>2825</v>
      </c>
      <c r="B644" s="22" t="s">
        <v>17</v>
      </c>
      <c r="C644" s="22" t="s">
        <v>2826</v>
      </c>
      <c r="D644" s="22" t="s">
        <v>2827</v>
      </c>
      <c r="E644" s="22" t="s">
        <v>2828</v>
      </c>
      <c r="F644" s="22" t="n">
        <v>14</v>
      </c>
      <c r="G644" s="26" t="n">
        <v>182.58</v>
      </c>
      <c r="H644" s="26" t="n">
        <v>204.71</v>
      </c>
      <c r="I644" s="26" t="n">
        <v>226.84</v>
      </c>
      <c r="J644" s="26" t="n">
        <v>243.44</v>
      </c>
      <c r="K644" s="26" t="n">
        <v>260.04</v>
      </c>
      <c r="L644" s="26" t="n">
        <v>2.28</v>
      </c>
      <c r="M644" s="27" t="n">
        <v>0.005</v>
      </c>
      <c r="N644" s="27" t="n">
        <v>0.002</v>
      </c>
      <c r="O644" s="26" t="n">
        <v>5</v>
      </c>
      <c r="P644" s="26" t="n">
        <v>5</v>
      </c>
      <c r="Q644" s="28" t="n">
        <v>100</v>
      </c>
      <c r="R644" s="26" t="n">
        <v>30</v>
      </c>
      <c r="S644" s="26" t="n">
        <v>0</v>
      </c>
      <c r="T644" s="28" t="n">
        <v>1</v>
      </c>
      <c r="U644" s="26" t="n">
        <v>0</v>
      </c>
      <c r="V644" s="26" t="n">
        <v>0</v>
      </c>
      <c r="W644" s="22" t="s">
        <v>17</v>
      </c>
      <c r="X644" s="22" t="s">
        <v>373</v>
      </c>
    </row>
    <row r="645" customFormat="false" ht="15" hidden="false" customHeight="false" outlineLevel="0" collapsed="false">
      <c r="A645" s="22" t="s">
        <v>2829</v>
      </c>
      <c r="B645" s="22" t="s">
        <v>17</v>
      </c>
      <c r="C645" s="22" t="s">
        <v>2830</v>
      </c>
      <c r="D645" s="22" t="s">
        <v>2831</v>
      </c>
      <c r="E645" s="22" t="s">
        <v>2832</v>
      </c>
      <c r="F645" s="22" t="n">
        <v>14</v>
      </c>
      <c r="G645" s="26" t="n">
        <v>182.58</v>
      </c>
      <c r="H645" s="26" t="n">
        <v>204.71</v>
      </c>
      <c r="I645" s="26" t="n">
        <v>226.84</v>
      </c>
      <c r="J645" s="26" t="n">
        <v>243.44</v>
      </c>
      <c r="K645" s="26" t="n">
        <v>260.04</v>
      </c>
      <c r="L645" s="26" t="n">
        <v>2.28</v>
      </c>
      <c r="M645" s="27" t="n">
        <v>0.005</v>
      </c>
      <c r="N645" s="27" t="n">
        <v>0.002</v>
      </c>
      <c r="O645" s="26" t="n">
        <v>5</v>
      </c>
      <c r="P645" s="26" t="n">
        <v>5</v>
      </c>
      <c r="Q645" s="28" t="n">
        <v>100</v>
      </c>
      <c r="R645" s="26" t="n">
        <v>30</v>
      </c>
      <c r="S645" s="26" t="n">
        <v>0</v>
      </c>
      <c r="T645" s="28" t="n">
        <v>1</v>
      </c>
      <c r="U645" s="26" t="n">
        <v>0</v>
      </c>
      <c r="V645" s="26" t="n">
        <v>0</v>
      </c>
      <c r="W645" s="22" t="s">
        <v>17</v>
      </c>
      <c r="X645" s="22" t="s">
        <v>373</v>
      </c>
    </row>
    <row r="646" customFormat="false" ht="15" hidden="false" customHeight="false" outlineLevel="0" collapsed="false">
      <c r="A646" s="22" t="s">
        <v>2833</v>
      </c>
      <c r="B646" s="22" t="s">
        <v>17</v>
      </c>
      <c r="C646" s="22" t="s">
        <v>2834</v>
      </c>
      <c r="D646" s="22" t="s">
        <v>2835</v>
      </c>
      <c r="E646" s="22" t="s">
        <v>2836</v>
      </c>
      <c r="F646" s="22" t="n">
        <v>14</v>
      </c>
      <c r="G646" s="26" t="n">
        <v>182.58</v>
      </c>
      <c r="H646" s="26" t="n">
        <v>204.71</v>
      </c>
      <c r="I646" s="26" t="n">
        <v>226.84</v>
      </c>
      <c r="J646" s="26" t="n">
        <v>243.44</v>
      </c>
      <c r="K646" s="26" t="n">
        <v>260.04</v>
      </c>
      <c r="L646" s="26" t="n">
        <v>2.28</v>
      </c>
      <c r="M646" s="27" t="n">
        <v>0.005</v>
      </c>
      <c r="N646" s="27" t="n">
        <v>0.002</v>
      </c>
      <c r="O646" s="26" t="n">
        <v>5</v>
      </c>
      <c r="P646" s="26" t="n">
        <v>5</v>
      </c>
      <c r="Q646" s="28" t="n">
        <v>100</v>
      </c>
      <c r="R646" s="26" t="n">
        <v>30</v>
      </c>
      <c r="S646" s="26" t="n">
        <v>0</v>
      </c>
      <c r="T646" s="28" t="n">
        <v>1</v>
      </c>
      <c r="U646" s="26" t="n">
        <v>0</v>
      </c>
      <c r="V646" s="26" t="n">
        <v>0</v>
      </c>
      <c r="W646" s="22" t="s">
        <v>17</v>
      </c>
      <c r="X646" s="22" t="s">
        <v>373</v>
      </c>
    </row>
    <row r="647" customFormat="false" ht="15" hidden="false" customHeight="false" outlineLevel="0" collapsed="false">
      <c r="A647" s="22" t="s">
        <v>2837</v>
      </c>
      <c r="B647" s="22" t="s">
        <v>17</v>
      </c>
      <c r="C647" s="22" t="s">
        <v>2838</v>
      </c>
      <c r="D647" s="22" t="s">
        <v>2839</v>
      </c>
      <c r="E647" s="22" t="s">
        <v>2840</v>
      </c>
      <c r="F647" s="22" t="n">
        <v>14</v>
      </c>
      <c r="G647" s="26" t="n">
        <v>182.58</v>
      </c>
      <c r="H647" s="26" t="n">
        <v>204.71</v>
      </c>
      <c r="I647" s="26" t="n">
        <v>226.84</v>
      </c>
      <c r="J647" s="26" t="n">
        <v>243.44</v>
      </c>
      <c r="K647" s="26" t="n">
        <v>260.04</v>
      </c>
      <c r="L647" s="26" t="n">
        <v>2.28</v>
      </c>
      <c r="M647" s="27" t="n">
        <v>0.005</v>
      </c>
      <c r="N647" s="27" t="n">
        <v>0.002</v>
      </c>
      <c r="O647" s="26" t="n">
        <v>5</v>
      </c>
      <c r="P647" s="26" t="n">
        <v>5</v>
      </c>
      <c r="Q647" s="28" t="n">
        <v>100</v>
      </c>
      <c r="R647" s="26" t="n">
        <v>30</v>
      </c>
      <c r="S647" s="26" t="n">
        <v>0</v>
      </c>
      <c r="T647" s="28" t="n">
        <v>1</v>
      </c>
      <c r="U647" s="26" t="n">
        <v>0</v>
      </c>
      <c r="V647" s="26" t="n">
        <v>0</v>
      </c>
      <c r="W647" s="22" t="s">
        <v>17</v>
      </c>
      <c r="X647" s="22" t="s">
        <v>373</v>
      </c>
    </row>
    <row r="648" customFormat="false" ht="15" hidden="false" customHeight="false" outlineLevel="0" collapsed="false">
      <c r="A648" s="22" t="s">
        <v>2841</v>
      </c>
      <c r="B648" s="22" t="s">
        <v>17</v>
      </c>
      <c r="C648" s="22" t="s">
        <v>2842</v>
      </c>
      <c r="D648" s="22" t="s">
        <v>2843</v>
      </c>
      <c r="E648" s="22" t="s">
        <v>2844</v>
      </c>
      <c r="F648" s="22" t="n">
        <v>14</v>
      </c>
      <c r="G648" s="26" t="n">
        <v>182.58</v>
      </c>
      <c r="H648" s="26" t="n">
        <v>204.71</v>
      </c>
      <c r="I648" s="26" t="n">
        <v>226.84</v>
      </c>
      <c r="J648" s="26" t="n">
        <v>243.44</v>
      </c>
      <c r="K648" s="26" t="n">
        <v>260.04</v>
      </c>
      <c r="L648" s="26" t="n">
        <v>2.28</v>
      </c>
      <c r="M648" s="27" t="n">
        <v>0.005</v>
      </c>
      <c r="N648" s="27" t="n">
        <v>0.002</v>
      </c>
      <c r="O648" s="26" t="n">
        <v>5</v>
      </c>
      <c r="P648" s="26" t="n">
        <v>5</v>
      </c>
      <c r="Q648" s="28" t="n">
        <v>100</v>
      </c>
      <c r="R648" s="26" t="n">
        <v>30</v>
      </c>
      <c r="S648" s="26" t="n">
        <v>0</v>
      </c>
      <c r="T648" s="28" t="n">
        <v>1</v>
      </c>
      <c r="U648" s="26" t="n">
        <v>0</v>
      </c>
      <c r="V648" s="26" t="n">
        <v>0</v>
      </c>
      <c r="W648" s="22" t="s">
        <v>17</v>
      </c>
      <c r="X648" s="22" t="s">
        <v>373</v>
      </c>
    </row>
    <row r="649" customFormat="false" ht="15" hidden="false" customHeight="false" outlineLevel="0" collapsed="false">
      <c r="A649" s="22" t="s">
        <v>2845</v>
      </c>
      <c r="B649" s="22" t="s">
        <v>17</v>
      </c>
      <c r="C649" s="22" t="s">
        <v>1772</v>
      </c>
      <c r="D649" s="22" t="s">
        <v>2846</v>
      </c>
      <c r="E649" s="22" t="s">
        <v>2847</v>
      </c>
      <c r="F649" s="22" t="n">
        <v>14</v>
      </c>
      <c r="G649" s="26" t="n">
        <v>182.58</v>
      </c>
      <c r="H649" s="26" t="n">
        <v>204.71</v>
      </c>
      <c r="I649" s="26" t="n">
        <v>226.84</v>
      </c>
      <c r="J649" s="26" t="n">
        <v>243.44</v>
      </c>
      <c r="K649" s="26" t="n">
        <v>260.04</v>
      </c>
      <c r="L649" s="26" t="n">
        <v>2.28</v>
      </c>
      <c r="M649" s="27" t="n">
        <v>0.005</v>
      </c>
      <c r="N649" s="27" t="n">
        <v>0.002</v>
      </c>
      <c r="O649" s="26" t="n">
        <v>5</v>
      </c>
      <c r="P649" s="26" t="n">
        <v>5</v>
      </c>
      <c r="Q649" s="28" t="n">
        <v>100</v>
      </c>
      <c r="R649" s="26" t="n">
        <v>30</v>
      </c>
      <c r="S649" s="26" t="n">
        <v>0</v>
      </c>
      <c r="T649" s="28" t="n">
        <v>1</v>
      </c>
      <c r="U649" s="26" t="n">
        <v>0</v>
      </c>
      <c r="V649" s="26" t="n">
        <v>0</v>
      </c>
      <c r="W649" s="22" t="s">
        <v>17</v>
      </c>
      <c r="X649" s="22" t="s">
        <v>373</v>
      </c>
    </row>
    <row r="650" customFormat="false" ht="15" hidden="false" customHeight="false" outlineLevel="0" collapsed="false">
      <c r="A650" s="22" t="s">
        <v>2848</v>
      </c>
      <c r="B650" s="22" t="s">
        <v>17</v>
      </c>
      <c r="C650" s="22" t="s">
        <v>2849</v>
      </c>
      <c r="D650" s="22" t="s">
        <v>2850</v>
      </c>
      <c r="E650" s="22" t="s">
        <v>2851</v>
      </c>
      <c r="F650" s="22" t="n">
        <v>14</v>
      </c>
      <c r="G650" s="26" t="n">
        <v>182.58</v>
      </c>
      <c r="H650" s="26" t="n">
        <v>204.71</v>
      </c>
      <c r="I650" s="26" t="n">
        <v>226.84</v>
      </c>
      <c r="J650" s="26" t="n">
        <v>243.44</v>
      </c>
      <c r="K650" s="26" t="n">
        <v>260.04</v>
      </c>
      <c r="L650" s="26" t="n">
        <v>2.28</v>
      </c>
      <c r="M650" s="27" t="n">
        <v>0.005</v>
      </c>
      <c r="N650" s="27" t="n">
        <v>0.002</v>
      </c>
      <c r="O650" s="26" t="n">
        <v>5</v>
      </c>
      <c r="P650" s="26" t="n">
        <v>5</v>
      </c>
      <c r="Q650" s="28" t="n">
        <v>100</v>
      </c>
      <c r="R650" s="26" t="n">
        <v>30</v>
      </c>
      <c r="S650" s="26" t="n">
        <v>0</v>
      </c>
      <c r="T650" s="28" t="n">
        <v>1</v>
      </c>
      <c r="U650" s="26" t="n">
        <v>0</v>
      </c>
      <c r="V650" s="26" t="n">
        <v>0</v>
      </c>
      <c r="W650" s="22" t="s">
        <v>17</v>
      </c>
      <c r="X650" s="22" t="s">
        <v>373</v>
      </c>
    </row>
    <row r="651" customFormat="false" ht="15" hidden="false" customHeight="false" outlineLevel="0" collapsed="false">
      <c r="A651" s="22" t="s">
        <v>2852</v>
      </c>
      <c r="B651" s="22" t="s">
        <v>17</v>
      </c>
      <c r="C651" s="22" t="s">
        <v>2853</v>
      </c>
      <c r="D651" s="22" t="s">
        <v>2854</v>
      </c>
      <c r="E651" s="22" t="s">
        <v>2855</v>
      </c>
      <c r="F651" s="22" t="n">
        <v>14</v>
      </c>
      <c r="G651" s="26" t="n">
        <v>182.58</v>
      </c>
      <c r="H651" s="26" t="n">
        <v>204.71</v>
      </c>
      <c r="I651" s="26" t="n">
        <v>226.84</v>
      </c>
      <c r="J651" s="26" t="n">
        <v>243.44</v>
      </c>
      <c r="K651" s="26" t="n">
        <v>260.04</v>
      </c>
      <c r="L651" s="26" t="n">
        <v>2.28</v>
      </c>
      <c r="M651" s="27" t="n">
        <v>0.005</v>
      </c>
      <c r="N651" s="27" t="n">
        <v>0.002</v>
      </c>
      <c r="O651" s="26" t="n">
        <v>5</v>
      </c>
      <c r="P651" s="26" t="n">
        <v>5</v>
      </c>
      <c r="Q651" s="28" t="n">
        <v>100</v>
      </c>
      <c r="R651" s="26" t="n">
        <v>30</v>
      </c>
      <c r="S651" s="26" t="n">
        <v>0</v>
      </c>
      <c r="T651" s="28" t="n">
        <v>1</v>
      </c>
      <c r="U651" s="26" t="n">
        <v>0</v>
      </c>
      <c r="V651" s="26" t="n">
        <v>0</v>
      </c>
      <c r="W651" s="22" t="s">
        <v>17</v>
      </c>
      <c r="X651" s="22" t="s">
        <v>373</v>
      </c>
    </row>
    <row r="652" customFormat="false" ht="15" hidden="false" customHeight="false" outlineLevel="0" collapsed="false">
      <c r="A652" s="22" t="s">
        <v>2856</v>
      </c>
      <c r="B652" s="22" t="s">
        <v>17</v>
      </c>
      <c r="C652" s="22" t="s">
        <v>2857</v>
      </c>
      <c r="D652" s="22" t="s">
        <v>2858</v>
      </c>
      <c r="E652" s="22" t="s">
        <v>2859</v>
      </c>
      <c r="F652" s="22" t="n">
        <v>14</v>
      </c>
      <c r="G652" s="26" t="n">
        <v>182.58</v>
      </c>
      <c r="H652" s="26" t="n">
        <v>204.71</v>
      </c>
      <c r="I652" s="26" t="n">
        <v>226.84</v>
      </c>
      <c r="J652" s="26" t="n">
        <v>243.44</v>
      </c>
      <c r="K652" s="26" t="n">
        <v>260.04</v>
      </c>
      <c r="L652" s="26" t="n">
        <v>2.28</v>
      </c>
      <c r="M652" s="27" t="n">
        <v>0.005</v>
      </c>
      <c r="N652" s="27" t="n">
        <v>0.002</v>
      </c>
      <c r="O652" s="26" t="n">
        <v>5</v>
      </c>
      <c r="P652" s="26" t="n">
        <v>5</v>
      </c>
      <c r="Q652" s="28" t="n">
        <v>100</v>
      </c>
      <c r="R652" s="26" t="n">
        <v>30</v>
      </c>
      <c r="S652" s="26" t="n">
        <v>0</v>
      </c>
      <c r="T652" s="28" t="n">
        <v>1</v>
      </c>
      <c r="U652" s="26" t="n">
        <v>0</v>
      </c>
      <c r="V652" s="26" t="n">
        <v>0</v>
      </c>
      <c r="W652" s="22" t="s">
        <v>17</v>
      </c>
      <c r="X652" s="22" t="s">
        <v>373</v>
      </c>
    </row>
    <row r="653" customFormat="false" ht="15" hidden="false" customHeight="false" outlineLevel="0" collapsed="false">
      <c r="A653" s="22" t="s">
        <v>2860</v>
      </c>
      <c r="B653" s="22" t="s">
        <v>17</v>
      </c>
      <c r="C653" s="22" t="s">
        <v>2861</v>
      </c>
      <c r="D653" s="22" t="s">
        <v>2862</v>
      </c>
      <c r="E653" s="22" t="s">
        <v>2863</v>
      </c>
      <c r="F653" s="22" t="n">
        <v>14</v>
      </c>
      <c r="G653" s="26" t="n">
        <v>182.58</v>
      </c>
      <c r="H653" s="26" t="n">
        <v>204.71</v>
      </c>
      <c r="I653" s="26" t="n">
        <v>226.84</v>
      </c>
      <c r="J653" s="26" t="n">
        <v>243.44</v>
      </c>
      <c r="K653" s="26" t="n">
        <v>260.04</v>
      </c>
      <c r="L653" s="26" t="n">
        <v>2.28</v>
      </c>
      <c r="M653" s="27" t="n">
        <v>0.005</v>
      </c>
      <c r="N653" s="27" t="n">
        <v>0.002</v>
      </c>
      <c r="O653" s="26" t="n">
        <v>5</v>
      </c>
      <c r="P653" s="26" t="n">
        <v>5</v>
      </c>
      <c r="Q653" s="28" t="n">
        <v>100</v>
      </c>
      <c r="R653" s="26" t="n">
        <v>30</v>
      </c>
      <c r="S653" s="26" t="n">
        <v>0</v>
      </c>
      <c r="T653" s="28" t="n">
        <v>1</v>
      </c>
      <c r="U653" s="26" t="n">
        <v>0</v>
      </c>
      <c r="V653" s="26" t="n">
        <v>250</v>
      </c>
      <c r="W653" s="22" t="s">
        <v>17</v>
      </c>
      <c r="X653" s="22" t="s">
        <v>373</v>
      </c>
    </row>
    <row r="654" customFormat="false" ht="15" hidden="false" customHeight="false" outlineLevel="0" collapsed="false">
      <c r="A654" s="22" t="s">
        <v>2864</v>
      </c>
      <c r="B654" s="22" t="s">
        <v>17</v>
      </c>
      <c r="C654" s="22" t="s">
        <v>2865</v>
      </c>
      <c r="D654" s="22" t="s">
        <v>2866</v>
      </c>
      <c r="E654" s="22" t="s">
        <v>2867</v>
      </c>
      <c r="F654" s="22" t="n">
        <v>14</v>
      </c>
      <c r="G654" s="26" t="n">
        <v>182.58</v>
      </c>
      <c r="H654" s="26" t="n">
        <v>204.71</v>
      </c>
      <c r="I654" s="26" t="n">
        <v>226.84</v>
      </c>
      <c r="J654" s="26" t="n">
        <v>243.44</v>
      </c>
      <c r="K654" s="26" t="n">
        <v>260.04</v>
      </c>
      <c r="L654" s="26" t="n">
        <v>2.28</v>
      </c>
      <c r="M654" s="27" t="n">
        <v>0.005</v>
      </c>
      <c r="N654" s="27" t="n">
        <v>0.002</v>
      </c>
      <c r="O654" s="26" t="n">
        <v>5</v>
      </c>
      <c r="P654" s="26" t="n">
        <v>5</v>
      </c>
      <c r="Q654" s="28" t="n">
        <v>100</v>
      </c>
      <c r="R654" s="26" t="n">
        <v>30</v>
      </c>
      <c r="S654" s="26" t="n">
        <v>0</v>
      </c>
      <c r="T654" s="28" t="n">
        <v>1</v>
      </c>
      <c r="U654" s="26" t="n">
        <v>0</v>
      </c>
      <c r="V654" s="26" t="n">
        <v>250</v>
      </c>
      <c r="W654" s="22" t="s">
        <v>17</v>
      </c>
      <c r="X654" s="22" t="s">
        <v>373</v>
      </c>
    </row>
    <row r="655" customFormat="false" ht="15" hidden="false" customHeight="false" outlineLevel="0" collapsed="false">
      <c r="A655" s="22" t="s">
        <v>2868</v>
      </c>
      <c r="B655" s="22" t="s">
        <v>17</v>
      </c>
      <c r="C655" s="22" t="s">
        <v>2869</v>
      </c>
      <c r="D655" s="22" t="s">
        <v>2870</v>
      </c>
      <c r="E655" s="22" t="s">
        <v>2871</v>
      </c>
      <c r="F655" s="22" t="n">
        <v>14</v>
      </c>
      <c r="G655" s="26" t="n">
        <v>182.58</v>
      </c>
      <c r="H655" s="26" t="n">
        <v>204.71</v>
      </c>
      <c r="I655" s="26" t="n">
        <v>226.84</v>
      </c>
      <c r="J655" s="26" t="n">
        <v>243.44</v>
      </c>
      <c r="K655" s="26" t="n">
        <v>260.04</v>
      </c>
      <c r="L655" s="26" t="n">
        <v>2.28</v>
      </c>
      <c r="M655" s="27" t="n">
        <v>0.005</v>
      </c>
      <c r="N655" s="27" t="n">
        <v>0.002</v>
      </c>
      <c r="O655" s="26" t="n">
        <v>5</v>
      </c>
      <c r="P655" s="26" t="n">
        <v>5</v>
      </c>
      <c r="Q655" s="28" t="n">
        <v>100</v>
      </c>
      <c r="R655" s="26" t="n">
        <v>30</v>
      </c>
      <c r="S655" s="26" t="n">
        <v>0</v>
      </c>
      <c r="T655" s="28" t="n">
        <v>1</v>
      </c>
      <c r="U655" s="26" t="n">
        <v>0</v>
      </c>
      <c r="V655" s="26" t="n">
        <v>0</v>
      </c>
      <c r="W655" s="22" t="s">
        <v>17</v>
      </c>
      <c r="X655" s="22" t="s">
        <v>373</v>
      </c>
    </row>
    <row r="656" customFormat="false" ht="15" hidden="false" customHeight="false" outlineLevel="0" collapsed="false">
      <c r="A656" s="22" t="s">
        <v>2872</v>
      </c>
      <c r="B656" s="22" t="s">
        <v>17</v>
      </c>
      <c r="C656" s="22" t="s">
        <v>2873</v>
      </c>
      <c r="D656" s="22" t="s">
        <v>2874</v>
      </c>
      <c r="E656" s="22" t="s">
        <v>2875</v>
      </c>
      <c r="F656" s="22" t="n">
        <v>14</v>
      </c>
      <c r="G656" s="26" t="n">
        <v>182.58</v>
      </c>
      <c r="H656" s="26" t="n">
        <v>204.71</v>
      </c>
      <c r="I656" s="26" t="n">
        <v>226.84</v>
      </c>
      <c r="J656" s="26" t="n">
        <v>243.44</v>
      </c>
      <c r="K656" s="26" t="n">
        <v>260.04</v>
      </c>
      <c r="L656" s="26" t="n">
        <v>2.28</v>
      </c>
      <c r="M656" s="27" t="n">
        <v>0.005</v>
      </c>
      <c r="N656" s="27" t="n">
        <v>0.002</v>
      </c>
      <c r="O656" s="26" t="n">
        <v>5</v>
      </c>
      <c r="P656" s="26" t="n">
        <v>5</v>
      </c>
      <c r="Q656" s="28" t="n">
        <v>100</v>
      </c>
      <c r="R656" s="26" t="n">
        <v>30</v>
      </c>
      <c r="S656" s="26" t="n">
        <v>0</v>
      </c>
      <c r="T656" s="28" t="n">
        <v>1</v>
      </c>
      <c r="U656" s="26" t="n">
        <v>0</v>
      </c>
      <c r="V656" s="26" t="n">
        <v>0</v>
      </c>
      <c r="W656" s="22" t="s">
        <v>17</v>
      </c>
      <c r="X656" s="22" t="s">
        <v>373</v>
      </c>
    </row>
    <row r="657" customFormat="false" ht="15" hidden="false" customHeight="false" outlineLevel="0" collapsed="false">
      <c r="A657" s="22" t="s">
        <v>2876</v>
      </c>
      <c r="B657" s="22" t="s">
        <v>17</v>
      </c>
      <c r="C657" s="22" t="s">
        <v>2877</v>
      </c>
      <c r="D657" s="22" t="s">
        <v>2878</v>
      </c>
      <c r="E657" s="22" t="s">
        <v>2879</v>
      </c>
      <c r="F657" s="22" t="n">
        <v>14</v>
      </c>
      <c r="G657" s="26" t="n">
        <v>182.58</v>
      </c>
      <c r="H657" s="26" t="n">
        <v>204.71</v>
      </c>
      <c r="I657" s="26" t="n">
        <v>226.84</v>
      </c>
      <c r="J657" s="26" t="n">
        <v>243.44</v>
      </c>
      <c r="K657" s="26" t="n">
        <v>260.04</v>
      </c>
      <c r="L657" s="26" t="n">
        <v>2.28</v>
      </c>
      <c r="M657" s="27" t="n">
        <v>0.005</v>
      </c>
      <c r="N657" s="27" t="n">
        <v>0.002</v>
      </c>
      <c r="O657" s="26" t="n">
        <v>5</v>
      </c>
      <c r="P657" s="26" t="n">
        <v>5</v>
      </c>
      <c r="Q657" s="28" t="n">
        <v>100</v>
      </c>
      <c r="R657" s="26" t="n">
        <v>30</v>
      </c>
      <c r="S657" s="26" t="n">
        <v>0</v>
      </c>
      <c r="T657" s="28" t="n">
        <v>1</v>
      </c>
      <c r="U657" s="26" t="n">
        <v>0</v>
      </c>
      <c r="V657" s="26" t="n">
        <v>0</v>
      </c>
      <c r="W657" s="22" t="s">
        <v>17</v>
      </c>
      <c r="X657" s="22" t="s">
        <v>373</v>
      </c>
    </row>
    <row r="658" customFormat="false" ht="15" hidden="false" customHeight="false" outlineLevel="0" collapsed="false">
      <c r="A658" s="22" t="s">
        <v>2880</v>
      </c>
      <c r="B658" s="22" t="s">
        <v>17</v>
      </c>
      <c r="C658" s="22" t="s">
        <v>2881</v>
      </c>
      <c r="D658" s="22" t="s">
        <v>2882</v>
      </c>
      <c r="E658" s="22" t="s">
        <v>2883</v>
      </c>
      <c r="F658" s="22" t="n">
        <v>14</v>
      </c>
      <c r="G658" s="26" t="n">
        <v>182.58</v>
      </c>
      <c r="H658" s="26" t="n">
        <v>204.71</v>
      </c>
      <c r="I658" s="26" t="n">
        <v>226.84</v>
      </c>
      <c r="J658" s="26" t="n">
        <v>243.44</v>
      </c>
      <c r="K658" s="26" t="n">
        <v>260.04</v>
      </c>
      <c r="L658" s="26" t="n">
        <v>2.28</v>
      </c>
      <c r="M658" s="27" t="n">
        <v>0.005</v>
      </c>
      <c r="N658" s="27" t="n">
        <v>0.002</v>
      </c>
      <c r="O658" s="26" t="n">
        <v>5</v>
      </c>
      <c r="P658" s="26" t="n">
        <v>5</v>
      </c>
      <c r="Q658" s="28" t="n">
        <v>100</v>
      </c>
      <c r="R658" s="26" t="n">
        <v>30</v>
      </c>
      <c r="S658" s="26" t="n">
        <v>0</v>
      </c>
      <c r="T658" s="28" t="n">
        <v>1</v>
      </c>
      <c r="U658" s="26" t="n">
        <v>0</v>
      </c>
      <c r="V658" s="26" t="n">
        <v>0</v>
      </c>
      <c r="W658" s="22" t="s">
        <v>17</v>
      </c>
      <c r="X658" s="22" t="s">
        <v>373</v>
      </c>
    </row>
    <row r="659" customFormat="false" ht="15" hidden="false" customHeight="false" outlineLevel="0" collapsed="false">
      <c r="A659" s="22" t="s">
        <v>2884</v>
      </c>
      <c r="B659" s="29" t="s">
        <v>17</v>
      </c>
      <c r="C659" s="29" t="s">
        <v>2885</v>
      </c>
      <c r="D659" s="22" t="s">
        <v>2886</v>
      </c>
      <c r="E659" s="22" t="s">
        <v>2887</v>
      </c>
      <c r="F659" s="22" t="n">
        <v>14</v>
      </c>
      <c r="G659" s="26" t="n">
        <v>99.55</v>
      </c>
      <c r="H659" s="26" t="n">
        <v>109.56</v>
      </c>
      <c r="I659" s="26" t="n">
        <v>129.6</v>
      </c>
      <c r="J659" s="26" t="n">
        <v>139.62</v>
      </c>
      <c r="K659" s="26" t="n">
        <v>154.64</v>
      </c>
      <c r="L659" s="26" t="n">
        <v>2.06</v>
      </c>
      <c r="M659" s="27" t="n">
        <v>0.005</v>
      </c>
      <c r="N659" s="27" t="n">
        <v>0.002</v>
      </c>
      <c r="O659" s="26" t="n">
        <v>5</v>
      </c>
      <c r="P659" s="26" t="n">
        <v>5</v>
      </c>
      <c r="Q659" s="28" t="n">
        <v>100</v>
      </c>
      <c r="R659" s="26" t="n">
        <v>30</v>
      </c>
      <c r="S659" s="26" t="n">
        <v>0</v>
      </c>
      <c r="T659" s="28" t="n">
        <v>1</v>
      </c>
      <c r="U659" s="26" t="n">
        <v>0</v>
      </c>
      <c r="V659" s="26" t="n">
        <v>0</v>
      </c>
      <c r="W659" s="29" t="s">
        <v>19</v>
      </c>
      <c r="X659" s="22" t="s">
        <v>373</v>
      </c>
    </row>
    <row r="660" customFormat="false" ht="15" hidden="false" customHeight="false" outlineLevel="0" collapsed="false">
      <c r="A660" s="22" t="s">
        <v>2888</v>
      </c>
      <c r="B660" s="22" t="s">
        <v>17</v>
      </c>
      <c r="C660" s="22" t="s">
        <v>2889</v>
      </c>
      <c r="D660" s="22" t="s">
        <v>2890</v>
      </c>
      <c r="E660" s="22" t="s">
        <v>2891</v>
      </c>
      <c r="F660" s="22" t="n">
        <v>14</v>
      </c>
      <c r="G660" s="26" t="n">
        <v>182.58</v>
      </c>
      <c r="H660" s="26" t="n">
        <v>204.71</v>
      </c>
      <c r="I660" s="26" t="n">
        <v>226.84</v>
      </c>
      <c r="J660" s="26" t="n">
        <v>243.44</v>
      </c>
      <c r="K660" s="26" t="n">
        <v>260.04</v>
      </c>
      <c r="L660" s="26" t="n">
        <v>2.28</v>
      </c>
      <c r="M660" s="27" t="n">
        <v>0.005</v>
      </c>
      <c r="N660" s="27" t="n">
        <v>0.002</v>
      </c>
      <c r="O660" s="26" t="n">
        <v>5</v>
      </c>
      <c r="P660" s="26" t="n">
        <v>5</v>
      </c>
      <c r="Q660" s="28" t="n">
        <v>100</v>
      </c>
      <c r="R660" s="26" t="n">
        <v>30</v>
      </c>
      <c r="S660" s="26" t="n">
        <v>0</v>
      </c>
      <c r="T660" s="28" t="n">
        <v>1</v>
      </c>
      <c r="U660" s="26" t="n">
        <v>0</v>
      </c>
      <c r="V660" s="26" t="n">
        <v>0</v>
      </c>
      <c r="W660" s="22" t="s">
        <v>17</v>
      </c>
      <c r="X660" s="22" t="s">
        <v>373</v>
      </c>
    </row>
    <row r="661" customFormat="false" ht="15" hidden="false" customHeight="false" outlineLevel="0" collapsed="false">
      <c r="A661" s="22" t="s">
        <v>2892</v>
      </c>
      <c r="B661" s="22" t="s">
        <v>17</v>
      </c>
      <c r="C661" s="22" t="s">
        <v>2893</v>
      </c>
      <c r="D661" s="22" t="s">
        <v>2894</v>
      </c>
      <c r="E661" s="22" t="s">
        <v>2895</v>
      </c>
      <c r="F661" s="22" t="n">
        <v>14</v>
      </c>
      <c r="G661" s="26" t="n">
        <v>182.58</v>
      </c>
      <c r="H661" s="26" t="n">
        <v>204.71</v>
      </c>
      <c r="I661" s="26" t="n">
        <v>226.84</v>
      </c>
      <c r="J661" s="26" t="n">
        <v>243.44</v>
      </c>
      <c r="K661" s="26" t="n">
        <v>260.04</v>
      </c>
      <c r="L661" s="26" t="n">
        <v>2.28</v>
      </c>
      <c r="M661" s="27" t="n">
        <v>0.005</v>
      </c>
      <c r="N661" s="27" t="n">
        <v>0.002</v>
      </c>
      <c r="O661" s="26" t="n">
        <v>5</v>
      </c>
      <c r="P661" s="26" t="n">
        <v>5</v>
      </c>
      <c r="Q661" s="28" t="n">
        <v>100</v>
      </c>
      <c r="R661" s="26" t="n">
        <v>30</v>
      </c>
      <c r="S661" s="26" t="n">
        <v>0</v>
      </c>
      <c r="T661" s="28" t="n">
        <v>1</v>
      </c>
      <c r="U661" s="26" t="n">
        <v>0</v>
      </c>
      <c r="V661" s="26" t="n">
        <v>0</v>
      </c>
      <c r="W661" s="22" t="s">
        <v>17</v>
      </c>
      <c r="X661" s="22" t="s">
        <v>373</v>
      </c>
    </row>
    <row r="662" customFormat="false" ht="15" hidden="false" customHeight="false" outlineLevel="0" collapsed="false">
      <c r="A662" s="22" t="s">
        <v>2896</v>
      </c>
      <c r="B662" s="22" t="s">
        <v>17</v>
      </c>
      <c r="C662" s="22" t="s">
        <v>2897</v>
      </c>
      <c r="D662" s="22" t="s">
        <v>2898</v>
      </c>
      <c r="E662" s="22" t="s">
        <v>2899</v>
      </c>
      <c r="F662" s="22" t="n">
        <v>14</v>
      </c>
      <c r="G662" s="26" t="n">
        <v>182.58</v>
      </c>
      <c r="H662" s="26" t="n">
        <v>204.71</v>
      </c>
      <c r="I662" s="26" t="n">
        <v>226.84</v>
      </c>
      <c r="J662" s="26" t="n">
        <v>243.44</v>
      </c>
      <c r="K662" s="26" t="n">
        <v>260.04</v>
      </c>
      <c r="L662" s="26" t="n">
        <v>2.28</v>
      </c>
      <c r="M662" s="27" t="n">
        <v>0.005</v>
      </c>
      <c r="N662" s="27" t="n">
        <v>0.002</v>
      </c>
      <c r="O662" s="26" t="n">
        <v>5</v>
      </c>
      <c r="P662" s="26" t="n">
        <v>5</v>
      </c>
      <c r="Q662" s="28" t="n">
        <v>100</v>
      </c>
      <c r="R662" s="26" t="n">
        <v>30</v>
      </c>
      <c r="S662" s="26" t="n">
        <v>0</v>
      </c>
      <c r="T662" s="28" t="n">
        <v>1</v>
      </c>
      <c r="U662" s="26" t="n">
        <v>0</v>
      </c>
      <c r="V662" s="26" t="n">
        <v>0</v>
      </c>
      <c r="W662" s="22" t="s">
        <v>17</v>
      </c>
      <c r="X662" s="22" t="s">
        <v>373</v>
      </c>
    </row>
    <row r="663" customFormat="false" ht="15" hidden="false" customHeight="false" outlineLevel="0" collapsed="false">
      <c r="A663" s="22" t="s">
        <v>2900</v>
      </c>
      <c r="B663" s="29" t="s">
        <v>17</v>
      </c>
      <c r="C663" s="29" t="s">
        <v>109</v>
      </c>
      <c r="D663" s="22" t="s">
        <v>2901</v>
      </c>
      <c r="E663" s="22" t="s">
        <v>2902</v>
      </c>
      <c r="F663" s="22" t="n">
        <v>12</v>
      </c>
      <c r="G663" s="26" t="n">
        <v>91.58</v>
      </c>
      <c r="H663" s="26" t="n">
        <v>103.1</v>
      </c>
      <c r="I663" s="26" t="n">
        <v>114.62</v>
      </c>
      <c r="J663" s="26" t="n">
        <v>126.14</v>
      </c>
      <c r="K663" s="26" t="n">
        <v>143.42</v>
      </c>
      <c r="L663" s="26" t="n">
        <v>2.06</v>
      </c>
      <c r="M663" s="27" t="n">
        <v>0.005</v>
      </c>
      <c r="N663" s="27" t="n">
        <v>0.002</v>
      </c>
      <c r="O663" s="26" t="n">
        <v>5</v>
      </c>
      <c r="P663" s="26" t="n">
        <v>5</v>
      </c>
      <c r="Q663" s="28" t="n">
        <v>100</v>
      </c>
      <c r="R663" s="26" t="n">
        <v>30</v>
      </c>
      <c r="S663" s="26" t="n">
        <v>0</v>
      </c>
      <c r="T663" s="28" t="n">
        <v>1</v>
      </c>
      <c r="U663" s="26" t="n">
        <v>0</v>
      </c>
      <c r="V663" s="26" t="n">
        <v>0</v>
      </c>
      <c r="W663" s="29" t="s">
        <v>23</v>
      </c>
      <c r="X663" s="22" t="s">
        <v>373</v>
      </c>
    </row>
    <row r="664" customFormat="false" ht="15" hidden="false" customHeight="false" outlineLevel="0" collapsed="false">
      <c r="A664" s="22" t="s">
        <v>2903</v>
      </c>
      <c r="B664" s="22" t="s">
        <v>17</v>
      </c>
      <c r="C664" s="22" t="s">
        <v>2904</v>
      </c>
      <c r="D664" s="22" t="s">
        <v>2905</v>
      </c>
      <c r="E664" s="22" t="s">
        <v>2906</v>
      </c>
      <c r="F664" s="22" t="n">
        <v>14</v>
      </c>
      <c r="G664" s="26" t="n">
        <v>182.58</v>
      </c>
      <c r="H664" s="26" t="n">
        <v>204.71</v>
      </c>
      <c r="I664" s="26" t="n">
        <v>226.84</v>
      </c>
      <c r="J664" s="26" t="n">
        <v>243.44</v>
      </c>
      <c r="K664" s="26" t="n">
        <v>260.04</v>
      </c>
      <c r="L664" s="26" t="n">
        <v>2.28</v>
      </c>
      <c r="M664" s="27" t="n">
        <v>0.005</v>
      </c>
      <c r="N664" s="27" t="n">
        <v>0.002</v>
      </c>
      <c r="O664" s="26" t="n">
        <v>5</v>
      </c>
      <c r="P664" s="26" t="n">
        <v>5</v>
      </c>
      <c r="Q664" s="28" t="n">
        <v>100</v>
      </c>
      <c r="R664" s="26" t="n">
        <v>30</v>
      </c>
      <c r="S664" s="26" t="n">
        <v>0</v>
      </c>
      <c r="T664" s="28" t="n">
        <v>1</v>
      </c>
      <c r="U664" s="26" t="n">
        <v>0</v>
      </c>
      <c r="V664" s="26" t="n">
        <v>0</v>
      </c>
      <c r="W664" s="22" t="s">
        <v>17</v>
      </c>
      <c r="X664" s="22" t="s">
        <v>373</v>
      </c>
    </row>
    <row r="665" customFormat="false" ht="15" hidden="false" customHeight="false" outlineLevel="0" collapsed="false">
      <c r="A665" s="22" t="s">
        <v>2907</v>
      </c>
      <c r="B665" s="22" t="s">
        <v>17</v>
      </c>
      <c r="C665" s="22" t="s">
        <v>2908</v>
      </c>
      <c r="D665" s="22" t="s">
        <v>2909</v>
      </c>
      <c r="E665" s="22" t="s">
        <v>2910</v>
      </c>
      <c r="F665" s="22" t="n">
        <v>14</v>
      </c>
      <c r="G665" s="26" t="n">
        <v>182.58</v>
      </c>
      <c r="H665" s="26" t="n">
        <v>204.71</v>
      </c>
      <c r="I665" s="26" t="n">
        <v>226.84</v>
      </c>
      <c r="J665" s="26" t="n">
        <v>243.44</v>
      </c>
      <c r="K665" s="26" t="n">
        <v>260.04</v>
      </c>
      <c r="L665" s="26" t="n">
        <v>2.28</v>
      </c>
      <c r="M665" s="27" t="n">
        <v>0.005</v>
      </c>
      <c r="N665" s="27" t="n">
        <v>0.002</v>
      </c>
      <c r="O665" s="26" t="n">
        <v>5</v>
      </c>
      <c r="P665" s="26" t="n">
        <v>5</v>
      </c>
      <c r="Q665" s="28" t="n">
        <v>100</v>
      </c>
      <c r="R665" s="26" t="n">
        <v>30</v>
      </c>
      <c r="S665" s="26" t="n">
        <v>0</v>
      </c>
      <c r="T665" s="28" t="n">
        <v>1</v>
      </c>
      <c r="U665" s="26" t="n">
        <v>0</v>
      </c>
      <c r="V665" s="26" t="n">
        <v>0</v>
      </c>
      <c r="W665" s="22" t="s">
        <v>17</v>
      </c>
      <c r="X665" s="22" t="s">
        <v>373</v>
      </c>
    </row>
    <row r="666" customFormat="false" ht="15" hidden="false" customHeight="false" outlineLevel="0" collapsed="false">
      <c r="A666" s="22" t="s">
        <v>2911</v>
      </c>
      <c r="B666" s="22" t="s">
        <v>17</v>
      </c>
      <c r="C666" s="22" t="s">
        <v>2912</v>
      </c>
      <c r="D666" s="22" t="s">
        <v>2913</v>
      </c>
      <c r="E666" s="22" t="s">
        <v>2914</v>
      </c>
      <c r="F666" s="22" t="n">
        <v>14</v>
      </c>
      <c r="G666" s="26" t="n">
        <v>182.58</v>
      </c>
      <c r="H666" s="26" t="n">
        <v>204.71</v>
      </c>
      <c r="I666" s="26" t="n">
        <v>226.84</v>
      </c>
      <c r="J666" s="26" t="n">
        <v>243.44</v>
      </c>
      <c r="K666" s="26" t="n">
        <v>260.04</v>
      </c>
      <c r="L666" s="26" t="n">
        <v>2.28</v>
      </c>
      <c r="M666" s="27" t="n">
        <v>0.005</v>
      </c>
      <c r="N666" s="27" t="n">
        <v>0.002</v>
      </c>
      <c r="O666" s="26" t="n">
        <v>5</v>
      </c>
      <c r="P666" s="26" t="n">
        <v>5</v>
      </c>
      <c r="Q666" s="28" t="n">
        <v>100</v>
      </c>
      <c r="R666" s="26" t="n">
        <v>30</v>
      </c>
      <c r="S666" s="26" t="n">
        <v>0</v>
      </c>
      <c r="T666" s="28" t="n">
        <v>1</v>
      </c>
      <c r="U666" s="26" t="n">
        <v>0</v>
      </c>
      <c r="V666" s="26" t="n">
        <v>0</v>
      </c>
      <c r="W666" s="22" t="s">
        <v>17</v>
      </c>
      <c r="X666" s="22" t="s">
        <v>373</v>
      </c>
    </row>
    <row r="667" customFormat="false" ht="15" hidden="false" customHeight="false" outlineLevel="0" collapsed="false">
      <c r="A667" s="22" t="s">
        <v>2915</v>
      </c>
      <c r="B667" s="29" t="s">
        <v>17</v>
      </c>
      <c r="C667" s="29" t="s">
        <v>2916</v>
      </c>
      <c r="D667" s="22" t="s">
        <v>2917</v>
      </c>
      <c r="E667" s="22" t="s">
        <v>2918</v>
      </c>
      <c r="F667" s="22" t="n">
        <v>14</v>
      </c>
      <c r="G667" s="26" t="n">
        <v>99.55</v>
      </c>
      <c r="H667" s="26" t="n">
        <v>109.56</v>
      </c>
      <c r="I667" s="26" t="n">
        <v>129.6</v>
      </c>
      <c r="J667" s="26" t="n">
        <v>139.62</v>
      </c>
      <c r="K667" s="26" t="n">
        <v>154.64</v>
      </c>
      <c r="L667" s="26" t="n">
        <v>2.06</v>
      </c>
      <c r="M667" s="27" t="n">
        <v>0.005</v>
      </c>
      <c r="N667" s="27" t="n">
        <v>0.002</v>
      </c>
      <c r="O667" s="26" t="n">
        <v>5</v>
      </c>
      <c r="P667" s="26" t="n">
        <v>5</v>
      </c>
      <c r="Q667" s="28" t="n">
        <v>100</v>
      </c>
      <c r="R667" s="26" t="n">
        <v>30</v>
      </c>
      <c r="S667" s="26" t="n">
        <v>0</v>
      </c>
      <c r="T667" s="28" t="n">
        <v>1</v>
      </c>
      <c r="U667" s="26" t="n">
        <v>0</v>
      </c>
      <c r="V667" s="26" t="n">
        <v>0</v>
      </c>
      <c r="W667" s="29" t="s">
        <v>19</v>
      </c>
      <c r="X667" s="22" t="s">
        <v>373</v>
      </c>
    </row>
    <row r="668" customFormat="false" ht="15" hidden="false" customHeight="false" outlineLevel="0" collapsed="false">
      <c r="A668" s="22" t="s">
        <v>2919</v>
      </c>
      <c r="B668" s="22" t="s">
        <v>17</v>
      </c>
      <c r="C668" s="22" t="s">
        <v>2920</v>
      </c>
      <c r="D668" s="22" t="s">
        <v>2921</v>
      </c>
      <c r="E668" s="22" t="s">
        <v>2922</v>
      </c>
      <c r="F668" s="22" t="n">
        <v>14</v>
      </c>
      <c r="G668" s="26" t="n">
        <v>182.58</v>
      </c>
      <c r="H668" s="26" t="n">
        <v>204.71</v>
      </c>
      <c r="I668" s="26" t="n">
        <v>226.84</v>
      </c>
      <c r="J668" s="26" t="n">
        <v>243.44</v>
      </c>
      <c r="K668" s="26" t="n">
        <v>260.04</v>
      </c>
      <c r="L668" s="26" t="n">
        <v>2.28</v>
      </c>
      <c r="M668" s="27" t="n">
        <v>0.005</v>
      </c>
      <c r="N668" s="27" t="n">
        <v>0.002</v>
      </c>
      <c r="O668" s="26" t="n">
        <v>5</v>
      </c>
      <c r="P668" s="26" t="n">
        <v>5</v>
      </c>
      <c r="Q668" s="28" t="n">
        <v>100</v>
      </c>
      <c r="R668" s="26" t="n">
        <v>30</v>
      </c>
      <c r="S668" s="26" t="n">
        <v>0</v>
      </c>
      <c r="T668" s="28" t="n">
        <v>1</v>
      </c>
      <c r="U668" s="26" t="n">
        <v>0</v>
      </c>
      <c r="V668" s="26" t="n">
        <v>0</v>
      </c>
      <c r="W668" s="22" t="s">
        <v>17</v>
      </c>
      <c r="X668" s="22" t="s">
        <v>373</v>
      </c>
    </row>
    <row r="669" customFormat="false" ht="15" hidden="false" customHeight="false" outlineLevel="0" collapsed="false">
      <c r="A669" s="22" t="s">
        <v>2923</v>
      </c>
      <c r="B669" s="22" t="s">
        <v>17</v>
      </c>
      <c r="C669" s="22" t="s">
        <v>2924</v>
      </c>
      <c r="D669" s="22" t="s">
        <v>2925</v>
      </c>
      <c r="E669" s="22" t="s">
        <v>2926</v>
      </c>
      <c r="F669" s="22" t="n">
        <v>14</v>
      </c>
      <c r="G669" s="26" t="n">
        <v>182.58</v>
      </c>
      <c r="H669" s="26" t="n">
        <v>204.71</v>
      </c>
      <c r="I669" s="26" t="n">
        <v>226.84</v>
      </c>
      <c r="J669" s="26" t="n">
        <v>243.44</v>
      </c>
      <c r="K669" s="26" t="n">
        <v>260.04</v>
      </c>
      <c r="L669" s="26" t="n">
        <v>2.28</v>
      </c>
      <c r="M669" s="27" t="n">
        <v>0.005</v>
      </c>
      <c r="N669" s="27" t="n">
        <v>0.002</v>
      </c>
      <c r="O669" s="26" t="n">
        <v>5</v>
      </c>
      <c r="P669" s="26" t="n">
        <v>5</v>
      </c>
      <c r="Q669" s="28" t="n">
        <v>100</v>
      </c>
      <c r="R669" s="26" t="n">
        <v>30</v>
      </c>
      <c r="S669" s="26" t="n">
        <v>0</v>
      </c>
      <c r="T669" s="28" t="n">
        <v>1</v>
      </c>
      <c r="U669" s="26" t="n">
        <v>0</v>
      </c>
      <c r="V669" s="26" t="n">
        <v>0</v>
      </c>
      <c r="W669" s="22" t="s">
        <v>17</v>
      </c>
      <c r="X669" s="22" t="s">
        <v>373</v>
      </c>
    </row>
    <row r="670" customFormat="false" ht="15" hidden="false" customHeight="false" outlineLevel="0" collapsed="false">
      <c r="A670" s="22" t="s">
        <v>2927</v>
      </c>
      <c r="B670" s="22" t="s">
        <v>17</v>
      </c>
      <c r="C670" s="22" t="s">
        <v>2928</v>
      </c>
      <c r="D670" s="22" t="s">
        <v>2929</v>
      </c>
      <c r="E670" s="22" t="s">
        <v>2930</v>
      </c>
      <c r="F670" s="22" t="n">
        <v>14</v>
      </c>
      <c r="G670" s="26" t="n">
        <v>182.58</v>
      </c>
      <c r="H670" s="26" t="n">
        <v>204.71</v>
      </c>
      <c r="I670" s="26" t="n">
        <v>226.84</v>
      </c>
      <c r="J670" s="26" t="n">
        <v>243.44</v>
      </c>
      <c r="K670" s="26" t="n">
        <v>260.04</v>
      </c>
      <c r="L670" s="26" t="n">
        <v>2.28</v>
      </c>
      <c r="M670" s="27" t="n">
        <v>0.005</v>
      </c>
      <c r="N670" s="27" t="n">
        <v>0.002</v>
      </c>
      <c r="O670" s="26" t="n">
        <v>5</v>
      </c>
      <c r="P670" s="26" t="n">
        <v>5</v>
      </c>
      <c r="Q670" s="28" t="n">
        <v>100</v>
      </c>
      <c r="R670" s="26" t="n">
        <v>30</v>
      </c>
      <c r="S670" s="26" t="n">
        <v>0</v>
      </c>
      <c r="T670" s="28" t="n">
        <v>1</v>
      </c>
      <c r="U670" s="26" t="n">
        <v>0</v>
      </c>
      <c r="V670" s="26" t="n">
        <v>0</v>
      </c>
      <c r="W670" s="22" t="s">
        <v>17</v>
      </c>
      <c r="X670" s="22" t="s">
        <v>373</v>
      </c>
    </row>
    <row r="671" customFormat="false" ht="15" hidden="false" customHeight="false" outlineLevel="0" collapsed="false">
      <c r="A671" s="22" t="s">
        <v>2931</v>
      </c>
      <c r="B671" s="22" t="s">
        <v>17</v>
      </c>
      <c r="C671" s="22" t="s">
        <v>2932</v>
      </c>
      <c r="D671" s="22" t="s">
        <v>2933</v>
      </c>
      <c r="E671" s="22" t="s">
        <v>2934</v>
      </c>
      <c r="F671" s="22" t="n">
        <v>14</v>
      </c>
      <c r="G671" s="26" t="n">
        <v>182.58</v>
      </c>
      <c r="H671" s="26" t="n">
        <v>204.71</v>
      </c>
      <c r="I671" s="26" t="n">
        <v>226.84</v>
      </c>
      <c r="J671" s="26" t="n">
        <v>243.44</v>
      </c>
      <c r="K671" s="26" t="n">
        <v>260.04</v>
      </c>
      <c r="L671" s="26" t="n">
        <v>2.28</v>
      </c>
      <c r="M671" s="27" t="n">
        <v>0.005</v>
      </c>
      <c r="N671" s="27" t="n">
        <v>0.002</v>
      </c>
      <c r="O671" s="26" t="n">
        <v>5</v>
      </c>
      <c r="P671" s="26" t="n">
        <v>5</v>
      </c>
      <c r="Q671" s="28" t="n">
        <v>100</v>
      </c>
      <c r="R671" s="26" t="n">
        <v>30</v>
      </c>
      <c r="S671" s="26" t="n">
        <v>0</v>
      </c>
      <c r="T671" s="28" t="n">
        <v>1</v>
      </c>
      <c r="U671" s="26" t="n">
        <v>0</v>
      </c>
      <c r="V671" s="26" t="n">
        <v>250</v>
      </c>
      <c r="W671" s="22" t="s">
        <v>17</v>
      </c>
      <c r="X671" s="22" t="s">
        <v>373</v>
      </c>
    </row>
    <row r="672" customFormat="false" ht="15" hidden="false" customHeight="false" outlineLevel="0" collapsed="false">
      <c r="A672" s="22" t="s">
        <v>2935</v>
      </c>
      <c r="B672" s="22" t="s">
        <v>17</v>
      </c>
      <c r="C672" s="22" t="s">
        <v>2936</v>
      </c>
      <c r="D672" s="22" t="s">
        <v>2937</v>
      </c>
      <c r="E672" s="22" t="s">
        <v>2938</v>
      </c>
      <c r="F672" s="22" t="n">
        <v>14</v>
      </c>
      <c r="G672" s="26" t="n">
        <v>182.58</v>
      </c>
      <c r="H672" s="26" t="n">
        <v>204.71</v>
      </c>
      <c r="I672" s="26" t="n">
        <v>226.84</v>
      </c>
      <c r="J672" s="26" t="n">
        <v>243.44</v>
      </c>
      <c r="K672" s="26" t="n">
        <v>260.04</v>
      </c>
      <c r="L672" s="26" t="n">
        <v>2.28</v>
      </c>
      <c r="M672" s="27" t="n">
        <v>0.005</v>
      </c>
      <c r="N672" s="27" t="n">
        <v>0.002</v>
      </c>
      <c r="O672" s="26" t="n">
        <v>5</v>
      </c>
      <c r="P672" s="26" t="n">
        <v>5</v>
      </c>
      <c r="Q672" s="28" t="n">
        <v>100</v>
      </c>
      <c r="R672" s="26" t="n">
        <v>30</v>
      </c>
      <c r="S672" s="26" t="n">
        <v>0</v>
      </c>
      <c r="T672" s="28" t="n">
        <v>1</v>
      </c>
      <c r="U672" s="26" t="n">
        <v>0</v>
      </c>
      <c r="V672" s="26" t="n">
        <v>0</v>
      </c>
      <c r="W672" s="22" t="s">
        <v>17</v>
      </c>
      <c r="X672" s="22" t="s">
        <v>373</v>
      </c>
    </row>
    <row r="673" customFormat="false" ht="15" hidden="false" customHeight="false" outlineLevel="0" collapsed="false">
      <c r="A673" s="22" t="s">
        <v>2939</v>
      </c>
      <c r="B673" s="22" t="s">
        <v>17</v>
      </c>
      <c r="C673" s="22" t="s">
        <v>2940</v>
      </c>
      <c r="D673" s="22" t="s">
        <v>2941</v>
      </c>
      <c r="E673" s="22" t="s">
        <v>2942</v>
      </c>
      <c r="F673" s="22" t="n">
        <v>14</v>
      </c>
      <c r="G673" s="26" t="n">
        <v>182.58</v>
      </c>
      <c r="H673" s="26" t="n">
        <v>204.71</v>
      </c>
      <c r="I673" s="26" t="n">
        <v>226.84</v>
      </c>
      <c r="J673" s="26" t="n">
        <v>243.44</v>
      </c>
      <c r="K673" s="26" t="n">
        <v>260.04</v>
      </c>
      <c r="L673" s="26" t="n">
        <v>2.28</v>
      </c>
      <c r="M673" s="27" t="n">
        <v>0.005</v>
      </c>
      <c r="N673" s="27" t="n">
        <v>0.002</v>
      </c>
      <c r="O673" s="26" t="n">
        <v>5</v>
      </c>
      <c r="P673" s="26" t="n">
        <v>5</v>
      </c>
      <c r="Q673" s="28" t="n">
        <v>100</v>
      </c>
      <c r="R673" s="26" t="n">
        <v>30</v>
      </c>
      <c r="S673" s="26" t="n">
        <v>0</v>
      </c>
      <c r="T673" s="28" t="n">
        <v>1</v>
      </c>
      <c r="U673" s="26" t="n">
        <v>0</v>
      </c>
      <c r="V673" s="26" t="n">
        <v>0</v>
      </c>
      <c r="W673" s="22" t="s">
        <v>17</v>
      </c>
      <c r="X673" s="22" t="s">
        <v>373</v>
      </c>
    </row>
    <row r="674" customFormat="false" ht="15" hidden="false" customHeight="false" outlineLevel="0" collapsed="false">
      <c r="A674" s="22" t="s">
        <v>2943</v>
      </c>
      <c r="B674" s="22" t="s">
        <v>17</v>
      </c>
      <c r="C674" s="22" t="s">
        <v>2944</v>
      </c>
      <c r="D674" s="22" t="s">
        <v>2945</v>
      </c>
      <c r="E674" s="22" t="s">
        <v>2946</v>
      </c>
      <c r="F674" s="22" t="n">
        <v>14</v>
      </c>
      <c r="G674" s="26" t="n">
        <v>182.58</v>
      </c>
      <c r="H674" s="26" t="n">
        <v>204.71</v>
      </c>
      <c r="I674" s="26" t="n">
        <v>226.84</v>
      </c>
      <c r="J674" s="26" t="n">
        <v>243.44</v>
      </c>
      <c r="K674" s="26" t="n">
        <v>260.04</v>
      </c>
      <c r="L674" s="26" t="n">
        <v>2.28</v>
      </c>
      <c r="M674" s="27" t="n">
        <v>0.005</v>
      </c>
      <c r="N674" s="27" t="n">
        <v>0.002</v>
      </c>
      <c r="O674" s="26" t="n">
        <v>5</v>
      </c>
      <c r="P674" s="26" t="n">
        <v>5</v>
      </c>
      <c r="Q674" s="28" t="n">
        <v>100</v>
      </c>
      <c r="R674" s="26" t="n">
        <v>30</v>
      </c>
      <c r="S674" s="26" t="n">
        <v>0</v>
      </c>
      <c r="T674" s="28" t="n">
        <v>1</v>
      </c>
      <c r="U674" s="26" t="n">
        <v>0</v>
      </c>
      <c r="V674" s="26" t="n">
        <v>0</v>
      </c>
      <c r="W674" s="22" t="s">
        <v>17</v>
      </c>
      <c r="X674" s="22" t="s">
        <v>373</v>
      </c>
    </row>
    <row r="675" customFormat="false" ht="15" hidden="false" customHeight="false" outlineLevel="0" collapsed="false">
      <c r="A675" s="22" t="s">
        <v>2947</v>
      </c>
      <c r="B675" s="22" t="s">
        <v>17</v>
      </c>
      <c r="C675" s="22" t="s">
        <v>2948</v>
      </c>
      <c r="D675" s="22" t="s">
        <v>2949</v>
      </c>
      <c r="E675" s="22" t="s">
        <v>2950</v>
      </c>
      <c r="F675" s="22" t="n">
        <v>14</v>
      </c>
      <c r="G675" s="26" t="n">
        <v>182.58</v>
      </c>
      <c r="H675" s="26" t="n">
        <v>204.71</v>
      </c>
      <c r="I675" s="26" t="n">
        <v>226.84</v>
      </c>
      <c r="J675" s="26" t="n">
        <v>243.44</v>
      </c>
      <c r="K675" s="26" t="n">
        <v>260.04</v>
      </c>
      <c r="L675" s="26" t="n">
        <v>2.28</v>
      </c>
      <c r="M675" s="27" t="n">
        <v>0.005</v>
      </c>
      <c r="N675" s="27" t="n">
        <v>0.002</v>
      </c>
      <c r="O675" s="26" t="n">
        <v>5</v>
      </c>
      <c r="P675" s="26" t="n">
        <v>5</v>
      </c>
      <c r="Q675" s="28" t="n">
        <v>100</v>
      </c>
      <c r="R675" s="26" t="n">
        <v>30</v>
      </c>
      <c r="S675" s="26" t="n">
        <v>0</v>
      </c>
      <c r="T675" s="28" t="n">
        <v>1</v>
      </c>
      <c r="U675" s="26" t="n">
        <v>0</v>
      </c>
      <c r="V675" s="26" t="n">
        <v>0</v>
      </c>
      <c r="W675" s="22" t="s">
        <v>17</v>
      </c>
      <c r="X675" s="22" t="s">
        <v>373</v>
      </c>
    </row>
    <row r="676" customFormat="false" ht="15" hidden="false" customHeight="false" outlineLevel="0" collapsed="false">
      <c r="A676" s="22" t="s">
        <v>2951</v>
      </c>
      <c r="B676" s="22" t="s">
        <v>17</v>
      </c>
      <c r="C676" s="22" t="s">
        <v>2952</v>
      </c>
      <c r="D676" s="22" t="s">
        <v>2953</v>
      </c>
      <c r="E676" s="22" t="s">
        <v>2954</v>
      </c>
      <c r="F676" s="22" t="n">
        <v>14</v>
      </c>
      <c r="G676" s="26" t="n">
        <v>182.58</v>
      </c>
      <c r="H676" s="26" t="n">
        <v>204.71</v>
      </c>
      <c r="I676" s="26" t="n">
        <v>226.84</v>
      </c>
      <c r="J676" s="26" t="n">
        <v>243.44</v>
      </c>
      <c r="K676" s="26" t="n">
        <v>260.04</v>
      </c>
      <c r="L676" s="26" t="n">
        <v>2.28</v>
      </c>
      <c r="M676" s="27" t="n">
        <v>0.005</v>
      </c>
      <c r="N676" s="27" t="n">
        <v>0.002</v>
      </c>
      <c r="O676" s="26" t="n">
        <v>5</v>
      </c>
      <c r="P676" s="26" t="n">
        <v>5</v>
      </c>
      <c r="Q676" s="28" t="n">
        <v>100</v>
      </c>
      <c r="R676" s="26" t="n">
        <v>30</v>
      </c>
      <c r="S676" s="26" t="n">
        <v>0</v>
      </c>
      <c r="T676" s="28" t="n">
        <v>1</v>
      </c>
      <c r="U676" s="26" t="n">
        <v>0</v>
      </c>
      <c r="V676" s="26" t="n">
        <v>0</v>
      </c>
      <c r="W676" s="22" t="s">
        <v>17</v>
      </c>
      <c r="X676" s="22" t="s">
        <v>373</v>
      </c>
    </row>
    <row r="677" customFormat="false" ht="15" hidden="false" customHeight="false" outlineLevel="0" collapsed="false">
      <c r="A677" s="22" t="s">
        <v>2955</v>
      </c>
      <c r="B677" s="22" t="s">
        <v>17</v>
      </c>
      <c r="C677" s="22" t="s">
        <v>2956</v>
      </c>
      <c r="D677" s="22" t="s">
        <v>2957</v>
      </c>
      <c r="E677" s="22" t="s">
        <v>2958</v>
      </c>
      <c r="F677" s="22" t="n">
        <v>14</v>
      </c>
      <c r="G677" s="26" t="n">
        <v>182.58</v>
      </c>
      <c r="H677" s="26" t="n">
        <v>204.71</v>
      </c>
      <c r="I677" s="26" t="n">
        <v>226.84</v>
      </c>
      <c r="J677" s="26" t="n">
        <v>243.44</v>
      </c>
      <c r="K677" s="26" t="n">
        <v>260.04</v>
      </c>
      <c r="L677" s="26" t="n">
        <v>2.28</v>
      </c>
      <c r="M677" s="27" t="n">
        <v>0.005</v>
      </c>
      <c r="N677" s="27" t="n">
        <v>0.002</v>
      </c>
      <c r="O677" s="26" t="n">
        <v>5</v>
      </c>
      <c r="P677" s="26" t="n">
        <v>5</v>
      </c>
      <c r="Q677" s="28" t="n">
        <v>100</v>
      </c>
      <c r="R677" s="26" t="n">
        <v>30</v>
      </c>
      <c r="S677" s="26" t="n">
        <v>0</v>
      </c>
      <c r="T677" s="28" t="n">
        <v>1</v>
      </c>
      <c r="U677" s="26" t="n">
        <v>0</v>
      </c>
      <c r="V677" s="26" t="n">
        <v>0</v>
      </c>
      <c r="W677" s="22" t="s">
        <v>17</v>
      </c>
      <c r="X677" s="22" t="s">
        <v>373</v>
      </c>
    </row>
    <row r="678" customFormat="false" ht="15" hidden="false" customHeight="false" outlineLevel="0" collapsed="false">
      <c r="A678" s="22" t="s">
        <v>2959</v>
      </c>
      <c r="B678" s="22" t="s">
        <v>17</v>
      </c>
      <c r="C678" s="22" t="s">
        <v>2960</v>
      </c>
      <c r="D678" s="22" t="s">
        <v>2961</v>
      </c>
      <c r="E678" s="22" t="s">
        <v>2962</v>
      </c>
      <c r="F678" s="22" t="n">
        <v>14</v>
      </c>
      <c r="G678" s="26" t="n">
        <v>182.58</v>
      </c>
      <c r="H678" s="26" t="n">
        <v>204.71</v>
      </c>
      <c r="I678" s="26" t="n">
        <v>226.84</v>
      </c>
      <c r="J678" s="26" t="n">
        <v>243.44</v>
      </c>
      <c r="K678" s="26" t="n">
        <v>260.04</v>
      </c>
      <c r="L678" s="26" t="n">
        <v>2.28</v>
      </c>
      <c r="M678" s="27" t="n">
        <v>0.005</v>
      </c>
      <c r="N678" s="27" t="n">
        <v>0.002</v>
      </c>
      <c r="O678" s="26" t="n">
        <v>5</v>
      </c>
      <c r="P678" s="26" t="n">
        <v>5</v>
      </c>
      <c r="Q678" s="28" t="n">
        <v>100</v>
      </c>
      <c r="R678" s="26" t="n">
        <v>30</v>
      </c>
      <c r="S678" s="26" t="n">
        <v>0</v>
      </c>
      <c r="T678" s="28" t="n">
        <v>1</v>
      </c>
      <c r="U678" s="26" t="n">
        <v>0</v>
      </c>
      <c r="V678" s="26" t="n">
        <v>250</v>
      </c>
      <c r="W678" s="22" t="s">
        <v>17</v>
      </c>
      <c r="X678" s="22" t="s">
        <v>373</v>
      </c>
    </row>
    <row r="679" customFormat="false" ht="15" hidden="false" customHeight="false" outlineLevel="0" collapsed="false">
      <c r="A679" s="22" t="s">
        <v>2963</v>
      </c>
      <c r="B679" s="22" t="s">
        <v>17</v>
      </c>
      <c r="C679" s="22" t="s">
        <v>2964</v>
      </c>
      <c r="D679" s="22" t="s">
        <v>2965</v>
      </c>
      <c r="E679" s="22" t="s">
        <v>2966</v>
      </c>
      <c r="F679" s="22" t="n">
        <v>14</v>
      </c>
      <c r="G679" s="26" t="n">
        <v>182.58</v>
      </c>
      <c r="H679" s="26" t="n">
        <v>204.71</v>
      </c>
      <c r="I679" s="26" t="n">
        <v>226.84</v>
      </c>
      <c r="J679" s="26" t="n">
        <v>243.44</v>
      </c>
      <c r="K679" s="26" t="n">
        <v>260.04</v>
      </c>
      <c r="L679" s="26" t="n">
        <v>2.28</v>
      </c>
      <c r="M679" s="27" t="n">
        <v>0.005</v>
      </c>
      <c r="N679" s="27" t="n">
        <v>0.002</v>
      </c>
      <c r="O679" s="26" t="n">
        <v>5</v>
      </c>
      <c r="P679" s="26" t="n">
        <v>5</v>
      </c>
      <c r="Q679" s="28" t="n">
        <v>100</v>
      </c>
      <c r="R679" s="26" t="n">
        <v>30</v>
      </c>
      <c r="S679" s="26" t="n">
        <v>0</v>
      </c>
      <c r="T679" s="28" t="n">
        <v>1</v>
      </c>
      <c r="U679" s="26" t="n">
        <v>0</v>
      </c>
      <c r="V679" s="26" t="n">
        <v>0</v>
      </c>
      <c r="W679" s="22" t="s">
        <v>17</v>
      </c>
      <c r="X679" s="22" t="s">
        <v>373</v>
      </c>
    </row>
    <row r="680" customFormat="false" ht="15" hidden="false" customHeight="false" outlineLevel="0" collapsed="false">
      <c r="A680" s="22" t="s">
        <v>2967</v>
      </c>
      <c r="B680" s="22" t="s">
        <v>17</v>
      </c>
      <c r="C680" s="22" t="s">
        <v>2968</v>
      </c>
      <c r="D680" s="22" t="s">
        <v>2969</v>
      </c>
      <c r="E680" s="22" t="s">
        <v>2970</v>
      </c>
      <c r="F680" s="22" t="n">
        <v>14</v>
      </c>
      <c r="G680" s="26" t="n">
        <v>182.58</v>
      </c>
      <c r="H680" s="26" t="n">
        <v>204.71</v>
      </c>
      <c r="I680" s="26" t="n">
        <v>226.84</v>
      </c>
      <c r="J680" s="26" t="n">
        <v>243.44</v>
      </c>
      <c r="K680" s="26" t="n">
        <v>260.04</v>
      </c>
      <c r="L680" s="26" t="n">
        <v>2.28</v>
      </c>
      <c r="M680" s="27" t="n">
        <v>0.005</v>
      </c>
      <c r="N680" s="27" t="n">
        <v>0.002</v>
      </c>
      <c r="O680" s="26" t="n">
        <v>5</v>
      </c>
      <c r="P680" s="26" t="n">
        <v>5</v>
      </c>
      <c r="Q680" s="28" t="n">
        <v>100</v>
      </c>
      <c r="R680" s="26" t="n">
        <v>30</v>
      </c>
      <c r="S680" s="26" t="n">
        <v>0</v>
      </c>
      <c r="T680" s="28" t="n">
        <v>1</v>
      </c>
      <c r="U680" s="26" t="n">
        <v>0</v>
      </c>
      <c r="V680" s="26" t="n">
        <v>0</v>
      </c>
      <c r="W680" s="22" t="s">
        <v>17</v>
      </c>
      <c r="X680" s="22" t="s">
        <v>373</v>
      </c>
    </row>
    <row r="681" customFormat="false" ht="15" hidden="false" customHeight="false" outlineLevel="0" collapsed="false">
      <c r="A681" s="22" t="s">
        <v>2971</v>
      </c>
      <c r="B681" s="22" t="s">
        <v>17</v>
      </c>
      <c r="C681" s="22" t="s">
        <v>2972</v>
      </c>
      <c r="D681" s="22" t="s">
        <v>2973</v>
      </c>
      <c r="E681" s="22" t="s">
        <v>2974</v>
      </c>
      <c r="F681" s="22" t="n">
        <v>14</v>
      </c>
      <c r="G681" s="26" t="n">
        <v>182.58</v>
      </c>
      <c r="H681" s="26" t="n">
        <v>204.71</v>
      </c>
      <c r="I681" s="26" t="n">
        <v>226.84</v>
      </c>
      <c r="J681" s="26" t="n">
        <v>243.44</v>
      </c>
      <c r="K681" s="26" t="n">
        <v>260.04</v>
      </c>
      <c r="L681" s="26" t="n">
        <v>2.28</v>
      </c>
      <c r="M681" s="27" t="n">
        <v>0.005</v>
      </c>
      <c r="N681" s="27" t="n">
        <v>0.002</v>
      </c>
      <c r="O681" s="26" t="n">
        <v>5</v>
      </c>
      <c r="P681" s="26" t="n">
        <v>5</v>
      </c>
      <c r="Q681" s="28" t="n">
        <v>100</v>
      </c>
      <c r="R681" s="26" t="n">
        <v>30</v>
      </c>
      <c r="S681" s="26" t="n">
        <v>0</v>
      </c>
      <c r="T681" s="28" t="n">
        <v>1</v>
      </c>
      <c r="U681" s="26" t="n">
        <v>0</v>
      </c>
      <c r="V681" s="26" t="n">
        <v>0</v>
      </c>
      <c r="W681" s="22" t="s">
        <v>17</v>
      </c>
      <c r="X681" s="22" t="s">
        <v>373</v>
      </c>
    </row>
    <row r="682" customFormat="false" ht="15" hidden="false" customHeight="false" outlineLevel="0" collapsed="false">
      <c r="A682" s="22" t="s">
        <v>2975</v>
      </c>
      <c r="B682" s="22" t="s">
        <v>17</v>
      </c>
      <c r="C682" s="22" t="s">
        <v>2976</v>
      </c>
      <c r="D682" s="22" t="s">
        <v>2977</v>
      </c>
      <c r="E682" s="22" t="s">
        <v>2978</v>
      </c>
      <c r="F682" s="22" t="n">
        <v>14</v>
      </c>
      <c r="G682" s="26" t="n">
        <v>182.58</v>
      </c>
      <c r="H682" s="26" t="n">
        <v>204.71</v>
      </c>
      <c r="I682" s="26" t="n">
        <v>226.84</v>
      </c>
      <c r="J682" s="26" t="n">
        <v>243.44</v>
      </c>
      <c r="K682" s="26" t="n">
        <v>260.04</v>
      </c>
      <c r="L682" s="26" t="n">
        <v>2.28</v>
      </c>
      <c r="M682" s="27" t="n">
        <v>0.005</v>
      </c>
      <c r="N682" s="27" t="n">
        <v>0.002</v>
      </c>
      <c r="O682" s="26" t="n">
        <v>5</v>
      </c>
      <c r="P682" s="26" t="n">
        <v>5</v>
      </c>
      <c r="Q682" s="28" t="n">
        <v>100</v>
      </c>
      <c r="R682" s="26" t="n">
        <v>30</v>
      </c>
      <c r="S682" s="26" t="n">
        <v>0</v>
      </c>
      <c r="T682" s="28" t="n">
        <v>1</v>
      </c>
      <c r="U682" s="26" t="n">
        <v>0</v>
      </c>
      <c r="V682" s="26" t="n">
        <v>0</v>
      </c>
      <c r="W682" s="22" t="s">
        <v>17</v>
      </c>
      <c r="X682" s="22" t="s">
        <v>373</v>
      </c>
    </row>
    <row r="683" customFormat="false" ht="15" hidden="false" customHeight="false" outlineLevel="0" collapsed="false">
      <c r="A683" s="22" t="s">
        <v>2979</v>
      </c>
      <c r="B683" s="22" t="s">
        <v>17</v>
      </c>
      <c r="C683" s="22" t="s">
        <v>2980</v>
      </c>
      <c r="D683" s="22" t="s">
        <v>2981</v>
      </c>
      <c r="E683" s="22" t="s">
        <v>2982</v>
      </c>
      <c r="F683" s="22" t="n">
        <v>14</v>
      </c>
      <c r="G683" s="26" t="n">
        <v>182.58</v>
      </c>
      <c r="H683" s="26" t="n">
        <v>204.71</v>
      </c>
      <c r="I683" s="26" t="n">
        <v>226.84</v>
      </c>
      <c r="J683" s="26" t="n">
        <v>243.44</v>
      </c>
      <c r="K683" s="26" t="n">
        <v>260.04</v>
      </c>
      <c r="L683" s="26" t="n">
        <v>2.28</v>
      </c>
      <c r="M683" s="27" t="n">
        <v>0.005</v>
      </c>
      <c r="N683" s="27" t="n">
        <v>0.002</v>
      </c>
      <c r="O683" s="26" t="n">
        <v>5</v>
      </c>
      <c r="P683" s="26" t="n">
        <v>5</v>
      </c>
      <c r="Q683" s="28" t="n">
        <v>100</v>
      </c>
      <c r="R683" s="26" t="n">
        <v>30</v>
      </c>
      <c r="S683" s="26" t="n">
        <v>0</v>
      </c>
      <c r="T683" s="28" t="n">
        <v>1</v>
      </c>
      <c r="U683" s="26" t="n">
        <v>0</v>
      </c>
      <c r="V683" s="26" t="n">
        <v>0</v>
      </c>
      <c r="W683" s="22" t="s">
        <v>17</v>
      </c>
      <c r="X683" s="22" t="s">
        <v>373</v>
      </c>
    </row>
    <row r="684" customFormat="false" ht="15" hidden="false" customHeight="false" outlineLevel="0" collapsed="false">
      <c r="A684" s="22" t="s">
        <v>2983</v>
      </c>
      <c r="B684" s="22" t="s">
        <v>17</v>
      </c>
      <c r="C684" s="22" t="s">
        <v>2984</v>
      </c>
      <c r="D684" s="22" t="s">
        <v>2985</v>
      </c>
      <c r="E684" s="22" t="s">
        <v>2986</v>
      </c>
      <c r="F684" s="22" t="n">
        <v>14</v>
      </c>
      <c r="G684" s="26" t="n">
        <v>182.58</v>
      </c>
      <c r="H684" s="26" t="n">
        <v>204.71</v>
      </c>
      <c r="I684" s="26" t="n">
        <v>226.84</v>
      </c>
      <c r="J684" s="26" t="n">
        <v>243.44</v>
      </c>
      <c r="K684" s="26" t="n">
        <v>260.04</v>
      </c>
      <c r="L684" s="26" t="n">
        <v>2.28</v>
      </c>
      <c r="M684" s="27" t="n">
        <v>0.005</v>
      </c>
      <c r="N684" s="27" t="n">
        <v>0.002</v>
      </c>
      <c r="O684" s="26" t="n">
        <v>5</v>
      </c>
      <c r="P684" s="26" t="n">
        <v>5</v>
      </c>
      <c r="Q684" s="28" t="n">
        <v>100</v>
      </c>
      <c r="R684" s="26" t="n">
        <v>30</v>
      </c>
      <c r="S684" s="26" t="n">
        <v>0</v>
      </c>
      <c r="T684" s="28" t="n">
        <v>1</v>
      </c>
      <c r="U684" s="26" t="n">
        <v>0</v>
      </c>
      <c r="V684" s="26" t="n">
        <v>0</v>
      </c>
      <c r="W684" s="22" t="s">
        <v>17</v>
      </c>
      <c r="X684" s="22" t="s">
        <v>373</v>
      </c>
    </row>
    <row r="685" customFormat="false" ht="15" hidden="false" customHeight="false" outlineLevel="0" collapsed="false">
      <c r="A685" s="22" t="s">
        <v>2987</v>
      </c>
      <c r="B685" s="22" t="s">
        <v>17</v>
      </c>
      <c r="C685" s="22" t="s">
        <v>2988</v>
      </c>
      <c r="D685" s="22" t="s">
        <v>2989</v>
      </c>
      <c r="E685" s="22" t="s">
        <v>2990</v>
      </c>
      <c r="F685" s="22" t="n">
        <v>14</v>
      </c>
      <c r="G685" s="26" t="n">
        <v>182.58</v>
      </c>
      <c r="H685" s="26" t="n">
        <v>204.71</v>
      </c>
      <c r="I685" s="26" t="n">
        <v>226.84</v>
      </c>
      <c r="J685" s="26" t="n">
        <v>243.44</v>
      </c>
      <c r="K685" s="26" t="n">
        <v>260.04</v>
      </c>
      <c r="L685" s="26" t="n">
        <v>2.28</v>
      </c>
      <c r="M685" s="27" t="n">
        <v>0.005</v>
      </c>
      <c r="N685" s="27" t="n">
        <v>0.002</v>
      </c>
      <c r="O685" s="26" t="n">
        <v>5</v>
      </c>
      <c r="P685" s="26" t="n">
        <v>5</v>
      </c>
      <c r="Q685" s="28" t="n">
        <v>100</v>
      </c>
      <c r="R685" s="26" t="n">
        <v>30</v>
      </c>
      <c r="S685" s="26" t="n">
        <v>0</v>
      </c>
      <c r="T685" s="28" t="n">
        <v>1</v>
      </c>
      <c r="U685" s="26" t="n">
        <v>0</v>
      </c>
      <c r="V685" s="26" t="n">
        <v>0</v>
      </c>
      <c r="W685" s="22" t="s">
        <v>17</v>
      </c>
      <c r="X685" s="22" t="s">
        <v>373</v>
      </c>
    </row>
    <row r="686" customFormat="false" ht="15" hidden="false" customHeight="false" outlineLevel="0" collapsed="false">
      <c r="A686" s="22" t="s">
        <v>2991</v>
      </c>
      <c r="B686" s="22" t="s">
        <v>17</v>
      </c>
      <c r="C686" s="22" t="s">
        <v>2992</v>
      </c>
      <c r="D686" s="22" t="s">
        <v>2993</v>
      </c>
      <c r="E686" s="22" t="s">
        <v>2994</v>
      </c>
      <c r="F686" s="22" t="n">
        <v>14</v>
      </c>
      <c r="G686" s="26" t="n">
        <v>182.58</v>
      </c>
      <c r="H686" s="26" t="n">
        <v>204.71</v>
      </c>
      <c r="I686" s="26" t="n">
        <v>226.84</v>
      </c>
      <c r="J686" s="26" t="n">
        <v>243.44</v>
      </c>
      <c r="K686" s="26" t="n">
        <v>260.04</v>
      </c>
      <c r="L686" s="26" t="n">
        <v>2.28</v>
      </c>
      <c r="M686" s="27" t="n">
        <v>0.005</v>
      </c>
      <c r="N686" s="27" t="n">
        <v>0.002</v>
      </c>
      <c r="O686" s="26" t="n">
        <v>5</v>
      </c>
      <c r="P686" s="26" t="n">
        <v>5</v>
      </c>
      <c r="Q686" s="28" t="n">
        <v>100</v>
      </c>
      <c r="R686" s="26" t="n">
        <v>30</v>
      </c>
      <c r="S686" s="26" t="n">
        <v>0</v>
      </c>
      <c r="T686" s="28" t="n">
        <v>1</v>
      </c>
      <c r="U686" s="26" t="n">
        <v>0</v>
      </c>
      <c r="V686" s="26" t="n">
        <v>0</v>
      </c>
      <c r="W686" s="22" t="s">
        <v>17</v>
      </c>
      <c r="X686" s="22" t="s">
        <v>373</v>
      </c>
    </row>
    <row r="687" customFormat="false" ht="15" hidden="false" customHeight="false" outlineLevel="0" collapsed="false">
      <c r="A687" s="22" t="s">
        <v>2995</v>
      </c>
      <c r="B687" s="22" t="s">
        <v>17</v>
      </c>
      <c r="C687" s="22" t="s">
        <v>2996</v>
      </c>
      <c r="D687" s="22" t="s">
        <v>2997</v>
      </c>
      <c r="E687" s="22" t="s">
        <v>2998</v>
      </c>
      <c r="F687" s="22" t="n">
        <v>14</v>
      </c>
      <c r="G687" s="26" t="n">
        <v>182.58</v>
      </c>
      <c r="H687" s="26" t="n">
        <v>204.71</v>
      </c>
      <c r="I687" s="26" t="n">
        <v>226.84</v>
      </c>
      <c r="J687" s="26" t="n">
        <v>243.44</v>
      </c>
      <c r="K687" s="26" t="n">
        <v>260.04</v>
      </c>
      <c r="L687" s="26" t="n">
        <v>2.28</v>
      </c>
      <c r="M687" s="27" t="n">
        <v>0.005</v>
      </c>
      <c r="N687" s="27" t="n">
        <v>0.002</v>
      </c>
      <c r="O687" s="26" t="n">
        <v>5</v>
      </c>
      <c r="P687" s="26" t="n">
        <v>5</v>
      </c>
      <c r="Q687" s="28" t="n">
        <v>100</v>
      </c>
      <c r="R687" s="26" t="n">
        <v>30</v>
      </c>
      <c r="S687" s="26" t="n">
        <v>0</v>
      </c>
      <c r="T687" s="28" t="n">
        <v>1</v>
      </c>
      <c r="U687" s="26" t="n">
        <v>0</v>
      </c>
      <c r="V687" s="26" t="n">
        <v>0</v>
      </c>
      <c r="W687" s="22" t="s">
        <v>17</v>
      </c>
      <c r="X687" s="22" t="s">
        <v>373</v>
      </c>
    </row>
    <row r="688" customFormat="false" ht="15" hidden="false" customHeight="false" outlineLevel="0" collapsed="false">
      <c r="A688" s="22" t="s">
        <v>2999</v>
      </c>
      <c r="B688" s="22" t="s">
        <v>17</v>
      </c>
      <c r="C688" s="22" t="s">
        <v>3000</v>
      </c>
      <c r="D688" s="22" t="s">
        <v>3001</v>
      </c>
      <c r="E688" s="22" t="s">
        <v>3002</v>
      </c>
      <c r="F688" s="22" t="n">
        <v>14</v>
      </c>
      <c r="G688" s="26" t="n">
        <v>182.58</v>
      </c>
      <c r="H688" s="26" t="n">
        <v>204.71</v>
      </c>
      <c r="I688" s="26" t="n">
        <v>226.84</v>
      </c>
      <c r="J688" s="26" t="n">
        <v>243.44</v>
      </c>
      <c r="K688" s="26" t="n">
        <v>260.04</v>
      </c>
      <c r="L688" s="26" t="n">
        <v>2.28</v>
      </c>
      <c r="M688" s="27" t="n">
        <v>0.005</v>
      </c>
      <c r="N688" s="27" t="n">
        <v>0.002</v>
      </c>
      <c r="O688" s="26" t="n">
        <v>5</v>
      </c>
      <c r="P688" s="26" t="n">
        <v>5</v>
      </c>
      <c r="Q688" s="28" t="n">
        <v>100</v>
      </c>
      <c r="R688" s="26" t="n">
        <v>30</v>
      </c>
      <c r="S688" s="26" t="n">
        <v>0</v>
      </c>
      <c r="T688" s="28" t="n">
        <v>1</v>
      </c>
      <c r="U688" s="26" t="n">
        <v>0</v>
      </c>
      <c r="V688" s="26" t="n">
        <v>0</v>
      </c>
      <c r="W688" s="22" t="s">
        <v>17</v>
      </c>
      <c r="X688" s="22" t="s">
        <v>373</v>
      </c>
    </row>
    <row r="689" customFormat="false" ht="15" hidden="false" customHeight="false" outlineLevel="0" collapsed="false">
      <c r="A689" s="22" t="s">
        <v>3003</v>
      </c>
      <c r="B689" s="22" t="s">
        <v>17</v>
      </c>
      <c r="C689" s="22" t="s">
        <v>3004</v>
      </c>
      <c r="D689" s="22" t="s">
        <v>3005</v>
      </c>
      <c r="E689" s="22" t="s">
        <v>3006</v>
      </c>
      <c r="F689" s="22" t="n">
        <v>14</v>
      </c>
      <c r="G689" s="26" t="n">
        <v>182.58</v>
      </c>
      <c r="H689" s="26" t="n">
        <v>204.71</v>
      </c>
      <c r="I689" s="26" t="n">
        <v>226.84</v>
      </c>
      <c r="J689" s="26" t="n">
        <v>243.44</v>
      </c>
      <c r="K689" s="26" t="n">
        <v>260.04</v>
      </c>
      <c r="L689" s="26" t="n">
        <v>2.28</v>
      </c>
      <c r="M689" s="27" t="n">
        <v>0.005</v>
      </c>
      <c r="N689" s="27" t="n">
        <v>0.002</v>
      </c>
      <c r="O689" s="26" t="n">
        <v>5</v>
      </c>
      <c r="P689" s="26" t="n">
        <v>5</v>
      </c>
      <c r="Q689" s="28" t="n">
        <v>100</v>
      </c>
      <c r="R689" s="26" t="n">
        <v>30</v>
      </c>
      <c r="S689" s="26" t="n">
        <v>0</v>
      </c>
      <c r="T689" s="28" t="n">
        <v>1</v>
      </c>
      <c r="U689" s="26" t="n">
        <v>0</v>
      </c>
      <c r="V689" s="26" t="n">
        <v>0</v>
      </c>
      <c r="W689" s="22" t="s">
        <v>17</v>
      </c>
      <c r="X689" s="22" t="s">
        <v>373</v>
      </c>
    </row>
    <row r="690" customFormat="false" ht="15" hidden="false" customHeight="false" outlineLevel="0" collapsed="false">
      <c r="A690" s="22" t="s">
        <v>3007</v>
      </c>
      <c r="B690" s="22" t="s">
        <v>17</v>
      </c>
      <c r="C690" s="22" t="s">
        <v>3008</v>
      </c>
      <c r="D690" s="22" t="s">
        <v>3009</v>
      </c>
      <c r="E690" s="22" t="s">
        <v>3010</v>
      </c>
      <c r="F690" s="22" t="n">
        <v>14</v>
      </c>
      <c r="G690" s="26" t="n">
        <v>182.58</v>
      </c>
      <c r="H690" s="26" t="n">
        <v>204.71</v>
      </c>
      <c r="I690" s="26" t="n">
        <v>226.84</v>
      </c>
      <c r="J690" s="26" t="n">
        <v>243.44</v>
      </c>
      <c r="K690" s="26" t="n">
        <v>260.04</v>
      </c>
      <c r="L690" s="26" t="n">
        <v>2.28</v>
      </c>
      <c r="M690" s="27" t="n">
        <v>0.005</v>
      </c>
      <c r="N690" s="27" t="n">
        <v>0.002</v>
      </c>
      <c r="O690" s="26" t="n">
        <v>5</v>
      </c>
      <c r="P690" s="26" t="n">
        <v>5</v>
      </c>
      <c r="Q690" s="28" t="n">
        <v>100</v>
      </c>
      <c r="R690" s="26" t="n">
        <v>30</v>
      </c>
      <c r="S690" s="26" t="n">
        <v>0</v>
      </c>
      <c r="T690" s="28" t="n">
        <v>1</v>
      </c>
      <c r="U690" s="26" t="n">
        <v>0</v>
      </c>
      <c r="V690" s="26" t="n">
        <v>0</v>
      </c>
      <c r="W690" s="22" t="s">
        <v>17</v>
      </c>
      <c r="X690" s="22" t="s">
        <v>373</v>
      </c>
    </row>
    <row r="691" customFormat="false" ht="15" hidden="false" customHeight="false" outlineLevel="0" collapsed="false">
      <c r="A691" s="22" t="s">
        <v>3011</v>
      </c>
      <c r="B691" s="22" t="s">
        <v>17</v>
      </c>
      <c r="C691" s="22" t="s">
        <v>105</v>
      </c>
      <c r="D691" s="22" t="s">
        <v>3012</v>
      </c>
      <c r="E691" s="22" t="s">
        <v>3013</v>
      </c>
      <c r="F691" s="22" t="n">
        <v>14</v>
      </c>
      <c r="G691" s="26" t="n">
        <v>182.58</v>
      </c>
      <c r="H691" s="26" t="n">
        <v>204.71</v>
      </c>
      <c r="I691" s="26" t="n">
        <v>226.84</v>
      </c>
      <c r="J691" s="26" t="n">
        <v>243.44</v>
      </c>
      <c r="K691" s="26" t="n">
        <v>260.04</v>
      </c>
      <c r="L691" s="26" t="n">
        <v>2.28</v>
      </c>
      <c r="M691" s="27" t="n">
        <v>0.005</v>
      </c>
      <c r="N691" s="27" t="n">
        <v>0.002</v>
      </c>
      <c r="O691" s="26" t="n">
        <v>5</v>
      </c>
      <c r="P691" s="26" t="n">
        <v>5</v>
      </c>
      <c r="Q691" s="28" t="n">
        <v>100</v>
      </c>
      <c r="R691" s="26" t="n">
        <v>30</v>
      </c>
      <c r="S691" s="26" t="n">
        <v>0</v>
      </c>
      <c r="T691" s="28" t="n">
        <v>1</v>
      </c>
      <c r="U691" s="26" t="n">
        <v>0</v>
      </c>
      <c r="V691" s="26" t="n">
        <v>0</v>
      </c>
      <c r="W691" s="22" t="s">
        <v>17</v>
      </c>
      <c r="X691" s="22" t="s">
        <v>373</v>
      </c>
    </row>
    <row r="692" customFormat="false" ht="15" hidden="false" customHeight="false" outlineLevel="0" collapsed="false">
      <c r="A692" s="22" t="s">
        <v>3014</v>
      </c>
      <c r="B692" s="22" t="s">
        <v>17</v>
      </c>
      <c r="C692" s="22" t="s">
        <v>3015</v>
      </c>
      <c r="D692" s="22" t="s">
        <v>3016</v>
      </c>
      <c r="E692" s="22" t="s">
        <v>3017</v>
      </c>
      <c r="F692" s="22" t="n">
        <v>14</v>
      </c>
      <c r="G692" s="26" t="n">
        <v>182.58</v>
      </c>
      <c r="H692" s="26" t="n">
        <v>204.71</v>
      </c>
      <c r="I692" s="26" t="n">
        <v>226.84</v>
      </c>
      <c r="J692" s="26" t="n">
        <v>243.44</v>
      </c>
      <c r="K692" s="26" t="n">
        <v>260.04</v>
      </c>
      <c r="L692" s="26" t="n">
        <v>2.28</v>
      </c>
      <c r="M692" s="27" t="n">
        <v>0.005</v>
      </c>
      <c r="N692" s="27" t="n">
        <v>0.002</v>
      </c>
      <c r="O692" s="26" t="n">
        <v>5</v>
      </c>
      <c r="P692" s="26" t="n">
        <v>5</v>
      </c>
      <c r="Q692" s="28" t="n">
        <v>100</v>
      </c>
      <c r="R692" s="26" t="n">
        <v>30</v>
      </c>
      <c r="S692" s="26" t="n">
        <v>0</v>
      </c>
      <c r="T692" s="28" t="n">
        <v>1</v>
      </c>
      <c r="U692" s="26" t="n">
        <v>0</v>
      </c>
      <c r="V692" s="26" t="n">
        <v>0</v>
      </c>
      <c r="W692" s="22" t="s">
        <v>17</v>
      </c>
      <c r="X692" s="22" t="s">
        <v>373</v>
      </c>
    </row>
    <row r="693" customFormat="false" ht="15" hidden="false" customHeight="false" outlineLevel="0" collapsed="false">
      <c r="A693" s="22" t="s">
        <v>3018</v>
      </c>
      <c r="B693" s="22" t="s">
        <v>17</v>
      </c>
      <c r="C693" s="22" t="s">
        <v>3019</v>
      </c>
      <c r="D693" s="22" t="s">
        <v>3020</v>
      </c>
      <c r="E693" s="22" t="s">
        <v>3021</v>
      </c>
      <c r="F693" s="22" t="n">
        <v>14</v>
      </c>
      <c r="G693" s="26" t="n">
        <v>182.58</v>
      </c>
      <c r="H693" s="26" t="n">
        <v>204.71</v>
      </c>
      <c r="I693" s="26" t="n">
        <v>226.84</v>
      </c>
      <c r="J693" s="26" t="n">
        <v>243.44</v>
      </c>
      <c r="K693" s="26" t="n">
        <v>260.04</v>
      </c>
      <c r="L693" s="26" t="n">
        <v>2.28</v>
      </c>
      <c r="M693" s="27" t="n">
        <v>0.005</v>
      </c>
      <c r="N693" s="27" t="n">
        <v>0.002</v>
      </c>
      <c r="O693" s="26" t="n">
        <v>5</v>
      </c>
      <c r="P693" s="26" t="n">
        <v>5</v>
      </c>
      <c r="Q693" s="28" t="n">
        <v>100</v>
      </c>
      <c r="R693" s="26" t="n">
        <v>30</v>
      </c>
      <c r="S693" s="26" t="n">
        <v>0</v>
      </c>
      <c r="T693" s="28" t="n">
        <v>1</v>
      </c>
      <c r="U693" s="26" t="n">
        <v>0</v>
      </c>
      <c r="V693" s="26" t="n">
        <v>0</v>
      </c>
      <c r="W693" s="22" t="s">
        <v>17</v>
      </c>
      <c r="X693" s="22" t="s">
        <v>373</v>
      </c>
    </row>
    <row r="694" customFormat="false" ht="15" hidden="false" customHeight="false" outlineLevel="0" collapsed="false">
      <c r="A694" s="22" t="s">
        <v>3022</v>
      </c>
      <c r="B694" s="22" t="s">
        <v>17</v>
      </c>
      <c r="C694" s="22" t="s">
        <v>3023</v>
      </c>
      <c r="D694" s="22" t="s">
        <v>3024</v>
      </c>
      <c r="E694" s="22" t="s">
        <v>3025</v>
      </c>
      <c r="F694" s="22" t="n">
        <v>14</v>
      </c>
      <c r="G694" s="26" t="n">
        <v>182.58</v>
      </c>
      <c r="H694" s="26" t="n">
        <v>204.71</v>
      </c>
      <c r="I694" s="26" t="n">
        <v>226.84</v>
      </c>
      <c r="J694" s="26" t="n">
        <v>243.44</v>
      </c>
      <c r="K694" s="26" t="n">
        <v>260.04</v>
      </c>
      <c r="L694" s="26" t="n">
        <v>2.28</v>
      </c>
      <c r="M694" s="27" t="n">
        <v>0.005</v>
      </c>
      <c r="N694" s="27" t="n">
        <v>0.002</v>
      </c>
      <c r="O694" s="26" t="n">
        <v>5</v>
      </c>
      <c r="P694" s="26" t="n">
        <v>5</v>
      </c>
      <c r="Q694" s="28" t="n">
        <v>100</v>
      </c>
      <c r="R694" s="26" t="n">
        <v>30</v>
      </c>
      <c r="S694" s="26" t="n">
        <v>0</v>
      </c>
      <c r="T694" s="28" t="n">
        <v>1</v>
      </c>
      <c r="U694" s="26" t="n">
        <v>0</v>
      </c>
      <c r="V694" s="26" t="n">
        <v>0</v>
      </c>
      <c r="W694" s="22" t="s">
        <v>17</v>
      </c>
      <c r="X694" s="22" t="s">
        <v>373</v>
      </c>
    </row>
    <row r="695" customFormat="false" ht="15" hidden="false" customHeight="false" outlineLevel="0" collapsed="false">
      <c r="A695" s="22" t="s">
        <v>3026</v>
      </c>
      <c r="B695" s="22" t="s">
        <v>17</v>
      </c>
      <c r="C695" s="22" t="s">
        <v>3027</v>
      </c>
      <c r="D695" s="22" t="s">
        <v>3028</v>
      </c>
      <c r="E695" s="22" t="s">
        <v>3029</v>
      </c>
      <c r="F695" s="22" t="n">
        <v>14</v>
      </c>
      <c r="G695" s="26" t="n">
        <v>182.58</v>
      </c>
      <c r="H695" s="26" t="n">
        <v>204.71</v>
      </c>
      <c r="I695" s="26" t="n">
        <v>226.84</v>
      </c>
      <c r="J695" s="26" t="n">
        <v>243.44</v>
      </c>
      <c r="K695" s="26" t="n">
        <v>260.04</v>
      </c>
      <c r="L695" s="26" t="n">
        <v>2.28</v>
      </c>
      <c r="M695" s="27" t="n">
        <v>0.005</v>
      </c>
      <c r="N695" s="27" t="n">
        <v>0.002</v>
      </c>
      <c r="O695" s="26" t="n">
        <v>5</v>
      </c>
      <c r="P695" s="26" t="n">
        <v>5</v>
      </c>
      <c r="Q695" s="28" t="n">
        <v>100</v>
      </c>
      <c r="R695" s="26" t="n">
        <v>30</v>
      </c>
      <c r="S695" s="26" t="n">
        <v>0</v>
      </c>
      <c r="T695" s="28" t="n">
        <v>1</v>
      </c>
      <c r="U695" s="26" t="n">
        <v>0</v>
      </c>
      <c r="V695" s="26" t="n">
        <v>0</v>
      </c>
      <c r="W695" s="22" t="s">
        <v>17</v>
      </c>
      <c r="X695" s="22" t="s">
        <v>373</v>
      </c>
    </row>
    <row r="696" customFormat="false" ht="15" hidden="false" customHeight="false" outlineLevel="0" collapsed="false">
      <c r="A696" s="22" t="s">
        <v>3030</v>
      </c>
      <c r="B696" s="22" t="s">
        <v>17</v>
      </c>
      <c r="C696" s="22" t="s">
        <v>3031</v>
      </c>
      <c r="D696" s="22" t="s">
        <v>3032</v>
      </c>
      <c r="E696" s="22" t="s">
        <v>3033</v>
      </c>
      <c r="F696" s="22" t="n">
        <v>14</v>
      </c>
      <c r="G696" s="26" t="n">
        <v>182.58</v>
      </c>
      <c r="H696" s="26" t="n">
        <v>204.71</v>
      </c>
      <c r="I696" s="26" t="n">
        <v>226.84</v>
      </c>
      <c r="J696" s="26" t="n">
        <v>243.44</v>
      </c>
      <c r="K696" s="26" t="n">
        <v>260.04</v>
      </c>
      <c r="L696" s="26" t="n">
        <v>2.28</v>
      </c>
      <c r="M696" s="27" t="n">
        <v>0.005</v>
      </c>
      <c r="N696" s="27" t="n">
        <v>0.002</v>
      </c>
      <c r="O696" s="26" t="n">
        <v>5</v>
      </c>
      <c r="P696" s="26" t="n">
        <v>5</v>
      </c>
      <c r="Q696" s="28" t="n">
        <v>100</v>
      </c>
      <c r="R696" s="26" t="n">
        <v>30</v>
      </c>
      <c r="S696" s="26" t="n">
        <v>0</v>
      </c>
      <c r="T696" s="28" t="n">
        <v>1</v>
      </c>
      <c r="U696" s="26" t="n">
        <v>0</v>
      </c>
      <c r="V696" s="26" t="n">
        <v>0</v>
      </c>
      <c r="W696" s="22" t="s">
        <v>17</v>
      </c>
      <c r="X696" s="22" t="s">
        <v>373</v>
      </c>
    </row>
    <row r="697" customFormat="false" ht="15" hidden="false" customHeight="false" outlineLevel="0" collapsed="false">
      <c r="A697" s="22" t="s">
        <v>3034</v>
      </c>
      <c r="B697" s="22" t="s">
        <v>17</v>
      </c>
      <c r="C697" s="22" t="s">
        <v>3035</v>
      </c>
      <c r="D697" s="22" t="s">
        <v>3036</v>
      </c>
      <c r="E697" s="22" t="s">
        <v>3037</v>
      </c>
      <c r="F697" s="22" t="n">
        <v>14</v>
      </c>
      <c r="G697" s="26" t="n">
        <v>182.58</v>
      </c>
      <c r="H697" s="26" t="n">
        <v>204.71</v>
      </c>
      <c r="I697" s="26" t="n">
        <v>226.84</v>
      </c>
      <c r="J697" s="26" t="n">
        <v>243.44</v>
      </c>
      <c r="K697" s="26" t="n">
        <v>260.04</v>
      </c>
      <c r="L697" s="26" t="n">
        <v>2.28</v>
      </c>
      <c r="M697" s="27" t="n">
        <v>0.005</v>
      </c>
      <c r="N697" s="27" t="n">
        <v>0.002</v>
      </c>
      <c r="O697" s="26" t="n">
        <v>5</v>
      </c>
      <c r="P697" s="26" t="n">
        <v>5</v>
      </c>
      <c r="Q697" s="28" t="n">
        <v>100</v>
      </c>
      <c r="R697" s="26" t="n">
        <v>30</v>
      </c>
      <c r="S697" s="26" t="n">
        <v>0</v>
      </c>
      <c r="T697" s="28" t="n">
        <v>1</v>
      </c>
      <c r="U697" s="26" t="n">
        <v>0</v>
      </c>
      <c r="V697" s="26" t="n">
        <v>0</v>
      </c>
      <c r="W697" s="22" t="s">
        <v>17</v>
      </c>
      <c r="X697" s="22" t="s">
        <v>373</v>
      </c>
    </row>
    <row r="698" customFormat="false" ht="15" hidden="false" customHeight="false" outlineLevel="0" collapsed="false">
      <c r="A698" s="22" t="s">
        <v>3038</v>
      </c>
      <c r="B698" s="22" t="s">
        <v>17</v>
      </c>
      <c r="C698" s="22" t="s">
        <v>3039</v>
      </c>
      <c r="D698" s="22" t="s">
        <v>3040</v>
      </c>
      <c r="E698" s="22" t="s">
        <v>3041</v>
      </c>
      <c r="F698" s="22" t="n">
        <v>14</v>
      </c>
      <c r="G698" s="26" t="n">
        <v>182.58</v>
      </c>
      <c r="H698" s="26" t="n">
        <v>204.71</v>
      </c>
      <c r="I698" s="26" t="n">
        <v>226.84</v>
      </c>
      <c r="J698" s="26" t="n">
        <v>243.44</v>
      </c>
      <c r="K698" s="26" t="n">
        <v>260.04</v>
      </c>
      <c r="L698" s="26" t="n">
        <v>2.28</v>
      </c>
      <c r="M698" s="27" t="n">
        <v>0.005</v>
      </c>
      <c r="N698" s="27" t="n">
        <v>0.002</v>
      </c>
      <c r="O698" s="26" t="n">
        <v>5</v>
      </c>
      <c r="P698" s="26" t="n">
        <v>5</v>
      </c>
      <c r="Q698" s="28" t="n">
        <v>100</v>
      </c>
      <c r="R698" s="26" t="n">
        <v>30</v>
      </c>
      <c r="S698" s="26" t="n">
        <v>0</v>
      </c>
      <c r="T698" s="28" t="n">
        <v>1</v>
      </c>
      <c r="U698" s="26" t="n">
        <v>0</v>
      </c>
      <c r="V698" s="26" t="n">
        <v>0</v>
      </c>
      <c r="W698" s="22" t="s">
        <v>17</v>
      </c>
      <c r="X698" s="22" t="s">
        <v>373</v>
      </c>
    </row>
    <row r="699" customFormat="false" ht="15" hidden="false" customHeight="false" outlineLevel="0" collapsed="false">
      <c r="A699" s="22" t="s">
        <v>3042</v>
      </c>
      <c r="B699" s="22" t="s">
        <v>17</v>
      </c>
      <c r="C699" s="22" t="s">
        <v>3043</v>
      </c>
      <c r="D699" s="22" t="s">
        <v>3044</v>
      </c>
      <c r="E699" s="22" t="s">
        <v>3045</v>
      </c>
      <c r="F699" s="22" t="n">
        <v>14</v>
      </c>
      <c r="G699" s="26" t="n">
        <v>182.58</v>
      </c>
      <c r="H699" s="26" t="n">
        <v>204.71</v>
      </c>
      <c r="I699" s="26" t="n">
        <v>226.84</v>
      </c>
      <c r="J699" s="26" t="n">
        <v>243.44</v>
      </c>
      <c r="K699" s="26" t="n">
        <v>260.04</v>
      </c>
      <c r="L699" s="26" t="n">
        <v>2.28</v>
      </c>
      <c r="M699" s="27" t="n">
        <v>0.005</v>
      </c>
      <c r="N699" s="27" t="n">
        <v>0.002</v>
      </c>
      <c r="O699" s="26" t="n">
        <v>5</v>
      </c>
      <c r="P699" s="26" t="n">
        <v>5</v>
      </c>
      <c r="Q699" s="28" t="n">
        <v>100</v>
      </c>
      <c r="R699" s="26" t="n">
        <v>30</v>
      </c>
      <c r="S699" s="26" t="n">
        <v>0</v>
      </c>
      <c r="T699" s="28" t="n">
        <v>1</v>
      </c>
      <c r="U699" s="26" t="n">
        <v>0</v>
      </c>
      <c r="V699" s="26" t="n">
        <v>0</v>
      </c>
      <c r="W699" s="22" t="s">
        <v>17</v>
      </c>
      <c r="X699" s="22" t="s">
        <v>373</v>
      </c>
    </row>
    <row r="700" customFormat="false" ht="15" hidden="false" customHeight="false" outlineLevel="0" collapsed="false">
      <c r="A700" s="22" t="s">
        <v>3046</v>
      </c>
      <c r="B700" s="22" t="s">
        <v>17</v>
      </c>
      <c r="C700" s="22" t="s">
        <v>3047</v>
      </c>
      <c r="D700" s="22" t="s">
        <v>3048</v>
      </c>
      <c r="E700" s="22" t="s">
        <v>3049</v>
      </c>
      <c r="F700" s="22" t="n">
        <v>14</v>
      </c>
      <c r="G700" s="26" t="n">
        <v>182.58</v>
      </c>
      <c r="H700" s="26" t="n">
        <v>204.71</v>
      </c>
      <c r="I700" s="26" t="n">
        <v>226.84</v>
      </c>
      <c r="J700" s="26" t="n">
        <v>243.44</v>
      </c>
      <c r="K700" s="26" t="n">
        <v>260.04</v>
      </c>
      <c r="L700" s="26" t="n">
        <v>2.28</v>
      </c>
      <c r="M700" s="27" t="n">
        <v>0.005</v>
      </c>
      <c r="N700" s="27" t="n">
        <v>0.002</v>
      </c>
      <c r="O700" s="26" t="n">
        <v>5</v>
      </c>
      <c r="P700" s="26" t="n">
        <v>5</v>
      </c>
      <c r="Q700" s="28" t="n">
        <v>100</v>
      </c>
      <c r="R700" s="26" t="n">
        <v>30</v>
      </c>
      <c r="S700" s="26" t="n">
        <v>0</v>
      </c>
      <c r="T700" s="28" t="n">
        <v>1</v>
      </c>
      <c r="U700" s="26" t="n">
        <v>0</v>
      </c>
      <c r="V700" s="26" t="n">
        <v>0</v>
      </c>
      <c r="W700" s="22" t="s">
        <v>17</v>
      </c>
      <c r="X700" s="22" t="s">
        <v>373</v>
      </c>
    </row>
    <row r="701" customFormat="false" ht="15" hidden="false" customHeight="false" outlineLevel="0" collapsed="false">
      <c r="A701" s="22" t="s">
        <v>3050</v>
      </c>
      <c r="B701" s="22" t="s">
        <v>17</v>
      </c>
      <c r="C701" s="22" t="s">
        <v>3051</v>
      </c>
      <c r="D701" s="22" t="s">
        <v>3052</v>
      </c>
      <c r="E701" s="22" t="s">
        <v>3053</v>
      </c>
      <c r="F701" s="22" t="n">
        <v>14</v>
      </c>
      <c r="G701" s="26" t="n">
        <v>182.58</v>
      </c>
      <c r="H701" s="26" t="n">
        <v>204.71</v>
      </c>
      <c r="I701" s="26" t="n">
        <v>226.84</v>
      </c>
      <c r="J701" s="26" t="n">
        <v>243.44</v>
      </c>
      <c r="K701" s="26" t="n">
        <v>260.04</v>
      </c>
      <c r="L701" s="26" t="n">
        <v>2.28</v>
      </c>
      <c r="M701" s="27" t="n">
        <v>0.005</v>
      </c>
      <c r="N701" s="27" t="n">
        <v>0.002</v>
      </c>
      <c r="O701" s="26" t="n">
        <v>5</v>
      </c>
      <c r="P701" s="26" t="n">
        <v>5</v>
      </c>
      <c r="Q701" s="28" t="n">
        <v>100</v>
      </c>
      <c r="R701" s="26" t="n">
        <v>30</v>
      </c>
      <c r="S701" s="26" t="n">
        <v>0</v>
      </c>
      <c r="T701" s="28" t="n">
        <v>1</v>
      </c>
      <c r="U701" s="26" t="n">
        <v>0</v>
      </c>
      <c r="V701" s="26" t="n">
        <v>0</v>
      </c>
      <c r="W701" s="22" t="s">
        <v>17</v>
      </c>
      <c r="X701" s="22" t="s">
        <v>373</v>
      </c>
    </row>
    <row r="702" customFormat="false" ht="15" hidden="false" customHeight="false" outlineLevel="0" collapsed="false">
      <c r="A702" s="22" t="s">
        <v>3054</v>
      </c>
      <c r="B702" s="22" t="s">
        <v>17</v>
      </c>
      <c r="C702" s="22" t="s">
        <v>3055</v>
      </c>
      <c r="D702" s="22" t="s">
        <v>3056</v>
      </c>
      <c r="E702" s="22" t="s">
        <v>3057</v>
      </c>
      <c r="F702" s="22" t="n">
        <v>14</v>
      </c>
      <c r="G702" s="26" t="n">
        <v>182.58</v>
      </c>
      <c r="H702" s="26" t="n">
        <v>204.71</v>
      </c>
      <c r="I702" s="26" t="n">
        <v>226.84</v>
      </c>
      <c r="J702" s="26" t="n">
        <v>243.44</v>
      </c>
      <c r="K702" s="26" t="n">
        <v>260.04</v>
      </c>
      <c r="L702" s="26" t="n">
        <v>2.28</v>
      </c>
      <c r="M702" s="27" t="n">
        <v>0.005</v>
      </c>
      <c r="N702" s="27" t="n">
        <v>0.002</v>
      </c>
      <c r="O702" s="26" t="n">
        <v>5</v>
      </c>
      <c r="P702" s="26" t="n">
        <v>5</v>
      </c>
      <c r="Q702" s="28" t="n">
        <v>100</v>
      </c>
      <c r="R702" s="26" t="n">
        <v>30</v>
      </c>
      <c r="S702" s="26" t="n">
        <v>0</v>
      </c>
      <c r="T702" s="28" t="n">
        <v>1</v>
      </c>
      <c r="U702" s="26" t="n">
        <v>0</v>
      </c>
      <c r="V702" s="26" t="n">
        <v>0</v>
      </c>
      <c r="W702" s="22" t="s">
        <v>17</v>
      </c>
      <c r="X702" s="22" t="s">
        <v>373</v>
      </c>
    </row>
    <row r="703" customFormat="false" ht="15" hidden="false" customHeight="false" outlineLevel="0" collapsed="false">
      <c r="A703" s="22" t="s">
        <v>3058</v>
      </c>
      <c r="B703" s="22" t="s">
        <v>17</v>
      </c>
      <c r="C703" s="22" t="s">
        <v>3059</v>
      </c>
      <c r="D703" s="22" t="s">
        <v>3060</v>
      </c>
      <c r="E703" s="22" t="s">
        <v>3061</v>
      </c>
      <c r="F703" s="22" t="n">
        <v>14</v>
      </c>
      <c r="G703" s="26" t="n">
        <v>182.58</v>
      </c>
      <c r="H703" s="26" t="n">
        <v>204.71</v>
      </c>
      <c r="I703" s="26" t="n">
        <v>226.84</v>
      </c>
      <c r="J703" s="26" t="n">
        <v>243.44</v>
      </c>
      <c r="K703" s="26" t="n">
        <v>260.04</v>
      </c>
      <c r="L703" s="26" t="n">
        <v>2.28</v>
      </c>
      <c r="M703" s="27" t="n">
        <v>0.005</v>
      </c>
      <c r="N703" s="27" t="n">
        <v>0.002</v>
      </c>
      <c r="O703" s="26" t="n">
        <v>5</v>
      </c>
      <c r="P703" s="26" t="n">
        <v>5</v>
      </c>
      <c r="Q703" s="28" t="n">
        <v>100</v>
      </c>
      <c r="R703" s="26" t="n">
        <v>30</v>
      </c>
      <c r="S703" s="26" t="n">
        <v>0</v>
      </c>
      <c r="T703" s="28" t="n">
        <v>1</v>
      </c>
      <c r="U703" s="26" t="n">
        <v>0</v>
      </c>
      <c r="V703" s="26" t="n">
        <v>0</v>
      </c>
      <c r="W703" s="22" t="s">
        <v>17</v>
      </c>
      <c r="X703" s="22" t="s">
        <v>373</v>
      </c>
    </row>
    <row r="704" customFormat="false" ht="15" hidden="false" customHeight="false" outlineLevel="0" collapsed="false">
      <c r="A704" s="22" t="s">
        <v>3062</v>
      </c>
      <c r="B704" s="22" t="s">
        <v>17</v>
      </c>
      <c r="C704" s="22" t="s">
        <v>3063</v>
      </c>
      <c r="D704" s="22" t="s">
        <v>3064</v>
      </c>
      <c r="E704" s="22" t="s">
        <v>3065</v>
      </c>
      <c r="F704" s="22" t="n">
        <v>14</v>
      </c>
      <c r="G704" s="26" t="n">
        <v>182.58</v>
      </c>
      <c r="H704" s="26" t="n">
        <v>204.71</v>
      </c>
      <c r="I704" s="26" t="n">
        <v>226.84</v>
      </c>
      <c r="J704" s="26" t="n">
        <v>243.44</v>
      </c>
      <c r="K704" s="26" t="n">
        <v>260.04</v>
      </c>
      <c r="L704" s="26" t="n">
        <v>2.28</v>
      </c>
      <c r="M704" s="27" t="n">
        <v>0.005</v>
      </c>
      <c r="N704" s="27" t="n">
        <v>0.002</v>
      </c>
      <c r="O704" s="26" t="n">
        <v>5</v>
      </c>
      <c r="P704" s="26" t="n">
        <v>5</v>
      </c>
      <c r="Q704" s="28" t="n">
        <v>100</v>
      </c>
      <c r="R704" s="26" t="n">
        <v>30</v>
      </c>
      <c r="S704" s="26" t="n">
        <v>0</v>
      </c>
      <c r="T704" s="28" t="n">
        <v>1</v>
      </c>
      <c r="U704" s="26" t="n">
        <v>0</v>
      </c>
      <c r="V704" s="26" t="n">
        <v>0</v>
      </c>
      <c r="W704" s="22" t="s">
        <v>17</v>
      </c>
      <c r="X704" s="22" t="s">
        <v>373</v>
      </c>
    </row>
    <row r="705" customFormat="false" ht="15" hidden="false" customHeight="false" outlineLevel="0" collapsed="false">
      <c r="A705" s="22" t="s">
        <v>3066</v>
      </c>
      <c r="B705" s="22" t="s">
        <v>18</v>
      </c>
      <c r="C705" s="22" t="s">
        <v>112</v>
      </c>
      <c r="D705" s="22" t="s">
        <v>3067</v>
      </c>
      <c r="E705" s="22" t="s">
        <v>3068</v>
      </c>
      <c r="F705" s="22" t="n">
        <v>11</v>
      </c>
      <c r="G705" s="26" t="n">
        <v>175.25</v>
      </c>
      <c r="H705" s="26" t="n">
        <v>197.38</v>
      </c>
      <c r="I705" s="26" t="n">
        <v>219.51</v>
      </c>
      <c r="J705" s="26" t="n">
        <v>236.11</v>
      </c>
      <c r="K705" s="26" t="n">
        <v>252.71</v>
      </c>
      <c r="L705" s="26" t="n">
        <v>2.34</v>
      </c>
      <c r="M705" s="27" t="n">
        <v>0.005</v>
      </c>
      <c r="N705" s="27" t="n">
        <v>0.002</v>
      </c>
      <c r="O705" s="26" t="n">
        <v>5</v>
      </c>
      <c r="P705" s="26" t="n">
        <v>5</v>
      </c>
      <c r="Q705" s="28" t="n">
        <v>100</v>
      </c>
      <c r="R705" s="26" t="n">
        <v>30</v>
      </c>
      <c r="S705" s="26" t="n">
        <v>0</v>
      </c>
      <c r="T705" s="28" t="n">
        <v>1</v>
      </c>
      <c r="U705" s="26" t="n">
        <v>0</v>
      </c>
      <c r="V705" s="26" t="n">
        <v>0</v>
      </c>
      <c r="W705" s="22" t="s">
        <v>18</v>
      </c>
      <c r="X705" s="22" t="s">
        <v>286</v>
      </c>
    </row>
    <row r="706" customFormat="false" ht="15" hidden="false" customHeight="false" outlineLevel="0" collapsed="false">
      <c r="A706" s="22" t="s">
        <v>3069</v>
      </c>
      <c r="B706" s="22" t="s">
        <v>18</v>
      </c>
      <c r="C706" s="22" t="s">
        <v>3070</v>
      </c>
      <c r="D706" s="22" t="s">
        <v>3071</v>
      </c>
      <c r="E706" s="22" t="s">
        <v>3072</v>
      </c>
      <c r="F706" s="22" t="n">
        <v>13</v>
      </c>
      <c r="G706" s="26" t="n">
        <v>198.14</v>
      </c>
      <c r="H706" s="26" t="n">
        <v>220.27</v>
      </c>
      <c r="I706" s="26" t="n">
        <v>242.41</v>
      </c>
      <c r="J706" s="26" t="n">
        <v>259</v>
      </c>
      <c r="K706" s="26" t="n">
        <v>275.6</v>
      </c>
      <c r="L706" s="26" t="n">
        <v>2.47</v>
      </c>
      <c r="M706" s="27" t="n">
        <v>0.005</v>
      </c>
      <c r="N706" s="27" t="n">
        <v>0.002</v>
      </c>
      <c r="O706" s="26" t="n">
        <v>5</v>
      </c>
      <c r="P706" s="26" t="n">
        <v>5</v>
      </c>
      <c r="Q706" s="28" t="n">
        <v>100</v>
      </c>
      <c r="R706" s="26" t="n">
        <v>30</v>
      </c>
      <c r="S706" s="26" t="n">
        <v>0</v>
      </c>
      <c r="T706" s="28" t="n">
        <v>1</v>
      </c>
      <c r="U706" s="26" t="n">
        <v>0</v>
      </c>
      <c r="V706" s="26" t="n">
        <v>0</v>
      </c>
      <c r="W706" s="22" t="s">
        <v>18</v>
      </c>
      <c r="X706" s="22" t="s">
        <v>293</v>
      </c>
    </row>
    <row r="707" customFormat="false" ht="15" hidden="false" customHeight="false" outlineLevel="0" collapsed="false">
      <c r="A707" s="22" t="s">
        <v>3073</v>
      </c>
      <c r="B707" s="22" t="s">
        <v>18</v>
      </c>
      <c r="C707" s="22" t="s">
        <v>129</v>
      </c>
      <c r="D707" s="22" t="s">
        <v>3074</v>
      </c>
      <c r="E707" s="22" t="s">
        <v>3075</v>
      </c>
      <c r="F707" s="22" t="n">
        <v>13</v>
      </c>
      <c r="G707" s="26" t="n">
        <v>198.14</v>
      </c>
      <c r="H707" s="26" t="n">
        <v>220.27</v>
      </c>
      <c r="I707" s="26" t="n">
        <v>242.41</v>
      </c>
      <c r="J707" s="26" t="n">
        <v>259</v>
      </c>
      <c r="K707" s="26" t="n">
        <v>275.6</v>
      </c>
      <c r="L707" s="26" t="n">
        <v>2.47</v>
      </c>
      <c r="M707" s="27" t="n">
        <v>0.005</v>
      </c>
      <c r="N707" s="27" t="n">
        <v>0.002</v>
      </c>
      <c r="O707" s="26" t="n">
        <v>5</v>
      </c>
      <c r="P707" s="26" t="n">
        <v>5</v>
      </c>
      <c r="Q707" s="28" t="n">
        <v>100</v>
      </c>
      <c r="R707" s="26" t="n">
        <v>30</v>
      </c>
      <c r="S707" s="26" t="n">
        <v>0</v>
      </c>
      <c r="T707" s="28" t="n">
        <v>1</v>
      </c>
      <c r="U707" s="26" t="n">
        <v>0</v>
      </c>
      <c r="V707" s="26" t="n">
        <v>0</v>
      </c>
      <c r="W707" s="22" t="s">
        <v>18</v>
      </c>
      <c r="X707" s="22" t="s">
        <v>293</v>
      </c>
    </row>
    <row r="708" customFormat="false" ht="15" hidden="false" customHeight="false" outlineLevel="0" collapsed="false">
      <c r="A708" s="22" t="s">
        <v>3076</v>
      </c>
      <c r="B708" s="22" t="s">
        <v>18</v>
      </c>
      <c r="C708" s="22" t="s">
        <v>3077</v>
      </c>
      <c r="D708" s="22" t="s">
        <v>3078</v>
      </c>
      <c r="E708" s="22" t="s">
        <v>3079</v>
      </c>
      <c r="F708" s="22" t="n">
        <v>13</v>
      </c>
      <c r="G708" s="26" t="n">
        <v>198.14</v>
      </c>
      <c r="H708" s="26" t="n">
        <v>220.27</v>
      </c>
      <c r="I708" s="26" t="n">
        <v>242.41</v>
      </c>
      <c r="J708" s="26" t="n">
        <v>259</v>
      </c>
      <c r="K708" s="26" t="n">
        <v>275.6</v>
      </c>
      <c r="L708" s="26" t="n">
        <v>2.47</v>
      </c>
      <c r="M708" s="27" t="n">
        <v>0.005</v>
      </c>
      <c r="N708" s="27" t="n">
        <v>0.002</v>
      </c>
      <c r="O708" s="26" t="n">
        <v>5</v>
      </c>
      <c r="P708" s="26" t="n">
        <v>5</v>
      </c>
      <c r="Q708" s="28" t="n">
        <v>100</v>
      </c>
      <c r="R708" s="26" t="n">
        <v>30</v>
      </c>
      <c r="S708" s="26" t="n">
        <v>0</v>
      </c>
      <c r="T708" s="28" t="n">
        <v>1</v>
      </c>
      <c r="U708" s="26" t="n">
        <v>0</v>
      </c>
      <c r="V708" s="26" t="n">
        <v>0</v>
      </c>
      <c r="W708" s="22" t="s">
        <v>18</v>
      </c>
      <c r="X708" s="22" t="s">
        <v>293</v>
      </c>
    </row>
    <row r="709" customFormat="false" ht="15" hidden="false" customHeight="false" outlineLevel="0" collapsed="false">
      <c r="A709" s="22" t="s">
        <v>3080</v>
      </c>
      <c r="B709" s="22" t="s">
        <v>18</v>
      </c>
      <c r="C709" s="22" t="s">
        <v>3081</v>
      </c>
      <c r="D709" s="22" t="s">
        <v>3082</v>
      </c>
      <c r="E709" s="22" t="s">
        <v>3083</v>
      </c>
      <c r="F709" s="22" t="n">
        <v>13</v>
      </c>
      <c r="G709" s="26" t="n">
        <v>198.14</v>
      </c>
      <c r="H709" s="26" t="n">
        <v>220.27</v>
      </c>
      <c r="I709" s="26" t="n">
        <v>242.41</v>
      </c>
      <c r="J709" s="26" t="n">
        <v>259</v>
      </c>
      <c r="K709" s="26" t="n">
        <v>275.6</v>
      </c>
      <c r="L709" s="26" t="n">
        <v>2.47</v>
      </c>
      <c r="M709" s="27" t="n">
        <v>0.005</v>
      </c>
      <c r="N709" s="27" t="n">
        <v>0.002</v>
      </c>
      <c r="O709" s="26" t="n">
        <v>5</v>
      </c>
      <c r="P709" s="26" t="n">
        <v>5</v>
      </c>
      <c r="Q709" s="28" t="n">
        <v>100</v>
      </c>
      <c r="R709" s="26" t="n">
        <v>30</v>
      </c>
      <c r="S709" s="26" t="n">
        <v>0</v>
      </c>
      <c r="T709" s="28" t="n">
        <v>1</v>
      </c>
      <c r="U709" s="26" t="n">
        <v>0</v>
      </c>
      <c r="V709" s="26" t="n">
        <v>0</v>
      </c>
      <c r="W709" s="22" t="s">
        <v>18</v>
      </c>
      <c r="X709" s="22" t="s">
        <v>293</v>
      </c>
    </row>
    <row r="710" customFormat="false" ht="15" hidden="false" customHeight="false" outlineLevel="0" collapsed="false">
      <c r="A710" s="22" t="s">
        <v>3084</v>
      </c>
      <c r="B710" s="22" t="s">
        <v>18</v>
      </c>
      <c r="C710" s="22" t="s">
        <v>3085</v>
      </c>
      <c r="D710" s="22" t="s">
        <v>3086</v>
      </c>
      <c r="E710" s="22" t="s">
        <v>3087</v>
      </c>
      <c r="F710" s="22" t="n">
        <v>13</v>
      </c>
      <c r="G710" s="26" t="n">
        <v>198.14</v>
      </c>
      <c r="H710" s="26" t="n">
        <v>220.27</v>
      </c>
      <c r="I710" s="26" t="n">
        <v>242.41</v>
      </c>
      <c r="J710" s="26" t="n">
        <v>259</v>
      </c>
      <c r="K710" s="26" t="n">
        <v>275.6</v>
      </c>
      <c r="L710" s="26" t="n">
        <v>2.47</v>
      </c>
      <c r="M710" s="27" t="n">
        <v>0.005</v>
      </c>
      <c r="N710" s="27" t="n">
        <v>0.002</v>
      </c>
      <c r="O710" s="26" t="n">
        <v>5</v>
      </c>
      <c r="P710" s="26" t="n">
        <v>5</v>
      </c>
      <c r="Q710" s="28" t="n">
        <v>100</v>
      </c>
      <c r="R710" s="26" t="n">
        <v>30</v>
      </c>
      <c r="S710" s="26" t="n">
        <v>0</v>
      </c>
      <c r="T710" s="28" t="n">
        <v>1</v>
      </c>
      <c r="U710" s="26" t="n">
        <v>0</v>
      </c>
      <c r="V710" s="26" t="n">
        <v>0</v>
      </c>
      <c r="W710" s="22" t="s">
        <v>18</v>
      </c>
      <c r="X710" s="22" t="s">
        <v>293</v>
      </c>
    </row>
    <row r="711" customFormat="false" ht="15" hidden="false" customHeight="false" outlineLevel="0" collapsed="false">
      <c r="A711" s="22" t="s">
        <v>3088</v>
      </c>
      <c r="B711" s="22" t="s">
        <v>18</v>
      </c>
      <c r="C711" s="22" t="s">
        <v>3089</v>
      </c>
      <c r="D711" s="22" t="s">
        <v>3090</v>
      </c>
      <c r="E711" s="22" t="s">
        <v>3091</v>
      </c>
      <c r="F711" s="22" t="n">
        <v>13</v>
      </c>
      <c r="G711" s="26" t="n">
        <v>198.14</v>
      </c>
      <c r="H711" s="26" t="n">
        <v>220.27</v>
      </c>
      <c r="I711" s="26" t="n">
        <v>242.41</v>
      </c>
      <c r="J711" s="26" t="n">
        <v>259</v>
      </c>
      <c r="K711" s="26" t="n">
        <v>275.6</v>
      </c>
      <c r="L711" s="26" t="n">
        <v>2.47</v>
      </c>
      <c r="M711" s="27" t="n">
        <v>0.005</v>
      </c>
      <c r="N711" s="27" t="n">
        <v>0.002</v>
      </c>
      <c r="O711" s="26" t="n">
        <v>5</v>
      </c>
      <c r="P711" s="26" t="n">
        <v>5</v>
      </c>
      <c r="Q711" s="28" t="n">
        <v>100</v>
      </c>
      <c r="R711" s="26" t="n">
        <v>30</v>
      </c>
      <c r="S711" s="26" t="n">
        <v>0</v>
      </c>
      <c r="T711" s="28" t="n">
        <v>1</v>
      </c>
      <c r="U711" s="26" t="n">
        <v>0</v>
      </c>
      <c r="V711" s="26" t="n">
        <v>0</v>
      </c>
      <c r="W711" s="22" t="s">
        <v>18</v>
      </c>
      <c r="X711" s="22" t="s">
        <v>293</v>
      </c>
    </row>
    <row r="712" customFormat="false" ht="15" hidden="false" customHeight="false" outlineLevel="0" collapsed="false">
      <c r="A712" s="22" t="s">
        <v>3092</v>
      </c>
      <c r="B712" s="22" t="s">
        <v>18</v>
      </c>
      <c r="C712" s="22" t="s">
        <v>3093</v>
      </c>
      <c r="D712" s="22" t="s">
        <v>3094</v>
      </c>
      <c r="E712" s="22" t="s">
        <v>3095</v>
      </c>
      <c r="F712" s="22" t="n">
        <v>13</v>
      </c>
      <c r="G712" s="26" t="n">
        <v>198.14</v>
      </c>
      <c r="H712" s="26" t="n">
        <v>220.27</v>
      </c>
      <c r="I712" s="26" t="n">
        <v>242.41</v>
      </c>
      <c r="J712" s="26" t="n">
        <v>259</v>
      </c>
      <c r="K712" s="26" t="n">
        <v>275.6</v>
      </c>
      <c r="L712" s="26" t="n">
        <v>2.47</v>
      </c>
      <c r="M712" s="27" t="n">
        <v>0.005</v>
      </c>
      <c r="N712" s="27" t="n">
        <v>0.002</v>
      </c>
      <c r="O712" s="26" t="n">
        <v>5</v>
      </c>
      <c r="P712" s="26" t="n">
        <v>5</v>
      </c>
      <c r="Q712" s="28" t="n">
        <v>100</v>
      </c>
      <c r="R712" s="26" t="n">
        <v>30</v>
      </c>
      <c r="S712" s="26" t="n">
        <v>0</v>
      </c>
      <c r="T712" s="28" t="n">
        <v>1</v>
      </c>
      <c r="U712" s="26" t="n">
        <v>0</v>
      </c>
      <c r="V712" s="26" t="n">
        <v>0</v>
      </c>
      <c r="W712" s="22" t="s">
        <v>18</v>
      </c>
      <c r="X712" s="22" t="s">
        <v>293</v>
      </c>
    </row>
    <row r="713" customFormat="false" ht="15" hidden="false" customHeight="false" outlineLevel="0" collapsed="false">
      <c r="A713" s="22" t="s">
        <v>3096</v>
      </c>
      <c r="B713" s="22" t="s">
        <v>18</v>
      </c>
      <c r="C713" s="22" t="s">
        <v>3097</v>
      </c>
      <c r="D713" s="22" t="s">
        <v>3098</v>
      </c>
      <c r="E713" s="22" t="s">
        <v>3099</v>
      </c>
      <c r="F713" s="22" t="n">
        <v>13</v>
      </c>
      <c r="G713" s="26" t="n">
        <v>198.14</v>
      </c>
      <c r="H713" s="26" t="n">
        <v>220.27</v>
      </c>
      <c r="I713" s="26" t="n">
        <v>242.41</v>
      </c>
      <c r="J713" s="26" t="n">
        <v>259</v>
      </c>
      <c r="K713" s="26" t="n">
        <v>275.6</v>
      </c>
      <c r="L713" s="26" t="n">
        <v>2.47</v>
      </c>
      <c r="M713" s="27" t="n">
        <v>0.005</v>
      </c>
      <c r="N713" s="27" t="n">
        <v>0.002</v>
      </c>
      <c r="O713" s="26" t="n">
        <v>5</v>
      </c>
      <c r="P713" s="26" t="n">
        <v>5</v>
      </c>
      <c r="Q713" s="28" t="n">
        <v>100</v>
      </c>
      <c r="R713" s="26" t="n">
        <v>30</v>
      </c>
      <c r="S713" s="26" t="n">
        <v>0</v>
      </c>
      <c r="T713" s="28" t="n">
        <v>1</v>
      </c>
      <c r="U713" s="26" t="n">
        <v>0</v>
      </c>
      <c r="V713" s="26" t="n">
        <v>0</v>
      </c>
      <c r="W713" s="22" t="s">
        <v>18</v>
      </c>
      <c r="X713" s="22" t="s">
        <v>293</v>
      </c>
    </row>
    <row r="714" customFormat="false" ht="15" hidden="false" customHeight="false" outlineLevel="0" collapsed="false">
      <c r="A714" s="22" t="s">
        <v>3100</v>
      </c>
      <c r="B714" s="22" t="s">
        <v>18</v>
      </c>
      <c r="C714" s="22" t="s">
        <v>3101</v>
      </c>
      <c r="D714" s="22" t="s">
        <v>3102</v>
      </c>
      <c r="E714" s="22" t="s">
        <v>3103</v>
      </c>
      <c r="F714" s="22" t="n">
        <v>13</v>
      </c>
      <c r="G714" s="26" t="n">
        <v>198.14</v>
      </c>
      <c r="H714" s="26" t="n">
        <v>220.27</v>
      </c>
      <c r="I714" s="26" t="n">
        <v>242.41</v>
      </c>
      <c r="J714" s="26" t="n">
        <v>259</v>
      </c>
      <c r="K714" s="26" t="n">
        <v>275.6</v>
      </c>
      <c r="L714" s="26" t="n">
        <v>2.47</v>
      </c>
      <c r="M714" s="27" t="n">
        <v>0.005</v>
      </c>
      <c r="N714" s="27" t="n">
        <v>0.002</v>
      </c>
      <c r="O714" s="26" t="n">
        <v>5</v>
      </c>
      <c r="P714" s="26" t="n">
        <v>5</v>
      </c>
      <c r="Q714" s="28" t="n">
        <v>100</v>
      </c>
      <c r="R714" s="26" t="n">
        <v>30</v>
      </c>
      <c r="S714" s="26" t="n">
        <v>0</v>
      </c>
      <c r="T714" s="28" t="n">
        <v>1</v>
      </c>
      <c r="U714" s="26" t="n">
        <v>0</v>
      </c>
      <c r="V714" s="26" t="n">
        <v>0</v>
      </c>
      <c r="W714" s="22" t="s">
        <v>18</v>
      </c>
      <c r="X714" s="22" t="s">
        <v>293</v>
      </c>
    </row>
    <row r="715" customFormat="false" ht="15" hidden="false" customHeight="false" outlineLevel="0" collapsed="false">
      <c r="A715" s="22" t="s">
        <v>3104</v>
      </c>
      <c r="B715" s="22" t="s">
        <v>18</v>
      </c>
      <c r="C715" s="22" t="s">
        <v>3105</v>
      </c>
      <c r="D715" s="22" t="s">
        <v>3106</v>
      </c>
      <c r="E715" s="22" t="s">
        <v>3107</v>
      </c>
      <c r="F715" s="22" t="n">
        <v>13</v>
      </c>
      <c r="G715" s="26" t="n">
        <v>198.14</v>
      </c>
      <c r="H715" s="26" t="n">
        <v>220.27</v>
      </c>
      <c r="I715" s="26" t="n">
        <v>242.41</v>
      </c>
      <c r="J715" s="26" t="n">
        <v>259</v>
      </c>
      <c r="K715" s="26" t="n">
        <v>275.6</v>
      </c>
      <c r="L715" s="26" t="n">
        <v>2.47</v>
      </c>
      <c r="M715" s="27" t="n">
        <v>0.005</v>
      </c>
      <c r="N715" s="27" t="n">
        <v>0.002</v>
      </c>
      <c r="O715" s="26" t="n">
        <v>5</v>
      </c>
      <c r="P715" s="26" t="n">
        <v>5</v>
      </c>
      <c r="Q715" s="28" t="n">
        <v>100</v>
      </c>
      <c r="R715" s="26" t="n">
        <v>30</v>
      </c>
      <c r="S715" s="26" t="n">
        <v>0</v>
      </c>
      <c r="T715" s="28" t="n">
        <v>1</v>
      </c>
      <c r="U715" s="26" t="n">
        <v>0</v>
      </c>
      <c r="V715" s="26" t="n">
        <v>0</v>
      </c>
      <c r="W715" s="22" t="s">
        <v>18</v>
      </c>
      <c r="X715" s="22" t="s">
        <v>293</v>
      </c>
    </row>
    <row r="716" customFormat="false" ht="15" hidden="false" customHeight="false" outlineLevel="0" collapsed="false">
      <c r="A716" s="22" t="s">
        <v>3108</v>
      </c>
      <c r="B716" s="22" t="s">
        <v>18</v>
      </c>
      <c r="C716" s="22" t="s">
        <v>3109</v>
      </c>
      <c r="D716" s="22" t="s">
        <v>3110</v>
      </c>
      <c r="E716" s="22" t="s">
        <v>3111</v>
      </c>
      <c r="F716" s="22" t="n">
        <v>13</v>
      </c>
      <c r="G716" s="26" t="n">
        <v>198.14</v>
      </c>
      <c r="H716" s="26" t="n">
        <v>220.27</v>
      </c>
      <c r="I716" s="26" t="n">
        <v>242.41</v>
      </c>
      <c r="J716" s="26" t="n">
        <v>259</v>
      </c>
      <c r="K716" s="26" t="n">
        <v>275.6</v>
      </c>
      <c r="L716" s="26" t="n">
        <v>2.47</v>
      </c>
      <c r="M716" s="27" t="n">
        <v>0.005</v>
      </c>
      <c r="N716" s="27" t="n">
        <v>0.002</v>
      </c>
      <c r="O716" s="26" t="n">
        <v>5</v>
      </c>
      <c r="P716" s="26" t="n">
        <v>5</v>
      </c>
      <c r="Q716" s="28" t="n">
        <v>100</v>
      </c>
      <c r="R716" s="26" t="n">
        <v>30</v>
      </c>
      <c r="S716" s="26" t="n">
        <v>0</v>
      </c>
      <c r="T716" s="28" t="n">
        <v>1</v>
      </c>
      <c r="U716" s="26" t="n">
        <v>0</v>
      </c>
      <c r="V716" s="26" t="n">
        <v>0</v>
      </c>
      <c r="W716" s="22" t="s">
        <v>18</v>
      </c>
      <c r="X716" s="22" t="s">
        <v>293</v>
      </c>
    </row>
    <row r="717" customFormat="false" ht="15" hidden="false" customHeight="false" outlineLevel="0" collapsed="false">
      <c r="A717" s="22" t="s">
        <v>3112</v>
      </c>
      <c r="B717" s="22" t="s">
        <v>18</v>
      </c>
      <c r="C717" s="22" t="s">
        <v>122</v>
      </c>
      <c r="D717" s="22" t="s">
        <v>3113</v>
      </c>
      <c r="E717" s="22" t="s">
        <v>3114</v>
      </c>
      <c r="F717" s="22" t="n">
        <v>13</v>
      </c>
      <c r="G717" s="26" t="n">
        <v>198.14</v>
      </c>
      <c r="H717" s="26" t="n">
        <v>220.27</v>
      </c>
      <c r="I717" s="26" t="n">
        <v>242.41</v>
      </c>
      <c r="J717" s="26" t="n">
        <v>259</v>
      </c>
      <c r="K717" s="26" t="n">
        <v>275.6</v>
      </c>
      <c r="L717" s="26" t="n">
        <v>2.47</v>
      </c>
      <c r="M717" s="27" t="n">
        <v>0.005</v>
      </c>
      <c r="N717" s="27" t="n">
        <v>0.002</v>
      </c>
      <c r="O717" s="26" t="n">
        <v>5</v>
      </c>
      <c r="P717" s="26" t="n">
        <v>5</v>
      </c>
      <c r="Q717" s="28" t="n">
        <v>100</v>
      </c>
      <c r="R717" s="26" t="n">
        <v>30</v>
      </c>
      <c r="S717" s="26" t="n">
        <v>0</v>
      </c>
      <c r="T717" s="28" t="n">
        <v>1</v>
      </c>
      <c r="U717" s="26" t="n">
        <v>0</v>
      </c>
      <c r="V717" s="26" t="n">
        <v>0</v>
      </c>
      <c r="W717" s="22" t="s">
        <v>18</v>
      </c>
      <c r="X717" s="22" t="s">
        <v>293</v>
      </c>
    </row>
    <row r="718" customFormat="false" ht="15" hidden="false" customHeight="false" outlineLevel="0" collapsed="false">
      <c r="A718" s="22" t="s">
        <v>3115</v>
      </c>
      <c r="B718" s="22" t="s">
        <v>18</v>
      </c>
      <c r="C718" s="22" t="s">
        <v>3116</v>
      </c>
      <c r="D718" s="22" t="s">
        <v>3117</v>
      </c>
      <c r="E718" s="22" t="s">
        <v>3118</v>
      </c>
      <c r="F718" s="22" t="n">
        <v>13</v>
      </c>
      <c r="G718" s="26" t="n">
        <v>198.14</v>
      </c>
      <c r="H718" s="26" t="n">
        <v>220.27</v>
      </c>
      <c r="I718" s="26" t="n">
        <v>242.41</v>
      </c>
      <c r="J718" s="26" t="n">
        <v>259</v>
      </c>
      <c r="K718" s="26" t="n">
        <v>275.6</v>
      </c>
      <c r="L718" s="26" t="n">
        <v>2.47</v>
      </c>
      <c r="M718" s="27" t="n">
        <v>0.005</v>
      </c>
      <c r="N718" s="27" t="n">
        <v>0.002</v>
      </c>
      <c r="O718" s="26" t="n">
        <v>5</v>
      </c>
      <c r="P718" s="26" t="n">
        <v>5</v>
      </c>
      <c r="Q718" s="28" t="n">
        <v>100</v>
      </c>
      <c r="R718" s="26" t="n">
        <v>30</v>
      </c>
      <c r="S718" s="26" t="n">
        <v>0</v>
      </c>
      <c r="T718" s="28" t="n">
        <v>1</v>
      </c>
      <c r="U718" s="26" t="n">
        <v>0</v>
      </c>
      <c r="V718" s="26" t="n">
        <v>0</v>
      </c>
      <c r="W718" s="22" t="s">
        <v>18</v>
      </c>
      <c r="X718" s="22" t="s">
        <v>293</v>
      </c>
    </row>
    <row r="719" customFormat="false" ht="15" hidden="false" customHeight="false" outlineLevel="0" collapsed="false">
      <c r="A719" s="22" t="s">
        <v>3119</v>
      </c>
      <c r="B719" s="22" t="s">
        <v>18</v>
      </c>
      <c r="C719" s="22" t="s">
        <v>3120</v>
      </c>
      <c r="D719" s="22" t="s">
        <v>3121</v>
      </c>
      <c r="E719" s="22" t="s">
        <v>3122</v>
      </c>
      <c r="F719" s="22" t="n">
        <v>13</v>
      </c>
      <c r="G719" s="26" t="n">
        <v>198.14</v>
      </c>
      <c r="H719" s="26" t="n">
        <v>220.27</v>
      </c>
      <c r="I719" s="26" t="n">
        <v>242.41</v>
      </c>
      <c r="J719" s="26" t="n">
        <v>259</v>
      </c>
      <c r="K719" s="26" t="n">
        <v>275.6</v>
      </c>
      <c r="L719" s="26" t="n">
        <v>2.47</v>
      </c>
      <c r="M719" s="27" t="n">
        <v>0.005</v>
      </c>
      <c r="N719" s="27" t="n">
        <v>0.002</v>
      </c>
      <c r="O719" s="26" t="n">
        <v>5</v>
      </c>
      <c r="P719" s="26" t="n">
        <v>5</v>
      </c>
      <c r="Q719" s="28" t="n">
        <v>100</v>
      </c>
      <c r="R719" s="26" t="n">
        <v>30</v>
      </c>
      <c r="S719" s="26" t="n">
        <v>0</v>
      </c>
      <c r="T719" s="28" t="n">
        <v>1</v>
      </c>
      <c r="U719" s="26" t="n">
        <v>0</v>
      </c>
      <c r="V719" s="26" t="n">
        <v>0</v>
      </c>
      <c r="W719" s="22" t="s">
        <v>18</v>
      </c>
      <c r="X719" s="22" t="s">
        <v>293</v>
      </c>
    </row>
    <row r="720" customFormat="false" ht="15" hidden="false" customHeight="false" outlineLevel="0" collapsed="false">
      <c r="A720" s="22" t="s">
        <v>3123</v>
      </c>
      <c r="B720" s="22" t="s">
        <v>18</v>
      </c>
      <c r="C720" s="22" t="s">
        <v>3124</v>
      </c>
      <c r="D720" s="22" t="s">
        <v>3125</v>
      </c>
      <c r="E720" s="22" t="s">
        <v>3126</v>
      </c>
      <c r="F720" s="22" t="n">
        <v>13</v>
      </c>
      <c r="G720" s="26" t="n">
        <v>198.14</v>
      </c>
      <c r="H720" s="26" t="n">
        <v>220.27</v>
      </c>
      <c r="I720" s="26" t="n">
        <v>242.41</v>
      </c>
      <c r="J720" s="26" t="n">
        <v>259</v>
      </c>
      <c r="K720" s="26" t="n">
        <v>275.6</v>
      </c>
      <c r="L720" s="26" t="n">
        <v>2.47</v>
      </c>
      <c r="M720" s="27" t="n">
        <v>0.005</v>
      </c>
      <c r="N720" s="27" t="n">
        <v>0.002</v>
      </c>
      <c r="O720" s="26" t="n">
        <v>5</v>
      </c>
      <c r="P720" s="26" t="n">
        <v>5</v>
      </c>
      <c r="Q720" s="28" t="n">
        <v>100</v>
      </c>
      <c r="R720" s="26" t="n">
        <v>30</v>
      </c>
      <c r="S720" s="26" t="n">
        <v>0</v>
      </c>
      <c r="T720" s="28" t="n">
        <v>1</v>
      </c>
      <c r="U720" s="26" t="n">
        <v>0</v>
      </c>
      <c r="V720" s="26" t="n">
        <v>0</v>
      </c>
      <c r="W720" s="22" t="s">
        <v>18</v>
      </c>
      <c r="X720" s="22" t="s">
        <v>293</v>
      </c>
    </row>
    <row r="721" customFormat="false" ht="15" hidden="false" customHeight="false" outlineLevel="0" collapsed="false">
      <c r="A721" s="22" t="s">
        <v>3127</v>
      </c>
      <c r="B721" s="22" t="s">
        <v>18</v>
      </c>
      <c r="C721" s="22" t="s">
        <v>3128</v>
      </c>
      <c r="D721" s="22" t="s">
        <v>3129</v>
      </c>
      <c r="E721" s="22" t="s">
        <v>3130</v>
      </c>
      <c r="F721" s="22" t="n">
        <v>13</v>
      </c>
      <c r="G721" s="26" t="n">
        <v>198.14</v>
      </c>
      <c r="H721" s="26" t="n">
        <v>220.27</v>
      </c>
      <c r="I721" s="26" t="n">
        <v>242.41</v>
      </c>
      <c r="J721" s="26" t="n">
        <v>259</v>
      </c>
      <c r="K721" s="26" t="n">
        <v>275.6</v>
      </c>
      <c r="L721" s="26" t="n">
        <v>2.47</v>
      </c>
      <c r="M721" s="27" t="n">
        <v>0.005</v>
      </c>
      <c r="N721" s="27" t="n">
        <v>0.002</v>
      </c>
      <c r="O721" s="26" t="n">
        <v>5</v>
      </c>
      <c r="P721" s="26" t="n">
        <v>5</v>
      </c>
      <c r="Q721" s="28" t="n">
        <v>100</v>
      </c>
      <c r="R721" s="26" t="n">
        <v>30</v>
      </c>
      <c r="S721" s="26" t="n">
        <v>0</v>
      </c>
      <c r="T721" s="28" t="n">
        <v>1</v>
      </c>
      <c r="U721" s="26" t="n">
        <v>0</v>
      </c>
      <c r="V721" s="26" t="n">
        <v>0</v>
      </c>
      <c r="W721" s="22" t="s">
        <v>18</v>
      </c>
      <c r="X721" s="22" t="s">
        <v>293</v>
      </c>
    </row>
    <row r="722" customFormat="false" ht="15" hidden="false" customHeight="false" outlineLevel="0" collapsed="false">
      <c r="A722" s="22" t="s">
        <v>3131</v>
      </c>
      <c r="B722" s="22" t="s">
        <v>18</v>
      </c>
      <c r="C722" s="22" t="s">
        <v>3132</v>
      </c>
      <c r="D722" s="22" t="s">
        <v>3133</v>
      </c>
      <c r="E722" s="22" t="s">
        <v>3134</v>
      </c>
      <c r="F722" s="22" t="n">
        <v>13</v>
      </c>
      <c r="G722" s="26" t="n">
        <v>198.14</v>
      </c>
      <c r="H722" s="26" t="n">
        <v>220.27</v>
      </c>
      <c r="I722" s="26" t="n">
        <v>242.41</v>
      </c>
      <c r="J722" s="26" t="n">
        <v>259</v>
      </c>
      <c r="K722" s="26" t="n">
        <v>275.6</v>
      </c>
      <c r="L722" s="26" t="n">
        <v>2.47</v>
      </c>
      <c r="M722" s="27" t="n">
        <v>0.005</v>
      </c>
      <c r="N722" s="27" t="n">
        <v>0.002</v>
      </c>
      <c r="O722" s="26" t="n">
        <v>5</v>
      </c>
      <c r="P722" s="26" t="n">
        <v>5</v>
      </c>
      <c r="Q722" s="28" t="n">
        <v>100</v>
      </c>
      <c r="R722" s="26" t="n">
        <v>30</v>
      </c>
      <c r="S722" s="26" t="n">
        <v>0</v>
      </c>
      <c r="T722" s="28" t="n">
        <v>1</v>
      </c>
      <c r="U722" s="26" t="n">
        <v>0</v>
      </c>
      <c r="V722" s="26" t="n">
        <v>0</v>
      </c>
      <c r="W722" s="22" t="s">
        <v>18</v>
      </c>
      <c r="X722" s="22" t="s">
        <v>293</v>
      </c>
    </row>
    <row r="723" customFormat="false" ht="15" hidden="false" customHeight="false" outlineLevel="0" collapsed="false">
      <c r="A723" s="22" t="s">
        <v>3135</v>
      </c>
      <c r="B723" s="22" t="s">
        <v>18</v>
      </c>
      <c r="C723" s="22" t="s">
        <v>3136</v>
      </c>
      <c r="D723" s="22" t="s">
        <v>3137</v>
      </c>
      <c r="E723" s="22" t="s">
        <v>3138</v>
      </c>
      <c r="F723" s="22" t="n">
        <v>13</v>
      </c>
      <c r="G723" s="26" t="n">
        <v>198.14</v>
      </c>
      <c r="H723" s="26" t="n">
        <v>220.27</v>
      </c>
      <c r="I723" s="26" t="n">
        <v>242.41</v>
      </c>
      <c r="J723" s="26" t="n">
        <v>259</v>
      </c>
      <c r="K723" s="26" t="n">
        <v>275.6</v>
      </c>
      <c r="L723" s="26" t="n">
        <v>2.47</v>
      </c>
      <c r="M723" s="27" t="n">
        <v>0.005</v>
      </c>
      <c r="N723" s="27" t="n">
        <v>0.002</v>
      </c>
      <c r="O723" s="26" t="n">
        <v>5</v>
      </c>
      <c r="P723" s="26" t="n">
        <v>5</v>
      </c>
      <c r="Q723" s="28" t="n">
        <v>100</v>
      </c>
      <c r="R723" s="26" t="n">
        <v>30</v>
      </c>
      <c r="S723" s="26" t="n">
        <v>0</v>
      </c>
      <c r="T723" s="28" t="n">
        <v>1</v>
      </c>
      <c r="U723" s="26" t="n">
        <v>0</v>
      </c>
      <c r="V723" s="26" t="n">
        <v>0</v>
      </c>
      <c r="W723" s="22" t="s">
        <v>18</v>
      </c>
      <c r="X723" s="22" t="s">
        <v>293</v>
      </c>
    </row>
    <row r="724" customFormat="false" ht="15" hidden="false" customHeight="false" outlineLevel="0" collapsed="false">
      <c r="A724" s="22" t="s">
        <v>3139</v>
      </c>
      <c r="B724" s="22" t="s">
        <v>18</v>
      </c>
      <c r="C724" s="22" t="s">
        <v>120</v>
      </c>
      <c r="D724" s="22" t="s">
        <v>3140</v>
      </c>
      <c r="E724" s="22" t="s">
        <v>3141</v>
      </c>
      <c r="F724" s="22" t="n">
        <v>13</v>
      </c>
      <c r="G724" s="26" t="n">
        <v>198.14</v>
      </c>
      <c r="H724" s="26" t="n">
        <v>220.27</v>
      </c>
      <c r="I724" s="26" t="n">
        <v>242.41</v>
      </c>
      <c r="J724" s="26" t="n">
        <v>259</v>
      </c>
      <c r="K724" s="26" t="n">
        <v>275.6</v>
      </c>
      <c r="L724" s="26" t="n">
        <v>2.47</v>
      </c>
      <c r="M724" s="27" t="n">
        <v>0.005</v>
      </c>
      <c r="N724" s="27" t="n">
        <v>0.002</v>
      </c>
      <c r="O724" s="26" t="n">
        <v>5</v>
      </c>
      <c r="P724" s="26" t="n">
        <v>5</v>
      </c>
      <c r="Q724" s="28" t="n">
        <v>100</v>
      </c>
      <c r="R724" s="26" t="n">
        <v>30</v>
      </c>
      <c r="S724" s="26" t="n">
        <v>0</v>
      </c>
      <c r="T724" s="28" t="n">
        <v>1</v>
      </c>
      <c r="U724" s="26" t="n">
        <v>0</v>
      </c>
      <c r="V724" s="26" t="n">
        <v>0</v>
      </c>
      <c r="W724" s="22" t="s">
        <v>18</v>
      </c>
      <c r="X724" s="22" t="s">
        <v>293</v>
      </c>
    </row>
    <row r="725" customFormat="false" ht="15" hidden="false" customHeight="false" outlineLevel="0" collapsed="false">
      <c r="A725" s="22" t="s">
        <v>3142</v>
      </c>
      <c r="B725" s="22" t="s">
        <v>18</v>
      </c>
      <c r="C725" s="22" t="s">
        <v>3143</v>
      </c>
      <c r="D725" s="22" t="s">
        <v>3144</v>
      </c>
      <c r="E725" s="22" t="s">
        <v>3145</v>
      </c>
      <c r="F725" s="22" t="n">
        <v>13</v>
      </c>
      <c r="G725" s="26" t="n">
        <v>198.14</v>
      </c>
      <c r="H725" s="26" t="n">
        <v>220.27</v>
      </c>
      <c r="I725" s="26" t="n">
        <v>242.41</v>
      </c>
      <c r="J725" s="26" t="n">
        <v>259</v>
      </c>
      <c r="K725" s="26" t="n">
        <v>275.6</v>
      </c>
      <c r="L725" s="26" t="n">
        <v>2.47</v>
      </c>
      <c r="M725" s="27" t="n">
        <v>0.005</v>
      </c>
      <c r="N725" s="27" t="n">
        <v>0.002</v>
      </c>
      <c r="O725" s="26" t="n">
        <v>5</v>
      </c>
      <c r="P725" s="26" t="n">
        <v>5</v>
      </c>
      <c r="Q725" s="28" t="n">
        <v>100</v>
      </c>
      <c r="R725" s="26" t="n">
        <v>30</v>
      </c>
      <c r="S725" s="26" t="n">
        <v>0</v>
      </c>
      <c r="T725" s="28" t="n">
        <v>1</v>
      </c>
      <c r="U725" s="26" t="n">
        <v>0</v>
      </c>
      <c r="V725" s="26" t="n">
        <v>0</v>
      </c>
      <c r="W725" s="22" t="s">
        <v>18</v>
      </c>
      <c r="X725" s="22" t="s">
        <v>293</v>
      </c>
    </row>
    <row r="726" customFormat="false" ht="15" hidden="false" customHeight="false" outlineLevel="0" collapsed="false">
      <c r="A726" s="22" t="s">
        <v>3146</v>
      </c>
      <c r="B726" s="22" t="s">
        <v>18</v>
      </c>
      <c r="C726" s="22" t="s">
        <v>3147</v>
      </c>
      <c r="D726" s="22" t="s">
        <v>3148</v>
      </c>
      <c r="E726" s="22" t="s">
        <v>3149</v>
      </c>
      <c r="F726" s="22" t="n">
        <v>13</v>
      </c>
      <c r="G726" s="26" t="n">
        <v>198.14</v>
      </c>
      <c r="H726" s="26" t="n">
        <v>220.27</v>
      </c>
      <c r="I726" s="26" t="n">
        <v>242.41</v>
      </c>
      <c r="J726" s="26" t="n">
        <v>259</v>
      </c>
      <c r="K726" s="26" t="n">
        <v>275.6</v>
      </c>
      <c r="L726" s="26" t="n">
        <v>2.47</v>
      </c>
      <c r="M726" s="27" t="n">
        <v>0.005</v>
      </c>
      <c r="N726" s="27" t="n">
        <v>0.002</v>
      </c>
      <c r="O726" s="26" t="n">
        <v>5</v>
      </c>
      <c r="P726" s="26" t="n">
        <v>5</v>
      </c>
      <c r="Q726" s="28" t="n">
        <v>100</v>
      </c>
      <c r="R726" s="26" t="n">
        <v>30</v>
      </c>
      <c r="S726" s="26" t="n">
        <v>0</v>
      </c>
      <c r="T726" s="28" t="n">
        <v>1</v>
      </c>
      <c r="U726" s="26" t="n">
        <v>0</v>
      </c>
      <c r="V726" s="26" t="n">
        <v>0</v>
      </c>
      <c r="W726" s="22" t="s">
        <v>18</v>
      </c>
      <c r="X726" s="22" t="s">
        <v>293</v>
      </c>
    </row>
    <row r="727" customFormat="false" ht="15" hidden="false" customHeight="false" outlineLevel="0" collapsed="false">
      <c r="A727" s="22" t="s">
        <v>3150</v>
      </c>
      <c r="B727" s="22" t="s">
        <v>18</v>
      </c>
      <c r="C727" s="22" t="s">
        <v>3151</v>
      </c>
      <c r="D727" s="22" t="s">
        <v>3152</v>
      </c>
      <c r="E727" s="22" t="s">
        <v>3153</v>
      </c>
      <c r="F727" s="22" t="n">
        <v>13</v>
      </c>
      <c r="G727" s="26" t="n">
        <v>198.14</v>
      </c>
      <c r="H727" s="26" t="n">
        <v>220.27</v>
      </c>
      <c r="I727" s="26" t="n">
        <v>242.41</v>
      </c>
      <c r="J727" s="26" t="n">
        <v>259</v>
      </c>
      <c r="K727" s="26" t="n">
        <v>275.6</v>
      </c>
      <c r="L727" s="26" t="n">
        <v>2.47</v>
      </c>
      <c r="M727" s="27" t="n">
        <v>0.005</v>
      </c>
      <c r="N727" s="27" t="n">
        <v>0.002</v>
      </c>
      <c r="O727" s="26" t="n">
        <v>5</v>
      </c>
      <c r="P727" s="26" t="n">
        <v>5</v>
      </c>
      <c r="Q727" s="28" t="n">
        <v>100</v>
      </c>
      <c r="R727" s="26" t="n">
        <v>30</v>
      </c>
      <c r="S727" s="26" t="n">
        <v>0</v>
      </c>
      <c r="T727" s="28" t="n">
        <v>1</v>
      </c>
      <c r="U727" s="26" t="n">
        <v>0</v>
      </c>
      <c r="V727" s="26" t="n">
        <v>0</v>
      </c>
      <c r="W727" s="22" t="s">
        <v>18</v>
      </c>
      <c r="X727" s="22" t="s">
        <v>293</v>
      </c>
    </row>
    <row r="728" customFormat="false" ht="15" hidden="false" customHeight="false" outlineLevel="0" collapsed="false">
      <c r="A728" s="22" t="s">
        <v>3154</v>
      </c>
      <c r="B728" s="22" t="s">
        <v>18</v>
      </c>
      <c r="C728" s="22" t="s">
        <v>3155</v>
      </c>
      <c r="D728" s="22" t="s">
        <v>3156</v>
      </c>
      <c r="E728" s="22" t="s">
        <v>3157</v>
      </c>
      <c r="F728" s="22" t="n">
        <v>13</v>
      </c>
      <c r="G728" s="26" t="n">
        <v>198.14</v>
      </c>
      <c r="H728" s="26" t="n">
        <v>220.27</v>
      </c>
      <c r="I728" s="26" t="n">
        <v>242.41</v>
      </c>
      <c r="J728" s="26" t="n">
        <v>259</v>
      </c>
      <c r="K728" s="26" t="n">
        <v>275.6</v>
      </c>
      <c r="L728" s="26" t="n">
        <v>2.47</v>
      </c>
      <c r="M728" s="27" t="n">
        <v>0.005</v>
      </c>
      <c r="N728" s="27" t="n">
        <v>0.002</v>
      </c>
      <c r="O728" s="26" t="n">
        <v>5</v>
      </c>
      <c r="P728" s="26" t="n">
        <v>5</v>
      </c>
      <c r="Q728" s="28" t="n">
        <v>100</v>
      </c>
      <c r="R728" s="26" t="n">
        <v>30</v>
      </c>
      <c r="S728" s="26" t="n">
        <v>0</v>
      </c>
      <c r="T728" s="28" t="n">
        <v>1</v>
      </c>
      <c r="U728" s="26" t="n">
        <v>0</v>
      </c>
      <c r="V728" s="26" t="n">
        <v>0</v>
      </c>
      <c r="W728" s="22" t="s">
        <v>18</v>
      </c>
      <c r="X728" s="22" t="s">
        <v>293</v>
      </c>
    </row>
    <row r="729" customFormat="false" ht="15" hidden="false" customHeight="false" outlineLevel="0" collapsed="false">
      <c r="A729" s="22" t="s">
        <v>3158</v>
      </c>
      <c r="B729" s="22" t="s">
        <v>18</v>
      </c>
      <c r="C729" s="22" t="s">
        <v>3159</v>
      </c>
      <c r="D729" s="22" t="s">
        <v>3160</v>
      </c>
      <c r="E729" s="22" t="s">
        <v>3161</v>
      </c>
      <c r="F729" s="22" t="n">
        <v>13</v>
      </c>
      <c r="G729" s="26" t="n">
        <v>198.14</v>
      </c>
      <c r="H729" s="26" t="n">
        <v>220.27</v>
      </c>
      <c r="I729" s="26" t="n">
        <v>242.41</v>
      </c>
      <c r="J729" s="26" t="n">
        <v>259</v>
      </c>
      <c r="K729" s="26" t="n">
        <v>275.6</v>
      </c>
      <c r="L729" s="26" t="n">
        <v>2.47</v>
      </c>
      <c r="M729" s="27" t="n">
        <v>0.005</v>
      </c>
      <c r="N729" s="27" t="n">
        <v>0.002</v>
      </c>
      <c r="O729" s="26" t="n">
        <v>5</v>
      </c>
      <c r="P729" s="26" t="n">
        <v>5</v>
      </c>
      <c r="Q729" s="28" t="n">
        <v>100</v>
      </c>
      <c r="R729" s="26" t="n">
        <v>30</v>
      </c>
      <c r="S729" s="26" t="n">
        <v>0</v>
      </c>
      <c r="T729" s="28" t="n">
        <v>1</v>
      </c>
      <c r="U729" s="26" t="n">
        <v>0</v>
      </c>
      <c r="V729" s="26" t="n">
        <v>0</v>
      </c>
      <c r="W729" s="22" t="s">
        <v>18</v>
      </c>
      <c r="X729" s="22" t="s">
        <v>293</v>
      </c>
    </row>
    <row r="730" customFormat="false" ht="15" hidden="false" customHeight="false" outlineLevel="0" collapsed="false">
      <c r="A730" s="22" t="s">
        <v>3162</v>
      </c>
      <c r="B730" s="22" t="s">
        <v>18</v>
      </c>
      <c r="C730" s="22" t="s">
        <v>3163</v>
      </c>
      <c r="D730" s="22" t="s">
        <v>3164</v>
      </c>
      <c r="E730" s="22" t="s">
        <v>3165</v>
      </c>
      <c r="F730" s="22" t="n">
        <v>13</v>
      </c>
      <c r="G730" s="26" t="n">
        <v>198.14</v>
      </c>
      <c r="H730" s="26" t="n">
        <v>220.27</v>
      </c>
      <c r="I730" s="26" t="n">
        <v>242.41</v>
      </c>
      <c r="J730" s="26" t="n">
        <v>259</v>
      </c>
      <c r="K730" s="26" t="n">
        <v>275.6</v>
      </c>
      <c r="L730" s="26" t="n">
        <v>2.47</v>
      </c>
      <c r="M730" s="27" t="n">
        <v>0.005</v>
      </c>
      <c r="N730" s="27" t="n">
        <v>0.002</v>
      </c>
      <c r="O730" s="26" t="n">
        <v>5</v>
      </c>
      <c r="P730" s="26" t="n">
        <v>5</v>
      </c>
      <c r="Q730" s="28" t="n">
        <v>100</v>
      </c>
      <c r="R730" s="26" t="n">
        <v>30</v>
      </c>
      <c r="S730" s="26" t="n">
        <v>0</v>
      </c>
      <c r="T730" s="28" t="n">
        <v>1</v>
      </c>
      <c r="U730" s="26" t="n">
        <v>0</v>
      </c>
      <c r="V730" s="26" t="n">
        <v>0</v>
      </c>
      <c r="W730" s="22" t="s">
        <v>18</v>
      </c>
      <c r="X730" s="22" t="s">
        <v>293</v>
      </c>
    </row>
    <row r="731" customFormat="false" ht="15" hidden="false" customHeight="false" outlineLevel="0" collapsed="false">
      <c r="A731" s="22" t="s">
        <v>3166</v>
      </c>
      <c r="B731" s="22" t="s">
        <v>18</v>
      </c>
      <c r="C731" s="22" t="s">
        <v>3167</v>
      </c>
      <c r="D731" s="22" t="s">
        <v>3168</v>
      </c>
      <c r="E731" s="22" t="s">
        <v>3169</v>
      </c>
      <c r="F731" s="22" t="n">
        <v>13</v>
      </c>
      <c r="G731" s="26" t="n">
        <v>198.14</v>
      </c>
      <c r="H731" s="26" t="n">
        <v>220.27</v>
      </c>
      <c r="I731" s="26" t="n">
        <v>242.41</v>
      </c>
      <c r="J731" s="26" t="n">
        <v>259</v>
      </c>
      <c r="K731" s="26" t="n">
        <v>275.6</v>
      </c>
      <c r="L731" s="26" t="n">
        <v>2.47</v>
      </c>
      <c r="M731" s="27" t="n">
        <v>0.005</v>
      </c>
      <c r="N731" s="27" t="n">
        <v>0.002</v>
      </c>
      <c r="O731" s="26" t="n">
        <v>5</v>
      </c>
      <c r="P731" s="26" t="n">
        <v>5</v>
      </c>
      <c r="Q731" s="28" t="n">
        <v>100</v>
      </c>
      <c r="R731" s="26" t="n">
        <v>30</v>
      </c>
      <c r="S731" s="26" t="n">
        <v>0</v>
      </c>
      <c r="T731" s="28" t="n">
        <v>1</v>
      </c>
      <c r="U731" s="26" t="n">
        <v>0</v>
      </c>
      <c r="V731" s="26" t="n">
        <v>0</v>
      </c>
      <c r="W731" s="22" t="s">
        <v>18</v>
      </c>
      <c r="X731" s="22" t="s">
        <v>293</v>
      </c>
    </row>
    <row r="732" customFormat="false" ht="15" hidden="false" customHeight="false" outlineLevel="0" collapsed="false">
      <c r="A732" s="22" t="s">
        <v>3170</v>
      </c>
      <c r="B732" s="22" t="s">
        <v>18</v>
      </c>
      <c r="C732" s="22" t="s">
        <v>3171</v>
      </c>
      <c r="D732" s="22" t="s">
        <v>3172</v>
      </c>
      <c r="E732" s="22" t="s">
        <v>3173</v>
      </c>
      <c r="F732" s="22" t="n">
        <v>13</v>
      </c>
      <c r="G732" s="26" t="n">
        <v>198.14</v>
      </c>
      <c r="H732" s="26" t="n">
        <v>220.27</v>
      </c>
      <c r="I732" s="26" t="n">
        <v>242.41</v>
      </c>
      <c r="J732" s="26" t="n">
        <v>259</v>
      </c>
      <c r="K732" s="26" t="n">
        <v>275.6</v>
      </c>
      <c r="L732" s="26" t="n">
        <v>2.47</v>
      </c>
      <c r="M732" s="27" t="n">
        <v>0.005</v>
      </c>
      <c r="N732" s="27" t="n">
        <v>0.002</v>
      </c>
      <c r="O732" s="26" t="n">
        <v>5</v>
      </c>
      <c r="P732" s="26" t="n">
        <v>5</v>
      </c>
      <c r="Q732" s="28" t="n">
        <v>100</v>
      </c>
      <c r="R732" s="26" t="n">
        <v>30</v>
      </c>
      <c r="S732" s="26" t="n">
        <v>0</v>
      </c>
      <c r="T732" s="28" t="n">
        <v>1</v>
      </c>
      <c r="U732" s="26" t="n">
        <v>0</v>
      </c>
      <c r="V732" s="26" t="n">
        <v>0</v>
      </c>
      <c r="W732" s="22" t="s">
        <v>18</v>
      </c>
      <c r="X732" s="22" t="s">
        <v>293</v>
      </c>
    </row>
    <row r="733" customFormat="false" ht="15" hidden="false" customHeight="false" outlineLevel="0" collapsed="false">
      <c r="A733" s="22" t="s">
        <v>3174</v>
      </c>
      <c r="B733" s="29" t="s">
        <v>18</v>
      </c>
      <c r="C733" s="29" t="s">
        <v>963</v>
      </c>
      <c r="D733" s="22" t="s">
        <v>3175</v>
      </c>
      <c r="E733" s="22" t="s">
        <v>3176</v>
      </c>
      <c r="F733" s="22" t="n">
        <v>13</v>
      </c>
      <c r="G733" s="26" t="n">
        <v>78.36</v>
      </c>
      <c r="H733" s="26" t="n">
        <v>88.38</v>
      </c>
      <c r="I733" s="26" t="n">
        <v>108.41</v>
      </c>
      <c r="J733" s="26" t="n">
        <v>118.43</v>
      </c>
      <c r="K733" s="26" t="n">
        <v>133.46</v>
      </c>
      <c r="L733" s="26" t="n">
        <v>1.93</v>
      </c>
      <c r="M733" s="27" t="n">
        <v>0.005</v>
      </c>
      <c r="N733" s="27" t="n">
        <v>0.002</v>
      </c>
      <c r="O733" s="26" t="n">
        <v>5</v>
      </c>
      <c r="P733" s="26" t="n">
        <v>5</v>
      </c>
      <c r="Q733" s="28" t="n">
        <v>100</v>
      </c>
      <c r="R733" s="26" t="n">
        <v>30</v>
      </c>
      <c r="S733" s="26" t="n">
        <v>0</v>
      </c>
      <c r="T733" s="28" t="n">
        <v>1</v>
      </c>
      <c r="U733" s="26" t="n">
        <v>0</v>
      </c>
      <c r="V733" s="26" t="n">
        <v>0</v>
      </c>
      <c r="W733" s="29" t="s">
        <v>19</v>
      </c>
      <c r="X733" s="22" t="s">
        <v>293</v>
      </c>
    </row>
    <row r="734" customFormat="false" ht="15" hidden="false" customHeight="false" outlineLevel="0" collapsed="false">
      <c r="A734" s="22" t="s">
        <v>3177</v>
      </c>
      <c r="B734" s="29" t="s">
        <v>18</v>
      </c>
      <c r="C734" s="29" t="s">
        <v>139</v>
      </c>
      <c r="D734" s="22" t="s">
        <v>3178</v>
      </c>
      <c r="E734" s="22" t="s">
        <v>3179</v>
      </c>
      <c r="F734" s="22" t="n">
        <v>13</v>
      </c>
      <c r="G734" s="26" t="n">
        <v>78.36</v>
      </c>
      <c r="H734" s="26" t="n">
        <v>88.38</v>
      </c>
      <c r="I734" s="26" t="n">
        <v>108.41</v>
      </c>
      <c r="J734" s="26" t="n">
        <v>118.43</v>
      </c>
      <c r="K734" s="26" t="n">
        <v>133.46</v>
      </c>
      <c r="L734" s="26" t="n">
        <v>1.93</v>
      </c>
      <c r="M734" s="27" t="n">
        <v>0.005</v>
      </c>
      <c r="N734" s="27" t="n">
        <v>0.002</v>
      </c>
      <c r="O734" s="26" t="n">
        <v>5</v>
      </c>
      <c r="P734" s="26" t="n">
        <v>5</v>
      </c>
      <c r="Q734" s="28" t="n">
        <v>100</v>
      </c>
      <c r="R734" s="26" t="n">
        <v>30</v>
      </c>
      <c r="S734" s="26" t="n">
        <v>0</v>
      </c>
      <c r="T734" s="28" t="n">
        <v>1</v>
      </c>
      <c r="U734" s="26" t="n">
        <v>0</v>
      </c>
      <c r="V734" s="26" t="n">
        <v>0</v>
      </c>
      <c r="W734" s="29" t="s">
        <v>19</v>
      </c>
      <c r="X734" s="22" t="s">
        <v>293</v>
      </c>
    </row>
    <row r="735" customFormat="false" ht="15" hidden="false" customHeight="false" outlineLevel="0" collapsed="false">
      <c r="A735" s="22" t="s">
        <v>3180</v>
      </c>
      <c r="B735" s="22" t="s">
        <v>18</v>
      </c>
      <c r="C735" s="22" t="s">
        <v>3181</v>
      </c>
      <c r="D735" s="22" t="s">
        <v>3182</v>
      </c>
      <c r="E735" s="22" t="s">
        <v>3183</v>
      </c>
      <c r="F735" s="22" t="n">
        <v>13</v>
      </c>
      <c r="G735" s="26" t="n">
        <v>198.14</v>
      </c>
      <c r="H735" s="26" t="n">
        <v>220.27</v>
      </c>
      <c r="I735" s="26" t="n">
        <v>242.41</v>
      </c>
      <c r="J735" s="26" t="n">
        <v>259</v>
      </c>
      <c r="K735" s="26" t="n">
        <v>275.6</v>
      </c>
      <c r="L735" s="26" t="n">
        <v>2.47</v>
      </c>
      <c r="M735" s="27" t="n">
        <v>0.005</v>
      </c>
      <c r="N735" s="27" t="n">
        <v>0.002</v>
      </c>
      <c r="O735" s="26" t="n">
        <v>5</v>
      </c>
      <c r="P735" s="26" t="n">
        <v>5</v>
      </c>
      <c r="Q735" s="28" t="n">
        <v>100</v>
      </c>
      <c r="R735" s="26" t="n">
        <v>30</v>
      </c>
      <c r="S735" s="26" t="n">
        <v>0</v>
      </c>
      <c r="T735" s="28" t="n">
        <v>1</v>
      </c>
      <c r="U735" s="26" t="n">
        <v>0</v>
      </c>
      <c r="V735" s="26" t="n">
        <v>0</v>
      </c>
      <c r="W735" s="22" t="s">
        <v>18</v>
      </c>
      <c r="X735" s="22" t="s">
        <v>293</v>
      </c>
    </row>
    <row r="736" customFormat="false" ht="15" hidden="false" customHeight="false" outlineLevel="0" collapsed="false">
      <c r="A736" s="22" t="s">
        <v>3184</v>
      </c>
      <c r="B736" s="22" t="s">
        <v>18</v>
      </c>
      <c r="C736" s="22" t="s">
        <v>116</v>
      </c>
      <c r="D736" s="22" t="s">
        <v>3185</v>
      </c>
      <c r="E736" s="22" t="s">
        <v>3186</v>
      </c>
      <c r="F736" s="22" t="n">
        <v>13</v>
      </c>
      <c r="G736" s="26" t="n">
        <v>198.14</v>
      </c>
      <c r="H736" s="26" t="n">
        <v>220.27</v>
      </c>
      <c r="I736" s="26" t="n">
        <v>242.41</v>
      </c>
      <c r="J736" s="26" t="n">
        <v>259</v>
      </c>
      <c r="K736" s="26" t="n">
        <v>275.6</v>
      </c>
      <c r="L736" s="26" t="n">
        <v>2.47</v>
      </c>
      <c r="M736" s="27" t="n">
        <v>0.005</v>
      </c>
      <c r="N736" s="27" t="n">
        <v>0.002</v>
      </c>
      <c r="O736" s="26" t="n">
        <v>5</v>
      </c>
      <c r="P736" s="26" t="n">
        <v>5</v>
      </c>
      <c r="Q736" s="28" t="n">
        <v>100</v>
      </c>
      <c r="R736" s="26" t="n">
        <v>30</v>
      </c>
      <c r="S736" s="26" t="n">
        <v>0</v>
      </c>
      <c r="T736" s="28" t="n">
        <v>1</v>
      </c>
      <c r="U736" s="26" t="n">
        <v>0</v>
      </c>
      <c r="V736" s="26" t="n">
        <v>0</v>
      </c>
      <c r="W736" s="22" t="s">
        <v>18</v>
      </c>
      <c r="X736" s="22" t="s">
        <v>293</v>
      </c>
    </row>
    <row r="737" customFormat="false" ht="15" hidden="false" customHeight="false" outlineLevel="0" collapsed="false">
      <c r="A737" s="22" t="s">
        <v>3187</v>
      </c>
      <c r="B737" s="22" t="s">
        <v>18</v>
      </c>
      <c r="C737" s="22" t="s">
        <v>3188</v>
      </c>
      <c r="D737" s="22" t="s">
        <v>3189</v>
      </c>
      <c r="E737" s="22" t="s">
        <v>3190</v>
      </c>
      <c r="F737" s="22" t="n">
        <v>13</v>
      </c>
      <c r="G737" s="26" t="n">
        <v>198.14</v>
      </c>
      <c r="H737" s="26" t="n">
        <v>220.27</v>
      </c>
      <c r="I737" s="26" t="n">
        <v>242.41</v>
      </c>
      <c r="J737" s="26" t="n">
        <v>259</v>
      </c>
      <c r="K737" s="26" t="n">
        <v>275.6</v>
      </c>
      <c r="L737" s="26" t="n">
        <v>2.47</v>
      </c>
      <c r="M737" s="27" t="n">
        <v>0.005</v>
      </c>
      <c r="N737" s="27" t="n">
        <v>0.002</v>
      </c>
      <c r="O737" s="26" t="n">
        <v>5</v>
      </c>
      <c r="P737" s="26" t="n">
        <v>5</v>
      </c>
      <c r="Q737" s="28" t="n">
        <v>100</v>
      </c>
      <c r="R737" s="26" t="n">
        <v>30</v>
      </c>
      <c r="S737" s="26" t="n">
        <v>0</v>
      </c>
      <c r="T737" s="28" t="n">
        <v>1</v>
      </c>
      <c r="U737" s="26" t="n">
        <v>0</v>
      </c>
      <c r="V737" s="26" t="n">
        <v>0</v>
      </c>
      <c r="W737" s="22" t="s">
        <v>18</v>
      </c>
      <c r="X737" s="22" t="s">
        <v>293</v>
      </c>
    </row>
    <row r="738" customFormat="false" ht="15" hidden="false" customHeight="false" outlineLevel="0" collapsed="false">
      <c r="A738" s="22" t="s">
        <v>3191</v>
      </c>
      <c r="B738" s="22" t="s">
        <v>18</v>
      </c>
      <c r="C738" s="22" t="s">
        <v>3192</v>
      </c>
      <c r="D738" s="22" t="s">
        <v>3193</v>
      </c>
      <c r="E738" s="22" t="s">
        <v>3194</v>
      </c>
      <c r="F738" s="22" t="n">
        <v>13</v>
      </c>
      <c r="G738" s="26" t="n">
        <v>198.14</v>
      </c>
      <c r="H738" s="26" t="n">
        <v>220.27</v>
      </c>
      <c r="I738" s="26" t="n">
        <v>242.41</v>
      </c>
      <c r="J738" s="26" t="n">
        <v>259</v>
      </c>
      <c r="K738" s="26" t="n">
        <v>275.6</v>
      </c>
      <c r="L738" s="26" t="n">
        <v>2.47</v>
      </c>
      <c r="M738" s="27" t="n">
        <v>0.005</v>
      </c>
      <c r="N738" s="27" t="n">
        <v>0.002</v>
      </c>
      <c r="O738" s="26" t="n">
        <v>5</v>
      </c>
      <c r="P738" s="26" t="n">
        <v>5</v>
      </c>
      <c r="Q738" s="28" t="n">
        <v>100</v>
      </c>
      <c r="R738" s="26" t="n">
        <v>30</v>
      </c>
      <c r="S738" s="26" t="n">
        <v>0</v>
      </c>
      <c r="T738" s="28" t="n">
        <v>1</v>
      </c>
      <c r="U738" s="26" t="n">
        <v>0</v>
      </c>
      <c r="V738" s="26" t="n">
        <v>400</v>
      </c>
      <c r="W738" s="22" t="s">
        <v>18</v>
      </c>
      <c r="X738" s="22" t="s">
        <v>293</v>
      </c>
    </row>
    <row r="739" customFormat="false" ht="15" hidden="false" customHeight="false" outlineLevel="0" collapsed="false">
      <c r="A739" s="22" t="s">
        <v>3195</v>
      </c>
      <c r="B739" s="22" t="s">
        <v>18</v>
      </c>
      <c r="C739" s="22" t="s">
        <v>3196</v>
      </c>
      <c r="D739" s="22" t="s">
        <v>3197</v>
      </c>
      <c r="E739" s="22" t="s">
        <v>3198</v>
      </c>
      <c r="F739" s="22" t="n">
        <v>13</v>
      </c>
      <c r="G739" s="26" t="n">
        <v>198.14</v>
      </c>
      <c r="H739" s="26" t="n">
        <v>220.27</v>
      </c>
      <c r="I739" s="26" t="n">
        <v>242.41</v>
      </c>
      <c r="J739" s="26" t="n">
        <v>259</v>
      </c>
      <c r="K739" s="26" t="n">
        <v>275.6</v>
      </c>
      <c r="L739" s="26" t="n">
        <v>2.47</v>
      </c>
      <c r="M739" s="27" t="n">
        <v>0.005</v>
      </c>
      <c r="N739" s="27" t="n">
        <v>0.002</v>
      </c>
      <c r="O739" s="26" t="n">
        <v>5</v>
      </c>
      <c r="P739" s="26" t="n">
        <v>5</v>
      </c>
      <c r="Q739" s="28" t="n">
        <v>100</v>
      </c>
      <c r="R739" s="26" t="n">
        <v>30</v>
      </c>
      <c r="S739" s="26" t="n">
        <v>0</v>
      </c>
      <c r="T739" s="28" t="n">
        <v>1</v>
      </c>
      <c r="U739" s="26" t="n">
        <v>0</v>
      </c>
      <c r="V739" s="26" t="n">
        <v>0</v>
      </c>
      <c r="W739" s="22" t="s">
        <v>18</v>
      </c>
      <c r="X739" s="22" t="s">
        <v>293</v>
      </c>
    </row>
    <row r="740" customFormat="false" ht="15" hidden="false" customHeight="false" outlineLevel="0" collapsed="false">
      <c r="A740" s="22" t="s">
        <v>3199</v>
      </c>
      <c r="B740" s="22" t="s">
        <v>18</v>
      </c>
      <c r="C740" s="22" t="s">
        <v>3200</v>
      </c>
      <c r="D740" s="22" t="s">
        <v>3201</v>
      </c>
      <c r="E740" s="22" t="s">
        <v>3202</v>
      </c>
      <c r="F740" s="22" t="n">
        <v>13</v>
      </c>
      <c r="G740" s="26" t="n">
        <v>198.14</v>
      </c>
      <c r="H740" s="26" t="n">
        <v>220.27</v>
      </c>
      <c r="I740" s="26" t="n">
        <v>242.41</v>
      </c>
      <c r="J740" s="26" t="n">
        <v>259</v>
      </c>
      <c r="K740" s="26" t="n">
        <v>275.6</v>
      </c>
      <c r="L740" s="26" t="n">
        <v>2.47</v>
      </c>
      <c r="M740" s="27" t="n">
        <v>0.005</v>
      </c>
      <c r="N740" s="27" t="n">
        <v>0.002</v>
      </c>
      <c r="O740" s="26" t="n">
        <v>5</v>
      </c>
      <c r="P740" s="26" t="n">
        <v>5</v>
      </c>
      <c r="Q740" s="28" t="n">
        <v>100</v>
      </c>
      <c r="R740" s="26" t="n">
        <v>30</v>
      </c>
      <c r="S740" s="26" t="n">
        <v>0</v>
      </c>
      <c r="T740" s="28" t="n">
        <v>1</v>
      </c>
      <c r="U740" s="26" t="n">
        <v>0</v>
      </c>
      <c r="V740" s="26" t="n">
        <v>0</v>
      </c>
      <c r="W740" s="22" t="s">
        <v>18</v>
      </c>
      <c r="X740" s="22" t="s">
        <v>293</v>
      </c>
    </row>
    <row r="741" customFormat="false" ht="15" hidden="false" customHeight="false" outlineLevel="0" collapsed="false">
      <c r="A741" s="22" t="s">
        <v>3203</v>
      </c>
      <c r="B741" s="22" t="s">
        <v>18</v>
      </c>
      <c r="C741" s="22" t="s">
        <v>3204</v>
      </c>
      <c r="D741" s="22" t="s">
        <v>3205</v>
      </c>
      <c r="E741" s="22" t="s">
        <v>3206</v>
      </c>
      <c r="F741" s="22" t="n">
        <v>13</v>
      </c>
      <c r="G741" s="26" t="n">
        <v>198.14</v>
      </c>
      <c r="H741" s="26" t="n">
        <v>220.27</v>
      </c>
      <c r="I741" s="26" t="n">
        <v>242.41</v>
      </c>
      <c r="J741" s="26" t="n">
        <v>259</v>
      </c>
      <c r="K741" s="26" t="n">
        <v>275.6</v>
      </c>
      <c r="L741" s="26" t="n">
        <v>2.47</v>
      </c>
      <c r="M741" s="27" t="n">
        <v>0.005</v>
      </c>
      <c r="N741" s="27" t="n">
        <v>0.002</v>
      </c>
      <c r="O741" s="26" t="n">
        <v>5</v>
      </c>
      <c r="P741" s="26" t="n">
        <v>5</v>
      </c>
      <c r="Q741" s="28" t="n">
        <v>100</v>
      </c>
      <c r="R741" s="26" t="n">
        <v>30</v>
      </c>
      <c r="S741" s="26" t="n">
        <v>0</v>
      </c>
      <c r="T741" s="28" t="n">
        <v>1</v>
      </c>
      <c r="U741" s="26" t="n">
        <v>0</v>
      </c>
      <c r="V741" s="26" t="n">
        <v>400</v>
      </c>
      <c r="W741" s="22" t="s">
        <v>18</v>
      </c>
      <c r="X741" s="22" t="s">
        <v>293</v>
      </c>
    </row>
    <row r="742" customFormat="false" ht="15" hidden="false" customHeight="false" outlineLevel="0" collapsed="false">
      <c r="A742" s="22" t="s">
        <v>3207</v>
      </c>
      <c r="B742" s="22" t="s">
        <v>18</v>
      </c>
      <c r="C742" s="22" t="s">
        <v>3208</v>
      </c>
      <c r="D742" s="22" t="s">
        <v>3209</v>
      </c>
      <c r="E742" s="22" t="s">
        <v>3210</v>
      </c>
      <c r="F742" s="22" t="n">
        <v>13</v>
      </c>
      <c r="G742" s="26" t="n">
        <v>198.14</v>
      </c>
      <c r="H742" s="26" t="n">
        <v>220.27</v>
      </c>
      <c r="I742" s="26" t="n">
        <v>242.41</v>
      </c>
      <c r="J742" s="26" t="n">
        <v>259</v>
      </c>
      <c r="K742" s="26" t="n">
        <v>275.6</v>
      </c>
      <c r="L742" s="26" t="n">
        <v>2.47</v>
      </c>
      <c r="M742" s="27" t="n">
        <v>0.005</v>
      </c>
      <c r="N742" s="27" t="n">
        <v>0.002</v>
      </c>
      <c r="O742" s="26" t="n">
        <v>5</v>
      </c>
      <c r="P742" s="26" t="n">
        <v>5</v>
      </c>
      <c r="Q742" s="28" t="n">
        <v>100</v>
      </c>
      <c r="R742" s="26" t="n">
        <v>30</v>
      </c>
      <c r="S742" s="26" t="n">
        <v>0</v>
      </c>
      <c r="T742" s="28" t="n">
        <v>1</v>
      </c>
      <c r="U742" s="26" t="n">
        <v>0</v>
      </c>
      <c r="V742" s="26" t="n">
        <v>0</v>
      </c>
      <c r="W742" s="22" t="s">
        <v>18</v>
      </c>
      <c r="X742" s="22" t="s">
        <v>293</v>
      </c>
    </row>
    <row r="743" customFormat="false" ht="15" hidden="false" customHeight="false" outlineLevel="0" collapsed="false">
      <c r="A743" s="22" t="s">
        <v>3211</v>
      </c>
      <c r="B743" s="22" t="s">
        <v>18</v>
      </c>
      <c r="C743" s="22" t="s">
        <v>3212</v>
      </c>
      <c r="D743" s="22" t="s">
        <v>3213</v>
      </c>
      <c r="E743" s="22" t="s">
        <v>3214</v>
      </c>
      <c r="F743" s="22" t="n">
        <v>13</v>
      </c>
      <c r="G743" s="26" t="n">
        <v>198.14</v>
      </c>
      <c r="H743" s="26" t="n">
        <v>220.27</v>
      </c>
      <c r="I743" s="26" t="n">
        <v>242.41</v>
      </c>
      <c r="J743" s="26" t="n">
        <v>259</v>
      </c>
      <c r="K743" s="26" t="n">
        <v>275.6</v>
      </c>
      <c r="L743" s="26" t="n">
        <v>2.47</v>
      </c>
      <c r="M743" s="27" t="n">
        <v>0.005</v>
      </c>
      <c r="N743" s="27" t="n">
        <v>0.002</v>
      </c>
      <c r="O743" s="26" t="n">
        <v>5</v>
      </c>
      <c r="P743" s="26" t="n">
        <v>5</v>
      </c>
      <c r="Q743" s="28" t="n">
        <v>100</v>
      </c>
      <c r="R743" s="26" t="n">
        <v>30</v>
      </c>
      <c r="S743" s="26" t="n">
        <v>0</v>
      </c>
      <c r="T743" s="28" t="n">
        <v>1</v>
      </c>
      <c r="U743" s="26" t="n">
        <v>0</v>
      </c>
      <c r="V743" s="26" t="n">
        <v>0</v>
      </c>
      <c r="W743" s="22" t="s">
        <v>18</v>
      </c>
      <c r="X743" s="22" t="s">
        <v>293</v>
      </c>
    </row>
    <row r="744" customFormat="false" ht="15" hidden="false" customHeight="false" outlineLevel="0" collapsed="false">
      <c r="A744" s="22" t="s">
        <v>3215</v>
      </c>
      <c r="B744" s="22" t="s">
        <v>18</v>
      </c>
      <c r="C744" s="22" t="s">
        <v>3216</v>
      </c>
      <c r="D744" s="22" t="s">
        <v>3217</v>
      </c>
      <c r="E744" s="22" t="s">
        <v>3218</v>
      </c>
      <c r="F744" s="22" t="n">
        <v>17</v>
      </c>
      <c r="G744" s="26" t="n">
        <v>212.67</v>
      </c>
      <c r="H744" s="26" t="n">
        <v>234.8</v>
      </c>
      <c r="I744" s="26" t="n">
        <v>256.93</v>
      </c>
      <c r="J744" s="26" t="n">
        <v>273.53</v>
      </c>
      <c r="K744" s="26" t="n">
        <v>290.13</v>
      </c>
      <c r="L744" s="26" t="n">
        <v>2.65</v>
      </c>
      <c r="M744" s="27" t="n">
        <v>0.005</v>
      </c>
      <c r="N744" s="27" t="n">
        <v>0.002</v>
      </c>
      <c r="O744" s="26" t="n">
        <v>5</v>
      </c>
      <c r="P744" s="26" t="n">
        <v>5</v>
      </c>
      <c r="Q744" s="28" t="n">
        <v>100</v>
      </c>
      <c r="R744" s="26" t="n">
        <v>30</v>
      </c>
      <c r="S744" s="26" t="n">
        <v>0</v>
      </c>
      <c r="T744" s="28" t="n">
        <v>1</v>
      </c>
      <c r="U744" s="26" t="n">
        <v>0</v>
      </c>
      <c r="V744" s="26" t="n">
        <v>0</v>
      </c>
      <c r="W744" s="22" t="s">
        <v>18</v>
      </c>
      <c r="X744" s="22" t="s">
        <v>373</v>
      </c>
    </row>
    <row r="745" customFormat="false" ht="15" hidden="false" customHeight="false" outlineLevel="0" collapsed="false">
      <c r="A745" s="22" t="s">
        <v>3219</v>
      </c>
      <c r="B745" s="22" t="s">
        <v>18</v>
      </c>
      <c r="C745" s="22" t="s">
        <v>3220</v>
      </c>
      <c r="D745" s="22" t="s">
        <v>3221</v>
      </c>
      <c r="E745" s="22" t="s">
        <v>3222</v>
      </c>
      <c r="F745" s="22" t="n">
        <v>17</v>
      </c>
      <c r="G745" s="26" t="n">
        <v>212.67</v>
      </c>
      <c r="H745" s="26" t="n">
        <v>234.8</v>
      </c>
      <c r="I745" s="26" t="n">
        <v>256.93</v>
      </c>
      <c r="J745" s="26" t="n">
        <v>273.53</v>
      </c>
      <c r="K745" s="26" t="n">
        <v>290.13</v>
      </c>
      <c r="L745" s="26" t="n">
        <v>2.65</v>
      </c>
      <c r="M745" s="27" t="n">
        <v>0.005</v>
      </c>
      <c r="N745" s="27" t="n">
        <v>0.002</v>
      </c>
      <c r="O745" s="26" t="n">
        <v>5</v>
      </c>
      <c r="P745" s="26" t="n">
        <v>5</v>
      </c>
      <c r="Q745" s="28" t="n">
        <v>100</v>
      </c>
      <c r="R745" s="26" t="n">
        <v>30</v>
      </c>
      <c r="S745" s="26" t="n">
        <v>0</v>
      </c>
      <c r="T745" s="28" t="n">
        <v>1</v>
      </c>
      <c r="U745" s="26" t="n">
        <v>0</v>
      </c>
      <c r="V745" s="26" t="n">
        <v>400</v>
      </c>
      <c r="W745" s="22" t="s">
        <v>18</v>
      </c>
      <c r="X745" s="22" t="s">
        <v>373</v>
      </c>
    </row>
    <row r="746" customFormat="false" ht="15" hidden="false" customHeight="false" outlineLevel="0" collapsed="false">
      <c r="A746" s="22" t="s">
        <v>3223</v>
      </c>
      <c r="B746" s="22" t="s">
        <v>18</v>
      </c>
      <c r="C746" s="22" t="s">
        <v>3224</v>
      </c>
      <c r="D746" s="22" t="s">
        <v>3225</v>
      </c>
      <c r="E746" s="22" t="s">
        <v>3226</v>
      </c>
      <c r="F746" s="22" t="n">
        <v>17</v>
      </c>
      <c r="G746" s="26" t="n">
        <v>212.67</v>
      </c>
      <c r="H746" s="26" t="n">
        <v>234.8</v>
      </c>
      <c r="I746" s="26" t="n">
        <v>256.93</v>
      </c>
      <c r="J746" s="26" t="n">
        <v>273.53</v>
      </c>
      <c r="K746" s="26" t="n">
        <v>290.13</v>
      </c>
      <c r="L746" s="26" t="n">
        <v>2.65</v>
      </c>
      <c r="M746" s="27" t="n">
        <v>0.005</v>
      </c>
      <c r="N746" s="27" t="n">
        <v>0.002</v>
      </c>
      <c r="O746" s="26" t="n">
        <v>5</v>
      </c>
      <c r="P746" s="26" t="n">
        <v>5</v>
      </c>
      <c r="Q746" s="28" t="n">
        <v>100</v>
      </c>
      <c r="R746" s="26" t="n">
        <v>30</v>
      </c>
      <c r="S746" s="26" t="n">
        <v>0</v>
      </c>
      <c r="T746" s="28" t="n">
        <v>1</v>
      </c>
      <c r="U746" s="26" t="n">
        <v>0</v>
      </c>
      <c r="V746" s="26" t="n">
        <v>0</v>
      </c>
      <c r="W746" s="22" t="s">
        <v>18</v>
      </c>
      <c r="X746" s="22" t="s">
        <v>373</v>
      </c>
    </row>
    <row r="747" customFormat="false" ht="15" hidden="false" customHeight="false" outlineLevel="0" collapsed="false">
      <c r="A747" s="22" t="s">
        <v>3227</v>
      </c>
      <c r="B747" s="22" t="s">
        <v>18</v>
      </c>
      <c r="C747" s="22" t="s">
        <v>3228</v>
      </c>
      <c r="D747" s="22" t="s">
        <v>3229</v>
      </c>
      <c r="E747" s="22" t="s">
        <v>3230</v>
      </c>
      <c r="F747" s="22" t="n">
        <v>17</v>
      </c>
      <c r="G747" s="26" t="n">
        <v>212.67</v>
      </c>
      <c r="H747" s="26" t="n">
        <v>234.8</v>
      </c>
      <c r="I747" s="26" t="n">
        <v>256.93</v>
      </c>
      <c r="J747" s="26" t="n">
        <v>273.53</v>
      </c>
      <c r="K747" s="26" t="n">
        <v>290.13</v>
      </c>
      <c r="L747" s="26" t="n">
        <v>2.65</v>
      </c>
      <c r="M747" s="27" t="n">
        <v>0.005</v>
      </c>
      <c r="N747" s="27" t="n">
        <v>0.002</v>
      </c>
      <c r="O747" s="26" t="n">
        <v>5</v>
      </c>
      <c r="P747" s="26" t="n">
        <v>5</v>
      </c>
      <c r="Q747" s="28" t="n">
        <v>100</v>
      </c>
      <c r="R747" s="26" t="n">
        <v>30</v>
      </c>
      <c r="S747" s="26" t="n">
        <v>0</v>
      </c>
      <c r="T747" s="28" t="n">
        <v>1</v>
      </c>
      <c r="U747" s="26" t="n">
        <v>0</v>
      </c>
      <c r="V747" s="26" t="n">
        <v>400</v>
      </c>
      <c r="W747" s="22" t="s">
        <v>18</v>
      </c>
      <c r="X747" s="22" t="s">
        <v>373</v>
      </c>
    </row>
    <row r="748" customFormat="false" ht="15" hidden="false" customHeight="false" outlineLevel="0" collapsed="false">
      <c r="A748" s="22" t="s">
        <v>3231</v>
      </c>
      <c r="B748" s="22" t="s">
        <v>18</v>
      </c>
      <c r="C748" s="22" t="s">
        <v>3232</v>
      </c>
      <c r="D748" s="22" t="s">
        <v>3233</v>
      </c>
      <c r="E748" s="22" t="s">
        <v>3234</v>
      </c>
      <c r="F748" s="22" t="n">
        <v>17</v>
      </c>
      <c r="G748" s="26" t="n">
        <v>212.67</v>
      </c>
      <c r="H748" s="26" t="n">
        <v>234.8</v>
      </c>
      <c r="I748" s="26" t="n">
        <v>256.93</v>
      </c>
      <c r="J748" s="26" t="n">
        <v>273.53</v>
      </c>
      <c r="K748" s="26" t="n">
        <v>290.13</v>
      </c>
      <c r="L748" s="26" t="n">
        <v>2.65</v>
      </c>
      <c r="M748" s="27" t="n">
        <v>0.005</v>
      </c>
      <c r="N748" s="27" t="n">
        <v>0.002</v>
      </c>
      <c r="O748" s="26" t="n">
        <v>5</v>
      </c>
      <c r="P748" s="26" t="n">
        <v>5</v>
      </c>
      <c r="Q748" s="28" t="n">
        <v>100</v>
      </c>
      <c r="R748" s="26" t="n">
        <v>30</v>
      </c>
      <c r="S748" s="26" t="n">
        <v>0</v>
      </c>
      <c r="T748" s="28" t="n">
        <v>1</v>
      </c>
      <c r="U748" s="26" t="n">
        <v>0</v>
      </c>
      <c r="V748" s="26" t="n">
        <v>0</v>
      </c>
      <c r="W748" s="22" t="s">
        <v>18</v>
      </c>
      <c r="X748" s="22" t="s">
        <v>373</v>
      </c>
    </row>
    <row r="749" customFormat="false" ht="15" hidden="false" customHeight="false" outlineLevel="0" collapsed="false">
      <c r="A749" s="22" t="s">
        <v>3235</v>
      </c>
      <c r="B749" s="22" t="s">
        <v>18</v>
      </c>
      <c r="C749" s="22" t="s">
        <v>3236</v>
      </c>
      <c r="D749" s="22" t="s">
        <v>3237</v>
      </c>
      <c r="E749" s="22" t="s">
        <v>3238</v>
      </c>
      <c r="F749" s="22" t="n">
        <v>17</v>
      </c>
      <c r="G749" s="26" t="n">
        <v>212.67</v>
      </c>
      <c r="H749" s="26" t="n">
        <v>234.8</v>
      </c>
      <c r="I749" s="26" t="n">
        <v>256.93</v>
      </c>
      <c r="J749" s="26" t="n">
        <v>273.53</v>
      </c>
      <c r="K749" s="26" t="n">
        <v>290.13</v>
      </c>
      <c r="L749" s="26" t="n">
        <v>2.65</v>
      </c>
      <c r="M749" s="27" t="n">
        <v>0.005</v>
      </c>
      <c r="N749" s="27" t="n">
        <v>0.002</v>
      </c>
      <c r="O749" s="26" t="n">
        <v>5</v>
      </c>
      <c r="P749" s="26" t="n">
        <v>5</v>
      </c>
      <c r="Q749" s="28" t="n">
        <v>100</v>
      </c>
      <c r="R749" s="26" t="n">
        <v>30</v>
      </c>
      <c r="S749" s="26" t="n">
        <v>0</v>
      </c>
      <c r="T749" s="28" t="n">
        <v>1</v>
      </c>
      <c r="U749" s="26" t="n">
        <v>0</v>
      </c>
      <c r="V749" s="26" t="n">
        <v>0</v>
      </c>
      <c r="W749" s="22" t="s">
        <v>18</v>
      </c>
      <c r="X749" s="22" t="s">
        <v>373</v>
      </c>
    </row>
    <row r="750" customFormat="false" ht="15" hidden="false" customHeight="false" outlineLevel="0" collapsed="false">
      <c r="A750" s="22" t="s">
        <v>3239</v>
      </c>
      <c r="B750" s="22" t="s">
        <v>18</v>
      </c>
      <c r="C750" s="22" t="s">
        <v>3240</v>
      </c>
      <c r="D750" s="22" t="s">
        <v>3241</v>
      </c>
      <c r="E750" s="22" t="s">
        <v>3242</v>
      </c>
      <c r="F750" s="22" t="n">
        <v>17</v>
      </c>
      <c r="G750" s="26" t="n">
        <v>212.67</v>
      </c>
      <c r="H750" s="26" t="n">
        <v>234.8</v>
      </c>
      <c r="I750" s="26" t="n">
        <v>256.93</v>
      </c>
      <c r="J750" s="26" t="n">
        <v>273.53</v>
      </c>
      <c r="K750" s="26" t="n">
        <v>290.13</v>
      </c>
      <c r="L750" s="26" t="n">
        <v>2.65</v>
      </c>
      <c r="M750" s="27" t="n">
        <v>0.005</v>
      </c>
      <c r="N750" s="27" t="n">
        <v>0.002</v>
      </c>
      <c r="O750" s="26" t="n">
        <v>5</v>
      </c>
      <c r="P750" s="26" t="n">
        <v>5</v>
      </c>
      <c r="Q750" s="28" t="n">
        <v>100</v>
      </c>
      <c r="R750" s="26" t="n">
        <v>30</v>
      </c>
      <c r="S750" s="26" t="n">
        <v>0</v>
      </c>
      <c r="T750" s="28" t="n">
        <v>1</v>
      </c>
      <c r="U750" s="26" t="n">
        <v>0</v>
      </c>
      <c r="V750" s="26" t="n">
        <v>0</v>
      </c>
      <c r="W750" s="22" t="s">
        <v>18</v>
      </c>
      <c r="X750" s="22" t="s">
        <v>373</v>
      </c>
    </row>
    <row r="751" customFormat="false" ht="15" hidden="false" customHeight="false" outlineLevel="0" collapsed="false">
      <c r="A751" s="22" t="s">
        <v>3243</v>
      </c>
      <c r="B751" s="22" t="s">
        <v>18</v>
      </c>
      <c r="C751" s="22" t="s">
        <v>3244</v>
      </c>
      <c r="D751" s="22" t="s">
        <v>3245</v>
      </c>
      <c r="E751" s="22" t="s">
        <v>3246</v>
      </c>
      <c r="F751" s="22" t="n">
        <v>17</v>
      </c>
      <c r="G751" s="26" t="n">
        <v>212.67</v>
      </c>
      <c r="H751" s="26" t="n">
        <v>234.8</v>
      </c>
      <c r="I751" s="26" t="n">
        <v>256.93</v>
      </c>
      <c r="J751" s="26" t="n">
        <v>273.53</v>
      </c>
      <c r="K751" s="26" t="n">
        <v>290.13</v>
      </c>
      <c r="L751" s="26" t="n">
        <v>2.65</v>
      </c>
      <c r="M751" s="27" t="n">
        <v>0.005</v>
      </c>
      <c r="N751" s="27" t="n">
        <v>0.002</v>
      </c>
      <c r="O751" s="26" t="n">
        <v>5</v>
      </c>
      <c r="P751" s="26" t="n">
        <v>5</v>
      </c>
      <c r="Q751" s="28" t="n">
        <v>100</v>
      </c>
      <c r="R751" s="26" t="n">
        <v>30</v>
      </c>
      <c r="S751" s="26" t="n">
        <v>0</v>
      </c>
      <c r="T751" s="28" t="n">
        <v>1</v>
      </c>
      <c r="U751" s="26" t="n">
        <v>0</v>
      </c>
      <c r="V751" s="26" t="n">
        <v>0</v>
      </c>
      <c r="W751" s="22" t="s">
        <v>18</v>
      </c>
      <c r="X751" s="22" t="s">
        <v>373</v>
      </c>
    </row>
    <row r="752" customFormat="false" ht="15" hidden="false" customHeight="false" outlineLevel="0" collapsed="false">
      <c r="A752" s="22" t="s">
        <v>3247</v>
      </c>
      <c r="B752" s="22" t="s">
        <v>18</v>
      </c>
      <c r="C752" s="22" t="s">
        <v>3248</v>
      </c>
      <c r="D752" s="22" t="s">
        <v>3249</v>
      </c>
      <c r="E752" s="22" t="s">
        <v>3250</v>
      </c>
      <c r="F752" s="22" t="n">
        <v>17</v>
      </c>
      <c r="G752" s="26" t="n">
        <v>212.67</v>
      </c>
      <c r="H752" s="26" t="n">
        <v>234.8</v>
      </c>
      <c r="I752" s="26" t="n">
        <v>256.93</v>
      </c>
      <c r="J752" s="26" t="n">
        <v>273.53</v>
      </c>
      <c r="K752" s="26" t="n">
        <v>290.13</v>
      </c>
      <c r="L752" s="26" t="n">
        <v>2.65</v>
      </c>
      <c r="M752" s="27" t="n">
        <v>0.005</v>
      </c>
      <c r="N752" s="27" t="n">
        <v>0.002</v>
      </c>
      <c r="O752" s="26" t="n">
        <v>5</v>
      </c>
      <c r="P752" s="26" t="n">
        <v>5</v>
      </c>
      <c r="Q752" s="28" t="n">
        <v>100</v>
      </c>
      <c r="R752" s="26" t="n">
        <v>30</v>
      </c>
      <c r="S752" s="26" t="n">
        <v>0</v>
      </c>
      <c r="T752" s="28" t="n">
        <v>1</v>
      </c>
      <c r="U752" s="26" t="n">
        <v>0</v>
      </c>
      <c r="V752" s="26" t="n">
        <v>0</v>
      </c>
      <c r="W752" s="22" t="s">
        <v>18</v>
      </c>
      <c r="X752" s="22" t="s">
        <v>373</v>
      </c>
    </row>
    <row r="753" customFormat="false" ht="15" hidden="false" customHeight="false" outlineLevel="0" collapsed="false">
      <c r="A753" s="22" t="s">
        <v>3251</v>
      </c>
      <c r="B753" s="22" t="s">
        <v>18</v>
      </c>
      <c r="C753" s="22" t="s">
        <v>3252</v>
      </c>
      <c r="D753" s="22" t="s">
        <v>3253</v>
      </c>
      <c r="E753" s="22" t="s">
        <v>3254</v>
      </c>
      <c r="F753" s="22" t="n">
        <v>17</v>
      </c>
      <c r="G753" s="26" t="n">
        <v>212.67</v>
      </c>
      <c r="H753" s="26" t="n">
        <v>234.8</v>
      </c>
      <c r="I753" s="26" t="n">
        <v>256.93</v>
      </c>
      <c r="J753" s="26" t="n">
        <v>273.53</v>
      </c>
      <c r="K753" s="26" t="n">
        <v>290.13</v>
      </c>
      <c r="L753" s="26" t="n">
        <v>2.65</v>
      </c>
      <c r="M753" s="27" t="n">
        <v>0.005</v>
      </c>
      <c r="N753" s="27" t="n">
        <v>0.002</v>
      </c>
      <c r="O753" s="26" t="n">
        <v>5</v>
      </c>
      <c r="P753" s="26" t="n">
        <v>5</v>
      </c>
      <c r="Q753" s="28" t="n">
        <v>100</v>
      </c>
      <c r="R753" s="26" t="n">
        <v>30</v>
      </c>
      <c r="S753" s="26" t="n">
        <v>0</v>
      </c>
      <c r="T753" s="28" t="n">
        <v>1</v>
      </c>
      <c r="U753" s="26" t="n">
        <v>0</v>
      </c>
      <c r="V753" s="26" t="n">
        <v>0</v>
      </c>
      <c r="W753" s="22" t="s">
        <v>18</v>
      </c>
      <c r="X753" s="22" t="s">
        <v>373</v>
      </c>
    </row>
    <row r="754" customFormat="false" ht="15" hidden="false" customHeight="false" outlineLevel="0" collapsed="false">
      <c r="A754" s="22" t="s">
        <v>3255</v>
      </c>
      <c r="B754" s="22" t="s">
        <v>18</v>
      </c>
      <c r="C754" s="22" t="s">
        <v>3256</v>
      </c>
      <c r="D754" s="22" t="s">
        <v>3257</v>
      </c>
      <c r="E754" s="22" t="s">
        <v>3258</v>
      </c>
      <c r="F754" s="22" t="n">
        <v>17</v>
      </c>
      <c r="G754" s="26" t="n">
        <v>212.67</v>
      </c>
      <c r="H754" s="26" t="n">
        <v>234.8</v>
      </c>
      <c r="I754" s="26" t="n">
        <v>256.93</v>
      </c>
      <c r="J754" s="26" t="n">
        <v>273.53</v>
      </c>
      <c r="K754" s="26" t="n">
        <v>290.13</v>
      </c>
      <c r="L754" s="26" t="n">
        <v>2.65</v>
      </c>
      <c r="M754" s="27" t="n">
        <v>0.005</v>
      </c>
      <c r="N754" s="27" t="n">
        <v>0.002</v>
      </c>
      <c r="O754" s="26" t="n">
        <v>5</v>
      </c>
      <c r="P754" s="26" t="n">
        <v>5</v>
      </c>
      <c r="Q754" s="28" t="n">
        <v>100</v>
      </c>
      <c r="R754" s="26" t="n">
        <v>30</v>
      </c>
      <c r="S754" s="26" t="n">
        <v>0</v>
      </c>
      <c r="T754" s="28" t="n">
        <v>1</v>
      </c>
      <c r="U754" s="26" t="n">
        <v>0</v>
      </c>
      <c r="V754" s="26" t="n">
        <v>0</v>
      </c>
      <c r="W754" s="22" t="s">
        <v>18</v>
      </c>
      <c r="X754" s="22" t="s">
        <v>373</v>
      </c>
    </row>
    <row r="755" customFormat="false" ht="15" hidden="false" customHeight="false" outlineLevel="0" collapsed="false">
      <c r="A755" s="22" t="s">
        <v>3259</v>
      </c>
      <c r="B755" s="22" t="s">
        <v>18</v>
      </c>
      <c r="C755" s="22" t="s">
        <v>3260</v>
      </c>
      <c r="D755" s="22" t="s">
        <v>3261</v>
      </c>
      <c r="E755" s="22" t="s">
        <v>3262</v>
      </c>
      <c r="F755" s="22" t="n">
        <v>17</v>
      </c>
      <c r="G755" s="26" t="n">
        <v>212.67</v>
      </c>
      <c r="H755" s="26" t="n">
        <v>234.8</v>
      </c>
      <c r="I755" s="26" t="n">
        <v>256.93</v>
      </c>
      <c r="J755" s="26" t="n">
        <v>273.53</v>
      </c>
      <c r="K755" s="26" t="n">
        <v>290.13</v>
      </c>
      <c r="L755" s="26" t="n">
        <v>2.65</v>
      </c>
      <c r="M755" s="27" t="n">
        <v>0.005</v>
      </c>
      <c r="N755" s="27" t="n">
        <v>0.002</v>
      </c>
      <c r="O755" s="26" t="n">
        <v>5</v>
      </c>
      <c r="P755" s="26" t="n">
        <v>5</v>
      </c>
      <c r="Q755" s="28" t="n">
        <v>100</v>
      </c>
      <c r="R755" s="26" t="n">
        <v>30</v>
      </c>
      <c r="S755" s="26" t="n">
        <v>0</v>
      </c>
      <c r="T755" s="28" t="n">
        <v>1</v>
      </c>
      <c r="U755" s="26" t="n">
        <v>0</v>
      </c>
      <c r="V755" s="26" t="n">
        <v>0</v>
      </c>
      <c r="W755" s="22" t="s">
        <v>18</v>
      </c>
      <c r="X755" s="22" t="s">
        <v>373</v>
      </c>
    </row>
    <row r="756" customFormat="false" ht="15" hidden="false" customHeight="false" outlineLevel="0" collapsed="false">
      <c r="A756" s="22" t="s">
        <v>3263</v>
      </c>
      <c r="B756" s="22" t="s">
        <v>18</v>
      </c>
      <c r="C756" s="22" t="s">
        <v>3264</v>
      </c>
      <c r="D756" s="22" t="s">
        <v>3265</v>
      </c>
      <c r="E756" s="22" t="s">
        <v>3266</v>
      </c>
      <c r="F756" s="22" t="n">
        <v>17</v>
      </c>
      <c r="G756" s="26" t="n">
        <v>212.67</v>
      </c>
      <c r="H756" s="26" t="n">
        <v>234.8</v>
      </c>
      <c r="I756" s="26" t="n">
        <v>256.93</v>
      </c>
      <c r="J756" s="26" t="n">
        <v>273.53</v>
      </c>
      <c r="K756" s="26" t="n">
        <v>290.13</v>
      </c>
      <c r="L756" s="26" t="n">
        <v>2.65</v>
      </c>
      <c r="M756" s="27" t="n">
        <v>0.005</v>
      </c>
      <c r="N756" s="27" t="n">
        <v>0.002</v>
      </c>
      <c r="O756" s="26" t="n">
        <v>5</v>
      </c>
      <c r="P756" s="26" t="n">
        <v>5</v>
      </c>
      <c r="Q756" s="28" t="n">
        <v>100</v>
      </c>
      <c r="R756" s="26" t="n">
        <v>30</v>
      </c>
      <c r="S756" s="26" t="n">
        <v>0</v>
      </c>
      <c r="T756" s="28" t="n">
        <v>1</v>
      </c>
      <c r="U756" s="26" t="n">
        <v>0</v>
      </c>
      <c r="V756" s="26" t="n">
        <v>0</v>
      </c>
      <c r="W756" s="22" t="s">
        <v>18</v>
      </c>
      <c r="X756" s="22" t="s">
        <v>373</v>
      </c>
    </row>
    <row r="757" customFormat="false" ht="15" hidden="false" customHeight="false" outlineLevel="0" collapsed="false">
      <c r="A757" s="22" t="s">
        <v>3267</v>
      </c>
      <c r="B757" s="22" t="s">
        <v>18</v>
      </c>
      <c r="C757" s="22" t="s">
        <v>3268</v>
      </c>
      <c r="D757" s="22" t="s">
        <v>3269</v>
      </c>
      <c r="E757" s="22" t="s">
        <v>3270</v>
      </c>
      <c r="F757" s="22" t="n">
        <v>17</v>
      </c>
      <c r="G757" s="26" t="n">
        <v>212.67</v>
      </c>
      <c r="H757" s="26" t="n">
        <v>234.8</v>
      </c>
      <c r="I757" s="26" t="n">
        <v>256.93</v>
      </c>
      <c r="J757" s="26" t="n">
        <v>273.53</v>
      </c>
      <c r="K757" s="26" t="n">
        <v>290.13</v>
      </c>
      <c r="L757" s="26" t="n">
        <v>2.65</v>
      </c>
      <c r="M757" s="27" t="n">
        <v>0.005</v>
      </c>
      <c r="N757" s="27" t="n">
        <v>0.002</v>
      </c>
      <c r="O757" s="26" t="n">
        <v>5</v>
      </c>
      <c r="P757" s="26" t="n">
        <v>5</v>
      </c>
      <c r="Q757" s="28" t="n">
        <v>100</v>
      </c>
      <c r="R757" s="26" t="n">
        <v>30</v>
      </c>
      <c r="S757" s="26" t="n">
        <v>0</v>
      </c>
      <c r="T757" s="28" t="n">
        <v>1</v>
      </c>
      <c r="U757" s="26" t="n">
        <v>0</v>
      </c>
      <c r="V757" s="26" t="n">
        <v>0</v>
      </c>
      <c r="W757" s="22" t="s">
        <v>18</v>
      </c>
      <c r="X757" s="22" t="s">
        <v>373</v>
      </c>
    </row>
    <row r="758" customFormat="false" ht="15" hidden="false" customHeight="false" outlineLevel="0" collapsed="false">
      <c r="A758" s="22" t="s">
        <v>3271</v>
      </c>
      <c r="B758" s="22" t="s">
        <v>18</v>
      </c>
      <c r="C758" s="22" t="s">
        <v>3272</v>
      </c>
      <c r="D758" s="22" t="s">
        <v>3273</v>
      </c>
      <c r="E758" s="22" t="s">
        <v>3274</v>
      </c>
      <c r="F758" s="22" t="n">
        <v>17</v>
      </c>
      <c r="G758" s="26" t="n">
        <v>212.67</v>
      </c>
      <c r="H758" s="26" t="n">
        <v>234.8</v>
      </c>
      <c r="I758" s="26" t="n">
        <v>256.93</v>
      </c>
      <c r="J758" s="26" t="n">
        <v>273.53</v>
      </c>
      <c r="K758" s="26" t="n">
        <v>290.13</v>
      </c>
      <c r="L758" s="26" t="n">
        <v>2.65</v>
      </c>
      <c r="M758" s="27" t="n">
        <v>0.005</v>
      </c>
      <c r="N758" s="27" t="n">
        <v>0.002</v>
      </c>
      <c r="O758" s="26" t="n">
        <v>5</v>
      </c>
      <c r="P758" s="26" t="n">
        <v>5</v>
      </c>
      <c r="Q758" s="28" t="n">
        <v>100</v>
      </c>
      <c r="R758" s="26" t="n">
        <v>30</v>
      </c>
      <c r="S758" s="26" t="n">
        <v>0</v>
      </c>
      <c r="T758" s="28" t="n">
        <v>1</v>
      </c>
      <c r="U758" s="26" t="n">
        <v>0</v>
      </c>
      <c r="V758" s="26" t="n">
        <v>0</v>
      </c>
      <c r="W758" s="22" t="s">
        <v>18</v>
      </c>
      <c r="X758" s="22" t="s">
        <v>373</v>
      </c>
    </row>
    <row r="759" customFormat="false" ht="15" hidden="false" customHeight="false" outlineLevel="0" collapsed="false">
      <c r="A759" s="22" t="s">
        <v>3275</v>
      </c>
      <c r="B759" s="22" t="s">
        <v>18</v>
      </c>
      <c r="C759" s="22" t="s">
        <v>3276</v>
      </c>
      <c r="D759" s="22" t="s">
        <v>3277</v>
      </c>
      <c r="E759" s="22" t="s">
        <v>3278</v>
      </c>
      <c r="F759" s="22" t="n">
        <v>17</v>
      </c>
      <c r="G759" s="26" t="n">
        <v>212.67</v>
      </c>
      <c r="H759" s="26" t="n">
        <v>234.8</v>
      </c>
      <c r="I759" s="26" t="n">
        <v>256.93</v>
      </c>
      <c r="J759" s="26" t="n">
        <v>273.53</v>
      </c>
      <c r="K759" s="26" t="n">
        <v>290.13</v>
      </c>
      <c r="L759" s="26" t="n">
        <v>2.65</v>
      </c>
      <c r="M759" s="27" t="n">
        <v>0.005</v>
      </c>
      <c r="N759" s="27" t="n">
        <v>0.002</v>
      </c>
      <c r="O759" s="26" t="n">
        <v>5</v>
      </c>
      <c r="P759" s="26" t="n">
        <v>5</v>
      </c>
      <c r="Q759" s="28" t="n">
        <v>100</v>
      </c>
      <c r="R759" s="26" t="n">
        <v>30</v>
      </c>
      <c r="S759" s="26" t="n">
        <v>0</v>
      </c>
      <c r="T759" s="28" t="n">
        <v>1</v>
      </c>
      <c r="U759" s="26" t="n">
        <v>0</v>
      </c>
      <c r="V759" s="26" t="n">
        <v>0</v>
      </c>
      <c r="W759" s="22" t="s">
        <v>18</v>
      </c>
      <c r="X759" s="22" t="s">
        <v>373</v>
      </c>
    </row>
    <row r="760" customFormat="false" ht="15" hidden="false" customHeight="false" outlineLevel="0" collapsed="false">
      <c r="A760" s="22" t="s">
        <v>3279</v>
      </c>
      <c r="B760" s="22" t="s">
        <v>18</v>
      </c>
      <c r="C760" s="22" t="s">
        <v>3280</v>
      </c>
      <c r="D760" s="22" t="s">
        <v>3281</v>
      </c>
      <c r="E760" s="22" t="s">
        <v>3282</v>
      </c>
      <c r="F760" s="22" t="n">
        <v>17</v>
      </c>
      <c r="G760" s="26" t="n">
        <v>212.67</v>
      </c>
      <c r="H760" s="26" t="n">
        <v>234.8</v>
      </c>
      <c r="I760" s="26" t="n">
        <v>256.93</v>
      </c>
      <c r="J760" s="26" t="n">
        <v>273.53</v>
      </c>
      <c r="K760" s="26" t="n">
        <v>290.13</v>
      </c>
      <c r="L760" s="26" t="n">
        <v>2.65</v>
      </c>
      <c r="M760" s="27" t="n">
        <v>0.005</v>
      </c>
      <c r="N760" s="27" t="n">
        <v>0.002</v>
      </c>
      <c r="O760" s="26" t="n">
        <v>5</v>
      </c>
      <c r="P760" s="26" t="n">
        <v>5</v>
      </c>
      <c r="Q760" s="28" t="n">
        <v>100</v>
      </c>
      <c r="R760" s="26" t="n">
        <v>30</v>
      </c>
      <c r="S760" s="26" t="n">
        <v>0</v>
      </c>
      <c r="T760" s="28" t="n">
        <v>1</v>
      </c>
      <c r="U760" s="26" t="n">
        <v>0</v>
      </c>
      <c r="V760" s="26" t="n">
        <v>0</v>
      </c>
      <c r="W760" s="22" t="s">
        <v>18</v>
      </c>
      <c r="X760" s="22" t="s">
        <v>373</v>
      </c>
    </row>
    <row r="761" customFormat="false" ht="15" hidden="false" customHeight="false" outlineLevel="0" collapsed="false">
      <c r="A761" s="22" t="s">
        <v>3283</v>
      </c>
      <c r="B761" s="22" t="s">
        <v>18</v>
      </c>
      <c r="C761" s="22" t="s">
        <v>3284</v>
      </c>
      <c r="D761" s="22" t="s">
        <v>3285</v>
      </c>
      <c r="E761" s="22" t="s">
        <v>3286</v>
      </c>
      <c r="F761" s="22" t="n">
        <v>17</v>
      </c>
      <c r="G761" s="26" t="n">
        <v>212.67</v>
      </c>
      <c r="H761" s="26" t="n">
        <v>234.8</v>
      </c>
      <c r="I761" s="26" t="n">
        <v>256.93</v>
      </c>
      <c r="J761" s="26" t="n">
        <v>273.53</v>
      </c>
      <c r="K761" s="26" t="n">
        <v>290.13</v>
      </c>
      <c r="L761" s="26" t="n">
        <v>2.65</v>
      </c>
      <c r="M761" s="27" t="n">
        <v>0.005</v>
      </c>
      <c r="N761" s="27" t="n">
        <v>0.002</v>
      </c>
      <c r="O761" s="26" t="n">
        <v>5</v>
      </c>
      <c r="P761" s="26" t="n">
        <v>5</v>
      </c>
      <c r="Q761" s="28" t="n">
        <v>100</v>
      </c>
      <c r="R761" s="26" t="n">
        <v>30</v>
      </c>
      <c r="S761" s="26" t="n">
        <v>0</v>
      </c>
      <c r="T761" s="28" t="n">
        <v>1</v>
      </c>
      <c r="U761" s="26" t="n">
        <v>0</v>
      </c>
      <c r="V761" s="26" t="n">
        <v>0</v>
      </c>
      <c r="W761" s="22" t="s">
        <v>18</v>
      </c>
      <c r="X761" s="22" t="s">
        <v>373</v>
      </c>
    </row>
    <row r="762" customFormat="false" ht="15" hidden="false" customHeight="false" outlineLevel="0" collapsed="false">
      <c r="A762" s="22" t="s">
        <v>3287</v>
      </c>
      <c r="B762" s="22" t="s">
        <v>18</v>
      </c>
      <c r="C762" s="22" t="s">
        <v>3288</v>
      </c>
      <c r="D762" s="22" t="s">
        <v>3289</v>
      </c>
      <c r="E762" s="22" t="s">
        <v>3290</v>
      </c>
      <c r="F762" s="22" t="n">
        <v>17</v>
      </c>
      <c r="G762" s="26" t="n">
        <v>212.67</v>
      </c>
      <c r="H762" s="26" t="n">
        <v>234.8</v>
      </c>
      <c r="I762" s="26" t="n">
        <v>256.93</v>
      </c>
      <c r="J762" s="26" t="n">
        <v>273.53</v>
      </c>
      <c r="K762" s="26" t="n">
        <v>290.13</v>
      </c>
      <c r="L762" s="26" t="n">
        <v>2.65</v>
      </c>
      <c r="M762" s="27" t="n">
        <v>0.005</v>
      </c>
      <c r="N762" s="27" t="n">
        <v>0.002</v>
      </c>
      <c r="O762" s="26" t="n">
        <v>5</v>
      </c>
      <c r="P762" s="26" t="n">
        <v>5</v>
      </c>
      <c r="Q762" s="28" t="n">
        <v>100</v>
      </c>
      <c r="R762" s="26" t="n">
        <v>30</v>
      </c>
      <c r="S762" s="26" t="n">
        <v>0</v>
      </c>
      <c r="T762" s="28" t="n">
        <v>1</v>
      </c>
      <c r="U762" s="26" t="n">
        <v>0</v>
      </c>
      <c r="V762" s="26" t="n">
        <v>0</v>
      </c>
      <c r="W762" s="22" t="s">
        <v>18</v>
      </c>
      <c r="X762" s="22" t="s">
        <v>373</v>
      </c>
    </row>
    <row r="763" customFormat="false" ht="15" hidden="false" customHeight="false" outlineLevel="0" collapsed="false">
      <c r="A763" s="22" t="s">
        <v>3291</v>
      </c>
      <c r="B763" s="22" t="s">
        <v>18</v>
      </c>
      <c r="C763" s="22" t="s">
        <v>3292</v>
      </c>
      <c r="D763" s="22" t="s">
        <v>3293</v>
      </c>
      <c r="E763" s="22" t="s">
        <v>3294</v>
      </c>
      <c r="F763" s="22" t="n">
        <v>17</v>
      </c>
      <c r="G763" s="26" t="n">
        <v>212.67</v>
      </c>
      <c r="H763" s="26" t="n">
        <v>234.8</v>
      </c>
      <c r="I763" s="26" t="n">
        <v>256.93</v>
      </c>
      <c r="J763" s="26" t="n">
        <v>273.53</v>
      </c>
      <c r="K763" s="26" t="n">
        <v>290.13</v>
      </c>
      <c r="L763" s="26" t="n">
        <v>2.65</v>
      </c>
      <c r="M763" s="27" t="n">
        <v>0.005</v>
      </c>
      <c r="N763" s="27" t="n">
        <v>0.002</v>
      </c>
      <c r="O763" s="26" t="n">
        <v>5</v>
      </c>
      <c r="P763" s="26" t="n">
        <v>5</v>
      </c>
      <c r="Q763" s="28" t="n">
        <v>100</v>
      </c>
      <c r="R763" s="26" t="n">
        <v>30</v>
      </c>
      <c r="S763" s="26" t="n">
        <v>0</v>
      </c>
      <c r="T763" s="28" t="n">
        <v>1</v>
      </c>
      <c r="U763" s="26" t="n">
        <v>0</v>
      </c>
      <c r="V763" s="26" t="n">
        <v>0</v>
      </c>
      <c r="W763" s="22" t="s">
        <v>18</v>
      </c>
      <c r="X763" s="22" t="s">
        <v>373</v>
      </c>
    </row>
    <row r="764" customFormat="false" ht="15" hidden="false" customHeight="false" outlineLevel="0" collapsed="false">
      <c r="A764" s="22" t="s">
        <v>3295</v>
      </c>
      <c r="B764" s="22" t="s">
        <v>18</v>
      </c>
      <c r="C764" s="22" t="s">
        <v>3296</v>
      </c>
      <c r="D764" s="22" t="s">
        <v>3297</v>
      </c>
      <c r="E764" s="22" t="s">
        <v>3298</v>
      </c>
      <c r="F764" s="22" t="n">
        <v>17</v>
      </c>
      <c r="G764" s="26" t="n">
        <v>212.67</v>
      </c>
      <c r="H764" s="26" t="n">
        <v>234.8</v>
      </c>
      <c r="I764" s="26" t="n">
        <v>256.93</v>
      </c>
      <c r="J764" s="26" t="n">
        <v>273.53</v>
      </c>
      <c r="K764" s="26" t="n">
        <v>290.13</v>
      </c>
      <c r="L764" s="26" t="n">
        <v>2.65</v>
      </c>
      <c r="M764" s="27" t="n">
        <v>0.005</v>
      </c>
      <c r="N764" s="27" t="n">
        <v>0.002</v>
      </c>
      <c r="O764" s="26" t="n">
        <v>5</v>
      </c>
      <c r="P764" s="26" t="n">
        <v>5</v>
      </c>
      <c r="Q764" s="28" t="n">
        <v>100</v>
      </c>
      <c r="R764" s="26" t="n">
        <v>30</v>
      </c>
      <c r="S764" s="26" t="n">
        <v>0</v>
      </c>
      <c r="T764" s="28" t="n">
        <v>1</v>
      </c>
      <c r="U764" s="26" t="n">
        <v>0</v>
      </c>
      <c r="V764" s="26" t="n">
        <v>0</v>
      </c>
      <c r="W764" s="22" t="s">
        <v>18</v>
      </c>
      <c r="X764" s="22" t="s">
        <v>373</v>
      </c>
    </row>
    <row r="765" customFormat="false" ht="15" hidden="false" customHeight="false" outlineLevel="0" collapsed="false">
      <c r="A765" s="22" t="s">
        <v>3299</v>
      </c>
      <c r="B765" s="22" t="s">
        <v>18</v>
      </c>
      <c r="C765" s="22" t="s">
        <v>3300</v>
      </c>
      <c r="D765" s="22" t="s">
        <v>3301</v>
      </c>
      <c r="E765" s="22" t="s">
        <v>3302</v>
      </c>
      <c r="F765" s="22" t="n">
        <v>17</v>
      </c>
      <c r="G765" s="26" t="n">
        <v>212.67</v>
      </c>
      <c r="H765" s="26" t="n">
        <v>234.8</v>
      </c>
      <c r="I765" s="26" t="n">
        <v>256.93</v>
      </c>
      <c r="J765" s="26" t="n">
        <v>273.53</v>
      </c>
      <c r="K765" s="26" t="n">
        <v>290.13</v>
      </c>
      <c r="L765" s="26" t="n">
        <v>2.65</v>
      </c>
      <c r="M765" s="27" t="n">
        <v>0.005</v>
      </c>
      <c r="N765" s="27" t="n">
        <v>0.002</v>
      </c>
      <c r="O765" s="26" t="n">
        <v>5</v>
      </c>
      <c r="P765" s="26" t="n">
        <v>5</v>
      </c>
      <c r="Q765" s="28" t="n">
        <v>100</v>
      </c>
      <c r="R765" s="26" t="n">
        <v>30</v>
      </c>
      <c r="S765" s="26" t="n">
        <v>0</v>
      </c>
      <c r="T765" s="28" t="n">
        <v>1</v>
      </c>
      <c r="U765" s="26" t="n">
        <v>0</v>
      </c>
      <c r="V765" s="26" t="n">
        <v>0</v>
      </c>
      <c r="W765" s="22" t="s">
        <v>18</v>
      </c>
      <c r="X765" s="22" t="s">
        <v>373</v>
      </c>
    </row>
    <row r="766" customFormat="false" ht="15" hidden="false" customHeight="false" outlineLevel="0" collapsed="false">
      <c r="A766" s="22" t="s">
        <v>3303</v>
      </c>
      <c r="B766" s="22" t="s">
        <v>18</v>
      </c>
      <c r="C766" s="22" t="s">
        <v>3304</v>
      </c>
      <c r="D766" s="22" t="s">
        <v>3305</v>
      </c>
      <c r="E766" s="22" t="s">
        <v>3306</v>
      </c>
      <c r="F766" s="22" t="n">
        <v>17</v>
      </c>
      <c r="G766" s="26" t="n">
        <v>212.67</v>
      </c>
      <c r="H766" s="26" t="n">
        <v>234.8</v>
      </c>
      <c r="I766" s="26" t="n">
        <v>256.93</v>
      </c>
      <c r="J766" s="26" t="n">
        <v>273.53</v>
      </c>
      <c r="K766" s="26" t="n">
        <v>290.13</v>
      </c>
      <c r="L766" s="26" t="n">
        <v>2.65</v>
      </c>
      <c r="M766" s="27" t="n">
        <v>0.005</v>
      </c>
      <c r="N766" s="27" t="n">
        <v>0.002</v>
      </c>
      <c r="O766" s="26" t="n">
        <v>5</v>
      </c>
      <c r="P766" s="26" t="n">
        <v>5</v>
      </c>
      <c r="Q766" s="28" t="n">
        <v>100</v>
      </c>
      <c r="R766" s="26" t="n">
        <v>30</v>
      </c>
      <c r="S766" s="26" t="n">
        <v>0</v>
      </c>
      <c r="T766" s="28" t="n">
        <v>1</v>
      </c>
      <c r="U766" s="26" t="n">
        <v>0</v>
      </c>
      <c r="V766" s="26" t="n">
        <v>0</v>
      </c>
      <c r="W766" s="22" t="s">
        <v>18</v>
      </c>
      <c r="X766" s="22" t="s">
        <v>373</v>
      </c>
    </row>
    <row r="767" customFormat="false" ht="15" hidden="false" customHeight="false" outlineLevel="0" collapsed="false">
      <c r="A767" s="22" t="s">
        <v>3307</v>
      </c>
      <c r="B767" s="22" t="s">
        <v>18</v>
      </c>
      <c r="C767" s="22" t="s">
        <v>126</v>
      </c>
      <c r="D767" s="22" t="s">
        <v>3308</v>
      </c>
      <c r="E767" s="22" t="s">
        <v>3309</v>
      </c>
      <c r="F767" s="22" t="n">
        <v>17</v>
      </c>
      <c r="G767" s="26" t="n">
        <v>212.67</v>
      </c>
      <c r="H767" s="26" t="n">
        <v>234.8</v>
      </c>
      <c r="I767" s="26" t="n">
        <v>256.93</v>
      </c>
      <c r="J767" s="26" t="n">
        <v>273.53</v>
      </c>
      <c r="K767" s="26" t="n">
        <v>290.13</v>
      </c>
      <c r="L767" s="26" t="n">
        <v>2.65</v>
      </c>
      <c r="M767" s="27" t="n">
        <v>0.005</v>
      </c>
      <c r="N767" s="27" t="n">
        <v>0.002</v>
      </c>
      <c r="O767" s="26" t="n">
        <v>5</v>
      </c>
      <c r="P767" s="26" t="n">
        <v>5</v>
      </c>
      <c r="Q767" s="28" t="n">
        <v>100</v>
      </c>
      <c r="R767" s="26" t="n">
        <v>30</v>
      </c>
      <c r="S767" s="26" t="n">
        <v>0</v>
      </c>
      <c r="T767" s="28" t="n">
        <v>1</v>
      </c>
      <c r="U767" s="26" t="n">
        <v>0</v>
      </c>
      <c r="V767" s="26" t="n">
        <v>0</v>
      </c>
      <c r="W767" s="22" t="s">
        <v>18</v>
      </c>
      <c r="X767" s="22" t="s">
        <v>373</v>
      </c>
    </row>
    <row r="768" customFormat="false" ht="15" hidden="false" customHeight="false" outlineLevel="0" collapsed="false">
      <c r="A768" s="22" t="s">
        <v>3310</v>
      </c>
      <c r="B768" s="22" t="s">
        <v>18</v>
      </c>
      <c r="C768" s="22" t="s">
        <v>127</v>
      </c>
      <c r="D768" s="22" t="s">
        <v>3311</v>
      </c>
      <c r="E768" s="22" t="s">
        <v>3312</v>
      </c>
      <c r="F768" s="22" t="n">
        <v>17</v>
      </c>
      <c r="G768" s="26" t="n">
        <v>212.67</v>
      </c>
      <c r="H768" s="26" t="n">
        <v>234.8</v>
      </c>
      <c r="I768" s="26" t="n">
        <v>256.93</v>
      </c>
      <c r="J768" s="26" t="n">
        <v>273.53</v>
      </c>
      <c r="K768" s="26" t="n">
        <v>290.13</v>
      </c>
      <c r="L768" s="26" t="n">
        <v>2.65</v>
      </c>
      <c r="M768" s="27" t="n">
        <v>0.005</v>
      </c>
      <c r="N768" s="27" t="n">
        <v>0.002</v>
      </c>
      <c r="O768" s="26" t="n">
        <v>5</v>
      </c>
      <c r="P768" s="26" t="n">
        <v>5</v>
      </c>
      <c r="Q768" s="28" t="n">
        <v>100</v>
      </c>
      <c r="R768" s="26" t="n">
        <v>30</v>
      </c>
      <c r="S768" s="26" t="n">
        <v>0</v>
      </c>
      <c r="T768" s="28" t="n">
        <v>1</v>
      </c>
      <c r="U768" s="26" t="n">
        <v>0</v>
      </c>
      <c r="V768" s="26" t="n">
        <v>0</v>
      </c>
      <c r="W768" s="22" t="s">
        <v>18</v>
      </c>
      <c r="X768" s="22" t="s">
        <v>373</v>
      </c>
    </row>
    <row r="769" customFormat="false" ht="15" hidden="false" customHeight="false" outlineLevel="0" collapsed="false">
      <c r="A769" s="22" t="s">
        <v>3313</v>
      </c>
      <c r="B769" s="22" t="s">
        <v>18</v>
      </c>
      <c r="C769" s="22" t="s">
        <v>3314</v>
      </c>
      <c r="D769" s="22" t="s">
        <v>3315</v>
      </c>
      <c r="E769" s="22" t="s">
        <v>3316</v>
      </c>
      <c r="F769" s="22" t="n">
        <v>17</v>
      </c>
      <c r="G769" s="26" t="n">
        <v>212.67</v>
      </c>
      <c r="H769" s="26" t="n">
        <v>234.8</v>
      </c>
      <c r="I769" s="26" t="n">
        <v>256.93</v>
      </c>
      <c r="J769" s="26" t="n">
        <v>273.53</v>
      </c>
      <c r="K769" s="26" t="n">
        <v>290.13</v>
      </c>
      <c r="L769" s="26" t="n">
        <v>2.65</v>
      </c>
      <c r="M769" s="27" t="n">
        <v>0.005</v>
      </c>
      <c r="N769" s="27" t="n">
        <v>0.002</v>
      </c>
      <c r="O769" s="26" t="n">
        <v>5</v>
      </c>
      <c r="P769" s="26" t="n">
        <v>5</v>
      </c>
      <c r="Q769" s="28" t="n">
        <v>100</v>
      </c>
      <c r="R769" s="26" t="n">
        <v>30</v>
      </c>
      <c r="S769" s="26" t="n">
        <v>0</v>
      </c>
      <c r="T769" s="28" t="n">
        <v>1</v>
      </c>
      <c r="U769" s="26" t="n">
        <v>0</v>
      </c>
      <c r="V769" s="26" t="n">
        <v>400</v>
      </c>
      <c r="W769" s="22" t="s">
        <v>18</v>
      </c>
      <c r="X769" s="22" t="s">
        <v>373</v>
      </c>
    </row>
    <row r="770" customFormat="false" ht="15" hidden="false" customHeight="false" outlineLevel="0" collapsed="false">
      <c r="A770" s="22" t="s">
        <v>3317</v>
      </c>
      <c r="B770" s="22" t="s">
        <v>18</v>
      </c>
      <c r="C770" s="22" t="s">
        <v>3318</v>
      </c>
      <c r="D770" s="22" t="s">
        <v>3319</v>
      </c>
      <c r="E770" s="22" t="s">
        <v>3320</v>
      </c>
      <c r="F770" s="22" t="n">
        <v>17</v>
      </c>
      <c r="G770" s="26" t="n">
        <v>212.67</v>
      </c>
      <c r="H770" s="26" t="n">
        <v>234.8</v>
      </c>
      <c r="I770" s="26" t="n">
        <v>256.93</v>
      </c>
      <c r="J770" s="26" t="n">
        <v>273.53</v>
      </c>
      <c r="K770" s="26" t="n">
        <v>290.13</v>
      </c>
      <c r="L770" s="26" t="n">
        <v>2.65</v>
      </c>
      <c r="M770" s="27" t="n">
        <v>0.005</v>
      </c>
      <c r="N770" s="27" t="n">
        <v>0.002</v>
      </c>
      <c r="O770" s="26" t="n">
        <v>5</v>
      </c>
      <c r="P770" s="26" t="n">
        <v>5</v>
      </c>
      <c r="Q770" s="28" t="n">
        <v>100</v>
      </c>
      <c r="R770" s="26" t="n">
        <v>30</v>
      </c>
      <c r="S770" s="26" t="n">
        <v>0</v>
      </c>
      <c r="T770" s="28" t="n">
        <v>1</v>
      </c>
      <c r="U770" s="26" t="n">
        <v>0</v>
      </c>
      <c r="V770" s="26" t="n">
        <v>400</v>
      </c>
      <c r="W770" s="22" t="s">
        <v>18</v>
      </c>
      <c r="X770" s="22" t="s">
        <v>373</v>
      </c>
    </row>
    <row r="771" customFormat="false" ht="15" hidden="false" customHeight="false" outlineLevel="0" collapsed="false">
      <c r="A771" s="22" t="s">
        <v>3321</v>
      </c>
      <c r="B771" s="22" t="s">
        <v>18</v>
      </c>
      <c r="C771" s="22" t="s">
        <v>3322</v>
      </c>
      <c r="D771" s="22" t="s">
        <v>3323</v>
      </c>
      <c r="E771" s="22" t="s">
        <v>3324</v>
      </c>
      <c r="F771" s="22" t="n">
        <v>17</v>
      </c>
      <c r="G771" s="26" t="n">
        <v>212.67</v>
      </c>
      <c r="H771" s="26" t="n">
        <v>234.8</v>
      </c>
      <c r="I771" s="26" t="n">
        <v>256.93</v>
      </c>
      <c r="J771" s="26" t="n">
        <v>273.53</v>
      </c>
      <c r="K771" s="26" t="n">
        <v>290.13</v>
      </c>
      <c r="L771" s="26" t="n">
        <v>2.65</v>
      </c>
      <c r="M771" s="27" t="n">
        <v>0.005</v>
      </c>
      <c r="N771" s="27" t="n">
        <v>0.002</v>
      </c>
      <c r="O771" s="26" t="n">
        <v>5</v>
      </c>
      <c r="P771" s="26" t="n">
        <v>5</v>
      </c>
      <c r="Q771" s="28" t="n">
        <v>100</v>
      </c>
      <c r="R771" s="26" t="n">
        <v>30</v>
      </c>
      <c r="S771" s="26" t="n">
        <v>0</v>
      </c>
      <c r="T771" s="28" t="n">
        <v>1</v>
      </c>
      <c r="U771" s="26" t="n">
        <v>0</v>
      </c>
      <c r="V771" s="26" t="n">
        <v>400</v>
      </c>
      <c r="W771" s="22" t="s">
        <v>18</v>
      </c>
      <c r="X771" s="22" t="s">
        <v>373</v>
      </c>
    </row>
    <row r="772" customFormat="false" ht="15" hidden="false" customHeight="false" outlineLevel="0" collapsed="false">
      <c r="A772" s="22" t="s">
        <v>3325</v>
      </c>
      <c r="B772" s="22" t="s">
        <v>18</v>
      </c>
      <c r="C772" s="22" t="s">
        <v>3326</v>
      </c>
      <c r="D772" s="22" t="s">
        <v>3327</v>
      </c>
      <c r="E772" s="22" t="s">
        <v>3328</v>
      </c>
      <c r="F772" s="22" t="n">
        <v>17</v>
      </c>
      <c r="G772" s="26" t="n">
        <v>212.67</v>
      </c>
      <c r="H772" s="26" t="n">
        <v>234.8</v>
      </c>
      <c r="I772" s="26" t="n">
        <v>256.93</v>
      </c>
      <c r="J772" s="26" t="n">
        <v>273.53</v>
      </c>
      <c r="K772" s="26" t="n">
        <v>290.13</v>
      </c>
      <c r="L772" s="26" t="n">
        <v>2.65</v>
      </c>
      <c r="M772" s="27" t="n">
        <v>0.005</v>
      </c>
      <c r="N772" s="27" t="n">
        <v>0.002</v>
      </c>
      <c r="O772" s="26" t="n">
        <v>5</v>
      </c>
      <c r="P772" s="26" t="n">
        <v>5</v>
      </c>
      <c r="Q772" s="28" t="n">
        <v>100</v>
      </c>
      <c r="R772" s="26" t="n">
        <v>30</v>
      </c>
      <c r="S772" s="26" t="n">
        <v>0</v>
      </c>
      <c r="T772" s="28" t="n">
        <v>1</v>
      </c>
      <c r="U772" s="26" t="n">
        <v>0</v>
      </c>
      <c r="V772" s="26" t="n">
        <v>400</v>
      </c>
      <c r="W772" s="22" t="s">
        <v>18</v>
      </c>
      <c r="X772" s="22" t="s">
        <v>373</v>
      </c>
    </row>
    <row r="773" customFormat="false" ht="15" hidden="false" customHeight="false" outlineLevel="0" collapsed="false">
      <c r="A773" s="22" t="s">
        <v>3329</v>
      </c>
      <c r="B773" s="22" t="s">
        <v>18</v>
      </c>
      <c r="C773" s="22" t="s">
        <v>3330</v>
      </c>
      <c r="D773" s="22" t="s">
        <v>3331</v>
      </c>
      <c r="E773" s="22" t="s">
        <v>3332</v>
      </c>
      <c r="F773" s="22" t="n">
        <v>17</v>
      </c>
      <c r="G773" s="26" t="n">
        <v>212.67</v>
      </c>
      <c r="H773" s="26" t="n">
        <v>234.8</v>
      </c>
      <c r="I773" s="26" t="n">
        <v>256.93</v>
      </c>
      <c r="J773" s="26" t="n">
        <v>273.53</v>
      </c>
      <c r="K773" s="26" t="n">
        <v>290.13</v>
      </c>
      <c r="L773" s="26" t="n">
        <v>2.65</v>
      </c>
      <c r="M773" s="27" t="n">
        <v>0.005</v>
      </c>
      <c r="N773" s="27" t="n">
        <v>0.002</v>
      </c>
      <c r="O773" s="26" t="n">
        <v>5</v>
      </c>
      <c r="P773" s="26" t="n">
        <v>5</v>
      </c>
      <c r="Q773" s="28" t="n">
        <v>100</v>
      </c>
      <c r="R773" s="26" t="n">
        <v>30</v>
      </c>
      <c r="S773" s="26" t="n">
        <v>0</v>
      </c>
      <c r="T773" s="28" t="n">
        <v>1</v>
      </c>
      <c r="U773" s="26" t="n">
        <v>0</v>
      </c>
      <c r="V773" s="26" t="n">
        <v>400</v>
      </c>
      <c r="W773" s="22" t="s">
        <v>18</v>
      </c>
      <c r="X773" s="22" t="s">
        <v>373</v>
      </c>
    </row>
    <row r="774" customFormat="false" ht="15" hidden="false" customHeight="false" outlineLevel="0" collapsed="false">
      <c r="A774" s="22" t="s">
        <v>3333</v>
      </c>
      <c r="B774" s="29" t="s">
        <v>18</v>
      </c>
      <c r="C774" s="29" t="s">
        <v>3334</v>
      </c>
      <c r="D774" s="22" t="s">
        <v>3335</v>
      </c>
      <c r="E774" s="22" t="s">
        <v>3336</v>
      </c>
      <c r="F774" s="22" t="n">
        <v>13</v>
      </c>
      <c r="G774" s="26" t="n">
        <v>109.5</v>
      </c>
      <c r="H774" s="26" t="n">
        <v>120.52</v>
      </c>
      <c r="I774" s="26" t="n">
        <v>142.56</v>
      </c>
      <c r="J774" s="26" t="n">
        <v>153.58</v>
      </c>
      <c r="K774" s="26" t="n">
        <v>170.11</v>
      </c>
      <c r="L774" s="26" t="n">
        <v>2.06</v>
      </c>
      <c r="M774" s="27" t="n">
        <v>0.005</v>
      </c>
      <c r="N774" s="27" t="n">
        <v>0.002</v>
      </c>
      <c r="O774" s="26" t="n">
        <v>5</v>
      </c>
      <c r="P774" s="26" t="n">
        <v>5</v>
      </c>
      <c r="Q774" s="28" t="n">
        <v>100</v>
      </c>
      <c r="R774" s="26" t="n">
        <v>30</v>
      </c>
      <c r="S774" s="26" t="n">
        <v>0</v>
      </c>
      <c r="T774" s="28" t="n">
        <v>1</v>
      </c>
      <c r="U774" s="26" t="n">
        <v>0</v>
      </c>
      <c r="V774" s="26" t="n">
        <v>0</v>
      </c>
      <c r="W774" s="29" t="s">
        <v>20</v>
      </c>
      <c r="X774" s="22" t="s">
        <v>373</v>
      </c>
    </row>
    <row r="775" customFormat="false" ht="15" hidden="false" customHeight="false" outlineLevel="0" collapsed="false">
      <c r="A775" s="22" t="s">
        <v>3337</v>
      </c>
      <c r="B775" s="22" t="s">
        <v>18</v>
      </c>
      <c r="C775" s="22" t="s">
        <v>3338</v>
      </c>
      <c r="D775" s="22" t="s">
        <v>3339</v>
      </c>
      <c r="E775" s="22" t="s">
        <v>3340</v>
      </c>
      <c r="F775" s="22" t="n">
        <v>17</v>
      </c>
      <c r="G775" s="26" t="n">
        <v>212.67</v>
      </c>
      <c r="H775" s="26" t="n">
        <v>234.8</v>
      </c>
      <c r="I775" s="26" t="n">
        <v>256.93</v>
      </c>
      <c r="J775" s="26" t="n">
        <v>273.53</v>
      </c>
      <c r="K775" s="26" t="n">
        <v>290.13</v>
      </c>
      <c r="L775" s="26" t="n">
        <v>2.65</v>
      </c>
      <c r="M775" s="27" t="n">
        <v>0.005</v>
      </c>
      <c r="N775" s="27" t="n">
        <v>0.002</v>
      </c>
      <c r="O775" s="26" t="n">
        <v>5</v>
      </c>
      <c r="P775" s="26" t="n">
        <v>5</v>
      </c>
      <c r="Q775" s="28" t="n">
        <v>100</v>
      </c>
      <c r="R775" s="26" t="n">
        <v>30</v>
      </c>
      <c r="S775" s="26" t="n">
        <v>0</v>
      </c>
      <c r="T775" s="28" t="n">
        <v>1</v>
      </c>
      <c r="U775" s="26" t="n">
        <v>0</v>
      </c>
      <c r="V775" s="26" t="n">
        <v>0</v>
      </c>
      <c r="W775" s="22" t="s">
        <v>18</v>
      </c>
      <c r="X775" s="22" t="s">
        <v>373</v>
      </c>
    </row>
    <row r="776" customFormat="false" ht="15" hidden="false" customHeight="false" outlineLevel="0" collapsed="false">
      <c r="A776" s="22" t="s">
        <v>3341</v>
      </c>
      <c r="B776" s="22" t="s">
        <v>18</v>
      </c>
      <c r="C776" s="22" t="s">
        <v>3342</v>
      </c>
      <c r="D776" s="22" t="s">
        <v>3343</v>
      </c>
      <c r="E776" s="22" t="s">
        <v>3344</v>
      </c>
      <c r="F776" s="22" t="n">
        <v>17</v>
      </c>
      <c r="G776" s="26" t="n">
        <v>212.67</v>
      </c>
      <c r="H776" s="26" t="n">
        <v>234.8</v>
      </c>
      <c r="I776" s="26" t="n">
        <v>256.93</v>
      </c>
      <c r="J776" s="26" t="n">
        <v>273.53</v>
      </c>
      <c r="K776" s="26" t="n">
        <v>290.13</v>
      </c>
      <c r="L776" s="26" t="n">
        <v>2.65</v>
      </c>
      <c r="M776" s="27" t="n">
        <v>0.005</v>
      </c>
      <c r="N776" s="27" t="n">
        <v>0.002</v>
      </c>
      <c r="O776" s="26" t="n">
        <v>5</v>
      </c>
      <c r="P776" s="26" t="n">
        <v>5</v>
      </c>
      <c r="Q776" s="28" t="n">
        <v>100</v>
      </c>
      <c r="R776" s="26" t="n">
        <v>30</v>
      </c>
      <c r="S776" s="26" t="n">
        <v>0</v>
      </c>
      <c r="T776" s="28" t="n">
        <v>1</v>
      </c>
      <c r="U776" s="26" t="n">
        <v>0</v>
      </c>
      <c r="V776" s="26" t="n">
        <v>0</v>
      </c>
      <c r="W776" s="22" t="s">
        <v>18</v>
      </c>
      <c r="X776" s="22" t="s">
        <v>373</v>
      </c>
    </row>
    <row r="777" customFormat="false" ht="15" hidden="false" customHeight="false" outlineLevel="0" collapsed="false">
      <c r="A777" s="22" t="s">
        <v>3345</v>
      </c>
      <c r="B777" s="22" t="s">
        <v>18</v>
      </c>
      <c r="C777" s="22" t="s">
        <v>3346</v>
      </c>
      <c r="D777" s="22" t="s">
        <v>3347</v>
      </c>
      <c r="E777" s="22" t="s">
        <v>3348</v>
      </c>
      <c r="F777" s="22" t="n">
        <v>17</v>
      </c>
      <c r="G777" s="26" t="n">
        <v>212.67</v>
      </c>
      <c r="H777" s="26" t="n">
        <v>234.8</v>
      </c>
      <c r="I777" s="26" t="n">
        <v>256.93</v>
      </c>
      <c r="J777" s="26" t="n">
        <v>273.53</v>
      </c>
      <c r="K777" s="26" t="n">
        <v>290.13</v>
      </c>
      <c r="L777" s="26" t="n">
        <v>2.65</v>
      </c>
      <c r="M777" s="27" t="n">
        <v>0.005</v>
      </c>
      <c r="N777" s="27" t="n">
        <v>0.002</v>
      </c>
      <c r="O777" s="26" t="n">
        <v>5</v>
      </c>
      <c r="P777" s="26" t="n">
        <v>5</v>
      </c>
      <c r="Q777" s="28" t="n">
        <v>100</v>
      </c>
      <c r="R777" s="26" t="n">
        <v>30</v>
      </c>
      <c r="S777" s="26" t="n">
        <v>0</v>
      </c>
      <c r="T777" s="28" t="n">
        <v>1</v>
      </c>
      <c r="U777" s="26" t="n">
        <v>0</v>
      </c>
      <c r="V777" s="26" t="n">
        <v>400</v>
      </c>
      <c r="W777" s="22" t="s">
        <v>18</v>
      </c>
      <c r="X777" s="22" t="s">
        <v>373</v>
      </c>
    </row>
    <row r="778" customFormat="false" ht="15" hidden="false" customHeight="false" outlineLevel="0" collapsed="false">
      <c r="A778" s="22" t="s">
        <v>3349</v>
      </c>
      <c r="B778" s="22" t="s">
        <v>18</v>
      </c>
      <c r="C778" s="22" t="s">
        <v>3350</v>
      </c>
      <c r="D778" s="22" t="s">
        <v>3351</v>
      </c>
      <c r="E778" s="22" t="s">
        <v>3352</v>
      </c>
      <c r="F778" s="22" t="n">
        <v>17</v>
      </c>
      <c r="G778" s="26" t="n">
        <v>212.67</v>
      </c>
      <c r="H778" s="26" t="n">
        <v>234.8</v>
      </c>
      <c r="I778" s="26" t="n">
        <v>256.93</v>
      </c>
      <c r="J778" s="26" t="n">
        <v>273.53</v>
      </c>
      <c r="K778" s="26" t="n">
        <v>290.13</v>
      </c>
      <c r="L778" s="26" t="n">
        <v>2.65</v>
      </c>
      <c r="M778" s="27" t="n">
        <v>0.005</v>
      </c>
      <c r="N778" s="27" t="n">
        <v>0.002</v>
      </c>
      <c r="O778" s="26" t="n">
        <v>5</v>
      </c>
      <c r="P778" s="26" t="n">
        <v>5</v>
      </c>
      <c r="Q778" s="28" t="n">
        <v>100</v>
      </c>
      <c r="R778" s="26" t="n">
        <v>30</v>
      </c>
      <c r="S778" s="26" t="n">
        <v>0</v>
      </c>
      <c r="T778" s="28" t="n">
        <v>1</v>
      </c>
      <c r="U778" s="26" t="n">
        <v>0</v>
      </c>
      <c r="V778" s="26" t="n">
        <v>0</v>
      </c>
      <c r="W778" s="22" t="s">
        <v>18</v>
      </c>
      <c r="X778" s="22" t="s">
        <v>373</v>
      </c>
    </row>
    <row r="779" customFormat="false" ht="15" hidden="false" customHeight="false" outlineLevel="0" collapsed="false">
      <c r="A779" s="22" t="s">
        <v>3353</v>
      </c>
      <c r="B779" s="22" t="s">
        <v>18</v>
      </c>
      <c r="C779" s="22" t="s">
        <v>3354</v>
      </c>
      <c r="D779" s="22" t="s">
        <v>3355</v>
      </c>
      <c r="E779" s="22" t="s">
        <v>3356</v>
      </c>
      <c r="F779" s="22" t="n">
        <v>17</v>
      </c>
      <c r="G779" s="26" t="n">
        <v>212.67</v>
      </c>
      <c r="H779" s="26" t="n">
        <v>234.8</v>
      </c>
      <c r="I779" s="26" t="n">
        <v>256.93</v>
      </c>
      <c r="J779" s="26" t="n">
        <v>273.53</v>
      </c>
      <c r="K779" s="26" t="n">
        <v>290.13</v>
      </c>
      <c r="L779" s="26" t="n">
        <v>2.65</v>
      </c>
      <c r="M779" s="27" t="n">
        <v>0.005</v>
      </c>
      <c r="N779" s="27" t="n">
        <v>0.002</v>
      </c>
      <c r="O779" s="26" t="n">
        <v>5</v>
      </c>
      <c r="P779" s="26" t="n">
        <v>5</v>
      </c>
      <c r="Q779" s="28" t="n">
        <v>100</v>
      </c>
      <c r="R779" s="26" t="n">
        <v>30</v>
      </c>
      <c r="S779" s="26" t="n">
        <v>0</v>
      </c>
      <c r="T779" s="28" t="n">
        <v>1</v>
      </c>
      <c r="U779" s="26" t="n">
        <v>0</v>
      </c>
      <c r="V779" s="26" t="n">
        <v>0</v>
      </c>
      <c r="W779" s="22" t="s">
        <v>18</v>
      </c>
      <c r="X779" s="22" t="s">
        <v>373</v>
      </c>
    </row>
    <row r="780" customFormat="false" ht="15" hidden="false" customHeight="false" outlineLevel="0" collapsed="false">
      <c r="A780" s="22" t="s">
        <v>3357</v>
      </c>
      <c r="B780" s="22" t="s">
        <v>18</v>
      </c>
      <c r="C780" s="22" t="s">
        <v>3358</v>
      </c>
      <c r="D780" s="22" t="s">
        <v>3359</v>
      </c>
      <c r="E780" s="22" t="s">
        <v>3360</v>
      </c>
      <c r="F780" s="22" t="n">
        <v>17</v>
      </c>
      <c r="G780" s="26" t="n">
        <v>212.67</v>
      </c>
      <c r="H780" s="26" t="n">
        <v>234.8</v>
      </c>
      <c r="I780" s="26" t="n">
        <v>256.93</v>
      </c>
      <c r="J780" s="26" t="n">
        <v>273.53</v>
      </c>
      <c r="K780" s="26" t="n">
        <v>290.13</v>
      </c>
      <c r="L780" s="26" t="n">
        <v>2.65</v>
      </c>
      <c r="M780" s="27" t="n">
        <v>0.005</v>
      </c>
      <c r="N780" s="27" t="n">
        <v>0.002</v>
      </c>
      <c r="O780" s="26" t="n">
        <v>5</v>
      </c>
      <c r="P780" s="26" t="n">
        <v>5</v>
      </c>
      <c r="Q780" s="28" t="n">
        <v>100</v>
      </c>
      <c r="R780" s="26" t="n">
        <v>30</v>
      </c>
      <c r="S780" s="26" t="n">
        <v>0</v>
      </c>
      <c r="T780" s="28" t="n">
        <v>1</v>
      </c>
      <c r="U780" s="26" t="n">
        <v>0</v>
      </c>
      <c r="V780" s="26" t="n">
        <v>0</v>
      </c>
      <c r="W780" s="22" t="s">
        <v>18</v>
      </c>
      <c r="X780" s="22" t="s">
        <v>373</v>
      </c>
    </row>
    <row r="781" customFormat="false" ht="15" hidden="false" customHeight="false" outlineLevel="0" collapsed="false">
      <c r="A781" s="22" t="s">
        <v>3361</v>
      </c>
      <c r="B781" s="22" t="s">
        <v>18</v>
      </c>
      <c r="C781" s="22" t="s">
        <v>3362</v>
      </c>
      <c r="D781" s="22" t="s">
        <v>3363</v>
      </c>
      <c r="E781" s="22" t="s">
        <v>3364</v>
      </c>
      <c r="F781" s="22" t="n">
        <v>17</v>
      </c>
      <c r="G781" s="26" t="n">
        <v>212.67</v>
      </c>
      <c r="H781" s="26" t="n">
        <v>234.8</v>
      </c>
      <c r="I781" s="26" t="n">
        <v>256.93</v>
      </c>
      <c r="J781" s="26" t="n">
        <v>273.53</v>
      </c>
      <c r="K781" s="26" t="n">
        <v>290.13</v>
      </c>
      <c r="L781" s="26" t="n">
        <v>2.65</v>
      </c>
      <c r="M781" s="27" t="n">
        <v>0.005</v>
      </c>
      <c r="N781" s="27" t="n">
        <v>0.002</v>
      </c>
      <c r="O781" s="26" t="n">
        <v>5</v>
      </c>
      <c r="P781" s="26" t="n">
        <v>5</v>
      </c>
      <c r="Q781" s="28" t="n">
        <v>100</v>
      </c>
      <c r="R781" s="26" t="n">
        <v>30</v>
      </c>
      <c r="S781" s="26" t="n">
        <v>0</v>
      </c>
      <c r="T781" s="28" t="n">
        <v>1</v>
      </c>
      <c r="U781" s="26" t="n">
        <v>0</v>
      </c>
      <c r="V781" s="26" t="n">
        <v>0</v>
      </c>
      <c r="W781" s="22" t="s">
        <v>18</v>
      </c>
      <c r="X781" s="22" t="s">
        <v>373</v>
      </c>
    </row>
    <row r="782" customFormat="false" ht="15" hidden="false" customHeight="false" outlineLevel="0" collapsed="false">
      <c r="A782" s="22" t="s">
        <v>3365</v>
      </c>
      <c r="B782" s="22" t="s">
        <v>18</v>
      </c>
      <c r="C782" s="22" t="s">
        <v>3366</v>
      </c>
      <c r="D782" s="22" t="s">
        <v>3367</v>
      </c>
      <c r="E782" s="22" t="s">
        <v>3368</v>
      </c>
      <c r="F782" s="22" t="n">
        <v>17</v>
      </c>
      <c r="G782" s="26" t="n">
        <v>212.67</v>
      </c>
      <c r="H782" s="26" t="n">
        <v>234.8</v>
      </c>
      <c r="I782" s="26" t="n">
        <v>256.93</v>
      </c>
      <c r="J782" s="26" t="n">
        <v>273.53</v>
      </c>
      <c r="K782" s="26" t="n">
        <v>290.13</v>
      </c>
      <c r="L782" s="26" t="n">
        <v>2.65</v>
      </c>
      <c r="M782" s="27" t="n">
        <v>0.005</v>
      </c>
      <c r="N782" s="27" t="n">
        <v>0.002</v>
      </c>
      <c r="O782" s="26" t="n">
        <v>5</v>
      </c>
      <c r="P782" s="26" t="n">
        <v>5</v>
      </c>
      <c r="Q782" s="28" t="n">
        <v>100</v>
      </c>
      <c r="R782" s="26" t="n">
        <v>30</v>
      </c>
      <c r="S782" s="26" t="n">
        <v>0</v>
      </c>
      <c r="T782" s="28" t="n">
        <v>1</v>
      </c>
      <c r="U782" s="26" t="n">
        <v>0</v>
      </c>
      <c r="V782" s="26" t="n">
        <v>0</v>
      </c>
      <c r="W782" s="22" t="s">
        <v>18</v>
      </c>
      <c r="X782" s="22" t="s">
        <v>373</v>
      </c>
    </row>
    <row r="783" customFormat="false" ht="15" hidden="false" customHeight="false" outlineLevel="0" collapsed="false">
      <c r="A783" s="22" t="s">
        <v>3369</v>
      </c>
      <c r="B783" s="22" t="s">
        <v>18</v>
      </c>
      <c r="C783" s="22" t="s">
        <v>3370</v>
      </c>
      <c r="D783" s="22" t="s">
        <v>3371</v>
      </c>
      <c r="E783" s="22" t="s">
        <v>3372</v>
      </c>
      <c r="F783" s="22" t="n">
        <v>17</v>
      </c>
      <c r="G783" s="26" t="n">
        <v>212.67</v>
      </c>
      <c r="H783" s="26" t="n">
        <v>234.8</v>
      </c>
      <c r="I783" s="26" t="n">
        <v>256.93</v>
      </c>
      <c r="J783" s="26" t="n">
        <v>273.53</v>
      </c>
      <c r="K783" s="26" t="n">
        <v>290.13</v>
      </c>
      <c r="L783" s="26" t="n">
        <v>2.65</v>
      </c>
      <c r="M783" s="27" t="n">
        <v>0.005</v>
      </c>
      <c r="N783" s="27" t="n">
        <v>0.002</v>
      </c>
      <c r="O783" s="26" t="n">
        <v>5</v>
      </c>
      <c r="P783" s="26" t="n">
        <v>5</v>
      </c>
      <c r="Q783" s="28" t="n">
        <v>100</v>
      </c>
      <c r="R783" s="26" t="n">
        <v>30</v>
      </c>
      <c r="S783" s="26" t="n">
        <v>0</v>
      </c>
      <c r="T783" s="28" t="n">
        <v>1</v>
      </c>
      <c r="U783" s="26" t="n">
        <v>0</v>
      </c>
      <c r="V783" s="26" t="n">
        <v>0</v>
      </c>
      <c r="W783" s="22" t="s">
        <v>18</v>
      </c>
      <c r="X783" s="22" t="s">
        <v>373</v>
      </c>
    </row>
    <row r="784" customFormat="false" ht="15" hidden="false" customHeight="false" outlineLevel="0" collapsed="false">
      <c r="A784" s="22" t="s">
        <v>3373</v>
      </c>
      <c r="B784" s="22" t="s">
        <v>18</v>
      </c>
      <c r="C784" s="22" t="s">
        <v>3374</v>
      </c>
      <c r="D784" s="22" t="s">
        <v>3375</v>
      </c>
      <c r="E784" s="22" t="s">
        <v>3376</v>
      </c>
      <c r="F784" s="22" t="n">
        <v>17</v>
      </c>
      <c r="G784" s="26" t="n">
        <v>212.67</v>
      </c>
      <c r="H784" s="26" t="n">
        <v>234.8</v>
      </c>
      <c r="I784" s="26" t="n">
        <v>256.93</v>
      </c>
      <c r="J784" s="26" t="n">
        <v>273.53</v>
      </c>
      <c r="K784" s="26" t="n">
        <v>290.13</v>
      </c>
      <c r="L784" s="26" t="n">
        <v>2.65</v>
      </c>
      <c r="M784" s="27" t="n">
        <v>0.005</v>
      </c>
      <c r="N784" s="27" t="n">
        <v>0.002</v>
      </c>
      <c r="O784" s="26" t="n">
        <v>5</v>
      </c>
      <c r="P784" s="26" t="n">
        <v>5</v>
      </c>
      <c r="Q784" s="28" t="n">
        <v>100</v>
      </c>
      <c r="R784" s="26" t="n">
        <v>30</v>
      </c>
      <c r="S784" s="26" t="n">
        <v>0</v>
      </c>
      <c r="T784" s="28" t="n">
        <v>1</v>
      </c>
      <c r="U784" s="26" t="n">
        <v>0</v>
      </c>
      <c r="V784" s="26" t="n">
        <v>0</v>
      </c>
      <c r="W784" s="22" t="s">
        <v>18</v>
      </c>
      <c r="X784" s="22" t="s">
        <v>373</v>
      </c>
    </row>
    <row r="785" customFormat="false" ht="15" hidden="false" customHeight="false" outlineLevel="0" collapsed="false">
      <c r="A785" s="22" t="s">
        <v>3377</v>
      </c>
      <c r="B785" s="22" t="s">
        <v>18</v>
      </c>
      <c r="C785" s="22" t="s">
        <v>3378</v>
      </c>
      <c r="D785" s="22" t="s">
        <v>3379</v>
      </c>
      <c r="E785" s="22" t="s">
        <v>3380</v>
      </c>
      <c r="F785" s="22" t="n">
        <v>17</v>
      </c>
      <c r="G785" s="26" t="n">
        <v>212.67</v>
      </c>
      <c r="H785" s="26" t="n">
        <v>234.8</v>
      </c>
      <c r="I785" s="26" t="n">
        <v>256.93</v>
      </c>
      <c r="J785" s="26" t="n">
        <v>273.53</v>
      </c>
      <c r="K785" s="26" t="n">
        <v>290.13</v>
      </c>
      <c r="L785" s="26" t="n">
        <v>2.65</v>
      </c>
      <c r="M785" s="27" t="n">
        <v>0.005</v>
      </c>
      <c r="N785" s="27" t="n">
        <v>0.002</v>
      </c>
      <c r="O785" s="26" t="n">
        <v>5</v>
      </c>
      <c r="P785" s="26" t="n">
        <v>5</v>
      </c>
      <c r="Q785" s="28" t="n">
        <v>100</v>
      </c>
      <c r="R785" s="26" t="n">
        <v>30</v>
      </c>
      <c r="S785" s="26" t="n">
        <v>0</v>
      </c>
      <c r="T785" s="28" t="n">
        <v>1</v>
      </c>
      <c r="U785" s="26" t="n">
        <v>0</v>
      </c>
      <c r="V785" s="26" t="n">
        <v>0</v>
      </c>
      <c r="W785" s="22" t="s">
        <v>18</v>
      </c>
      <c r="X785" s="22" t="s">
        <v>373</v>
      </c>
    </row>
    <row r="786" customFormat="false" ht="15" hidden="false" customHeight="false" outlineLevel="0" collapsed="false">
      <c r="A786" s="22" t="s">
        <v>3381</v>
      </c>
      <c r="B786" s="22" t="s">
        <v>18</v>
      </c>
      <c r="C786" s="22" t="s">
        <v>3382</v>
      </c>
      <c r="D786" s="22" t="s">
        <v>3383</v>
      </c>
      <c r="E786" s="22" t="s">
        <v>3384</v>
      </c>
      <c r="F786" s="22" t="n">
        <v>17</v>
      </c>
      <c r="G786" s="26" t="n">
        <v>212.67</v>
      </c>
      <c r="H786" s="26" t="n">
        <v>234.8</v>
      </c>
      <c r="I786" s="26" t="n">
        <v>256.93</v>
      </c>
      <c r="J786" s="26" t="n">
        <v>273.53</v>
      </c>
      <c r="K786" s="26" t="n">
        <v>290.13</v>
      </c>
      <c r="L786" s="26" t="n">
        <v>2.65</v>
      </c>
      <c r="M786" s="27" t="n">
        <v>0.005</v>
      </c>
      <c r="N786" s="27" t="n">
        <v>0.002</v>
      </c>
      <c r="O786" s="26" t="n">
        <v>5</v>
      </c>
      <c r="P786" s="26" t="n">
        <v>5</v>
      </c>
      <c r="Q786" s="28" t="n">
        <v>100</v>
      </c>
      <c r="R786" s="26" t="n">
        <v>30</v>
      </c>
      <c r="S786" s="26" t="n">
        <v>0</v>
      </c>
      <c r="T786" s="28" t="n">
        <v>1</v>
      </c>
      <c r="U786" s="26" t="n">
        <v>0</v>
      </c>
      <c r="V786" s="26" t="n">
        <v>0</v>
      </c>
      <c r="W786" s="22" t="s">
        <v>18</v>
      </c>
      <c r="X786" s="22" t="s">
        <v>373</v>
      </c>
    </row>
    <row r="787" customFormat="false" ht="15" hidden="false" customHeight="false" outlineLevel="0" collapsed="false">
      <c r="A787" s="22" t="s">
        <v>3385</v>
      </c>
      <c r="B787" s="22" t="s">
        <v>18</v>
      </c>
      <c r="C787" s="22" t="s">
        <v>3386</v>
      </c>
      <c r="D787" s="22" t="s">
        <v>3387</v>
      </c>
      <c r="E787" s="22" t="s">
        <v>3388</v>
      </c>
      <c r="F787" s="22" t="n">
        <v>17</v>
      </c>
      <c r="G787" s="26" t="n">
        <v>212.67</v>
      </c>
      <c r="H787" s="26" t="n">
        <v>234.8</v>
      </c>
      <c r="I787" s="26" t="n">
        <v>256.93</v>
      </c>
      <c r="J787" s="26" t="n">
        <v>273.53</v>
      </c>
      <c r="K787" s="26" t="n">
        <v>290.13</v>
      </c>
      <c r="L787" s="26" t="n">
        <v>2.65</v>
      </c>
      <c r="M787" s="27" t="n">
        <v>0.005</v>
      </c>
      <c r="N787" s="27" t="n">
        <v>0.002</v>
      </c>
      <c r="O787" s="26" t="n">
        <v>5</v>
      </c>
      <c r="P787" s="26" t="n">
        <v>5</v>
      </c>
      <c r="Q787" s="28" t="n">
        <v>100</v>
      </c>
      <c r="R787" s="26" t="n">
        <v>30</v>
      </c>
      <c r="S787" s="26" t="n">
        <v>0</v>
      </c>
      <c r="T787" s="28" t="n">
        <v>1</v>
      </c>
      <c r="U787" s="26" t="n">
        <v>0</v>
      </c>
      <c r="V787" s="26" t="n">
        <v>0</v>
      </c>
      <c r="W787" s="22" t="s">
        <v>18</v>
      </c>
      <c r="X787" s="22" t="s">
        <v>373</v>
      </c>
    </row>
    <row r="788" customFormat="false" ht="15" hidden="false" customHeight="false" outlineLevel="0" collapsed="false">
      <c r="A788" s="22" t="s">
        <v>3389</v>
      </c>
      <c r="B788" s="22" t="s">
        <v>18</v>
      </c>
      <c r="C788" s="22" t="s">
        <v>3390</v>
      </c>
      <c r="D788" s="22" t="s">
        <v>3391</v>
      </c>
      <c r="E788" s="22" t="s">
        <v>3392</v>
      </c>
      <c r="F788" s="22" t="n">
        <v>17</v>
      </c>
      <c r="G788" s="26" t="n">
        <v>212.67</v>
      </c>
      <c r="H788" s="26" t="n">
        <v>234.8</v>
      </c>
      <c r="I788" s="26" t="n">
        <v>256.93</v>
      </c>
      <c r="J788" s="26" t="n">
        <v>273.53</v>
      </c>
      <c r="K788" s="26" t="n">
        <v>290.13</v>
      </c>
      <c r="L788" s="26" t="n">
        <v>2.65</v>
      </c>
      <c r="M788" s="27" t="n">
        <v>0.005</v>
      </c>
      <c r="N788" s="27" t="n">
        <v>0.002</v>
      </c>
      <c r="O788" s="26" t="n">
        <v>5</v>
      </c>
      <c r="P788" s="26" t="n">
        <v>5</v>
      </c>
      <c r="Q788" s="28" t="n">
        <v>100</v>
      </c>
      <c r="R788" s="26" t="n">
        <v>30</v>
      </c>
      <c r="S788" s="26" t="n">
        <v>0</v>
      </c>
      <c r="T788" s="28" t="n">
        <v>1</v>
      </c>
      <c r="U788" s="26" t="n">
        <v>0</v>
      </c>
      <c r="V788" s="26" t="n">
        <v>0</v>
      </c>
      <c r="W788" s="22" t="s">
        <v>18</v>
      </c>
      <c r="X788" s="22" t="s">
        <v>373</v>
      </c>
    </row>
    <row r="789" customFormat="false" ht="15" hidden="false" customHeight="false" outlineLevel="0" collapsed="false">
      <c r="A789" s="22" t="s">
        <v>3393</v>
      </c>
      <c r="B789" s="22" t="s">
        <v>18</v>
      </c>
      <c r="C789" s="22" t="s">
        <v>3394</v>
      </c>
      <c r="D789" s="22" t="s">
        <v>3395</v>
      </c>
      <c r="E789" s="22" t="s">
        <v>3396</v>
      </c>
      <c r="F789" s="22" t="n">
        <v>17</v>
      </c>
      <c r="G789" s="26" t="n">
        <v>212.67</v>
      </c>
      <c r="H789" s="26" t="n">
        <v>234.8</v>
      </c>
      <c r="I789" s="26" t="n">
        <v>256.93</v>
      </c>
      <c r="J789" s="26" t="n">
        <v>273.53</v>
      </c>
      <c r="K789" s="26" t="n">
        <v>290.13</v>
      </c>
      <c r="L789" s="26" t="n">
        <v>2.65</v>
      </c>
      <c r="M789" s="27" t="n">
        <v>0.005</v>
      </c>
      <c r="N789" s="27" t="n">
        <v>0.002</v>
      </c>
      <c r="O789" s="26" t="n">
        <v>5</v>
      </c>
      <c r="P789" s="26" t="n">
        <v>5</v>
      </c>
      <c r="Q789" s="28" t="n">
        <v>100</v>
      </c>
      <c r="R789" s="26" t="n">
        <v>30</v>
      </c>
      <c r="S789" s="26" t="n">
        <v>0</v>
      </c>
      <c r="T789" s="28" t="n">
        <v>1</v>
      </c>
      <c r="U789" s="26" t="n">
        <v>0</v>
      </c>
      <c r="V789" s="26" t="n">
        <v>0</v>
      </c>
      <c r="W789" s="22" t="s">
        <v>18</v>
      </c>
      <c r="X789" s="22" t="s">
        <v>373</v>
      </c>
    </row>
    <row r="790" customFormat="false" ht="15" hidden="false" customHeight="false" outlineLevel="0" collapsed="false">
      <c r="A790" s="22" t="s">
        <v>3397</v>
      </c>
      <c r="B790" s="22" t="s">
        <v>18</v>
      </c>
      <c r="C790" s="22" t="s">
        <v>118</v>
      </c>
      <c r="D790" s="22" t="s">
        <v>3398</v>
      </c>
      <c r="E790" s="22" t="s">
        <v>3399</v>
      </c>
      <c r="F790" s="22" t="n">
        <v>17</v>
      </c>
      <c r="G790" s="26" t="n">
        <v>212.67</v>
      </c>
      <c r="H790" s="26" t="n">
        <v>234.8</v>
      </c>
      <c r="I790" s="26" t="n">
        <v>256.93</v>
      </c>
      <c r="J790" s="26" t="n">
        <v>273.53</v>
      </c>
      <c r="K790" s="26" t="n">
        <v>290.13</v>
      </c>
      <c r="L790" s="26" t="n">
        <v>2.65</v>
      </c>
      <c r="M790" s="27" t="n">
        <v>0.005</v>
      </c>
      <c r="N790" s="27" t="n">
        <v>0.002</v>
      </c>
      <c r="O790" s="26" t="n">
        <v>5</v>
      </c>
      <c r="P790" s="26" t="n">
        <v>5</v>
      </c>
      <c r="Q790" s="28" t="n">
        <v>100</v>
      </c>
      <c r="R790" s="26" t="n">
        <v>30</v>
      </c>
      <c r="S790" s="26" t="n">
        <v>0</v>
      </c>
      <c r="T790" s="28" t="n">
        <v>1</v>
      </c>
      <c r="U790" s="26" t="n">
        <v>0</v>
      </c>
      <c r="V790" s="26" t="n">
        <v>0</v>
      </c>
      <c r="W790" s="22" t="s">
        <v>18</v>
      </c>
      <c r="X790" s="22" t="s">
        <v>373</v>
      </c>
    </row>
    <row r="791" customFormat="false" ht="15" hidden="false" customHeight="false" outlineLevel="0" collapsed="false">
      <c r="A791" s="22" t="s">
        <v>3400</v>
      </c>
      <c r="B791" s="22" t="s">
        <v>18</v>
      </c>
      <c r="C791" s="22" t="s">
        <v>3401</v>
      </c>
      <c r="D791" s="22" t="s">
        <v>3402</v>
      </c>
      <c r="E791" s="22" t="s">
        <v>3403</v>
      </c>
      <c r="F791" s="22" t="n">
        <v>17</v>
      </c>
      <c r="G791" s="26" t="n">
        <v>212.67</v>
      </c>
      <c r="H791" s="26" t="n">
        <v>234.8</v>
      </c>
      <c r="I791" s="26" t="n">
        <v>256.93</v>
      </c>
      <c r="J791" s="26" t="n">
        <v>273.53</v>
      </c>
      <c r="K791" s="26" t="n">
        <v>290.13</v>
      </c>
      <c r="L791" s="26" t="n">
        <v>2.65</v>
      </c>
      <c r="M791" s="27" t="n">
        <v>0.005</v>
      </c>
      <c r="N791" s="27" t="n">
        <v>0.002</v>
      </c>
      <c r="O791" s="26" t="n">
        <v>5</v>
      </c>
      <c r="P791" s="26" t="n">
        <v>5</v>
      </c>
      <c r="Q791" s="28" t="n">
        <v>100</v>
      </c>
      <c r="R791" s="26" t="n">
        <v>30</v>
      </c>
      <c r="S791" s="26" t="n">
        <v>0</v>
      </c>
      <c r="T791" s="28" t="n">
        <v>1</v>
      </c>
      <c r="U791" s="26" t="n">
        <v>0</v>
      </c>
      <c r="V791" s="26" t="n">
        <v>0</v>
      </c>
      <c r="W791" s="22" t="s">
        <v>18</v>
      </c>
      <c r="X791" s="22" t="s">
        <v>373</v>
      </c>
    </row>
    <row r="792" customFormat="false" ht="15" hidden="false" customHeight="false" outlineLevel="0" collapsed="false">
      <c r="A792" s="22" t="s">
        <v>3404</v>
      </c>
      <c r="B792" s="22" t="s">
        <v>18</v>
      </c>
      <c r="C792" s="22" t="s">
        <v>3405</v>
      </c>
      <c r="D792" s="22" t="s">
        <v>3406</v>
      </c>
      <c r="E792" s="22" t="s">
        <v>3407</v>
      </c>
      <c r="F792" s="22" t="n">
        <v>17</v>
      </c>
      <c r="G792" s="26" t="n">
        <v>212.67</v>
      </c>
      <c r="H792" s="26" t="n">
        <v>234.8</v>
      </c>
      <c r="I792" s="26" t="n">
        <v>256.93</v>
      </c>
      <c r="J792" s="26" t="n">
        <v>273.53</v>
      </c>
      <c r="K792" s="26" t="n">
        <v>290.13</v>
      </c>
      <c r="L792" s="26" t="n">
        <v>2.65</v>
      </c>
      <c r="M792" s="27" t="n">
        <v>0.005</v>
      </c>
      <c r="N792" s="27" t="n">
        <v>0.002</v>
      </c>
      <c r="O792" s="26" t="n">
        <v>5</v>
      </c>
      <c r="P792" s="26" t="n">
        <v>5</v>
      </c>
      <c r="Q792" s="28" t="n">
        <v>100</v>
      </c>
      <c r="R792" s="26" t="n">
        <v>30</v>
      </c>
      <c r="S792" s="26" t="n">
        <v>0</v>
      </c>
      <c r="T792" s="28" t="n">
        <v>1</v>
      </c>
      <c r="U792" s="26" t="n">
        <v>0</v>
      </c>
      <c r="V792" s="26" t="n">
        <v>0</v>
      </c>
      <c r="W792" s="22" t="s">
        <v>18</v>
      </c>
      <c r="X792" s="22" t="s">
        <v>373</v>
      </c>
    </row>
    <row r="793" customFormat="false" ht="15" hidden="false" customHeight="false" outlineLevel="0" collapsed="false">
      <c r="A793" s="22" t="s">
        <v>3408</v>
      </c>
      <c r="B793" s="22" t="s">
        <v>18</v>
      </c>
      <c r="C793" s="22" t="s">
        <v>3409</v>
      </c>
      <c r="D793" s="22" t="s">
        <v>3410</v>
      </c>
      <c r="E793" s="22" t="s">
        <v>3411</v>
      </c>
      <c r="F793" s="22" t="n">
        <v>17</v>
      </c>
      <c r="G793" s="26" t="n">
        <v>212.67</v>
      </c>
      <c r="H793" s="26" t="n">
        <v>234.8</v>
      </c>
      <c r="I793" s="26" t="n">
        <v>256.93</v>
      </c>
      <c r="J793" s="26" t="n">
        <v>273.53</v>
      </c>
      <c r="K793" s="26" t="n">
        <v>290.13</v>
      </c>
      <c r="L793" s="26" t="n">
        <v>2.65</v>
      </c>
      <c r="M793" s="27" t="n">
        <v>0.005</v>
      </c>
      <c r="N793" s="27" t="n">
        <v>0.002</v>
      </c>
      <c r="O793" s="26" t="n">
        <v>5</v>
      </c>
      <c r="P793" s="26" t="n">
        <v>5</v>
      </c>
      <c r="Q793" s="28" t="n">
        <v>100</v>
      </c>
      <c r="R793" s="26" t="n">
        <v>30</v>
      </c>
      <c r="S793" s="26" t="n">
        <v>0</v>
      </c>
      <c r="T793" s="28" t="n">
        <v>1</v>
      </c>
      <c r="U793" s="26" t="n">
        <v>0</v>
      </c>
      <c r="V793" s="26" t="n">
        <v>400</v>
      </c>
      <c r="W793" s="22" t="s">
        <v>18</v>
      </c>
      <c r="X793" s="22" t="s">
        <v>373</v>
      </c>
    </row>
    <row r="794" customFormat="false" ht="15" hidden="false" customHeight="false" outlineLevel="0" collapsed="false">
      <c r="A794" s="22" t="s">
        <v>3412</v>
      </c>
      <c r="B794" s="22" t="s">
        <v>18</v>
      </c>
      <c r="C794" s="22" t="s">
        <v>3413</v>
      </c>
      <c r="D794" s="22" t="s">
        <v>3414</v>
      </c>
      <c r="E794" s="22" t="s">
        <v>3415</v>
      </c>
      <c r="F794" s="22" t="n">
        <v>17</v>
      </c>
      <c r="G794" s="26" t="n">
        <v>212.67</v>
      </c>
      <c r="H794" s="26" t="n">
        <v>234.8</v>
      </c>
      <c r="I794" s="26" t="n">
        <v>256.93</v>
      </c>
      <c r="J794" s="26" t="n">
        <v>273.53</v>
      </c>
      <c r="K794" s="26" t="n">
        <v>290.13</v>
      </c>
      <c r="L794" s="26" t="n">
        <v>2.65</v>
      </c>
      <c r="M794" s="27" t="n">
        <v>0.005</v>
      </c>
      <c r="N794" s="27" t="n">
        <v>0.002</v>
      </c>
      <c r="O794" s="26" t="n">
        <v>5</v>
      </c>
      <c r="P794" s="26" t="n">
        <v>5</v>
      </c>
      <c r="Q794" s="28" t="n">
        <v>100</v>
      </c>
      <c r="R794" s="26" t="n">
        <v>30</v>
      </c>
      <c r="S794" s="26" t="n">
        <v>0</v>
      </c>
      <c r="T794" s="28" t="n">
        <v>1</v>
      </c>
      <c r="U794" s="26" t="n">
        <v>0</v>
      </c>
      <c r="V794" s="26" t="n">
        <v>400</v>
      </c>
      <c r="W794" s="22" t="s">
        <v>18</v>
      </c>
      <c r="X794" s="22" t="s">
        <v>373</v>
      </c>
    </row>
    <row r="795" customFormat="false" ht="15" hidden="false" customHeight="false" outlineLevel="0" collapsed="false">
      <c r="A795" s="22" t="s">
        <v>3416</v>
      </c>
      <c r="B795" s="22" t="s">
        <v>18</v>
      </c>
      <c r="C795" s="22" t="s">
        <v>3417</v>
      </c>
      <c r="D795" s="22" t="s">
        <v>3418</v>
      </c>
      <c r="E795" s="22" t="s">
        <v>3419</v>
      </c>
      <c r="F795" s="22" t="n">
        <v>17</v>
      </c>
      <c r="G795" s="26" t="n">
        <v>212.67</v>
      </c>
      <c r="H795" s="26" t="n">
        <v>234.8</v>
      </c>
      <c r="I795" s="26" t="n">
        <v>256.93</v>
      </c>
      <c r="J795" s="26" t="n">
        <v>273.53</v>
      </c>
      <c r="K795" s="26" t="n">
        <v>290.13</v>
      </c>
      <c r="L795" s="26" t="n">
        <v>2.65</v>
      </c>
      <c r="M795" s="27" t="n">
        <v>0.005</v>
      </c>
      <c r="N795" s="27" t="n">
        <v>0.002</v>
      </c>
      <c r="O795" s="26" t="n">
        <v>5</v>
      </c>
      <c r="P795" s="26" t="n">
        <v>5</v>
      </c>
      <c r="Q795" s="28" t="n">
        <v>100</v>
      </c>
      <c r="R795" s="26" t="n">
        <v>30</v>
      </c>
      <c r="S795" s="26" t="n">
        <v>0</v>
      </c>
      <c r="T795" s="28" t="n">
        <v>1</v>
      </c>
      <c r="U795" s="26" t="n">
        <v>0</v>
      </c>
      <c r="V795" s="26" t="n">
        <v>0</v>
      </c>
      <c r="W795" s="22" t="s">
        <v>18</v>
      </c>
      <c r="X795" s="22" t="s">
        <v>373</v>
      </c>
    </row>
    <row r="796" customFormat="false" ht="15" hidden="false" customHeight="false" outlineLevel="0" collapsed="false">
      <c r="A796" s="22" t="s">
        <v>3420</v>
      </c>
      <c r="B796" s="22" t="s">
        <v>18</v>
      </c>
      <c r="C796" s="22" t="s">
        <v>3421</v>
      </c>
      <c r="D796" s="22" t="s">
        <v>3422</v>
      </c>
      <c r="E796" s="22" t="s">
        <v>3423</v>
      </c>
      <c r="F796" s="22" t="n">
        <v>17</v>
      </c>
      <c r="G796" s="26" t="n">
        <v>212.67</v>
      </c>
      <c r="H796" s="26" t="n">
        <v>234.8</v>
      </c>
      <c r="I796" s="26" t="n">
        <v>256.93</v>
      </c>
      <c r="J796" s="26" t="n">
        <v>273.53</v>
      </c>
      <c r="K796" s="26" t="n">
        <v>290.13</v>
      </c>
      <c r="L796" s="26" t="n">
        <v>2.65</v>
      </c>
      <c r="M796" s="27" t="n">
        <v>0.005</v>
      </c>
      <c r="N796" s="27" t="n">
        <v>0.002</v>
      </c>
      <c r="O796" s="26" t="n">
        <v>5</v>
      </c>
      <c r="P796" s="26" t="n">
        <v>5</v>
      </c>
      <c r="Q796" s="28" t="n">
        <v>100</v>
      </c>
      <c r="R796" s="26" t="n">
        <v>30</v>
      </c>
      <c r="S796" s="26" t="n">
        <v>0</v>
      </c>
      <c r="T796" s="28" t="n">
        <v>1</v>
      </c>
      <c r="U796" s="26" t="n">
        <v>0</v>
      </c>
      <c r="V796" s="26" t="n">
        <v>0</v>
      </c>
      <c r="W796" s="22" t="s">
        <v>18</v>
      </c>
      <c r="X796" s="22" t="s">
        <v>373</v>
      </c>
    </row>
    <row r="797" customFormat="false" ht="15" hidden="false" customHeight="false" outlineLevel="0" collapsed="false">
      <c r="A797" s="22" t="s">
        <v>3424</v>
      </c>
      <c r="B797" s="22" t="s">
        <v>18</v>
      </c>
      <c r="C797" s="22" t="s">
        <v>3425</v>
      </c>
      <c r="D797" s="22" t="s">
        <v>3426</v>
      </c>
      <c r="E797" s="22" t="s">
        <v>3427</v>
      </c>
      <c r="F797" s="22" t="n">
        <v>17</v>
      </c>
      <c r="G797" s="26" t="n">
        <v>212.67</v>
      </c>
      <c r="H797" s="26" t="n">
        <v>234.8</v>
      </c>
      <c r="I797" s="26" t="n">
        <v>256.93</v>
      </c>
      <c r="J797" s="26" t="n">
        <v>273.53</v>
      </c>
      <c r="K797" s="26" t="n">
        <v>290.13</v>
      </c>
      <c r="L797" s="26" t="n">
        <v>2.65</v>
      </c>
      <c r="M797" s="27" t="n">
        <v>0.005</v>
      </c>
      <c r="N797" s="27" t="n">
        <v>0.002</v>
      </c>
      <c r="O797" s="26" t="n">
        <v>5</v>
      </c>
      <c r="P797" s="26" t="n">
        <v>5</v>
      </c>
      <c r="Q797" s="28" t="n">
        <v>100</v>
      </c>
      <c r="R797" s="26" t="n">
        <v>30</v>
      </c>
      <c r="S797" s="26" t="n">
        <v>0</v>
      </c>
      <c r="T797" s="28" t="n">
        <v>1</v>
      </c>
      <c r="U797" s="26" t="n">
        <v>0</v>
      </c>
      <c r="V797" s="26" t="n">
        <v>0</v>
      </c>
      <c r="W797" s="22" t="s">
        <v>18</v>
      </c>
      <c r="X797" s="22" t="s">
        <v>373</v>
      </c>
    </row>
    <row r="798" customFormat="false" ht="15" hidden="false" customHeight="false" outlineLevel="0" collapsed="false">
      <c r="A798" s="22" t="s">
        <v>3428</v>
      </c>
      <c r="B798" s="22" t="s">
        <v>18</v>
      </c>
      <c r="C798" s="22" t="s">
        <v>3429</v>
      </c>
      <c r="D798" s="22" t="s">
        <v>3430</v>
      </c>
      <c r="E798" s="22" t="s">
        <v>3431</v>
      </c>
      <c r="F798" s="22" t="n">
        <v>17</v>
      </c>
      <c r="G798" s="26" t="n">
        <v>212.67</v>
      </c>
      <c r="H798" s="26" t="n">
        <v>234.8</v>
      </c>
      <c r="I798" s="26" t="n">
        <v>256.93</v>
      </c>
      <c r="J798" s="26" t="n">
        <v>273.53</v>
      </c>
      <c r="K798" s="26" t="n">
        <v>290.13</v>
      </c>
      <c r="L798" s="26" t="n">
        <v>2.65</v>
      </c>
      <c r="M798" s="27" t="n">
        <v>0.005</v>
      </c>
      <c r="N798" s="27" t="n">
        <v>0.002</v>
      </c>
      <c r="O798" s="26" t="n">
        <v>5</v>
      </c>
      <c r="P798" s="26" t="n">
        <v>5</v>
      </c>
      <c r="Q798" s="28" t="n">
        <v>100</v>
      </c>
      <c r="R798" s="26" t="n">
        <v>30</v>
      </c>
      <c r="S798" s="26" t="n">
        <v>0</v>
      </c>
      <c r="T798" s="28" t="n">
        <v>1</v>
      </c>
      <c r="U798" s="26" t="n">
        <v>0</v>
      </c>
      <c r="V798" s="26" t="n">
        <v>0</v>
      </c>
      <c r="W798" s="22" t="s">
        <v>18</v>
      </c>
      <c r="X798" s="22" t="s">
        <v>373</v>
      </c>
    </row>
    <row r="799" customFormat="false" ht="15" hidden="false" customHeight="false" outlineLevel="0" collapsed="false">
      <c r="A799" s="22" t="s">
        <v>3432</v>
      </c>
      <c r="B799" s="22" t="s">
        <v>18</v>
      </c>
      <c r="C799" s="22" t="s">
        <v>3433</v>
      </c>
      <c r="D799" s="22" t="s">
        <v>3434</v>
      </c>
      <c r="E799" s="22" t="s">
        <v>3435</v>
      </c>
      <c r="F799" s="22" t="n">
        <v>17</v>
      </c>
      <c r="G799" s="26" t="n">
        <v>212.67</v>
      </c>
      <c r="H799" s="26" t="n">
        <v>234.8</v>
      </c>
      <c r="I799" s="26" t="n">
        <v>256.93</v>
      </c>
      <c r="J799" s="26" t="n">
        <v>273.53</v>
      </c>
      <c r="K799" s="26" t="n">
        <v>290.13</v>
      </c>
      <c r="L799" s="26" t="n">
        <v>2.65</v>
      </c>
      <c r="M799" s="27" t="n">
        <v>0.005</v>
      </c>
      <c r="N799" s="27" t="n">
        <v>0.002</v>
      </c>
      <c r="O799" s="26" t="n">
        <v>5</v>
      </c>
      <c r="P799" s="26" t="n">
        <v>5</v>
      </c>
      <c r="Q799" s="28" t="n">
        <v>100</v>
      </c>
      <c r="R799" s="26" t="n">
        <v>30</v>
      </c>
      <c r="S799" s="26" t="n">
        <v>0</v>
      </c>
      <c r="T799" s="28" t="n">
        <v>1</v>
      </c>
      <c r="U799" s="26" t="n">
        <v>0</v>
      </c>
      <c r="V799" s="26" t="n">
        <v>0</v>
      </c>
      <c r="W799" s="22" t="s">
        <v>18</v>
      </c>
      <c r="X799" s="22" t="s">
        <v>373</v>
      </c>
    </row>
    <row r="800" customFormat="false" ht="15" hidden="false" customHeight="false" outlineLevel="0" collapsed="false">
      <c r="A800" s="22" t="s">
        <v>3436</v>
      </c>
      <c r="B800" s="22" t="s">
        <v>18</v>
      </c>
      <c r="C800" s="22" t="s">
        <v>3437</v>
      </c>
      <c r="D800" s="22" t="s">
        <v>3438</v>
      </c>
      <c r="E800" s="22" t="s">
        <v>3439</v>
      </c>
      <c r="F800" s="22" t="n">
        <v>17</v>
      </c>
      <c r="G800" s="26" t="n">
        <v>212.67</v>
      </c>
      <c r="H800" s="26" t="n">
        <v>234.8</v>
      </c>
      <c r="I800" s="26" t="n">
        <v>256.93</v>
      </c>
      <c r="J800" s="26" t="n">
        <v>273.53</v>
      </c>
      <c r="K800" s="26" t="n">
        <v>290.13</v>
      </c>
      <c r="L800" s="26" t="n">
        <v>2.65</v>
      </c>
      <c r="M800" s="27" t="n">
        <v>0.005</v>
      </c>
      <c r="N800" s="27" t="n">
        <v>0.002</v>
      </c>
      <c r="O800" s="26" t="n">
        <v>5</v>
      </c>
      <c r="P800" s="26" t="n">
        <v>5</v>
      </c>
      <c r="Q800" s="28" t="n">
        <v>100</v>
      </c>
      <c r="R800" s="26" t="n">
        <v>30</v>
      </c>
      <c r="S800" s="26" t="n">
        <v>0</v>
      </c>
      <c r="T800" s="28" t="n">
        <v>1</v>
      </c>
      <c r="U800" s="26" t="n">
        <v>0</v>
      </c>
      <c r="V800" s="26" t="n">
        <v>0</v>
      </c>
      <c r="W800" s="22" t="s">
        <v>18</v>
      </c>
      <c r="X800" s="22" t="s">
        <v>373</v>
      </c>
    </row>
    <row r="801" customFormat="false" ht="15" hidden="false" customHeight="false" outlineLevel="0" collapsed="false">
      <c r="A801" s="22" t="s">
        <v>3440</v>
      </c>
      <c r="B801" s="22" t="s">
        <v>18</v>
      </c>
      <c r="C801" s="22" t="s">
        <v>3441</v>
      </c>
      <c r="D801" s="22" t="s">
        <v>3442</v>
      </c>
      <c r="E801" s="22" t="s">
        <v>3443</v>
      </c>
      <c r="F801" s="22" t="n">
        <v>17</v>
      </c>
      <c r="G801" s="26" t="n">
        <v>212.67</v>
      </c>
      <c r="H801" s="26" t="n">
        <v>234.8</v>
      </c>
      <c r="I801" s="26" t="n">
        <v>256.93</v>
      </c>
      <c r="J801" s="26" t="n">
        <v>273.53</v>
      </c>
      <c r="K801" s="26" t="n">
        <v>290.13</v>
      </c>
      <c r="L801" s="26" t="n">
        <v>2.65</v>
      </c>
      <c r="M801" s="27" t="n">
        <v>0.005</v>
      </c>
      <c r="N801" s="27" t="n">
        <v>0.002</v>
      </c>
      <c r="O801" s="26" t="n">
        <v>5</v>
      </c>
      <c r="P801" s="26" t="n">
        <v>5</v>
      </c>
      <c r="Q801" s="28" t="n">
        <v>100</v>
      </c>
      <c r="R801" s="26" t="n">
        <v>30</v>
      </c>
      <c r="S801" s="26" t="n">
        <v>0</v>
      </c>
      <c r="T801" s="28" t="n">
        <v>1</v>
      </c>
      <c r="U801" s="26" t="n">
        <v>0</v>
      </c>
      <c r="V801" s="26" t="n">
        <v>0</v>
      </c>
      <c r="W801" s="22" t="s">
        <v>18</v>
      </c>
      <c r="X801" s="22" t="s">
        <v>373</v>
      </c>
    </row>
    <row r="802" customFormat="false" ht="15" hidden="false" customHeight="false" outlineLevel="0" collapsed="false">
      <c r="A802" s="22" t="s">
        <v>3444</v>
      </c>
      <c r="B802" s="22" t="s">
        <v>18</v>
      </c>
      <c r="C802" s="22" t="s">
        <v>3445</v>
      </c>
      <c r="D802" s="22" t="s">
        <v>3446</v>
      </c>
      <c r="E802" s="22" t="s">
        <v>3447</v>
      </c>
      <c r="F802" s="22" t="n">
        <v>17</v>
      </c>
      <c r="G802" s="26" t="n">
        <v>212.67</v>
      </c>
      <c r="H802" s="26" t="n">
        <v>234.8</v>
      </c>
      <c r="I802" s="26" t="n">
        <v>256.93</v>
      </c>
      <c r="J802" s="26" t="n">
        <v>273.53</v>
      </c>
      <c r="K802" s="26" t="n">
        <v>290.13</v>
      </c>
      <c r="L802" s="26" t="n">
        <v>2.65</v>
      </c>
      <c r="M802" s="27" t="n">
        <v>0.005</v>
      </c>
      <c r="N802" s="27" t="n">
        <v>0.002</v>
      </c>
      <c r="O802" s="26" t="n">
        <v>5</v>
      </c>
      <c r="P802" s="26" t="n">
        <v>5</v>
      </c>
      <c r="Q802" s="28" t="n">
        <v>100</v>
      </c>
      <c r="R802" s="26" t="n">
        <v>30</v>
      </c>
      <c r="S802" s="26" t="n">
        <v>0</v>
      </c>
      <c r="T802" s="28" t="n">
        <v>1</v>
      </c>
      <c r="U802" s="26" t="n">
        <v>0</v>
      </c>
      <c r="V802" s="26" t="n">
        <v>0</v>
      </c>
      <c r="W802" s="22" t="s">
        <v>18</v>
      </c>
      <c r="X802" s="22" t="s">
        <v>373</v>
      </c>
    </row>
    <row r="803" customFormat="false" ht="15" hidden="false" customHeight="false" outlineLevel="0" collapsed="false">
      <c r="A803" s="22" t="s">
        <v>3448</v>
      </c>
      <c r="B803" s="22" t="s">
        <v>18</v>
      </c>
      <c r="C803" s="22" t="s">
        <v>3449</v>
      </c>
      <c r="D803" s="22" t="s">
        <v>3450</v>
      </c>
      <c r="E803" s="22" t="s">
        <v>3451</v>
      </c>
      <c r="F803" s="22" t="n">
        <v>17</v>
      </c>
      <c r="G803" s="26" t="n">
        <v>212.67</v>
      </c>
      <c r="H803" s="26" t="n">
        <v>234.8</v>
      </c>
      <c r="I803" s="26" t="n">
        <v>256.93</v>
      </c>
      <c r="J803" s="26" t="n">
        <v>273.53</v>
      </c>
      <c r="K803" s="26" t="n">
        <v>290.13</v>
      </c>
      <c r="L803" s="26" t="n">
        <v>2.65</v>
      </c>
      <c r="M803" s="27" t="n">
        <v>0.005</v>
      </c>
      <c r="N803" s="27" t="n">
        <v>0.002</v>
      </c>
      <c r="O803" s="26" t="n">
        <v>5</v>
      </c>
      <c r="P803" s="26" t="n">
        <v>5</v>
      </c>
      <c r="Q803" s="28" t="n">
        <v>100</v>
      </c>
      <c r="R803" s="26" t="n">
        <v>30</v>
      </c>
      <c r="S803" s="26" t="n">
        <v>0</v>
      </c>
      <c r="T803" s="28" t="n">
        <v>1</v>
      </c>
      <c r="U803" s="26" t="n">
        <v>0</v>
      </c>
      <c r="V803" s="26" t="n">
        <v>0</v>
      </c>
      <c r="W803" s="22" t="s">
        <v>18</v>
      </c>
      <c r="X803" s="22" t="s">
        <v>373</v>
      </c>
    </row>
    <row r="804" customFormat="false" ht="15" hidden="false" customHeight="false" outlineLevel="0" collapsed="false">
      <c r="A804" s="22" t="s">
        <v>3452</v>
      </c>
      <c r="B804" s="22" t="s">
        <v>18</v>
      </c>
      <c r="C804" s="22" t="s">
        <v>3453</v>
      </c>
      <c r="D804" s="22" t="s">
        <v>3454</v>
      </c>
      <c r="E804" s="22" t="s">
        <v>3455</v>
      </c>
      <c r="F804" s="22" t="n">
        <v>17</v>
      </c>
      <c r="G804" s="26" t="n">
        <v>212.67</v>
      </c>
      <c r="H804" s="26" t="n">
        <v>234.8</v>
      </c>
      <c r="I804" s="26" t="n">
        <v>256.93</v>
      </c>
      <c r="J804" s="26" t="n">
        <v>273.53</v>
      </c>
      <c r="K804" s="26" t="n">
        <v>290.13</v>
      </c>
      <c r="L804" s="26" t="n">
        <v>2.65</v>
      </c>
      <c r="M804" s="27" t="n">
        <v>0.005</v>
      </c>
      <c r="N804" s="27" t="n">
        <v>0.002</v>
      </c>
      <c r="O804" s="26" t="n">
        <v>5</v>
      </c>
      <c r="P804" s="26" t="n">
        <v>5</v>
      </c>
      <c r="Q804" s="28" t="n">
        <v>100</v>
      </c>
      <c r="R804" s="26" t="n">
        <v>30</v>
      </c>
      <c r="S804" s="26" t="n">
        <v>0</v>
      </c>
      <c r="T804" s="28" t="n">
        <v>1</v>
      </c>
      <c r="U804" s="26" t="n">
        <v>0</v>
      </c>
      <c r="V804" s="26" t="n">
        <v>0</v>
      </c>
      <c r="W804" s="22" t="s">
        <v>18</v>
      </c>
      <c r="X804" s="22" t="s">
        <v>373</v>
      </c>
    </row>
    <row r="805" customFormat="false" ht="15" hidden="false" customHeight="false" outlineLevel="0" collapsed="false">
      <c r="A805" s="22" t="s">
        <v>3456</v>
      </c>
      <c r="B805" s="22" t="s">
        <v>18</v>
      </c>
      <c r="C805" s="22" t="s">
        <v>3457</v>
      </c>
      <c r="D805" s="22" t="s">
        <v>3458</v>
      </c>
      <c r="E805" s="22" t="s">
        <v>3459</v>
      </c>
      <c r="F805" s="22" t="n">
        <v>17</v>
      </c>
      <c r="G805" s="26" t="n">
        <v>212.67</v>
      </c>
      <c r="H805" s="26" t="n">
        <v>234.8</v>
      </c>
      <c r="I805" s="26" t="n">
        <v>256.93</v>
      </c>
      <c r="J805" s="26" t="n">
        <v>273.53</v>
      </c>
      <c r="K805" s="26" t="n">
        <v>290.13</v>
      </c>
      <c r="L805" s="26" t="n">
        <v>2.65</v>
      </c>
      <c r="M805" s="27" t="n">
        <v>0.005</v>
      </c>
      <c r="N805" s="27" t="n">
        <v>0.002</v>
      </c>
      <c r="O805" s="26" t="n">
        <v>5</v>
      </c>
      <c r="P805" s="26" t="n">
        <v>5</v>
      </c>
      <c r="Q805" s="28" t="n">
        <v>100</v>
      </c>
      <c r="R805" s="26" t="n">
        <v>30</v>
      </c>
      <c r="S805" s="26" t="n">
        <v>0</v>
      </c>
      <c r="T805" s="28" t="n">
        <v>1</v>
      </c>
      <c r="U805" s="26" t="n">
        <v>0</v>
      </c>
      <c r="V805" s="26" t="n">
        <v>0</v>
      </c>
      <c r="W805" s="22" t="s">
        <v>18</v>
      </c>
      <c r="X805" s="22" t="s">
        <v>373</v>
      </c>
    </row>
    <row r="806" customFormat="false" ht="15" hidden="false" customHeight="false" outlineLevel="0" collapsed="false">
      <c r="A806" s="22" t="s">
        <v>3460</v>
      </c>
      <c r="B806" s="22" t="s">
        <v>18</v>
      </c>
      <c r="C806" s="22" t="s">
        <v>3461</v>
      </c>
      <c r="D806" s="22" t="s">
        <v>3462</v>
      </c>
      <c r="E806" s="22" t="s">
        <v>3463</v>
      </c>
      <c r="F806" s="22" t="n">
        <v>17</v>
      </c>
      <c r="G806" s="26" t="n">
        <v>212.67</v>
      </c>
      <c r="H806" s="26" t="n">
        <v>234.8</v>
      </c>
      <c r="I806" s="26" t="n">
        <v>256.93</v>
      </c>
      <c r="J806" s="26" t="n">
        <v>273.53</v>
      </c>
      <c r="K806" s="26" t="n">
        <v>290.13</v>
      </c>
      <c r="L806" s="26" t="n">
        <v>2.65</v>
      </c>
      <c r="M806" s="27" t="n">
        <v>0.005</v>
      </c>
      <c r="N806" s="27" t="n">
        <v>0.002</v>
      </c>
      <c r="O806" s="26" t="n">
        <v>5</v>
      </c>
      <c r="P806" s="26" t="n">
        <v>5</v>
      </c>
      <c r="Q806" s="28" t="n">
        <v>100</v>
      </c>
      <c r="R806" s="26" t="n">
        <v>30</v>
      </c>
      <c r="S806" s="26" t="n">
        <v>0</v>
      </c>
      <c r="T806" s="28" t="n">
        <v>1</v>
      </c>
      <c r="U806" s="26" t="n">
        <v>0</v>
      </c>
      <c r="V806" s="26" t="n">
        <v>0</v>
      </c>
      <c r="W806" s="22" t="s">
        <v>18</v>
      </c>
      <c r="X806" s="22" t="s">
        <v>373</v>
      </c>
    </row>
    <row r="807" customFormat="false" ht="15" hidden="false" customHeight="false" outlineLevel="0" collapsed="false">
      <c r="A807" s="22" t="s">
        <v>3464</v>
      </c>
      <c r="B807" s="22" t="s">
        <v>18</v>
      </c>
      <c r="C807" s="22" t="s">
        <v>3465</v>
      </c>
      <c r="D807" s="22" t="s">
        <v>3466</v>
      </c>
      <c r="E807" s="22" t="s">
        <v>3467</v>
      </c>
      <c r="F807" s="22" t="n">
        <v>17</v>
      </c>
      <c r="G807" s="26" t="n">
        <v>212.67</v>
      </c>
      <c r="H807" s="26" t="n">
        <v>234.8</v>
      </c>
      <c r="I807" s="26" t="n">
        <v>256.93</v>
      </c>
      <c r="J807" s="26" t="n">
        <v>273.53</v>
      </c>
      <c r="K807" s="26" t="n">
        <v>290.13</v>
      </c>
      <c r="L807" s="26" t="n">
        <v>2.65</v>
      </c>
      <c r="M807" s="27" t="n">
        <v>0.005</v>
      </c>
      <c r="N807" s="27" t="n">
        <v>0.002</v>
      </c>
      <c r="O807" s="26" t="n">
        <v>5</v>
      </c>
      <c r="P807" s="26" t="n">
        <v>5</v>
      </c>
      <c r="Q807" s="28" t="n">
        <v>100</v>
      </c>
      <c r="R807" s="26" t="n">
        <v>30</v>
      </c>
      <c r="S807" s="26" t="n">
        <v>0</v>
      </c>
      <c r="T807" s="28" t="n">
        <v>1</v>
      </c>
      <c r="U807" s="26" t="n">
        <v>0</v>
      </c>
      <c r="V807" s="26" t="n">
        <v>0</v>
      </c>
      <c r="W807" s="22" t="s">
        <v>18</v>
      </c>
      <c r="X807" s="22" t="s">
        <v>373</v>
      </c>
    </row>
    <row r="808" customFormat="false" ht="15" hidden="false" customHeight="false" outlineLevel="0" collapsed="false">
      <c r="A808" s="22" t="s">
        <v>3468</v>
      </c>
      <c r="B808" s="22" t="s">
        <v>18</v>
      </c>
      <c r="C808" s="22" t="s">
        <v>3469</v>
      </c>
      <c r="D808" s="22" t="s">
        <v>3470</v>
      </c>
      <c r="E808" s="22" t="s">
        <v>3471</v>
      </c>
      <c r="F808" s="22" t="n">
        <v>17</v>
      </c>
      <c r="G808" s="26" t="n">
        <v>212.67</v>
      </c>
      <c r="H808" s="26" t="n">
        <v>234.8</v>
      </c>
      <c r="I808" s="26" t="n">
        <v>256.93</v>
      </c>
      <c r="J808" s="26" t="n">
        <v>273.53</v>
      </c>
      <c r="K808" s="26" t="n">
        <v>290.13</v>
      </c>
      <c r="L808" s="26" t="n">
        <v>2.65</v>
      </c>
      <c r="M808" s="27" t="n">
        <v>0.005</v>
      </c>
      <c r="N808" s="27" t="n">
        <v>0.002</v>
      </c>
      <c r="O808" s="26" t="n">
        <v>5</v>
      </c>
      <c r="P808" s="26" t="n">
        <v>5</v>
      </c>
      <c r="Q808" s="28" t="n">
        <v>100</v>
      </c>
      <c r="R808" s="26" t="n">
        <v>30</v>
      </c>
      <c r="S808" s="26" t="n">
        <v>0</v>
      </c>
      <c r="T808" s="28" t="n">
        <v>1</v>
      </c>
      <c r="U808" s="26" t="n">
        <v>0</v>
      </c>
      <c r="V808" s="26" t="n">
        <v>0</v>
      </c>
      <c r="W808" s="22" t="s">
        <v>18</v>
      </c>
      <c r="X808" s="22" t="s">
        <v>373</v>
      </c>
    </row>
    <row r="809" customFormat="false" ht="15" hidden="false" customHeight="false" outlineLevel="0" collapsed="false">
      <c r="A809" s="22" t="s">
        <v>3472</v>
      </c>
      <c r="B809" s="22" t="s">
        <v>18</v>
      </c>
      <c r="C809" s="22" t="s">
        <v>3473</v>
      </c>
      <c r="D809" s="22" t="s">
        <v>3474</v>
      </c>
      <c r="E809" s="22" t="s">
        <v>3475</v>
      </c>
      <c r="F809" s="22" t="n">
        <v>17</v>
      </c>
      <c r="G809" s="26" t="n">
        <v>212.67</v>
      </c>
      <c r="H809" s="26" t="n">
        <v>234.8</v>
      </c>
      <c r="I809" s="26" t="n">
        <v>256.93</v>
      </c>
      <c r="J809" s="26" t="n">
        <v>273.53</v>
      </c>
      <c r="K809" s="26" t="n">
        <v>290.13</v>
      </c>
      <c r="L809" s="26" t="n">
        <v>2.65</v>
      </c>
      <c r="M809" s="27" t="n">
        <v>0.005</v>
      </c>
      <c r="N809" s="27" t="n">
        <v>0.002</v>
      </c>
      <c r="O809" s="26" t="n">
        <v>5</v>
      </c>
      <c r="P809" s="26" t="n">
        <v>5</v>
      </c>
      <c r="Q809" s="28" t="n">
        <v>100</v>
      </c>
      <c r="R809" s="26" t="n">
        <v>30</v>
      </c>
      <c r="S809" s="26" t="n">
        <v>0</v>
      </c>
      <c r="T809" s="28" t="n">
        <v>1</v>
      </c>
      <c r="U809" s="26" t="n">
        <v>0</v>
      </c>
      <c r="V809" s="26" t="n">
        <v>0</v>
      </c>
      <c r="W809" s="22" t="s">
        <v>18</v>
      </c>
      <c r="X809" s="22" t="s">
        <v>373</v>
      </c>
    </row>
    <row r="810" customFormat="false" ht="15" hidden="false" customHeight="false" outlineLevel="0" collapsed="false">
      <c r="A810" s="22" t="s">
        <v>3476</v>
      </c>
      <c r="B810" s="22" t="s">
        <v>18</v>
      </c>
      <c r="C810" s="22" t="s">
        <v>3477</v>
      </c>
      <c r="D810" s="22" t="s">
        <v>3478</v>
      </c>
      <c r="E810" s="22" t="s">
        <v>3479</v>
      </c>
      <c r="F810" s="22" t="n">
        <v>17</v>
      </c>
      <c r="G810" s="26" t="n">
        <v>212.67</v>
      </c>
      <c r="H810" s="26" t="n">
        <v>234.8</v>
      </c>
      <c r="I810" s="26" t="n">
        <v>256.93</v>
      </c>
      <c r="J810" s="26" t="n">
        <v>273.53</v>
      </c>
      <c r="K810" s="26" t="n">
        <v>290.13</v>
      </c>
      <c r="L810" s="26" t="n">
        <v>2.65</v>
      </c>
      <c r="M810" s="27" t="n">
        <v>0.005</v>
      </c>
      <c r="N810" s="27" t="n">
        <v>0.002</v>
      </c>
      <c r="O810" s="26" t="n">
        <v>5</v>
      </c>
      <c r="P810" s="26" t="n">
        <v>5</v>
      </c>
      <c r="Q810" s="28" t="n">
        <v>100</v>
      </c>
      <c r="R810" s="26" t="n">
        <v>30</v>
      </c>
      <c r="S810" s="26" t="n">
        <v>0</v>
      </c>
      <c r="T810" s="28" t="n">
        <v>1</v>
      </c>
      <c r="U810" s="26" t="n">
        <v>0</v>
      </c>
      <c r="V810" s="26" t="n">
        <v>0</v>
      </c>
      <c r="W810" s="22" t="s">
        <v>18</v>
      </c>
      <c r="X810" s="22" t="s">
        <v>373</v>
      </c>
    </row>
    <row r="811" customFormat="false" ht="15" hidden="false" customHeight="false" outlineLevel="0" collapsed="false">
      <c r="A811" s="22" t="s">
        <v>3480</v>
      </c>
      <c r="B811" s="22" t="s">
        <v>18</v>
      </c>
      <c r="C811" s="22" t="s">
        <v>3481</v>
      </c>
      <c r="D811" s="22" t="s">
        <v>3482</v>
      </c>
      <c r="E811" s="22" t="s">
        <v>3483</v>
      </c>
      <c r="F811" s="22" t="n">
        <v>17</v>
      </c>
      <c r="G811" s="26" t="n">
        <v>212.67</v>
      </c>
      <c r="H811" s="26" t="n">
        <v>234.8</v>
      </c>
      <c r="I811" s="26" t="n">
        <v>256.93</v>
      </c>
      <c r="J811" s="26" t="n">
        <v>273.53</v>
      </c>
      <c r="K811" s="26" t="n">
        <v>290.13</v>
      </c>
      <c r="L811" s="26" t="n">
        <v>2.65</v>
      </c>
      <c r="M811" s="27" t="n">
        <v>0.005</v>
      </c>
      <c r="N811" s="27" t="n">
        <v>0.002</v>
      </c>
      <c r="O811" s="26" t="n">
        <v>5</v>
      </c>
      <c r="P811" s="26" t="n">
        <v>5</v>
      </c>
      <c r="Q811" s="28" t="n">
        <v>100</v>
      </c>
      <c r="R811" s="26" t="n">
        <v>30</v>
      </c>
      <c r="S811" s="26" t="n">
        <v>0</v>
      </c>
      <c r="T811" s="28" t="n">
        <v>1</v>
      </c>
      <c r="U811" s="26" t="n">
        <v>0</v>
      </c>
      <c r="V811" s="26" t="n">
        <v>0</v>
      </c>
      <c r="W811" s="22" t="s">
        <v>18</v>
      </c>
      <c r="X811" s="22" t="s">
        <v>373</v>
      </c>
    </row>
    <row r="812" customFormat="false" ht="15" hidden="false" customHeight="false" outlineLevel="0" collapsed="false">
      <c r="A812" s="22" t="s">
        <v>3484</v>
      </c>
      <c r="B812" s="22" t="s">
        <v>18</v>
      </c>
      <c r="C812" s="22" t="s">
        <v>3485</v>
      </c>
      <c r="D812" s="22" t="s">
        <v>3486</v>
      </c>
      <c r="E812" s="22" t="s">
        <v>3487</v>
      </c>
      <c r="F812" s="22" t="n">
        <v>17</v>
      </c>
      <c r="G812" s="26" t="n">
        <v>212.67</v>
      </c>
      <c r="H812" s="26" t="n">
        <v>234.8</v>
      </c>
      <c r="I812" s="26" t="n">
        <v>256.93</v>
      </c>
      <c r="J812" s="26" t="n">
        <v>273.53</v>
      </c>
      <c r="K812" s="26" t="n">
        <v>290.13</v>
      </c>
      <c r="L812" s="26" t="n">
        <v>2.65</v>
      </c>
      <c r="M812" s="27" t="n">
        <v>0.005</v>
      </c>
      <c r="N812" s="27" t="n">
        <v>0.002</v>
      </c>
      <c r="O812" s="26" t="n">
        <v>5</v>
      </c>
      <c r="P812" s="26" t="n">
        <v>5</v>
      </c>
      <c r="Q812" s="28" t="n">
        <v>100</v>
      </c>
      <c r="R812" s="26" t="n">
        <v>30</v>
      </c>
      <c r="S812" s="26" t="n">
        <v>0</v>
      </c>
      <c r="T812" s="28" t="n">
        <v>1</v>
      </c>
      <c r="U812" s="26" t="n">
        <v>0</v>
      </c>
      <c r="V812" s="26" t="n">
        <v>400</v>
      </c>
      <c r="W812" s="22" t="s">
        <v>18</v>
      </c>
      <c r="X812" s="22" t="s">
        <v>373</v>
      </c>
    </row>
    <row r="813" customFormat="false" ht="15" hidden="false" customHeight="false" outlineLevel="0" collapsed="false">
      <c r="A813" s="22" t="s">
        <v>3488</v>
      </c>
      <c r="B813" s="22" t="s">
        <v>18</v>
      </c>
      <c r="C813" s="22" t="s">
        <v>3489</v>
      </c>
      <c r="D813" s="22" t="s">
        <v>3490</v>
      </c>
      <c r="E813" s="22" t="s">
        <v>3491</v>
      </c>
      <c r="F813" s="22" t="n">
        <v>17</v>
      </c>
      <c r="G813" s="26" t="n">
        <v>212.67</v>
      </c>
      <c r="H813" s="26" t="n">
        <v>234.8</v>
      </c>
      <c r="I813" s="26" t="n">
        <v>256.93</v>
      </c>
      <c r="J813" s="26" t="n">
        <v>273.53</v>
      </c>
      <c r="K813" s="26" t="n">
        <v>290.13</v>
      </c>
      <c r="L813" s="26" t="n">
        <v>2.65</v>
      </c>
      <c r="M813" s="27" t="n">
        <v>0.005</v>
      </c>
      <c r="N813" s="27" t="n">
        <v>0.002</v>
      </c>
      <c r="O813" s="26" t="n">
        <v>5</v>
      </c>
      <c r="P813" s="26" t="n">
        <v>5</v>
      </c>
      <c r="Q813" s="28" t="n">
        <v>100</v>
      </c>
      <c r="R813" s="26" t="n">
        <v>30</v>
      </c>
      <c r="S813" s="26" t="n">
        <v>0</v>
      </c>
      <c r="T813" s="28" t="n">
        <v>1</v>
      </c>
      <c r="U813" s="26" t="n">
        <v>0</v>
      </c>
      <c r="V813" s="26" t="n">
        <v>0</v>
      </c>
      <c r="W813" s="22" t="s">
        <v>18</v>
      </c>
      <c r="X813" s="22" t="s">
        <v>373</v>
      </c>
    </row>
    <row r="814" customFormat="false" ht="15" hidden="false" customHeight="false" outlineLevel="0" collapsed="false">
      <c r="A814" s="22" t="s">
        <v>3492</v>
      </c>
      <c r="B814" s="22" t="s">
        <v>18</v>
      </c>
      <c r="C814" s="22" t="s">
        <v>3493</v>
      </c>
      <c r="D814" s="22" t="s">
        <v>3494</v>
      </c>
      <c r="E814" s="22" t="s">
        <v>3495</v>
      </c>
      <c r="F814" s="22" t="n">
        <v>17</v>
      </c>
      <c r="G814" s="26" t="n">
        <v>212.67</v>
      </c>
      <c r="H814" s="26" t="n">
        <v>234.8</v>
      </c>
      <c r="I814" s="26" t="n">
        <v>256.93</v>
      </c>
      <c r="J814" s="26" t="n">
        <v>273.53</v>
      </c>
      <c r="K814" s="26" t="n">
        <v>290.13</v>
      </c>
      <c r="L814" s="26" t="n">
        <v>2.65</v>
      </c>
      <c r="M814" s="27" t="n">
        <v>0.005</v>
      </c>
      <c r="N814" s="27" t="n">
        <v>0.002</v>
      </c>
      <c r="O814" s="26" t="n">
        <v>5</v>
      </c>
      <c r="P814" s="26" t="n">
        <v>5</v>
      </c>
      <c r="Q814" s="28" t="n">
        <v>100</v>
      </c>
      <c r="R814" s="26" t="n">
        <v>30</v>
      </c>
      <c r="S814" s="26" t="n">
        <v>0</v>
      </c>
      <c r="T814" s="28" t="n">
        <v>1</v>
      </c>
      <c r="U814" s="26" t="n">
        <v>0</v>
      </c>
      <c r="V814" s="26" t="n">
        <v>400</v>
      </c>
      <c r="W814" s="22" t="s">
        <v>18</v>
      </c>
      <c r="X814" s="22" t="s">
        <v>373</v>
      </c>
    </row>
    <row r="815" customFormat="false" ht="15" hidden="false" customHeight="false" outlineLevel="0" collapsed="false">
      <c r="A815" s="22" t="s">
        <v>3496</v>
      </c>
      <c r="B815" s="22" t="s">
        <v>18</v>
      </c>
      <c r="C815" s="22" t="s">
        <v>3497</v>
      </c>
      <c r="D815" s="22" t="s">
        <v>3498</v>
      </c>
      <c r="E815" s="22" t="s">
        <v>3499</v>
      </c>
      <c r="F815" s="22" t="n">
        <v>17</v>
      </c>
      <c r="G815" s="26" t="n">
        <v>212.67</v>
      </c>
      <c r="H815" s="26" t="n">
        <v>234.8</v>
      </c>
      <c r="I815" s="26" t="n">
        <v>256.93</v>
      </c>
      <c r="J815" s="26" t="n">
        <v>273.53</v>
      </c>
      <c r="K815" s="26" t="n">
        <v>290.13</v>
      </c>
      <c r="L815" s="26" t="n">
        <v>2.65</v>
      </c>
      <c r="M815" s="27" t="n">
        <v>0.005</v>
      </c>
      <c r="N815" s="27" t="n">
        <v>0.002</v>
      </c>
      <c r="O815" s="26" t="n">
        <v>5</v>
      </c>
      <c r="P815" s="26" t="n">
        <v>5</v>
      </c>
      <c r="Q815" s="28" t="n">
        <v>100</v>
      </c>
      <c r="R815" s="26" t="n">
        <v>30</v>
      </c>
      <c r="S815" s="26" t="n">
        <v>0</v>
      </c>
      <c r="T815" s="28" t="n">
        <v>1</v>
      </c>
      <c r="U815" s="26" t="n">
        <v>0</v>
      </c>
      <c r="V815" s="26" t="n">
        <v>400</v>
      </c>
      <c r="W815" s="22" t="s">
        <v>18</v>
      </c>
      <c r="X815" s="22" t="s">
        <v>373</v>
      </c>
    </row>
    <row r="816" customFormat="false" ht="15" hidden="false" customHeight="false" outlineLevel="0" collapsed="false">
      <c r="A816" s="22" t="s">
        <v>3500</v>
      </c>
      <c r="B816" s="22" t="s">
        <v>18</v>
      </c>
      <c r="C816" s="22" t="s">
        <v>3501</v>
      </c>
      <c r="D816" s="22" t="s">
        <v>3502</v>
      </c>
      <c r="E816" s="22" t="s">
        <v>3503</v>
      </c>
      <c r="F816" s="22" t="n">
        <v>17</v>
      </c>
      <c r="G816" s="26" t="n">
        <v>212.67</v>
      </c>
      <c r="H816" s="26" t="n">
        <v>234.8</v>
      </c>
      <c r="I816" s="26" t="n">
        <v>256.93</v>
      </c>
      <c r="J816" s="26" t="n">
        <v>273.53</v>
      </c>
      <c r="K816" s="26" t="n">
        <v>290.13</v>
      </c>
      <c r="L816" s="26" t="n">
        <v>2.65</v>
      </c>
      <c r="M816" s="27" t="n">
        <v>0.005</v>
      </c>
      <c r="N816" s="27" t="n">
        <v>0.002</v>
      </c>
      <c r="O816" s="26" t="n">
        <v>5</v>
      </c>
      <c r="P816" s="26" t="n">
        <v>5</v>
      </c>
      <c r="Q816" s="28" t="n">
        <v>100</v>
      </c>
      <c r="R816" s="26" t="n">
        <v>30</v>
      </c>
      <c r="S816" s="26" t="n">
        <v>0</v>
      </c>
      <c r="T816" s="28" t="n">
        <v>1</v>
      </c>
      <c r="U816" s="26" t="n">
        <v>0</v>
      </c>
      <c r="V816" s="26" t="n">
        <v>0</v>
      </c>
      <c r="W816" s="22" t="s">
        <v>18</v>
      </c>
      <c r="X816" s="22" t="s">
        <v>373</v>
      </c>
    </row>
    <row r="817" customFormat="false" ht="15" hidden="false" customHeight="false" outlineLevel="0" collapsed="false">
      <c r="A817" s="22" t="s">
        <v>3504</v>
      </c>
      <c r="B817" s="22" t="s">
        <v>18</v>
      </c>
      <c r="C817" s="22" t="s">
        <v>3505</v>
      </c>
      <c r="D817" s="22" t="s">
        <v>3506</v>
      </c>
      <c r="E817" s="22" t="s">
        <v>3507</v>
      </c>
      <c r="F817" s="22" t="n">
        <v>17</v>
      </c>
      <c r="G817" s="26" t="n">
        <v>212.67</v>
      </c>
      <c r="H817" s="26" t="n">
        <v>234.8</v>
      </c>
      <c r="I817" s="26" t="n">
        <v>256.93</v>
      </c>
      <c r="J817" s="26" t="n">
        <v>273.53</v>
      </c>
      <c r="K817" s="26" t="n">
        <v>290.13</v>
      </c>
      <c r="L817" s="26" t="n">
        <v>2.65</v>
      </c>
      <c r="M817" s="27" t="n">
        <v>0.005</v>
      </c>
      <c r="N817" s="27" t="n">
        <v>0.002</v>
      </c>
      <c r="O817" s="26" t="n">
        <v>5</v>
      </c>
      <c r="P817" s="26" t="n">
        <v>5</v>
      </c>
      <c r="Q817" s="28" t="n">
        <v>100</v>
      </c>
      <c r="R817" s="26" t="n">
        <v>30</v>
      </c>
      <c r="S817" s="26" t="n">
        <v>0</v>
      </c>
      <c r="T817" s="28" t="n">
        <v>1</v>
      </c>
      <c r="U817" s="26" t="n">
        <v>0</v>
      </c>
      <c r="V817" s="26" t="n">
        <v>0</v>
      </c>
      <c r="W817" s="22" t="s">
        <v>18</v>
      </c>
      <c r="X817" s="22" t="s">
        <v>373</v>
      </c>
    </row>
    <row r="818" customFormat="false" ht="15" hidden="false" customHeight="false" outlineLevel="0" collapsed="false">
      <c r="A818" s="22" t="s">
        <v>3508</v>
      </c>
      <c r="B818" s="22" t="s">
        <v>18</v>
      </c>
      <c r="C818" s="22" t="s">
        <v>3509</v>
      </c>
      <c r="D818" s="22" t="s">
        <v>3510</v>
      </c>
      <c r="E818" s="22" t="s">
        <v>3511</v>
      </c>
      <c r="F818" s="22" t="n">
        <v>17</v>
      </c>
      <c r="G818" s="26" t="n">
        <v>212.67</v>
      </c>
      <c r="H818" s="26" t="n">
        <v>234.8</v>
      </c>
      <c r="I818" s="26" t="n">
        <v>256.93</v>
      </c>
      <c r="J818" s="26" t="n">
        <v>273.53</v>
      </c>
      <c r="K818" s="26" t="n">
        <v>290.13</v>
      </c>
      <c r="L818" s="26" t="n">
        <v>2.65</v>
      </c>
      <c r="M818" s="27" t="n">
        <v>0.005</v>
      </c>
      <c r="N818" s="27" t="n">
        <v>0.002</v>
      </c>
      <c r="O818" s="26" t="n">
        <v>5</v>
      </c>
      <c r="P818" s="26" t="n">
        <v>5</v>
      </c>
      <c r="Q818" s="28" t="n">
        <v>100</v>
      </c>
      <c r="R818" s="26" t="n">
        <v>30</v>
      </c>
      <c r="S818" s="26" t="n">
        <v>0</v>
      </c>
      <c r="T818" s="28" t="n">
        <v>1</v>
      </c>
      <c r="U818" s="26" t="n">
        <v>0</v>
      </c>
      <c r="V818" s="26" t="n">
        <v>0</v>
      </c>
      <c r="W818" s="22" t="s">
        <v>18</v>
      </c>
      <c r="X818" s="22" t="s">
        <v>373</v>
      </c>
    </row>
    <row r="819" customFormat="false" ht="15" hidden="false" customHeight="false" outlineLevel="0" collapsed="false">
      <c r="A819" s="22" t="s">
        <v>3512</v>
      </c>
      <c r="B819" s="22" t="s">
        <v>18</v>
      </c>
      <c r="C819" s="22" t="s">
        <v>3513</v>
      </c>
      <c r="D819" s="22" t="s">
        <v>3514</v>
      </c>
      <c r="E819" s="22" t="s">
        <v>3515</v>
      </c>
      <c r="F819" s="22" t="n">
        <v>17</v>
      </c>
      <c r="G819" s="26" t="n">
        <v>212.67</v>
      </c>
      <c r="H819" s="26" t="n">
        <v>234.8</v>
      </c>
      <c r="I819" s="26" t="n">
        <v>256.93</v>
      </c>
      <c r="J819" s="26" t="n">
        <v>273.53</v>
      </c>
      <c r="K819" s="26" t="n">
        <v>290.13</v>
      </c>
      <c r="L819" s="26" t="n">
        <v>2.65</v>
      </c>
      <c r="M819" s="27" t="n">
        <v>0.005</v>
      </c>
      <c r="N819" s="27" t="n">
        <v>0.002</v>
      </c>
      <c r="O819" s="26" t="n">
        <v>5</v>
      </c>
      <c r="P819" s="26" t="n">
        <v>5</v>
      </c>
      <c r="Q819" s="28" t="n">
        <v>100</v>
      </c>
      <c r="R819" s="26" t="n">
        <v>30</v>
      </c>
      <c r="S819" s="26" t="n">
        <v>0</v>
      </c>
      <c r="T819" s="28" t="n">
        <v>1</v>
      </c>
      <c r="U819" s="26" t="n">
        <v>0</v>
      </c>
      <c r="V819" s="26" t="n">
        <v>0</v>
      </c>
      <c r="W819" s="22" t="s">
        <v>18</v>
      </c>
      <c r="X819" s="22" t="s">
        <v>373</v>
      </c>
    </row>
    <row r="820" customFormat="false" ht="15" hidden="false" customHeight="false" outlineLevel="0" collapsed="false">
      <c r="A820" s="22" t="s">
        <v>3516</v>
      </c>
      <c r="B820" s="22" t="s">
        <v>18</v>
      </c>
      <c r="C820" s="22" t="s">
        <v>3517</v>
      </c>
      <c r="D820" s="22" t="s">
        <v>3518</v>
      </c>
      <c r="E820" s="22" t="s">
        <v>3519</v>
      </c>
      <c r="F820" s="22" t="n">
        <v>17</v>
      </c>
      <c r="G820" s="26" t="n">
        <v>212.67</v>
      </c>
      <c r="H820" s="26" t="n">
        <v>234.8</v>
      </c>
      <c r="I820" s="26" t="n">
        <v>256.93</v>
      </c>
      <c r="J820" s="26" t="n">
        <v>273.53</v>
      </c>
      <c r="K820" s="26" t="n">
        <v>290.13</v>
      </c>
      <c r="L820" s="26" t="n">
        <v>2.65</v>
      </c>
      <c r="M820" s="27" t="n">
        <v>0.005</v>
      </c>
      <c r="N820" s="27" t="n">
        <v>0.002</v>
      </c>
      <c r="O820" s="26" t="n">
        <v>5</v>
      </c>
      <c r="P820" s="26" t="n">
        <v>5</v>
      </c>
      <c r="Q820" s="28" t="n">
        <v>100</v>
      </c>
      <c r="R820" s="26" t="n">
        <v>30</v>
      </c>
      <c r="S820" s="26" t="n">
        <v>0</v>
      </c>
      <c r="T820" s="28" t="n">
        <v>1</v>
      </c>
      <c r="U820" s="26" t="n">
        <v>0</v>
      </c>
      <c r="V820" s="26" t="n">
        <v>0</v>
      </c>
      <c r="W820" s="22" t="s">
        <v>18</v>
      </c>
      <c r="X820" s="22" t="s">
        <v>373</v>
      </c>
    </row>
    <row r="821" customFormat="false" ht="15" hidden="false" customHeight="false" outlineLevel="0" collapsed="false">
      <c r="A821" s="22" t="s">
        <v>3520</v>
      </c>
      <c r="B821" s="22" t="s">
        <v>18</v>
      </c>
      <c r="C821" s="22" t="s">
        <v>3521</v>
      </c>
      <c r="D821" s="22" t="s">
        <v>3522</v>
      </c>
      <c r="E821" s="22" t="s">
        <v>3523</v>
      </c>
      <c r="F821" s="22" t="n">
        <v>17</v>
      </c>
      <c r="G821" s="26" t="n">
        <v>212.67</v>
      </c>
      <c r="H821" s="26" t="n">
        <v>234.8</v>
      </c>
      <c r="I821" s="26" t="n">
        <v>256.93</v>
      </c>
      <c r="J821" s="26" t="n">
        <v>273.53</v>
      </c>
      <c r="K821" s="26" t="n">
        <v>290.13</v>
      </c>
      <c r="L821" s="26" t="n">
        <v>2.65</v>
      </c>
      <c r="M821" s="27" t="n">
        <v>0.005</v>
      </c>
      <c r="N821" s="27" t="n">
        <v>0.002</v>
      </c>
      <c r="O821" s="26" t="n">
        <v>5</v>
      </c>
      <c r="P821" s="26" t="n">
        <v>5</v>
      </c>
      <c r="Q821" s="28" t="n">
        <v>100</v>
      </c>
      <c r="R821" s="26" t="n">
        <v>30</v>
      </c>
      <c r="S821" s="26" t="n">
        <v>0</v>
      </c>
      <c r="T821" s="28" t="n">
        <v>1</v>
      </c>
      <c r="U821" s="26" t="n">
        <v>0</v>
      </c>
      <c r="V821" s="26" t="n">
        <v>0</v>
      </c>
      <c r="W821" s="22" t="s">
        <v>18</v>
      </c>
      <c r="X821" s="22" t="s">
        <v>373</v>
      </c>
    </row>
    <row r="822" customFormat="false" ht="15" hidden="false" customHeight="false" outlineLevel="0" collapsed="false">
      <c r="A822" s="22" t="s">
        <v>3524</v>
      </c>
      <c r="B822" s="22" t="s">
        <v>18</v>
      </c>
      <c r="C822" s="22" t="s">
        <v>3525</v>
      </c>
      <c r="D822" s="22" t="s">
        <v>3526</v>
      </c>
      <c r="E822" s="22" t="s">
        <v>3527</v>
      </c>
      <c r="F822" s="22" t="n">
        <v>17</v>
      </c>
      <c r="G822" s="26" t="n">
        <v>212.67</v>
      </c>
      <c r="H822" s="26" t="n">
        <v>234.8</v>
      </c>
      <c r="I822" s="26" t="n">
        <v>256.93</v>
      </c>
      <c r="J822" s="26" t="n">
        <v>273.53</v>
      </c>
      <c r="K822" s="26" t="n">
        <v>290.13</v>
      </c>
      <c r="L822" s="26" t="n">
        <v>2.65</v>
      </c>
      <c r="M822" s="27" t="n">
        <v>0.005</v>
      </c>
      <c r="N822" s="27" t="n">
        <v>0.002</v>
      </c>
      <c r="O822" s="26" t="n">
        <v>5</v>
      </c>
      <c r="P822" s="26" t="n">
        <v>5</v>
      </c>
      <c r="Q822" s="28" t="n">
        <v>100</v>
      </c>
      <c r="R822" s="26" t="n">
        <v>30</v>
      </c>
      <c r="S822" s="26" t="n">
        <v>0</v>
      </c>
      <c r="T822" s="28" t="n">
        <v>1</v>
      </c>
      <c r="U822" s="26" t="n">
        <v>0</v>
      </c>
      <c r="V822" s="26" t="n">
        <v>0</v>
      </c>
      <c r="W822" s="22" t="s">
        <v>18</v>
      </c>
      <c r="X822" s="22" t="s">
        <v>373</v>
      </c>
    </row>
    <row r="823" customFormat="false" ht="15" hidden="false" customHeight="false" outlineLevel="0" collapsed="false">
      <c r="A823" s="22" t="s">
        <v>3528</v>
      </c>
      <c r="B823" s="22" t="s">
        <v>18</v>
      </c>
      <c r="C823" s="22" t="s">
        <v>114</v>
      </c>
      <c r="D823" s="22" t="s">
        <v>3529</v>
      </c>
      <c r="E823" s="22" t="s">
        <v>3530</v>
      </c>
      <c r="F823" s="22" t="n">
        <v>17</v>
      </c>
      <c r="G823" s="26" t="n">
        <v>212.67</v>
      </c>
      <c r="H823" s="26" t="n">
        <v>234.8</v>
      </c>
      <c r="I823" s="26" t="n">
        <v>256.93</v>
      </c>
      <c r="J823" s="26" t="n">
        <v>273.53</v>
      </c>
      <c r="K823" s="26" t="n">
        <v>290.13</v>
      </c>
      <c r="L823" s="26" t="n">
        <v>2.65</v>
      </c>
      <c r="M823" s="27" t="n">
        <v>0.005</v>
      </c>
      <c r="N823" s="27" t="n">
        <v>0.002</v>
      </c>
      <c r="O823" s="26" t="n">
        <v>5</v>
      </c>
      <c r="P823" s="26" t="n">
        <v>5</v>
      </c>
      <c r="Q823" s="28" t="n">
        <v>100</v>
      </c>
      <c r="R823" s="26" t="n">
        <v>30</v>
      </c>
      <c r="S823" s="26" t="n">
        <v>0</v>
      </c>
      <c r="T823" s="28" t="n">
        <v>1</v>
      </c>
      <c r="U823" s="26" t="n">
        <v>0</v>
      </c>
      <c r="V823" s="26" t="n">
        <v>0</v>
      </c>
      <c r="W823" s="22" t="s">
        <v>18</v>
      </c>
      <c r="X823" s="22" t="s">
        <v>373</v>
      </c>
    </row>
    <row r="824" customFormat="false" ht="15" hidden="false" customHeight="false" outlineLevel="0" collapsed="false">
      <c r="A824" s="22" t="s">
        <v>3531</v>
      </c>
      <c r="B824" s="22" t="s">
        <v>18</v>
      </c>
      <c r="C824" s="22" t="s">
        <v>3532</v>
      </c>
      <c r="D824" s="22" t="s">
        <v>3533</v>
      </c>
      <c r="E824" s="22" t="s">
        <v>3534</v>
      </c>
      <c r="F824" s="22" t="n">
        <v>17</v>
      </c>
      <c r="G824" s="26" t="n">
        <v>212.67</v>
      </c>
      <c r="H824" s="26" t="n">
        <v>234.8</v>
      </c>
      <c r="I824" s="26" t="n">
        <v>256.93</v>
      </c>
      <c r="J824" s="26" t="n">
        <v>273.53</v>
      </c>
      <c r="K824" s="26" t="n">
        <v>290.13</v>
      </c>
      <c r="L824" s="26" t="n">
        <v>2.65</v>
      </c>
      <c r="M824" s="27" t="n">
        <v>0.005</v>
      </c>
      <c r="N824" s="27" t="n">
        <v>0.002</v>
      </c>
      <c r="O824" s="26" t="n">
        <v>5</v>
      </c>
      <c r="P824" s="26" t="n">
        <v>5</v>
      </c>
      <c r="Q824" s="28" t="n">
        <v>100</v>
      </c>
      <c r="R824" s="26" t="n">
        <v>30</v>
      </c>
      <c r="S824" s="26" t="n">
        <v>0</v>
      </c>
      <c r="T824" s="28" t="n">
        <v>1</v>
      </c>
      <c r="U824" s="26" t="n">
        <v>0</v>
      </c>
      <c r="V824" s="26" t="n">
        <v>0</v>
      </c>
      <c r="W824" s="22" t="s">
        <v>18</v>
      </c>
      <c r="X824" s="22" t="s">
        <v>373</v>
      </c>
    </row>
    <row r="825" customFormat="false" ht="15" hidden="false" customHeight="false" outlineLevel="0" collapsed="false">
      <c r="A825" s="22" t="s">
        <v>3535</v>
      </c>
      <c r="B825" s="22" t="s">
        <v>18</v>
      </c>
      <c r="C825" s="22" t="s">
        <v>3536</v>
      </c>
      <c r="D825" s="22" t="s">
        <v>3537</v>
      </c>
      <c r="E825" s="22" t="s">
        <v>3538</v>
      </c>
      <c r="F825" s="22" t="n">
        <v>17</v>
      </c>
      <c r="G825" s="26" t="n">
        <v>212.67</v>
      </c>
      <c r="H825" s="26" t="n">
        <v>234.8</v>
      </c>
      <c r="I825" s="26" t="n">
        <v>256.93</v>
      </c>
      <c r="J825" s="26" t="n">
        <v>273.53</v>
      </c>
      <c r="K825" s="26" t="n">
        <v>290.13</v>
      </c>
      <c r="L825" s="26" t="n">
        <v>2.65</v>
      </c>
      <c r="M825" s="27" t="n">
        <v>0.005</v>
      </c>
      <c r="N825" s="27" t="n">
        <v>0.002</v>
      </c>
      <c r="O825" s="26" t="n">
        <v>5</v>
      </c>
      <c r="P825" s="26" t="n">
        <v>5</v>
      </c>
      <c r="Q825" s="28" t="n">
        <v>100</v>
      </c>
      <c r="R825" s="26" t="n">
        <v>30</v>
      </c>
      <c r="S825" s="26" t="n">
        <v>0</v>
      </c>
      <c r="T825" s="28" t="n">
        <v>1</v>
      </c>
      <c r="U825" s="26" t="n">
        <v>0</v>
      </c>
      <c r="V825" s="26" t="n">
        <v>0</v>
      </c>
      <c r="W825" s="22" t="s">
        <v>18</v>
      </c>
      <c r="X825" s="22" t="s">
        <v>373</v>
      </c>
    </row>
    <row r="826" customFormat="false" ht="15" hidden="false" customHeight="false" outlineLevel="0" collapsed="false">
      <c r="A826" s="22" t="s">
        <v>3539</v>
      </c>
      <c r="B826" s="22" t="s">
        <v>18</v>
      </c>
      <c r="C826" s="22" t="s">
        <v>3540</v>
      </c>
      <c r="D826" s="22" t="s">
        <v>3541</v>
      </c>
      <c r="E826" s="22" t="s">
        <v>3542</v>
      </c>
      <c r="F826" s="22" t="n">
        <v>13</v>
      </c>
      <c r="G826" s="26" t="n">
        <v>212.67</v>
      </c>
      <c r="H826" s="26" t="n">
        <v>234.8</v>
      </c>
      <c r="I826" s="26" t="n">
        <v>256.93</v>
      </c>
      <c r="J826" s="26" t="n">
        <v>273.53</v>
      </c>
      <c r="K826" s="26" t="n">
        <v>290.13</v>
      </c>
      <c r="L826" s="26" t="n">
        <v>2.65</v>
      </c>
      <c r="M826" s="27" t="n">
        <v>0.005</v>
      </c>
      <c r="N826" s="27" t="n">
        <v>0.002</v>
      </c>
      <c r="O826" s="26" t="n">
        <v>5</v>
      </c>
      <c r="P826" s="26" t="n">
        <v>5</v>
      </c>
      <c r="Q826" s="28" t="n">
        <v>100</v>
      </c>
      <c r="R826" s="26" t="n">
        <v>30</v>
      </c>
      <c r="S826" s="26" t="n">
        <v>0</v>
      </c>
      <c r="T826" s="28" t="n">
        <v>1</v>
      </c>
      <c r="U826" s="26" t="n">
        <v>0</v>
      </c>
      <c r="V826" s="26" t="n">
        <v>400</v>
      </c>
      <c r="W826" s="22" t="s">
        <v>18</v>
      </c>
      <c r="X826" s="22" t="s">
        <v>373</v>
      </c>
    </row>
    <row r="827" customFormat="false" ht="15" hidden="false" customHeight="false" outlineLevel="0" collapsed="false">
      <c r="A827" s="22" t="s">
        <v>3543</v>
      </c>
      <c r="B827" s="22" t="s">
        <v>18</v>
      </c>
      <c r="C827" s="22" t="s">
        <v>3544</v>
      </c>
      <c r="D827" s="22" t="s">
        <v>3545</v>
      </c>
      <c r="E827" s="22" t="s">
        <v>3546</v>
      </c>
      <c r="F827" s="22" t="n">
        <v>17</v>
      </c>
      <c r="G827" s="26" t="n">
        <v>212.67</v>
      </c>
      <c r="H827" s="26" t="n">
        <v>234.8</v>
      </c>
      <c r="I827" s="26" t="n">
        <v>256.93</v>
      </c>
      <c r="J827" s="26" t="n">
        <v>273.53</v>
      </c>
      <c r="K827" s="26" t="n">
        <v>290.13</v>
      </c>
      <c r="L827" s="26" t="n">
        <v>2.65</v>
      </c>
      <c r="M827" s="27" t="n">
        <v>0.005</v>
      </c>
      <c r="N827" s="27" t="n">
        <v>0.002</v>
      </c>
      <c r="O827" s="26" t="n">
        <v>5</v>
      </c>
      <c r="P827" s="26" t="n">
        <v>5</v>
      </c>
      <c r="Q827" s="28" t="n">
        <v>100</v>
      </c>
      <c r="R827" s="26" t="n">
        <v>30</v>
      </c>
      <c r="S827" s="26" t="n">
        <v>0</v>
      </c>
      <c r="T827" s="28" t="n">
        <v>1</v>
      </c>
      <c r="U827" s="26" t="n">
        <v>0</v>
      </c>
      <c r="V827" s="26" t="n">
        <v>0</v>
      </c>
      <c r="W827" s="22" t="s">
        <v>18</v>
      </c>
      <c r="X827" s="22" t="s">
        <v>373</v>
      </c>
    </row>
    <row r="828" customFormat="false" ht="15" hidden="false" customHeight="false" outlineLevel="0" collapsed="false">
      <c r="A828" s="22" t="s">
        <v>3547</v>
      </c>
      <c r="B828" s="22" t="s">
        <v>18</v>
      </c>
      <c r="C828" s="22" t="s">
        <v>3548</v>
      </c>
      <c r="D828" s="22" t="s">
        <v>3549</v>
      </c>
      <c r="E828" s="22" t="s">
        <v>3550</v>
      </c>
      <c r="F828" s="22" t="n">
        <v>17</v>
      </c>
      <c r="G828" s="26" t="n">
        <v>212.67</v>
      </c>
      <c r="H828" s="26" t="n">
        <v>234.8</v>
      </c>
      <c r="I828" s="26" t="n">
        <v>256.93</v>
      </c>
      <c r="J828" s="26" t="n">
        <v>273.53</v>
      </c>
      <c r="K828" s="26" t="n">
        <v>290.13</v>
      </c>
      <c r="L828" s="26" t="n">
        <v>2.65</v>
      </c>
      <c r="M828" s="27" t="n">
        <v>0.005</v>
      </c>
      <c r="N828" s="27" t="n">
        <v>0.002</v>
      </c>
      <c r="O828" s="26" t="n">
        <v>5</v>
      </c>
      <c r="P828" s="26" t="n">
        <v>5</v>
      </c>
      <c r="Q828" s="28" t="n">
        <v>100</v>
      </c>
      <c r="R828" s="26" t="n">
        <v>30</v>
      </c>
      <c r="S828" s="26" t="n">
        <v>0</v>
      </c>
      <c r="T828" s="28" t="n">
        <v>1</v>
      </c>
      <c r="U828" s="26" t="n">
        <v>0</v>
      </c>
      <c r="V828" s="26" t="n">
        <v>0</v>
      </c>
      <c r="W828" s="22" t="s">
        <v>18</v>
      </c>
      <c r="X828" s="22" t="s">
        <v>373</v>
      </c>
    </row>
    <row r="829" customFormat="false" ht="15" hidden="false" customHeight="false" outlineLevel="0" collapsed="false">
      <c r="A829" s="22" t="s">
        <v>3551</v>
      </c>
      <c r="B829" s="22" t="s">
        <v>18</v>
      </c>
      <c r="C829" s="22" t="s">
        <v>3552</v>
      </c>
      <c r="D829" s="22" t="s">
        <v>3553</v>
      </c>
      <c r="E829" s="22" t="s">
        <v>3554</v>
      </c>
      <c r="F829" s="22" t="n">
        <v>17</v>
      </c>
      <c r="G829" s="26" t="n">
        <v>212.67</v>
      </c>
      <c r="H829" s="26" t="n">
        <v>234.8</v>
      </c>
      <c r="I829" s="26" t="n">
        <v>256.93</v>
      </c>
      <c r="J829" s="26" t="n">
        <v>273.53</v>
      </c>
      <c r="K829" s="26" t="n">
        <v>290.13</v>
      </c>
      <c r="L829" s="26" t="n">
        <v>2.65</v>
      </c>
      <c r="M829" s="27" t="n">
        <v>0.005</v>
      </c>
      <c r="N829" s="27" t="n">
        <v>0.002</v>
      </c>
      <c r="O829" s="26" t="n">
        <v>5</v>
      </c>
      <c r="P829" s="26" t="n">
        <v>5</v>
      </c>
      <c r="Q829" s="28" t="n">
        <v>100</v>
      </c>
      <c r="R829" s="26" t="n">
        <v>30</v>
      </c>
      <c r="S829" s="26" t="n">
        <v>0</v>
      </c>
      <c r="T829" s="28" t="n">
        <v>1</v>
      </c>
      <c r="U829" s="26" t="n">
        <v>0</v>
      </c>
      <c r="V829" s="26" t="n">
        <v>0</v>
      </c>
      <c r="W829" s="22" t="s">
        <v>18</v>
      </c>
      <c r="X829" s="22" t="s">
        <v>373</v>
      </c>
    </row>
    <row r="830" customFormat="false" ht="15" hidden="false" customHeight="false" outlineLevel="0" collapsed="false">
      <c r="A830" s="22" t="s">
        <v>3555</v>
      </c>
      <c r="B830" s="22" t="s">
        <v>18</v>
      </c>
      <c r="C830" s="22" t="s">
        <v>3556</v>
      </c>
      <c r="D830" s="22" t="s">
        <v>3557</v>
      </c>
      <c r="E830" s="22" t="s">
        <v>3558</v>
      </c>
      <c r="F830" s="22" t="n">
        <v>17</v>
      </c>
      <c r="G830" s="26" t="n">
        <v>212.67</v>
      </c>
      <c r="H830" s="26" t="n">
        <v>234.8</v>
      </c>
      <c r="I830" s="26" t="n">
        <v>256.93</v>
      </c>
      <c r="J830" s="26" t="n">
        <v>273.53</v>
      </c>
      <c r="K830" s="26" t="n">
        <v>290.13</v>
      </c>
      <c r="L830" s="26" t="n">
        <v>2.65</v>
      </c>
      <c r="M830" s="27" t="n">
        <v>0.005</v>
      </c>
      <c r="N830" s="27" t="n">
        <v>0.002</v>
      </c>
      <c r="O830" s="26" t="n">
        <v>5</v>
      </c>
      <c r="P830" s="26" t="n">
        <v>5</v>
      </c>
      <c r="Q830" s="28" t="n">
        <v>100</v>
      </c>
      <c r="R830" s="26" t="n">
        <v>30</v>
      </c>
      <c r="S830" s="26" t="n">
        <v>0</v>
      </c>
      <c r="T830" s="28" t="n">
        <v>1</v>
      </c>
      <c r="U830" s="26" t="n">
        <v>0</v>
      </c>
      <c r="V830" s="26" t="n">
        <v>0</v>
      </c>
      <c r="W830" s="22" t="s">
        <v>18</v>
      </c>
      <c r="X830" s="22" t="s">
        <v>373</v>
      </c>
    </row>
    <row r="831" customFormat="false" ht="15" hidden="false" customHeight="false" outlineLevel="0" collapsed="false">
      <c r="A831" s="22" t="s">
        <v>3559</v>
      </c>
      <c r="B831" s="22" t="s">
        <v>18</v>
      </c>
      <c r="C831" s="22" t="s">
        <v>3560</v>
      </c>
      <c r="D831" s="22" t="s">
        <v>3561</v>
      </c>
      <c r="E831" s="22" t="s">
        <v>3562</v>
      </c>
      <c r="F831" s="22" t="n">
        <v>17</v>
      </c>
      <c r="G831" s="26" t="n">
        <v>212.67</v>
      </c>
      <c r="H831" s="26" t="n">
        <v>234.8</v>
      </c>
      <c r="I831" s="26" t="n">
        <v>256.93</v>
      </c>
      <c r="J831" s="26" t="n">
        <v>273.53</v>
      </c>
      <c r="K831" s="26" t="n">
        <v>290.13</v>
      </c>
      <c r="L831" s="26" t="n">
        <v>2.65</v>
      </c>
      <c r="M831" s="27" t="n">
        <v>0.005</v>
      </c>
      <c r="N831" s="27" t="n">
        <v>0.002</v>
      </c>
      <c r="O831" s="26" t="n">
        <v>5</v>
      </c>
      <c r="P831" s="26" t="n">
        <v>5</v>
      </c>
      <c r="Q831" s="28" t="n">
        <v>100</v>
      </c>
      <c r="R831" s="26" t="n">
        <v>30</v>
      </c>
      <c r="S831" s="26" t="n">
        <v>0</v>
      </c>
      <c r="T831" s="28" t="n">
        <v>1</v>
      </c>
      <c r="U831" s="26" t="n">
        <v>0</v>
      </c>
      <c r="V831" s="26" t="n">
        <v>0</v>
      </c>
      <c r="W831" s="22" t="s">
        <v>18</v>
      </c>
      <c r="X831" s="22" t="s">
        <v>373</v>
      </c>
    </row>
    <row r="832" customFormat="false" ht="15" hidden="false" customHeight="false" outlineLevel="0" collapsed="false">
      <c r="A832" s="22" t="s">
        <v>3563</v>
      </c>
      <c r="B832" s="22" t="s">
        <v>18</v>
      </c>
      <c r="C832" s="22" t="s">
        <v>3564</v>
      </c>
      <c r="D832" s="22" t="s">
        <v>3565</v>
      </c>
      <c r="E832" s="22" t="s">
        <v>3566</v>
      </c>
      <c r="F832" s="22" t="n">
        <v>17</v>
      </c>
      <c r="G832" s="26" t="n">
        <v>212.67</v>
      </c>
      <c r="H832" s="26" t="n">
        <v>234.8</v>
      </c>
      <c r="I832" s="26" t="n">
        <v>256.93</v>
      </c>
      <c r="J832" s="26" t="n">
        <v>273.53</v>
      </c>
      <c r="K832" s="26" t="n">
        <v>290.13</v>
      </c>
      <c r="L832" s="26" t="n">
        <v>2.65</v>
      </c>
      <c r="M832" s="27" t="n">
        <v>0.005</v>
      </c>
      <c r="N832" s="27" t="n">
        <v>0.002</v>
      </c>
      <c r="O832" s="26" t="n">
        <v>5</v>
      </c>
      <c r="P832" s="26" t="n">
        <v>5</v>
      </c>
      <c r="Q832" s="28" t="n">
        <v>100</v>
      </c>
      <c r="R832" s="26" t="n">
        <v>30</v>
      </c>
      <c r="S832" s="26" t="n">
        <v>0</v>
      </c>
      <c r="T832" s="28" t="n">
        <v>1</v>
      </c>
      <c r="U832" s="26" t="n">
        <v>0</v>
      </c>
      <c r="V832" s="26" t="n">
        <v>400</v>
      </c>
      <c r="W832" s="22" t="s">
        <v>18</v>
      </c>
      <c r="X832" s="22" t="s">
        <v>373</v>
      </c>
    </row>
    <row r="833" customFormat="false" ht="15" hidden="false" customHeight="false" outlineLevel="0" collapsed="false">
      <c r="A833" s="22" t="s">
        <v>3567</v>
      </c>
      <c r="B833" s="22" t="s">
        <v>18</v>
      </c>
      <c r="C833" s="22" t="s">
        <v>3568</v>
      </c>
      <c r="D833" s="22" t="s">
        <v>3569</v>
      </c>
      <c r="E833" s="22" t="s">
        <v>3570</v>
      </c>
      <c r="F833" s="22" t="n">
        <v>17</v>
      </c>
      <c r="G833" s="26" t="n">
        <v>212.67</v>
      </c>
      <c r="H833" s="26" t="n">
        <v>234.8</v>
      </c>
      <c r="I833" s="26" t="n">
        <v>256.93</v>
      </c>
      <c r="J833" s="26" t="n">
        <v>273.53</v>
      </c>
      <c r="K833" s="26" t="n">
        <v>290.13</v>
      </c>
      <c r="L833" s="26" t="n">
        <v>2.65</v>
      </c>
      <c r="M833" s="27" t="n">
        <v>0.005</v>
      </c>
      <c r="N833" s="27" t="n">
        <v>0.002</v>
      </c>
      <c r="O833" s="26" t="n">
        <v>5</v>
      </c>
      <c r="P833" s="26" t="n">
        <v>5</v>
      </c>
      <c r="Q833" s="28" t="n">
        <v>100</v>
      </c>
      <c r="R833" s="26" t="n">
        <v>30</v>
      </c>
      <c r="S833" s="26" t="n">
        <v>0</v>
      </c>
      <c r="T833" s="28" t="n">
        <v>1</v>
      </c>
      <c r="U833" s="26" t="n">
        <v>0</v>
      </c>
      <c r="V833" s="26" t="n">
        <v>0</v>
      </c>
      <c r="W833" s="22" t="s">
        <v>18</v>
      </c>
      <c r="X833" s="22" t="s">
        <v>373</v>
      </c>
    </row>
    <row r="834" customFormat="false" ht="15" hidden="false" customHeight="false" outlineLevel="0" collapsed="false">
      <c r="A834" s="22" t="s">
        <v>3571</v>
      </c>
      <c r="B834" s="22" t="s">
        <v>18</v>
      </c>
      <c r="C834" s="22" t="s">
        <v>3572</v>
      </c>
      <c r="D834" s="22" t="s">
        <v>3573</v>
      </c>
      <c r="E834" s="22" t="s">
        <v>3574</v>
      </c>
      <c r="F834" s="22" t="n">
        <v>17</v>
      </c>
      <c r="G834" s="26" t="n">
        <v>212.67</v>
      </c>
      <c r="H834" s="26" t="n">
        <v>234.8</v>
      </c>
      <c r="I834" s="26" t="n">
        <v>256.93</v>
      </c>
      <c r="J834" s="26" t="n">
        <v>273.53</v>
      </c>
      <c r="K834" s="26" t="n">
        <v>290.13</v>
      </c>
      <c r="L834" s="26" t="n">
        <v>2.65</v>
      </c>
      <c r="M834" s="27" t="n">
        <v>0.005</v>
      </c>
      <c r="N834" s="27" t="n">
        <v>0.002</v>
      </c>
      <c r="O834" s="26" t="n">
        <v>5</v>
      </c>
      <c r="P834" s="26" t="n">
        <v>5</v>
      </c>
      <c r="Q834" s="28" t="n">
        <v>100</v>
      </c>
      <c r="R834" s="26" t="n">
        <v>30</v>
      </c>
      <c r="S834" s="26" t="n">
        <v>0</v>
      </c>
      <c r="T834" s="28" t="n">
        <v>1</v>
      </c>
      <c r="U834" s="26" t="n">
        <v>0</v>
      </c>
      <c r="V834" s="26" t="n">
        <v>0</v>
      </c>
      <c r="W834" s="22" t="s">
        <v>18</v>
      </c>
      <c r="X834" s="22" t="s">
        <v>373</v>
      </c>
    </row>
    <row r="835" customFormat="false" ht="15" hidden="false" customHeight="false" outlineLevel="0" collapsed="false">
      <c r="A835" s="22" t="s">
        <v>3575</v>
      </c>
      <c r="B835" s="22" t="s">
        <v>18</v>
      </c>
      <c r="C835" s="22" t="s">
        <v>3576</v>
      </c>
      <c r="D835" s="22" t="s">
        <v>3577</v>
      </c>
      <c r="E835" s="22" t="s">
        <v>3578</v>
      </c>
      <c r="F835" s="22" t="n">
        <v>17</v>
      </c>
      <c r="G835" s="26" t="n">
        <v>212.67</v>
      </c>
      <c r="H835" s="26" t="n">
        <v>234.8</v>
      </c>
      <c r="I835" s="26" t="n">
        <v>256.93</v>
      </c>
      <c r="J835" s="26" t="n">
        <v>273.53</v>
      </c>
      <c r="K835" s="26" t="n">
        <v>290.13</v>
      </c>
      <c r="L835" s="26" t="n">
        <v>2.65</v>
      </c>
      <c r="M835" s="27" t="n">
        <v>0.005</v>
      </c>
      <c r="N835" s="27" t="n">
        <v>0.002</v>
      </c>
      <c r="O835" s="26" t="n">
        <v>5</v>
      </c>
      <c r="P835" s="26" t="n">
        <v>5</v>
      </c>
      <c r="Q835" s="28" t="n">
        <v>100</v>
      </c>
      <c r="R835" s="26" t="n">
        <v>30</v>
      </c>
      <c r="S835" s="26" t="n">
        <v>0</v>
      </c>
      <c r="T835" s="28" t="n">
        <v>1</v>
      </c>
      <c r="U835" s="26" t="n">
        <v>0</v>
      </c>
      <c r="V835" s="26" t="n">
        <v>0</v>
      </c>
      <c r="W835" s="22" t="s">
        <v>18</v>
      </c>
      <c r="X835" s="22" t="s">
        <v>373</v>
      </c>
    </row>
    <row r="836" customFormat="false" ht="15" hidden="false" customHeight="false" outlineLevel="0" collapsed="false">
      <c r="A836" s="22" t="s">
        <v>3579</v>
      </c>
      <c r="B836" s="22" t="s">
        <v>18</v>
      </c>
      <c r="C836" s="22" t="s">
        <v>3580</v>
      </c>
      <c r="D836" s="22" t="s">
        <v>3581</v>
      </c>
      <c r="E836" s="22" t="s">
        <v>3582</v>
      </c>
      <c r="F836" s="22" t="n">
        <v>17</v>
      </c>
      <c r="G836" s="26" t="n">
        <v>212.67</v>
      </c>
      <c r="H836" s="26" t="n">
        <v>234.8</v>
      </c>
      <c r="I836" s="26" t="n">
        <v>256.93</v>
      </c>
      <c r="J836" s="26" t="n">
        <v>273.53</v>
      </c>
      <c r="K836" s="26" t="n">
        <v>290.13</v>
      </c>
      <c r="L836" s="26" t="n">
        <v>2.65</v>
      </c>
      <c r="M836" s="27" t="n">
        <v>0.005</v>
      </c>
      <c r="N836" s="27" t="n">
        <v>0.002</v>
      </c>
      <c r="O836" s="26" t="n">
        <v>5</v>
      </c>
      <c r="P836" s="26" t="n">
        <v>5</v>
      </c>
      <c r="Q836" s="28" t="n">
        <v>100</v>
      </c>
      <c r="R836" s="26" t="n">
        <v>30</v>
      </c>
      <c r="S836" s="26" t="n">
        <v>0</v>
      </c>
      <c r="T836" s="28" t="n">
        <v>1</v>
      </c>
      <c r="U836" s="26" t="n">
        <v>0</v>
      </c>
      <c r="V836" s="26" t="n">
        <v>0</v>
      </c>
      <c r="W836" s="22" t="s">
        <v>18</v>
      </c>
      <c r="X836" s="22" t="s">
        <v>373</v>
      </c>
    </row>
    <row r="837" customFormat="false" ht="15" hidden="false" customHeight="false" outlineLevel="0" collapsed="false">
      <c r="A837" s="22" t="s">
        <v>3583</v>
      </c>
      <c r="B837" s="22" t="s">
        <v>18</v>
      </c>
      <c r="C837" s="22" t="s">
        <v>124</v>
      </c>
      <c r="D837" s="22" t="s">
        <v>3584</v>
      </c>
      <c r="E837" s="22" t="s">
        <v>3585</v>
      </c>
      <c r="F837" s="22" t="n">
        <v>17</v>
      </c>
      <c r="G837" s="26" t="n">
        <v>212.67</v>
      </c>
      <c r="H837" s="26" t="n">
        <v>234.8</v>
      </c>
      <c r="I837" s="26" t="n">
        <v>256.93</v>
      </c>
      <c r="J837" s="26" t="n">
        <v>273.53</v>
      </c>
      <c r="K837" s="26" t="n">
        <v>290.13</v>
      </c>
      <c r="L837" s="26" t="n">
        <v>2.65</v>
      </c>
      <c r="M837" s="27" t="n">
        <v>0.005</v>
      </c>
      <c r="N837" s="27" t="n">
        <v>0.002</v>
      </c>
      <c r="O837" s="26" t="n">
        <v>5</v>
      </c>
      <c r="P837" s="26" t="n">
        <v>5</v>
      </c>
      <c r="Q837" s="28" t="n">
        <v>100</v>
      </c>
      <c r="R837" s="26" t="n">
        <v>30</v>
      </c>
      <c r="S837" s="26" t="n">
        <v>0</v>
      </c>
      <c r="T837" s="28" t="n">
        <v>1</v>
      </c>
      <c r="U837" s="26" t="n">
        <v>0</v>
      </c>
      <c r="V837" s="26" t="n">
        <v>0</v>
      </c>
      <c r="W837" s="22" t="s">
        <v>18</v>
      </c>
      <c r="X837" s="22" t="s">
        <v>373</v>
      </c>
    </row>
    <row r="838" customFormat="false" ht="15" hidden="false" customHeight="false" outlineLevel="0" collapsed="false">
      <c r="A838" s="22" t="s">
        <v>3586</v>
      </c>
      <c r="B838" s="22" t="s">
        <v>18</v>
      </c>
      <c r="C838" s="22" t="s">
        <v>3587</v>
      </c>
      <c r="D838" s="22" t="s">
        <v>3588</v>
      </c>
      <c r="E838" s="22" t="s">
        <v>3589</v>
      </c>
      <c r="F838" s="22" t="n">
        <v>17</v>
      </c>
      <c r="G838" s="26" t="n">
        <v>212.67</v>
      </c>
      <c r="H838" s="26" t="n">
        <v>234.8</v>
      </c>
      <c r="I838" s="26" t="n">
        <v>256.93</v>
      </c>
      <c r="J838" s="26" t="n">
        <v>273.53</v>
      </c>
      <c r="K838" s="26" t="n">
        <v>290.13</v>
      </c>
      <c r="L838" s="26" t="n">
        <v>2.65</v>
      </c>
      <c r="M838" s="27" t="n">
        <v>0.005</v>
      </c>
      <c r="N838" s="27" t="n">
        <v>0.002</v>
      </c>
      <c r="O838" s="26" t="n">
        <v>5</v>
      </c>
      <c r="P838" s="26" t="n">
        <v>5</v>
      </c>
      <c r="Q838" s="28" t="n">
        <v>100</v>
      </c>
      <c r="R838" s="26" t="n">
        <v>30</v>
      </c>
      <c r="S838" s="26" t="n">
        <v>0</v>
      </c>
      <c r="T838" s="28" t="n">
        <v>1</v>
      </c>
      <c r="U838" s="26" t="n">
        <v>0</v>
      </c>
      <c r="V838" s="26" t="n">
        <v>400</v>
      </c>
      <c r="W838" s="22" t="s">
        <v>18</v>
      </c>
      <c r="X838" s="22" t="s">
        <v>373</v>
      </c>
    </row>
    <row r="839" customFormat="false" ht="15" hidden="false" customHeight="false" outlineLevel="0" collapsed="false">
      <c r="A839" s="22" t="s">
        <v>3590</v>
      </c>
      <c r="B839" s="22" t="s">
        <v>18</v>
      </c>
      <c r="C839" s="22" t="s">
        <v>3591</v>
      </c>
      <c r="D839" s="22" t="s">
        <v>3592</v>
      </c>
      <c r="E839" s="22" t="s">
        <v>3593</v>
      </c>
      <c r="F839" s="22" t="n">
        <v>17</v>
      </c>
      <c r="G839" s="26" t="n">
        <v>212.67</v>
      </c>
      <c r="H839" s="26" t="n">
        <v>234.8</v>
      </c>
      <c r="I839" s="26" t="n">
        <v>256.93</v>
      </c>
      <c r="J839" s="26" t="n">
        <v>273.53</v>
      </c>
      <c r="K839" s="26" t="n">
        <v>290.13</v>
      </c>
      <c r="L839" s="26" t="n">
        <v>2.65</v>
      </c>
      <c r="M839" s="27" t="n">
        <v>0.005</v>
      </c>
      <c r="N839" s="27" t="n">
        <v>0.002</v>
      </c>
      <c r="O839" s="26" t="n">
        <v>5</v>
      </c>
      <c r="P839" s="26" t="n">
        <v>5</v>
      </c>
      <c r="Q839" s="28" t="n">
        <v>100</v>
      </c>
      <c r="R839" s="26" t="n">
        <v>30</v>
      </c>
      <c r="S839" s="26" t="n">
        <v>0</v>
      </c>
      <c r="T839" s="28" t="n">
        <v>1</v>
      </c>
      <c r="U839" s="26" t="n">
        <v>0</v>
      </c>
      <c r="V839" s="26" t="n">
        <v>0</v>
      </c>
      <c r="W839" s="22" t="s">
        <v>18</v>
      </c>
      <c r="X839" s="22" t="s">
        <v>373</v>
      </c>
    </row>
    <row r="840" customFormat="false" ht="15" hidden="false" customHeight="false" outlineLevel="0" collapsed="false">
      <c r="A840" s="22" t="s">
        <v>3594</v>
      </c>
      <c r="B840" s="22" t="s">
        <v>18</v>
      </c>
      <c r="C840" s="22" t="s">
        <v>3595</v>
      </c>
      <c r="D840" s="22" t="s">
        <v>3596</v>
      </c>
      <c r="E840" s="22" t="s">
        <v>3597</v>
      </c>
      <c r="F840" s="22" t="n">
        <v>17</v>
      </c>
      <c r="G840" s="26" t="n">
        <v>212.67</v>
      </c>
      <c r="H840" s="26" t="n">
        <v>234.8</v>
      </c>
      <c r="I840" s="26" t="n">
        <v>256.93</v>
      </c>
      <c r="J840" s="26" t="n">
        <v>273.53</v>
      </c>
      <c r="K840" s="26" t="n">
        <v>290.13</v>
      </c>
      <c r="L840" s="26" t="n">
        <v>2.65</v>
      </c>
      <c r="M840" s="27" t="n">
        <v>0.005</v>
      </c>
      <c r="N840" s="27" t="n">
        <v>0.002</v>
      </c>
      <c r="O840" s="26" t="n">
        <v>5</v>
      </c>
      <c r="P840" s="26" t="n">
        <v>5</v>
      </c>
      <c r="Q840" s="28" t="n">
        <v>100</v>
      </c>
      <c r="R840" s="26" t="n">
        <v>30</v>
      </c>
      <c r="S840" s="26" t="n">
        <v>0</v>
      </c>
      <c r="T840" s="28" t="n">
        <v>1</v>
      </c>
      <c r="U840" s="26" t="n">
        <v>0</v>
      </c>
      <c r="V840" s="26" t="n">
        <v>0</v>
      </c>
      <c r="W840" s="22" t="s">
        <v>18</v>
      </c>
      <c r="X840" s="22" t="s">
        <v>373</v>
      </c>
    </row>
    <row r="841" customFormat="false" ht="15" hidden="false" customHeight="false" outlineLevel="0" collapsed="false">
      <c r="A841" s="22" t="s">
        <v>3598</v>
      </c>
      <c r="B841" s="22" t="s">
        <v>18</v>
      </c>
      <c r="C841" s="22" t="s">
        <v>3599</v>
      </c>
      <c r="D841" s="22" t="s">
        <v>3600</v>
      </c>
      <c r="E841" s="22" t="s">
        <v>3601</v>
      </c>
      <c r="F841" s="22" t="n">
        <v>17</v>
      </c>
      <c r="G841" s="26" t="n">
        <v>212.67</v>
      </c>
      <c r="H841" s="26" t="n">
        <v>234.8</v>
      </c>
      <c r="I841" s="26" t="n">
        <v>256.93</v>
      </c>
      <c r="J841" s="26" t="n">
        <v>273.53</v>
      </c>
      <c r="K841" s="26" t="n">
        <v>290.13</v>
      </c>
      <c r="L841" s="26" t="n">
        <v>2.65</v>
      </c>
      <c r="M841" s="27" t="n">
        <v>0.005</v>
      </c>
      <c r="N841" s="27" t="n">
        <v>0.002</v>
      </c>
      <c r="O841" s="26" t="n">
        <v>5</v>
      </c>
      <c r="P841" s="26" t="n">
        <v>5</v>
      </c>
      <c r="Q841" s="28" t="n">
        <v>100</v>
      </c>
      <c r="R841" s="26" t="n">
        <v>30</v>
      </c>
      <c r="S841" s="26" t="n">
        <v>0</v>
      </c>
      <c r="T841" s="28" t="n">
        <v>1</v>
      </c>
      <c r="U841" s="26" t="n">
        <v>0</v>
      </c>
      <c r="V841" s="26" t="n">
        <v>0</v>
      </c>
      <c r="W841" s="22" t="s">
        <v>18</v>
      </c>
      <c r="X841" s="22" t="s">
        <v>373</v>
      </c>
    </row>
    <row r="842" customFormat="false" ht="15" hidden="false" customHeight="false" outlineLevel="0" collapsed="false">
      <c r="A842" s="22" t="s">
        <v>3602</v>
      </c>
      <c r="B842" s="22" t="s">
        <v>18</v>
      </c>
      <c r="C842" s="22" t="s">
        <v>3603</v>
      </c>
      <c r="D842" s="22" t="s">
        <v>3604</v>
      </c>
      <c r="E842" s="22" t="s">
        <v>3605</v>
      </c>
      <c r="F842" s="22" t="n">
        <v>17</v>
      </c>
      <c r="G842" s="26" t="n">
        <v>212.67</v>
      </c>
      <c r="H842" s="26" t="n">
        <v>234.8</v>
      </c>
      <c r="I842" s="26" t="n">
        <v>256.93</v>
      </c>
      <c r="J842" s="26" t="n">
        <v>273.53</v>
      </c>
      <c r="K842" s="26" t="n">
        <v>290.13</v>
      </c>
      <c r="L842" s="26" t="n">
        <v>2.65</v>
      </c>
      <c r="M842" s="27" t="n">
        <v>0.005</v>
      </c>
      <c r="N842" s="27" t="n">
        <v>0.002</v>
      </c>
      <c r="O842" s="26" t="n">
        <v>5</v>
      </c>
      <c r="P842" s="26" t="n">
        <v>5</v>
      </c>
      <c r="Q842" s="28" t="n">
        <v>100</v>
      </c>
      <c r="R842" s="26" t="n">
        <v>30</v>
      </c>
      <c r="S842" s="26" t="n">
        <v>0</v>
      </c>
      <c r="T842" s="28" t="n">
        <v>1</v>
      </c>
      <c r="U842" s="26" t="n">
        <v>0</v>
      </c>
      <c r="V842" s="26" t="n">
        <v>0</v>
      </c>
      <c r="W842" s="22" t="s">
        <v>18</v>
      </c>
      <c r="X842" s="22" t="s">
        <v>373</v>
      </c>
    </row>
    <row r="843" customFormat="false" ht="15" hidden="false" customHeight="false" outlineLevel="0" collapsed="false">
      <c r="A843" s="22" t="s">
        <v>3606</v>
      </c>
      <c r="B843" s="22" t="s">
        <v>18</v>
      </c>
      <c r="C843" s="22" t="s">
        <v>3607</v>
      </c>
      <c r="D843" s="22" t="s">
        <v>3608</v>
      </c>
      <c r="E843" s="22" t="s">
        <v>3609</v>
      </c>
      <c r="F843" s="22" t="n">
        <v>17</v>
      </c>
      <c r="G843" s="26" t="n">
        <v>212.67</v>
      </c>
      <c r="H843" s="26" t="n">
        <v>234.8</v>
      </c>
      <c r="I843" s="26" t="n">
        <v>256.93</v>
      </c>
      <c r="J843" s="26" t="n">
        <v>273.53</v>
      </c>
      <c r="K843" s="26" t="n">
        <v>290.13</v>
      </c>
      <c r="L843" s="26" t="n">
        <v>2.65</v>
      </c>
      <c r="M843" s="27" t="n">
        <v>0.005</v>
      </c>
      <c r="N843" s="27" t="n">
        <v>0.002</v>
      </c>
      <c r="O843" s="26" t="n">
        <v>5</v>
      </c>
      <c r="P843" s="26" t="n">
        <v>5</v>
      </c>
      <c r="Q843" s="28" t="n">
        <v>100</v>
      </c>
      <c r="R843" s="26" t="n">
        <v>30</v>
      </c>
      <c r="S843" s="26" t="n">
        <v>0</v>
      </c>
      <c r="T843" s="28" t="n">
        <v>1</v>
      </c>
      <c r="U843" s="26" t="n">
        <v>0</v>
      </c>
      <c r="V843" s="26" t="n">
        <v>0</v>
      </c>
      <c r="W843" s="22" t="s">
        <v>18</v>
      </c>
      <c r="X843" s="22" t="s">
        <v>373</v>
      </c>
    </row>
    <row r="844" customFormat="false" ht="15" hidden="false" customHeight="false" outlineLevel="0" collapsed="false">
      <c r="A844" s="22" t="s">
        <v>3610</v>
      </c>
      <c r="B844" s="22" t="s">
        <v>18</v>
      </c>
      <c r="C844" s="22" t="s">
        <v>3611</v>
      </c>
      <c r="D844" s="22" t="s">
        <v>3612</v>
      </c>
      <c r="E844" s="22" t="s">
        <v>3613</v>
      </c>
      <c r="F844" s="22" t="n">
        <v>17</v>
      </c>
      <c r="G844" s="26" t="n">
        <v>212.67</v>
      </c>
      <c r="H844" s="26" t="n">
        <v>234.8</v>
      </c>
      <c r="I844" s="26" t="n">
        <v>256.93</v>
      </c>
      <c r="J844" s="26" t="n">
        <v>273.53</v>
      </c>
      <c r="K844" s="26" t="n">
        <v>290.13</v>
      </c>
      <c r="L844" s="26" t="n">
        <v>2.65</v>
      </c>
      <c r="M844" s="27" t="n">
        <v>0.005</v>
      </c>
      <c r="N844" s="27" t="n">
        <v>0.002</v>
      </c>
      <c r="O844" s="26" t="n">
        <v>5</v>
      </c>
      <c r="P844" s="26" t="n">
        <v>5</v>
      </c>
      <c r="Q844" s="28" t="n">
        <v>100</v>
      </c>
      <c r="R844" s="26" t="n">
        <v>30</v>
      </c>
      <c r="S844" s="26" t="n">
        <v>0</v>
      </c>
      <c r="T844" s="28" t="n">
        <v>1</v>
      </c>
      <c r="U844" s="26" t="n">
        <v>0</v>
      </c>
      <c r="V844" s="26" t="n">
        <v>0</v>
      </c>
      <c r="W844" s="22" t="s">
        <v>18</v>
      </c>
      <c r="X844" s="22" t="s">
        <v>373</v>
      </c>
    </row>
    <row r="845" customFormat="false" ht="15" hidden="false" customHeight="false" outlineLevel="0" collapsed="false">
      <c r="A845" s="22" t="s">
        <v>3614</v>
      </c>
      <c r="B845" s="22" t="s">
        <v>18</v>
      </c>
      <c r="C845" s="22" t="s">
        <v>3615</v>
      </c>
      <c r="D845" s="22" t="s">
        <v>3616</v>
      </c>
      <c r="E845" s="22" t="s">
        <v>3617</v>
      </c>
      <c r="F845" s="22" t="n">
        <v>17</v>
      </c>
      <c r="G845" s="26" t="n">
        <v>212.67</v>
      </c>
      <c r="H845" s="26" t="n">
        <v>234.8</v>
      </c>
      <c r="I845" s="26" t="n">
        <v>256.93</v>
      </c>
      <c r="J845" s="26" t="n">
        <v>273.53</v>
      </c>
      <c r="K845" s="26" t="n">
        <v>290.13</v>
      </c>
      <c r="L845" s="26" t="n">
        <v>2.65</v>
      </c>
      <c r="M845" s="27" t="n">
        <v>0.005</v>
      </c>
      <c r="N845" s="27" t="n">
        <v>0.002</v>
      </c>
      <c r="O845" s="26" t="n">
        <v>5</v>
      </c>
      <c r="P845" s="26" t="n">
        <v>5</v>
      </c>
      <c r="Q845" s="28" t="n">
        <v>100</v>
      </c>
      <c r="R845" s="26" t="n">
        <v>30</v>
      </c>
      <c r="S845" s="26" t="n">
        <v>0</v>
      </c>
      <c r="T845" s="28" t="n">
        <v>1</v>
      </c>
      <c r="U845" s="26" t="n">
        <v>0</v>
      </c>
      <c r="V845" s="26" t="n">
        <v>400</v>
      </c>
      <c r="W845" s="22" t="s">
        <v>18</v>
      </c>
      <c r="X845" s="22" t="s">
        <v>373</v>
      </c>
    </row>
    <row r="846" customFormat="false" ht="15" hidden="false" customHeight="false" outlineLevel="0" collapsed="false">
      <c r="A846" s="22" t="s">
        <v>3618</v>
      </c>
      <c r="B846" s="22" t="s">
        <v>18</v>
      </c>
      <c r="C846" s="22" t="s">
        <v>3619</v>
      </c>
      <c r="D846" s="22" t="s">
        <v>3620</v>
      </c>
      <c r="E846" s="22" t="s">
        <v>3621</v>
      </c>
      <c r="F846" s="22" t="n">
        <v>17</v>
      </c>
      <c r="G846" s="26" t="n">
        <v>212.67</v>
      </c>
      <c r="H846" s="26" t="n">
        <v>234.8</v>
      </c>
      <c r="I846" s="26" t="n">
        <v>256.93</v>
      </c>
      <c r="J846" s="26" t="n">
        <v>273.53</v>
      </c>
      <c r="K846" s="26" t="n">
        <v>290.13</v>
      </c>
      <c r="L846" s="26" t="n">
        <v>2.65</v>
      </c>
      <c r="M846" s="27" t="n">
        <v>0.005</v>
      </c>
      <c r="N846" s="27" t="n">
        <v>0.002</v>
      </c>
      <c r="O846" s="26" t="n">
        <v>5</v>
      </c>
      <c r="P846" s="26" t="n">
        <v>5</v>
      </c>
      <c r="Q846" s="28" t="n">
        <v>100</v>
      </c>
      <c r="R846" s="26" t="n">
        <v>30</v>
      </c>
      <c r="S846" s="26" t="n">
        <v>0</v>
      </c>
      <c r="T846" s="28" t="n">
        <v>1</v>
      </c>
      <c r="U846" s="26" t="n">
        <v>0</v>
      </c>
      <c r="V846" s="26" t="n">
        <v>0</v>
      </c>
      <c r="W846" s="22" t="s">
        <v>18</v>
      </c>
      <c r="X846" s="22" t="s">
        <v>373</v>
      </c>
    </row>
    <row r="847" customFormat="false" ht="15" hidden="false" customHeight="false" outlineLevel="0" collapsed="false">
      <c r="A847" s="22" t="s">
        <v>3622</v>
      </c>
      <c r="B847" s="22" t="s">
        <v>18</v>
      </c>
      <c r="C847" s="22" t="s">
        <v>3623</v>
      </c>
      <c r="D847" s="22" t="s">
        <v>3624</v>
      </c>
      <c r="E847" s="22" t="s">
        <v>3625</v>
      </c>
      <c r="F847" s="22" t="n">
        <v>17</v>
      </c>
      <c r="G847" s="26" t="n">
        <v>212.67</v>
      </c>
      <c r="H847" s="26" t="n">
        <v>234.8</v>
      </c>
      <c r="I847" s="26" t="n">
        <v>256.93</v>
      </c>
      <c r="J847" s="26" t="n">
        <v>273.53</v>
      </c>
      <c r="K847" s="26" t="n">
        <v>290.13</v>
      </c>
      <c r="L847" s="26" t="n">
        <v>2.65</v>
      </c>
      <c r="M847" s="27" t="n">
        <v>0.005</v>
      </c>
      <c r="N847" s="27" t="n">
        <v>0.002</v>
      </c>
      <c r="O847" s="26" t="n">
        <v>5</v>
      </c>
      <c r="P847" s="26" t="n">
        <v>5</v>
      </c>
      <c r="Q847" s="28" t="n">
        <v>100</v>
      </c>
      <c r="R847" s="26" t="n">
        <v>30</v>
      </c>
      <c r="S847" s="26" t="n">
        <v>0</v>
      </c>
      <c r="T847" s="28" t="n">
        <v>1</v>
      </c>
      <c r="U847" s="26" t="n">
        <v>0</v>
      </c>
      <c r="V847" s="26" t="n">
        <v>0</v>
      </c>
      <c r="W847" s="22" t="s">
        <v>18</v>
      </c>
      <c r="X847" s="22" t="s">
        <v>373</v>
      </c>
    </row>
    <row r="848" customFormat="false" ht="15" hidden="false" customHeight="false" outlineLevel="0" collapsed="false">
      <c r="A848" s="22" t="s">
        <v>3626</v>
      </c>
      <c r="B848" s="22" t="s">
        <v>18</v>
      </c>
      <c r="C848" s="22" t="s">
        <v>3627</v>
      </c>
      <c r="D848" s="22" t="s">
        <v>3628</v>
      </c>
      <c r="E848" s="22" t="s">
        <v>3629</v>
      </c>
      <c r="F848" s="22" t="n">
        <v>17</v>
      </c>
      <c r="G848" s="26" t="n">
        <v>212.67</v>
      </c>
      <c r="H848" s="26" t="n">
        <v>234.8</v>
      </c>
      <c r="I848" s="26" t="n">
        <v>256.93</v>
      </c>
      <c r="J848" s="26" t="n">
        <v>273.53</v>
      </c>
      <c r="K848" s="26" t="n">
        <v>290.13</v>
      </c>
      <c r="L848" s="26" t="n">
        <v>2.65</v>
      </c>
      <c r="M848" s="27" t="n">
        <v>0.005</v>
      </c>
      <c r="N848" s="27" t="n">
        <v>0.002</v>
      </c>
      <c r="O848" s="26" t="n">
        <v>5</v>
      </c>
      <c r="P848" s="26" t="n">
        <v>5</v>
      </c>
      <c r="Q848" s="28" t="n">
        <v>100</v>
      </c>
      <c r="R848" s="26" t="n">
        <v>30</v>
      </c>
      <c r="S848" s="26" t="n">
        <v>0</v>
      </c>
      <c r="T848" s="28" t="n">
        <v>1</v>
      </c>
      <c r="U848" s="26" t="n">
        <v>0</v>
      </c>
      <c r="V848" s="26" t="n">
        <v>0</v>
      </c>
      <c r="W848" s="22" t="s">
        <v>18</v>
      </c>
      <c r="X848" s="22" t="s">
        <v>373</v>
      </c>
    </row>
    <row r="849" customFormat="false" ht="15" hidden="false" customHeight="false" outlineLevel="0" collapsed="false">
      <c r="A849" s="22" t="s">
        <v>3630</v>
      </c>
      <c r="B849" s="22" t="s">
        <v>18</v>
      </c>
      <c r="C849" s="22" t="s">
        <v>3631</v>
      </c>
      <c r="D849" s="22" t="s">
        <v>3632</v>
      </c>
      <c r="E849" s="22" t="s">
        <v>3633</v>
      </c>
      <c r="F849" s="22" t="n">
        <v>17</v>
      </c>
      <c r="G849" s="26" t="n">
        <v>212.67</v>
      </c>
      <c r="H849" s="26" t="n">
        <v>234.8</v>
      </c>
      <c r="I849" s="26" t="n">
        <v>256.93</v>
      </c>
      <c r="J849" s="26" t="n">
        <v>273.53</v>
      </c>
      <c r="K849" s="26" t="n">
        <v>290.13</v>
      </c>
      <c r="L849" s="26" t="n">
        <v>2.65</v>
      </c>
      <c r="M849" s="27" t="n">
        <v>0.005</v>
      </c>
      <c r="N849" s="27" t="n">
        <v>0.002</v>
      </c>
      <c r="O849" s="26" t="n">
        <v>5</v>
      </c>
      <c r="P849" s="26" t="n">
        <v>5</v>
      </c>
      <c r="Q849" s="28" t="n">
        <v>100</v>
      </c>
      <c r="R849" s="26" t="n">
        <v>30</v>
      </c>
      <c r="S849" s="26" t="n">
        <v>0</v>
      </c>
      <c r="T849" s="28" t="n">
        <v>1</v>
      </c>
      <c r="U849" s="26" t="n">
        <v>0</v>
      </c>
      <c r="V849" s="26" t="n">
        <v>0</v>
      </c>
      <c r="W849" s="22" t="s">
        <v>18</v>
      </c>
      <c r="X849" s="22" t="s">
        <v>373</v>
      </c>
    </row>
    <row r="850" customFormat="false" ht="15" hidden="false" customHeight="false" outlineLevel="0" collapsed="false">
      <c r="A850" s="22" t="s">
        <v>3634</v>
      </c>
      <c r="B850" s="22" t="s">
        <v>18</v>
      </c>
      <c r="C850" s="22" t="s">
        <v>3635</v>
      </c>
      <c r="D850" s="22" t="s">
        <v>3636</v>
      </c>
      <c r="E850" s="22" t="s">
        <v>3637</v>
      </c>
      <c r="F850" s="22" t="n">
        <v>17</v>
      </c>
      <c r="G850" s="26" t="n">
        <v>212.67</v>
      </c>
      <c r="H850" s="26" t="n">
        <v>234.8</v>
      </c>
      <c r="I850" s="26" t="n">
        <v>256.93</v>
      </c>
      <c r="J850" s="26" t="n">
        <v>273.53</v>
      </c>
      <c r="K850" s="26" t="n">
        <v>290.13</v>
      </c>
      <c r="L850" s="26" t="n">
        <v>2.65</v>
      </c>
      <c r="M850" s="27" t="n">
        <v>0.005</v>
      </c>
      <c r="N850" s="27" t="n">
        <v>0.002</v>
      </c>
      <c r="O850" s="26" t="n">
        <v>5</v>
      </c>
      <c r="P850" s="26" t="n">
        <v>5</v>
      </c>
      <c r="Q850" s="28" t="n">
        <v>100</v>
      </c>
      <c r="R850" s="26" t="n">
        <v>30</v>
      </c>
      <c r="S850" s="26" t="n">
        <v>0</v>
      </c>
      <c r="T850" s="28" t="n">
        <v>1</v>
      </c>
      <c r="U850" s="26" t="n">
        <v>0</v>
      </c>
      <c r="V850" s="26" t="n">
        <v>400</v>
      </c>
      <c r="W850" s="22" t="s">
        <v>18</v>
      </c>
      <c r="X850" s="22" t="s">
        <v>373</v>
      </c>
    </row>
    <row r="851" customFormat="false" ht="15" hidden="false" customHeight="false" outlineLevel="0" collapsed="false">
      <c r="A851" s="22" t="s">
        <v>3638</v>
      </c>
      <c r="B851" s="22" t="s">
        <v>18</v>
      </c>
      <c r="C851" s="22" t="s">
        <v>3639</v>
      </c>
      <c r="D851" s="22" t="s">
        <v>3640</v>
      </c>
      <c r="E851" s="22" t="s">
        <v>3641</v>
      </c>
      <c r="F851" s="22" t="n">
        <v>17</v>
      </c>
      <c r="G851" s="26" t="n">
        <v>212.67</v>
      </c>
      <c r="H851" s="26" t="n">
        <v>234.8</v>
      </c>
      <c r="I851" s="26" t="n">
        <v>256.93</v>
      </c>
      <c r="J851" s="26" t="n">
        <v>273.53</v>
      </c>
      <c r="K851" s="26" t="n">
        <v>290.13</v>
      </c>
      <c r="L851" s="26" t="n">
        <v>2.65</v>
      </c>
      <c r="M851" s="27" t="n">
        <v>0.005</v>
      </c>
      <c r="N851" s="27" t="n">
        <v>0.002</v>
      </c>
      <c r="O851" s="26" t="n">
        <v>5</v>
      </c>
      <c r="P851" s="26" t="n">
        <v>5</v>
      </c>
      <c r="Q851" s="28" t="n">
        <v>100</v>
      </c>
      <c r="R851" s="26" t="n">
        <v>30</v>
      </c>
      <c r="S851" s="26" t="n">
        <v>0</v>
      </c>
      <c r="T851" s="28" t="n">
        <v>1</v>
      </c>
      <c r="U851" s="26" t="n">
        <v>0</v>
      </c>
      <c r="V851" s="26" t="n">
        <v>0</v>
      </c>
      <c r="W851" s="22" t="s">
        <v>18</v>
      </c>
      <c r="X851" s="22" t="s">
        <v>373</v>
      </c>
    </row>
    <row r="852" customFormat="false" ht="15" hidden="false" customHeight="false" outlineLevel="0" collapsed="false">
      <c r="A852" s="22" t="s">
        <v>3642</v>
      </c>
      <c r="B852" s="22" t="s">
        <v>18</v>
      </c>
      <c r="C852" s="22" t="s">
        <v>3643</v>
      </c>
      <c r="D852" s="22" t="s">
        <v>3644</v>
      </c>
      <c r="E852" s="22" t="s">
        <v>3645</v>
      </c>
      <c r="F852" s="22" t="n">
        <v>17</v>
      </c>
      <c r="G852" s="26" t="n">
        <v>212.67</v>
      </c>
      <c r="H852" s="26" t="n">
        <v>234.8</v>
      </c>
      <c r="I852" s="26" t="n">
        <v>256.93</v>
      </c>
      <c r="J852" s="26" t="n">
        <v>273.53</v>
      </c>
      <c r="K852" s="26" t="n">
        <v>290.13</v>
      </c>
      <c r="L852" s="26" t="n">
        <v>2.65</v>
      </c>
      <c r="M852" s="27" t="n">
        <v>0.005</v>
      </c>
      <c r="N852" s="27" t="n">
        <v>0.002</v>
      </c>
      <c r="O852" s="26" t="n">
        <v>5</v>
      </c>
      <c r="P852" s="26" t="n">
        <v>5</v>
      </c>
      <c r="Q852" s="28" t="n">
        <v>100</v>
      </c>
      <c r="R852" s="26" t="n">
        <v>30</v>
      </c>
      <c r="S852" s="26" t="n">
        <v>0</v>
      </c>
      <c r="T852" s="28" t="n">
        <v>1</v>
      </c>
      <c r="U852" s="26" t="n">
        <v>0</v>
      </c>
      <c r="V852" s="26" t="n">
        <v>400</v>
      </c>
      <c r="W852" s="22" t="s">
        <v>18</v>
      </c>
      <c r="X852" s="22" t="s">
        <v>373</v>
      </c>
    </row>
    <row r="853" customFormat="false" ht="15" hidden="false" customHeight="false" outlineLevel="0" collapsed="false">
      <c r="A853" s="22" t="s">
        <v>3646</v>
      </c>
      <c r="B853" s="22" t="s">
        <v>18</v>
      </c>
      <c r="C853" s="22" t="s">
        <v>3647</v>
      </c>
      <c r="D853" s="22" t="s">
        <v>3648</v>
      </c>
      <c r="E853" s="22" t="s">
        <v>3649</v>
      </c>
      <c r="F853" s="22" t="n">
        <v>17</v>
      </c>
      <c r="G853" s="26" t="n">
        <v>212.67</v>
      </c>
      <c r="H853" s="26" t="n">
        <v>234.8</v>
      </c>
      <c r="I853" s="26" t="n">
        <v>256.93</v>
      </c>
      <c r="J853" s="26" t="n">
        <v>273.53</v>
      </c>
      <c r="K853" s="26" t="n">
        <v>290.13</v>
      </c>
      <c r="L853" s="26" t="n">
        <v>2.65</v>
      </c>
      <c r="M853" s="27" t="n">
        <v>0.005</v>
      </c>
      <c r="N853" s="27" t="n">
        <v>0.002</v>
      </c>
      <c r="O853" s="26" t="n">
        <v>5</v>
      </c>
      <c r="P853" s="26" t="n">
        <v>5</v>
      </c>
      <c r="Q853" s="28" t="n">
        <v>100</v>
      </c>
      <c r="R853" s="26" t="n">
        <v>30</v>
      </c>
      <c r="S853" s="26" t="n">
        <v>0</v>
      </c>
      <c r="T853" s="28" t="n">
        <v>1</v>
      </c>
      <c r="U853" s="26" t="n">
        <v>0</v>
      </c>
      <c r="V853" s="26" t="n">
        <v>0</v>
      </c>
      <c r="W853" s="22" t="s">
        <v>18</v>
      </c>
      <c r="X853" s="22" t="s">
        <v>373</v>
      </c>
    </row>
    <row r="854" customFormat="false" ht="15" hidden="false" customHeight="false" outlineLevel="0" collapsed="false">
      <c r="A854" s="22" t="s">
        <v>3650</v>
      </c>
      <c r="B854" s="22" t="s">
        <v>18</v>
      </c>
      <c r="C854" s="22" t="s">
        <v>3651</v>
      </c>
      <c r="D854" s="22" t="s">
        <v>3652</v>
      </c>
      <c r="E854" s="22" t="s">
        <v>3653</v>
      </c>
      <c r="F854" s="22" t="n">
        <v>17</v>
      </c>
      <c r="G854" s="26" t="n">
        <v>212.67</v>
      </c>
      <c r="H854" s="26" t="n">
        <v>234.8</v>
      </c>
      <c r="I854" s="26" t="n">
        <v>256.93</v>
      </c>
      <c r="J854" s="26" t="n">
        <v>273.53</v>
      </c>
      <c r="K854" s="26" t="n">
        <v>290.13</v>
      </c>
      <c r="L854" s="26" t="n">
        <v>2.65</v>
      </c>
      <c r="M854" s="27" t="n">
        <v>0.005</v>
      </c>
      <c r="N854" s="27" t="n">
        <v>0.002</v>
      </c>
      <c r="O854" s="26" t="n">
        <v>5</v>
      </c>
      <c r="P854" s="26" t="n">
        <v>5</v>
      </c>
      <c r="Q854" s="28" t="n">
        <v>100</v>
      </c>
      <c r="R854" s="26" t="n">
        <v>30</v>
      </c>
      <c r="S854" s="26" t="n">
        <v>0</v>
      </c>
      <c r="T854" s="28" t="n">
        <v>1</v>
      </c>
      <c r="U854" s="26" t="n">
        <v>0</v>
      </c>
      <c r="V854" s="26" t="n">
        <v>0</v>
      </c>
      <c r="W854" s="22" t="s">
        <v>18</v>
      </c>
      <c r="X854" s="22" t="s">
        <v>373</v>
      </c>
    </row>
    <row r="855" customFormat="false" ht="15" hidden="false" customHeight="false" outlineLevel="0" collapsed="false">
      <c r="A855" s="22" t="s">
        <v>3654</v>
      </c>
      <c r="B855" s="22" t="s">
        <v>18</v>
      </c>
      <c r="C855" s="22" t="s">
        <v>3655</v>
      </c>
      <c r="D855" s="22" t="s">
        <v>3656</v>
      </c>
      <c r="E855" s="22" t="s">
        <v>3657</v>
      </c>
      <c r="F855" s="22" t="n">
        <v>17</v>
      </c>
      <c r="G855" s="26" t="n">
        <v>212.67</v>
      </c>
      <c r="H855" s="26" t="n">
        <v>234.8</v>
      </c>
      <c r="I855" s="26" t="n">
        <v>256.93</v>
      </c>
      <c r="J855" s="26" t="n">
        <v>273.53</v>
      </c>
      <c r="K855" s="26" t="n">
        <v>290.13</v>
      </c>
      <c r="L855" s="26" t="n">
        <v>2.65</v>
      </c>
      <c r="M855" s="27" t="n">
        <v>0.005</v>
      </c>
      <c r="N855" s="27" t="n">
        <v>0.002</v>
      </c>
      <c r="O855" s="26" t="n">
        <v>5</v>
      </c>
      <c r="P855" s="26" t="n">
        <v>5</v>
      </c>
      <c r="Q855" s="28" t="n">
        <v>100</v>
      </c>
      <c r="R855" s="26" t="n">
        <v>30</v>
      </c>
      <c r="S855" s="26" t="n">
        <v>0</v>
      </c>
      <c r="T855" s="28" t="n">
        <v>1</v>
      </c>
      <c r="U855" s="26" t="n">
        <v>0</v>
      </c>
      <c r="V855" s="26" t="n">
        <v>0</v>
      </c>
      <c r="W855" s="22" t="s">
        <v>18</v>
      </c>
      <c r="X855" s="22" t="s">
        <v>373</v>
      </c>
    </row>
    <row r="856" customFormat="false" ht="15" hidden="false" customHeight="false" outlineLevel="0" collapsed="false">
      <c r="A856" s="22" t="s">
        <v>3658</v>
      </c>
      <c r="B856" s="22" t="s">
        <v>18</v>
      </c>
      <c r="C856" s="22" t="s">
        <v>3659</v>
      </c>
      <c r="D856" s="22" t="s">
        <v>3660</v>
      </c>
      <c r="E856" s="22" t="s">
        <v>3661</v>
      </c>
      <c r="F856" s="22" t="n">
        <v>17</v>
      </c>
      <c r="G856" s="26" t="n">
        <v>212.67</v>
      </c>
      <c r="H856" s="26" t="n">
        <v>234.8</v>
      </c>
      <c r="I856" s="26" t="n">
        <v>256.93</v>
      </c>
      <c r="J856" s="26" t="n">
        <v>273.53</v>
      </c>
      <c r="K856" s="26" t="n">
        <v>290.13</v>
      </c>
      <c r="L856" s="26" t="n">
        <v>2.65</v>
      </c>
      <c r="M856" s="27" t="n">
        <v>0.005</v>
      </c>
      <c r="N856" s="27" t="n">
        <v>0.002</v>
      </c>
      <c r="O856" s="26" t="n">
        <v>5</v>
      </c>
      <c r="P856" s="26" t="n">
        <v>5</v>
      </c>
      <c r="Q856" s="28" t="n">
        <v>100</v>
      </c>
      <c r="R856" s="26" t="n">
        <v>30</v>
      </c>
      <c r="S856" s="26" t="n">
        <v>0</v>
      </c>
      <c r="T856" s="28" t="n">
        <v>1</v>
      </c>
      <c r="U856" s="26" t="n">
        <v>0</v>
      </c>
      <c r="V856" s="26" t="n">
        <v>400</v>
      </c>
      <c r="W856" s="22" t="s">
        <v>18</v>
      </c>
      <c r="X856" s="22" t="s">
        <v>373</v>
      </c>
    </row>
    <row r="857" customFormat="false" ht="15" hidden="false" customHeight="false" outlineLevel="0" collapsed="false">
      <c r="A857" s="22" t="s">
        <v>3662</v>
      </c>
      <c r="B857" s="22" t="s">
        <v>18</v>
      </c>
      <c r="C857" s="22" t="s">
        <v>3663</v>
      </c>
      <c r="D857" s="22" t="s">
        <v>3664</v>
      </c>
      <c r="E857" s="22" t="s">
        <v>3665</v>
      </c>
      <c r="F857" s="22" t="n">
        <v>17</v>
      </c>
      <c r="G857" s="26" t="n">
        <v>212.67</v>
      </c>
      <c r="H857" s="26" t="n">
        <v>234.8</v>
      </c>
      <c r="I857" s="26" t="n">
        <v>256.93</v>
      </c>
      <c r="J857" s="26" t="n">
        <v>273.53</v>
      </c>
      <c r="K857" s="26" t="n">
        <v>290.13</v>
      </c>
      <c r="L857" s="26" t="n">
        <v>2.65</v>
      </c>
      <c r="M857" s="27" t="n">
        <v>0.005</v>
      </c>
      <c r="N857" s="27" t="n">
        <v>0.002</v>
      </c>
      <c r="O857" s="26" t="n">
        <v>5</v>
      </c>
      <c r="P857" s="26" t="n">
        <v>5</v>
      </c>
      <c r="Q857" s="28" t="n">
        <v>100</v>
      </c>
      <c r="R857" s="26" t="n">
        <v>30</v>
      </c>
      <c r="S857" s="26" t="n">
        <v>0</v>
      </c>
      <c r="T857" s="28" t="n">
        <v>1</v>
      </c>
      <c r="U857" s="26" t="n">
        <v>0</v>
      </c>
      <c r="V857" s="26" t="n">
        <v>0</v>
      </c>
      <c r="W857" s="22" t="s">
        <v>18</v>
      </c>
      <c r="X857" s="22" t="s">
        <v>373</v>
      </c>
    </row>
    <row r="858" customFormat="false" ht="15" hidden="false" customHeight="false" outlineLevel="0" collapsed="false">
      <c r="A858" s="22" t="s">
        <v>3666</v>
      </c>
      <c r="B858" s="22" t="s">
        <v>18</v>
      </c>
      <c r="C858" s="22" t="s">
        <v>3667</v>
      </c>
      <c r="D858" s="22" t="s">
        <v>3668</v>
      </c>
      <c r="E858" s="22" t="s">
        <v>3669</v>
      </c>
      <c r="F858" s="22" t="n">
        <v>17</v>
      </c>
      <c r="G858" s="26" t="n">
        <v>212.67</v>
      </c>
      <c r="H858" s="26" t="n">
        <v>234.8</v>
      </c>
      <c r="I858" s="26" t="n">
        <v>256.93</v>
      </c>
      <c r="J858" s="26" t="n">
        <v>273.53</v>
      </c>
      <c r="K858" s="26" t="n">
        <v>290.13</v>
      </c>
      <c r="L858" s="26" t="n">
        <v>2.65</v>
      </c>
      <c r="M858" s="27" t="n">
        <v>0.005</v>
      </c>
      <c r="N858" s="27" t="n">
        <v>0.002</v>
      </c>
      <c r="O858" s="26" t="n">
        <v>5</v>
      </c>
      <c r="P858" s="26" t="n">
        <v>5</v>
      </c>
      <c r="Q858" s="28" t="n">
        <v>100</v>
      </c>
      <c r="R858" s="26" t="n">
        <v>30</v>
      </c>
      <c r="S858" s="26" t="n">
        <v>0</v>
      </c>
      <c r="T858" s="28" t="n">
        <v>1</v>
      </c>
      <c r="U858" s="26" t="n">
        <v>0</v>
      </c>
      <c r="V858" s="26" t="n">
        <v>0</v>
      </c>
      <c r="W858" s="22" t="s">
        <v>18</v>
      </c>
      <c r="X858" s="22" t="s">
        <v>373</v>
      </c>
    </row>
    <row r="859" customFormat="false" ht="15" hidden="false" customHeight="false" outlineLevel="0" collapsed="false">
      <c r="A859" s="22" t="s">
        <v>3670</v>
      </c>
      <c r="B859" s="22" t="s">
        <v>18</v>
      </c>
      <c r="C859" s="22" t="s">
        <v>3671</v>
      </c>
      <c r="D859" s="22" t="s">
        <v>3672</v>
      </c>
      <c r="E859" s="22" t="s">
        <v>3673</v>
      </c>
      <c r="F859" s="22" t="n">
        <v>17</v>
      </c>
      <c r="G859" s="26" t="n">
        <v>212.67</v>
      </c>
      <c r="H859" s="26" t="n">
        <v>234.8</v>
      </c>
      <c r="I859" s="26" t="n">
        <v>256.93</v>
      </c>
      <c r="J859" s="26" t="n">
        <v>273.53</v>
      </c>
      <c r="K859" s="26" t="n">
        <v>290.13</v>
      </c>
      <c r="L859" s="26" t="n">
        <v>2.65</v>
      </c>
      <c r="M859" s="27" t="n">
        <v>0.005</v>
      </c>
      <c r="N859" s="27" t="n">
        <v>0.002</v>
      </c>
      <c r="O859" s="26" t="n">
        <v>5</v>
      </c>
      <c r="P859" s="26" t="n">
        <v>5</v>
      </c>
      <c r="Q859" s="28" t="n">
        <v>100</v>
      </c>
      <c r="R859" s="26" t="n">
        <v>30</v>
      </c>
      <c r="S859" s="26" t="n">
        <v>0</v>
      </c>
      <c r="T859" s="28" t="n">
        <v>1</v>
      </c>
      <c r="U859" s="26" t="n">
        <v>0</v>
      </c>
      <c r="V859" s="26" t="n">
        <v>400</v>
      </c>
      <c r="W859" s="22" t="s">
        <v>18</v>
      </c>
      <c r="X859" s="22" t="s">
        <v>373</v>
      </c>
    </row>
    <row r="860" customFormat="false" ht="15" hidden="false" customHeight="false" outlineLevel="0" collapsed="false">
      <c r="A860" s="22" t="s">
        <v>3674</v>
      </c>
      <c r="B860" s="22" t="s">
        <v>18</v>
      </c>
      <c r="C860" s="22" t="s">
        <v>3675</v>
      </c>
      <c r="D860" s="22" t="s">
        <v>3676</v>
      </c>
      <c r="E860" s="22" t="s">
        <v>3677</v>
      </c>
      <c r="F860" s="22" t="n">
        <v>17</v>
      </c>
      <c r="G860" s="26" t="n">
        <v>212.67</v>
      </c>
      <c r="H860" s="26" t="n">
        <v>234.8</v>
      </c>
      <c r="I860" s="26" t="n">
        <v>256.93</v>
      </c>
      <c r="J860" s="26" t="n">
        <v>273.53</v>
      </c>
      <c r="K860" s="26" t="n">
        <v>290.13</v>
      </c>
      <c r="L860" s="26" t="n">
        <v>2.65</v>
      </c>
      <c r="M860" s="27" t="n">
        <v>0.005</v>
      </c>
      <c r="N860" s="27" t="n">
        <v>0.002</v>
      </c>
      <c r="O860" s="26" t="n">
        <v>5</v>
      </c>
      <c r="P860" s="26" t="n">
        <v>5</v>
      </c>
      <c r="Q860" s="28" t="n">
        <v>100</v>
      </c>
      <c r="R860" s="26" t="n">
        <v>30</v>
      </c>
      <c r="S860" s="26" t="n">
        <v>0</v>
      </c>
      <c r="T860" s="28" t="n">
        <v>1</v>
      </c>
      <c r="U860" s="26" t="n">
        <v>0</v>
      </c>
      <c r="V860" s="26" t="n">
        <v>0</v>
      </c>
      <c r="W860" s="22" t="s">
        <v>18</v>
      </c>
      <c r="X860" s="22" t="s">
        <v>373</v>
      </c>
    </row>
    <row r="861" customFormat="false" ht="15" hidden="false" customHeight="false" outlineLevel="0" collapsed="false">
      <c r="A861" s="22" t="s">
        <v>3678</v>
      </c>
      <c r="B861" s="22" t="s">
        <v>18</v>
      </c>
      <c r="C861" s="22" t="s">
        <v>3679</v>
      </c>
      <c r="D861" s="22" t="s">
        <v>3680</v>
      </c>
      <c r="E861" s="22" t="s">
        <v>3681</v>
      </c>
      <c r="F861" s="22" t="n">
        <v>17</v>
      </c>
      <c r="G861" s="26" t="n">
        <v>212.67</v>
      </c>
      <c r="H861" s="26" t="n">
        <v>234.8</v>
      </c>
      <c r="I861" s="26" t="n">
        <v>256.93</v>
      </c>
      <c r="J861" s="26" t="n">
        <v>273.53</v>
      </c>
      <c r="K861" s="26" t="n">
        <v>290.13</v>
      </c>
      <c r="L861" s="26" t="n">
        <v>2.65</v>
      </c>
      <c r="M861" s="27" t="n">
        <v>0.005</v>
      </c>
      <c r="N861" s="27" t="n">
        <v>0.002</v>
      </c>
      <c r="O861" s="26" t="n">
        <v>5</v>
      </c>
      <c r="P861" s="26" t="n">
        <v>5</v>
      </c>
      <c r="Q861" s="28" t="n">
        <v>100</v>
      </c>
      <c r="R861" s="26" t="n">
        <v>30</v>
      </c>
      <c r="S861" s="26" t="n">
        <v>0</v>
      </c>
      <c r="T861" s="28" t="n">
        <v>1</v>
      </c>
      <c r="U861" s="26" t="n">
        <v>0</v>
      </c>
      <c r="V861" s="26" t="n">
        <v>400</v>
      </c>
      <c r="W861" s="22" t="s">
        <v>18</v>
      </c>
      <c r="X861" s="22" t="s">
        <v>373</v>
      </c>
    </row>
    <row r="862" customFormat="false" ht="15" hidden="false" customHeight="false" outlineLevel="0" collapsed="false">
      <c r="A862" s="22" t="s">
        <v>3682</v>
      </c>
      <c r="B862" s="22" t="s">
        <v>18</v>
      </c>
      <c r="C862" s="22" t="s">
        <v>3683</v>
      </c>
      <c r="D862" s="22" t="s">
        <v>3684</v>
      </c>
      <c r="E862" s="22" t="s">
        <v>3685</v>
      </c>
      <c r="F862" s="22" t="n">
        <v>17</v>
      </c>
      <c r="G862" s="26" t="n">
        <v>212.67</v>
      </c>
      <c r="H862" s="26" t="n">
        <v>234.8</v>
      </c>
      <c r="I862" s="26" t="n">
        <v>256.93</v>
      </c>
      <c r="J862" s="26" t="n">
        <v>273.53</v>
      </c>
      <c r="K862" s="26" t="n">
        <v>290.13</v>
      </c>
      <c r="L862" s="26" t="n">
        <v>2.65</v>
      </c>
      <c r="M862" s="27" t="n">
        <v>0.005</v>
      </c>
      <c r="N862" s="27" t="n">
        <v>0.002</v>
      </c>
      <c r="O862" s="26" t="n">
        <v>5</v>
      </c>
      <c r="P862" s="26" t="n">
        <v>5</v>
      </c>
      <c r="Q862" s="28" t="n">
        <v>100</v>
      </c>
      <c r="R862" s="26" t="n">
        <v>30</v>
      </c>
      <c r="S862" s="26" t="n">
        <v>0</v>
      </c>
      <c r="T862" s="28" t="n">
        <v>1</v>
      </c>
      <c r="U862" s="26" t="n">
        <v>0</v>
      </c>
      <c r="V862" s="26" t="n">
        <v>0</v>
      </c>
      <c r="W862" s="22" t="s">
        <v>18</v>
      </c>
      <c r="X862" s="22" t="s">
        <v>373</v>
      </c>
    </row>
    <row r="863" customFormat="false" ht="15" hidden="false" customHeight="false" outlineLevel="0" collapsed="false">
      <c r="A863" s="22" t="s">
        <v>3686</v>
      </c>
      <c r="B863" s="22" t="s">
        <v>18</v>
      </c>
      <c r="C863" s="22" t="s">
        <v>3687</v>
      </c>
      <c r="D863" s="22" t="s">
        <v>3688</v>
      </c>
      <c r="E863" s="22" t="s">
        <v>3689</v>
      </c>
      <c r="F863" s="22" t="n">
        <v>17</v>
      </c>
      <c r="G863" s="26" t="n">
        <v>212.67</v>
      </c>
      <c r="H863" s="26" t="n">
        <v>234.8</v>
      </c>
      <c r="I863" s="26" t="n">
        <v>256.93</v>
      </c>
      <c r="J863" s="26" t="n">
        <v>273.53</v>
      </c>
      <c r="K863" s="26" t="n">
        <v>290.13</v>
      </c>
      <c r="L863" s="26" t="n">
        <v>2.65</v>
      </c>
      <c r="M863" s="27" t="n">
        <v>0.005</v>
      </c>
      <c r="N863" s="27" t="n">
        <v>0.002</v>
      </c>
      <c r="O863" s="26" t="n">
        <v>5</v>
      </c>
      <c r="P863" s="26" t="n">
        <v>5</v>
      </c>
      <c r="Q863" s="28" t="n">
        <v>100</v>
      </c>
      <c r="R863" s="26" t="n">
        <v>30</v>
      </c>
      <c r="S863" s="26" t="n">
        <v>0</v>
      </c>
      <c r="T863" s="28" t="n">
        <v>1</v>
      </c>
      <c r="U863" s="26" t="n">
        <v>0</v>
      </c>
      <c r="V863" s="26" t="n">
        <v>0</v>
      </c>
      <c r="W863" s="22" t="s">
        <v>18</v>
      </c>
      <c r="X863" s="22" t="s">
        <v>373</v>
      </c>
    </row>
    <row r="864" customFormat="false" ht="15" hidden="false" customHeight="false" outlineLevel="0" collapsed="false">
      <c r="A864" s="22" t="s">
        <v>3690</v>
      </c>
      <c r="B864" s="22" t="s">
        <v>18</v>
      </c>
      <c r="C864" s="22" t="s">
        <v>3691</v>
      </c>
      <c r="D864" s="22" t="s">
        <v>3692</v>
      </c>
      <c r="E864" s="22" t="s">
        <v>3693</v>
      </c>
      <c r="F864" s="22" t="n">
        <v>17</v>
      </c>
      <c r="G864" s="26" t="n">
        <v>212.67</v>
      </c>
      <c r="H864" s="26" t="n">
        <v>234.8</v>
      </c>
      <c r="I864" s="26" t="n">
        <v>256.93</v>
      </c>
      <c r="J864" s="26" t="n">
        <v>273.53</v>
      </c>
      <c r="K864" s="26" t="n">
        <v>290.13</v>
      </c>
      <c r="L864" s="26" t="n">
        <v>2.65</v>
      </c>
      <c r="M864" s="27" t="n">
        <v>0.005</v>
      </c>
      <c r="N864" s="27" t="n">
        <v>0.002</v>
      </c>
      <c r="O864" s="26" t="n">
        <v>5</v>
      </c>
      <c r="P864" s="26" t="n">
        <v>5</v>
      </c>
      <c r="Q864" s="28" t="n">
        <v>100</v>
      </c>
      <c r="R864" s="26" t="n">
        <v>30</v>
      </c>
      <c r="S864" s="26" t="n">
        <v>0</v>
      </c>
      <c r="T864" s="28" t="n">
        <v>1</v>
      </c>
      <c r="U864" s="26" t="n">
        <v>0</v>
      </c>
      <c r="V864" s="26" t="n">
        <v>0</v>
      </c>
      <c r="W864" s="22" t="s">
        <v>18</v>
      </c>
      <c r="X864" s="22" t="s">
        <v>373</v>
      </c>
    </row>
    <row r="865" customFormat="false" ht="15" hidden="false" customHeight="false" outlineLevel="0" collapsed="false">
      <c r="A865" s="22" t="s">
        <v>3694</v>
      </c>
      <c r="B865" s="22" t="s">
        <v>18</v>
      </c>
      <c r="C865" s="22" t="s">
        <v>3695</v>
      </c>
      <c r="D865" s="22" t="s">
        <v>3696</v>
      </c>
      <c r="E865" s="22" t="s">
        <v>3697</v>
      </c>
      <c r="F865" s="22" t="n">
        <v>17</v>
      </c>
      <c r="G865" s="26" t="n">
        <v>212.67</v>
      </c>
      <c r="H865" s="26" t="n">
        <v>234.8</v>
      </c>
      <c r="I865" s="26" t="n">
        <v>256.93</v>
      </c>
      <c r="J865" s="26" t="n">
        <v>273.53</v>
      </c>
      <c r="K865" s="26" t="n">
        <v>290.13</v>
      </c>
      <c r="L865" s="26" t="n">
        <v>2.65</v>
      </c>
      <c r="M865" s="27" t="n">
        <v>0.005</v>
      </c>
      <c r="N865" s="27" t="n">
        <v>0.002</v>
      </c>
      <c r="O865" s="26" t="n">
        <v>5</v>
      </c>
      <c r="P865" s="26" t="n">
        <v>5</v>
      </c>
      <c r="Q865" s="28" t="n">
        <v>100</v>
      </c>
      <c r="R865" s="26" t="n">
        <v>30</v>
      </c>
      <c r="S865" s="26" t="n">
        <v>0</v>
      </c>
      <c r="T865" s="28" t="n">
        <v>1</v>
      </c>
      <c r="U865" s="26" t="n">
        <v>0</v>
      </c>
      <c r="V865" s="26" t="n">
        <v>0</v>
      </c>
      <c r="W865" s="22" t="s">
        <v>18</v>
      </c>
      <c r="X865" s="22" t="s">
        <v>373</v>
      </c>
    </row>
    <row r="866" customFormat="false" ht="15" hidden="false" customHeight="false" outlineLevel="0" collapsed="false">
      <c r="A866" s="22" t="s">
        <v>3698</v>
      </c>
      <c r="B866" s="22" t="s">
        <v>18</v>
      </c>
      <c r="C866" s="22" t="s">
        <v>3699</v>
      </c>
      <c r="D866" s="22" t="s">
        <v>3700</v>
      </c>
      <c r="E866" s="22" t="s">
        <v>3701</v>
      </c>
      <c r="F866" s="22" t="n">
        <v>17</v>
      </c>
      <c r="G866" s="26" t="n">
        <v>212.67</v>
      </c>
      <c r="H866" s="26" t="n">
        <v>234.8</v>
      </c>
      <c r="I866" s="26" t="n">
        <v>256.93</v>
      </c>
      <c r="J866" s="26" t="n">
        <v>273.53</v>
      </c>
      <c r="K866" s="26" t="n">
        <v>290.13</v>
      </c>
      <c r="L866" s="26" t="n">
        <v>2.65</v>
      </c>
      <c r="M866" s="27" t="n">
        <v>0.005</v>
      </c>
      <c r="N866" s="27" t="n">
        <v>0.002</v>
      </c>
      <c r="O866" s="26" t="n">
        <v>5</v>
      </c>
      <c r="P866" s="26" t="n">
        <v>5</v>
      </c>
      <c r="Q866" s="28" t="n">
        <v>100</v>
      </c>
      <c r="R866" s="26" t="n">
        <v>30</v>
      </c>
      <c r="S866" s="26" t="n">
        <v>0</v>
      </c>
      <c r="T866" s="28" t="n">
        <v>1</v>
      </c>
      <c r="U866" s="26" t="n">
        <v>0</v>
      </c>
      <c r="V866" s="26" t="n">
        <v>0</v>
      </c>
      <c r="W866" s="22" t="s">
        <v>18</v>
      </c>
      <c r="X866" s="22" t="s">
        <v>373</v>
      </c>
    </row>
    <row r="867" customFormat="false" ht="15" hidden="false" customHeight="false" outlineLevel="0" collapsed="false">
      <c r="A867" s="22" t="s">
        <v>3702</v>
      </c>
      <c r="B867" s="22" t="s">
        <v>18</v>
      </c>
      <c r="C867" s="22" t="s">
        <v>3703</v>
      </c>
      <c r="D867" s="22" t="s">
        <v>3704</v>
      </c>
      <c r="E867" s="22" t="s">
        <v>3705</v>
      </c>
      <c r="F867" s="22" t="n">
        <v>17</v>
      </c>
      <c r="G867" s="26" t="n">
        <v>212.67</v>
      </c>
      <c r="H867" s="26" t="n">
        <v>234.8</v>
      </c>
      <c r="I867" s="26" t="n">
        <v>256.93</v>
      </c>
      <c r="J867" s="26" t="n">
        <v>273.53</v>
      </c>
      <c r="K867" s="26" t="n">
        <v>290.13</v>
      </c>
      <c r="L867" s="26" t="n">
        <v>2.65</v>
      </c>
      <c r="M867" s="27" t="n">
        <v>0.005</v>
      </c>
      <c r="N867" s="27" t="n">
        <v>0.002</v>
      </c>
      <c r="O867" s="26" t="n">
        <v>5</v>
      </c>
      <c r="P867" s="26" t="n">
        <v>5</v>
      </c>
      <c r="Q867" s="28" t="n">
        <v>100</v>
      </c>
      <c r="R867" s="26" t="n">
        <v>30</v>
      </c>
      <c r="S867" s="26" t="n">
        <v>0</v>
      </c>
      <c r="T867" s="28" t="n">
        <v>1</v>
      </c>
      <c r="U867" s="26" t="n">
        <v>0</v>
      </c>
      <c r="V867" s="26" t="n">
        <v>400</v>
      </c>
      <c r="W867" s="22" t="s">
        <v>18</v>
      </c>
      <c r="X867" s="22" t="s">
        <v>373</v>
      </c>
    </row>
    <row r="868" customFormat="false" ht="15" hidden="false" customHeight="false" outlineLevel="0" collapsed="false">
      <c r="A868" s="22" t="s">
        <v>3706</v>
      </c>
      <c r="B868" s="22" t="s">
        <v>18</v>
      </c>
      <c r="C868" s="22" t="s">
        <v>1912</v>
      </c>
      <c r="D868" s="22" t="s">
        <v>3707</v>
      </c>
      <c r="E868" s="22" t="s">
        <v>3708</v>
      </c>
      <c r="F868" s="22" t="n">
        <v>13</v>
      </c>
      <c r="G868" s="26" t="n">
        <v>212.67</v>
      </c>
      <c r="H868" s="26" t="n">
        <v>234.8</v>
      </c>
      <c r="I868" s="26" t="n">
        <v>256.93</v>
      </c>
      <c r="J868" s="26" t="n">
        <v>273.53</v>
      </c>
      <c r="K868" s="26" t="n">
        <v>290.13</v>
      </c>
      <c r="L868" s="26" t="n">
        <v>2.65</v>
      </c>
      <c r="M868" s="27" t="n">
        <v>0.005</v>
      </c>
      <c r="N868" s="27" t="n">
        <v>0.002</v>
      </c>
      <c r="O868" s="26" t="n">
        <v>5</v>
      </c>
      <c r="P868" s="26" t="n">
        <v>5</v>
      </c>
      <c r="Q868" s="28" t="n">
        <v>100</v>
      </c>
      <c r="R868" s="26" t="n">
        <v>30</v>
      </c>
      <c r="S868" s="26" t="n">
        <v>0</v>
      </c>
      <c r="T868" s="28" t="n">
        <v>1</v>
      </c>
      <c r="U868" s="26" t="n">
        <v>0</v>
      </c>
      <c r="V868" s="26" t="n">
        <v>0</v>
      </c>
      <c r="W868" s="22" t="s">
        <v>18</v>
      </c>
      <c r="X868" s="22" t="s">
        <v>373</v>
      </c>
    </row>
    <row r="869" customFormat="false" ht="15" hidden="false" customHeight="false" outlineLevel="0" collapsed="false">
      <c r="A869" s="22" t="s">
        <v>3709</v>
      </c>
      <c r="B869" s="22" t="s">
        <v>18</v>
      </c>
      <c r="C869" s="22" t="s">
        <v>3710</v>
      </c>
      <c r="D869" s="22" t="s">
        <v>3711</v>
      </c>
      <c r="E869" s="22" t="s">
        <v>3712</v>
      </c>
      <c r="F869" s="22" t="n">
        <v>17</v>
      </c>
      <c r="G869" s="26" t="n">
        <v>212.67</v>
      </c>
      <c r="H869" s="26" t="n">
        <v>234.8</v>
      </c>
      <c r="I869" s="26" t="n">
        <v>256.93</v>
      </c>
      <c r="J869" s="26" t="n">
        <v>273.53</v>
      </c>
      <c r="K869" s="26" t="n">
        <v>290.13</v>
      </c>
      <c r="L869" s="26" t="n">
        <v>2.65</v>
      </c>
      <c r="M869" s="27" t="n">
        <v>0.005</v>
      </c>
      <c r="N869" s="27" t="n">
        <v>0.002</v>
      </c>
      <c r="O869" s="26" t="n">
        <v>5</v>
      </c>
      <c r="P869" s="26" t="n">
        <v>5</v>
      </c>
      <c r="Q869" s="28" t="n">
        <v>100</v>
      </c>
      <c r="R869" s="26" t="n">
        <v>30</v>
      </c>
      <c r="S869" s="26" t="n">
        <v>0</v>
      </c>
      <c r="T869" s="28" t="n">
        <v>1</v>
      </c>
      <c r="U869" s="26" t="n">
        <v>0</v>
      </c>
      <c r="V869" s="26" t="n">
        <v>0</v>
      </c>
      <c r="W869" s="22" t="s">
        <v>18</v>
      </c>
      <c r="X869" s="22" t="s">
        <v>373</v>
      </c>
    </row>
    <row r="870" customFormat="false" ht="15" hidden="false" customHeight="false" outlineLevel="0" collapsed="false">
      <c r="A870" s="22" t="s">
        <v>3713</v>
      </c>
      <c r="B870" s="22" t="s">
        <v>18</v>
      </c>
      <c r="C870" s="22" t="s">
        <v>3714</v>
      </c>
      <c r="D870" s="22" t="s">
        <v>3715</v>
      </c>
      <c r="E870" s="22" t="s">
        <v>3716</v>
      </c>
      <c r="F870" s="22" t="n">
        <v>17</v>
      </c>
      <c r="G870" s="26" t="n">
        <v>212.67</v>
      </c>
      <c r="H870" s="26" t="n">
        <v>234.8</v>
      </c>
      <c r="I870" s="26" t="n">
        <v>256.93</v>
      </c>
      <c r="J870" s="26" t="n">
        <v>273.53</v>
      </c>
      <c r="K870" s="26" t="n">
        <v>290.13</v>
      </c>
      <c r="L870" s="26" t="n">
        <v>2.65</v>
      </c>
      <c r="M870" s="27" t="n">
        <v>0.005</v>
      </c>
      <c r="N870" s="27" t="n">
        <v>0.002</v>
      </c>
      <c r="O870" s="26" t="n">
        <v>5</v>
      </c>
      <c r="P870" s="26" t="n">
        <v>5</v>
      </c>
      <c r="Q870" s="28" t="n">
        <v>100</v>
      </c>
      <c r="R870" s="26" t="n">
        <v>30</v>
      </c>
      <c r="S870" s="26" t="n">
        <v>0</v>
      </c>
      <c r="T870" s="28" t="n">
        <v>1</v>
      </c>
      <c r="U870" s="26" t="n">
        <v>0</v>
      </c>
      <c r="V870" s="26" t="n">
        <v>0</v>
      </c>
      <c r="W870" s="22" t="s">
        <v>18</v>
      </c>
      <c r="X870" s="22" t="s">
        <v>373</v>
      </c>
    </row>
    <row r="871" customFormat="false" ht="15" hidden="false" customHeight="false" outlineLevel="0" collapsed="false">
      <c r="A871" s="22" t="s">
        <v>3717</v>
      </c>
      <c r="B871" s="22" t="s">
        <v>18</v>
      </c>
      <c r="C871" s="22" t="s">
        <v>3718</v>
      </c>
      <c r="D871" s="22" t="s">
        <v>3719</v>
      </c>
      <c r="E871" s="22" t="s">
        <v>3720</v>
      </c>
      <c r="F871" s="22" t="n">
        <v>17</v>
      </c>
      <c r="G871" s="26" t="n">
        <v>212.67</v>
      </c>
      <c r="H871" s="26" t="n">
        <v>234.8</v>
      </c>
      <c r="I871" s="26" t="n">
        <v>256.93</v>
      </c>
      <c r="J871" s="26" t="n">
        <v>273.53</v>
      </c>
      <c r="K871" s="26" t="n">
        <v>290.13</v>
      </c>
      <c r="L871" s="26" t="n">
        <v>2.65</v>
      </c>
      <c r="M871" s="27" t="n">
        <v>0.005</v>
      </c>
      <c r="N871" s="27" t="n">
        <v>0.002</v>
      </c>
      <c r="O871" s="26" t="n">
        <v>5</v>
      </c>
      <c r="P871" s="26" t="n">
        <v>5</v>
      </c>
      <c r="Q871" s="28" t="n">
        <v>100</v>
      </c>
      <c r="R871" s="26" t="n">
        <v>30</v>
      </c>
      <c r="S871" s="26" t="n">
        <v>0</v>
      </c>
      <c r="T871" s="28" t="n">
        <v>1</v>
      </c>
      <c r="U871" s="26" t="n">
        <v>0</v>
      </c>
      <c r="V871" s="26" t="n">
        <v>0</v>
      </c>
      <c r="W871" s="22" t="s">
        <v>18</v>
      </c>
      <c r="X871" s="22" t="s">
        <v>373</v>
      </c>
    </row>
    <row r="872" customFormat="false" ht="15" hidden="false" customHeight="false" outlineLevel="0" collapsed="false">
      <c r="A872" s="22" t="s">
        <v>3721</v>
      </c>
      <c r="B872" s="22" t="s">
        <v>18</v>
      </c>
      <c r="C872" s="22" t="s">
        <v>3722</v>
      </c>
      <c r="D872" s="22" t="s">
        <v>3723</v>
      </c>
      <c r="E872" s="22" t="s">
        <v>3724</v>
      </c>
      <c r="F872" s="22" t="n">
        <v>17</v>
      </c>
      <c r="G872" s="26" t="n">
        <v>212.67</v>
      </c>
      <c r="H872" s="26" t="n">
        <v>234.8</v>
      </c>
      <c r="I872" s="26" t="n">
        <v>256.93</v>
      </c>
      <c r="J872" s="26" t="n">
        <v>273.53</v>
      </c>
      <c r="K872" s="26" t="n">
        <v>290.13</v>
      </c>
      <c r="L872" s="26" t="n">
        <v>2.65</v>
      </c>
      <c r="M872" s="27" t="n">
        <v>0.005</v>
      </c>
      <c r="N872" s="27" t="n">
        <v>0.002</v>
      </c>
      <c r="O872" s="26" t="n">
        <v>5</v>
      </c>
      <c r="P872" s="26" t="n">
        <v>5</v>
      </c>
      <c r="Q872" s="28" t="n">
        <v>100</v>
      </c>
      <c r="R872" s="26" t="n">
        <v>30</v>
      </c>
      <c r="S872" s="26" t="n">
        <v>0</v>
      </c>
      <c r="T872" s="28" t="n">
        <v>1</v>
      </c>
      <c r="U872" s="26" t="n">
        <v>0</v>
      </c>
      <c r="V872" s="26" t="n">
        <v>400</v>
      </c>
      <c r="W872" s="22" t="s">
        <v>18</v>
      </c>
      <c r="X872" s="22" t="s">
        <v>373</v>
      </c>
    </row>
    <row r="873" customFormat="false" ht="15" hidden="false" customHeight="false" outlineLevel="0" collapsed="false">
      <c r="A873" s="22" t="s">
        <v>3725</v>
      </c>
      <c r="B873" s="22" t="s">
        <v>18</v>
      </c>
      <c r="C873" s="22" t="s">
        <v>3726</v>
      </c>
      <c r="D873" s="22" t="s">
        <v>3727</v>
      </c>
      <c r="E873" s="22" t="s">
        <v>3728</v>
      </c>
      <c r="F873" s="22" t="n">
        <v>17</v>
      </c>
      <c r="G873" s="26" t="n">
        <v>212.67</v>
      </c>
      <c r="H873" s="26" t="n">
        <v>234.8</v>
      </c>
      <c r="I873" s="26" t="n">
        <v>256.93</v>
      </c>
      <c r="J873" s="26" t="n">
        <v>273.53</v>
      </c>
      <c r="K873" s="26" t="n">
        <v>290.13</v>
      </c>
      <c r="L873" s="26" t="n">
        <v>2.65</v>
      </c>
      <c r="M873" s="27" t="n">
        <v>0.005</v>
      </c>
      <c r="N873" s="27" t="n">
        <v>0.002</v>
      </c>
      <c r="O873" s="26" t="n">
        <v>5</v>
      </c>
      <c r="P873" s="26" t="n">
        <v>5</v>
      </c>
      <c r="Q873" s="28" t="n">
        <v>100</v>
      </c>
      <c r="R873" s="26" t="n">
        <v>30</v>
      </c>
      <c r="S873" s="26" t="n">
        <v>0</v>
      </c>
      <c r="T873" s="28" t="n">
        <v>1</v>
      </c>
      <c r="U873" s="26" t="n">
        <v>0</v>
      </c>
      <c r="V873" s="26" t="n">
        <v>400</v>
      </c>
      <c r="W873" s="22" t="s">
        <v>18</v>
      </c>
      <c r="X873" s="22" t="s">
        <v>373</v>
      </c>
    </row>
    <row r="874" customFormat="false" ht="15" hidden="false" customHeight="false" outlineLevel="0" collapsed="false">
      <c r="A874" s="22" t="s">
        <v>3729</v>
      </c>
      <c r="B874" s="22" t="s">
        <v>18</v>
      </c>
      <c r="C874" s="22" t="s">
        <v>3730</v>
      </c>
      <c r="D874" s="22" t="s">
        <v>3731</v>
      </c>
      <c r="E874" s="22" t="s">
        <v>3732</v>
      </c>
      <c r="F874" s="22" t="n">
        <v>13</v>
      </c>
      <c r="G874" s="26" t="n">
        <v>212.67</v>
      </c>
      <c r="H874" s="26" t="n">
        <v>234.8</v>
      </c>
      <c r="I874" s="26" t="n">
        <v>256.93</v>
      </c>
      <c r="J874" s="26" t="n">
        <v>273.53</v>
      </c>
      <c r="K874" s="26" t="n">
        <v>290.13</v>
      </c>
      <c r="L874" s="26" t="n">
        <v>2.65</v>
      </c>
      <c r="M874" s="27" t="n">
        <v>0.005</v>
      </c>
      <c r="N874" s="27" t="n">
        <v>0.002</v>
      </c>
      <c r="O874" s="26" t="n">
        <v>5</v>
      </c>
      <c r="P874" s="26" t="n">
        <v>5</v>
      </c>
      <c r="Q874" s="28" t="n">
        <v>100</v>
      </c>
      <c r="R874" s="26" t="n">
        <v>30</v>
      </c>
      <c r="S874" s="26" t="n">
        <v>0</v>
      </c>
      <c r="T874" s="28" t="n">
        <v>1</v>
      </c>
      <c r="U874" s="26" t="n">
        <v>0</v>
      </c>
      <c r="V874" s="26" t="n">
        <v>0</v>
      </c>
      <c r="W874" s="22" t="s">
        <v>18</v>
      </c>
      <c r="X874" s="22" t="s">
        <v>373</v>
      </c>
    </row>
    <row r="875" customFormat="false" ht="15" hidden="false" customHeight="false" outlineLevel="0" collapsed="false">
      <c r="A875" s="22" t="s">
        <v>3733</v>
      </c>
      <c r="B875" s="22" t="s">
        <v>18</v>
      </c>
      <c r="C875" s="22" t="s">
        <v>3734</v>
      </c>
      <c r="D875" s="22" t="s">
        <v>3735</v>
      </c>
      <c r="E875" s="22" t="s">
        <v>3736</v>
      </c>
      <c r="F875" s="22" t="n">
        <v>17</v>
      </c>
      <c r="G875" s="26" t="n">
        <v>212.67</v>
      </c>
      <c r="H875" s="26" t="n">
        <v>234.8</v>
      </c>
      <c r="I875" s="26" t="n">
        <v>256.93</v>
      </c>
      <c r="J875" s="26" t="n">
        <v>273.53</v>
      </c>
      <c r="K875" s="26" t="n">
        <v>290.13</v>
      </c>
      <c r="L875" s="26" t="n">
        <v>2.65</v>
      </c>
      <c r="M875" s="27" t="n">
        <v>0.005</v>
      </c>
      <c r="N875" s="27" t="n">
        <v>0.002</v>
      </c>
      <c r="O875" s="26" t="n">
        <v>5</v>
      </c>
      <c r="P875" s="26" t="n">
        <v>5</v>
      </c>
      <c r="Q875" s="28" t="n">
        <v>100</v>
      </c>
      <c r="R875" s="26" t="n">
        <v>30</v>
      </c>
      <c r="S875" s="26" t="n">
        <v>0</v>
      </c>
      <c r="T875" s="28" t="n">
        <v>1</v>
      </c>
      <c r="U875" s="26" t="n">
        <v>0</v>
      </c>
      <c r="V875" s="26" t="n">
        <v>0</v>
      </c>
      <c r="W875" s="22" t="s">
        <v>18</v>
      </c>
      <c r="X875" s="22" t="s">
        <v>373</v>
      </c>
    </row>
    <row r="876" customFormat="false" ht="15" hidden="false" customHeight="false" outlineLevel="0" collapsed="false">
      <c r="A876" s="22" t="s">
        <v>3737</v>
      </c>
      <c r="B876" s="22" t="s">
        <v>18</v>
      </c>
      <c r="C876" s="22" t="s">
        <v>3738</v>
      </c>
      <c r="D876" s="22" t="s">
        <v>3739</v>
      </c>
      <c r="E876" s="22" t="s">
        <v>3740</v>
      </c>
      <c r="F876" s="22" t="n">
        <v>17</v>
      </c>
      <c r="G876" s="26" t="n">
        <v>212.67</v>
      </c>
      <c r="H876" s="26" t="n">
        <v>234.8</v>
      </c>
      <c r="I876" s="26" t="n">
        <v>256.93</v>
      </c>
      <c r="J876" s="26" t="n">
        <v>273.53</v>
      </c>
      <c r="K876" s="26" t="n">
        <v>290.13</v>
      </c>
      <c r="L876" s="26" t="n">
        <v>2.65</v>
      </c>
      <c r="M876" s="27" t="n">
        <v>0.005</v>
      </c>
      <c r="N876" s="27" t="n">
        <v>0.002</v>
      </c>
      <c r="O876" s="26" t="n">
        <v>5</v>
      </c>
      <c r="P876" s="26" t="n">
        <v>5</v>
      </c>
      <c r="Q876" s="28" t="n">
        <v>100</v>
      </c>
      <c r="R876" s="26" t="n">
        <v>30</v>
      </c>
      <c r="S876" s="26" t="n">
        <v>0</v>
      </c>
      <c r="T876" s="28" t="n">
        <v>1</v>
      </c>
      <c r="U876" s="26" t="n">
        <v>0</v>
      </c>
      <c r="V876" s="26" t="n">
        <v>400</v>
      </c>
      <c r="W876" s="22" t="s">
        <v>18</v>
      </c>
      <c r="X876" s="22" t="s">
        <v>373</v>
      </c>
    </row>
    <row r="877" customFormat="false" ht="15" hidden="false" customHeight="false" outlineLevel="0" collapsed="false">
      <c r="A877" s="22" t="s">
        <v>3741</v>
      </c>
      <c r="B877" s="22" t="s">
        <v>18</v>
      </c>
      <c r="C877" s="22" t="s">
        <v>3742</v>
      </c>
      <c r="D877" s="22" t="s">
        <v>3743</v>
      </c>
      <c r="E877" s="22" t="s">
        <v>3744</v>
      </c>
      <c r="F877" s="22" t="n">
        <v>17</v>
      </c>
      <c r="G877" s="26" t="n">
        <v>212.67</v>
      </c>
      <c r="H877" s="26" t="n">
        <v>234.8</v>
      </c>
      <c r="I877" s="26" t="n">
        <v>256.93</v>
      </c>
      <c r="J877" s="26" t="n">
        <v>273.53</v>
      </c>
      <c r="K877" s="26" t="n">
        <v>290.13</v>
      </c>
      <c r="L877" s="26" t="n">
        <v>2.65</v>
      </c>
      <c r="M877" s="27" t="n">
        <v>0.005</v>
      </c>
      <c r="N877" s="27" t="n">
        <v>0.002</v>
      </c>
      <c r="O877" s="26" t="n">
        <v>5</v>
      </c>
      <c r="P877" s="26" t="n">
        <v>5</v>
      </c>
      <c r="Q877" s="28" t="n">
        <v>100</v>
      </c>
      <c r="R877" s="26" t="n">
        <v>30</v>
      </c>
      <c r="S877" s="26" t="n">
        <v>0</v>
      </c>
      <c r="T877" s="28" t="n">
        <v>1</v>
      </c>
      <c r="U877" s="26" t="n">
        <v>0</v>
      </c>
      <c r="V877" s="26" t="n">
        <v>0</v>
      </c>
      <c r="W877" s="22" t="s">
        <v>18</v>
      </c>
      <c r="X877" s="22" t="s">
        <v>373</v>
      </c>
    </row>
    <row r="878" customFormat="false" ht="15" hidden="false" customHeight="false" outlineLevel="0" collapsed="false">
      <c r="A878" s="22" t="s">
        <v>3745</v>
      </c>
      <c r="B878" s="22" t="s">
        <v>18</v>
      </c>
      <c r="C878" s="22" t="s">
        <v>3746</v>
      </c>
      <c r="D878" s="22" t="s">
        <v>3747</v>
      </c>
      <c r="E878" s="22" t="s">
        <v>3748</v>
      </c>
      <c r="F878" s="22" t="n">
        <v>13</v>
      </c>
      <c r="G878" s="26" t="n">
        <v>212.67</v>
      </c>
      <c r="H878" s="26" t="n">
        <v>234.8</v>
      </c>
      <c r="I878" s="26" t="n">
        <v>256.93</v>
      </c>
      <c r="J878" s="26" t="n">
        <v>273.53</v>
      </c>
      <c r="K878" s="26" t="n">
        <v>290.13</v>
      </c>
      <c r="L878" s="26" t="n">
        <v>2.65</v>
      </c>
      <c r="M878" s="27" t="n">
        <v>0.005</v>
      </c>
      <c r="N878" s="27" t="n">
        <v>0.002</v>
      </c>
      <c r="O878" s="26" t="n">
        <v>5</v>
      </c>
      <c r="P878" s="26" t="n">
        <v>5</v>
      </c>
      <c r="Q878" s="28" t="n">
        <v>100</v>
      </c>
      <c r="R878" s="26" t="n">
        <v>30</v>
      </c>
      <c r="S878" s="26" t="n">
        <v>0</v>
      </c>
      <c r="T878" s="28" t="n">
        <v>1</v>
      </c>
      <c r="U878" s="26" t="n">
        <v>0</v>
      </c>
      <c r="V878" s="26" t="n">
        <v>0</v>
      </c>
      <c r="W878" s="22" t="s">
        <v>18</v>
      </c>
      <c r="X878" s="22" t="s">
        <v>373</v>
      </c>
    </row>
    <row r="879" customFormat="false" ht="15" hidden="false" customHeight="false" outlineLevel="0" collapsed="false">
      <c r="A879" s="22" t="s">
        <v>3749</v>
      </c>
      <c r="B879" s="29" t="s">
        <v>18</v>
      </c>
      <c r="C879" s="29" t="s">
        <v>1964</v>
      </c>
      <c r="D879" s="22" t="s">
        <v>3750</v>
      </c>
      <c r="E879" s="22" t="s">
        <v>3751</v>
      </c>
      <c r="F879" s="22" t="n">
        <v>17</v>
      </c>
      <c r="G879" s="26" t="n">
        <v>99.55</v>
      </c>
      <c r="H879" s="26" t="n">
        <v>109.56</v>
      </c>
      <c r="I879" s="26" t="n">
        <v>129.6</v>
      </c>
      <c r="J879" s="26" t="n">
        <v>139.62</v>
      </c>
      <c r="K879" s="26" t="n">
        <v>154.64</v>
      </c>
      <c r="L879" s="26" t="n">
        <v>2.06</v>
      </c>
      <c r="M879" s="27" t="n">
        <v>0.005</v>
      </c>
      <c r="N879" s="27" t="n">
        <v>0.002</v>
      </c>
      <c r="O879" s="26" t="n">
        <v>5</v>
      </c>
      <c r="P879" s="26" t="n">
        <v>5</v>
      </c>
      <c r="Q879" s="28" t="n">
        <v>100</v>
      </c>
      <c r="R879" s="26" t="n">
        <v>30</v>
      </c>
      <c r="S879" s="26" t="n">
        <v>0</v>
      </c>
      <c r="T879" s="28" t="n">
        <v>1</v>
      </c>
      <c r="U879" s="26" t="n">
        <v>0</v>
      </c>
      <c r="V879" s="26" t="n">
        <v>0</v>
      </c>
      <c r="W879" s="29" t="s">
        <v>19</v>
      </c>
      <c r="X879" s="22" t="s">
        <v>373</v>
      </c>
    </row>
    <row r="880" customFormat="false" ht="15" hidden="false" customHeight="false" outlineLevel="0" collapsed="false">
      <c r="A880" s="22" t="s">
        <v>3752</v>
      </c>
      <c r="B880" s="22" t="s">
        <v>18</v>
      </c>
      <c r="C880" s="22" t="s">
        <v>3753</v>
      </c>
      <c r="D880" s="22" t="s">
        <v>3754</v>
      </c>
      <c r="E880" s="22" t="s">
        <v>3755</v>
      </c>
      <c r="F880" s="22" t="n">
        <v>17</v>
      </c>
      <c r="G880" s="26" t="n">
        <v>212.67</v>
      </c>
      <c r="H880" s="26" t="n">
        <v>234.8</v>
      </c>
      <c r="I880" s="26" t="n">
        <v>256.93</v>
      </c>
      <c r="J880" s="26" t="n">
        <v>273.53</v>
      </c>
      <c r="K880" s="26" t="n">
        <v>290.13</v>
      </c>
      <c r="L880" s="26" t="n">
        <v>2.65</v>
      </c>
      <c r="M880" s="27" t="n">
        <v>0.005</v>
      </c>
      <c r="N880" s="27" t="n">
        <v>0.002</v>
      </c>
      <c r="O880" s="26" t="n">
        <v>5</v>
      </c>
      <c r="P880" s="26" t="n">
        <v>5</v>
      </c>
      <c r="Q880" s="28" t="n">
        <v>100</v>
      </c>
      <c r="R880" s="26" t="n">
        <v>30</v>
      </c>
      <c r="S880" s="26" t="n">
        <v>0</v>
      </c>
      <c r="T880" s="28" t="n">
        <v>1</v>
      </c>
      <c r="U880" s="26" t="n">
        <v>0</v>
      </c>
      <c r="V880" s="26" t="n">
        <v>0</v>
      </c>
      <c r="W880" s="22" t="s">
        <v>18</v>
      </c>
      <c r="X880" s="22" t="s">
        <v>373</v>
      </c>
    </row>
    <row r="881" customFormat="false" ht="15" hidden="false" customHeight="false" outlineLevel="0" collapsed="false">
      <c r="A881" s="22" t="s">
        <v>3756</v>
      </c>
      <c r="B881" s="22" t="s">
        <v>18</v>
      </c>
      <c r="C881" s="22" t="s">
        <v>3757</v>
      </c>
      <c r="D881" s="22" t="s">
        <v>3758</v>
      </c>
      <c r="E881" s="22" t="s">
        <v>3759</v>
      </c>
      <c r="F881" s="22" t="n">
        <v>17</v>
      </c>
      <c r="G881" s="26" t="n">
        <v>212.67</v>
      </c>
      <c r="H881" s="26" t="n">
        <v>234.8</v>
      </c>
      <c r="I881" s="26" t="n">
        <v>256.93</v>
      </c>
      <c r="J881" s="26" t="n">
        <v>273.53</v>
      </c>
      <c r="K881" s="26" t="n">
        <v>290.13</v>
      </c>
      <c r="L881" s="26" t="n">
        <v>2.65</v>
      </c>
      <c r="M881" s="27" t="n">
        <v>0.005</v>
      </c>
      <c r="N881" s="27" t="n">
        <v>0.002</v>
      </c>
      <c r="O881" s="26" t="n">
        <v>5</v>
      </c>
      <c r="P881" s="26" t="n">
        <v>5</v>
      </c>
      <c r="Q881" s="28" t="n">
        <v>100</v>
      </c>
      <c r="R881" s="26" t="n">
        <v>30</v>
      </c>
      <c r="S881" s="26" t="n">
        <v>0</v>
      </c>
      <c r="T881" s="28" t="n">
        <v>1</v>
      </c>
      <c r="U881" s="26" t="n">
        <v>0</v>
      </c>
      <c r="V881" s="26" t="n">
        <v>0</v>
      </c>
      <c r="W881" s="22" t="s">
        <v>18</v>
      </c>
      <c r="X881" s="22" t="s">
        <v>373</v>
      </c>
    </row>
    <row r="882" customFormat="false" ht="15" hidden="false" customHeight="false" outlineLevel="0" collapsed="false">
      <c r="A882" s="22" t="s">
        <v>3760</v>
      </c>
      <c r="B882" s="22" t="s">
        <v>18</v>
      </c>
      <c r="C882" s="22" t="s">
        <v>3761</v>
      </c>
      <c r="D882" s="22" t="s">
        <v>3762</v>
      </c>
      <c r="E882" s="22" t="s">
        <v>3763</v>
      </c>
      <c r="F882" s="22" t="n">
        <v>17</v>
      </c>
      <c r="G882" s="26" t="n">
        <v>212.67</v>
      </c>
      <c r="H882" s="26" t="n">
        <v>234.8</v>
      </c>
      <c r="I882" s="26" t="n">
        <v>256.93</v>
      </c>
      <c r="J882" s="26" t="n">
        <v>273.53</v>
      </c>
      <c r="K882" s="26" t="n">
        <v>290.13</v>
      </c>
      <c r="L882" s="26" t="n">
        <v>2.65</v>
      </c>
      <c r="M882" s="27" t="n">
        <v>0.005</v>
      </c>
      <c r="N882" s="27" t="n">
        <v>0.002</v>
      </c>
      <c r="O882" s="26" t="n">
        <v>5</v>
      </c>
      <c r="P882" s="26" t="n">
        <v>5</v>
      </c>
      <c r="Q882" s="28" t="n">
        <v>100</v>
      </c>
      <c r="R882" s="26" t="n">
        <v>30</v>
      </c>
      <c r="S882" s="26" t="n">
        <v>0</v>
      </c>
      <c r="T882" s="28" t="n">
        <v>1</v>
      </c>
      <c r="U882" s="26" t="n">
        <v>0</v>
      </c>
      <c r="V882" s="26" t="n">
        <v>0</v>
      </c>
      <c r="W882" s="22" t="s">
        <v>18</v>
      </c>
      <c r="X882" s="22" t="s">
        <v>373</v>
      </c>
    </row>
    <row r="883" customFormat="false" ht="15" hidden="false" customHeight="false" outlineLevel="0" collapsed="false">
      <c r="A883" s="22" t="s">
        <v>3764</v>
      </c>
      <c r="B883" s="22" t="s">
        <v>18</v>
      </c>
      <c r="C883" s="22" t="s">
        <v>3765</v>
      </c>
      <c r="D883" s="22" t="s">
        <v>3766</v>
      </c>
      <c r="E883" s="22" t="s">
        <v>3767</v>
      </c>
      <c r="F883" s="22" t="n">
        <v>17</v>
      </c>
      <c r="G883" s="26" t="n">
        <v>212.67</v>
      </c>
      <c r="H883" s="26" t="n">
        <v>234.8</v>
      </c>
      <c r="I883" s="26" t="n">
        <v>256.93</v>
      </c>
      <c r="J883" s="26" t="n">
        <v>273.53</v>
      </c>
      <c r="K883" s="26" t="n">
        <v>290.13</v>
      </c>
      <c r="L883" s="26" t="n">
        <v>2.65</v>
      </c>
      <c r="M883" s="27" t="n">
        <v>0.005</v>
      </c>
      <c r="N883" s="27" t="n">
        <v>0.002</v>
      </c>
      <c r="O883" s="26" t="n">
        <v>5</v>
      </c>
      <c r="P883" s="26" t="n">
        <v>5</v>
      </c>
      <c r="Q883" s="28" t="n">
        <v>100</v>
      </c>
      <c r="R883" s="26" t="n">
        <v>30</v>
      </c>
      <c r="S883" s="26" t="n">
        <v>0</v>
      </c>
      <c r="T883" s="28" t="n">
        <v>1</v>
      </c>
      <c r="U883" s="26" t="n">
        <v>0</v>
      </c>
      <c r="V883" s="26" t="n">
        <v>0</v>
      </c>
      <c r="W883" s="22" t="s">
        <v>18</v>
      </c>
      <c r="X883" s="22" t="s">
        <v>373</v>
      </c>
    </row>
    <row r="884" customFormat="false" ht="15" hidden="false" customHeight="false" outlineLevel="0" collapsed="false">
      <c r="A884" s="22" t="s">
        <v>3768</v>
      </c>
      <c r="B884" s="22" t="s">
        <v>18</v>
      </c>
      <c r="C884" s="22" t="s">
        <v>3769</v>
      </c>
      <c r="D884" s="22" t="s">
        <v>3770</v>
      </c>
      <c r="E884" s="22" t="s">
        <v>3771</v>
      </c>
      <c r="F884" s="22" t="n">
        <v>17</v>
      </c>
      <c r="G884" s="26" t="n">
        <v>212.67</v>
      </c>
      <c r="H884" s="26" t="n">
        <v>234.8</v>
      </c>
      <c r="I884" s="26" t="n">
        <v>256.93</v>
      </c>
      <c r="J884" s="26" t="n">
        <v>273.53</v>
      </c>
      <c r="K884" s="26" t="n">
        <v>290.13</v>
      </c>
      <c r="L884" s="26" t="n">
        <v>2.65</v>
      </c>
      <c r="M884" s="27" t="n">
        <v>0.005</v>
      </c>
      <c r="N884" s="27" t="n">
        <v>0.002</v>
      </c>
      <c r="O884" s="26" t="n">
        <v>5</v>
      </c>
      <c r="P884" s="26" t="n">
        <v>5</v>
      </c>
      <c r="Q884" s="28" t="n">
        <v>100</v>
      </c>
      <c r="R884" s="26" t="n">
        <v>30</v>
      </c>
      <c r="S884" s="26" t="n">
        <v>0</v>
      </c>
      <c r="T884" s="28" t="n">
        <v>1</v>
      </c>
      <c r="U884" s="26" t="n">
        <v>0</v>
      </c>
      <c r="V884" s="26" t="n">
        <v>0</v>
      </c>
      <c r="W884" s="22" t="s">
        <v>18</v>
      </c>
      <c r="X884" s="22" t="s">
        <v>373</v>
      </c>
    </row>
    <row r="885" customFormat="false" ht="15" hidden="false" customHeight="false" outlineLevel="0" collapsed="false">
      <c r="A885" s="22" t="s">
        <v>3772</v>
      </c>
      <c r="B885" s="29" t="s">
        <v>18</v>
      </c>
      <c r="C885" s="29" t="s">
        <v>3773</v>
      </c>
      <c r="D885" s="22" t="s">
        <v>3774</v>
      </c>
      <c r="E885" s="22" t="s">
        <v>3775</v>
      </c>
      <c r="F885" s="22" t="n">
        <v>17</v>
      </c>
      <c r="G885" s="26" t="n">
        <v>99.55</v>
      </c>
      <c r="H885" s="26" t="n">
        <v>109.56</v>
      </c>
      <c r="I885" s="26" t="n">
        <v>129.6</v>
      </c>
      <c r="J885" s="26" t="n">
        <v>139.62</v>
      </c>
      <c r="K885" s="26" t="n">
        <v>154.64</v>
      </c>
      <c r="L885" s="26" t="n">
        <v>2.06</v>
      </c>
      <c r="M885" s="27" t="n">
        <v>0.005</v>
      </c>
      <c r="N885" s="27" t="n">
        <v>0.002</v>
      </c>
      <c r="O885" s="26" t="n">
        <v>5</v>
      </c>
      <c r="P885" s="26" t="n">
        <v>5</v>
      </c>
      <c r="Q885" s="28" t="n">
        <v>100</v>
      </c>
      <c r="R885" s="26" t="n">
        <v>30</v>
      </c>
      <c r="S885" s="26" t="n">
        <v>0</v>
      </c>
      <c r="T885" s="28" t="n">
        <v>1</v>
      </c>
      <c r="U885" s="26" t="n">
        <v>0</v>
      </c>
      <c r="V885" s="26" t="n">
        <v>0</v>
      </c>
      <c r="W885" s="29" t="s">
        <v>19</v>
      </c>
      <c r="X885" s="22" t="s">
        <v>373</v>
      </c>
    </row>
    <row r="886" customFormat="false" ht="15" hidden="false" customHeight="false" outlineLevel="0" collapsed="false">
      <c r="A886" s="22" t="s">
        <v>3776</v>
      </c>
      <c r="B886" s="22" t="s">
        <v>18</v>
      </c>
      <c r="C886" s="22" t="s">
        <v>3777</v>
      </c>
      <c r="D886" s="22" t="s">
        <v>3778</v>
      </c>
      <c r="E886" s="22" t="s">
        <v>3779</v>
      </c>
      <c r="F886" s="22" t="n">
        <v>17</v>
      </c>
      <c r="G886" s="26" t="n">
        <v>212.67</v>
      </c>
      <c r="H886" s="26" t="n">
        <v>234.8</v>
      </c>
      <c r="I886" s="26" t="n">
        <v>256.93</v>
      </c>
      <c r="J886" s="26" t="n">
        <v>273.53</v>
      </c>
      <c r="K886" s="26" t="n">
        <v>290.13</v>
      </c>
      <c r="L886" s="26" t="n">
        <v>2.65</v>
      </c>
      <c r="M886" s="27" t="n">
        <v>0.005</v>
      </c>
      <c r="N886" s="27" t="n">
        <v>0.002</v>
      </c>
      <c r="O886" s="26" t="n">
        <v>5</v>
      </c>
      <c r="P886" s="26" t="n">
        <v>5</v>
      </c>
      <c r="Q886" s="28" t="n">
        <v>100</v>
      </c>
      <c r="R886" s="26" t="n">
        <v>30</v>
      </c>
      <c r="S886" s="26" t="n">
        <v>0</v>
      </c>
      <c r="T886" s="28" t="n">
        <v>1</v>
      </c>
      <c r="U886" s="26" t="n">
        <v>0</v>
      </c>
      <c r="V886" s="26" t="n">
        <v>0</v>
      </c>
      <c r="W886" s="22" t="s">
        <v>18</v>
      </c>
      <c r="X886" s="22" t="s">
        <v>373</v>
      </c>
    </row>
    <row r="887" customFormat="false" ht="15" hidden="false" customHeight="false" outlineLevel="0" collapsed="false">
      <c r="A887" s="22" t="s">
        <v>3780</v>
      </c>
      <c r="B887" s="22" t="s">
        <v>18</v>
      </c>
      <c r="C887" s="22" t="s">
        <v>3781</v>
      </c>
      <c r="D887" s="22" t="s">
        <v>3782</v>
      </c>
      <c r="E887" s="22" t="s">
        <v>3783</v>
      </c>
      <c r="F887" s="22" t="n">
        <v>17</v>
      </c>
      <c r="G887" s="26" t="n">
        <v>212.67</v>
      </c>
      <c r="H887" s="26" t="n">
        <v>234.8</v>
      </c>
      <c r="I887" s="26" t="n">
        <v>256.93</v>
      </c>
      <c r="J887" s="26" t="n">
        <v>273.53</v>
      </c>
      <c r="K887" s="26" t="n">
        <v>290.13</v>
      </c>
      <c r="L887" s="26" t="n">
        <v>2.65</v>
      </c>
      <c r="M887" s="27" t="n">
        <v>0.005</v>
      </c>
      <c r="N887" s="27" t="n">
        <v>0.002</v>
      </c>
      <c r="O887" s="26" t="n">
        <v>5</v>
      </c>
      <c r="P887" s="26" t="n">
        <v>5</v>
      </c>
      <c r="Q887" s="28" t="n">
        <v>100</v>
      </c>
      <c r="R887" s="26" t="n">
        <v>30</v>
      </c>
      <c r="S887" s="26" t="n">
        <v>0</v>
      </c>
      <c r="T887" s="28" t="n">
        <v>1</v>
      </c>
      <c r="U887" s="26" t="n">
        <v>0</v>
      </c>
      <c r="V887" s="26" t="n">
        <v>400</v>
      </c>
      <c r="W887" s="22" t="s">
        <v>18</v>
      </c>
      <c r="X887" s="22" t="s">
        <v>373</v>
      </c>
    </row>
    <row r="888" customFormat="false" ht="15" hidden="false" customHeight="false" outlineLevel="0" collapsed="false">
      <c r="A888" s="22" t="s">
        <v>3784</v>
      </c>
      <c r="B888" s="22" t="s">
        <v>18</v>
      </c>
      <c r="C888" s="22" t="s">
        <v>3785</v>
      </c>
      <c r="D888" s="22" t="s">
        <v>3786</v>
      </c>
      <c r="E888" s="22" t="s">
        <v>3787</v>
      </c>
      <c r="F888" s="22" t="n">
        <v>17</v>
      </c>
      <c r="G888" s="26" t="n">
        <v>212.67</v>
      </c>
      <c r="H888" s="26" t="n">
        <v>234.8</v>
      </c>
      <c r="I888" s="26" t="n">
        <v>256.93</v>
      </c>
      <c r="J888" s="26" t="n">
        <v>273.53</v>
      </c>
      <c r="K888" s="26" t="n">
        <v>290.13</v>
      </c>
      <c r="L888" s="26" t="n">
        <v>2.65</v>
      </c>
      <c r="M888" s="27" t="n">
        <v>0.005</v>
      </c>
      <c r="N888" s="27" t="n">
        <v>0.002</v>
      </c>
      <c r="O888" s="26" t="n">
        <v>5</v>
      </c>
      <c r="P888" s="26" t="n">
        <v>5</v>
      </c>
      <c r="Q888" s="28" t="n">
        <v>100</v>
      </c>
      <c r="R888" s="26" t="n">
        <v>30</v>
      </c>
      <c r="S888" s="26" t="n">
        <v>0</v>
      </c>
      <c r="T888" s="28" t="n">
        <v>1</v>
      </c>
      <c r="U888" s="26" t="n">
        <v>0</v>
      </c>
      <c r="V888" s="26" t="n">
        <v>0</v>
      </c>
      <c r="W888" s="22" t="s">
        <v>18</v>
      </c>
      <c r="X888" s="22" t="s">
        <v>373</v>
      </c>
    </row>
    <row r="889" customFormat="false" ht="15" hidden="false" customHeight="false" outlineLevel="0" collapsed="false">
      <c r="A889" s="22" t="s">
        <v>3788</v>
      </c>
      <c r="B889" s="22" t="s">
        <v>18</v>
      </c>
      <c r="C889" s="22" t="s">
        <v>3789</v>
      </c>
      <c r="D889" s="22" t="s">
        <v>3790</v>
      </c>
      <c r="E889" s="22" t="s">
        <v>3791</v>
      </c>
      <c r="F889" s="22" t="n">
        <v>17</v>
      </c>
      <c r="G889" s="26" t="n">
        <v>212.67</v>
      </c>
      <c r="H889" s="26" t="n">
        <v>234.8</v>
      </c>
      <c r="I889" s="26" t="n">
        <v>256.93</v>
      </c>
      <c r="J889" s="26" t="n">
        <v>273.53</v>
      </c>
      <c r="K889" s="26" t="n">
        <v>290.13</v>
      </c>
      <c r="L889" s="26" t="n">
        <v>2.65</v>
      </c>
      <c r="M889" s="27" t="n">
        <v>0.005</v>
      </c>
      <c r="N889" s="27" t="n">
        <v>0.002</v>
      </c>
      <c r="O889" s="26" t="n">
        <v>5</v>
      </c>
      <c r="P889" s="26" t="n">
        <v>5</v>
      </c>
      <c r="Q889" s="28" t="n">
        <v>100</v>
      </c>
      <c r="R889" s="26" t="n">
        <v>30</v>
      </c>
      <c r="S889" s="26" t="n">
        <v>0</v>
      </c>
      <c r="T889" s="28" t="n">
        <v>1</v>
      </c>
      <c r="U889" s="26" t="n">
        <v>0</v>
      </c>
      <c r="V889" s="26" t="n">
        <v>0</v>
      </c>
      <c r="W889" s="22" t="s">
        <v>18</v>
      </c>
      <c r="X889" s="22" t="s">
        <v>373</v>
      </c>
    </row>
    <row r="890" customFormat="false" ht="15" hidden="false" customHeight="false" outlineLevel="0" collapsed="false">
      <c r="A890" s="22" t="s">
        <v>3792</v>
      </c>
      <c r="B890" s="22" t="s">
        <v>18</v>
      </c>
      <c r="C890" s="22" t="s">
        <v>3793</v>
      </c>
      <c r="D890" s="22" t="s">
        <v>3794</v>
      </c>
      <c r="E890" s="22" t="s">
        <v>3795</v>
      </c>
      <c r="F890" s="22" t="n">
        <v>17</v>
      </c>
      <c r="G890" s="26" t="n">
        <v>212.67</v>
      </c>
      <c r="H890" s="26" t="n">
        <v>234.8</v>
      </c>
      <c r="I890" s="26" t="n">
        <v>256.93</v>
      </c>
      <c r="J890" s="26" t="n">
        <v>273.53</v>
      </c>
      <c r="K890" s="26" t="n">
        <v>290.13</v>
      </c>
      <c r="L890" s="26" t="n">
        <v>2.65</v>
      </c>
      <c r="M890" s="27" t="n">
        <v>0.005</v>
      </c>
      <c r="N890" s="27" t="n">
        <v>0.002</v>
      </c>
      <c r="O890" s="26" t="n">
        <v>5</v>
      </c>
      <c r="P890" s="26" t="n">
        <v>5</v>
      </c>
      <c r="Q890" s="28" t="n">
        <v>100</v>
      </c>
      <c r="R890" s="26" t="n">
        <v>30</v>
      </c>
      <c r="S890" s="26" t="n">
        <v>0</v>
      </c>
      <c r="T890" s="28" t="n">
        <v>1</v>
      </c>
      <c r="U890" s="26" t="n">
        <v>0</v>
      </c>
      <c r="V890" s="26" t="n">
        <v>0</v>
      </c>
      <c r="W890" s="22" t="s">
        <v>18</v>
      </c>
      <c r="X890" s="22" t="s">
        <v>373</v>
      </c>
    </row>
    <row r="891" customFormat="false" ht="15" hidden="false" customHeight="false" outlineLevel="0" collapsed="false">
      <c r="A891" s="22" t="s">
        <v>3796</v>
      </c>
      <c r="B891" s="22" t="s">
        <v>18</v>
      </c>
      <c r="C891" s="22" t="s">
        <v>3797</v>
      </c>
      <c r="D891" s="22" t="s">
        <v>3798</v>
      </c>
      <c r="E891" s="22" t="s">
        <v>3799</v>
      </c>
      <c r="F891" s="22" t="n">
        <v>17</v>
      </c>
      <c r="G891" s="26" t="n">
        <v>212.67</v>
      </c>
      <c r="H891" s="26" t="n">
        <v>234.8</v>
      </c>
      <c r="I891" s="26" t="n">
        <v>256.93</v>
      </c>
      <c r="J891" s="26" t="n">
        <v>273.53</v>
      </c>
      <c r="K891" s="26" t="n">
        <v>290.13</v>
      </c>
      <c r="L891" s="26" t="n">
        <v>2.65</v>
      </c>
      <c r="M891" s="27" t="n">
        <v>0.005</v>
      </c>
      <c r="N891" s="27" t="n">
        <v>0.002</v>
      </c>
      <c r="O891" s="26" t="n">
        <v>5</v>
      </c>
      <c r="P891" s="26" t="n">
        <v>5</v>
      </c>
      <c r="Q891" s="28" t="n">
        <v>100</v>
      </c>
      <c r="R891" s="26" t="n">
        <v>30</v>
      </c>
      <c r="S891" s="26" t="n">
        <v>0</v>
      </c>
      <c r="T891" s="28" t="n">
        <v>1</v>
      </c>
      <c r="U891" s="26" t="n">
        <v>0</v>
      </c>
      <c r="V891" s="26" t="n">
        <v>400</v>
      </c>
      <c r="W891" s="22" t="s">
        <v>18</v>
      </c>
      <c r="X891" s="22" t="s">
        <v>373</v>
      </c>
    </row>
    <row r="892" customFormat="false" ht="15" hidden="false" customHeight="false" outlineLevel="0" collapsed="false">
      <c r="A892" s="22" t="s">
        <v>3800</v>
      </c>
      <c r="B892" s="22" t="s">
        <v>18</v>
      </c>
      <c r="C892" s="22" t="s">
        <v>3801</v>
      </c>
      <c r="D892" s="22" t="s">
        <v>3802</v>
      </c>
      <c r="E892" s="22" t="s">
        <v>3803</v>
      </c>
      <c r="F892" s="22" t="n">
        <v>17</v>
      </c>
      <c r="G892" s="26" t="n">
        <v>212.67</v>
      </c>
      <c r="H892" s="26" t="n">
        <v>234.8</v>
      </c>
      <c r="I892" s="26" t="n">
        <v>256.93</v>
      </c>
      <c r="J892" s="26" t="n">
        <v>273.53</v>
      </c>
      <c r="K892" s="26" t="n">
        <v>290.13</v>
      </c>
      <c r="L892" s="26" t="n">
        <v>2.65</v>
      </c>
      <c r="M892" s="27" t="n">
        <v>0.005</v>
      </c>
      <c r="N892" s="27" t="n">
        <v>0.002</v>
      </c>
      <c r="O892" s="26" t="n">
        <v>5</v>
      </c>
      <c r="P892" s="26" t="n">
        <v>5</v>
      </c>
      <c r="Q892" s="28" t="n">
        <v>100</v>
      </c>
      <c r="R892" s="26" t="n">
        <v>30</v>
      </c>
      <c r="S892" s="26" t="n">
        <v>0</v>
      </c>
      <c r="T892" s="28" t="n">
        <v>1</v>
      </c>
      <c r="U892" s="26" t="n">
        <v>0</v>
      </c>
      <c r="V892" s="26" t="n">
        <v>0</v>
      </c>
      <c r="W892" s="22" t="s">
        <v>18</v>
      </c>
      <c r="X892" s="22" t="s">
        <v>373</v>
      </c>
    </row>
    <row r="893" customFormat="false" ht="15" hidden="false" customHeight="false" outlineLevel="0" collapsed="false">
      <c r="A893" s="22" t="s">
        <v>3804</v>
      </c>
      <c r="B893" s="22" t="s">
        <v>18</v>
      </c>
      <c r="C893" s="22" t="s">
        <v>3805</v>
      </c>
      <c r="D893" s="22" t="s">
        <v>3806</v>
      </c>
      <c r="E893" s="22" t="s">
        <v>3807</v>
      </c>
      <c r="F893" s="22" t="n">
        <v>17</v>
      </c>
      <c r="G893" s="26" t="n">
        <v>212.67</v>
      </c>
      <c r="H893" s="26" t="n">
        <v>234.8</v>
      </c>
      <c r="I893" s="26" t="n">
        <v>256.93</v>
      </c>
      <c r="J893" s="26" t="n">
        <v>273.53</v>
      </c>
      <c r="K893" s="26" t="n">
        <v>290.13</v>
      </c>
      <c r="L893" s="26" t="n">
        <v>2.65</v>
      </c>
      <c r="M893" s="27" t="n">
        <v>0.005</v>
      </c>
      <c r="N893" s="27" t="n">
        <v>0.002</v>
      </c>
      <c r="O893" s="26" t="n">
        <v>5</v>
      </c>
      <c r="P893" s="26" t="n">
        <v>5</v>
      </c>
      <c r="Q893" s="28" t="n">
        <v>100</v>
      </c>
      <c r="R893" s="26" t="n">
        <v>30</v>
      </c>
      <c r="S893" s="26" t="n">
        <v>0</v>
      </c>
      <c r="T893" s="28" t="n">
        <v>1</v>
      </c>
      <c r="U893" s="26" t="n">
        <v>0</v>
      </c>
      <c r="V893" s="26" t="n">
        <v>0</v>
      </c>
      <c r="W893" s="22" t="s">
        <v>18</v>
      </c>
      <c r="X893" s="22" t="s">
        <v>373</v>
      </c>
    </row>
    <row r="894" customFormat="false" ht="15" hidden="false" customHeight="false" outlineLevel="0" collapsed="false">
      <c r="A894" s="22" t="s">
        <v>3808</v>
      </c>
      <c r="B894" s="22" t="s">
        <v>18</v>
      </c>
      <c r="C894" s="22" t="s">
        <v>3809</v>
      </c>
      <c r="D894" s="22" t="s">
        <v>3810</v>
      </c>
      <c r="E894" s="22" t="s">
        <v>3811</v>
      </c>
      <c r="F894" s="22" t="n">
        <v>17</v>
      </c>
      <c r="G894" s="26" t="n">
        <v>212.67</v>
      </c>
      <c r="H894" s="26" t="n">
        <v>234.8</v>
      </c>
      <c r="I894" s="26" t="n">
        <v>256.93</v>
      </c>
      <c r="J894" s="26" t="n">
        <v>273.53</v>
      </c>
      <c r="K894" s="26" t="n">
        <v>290.13</v>
      </c>
      <c r="L894" s="26" t="n">
        <v>2.65</v>
      </c>
      <c r="M894" s="27" t="n">
        <v>0.005</v>
      </c>
      <c r="N894" s="27" t="n">
        <v>0.002</v>
      </c>
      <c r="O894" s="26" t="n">
        <v>5</v>
      </c>
      <c r="P894" s="26" t="n">
        <v>5</v>
      </c>
      <c r="Q894" s="28" t="n">
        <v>100</v>
      </c>
      <c r="R894" s="26" t="n">
        <v>30</v>
      </c>
      <c r="S894" s="26" t="n">
        <v>0</v>
      </c>
      <c r="T894" s="28" t="n">
        <v>1</v>
      </c>
      <c r="U894" s="26" t="n">
        <v>0</v>
      </c>
      <c r="V894" s="26" t="n">
        <v>400</v>
      </c>
      <c r="W894" s="22" t="s">
        <v>18</v>
      </c>
      <c r="X894" s="22" t="s">
        <v>373</v>
      </c>
    </row>
    <row r="895" customFormat="false" ht="15" hidden="false" customHeight="false" outlineLevel="0" collapsed="false">
      <c r="A895" s="22" t="s">
        <v>3812</v>
      </c>
      <c r="B895" s="22" t="s">
        <v>18</v>
      </c>
      <c r="C895" s="22" t="s">
        <v>3813</v>
      </c>
      <c r="D895" s="22" t="s">
        <v>3814</v>
      </c>
      <c r="E895" s="22" t="s">
        <v>3815</v>
      </c>
      <c r="F895" s="22" t="n">
        <v>17</v>
      </c>
      <c r="G895" s="26" t="n">
        <v>212.67</v>
      </c>
      <c r="H895" s="26" t="n">
        <v>234.8</v>
      </c>
      <c r="I895" s="26" t="n">
        <v>256.93</v>
      </c>
      <c r="J895" s="26" t="n">
        <v>273.53</v>
      </c>
      <c r="K895" s="26" t="n">
        <v>290.13</v>
      </c>
      <c r="L895" s="26" t="n">
        <v>2.65</v>
      </c>
      <c r="M895" s="27" t="n">
        <v>0.005</v>
      </c>
      <c r="N895" s="27" t="n">
        <v>0.002</v>
      </c>
      <c r="O895" s="26" t="n">
        <v>5</v>
      </c>
      <c r="P895" s="26" t="n">
        <v>5</v>
      </c>
      <c r="Q895" s="28" t="n">
        <v>100</v>
      </c>
      <c r="R895" s="26" t="n">
        <v>30</v>
      </c>
      <c r="S895" s="26" t="n">
        <v>0</v>
      </c>
      <c r="T895" s="28" t="n">
        <v>1</v>
      </c>
      <c r="U895" s="26" t="n">
        <v>0</v>
      </c>
      <c r="V895" s="26" t="n">
        <v>0</v>
      </c>
      <c r="W895" s="22" t="s">
        <v>18</v>
      </c>
      <c r="X895" s="22" t="s">
        <v>373</v>
      </c>
    </row>
    <row r="896" customFormat="false" ht="15" hidden="false" customHeight="false" outlineLevel="0" collapsed="false">
      <c r="A896" s="22" t="s">
        <v>3816</v>
      </c>
      <c r="B896" s="22" t="s">
        <v>18</v>
      </c>
      <c r="C896" s="22" t="s">
        <v>3817</v>
      </c>
      <c r="D896" s="22" t="s">
        <v>3818</v>
      </c>
      <c r="E896" s="22" t="s">
        <v>3819</v>
      </c>
      <c r="F896" s="22" t="n">
        <v>17</v>
      </c>
      <c r="G896" s="26" t="n">
        <v>212.67</v>
      </c>
      <c r="H896" s="26" t="n">
        <v>234.8</v>
      </c>
      <c r="I896" s="26" t="n">
        <v>256.93</v>
      </c>
      <c r="J896" s="26" t="n">
        <v>273.53</v>
      </c>
      <c r="K896" s="26" t="n">
        <v>290.13</v>
      </c>
      <c r="L896" s="26" t="n">
        <v>2.65</v>
      </c>
      <c r="M896" s="27" t="n">
        <v>0.005</v>
      </c>
      <c r="N896" s="27" t="n">
        <v>0.002</v>
      </c>
      <c r="O896" s="26" t="n">
        <v>5</v>
      </c>
      <c r="P896" s="26" t="n">
        <v>5</v>
      </c>
      <c r="Q896" s="28" t="n">
        <v>100</v>
      </c>
      <c r="R896" s="26" t="n">
        <v>30</v>
      </c>
      <c r="S896" s="26" t="n">
        <v>0</v>
      </c>
      <c r="T896" s="28" t="n">
        <v>1</v>
      </c>
      <c r="U896" s="26" t="n">
        <v>0</v>
      </c>
      <c r="V896" s="26" t="n">
        <v>400</v>
      </c>
      <c r="W896" s="22" t="s">
        <v>18</v>
      </c>
      <c r="X896" s="22" t="s">
        <v>373</v>
      </c>
    </row>
    <row r="897" customFormat="false" ht="15" hidden="false" customHeight="false" outlineLevel="0" collapsed="false">
      <c r="A897" s="22" t="s">
        <v>3820</v>
      </c>
      <c r="B897" s="22" t="s">
        <v>18</v>
      </c>
      <c r="C897" s="22" t="s">
        <v>3821</v>
      </c>
      <c r="D897" s="22" t="s">
        <v>3822</v>
      </c>
      <c r="E897" s="22" t="s">
        <v>3823</v>
      </c>
      <c r="F897" s="22" t="n">
        <v>17</v>
      </c>
      <c r="G897" s="26" t="n">
        <v>212.67</v>
      </c>
      <c r="H897" s="26" t="n">
        <v>234.8</v>
      </c>
      <c r="I897" s="26" t="n">
        <v>256.93</v>
      </c>
      <c r="J897" s="26" t="n">
        <v>273.53</v>
      </c>
      <c r="K897" s="26" t="n">
        <v>290.13</v>
      </c>
      <c r="L897" s="26" t="n">
        <v>2.65</v>
      </c>
      <c r="M897" s="27" t="n">
        <v>0.005</v>
      </c>
      <c r="N897" s="27" t="n">
        <v>0.002</v>
      </c>
      <c r="O897" s="26" t="n">
        <v>5</v>
      </c>
      <c r="P897" s="26" t="n">
        <v>5</v>
      </c>
      <c r="Q897" s="28" t="n">
        <v>100</v>
      </c>
      <c r="R897" s="26" t="n">
        <v>30</v>
      </c>
      <c r="S897" s="26" t="n">
        <v>0</v>
      </c>
      <c r="T897" s="28" t="n">
        <v>1</v>
      </c>
      <c r="U897" s="26" t="n">
        <v>0</v>
      </c>
      <c r="V897" s="26" t="n">
        <v>0</v>
      </c>
      <c r="W897" s="22" t="s">
        <v>18</v>
      </c>
      <c r="X897" s="22" t="s">
        <v>373</v>
      </c>
    </row>
    <row r="898" customFormat="false" ht="15" hidden="false" customHeight="false" outlineLevel="0" collapsed="false">
      <c r="A898" s="22" t="s">
        <v>3824</v>
      </c>
      <c r="B898" s="22" t="s">
        <v>18</v>
      </c>
      <c r="C898" s="22" t="s">
        <v>3825</v>
      </c>
      <c r="D898" s="22" t="s">
        <v>3826</v>
      </c>
      <c r="E898" s="22" t="s">
        <v>3827</v>
      </c>
      <c r="F898" s="22" t="n">
        <v>17</v>
      </c>
      <c r="G898" s="26" t="n">
        <v>212.67</v>
      </c>
      <c r="H898" s="26" t="n">
        <v>234.8</v>
      </c>
      <c r="I898" s="26" t="n">
        <v>256.93</v>
      </c>
      <c r="J898" s="26" t="n">
        <v>273.53</v>
      </c>
      <c r="K898" s="26" t="n">
        <v>290.13</v>
      </c>
      <c r="L898" s="26" t="n">
        <v>2.65</v>
      </c>
      <c r="M898" s="27" t="n">
        <v>0.005</v>
      </c>
      <c r="N898" s="27" t="n">
        <v>0.002</v>
      </c>
      <c r="O898" s="26" t="n">
        <v>5</v>
      </c>
      <c r="P898" s="26" t="n">
        <v>5</v>
      </c>
      <c r="Q898" s="28" t="n">
        <v>100</v>
      </c>
      <c r="R898" s="26" t="n">
        <v>30</v>
      </c>
      <c r="S898" s="26" t="n">
        <v>0</v>
      </c>
      <c r="T898" s="28" t="n">
        <v>1</v>
      </c>
      <c r="U898" s="26" t="n">
        <v>0</v>
      </c>
      <c r="V898" s="26" t="n">
        <v>0</v>
      </c>
      <c r="W898" s="22" t="s">
        <v>18</v>
      </c>
      <c r="X898" s="22" t="s">
        <v>373</v>
      </c>
    </row>
    <row r="899" customFormat="false" ht="15" hidden="false" customHeight="false" outlineLevel="0" collapsed="false">
      <c r="A899" s="22" t="s">
        <v>3828</v>
      </c>
      <c r="B899" s="22" t="s">
        <v>18</v>
      </c>
      <c r="C899" s="22" t="s">
        <v>3829</v>
      </c>
      <c r="D899" s="22" t="s">
        <v>3830</v>
      </c>
      <c r="E899" s="22" t="s">
        <v>3831</v>
      </c>
      <c r="F899" s="22" t="n">
        <v>17</v>
      </c>
      <c r="G899" s="26" t="n">
        <v>212.67</v>
      </c>
      <c r="H899" s="26" t="n">
        <v>234.8</v>
      </c>
      <c r="I899" s="26" t="n">
        <v>256.93</v>
      </c>
      <c r="J899" s="26" t="n">
        <v>273.53</v>
      </c>
      <c r="K899" s="26" t="n">
        <v>290.13</v>
      </c>
      <c r="L899" s="26" t="n">
        <v>2.65</v>
      </c>
      <c r="M899" s="27" t="n">
        <v>0.005</v>
      </c>
      <c r="N899" s="27" t="n">
        <v>0.002</v>
      </c>
      <c r="O899" s="26" t="n">
        <v>5</v>
      </c>
      <c r="P899" s="26" t="n">
        <v>5</v>
      </c>
      <c r="Q899" s="28" t="n">
        <v>100</v>
      </c>
      <c r="R899" s="26" t="n">
        <v>30</v>
      </c>
      <c r="S899" s="26" t="n">
        <v>0</v>
      </c>
      <c r="T899" s="28" t="n">
        <v>1</v>
      </c>
      <c r="U899" s="26" t="n">
        <v>0</v>
      </c>
      <c r="V899" s="26" t="n">
        <v>0</v>
      </c>
      <c r="W899" s="22" t="s">
        <v>18</v>
      </c>
      <c r="X899" s="22" t="s">
        <v>373</v>
      </c>
    </row>
    <row r="900" customFormat="false" ht="15" hidden="false" customHeight="false" outlineLevel="0" collapsed="false">
      <c r="A900" s="22" t="s">
        <v>3832</v>
      </c>
      <c r="B900" s="22" t="s">
        <v>18</v>
      </c>
      <c r="C900" s="22" t="s">
        <v>3833</v>
      </c>
      <c r="D900" s="22" t="s">
        <v>3834</v>
      </c>
      <c r="E900" s="22" t="s">
        <v>3835</v>
      </c>
      <c r="F900" s="22" t="n">
        <v>17</v>
      </c>
      <c r="G900" s="26" t="n">
        <v>212.67</v>
      </c>
      <c r="H900" s="26" t="n">
        <v>234.8</v>
      </c>
      <c r="I900" s="26" t="n">
        <v>256.93</v>
      </c>
      <c r="J900" s="26" t="n">
        <v>273.53</v>
      </c>
      <c r="K900" s="26" t="n">
        <v>290.13</v>
      </c>
      <c r="L900" s="26" t="n">
        <v>2.65</v>
      </c>
      <c r="M900" s="27" t="n">
        <v>0.005</v>
      </c>
      <c r="N900" s="27" t="n">
        <v>0.002</v>
      </c>
      <c r="O900" s="26" t="n">
        <v>5</v>
      </c>
      <c r="P900" s="26" t="n">
        <v>5</v>
      </c>
      <c r="Q900" s="28" t="n">
        <v>100</v>
      </c>
      <c r="R900" s="26" t="n">
        <v>30</v>
      </c>
      <c r="S900" s="26" t="n">
        <v>0</v>
      </c>
      <c r="T900" s="28" t="n">
        <v>1</v>
      </c>
      <c r="U900" s="26" t="n">
        <v>0</v>
      </c>
      <c r="V900" s="26" t="n">
        <v>400</v>
      </c>
      <c r="W900" s="22" t="s">
        <v>18</v>
      </c>
      <c r="X900" s="22" t="s">
        <v>373</v>
      </c>
    </row>
    <row r="901" customFormat="false" ht="15" hidden="false" customHeight="false" outlineLevel="0" collapsed="false">
      <c r="A901" s="22" t="s">
        <v>3836</v>
      </c>
      <c r="B901" s="22" t="s">
        <v>18</v>
      </c>
      <c r="C901" s="22" t="s">
        <v>3837</v>
      </c>
      <c r="D901" s="22" t="s">
        <v>3838</v>
      </c>
      <c r="E901" s="22" t="s">
        <v>3839</v>
      </c>
      <c r="F901" s="22" t="n">
        <v>17</v>
      </c>
      <c r="G901" s="26" t="n">
        <v>212.67</v>
      </c>
      <c r="H901" s="26" t="n">
        <v>234.8</v>
      </c>
      <c r="I901" s="26" t="n">
        <v>256.93</v>
      </c>
      <c r="J901" s="26" t="n">
        <v>273.53</v>
      </c>
      <c r="K901" s="26" t="n">
        <v>290.13</v>
      </c>
      <c r="L901" s="26" t="n">
        <v>2.65</v>
      </c>
      <c r="M901" s="27" t="n">
        <v>0.005</v>
      </c>
      <c r="N901" s="27" t="n">
        <v>0.002</v>
      </c>
      <c r="O901" s="26" t="n">
        <v>5</v>
      </c>
      <c r="P901" s="26" t="n">
        <v>5</v>
      </c>
      <c r="Q901" s="28" t="n">
        <v>100</v>
      </c>
      <c r="R901" s="26" t="n">
        <v>30</v>
      </c>
      <c r="S901" s="26" t="n">
        <v>0</v>
      </c>
      <c r="T901" s="28" t="n">
        <v>1</v>
      </c>
      <c r="U901" s="26" t="n">
        <v>0</v>
      </c>
      <c r="V901" s="26" t="n">
        <v>0</v>
      </c>
      <c r="W901" s="22" t="s">
        <v>18</v>
      </c>
      <c r="X901" s="22" t="s">
        <v>373</v>
      </c>
    </row>
    <row r="902" customFormat="false" ht="15" hidden="false" customHeight="false" outlineLevel="0" collapsed="false">
      <c r="A902" s="22" t="s">
        <v>3840</v>
      </c>
      <c r="B902" s="22" t="s">
        <v>18</v>
      </c>
      <c r="C902" s="22" t="s">
        <v>3841</v>
      </c>
      <c r="D902" s="22" t="s">
        <v>3842</v>
      </c>
      <c r="E902" s="22" t="s">
        <v>3843</v>
      </c>
      <c r="F902" s="22" t="n">
        <v>17</v>
      </c>
      <c r="G902" s="26" t="n">
        <v>212.67</v>
      </c>
      <c r="H902" s="26" t="n">
        <v>234.8</v>
      </c>
      <c r="I902" s="26" t="n">
        <v>256.93</v>
      </c>
      <c r="J902" s="26" t="n">
        <v>273.53</v>
      </c>
      <c r="K902" s="26" t="n">
        <v>290.13</v>
      </c>
      <c r="L902" s="26" t="n">
        <v>2.65</v>
      </c>
      <c r="M902" s="27" t="n">
        <v>0.005</v>
      </c>
      <c r="N902" s="27" t="n">
        <v>0.002</v>
      </c>
      <c r="O902" s="26" t="n">
        <v>5</v>
      </c>
      <c r="P902" s="26" t="n">
        <v>5</v>
      </c>
      <c r="Q902" s="28" t="n">
        <v>100</v>
      </c>
      <c r="R902" s="26" t="n">
        <v>30</v>
      </c>
      <c r="S902" s="26" t="n">
        <v>0</v>
      </c>
      <c r="T902" s="28" t="n">
        <v>1</v>
      </c>
      <c r="U902" s="26" t="n">
        <v>0</v>
      </c>
      <c r="V902" s="26" t="n">
        <v>400</v>
      </c>
      <c r="W902" s="22" t="s">
        <v>18</v>
      </c>
      <c r="X902" s="22" t="s">
        <v>373</v>
      </c>
    </row>
    <row r="903" customFormat="false" ht="15" hidden="false" customHeight="false" outlineLevel="0" collapsed="false">
      <c r="A903" s="22" t="s">
        <v>3844</v>
      </c>
      <c r="B903" s="22" t="s">
        <v>18</v>
      </c>
      <c r="C903" s="22" t="s">
        <v>3845</v>
      </c>
      <c r="D903" s="22" t="s">
        <v>3846</v>
      </c>
      <c r="E903" s="22" t="s">
        <v>3847</v>
      </c>
      <c r="F903" s="22" t="n">
        <v>17</v>
      </c>
      <c r="G903" s="26" t="n">
        <v>212.67</v>
      </c>
      <c r="H903" s="26" t="n">
        <v>234.8</v>
      </c>
      <c r="I903" s="26" t="n">
        <v>256.93</v>
      </c>
      <c r="J903" s="26" t="n">
        <v>273.53</v>
      </c>
      <c r="K903" s="26" t="n">
        <v>290.13</v>
      </c>
      <c r="L903" s="26" t="n">
        <v>2.65</v>
      </c>
      <c r="M903" s="27" t="n">
        <v>0.005</v>
      </c>
      <c r="N903" s="27" t="n">
        <v>0.002</v>
      </c>
      <c r="O903" s="26" t="n">
        <v>5</v>
      </c>
      <c r="P903" s="26" t="n">
        <v>5</v>
      </c>
      <c r="Q903" s="28" t="n">
        <v>100</v>
      </c>
      <c r="R903" s="26" t="n">
        <v>30</v>
      </c>
      <c r="S903" s="26" t="n">
        <v>0</v>
      </c>
      <c r="T903" s="28" t="n">
        <v>1</v>
      </c>
      <c r="U903" s="26" t="n">
        <v>0</v>
      </c>
      <c r="V903" s="26" t="n">
        <v>400</v>
      </c>
      <c r="W903" s="22" t="s">
        <v>18</v>
      </c>
      <c r="X903" s="22" t="s">
        <v>373</v>
      </c>
    </row>
    <row r="904" customFormat="false" ht="15" hidden="false" customHeight="false" outlineLevel="0" collapsed="false">
      <c r="A904" s="22" t="s">
        <v>3848</v>
      </c>
      <c r="B904" s="29" t="s">
        <v>18</v>
      </c>
      <c r="C904" s="29" t="s">
        <v>3849</v>
      </c>
      <c r="D904" s="22" t="s">
        <v>3850</v>
      </c>
      <c r="E904" s="22" t="s">
        <v>3851</v>
      </c>
      <c r="F904" s="22" t="n">
        <v>17</v>
      </c>
      <c r="G904" s="26" t="n">
        <v>109.5</v>
      </c>
      <c r="H904" s="26" t="n">
        <v>120.52</v>
      </c>
      <c r="I904" s="26" t="n">
        <v>142.56</v>
      </c>
      <c r="J904" s="26" t="n">
        <v>153.58</v>
      </c>
      <c r="K904" s="26" t="n">
        <v>170.11</v>
      </c>
      <c r="L904" s="26" t="n">
        <v>2.06</v>
      </c>
      <c r="M904" s="27" t="n">
        <v>0.005</v>
      </c>
      <c r="N904" s="27" t="n">
        <v>0.002</v>
      </c>
      <c r="O904" s="26" t="n">
        <v>5</v>
      </c>
      <c r="P904" s="26" t="n">
        <v>5</v>
      </c>
      <c r="Q904" s="28" t="n">
        <v>100</v>
      </c>
      <c r="R904" s="26" t="n">
        <v>30</v>
      </c>
      <c r="S904" s="26" t="n">
        <v>0</v>
      </c>
      <c r="T904" s="28" t="n">
        <v>1</v>
      </c>
      <c r="U904" s="26" t="n">
        <v>0</v>
      </c>
      <c r="V904" s="26" t="n">
        <v>0</v>
      </c>
      <c r="W904" s="29" t="s">
        <v>20</v>
      </c>
      <c r="X904" s="22" t="s">
        <v>373</v>
      </c>
    </row>
    <row r="905" customFormat="false" ht="15" hidden="false" customHeight="false" outlineLevel="0" collapsed="false">
      <c r="A905" s="22" t="s">
        <v>3852</v>
      </c>
      <c r="B905" s="22" t="s">
        <v>18</v>
      </c>
      <c r="C905" s="22" t="s">
        <v>3853</v>
      </c>
      <c r="D905" s="22" t="s">
        <v>3854</v>
      </c>
      <c r="E905" s="22" t="s">
        <v>3855</v>
      </c>
      <c r="F905" s="22" t="n">
        <v>17</v>
      </c>
      <c r="G905" s="26" t="n">
        <v>212.67</v>
      </c>
      <c r="H905" s="26" t="n">
        <v>234.8</v>
      </c>
      <c r="I905" s="26" t="n">
        <v>256.93</v>
      </c>
      <c r="J905" s="26" t="n">
        <v>273.53</v>
      </c>
      <c r="K905" s="26" t="n">
        <v>290.13</v>
      </c>
      <c r="L905" s="26" t="n">
        <v>2.65</v>
      </c>
      <c r="M905" s="27" t="n">
        <v>0.005</v>
      </c>
      <c r="N905" s="27" t="n">
        <v>0.002</v>
      </c>
      <c r="O905" s="26" t="n">
        <v>5</v>
      </c>
      <c r="P905" s="26" t="n">
        <v>5</v>
      </c>
      <c r="Q905" s="28" t="n">
        <v>100</v>
      </c>
      <c r="R905" s="26" t="n">
        <v>30</v>
      </c>
      <c r="S905" s="26" t="n">
        <v>0</v>
      </c>
      <c r="T905" s="28" t="n">
        <v>1</v>
      </c>
      <c r="U905" s="26" t="n">
        <v>0</v>
      </c>
      <c r="V905" s="26" t="n">
        <v>0</v>
      </c>
      <c r="W905" s="22" t="s">
        <v>18</v>
      </c>
      <c r="X905" s="22" t="s">
        <v>373</v>
      </c>
    </row>
    <row r="906" customFormat="false" ht="15" hidden="false" customHeight="false" outlineLevel="0" collapsed="false">
      <c r="A906" s="22" t="s">
        <v>3856</v>
      </c>
      <c r="B906" s="22" t="s">
        <v>18</v>
      </c>
      <c r="C906" s="22" t="s">
        <v>3857</v>
      </c>
      <c r="D906" s="22" t="s">
        <v>3858</v>
      </c>
      <c r="E906" s="22" t="s">
        <v>3859</v>
      </c>
      <c r="F906" s="22" t="n">
        <v>17</v>
      </c>
      <c r="G906" s="26" t="n">
        <v>212.67</v>
      </c>
      <c r="H906" s="26" t="n">
        <v>234.8</v>
      </c>
      <c r="I906" s="26" t="n">
        <v>256.93</v>
      </c>
      <c r="J906" s="26" t="n">
        <v>273.53</v>
      </c>
      <c r="K906" s="26" t="n">
        <v>290.13</v>
      </c>
      <c r="L906" s="26" t="n">
        <v>2.65</v>
      </c>
      <c r="M906" s="27" t="n">
        <v>0.005</v>
      </c>
      <c r="N906" s="27" t="n">
        <v>0.002</v>
      </c>
      <c r="O906" s="26" t="n">
        <v>5</v>
      </c>
      <c r="P906" s="26" t="n">
        <v>5</v>
      </c>
      <c r="Q906" s="28" t="n">
        <v>100</v>
      </c>
      <c r="R906" s="26" t="n">
        <v>30</v>
      </c>
      <c r="S906" s="26" t="n">
        <v>0</v>
      </c>
      <c r="T906" s="28" t="n">
        <v>1</v>
      </c>
      <c r="U906" s="26" t="n">
        <v>0</v>
      </c>
      <c r="V906" s="26" t="n">
        <v>0</v>
      </c>
      <c r="W906" s="22" t="s">
        <v>18</v>
      </c>
      <c r="X906" s="22" t="s">
        <v>373</v>
      </c>
    </row>
    <row r="907" customFormat="false" ht="15" hidden="false" customHeight="false" outlineLevel="0" collapsed="false">
      <c r="A907" s="22" t="s">
        <v>3860</v>
      </c>
      <c r="B907" s="22" t="s">
        <v>18</v>
      </c>
      <c r="C907" s="22" t="s">
        <v>3861</v>
      </c>
      <c r="D907" s="22" t="s">
        <v>3862</v>
      </c>
      <c r="E907" s="22" t="s">
        <v>3863</v>
      </c>
      <c r="F907" s="22" t="n">
        <v>17</v>
      </c>
      <c r="G907" s="26" t="n">
        <v>212.67</v>
      </c>
      <c r="H907" s="26" t="n">
        <v>234.8</v>
      </c>
      <c r="I907" s="26" t="n">
        <v>256.93</v>
      </c>
      <c r="J907" s="26" t="n">
        <v>273.53</v>
      </c>
      <c r="K907" s="26" t="n">
        <v>290.13</v>
      </c>
      <c r="L907" s="26" t="n">
        <v>2.65</v>
      </c>
      <c r="M907" s="27" t="n">
        <v>0.005</v>
      </c>
      <c r="N907" s="27" t="n">
        <v>0.002</v>
      </c>
      <c r="O907" s="26" t="n">
        <v>5</v>
      </c>
      <c r="P907" s="26" t="n">
        <v>5</v>
      </c>
      <c r="Q907" s="28" t="n">
        <v>100</v>
      </c>
      <c r="R907" s="26" t="n">
        <v>30</v>
      </c>
      <c r="S907" s="26" t="n">
        <v>0</v>
      </c>
      <c r="T907" s="28" t="n">
        <v>1</v>
      </c>
      <c r="U907" s="26" t="n">
        <v>0</v>
      </c>
      <c r="V907" s="26" t="n">
        <v>400</v>
      </c>
      <c r="W907" s="22" t="s">
        <v>18</v>
      </c>
      <c r="X907" s="22" t="s">
        <v>373</v>
      </c>
    </row>
    <row r="908" customFormat="false" ht="15" hidden="false" customHeight="false" outlineLevel="0" collapsed="false">
      <c r="A908" s="22" t="s">
        <v>3864</v>
      </c>
      <c r="B908" s="22" t="s">
        <v>18</v>
      </c>
      <c r="C908" s="22" t="s">
        <v>3865</v>
      </c>
      <c r="D908" s="22" t="s">
        <v>3866</v>
      </c>
      <c r="E908" s="22" t="s">
        <v>3867</v>
      </c>
      <c r="F908" s="22" t="n">
        <v>14</v>
      </c>
      <c r="G908" s="26" t="n">
        <v>212.67</v>
      </c>
      <c r="H908" s="26" t="n">
        <v>234.8</v>
      </c>
      <c r="I908" s="26" t="n">
        <v>256.93</v>
      </c>
      <c r="J908" s="26" t="n">
        <v>273.53</v>
      </c>
      <c r="K908" s="26" t="n">
        <v>290.13</v>
      </c>
      <c r="L908" s="26" t="n">
        <v>2.65</v>
      </c>
      <c r="M908" s="27" t="n">
        <v>0.005</v>
      </c>
      <c r="N908" s="27" t="n">
        <v>0.002</v>
      </c>
      <c r="O908" s="26" t="n">
        <v>5</v>
      </c>
      <c r="P908" s="26" t="n">
        <v>5</v>
      </c>
      <c r="Q908" s="28" t="n">
        <v>100</v>
      </c>
      <c r="R908" s="26" t="n">
        <v>30</v>
      </c>
      <c r="S908" s="26" t="n">
        <v>0</v>
      </c>
      <c r="T908" s="28" t="n">
        <v>1</v>
      </c>
      <c r="U908" s="26" t="n">
        <v>0</v>
      </c>
      <c r="V908" s="26" t="n">
        <v>400</v>
      </c>
      <c r="W908" s="22" t="s">
        <v>18</v>
      </c>
      <c r="X908" s="22" t="s">
        <v>373</v>
      </c>
    </row>
    <row r="909" customFormat="false" ht="15" hidden="false" customHeight="false" outlineLevel="0" collapsed="false">
      <c r="A909" s="22" t="s">
        <v>3868</v>
      </c>
      <c r="B909" s="22" t="s">
        <v>18</v>
      </c>
      <c r="C909" s="22" t="s">
        <v>3869</v>
      </c>
      <c r="D909" s="22" t="s">
        <v>3870</v>
      </c>
      <c r="E909" s="22" t="s">
        <v>3871</v>
      </c>
      <c r="F909" s="22" t="n">
        <v>17</v>
      </c>
      <c r="G909" s="26" t="n">
        <v>212.67</v>
      </c>
      <c r="H909" s="26" t="n">
        <v>234.8</v>
      </c>
      <c r="I909" s="26" t="n">
        <v>256.93</v>
      </c>
      <c r="J909" s="26" t="n">
        <v>273.53</v>
      </c>
      <c r="K909" s="26" t="n">
        <v>290.13</v>
      </c>
      <c r="L909" s="26" t="n">
        <v>2.65</v>
      </c>
      <c r="M909" s="27" t="n">
        <v>0.005</v>
      </c>
      <c r="N909" s="27" t="n">
        <v>0.002</v>
      </c>
      <c r="O909" s="26" t="n">
        <v>5</v>
      </c>
      <c r="P909" s="26" t="n">
        <v>5</v>
      </c>
      <c r="Q909" s="28" t="n">
        <v>100</v>
      </c>
      <c r="R909" s="26" t="n">
        <v>30</v>
      </c>
      <c r="S909" s="26" t="n">
        <v>0</v>
      </c>
      <c r="T909" s="28" t="n">
        <v>1</v>
      </c>
      <c r="U909" s="26" t="n">
        <v>0</v>
      </c>
      <c r="V909" s="26" t="n">
        <v>400</v>
      </c>
      <c r="W909" s="22" t="s">
        <v>18</v>
      </c>
      <c r="X909" s="22" t="s">
        <v>373</v>
      </c>
    </row>
    <row r="910" customFormat="false" ht="15" hidden="false" customHeight="false" outlineLevel="0" collapsed="false">
      <c r="A910" s="22" t="s">
        <v>3872</v>
      </c>
      <c r="B910" s="22" t="s">
        <v>18</v>
      </c>
      <c r="C910" s="22" t="s">
        <v>3873</v>
      </c>
      <c r="D910" s="22" t="s">
        <v>3874</v>
      </c>
      <c r="E910" s="22" t="s">
        <v>3875</v>
      </c>
      <c r="F910" s="22" t="n">
        <v>17</v>
      </c>
      <c r="G910" s="26" t="n">
        <v>212.67</v>
      </c>
      <c r="H910" s="26" t="n">
        <v>234.8</v>
      </c>
      <c r="I910" s="26" t="n">
        <v>256.93</v>
      </c>
      <c r="J910" s="26" t="n">
        <v>273.53</v>
      </c>
      <c r="K910" s="26" t="n">
        <v>290.13</v>
      </c>
      <c r="L910" s="26" t="n">
        <v>2.65</v>
      </c>
      <c r="M910" s="27" t="n">
        <v>0.005</v>
      </c>
      <c r="N910" s="27" t="n">
        <v>0.002</v>
      </c>
      <c r="O910" s="26" t="n">
        <v>5</v>
      </c>
      <c r="P910" s="26" t="n">
        <v>5</v>
      </c>
      <c r="Q910" s="28" t="n">
        <v>100</v>
      </c>
      <c r="R910" s="26" t="n">
        <v>30</v>
      </c>
      <c r="S910" s="26" t="n">
        <v>0</v>
      </c>
      <c r="T910" s="28" t="n">
        <v>1</v>
      </c>
      <c r="U910" s="26" t="n">
        <v>0</v>
      </c>
      <c r="V910" s="26" t="n">
        <v>400</v>
      </c>
      <c r="W910" s="22" t="s">
        <v>18</v>
      </c>
      <c r="X910" s="22" t="s">
        <v>373</v>
      </c>
    </row>
    <row r="911" customFormat="false" ht="15" hidden="false" customHeight="false" outlineLevel="0" collapsed="false">
      <c r="A911" s="22" t="s">
        <v>3876</v>
      </c>
      <c r="B911" s="22" t="s">
        <v>18</v>
      </c>
      <c r="C911" s="22" t="s">
        <v>3877</v>
      </c>
      <c r="D911" s="22" t="s">
        <v>3878</v>
      </c>
      <c r="E911" s="22" t="s">
        <v>3879</v>
      </c>
      <c r="F911" s="22" t="n">
        <v>17</v>
      </c>
      <c r="G911" s="26" t="n">
        <v>212.67</v>
      </c>
      <c r="H911" s="26" t="n">
        <v>234.8</v>
      </c>
      <c r="I911" s="26" t="n">
        <v>256.93</v>
      </c>
      <c r="J911" s="26" t="n">
        <v>273.53</v>
      </c>
      <c r="K911" s="26" t="n">
        <v>290.13</v>
      </c>
      <c r="L911" s="26" t="n">
        <v>2.65</v>
      </c>
      <c r="M911" s="27" t="n">
        <v>0.005</v>
      </c>
      <c r="N911" s="27" t="n">
        <v>0.002</v>
      </c>
      <c r="O911" s="26" t="n">
        <v>5</v>
      </c>
      <c r="P911" s="26" t="n">
        <v>5</v>
      </c>
      <c r="Q911" s="28" t="n">
        <v>100</v>
      </c>
      <c r="R911" s="26" t="n">
        <v>30</v>
      </c>
      <c r="S911" s="26" t="n">
        <v>0</v>
      </c>
      <c r="T911" s="28" t="n">
        <v>1</v>
      </c>
      <c r="U911" s="26" t="n">
        <v>0</v>
      </c>
      <c r="V911" s="26" t="n">
        <v>0</v>
      </c>
      <c r="W911" s="22" t="s">
        <v>18</v>
      </c>
      <c r="X911" s="22" t="s">
        <v>373</v>
      </c>
    </row>
    <row r="912" customFormat="false" ht="15" hidden="false" customHeight="false" outlineLevel="0" collapsed="false">
      <c r="A912" s="22" t="s">
        <v>3880</v>
      </c>
      <c r="B912" s="22" t="s">
        <v>18</v>
      </c>
      <c r="C912" s="22" t="s">
        <v>3881</v>
      </c>
      <c r="D912" s="22" t="s">
        <v>3882</v>
      </c>
      <c r="E912" s="22" t="s">
        <v>3883</v>
      </c>
      <c r="F912" s="22" t="n">
        <v>17</v>
      </c>
      <c r="G912" s="26" t="n">
        <v>212.67</v>
      </c>
      <c r="H912" s="26" t="n">
        <v>234.8</v>
      </c>
      <c r="I912" s="26" t="n">
        <v>256.93</v>
      </c>
      <c r="J912" s="26" t="n">
        <v>273.53</v>
      </c>
      <c r="K912" s="26" t="n">
        <v>290.13</v>
      </c>
      <c r="L912" s="26" t="n">
        <v>2.65</v>
      </c>
      <c r="M912" s="27" t="n">
        <v>0.005</v>
      </c>
      <c r="N912" s="27" t="n">
        <v>0.002</v>
      </c>
      <c r="O912" s="26" t="n">
        <v>5</v>
      </c>
      <c r="P912" s="26" t="n">
        <v>5</v>
      </c>
      <c r="Q912" s="28" t="n">
        <v>100</v>
      </c>
      <c r="R912" s="26" t="n">
        <v>30</v>
      </c>
      <c r="S912" s="26" t="n">
        <v>0</v>
      </c>
      <c r="T912" s="28" t="n">
        <v>1</v>
      </c>
      <c r="U912" s="26" t="n">
        <v>0</v>
      </c>
      <c r="V912" s="26" t="n">
        <v>0</v>
      </c>
      <c r="W912" s="22" t="s">
        <v>18</v>
      </c>
      <c r="X912" s="22" t="s">
        <v>373</v>
      </c>
    </row>
    <row r="913" customFormat="false" ht="15" hidden="false" customHeight="false" outlineLevel="0" collapsed="false">
      <c r="A913" s="22" t="s">
        <v>3884</v>
      </c>
      <c r="B913" s="22" t="s">
        <v>18</v>
      </c>
      <c r="C913" s="22" t="s">
        <v>3885</v>
      </c>
      <c r="D913" s="22" t="s">
        <v>3886</v>
      </c>
      <c r="E913" s="22" t="s">
        <v>3887</v>
      </c>
      <c r="F913" s="22" t="n">
        <v>17</v>
      </c>
      <c r="G913" s="26" t="n">
        <v>212.67</v>
      </c>
      <c r="H913" s="26" t="n">
        <v>234.8</v>
      </c>
      <c r="I913" s="26" t="n">
        <v>256.93</v>
      </c>
      <c r="J913" s="26" t="n">
        <v>273.53</v>
      </c>
      <c r="K913" s="26" t="n">
        <v>290.13</v>
      </c>
      <c r="L913" s="26" t="n">
        <v>2.65</v>
      </c>
      <c r="M913" s="27" t="n">
        <v>0.005</v>
      </c>
      <c r="N913" s="27" t="n">
        <v>0.002</v>
      </c>
      <c r="O913" s="26" t="n">
        <v>5</v>
      </c>
      <c r="P913" s="26" t="n">
        <v>5</v>
      </c>
      <c r="Q913" s="28" t="n">
        <v>100</v>
      </c>
      <c r="R913" s="26" t="n">
        <v>30</v>
      </c>
      <c r="S913" s="26" t="n">
        <v>0</v>
      </c>
      <c r="T913" s="28" t="n">
        <v>1</v>
      </c>
      <c r="U913" s="26" t="n">
        <v>0</v>
      </c>
      <c r="V913" s="26" t="n">
        <v>400</v>
      </c>
      <c r="W913" s="22" t="s">
        <v>18</v>
      </c>
      <c r="X913" s="22" t="s">
        <v>373</v>
      </c>
    </row>
    <row r="914" customFormat="false" ht="15" hidden="false" customHeight="false" outlineLevel="0" collapsed="false">
      <c r="A914" s="22" t="s">
        <v>3888</v>
      </c>
      <c r="B914" s="22" t="s">
        <v>18</v>
      </c>
      <c r="C914" s="22" t="s">
        <v>3889</v>
      </c>
      <c r="D914" s="22" t="s">
        <v>3890</v>
      </c>
      <c r="E914" s="22" t="s">
        <v>3891</v>
      </c>
      <c r="F914" s="22" t="n">
        <v>17</v>
      </c>
      <c r="G914" s="26" t="n">
        <v>212.67</v>
      </c>
      <c r="H914" s="26" t="n">
        <v>234.8</v>
      </c>
      <c r="I914" s="26" t="n">
        <v>256.93</v>
      </c>
      <c r="J914" s="26" t="n">
        <v>273.53</v>
      </c>
      <c r="K914" s="26" t="n">
        <v>290.13</v>
      </c>
      <c r="L914" s="26" t="n">
        <v>2.65</v>
      </c>
      <c r="M914" s="27" t="n">
        <v>0.005</v>
      </c>
      <c r="N914" s="27" t="n">
        <v>0.002</v>
      </c>
      <c r="O914" s="26" t="n">
        <v>5</v>
      </c>
      <c r="P914" s="26" t="n">
        <v>5</v>
      </c>
      <c r="Q914" s="28" t="n">
        <v>100</v>
      </c>
      <c r="R914" s="26" t="n">
        <v>30</v>
      </c>
      <c r="S914" s="26" t="n">
        <v>0</v>
      </c>
      <c r="T914" s="28" t="n">
        <v>1</v>
      </c>
      <c r="U914" s="26" t="n">
        <v>0</v>
      </c>
      <c r="V914" s="26" t="n">
        <v>0</v>
      </c>
      <c r="W914" s="22" t="s">
        <v>18</v>
      </c>
      <c r="X914" s="22" t="s">
        <v>373</v>
      </c>
    </row>
    <row r="915" customFormat="false" ht="15" hidden="false" customHeight="false" outlineLevel="0" collapsed="false">
      <c r="A915" s="22" t="s">
        <v>3892</v>
      </c>
      <c r="B915" s="22" t="s">
        <v>18</v>
      </c>
      <c r="C915" s="22" t="s">
        <v>3893</v>
      </c>
      <c r="D915" s="22" t="s">
        <v>3894</v>
      </c>
      <c r="E915" s="22" t="s">
        <v>3895</v>
      </c>
      <c r="F915" s="22" t="n">
        <v>17</v>
      </c>
      <c r="G915" s="26" t="n">
        <v>212.67</v>
      </c>
      <c r="H915" s="26" t="n">
        <v>234.8</v>
      </c>
      <c r="I915" s="26" t="n">
        <v>256.93</v>
      </c>
      <c r="J915" s="26" t="n">
        <v>273.53</v>
      </c>
      <c r="K915" s="26" t="n">
        <v>290.13</v>
      </c>
      <c r="L915" s="26" t="n">
        <v>2.65</v>
      </c>
      <c r="M915" s="27" t="n">
        <v>0.005</v>
      </c>
      <c r="N915" s="27" t="n">
        <v>0.002</v>
      </c>
      <c r="O915" s="26" t="n">
        <v>5</v>
      </c>
      <c r="P915" s="26" t="n">
        <v>5</v>
      </c>
      <c r="Q915" s="28" t="n">
        <v>100</v>
      </c>
      <c r="R915" s="26" t="n">
        <v>30</v>
      </c>
      <c r="S915" s="26" t="n">
        <v>0</v>
      </c>
      <c r="T915" s="28" t="n">
        <v>1</v>
      </c>
      <c r="U915" s="26" t="n">
        <v>0</v>
      </c>
      <c r="V915" s="26" t="n">
        <v>0</v>
      </c>
      <c r="W915" s="22" t="s">
        <v>18</v>
      </c>
      <c r="X915" s="22" t="s">
        <v>373</v>
      </c>
    </row>
    <row r="916" customFormat="false" ht="15" hidden="false" customHeight="false" outlineLevel="0" collapsed="false">
      <c r="A916" s="22" t="s">
        <v>3896</v>
      </c>
      <c r="B916" s="22" t="s">
        <v>18</v>
      </c>
      <c r="C916" s="22" t="s">
        <v>3897</v>
      </c>
      <c r="D916" s="22" t="s">
        <v>3898</v>
      </c>
      <c r="E916" s="22" t="s">
        <v>3899</v>
      </c>
      <c r="F916" s="22" t="n">
        <v>17</v>
      </c>
      <c r="G916" s="26" t="n">
        <v>212.67</v>
      </c>
      <c r="H916" s="26" t="n">
        <v>234.8</v>
      </c>
      <c r="I916" s="26" t="n">
        <v>256.93</v>
      </c>
      <c r="J916" s="26" t="n">
        <v>273.53</v>
      </c>
      <c r="K916" s="26" t="n">
        <v>290.13</v>
      </c>
      <c r="L916" s="26" t="n">
        <v>2.65</v>
      </c>
      <c r="M916" s="27" t="n">
        <v>0.005</v>
      </c>
      <c r="N916" s="27" t="n">
        <v>0.002</v>
      </c>
      <c r="O916" s="26" t="n">
        <v>5</v>
      </c>
      <c r="P916" s="26" t="n">
        <v>5</v>
      </c>
      <c r="Q916" s="28" t="n">
        <v>100</v>
      </c>
      <c r="R916" s="26" t="n">
        <v>30</v>
      </c>
      <c r="S916" s="26" t="n">
        <v>0</v>
      </c>
      <c r="T916" s="28" t="n">
        <v>1</v>
      </c>
      <c r="U916" s="26" t="n">
        <v>0</v>
      </c>
      <c r="V916" s="26" t="n">
        <v>0</v>
      </c>
      <c r="W916" s="22" t="s">
        <v>18</v>
      </c>
      <c r="X916" s="22" t="s">
        <v>373</v>
      </c>
    </row>
    <row r="917" customFormat="false" ht="15" hidden="false" customHeight="false" outlineLevel="0" collapsed="false">
      <c r="A917" s="22" t="s">
        <v>3900</v>
      </c>
      <c r="B917" s="22" t="s">
        <v>18</v>
      </c>
      <c r="C917" s="22" t="s">
        <v>3901</v>
      </c>
      <c r="D917" s="22" t="s">
        <v>3902</v>
      </c>
      <c r="E917" s="22" t="s">
        <v>3903</v>
      </c>
      <c r="F917" s="22" t="n">
        <v>17</v>
      </c>
      <c r="G917" s="26" t="n">
        <v>212.67</v>
      </c>
      <c r="H917" s="26" t="n">
        <v>234.8</v>
      </c>
      <c r="I917" s="26" t="n">
        <v>256.93</v>
      </c>
      <c r="J917" s="26" t="n">
        <v>273.53</v>
      </c>
      <c r="K917" s="26" t="n">
        <v>290.13</v>
      </c>
      <c r="L917" s="26" t="n">
        <v>2.65</v>
      </c>
      <c r="M917" s="27" t="n">
        <v>0.005</v>
      </c>
      <c r="N917" s="27" t="n">
        <v>0.002</v>
      </c>
      <c r="O917" s="26" t="n">
        <v>5</v>
      </c>
      <c r="P917" s="26" t="n">
        <v>5</v>
      </c>
      <c r="Q917" s="28" t="n">
        <v>100</v>
      </c>
      <c r="R917" s="26" t="n">
        <v>30</v>
      </c>
      <c r="S917" s="26" t="n">
        <v>0</v>
      </c>
      <c r="T917" s="28" t="n">
        <v>1</v>
      </c>
      <c r="U917" s="26" t="n">
        <v>0</v>
      </c>
      <c r="V917" s="26" t="n">
        <v>0</v>
      </c>
      <c r="W917" s="22" t="s">
        <v>18</v>
      </c>
      <c r="X917" s="22" t="s">
        <v>373</v>
      </c>
    </row>
    <row r="918" customFormat="false" ht="15" hidden="false" customHeight="false" outlineLevel="0" collapsed="false">
      <c r="A918" s="22" t="s">
        <v>3904</v>
      </c>
      <c r="B918" s="22" t="s">
        <v>18</v>
      </c>
      <c r="C918" s="22" t="s">
        <v>3905</v>
      </c>
      <c r="D918" s="22" t="s">
        <v>3906</v>
      </c>
      <c r="E918" s="22" t="s">
        <v>3907</v>
      </c>
      <c r="F918" s="22" t="n">
        <v>17</v>
      </c>
      <c r="G918" s="26" t="n">
        <v>212.67</v>
      </c>
      <c r="H918" s="26" t="n">
        <v>234.8</v>
      </c>
      <c r="I918" s="26" t="n">
        <v>256.93</v>
      </c>
      <c r="J918" s="26" t="n">
        <v>273.53</v>
      </c>
      <c r="K918" s="26" t="n">
        <v>290.13</v>
      </c>
      <c r="L918" s="26" t="n">
        <v>2.65</v>
      </c>
      <c r="M918" s="27" t="n">
        <v>0.005</v>
      </c>
      <c r="N918" s="27" t="n">
        <v>0.002</v>
      </c>
      <c r="O918" s="26" t="n">
        <v>5</v>
      </c>
      <c r="P918" s="26" t="n">
        <v>5</v>
      </c>
      <c r="Q918" s="28" t="n">
        <v>100</v>
      </c>
      <c r="R918" s="26" t="n">
        <v>30</v>
      </c>
      <c r="S918" s="26" t="n">
        <v>0</v>
      </c>
      <c r="T918" s="28" t="n">
        <v>1</v>
      </c>
      <c r="U918" s="26" t="n">
        <v>0</v>
      </c>
      <c r="V918" s="26" t="n">
        <v>0</v>
      </c>
      <c r="W918" s="22" t="s">
        <v>18</v>
      </c>
      <c r="X918" s="22" t="s">
        <v>373</v>
      </c>
    </row>
    <row r="919" customFormat="false" ht="15" hidden="false" customHeight="false" outlineLevel="0" collapsed="false">
      <c r="A919" s="22" t="s">
        <v>3908</v>
      </c>
      <c r="B919" s="22" t="s">
        <v>18</v>
      </c>
      <c r="C919" s="22" t="s">
        <v>3909</v>
      </c>
      <c r="D919" s="22" t="s">
        <v>3910</v>
      </c>
      <c r="E919" s="22" t="s">
        <v>3911</v>
      </c>
      <c r="F919" s="22" t="n">
        <v>17</v>
      </c>
      <c r="G919" s="26" t="n">
        <v>212.67</v>
      </c>
      <c r="H919" s="26" t="n">
        <v>234.8</v>
      </c>
      <c r="I919" s="26" t="n">
        <v>256.93</v>
      </c>
      <c r="J919" s="26" t="n">
        <v>273.53</v>
      </c>
      <c r="K919" s="26" t="n">
        <v>290.13</v>
      </c>
      <c r="L919" s="26" t="n">
        <v>2.65</v>
      </c>
      <c r="M919" s="27" t="n">
        <v>0.005</v>
      </c>
      <c r="N919" s="27" t="n">
        <v>0.002</v>
      </c>
      <c r="O919" s="26" t="n">
        <v>5</v>
      </c>
      <c r="P919" s="26" t="n">
        <v>5</v>
      </c>
      <c r="Q919" s="28" t="n">
        <v>100</v>
      </c>
      <c r="R919" s="26" t="n">
        <v>30</v>
      </c>
      <c r="S919" s="26" t="n">
        <v>0</v>
      </c>
      <c r="T919" s="28" t="n">
        <v>1</v>
      </c>
      <c r="U919" s="26" t="n">
        <v>0</v>
      </c>
      <c r="V919" s="26" t="n">
        <v>0</v>
      </c>
      <c r="W919" s="22" t="s">
        <v>18</v>
      </c>
      <c r="X919" s="22" t="s">
        <v>373</v>
      </c>
    </row>
    <row r="920" customFormat="false" ht="15" hidden="false" customHeight="false" outlineLevel="0" collapsed="false">
      <c r="A920" s="22" t="s">
        <v>3912</v>
      </c>
      <c r="B920" s="22" t="s">
        <v>18</v>
      </c>
      <c r="C920" s="22" t="s">
        <v>3913</v>
      </c>
      <c r="D920" s="22" t="s">
        <v>3914</v>
      </c>
      <c r="E920" s="22" t="s">
        <v>3915</v>
      </c>
      <c r="F920" s="22" t="n">
        <v>17</v>
      </c>
      <c r="G920" s="26" t="n">
        <v>212.67</v>
      </c>
      <c r="H920" s="26" t="n">
        <v>234.8</v>
      </c>
      <c r="I920" s="26" t="n">
        <v>256.93</v>
      </c>
      <c r="J920" s="26" t="n">
        <v>273.53</v>
      </c>
      <c r="K920" s="26" t="n">
        <v>290.13</v>
      </c>
      <c r="L920" s="26" t="n">
        <v>2.65</v>
      </c>
      <c r="M920" s="27" t="n">
        <v>0.005</v>
      </c>
      <c r="N920" s="27" t="n">
        <v>0.002</v>
      </c>
      <c r="O920" s="26" t="n">
        <v>5</v>
      </c>
      <c r="P920" s="26" t="n">
        <v>5</v>
      </c>
      <c r="Q920" s="28" t="n">
        <v>100</v>
      </c>
      <c r="R920" s="26" t="n">
        <v>30</v>
      </c>
      <c r="S920" s="26" t="n">
        <v>0</v>
      </c>
      <c r="T920" s="28" t="n">
        <v>1</v>
      </c>
      <c r="U920" s="26" t="n">
        <v>0</v>
      </c>
      <c r="V920" s="26" t="n">
        <v>0</v>
      </c>
      <c r="W920" s="22" t="s">
        <v>18</v>
      </c>
      <c r="X920" s="22" t="s">
        <v>373</v>
      </c>
    </row>
    <row r="921" customFormat="false" ht="15" hidden="false" customHeight="false" outlineLevel="0" collapsed="false">
      <c r="A921" s="22" t="s">
        <v>3916</v>
      </c>
      <c r="B921" s="22" t="s">
        <v>18</v>
      </c>
      <c r="C921" s="22" t="s">
        <v>3917</v>
      </c>
      <c r="D921" s="22" t="s">
        <v>3918</v>
      </c>
      <c r="E921" s="22" t="s">
        <v>3919</v>
      </c>
      <c r="F921" s="22" t="n">
        <v>17</v>
      </c>
      <c r="G921" s="26" t="n">
        <v>212.67</v>
      </c>
      <c r="H921" s="26" t="n">
        <v>234.8</v>
      </c>
      <c r="I921" s="26" t="n">
        <v>256.93</v>
      </c>
      <c r="J921" s="26" t="n">
        <v>273.53</v>
      </c>
      <c r="K921" s="26" t="n">
        <v>290.13</v>
      </c>
      <c r="L921" s="26" t="n">
        <v>2.65</v>
      </c>
      <c r="M921" s="27" t="n">
        <v>0.005</v>
      </c>
      <c r="N921" s="27" t="n">
        <v>0.002</v>
      </c>
      <c r="O921" s="26" t="n">
        <v>5</v>
      </c>
      <c r="P921" s="26" t="n">
        <v>5</v>
      </c>
      <c r="Q921" s="28" t="n">
        <v>100</v>
      </c>
      <c r="R921" s="26" t="n">
        <v>30</v>
      </c>
      <c r="S921" s="26" t="n">
        <v>0</v>
      </c>
      <c r="T921" s="28" t="n">
        <v>1</v>
      </c>
      <c r="U921" s="26" t="n">
        <v>0</v>
      </c>
      <c r="V921" s="26" t="n">
        <v>0</v>
      </c>
      <c r="W921" s="22" t="s">
        <v>18</v>
      </c>
      <c r="X921" s="22" t="s">
        <v>373</v>
      </c>
    </row>
    <row r="922" customFormat="false" ht="15" hidden="false" customHeight="false" outlineLevel="0" collapsed="false">
      <c r="A922" s="22" t="s">
        <v>3920</v>
      </c>
      <c r="B922" s="22" t="s">
        <v>19</v>
      </c>
      <c r="C922" s="22" t="s">
        <v>137</v>
      </c>
      <c r="D922" s="22" t="s">
        <v>3921</v>
      </c>
      <c r="E922" s="22" t="s">
        <v>3922</v>
      </c>
      <c r="F922" s="22" t="n">
        <v>9</v>
      </c>
      <c r="G922" s="26" t="n">
        <v>66.26</v>
      </c>
      <c r="H922" s="26" t="n">
        <v>76.28</v>
      </c>
      <c r="I922" s="26" t="n">
        <v>96.32</v>
      </c>
      <c r="J922" s="26" t="n">
        <v>106.33</v>
      </c>
      <c r="K922" s="26" t="n">
        <v>121.36</v>
      </c>
      <c r="L922" s="26" t="n">
        <v>1.63</v>
      </c>
      <c r="M922" s="27" t="n">
        <v>0.005</v>
      </c>
      <c r="N922" s="27" t="n">
        <v>0.002</v>
      </c>
      <c r="O922" s="26" t="n">
        <v>5</v>
      </c>
      <c r="P922" s="26" t="n">
        <v>5</v>
      </c>
      <c r="Q922" s="28" t="n">
        <v>100</v>
      </c>
      <c r="R922" s="26" t="n">
        <v>30</v>
      </c>
      <c r="S922" s="26" t="n">
        <v>0</v>
      </c>
      <c r="T922" s="28" t="n">
        <v>1</v>
      </c>
      <c r="U922" s="26" t="n">
        <v>0</v>
      </c>
      <c r="V922" s="26" t="n">
        <v>0</v>
      </c>
      <c r="W922" s="22" t="s">
        <v>19</v>
      </c>
      <c r="X922" s="22" t="s">
        <v>286</v>
      </c>
    </row>
    <row r="923" customFormat="false" ht="15" hidden="false" customHeight="false" outlineLevel="0" collapsed="false">
      <c r="A923" s="22" t="s">
        <v>3923</v>
      </c>
      <c r="B923" s="22" t="s">
        <v>19</v>
      </c>
      <c r="C923" s="22" t="s">
        <v>140</v>
      </c>
      <c r="D923" s="22" t="s">
        <v>3924</v>
      </c>
      <c r="E923" s="22" t="s">
        <v>3925</v>
      </c>
      <c r="F923" s="22" t="n">
        <v>9</v>
      </c>
      <c r="G923" s="26" t="n">
        <v>66.26</v>
      </c>
      <c r="H923" s="26" t="n">
        <v>76.28</v>
      </c>
      <c r="I923" s="26" t="n">
        <v>96.32</v>
      </c>
      <c r="J923" s="26" t="n">
        <v>106.33</v>
      </c>
      <c r="K923" s="26" t="n">
        <v>121.36</v>
      </c>
      <c r="L923" s="26" t="n">
        <v>1.63</v>
      </c>
      <c r="M923" s="27" t="n">
        <v>0.005</v>
      </c>
      <c r="N923" s="27" t="n">
        <v>0.002</v>
      </c>
      <c r="O923" s="26" t="n">
        <v>5</v>
      </c>
      <c r="P923" s="26" t="n">
        <v>5</v>
      </c>
      <c r="Q923" s="28" t="n">
        <v>100</v>
      </c>
      <c r="R923" s="26" t="n">
        <v>30</v>
      </c>
      <c r="S923" s="26" t="n">
        <v>0</v>
      </c>
      <c r="T923" s="28" t="n">
        <v>1</v>
      </c>
      <c r="U923" s="26" t="n">
        <v>0</v>
      </c>
      <c r="V923" s="26" t="n">
        <v>0</v>
      </c>
      <c r="W923" s="22" t="s">
        <v>19</v>
      </c>
      <c r="X923" s="22" t="s">
        <v>286</v>
      </c>
    </row>
    <row r="924" customFormat="false" ht="15" hidden="false" customHeight="false" outlineLevel="0" collapsed="false">
      <c r="A924" s="22" t="s">
        <v>3926</v>
      </c>
      <c r="B924" s="22" t="s">
        <v>19</v>
      </c>
      <c r="C924" s="22" t="s">
        <v>131</v>
      </c>
      <c r="D924" s="22" t="s">
        <v>3927</v>
      </c>
      <c r="E924" s="22" t="s">
        <v>3928</v>
      </c>
      <c r="F924" s="22" t="n">
        <v>9</v>
      </c>
      <c r="G924" s="26" t="n">
        <v>66.26</v>
      </c>
      <c r="H924" s="26" t="n">
        <v>76.28</v>
      </c>
      <c r="I924" s="26" t="n">
        <v>96.32</v>
      </c>
      <c r="J924" s="26" t="n">
        <v>106.33</v>
      </c>
      <c r="K924" s="26" t="n">
        <v>121.36</v>
      </c>
      <c r="L924" s="26" t="n">
        <v>1.63</v>
      </c>
      <c r="M924" s="27" t="n">
        <v>0.005</v>
      </c>
      <c r="N924" s="27" t="n">
        <v>0.002</v>
      </c>
      <c r="O924" s="26" t="n">
        <v>5</v>
      </c>
      <c r="P924" s="26" t="n">
        <v>5</v>
      </c>
      <c r="Q924" s="28" t="n">
        <v>100</v>
      </c>
      <c r="R924" s="26" t="n">
        <v>30</v>
      </c>
      <c r="S924" s="26" t="n">
        <v>0</v>
      </c>
      <c r="T924" s="28" t="n">
        <v>1</v>
      </c>
      <c r="U924" s="26" t="n">
        <v>0</v>
      </c>
      <c r="V924" s="26" t="n">
        <v>0</v>
      </c>
      <c r="W924" s="22" t="s">
        <v>19</v>
      </c>
      <c r="X924" s="22" t="s">
        <v>286</v>
      </c>
    </row>
    <row r="925" customFormat="false" ht="15" hidden="false" customHeight="false" outlineLevel="0" collapsed="false">
      <c r="A925" s="22" t="s">
        <v>3929</v>
      </c>
      <c r="B925" s="29" t="s">
        <v>19</v>
      </c>
      <c r="C925" s="29" t="s">
        <v>151</v>
      </c>
      <c r="D925" s="22" t="s">
        <v>3930</v>
      </c>
      <c r="E925" s="22" t="s">
        <v>3931</v>
      </c>
      <c r="F925" s="22" t="n">
        <v>13</v>
      </c>
      <c r="G925" s="26" t="n">
        <v>55.54</v>
      </c>
      <c r="H925" s="26" t="n">
        <v>66.55</v>
      </c>
      <c r="I925" s="26" t="n">
        <v>88.59</v>
      </c>
      <c r="J925" s="26" t="n">
        <v>99.61</v>
      </c>
      <c r="K925" s="26" t="n">
        <v>116.14</v>
      </c>
      <c r="L925" s="26" t="n">
        <v>1.63</v>
      </c>
      <c r="M925" s="27" t="n">
        <v>0.005</v>
      </c>
      <c r="N925" s="27" t="n">
        <v>0.002</v>
      </c>
      <c r="O925" s="26" t="n">
        <v>5</v>
      </c>
      <c r="P925" s="26" t="n">
        <v>5</v>
      </c>
      <c r="Q925" s="28" t="n">
        <v>100</v>
      </c>
      <c r="R925" s="26" t="n">
        <v>30</v>
      </c>
      <c r="S925" s="26" t="n">
        <v>0</v>
      </c>
      <c r="T925" s="28" t="n">
        <v>1</v>
      </c>
      <c r="U925" s="26" t="n">
        <v>0</v>
      </c>
      <c r="V925" s="26" t="n">
        <v>0</v>
      </c>
      <c r="W925" s="29" t="s">
        <v>20</v>
      </c>
      <c r="X925" s="22" t="s">
        <v>286</v>
      </c>
    </row>
    <row r="926" customFormat="false" ht="15" hidden="false" customHeight="false" outlineLevel="0" collapsed="false">
      <c r="A926" s="22" t="s">
        <v>3932</v>
      </c>
      <c r="B926" s="22" t="s">
        <v>19</v>
      </c>
      <c r="C926" s="22" t="s">
        <v>3933</v>
      </c>
      <c r="D926" s="22" t="s">
        <v>3934</v>
      </c>
      <c r="E926" s="22" t="s">
        <v>3935</v>
      </c>
      <c r="F926" s="22" t="n">
        <v>12</v>
      </c>
      <c r="G926" s="26" t="n">
        <v>78.36</v>
      </c>
      <c r="H926" s="26" t="n">
        <v>88.38</v>
      </c>
      <c r="I926" s="26" t="n">
        <v>108.41</v>
      </c>
      <c r="J926" s="26" t="n">
        <v>118.43</v>
      </c>
      <c r="K926" s="26" t="n">
        <v>133.46</v>
      </c>
      <c r="L926" s="26" t="n">
        <v>1.93</v>
      </c>
      <c r="M926" s="27" t="n">
        <v>0.005</v>
      </c>
      <c r="N926" s="27" t="n">
        <v>0.002</v>
      </c>
      <c r="O926" s="26" t="n">
        <v>5</v>
      </c>
      <c r="P926" s="26" t="n">
        <v>5</v>
      </c>
      <c r="Q926" s="28" t="n">
        <v>100</v>
      </c>
      <c r="R926" s="26" t="n">
        <v>30</v>
      </c>
      <c r="S926" s="26" t="n">
        <v>0</v>
      </c>
      <c r="T926" s="28" t="n">
        <v>1</v>
      </c>
      <c r="U926" s="26" t="n">
        <v>0</v>
      </c>
      <c r="V926" s="26" t="n">
        <v>0</v>
      </c>
      <c r="W926" s="22" t="s">
        <v>19</v>
      </c>
      <c r="X926" s="22" t="s">
        <v>293</v>
      </c>
    </row>
    <row r="927" customFormat="false" ht="15" hidden="false" customHeight="false" outlineLevel="0" collapsed="false">
      <c r="A927" s="22" t="s">
        <v>3936</v>
      </c>
      <c r="B927" s="22" t="s">
        <v>19</v>
      </c>
      <c r="C927" s="22" t="s">
        <v>3937</v>
      </c>
      <c r="D927" s="22" t="s">
        <v>3938</v>
      </c>
      <c r="E927" s="22" t="s">
        <v>3939</v>
      </c>
      <c r="F927" s="22" t="n">
        <v>12</v>
      </c>
      <c r="G927" s="26" t="n">
        <v>78.36</v>
      </c>
      <c r="H927" s="26" t="n">
        <v>88.38</v>
      </c>
      <c r="I927" s="26" t="n">
        <v>108.41</v>
      </c>
      <c r="J927" s="26" t="n">
        <v>118.43</v>
      </c>
      <c r="K927" s="26" t="n">
        <v>133.46</v>
      </c>
      <c r="L927" s="26" t="n">
        <v>1.93</v>
      </c>
      <c r="M927" s="27" t="n">
        <v>0.005</v>
      </c>
      <c r="N927" s="27" t="n">
        <v>0.002</v>
      </c>
      <c r="O927" s="26" t="n">
        <v>5</v>
      </c>
      <c r="P927" s="26" t="n">
        <v>5</v>
      </c>
      <c r="Q927" s="28" t="n">
        <v>100</v>
      </c>
      <c r="R927" s="26" t="n">
        <v>30</v>
      </c>
      <c r="S927" s="26" t="n">
        <v>0</v>
      </c>
      <c r="T927" s="28" t="n">
        <v>1</v>
      </c>
      <c r="U927" s="26" t="n">
        <v>0</v>
      </c>
      <c r="V927" s="26" t="n">
        <v>0</v>
      </c>
      <c r="W927" s="22" t="s">
        <v>19</v>
      </c>
      <c r="X927" s="22" t="s">
        <v>293</v>
      </c>
    </row>
    <row r="928" customFormat="false" ht="15" hidden="false" customHeight="false" outlineLevel="0" collapsed="false">
      <c r="A928" s="22" t="s">
        <v>3940</v>
      </c>
      <c r="B928" s="22" t="s">
        <v>19</v>
      </c>
      <c r="C928" s="22" t="s">
        <v>3941</v>
      </c>
      <c r="D928" s="22" t="s">
        <v>3942</v>
      </c>
      <c r="E928" s="22" t="s">
        <v>3943</v>
      </c>
      <c r="F928" s="22" t="n">
        <v>12</v>
      </c>
      <c r="G928" s="26" t="n">
        <v>78.36</v>
      </c>
      <c r="H928" s="26" t="n">
        <v>88.38</v>
      </c>
      <c r="I928" s="26" t="n">
        <v>108.41</v>
      </c>
      <c r="J928" s="26" t="n">
        <v>118.43</v>
      </c>
      <c r="K928" s="26" t="n">
        <v>133.46</v>
      </c>
      <c r="L928" s="26" t="n">
        <v>1.93</v>
      </c>
      <c r="M928" s="27" t="n">
        <v>0.005</v>
      </c>
      <c r="N928" s="27" t="n">
        <v>0.002</v>
      </c>
      <c r="O928" s="26" t="n">
        <v>5</v>
      </c>
      <c r="P928" s="26" t="n">
        <v>5</v>
      </c>
      <c r="Q928" s="28" t="n">
        <v>100</v>
      </c>
      <c r="R928" s="26" t="n">
        <v>30</v>
      </c>
      <c r="S928" s="26" t="n">
        <v>0</v>
      </c>
      <c r="T928" s="28" t="n">
        <v>1</v>
      </c>
      <c r="U928" s="26" t="n">
        <v>0</v>
      </c>
      <c r="V928" s="26" t="n">
        <v>0</v>
      </c>
      <c r="W928" s="22" t="s">
        <v>19</v>
      </c>
      <c r="X928" s="22" t="s">
        <v>293</v>
      </c>
    </row>
    <row r="929" customFormat="false" ht="15" hidden="false" customHeight="false" outlineLevel="0" collapsed="false">
      <c r="A929" s="22" t="s">
        <v>3944</v>
      </c>
      <c r="B929" s="22" t="s">
        <v>19</v>
      </c>
      <c r="C929" s="22" t="s">
        <v>3945</v>
      </c>
      <c r="D929" s="22" t="s">
        <v>3946</v>
      </c>
      <c r="E929" s="22" t="s">
        <v>3947</v>
      </c>
      <c r="F929" s="22" t="n">
        <v>12</v>
      </c>
      <c r="G929" s="26" t="n">
        <v>78.36</v>
      </c>
      <c r="H929" s="26" t="n">
        <v>88.38</v>
      </c>
      <c r="I929" s="26" t="n">
        <v>108.41</v>
      </c>
      <c r="J929" s="26" t="n">
        <v>118.43</v>
      </c>
      <c r="K929" s="26" t="n">
        <v>133.46</v>
      </c>
      <c r="L929" s="26" t="n">
        <v>1.93</v>
      </c>
      <c r="M929" s="27" t="n">
        <v>0.005</v>
      </c>
      <c r="N929" s="27" t="n">
        <v>0.002</v>
      </c>
      <c r="O929" s="26" t="n">
        <v>5</v>
      </c>
      <c r="P929" s="26" t="n">
        <v>5</v>
      </c>
      <c r="Q929" s="28" t="n">
        <v>100</v>
      </c>
      <c r="R929" s="26" t="n">
        <v>30</v>
      </c>
      <c r="S929" s="26" t="n">
        <v>0</v>
      </c>
      <c r="T929" s="28" t="n">
        <v>1</v>
      </c>
      <c r="U929" s="26" t="n">
        <v>0</v>
      </c>
      <c r="V929" s="26" t="n">
        <v>0</v>
      </c>
      <c r="W929" s="22" t="s">
        <v>19</v>
      </c>
      <c r="X929" s="22" t="s">
        <v>293</v>
      </c>
    </row>
    <row r="930" customFormat="false" ht="15" hidden="false" customHeight="false" outlineLevel="0" collapsed="false">
      <c r="A930" s="22" t="s">
        <v>3948</v>
      </c>
      <c r="B930" s="22" t="s">
        <v>19</v>
      </c>
      <c r="C930" s="22" t="s">
        <v>3949</v>
      </c>
      <c r="D930" s="22" t="s">
        <v>3950</v>
      </c>
      <c r="E930" s="22" t="s">
        <v>3951</v>
      </c>
      <c r="F930" s="22" t="n">
        <v>12</v>
      </c>
      <c r="G930" s="26" t="n">
        <v>78.36</v>
      </c>
      <c r="H930" s="26" t="n">
        <v>88.38</v>
      </c>
      <c r="I930" s="26" t="n">
        <v>108.41</v>
      </c>
      <c r="J930" s="26" t="n">
        <v>118.43</v>
      </c>
      <c r="K930" s="26" t="n">
        <v>133.46</v>
      </c>
      <c r="L930" s="26" t="n">
        <v>1.93</v>
      </c>
      <c r="M930" s="27" t="n">
        <v>0.005</v>
      </c>
      <c r="N930" s="27" t="n">
        <v>0.002</v>
      </c>
      <c r="O930" s="26" t="n">
        <v>5</v>
      </c>
      <c r="P930" s="26" t="n">
        <v>5</v>
      </c>
      <c r="Q930" s="28" t="n">
        <v>100</v>
      </c>
      <c r="R930" s="26" t="n">
        <v>30</v>
      </c>
      <c r="S930" s="26" t="n">
        <v>0</v>
      </c>
      <c r="T930" s="28" t="n">
        <v>1</v>
      </c>
      <c r="U930" s="26" t="n">
        <v>0</v>
      </c>
      <c r="V930" s="26" t="n">
        <v>0</v>
      </c>
      <c r="W930" s="22" t="s">
        <v>19</v>
      </c>
      <c r="X930" s="22" t="s">
        <v>293</v>
      </c>
    </row>
    <row r="931" customFormat="false" ht="15" hidden="false" customHeight="false" outlineLevel="0" collapsed="false">
      <c r="A931" s="22" t="s">
        <v>3952</v>
      </c>
      <c r="B931" s="22" t="s">
        <v>19</v>
      </c>
      <c r="C931" s="22" t="s">
        <v>3953</v>
      </c>
      <c r="D931" s="22" t="s">
        <v>3954</v>
      </c>
      <c r="E931" s="22" t="s">
        <v>3955</v>
      </c>
      <c r="F931" s="22" t="n">
        <v>12</v>
      </c>
      <c r="G931" s="26" t="n">
        <v>78.36</v>
      </c>
      <c r="H931" s="26" t="n">
        <v>88.38</v>
      </c>
      <c r="I931" s="26" t="n">
        <v>108.41</v>
      </c>
      <c r="J931" s="26" t="n">
        <v>118.43</v>
      </c>
      <c r="K931" s="26" t="n">
        <v>133.46</v>
      </c>
      <c r="L931" s="26" t="n">
        <v>1.93</v>
      </c>
      <c r="M931" s="27" t="n">
        <v>0.005</v>
      </c>
      <c r="N931" s="27" t="n">
        <v>0.002</v>
      </c>
      <c r="O931" s="26" t="n">
        <v>5</v>
      </c>
      <c r="P931" s="26" t="n">
        <v>5</v>
      </c>
      <c r="Q931" s="28" t="n">
        <v>100</v>
      </c>
      <c r="R931" s="26" t="n">
        <v>30</v>
      </c>
      <c r="S931" s="26" t="n">
        <v>0</v>
      </c>
      <c r="T931" s="28" t="n">
        <v>1</v>
      </c>
      <c r="U931" s="26" t="n">
        <v>0</v>
      </c>
      <c r="V931" s="26" t="n">
        <v>250</v>
      </c>
      <c r="W931" s="22" t="s">
        <v>19</v>
      </c>
      <c r="X931" s="22" t="s">
        <v>293</v>
      </c>
    </row>
    <row r="932" customFormat="false" ht="15" hidden="false" customHeight="false" outlineLevel="0" collapsed="false">
      <c r="A932" s="22" t="s">
        <v>3956</v>
      </c>
      <c r="B932" s="22" t="s">
        <v>19</v>
      </c>
      <c r="C932" s="22" t="s">
        <v>3957</v>
      </c>
      <c r="D932" s="22" t="s">
        <v>3958</v>
      </c>
      <c r="E932" s="22" t="s">
        <v>3959</v>
      </c>
      <c r="F932" s="22" t="n">
        <v>12</v>
      </c>
      <c r="G932" s="26" t="n">
        <v>78.36</v>
      </c>
      <c r="H932" s="26" t="n">
        <v>88.38</v>
      </c>
      <c r="I932" s="26" t="n">
        <v>108.41</v>
      </c>
      <c r="J932" s="26" t="n">
        <v>118.43</v>
      </c>
      <c r="K932" s="26" t="n">
        <v>133.46</v>
      </c>
      <c r="L932" s="26" t="n">
        <v>1.93</v>
      </c>
      <c r="M932" s="27" t="n">
        <v>0.005</v>
      </c>
      <c r="N932" s="27" t="n">
        <v>0.002</v>
      </c>
      <c r="O932" s="26" t="n">
        <v>5</v>
      </c>
      <c r="P932" s="26" t="n">
        <v>5</v>
      </c>
      <c r="Q932" s="28" t="n">
        <v>100</v>
      </c>
      <c r="R932" s="26" t="n">
        <v>30</v>
      </c>
      <c r="S932" s="26" t="n">
        <v>0</v>
      </c>
      <c r="T932" s="28" t="n">
        <v>1</v>
      </c>
      <c r="U932" s="26" t="n">
        <v>0</v>
      </c>
      <c r="V932" s="26" t="n">
        <v>0</v>
      </c>
      <c r="W932" s="22" t="s">
        <v>19</v>
      </c>
      <c r="X932" s="22" t="s">
        <v>293</v>
      </c>
    </row>
    <row r="933" customFormat="false" ht="15" hidden="false" customHeight="false" outlineLevel="0" collapsed="false">
      <c r="A933" s="22" t="s">
        <v>3960</v>
      </c>
      <c r="B933" s="22" t="s">
        <v>19</v>
      </c>
      <c r="C933" s="22" t="s">
        <v>303</v>
      </c>
      <c r="D933" s="22" t="s">
        <v>3961</v>
      </c>
      <c r="E933" s="22" t="s">
        <v>3962</v>
      </c>
      <c r="F933" s="22" t="n">
        <v>13</v>
      </c>
      <c r="G933" s="26" t="n">
        <v>78.36</v>
      </c>
      <c r="H933" s="26" t="n">
        <v>88.38</v>
      </c>
      <c r="I933" s="26" t="n">
        <v>108.41</v>
      </c>
      <c r="J933" s="26" t="n">
        <v>118.43</v>
      </c>
      <c r="K933" s="26" t="n">
        <v>133.46</v>
      </c>
      <c r="L933" s="26" t="n">
        <v>1.93</v>
      </c>
      <c r="M933" s="27" t="n">
        <v>0.005</v>
      </c>
      <c r="N933" s="27" t="n">
        <v>0.002</v>
      </c>
      <c r="O933" s="26" t="n">
        <v>5</v>
      </c>
      <c r="P933" s="26" t="n">
        <v>5</v>
      </c>
      <c r="Q933" s="28" t="n">
        <v>100</v>
      </c>
      <c r="R933" s="26" t="n">
        <v>30</v>
      </c>
      <c r="S933" s="26" t="n">
        <v>0</v>
      </c>
      <c r="T933" s="28" t="n">
        <v>1</v>
      </c>
      <c r="U933" s="26" t="n">
        <v>0</v>
      </c>
      <c r="V933" s="26" t="n">
        <v>0</v>
      </c>
      <c r="W933" s="22" t="s">
        <v>19</v>
      </c>
      <c r="X933" s="22" t="s">
        <v>293</v>
      </c>
    </row>
    <row r="934" customFormat="false" ht="15" hidden="false" customHeight="false" outlineLevel="0" collapsed="false">
      <c r="A934" s="22" t="s">
        <v>3963</v>
      </c>
      <c r="B934" s="22" t="s">
        <v>19</v>
      </c>
      <c r="C934" s="22" t="s">
        <v>3964</v>
      </c>
      <c r="D934" s="22" t="s">
        <v>3965</v>
      </c>
      <c r="E934" s="22" t="s">
        <v>3966</v>
      </c>
      <c r="F934" s="22" t="n">
        <v>12</v>
      </c>
      <c r="G934" s="26" t="n">
        <v>78.36</v>
      </c>
      <c r="H934" s="26" t="n">
        <v>88.38</v>
      </c>
      <c r="I934" s="26" t="n">
        <v>108.41</v>
      </c>
      <c r="J934" s="26" t="n">
        <v>118.43</v>
      </c>
      <c r="K934" s="26" t="n">
        <v>133.46</v>
      </c>
      <c r="L934" s="26" t="n">
        <v>1.93</v>
      </c>
      <c r="M934" s="27" t="n">
        <v>0.005</v>
      </c>
      <c r="N934" s="27" t="n">
        <v>0.002</v>
      </c>
      <c r="O934" s="26" t="n">
        <v>5</v>
      </c>
      <c r="P934" s="26" t="n">
        <v>5</v>
      </c>
      <c r="Q934" s="28" t="n">
        <v>100</v>
      </c>
      <c r="R934" s="26" t="n">
        <v>30</v>
      </c>
      <c r="S934" s="26" t="n">
        <v>0</v>
      </c>
      <c r="T934" s="28" t="n">
        <v>1</v>
      </c>
      <c r="U934" s="26" t="n">
        <v>0</v>
      </c>
      <c r="V934" s="26" t="n">
        <v>0</v>
      </c>
      <c r="W934" s="22" t="s">
        <v>19</v>
      </c>
      <c r="X934" s="22" t="s">
        <v>293</v>
      </c>
    </row>
    <row r="935" customFormat="false" ht="15" hidden="false" customHeight="false" outlineLevel="0" collapsed="false">
      <c r="A935" s="22" t="s">
        <v>3967</v>
      </c>
      <c r="B935" s="22" t="s">
        <v>19</v>
      </c>
      <c r="C935" s="22" t="s">
        <v>3968</v>
      </c>
      <c r="D935" s="22" t="s">
        <v>3969</v>
      </c>
      <c r="E935" s="22" t="s">
        <v>3970</v>
      </c>
      <c r="F935" s="22" t="n">
        <v>12</v>
      </c>
      <c r="G935" s="26" t="n">
        <v>78.36</v>
      </c>
      <c r="H935" s="26" t="n">
        <v>88.38</v>
      </c>
      <c r="I935" s="26" t="n">
        <v>108.41</v>
      </c>
      <c r="J935" s="26" t="n">
        <v>118.43</v>
      </c>
      <c r="K935" s="26" t="n">
        <v>133.46</v>
      </c>
      <c r="L935" s="26" t="n">
        <v>1.93</v>
      </c>
      <c r="M935" s="27" t="n">
        <v>0.005</v>
      </c>
      <c r="N935" s="27" t="n">
        <v>0.002</v>
      </c>
      <c r="O935" s="26" t="n">
        <v>5</v>
      </c>
      <c r="P935" s="26" t="n">
        <v>5</v>
      </c>
      <c r="Q935" s="28" t="n">
        <v>100</v>
      </c>
      <c r="R935" s="26" t="n">
        <v>30</v>
      </c>
      <c r="S935" s="26" t="n">
        <v>0</v>
      </c>
      <c r="T935" s="28" t="n">
        <v>1</v>
      </c>
      <c r="U935" s="26" t="n">
        <v>0</v>
      </c>
      <c r="V935" s="26" t="n">
        <v>0</v>
      </c>
      <c r="W935" s="22" t="s">
        <v>19</v>
      </c>
      <c r="X935" s="22" t="s">
        <v>293</v>
      </c>
    </row>
    <row r="936" customFormat="false" ht="15" hidden="false" customHeight="false" outlineLevel="0" collapsed="false">
      <c r="A936" s="22" t="s">
        <v>3971</v>
      </c>
      <c r="B936" s="22" t="s">
        <v>19</v>
      </c>
      <c r="C936" s="22" t="s">
        <v>3972</v>
      </c>
      <c r="D936" s="22" t="s">
        <v>3973</v>
      </c>
      <c r="E936" s="22" t="s">
        <v>3974</v>
      </c>
      <c r="F936" s="22" t="n">
        <v>12</v>
      </c>
      <c r="G936" s="26" t="n">
        <v>78.36</v>
      </c>
      <c r="H936" s="26" t="n">
        <v>88.38</v>
      </c>
      <c r="I936" s="26" t="n">
        <v>108.41</v>
      </c>
      <c r="J936" s="26" t="n">
        <v>118.43</v>
      </c>
      <c r="K936" s="26" t="n">
        <v>133.46</v>
      </c>
      <c r="L936" s="26" t="n">
        <v>1.93</v>
      </c>
      <c r="M936" s="27" t="n">
        <v>0.005</v>
      </c>
      <c r="N936" s="27" t="n">
        <v>0.002</v>
      </c>
      <c r="O936" s="26" t="n">
        <v>5</v>
      </c>
      <c r="P936" s="26" t="n">
        <v>5</v>
      </c>
      <c r="Q936" s="28" t="n">
        <v>100</v>
      </c>
      <c r="R936" s="26" t="n">
        <v>30</v>
      </c>
      <c r="S936" s="26" t="n">
        <v>0</v>
      </c>
      <c r="T936" s="28" t="n">
        <v>1</v>
      </c>
      <c r="U936" s="26" t="n">
        <v>0</v>
      </c>
      <c r="V936" s="26" t="n">
        <v>0</v>
      </c>
      <c r="W936" s="22" t="s">
        <v>19</v>
      </c>
      <c r="X936" s="22" t="s">
        <v>293</v>
      </c>
    </row>
    <row r="937" customFormat="false" ht="15" hidden="false" customHeight="false" outlineLevel="0" collapsed="false">
      <c r="A937" s="22" t="s">
        <v>3975</v>
      </c>
      <c r="B937" s="22" t="s">
        <v>19</v>
      </c>
      <c r="C937" s="22" t="s">
        <v>3976</v>
      </c>
      <c r="D937" s="22" t="s">
        <v>3977</v>
      </c>
      <c r="E937" s="22" t="s">
        <v>3978</v>
      </c>
      <c r="F937" s="22" t="n">
        <v>12</v>
      </c>
      <c r="G937" s="26" t="n">
        <v>78.36</v>
      </c>
      <c r="H937" s="26" t="n">
        <v>88.38</v>
      </c>
      <c r="I937" s="26" t="n">
        <v>108.41</v>
      </c>
      <c r="J937" s="26" t="n">
        <v>118.43</v>
      </c>
      <c r="K937" s="26" t="n">
        <v>133.46</v>
      </c>
      <c r="L937" s="26" t="n">
        <v>1.93</v>
      </c>
      <c r="M937" s="27" t="n">
        <v>0.005</v>
      </c>
      <c r="N937" s="27" t="n">
        <v>0.002</v>
      </c>
      <c r="O937" s="26" t="n">
        <v>5</v>
      </c>
      <c r="P937" s="26" t="n">
        <v>5</v>
      </c>
      <c r="Q937" s="28" t="n">
        <v>100</v>
      </c>
      <c r="R937" s="26" t="n">
        <v>30</v>
      </c>
      <c r="S937" s="26" t="n">
        <v>0</v>
      </c>
      <c r="T937" s="28" t="n">
        <v>1</v>
      </c>
      <c r="U937" s="26" t="n">
        <v>0</v>
      </c>
      <c r="V937" s="26" t="n">
        <v>0</v>
      </c>
      <c r="W937" s="22" t="s">
        <v>19</v>
      </c>
      <c r="X937" s="22" t="s">
        <v>293</v>
      </c>
    </row>
    <row r="938" customFormat="false" ht="15" hidden="false" customHeight="false" outlineLevel="0" collapsed="false">
      <c r="A938" s="22" t="s">
        <v>3979</v>
      </c>
      <c r="B938" s="22" t="s">
        <v>19</v>
      </c>
      <c r="C938" s="22" t="s">
        <v>3980</v>
      </c>
      <c r="D938" s="22" t="s">
        <v>3981</v>
      </c>
      <c r="E938" s="22" t="s">
        <v>3982</v>
      </c>
      <c r="F938" s="22" t="n">
        <v>12</v>
      </c>
      <c r="G938" s="26" t="n">
        <v>78.36</v>
      </c>
      <c r="H938" s="26" t="n">
        <v>88.38</v>
      </c>
      <c r="I938" s="26" t="n">
        <v>108.41</v>
      </c>
      <c r="J938" s="26" t="n">
        <v>118.43</v>
      </c>
      <c r="K938" s="26" t="n">
        <v>133.46</v>
      </c>
      <c r="L938" s="26" t="n">
        <v>1.93</v>
      </c>
      <c r="M938" s="27" t="n">
        <v>0.005</v>
      </c>
      <c r="N938" s="27" t="n">
        <v>0.002</v>
      </c>
      <c r="O938" s="26" t="n">
        <v>5</v>
      </c>
      <c r="P938" s="26" t="n">
        <v>5</v>
      </c>
      <c r="Q938" s="28" t="n">
        <v>100</v>
      </c>
      <c r="R938" s="26" t="n">
        <v>30</v>
      </c>
      <c r="S938" s="26" t="n">
        <v>0</v>
      </c>
      <c r="T938" s="28" t="n">
        <v>1</v>
      </c>
      <c r="U938" s="26" t="n">
        <v>0</v>
      </c>
      <c r="V938" s="26" t="n">
        <v>0</v>
      </c>
      <c r="W938" s="22" t="s">
        <v>19</v>
      </c>
      <c r="X938" s="22" t="s">
        <v>293</v>
      </c>
    </row>
    <row r="939" customFormat="false" ht="15" hidden="false" customHeight="false" outlineLevel="0" collapsed="false">
      <c r="A939" s="22" t="s">
        <v>3983</v>
      </c>
      <c r="B939" s="22" t="s">
        <v>19</v>
      </c>
      <c r="C939" s="22" t="s">
        <v>3984</v>
      </c>
      <c r="D939" s="22" t="s">
        <v>3985</v>
      </c>
      <c r="E939" s="22" t="s">
        <v>3986</v>
      </c>
      <c r="F939" s="22" t="n">
        <v>12</v>
      </c>
      <c r="G939" s="26" t="n">
        <v>78.36</v>
      </c>
      <c r="H939" s="26" t="n">
        <v>88.38</v>
      </c>
      <c r="I939" s="26" t="n">
        <v>108.41</v>
      </c>
      <c r="J939" s="26" t="n">
        <v>118.43</v>
      </c>
      <c r="K939" s="26" t="n">
        <v>133.46</v>
      </c>
      <c r="L939" s="26" t="n">
        <v>1.93</v>
      </c>
      <c r="M939" s="27" t="n">
        <v>0.005</v>
      </c>
      <c r="N939" s="27" t="n">
        <v>0.002</v>
      </c>
      <c r="O939" s="26" t="n">
        <v>5</v>
      </c>
      <c r="P939" s="26" t="n">
        <v>5</v>
      </c>
      <c r="Q939" s="28" t="n">
        <v>100</v>
      </c>
      <c r="R939" s="26" t="n">
        <v>30</v>
      </c>
      <c r="S939" s="26" t="n">
        <v>0</v>
      </c>
      <c r="T939" s="28" t="n">
        <v>1</v>
      </c>
      <c r="U939" s="26" t="n">
        <v>0</v>
      </c>
      <c r="V939" s="26" t="n">
        <v>0</v>
      </c>
      <c r="W939" s="22" t="s">
        <v>19</v>
      </c>
      <c r="X939" s="22" t="s">
        <v>293</v>
      </c>
    </row>
    <row r="940" customFormat="false" ht="15" hidden="false" customHeight="false" outlineLevel="0" collapsed="false">
      <c r="A940" s="22" t="s">
        <v>3987</v>
      </c>
      <c r="B940" s="22" t="s">
        <v>19</v>
      </c>
      <c r="C940" s="22" t="s">
        <v>133</v>
      </c>
      <c r="D940" s="22" t="s">
        <v>3988</v>
      </c>
      <c r="E940" s="22" t="s">
        <v>3989</v>
      </c>
      <c r="F940" s="22" t="n">
        <v>12</v>
      </c>
      <c r="G940" s="26" t="n">
        <v>78.36</v>
      </c>
      <c r="H940" s="26" t="n">
        <v>88.38</v>
      </c>
      <c r="I940" s="26" t="n">
        <v>108.41</v>
      </c>
      <c r="J940" s="26" t="n">
        <v>118.43</v>
      </c>
      <c r="K940" s="26" t="n">
        <v>133.46</v>
      </c>
      <c r="L940" s="26" t="n">
        <v>1.93</v>
      </c>
      <c r="M940" s="27" t="n">
        <v>0.005</v>
      </c>
      <c r="N940" s="27" t="n">
        <v>0.002</v>
      </c>
      <c r="O940" s="26" t="n">
        <v>5</v>
      </c>
      <c r="P940" s="26" t="n">
        <v>5</v>
      </c>
      <c r="Q940" s="28" t="n">
        <v>100</v>
      </c>
      <c r="R940" s="26" t="n">
        <v>30</v>
      </c>
      <c r="S940" s="26" t="n">
        <v>0</v>
      </c>
      <c r="T940" s="28" t="n">
        <v>1</v>
      </c>
      <c r="U940" s="26" t="n">
        <v>0</v>
      </c>
      <c r="V940" s="26" t="n">
        <v>0</v>
      </c>
      <c r="W940" s="22" t="s">
        <v>19</v>
      </c>
      <c r="X940" s="22" t="s">
        <v>293</v>
      </c>
    </row>
    <row r="941" customFormat="false" ht="15" hidden="false" customHeight="false" outlineLevel="0" collapsed="false">
      <c r="A941" s="22" t="s">
        <v>3990</v>
      </c>
      <c r="B941" s="29" t="s">
        <v>19</v>
      </c>
      <c r="C941" s="29" t="s">
        <v>3991</v>
      </c>
      <c r="D941" s="22" t="s">
        <v>3992</v>
      </c>
      <c r="E941" s="22" t="s">
        <v>3993</v>
      </c>
      <c r="F941" s="22" t="n">
        <v>13</v>
      </c>
      <c r="G941" s="26" t="n">
        <v>77.99</v>
      </c>
      <c r="H941" s="26" t="n">
        <v>89.01</v>
      </c>
      <c r="I941" s="26" t="n">
        <v>111.04</v>
      </c>
      <c r="J941" s="26" t="n">
        <v>122.06</v>
      </c>
      <c r="K941" s="26" t="n">
        <v>138.59</v>
      </c>
      <c r="L941" s="26" t="n">
        <v>1.93</v>
      </c>
      <c r="M941" s="27" t="n">
        <v>0.005</v>
      </c>
      <c r="N941" s="27" t="n">
        <v>0.002</v>
      </c>
      <c r="O941" s="26" t="n">
        <v>5</v>
      </c>
      <c r="P941" s="26" t="n">
        <v>5</v>
      </c>
      <c r="Q941" s="28" t="n">
        <v>100</v>
      </c>
      <c r="R941" s="26" t="n">
        <v>30</v>
      </c>
      <c r="S941" s="26" t="n">
        <v>0</v>
      </c>
      <c r="T941" s="28" t="n">
        <v>1</v>
      </c>
      <c r="U941" s="26" t="n">
        <v>0</v>
      </c>
      <c r="V941" s="26" t="n">
        <v>0</v>
      </c>
      <c r="W941" s="29" t="s">
        <v>20</v>
      </c>
      <c r="X941" s="22" t="s">
        <v>293</v>
      </c>
    </row>
    <row r="942" customFormat="false" ht="15" hidden="false" customHeight="false" outlineLevel="0" collapsed="false">
      <c r="A942" s="22" t="s">
        <v>3994</v>
      </c>
      <c r="B942" s="22" t="s">
        <v>19</v>
      </c>
      <c r="C942" s="22" t="s">
        <v>142</v>
      </c>
      <c r="D942" s="22" t="s">
        <v>3995</v>
      </c>
      <c r="E942" s="22" t="s">
        <v>3996</v>
      </c>
      <c r="F942" s="22" t="n">
        <v>9</v>
      </c>
      <c r="G942" s="26" t="n">
        <v>78.36</v>
      </c>
      <c r="H942" s="26" t="n">
        <v>88.38</v>
      </c>
      <c r="I942" s="26" t="n">
        <v>108.41</v>
      </c>
      <c r="J942" s="26" t="n">
        <v>118.43</v>
      </c>
      <c r="K942" s="26" t="n">
        <v>133.46</v>
      </c>
      <c r="L942" s="26" t="n">
        <v>1.93</v>
      </c>
      <c r="M942" s="27" t="n">
        <v>0.005</v>
      </c>
      <c r="N942" s="27" t="n">
        <v>0.002</v>
      </c>
      <c r="O942" s="26" t="n">
        <v>5</v>
      </c>
      <c r="P942" s="26" t="n">
        <v>5</v>
      </c>
      <c r="Q942" s="28" t="n">
        <v>100</v>
      </c>
      <c r="R942" s="26" t="n">
        <v>30</v>
      </c>
      <c r="S942" s="26" t="n">
        <v>0</v>
      </c>
      <c r="T942" s="28" t="n">
        <v>1</v>
      </c>
      <c r="U942" s="26" t="n">
        <v>0</v>
      </c>
      <c r="V942" s="26" t="n">
        <v>0</v>
      </c>
      <c r="W942" s="22" t="s">
        <v>19</v>
      </c>
      <c r="X942" s="22" t="s">
        <v>293</v>
      </c>
    </row>
    <row r="943" customFormat="false" ht="15" hidden="false" customHeight="false" outlineLevel="0" collapsed="false">
      <c r="A943" s="22" t="s">
        <v>3997</v>
      </c>
      <c r="B943" s="22" t="s">
        <v>19</v>
      </c>
      <c r="C943" s="22" t="s">
        <v>3998</v>
      </c>
      <c r="D943" s="22" t="s">
        <v>3999</v>
      </c>
      <c r="E943" s="22" t="s">
        <v>4000</v>
      </c>
      <c r="F943" s="22" t="n">
        <v>12</v>
      </c>
      <c r="G943" s="26" t="n">
        <v>78.36</v>
      </c>
      <c r="H943" s="26" t="n">
        <v>88.38</v>
      </c>
      <c r="I943" s="26" t="n">
        <v>108.41</v>
      </c>
      <c r="J943" s="26" t="n">
        <v>118.43</v>
      </c>
      <c r="K943" s="26" t="n">
        <v>133.46</v>
      </c>
      <c r="L943" s="26" t="n">
        <v>1.93</v>
      </c>
      <c r="M943" s="27" t="n">
        <v>0.005</v>
      </c>
      <c r="N943" s="27" t="n">
        <v>0.002</v>
      </c>
      <c r="O943" s="26" t="n">
        <v>5</v>
      </c>
      <c r="P943" s="26" t="n">
        <v>5</v>
      </c>
      <c r="Q943" s="28" t="n">
        <v>100</v>
      </c>
      <c r="R943" s="26" t="n">
        <v>30</v>
      </c>
      <c r="S943" s="26" t="n">
        <v>0</v>
      </c>
      <c r="T943" s="28" t="n">
        <v>1</v>
      </c>
      <c r="U943" s="26" t="n">
        <v>0</v>
      </c>
      <c r="V943" s="26" t="n">
        <v>0</v>
      </c>
      <c r="W943" s="22" t="s">
        <v>19</v>
      </c>
      <c r="X943" s="22" t="s">
        <v>293</v>
      </c>
    </row>
    <row r="944" customFormat="false" ht="15" hidden="false" customHeight="false" outlineLevel="0" collapsed="false">
      <c r="A944" s="22" t="s">
        <v>4001</v>
      </c>
      <c r="B944" s="22" t="s">
        <v>19</v>
      </c>
      <c r="C944" s="22" t="s">
        <v>4002</v>
      </c>
      <c r="D944" s="22" t="s">
        <v>4003</v>
      </c>
      <c r="E944" s="22" t="s">
        <v>4004</v>
      </c>
      <c r="F944" s="22" t="n">
        <v>12</v>
      </c>
      <c r="G944" s="26" t="n">
        <v>78.36</v>
      </c>
      <c r="H944" s="26" t="n">
        <v>88.38</v>
      </c>
      <c r="I944" s="26" t="n">
        <v>108.41</v>
      </c>
      <c r="J944" s="26" t="n">
        <v>118.43</v>
      </c>
      <c r="K944" s="26" t="n">
        <v>133.46</v>
      </c>
      <c r="L944" s="26" t="n">
        <v>1.93</v>
      </c>
      <c r="M944" s="27" t="n">
        <v>0.005</v>
      </c>
      <c r="N944" s="27" t="n">
        <v>0.002</v>
      </c>
      <c r="O944" s="26" t="n">
        <v>5</v>
      </c>
      <c r="P944" s="26" t="n">
        <v>5</v>
      </c>
      <c r="Q944" s="28" t="n">
        <v>100</v>
      </c>
      <c r="R944" s="26" t="n">
        <v>30</v>
      </c>
      <c r="S944" s="26" t="n">
        <v>0</v>
      </c>
      <c r="T944" s="28" t="n">
        <v>1</v>
      </c>
      <c r="U944" s="26" t="n">
        <v>0</v>
      </c>
      <c r="V944" s="26" t="n">
        <v>0</v>
      </c>
      <c r="W944" s="22" t="s">
        <v>19</v>
      </c>
      <c r="X944" s="22" t="s">
        <v>293</v>
      </c>
    </row>
    <row r="945" customFormat="false" ht="15" hidden="false" customHeight="false" outlineLevel="0" collapsed="false">
      <c r="A945" s="22" t="s">
        <v>4005</v>
      </c>
      <c r="B945" s="22" t="s">
        <v>19</v>
      </c>
      <c r="C945" s="22" t="s">
        <v>4006</v>
      </c>
      <c r="D945" s="22" t="s">
        <v>4007</v>
      </c>
      <c r="E945" s="22" t="s">
        <v>4008</v>
      </c>
      <c r="F945" s="22" t="n">
        <v>12</v>
      </c>
      <c r="G945" s="26" t="n">
        <v>78.36</v>
      </c>
      <c r="H945" s="26" t="n">
        <v>88.38</v>
      </c>
      <c r="I945" s="26" t="n">
        <v>108.41</v>
      </c>
      <c r="J945" s="26" t="n">
        <v>118.43</v>
      </c>
      <c r="K945" s="26" t="n">
        <v>133.46</v>
      </c>
      <c r="L945" s="26" t="n">
        <v>1.93</v>
      </c>
      <c r="M945" s="27" t="n">
        <v>0.005</v>
      </c>
      <c r="N945" s="27" t="n">
        <v>0.002</v>
      </c>
      <c r="O945" s="26" t="n">
        <v>5</v>
      </c>
      <c r="P945" s="26" t="n">
        <v>5</v>
      </c>
      <c r="Q945" s="28" t="n">
        <v>100</v>
      </c>
      <c r="R945" s="26" t="n">
        <v>30</v>
      </c>
      <c r="S945" s="26" t="n">
        <v>0</v>
      </c>
      <c r="T945" s="28" t="n">
        <v>1</v>
      </c>
      <c r="U945" s="26" t="n">
        <v>0</v>
      </c>
      <c r="V945" s="26" t="n">
        <v>250</v>
      </c>
      <c r="W945" s="22" t="s">
        <v>19</v>
      </c>
      <c r="X945" s="22" t="s">
        <v>293</v>
      </c>
    </row>
    <row r="946" customFormat="false" ht="15" hidden="false" customHeight="false" outlineLevel="0" collapsed="false">
      <c r="A946" s="22" t="s">
        <v>4009</v>
      </c>
      <c r="B946" s="22" t="s">
        <v>19</v>
      </c>
      <c r="C946" s="22" t="s">
        <v>4010</v>
      </c>
      <c r="D946" s="22" t="s">
        <v>4011</v>
      </c>
      <c r="E946" s="22" t="s">
        <v>4012</v>
      </c>
      <c r="F946" s="22" t="n">
        <v>12</v>
      </c>
      <c r="G946" s="26" t="n">
        <v>78.36</v>
      </c>
      <c r="H946" s="26" t="n">
        <v>88.38</v>
      </c>
      <c r="I946" s="26" t="n">
        <v>108.41</v>
      </c>
      <c r="J946" s="26" t="n">
        <v>118.43</v>
      </c>
      <c r="K946" s="26" t="n">
        <v>133.46</v>
      </c>
      <c r="L946" s="26" t="n">
        <v>1.93</v>
      </c>
      <c r="M946" s="27" t="n">
        <v>0.005</v>
      </c>
      <c r="N946" s="27" t="n">
        <v>0.002</v>
      </c>
      <c r="O946" s="26" t="n">
        <v>5</v>
      </c>
      <c r="P946" s="26" t="n">
        <v>5</v>
      </c>
      <c r="Q946" s="28" t="n">
        <v>100</v>
      </c>
      <c r="R946" s="26" t="n">
        <v>30</v>
      </c>
      <c r="S946" s="26" t="n">
        <v>0</v>
      </c>
      <c r="T946" s="28" t="n">
        <v>1</v>
      </c>
      <c r="U946" s="26" t="n">
        <v>0</v>
      </c>
      <c r="V946" s="26" t="n">
        <v>0</v>
      </c>
      <c r="W946" s="22" t="s">
        <v>19</v>
      </c>
      <c r="X946" s="22" t="s">
        <v>293</v>
      </c>
    </row>
    <row r="947" customFormat="false" ht="15" hidden="false" customHeight="false" outlineLevel="0" collapsed="false">
      <c r="A947" s="22" t="s">
        <v>4013</v>
      </c>
      <c r="B947" s="22" t="s">
        <v>19</v>
      </c>
      <c r="C947" s="22" t="s">
        <v>144</v>
      </c>
      <c r="D947" s="22" t="s">
        <v>4014</v>
      </c>
      <c r="E947" s="22" t="s">
        <v>4015</v>
      </c>
      <c r="F947" s="22" t="n">
        <v>12</v>
      </c>
      <c r="G947" s="26" t="n">
        <v>78.36</v>
      </c>
      <c r="H947" s="26" t="n">
        <v>88.38</v>
      </c>
      <c r="I947" s="26" t="n">
        <v>108.41</v>
      </c>
      <c r="J947" s="26" t="n">
        <v>118.43</v>
      </c>
      <c r="K947" s="26" t="n">
        <v>133.46</v>
      </c>
      <c r="L947" s="26" t="n">
        <v>1.93</v>
      </c>
      <c r="M947" s="27" t="n">
        <v>0.005</v>
      </c>
      <c r="N947" s="27" t="n">
        <v>0.002</v>
      </c>
      <c r="O947" s="26" t="n">
        <v>5</v>
      </c>
      <c r="P947" s="26" t="n">
        <v>5</v>
      </c>
      <c r="Q947" s="28" t="n">
        <v>100</v>
      </c>
      <c r="R947" s="26" t="n">
        <v>30</v>
      </c>
      <c r="S947" s="26" t="n">
        <v>0</v>
      </c>
      <c r="T947" s="28" t="n">
        <v>1</v>
      </c>
      <c r="U947" s="26" t="n">
        <v>0</v>
      </c>
      <c r="V947" s="26" t="n">
        <v>0</v>
      </c>
      <c r="W947" s="22" t="s">
        <v>19</v>
      </c>
      <c r="X947" s="22" t="s">
        <v>293</v>
      </c>
    </row>
    <row r="948" customFormat="false" ht="15" hidden="false" customHeight="false" outlineLevel="0" collapsed="false">
      <c r="A948" s="22" t="s">
        <v>4016</v>
      </c>
      <c r="B948" s="22" t="s">
        <v>19</v>
      </c>
      <c r="C948" s="22" t="s">
        <v>4017</v>
      </c>
      <c r="D948" s="22" t="s">
        <v>4018</v>
      </c>
      <c r="E948" s="22" t="s">
        <v>4019</v>
      </c>
      <c r="F948" s="22" t="n">
        <v>12</v>
      </c>
      <c r="G948" s="26" t="n">
        <v>78.36</v>
      </c>
      <c r="H948" s="26" t="n">
        <v>88.38</v>
      </c>
      <c r="I948" s="26" t="n">
        <v>108.41</v>
      </c>
      <c r="J948" s="26" t="n">
        <v>118.43</v>
      </c>
      <c r="K948" s="26" t="n">
        <v>133.46</v>
      </c>
      <c r="L948" s="26" t="n">
        <v>1.93</v>
      </c>
      <c r="M948" s="27" t="n">
        <v>0.005</v>
      </c>
      <c r="N948" s="27" t="n">
        <v>0.002</v>
      </c>
      <c r="O948" s="26" t="n">
        <v>5</v>
      </c>
      <c r="P948" s="26" t="n">
        <v>5</v>
      </c>
      <c r="Q948" s="28" t="n">
        <v>100</v>
      </c>
      <c r="R948" s="26" t="n">
        <v>30</v>
      </c>
      <c r="S948" s="26" t="n">
        <v>0</v>
      </c>
      <c r="T948" s="28" t="n">
        <v>1</v>
      </c>
      <c r="U948" s="26" t="n">
        <v>0</v>
      </c>
      <c r="V948" s="26" t="n">
        <v>0</v>
      </c>
      <c r="W948" s="22" t="s">
        <v>19</v>
      </c>
      <c r="X948" s="22" t="s">
        <v>293</v>
      </c>
    </row>
    <row r="949" customFormat="false" ht="15" hidden="false" customHeight="false" outlineLevel="0" collapsed="false">
      <c r="A949" s="22" t="s">
        <v>4020</v>
      </c>
      <c r="B949" s="22" t="s">
        <v>19</v>
      </c>
      <c r="C949" s="22" t="s">
        <v>4021</v>
      </c>
      <c r="D949" s="22" t="s">
        <v>4022</v>
      </c>
      <c r="E949" s="22" t="s">
        <v>4023</v>
      </c>
      <c r="F949" s="22" t="n">
        <v>12</v>
      </c>
      <c r="G949" s="26" t="n">
        <v>78.36</v>
      </c>
      <c r="H949" s="26" t="n">
        <v>88.38</v>
      </c>
      <c r="I949" s="26" t="n">
        <v>108.41</v>
      </c>
      <c r="J949" s="26" t="n">
        <v>118.43</v>
      </c>
      <c r="K949" s="26" t="n">
        <v>133.46</v>
      </c>
      <c r="L949" s="26" t="n">
        <v>1.93</v>
      </c>
      <c r="M949" s="27" t="n">
        <v>0.005</v>
      </c>
      <c r="N949" s="27" t="n">
        <v>0.002</v>
      </c>
      <c r="O949" s="26" t="n">
        <v>5</v>
      </c>
      <c r="P949" s="26" t="n">
        <v>5</v>
      </c>
      <c r="Q949" s="28" t="n">
        <v>100</v>
      </c>
      <c r="R949" s="26" t="n">
        <v>30</v>
      </c>
      <c r="S949" s="26" t="n">
        <v>0</v>
      </c>
      <c r="T949" s="28" t="n">
        <v>1</v>
      </c>
      <c r="U949" s="26" t="n">
        <v>0</v>
      </c>
      <c r="V949" s="26" t="n">
        <v>0</v>
      </c>
      <c r="W949" s="22" t="s">
        <v>19</v>
      </c>
      <c r="X949" s="22" t="s">
        <v>293</v>
      </c>
    </row>
    <row r="950" customFormat="false" ht="15" hidden="false" customHeight="false" outlineLevel="0" collapsed="false">
      <c r="A950" s="22" t="s">
        <v>4024</v>
      </c>
      <c r="B950" s="22" t="s">
        <v>19</v>
      </c>
      <c r="C950" s="22" t="s">
        <v>4025</v>
      </c>
      <c r="D950" s="22" t="s">
        <v>4026</v>
      </c>
      <c r="E950" s="22" t="s">
        <v>4027</v>
      </c>
      <c r="F950" s="22" t="n">
        <v>12</v>
      </c>
      <c r="G950" s="26" t="n">
        <v>78.36</v>
      </c>
      <c r="H950" s="26" t="n">
        <v>88.38</v>
      </c>
      <c r="I950" s="26" t="n">
        <v>108.41</v>
      </c>
      <c r="J950" s="26" t="n">
        <v>118.43</v>
      </c>
      <c r="K950" s="26" t="n">
        <v>133.46</v>
      </c>
      <c r="L950" s="26" t="n">
        <v>1.93</v>
      </c>
      <c r="M950" s="27" t="n">
        <v>0.005</v>
      </c>
      <c r="N950" s="27" t="n">
        <v>0.002</v>
      </c>
      <c r="O950" s="26" t="n">
        <v>5</v>
      </c>
      <c r="P950" s="26" t="n">
        <v>5</v>
      </c>
      <c r="Q950" s="28" t="n">
        <v>100</v>
      </c>
      <c r="R950" s="26" t="n">
        <v>30</v>
      </c>
      <c r="S950" s="26" t="n">
        <v>0</v>
      </c>
      <c r="T950" s="28" t="n">
        <v>1</v>
      </c>
      <c r="U950" s="26" t="n">
        <v>0</v>
      </c>
      <c r="V950" s="26" t="n">
        <v>0</v>
      </c>
      <c r="W950" s="22" t="s">
        <v>19</v>
      </c>
      <c r="X950" s="22" t="s">
        <v>293</v>
      </c>
    </row>
    <row r="951" customFormat="false" ht="15" hidden="false" customHeight="false" outlineLevel="0" collapsed="false">
      <c r="A951" s="22" t="s">
        <v>4028</v>
      </c>
      <c r="B951" s="22" t="s">
        <v>19</v>
      </c>
      <c r="C951" s="22" t="s">
        <v>4029</v>
      </c>
      <c r="D951" s="22" t="s">
        <v>4030</v>
      </c>
      <c r="E951" s="22" t="s">
        <v>4031</v>
      </c>
      <c r="F951" s="22" t="n">
        <v>12</v>
      </c>
      <c r="G951" s="26" t="n">
        <v>78.36</v>
      </c>
      <c r="H951" s="26" t="n">
        <v>88.38</v>
      </c>
      <c r="I951" s="26" t="n">
        <v>108.41</v>
      </c>
      <c r="J951" s="26" t="n">
        <v>118.43</v>
      </c>
      <c r="K951" s="26" t="n">
        <v>133.46</v>
      </c>
      <c r="L951" s="26" t="n">
        <v>1.93</v>
      </c>
      <c r="M951" s="27" t="n">
        <v>0.005</v>
      </c>
      <c r="N951" s="27" t="n">
        <v>0.002</v>
      </c>
      <c r="O951" s="26" t="n">
        <v>5</v>
      </c>
      <c r="P951" s="26" t="n">
        <v>5</v>
      </c>
      <c r="Q951" s="28" t="n">
        <v>100</v>
      </c>
      <c r="R951" s="26" t="n">
        <v>30</v>
      </c>
      <c r="S951" s="26" t="n">
        <v>0</v>
      </c>
      <c r="T951" s="28" t="n">
        <v>1</v>
      </c>
      <c r="U951" s="26" t="n">
        <v>0</v>
      </c>
      <c r="V951" s="26" t="n">
        <v>0</v>
      </c>
      <c r="W951" s="22" t="s">
        <v>19</v>
      </c>
      <c r="X951" s="22" t="s">
        <v>293</v>
      </c>
    </row>
    <row r="952" customFormat="false" ht="15" hidden="false" customHeight="false" outlineLevel="0" collapsed="false">
      <c r="A952" s="22" t="s">
        <v>4032</v>
      </c>
      <c r="B952" s="29" t="s">
        <v>19</v>
      </c>
      <c r="C952" s="29" t="s">
        <v>202</v>
      </c>
      <c r="D952" s="22" t="s">
        <v>4033</v>
      </c>
      <c r="E952" s="22" t="s">
        <v>4034</v>
      </c>
      <c r="F952" s="22" t="n">
        <v>12</v>
      </c>
      <c r="G952" s="26" t="n">
        <v>75.1</v>
      </c>
      <c r="H952" s="26" t="n">
        <v>86.62</v>
      </c>
      <c r="I952" s="26" t="n">
        <v>98.13</v>
      </c>
      <c r="J952" s="26" t="n">
        <v>109.65</v>
      </c>
      <c r="K952" s="26" t="n">
        <v>126.93</v>
      </c>
      <c r="L952" s="26" t="n">
        <v>1.93</v>
      </c>
      <c r="M952" s="27" t="n">
        <v>0.005</v>
      </c>
      <c r="N952" s="27" t="n">
        <v>0.002</v>
      </c>
      <c r="O952" s="26" t="n">
        <v>5</v>
      </c>
      <c r="P952" s="26" t="n">
        <v>5</v>
      </c>
      <c r="Q952" s="28" t="n">
        <v>100</v>
      </c>
      <c r="R952" s="26" t="n">
        <v>30</v>
      </c>
      <c r="S952" s="26" t="n">
        <v>0</v>
      </c>
      <c r="T952" s="28" t="n">
        <v>1</v>
      </c>
      <c r="U952" s="26" t="n">
        <v>0</v>
      </c>
      <c r="V952" s="26" t="n">
        <v>0</v>
      </c>
      <c r="W952" s="29" t="s">
        <v>23</v>
      </c>
      <c r="X952" s="22" t="s">
        <v>293</v>
      </c>
    </row>
    <row r="953" customFormat="false" ht="15" hidden="false" customHeight="false" outlineLevel="0" collapsed="false">
      <c r="A953" s="22" t="s">
        <v>4035</v>
      </c>
      <c r="B953" s="22" t="s">
        <v>19</v>
      </c>
      <c r="C953" s="22" t="s">
        <v>4036</v>
      </c>
      <c r="D953" s="22" t="s">
        <v>4037</v>
      </c>
      <c r="E953" s="22" t="s">
        <v>4038</v>
      </c>
      <c r="F953" s="22" t="n">
        <v>12</v>
      </c>
      <c r="G953" s="26" t="n">
        <v>78.36</v>
      </c>
      <c r="H953" s="26" t="n">
        <v>88.38</v>
      </c>
      <c r="I953" s="26" t="n">
        <v>108.41</v>
      </c>
      <c r="J953" s="26" t="n">
        <v>118.43</v>
      </c>
      <c r="K953" s="26" t="n">
        <v>133.46</v>
      </c>
      <c r="L953" s="26" t="n">
        <v>1.93</v>
      </c>
      <c r="M953" s="27" t="n">
        <v>0.005</v>
      </c>
      <c r="N953" s="27" t="n">
        <v>0.002</v>
      </c>
      <c r="O953" s="26" t="n">
        <v>5</v>
      </c>
      <c r="P953" s="26" t="n">
        <v>5</v>
      </c>
      <c r="Q953" s="28" t="n">
        <v>100</v>
      </c>
      <c r="R953" s="26" t="n">
        <v>30</v>
      </c>
      <c r="S953" s="26" t="n">
        <v>0</v>
      </c>
      <c r="T953" s="28" t="n">
        <v>1</v>
      </c>
      <c r="U953" s="26" t="n">
        <v>0</v>
      </c>
      <c r="V953" s="26" t="n">
        <v>0</v>
      </c>
      <c r="W953" s="22" t="s">
        <v>19</v>
      </c>
      <c r="X953" s="22" t="s">
        <v>293</v>
      </c>
    </row>
    <row r="954" customFormat="false" ht="15" hidden="false" customHeight="false" outlineLevel="0" collapsed="false">
      <c r="A954" s="22" t="s">
        <v>4039</v>
      </c>
      <c r="B954" s="22" t="s">
        <v>19</v>
      </c>
      <c r="C954" s="22" t="s">
        <v>141</v>
      </c>
      <c r="D954" s="22" t="s">
        <v>4040</v>
      </c>
      <c r="E954" s="22" t="s">
        <v>4041</v>
      </c>
      <c r="F954" s="22" t="n">
        <v>12</v>
      </c>
      <c r="G954" s="26" t="n">
        <v>78.36</v>
      </c>
      <c r="H954" s="26" t="n">
        <v>88.38</v>
      </c>
      <c r="I954" s="26" t="n">
        <v>108.41</v>
      </c>
      <c r="J954" s="26" t="n">
        <v>118.43</v>
      </c>
      <c r="K954" s="26" t="n">
        <v>133.46</v>
      </c>
      <c r="L954" s="26" t="n">
        <v>1.93</v>
      </c>
      <c r="M954" s="27" t="n">
        <v>0.005</v>
      </c>
      <c r="N954" s="27" t="n">
        <v>0.002</v>
      </c>
      <c r="O954" s="26" t="n">
        <v>5</v>
      </c>
      <c r="P954" s="26" t="n">
        <v>5</v>
      </c>
      <c r="Q954" s="28" t="n">
        <v>100</v>
      </c>
      <c r="R954" s="26" t="n">
        <v>30</v>
      </c>
      <c r="S954" s="26" t="n">
        <v>0</v>
      </c>
      <c r="T954" s="28" t="n">
        <v>1</v>
      </c>
      <c r="U954" s="26" t="n">
        <v>0</v>
      </c>
      <c r="V954" s="26" t="n">
        <v>0</v>
      </c>
      <c r="W954" s="22" t="s">
        <v>19</v>
      </c>
      <c r="X954" s="22" t="s">
        <v>293</v>
      </c>
    </row>
    <row r="955" customFormat="false" ht="15" hidden="false" customHeight="false" outlineLevel="0" collapsed="false">
      <c r="A955" s="22" t="s">
        <v>4042</v>
      </c>
      <c r="B955" s="22" t="s">
        <v>19</v>
      </c>
      <c r="C955" s="22" t="s">
        <v>4043</v>
      </c>
      <c r="D955" s="22" t="s">
        <v>4044</v>
      </c>
      <c r="E955" s="22" t="s">
        <v>4045</v>
      </c>
      <c r="F955" s="22" t="n">
        <v>12</v>
      </c>
      <c r="G955" s="26" t="n">
        <v>78.36</v>
      </c>
      <c r="H955" s="26" t="n">
        <v>88.38</v>
      </c>
      <c r="I955" s="26" t="n">
        <v>108.41</v>
      </c>
      <c r="J955" s="26" t="n">
        <v>118.43</v>
      </c>
      <c r="K955" s="26" t="n">
        <v>133.46</v>
      </c>
      <c r="L955" s="26" t="n">
        <v>1.93</v>
      </c>
      <c r="M955" s="27" t="n">
        <v>0.005</v>
      </c>
      <c r="N955" s="27" t="n">
        <v>0.002</v>
      </c>
      <c r="O955" s="26" t="n">
        <v>5</v>
      </c>
      <c r="P955" s="26" t="n">
        <v>5</v>
      </c>
      <c r="Q955" s="28" t="n">
        <v>100</v>
      </c>
      <c r="R955" s="26" t="n">
        <v>30</v>
      </c>
      <c r="S955" s="26" t="n">
        <v>0</v>
      </c>
      <c r="T955" s="28" t="n">
        <v>1</v>
      </c>
      <c r="U955" s="26" t="n">
        <v>0</v>
      </c>
      <c r="V955" s="26" t="n">
        <v>0</v>
      </c>
      <c r="W955" s="22" t="s">
        <v>19</v>
      </c>
      <c r="X955" s="22" t="s">
        <v>293</v>
      </c>
    </row>
    <row r="956" customFormat="false" ht="15" hidden="false" customHeight="false" outlineLevel="0" collapsed="false">
      <c r="A956" s="22" t="s">
        <v>4046</v>
      </c>
      <c r="B956" s="22" t="s">
        <v>19</v>
      </c>
      <c r="C956" s="22" t="s">
        <v>4047</v>
      </c>
      <c r="D956" s="22" t="s">
        <v>4048</v>
      </c>
      <c r="E956" s="22" t="s">
        <v>4049</v>
      </c>
      <c r="F956" s="22" t="n">
        <v>12</v>
      </c>
      <c r="G956" s="26" t="n">
        <v>78.36</v>
      </c>
      <c r="H956" s="26" t="n">
        <v>88.38</v>
      </c>
      <c r="I956" s="26" t="n">
        <v>108.41</v>
      </c>
      <c r="J956" s="26" t="n">
        <v>118.43</v>
      </c>
      <c r="K956" s="26" t="n">
        <v>133.46</v>
      </c>
      <c r="L956" s="26" t="n">
        <v>1.93</v>
      </c>
      <c r="M956" s="27" t="n">
        <v>0.005</v>
      </c>
      <c r="N956" s="27" t="n">
        <v>0.002</v>
      </c>
      <c r="O956" s="26" t="n">
        <v>5</v>
      </c>
      <c r="P956" s="26" t="n">
        <v>5</v>
      </c>
      <c r="Q956" s="28" t="n">
        <v>100</v>
      </c>
      <c r="R956" s="26" t="n">
        <v>30</v>
      </c>
      <c r="S956" s="26" t="n">
        <v>0</v>
      </c>
      <c r="T956" s="28" t="n">
        <v>1</v>
      </c>
      <c r="U956" s="26" t="n">
        <v>0</v>
      </c>
      <c r="V956" s="26" t="n">
        <v>0</v>
      </c>
      <c r="W956" s="22" t="s">
        <v>19</v>
      </c>
      <c r="X956" s="22" t="s">
        <v>293</v>
      </c>
    </row>
    <row r="957" customFormat="false" ht="15" hidden="false" customHeight="false" outlineLevel="0" collapsed="false">
      <c r="A957" s="22" t="s">
        <v>4050</v>
      </c>
      <c r="B957" s="22" t="s">
        <v>19</v>
      </c>
      <c r="C957" s="22" t="s">
        <v>4051</v>
      </c>
      <c r="D957" s="22" t="s">
        <v>4052</v>
      </c>
      <c r="E957" s="22" t="s">
        <v>4053</v>
      </c>
      <c r="F957" s="22" t="n">
        <v>12</v>
      </c>
      <c r="G957" s="26" t="n">
        <v>78.36</v>
      </c>
      <c r="H957" s="26" t="n">
        <v>88.38</v>
      </c>
      <c r="I957" s="26" t="n">
        <v>108.41</v>
      </c>
      <c r="J957" s="26" t="n">
        <v>118.43</v>
      </c>
      <c r="K957" s="26" t="n">
        <v>133.46</v>
      </c>
      <c r="L957" s="26" t="n">
        <v>1.93</v>
      </c>
      <c r="M957" s="27" t="n">
        <v>0.005</v>
      </c>
      <c r="N957" s="27" t="n">
        <v>0.002</v>
      </c>
      <c r="O957" s="26" t="n">
        <v>5</v>
      </c>
      <c r="P957" s="26" t="n">
        <v>5</v>
      </c>
      <c r="Q957" s="28" t="n">
        <v>100</v>
      </c>
      <c r="R957" s="26" t="n">
        <v>30</v>
      </c>
      <c r="S957" s="26" t="n">
        <v>0</v>
      </c>
      <c r="T957" s="28" t="n">
        <v>1</v>
      </c>
      <c r="U957" s="26" t="n">
        <v>0</v>
      </c>
      <c r="V957" s="26" t="n">
        <v>0</v>
      </c>
      <c r="W957" s="22" t="s">
        <v>19</v>
      </c>
      <c r="X957" s="22" t="s">
        <v>293</v>
      </c>
    </row>
    <row r="958" customFormat="false" ht="15" hidden="false" customHeight="false" outlineLevel="0" collapsed="false">
      <c r="A958" s="22" t="s">
        <v>4054</v>
      </c>
      <c r="B958" s="22" t="s">
        <v>19</v>
      </c>
      <c r="C958" s="22" t="s">
        <v>4055</v>
      </c>
      <c r="D958" s="22" t="s">
        <v>4056</v>
      </c>
      <c r="E958" s="22" t="s">
        <v>4057</v>
      </c>
      <c r="F958" s="22" t="n">
        <v>12</v>
      </c>
      <c r="G958" s="26" t="n">
        <v>78.36</v>
      </c>
      <c r="H958" s="26" t="n">
        <v>88.38</v>
      </c>
      <c r="I958" s="26" t="n">
        <v>108.41</v>
      </c>
      <c r="J958" s="26" t="n">
        <v>118.43</v>
      </c>
      <c r="K958" s="26" t="n">
        <v>133.46</v>
      </c>
      <c r="L958" s="26" t="n">
        <v>1.93</v>
      </c>
      <c r="M958" s="27" t="n">
        <v>0.005</v>
      </c>
      <c r="N958" s="27" t="n">
        <v>0.002</v>
      </c>
      <c r="O958" s="26" t="n">
        <v>5</v>
      </c>
      <c r="P958" s="26" t="n">
        <v>5</v>
      </c>
      <c r="Q958" s="28" t="n">
        <v>100</v>
      </c>
      <c r="R958" s="26" t="n">
        <v>30</v>
      </c>
      <c r="S958" s="26" t="n">
        <v>0</v>
      </c>
      <c r="T958" s="28" t="n">
        <v>1</v>
      </c>
      <c r="U958" s="26" t="n">
        <v>0</v>
      </c>
      <c r="V958" s="26" t="n">
        <v>0</v>
      </c>
      <c r="W958" s="22" t="s">
        <v>19</v>
      </c>
      <c r="X958" s="22" t="s">
        <v>293</v>
      </c>
    </row>
    <row r="959" customFormat="false" ht="15" hidden="false" customHeight="false" outlineLevel="0" collapsed="false">
      <c r="A959" s="22" t="s">
        <v>4058</v>
      </c>
      <c r="B959" s="22" t="s">
        <v>19</v>
      </c>
      <c r="C959" s="22" t="s">
        <v>4059</v>
      </c>
      <c r="D959" s="22" t="s">
        <v>4060</v>
      </c>
      <c r="E959" s="22" t="s">
        <v>4061</v>
      </c>
      <c r="F959" s="22" t="n">
        <v>12</v>
      </c>
      <c r="G959" s="26" t="n">
        <v>78.36</v>
      </c>
      <c r="H959" s="26" t="n">
        <v>88.38</v>
      </c>
      <c r="I959" s="26" t="n">
        <v>108.41</v>
      </c>
      <c r="J959" s="26" t="n">
        <v>118.43</v>
      </c>
      <c r="K959" s="26" t="n">
        <v>133.46</v>
      </c>
      <c r="L959" s="26" t="n">
        <v>1.93</v>
      </c>
      <c r="M959" s="27" t="n">
        <v>0.005</v>
      </c>
      <c r="N959" s="27" t="n">
        <v>0.002</v>
      </c>
      <c r="O959" s="26" t="n">
        <v>5</v>
      </c>
      <c r="P959" s="26" t="n">
        <v>5</v>
      </c>
      <c r="Q959" s="28" t="n">
        <v>100</v>
      </c>
      <c r="R959" s="26" t="n">
        <v>30</v>
      </c>
      <c r="S959" s="26" t="n">
        <v>0</v>
      </c>
      <c r="T959" s="28" t="n">
        <v>1</v>
      </c>
      <c r="U959" s="26" t="n">
        <v>0</v>
      </c>
      <c r="V959" s="26" t="n">
        <v>0</v>
      </c>
      <c r="W959" s="22" t="s">
        <v>19</v>
      </c>
      <c r="X959" s="22" t="s">
        <v>293</v>
      </c>
    </row>
    <row r="960" customFormat="false" ht="15" hidden="false" customHeight="false" outlineLevel="0" collapsed="false">
      <c r="A960" s="22" t="s">
        <v>4062</v>
      </c>
      <c r="B960" s="22" t="s">
        <v>19</v>
      </c>
      <c r="C960" s="22" t="s">
        <v>4063</v>
      </c>
      <c r="D960" s="22" t="s">
        <v>4064</v>
      </c>
      <c r="E960" s="22" t="s">
        <v>4065</v>
      </c>
      <c r="F960" s="22" t="n">
        <v>12</v>
      </c>
      <c r="G960" s="26" t="n">
        <v>78.36</v>
      </c>
      <c r="H960" s="26" t="n">
        <v>88.38</v>
      </c>
      <c r="I960" s="26" t="n">
        <v>108.41</v>
      </c>
      <c r="J960" s="26" t="n">
        <v>118.43</v>
      </c>
      <c r="K960" s="26" t="n">
        <v>133.46</v>
      </c>
      <c r="L960" s="26" t="n">
        <v>1.93</v>
      </c>
      <c r="M960" s="27" t="n">
        <v>0.005</v>
      </c>
      <c r="N960" s="27" t="n">
        <v>0.002</v>
      </c>
      <c r="O960" s="26" t="n">
        <v>5</v>
      </c>
      <c r="P960" s="26" t="n">
        <v>5</v>
      </c>
      <c r="Q960" s="28" t="n">
        <v>100</v>
      </c>
      <c r="R960" s="26" t="n">
        <v>30</v>
      </c>
      <c r="S960" s="26" t="n">
        <v>0</v>
      </c>
      <c r="T960" s="28" t="n">
        <v>1</v>
      </c>
      <c r="U960" s="26" t="n">
        <v>0</v>
      </c>
      <c r="V960" s="26" t="n">
        <v>0</v>
      </c>
      <c r="W960" s="22" t="s">
        <v>19</v>
      </c>
      <c r="X960" s="22" t="s">
        <v>293</v>
      </c>
    </row>
    <row r="961" customFormat="false" ht="15" hidden="false" customHeight="false" outlineLevel="0" collapsed="false">
      <c r="A961" s="22" t="s">
        <v>4066</v>
      </c>
      <c r="B961" s="22" t="s">
        <v>19</v>
      </c>
      <c r="C961" s="22" t="s">
        <v>4067</v>
      </c>
      <c r="D961" s="22" t="s">
        <v>4068</v>
      </c>
      <c r="E961" s="22" t="s">
        <v>4069</v>
      </c>
      <c r="F961" s="22" t="n">
        <v>12</v>
      </c>
      <c r="G961" s="26" t="n">
        <v>78.36</v>
      </c>
      <c r="H961" s="26" t="n">
        <v>88.38</v>
      </c>
      <c r="I961" s="26" t="n">
        <v>108.41</v>
      </c>
      <c r="J961" s="26" t="n">
        <v>118.43</v>
      </c>
      <c r="K961" s="26" t="n">
        <v>133.46</v>
      </c>
      <c r="L961" s="26" t="n">
        <v>1.93</v>
      </c>
      <c r="M961" s="27" t="n">
        <v>0.005</v>
      </c>
      <c r="N961" s="27" t="n">
        <v>0.002</v>
      </c>
      <c r="O961" s="26" t="n">
        <v>5</v>
      </c>
      <c r="P961" s="26" t="n">
        <v>5</v>
      </c>
      <c r="Q961" s="28" t="n">
        <v>100</v>
      </c>
      <c r="R961" s="26" t="n">
        <v>30</v>
      </c>
      <c r="S961" s="26" t="n">
        <v>0</v>
      </c>
      <c r="T961" s="28" t="n">
        <v>1</v>
      </c>
      <c r="U961" s="26" t="n">
        <v>0</v>
      </c>
      <c r="V961" s="26" t="n">
        <v>0</v>
      </c>
      <c r="W961" s="22" t="s">
        <v>19</v>
      </c>
      <c r="X961" s="22" t="s">
        <v>293</v>
      </c>
    </row>
    <row r="962" customFormat="false" ht="15" hidden="false" customHeight="false" outlineLevel="0" collapsed="false">
      <c r="A962" s="22" t="s">
        <v>4070</v>
      </c>
      <c r="B962" s="22" t="s">
        <v>19</v>
      </c>
      <c r="C962" s="22" t="s">
        <v>4071</v>
      </c>
      <c r="D962" s="22" t="s">
        <v>4072</v>
      </c>
      <c r="E962" s="22" t="s">
        <v>4073</v>
      </c>
      <c r="F962" s="22" t="n">
        <v>12</v>
      </c>
      <c r="G962" s="26" t="n">
        <v>78.36</v>
      </c>
      <c r="H962" s="26" t="n">
        <v>88.38</v>
      </c>
      <c r="I962" s="26" t="n">
        <v>108.41</v>
      </c>
      <c r="J962" s="26" t="n">
        <v>118.43</v>
      </c>
      <c r="K962" s="26" t="n">
        <v>133.46</v>
      </c>
      <c r="L962" s="26" t="n">
        <v>1.93</v>
      </c>
      <c r="M962" s="27" t="n">
        <v>0.005</v>
      </c>
      <c r="N962" s="27" t="n">
        <v>0.002</v>
      </c>
      <c r="O962" s="26" t="n">
        <v>5</v>
      </c>
      <c r="P962" s="26" t="n">
        <v>5</v>
      </c>
      <c r="Q962" s="28" t="n">
        <v>100</v>
      </c>
      <c r="R962" s="26" t="n">
        <v>30</v>
      </c>
      <c r="S962" s="26" t="n">
        <v>0</v>
      </c>
      <c r="T962" s="28" t="n">
        <v>1</v>
      </c>
      <c r="U962" s="26" t="n">
        <v>0</v>
      </c>
      <c r="V962" s="26" t="n">
        <v>0</v>
      </c>
      <c r="W962" s="22" t="s">
        <v>19</v>
      </c>
      <c r="X962" s="22" t="s">
        <v>293</v>
      </c>
    </row>
    <row r="963" customFormat="false" ht="15" hidden="false" customHeight="false" outlineLevel="0" collapsed="false">
      <c r="A963" s="22" t="s">
        <v>4074</v>
      </c>
      <c r="B963" s="22" t="s">
        <v>19</v>
      </c>
      <c r="C963" s="22" t="s">
        <v>4075</v>
      </c>
      <c r="D963" s="22" t="s">
        <v>4076</v>
      </c>
      <c r="E963" s="22" t="s">
        <v>4077</v>
      </c>
      <c r="F963" s="22" t="n">
        <v>12</v>
      </c>
      <c r="G963" s="26" t="n">
        <v>78.36</v>
      </c>
      <c r="H963" s="26" t="n">
        <v>88.38</v>
      </c>
      <c r="I963" s="26" t="n">
        <v>108.41</v>
      </c>
      <c r="J963" s="26" t="n">
        <v>118.43</v>
      </c>
      <c r="K963" s="26" t="n">
        <v>133.46</v>
      </c>
      <c r="L963" s="26" t="n">
        <v>1.93</v>
      </c>
      <c r="M963" s="27" t="n">
        <v>0.005</v>
      </c>
      <c r="N963" s="27" t="n">
        <v>0.002</v>
      </c>
      <c r="O963" s="26" t="n">
        <v>5</v>
      </c>
      <c r="P963" s="26" t="n">
        <v>5</v>
      </c>
      <c r="Q963" s="28" t="n">
        <v>100</v>
      </c>
      <c r="R963" s="26" t="n">
        <v>30</v>
      </c>
      <c r="S963" s="26" t="n">
        <v>0</v>
      </c>
      <c r="T963" s="28" t="n">
        <v>1</v>
      </c>
      <c r="U963" s="26" t="n">
        <v>0</v>
      </c>
      <c r="V963" s="26" t="n">
        <v>0</v>
      </c>
      <c r="W963" s="22" t="s">
        <v>19</v>
      </c>
      <c r="X963" s="22" t="s">
        <v>293</v>
      </c>
    </row>
    <row r="964" customFormat="false" ht="15" hidden="false" customHeight="false" outlineLevel="0" collapsed="false">
      <c r="A964" s="22" t="s">
        <v>4078</v>
      </c>
      <c r="B964" s="22" t="s">
        <v>19</v>
      </c>
      <c r="C964" s="22" t="s">
        <v>4079</v>
      </c>
      <c r="D964" s="22" t="s">
        <v>4080</v>
      </c>
      <c r="E964" s="22" t="s">
        <v>4081</v>
      </c>
      <c r="F964" s="22" t="n">
        <v>12</v>
      </c>
      <c r="G964" s="26" t="n">
        <v>78.36</v>
      </c>
      <c r="H964" s="26" t="n">
        <v>88.38</v>
      </c>
      <c r="I964" s="26" t="n">
        <v>108.41</v>
      </c>
      <c r="J964" s="26" t="n">
        <v>118.43</v>
      </c>
      <c r="K964" s="26" t="n">
        <v>133.46</v>
      </c>
      <c r="L964" s="26" t="n">
        <v>1.93</v>
      </c>
      <c r="M964" s="27" t="n">
        <v>0.005</v>
      </c>
      <c r="N964" s="27" t="n">
        <v>0.002</v>
      </c>
      <c r="O964" s="26" t="n">
        <v>5</v>
      </c>
      <c r="P964" s="26" t="n">
        <v>5</v>
      </c>
      <c r="Q964" s="28" t="n">
        <v>100</v>
      </c>
      <c r="R964" s="26" t="n">
        <v>30</v>
      </c>
      <c r="S964" s="26" t="n">
        <v>0</v>
      </c>
      <c r="T964" s="28" t="n">
        <v>1</v>
      </c>
      <c r="U964" s="26" t="n">
        <v>0</v>
      </c>
      <c r="V964" s="26" t="n">
        <v>0</v>
      </c>
      <c r="W964" s="22" t="s">
        <v>19</v>
      </c>
      <c r="X964" s="22" t="s">
        <v>293</v>
      </c>
    </row>
    <row r="965" customFormat="false" ht="15" hidden="false" customHeight="false" outlineLevel="0" collapsed="false">
      <c r="A965" s="22" t="s">
        <v>4082</v>
      </c>
      <c r="B965" s="29" t="s">
        <v>19</v>
      </c>
      <c r="C965" s="29" t="s">
        <v>2450</v>
      </c>
      <c r="D965" s="22" t="s">
        <v>4083</v>
      </c>
      <c r="E965" s="22" t="s">
        <v>4084</v>
      </c>
      <c r="F965" s="22" t="n">
        <v>12</v>
      </c>
      <c r="G965" s="26" t="n">
        <v>131.96</v>
      </c>
      <c r="H965" s="26" t="n">
        <v>154.09</v>
      </c>
      <c r="I965" s="26" t="n">
        <v>176.22</v>
      </c>
      <c r="J965" s="26" t="n">
        <v>192.82</v>
      </c>
      <c r="K965" s="26" t="n">
        <v>209.42</v>
      </c>
      <c r="L965" s="26" t="n">
        <v>2.06</v>
      </c>
      <c r="M965" s="27" t="n">
        <v>0.005</v>
      </c>
      <c r="N965" s="27" t="n">
        <v>0.002</v>
      </c>
      <c r="O965" s="26" t="n">
        <v>5</v>
      </c>
      <c r="P965" s="26" t="n">
        <v>5</v>
      </c>
      <c r="Q965" s="28" t="n">
        <v>100</v>
      </c>
      <c r="R965" s="26" t="n">
        <v>30</v>
      </c>
      <c r="S965" s="26" t="n">
        <v>0</v>
      </c>
      <c r="T965" s="28" t="n">
        <v>1</v>
      </c>
      <c r="U965" s="26" t="n">
        <v>0</v>
      </c>
      <c r="V965" s="26" t="n">
        <v>0</v>
      </c>
      <c r="W965" s="29" t="s">
        <v>17</v>
      </c>
      <c r="X965" s="22" t="s">
        <v>293</v>
      </c>
    </row>
    <row r="966" customFormat="false" ht="15" hidden="false" customHeight="false" outlineLevel="0" collapsed="false">
      <c r="A966" s="22" t="s">
        <v>4085</v>
      </c>
      <c r="B966" s="22" t="s">
        <v>19</v>
      </c>
      <c r="C966" s="22" t="s">
        <v>4086</v>
      </c>
      <c r="D966" s="22" t="s">
        <v>4087</v>
      </c>
      <c r="E966" s="22" t="s">
        <v>4088</v>
      </c>
      <c r="F966" s="22" t="n">
        <v>12</v>
      </c>
      <c r="G966" s="26" t="n">
        <v>78.36</v>
      </c>
      <c r="H966" s="26" t="n">
        <v>88.38</v>
      </c>
      <c r="I966" s="26" t="n">
        <v>108.41</v>
      </c>
      <c r="J966" s="26" t="n">
        <v>118.43</v>
      </c>
      <c r="K966" s="26" t="n">
        <v>133.46</v>
      </c>
      <c r="L966" s="26" t="n">
        <v>1.93</v>
      </c>
      <c r="M966" s="27" t="n">
        <v>0.005</v>
      </c>
      <c r="N966" s="27" t="n">
        <v>0.002</v>
      </c>
      <c r="O966" s="26" t="n">
        <v>5</v>
      </c>
      <c r="P966" s="26" t="n">
        <v>5</v>
      </c>
      <c r="Q966" s="28" t="n">
        <v>100</v>
      </c>
      <c r="R966" s="26" t="n">
        <v>30</v>
      </c>
      <c r="S966" s="26" t="n">
        <v>0</v>
      </c>
      <c r="T966" s="28" t="n">
        <v>1</v>
      </c>
      <c r="U966" s="26" t="n">
        <v>0</v>
      </c>
      <c r="V966" s="26" t="n">
        <v>250</v>
      </c>
      <c r="W966" s="22" t="s">
        <v>19</v>
      </c>
      <c r="X966" s="22" t="s">
        <v>293</v>
      </c>
    </row>
    <row r="967" customFormat="false" ht="15" hidden="false" customHeight="false" outlineLevel="0" collapsed="false">
      <c r="A967" s="22" t="s">
        <v>4089</v>
      </c>
      <c r="B967" s="22" t="s">
        <v>19</v>
      </c>
      <c r="C967" s="22" t="s">
        <v>4090</v>
      </c>
      <c r="D967" s="22" t="s">
        <v>4091</v>
      </c>
      <c r="E967" s="22" t="s">
        <v>4092</v>
      </c>
      <c r="F967" s="22" t="n">
        <v>12</v>
      </c>
      <c r="G967" s="26" t="n">
        <v>78.36</v>
      </c>
      <c r="H967" s="26" t="n">
        <v>88.38</v>
      </c>
      <c r="I967" s="26" t="n">
        <v>108.41</v>
      </c>
      <c r="J967" s="26" t="n">
        <v>118.43</v>
      </c>
      <c r="K967" s="26" t="n">
        <v>133.46</v>
      </c>
      <c r="L967" s="26" t="n">
        <v>1.93</v>
      </c>
      <c r="M967" s="27" t="n">
        <v>0.005</v>
      </c>
      <c r="N967" s="27" t="n">
        <v>0.002</v>
      </c>
      <c r="O967" s="26" t="n">
        <v>5</v>
      </c>
      <c r="P967" s="26" t="n">
        <v>5</v>
      </c>
      <c r="Q967" s="28" t="n">
        <v>100</v>
      </c>
      <c r="R967" s="26" t="n">
        <v>30</v>
      </c>
      <c r="S967" s="26" t="n">
        <v>0</v>
      </c>
      <c r="T967" s="28" t="n">
        <v>1</v>
      </c>
      <c r="U967" s="26" t="n">
        <v>0</v>
      </c>
      <c r="V967" s="26" t="n">
        <v>0</v>
      </c>
      <c r="W967" s="22" t="s">
        <v>19</v>
      </c>
      <c r="X967" s="22" t="s">
        <v>293</v>
      </c>
    </row>
    <row r="968" customFormat="false" ht="15" hidden="false" customHeight="false" outlineLevel="0" collapsed="false">
      <c r="A968" s="22" t="s">
        <v>4093</v>
      </c>
      <c r="B968" s="22" t="s">
        <v>19</v>
      </c>
      <c r="C968" s="22" t="s">
        <v>342</v>
      </c>
      <c r="D968" s="22" t="s">
        <v>4094</v>
      </c>
      <c r="E968" s="22" t="s">
        <v>4095</v>
      </c>
      <c r="F968" s="22" t="n">
        <v>13</v>
      </c>
      <c r="G968" s="26" t="n">
        <v>78.36</v>
      </c>
      <c r="H968" s="26" t="n">
        <v>88.38</v>
      </c>
      <c r="I968" s="26" t="n">
        <v>108.41</v>
      </c>
      <c r="J968" s="26" t="n">
        <v>118.43</v>
      </c>
      <c r="K968" s="26" t="n">
        <v>133.46</v>
      </c>
      <c r="L968" s="26" t="n">
        <v>1.93</v>
      </c>
      <c r="M968" s="27" t="n">
        <v>0.005</v>
      </c>
      <c r="N968" s="27" t="n">
        <v>0.002</v>
      </c>
      <c r="O968" s="26" t="n">
        <v>5</v>
      </c>
      <c r="P968" s="26" t="n">
        <v>5</v>
      </c>
      <c r="Q968" s="28" t="n">
        <v>100</v>
      </c>
      <c r="R968" s="26" t="n">
        <v>30</v>
      </c>
      <c r="S968" s="26" t="n">
        <v>0</v>
      </c>
      <c r="T968" s="28" t="n">
        <v>1</v>
      </c>
      <c r="U968" s="26" t="n">
        <v>0</v>
      </c>
      <c r="V968" s="26" t="n">
        <v>0</v>
      </c>
      <c r="W968" s="22" t="s">
        <v>19</v>
      </c>
      <c r="X968" s="22" t="s">
        <v>293</v>
      </c>
    </row>
    <row r="969" customFormat="false" ht="15" hidden="false" customHeight="false" outlineLevel="0" collapsed="false">
      <c r="A969" s="22" t="s">
        <v>4096</v>
      </c>
      <c r="B969" s="29" t="s">
        <v>19</v>
      </c>
      <c r="C969" s="29" t="s">
        <v>963</v>
      </c>
      <c r="D969" s="22" t="s">
        <v>4097</v>
      </c>
      <c r="E969" s="22" t="s">
        <v>4098</v>
      </c>
      <c r="F969" s="22" t="n">
        <v>13</v>
      </c>
      <c r="G969" s="26" t="n">
        <v>198.14</v>
      </c>
      <c r="H969" s="26" t="n">
        <v>220.27</v>
      </c>
      <c r="I969" s="26" t="n">
        <v>242.41</v>
      </c>
      <c r="J969" s="26" t="n">
        <v>259</v>
      </c>
      <c r="K969" s="26" t="n">
        <v>275.6</v>
      </c>
      <c r="L969" s="26" t="n">
        <v>2.47</v>
      </c>
      <c r="M969" s="27" t="n">
        <v>0.005</v>
      </c>
      <c r="N969" s="27" t="n">
        <v>0.002</v>
      </c>
      <c r="O969" s="26" t="n">
        <v>5</v>
      </c>
      <c r="P969" s="26" t="n">
        <v>5</v>
      </c>
      <c r="Q969" s="28" t="n">
        <v>100</v>
      </c>
      <c r="R969" s="26" t="n">
        <v>30</v>
      </c>
      <c r="S969" s="26" t="n">
        <v>0</v>
      </c>
      <c r="T969" s="28" t="n">
        <v>1</v>
      </c>
      <c r="U969" s="26" t="n">
        <v>0</v>
      </c>
      <c r="V969" s="26" t="n">
        <v>0</v>
      </c>
      <c r="W969" s="29" t="s">
        <v>18</v>
      </c>
      <c r="X969" s="22" t="s">
        <v>293</v>
      </c>
    </row>
    <row r="970" customFormat="false" ht="15" hidden="false" customHeight="false" outlineLevel="0" collapsed="false">
      <c r="A970" s="22" t="s">
        <v>4099</v>
      </c>
      <c r="B970" s="29" t="s">
        <v>19</v>
      </c>
      <c r="C970" s="29" t="s">
        <v>139</v>
      </c>
      <c r="D970" s="22" t="s">
        <v>4100</v>
      </c>
      <c r="E970" s="22" t="s">
        <v>4101</v>
      </c>
      <c r="F970" s="22" t="n">
        <v>12</v>
      </c>
      <c r="G970" s="26" t="n">
        <v>198.14</v>
      </c>
      <c r="H970" s="26" t="n">
        <v>220.27</v>
      </c>
      <c r="I970" s="26" t="n">
        <v>242.41</v>
      </c>
      <c r="J970" s="26" t="n">
        <v>259</v>
      </c>
      <c r="K970" s="26" t="n">
        <v>275.6</v>
      </c>
      <c r="L970" s="26" t="n">
        <v>2.47</v>
      </c>
      <c r="M970" s="27" t="n">
        <v>0.005</v>
      </c>
      <c r="N970" s="27" t="n">
        <v>0.002</v>
      </c>
      <c r="O970" s="26" t="n">
        <v>5</v>
      </c>
      <c r="P970" s="26" t="n">
        <v>5</v>
      </c>
      <c r="Q970" s="28" t="n">
        <v>100</v>
      </c>
      <c r="R970" s="26" t="n">
        <v>30</v>
      </c>
      <c r="S970" s="26" t="n">
        <v>0</v>
      </c>
      <c r="T970" s="28" t="n">
        <v>1</v>
      </c>
      <c r="U970" s="26" t="n">
        <v>0</v>
      </c>
      <c r="V970" s="26" t="n">
        <v>0</v>
      </c>
      <c r="W970" s="29" t="s">
        <v>18</v>
      </c>
      <c r="X970" s="22" t="s">
        <v>293</v>
      </c>
    </row>
    <row r="971" customFormat="false" ht="15" hidden="false" customHeight="false" outlineLevel="0" collapsed="false">
      <c r="A971" s="22" t="s">
        <v>4102</v>
      </c>
      <c r="B971" s="22" t="s">
        <v>19</v>
      </c>
      <c r="C971" s="22" t="s">
        <v>967</v>
      </c>
      <c r="D971" s="22" t="s">
        <v>4103</v>
      </c>
      <c r="E971" s="22" t="s">
        <v>4104</v>
      </c>
      <c r="F971" s="22" t="n">
        <v>13</v>
      </c>
      <c r="G971" s="26" t="n">
        <v>78.36</v>
      </c>
      <c r="H971" s="26" t="n">
        <v>88.38</v>
      </c>
      <c r="I971" s="26" t="n">
        <v>108.41</v>
      </c>
      <c r="J971" s="26" t="n">
        <v>118.43</v>
      </c>
      <c r="K971" s="26" t="n">
        <v>133.46</v>
      </c>
      <c r="L971" s="26" t="n">
        <v>1.93</v>
      </c>
      <c r="M971" s="27" t="n">
        <v>0.005</v>
      </c>
      <c r="N971" s="27" t="n">
        <v>0.002</v>
      </c>
      <c r="O971" s="26" t="n">
        <v>5</v>
      </c>
      <c r="P971" s="26" t="n">
        <v>5</v>
      </c>
      <c r="Q971" s="28" t="n">
        <v>100</v>
      </c>
      <c r="R971" s="26" t="n">
        <v>30</v>
      </c>
      <c r="S971" s="26" t="n">
        <v>0</v>
      </c>
      <c r="T971" s="28" t="n">
        <v>1</v>
      </c>
      <c r="U971" s="26" t="n">
        <v>0</v>
      </c>
      <c r="V971" s="26" t="n">
        <v>0</v>
      </c>
      <c r="W971" s="22" t="s">
        <v>19</v>
      </c>
      <c r="X971" s="22" t="s">
        <v>293</v>
      </c>
    </row>
    <row r="972" customFormat="false" ht="15" hidden="false" customHeight="false" outlineLevel="0" collapsed="false">
      <c r="A972" s="22" t="s">
        <v>4105</v>
      </c>
      <c r="B972" s="29" t="s">
        <v>19</v>
      </c>
      <c r="C972" s="29" t="s">
        <v>991</v>
      </c>
      <c r="D972" s="22" t="s">
        <v>4106</v>
      </c>
      <c r="E972" s="22" t="s">
        <v>4107</v>
      </c>
      <c r="F972" s="22" t="n">
        <v>13</v>
      </c>
      <c r="G972" s="26" t="n">
        <v>75.1</v>
      </c>
      <c r="H972" s="26" t="n">
        <v>86.62</v>
      </c>
      <c r="I972" s="26" t="n">
        <v>98.13</v>
      </c>
      <c r="J972" s="26" t="n">
        <v>109.65</v>
      </c>
      <c r="K972" s="26" t="n">
        <v>126.93</v>
      </c>
      <c r="L972" s="26" t="n">
        <v>1.93</v>
      </c>
      <c r="M972" s="27" t="n">
        <v>0.005</v>
      </c>
      <c r="N972" s="27" t="n">
        <v>0.002</v>
      </c>
      <c r="O972" s="26" t="n">
        <v>5</v>
      </c>
      <c r="P972" s="26" t="n">
        <v>5</v>
      </c>
      <c r="Q972" s="28" t="n">
        <v>100</v>
      </c>
      <c r="R972" s="26" t="n">
        <v>30</v>
      </c>
      <c r="S972" s="26" t="n">
        <v>0</v>
      </c>
      <c r="T972" s="28" t="n">
        <v>1</v>
      </c>
      <c r="U972" s="26" t="n">
        <v>0</v>
      </c>
      <c r="V972" s="26" t="n">
        <v>0</v>
      </c>
      <c r="W972" s="29" t="s">
        <v>23</v>
      </c>
      <c r="X972" s="22" t="s">
        <v>293</v>
      </c>
    </row>
    <row r="973" customFormat="false" ht="15" hidden="false" customHeight="false" outlineLevel="0" collapsed="false">
      <c r="A973" s="22" t="s">
        <v>4108</v>
      </c>
      <c r="B973" s="22" t="s">
        <v>19</v>
      </c>
      <c r="C973" s="22" t="s">
        <v>370</v>
      </c>
      <c r="D973" s="22" t="s">
        <v>4109</v>
      </c>
      <c r="E973" s="22" t="s">
        <v>4110</v>
      </c>
      <c r="F973" s="22" t="n">
        <v>13</v>
      </c>
      <c r="G973" s="26" t="n">
        <v>99.55</v>
      </c>
      <c r="H973" s="26" t="n">
        <v>109.56</v>
      </c>
      <c r="I973" s="26" t="n">
        <v>129.6</v>
      </c>
      <c r="J973" s="26" t="n">
        <v>139.62</v>
      </c>
      <c r="K973" s="26" t="n">
        <v>154.64</v>
      </c>
      <c r="L973" s="26" t="n">
        <v>2.06</v>
      </c>
      <c r="M973" s="27" t="n">
        <v>0.005</v>
      </c>
      <c r="N973" s="27" t="n">
        <v>0.002</v>
      </c>
      <c r="O973" s="26" t="n">
        <v>5</v>
      </c>
      <c r="P973" s="26" t="n">
        <v>5</v>
      </c>
      <c r="Q973" s="28" t="n">
        <v>100</v>
      </c>
      <c r="R973" s="26" t="n">
        <v>30</v>
      </c>
      <c r="S973" s="26" t="n">
        <v>0</v>
      </c>
      <c r="T973" s="28" t="n">
        <v>1</v>
      </c>
      <c r="U973" s="26" t="n">
        <v>0</v>
      </c>
      <c r="V973" s="26" t="n">
        <v>250</v>
      </c>
      <c r="W973" s="22" t="s">
        <v>19</v>
      </c>
      <c r="X973" s="22" t="s">
        <v>373</v>
      </c>
    </row>
    <row r="974" customFormat="false" ht="15" hidden="false" customHeight="false" outlineLevel="0" collapsed="false">
      <c r="A974" s="22" t="s">
        <v>4111</v>
      </c>
      <c r="B974" s="22" t="s">
        <v>19</v>
      </c>
      <c r="C974" s="22" t="s">
        <v>4112</v>
      </c>
      <c r="D974" s="22" t="s">
        <v>4113</v>
      </c>
      <c r="E974" s="22" t="s">
        <v>4114</v>
      </c>
      <c r="F974" s="22" t="n">
        <v>13</v>
      </c>
      <c r="G974" s="26" t="n">
        <v>99.55</v>
      </c>
      <c r="H974" s="26" t="n">
        <v>109.56</v>
      </c>
      <c r="I974" s="26" t="n">
        <v>129.6</v>
      </c>
      <c r="J974" s="26" t="n">
        <v>139.62</v>
      </c>
      <c r="K974" s="26" t="n">
        <v>154.64</v>
      </c>
      <c r="L974" s="26" t="n">
        <v>2.06</v>
      </c>
      <c r="M974" s="27" t="n">
        <v>0.005</v>
      </c>
      <c r="N974" s="27" t="n">
        <v>0.002</v>
      </c>
      <c r="O974" s="26" t="n">
        <v>5</v>
      </c>
      <c r="P974" s="26" t="n">
        <v>5</v>
      </c>
      <c r="Q974" s="28" t="n">
        <v>100</v>
      </c>
      <c r="R974" s="26" t="n">
        <v>30</v>
      </c>
      <c r="S974" s="26" t="n">
        <v>0</v>
      </c>
      <c r="T974" s="28" t="n">
        <v>1</v>
      </c>
      <c r="U974" s="26" t="n">
        <v>0</v>
      </c>
      <c r="V974" s="26" t="n">
        <v>250</v>
      </c>
      <c r="W974" s="22" t="s">
        <v>19</v>
      </c>
      <c r="X974" s="22" t="s">
        <v>373</v>
      </c>
    </row>
    <row r="975" customFormat="false" ht="15" hidden="false" customHeight="false" outlineLevel="0" collapsed="false">
      <c r="A975" s="22" t="s">
        <v>4115</v>
      </c>
      <c r="B975" s="29" t="s">
        <v>19</v>
      </c>
      <c r="C975" s="29" t="s">
        <v>4116</v>
      </c>
      <c r="D975" s="22" t="s">
        <v>4117</v>
      </c>
      <c r="E975" s="22" t="s">
        <v>4118</v>
      </c>
      <c r="F975" s="22" t="n">
        <v>12</v>
      </c>
      <c r="G975" s="26" t="n">
        <v>109.5</v>
      </c>
      <c r="H975" s="26" t="n">
        <v>120.52</v>
      </c>
      <c r="I975" s="26" t="n">
        <v>142.56</v>
      </c>
      <c r="J975" s="26" t="n">
        <v>153.58</v>
      </c>
      <c r="K975" s="26" t="n">
        <v>170.11</v>
      </c>
      <c r="L975" s="26" t="n">
        <v>2.06</v>
      </c>
      <c r="M975" s="27" t="n">
        <v>0.005</v>
      </c>
      <c r="N975" s="27" t="n">
        <v>0.002</v>
      </c>
      <c r="O975" s="26" t="n">
        <v>5</v>
      </c>
      <c r="P975" s="26" t="n">
        <v>5</v>
      </c>
      <c r="Q975" s="28" t="n">
        <v>100</v>
      </c>
      <c r="R975" s="26" t="n">
        <v>30</v>
      </c>
      <c r="S975" s="26" t="n">
        <v>0</v>
      </c>
      <c r="T975" s="28" t="n">
        <v>1</v>
      </c>
      <c r="U975" s="26" t="n">
        <v>0</v>
      </c>
      <c r="V975" s="26" t="n">
        <v>0</v>
      </c>
      <c r="W975" s="29" t="s">
        <v>20</v>
      </c>
      <c r="X975" s="22" t="s">
        <v>373</v>
      </c>
    </row>
    <row r="976" customFormat="false" ht="15" hidden="false" customHeight="false" outlineLevel="0" collapsed="false">
      <c r="A976" s="22" t="s">
        <v>4119</v>
      </c>
      <c r="B976" s="22" t="s">
        <v>19</v>
      </c>
      <c r="C976" s="22" t="s">
        <v>4120</v>
      </c>
      <c r="D976" s="22" t="s">
        <v>4121</v>
      </c>
      <c r="E976" s="22" t="s">
        <v>4122</v>
      </c>
      <c r="F976" s="22" t="n">
        <v>13</v>
      </c>
      <c r="G976" s="26" t="n">
        <v>99.55</v>
      </c>
      <c r="H976" s="26" t="n">
        <v>109.56</v>
      </c>
      <c r="I976" s="26" t="n">
        <v>129.6</v>
      </c>
      <c r="J976" s="26" t="n">
        <v>139.62</v>
      </c>
      <c r="K976" s="26" t="n">
        <v>154.64</v>
      </c>
      <c r="L976" s="26" t="n">
        <v>2.06</v>
      </c>
      <c r="M976" s="27" t="n">
        <v>0.005</v>
      </c>
      <c r="N976" s="27" t="n">
        <v>0.002</v>
      </c>
      <c r="O976" s="26" t="n">
        <v>5</v>
      </c>
      <c r="P976" s="26" t="n">
        <v>5</v>
      </c>
      <c r="Q976" s="28" t="n">
        <v>100</v>
      </c>
      <c r="R976" s="26" t="n">
        <v>30</v>
      </c>
      <c r="S976" s="26" t="n">
        <v>0</v>
      </c>
      <c r="T976" s="28" t="n">
        <v>1</v>
      </c>
      <c r="U976" s="26" t="n">
        <v>0</v>
      </c>
      <c r="V976" s="26" t="n">
        <v>250</v>
      </c>
      <c r="W976" s="22" t="s">
        <v>19</v>
      </c>
      <c r="X976" s="22" t="s">
        <v>373</v>
      </c>
    </row>
    <row r="977" customFormat="false" ht="15" hidden="false" customHeight="false" outlineLevel="0" collapsed="false">
      <c r="A977" s="22" t="s">
        <v>4123</v>
      </c>
      <c r="B977" s="22" t="s">
        <v>19</v>
      </c>
      <c r="C977" s="22" t="s">
        <v>4124</v>
      </c>
      <c r="D977" s="22" t="s">
        <v>4125</v>
      </c>
      <c r="E977" s="22" t="s">
        <v>4126</v>
      </c>
      <c r="F977" s="22" t="n">
        <v>13</v>
      </c>
      <c r="G977" s="26" t="n">
        <v>99.55</v>
      </c>
      <c r="H977" s="26" t="n">
        <v>109.56</v>
      </c>
      <c r="I977" s="26" t="n">
        <v>129.6</v>
      </c>
      <c r="J977" s="26" t="n">
        <v>139.62</v>
      </c>
      <c r="K977" s="26" t="n">
        <v>154.64</v>
      </c>
      <c r="L977" s="26" t="n">
        <v>2.06</v>
      </c>
      <c r="M977" s="27" t="n">
        <v>0.005</v>
      </c>
      <c r="N977" s="27" t="n">
        <v>0.002</v>
      </c>
      <c r="O977" s="26" t="n">
        <v>5</v>
      </c>
      <c r="P977" s="26" t="n">
        <v>5</v>
      </c>
      <c r="Q977" s="28" t="n">
        <v>100</v>
      </c>
      <c r="R977" s="26" t="n">
        <v>30</v>
      </c>
      <c r="S977" s="26" t="n">
        <v>0</v>
      </c>
      <c r="T977" s="28" t="n">
        <v>1</v>
      </c>
      <c r="U977" s="26" t="n">
        <v>0</v>
      </c>
      <c r="V977" s="26" t="n">
        <v>250</v>
      </c>
      <c r="W977" s="22" t="s">
        <v>19</v>
      </c>
      <c r="X977" s="22" t="s">
        <v>373</v>
      </c>
    </row>
    <row r="978" customFormat="false" ht="15" hidden="false" customHeight="false" outlineLevel="0" collapsed="false">
      <c r="A978" s="22" t="s">
        <v>4127</v>
      </c>
      <c r="B978" s="22" t="s">
        <v>19</v>
      </c>
      <c r="C978" s="22" t="s">
        <v>4128</v>
      </c>
      <c r="D978" s="22" t="s">
        <v>4129</v>
      </c>
      <c r="E978" s="22" t="s">
        <v>4130</v>
      </c>
      <c r="F978" s="22" t="n">
        <v>13</v>
      </c>
      <c r="G978" s="26" t="n">
        <v>99.55</v>
      </c>
      <c r="H978" s="26" t="n">
        <v>109.56</v>
      </c>
      <c r="I978" s="26" t="n">
        <v>129.6</v>
      </c>
      <c r="J978" s="26" t="n">
        <v>139.62</v>
      </c>
      <c r="K978" s="26" t="n">
        <v>154.64</v>
      </c>
      <c r="L978" s="26" t="n">
        <v>2.06</v>
      </c>
      <c r="M978" s="27" t="n">
        <v>0.005</v>
      </c>
      <c r="N978" s="27" t="n">
        <v>0.002</v>
      </c>
      <c r="O978" s="26" t="n">
        <v>5</v>
      </c>
      <c r="P978" s="26" t="n">
        <v>5</v>
      </c>
      <c r="Q978" s="28" t="n">
        <v>100</v>
      </c>
      <c r="R978" s="26" t="n">
        <v>30</v>
      </c>
      <c r="S978" s="26" t="n">
        <v>0</v>
      </c>
      <c r="T978" s="28" t="n">
        <v>1</v>
      </c>
      <c r="U978" s="26" t="n">
        <v>0</v>
      </c>
      <c r="V978" s="26" t="n">
        <v>250</v>
      </c>
      <c r="W978" s="22" t="s">
        <v>19</v>
      </c>
      <c r="X978" s="22" t="s">
        <v>373</v>
      </c>
    </row>
    <row r="979" customFormat="false" ht="15" hidden="false" customHeight="false" outlineLevel="0" collapsed="false">
      <c r="A979" s="22" t="s">
        <v>4131</v>
      </c>
      <c r="B979" s="22" t="s">
        <v>19</v>
      </c>
      <c r="C979" s="22" t="s">
        <v>4132</v>
      </c>
      <c r="D979" s="22" t="s">
        <v>4133</v>
      </c>
      <c r="E979" s="22" t="s">
        <v>4134</v>
      </c>
      <c r="F979" s="22" t="n">
        <v>13</v>
      </c>
      <c r="G979" s="26" t="n">
        <v>99.55</v>
      </c>
      <c r="H979" s="26" t="n">
        <v>109.56</v>
      </c>
      <c r="I979" s="26" t="n">
        <v>129.6</v>
      </c>
      <c r="J979" s="26" t="n">
        <v>139.62</v>
      </c>
      <c r="K979" s="26" t="n">
        <v>154.64</v>
      </c>
      <c r="L979" s="26" t="n">
        <v>2.06</v>
      </c>
      <c r="M979" s="27" t="n">
        <v>0.005</v>
      </c>
      <c r="N979" s="27" t="n">
        <v>0.002</v>
      </c>
      <c r="O979" s="26" t="n">
        <v>5</v>
      </c>
      <c r="P979" s="26" t="n">
        <v>5</v>
      </c>
      <c r="Q979" s="28" t="n">
        <v>100</v>
      </c>
      <c r="R979" s="26" t="n">
        <v>30</v>
      </c>
      <c r="S979" s="26" t="n">
        <v>0</v>
      </c>
      <c r="T979" s="28" t="n">
        <v>1</v>
      </c>
      <c r="U979" s="26" t="n">
        <v>0</v>
      </c>
      <c r="V979" s="26" t="n">
        <v>0</v>
      </c>
      <c r="W979" s="22" t="s">
        <v>19</v>
      </c>
      <c r="X979" s="22" t="s">
        <v>373</v>
      </c>
    </row>
    <row r="980" customFormat="false" ht="15" hidden="false" customHeight="false" outlineLevel="0" collapsed="false">
      <c r="A980" s="22" t="s">
        <v>4135</v>
      </c>
      <c r="B980" s="22" t="s">
        <v>19</v>
      </c>
      <c r="C980" s="22" t="s">
        <v>4136</v>
      </c>
      <c r="D980" s="22" t="s">
        <v>4137</v>
      </c>
      <c r="E980" s="22" t="s">
        <v>4138</v>
      </c>
      <c r="F980" s="22" t="n">
        <v>13</v>
      </c>
      <c r="G980" s="26" t="n">
        <v>99.55</v>
      </c>
      <c r="H980" s="26" t="n">
        <v>109.56</v>
      </c>
      <c r="I980" s="26" t="n">
        <v>129.6</v>
      </c>
      <c r="J980" s="26" t="n">
        <v>139.62</v>
      </c>
      <c r="K980" s="26" t="n">
        <v>154.64</v>
      </c>
      <c r="L980" s="26" t="n">
        <v>2.06</v>
      </c>
      <c r="M980" s="27" t="n">
        <v>0.005</v>
      </c>
      <c r="N980" s="27" t="n">
        <v>0.002</v>
      </c>
      <c r="O980" s="26" t="n">
        <v>5</v>
      </c>
      <c r="P980" s="26" t="n">
        <v>5</v>
      </c>
      <c r="Q980" s="28" t="n">
        <v>100</v>
      </c>
      <c r="R980" s="26" t="n">
        <v>30</v>
      </c>
      <c r="S980" s="26" t="n">
        <v>0</v>
      </c>
      <c r="T980" s="28" t="n">
        <v>1</v>
      </c>
      <c r="U980" s="26" t="n">
        <v>0</v>
      </c>
      <c r="V980" s="26" t="n">
        <v>0</v>
      </c>
      <c r="W980" s="22" t="s">
        <v>19</v>
      </c>
      <c r="X980" s="22" t="s">
        <v>373</v>
      </c>
    </row>
    <row r="981" customFormat="false" ht="15" hidden="false" customHeight="false" outlineLevel="0" collapsed="false">
      <c r="A981" s="22" t="s">
        <v>4139</v>
      </c>
      <c r="B981" s="22" t="s">
        <v>19</v>
      </c>
      <c r="C981" s="22" t="s">
        <v>4140</v>
      </c>
      <c r="D981" s="22" t="s">
        <v>4141</v>
      </c>
      <c r="E981" s="22" t="s">
        <v>4142</v>
      </c>
      <c r="F981" s="22" t="n">
        <v>13</v>
      </c>
      <c r="G981" s="26" t="n">
        <v>99.55</v>
      </c>
      <c r="H981" s="26" t="n">
        <v>109.56</v>
      </c>
      <c r="I981" s="26" t="n">
        <v>129.6</v>
      </c>
      <c r="J981" s="26" t="n">
        <v>139.62</v>
      </c>
      <c r="K981" s="26" t="n">
        <v>154.64</v>
      </c>
      <c r="L981" s="26" t="n">
        <v>2.06</v>
      </c>
      <c r="M981" s="27" t="n">
        <v>0.005</v>
      </c>
      <c r="N981" s="27" t="n">
        <v>0.002</v>
      </c>
      <c r="O981" s="26" t="n">
        <v>5</v>
      </c>
      <c r="P981" s="26" t="n">
        <v>5</v>
      </c>
      <c r="Q981" s="28" t="n">
        <v>100</v>
      </c>
      <c r="R981" s="26" t="n">
        <v>30</v>
      </c>
      <c r="S981" s="26" t="n">
        <v>0</v>
      </c>
      <c r="T981" s="28" t="n">
        <v>1</v>
      </c>
      <c r="U981" s="26" t="n">
        <v>0</v>
      </c>
      <c r="V981" s="26" t="n">
        <v>0</v>
      </c>
      <c r="W981" s="22" t="s">
        <v>19</v>
      </c>
      <c r="X981" s="22" t="s">
        <v>373</v>
      </c>
    </row>
    <row r="982" customFormat="false" ht="15" hidden="false" customHeight="false" outlineLevel="0" collapsed="false">
      <c r="A982" s="22" t="s">
        <v>4143</v>
      </c>
      <c r="B982" s="22" t="s">
        <v>19</v>
      </c>
      <c r="C982" s="22" t="s">
        <v>4144</v>
      </c>
      <c r="D982" s="22" t="s">
        <v>4145</v>
      </c>
      <c r="E982" s="22" t="s">
        <v>4146</v>
      </c>
      <c r="F982" s="22" t="n">
        <v>13</v>
      </c>
      <c r="G982" s="26" t="n">
        <v>99.55</v>
      </c>
      <c r="H982" s="26" t="n">
        <v>109.56</v>
      </c>
      <c r="I982" s="26" t="n">
        <v>129.6</v>
      </c>
      <c r="J982" s="26" t="n">
        <v>139.62</v>
      </c>
      <c r="K982" s="26" t="n">
        <v>154.64</v>
      </c>
      <c r="L982" s="26" t="n">
        <v>2.06</v>
      </c>
      <c r="M982" s="27" t="n">
        <v>0.005</v>
      </c>
      <c r="N982" s="27" t="n">
        <v>0.002</v>
      </c>
      <c r="O982" s="26" t="n">
        <v>5</v>
      </c>
      <c r="P982" s="26" t="n">
        <v>5</v>
      </c>
      <c r="Q982" s="28" t="n">
        <v>100</v>
      </c>
      <c r="R982" s="26" t="n">
        <v>30</v>
      </c>
      <c r="S982" s="26" t="n">
        <v>0</v>
      </c>
      <c r="T982" s="28" t="n">
        <v>1</v>
      </c>
      <c r="U982" s="26" t="n">
        <v>0</v>
      </c>
      <c r="V982" s="26" t="n">
        <v>0</v>
      </c>
      <c r="W982" s="22" t="s">
        <v>19</v>
      </c>
      <c r="X982" s="22" t="s">
        <v>373</v>
      </c>
    </row>
    <row r="983" customFormat="false" ht="15" hidden="false" customHeight="false" outlineLevel="0" collapsed="false">
      <c r="A983" s="22" t="s">
        <v>4147</v>
      </c>
      <c r="B983" s="22" t="s">
        <v>19</v>
      </c>
      <c r="C983" s="22" t="s">
        <v>4148</v>
      </c>
      <c r="D983" s="22" t="s">
        <v>4149</v>
      </c>
      <c r="E983" s="22" t="s">
        <v>4150</v>
      </c>
      <c r="F983" s="22" t="n">
        <v>13</v>
      </c>
      <c r="G983" s="26" t="n">
        <v>99.55</v>
      </c>
      <c r="H983" s="26" t="n">
        <v>109.56</v>
      </c>
      <c r="I983" s="26" t="n">
        <v>129.6</v>
      </c>
      <c r="J983" s="26" t="n">
        <v>139.62</v>
      </c>
      <c r="K983" s="26" t="n">
        <v>154.64</v>
      </c>
      <c r="L983" s="26" t="n">
        <v>2.06</v>
      </c>
      <c r="M983" s="27" t="n">
        <v>0.005</v>
      </c>
      <c r="N983" s="27" t="n">
        <v>0.002</v>
      </c>
      <c r="O983" s="26" t="n">
        <v>5</v>
      </c>
      <c r="P983" s="26" t="n">
        <v>5</v>
      </c>
      <c r="Q983" s="28" t="n">
        <v>100</v>
      </c>
      <c r="R983" s="26" t="n">
        <v>30</v>
      </c>
      <c r="S983" s="26" t="n">
        <v>0</v>
      </c>
      <c r="T983" s="28" t="n">
        <v>1</v>
      </c>
      <c r="U983" s="26" t="n">
        <v>0</v>
      </c>
      <c r="V983" s="26" t="n">
        <v>0</v>
      </c>
      <c r="W983" s="22" t="s">
        <v>19</v>
      </c>
      <c r="X983" s="22" t="s">
        <v>373</v>
      </c>
    </row>
    <row r="984" customFormat="false" ht="15" hidden="false" customHeight="false" outlineLevel="0" collapsed="false">
      <c r="A984" s="22" t="s">
        <v>4151</v>
      </c>
      <c r="B984" s="22" t="s">
        <v>19</v>
      </c>
      <c r="C984" s="22" t="s">
        <v>4152</v>
      </c>
      <c r="D984" s="22" t="s">
        <v>4153</v>
      </c>
      <c r="E984" s="22" t="s">
        <v>4154</v>
      </c>
      <c r="F984" s="22" t="n">
        <v>13</v>
      </c>
      <c r="G984" s="26" t="n">
        <v>99.55</v>
      </c>
      <c r="H984" s="26" t="n">
        <v>109.56</v>
      </c>
      <c r="I984" s="26" t="n">
        <v>129.6</v>
      </c>
      <c r="J984" s="26" t="n">
        <v>139.62</v>
      </c>
      <c r="K984" s="26" t="n">
        <v>154.64</v>
      </c>
      <c r="L984" s="26" t="n">
        <v>2.06</v>
      </c>
      <c r="M984" s="27" t="n">
        <v>0.005</v>
      </c>
      <c r="N984" s="27" t="n">
        <v>0.002</v>
      </c>
      <c r="O984" s="26" t="n">
        <v>5</v>
      </c>
      <c r="P984" s="26" t="n">
        <v>5</v>
      </c>
      <c r="Q984" s="28" t="n">
        <v>100</v>
      </c>
      <c r="R984" s="26" t="n">
        <v>30</v>
      </c>
      <c r="S984" s="26" t="n">
        <v>0</v>
      </c>
      <c r="T984" s="28" t="n">
        <v>1</v>
      </c>
      <c r="U984" s="26" t="n">
        <v>0</v>
      </c>
      <c r="V984" s="26" t="n">
        <v>0</v>
      </c>
      <c r="W984" s="22" t="s">
        <v>19</v>
      </c>
      <c r="X984" s="22" t="s">
        <v>373</v>
      </c>
    </row>
    <row r="985" customFormat="false" ht="15" hidden="false" customHeight="false" outlineLevel="0" collapsed="false">
      <c r="A985" s="22" t="s">
        <v>4155</v>
      </c>
      <c r="B985" s="22" t="s">
        <v>19</v>
      </c>
      <c r="C985" s="22" t="s">
        <v>4156</v>
      </c>
      <c r="D985" s="22" t="s">
        <v>4157</v>
      </c>
      <c r="E985" s="22" t="s">
        <v>4158</v>
      </c>
      <c r="F985" s="22" t="n">
        <v>13</v>
      </c>
      <c r="G985" s="26" t="n">
        <v>99.55</v>
      </c>
      <c r="H985" s="26" t="n">
        <v>109.56</v>
      </c>
      <c r="I985" s="26" t="n">
        <v>129.6</v>
      </c>
      <c r="J985" s="26" t="n">
        <v>139.62</v>
      </c>
      <c r="K985" s="26" t="n">
        <v>154.64</v>
      </c>
      <c r="L985" s="26" t="n">
        <v>2.06</v>
      </c>
      <c r="M985" s="27" t="n">
        <v>0.005</v>
      </c>
      <c r="N985" s="27" t="n">
        <v>0.002</v>
      </c>
      <c r="O985" s="26" t="n">
        <v>5</v>
      </c>
      <c r="P985" s="26" t="n">
        <v>5</v>
      </c>
      <c r="Q985" s="28" t="n">
        <v>100</v>
      </c>
      <c r="R985" s="26" t="n">
        <v>30</v>
      </c>
      <c r="S985" s="26" t="n">
        <v>0</v>
      </c>
      <c r="T985" s="28" t="n">
        <v>1</v>
      </c>
      <c r="U985" s="26" t="n">
        <v>0</v>
      </c>
      <c r="V985" s="26" t="n">
        <v>0</v>
      </c>
      <c r="W985" s="22" t="s">
        <v>19</v>
      </c>
      <c r="X985" s="22" t="s">
        <v>373</v>
      </c>
    </row>
    <row r="986" customFormat="false" ht="15" hidden="false" customHeight="false" outlineLevel="0" collapsed="false">
      <c r="A986" s="22" t="s">
        <v>4159</v>
      </c>
      <c r="B986" s="22" t="s">
        <v>19</v>
      </c>
      <c r="C986" s="22" t="s">
        <v>4160</v>
      </c>
      <c r="D986" s="22" t="s">
        <v>4161</v>
      </c>
      <c r="E986" s="22" t="s">
        <v>4162</v>
      </c>
      <c r="F986" s="22" t="n">
        <v>13</v>
      </c>
      <c r="G986" s="26" t="n">
        <v>99.55</v>
      </c>
      <c r="H986" s="26" t="n">
        <v>109.56</v>
      </c>
      <c r="I986" s="26" t="n">
        <v>129.6</v>
      </c>
      <c r="J986" s="26" t="n">
        <v>139.62</v>
      </c>
      <c r="K986" s="26" t="n">
        <v>154.64</v>
      </c>
      <c r="L986" s="26" t="n">
        <v>2.06</v>
      </c>
      <c r="M986" s="27" t="n">
        <v>0.005</v>
      </c>
      <c r="N986" s="27" t="n">
        <v>0.002</v>
      </c>
      <c r="O986" s="26" t="n">
        <v>5</v>
      </c>
      <c r="P986" s="26" t="n">
        <v>5</v>
      </c>
      <c r="Q986" s="28" t="n">
        <v>100</v>
      </c>
      <c r="R986" s="26" t="n">
        <v>30</v>
      </c>
      <c r="S986" s="26" t="n">
        <v>0</v>
      </c>
      <c r="T986" s="28" t="n">
        <v>1</v>
      </c>
      <c r="U986" s="26" t="n">
        <v>0</v>
      </c>
      <c r="V986" s="26" t="n">
        <v>0</v>
      </c>
      <c r="W986" s="22" t="s">
        <v>19</v>
      </c>
      <c r="X986" s="22" t="s">
        <v>373</v>
      </c>
    </row>
    <row r="987" customFormat="false" ht="15" hidden="false" customHeight="false" outlineLevel="0" collapsed="false">
      <c r="A987" s="22" t="s">
        <v>4163</v>
      </c>
      <c r="B987" s="22" t="s">
        <v>19</v>
      </c>
      <c r="C987" s="22" t="s">
        <v>4164</v>
      </c>
      <c r="D987" s="22" t="s">
        <v>4165</v>
      </c>
      <c r="E987" s="22" t="s">
        <v>4166</v>
      </c>
      <c r="F987" s="22" t="n">
        <v>13</v>
      </c>
      <c r="G987" s="26" t="n">
        <v>99.55</v>
      </c>
      <c r="H987" s="26" t="n">
        <v>109.56</v>
      </c>
      <c r="I987" s="26" t="n">
        <v>129.6</v>
      </c>
      <c r="J987" s="26" t="n">
        <v>139.62</v>
      </c>
      <c r="K987" s="26" t="n">
        <v>154.64</v>
      </c>
      <c r="L987" s="26" t="n">
        <v>2.06</v>
      </c>
      <c r="M987" s="27" t="n">
        <v>0.005</v>
      </c>
      <c r="N987" s="27" t="n">
        <v>0.002</v>
      </c>
      <c r="O987" s="26" t="n">
        <v>5</v>
      </c>
      <c r="P987" s="26" t="n">
        <v>5</v>
      </c>
      <c r="Q987" s="28" t="n">
        <v>100</v>
      </c>
      <c r="R987" s="26" t="n">
        <v>30</v>
      </c>
      <c r="S987" s="26" t="n">
        <v>0</v>
      </c>
      <c r="T987" s="28" t="n">
        <v>1</v>
      </c>
      <c r="U987" s="26" t="n">
        <v>0</v>
      </c>
      <c r="V987" s="26" t="n">
        <v>0</v>
      </c>
      <c r="W987" s="22" t="s">
        <v>19</v>
      </c>
      <c r="X987" s="22" t="s">
        <v>373</v>
      </c>
    </row>
    <row r="988" customFormat="false" ht="15" hidden="false" customHeight="false" outlineLevel="0" collapsed="false">
      <c r="A988" s="22" t="s">
        <v>4167</v>
      </c>
      <c r="B988" s="22" t="s">
        <v>19</v>
      </c>
      <c r="C988" s="22" t="s">
        <v>4168</v>
      </c>
      <c r="D988" s="22" t="s">
        <v>4169</v>
      </c>
      <c r="E988" s="22" t="s">
        <v>4170</v>
      </c>
      <c r="F988" s="22" t="n">
        <v>13</v>
      </c>
      <c r="G988" s="26" t="n">
        <v>99.55</v>
      </c>
      <c r="H988" s="26" t="n">
        <v>109.56</v>
      </c>
      <c r="I988" s="26" t="n">
        <v>129.6</v>
      </c>
      <c r="J988" s="26" t="n">
        <v>139.62</v>
      </c>
      <c r="K988" s="26" t="n">
        <v>154.64</v>
      </c>
      <c r="L988" s="26" t="n">
        <v>2.06</v>
      </c>
      <c r="M988" s="27" t="n">
        <v>0.005</v>
      </c>
      <c r="N988" s="27" t="n">
        <v>0.002</v>
      </c>
      <c r="O988" s="26" t="n">
        <v>5</v>
      </c>
      <c r="P988" s="26" t="n">
        <v>5</v>
      </c>
      <c r="Q988" s="28" t="n">
        <v>100</v>
      </c>
      <c r="R988" s="26" t="n">
        <v>30</v>
      </c>
      <c r="S988" s="26" t="n">
        <v>0</v>
      </c>
      <c r="T988" s="28" t="n">
        <v>1</v>
      </c>
      <c r="U988" s="26" t="n">
        <v>0</v>
      </c>
      <c r="V988" s="26" t="n">
        <v>0</v>
      </c>
      <c r="W988" s="22" t="s">
        <v>19</v>
      </c>
      <c r="X988" s="22" t="s">
        <v>373</v>
      </c>
    </row>
    <row r="989" customFormat="false" ht="15" hidden="false" customHeight="false" outlineLevel="0" collapsed="false">
      <c r="A989" s="22" t="s">
        <v>4171</v>
      </c>
      <c r="B989" s="22" t="s">
        <v>19</v>
      </c>
      <c r="C989" s="22" t="s">
        <v>383</v>
      </c>
      <c r="D989" s="22" t="s">
        <v>4172</v>
      </c>
      <c r="E989" s="22" t="s">
        <v>4173</v>
      </c>
      <c r="F989" s="22" t="n">
        <v>12</v>
      </c>
      <c r="G989" s="26" t="n">
        <v>99.55</v>
      </c>
      <c r="H989" s="26" t="n">
        <v>109.56</v>
      </c>
      <c r="I989" s="26" t="n">
        <v>129.6</v>
      </c>
      <c r="J989" s="26" t="n">
        <v>139.62</v>
      </c>
      <c r="K989" s="26" t="n">
        <v>154.64</v>
      </c>
      <c r="L989" s="26" t="n">
        <v>2.06</v>
      </c>
      <c r="M989" s="27" t="n">
        <v>0.005</v>
      </c>
      <c r="N989" s="27" t="n">
        <v>0.002</v>
      </c>
      <c r="O989" s="26" t="n">
        <v>5</v>
      </c>
      <c r="P989" s="26" t="n">
        <v>5</v>
      </c>
      <c r="Q989" s="28" t="n">
        <v>100</v>
      </c>
      <c r="R989" s="26" t="n">
        <v>30</v>
      </c>
      <c r="S989" s="26" t="n">
        <v>0</v>
      </c>
      <c r="T989" s="28" t="n">
        <v>1</v>
      </c>
      <c r="U989" s="26" t="n">
        <v>0</v>
      </c>
      <c r="V989" s="26" t="n">
        <v>0</v>
      </c>
      <c r="W989" s="22" t="s">
        <v>19</v>
      </c>
      <c r="X989" s="22" t="s">
        <v>373</v>
      </c>
    </row>
    <row r="990" customFormat="false" ht="15" hidden="false" customHeight="false" outlineLevel="0" collapsed="false">
      <c r="A990" s="22" t="s">
        <v>4174</v>
      </c>
      <c r="B990" s="22" t="s">
        <v>19</v>
      </c>
      <c r="C990" s="22" t="s">
        <v>4175</v>
      </c>
      <c r="D990" s="22" t="s">
        <v>4176</v>
      </c>
      <c r="E990" s="22" t="s">
        <v>4177</v>
      </c>
      <c r="F990" s="22" t="n">
        <v>13</v>
      </c>
      <c r="G990" s="26" t="n">
        <v>99.55</v>
      </c>
      <c r="H990" s="26" t="n">
        <v>109.56</v>
      </c>
      <c r="I990" s="26" t="n">
        <v>129.6</v>
      </c>
      <c r="J990" s="26" t="n">
        <v>139.62</v>
      </c>
      <c r="K990" s="26" t="n">
        <v>154.64</v>
      </c>
      <c r="L990" s="26" t="n">
        <v>2.06</v>
      </c>
      <c r="M990" s="27" t="n">
        <v>0.005</v>
      </c>
      <c r="N990" s="27" t="n">
        <v>0.002</v>
      </c>
      <c r="O990" s="26" t="n">
        <v>5</v>
      </c>
      <c r="P990" s="26" t="n">
        <v>5</v>
      </c>
      <c r="Q990" s="28" t="n">
        <v>100</v>
      </c>
      <c r="R990" s="26" t="n">
        <v>30</v>
      </c>
      <c r="S990" s="26" t="n">
        <v>0</v>
      </c>
      <c r="T990" s="28" t="n">
        <v>1</v>
      </c>
      <c r="U990" s="26" t="n">
        <v>0</v>
      </c>
      <c r="V990" s="26" t="n">
        <v>250</v>
      </c>
      <c r="W990" s="22" t="s">
        <v>19</v>
      </c>
      <c r="X990" s="22" t="s">
        <v>373</v>
      </c>
    </row>
    <row r="991" customFormat="false" ht="15" hidden="false" customHeight="false" outlineLevel="0" collapsed="false">
      <c r="A991" s="22" t="s">
        <v>4178</v>
      </c>
      <c r="B991" s="22" t="s">
        <v>19</v>
      </c>
      <c r="C991" s="22" t="s">
        <v>4179</v>
      </c>
      <c r="D991" s="22" t="s">
        <v>4180</v>
      </c>
      <c r="E991" s="22" t="s">
        <v>4181</v>
      </c>
      <c r="F991" s="22" t="n">
        <v>13</v>
      </c>
      <c r="G991" s="26" t="n">
        <v>99.55</v>
      </c>
      <c r="H991" s="26" t="n">
        <v>109.56</v>
      </c>
      <c r="I991" s="26" t="n">
        <v>129.6</v>
      </c>
      <c r="J991" s="26" t="n">
        <v>139.62</v>
      </c>
      <c r="K991" s="26" t="n">
        <v>154.64</v>
      </c>
      <c r="L991" s="26" t="n">
        <v>2.06</v>
      </c>
      <c r="M991" s="27" t="n">
        <v>0.005</v>
      </c>
      <c r="N991" s="27" t="n">
        <v>0.002</v>
      </c>
      <c r="O991" s="26" t="n">
        <v>5</v>
      </c>
      <c r="P991" s="26" t="n">
        <v>5</v>
      </c>
      <c r="Q991" s="28" t="n">
        <v>100</v>
      </c>
      <c r="R991" s="26" t="n">
        <v>30</v>
      </c>
      <c r="S991" s="26" t="n">
        <v>0</v>
      </c>
      <c r="T991" s="28" t="n">
        <v>1</v>
      </c>
      <c r="U991" s="26" t="n">
        <v>0</v>
      </c>
      <c r="V991" s="26" t="n">
        <v>250</v>
      </c>
      <c r="W991" s="22" t="s">
        <v>19</v>
      </c>
      <c r="X991" s="22" t="s">
        <v>373</v>
      </c>
    </row>
    <row r="992" customFormat="false" ht="15" hidden="false" customHeight="false" outlineLevel="0" collapsed="false">
      <c r="A992" s="22" t="s">
        <v>4182</v>
      </c>
      <c r="B992" s="22" t="s">
        <v>19</v>
      </c>
      <c r="C992" s="22" t="s">
        <v>4183</v>
      </c>
      <c r="D992" s="22" t="s">
        <v>4184</v>
      </c>
      <c r="E992" s="22" t="s">
        <v>4185</v>
      </c>
      <c r="F992" s="22" t="n">
        <v>13</v>
      </c>
      <c r="G992" s="26" t="n">
        <v>99.55</v>
      </c>
      <c r="H992" s="26" t="n">
        <v>109.56</v>
      </c>
      <c r="I992" s="26" t="n">
        <v>129.6</v>
      </c>
      <c r="J992" s="26" t="n">
        <v>139.62</v>
      </c>
      <c r="K992" s="26" t="n">
        <v>154.64</v>
      </c>
      <c r="L992" s="26" t="n">
        <v>2.06</v>
      </c>
      <c r="M992" s="27" t="n">
        <v>0.005</v>
      </c>
      <c r="N992" s="27" t="n">
        <v>0.002</v>
      </c>
      <c r="O992" s="26" t="n">
        <v>5</v>
      </c>
      <c r="P992" s="26" t="n">
        <v>5</v>
      </c>
      <c r="Q992" s="28" t="n">
        <v>100</v>
      </c>
      <c r="R992" s="26" t="n">
        <v>30</v>
      </c>
      <c r="S992" s="26" t="n">
        <v>0</v>
      </c>
      <c r="T992" s="28" t="n">
        <v>1</v>
      </c>
      <c r="U992" s="26" t="n">
        <v>0</v>
      </c>
      <c r="V992" s="26" t="n">
        <v>0</v>
      </c>
      <c r="W992" s="22" t="s">
        <v>19</v>
      </c>
      <c r="X992" s="22" t="s">
        <v>373</v>
      </c>
    </row>
    <row r="993" customFormat="false" ht="15" hidden="false" customHeight="false" outlineLevel="0" collapsed="false">
      <c r="A993" s="22" t="s">
        <v>4186</v>
      </c>
      <c r="B993" s="22" t="s">
        <v>19</v>
      </c>
      <c r="C993" s="22" t="s">
        <v>4187</v>
      </c>
      <c r="D993" s="22" t="s">
        <v>4188</v>
      </c>
      <c r="E993" s="22" t="s">
        <v>4189</v>
      </c>
      <c r="F993" s="22" t="n">
        <v>13</v>
      </c>
      <c r="G993" s="26" t="n">
        <v>99.55</v>
      </c>
      <c r="H993" s="26" t="n">
        <v>109.56</v>
      </c>
      <c r="I993" s="26" t="n">
        <v>129.6</v>
      </c>
      <c r="J993" s="26" t="n">
        <v>139.62</v>
      </c>
      <c r="K993" s="26" t="n">
        <v>154.64</v>
      </c>
      <c r="L993" s="26" t="n">
        <v>2.06</v>
      </c>
      <c r="M993" s="27" t="n">
        <v>0.005</v>
      </c>
      <c r="N993" s="27" t="n">
        <v>0.002</v>
      </c>
      <c r="O993" s="26" t="n">
        <v>5</v>
      </c>
      <c r="P993" s="26" t="n">
        <v>5</v>
      </c>
      <c r="Q993" s="28" t="n">
        <v>100</v>
      </c>
      <c r="R993" s="26" t="n">
        <v>30</v>
      </c>
      <c r="S993" s="26" t="n">
        <v>0</v>
      </c>
      <c r="T993" s="28" t="n">
        <v>1</v>
      </c>
      <c r="U993" s="26" t="n">
        <v>0</v>
      </c>
      <c r="V993" s="26" t="n">
        <v>0</v>
      </c>
      <c r="W993" s="22" t="s">
        <v>19</v>
      </c>
      <c r="X993" s="22" t="s">
        <v>373</v>
      </c>
    </row>
    <row r="994" customFormat="false" ht="15" hidden="false" customHeight="false" outlineLevel="0" collapsed="false">
      <c r="A994" s="22" t="s">
        <v>4190</v>
      </c>
      <c r="B994" s="22" t="s">
        <v>19</v>
      </c>
      <c r="C994" s="22" t="s">
        <v>175</v>
      </c>
      <c r="D994" s="22" t="s">
        <v>4191</v>
      </c>
      <c r="E994" s="22" t="s">
        <v>4192</v>
      </c>
      <c r="F994" s="22" t="n">
        <v>13</v>
      </c>
      <c r="G994" s="26" t="n">
        <v>99.55</v>
      </c>
      <c r="H994" s="26" t="n">
        <v>109.56</v>
      </c>
      <c r="I994" s="26" t="n">
        <v>129.6</v>
      </c>
      <c r="J994" s="26" t="n">
        <v>139.62</v>
      </c>
      <c r="K994" s="26" t="n">
        <v>154.64</v>
      </c>
      <c r="L994" s="26" t="n">
        <v>2.06</v>
      </c>
      <c r="M994" s="27" t="n">
        <v>0.005</v>
      </c>
      <c r="N994" s="27" t="n">
        <v>0.002</v>
      </c>
      <c r="O994" s="26" t="n">
        <v>5</v>
      </c>
      <c r="P994" s="26" t="n">
        <v>5</v>
      </c>
      <c r="Q994" s="28" t="n">
        <v>100</v>
      </c>
      <c r="R994" s="26" t="n">
        <v>30</v>
      </c>
      <c r="S994" s="26" t="n">
        <v>0</v>
      </c>
      <c r="T994" s="28" t="n">
        <v>1</v>
      </c>
      <c r="U994" s="26" t="n">
        <v>0</v>
      </c>
      <c r="V994" s="26" t="n">
        <v>0</v>
      </c>
      <c r="W994" s="22" t="s">
        <v>19</v>
      </c>
      <c r="X994" s="22" t="s">
        <v>373</v>
      </c>
    </row>
    <row r="995" customFormat="false" ht="15" hidden="false" customHeight="false" outlineLevel="0" collapsed="false">
      <c r="A995" s="22" t="s">
        <v>4193</v>
      </c>
      <c r="B995" s="22" t="s">
        <v>19</v>
      </c>
      <c r="C995" s="22" t="s">
        <v>4194</v>
      </c>
      <c r="D995" s="22" t="s">
        <v>4195</v>
      </c>
      <c r="E995" s="22" t="s">
        <v>4196</v>
      </c>
      <c r="F995" s="22" t="n">
        <v>13</v>
      </c>
      <c r="G995" s="26" t="n">
        <v>99.55</v>
      </c>
      <c r="H995" s="26" t="n">
        <v>109.56</v>
      </c>
      <c r="I995" s="26" t="n">
        <v>129.6</v>
      </c>
      <c r="J995" s="26" t="n">
        <v>139.62</v>
      </c>
      <c r="K995" s="26" t="n">
        <v>154.64</v>
      </c>
      <c r="L995" s="26" t="n">
        <v>2.06</v>
      </c>
      <c r="M995" s="27" t="n">
        <v>0.005</v>
      </c>
      <c r="N995" s="27" t="n">
        <v>0.002</v>
      </c>
      <c r="O995" s="26" t="n">
        <v>5</v>
      </c>
      <c r="P995" s="26" t="n">
        <v>5</v>
      </c>
      <c r="Q995" s="28" t="n">
        <v>100</v>
      </c>
      <c r="R995" s="26" t="n">
        <v>30</v>
      </c>
      <c r="S995" s="26" t="n">
        <v>0</v>
      </c>
      <c r="T995" s="28" t="n">
        <v>1</v>
      </c>
      <c r="U995" s="26" t="n">
        <v>0</v>
      </c>
      <c r="V995" s="26" t="n">
        <v>0</v>
      </c>
      <c r="W995" s="22" t="s">
        <v>19</v>
      </c>
      <c r="X995" s="22" t="s">
        <v>373</v>
      </c>
    </row>
    <row r="996" customFormat="false" ht="15" hidden="false" customHeight="false" outlineLevel="0" collapsed="false">
      <c r="A996" s="22" t="s">
        <v>4197</v>
      </c>
      <c r="B996" s="22" t="s">
        <v>19</v>
      </c>
      <c r="C996" s="22" t="s">
        <v>4198</v>
      </c>
      <c r="D996" s="22" t="s">
        <v>4199</v>
      </c>
      <c r="E996" s="22" t="s">
        <v>4200</v>
      </c>
      <c r="F996" s="22" t="n">
        <v>13</v>
      </c>
      <c r="G996" s="26" t="n">
        <v>99.55</v>
      </c>
      <c r="H996" s="26" t="n">
        <v>109.56</v>
      </c>
      <c r="I996" s="26" t="n">
        <v>129.6</v>
      </c>
      <c r="J996" s="26" t="n">
        <v>139.62</v>
      </c>
      <c r="K996" s="26" t="n">
        <v>154.64</v>
      </c>
      <c r="L996" s="26" t="n">
        <v>2.06</v>
      </c>
      <c r="M996" s="27" t="n">
        <v>0.005</v>
      </c>
      <c r="N996" s="27" t="n">
        <v>0.002</v>
      </c>
      <c r="O996" s="26" t="n">
        <v>5</v>
      </c>
      <c r="P996" s="26" t="n">
        <v>5</v>
      </c>
      <c r="Q996" s="28" t="n">
        <v>100</v>
      </c>
      <c r="R996" s="26" t="n">
        <v>30</v>
      </c>
      <c r="S996" s="26" t="n">
        <v>0</v>
      </c>
      <c r="T996" s="28" t="n">
        <v>1</v>
      </c>
      <c r="U996" s="26" t="n">
        <v>0</v>
      </c>
      <c r="V996" s="26" t="n">
        <v>250</v>
      </c>
      <c r="W996" s="22" t="s">
        <v>19</v>
      </c>
      <c r="X996" s="22" t="s">
        <v>373</v>
      </c>
    </row>
    <row r="997" customFormat="false" ht="15" hidden="false" customHeight="false" outlineLevel="0" collapsed="false">
      <c r="A997" s="22" t="s">
        <v>4201</v>
      </c>
      <c r="B997" s="22" t="s">
        <v>19</v>
      </c>
      <c r="C997" s="22" t="s">
        <v>4202</v>
      </c>
      <c r="D997" s="22" t="s">
        <v>4203</v>
      </c>
      <c r="E997" s="22" t="s">
        <v>4204</v>
      </c>
      <c r="F997" s="22" t="n">
        <v>13</v>
      </c>
      <c r="G997" s="26" t="n">
        <v>99.55</v>
      </c>
      <c r="H997" s="26" t="n">
        <v>109.56</v>
      </c>
      <c r="I997" s="26" t="n">
        <v>129.6</v>
      </c>
      <c r="J997" s="26" t="n">
        <v>139.62</v>
      </c>
      <c r="K997" s="26" t="n">
        <v>154.64</v>
      </c>
      <c r="L997" s="26" t="n">
        <v>2.06</v>
      </c>
      <c r="M997" s="27" t="n">
        <v>0.005</v>
      </c>
      <c r="N997" s="27" t="n">
        <v>0.002</v>
      </c>
      <c r="O997" s="26" t="n">
        <v>5</v>
      </c>
      <c r="P997" s="26" t="n">
        <v>5</v>
      </c>
      <c r="Q997" s="28" t="n">
        <v>100</v>
      </c>
      <c r="R997" s="26" t="n">
        <v>30</v>
      </c>
      <c r="S997" s="26" t="n">
        <v>0</v>
      </c>
      <c r="T997" s="28" t="n">
        <v>1</v>
      </c>
      <c r="U997" s="26" t="n">
        <v>0</v>
      </c>
      <c r="V997" s="26" t="n">
        <v>0</v>
      </c>
      <c r="W997" s="22" t="s">
        <v>19</v>
      </c>
      <c r="X997" s="22" t="s">
        <v>373</v>
      </c>
    </row>
    <row r="998" customFormat="false" ht="15" hidden="false" customHeight="false" outlineLevel="0" collapsed="false">
      <c r="A998" s="22" t="s">
        <v>4205</v>
      </c>
      <c r="B998" s="22" t="s">
        <v>19</v>
      </c>
      <c r="C998" s="22" t="s">
        <v>4206</v>
      </c>
      <c r="D998" s="22" t="s">
        <v>4207</v>
      </c>
      <c r="E998" s="22" t="s">
        <v>4208</v>
      </c>
      <c r="F998" s="22" t="n">
        <v>13</v>
      </c>
      <c r="G998" s="26" t="n">
        <v>99.55</v>
      </c>
      <c r="H998" s="26" t="n">
        <v>109.56</v>
      </c>
      <c r="I998" s="26" t="n">
        <v>129.6</v>
      </c>
      <c r="J998" s="26" t="n">
        <v>139.62</v>
      </c>
      <c r="K998" s="26" t="n">
        <v>154.64</v>
      </c>
      <c r="L998" s="26" t="n">
        <v>2.06</v>
      </c>
      <c r="M998" s="27" t="n">
        <v>0.005</v>
      </c>
      <c r="N998" s="27" t="n">
        <v>0.002</v>
      </c>
      <c r="O998" s="26" t="n">
        <v>5</v>
      </c>
      <c r="P998" s="26" t="n">
        <v>5</v>
      </c>
      <c r="Q998" s="28" t="n">
        <v>100</v>
      </c>
      <c r="R998" s="26" t="n">
        <v>30</v>
      </c>
      <c r="S998" s="26" t="n">
        <v>0</v>
      </c>
      <c r="T998" s="28" t="n">
        <v>1</v>
      </c>
      <c r="U998" s="26" t="n">
        <v>0</v>
      </c>
      <c r="V998" s="26" t="n">
        <v>0</v>
      </c>
      <c r="W998" s="22" t="s">
        <v>19</v>
      </c>
      <c r="X998" s="22" t="s">
        <v>373</v>
      </c>
    </row>
    <row r="999" customFormat="false" ht="15" hidden="false" customHeight="false" outlineLevel="0" collapsed="false">
      <c r="A999" s="22" t="s">
        <v>4209</v>
      </c>
      <c r="B999" s="22" t="s">
        <v>19</v>
      </c>
      <c r="C999" s="22" t="s">
        <v>4210</v>
      </c>
      <c r="D999" s="22" t="s">
        <v>4211</v>
      </c>
      <c r="E999" s="22" t="s">
        <v>4212</v>
      </c>
      <c r="F999" s="22" t="n">
        <v>13</v>
      </c>
      <c r="G999" s="26" t="n">
        <v>99.55</v>
      </c>
      <c r="H999" s="26" t="n">
        <v>109.56</v>
      </c>
      <c r="I999" s="26" t="n">
        <v>129.6</v>
      </c>
      <c r="J999" s="26" t="n">
        <v>139.62</v>
      </c>
      <c r="K999" s="26" t="n">
        <v>154.64</v>
      </c>
      <c r="L999" s="26" t="n">
        <v>2.06</v>
      </c>
      <c r="M999" s="27" t="n">
        <v>0.005</v>
      </c>
      <c r="N999" s="27" t="n">
        <v>0.002</v>
      </c>
      <c r="O999" s="26" t="n">
        <v>5</v>
      </c>
      <c r="P999" s="26" t="n">
        <v>5</v>
      </c>
      <c r="Q999" s="28" t="n">
        <v>100</v>
      </c>
      <c r="R999" s="26" t="n">
        <v>30</v>
      </c>
      <c r="S999" s="26" t="n">
        <v>0</v>
      </c>
      <c r="T999" s="28" t="n">
        <v>1</v>
      </c>
      <c r="U999" s="26" t="n">
        <v>0</v>
      </c>
      <c r="V999" s="26" t="n">
        <v>0</v>
      </c>
      <c r="W999" s="22" t="s">
        <v>19</v>
      </c>
      <c r="X999" s="22" t="s">
        <v>373</v>
      </c>
    </row>
    <row r="1000" customFormat="false" ht="15" hidden="false" customHeight="false" outlineLevel="0" collapsed="false">
      <c r="A1000" s="22" t="s">
        <v>4213</v>
      </c>
      <c r="B1000" s="22" t="s">
        <v>19</v>
      </c>
      <c r="C1000" s="22" t="s">
        <v>4214</v>
      </c>
      <c r="D1000" s="22" t="s">
        <v>4215</v>
      </c>
      <c r="E1000" s="22" t="s">
        <v>4216</v>
      </c>
      <c r="F1000" s="22" t="n">
        <v>13</v>
      </c>
      <c r="G1000" s="26" t="n">
        <v>99.55</v>
      </c>
      <c r="H1000" s="26" t="n">
        <v>109.56</v>
      </c>
      <c r="I1000" s="26" t="n">
        <v>129.6</v>
      </c>
      <c r="J1000" s="26" t="n">
        <v>139.62</v>
      </c>
      <c r="K1000" s="26" t="n">
        <v>154.64</v>
      </c>
      <c r="L1000" s="26" t="n">
        <v>2.06</v>
      </c>
      <c r="M1000" s="27" t="n">
        <v>0.005</v>
      </c>
      <c r="N1000" s="27" t="n">
        <v>0.002</v>
      </c>
      <c r="O1000" s="26" t="n">
        <v>5</v>
      </c>
      <c r="P1000" s="26" t="n">
        <v>5</v>
      </c>
      <c r="Q1000" s="28" t="n">
        <v>100</v>
      </c>
      <c r="R1000" s="26" t="n">
        <v>30</v>
      </c>
      <c r="S1000" s="26" t="n">
        <v>0</v>
      </c>
      <c r="T1000" s="28" t="n">
        <v>1</v>
      </c>
      <c r="U1000" s="26" t="n">
        <v>0</v>
      </c>
      <c r="V1000" s="26" t="n">
        <v>250</v>
      </c>
      <c r="W1000" s="22" t="s">
        <v>19</v>
      </c>
      <c r="X1000" s="22" t="s">
        <v>373</v>
      </c>
    </row>
    <row r="1001" customFormat="false" ht="15" hidden="false" customHeight="false" outlineLevel="0" collapsed="false">
      <c r="A1001" s="22" t="s">
        <v>4217</v>
      </c>
      <c r="B1001" s="22" t="s">
        <v>19</v>
      </c>
      <c r="C1001" s="22" t="s">
        <v>4218</v>
      </c>
      <c r="D1001" s="22" t="s">
        <v>4219</v>
      </c>
      <c r="E1001" s="22" t="s">
        <v>4220</v>
      </c>
      <c r="F1001" s="22" t="n">
        <v>13</v>
      </c>
      <c r="G1001" s="26" t="n">
        <v>99.55</v>
      </c>
      <c r="H1001" s="26" t="n">
        <v>109.56</v>
      </c>
      <c r="I1001" s="26" t="n">
        <v>129.6</v>
      </c>
      <c r="J1001" s="26" t="n">
        <v>139.62</v>
      </c>
      <c r="K1001" s="26" t="n">
        <v>154.64</v>
      </c>
      <c r="L1001" s="26" t="n">
        <v>2.06</v>
      </c>
      <c r="M1001" s="27" t="n">
        <v>0.005</v>
      </c>
      <c r="N1001" s="27" t="n">
        <v>0.002</v>
      </c>
      <c r="O1001" s="26" t="n">
        <v>5</v>
      </c>
      <c r="P1001" s="26" t="n">
        <v>5</v>
      </c>
      <c r="Q1001" s="28" t="n">
        <v>100</v>
      </c>
      <c r="R1001" s="26" t="n">
        <v>30</v>
      </c>
      <c r="S1001" s="26" t="n">
        <v>0</v>
      </c>
      <c r="T1001" s="28" t="n">
        <v>1</v>
      </c>
      <c r="U1001" s="26" t="n">
        <v>0</v>
      </c>
      <c r="V1001" s="26" t="n">
        <v>0</v>
      </c>
      <c r="W1001" s="22" t="s">
        <v>19</v>
      </c>
      <c r="X1001" s="22" t="s">
        <v>373</v>
      </c>
    </row>
    <row r="1002" customFormat="false" ht="15" hidden="false" customHeight="false" outlineLevel="0" collapsed="false">
      <c r="A1002" s="22" t="s">
        <v>4221</v>
      </c>
      <c r="B1002" s="22" t="s">
        <v>19</v>
      </c>
      <c r="C1002" s="22" t="s">
        <v>4222</v>
      </c>
      <c r="D1002" s="22" t="s">
        <v>4223</v>
      </c>
      <c r="E1002" s="22" t="s">
        <v>4224</v>
      </c>
      <c r="F1002" s="22" t="n">
        <v>13</v>
      </c>
      <c r="G1002" s="26" t="n">
        <v>99.55</v>
      </c>
      <c r="H1002" s="26" t="n">
        <v>109.56</v>
      </c>
      <c r="I1002" s="26" t="n">
        <v>129.6</v>
      </c>
      <c r="J1002" s="26" t="n">
        <v>139.62</v>
      </c>
      <c r="K1002" s="26" t="n">
        <v>154.64</v>
      </c>
      <c r="L1002" s="26" t="n">
        <v>2.06</v>
      </c>
      <c r="M1002" s="27" t="n">
        <v>0.005</v>
      </c>
      <c r="N1002" s="27" t="n">
        <v>0.002</v>
      </c>
      <c r="O1002" s="26" t="n">
        <v>5</v>
      </c>
      <c r="P1002" s="26" t="n">
        <v>5</v>
      </c>
      <c r="Q1002" s="28" t="n">
        <v>100</v>
      </c>
      <c r="R1002" s="26" t="n">
        <v>30</v>
      </c>
      <c r="S1002" s="26" t="n">
        <v>0</v>
      </c>
      <c r="T1002" s="28" t="n">
        <v>1</v>
      </c>
      <c r="U1002" s="26" t="n">
        <v>0</v>
      </c>
      <c r="V1002" s="26" t="n">
        <v>250</v>
      </c>
      <c r="W1002" s="22" t="s">
        <v>19</v>
      </c>
      <c r="X1002" s="22" t="s">
        <v>373</v>
      </c>
    </row>
    <row r="1003" customFormat="false" ht="15" hidden="false" customHeight="false" outlineLevel="0" collapsed="false">
      <c r="A1003" s="22" t="s">
        <v>4225</v>
      </c>
      <c r="B1003" s="22" t="s">
        <v>19</v>
      </c>
      <c r="C1003" s="22" t="s">
        <v>4226</v>
      </c>
      <c r="D1003" s="22" t="s">
        <v>4227</v>
      </c>
      <c r="E1003" s="22" t="s">
        <v>4228</v>
      </c>
      <c r="F1003" s="22" t="n">
        <v>13</v>
      </c>
      <c r="G1003" s="26" t="n">
        <v>99.55</v>
      </c>
      <c r="H1003" s="26" t="n">
        <v>109.56</v>
      </c>
      <c r="I1003" s="26" t="n">
        <v>129.6</v>
      </c>
      <c r="J1003" s="26" t="n">
        <v>139.62</v>
      </c>
      <c r="K1003" s="26" t="n">
        <v>154.64</v>
      </c>
      <c r="L1003" s="26" t="n">
        <v>2.06</v>
      </c>
      <c r="M1003" s="27" t="n">
        <v>0.005</v>
      </c>
      <c r="N1003" s="27" t="n">
        <v>0.002</v>
      </c>
      <c r="O1003" s="26" t="n">
        <v>5</v>
      </c>
      <c r="P1003" s="26" t="n">
        <v>5</v>
      </c>
      <c r="Q1003" s="28" t="n">
        <v>100</v>
      </c>
      <c r="R1003" s="26" t="n">
        <v>30</v>
      </c>
      <c r="S1003" s="26" t="n">
        <v>0</v>
      </c>
      <c r="T1003" s="28" t="n">
        <v>1</v>
      </c>
      <c r="U1003" s="26" t="n">
        <v>0</v>
      </c>
      <c r="V1003" s="26" t="n">
        <v>0</v>
      </c>
      <c r="W1003" s="22" t="s">
        <v>19</v>
      </c>
      <c r="X1003" s="22" t="s">
        <v>373</v>
      </c>
    </row>
    <row r="1004" customFormat="false" ht="15" hidden="false" customHeight="false" outlineLevel="0" collapsed="false">
      <c r="A1004" s="22" t="s">
        <v>4229</v>
      </c>
      <c r="B1004" s="22" t="s">
        <v>19</v>
      </c>
      <c r="C1004" s="22" t="s">
        <v>4230</v>
      </c>
      <c r="D1004" s="22" t="s">
        <v>4231</v>
      </c>
      <c r="E1004" s="22" t="s">
        <v>4232</v>
      </c>
      <c r="F1004" s="22" t="n">
        <v>13</v>
      </c>
      <c r="G1004" s="26" t="n">
        <v>99.55</v>
      </c>
      <c r="H1004" s="26" t="n">
        <v>109.56</v>
      </c>
      <c r="I1004" s="26" t="n">
        <v>129.6</v>
      </c>
      <c r="J1004" s="26" t="n">
        <v>139.62</v>
      </c>
      <c r="K1004" s="26" t="n">
        <v>154.64</v>
      </c>
      <c r="L1004" s="26" t="n">
        <v>2.06</v>
      </c>
      <c r="M1004" s="27" t="n">
        <v>0.005</v>
      </c>
      <c r="N1004" s="27" t="n">
        <v>0.002</v>
      </c>
      <c r="O1004" s="26" t="n">
        <v>5</v>
      </c>
      <c r="P1004" s="26" t="n">
        <v>5</v>
      </c>
      <c r="Q1004" s="28" t="n">
        <v>100</v>
      </c>
      <c r="R1004" s="26" t="n">
        <v>30</v>
      </c>
      <c r="S1004" s="26" t="n">
        <v>0</v>
      </c>
      <c r="T1004" s="28" t="n">
        <v>1</v>
      </c>
      <c r="U1004" s="26" t="n">
        <v>0</v>
      </c>
      <c r="V1004" s="26" t="n">
        <v>0</v>
      </c>
      <c r="W1004" s="22" t="s">
        <v>19</v>
      </c>
      <c r="X1004" s="22" t="s">
        <v>373</v>
      </c>
    </row>
    <row r="1005" customFormat="false" ht="15" hidden="false" customHeight="false" outlineLevel="0" collapsed="false">
      <c r="A1005" s="22" t="s">
        <v>4233</v>
      </c>
      <c r="B1005" s="22" t="s">
        <v>19</v>
      </c>
      <c r="C1005" s="22" t="s">
        <v>4234</v>
      </c>
      <c r="D1005" s="22" t="s">
        <v>4235</v>
      </c>
      <c r="E1005" s="22" t="s">
        <v>4236</v>
      </c>
      <c r="F1005" s="22" t="n">
        <v>13</v>
      </c>
      <c r="G1005" s="26" t="n">
        <v>99.55</v>
      </c>
      <c r="H1005" s="26" t="n">
        <v>109.56</v>
      </c>
      <c r="I1005" s="26" t="n">
        <v>129.6</v>
      </c>
      <c r="J1005" s="26" t="n">
        <v>139.62</v>
      </c>
      <c r="K1005" s="26" t="n">
        <v>154.64</v>
      </c>
      <c r="L1005" s="26" t="n">
        <v>2.06</v>
      </c>
      <c r="M1005" s="27" t="n">
        <v>0.005</v>
      </c>
      <c r="N1005" s="27" t="n">
        <v>0.002</v>
      </c>
      <c r="O1005" s="26" t="n">
        <v>5</v>
      </c>
      <c r="P1005" s="26" t="n">
        <v>5</v>
      </c>
      <c r="Q1005" s="28" t="n">
        <v>100</v>
      </c>
      <c r="R1005" s="26" t="n">
        <v>30</v>
      </c>
      <c r="S1005" s="26" t="n">
        <v>0</v>
      </c>
      <c r="T1005" s="28" t="n">
        <v>1</v>
      </c>
      <c r="U1005" s="26" t="n">
        <v>0</v>
      </c>
      <c r="V1005" s="26" t="n">
        <v>0</v>
      </c>
      <c r="W1005" s="22" t="s">
        <v>19</v>
      </c>
      <c r="X1005" s="22" t="s">
        <v>373</v>
      </c>
    </row>
    <row r="1006" customFormat="false" ht="15" hidden="false" customHeight="false" outlineLevel="0" collapsed="false">
      <c r="A1006" s="22" t="s">
        <v>4237</v>
      </c>
      <c r="B1006" s="22" t="s">
        <v>19</v>
      </c>
      <c r="C1006" s="22" t="s">
        <v>4238</v>
      </c>
      <c r="D1006" s="22" t="s">
        <v>4239</v>
      </c>
      <c r="E1006" s="22" t="s">
        <v>4240</v>
      </c>
      <c r="F1006" s="22" t="n">
        <v>13</v>
      </c>
      <c r="G1006" s="26" t="n">
        <v>99.55</v>
      </c>
      <c r="H1006" s="26" t="n">
        <v>109.56</v>
      </c>
      <c r="I1006" s="26" t="n">
        <v>129.6</v>
      </c>
      <c r="J1006" s="26" t="n">
        <v>139.62</v>
      </c>
      <c r="K1006" s="26" t="n">
        <v>154.64</v>
      </c>
      <c r="L1006" s="26" t="n">
        <v>2.06</v>
      </c>
      <c r="M1006" s="27" t="n">
        <v>0.005</v>
      </c>
      <c r="N1006" s="27" t="n">
        <v>0.002</v>
      </c>
      <c r="O1006" s="26" t="n">
        <v>5</v>
      </c>
      <c r="P1006" s="26" t="n">
        <v>5</v>
      </c>
      <c r="Q1006" s="28" t="n">
        <v>100</v>
      </c>
      <c r="R1006" s="26" t="n">
        <v>30</v>
      </c>
      <c r="S1006" s="26" t="n">
        <v>0</v>
      </c>
      <c r="T1006" s="28" t="n">
        <v>1</v>
      </c>
      <c r="U1006" s="26" t="n">
        <v>0</v>
      </c>
      <c r="V1006" s="26" t="n">
        <v>0</v>
      </c>
      <c r="W1006" s="22" t="s">
        <v>19</v>
      </c>
      <c r="X1006" s="22" t="s">
        <v>373</v>
      </c>
    </row>
    <row r="1007" customFormat="false" ht="15" hidden="false" customHeight="false" outlineLevel="0" collapsed="false">
      <c r="A1007" s="22" t="s">
        <v>4241</v>
      </c>
      <c r="B1007" s="22" t="s">
        <v>19</v>
      </c>
      <c r="C1007" s="22" t="s">
        <v>4242</v>
      </c>
      <c r="D1007" s="22" t="s">
        <v>4243</v>
      </c>
      <c r="E1007" s="22" t="s">
        <v>4244</v>
      </c>
      <c r="F1007" s="22" t="n">
        <v>13</v>
      </c>
      <c r="G1007" s="26" t="n">
        <v>99.55</v>
      </c>
      <c r="H1007" s="26" t="n">
        <v>109.56</v>
      </c>
      <c r="I1007" s="26" t="n">
        <v>129.6</v>
      </c>
      <c r="J1007" s="26" t="n">
        <v>139.62</v>
      </c>
      <c r="K1007" s="26" t="n">
        <v>154.64</v>
      </c>
      <c r="L1007" s="26" t="n">
        <v>2.06</v>
      </c>
      <c r="M1007" s="27" t="n">
        <v>0.005</v>
      </c>
      <c r="N1007" s="27" t="n">
        <v>0.002</v>
      </c>
      <c r="O1007" s="26" t="n">
        <v>5</v>
      </c>
      <c r="P1007" s="26" t="n">
        <v>5</v>
      </c>
      <c r="Q1007" s="28" t="n">
        <v>100</v>
      </c>
      <c r="R1007" s="26" t="n">
        <v>30</v>
      </c>
      <c r="S1007" s="26" t="n">
        <v>0</v>
      </c>
      <c r="T1007" s="28" t="n">
        <v>1</v>
      </c>
      <c r="U1007" s="26" t="n">
        <v>0</v>
      </c>
      <c r="V1007" s="26" t="n">
        <v>250</v>
      </c>
      <c r="W1007" s="22" t="s">
        <v>19</v>
      </c>
      <c r="X1007" s="22" t="s">
        <v>373</v>
      </c>
    </row>
    <row r="1008" customFormat="false" ht="15" hidden="false" customHeight="false" outlineLevel="0" collapsed="false">
      <c r="A1008" s="22" t="s">
        <v>4245</v>
      </c>
      <c r="B1008" s="22" t="s">
        <v>19</v>
      </c>
      <c r="C1008" s="22" t="s">
        <v>4246</v>
      </c>
      <c r="D1008" s="22" t="s">
        <v>4247</v>
      </c>
      <c r="E1008" s="22" t="s">
        <v>4248</v>
      </c>
      <c r="F1008" s="22" t="n">
        <v>13</v>
      </c>
      <c r="G1008" s="26" t="n">
        <v>99.55</v>
      </c>
      <c r="H1008" s="26" t="n">
        <v>109.56</v>
      </c>
      <c r="I1008" s="26" t="n">
        <v>129.6</v>
      </c>
      <c r="J1008" s="26" t="n">
        <v>139.62</v>
      </c>
      <c r="K1008" s="26" t="n">
        <v>154.64</v>
      </c>
      <c r="L1008" s="26" t="n">
        <v>2.06</v>
      </c>
      <c r="M1008" s="27" t="n">
        <v>0.005</v>
      </c>
      <c r="N1008" s="27" t="n">
        <v>0.002</v>
      </c>
      <c r="O1008" s="26" t="n">
        <v>5</v>
      </c>
      <c r="P1008" s="26" t="n">
        <v>5</v>
      </c>
      <c r="Q1008" s="28" t="n">
        <v>100</v>
      </c>
      <c r="R1008" s="26" t="n">
        <v>30</v>
      </c>
      <c r="S1008" s="26" t="n">
        <v>0</v>
      </c>
      <c r="T1008" s="28" t="n">
        <v>1</v>
      </c>
      <c r="U1008" s="26" t="n">
        <v>0</v>
      </c>
      <c r="V1008" s="26" t="n">
        <v>250</v>
      </c>
      <c r="W1008" s="22" t="s">
        <v>19</v>
      </c>
      <c r="X1008" s="22" t="s">
        <v>373</v>
      </c>
    </row>
    <row r="1009" customFormat="false" ht="15" hidden="false" customHeight="false" outlineLevel="0" collapsed="false">
      <c r="A1009" s="22" t="s">
        <v>4249</v>
      </c>
      <c r="B1009" s="22" t="s">
        <v>19</v>
      </c>
      <c r="C1009" s="22" t="s">
        <v>4250</v>
      </c>
      <c r="D1009" s="22" t="s">
        <v>4251</v>
      </c>
      <c r="E1009" s="22" t="s">
        <v>4252</v>
      </c>
      <c r="F1009" s="22" t="n">
        <v>13</v>
      </c>
      <c r="G1009" s="26" t="n">
        <v>99.55</v>
      </c>
      <c r="H1009" s="26" t="n">
        <v>109.56</v>
      </c>
      <c r="I1009" s="26" t="n">
        <v>129.6</v>
      </c>
      <c r="J1009" s="26" t="n">
        <v>139.62</v>
      </c>
      <c r="K1009" s="26" t="n">
        <v>154.64</v>
      </c>
      <c r="L1009" s="26" t="n">
        <v>2.06</v>
      </c>
      <c r="M1009" s="27" t="n">
        <v>0.005</v>
      </c>
      <c r="N1009" s="27" t="n">
        <v>0.002</v>
      </c>
      <c r="O1009" s="26" t="n">
        <v>5</v>
      </c>
      <c r="P1009" s="26" t="n">
        <v>5</v>
      </c>
      <c r="Q1009" s="28" t="n">
        <v>100</v>
      </c>
      <c r="R1009" s="26" t="n">
        <v>30</v>
      </c>
      <c r="S1009" s="26" t="n">
        <v>0</v>
      </c>
      <c r="T1009" s="28" t="n">
        <v>1</v>
      </c>
      <c r="U1009" s="26" t="n">
        <v>0</v>
      </c>
      <c r="V1009" s="26" t="n">
        <v>250</v>
      </c>
      <c r="W1009" s="22" t="s">
        <v>19</v>
      </c>
      <c r="X1009" s="22" t="s">
        <v>373</v>
      </c>
    </row>
    <row r="1010" customFormat="false" ht="15" hidden="false" customHeight="false" outlineLevel="0" collapsed="false">
      <c r="A1010" s="22" t="s">
        <v>4253</v>
      </c>
      <c r="B1010" s="22" t="s">
        <v>19</v>
      </c>
      <c r="C1010" s="22" t="s">
        <v>4254</v>
      </c>
      <c r="D1010" s="22" t="s">
        <v>4255</v>
      </c>
      <c r="E1010" s="22" t="s">
        <v>4256</v>
      </c>
      <c r="F1010" s="22" t="n">
        <v>13</v>
      </c>
      <c r="G1010" s="26" t="n">
        <v>99.55</v>
      </c>
      <c r="H1010" s="26" t="n">
        <v>109.56</v>
      </c>
      <c r="I1010" s="26" t="n">
        <v>129.6</v>
      </c>
      <c r="J1010" s="26" t="n">
        <v>139.62</v>
      </c>
      <c r="K1010" s="26" t="n">
        <v>154.64</v>
      </c>
      <c r="L1010" s="26" t="n">
        <v>2.06</v>
      </c>
      <c r="M1010" s="27" t="n">
        <v>0.005</v>
      </c>
      <c r="N1010" s="27" t="n">
        <v>0.002</v>
      </c>
      <c r="O1010" s="26" t="n">
        <v>5</v>
      </c>
      <c r="P1010" s="26" t="n">
        <v>5</v>
      </c>
      <c r="Q1010" s="28" t="n">
        <v>100</v>
      </c>
      <c r="R1010" s="26" t="n">
        <v>30</v>
      </c>
      <c r="S1010" s="26" t="n">
        <v>0</v>
      </c>
      <c r="T1010" s="28" t="n">
        <v>1</v>
      </c>
      <c r="U1010" s="26" t="n">
        <v>0</v>
      </c>
      <c r="V1010" s="26" t="n">
        <v>0</v>
      </c>
      <c r="W1010" s="22" t="s">
        <v>19</v>
      </c>
      <c r="X1010" s="22" t="s">
        <v>373</v>
      </c>
    </row>
    <row r="1011" customFormat="false" ht="15" hidden="false" customHeight="false" outlineLevel="0" collapsed="false">
      <c r="A1011" s="22" t="s">
        <v>4257</v>
      </c>
      <c r="B1011" s="22" t="s">
        <v>19</v>
      </c>
      <c r="C1011" s="22" t="s">
        <v>4258</v>
      </c>
      <c r="D1011" s="22" t="s">
        <v>4259</v>
      </c>
      <c r="E1011" s="22" t="s">
        <v>4260</v>
      </c>
      <c r="F1011" s="22" t="n">
        <v>13</v>
      </c>
      <c r="G1011" s="26" t="n">
        <v>99.55</v>
      </c>
      <c r="H1011" s="26" t="n">
        <v>109.56</v>
      </c>
      <c r="I1011" s="26" t="n">
        <v>129.6</v>
      </c>
      <c r="J1011" s="26" t="n">
        <v>139.62</v>
      </c>
      <c r="K1011" s="26" t="n">
        <v>154.64</v>
      </c>
      <c r="L1011" s="26" t="n">
        <v>2.06</v>
      </c>
      <c r="M1011" s="27" t="n">
        <v>0.005</v>
      </c>
      <c r="N1011" s="27" t="n">
        <v>0.002</v>
      </c>
      <c r="O1011" s="26" t="n">
        <v>5</v>
      </c>
      <c r="P1011" s="26" t="n">
        <v>5</v>
      </c>
      <c r="Q1011" s="28" t="n">
        <v>100</v>
      </c>
      <c r="R1011" s="26" t="n">
        <v>30</v>
      </c>
      <c r="S1011" s="26" t="n">
        <v>0</v>
      </c>
      <c r="T1011" s="28" t="n">
        <v>1</v>
      </c>
      <c r="U1011" s="26" t="n">
        <v>0</v>
      </c>
      <c r="V1011" s="26" t="n">
        <v>0</v>
      </c>
      <c r="W1011" s="22" t="s">
        <v>19</v>
      </c>
      <c r="X1011" s="22" t="s">
        <v>373</v>
      </c>
    </row>
    <row r="1012" customFormat="false" ht="15" hidden="false" customHeight="false" outlineLevel="0" collapsed="false">
      <c r="A1012" s="22" t="s">
        <v>4261</v>
      </c>
      <c r="B1012" s="22" t="s">
        <v>19</v>
      </c>
      <c r="C1012" s="22" t="s">
        <v>4262</v>
      </c>
      <c r="D1012" s="22" t="s">
        <v>4263</v>
      </c>
      <c r="E1012" s="22" t="s">
        <v>4264</v>
      </c>
      <c r="F1012" s="22" t="n">
        <v>13</v>
      </c>
      <c r="G1012" s="26" t="n">
        <v>99.55</v>
      </c>
      <c r="H1012" s="26" t="n">
        <v>109.56</v>
      </c>
      <c r="I1012" s="26" t="n">
        <v>129.6</v>
      </c>
      <c r="J1012" s="26" t="n">
        <v>139.62</v>
      </c>
      <c r="K1012" s="26" t="n">
        <v>154.64</v>
      </c>
      <c r="L1012" s="26" t="n">
        <v>2.06</v>
      </c>
      <c r="M1012" s="27" t="n">
        <v>0.005</v>
      </c>
      <c r="N1012" s="27" t="n">
        <v>0.002</v>
      </c>
      <c r="O1012" s="26" t="n">
        <v>5</v>
      </c>
      <c r="P1012" s="26" t="n">
        <v>5</v>
      </c>
      <c r="Q1012" s="28" t="n">
        <v>100</v>
      </c>
      <c r="R1012" s="26" t="n">
        <v>30</v>
      </c>
      <c r="S1012" s="26" t="n">
        <v>0</v>
      </c>
      <c r="T1012" s="28" t="n">
        <v>1</v>
      </c>
      <c r="U1012" s="26" t="n">
        <v>0</v>
      </c>
      <c r="V1012" s="26" t="n">
        <v>250</v>
      </c>
      <c r="W1012" s="22" t="s">
        <v>19</v>
      </c>
      <c r="X1012" s="22" t="s">
        <v>373</v>
      </c>
    </row>
    <row r="1013" customFormat="false" ht="15" hidden="false" customHeight="false" outlineLevel="0" collapsed="false">
      <c r="A1013" s="22" t="s">
        <v>4265</v>
      </c>
      <c r="B1013" s="22" t="s">
        <v>19</v>
      </c>
      <c r="C1013" s="22" t="s">
        <v>4266</v>
      </c>
      <c r="D1013" s="22" t="s">
        <v>4267</v>
      </c>
      <c r="E1013" s="22" t="s">
        <v>4268</v>
      </c>
      <c r="F1013" s="22" t="n">
        <v>13</v>
      </c>
      <c r="G1013" s="26" t="n">
        <v>99.55</v>
      </c>
      <c r="H1013" s="26" t="n">
        <v>109.56</v>
      </c>
      <c r="I1013" s="26" t="n">
        <v>129.6</v>
      </c>
      <c r="J1013" s="26" t="n">
        <v>139.62</v>
      </c>
      <c r="K1013" s="26" t="n">
        <v>154.64</v>
      </c>
      <c r="L1013" s="26" t="n">
        <v>2.06</v>
      </c>
      <c r="M1013" s="27" t="n">
        <v>0.005</v>
      </c>
      <c r="N1013" s="27" t="n">
        <v>0.002</v>
      </c>
      <c r="O1013" s="26" t="n">
        <v>5</v>
      </c>
      <c r="P1013" s="26" t="n">
        <v>5</v>
      </c>
      <c r="Q1013" s="28" t="n">
        <v>100</v>
      </c>
      <c r="R1013" s="26" t="n">
        <v>30</v>
      </c>
      <c r="S1013" s="26" t="n">
        <v>0</v>
      </c>
      <c r="T1013" s="28" t="n">
        <v>1</v>
      </c>
      <c r="U1013" s="26" t="n">
        <v>0</v>
      </c>
      <c r="V1013" s="26" t="n">
        <v>0</v>
      </c>
      <c r="W1013" s="22" t="s">
        <v>19</v>
      </c>
      <c r="X1013" s="22" t="s">
        <v>373</v>
      </c>
    </row>
    <row r="1014" customFormat="false" ht="15" hidden="false" customHeight="false" outlineLevel="0" collapsed="false">
      <c r="A1014" s="22" t="s">
        <v>4269</v>
      </c>
      <c r="B1014" s="22" t="s">
        <v>19</v>
      </c>
      <c r="C1014" s="22" t="s">
        <v>4270</v>
      </c>
      <c r="D1014" s="22" t="s">
        <v>4271</v>
      </c>
      <c r="E1014" s="22" t="s">
        <v>4272</v>
      </c>
      <c r="F1014" s="22" t="n">
        <v>13</v>
      </c>
      <c r="G1014" s="26" t="n">
        <v>99.55</v>
      </c>
      <c r="H1014" s="26" t="n">
        <v>109.56</v>
      </c>
      <c r="I1014" s="26" t="n">
        <v>129.6</v>
      </c>
      <c r="J1014" s="26" t="n">
        <v>139.62</v>
      </c>
      <c r="K1014" s="26" t="n">
        <v>154.64</v>
      </c>
      <c r="L1014" s="26" t="n">
        <v>2.06</v>
      </c>
      <c r="M1014" s="27" t="n">
        <v>0.005</v>
      </c>
      <c r="N1014" s="27" t="n">
        <v>0.002</v>
      </c>
      <c r="O1014" s="26" t="n">
        <v>5</v>
      </c>
      <c r="P1014" s="26" t="n">
        <v>5</v>
      </c>
      <c r="Q1014" s="28" t="n">
        <v>100</v>
      </c>
      <c r="R1014" s="26" t="n">
        <v>30</v>
      </c>
      <c r="S1014" s="26" t="n">
        <v>0</v>
      </c>
      <c r="T1014" s="28" t="n">
        <v>1</v>
      </c>
      <c r="U1014" s="26" t="n">
        <v>0</v>
      </c>
      <c r="V1014" s="26" t="n">
        <v>0</v>
      </c>
      <c r="W1014" s="22" t="s">
        <v>19</v>
      </c>
      <c r="X1014" s="22" t="s">
        <v>373</v>
      </c>
    </row>
    <row r="1015" customFormat="false" ht="15" hidden="false" customHeight="false" outlineLevel="0" collapsed="false">
      <c r="A1015" s="22" t="s">
        <v>4273</v>
      </c>
      <c r="B1015" s="22" t="s">
        <v>19</v>
      </c>
      <c r="C1015" s="22" t="s">
        <v>4274</v>
      </c>
      <c r="D1015" s="22" t="s">
        <v>4275</v>
      </c>
      <c r="E1015" s="22" t="s">
        <v>4276</v>
      </c>
      <c r="F1015" s="22" t="n">
        <v>13</v>
      </c>
      <c r="G1015" s="26" t="n">
        <v>99.55</v>
      </c>
      <c r="H1015" s="26" t="n">
        <v>109.56</v>
      </c>
      <c r="I1015" s="26" t="n">
        <v>129.6</v>
      </c>
      <c r="J1015" s="26" t="n">
        <v>139.62</v>
      </c>
      <c r="K1015" s="26" t="n">
        <v>154.64</v>
      </c>
      <c r="L1015" s="26" t="n">
        <v>2.06</v>
      </c>
      <c r="M1015" s="27" t="n">
        <v>0.005</v>
      </c>
      <c r="N1015" s="27" t="n">
        <v>0.002</v>
      </c>
      <c r="O1015" s="26" t="n">
        <v>5</v>
      </c>
      <c r="P1015" s="26" t="n">
        <v>5</v>
      </c>
      <c r="Q1015" s="28" t="n">
        <v>100</v>
      </c>
      <c r="R1015" s="26" t="n">
        <v>30</v>
      </c>
      <c r="S1015" s="26" t="n">
        <v>0</v>
      </c>
      <c r="T1015" s="28" t="n">
        <v>1</v>
      </c>
      <c r="U1015" s="26" t="n">
        <v>0</v>
      </c>
      <c r="V1015" s="26" t="n">
        <v>0</v>
      </c>
      <c r="W1015" s="22" t="s">
        <v>19</v>
      </c>
      <c r="X1015" s="22" t="s">
        <v>373</v>
      </c>
    </row>
    <row r="1016" customFormat="false" ht="15" hidden="false" customHeight="false" outlineLevel="0" collapsed="false">
      <c r="A1016" s="22" t="s">
        <v>4277</v>
      </c>
      <c r="B1016" s="22" t="s">
        <v>19</v>
      </c>
      <c r="C1016" s="22" t="s">
        <v>4278</v>
      </c>
      <c r="D1016" s="22" t="s">
        <v>4279</v>
      </c>
      <c r="E1016" s="22" t="s">
        <v>4280</v>
      </c>
      <c r="F1016" s="22" t="n">
        <v>13</v>
      </c>
      <c r="G1016" s="26" t="n">
        <v>99.55</v>
      </c>
      <c r="H1016" s="26" t="n">
        <v>109.56</v>
      </c>
      <c r="I1016" s="26" t="n">
        <v>129.6</v>
      </c>
      <c r="J1016" s="26" t="n">
        <v>139.62</v>
      </c>
      <c r="K1016" s="26" t="n">
        <v>154.64</v>
      </c>
      <c r="L1016" s="26" t="n">
        <v>2.06</v>
      </c>
      <c r="M1016" s="27" t="n">
        <v>0.005</v>
      </c>
      <c r="N1016" s="27" t="n">
        <v>0.002</v>
      </c>
      <c r="O1016" s="26" t="n">
        <v>5</v>
      </c>
      <c r="P1016" s="26" t="n">
        <v>5</v>
      </c>
      <c r="Q1016" s="28" t="n">
        <v>100</v>
      </c>
      <c r="R1016" s="26" t="n">
        <v>30</v>
      </c>
      <c r="S1016" s="26" t="n">
        <v>0</v>
      </c>
      <c r="T1016" s="28" t="n">
        <v>1</v>
      </c>
      <c r="U1016" s="26" t="n">
        <v>0</v>
      </c>
      <c r="V1016" s="26" t="n">
        <v>250</v>
      </c>
      <c r="W1016" s="22" t="s">
        <v>19</v>
      </c>
      <c r="X1016" s="22" t="s">
        <v>373</v>
      </c>
    </row>
    <row r="1017" customFormat="false" ht="15" hidden="false" customHeight="false" outlineLevel="0" collapsed="false">
      <c r="A1017" s="22" t="s">
        <v>4281</v>
      </c>
      <c r="B1017" s="22" t="s">
        <v>19</v>
      </c>
      <c r="C1017" s="22" t="s">
        <v>4282</v>
      </c>
      <c r="D1017" s="22" t="s">
        <v>4283</v>
      </c>
      <c r="E1017" s="22" t="s">
        <v>4284</v>
      </c>
      <c r="F1017" s="22" t="n">
        <v>13</v>
      </c>
      <c r="G1017" s="26" t="n">
        <v>99.55</v>
      </c>
      <c r="H1017" s="26" t="n">
        <v>109.56</v>
      </c>
      <c r="I1017" s="26" t="n">
        <v>129.6</v>
      </c>
      <c r="J1017" s="26" t="n">
        <v>139.62</v>
      </c>
      <c r="K1017" s="26" t="n">
        <v>154.64</v>
      </c>
      <c r="L1017" s="26" t="n">
        <v>2.06</v>
      </c>
      <c r="M1017" s="27" t="n">
        <v>0.005</v>
      </c>
      <c r="N1017" s="27" t="n">
        <v>0.002</v>
      </c>
      <c r="O1017" s="26" t="n">
        <v>5</v>
      </c>
      <c r="P1017" s="26" t="n">
        <v>5</v>
      </c>
      <c r="Q1017" s="28" t="n">
        <v>100</v>
      </c>
      <c r="R1017" s="26" t="n">
        <v>30</v>
      </c>
      <c r="S1017" s="26" t="n">
        <v>0</v>
      </c>
      <c r="T1017" s="28" t="n">
        <v>1</v>
      </c>
      <c r="U1017" s="26" t="n">
        <v>0</v>
      </c>
      <c r="V1017" s="26" t="n">
        <v>250</v>
      </c>
      <c r="W1017" s="22" t="s">
        <v>19</v>
      </c>
      <c r="X1017" s="22" t="s">
        <v>373</v>
      </c>
    </row>
    <row r="1018" customFormat="false" ht="15" hidden="false" customHeight="false" outlineLevel="0" collapsed="false">
      <c r="A1018" s="22" t="s">
        <v>4285</v>
      </c>
      <c r="B1018" s="22" t="s">
        <v>19</v>
      </c>
      <c r="C1018" s="22" t="s">
        <v>4286</v>
      </c>
      <c r="D1018" s="22" t="s">
        <v>4287</v>
      </c>
      <c r="E1018" s="22" t="s">
        <v>4288</v>
      </c>
      <c r="F1018" s="22" t="n">
        <v>13</v>
      </c>
      <c r="G1018" s="26" t="n">
        <v>99.55</v>
      </c>
      <c r="H1018" s="26" t="n">
        <v>109.56</v>
      </c>
      <c r="I1018" s="26" t="n">
        <v>129.6</v>
      </c>
      <c r="J1018" s="26" t="n">
        <v>139.62</v>
      </c>
      <c r="K1018" s="26" t="n">
        <v>154.64</v>
      </c>
      <c r="L1018" s="26" t="n">
        <v>2.06</v>
      </c>
      <c r="M1018" s="27" t="n">
        <v>0.005</v>
      </c>
      <c r="N1018" s="27" t="n">
        <v>0.002</v>
      </c>
      <c r="O1018" s="26" t="n">
        <v>5</v>
      </c>
      <c r="P1018" s="26" t="n">
        <v>5</v>
      </c>
      <c r="Q1018" s="28" t="n">
        <v>100</v>
      </c>
      <c r="R1018" s="26" t="n">
        <v>30</v>
      </c>
      <c r="S1018" s="26" t="n">
        <v>0</v>
      </c>
      <c r="T1018" s="28" t="n">
        <v>1</v>
      </c>
      <c r="U1018" s="26" t="n">
        <v>0</v>
      </c>
      <c r="V1018" s="26" t="n">
        <v>250</v>
      </c>
      <c r="W1018" s="22" t="s">
        <v>19</v>
      </c>
      <c r="X1018" s="22" t="s">
        <v>373</v>
      </c>
    </row>
    <row r="1019" customFormat="false" ht="15" hidden="false" customHeight="false" outlineLevel="0" collapsed="false">
      <c r="A1019" s="22" t="s">
        <v>4289</v>
      </c>
      <c r="B1019" s="22" t="s">
        <v>19</v>
      </c>
      <c r="C1019" s="22" t="s">
        <v>4290</v>
      </c>
      <c r="D1019" s="22" t="s">
        <v>4291</v>
      </c>
      <c r="E1019" s="22" t="s">
        <v>4292</v>
      </c>
      <c r="F1019" s="22" t="n">
        <v>13</v>
      </c>
      <c r="G1019" s="26" t="n">
        <v>99.55</v>
      </c>
      <c r="H1019" s="26" t="n">
        <v>109.56</v>
      </c>
      <c r="I1019" s="26" t="n">
        <v>129.6</v>
      </c>
      <c r="J1019" s="26" t="n">
        <v>139.62</v>
      </c>
      <c r="K1019" s="26" t="n">
        <v>154.64</v>
      </c>
      <c r="L1019" s="26" t="n">
        <v>2.06</v>
      </c>
      <c r="M1019" s="27" t="n">
        <v>0.005</v>
      </c>
      <c r="N1019" s="27" t="n">
        <v>0.002</v>
      </c>
      <c r="O1019" s="26" t="n">
        <v>5</v>
      </c>
      <c r="P1019" s="26" t="n">
        <v>5</v>
      </c>
      <c r="Q1019" s="28" t="n">
        <v>100</v>
      </c>
      <c r="R1019" s="26" t="n">
        <v>30</v>
      </c>
      <c r="S1019" s="26" t="n">
        <v>0</v>
      </c>
      <c r="T1019" s="28" t="n">
        <v>1</v>
      </c>
      <c r="U1019" s="26" t="n">
        <v>0</v>
      </c>
      <c r="V1019" s="26" t="n">
        <v>250</v>
      </c>
      <c r="W1019" s="22" t="s">
        <v>19</v>
      </c>
      <c r="X1019" s="22" t="s">
        <v>373</v>
      </c>
    </row>
    <row r="1020" customFormat="false" ht="15" hidden="false" customHeight="false" outlineLevel="0" collapsed="false">
      <c r="A1020" s="22" t="s">
        <v>4293</v>
      </c>
      <c r="B1020" s="22" t="s">
        <v>19</v>
      </c>
      <c r="C1020" s="22" t="s">
        <v>4294</v>
      </c>
      <c r="D1020" s="22" t="s">
        <v>4295</v>
      </c>
      <c r="E1020" s="22" t="s">
        <v>4296</v>
      </c>
      <c r="F1020" s="22" t="n">
        <v>13</v>
      </c>
      <c r="G1020" s="26" t="n">
        <v>99.55</v>
      </c>
      <c r="H1020" s="26" t="n">
        <v>109.56</v>
      </c>
      <c r="I1020" s="26" t="n">
        <v>129.6</v>
      </c>
      <c r="J1020" s="26" t="n">
        <v>139.62</v>
      </c>
      <c r="K1020" s="26" t="n">
        <v>154.64</v>
      </c>
      <c r="L1020" s="26" t="n">
        <v>2.06</v>
      </c>
      <c r="M1020" s="27" t="n">
        <v>0.005</v>
      </c>
      <c r="N1020" s="27" t="n">
        <v>0.002</v>
      </c>
      <c r="O1020" s="26" t="n">
        <v>5</v>
      </c>
      <c r="P1020" s="26" t="n">
        <v>5</v>
      </c>
      <c r="Q1020" s="28" t="n">
        <v>100</v>
      </c>
      <c r="R1020" s="26" t="n">
        <v>30</v>
      </c>
      <c r="S1020" s="26" t="n">
        <v>0</v>
      </c>
      <c r="T1020" s="28" t="n">
        <v>1</v>
      </c>
      <c r="U1020" s="26" t="n">
        <v>0</v>
      </c>
      <c r="V1020" s="26" t="n">
        <v>250</v>
      </c>
      <c r="W1020" s="22" t="s">
        <v>19</v>
      </c>
      <c r="X1020" s="22" t="s">
        <v>373</v>
      </c>
    </row>
    <row r="1021" customFormat="false" ht="15" hidden="false" customHeight="false" outlineLevel="0" collapsed="false">
      <c r="A1021" s="22" t="s">
        <v>4297</v>
      </c>
      <c r="B1021" s="22" t="s">
        <v>19</v>
      </c>
      <c r="C1021" s="22" t="s">
        <v>4298</v>
      </c>
      <c r="D1021" s="22" t="s">
        <v>4299</v>
      </c>
      <c r="E1021" s="22" t="s">
        <v>4300</v>
      </c>
      <c r="F1021" s="22" t="n">
        <v>13</v>
      </c>
      <c r="G1021" s="26" t="n">
        <v>99.55</v>
      </c>
      <c r="H1021" s="26" t="n">
        <v>109.56</v>
      </c>
      <c r="I1021" s="26" t="n">
        <v>129.6</v>
      </c>
      <c r="J1021" s="26" t="n">
        <v>139.62</v>
      </c>
      <c r="K1021" s="26" t="n">
        <v>154.64</v>
      </c>
      <c r="L1021" s="26" t="n">
        <v>2.06</v>
      </c>
      <c r="M1021" s="27" t="n">
        <v>0.005</v>
      </c>
      <c r="N1021" s="27" t="n">
        <v>0.002</v>
      </c>
      <c r="O1021" s="26" t="n">
        <v>5</v>
      </c>
      <c r="P1021" s="26" t="n">
        <v>5</v>
      </c>
      <c r="Q1021" s="28" t="n">
        <v>100</v>
      </c>
      <c r="R1021" s="26" t="n">
        <v>30</v>
      </c>
      <c r="S1021" s="26" t="n">
        <v>0</v>
      </c>
      <c r="T1021" s="28" t="n">
        <v>1</v>
      </c>
      <c r="U1021" s="26" t="n">
        <v>0</v>
      </c>
      <c r="V1021" s="26" t="n">
        <v>0</v>
      </c>
      <c r="W1021" s="22" t="s">
        <v>19</v>
      </c>
      <c r="X1021" s="22" t="s">
        <v>373</v>
      </c>
    </row>
    <row r="1022" customFormat="false" ht="15" hidden="false" customHeight="false" outlineLevel="0" collapsed="false">
      <c r="A1022" s="22" t="s">
        <v>4301</v>
      </c>
      <c r="B1022" s="22" t="s">
        <v>19</v>
      </c>
      <c r="C1022" s="22" t="s">
        <v>4302</v>
      </c>
      <c r="D1022" s="22" t="s">
        <v>4303</v>
      </c>
      <c r="E1022" s="22" t="s">
        <v>4304</v>
      </c>
      <c r="F1022" s="22" t="n">
        <v>13</v>
      </c>
      <c r="G1022" s="26" t="n">
        <v>99.55</v>
      </c>
      <c r="H1022" s="26" t="n">
        <v>109.56</v>
      </c>
      <c r="I1022" s="26" t="n">
        <v>129.6</v>
      </c>
      <c r="J1022" s="26" t="n">
        <v>139.62</v>
      </c>
      <c r="K1022" s="26" t="n">
        <v>154.64</v>
      </c>
      <c r="L1022" s="26" t="n">
        <v>2.06</v>
      </c>
      <c r="M1022" s="27" t="n">
        <v>0.005</v>
      </c>
      <c r="N1022" s="27" t="n">
        <v>0.002</v>
      </c>
      <c r="O1022" s="26" t="n">
        <v>5</v>
      </c>
      <c r="P1022" s="26" t="n">
        <v>5</v>
      </c>
      <c r="Q1022" s="28" t="n">
        <v>100</v>
      </c>
      <c r="R1022" s="26" t="n">
        <v>30</v>
      </c>
      <c r="S1022" s="26" t="n">
        <v>0</v>
      </c>
      <c r="T1022" s="28" t="n">
        <v>1</v>
      </c>
      <c r="U1022" s="26" t="n">
        <v>0</v>
      </c>
      <c r="V1022" s="26" t="n">
        <v>250</v>
      </c>
      <c r="W1022" s="22" t="s">
        <v>19</v>
      </c>
      <c r="X1022" s="22" t="s">
        <v>373</v>
      </c>
    </row>
    <row r="1023" customFormat="false" ht="15" hidden="false" customHeight="false" outlineLevel="0" collapsed="false">
      <c r="A1023" s="22" t="s">
        <v>4305</v>
      </c>
      <c r="B1023" s="22" t="s">
        <v>19</v>
      </c>
      <c r="C1023" s="22" t="s">
        <v>4306</v>
      </c>
      <c r="D1023" s="22" t="s">
        <v>4307</v>
      </c>
      <c r="E1023" s="22" t="s">
        <v>4308</v>
      </c>
      <c r="F1023" s="22" t="n">
        <v>13</v>
      </c>
      <c r="G1023" s="26" t="n">
        <v>99.55</v>
      </c>
      <c r="H1023" s="26" t="n">
        <v>109.56</v>
      </c>
      <c r="I1023" s="26" t="n">
        <v>129.6</v>
      </c>
      <c r="J1023" s="26" t="n">
        <v>139.62</v>
      </c>
      <c r="K1023" s="26" t="n">
        <v>154.64</v>
      </c>
      <c r="L1023" s="26" t="n">
        <v>2.06</v>
      </c>
      <c r="M1023" s="27" t="n">
        <v>0.005</v>
      </c>
      <c r="N1023" s="27" t="n">
        <v>0.002</v>
      </c>
      <c r="O1023" s="26" t="n">
        <v>5</v>
      </c>
      <c r="P1023" s="26" t="n">
        <v>5</v>
      </c>
      <c r="Q1023" s="28" t="n">
        <v>100</v>
      </c>
      <c r="R1023" s="26" t="n">
        <v>30</v>
      </c>
      <c r="S1023" s="26" t="n">
        <v>0</v>
      </c>
      <c r="T1023" s="28" t="n">
        <v>1</v>
      </c>
      <c r="U1023" s="26" t="n">
        <v>0</v>
      </c>
      <c r="V1023" s="26" t="n">
        <v>0</v>
      </c>
      <c r="W1023" s="22" t="s">
        <v>19</v>
      </c>
      <c r="X1023" s="22" t="s">
        <v>373</v>
      </c>
    </row>
    <row r="1024" customFormat="false" ht="15" hidden="false" customHeight="false" outlineLevel="0" collapsed="false">
      <c r="A1024" s="22" t="s">
        <v>4309</v>
      </c>
      <c r="B1024" s="22" t="s">
        <v>19</v>
      </c>
      <c r="C1024" s="22" t="s">
        <v>4310</v>
      </c>
      <c r="D1024" s="22" t="s">
        <v>4311</v>
      </c>
      <c r="E1024" s="22" t="s">
        <v>4312</v>
      </c>
      <c r="F1024" s="22" t="n">
        <v>13</v>
      </c>
      <c r="G1024" s="26" t="n">
        <v>99.55</v>
      </c>
      <c r="H1024" s="26" t="n">
        <v>109.56</v>
      </c>
      <c r="I1024" s="26" t="n">
        <v>129.6</v>
      </c>
      <c r="J1024" s="26" t="n">
        <v>139.62</v>
      </c>
      <c r="K1024" s="26" t="n">
        <v>154.64</v>
      </c>
      <c r="L1024" s="26" t="n">
        <v>2.06</v>
      </c>
      <c r="M1024" s="27" t="n">
        <v>0.005</v>
      </c>
      <c r="N1024" s="27" t="n">
        <v>0.002</v>
      </c>
      <c r="O1024" s="26" t="n">
        <v>5</v>
      </c>
      <c r="P1024" s="26" t="n">
        <v>5</v>
      </c>
      <c r="Q1024" s="28" t="n">
        <v>100</v>
      </c>
      <c r="R1024" s="26" t="n">
        <v>30</v>
      </c>
      <c r="S1024" s="26" t="n">
        <v>0</v>
      </c>
      <c r="T1024" s="28" t="n">
        <v>1</v>
      </c>
      <c r="U1024" s="26" t="n">
        <v>0</v>
      </c>
      <c r="V1024" s="26" t="n">
        <v>0</v>
      </c>
      <c r="W1024" s="22" t="s">
        <v>19</v>
      </c>
      <c r="X1024" s="22" t="s">
        <v>373</v>
      </c>
    </row>
    <row r="1025" customFormat="false" ht="15" hidden="false" customHeight="false" outlineLevel="0" collapsed="false">
      <c r="A1025" s="22" t="s">
        <v>4313</v>
      </c>
      <c r="B1025" s="22" t="s">
        <v>19</v>
      </c>
      <c r="C1025" s="22" t="s">
        <v>4314</v>
      </c>
      <c r="D1025" s="22" t="s">
        <v>4315</v>
      </c>
      <c r="E1025" s="22" t="s">
        <v>4316</v>
      </c>
      <c r="F1025" s="22" t="n">
        <v>13</v>
      </c>
      <c r="G1025" s="26" t="n">
        <v>99.55</v>
      </c>
      <c r="H1025" s="26" t="n">
        <v>109.56</v>
      </c>
      <c r="I1025" s="26" t="n">
        <v>129.6</v>
      </c>
      <c r="J1025" s="26" t="n">
        <v>139.62</v>
      </c>
      <c r="K1025" s="26" t="n">
        <v>154.64</v>
      </c>
      <c r="L1025" s="26" t="n">
        <v>2.06</v>
      </c>
      <c r="M1025" s="27" t="n">
        <v>0.005</v>
      </c>
      <c r="N1025" s="27" t="n">
        <v>0.002</v>
      </c>
      <c r="O1025" s="26" t="n">
        <v>5</v>
      </c>
      <c r="P1025" s="26" t="n">
        <v>5</v>
      </c>
      <c r="Q1025" s="28" t="n">
        <v>100</v>
      </c>
      <c r="R1025" s="26" t="n">
        <v>30</v>
      </c>
      <c r="S1025" s="26" t="n">
        <v>0</v>
      </c>
      <c r="T1025" s="28" t="n">
        <v>1</v>
      </c>
      <c r="U1025" s="26" t="n">
        <v>0</v>
      </c>
      <c r="V1025" s="26" t="n">
        <v>0</v>
      </c>
      <c r="W1025" s="22" t="s">
        <v>19</v>
      </c>
      <c r="X1025" s="22" t="s">
        <v>373</v>
      </c>
    </row>
    <row r="1026" customFormat="false" ht="15" hidden="false" customHeight="false" outlineLevel="0" collapsed="false">
      <c r="A1026" s="22" t="s">
        <v>4317</v>
      </c>
      <c r="B1026" s="22" t="s">
        <v>19</v>
      </c>
      <c r="C1026" s="22" t="s">
        <v>4318</v>
      </c>
      <c r="D1026" s="22" t="s">
        <v>4319</v>
      </c>
      <c r="E1026" s="22" t="s">
        <v>4320</v>
      </c>
      <c r="F1026" s="22" t="n">
        <v>13</v>
      </c>
      <c r="G1026" s="26" t="n">
        <v>99.55</v>
      </c>
      <c r="H1026" s="26" t="n">
        <v>109.56</v>
      </c>
      <c r="I1026" s="26" t="n">
        <v>129.6</v>
      </c>
      <c r="J1026" s="26" t="n">
        <v>139.62</v>
      </c>
      <c r="K1026" s="26" t="n">
        <v>154.64</v>
      </c>
      <c r="L1026" s="26" t="n">
        <v>2.06</v>
      </c>
      <c r="M1026" s="27" t="n">
        <v>0.005</v>
      </c>
      <c r="N1026" s="27" t="n">
        <v>0.002</v>
      </c>
      <c r="O1026" s="26" t="n">
        <v>5</v>
      </c>
      <c r="P1026" s="26" t="n">
        <v>5</v>
      </c>
      <c r="Q1026" s="28" t="n">
        <v>100</v>
      </c>
      <c r="R1026" s="26" t="n">
        <v>30</v>
      </c>
      <c r="S1026" s="26" t="n">
        <v>0</v>
      </c>
      <c r="T1026" s="28" t="n">
        <v>1</v>
      </c>
      <c r="U1026" s="26" t="n">
        <v>0</v>
      </c>
      <c r="V1026" s="26" t="n">
        <v>250</v>
      </c>
      <c r="W1026" s="22" t="s">
        <v>19</v>
      </c>
      <c r="X1026" s="22" t="s">
        <v>373</v>
      </c>
    </row>
    <row r="1027" customFormat="false" ht="15" hidden="false" customHeight="false" outlineLevel="0" collapsed="false">
      <c r="A1027" s="22" t="s">
        <v>4321</v>
      </c>
      <c r="B1027" s="22" t="s">
        <v>19</v>
      </c>
      <c r="C1027" s="22" t="s">
        <v>4322</v>
      </c>
      <c r="D1027" s="22" t="s">
        <v>4323</v>
      </c>
      <c r="E1027" s="22" t="s">
        <v>4324</v>
      </c>
      <c r="F1027" s="22" t="n">
        <v>13</v>
      </c>
      <c r="G1027" s="26" t="n">
        <v>99.55</v>
      </c>
      <c r="H1027" s="26" t="n">
        <v>109.56</v>
      </c>
      <c r="I1027" s="26" t="n">
        <v>129.6</v>
      </c>
      <c r="J1027" s="26" t="n">
        <v>139.62</v>
      </c>
      <c r="K1027" s="26" t="n">
        <v>154.64</v>
      </c>
      <c r="L1027" s="26" t="n">
        <v>2.06</v>
      </c>
      <c r="M1027" s="27" t="n">
        <v>0.005</v>
      </c>
      <c r="N1027" s="27" t="n">
        <v>0.002</v>
      </c>
      <c r="O1027" s="26" t="n">
        <v>5</v>
      </c>
      <c r="P1027" s="26" t="n">
        <v>5</v>
      </c>
      <c r="Q1027" s="28" t="n">
        <v>100</v>
      </c>
      <c r="R1027" s="26" t="n">
        <v>30</v>
      </c>
      <c r="S1027" s="26" t="n">
        <v>0</v>
      </c>
      <c r="T1027" s="28" t="n">
        <v>1</v>
      </c>
      <c r="U1027" s="26" t="n">
        <v>0</v>
      </c>
      <c r="V1027" s="26" t="n">
        <v>250</v>
      </c>
      <c r="W1027" s="22" t="s">
        <v>19</v>
      </c>
      <c r="X1027" s="22" t="s">
        <v>373</v>
      </c>
    </row>
    <row r="1028" customFormat="false" ht="15" hidden="false" customHeight="false" outlineLevel="0" collapsed="false">
      <c r="A1028" s="22" t="s">
        <v>4325</v>
      </c>
      <c r="B1028" s="22" t="s">
        <v>19</v>
      </c>
      <c r="C1028" s="22" t="s">
        <v>4326</v>
      </c>
      <c r="D1028" s="22" t="s">
        <v>4327</v>
      </c>
      <c r="E1028" s="22" t="s">
        <v>4328</v>
      </c>
      <c r="F1028" s="22" t="n">
        <v>13</v>
      </c>
      <c r="G1028" s="26" t="n">
        <v>99.55</v>
      </c>
      <c r="H1028" s="26" t="n">
        <v>109.56</v>
      </c>
      <c r="I1028" s="26" t="n">
        <v>129.6</v>
      </c>
      <c r="J1028" s="26" t="n">
        <v>139.62</v>
      </c>
      <c r="K1028" s="26" t="n">
        <v>154.64</v>
      </c>
      <c r="L1028" s="26" t="n">
        <v>2.06</v>
      </c>
      <c r="M1028" s="27" t="n">
        <v>0.005</v>
      </c>
      <c r="N1028" s="27" t="n">
        <v>0.002</v>
      </c>
      <c r="O1028" s="26" t="n">
        <v>5</v>
      </c>
      <c r="P1028" s="26" t="n">
        <v>5</v>
      </c>
      <c r="Q1028" s="28" t="n">
        <v>100</v>
      </c>
      <c r="R1028" s="26" t="n">
        <v>30</v>
      </c>
      <c r="S1028" s="26" t="n">
        <v>0</v>
      </c>
      <c r="T1028" s="28" t="n">
        <v>1</v>
      </c>
      <c r="U1028" s="26" t="n">
        <v>0</v>
      </c>
      <c r="V1028" s="26" t="n">
        <v>250</v>
      </c>
      <c r="W1028" s="22" t="s">
        <v>19</v>
      </c>
      <c r="X1028" s="22" t="s">
        <v>373</v>
      </c>
    </row>
    <row r="1029" customFormat="false" ht="15" hidden="false" customHeight="false" outlineLevel="0" collapsed="false">
      <c r="A1029" s="22" t="s">
        <v>4329</v>
      </c>
      <c r="B1029" s="22" t="s">
        <v>19</v>
      </c>
      <c r="C1029" s="22" t="s">
        <v>4330</v>
      </c>
      <c r="D1029" s="22" t="s">
        <v>4331</v>
      </c>
      <c r="E1029" s="22" t="s">
        <v>4332</v>
      </c>
      <c r="F1029" s="22" t="n">
        <v>13</v>
      </c>
      <c r="G1029" s="26" t="n">
        <v>99.55</v>
      </c>
      <c r="H1029" s="26" t="n">
        <v>109.56</v>
      </c>
      <c r="I1029" s="26" t="n">
        <v>129.6</v>
      </c>
      <c r="J1029" s="26" t="n">
        <v>139.62</v>
      </c>
      <c r="K1029" s="26" t="n">
        <v>154.64</v>
      </c>
      <c r="L1029" s="26" t="n">
        <v>2.06</v>
      </c>
      <c r="M1029" s="27" t="n">
        <v>0.005</v>
      </c>
      <c r="N1029" s="27" t="n">
        <v>0.002</v>
      </c>
      <c r="O1029" s="26" t="n">
        <v>5</v>
      </c>
      <c r="P1029" s="26" t="n">
        <v>5</v>
      </c>
      <c r="Q1029" s="28" t="n">
        <v>100</v>
      </c>
      <c r="R1029" s="26" t="n">
        <v>30</v>
      </c>
      <c r="S1029" s="26" t="n">
        <v>0</v>
      </c>
      <c r="T1029" s="28" t="n">
        <v>1</v>
      </c>
      <c r="U1029" s="26" t="n">
        <v>0</v>
      </c>
      <c r="V1029" s="26" t="n">
        <v>250</v>
      </c>
      <c r="W1029" s="22" t="s">
        <v>19</v>
      </c>
      <c r="X1029" s="22" t="s">
        <v>373</v>
      </c>
    </row>
    <row r="1030" customFormat="false" ht="15" hidden="false" customHeight="false" outlineLevel="0" collapsed="false">
      <c r="A1030" s="22" t="s">
        <v>4333</v>
      </c>
      <c r="B1030" s="22" t="s">
        <v>19</v>
      </c>
      <c r="C1030" s="22" t="s">
        <v>4334</v>
      </c>
      <c r="D1030" s="22" t="s">
        <v>4335</v>
      </c>
      <c r="E1030" s="22" t="s">
        <v>4336</v>
      </c>
      <c r="F1030" s="22" t="n">
        <v>13</v>
      </c>
      <c r="G1030" s="26" t="n">
        <v>99.55</v>
      </c>
      <c r="H1030" s="26" t="n">
        <v>109.56</v>
      </c>
      <c r="I1030" s="26" t="n">
        <v>129.6</v>
      </c>
      <c r="J1030" s="26" t="n">
        <v>139.62</v>
      </c>
      <c r="K1030" s="26" t="n">
        <v>154.64</v>
      </c>
      <c r="L1030" s="26" t="n">
        <v>2.06</v>
      </c>
      <c r="M1030" s="27" t="n">
        <v>0.005</v>
      </c>
      <c r="N1030" s="27" t="n">
        <v>0.002</v>
      </c>
      <c r="O1030" s="26" t="n">
        <v>5</v>
      </c>
      <c r="P1030" s="26" t="n">
        <v>5</v>
      </c>
      <c r="Q1030" s="28" t="n">
        <v>100</v>
      </c>
      <c r="R1030" s="26" t="n">
        <v>30</v>
      </c>
      <c r="S1030" s="26" t="n">
        <v>0</v>
      </c>
      <c r="T1030" s="28" t="n">
        <v>1</v>
      </c>
      <c r="U1030" s="26" t="n">
        <v>0</v>
      </c>
      <c r="V1030" s="26" t="n">
        <v>0</v>
      </c>
      <c r="W1030" s="22" t="s">
        <v>19</v>
      </c>
      <c r="X1030" s="22" t="s">
        <v>373</v>
      </c>
    </row>
    <row r="1031" customFormat="false" ht="15" hidden="false" customHeight="false" outlineLevel="0" collapsed="false">
      <c r="A1031" s="22" t="s">
        <v>4337</v>
      </c>
      <c r="B1031" s="22" t="s">
        <v>19</v>
      </c>
      <c r="C1031" s="22" t="s">
        <v>4338</v>
      </c>
      <c r="D1031" s="22" t="s">
        <v>4339</v>
      </c>
      <c r="E1031" s="22" t="s">
        <v>4340</v>
      </c>
      <c r="F1031" s="22" t="n">
        <v>13</v>
      </c>
      <c r="G1031" s="26" t="n">
        <v>99.55</v>
      </c>
      <c r="H1031" s="26" t="n">
        <v>109.56</v>
      </c>
      <c r="I1031" s="26" t="n">
        <v>129.6</v>
      </c>
      <c r="J1031" s="26" t="n">
        <v>139.62</v>
      </c>
      <c r="K1031" s="26" t="n">
        <v>154.64</v>
      </c>
      <c r="L1031" s="26" t="n">
        <v>2.06</v>
      </c>
      <c r="M1031" s="27" t="n">
        <v>0.005</v>
      </c>
      <c r="N1031" s="27" t="n">
        <v>0.002</v>
      </c>
      <c r="O1031" s="26" t="n">
        <v>5</v>
      </c>
      <c r="P1031" s="26" t="n">
        <v>5</v>
      </c>
      <c r="Q1031" s="28" t="n">
        <v>100</v>
      </c>
      <c r="R1031" s="26" t="n">
        <v>30</v>
      </c>
      <c r="S1031" s="26" t="n">
        <v>0</v>
      </c>
      <c r="T1031" s="28" t="n">
        <v>1</v>
      </c>
      <c r="U1031" s="26" t="n">
        <v>0</v>
      </c>
      <c r="V1031" s="26" t="n">
        <v>0</v>
      </c>
      <c r="W1031" s="22" t="s">
        <v>19</v>
      </c>
      <c r="X1031" s="22" t="s">
        <v>373</v>
      </c>
    </row>
    <row r="1032" customFormat="false" ht="15" hidden="false" customHeight="false" outlineLevel="0" collapsed="false">
      <c r="A1032" s="22" t="s">
        <v>4341</v>
      </c>
      <c r="B1032" s="22" t="s">
        <v>19</v>
      </c>
      <c r="C1032" s="22" t="s">
        <v>4342</v>
      </c>
      <c r="D1032" s="22" t="s">
        <v>4343</v>
      </c>
      <c r="E1032" s="22" t="s">
        <v>4344</v>
      </c>
      <c r="F1032" s="22" t="n">
        <v>13</v>
      </c>
      <c r="G1032" s="26" t="n">
        <v>99.55</v>
      </c>
      <c r="H1032" s="26" t="n">
        <v>109.56</v>
      </c>
      <c r="I1032" s="26" t="n">
        <v>129.6</v>
      </c>
      <c r="J1032" s="26" t="n">
        <v>139.62</v>
      </c>
      <c r="K1032" s="26" t="n">
        <v>154.64</v>
      </c>
      <c r="L1032" s="26" t="n">
        <v>2.06</v>
      </c>
      <c r="M1032" s="27" t="n">
        <v>0.005</v>
      </c>
      <c r="N1032" s="27" t="n">
        <v>0.002</v>
      </c>
      <c r="O1032" s="26" t="n">
        <v>5</v>
      </c>
      <c r="P1032" s="26" t="n">
        <v>5</v>
      </c>
      <c r="Q1032" s="28" t="n">
        <v>100</v>
      </c>
      <c r="R1032" s="26" t="n">
        <v>30</v>
      </c>
      <c r="S1032" s="26" t="n">
        <v>0</v>
      </c>
      <c r="T1032" s="28" t="n">
        <v>1</v>
      </c>
      <c r="U1032" s="26" t="n">
        <v>0</v>
      </c>
      <c r="V1032" s="26" t="n">
        <v>0</v>
      </c>
      <c r="W1032" s="22" t="s">
        <v>19</v>
      </c>
      <c r="X1032" s="22" t="s">
        <v>373</v>
      </c>
    </row>
    <row r="1033" customFormat="false" ht="15" hidden="false" customHeight="false" outlineLevel="0" collapsed="false">
      <c r="A1033" s="22" t="s">
        <v>4345</v>
      </c>
      <c r="B1033" s="22" t="s">
        <v>19</v>
      </c>
      <c r="C1033" s="22" t="s">
        <v>4346</v>
      </c>
      <c r="D1033" s="22" t="s">
        <v>4347</v>
      </c>
      <c r="E1033" s="22" t="s">
        <v>4348</v>
      </c>
      <c r="F1033" s="22" t="n">
        <v>13</v>
      </c>
      <c r="G1033" s="26" t="n">
        <v>99.55</v>
      </c>
      <c r="H1033" s="26" t="n">
        <v>109.56</v>
      </c>
      <c r="I1033" s="26" t="n">
        <v>129.6</v>
      </c>
      <c r="J1033" s="26" t="n">
        <v>139.62</v>
      </c>
      <c r="K1033" s="26" t="n">
        <v>154.64</v>
      </c>
      <c r="L1033" s="26" t="n">
        <v>2.06</v>
      </c>
      <c r="M1033" s="27" t="n">
        <v>0.005</v>
      </c>
      <c r="N1033" s="27" t="n">
        <v>0.002</v>
      </c>
      <c r="O1033" s="26" t="n">
        <v>5</v>
      </c>
      <c r="P1033" s="26" t="n">
        <v>5</v>
      </c>
      <c r="Q1033" s="28" t="n">
        <v>100</v>
      </c>
      <c r="R1033" s="26" t="n">
        <v>30</v>
      </c>
      <c r="S1033" s="26" t="n">
        <v>0</v>
      </c>
      <c r="T1033" s="28" t="n">
        <v>1</v>
      </c>
      <c r="U1033" s="26" t="n">
        <v>0</v>
      </c>
      <c r="V1033" s="26" t="n">
        <v>250</v>
      </c>
      <c r="W1033" s="22" t="s">
        <v>19</v>
      </c>
      <c r="X1033" s="22" t="s">
        <v>373</v>
      </c>
    </row>
    <row r="1034" customFormat="false" ht="15" hidden="false" customHeight="false" outlineLevel="0" collapsed="false">
      <c r="A1034" s="22" t="s">
        <v>4349</v>
      </c>
      <c r="B1034" s="22" t="s">
        <v>19</v>
      </c>
      <c r="C1034" s="22" t="s">
        <v>4350</v>
      </c>
      <c r="D1034" s="22" t="s">
        <v>4351</v>
      </c>
      <c r="E1034" s="22" t="s">
        <v>4352</v>
      </c>
      <c r="F1034" s="22" t="n">
        <v>13</v>
      </c>
      <c r="G1034" s="26" t="n">
        <v>99.55</v>
      </c>
      <c r="H1034" s="26" t="n">
        <v>109.56</v>
      </c>
      <c r="I1034" s="26" t="n">
        <v>129.6</v>
      </c>
      <c r="J1034" s="26" t="n">
        <v>139.62</v>
      </c>
      <c r="K1034" s="26" t="n">
        <v>154.64</v>
      </c>
      <c r="L1034" s="26" t="n">
        <v>2.06</v>
      </c>
      <c r="M1034" s="27" t="n">
        <v>0.005</v>
      </c>
      <c r="N1034" s="27" t="n">
        <v>0.002</v>
      </c>
      <c r="O1034" s="26" t="n">
        <v>5</v>
      </c>
      <c r="P1034" s="26" t="n">
        <v>5</v>
      </c>
      <c r="Q1034" s="28" t="n">
        <v>100</v>
      </c>
      <c r="R1034" s="26" t="n">
        <v>30</v>
      </c>
      <c r="S1034" s="26" t="n">
        <v>0</v>
      </c>
      <c r="T1034" s="28" t="n">
        <v>1</v>
      </c>
      <c r="U1034" s="26" t="n">
        <v>0</v>
      </c>
      <c r="V1034" s="26" t="n">
        <v>0</v>
      </c>
      <c r="W1034" s="22" t="s">
        <v>19</v>
      </c>
      <c r="X1034" s="22" t="s">
        <v>373</v>
      </c>
    </row>
    <row r="1035" customFormat="false" ht="15" hidden="false" customHeight="false" outlineLevel="0" collapsed="false">
      <c r="A1035" s="22" t="s">
        <v>4353</v>
      </c>
      <c r="B1035" s="22" t="s">
        <v>19</v>
      </c>
      <c r="C1035" s="22" t="s">
        <v>4354</v>
      </c>
      <c r="D1035" s="22" t="s">
        <v>4355</v>
      </c>
      <c r="E1035" s="22" t="s">
        <v>4356</v>
      </c>
      <c r="F1035" s="22" t="n">
        <v>13</v>
      </c>
      <c r="G1035" s="26" t="n">
        <v>99.55</v>
      </c>
      <c r="H1035" s="26" t="n">
        <v>109.56</v>
      </c>
      <c r="I1035" s="26" t="n">
        <v>129.6</v>
      </c>
      <c r="J1035" s="26" t="n">
        <v>139.62</v>
      </c>
      <c r="K1035" s="26" t="n">
        <v>154.64</v>
      </c>
      <c r="L1035" s="26" t="n">
        <v>2.06</v>
      </c>
      <c r="M1035" s="27" t="n">
        <v>0.005</v>
      </c>
      <c r="N1035" s="27" t="n">
        <v>0.002</v>
      </c>
      <c r="O1035" s="26" t="n">
        <v>5</v>
      </c>
      <c r="P1035" s="26" t="n">
        <v>5</v>
      </c>
      <c r="Q1035" s="28" t="n">
        <v>100</v>
      </c>
      <c r="R1035" s="26" t="n">
        <v>30</v>
      </c>
      <c r="S1035" s="26" t="n">
        <v>0</v>
      </c>
      <c r="T1035" s="28" t="n">
        <v>1</v>
      </c>
      <c r="U1035" s="26" t="n">
        <v>0</v>
      </c>
      <c r="V1035" s="26" t="n">
        <v>250</v>
      </c>
      <c r="W1035" s="22" t="s">
        <v>19</v>
      </c>
      <c r="X1035" s="22" t="s">
        <v>373</v>
      </c>
    </row>
    <row r="1036" customFormat="false" ht="15" hidden="false" customHeight="false" outlineLevel="0" collapsed="false">
      <c r="A1036" s="22" t="s">
        <v>4357</v>
      </c>
      <c r="B1036" s="22" t="s">
        <v>19</v>
      </c>
      <c r="C1036" s="22" t="s">
        <v>4358</v>
      </c>
      <c r="D1036" s="22" t="s">
        <v>4359</v>
      </c>
      <c r="E1036" s="22" t="s">
        <v>4360</v>
      </c>
      <c r="F1036" s="22" t="n">
        <v>13</v>
      </c>
      <c r="G1036" s="26" t="n">
        <v>99.55</v>
      </c>
      <c r="H1036" s="26" t="n">
        <v>109.56</v>
      </c>
      <c r="I1036" s="26" t="n">
        <v>129.6</v>
      </c>
      <c r="J1036" s="26" t="n">
        <v>139.62</v>
      </c>
      <c r="K1036" s="26" t="n">
        <v>154.64</v>
      </c>
      <c r="L1036" s="26" t="n">
        <v>2.06</v>
      </c>
      <c r="M1036" s="27" t="n">
        <v>0.005</v>
      </c>
      <c r="N1036" s="27" t="n">
        <v>0.002</v>
      </c>
      <c r="O1036" s="26" t="n">
        <v>5</v>
      </c>
      <c r="P1036" s="26" t="n">
        <v>5</v>
      </c>
      <c r="Q1036" s="28" t="n">
        <v>100</v>
      </c>
      <c r="R1036" s="26" t="n">
        <v>30</v>
      </c>
      <c r="S1036" s="26" t="n">
        <v>0</v>
      </c>
      <c r="T1036" s="28" t="n">
        <v>1</v>
      </c>
      <c r="U1036" s="26" t="n">
        <v>0</v>
      </c>
      <c r="V1036" s="26" t="n">
        <v>0</v>
      </c>
      <c r="W1036" s="22" t="s">
        <v>19</v>
      </c>
      <c r="X1036" s="22" t="s">
        <v>373</v>
      </c>
    </row>
    <row r="1037" customFormat="false" ht="15" hidden="false" customHeight="false" outlineLevel="0" collapsed="false">
      <c r="A1037" s="22" t="s">
        <v>4361</v>
      </c>
      <c r="B1037" s="22" t="s">
        <v>19</v>
      </c>
      <c r="C1037" s="22" t="s">
        <v>4362</v>
      </c>
      <c r="D1037" s="22" t="s">
        <v>4363</v>
      </c>
      <c r="E1037" s="22" t="s">
        <v>4364</v>
      </c>
      <c r="F1037" s="22" t="n">
        <v>13</v>
      </c>
      <c r="G1037" s="26" t="n">
        <v>99.55</v>
      </c>
      <c r="H1037" s="26" t="n">
        <v>109.56</v>
      </c>
      <c r="I1037" s="26" t="n">
        <v>129.6</v>
      </c>
      <c r="J1037" s="26" t="n">
        <v>139.62</v>
      </c>
      <c r="K1037" s="26" t="n">
        <v>154.64</v>
      </c>
      <c r="L1037" s="26" t="n">
        <v>2.06</v>
      </c>
      <c r="M1037" s="27" t="n">
        <v>0.005</v>
      </c>
      <c r="N1037" s="27" t="n">
        <v>0.002</v>
      </c>
      <c r="O1037" s="26" t="n">
        <v>5</v>
      </c>
      <c r="P1037" s="26" t="n">
        <v>5</v>
      </c>
      <c r="Q1037" s="28" t="n">
        <v>100</v>
      </c>
      <c r="R1037" s="26" t="n">
        <v>30</v>
      </c>
      <c r="S1037" s="26" t="n">
        <v>0</v>
      </c>
      <c r="T1037" s="28" t="n">
        <v>1</v>
      </c>
      <c r="U1037" s="26" t="n">
        <v>0</v>
      </c>
      <c r="V1037" s="26" t="n">
        <v>0</v>
      </c>
      <c r="W1037" s="22" t="s">
        <v>19</v>
      </c>
      <c r="X1037" s="22" t="s">
        <v>373</v>
      </c>
    </row>
    <row r="1038" customFormat="false" ht="15" hidden="false" customHeight="false" outlineLevel="0" collapsed="false">
      <c r="A1038" s="22" t="s">
        <v>4365</v>
      </c>
      <c r="B1038" s="22" t="s">
        <v>19</v>
      </c>
      <c r="C1038" s="22" t="s">
        <v>4366</v>
      </c>
      <c r="D1038" s="22" t="s">
        <v>4367</v>
      </c>
      <c r="E1038" s="22" t="s">
        <v>4368</v>
      </c>
      <c r="F1038" s="22" t="n">
        <v>13</v>
      </c>
      <c r="G1038" s="26" t="n">
        <v>99.55</v>
      </c>
      <c r="H1038" s="26" t="n">
        <v>109.56</v>
      </c>
      <c r="I1038" s="26" t="n">
        <v>129.6</v>
      </c>
      <c r="J1038" s="26" t="n">
        <v>139.62</v>
      </c>
      <c r="K1038" s="26" t="n">
        <v>154.64</v>
      </c>
      <c r="L1038" s="26" t="n">
        <v>2.06</v>
      </c>
      <c r="M1038" s="27" t="n">
        <v>0.005</v>
      </c>
      <c r="N1038" s="27" t="n">
        <v>0.002</v>
      </c>
      <c r="O1038" s="26" t="n">
        <v>5</v>
      </c>
      <c r="P1038" s="26" t="n">
        <v>5</v>
      </c>
      <c r="Q1038" s="28" t="n">
        <v>100</v>
      </c>
      <c r="R1038" s="26" t="n">
        <v>30</v>
      </c>
      <c r="S1038" s="26" t="n">
        <v>0</v>
      </c>
      <c r="T1038" s="28" t="n">
        <v>1</v>
      </c>
      <c r="U1038" s="26" t="n">
        <v>0</v>
      </c>
      <c r="V1038" s="26" t="n">
        <v>0</v>
      </c>
      <c r="W1038" s="22" t="s">
        <v>19</v>
      </c>
      <c r="X1038" s="22" t="s">
        <v>373</v>
      </c>
    </row>
    <row r="1039" customFormat="false" ht="15" hidden="false" customHeight="false" outlineLevel="0" collapsed="false">
      <c r="A1039" s="22" t="s">
        <v>4369</v>
      </c>
      <c r="B1039" s="22" t="s">
        <v>19</v>
      </c>
      <c r="C1039" s="22" t="s">
        <v>4370</v>
      </c>
      <c r="D1039" s="22" t="s">
        <v>4371</v>
      </c>
      <c r="E1039" s="22" t="s">
        <v>4372</v>
      </c>
      <c r="F1039" s="22" t="n">
        <v>13</v>
      </c>
      <c r="G1039" s="26" t="n">
        <v>99.55</v>
      </c>
      <c r="H1039" s="26" t="n">
        <v>109.56</v>
      </c>
      <c r="I1039" s="26" t="n">
        <v>129.6</v>
      </c>
      <c r="J1039" s="26" t="n">
        <v>139.62</v>
      </c>
      <c r="K1039" s="26" t="n">
        <v>154.64</v>
      </c>
      <c r="L1039" s="26" t="n">
        <v>2.06</v>
      </c>
      <c r="M1039" s="27" t="n">
        <v>0.005</v>
      </c>
      <c r="N1039" s="27" t="n">
        <v>0.002</v>
      </c>
      <c r="O1039" s="26" t="n">
        <v>5</v>
      </c>
      <c r="P1039" s="26" t="n">
        <v>5</v>
      </c>
      <c r="Q1039" s="28" t="n">
        <v>100</v>
      </c>
      <c r="R1039" s="26" t="n">
        <v>30</v>
      </c>
      <c r="S1039" s="26" t="n">
        <v>0</v>
      </c>
      <c r="T1039" s="28" t="n">
        <v>1</v>
      </c>
      <c r="U1039" s="26" t="n">
        <v>0</v>
      </c>
      <c r="V1039" s="26" t="n">
        <v>250</v>
      </c>
      <c r="W1039" s="22" t="s">
        <v>19</v>
      </c>
      <c r="X1039" s="22" t="s">
        <v>373</v>
      </c>
    </row>
    <row r="1040" customFormat="false" ht="15" hidden="false" customHeight="false" outlineLevel="0" collapsed="false">
      <c r="A1040" s="22" t="s">
        <v>4373</v>
      </c>
      <c r="B1040" s="22" t="s">
        <v>19</v>
      </c>
      <c r="C1040" s="22" t="s">
        <v>4374</v>
      </c>
      <c r="D1040" s="22" t="s">
        <v>4375</v>
      </c>
      <c r="E1040" s="22" t="s">
        <v>4376</v>
      </c>
      <c r="F1040" s="22" t="n">
        <v>13</v>
      </c>
      <c r="G1040" s="26" t="n">
        <v>99.55</v>
      </c>
      <c r="H1040" s="26" t="n">
        <v>109.56</v>
      </c>
      <c r="I1040" s="26" t="n">
        <v>129.6</v>
      </c>
      <c r="J1040" s="26" t="n">
        <v>139.62</v>
      </c>
      <c r="K1040" s="26" t="n">
        <v>154.64</v>
      </c>
      <c r="L1040" s="26" t="n">
        <v>2.06</v>
      </c>
      <c r="M1040" s="27" t="n">
        <v>0.005</v>
      </c>
      <c r="N1040" s="27" t="n">
        <v>0.002</v>
      </c>
      <c r="O1040" s="26" t="n">
        <v>5</v>
      </c>
      <c r="P1040" s="26" t="n">
        <v>5</v>
      </c>
      <c r="Q1040" s="28" t="n">
        <v>100</v>
      </c>
      <c r="R1040" s="26" t="n">
        <v>30</v>
      </c>
      <c r="S1040" s="26" t="n">
        <v>0</v>
      </c>
      <c r="T1040" s="28" t="n">
        <v>1</v>
      </c>
      <c r="U1040" s="26" t="n">
        <v>0</v>
      </c>
      <c r="V1040" s="26" t="n">
        <v>250</v>
      </c>
      <c r="W1040" s="22" t="s">
        <v>19</v>
      </c>
      <c r="X1040" s="22" t="s">
        <v>373</v>
      </c>
    </row>
    <row r="1041" customFormat="false" ht="15" hidden="false" customHeight="false" outlineLevel="0" collapsed="false">
      <c r="A1041" s="22" t="s">
        <v>4377</v>
      </c>
      <c r="B1041" s="22" t="s">
        <v>19</v>
      </c>
      <c r="C1041" s="22" t="s">
        <v>4378</v>
      </c>
      <c r="D1041" s="22" t="s">
        <v>4379</v>
      </c>
      <c r="E1041" s="22" t="s">
        <v>4380</v>
      </c>
      <c r="F1041" s="22" t="n">
        <v>13</v>
      </c>
      <c r="G1041" s="26" t="n">
        <v>99.55</v>
      </c>
      <c r="H1041" s="26" t="n">
        <v>109.56</v>
      </c>
      <c r="I1041" s="26" t="n">
        <v>129.6</v>
      </c>
      <c r="J1041" s="26" t="n">
        <v>139.62</v>
      </c>
      <c r="K1041" s="26" t="n">
        <v>154.64</v>
      </c>
      <c r="L1041" s="26" t="n">
        <v>2.06</v>
      </c>
      <c r="M1041" s="27" t="n">
        <v>0.005</v>
      </c>
      <c r="N1041" s="27" t="n">
        <v>0.002</v>
      </c>
      <c r="O1041" s="26" t="n">
        <v>5</v>
      </c>
      <c r="P1041" s="26" t="n">
        <v>5</v>
      </c>
      <c r="Q1041" s="28" t="n">
        <v>100</v>
      </c>
      <c r="R1041" s="26" t="n">
        <v>30</v>
      </c>
      <c r="S1041" s="26" t="n">
        <v>0</v>
      </c>
      <c r="T1041" s="28" t="n">
        <v>1</v>
      </c>
      <c r="U1041" s="26" t="n">
        <v>0</v>
      </c>
      <c r="V1041" s="26" t="n">
        <v>250</v>
      </c>
      <c r="W1041" s="22" t="s">
        <v>19</v>
      </c>
      <c r="X1041" s="22" t="s">
        <v>373</v>
      </c>
    </row>
    <row r="1042" customFormat="false" ht="15" hidden="false" customHeight="false" outlineLevel="0" collapsed="false">
      <c r="A1042" s="22" t="s">
        <v>4381</v>
      </c>
      <c r="B1042" s="22" t="s">
        <v>19</v>
      </c>
      <c r="C1042" s="22" t="s">
        <v>4382</v>
      </c>
      <c r="D1042" s="22" t="s">
        <v>4383</v>
      </c>
      <c r="E1042" s="22" t="s">
        <v>4384</v>
      </c>
      <c r="F1042" s="22" t="n">
        <v>13</v>
      </c>
      <c r="G1042" s="26" t="n">
        <v>99.55</v>
      </c>
      <c r="H1042" s="26" t="n">
        <v>109.56</v>
      </c>
      <c r="I1042" s="26" t="n">
        <v>129.6</v>
      </c>
      <c r="J1042" s="26" t="n">
        <v>139.62</v>
      </c>
      <c r="K1042" s="26" t="n">
        <v>154.64</v>
      </c>
      <c r="L1042" s="26" t="n">
        <v>2.06</v>
      </c>
      <c r="M1042" s="27" t="n">
        <v>0.005</v>
      </c>
      <c r="N1042" s="27" t="n">
        <v>0.002</v>
      </c>
      <c r="O1042" s="26" t="n">
        <v>5</v>
      </c>
      <c r="P1042" s="26" t="n">
        <v>5</v>
      </c>
      <c r="Q1042" s="28" t="n">
        <v>100</v>
      </c>
      <c r="R1042" s="26" t="n">
        <v>30</v>
      </c>
      <c r="S1042" s="26" t="n">
        <v>0</v>
      </c>
      <c r="T1042" s="28" t="n">
        <v>1</v>
      </c>
      <c r="U1042" s="26" t="n">
        <v>0</v>
      </c>
      <c r="V1042" s="26" t="n">
        <v>250</v>
      </c>
      <c r="W1042" s="22" t="s">
        <v>19</v>
      </c>
      <c r="X1042" s="22" t="s">
        <v>373</v>
      </c>
    </row>
    <row r="1043" customFormat="false" ht="15" hidden="false" customHeight="false" outlineLevel="0" collapsed="false">
      <c r="A1043" s="22" t="s">
        <v>4385</v>
      </c>
      <c r="B1043" s="22" t="s">
        <v>19</v>
      </c>
      <c r="C1043" s="22" t="s">
        <v>4386</v>
      </c>
      <c r="D1043" s="22" t="s">
        <v>4387</v>
      </c>
      <c r="E1043" s="22" t="s">
        <v>4388</v>
      </c>
      <c r="F1043" s="22" t="n">
        <v>13</v>
      </c>
      <c r="G1043" s="26" t="n">
        <v>99.55</v>
      </c>
      <c r="H1043" s="26" t="n">
        <v>109.56</v>
      </c>
      <c r="I1043" s="26" t="n">
        <v>129.6</v>
      </c>
      <c r="J1043" s="26" t="n">
        <v>139.62</v>
      </c>
      <c r="K1043" s="26" t="n">
        <v>154.64</v>
      </c>
      <c r="L1043" s="26" t="n">
        <v>2.06</v>
      </c>
      <c r="M1043" s="27" t="n">
        <v>0.005</v>
      </c>
      <c r="N1043" s="27" t="n">
        <v>0.002</v>
      </c>
      <c r="O1043" s="26" t="n">
        <v>5</v>
      </c>
      <c r="P1043" s="26" t="n">
        <v>5</v>
      </c>
      <c r="Q1043" s="28" t="n">
        <v>100</v>
      </c>
      <c r="R1043" s="26" t="n">
        <v>30</v>
      </c>
      <c r="S1043" s="26" t="n">
        <v>0</v>
      </c>
      <c r="T1043" s="28" t="n">
        <v>1</v>
      </c>
      <c r="U1043" s="26" t="n">
        <v>0</v>
      </c>
      <c r="V1043" s="26" t="n">
        <v>0</v>
      </c>
      <c r="W1043" s="22" t="s">
        <v>19</v>
      </c>
      <c r="X1043" s="22" t="s">
        <v>373</v>
      </c>
    </row>
    <row r="1044" customFormat="false" ht="15" hidden="false" customHeight="false" outlineLevel="0" collapsed="false">
      <c r="A1044" s="22" t="s">
        <v>4389</v>
      </c>
      <c r="B1044" s="22" t="s">
        <v>19</v>
      </c>
      <c r="C1044" s="22" t="s">
        <v>4390</v>
      </c>
      <c r="D1044" s="22" t="s">
        <v>4391</v>
      </c>
      <c r="E1044" s="22" t="s">
        <v>4392</v>
      </c>
      <c r="F1044" s="22" t="n">
        <v>13</v>
      </c>
      <c r="G1044" s="26" t="n">
        <v>99.55</v>
      </c>
      <c r="H1044" s="26" t="n">
        <v>109.56</v>
      </c>
      <c r="I1044" s="26" t="n">
        <v>129.6</v>
      </c>
      <c r="J1044" s="26" t="n">
        <v>139.62</v>
      </c>
      <c r="K1044" s="26" t="n">
        <v>154.64</v>
      </c>
      <c r="L1044" s="26" t="n">
        <v>2.06</v>
      </c>
      <c r="M1044" s="27" t="n">
        <v>0.005</v>
      </c>
      <c r="N1044" s="27" t="n">
        <v>0.002</v>
      </c>
      <c r="O1044" s="26" t="n">
        <v>5</v>
      </c>
      <c r="P1044" s="26" t="n">
        <v>5</v>
      </c>
      <c r="Q1044" s="28" t="n">
        <v>100</v>
      </c>
      <c r="R1044" s="26" t="n">
        <v>30</v>
      </c>
      <c r="S1044" s="26" t="n">
        <v>0</v>
      </c>
      <c r="T1044" s="28" t="n">
        <v>1</v>
      </c>
      <c r="U1044" s="26" t="n">
        <v>0</v>
      </c>
      <c r="V1044" s="26" t="n">
        <v>250</v>
      </c>
      <c r="W1044" s="22" t="s">
        <v>19</v>
      </c>
      <c r="X1044" s="22" t="s">
        <v>373</v>
      </c>
    </row>
    <row r="1045" customFormat="false" ht="15" hidden="false" customHeight="false" outlineLevel="0" collapsed="false">
      <c r="A1045" s="22" t="s">
        <v>4393</v>
      </c>
      <c r="B1045" s="22" t="s">
        <v>19</v>
      </c>
      <c r="C1045" s="22" t="s">
        <v>4394</v>
      </c>
      <c r="D1045" s="22" t="s">
        <v>4395</v>
      </c>
      <c r="E1045" s="22" t="s">
        <v>4396</v>
      </c>
      <c r="F1045" s="22" t="n">
        <v>13</v>
      </c>
      <c r="G1045" s="26" t="n">
        <v>99.55</v>
      </c>
      <c r="H1045" s="26" t="n">
        <v>109.56</v>
      </c>
      <c r="I1045" s="26" t="n">
        <v>129.6</v>
      </c>
      <c r="J1045" s="26" t="n">
        <v>139.62</v>
      </c>
      <c r="K1045" s="26" t="n">
        <v>154.64</v>
      </c>
      <c r="L1045" s="26" t="n">
        <v>2.06</v>
      </c>
      <c r="M1045" s="27" t="n">
        <v>0.005</v>
      </c>
      <c r="N1045" s="27" t="n">
        <v>0.002</v>
      </c>
      <c r="O1045" s="26" t="n">
        <v>5</v>
      </c>
      <c r="P1045" s="26" t="n">
        <v>5</v>
      </c>
      <c r="Q1045" s="28" t="n">
        <v>100</v>
      </c>
      <c r="R1045" s="26" t="n">
        <v>30</v>
      </c>
      <c r="S1045" s="26" t="n">
        <v>0</v>
      </c>
      <c r="T1045" s="28" t="n">
        <v>1</v>
      </c>
      <c r="U1045" s="26" t="n">
        <v>0</v>
      </c>
      <c r="V1045" s="26" t="n">
        <v>250</v>
      </c>
      <c r="W1045" s="22" t="s">
        <v>19</v>
      </c>
      <c r="X1045" s="22" t="s">
        <v>373</v>
      </c>
    </row>
    <row r="1046" customFormat="false" ht="15" hidden="false" customHeight="false" outlineLevel="0" collapsed="false">
      <c r="A1046" s="22" t="s">
        <v>4397</v>
      </c>
      <c r="B1046" s="22" t="s">
        <v>19</v>
      </c>
      <c r="C1046" s="22" t="s">
        <v>4398</v>
      </c>
      <c r="D1046" s="22" t="s">
        <v>4399</v>
      </c>
      <c r="E1046" s="22" t="s">
        <v>4400</v>
      </c>
      <c r="F1046" s="22" t="n">
        <v>13</v>
      </c>
      <c r="G1046" s="26" t="n">
        <v>99.55</v>
      </c>
      <c r="H1046" s="26" t="n">
        <v>109.56</v>
      </c>
      <c r="I1046" s="26" t="n">
        <v>129.6</v>
      </c>
      <c r="J1046" s="26" t="n">
        <v>139.62</v>
      </c>
      <c r="K1046" s="26" t="n">
        <v>154.64</v>
      </c>
      <c r="L1046" s="26" t="n">
        <v>2.06</v>
      </c>
      <c r="M1046" s="27" t="n">
        <v>0.005</v>
      </c>
      <c r="N1046" s="27" t="n">
        <v>0.002</v>
      </c>
      <c r="O1046" s="26" t="n">
        <v>5</v>
      </c>
      <c r="P1046" s="26" t="n">
        <v>5</v>
      </c>
      <c r="Q1046" s="28" t="n">
        <v>100</v>
      </c>
      <c r="R1046" s="26" t="n">
        <v>30</v>
      </c>
      <c r="S1046" s="26" t="n">
        <v>0</v>
      </c>
      <c r="T1046" s="28" t="n">
        <v>1</v>
      </c>
      <c r="U1046" s="26" t="n">
        <v>0</v>
      </c>
      <c r="V1046" s="26" t="n">
        <v>250</v>
      </c>
      <c r="W1046" s="22" t="s">
        <v>19</v>
      </c>
      <c r="X1046" s="22" t="s">
        <v>373</v>
      </c>
    </row>
    <row r="1047" customFormat="false" ht="15" hidden="false" customHeight="false" outlineLevel="0" collapsed="false">
      <c r="A1047" s="22" t="s">
        <v>4401</v>
      </c>
      <c r="B1047" s="22" t="s">
        <v>19</v>
      </c>
      <c r="C1047" s="22" t="s">
        <v>4402</v>
      </c>
      <c r="D1047" s="22" t="s">
        <v>4403</v>
      </c>
      <c r="E1047" s="22" t="s">
        <v>4404</v>
      </c>
      <c r="F1047" s="22" t="n">
        <v>13</v>
      </c>
      <c r="G1047" s="26" t="n">
        <v>99.55</v>
      </c>
      <c r="H1047" s="26" t="n">
        <v>109.56</v>
      </c>
      <c r="I1047" s="26" t="n">
        <v>129.6</v>
      </c>
      <c r="J1047" s="26" t="n">
        <v>139.62</v>
      </c>
      <c r="K1047" s="26" t="n">
        <v>154.64</v>
      </c>
      <c r="L1047" s="26" t="n">
        <v>2.06</v>
      </c>
      <c r="M1047" s="27" t="n">
        <v>0.005</v>
      </c>
      <c r="N1047" s="27" t="n">
        <v>0.002</v>
      </c>
      <c r="O1047" s="26" t="n">
        <v>5</v>
      </c>
      <c r="P1047" s="26" t="n">
        <v>5</v>
      </c>
      <c r="Q1047" s="28" t="n">
        <v>100</v>
      </c>
      <c r="R1047" s="26" t="n">
        <v>30</v>
      </c>
      <c r="S1047" s="26" t="n">
        <v>0</v>
      </c>
      <c r="T1047" s="28" t="n">
        <v>1</v>
      </c>
      <c r="U1047" s="26" t="n">
        <v>0</v>
      </c>
      <c r="V1047" s="26" t="n">
        <v>0</v>
      </c>
      <c r="W1047" s="22" t="s">
        <v>19</v>
      </c>
      <c r="X1047" s="22" t="s">
        <v>373</v>
      </c>
    </row>
    <row r="1048" customFormat="false" ht="15" hidden="false" customHeight="false" outlineLevel="0" collapsed="false">
      <c r="A1048" s="22" t="s">
        <v>4405</v>
      </c>
      <c r="B1048" s="22" t="s">
        <v>19</v>
      </c>
      <c r="C1048" s="22" t="s">
        <v>4406</v>
      </c>
      <c r="D1048" s="22" t="s">
        <v>4407</v>
      </c>
      <c r="E1048" s="22" t="s">
        <v>4408</v>
      </c>
      <c r="F1048" s="22" t="n">
        <v>13</v>
      </c>
      <c r="G1048" s="26" t="n">
        <v>99.55</v>
      </c>
      <c r="H1048" s="26" t="n">
        <v>109.56</v>
      </c>
      <c r="I1048" s="26" t="n">
        <v>129.6</v>
      </c>
      <c r="J1048" s="26" t="n">
        <v>139.62</v>
      </c>
      <c r="K1048" s="26" t="n">
        <v>154.64</v>
      </c>
      <c r="L1048" s="26" t="n">
        <v>2.06</v>
      </c>
      <c r="M1048" s="27" t="n">
        <v>0.005</v>
      </c>
      <c r="N1048" s="27" t="n">
        <v>0.002</v>
      </c>
      <c r="O1048" s="26" t="n">
        <v>5</v>
      </c>
      <c r="P1048" s="26" t="n">
        <v>5</v>
      </c>
      <c r="Q1048" s="28" t="n">
        <v>100</v>
      </c>
      <c r="R1048" s="26" t="n">
        <v>30</v>
      </c>
      <c r="S1048" s="26" t="n">
        <v>0</v>
      </c>
      <c r="T1048" s="28" t="n">
        <v>1</v>
      </c>
      <c r="U1048" s="26" t="n">
        <v>0</v>
      </c>
      <c r="V1048" s="26" t="n">
        <v>250</v>
      </c>
      <c r="W1048" s="22" t="s">
        <v>19</v>
      </c>
      <c r="X1048" s="22" t="s">
        <v>373</v>
      </c>
    </row>
    <row r="1049" customFormat="false" ht="15" hidden="false" customHeight="false" outlineLevel="0" collapsed="false">
      <c r="A1049" s="22" t="s">
        <v>4409</v>
      </c>
      <c r="B1049" s="22" t="s">
        <v>19</v>
      </c>
      <c r="C1049" s="22" t="s">
        <v>4410</v>
      </c>
      <c r="D1049" s="22" t="s">
        <v>4411</v>
      </c>
      <c r="E1049" s="22" t="s">
        <v>4412</v>
      </c>
      <c r="F1049" s="22" t="n">
        <v>13</v>
      </c>
      <c r="G1049" s="26" t="n">
        <v>99.55</v>
      </c>
      <c r="H1049" s="26" t="n">
        <v>109.56</v>
      </c>
      <c r="I1049" s="26" t="n">
        <v>129.6</v>
      </c>
      <c r="J1049" s="26" t="n">
        <v>139.62</v>
      </c>
      <c r="K1049" s="26" t="n">
        <v>154.64</v>
      </c>
      <c r="L1049" s="26" t="n">
        <v>2.06</v>
      </c>
      <c r="M1049" s="27" t="n">
        <v>0.005</v>
      </c>
      <c r="N1049" s="27" t="n">
        <v>0.002</v>
      </c>
      <c r="O1049" s="26" t="n">
        <v>5</v>
      </c>
      <c r="P1049" s="26" t="n">
        <v>5</v>
      </c>
      <c r="Q1049" s="28" t="n">
        <v>100</v>
      </c>
      <c r="R1049" s="26" t="n">
        <v>30</v>
      </c>
      <c r="S1049" s="26" t="n">
        <v>0</v>
      </c>
      <c r="T1049" s="28" t="n">
        <v>1</v>
      </c>
      <c r="U1049" s="26" t="n">
        <v>0</v>
      </c>
      <c r="V1049" s="26" t="n">
        <v>250</v>
      </c>
      <c r="W1049" s="22" t="s">
        <v>19</v>
      </c>
      <c r="X1049" s="22" t="s">
        <v>373</v>
      </c>
    </row>
    <row r="1050" customFormat="false" ht="15" hidden="false" customHeight="false" outlineLevel="0" collapsed="false">
      <c r="A1050" s="22" t="s">
        <v>4413</v>
      </c>
      <c r="B1050" s="22" t="s">
        <v>19</v>
      </c>
      <c r="C1050" s="22" t="s">
        <v>4414</v>
      </c>
      <c r="D1050" s="22" t="s">
        <v>4415</v>
      </c>
      <c r="E1050" s="22" t="s">
        <v>4416</v>
      </c>
      <c r="F1050" s="22" t="n">
        <v>13</v>
      </c>
      <c r="G1050" s="26" t="n">
        <v>99.55</v>
      </c>
      <c r="H1050" s="26" t="n">
        <v>109.56</v>
      </c>
      <c r="I1050" s="26" t="n">
        <v>129.6</v>
      </c>
      <c r="J1050" s="26" t="n">
        <v>139.62</v>
      </c>
      <c r="K1050" s="26" t="n">
        <v>154.64</v>
      </c>
      <c r="L1050" s="26" t="n">
        <v>2.06</v>
      </c>
      <c r="M1050" s="27" t="n">
        <v>0.005</v>
      </c>
      <c r="N1050" s="27" t="n">
        <v>0.002</v>
      </c>
      <c r="O1050" s="26" t="n">
        <v>5</v>
      </c>
      <c r="P1050" s="26" t="n">
        <v>5</v>
      </c>
      <c r="Q1050" s="28" t="n">
        <v>100</v>
      </c>
      <c r="R1050" s="26" t="n">
        <v>30</v>
      </c>
      <c r="S1050" s="26" t="n">
        <v>0</v>
      </c>
      <c r="T1050" s="28" t="n">
        <v>1</v>
      </c>
      <c r="U1050" s="26" t="n">
        <v>0</v>
      </c>
      <c r="V1050" s="26" t="n">
        <v>0</v>
      </c>
      <c r="W1050" s="22" t="s">
        <v>19</v>
      </c>
      <c r="X1050" s="22" t="s">
        <v>373</v>
      </c>
    </row>
    <row r="1051" customFormat="false" ht="15" hidden="false" customHeight="false" outlineLevel="0" collapsed="false">
      <c r="A1051" s="22" t="s">
        <v>4417</v>
      </c>
      <c r="B1051" s="22" t="s">
        <v>19</v>
      </c>
      <c r="C1051" s="22" t="s">
        <v>4418</v>
      </c>
      <c r="D1051" s="22" t="s">
        <v>4419</v>
      </c>
      <c r="E1051" s="22" t="s">
        <v>4420</v>
      </c>
      <c r="F1051" s="22" t="n">
        <v>13</v>
      </c>
      <c r="G1051" s="26" t="n">
        <v>99.55</v>
      </c>
      <c r="H1051" s="26" t="n">
        <v>109.56</v>
      </c>
      <c r="I1051" s="26" t="n">
        <v>129.6</v>
      </c>
      <c r="J1051" s="26" t="n">
        <v>139.62</v>
      </c>
      <c r="K1051" s="26" t="n">
        <v>154.64</v>
      </c>
      <c r="L1051" s="26" t="n">
        <v>2.06</v>
      </c>
      <c r="M1051" s="27" t="n">
        <v>0.005</v>
      </c>
      <c r="N1051" s="27" t="n">
        <v>0.002</v>
      </c>
      <c r="O1051" s="26" t="n">
        <v>5</v>
      </c>
      <c r="P1051" s="26" t="n">
        <v>5</v>
      </c>
      <c r="Q1051" s="28" t="n">
        <v>100</v>
      </c>
      <c r="R1051" s="26" t="n">
        <v>30</v>
      </c>
      <c r="S1051" s="26" t="n">
        <v>0</v>
      </c>
      <c r="T1051" s="28" t="n">
        <v>1</v>
      </c>
      <c r="U1051" s="26" t="n">
        <v>0</v>
      </c>
      <c r="V1051" s="26" t="n">
        <v>0</v>
      </c>
      <c r="W1051" s="22" t="s">
        <v>19</v>
      </c>
      <c r="X1051" s="22" t="s">
        <v>373</v>
      </c>
    </row>
    <row r="1052" customFormat="false" ht="15" hidden="false" customHeight="false" outlineLevel="0" collapsed="false">
      <c r="A1052" s="22" t="s">
        <v>4421</v>
      </c>
      <c r="B1052" s="22" t="s">
        <v>19</v>
      </c>
      <c r="C1052" s="22" t="s">
        <v>4422</v>
      </c>
      <c r="D1052" s="22" t="s">
        <v>4423</v>
      </c>
      <c r="E1052" s="22" t="s">
        <v>4424</v>
      </c>
      <c r="F1052" s="22" t="n">
        <v>13</v>
      </c>
      <c r="G1052" s="26" t="n">
        <v>99.55</v>
      </c>
      <c r="H1052" s="26" t="n">
        <v>109.56</v>
      </c>
      <c r="I1052" s="26" t="n">
        <v>129.6</v>
      </c>
      <c r="J1052" s="26" t="n">
        <v>139.62</v>
      </c>
      <c r="K1052" s="26" t="n">
        <v>154.64</v>
      </c>
      <c r="L1052" s="26" t="n">
        <v>2.06</v>
      </c>
      <c r="M1052" s="27" t="n">
        <v>0.005</v>
      </c>
      <c r="N1052" s="27" t="n">
        <v>0.002</v>
      </c>
      <c r="O1052" s="26" t="n">
        <v>5</v>
      </c>
      <c r="P1052" s="26" t="n">
        <v>5</v>
      </c>
      <c r="Q1052" s="28" t="n">
        <v>100</v>
      </c>
      <c r="R1052" s="26" t="n">
        <v>30</v>
      </c>
      <c r="S1052" s="26" t="n">
        <v>0</v>
      </c>
      <c r="T1052" s="28" t="n">
        <v>1</v>
      </c>
      <c r="U1052" s="26" t="n">
        <v>0</v>
      </c>
      <c r="V1052" s="26" t="n">
        <v>250</v>
      </c>
      <c r="W1052" s="22" t="s">
        <v>19</v>
      </c>
      <c r="X1052" s="22" t="s">
        <v>373</v>
      </c>
    </row>
    <row r="1053" customFormat="false" ht="15" hidden="false" customHeight="false" outlineLevel="0" collapsed="false">
      <c r="A1053" s="22" t="s">
        <v>4425</v>
      </c>
      <c r="B1053" s="22" t="s">
        <v>19</v>
      </c>
      <c r="C1053" s="22" t="s">
        <v>4426</v>
      </c>
      <c r="D1053" s="22" t="s">
        <v>4427</v>
      </c>
      <c r="E1053" s="22" t="s">
        <v>4428</v>
      </c>
      <c r="F1053" s="22" t="n">
        <v>13</v>
      </c>
      <c r="G1053" s="26" t="n">
        <v>99.55</v>
      </c>
      <c r="H1053" s="26" t="n">
        <v>109.56</v>
      </c>
      <c r="I1053" s="26" t="n">
        <v>129.6</v>
      </c>
      <c r="J1053" s="26" t="n">
        <v>139.62</v>
      </c>
      <c r="K1053" s="26" t="n">
        <v>154.64</v>
      </c>
      <c r="L1053" s="26" t="n">
        <v>2.06</v>
      </c>
      <c r="M1053" s="27" t="n">
        <v>0.005</v>
      </c>
      <c r="N1053" s="27" t="n">
        <v>0.002</v>
      </c>
      <c r="O1053" s="26" t="n">
        <v>5</v>
      </c>
      <c r="P1053" s="26" t="n">
        <v>5</v>
      </c>
      <c r="Q1053" s="28" t="n">
        <v>100</v>
      </c>
      <c r="R1053" s="26" t="n">
        <v>30</v>
      </c>
      <c r="S1053" s="26" t="n">
        <v>0</v>
      </c>
      <c r="T1053" s="28" t="n">
        <v>1</v>
      </c>
      <c r="U1053" s="26" t="n">
        <v>0</v>
      </c>
      <c r="V1053" s="26" t="n">
        <v>0</v>
      </c>
      <c r="W1053" s="22" t="s">
        <v>19</v>
      </c>
      <c r="X1053" s="22" t="s">
        <v>373</v>
      </c>
    </row>
    <row r="1054" customFormat="false" ht="15" hidden="false" customHeight="false" outlineLevel="0" collapsed="false">
      <c r="A1054" s="22" t="s">
        <v>4429</v>
      </c>
      <c r="B1054" s="22" t="s">
        <v>19</v>
      </c>
      <c r="C1054" s="22" t="s">
        <v>4430</v>
      </c>
      <c r="D1054" s="22" t="s">
        <v>4431</v>
      </c>
      <c r="E1054" s="22" t="s">
        <v>4432</v>
      </c>
      <c r="F1054" s="22" t="n">
        <v>13</v>
      </c>
      <c r="G1054" s="26" t="n">
        <v>99.55</v>
      </c>
      <c r="H1054" s="26" t="n">
        <v>109.56</v>
      </c>
      <c r="I1054" s="26" t="n">
        <v>129.6</v>
      </c>
      <c r="J1054" s="26" t="n">
        <v>139.62</v>
      </c>
      <c r="K1054" s="26" t="n">
        <v>154.64</v>
      </c>
      <c r="L1054" s="26" t="n">
        <v>2.06</v>
      </c>
      <c r="M1054" s="27" t="n">
        <v>0.005</v>
      </c>
      <c r="N1054" s="27" t="n">
        <v>0.002</v>
      </c>
      <c r="O1054" s="26" t="n">
        <v>5</v>
      </c>
      <c r="P1054" s="26" t="n">
        <v>5</v>
      </c>
      <c r="Q1054" s="28" t="n">
        <v>100</v>
      </c>
      <c r="R1054" s="26" t="n">
        <v>30</v>
      </c>
      <c r="S1054" s="26" t="n">
        <v>0</v>
      </c>
      <c r="T1054" s="28" t="n">
        <v>1</v>
      </c>
      <c r="U1054" s="26" t="n">
        <v>0</v>
      </c>
      <c r="V1054" s="26" t="n">
        <v>250</v>
      </c>
      <c r="W1054" s="22" t="s">
        <v>19</v>
      </c>
      <c r="X1054" s="22" t="s">
        <v>373</v>
      </c>
    </row>
    <row r="1055" customFormat="false" ht="15" hidden="false" customHeight="false" outlineLevel="0" collapsed="false">
      <c r="A1055" s="22" t="s">
        <v>4433</v>
      </c>
      <c r="B1055" s="22" t="s">
        <v>19</v>
      </c>
      <c r="C1055" s="22" t="s">
        <v>4434</v>
      </c>
      <c r="D1055" s="22" t="s">
        <v>4435</v>
      </c>
      <c r="E1055" s="22" t="s">
        <v>4436</v>
      </c>
      <c r="F1055" s="22" t="n">
        <v>13</v>
      </c>
      <c r="G1055" s="26" t="n">
        <v>99.55</v>
      </c>
      <c r="H1055" s="26" t="n">
        <v>109.56</v>
      </c>
      <c r="I1055" s="26" t="n">
        <v>129.6</v>
      </c>
      <c r="J1055" s="26" t="n">
        <v>139.62</v>
      </c>
      <c r="K1055" s="26" t="n">
        <v>154.64</v>
      </c>
      <c r="L1055" s="26" t="n">
        <v>2.06</v>
      </c>
      <c r="M1055" s="27" t="n">
        <v>0.005</v>
      </c>
      <c r="N1055" s="27" t="n">
        <v>0.002</v>
      </c>
      <c r="O1055" s="26" t="n">
        <v>5</v>
      </c>
      <c r="P1055" s="26" t="n">
        <v>5</v>
      </c>
      <c r="Q1055" s="28" t="n">
        <v>100</v>
      </c>
      <c r="R1055" s="26" t="n">
        <v>30</v>
      </c>
      <c r="S1055" s="26" t="n">
        <v>0</v>
      </c>
      <c r="T1055" s="28" t="n">
        <v>1</v>
      </c>
      <c r="U1055" s="26" t="n">
        <v>0</v>
      </c>
      <c r="V1055" s="26" t="n">
        <v>0</v>
      </c>
      <c r="W1055" s="22" t="s">
        <v>19</v>
      </c>
      <c r="X1055" s="22" t="s">
        <v>373</v>
      </c>
    </row>
    <row r="1056" customFormat="false" ht="15" hidden="false" customHeight="false" outlineLevel="0" collapsed="false">
      <c r="A1056" s="22" t="s">
        <v>4437</v>
      </c>
      <c r="B1056" s="29" t="s">
        <v>19</v>
      </c>
      <c r="C1056" s="29" t="s">
        <v>2885</v>
      </c>
      <c r="D1056" s="22" t="s">
        <v>4438</v>
      </c>
      <c r="E1056" s="22" t="s">
        <v>4439</v>
      </c>
      <c r="F1056" s="22" t="n">
        <v>13</v>
      </c>
      <c r="G1056" s="26" t="n">
        <v>182.58</v>
      </c>
      <c r="H1056" s="26" t="n">
        <v>204.71</v>
      </c>
      <c r="I1056" s="26" t="n">
        <v>226.84</v>
      </c>
      <c r="J1056" s="26" t="n">
        <v>243.44</v>
      </c>
      <c r="K1056" s="26" t="n">
        <v>260.04</v>
      </c>
      <c r="L1056" s="26" t="n">
        <v>2.28</v>
      </c>
      <c r="M1056" s="27" t="n">
        <v>0.005</v>
      </c>
      <c r="N1056" s="27" t="n">
        <v>0.002</v>
      </c>
      <c r="O1056" s="26" t="n">
        <v>5</v>
      </c>
      <c r="P1056" s="26" t="n">
        <v>5</v>
      </c>
      <c r="Q1056" s="28" t="n">
        <v>100</v>
      </c>
      <c r="R1056" s="26" t="n">
        <v>30</v>
      </c>
      <c r="S1056" s="26" t="n">
        <v>0</v>
      </c>
      <c r="T1056" s="28" t="n">
        <v>1</v>
      </c>
      <c r="U1056" s="26" t="n">
        <v>0</v>
      </c>
      <c r="V1056" s="26" t="n">
        <v>0</v>
      </c>
      <c r="W1056" s="29" t="s">
        <v>17</v>
      </c>
      <c r="X1056" s="22" t="s">
        <v>373</v>
      </c>
    </row>
    <row r="1057" customFormat="false" ht="15" hidden="false" customHeight="false" outlineLevel="0" collapsed="false">
      <c r="A1057" s="22" t="s">
        <v>4440</v>
      </c>
      <c r="B1057" s="22" t="s">
        <v>19</v>
      </c>
      <c r="C1057" s="22" t="s">
        <v>4441</v>
      </c>
      <c r="D1057" s="22" t="s">
        <v>4442</v>
      </c>
      <c r="E1057" s="22" t="s">
        <v>4443</v>
      </c>
      <c r="F1057" s="22" t="n">
        <v>13</v>
      </c>
      <c r="G1057" s="26" t="n">
        <v>99.55</v>
      </c>
      <c r="H1057" s="26" t="n">
        <v>109.56</v>
      </c>
      <c r="I1057" s="26" t="n">
        <v>129.6</v>
      </c>
      <c r="J1057" s="26" t="n">
        <v>139.62</v>
      </c>
      <c r="K1057" s="26" t="n">
        <v>154.64</v>
      </c>
      <c r="L1057" s="26" t="n">
        <v>2.06</v>
      </c>
      <c r="M1057" s="27" t="n">
        <v>0.005</v>
      </c>
      <c r="N1057" s="27" t="n">
        <v>0.002</v>
      </c>
      <c r="O1057" s="26" t="n">
        <v>5</v>
      </c>
      <c r="P1057" s="26" t="n">
        <v>5</v>
      </c>
      <c r="Q1057" s="28" t="n">
        <v>100</v>
      </c>
      <c r="R1057" s="26" t="n">
        <v>30</v>
      </c>
      <c r="S1057" s="26" t="n">
        <v>0</v>
      </c>
      <c r="T1057" s="28" t="n">
        <v>1</v>
      </c>
      <c r="U1057" s="26" t="n">
        <v>0</v>
      </c>
      <c r="V1057" s="26" t="n">
        <v>0</v>
      </c>
      <c r="W1057" s="22" t="s">
        <v>19</v>
      </c>
      <c r="X1057" s="22" t="s">
        <v>373</v>
      </c>
    </row>
    <row r="1058" customFormat="false" ht="15" hidden="false" customHeight="false" outlineLevel="0" collapsed="false">
      <c r="A1058" s="22" t="s">
        <v>4444</v>
      </c>
      <c r="B1058" s="22" t="s">
        <v>19</v>
      </c>
      <c r="C1058" s="22" t="s">
        <v>4445</v>
      </c>
      <c r="D1058" s="22" t="s">
        <v>4446</v>
      </c>
      <c r="E1058" s="22" t="s">
        <v>4447</v>
      </c>
      <c r="F1058" s="22" t="n">
        <v>13</v>
      </c>
      <c r="G1058" s="26" t="n">
        <v>99.55</v>
      </c>
      <c r="H1058" s="26" t="n">
        <v>109.56</v>
      </c>
      <c r="I1058" s="26" t="n">
        <v>129.6</v>
      </c>
      <c r="J1058" s="26" t="n">
        <v>139.62</v>
      </c>
      <c r="K1058" s="26" t="n">
        <v>154.64</v>
      </c>
      <c r="L1058" s="26" t="n">
        <v>2.06</v>
      </c>
      <c r="M1058" s="27" t="n">
        <v>0.005</v>
      </c>
      <c r="N1058" s="27" t="n">
        <v>0.002</v>
      </c>
      <c r="O1058" s="26" t="n">
        <v>5</v>
      </c>
      <c r="P1058" s="26" t="n">
        <v>5</v>
      </c>
      <c r="Q1058" s="28" t="n">
        <v>100</v>
      </c>
      <c r="R1058" s="26" t="n">
        <v>30</v>
      </c>
      <c r="S1058" s="26" t="n">
        <v>0</v>
      </c>
      <c r="T1058" s="28" t="n">
        <v>1</v>
      </c>
      <c r="U1058" s="26" t="n">
        <v>0</v>
      </c>
      <c r="V1058" s="26" t="n">
        <v>0</v>
      </c>
      <c r="W1058" s="22" t="s">
        <v>19</v>
      </c>
      <c r="X1058" s="22" t="s">
        <v>373</v>
      </c>
    </row>
    <row r="1059" customFormat="false" ht="15" hidden="false" customHeight="false" outlineLevel="0" collapsed="false">
      <c r="A1059" s="22" t="s">
        <v>4448</v>
      </c>
      <c r="B1059" s="22" t="s">
        <v>19</v>
      </c>
      <c r="C1059" s="22" t="s">
        <v>4449</v>
      </c>
      <c r="D1059" s="22" t="s">
        <v>4450</v>
      </c>
      <c r="E1059" s="22" t="s">
        <v>4451</v>
      </c>
      <c r="F1059" s="22" t="n">
        <v>13</v>
      </c>
      <c r="G1059" s="26" t="n">
        <v>99.55</v>
      </c>
      <c r="H1059" s="26" t="n">
        <v>109.56</v>
      </c>
      <c r="I1059" s="26" t="n">
        <v>129.6</v>
      </c>
      <c r="J1059" s="26" t="n">
        <v>139.62</v>
      </c>
      <c r="K1059" s="26" t="n">
        <v>154.64</v>
      </c>
      <c r="L1059" s="26" t="n">
        <v>2.06</v>
      </c>
      <c r="M1059" s="27" t="n">
        <v>0.005</v>
      </c>
      <c r="N1059" s="27" t="n">
        <v>0.002</v>
      </c>
      <c r="O1059" s="26" t="n">
        <v>5</v>
      </c>
      <c r="P1059" s="26" t="n">
        <v>5</v>
      </c>
      <c r="Q1059" s="28" t="n">
        <v>100</v>
      </c>
      <c r="R1059" s="26" t="n">
        <v>30</v>
      </c>
      <c r="S1059" s="26" t="n">
        <v>0</v>
      </c>
      <c r="T1059" s="28" t="n">
        <v>1</v>
      </c>
      <c r="U1059" s="26" t="n">
        <v>0</v>
      </c>
      <c r="V1059" s="26" t="n">
        <v>250</v>
      </c>
      <c r="W1059" s="22" t="s">
        <v>19</v>
      </c>
      <c r="X1059" s="22" t="s">
        <v>373</v>
      </c>
    </row>
    <row r="1060" customFormat="false" ht="15" hidden="false" customHeight="false" outlineLevel="0" collapsed="false">
      <c r="A1060" s="22" t="s">
        <v>4452</v>
      </c>
      <c r="B1060" s="22" t="s">
        <v>19</v>
      </c>
      <c r="C1060" s="22" t="s">
        <v>4453</v>
      </c>
      <c r="D1060" s="22" t="s">
        <v>4454</v>
      </c>
      <c r="E1060" s="22" t="s">
        <v>4455</v>
      </c>
      <c r="F1060" s="22" t="n">
        <v>13</v>
      </c>
      <c r="G1060" s="26" t="n">
        <v>99.55</v>
      </c>
      <c r="H1060" s="26" t="n">
        <v>109.56</v>
      </c>
      <c r="I1060" s="26" t="n">
        <v>129.6</v>
      </c>
      <c r="J1060" s="26" t="n">
        <v>139.62</v>
      </c>
      <c r="K1060" s="26" t="n">
        <v>154.64</v>
      </c>
      <c r="L1060" s="26" t="n">
        <v>2.06</v>
      </c>
      <c r="M1060" s="27" t="n">
        <v>0.005</v>
      </c>
      <c r="N1060" s="27" t="n">
        <v>0.002</v>
      </c>
      <c r="O1060" s="26" t="n">
        <v>5</v>
      </c>
      <c r="P1060" s="26" t="n">
        <v>5</v>
      </c>
      <c r="Q1060" s="28" t="n">
        <v>100</v>
      </c>
      <c r="R1060" s="26" t="n">
        <v>30</v>
      </c>
      <c r="S1060" s="26" t="n">
        <v>0</v>
      </c>
      <c r="T1060" s="28" t="n">
        <v>1</v>
      </c>
      <c r="U1060" s="26" t="n">
        <v>0</v>
      </c>
      <c r="V1060" s="26" t="n">
        <v>0</v>
      </c>
      <c r="W1060" s="22" t="s">
        <v>19</v>
      </c>
      <c r="X1060" s="22" t="s">
        <v>373</v>
      </c>
    </row>
    <row r="1061" customFormat="false" ht="15" hidden="false" customHeight="false" outlineLevel="0" collapsed="false">
      <c r="A1061" s="22" t="s">
        <v>4456</v>
      </c>
      <c r="B1061" s="22" t="s">
        <v>19</v>
      </c>
      <c r="C1061" s="22" t="s">
        <v>4457</v>
      </c>
      <c r="D1061" s="22" t="s">
        <v>4458</v>
      </c>
      <c r="E1061" s="22" t="s">
        <v>4459</v>
      </c>
      <c r="F1061" s="22" t="n">
        <v>13</v>
      </c>
      <c r="G1061" s="26" t="n">
        <v>99.55</v>
      </c>
      <c r="H1061" s="26" t="n">
        <v>109.56</v>
      </c>
      <c r="I1061" s="26" t="n">
        <v>129.6</v>
      </c>
      <c r="J1061" s="26" t="n">
        <v>139.62</v>
      </c>
      <c r="K1061" s="26" t="n">
        <v>154.64</v>
      </c>
      <c r="L1061" s="26" t="n">
        <v>2.06</v>
      </c>
      <c r="M1061" s="27" t="n">
        <v>0.005</v>
      </c>
      <c r="N1061" s="27" t="n">
        <v>0.002</v>
      </c>
      <c r="O1061" s="26" t="n">
        <v>5</v>
      </c>
      <c r="P1061" s="26" t="n">
        <v>5</v>
      </c>
      <c r="Q1061" s="28" t="n">
        <v>100</v>
      </c>
      <c r="R1061" s="26" t="n">
        <v>30</v>
      </c>
      <c r="S1061" s="26" t="n">
        <v>0</v>
      </c>
      <c r="T1061" s="28" t="n">
        <v>1</v>
      </c>
      <c r="U1061" s="26" t="n">
        <v>0</v>
      </c>
      <c r="V1061" s="26" t="n">
        <v>250</v>
      </c>
      <c r="W1061" s="22" t="s">
        <v>19</v>
      </c>
      <c r="X1061" s="22" t="s">
        <v>373</v>
      </c>
    </row>
    <row r="1062" customFormat="false" ht="15" hidden="false" customHeight="false" outlineLevel="0" collapsed="false">
      <c r="A1062" s="22" t="s">
        <v>4460</v>
      </c>
      <c r="B1062" s="22" t="s">
        <v>19</v>
      </c>
      <c r="C1062" s="22" t="s">
        <v>4461</v>
      </c>
      <c r="D1062" s="22" t="s">
        <v>4462</v>
      </c>
      <c r="E1062" s="22" t="s">
        <v>4463</v>
      </c>
      <c r="F1062" s="22" t="n">
        <v>13</v>
      </c>
      <c r="G1062" s="26" t="n">
        <v>99.55</v>
      </c>
      <c r="H1062" s="26" t="n">
        <v>109.56</v>
      </c>
      <c r="I1062" s="26" t="n">
        <v>129.6</v>
      </c>
      <c r="J1062" s="26" t="n">
        <v>139.62</v>
      </c>
      <c r="K1062" s="26" t="n">
        <v>154.64</v>
      </c>
      <c r="L1062" s="26" t="n">
        <v>2.06</v>
      </c>
      <c r="M1062" s="27" t="n">
        <v>0.005</v>
      </c>
      <c r="N1062" s="27" t="n">
        <v>0.002</v>
      </c>
      <c r="O1062" s="26" t="n">
        <v>5</v>
      </c>
      <c r="P1062" s="26" t="n">
        <v>5</v>
      </c>
      <c r="Q1062" s="28" t="n">
        <v>100</v>
      </c>
      <c r="R1062" s="26" t="n">
        <v>30</v>
      </c>
      <c r="S1062" s="26" t="n">
        <v>0</v>
      </c>
      <c r="T1062" s="28" t="n">
        <v>1</v>
      </c>
      <c r="U1062" s="26" t="n">
        <v>0</v>
      </c>
      <c r="V1062" s="26" t="n">
        <v>0</v>
      </c>
      <c r="W1062" s="22" t="s">
        <v>19</v>
      </c>
      <c r="X1062" s="22" t="s">
        <v>373</v>
      </c>
    </row>
    <row r="1063" customFormat="false" ht="15" hidden="false" customHeight="false" outlineLevel="0" collapsed="false">
      <c r="A1063" s="22" t="s">
        <v>4464</v>
      </c>
      <c r="B1063" s="22" t="s">
        <v>19</v>
      </c>
      <c r="C1063" s="22" t="s">
        <v>135</v>
      </c>
      <c r="D1063" s="22" t="s">
        <v>4465</v>
      </c>
      <c r="E1063" s="22" t="s">
        <v>4466</v>
      </c>
      <c r="F1063" s="22" t="n">
        <v>13</v>
      </c>
      <c r="G1063" s="26" t="n">
        <v>99.55</v>
      </c>
      <c r="H1063" s="26" t="n">
        <v>109.56</v>
      </c>
      <c r="I1063" s="26" t="n">
        <v>129.6</v>
      </c>
      <c r="J1063" s="26" t="n">
        <v>139.62</v>
      </c>
      <c r="K1063" s="26" t="n">
        <v>154.64</v>
      </c>
      <c r="L1063" s="26" t="n">
        <v>2.06</v>
      </c>
      <c r="M1063" s="27" t="n">
        <v>0.005</v>
      </c>
      <c r="N1063" s="27" t="n">
        <v>0.002</v>
      </c>
      <c r="O1063" s="26" t="n">
        <v>5</v>
      </c>
      <c r="P1063" s="26" t="n">
        <v>5</v>
      </c>
      <c r="Q1063" s="28" t="n">
        <v>100</v>
      </c>
      <c r="R1063" s="26" t="n">
        <v>30</v>
      </c>
      <c r="S1063" s="26" t="n">
        <v>0</v>
      </c>
      <c r="T1063" s="28" t="n">
        <v>1</v>
      </c>
      <c r="U1063" s="26" t="n">
        <v>0</v>
      </c>
      <c r="V1063" s="26" t="n">
        <v>0</v>
      </c>
      <c r="W1063" s="22" t="s">
        <v>19</v>
      </c>
      <c r="X1063" s="22" t="s">
        <v>373</v>
      </c>
    </row>
    <row r="1064" customFormat="false" ht="15" hidden="false" customHeight="false" outlineLevel="0" collapsed="false">
      <c r="A1064" s="22" t="s">
        <v>4467</v>
      </c>
      <c r="B1064" s="29" t="s">
        <v>19</v>
      </c>
      <c r="C1064" s="29" t="s">
        <v>2916</v>
      </c>
      <c r="D1064" s="22" t="s">
        <v>4468</v>
      </c>
      <c r="E1064" s="22" t="s">
        <v>4469</v>
      </c>
      <c r="F1064" s="22" t="n">
        <v>13</v>
      </c>
      <c r="G1064" s="26" t="n">
        <v>182.58</v>
      </c>
      <c r="H1064" s="26" t="n">
        <v>204.71</v>
      </c>
      <c r="I1064" s="26" t="n">
        <v>226.84</v>
      </c>
      <c r="J1064" s="26" t="n">
        <v>243.44</v>
      </c>
      <c r="K1064" s="26" t="n">
        <v>260.04</v>
      </c>
      <c r="L1064" s="26" t="n">
        <v>2.28</v>
      </c>
      <c r="M1064" s="27" t="n">
        <v>0.005</v>
      </c>
      <c r="N1064" s="27" t="n">
        <v>0.002</v>
      </c>
      <c r="O1064" s="26" t="n">
        <v>5</v>
      </c>
      <c r="P1064" s="26" t="n">
        <v>5</v>
      </c>
      <c r="Q1064" s="28" t="n">
        <v>100</v>
      </c>
      <c r="R1064" s="26" t="n">
        <v>30</v>
      </c>
      <c r="S1064" s="26" t="n">
        <v>0</v>
      </c>
      <c r="T1064" s="28" t="n">
        <v>1</v>
      </c>
      <c r="U1064" s="26" t="n">
        <v>0</v>
      </c>
      <c r="V1064" s="26" t="n">
        <v>0</v>
      </c>
      <c r="W1064" s="29" t="s">
        <v>17</v>
      </c>
      <c r="X1064" s="22" t="s">
        <v>373</v>
      </c>
    </row>
    <row r="1065" customFormat="false" ht="15" hidden="false" customHeight="false" outlineLevel="0" collapsed="false">
      <c r="A1065" s="22" t="s">
        <v>4470</v>
      </c>
      <c r="B1065" s="22" t="s">
        <v>19</v>
      </c>
      <c r="C1065" s="22" t="s">
        <v>4471</v>
      </c>
      <c r="D1065" s="22" t="s">
        <v>4472</v>
      </c>
      <c r="E1065" s="22" t="s">
        <v>4473</v>
      </c>
      <c r="F1065" s="22" t="n">
        <v>13</v>
      </c>
      <c r="G1065" s="26" t="n">
        <v>99.55</v>
      </c>
      <c r="H1065" s="26" t="n">
        <v>109.56</v>
      </c>
      <c r="I1065" s="26" t="n">
        <v>129.6</v>
      </c>
      <c r="J1065" s="26" t="n">
        <v>139.62</v>
      </c>
      <c r="K1065" s="26" t="n">
        <v>154.64</v>
      </c>
      <c r="L1065" s="26" t="n">
        <v>2.06</v>
      </c>
      <c r="M1065" s="27" t="n">
        <v>0.005</v>
      </c>
      <c r="N1065" s="27" t="n">
        <v>0.002</v>
      </c>
      <c r="O1065" s="26" t="n">
        <v>5</v>
      </c>
      <c r="P1065" s="26" t="n">
        <v>5</v>
      </c>
      <c r="Q1065" s="28" t="n">
        <v>100</v>
      </c>
      <c r="R1065" s="26" t="n">
        <v>30</v>
      </c>
      <c r="S1065" s="26" t="n">
        <v>0</v>
      </c>
      <c r="T1065" s="28" t="n">
        <v>1</v>
      </c>
      <c r="U1065" s="26" t="n">
        <v>0</v>
      </c>
      <c r="V1065" s="26" t="n">
        <v>0</v>
      </c>
      <c r="W1065" s="22" t="s">
        <v>19</v>
      </c>
      <c r="X1065" s="22" t="s">
        <v>373</v>
      </c>
    </row>
    <row r="1066" customFormat="false" ht="15" hidden="false" customHeight="false" outlineLevel="0" collapsed="false">
      <c r="A1066" s="22" t="s">
        <v>4474</v>
      </c>
      <c r="B1066" s="22" t="s">
        <v>19</v>
      </c>
      <c r="C1066" s="22" t="s">
        <v>4475</v>
      </c>
      <c r="D1066" s="22" t="s">
        <v>4476</v>
      </c>
      <c r="E1066" s="22" t="s">
        <v>4477</v>
      </c>
      <c r="F1066" s="22" t="n">
        <v>13</v>
      </c>
      <c r="G1066" s="26" t="n">
        <v>99.55</v>
      </c>
      <c r="H1066" s="26" t="n">
        <v>109.56</v>
      </c>
      <c r="I1066" s="26" t="n">
        <v>129.6</v>
      </c>
      <c r="J1066" s="26" t="n">
        <v>139.62</v>
      </c>
      <c r="K1066" s="26" t="n">
        <v>154.64</v>
      </c>
      <c r="L1066" s="26" t="n">
        <v>2.06</v>
      </c>
      <c r="M1066" s="27" t="n">
        <v>0.005</v>
      </c>
      <c r="N1066" s="27" t="n">
        <v>0.002</v>
      </c>
      <c r="O1066" s="26" t="n">
        <v>5</v>
      </c>
      <c r="P1066" s="26" t="n">
        <v>5</v>
      </c>
      <c r="Q1066" s="28" t="n">
        <v>100</v>
      </c>
      <c r="R1066" s="26" t="n">
        <v>30</v>
      </c>
      <c r="S1066" s="26" t="n">
        <v>0</v>
      </c>
      <c r="T1066" s="28" t="n">
        <v>1</v>
      </c>
      <c r="U1066" s="26" t="n">
        <v>0</v>
      </c>
      <c r="V1066" s="26" t="n">
        <v>250</v>
      </c>
      <c r="W1066" s="22" t="s">
        <v>19</v>
      </c>
      <c r="X1066" s="22" t="s">
        <v>373</v>
      </c>
    </row>
    <row r="1067" customFormat="false" ht="15" hidden="false" customHeight="false" outlineLevel="0" collapsed="false">
      <c r="A1067" s="22" t="s">
        <v>4478</v>
      </c>
      <c r="B1067" s="22" t="s">
        <v>19</v>
      </c>
      <c r="C1067" s="22" t="s">
        <v>4479</v>
      </c>
      <c r="D1067" s="22" t="s">
        <v>4480</v>
      </c>
      <c r="E1067" s="22" t="s">
        <v>4481</v>
      </c>
      <c r="F1067" s="22" t="n">
        <v>13</v>
      </c>
      <c r="G1067" s="26" t="n">
        <v>99.55</v>
      </c>
      <c r="H1067" s="26" t="n">
        <v>109.56</v>
      </c>
      <c r="I1067" s="26" t="n">
        <v>129.6</v>
      </c>
      <c r="J1067" s="26" t="n">
        <v>139.62</v>
      </c>
      <c r="K1067" s="26" t="n">
        <v>154.64</v>
      </c>
      <c r="L1067" s="26" t="n">
        <v>2.06</v>
      </c>
      <c r="M1067" s="27" t="n">
        <v>0.005</v>
      </c>
      <c r="N1067" s="27" t="n">
        <v>0.002</v>
      </c>
      <c r="O1067" s="26" t="n">
        <v>5</v>
      </c>
      <c r="P1067" s="26" t="n">
        <v>5</v>
      </c>
      <c r="Q1067" s="28" t="n">
        <v>100</v>
      </c>
      <c r="R1067" s="26" t="n">
        <v>30</v>
      </c>
      <c r="S1067" s="26" t="n">
        <v>0</v>
      </c>
      <c r="T1067" s="28" t="n">
        <v>1</v>
      </c>
      <c r="U1067" s="26" t="n">
        <v>0</v>
      </c>
      <c r="V1067" s="26" t="n">
        <v>0</v>
      </c>
      <c r="W1067" s="22" t="s">
        <v>19</v>
      </c>
      <c r="X1067" s="22" t="s">
        <v>373</v>
      </c>
    </row>
    <row r="1068" customFormat="false" ht="15" hidden="false" customHeight="false" outlineLevel="0" collapsed="false">
      <c r="A1068" s="22" t="s">
        <v>4482</v>
      </c>
      <c r="B1068" s="22" t="s">
        <v>19</v>
      </c>
      <c r="C1068" s="22" t="s">
        <v>4483</v>
      </c>
      <c r="D1068" s="22" t="s">
        <v>4484</v>
      </c>
      <c r="E1068" s="22" t="s">
        <v>4485</v>
      </c>
      <c r="F1068" s="22" t="n">
        <v>13</v>
      </c>
      <c r="G1068" s="26" t="n">
        <v>99.55</v>
      </c>
      <c r="H1068" s="26" t="n">
        <v>109.56</v>
      </c>
      <c r="I1068" s="26" t="n">
        <v>129.6</v>
      </c>
      <c r="J1068" s="26" t="n">
        <v>139.62</v>
      </c>
      <c r="K1068" s="26" t="n">
        <v>154.64</v>
      </c>
      <c r="L1068" s="26" t="n">
        <v>2.06</v>
      </c>
      <c r="M1068" s="27" t="n">
        <v>0.005</v>
      </c>
      <c r="N1068" s="27" t="n">
        <v>0.002</v>
      </c>
      <c r="O1068" s="26" t="n">
        <v>5</v>
      </c>
      <c r="P1068" s="26" t="n">
        <v>5</v>
      </c>
      <c r="Q1068" s="28" t="n">
        <v>100</v>
      </c>
      <c r="R1068" s="26" t="n">
        <v>30</v>
      </c>
      <c r="S1068" s="26" t="n">
        <v>0</v>
      </c>
      <c r="T1068" s="28" t="n">
        <v>1</v>
      </c>
      <c r="U1068" s="26" t="n">
        <v>0</v>
      </c>
      <c r="V1068" s="26" t="n">
        <v>0</v>
      </c>
      <c r="W1068" s="22" t="s">
        <v>19</v>
      </c>
      <c r="X1068" s="22" t="s">
        <v>373</v>
      </c>
    </row>
    <row r="1069" customFormat="false" ht="15" hidden="false" customHeight="false" outlineLevel="0" collapsed="false">
      <c r="A1069" s="22" t="s">
        <v>4486</v>
      </c>
      <c r="B1069" s="22" t="s">
        <v>19</v>
      </c>
      <c r="C1069" s="22" t="s">
        <v>4487</v>
      </c>
      <c r="D1069" s="22" t="s">
        <v>4488</v>
      </c>
      <c r="E1069" s="22" t="s">
        <v>4489</v>
      </c>
      <c r="F1069" s="22" t="n">
        <v>13</v>
      </c>
      <c r="G1069" s="26" t="n">
        <v>99.55</v>
      </c>
      <c r="H1069" s="26" t="n">
        <v>109.56</v>
      </c>
      <c r="I1069" s="26" t="n">
        <v>129.6</v>
      </c>
      <c r="J1069" s="26" t="n">
        <v>139.62</v>
      </c>
      <c r="K1069" s="26" t="n">
        <v>154.64</v>
      </c>
      <c r="L1069" s="26" t="n">
        <v>2.06</v>
      </c>
      <c r="M1069" s="27" t="n">
        <v>0.005</v>
      </c>
      <c r="N1069" s="27" t="n">
        <v>0.002</v>
      </c>
      <c r="O1069" s="26" t="n">
        <v>5</v>
      </c>
      <c r="P1069" s="26" t="n">
        <v>5</v>
      </c>
      <c r="Q1069" s="28" t="n">
        <v>100</v>
      </c>
      <c r="R1069" s="26" t="n">
        <v>30</v>
      </c>
      <c r="S1069" s="26" t="n">
        <v>0</v>
      </c>
      <c r="T1069" s="28" t="n">
        <v>1</v>
      </c>
      <c r="U1069" s="26" t="n">
        <v>0</v>
      </c>
      <c r="V1069" s="26" t="n">
        <v>0</v>
      </c>
      <c r="W1069" s="22" t="s">
        <v>19</v>
      </c>
      <c r="X1069" s="22" t="s">
        <v>373</v>
      </c>
    </row>
    <row r="1070" customFormat="false" ht="15" hidden="false" customHeight="false" outlineLevel="0" collapsed="false">
      <c r="A1070" s="22" t="s">
        <v>4490</v>
      </c>
      <c r="B1070" s="22" t="s">
        <v>19</v>
      </c>
      <c r="C1070" s="22" t="s">
        <v>4491</v>
      </c>
      <c r="D1070" s="22" t="s">
        <v>4492</v>
      </c>
      <c r="E1070" s="22" t="s">
        <v>4493</v>
      </c>
      <c r="F1070" s="22" t="n">
        <v>13</v>
      </c>
      <c r="G1070" s="26" t="n">
        <v>99.55</v>
      </c>
      <c r="H1070" s="26" t="n">
        <v>109.56</v>
      </c>
      <c r="I1070" s="26" t="n">
        <v>129.6</v>
      </c>
      <c r="J1070" s="26" t="n">
        <v>139.62</v>
      </c>
      <c r="K1070" s="26" t="n">
        <v>154.64</v>
      </c>
      <c r="L1070" s="26" t="n">
        <v>2.06</v>
      </c>
      <c r="M1070" s="27" t="n">
        <v>0.005</v>
      </c>
      <c r="N1070" s="27" t="n">
        <v>0.002</v>
      </c>
      <c r="O1070" s="26" t="n">
        <v>5</v>
      </c>
      <c r="P1070" s="26" t="n">
        <v>5</v>
      </c>
      <c r="Q1070" s="28" t="n">
        <v>100</v>
      </c>
      <c r="R1070" s="26" t="n">
        <v>30</v>
      </c>
      <c r="S1070" s="26" t="n">
        <v>0</v>
      </c>
      <c r="T1070" s="28" t="n">
        <v>1</v>
      </c>
      <c r="U1070" s="26" t="n">
        <v>0</v>
      </c>
      <c r="V1070" s="26" t="n">
        <v>0</v>
      </c>
      <c r="W1070" s="22" t="s">
        <v>19</v>
      </c>
      <c r="X1070" s="22" t="s">
        <v>373</v>
      </c>
    </row>
    <row r="1071" customFormat="false" ht="15" hidden="false" customHeight="false" outlineLevel="0" collapsed="false">
      <c r="A1071" s="22" t="s">
        <v>4494</v>
      </c>
      <c r="B1071" s="22" t="s">
        <v>19</v>
      </c>
      <c r="C1071" s="22" t="s">
        <v>4495</v>
      </c>
      <c r="D1071" s="22" t="s">
        <v>4496</v>
      </c>
      <c r="E1071" s="22" t="s">
        <v>4497</v>
      </c>
      <c r="F1071" s="22" t="n">
        <v>13</v>
      </c>
      <c r="G1071" s="26" t="n">
        <v>99.55</v>
      </c>
      <c r="H1071" s="26" t="n">
        <v>109.56</v>
      </c>
      <c r="I1071" s="26" t="n">
        <v>129.6</v>
      </c>
      <c r="J1071" s="26" t="n">
        <v>139.62</v>
      </c>
      <c r="K1071" s="26" t="n">
        <v>154.64</v>
      </c>
      <c r="L1071" s="26" t="n">
        <v>2.06</v>
      </c>
      <c r="M1071" s="27" t="n">
        <v>0.005</v>
      </c>
      <c r="N1071" s="27" t="n">
        <v>0.002</v>
      </c>
      <c r="O1071" s="26" t="n">
        <v>5</v>
      </c>
      <c r="P1071" s="26" t="n">
        <v>5</v>
      </c>
      <c r="Q1071" s="28" t="n">
        <v>100</v>
      </c>
      <c r="R1071" s="26" t="n">
        <v>30</v>
      </c>
      <c r="S1071" s="26" t="n">
        <v>0</v>
      </c>
      <c r="T1071" s="28" t="n">
        <v>1</v>
      </c>
      <c r="U1071" s="26" t="n">
        <v>0</v>
      </c>
      <c r="V1071" s="26" t="n">
        <v>0</v>
      </c>
      <c r="W1071" s="22" t="s">
        <v>19</v>
      </c>
      <c r="X1071" s="22" t="s">
        <v>373</v>
      </c>
    </row>
    <row r="1072" customFormat="false" ht="15" hidden="false" customHeight="false" outlineLevel="0" collapsed="false">
      <c r="A1072" s="22" t="s">
        <v>4498</v>
      </c>
      <c r="B1072" s="22" t="s">
        <v>19</v>
      </c>
      <c r="C1072" s="22" t="s">
        <v>4499</v>
      </c>
      <c r="D1072" s="22" t="s">
        <v>4500</v>
      </c>
      <c r="E1072" s="22" t="s">
        <v>4501</v>
      </c>
      <c r="F1072" s="22" t="n">
        <v>13</v>
      </c>
      <c r="G1072" s="26" t="n">
        <v>99.55</v>
      </c>
      <c r="H1072" s="26" t="n">
        <v>109.56</v>
      </c>
      <c r="I1072" s="26" t="n">
        <v>129.6</v>
      </c>
      <c r="J1072" s="26" t="n">
        <v>139.62</v>
      </c>
      <c r="K1072" s="26" t="n">
        <v>154.64</v>
      </c>
      <c r="L1072" s="26" t="n">
        <v>2.06</v>
      </c>
      <c r="M1072" s="27" t="n">
        <v>0.005</v>
      </c>
      <c r="N1072" s="27" t="n">
        <v>0.002</v>
      </c>
      <c r="O1072" s="26" t="n">
        <v>5</v>
      </c>
      <c r="P1072" s="26" t="n">
        <v>5</v>
      </c>
      <c r="Q1072" s="28" t="n">
        <v>100</v>
      </c>
      <c r="R1072" s="26" t="n">
        <v>30</v>
      </c>
      <c r="S1072" s="26" t="n">
        <v>0</v>
      </c>
      <c r="T1072" s="28" t="n">
        <v>1</v>
      </c>
      <c r="U1072" s="26" t="n">
        <v>0</v>
      </c>
      <c r="V1072" s="26" t="n">
        <v>0</v>
      </c>
      <c r="W1072" s="22" t="s">
        <v>19</v>
      </c>
      <c r="X1072" s="22" t="s">
        <v>373</v>
      </c>
    </row>
    <row r="1073" customFormat="false" ht="15" hidden="false" customHeight="false" outlineLevel="0" collapsed="false">
      <c r="A1073" s="22" t="s">
        <v>4502</v>
      </c>
      <c r="B1073" s="22" t="s">
        <v>19</v>
      </c>
      <c r="C1073" s="22" t="s">
        <v>4503</v>
      </c>
      <c r="D1073" s="22" t="s">
        <v>4504</v>
      </c>
      <c r="E1073" s="22" t="s">
        <v>4505</v>
      </c>
      <c r="F1073" s="22" t="n">
        <v>13</v>
      </c>
      <c r="G1073" s="26" t="n">
        <v>99.55</v>
      </c>
      <c r="H1073" s="26" t="n">
        <v>109.56</v>
      </c>
      <c r="I1073" s="26" t="n">
        <v>129.6</v>
      </c>
      <c r="J1073" s="26" t="n">
        <v>139.62</v>
      </c>
      <c r="K1073" s="26" t="n">
        <v>154.64</v>
      </c>
      <c r="L1073" s="26" t="n">
        <v>2.06</v>
      </c>
      <c r="M1073" s="27" t="n">
        <v>0.005</v>
      </c>
      <c r="N1073" s="27" t="n">
        <v>0.002</v>
      </c>
      <c r="O1073" s="26" t="n">
        <v>5</v>
      </c>
      <c r="P1073" s="26" t="n">
        <v>5</v>
      </c>
      <c r="Q1073" s="28" t="n">
        <v>100</v>
      </c>
      <c r="R1073" s="26" t="n">
        <v>30</v>
      </c>
      <c r="S1073" s="26" t="n">
        <v>0</v>
      </c>
      <c r="T1073" s="28" t="n">
        <v>1</v>
      </c>
      <c r="U1073" s="26" t="n">
        <v>0</v>
      </c>
      <c r="V1073" s="26" t="n">
        <v>0</v>
      </c>
      <c r="W1073" s="22" t="s">
        <v>19</v>
      </c>
      <c r="X1073" s="22" t="s">
        <v>373</v>
      </c>
    </row>
    <row r="1074" customFormat="false" ht="15" hidden="false" customHeight="false" outlineLevel="0" collapsed="false">
      <c r="A1074" s="22" t="s">
        <v>4506</v>
      </c>
      <c r="B1074" s="22" t="s">
        <v>19</v>
      </c>
      <c r="C1074" s="22" t="s">
        <v>4507</v>
      </c>
      <c r="D1074" s="22" t="s">
        <v>4508</v>
      </c>
      <c r="E1074" s="22" t="s">
        <v>4509</v>
      </c>
      <c r="F1074" s="22" t="n">
        <v>13</v>
      </c>
      <c r="G1074" s="26" t="n">
        <v>99.55</v>
      </c>
      <c r="H1074" s="26" t="n">
        <v>109.56</v>
      </c>
      <c r="I1074" s="26" t="n">
        <v>129.6</v>
      </c>
      <c r="J1074" s="26" t="n">
        <v>139.62</v>
      </c>
      <c r="K1074" s="26" t="n">
        <v>154.64</v>
      </c>
      <c r="L1074" s="26" t="n">
        <v>2.06</v>
      </c>
      <c r="M1074" s="27" t="n">
        <v>0.005</v>
      </c>
      <c r="N1074" s="27" t="n">
        <v>0.002</v>
      </c>
      <c r="O1074" s="26" t="n">
        <v>5</v>
      </c>
      <c r="P1074" s="26" t="n">
        <v>5</v>
      </c>
      <c r="Q1074" s="28" t="n">
        <v>100</v>
      </c>
      <c r="R1074" s="26" t="n">
        <v>30</v>
      </c>
      <c r="S1074" s="26" t="n">
        <v>0</v>
      </c>
      <c r="T1074" s="28" t="n">
        <v>1</v>
      </c>
      <c r="U1074" s="26" t="n">
        <v>0</v>
      </c>
      <c r="V1074" s="26" t="n">
        <v>250</v>
      </c>
      <c r="W1074" s="22" t="s">
        <v>19</v>
      </c>
      <c r="X1074" s="22" t="s">
        <v>373</v>
      </c>
    </row>
    <row r="1075" customFormat="false" ht="15" hidden="false" customHeight="false" outlineLevel="0" collapsed="false">
      <c r="A1075" s="22" t="s">
        <v>4510</v>
      </c>
      <c r="B1075" s="22" t="s">
        <v>19</v>
      </c>
      <c r="C1075" s="22" t="s">
        <v>4511</v>
      </c>
      <c r="D1075" s="22" t="s">
        <v>4512</v>
      </c>
      <c r="E1075" s="22" t="s">
        <v>4513</v>
      </c>
      <c r="F1075" s="22" t="n">
        <v>13</v>
      </c>
      <c r="G1075" s="26" t="n">
        <v>99.55</v>
      </c>
      <c r="H1075" s="26" t="n">
        <v>109.56</v>
      </c>
      <c r="I1075" s="26" t="n">
        <v>129.6</v>
      </c>
      <c r="J1075" s="26" t="n">
        <v>139.62</v>
      </c>
      <c r="K1075" s="26" t="n">
        <v>154.64</v>
      </c>
      <c r="L1075" s="26" t="n">
        <v>2.06</v>
      </c>
      <c r="M1075" s="27" t="n">
        <v>0.005</v>
      </c>
      <c r="N1075" s="27" t="n">
        <v>0.002</v>
      </c>
      <c r="O1075" s="26" t="n">
        <v>5</v>
      </c>
      <c r="P1075" s="26" t="n">
        <v>5</v>
      </c>
      <c r="Q1075" s="28" t="n">
        <v>100</v>
      </c>
      <c r="R1075" s="26" t="n">
        <v>30</v>
      </c>
      <c r="S1075" s="26" t="n">
        <v>0</v>
      </c>
      <c r="T1075" s="28" t="n">
        <v>1</v>
      </c>
      <c r="U1075" s="26" t="n">
        <v>0</v>
      </c>
      <c r="V1075" s="26" t="n">
        <v>0</v>
      </c>
      <c r="W1075" s="22" t="s">
        <v>19</v>
      </c>
      <c r="X1075" s="22" t="s">
        <v>373</v>
      </c>
    </row>
    <row r="1076" customFormat="false" ht="15" hidden="false" customHeight="false" outlineLevel="0" collapsed="false">
      <c r="A1076" s="22" t="s">
        <v>4514</v>
      </c>
      <c r="B1076" s="22" t="s">
        <v>19</v>
      </c>
      <c r="C1076" s="22" t="s">
        <v>4515</v>
      </c>
      <c r="D1076" s="22" t="s">
        <v>4516</v>
      </c>
      <c r="E1076" s="22" t="s">
        <v>4517</v>
      </c>
      <c r="F1076" s="22" t="n">
        <v>13</v>
      </c>
      <c r="G1076" s="26" t="n">
        <v>99.55</v>
      </c>
      <c r="H1076" s="26" t="n">
        <v>109.56</v>
      </c>
      <c r="I1076" s="26" t="n">
        <v>129.6</v>
      </c>
      <c r="J1076" s="26" t="n">
        <v>139.62</v>
      </c>
      <c r="K1076" s="26" t="n">
        <v>154.64</v>
      </c>
      <c r="L1076" s="26" t="n">
        <v>2.06</v>
      </c>
      <c r="M1076" s="27" t="n">
        <v>0.005</v>
      </c>
      <c r="N1076" s="27" t="n">
        <v>0.002</v>
      </c>
      <c r="O1076" s="26" t="n">
        <v>5</v>
      </c>
      <c r="P1076" s="26" t="n">
        <v>5</v>
      </c>
      <c r="Q1076" s="28" t="n">
        <v>100</v>
      </c>
      <c r="R1076" s="26" t="n">
        <v>30</v>
      </c>
      <c r="S1076" s="26" t="n">
        <v>0</v>
      </c>
      <c r="T1076" s="28" t="n">
        <v>1</v>
      </c>
      <c r="U1076" s="26" t="n">
        <v>0</v>
      </c>
      <c r="V1076" s="26" t="n">
        <v>0</v>
      </c>
      <c r="W1076" s="22" t="s">
        <v>19</v>
      </c>
      <c r="X1076" s="22" t="s">
        <v>373</v>
      </c>
    </row>
    <row r="1077" customFormat="false" ht="15" hidden="false" customHeight="false" outlineLevel="0" collapsed="false">
      <c r="A1077" s="22" t="s">
        <v>4518</v>
      </c>
      <c r="B1077" s="22" t="s">
        <v>19</v>
      </c>
      <c r="C1077" s="22" t="s">
        <v>4519</v>
      </c>
      <c r="D1077" s="22" t="s">
        <v>4520</v>
      </c>
      <c r="E1077" s="22" t="s">
        <v>4521</v>
      </c>
      <c r="F1077" s="22" t="n">
        <v>13</v>
      </c>
      <c r="G1077" s="26" t="n">
        <v>99.55</v>
      </c>
      <c r="H1077" s="26" t="n">
        <v>109.56</v>
      </c>
      <c r="I1077" s="26" t="n">
        <v>129.6</v>
      </c>
      <c r="J1077" s="26" t="n">
        <v>139.62</v>
      </c>
      <c r="K1077" s="26" t="n">
        <v>154.64</v>
      </c>
      <c r="L1077" s="26" t="n">
        <v>2.06</v>
      </c>
      <c r="M1077" s="27" t="n">
        <v>0.005</v>
      </c>
      <c r="N1077" s="27" t="n">
        <v>0.002</v>
      </c>
      <c r="O1077" s="26" t="n">
        <v>5</v>
      </c>
      <c r="P1077" s="26" t="n">
        <v>5</v>
      </c>
      <c r="Q1077" s="28" t="n">
        <v>100</v>
      </c>
      <c r="R1077" s="26" t="n">
        <v>30</v>
      </c>
      <c r="S1077" s="26" t="n">
        <v>0</v>
      </c>
      <c r="T1077" s="28" t="n">
        <v>1</v>
      </c>
      <c r="U1077" s="26" t="n">
        <v>0</v>
      </c>
      <c r="V1077" s="26" t="n">
        <v>0</v>
      </c>
      <c r="W1077" s="22" t="s">
        <v>19</v>
      </c>
      <c r="X1077" s="22" t="s">
        <v>373</v>
      </c>
    </row>
    <row r="1078" customFormat="false" ht="15" hidden="false" customHeight="false" outlineLevel="0" collapsed="false">
      <c r="A1078" s="22" t="s">
        <v>4522</v>
      </c>
      <c r="B1078" s="22" t="s">
        <v>19</v>
      </c>
      <c r="C1078" s="22" t="s">
        <v>4523</v>
      </c>
      <c r="D1078" s="22" t="s">
        <v>4524</v>
      </c>
      <c r="E1078" s="22" t="s">
        <v>4525</v>
      </c>
      <c r="F1078" s="22" t="n">
        <v>13</v>
      </c>
      <c r="G1078" s="26" t="n">
        <v>99.55</v>
      </c>
      <c r="H1078" s="26" t="n">
        <v>109.56</v>
      </c>
      <c r="I1078" s="26" t="n">
        <v>129.6</v>
      </c>
      <c r="J1078" s="26" t="n">
        <v>139.62</v>
      </c>
      <c r="K1078" s="26" t="n">
        <v>154.64</v>
      </c>
      <c r="L1078" s="26" t="n">
        <v>2.06</v>
      </c>
      <c r="M1078" s="27" t="n">
        <v>0.005</v>
      </c>
      <c r="N1078" s="27" t="n">
        <v>0.002</v>
      </c>
      <c r="O1078" s="26" t="n">
        <v>5</v>
      </c>
      <c r="P1078" s="26" t="n">
        <v>5</v>
      </c>
      <c r="Q1078" s="28" t="n">
        <v>100</v>
      </c>
      <c r="R1078" s="26" t="n">
        <v>30</v>
      </c>
      <c r="S1078" s="26" t="n">
        <v>0</v>
      </c>
      <c r="T1078" s="28" t="n">
        <v>1</v>
      </c>
      <c r="U1078" s="26" t="n">
        <v>0</v>
      </c>
      <c r="V1078" s="26" t="n">
        <v>0</v>
      </c>
      <c r="W1078" s="22" t="s">
        <v>19</v>
      </c>
      <c r="X1078" s="22" t="s">
        <v>373</v>
      </c>
    </row>
    <row r="1079" customFormat="false" ht="15" hidden="false" customHeight="false" outlineLevel="0" collapsed="false">
      <c r="A1079" s="22" t="s">
        <v>4526</v>
      </c>
      <c r="B1079" s="22" t="s">
        <v>19</v>
      </c>
      <c r="C1079" s="22" t="s">
        <v>4527</v>
      </c>
      <c r="D1079" s="22" t="s">
        <v>4528</v>
      </c>
      <c r="E1079" s="22" t="s">
        <v>4529</v>
      </c>
      <c r="F1079" s="22" t="n">
        <v>13</v>
      </c>
      <c r="G1079" s="26" t="n">
        <v>99.55</v>
      </c>
      <c r="H1079" s="26" t="n">
        <v>109.56</v>
      </c>
      <c r="I1079" s="26" t="n">
        <v>129.6</v>
      </c>
      <c r="J1079" s="26" t="n">
        <v>139.62</v>
      </c>
      <c r="K1079" s="26" t="n">
        <v>154.64</v>
      </c>
      <c r="L1079" s="26" t="n">
        <v>2.06</v>
      </c>
      <c r="M1079" s="27" t="n">
        <v>0.005</v>
      </c>
      <c r="N1079" s="27" t="n">
        <v>0.002</v>
      </c>
      <c r="O1079" s="26" t="n">
        <v>5</v>
      </c>
      <c r="P1079" s="26" t="n">
        <v>5</v>
      </c>
      <c r="Q1079" s="28" t="n">
        <v>100</v>
      </c>
      <c r="R1079" s="26" t="n">
        <v>30</v>
      </c>
      <c r="S1079" s="26" t="n">
        <v>0</v>
      </c>
      <c r="T1079" s="28" t="n">
        <v>1</v>
      </c>
      <c r="U1079" s="26" t="n">
        <v>0</v>
      </c>
      <c r="V1079" s="26" t="n">
        <v>250</v>
      </c>
      <c r="W1079" s="22" t="s">
        <v>19</v>
      </c>
      <c r="X1079" s="22" t="s">
        <v>373</v>
      </c>
    </row>
    <row r="1080" customFormat="false" ht="15" hidden="false" customHeight="false" outlineLevel="0" collapsed="false">
      <c r="A1080" s="22" t="s">
        <v>4530</v>
      </c>
      <c r="B1080" s="22" t="s">
        <v>19</v>
      </c>
      <c r="C1080" s="22" t="s">
        <v>1924</v>
      </c>
      <c r="D1080" s="22" t="s">
        <v>4531</v>
      </c>
      <c r="E1080" s="22" t="s">
        <v>4532</v>
      </c>
      <c r="F1080" s="22" t="n">
        <v>13</v>
      </c>
      <c r="G1080" s="26" t="n">
        <v>99.55</v>
      </c>
      <c r="H1080" s="26" t="n">
        <v>109.56</v>
      </c>
      <c r="I1080" s="26" t="n">
        <v>129.6</v>
      </c>
      <c r="J1080" s="26" t="n">
        <v>139.62</v>
      </c>
      <c r="K1080" s="26" t="n">
        <v>154.64</v>
      </c>
      <c r="L1080" s="26" t="n">
        <v>2.06</v>
      </c>
      <c r="M1080" s="27" t="n">
        <v>0.005</v>
      </c>
      <c r="N1080" s="27" t="n">
        <v>0.002</v>
      </c>
      <c r="O1080" s="26" t="n">
        <v>5</v>
      </c>
      <c r="P1080" s="26" t="n">
        <v>5</v>
      </c>
      <c r="Q1080" s="28" t="n">
        <v>100</v>
      </c>
      <c r="R1080" s="26" t="n">
        <v>30</v>
      </c>
      <c r="S1080" s="26" t="n">
        <v>0</v>
      </c>
      <c r="T1080" s="28" t="n">
        <v>1</v>
      </c>
      <c r="U1080" s="26" t="n">
        <v>0</v>
      </c>
      <c r="V1080" s="26" t="n">
        <v>0</v>
      </c>
      <c r="W1080" s="22" t="s">
        <v>19</v>
      </c>
      <c r="X1080" s="22" t="s">
        <v>373</v>
      </c>
    </row>
    <row r="1081" customFormat="false" ht="15" hidden="false" customHeight="false" outlineLevel="0" collapsed="false">
      <c r="A1081" s="22" t="s">
        <v>4533</v>
      </c>
      <c r="B1081" s="29" t="s">
        <v>19</v>
      </c>
      <c r="C1081" s="29" t="s">
        <v>4534</v>
      </c>
      <c r="D1081" s="22" t="s">
        <v>4535</v>
      </c>
      <c r="E1081" s="22" t="s">
        <v>4536</v>
      </c>
      <c r="F1081" s="22" t="n">
        <v>13</v>
      </c>
      <c r="G1081" s="26" t="n">
        <v>109.5</v>
      </c>
      <c r="H1081" s="26" t="n">
        <v>120.52</v>
      </c>
      <c r="I1081" s="26" t="n">
        <v>142.56</v>
      </c>
      <c r="J1081" s="26" t="n">
        <v>153.58</v>
      </c>
      <c r="K1081" s="26" t="n">
        <v>170.11</v>
      </c>
      <c r="L1081" s="26" t="n">
        <v>2.06</v>
      </c>
      <c r="M1081" s="27" t="n">
        <v>0.005</v>
      </c>
      <c r="N1081" s="27" t="n">
        <v>0.002</v>
      </c>
      <c r="O1081" s="26" t="n">
        <v>5</v>
      </c>
      <c r="P1081" s="26" t="n">
        <v>5</v>
      </c>
      <c r="Q1081" s="28" t="n">
        <v>100</v>
      </c>
      <c r="R1081" s="26" t="n">
        <v>30</v>
      </c>
      <c r="S1081" s="26" t="n">
        <v>0</v>
      </c>
      <c r="T1081" s="28" t="n">
        <v>1</v>
      </c>
      <c r="U1081" s="26" t="n">
        <v>0</v>
      </c>
      <c r="V1081" s="26" t="n">
        <v>0</v>
      </c>
      <c r="W1081" s="29" t="s">
        <v>20</v>
      </c>
      <c r="X1081" s="22" t="s">
        <v>373</v>
      </c>
    </row>
    <row r="1082" customFormat="false" ht="15" hidden="false" customHeight="false" outlineLevel="0" collapsed="false">
      <c r="A1082" s="22" t="s">
        <v>4537</v>
      </c>
      <c r="B1082" s="22" t="s">
        <v>19</v>
      </c>
      <c r="C1082" s="22" t="s">
        <v>4538</v>
      </c>
      <c r="D1082" s="22" t="s">
        <v>4539</v>
      </c>
      <c r="E1082" s="22" t="s">
        <v>4540</v>
      </c>
      <c r="F1082" s="22" t="n">
        <v>13</v>
      </c>
      <c r="G1082" s="26" t="n">
        <v>99.55</v>
      </c>
      <c r="H1082" s="26" t="n">
        <v>109.56</v>
      </c>
      <c r="I1082" s="26" t="n">
        <v>129.6</v>
      </c>
      <c r="J1082" s="26" t="n">
        <v>139.62</v>
      </c>
      <c r="K1082" s="26" t="n">
        <v>154.64</v>
      </c>
      <c r="L1082" s="26" t="n">
        <v>2.06</v>
      </c>
      <c r="M1082" s="27" t="n">
        <v>0.005</v>
      </c>
      <c r="N1082" s="27" t="n">
        <v>0.002</v>
      </c>
      <c r="O1082" s="26" t="n">
        <v>5</v>
      </c>
      <c r="P1082" s="26" t="n">
        <v>5</v>
      </c>
      <c r="Q1082" s="28" t="n">
        <v>100</v>
      </c>
      <c r="R1082" s="26" t="n">
        <v>30</v>
      </c>
      <c r="S1082" s="26" t="n">
        <v>0</v>
      </c>
      <c r="T1082" s="28" t="n">
        <v>1</v>
      </c>
      <c r="U1082" s="26" t="n">
        <v>0</v>
      </c>
      <c r="V1082" s="26" t="n">
        <v>0</v>
      </c>
      <c r="W1082" s="22" t="s">
        <v>19</v>
      </c>
      <c r="X1082" s="22" t="s">
        <v>373</v>
      </c>
    </row>
    <row r="1083" customFormat="false" ht="15" hidden="false" customHeight="false" outlineLevel="0" collapsed="false">
      <c r="A1083" s="22" t="s">
        <v>4541</v>
      </c>
      <c r="B1083" s="22" t="s">
        <v>19</v>
      </c>
      <c r="C1083" s="22" t="s">
        <v>3730</v>
      </c>
      <c r="D1083" s="22" t="s">
        <v>4542</v>
      </c>
      <c r="E1083" s="22" t="s">
        <v>4543</v>
      </c>
      <c r="F1083" s="22" t="n">
        <v>17</v>
      </c>
      <c r="G1083" s="26" t="n">
        <v>99.55</v>
      </c>
      <c r="H1083" s="26" t="n">
        <v>109.56</v>
      </c>
      <c r="I1083" s="26" t="n">
        <v>129.6</v>
      </c>
      <c r="J1083" s="26" t="n">
        <v>139.62</v>
      </c>
      <c r="K1083" s="26" t="n">
        <v>154.64</v>
      </c>
      <c r="L1083" s="26" t="n">
        <v>2.06</v>
      </c>
      <c r="M1083" s="27" t="n">
        <v>0.005</v>
      </c>
      <c r="N1083" s="27" t="n">
        <v>0.002</v>
      </c>
      <c r="O1083" s="26" t="n">
        <v>5</v>
      </c>
      <c r="P1083" s="26" t="n">
        <v>5</v>
      </c>
      <c r="Q1083" s="28" t="n">
        <v>100</v>
      </c>
      <c r="R1083" s="26" t="n">
        <v>30</v>
      </c>
      <c r="S1083" s="26" t="n">
        <v>0</v>
      </c>
      <c r="T1083" s="28" t="n">
        <v>1</v>
      </c>
      <c r="U1083" s="26" t="n">
        <v>0</v>
      </c>
      <c r="V1083" s="26" t="n">
        <v>250</v>
      </c>
      <c r="W1083" s="22" t="s">
        <v>19</v>
      </c>
      <c r="X1083" s="22" t="s">
        <v>373</v>
      </c>
    </row>
    <row r="1084" customFormat="false" ht="15" hidden="false" customHeight="false" outlineLevel="0" collapsed="false">
      <c r="A1084" s="22" t="s">
        <v>4544</v>
      </c>
      <c r="B1084" s="22" t="s">
        <v>19</v>
      </c>
      <c r="C1084" s="22" t="s">
        <v>4545</v>
      </c>
      <c r="D1084" s="22" t="s">
        <v>4546</v>
      </c>
      <c r="E1084" s="22" t="s">
        <v>4547</v>
      </c>
      <c r="F1084" s="22" t="n">
        <v>13</v>
      </c>
      <c r="G1084" s="26" t="n">
        <v>99.55</v>
      </c>
      <c r="H1084" s="26" t="n">
        <v>109.56</v>
      </c>
      <c r="I1084" s="26" t="n">
        <v>129.6</v>
      </c>
      <c r="J1084" s="26" t="n">
        <v>139.62</v>
      </c>
      <c r="K1084" s="26" t="n">
        <v>154.64</v>
      </c>
      <c r="L1084" s="26" t="n">
        <v>2.06</v>
      </c>
      <c r="M1084" s="27" t="n">
        <v>0.005</v>
      </c>
      <c r="N1084" s="27" t="n">
        <v>0.002</v>
      </c>
      <c r="O1084" s="26" t="n">
        <v>5</v>
      </c>
      <c r="P1084" s="26" t="n">
        <v>5</v>
      </c>
      <c r="Q1084" s="28" t="n">
        <v>100</v>
      </c>
      <c r="R1084" s="26" t="n">
        <v>30</v>
      </c>
      <c r="S1084" s="26" t="n">
        <v>0</v>
      </c>
      <c r="T1084" s="28" t="n">
        <v>1</v>
      </c>
      <c r="U1084" s="26" t="n">
        <v>0</v>
      </c>
      <c r="V1084" s="26" t="n">
        <v>0</v>
      </c>
      <c r="W1084" s="22" t="s">
        <v>19</v>
      </c>
      <c r="X1084" s="22" t="s">
        <v>373</v>
      </c>
    </row>
    <row r="1085" customFormat="false" ht="15" hidden="false" customHeight="false" outlineLevel="0" collapsed="false">
      <c r="A1085" s="22" t="s">
        <v>4548</v>
      </c>
      <c r="B1085" s="22" t="s">
        <v>19</v>
      </c>
      <c r="C1085" s="22" t="s">
        <v>4549</v>
      </c>
      <c r="D1085" s="22" t="s">
        <v>4550</v>
      </c>
      <c r="E1085" s="22" t="s">
        <v>4551</v>
      </c>
      <c r="F1085" s="22" t="n">
        <v>13</v>
      </c>
      <c r="G1085" s="26" t="n">
        <v>99.55</v>
      </c>
      <c r="H1085" s="26" t="n">
        <v>109.56</v>
      </c>
      <c r="I1085" s="26" t="n">
        <v>129.6</v>
      </c>
      <c r="J1085" s="26" t="n">
        <v>139.62</v>
      </c>
      <c r="K1085" s="26" t="n">
        <v>154.64</v>
      </c>
      <c r="L1085" s="26" t="n">
        <v>2.06</v>
      </c>
      <c r="M1085" s="27" t="n">
        <v>0.005</v>
      </c>
      <c r="N1085" s="27" t="n">
        <v>0.002</v>
      </c>
      <c r="O1085" s="26" t="n">
        <v>5</v>
      </c>
      <c r="P1085" s="26" t="n">
        <v>5</v>
      </c>
      <c r="Q1085" s="28" t="n">
        <v>100</v>
      </c>
      <c r="R1085" s="26" t="n">
        <v>30</v>
      </c>
      <c r="S1085" s="26" t="n">
        <v>0</v>
      </c>
      <c r="T1085" s="28" t="n">
        <v>1</v>
      </c>
      <c r="U1085" s="26" t="n">
        <v>0</v>
      </c>
      <c r="V1085" s="26" t="n">
        <v>250</v>
      </c>
      <c r="W1085" s="22" t="s">
        <v>19</v>
      </c>
      <c r="X1085" s="22" t="s">
        <v>373</v>
      </c>
    </row>
    <row r="1086" customFormat="false" ht="15" hidden="false" customHeight="false" outlineLevel="0" collapsed="false">
      <c r="A1086" s="22" t="s">
        <v>4552</v>
      </c>
      <c r="B1086" s="22" t="s">
        <v>19</v>
      </c>
      <c r="C1086" s="22" t="s">
        <v>4553</v>
      </c>
      <c r="D1086" s="22" t="s">
        <v>4554</v>
      </c>
      <c r="E1086" s="22" t="s">
        <v>4555</v>
      </c>
      <c r="F1086" s="22" t="n">
        <v>13</v>
      </c>
      <c r="G1086" s="26" t="n">
        <v>99.55</v>
      </c>
      <c r="H1086" s="26" t="n">
        <v>109.56</v>
      </c>
      <c r="I1086" s="26" t="n">
        <v>129.6</v>
      </c>
      <c r="J1086" s="26" t="n">
        <v>139.62</v>
      </c>
      <c r="K1086" s="26" t="n">
        <v>154.64</v>
      </c>
      <c r="L1086" s="26" t="n">
        <v>2.06</v>
      </c>
      <c r="M1086" s="27" t="n">
        <v>0.005</v>
      </c>
      <c r="N1086" s="27" t="n">
        <v>0.002</v>
      </c>
      <c r="O1086" s="26" t="n">
        <v>5</v>
      </c>
      <c r="P1086" s="26" t="n">
        <v>5</v>
      </c>
      <c r="Q1086" s="28" t="n">
        <v>100</v>
      </c>
      <c r="R1086" s="26" t="n">
        <v>30</v>
      </c>
      <c r="S1086" s="26" t="n">
        <v>0</v>
      </c>
      <c r="T1086" s="28" t="n">
        <v>1</v>
      </c>
      <c r="U1086" s="26" t="n">
        <v>0</v>
      </c>
      <c r="V1086" s="26" t="n">
        <v>250</v>
      </c>
      <c r="W1086" s="22" t="s">
        <v>19</v>
      </c>
      <c r="X1086" s="22" t="s">
        <v>373</v>
      </c>
    </row>
    <row r="1087" customFormat="false" ht="15" hidden="false" customHeight="false" outlineLevel="0" collapsed="false">
      <c r="A1087" s="22" t="s">
        <v>4556</v>
      </c>
      <c r="B1087" s="22" t="s">
        <v>19</v>
      </c>
      <c r="C1087" s="22" t="s">
        <v>4557</v>
      </c>
      <c r="D1087" s="22" t="s">
        <v>4558</v>
      </c>
      <c r="E1087" s="22" t="s">
        <v>4559</v>
      </c>
      <c r="F1087" s="22" t="n">
        <v>13</v>
      </c>
      <c r="G1087" s="26" t="n">
        <v>99.55</v>
      </c>
      <c r="H1087" s="26" t="n">
        <v>109.56</v>
      </c>
      <c r="I1087" s="26" t="n">
        <v>129.6</v>
      </c>
      <c r="J1087" s="26" t="n">
        <v>139.62</v>
      </c>
      <c r="K1087" s="26" t="n">
        <v>154.64</v>
      </c>
      <c r="L1087" s="26" t="n">
        <v>2.06</v>
      </c>
      <c r="M1087" s="27" t="n">
        <v>0.005</v>
      </c>
      <c r="N1087" s="27" t="n">
        <v>0.002</v>
      </c>
      <c r="O1087" s="26" t="n">
        <v>5</v>
      </c>
      <c r="P1087" s="26" t="n">
        <v>5</v>
      </c>
      <c r="Q1087" s="28" t="n">
        <v>100</v>
      </c>
      <c r="R1087" s="26" t="n">
        <v>30</v>
      </c>
      <c r="S1087" s="26" t="n">
        <v>0</v>
      </c>
      <c r="T1087" s="28" t="n">
        <v>1</v>
      </c>
      <c r="U1087" s="26" t="n">
        <v>0</v>
      </c>
      <c r="V1087" s="26" t="n">
        <v>0</v>
      </c>
      <c r="W1087" s="22" t="s">
        <v>19</v>
      </c>
      <c r="X1087" s="22" t="s">
        <v>373</v>
      </c>
    </row>
    <row r="1088" customFormat="false" ht="15" hidden="false" customHeight="false" outlineLevel="0" collapsed="false">
      <c r="A1088" s="22" t="s">
        <v>4560</v>
      </c>
      <c r="B1088" s="22" t="s">
        <v>19</v>
      </c>
      <c r="C1088" s="22" t="s">
        <v>4561</v>
      </c>
      <c r="D1088" s="22" t="s">
        <v>4562</v>
      </c>
      <c r="E1088" s="22" t="s">
        <v>4563</v>
      </c>
      <c r="F1088" s="22" t="n">
        <v>13</v>
      </c>
      <c r="G1088" s="26" t="n">
        <v>99.55</v>
      </c>
      <c r="H1088" s="26" t="n">
        <v>109.56</v>
      </c>
      <c r="I1088" s="26" t="n">
        <v>129.6</v>
      </c>
      <c r="J1088" s="26" t="n">
        <v>139.62</v>
      </c>
      <c r="K1088" s="26" t="n">
        <v>154.64</v>
      </c>
      <c r="L1088" s="26" t="n">
        <v>2.06</v>
      </c>
      <c r="M1088" s="27" t="n">
        <v>0.005</v>
      </c>
      <c r="N1088" s="27" t="n">
        <v>0.002</v>
      </c>
      <c r="O1088" s="26" t="n">
        <v>5</v>
      </c>
      <c r="P1088" s="26" t="n">
        <v>5</v>
      </c>
      <c r="Q1088" s="28" t="n">
        <v>100</v>
      </c>
      <c r="R1088" s="26" t="n">
        <v>30</v>
      </c>
      <c r="S1088" s="26" t="n">
        <v>0</v>
      </c>
      <c r="T1088" s="28" t="n">
        <v>1</v>
      </c>
      <c r="U1088" s="26" t="n">
        <v>0</v>
      </c>
      <c r="V1088" s="26" t="n">
        <v>0</v>
      </c>
      <c r="W1088" s="22" t="s">
        <v>19</v>
      </c>
      <c r="X1088" s="22" t="s">
        <v>373</v>
      </c>
    </row>
    <row r="1089" customFormat="false" ht="15" hidden="false" customHeight="false" outlineLevel="0" collapsed="false">
      <c r="A1089" s="22" t="s">
        <v>4564</v>
      </c>
      <c r="B1089" s="29" t="s">
        <v>19</v>
      </c>
      <c r="C1089" s="29" t="s">
        <v>4565</v>
      </c>
      <c r="D1089" s="22" t="s">
        <v>4566</v>
      </c>
      <c r="E1089" s="22" t="s">
        <v>4567</v>
      </c>
      <c r="F1089" s="22" t="n">
        <v>13</v>
      </c>
      <c r="G1089" s="26" t="n">
        <v>109.5</v>
      </c>
      <c r="H1089" s="26" t="n">
        <v>120.52</v>
      </c>
      <c r="I1089" s="26" t="n">
        <v>142.56</v>
      </c>
      <c r="J1089" s="26" t="n">
        <v>153.58</v>
      </c>
      <c r="K1089" s="26" t="n">
        <v>170.11</v>
      </c>
      <c r="L1089" s="26" t="n">
        <v>2.06</v>
      </c>
      <c r="M1089" s="27" t="n">
        <v>0.005</v>
      </c>
      <c r="N1089" s="27" t="n">
        <v>0.002</v>
      </c>
      <c r="O1089" s="26" t="n">
        <v>5</v>
      </c>
      <c r="P1089" s="26" t="n">
        <v>5</v>
      </c>
      <c r="Q1089" s="28" t="n">
        <v>100</v>
      </c>
      <c r="R1089" s="26" t="n">
        <v>30</v>
      </c>
      <c r="S1089" s="26" t="n">
        <v>0</v>
      </c>
      <c r="T1089" s="28" t="n">
        <v>1</v>
      </c>
      <c r="U1089" s="26" t="n">
        <v>0</v>
      </c>
      <c r="V1089" s="26" t="n">
        <v>0</v>
      </c>
      <c r="W1089" s="29" t="s">
        <v>20</v>
      </c>
      <c r="X1089" s="22" t="s">
        <v>373</v>
      </c>
    </row>
    <row r="1090" customFormat="false" ht="15" hidden="false" customHeight="false" outlineLevel="0" collapsed="false">
      <c r="A1090" s="22" t="s">
        <v>4568</v>
      </c>
      <c r="B1090" s="22" t="s">
        <v>19</v>
      </c>
      <c r="C1090" s="22" t="s">
        <v>4569</v>
      </c>
      <c r="D1090" s="22" t="s">
        <v>4570</v>
      </c>
      <c r="E1090" s="22" t="s">
        <v>4571</v>
      </c>
      <c r="F1090" s="22" t="n">
        <v>13</v>
      </c>
      <c r="G1090" s="26" t="n">
        <v>99.55</v>
      </c>
      <c r="H1090" s="26" t="n">
        <v>109.56</v>
      </c>
      <c r="I1090" s="26" t="n">
        <v>129.6</v>
      </c>
      <c r="J1090" s="26" t="n">
        <v>139.62</v>
      </c>
      <c r="K1090" s="26" t="n">
        <v>154.64</v>
      </c>
      <c r="L1090" s="26" t="n">
        <v>2.06</v>
      </c>
      <c r="M1090" s="27" t="n">
        <v>0.005</v>
      </c>
      <c r="N1090" s="27" t="n">
        <v>0.002</v>
      </c>
      <c r="O1090" s="26" t="n">
        <v>5</v>
      </c>
      <c r="P1090" s="26" t="n">
        <v>5</v>
      </c>
      <c r="Q1090" s="28" t="n">
        <v>100</v>
      </c>
      <c r="R1090" s="26" t="n">
        <v>30</v>
      </c>
      <c r="S1090" s="26" t="n">
        <v>0</v>
      </c>
      <c r="T1090" s="28" t="n">
        <v>1</v>
      </c>
      <c r="U1090" s="26" t="n">
        <v>0</v>
      </c>
      <c r="V1090" s="26" t="n">
        <v>0</v>
      </c>
      <c r="W1090" s="22" t="s">
        <v>19</v>
      </c>
      <c r="X1090" s="22" t="s">
        <v>373</v>
      </c>
    </row>
    <row r="1091" customFormat="false" ht="15" hidden="false" customHeight="false" outlineLevel="0" collapsed="false">
      <c r="A1091" s="22" t="s">
        <v>4572</v>
      </c>
      <c r="B1091" s="22" t="s">
        <v>19</v>
      </c>
      <c r="C1091" s="22" t="s">
        <v>4573</v>
      </c>
      <c r="D1091" s="22" t="s">
        <v>4574</v>
      </c>
      <c r="E1091" s="22" t="s">
        <v>4575</v>
      </c>
      <c r="F1091" s="22" t="n">
        <v>13</v>
      </c>
      <c r="G1091" s="26" t="n">
        <v>99.55</v>
      </c>
      <c r="H1091" s="26" t="n">
        <v>109.56</v>
      </c>
      <c r="I1091" s="26" t="n">
        <v>129.6</v>
      </c>
      <c r="J1091" s="26" t="n">
        <v>139.62</v>
      </c>
      <c r="K1091" s="26" t="n">
        <v>154.64</v>
      </c>
      <c r="L1091" s="26" t="n">
        <v>2.06</v>
      </c>
      <c r="M1091" s="27" t="n">
        <v>0.005</v>
      </c>
      <c r="N1091" s="27" t="n">
        <v>0.002</v>
      </c>
      <c r="O1091" s="26" t="n">
        <v>5</v>
      </c>
      <c r="P1091" s="26" t="n">
        <v>5</v>
      </c>
      <c r="Q1091" s="28" t="n">
        <v>100</v>
      </c>
      <c r="R1091" s="26" t="n">
        <v>30</v>
      </c>
      <c r="S1091" s="26" t="n">
        <v>0</v>
      </c>
      <c r="T1091" s="28" t="n">
        <v>1</v>
      </c>
      <c r="U1091" s="26" t="n">
        <v>0</v>
      </c>
      <c r="V1091" s="26" t="n">
        <v>250</v>
      </c>
      <c r="W1091" s="22" t="s">
        <v>19</v>
      </c>
      <c r="X1091" s="22" t="s">
        <v>373</v>
      </c>
    </row>
    <row r="1092" customFormat="false" ht="15" hidden="false" customHeight="false" outlineLevel="0" collapsed="false">
      <c r="A1092" s="22" t="s">
        <v>4576</v>
      </c>
      <c r="B1092" s="29" t="s">
        <v>19</v>
      </c>
      <c r="C1092" s="29" t="s">
        <v>4577</v>
      </c>
      <c r="D1092" s="22" t="s">
        <v>4578</v>
      </c>
      <c r="E1092" s="22" t="s">
        <v>4579</v>
      </c>
      <c r="F1092" s="22" t="n">
        <v>13</v>
      </c>
      <c r="G1092" s="26" t="n">
        <v>109.5</v>
      </c>
      <c r="H1092" s="26" t="n">
        <v>120.52</v>
      </c>
      <c r="I1092" s="26" t="n">
        <v>142.56</v>
      </c>
      <c r="J1092" s="26" t="n">
        <v>153.58</v>
      </c>
      <c r="K1092" s="26" t="n">
        <v>170.11</v>
      </c>
      <c r="L1092" s="26" t="n">
        <v>2.06</v>
      </c>
      <c r="M1092" s="27" t="n">
        <v>0.005</v>
      </c>
      <c r="N1092" s="27" t="n">
        <v>0.002</v>
      </c>
      <c r="O1092" s="26" t="n">
        <v>5</v>
      </c>
      <c r="P1092" s="26" t="n">
        <v>5</v>
      </c>
      <c r="Q1092" s="28" t="n">
        <v>100</v>
      </c>
      <c r="R1092" s="26" t="n">
        <v>30</v>
      </c>
      <c r="S1092" s="26" t="n">
        <v>0</v>
      </c>
      <c r="T1092" s="28" t="n">
        <v>1</v>
      </c>
      <c r="U1092" s="26" t="n">
        <v>0</v>
      </c>
      <c r="V1092" s="26" t="n">
        <v>0</v>
      </c>
      <c r="W1092" s="29" t="s">
        <v>20</v>
      </c>
      <c r="X1092" s="22" t="s">
        <v>373</v>
      </c>
    </row>
    <row r="1093" customFormat="false" ht="15" hidden="false" customHeight="false" outlineLevel="0" collapsed="false">
      <c r="A1093" s="22" t="s">
        <v>4580</v>
      </c>
      <c r="B1093" s="22" t="s">
        <v>19</v>
      </c>
      <c r="C1093" s="22" t="s">
        <v>3746</v>
      </c>
      <c r="D1093" s="22" t="s">
        <v>4581</v>
      </c>
      <c r="E1093" s="22" t="s">
        <v>4582</v>
      </c>
      <c r="F1093" s="22" t="n">
        <v>17</v>
      </c>
      <c r="G1093" s="26" t="n">
        <v>99.55</v>
      </c>
      <c r="H1093" s="26" t="n">
        <v>109.56</v>
      </c>
      <c r="I1093" s="26" t="n">
        <v>129.6</v>
      </c>
      <c r="J1093" s="26" t="n">
        <v>139.62</v>
      </c>
      <c r="K1093" s="26" t="n">
        <v>154.64</v>
      </c>
      <c r="L1093" s="26" t="n">
        <v>2.06</v>
      </c>
      <c r="M1093" s="27" t="n">
        <v>0.005</v>
      </c>
      <c r="N1093" s="27" t="n">
        <v>0.002</v>
      </c>
      <c r="O1093" s="26" t="n">
        <v>5</v>
      </c>
      <c r="P1093" s="26" t="n">
        <v>5</v>
      </c>
      <c r="Q1093" s="28" t="n">
        <v>100</v>
      </c>
      <c r="R1093" s="26" t="n">
        <v>30</v>
      </c>
      <c r="S1093" s="26" t="n">
        <v>0</v>
      </c>
      <c r="T1093" s="28" t="n">
        <v>1</v>
      </c>
      <c r="U1093" s="26" t="n">
        <v>0</v>
      </c>
      <c r="V1093" s="26" t="n">
        <v>250</v>
      </c>
      <c r="W1093" s="22" t="s">
        <v>19</v>
      </c>
      <c r="X1093" s="22" t="s">
        <v>373</v>
      </c>
    </row>
    <row r="1094" customFormat="false" ht="15" hidden="false" customHeight="false" outlineLevel="0" collapsed="false">
      <c r="A1094" s="22" t="s">
        <v>4583</v>
      </c>
      <c r="B1094" s="29" t="s">
        <v>19</v>
      </c>
      <c r="C1094" s="29" t="s">
        <v>1964</v>
      </c>
      <c r="D1094" s="22" t="s">
        <v>4584</v>
      </c>
      <c r="E1094" s="22" t="s">
        <v>4585</v>
      </c>
      <c r="F1094" s="22" t="n">
        <v>13</v>
      </c>
      <c r="G1094" s="26" t="n">
        <v>212.67</v>
      </c>
      <c r="H1094" s="26" t="n">
        <v>234.8</v>
      </c>
      <c r="I1094" s="26" t="n">
        <v>256.93</v>
      </c>
      <c r="J1094" s="26" t="n">
        <v>273.53</v>
      </c>
      <c r="K1094" s="26" t="n">
        <v>290.13</v>
      </c>
      <c r="L1094" s="26" t="n">
        <v>2.65</v>
      </c>
      <c r="M1094" s="27" t="n">
        <v>0.005</v>
      </c>
      <c r="N1094" s="27" t="n">
        <v>0.002</v>
      </c>
      <c r="O1094" s="26" t="n">
        <v>5</v>
      </c>
      <c r="P1094" s="26" t="n">
        <v>5</v>
      </c>
      <c r="Q1094" s="28" t="n">
        <v>100</v>
      </c>
      <c r="R1094" s="26" t="n">
        <v>30</v>
      </c>
      <c r="S1094" s="26" t="n">
        <v>0</v>
      </c>
      <c r="T1094" s="28" t="n">
        <v>1</v>
      </c>
      <c r="U1094" s="26" t="n">
        <v>0</v>
      </c>
      <c r="V1094" s="26" t="n">
        <v>0</v>
      </c>
      <c r="W1094" s="29" t="s">
        <v>18</v>
      </c>
      <c r="X1094" s="22" t="s">
        <v>373</v>
      </c>
    </row>
    <row r="1095" customFormat="false" ht="15" hidden="false" customHeight="false" outlineLevel="0" collapsed="false">
      <c r="A1095" s="22" t="s">
        <v>4586</v>
      </c>
      <c r="B1095" s="22" t="s">
        <v>19</v>
      </c>
      <c r="C1095" s="22" t="s">
        <v>4587</v>
      </c>
      <c r="D1095" s="22" t="s">
        <v>4588</v>
      </c>
      <c r="E1095" s="22" t="s">
        <v>4589</v>
      </c>
      <c r="F1095" s="22" t="n">
        <v>13</v>
      </c>
      <c r="G1095" s="26" t="n">
        <v>99.55</v>
      </c>
      <c r="H1095" s="26" t="n">
        <v>109.56</v>
      </c>
      <c r="I1095" s="26" t="n">
        <v>129.6</v>
      </c>
      <c r="J1095" s="26" t="n">
        <v>139.62</v>
      </c>
      <c r="K1095" s="26" t="n">
        <v>154.64</v>
      </c>
      <c r="L1095" s="26" t="n">
        <v>2.06</v>
      </c>
      <c r="M1095" s="27" t="n">
        <v>0.005</v>
      </c>
      <c r="N1095" s="27" t="n">
        <v>0.002</v>
      </c>
      <c r="O1095" s="26" t="n">
        <v>5</v>
      </c>
      <c r="P1095" s="26" t="n">
        <v>5</v>
      </c>
      <c r="Q1095" s="28" t="n">
        <v>100</v>
      </c>
      <c r="R1095" s="26" t="n">
        <v>30</v>
      </c>
      <c r="S1095" s="26" t="n">
        <v>0</v>
      </c>
      <c r="T1095" s="28" t="n">
        <v>1</v>
      </c>
      <c r="U1095" s="26" t="n">
        <v>0</v>
      </c>
      <c r="V1095" s="26" t="n">
        <v>0</v>
      </c>
      <c r="W1095" s="22" t="s">
        <v>19</v>
      </c>
      <c r="X1095" s="22" t="s">
        <v>373</v>
      </c>
    </row>
    <row r="1096" customFormat="false" ht="15" hidden="false" customHeight="false" outlineLevel="0" collapsed="false">
      <c r="A1096" s="22" t="s">
        <v>4590</v>
      </c>
      <c r="B1096" s="22" t="s">
        <v>19</v>
      </c>
      <c r="C1096" s="22" t="s">
        <v>4591</v>
      </c>
      <c r="D1096" s="22" t="s">
        <v>4592</v>
      </c>
      <c r="E1096" s="22" t="s">
        <v>4593</v>
      </c>
      <c r="F1096" s="22" t="n">
        <v>13</v>
      </c>
      <c r="G1096" s="26" t="n">
        <v>99.55</v>
      </c>
      <c r="H1096" s="26" t="n">
        <v>109.56</v>
      </c>
      <c r="I1096" s="26" t="n">
        <v>129.6</v>
      </c>
      <c r="J1096" s="26" t="n">
        <v>139.62</v>
      </c>
      <c r="K1096" s="26" t="n">
        <v>154.64</v>
      </c>
      <c r="L1096" s="26" t="n">
        <v>2.06</v>
      </c>
      <c r="M1096" s="27" t="n">
        <v>0.005</v>
      </c>
      <c r="N1096" s="27" t="n">
        <v>0.002</v>
      </c>
      <c r="O1096" s="26" t="n">
        <v>5</v>
      </c>
      <c r="P1096" s="26" t="n">
        <v>5</v>
      </c>
      <c r="Q1096" s="28" t="n">
        <v>100</v>
      </c>
      <c r="R1096" s="26" t="n">
        <v>30</v>
      </c>
      <c r="S1096" s="26" t="n">
        <v>0</v>
      </c>
      <c r="T1096" s="28" t="n">
        <v>1</v>
      </c>
      <c r="U1096" s="26" t="n">
        <v>0</v>
      </c>
      <c r="V1096" s="26" t="n">
        <v>0</v>
      </c>
      <c r="W1096" s="22" t="s">
        <v>19</v>
      </c>
      <c r="X1096" s="22" t="s">
        <v>373</v>
      </c>
    </row>
    <row r="1097" customFormat="false" ht="15" hidden="false" customHeight="false" outlineLevel="0" collapsed="false">
      <c r="A1097" s="22" t="s">
        <v>4594</v>
      </c>
      <c r="B1097" s="22" t="s">
        <v>19</v>
      </c>
      <c r="C1097" s="22" t="s">
        <v>4595</v>
      </c>
      <c r="D1097" s="22" t="s">
        <v>4596</v>
      </c>
      <c r="E1097" s="22" t="s">
        <v>4597</v>
      </c>
      <c r="F1097" s="22" t="n">
        <v>13</v>
      </c>
      <c r="G1097" s="26" t="n">
        <v>99.55</v>
      </c>
      <c r="H1097" s="26" t="n">
        <v>109.56</v>
      </c>
      <c r="I1097" s="26" t="n">
        <v>129.6</v>
      </c>
      <c r="J1097" s="26" t="n">
        <v>139.62</v>
      </c>
      <c r="K1097" s="26" t="n">
        <v>154.64</v>
      </c>
      <c r="L1097" s="26" t="n">
        <v>2.06</v>
      </c>
      <c r="M1097" s="27" t="n">
        <v>0.005</v>
      </c>
      <c r="N1097" s="27" t="n">
        <v>0.002</v>
      </c>
      <c r="O1097" s="26" t="n">
        <v>5</v>
      </c>
      <c r="P1097" s="26" t="n">
        <v>5</v>
      </c>
      <c r="Q1097" s="28" t="n">
        <v>100</v>
      </c>
      <c r="R1097" s="26" t="n">
        <v>30</v>
      </c>
      <c r="S1097" s="26" t="n">
        <v>0</v>
      </c>
      <c r="T1097" s="28" t="n">
        <v>1</v>
      </c>
      <c r="U1097" s="26" t="n">
        <v>0</v>
      </c>
      <c r="V1097" s="26" t="n">
        <v>250</v>
      </c>
      <c r="W1097" s="22" t="s">
        <v>19</v>
      </c>
      <c r="X1097" s="22" t="s">
        <v>373</v>
      </c>
    </row>
    <row r="1098" customFormat="false" ht="15" hidden="false" customHeight="false" outlineLevel="0" collapsed="false">
      <c r="A1098" s="22" t="s">
        <v>4598</v>
      </c>
      <c r="B1098" s="22" t="s">
        <v>19</v>
      </c>
      <c r="C1098" s="22" t="s">
        <v>4599</v>
      </c>
      <c r="D1098" s="22" t="s">
        <v>4600</v>
      </c>
      <c r="E1098" s="22" t="s">
        <v>4601</v>
      </c>
      <c r="F1098" s="22" t="n">
        <v>13</v>
      </c>
      <c r="G1098" s="26" t="n">
        <v>99.55</v>
      </c>
      <c r="H1098" s="26" t="n">
        <v>109.56</v>
      </c>
      <c r="I1098" s="26" t="n">
        <v>129.6</v>
      </c>
      <c r="J1098" s="26" t="n">
        <v>139.62</v>
      </c>
      <c r="K1098" s="26" t="n">
        <v>154.64</v>
      </c>
      <c r="L1098" s="26" t="n">
        <v>2.06</v>
      </c>
      <c r="M1098" s="27" t="n">
        <v>0.005</v>
      </c>
      <c r="N1098" s="27" t="n">
        <v>0.002</v>
      </c>
      <c r="O1098" s="26" t="n">
        <v>5</v>
      </c>
      <c r="P1098" s="26" t="n">
        <v>5</v>
      </c>
      <c r="Q1098" s="28" t="n">
        <v>100</v>
      </c>
      <c r="R1098" s="26" t="n">
        <v>30</v>
      </c>
      <c r="S1098" s="26" t="n">
        <v>0</v>
      </c>
      <c r="T1098" s="28" t="n">
        <v>1</v>
      </c>
      <c r="U1098" s="26" t="n">
        <v>0</v>
      </c>
      <c r="V1098" s="26" t="n">
        <v>0</v>
      </c>
      <c r="W1098" s="22" t="s">
        <v>19</v>
      </c>
      <c r="X1098" s="22" t="s">
        <v>373</v>
      </c>
    </row>
    <row r="1099" customFormat="false" ht="15" hidden="false" customHeight="false" outlineLevel="0" collapsed="false">
      <c r="A1099" s="22" t="s">
        <v>4602</v>
      </c>
      <c r="B1099" s="29" t="s">
        <v>19</v>
      </c>
      <c r="C1099" s="29" t="s">
        <v>3773</v>
      </c>
      <c r="D1099" s="22" t="s">
        <v>4603</v>
      </c>
      <c r="E1099" s="22" t="s">
        <v>4604</v>
      </c>
      <c r="F1099" s="22" t="n">
        <v>13</v>
      </c>
      <c r="G1099" s="26" t="n">
        <v>212.67</v>
      </c>
      <c r="H1099" s="26" t="n">
        <v>234.8</v>
      </c>
      <c r="I1099" s="26" t="n">
        <v>256.93</v>
      </c>
      <c r="J1099" s="26" t="n">
        <v>273.53</v>
      </c>
      <c r="K1099" s="26" t="n">
        <v>290.13</v>
      </c>
      <c r="L1099" s="26" t="n">
        <v>2.65</v>
      </c>
      <c r="M1099" s="27" t="n">
        <v>0.005</v>
      </c>
      <c r="N1099" s="27" t="n">
        <v>0.002</v>
      </c>
      <c r="O1099" s="26" t="n">
        <v>5</v>
      </c>
      <c r="P1099" s="26" t="n">
        <v>5</v>
      </c>
      <c r="Q1099" s="28" t="n">
        <v>100</v>
      </c>
      <c r="R1099" s="26" t="n">
        <v>30</v>
      </c>
      <c r="S1099" s="26" t="n">
        <v>0</v>
      </c>
      <c r="T1099" s="28" t="n">
        <v>1</v>
      </c>
      <c r="U1099" s="26" t="n">
        <v>0</v>
      </c>
      <c r="V1099" s="26" t="n">
        <v>0</v>
      </c>
      <c r="W1099" s="29" t="s">
        <v>18</v>
      </c>
      <c r="X1099" s="22" t="s">
        <v>373</v>
      </c>
    </row>
    <row r="1100" customFormat="false" ht="15" hidden="false" customHeight="false" outlineLevel="0" collapsed="false">
      <c r="A1100" s="22" t="s">
        <v>4605</v>
      </c>
      <c r="B1100" s="22" t="s">
        <v>19</v>
      </c>
      <c r="C1100" s="22" t="s">
        <v>4606</v>
      </c>
      <c r="D1100" s="22" t="s">
        <v>4607</v>
      </c>
      <c r="E1100" s="22" t="s">
        <v>4608</v>
      </c>
      <c r="F1100" s="22" t="n">
        <v>13</v>
      </c>
      <c r="G1100" s="26" t="n">
        <v>99.55</v>
      </c>
      <c r="H1100" s="26" t="n">
        <v>109.56</v>
      </c>
      <c r="I1100" s="26" t="n">
        <v>129.6</v>
      </c>
      <c r="J1100" s="26" t="n">
        <v>139.62</v>
      </c>
      <c r="K1100" s="26" t="n">
        <v>154.64</v>
      </c>
      <c r="L1100" s="26" t="n">
        <v>2.06</v>
      </c>
      <c r="M1100" s="27" t="n">
        <v>0.005</v>
      </c>
      <c r="N1100" s="27" t="n">
        <v>0.002</v>
      </c>
      <c r="O1100" s="26" t="n">
        <v>5</v>
      </c>
      <c r="P1100" s="26" t="n">
        <v>5</v>
      </c>
      <c r="Q1100" s="28" t="n">
        <v>100</v>
      </c>
      <c r="R1100" s="26" t="n">
        <v>30</v>
      </c>
      <c r="S1100" s="26" t="n">
        <v>0</v>
      </c>
      <c r="T1100" s="28" t="n">
        <v>1</v>
      </c>
      <c r="U1100" s="26" t="n">
        <v>0</v>
      </c>
      <c r="V1100" s="26" t="n">
        <v>0</v>
      </c>
      <c r="W1100" s="22" t="s">
        <v>19</v>
      </c>
      <c r="X1100" s="22" t="s">
        <v>373</v>
      </c>
    </row>
    <row r="1101" customFormat="false" ht="15" hidden="false" customHeight="false" outlineLevel="0" collapsed="false">
      <c r="A1101" s="22" t="s">
        <v>4609</v>
      </c>
      <c r="B1101" s="29" t="s">
        <v>19</v>
      </c>
      <c r="C1101" s="29" t="s">
        <v>4610</v>
      </c>
      <c r="D1101" s="22" t="s">
        <v>4611</v>
      </c>
      <c r="E1101" s="22" t="s">
        <v>4612</v>
      </c>
      <c r="F1101" s="22" t="n">
        <v>13</v>
      </c>
      <c r="G1101" s="26" t="n">
        <v>91.58</v>
      </c>
      <c r="H1101" s="26" t="n">
        <v>103.1</v>
      </c>
      <c r="I1101" s="26" t="n">
        <v>114.62</v>
      </c>
      <c r="J1101" s="26" t="n">
        <v>126.14</v>
      </c>
      <c r="K1101" s="26" t="n">
        <v>143.42</v>
      </c>
      <c r="L1101" s="26" t="n">
        <v>2.06</v>
      </c>
      <c r="M1101" s="27" t="n">
        <v>0.005</v>
      </c>
      <c r="N1101" s="27" t="n">
        <v>0.002</v>
      </c>
      <c r="O1101" s="26" t="n">
        <v>5</v>
      </c>
      <c r="P1101" s="26" t="n">
        <v>5</v>
      </c>
      <c r="Q1101" s="28" t="n">
        <v>100</v>
      </c>
      <c r="R1101" s="26" t="n">
        <v>30</v>
      </c>
      <c r="S1101" s="26" t="n">
        <v>0</v>
      </c>
      <c r="T1101" s="28" t="n">
        <v>1</v>
      </c>
      <c r="U1101" s="26" t="n">
        <v>0</v>
      </c>
      <c r="V1101" s="26" t="n">
        <v>0</v>
      </c>
      <c r="W1101" s="29" t="s">
        <v>23</v>
      </c>
      <c r="X1101" s="22" t="s">
        <v>373</v>
      </c>
    </row>
    <row r="1102" customFormat="false" ht="15" hidden="false" customHeight="false" outlineLevel="0" collapsed="false">
      <c r="A1102" s="22" t="s">
        <v>4613</v>
      </c>
      <c r="B1102" s="22" t="s">
        <v>19</v>
      </c>
      <c r="C1102" s="22" t="s">
        <v>4614</v>
      </c>
      <c r="D1102" s="22" t="s">
        <v>4615</v>
      </c>
      <c r="E1102" s="22" t="s">
        <v>4616</v>
      </c>
      <c r="F1102" s="22" t="n">
        <v>13</v>
      </c>
      <c r="G1102" s="26" t="n">
        <v>99.55</v>
      </c>
      <c r="H1102" s="26" t="n">
        <v>109.56</v>
      </c>
      <c r="I1102" s="26" t="n">
        <v>129.6</v>
      </c>
      <c r="J1102" s="26" t="n">
        <v>139.62</v>
      </c>
      <c r="K1102" s="26" t="n">
        <v>154.64</v>
      </c>
      <c r="L1102" s="26" t="n">
        <v>2.06</v>
      </c>
      <c r="M1102" s="27" t="n">
        <v>0.005</v>
      </c>
      <c r="N1102" s="27" t="n">
        <v>0.002</v>
      </c>
      <c r="O1102" s="26" t="n">
        <v>5</v>
      </c>
      <c r="P1102" s="26" t="n">
        <v>5</v>
      </c>
      <c r="Q1102" s="28" t="n">
        <v>100</v>
      </c>
      <c r="R1102" s="26" t="n">
        <v>30</v>
      </c>
      <c r="S1102" s="26" t="n">
        <v>0</v>
      </c>
      <c r="T1102" s="28" t="n">
        <v>1</v>
      </c>
      <c r="U1102" s="26" t="n">
        <v>0</v>
      </c>
      <c r="V1102" s="26" t="n">
        <v>0</v>
      </c>
      <c r="W1102" s="22" t="s">
        <v>19</v>
      </c>
      <c r="X1102" s="22" t="s">
        <v>373</v>
      </c>
    </row>
    <row r="1103" customFormat="false" ht="15" hidden="false" customHeight="false" outlineLevel="0" collapsed="false">
      <c r="A1103" s="22" t="s">
        <v>4617</v>
      </c>
      <c r="B1103" s="22" t="s">
        <v>19</v>
      </c>
      <c r="C1103" s="22" t="s">
        <v>4618</v>
      </c>
      <c r="D1103" s="22" t="s">
        <v>4619</v>
      </c>
      <c r="E1103" s="22" t="s">
        <v>4620</v>
      </c>
      <c r="F1103" s="22" t="n">
        <v>13</v>
      </c>
      <c r="G1103" s="26" t="n">
        <v>99.55</v>
      </c>
      <c r="H1103" s="26" t="n">
        <v>109.56</v>
      </c>
      <c r="I1103" s="26" t="n">
        <v>129.6</v>
      </c>
      <c r="J1103" s="26" t="n">
        <v>139.62</v>
      </c>
      <c r="K1103" s="26" t="n">
        <v>154.64</v>
      </c>
      <c r="L1103" s="26" t="n">
        <v>2.06</v>
      </c>
      <c r="M1103" s="27" t="n">
        <v>0.005</v>
      </c>
      <c r="N1103" s="27" t="n">
        <v>0.002</v>
      </c>
      <c r="O1103" s="26" t="n">
        <v>5</v>
      </c>
      <c r="P1103" s="26" t="n">
        <v>5</v>
      </c>
      <c r="Q1103" s="28" t="n">
        <v>100</v>
      </c>
      <c r="R1103" s="26" t="n">
        <v>30</v>
      </c>
      <c r="S1103" s="26" t="n">
        <v>0</v>
      </c>
      <c r="T1103" s="28" t="n">
        <v>1</v>
      </c>
      <c r="U1103" s="26" t="n">
        <v>0</v>
      </c>
      <c r="V1103" s="26" t="n">
        <v>0</v>
      </c>
      <c r="W1103" s="22" t="s">
        <v>19</v>
      </c>
      <c r="X1103" s="22" t="s">
        <v>373</v>
      </c>
    </row>
    <row r="1104" customFormat="false" ht="15" hidden="false" customHeight="false" outlineLevel="0" collapsed="false">
      <c r="A1104" s="22" t="s">
        <v>4621</v>
      </c>
      <c r="B1104" s="22" t="s">
        <v>19</v>
      </c>
      <c r="C1104" s="22" t="s">
        <v>4622</v>
      </c>
      <c r="D1104" s="22" t="s">
        <v>4623</v>
      </c>
      <c r="E1104" s="22" t="s">
        <v>4624</v>
      </c>
      <c r="F1104" s="22" t="n">
        <v>13</v>
      </c>
      <c r="G1104" s="26" t="n">
        <v>99.55</v>
      </c>
      <c r="H1104" s="26" t="n">
        <v>109.56</v>
      </c>
      <c r="I1104" s="26" t="n">
        <v>129.6</v>
      </c>
      <c r="J1104" s="26" t="n">
        <v>139.62</v>
      </c>
      <c r="K1104" s="26" t="n">
        <v>154.64</v>
      </c>
      <c r="L1104" s="26" t="n">
        <v>2.06</v>
      </c>
      <c r="M1104" s="27" t="n">
        <v>0.005</v>
      </c>
      <c r="N1104" s="27" t="n">
        <v>0.002</v>
      </c>
      <c r="O1104" s="26" t="n">
        <v>5</v>
      </c>
      <c r="P1104" s="26" t="n">
        <v>5</v>
      </c>
      <c r="Q1104" s="28" t="n">
        <v>100</v>
      </c>
      <c r="R1104" s="26" t="n">
        <v>30</v>
      </c>
      <c r="S1104" s="26" t="n">
        <v>0</v>
      </c>
      <c r="T1104" s="28" t="n">
        <v>1</v>
      </c>
      <c r="U1104" s="26" t="n">
        <v>0</v>
      </c>
      <c r="V1104" s="26" t="n">
        <v>0</v>
      </c>
      <c r="W1104" s="22" t="s">
        <v>19</v>
      </c>
      <c r="X1104" s="22" t="s">
        <v>373</v>
      </c>
    </row>
    <row r="1105" customFormat="false" ht="15" hidden="false" customHeight="false" outlineLevel="0" collapsed="false">
      <c r="A1105" s="22" t="s">
        <v>4625</v>
      </c>
      <c r="B1105" s="22" t="s">
        <v>19</v>
      </c>
      <c r="C1105" s="22" t="s">
        <v>4626</v>
      </c>
      <c r="D1105" s="22" t="s">
        <v>4627</v>
      </c>
      <c r="E1105" s="22" t="s">
        <v>4628</v>
      </c>
      <c r="F1105" s="22" t="n">
        <v>13</v>
      </c>
      <c r="G1105" s="26" t="n">
        <v>99.55</v>
      </c>
      <c r="H1105" s="26" t="n">
        <v>109.56</v>
      </c>
      <c r="I1105" s="26" t="n">
        <v>129.6</v>
      </c>
      <c r="J1105" s="26" t="n">
        <v>139.62</v>
      </c>
      <c r="K1105" s="26" t="n">
        <v>154.64</v>
      </c>
      <c r="L1105" s="26" t="n">
        <v>2.06</v>
      </c>
      <c r="M1105" s="27" t="n">
        <v>0.005</v>
      </c>
      <c r="N1105" s="27" t="n">
        <v>0.002</v>
      </c>
      <c r="O1105" s="26" t="n">
        <v>5</v>
      </c>
      <c r="P1105" s="26" t="n">
        <v>5</v>
      </c>
      <c r="Q1105" s="28" t="n">
        <v>100</v>
      </c>
      <c r="R1105" s="26" t="n">
        <v>30</v>
      </c>
      <c r="S1105" s="26" t="n">
        <v>0</v>
      </c>
      <c r="T1105" s="28" t="n">
        <v>1</v>
      </c>
      <c r="U1105" s="26" t="n">
        <v>0</v>
      </c>
      <c r="V1105" s="26" t="n">
        <v>0</v>
      </c>
      <c r="W1105" s="22" t="s">
        <v>19</v>
      </c>
      <c r="X1105" s="22" t="s">
        <v>373</v>
      </c>
    </row>
    <row r="1106" customFormat="false" ht="15" hidden="false" customHeight="false" outlineLevel="0" collapsed="false">
      <c r="A1106" s="22" t="s">
        <v>4629</v>
      </c>
      <c r="B1106" s="22" t="s">
        <v>19</v>
      </c>
      <c r="C1106" s="22" t="s">
        <v>4630</v>
      </c>
      <c r="D1106" s="22" t="s">
        <v>4631</v>
      </c>
      <c r="E1106" s="22" t="s">
        <v>4632</v>
      </c>
      <c r="F1106" s="22" t="n">
        <v>13</v>
      </c>
      <c r="G1106" s="26" t="n">
        <v>99.55</v>
      </c>
      <c r="H1106" s="26" t="n">
        <v>109.56</v>
      </c>
      <c r="I1106" s="26" t="n">
        <v>129.6</v>
      </c>
      <c r="J1106" s="26" t="n">
        <v>139.62</v>
      </c>
      <c r="K1106" s="26" t="n">
        <v>154.64</v>
      </c>
      <c r="L1106" s="26" t="n">
        <v>2.06</v>
      </c>
      <c r="M1106" s="27" t="n">
        <v>0.005</v>
      </c>
      <c r="N1106" s="27" t="n">
        <v>0.002</v>
      </c>
      <c r="O1106" s="26" t="n">
        <v>5</v>
      </c>
      <c r="P1106" s="26" t="n">
        <v>5</v>
      </c>
      <c r="Q1106" s="28" t="n">
        <v>100</v>
      </c>
      <c r="R1106" s="26" t="n">
        <v>30</v>
      </c>
      <c r="S1106" s="26" t="n">
        <v>0</v>
      </c>
      <c r="T1106" s="28" t="n">
        <v>1</v>
      </c>
      <c r="U1106" s="26" t="n">
        <v>0</v>
      </c>
      <c r="V1106" s="26" t="n">
        <v>0</v>
      </c>
      <c r="W1106" s="22" t="s">
        <v>19</v>
      </c>
      <c r="X1106" s="22" t="s">
        <v>373</v>
      </c>
    </row>
    <row r="1107" customFormat="false" ht="15" hidden="false" customHeight="false" outlineLevel="0" collapsed="false">
      <c r="A1107" s="22" t="s">
        <v>4633</v>
      </c>
      <c r="B1107" s="22" t="s">
        <v>19</v>
      </c>
      <c r="C1107" s="22" t="s">
        <v>4634</v>
      </c>
      <c r="D1107" s="22" t="s">
        <v>4635</v>
      </c>
      <c r="E1107" s="22" t="s">
        <v>4636</v>
      </c>
      <c r="F1107" s="22" t="n">
        <v>13</v>
      </c>
      <c r="G1107" s="26" t="n">
        <v>99.55</v>
      </c>
      <c r="H1107" s="26" t="n">
        <v>109.56</v>
      </c>
      <c r="I1107" s="26" t="n">
        <v>129.6</v>
      </c>
      <c r="J1107" s="26" t="n">
        <v>139.62</v>
      </c>
      <c r="K1107" s="26" t="n">
        <v>154.64</v>
      </c>
      <c r="L1107" s="26" t="n">
        <v>2.06</v>
      </c>
      <c r="M1107" s="27" t="n">
        <v>0.005</v>
      </c>
      <c r="N1107" s="27" t="n">
        <v>0.002</v>
      </c>
      <c r="O1107" s="26" t="n">
        <v>5</v>
      </c>
      <c r="P1107" s="26" t="n">
        <v>5</v>
      </c>
      <c r="Q1107" s="28" t="n">
        <v>100</v>
      </c>
      <c r="R1107" s="26" t="n">
        <v>30</v>
      </c>
      <c r="S1107" s="26" t="n">
        <v>0</v>
      </c>
      <c r="T1107" s="28" t="n">
        <v>1</v>
      </c>
      <c r="U1107" s="26" t="n">
        <v>0</v>
      </c>
      <c r="V1107" s="26" t="n">
        <v>0</v>
      </c>
      <c r="W1107" s="22" t="s">
        <v>19</v>
      </c>
      <c r="X1107" s="22" t="s">
        <v>373</v>
      </c>
    </row>
    <row r="1108" customFormat="false" ht="15" hidden="false" customHeight="false" outlineLevel="0" collapsed="false">
      <c r="A1108" s="22" t="s">
        <v>4637</v>
      </c>
      <c r="B1108" s="22" t="s">
        <v>19</v>
      </c>
      <c r="C1108" s="22" t="s">
        <v>4638</v>
      </c>
      <c r="D1108" s="22" t="s">
        <v>4639</v>
      </c>
      <c r="E1108" s="22" t="s">
        <v>4640</v>
      </c>
      <c r="F1108" s="22" t="n">
        <v>13</v>
      </c>
      <c r="G1108" s="26" t="n">
        <v>99.55</v>
      </c>
      <c r="H1108" s="26" t="n">
        <v>109.56</v>
      </c>
      <c r="I1108" s="26" t="n">
        <v>129.6</v>
      </c>
      <c r="J1108" s="26" t="n">
        <v>139.62</v>
      </c>
      <c r="K1108" s="26" t="n">
        <v>154.64</v>
      </c>
      <c r="L1108" s="26" t="n">
        <v>2.06</v>
      </c>
      <c r="M1108" s="27" t="n">
        <v>0.005</v>
      </c>
      <c r="N1108" s="27" t="n">
        <v>0.002</v>
      </c>
      <c r="O1108" s="26" t="n">
        <v>5</v>
      </c>
      <c r="P1108" s="26" t="n">
        <v>5</v>
      </c>
      <c r="Q1108" s="28" t="n">
        <v>100</v>
      </c>
      <c r="R1108" s="26" t="n">
        <v>30</v>
      </c>
      <c r="S1108" s="26" t="n">
        <v>0</v>
      </c>
      <c r="T1108" s="28" t="n">
        <v>1</v>
      </c>
      <c r="U1108" s="26" t="n">
        <v>0</v>
      </c>
      <c r="V1108" s="26" t="n">
        <v>0</v>
      </c>
      <c r="W1108" s="22" t="s">
        <v>19</v>
      </c>
      <c r="X1108" s="22" t="s">
        <v>373</v>
      </c>
    </row>
    <row r="1109" customFormat="false" ht="15" hidden="false" customHeight="false" outlineLevel="0" collapsed="false">
      <c r="A1109" s="22" t="s">
        <v>4641</v>
      </c>
      <c r="B1109" s="22" t="s">
        <v>19</v>
      </c>
      <c r="C1109" s="22" t="s">
        <v>4642</v>
      </c>
      <c r="D1109" s="22" t="s">
        <v>4643</v>
      </c>
      <c r="E1109" s="22" t="s">
        <v>4644</v>
      </c>
      <c r="F1109" s="22" t="n">
        <v>13</v>
      </c>
      <c r="G1109" s="26" t="n">
        <v>99.55</v>
      </c>
      <c r="H1109" s="26" t="n">
        <v>109.56</v>
      </c>
      <c r="I1109" s="26" t="n">
        <v>129.6</v>
      </c>
      <c r="J1109" s="26" t="n">
        <v>139.62</v>
      </c>
      <c r="K1109" s="26" t="n">
        <v>154.64</v>
      </c>
      <c r="L1109" s="26" t="n">
        <v>2.06</v>
      </c>
      <c r="M1109" s="27" t="n">
        <v>0.005</v>
      </c>
      <c r="N1109" s="27" t="n">
        <v>0.002</v>
      </c>
      <c r="O1109" s="26" t="n">
        <v>5</v>
      </c>
      <c r="P1109" s="26" t="n">
        <v>5</v>
      </c>
      <c r="Q1109" s="28" t="n">
        <v>100</v>
      </c>
      <c r="R1109" s="26" t="n">
        <v>30</v>
      </c>
      <c r="S1109" s="26" t="n">
        <v>0</v>
      </c>
      <c r="T1109" s="28" t="n">
        <v>1</v>
      </c>
      <c r="U1109" s="26" t="n">
        <v>0</v>
      </c>
      <c r="V1109" s="26" t="n">
        <v>0</v>
      </c>
      <c r="W1109" s="22" t="s">
        <v>19</v>
      </c>
      <c r="X1109" s="22" t="s">
        <v>373</v>
      </c>
    </row>
    <row r="1110" customFormat="false" ht="15" hidden="false" customHeight="false" outlineLevel="0" collapsed="false">
      <c r="A1110" s="22" t="s">
        <v>4645</v>
      </c>
      <c r="B1110" s="22" t="s">
        <v>19</v>
      </c>
      <c r="C1110" s="22" t="s">
        <v>4646</v>
      </c>
      <c r="D1110" s="22" t="s">
        <v>4647</v>
      </c>
      <c r="E1110" s="22" t="s">
        <v>4648</v>
      </c>
      <c r="F1110" s="22" t="n">
        <v>13</v>
      </c>
      <c r="G1110" s="26" t="n">
        <v>99.55</v>
      </c>
      <c r="H1110" s="26" t="n">
        <v>109.56</v>
      </c>
      <c r="I1110" s="26" t="n">
        <v>129.6</v>
      </c>
      <c r="J1110" s="26" t="n">
        <v>139.62</v>
      </c>
      <c r="K1110" s="26" t="n">
        <v>154.64</v>
      </c>
      <c r="L1110" s="26" t="n">
        <v>2.06</v>
      </c>
      <c r="M1110" s="27" t="n">
        <v>0.005</v>
      </c>
      <c r="N1110" s="27" t="n">
        <v>0.002</v>
      </c>
      <c r="O1110" s="26" t="n">
        <v>5</v>
      </c>
      <c r="P1110" s="26" t="n">
        <v>5</v>
      </c>
      <c r="Q1110" s="28" t="n">
        <v>100</v>
      </c>
      <c r="R1110" s="26" t="n">
        <v>30</v>
      </c>
      <c r="S1110" s="26" t="n">
        <v>0</v>
      </c>
      <c r="T1110" s="28" t="n">
        <v>1</v>
      </c>
      <c r="U1110" s="26" t="n">
        <v>0</v>
      </c>
      <c r="V1110" s="26" t="n">
        <v>0</v>
      </c>
      <c r="W1110" s="22" t="s">
        <v>19</v>
      </c>
      <c r="X1110" s="22" t="s">
        <v>373</v>
      </c>
    </row>
    <row r="1111" customFormat="false" ht="15" hidden="false" customHeight="false" outlineLevel="0" collapsed="false">
      <c r="A1111" s="22" t="s">
        <v>4649</v>
      </c>
      <c r="B1111" s="22" t="s">
        <v>19</v>
      </c>
      <c r="C1111" s="22" t="s">
        <v>4650</v>
      </c>
      <c r="D1111" s="22" t="s">
        <v>4651</v>
      </c>
      <c r="E1111" s="22" t="s">
        <v>4652</v>
      </c>
      <c r="F1111" s="22" t="n">
        <v>13</v>
      </c>
      <c r="G1111" s="26" t="n">
        <v>99.55</v>
      </c>
      <c r="H1111" s="26" t="n">
        <v>109.56</v>
      </c>
      <c r="I1111" s="26" t="n">
        <v>129.6</v>
      </c>
      <c r="J1111" s="26" t="n">
        <v>139.62</v>
      </c>
      <c r="K1111" s="26" t="n">
        <v>154.64</v>
      </c>
      <c r="L1111" s="26" t="n">
        <v>2.06</v>
      </c>
      <c r="M1111" s="27" t="n">
        <v>0.005</v>
      </c>
      <c r="N1111" s="27" t="n">
        <v>0.002</v>
      </c>
      <c r="O1111" s="26" t="n">
        <v>5</v>
      </c>
      <c r="P1111" s="26" t="n">
        <v>5</v>
      </c>
      <c r="Q1111" s="28" t="n">
        <v>100</v>
      </c>
      <c r="R1111" s="26" t="n">
        <v>30</v>
      </c>
      <c r="S1111" s="26" t="n">
        <v>0</v>
      </c>
      <c r="T1111" s="28" t="n">
        <v>1</v>
      </c>
      <c r="U1111" s="26" t="n">
        <v>0</v>
      </c>
      <c r="V1111" s="26" t="n">
        <v>250</v>
      </c>
      <c r="W1111" s="22" t="s">
        <v>19</v>
      </c>
      <c r="X1111" s="22" t="s">
        <v>373</v>
      </c>
    </row>
    <row r="1112" customFormat="false" ht="15" hidden="false" customHeight="false" outlineLevel="0" collapsed="false">
      <c r="A1112" s="22" t="s">
        <v>4653</v>
      </c>
      <c r="B1112" s="22" t="s">
        <v>19</v>
      </c>
      <c r="C1112" s="22" t="s">
        <v>4654</v>
      </c>
      <c r="D1112" s="22" t="s">
        <v>4655</v>
      </c>
      <c r="E1112" s="22" t="s">
        <v>4656</v>
      </c>
      <c r="F1112" s="22" t="n">
        <v>13</v>
      </c>
      <c r="G1112" s="26" t="n">
        <v>99.55</v>
      </c>
      <c r="H1112" s="26" t="n">
        <v>109.56</v>
      </c>
      <c r="I1112" s="26" t="n">
        <v>129.6</v>
      </c>
      <c r="J1112" s="26" t="n">
        <v>139.62</v>
      </c>
      <c r="K1112" s="26" t="n">
        <v>154.64</v>
      </c>
      <c r="L1112" s="26" t="n">
        <v>2.06</v>
      </c>
      <c r="M1112" s="27" t="n">
        <v>0.005</v>
      </c>
      <c r="N1112" s="27" t="n">
        <v>0.002</v>
      </c>
      <c r="O1112" s="26" t="n">
        <v>5</v>
      </c>
      <c r="P1112" s="26" t="n">
        <v>5</v>
      </c>
      <c r="Q1112" s="28" t="n">
        <v>100</v>
      </c>
      <c r="R1112" s="26" t="n">
        <v>30</v>
      </c>
      <c r="S1112" s="26" t="n">
        <v>0</v>
      </c>
      <c r="T1112" s="28" t="n">
        <v>1</v>
      </c>
      <c r="U1112" s="26" t="n">
        <v>0</v>
      </c>
      <c r="V1112" s="26" t="n">
        <v>250</v>
      </c>
      <c r="W1112" s="22" t="s">
        <v>19</v>
      </c>
      <c r="X1112" s="22" t="s">
        <v>373</v>
      </c>
    </row>
    <row r="1113" customFormat="false" ht="15" hidden="false" customHeight="false" outlineLevel="0" collapsed="false">
      <c r="A1113" s="22" t="s">
        <v>4657</v>
      </c>
      <c r="B1113" s="22" t="s">
        <v>19</v>
      </c>
      <c r="C1113" s="22" t="s">
        <v>4658</v>
      </c>
      <c r="D1113" s="22" t="s">
        <v>4659</v>
      </c>
      <c r="E1113" s="22" t="s">
        <v>4660</v>
      </c>
      <c r="F1113" s="22" t="n">
        <v>13</v>
      </c>
      <c r="G1113" s="26" t="n">
        <v>99.55</v>
      </c>
      <c r="H1113" s="26" t="n">
        <v>109.56</v>
      </c>
      <c r="I1113" s="26" t="n">
        <v>129.6</v>
      </c>
      <c r="J1113" s="26" t="n">
        <v>139.62</v>
      </c>
      <c r="K1113" s="26" t="n">
        <v>154.64</v>
      </c>
      <c r="L1113" s="26" t="n">
        <v>2.06</v>
      </c>
      <c r="M1113" s="27" t="n">
        <v>0.005</v>
      </c>
      <c r="N1113" s="27" t="n">
        <v>0.002</v>
      </c>
      <c r="O1113" s="26" t="n">
        <v>5</v>
      </c>
      <c r="P1113" s="26" t="n">
        <v>5</v>
      </c>
      <c r="Q1113" s="28" t="n">
        <v>100</v>
      </c>
      <c r="R1113" s="26" t="n">
        <v>30</v>
      </c>
      <c r="S1113" s="26" t="n">
        <v>0</v>
      </c>
      <c r="T1113" s="28" t="n">
        <v>1</v>
      </c>
      <c r="U1113" s="26" t="n">
        <v>0</v>
      </c>
      <c r="V1113" s="26" t="n">
        <v>0</v>
      </c>
      <c r="W1113" s="22" t="s">
        <v>19</v>
      </c>
      <c r="X1113" s="22" t="s">
        <v>373</v>
      </c>
    </row>
    <row r="1114" customFormat="false" ht="15" hidden="false" customHeight="false" outlineLevel="0" collapsed="false">
      <c r="A1114" s="22" t="s">
        <v>4661</v>
      </c>
      <c r="B1114" s="22" t="s">
        <v>19</v>
      </c>
      <c r="C1114" s="22" t="s">
        <v>4662</v>
      </c>
      <c r="D1114" s="22" t="s">
        <v>4663</v>
      </c>
      <c r="E1114" s="22" t="s">
        <v>4664</v>
      </c>
      <c r="F1114" s="22" t="n">
        <v>13</v>
      </c>
      <c r="G1114" s="26" t="n">
        <v>99.55</v>
      </c>
      <c r="H1114" s="26" t="n">
        <v>109.56</v>
      </c>
      <c r="I1114" s="26" t="n">
        <v>129.6</v>
      </c>
      <c r="J1114" s="26" t="n">
        <v>139.62</v>
      </c>
      <c r="K1114" s="26" t="n">
        <v>154.64</v>
      </c>
      <c r="L1114" s="26" t="n">
        <v>2.06</v>
      </c>
      <c r="M1114" s="27" t="n">
        <v>0.005</v>
      </c>
      <c r="N1114" s="27" t="n">
        <v>0.002</v>
      </c>
      <c r="O1114" s="26" t="n">
        <v>5</v>
      </c>
      <c r="P1114" s="26" t="n">
        <v>5</v>
      </c>
      <c r="Q1114" s="28" t="n">
        <v>100</v>
      </c>
      <c r="R1114" s="26" t="n">
        <v>30</v>
      </c>
      <c r="S1114" s="26" t="n">
        <v>0</v>
      </c>
      <c r="T1114" s="28" t="n">
        <v>1</v>
      </c>
      <c r="U1114" s="26" t="n">
        <v>0</v>
      </c>
      <c r="V1114" s="26" t="n">
        <v>0</v>
      </c>
      <c r="W1114" s="22" t="s">
        <v>19</v>
      </c>
      <c r="X1114" s="22" t="s">
        <v>373</v>
      </c>
    </row>
    <row r="1115" customFormat="false" ht="15" hidden="false" customHeight="false" outlineLevel="0" collapsed="false">
      <c r="A1115" s="22" t="s">
        <v>4665</v>
      </c>
      <c r="B1115" s="22" t="s">
        <v>19</v>
      </c>
      <c r="C1115" s="22" t="s">
        <v>4666</v>
      </c>
      <c r="D1115" s="22" t="s">
        <v>4667</v>
      </c>
      <c r="E1115" s="22" t="s">
        <v>4668</v>
      </c>
      <c r="F1115" s="22" t="n">
        <v>13</v>
      </c>
      <c r="G1115" s="26" t="n">
        <v>99.55</v>
      </c>
      <c r="H1115" s="26" t="n">
        <v>109.56</v>
      </c>
      <c r="I1115" s="26" t="n">
        <v>129.6</v>
      </c>
      <c r="J1115" s="26" t="n">
        <v>139.62</v>
      </c>
      <c r="K1115" s="26" t="n">
        <v>154.64</v>
      </c>
      <c r="L1115" s="26" t="n">
        <v>2.06</v>
      </c>
      <c r="M1115" s="27" t="n">
        <v>0.005</v>
      </c>
      <c r="N1115" s="27" t="n">
        <v>0.002</v>
      </c>
      <c r="O1115" s="26" t="n">
        <v>5</v>
      </c>
      <c r="P1115" s="26" t="n">
        <v>5</v>
      </c>
      <c r="Q1115" s="28" t="n">
        <v>100</v>
      </c>
      <c r="R1115" s="26" t="n">
        <v>30</v>
      </c>
      <c r="S1115" s="26" t="n">
        <v>0</v>
      </c>
      <c r="T1115" s="28" t="n">
        <v>1</v>
      </c>
      <c r="U1115" s="26" t="n">
        <v>0</v>
      </c>
      <c r="V1115" s="26" t="n">
        <v>0</v>
      </c>
      <c r="W1115" s="22" t="s">
        <v>19</v>
      </c>
      <c r="X1115" s="22" t="s">
        <v>373</v>
      </c>
    </row>
    <row r="1116" customFormat="false" ht="15" hidden="false" customHeight="false" outlineLevel="0" collapsed="false">
      <c r="A1116" s="22" t="s">
        <v>4669</v>
      </c>
      <c r="B1116" s="22" t="s">
        <v>19</v>
      </c>
      <c r="C1116" s="22" t="s">
        <v>4670</v>
      </c>
      <c r="D1116" s="22" t="s">
        <v>4671</v>
      </c>
      <c r="E1116" s="22" t="s">
        <v>4672</v>
      </c>
      <c r="F1116" s="22" t="n">
        <v>13</v>
      </c>
      <c r="G1116" s="26" t="n">
        <v>99.55</v>
      </c>
      <c r="H1116" s="26" t="n">
        <v>109.56</v>
      </c>
      <c r="I1116" s="26" t="n">
        <v>129.6</v>
      </c>
      <c r="J1116" s="26" t="n">
        <v>139.62</v>
      </c>
      <c r="K1116" s="26" t="n">
        <v>154.64</v>
      </c>
      <c r="L1116" s="26" t="n">
        <v>2.06</v>
      </c>
      <c r="M1116" s="27" t="n">
        <v>0.005</v>
      </c>
      <c r="N1116" s="27" t="n">
        <v>0.002</v>
      </c>
      <c r="O1116" s="26" t="n">
        <v>5</v>
      </c>
      <c r="P1116" s="26" t="n">
        <v>5</v>
      </c>
      <c r="Q1116" s="28" t="n">
        <v>100</v>
      </c>
      <c r="R1116" s="26" t="n">
        <v>30</v>
      </c>
      <c r="S1116" s="26" t="n">
        <v>0</v>
      </c>
      <c r="T1116" s="28" t="n">
        <v>1</v>
      </c>
      <c r="U1116" s="26" t="n">
        <v>0</v>
      </c>
      <c r="V1116" s="26" t="n">
        <v>0</v>
      </c>
      <c r="W1116" s="22" t="s">
        <v>19</v>
      </c>
      <c r="X1116" s="22" t="s">
        <v>373</v>
      </c>
    </row>
    <row r="1117" customFormat="false" ht="15" hidden="false" customHeight="false" outlineLevel="0" collapsed="false">
      <c r="A1117" s="22" t="s">
        <v>4673</v>
      </c>
      <c r="B1117" s="22" t="s">
        <v>19</v>
      </c>
      <c r="C1117" s="22" t="s">
        <v>4674</v>
      </c>
      <c r="D1117" s="22" t="s">
        <v>4675</v>
      </c>
      <c r="E1117" s="22" t="s">
        <v>4676</v>
      </c>
      <c r="F1117" s="22" t="n">
        <v>13</v>
      </c>
      <c r="G1117" s="26" t="n">
        <v>99.55</v>
      </c>
      <c r="H1117" s="26" t="n">
        <v>109.56</v>
      </c>
      <c r="I1117" s="26" t="n">
        <v>129.6</v>
      </c>
      <c r="J1117" s="26" t="n">
        <v>139.62</v>
      </c>
      <c r="K1117" s="26" t="n">
        <v>154.64</v>
      </c>
      <c r="L1117" s="26" t="n">
        <v>2.06</v>
      </c>
      <c r="M1117" s="27" t="n">
        <v>0.005</v>
      </c>
      <c r="N1117" s="27" t="n">
        <v>0.002</v>
      </c>
      <c r="O1117" s="26" t="n">
        <v>5</v>
      </c>
      <c r="P1117" s="26" t="n">
        <v>5</v>
      </c>
      <c r="Q1117" s="28" t="n">
        <v>100</v>
      </c>
      <c r="R1117" s="26" t="n">
        <v>30</v>
      </c>
      <c r="S1117" s="26" t="n">
        <v>0</v>
      </c>
      <c r="T1117" s="28" t="n">
        <v>1</v>
      </c>
      <c r="U1117" s="26" t="n">
        <v>0</v>
      </c>
      <c r="V1117" s="26" t="n">
        <v>0</v>
      </c>
      <c r="W1117" s="22" t="s">
        <v>19</v>
      </c>
      <c r="X1117" s="22" t="s">
        <v>373</v>
      </c>
    </row>
    <row r="1118" customFormat="false" ht="15" hidden="false" customHeight="false" outlineLevel="0" collapsed="false">
      <c r="A1118" s="22" t="s">
        <v>4677</v>
      </c>
      <c r="B1118" s="22" t="s">
        <v>19</v>
      </c>
      <c r="C1118" s="22" t="s">
        <v>4678</v>
      </c>
      <c r="D1118" s="22" t="s">
        <v>4679</v>
      </c>
      <c r="E1118" s="22" t="s">
        <v>4680</v>
      </c>
      <c r="F1118" s="22" t="n">
        <v>13</v>
      </c>
      <c r="G1118" s="26" t="n">
        <v>99.55</v>
      </c>
      <c r="H1118" s="26" t="n">
        <v>109.56</v>
      </c>
      <c r="I1118" s="26" t="n">
        <v>129.6</v>
      </c>
      <c r="J1118" s="26" t="n">
        <v>139.62</v>
      </c>
      <c r="K1118" s="26" t="n">
        <v>154.64</v>
      </c>
      <c r="L1118" s="26" t="n">
        <v>2.06</v>
      </c>
      <c r="M1118" s="27" t="n">
        <v>0.005</v>
      </c>
      <c r="N1118" s="27" t="n">
        <v>0.002</v>
      </c>
      <c r="O1118" s="26" t="n">
        <v>5</v>
      </c>
      <c r="P1118" s="26" t="n">
        <v>5</v>
      </c>
      <c r="Q1118" s="28" t="n">
        <v>100</v>
      </c>
      <c r="R1118" s="26" t="n">
        <v>30</v>
      </c>
      <c r="S1118" s="26" t="n">
        <v>0</v>
      </c>
      <c r="T1118" s="28" t="n">
        <v>1</v>
      </c>
      <c r="U1118" s="26" t="n">
        <v>0</v>
      </c>
      <c r="V1118" s="26" t="n">
        <v>0</v>
      </c>
      <c r="W1118" s="22" t="s">
        <v>19</v>
      </c>
      <c r="X1118" s="22" t="s">
        <v>373</v>
      </c>
    </row>
    <row r="1119" customFormat="false" ht="15" hidden="false" customHeight="false" outlineLevel="0" collapsed="false">
      <c r="A1119" s="22" t="s">
        <v>4681</v>
      </c>
      <c r="B1119" s="22" t="s">
        <v>19</v>
      </c>
      <c r="C1119" s="22" t="s">
        <v>4682</v>
      </c>
      <c r="D1119" s="22" t="s">
        <v>4683</v>
      </c>
      <c r="E1119" s="22" t="s">
        <v>4684</v>
      </c>
      <c r="F1119" s="22" t="n">
        <v>13</v>
      </c>
      <c r="G1119" s="26" t="n">
        <v>99.55</v>
      </c>
      <c r="H1119" s="26" t="n">
        <v>109.56</v>
      </c>
      <c r="I1119" s="26" t="n">
        <v>129.6</v>
      </c>
      <c r="J1119" s="26" t="n">
        <v>139.62</v>
      </c>
      <c r="K1119" s="26" t="n">
        <v>154.64</v>
      </c>
      <c r="L1119" s="26" t="n">
        <v>2.06</v>
      </c>
      <c r="M1119" s="27" t="n">
        <v>0.005</v>
      </c>
      <c r="N1119" s="27" t="n">
        <v>0.002</v>
      </c>
      <c r="O1119" s="26" t="n">
        <v>5</v>
      </c>
      <c r="P1119" s="26" t="n">
        <v>5</v>
      </c>
      <c r="Q1119" s="28" t="n">
        <v>100</v>
      </c>
      <c r="R1119" s="26" t="n">
        <v>30</v>
      </c>
      <c r="S1119" s="26" t="n">
        <v>0</v>
      </c>
      <c r="T1119" s="28" t="n">
        <v>1</v>
      </c>
      <c r="U1119" s="26" t="n">
        <v>0</v>
      </c>
      <c r="V1119" s="26" t="n">
        <v>0</v>
      </c>
      <c r="W1119" s="22" t="s">
        <v>19</v>
      </c>
      <c r="X1119" s="22" t="s">
        <v>373</v>
      </c>
    </row>
    <row r="1120" customFormat="false" ht="15" hidden="false" customHeight="false" outlineLevel="0" collapsed="false">
      <c r="A1120" s="22" t="s">
        <v>4685</v>
      </c>
      <c r="B1120" s="22" t="s">
        <v>19</v>
      </c>
      <c r="C1120" s="22" t="s">
        <v>4686</v>
      </c>
      <c r="D1120" s="22" t="s">
        <v>4687</v>
      </c>
      <c r="E1120" s="22" t="s">
        <v>4688</v>
      </c>
      <c r="F1120" s="22" t="n">
        <v>13</v>
      </c>
      <c r="G1120" s="26" t="n">
        <v>99.55</v>
      </c>
      <c r="H1120" s="26" t="n">
        <v>109.56</v>
      </c>
      <c r="I1120" s="26" t="n">
        <v>129.6</v>
      </c>
      <c r="J1120" s="26" t="n">
        <v>139.62</v>
      </c>
      <c r="K1120" s="26" t="n">
        <v>154.64</v>
      </c>
      <c r="L1120" s="26" t="n">
        <v>2.06</v>
      </c>
      <c r="M1120" s="27" t="n">
        <v>0.005</v>
      </c>
      <c r="N1120" s="27" t="n">
        <v>0.002</v>
      </c>
      <c r="O1120" s="26" t="n">
        <v>5</v>
      </c>
      <c r="P1120" s="26" t="n">
        <v>5</v>
      </c>
      <c r="Q1120" s="28" t="n">
        <v>100</v>
      </c>
      <c r="R1120" s="26" t="n">
        <v>30</v>
      </c>
      <c r="S1120" s="26" t="n">
        <v>0</v>
      </c>
      <c r="T1120" s="28" t="n">
        <v>1</v>
      </c>
      <c r="U1120" s="26" t="n">
        <v>0</v>
      </c>
      <c r="V1120" s="26" t="n">
        <v>0</v>
      </c>
      <c r="W1120" s="22" t="s">
        <v>19</v>
      </c>
      <c r="X1120" s="22" t="s">
        <v>373</v>
      </c>
    </row>
    <row r="1121" customFormat="false" ht="15" hidden="false" customHeight="false" outlineLevel="0" collapsed="false">
      <c r="A1121" s="22" t="s">
        <v>4689</v>
      </c>
      <c r="B1121" s="22" t="s">
        <v>19</v>
      </c>
      <c r="C1121" s="22" t="s">
        <v>4690</v>
      </c>
      <c r="D1121" s="22" t="s">
        <v>4691</v>
      </c>
      <c r="E1121" s="22" t="s">
        <v>4692</v>
      </c>
      <c r="F1121" s="22" t="n">
        <v>13</v>
      </c>
      <c r="G1121" s="26" t="n">
        <v>99.55</v>
      </c>
      <c r="H1121" s="26" t="n">
        <v>109.56</v>
      </c>
      <c r="I1121" s="26" t="n">
        <v>129.6</v>
      </c>
      <c r="J1121" s="26" t="n">
        <v>139.62</v>
      </c>
      <c r="K1121" s="26" t="n">
        <v>154.64</v>
      </c>
      <c r="L1121" s="26" t="n">
        <v>2.06</v>
      </c>
      <c r="M1121" s="27" t="n">
        <v>0.005</v>
      </c>
      <c r="N1121" s="27" t="n">
        <v>0.002</v>
      </c>
      <c r="O1121" s="26" t="n">
        <v>5</v>
      </c>
      <c r="P1121" s="26" t="n">
        <v>5</v>
      </c>
      <c r="Q1121" s="28" t="n">
        <v>100</v>
      </c>
      <c r="R1121" s="26" t="n">
        <v>30</v>
      </c>
      <c r="S1121" s="26" t="n">
        <v>0</v>
      </c>
      <c r="T1121" s="28" t="n">
        <v>1</v>
      </c>
      <c r="U1121" s="26" t="n">
        <v>0</v>
      </c>
      <c r="V1121" s="26" t="n">
        <v>250</v>
      </c>
      <c r="W1121" s="22" t="s">
        <v>19</v>
      </c>
      <c r="X1121" s="22" t="s">
        <v>373</v>
      </c>
    </row>
    <row r="1122" customFormat="false" ht="15" hidden="false" customHeight="false" outlineLevel="0" collapsed="false">
      <c r="A1122" s="22" t="s">
        <v>4693</v>
      </c>
      <c r="B1122" s="22" t="s">
        <v>19</v>
      </c>
      <c r="C1122" s="22" t="s">
        <v>4694</v>
      </c>
      <c r="D1122" s="22" t="s">
        <v>4695</v>
      </c>
      <c r="E1122" s="22" t="s">
        <v>4696</v>
      </c>
      <c r="F1122" s="22" t="n">
        <v>13</v>
      </c>
      <c r="G1122" s="26" t="n">
        <v>99.55</v>
      </c>
      <c r="H1122" s="26" t="n">
        <v>109.56</v>
      </c>
      <c r="I1122" s="26" t="n">
        <v>129.6</v>
      </c>
      <c r="J1122" s="26" t="n">
        <v>139.62</v>
      </c>
      <c r="K1122" s="26" t="n">
        <v>154.64</v>
      </c>
      <c r="L1122" s="26" t="n">
        <v>2.06</v>
      </c>
      <c r="M1122" s="27" t="n">
        <v>0.005</v>
      </c>
      <c r="N1122" s="27" t="n">
        <v>0.002</v>
      </c>
      <c r="O1122" s="26" t="n">
        <v>5</v>
      </c>
      <c r="P1122" s="26" t="n">
        <v>5</v>
      </c>
      <c r="Q1122" s="28" t="n">
        <v>100</v>
      </c>
      <c r="R1122" s="26" t="n">
        <v>30</v>
      </c>
      <c r="S1122" s="26" t="n">
        <v>0</v>
      </c>
      <c r="T1122" s="28" t="n">
        <v>1</v>
      </c>
      <c r="U1122" s="26" t="n">
        <v>0</v>
      </c>
      <c r="V1122" s="26" t="n">
        <v>250</v>
      </c>
      <c r="W1122" s="22" t="s">
        <v>19</v>
      </c>
      <c r="X1122" s="22" t="s">
        <v>373</v>
      </c>
    </row>
    <row r="1123" customFormat="false" ht="15" hidden="false" customHeight="false" outlineLevel="0" collapsed="false">
      <c r="A1123" s="22" t="s">
        <v>4697</v>
      </c>
      <c r="B1123" s="22" t="s">
        <v>19</v>
      </c>
      <c r="C1123" s="22" t="s">
        <v>4698</v>
      </c>
      <c r="D1123" s="22" t="s">
        <v>4699</v>
      </c>
      <c r="E1123" s="22" t="s">
        <v>4700</v>
      </c>
      <c r="F1123" s="22" t="n">
        <v>13</v>
      </c>
      <c r="G1123" s="26" t="n">
        <v>99.55</v>
      </c>
      <c r="H1123" s="26" t="n">
        <v>109.56</v>
      </c>
      <c r="I1123" s="26" t="n">
        <v>129.6</v>
      </c>
      <c r="J1123" s="26" t="n">
        <v>139.62</v>
      </c>
      <c r="K1123" s="26" t="n">
        <v>154.64</v>
      </c>
      <c r="L1123" s="26" t="n">
        <v>2.06</v>
      </c>
      <c r="M1123" s="27" t="n">
        <v>0.005</v>
      </c>
      <c r="N1123" s="27" t="n">
        <v>0.002</v>
      </c>
      <c r="O1123" s="26" t="n">
        <v>5</v>
      </c>
      <c r="P1123" s="26" t="n">
        <v>5</v>
      </c>
      <c r="Q1123" s="28" t="n">
        <v>100</v>
      </c>
      <c r="R1123" s="26" t="n">
        <v>30</v>
      </c>
      <c r="S1123" s="26" t="n">
        <v>0</v>
      </c>
      <c r="T1123" s="28" t="n">
        <v>1</v>
      </c>
      <c r="U1123" s="26" t="n">
        <v>0</v>
      </c>
      <c r="V1123" s="26" t="n">
        <v>0</v>
      </c>
      <c r="W1123" s="22" t="s">
        <v>19</v>
      </c>
      <c r="X1123" s="22" t="s">
        <v>373</v>
      </c>
    </row>
    <row r="1124" customFormat="false" ht="15" hidden="false" customHeight="false" outlineLevel="0" collapsed="false">
      <c r="A1124" s="22" t="s">
        <v>4701</v>
      </c>
      <c r="B1124" s="22" t="s">
        <v>19</v>
      </c>
      <c r="C1124" s="22" t="s">
        <v>146</v>
      </c>
      <c r="D1124" s="22" t="s">
        <v>4702</v>
      </c>
      <c r="E1124" s="22" t="s">
        <v>4703</v>
      </c>
      <c r="F1124" s="22" t="n">
        <v>13</v>
      </c>
      <c r="G1124" s="26" t="n">
        <v>99.55</v>
      </c>
      <c r="H1124" s="26" t="n">
        <v>109.56</v>
      </c>
      <c r="I1124" s="26" t="n">
        <v>129.6</v>
      </c>
      <c r="J1124" s="26" t="n">
        <v>139.62</v>
      </c>
      <c r="K1124" s="26" t="n">
        <v>154.64</v>
      </c>
      <c r="L1124" s="26" t="n">
        <v>2.06</v>
      </c>
      <c r="M1124" s="27" t="n">
        <v>0.005</v>
      </c>
      <c r="N1124" s="27" t="n">
        <v>0.002</v>
      </c>
      <c r="O1124" s="26" t="n">
        <v>5</v>
      </c>
      <c r="P1124" s="26" t="n">
        <v>5</v>
      </c>
      <c r="Q1124" s="28" t="n">
        <v>100</v>
      </c>
      <c r="R1124" s="26" t="n">
        <v>30</v>
      </c>
      <c r="S1124" s="26" t="n">
        <v>0</v>
      </c>
      <c r="T1124" s="28" t="n">
        <v>1</v>
      </c>
      <c r="U1124" s="26" t="n">
        <v>0</v>
      </c>
      <c r="V1124" s="26" t="n">
        <v>0</v>
      </c>
      <c r="W1124" s="22" t="s">
        <v>19</v>
      </c>
      <c r="X1124" s="22" t="s">
        <v>373</v>
      </c>
    </row>
    <row r="1125" customFormat="false" ht="15" hidden="false" customHeight="false" outlineLevel="0" collapsed="false">
      <c r="A1125" s="22" t="s">
        <v>4704</v>
      </c>
      <c r="B1125" s="22" t="s">
        <v>19</v>
      </c>
      <c r="C1125" s="22" t="s">
        <v>4705</v>
      </c>
      <c r="D1125" s="22" t="s">
        <v>4706</v>
      </c>
      <c r="E1125" s="22" t="s">
        <v>4707</v>
      </c>
      <c r="F1125" s="22" t="n">
        <v>13</v>
      </c>
      <c r="G1125" s="26" t="n">
        <v>99.55</v>
      </c>
      <c r="H1125" s="26" t="n">
        <v>109.56</v>
      </c>
      <c r="I1125" s="26" t="n">
        <v>129.6</v>
      </c>
      <c r="J1125" s="26" t="n">
        <v>139.62</v>
      </c>
      <c r="K1125" s="26" t="n">
        <v>154.64</v>
      </c>
      <c r="L1125" s="26" t="n">
        <v>2.06</v>
      </c>
      <c r="M1125" s="27" t="n">
        <v>0.005</v>
      </c>
      <c r="N1125" s="27" t="n">
        <v>0.002</v>
      </c>
      <c r="O1125" s="26" t="n">
        <v>5</v>
      </c>
      <c r="P1125" s="26" t="n">
        <v>5</v>
      </c>
      <c r="Q1125" s="28" t="n">
        <v>100</v>
      </c>
      <c r="R1125" s="26" t="n">
        <v>30</v>
      </c>
      <c r="S1125" s="26" t="n">
        <v>0</v>
      </c>
      <c r="T1125" s="28" t="n">
        <v>1</v>
      </c>
      <c r="U1125" s="26" t="n">
        <v>0</v>
      </c>
      <c r="V1125" s="26" t="n">
        <v>0</v>
      </c>
      <c r="W1125" s="22" t="s">
        <v>19</v>
      </c>
      <c r="X1125" s="22" t="s">
        <v>373</v>
      </c>
    </row>
    <row r="1126" customFormat="false" ht="15" hidden="false" customHeight="false" outlineLevel="0" collapsed="false">
      <c r="A1126" s="22" t="s">
        <v>4708</v>
      </c>
      <c r="B1126" s="22" t="s">
        <v>19</v>
      </c>
      <c r="C1126" s="22" t="s">
        <v>4709</v>
      </c>
      <c r="D1126" s="22" t="s">
        <v>4710</v>
      </c>
      <c r="E1126" s="22" t="s">
        <v>4711</v>
      </c>
      <c r="F1126" s="22" t="n">
        <v>13</v>
      </c>
      <c r="G1126" s="26" t="n">
        <v>99.55</v>
      </c>
      <c r="H1126" s="26" t="n">
        <v>109.56</v>
      </c>
      <c r="I1126" s="26" t="n">
        <v>129.6</v>
      </c>
      <c r="J1126" s="26" t="n">
        <v>139.62</v>
      </c>
      <c r="K1126" s="26" t="n">
        <v>154.64</v>
      </c>
      <c r="L1126" s="26" t="n">
        <v>2.06</v>
      </c>
      <c r="M1126" s="27" t="n">
        <v>0.005</v>
      </c>
      <c r="N1126" s="27" t="n">
        <v>0.002</v>
      </c>
      <c r="O1126" s="26" t="n">
        <v>5</v>
      </c>
      <c r="P1126" s="26" t="n">
        <v>5</v>
      </c>
      <c r="Q1126" s="28" t="n">
        <v>100</v>
      </c>
      <c r="R1126" s="26" t="n">
        <v>30</v>
      </c>
      <c r="S1126" s="26" t="n">
        <v>0</v>
      </c>
      <c r="T1126" s="28" t="n">
        <v>1</v>
      </c>
      <c r="U1126" s="26" t="n">
        <v>0</v>
      </c>
      <c r="V1126" s="26" t="n">
        <v>0</v>
      </c>
      <c r="W1126" s="22" t="s">
        <v>19</v>
      </c>
      <c r="X1126" s="22" t="s">
        <v>373</v>
      </c>
    </row>
    <row r="1127" customFormat="false" ht="15" hidden="false" customHeight="false" outlineLevel="0" collapsed="false">
      <c r="A1127" s="22" t="s">
        <v>4712</v>
      </c>
      <c r="B1127" s="22" t="s">
        <v>19</v>
      </c>
      <c r="C1127" s="22" t="s">
        <v>4713</v>
      </c>
      <c r="D1127" s="22" t="s">
        <v>4714</v>
      </c>
      <c r="E1127" s="22" t="s">
        <v>4715</v>
      </c>
      <c r="F1127" s="22" t="n">
        <v>13</v>
      </c>
      <c r="G1127" s="26" t="n">
        <v>99.55</v>
      </c>
      <c r="H1127" s="26" t="n">
        <v>109.56</v>
      </c>
      <c r="I1127" s="26" t="n">
        <v>129.6</v>
      </c>
      <c r="J1127" s="26" t="n">
        <v>139.62</v>
      </c>
      <c r="K1127" s="26" t="n">
        <v>154.64</v>
      </c>
      <c r="L1127" s="26" t="n">
        <v>2.06</v>
      </c>
      <c r="M1127" s="27" t="n">
        <v>0.005</v>
      </c>
      <c r="N1127" s="27" t="n">
        <v>0.002</v>
      </c>
      <c r="O1127" s="26" t="n">
        <v>5</v>
      </c>
      <c r="P1127" s="26" t="n">
        <v>5</v>
      </c>
      <c r="Q1127" s="28" t="n">
        <v>100</v>
      </c>
      <c r="R1127" s="26" t="n">
        <v>30</v>
      </c>
      <c r="S1127" s="26" t="n">
        <v>0</v>
      </c>
      <c r="T1127" s="28" t="n">
        <v>1</v>
      </c>
      <c r="U1127" s="26" t="n">
        <v>0</v>
      </c>
      <c r="V1127" s="26" t="n">
        <v>0</v>
      </c>
      <c r="W1127" s="22" t="s">
        <v>19</v>
      </c>
      <c r="X1127" s="22" t="s">
        <v>373</v>
      </c>
    </row>
    <row r="1128" customFormat="false" ht="15" hidden="false" customHeight="false" outlineLevel="0" collapsed="false">
      <c r="A1128" s="22" t="s">
        <v>4716</v>
      </c>
      <c r="B1128" s="22" t="s">
        <v>19</v>
      </c>
      <c r="C1128" s="22" t="s">
        <v>4717</v>
      </c>
      <c r="D1128" s="22" t="s">
        <v>4718</v>
      </c>
      <c r="E1128" s="22" t="s">
        <v>4719</v>
      </c>
      <c r="F1128" s="22" t="n">
        <v>13</v>
      </c>
      <c r="G1128" s="26" t="n">
        <v>99.55</v>
      </c>
      <c r="H1128" s="26" t="n">
        <v>109.56</v>
      </c>
      <c r="I1128" s="26" t="n">
        <v>129.6</v>
      </c>
      <c r="J1128" s="26" t="n">
        <v>139.62</v>
      </c>
      <c r="K1128" s="26" t="n">
        <v>154.64</v>
      </c>
      <c r="L1128" s="26" t="n">
        <v>2.06</v>
      </c>
      <c r="M1128" s="27" t="n">
        <v>0.005</v>
      </c>
      <c r="N1128" s="27" t="n">
        <v>0.002</v>
      </c>
      <c r="O1128" s="26" t="n">
        <v>5</v>
      </c>
      <c r="P1128" s="26" t="n">
        <v>5</v>
      </c>
      <c r="Q1128" s="28" t="n">
        <v>100</v>
      </c>
      <c r="R1128" s="26" t="n">
        <v>30</v>
      </c>
      <c r="S1128" s="26" t="n">
        <v>0</v>
      </c>
      <c r="T1128" s="28" t="n">
        <v>1</v>
      </c>
      <c r="U1128" s="26" t="n">
        <v>0</v>
      </c>
      <c r="V1128" s="26" t="n">
        <v>0</v>
      </c>
      <c r="W1128" s="22" t="s">
        <v>19</v>
      </c>
      <c r="X1128" s="22" t="s">
        <v>373</v>
      </c>
    </row>
    <row r="1129" customFormat="false" ht="15" hidden="false" customHeight="false" outlineLevel="0" collapsed="false">
      <c r="A1129" s="22" t="s">
        <v>4720</v>
      </c>
      <c r="B1129" s="22" t="s">
        <v>19</v>
      </c>
      <c r="C1129" s="22" t="s">
        <v>4721</v>
      </c>
      <c r="D1129" s="22" t="s">
        <v>4722</v>
      </c>
      <c r="E1129" s="22" t="s">
        <v>4723</v>
      </c>
      <c r="F1129" s="22" t="n">
        <v>13</v>
      </c>
      <c r="G1129" s="26" t="n">
        <v>99.55</v>
      </c>
      <c r="H1129" s="26" t="n">
        <v>109.56</v>
      </c>
      <c r="I1129" s="26" t="n">
        <v>129.6</v>
      </c>
      <c r="J1129" s="26" t="n">
        <v>139.62</v>
      </c>
      <c r="K1129" s="26" t="n">
        <v>154.64</v>
      </c>
      <c r="L1129" s="26" t="n">
        <v>2.06</v>
      </c>
      <c r="M1129" s="27" t="n">
        <v>0.005</v>
      </c>
      <c r="N1129" s="27" t="n">
        <v>0.002</v>
      </c>
      <c r="O1129" s="26" t="n">
        <v>5</v>
      </c>
      <c r="P1129" s="26" t="n">
        <v>5</v>
      </c>
      <c r="Q1129" s="28" t="n">
        <v>100</v>
      </c>
      <c r="R1129" s="26" t="n">
        <v>30</v>
      </c>
      <c r="S1129" s="26" t="n">
        <v>0</v>
      </c>
      <c r="T1129" s="28" t="n">
        <v>1</v>
      </c>
      <c r="U1129" s="26" t="n">
        <v>0</v>
      </c>
      <c r="V1129" s="26" t="n">
        <v>0</v>
      </c>
      <c r="W1129" s="22" t="s">
        <v>19</v>
      </c>
      <c r="X1129" s="22" t="s">
        <v>373</v>
      </c>
    </row>
    <row r="1130" customFormat="false" ht="15" hidden="false" customHeight="false" outlineLevel="0" collapsed="false">
      <c r="A1130" s="22" t="s">
        <v>4724</v>
      </c>
      <c r="B1130" s="22" t="s">
        <v>19</v>
      </c>
      <c r="C1130" s="22" t="s">
        <v>4725</v>
      </c>
      <c r="D1130" s="22" t="s">
        <v>4726</v>
      </c>
      <c r="E1130" s="22" t="s">
        <v>4727</v>
      </c>
      <c r="F1130" s="22" t="n">
        <v>13</v>
      </c>
      <c r="G1130" s="26" t="n">
        <v>99.55</v>
      </c>
      <c r="H1130" s="26" t="n">
        <v>109.56</v>
      </c>
      <c r="I1130" s="26" t="n">
        <v>129.6</v>
      </c>
      <c r="J1130" s="26" t="n">
        <v>139.62</v>
      </c>
      <c r="K1130" s="26" t="n">
        <v>154.64</v>
      </c>
      <c r="L1130" s="26" t="n">
        <v>2.06</v>
      </c>
      <c r="M1130" s="27" t="n">
        <v>0.005</v>
      </c>
      <c r="N1130" s="27" t="n">
        <v>0.002</v>
      </c>
      <c r="O1130" s="26" t="n">
        <v>5</v>
      </c>
      <c r="P1130" s="26" t="n">
        <v>5</v>
      </c>
      <c r="Q1130" s="28" t="n">
        <v>100</v>
      </c>
      <c r="R1130" s="26" t="n">
        <v>30</v>
      </c>
      <c r="S1130" s="26" t="n">
        <v>0</v>
      </c>
      <c r="T1130" s="28" t="n">
        <v>1</v>
      </c>
      <c r="U1130" s="26" t="n">
        <v>0</v>
      </c>
      <c r="V1130" s="26" t="n">
        <v>0</v>
      </c>
      <c r="W1130" s="22" t="s">
        <v>19</v>
      </c>
      <c r="X1130" s="22" t="s">
        <v>373</v>
      </c>
    </row>
    <row r="1131" customFormat="false" ht="15" hidden="false" customHeight="false" outlineLevel="0" collapsed="false">
      <c r="A1131" s="22" t="s">
        <v>4728</v>
      </c>
      <c r="B1131" s="22" t="s">
        <v>19</v>
      </c>
      <c r="C1131" s="22" t="s">
        <v>4729</v>
      </c>
      <c r="D1131" s="22" t="s">
        <v>4730</v>
      </c>
      <c r="E1131" s="22" t="s">
        <v>4731</v>
      </c>
      <c r="F1131" s="22" t="n">
        <v>13</v>
      </c>
      <c r="G1131" s="26" t="n">
        <v>99.55</v>
      </c>
      <c r="H1131" s="26" t="n">
        <v>109.56</v>
      </c>
      <c r="I1131" s="26" t="n">
        <v>129.6</v>
      </c>
      <c r="J1131" s="26" t="n">
        <v>139.62</v>
      </c>
      <c r="K1131" s="26" t="n">
        <v>154.64</v>
      </c>
      <c r="L1131" s="26" t="n">
        <v>2.06</v>
      </c>
      <c r="M1131" s="27" t="n">
        <v>0.005</v>
      </c>
      <c r="N1131" s="27" t="n">
        <v>0.002</v>
      </c>
      <c r="O1131" s="26" t="n">
        <v>5</v>
      </c>
      <c r="P1131" s="26" t="n">
        <v>5</v>
      </c>
      <c r="Q1131" s="28" t="n">
        <v>100</v>
      </c>
      <c r="R1131" s="26" t="n">
        <v>30</v>
      </c>
      <c r="S1131" s="26" t="n">
        <v>0</v>
      </c>
      <c r="T1131" s="28" t="n">
        <v>1</v>
      </c>
      <c r="U1131" s="26" t="n">
        <v>0</v>
      </c>
      <c r="V1131" s="26" t="n">
        <v>0</v>
      </c>
      <c r="W1131" s="22" t="s">
        <v>19</v>
      </c>
      <c r="X1131" s="22" t="s">
        <v>373</v>
      </c>
    </row>
    <row r="1132" customFormat="false" ht="15" hidden="false" customHeight="false" outlineLevel="0" collapsed="false">
      <c r="A1132" s="22" t="s">
        <v>4732</v>
      </c>
      <c r="B1132" s="22" t="s">
        <v>19</v>
      </c>
      <c r="C1132" s="22" t="s">
        <v>4733</v>
      </c>
      <c r="D1132" s="22" t="s">
        <v>4734</v>
      </c>
      <c r="E1132" s="22" t="s">
        <v>4735</v>
      </c>
      <c r="F1132" s="22" t="n">
        <v>13</v>
      </c>
      <c r="G1132" s="26" t="n">
        <v>99.55</v>
      </c>
      <c r="H1132" s="26" t="n">
        <v>109.56</v>
      </c>
      <c r="I1132" s="26" t="n">
        <v>129.6</v>
      </c>
      <c r="J1132" s="26" t="n">
        <v>139.62</v>
      </c>
      <c r="K1132" s="26" t="n">
        <v>154.64</v>
      </c>
      <c r="L1132" s="26" t="n">
        <v>2.06</v>
      </c>
      <c r="M1132" s="27" t="n">
        <v>0.005</v>
      </c>
      <c r="N1132" s="27" t="n">
        <v>0.002</v>
      </c>
      <c r="O1132" s="26" t="n">
        <v>5</v>
      </c>
      <c r="P1132" s="26" t="n">
        <v>5</v>
      </c>
      <c r="Q1132" s="28" t="n">
        <v>100</v>
      </c>
      <c r="R1132" s="26" t="n">
        <v>30</v>
      </c>
      <c r="S1132" s="26" t="n">
        <v>0</v>
      </c>
      <c r="T1132" s="28" t="n">
        <v>1</v>
      </c>
      <c r="U1132" s="26" t="n">
        <v>0</v>
      </c>
      <c r="V1132" s="26" t="n">
        <v>0</v>
      </c>
      <c r="W1132" s="22" t="s">
        <v>19</v>
      </c>
      <c r="X1132" s="22" t="s">
        <v>373</v>
      </c>
    </row>
    <row r="1133" customFormat="false" ht="15" hidden="false" customHeight="false" outlineLevel="0" collapsed="false">
      <c r="A1133" s="22" t="s">
        <v>4736</v>
      </c>
      <c r="B1133" s="22" t="s">
        <v>19</v>
      </c>
      <c r="C1133" s="22" t="s">
        <v>4737</v>
      </c>
      <c r="D1133" s="22" t="s">
        <v>4738</v>
      </c>
      <c r="E1133" s="22" t="s">
        <v>4739</v>
      </c>
      <c r="F1133" s="22" t="n">
        <v>13</v>
      </c>
      <c r="G1133" s="26" t="n">
        <v>99.55</v>
      </c>
      <c r="H1133" s="26" t="n">
        <v>109.56</v>
      </c>
      <c r="I1133" s="26" t="n">
        <v>129.6</v>
      </c>
      <c r="J1133" s="26" t="n">
        <v>139.62</v>
      </c>
      <c r="K1133" s="26" t="n">
        <v>154.64</v>
      </c>
      <c r="L1133" s="26" t="n">
        <v>2.06</v>
      </c>
      <c r="M1133" s="27" t="n">
        <v>0.005</v>
      </c>
      <c r="N1133" s="27" t="n">
        <v>0.002</v>
      </c>
      <c r="O1133" s="26" t="n">
        <v>5</v>
      </c>
      <c r="P1133" s="26" t="n">
        <v>5</v>
      </c>
      <c r="Q1133" s="28" t="n">
        <v>100</v>
      </c>
      <c r="R1133" s="26" t="n">
        <v>30</v>
      </c>
      <c r="S1133" s="26" t="n">
        <v>0</v>
      </c>
      <c r="T1133" s="28" t="n">
        <v>1</v>
      </c>
      <c r="U1133" s="26" t="n">
        <v>0</v>
      </c>
      <c r="V1133" s="26" t="n">
        <v>250</v>
      </c>
      <c r="W1133" s="22" t="s">
        <v>19</v>
      </c>
      <c r="X1133" s="22" t="s">
        <v>373</v>
      </c>
    </row>
    <row r="1134" customFormat="false" ht="15" hidden="false" customHeight="false" outlineLevel="0" collapsed="false">
      <c r="A1134" s="22" t="s">
        <v>4740</v>
      </c>
      <c r="B1134" s="22" t="s">
        <v>19</v>
      </c>
      <c r="C1134" s="22" t="s">
        <v>2020</v>
      </c>
      <c r="D1134" s="22" t="s">
        <v>4741</v>
      </c>
      <c r="E1134" s="22" t="s">
        <v>4742</v>
      </c>
      <c r="F1134" s="22" t="n">
        <v>13</v>
      </c>
      <c r="G1134" s="26" t="n">
        <v>99.55</v>
      </c>
      <c r="H1134" s="26" t="n">
        <v>109.56</v>
      </c>
      <c r="I1134" s="26" t="n">
        <v>129.6</v>
      </c>
      <c r="J1134" s="26" t="n">
        <v>139.62</v>
      </c>
      <c r="K1134" s="26" t="n">
        <v>154.64</v>
      </c>
      <c r="L1134" s="26" t="n">
        <v>2.06</v>
      </c>
      <c r="M1134" s="27" t="n">
        <v>0.005</v>
      </c>
      <c r="N1134" s="27" t="n">
        <v>0.002</v>
      </c>
      <c r="O1134" s="26" t="n">
        <v>5</v>
      </c>
      <c r="P1134" s="26" t="n">
        <v>5</v>
      </c>
      <c r="Q1134" s="28" t="n">
        <v>100</v>
      </c>
      <c r="R1134" s="26" t="n">
        <v>30</v>
      </c>
      <c r="S1134" s="26" t="n">
        <v>0</v>
      </c>
      <c r="T1134" s="28" t="n">
        <v>1</v>
      </c>
      <c r="U1134" s="26" t="n">
        <v>0</v>
      </c>
      <c r="V1134" s="26" t="n">
        <v>250</v>
      </c>
      <c r="W1134" s="22" t="s">
        <v>19</v>
      </c>
      <c r="X1134" s="22" t="s">
        <v>373</v>
      </c>
    </row>
    <row r="1135" customFormat="false" ht="15" hidden="false" customHeight="false" outlineLevel="0" collapsed="false">
      <c r="A1135" s="22" t="s">
        <v>4743</v>
      </c>
      <c r="B1135" s="22" t="s">
        <v>19</v>
      </c>
      <c r="C1135" s="22" t="s">
        <v>4744</v>
      </c>
      <c r="D1135" s="22" t="s">
        <v>4745</v>
      </c>
      <c r="E1135" s="22" t="s">
        <v>4746</v>
      </c>
      <c r="F1135" s="22" t="n">
        <v>13</v>
      </c>
      <c r="G1135" s="26" t="n">
        <v>99.55</v>
      </c>
      <c r="H1135" s="26" t="n">
        <v>109.56</v>
      </c>
      <c r="I1135" s="26" t="n">
        <v>129.6</v>
      </c>
      <c r="J1135" s="26" t="n">
        <v>139.62</v>
      </c>
      <c r="K1135" s="26" t="n">
        <v>154.64</v>
      </c>
      <c r="L1135" s="26" t="n">
        <v>2.06</v>
      </c>
      <c r="M1135" s="27" t="n">
        <v>0.005</v>
      </c>
      <c r="N1135" s="27" t="n">
        <v>0.002</v>
      </c>
      <c r="O1135" s="26" t="n">
        <v>5</v>
      </c>
      <c r="P1135" s="26" t="n">
        <v>5</v>
      </c>
      <c r="Q1135" s="28" t="n">
        <v>100</v>
      </c>
      <c r="R1135" s="26" t="n">
        <v>30</v>
      </c>
      <c r="S1135" s="26" t="n">
        <v>0</v>
      </c>
      <c r="T1135" s="28" t="n">
        <v>1</v>
      </c>
      <c r="U1135" s="26" t="n">
        <v>0</v>
      </c>
      <c r="V1135" s="26" t="n">
        <v>0</v>
      </c>
      <c r="W1135" s="22" t="s">
        <v>19</v>
      </c>
      <c r="X1135" s="22" t="s">
        <v>373</v>
      </c>
    </row>
    <row r="1136" customFormat="false" ht="15" hidden="false" customHeight="false" outlineLevel="0" collapsed="false">
      <c r="A1136" s="22" t="s">
        <v>4747</v>
      </c>
      <c r="B1136" s="22" t="s">
        <v>19</v>
      </c>
      <c r="C1136" s="22" t="s">
        <v>4748</v>
      </c>
      <c r="D1136" s="22" t="s">
        <v>4749</v>
      </c>
      <c r="E1136" s="22" t="s">
        <v>4750</v>
      </c>
      <c r="F1136" s="22" t="n">
        <v>13</v>
      </c>
      <c r="G1136" s="26" t="n">
        <v>99.55</v>
      </c>
      <c r="H1136" s="26" t="n">
        <v>109.56</v>
      </c>
      <c r="I1136" s="26" t="n">
        <v>129.6</v>
      </c>
      <c r="J1136" s="26" t="n">
        <v>139.62</v>
      </c>
      <c r="K1136" s="26" t="n">
        <v>154.64</v>
      </c>
      <c r="L1136" s="26" t="n">
        <v>2.06</v>
      </c>
      <c r="M1136" s="27" t="n">
        <v>0.005</v>
      </c>
      <c r="N1136" s="27" t="n">
        <v>0.002</v>
      </c>
      <c r="O1136" s="26" t="n">
        <v>5</v>
      </c>
      <c r="P1136" s="26" t="n">
        <v>5</v>
      </c>
      <c r="Q1136" s="28" t="n">
        <v>100</v>
      </c>
      <c r="R1136" s="26" t="n">
        <v>30</v>
      </c>
      <c r="S1136" s="26" t="n">
        <v>0</v>
      </c>
      <c r="T1136" s="28" t="n">
        <v>1</v>
      </c>
      <c r="U1136" s="26" t="n">
        <v>0</v>
      </c>
      <c r="V1136" s="26" t="n">
        <v>0</v>
      </c>
      <c r="W1136" s="22" t="s">
        <v>19</v>
      </c>
      <c r="X1136" s="22" t="s">
        <v>373</v>
      </c>
    </row>
    <row r="1137" customFormat="false" ht="15" hidden="false" customHeight="false" outlineLevel="0" collapsed="false">
      <c r="A1137" s="22" t="s">
        <v>4751</v>
      </c>
      <c r="B1137" s="22" t="s">
        <v>19</v>
      </c>
      <c r="C1137" s="22" t="s">
        <v>4752</v>
      </c>
      <c r="D1137" s="22" t="s">
        <v>4753</v>
      </c>
      <c r="E1137" s="22" t="s">
        <v>4754</v>
      </c>
      <c r="F1137" s="22" t="n">
        <v>13</v>
      </c>
      <c r="G1137" s="26" t="n">
        <v>99.55</v>
      </c>
      <c r="H1137" s="26" t="n">
        <v>109.56</v>
      </c>
      <c r="I1137" s="26" t="n">
        <v>129.6</v>
      </c>
      <c r="J1137" s="26" t="n">
        <v>139.62</v>
      </c>
      <c r="K1137" s="26" t="n">
        <v>154.64</v>
      </c>
      <c r="L1137" s="26" t="n">
        <v>2.06</v>
      </c>
      <c r="M1137" s="27" t="n">
        <v>0.005</v>
      </c>
      <c r="N1137" s="27" t="n">
        <v>0.002</v>
      </c>
      <c r="O1137" s="26" t="n">
        <v>5</v>
      </c>
      <c r="P1137" s="26" t="n">
        <v>5</v>
      </c>
      <c r="Q1137" s="28" t="n">
        <v>100</v>
      </c>
      <c r="R1137" s="26" t="n">
        <v>30</v>
      </c>
      <c r="S1137" s="26" t="n">
        <v>0</v>
      </c>
      <c r="T1137" s="28" t="n">
        <v>1</v>
      </c>
      <c r="U1137" s="26" t="n">
        <v>0</v>
      </c>
      <c r="V1137" s="26" t="n">
        <v>250</v>
      </c>
      <c r="W1137" s="22" t="s">
        <v>19</v>
      </c>
      <c r="X1137" s="22" t="s">
        <v>373</v>
      </c>
    </row>
    <row r="1138" customFormat="false" ht="15" hidden="false" customHeight="false" outlineLevel="0" collapsed="false">
      <c r="A1138" s="22" t="s">
        <v>4755</v>
      </c>
      <c r="B1138" s="22" t="s">
        <v>19</v>
      </c>
      <c r="C1138" s="22" t="s">
        <v>4756</v>
      </c>
      <c r="D1138" s="22" t="s">
        <v>4757</v>
      </c>
      <c r="E1138" s="22" t="s">
        <v>4758</v>
      </c>
      <c r="F1138" s="22" t="n">
        <v>13</v>
      </c>
      <c r="G1138" s="26" t="n">
        <v>99.55</v>
      </c>
      <c r="H1138" s="26" t="n">
        <v>109.56</v>
      </c>
      <c r="I1138" s="26" t="n">
        <v>129.6</v>
      </c>
      <c r="J1138" s="26" t="n">
        <v>139.62</v>
      </c>
      <c r="K1138" s="26" t="n">
        <v>154.64</v>
      </c>
      <c r="L1138" s="26" t="n">
        <v>2.06</v>
      </c>
      <c r="M1138" s="27" t="n">
        <v>0.005</v>
      </c>
      <c r="N1138" s="27" t="n">
        <v>0.002</v>
      </c>
      <c r="O1138" s="26" t="n">
        <v>5</v>
      </c>
      <c r="P1138" s="26" t="n">
        <v>5</v>
      </c>
      <c r="Q1138" s="28" t="n">
        <v>100</v>
      </c>
      <c r="R1138" s="26" t="n">
        <v>30</v>
      </c>
      <c r="S1138" s="26" t="n">
        <v>0</v>
      </c>
      <c r="T1138" s="28" t="n">
        <v>1</v>
      </c>
      <c r="U1138" s="26" t="n">
        <v>0</v>
      </c>
      <c r="V1138" s="26" t="n">
        <v>250</v>
      </c>
      <c r="W1138" s="22" t="s">
        <v>19</v>
      </c>
      <c r="X1138" s="22" t="s">
        <v>373</v>
      </c>
    </row>
    <row r="1139" customFormat="false" ht="15" hidden="false" customHeight="false" outlineLevel="0" collapsed="false">
      <c r="A1139" s="22" t="s">
        <v>4759</v>
      </c>
      <c r="B1139" s="22" t="s">
        <v>19</v>
      </c>
      <c r="C1139" s="22" t="s">
        <v>4760</v>
      </c>
      <c r="D1139" s="22" t="s">
        <v>4761</v>
      </c>
      <c r="E1139" s="22" t="s">
        <v>4762</v>
      </c>
      <c r="F1139" s="22" t="n">
        <v>13</v>
      </c>
      <c r="G1139" s="26" t="n">
        <v>99.55</v>
      </c>
      <c r="H1139" s="26" t="n">
        <v>109.56</v>
      </c>
      <c r="I1139" s="26" t="n">
        <v>129.6</v>
      </c>
      <c r="J1139" s="26" t="n">
        <v>139.62</v>
      </c>
      <c r="K1139" s="26" t="n">
        <v>154.64</v>
      </c>
      <c r="L1139" s="26" t="n">
        <v>2.06</v>
      </c>
      <c r="M1139" s="27" t="n">
        <v>0.005</v>
      </c>
      <c r="N1139" s="27" t="n">
        <v>0.002</v>
      </c>
      <c r="O1139" s="26" t="n">
        <v>5</v>
      </c>
      <c r="P1139" s="26" t="n">
        <v>5</v>
      </c>
      <c r="Q1139" s="28" t="n">
        <v>100</v>
      </c>
      <c r="R1139" s="26" t="n">
        <v>30</v>
      </c>
      <c r="S1139" s="26" t="n">
        <v>0</v>
      </c>
      <c r="T1139" s="28" t="n">
        <v>1</v>
      </c>
      <c r="U1139" s="26" t="n">
        <v>0</v>
      </c>
      <c r="V1139" s="26" t="n">
        <v>0</v>
      </c>
      <c r="W1139" s="22" t="s">
        <v>19</v>
      </c>
      <c r="X1139" s="22" t="s">
        <v>373</v>
      </c>
    </row>
    <row r="1140" customFormat="false" ht="15" hidden="false" customHeight="false" outlineLevel="0" collapsed="false">
      <c r="A1140" s="22" t="s">
        <v>4763</v>
      </c>
      <c r="B1140" s="22" t="s">
        <v>19</v>
      </c>
      <c r="C1140" s="22" t="s">
        <v>4764</v>
      </c>
      <c r="D1140" s="22" t="s">
        <v>4765</v>
      </c>
      <c r="E1140" s="22" t="s">
        <v>4766</v>
      </c>
      <c r="F1140" s="22" t="n">
        <v>13</v>
      </c>
      <c r="G1140" s="26" t="n">
        <v>99.55</v>
      </c>
      <c r="H1140" s="26" t="n">
        <v>109.56</v>
      </c>
      <c r="I1140" s="26" t="n">
        <v>129.6</v>
      </c>
      <c r="J1140" s="26" t="n">
        <v>139.62</v>
      </c>
      <c r="K1140" s="26" t="n">
        <v>154.64</v>
      </c>
      <c r="L1140" s="26" t="n">
        <v>2.06</v>
      </c>
      <c r="M1140" s="27" t="n">
        <v>0.005</v>
      </c>
      <c r="N1140" s="27" t="n">
        <v>0.002</v>
      </c>
      <c r="O1140" s="26" t="n">
        <v>5</v>
      </c>
      <c r="P1140" s="26" t="n">
        <v>5</v>
      </c>
      <c r="Q1140" s="28" t="n">
        <v>100</v>
      </c>
      <c r="R1140" s="26" t="n">
        <v>30</v>
      </c>
      <c r="S1140" s="26" t="n">
        <v>0</v>
      </c>
      <c r="T1140" s="28" t="n">
        <v>1</v>
      </c>
      <c r="U1140" s="26" t="n">
        <v>0</v>
      </c>
      <c r="V1140" s="26" t="n">
        <v>0</v>
      </c>
      <c r="W1140" s="22" t="s">
        <v>19</v>
      </c>
      <c r="X1140" s="22" t="s">
        <v>373</v>
      </c>
    </row>
    <row r="1141" customFormat="false" ht="15" hidden="false" customHeight="false" outlineLevel="0" collapsed="false">
      <c r="A1141" s="22" t="s">
        <v>4767</v>
      </c>
      <c r="B1141" s="22" t="s">
        <v>19</v>
      </c>
      <c r="C1141" s="22" t="s">
        <v>4768</v>
      </c>
      <c r="D1141" s="22" t="s">
        <v>4769</v>
      </c>
      <c r="E1141" s="22" t="s">
        <v>4770</v>
      </c>
      <c r="F1141" s="22" t="n">
        <v>13</v>
      </c>
      <c r="G1141" s="26" t="n">
        <v>99.55</v>
      </c>
      <c r="H1141" s="26" t="n">
        <v>109.56</v>
      </c>
      <c r="I1141" s="26" t="n">
        <v>129.6</v>
      </c>
      <c r="J1141" s="26" t="n">
        <v>139.62</v>
      </c>
      <c r="K1141" s="26" t="n">
        <v>154.64</v>
      </c>
      <c r="L1141" s="26" t="n">
        <v>2.06</v>
      </c>
      <c r="M1141" s="27" t="n">
        <v>0.005</v>
      </c>
      <c r="N1141" s="27" t="n">
        <v>0.002</v>
      </c>
      <c r="O1141" s="26" t="n">
        <v>5</v>
      </c>
      <c r="P1141" s="26" t="n">
        <v>5</v>
      </c>
      <c r="Q1141" s="28" t="n">
        <v>100</v>
      </c>
      <c r="R1141" s="26" t="n">
        <v>30</v>
      </c>
      <c r="S1141" s="26" t="n">
        <v>0</v>
      </c>
      <c r="T1141" s="28" t="n">
        <v>1</v>
      </c>
      <c r="U1141" s="26" t="n">
        <v>0</v>
      </c>
      <c r="V1141" s="26" t="n">
        <v>0</v>
      </c>
      <c r="W1141" s="22" t="s">
        <v>19</v>
      </c>
      <c r="X1141" s="22" t="s">
        <v>373</v>
      </c>
    </row>
    <row r="1142" customFormat="false" ht="15" hidden="false" customHeight="false" outlineLevel="0" collapsed="false">
      <c r="A1142" s="22" t="s">
        <v>4771</v>
      </c>
      <c r="B1142" s="22" t="s">
        <v>19</v>
      </c>
      <c r="C1142" s="22" t="s">
        <v>4772</v>
      </c>
      <c r="D1142" s="22" t="s">
        <v>4773</v>
      </c>
      <c r="E1142" s="22" t="s">
        <v>4774</v>
      </c>
      <c r="F1142" s="22" t="n">
        <v>13</v>
      </c>
      <c r="G1142" s="26" t="n">
        <v>99.55</v>
      </c>
      <c r="H1142" s="26" t="n">
        <v>109.56</v>
      </c>
      <c r="I1142" s="26" t="n">
        <v>129.6</v>
      </c>
      <c r="J1142" s="26" t="n">
        <v>139.62</v>
      </c>
      <c r="K1142" s="26" t="n">
        <v>154.64</v>
      </c>
      <c r="L1142" s="26" t="n">
        <v>2.06</v>
      </c>
      <c r="M1142" s="27" t="n">
        <v>0.005</v>
      </c>
      <c r="N1142" s="27" t="n">
        <v>0.002</v>
      </c>
      <c r="O1142" s="26" t="n">
        <v>5</v>
      </c>
      <c r="P1142" s="26" t="n">
        <v>5</v>
      </c>
      <c r="Q1142" s="28" t="n">
        <v>100</v>
      </c>
      <c r="R1142" s="26" t="n">
        <v>30</v>
      </c>
      <c r="S1142" s="26" t="n">
        <v>0</v>
      </c>
      <c r="T1142" s="28" t="n">
        <v>1</v>
      </c>
      <c r="U1142" s="26" t="n">
        <v>0</v>
      </c>
      <c r="V1142" s="26" t="n">
        <v>0</v>
      </c>
      <c r="W1142" s="22" t="s">
        <v>19</v>
      </c>
      <c r="X1142" s="22" t="s">
        <v>373</v>
      </c>
    </row>
    <row r="1143" customFormat="false" ht="15" hidden="false" customHeight="false" outlineLevel="0" collapsed="false">
      <c r="A1143" s="22" t="s">
        <v>4775</v>
      </c>
      <c r="B1143" s="22" t="s">
        <v>19</v>
      </c>
      <c r="C1143" s="22" t="s">
        <v>4776</v>
      </c>
      <c r="D1143" s="22" t="s">
        <v>4777</v>
      </c>
      <c r="E1143" s="22" t="s">
        <v>4778</v>
      </c>
      <c r="F1143" s="22" t="n">
        <v>13</v>
      </c>
      <c r="G1143" s="26" t="n">
        <v>99.55</v>
      </c>
      <c r="H1143" s="26" t="n">
        <v>109.56</v>
      </c>
      <c r="I1143" s="26" t="n">
        <v>129.6</v>
      </c>
      <c r="J1143" s="26" t="n">
        <v>139.62</v>
      </c>
      <c r="K1143" s="26" t="n">
        <v>154.64</v>
      </c>
      <c r="L1143" s="26" t="n">
        <v>2.06</v>
      </c>
      <c r="M1143" s="27" t="n">
        <v>0.005</v>
      </c>
      <c r="N1143" s="27" t="n">
        <v>0.002</v>
      </c>
      <c r="O1143" s="26" t="n">
        <v>5</v>
      </c>
      <c r="P1143" s="26" t="n">
        <v>5</v>
      </c>
      <c r="Q1143" s="28" t="n">
        <v>100</v>
      </c>
      <c r="R1143" s="26" t="n">
        <v>30</v>
      </c>
      <c r="S1143" s="26" t="n">
        <v>0</v>
      </c>
      <c r="T1143" s="28" t="n">
        <v>1</v>
      </c>
      <c r="U1143" s="26" t="n">
        <v>0</v>
      </c>
      <c r="V1143" s="26" t="n">
        <v>0</v>
      </c>
      <c r="W1143" s="22" t="s">
        <v>19</v>
      </c>
      <c r="X1143" s="22" t="s">
        <v>373</v>
      </c>
    </row>
    <row r="1144" customFormat="false" ht="15" hidden="false" customHeight="false" outlineLevel="0" collapsed="false">
      <c r="A1144" s="22" t="s">
        <v>4779</v>
      </c>
      <c r="B1144" s="22" t="s">
        <v>19</v>
      </c>
      <c r="C1144" s="22" t="s">
        <v>4780</v>
      </c>
      <c r="D1144" s="22" t="s">
        <v>4781</v>
      </c>
      <c r="E1144" s="22" t="s">
        <v>4782</v>
      </c>
      <c r="F1144" s="22" t="n">
        <v>13</v>
      </c>
      <c r="G1144" s="26" t="n">
        <v>99.55</v>
      </c>
      <c r="H1144" s="26" t="n">
        <v>109.56</v>
      </c>
      <c r="I1144" s="26" t="n">
        <v>129.6</v>
      </c>
      <c r="J1144" s="26" t="n">
        <v>139.62</v>
      </c>
      <c r="K1144" s="26" t="n">
        <v>154.64</v>
      </c>
      <c r="L1144" s="26" t="n">
        <v>2.06</v>
      </c>
      <c r="M1144" s="27" t="n">
        <v>0.005</v>
      </c>
      <c r="N1144" s="27" t="n">
        <v>0.002</v>
      </c>
      <c r="O1144" s="26" t="n">
        <v>5</v>
      </c>
      <c r="P1144" s="26" t="n">
        <v>5</v>
      </c>
      <c r="Q1144" s="28" t="n">
        <v>100</v>
      </c>
      <c r="R1144" s="26" t="n">
        <v>30</v>
      </c>
      <c r="S1144" s="26" t="n">
        <v>0</v>
      </c>
      <c r="T1144" s="28" t="n">
        <v>1</v>
      </c>
      <c r="U1144" s="26" t="n">
        <v>0</v>
      </c>
      <c r="V1144" s="26" t="n">
        <v>250</v>
      </c>
      <c r="W1144" s="22" t="s">
        <v>19</v>
      </c>
      <c r="X1144" s="22" t="s">
        <v>373</v>
      </c>
    </row>
    <row r="1145" customFormat="false" ht="15" hidden="false" customHeight="false" outlineLevel="0" collapsed="false">
      <c r="A1145" s="22" t="s">
        <v>4783</v>
      </c>
      <c r="B1145" s="22" t="s">
        <v>20</v>
      </c>
      <c r="C1145" s="22" t="s">
        <v>4784</v>
      </c>
      <c r="D1145" s="22" t="s">
        <v>4785</v>
      </c>
      <c r="E1145" s="22" t="s">
        <v>4786</v>
      </c>
      <c r="F1145" s="22" t="n">
        <v>8</v>
      </c>
      <c r="G1145" s="26" t="n">
        <v>55.54</v>
      </c>
      <c r="H1145" s="26" t="n">
        <v>66.55</v>
      </c>
      <c r="I1145" s="26" t="n">
        <v>88.59</v>
      </c>
      <c r="J1145" s="26" t="n">
        <v>99.61</v>
      </c>
      <c r="K1145" s="26" t="n">
        <v>116.14</v>
      </c>
      <c r="L1145" s="26" t="n">
        <v>1.63</v>
      </c>
      <c r="M1145" s="27" t="n">
        <v>0.005</v>
      </c>
      <c r="N1145" s="27" t="n">
        <v>0.002</v>
      </c>
      <c r="O1145" s="26" t="n">
        <v>5</v>
      </c>
      <c r="P1145" s="26" t="n">
        <v>5</v>
      </c>
      <c r="Q1145" s="28" t="n">
        <v>100</v>
      </c>
      <c r="R1145" s="26" t="n">
        <v>30</v>
      </c>
      <c r="S1145" s="26" t="n">
        <v>0</v>
      </c>
      <c r="T1145" s="28" t="n">
        <v>1</v>
      </c>
      <c r="U1145" s="26" t="n">
        <v>0</v>
      </c>
      <c r="V1145" s="26" t="n">
        <v>0</v>
      </c>
      <c r="W1145" s="22" t="s">
        <v>20</v>
      </c>
      <c r="X1145" s="22" t="s">
        <v>286</v>
      </c>
    </row>
    <row r="1146" customFormat="false" ht="15" hidden="false" customHeight="false" outlineLevel="0" collapsed="false">
      <c r="A1146" s="22" t="s">
        <v>4787</v>
      </c>
      <c r="B1146" s="22" t="s">
        <v>20</v>
      </c>
      <c r="C1146" s="22" t="s">
        <v>161</v>
      </c>
      <c r="D1146" s="22" t="s">
        <v>4788</v>
      </c>
      <c r="E1146" s="22" t="s">
        <v>4789</v>
      </c>
      <c r="F1146" s="22" t="n">
        <v>8</v>
      </c>
      <c r="G1146" s="26" t="n">
        <v>55.54</v>
      </c>
      <c r="H1146" s="26" t="n">
        <v>66.55</v>
      </c>
      <c r="I1146" s="26" t="n">
        <v>88.59</v>
      </c>
      <c r="J1146" s="26" t="n">
        <v>99.61</v>
      </c>
      <c r="K1146" s="26" t="n">
        <v>116.14</v>
      </c>
      <c r="L1146" s="26" t="n">
        <v>1.63</v>
      </c>
      <c r="M1146" s="27" t="n">
        <v>0.005</v>
      </c>
      <c r="N1146" s="27" t="n">
        <v>0.002</v>
      </c>
      <c r="O1146" s="26" t="n">
        <v>5</v>
      </c>
      <c r="P1146" s="26" t="n">
        <v>5</v>
      </c>
      <c r="Q1146" s="28" t="n">
        <v>100</v>
      </c>
      <c r="R1146" s="26" t="n">
        <v>30</v>
      </c>
      <c r="S1146" s="26" t="n">
        <v>0</v>
      </c>
      <c r="T1146" s="28" t="n">
        <v>1</v>
      </c>
      <c r="U1146" s="26" t="n">
        <v>0</v>
      </c>
      <c r="V1146" s="26" t="n">
        <v>0</v>
      </c>
      <c r="W1146" s="22" t="s">
        <v>20</v>
      </c>
      <c r="X1146" s="22" t="s">
        <v>286</v>
      </c>
    </row>
    <row r="1147" customFormat="false" ht="15" hidden="false" customHeight="false" outlineLevel="0" collapsed="false">
      <c r="A1147" s="22" t="s">
        <v>4790</v>
      </c>
      <c r="B1147" s="22" t="s">
        <v>20</v>
      </c>
      <c r="C1147" s="22" t="s">
        <v>165</v>
      </c>
      <c r="D1147" s="22" t="s">
        <v>4791</v>
      </c>
      <c r="E1147" s="22" t="s">
        <v>4792</v>
      </c>
      <c r="F1147" s="22" t="n">
        <v>8</v>
      </c>
      <c r="G1147" s="26" t="n">
        <v>55.54</v>
      </c>
      <c r="H1147" s="26" t="n">
        <v>66.55</v>
      </c>
      <c r="I1147" s="26" t="n">
        <v>88.59</v>
      </c>
      <c r="J1147" s="26" t="n">
        <v>99.61</v>
      </c>
      <c r="K1147" s="26" t="n">
        <v>116.14</v>
      </c>
      <c r="L1147" s="26" t="n">
        <v>1.63</v>
      </c>
      <c r="M1147" s="27" t="n">
        <v>0.005</v>
      </c>
      <c r="N1147" s="27" t="n">
        <v>0.002</v>
      </c>
      <c r="O1147" s="26" t="n">
        <v>5</v>
      </c>
      <c r="P1147" s="26" t="n">
        <v>5</v>
      </c>
      <c r="Q1147" s="28" t="n">
        <v>100</v>
      </c>
      <c r="R1147" s="26" t="n">
        <v>30</v>
      </c>
      <c r="S1147" s="26" t="n">
        <v>0</v>
      </c>
      <c r="T1147" s="28" t="n">
        <v>1</v>
      </c>
      <c r="U1147" s="26" t="n">
        <v>0</v>
      </c>
      <c r="V1147" s="26" t="n">
        <v>0</v>
      </c>
      <c r="W1147" s="22" t="s">
        <v>20</v>
      </c>
      <c r="X1147" s="22" t="s">
        <v>286</v>
      </c>
    </row>
    <row r="1148" customFormat="false" ht="15" hidden="false" customHeight="false" outlineLevel="0" collapsed="false">
      <c r="A1148" s="22" t="s">
        <v>4793</v>
      </c>
      <c r="B1148" s="22" t="s">
        <v>20</v>
      </c>
      <c r="C1148" s="22" t="s">
        <v>149</v>
      </c>
      <c r="D1148" s="22" t="s">
        <v>4794</v>
      </c>
      <c r="E1148" s="22" t="s">
        <v>4795</v>
      </c>
      <c r="F1148" s="22" t="n">
        <v>8</v>
      </c>
      <c r="G1148" s="26" t="n">
        <v>55.54</v>
      </c>
      <c r="H1148" s="26" t="n">
        <v>66.55</v>
      </c>
      <c r="I1148" s="26" t="n">
        <v>88.59</v>
      </c>
      <c r="J1148" s="26" t="n">
        <v>99.61</v>
      </c>
      <c r="K1148" s="26" t="n">
        <v>116.14</v>
      </c>
      <c r="L1148" s="26" t="n">
        <v>1.63</v>
      </c>
      <c r="M1148" s="27" t="n">
        <v>0.005</v>
      </c>
      <c r="N1148" s="27" t="n">
        <v>0.002</v>
      </c>
      <c r="O1148" s="26" t="n">
        <v>5</v>
      </c>
      <c r="P1148" s="26" t="n">
        <v>5</v>
      </c>
      <c r="Q1148" s="28" t="n">
        <v>100</v>
      </c>
      <c r="R1148" s="26" t="n">
        <v>30</v>
      </c>
      <c r="S1148" s="26" t="n">
        <v>0</v>
      </c>
      <c r="T1148" s="28" t="n">
        <v>1</v>
      </c>
      <c r="U1148" s="26" t="n">
        <v>0</v>
      </c>
      <c r="V1148" s="26" t="n">
        <v>0</v>
      </c>
      <c r="W1148" s="22" t="s">
        <v>20</v>
      </c>
      <c r="X1148" s="22" t="s">
        <v>286</v>
      </c>
    </row>
    <row r="1149" customFormat="false" ht="15" hidden="false" customHeight="false" outlineLevel="0" collapsed="false">
      <c r="A1149" s="22" t="s">
        <v>4796</v>
      </c>
      <c r="B1149" s="22" t="s">
        <v>20</v>
      </c>
      <c r="C1149" s="22" t="s">
        <v>153</v>
      </c>
      <c r="D1149" s="22" t="s">
        <v>4797</v>
      </c>
      <c r="E1149" s="22" t="s">
        <v>4798</v>
      </c>
      <c r="F1149" s="22" t="n">
        <v>8</v>
      </c>
      <c r="G1149" s="26" t="n">
        <v>55.54</v>
      </c>
      <c r="H1149" s="26" t="n">
        <v>66.55</v>
      </c>
      <c r="I1149" s="26" t="n">
        <v>88.59</v>
      </c>
      <c r="J1149" s="26" t="n">
        <v>99.61</v>
      </c>
      <c r="K1149" s="26" t="n">
        <v>116.14</v>
      </c>
      <c r="L1149" s="26" t="n">
        <v>1.63</v>
      </c>
      <c r="M1149" s="27" t="n">
        <v>0.005</v>
      </c>
      <c r="N1149" s="27" t="n">
        <v>0.002</v>
      </c>
      <c r="O1149" s="26" t="n">
        <v>5</v>
      </c>
      <c r="P1149" s="26" t="n">
        <v>5</v>
      </c>
      <c r="Q1149" s="28" t="n">
        <v>100</v>
      </c>
      <c r="R1149" s="26" t="n">
        <v>30</v>
      </c>
      <c r="S1149" s="26" t="n">
        <v>0</v>
      </c>
      <c r="T1149" s="28" t="n">
        <v>1</v>
      </c>
      <c r="U1149" s="26" t="n">
        <v>0</v>
      </c>
      <c r="V1149" s="26" t="n">
        <v>0</v>
      </c>
      <c r="W1149" s="22" t="s">
        <v>20</v>
      </c>
      <c r="X1149" s="22" t="s">
        <v>286</v>
      </c>
    </row>
    <row r="1150" customFormat="false" ht="15" hidden="false" customHeight="false" outlineLevel="0" collapsed="false">
      <c r="A1150" s="22" t="s">
        <v>4799</v>
      </c>
      <c r="B1150" s="29" t="s">
        <v>20</v>
      </c>
      <c r="C1150" s="29" t="s">
        <v>151</v>
      </c>
      <c r="D1150" s="22" t="s">
        <v>4800</v>
      </c>
      <c r="E1150" s="22" t="s">
        <v>4801</v>
      </c>
      <c r="F1150" s="22" t="n">
        <v>8</v>
      </c>
      <c r="G1150" s="26" t="n">
        <v>66.26</v>
      </c>
      <c r="H1150" s="26" t="n">
        <v>76.28</v>
      </c>
      <c r="I1150" s="26" t="n">
        <v>96.32</v>
      </c>
      <c r="J1150" s="26" t="n">
        <v>106.33</v>
      </c>
      <c r="K1150" s="26" t="n">
        <v>121.36</v>
      </c>
      <c r="L1150" s="26" t="n">
        <v>1.63</v>
      </c>
      <c r="M1150" s="27" t="n">
        <v>0.005</v>
      </c>
      <c r="N1150" s="27" t="n">
        <v>0.002</v>
      </c>
      <c r="O1150" s="26" t="n">
        <v>5</v>
      </c>
      <c r="P1150" s="26" t="n">
        <v>5</v>
      </c>
      <c r="Q1150" s="28" t="n">
        <v>100</v>
      </c>
      <c r="R1150" s="26" t="n">
        <v>30</v>
      </c>
      <c r="S1150" s="26" t="n">
        <v>0</v>
      </c>
      <c r="T1150" s="28" t="n">
        <v>1</v>
      </c>
      <c r="U1150" s="26" t="n">
        <v>0</v>
      </c>
      <c r="V1150" s="26" t="n">
        <v>0</v>
      </c>
      <c r="W1150" s="29" t="s">
        <v>19</v>
      </c>
      <c r="X1150" s="22" t="s">
        <v>286</v>
      </c>
    </row>
    <row r="1151" customFormat="false" ht="15" hidden="false" customHeight="false" outlineLevel="0" collapsed="false">
      <c r="A1151" s="22" t="s">
        <v>4802</v>
      </c>
      <c r="B1151" s="22" t="s">
        <v>20</v>
      </c>
      <c r="C1151" s="22" t="s">
        <v>147</v>
      </c>
      <c r="D1151" s="22" t="s">
        <v>4803</v>
      </c>
      <c r="E1151" s="22" t="s">
        <v>4804</v>
      </c>
      <c r="F1151" s="22" t="n">
        <v>8</v>
      </c>
      <c r="G1151" s="26" t="n">
        <v>55.54</v>
      </c>
      <c r="H1151" s="26" t="n">
        <v>66.55</v>
      </c>
      <c r="I1151" s="26" t="n">
        <v>88.59</v>
      </c>
      <c r="J1151" s="26" t="n">
        <v>99.61</v>
      </c>
      <c r="K1151" s="26" t="n">
        <v>116.14</v>
      </c>
      <c r="L1151" s="26" t="n">
        <v>1.63</v>
      </c>
      <c r="M1151" s="27" t="n">
        <v>0.005</v>
      </c>
      <c r="N1151" s="27" t="n">
        <v>0.002</v>
      </c>
      <c r="O1151" s="26" t="n">
        <v>5</v>
      </c>
      <c r="P1151" s="26" t="n">
        <v>5</v>
      </c>
      <c r="Q1151" s="28" t="n">
        <v>100</v>
      </c>
      <c r="R1151" s="26" t="n">
        <v>30</v>
      </c>
      <c r="S1151" s="26" t="n">
        <v>0</v>
      </c>
      <c r="T1151" s="28" t="n">
        <v>1</v>
      </c>
      <c r="U1151" s="26" t="n">
        <v>0</v>
      </c>
      <c r="V1151" s="26" t="n">
        <v>0</v>
      </c>
      <c r="W1151" s="22" t="s">
        <v>20</v>
      </c>
      <c r="X1151" s="22" t="s">
        <v>286</v>
      </c>
    </row>
    <row r="1152" customFormat="false" ht="15" hidden="false" customHeight="false" outlineLevel="0" collapsed="false">
      <c r="A1152" s="22" t="s">
        <v>4805</v>
      </c>
      <c r="B1152" s="22" t="s">
        <v>20</v>
      </c>
      <c r="C1152" s="22" t="s">
        <v>4806</v>
      </c>
      <c r="D1152" s="22" t="s">
        <v>4807</v>
      </c>
      <c r="E1152" s="22" t="s">
        <v>4808</v>
      </c>
      <c r="F1152" s="22" t="n">
        <v>11</v>
      </c>
      <c r="G1152" s="26" t="n">
        <v>77.99</v>
      </c>
      <c r="H1152" s="26" t="n">
        <v>89.01</v>
      </c>
      <c r="I1152" s="26" t="n">
        <v>111.04</v>
      </c>
      <c r="J1152" s="26" t="n">
        <v>122.06</v>
      </c>
      <c r="K1152" s="26" t="n">
        <v>138.59</v>
      </c>
      <c r="L1152" s="26" t="n">
        <v>1.93</v>
      </c>
      <c r="M1152" s="27" t="n">
        <v>0.005</v>
      </c>
      <c r="N1152" s="27" t="n">
        <v>0.002</v>
      </c>
      <c r="O1152" s="26" t="n">
        <v>5</v>
      </c>
      <c r="P1152" s="26" t="n">
        <v>5</v>
      </c>
      <c r="Q1152" s="28" t="n">
        <v>100</v>
      </c>
      <c r="R1152" s="26" t="n">
        <v>30</v>
      </c>
      <c r="S1152" s="26" t="n">
        <v>0</v>
      </c>
      <c r="T1152" s="28" t="n">
        <v>1</v>
      </c>
      <c r="U1152" s="26" t="n">
        <v>0</v>
      </c>
      <c r="V1152" s="26" t="n">
        <v>0</v>
      </c>
      <c r="W1152" s="22" t="s">
        <v>20</v>
      </c>
      <c r="X1152" s="22" t="s">
        <v>293</v>
      </c>
    </row>
    <row r="1153" customFormat="false" ht="15" hidden="false" customHeight="false" outlineLevel="0" collapsed="false">
      <c r="A1153" s="22" t="s">
        <v>4809</v>
      </c>
      <c r="B1153" s="22" t="s">
        <v>20</v>
      </c>
      <c r="C1153" s="22" t="s">
        <v>4810</v>
      </c>
      <c r="D1153" s="22" t="s">
        <v>4811</v>
      </c>
      <c r="E1153" s="22" t="s">
        <v>4812</v>
      </c>
      <c r="F1153" s="22" t="n">
        <v>11</v>
      </c>
      <c r="G1153" s="26" t="n">
        <v>77.99</v>
      </c>
      <c r="H1153" s="26" t="n">
        <v>89.01</v>
      </c>
      <c r="I1153" s="26" t="n">
        <v>111.04</v>
      </c>
      <c r="J1153" s="26" t="n">
        <v>122.06</v>
      </c>
      <c r="K1153" s="26" t="n">
        <v>138.59</v>
      </c>
      <c r="L1153" s="26" t="n">
        <v>1.93</v>
      </c>
      <c r="M1153" s="27" t="n">
        <v>0.005</v>
      </c>
      <c r="N1153" s="27" t="n">
        <v>0.002</v>
      </c>
      <c r="O1153" s="26" t="n">
        <v>5</v>
      </c>
      <c r="P1153" s="26" t="n">
        <v>5</v>
      </c>
      <c r="Q1153" s="28" t="n">
        <v>100</v>
      </c>
      <c r="R1153" s="26" t="n">
        <v>30</v>
      </c>
      <c r="S1153" s="26" t="n">
        <v>0</v>
      </c>
      <c r="T1153" s="28" t="n">
        <v>1</v>
      </c>
      <c r="U1153" s="26" t="n">
        <v>0</v>
      </c>
      <c r="V1153" s="26" t="n">
        <v>0</v>
      </c>
      <c r="W1153" s="22" t="s">
        <v>20</v>
      </c>
      <c r="X1153" s="22" t="s">
        <v>293</v>
      </c>
    </row>
    <row r="1154" customFormat="false" ht="15" hidden="false" customHeight="false" outlineLevel="0" collapsed="false">
      <c r="A1154" s="22" t="s">
        <v>4813</v>
      </c>
      <c r="B1154" s="22" t="s">
        <v>20</v>
      </c>
      <c r="C1154" s="22" t="s">
        <v>4814</v>
      </c>
      <c r="D1154" s="22" t="s">
        <v>4815</v>
      </c>
      <c r="E1154" s="22" t="s">
        <v>4816</v>
      </c>
      <c r="F1154" s="22" t="n">
        <v>11</v>
      </c>
      <c r="G1154" s="26" t="n">
        <v>77.99</v>
      </c>
      <c r="H1154" s="26" t="n">
        <v>89.01</v>
      </c>
      <c r="I1154" s="26" t="n">
        <v>111.04</v>
      </c>
      <c r="J1154" s="26" t="n">
        <v>122.06</v>
      </c>
      <c r="K1154" s="26" t="n">
        <v>138.59</v>
      </c>
      <c r="L1154" s="26" t="n">
        <v>1.93</v>
      </c>
      <c r="M1154" s="27" t="n">
        <v>0.005</v>
      </c>
      <c r="N1154" s="27" t="n">
        <v>0.002</v>
      </c>
      <c r="O1154" s="26" t="n">
        <v>5</v>
      </c>
      <c r="P1154" s="26" t="n">
        <v>5</v>
      </c>
      <c r="Q1154" s="28" t="n">
        <v>100</v>
      </c>
      <c r="R1154" s="26" t="n">
        <v>30</v>
      </c>
      <c r="S1154" s="26" t="n">
        <v>0</v>
      </c>
      <c r="T1154" s="28" t="n">
        <v>1</v>
      </c>
      <c r="U1154" s="26" t="n">
        <v>0</v>
      </c>
      <c r="V1154" s="26" t="n">
        <v>0</v>
      </c>
      <c r="W1154" s="22" t="s">
        <v>20</v>
      </c>
      <c r="X1154" s="22" t="s">
        <v>293</v>
      </c>
    </row>
    <row r="1155" customFormat="false" ht="15" hidden="false" customHeight="false" outlineLevel="0" collapsed="false">
      <c r="A1155" s="22" t="s">
        <v>4817</v>
      </c>
      <c r="B1155" s="29" t="s">
        <v>20</v>
      </c>
      <c r="C1155" s="29" t="s">
        <v>2371</v>
      </c>
      <c r="D1155" s="22" t="s">
        <v>4818</v>
      </c>
      <c r="E1155" s="22" t="s">
        <v>4819</v>
      </c>
      <c r="F1155" s="22" t="n">
        <v>11</v>
      </c>
      <c r="G1155" s="26" t="n">
        <v>131.96</v>
      </c>
      <c r="H1155" s="26" t="n">
        <v>154.09</v>
      </c>
      <c r="I1155" s="26" t="n">
        <v>176.22</v>
      </c>
      <c r="J1155" s="26" t="n">
        <v>192.82</v>
      </c>
      <c r="K1155" s="26" t="n">
        <v>209.42</v>
      </c>
      <c r="L1155" s="26" t="n">
        <v>2.06</v>
      </c>
      <c r="M1155" s="27" t="n">
        <v>0.005</v>
      </c>
      <c r="N1155" s="27" t="n">
        <v>0.002</v>
      </c>
      <c r="O1155" s="26" t="n">
        <v>5</v>
      </c>
      <c r="P1155" s="26" t="n">
        <v>5</v>
      </c>
      <c r="Q1155" s="28" t="n">
        <v>100</v>
      </c>
      <c r="R1155" s="26" t="n">
        <v>30</v>
      </c>
      <c r="S1155" s="26" t="n">
        <v>0</v>
      </c>
      <c r="T1155" s="28" t="n">
        <v>1</v>
      </c>
      <c r="U1155" s="26" t="n">
        <v>0</v>
      </c>
      <c r="V1155" s="26" t="n">
        <v>0</v>
      </c>
      <c r="W1155" s="29" t="s">
        <v>17</v>
      </c>
      <c r="X1155" s="22" t="s">
        <v>293</v>
      </c>
    </row>
    <row r="1156" customFormat="false" ht="15" hidden="false" customHeight="false" outlineLevel="0" collapsed="false">
      <c r="A1156" s="22" t="s">
        <v>4820</v>
      </c>
      <c r="B1156" s="22" t="s">
        <v>20</v>
      </c>
      <c r="C1156" s="22" t="s">
        <v>4821</v>
      </c>
      <c r="D1156" s="22" t="s">
        <v>4822</v>
      </c>
      <c r="E1156" s="22" t="s">
        <v>4823</v>
      </c>
      <c r="F1156" s="22" t="n">
        <v>11</v>
      </c>
      <c r="G1156" s="26" t="n">
        <v>77.99</v>
      </c>
      <c r="H1156" s="26" t="n">
        <v>89.01</v>
      </c>
      <c r="I1156" s="26" t="n">
        <v>111.04</v>
      </c>
      <c r="J1156" s="26" t="n">
        <v>122.06</v>
      </c>
      <c r="K1156" s="26" t="n">
        <v>138.59</v>
      </c>
      <c r="L1156" s="26" t="n">
        <v>1.93</v>
      </c>
      <c r="M1156" s="27" t="n">
        <v>0.005</v>
      </c>
      <c r="N1156" s="27" t="n">
        <v>0.002</v>
      </c>
      <c r="O1156" s="26" t="n">
        <v>5</v>
      </c>
      <c r="P1156" s="26" t="n">
        <v>5</v>
      </c>
      <c r="Q1156" s="28" t="n">
        <v>100</v>
      </c>
      <c r="R1156" s="26" t="n">
        <v>30</v>
      </c>
      <c r="S1156" s="26" t="n">
        <v>0</v>
      </c>
      <c r="T1156" s="28" t="n">
        <v>1</v>
      </c>
      <c r="U1156" s="26" t="n">
        <v>0</v>
      </c>
      <c r="V1156" s="26" t="n">
        <v>0</v>
      </c>
      <c r="W1156" s="22" t="s">
        <v>20</v>
      </c>
      <c r="X1156" s="22" t="s">
        <v>293</v>
      </c>
    </row>
    <row r="1157" customFormat="false" ht="15" hidden="false" customHeight="false" outlineLevel="0" collapsed="false">
      <c r="A1157" s="22" t="s">
        <v>4824</v>
      </c>
      <c r="B1157" s="22" t="s">
        <v>20</v>
      </c>
      <c r="C1157" s="22" t="s">
        <v>4825</v>
      </c>
      <c r="D1157" s="22" t="s">
        <v>4826</v>
      </c>
      <c r="E1157" s="22" t="s">
        <v>4827</v>
      </c>
      <c r="F1157" s="22" t="n">
        <v>11</v>
      </c>
      <c r="G1157" s="26" t="n">
        <v>77.99</v>
      </c>
      <c r="H1157" s="26" t="n">
        <v>89.01</v>
      </c>
      <c r="I1157" s="26" t="n">
        <v>111.04</v>
      </c>
      <c r="J1157" s="26" t="n">
        <v>122.06</v>
      </c>
      <c r="K1157" s="26" t="n">
        <v>138.59</v>
      </c>
      <c r="L1157" s="26" t="n">
        <v>1.93</v>
      </c>
      <c r="M1157" s="27" t="n">
        <v>0.005</v>
      </c>
      <c r="N1157" s="27" t="n">
        <v>0.002</v>
      </c>
      <c r="O1157" s="26" t="n">
        <v>5</v>
      </c>
      <c r="P1157" s="26" t="n">
        <v>5</v>
      </c>
      <c r="Q1157" s="28" t="n">
        <v>100</v>
      </c>
      <c r="R1157" s="26" t="n">
        <v>30</v>
      </c>
      <c r="S1157" s="26" t="n">
        <v>0</v>
      </c>
      <c r="T1157" s="28" t="n">
        <v>1</v>
      </c>
      <c r="U1157" s="26" t="n">
        <v>0</v>
      </c>
      <c r="V1157" s="26" t="n">
        <v>0</v>
      </c>
      <c r="W1157" s="22" t="s">
        <v>20</v>
      </c>
      <c r="X1157" s="22" t="s">
        <v>293</v>
      </c>
    </row>
    <row r="1158" customFormat="false" ht="15" hidden="false" customHeight="false" outlineLevel="0" collapsed="false">
      <c r="A1158" s="22" t="s">
        <v>4828</v>
      </c>
      <c r="B1158" s="22" t="s">
        <v>20</v>
      </c>
      <c r="C1158" s="22" t="s">
        <v>4829</v>
      </c>
      <c r="D1158" s="22" t="s">
        <v>4830</v>
      </c>
      <c r="E1158" s="22" t="s">
        <v>4831</v>
      </c>
      <c r="F1158" s="22" t="n">
        <v>11</v>
      </c>
      <c r="G1158" s="26" t="n">
        <v>77.99</v>
      </c>
      <c r="H1158" s="26" t="n">
        <v>89.01</v>
      </c>
      <c r="I1158" s="26" t="n">
        <v>111.04</v>
      </c>
      <c r="J1158" s="26" t="n">
        <v>122.06</v>
      </c>
      <c r="K1158" s="26" t="n">
        <v>138.59</v>
      </c>
      <c r="L1158" s="26" t="n">
        <v>1.93</v>
      </c>
      <c r="M1158" s="27" t="n">
        <v>0.005</v>
      </c>
      <c r="N1158" s="27" t="n">
        <v>0.002</v>
      </c>
      <c r="O1158" s="26" t="n">
        <v>5</v>
      </c>
      <c r="P1158" s="26" t="n">
        <v>5</v>
      </c>
      <c r="Q1158" s="28" t="n">
        <v>100</v>
      </c>
      <c r="R1158" s="26" t="n">
        <v>30</v>
      </c>
      <c r="S1158" s="26" t="n">
        <v>0</v>
      </c>
      <c r="T1158" s="28" t="n">
        <v>1</v>
      </c>
      <c r="U1158" s="26" t="n">
        <v>0</v>
      </c>
      <c r="V1158" s="26" t="n">
        <v>0</v>
      </c>
      <c r="W1158" s="22" t="s">
        <v>20</v>
      </c>
      <c r="X1158" s="22" t="s">
        <v>293</v>
      </c>
    </row>
    <row r="1159" customFormat="false" ht="15" hidden="false" customHeight="false" outlineLevel="0" collapsed="false">
      <c r="A1159" s="22" t="s">
        <v>4832</v>
      </c>
      <c r="B1159" s="22" t="s">
        <v>20</v>
      </c>
      <c r="C1159" s="22" t="s">
        <v>159</v>
      </c>
      <c r="D1159" s="22" t="s">
        <v>4833</v>
      </c>
      <c r="E1159" s="22" t="s">
        <v>4834</v>
      </c>
      <c r="F1159" s="22" t="n">
        <v>11</v>
      </c>
      <c r="G1159" s="26" t="n">
        <v>77.99</v>
      </c>
      <c r="H1159" s="26" t="n">
        <v>89.01</v>
      </c>
      <c r="I1159" s="26" t="n">
        <v>111.04</v>
      </c>
      <c r="J1159" s="26" t="n">
        <v>122.06</v>
      </c>
      <c r="K1159" s="26" t="n">
        <v>138.59</v>
      </c>
      <c r="L1159" s="26" t="n">
        <v>1.93</v>
      </c>
      <c r="M1159" s="27" t="n">
        <v>0.005</v>
      </c>
      <c r="N1159" s="27" t="n">
        <v>0.002</v>
      </c>
      <c r="O1159" s="26" t="n">
        <v>5</v>
      </c>
      <c r="P1159" s="26" t="n">
        <v>5</v>
      </c>
      <c r="Q1159" s="28" t="n">
        <v>100</v>
      </c>
      <c r="R1159" s="26" t="n">
        <v>30</v>
      </c>
      <c r="S1159" s="26" t="n">
        <v>0</v>
      </c>
      <c r="T1159" s="28" t="n">
        <v>1</v>
      </c>
      <c r="U1159" s="26" t="n">
        <v>0</v>
      </c>
      <c r="V1159" s="26" t="n">
        <v>0</v>
      </c>
      <c r="W1159" s="22" t="s">
        <v>20</v>
      </c>
      <c r="X1159" s="22" t="s">
        <v>293</v>
      </c>
    </row>
    <row r="1160" customFormat="false" ht="15" hidden="false" customHeight="false" outlineLevel="0" collapsed="false">
      <c r="A1160" s="22" t="s">
        <v>4835</v>
      </c>
      <c r="B1160" s="22" t="s">
        <v>20</v>
      </c>
      <c r="C1160" s="22" t="s">
        <v>4836</v>
      </c>
      <c r="D1160" s="22" t="s">
        <v>4837</v>
      </c>
      <c r="E1160" s="22" t="s">
        <v>4838</v>
      </c>
      <c r="F1160" s="22" t="n">
        <v>11</v>
      </c>
      <c r="G1160" s="26" t="n">
        <v>77.99</v>
      </c>
      <c r="H1160" s="26" t="n">
        <v>89.01</v>
      </c>
      <c r="I1160" s="26" t="n">
        <v>111.04</v>
      </c>
      <c r="J1160" s="26" t="n">
        <v>122.06</v>
      </c>
      <c r="K1160" s="26" t="n">
        <v>138.59</v>
      </c>
      <c r="L1160" s="26" t="n">
        <v>1.93</v>
      </c>
      <c r="M1160" s="27" t="n">
        <v>0.005</v>
      </c>
      <c r="N1160" s="27" t="n">
        <v>0.002</v>
      </c>
      <c r="O1160" s="26" t="n">
        <v>5</v>
      </c>
      <c r="P1160" s="26" t="n">
        <v>5</v>
      </c>
      <c r="Q1160" s="28" t="n">
        <v>100</v>
      </c>
      <c r="R1160" s="26" t="n">
        <v>30</v>
      </c>
      <c r="S1160" s="26" t="n">
        <v>0</v>
      </c>
      <c r="T1160" s="28" t="n">
        <v>1</v>
      </c>
      <c r="U1160" s="26" t="n">
        <v>0</v>
      </c>
      <c r="V1160" s="26" t="n">
        <v>0</v>
      </c>
      <c r="W1160" s="22" t="s">
        <v>20</v>
      </c>
      <c r="X1160" s="22" t="s">
        <v>293</v>
      </c>
    </row>
    <row r="1161" customFormat="false" ht="15" hidden="false" customHeight="false" outlineLevel="0" collapsed="false">
      <c r="A1161" s="22" t="s">
        <v>4839</v>
      </c>
      <c r="B1161" s="22" t="s">
        <v>20</v>
      </c>
      <c r="C1161" s="22" t="s">
        <v>157</v>
      </c>
      <c r="D1161" s="22" t="s">
        <v>4840</v>
      </c>
      <c r="E1161" s="22" t="s">
        <v>4841</v>
      </c>
      <c r="F1161" s="22" t="n">
        <v>11</v>
      </c>
      <c r="G1161" s="26" t="n">
        <v>77.99</v>
      </c>
      <c r="H1161" s="26" t="n">
        <v>89.01</v>
      </c>
      <c r="I1161" s="26" t="n">
        <v>111.04</v>
      </c>
      <c r="J1161" s="26" t="n">
        <v>122.06</v>
      </c>
      <c r="K1161" s="26" t="n">
        <v>138.59</v>
      </c>
      <c r="L1161" s="26" t="n">
        <v>1.93</v>
      </c>
      <c r="M1161" s="27" t="n">
        <v>0.005</v>
      </c>
      <c r="N1161" s="27" t="n">
        <v>0.002</v>
      </c>
      <c r="O1161" s="26" t="n">
        <v>5</v>
      </c>
      <c r="P1161" s="26" t="n">
        <v>5</v>
      </c>
      <c r="Q1161" s="28" t="n">
        <v>100</v>
      </c>
      <c r="R1161" s="26" t="n">
        <v>30</v>
      </c>
      <c r="S1161" s="26" t="n">
        <v>0</v>
      </c>
      <c r="T1161" s="28" t="n">
        <v>1</v>
      </c>
      <c r="U1161" s="26" t="n">
        <v>0</v>
      </c>
      <c r="V1161" s="26" t="n">
        <v>0</v>
      </c>
      <c r="W1161" s="22" t="s">
        <v>20</v>
      </c>
      <c r="X1161" s="22" t="s">
        <v>293</v>
      </c>
    </row>
    <row r="1162" customFormat="false" ht="15" hidden="false" customHeight="false" outlineLevel="0" collapsed="false">
      <c r="A1162" s="22" t="s">
        <v>4842</v>
      </c>
      <c r="B1162" s="22" t="s">
        <v>20</v>
      </c>
      <c r="C1162" s="22" t="s">
        <v>4843</v>
      </c>
      <c r="D1162" s="22" t="s">
        <v>4844</v>
      </c>
      <c r="E1162" s="22" t="s">
        <v>4845</v>
      </c>
      <c r="F1162" s="22" t="n">
        <v>11</v>
      </c>
      <c r="G1162" s="26" t="n">
        <v>77.99</v>
      </c>
      <c r="H1162" s="26" t="n">
        <v>89.01</v>
      </c>
      <c r="I1162" s="26" t="n">
        <v>111.04</v>
      </c>
      <c r="J1162" s="26" t="n">
        <v>122.06</v>
      </c>
      <c r="K1162" s="26" t="n">
        <v>138.59</v>
      </c>
      <c r="L1162" s="26" t="n">
        <v>1.93</v>
      </c>
      <c r="M1162" s="27" t="n">
        <v>0.005</v>
      </c>
      <c r="N1162" s="27" t="n">
        <v>0.002</v>
      </c>
      <c r="O1162" s="26" t="n">
        <v>5</v>
      </c>
      <c r="P1162" s="26" t="n">
        <v>5</v>
      </c>
      <c r="Q1162" s="28" t="n">
        <v>100</v>
      </c>
      <c r="R1162" s="26" t="n">
        <v>30</v>
      </c>
      <c r="S1162" s="26" t="n">
        <v>0</v>
      </c>
      <c r="T1162" s="28" t="n">
        <v>1</v>
      </c>
      <c r="U1162" s="26" t="n">
        <v>0</v>
      </c>
      <c r="V1162" s="26" t="n">
        <v>0</v>
      </c>
      <c r="W1162" s="22" t="s">
        <v>20</v>
      </c>
      <c r="X1162" s="22" t="s">
        <v>293</v>
      </c>
    </row>
    <row r="1163" customFormat="false" ht="15" hidden="false" customHeight="false" outlineLevel="0" collapsed="false">
      <c r="A1163" s="22" t="s">
        <v>4846</v>
      </c>
      <c r="B1163" s="22" t="s">
        <v>20</v>
      </c>
      <c r="C1163" s="22" t="s">
        <v>4847</v>
      </c>
      <c r="D1163" s="22" t="s">
        <v>4848</v>
      </c>
      <c r="E1163" s="22" t="s">
        <v>4849</v>
      </c>
      <c r="F1163" s="22" t="n">
        <v>11</v>
      </c>
      <c r="G1163" s="26" t="n">
        <v>77.99</v>
      </c>
      <c r="H1163" s="26" t="n">
        <v>89.01</v>
      </c>
      <c r="I1163" s="26" t="n">
        <v>111.04</v>
      </c>
      <c r="J1163" s="26" t="n">
        <v>122.06</v>
      </c>
      <c r="K1163" s="26" t="n">
        <v>138.59</v>
      </c>
      <c r="L1163" s="26" t="n">
        <v>1.93</v>
      </c>
      <c r="M1163" s="27" t="n">
        <v>0.005</v>
      </c>
      <c r="N1163" s="27" t="n">
        <v>0.002</v>
      </c>
      <c r="O1163" s="26" t="n">
        <v>5</v>
      </c>
      <c r="P1163" s="26" t="n">
        <v>5</v>
      </c>
      <c r="Q1163" s="28" t="n">
        <v>100</v>
      </c>
      <c r="R1163" s="26" t="n">
        <v>30</v>
      </c>
      <c r="S1163" s="26" t="n">
        <v>0</v>
      </c>
      <c r="T1163" s="28" t="n">
        <v>1</v>
      </c>
      <c r="U1163" s="26" t="n">
        <v>0</v>
      </c>
      <c r="V1163" s="26" t="n">
        <v>0</v>
      </c>
      <c r="W1163" s="22" t="s">
        <v>20</v>
      </c>
      <c r="X1163" s="22" t="s">
        <v>293</v>
      </c>
    </row>
    <row r="1164" customFormat="false" ht="15" hidden="false" customHeight="false" outlineLevel="0" collapsed="false">
      <c r="A1164" s="22" t="s">
        <v>4850</v>
      </c>
      <c r="B1164" s="22" t="s">
        <v>20</v>
      </c>
      <c r="C1164" s="22" t="s">
        <v>4851</v>
      </c>
      <c r="D1164" s="22" t="s">
        <v>4852</v>
      </c>
      <c r="E1164" s="22" t="s">
        <v>4853</v>
      </c>
      <c r="F1164" s="22" t="n">
        <v>11</v>
      </c>
      <c r="G1164" s="26" t="n">
        <v>77.99</v>
      </c>
      <c r="H1164" s="26" t="n">
        <v>89.01</v>
      </c>
      <c r="I1164" s="26" t="n">
        <v>111.04</v>
      </c>
      <c r="J1164" s="26" t="n">
        <v>122.06</v>
      </c>
      <c r="K1164" s="26" t="n">
        <v>138.59</v>
      </c>
      <c r="L1164" s="26" t="n">
        <v>1.93</v>
      </c>
      <c r="M1164" s="27" t="n">
        <v>0.005</v>
      </c>
      <c r="N1164" s="27" t="n">
        <v>0.002</v>
      </c>
      <c r="O1164" s="26" t="n">
        <v>5</v>
      </c>
      <c r="P1164" s="26" t="n">
        <v>5</v>
      </c>
      <c r="Q1164" s="28" t="n">
        <v>100</v>
      </c>
      <c r="R1164" s="26" t="n">
        <v>30</v>
      </c>
      <c r="S1164" s="26" t="n">
        <v>0</v>
      </c>
      <c r="T1164" s="28" t="n">
        <v>1</v>
      </c>
      <c r="U1164" s="26" t="n">
        <v>0</v>
      </c>
      <c r="V1164" s="26" t="n">
        <v>0</v>
      </c>
      <c r="W1164" s="22" t="s">
        <v>20</v>
      </c>
      <c r="X1164" s="22" t="s">
        <v>293</v>
      </c>
    </row>
    <row r="1165" customFormat="false" ht="15" hidden="false" customHeight="false" outlineLevel="0" collapsed="false">
      <c r="A1165" s="22" t="s">
        <v>4854</v>
      </c>
      <c r="B1165" s="29" t="s">
        <v>20</v>
      </c>
      <c r="C1165" s="29" t="s">
        <v>3991</v>
      </c>
      <c r="D1165" s="22" t="s">
        <v>4855</v>
      </c>
      <c r="E1165" s="22" t="s">
        <v>4856</v>
      </c>
      <c r="F1165" s="22" t="n">
        <v>11</v>
      </c>
      <c r="G1165" s="26" t="n">
        <v>78.36</v>
      </c>
      <c r="H1165" s="26" t="n">
        <v>88.38</v>
      </c>
      <c r="I1165" s="26" t="n">
        <v>108.41</v>
      </c>
      <c r="J1165" s="26" t="n">
        <v>118.43</v>
      </c>
      <c r="K1165" s="26" t="n">
        <v>133.46</v>
      </c>
      <c r="L1165" s="26" t="n">
        <v>1.93</v>
      </c>
      <c r="M1165" s="27" t="n">
        <v>0.005</v>
      </c>
      <c r="N1165" s="27" t="n">
        <v>0.002</v>
      </c>
      <c r="O1165" s="26" t="n">
        <v>5</v>
      </c>
      <c r="P1165" s="26" t="n">
        <v>5</v>
      </c>
      <c r="Q1165" s="28" t="n">
        <v>100</v>
      </c>
      <c r="R1165" s="26" t="n">
        <v>30</v>
      </c>
      <c r="S1165" s="26" t="n">
        <v>0</v>
      </c>
      <c r="T1165" s="28" t="n">
        <v>1</v>
      </c>
      <c r="U1165" s="26" t="n">
        <v>0</v>
      </c>
      <c r="V1165" s="26" t="n">
        <v>0</v>
      </c>
      <c r="W1165" s="29" t="s">
        <v>19</v>
      </c>
      <c r="X1165" s="22" t="s">
        <v>293</v>
      </c>
    </row>
    <row r="1166" customFormat="false" ht="15" hidden="false" customHeight="false" outlineLevel="0" collapsed="false">
      <c r="A1166" s="22" t="s">
        <v>4857</v>
      </c>
      <c r="B1166" s="22" t="s">
        <v>20</v>
      </c>
      <c r="C1166" s="22" t="s">
        <v>4858</v>
      </c>
      <c r="D1166" s="22" t="s">
        <v>4859</v>
      </c>
      <c r="E1166" s="22" t="s">
        <v>4860</v>
      </c>
      <c r="F1166" s="22" t="n">
        <v>11</v>
      </c>
      <c r="G1166" s="26" t="n">
        <v>77.99</v>
      </c>
      <c r="H1166" s="26" t="n">
        <v>89.01</v>
      </c>
      <c r="I1166" s="26" t="n">
        <v>111.04</v>
      </c>
      <c r="J1166" s="26" t="n">
        <v>122.06</v>
      </c>
      <c r="K1166" s="26" t="n">
        <v>138.59</v>
      </c>
      <c r="L1166" s="26" t="n">
        <v>1.93</v>
      </c>
      <c r="M1166" s="27" t="n">
        <v>0.005</v>
      </c>
      <c r="N1166" s="27" t="n">
        <v>0.002</v>
      </c>
      <c r="O1166" s="26" t="n">
        <v>5</v>
      </c>
      <c r="P1166" s="26" t="n">
        <v>5</v>
      </c>
      <c r="Q1166" s="28" t="n">
        <v>100</v>
      </c>
      <c r="R1166" s="26" t="n">
        <v>30</v>
      </c>
      <c r="S1166" s="26" t="n">
        <v>0</v>
      </c>
      <c r="T1166" s="28" t="n">
        <v>1</v>
      </c>
      <c r="U1166" s="26" t="n">
        <v>0</v>
      </c>
      <c r="V1166" s="26" t="n">
        <v>0</v>
      </c>
      <c r="W1166" s="22" t="s">
        <v>20</v>
      </c>
      <c r="X1166" s="22" t="s">
        <v>293</v>
      </c>
    </row>
    <row r="1167" customFormat="false" ht="15" hidden="false" customHeight="false" outlineLevel="0" collapsed="false">
      <c r="A1167" s="22" t="s">
        <v>4861</v>
      </c>
      <c r="B1167" s="22" t="s">
        <v>20</v>
      </c>
      <c r="C1167" s="22" t="s">
        <v>4862</v>
      </c>
      <c r="D1167" s="22" t="s">
        <v>4863</v>
      </c>
      <c r="E1167" s="22" t="s">
        <v>4864</v>
      </c>
      <c r="F1167" s="22" t="n">
        <v>11</v>
      </c>
      <c r="G1167" s="26" t="n">
        <v>77.99</v>
      </c>
      <c r="H1167" s="26" t="n">
        <v>89.01</v>
      </c>
      <c r="I1167" s="26" t="n">
        <v>111.04</v>
      </c>
      <c r="J1167" s="26" t="n">
        <v>122.06</v>
      </c>
      <c r="K1167" s="26" t="n">
        <v>138.59</v>
      </c>
      <c r="L1167" s="26" t="n">
        <v>1.93</v>
      </c>
      <c r="M1167" s="27" t="n">
        <v>0.005</v>
      </c>
      <c r="N1167" s="27" t="n">
        <v>0.002</v>
      </c>
      <c r="O1167" s="26" t="n">
        <v>5</v>
      </c>
      <c r="P1167" s="26" t="n">
        <v>5</v>
      </c>
      <c r="Q1167" s="28" t="n">
        <v>100</v>
      </c>
      <c r="R1167" s="26" t="n">
        <v>30</v>
      </c>
      <c r="S1167" s="26" t="n">
        <v>0</v>
      </c>
      <c r="T1167" s="28" t="n">
        <v>1</v>
      </c>
      <c r="U1167" s="26" t="n">
        <v>0</v>
      </c>
      <c r="V1167" s="26" t="n">
        <v>0</v>
      </c>
      <c r="W1167" s="22" t="s">
        <v>20</v>
      </c>
      <c r="X1167" s="22" t="s">
        <v>293</v>
      </c>
    </row>
    <row r="1168" customFormat="false" ht="15" hidden="false" customHeight="false" outlineLevel="0" collapsed="false">
      <c r="A1168" s="22" t="s">
        <v>4865</v>
      </c>
      <c r="B1168" s="22" t="s">
        <v>20</v>
      </c>
      <c r="C1168" s="22" t="s">
        <v>4866</v>
      </c>
      <c r="D1168" s="22" t="s">
        <v>4867</v>
      </c>
      <c r="E1168" s="22" t="s">
        <v>4868</v>
      </c>
      <c r="F1168" s="22" t="n">
        <v>11</v>
      </c>
      <c r="G1168" s="26" t="n">
        <v>77.99</v>
      </c>
      <c r="H1168" s="26" t="n">
        <v>89.01</v>
      </c>
      <c r="I1168" s="26" t="n">
        <v>111.04</v>
      </c>
      <c r="J1168" s="26" t="n">
        <v>122.06</v>
      </c>
      <c r="K1168" s="26" t="n">
        <v>138.59</v>
      </c>
      <c r="L1168" s="26" t="n">
        <v>1.93</v>
      </c>
      <c r="M1168" s="27" t="n">
        <v>0.005</v>
      </c>
      <c r="N1168" s="27" t="n">
        <v>0.002</v>
      </c>
      <c r="O1168" s="26" t="n">
        <v>5</v>
      </c>
      <c r="P1168" s="26" t="n">
        <v>5</v>
      </c>
      <c r="Q1168" s="28" t="n">
        <v>100</v>
      </c>
      <c r="R1168" s="26" t="n">
        <v>30</v>
      </c>
      <c r="S1168" s="26" t="n">
        <v>0</v>
      </c>
      <c r="T1168" s="28" t="n">
        <v>1</v>
      </c>
      <c r="U1168" s="26" t="n">
        <v>0</v>
      </c>
      <c r="V1168" s="26" t="n">
        <v>0</v>
      </c>
      <c r="W1168" s="22" t="s">
        <v>20</v>
      </c>
      <c r="X1168" s="22" t="s">
        <v>293</v>
      </c>
    </row>
    <row r="1169" customFormat="false" ht="15" hidden="false" customHeight="false" outlineLevel="0" collapsed="false">
      <c r="A1169" s="22" t="s">
        <v>4869</v>
      </c>
      <c r="B1169" s="22" t="s">
        <v>20</v>
      </c>
      <c r="C1169" s="22" t="s">
        <v>4870</v>
      </c>
      <c r="D1169" s="22" t="s">
        <v>4871</v>
      </c>
      <c r="E1169" s="22" t="s">
        <v>4872</v>
      </c>
      <c r="F1169" s="22" t="n">
        <v>11</v>
      </c>
      <c r="G1169" s="26" t="n">
        <v>77.99</v>
      </c>
      <c r="H1169" s="26" t="n">
        <v>89.01</v>
      </c>
      <c r="I1169" s="26" t="n">
        <v>111.04</v>
      </c>
      <c r="J1169" s="26" t="n">
        <v>122.06</v>
      </c>
      <c r="K1169" s="26" t="n">
        <v>138.59</v>
      </c>
      <c r="L1169" s="26" t="n">
        <v>1.93</v>
      </c>
      <c r="M1169" s="27" t="n">
        <v>0.005</v>
      </c>
      <c r="N1169" s="27" t="n">
        <v>0.002</v>
      </c>
      <c r="O1169" s="26" t="n">
        <v>5</v>
      </c>
      <c r="P1169" s="26" t="n">
        <v>5</v>
      </c>
      <c r="Q1169" s="28" t="n">
        <v>100</v>
      </c>
      <c r="R1169" s="26" t="n">
        <v>30</v>
      </c>
      <c r="S1169" s="26" t="n">
        <v>0</v>
      </c>
      <c r="T1169" s="28" t="n">
        <v>1</v>
      </c>
      <c r="U1169" s="26" t="n">
        <v>0</v>
      </c>
      <c r="V1169" s="26" t="n">
        <v>0</v>
      </c>
      <c r="W1169" s="22" t="s">
        <v>20</v>
      </c>
      <c r="X1169" s="22" t="s">
        <v>293</v>
      </c>
    </row>
    <row r="1170" customFormat="false" ht="15" hidden="false" customHeight="false" outlineLevel="0" collapsed="false">
      <c r="A1170" s="22" t="s">
        <v>4873</v>
      </c>
      <c r="B1170" s="22" t="s">
        <v>20</v>
      </c>
      <c r="C1170" s="22" t="s">
        <v>4874</v>
      </c>
      <c r="D1170" s="22" t="s">
        <v>4875</v>
      </c>
      <c r="E1170" s="22" t="s">
        <v>4876</v>
      </c>
      <c r="F1170" s="22" t="n">
        <v>11</v>
      </c>
      <c r="G1170" s="26" t="n">
        <v>77.99</v>
      </c>
      <c r="H1170" s="26" t="n">
        <v>89.01</v>
      </c>
      <c r="I1170" s="26" t="n">
        <v>111.04</v>
      </c>
      <c r="J1170" s="26" t="n">
        <v>122.06</v>
      </c>
      <c r="K1170" s="26" t="n">
        <v>138.59</v>
      </c>
      <c r="L1170" s="26" t="n">
        <v>1.93</v>
      </c>
      <c r="M1170" s="27" t="n">
        <v>0.005</v>
      </c>
      <c r="N1170" s="27" t="n">
        <v>0.002</v>
      </c>
      <c r="O1170" s="26" t="n">
        <v>5</v>
      </c>
      <c r="P1170" s="26" t="n">
        <v>5</v>
      </c>
      <c r="Q1170" s="28" t="n">
        <v>100</v>
      </c>
      <c r="R1170" s="26" t="n">
        <v>30</v>
      </c>
      <c r="S1170" s="26" t="n">
        <v>0</v>
      </c>
      <c r="T1170" s="28" t="n">
        <v>1</v>
      </c>
      <c r="U1170" s="26" t="n">
        <v>0</v>
      </c>
      <c r="V1170" s="26" t="n">
        <v>0</v>
      </c>
      <c r="W1170" s="22" t="s">
        <v>20</v>
      </c>
      <c r="X1170" s="22" t="s">
        <v>293</v>
      </c>
    </row>
    <row r="1171" customFormat="false" ht="15" hidden="false" customHeight="false" outlineLevel="0" collapsed="false">
      <c r="A1171" s="22" t="s">
        <v>4877</v>
      </c>
      <c r="B1171" s="22" t="s">
        <v>20</v>
      </c>
      <c r="C1171" s="22" t="s">
        <v>4878</v>
      </c>
      <c r="D1171" s="22" t="s">
        <v>4879</v>
      </c>
      <c r="E1171" s="22" t="s">
        <v>4880</v>
      </c>
      <c r="F1171" s="22" t="n">
        <v>11</v>
      </c>
      <c r="G1171" s="26" t="n">
        <v>77.99</v>
      </c>
      <c r="H1171" s="26" t="n">
        <v>89.01</v>
      </c>
      <c r="I1171" s="26" t="n">
        <v>111.04</v>
      </c>
      <c r="J1171" s="26" t="n">
        <v>122.06</v>
      </c>
      <c r="K1171" s="26" t="n">
        <v>138.59</v>
      </c>
      <c r="L1171" s="26" t="n">
        <v>1.93</v>
      </c>
      <c r="M1171" s="27" t="n">
        <v>0.005</v>
      </c>
      <c r="N1171" s="27" t="n">
        <v>0.002</v>
      </c>
      <c r="O1171" s="26" t="n">
        <v>5</v>
      </c>
      <c r="P1171" s="26" t="n">
        <v>5</v>
      </c>
      <c r="Q1171" s="28" t="n">
        <v>100</v>
      </c>
      <c r="R1171" s="26" t="n">
        <v>30</v>
      </c>
      <c r="S1171" s="26" t="n">
        <v>0</v>
      </c>
      <c r="T1171" s="28" t="n">
        <v>1</v>
      </c>
      <c r="U1171" s="26" t="n">
        <v>0</v>
      </c>
      <c r="V1171" s="26" t="n">
        <v>0</v>
      </c>
      <c r="W1171" s="22" t="s">
        <v>20</v>
      </c>
      <c r="X1171" s="22" t="s">
        <v>293</v>
      </c>
    </row>
    <row r="1172" customFormat="false" ht="15" hidden="false" customHeight="false" outlineLevel="0" collapsed="false">
      <c r="A1172" s="22" t="s">
        <v>4881</v>
      </c>
      <c r="B1172" s="22" t="s">
        <v>20</v>
      </c>
      <c r="C1172" s="22" t="s">
        <v>4882</v>
      </c>
      <c r="D1172" s="22" t="s">
        <v>4883</v>
      </c>
      <c r="E1172" s="22" t="s">
        <v>4884</v>
      </c>
      <c r="F1172" s="22" t="n">
        <v>11</v>
      </c>
      <c r="G1172" s="26" t="n">
        <v>77.99</v>
      </c>
      <c r="H1172" s="26" t="n">
        <v>89.01</v>
      </c>
      <c r="I1172" s="26" t="n">
        <v>111.04</v>
      </c>
      <c r="J1172" s="26" t="n">
        <v>122.06</v>
      </c>
      <c r="K1172" s="26" t="n">
        <v>138.59</v>
      </c>
      <c r="L1172" s="26" t="n">
        <v>1.93</v>
      </c>
      <c r="M1172" s="27" t="n">
        <v>0.005</v>
      </c>
      <c r="N1172" s="27" t="n">
        <v>0.002</v>
      </c>
      <c r="O1172" s="26" t="n">
        <v>5</v>
      </c>
      <c r="P1172" s="26" t="n">
        <v>5</v>
      </c>
      <c r="Q1172" s="28" t="n">
        <v>100</v>
      </c>
      <c r="R1172" s="26" t="n">
        <v>30</v>
      </c>
      <c r="S1172" s="26" t="n">
        <v>0</v>
      </c>
      <c r="T1172" s="28" t="n">
        <v>1</v>
      </c>
      <c r="U1172" s="26" t="n">
        <v>0</v>
      </c>
      <c r="V1172" s="26" t="n">
        <v>0</v>
      </c>
      <c r="W1172" s="22" t="s">
        <v>20</v>
      </c>
      <c r="X1172" s="22" t="s">
        <v>293</v>
      </c>
    </row>
    <row r="1173" customFormat="false" ht="15" hidden="false" customHeight="false" outlineLevel="0" collapsed="false">
      <c r="A1173" s="22" t="s">
        <v>4885</v>
      </c>
      <c r="B1173" s="22" t="s">
        <v>20</v>
      </c>
      <c r="C1173" s="22" t="s">
        <v>4886</v>
      </c>
      <c r="D1173" s="22" t="s">
        <v>4887</v>
      </c>
      <c r="E1173" s="22" t="s">
        <v>4888</v>
      </c>
      <c r="F1173" s="22" t="n">
        <v>11</v>
      </c>
      <c r="G1173" s="26" t="n">
        <v>77.99</v>
      </c>
      <c r="H1173" s="26" t="n">
        <v>89.01</v>
      </c>
      <c r="I1173" s="26" t="n">
        <v>111.04</v>
      </c>
      <c r="J1173" s="26" t="n">
        <v>122.06</v>
      </c>
      <c r="K1173" s="26" t="n">
        <v>138.59</v>
      </c>
      <c r="L1173" s="26" t="n">
        <v>1.93</v>
      </c>
      <c r="M1173" s="27" t="n">
        <v>0.005</v>
      </c>
      <c r="N1173" s="27" t="n">
        <v>0.002</v>
      </c>
      <c r="O1173" s="26" t="n">
        <v>5</v>
      </c>
      <c r="P1173" s="26" t="n">
        <v>5</v>
      </c>
      <c r="Q1173" s="28" t="n">
        <v>100</v>
      </c>
      <c r="R1173" s="26" t="n">
        <v>30</v>
      </c>
      <c r="S1173" s="26" t="n">
        <v>0</v>
      </c>
      <c r="T1173" s="28" t="n">
        <v>1</v>
      </c>
      <c r="U1173" s="26" t="n">
        <v>0</v>
      </c>
      <c r="V1173" s="26" t="n">
        <v>0</v>
      </c>
      <c r="W1173" s="22" t="s">
        <v>20</v>
      </c>
      <c r="X1173" s="22" t="s">
        <v>293</v>
      </c>
    </row>
    <row r="1174" customFormat="false" ht="15" hidden="false" customHeight="false" outlineLevel="0" collapsed="false">
      <c r="A1174" s="22" t="s">
        <v>4889</v>
      </c>
      <c r="B1174" s="22" t="s">
        <v>20</v>
      </c>
      <c r="C1174" s="22" t="s">
        <v>4890</v>
      </c>
      <c r="D1174" s="22" t="s">
        <v>4891</v>
      </c>
      <c r="E1174" s="22" t="s">
        <v>4892</v>
      </c>
      <c r="F1174" s="22" t="n">
        <v>11</v>
      </c>
      <c r="G1174" s="26" t="n">
        <v>77.99</v>
      </c>
      <c r="H1174" s="26" t="n">
        <v>89.01</v>
      </c>
      <c r="I1174" s="26" t="n">
        <v>111.04</v>
      </c>
      <c r="J1174" s="26" t="n">
        <v>122.06</v>
      </c>
      <c r="K1174" s="26" t="n">
        <v>138.59</v>
      </c>
      <c r="L1174" s="26" t="n">
        <v>1.93</v>
      </c>
      <c r="M1174" s="27" t="n">
        <v>0.005</v>
      </c>
      <c r="N1174" s="27" t="n">
        <v>0.002</v>
      </c>
      <c r="O1174" s="26" t="n">
        <v>5</v>
      </c>
      <c r="P1174" s="26" t="n">
        <v>5</v>
      </c>
      <c r="Q1174" s="28" t="n">
        <v>100</v>
      </c>
      <c r="R1174" s="26" t="n">
        <v>30</v>
      </c>
      <c r="S1174" s="26" t="n">
        <v>0</v>
      </c>
      <c r="T1174" s="28" t="n">
        <v>1</v>
      </c>
      <c r="U1174" s="26" t="n">
        <v>0</v>
      </c>
      <c r="V1174" s="26" t="n">
        <v>0</v>
      </c>
      <c r="W1174" s="22" t="s">
        <v>20</v>
      </c>
      <c r="X1174" s="22" t="s">
        <v>293</v>
      </c>
    </row>
    <row r="1175" customFormat="false" ht="15" hidden="false" customHeight="false" outlineLevel="0" collapsed="false">
      <c r="A1175" s="22" t="s">
        <v>4893</v>
      </c>
      <c r="B1175" s="22" t="s">
        <v>20</v>
      </c>
      <c r="C1175" s="22" t="s">
        <v>4894</v>
      </c>
      <c r="D1175" s="22" t="s">
        <v>4895</v>
      </c>
      <c r="E1175" s="22" t="s">
        <v>4896</v>
      </c>
      <c r="F1175" s="22" t="n">
        <v>11</v>
      </c>
      <c r="G1175" s="26" t="n">
        <v>77.99</v>
      </c>
      <c r="H1175" s="26" t="n">
        <v>89.01</v>
      </c>
      <c r="I1175" s="26" t="n">
        <v>111.04</v>
      </c>
      <c r="J1175" s="26" t="n">
        <v>122.06</v>
      </c>
      <c r="K1175" s="26" t="n">
        <v>138.59</v>
      </c>
      <c r="L1175" s="26" t="n">
        <v>1.93</v>
      </c>
      <c r="M1175" s="27" t="n">
        <v>0.005</v>
      </c>
      <c r="N1175" s="27" t="n">
        <v>0.002</v>
      </c>
      <c r="O1175" s="26" t="n">
        <v>5</v>
      </c>
      <c r="P1175" s="26" t="n">
        <v>5</v>
      </c>
      <c r="Q1175" s="28" t="n">
        <v>100</v>
      </c>
      <c r="R1175" s="26" t="n">
        <v>30</v>
      </c>
      <c r="S1175" s="26" t="n">
        <v>0</v>
      </c>
      <c r="T1175" s="28" t="n">
        <v>1</v>
      </c>
      <c r="U1175" s="26" t="n">
        <v>0</v>
      </c>
      <c r="V1175" s="26" t="n">
        <v>0</v>
      </c>
      <c r="W1175" s="22" t="s">
        <v>20</v>
      </c>
      <c r="X1175" s="22" t="s">
        <v>293</v>
      </c>
    </row>
    <row r="1176" customFormat="false" ht="15" hidden="false" customHeight="false" outlineLevel="0" collapsed="false">
      <c r="A1176" s="22" t="s">
        <v>4897</v>
      </c>
      <c r="B1176" s="22" t="s">
        <v>20</v>
      </c>
      <c r="C1176" s="22" t="s">
        <v>4898</v>
      </c>
      <c r="D1176" s="22" t="s">
        <v>4899</v>
      </c>
      <c r="E1176" s="22" t="s">
        <v>4900</v>
      </c>
      <c r="F1176" s="22" t="n">
        <v>11</v>
      </c>
      <c r="G1176" s="26" t="n">
        <v>77.99</v>
      </c>
      <c r="H1176" s="26" t="n">
        <v>89.01</v>
      </c>
      <c r="I1176" s="26" t="n">
        <v>111.04</v>
      </c>
      <c r="J1176" s="26" t="n">
        <v>122.06</v>
      </c>
      <c r="K1176" s="26" t="n">
        <v>138.59</v>
      </c>
      <c r="L1176" s="26" t="n">
        <v>1.93</v>
      </c>
      <c r="M1176" s="27" t="n">
        <v>0.005</v>
      </c>
      <c r="N1176" s="27" t="n">
        <v>0.002</v>
      </c>
      <c r="O1176" s="26" t="n">
        <v>5</v>
      </c>
      <c r="P1176" s="26" t="n">
        <v>5</v>
      </c>
      <c r="Q1176" s="28" t="n">
        <v>100</v>
      </c>
      <c r="R1176" s="26" t="n">
        <v>30</v>
      </c>
      <c r="S1176" s="26" t="n">
        <v>0</v>
      </c>
      <c r="T1176" s="28" t="n">
        <v>1</v>
      </c>
      <c r="U1176" s="26" t="n">
        <v>0</v>
      </c>
      <c r="V1176" s="26" t="n">
        <v>0</v>
      </c>
      <c r="W1176" s="22" t="s">
        <v>20</v>
      </c>
      <c r="X1176" s="22" t="s">
        <v>293</v>
      </c>
    </row>
    <row r="1177" customFormat="false" ht="15" hidden="false" customHeight="false" outlineLevel="0" collapsed="false">
      <c r="A1177" s="22" t="s">
        <v>4901</v>
      </c>
      <c r="B1177" s="22" t="s">
        <v>20</v>
      </c>
      <c r="C1177" s="22" t="s">
        <v>4902</v>
      </c>
      <c r="D1177" s="22" t="s">
        <v>4903</v>
      </c>
      <c r="E1177" s="22" t="s">
        <v>4904</v>
      </c>
      <c r="F1177" s="22" t="n">
        <v>11</v>
      </c>
      <c r="G1177" s="26" t="n">
        <v>77.99</v>
      </c>
      <c r="H1177" s="26" t="n">
        <v>89.01</v>
      </c>
      <c r="I1177" s="26" t="n">
        <v>111.04</v>
      </c>
      <c r="J1177" s="26" t="n">
        <v>122.06</v>
      </c>
      <c r="K1177" s="26" t="n">
        <v>138.59</v>
      </c>
      <c r="L1177" s="26" t="n">
        <v>1.93</v>
      </c>
      <c r="M1177" s="27" t="n">
        <v>0.005</v>
      </c>
      <c r="N1177" s="27" t="n">
        <v>0.002</v>
      </c>
      <c r="O1177" s="26" t="n">
        <v>5</v>
      </c>
      <c r="P1177" s="26" t="n">
        <v>5</v>
      </c>
      <c r="Q1177" s="28" t="n">
        <v>100</v>
      </c>
      <c r="R1177" s="26" t="n">
        <v>30</v>
      </c>
      <c r="S1177" s="26" t="n">
        <v>0</v>
      </c>
      <c r="T1177" s="28" t="n">
        <v>1</v>
      </c>
      <c r="U1177" s="26" t="n">
        <v>0</v>
      </c>
      <c r="V1177" s="26" t="n">
        <v>0</v>
      </c>
      <c r="W1177" s="22" t="s">
        <v>20</v>
      </c>
      <c r="X1177" s="22" t="s">
        <v>293</v>
      </c>
    </row>
    <row r="1178" customFormat="false" ht="15" hidden="false" customHeight="false" outlineLevel="0" collapsed="false">
      <c r="A1178" s="22" t="s">
        <v>4905</v>
      </c>
      <c r="B1178" s="22" t="s">
        <v>20</v>
      </c>
      <c r="C1178" s="22" t="s">
        <v>4906</v>
      </c>
      <c r="D1178" s="22" t="s">
        <v>4907</v>
      </c>
      <c r="E1178" s="22" t="s">
        <v>4908</v>
      </c>
      <c r="F1178" s="22" t="n">
        <v>11</v>
      </c>
      <c r="G1178" s="26" t="n">
        <v>77.99</v>
      </c>
      <c r="H1178" s="26" t="n">
        <v>89.01</v>
      </c>
      <c r="I1178" s="26" t="n">
        <v>111.04</v>
      </c>
      <c r="J1178" s="26" t="n">
        <v>122.06</v>
      </c>
      <c r="K1178" s="26" t="n">
        <v>138.59</v>
      </c>
      <c r="L1178" s="26" t="n">
        <v>1.93</v>
      </c>
      <c r="M1178" s="27" t="n">
        <v>0.005</v>
      </c>
      <c r="N1178" s="27" t="n">
        <v>0.002</v>
      </c>
      <c r="O1178" s="26" t="n">
        <v>5</v>
      </c>
      <c r="P1178" s="26" t="n">
        <v>5</v>
      </c>
      <c r="Q1178" s="28" t="n">
        <v>100</v>
      </c>
      <c r="R1178" s="26" t="n">
        <v>30</v>
      </c>
      <c r="S1178" s="26" t="n">
        <v>0</v>
      </c>
      <c r="T1178" s="28" t="n">
        <v>1</v>
      </c>
      <c r="U1178" s="26" t="n">
        <v>0</v>
      </c>
      <c r="V1178" s="26" t="n">
        <v>0</v>
      </c>
      <c r="W1178" s="22" t="s">
        <v>20</v>
      </c>
      <c r="X1178" s="22" t="s">
        <v>293</v>
      </c>
    </row>
    <row r="1179" customFormat="false" ht="15" hidden="false" customHeight="false" outlineLevel="0" collapsed="false">
      <c r="A1179" s="22" t="s">
        <v>4909</v>
      </c>
      <c r="B1179" s="22" t="s">
        <v>20</v>
      </c>
      <c r="C1179" s="22" t="s">
        <v>4910</v>
      </c>
      <c r="D1179" s="22" t="s">
        <v>4911</v>
      </c>
      <c r="E1179" s="22" t="s">
        <v>4912</v>
      </c>
      <c r="F1179" s="22" t="n">
        <v>11</v>
      </c>
      <c r="G1179" s="26" t="n">
        <v>77.99</v>
      </c>
      <c r="H1179" s="26" t="n">
        <v>89.01</v>
      </c>
      <c r="I1179" s="26" t="n">
        <v>111.04</v>
      </c>
      <c r="J1179" s="26" t="n">
        <v>122.06</v>
      </c>
      <c r="K1179" s="26" t="n">
        <v>138.59</v>
      </c>
      <c r="L1179" s="26" t="n">
        <v>1.93</v>
      </c>
      <c r="M1179" s="27" t="n">
        <v>0.005</v>
      </c>
      <c r="N1179" s="27" t="n">
        <v>0.002</v>
      </c>
      <c r="O1179" s="26" t="n">
        <v>5</v>
      </c>
      <c r="P1179" s="26" t="n">
        <v>5</v>
      </c>
      <c r="Q1179" s="28" t="n">
        <v>100</v>
      </c>
      <c r="R1179" s="26" t="n">
        <v>30</v>
      </c>
      <c r="S1179" s="26" t="n">
        <v>0</v>
      </c>
      <c r="T1179" s="28" t="n">
        <v>1</v>
      </c>
      <c r="U1179" s="26" t="n">
        <v>0</v>
      </c>
      <c r="V1179" s="26" t="n">
        <v>0</v>
      </c>
      <c r="W1179" s="22" t="s">
        <v>20</v>
      </c>
      <c r="X1179" s="22" t="s">
        <v>293</v>
      </c>
    </row>
    <row r="1180" customFormat="false" ht="15" hidden="false" customHeight="false" outlineLevel="0" collapsed="false">
      <c r="A1180" s="22" t="s">
        <v>4913</v>
      </c>
      <c r="B1180" s="22" t="s">
        <v>20</v>
      </c>
      <c r="C1180" s="22" t="s">
        <v>4914</v>
      </c>
      <c r="D1180" s="22" t="s">
        <v>4915</v>
      </c>
      <c r="E1180" s="22" t="s">
        <v>4916</v>
      </c>
      <c r="F1180" s="22" t="n">
        <v>11</v>
      </c>
      <c r="G1180" s="26" t="n">
        <v>77.99</v>
      </c>
      <c r="H1180" s="26" t="n">
        <v>89.01</v>
      </c>
      <c r="I1180" s="26" t="n">
        <v>111.04</v>
      </c>
      <c r="J1180" s="26" t="n">
        <v>122.06</v>
      </c>
      <c r="K1180" s="26" t="n">
        <v>138.59</v>
      </c>
      <c r="L1180" s="26" t="n">
        <v>1.93</v>
      </c>
      <c r="M1180" s="27" t="n">
        <v>0.005</v>
      </c>
      <c r="N1180" s="27" t="n">
        <v>0.002</v>
      </c>
      <c r="O1180" s="26" t="n">
        <v>5</v>
      </c>
      <c r="P1180" s="26" t="n">
        <v>5</v>
      </c>
      <c r="Q1180" s="28" t="n">
        <v>100</v>
      </c>
      <c r="R1180" s="26" t="n">
        <v>30</v>
      </c>
      <c r="S1180" s="26" t="n">
        <v>0</v>
      </c>
      <c r="T1180" s="28" t="n">
        <v>1</v>
      </c>
      <c r="U1180" s="26" t="n">
        <v>0</v>
      </c>
      <c r="V1180" s="26" t="n">
        <v>0</v>
      </c>
      <c r="W1180" s="22" t="s">
        <v>20</v>
      </c>
      <c r="X1180" s="22" t="s">
        <v>293</v>
      </c>
    </row>
    <row r="1181" customFormat="false" ht="15" hidden="false" customHeight="false" outlineLevel="0" collapsed="false">
      <c r="A1181" s="22" t="s">
        <v>4917</v>
      </c>
      <c r="B1181" s="22" t="s">
        <v>20</v>
      </c>
      <c r="C1181" s="22" t="s">
        <v>4918</v>
      </c>
      <c r="D1181" s="22" t="s">
        <v>4919</v>
      </c>
      <c r="E1181" s="22" t="s">
        <v>4920</v>
      </c>
      <c r="F1181" s="22" t="n">
        <v>11</v>
      </c>
      <c r="G1181" s="26" t="n">
        <v>77.99</v>
      </c>
      <c r="H1181" s="26" t="n">
        <v>89.01</v>
      </c>
      <c r="I1181" s="26" t="n">
        <v>111.04</v>
      </c>
      <c r="J1181" s="26" t="n">
        <v>122.06</v>
      </c>
      <c r="K1181" s="26" t="n">
        <v>138.59</v>
      </c>
      <c r="L1181" s="26" t="n">
        <v>1.93</v>
      </c>
      <c r="M1181" s="27" t="n">
        <v>0.005</v>
      </c>
      <c r="N1181" s="27" t="n">
        <v>0.002</v>
      </c>
      <c r="O1181" s="26" t="n">
        <v>5</v>
      </c>
      <c r="P1181" s="26" t="n">
        <v>5</v>
      </c>
      <c r="Q1181" s="28" t="n">
        <v>100</v>
      </c>
      <c r="R1181" s="26" t="n">
        <v>30</v>
      </c>
      <c r="S1181" s="26" t="n">
        <v>0</v>
      </c>
      <c r="T1181" s="28" t="n">
        <v>1</v>
      </c>
      <c r="U1181" s="26" t="n">
        <v>0</v>
      </c>
      <c r="V1181" s="26" t="n">
        <v>0</v>
      </c>
      <c r="W1181" s="22" t="s">
        <v>20</v>
      </c>
      <c r="X1181" s="22" t="s">
        <v>293</v>
      </c>
    </row>
    <row r="1182" customFormat="false" ht="15" hidden="false" customHeight="false" outlineLevel="0" collapsed="false">
      <c r="A1182" s="22" t="s">
        <v>4921</v>
      </c>
      <c r="B1182" s="22" t="s">
        <v>20</v>
      </c>
      <c r="C1182" s="22" t="s">
        <v>4922</v>
      </c>
      <c r="D1182" s="22" t="s">
        <v>4923</v>
      </c>
      <c r="E1182" s="22" t="s">
        <v>4924</v>
      </c>
      <c r="F1182" s="22" t="n">
        <v>11</v>
      </c>
      <c r="G1182" s="26" t="n">
        <v>77.99</v>
      </c>
      <c r="H1182" s="26" t="n">
        <v>89.01</v>
      </c>
      <c r="I1182" s="26" t="n">
        <v>111.04</v>
      </c>
      <c r="J1182" s="26" t="n">
        <v>122.06</v>
      </c>
      <c r="K1182" s="26" t="n">
        <v>138.59</v>
      </c>
      <c r="L1182" s="26" t="n">
        <v>1.93</v>
      </c>
      <c r="M1182" s="27" t="n">
        <v>0.005</v>
      </c>
      <c r="N1182" s="27" t="n">
        <v>0.002</v>
      </c>
      <c r="O1182" s="26" t="n">
        <v>5</v>
      </c>
      <c r="P1182" s="26" t="n">
        <v>5</v>
      </c>
      <c r="Q1182" s="28" t="n">
        <v>100</v>
      </c>
      <c r="R1182" s="26" t="n">
        <v>30</v>
      </c>
      <c r="S1182" s="26" t="n">
        <v>0</v>
      </c>
      <c r="T1182" s="28" t="n">
        <v>1</v>
      </c>
      <c r="U1182" s="26" t="n">
        <v>0</v>
      </c>
      <c r="V1182" s="26" t="n">
        <v>0</v>
      </c>
      <c r="W1182" s="22" t="s">
        <v>20</v>
      </c>
      <c r="X1182" s="22" t="s">
        <v>293</v>
      </c>
    </row>
    <row r="1183" customFormat="false" ht="15" hidden="false" customHeight="false" outlineLevel="0" collapsed="false">
      <c r="A1183" s="22" t="s">
        <v>4925</v>
      </c>
      <c r="B1183" s="22" t="s">
        <v>20</v>
      </c>
      <c r="C1183" s="22" t="s">
        <v>4926</v>
      </c>
      <c r="D1183" s="22" t="s">
        <v>4927</v>
      </c>
      <c r="E1183" s="22" t="s">
        <v>4928</v>
      </c>
      <c r="F1183" s="22" t="n">
        <v>11</v>
      </c>
      <c r="G1183" s="26" t="n">
        <v>77.99</v>
      </c>
      <c r="H1183" s="26" t="n">
        <v>89.01</v>
      </c>
      <c r="I1183" s="26" t="n">
        <v>111.04</v>
      </c>
      <c r="J1183" s="26" t="n">
        <v>122.06</v>
      </c>
      <c r="K1183" s="26" t="n">
        <v>138.59</v>
      </c>
      <c r="L1183" s="26" t="n">
        <v>1.93</v>
      </c>
      <c r="M1183" s="27" t="n">
        <v>0.005</v>
      </c>
      <c r="N1183" s="27" t="n">
        <v>0.002</v>
      </c>
      <c r="O1183" s="26" t="n">
        <v>5</v>
      </c>
      <c r="P1183" s="26" t="n">
        <v>5</v>
      </c>
      <c r="Q1183" s="28" t="n">
        <v>100</v>
      </c>
      <c r="R1183" s="26" t="n">
        <v>30</v>
      </c>
      <c r="S1183" s="26" t="n">
        <v>0</v>
      </c>
      <c r="T1183" s="28" t="n">
        <v>1</v>
      </c>
      <c r="U1183" s="26" t="n">
        <v>0</v>
      </c>
      <c r="V1183" s="26" t="n">
        <v>0</v>
      </c>
      <c r="W1183" s="22" t="s">
        <v>20</v>
      </c>
      <c r="X1183" s="22" t="s">
        <v>293</v>
      </c>
    </row>
    <row r="1184" customFormat="false" ht="15" hidden="false" customHeight="false" outlineLevel="0" collapsed="false">
      <c r="A1184" s="22" t="s">
        <v>4929</v>
      </c>
      <c r="B1184" s="22" t="s">
        <v>20</v>
      </c>
      <c r="C1184" s="22" t="s">
        <v>4930</v>
      </c>
      <c r="D1184" s="22" t="s">
        <v>4931</v>
      </c>
      <c r="E1184" s="22" t="s">
        <v>4932</v>
      </c>
      <c r="F1184" s="22" t="n">
        <v>11</v>
      </c>
      <c r="G1184" s="26" t="n">
        <v>77.99</v>
      </c>
      <c r="H1184" s="26" t="n">
        <v>89.01</v>
      </c>
      <c r="I1184" s="26" t="n">
        <v>111.04</v>
      </c>
      <c r="J1184" s="26" t="n">
        <v>122.06</v>
      </c>
      <c r="K1184" s="26" t="n">
        <v>138.59</v>
      </c>
      <c r="L1184" s="26" t="n">
        <v>1.93</v>
      </c>
      <c r="M1184" s="27" t="n">
        <v>0.005</v>
      </c>
      <c r="N1184" s="27" t="n">
        <v>0.002</v>
      </c>
      <c r="O1184" s="26" t="n">
        <v>5</v>
      </c>
      <c r="P1184" s="26" t="n">
        <v>5</v>
      </c>
      <c r="Q1184" s="28" t="n">
        <v>100</v>
      </c>
      <c r="R1184" s="26" t="n">
        <v>30</v>
      </c>
      <c r="S1184" s="26" t="n">
        <v>0</v>
      </c>
      <c r="T1184" s="28" t="n">
        <v>1</v>
      </c>
      <c r="U1184" s="26" t="n">
        <v>0</v>
      </c>
      <c r="V1184" s="26" t="n">
        <v>0</v>
      </c>
      <c r="W1184" s="22" t="s">
        <v>20</v>
      </c>
      <c r="X1184" s="22" t="s">
        <v>293</v>
      </c>
    </row>
    <row r="1185" customFormat="false" ht="15" hidden="false" customHeight="false" outlineLevel="0" collapsed="false">
      <c r="A1185" s="22" t="s">
        <v>4933</v>
      </c>
      <c r="B1185" s="22" t="s">
        <v>20</v>
      </c>
      <c r="C1185" s="22" t="s">
        <v>4934</v>
      </c>
      <c r="D1185" s="22" t="s">
        <v>4935</v>
      </c>
      <c r="E1185" s="22" t="s">
        <v>4936</v>
      </c>
      <c r="F1185" s="22" t="n">
        <v>11</v>
      </c>
      <c r="G1185" s="26" t="n">
        <v>77.99</v>
      </c>
      <c r="H1185" s="26" t="n">
        <v>89.01</v>
      </c>
      <c r="I1185" s="26" t="n">
        <v>111.04</v>
      </c>
      <c r="J1185" s="26" t="n">
        <v>122.06</v>
      </c>
      <c r="K1185" s="26" t="n">
        <v>138.59</v>
      </c>
      <c r="L1185" s="26" t="n">
        <v>1.93</v>
      </c>
      <c r="M1185" s="27" t="n">
        <v>0.005</v>
      </c>
      <c r="N1185" s="27" t="n">
        <v>0.002</v>
      </c>
      <c r="O1185" s="26" t="n">
        <v>5</v>
      </c>
      <c r="P1185" s="26" t="n">
        <v>5</v>
      </c>
      <c r="Q1185" s="28" t="n">
        <v>100</v>
      </c>
      <c r="R1185" s="26" t="n">
        <v>30</v>
      </c>
      <c r="S1185" s="26" t="n">
        <v>0</v>
      </c>
      <c r="T1185" s="28" t="n">
        <v>1</v>
      </c>
      <c r="U1185" s="26" t="n">
        <v>0</v>
      </c>
      <c r="V1185" s="26" t="n">
        <v>0</v>
      </c>
      <c r="W1185" s="22" t="s">
        <v>20</v>
      </c>
      <c r="X1185" s="22" t="s">
        <v>293</v>
      </c>
    </row>
    <row r="1186" customFormat="false" ht="15" hidden="false" customHeight="false" outlineLevel="0" collapsed="false">
      <c r="A1186" s="22" t="s">
        <v>4937</v>
      </c>
      <c r="B1186" s="22" t="s">
        <v>20</v>
      </c>
      <c r="C1186" s="22" t="s">
        <v>1047</v>
      </c>
      <c r="D1186" s="22" t="s">
        <v>4938</v>
      </c>
      <c r="E1186" s="22" t="s">
        <v>4939</v>
      </c>
      <c r="F1186" s="22" t="n">
        <v>13</v>
      </c>
      <c r="G1186" s="26" t="n">
        <v>77.99</v>
      </c>
      <c r="H1186" s="26" t="n">
        <v>89.01</v>
      </c>
      <c r="I1186" s="26" t="n">
        <v>111.04</v>
      </c>
      <c r="J1186" s="26" t="n">
        <v>122.06</v>
      </c>
      <c r="K1186" s="26" t="n">
        <v>138.59</v>
      </c>
      <c r="L1186" s="26" t="n">
        <v>1.93</v>
      </c>
      <c r="M1186" s="27" t="n">
        <v>0.005</v>
      </c>
      <c r="N1186" s="27" t="n">
        <v>0.002</v>
      </c>
      <c r="O1186" s="26" t="n">
        <v>5</v>
      </c>
      <c r="P1186" s="26" t="n">
        <v>5</v>
      </c>
      <c r="Q1186" s="28" t="n">
        <v>100</v>
      </c>
      <c r="R1186" s="26" t="n">
        <v>30</v>
      </c>
      <c r="S1186" s="26" t="n">
        <v>0</v>
      </c>
      <c r="T1186" s="28" t="n">
        <v>1</v>
      </c>
      <c r="U1186" s="26" t="n">
        <v>0</v>
      </c>
      <c r="V1186" s="26" t="n">
        <v>0</v>
      </c>
      <c r="W1186" s="22" t="s">
        <v>20</v>
      </c>
      <c r="X1186" s="22" t="s">
        <v>293</v>
      </c>
    </row>
    <row r="1187" customFormat="false" ht="15" hidden="false" customHeight="false" outlineLevel="0" collapsed="false">
      <c r="A1187" s="22" t="s">
        <v>4940</v>
      </c>
      <c r="B1187" s="22" t="s">
        <v>20</v>
      </c>
      <c r="C1187" s="22" t="s">
        <v>4941</v>
      </c>
      <c r="D1187" s="22" t="s">
        <v>4942</v>
      </c>
      <c r="E1187" s="22" t="s">
        <v>4943</v>
      </c>
      <c r="F1187" s="22" t="n">
        <v>11</v>
      </c>
      <c r="G1187" s="26" t="n">
        <v>77.99</v>
      </c>
      <c r="H1187" s="26" t="n">
        <v>89.01</v>
      </c>
      <c r="I1187" s="26" t="n">
        <v>111.04</v>
      </c>
      <c r="J1187" s="26" t="n">
        <v>122.06</v>
      </c>
      <c r="K1187" s="26" t="n">
        <v>138.59</v>
      </c>
      <c r="L1187" s="26" t="n">
        <v>1.93</v>
      </c>
      <c r="M1187" s="27" t="n">
        <v>0.005</v>
      </c>
      <c r="N1187" s="27" t="n">
        <v>0.002</v>
      </c>
      <c r="O1187" s="26" t="n">
        <v>5</v>
      </c>
      <c r="P1187" s="26" t="n">
        <v>5</v>
      </c>
      <c r="Q1187" s="28" t="n">
        <v>100</v>
      </c>
      <c r="R1187" s="26" t="n">
        <v>30</v>
      </c>
      <c r="S1187" s="26" t="n">
        <v>0</v>
      </c>
      <c r="T1187" s="28" t="n">
        <v>1</v>
      </c>
      <c r="U1187" s="26" t="n">
        <v>0</v>
      </c>
      <c r="V1187" s="26" t="n">
        <v>0</v>
      </c>
      <c r="W1187" s="22" t="s">
        <v>20</v>
      </c>
      <c r="X1187" s="22" t="s">
        <v>293</v>
      </c>
    </row>
    <row r="1188" customFormat="false" ht="15" hidden="false" customHeight="false" outlineLevel="0" collapsed="false">
      <c r="A1188" s="22" t="s">
        <v>4944</v>
      </c>
      <c r="B1188" s="22" t="s">
        <v>20</v>
      </c>
      <c r="C1188" s="22" t="s">
        <v>4945</v>
      </c>
      <c r="D1188" s="22" t="s">
        <v>4946</v>
      </c>
      <c r="E1188" s="22" t="s">
        <v>4947</v>
      </c>
      <c r="F1188" s="22" t="n">
        <v>11</v>
      </c>
      <c r="G1188" s="26" t="n">
        <v>77.99</v>
      </c>
      <c r="H1188" s="26" t="n">
        <v>89.01</v>
      </c>
      <c r="I1188" s="26" t="n">
        <v>111.04</v>
      </c>
      <c r="J1188" s="26" t="n">
        <v>122.06</v>
      </c>
      <c r="K1188" s="26" t="n">
        <v>138.59</v>
      </c>
      <c r="L1188" s="26" t="n">
        <v>1.93</v>
      </c>
      <c r="M1188" s="27" t="n">
        <v>0.005</v>
      </c>
      <c r="N1188" s="27" t="n">
        <v>0.002</v>
      </c>
      <c r="O1188" s="26" t="n">
        <v>5</v>
      </c>
      <c r="P1188" s="26" t="n">
        <v>5</v>
      </c>
      <c r="Q1188" s="28" t="n">
        <v>100</v>
      </c>
      <c r="R1188" s="26" t="n">
        <v>30</v>
      </c>
      <c r="S1188" s="26" t="n">
        <v>0</v>
      </c>
      <c r="T1188" s="28" t="n">
        <v>1</v>
      </c>
      <c r="U1188" s="26" t="n">
        <v>0</v>
      </c>
      <c r="V1188" s="26" t="n">
        <v>0</v>
      </c>
      <c r="W1188" s="22" t="s">
        <v>20</v>
      </c>
      <c r="X1188" s="22" t="s">
        <v>293</v>
      </c>
    </row>
    <row r="1189" customFormat="false" ht="15" hidden="false" customHeight="false" outlineLevel="0" collapsed="false">
      <c r="A1189" s="22" t="s">
        <v>4948</v>
      </c>
      <c r="B1189" s="22" t="s">
        <v>20</v>
      </c>
      <c r="C1189" s="22" t="s">
        <v>4949</v>
      </c>
      <c r="D1189" s="22" t="s">
        <v>4950</v>
      </c>
      <c r="E1189" s="22" t="s">
        <v>4951</v>
      </c>
      <c r="F1189" s="22" t="n">
        <v>13</v>
      </c>
      <c r="G1189" s="26" t="n">
        <v>109.5</v>
      </c>
      <c r="H1189" s="26" t="n">
        <v>120.52</v>
      </c>
      <c r="I1189" s="26" t="n">
        <v>142.56</v>
      </c>
      <c r="J1189" s="26" t="n">
        <v>153.58</v>
      </c>
      <c r="K1189" s="26" t="n">
        <v>170.11</v>
      </c>
      <c r="L1189" s="26" t="n">
        <v>2.06</v>
      </c>
      <c r="M1189" s="27" t="n">
        <v>0.005</v>
      </c>
      <c r="N1189" s="27" t="n">
        <v>0.002</v>
      </c>
      <c r="O1189" s="26" t="n">
        <v>5</v>
      </c>
      <c r="P1189" s="26" t="n">
        <v>5</v>
      </c>
      <c r="Q1189" s="28" t="n">
        <v>100</v>
      </c>
      <c r="R1189" s="26" t="n">
        <v>30</v>
      </c>
      <c r="S1189" s="26" t="n">
        <v>0</v>
      </c>
      <c r="T1189" s="28" t="n">
        <v>1</v>
      </c>
      <c r="U1189" s="26" t="n">
        <v>0</v>
      </c>
      <c r="V1189" s="26" t="n">
        <v>0</v>
      </c>
      <c r="W1189" s="22" t="s">
        <v>20</v>
      </c>
      <c r="X1189" s="22" t="s">
        <v>373</v>
      </c>
    </row>
    <row r="1190" customFormat="false" ht="15" hidden="false" customHeight="false" outlineLevel="0" collapsed="false">
      <c r="A1190" s="22" t="s">
        <v>4952</v>
      </c>
      <c r="B1190" s="22" t="s">
        <v>20</v>
      </c>
      <c r="C1190" s="22" t="s">
        <v>4953</v>
      </c>
      <c r="D1190" s="22" t="s">
        <v>4954</v>
      </c>
      <c r="E1190" s="22" t="s">
        <v>4955</v>
      </c>
      <c r="F1190" s="22" t="n">
        <v>13</v>
      </c>
      <c r="G1190" s="26" t="n">
        <v>109.5</v>
      </c>
      <c r="H1190" s="26" t="n">
        <v>120.52</v>
      </c>
      <c r="I1190" s="26" t="n">
        <v>142.56</v>
      </c>
      <c r="J1190" s="26" t="n">
        <v>153.58</v>
      </c>
      <c r="K1190" s="26" t="n">
        <v>170.11</v>
      </c>
      <c r="L1190" s="26" t="n">
        <v>2.06</v>
      </c>
      <c r="M1190" s="27" t="n">
        <v>0.005</v>
      </c>
      <c r="N1190" s="27" t="n">
        <v>0.002</v>
      </c>
      <c r="O1190" s="26" t="n">
        <v>5</v>
      </c>
      <c r="P1190" s="26" t="n">
        <v>5</v>
      </c>
      <c r="Q1190" s="28" t="n">
        <v>100</v>
      </c>
      <c r="R1190" s="26" t="n">
        <v>30</v>
      </c>
      <c r="S1190" s="26" t="n">
        <v>0</v>
      </c>
      <c r="T1190" s="28" t="n">
        <v>1</v>
      </c>
      <c r="U1190" s="26" t="n">
        <v>0</v>
      </c>
      <c r="V1190" s="26" t="n">
        <v>0</v>
      </c>
      <c r="W1190" s="22" t="s">
        <v>20</v>
      </c>
      <c r="X1190" s="22" t="s">
        <v>373</v>
      </c>
    </row>
    <row r="1191" customFormat="false" ht="15" hidden="false" customHeight="false" outlineLevel="0" collapsed="false">
      <c r="A1191" s="22" t="s">
        <v>4956</v>
      </c>
      <c r="B1191" s="22" t="s">
        <v>20</v>
      </c>
      <c r="C1191" s="22" t="s">
        <v>4957</v>
      </c>
      <c r="D1191" s="22" t="s">
        <v>4958</v>
      </c>
      <c r="E1191" s="22" t="s">
        <v>4959</v>
      </c>
      <c r="F1191" s="22" t="n">
        <v>13</v>
      </c>
      <c r="G1191" s="26" t="n">
        <v>109.5</v>
      </c>
      <c r="H1191" s="26" t="n">
        <v>120.52</v>
      </c>
      <c r="I1191" s="26" t="n">
        <v>142.56</v>
      </c>
      <c r="J1191" s="26" t="n">
        <v>153.58</v>
      </c>
      <c r="K1191" s="26" t="n">
        <v>170.11</v>
      </c>
      <c r="L1191" s="26" t="n">
        <v>2.06</v>
      </c>
      <c r="M1191" s="27" t="n">
        <v>0.005</v>
      </c>
      <c r="N1191" s="27" t="n">
        <v>0.002</v>
      </c>
      <c r="O1191" s="26" t="n">
        <v>5</v>
      </c>
      <c r="P1191" s="26" t="n">
        <v>5</v>
      </c>
      <c r="Q1191" s="28" t="n">
        <v>100</v>
      </c>
      <c r="R1191" s="26" t="n">
        <v>30</v>
      </c>
      <c r="S1191" s="26" t="n">
        <v>0</v>
      </c>
      <c r="T1191" s="28" t="n">
        <v>1</v>
      </c>
      <c r="U1191" s="26" t="n">
        <v>0</v>
      </c>
      <c r="V1191" s="26" t="n">
        <v>0</v>
      </c>
      <c r="W1191" s="22" t="s">
        <v>20</v>
      </c>
      <c r="X1191" s="22" t="s">
        <v>373</v>
      </c>
    </row>
    <row r="1192" customFormat="false" ht="15" hidden="false" customHeight="false" outlineLevel="0" collapsed="false">
      <c r="A1192" s="22" t="s">
        <v>4960</v>
      </c>
      <c r="B1192" s="22" t="s">
        <v>20</v>
      </c>
      <c r="C1192" s="22" t="s">
        <v>4961</v>
      </c>
      <c r="D1192" s="22" t="s">
        <v>4962</v>
      </c>
      <c r="E1192" s="22" t="s">
        <v>4963</v>
      </c>
      <c r="F1192" s="22" t="n">
        <v>13</v>
      </c>
      <c r="G1192" s="26" t="n">
        <v>109.5</v>
      </c>
      <c r="H1192" s="26" t="n">
        <v>120.52</v>
      </c>
      <c r="I1192" s="26" t="n">
        <v>142.56</v>
      </c>
      <c r="J1192" s="26" t="n">
        <v>153.58</v>
      </c>
      <c r="K1192" s="26" t="n">
        <v>170.11</v>
      </c>
      <c r="L1192" s="26" t="n">
        <v>2.06</v>
      </c>
      <c r="M1192" s="27" t="n">
        <v>0.005</v>
      </c>
      <c r="N1192" s="27" t="n">
        <v>0.002</v>
      </c>
      <c r="O1192" s="26" t="n">
        <v>5</v>
      </c>
      <c r="P1192" s="26" t="n">
        <v>5</v>
      </c>
      <c r="Q1192" s="28" t="n">
        <v>100</v>
      </c>
      <c r="R1192" s="26" t="n">
        <v>30</v>
      </c>
      <c r="S1192" s="26" t="n">
        <v>0</v>
      </c>
      <c r="T1192" s="28" t="n">
        <v>1</v>
      </c>
      <c r="U1192" s="26" t="n">
        <v>0</v>
      </c>
      <c r="V1192" s="26" t="n">
        <v>0</v>
      </c>
      <c r="W1192" s="22" t="s">
        <v>20</v>
      </c>
      <c r="X1192" s="22" t="s">
        <v>373</v>
      </c>
    </row>
    <row r="1193" customFormat="false" ht="15" hidden="false" customHeight="false" outlineLevel="0" collapsed="false">
      <c r="A1193" s="22" t="s">
        <v>4964</v>
      </c>
      <c r="B1193" s="29" t="s">
        <v>20</v>
      </c>
      <c r="C1193" s="29" t="s">
        <v>4116</v>
      </c>
      <c r="D1193" s="22" t="s">
        <v>4965</v>
      </c>
      <c r="E1193" s="22" t="s">
        <v>4966</v>
      </c>
      <c r="F1193" s="22" t="n">
        <v>13</v>
      </c>
      <c r="G1193" s="26" t="n">
        <v>99.55</v>
      </c>
      <c r="H1193" s="26" t="n">
        <v>109.56</v>
      </c>
      <c r="I1193" s="26" t="n">
        <v>129.6</v>
      </c>
      <c r="J1193" s="26" t="n">
        <v>139.62</v>
      </c>
      <c r="K1193" s="26" t="n">
        <v>154.64</v>
      </c>
      <c r="L1193" s="26" t="n">
        <v>2.06</v>
      </c>
      <c r="M1193" s="27" t="n">
        <v>0.005</v>
      </c>
      <c r="N1193" s="27" t="n">
        <v>0.002</v>
      </c>
      <c r="O1193" s="26" t="n">
        <v>5</v>
      </c>
      <c r="P1193" s="26" t="n">
        <v>5</v>
      </c>
      <c r="Q1193" s="28" t="n">
        <v>100</v>
      </c>
      <c r="R1193" s="26" t="n">
        <v>30</v>
      </c>
      <c r="S1193" s="26" t="n">
        <v>0</v>
      </c>
      <c r="T1193" s="28" t="n">
        <v>1</v>
      </c>
      <c r="U1193" s="26" t="n">
        <v>0</v>
      </c>
      <c r="V1193" s="26" t="n">
        <v>0</v>
      </c>
      <c r="W1193" s="29" t="s">
        <v>19</v>
      </c>
      <c r="X1193" s="22" t="s">
        <v>373</v>
      </c>
    </row>
    <row r="1194" customFormat="false" ht="15" hidden="false" customHeight="false" outlineLevel="0" collapsed="false">
      <c r="A1194" s="22" t="s">
        <v>4967</v>
      </c>
      <c r="B1194" s="22" t="s">
        <v>20</v>
      </c>
      <c r="C1194" s="22" t="s">
        <v>4968</v>
      </c>
      <c r="D1194" s="22" t="s">
        <v>4969</v>
      </c>
      <c r="E1194" s="22" t="s">
        <v>4970</v>
      </c>
      <c r="F1194" s="22" t="n">
        <v>13</v>
      </c>
      <c r="G1194" s="26" t="n">
        <v>109.5</v>
      </c>
      <c r="H1194" s="26" t="n">
        <v>120.52</v>
      </c>
      <c r="I1194" s="26" t="n">
        <v>142.56</v>
      </c>
      <c r="J1194" s="26" t="n">
        <v>153.58</v>
      </c>
      <c r="K1194" s="26" t="n">
        <v>170.11</v>
      </c>
      <c r="L1194" s="26" t="n">
        <v>2.06</v>
      </c>
      <c r="M1194" s="27" t="n">
        <v>0.005</v>
      </c>
      <c r="N1194" s="27" t="n">
        <v>0.002</v>
      </c>
      <c r="O1194" s="26" t="n">
        <v>5</v>
      </c>
      <c r="P1194" s="26" t="n">
        <v>5</v>
      </c>
      <c r="Q1194" s="28" t="n">
        <v>100</v>
      </c>
      <c r="R1194" s="26" t="n">
        <v>30</v>
      </c>
      <c r="S1194" s="26" t="n">
        <v>0</v>
      </c>
      <c r="T1194" s="28" t="n">
        <v>1</v>
      </c>
      <c r="U1194" s="26" t="n">
        <v>0</v>
      </c>
      <c r="V1194" s="26" t="n">
        <v>0</v>
      </c>
      <c r="W1194" s="22" t="s">
        <v>20</v>
      </c>
      <c r="X1194" s="22" t="s">
        <v>373</v>
      </c>
    </row>
    <row r="1195" customFormat="false" ht="15" hidden="false" customHeight="false" outlineLevel="0" collapsed="false">
      <c r="A1195" s="22" t="s">
        <v>4971</v>
      </c>
      <c r="B1195" s="22" t="s">
        <v>20</v>
      </c>
      <c r="C1195" s="22" t="s">
        <v>4972</v>
      </c>
      <c r="D1195" s="22" t="s">
        <v>4973</v>
      </c>
      <c r="E1195" s="22" t="s">
        <v>4974</v>
      </c>
      <c r="F1195" s="22" t="n">
        <v>13</v>
      </c>
      <c r="G1195" s="26" t="n">
        <v>109.5</v>
      </c>
      <c r="H1195" s="26" t="n">
        <v>120.52</v>
      </c>
      <c r="I1195" s="26" t="n">
        <v>142.56</v>
      </c>
      <c r="J1195" s="26" t="n">
        <v>153.58</v>
      </c>
      <c r="K1195" s="26" t="n">
        <v>170.11</v>
      </c>
      <c r="L1195" s="26" t="n">
        <v>2.06</v>
      </c>
      <c r="M1195" s="27" t="n">
        <v>0.005</v>
      </c>
      <c r="N1195" s="27" t="n">
        <v>0.002</v>
      </c>
      <c r="O1195" s="26" t="n">
        <v>5</v>
      </c>
      <c r="P1195" s="26" t="n">
        <v>5</v>
      </c>
      <c r="Q1195" s="28" t="n">
        <v>100</v>
      </c>
      <c r="R1195" s="26" t="n">
        <v>30</v>
      </c>
      <c r="S1195" s="26" t="n">
        <v>0</v>
      </c>
      <c r="T1195" s="28" t="n">
        <v>1</v>
      </c>
      <c r="U1195" s="26" t="n">
        <v>0</v>
      </c>
      <c r="V1195" s="26" t="n">
        <v>0</v>
      </c>
      <c r="W1195" s="22" t="s">
        <v>20</v>
      </c>
      <c r="X1195" s="22" t="s">
        <v>373</v>
      </c>
    </row>
    <row r="1196" customFormat="false" ht="15" hidden="false" customHeight="false" outlineLevel="0" collapsed="false">
      <c r="A1196" s="22" t="s">
        <v>4975</v>
      </c>
      <c r="B1196" s="22" t="s">
        <v>20</v>
      </c>
      <c r="C1196" s="22" t="s">
        <v>4976</v>
      </c>
      <c r="D1196" s="22" t="s">
        <v>4977</v>
      </c>
      <c r="E1196" s="22" t="s">
        <v>4978</v>
      </c>
      <c r="F1196" s="22" t="n">
        <v>13</v>
      </c>
      <c r="G1196" s="26" t="n">
        <v>109.5</v>
      </c>
      <c r="H1196" s="26" t="n">
        <v>120.52</v>
      </c>
      <c r="I1196" s="26" t="n">
        <v>142.56</v>
      </c>
      <c r="J1196" s="26" t="n">
        <v>153.58</v>
      </c>
      <c r="K1196" s="26" t="n">
        <v>170.11</v>
      </c>
      <c r="L1196" s="26" t="n">
        <v>2.06</v>
      </c>
      <c r="M1196" s="27" t="n">
        <v>0.005</v>
      </c>
      <c r="N1196" s="27" t="n">
        <v>0.002</v>
      </c>
      <c r="O1196" s="26" t="n">
        <v>5</v>
      </c>
      <c r="P1196" s="26" t="n">
        <v>5</v>
      </c>
      <c r="Q1196" s="28" t="n">
        <v>100</v>
      </c>
      <c r="R1196" s="26" t="n">
        <v>30</v>
      </c>
      <c r="S1196" s="26" t="n">
        <v>0</v>
      </c>
      <c r="T1196" s="28" t="n">
        <v>1</v>
      </c>
      <c r="U1196" s="26" t="n">
        <v>0</v>
      </c>
      <c r="V1196" s="26" t="n">
        <v>0</v>
      </c>
      <c r="W1196" s="22" t="s">
        <v>20</v>
      </c>
      <c r="X1196" s="22" t="s">
        <v>373</v>
      </c>
    </row>
    <row r="1197" customFormat="false" ht="15" hidden="false" customHeight="false" outlineLevel="0" collapsed="false">
      <c r="A1197" s="22" t="s">
        <v>4979</v>
      </c>
      <c r="B1197" s="22" t="s">
        <v>20</v>
      </c>
      <c r="C1197" s="22" t="s">
        <v>4980</v>
      </c>
      <c r="D1197" s="22" t="s">
        <v>4981</v>
      </c>
      <c r="E1197" s="22" t="s">
        <v>4982</v>
      </c>
      <c r="F1197" s="22" t="n">
        <v>13</v>
      </c>
      <c r="G1197" s="26" t="n">
        <v>109.5</v>
      </c>
      <c r="H1197" s="26" t="n">
        <v>120.52</v>
      </c>
      <c r="I1197" s="26" t="n">
        <v>142.56</v>
      </c>
      <c r="J1197" s="26" t="n">
        <v>153.58</v>
      </c>
      <c r="K1197" s="26" t="n">
        <v>170.11</v>
      </c>
      <c r="L1197" s="26" t="n">
        <v>2.06</v>
      </c>
      <c r="M1197" s="27" t="n">
        <v>0.005</v>
      </c>
      <c r="N1197" s="27" t="n">
        <v>0.002</v>
      </c>
      <c r="O1197" s="26" t="n">
        <v>5</v>
      </c>
      <c r="P1197" s="26" t="n">
        <v>5</v>
      </c>
      <c r="Q1197" s="28" t="n">
        <v>100</v>
      </c>
      <c r="R1197" s="26" t="n">
        <v>30</v>
      </c>
      <c r="S1197" s="26" t="n">
        <v>0</v>
      </c>
      <c r="T1197" s="28" t="n">
        <v>1</v>
      </c>
      <c r="U1197" s="26" t="n">
        <v>0</v>
      </c>
      <c r="V1197" s="26" t="n">
        <v>0</v>
      </c>
      <c r="W1197" s="22" t="s">
        <v>20</v>
      </c>
      <c r="X1197" s="22" t="s">
        <v>373</v>
      </c>
    </row>
    <row r="1198" customFormat="false" ht="15" hidden="false" customHeight="false" outlineLevel="0" collapsed="false">
      <c r="A1198" s="22" t="s">
        <v>4983</v>
      </c>
      <c r="B1198" s="22" t="s">
        <v>20</v>
      </c>
      <c r="C1198" s="22" t="s">
        <v>4984</v>
      </c>
      <c r="D1198" s="22" t="s">
        <v>4985</v>
      </c>
      <c r="E1198" s="22" t="s">
        <v>4986</v>
      </c>
      <c r="F1198" s="22" t="n">
        <v>13</v>
      </c>
      <c r="G1198" s="26" t="n">
        <v>109.5</v>
      </c>
      <c r="H1198" s="26" t="n">
        <v>120.52</v>
      </c>
      <c r="I1198" s="26" t="n">
        <v>142.56</v>
      </c>
      <c r="J1198" s="26" t="n">
        <v>153.58</v>
      </c>
      <c r="K1198" s="26" t="n">
        <v>170.11</v>
      </c>
      <c r="L1198" s="26" t="n">
        <v>2.06</v>
      </c>
      <c r="M1198" s="27" t="n">
        <v>0.005</v>
      </c>
      <c r="N1198" s="27" t="n">
        <v>0.002</v>
      </c>
      <c r="O1198" s="26" t="n">
        <v>5</v>
      </c>
      <c r="P1198" s="26" t="n">
        <v>5</v>
      </c>
      <c r="Q1198" s="28" t="n">
        <v>100</v>
      </c>
      <c r="R1198" s="26" t="n">
        <v>30</v>
      </c>
      <c r="S1198" s="26" t="n">
        <v>0</v>
      </c>
      <c r="T1198" s="28" t="n">
        <v>1</v>
      </c>
      <c r="U1198" s="26" t="n">
        <v>0</v>
      </c>
      <c r="V1198" s="26" t="n">
        <v>0</v>
      </c>
      <c r="W1198" s="22" t="s">
        <v>20</v>
      </c>
      <c r="X1198" s="22" t="s">
        <v>373</v>
      </c>
    </row>
    <row r="1199" customFormat="false" ht="15" hidden="false" customHeight="false" outlineLevel="0" collapsed="false">
      <c r="A1199" s="22" t="s">
        <v>4987</v>
      </c>
      <c r="B1199" s="22" t="s">
        <v>20</v>
      </c>
      <c r="C1199" s="22" t="s">
        <v>4988</v>
      </c>
      <c r="D1199" s="22" t="s">
        <v>4989</v>
      </c>
      <c r="E1199" s="22" t="s">
        <v>4990</v>
      </c>
      <c r="F1199" s="22" t="n">
        <v>13</v>
      </c>
      <c r="G1199" s="26" t="n">
        <v>109.5</v>
      </c>
      <c r="H1199" s="26" t="n">
        <v>120.52</v>
      </c>
      <c r="I1199" s="26" t="n">
        <v>142.56</v>
      </c>
      <c r="J1199" s="26" t="n">
        <v>153.58</v>
      </c>
      <c r="K1199" s="26" t="n">
        <v>170.11</v>
      </c>
      <c r="L1199" s="26" t="n">
        <v>2.06</v>
      </c>
      <c r="M1199" s="27" t="n">
        <v>0.005</v>
      </c>
      <c r="N1199" s="27" t="n">
        <v>0.002</v>
      </c>
      <c r="O1199" s="26" t="n">
        <v>5</v>
      </c>
      <c r="P1199" s="26" t="n">
        <v>5</v>
      </c>
      <c r="Q1199" s="28" t="n">
        <v>100</v>
      </c>
      <c r="R1199" s="26" t="n">
        <v>30</v>
      </c>
      <c r="S1199" s="26" t="n">
        <v>0</v>
      </c>
      <c r="T1199" s="28" t="n">
        <v>1</v>
      </c>
      <c r="U1199" s="26" t="n">
        <v>0</v>
      </c>
      <c r="V1199" s="26" t="n">
        <v>0</v>
      </c>
      <c r="W1199" s="22" t="s">
        <v>20</v>
      </c>
      <c r="X1199" s="22" t="s">
        <v>373</v>
      </c>
    </row>
    <row r="1200" customFormat="false" ht="15" hidden="false" customHeight="false" outlineLevel="0" collapsed="false">
      <c r="A1200" s="22" t="s">
        <v>4991</v>
      </c>
      <c r="B1200" s="22" t="s">
        <v>20</v>
      </c>
      <c r="C1200" s="22" t="s">
        <v>4992</v>
      </c>
      <c r="D1200" s="22" t="s">
        <v>4993</v>
      </c>
      <c r="E1200" s="22" t="s">
        <v>4994</v>
      </c>
      <c r="F1200" s="22" t="n">
        <v>13</v>
      </c>
      <c r="G1200" s="26" t="n">
        <v>109.5</v>
      </c>
      <c r="H1200" s="26" t="n">
        <v>120.52</v>
      </c>
      <c r="I1200" s="26" t="n">
        <v>142.56</v>
      </c>
      <c r="J1200" s="26" t="n">
        <v>153.58</v>
      </c>
      <c r="K1200" s="26" t="n">
        <v>170.11</v>
      </c>
      <c r="L1200" s="26" t="n">
        <v>2.06</v>
      </c>
      <c r="M1200" s="27" t="n">
        <v>0.005</v>
      </c>
      <c r="N1200" s="27" t="n">
        <v>0.002</v>
      </c>
      <c r="O1200" s="26" t="n">
        <v>5</v>
      </c>
      <c r="P1200" s="26" t="n">
        <v>5</v>
      </c>
      <c r="Q1200" s="28" t="n">
        <v>100</v>
      </c>
      <c r="R1200" s="26" t="n">
        <v>30</v>
      </c>
      <c r="S1200" s="26" t="n">
        <v>0</v>
      </c>
      <c r="T1200" s="28" t="n">
        <v>1</v>
      </c>
      <c r="U1200" s="26" t="n">
        <v>0</v>
      </c>
      <c r="V1200" s="26" t="n">
        <v>0</v>
      </c>
      <c r="W1200" s="22" t="s">
        <v>20</v>
      </c>
      <c r="X1200" s="22" t="s">
        <v>373</v>
      </c>
    </row>
    <row r="1201" customFormat="false" ht="15" hidden="false" customHeight="false" outlineLevel="0" collapsed="false">
      <c r="A1201" s="22" t="s">
        <v>4995</v>
      </c>
      <c r="B1201" s="22" t="s">
        <v>20</v>
      </c>
      <c r="C1201" s="22" t="s">
        <v>4996</v>
      </c>
      <c r="D1201" s="22" t="s">
        <v>4997</v>
      </c>
      <c r="E1201" s="22" t="s">
        <v>4998</v>
      </c>
      <c r="F1201" s="22" t="n">
        <v>13</v>
      </c>
      <c r="G1201" s="26" t="n">
        <v>109.5</v>
      </c>
      <c r="H1201" s="26" t="n">
        <v>120.52</v>
      </c>
      <c r="I1201" s="26" t="n">
        <v>142.56</v>
      </c>
      <c r="J1201" s="26" t="n">
        <v>153.58</v>
      </c>
      <c r="K1201" s="26" t="n">
        <v>170.11</v>
      </c>
      <c r="L1201" s="26" t="n">
        <v>2.06</v>
      </c>
      <c r="M1201" s="27" t="n">
        <v>0.005</v>
      </c>
      <c r="N1201" s="27" t="n">
        <v>0.002</v>
      </c>
      <c r="O1201" s="26" t="n">
        <v>5</v>
      </c>
      <c r="P1201" s="26" t="n">
        <v>5</v>
      </c>
      <c r="Q1201" s="28" t="n">
        <v>100</v>
      </c>
      <c r="R1201" s="26" t="n">
        <v>30</v>
      </c>
      <c r="S1201" s="26" t="n">
        <v>0</v>
      </c>
      <c r="T1201" s="28" t="n">
        <v>1</v>
      </c>
      <c r="U1201" s="26" t="n">
        <v>0</v>
      </c>
      <c r="V1201" s="26" t="n">
        <v>0</v>
      </c>
      <c r="W1201" s="22" t="s">
        <v>20</v>
      </c>
      <c r="X1201" s="22" t="s">
        <v>373</v>
      </c>
    </row>
    <row r="1202" customFormat="false" ht="15" hidden="false" customHeight="false" outlineLevel="0" collapsed="false">
      <c r="A1202" s="22" t="s">
        <v>4999</v>
      </c>
      <c r="B1202" s="22" t="s">
        <v>20</v>
      </c>
      <c r="C1202" s="22" t="s">
        <v>5000</v>
      </c>
      <c r="D1202" s="22" t="s">
        <v>5001</v>
      </c>
      <c r="E1202" s="22" t="s">
        <v>5002</v>
      </c>
      <c r="F1202" s="22" t="n">
        <v>13</v>
      </c>
      <c r="G1202" s="26" t="n">
        <v>109.5</v>
      </c>
      <c r="H1202" s="26" t="n">
        <v>120.52</v>
      </c>
      <c r="I1202" s="26" t="n">
        <v>142.56</v>
      </c>
      <c r="J1202" s="26" t="n">
        <v>153.58</v>
      </c>
      <c r="K1202" s="26" t="n">
        <v>170.11</v>
      </c>
      <c r="L1202" s="26" t="n">
        <v>2.06</v>
      </c>
      <c r="M1202" s="27" t="n">
        <v>0.005</v>
      </c>
      <c r="N1202" s="27" t="n">
        <v>0.002</v>
      </c>
      <c r="O1202" s="26" t="n">
        <v>5</v>
      </c>
      <c r="P1202" s="26" t="n">
        <v>5</v>
      </c>
      <c r="Q1202" s="28" t="n">
        <v>100</v>
      </c>
      <c r="R1202" s="26" t="n">
        <v>30</v>
      </c>
      <c r="S1202" s="26" t="n">
        <v>0</v>
      </c>
      <c r="T1202" s="28" t="n">
        <v>1</v>
      </c>
      <c r="U1202" s="26" t="n">
        <v>0</v>
      </c>
      <c r="V1202" s="26" t="n">
        <v>0</v>
      </c>
      <c r="W1202" s="22" t="s">
        <v>20</v>
      </c>
      <c r="X1202" s="22" t="s">
        <v>373</v>
      </c>
    </row>
    <row r="1203" customFormat="false" ht="15" hidden="false" customHeight="false" outlineLevel="0" collapsed="false">
      <c r="A1203" s="22" t="s">
        <v>5003</v>
      </c>
      <c r="B1203" s="22" t="s">
        <v>20</v>
      </c>
      <c r="C1203" s="22" t="s">
        <v>5004</v>
      </c>
      <c r="D1203" s="22" t="s">
        <v>5005</v>
      </c>
      <c r="E1203" s="22" t="s">
        <v>5006</v>
      </c>
      <c r="F1203" s="22" t="n">
        <v>13</v>
      </c>
      <c r="G1203" s="26" t="n">
        <v>109.5</v>
      </c>
      <c r="H1203" s="26" t="n">
        <v>120.52</v>
      </c>
      <c r="I1203" s="26" t="n">
        <v>142.56</v>
      </c>
      <c r="J1203" s="26" t="n">
        <v>153.58</v>
      </c>
      <c r="K1203" s="26" t="n">
        <v>170.11</v>
      </c>
      <c r="L1203" s="26" t="n">
        <v>2.06</v>
      </c>
      <c r="M1203" s="27" t="n">
        <v>0.005</v>
      </c>
      <c r="N1203" s="27" t="n">
        <v>0.002</v>
      </c>
      <c r="O1203" s="26" t="n">
        <v>5</v>
      </c>
      <c r="P1203" s="26" t="n">
        <v>5</v>
      </c>
      <c r="Q1203" s="28" t="n">
        <v>100</v>
      </c>
      <c r="R1203" s="26" t="n">
        <v>30</v>
      </c>
      <c r="S1203" s="26" t="n">
        <v>0</v>
      </c>
      <c r="T1203" s="28" t="n">
        <v>1</v>
      </c>
      <c r="U1203" s="26" t="n">
        <v>0</v>
      </c>
      <c r="V1203" s="26" t="n">
        <v>0</v>
      </c>
      <c r="W1203" s="22" t="s">
        <v>20</v>
      </c>
      <c r="X1203" s="22" t="s">
        <v>373</v>
      </c>
    </row>
    <row r="1204" customFormat="false" ht="15" hidden="false" customHeight="false" outlineLevel="0" collapsed="false">
      <c r="A1204" s="22" t="s">
        <v>5007</v>
      </c>
      <c r="B1204" s="29" t="s">
        <v>20</v>
      </c>
      <c r="C1204" s="29" t="s">
        <v>3334</v>
      </c>
      <c r="D1204" s="22" t="s">
        <v>5008</v>
      </c>
      <c r="E1204" s="22" t="s">
        <v>5009</v>
      </c>
      <c r="F1204" s="22" t="n">
        <v>13</v>
      </c>
      <c r="G1204" s="26" t="n">
        <v>212.67</v>
      </c>
      <c r="H1204" s="26" t="n">
        <v>234.8</v>
      </c>
      <c r="I1204" s="26" t="n">
        <v>256.93</v>
      </c>
      <c r="J1204" s="26" t="n">
        <v>273.53</v>
      </c>
      <c r="K1204" s="26" t="n">
        <v>290.13</v>
      </c>
      <c r="L1204" s="26" t="n">
        <v>2.65</v>
      </c>
      <c r="M1204" s="27" t="n">
        <v>0.005</v>
      </c>
      <c r="N1204" s="27" t="n">
        <v>0.002</v>
      </c>
      <c r="O1204" s="26" t="n">
        <v>5</v>
      </c>
      <c r="P1204" s="26" t="n">
        <v>5</v>
      </c>
      <c r="Q1204" s="28" t="n">
        <v>100</v>
      </c>
      <c r="R1204" s="26" t="n">
        <v>30</v>
      </c>
      <c r="S1204" s="26" t="n">
        <v>0</v>
      </c>
      <c r="T1204" s="28" t="n">
        <v>1</v>
      </c>
      <c r="U1204" s="26" t="n">
        <v>0</v>
      </c>
      <c r="V1204" s="26" t="n">
        <v>0</v>
      </c>
      <c r="W1204" s="29" t="s">
        <v>18</v>
      </c>
      <c r="X1204" s="22" t="s">
        <v>373</v>
      </c>
    </row>
    <row r="1205" customFormat="false" ht="15" hidden="false" customHeight="false" outlineLevel="0" collapsed="false">
      <c r="A1205" s="22" t="s">
        <v>5010</v>
      </c>
      <c r="B1205" s="22" t="s">
        <v>20</v>
      </c>
      <c r="C1205" s="22" t="s">
        <v>1211</v>
      </c>
      <c r="D1205" s="22" t="s">
        <v>5011</v>
      </c>
      <c r="E1205" s="22" t="s">
        <v>5012</v>
      </c>
      <c r="F1205" s="22" t="n">
        <v>13</v>
      </c>
      <c r="G1205" s="26" t="n">
        <v>109.5</v>
      </c>
      <c r="H1205" s="26" t="n">
        <v>120.52</v>
      </c>
      <c r="I1205" s="26" t="n">
        <v>142.56</v>
      </c>
      <c r="J1205" s="26" t="n">
        <v>153.58</v>
      </c>
      <c r="K1205" s="26" t="n">
        <v>170.11</v>
      </c>
      <c r="L1205" s="26" t="n">
        <v>2.06</v>
      </c>
      <c r="M1205" s="27" t="n">
        <v>0.005</v>
      </c>
      <c r="N1205" s="27" t="n">
        <v>0.002</v>
      </c>
      <c r="O1205" s="26" t="n">
        <v>5</v>
      </c>
      <c r="P1205" s="26" t="n">
        <v>5</v>
      </c>
      <c r="Q1205" s="28" t="n">
        <v>100</v>
      </c>
      <c r="R1205" s="26" t="n">
        <v>30</v>
      </c>
      <c r="S1205" s="26" t="n">
        <v>0</v>
      </c>
      <c r="T1205" s="28" t="n">
        <v>1</v>
      </c>
      <c r="U1205" s="26" t="n">
        <v>0</v>
      </c>
      <c r="V1205" s="26" t="n">
        <v>0</v>
      </c>
      <c r="W1205" s="22" t="s">
        <v>20</v>
      </c>
      <c r="X1205" s="22" t="s">
        <v>373</v>
      </c>
    </row>
    <row r="1206" customFormat="false" ht="15" hidden="false" customHeight="false" outlineLevel="0" collapsed="false">
      <c r="A1206" s="22" t="s">
        <v>5013</v>
      </c>
      <c r="B1206" s="22" t="s">
        <v>20</v>
      </c>
      <c r="C1206" s="22" t="s">
        <v>5014</v>
      </c>
      <c r="D1206" s="22" t="s">
        <v>5015</v>
      </c>
      <c r="E1206" s="22" t="s">
        <v>5016</v>
      </c>
      <c r="F1206" s="22" t="n">
        <v>13</v>
      </c>
      <c r="G1206" s="26" t="n">
        <v>109.5</v>
      </c>
      <c r="H1206" s="26" t="n">
        <v>120.52</v>
      </c>
      <c r="I1206" s="26" t="n">
        <v>142.56</v>
      </c>
      <c r="J1206" s="26" t="n">
        <v>153.58</v>
      </c>
      <c r="K1206" s="26" t="n">
        <v>170.11</v>
      </c>
      <c r="L1206" s="26" t="n">
        <v>2.06</v>
      </c>
      <c r="M1206" s="27" t="n">
        <v>0.005</v>
      </c>
      <c r="N1206" s="27" t="n">
        <v>0.002</v>
      </c>
      <c r="O1206" s="26" t="n">
        <v>5</v>
      </c>
      <c r="P1206" s="26" t="n">
        <v>5</v>
      </c>
      <c r="Q1206" s="28" t="n">
        <v>100</v>
      </c>
      <c r="R1206" s="26" t="n">
        <v>30</v>
      </c>
      <c r="S1206" s="26" t="n">
        <v>0</v>
      </c>
      <c r="T1206" s="28" t="n">
        <v>1</v>
      </c>
      <c r="U1206" s="26" t="n">
        <v>0</v>
      </c>
      <c r="V1206" s="26" t="n">
        <v>0</v>
      </c>
      <c r="W1206" s="22" t="s">
        <v>20</v>
      </c>
      <c r="X1206" s="22" t="s">
        <v>373</v>
      </c>
    </row>
    <row r="1207" customFormat="false" ht="15" hidden="false" customHeight="false" outlineLevel="0" collapsed="false">
      <c r="A1207" s="22" t="s">
        <v>5017</v>
      </c>
      <c r="B1207" s="22" t="s">
        <v>20</v>
      </c>
      <c r="C1207" s="22" t="s">
        <v>5018</v>
      </c>
      <c r="D1207" s="22" t="s">
        <v>5019</v>
      </c>
      <c r="E1207" s="22" t="s">
        <v>5020</v>
      </c>
      <c r="F1207" s="22" t="n">
        <v>13</v>
      </c>
      <c r="G1207" s="26" t="n">
        <v>109.5</v>
      </c>
      <c r="H1207" s="26" t="n">
        <v>120.52</v>
      </c>
      <c r="I1207" s="26" t="n">
        <v>142.56</v>
      </c>
      <c r="J1207" s="26" t="n">
        <v>153.58</v>
      </c>
      <c r="K1207" s="26" t="n">
        <v>170.11</v>
      </c>
      <c r="L1207" s="26" t="n">
        <v>2.06</v>
      </c>
      <c r="M1207" s="27" t="n">
        <v>0.005</v>
      </c>
      <c r="N1207" s="27" t="n">
        <v>0.002</v>
      </c>
      <c r="O1207" s="26" t="n">
        <v>5</v>
      </c>
      <c r="P1207" s="26" t="n">
        <v>5</v>
      </c>
      <c r="Q1207" s="28" t="n">
        <v>100</v>
      </c>
      <c r="R1207" s="26" t="n">
        <v>30</v>
      </c>
      <c r="S1207" s="26" t="n">
        <v>0</v>
      </c>
      <c r="T1207" s="28" t="n">
        <v>1</v>
      </c>
      <c r="U1207" s="26" t="n">
        <v>0</v>
      </c>
      <c r="V1207" s="26" t="n">
        <v>0</v>
      </c>
      <c r="W1207" s="22" t="s">
        <v>20</v>
      </c>
      <c r="X1207" s="22" t="s">
        <v>373</v>
      </c>
    </row>
    <row r="1208" customFormat="false" ht="15" hidden="false" customHeight="false" outlineLevel="0" collapsed="false">
      <c r="A1208" s="22" t="s">
        <v>5021</v>
      </c>
      <c r="B1208" s="22" t="s">
        <v>20</v>
      </c>
      <c r="C1208" s="22" t="s">
        <v>5022</v>
      </c>
      <c r="D1208" s="22" t="s">
        <v>5023</v>
      </c>
      <c r="E1208" s="22" t="s">
        <v>5024</v>
      </c>
      <c r="F1208" s="22" t="n">
        <v>13</v>
      </c>
      <c r="G1208" s="26" t="n">
        <v>109.5</v>
      </c>
      <c r="H1208" s="26" t="n">
        <v>120.52</v>
      </c>
      <c r="I1208" s="26" t="n">
        <v>142.56</v>
      </c>
      <c r="J1208" s="26" t="n">
        <v>153.58</v>
      </c>
      <c r="K1208" s="26" t="n">
        <v>170.11</v>
      </c>
      <c r="L1208" s="26" t="n">
        <v>2.06</v>
      </c>
      <c r="M1208" s="27" t="n">
        <v>0.005</v>
      </c>
      <c r="N1208" s="27" t="n">
        <v>0.002</v>
      </c>
      <c r="O1208" s="26" t="n">
        <v>5</v>
      </c>
      <c r="P1208" s="26" t="n">
        <v>5</v>
      </c>
      <c r="Q1208" s="28" t="n">
        <v>100</v>
      </c>
      <c r="R1208" s="26" t="n">
        <v>30</v>
      </c>
      <c r="S1208" s="26" t="n">
        <v>0</v>
      </c>
      <c r="T1208" s="28" t="n">
        <v>1</v>
      </c>
      <c r="U1208" s="26" t="n">
        <v>0</v>
      </c>
      <c r="V1208" s="26" t="n">
        <v>0</v>
      </c>
      <c r="W1208" s="22" t="s">
        <v>20</v>
      </c>
      <c r="X1208" s="22" t="s">
        <v>373</v>
      </c>
    </row>
    <row r="1209" customFormat="false" ht="15" hidden="false" customHeight="false" outlineLevel="0" collapsed="false">
      <c r="A1209" s="22" t="s">
        <v>5025</v>
      </c>
      <c r="B1209" s="22" t="s">
        <v>20</v>
      </c>
      <c r="C1209" s="22" t="s">
        <v>5026</v>
      </c>
      <c r="D1209" s="22" t="s">
        <v>5027</v>
      </c>
      <c r="E1209" s="22" t="s">
        <v>5028</v>
      </c>
      <c r="F1209" s="22" t="n">
        <v>13</v>
      </c>
      <c r="G1209" s="26" t="n">
        <v>109.5</v>
      </c>
      <c r="H1209" s="26" t="n">
        <v>120.52</v>
      </c>
      <c r="I1209" s="26" t="n">
        <v>142.56</v>
      </c>
      <c r="J1209" s="26" t="n">
        <v>153.58</v>
      </c>
      <c r="K1209" s="26" t="n">
        <v>170.11</v>
      </c>
      <c r="L1209" s="26" t="n">
        <v>2.06</v>
      </c>
      <c r="M1209" s="27" t="n">
        <v>0.005</v>
      </c>
      <c r="N1209" s="27" t="n">
        <v>0.002</v>
      </c>
      <c r="O1209" s="26" t="n">
        <v>5</v>
      </c>
      <c r="P1209" s="26" t="n">
        <v>5</v>
      </c>
      <c r="Q1209" s="28" t="n">
        <v>100</v>
      </c>
      <c r="R1209" s="26" t="n">
        <v>30</v>
      </c>
      <c r="S1209" s="26" t="n">
        <v>0</v>
      </c>
      <c r="T1209" s="28" t="n">
        <v>1</v>
      </c>
      <c r="U1209" s="26" t="n">
        <v>0</v>
      </c>
      <c r="V1209" s="26" t="n">
        <v>0</v>
      </c>
      <c r="W1209" s="22" t="s">
        <v>20</v>
      </c>
      <c r="X1209" s="22" t="s">
        <v>373</v>
      </c>
    </row>
    <row r="1210" customFormat="false" ht="15" hidden="false" customHeight="false" outlineLevel="0" collapsed="false">
      <c r="A1210" s="22" t="s">
        <v>5029</v>
      </c>
      <c r="B1210" s="22" t="s">
        <v>20</v>
      </c>
      <c r="C1210" s="22" t="s">
        <v>5030</v>
      </c>
      <c r="D1210" s="22" t="s">
        <v>5031</v>
      </c>
      <c r="E1210" s="22" t="s">
        <v>5032</v>
      </c>
      <c r="F1210" s="22" t="n">
        <v>13</v>
      </c>
      <c r="G1210" s="26" t="n">
        <v>109.5</v>
      </c>
      <c r="H1210" s="26" t="n">
        <v>120.52</v>
      </c>
      <c r="I1210" s="26" t="n">
        <v>142.56</v>
      </c>
      <c r="J1210" s="26" t="n">
        <v>153.58</v>
      </c>
      <c r="K1210" s="26" t="n">
        <v>170.11</v>
      </c>
      <c r="L1210" s="26" t="n">
        <v>2.06</v>
      </c>
      <c r="M1210" s="27" t="n">
        <v>0.005</v>
      </c>
      <c r="N1210" s="27" t="n">
        <v>0.002</v>
      </c>
      <c r="O1210" s="26" t="n">
        <v>5</v>
      </c>
      <c r="P1210" s="26" t="n">
        <v>5</v>
      </c>
      <c r="Q1210" s="28" t="n">
        <v>100</v>
      </c>
      <c r="R1210" s="26" t="n">
        <v>30</v>
      </c>
      <c r="S1210" s="26" t="n">
        <v>0</v>
      </c>
      <c r="T1210" s="28" t="n">
        <v>1</v>
      </c>
      <c r="U1210" s="26" t="n">
        <v>0</v>
      </c>
      <c r="V1210" s="26" t="n">
        <v>0</v>
      </c>
      <c r="W1210" s="22" t="s">
        <v>20</v>
      </c>
      <c r="X1210" s="22" t="s">
        <v>373</v>
      </c>
    </row>
    <row r="1211" customFormat="false" ht="15" hidden="false" customHeight="false" outlineLevel="0" collapsed="false">
      <c r="A1211" s="22" t="s">
        <v>5033</v>
      </c>
      <c r="B1211" s="22" t="s">
        <v>20</v>
      </c>
      <c r="C1211" s="22" t="s">
        <v>5034</v>
      </c>
      <c r="D1211" s="22" t="s">
        <v>5035</v>
      </c>
      <c r="E1211" s="22" t="s">
        <v>5036</v>
      </c>
      <c r="F1211" s="22" t="n">
        <v>13</v>
      </c>
      <c r="G1211" s="26" t="n">
        <v>109.5</v>
      </c>
      <c r="H1211" s="26" t="n">
        <v>120.52</v>
      </c>
      <c r="I1211" s="26" t="n">
        <v>142.56</v>
      </c>
      <c r="J1211" s="26" t="n">
        <v>153.58</v>
      </c>
      <c r="K1211" s="26" t="n">
        <v>170.11</v>
      </c>
      <c r="L1211" s="26" t="n">
        <v>2.06</v>
      </c>
      <c r="M1211" s="27" t="n">
        <v>0.005</v>
      </c>
      <c r="N1211" s="27" t="n">
        <v>0.002</v>
      </c>
      <c r="O1211" s="26" t="n">
        <v>5</v>
      </c>
      <c r="P1211" s="26" t="n">
        <v>5</v>
      </c>
      <c r="Q1211" s="28" t="n">
        <v>100</v>
      </c>
      <c r="R1211" s="26" t="n">
        <v>30</v>
      </c>
      <c r="S1211" s="26" t="n">
        <v>0</v>
      </c>
      <c r="T1211" s="28" t="n">
        <v>1</v>
      </c>
      <c r="U1211" s="26" t="n">
        <v>0</v>
      </c>
      <c r="V1211" s="26" t="n">
        <v>0</v>
      </c>
      <c r="W1211" s="22" t="s">
        <v>20</v>
      </c>
      <c r="X1211" s="22" t="s">
        <v>373</v>
      </c>
    </row>
    <row r="1212" customFormat="false" ht="15" hidden="false" customHeight="false" outlineLevel="0" collapsed="false">
      <c r="A1212" s="22" t="s">
        <v>5037</v>
      </c>
      <c r="B1212" s="22" t="s">
        <v>20</v>
      </c>
      <c r="C1212" s="22" t="s">
        <v>5038</v>
      </c>
      <c r="D1212" s="22" t="s">
        <v>5039</v>
      </c>
      <c r="E1212" s="22" t="s">
        <v>5040</v>
      </c>
      <c r="F1212" s="22" t="n">
        <v>13</v>
      </c>
      <c r="G1212" s="26" t="n">
        <v>109.5</v>
      </c>
      <c r="H1212" s="26" t="n">
        <v>120.52</v>
      </c>
      <c r="I1212" s="26" t="n">
        <v>142.56</v>
      </c>
      <c r="J1212" s="26" t="n">
        <v>153.58</v>
      </c>
      <c r="K1212" s="26" t="n">
        <v>170.11</v>
      </c>
      <c r="L1212" s="26" t="n">
        <v>2.06</v>
      </c>
      <c r="M1212" s="27" t="n">
        <v>0.005</v>
      </c>
      <c r="N1212" s="27" t="n">
        <v>0.002</v>
      </c>
      <c r="O1212" s="26" t="n">
        <v>5</v>
      </c>
      <c r="P1212" s="26" t="n">
        <v>5</v>
      </c>
      <c r="Q1212" s="28" t="n">
        <v>100</v>
      </c>
      <c r="R1212" s="26" t="n">
        <v>30</v>
      </c>
      <c r="S1212" s="26" t="n">
        <v>0</v>
      </c>
      <c r="T1212" s="28" t="n">
        <v>1</v>
      </c>
      <c r="U1212" s="26" t="n">
        <v>0</v>
      </c>
      <c r="V1212" s="26" t="n">
        <v>0</v>
      </c>
      <c r="W1212" s="22" t="s">
        <v>20</v>
      </c>
      <c r="X1212" s="22" t="s">
        <v>373</v>
      </c>
    </row>
    <row r="1213" customFormat="false" ht="15" hidden="false" customHeight="false" outlineLevel="0" collapsed="false">
      <c r="A1213" s="22" t="s">
        <v>5041</v>
      </c>
      <c r="B1213" s="22" t="s">
        <v>20</v>
      </c>
      <c r="C1213" s="22" t="s">
        <v>5042</v>
      </c>
      <c r="D1213" s="22" t="s">
        <v>5043</v>
      </c>
      <c r="E1213" s="22" t="s">
        <v>5044</v>
      </c>
      <c r="F1213" s="22" t="n">
        <v>13</v>
      </c>
      <c r="G1213" s="26" t="n">
        <v>109.5</v>
      </c>
      <c r="H1213" s="26" t="n">
        <v>120.52</v>
      </c>
      <c r="I1213" s="26" t="n">
        <v>142.56</v>
      </c>
      <c r="J1213" s="26" t="n">
        <v>153.58</v>
      </c>
      <c r="K1213" s="26" t="n">
        <v>170.11</v>
      </c>
      <c r="L1213" s="26" t="n">
        <v>2.06</v>
      </c>
      <c r="M1213" s="27" t="n">
        <v>0.005</v>
      </c>
      <c r="N1213" s="27" t="n">
        <v>0.002</v>
      </c>
      <c r="O1213" s="26" t="n">
        <v>5</v>
      </c>
      <c r="P1213" s="26" t="n">
        <v>5</v>
      </c>
      <c r="Q1213" s="28" t="n">
        <v>100</v>
      </c>
      <c r="R1213" s="26" t="n">
        <v>30</v>
      </c>
      <c r="S1213" s="26" t="n">
        <v>0</v>
      </c>
      <c r="T1213" s="28" t="n">
        <v>1</v>
      </c>
      <c r="U1213" s="26" t="n">
        <v>0</v>
      </c>
      <c r="V1213" s="26" t="n">
        <v>0</v>
      </c>
      <c r="W1213" s="22" t="s">
        <v>20</v>
      </c>
      <c r="X1213" s="22" t="s">
        <v>373</v>
      </c>
    </row>
    <row r="1214" customFormat="false" ht="15" hidden="false" customHeight="false" outlineLevel="0" collapsed="false">
      <c r="A1214" s="22" t="s">
        <v>5045</v>
      </c>
      <c r="B1214" s="22" t="s">
        <v>20</v>
      </c>
      <c r="C1214" s="22" t="s">
        <v>5046</v>
      </c>
      <c r="D1214" s="22" t="s">
        <v>5047</v>
      </c>
      <c r="E1214" s="22" t="s">
        <v>5048</v>
      </c>
      <c r="F1214" s="22" t="n">
        <v>13</v>
      </c>
      <c r="G1214" s="26" t="n">
        <v>109.5</v>
      </c>
      <c r="H1214" s="26" t="n">
        <v>120.52</v>
      </c>
      <c r="I1214" s="26" t="n">
        <v>142.56</v>
      </c>
      <c r="J1214" s="26" t="n">
        <v>153.58</v>
      </c>
      <c r="K1214" s="26" t="n">
        <v>170.11</v>
      </c>
      <c r="L1214" s="26" t="n">
        <v>2.06</v>
      </c>
      <c r="M1214" s="27" t="n">
        <v>0.005</v>
      </c>
      <c r="N1214" s="27" t="n">
        <v>0.002</v>
      </c>
      <c r="O1214" s="26" t="n">
        <v>5</v>
      </c>
      <c r="P1214" s="26" t="n">
        <v>5</v>
      </c>
      <c r="Q1214" s="28" t="n">
        <v>100</v>
      </c>
      <c r="R1214" s="26" t="n">
        <v>30</v>
      </c>
      <c r="S1214" s="26" t="n">
        <v>0</v>
      </c>
      <c r="T1214" s="28" t="n">
        <v>1</v>
      </c>
      <c r="U1214" s="26" t="n">
        <v>0</v>
      </c>
      <c r="V1214" s="26" t="n">
        <v>0</v>
      </c>
      <c r="W1214" s="22" t="s">
        <v>20</v>
      </c>
      <c r="X1214" s="22" t="s">
        <v>373</v>
      </c>
    </row>
    <row r="1215" customFormat="false" ht="15" hidden="false" customHeight="false" outlineLevel="0" collapsed="false">
      <c r="A1215" s="22" t="s">
        <v>5049</v>
      </c>
      <c r="B1215" s="22" t="s">
        <v>20</v>
      </c>
      <c r="C1215" s="22" t="s">
        <v>5050</v>
      </c>
      <c r="D1215" s="22" t="s">
        <v>5051</v>
      </c>
      <c r="E1215" s="22" t="s">
        <v>5052</v>
      </c>
      <c r="F1215" s="22" t="n">
        <v>13</v>
      </c>
      <c r="G1215" s="26" t="n">
        <v>109.5</v>
      </c>
      <c r="H1215" s="26" t="n">
        <v>120.52</v>
      </c>
      <c r="I1215" s="26" t="n">
        <v>142.56</v>
      </c>
      <c r="J1215" s="26" t="n">
        <v>153.58</v>
      </c>
      <c r="K1215" s="26" t="n">
        <v>170.11</v>
      </c>
      <c r="L1215" s="26" t="n">
        <v>2.06</v>
      </c>
      <c r="M1215" s="27" t="n">
        <v>0.005</v>
      </c>
      <c r="N1215" s="27" t="n">
        <v>0.002</v>
      </c>
      <c r="O1215" s="26" t="n">
        <v>5</v>
      </c>
      <c r="P1215" s="26" t="n">
        <v>5</v>
      </c>
      <c r="Q1215" s="28" t="n">
        <v>100</v>
      </c>
      <c r="R1215" s="26" t="n">
        <v>30</v>
      </c>
      <c r="S1215" s="26" t="n">
        <v>0</v>
      </c>
      <c r="T1215" s="28" t="n">
        <v>1</v>
      </c>
      <c r="U1215" s="26" t="n">
        <v>0</v>
      </c>
      <c r="V1215" s="26" t="n">
        <v>0</v>
      </c>
      <c r="W1215" s="22" t="s">
        <v>20</v>
      </c>
      <c r="X1215" s="22" t="s">
        <v>373</v>
      </c>
    </row>
    <row r="1216" customFormat="false" ht="15" hidden="false" customHeight="false" outlineLevel="0" collapsed="false">
      <c r="A1216" s="22" t="s">
        <v>5053</v>
      </c>
      <c r="B1216" s="22" t="s">
        <v>20</v>
      </c>
      <c r="C1216" s="22" t="s">
        <v>5054</v>
      </c>
      <c r="D1216" s="22" t="s">
        <v>5055</v>
      </c>
      <c r="E1216" s="22" t="s">
        <v>5056</v>
      </c>
      <c r="F1216" s="22" t="n">
        <v>13</v>
      </c>
      <c r="G1216" s="26" t="n">
        <v>109.5</v>
      </c>
      <c r="H1216" s="26" t="n">
        <v>120.52</v>
      </c>
      <c r="I1216" s="26" t="n">
        <v>142.56</v>
      </c>
      <c r="J1216" s="26" t="n">
        <v>153.58</v>
      </c>
      <c r="K1216" s="26" t="n">
        <v>170.11</v>
      </c>
      <c r="L1216" s="26" t="n">
        <v>2.06</v>
      </c>
      <c r="M1216" s="27" t="n">
        <v>0.005</v>
      </c>
      <c r="N1216" s="27" t="n">
        <v>0.002</v>
      </c>
      <c r="O1216" s="26" t="n">
        <v>5</v>
      </c>
      <c r="P1216" s="26" t="n">
        <v>5</v>
      </c>
      <c r="Q1216" s="28" t="n">
        <v>100</v>
      </c>
      <c r="R1216" s="26" t="n">
        <v>30</v>
      </c>
      <c r="S1216" s="26" t="n">
        <v>0</v>
      </c>
      <c r="T1216" s="28" t="n">
        <v>1</v>
      </c>
      <c r="U1216" s="26" t="n">
        <v>0</v>
      </c>
      <c r="V1216" s="26" t="n">
        <v>0</v>
      </c>
      <c r="W1216" s="22" t="s">
        <v>20</v>
      </c>
      <c r="X1216" s="22" t="s">
        <v>373</v>
      </c>
    </row>
    <row r="1217" customFormat="false" ht="15" hidden="false" customHeight="false" outlineLevel="0" collapsed="false">
      <c r="A1217" s="22" t="s">
        <v>5057</v>
      </c>
      <c r="B1217" s="22" t="s">
        <v>20</v>
      </c>
      <c r="C1217" s="22" t="s">
        <v>5058</v>
      </c>
      <c r="D1217" s="22" t="s">
        <v>5059</v>
      </c>
      <c r="E1217" s="22" t="s">
        <v>5060</v>
      </c>
      <c r="F1217" s="22" t="n">
        <v>13</v>
      </c>
      <c r="G1217" s="26" t="n">
        <v>109.5</v>
      </c>
      <c r="H1217" s="26" t="n">
        <v>120.52</v>
      </c>
      <c r="I1217" s="26" t="n">
        <v>142.56</v>
      </c>
      <c r="J1217" s="26" t="n">
        <v>153.58</v>
      </c>
      <c r="K1217" s="26" t="n">
        <v>170.11</v>
      </c>
      <c r="L1217" s="26" t="n">
        <v>2.06</v>
      </c>
      <c r="M1217" s="27" t="n">
        <v>0.005</v>
      </c>
      <c r="N1217" s="27" t="n">
        <v>0.002</v>
      </c>
      <c r="O1217" s="26" t="n">
        <v>5</v>
      </c>
      <c r="P1217" s="26" t="n">
        <v>5</v>
      </c>
      <c r="Q1217" s="28" t="n">
        <v>100</v>
      </c>
      <c r="R1217" s="26" t="n">
        <v>30</v>
      </c>
      <c r="S1217" s="26" t="n">
        <v>0</v>
      </c>
      <c r="T1217" s="28" t="n">
        <v>1</v>
      </c>
      <c r="U1217" s="26" t="n">
        <v>0</v>
      </c>
      <c r="V1217" s="26" t="n">
        <v>0</v>
      </c>
      <c r="W1217" s="22" t="s">
        <v>20</v>
      </c>
      <c r="X1217" s="22" t="s">
        <v>373</v>
      </c>
    </row>
    <row r="1218" customFormat="false" ht="15" hidden="false" customHeight="false" outlineLevel="0" collapsed="false">
      <c r="A1218" s="22" t="s">
        <v>5061</v>
      </c>
      <c r="B1218" s="22" t="s">
        <v>20</v>
      </c>
      <c r="C1218" s="22" t="s">
        <v>5062</v>
      </c>
      <c r="D1218" s="22" t="s">
        <v>5063</v>
      </c>
      <c r="E1218" s="22" t="s">
        <v>5064</v>
      </c>
      <c r="F1218" s="22" t="n">
        <v>13</v>
      </c>
      <c r="G1218" s="26" t="n">
        <v>109.5</v>
      </c>
      <c r="H1218" s="26" t="n">
        <v>120.52</v>
      </c>
      <c r="I1218" s="26" t="n">
        <v>142.56</v>
      </c>
      <c r="J1218" s="26" t="n">
        <v>153.58</v>
      </c>
      <c r="K1218" s="26" t="n">
        <v>170.11</v>
      </c>
      <c r="L1218" s="26" t="n">
        <v>2.06</v>
      </c>
      <c r="M1218" s="27" t="n">
        <v>0.005</v>
      </c>
      <c r="N1218" s="27" t="n">
        <v>0.002</v>
      </c>
      <c r="O1218" s="26" t="n">
        <v>5</v>
      </c>
      <c r="P1218" s="26" t="n">
        <v>5</v>
      </c>
      <c r="Q1218" s="28" t="n">
        <v>100</v>
      </c>
      <c r="R1218" s="26" t="n">
        <v>30</v>
      </c>
      <c r="S1218" s="26" t="n">
        <v>0</v>
      </c>
      <c r="T1218" s="28" t="n">
        <v>1</v>
      </c>
      <c r="U1218" s="26" t="n">
        <v>0</v>
      </c>
      <c r="V1218" s="26" t="n">
        <v>0</v>
      </c>
      <c r="W1218" s="22" t="s">
        <v>20</v>
      </c>
      <c r="X1218" s="22" t="s">
        <v>373</v>
      </c>
    </row>
    <row r="1219" customFormat="false" ht="15" hidden="false" customHeight="false" outlineLevel="0" collapsed="false">
      <c r="A1219" s="22" t="s">
        <v>5065</v>
      </c>
      <c r="B1219" s="22" t="s">
        <v>20</v>
      </c>
      <c r="C1219" s="22" t="s">
        <v>5066</v>
      </c>
      <c r="D1219" s="22" t="s">
        <v>5067</v>
      </c>
      <c r="E1219" s="22" t="s">
        <v>5068</v>
      </c>
      <c r="F1219" s="22" t="n">
        <v>13</v>
      </c>
      <c r="G1219" s="26" t="n">
        <v>109.5</v>
      </c>
      <c r="H1219" s="26" t="n">
        <v>120.52</v>
      </c>
      <c r="I1219" s="26" t="n">
        <v>142.56</v>
      </c>
      <c r="J1219" s="26" t="n">
        <v>153.58</v>
      </c>
      <c r="K1219" s="26" t="n">
        <v>170.11</v>
      </c>
      <c r="L1219" s="26" t="n">
        <v>2.06</v>
      </c>
      <c r="M1219" s="27" t="n">
        <v>0.005</v>
      </c>
      <c r="N1219" s="27" t="n">
        <v>0.002</v>
      </c>
      <c r="O1219" s="26" t="n">
        <v>5</v>
      </c>
      <c r="P1219" s="26" t="n">
        <v>5</v>
      </c>
      <c r="Q1219" s="28" t="n">
        <v>100</v>
      </c>
      <c r="R1219" s="26" t="n">
        <v>30</v>
      </c>
      <c r="S1219" s="26" t="n">
        <v>0</v>
      </c>
      <c r="T1219" s="28" t="n">
        <v>1</v>
      </c>
      <c r="U1219" s="26" t="n">
        <v>0</v>
      </c>
      <c r="V1219" s="26" t="n">
        <v>0</v>
      </c>
      <c r="W1219" s="22" t="s">
        <v>20</v>
      </c>
      <c r="X1219" s="22" t="s">
        <v>373</v>
      </c>
    </row>
    <row r="1220" customFormat="false" ht="15" hidden="false" customHeight="false" outlineLevel="0" collapsed="false">
      <c r="A1220" s="22" t="s">
        <v>5069</v>
      </c>
      <c r="B1220" s="22" t="s">
        <v>20</v>
      </c>
      <c r="C1220" s="22" t="s">
        <v>5070</v>
      </c>
      <c r="D1220" s="22" t="s">
        <v>5071</v>
      </c>
      <c r="E1220" s="22" t="s">
        <v>5072</v>
      </c>
      <c r="F1220" s="22" t="n">
        <v>13</v>
      </c>
      <c r="G1220" s="26" t="n">
        <v>109.5</v>
      </c>
      <c r="H1220" s="26" t="n">
        <v>120.52</v>
      </c>
      <c r="I1220" s="26" t="n">
        <v>142.56</v>
      </c>
      <c r="J1220" s="26" t="n">
        <v>153.58</v>
      </c>
      <c r="K1220" s="26" t="n">
        <v>170.11</v>
      </c>
      <c r="L1220" s="26" t="n">
        <v>2.06</v>
      </c>
      <c r="M1220" s="27" t="n">
        <v>0.005</v>
      </c>
      <c r="N1220" s="27" t="n">
        <v>0.002</v>
      </c>
      <c r="O1220" s="26" t="n">
        <v>5</v>
      </c>
      <c r="P1220" s="26" t="n">
        <v>5</v>
      </c>
      <c r="Q1220" s="28" t="n">
        <v>100</v>
      </c>
      <c r="R1220" s="26" t="n">
        <v>30</v>
      </c>
      <c r="S1220" s="26" t="n">
        <v>0</v>
      </c>
      <c r="T1220" s="28" t="n">
        <v>1</v>
      </c>
      <c r="U1220" s="26" t="n">
        <v>0</v>
      </c>
      <c r="V1220" s="26" t="n">
        <v>0</v>
      </c>
      <c r="W1220" s="22" t="s">
        <v>20</v>
      </c>
      <c r="X1220" s="22" t="s">
        <v>373</v>
      </c>
    </row>
    <row r="1221" customFormat="false" ht="15" hidden="false" customHeight="false" outlineLevel="0" collapsed="false">
      <c r="A1221" s="22" t="s">
        <v>5073</v>
      </c>
      <c r="B1221" s="22" t="s">
        <v>20</v>
      </c>
      <c r="C1221" s="22" t="s">
        <v>5074</v>
      </c>
      <c r="D1221" s="22" t="s">
        <v>5075</v>
      </c>
      <c r="E1221" s="22" t="s">
        <v>5076</v>
      </c>
      <c r="F1221" s="22" t="n">
        <v>13</v>
      </c>
      <c r="G1221" s="26" t="n">
        <v>109.5</v>
      </c>
      <c r="H1221" s="26" t="n">
        <v>120.52</v>
      </c>
      <c r="I1221" s="26" t="n">
        <v>142.56</v>
      </c>
      <c r="J1221" s="26" t="n">
        <v>153.58</v>
      </c>
      <c r="K1221" s="26" t="n">
        <v>170.11</v>
      </c>
      <c r="L1221" s="26" t="n">
        <v>2.06</v>
      </c>
      <c r="M1221" s="27" t="n">
        <v>0.005</v>
      </c>
      <c r="N1221" s="27" t="n">
        <v>0.002</v>
      </c>
      <c r="O1221" s="26" t="n">
        <v>5</v>
      </c>
      <c r="P1221" s="26" t="n">
        <v>5</v>
      </c>
      <c r="Q1221" s="28" t="n">
        <v>100</v>
      </c>
      <c r="R1221" s="26" t="n">
        <v>30</v>
      </c>
      <c r="S1221" s="26" t="n">
        <v>0</v>
      </c>
      <c r="T1221" s="28" t="n">
        <v>1</v>
      </c>
      <c r="U1221" s="26" t="n">
        <v>0</v>
      </c>
      <c r="V1221" s="26" t="n">
        <v>0</v>
      </c>
      <c r="W1221" s="22" t="s">
        <v>20</v>
      </c>
      <c r="X1221" s="22" t="s">
        <v>373</v>
      </c>
    </row>
    <row r="1222" customFormat="false" ht="15" hidden="false" customHeight="false" outlineLevel="0" collapsed="false">
      <c r="A1222" s="22" t="s">
        <v>5077</v>
      </c>
      <c r="B1222" s="22" t="s">
        <v>20</v>
      </c>
      <c r="C1222" s="22" t="s">
        <v>5078</v>
      </c>
      <c r="D1222" s="22" t="s">
        <v>5079</v>
      </c>
      <c r="E1222" s="22" t="s">
        <v>5080</v>
      </c>
      <c r="F1222" s="22" t="n">
        <v>13</v>
      </c>
      <c r="G1222" s="26" t="n">
        <v>109.5</v>
      </c>
      <c r="H1222" s="26" t="n">
        <v>120.52</v>
      </c>
      <c r="I1222" s="26" t="n">
        <v>142.56</v>
      </c>
      <c r="J1222" s="26" t="n">
        <v>153.58</v>
      </c>
      <c r="K1222" s="26" t="n">
        <v>170.11</v>
      </c>
      <c r="L1222" s="26" t="n">
        <v>2.06</v>
      </c>
      <c r="M1222" s="27" t="n">
        <v>0.005</v>
      </c>
      <c r="N1222" s="27" t="n">
        <v>0.002</v>
      </c>
      <c r="O1222" s="26" t="n">
        <v>5</v>
      </c>
      <c r="P1222" s="26" t="n">
        <v>5</v>
      </c>
      <c r="Q1222" s="28" t="n">
        <v>100</v>
      </c>
      <c r="R1222" s="26" t="n">
        <v>30</v>
      </c>
      <c r="S1222" s="26" t="n">
        <v>0</v>
      </c>
      <c r="T1222" s="28" t="n">
        <v>1</v>
      </c>
      <c r="U1222" s="26" t="n">
        <v>0</v>
      </c>
      <c r="V1222" s="26" t="n">
        <v>0</v>
      </c>
      <c r="W1222" s="22" t="s">
        <v>20</v>
      </c>
      <c r="X1222" s="22" t="s">
        <v>373</v>
      </c>
    </row>
    <row r="1223" customFormat="false" ht="15" hidden="false" customHeight="false" outlineLevel="0" collapsed="false">
      <c r="A1223" s="22" t="s">
        <v>5081</v>
      </c>
      <c r="B1223" s="29" t="s">
        <v>20</v>
      </c>
      <c r="C1223" s="29" t="s">
        <v>2640</v>
      </c>
      <c r="D1223" s="22" t="s">
        <v>5082</v>
      </c>
      <c r="E1223" s="22" t="s">
        <v>5083</v>
      </c>
      <c r="F1223" s="22" t="n">
        <v>13</v>
      </c>
      <c r="G1223" s="26" t="n">
        <v>182.58</v>
      </c>
      <c r="H1223" s="26" t="n">
        <v>204.71</v>
      </c>
      <c r="I1223" s="26" t="n">
        <v>226.84</v>
      </c>
      <c r="J1223" s="26" t="n">
        <v>243.44</v>
      </c>
      <c r="K1223" s="26" t="n">
        <v>260.04</v>
      </c>
      <c r="L1223" s="26" t="n">
        <v>2.28</v>
      </c>
      <c r="M1223" s="27" t="n">
        <v>0.005</v>
      </c>
      <c r="N1223" s="27" t="n">
        <v>0.002</v>
      </c>
      <c r="O1223" s="26" t="n">
        <v>5</v>
      </c>
      <c r="P1223" s="26" t="n">
        <v>5</v>
      </c>
      <c r="Q1223" s="28" t="n">
        <v>100</v>
      </c>
      <c r="R1223" s="26" t="n">
        <v>30</v>
      </c>
      <c r="S1223" s="26" t="n">
        <v>0</v>
      </c>
      <c r="T1223" s="28" t="n">
        <v>1</v>
      </c>
      <c r="U1223" s="26" t="n">
        <v>0</v>
      </c>
      <c r="V1223" s="26" t="n">
        <v>0</v>
      </c>
      <c r="W1223" s="29" t="s">
        <v>17</v>
      </c>
      <c r="X1223" s="22" t="s">
        <v>373</v>
      </c>
    </row>
    <row r="1224" customFormat="false" ht="15" hidden="false" customHeight="false" outlineLevel="0" collapsed="false">
      <c r="A1224" s="22" t="s">
        <v>5084</v>
      </c>
      <c r="B1224" s="22" t="s">
        <v>20</v>
      </c>
      <c r="C1224" s="22" t="s">
        <v>5085</v>
      </c>
      <c r="D1224" s="22" t="s">
        <v>5086</v>
      </c>
      <c r="E1224" s="22" t="s">
        <v>5087</v>
      </c>
      <c r="F1224" s="22" t="n">
        <v>13</v>
      </c>
      <c r="G1224" s="26" t="n">
        <v>109.5</v>
      </c>
      <c r="H1224" s="26" t="n">
        <v>120.52</v>
      </c>
      <c r="I1224" s="26" t="n">
        <v>142.56</v>
      </c>
      <c r="J1224" s="26" t="n">
        <v>153.58</v>
      </c>
      <c r="K1224" s="26" t="n">
        <v>170.11</v>
      </c>
      <c r="L1224" s="26" t="n">
        <v>2.06</v>
      </c>
      <c r="M1224" s="27" t="n">
        <v>0.005</v>
      </c>
      <c r="N1224" s="27" t="n">
        <v>0.002</v>
      </c>
      <c r="O1224" s="26" t="n">
        <v>5</v>
      </c>
      <c r="P1224" s="26" t="n">
        <v>5</v>
      </c>
      <c r="Q1224" s="28" t="n">
        <v>100</v>
      </c>
      <c r="R1224" s="26" t="n">
        <v>30</v>
      </c>
      <c r="S1224" s="26" t="n">
        <v>0</v>
      </c>
      <c r="T1224" s="28" t="n">
        <v>1</v>
      </c>
      <c r="U1224" s="26" t="n">
        <v>0</v>
      </c>
      <c r="V1224" s="26" t="n">
        <v>0</v>
      </c>
      <c r="W1224" s="22" t="s">
        <v>20</v>
      </c>
      <c r="X1224" s="22" t="s">
        <v>373</v>
      </c>
    </row>
    <row r="1225" customFormat="false" ht="15" hidden="false" customHeight="false" outlineLevel="0" collapsed="false">
      <c r="A1225" s="22" t="s">
        <v>5088</v>
      </c>
      <c r="B1225" s="22" t="s">
        <v>20</v>
      </c>
      <c r="C1225" s="22" t="s">
        <v>5089</v>
      </c>
      <c r="D1225" s="22" t="s">
        <v>5090</v>
      </c>
      <c r="E1225" s="22" t="s">
        <v>5091</v>
      </c>
      <c r="F1225" s="22" t="n">
        <v>13</v>
      </c>
      <c r="G1225" s="26" t="n">
        <v>109.5</v>
      </c>
      <c r="H1225" s="26" t="n">
        <v>120.52</v>
      </c>
      <c r="I1225" s="26" t="n">
        <v>142.56</v>
      </c>
      <c r="J1225" s="26" t="n">
        <v>153.58</v>
      </c>
      <c r="K1225" s="26" t="n">
        <v>170.11</v>
      </c>
      <c r="L1225" s="26" t="n">
        <v>2.06</v>
      </c>
      <c r="M1225" s="27" t="n">
        <v>0.005</v>
      </c>
      <c r="N1225" s="27" t="n">
        <v>0.002</v>
      </c>
      <c r="O1225" s="26" t="n">
        <v>5</v>
      </c>
      <c r="P1225" s="26" t="n">
        <v>5</v>
      </c>
      <c r="Q1225" s="28" t="n">
        <v>100</v>
      </c>
      <c r="R1225" s="26" t="n">
        <v>30</v>
      </c>
      <c r="S1225" s="26" t="n">
        <v>0</v>
      </c>
      <c r="T1225" s="28" t="n">
        <v>1</v>
      </c>
      <c r="U1225" s="26" t="n">
        <v>0</v>
      </c>
      <c r="V1225" s="26" t="n">
        <v>0</v>
      </c>
      <c r="W1225" s="22" t="s">
        <v>20</v>
      </c>
      <c r="X1225" s="22" t="s">
        <v>373</v>
      </c>
    </row>
    <row r="1226" customFormat="false" ht="15" hidden="false" customHeight="false" outlineLevel="0" collapsed="false">
      <c r="A1226" s="22" t="s">
        <v>5092</v>
      </c>
      <c r="B1226" s="22" t="s">
        <v>20</v>
      </c>
      <c r="C1226" s="22" t="s">
        <v>5093</v>
      </c>
      <c r="D1226" s="22" t="s">
        <v>5094</v>
      </c>
      <c r="E1226" s="22" t="s">
        <v>5095</v>
      </c>
      <c r="F1226" s="22" t="n">
        <v>13</v>
      </c>
      <c r="G1226" s="26" t="n">
        <v>109.5</v>
      </c>
      <c r="H1226" s="26" t="n">
        <v>120.52</v>
      </c>
      <c r="I1226" s="26" t="n">
        <v>142.56</v>
      </c>
      <c r="J1226" s="26" t="n">
        <v>153.58</v>
      </c>
      <c r="K1226" s="26" t="n">
        <v>170.11</v>
      </c>
      <c r="L1226" s="26" t="n">
        <v>2.06</v>
      </c>
      <c r="M1226" s="27" t="n">
        <v>0.005</v>
      </c>
      <c r="N1226" s="27" t="n">
        <v>0.002</v>
      </c>
      <c r="O1226" s="26" t="n">
        <v>5</v>
      </c>
      <c r="P1226" s="26" t="n">
        <v>5</v>
      </c>
      <c r="Q1226" s="28" t="n">
        <v>100</v>
      </c>
      <c r="R1226" s="26" t="n">
        <v>30</v>
      </c>
      <c r="S1226" s="26" t="n">
        <v>0</v>
      </c>
      <c r="T1226" s="28" t="n">
        <v>1</v>
      </c>
      <c r="U1226" s="26" t="n">
        <v>0</v>
      </c>
      <c r="V1226" s="26" t="n">
        <v>0</v>
      </c>
      <c r="W1226" s="22" t="s">
        <v>20</v>
      </c>
      <c r="X1226" s="22" t="s">
        <v>373</v>
      </c>
    </row>
    <row r="1227" customFormat="false" ht="15" hidden="false" customHeight="false" outlineLevel="0" collapsed="false">
      <c r="A1227" s="22" t="s">
        <v>5096</v>
      </c>
      <c r="B1227" s="22" t="s">
        <v>20</v>
      </c>
      <c r="C1227" s="22" t="s">
        <v>5097</v>
      </c>
      <c r="D1227" s="22" t="s">
        <v>5098</v>
      </c>
      <c r="E1227" s="22" t="s">
        <v>5099</v>
      </c>
      <c r="F1227" s="22" t="n">
        <v>13</v>
      </c>
      <c r="G1227" s="26" t="n">
        <v>109.5</v>
      </c>
      <c r="H1227" s="26" t="n">
        <v>120.52</v>
      </c>
      <c r="I1227" s="26" t="n">
        <v>142.56</v>
      </c>
      <c r="J1227" s="26" t="n">
        <v>153.58</v>
      </c>
      <c r="K1227" s="26" t="n">
        <v>170.11</v>
      </c>
      <c r="L1227" s="26" t="n">
        <v>2.06</v>
      </c>
      <c r="M1227" s="27" t="n">
        <v>0.005</v>
      </c>
      <c r="N1227" s="27" t="n">
        <v>0.002</v>
      </c>
      <c r="O1227" s="26" t="n">
        <v>5</v>
      </c>
      <c r="P1227" s="26" t="n">
        <v>5</v>
      </c>
      <c r="Q1227" s="28" t="n">
        <v>100</v>
      </c>
      <c r="R1227" s="26" t="n">
        <v>30</v>
      </c>
      <c r="S1227" s="26" t="n">
        <v>0</v>
      </c>
      <c r="T1227" s="28" t="n">
        <v>1</v>
      </c>
      <c r="U1227" s="26" t="n">
        <v>0</v>
      </c>
      <c r="V1227" s="26" t="n">
        <v>0</v>
      </c>
      <c r="W1227" s="22" t="s">
        <v>20</v>
      </c>
      <c r="X1227" s="22" t="s">
        <v>373</v>
      </c>
    </row>
    <row r="1228" customFormat="false" ht="15" hidden="false" customHeight="false" outlineLevel="0" collapsed="false">
      <c r="A1228" s="22" t="s">
        <v>5100</v>
      </c>
      <c r="B1228" s="22" t="s">
        <v>20</v>
      </c>
      <c r="C1228" s="22" t="s">
        <v>5101</v>
      </c>
      <c r="D1228" s="22" t="s">
        <v>5102</v>
      </c>
      <c r="E1228" s="22" t="s">
        <v>5103</v>
      </c>
      <c r="F1228" s="22" t="n">
        <v>13</v>
      </c>
      <c r="G1228" s="26" t="n">
        <v>109.5</v>
      </c>
      <c r="H1228" s="26" t="n">
        <v>120.52</v>
      </c>
      <c r="I1228" s="26" t="n">
        <v>142.56</v>
      </c>
      <c r="J1228" s="26" t="n">
        <v>153.58</v>
      </c>
      <c r="K1228" s="26" t="n">
        <v>170.11</v>
      </c>
      <c r="L1228" s="26" t="n">
        <v>2.06</v>
      </c>
      <c r="M1228" s="27" t="n">
        <v>0.005</v>
      </c>
      <c r="N1228" s="27" t="n">
        <v>0.002</v>
      </c>
      <c r="O1228" s="26" t="n">
        <v>5</v>
      </c>
      <c r="P1228" s="26" t="n">
        <v>5</v>
      </c>
      <c r="Q1228" s="28" t="n">
        <v>100</v>
      </c>
      <c r="R1228" s="26" t="n">
        <v>30</v>
      </c>
      <c r="S1228" s="26" t="n">
        <v>0</v>
      </c>
      <c r="T1228" s="28" t="n">
        <v>1</v>
      </c>
      <c r="U1228" s="26" t="n">
        <v>0</v>
      </c>
      <c r="V1228" s="26" t="n">
        <v>0</v>
      </c>
      <c r="W1228" s="22" t="s">
        <v>20</v>
      </c>
      <c r="X1228" s="22" t="s">
        <v>373</v>
      </c>
    </row>
    <row r="1229" customFormat="false" ht="15" hidden="false" customHeight="false" outlineLevel="0" collapsed="false">
      <c r="A1229" s="22" t="s">
        <v>5104</v>
      </c>
      <c r="B1229" s="22" t="s">
        <v>20</v>
      </c>
      <c r="C1229" s="22" t="s">
        <v>5105</v>
      </c>
      <c r="D1229" s="22" t="s">
        <v>5106</v>
      </c>
      <c r="E1229" s="22" t="s">
        <v>5107</v>
      </c>
      <c r="F1229" s="22" t="n">
        <v>13</v>
      </c>
      <c r="G1229" s="26" t="n">
        <v>109.5</v>
      </c>
      <c r="H1229" s="26" t="n">
        <v>120.52</v>
      </c>
      <c r="I1229" s="26" t="n">
        <v>142.56</v>
      </c>
      <c r="J1229" s="26" t="n">
        <v>153.58</v>
      </c>
      <c r="K1229" s="26" t="n">
        <v>170.11</v>
      </c>
      <c r="L1229" s="26" t="n">
        <v>2.06</v>
      </c>
      <c r="M1229" s="27" t="n">
        <v>0.005</v>
      </c>
      <c r="N1229" s="27" t="n">
        <v>0.002</v>
      </c>
      <c r="O1229" s="26" t="n">
        <v>5</v>
      </c>
      <c r="P1229" s="26" t="n">
        <v>5</v>
      </c>
      <c r="Q1229" s="28" t="n">
        <v>100</v>
      </c>
      <c r="R1229" s="26" t="n">
        <v>30</v>
      </c>
      <c r="S1229" s="26" t="n">
        <v>0</v>
      </c>
      <c r="T1229" s="28" t="n">
        <v>1</v>
      </c>
      <c r="U1229" s="26" t="n">
        <v>0</v>
      </c>
      <c r="V1229" s="26" t="n">
        <v>0</v>
      </c>
      <c r="W1229" s="22" t="s">
        <v>20</v>
      </c>
      <c r="X1229" s="22" t="s">
        <v>373</v>
      </c>
    </row>
    <row r="1230" customFormat="false" ht="15" hidden="false" customHeight="false" outlineLevel="0" collapsed="false">
      <c r="A1230" s="22" t="s">
        <v>5108</v>
      </c>
      <c r="B1230" s="22" t="s">
        <v>20</v>
      </c>
      <c r="C1230" s="22" t="s">
        <v>5109</v>
      </c>
      <c r="D1230" s="22" t="s">
        <v>5110</v>
      </c>
      <c r="E1230" s="22" t="s">
        <v>5111</v>
      </c>
      <c r="F1230" s="22" t="n">
        <v>13</v>
      </c>
      <c r="G1230" s="26" t="n">
        <v>109.5</v>
      </c>
      <c r="H1230" s="26" t="n">
        <v>120.52</v>
      </c>
      <c r="I1230" s="26" t="n">
        <v>142.56</v>
      </c>
      <c r="J1230" s="26" t="n">
        <v>153.58</v>
      </c>
      <c r="K1230" s="26" t="n">
        <v>170.11</v>
      </c>
      <c r="L1230" s="26" t="n">
        <v>2.06</v>
      </c>
      <c r="M1230" s="27" t="n">
        <v>0.005</v>
      </c>
      <c r="N1230" s="27" t="n">
        <v>0.002</v>
      </c>
      <c r="O1230" s="26" t="n">
        <v>5</v>
      </c>
      <c r="P1230" s="26" t="n">
        <v>5</v>
      </c>
      <c r="Q1230" s="28" t="n">
        <v>100</v>
      </c>
      <c r="R1230" s="26" t="n">
        <v>30</v>
      </c>
      <c r="S1230" s="26" t="n">
        <v>0</v>
      </c>
      <c r="T1230" s="28" t="n">
        <v>1</v>
      </c>
      <c r="U1230" s="26" t="n">
        <v>0</v>
      </c>
      <c r="V1230" s="26" t="n">
        <v>0</v>
      </c>
      <c r="W1230" s="22" t="s">
        <v>20</v>
      </c>
      <c r="X1230" s="22" t="s">
        <v>373</v>
      </c>
    </row>
    <row r="1231" customFormat="false" ht="15" hidden="false" customHeight="false" outlineLevel="0" collapsed="false">
      <c r="A1231" s="22" t="s">
        <v>5112</v>
      </c>
      <c r="B1231" s="29" t="s">
        <v>20</v>
      </c>
      <c r="C1231" s="29" t="s">
        <v>5113</v>
      </c>
      <c r="D1231" s="22" t="s">
        <v>5114</v>
      </c>
      <c r="E1231" s="22" t="s">
        <v>5115</v>
      </c>
      <c r="F1231" s="22" t="n">
        <v>13</v>
      </c>
      <c r="G1231" s="26" t="n">
        <v>91.58</v>
      </c>
      <c r="H1231" s="26" t="n">
        <v>103.1</v>
      </c>
      <c r="I1231" s="26" t="n">
        <v>114.62</v>
      </c>
      <c r="J1231" s="26" t="n">
        <v>126.14</v>
      </c>
      <c r="K1231" s="26" t="n">
        <v>143.42</v>
      </c>
      <c r="L1231" s="26" t="n">
        <v>2.06</v>
      </c>
      <c r="M1231" s="27" t="n">
        <v>0.005</v>
      </c>
      <c r="N1231" s="27" t="n">
        <v>0.002</v>
      </c>
      <c r="O1231" s="26" t="n">
        <v>5</v>
      </c>
      <c r="P1231" s="26" t="n">
        <v>5</v>
      </c>
      <c r="Q1231" s="28" t="n">
        <v>100</v>
      </c>
      <c r="R1231" s="26" t="n">
        <v>30</v>
      </c>
      <c r="S1231" s="26" t="n">
        <v>0</v>
      </c>
      <c r="T1231" s="28" t="n">
        <v>1</v>
      </c>
      <c r="U1231" s="26" t="n">
        <v>0</v>
      </c>
      <c r="V1231" s="26" t="n">
        <v>0</v>
      </c>
      <c r="W1231" s="29" t="s">
        <v>23</v>
      </c>
      <c r="X1231" s="22" t="s">
        <v>373</v>
      </c>
    </row>
    <row r="1232" customFormat="false" ht="15" hidden="false" customHeight="false" outlineLevel="0" collapsed="false">
      <c r="A1232" s="22" t="s">
        <v>5116</v>
      </c>
      <c r="B1232" s="22" t="s">
        <v>20</v>
      </c>
      <c r="C1232" s="22" t="s">
        <v>5117</v>
      </c>
      <c r="D1232" s="22" t="s">
        <v>5118</v>
      </c>
      <c r="E1232" s="22" t="s">
        <v>5119</v>
      </c>
      <c r="F1232" s="22" t="n">
        <v>0</v>
      </c>
      <c r="G1232" s="26" t="n">
        <v>109.5</v>
      </c>
      <c r="H1232" s="26" t="n">
        <v>120.52</v>
      </c>
      <c r="I1232" s="26" t="n">
        <v>142.56</v>
      </c>
      <c r="J1232" s="26" t="n">
        <v>153.58</v>
      </c>
      <c r="K1232" s="26" t="n">
        <v>170.11</v>
      </c>
      <c r="L1232" s="26" t="n">
        <v>2.06</v>
      </c>
      <c r="M1232" s="27" t="n">
        <v>0.005</v>
      </c>
      <c r="N1232" s="27" t="n">
        <v>0.002</v>
      </c>
      <c r="O1232" s="26" t="n">
        <v>5</v>
      </c>
      <c r="P1232" s="26" t="n">
        <v>5</v>
      </c>
      <c r="Q1232" s="28" t="n">
        <v>100</v>
      </c>
      <c r="R1232" s="26" t="n">
        <v>30</v>
      </c>
      <c r="S1232" s="26" t="n">
        <v>0</v>
      </c>
      <c r="T1232" s="28" t="n">
        <v>1</v>
      </c>
      <c r="U1232" s="26" t="n">
        <v>0</v>
      </c>
      <c r="V1232" s="26" t="n">
        <v>0</v>
      </c>
      <c r="W1232" s="22" t="s">
        <v>20</v>
      </c>
      <c r="X1232" s="22" t="s">
        <v>373</v>
      </c>
    </row>
    <row r="1233" customFormat="false" ht="15" hidden="false" customHeight="false" outlineLevel="0" collapsed="false">
      <c r="A1233" s="22" t="s">
        <v>5120</v>
      </c>
      <c r="B1233" s="22" t="s">
        <v>20</v>
      </c>
      <c r="C1233" s="22" t="s">
        <v>5121</v>
      </c>
      <c r="D1233" s="22" t="s">
        <v>5122</v>
      </c>
      <c r="E1233" s="22" t="s">
        <v>5123</v>
      </c>
      <c r="F1233" s="22" t="n">
        <v>13</v>
      </c>
      <c r="G1233" s="26" t="n">
        <v>109.5</v>
      </c>
      <c r="H1233" s="26" t="n">
        <v>120.52</v>
      </c>
      <c r="I1233" s="26" t="n">
        <v>142.56</v>
      </c>
      <c r="J1233" s="26" t="n">
        <v>153.58</v>
      </c>
      <c r="K1233" s="26" t="n">
        <v>170.11</v>
      </c>
      <c r="L1233" s="26" t="n">
        <v>2.06</v>
      </c>
      <c r="M1233" s="27" t="n">
        <v>0.005</v>
      </c>
      <c r="N1233" s="27" t="n">
        <v>0.002</v>
      </c>
      <c r="O1233" s="26" t="n">
        <v>5</v>
      </c>
      <c r="P1233" s="26" t="n">
        <v>5</v>
      </c>
      <c r="Q1233" s="28" t="n">
        <v>100</v>
      </c>
      <c r="R1233" s="26" t="n">
        <v>30</v>
      </c>
      <c r="S1233" s="26" t="n">
        <v>0</v>
      </c>
      <c r="T1233" s="28" t="n">
        <v>1</v>
      </c>
      <c r="U1233" s="26" t="n">
        <v>0</v>
      </c>
      <c r="V1233" s="26" t="n">
        <v>0</v>
      </c>
      <c r="W1233" s="22" t="s">
        <v>20</v>
      </c>
      <c r="X1233" s="22" t="s">
        <v>373</v>
      </c>
    </row>
    <row r="1234" customFormat="false" ht="15" hidden="false" customHeight="false" outlineLevel="0" collapsed="false">
      <c r="A1234" s="22" t="s">
        <v>5124</v>
      </c>
      <c r="B1234" s="22" t="s">
        <v>20</v>
      </c>
      <c r="C1234" s="22" t="s">
        <v>5125</v>
      </c>
      <c r="D1234" s="22" t="s">
        <v>5126</v>
      </c>
      <c r="E1234" s="22" t="s">
        <v>5127</v>
      </c>
      <c r="F1234" s="22" t="n">
        <v>13</v>
      </c>
      <c r="G1234" s="26" t="n">
        <v>109.5</v>
      </c>
      <c r="H1234" s="26" t="n">
        <v>120.52</v>
      </c>
      <c r="I1234" s="26" t="n">
        <v>142.56</v>
      </c>
      <c r="J1234" s="26" t="n">
        <v>153.58</v>
      </c>
      <c r="K1234" s="26" t="n">
        <v>170.11</v>
      </c>
      <c r="L1234" s="26" t="n">
        <v>2.06</v>
      </c>
      <c r="M1234" s="27" t="n">
        <v>0.005</v>
      </c>
      <c r="N1234" s="27" t="n">
        <v>0.002</v>
      </c>
      <c r="O1234" s="26" t="n">
        <v>5</v>
      </c>
      <c r="P1234" s="26" t="n">
        <v>5</v>
      </c>
      <c r="Q1234" s="28" t="n">
        <v>100</v>
      </c>
      <c r="R1234" s="26" t="n">
        <v>30</v>
      </c>
      <c r="S1234" s="26" t="n">
        <v>0</v>
      </c>
      <c r="T1234" s="28" t="n">
        <v>1</v>
      </c>
      <c r="U1234" s="26" t="n">
        <v>0</v>
      </c>
      <c r="V1234" s="26" t="n">
        <v>0</v>
      </c>
      <c r="W1234" s="22" t="s">
        <v>20</v>
      </c>
      <c r="X1234" s="22" t="s">
        <v>373</v>
      </c>
    </row>
    <row r="1235" customFormat="false" ht="15" hidden="false" customHeight="false" outlineLevel="0" collapsed="false">
      <c r="A1235" s="22" t="s">
        <v>5128</v>
      </c>
      <c r="B1235" s="22" t="s">
        <v>20</v>
      </c>
      <c r="C1235" s="22" t="s">
        <v>5129</v>
      </c>
      <c r="D1235" s="22" t="s">
        <v>5130</v>
      </c>
      <c r="E1235" s="22" t="s">
        <v>5131</v>
      </c>
      <c r="F1235" s="22" t="n">
        <v>13</v>
      </c>
      <c r="G1235" s="26" t="n">
        <v>109.5</v>
      </c>
      <c r="H1235" s="26" t="n">
        <v>120.52</v>
      </c>
      <c r="I1235" s="26" t="n">
        <v>142.56</v>
      </c>
      <c r="J1235" s="26" t="n">
        <v>153.58</v>
      </c>
      <c r="K1235" s="26" t="n">
        <v>170.11</v>
      </c>
      <c r="L1235" s="26" t="n">
        <v>2.06</v>
      </c>
      <c r="M1235" s="27" t="n">
        <v>0.005</v>
      </c>
      <c r="N1235" s="27" t="n">
        <v>0.002</v>
      </c>
      <c r="O1235" s="26" t="n">
        <v>5</v>
      </c>
      <c r="P1235" s="26" t="n">
        <v>5</v>
      </c>
      <c r="Q1235" s="28" t="n">
        <v>100</v>
      </c>
      <c r="R1235" s="26" t="n">
        <v>30</v>
      </c>
      <c r="S1235" s="26" t="n">
        <v>0</v>
      </c>
      <c r="T1235" s="28" t="n">
        <v>1</v>
      </c>
      <c r="U1235" s="26" t="n">
        <v>0</v>
      </c>
      <c r="V1235" s="26" t="n">
        <v>0</v>
      </c>
      <c r="W1235" s="22" t="s">
        <v>20</v>
      </c>
      <c r="X1235" s="22" t="s">
        <v>373</v>
      </c>
    </row>
    <row r="1236" customFormat="false" ht="15" hidden="false" customHeight="false" outlineLevel="0" collapsed="false">
      <c r="A1236" s="22" t="s">
        <v>5132</v>
      </c>
      <c r="B1236" s="22" t="s">
        <v>20</v>
      </c>
      <c r="C1236" s="22" t="s">
        <v>5133</v>
      </c>
      <c r="D1236" s="22" t="s">
        <v>5134</v>
      </c>
      <c r="E1236" s="22" t="s">
        <v>5135</v>
      </c>
      <c r="F1236" s="22" t="n">
        <v>13</v>
      </c>
      <c r="G1236" s="26" t="n">
        <v>109.5</v>
      </c>
      <c r="H1236" s="26" t="n">
        <v>120.52</v>
      </c>
      <c r="I1236" s="26" t="n">
        <v>142.56</v>
      </c>
      <c r="J1236" s="26" t="n">
        <v>153.58</v>
      </c>
      <c r="K1236" s="26" t="n">
        <v>170.11</v>
      </c>
      <c r="L1236" s="26" t="n">
        <v>2.06</v>
      </c>
      <c r="M1236" s="27" t="n">
        <v>0.005</v>
      </c>
      <c r="N1236" s="27" t="n">
        <v>0.002</v>
      </c>
      <c r="O1236" s="26" t="n">
        <v>5</v>
      </c>
      <c r="P1236" s="26" t="n">
        <v>5</v>
      </c>
      <c r="Q1236" s="28" t="n">
        <v>100</v>
      </c>
      <c r="R1236" s="26" t="n">
        <v>30</v>
      </c>
      <c r="S1236" s="26" t="n">
        <v>0</v>
      </c>
      <c r="T1236" s="28" t="n">
        <v>1</v>
      </c>
      <c r="U1236" s="26" t="n">
        <v>0</v>
      </c>
      <c r="V1236" s="26" t="n">
        <v>0</v>
      </c>
      <c r="W1236" s="22" t="s">
        <v>20</v>
      </c>
      <c r="X1236" s="22" t="s">
        <v>373</v>
      </c>
    </row>
    <row r="1237" customFormat="false" ht="15" hidden="false" customHeight="false" outlineLevel="0" collapsed="false">
      <c r="A1237" s="22" t="s">
        <v>5136</v>
      </c>
      <c r="B1237" s="22" t="s">
        <v>20</v>
      </c>
      <c r="C1237" s="22" t="s">
        <v>5137</v>
      </c>
      <c r="D1237" s="22" t="s">
        <v>5138</v>
      </c>
      <c r="E1237" s="22" t="s">
        <v>5139</v>
      </c>
      <c r="F1237" s="22" t="n">
        <v>13</v>
      </c>
      <c r="G1237" s="26" t="n">
        <v>109.5</v>
      </c>
      <c r="H1237" s="26" t="n">
        <v>120.52</v>
      </c>
      <c r="I1237" s="26" t="n">
        <v>142.56</v>
      </c>
      <c r="J1237" s="26" t="n">
        <v>153.58</v>
      </c>
      <c r="K1237" s="26" t="n">
        <v>170.11</v>
      </c>
      <c r="L1237" s="26" t="n">
        <v>2.06</v>
      </c>
      <c r="M1237" s="27" t="n">
        <v>0.005</v>
      </c>
      <c r="N1237" s="27" t="n">
        <v>0.002</v>
      </c>
      <c r="O1237" s="26" t="n">
        <v>5</v>
      </c>
      <c r="P1237" s="26" t="n">
        <v>5</v>
      </c>
      <c r="Q1237" s="28" t="n">
        <v>100</v>
      </c>
      <c r="R1237" s="26" t="n">
        <v>30</v>
      </c>
      <c r="S1237" s="26" t="n">
        <v>0</v>
      </c>
      <c r="T1237" s="28" t="n">
        <v>1</v>
      </c>
      <c r="U1237" s="26" t="n">
        <v>0</v>
      </c>
      <c r="V1237" s="26" t="n">
        <v>0</v>
      </c>
      <c r="W1237" s="22" t="s">
        <v>20</v>
      </c>
      <c r="X1237" s="22" t="s">
        <v>373</v>
      </c>
    </row>
    <row r="1238" customFormat="false" ht="15" hidden="false" customHeight="false" outlineLevel="0" collapsed="false">
      <c r="A1238" s="22" t="s">
        <v>5140</v>
      </c>
      <c r="B1238" s="22" t="s">
        <v>20</v>
      </c>
      <c r="C1238" s="22" t="s">
        <v>163</v>
      </c>
      <c r="D1238" s="22" t="s">
        <v>5141</v>
      </c>
      <c r="E1238" s="22" t="s">
        <v>5142</v>
      </c>
      <c r="F1238" s="22" t="n">
        <v>13</v>
      </c>
      <c r="G1238" s="26" t="n">
        <v>109.5</v>
      </c>
      <c r="H1238" s="26" t="n">
        <v>120.52</v>
      </c>
      <c r="I1238" s="26" t="n">
        <v>142.56</v>
      </c>
      <c r="J1238" s="26" t="n">
        <v>153.58</v>
      </c>
      <c r="K1238" s="26" t="n">
        <v>170.11</v>
      </c>
      <c r="L1238" s="26" t="n">
        <v>2.06</v>
      </c>
      <c r="M1238" s="27" t="n">
        <v>0.005</v>
      </c>
      <c r="N1238" s="27" t="n">
        <v>0.002</v>
      </c>
      <c r="O1238" s="26" t="n">
        <v>5</v>
      </c>
      <c r="P1238" s="26" t="n">
        <v>5</v>
      </c>
      <c r="Q1238" s="28" t="n">
        <v>100</v>
      </c>
      <c r="R1238" s="26" t="n">
        <v>30</v>
      </c>
      <c r="S1238" s="26" t="n">
        <v>0</v>
      </c>
      <c r="T1238" s="28" t="n">
        <v>1</v>
      </c>
      <c r="U1238" s="26" t="n">
        <v>0</v>
      </c>
      <c r="V1238" s="26" t="n">
        <v>0</v>
      </c>
      <c r="W1238" s="22" t="s">
        <v>20</v>
      </c>
      <c r="X1238" s="22" t="s">
        <v>373</v>
      </c>
    </row>
    <row r="1239" customFormat="false" ht="15" hidden="false" customHeight="false" outlineLevel="0" collapsed="false">
      <c r="A1239" s="22" t="s">
        <v>5143</v>
      </c>
      <c r="B1239" s="22" t="s">
        <v>20</v>
      </c>
      <c r="C1239" s="22" t="s">
        <v>5144</v>
      </c>
      <c r="D1239" s="22" t="s">
        <v>5145</v>
      </c>
      <c r="E1239" s="22" t="s">
        <v>5146</v>
      </c>
      <c r="F1239" s="22" t="n">
        <v>13</v>
      </c>
      <c r="G1239" s="26" t="n">
        <v>109.5</v>
      </c>
      <c r="H1239" s="26" t="n">
        <v>120.52</v>
      </c>
      <c r="I1239" s="26" t="n">
        <v>142.56</v>
      </c>
      <c r="J1239" s="26" t="n">
        <v>153.58</v>
      </c>
      <c r="K1239" s="26" t="n">
        <v>170.11</v>
      </c>
      <c r="L1239" s="26" t="n">
        <v>2.06</v>
      </c>
      <c r="M1239" s="27" t="n">
        <v>0.005</v>
      </c>
      <c r="N1239" s="27" t="n">
        <v>0.002</v>
      </c>
      <c r="O1239" s="26" t="n">
        <v>5</v>
      </c>
      <c r="P1239" s="26" t="n">
        <v>5</v>
      </c>
      <c r="Q1239" s="28" t="n">
        <v>100</v>
      </c>
      <c r="R1239" s="26" t="n">
        <v>30</v>
      </c>
      <c r="S1239" s="26" t="n">
        <v>0</v>
      </c>
      <c r="T1239" s="28" t="n">
        <v>1</v>
      </c>
      <c r="U1239" s="26" t="n">
        <v>0</v>
      </c>
      <c r="V1239" s="26" t="n">
        <v>0</v>
      </c>
      <c r="W1239" s="22" t="s">
        <v>20</v>
      </c>
      <c r="X1239" s="22" t="s">
        <v>373</v>
      </c>
    </row>
    <row r="1240" customFormat="false" ht="15" hidden="false" customHeight="false" outlineLevel="0" collapsed="false">
      <c r="A1240" s="22" t="s">
        <v>5147</v>
      </c>
      <c r="B1240" s="22" t="s">
        <v>20</v>
      </c>
      <c r="C1240" s="22" t="s">
        <v>5148</v>
      </c>
      <c r="D1240" s="22" t="s">
        <v>5149</v>
      </c>
      <c r="E1240" s="22" t="s">
        <v>5150</v>
      </c>
      <c r="F1240" s="22" t="n">
        <v>13</v>
      </c>
      <c r="G1240" s="26" t="n">
        <v>109.5</v>
      </c>
      <c r="H1240" s="26" t="n">
        <v>120.52</v>
      </c>
      <c r="I1240" s="26" t="n">
        <v>142.56</v>
      </c>
      <c r="J1240" s="26" t="n">
        <v>153.58</v>
      </c>
      <c r="K1240" s="26" t="n">
        <v>170.11</v>
      </c>
      <c r="L1240" s="26" t="n">
        <v>2.06</v>
      </c>
      <c r="M1240" s="27" t="n">
        <v>0.005</v>
      </c>
      <c r="N1240" s="27" t="n">
        <v>0.002</v>
      </c>
      <c r="O1240" s="26" t="n">
        <v>5</v>
      </c>
      <c r="P1240" s="26" t="n">
        <v>5</v>
      </c>
      <c r="Q1240" s="28" t="n">
        <v>100</v>
      </c>
      <c r="R1240" s="26" t="n">
        <v>30</v>
      </c>
      <c r="S1240" s="26" t="n">
        <v>0</v>
      </c>
      <c r="T1240" s="28" t="n">
        <v>1</v>
      </c>
      <c r="U1240" s="26" t="n">
        <v>0</v>
      </c>
      <c r="V1240" s="26" t="n">
        <v>0</v>
      </c>
      <c r="W1240" s="22" t="s">
        <v>20</v>
      </c>
      <c r="X1240" s="22" t="s">
        <v>373</v>
      </c>
    </row>
    <row r="1241" customFormat="false" ht="15" hidden="false" customHeight="false" outlineLevel="0" collapsed="false">
      <c r="A1241" s="22" t="s">
        <v>5151</v>
      </c>
      <c r="B1241" s="22" t="s">
        <v>20</v>
      </c>
      <c r="C1241" s="22" t="s">
        <v>5152</v>
      </c>
      <c r="D1241" s="22" t="s">
        <v>5153</v>
      </c>
      <c r="E1241" s="22" t="s">
        <v>5154</v>
      </c>
      <c r="F1241" s="22" t="n">
        <v>13</v>
      </c>
      <c r="G1241" s="26" t="n">
        <v>109.5</v>
      </c>
      <c r="H1241" s="26" t="n">
        <v>120.52</v>
      </c>
      <c r="I1241" s="26" t="n">
        <v>142.56</v>
      </c>
      <c r="J1241" s="26" t="n">
        <v>153.58</v>
      </c>
      <c r="K1241" s="26" t="n">
        <v>170.11</v>
      </c>
      <c r="L1241" s="26" t="n">
        <v>2.06</v>
      </c>
      <c r="M1241" s="27" t="n">
        <v>0.005</v>
      </c>
      <c r="N1241" s="27" t="n">
        <v>0.002</v>
      </c>
      <c r="O1241" s="26" t="n">
        <v>5</v>
      </c>
      <c r="P1241" s="26" t="n">
        <v>5</v>
      </c>
      <c r="Q1241" s="28" t="n">
        <v>100</v>
      </c>
      <c r="R1241" s="26" t="n">
        <v>30</v>
      </c>
      <c r="S1241" s="26" t="n">
        <v>0</v>
      </c>
      <c r="T1241" s="28" t="n">
        <v>1</v>
      </c>
      <c r="U1241" s="26" t="n">
        <v>0</v>
      </c>
      <c r="V1241" s="26" t="n">
        <v>0</v>
      </c>
      <c r="W1241" s="22" t="s">
        <v>20</v>
      </c>
      <c r="X1241" s="22" t="s">
        <v>373</v>
      </c>
    </row>
    <row r="1242" customFormat="false" ht="15" hidden="false" customHeight="false" outlineLevel="0" collapsed="false">
      <c r="A1242" s="22" t="s">
        <v>5155</v>
      </c>
      <c r="B1242" s="22" t="s">
        <v>20</v>
      </c>
      <c r="C1242" s="22" t="s">
        <v>5156</v>
      </c>
      <c r="D1242" s="22" t="s">
        <v>5157</v>
      </c>
      <c r="E1242" s="22" t="s">
        <v>5158</v>
      </c>
      <c r="F1242" s="22" t="n">
        <v>13</v>
      </c>
      <c r="G1242" s="26" t="n">
        <v>109.5</v>
      </c>
      <c r="H1242" s="26" t="n">
        <v>120.52</v>
      </c>
      <c r="I1242" s="26" t="n">
        <v>142.56</v>
      </c>
      <c r="J1242" s="26" t="n">
        <v>153.58</v>
      </c>
      <c r="K1242" s="26" t="n">
        <v>170.11</v>
      </c>
      <c r="L1242" s="26" t="n">
        <v>2.06</v>
      </c>
      <c r="M1242" s="27" t="n">
        <v>0.005</v>
      </c>
      <c r="N1242" s="27" t="n">
        <v>0.002</v>
      </c>
      <c r="O1242" s="26" t="n">
        <v>5</v>
      </c>
      <c r="P1242" s="26" t="n">
        <v>5</v>
      </c>
      <c r="Q1242" s="28" t="n">
        <v>100</v>
      </c>
      <c r="R1242" s="26" t="n">
        <v>30</v>
      </c>
      <c r="S1242" s="26" t="n">
        <v>0</v>
      </c>
      <c r="T1242" s="28" t="n">
        <v>1</v>
      </c>
      <c r="U1242" s="26" t="n">
        <v>0</v>
      </c>
      <c r="V1242" s="26" t="n">
        <v>0</v>
      </c>
      <c r="W1242" s="22" t="s">
        <v>20</v>
      </c>
      <c r="X1242" s="22" t="s">
        <v>373</v>
      </c>
    </row>
    <row r="1243" customFormat="false" ht="15" hidden="false" customHeight="false" outlineLevel="0" collapsed="false">
      <c r="A1243" s="22" t="s">
        <v>5159</v>
      </c>
      <c r="B1243" s="22" t="s">
        <v>20</v>
      </c>
      <c r="C1243" s="22" t="s">
        <v>5160</v>
      </c>
      <c r="D1243" s="22" t="s">
        <v>5161</v>
      </c>
      <c r="E1243" s="22" t="s">
        <v>5162</v>
      </c>
      <c r="F1243" s="22" t="n">
        <v>13</v>
      </c>
      <c r="G1243" s="26" t="n">
        <v>109.5</v>
      </c>
      <c r="H1243" s="26" t="n">
        <v>120.52</v>
      </c>
      <c r="I1243" s="26" t="n">
        <v>142.56</v>
      </c>
      <c r="J1243" s="26" t="n">
        <v>153.58</v>
      </c>
      <c r="K1243" s="26" t="n">
        <v>170.11</v>
      </c>
      <c r="L1243" s="26" t="n">
        <v>2.06</v>
      </c>
      <c r="M1243" s="27" t="n">
        <v>0.005</v>
      </c>
      <c r="N1243" s="27" t="n">
        <v>0.002</v>
      </c>
      <c r="O1243" s="26" t="n">
        <v>5</v>
      </c>
      <c r="P1243" s="26" t="n">
        <v>5</v>
      </c>
      <c r="Q1243" s="28" t="n">
        <v>100</v>
      </c>
      <c r="R1243" s="26" t="n">
        <v>30</v>
      </c>
      <c r="S1243" s="26" t="n">
        <v>0</v>
      </c>
      <c r="T1243" s="28" t="n">
        <v>1</v>
      </c>
      <c r="U1243" s="26" t="n">
        <v>0</v>
      </c>
      <c r="V1243" s="26" t="n">
        <v>0</v>
      </c>
      <c r="W1243" s="22" t="s">
        <v>20</v>
      </c>
      <c r="X1243" s="22" t="s">
        <v>373</v>
      </c>
    </row>
    <row r="1244" customFormat="false" ht="15" hidden="false" customHeight="false" outlineLevel="0" collapsed="false">
      <c r="A1244" s="22" t="s">
        <v>5163</v>
      </c>
      <c r="B1244" s="22" t="s">
        <v>20</v>
      </c>
      <c r="C1244" s="22" t="s">
        <v>5164</v>
      </c>
      <c r="D1244" s="22" t="s">
        <v>5165</v>
      </c>
      <c r="E1244" s="22" t="s">
        <v>5166</v>
      </c>
      <c r="F1244" s="22" t="n">
        <v>13</v>
      </c>
      <c r="G1244" s="26" t="n">
        <v>109.5</v>
      </c>
      <c r="H1244" s="26" t="n">
        <v>120.52</v>
      </c>
      <c r="I1244" s="26" t="n">
        <v>142.56</v>
      </c>
      <c r="J1244" s="26" t="n">
        <v>153.58</v>
      </c>
      <c r="K1244" s="26" t="n">
        <v>170.11</v>
      </c>
      <c r="L1244" s="26" t="n">
        <v>2.06</v>
      </c>
      <c r="M1244" s="27" t="n">
        <v>0.005</v>
      </c>
      <c r="N1244" s="27" t="n">
        <v>0.002</v>
      </c>
      <c r="O1244" s="26" t="n">
        <v>5</v>
      </c>
      <c r="P1244" s="26" t="n">
        <v>5</v>
      </c>
      <c r="Q1244" s="28" t="n">
        <v>100</v>
      </c>
      <c r="R1244" s="26" t="n">
        <v>30</v>
      </c>
      <c r="S1244" s="26" t="n">
        <v>0</v>
      </c>
      <c r="T1244" s="28" t="n">
        <v>1</v>
      </c>
      <c r="U1244" s="26" t="n">
        <v>0</v>
      </c>
      <c r="V1244" s="26" t="n">
        <v>0</v>
      </c>
      <c r="W1244" s="22" t="s">
        <v>20</v>
      </c>
      <c r="X1244" s="22" t="s">
        <v>373</v>
      </c>
    </row>
    <row r="1245" customFormat="false" ht="15" hidden="false" customHeight="false" outlineLevel="0" collapsed="false">
      <c r="A1245" s="22" t="s">
        <v>5167</v>
      </c>
      <c r="B1245" s="22" t="s">
        <v>20</v>
      </c>
      <c r="C1245" s="22" t="s">
        <v>5168</v>
      </c>
      <c r="D1245" s="22" t="s">
        <v>5169</v>
      </c>
      <c r="E1245" s="22" t="s">
        <v>5170</v>
      </c>
      <c r="F1245" s="22" t="n">
        <v>13</v>
      </c>
      <c r="G1245" s="26" t="n">
        <v>109.5</v>
      </c>
      <c r="H1245" s="26" t="n">
        <v>120.52</v>
      </c>
      <c r="I1245" s="26" t="n">
        <v>142.56</v>
      </c>
      <c r="J1245" s="26" t="n">
        <v>153.58</v>
      </c>
      <c r="K1245" s="26" t="n">
        <v>170.11</v>
      </c>
      <c r="L1245" s="26" t="n">
        <v>2.06</v>
      </c>
      <c r="M1245" s="27" t="n">
        <v>0.005</v>
      </c>
      <c r="N1245" s="27" t="n">
        <v>0.002</v>
      </c>
      <c r="O1245" s="26" t="n">
        <v>5</v>
      </c>
      <c r="P1245" s="26" t="n">
        <v>5</v>
      </c>
      <c r="Q1245" s="28" t="n">
        <v>100</v>
      </c>
      <c r="R1245" s="26" t="n">
        <v>30</v>
      </c>
      <c r="S1245" s="26" t="n">
        <v>0</v>
      </c>
      <c r="T1245" s="28" t="n">
        <v>1</v>
      </c>
      <c r="U1245" s="26" t="n">
        <v>0</v>
      </c>
      <c r="V1245" s="26" t="n">
        <v>0</v>
      </c>
      <c r="W1245" s="22" t="s">
        <v>20</v>
      </c>
      <c r="X1245" s="22" t="s">
        <v>373</v>
      </c>
    </row>
    <row r="1246" customFormat="false" ht="15" hidden="false" customHeight="false" outlineLevel="0" collapsed="false">
      <c r="A1246" s="22" t="s">
        <v>5171</v>
      </c>
      <c r="B1246" s="22" t="s">
        <v>20</v>
      </c>
      <c r="C1246" s="22" t="s">
        <v>5172</v>
      </c>
      <c r="D1246" s="22" t="s">
        <v>5173</v>
      </c>
      <c r="E1246" s="22" t="s">
        <v>5174</v>
      </c>
      <c r="F1246" s="22" t="n">
        <v>13</v>
      </c>
      <c r="G1246" s="26" t="n">
        <v>109.5</v>
      </c>
      <c r="H1246" s="26" t="n">
        <v>120.52</v>
      </c>
      <c r="I1246" s="26" t="n">
        <v>142.56</v>
      </c>
      <c r="J1246" s="26" t="n">
        <v>153.58</v>
      </c>
      <c r="K1246" s="26" t="n">
        <v>170.11</v>
      </c>
      <c r="L1246" s="26" t="n">
        <v>2.06</v>
      </c>
      <c r="M1246" s="27" t="n">
        <v>0.005</v>
      </c>
      <c r="N1246" s="27" t="n">
        <v>0.002</v>
      </c>
      <c r="O1246" s="26" t="n">
        <v>5</v>
      </c>
      <c r="P1246" s="26" t="n">
        <v>5</v>
      </c>
      <c r="Q1246" s="28" t="n">
        <v>100</v>
      </c>
      <c r="R1246" s="26" t="n">
        <v>30</v>
      </c>
      <c r="S1246" s="26" t="n">
        <v>0</v>
      </c>
      <c r="T1246" s="28" t="n">
        <v>1</v>
      </c>
      <c r="U1246" s="26" t="n">
        <v>0</v>
      </c>
      <c r="V1246" s="26" t="n">
        <v>0</v>
      </c>
      <c r="W1246" s="22" t="s">
        <v>20</v>
      </c>
      <c r="X1246" s="22" t="s">
        <v>373</v>
      </c>
    </row>
    <row r="1247" customFormat="false" ht="15" hidden="false" customHeight="false" outlineLevel="0" collapsed="false">
      <c r="A1247" s="22" t="s">
        <v>5175</v>
      </c>
      <c r="B1247" s="22" t="s">
        <v>20</v>
      </c>
      <c r="C1247" s="22" t="s">
        <v>5176</v>
      </c>
      <c r="D1247" s="22" t="s">
        <v>5177</v>
      </c>
      <c r="E1247" s="22" t="s">
        <v>5178</v>
      </c>
      <c r="F1247" s="22" t="n">
        <v>13</v>
      </c>
      <c r="G1247" s="26" t="n">
        <v>109.5</v>
      </c>
      <c r="H1247" s="26" t="n">
        <v>120.52</v>
      </c>
      <c r="I1247" s="26" t="n">
        <v>142.56</v>
      </c>
      <c r="J1247" s="26" t="n">
        <v>153.58</v>
      </c>
      <c r="K1247" s="26" t="n">
        <v>170.11</v>
      </c>
      <c r="L1247" s="26" t="n">
        <v>2.06</v>
      </c>
      <c r="M1247" s="27" t="n">
        <v>0.005</v>
      </c>
      <c r="N1247" s="27" t="n">
        <v>0.002</v>
      </c>
      <c r="O1247" s="26" t="n">
        <v>5</v>
      </c>
      <c r="P1247" s="26" t="n">
        <v>5</v>
      </c>
      <c r="Q1247" s="28" t="n">
        <v>100</v>
      </c>
      <c r="R1247" s="26" t="n">
        <v>30</v>
      </c>
      <c r="S1247" s="26" t="n">
        <v>0</v>
      </c>
      <c r="T1247" s="28" t="n">
        <v>1</v>
      </c>
      <c r="U1247" s="26" t="n">
        <v>0</v>
      </c>
      <c r="V1247" s="26" t="n">
        <v>0</v>
      </c>
      <c r="W1247" s="22" t="s">
        <v>20</v>
      </c>
      <c r="X1247" s="22" t="s">
        <v>373</v>
      </c>
    </row>
    <row r="1248" customFormat="false" ht="15" hidden="false" customHeight="false" outlineLevel="0" collapsed="false">
      <c r="A1248" s="22" t="s">
        <v>5179</v>
      </c>
      <c r="B1248" s="22" t="s">
        <v>20</v>
      </c>
      <c r="C1248" s="22" t="s">
        <v>5180</v>
      </c>
      <c r="D1248" s="22" t="s">
        <v>5181</v>
      </c>
      <c r="E1248" s="22" t="s">
        <v>5182</v>
      </c>
      <c r="F1248" s="22" t="n">
        <v>13</v>
      </c>
      <c r="G1248" s="26" t="n">
        <v>109.5</v>
      </c>
      <c r="H1248" s="26" t="n">
        <v>120.52</v>
      </c>
      <c r="I1248" s="26" t="n">
        <v>142.56</v>
      </c>
      <c r="J1248" s="26" t="n">
        <v>153.58</v>
      </c>
      <c r="K1248" s="26" t="n">
        <v>170.11</v>
      </c>
      <c r="L1248" s="26" t="n">
        <v>2.06</v>
      </c>
      <c r="M1248" s="27" t="n">
        <v>0.005</v>
      </c>
      <c r="N1248" s="27" t="n">
        <v>0.002</v>
      </c>
      <c r="O1248" s="26" t="n">
        <v>5</v>
      </c>
      <c r="P1248" s="26" t="n">
        <v>5</v>
      </c>
      <c r="Q1248" s="28" t="n">
        <v>100</v>
      </c>
      <c r="R1248" s="26" t="n">
        <v>30</v>
      </c>
      <c r="S1248" s="26" t="n">
        <v>0</v>
      </c>
      <c r="T1248" s="28" t="n">
        <v>1</v>
      </c>
      <c r="U1248" s="26" t="n">
        <v>0</v>
      </c>
      <c r="V1248" s="26" t="n">
        <v>0</v>
      </c>
      <c r="W1248" s="22" t="s">
        <v>20</v>
      </c>
      <c r="X1248" s="22" t="s">
        <v>373</v>
      </c>
    </row>
    <row r="1249" customFormat="false" ht="15" hidden="false" customHeight="false" outlineLevel="0" collapsed="false">
      <c r="A1249" s="22" t="s">
        <v>5183</v>
      </c>
      <c r="B1249" s="22" t="s">
        <v>20</v>
      </c>
      <c r="C1249" s="22" t="s">
        <v>1561</v>
      </c>
      <c r="D1249" s="22" t="s">
        <v>5184</v>
      </c>
      <c r="E1249" s="22" t="s">
        <v>5185</v>
      </c>
      <c r="F1249" s="22" t="n">
        <v>11</v>
      </c>
      <c r="G1249" s="26" t="n">
        <v>109.5</v>
      </c>
      <c r="H1249" s="26" t="n">
        <v>120.52</v>
      </c>
      <c r="I1249" s="26" t="n">
        <v>142.56</v>
      </c>
      <c r="J1249" s="26" t="n">
        <v>153.58</v>
      </c>
      <c r="K1249" s="26" t="n">
        <v>170.11</v>
      </c>
      <c r="L1249" s="26" t="n">
        <v>2.06</v>
      </c>
      <c r="M1249" s="27" t="n">
        <v>0.005</v>
      </c>
      <c r="N1249" s="27" t="n">
        <v>0.002</v>
      </c>
      <c r="O1249" s="26" t="n">
        <v>5</v>
      </c>
      <c r="P1249" s="26" t="n">
        <v>5</v>
      </c>
      <c r="Q1249" s="28" t="n">
        <v>100</v>
      </c>
      <c r="R1249" s="26" t="n">
        <v>30</v>
      </c>
      <c r="S1249" s="26" t="n">
        <v>0</v>
      </c>
      <c r="T1249" s="28" t="n">
        <v>1</v>
      </c>
      <c r="U1249" s="26" t="n">
        <v>0</v>
      </c>
      <c r="V1249" s="26" t="n">
        <v>0</v>
      </c>
      <c r="W1249" s="22" t="s">
        <v>20</v>
      </c>
      <c r="X1249" s="22" t="s">
        <v>373</v>
      </c>
    </row>
    <row r="1250" customFormat="false" ht="15" hidden="false" customHeight="false" outlineLevel="0" collapsed="false">
      <c r="A1250" s="22" t="s">
        <v>5186</v>
      </c>
      <c r="B1250" s="22" t="s">
        <v>20</v>
      </c>
      <c r="C1250" s="22" t="s">
        <v>5187</v>
      </c>
      <c r="D1250" s="22" t="s">
        <v>5188</v>
      </c>
      <c r="E1250" s="22" t="s">
        <v>5189</v>
      </c>
      <c r="F1250" s="22" t="n">
        <v>13</v>
      </c>
      <c r="G1250" s="26" t="n">
        <v>109.5</v>
      </c>
      <c r="H1250" s="26" t="n">
        <v>120.52</v>
      </c>
      <c r="I1250" s="26" t="n">
        <v>142.56</v>
      </c>
      <c r="J1250" s="26" t="n">
        <v>153.58</v>
      </c>
      <c r="K1250" s="26" t="n">
        <v>170.11</v>
      </c>
      <c r="L1250" s="26" t="n">
        <v>2.06</v>
      </c>
      <c r="M1250" s="27" t="n">
        <v>0.005</v>
      </c>
      <c r="N1250" s="27" t="n">
        <v>0.002</v>
      </c>
      <c r="O1250" s="26" t="n">
        <v>5</v>
      </c>
      <c r="P1250" s="26" t="n">
        <v>5</v>
      </c>
      <c r="Q1250" s="28" t="n">
        <v>100</v>
      </c>
      <c r="R1250" s="26" t="n">
        <v>30</v>
      </c>
      <c r="S1250" s="26" t="n">
        <v>0</v>
      </c>
      <c r="T1250" s="28" t="n">
        <v>1</v>
      </c>
      <c r="U1250" s="26" t="n">
        <v>0</v>
      </c>
      <c r="V1250" s="26" t="n">
        <v>0</v>
      </c>
      <c r="W1250" s="22" t="s">
        <v>20</v>
      </c>
      <c r="X1250" s="22" t="s">
        <v>373</v>
      </c>
    </row>
    <row r="1251" customFormat="false" ht="15" hidden="false" customHeight="false" outlineLevel="0" collapsed="false">
      <c r="A1251" s="22" t="s">
        <v>5190</v>
      </c>
      <c r="B1251" s="22" t="s">
        <v>20</v>
      </c>
      <c r="C1251" s="22" t="s">
        <v>5191</v>
      </c>
      <c r="D1251" s="22" t="s">
        <v>5192</v>
      </c>
      <c r="E1251" s="22" t="s">
        <v>5193</v>
      </c>
      <c r="F1251" s="22" t="n">
        <v>13</v>
      </c>
      <c r="G1251" s="26" t="n">
        <v>109.5</v>
      </c>
      <c r="H1251" s="26" t="n">
        <v>120.52</v>
      </c>
      <c r="I1251" s="26" t="n">
        <v>142.56</v>
      </c>
      <c r="J1251" s="26" t="n">
        <v>153.58</v>
      </c>
      <c r="K1251" s="26" t="n">
        <v>170.11</v>
      </c>
      <c r="L1251" s="26" t="n">
        <v>2.06</v>
      </c>
      <c r="M1251" s="27" t="n">
        <v>0.005</v>
      </c>
      <c r="N1251" s="27" t="n">
        <v>0.002</v>
      </c>
      <c r="O1251" s="26" t="n">
        <v>5</v>
      </c>
      <c r="P1251" s="26" t="n">
        <v>5</v>
      </c>
      <c r="Q1251" s="28" t="n">
        <v>100</v>
      </c>
      <c r="R1251" s="26" t="n">
        <v>30</v>
      </c>
      <c r="S1251" s="26" t="n">
        <v>0</v>
      </c>
      <c r="T1251" s="28" t="n">
        <v>1</v>
      </c>
      <c r="U1251" s="26" t="n">
        <v>0</v>
      </c>
      <c r="V1251" s="26" t="n">
        <v>0</v>
      </c>
      <c r="W1251" s="22" t="s">
        <v>20</v>
      </c>
      <c r="X1251" s="22" t="s">
        <v>373</v>
      </c>
    </row>
    <row r="1252" customFormat="false" ht="15" hidden="false" customHeight="false" outlineLevel="0" collapsed="false">
      <c r="A1252" s="22" t="s">
        <v>5194</v>
      </c>
      <c r="B1252" s="22" t="s">
        <v>20</v>
      </c>
      <c r="C1252" s="22" t="s">
        <v>5195</v>
      </c>
      <c r="D1252" s="22" t="s">
        <v>5196</v>
      </c>
      <c r="E1252" s="22" t="s">
        <v>5197</v>
      </c>
      <c r="F1252" s="22" t="n">
        <v>13</v>
      </c>
      <c r="G1252" s="26" t="n">
        <v>109.5</v>
      </c>
      <c r="H1252" s="26" t="n">
        <v>120.52</v>
      </c>
      <c r="I1252" s="26" t="n">
        <v>142.56</v>
      </c>
      <c r="J1252" s="26" t="n">
        <v>153.58</v>
      </c>
      <c r="K1252" s="26" t="n">
        <v>170.11</v>
      </c>
      <c r="L1252" s="26" t="n">
        <v>2.06</v>
      </c>
      <c r="M1252" s="27" t="n">
        <v>0.005</v>
      </c>
      <c r="N1252" s="27" t="n">
        <v>0.002</v>
      </c>
      <c r="O1252" s="26" t="n">
        <v>5</v>
      </c>
      <c r="P1252" s="26" t="n">
        <v>5</v>
      </c>
      <c r="Q1252" s="28" t="n">
        <v>100</v>
      </c>
      <c r="R1252" s="26" t="n">
        <v>30</v>
      </c>
      <c r="S1252" s="26" t="n">
        <v>0</v>
      </c>
      <c r="T1252" s="28" t="n">
        <v>1</v>
      </c>
      <c r="U1252" s="26" t="n">
        <v>0</v>
      </c>
      <c r="V1252" s="26" t="n">
        <v>0</v>
      </c>
      <c r="W1252" s="22" t="s">
        <v>20</v>
      </c>
      <c r="X1252" s="22" t="s">
        <v>373</v>
      </c>
    </row>
    <row r="1253" customFormat="false" ht="15" hidden="false" customHeight="false" outlineLevel="0" collapsed="false">
      <c r="A1253" s="22" t="s">
        <v>5198</v>
      </c>
      <c r="B1253" s="22" t="s">
        <v>20</v>
      </c>
      <c r="C1253" s="22" t="s">
        <v>5199</v>
      </c>
      <c r="D1253" s="22" t="s">
        <v>5200</v>
      </c>
      <c r="E1253" s="22" t="s">
        <v>5201</v>
      </c>
      <c r="F1253" s="22" t="n">
        <v>13</v>
      </c>
      <c r="G1253" s="26" t="n">
        <v>109.5</v>
      </c>
      <c r="H1253" s="26" t="n">
        <v>120.52</v>
      </c>
      <c r="I1253" s="26" t="n">
        <v>142.56</v>
      </c>
      <c r="J1253" s="26" t="n">
        <v>153.58</v>
      </c>
      <c r="K1253" s="26" t="n">
        <v>170.11</v>
      </c>
      <c r="L1253" s="26" t="n">
        <v>2.06</v>
      </c>
      <c r="M1253" s="27" t="n">
        <v>0.005</v>
      </c>
      <c r="N1253" s="27" t="n">
        <v>0.002</v>
      </c>
      <c r="O1253" s="26" t="n">
        <v>5</v>
      </c>
      <c r="P1253" s="26" t="n">
        <v>5</v>
      </c>
      <c r="Q1253" s="28" t="n">
        <v>100</v>
      </c>
      <c r="R1253" s="26" t="n">
        <v>30</v>
      </c>
      <c r="S1253" s="26" t="n">
        <v>0</v>
      </c>
      <c r="T1253" s="28" t="n">
        <v>1</v>
      </c>
      <c r="U1253" s="26" t="n">
        <v>0</v>
      </c>
      <c r="V1253" s="26" t="n">
        <v>0</v>
      </c>
      <c r="W1253" s="22" t="s">
        <v>20</v>
      </c>
      <c r="X1253" s="22" t="s">
        <v>373</v>
      </c>
    </row>
    <row r="1254" customFormat="false" ht="15" hidden="false" customHeight="false" outlineLevel="0" collapsed="false">
      <c r="A1254" s="22" t="s">
        <v>5202</v>
      </c>
      <c r="B1254" s="22" t="s">
        <v>20</v>
      </c>
      <c r="C1254" s="22" t="s">
        <v>3540</v>
      </c>
      <c r="D1254" s="22" t="s">
        <v>5203</v>
      </c>
      <c r="E1254" s="22" t="s">
        <v>5204</v>
      </c>
      <c r="F1254" s="22" t="n">
        <v>17</v>
      </c>
      <c r="G1254" s="26" t="n">
        <v>109.5</v>
      </c>
      <c r="H1254" s="26" t="n">
        <v>120.52</v>
      </c>
      <c r="I1254" s="26" t="n">
        <v>142.56</v>
      </c>
      <c r="J1254" s="26" t="n">
        <v>153.58</v>
      </c>
      <c r="K1254" s="26" t="n">
        <v>170.11</v>
      </c>
      <c r="L1254" s="26" t="n">
        <v>2.06</v>
      </c>
      <c r="M1254" s="27" t="n">
        <v>0.005</v>
      </c>
      <c r="N1254" s="27" t="n">
        <v>0.002</v>
      </c>
      <c r="O1254" s="26" t="n">
        <v>5</v>
      </c>
      <c r="P1254" s="26" t="n">
        <v>5</v>
      </c>
      <c r="Q1254" s="28" t="n">
        <v>100</v>
      </c>
      <c r="R1254" s="26" t="n">
        <v>30</v>
      </c>
      <c r="S1254" s="26" t="n">
        <v>0</v>
      </c>
      <c r="T1254" s="28" t="n">
        <v>1</v>
      </c>
      <c r="U1254" s="26" t="n">
        <v>0</v>
      </c>
      <c r="V1254" s="26" t="n">
        <v>0</v>
      </c>
      <c r="W1254" s="22" t="s">
        <v>20</v>
      </c>
      <c r="X1254" s="22" t="s">
        <v>373</v>
      </c>
    </row>
    <row r="1255" customFormat="false" ht="15" hidden="false" customHeight="false" outlineLevel="0" collapsed="false">
      <c r="A1255" s="22" t="s">
        <v>5205</v>
      </c>
      <c r="B1255" s="22" t="s">
        <v>20</v>
      </c>
      <c r="C1255" s="22" t="s">
        <v>5206</v>
      </c>
      <c r="D1255" s="22" t="s">
        <v>5207</v>
      </c>
      <c r="E1255" s="22" t="s">
        <v>5208</v>
      </c>
      <c r="F1255" s="22" t="n">
        <v>13</v>
      </c>
      <c r="G1255" s="26" t="n">
        <v>109.5</v>
      </c>
      <c r="H1255" s="26" t="n">
        <v>120.52</v>
      </c>
      <c r="I1255" s="26" t="n">
        <v>142.56</v>
      </c>
      <c r="J1255" s="26" t="n">
        <v>153.58</v>
      </c>
      <c r="K1255" s="26" t="n">
        <v>170.11</v>
      </c>
      <c r="L1255" s="26" t="n">
        <v>2.06</v>
      </c>
      <c r="M1255" s="27" t="n">
        <v>0.005</v>
      </c>
      <c r="N1255" s="27" t="n">
        <v>0.002</v>
      </c>
      <c r="O1255" s="26" t="n">
        <v>5</v>
      </c>
      <c r="P1255" s="26" t="n">
        <v>5</v>
      </c>
      <c r="Q1255" s="28" t="n">
        <v>100</v>
      </c>
      <c r="R1255" s="26" t="n">
        <v>30</v>
      </c>
      <c r="S1255" s="26" t="n">
        <v>0</v>
      </c>
      <c r="T1255" s="28" t="n">
        <v>1</v>
      </c>
      <c r="U1255" s="26" t="n">
        <v>0</v>
      </c>
      <c r="V1255" s="26" t="n">
        <v>0</v>
      </c>
      <c r="W1255" s="22" t="s">
        <v>20</v>
      </c>
      <c r="X1255" s="22" t="s">
        <v>373</v>
      </c>
    </row>
    <row r="1256" customFormat="false" ht="15" hidden="false" customHeight="false" outlineLevel="0" collapsed="false">
      <c r="A1256" s="22" t="s">
        <v>5209</v>
      </c>
      <c r="B1256" s="22" t="s">
        <v>20</v>
      </c>
      <c r="C1256" s="22" t="s">
        <v>5210</v>
      </c>
      <c r="D1256" s="22" t="s">
        <v>5211</v>
      </c>
      <c r="E1256" s="22" t="s">
        <v>5212</v>
      </c>
      <c r="F1256" s="22" t="n">
        <v>13</v>
      </c>
      <c r="G1256" s="26" t="n">
        <v>109.5</v>
      </c>
      <c r="H1256" s="26" t="n">
        <v>120.52</v>
      </c>
      <c r="I1256" s="26" t="n">
        <v>142.56</v>
      </c>
      <c r="J1256" s="26" t="n">
        <v>153.58</v>
      </c>
      <c r="K1256" s="26" t="n">
        <v>170.11</v>
      </c>
      <c r="L1256" s="26" t="n">
        <v>2.06</v>
      </c>
      <c r="M1256" s="27" t="n">
        <v>0.005</v>
      </c>
      <c r="N1256" s="27" t="n">
        <v>0.002</v>
      </c>
      <c r="O1256" s="26" t="n">
        <v>5</v>
      </c>
      <c r="P1256" s="26" t="n">
        <v>5</v>
      </c>
      <c r="Q1256" s="28" t="n">
        <v>100</v>
      </c>
      <c r="R1256" s="26" t="n">
        <v>30</v>
      </c>
      <c r="S1256" s="26" t="n">
        <v>0</v>
      </c>
      <c r="T1256" s="28" t="n">
        <v>1</v>
      </c>
      <c r="U1256" s="26" t="n">
        <v>0</v>
      </c>
      <c r="V1256" s="26" t="n">
        <v>0</v>
      </c>
      <c r="W1256" s="22" t="s">
        <v>20</v>
      </c>
      <c r="X1256" s="22" t="s">
        <v>373</v>
      </c>
    </row>
    <row r="1257" customFormat="false" ht="15" hidden="false" customHeight="false" outlineLevel="0" collapsed="false">
      <c r="A1257" s="22" t="s">
        <v>5213</v>
      </c>
      <c r="B1257" s="22" t="s">
        <v>20</v>
      </c>
      <c r="C1257" s="22" t="s">
        <v>5214</v>
      </c>
      <c r="D1257" s="22" t="s">
        <v>5215</v>
      </c>
      <c r="E1257" s="22" t="s">
        <v>5216</v>
      </c>
      <c r="F1257" s="22" t="n">
        <v>13</v>
      </c>
      <c r="G1257" s="26" t="n">
        <v>109.5</v>
      </c>
      <c r="H1257" s="26" t="n">
        <v>120.52</v>
      </c>
      <c r="I1257" s="26" t="n">
        <v>142.56</v>
      </c>
      <c r="J1257" s="26" t="n">
        <v>153.58</v>
      </c>
      <c r="K1257" s="26" t="n">
        <v>170.11</v>
      </c>
      <c r="L1257" s="26" t="n">
        <v>2.06</v>
      </c>
      <c r="M1257" s="27" t="n">
        <v>0.005</v>
      </c>
      <c r="N1257" s="27" t="n">
        <v>0.002</v>
      </c>
      <c r="O1257" s="26" t="n">
        <v>5</v>
      </c>
      <c r="P1257" s="26" t="n">
        <v>5</v>
      </c>
      <c r="Q1257" s="28" t="n">
        <v>100</v>
      </c>
      <c r="R1257" s="26" t="n">
        <v>30</v>
      </c>
      <c r="S1257" s="26" t="n">
        <v>0</v>
      </c>
      <c r="T1257" s="28" t="n">
        <v>1</v>
      </c>
      <c r="U1257" s="26" t="n">
        <v>0</v>
      </c>
      <c r="V1257" s="26" t="n">
        <v>0</v>
      </c>
      <c r="W1257" s="22" t="s">
        <v>20</v>
      </c>
      <c r="X1257" s="22" t="s">
        <v>373</v>
      </c>
    </row>
    <row r="1258" customFormat="false" ht="15" hidden="false" customHeight="false" outlineLevel="0" collapsed="false">
      <c r="A1258" s="22" t="s">
        <v>5217</v>
      </c>
      <c r="B1258" s="22" t="s">
        <v>20</v>
      </c>
      <c r="C1258" s="22" t="s">
        <v>5218</v>
      </c>
      <c r="D1258" s="22" t="s">
        <v>5219</v>
      </c>
      <c r="E1258" s="22" t="s">
        <v>5220</v>
      </c>
      <c r="F1258" s="22" t="n">
        <v>13</v>
      </c>
      <c r="G1258" s="26" t="n">
        <v>109.5</v>
      </c>
      <c r="H1258" s="26" t="n">
        <v>120.52</v>
      </c>
      <c r="I1258" s="26" t="n">
        <v>142.56</v>
      </c>
      <c r="J1258" s="26" t="n">
        <v>153.58</v>
      </c>
      <c r="K1258" s="26" t="n">
        <v>170.11</v>
      </c>
      <c r="L1258" s="26" t="n">
        <v>2.06</v>
      </c>
      <c r="M1258" s="27" t="n">
        <v>0.005</v>
      </c>
      <c r="N1258" s="27" t="n">
        <v>0.002</v>
      </c>
      <c r="O1258" s="26" t="n">
        <v>5</v>
      </c>
      <c r="P1258" s="26" t="n">
        <v>5</v>
      </c>
      <c r="Q1258" s="28" t="n">
        <v>100</v>
      </c>
      <c r="R1258" s="26" t="n">
        <v>30</v>
      </c>
      <c r="S1258" s="26" t="n">
        <v>0</v>
      </c>
      <c r="T1258" s="28" t="n">
        <v>1</v>
      </c>
      <c r="U1258" s="26" t="n">
        <v>0</v>
      </c>
      <c r="V1258" s="26" t="n">
        <v>0</v>
      </c>
      <c r="W1258" s="22" t="s">
        <v>20</v>
      </c>
      <c r="X1258" s="22" t="s">
        <v>373</v>
      </c>
    </row>
    <row r="1259" customFormat="false" ht="15" hidden="false" customHeight="false" outlineLevel="0" collapsed="false">
      <c r="A1259" s="22" t="s">
        <v>5221</v>
      </c>
      <c r="B1259" s="22" t="s">
        <v>20</v>
      </c>
      <c r="C1259" s="22" t="s">
        <v>5222</v>
      </c>
      <c r="D1259" s="22" t="s">
        <v>5223</v>
      </c>
      <c r="E1259" s="22" t="s">
        <v>5224</v>
      </c>
      <c r="F1259" s="22" t="n">
        <v>13</v>
      </c>
      <c r="G1259" s="26" t="n">
        <v>109.5</v>
      </c>
      <c r="H1259" s="26" t="n">
        <v>120.52</v>
      </c>
      <c r="I1259" s="26" t="n">
        <v>142.56</v>
      </c>
      <c r="J1259" s="26" t="n">
        <v>153.58</v>
      </c>
      <c r="K1259" s="26" t="n">
        <v>170.11</v>
      </c>
      <c r="L1259" s="26" t="n">
        <v>2.06</v>
      </c>
      <c r="M1259" s="27" t="n">
        <v>0.005</v>
      </c>
      <c r="N1259" s="27" t="n">
        <v>0.002</v>
      </c>
      <c r="O1259" s="26" t="n">
        <v>5</v>
      </c>
      <c r="P1259" s="26" t="n">
        <v>5</v>
      </c>
      <c r="Q1259" s="28" t="n">
        <v>100</v>
      </c>
      <c r="R1259" s="26" t="n">
        <v>30</v>
      </c>
      <c r="S1259" s="26" t="n">
        <v>0</v>
      </c>
      <c r="T1259" s="28" t="n">
        <v>1</v>
      </c>
      <c r="U1259" s="26" t="n">
        <v>0</v>
      </c>
      <c r="V1259" s="26" t="n">
        <v>0</v>
      </c>
      <c r="W1259" s="22" t="s">
        <v>20</v>
      </c>
      <c r="X1259" s="22" t="s">
        <v>373</v>
      </c>
    </row>
    <row r="1260" customFormat="false" ht="15" hidden="false" customHeight="false" outlineLevel="0" collapsed="false">
      <c r="A1260" s="22" t="s">
        <v>5225</v>
      </c>
      <c r="B1260" s="22" t="s">
        <v>20</v>
      </c>
      <c r="C1260" s="22" t="s">
        <v>5226</v>
      </c>
      <c r="D1260" s="22" t="s">
        <v>5227</v>
      </c>
      <c r="E1260" s="22" t="s">
        <v>5228</v>
      </c>
      <c r="F1260" s="22" t="n">
        <v>13</v>
      </c>
      <c r="G1260" s="26" t="n">
        <v>109.5</v>
      </c>
      <c r="H1260" s="26" t="n">
        <v>120.52</v>
      </c>
      <c r="I1260" s="26" t="n">
        <v>142.56</v>
      </c>
      <c r="J1260" s="26" t="n">
        <v>153.58</v>
      </c>
      <c r="K1260" s="26" t="n">
        <v>170.11</v>
      </c>
      <c r="L1260" s="26" t="n">
        <v>2.06</v>
      </c>
      <c r="M1260" s="27" t="n">
        <v>0.005</v>
      </c>
      <c r="N1260" s="27" t="n">
        <v>0.002</v>
      </c>
      <c r="O1260" s="26" t="n">
        <v>5</v>
      </c>
      <c r="P1260" s="26" t="n">
        <v>5</v>
      </c>
      <c r="Q1260" s="28" t="n">
        <v>100</v>
      </c>
      <c r="R1260" s="26" t="n">
        <v>30</v>
      </c>
      <c r="S1260" s="26" t="n">
        <v>0</v>
      </c>
      <c r="T1260" s="28" t="n">
        <v>1</v>
      </c>
      <c r="U1260" s="26" t="n">
        <v>0</v>
      </c>
      <c r="V1260" s="26" t="n">
        <v>0</v>
      </c>
      <c r="W1260" s="22" t="s">
        <v>20</v>
      </c>
      <c r="X1260" s="22" t="s">
        <v>373</v>
      </c>
    </row>
    <row r="1261" customFormat="false" ht="15" hidden="false" customHeight="false" outlineLevel="0" collapsed="false">
      <c r="A1261" s="22" t="s">
        <v>5229</v>
      </c>
      <c r="B1261" s="22" t="s">
        <v>20</v>
      </c>
      <c r="C1261" s="22" t="s">
        <v>5230</v>
      </c>
      <c r="D1261" s="22" t="s">
        <v>5231</v>
      </c>
      <c r="E1261" s="22" t="s">
        <v>5232</v>
      </c>
      <c r="F1261" s="22" t="n">
        <v>13</v>
      </c>
      <c r="G1261" s="26" t="n">
        <v>109.5</v>
      </c>
      <c r="H1261" s="26" t="n">
        <v>120.52</v>
      </c>
      <c r="I1261" s="26" t="n">
        <v>142.56</v>
      </c>
      <c r="J1261" s="26" t="n">
        <v>153.58</v>
      </c>
      <c r="K1261" s="26" t="n">
        <v>170.11</v>
      </c>
      <c r="L1261" s="26" t="n">
        <v>2.06</v>
      </c>
      <c r="M1261" s="27" t="n">
        <v>0.005</v>
      </c>
      <c r="N1261" s="27" t="n">
        <v>0.002</v>
      </c>
      <c r="O1261" s="26" t="n">
        <v>5</v>
      </c>
      <c r="P1261" s="26" t="n">
        <v>5</v>
      </c>
      <c r="Q1261" s="28" t="n">
        <v>100</v>
      </c>
      <c r="R1261" s="26" t="n">
        <v>30</v>
      </c>
      <c r="S1261" s="26" t="n">
        <v>0</v>
      </c>
      <c r="T1261" s="28" t="n">
        <v>1</v>
      </c>
      <c r="U1261" s="26" t="n">
        <v>0</v>
      </c>
      <c r="V1261" s="26" t="n">
        <v>0</v>
      </c>
      <c r="W1261" s="22" t="s">
        <v>20</v>
      </c>
      <c r="X1261" s="22" t="s">
        <v>373</v>
      </c>
    </row>
    <row r="1262" customFormat="false" ht="15" hidden="false" customHeight="false" outlineLevel="0" collapsed="false">
      <c r="A1262" s="22" t="s">
        <v>5233</v>
      </c>
      <c r="B1262" s="22" t="s">
        <v>20</v>
      </c>
      <c r="C1262" s="22" t="s">
        <v>5234</v>
      </c>
      <c r="D1262" s="22" t="s">
        <v>5235</v>
      </c>
      <c r="E1262" s="22" t="s">
        <v>5236</v>
      </c>
      <c r="F1262" s="22" t="n">
        <v>13</v>
      </c>
      <c r="G1262" s="26" t="n">
        <v>109.5</v>
      </c>
      <c r="H1262" s="26" t="n">
        <v>120.52</v>
      </c>
      <c r="I1262" s="26" t="n">
        <v>142.56</v>
      </c>
      <c r="J1262" s="26" t="n">
        <v>153.58</v>
      </c>
      <c r="K1262" s="26" t="n">
        <v>170.11</v>
      </c>
      <c r="L1262" s="26" t="n">
        <v>2.06</v>
      </c>
      <c r="M1262" s="27" t="n">
        <v>0.005</v>
      </c>
      <c r="N1262" s="27" t="n">
        <v>0.002</v>
      </c>
      <c r="O1262" s="26" t="n">
        <v>5</v>
      </c>
      <c r="P1262" s="26" t="n">
        <v>5</v>
      </c>
      <c r="Q1262" s="28" t="n">
        <v>100</v>
      </c>
      <c r="R1262" s="26" t="n">
        <v>30</v>
      </c>
      <c r="S1262" s="26" t="n">
        <v>0</v>
      </c>
      <c r="T1262" s="28" t="n">
        <v>1</v>
      </c>
      <c r="U1262" s="26" t="n">
        <v>0</v>
      </c>
      <c r="V1262" s="26" t="n">
        <v>0</v>
      </c>
      <c r="W1262" s="22" t="s">
        <v>20</v>
      </c>
      <c r="X1262" s="22" t="s">
        <v>373</v>
      </c>
    </row>
    <row r="1263" customFormat="false" ht="15" hidden="false" customHeight="false" outlineLevel="0" collapsed="false">
      <c r="A1263" s="22" t="s">
        <v>5237</v>
      </c>
      <c r="B1263" s="22" t="s">
        <v>20</v>
      </c>
      <c r="C1263" s="22" t="s">
        <v>5238</v>
      </c>
      <c r="D1263" s="22" t="s">
        <v>5239</v>
      </c>
      <c r="E1263" s="22" t="s">
        <v>5240</v>
      </c>
      <c r="F1263" s="22" t="n">
        <v>13</v>
      </c>
      <c r="G1263" s="26" t="n">
        <v>109.5</v>
      </c>
      <c r="H1263" s="26" t="n">
        <v>120.52</v>
      </c>
      <c r="I1263" s="26" t="n">
        <v>142.56</v>
      </c>
      <c r="J1263" s="26" t="n">
        <v>153.58</v>
      </c>
      <c r="K1263" s="26" t="n">
        <v>170.11</v>
      </c>
      <c r="L1263" s="26" t="n">
        <v>2.06</v>
      </c>
      <c r="M1263" s="27" t="n">
        <v>0.005</v>
      </c>
      <c r="N1263" s="27" t="n">
        <v>0.002</v>
      </c>
      <c r="O1263" s="26" t="n">
        <v>5</v>
      </c>
      <c r="P1263" s="26" t="n">
        <v>5</v>
      </c>
      <c r="Q1263" s="28" t="n">
        <v>100</v>
      </c>
      <c r="R1263" s="26" t="n">
        <v>30</v>
      </c>
      <c r="S1263" s="26" t="n">
        <v>0</v>
      </c>
      <c r="T1263" s="28" t="n">
        <v>1</v>
      </c>
      <c r="U1263" s="26" t="n">
        <v>0</v>
      </c>
      <c r="V1263" s="26" t="n">
        <v>0</v>
      </c>
      <c r="W1263" s="22" t="s">
        <v>20</v>
      </c>
      <c r="X1263" s="22" t="s">
        <v>373</v>
      </c>
    </row>
    <row r="1264" customFormat="false" ht="15" hidden="false" customHeight="false" outlineLevel="0" collapsed="false">
      <c r="A1264" s="22" t="s">
        <v>5241</v>
      </c>
      <c r="B1264" s="22" t="s">
        <v>20</v>
      </c>
      <c r="C1264" s="22" t="s">
        <v>5242</v>
      </c>
      <c r="D1264" s="22" t="s">
        <v>5243</v>
      </c>
      <c r="E1264" s="22" t="s">
        <v>5244</v>
      </c>
      <c r="F1264" s="22" t="n">
        <v>13</v>
      </c>
      <c r="G1264" s="26" t="n">
        <v>109.5</v>
      </c>
      <c r="H1264" s="26" t="n">
        <v>120.52</v>
      </c>
      <c r="I1264" s="26" t="n">
        <v>142.56</v>
      </c>
      <c r="J1264" s="26" t="n">
        <v>153.58</v>
      </c>
      <c r="K1264" s="26" t="n">
        <v>170.11</v>
      </c>
      <c r="L1264" s="26" t="n">
        <v>2.06</v>
      </c>
      <c r="M1264" s="27" t="n">
        <v>0.005</v>
      </c>
      <c r="N1264" s="27" t="n">
        <v>0.002</v>
      </c>
      <c r="O1264" s="26" t="n">
        <v>5</v>
      </c>
      <c r="P1264" s="26" t="n">
        <v>5</v>
      </c>
      <c r="Q1264" s="28" t="n">
        <v>100</v>
      </c>
      <c r="R1264" s="26" t="n">
        <v>30</v>
      </c>
      <c r="S1264" s="26" t="n">
        <v>0</v>
      </c>
      <c r="T1264" s="28" t="n">
        <v>1</v>
      </c>
      <c r="U1264" s="26" t="n">
        <v>0</v>
      </c>
      <c r="V1264" s="26" t="n">
        <v>0</v>
      </c>
      <c r="W1264" s="22" t="s">
        <v>20</v>
      </c>
      <c r="X1264" s="22" t="s">
        <v>373</v>
      </c>
    </row>
    <row r="1265" customFormat="false" ht="15" hidden="false" customHeight="false" outlineLevel="0" collapsed="false">
      <c r="A1265" s="22" t="s">
        <v>5245</v>
      </c>
      <c r="B1265" s="22" t="s">
        <v>20</v>
      </c>
      <c r="C1265" s="22" t="s">
        <v>5246</v>
      </c>
      <c r="D1265" s="22" t="s">
        <v>5247</v>
      </c>
      <c r="E1265" s="22" t="s">
        <v>5248</v>
      </c>
      <c r="F1265" s="22" t="n">
        <v>13</v>
      </c>
      <c r="G1265" s="26" t="n">
        <v>109.5</v>
      </c>
      <c r="H1265" s="26" t="n">
        <v>120.52</v>
      </c>
      <c r="I1265" s="26" t="n">
        <v>142.56</v>
      </c>
      <c r="J1265" s="26" t="n">
        <v>153.58</v>
      </c>
      <c r="K1265" s="26" t="n">
        <v>170.11</v>
      </c>
      <c r="L1265" s="26" t="n">
        <v>2.06</v>
      </c>
      <c r="M1265" s="27" t="n">
        <v>0.005</v>
      </c>
      <c r="N1265" s="27" t="n">
        <v>0.002</v>
      </c>
      <c r="O1265" s="26" t="n">
        <v>5</v>
      </c>
      <c r="P1265" s="26" t="n">
        <v>5</v>
      </c>
      <c r="Q1265" s="28" t="n">
        <v>100</v>
      </c>
      <c r="R1265" s="26" t="n">
        <v>30</v>
      </c>
      <c r="S1265" s="26" t="n">
        <v>0</v>
      </c>
      <c r="T1265" s="28" t="n">
        <v>1</v>
      </c>
      <c r="U1265" s="26" t="n">
        <v>0</v>
      </c>
      <c r="V1265" s="26" t="n">
        <v>0</v>
      </c>
      <c r="W1265" s="22" t="s">
        <v>20</v>
      </c>
      <c r="X1265" s="22" t="s">
        <v>373</v>
      </c>
    </row>
    <row r="1266" customFormat="false" ht="15" hidden="false" customHeight="false" outlineLevel="0" collapsed="false">
      <c r="A1266" s="22" t="s">
        <v>5249</v>
      </c>
      <c r="B1266" s="22" t="s">
        <v>20</v>
      </c>
      <c r="C1266" s="22" t="s">
        <v>5250</v>
      </c>
      <c r="D1266" s="22" t="s">
        <v>5251</v>
      </c>
      <c r="E1266" s="22" t="s">
        <v>5252</v>
      </c>
      <c r="F1266" s="22" t="n">
        <v>13</v>
      </c>
      <c r="G1266" s="26" t="n">
        <v>109.5</v>
      </c>
      <c r="H1266" s="26" t="n">
        <v>120.52</v>
      </c>
      <c r="I1266" s="26" t="n">
        <v>142.56</v>
      </c>
      <c r="J1266" s="26" t="n">
        <v>153.58</v>
      </c>
      <c r="K1266" s="26" t="n">
        <v>170.11</v>
      </c>
      <c r="L1266" s="26" t="n">
        <v>2.06</v>
      </c>
      <c r="M1266" s="27" t="n">
        <v>0.005</v>
      </c>
      <c r="N1266" s="27" t="n">
        <v>0.002</v>
      </c>
      <c r="O1266" s="26" t="n">
        <v>5</v>
      </c>
      <c r="P1266" s="26" t="n">
        <v>5</v>
      </c>
      <c r="Q1266" s="28" t="n">
        <v>100</v>
      </c>
      <c r="R1266" s="26" t="n">
        <v>30</v>
      </c>
      <c r="S1266" s="26" t="n">
        <v>0</v>
      </c>
      <c r="T1266" s="28" t="n">
        <v>1</v>
      </c>
      <c r="U1266" s="26" t="n">
        <v>0</v>
      </c>
      <c r="V1266" s="26" t="n">
        <v>0</v>
      </c>
      <c r="W1266" s="22" t="s">
        <v>20</v>
      </c>
      <c r="X1266" s="22" t="s">
        <v>373</v>
      </c>
    </row>
    <row r="1267" customFormat="false" ht="15" hidden="false" customHeight="false" outlineLevel="0" collapsed="false">
      <c r="A1267" s="22" t="s">
        <v>5253</v>
      </c>
      <c r="B1267" s="22" t="s">
        <v>20</v>
      </c>
      <c r="C1267" s="22" t="s">
        <v>5254</v>
      </c>
      <c r="D1267" s="22" t="s">
        <v>5255</v>
      </c>
      <c r="E1267" s="22" t="s">
        <v>5256</v>
      </c>
      <c r="F1267" s="22" t="n">
        <v>13</v>
      </c>
      <c r="G1267" s="26" t="n">
        <v>109.5</v>
      </c>
      <c r="H1267" s="26" t="n">
        <v>120.52</v>
      </c>
      <c r="I1267" s="26" t="n">
        <v>142.56</v>
      </c>
      <c r="J1267" s="26" t="n">
        <v>153.58</v>
      </c>
      <c r="K1267" s="26" t="n">
        <v>170.11</v>
      </c>
      <c r="L1267" s="26" t="n">
        <v>2.06</v>
      </c>
      <c r="M1267" s="27" t="n">
        <v>0.005</v>
      </c>
      <c r="N1267" s="27" t="n">
        <v>0.002</v>
      </c>
      <c r="O1267" s="26" t="n">
        <v>5</v>
      </c>
      <c r="P1267" s="26" t="n">
        <v>5</v>
      </c>
      <c r="Q1267" s="28" t="n">
        <v>100</v>
      </c>
      <c r="R1267" s="26" t="n">
        <v>30</v>
      </c>
      <c r="S1267" s="26" t="n">
        <v>0</v>
      </c>
      <c r="T1267" s="28" t="n">
        <v>1</v>
      </c>
      <c r="U1267" s="26" t="n">
        <v>0</v>
      </c>
      <c r="V1267" s="26" t="n">
        <v>0</v>
      </c>
      <c r="W1267" s="22" t="s">
        <v>20</v>
      </c>
      <c r="X1267" s="22" t="s">
        <v>373</v>
      </c>
    </row>
    <row r="1268" customFormat="false" ht="15" hidden="false" customHeight="false" outlineLevel="0" collapsed="false">
      <c r="A1268" s="22" t="s">
        <v>5257</v>
      </c>
      <c r="B1268" s="22" t="s">
        <v>20</v>
      </c>
      <c r="C1268" s="22" t="s">
        <v>5258</v>
      </c>
      <c r="D1268" s="22" t="s">
        <v>5259</v>
      </c>
      <c r="E1268" s="22" t="s">
        <v>5260</v>
      </c>
      <c r="F1268" s="22" t="n">
        <v>13</v>
      </c>
      <c r="G1268" s="26" t="n">
        <v>109.5</v>
      </c>
      <c r="H1268" s="26" t="n">
        <v>120.52</v>
      </c>
      <c r="I1268" s="26" t="n">
        <v>142.56</v>
      </c>
      <c r="J1268" s="26" t="n">
        <v>153.58</v>
      </c>
      <c r="K1268" s="26" t="n">
        <v>170.11</v>
      </c>
      <c r="L1268" s="26" t="n">
        <v>2.06</v>
      </c>
      <c r="M1268" s="27" t="n">
        <v>0.005</v>
      </c>
      <c r="N1268" s="27" t="n">
        <v>0.002</v>
      </c>
      <c r="O1268" s="26" t="n">
        <v>5</v>
      </c>
      <c r="P1268" s="26" t="n">
        <v>5</v>
      </c>
      <c r="Q1268" s="28" t="n">
        <v>100</v>
      </c>
      <c r="R1268" s="26" t="n">
        <v>30</v>
      </c>
      <c r="S1268" s="26" t="n">
        <v>0</v>
      </c>
      <c r="T1268" s="28" t="n">
        <v>1</v>
      </c>
      <c r="U1268" s="26" t="n">
        <v>0</v>
      </c>
      <c r="V1268" s="26" t="n">
        <v>0</v>
      </c>
      <c r="W1268" s="22" t="s">
        <v>20</v>
      </c>
      <c r="X1268" s="22" t="s">
        <v>373</v>
      </c>
    </row>
    <row r="1269" customFormat="false" ht="15" hidden="false" customHeight="false" outlineLevel="0" collapsed="false">
      <c r="A1269" s="22" t="s">
        <v>5261</v>
      </c>
      <c r="B1269" s="22" t="s">
        <v>20</v>
      </c>
      <c r="C1269" s="22" t="s">
        <v>5262</v>
      </c>
      <c r="D1269" s="22" t="s">
        <v>5263</v>
      </c>
      <c r="E1269" s="22" t="s">
        <v>5264</v>
      </c>
      <c r="F1269" s="22" t="n">
        <v>13</v>
      </c>
      <c r="G1269" s="26" t="n">
        <v>109.5</v>
      </c>
      <c r="H1269" s="26" t="n">
        <v>120.52</v>
      </c>
      <c r="I1269" s="26" t="n">
        <v>142.56</v>
      </c>
      <c r="J1269" s="26" t="n">
        <v>153.58</v>
      </c>
      <c r="K1269" s="26" t="n">
        <v>170.11</v>
      </c>
      <c r="L1269" s="26" t="n">
        <v>2.06</v>
      </c>
      <c r="M1269" s="27" t="n">
        <v>0.005</v>
      </c>
      <c r="N1269" s="27" t="n">
        <v>0.002</v>
      </c>
      <c r="O1269" s="26" t="n">
        <v>5</v>
      </c>
      <c r="P1269" s="26" t="n">
        <v>5</v>
      </c>
      <c r="Q1269" s="28" t="n">
        <v>100</v>
      </c>
      <c r="R1269" s="26" t="n">
        <v>30</v>
      </c>
      <c r="S1269" s="26" t="n">
        <v>0</v>
      </c>
      <c r="T1269" s="28" t="n">
        <v>1</v>
      </c>
      <c r="U1269" s="26" t="n">
        <v>0</v>
      </c>
      <c r="V1269" s="26" t="n">
        <v>0</v>
      </c>
      <c r="W1269" s="22" t="s">
        <v>20</v>
      </c>
      <c r="X1269" s="22" t="s">
        <v>373</v>
      </c>
    </row>
    <row r="1270" customFormat="false" ht="15" hidden="false" customHeight="false" outlineLevel="0" collapsed="false">
      <c r="A1270" s="22" t="s">
        <v>5265</v>
      </c>
      <c r="B1270" s="22" t="s">
        <v>20</v>
      </c>
      <c r="C1270" s="22" t="s">
        <v>5266</v>
      </c>
      <c r="D1270" s="22" t="s">
        <v>5267</v>
      </c>
      <c r="E1270" s="22" t="s">
        <v>5268</v>
      </c>
      <c r="F1270" s="22" t="n">
        <v>13</v>
      </c>
      <c r="G1270" s="26" t="n">
        <v>109.5</v>
      </c>
      <c r="H1270" s="26" t="n">
        <v>120.52</v>
      </c>
      <c r="I1270" s="26" t="n">
        <v>142.56</v>
      </c>
      <c r="J1270" s="26" t="n">
        <v>153.58</v>
      </c>
      <c r="K1270" s="26" t="n">
        <v>170.11</v>
      </c>
      <c r="L1270" s="26" t="n">
        <v>2.06</v>
      </c>
      <c r="M1270" s="27" t="n">
        <v>0.005</v>
      </c>
      <c r="N1270" s="27" t="n">
        <v>0.002</v>
      </c>
      <c r="O1270" s="26" t="n">
        <v>5</v>
      </c>
      <c r="P1270" s="26" t="n">
        <v>5</v>
      </c>
      <c r="Q1270" s="28" t="n">
        <v>100</v>
      </c>
      <c r="R1270" s="26" t="n">
        <v>30</v>
      </c>
      <c r="S1270" s="26" t="n">
        <v>0</v>
      </c>
      <c r="T1270" s="28" t="n">
        <v>1</v>
      </c>
      <c r="U1270" s="26" t="n">
        <v>0</v>
      </c>
      <c r="V1270" s="26" t="n">
        <v>0</v>
      </c>
      <c r="W1270" s="22" t="s">
        <v>20</v>
      </c>
      <c r="X1270" s="22" t="s">
        <v>373</v>
      </c>
    </row>
    <row r="1271" customFormat="false" ht="15" hidden="false" customHeight="false" outlineLevel="0" collapsed="false">
      <c r="A1271" s="22" t="s">
        <v>5269</v>
      </c>
      <c r="B1271" s="22" t="s">
        <v>20</v>
      </c>
      <c r="C1271" s="22" t="s">
        <v>5270</v>
      </c>
      <c r="D1271" s="22" t="s">
        <v>5271</v>
      </c>
      <c r="E1271" s="22" t="s">
        <v>5272</v>
      </c>
      <c r="F1271" s="22" t="n">
        <v>13</v>
      </c>
      <c r="G1271" s="26" t="n">
        <v>109.5</v>
      </c>
      <c r="H1271" s="26" t="n">
        <v>120.52</v>
      </c>
      <c r="I1271" s="26" t="n">
        <v>142.56</v>
      </c>
      <c r="J1271" s="26" t="n">
        <v>153.58</v>
      </c>
      <c r="K1271" s="26" t="n">
        <v>170.11</v>
      </c>
      <c r="L1271" s="26" t="n">
        <v>2.06</v>
      </c>
      <c r="M1271" s="27" t="n">
        <v>0.005</v>
      </c>
      <c r="N1271" s="27" t="n">
        <v>0.002</v>
      </c>
      <c r="O1271" s="26" t="n">
        <v>5</v>
      </c>
      <c r="P1271" s="26" t="n">
        <v>5</v>
      </c>
      <c r="Q1271" s="28" t="n">
        <v>100</v>
      </c>
      <c r="R1271" s="26" t="n">
        <v>30</v>
      </c>
      <c r="S1271" s="26" t="n">
        <v>0</v>
      </c>
      <c r="T1271" s="28" t="n">
        <v>1</v>
      </c>
      <c r="U1271" s="26" t="n">
        <v>0</v>
      </c>
      <c r="V1271" s="26" t="n">
        <v>0</v>
      </c>
      <c r="W1271" s="22" t="s">
        <v>20</v>
      </c>
      <c r="X1271" s="22" t="s">
        <v>373</v>
      </c>
    </row>
    <row r="1272" customFormat="false" ht="15" hidden="false" customHeight="false" outlineLevel="0" collapsed="false">
      <c r="A1272" s="22" t="s">
        <v>5273</v>
      </c>
      <c r="B1272" s="22" t="s">
        <v>20</v>
      </c>
      <c r="C1272" s="22" t="s">
        <v>5274</v>
      </c>
      <c r="D1272" s="22" t="s">
        <v>5275</v>
      </c>
      <c r="E1272" s="22" t="s">
        <v>5276</v>
      </c>
      <c r="F1272" s="22" t="n">
        <v>13</v>
      </c>
      <c r="G1272" s="26" t="n">
        <v>109.5</v>
      </c>
      <c r="H1272" s="26" t="n">
        <v>120.52</v>
      </c>
      <c r="I1272" s="26" t="n">
        <v>142.56</v>
      </c>
      <c r="J1272" s="26" t="n">
        <v>153.58</v>
      </c>
      <c r="K1272" s="26" t="n">
        <v>170.11</v>
      </c>
      <c r="L1272" s="26" t="n">
        <v>2.06</v>
      </c>
      <c r="M1272" s="27" t="n">
        <v>0.005</v>
      </c>
      <c r="N1272" s="27" t="n">
        <v>0.002</v>
      </c>
      <c r="O1272" s="26" t="n">
        <v>5</v>
      </c>
      <c r="P1272" s="26" t="n">
        <v>5</v>
      </c>
      <c r="Q1272" s="28" t="n">
        <v>100</v>
      </c>
      <c r="R1272" s="26" t="n">
        <v>30</v>
      </c>
      <c r="S1272" s="26" t="n">
        <v>0</v>
      </c>
      <c r="T1272" s="28" t="n">
        <v>1</v>
      </c>
      <c r="U1272" s="26" t="n">
        <v>0</v>
      </c>
      <c r="V1272" s="26" t="n">
        <v>0</v>
      </c>
      <c r="W1272" s="22" t="s">
        <v>20</v>
      </c>
      <c r="X1272" s="22" t="s">
        <v>373</v>
      </c>
    </row>
    <row r="1273" customFormat="false" ht="15" hidden="false" customHeight="false" outlineLevel="0" collapsed="false">
      <c r="A1273" s="22" t="s">
        <v>5277</v>
      </c>
      <c r="B1273" s="22" t="s">
        <v>20</v>
      </c>
      <c r="C1273" s="22" t="s">
        <v>5278</v>
      </c>
      <c r="D1273" s="22" t="s">
        <v>5279</v>
      </c>
      <c r="E1273" s="22" t="s">
        <v>5280</v>
      </c>
      <c r="F1273" s="22" t="n">
        <v>13</v>
      </c>
      <c r="G1273" s="26" t="n">
        <v>109.5</v>
      </c>
      <c r="H1273" s="26" t="n">
        <v>120.52</v>
      </c>
      <c r="I1273" s="26" t="n">
        <v>142.56</v>
      </c>
      <c r="J1273" s="26" t="n">
        <v>153.58</v>
      </c>
      <c r="K1273" s="26" t="n">
        <v>170.11</v>
      </c>
      <c r="L1273" s="26" t="n">
        <v>2.06</v>
      </c>
      <c r="M1273" s="27" t="n">
        <v>0.005</v>
      </c>
      <c r="N1273" s="27" t="n">
        <v>0.002</v>
      </c>
      <c r="O1273" s="26" t="n">
        <v>5</v>
      </c>
      <c r="P1273" s="26" t="n">
        <v>5</v>
      </c>
      <c r="Q1273" s="28" t="n">
        <v>100</v>
      </c>
      <c r="R1273" s="26" t="n">
        <v>30</v>
      </c>
      <c r="S1273" s="26" t="n">
        <v>0</v>
      </c>
      <c r="T1273" s="28" t="n">
        <v>1</v>
      </c>
      <c r="U1273" s="26" t="n">
        <v>0</v>
      </c>
      <c r="V1273" s="26" t="n">
        <v>0</v>
      </c>
      <c r="W1273" s="22" t="s">
        <v>20</v>
      </c>
      <c r="X1273" s="22" t="s">
        <v>373</v>
      </c>
    </row>
    <row r="1274" customFormat="false" ht="15" hidden="false" customHeight="false" outlineLevel="0" collapsed="false">
      <c r="A1274" s="22" t="s">
        <v>5281</v>
      </c>
      <c r="B1274" s="22" t="s">
        <v>20</v>
      </c>
      <c r="C1274" s="22" t="s">
        <v>5282</v>
      </c>
      <c r="D1274" s="22" t="s">
        <v>5283</v>
      </c>
      <c r="E1274" s="22" t="s">
        <v>5284</v>
      </c>
      <c r="F1274" s="22" t="n">
        <v>13</v>
      </c>
      <c r="G1274" s="26" t="n">
        <v>109.5</v>
      </c>
      <c r="H1274" s="26" t="n">
        <v>120.52</v>
      </c>
      <c r="I1274" s="26" t="n">
        <v>142.56</v>
      </c>
      <c r="J1274" s="26" t="n">
        <v>153.58</v>
      </c>
      <c r="K1274" s="26" t="n">
        <v>170.11</v>
      </c>
      <c r="L1274" s="26" t="n">
        <v>2.06</v>
      </c>
      <c r="M1274" s="27" t="n">
        <v>0.005</v>
      </c>
      <c r="N1274" s="27" t="n">
        <v>0.002</v>
      </c>
      <c r="O1274" s="26" t="n">
        <v>5</v>
      </c>
      <c r="P1274" s="26" t="n">
        <v>5</v>
      </c>
      <c r="Q1274" s="28" t="n">
        <v>100</v>
      </c>
      <c r="R1274" s="26" t="n">
        <v>30</v>
      </c>
      <c r="S1274" s="26" t="n">
        <v>0</v>
      </c>
      <c r="T1274" s="28" t="n">
        <v>1</v>
      </c>
      <c r="U1274" s="26" t="n">
        <v>0</v>
      </c>
      <c r="V1274" s="26" t="n">
        <v>0</v>
      </c>
      <c r="W1274" s="22" t="s">
        <v>20</v>
      </c>
      <c r="X1274" s="22" t="s">
        <v>373</v>
      </c>
    </row>
    <row r="1275" customFormat="false" ht="15" hidden="false" customHeight="false" outlineLevel="0" collapsed="false">
      <c r="A1275" s="22" t="s">
        <v>5285</v>
      </c>
      <c r="B1275" s="22" t="s">
        <v>20</v>
      </c>
      <c r="C1275" s="22" t="s">
        <v>5286</v>
      </c>
      <c r="D1275" s="22" t="s">
        <v>5287</v>
      </c>
      <c r="E1275" s="22" t="s">
        <v>5288</v>
      </c>
      <c r="F1275" s="22" t="n">
        <v>13</v>
      </c>
      <c r="G1275" s="26" t="n">
        <v>109.5</v>
      </c>
      <c r="H1275" s="26" t="n">
        <v>120.52</v>
      </c>
      <c r="I1275" s="26" t="n">
        <v>142.56</v>
      </c>
      <c r="J1275" s="26" t="n">
        <v>153.58</v>
      </c>
      <c r="K1275" s="26" t="n">
        <v>170.11</v>
      </c>
      <c r="L1275" s="26" t="n">
        <v>2.06</v>
      </c>
      <c r="M1275" s="27" t="n">
        <v>0.005</v>
      </c>
      <c r="N1275" s="27" t="n">
        <v>0.002</v>
      </c>
      <c r="O1275" s="26" t="n">
        <v>5</v>
      </c>
      <c r="P1275" s="26" t="n">
        <v>5</v>
      </c>
      <c r="Q1275" s="28" t="n">
        <v>100</v>
      </c>
      <c r="R1275" s="26" t="n">
        <v>30</v>
      </c>
      <c r="S1275" s="26" t="n">
        <v>0</v>
      </c>
      <c r="T1275" s="28" t="n">
        <v>1</v>
      </c>
      <c r="U1275" s="26" t="n">
        <v>0</v>
      </c>
      <c r="V1275" s="26" t="n">
        <v>0</v>
      </c>
      <c r="W1275" s="22" t="s">
        <v>20</v>
      </c>
      <c r="X1275" s="22" t="s">
        <v>373</v>
      </c>
    </row>
    <row r="1276" customFormat="false" ht="15" hidden="false" customHeight="false" outlineLevel="0" collapsed="false">
      <c r="A1276" s="22" t="s">
        <v>5289</v>
      </c>
      <c r="B1276" s="22" t="s">
        <v>20</v>
      </c>
      <c r="C1276" s="22" t="s">
        <v>5290</v>
      </c>
      <c r="D1276" s="22" t="s">
        <v>5291</v>
      </c>
      <c r="E1276" s="22" t="s">
        <v>5292</v>
      </c>
      <c r="F1276" s="22" t="n">
        <v>13</v>
      </c>
      <c r="G1276" s="26" t="n">
        <v>109.5</v>
      </c>
      <c r="H1276" s="26" t="n">
        <v>120.52</v>
      </c>
      <c r="I1276" s="26" t="n">
        <v>142.56</v>
      </c>
      <c r="J1276" s="26" t="n">
        <v>153.58</v>
      </c>
      <c r="K1276" s="26" t="n">
        <v>170.11</v>
      </c>
      <c r="L1276" s="26" t="n">
        <v>2.06</v>
      </c>
      <c r="M1276" s="27" t="n">
        <v>0.005</v>
      </c>
      <c r="N1276" s="27" t="n">
        <v>0.002</v>
      </c>
      <c r="O1276" s="26" t="n">
        <v>5</v>
      </c>
      <c r="P1276" s="26" t="n">
        <v>5</v>
      </c>
      <c r="Q1276" s="28" t="n">
        <v>100</v>
      </c>
      <c r="R1276" s="26" t="n">
        <v>30</v>
      </c>
      <c r="S1276" s="26" t="n">
        <v>0</v>
      </c>
      <c r="T1276" s="28" t="n">
        <v>1</v>
      </c>
      <c r="U1276" s="26" t="n">
        <v>0</v>
      </c>
      <c r="V1276" s="26" t="n">
        <v>0</v>
      </c>
      <c r="W1276" s="22" t="s">
        <v>20</v>
      </c>
      <c r="X1276" s="22" t="s">
        <v>373</v>
      </c>
    </row>
    <row r="1277" customFormat="false" ht="15" hidden="false" customHeight="false" outlineLevel="0" collapsed="false">
      <c r="A1277" s="22" t="s">
        <v>5293</v>
      </c>
      <c r="B1277" s="22" t="s">
        <v>20</v>
      </c>
      <c r="C1277" s="22" t="s">
        <v>5294</v>
      </c>
      <c r="D1277" s="22" t="s">
        <v>5295</v>
      </c>
      <c r="E1277" s="22" t="s">
        <v>5296</v>
      </c>
      <c r="F1277" s="22" t="n">
        <v>13</v>
      </c>
      <c r="G1277" s="26" t="n">
        <v>109.5</v>
      </c>
      <c r="H1277" s="26" t="n">
        <v>120.52</v>
      </c>
      <c r="I1277" s="26" t="n">
        <v>142.56</v>
      </c>
      <c r="J1277" s="26" t="n">
        <v>153.58</v>
      </c>
      <c r="K1277" s="26" t="n">
        <v>170.11</v>
      </c>
      <c r="L1277" s="26" t="n">
        <v>2.06</v>
      </c>
      <c r="M1277" s="27" t="n">
        <v>0.005</v>
      </c>
      <c r="N1277" s="27" t="n">
        <v>0.002</v>
      </c>
      <c r="O1277" s="26" t="n">
        <v>5</v>
      </c>
      <c r="P1277" s="26" t="n">
        <v>5</v>
      </c>
      <c r="Q1277" s="28" t="n">
        <v>100</v>
      </c>
      <c r="R1277" s="26" t="n">
        <v>30</v>
      </c>
      <c r="S1277" s="26" t="n">
        <v>0</v>
      </c>
      <c r="T1277" s="28" t="n">
        <v>1</v>
      </c>
      <c r="U1277" s="26" t="n">
        <v>0</v>
      </c>
      <c r="V1277" s="26" t="n">
        <v>0</v>
      </c>
      <c r="W1277" s="22" t="s">
        <v>20</v>
      </c>
      <c r="X1277" s="22" t="s">
        <v>373</v>
      </c>
    </row>
    <row r="1278" customFormat="false" ht="15" hidden="false" customHeight="false" outlineLevel="0" collapsed="false">
      <c r="A1278" s="22" t="s">
        <v>5297</v>
      </c>
      <c r="B1278" s="22" t="s">
        <v>20</v>
      </c>
      <c r="C1278" s="22" t="s">
        <v>184</v>
      </c>
      <c r="D1278" s="22" t="s">
        <v>5298</v>
      </c>
      <c r="E1278" s="22" t="s">
        <v>5299</v>
      </c>
      <c r="F1278" s="22" t="n">
        <v>13</v>
      </c>
      <c r="G1278" s="26" t="n">
        <v>109.5</v>
      </c>
      <c r="H1278" s="26" t="n">
        <v>120.52</v>
      </c>
      <c r="I1278" s="26" t="n">
        <v>142.56</v>
      </c>
      <c r="J1278" s="26" t="n">
        <v>153.58</v>
      </c>
      <c r="K1278" s="26" t="n">
        <v>170.11</v>
      </c>
      <c r="L1278" s="26" t="n">
        <v>2.06</v>
      </c>
      <c r="M1278" s="27" t="n">
        <v>0.005</v>
      </c>
      <c r="N1278" s="27" t="n">
        <v>0.002</v>
      </c>
      <c r="O1278" s="26" t="n">
        <v>5</v>
      </c>
      <c r="P1278" s="26" t="n">
        <v>5</v>
      </c>
      <c r="Q1278" s="28" t="n">
        <v>100</v>
      </c>
      <c r="R1278" s="26" t="n">
        <v>30</v>
      </c>
      <c r="S1278" s="26" t="n">
        <v>0</v>
      </c>
      <c r="T1278" s="28" t="n">
        <v>1</v>
      </c>
      <c r="U1278" s="26" t="n">
        <v>0</v>
      </c>
      <c r="V1278" s="26" t="n">
        <v>0</v>
      </c>
      <c r="W1278" s="22" t="s">
        <v>20</v>
      </c>
      <c r="X1278" s="22" t="s">
        <v>373</v>
      </c>
    </row>
    <row r="1279" customFormat="false" ht="15" hidden="false" customHeight="false" outlineLevel="0" collapsed="false">
      <c r="A1279" s="22" t="s">
        <v>5300</v>
      </c>
      <c r="B1279" s="22" t="s">
        <v>20</v>
      </c>
      <c r="C1279" s="22" t="s">
        <v>5301</v>
      </c>
      <c r="D1279" s="22" t="s">
        <v>5302</v>
      </c>
      <c r="E1279" s="22" t="s">
        <v>5303</v>
      </c>
      <c r="F1279" s="22" t="n">
        <v>13</v>
      </c>
      <c r="G1279" s="26" t="n">
        <v>109.5</v>
      </c>
      <c r="H1279" s="26" t="n">
        <v>120.52</v>
      </c>
      <c r="I1279" s="26" t="n">
        <v>142.56</v>
      </c>
      <c r="J1279" s="26" t="n">
        <v>153.58</v>
      </c>
      <c r="K1279" s="26" t="n">
        <v>170.11</v>
      </c>
      <c r="L1279" s="26" t="n">
        <v>2.06</v>
      </c>
      <c r="M1279" s="27" t="n">
        <v>0.005</v>
      </c>
      <c r="N1279" s="27" t="n">
        <v>0.002</v>
      </c>
      <c r="O1279" s="26" t="n">
        <v>5</v>
      </c>
      <c r="P1279" s="26" t="n">
        <v>5</v>
      </c>
      <c r="Q1279" s="28" t="n">
        <v>100</v>
      </c>
      <c r="R1279" s="26" t="n">
        <v>30</v>
      </c>
      <c r="S1279" s="26" t="n">
        <v>0</v>
      </c>
      <c r="T1279" s="28" t="n">
        <v>1</v>
      </c>
      <c r="U1279" s="26" t="n">
        <v>0</v>
      </c>
      <c r="V1279" s="26" t="n">
        <v>0</v>
      </c>
      <c r="W1279" s="22" t="s">
        <v>20</v>
      </c>
      <c r="X1279" s="22" t="s">
        <v>373</v>
      </c>
    </row>
    <row r="1280" customFormat="false" ht="15" hidden="false" customHeight="false" outlineLevel="0" collapsed="false">
      <c r="A1280" s="22" t="s">
        <v>5304</v>
      </c>
      <c r="B1280" s="22" t="s">
        <v>20</v>
      </c>
      <c r="C1280" s="22" t="s">
        <v>5305</v>
      </c>
      <c r="D1280" s="22" t="s">
        <v>5306</v>
      </c>
      <c r="E1280" s="22" t="s">
        <v>5307</v>
      </c>
      <c r="F1280" s="22" t="n">
        <v>13</v>
      </c>
      <c r="G1280" s="26" t="n">
        <v>109.5</v>
      </c>
      <c r="H1280" s="26" t="n">
        <v>120.52</v>
      </c>
      <c r="I1280" s="26" t="n">
        <v>142.56</v>
      </c>
      <c r="J1280" s="26" t="n">
        <v>153.58</v>
      </c>
      <c r="K1280" s="26" t="n">
        <v>170.11</v>
      </c>
      <c r="L1280" s="26" t="n">
        <v>2.06</v>
      </c>
      <c r="M1280" s="27" t="n">
        <v>0.005</v>
      </c>
      <c r="N1280" s="27" t="n">
        <v>0.002</v>
      </c>
      <c r="O1280" s="26" t="n">
        <v>5</v>
      </c>
      <c r="P1280" s="26" t="n">
        <v>5</v>
      </c>
      <c r="Q1280" s="28" t="n">
        <v>100</v>
      </c>
      <c r="R1280" s="26" t="n">
        <v>30</v>
      </c>
      <c r="S1280" s="26" t="n">
        <v>0</v>
      </c>
      <c r="T1280" s="28" t="n">
        <v>1</v>
      </c>
      <c r="U1280" s="26" t="n">
        <v>0</v>
      </c>
      <c r="V1280" s="26" t="n">
        <v>0</v>
      </c>
      <c r="W1280" s="22" t="s">
        <v>20</v>
      </c>
      <c r="X1280" s="22" t="s">
        <v>373</v>
      </c>
    </row>
    <row r="1281" customFormat="false" ht="15" hidden="false" customHeight="false" outlineLevel="0" collapsed="false">
      <c r="A1281" s="22" t="s">
        <v>5308</v>
      </c>
      <c r="B1281" s="22" t="s">
        <v>20</v>
      </c>
      <c r="C1281" s="22" t="s">
        <v>5309</v>
      </c>
      <c r="D1281" s="22" t="s">
        <v>5310</v>
      </c>
      <c r="E1281" s="22" t="s">
        <v>5311</v>
      </c>
      <c r="F1281" s="22" t="n">
        <v>13</v>
      </c>
      <c r="G1281" s="26" t="n">
        <v>109.5</v>
      </c>
      <c r="H1281" s="26" t="n">
        <v>120.52</v>
      </c>
      <c r="I1281" s="26" t="n">
        <v>142.56</v>
      </c>
      <c r="J1281" s="26" t="n">
        <v>153.58</v>
      </c>
      <c r="K1281" s="26" t="n">
        <v>170.11</v>
      </c>
      <c r="L1281" s="26" t="n">
        <v>2.06</v>
      </c>
      <c r="M1281" s="27" t="n">
        <v>0.005</v>
      </c>
      <c r="N1281" s="27" t="n">
        <v>0.002</v>
      </c>
      <c r="O1281" s="26" t="n">
        <v>5</v>
      </c>
      <c r="P1281" s="26" t="n">
        <v>5</v>
      </c>
      <c r="Q1281" s="28" t="n">
        <v>100</v>
      </c>
      <c r="R1281" s="26" t="n">
        <v>30</v>
      </c>
      <c r="S1281" s="26" t="n">
        <v>0</v>
      </c>
      <c r="T1281" s="28" t="n">
        <v>1</v>
      </c>
      <c r="U1281" s="26" t="n">
        <v>0</v>
      </c>
      <c r="V1281" s="26" t="n">
        <v>0</v>
      </c>
      <c r="W1281" s="22" t="s">
        <v>20</v>
      </c>
      <c r="X1281" s="22" t="s">
        <v>373</v>
      </c>
    </row>
    <row r="1282" customFormat="false" ht="15" hidden="false" customHeight="false" outlineLevel="0" collapsed="false">
      <c r="A1282" s="22" t="s">
        <v>5312</v>
      </c>
      <c r="B1282" s="22" t="s">
        <v>20</v>
      </c>
      <c r="C1282" s="22" t="s">
        <v>5313</v>
      </c>
      <c r="D1282" s="22" t="s">
        <v>5314</v>
      </c>
      <c r="E1282" s="22" t="s">
        <v>5315</v>
      </c>
      <c r="F1282" s="22" t="n">
        <v>13</v>
      </c>
      <c r="G1282" s="26" t="n">
        <v>109.5</v>
      </c>
      <c r="H1282" s="26" t="n">
        <v>120.52</v>
      </c>
      <c r="I1282" s="26" t="n">
        <v>142.56</v>
      </c>
      <c r="J1282" s="26" t="n">
        <v>153.58</v>
      </c>
      <c r="K1282" s="26" t="n">
        <v>170.11</v>
      </c>
      <c r="L1282" s="26" t="n">
        <v>2.06</v>
      </c>
      <c r="M1282" s="27" t="n">
        <v>0.005</v>
      </c>
      <c r="N1282" s="27" t="n">
        <v>0.002</v>
      </c>
      <c r="O1282" s="26" t="n">
        <v>5</v>
      </c>
      <c r="P1282" s="26" t="n">
        <v>5</v>
      </c>
      <c r="Q1282" s="28" t="n">
        <v>100</v>
      </c>
      <c r="R1282" s="26" t="n">
        <v>30</v>
      </c>
      <c r="S1282" s="26" t="n">
        <v>0</v>
      </c>
      <c r="T1282" s="28" t="n">
        <v>1</v>
      </c>
      <c r="U1282" s="26" t="n">
        <v>0</v>
      </c>
      <c r="V1282" s="26" t="n">
        <v>0</v>
      </c>
      <c r="W1282" s="22" t="s">
        <v>20</v>
      </c>
      <c r="X1282" s="22" t="s">
        <v>373</v>
      </c>
    </row>
    <row r="1283" customFormat="false" ht="15" hidden="false" customHeight="false" outlineLevel="0" collapsed="false">
      <c r="A1283" s="22" t="s">
        <v>5316</v>
      </c>
      <c r="B1283" s="22" t="s">
        <v>20</v>
      </c>
      <c r="C1283" s="22" t="s">
        <v>155</v>
      </c>
      <c r="D1283" s="22" t="s">
        <v>5317</v>
      </c>
      <c r="E1283" s="22" t="s">
        <v>5318</v>
      </c>
      <c r="F1283" s="22" t="n">
        <v>12</v>
      </c>
      <c r="G1283" s="26" t="n">
        <v>109.5</v>
      </c>
      <c r="H1283" s="26" t="n">
        <v>120.52</v>
      </c>
      <c r="I1283" s="26" t="n">
        <v>142.56</v>
      </c>
      <c r="J1283" s="26" t="n">
        <v>153.58</v>
      </c>
      <c r="K1283" s="26" t="n">
        <v>170.11</v>
      </c>
      <c r="L1283" s="26" t="n">
        <v>2.06</v>
      </c>
      <c r="M1283" s="27" t="n">
        <v>0.005</v>
      </c>
      <c r="N1283" s="27" t="n">
        <v>0.002</v>
      </c>
      <c r="O1283" s="26" t="n">
        <v>5</v>
      </c>
      <c r="P1283" s="26" t="n">
        <v>5</v>
      </c>
      <c r="Q1283" s="28" t="n">
        <v>100</v>
      </c>
      <c r="R1283" s="26" t="n">
        <v>30</v>
      </c>
      <c r="S1283" s="26" t="n">
        <v>0</v>
      </c>
      <c r="T1283" s="28" t="n">
        <v>1</v>
      </c>
      <c r="U1283" s="26" t="n">
        <v>0</v>
      </c>
      <c r="V1283" s="26" t="n">
        <v>0</v>
      </c>
      <c r="W1283" s="22" t="s">
        <v>20</v>
      </c>
      <c r="X1283" s="22" t="s">
        <v>373</v>
      </c>
    </row>
    <row r="1284" customFormat="false" ht="15" hidden="false" customHeight="false" outlineLevel="0" collapsed="false">
      <c r="A1284" s="22" t="s">
        <v>5319</v>
      </c>
      <c r="B1284" s="22" t="s">
        <v>20</v>
      </c>
      <c r="C1284" s="22" t="s">
        <v>5320</v>
      </c>
      <c r="D1284" s="22" t="s">
        <v>5321</v>
      </c>
      <c r="E1284" s="22" t="s">
        <v>5322</v>
      </c>
      <c r="F1284" s="22" t="n">
        <v>13</v>
      </c>
      <c r="G1284" s="26" t="n">
        <v>109.5</v>
      </c>
      <c r="H1284" s="26" t="n">
        <v>120.52</v>
      </c>
      <c r="I1284" s="26" t="n">
        <v>142.56</v>
      </c>
      <c r="J1284" s="26" t="n">
        <v>153.58</v>
      </c>
      <c r="K1284" s="26" t="n">
        <v>170.11</v>
      </c>
      <c r="L1284" s="26" t="n">
        <v>2.06</v>
      </c>
      <c r="M1284" s="27" t="n">
        <v>0.005</v>
      </c>
      <c r="N1284" s="27" t="n">
        <v>0.002</v>
      </c>
      <c r="O1284" s="26" t="n">
        <v>5</v>
      </c>
      <c r="P1284" s="26" t="n">
        <v>5</v>
      </c>
      <c r="Q1284" s="28" t="n">
        <v>100</v>
      </c>
      <c r="R1284" s="26" t="n">
        <v>30</v>
      </c>
      <c r="S1284" s="26" t="n">
        <v>0</v>
      </c>
      <c r="T1284" s="28" t="n">
        <v>1</v>
      </c>
      <c r="U1284" s="26" t="n">
        <v>0</v>
      </c>
      <c r="V1284" s="26" t="n">
        <v>0</v>
      </c>
      <c r="W1284" s="22" t="s">
        <v>20</v>
      </c>
      <c r="X1284" s="22" t="s">
        <v>373</v>
      </c>
    </row>
    <row r="1285" customFormat="false" ht="15" hidden="false" customHeight="false" outlineLevel="0" collapsed="false">
      <c r="A1285" s="22" t="s">
        <v>5323</v>
      </c>
      <c r="B1285" s="22" t="s">
        <v>20</v>
      </c>
      <c r="C1285" s="22" t="s">
        <v>5324</v>
      </c>
      <c r="D1285" s="22" t="s">
        <v>5325</v>
      </c>
      <c r="E1285" s="22" t="s">
        <v>5326</v>
      </c>
      <c r="F1285" s="22" t="n">
        <v>13</v>
      </c>
      <c r="G1285" s="26" t="n">
        <v>109.5</v>
      </c>
      <c r="H1285" s="26" t="n">
        <v>120.52</v>
      </c>
      <c r="I1285" s="26" t="n">
        <v>142.56</v>
      </c>
      <c r="J1285" s="26" t="n">
        <v>153.58</v>
      </c>
      <c r="K1285" s="26" t="n">
        <v>170.11</v>
      </c>
      <c r="L1285" s="26" t="n">
        <v>2.06</v>
      </c>
      <c r="M1285" s="27" t="n">
        <v>0.005</v>
      </c>
      <c r="N1285" s="27" t="n">
        <v>0.002</v>
      </c>
      <c r="O1285" s="26" t="n">
        <v>5</v>
      </c>
      <c r="P1285" s="26" t="n">
        <v>5</v>
      </c>
      <c r="Q1285" s="28" t="n">
        <v>100</v>
      </c>
      <c r="R1285" s="26" t="n">
        <v>30</v>
      </c>
      <c r="S1285" s="26" t="n">
        <v>0</v>
      </c>
      <c r="T1285" s="28" t="n">
        <v>1</v>
      </c>
      <c r="U1285" s="26" t="n">
        <v>0</v>
      </c>
      <c r="V1285" s="26" t="n">
        <v>0</v>
      </c>
      <c r="W1285" s="22" t="s">
        <v>20</v>
      </c>
      <c r="X1285" s="22" t="s">
        <v>373</v>
      </c>
    </row>
    <row r="1286" customFormat="false" ht="15" hidden="false" customHeight="false" outlineLevel="0" collapsed="false">
      <c r="A1286" s="22" t="s">
        <v>5327</v>
      </c>
      <c r="B1286" s="22" t="s">
        <v>20</v>
      </c>
      <c r="C1286" s="22" t="s">
        <v>5328</v>
      </c>
      <c r="D1286" s="22" t="s">
        <v>5329</v>
      </c>
      <c r="E1286" s="22" t="s">
        <v>5330</v>
      </c>
      <c r="F1286" s="22" t="n">
        <v>13</v>
      </c>
      <c r="G1286" s="26" t="n">
        <v>109.5</v>
      </c>
      <c r="H1286" s="26" t="n">
        <v>120.52</v>
      </c>
      <c r="I1286" s="26" t="n">
        <v>142.56</v>
      </c>
      <c r="J1286" s="26" t="n">
        <v>153.58</v>
      </c>
      <c r="K1286" s="26" t="n">
        <v>170.11</v>
      </c>
      <c r="L1286" s="26" t="n">
        <v>2.06</v>
      </c>
      <c r="M1286" s="27" t="n">
        <v>0.005</v>
      </c>
      <c r="N1286" s="27" t="n">
        <v>0.002</v>
      </c>
      <c r="O1286" s="26" t="n">
        <v>5</v>
      </c>
      <c r="P1286" s="26" t="n">
        <v>5</v>
      </c>
      <c r="Q1286" s="28" t="n">
        <v>100</v>
      </c>
      <c r="R1286" s="26" t="n">
        <v>30</v>
      </c>
      <c r="S1286" s="26" t="n">
        <v>0</v>
      </c>
      <c r="T1286" s="28" t="n">
        <v>1</v>
      </c>
      <c r="U1286" s="26" t="n">
        <v>0</v>
      </c>
      <c r="V1286" s="26" t="n">
        <v>0</v>
      </c>
      <c r="W1286" s="22" t="s">
        <v>20</v>
      </c>
      <c r="X1286" s="22" t="s">
        <v>373</v>
      </c>
    </row>
    <row r="1287" customFormat="false" ht="15" hidden="false" customHeight="false" outlineLevel="0" collapsed="false">
      <c r="A1287" s="22" t="s">
        <v>5331</v>
      </c>
      <c r="B1287" s="29" t="s">
        <v>20</v>
      </c>
      <c r="C1287" s="29" t="s">
        <v>4534</v>
      </c>
      <c r="D1287" s="22" t="s">
        <v>5332</v>
      </c>
      <c r="E1287" s="22" t="s">
        <v>5333</v>
      </c>
      <c r="F1287" s="22" t="n">
        <v>13</v>
      </c>
      <c r="G1287" s="26" t="n">
        <v>99.55</v>
      </c>
      <c r="H1287" s="26" t="n">
        <v>109.56</v>
      </c>
      <c r="I1287" s="26" t="n">
        <v>129.6</v>
      </c>
      <c r="J1287" s="26" t="n">
        <v>139.62</v>
      </c>
      <c r="K1287" s="26" t="n">
        <v>154.64</v>
      </c>
      <c r="L1287" s="26" t="n">
        <v>2.06</v>
      </c>
      <c r="M1287" s="27" t="n">
        <v>0.005</v>
      </c>
      <c r="N1287" s="27" t="n">
        <v>0.002</v>
      </c>
      <c r="O1287" s="26" t="n">
        <v>5</v>
      </c>
      <c r="P1287" s="26" t="n">
        <v>5</v>
      </c>
      <c r="Q1287" s="28" t="n">
        <v>100</v>
      </c>
      <c r="R1287" s="26" t="n">
        <v>30</v>
      </c>
      <c r="S1287" s="26" t="n">
        <v>0</v>
      </c>
      <c r="T1287" s="28" t="n">
        <v>1</v>
      </c>
      <c r="U1287" s="26" t="n">
        <v>0</v>
      </c>
      <c r="V1287" s="26" t="n">
        <v>0</v>
      </c>
      <c r="W1287" s="29" t="s">
        <v>19</v>
      </c>
      <c r="X1287" s="22" t="s">
        <v>373</v>
      </c>
    </row>
    <row r="1288" customFormat="false" ht="15" hidden="false" customHeight="false" outlineLevel="0" collapsed="false">
      <c r="A1288" s="22" t="s">
        <v>5334</v>
      </c>
      <c r="B1288" s="22" t="s">
        <v>20</v>
      </c>
      <c r="C1288" s="22" t="s">
        <v>5335</v>
      </c>
      <c r="D1288" s="22" t="s">
        <v>5336</v>
      </c>
      <c r="E1288" s="22" t="s">
        <v>5337</v>
      </c>
      <c r="F1288" s="22" t="n">
        <v>13</v>
      </c>
      <c r="G1288" s="26" t="n">
        <v>109.5</v>
      </c>
      <c r="H1288" s="26" t="n">
        <v>120.52</v>
      </c>
      <c r="I1288" s="26" t="n">
        <v>142.56</v>
      </c>
      <c r="J1288" s="26" t="n">
        <v>153.58</v>
      </c>
      <c r="K1288" s="26" t="n">
        <v>170.11</v>
      </c>
      <c r="L1288" s="26" t="n">
        <v>2.06</v>
      </c>
      <c r="M1288" s="27" t="n">
        <v>0.005</v>
      </c>
      <c r="N1288" s="27" t="n">
        <v>0.002</v>
      </c>
      <c r="O1288" s="26" t="n">
        <v>5</v>
      </c>
      <c r="P1288" s="26" t="n">
        <v>5</v>
      </c>
      <c r="Q1288" s="28" t="n">
        <v>100</v>
      </c>
      <c r="R1288" s="26" t="n">
        <v>30</v>
      </c>
      <c r="S1288" s="26" t="n">
        <v>0</v>
      </c>
      <c r="T1288" s="28" t="n">
        <v>1</v>
      </c>
      <c r="U1288" s="26" t="n">
        <v>0</v>
      </c>
      <c r="V1288" s="26" t="n">
        <v>0</v>
      </c>
      <c r="W1288" s="22" t="s">
        <v>20</v>
      </c>
      <c r="X1288" s="22" t="s">
        <v>373</v>
      </c>
    </row>
    <row r="1289" customFormat="false" ht="15" hidden="false" customHeight="false" outlineLevel="0" collapsed="false">
      <c r="A1289" s="22" t="s">
        <v>5338</v>
      </c>
      <c r="B1289" s="29" t="s">
        <v>20</v>
      </c>
      <c r="C1289" s="29" t="s">
        <v>4565</v>
      </c>
      <c r="D1289" s="22" t="s">
        <v>5339</v>
      </c>
      <c r="E1289" s="22" t="s">
        <v>5340</v>
      </c>
      <c r="F1289" s="22" t="n">
        <v>13</v>
      </c>
      <c r="G1289" s="26" t="n">
        <v>99.55</v>
      </c>
      <c r="H1289" s="26" t="n">
        <v>109.56</v>
      </c>
      <c r="I1289" s="26" t="n">
        <v>129.6</v>
      </c>
      <c r="J1289" s="26" t="n">
        <v>139.62</v>
      </c>
      <c r="K1289" s="26" t="n">
        <v>154.64</v>
      </c>
      <c r="L1289" s="26" t="n">
        <v>2.06</v>
      </c>
      <c r="M1289" s="27" t="n">
        <v>0.005</v>
      </c>
      <c r="N1289" s="27" t="n">
        <v>0.002</v>
      </c>
      <c r="O1289" s="26" t="n">
        <v>5</v>
      </c>
      <c r="P1289" s="26" t="n">
        <v>5</v>
      </c>
      <c r="Q1289" s="28" t="n">
        <v>100</v>
      </c>
      <c r="R1289" s="26" t="n">
        <v>30</v>
      </c>
      <c r="S1289" s="26" t="n">
        <v>0</v>
      </c>
      <c r="T1289" s="28" t="n">
        <v>1</v>
      </c>
      <c r="U1289" s="26" t="n">
        <v>0</v>
      </c>
      <c r="V1289" s="26" t="n">
        <v>0</v>
      </c>
      <c r="W1289" s="29" t="s">
        <v>19</v>
      </c>
      <c r="X1289" s="22" t="s">
        <v>373</v>
      </c>
    </row>
    <row r="1290" customFormat="false" ht="15" hidden="false" customHeight="false" outlineLevel="0" collapsed="false">
      <c r="A1290" s="22" t="s">
        <v>5341</v>
      </c>
      <c r="B1290" s="22" t="s">
        <v>20</v>
      </c>
      <c r="C1290" s="22" t="s">
        <v>5342</v>
      </c>
      <c r="D1290" s="22" t="s">
        <v>5343</v>
      </c>
      <c r="E1290" s="22" t="s">
        <v>5344</v>
      </c>
      <c r="F1290" s="22" t="n">
        <v>13</v>
      </c>
      <c r="G1290" s="26" t="n">
        <v>109.5</v>
      </c>
      <c r="H1290" s="26" t="n">
        <v>120.52</v>
      </c>
      <c r="I1290" s="26" t="n">
        <v>142.56</v>
      </c>
      <c r="J1290" s="26" t="n">
        <v>153.58</v>
      </c>
      <c r="K1290" s="26" t="n">
        <v>170.11</v>
      </c>
      <c r="L1290" s="26" t="n">
        <v>2.06</v>
      </c>
      <c r="M1290" s="27" t="n">
        <v>0.005</v>
      </c>
      <c r="N1290" s="27" t="n">
        <v>0.002</v>
      </c>
      <c r="O1290" s="26" t="n">
        <v>5</v>
      </c>
      <c r="P1290" s="26" t="n">
        <v>5</v>
      </c>
      <c r="Q1290" s="28" t="n">
        <v>100</v>
      </c>
      <c r="R1290" s="26" t="n">
        <v>30</v>
      </c>
      <c r="S1290" s="26" t="n">
        <v>0</v>
      </c>
      <c r="T1290" s="28" t="n">
        <v>1</v>
      </c>
      <c r="U1290" s="26" t="n">
        <v>0</v>
      </c>
      <c r="V1290" s="26" t="n">
        <v>0</v>
      </c>
      <c r="W1290" s="22" t="s">
        <v>20</v>
      </c>
      <c r="X1290" s="22" t="s">
        <v>373</v>
      </c>
    </row>
    <row r="1291" customFormat="false" ht="15" hidden="false" customHeight="false" outlineLevel="0" collapsed="false">
      <c r="A1291" s="22" t="s">
        <v>5345</v>
      </c>
      <c r="B1291" s="22" t="s">
        <v>20</v>
      </c>
      <c r="C1291" s="22" t="s">
        <v>5346</v>
      </c>
      <c r="D1291" s="22" t="s">
        <v>5347</v>
      </c>
      <c r="E1291" s="22" t="s">
        <v>5348</v>
      </c>
      <c r="F1291" s="22" t="n">
        <v>13</v>
      </c>
      <c r="G1291" s="26" t="n">
        <v>109.5</v>
      </c>
      <c r="H1291" s="26" t="n">
        <v>120.52</v>
      </c>
      <c r="I1291" s="26" t="n">
        <v>142.56</v>
      </c>
      <c r="J1291" s="26" t="n">
        <v>153.58</v>
      </c>
      <c r="K1291" s="26" t="n">
        <v>170.11</v>
      </c>
      <c r="L1291" s="26" t="n">
        <v>2.06</v>
      </c>
      <c r="M1291" s="27" t="n">
        <v>0.005</v>
      </c>
      <c r="N1291" s="27" t="n">
        <v>0.002</v>
      </c>
      <c r="O1291" s="26" t="n">
        <v>5</v>
      </c>
      <c r="P1291" s="26" t="n">
        <v>5</v>
      </c>
      <c r="Q1291" s="28" t="n">
        <v>100</v>
      </c>
      <c r="R1291" s="26" t="n">
        <v>30</v>
      </c>
      <c r="S1291" s="26" t="n">
        <v>0</v>
      </c>
      <c r="T1291" s="28" t="n">
        <v>1</v>
      </c>
      <c r="U1291" s="26" t="n">
        <v>0</v>
      </c>
      <c r="V1291" s="26" t="n">
        <v>0</v>
      </c>
      <c r="W1291" s="22" t="s">
        <v>20</v>
      </c>
      <c r="X1291" s="22" t="s">
        <v>373</v>
      </c>
    </row>
    <row r="1292" customFormat="false" ht="15" hidden="false" customHeight="false" outlineLevel="0" collapsed="false">
      <c r="A1292" s="22" t="s">
        <v>5349</v>
      </c>
      <c r="B1292" s="22" t="s">
        <v>20</v>
      </c>
      <c r="C1292" s="22" t="s">
        <v>5350</v>
      </c>
      <c r="D1292" s="22" t="s">
        <v>5351</v>
      </c>
      <c r="E1292" s="22" t="s">
        <v>5352</v>
      </c>
      <c r="F1292" s="22" t="n">
        <v>13</v>
      </c>
      <c r="G1292" s="26" t="n">
        <v>109.5</v>
      </c>
      <c r="H1292" s="26" t="n">
        <v>120.52</v>
      </c>
      <c r="I1292" s="26" t="n">
        <v>142.56</v>
      </c>
      <c r="J1292" s="26" t="n">
        <v>153.58</v>
      </c>
      <c r="K1292" s="26" t="n">
        <v>170.11</v>
      </c>
      <c r="L1292" s="26" t="n">
        <v>2.06</v>
      </c>
      <c r="M1292" s="27" t="n">
        <v>0.005</v>
      </c>
      <c r="N1292" s="27" t="n">
        <v>0.002</v>
      </c>
      <c r="O1292" s="26" t="n">
        <v>5</v>
      </c>
      <c r="P1292" s="26" t="n">
        <v>5</v>
      </c>
      <c r="Q1292" s="28" t="n">
        <v>100</v>
      </c>
      <c r="R1292" s="26" t="n">
        <v>30</v>
      </c>
      <c r="S1292" s="26" t="n">
        <v>0</v>
      </c>
      <c r="T1292" s="28" t="n">
        <v>1</v>
      </c>
      <c r="U1292" s="26" t="n">
        <v>0</v>
      </c>
      <c r="V1292" s="26" t="n">
        <v>0</v>
      </c>
      <c r="W1292" s="22" t="s">
        <v>20</v>
      </c>
      <c r="X1292" s="22" t="s">
        <v>373</v>
      </c>
    </row>
    <row r="1293" customFormat="false" ht="15" hidden="false" customHeight="false" outlineLevel="0" collapsed="false">
      <c r="A1293" s="22" t="s">
        <v>5353</v>
      </c>
      <c r="B1293" s="29" t="s">
        <v>20</v>
      </c>
      <c r="C1293" s="29" t="s">
        <v>4577</v>
      </c>
      <c r="D1293" s="22" t="s">
        <v>5354</v>
      </c>
      <c r="E1293" s="22" t="s">
        <v>5355</v>
      </c>
      <c r="F1293" s="22" t="n">
        <v>13</v>
      </c>
      <c r="G1293" s="26" t="n">
        <v>99.55</v>
      </c>
      <c r="H1293" s="26" t="n">
        <v>109.56</v>
      </c>
      <c r="I1293" s="26" t="n">
        <v>129.6</v>
      </c>
      <c r="J1293" s="26" t="n">
        <v>139.62</v>
      </c>
      <c r="K1293" s="26" t="n">
        <v>154.64</v>
      </c>
      <c r="L1293" s="26" t="n">
        <v>2.06</v>
      </c>
      <c r="M1293" s="27" t="n">
        <v>0.005</v>
      </c>
      <c r="N1293" s="27" t="n">
        <v>0.002</v>
      </c>
      <c r="O1293" s="26" t="n">
        <v>5</v>
      </c>
      <c r="P1293" s="26" t="n">
        <v>5</v>
      </c>
      <c r="Q1293" s="28" t="n">
        <v>100</v>
      </c>
      <c r="R1293" s="26" t="n">
        <v>30</v>
      </c>
      <c r="S1293" s="26" t="n">
        <v>0</v>
      </c>
      <c r="T1293" s="28" t="n">
        <v>1</v>
      </c>
      <c r="U1293" s="26" t="n">
        <v>0</v>
      </c>
      <c r="V1293" s="26" t="n">
        <v>0</v>
      </c>
      <c r="W1293" s="29" t="s">
        <v>19</v>
      </c>
      <c r="X1293" s="22" t="s">
        <v>373</v>
      </c>
    </row>
    <row r="1294" customFormat="false" ht="15" hidden="false" customHeight="false" outlineLevel="0" collapsed="false">
      <c r="A1294" s="22" t="s">
        <v>5356</v>
      </c>
      <c r="B1294" s="22" t="s">
        <v>20</v>
      </c>
      <c r="C1294" s="22" t="s">
        <v>5357</v>
      </c>
      <c r="D1294" s="22" t="s">
        <v>5358</v>
      </c>
      <c r="E1294" s="22" t="s">
        <v>5359</v>
      </c>
      <c r="F1294" s="22" t="n">
        <v>13</v>
      </c>
      <c r="G1294" s="26" t="n">
        <v>109.5</v>
      </c>
      <c r="H1294" s="26" t="n">
        <v>120.52</v>
      </c>
      <c r="I1294" s="26" t="n">
        <v>142.56</v>
      </c>
      <c r="J1294" s="26" t="n">
        <v>153.58</v>
      </c>
      <c r="K1294" s="26" t="n">
        <v>170.11</v>
      </c>
      <c r="L1294" s="26" t="n">
        <v>2.06</v>
      </c>
      <c r="M1294" s="27" t="n">
        <v>0.005</v>
      </c>
      <c r="N1294" s="27" t="n">
        <v>0.002</v>
      </c>
      <c r="O1294" s="26" t="n">
        <v>5</v>
      </c>
      <c r="P1294" s="26" t="n">
        <v>5</v>
      </c>
      <c r="Q1294" s="28" t="n">
        <v>100</v>
      </c>
      <c r="R1294" s="26" t="n">
        <v>30</v>
      </c>
      <c r="S1294" s="26" t="n">
        <v>0</v>
      </c>
      <c r="T1294" s="28" t="n">
        <v>1</v>
      </c>
      <c r="U1294" s="26" t="n">
        <v>0</v>
      </c>
      <c r="V1294" s="26" t="n">
        <v>0</v>
      </c>
      <c r="W1294" s="22" t="s">
        <v>20</v>
      </c>
      <c r="X1294" s="22" t="s">
        <v>373</v>
      </c>
    </row>
    <row r="1295" customFormat="false" ht="15" hidden="false" customHeight="false" outlineLevel="0" collapsed="false">
      <c r="A1295" s="22" t="s">
        <v>5360</v>
      </c>
      <c r="B1295" s="22" t="s">
        <v>20</v>
      </c>
      <c r="C1295" s="22" t="s">
        <v>5361</v>
      </c>
      <c r="D1295" s="22" t="s">
        <v>5362</v>
      </c>
      <c r="E1295" s="22" t="s">
        <v>5363</v>
      </c>
      <c r="F1295" s="22" t="n">
        <v>13</v>
      </c>
      <c r="G1295" s="26" t="n">
        <v>109.5</v>
      </c>
      <c r="H1295" s="26" t="n">
        <v>120.52</v>
      </c>
      <c r="I1295" s="26" t="n">
        <v>142.56</v>
      </c>
      <c r="J1295" s="26" t="n">
        <v>153.58</v>
      </c>
      <c r="K1295" s="26" t="n">
        <v>170.11</v>
      </c>
      <c r="L1295" s="26" t="n">
        <v>2.06</v>
      </c>
      <c r="M1295" s="27" t="n">
        <v>0.005</v>
      </c>
      <c r="N1295" s="27" t="n">
        <v>0.002</v>
      </c>
      <c r="O1295" s="26" t="n">
        <v>5</v>
      </c>
      <c r="P1295" s="26" t="n">
        <v>5</v>
      </c>
      <c r="Q1295" s="28" t="n">
        <v>100</v>
      </c>
      <c r="R1295" s="26" t="n">
        <v>30</v>
      </c>
      <c r="S1295" s="26" t="n">
        <v>0</v>
      </c>
      <c r="T1295" s="28" t="n">
        <v>1</v>
      </c>
      <c r="U1295" s="26" t="n">
        <v>0</v>
      </c>
      <c r="V1295" s="26" t="n">
        <v>0</v>
      </c>
      <c r="W1295" s="22" t="s">
        <v>20</v>
      </c>
      <c r="X1295" s="22" t="s">
        <v>373</v>
      </c>
    </row>
    <row r="1296" customFormat="false" ht="15" hidden="false" customHeight="false" outlineLevel="0" collapsed="false">
      <c r="A1296" s="22" t="s">
        <v>5364</v>
      </c>
      <c r="B1296" s="22" t="s">
        <v>20</v>
      </c>
      <c r="C1296" s="22" t="s">
        <v>5365</v>
      </c>
      <c r="D1296" s="22" t="s">
        <v>5366</v>
      </c>
      <c r="E1296" s="22" t="s">
        <v>5367</v>
      </c>
      <c r="F1296" s="22" t="n">
        <v>13</v>
      </c>
      <c r="G1296" s="26" t="n">
        <v>109.5</v>
      </c>
      <c r="H1296" s="26" t="n">
        <v>120.52</v>
      </c>
      <c r="I1296" s="26" t="n">
        <v>142.56</v>
      </c>
      <c r="J1296" s="26" t="n">
        <v>153.58</v>
      </c>
      <c r="K1296" s="26" t="n">
        <v>170.11</v>
      </c>
      <c r="L1296" s="26" t="n">
        <v>2.06</v>
      </c>
      <c r="M1296" s="27" t="n">
        <v>0.005</v>
      </c>
      <c r="N1296" s="27" t="n">
        <v>0.002</v>
      </c>
      <c r="O1296" s="26" t="n">
        <v>5</v>
      </c>
      <c r="P1296" s="26" t="n">
        <v>5</v>
      </c>
      <c r="Q1296" s="28" t="n">
        <v>100</v>
      </c>
      <c r="R1296" s="26" t="n">
        <v>30</v>
      </c>
      <c r="S1296" s="26" t="n">
        <v>0</v>
      </c>
      <c r="T1296" s="28" t="n">
        <v>1</v>
      </c>
      <c r="U1296" s="26" t="n">
        <v>0</v>
      </c>
      <c r="V1296" s="26" t="n">
        <v>0</v>
      </c>
      <c r="W1296" s="22" t="s">
        <v>20</v>
      </c>
      <c r="X1296" s="22" t="s">
        <v>373</v>
      </c>
    </row>
    <row r="1297" customFormat="false" ht="15" hidden="false" customHeight="false" outlineLevel="0" collapsed="false">
      <c r="A1297" s="22" t="s">
        <v>5368</v>
      </c>
      <c r="B1297" s="22" t="s">
        <v>20</v>
      </c>
      <c r="C1297" s="22" t="s">
        <v>5369</v>
      </c>
      <c r="D1297" s="22" t="s">
        <v>5370</v>
      </c>
      <c r="E1297" s="22" t="s">
        <v>5371</v>
      </c>
      <c r="F1297" s="22" t="n">
        <v>13</v>
      </c>
      <c r="G1297" s="26" t="n">
        <v>109.5</v>
      </c>
      <c r="H1297" s="26" t="n">
        <v>120.52</v>
      </c>
      <c r="I1297" s="26" t="n">
        <v>142.56</v>
      </c>
      <c r="J1297" s="26" t="n">
        <v>153.58</v>
      </c>
      <c r="K1297" s="26" t="n">
        <v>170.11</v>
      </c>
      <c r="L1297" s="26" t="n">
        <v>2.06</v>
      </c>
      <c r="M1297" s="27" t="n">
        <v>0.005</v>
      </c>
      <c r="N1297" s="27" t="n">
        <v>0.002</v>
      </c>
      <c r="O1297" s="26" t="n">
        <v>5</v>
      </c>
      <c r="P1297" s="26" t="n">
        <v>5</v>
      </c>
      <c r="Q1297" s="28" t="n">
        <v>100</v>
      </c>
      <c r="R1297" s="26" t="n">
        <v>30</v>
      </c>
      <c r="S1297" s="26" t="n">
        <v>0</v>
      </c>
      <c r="T1297" s="28" t="n">
        <v>1</v>
      </c>
      <c r="U1297" s="26" t="n">
        <v>0</v>
      </c>
      <c r="V1297" s="26" t="n">
        <v>0</v>
      </c>
      <c r="W1297" s="22" t="s">
        <v>20</v>
      </c>
      <c r="X1297" s="22" t="s">
        <v>373</v>
      </c>
    </row>
    <row r="1298" customFormat="false" ht="15" hidden="false" customHeight="false" outlineLevel="0" collapsed="false">
      <c r="A1298" s="22" t="s">
        <v>5372</v>
      </c>
      <c r="B1298" s="22" t="s">
        <v>20</v>
      </c>
      <c r="C1298" s="22" t="s">
        <v>5373</v>
      </c>
      <c r="D1298" s="22" t="s">
        <v>5374</v>
      </c>
      <c r="E1298" s="22" t="s">
        <v>5375</v>
      </c>
      <c r="F1298" s="22" t="n">
        <v>13</v>
      </c>
      <c r="G1298" s="26" t="n">
        <v>109.5</v>
      </c>
      <c r="H1298" s="26" t="n">
        <v>120.52</v>
      </c>
      <c r="I1298" s="26" t="n">
        <v>142.56</v>
      </c>
      <c r="J1298" s="26" t="n">
        <v>153.58</v>
      </c>
      <c r="K1298" s="26" t="n">
        <v>170.11</v>
      </c>
      <c r="L1298" s="26" t="n">
        <v>2.06</v>
      </c>
      <c r="M1298" s="27" t="n">
        <v>0.005</v>
      </c>
      <c r="N1298" s="27" t="n">
        <v>0.002</v>
      </c>
      <c r="O1298" s="26" t="n">
        <v>5</v>
      </c>
      <c r="P1298" s="26" t="n">
        <v>5</v>
      </c>
      <c r="Q1298" s="28" t="n">
        <v>100</v>
      </c>
      <c r="R1298" s="26" t="n">
        <v>30</v>
      </c>
      <c r="S1298" s="26" t="n">
        <v>0</v>
      </c>
      <c r="T1298" s="28" t="n">
        <v>1</v>
      </c>
      <c r="U1298" s="26" t="n">
        <v>0</v>
      </c>
      <c r="V1298" s="26" t="n">
        <v>0</v>
      </c>
      <c r="W1298" s="22" t="s">
        <v>20</v>
      </c>
      <c r="X1298" s="22" t="s">
        <v>373</v>
      </c>
    </row>
    <row r="1299" customFormat="false" ht="15" hidden="false" customHeight="false" outlineLevel="0" collapsed="false">
      <c r="A1299" s="22" t="s">
        <v>5376</v>
      </c>
      <c r="B1299" s="22" t="s">
        <v>20</v>
      </c>
      <c r="C1299" s="22" t="s">
        <v>5377</v>
      </c>
      <c r="D1299" s="22" t="s">
        <v>5378</v>
      </c>
      <c r="E1299" s="22" t="s">
        <v>5379</v>
      </c>
      <c r="F1299" s="22" t="n">
        <v>13</v>
      </c>
      <c r="G1299" s="26" t="n">
        <v>109.5</v>
      </c>
      <c r="H1299" s="26" t="n">
        <v>120.52</v>
      </c>
      <c r="I1299" s="26" t="n">
        <v>142.56</v>
      </c>
      <c r="J1299" s="26" t="n">
        <v>153.58</v>
      </c>
      <c r="K1299" s="26" t="n">
        <v>170.11</v>
      </c>
      <c r="L1299" s="26" t="n">
        <v>2.06</v>
      </c>
      <c r="M1299" s="27" t="n">
        <v>0.005</v>
      </c>
      <c r="N1299" s="27" t="n">
        <v>0.002</v>
      </c>
      <c r="O1299" s="26" t="n">
        <v>5</v>
      </c>
      <c r="P1299" s="26" t="n">
        <v>5</v>
      </c>
      <c r="Q1299" s="28" t="n">
        <v>100</v>
      </c>
      <c r="R1299" s="26" t="n">
        <v>30</v>
      </c>
      <c r="S1299" s="26" t="n">
        <v>0</v>
      </c>
      <c r="T1299" s="28" t="n">
        <v>1</v>
      </c>
      <c r="U1299" s="26" t="n">
        <v>0</v>
      </c>
      <c r="V1299" s="26" t="n">
        <v>0</v>
      </c>
      <c r="W1299" s="22" t="s">
        <v>20</v>
      </c>
      <c r="X1299" s="22" t="s">
        <v>373</v>
      </c>
    </row>
    <row r="1300" customFormat="false" ht="15" hidden="false" customHeight="false" outlineLevel="0" collapsed="false">
      <c r="A1300" s="22" t="s">
        <v>5380</v>
      </c>
      <c r="B1300" s="22" t="s">
        <v>20</v>
      </c>
      <c r="C1300" s="22" t="s">
        <v>5381</v>
      </c>
      <c r="D1300" s="22" t="s">
        <v>5382</v>
      </c>
      <c r="E1300" s="22" t="s">
        <v>5383</v>
      </c>
      <c r="F1300" s="22" t="n">
        <v>13</v>
      </c>
      <c r="G1300" s="26" t="n">
        <v>109.5</v>
      </c>
      <c r="H1300" s="26" t="n">
        <v>120.52</v>
      </c>
      <c r="I1300" s="26" t="n">
        <v>142.56</v>
      </c>
      <c r="J1300" s="26" t="n">
        <v>153.58</v>
      </c>
      <c r="K1300" s="26" t="n">
        <v>170.11</v>
      </c>
      <c r="L1300" s="26" t="n">
        <v>2.06</v>
      </c>
      <c r="M1300" s="27" t="n">
        <v>0.005</v>
      </c>
      <c r="N1300" s="27" t="n">
        <v>0.002</v>
      </c>
      <c r="O1300" s="26" t="n">
        <v>5</v>
      </c>
      <c r="P1300" s="26" t="n">
        <v>5</v>
      </c>
      <c r="Q1300" s="28" t="n">
        <v>100</v>
      </c>
      <c r="R1300" s="26" t="n">
        <v>30</v>
      </c>
      <c r="S1300" s="26" t="n">
        <v>0</v>
      </c>
      <c r="T1300" s="28" t="n">
        <v>1</v>
      </c>
      <c r="U1300" s="26" t="n">
        <v>0</v>
      </c>
      <c r="V1300" s="26" t="n">
        <v>0</v>
      </c>
      <c r="W1300" s="22" t="s">
        <v>20</v>
      </c>
      <c r="X1300" s="22" t="s">
        <v>373</v>
      </c>
    </row>
    <row r="1301" customFormat="false" ht="15" hidden="false" customHeight="false" outlineLevel="0" collapsed="false">
      <c r="A1301" s="22" t="s">
        <v>5384</v>
      </c>
      <c r="B1301" s="22" t="s">
        <v>20</v>
      </c>
      <c r="C1301" s="22" t="s">
        <v>5385</v>
      </c>
      <c r="D1301" s="22" t="s">
        <v>5386</v>
      </c>
      <c r="E1301" s="22" t="s">
        <v>5387</v>
      </c>
      <c r="F1301" s="22" t="n">
        <v>13</v>
      </c>
      <c r="G1301" s="26" t="n">
        <v>109.5</v>
      </c>
      <c r="H1301" s="26" t="n">
        <v>120.52</v>
      </c>
      <c r="I1301" s="26" t="n">
        <v>142.56</v>
      </c>
      <c r="J1301" s="26" t="n">
        <v>153.58</v>
      </c>
      <c r="K1301" s="26" t="n">
        <v>170.11</v>
      </c>
      <c r="L1301" s="26" t="n">
        <v>2.06</v>
      </c>
      <c r="M1301" s="27" t="n">
        <v>0.005</v>
      </c>
      <c r="N1301" s="27" t="n">
        <v>0.002</v>
      </c>
      <c r="O1301" s="26" t="n">
        <v>5</v>
      </c>
      <c r="P1301" s="26" t="n">
        <v>5</v>
      </c>
      <c r="Q1301" s="28" t="n">
        <v>100</v>
      </c>
      <c r="R1301" s="26" t="n">
        <v>30</v>
      </c>
      <c r="S1301" s="26" t="n">
        <v>0</v>
      </c>
      <c r="T1301" s="28" t="n">
        <v>1</v>
      </c>
      <c r="U1301" s="26" t="n">
        <v>0</v>
      </c>
      <c r="V1301" s="26" t="n">
        <v>0</v>
      </c>
      <c r="W1301" s="22" t="s">
        <v>20</v>
      </c>
      <c r="X1301" s="22" t="s">
        <v>373</v>
      </c>
    </row>
    <row r="1302" customFormat="false" ht="15" hidden="false" customHeight="false" outlineLevel="0" collapsed="false">
      <c r="A1302" s="22" t="s">
        <v>5388</v>
      </c>
      <c r="B1302" s="22" t="s">
        <v>20</v>
      </c>
      <c r="C1302" s="22" t="s">
        <v>5389</v>
      </c>
      <c r="D1302" s="22" t="s">
        <v>5390</v>
      </c>
      <c r="E1302" s="22" t="s">
        <v>5391</v>
      </c>
      <c r="F1302" s="22" t="n">
        <v>13</v>
      </c>
      <c r="G1302" s="26" t="n">
        <v>109.5</v>
      </c>
      <c r="H1302" s="26" t="n">
        <v>120.52</v>
      </c>
      <c r="I1302" s="26" t="n">
        <v>142.56</v>
      </c>
      <c r="J1302" s="26" t="n">
        <v>153.58</v>
      </c>
      <c r="K1302" s="26" t="n">
        <v>170.11</v>
      </c>
      <c r="L1302" s="26" t="n">
        <v>2.06</v>
      </c>
      <c r="M1302" s="27" t="n">
        <v>0.005</v>
      </c>
      <c r="N1302" s="27" t="n">
        <v>0.002</v>
      </c>
      <c r="O1302" s="26" t="n">
        <v>5</v>
      </c>
      <c r="P1302" s="26" t="n">
        <v>5</v>
      </c>
      <c r="Q1302" s="28" t="n">
        <v>100</v>
      </c>
      <c r="R1302" s="26" t="n">
        <v>30</v>
      </c>
      <c r="S1302" s="26" t="n">
        <v>0</v>
      </c>
      <c r="T1302" s="28" t="n">
        <v>1</v>
      </c>
      <c r="U1302" s="26" t="n">
        <v>0</v>
      </c>
      <c r="V1302" s="26" t="n">
        <v>0</v>
      </c>
      <c r="W1302" s="22" t="s">
        <v>20</v>
      </c>
      <c r="X1302" s="22" t="s">
        <v>373</v>
      </c>
    </row>
    <row r="1303" customFormat="false" ht="15" hidden="false" customHeight="false" outlineLevel="0" collapsed="false">
      <c r="A1303" s="22" t="s">
        <v>5392</v>
      </c>
      <c r="B1303" s="22" t="s">
        <v>20</v>
      </c>
      <c r="C1303" s="22" t="s">
        <v>5393</v>
      </c>
      <c r="D1303" s="22" t="s">
        <v>5394</v>
      </c>
      <c r="E1303" s="22" t="s">
        <v>5395</v>
      </c>
      <c r="F1303" s="22" t="n">
        <v>13</v>
      </c>
      <c r="G1303" s="26" t="n">
        <v>109.5</v>
      </c>
      <c r="H1303" s="26" t="n">
        <v>120.52</v>
      </c>
      <c r="I1303" s="26" t="n">
        <v>142.56</v>
      </c>
      <c r="J1303" s="26" t="n">
        <v>153.58</v>
      </c>
      <c r="K1303" s="26" t="n">
        <v>170.11</v>
      </c>
      <c r="L1303" s="26" t="n">
        <v>2.06</v>
      </c>
      <c r="M1303" s="27" t="n">
        <v>0.005</v>
      </c>
      <c r="N1303" s="27" t="n">
        <v>0.002</v>
      </c>
      <c r="O1303" s="26" t="n">
        <v>5</v>
      </c>
      <c r="P1303" s="26" t="n">
        <v>5</v>
      </c>
      <c r="Q1303" s="28" t="n">
        <v>100</v>
      </c>
      <c r="R1303" s="26" t="n">
        <v>30</v>
      </c>
      <c r="S1303" s="26" t="n">
        <v>0</v>
      </c>
      <c r="T1303" s="28" t="n">
        <v>1</v>
      </c>
      <c r="U1303" s="26" t="n">
        <v>0</v>
      </c>
      <c r="V1303" s="26" t="n">
        <v>0</v>
      </c>
      <c r="W1303" s="22" t="s">
        <v>20</v>
      </c>
      <c r="X1303" s="22" t="s">
        <v>373</v>
      </c>
    </row>
    <row r="1304" customFormat="false" ht="15" hidden="false" customHeight="false" outlineLevel="0" collapsed="false">
      <c r="A1304" s="22" t="s">
        <v>5396</v>
      </c>
      <c r="B1304" s="22" t="s">
        <v>20</v>
      </c>
      <c r="C1304" s="22" t="s">
        <v>5397</v>
      </c>
      <c r="D1304" s="22" t="s">
        <v>5398</v>
      </c>
      <c r="E1304" s="22" t="s">
        <v>5399</v>
      </c>
      <c r="F1304" s="22" t="n">
        <v>13</v>
      </c>
      <c r="G1304" s="26" t="n">
        <v>109.5</v>
      </c>
      <c r="H1304" s="26" t="n">
        <v>120.52</v>
      </c>
      <c r="I1304" s="26" t="n">
        <v>142.56</v>
      </c>
      <c r="J1304" s="26" t="n">
        <v>153.58</v>
      </c>
      <c r="K1304" s="26" t="n">
        <v>170.11</v>
      </c>
      <c r="L1304" s="26" t="n">
        <v>2.06</v>
      </c>
      <c r="M1304" s="27" t="n">
        <v>0.005</v>
      </c>
      <c r="N1304" s="27" t="n">
        <v>0.002</v>
      </c>
      <c r="O1304" s="26" t="n">
        <v>5</v>
      </c>
      <c r="P1304" s="26" t="n">
        <v>5</v>
      </c>
      <c r="Q1304" s="28" t="n">
        <v>100</v>
      </c>
      <c r="R1304" s="26" t="n">
        <v>30</v>
      </c>
      <c r="S1304" s="26" t="n">
        <v>0</v>
      </c>
      <c r="T1304" s="28" t="n">
        <v>1</v>
      </c>
      <c r="U1304" s="26" t="n">
        <v>0</v>
      </c>
      <c r="V1304" s="26" t="n">
        <v>0</v>
      </c>
      <c r="W1304" s="22" t="s">
        <v>20</v>
      </c>
      <c r="X1304" s="22" t="s">
        <v>373</v>
      </c>
    </row>
    <row r="1305" customFormat="false" ht="15" hidden="false" customHeight="false" outlineLevel="0" collapsed="false">
      <c r="A1305" s="22" t="s">
        <v>5400</v>
      </c>
      <c r="B1305" s="22" t="s">
        <v>20</v>
      </c>
      <c r="C1305" s="22" t="s">
        <v>5401</v>
      </c>
      <c r="D1305" s="22" t="s">
        <v>5402</v>
      </c>
      <c r="E1305" s="22" t="s">
        <v>5403</v>
      </c>
      <c r="F1305" s="22" t="n">
        <v>13</v>
      </c>
      <c r="G1305" s="26" t="n">
        <v>109.5</v>
      </c>
      <c r="H1305" s="26" t="n">
        <v>120.52</v>
      </c>
      <c r="I1305" s="26" t="n">
        <v>142.56</v>
      </c>
      <c r="J1305" s="26" t="n">
        <v>153.58</v>
      </c>
      <c r="K1305" s="26" t="n">
        <v>170.11</v>
      </c>
      <c r="L1305" s="26" t="n">
        <v>2.06</v>
      </c>
      <c r="M1305" s="27" t="n">
        <v>0.005</v>
      </c>
      <c r="N1305" s="27" t="n">
        <v>0.002</v>
      </c>
      <c r="O1305" s="26" t="n">
        <v>5</v>
      </c>
      <c r="P1305" s="26" t="n">
        <v>5</v>
      </c>
      <c r="Q1305" s="28" t="n">
        <v>100</v>
      </c>
      <c r="R1305" s="26" t="n">
        <v>30</v>
      </c>
      <c r="S1305" s="26" t="n">
        <v>0</v>
      </c>
      <c r="T1305" s="28" t="n">
        <v>1</v>
      </c>
      <c r="U1305" s="26" t="n">
        <v>0</v>
      </c>
      <c r="V1305" s="26" t="n">
        <v>0</v>
      </c>
      <c r="W1305" s="22" t="s">
        <v>20</v>
      </c>
      <c r="X1305" s="22" t="s">
        <v>373</v>
      </c>
    </row>
    <row r="1306" customFormat="false" ht="15" hidden="false" customHeight="false" outlineLevel="0" collapsed="false">
      <c r="A1306" s="22" t="s">
        <v>5404</v>
      </c>
      <c r="B1306" s="22" t="s">
        <v>20</v>
      </c>
      <c r="C1306" s="22" t="s">
        <v>5405</v>
      </c>
      <c r="D1306" s="22" t="s">
        <v>5406</v>
      </c>
      <c r="E1306" s="22" t="s">
        <v>5407</v>
      </c>
      <c r="F1306" s="22" t="n">
        <v>13</v>
      </c>
      <c r="G1306" s="26" t="n">
        <v>109.5</v>
      </c>
      <c r="H1306" s="26" t="n">
        <v>120.52</v>
      </c>
      <c r="I1306" s="26" t="n">
        <v>142.56</v>
      </c>
      <c r="J1306" s="26" t="n">
        <v>153.58</v>
      </c>
      <c r="K1306" s="26" t="n">
        <v>170.11</v>
      </c>
      <c r="L1306" s="26" t="n">
        <v>2.06</v>
      </c>
      <c r="M1306" s="27" t="n">
        <v>0.005</v>
      </c>
      <c r="N1306" s="27" t="n">
        <v>0.002</v>
      </c>
      <c r="O1306" s="26" t="n">
        <v>5</v>
      </c>
      <c r="P1306" s="26" t="n">
        <v>5</v>
      </c>
      <c r="Q1306" s="28" t="n">
        <v>100</v>
      </c>
      <c r="R1306" s="26" t="n">
        <v>30</v>
      </c>
      <c r="S1306" s="26" t="n">
        <v>0</v>
      </c>
      <c r="T1306" s="28" t="n">
        <v>1</v>
      </c>
      <c r="U1306" s="26" t="n">
        <v>0</v>
      </c>
      <c r="V1306" s="26" t="n">
        <v>0</v>
      </c>
      <c r="W1306" s="22" t="s">
        <v>20</v>
      </c>
      <c r="X1306" s="22" t="s">
        <v>373</v>
      </c>
    </row>
    <row r="1307" customFormat="false" ht="15" hidden="false" customHeight="false" outlineLevel="0" collapsed="false">
      <c r="A1307" s="22" t="s">
        <v>5408</v>
      </c>
      <c r="B1307" s="29" t="s">
        <v>20</v>
      </c>
      <c r="C1307" s="29" t="s">
        <v>3849</v>
      </c>
      <c r="D1307" s="22" t="s">
        <v>5409</v>
      </c>
      <c r="E1307" s="22" t="s">
        <v>5410</v>
      </c>
      <c r="F1307" s="22" t="n">
        <v>13</v>
      </c>
      <c r="G1307" s="26" t="n">
        <v>212.67</v>
      </c>
      <c r="H1307" s="26" t="n">
        <v>234.8</v>
      </c>
      <c r="I1307" s="26" t="n">
        <v>256.93</v>
      </c>
      <c r="J1307" s="26" t="n">
        <v>273.53</v>
      </c>
      <c r="K1307" s="26" t="n">
        <v>290.13</v>
      </c>
      <c r="L1307" s="26" t="n">
        <v>2.65</v>
      </c>
      <c r="M1307" s="27" t="n">
        <v>0.005</v>
      </c>
      <c r="N1307" s="27" t="n">
        <v>0.002</v>
      </c>
      <c r="O1307" s="26" t="n">
        <v>5</v>
      </c>
      <c r="P1307" s="26" t="n">
        <v>5</v>
      </c>
      <c r="Q1307" s="28" t="n">
        <v>100</v>
      </c>
      <c r="R1307" s="26" t="n">
        <v>30</v>
      </c>
      <c r="S1307" s="26" t="n">
        <v>0</v>
      </c>
      <c r="T1307" s="28" t="n">
        <v>1</v>
      </c>
      <c r="U1307" s="26" t="n">
        <v>0</v>
      </c>
      <c r="V1307" s="26" t="n">
        <v>0</v>
      </c>
      <c r="W1307" s="29" t="s">
        <v>18</v>
      </c>
      <c r="X1307" s="22" t="s">
        <v>373</v>
      </c>
    </row>
    <row r="1308" customFormat="false" ht="15" hidden="false" customHeight="false" outlineLevel="0" collapsed="false">
      <c r="A1308" s="22" t="s">
        <v>5411</v>
      </c>
      <c r="B1308" s="22" t="s">
        <v>20</v>
      </c>
      <c r="C1308" s="22" t="s">
        <v>5412</v>
      </c>
      <c r="D1308" s="22" t="s">
        <v>5413</v>
      </c>
      <c r="E1308" s="22" t="s">
        <v>5414</v>
      </c>
      <c r="F1308" s="22" t="n">
        <v>13</v>
      </c>
      <c r="G1308" s="26" t="n">
        <v>109.5</v>
      </c>
      <c r="H1308" s="26" t="n">
        <v>120.52</v>
      </c>
      <c r="I1308" s="26" t="n">
        <v>142.56</v>
      </c>
      <c r="J1308" s="26" t="n">
        <v>153.58</v>
      </c>
      <c r="K1308" s="26" t="n">
        <v>170.11</v>
      </c>
      <c r="L1308" s="26" t="n">
        <v>2.06</v>
      </c>
      <c r="M1308" s="27" t="n">
        <v>0.005</v>
      </c>
      <c r="N1308" s="27" t="n">
        <v>0.002</v>
      </c>
      <c r="O1308" s="26" t="n">
        <v>5</v>
      </c>
      <c r="P1308" s="26" t="n">
        <v>5</v>
      </c>
      <c r="Q1308" s="28" t="n">
        <v>100</v>
      </c>
      <c r="R1308" s="26" t="n">
        <v>30</v>
      </c>
      <c r="S1308" s="26" t="n">
        <v>0</v>
      </c>
      <c r="T1308" s="28" t="n">
        <v>1</v>
      </c>
      <c r="U1308" s="26" t="n">
        <v>0</v>
      </c>
      <c r="V1308" s="26" t="n">
        <v>0</v>
      </c>
      <c r="W1308" s="22" t="s">
        <v>20</v>
      </c>
      <c r="X1308" s="22" t="s">
        <v>373</v>
      </c>
    </row>
    <row r="1309" customFormat="false" ht="15" hidden="false" customHeight="false" outlineLevel="0" collapsed="false">
      <c r="A1309" s="22" t="s">
        <v>5415</v>
      </c>
      <c r="B1309" s="22" t="s">
        <v>20</v>
      </c>
      <c r="C1309" s="22" t="s">
        <v>5416</v>
      </c>
      <c r="D1309" s="22" t="s">
        <v>5417</v>
      </c>
      <c r="E1309" s="22" t="s">
        <v>5418</v>
      </c>
      <c r="F1309" s="22" t="n">
        <v>13</v>
      </c>
      <c r="G1309" s="26" t="n">
        <v>109.5</v>
      </c>
      <c r="H1309" s="26" t="n">
        <v>120.52</v>
      </c>
      <c r="I1309" s="26" t="n">
        <v>142.56</v>
      </c>
      <c r="J1309" s="26" t="n">
        <v>153.58</v>
      </c>
      <c r="K1309" s="26" t="n">
        <v>170.11</v>
      </c>
      <c r="L1309" s="26" t="n">
        <v>2.06</v>
      </c>
      <c r="M1309" s="27" t="n">
        <v>0.005</v>
      </c>
      <c r="N1309" s="27" t="n">
        <v>0.002</v>
      </c>
      <c r="O1309" s="26" t="n">
        <v>5</v>
      </c>
      <c r="P1309" s="26" t="n">
        <v>5</v>
      </c>
      <c r="Q1309" s="28" t="n">
        <v>100</v>
      </c>
      <c r="R1309" s="26" t="n">
        <v>30</v>
      </c>
      <c r="S1309" s="26" t="n">
        <v>0</v>
      </c>
      <c r="T1309" s="28" t="n">
        <v>1</v>
      </c>
      <c r="U1309" s="26" t="n">
        <v>0</v>
      </c>
      <c r="V1309" s="26" t="n">
        <v>0</v>
      </c>
      <c r="W1309" s="22" t="s">
        <v>20</v>
      </c>
      <c r="X1309" s="22" t="s">
        <v>373</v>
      </c>
    </row>
    <row r="1310" customFormat="false" ht="15" hidden="false" customHeight="false" outlineLevel="0" collapsed="false">
      <c r="A1310" s="22" t="s">
        <v>5419</v>
      </c>
      <c r="B1310" s="22" t="s">
        <v>20</v>
      </c>
      <c r="C1310" s="22" t="s">
        <v>5420</v>
      </c>
      <c r="D1310" s="22" t="s">
        <v>5421</v>
      </c>
      <c r="E1310" s="22" t="s">
        <v>5422</v>
      </c>
      <c r="F1310" s="22" t="n">
        <v>13</v>
      </c>
      <c r="G1310" s="26" t="n">
        <v>109.5</v>
      </c>
      <c r="H1310" s="26" t="n">
        <v>120.52</v>
      </c>
      <c r="I1310" s="26" t="n">
        <v>142.56</v>
      </c>
      <c r="J1310" s="26" t="n">
        <v>153.58</v>
      </c>
      <c r="K1310" s="26" t="n">
        <v>170.11</v>
      </c>
      <c r="L1310" s="26" t="n">
        <v>2.06</v>
      </c>
      <c r="M1310" s="27" t="n">
        <v>0.005</v>
      </c>
      <c r="N1310" s="27" t="n">
        <v>0.002</v>
      </c>
      <c r="O1310" s="26" t="n">
        <v>5</v>
      </c>
      <c r="P1310" s="26" t="n">
        <v>5</v>
      </c>
      <c r="Q1310" s="28" t="n">
        <v>100</v>
      </c>
      <c r="R1310" s="26" t="n">
        <v>30</v>
      </c>
      <c r="S1310" s="26" t="n">
        <v>0</v>
      </c>
      <c r="T1310" s="28" t="n">
        <v>1</v>
      </c>
      <c r="U1310" s="26" t="n">
        <v>0</v>
      </c>
      <c r="V1310" s="26" t="n">
        <v>0</v>
      </c>
      <c r="W1310" s="22" t="s">
        <v>20</v>
      </c>
      <c r="X1310" s="22" t="s">
        <v>373</v>
      </c>
    </row>
    <row r="1311" customFormat="false" ht="15" hidden="false" customHeight="false" outlineLevel="0" collapsed="false">
      <c r="A1311" s="22" t="s">
        <v>5423</v>
      </c>
      <c r="B1311" s="22" t="s">
        <v>20</v>
      </c>
      <c r="C1311" s="22" t="s">
        <v>5424</v>
      </c>
      <c r="D1311" s="22" t="s">
        <v>5425</v>
      </c>
      <c r="E1311" s="22" t="s">
        <v>5426</v>
      </c>
      <c r="F1311" s="22" t="n">
        <v>13</v>
      </c>
      <c r="G1311" s="26" t="n">
        <v>109.5</v>
      </c>
      <c r="H1311" s="26" t="n">
        <v>120.52</v>
      </c>
      <c r="I1311" s="26" t="n">
        <v>142.56</v>
      </c>
      <c r="J1311" s="26" t="n">
        <v>153.58</v>
      </c>
      <c r="K1311" s="26" t="n">
        <v>170.11</v>
      </c>
      <c r="L1311" s="26" t="n">
        <v>2.06</v>
      </c>
      <c r="M1311" s="27" t="n">
        <v>0.005</v>
      </c>
      <c r="N1311" s="27" t="n">
        <v>0.002</v>
      </c>
      <c r="O1311" s="26" t="n">
        <v>5</v>
      </c>
      <c r="P1311" s="26" t="n">
        <v>5</v>
      </c>
      <c r="Q1311" s="28" t="n">
        <v>100</v>
      </c>
      <c r="R1311" s="26" t="n">
        <v>30</v>
      </c>
      <c r="S1311" s="26" t="n">
        <v>0</v>
      </c>
      <c r="T1311" s="28" t="n">
        <v>1</v>
      </c>
      <c r="U1311" s="26" t="n">
        <v>0</v>
      </c>
      <c r="V1311" s="26" t="n">
        <v>0</v>
      </c>
      <c r="W1311" s="22" t="s">
        <v>20</v>
      </c>
      <c r="X1311" s="22" t="s">
        <v>373</v>
      </c>
    </row>
    <row r="1312" customFormat="false" ht="15" hidden="false" customHeight="false" outlineLevel="0" collapsed="false">
      <c r="A1312" s="22" t="s">
        <v>5427</v>
      </c>
      <c r="B1312" s="22" t="s">
        <v>20</v>
      </c>
      <c r="C1312" s="22" t="s">
        <v>5428</v>
      </c>
      <c r="D1312" s="22" t="s">
        <v>5429</v>
      </c>
      <c r="E1312" s="22" t="s">
        <v>5430</v>
      </c>
      <c r="F1312" s="22" t="n">
        <v>13</v>
      </c>
      <c r="G1312" s="26" t="n">
        <v>109.5</v>
      </c>
      <c r="H1312" s="26" t="n">
        <v>120.52</v>
      </c>
      <c r="I1312" s="26" t="n">
        <v>142.56</v>
      </c>
      <c r="J1312" s="26" t="n">
        <v>153.58</v>
      </c>
      <c r="K1312" s="26" t="n">
        <v>170.11</v>
      </c>
      <c r="L1312" s="26" t="n">
        <v>2.06</v>
      </c>
      <c r="M1312" s="27" t="n">
        <v>0.005</v>
      </c>
      <c r="N1312" s="27" t="n">
        <v>0.002</v>
      </c>
      <c r="O1312" s="26" t="n">
        <v>5</v>
      </c>
      <c r="P1312" s="26" t="n">
        <v>5</v>
      </c>
      <c r="Q1312" s="28" t="n">
        <v>100</v>
      </c>
      <c r="R1312" s="26" t="n">
        <v>30</v>
      </c>
      <c r="S1312" s="26" t="n">
        <v>0</v>
      </c>
      <c r="T1312" s="28" t="n">
        <v>1</v>
      </c>
      <c r="U1312" s="26" t="n">
        <v>0</v>
      </c>
      <c r="V1312" s="26" t="n">
        <v>0</v>
      </c>
      <c r="W1312" s="22" t="s">
        <v>20</v>
      </c>
      <c r="X1312" s="22" t="s">
        <v>373</v>
      </c>
    </row>
    <row r="1313" customFormat="false" ht="15" hidden="false" customHeight="false" outlineLevel="0" collapsed="false">
      <c r="A1313" s="22" t="s">
        <v>5431</v>
      </c>
      <c r="B1313" s="22" t="s">
        <v>20</v>
      </c>
      <c r="C1313" s="22" t="s">
        <v>5432</v>
      </c>
      <c r="D1313" s="22" t="s">
        <v>5433</v>
      </c>
      <c r="E1313" s="22" t="s">
        <v>5434</v>
      </c>
      <c r="F1313" s="22" t="n">
        <v>13</v>
      </c>
      <c r="G1313" s="26" t="n">
        <v>109.5</v>
      </c>
      <c r="H1313" s="26" t="n">
        <v>120.52</v>
      </c>
      <c r="I1313" s="26" t="n">
        <v>142.56</v>
      </c>
      <c r="J1313" s="26" t="n">
        <v>153.58</v>
      </c>
      <c r="K1313" s="26" t="n">
        <v>170.11</v>
      </c>
      <c r="L1313" s="26" t="n">
        <v>2.06</v>
      </c>
      <c r="M1313" s="27" t="n">
        <v>0.005</v>
      </c>
      <c r="N1313" s="27" t="n">
        <v>0.002</v>
      </c>
      <c r="O1313" s="26" t="n">
        <v>5</v>
      </c>
      <c r="P1313" s="26" t="n">
        <v>5</v>
      </c>
      <c r="Q1313" s="28" t="n">
        <v>100</v>
      </c>
      <c r="R1313" s="26" t="n">
        <v>30</v>
      </c>
      <c r="S1313" s="26" t="n">
        <v>0</v>
      </c>
      <c r="T1313" s="28" t="n">
        <v>1</v>
      </c>
      <c r="U1313" s="26" t="n">
        <v>0</v>
      </c>
      <c r="V1313" s="26" t="n">
        <v>0</v>
      </c>
      <c r="W1313" s="22" t="s">
        <v>20</v>
      </c>
      <c r="X1313" s="22" t="s">
        <v>373</v>
      </c>
    </row>
    <row r="1314" customFormat="false" ht="15" hidden="false" customHeight="false" outlineLevel="0" collapsed="false">
      <c r="A1314" s="22" t="s">
        <v>5435</v>
      </c>
      <c r="B1314" s="22" t="s">
        <v>20</v>
      </c>
      <c r="C1314" s="22" t="s">
        <v>5436</v>
      </c>
      <c r="D1314" s="22" t="s">
        <v>5437</v>
      </c>
      <c r="E1314" s="22" t="s">
        <v>5438</v>
      </c>
      <c r="F1314" s="22" t="n">
        <v>13</v>
      </c>
      <c r="G1314" s="26" t="n">
        <v>109.5</v>
      </c>
      <c r="H1314" s="26" t="n">
        <v>120.52</v>
      </c>
      <c r="I1314" s="26" t="n">
        <v>142.56</v>
      </c>
      <c r="J1314" s="26" t="n">
        <v>153.58</v>
      </c>
      <c r="K1314" s="26" t="n">
        <v>170.11</v>
      </c>
      <c r="L1314" s="26" t="n">
        <v>2.06</v>
      </c>
      <c r="M1314" s="27" t="n">
        <v>0.005</v>
      </c>
      <c r="N1314" s="27" t="n">
        <v>0.002</v>
      </c>
      <c r="O1314" s="26" t="n">
        <v>5</v>
      </c>
      <c r="P1314" s="26" t="n">
        <v>5</v>
      </c>
      <c r="Q1314" s="28" t="n">
        <v>100</v>
      </c>
      <c r="R1314" s="26" t="n">
        <v>30</v>
      </c>
      <c r="S1314" s="26" t="n">
        <v>0</v>
      </c>
      <c r="T1314" s="28" t="n">
        <v>1</v>
      </c>
      <c r="U1314" s="26" t="n">
        <v>0</v>
      </c>
      <c r="V1314" s="26" t="n">
        <v>0</v>
      </c>
      <c r="W1314" s="22" t="s">
        <v>20</v>
      </c>
      <c r="X1314" s="22" t="s">
        <v>373</v>
      </c>
    </row>
    <row r="1315" customFormat="false" ht="15" hidden="false" customHeight="false" outlineLevel="0" collapsed="false">
      <c r="A1315" s="22" t="s">
        <v>5439</v>
      </c>
      <c r="B1315" s="22" t="s">
        <v>20</v>
      </c>
      <c r="C1315" s="22" t="s">
        <v>5440</v>
      </c>
      <c r="D1315" s="22" t="s">
        <v>5441</v>
      </c>
      <c r="E1315" s="22" t="s">
        <v>5442</v>
      </c>
      <c r="F1315" s="22" t="n">
        <v>13</v>
      </c>
      <c r="G1315" s="26" t="n">
        <v>109.5</v>
      </c>
      <c r="H1315" s="26" t="n">
        <v>120.52</v>
      </c>
      <c r="I1315" s="26" t="n">
        <v>142.56</v>
      </c>
      <c r="J1315" s="26" t="n">
        <v>153.58</v>
      </c>
      <c r="K1315" s="26" t="n">
        <v>170.11</v>
      </c>
      <c r="L1315" s="26" t="n">
        <v>2.06</v>
      </c>
      <c r="M1315" s="27" t="n">
        <v>0.005</v>
      </c>
      <c r="N1315" s="27" t="n">
        <v>0.002</v>
      </c>
      <c r="O1315" s="26" t="n">
        <v>5</v>
      </c>
      <c r="P1315" s="26" t="n">
        <v>5</v>
      </c>
      <c r="Q1315" s="28" t="n">
        <v>100</v>
      </c>
      <c r="R1315" s="26" t="n">
        <v>30</v>
      </c>
      <c r="S1315" s="26" t="n">
        <v>0</v>
      </c>
      <c r="T1315" s="28" t="n">
        <v>1</v>
      </c>
      <c r="U1315" s="26" t="n">
        <v>0</v>
      </c>
      <c r="V1315" s="26" t="n">
        <v>0</v>
      </c>
      <c r="W1315" s="22" t="s">
        <v>20</v>
      </c>
      <c r="X1315" s="22" t="s">
        <v>373</v>
      </c>
    </row>
    <row r="1316" customFormat="false" ht="15" hidden="false" customHeight="false" outlineLevel="0" collapsed="false">
      <c r="A1316" s="22" t="s">
        <v>5443</v>
      </c>
      <c r="B1316" s="22" t="s">
        <v>20</v>
      </c>
      <c r="C1316" s="22" t="s">
        <v>5444</v>
      </c>
      <c r="D1316" s="22" t="s">
        <v>5445</v>
      </c>
      <c r="E1316" s="22" t="s">
        <v>5446</v>
      </c>
      <c r="F1316" s="22" t="n">
        <v>13</v>
      </c>
      <c r="G1316" s="26" t="n">
        <v>109.5</v>
      </c>
      <c r="H1316" s="26" t="n">
        <v>120.52</v>
      </c>
      <c r="I1316" s="26" t="n">
        <v>142.56</v>
      </c>
      <c r="J1316" s="26" t="n">
        <v>153.58</v>
      </c>
      <c r="K1316" s="26" t="n">
        <v>170.11</v>
      </c>
      <c r="L1316" s="26" t="n">
        <v>2.06</v>
      </c>
      <c r="M1316" s="27" t="n">
        <v>0.005</v>
      </c>
      <c r="N1316" s="27" t="n">
        <v>0.002</v>
      </c>
      <c r="O1316" s="26" t="n">
        <v>5</v>
      </c>
      <c r="P1316" s="26" t="n">
        <v>5</v>
      </c>
      <c r="Q1316" s="28" t="n">
        <v>100</v>
      </c>
      <c r="R1316" s="26" t="n">
        <v>30</v>
      </c>
      <c r="S1316" s="26" t="n">
        <v>0</v>
      </c>
      <c r="T1316" s="28" t="n">
        <v>1</v>
      </c>
      <c r="U1316" s="26" t="n">
        <v>0</v>
      </c>
      <c r="V1316" s="26" t="n">
        <v>0</v>
      </c>
      <c r="W1316" s="22" t="s">
        <v>20</v>
      </c>
      <c r="X1316" s="22" t="s">
        <v>373</v>
      </c>
    </row>
    <row r="1317" customFormat="false" ht="15" hidden="false" customHeight="false" outlineLevel="0" collapsed="false">
      <c r="A1317" s="22" t="s">
        <v>5447</v>
      </c>
      <c r="B1317" s="22" t="s">
        <v>20</v>
      </c>
      <c r="C1317" s="22" t="s">
        <v>5448</v>
      </c>
      <c r="D1317" s="22" t="s">
        <v>5449</v>
      </c>
      <c r="E1317" s="22" t="s">
        <v>5450</v>
      </c>
      <c r="F1317" s="22" t="n">
        <v>13</v>
      </c>
      <c r="G1317" s="26" t="n">
        <v>109.5</v>
      </c>
      <c r="H1317" s="26" t="n">
        <v>120.52</v>
      </c>
      <c r="I1317" s="26" t="n">
        <v>142.56</v>
      </c>
      <c r="J1317" s="26" t="n">
        <v>153.58</v>
      </c>
      <c r="K1317" s="26" t="n">
        <v>170.11</v>
      </c>
      <c r="L1317" s="26" t="n">
        <v>2.06</v>
      </c>
      <c r="M1317" s="27" t="n">
        <v>0.005</v>
      </c>
      <c r="N1317" s="27" t="n">
        <v>0.002</v>
      </c>
      <c r="O1317" s="26" t="n">
        <v>5</v>
      </c>
      <c r="P1317" s="26" t="n">
        <v>5</v>
      </c>
      <c r="Q1317" s="28" t="n">
        <v>100</v>
      </c>
      <c r="R1317" s="26" t="n">
        <v>30</v>
      </c>
      <c r="S1317" s="26" t="n">
        <v>0</v>
      </c>
      <c r="T1317" s="28" t="n">
        <v>1</v>
      </c>
      <c r="U1317" s="26" t="n">
        <v>0</v>
      </c>
      <c r="V1317" s="26" t="n">
        <v>0</v>
      </c>
      <c r="W1317" s="22" t="s">
        <v>20</v>
      </c>
      <c r="X1317" s="22" t="s">
        <v>373</v>
      </c>
    </row>
    <row r="1318" customFormat="false" ht="15" hidden="false" customHeight="false" outlineLevel="0" collapsed="false">
      <c r="A1318" s="22" t="s">
        <v>5451</v>
      </c>
      <c r="B1318" s="22" t="s">
        <v>20</v>
      </c>
      <c r="C1318" s="22" t="s">
        <v>5452</v>
      </c>
      <c r="D1318" s="22" t="s">
        <v>5453</v>
      </c>
      <c r="E1318" s="22" t="s">
        <v>5454</v>
      </c>
      <c r="F1318" s="22" t="n">
        <v>13</v>
      </c>
      <c r="G1318" s="26" t="n">
        <v>109.5</v>
      </c>
      <c r="H1318" s="26" t="n">
        <v>120.52</v>
      </c>
      <c r="I1318" s="26" t="n">
        <v>142.56</v>
      </c>
      <c r="J1318" s="26" t="n">
        <v>153.58</v>
      </c>
      <c r="K1318" s="26" t="n">
        <v>170.11</v>
      </c>
      <c r="L1318" s="26" t="n">
        <v>2.06</v>
      </c>
      <c r="M1318" s="27" t="n">
        <v>0.005</v>
      </c>
      <c r="N1318" s="27" t="n">
        <v>0.002</v>
      </c>
      <c r="O1318" s="26" t="n">
        <v>5</v>
      </c>
      <c r="P1318" s="26" t="n">
        <v>5</v>
      </c>
      <c r="Q1318" s="28" t="n">
        <v>100</v>
      </c>
      <c r="R1318" s="26" t="n">
        <v>30</v>
      </c>
      <c r="S1318" s="26" t="n">
        <v>0</v>
      </c>
      <c r="T1318" s="28" t="n">
        <v>1</v>
      </c>
      <c r="U1318" s="26" t="n">
        <v>0</v>
      </c>
      <c r="V1318" s="26" t="n">
        <v>0</v>
      </c>
      <c r="W1318" s="22" t="s">
        <v>20</v>
      </c>
      <c r="X1318" s="22" t="s">
        <v>373</v>
      </c>
    </row>
    <row r="1319" customFormat="false" ht="15" hidden="false" customHeight="false" outlineLevel="0" collapsed="false">
      <c r="A1319" s="22" t="s">
        <v>5455</v>
      </c>
      <c r="B1319" s="22" t="s">
        <v>20</v>
      </c>
      <c r="C1319" s="22" t="s">
        <v>5456</v>
      </c>
      <c r="D1319" s="22" t="s">
        <v>5457</v>
      </c>
      <c r="E1319" s="22" t="s">
        <v>5458</v>
      </c>
      <c r="F1319" s="22" t="n">
        <v>13</v>
      </c>
      <c r="G1319" s="26" t="n">
        <v>109.5</v>
      </c>
      <c r="H1319" s="26" t="n">
        <v>120.52</v>
      </c>
      <c r="I1319" s="26" t="n">
        <v>142.56</v>
      </c>
      <c r="J1319" s="26" t="n">
        <v>153.58</v>
      </c>
      <c r="K1319" s="26" t="n">
        <v>170.11</v>
      </c>
      <c r="L1319" s="26" t="n">
        <v>2.06</v>
      </c>
      <c r="M1319" s="27" t="n">
        <v>0.005</v>
      </c>
      <c r="N1319" s="27" t="n">
        <v>0.002</v>
      </c>
      <c r="O1319" s="26" t="n">
        <v>5</v>
      </c>
      <c r="P1319" s="26" t="n">
        <v>5</v>
      </c>
      <c r="Q1319" s="28" t="n">
        <v>100</v>
      </c>
      <c r="R1319" s="26" t="n">
        <v>30</v>
      </c>
      <c r="S1319" s="26" t="n">
        <v>0</v>
      </c>
      <c r="T1319" s="28" t="n">
        <v>1</v>
      </c>
      <c r="U1319" s="26" t="n">
        <v>0</v>
      </c>
      <c r="V1319" s="26" t="n">
        <v>0</v>
      </c>
      <c r="W1319" s="22" t="s">
        <v>20</v>
      </c>
      <c r="X1319" s="22" t="s">
        <v>373</v>
      </c>
    </row>
    <row r="1320" customFormat="false" ht="15" hidden="false" customHeight="false" outlineLevel="0" collapsed="false">
      <c r="A1320" s="22" t="s">
        <v>5459</v>
      </c>
      <c r="B1320" s="22" t="s">
        <v>20</v>
      </c>
      <c r="C1320" s="22" t="s">
        <v>5460</v>
      </c>
      <c r="D1320" s="22" t="s">
        <v>5461</v>
      </c>
      <c r="E1320" s="22" t="s">
        <v>5462</v>
      </c>
      <c r="F1320" s="22" t="n">
        <v>13</v>
      </c>
      <c r="G1320" s="26" t="n">
        <v>109.5</v>
      </c>
      <c r="H1320" s="26" t="n">
        <v>120.52</v>
      </c>
      <c r="I1320" s="26" t="n">
        <v>142.56</v>
      </c>
      <c r="J1320" s="26" t="n">
        <v>153.58</v>
      </c>
      <c r="K1320" s="26" t="n">
        <v>170.11</v>
      </c>
      <c r="L1320" s="26" t="n">
        <v>2.06</v>
      </c>
      <c r="M1320" s="27" t="n">
        <v>0.005</v>
      </c>
      <c r="N1320" s="27" t="n">
        <v>0.002</v>
      </c>
      <c r="O1320" s="26" t="n">
        <v>5</v>
      </c>
      <c r="P1320" s="26" t="n">
        <v>5</v>
      </c>
      <c r="Q1320" s="28" t="n">
        <v>100</v>
      </c>
      <c r="R1320" s="26" t="n">
        <v>30</v>
      </c>
      <c r="S1320" s="26" t="n">
        <v>0</v>
      </c>
      <c r="T1320" s="28" t="n">
        <v>1</v>
      </c>
      <c r="U1320" s="26" t="n">
        <v>0</v>
      </c>
      <c r="V1320" s="26" t="n">
        <v>0</v>
      </c>
      <c r="W1320" s="22" t="s">
        <v>20</v>
      </c>
      <c r="X1320" s="22" t="s">
        <v>373</v>
      </c>
    </row>
    <row r="1321" customFormat="false" ht="15" hidden="false" customHeight="false" outlineLevel="0" collapsed="false">
      <c r="A1321" s="22" t="s">
        <v>5463</v>
      </c>
      <c r="B1321" s="22" t="s">
        <v>20</v>
      </c>
      <c r="C1321" s="22" t="s">
        <v>4756</v>
      </c>
      <c r="D1321" s="22" t="s">
        <v>5464</v>
      </c>
      <c r="E1321" s="22" t="s">
        <v>5465</v>
      </c>
      <c r="F1321" s="22" t="n">
        <v>13</v>
      </c>
      <c r="G1321" s="26" t="n">
        <v>109.5</v>
      </c>
      <c r="H1321" s="26" t="n">
        <v>120.52</v>
      </c>
      <c r="I1321" s="26" t="n">
        <v>142.56</v>
      </c>
      <c r="J1321" s="26" t="n">
        <v>153.58</v>
      </c>
      <c r="K1321" s="26" t="n">
        <v>170.11</v>
      </c>
      <c r="L1321" s="26" t="n">
        <v>2.06</v>
      </c>
      <c r="M1321" s="27" t="n">
        <v>0.005</v>
      </c>
      <c r="N1321" s="27" t="n">
        <v>0.002</v>
      </c>
      <c r="O1321" s="26" t="n">
        <v>5</v>
      </c>
      <c r="P1321" s="26" t="n">
        <v>5</v>
      </c>
      <c r="Q1321" s="28" t="n">
        <v>100</v>
      </c>
      <c r="R1321" s="26" t="n">
        <v>30</v>
      </c>
      <c r="S1321" s="26" t="n">
        <v>0</v>
      </c>
      <c r="T1321" s="28" t="n">
        <v>1</v>
      </c>
      <c r="U1321" s="26" t="n">
        <v>0</v>
      </c>
      <c r="V1321" s="26" t="n">
        <v>0</v>
      </c>
      <c r="W1321" s="22" t="s">
        <v>20</v>
      </c>
      <c r="X1321" s="22" t="s">
        <v>373</v>
      </c>
    </row>
    <row r="1322" customFormat="false" ht="15" hidden="false" customHeight="false" outlineLevel="0" collapsed="false">
      <c r="A1322" s="22" t="s">
        <v>5466</v>
      </c>
      <c r="B1322" s="22" t="s">
        <v>20</v>
      </c>
      <c r="C1322" s="22" t="s">
        <v>5467</v>
      </c>
      <c r="D1322" s="22" t="s">
        <v>5468</v>
      </c>
      <c r="E1322" s="22" t="s">
        <v>5469</v>
      </c>
      <c r="F1322" s="22" t="n">
        <v>13</v>
      </c>
      <c r="G1322" s="26" t="n">
        <v>109.5</v>
      </c>
      <c r="H1322" s="26" t="n">
        <v>120.52</v>
      </c>
      <c r="I1322" s="26" t="n">
        <v>142.56</v>
      </c>
      <c r="J1322" s="26" t="n">
        <v>153.58</v>
      </c>
      <c r="K1322" s="26" t="n">
        <v>170.11</v>
      </c>
      <c r="L1322" s="26" t="n">
        <v>2.06</v>
      </c>
      <c r="M1322" s="27" t="n">
        <v>0.005</v>
      </c>
      <c r="N1322" s="27" t="n">
        <v>0.002</v>
      </c>
      <c r="O1322" s="26" t="n">
        <v>5</v>
      </c>
      <c r="P1322" s="26" t="n">
        <v>5</v>
      </c>
      <c r="Q1322" s="28" t="n">
        <v>100</v>
      </c>
      <c r="R1322" s="26" t="n">
        <v>30</v>
      </c>
      <c r="S1322" s="26" t="n">
        <v>0</v>
      </c>
      <c r="T1322" s="28" t="n">
        <v>1</v>
      </c>
      <c r="U1322" s="26" t="n">
        <v>0</v>
      </c>
      <c r="V1322" s="26" t="n">
        <v>0</v>
      </c>
      <c r="W1322" s="22" t="s">
        <v>20</v>
      </c>
      <c r="X1322" s="22" t="s">
        <v>373</v>
      </c>
    </row>
    <row r="1323" customFormat="false" ht="15" hidden="false" customHeight="false" outlineLevel="0" collapsed="false">
      <c r="A1323" s="22" t="s">
        <v>5470</v>
      </c>
      <c r="B1323" s="22" t="s">
        <v>20</v>
      </c>
      <c r="C1323" s="22" t="s">
        <v>5471</v>
      </c>
      <c r="D1323" s="22" t="s">
        <v>5472</v>
      </c>
      <c r="E1323" s="22" t="s">
        <v>5473</v>
      </c>
      <c r="F1323" s="22" t="n">
        <v>13</v>
      </c>
      <c r="G1323" s="26" t="n">
        <v>109.5</v>
      </c>
      <c r="H1323" s="26" t="n">
        <v>120.52</v>
      </c>
      <c r="I1323" s="26" t="n">
        <v>142.56</v>
      </c>
      <c r="J1323" s="26" t="n">
        <v>153.58</v>
      </c>
      <c r="K1323" s="26" t="n">
        <v>170.11</v>
      </c>
      <c r="L1323" s="26" t="n">
        <v>2.06</v>
      </c>
      <c r="M1323" s="27" t="n">
        <v>0.005</v>
      </c>
      <c r="N1323" s="27" t="n">
        <v>0.002</v>
      </c>
      <c r="O1323" s="26" t="n">
        <v>5</v>
      </c>
      <c r="P1323" s="26" t="n">
        <v>5</v>
      </c>
      <c r="Q1323" s="28" t="n">
        <v>100</v>
      </c>
      <c r="R1323" s="26" t="n">
        <v>30</v>
      </c>
      <c r="S1323" s="26" t="n">
        <v>0</v>
      </c>
      <c r="T1323" s="28" t="n">
        <v>1</v>
      </c>
      <c r="U1323" s="26" t="n">
        <v>0</v>
      </c>
      <c r="V1323" s="26" t="n">
        <v>0</v>
      </c>
      <c r="W1323" s="22" t="s">
        <v>20</v>
      </c>
      <c r="X1323" s="22" t="s">
        <v>373</v>
      </c>
    </row>
    <row r="1324" customFormat="false" ht="15" hidden="false" customHeight="false" outlineLevel="0" collapsed="false">
      <c r="A1324" s="22" t="s">
        <v>5474</v>
      </c>
      <c r="B1324" s="22" t="s">
        <v>20</v>
      </c>
      <c r="C1324" s="22" t="s">
        <v>5475</v>
      </c>
      <c r="D1324" s="22" t="s">
        <v>5476</v>
      </c>
      <c r="E1324" s="22" t="s">
        <v>5477</v>
      </c>
      <c r="F1324" s="22" t="n">
        <v>13</v>
      </c>
      <c r="G1324" s="26" t="n">
        <v>109.5</v>
      </c>
      <c r="H1324" s="26" t="n">
        <v>120.52</v>
      </c>
      <c r="I1324" s="26" t="n">
        <v>142.56</v>
      </c>
      <c r="J1324" s="26" t="n">
        <v>153.58</v>
      </c>
      <c r="K1324" s="26" t="n">
        <v>170.11</v>
      </c>
      <c r="L1324" s="26" t="n">
        <v>2.06</v>
      </c>
      <c r="M1324" s="27" t="n">
        <v>0.005</v>
      </c>
      <c r="N1324" s="27" t="n">
        <v>0.002</v>
      </c>
      <c r="O1324" s="26" t="n">
        <v>5</v>
      </c>
      <c r="P1324" s="26" t="n">
        <v>5</v>
      </c>
      <c r="Q1324" s="28" t="n">
        <v>100</v>
      </c>
      <c r="R1324" s="26" t="n">
        <v>30</v>
      </c>
      <c r="S1324" s="26" t="n">
        <v>0</v>
      </c>
      <c r="T1324" s="28" t="n">
        <v>1</v>
      </c>
      <c r="U1324" s="26" t="n">
        <v>0</v>
      </c>
      <c r="V1324" s="26" t="n">
        <v>0</v>
      </c>
      <c r="W1324" s="22" t="s">
        <v>20</v>
      </c>
      <c r="X1324" s="22" t="s">
        <v>373</v>
      </c>
    </row>
    <row r="1325" customFormat="false" ht="15" hidden="false" customHeight="false" outlineLevel="0" collapsed="false">
      <c r="A1325" s="22" t="s">
        <v>5478</v>
      </c>
      <c r="B1325" s="22" t="s">
        <v>20</v>
      </c>
      <c r="C1325" s="22" t="s">
        <v>5479</v>
      </c>
      <c r="D1325" s="22" t="s">
        <v>5480</v>
      </c>
      <c r="E1325" s="22" t="s">
        <v>5481</v>
      </c>
      <c r="F1325" s="22" t="n">
        <v>13</v>
      </c>
      <c r="G1325" s="26" t="n">
        <v>109.5</v>
      </c>
      <c r="H1325" s="26" t="n">
        <v>120.52</v>
      </c>
      <c r="I1325" s="26" t="n">
        <v>142.56</v>
      </c>
      <c r="J1325" s="26" t="n">
        <v>153.58</v>
      </c>
      <c r="K1325" s="26" t="n">
        <v>170.11</v>
      </c>
      <c r="L1325" s="26" t="n">
        <v>2.06</v>
      </c>
      <c r="M1325" s="27" t="n">
        <v>0.005</v>
      </c>
      <c r="N1325" s="27" t="n">
        <v>0.002</v>
      </c>
      <c r="O1325" s="26" t="n">
        <v>5</v>
      </c>
      <c r="P1325" s="26" t="n">
        <v>5</v>
      </c>
      <c r="Q1325" s="28" t="n">
        <v>100</v>
      </c>
      <c r="R1325" s="26" t="n">
        <v>30</v>
      </c>
      <c r="S1325" s="26" t="n">
        <v>0</v>
      </c>
      <c r="T1325" s="28" t="n">
        <v>1</v>
      </c>
      <c r="U1325" s="26" t="n">
        <v>0</v>
      </c>
      <c r="V1325" s="26" t="n">
        <v>0</v>
      </c>
      <c r="W1325" s="22" t="s">
        <v>20</v>
      </c>
      <c r="X1325" s="22" t="s">
        <v>373</v>
      </c>
    </row>
    <row r="1326" customFormat="false" ht="15" hidden="false" customHeight="false" outlineLevel="0" collapsed="false">
      <c r="A1326" s="22" t="s">
        <v>5482</v>
      </c>
      <c r="B1326" s="22" t="s">
        <v>20</v>
      </c>
      <c r="C1326" s="22" t="s">
        <v>5483</v>
      </c>
      <c r="D1326" s="22" t="s">
        <v>5484</v>
      </c>
      <c r="E1326" s="22" t="s">
        <v>5485</v>
      </c>
      <c r="F1326" s="22" t="n">
        <v>13</v>
      </c>
      <c r="G1326" s="26" t="n">
        <v>109.5</v>
      </c>
      <c r="H1326" s="26" t="n">
        <v>120.52</v>
      </c>
      <c r="I1326" s="26" t="n">
        <v>142.56</v>
      </c>
      <c r="J1326" s="26" t="n">
        <v>153.58</v>
      </c>
      <c r="K1326" s="26" t="n">
        <v>170.11</v>
      </c>
      <c r="L1326" s="26" t="n">
        <v>2.06</v>
      </c>
      <c r="M1326" s="27" t="n">
        <v>0.005</v>
      </c>
      <c r="N1326" s="27" t="n">
        <v>0.002</v>
      </c>
      <c r="O1326" s="26" t="n">
        <v>5</v>
      </c>
      <c r="P1326" s="26" t="n">
        <v>5</v>
      </c>
      <c r="Q1326" s="28" t="n">
        <v>100</v>
      </c>
      <c r="R1326" s="26" t="n">
        <v>30</v>
      </c>
      <c r="S1326" s="26" t="n">
        <v>0</v>
      </c>
      <c r="T1326" s="28" t="n">
        <v>1</v>
      </c>
      <c r="U1326" s="26" t="n">
        <v>0</v>
      </c>
      <c r="V1326" s="26" t="n">
        <v>0</v>
      </c>
      <c r="W1326" s="22" t="s">
        <v>20</v>
      </c>
      <c r="X1326" s="22" t="s">
        <v>373</v>
      </c>
    </row>
    <row r="1327" customFormat="false" ht="15" hidden="false" customHeight="false" outlineLevel="0" collapsed="false">
      <c r="A1327" s="22" t="s">
        <v>5486</v>
      </c>
      <c r="B1327" s="22" t="s">
        <v>20</v>
      </c>
      <c r="C1327" s="22" t="s">
        <v>5487</v>
      </c>
      <c r="D1327" s="22" t="s">
        <v>5488</v>
      </c>
      <c r="E1327" s="22" t="s">
        <v>5489</v>
      </c>
      <c r="F1327" s="22" t="n">
        <v>13</v>
      </c>
      <c r="G1327" s="26" t="n">
        <v>109.5</v>
      </c>
      <c r="H1327" s="26" t="n">
        <v>120.52</v>
      </c>
      <c r="I1327" s="26" t="n">
        <v>142.56</v>
      </c>
      <c r="J1327" s="26" t="n">
        <v>153.58</v>
      </c>
      <c r="K1327" s="26" t="n">
        <v>170.11</v>
      </c>
      <c r="L1327" s="26" t="n">
        <v>2.06</v>
      </c>
      <c r="M1327" s="27" t="n">
        <v>0.005</v>
      </c>
      <c r="N1327" s="27" t="n">
        <v>0.002</v>
      </c>
      <c r="O1327" s="26" t="n">
        <v>5</v>
      </c>
      <c r="P1327" s="26" t="n">
        <v>5</v>
      </c>
      <c r="Q1327" s="28" t="n">
        <v>100</v>
      </c>
      <c r="R1327" s="26" t="n">
        <v>30</v>
      </c>
      <c r="S1327" s="26" t="n">
        <v>0</v>
      </c>
      <c r="T1327" s="28" t="n">
        <v>1</v>
      </c>
      <c r="U1327" s="26" t="n">
        <v>0</v>
      </c>
      <c r="V1327" s="26" t="n">
        <v>0</v>
      </c>
      <c r="W1327" s="22" t="s">
        <v>20</v>
      </c>
      <c r="X1327" s="22" t="s">
        <v>373</v>
      </c>
    </row>
    <row r="1328" customFormat="false" ht="15" hidden="false" customHeight="false" outlineLevel="0" collapsed="false">
      <c r="A1328" s="22" t="s">
        <v>5490</v>
      </c>
      <c r="B1328" s="22" t="s">
        <v>20</v>
      </c>
      <c r="C1328" s="22" t="s">
        <v>5491</v>
      </c>
      <c r="D1328" s="22" t="s">
        <v>5492</v>
      </c>
      <c r="E1328" s="22" t="s">
        <v>5493</v>
      </c>
      <c r="F1328" s="22" t="n">
        <v>13</v>
      </c>
      <c r="G1328" s="26" t="n">
        <v>109.5</v>
      </c>
      <c r="H1328" s="26" t="n">
        <v>120.52</v>
      </c>
      <c r="I1328" s="26" t="n">
        <v>142.56</v>
      </c>
      <c r="J1328" s="26" t="n">
        <v>153.58</v>
      </c>
      <c r="K1328" s="26" t="n">
        <v>170.11</v>
      </c>
      <c r="L1328" s="26" t="n">
        <v>2.06</v>
      </c>
      <c r="M1328" s="27" t="n">
        <v>0.005</v>
      </c>
      <c r="N1328" s="27" t="n">
        <v>0.002</v>
      </c>
      <c r="O1328" s="26" t="n">
        <v>5</v>
      </c>
      <c r="P1328" s="26" t="n">
        <v>5</v>
      </c>
      <c r="Q1328" s="28" t="n">
        <v>100</v>
      </c>
      <c r="R1328" s="26" t="n">
        <v>30</v>
      </c>
      <c r="S1328" s="26" t="n">
        <v>0</v>
      </c>
      <c r="T1328" s="28" t="n">
        <v>1</v>
      </c>
      <c r="U1328" s="26" t="n">
        <v>0</v>
      </c>
      <c r="V1328" s="26" t="n">
        <v>0</v>
      </c>
      <c r="W1328" s="22" t="s">
        <v>20</v>
      </c>
      <c r="X1328" s="22" t="s">
        <v>373</v>
      </c>
    </row>
    <row r="1329" customFormat="false" ht="15" hidden="false" customHeight="false" outlineLevel="0" collapsed="false">
      <c r="A1329" s="22" t="s">
        <v>5494</v>
      </c>
      <c r="B1329" s="22" t="s">
        <v>20</v>
      </c>
      <c r="C1329" s="22" t="s">
        <v>5495</v>
      </c>
      <c r="D1329" s="22" t="s">
        <v>5496</v>
      </c>
      <c r="E1329" s="22" t="s">
        <v>5497</v>
      </c>
      <c r="F1329" s="22" t="n">
        <v>13</v>
      </c>
      <c r="G1329" s="26" t="n">
        <v>109.5</v>
      </c>
      <c r="H1329" s="26" t="n">
        <v>120.52</v>
      </c>
      <c r="I1329" s="26" t="n">
        <v>142.56</v>
      </c>
      <c r="J1329" s="26" t="n">
        <v>153.58</v>
      </c>
      <c r="K1329" s="26" t="n">
        <v>170.11</v>
      </c>
      <c r="L1329" s="26" t="n">
        <v>2.06</v>
      </c>
      <c r="M1329" s="27" t="n">
        <v>0.005</v>
      </c>
      <c r="N1329" s="27" t="n">
        <v>0.002</v>
      </c>
      <c r="O1329" s="26" t="n">
        <v>5</v>
      </c>
      <c r="P1329" s="26" t="n">
        <v>5</v>
      </c>
      <c r="Q1329" s="28" t="n">
        <v>100</v>
      </c>
      <c r="R1329" s="26" t="n">
        <v>30</v>
      </c>
      <c r="S1329" s="26" t="n">
        <v>0</v>
      </c>
      <c r="T1329" s="28" t="n">
        <v>1</v>
      </c>
      <c r="U1329" s="26" t="n">
        <v>0</v>
      </c>
      <c r="V1329" s="26" t="n">
        <v>0</v>
      </c>
      <c r="W1329" s="22" t="s">
        <v>20</v>
      </c>
      <c r="X1329" s="22" t="s">
        <v>373</v>
      </c>
    </row>
    <row r="1330" customFormat="false" ht="15" hidden="false" customHeight="false" outlineLevel="0" collapsed="false">
      <c r="A1330" s="22" t="s">
        <v>5498</v>
      </c>
      <c r="B1330" s="22" t="s">
        <v>21</v>
      </c>
      <c r="C1330" s="22" t="s">
        <v>167</v>
      </c>
      <c r="D1330" s="22" t="s">
        <v>5499</v>
      </c>
      <c r="E1330" s="22" t="s">
        <v>5500</v>
      </c>
      <c r="F1330" s="22" t="n">
        <v>10</v>
      </c>
      <c r="G1330" s="26" t="n">
        <v>177.4</v>
      </c>
      <c r="H1330" s="26" t="n">
        <v>199.53</v>
      </c>
      <c r="I1330" s="26" t="n">
        <v>221.66</v>
      </c>
      <c r="J1330" s="26" t="n">
        <v>238.26</v>
      </c>
      <c r="K1330" s="26" t="n">
        <v>254.85</v>
      </c>
      <c r="L1330" s="26" t="n">
        <v>2.21</v>
      </c>
      <c r="M1330" s="27" t="n">
        <v>0.005</v>
      </c>
      <c r="N1330" s="27" t="n">
        <v>0.002</v>
      </c>
      <c r="O1330" s="26" t="n">
        <v>5</v>
      </c>
      <c r="P1330" s="26" t="n">
        <v>5</v>
      </c>
      <c r="Q1330" s="28" t="n">
        <v>100</v>
      </c>
      <c r="R1330" s="26" t="n">
        <v>30</v>
      </c>
      <c r="S1330" s="26" t="n">
        <v>0</v>
      </c>
      <c r="T1330" s="28" t="n">
        <v>1</v>
      </c>
      <c r="U1330" s="26" t="n">
        <v>0</v>
      </c>
      <c r="V1330" s="26" t="n">
        <v>0</v>
      </c>
      <c r="W1330" s="22" t="s">
        <v>21</v>
      </c>
      <c r="X1330" s="22" t="s">
        <v>286</v>
      </c>
    </row>
    <row r="1331" customFormat="false" ht="15" hidden="false" customHeight="false" outlineLevel="0" collapsed="false">
      <c r="A1331" s="22" t="s">
        <v>5501</v>
      </c>
      <c r="B1331" s="22" t="s">
        <v>21</v>
      </c>
      <c r="C1331" s="22" t="s">
        <v>5502</v>
      </c>
      <c r="D1331" s="22" t="s">
        <v>5503</v>
      </c>
      <c r="E1331" s="22" t="s">
        <v>5504</v>
      </c>
      <c r="F1331" s="22" t="n">
        <v>13</v>
      </c>
      <c r="G1331" s="26" t="n">
        <v>191.92</v>
      </c>
      <c r="H1331" s="26" t="n">
        <v>214.05</v>
      </c>
      <c r="I1331" s="26" t="n">
        <v>236.18</v>
      </c>
      <c r="J1331" s="26" t="n">
        <v>252.78</v>
      </c>
      <c r="K1331" s="26" t="n">
        <v>269.38</v>
      </c>
      <c r="L1331" s="26" t="n">
        <v>2.39</v>
      </c>
      <c r="M1331" s="27" t="n">
        <v>0.005</v>
      </c>
      <c r="N1331" s="27" t="n">
        <v>0.002</v>
      </c>
      <c r="O1331" s="26" t="n">
        <v>5</v>
      </c>
      <c r="P1331" s="26" t="n">
        <v>5</v>
      </c>
      <c r="Q1331" s="28" t="n">
        <v>100</v>
      </c>
      <c r="R1331" s="26" t="n">
        <v>30</v>
      </c>
      <c r="S1331" s="26" t="n">
        <v>0</v>
      </c>
      <c r="T1331" s="28" t="n">
        <v>1</v>
      </c>
      <c r="U1331" s="26" t="n">
        <v>0</v>
      </c>
      <c r="V1331" s="26" t="n">
        <v>0</v>
      </c>
      <c r="W1331" s="22" t="s">
        <v>21</v>
      </c>
      <c r="X1331" s="22" t="s">
        <v>293</v>
      </c>
    </row>
    <row r="1332" customFormat="false" ht="15" hidden="false" customHeight="false" outlineLevel="0" collapsed="false">
      <c r="A1332" s="22" t="s">
        <v>5505</v>
      </c>
      <c r="B1332" s="22" t="s">
        <v>21</v>
      </c>
      <c r="C1332" s="22" t="s">
        <v>5506</v>
      </c>
      <c r="D1332" s="22" t="s">
        <v>5507</v>
      </c>
      <c r="E1332" s="22" t="s">
        <v>5508</v>
      </c>
      <c r="F1332" s="22" t="n">
        <v>13</v>
      </c>
      <c r="G1332" s="26" t="n">
        <v>191.92</v>
      </c>
      <c r="H1332" s="26" t="n">
        <v>214.05</v>
      </c>
      <c r="I1332" s="26" t="n">
        <v>236.18</v>
      </c>
      <c r="J1332" s="26" t="n">
        <v>252.78</v>
      </c>
      <c r="K1332" s="26" t="n">
        <v>269.38</v>
      </c>
      <c r="L1332" s="26" t="n">
        <v>2.39</v>
      </c>
      <c r="M1332" s="27" t="n">
        <v>0.005</v>
      </c>
      <c r="N1332" s="27" t="n">
        <v>0.002</v>
      </c>
      <c r="O1332" s="26" t="n">
        <v>5</v>
      </c>
      <c r="P1332" s="26" t="n">
        <v>5</v>
      </c>
      <c r="Q1332" s="28" t="n">
        <v>100</v>
      </c>
      <c r="R1332" s="26" t="n">
        <v>30</v>
      </c>
      <c r="S1332" s="26" t="n">
        <v>0</v>
      </c>
      <c r="T1332" s="28" t="n">
        <v>1</v>
      </c>
      <c r="U1332" s="26" t="n">
        <v>0</v>
      </c>
      <c r="V1332" s="26" t="n">
        <v>0</v>
      </c>
      <c r="W1332" s="22" t="s">
        <v>21</v>
      </c>
      <c r="X1332" s="22" t="s">
        <v>293</v>
      </c>
    </row>
    <row r="1333" customFormat="false" ht="15" hidden="false" customHeight="false" outlineLevel="0" collapsed="false">
      <c r="A1333" s="22" t="s">
        <v>5509</v>
      </c>
      <c r="B1333" s="22" t="s">
        <v>21</v>
      </c>
      <c r="C1333" s="22" t="s">
        <v>5510</v>
      </c>
      <c r="D1333" s="22" t="s">
        <v>5511</v>
      </c>
      <c r="E1333" s="22" t="s">
        <v>5512</v>
      </c>
      <c r="F1333" s="22" t="n">
        <v>13</v>
      </c>
      <c r="G1333" s="26" t="n">
        <v>191.92</v>
      </c>
      <c r="H1333" s="26" t="n">
        <v>214.05</v>
      </c>
      <c r="I1333" s="26" t="n">
        <v>236.18</v>
      </c>
      <c r="J1333" s="26" t="n">
        <v>252.78</v>
      </c>
      <c r="K1333" s="26" t="n">
        <v>269.38</v>
      </c>
      <c r="L1333" s="26" t="n">
        <v>2.39</v>
      </c>
      <c r="M1333" s="27" t="n">
        <v>0.005</v>
      </c>
      <c r="N1333" s="27" t="n">
        <v>0.002</v>
      </c>
      <c r="O1333" s="26" t="n">
        <v>5</v>
      </c>
      <c r="P1333" s="26" t="n">
        <v>5</v>
      </c>
      <c r="Q1333" s="28" t="n">
        <v>100</v>
      </c>
      <c r="R1333" s="26" t="n">
        <v>30</v>
      </c>
      <c r="S1333" s="26" t="n">
        <v>0</v>
      </c>
      <c r="T1333" s="28" t="n">
        <v>1</v>
      </c>
      <c r="U1333" s="26" t="n">
        <v>0</v>
      </c>
      <c r="V1333" s="26" t="n">
        <v>0</v>
      </c>
      <c r="W1333" s="22" t="s">
        <v>21</v>
      </c>
      <c r="X1333" s="22" t="s">
        <v>293</v>
      </c>
    </row>
    <row r="1334" customFormat="false" ht="15" hidden="false" customHeight="false" outlineLevel="0" collapsed="false">
      <c r="A1334" s="22" t="s">
        <v>5513</v>
      </c>
      <c r="B1334" s="22" t="s">
        <v>21</v>
      </c>
      <c r="C1334" s="22" t="s">
        <v>5514</v>
      </c>
      <c r="D1334" s="22" t="s">
        <v>5515</v>
      </c>
      <c r="E1334" s="22" t="s">
        <v>5516</v>
      </c>
      <c r="F1334" s="22" t="n">
        <v>13</v>
      </c>
      <c r="G1334" s="26" t="n">
        <v>191.92</v>
      </c>
      <c r="H1334" s="26" t="n">
        <v>214.05</v>
      </c>
      <c r="I1334" s="26" t="n">
        <v>236.18</v>
      </c>
      <c r="J1334" s="26" t="n">
        <v>252.78</v>
      </c>
      <c r="K1334" s="26" t="n">
        <v>269.38</v>
      </c>
      <c r="L1334" s="26" t="n">
        <v>2.39</v>
      </c>
      <c r="M1334" s="27" t="n">
        <v>0.005</v>
      </c>
      <c r="N1334" s="27" t="n">
        <v>0.002</v>
      </c>
      <c r="O1334" s="26" t="n">
        <v>5</v>
      </c>
      <c r="P1334" s="26" t="n">
        <v>5</v>
      </c>
      <c r="Q1334" s="28" t="n">
        <v>100</v>
      </c>
      <c r="R1334" s="26" t="n">
        <v>30</v>
      </c>
      <c r="S1334" s="26" t="n">
        <v>0</v>
      </c>
      <c r="T1334" s="28" t="n">
        <v>1</v>
      </c>
      <c r="U1334" s="26" t="n">
        <v>0</v>
      </c>
      <c r="V1334" s="26" t="n">
        <v>0</v>
      </c>
      <c r="W1334" s="22" t="s">
        <v>21</v>
      </c>
      <c r="X1334" s="22" t="s">
        <v>293</v>
      </c>
    </row>
    <row r="1335" customFormat="false" ht="15" hidden="false" customHeight="false" outlineLevel="0" collapsed="false">
      <c r="A1335" s="22" t="s">
        <v>5517</v>
      </c>
      <c r="B1335" s="22" t="s">
        <v>21</v>
      </c>
      <c r="C1335" s="22" t="s">
        <v>5518</v>
      </c>
      <c r="D1335" s="22" t="s">
        <v>5519</v>
      </c>
      <c r="E1335" s="22" t="s">
        <v>5520</v>
      </c>
      <c r="F1335" s="22" t="n">
        <v>13</v>
      </c>
      <c r="G1335" s="26" t="n">
        <v>191.92</v>
      </c>
      <c r="H1335" s="26" t="n">
        <v>214.05</v>
      </c>
      <c r="I1335" s="26" t="n">
        <v>236.18</v>
      </c>
      <c r="J1335" s="26" t="n">
        <v>252.78</v>
      </c>
      <c r="K1335" s="26" t="n">
        <v>269.38</v>
      </c>
      <c r="L1335" s="26" t="n">
        <v>2.39</v>
      </c>
      <c r="M1335" s="27" t="n">
        <v>0.005</v>
      </c>
      <c r="N1335" s="27" t="n">
        <v>0.002</v>
      </c>
      <c r="O1335" s="26" t="n">
        <v>5</v>
      </c>
      <c r="P1335" s="26" t="n">
        <v>5</v>
      </c>
      <c r="Q1335" s="28" t="n">
        <v>100</v>
      </c>
      <c r="R1335" s="26" t="n">
        <v>30</v>
      </c>
      <c r="S1335" s="26" t="n">
        <v>0</v>
      </c>
      <c r="T1335" s="28" t="n">
        <v>1</v>
      </c>
      <c r="U1335" s="26" t="n">
        <v>0</v>
      </c>
      <c r="V1335" s="26" t="n">
        <v>0</v>
      </c>
      <c r="W1335" s="22" t="s">
        <v>21</v>
      </c>
      <c r="X1335" s="22" t="s">
        <v>293</v>
      </c>
    </row>
    <row r="1336" customFormat="false" ht="15" hidden="false" customHeight="false" outlineLevel="0" collapsed="false">
      <c r="A1336" s="22" t="s">
        <v>5521</v>
      </c>
      <c r="B1336" s="22" t="s">
        <v>21</v>
      </c>
      <c r="C1336" s="22" t="s">
        <v>5522</v>
      </c>
      <c r="D1336" s="22" t="s">
        <v>5523</v>
      </c>
      <c r="E1336" s="22" t="s">
        <v>5524</v>
      </c>
      <c r="F1336" s="22" t="n">
        <v>13</v>
      </c>
      <c r="G1336" s="26" t="n">
        <v>191.92</v>
      </c>
      <c r="H1336" s="26" t="n">
        <v>214.05</v>
      </c>
      <c r="I1336" s="26" t="n">
        <v>236.18</v>
      </c>
      <c r="J1336" s="26" t="n">
        <v>252.78</v>
      </c>
      <c r="K1336" s="26" t="n">
        <v>269.38</v>
      </c>
      <c r="L1336" s="26" t="n">
        <v>2.39</v>
      </c>
      <c r="M1336" s="27" t="n">
        <v>0.005</v>
      </c>
      <c r="N1336" s="27" t="n">
        <v>0.002</v>
      </c>
      <c r="O1336" s="26" t="n">
        <v>5</v>
      </c>
      <c r="P1336" s="26" t="n">
        <v>5</v>
      </c>
      <c r="Q1336" s="28" t="n">
        <v>100</v>
      </c>
      <c r="R1336" s="26" t="n">
        <v>30</v>
      </c>
      <c r="S1336" s="26" t="n">
        <v>0</v>
      </c>
      <c r="T1336" s="28" t="n">
        <v>1</v>
      </c>
      <c r="U1336" s="26" t="n">
        <v>0</v>
      </c>
      <c r="V1336" s="26" t="n">
        <v>0</v>
      </c>
      <c r="W1336" s="22" t="s">
        <v>21</v>
      </c>
      <c r="X1336" s="22" t="s">
        <v>293</v>
      </c>
    </row>
    <row r="1337" customFormat="false" ht="15" hidden="false" customHeight="false" outlineLevel="0" collapsed="false">
      <c r="A1337" s="22" t="s">
        <v>5525</v>
      </c>
      <c r="B1337" s="22" t="s">
        <v>21</v>
      </c>
      <c r="C1337" s="22" t="s">
        <v>5526</v>
      </c>
      <c r="D1337" s="22" t="s">
        <v>5527</v>
      </c>
      <c r="E1337" s="22" t="s">
        <v>5528</v>
      </c>
      <c r="F1337" s="22" t="n">
        <v>13</v>
      </c>
      <c r="G1337" s="26" t="n">
        <v>191.92</v>
      </c>
      <c r="H1337" s="26" t="n">
        <v>214.05</v>
      </c>
      <c r="I1337" s="26" t="n">
        <v>236.18</v>
      </c>
      <c r="J1337" s="26" t="n">
        <v>252.78</v>
      </c>
      <c r="K1337" s="26" t="n">
        <v>269.38</v>
      </c>
      <c r="L1337" s="26" t="n">
        <v>2.39</v>
      </c>
      <c r="M1337" s="27" t="n">
        <v>0.005</v>
      </c>
      <c r="N1337" s="27" t="n">
        <v>0.002</v>
      </c>
      <c r="O1337" s="26" t="n">
        <v>5</v>
      </c>
      <c r="P1337" s="26" t="n">
        <v>5</v>
      </c>
      <c r="Q1337" s="28" t="n">
        <v>100</v>
      </c>
      <c r="R1337" s="26" t="n">
        <v>30</v>
      </c>
      <c r="S1337" s="26" t="n">
        <v>0</v>
      </c>
      <c r="T1337" s="28" t="n">
        <v>1</v>
      </c>
      <c r="U1337" s="26" t="n">
        <v>0</v>
      </c>
      <c r="V1337" s="26" t="n">
        <v>0</v>
      </c>
      <c r="W1337" s="22" t="s">
        <v>21</v>
      </c>
      <c r="X1337" s="22" t="s">
        <v>293</v>
      </c>
    </row>
    <row r="1338" customFormat="false" ht="15" hidden="false" customHeight="false" outlineLevel="0" collapsed="false">
      <c r="A1338" s="22" t="s">
        <v>5529</v>
      </c>
      <c r="B1338" s="22" t="s">
        <v>21</v>
      </c>
      <c r="C1338" s="22" t="s">
        <v>5530</v>
      </c>
      <c r="D1338" s="22" t="s">
        <v>5531</v>
      </c>
      <c r="E1338" s="22" t="s">
        <v>5532</v>
      </c>
      <c r="F1338" s="22" t="n">
        <v>13</v>
      </c>
      <c r="G1338" s="26" t="n">
        <v>191.92</v>
      </c>
      <c r="H1338" s="26" t="n">
        <v>214.05</v>
      </c>
      <c r="I1338" s="26" t="n">
        <v>236.18</v>
      </c>
      <c r="J1338" s="26" t="n">
        <v>252.78</v>
      </c>
      <c r="K1338" s="26" t="n">
        <v>269.38</v>
      </c>
      <c r="L1338" s="26" t="n">
        <v>2.39</v>
      </c>
      <c r="M1338" s="27" t="n">
        <v>0.005</v>
      </c>
      <c r="N1338" s="27" t="n">
        <v>0.002</v>
      </c>
      <c r="O1338" s="26" t="n">
        <v>5</v>
      </c>
      <c r="P1338" s="26" t="n">
        <v>5</v>
      </c>
      <c r="Q1338" s="28" t="n">
        <v>100</v>
      </c>
      <c r="R1338" s="26" t="n">
        <v>30</v>
      </c>
      <c r="S1338" s="26" t="n">
        <v>0</v>
      </c>
      <c r="T1338" s="28" t="n">
        <v>1</v>
      </c>
      <c r="U1338" s="26" t="n">
        <v>0</v>
      </c>
      <c r="V1338" s="26" t="n">
        <v>0</v>
      </c>
      <c r="W1338" s="22" t="s">
        <v>21</v>
      </c>
      <c r="X1338" s="22" t="s">
        <v>293</v>
      </c>
    </row>
    <row r="1339" customFormat="false" ht="15" hidden="false" customHeight="false" outlineLevel="0" collapsed="false">
      <c r="A1339" s="22" t="s">
        <v>5533</v>
      </c>
      <c r="B1339" s="22" t="s">
        <v>21</v>
      </c>
      <c r="C1339" s="22" t="s">
        <v>5534</v>
      </c>
      <c r="D1339" s="22" t="s">
        <v>5535</v>
      </c>
      <c r="E1339" s="22" t="s">
        <v>5536</v>
      </c>
      <c r="F1339" s="22" t="n">
        <v>13</v>
      </c>
      <c r="G1339" s="26" t="n">
        <v>191.92</v>
      </c>
      <c r="H1339" s="26" t="n">
        <v>214.05</v>
      </c>
      <c r="I1339" s="26" t="n">
        <v>236.18</v>
      </c>
      <c r="J1339" s="26" t="n">
        <v>252.78</v>
      </c>
      <c r="K1339" s="26" t="n">
        <v>269.38</v>
      </c>
      <c r="L1339" s="26" t="n">
        <v>2.39</v>
      </c>
      <c r="M1339" s="27" t="n">
        <v>0.005</v>
      </c>
      <c r="N1339" s="27" t="n">
        <v>0.002</v>
      </c>
      <c r="O1339" s="26" t="n">
        <v>5</v>
      </c>
      <c r="P1339" s="26" t="n">
        <v>5</v>
      </c>
      <c r="Q1339" s="28" t="n">
        <v>100</v>
      </c>
      <c r="R1339" s="26" t="n">
        <v>30</v>
      </c>
      <c r="S1339" s="26" t="n">
        <v>0</v>
      </c>
      <c r="T1339" s="28" t="n">
        <v>1</v>
      </c>
      <c r="U1339" s="26" t="n">
        <v>0</v>
      </c>
      <c r="V1339" s="26" t="n">
        <v>0</v>
      </c>
      <c r="W1339" s="22" t="s">
        <v>21</v>
      </c>
      <c r="X1339" s="22" t="s">
        <v>293</v>
      </c>
    </row>
    <row r="1340" customFormat="false" ht="15" hidden="false" customHeight="false" outlineLevel="0" collapsed="false">
      <c r="A1340" s="22" t="s">
        <v>5537</v>
      </c>
      <c r="B1340" s="22" t="s">
        <v>21</v>
      </c>
      <c r="C1340" s="22" t="s">
        <v>5538</v>
      </c>
      <c r="D1340" s="22" t="s">
        <v>5539</v>
      </c>
      <c r="E1340" s="22" t="s">
        <v>5540</v>
      </c>
      <c r="F1340" s="22" t="n">
        <v>13</v>
      </c>
      <c r="G1340" s="26" t="n">
        <v>191.92</v>
      </c>
      <c r="H1340" s="26" t="n">
        <v>214.05</v>
      </c>
      <c r="I1340" s="26" t="n">
        <v>236.18</v>
      </c>
      <c r="J1340" s="26" t="n">
        <v>252.78</v>
      </c>
      <c r="K1340" s="26" t="n">
        <v>269.38</v>
      </c>
      <c r="L1340" s="26" t="n">
        <v>2.39</v>
      </c>
      <c r="M1340" s="27" t="n">
        <v>0.005</v>
      </c>
      <c r="N1340" s="27" t="n">
        <v>0.002</v>
      </c>
      <c r="O1340" s="26" t="n">
        <v>5</v>
      </c>
      <c r="P1340" s="26" t="n">
        <v>5</v>
      </c>
      <c r="Q1340" s="28" t="n">
        <v>100</v>
      </c>
      <c r="R1340" s="26" t="n">
        <v>30</v>
      </c>
      <c r="S1340" s="26" t="n">
        <v>0</v>
      </c>
      <c r="T1340" s="28" t="n">
        <v>1</v>
      </c>
      <c r="U1340" s="26" t="n">
        <v>0</v>
      </c>
      <c r="V1340" s="26" t="n">
        <v>0</v>
      </c>
      <c r="W1340" s="22" t="s">
        <v>21</v>
      </c>
      <c r="X1340" s="22" t="s">
        <v>293</v>
      </c>
    </row>
    <row r="1341" customFormat="false" ht="15" hidden="false" customHeight="false" outlineLevel="0" collapsed="false">
      <c r="A1341" s="22" t="s">
        <v>5541</v>
      </c>
      <c r="B1341" s="22" t="s">
        <v>21</v>
      </c>
      <c r="C1341" s="22" t="s">
        <v>5542</v>
      </c>
      <c r="D1341" s="22" t="s">
        <v>5543</v>
      </c>
      <c r="E1341" s="22" t="s">
        <v>5544</v>
      </c>
      <c r="F1341" s="22" t="n">
        <v>13</v>
      </c>
      <c r="G1341" s="26" t="n">
        <v>191.92</v>
      </c>
      <c r="H1341" s="26" t="n">
        <v>214.05</v>
      </c>
      <c r="I1341" s="26" t="n">
        <v>236.18</v>
      </c>
      <c r="J1341" s="26" t="n">
        <v>252.78</v>
      </c>
      <c r="K1341" s="26" t="n">
        <v>269.38</v>
      </c>
      <c r="L1341" s="26" t="n">
        <v>2.39</v>
      </c>
      <c r="M1341" s="27" t="n">
        <v>0.005</v>
      </c>
      <c r="N1341" s="27" t="n">
        <v>0.002</v>
      </c>
      <c r="O1341" s="26" t="n">
        <v>5</v>
      </c>
      <c r="P1341" s="26" t="n">
        <v>5</v>
      </c>
      <c r="Q1341" s="28" t="n">
        <v>100</v>
      </c>
      <c r="R1341" s="26" t="n">
        <v>30</v>
      </c>
      <c r="S1341" s="26" t="n">
        <v>0</v>
      </c>
      <c r="T1341" s="28" t="n">
        <v>1</v>
      </c>
      <c r="U1341" s="26" t="n">
        <v>0</v>
      </c>
      <c r="V1341" s="26" t="n">
        <v>0</v>
      </c>
      <c r="W1341" s="22" t="s">
        <v>21</v>
      </c>
      <c r="X1341" s="22" t="s">
        <v>293</v>
      </c>
    </row>
    <row r="1342" customFormat="false" ht="15" hidden="false" customHeight="false" outlineLevel="0" collapsed="false">
      <c r="A1342" s="22" t="s">
        <v>5545</v>
      </c>
      <c r="B1342" s="22" t="s">
        <v>21</v>
      </c>
      <c r="C1342" s="22" t="s">
        <v>5546</v>
      </c>
      <c r="D1342" s="22" t="s">
        <v>5547</v>
      </c>
      <c r="E1342" s="22" t="s">
        <v>5548</v>
      </c>
      <c r="F1342" s="22" t="n">
        <v>15</v>
      </c>
      <c r="G1342" s="26" t="n">
        <v>191.92</v>
      </c>
      <c r="H1342" s="26" t="n">
        <v>214.05</v>
      </c>
      <c r="I1342" s="26" t="n">
        <v>236.18</v>
      </c>
      <c r="J1342" s="26" t="n">
        <v>252.78</v>
      </c>
      <c r="K1342" s="26" t="n">
        <v>269.38</v>
      </c>
      <c r="L1342" s="26" t="n">
        <v>2.39</v>
      </c>
      <c r="M1342" s="27" t="n">
        <v>0.005</v>
      </c>
      <c r="N1342" s="27" t="n">
        <v>0.002</v>
      </c>
      <c r="O1342" s="26" t="n">
        <v>5</v>
      </c>
      <c r="P1342" s="26" t="n">
        <v>5</v>
      </c>
      <c r="Q1342" s="28" t="n">
        <v>100</v>
      </c>
      <c r="R1342" s="26" t="n">
        <v>30</v>
      </c>
      <c r="S1342" s="26" t="n">
        <v>0</v>
      </c>
      <c r="T1342" s="28" t="n">
        <v>1</v>
      </c>
      <c r="U1342" s="26" t="n">
        <v>0</v>
      </c>
      <c r="V1342" s="26" t="n">
        <v>0</v>
      </c>
      <c r="W1342" s="22" t="s">
        <v>21</v>
      </c>
      <c r="X1342" s="22" t="s">
        <v>293</v>
      </c>
    </row>
    <row r="1343" customFormat="false" ht="15" hidden="false" customHeight="false" outlineLevel="0" collapsed="false">
      <c r="A1343" s="22" t="s">
        <v>5549</v>
      </c>
      <c r="B1343" s="22" t="s">
        <v>21</v>
      </c>
      <c r="C1343" s="22" t="s">
        <v>5550</v>
      </c>
      <c r="D1343" s="22" t="s">
        <v>5551</v>
      </c>
      <c r="E1343" s="22" t="s">
        <v>5552</v>
      </c>
      <c r="F1343" s="22" t="n">
        <v>13</v>
      </c>
      <c r="G1343" s="26" t="n">
        <v>191.92</v>
      </c>
      <c r="H1343" s="26" t="n">
        <v>214.05</v>
      </c>
      <c r="I1343" s="26" t="n">
        <v>236.18</v>
      </c>
      <c r="J1343" s="26" t="n">
        <v>252.78</v>
      </c>
      <c r="K1343" s="26" t="n">
        <v>269.38</v>
      </c>
      <c r="L1343" s="26" t="n">
        <v>2.39</v>
      </c>
      <c r="M1343" s="27" t="n">
        <v>0.005</v>
      </c>
      <c r="N1343" s="27" t="n">
        <v>0.002</v>
      </c>
      <c r="O1343" s="26" t="n">
        <v>5</v>
      </c>
      <c r="P1343" s="26" t="n">
        <v>5</v>
      </c>
      <c r="Q1343" s="28" t="n">
        <v>100</v>
      </c>
      <c r="R1343" s="26" t="n">
        <v>30</v>
      </c>
      <c r="S1343" s="26" t="n">
        <v>0</v>
      </c>
      <c r="T1343" s="28" t="n">
        <v>1</v>
      </c>
      <c r="U1343" s="26" t="n">
        <v>0</v>
      </c>
      <c r="V1343" s="26" t="n">
        <v>0</v>
      </c>
      <c r="W1343" s="22" t="s">
        <v>21</v>
      </c>
      <c r="X1343" s="22" t="s">
        <v>293</v>
      </c>
    </row>
    <row r="1344" customFormat="false" ht="15" hidden="false" customHeight="false" outlineLevel="0" collapsed="false">
      <c r="A1344" s="22" t="s">
        <v>5553</v>
      </c>
      <c r="B1344" s="22" t="s">
        <v>21</v>
      </c>
      <c r="C1344" s="22" t="s">
        <v>178</v>
      </c>
      <c r="D1344" s="22" t="s">
        <v>5554</v>
      </c>
      <c r="E1344" s="22" t="s">
        <v>5555</v>
      </c>
      <c r="F1344" s="22" t="n">
        <v>13</v>
      </c>
      <c r="G1344" s="26" t="n">
        <v>191.92</v>
      </c>
      <c r="H1344" s="26" t="n">
        <v>214.05</v>
      </c>
      <c r="I1344" s="26" t="n">
        <v>236.18</v>
      </c>
      <c r="J1344" s="26" t="n">
        <v>252.78</v>
      </c>
      <c r="K1344" s="26" t="n">
        <v>269.38</v>
      </c>
      <c r="L1344" s="26" t="n">
        <v>2.39</v>
      </c>
      <c r="M1344" s="27" t="n">
        <v>0.005</v>
      </c>
      <c r="N1344" s="27" t="n">
        <v>0.002</v>
      </c>
      <c r="O1344" s="26" t="n">
        <v>5</v>
      </c>
      <c r="P1344" s="26" t="n">
        <v>5</v>
      </c>
      <c r="Q1344" s="28" t="n">
        <v>100</v>
      </c>
      <c r="R1344" s="26" t="n">
        <v>30</v>
      </c>
      <c r="S1344" s="26" t="n">
        <v>0</v>
      </c>
      <c r="T1344" s="28" t="n">
        <v>1</v>
      </c>
      <c r="U1344" s="26" t="n">
        <v>0</v>
      </c>
      <c r="V1344" s="26" t="n">
        <v>0</v>
      </c>
      <c r="W1344" s="22" t="s">
        <v>21</v>
      </c>
      <c r="X1344" s="22" t="s">
        <v>293</v>
      </c>
    </row>
    <row r="1345" customFormat="false" ht="15" hidden="false" customHeight="false" outlineLevel="0" collapsed="false">
      <c r="A1345" s="22" t="s">
        <v>5556</v>
      </c>
      <c r="B1345" s="22" t="s">
        <v>21</v>
      </c>
      <c r="C1345" s="22" t="s">
        <v>5557</v>
      </c>
      <c r="D1345" s="22" t="s">
        <v>5558</v>
      </c>
      <c r="E1345" s="22" t="s">
        <v>5559</v>
      </c>
      <c r="F1345" s="22" t="n">
        <v>13</v>
      </c>
      <c r="G1345" s="26" t="n">
        <v>191.92</v>
      </c>
      <c r="H1345" s="26" t="n">
        <v>214.05</v>
      </c>
      <c r="I1345" s="26" t="n">
        <v>236.18</v>
      </c>
      <c r="J1345" s="26" t="n">
        <v>252.78</v>
      </c>
      <c r="K1345" s="26" t="n">
        <v>269.38</v>
      </c>
      <c r="L1345" s="26" t="n">
        <v>2.39</v>
      </c>
      <c r="M1345" s="27" t="n">
        <v>0.005</v>
      </c>
      <c r="N1345" s="27" t="n">
        <v>0.002</v>
      </c>
      <c r="O1345" s="26" t="n">
        <v>5</v>
      </c>
      <c r="P1345" s="26" t="n">
        <v>5</v>
      </c>
      <c r="Q1345" s="28" t="n">
        <v>100</v>
      </c>
      <c r="R1345" s="26" t="n">
        <v>30</v>
      </c>
      <c r="S1345" s="26" t="n">
        <v>0</v>
      </c>
      <c r="T1345" s="28" t="n">
        <v>1</v>
      </c>
      <c r="U1345" s="26" t="n">
        <v>0</v>
      </c>
      <c r="V1345" s="26" t="n">
        <v>0</v>
      </c>
      <c r="W1345" s="22" t="s">
        <v>21</v>
      </c>
      <c r="X1345" s="22" t="s">
        <v>293</v>
      </c>
    </row>
    <row r="1346" customFormat="false" ht="15" hidden="false" customHeight="false" outlineLevel="0" collapsed="false">
      <c r="A1346" s="22" t="s">
        <v>5560</v>
      </c>
      <c r="B1346" s="22" t="s">
        <v>21</v>
      </c>
      <c r="C1346" s="22" t="s">
        <v>5561</v>
      </c>
      <c r="D1346" s="22" t="s">
        <v>5562</v>
      </c>
      <c r="E1346" s="22" t="s">
        <v>5563</v>
      </c>
      <c r="F1346" s="22" t="n">
        <v>13</v>
      </c>
      <c r="G1346" s="26" t="n">
        <v>191.92</v>
      </c>
      <c r="H1346" s="26" t="n">
        <v>214.05</v>
      </c>
      <c r="I1346" s="26" t="n">
        <v>236.18</v>
      </c>
      <c r="J1346" s="26" t="n">
        <v>252.78</v>
      </c>
      <c r="K1346" s="26" t="n">
        <v>269.38</v>
      </c>
      <c r="L1346" s="26" t="n">
        <v>2.39</v>
      </c>
      <c r="M1346" s="27" t="n">
        <v>0.005</v>
      </c>
      <c r="N1346" s="27" t="n">
        <v>0.002</v>
      </c>
      <c r="O1346" s="26" t="n">
        <v>5</v>
      </c>
      <c r="P1346" s="26" t="n">
        <v>5</v>
      </c>
      <c r="Q1346" s="28" t="n">
        <v>100</v>
      </c>
      <c r="R1346" s="26" t="n">
        <v>30</v>
      </c>
      <c r="S1346" s="26" t="n">
        <v>0</v>
      </c>
      <c r="T1346" s="28" t="n">
        <v>1</v>
      </c>
      <c r="U1346" s="26" t="n">
        <v>0</v>
      </c>
      <c r="V1346" s="26" t="n">
        <v>0</v>
      </c>
      <c r="W1346" s="22" t="s">
        <v>21</v>
      </c>
      <c r="X1346" s="22" t="s">
        <v>293</v>
      </c>
    </row>
    <row r="1347" customFormat="false" ht="15" hidden="false" customHeight="false" outlineLevel="0" collapsed="false">
      <c r="A1347" s="22" t="s">
        <v>5564</v>
      </c>
      <c r="B1347" s="22" t="s">
        <v>21</v>
      </c>
      <c r="C1347" s="22" t="s">
        <v>5565</v>
      </c>
      <c r="D1347" s="22" t="s">
        <v>5566</v>
      </c>
      <c r="E1347" s="22" t="s">
        <v>5567</v>
      </c>
      <c r="F1347" s="22" t="n">
        <v>13</v>
      </c>
      <c r="G1347" s="26" t="n">
        <v>191.92</v>
      </c>
      <c r="H1347" s="26" t="n">
        <v>214.05</v>
      </c>
      <c r="I1347" s="26" t="n">
        <v>236.18</v>
      </c>
      <c r="J1347" s="26" t="n">
        <v>252.78</v>
      </c>
      <c r="K1347" s="26" t="n">
        <v>269.38</v>
      </c>
      <c r="L1347" s="26" t="n">
        <v>2.39</v>
      </c>
      <c r="M1347" s="27" t="n">
        <v>0.005</v>
      </c>
      <c r="N1347" s="27" t="n">
        <v>0.002</v>
      </c>
      <c r="O1347" s="26" t="n">
        <v>5</v>
      </c>
      <c r="P1347" s="26" t="n">
        <v>5</v>
      </c>
      <c r="Q1347" s="28" t="n">
        <v>100</v>
      </c>
      <c r="R1347" s="26" t="n">
        <v>30</v>
      </c>
      <c r="S1347" s="26" t="n">
        <v>0</v>
      </c>
      <c r="T1347" s="28" t="n">
        <v>1</v>
      </c>
      <c r="U1347" s="26" t="n">
        <v>0</v>
      </c>
      <c r="V1347" s="26" t="n">
        <v>0</v>
      </c>
      <c r="W1347" s="22" t="s">
        <v>21</v>
      </c>
      <c r="X1347" s="22" t="s">
        <v>293</v>
      </c>
    </row>
    <row r="1348" customFormat="false" ht="15" hidden="false" customHeight="false" outlineLevel="0" collapsed="false">
      <c r="A1348" s="22" t="s">
        <v>5568</v>
      </c>
      <c r="B1348" s="22" t="s">
        <v>21</v>
      </c>
      <c r="C1348" s="22" t="s">
        <v>5569</v>
      </c>
      <c r="D1348" s="22" t="s">
        <v>5570</v>
      </c>
      <c r="E1348" s="22" t="s">
        <v>5571</v>
      </c>
      <c r="F1348" s="22" t="n">
        <v>13</v>
      </c>
      <c r="G1348" s="26" t="n">
        <v>191.92</v>
      </c>
      <c r="H1348" s="26" t="n">
        <v>214.05</v>
      </c>
      <c r="I1348" s="26" t="n">
        <v>236.18</v>
      </c>
      <c r="J1348" s="26" t="n">
        <v>252.78</v>
      </c>
      <c r="K1348" s="26" t="n">
        <v>269.38</v>
      </c>
      <c r="L1348" s="26" t="n">
        <v>2.39</v>
      </c>
      <c r="M1348" s="27" t="n">
        <v>0.005</v>
      </c>
      <c r="N1348" s="27" t="n">
        <v>0.002</v>
      </c>
      <c r="O1348" s="26" t="n">
        <v>5</v>
      </c>
      <c r="P1348" s="26" t="n">
        <v>5</v>
      </c>
      <c r="Q1348" s="28" t="n">
        <v>100</v>
      </c>
      <c r="R1348" s="26" t="n">
        <v>30</v>
      </c>
      <c r="S1348" s="26" t="n">
        <v>0</v>
      </c>
      <c r="T1348" s="28" t="n">
        <v>1</v>
      </c>
      <c r="U1348" s="26" t="n">
        <v>0</v>
      </c>
      <c r="V1348" s="26" t="n">
        <v>0</v>
      </c>
      <c r="W1348" s="22" t="s">
        <v>21</v>
      </c>
      <c r="X1348" s="22" t="s">
        <v>293</v>
      </c>
    </row>
    <row r="1349" customFormat="false" ht="15" hidden="false" customHeight="false" outlineLevel="0" collapsed="false">
      <c r="A1349" s="22" t="s">
        <v>5572</v>
      </c>
      <c r="B1349" s="22" t="s">
        <v>21</v>
      </c>
      <c r="C1349" s="22" t="s">
        <v>5573</v>
      </c>
      <c r="D1349" s="22" t="s">
        <v>5574</v>
      </c>
      <c r="E1349" s="22" t="s">
        <v>5575</v>
      </c>
      <c r="F1349" s="22" t="n">
        <v>13</v>
      </c>
      <c r="G1349" s="26" t="n">
        <v>191.92</v>
      </c>
      <c r="H1349" s="26" t="n">
        <v>214.05</v>
      </c>
      <c r="I1349" s="26" t="n">
        <v>236.18</v>
      </c>
      <c r="J1349" s="26" t="n">
        <v>252.78</v>
      </c>
      <c r="K1349" s="26" t="n">
        <v>269.38</v>
      </c>
      <c r="L1349" s="26" t="n">
        <v>2.39</v>
      </c>
      <c r="M1349" s="27" t="n">
        <v>0.005</v>
      </c>
      <c r="N1349" s="27" t="n">
        <v>0.002</v>
      </c>
      <c r="O1349" s="26" t="n">
        <v>5</v>
      </c>
      <c r="P1349" s="26" t="n">
        <v>5</v>
      </c>
      <c r="Q1349" s="28" t="n">
        <v>100</v>
      </c>
      <c r="R1349" s="26" t="n">
        <v>30</v>
      </c>
      <c r="S1349" s="26" t="n">
        <v>0</v>
      </c>
      <c r="T1349" s="28" t="n">
        <v>1</v>
      </c>
      <c r="U1349" s="26" t="n">
        <v>0</v>
      </c>
      <c r="V1349" s="26" t="n">
        <v>0</v>
      </c>
      <c r="W1349" s="22" t="s">
        <v>21</v>
      </c>
      <c r="X1349" s="22" t="s">
        <v>293</v>
      </c>
    </row>
    <row r="1350" customFormat="false" ht="15" hidden="false" customHeight="false" outlineLevel="0" collapsed="false">
      <c r="A1350" s="22" t="s">
        <v>5576</v>
      </c>
      <c r="B1350" s="22" t="s">
        <v>21</v>
      </c>
      <c r="C1350" s="22" t="s">
        <v>5577</v>
      </c>
      <c r="D1350" s="22" t="s">
        <v>5578</v>
      </c>
      <c r="E1350" s="22" t="s">
        <v>5579</v>
      </c>
      <c r="F1350" s="22" t="n">
        <v>13</v>
      </c>
      <c r="G1350" s="26" t="n">
        <v>191.92</v>
      </c>
      <c r="H1350" s="26" t="n">
        <v>214.05</v>
      </c>
      <c r="I1350" s="26" t="n">
        <v>236.18</v>
      </c>
      <c r="J1350" s="26" t="n">
        <v>252.78</v>
      </c>
      <c r="K1350" s="26" t="n">
        <v>269.38</v>
      </c>
      <c r="L1350" s="26" t="n">
        <v>2.39</v>
      </c>
      <c r="M1350" s="27" t="n">
        <v>0.005</v>
      </c>
      <c r="N1350" s="27" t="n">
        <v>0.002</v>
      </c>
      <c r="O1350" s="26" t="n">
        <v>5</v>
      </c>
      <c r="P1350" s="26" t="n">
        <v>5</v>
      </c>
      <c r="Q1350" s="28" t="n">
        <v>100</v>
      </c>
      <c r="R1350" s="26" t="n">
        <v>30</v>
      </c>
      <c r="S1350" s="26" t="n">
        <v>0</v>
      </c>
      <c r="T1350" s="28" t="n">
        <v>1</v>
      </c>
      <c r="U1350" s="26" t="n">
        <v>0</v>
      </c>
      <c r="V1350" s="26" t="n">
        <v>0</v>
      </c>
      <c r="W1350" s="22" t="s">
        <v>21</v>
      </c>
      <c r="X1350" s="22" t="s">
        <v>293</v>
      </c>
    </row>
    <row r="1351" customFormat="false" ht="15" hidden="false" customHeight="false" outlineLevel="0" collapsed="false">
      <c r="A1351" s="22" t="s">
        <v>5580</v>
      </c>
      <c r="B1351" s="22" t="s">
        <v>21</v>
      </c>
      <c r="C1351" s="22" t="s">
        <v>5581</v>
      </c>
      <c r="D1351" s="22" t="s">
        <v>5582</v>
      </c>
      <c r="E1351" s="22" t="s">
        <v>5583</v>
      </c>
      <c r="F1351" s="22" t="n">
        <v>13</v>
      </c>
      <c r="G1351" s="26" t="n">
        <v>191.92</v>
      </c>
      <c r="H1351" s="26" t="n">
        <v>214.05</v>
      </c>
      <c r="I1351" s="26" t="n">
        <v>236.18</v>
      </c>
      <c r="J1351" s="26" t="n">
        <v>252.78</v>
      </c>
      <c r="K1351" s="26" t="n">
        <v>269.38</v>
      </c>
      <c r="L1351" s="26" t="n">
        <v>2.39</v>
      </c>
      <c r="M1351" s="27" t="n">
        <v>0.005</v>
      </c>
      <c r="N1351" s="27" t="n">
        <v>0.002</v>
      </c>
      <c r="O1351" s="26" t="n">
        <v>5</v>
      </c>
      <c r="P1351" s="26" t="n">
        <v>5</v>
      </c>
      <c r="Q1351" s="28" t="n">
        <v>100</v>
      </c>
      <c r="R1351" s="26" t="n">
        <v>30</v>
      </c>
      <c r="S1351" s="26" t="n">
        <v>0</v>
      </c>
      <c r="T1351" s="28" t="n">
        <v>1</v>
      </c>
      <c r="U1351" s="26" t="n">
        <v>0</v>
      </c>
      <c r="V1351" s="26" t="n">
        <v>0</v>
      </c>
      <c r="W1351" s="22" t="s">
        <v>21</v>
      </c>
      <c r="X1351" s="22" t="s">
        <v>293</v>
      </c>
    </row>
    <row r="1352" customFormat="false" ht="15" hidden="false" customHeight="false" outlineLevel="0" collapsed="false">
      <c r="A1352" s="22" t="s">
        <v>5584</v>
      </c>
      <c r="B1352" s="22" t="s">
        <v>21</v>
      </c>
      <c r="C1352" s="22" t="s">
        <v>5585</v>
      </c>
      <c r="D1352" s="22" t="s">
        <v>5586</v>
      </c>
      <c r="E1352" s="22" t="s">
        <v>5587</v>
      </c>
      <c r="F1352" s="22" t="n">
        <v>13</v>
      </c>
      <c r="G1352" s="26" t="n">
        <v>191.92</v>
      </c>
      <c r="H1352" s="26" t="n">
        <v>214.05</v>
      </c>
      <c r="I1352" s="26" t="n">
        <v>236.18</v>
      </c>
      <c r="J1352" s="26" t="n">
        <v>252.78</v>
      </c>
      <c r="K1352" s="26" t="n">
        <v>269.38</v>
      </c>
      <c r="L1352" s="26" t="n">
        <v>2.39</v>
      </c>
      <c r="M1352" s="27" t="n">
        <v>0.005</v>
      </c>
      <c r="N1352" s="27" t="n">
        <v>0.002</v>
      </c>
      <c r="O1352" s="26" t="n">
        <v>5</v>
      </c>
      <c r="P1352" s="26" t="n">
        <v>5</v>
      </c>
      <c r="Q1352" s="28" t="n">
        <v>100</v>
      </c>
      <c r="R1352" s="26" t="n">
        <v>30</v>
      </c>
      <c r="S1352" s="26" t="n">
        <v>0</v>
      </c>
      <c r="T1352" s="28" t="n">
        <v>1</v>
      </c>
      <c r="U1352" s="26" t="n">
        <v>0</v>
      </c>
      <c r="V1352" s="26" t="n">
        <v>0</v>
      </c>
      <c r="W1352" s="22" t="s">
        <v>21</v>
      </c>
      <c r="X1352" s="22" t="s">
        <v>293</v>
      </c>
    </row>
    <row r="1353" customFormat="false" ht="15" hidden="false" customHeight="false" outlineLevel="0" collapsed="false">
      <c r="A1353" s="22" t="s">
        <v>5588</v>
      </c>
      <c r="B1353" s="22" t="s">
        <v>21</v>
      </c>
      <c r="C1353" s="22" t="s">
        <v>5589</v>
      </c>
      <c r="D1353" s="22" t="s">
        <v>5590</v>
      </c>
      <c r="E1353" s="22" t="s">
        <v>5591</v>
      </c>
      <c r="F1353" s="22" t="n">
        <v>13</v>
      </c>
      <c r="G1353" s="26" t="n">
        <v>191.92</v>
      </c>
      <c r="H1353" s="26" t="n">
        <v>214.05</v>
      </c>
      <c r="I1353" s="26" t="n">
        <v>236.18</v>
      </c>
      <c r="J1353" s="26" t="n">
        <v>252.78</v>
      </c>
      <c r="K1353" s="26" t="n">
        <v>269.38</v>
      </c>
      <c r="L1353" s="26" t="n">
        <v>2.39</v>
      </c>
      <c r="M1353" s="27" t="n">
        <v>0.005</v>
      </c>
      <c r="N1353" s="27" t="n">
        <v>0.002</v>
      </c>
      <c r="O1353" s="26" t="n">
        <v>5</v>
      </c>
      <c r="P1353" s="26" t="n">
        <v>5</v>
      </c>
      <c r="Q1353" s="28" t="n">
        <v>100</v>
      </c>
      <c r="R1353" s="26" t="n">
        <v>30</v>
      </c>
      <c r="S1353" s="26" t="n">
        <v>0</v>
      </c>
      <c r="T1353" s="28" t="n">
        <v>1</v>
      </c>
      <c r="U1353" s="26" t="n">
        <v>0</v>
      </c>
      <c r="V1353" s="26" t="n">
        <v>0</v>
      </c>
      <c r="W1353" s="22" t="s">
        <v>21</v>
      </c>
      <c r="X1353" s="22" t="s">
        <v>293</v>
      </c>
    </row>
    <row r="1354" customFormat="false" ht="15" hidden="false" customHeight="false" outlineLevel="0" collapsed="false">
      <c r="A1354" s="22" t="s">
        <v>5592</v>
      </c>
      <c r="B1354" s="22" t="s">
        <v>21</v>
      </c>
      <c r="C1354" s="22" t="s">
        <v>5593</v>
      </c>
      <c r="D1354" s="22" t="s">
        <v>5594</v>
      </c>
      <c r="E1354" s="22" t="s">
        <v>5595</v>
      </c>
      <c r="F1354" s="22" t="n">
        <v>13</v>
      </c>
      <c r="G1354" s="26" t="n">
        <v>191.92</v>
      </c>
      <c r="H1354" s="26" t="n">
        <v>214.05</v>
      </c>
      <c r="I1354" s="26" t="n">
        <v>236.18</v>
      </c>
      <c r="J1354" s="26" t="n">
        <v>252.78</v>
      </c>
      <c r="K1354" s="26" t="n">
        <v>269.38</v>
      </c>
      <c r="L1354" s="26" t="n">
        <v>2.39</v>
      </c>
      <c r="M1354" s="27" t="n">
        <v>0.005</v>
      </c>
      <c r="N1354" s="27" t="n">
        <v>0.002</v>
      </c>
      <c r="O1354" s="26" t="n">
        <v>5</v>
      </c>
      <c r="P1354" s="26" t="n">
        <v>5</v>
      </c>
      <c r="Q1354" s="28" t="n">
        <v>100</v>
      </c>
      <c r="R1354" s="26" t="n">
        <v>30</v>
      </c>
      <c r="S1354" s="26" t="n">
        <v>0</v>
      </c>
      <c r="T1354" s="28" t="n">
        <v>1</v>
      </c>
      <c r="U1354" s="26" t="n">
        <v>0</v>
      </c>
      <c r="V1354" s="26" t="n">
        <v>0</v>
      </c>
      <c r="W1354" s="22" t="s">
        <v>21</v>
      </c>
      <c r="X1354" s="22" t="s">
        <v>293</v>
      </c>
    </row>
    <row r="1355" customFormat="false" ht="15" hidden="false" customHeight="false" outlineLevel="0" collapsed="false">
      <c r="A1355" s="22" t="s">
        <v>5596</v>
      </c>
      <c r="B1355" s="22" t="s">
        <v>21</v>
      </c>
      <c r="C1355" s="22" t="s">
        <v>5597</v>
      </c>
      <c r="D1355" s="22" t="s">
        <v>5598</v>
      </c>
      <c r="E1355" s="22" t="s">
        <v>5599</v>
      </c>
      <c r="F1355" s="22" t="n">
        <v>13</v>
      </c>
      <c r="G1355" s="26" t="n">
        <v>191.92</v>
      </c>
      <c r="H1355" s="26" t="n">
        <v>214.05</v>
      </c>
      <c r="I1355" s="26" t="n">
        <v>236.18</v>
      </c>
      <c r="J1355" s="26" t="n">
        <v>252.78</v>
      </c>
      <c r="K1355" s="26" t="n">
        <v>269.38</v>
      </c>
      <c r="L1355" s="26" t="n">
        <v>2.39</v>
      </c>
      <c r="M1355" s="27" t="n">
        <v>0.005</v>
      </c>
      <c r="N1355" s="27" t="n">
        <v>0.002</v>
      </c>
      <c r="O1355" s="26" t="n">
        <v>5</v>
      </c>
      <c r="P1355" s="26" t="n">
        <v>5</v>
      </c>
      <c r="Q1355" s="28" t="n">
        <v>100</v>
      </c>
      <c r="R1355" s="26" t="n">
        <v>30</v>
      </c>
      <c r="S1355" s="26" t="n">
        <v>0</v>
      </c>
      <c r="T1355" s="28" t="n">
        <v>1</v>
      </c>
      <c r="U1355" s="26" t="n">
        <v>0</v>
      </c>
      <c r="V1355" s="26" t="n">
        <v>0</v>
      </c>
      <c r="W1355" s="22" t="s">
        <v>21</v>
      </c>
      <c r="X1355" s="22" t="s">
        <v>293</v>
      </c>
    </row>
    <row r="1356" customFormat="false" ht="15" hidden="false" customHeight="false" outlineLevel="0" collapsed="false">
      <c r="A1356" s="22" t="s">
        <v>5600</v>
      </c>
      <c r="B1356" s="22" t="s">
        <v>21</v>
      </c>
      <c r="C1356" s="22" t="s">
        <v>5601</v>
      </c>
      <c r="D1356" s="22" t="s">
        <v>5602</v>
      </c>
      <c r="E1356" s="22" t="s">
        <v>5603</v>
      </c>
      <c r="F1356" s="22" t="n">
        <v>13</v>
      </c>
      <c r="G1356" s="26" t="n">
        <v>191.92</v>
      </c>
      <c r="H1356" s="26" t="n">
        <v>214.05</v>
      </c>
      <c r="I1356" s="26" t="n">
        <v>236.18</v>
      </c>
      <c r="J1356" s="26" t="n">
        <v>252.78</v>
      </c>
      <c r="K1356" s="26" t="n">
        <v>269.38</v>
      </c>
      <c r="L1356" s="26" t="n">
        <v>2.39</v>
      </c>
      <c r="M1356" s="27" t="n">
        <v>0.005</v>
      </c>
      <c r="N1356" s="27" t="n">
        <v>0.002</v>
      </c>
      <c r="O1356" s="26" t="n">
        <v>5</v>
      </c>
      <c r="P1356" s="26" t="n">
        <v>5</v>
      </c>
      <c r="Q1356" s="28" t="n">
        <v>100</v>
      </c>
      <c r="R1356" s="26" t="n">
        <v>30</v>
      </c>
      <c r="S1356" s="26" t="n">
        <v>0</v>
      </c>
      <c r="T1356" s="28" t="n">
        <v>1</v>
      </c>
      <c r="U1356" s="26" t="n">
        <v>0</v>
      </c>
      <c r="V1356" s="26" t="n">
        <v>0</v>
      </c>
      <c r="W1356" s="22" t="s">
        <v>21</v>
      </c>
      <c r="X1356" s="22" t="s">
        <v>293</v>
      </c>
    </row>
    <row r="1357" customFormat="false" ht="15" hidden="false" customHeight="false" outlineLevel="0" collapsed="false">
      <c r="A1357" s="22" t="s">
        <v>5604</v>
      </c>
      <c r="B1357" s="22" t="s">
        <v>21</v>
      </c>
      <c r="C1357" s="22" t="s">
        <v>5605</v>
      </c>
      <c r="D1357" s="22" t="s">
        <v>5606</v>
      </c>
      <c r="E1357" s="22" t="s">
        <v>5607</v>
      </c>
      <c r="F1357" s="22" t="n">
        <v>13</v>
      </c>
      <c r="G1357" s="26" t="n">
        <v>191.92</v>
      </c>
      <c r="H1357" s="26" t="n">
        <v>214.05</v>
      </c>
      <c r="I1357" s="26" t="n">
        <v>236.18</v>
      </c>
      <c r="J1357" s="26" t="n">
        <v>252.78</v>
      </c>
      <c r="K1357" s="26" t="n">
        <v>269.38</v>
      </c>
      <c r="L1357" s="26" t="n">
        <v>2.39</v>
      </c>
      <c r="M1357" s="27" t="n">
        <v>0.005</v>
      </c>
      <c r="N1357" s="27" t="n">
        <v>0.002</v>
      </c>
      <c r="O1357" s="26" t="n">
        <v>5</v>
      </c>
      <c r="P1357" s="26" t="n">
        <v>5</v>
      </c>
      <c r="Q1357" s="28" t="n">
        <v>100</v>
      </c>
      <c r="R1357" s="26" t="n">
        <v>30</v>
      </c>
      <c r="S1357" s="26" t="n">
        <v>0</v>
      </c>
      <c r="T1357" s="28" t="n">
        <v>1</v>
      </c>
      <c r="U1357" s="26" t="n">
        <v>0</v>
      </c>
      <c r="V1357" s="26" t="n">
        <v>0</v>
      </c>
      <c r="W1357" s="22" t="s">
        <v>21</v>
      </c>
      <c r="X1357" s="22" t="s">
        <v>293</v>
      </c>
    </row>
    <row r="1358" customFormat="false" ht="15" hidden="false" customHeight="false" outlineLevel="0" collapsed="false">
      <c r="A1358" s="22" t="s">
        <v>5608</v>
      </c>
      <c r="B1358" s="22" t="s">
        <v>21</v>
      </c>
      <c r="C1358" s="22" t="s">
        <v>5609</v>
      </c>
      <c r="D1358" s="22" t="s">
        <v>5610</v>
      </c>
      <c r="E1358" s="22" t="s">
        <v>5611</v>
      </c>
      <c r="F1358" s="22" t="n">
        <v>13</v>
      </c>
      <c r="G1358" s="26" t="n">
        <v>191.92</v>
      </c>
      <c r="H1358" s="26" t="n">
        <v>214.05</v>
      </c>
      <c r="I1358" s="26" t="n">
        <v>236.18</v>
      </c>
      <c r="J1358" s="26" t="n">
        <v>252.78</v>
      </c>
      <c r="K1358" s="26" t="n">
        <v>269.38</v>
      </c>
      <c r="L1358" s="26" t="n">
        <v>2.39</v>
      </c>
      <c r="M1358" s="27" t="n">
        <v>0.005</v>
      </c>
      <c r="N1358" s="27" t="n">
        <v>0.002</v>
      </c>
      <c r="O1358" s="26" t="n">
        <v>5</v>
      </c>
      <c r="P1358" s="26" t="n">
        <v>5</v>
      </c>
      <c r="Q1358" s="28" t="n">
        <v>100</v>
      </c>
      <c r="R1358" s="26" t="n">
        <v>30</v>
      </c>
      <c r="S1358" s="26" t="n">
        <v>0</v>
      </c>
      <c r="T1358" s="28" t="n">
        <v>1</v>
      </c>
      <c r="U1358" s="26" t="n">
        <v>0</v>
      </c>
      <c r="V1358" s="26" t="n">
        <v>0</v>
      </c>
      <c r="W1358" s="22" t="s">
        <v>21</v>
      </c>
      <c r="X1358" s="22" t="s">
        <v>293</v>
      </c>
    </row>
    <row r="1359" customFormat="false" ht="15" hidden="false" customHeight="false" outlineLevel="0" collapsed="false">
      <c r="A1359" s="22" t="s">
        <v>5612</v>
      </c>
      <c r="B1359" s="22" t="s">
        <v>21</v>
      </c>
      <c r="C1359" s="22" t="s">
        <v>5613</v>
      </c>
      <c r="D1359" s="22" t="s">
        <v>5614</v>
      </c>
      <c r="E1359" s="22" t="s">
        <v>5615</v>
      </c>
      <c r="F1359" s="22" t="n">
        <v>13</v>
      </c>
      <c r="G1359" s="26" t="n">
        <v>191.92</v>
      </c>
      <c r="H1359" s="26" t="n">
        <v>214.05</v>
      </c>
      <c r="I1359" s="26" t="n">
        <v>236.18</v>
      </c>
      <c r="J1359" s="26" t="n">
        <v>252.78</v>
      </c>
      <c r="K1359" s="26" t="n">
        <v>269.38</v>
      </c>
      <c r="L1359" s="26" t="n">
        <v>2.39</v>
      </c>
      <c r="M1359" s="27" t="n">
        <v>0.005</v>
      </c>
      <c r="N1359" s="27" t="n">
        <v>0.002</v>
      </c>
      <c r="O1359" s="26" t="n">
        <v>5</v>
      </c>
      <c r="P1359" s="26" t="n">
        <v>5</v>
      </c>
      <c r="Q1359" s="28" t="n">
        <v>100</v>
      </c>
      <c r="R1359" s="26" t="n">
        <v>30</v>
      </c>
      <c r="S1359" s="26" t="n">
        <v>0</v>
      </c>
      <c r="T1359" s="28" t="n">
        <v>1</v>
      </c>
      <c r="U1359" s="26" t="n">
        <v>0</v>
      </c>
      <c r="V1359" s="26" t="n">
        <v>0</v>
      </c>
      <c r="W1359" s="22" t="s">
        <v>21</v>
      </c>
      <c r="X1359" s="22" t="s">
        <v>293</v>
      </c>
    </row>
    <row r="1360" customFormat="false" ht="15" hidden="false" customHeight="false" outlineLevel="0" collapsed="false">
      <c r="A1360" s="22" t="s">
        <v>5616</v>
      </c>
      <c r="B1360" s="22" t="s">
        <v>21</v>
      </c>
      <c r="C1360" s="22" t="s">
        <v>5617</v>
      </c>
      <c r="D1360" s="22" t="s">
        <v>5618</v>
      </c>
      <c r="E1360" s="22" t="s">
        <v>5619</v>
      </c>
      <c r="F1360" s="22" t="n">
        <v>13</v>
      </c>
      <c r="G1360" s="26" t="n">
        <v>191.92</v>
      </c>
      <c r="H1360" s="26" t="n">
        <v>214.05</v>
      </c>
      <c r="I1360" s="26" t="n">
        <v>236.18</v>
      </c>
      <c r="J1360" s="26" t="n">
        <v>252.78</v>
      </c>
      <c r="K1360" s="26" t="n">
        <v>269.38</v>
      </c>
      <c r="L1360" s="26" t="n">
        <v>2.39</v>
      </c>
      <c r="M1360" s="27" t="n">
        <v>0.005</v>
      </c>
      <c r="N1360" s="27" t="n">
        <v>0.002</v>
      </c>
      <c r="O1360" s="26" t="n">
        <v>5</v>
      </c>
      <c r="P1360" s="26" t="n">
        <v>5</v>
      </c>
      <c r="Q1360" s="28" t="n">
        <v>100</v>
      </c>
      <c r="R1360" s="26" t="n">
        <v>30</v>
      </c>
      <c r="S1360" s="26" t="n">
        <v>0</v>
      </c>
      <c r="T1360" s="28" t="n">
        <v>1</v>
      </c>
      <c r="U1360" s="26" t="n">
        <v>0</v>
      </c>
      <c r="V1360" s="26" t="n">
        <v>0</v>
      </c>
      <c r="W1360" s="22" t="s">
        <v>21</v>
      </c>
      <c r="X1360" s="22" t="s">
        <v>293</v>
      </c>
    </row>
    <row r="1361" customFormat="false" ht="15" hidden="false" customHeight="false" outlineLevel="0" collapsed="false">
      <c r="A1361" s="22" t="s">
        <v>5620</v>
      </c>
      <c r="B1361" s="22" t="s">
        <v>21</v>
      </c>
      <c r="C1361" s="22" t="s">
        <v>5621</v>
      </c>
      <c r="D1361" s="22" t="s">
        <v>5622</v>
      </c>
      <c r="E1361" s="22" t="s">
        <v>5623</v>
      </c>
      <c r="F1361" s="22" t="n">
        <v>13</v>
      </c>
      <c r="G1361" s="26" t="n">
        <v>191.92</v>
      </c>
      <c r="H1361" s="26" t="n">
        <v>214.05</v>
      </c>
      <c r="I1361" s="26" t="n">
        <v>236.18</v>
      </c>
      <c r="J1361" s="26" t="n">
        <v>252.78</v>
      </c>
      <c r="K1361" s="26" t="n">
        <v>269.38</v>
      </c>
      <c r="L1361" s="26" t="n">
        <v>2.39</v>
      </c>
      <c r="M1361" s="27" t="n">
        <v>0.005</v>
      </c>
      <c r="N1361" s="27" t="n">
        <v>0.002</v>
      </c>
      <c r="O1361" s="26" t="n">
        <v>5</v>
      </c>
      <c r="P1361" s="26" t="n">
        <v>5</v>
      </c>
      <c r="Q1361" s="28" t="n">
        <v>100</v>
      </c>
      <c r="R1361" s="26" t="n">
        <v>30</v>
      </c>
      <c r="S1361" s="26" t="n">
        <v>0</v>
      </c>
      <c r="T1361" s="28" t="n">
        <v>1</v>
      </c>
      <c r="U1361" s="26" t="n">
        <v>0</v>
      </c>
      <c r="V1361" s="26" t="n">
        <v>0</v>
      </c>
      <c r="W1361" s="22" t="s">
        <v>21</v>
      </c>
      <c r="X1361" s="22" t="s">
        <v>293</v>
      </c>
    </row>
    <row r="1362" customFormat="false" ht="15" hidden="false" customHeight="false" outlineLevel="0" collapsed="false">
      <c r="A1362" s="22" t="s">
        <v>5624</v>
      </c>
      <c r="B1362" s="22" t="s">
        <v>21</v>
      </c>
      <c r="C1362" s="22" t="s">
        <v>5625</v>
      </c>
      <c r="D1362" s="22" t="s">
        <v>5626</v>
      </c>
      <c r="E1362" s="22" t="s">
        <v>5627</v>
      </c>
      <c r="F1362" s="22" t="n">
        <v>13</v>
      </c>
      <c r="G1362" s="26" t="n">
        <v>191.92</v>
      </c>
      <c r="H1362" s="26" t="n">
        <v>214.05</v>
      </c>
      <c r="I1362" s="26" t="n">
        <v>236.18</v>
      </c>
      <c r="J1362" s="26" t="n">
        <v>252.78</v>
      </c>
      <c r="K1362" s="26" t="n">
        <v>269.38</v>
      </c>
      <c r="L1362" s="26" t="n">
        <v>2.39</v>
      </c>
      <c r="M1362" s="27" t="n">
        <v>0.005</v>
      </c>
      <c r="N1362" s="27" t="n">
        <v>0.002</v>
      </c>
      <c r="O1362" s="26" t="n">
        <v>5</v>
      </c>
      <c r="P1362" s="26" t="n">
        <v>5</v>
      </c>
      <c r="Q1362" s="28" t="n">
        <v>100</v>
      </c>
      <c r="R1362" s="26" t="n">
        <v>30</v>
      </c>
      <c r="S1362" s="26" t="n">
        <v>0</v>
      </c>
      <c r="T1362" s="28" t="n">
        <v>1</v>
      </c>
      <c r="U1362" s="26" t="n">
        <v>0</v>
      </c>
      <c r="V1362" s="26" t="n">
        <v>0</v>
      </c>
      <c r="W1362" s="22" t="s">
        <v>21</v>
      </c>
      <c r="X1362" s="22" t="s">
        <v>293</v>
      </c>
    </row>
    <row r="1363" customFormat="false" ht="15" hidden="false" customHeight="false" outlineLevel="0" collapsed="false">
      <c r="A1363" s="22" t="s">
        <v>5628</v>
      </c>
      <c r="B1363" s="22" t="s">
        <v>21</v>
      </c>
      <c r="C1363" s="22" t="s">
        <v>5629</v>
      </c>
      <c r="D1363" s="22" t="s">
        <v>5630</v>
      </c>
      <c r="E1363" s="22" t="s">
        <v>5631</v>
      </c>
      <c r="F1363" s="22" t="n">
        <v>13</v>
      </c>
      <c r="G1363" s="26" t="n">
        <v>191.92</v>
      </c>
      <c r="H1363" s="26" t="n">
        <v>214.05</v>
      </c>
      <c r="I1363" s="26" t="n">
        <v>236.18</v>
      </c>
      <c r="J1363" s="26" t="n">
        <v>252.78</v>
      </c>
      <c r="K1363" s="26" t="n">
        <v>269.38</v>
      </c>
      <c r="L1363" s="26" t="n">
        <v>2.39</v>
      </c>
      <c r="M1363" s="27" t="n">
        <v>0.005</v>
      </c>
      <c r="N1363" s="27" t="n">
        <v>0.002</v>
      </c>
      <c r="O1363" s="26" t="n">
        <v>5</v>
      </c>
      <c r="P1363" s="26" t="n">
        <v>5</v>
      </c>
      <c r="Q1363" s="28" t="n">
        <v>100</v>
      </c>
      <c r="R1363" s="26" t="n">
        <v>30</v>
      </c>
      <c r="S1363" s="26" t="n">
        <v>0</v>
      </c>
      <c r="T1363" s="28" t="n">
        <v>1</v>
      </c>
      <c r="U1363" s="26" t="n">
        <v>0</v>
      </c>
      <c r="V1363" s="26" t="n">
        <v>0</v>
      </c>
      <c r="W1363" s="22" t="s">
        <v>21</v>
      </c>
      <c r="X1363" s="22" t="s">
        <v>293</v>
      </c>
    </row>
    <row r="1364" customFormat="false" ht="15" hidden="false" customHeight="false" outlineLevel="0" collapsed="false">
      <c r="A1364" s="22" t="s">
        <v>5632</v>
      </c>
      <c r="B1364" s="22" t="s">
        <v>21</v>
      </c>
      <c r="C1364" s="22" t="s">
        <v>5633</v>
      </c>
      <c r="D1364" s="22" t="s">
        <v>5634</v>
      </c>
      <c r="E1364" s="22" t="s">
        <v>5635</v>
      </c>
      <c r="F1364" s="22" t="n">
        <v>13</v>
      </c>
      <c r="G1364" s="26" t="n">
        <v>191.92</v>
      </c>
      <c r="H1364" s="26" t="n">
        <v>214.05</v>
      </c>
      <c r="I1364" s="26" t="n">
        <v>236.18</v>
      </c>
      <c r="J1364" s="26" t="n">
        <v>252.78</v>
      </c>
      <c r="K1364" s="26" t="n">
        <v>269.38</v>
      </c>
      <c r="L1364" s="26" t="n">
        <v>2.39</v>
      </c>
      <c r="M1364" s="27" t="n">
        <v>0.005</v>
      </c>
      <c r="N1364" s="27" t="n">
        <v>0.002</v>
      </c>
      <c r="O1364" s="26" t="n">
        <v>5</v>
      </c>
      <c r="P1364" s="26" t="n">
        <v>5</v>
      </c>
      <c r="Q1364" s="28" t="n">
        <v>100</v>
      </c>
      <c r="R1364" s="26" t="n">
        <v>30</v>
      </c>
      <c r="S1364" s="26" t="n">
        <v>0</v>
      </c>
      <c r="T1364" s="28" t="n">
        <v>1</v>
      </c>
      <c r="U1364" s="26" t="n">
        <v>0</v>
      </c>
      <c r="V1364" s="26" t="n">
        <v>0</v>
      </c>
      <c r="W1364" s="22" t="s">
        <v>21</v>
      </c>
      <c r="X1364" s="22" t="s">
        <v>293</v>
      </c>
    </row>
    <row r="1365" customFormat="false" ht="15" hidden="false" customHeight="false" outlineLevel="0" collapsed="false">
      <c r="A1365" s="22" t="s">
        <v>5636</v>
      </c>
      <c r="B1365" s="22" t="s">
        <v>21</v>
      </c>
      <c r="C1365" s="22" t="s">
        <v>5637</v>
      </c>
      <c r="D1365" s="22" t="s">
        <v>5638</v>
      </c>
      <c r="E1365" s="22" t="s">
        <v>5639</v>
      </c>
      <c r="F1365" s="22" t="n">
        <v>13</v>
      </c>
      <c r="G1365" s="26" t="n">
        <v>191.92</v>
      </c>
      <c r="H1365" s="26" t="n">
        <v>214.05</v>
      </c>
      <c r="I1365" s="26" t="n">
        <v>236.18</v>
      </c>
      <c r="J1365" s="26" t="n">
        <v>252.78</v>
      </c>
      <c r="K1365" s="26" t="n">
        <v>269.38</v>
      </c>
      <c r="L1365" s="26" t="n">
        <v>2.39</v>
      </c>
      <c r="M1365" s="27" t="n">
        <v>0.005</v>
      </c>
      <c r="N1365" s="27" t="n">
        <v>0.002</v>
      </c>
      <c r="O1365" s="26" t="n">
        <v>5</v>
      </c>
      <c r="P1365" s="26" t="n">
        <v>5</v>
      </c>
      <c r="Q1365" s="28" t="n">
        <v>100</v>
      </c>
      <c r="R1365" s="26" t="n">
        <v>30</v>
      </c>
      <c r="S1365" s="26" t="n">
        <v>0</v>
      </c>
      <c r="T1365" s="28" t="n">
        <v>1</v>
      </c>
      <c r="U1365" s="26" t="n">
        <v>0</v>
      </c>
      <c r="V1365" s="26" t="n">
        <v>0</v>
      </c>
      <c r="W1365" s="22" t="s">
        <v>21</v>
      </c>
      <c r="X1365" s="22" t="s">
        <v>293</v>
      </c>
    </row>
    <row r="1366" customFormat="false" ht="15" hidden="false" customHeight="false" outlineLevel="0" collapsed="false">
      <c r="A1366" s="22" t="s">
        <v>5640</v>
      </c>
      <c r="B1366" s="22" t="s">
        <v>21</v>
      </c>
      <c r="C1366" s="22" t="s">
        <v>5641</v>
      </c>
      <c r="D1366" s="22" t="s">
        <v>5642</v>
      </c>
      <c r="E1366" s="22" t="s">
        <v>5643</v>
      </c>
      <c r="F1366" s="22" t="n">
        <v>13</v>
      </c>
      <c r="G1366" s="26" t="n">
        <v>191.92</v>
      </c>
      <c r="H1366" s="26" t="n">
        <v>214.05</v>
      </c>
      <c r="I1366" s="26" t="n">
        <v>236.18</v>
      </c>
      <c r="J1366" s="26" t="n">
        <v>252.78</v>
      </c>
      <c r="K1366" s="26" t="n">
        <v>269.38</v>
      </c>
      <c r="L1366" s="26" t="n">
        <v>2.39</v>
      </c>
      <c r="M1366" s="27" t="n">
        <v>0.005</v>
      </c>
      <c r="N1366" s="27" t="n">
        <v>0.002</v>
      </c>
      <c r="O1366" s="26" t="n">
        <v>5</v>
      </c>
      <c r="P1366" s="26" t="n">
        <v>5</v>
      </c>
      <c r="Q1366" s="28" t="n">
        <v>100</v>
      </c>
      <c r="R1366" s="26" t="n">
        <v>30</v>
      </c>
      <c r="S1366" s="26" t="n">
        <v>0</v>
      </c>
      <c r="T1366" s="28" t="n">
        <v>1</v>
      </c>
      <c r="U1366" s="26" t="n">
        <v>0</v>
      </c>
      <c r="V1366" s="26" t="n">
        <v>0</v>
      </c>
      <c r="W1366" s="22" t="s">
        <v>21</v>
      </c>
      <c r="X1366" s="22" t="s">
        <v>293</v>
      </c>
    </row>
    <row r="1367" customFormat="false" ht="15" hidden="false" customHeight="false" outlineLevel="0" collapsed="false">
      <c r="A1367" s="22" t="s">
        <v>5644</v>
      </c>
      <c r="B1367" s="22" t="s">
        <v>21</v>
      </c>
      <c r="C1367" s="22" t="s">
        <v>5645</v>
      </c>
      <c r="D1367" s="22" t="s">
        <v>5646</v>
      </c>
      <c r="E1367" s="22" t="s">
        <v>5647</v>
      </c>
      <c r="F1367" s="22" t="n">
        <v>13</v>
      </c>
      <c r="G1367" s="26" t="n">
        <v>191.92</v>
      </c>
      <c r="H1367" s="26" t="n">
        <v>214.05</v>
      </c>
      <c r="I1367" s="26" t="n">
        <v>236.18</v>
      </c>
      <c r="J1367" s="26" t="n">
        <v>252.78</v>
      </c>
      <c r="K1367" s="26" t="n">
        <v>269.38</v>
      </c>
      <c r="L1367" s="26" t="n">
        <v>2.39</v>
      </c>
      <c r="M1367" s="27" t="n">
        <v>0.005</v>
      </c>
      <c r="N1367" s="27" t="n">
        <v>0.002</v>
      </c>
      <c r="O1367" s="26" t="n">
        <v>5</v>
      </c>
      <c r="P1367" s="26" t="n">
        <v>5</v>
      </c>
      <c r="Q1367" s="28" t="n">
        <v>100</v>
      </c>
      <c r="R1367" s="26" t="n">
        <v>30</v>
      </c>
      <c r="S1367" s="26" t="n">
        <v>0</v>
      </c>
      <c r="T1367" s="28" t="n">
        <v>1</v>
      </c>
      <c r="U1367" s="26" t="n">
        <v>0</v>
      </c>
      <c r="V1367" s="26" t="n">
        <v>0</v>
      </c>
      <c r="W1367" s="22" t="s">
        <v>21</v>
      </c>
      <c r="X1367" s="22" t="s">
        <v>293</v>
      </c>
    </row>
    <row r="1368" customFormat="false" ht="15" hidden="false" customHeight="false" outlineLevel="0" collapsed="false">
      <c r="A1368" s="22" t="s">
        <v>5648</v>
      </c>
      <c r="B1368" s="22" t="s">
        <v>21</v>
      </c>
      <c r="C1368" s="22" t="s">
        <v>5649</v>
      </c>
      <c r="D1368" s="22" t="s">
        <v>5650</v>
      </c>
      <c r="E1368" s="22" t="s">
        <v>5651</v>
      </c>
      <c r="F1368" s="22" t="n">
        <v>13</v>
      </c>
      <c r="G1368" s="26" t="n">
        <v>191.92</v>
      </c>
      <c r="H1368" s="26" t="n">
        <v>214.05</v>
      </c>
      <c r="I1368" s="26" t="n">
        <v>236.18</v>
      </c>
      <c r="J1368" s="26" t="n">
        <v>252.78</v>
      </c>
      <c r="K1368" s="26" t="n">
        <v>269.38</v>
      </c>
      <c r="L1368" s="26" t="n">
        <v>2.39</v>
      </c>
      <c r="M1368" s="27" t="n">
        <v>0.005</v>
      </c>
      <c r="N1368" s="27" t="n">
        <v>0.002</v>
      </c>
      <c r="O1368" s="26" t="n">
        <v>5</v>
      </c>
      <c r="P1368" s="26" t="n">
        <v>5</v>
      </c>
      <c r="Q1368" s="28" t="n">
        <v>100</v>
      </c>
      <c r="R1368" s="26" t="n">
        <v>30</v>
      </c>
      <c r="S1368" s="26" t="n">
        <v>0</v>
      </c>
      <c r="T1368" s="28" t="n">
        <v>1</v>
      </c>
      <c r="U1368" s="26" t="n">
        <v>0</v>
      </c>
      <c r="V1368" s="26" t="n">
        <v>0</v>
      </c>
      <c r="W1368" s="22" t="s">
        <v>21</v>
      </c>
      <c r="X1368" s="22" t="s">
        <v>293</v>
      </c>
    </row>
    <row r="1369" customFormat="false" ht="15" hidden="false" customHeight="false" outlineLevel="0" collapsed="false">
      <c r="A1369" s="22" t="s">
        <v>5652</v>
      </c>
      <c r="B1369" s="22" t="s">
        <v>21</v>
      </c>
      <c r="C1369" s="22" t="s">
        <v>5653</v>
      </c>
      <c r="D1369" s="22" t="s">
        <v>5654</v>
      </c>
      <c r="E1369" s="22" t="s">
        <v>5655</v>
      </c>
      <c r="F1369" s="22" t="n">
        <v>13</v>
      </c>
      <c r="G1369" s="26" t="n">
        <v>191.92</v>
      </c>
      <c r="H1369" s="26" t="n">
        <v>214.05</v>
      </c>
      <c r="I1369" s="26" t="n">
        <v>236.18</v>
      </c>
      <c r="J1369" s="26" t="n">
        <v>252.78</v>
      </c>
      <c r="K1369" s="26" t="n">
        <v>269.38</v>
      </c>
      <c r="L1369" s="26" t="n">
        <v>2.39</v>
      </c>
      <c r="M1369" s="27" t="n">
        <v>0.005</v>
      </c>
      <c r="N1369" s="27" t="n">
        <v>0.002</v>
      </c>
      <c r="O1369" s="26" t="n">
        <v>5</v>
      </c>
      <c r="P1369" s="26" t="n">
        <v>5</v>
      </c>
      <c r="Q1369" s="28" t="n">
        <v>100</v>
      </c>
      <c r="R1369" s="26" t="n">
        <v>30</v>
      </c>
      <c r="S1369" s="26" t="n">
        <v>0</v>
      </c>
      <c r="T1369" s="28" t="n">
        <v>1</v>
      </c>
      <c r="U1369" s="26" t="n">
        <v>0</v>
      </c>
      <c r="V1369" s="26" t="n">
        <v>0</v>
      </c>
      <c r="W1369" s="22" t="s">
        <v>21</v>
      </c>
      <c r="X1369" s="22" t="s">
        <v>293</v>
      </c>
    </row>
    <row r="1370" customFormat="false" ht="15" hidden="false" customHeight="false" outlineLevel="0" collapsed="false">
      <c r="A1370" s="22" t="s">
        <v>5656</v>
      </c>
      <c r="B1370" s="22" t="s">
        <v>21</v>
      </c>
      <c r="C1370" s="22" t="s">
        <v>5657</v>
      </c>
      <c r="D1370" s="22" t="s">
        <v>5658</v>
      </c>
      <c r="E1370" s="22" t="s">
        <v>5659</v>
      </c>
      <c r="F1370" s="22" t="n">
        <v>13</v>
      </c>
      <c r="G1370" s="26" t="n">
        <v>191.92</v>
      </c>
      <c r="H1370" s="26" t="n">
        <v>214.05</v>
      </c>
      <c r="I1370" s="26" t="n">
        <v>236.18</v>
      </c>
      <c r="J1370" s="26" t="n">
        <v>252.78</v>
      </c>
      <c r="K1370" s="26" t="n">
        <v>269.38</v>
      </c>
      <c r="L1370" s="26" t="n">
        <v>2.39</v>
      </c>
      <c r="M1370" s="27" t="n">
        <v>0.005</v>
      </c>
      <c r="N1370" s="27" t="n">
        <v>0.002</v>
      </c>
      <c r="O1370" s="26" t="n">
        <v>5</v>
      </c>
      <c r="P1370" s="26" t="n">
        <v>5</v>
      </c>
      <c r="Q1370" s="28" t="n">
        <v>100</v>
      </c>
      <c r="R1370" s="26" t="n">
        <v>30</v>
      </c>
      <c r="S1370" s="26" t="n">
        <v>0</v>
      </c>
      <c r="T1370" s="28" t="n">
        <v>1</v>
      </c>
      <c r="U1370" s="26" t="n">
        <v>0</v>
      </c>
      <c r="V1370" s="26" t="n">
        <v>0</v>
      </c>
      <c r="W1370" s="22" t="s">
        <v>21</v>
      </c>
      <c r="X1370" s="22" t="s">
        <v>293</v>
      </c>
    </row>
    <row r="1371" customFormat="false" ht="15" hidden="false" customHeight="false" outlineLevel="0" collapsed="false">
      <c r="A1371" s="22" t="s">
        <v>5660</v>
      </c>
      <c r="B1371" s="22" t="s">
        <v>21</v>
      </c>
      <c r="C1371" s="22" t="s">
        <v>5661</v>
      </c>
      <c r="D1371" s="22" t="s">
        <v>5662</v>
      </c>
      <c r="E1371" s="22" t="s">
        <v>5663</v>
      </c>
      <c r="F1371" s="22" t="n">
        <v>13</v>
      </c>
      <c r="G1371" s="26" t="n">
        <v>191.92</v>
      </c>
      <c r="H1371" s="26" t="n">
        <v>214.05</v>
      </c>
      <c r="I1371" s="26" t="n">
        <v>236.18</v>
      </c>
      <c r="J1371" s="26" t="n">
        <v>252.78</v>
      </c>
      <c r="K1371" s="26" t="n">
        <v>269.38</v>
      </c>
      <c r="L1371" s="26" t="n">
        <v>2.39</v>
      </c>
      <c r="M1371" s="27" t="n">
        <v>0.005</v>
      </c>
      <c r="N1371" s="27" t="n">
        <v>0.002</v>
      </c>
      <c r="O1371" s="26" t="n">
        <v>5</v>
      </c>
      <c r="P1371" s="26" t="n">
        <v>5</v>
      </c>
      <c r="Q1371" s="28" t="n">
        <v>100</v>
      </c>
      <c r="R1371" s="26" t="n">
        <v>30</v>
      </c>
      <c r="S1371" s="26" t="n">
        <v>0</v>
      </c>
      <c r="T1371" s="28" t="n">
        <v>1</v>
      </c>
      <c r="U1371" s="26" t="n">
        <v>0</v>
      </c>
      <c r="V1371" s="26" t="n">
        <v>0</v>
      </c>
      <c r="W1371" s="22" t="s">
        <v>21</v>
      </c>
      <c r="X1371" s="22" t="s">
        <v>293</v>
      </c>
    </row>
    <row r="1372" customFormat="false" ht="15" hidden="false" customHeight="false" outlineLevel="0" collapsed="false">
      <c r="A1372" s="22" t="s">
        <v>5664</v>
      </c>
      <c r="B1372" s="22" t="s">
        <v>21</v>
      </c>
      <c r="C1372" s="22" t="s">
        <v>169</v>
      </c>
      <c r="D1372" s="22" t="s">
        <v>5665</v>
      </c>
      <c r="E1372" s="22" t="s">
        <v>5666</v>
      </c>
      <c r="F1372" s="22" t="n">
        <v>13</v>
      </c>
      <c r="G1372" s="26" t="n">
        <v>191.92</v>
      </c>
      <c r="H1372" s="26" t="n">
        <v>214.05</v>
      </c>
      <c r="I1372" s="26" t="n">
        <v>236.18</v>
      </c>
      <c r="J1372" s="26" t="n">
        <v>252.78</v>
      </c>
      <c r="K1372" s="26" t="n">
        <v>269.38</v>
      </c>
      <c r="L1372" s="26" t="n">
        <v>2.39</v>
      </c>
      <c r="M1372" s="27" t="n">
        <v>0.005</v>
      </c>
      <c r="N1372" s="27" t="n">
        <v>0.002</v>
      </c>
      <c r="O1372" s="26" t="n">
        <v>5</v>
      </c>
      <c r="P1372" s="26" t="n">
        <v>5</v>
      </c>
      <c r="Q1372" s="28" t="n">
        <v>100</v>
      </c>
      <c r="R1372" s="26" t="n">
        <v>30</v>
      </c>
      <c r="S1372" s="26" t="n">
        <v>0</v>
      </c>
      <c r="T1372" s="28" t="n">
        <v>1</v>
      </c>
      <c r="U1372" s="26" t="n">
        <v>0</v>
      </c>
      <c r="V1372" s="26" t="n">
        <v>0</v>
      </c>
      <c r="W1372" s="22" t="s">
        <v>21</v>
      </c>
      <c r="X1372" s="22" t="s">
        <v>293</v>
      </c>
    </row>
    <row r="1373" customFormat="false" ht="15" hidden="false" customHeight="false" outlineLevel="0" collapsed="false">
      <c r="A1373" s="22" t="s">
        <v>5667</v>
      </c>
      <c r="B1373" s="22" t="s">
        <v>21</v>
      </c>
      <c r="C1373" s="22" t="s">
        <v>5668</v>
      </c>
      <c r="D1373" s="22" t="s">
        <v>5669</v>
      </c>
      <c r="E1373" s="22" t="s">
        <v>5670</v>
      </c>
      <c r="F1373" s="22" t="n">
        <v>13</v>
      </c>
      <c r="G1373" s="26" t="n">
        <v>191.92</v>
      </c>
      <c r="H1373" s="26" t="n">
        <v>214.05</v>
      </c>
      <c r="I1373" s="26" t="n">
        <v>236.18</v>
      </c>
      <c r="J1373" s="26" t="n">
        <v>252.78</v>
      </c>
      <c r="K1373" s="26" t="n">
        <v>269.38</v>
      </c>
      <c r="L1373" s="26" t="n">
        <v>2.39</v>
      </c>
      <c r="M1373" s="27" t="n">
        <v>0.005</v>
      </c>
      <c r="N1373" s="27" t="n">
        <v>0.002</v>
      </c>
      <c r="O1373" s="26" t="n">
        <v>5</v>
      </c>
      <c r="P1373" s="26" t="n">
        <v>5</v>
      </c>
      <c r="Q1373" s="28" t="n">
        <v>100</v>
      </c>
      <c r="R1373" s="26" t="n">
        <v>30</v>
      </c>
      <c r="S1373" s="26" t="n">
        <v>0</v>
      </c>
      <c r="T1373" s="28" t="n">
        <v>1</v>
      </c>
      <c r="U1373" s="26" t="n">
        <v>0</v>
      </c>
      <c r="V1373" s="26" t="n">
        <v>0</v>
      </c>
      <c r="W1373" s="22" t="s">
        <v>21</v>
      </c>
      <c r="X1373" s="22" t="s">
        <v>293</v>
      </c>
    </row>
    <row r="1374" customFormat="false" ht="15" hidden="false" customHeight="false" outlineLevel="0" collapsed="false">
      <c r="A1374" s="22" t="s">
        <v>5671</v>
      </c>
      <c r="B1374" s="22" t="s">
        <v>21</v>
      </c>
      <c r="C1374" s="22" t="s">
        <v>181</v>
      </c>
      <c r="D1374" s="22" t="s">
        <v>5672</v>
      </c>
      <c r="E1374" s="22" t="s">
        <v>5673</v>
      </c>
      <c r="F1374" s="22" t="n">
        <v>13</v>
      </c>
      <c r="G1374" s="26" t="n">
        <v>191.92</v>
      </c>
      <c r="H1374" s="26" t="n">
        <v>214.05</v>
      </c>
      <c r="I1374" s="26" t="n">
        <v>236.18</v>
      </c>
      <c r="J1374" s="26" t="n">
        <v>252.78</v>
      </c>
      <c r="K1374" s="26" t="n">
        <v>269.38</v>
      </c>
      <c r="L1374" s="26" t="n">
        <v>2.39</v>
      </c>
      <c r="M1374" s="27" t="n">
        <v>0.005</v>
      </c>
      <c r="N1374" s="27" t="n">
        <v>0.002</v>
      </c>
      <c r="O1374" s="26" t="n">
        <v>5</v>
      </c>
      <c r="P1374" s="26" t="n">
        <v>5</v>
      </c>
      <c r="Q1374" s="28" t="n">
        <v>100</v>
      </c>
      <c r="R1374" s="26" t="n">
        <v>30</v>
      </c>
      <c r="S1374" s="26" t="n">
        <v>0</v>
      </c>
      <c r="T1374" s="28" t="n">
        <v>1</v>
      </c>
      <c r="U1374" s="26" t="n">
        <v>0</v>
      </c>
      <c r="V1374" s="26" t="n">
        <v>0</v>
      </c>
      <c r="W1374" s="22" t="s">
        <v>21</v>
      </c>
      <c r="X1374" s="22" t="s">
        <v>293</v>
      </c>
    </row>
    <row r="1375" customFormat="false" ht="15" hidden="false" customHeight="false" outlineLevel="0" collapsed="false">
      <c r="A1375" s="22" t="s">
        <v>5674</v>
      </c>
      <c r="B1375" s="22" t="s">
        <v>21</v>
      </c>
      <c r="C1375" s="22" t="s">
        <v>5675</v>
      </c>
      <c r="D1375" s="22" t="s">
        <v>5676</v>
      </c>
      <c r="E1375" s="22" t="s">
        <v>5677</v>
      </c>
      <c r="F1375" s="22" t="n">
        <v>13</v>
      </c>
      <c r="G1375" s="26" t="n">
        <v>191.92</v>
      </c>
      <c r="H1375" s="26" t="n">
        <v>214.05</v>
      </c>
      <c r="I1375" s="26" t="n">
        <v>236.18</v>
      </c>
      <c r="J1375" s="26" t="n">
        <v>252.78</v>
      </c>
      <c r="K1375" s="26" t="n">
        <v>269.38</v>
      </c>
      <c r="L1375" s="26" t="n">
        <v>2.39</v>
      </c>
      <c r="M1375" s="27" t="n">
        <v>0.005</v>
      </c>
      <c r="N1375" s="27" t="n">
        <v>0.002</v>
      </c>
      <c r="O1375" s="26" t="n">
        <v>5</v>
      </c>
      <c r="P1375" s="26" t="n">
        <v>5</v>
      </c>
      <c r="Q1375" s="28" t="n">
        <v>100</v>
      </c>
      <c r="R1375" s="26" t="n">
        <v>30</v>
      </c>
      <c r="S1375" s="26" t="n">
        <v>0</v>
      </c>
      <c r="T1375" s="28" t="n">
        <v>1</v>
      </c>
      <c r="U1375" s="26" t="n">
        <v>0</v>
      </c>
      <c r="V1375" s="26" t="n">
        <v>0</v>
      </c>
      <c r="W1375" s="22" t="s">
        <v>21</v>
      </c>
      <c r="X1375" s="22" t="s">
        <v>293</v>
      </c>
    </row>
    <row r="1376" customFormat="false" ht="15" hidden="false" customHeight="false" outlineLevel="0" collapsed="false">
      <c r="A1376" s="22" t="s">
        <v>5678</v>
      </c>
      <c r="B1376" s="22" t="s">
        <v>21</v>
      </c>
      <c r="C1376" s="22" t="s">
        <v>176</v>
      </c>
      <c r="D1376" s="22" t="s">
        <v>5679</v>
      </c>
      <c r="E1376" s="22" t="s">
        <v>5680</v>
      </c>
      <c r="F1376" s="22" t="n">
        <v>13</v>
      </c>
      <c r="G1376" s="26" t="n">
        <v>191.92</v>
      </c>
      <c r="H1376" s="26" t="n">
        <v>214.05</v>
      </c>
      <c r="I1376" s="26" t="n">
        <v>236.18</v>
      </c>
      <c r="J1376" s="26" t="n">
        <v>252.78</v>
      </c>
      <c r="K1376" s="26" t="n">
        <v>269.38</v>
      </c>
      <c r="L1376" s="26" t="n">
        <v>2.39</v>
      </c>
      <c r="M1376" s="27" t="n">
        <v>0.005</v>
      </c>
      <c r="N1376" s="27" t="n">
        <v>0.002</v>
      </c>
      <c r="O1376" s="26" t="n">
        <v>5</v>
      </c>
      <c r="P1376" s="26" t="n">
        <v>5</v>
      </c>
      <c r="Q1376" s="28" t="n">
        <v>100</v>
      </c>
      <c r="R1376" s="26" t="n">
        <v>30</v>
      </c>
      <c r="S1376" s="26" t="n">
        <v>0</v>
      </c>
      <c r="T1376" s="28" t="n">
        <v>1</v>
      </c>
      <c r="U1376" s="26" t="n">
        <v>0</v>
      </c>
      <c r="V1376" s="26" t="n">
        <v>0</v>
      </c>
      <c r="W1376" s="22" t="s">
        <v>21</v>
      </c>
      <c r="X1376" s="22" t="s">
        <v>293</v>
      </c>
    </row>
    <row r="1377" customFormat="false" ht="15" hidden="false" customHeight="false" outlineLevel="0" collapsed="false">
      <c r="A1377" s="22" t="s">
        <v>5681</v>
      </c>
      <c r="B1377" s="22" t="s">
        <v>21</v>
      </c>
      <c r="C1377" s="22" t="s">
        <v>5682</v>
      </c>
      <c r="D1377" s="22" t="s">
        <v>5683</v>
      </c>
      <c r="E1377" s="22" t="s">
        <v>5684</v>
      </c>
      <c r="F1377" s="22" t="n">
        <v>13</v>
      </c>
      <c r="G1377" s="26" t="n">
        <v>191.92</v>
      </c>
      <c r="H1377" s="26" t="n">
        <v>214.05</v>
      </c>
      <c r="I1377" s="26" t="n">
        <v>236.18</v>
      </c>
      <c r="J1377" s="26" t="n">
        <v>252.78</v>
      </c>
      <c r="K1377" s="26" t="n">
        <v>269.38</v>
      </c>
      <c r="L1377" s="26" t="n">
        <v>2.39</v>
      </c>
      <c r="M1377" s="27" t="n">
        <v>0.005</v>
      </c>
      <c r="N1377" s="27" t="n">
        <v>0.002</v>
      </c>
      <c r="O1377" s="26" t="n">
        <v>5</v>
      </c>
      <c r="P1377" s="26" t="n">
        <v>5</v>
      </c>
      <c r="Q1377" s="28" t="n">
        <v>100</v>
      </c>
      <c r="R1377" s="26" t="n">
        <v>30</v>
      </c>
      <c r="S1377" s="26" t="n">
        <v>0</v>
      </c>
      <c r="T1377" s="28" t="n">
        <v>1</v>
      </c>
      <c r="U1377" s="26" t="n">
        <v>0</v>
      </c>
      <c r="V1377" s="26" t="n">
        <v>0</v>
      </c>
      <c r="W1377" s="22" t="s">
        <v>21</v>
      </c>
      <c r="X1377" s="22" t="s">
        <v>293</v>
      </c>
    </row>
    <row r="1378" customFormat="false" ht="15" hidden="false" customHeight="false" outlineLevel="0" collapsed="false">
      <c r="A1378" s="22" t="s">
        <v>5685</v>
      </c>
      <c r="B1378" s="22" t="s">
        <v>21</v>
      </c>
      <c r="C1378" s="22" t="s">
        <v>5686</v>
      </c>
      <c r="D1378" s="22" t="s">
        <v>5687</v>
      </c>
      <c r="E1378" s="22" t="s">
        <v>5688</v>
      </c>
      <c r="F1378" s="22" t="n">
        <v>13</v>
      </c>
      <c r="G1378" s="26" t="n">
        <v>191.92</v>
      </c>
      <c r="H1378" s="26" t="n">
        <v>214.05</v>
      </c>
      <c r="I1378" s="26" t="n">
        <v>236.18</v>
      </c>
      <c r="J1378" s="26" t="n">
        <v>252.78</v>
      </c>
      <c r="K1378" s="26" t="n">
        <v>269.38</v>
      </c>
      <c r="L1378" s="26" t="n">
        <v>2.39</v>
      </c>
      <c r="M1378" s="27" t="n">
        <v>0.005</v>
      </c>
      <c r="N1378" s="27" t="n">
        <v>0.002</v>
      </c>
      <c r="O1378" s="26" t="n">
        <v>5</v>
      </c>
      <c r="P1378" s="26" t="n">
        <v>5</v>
      </c>
      <c r="Q1378" s="28" t="n">
        <v>100</v>
      </c>
      <c r="R1378" s="26" t="n">
        <v>30</v>
      </c>
      <c r="S1378" s="26" t="n">
        <v>0</v>
      </c>
      <c r="T1378" s="28" t="n">
        <v>1</v>
      </c>
      <c r="U1378" s="26" t="n">
        <v>0</v>
      </c>
      <c r="V1378" s="26" t="n">
        <v>0</v>
      </c>
      <c r="W1378" s="22" t="s">
        <v>21</v>
      </c>
      <c r="X1378" s="22" t="s">
        <v>293</v>
      </c>
    </row>
    <row r="1379" customFormat="false" ht="15" hidden="false" customHeight="false" outlineLevel="0" collapsed="false">
      <c r="A1379" s="22" t="s">
        <v>5689</v>
      </c>
      <c r="B1379" s="22" t="s">
        <v>21</v>
      </c>
      <c r="C1379" s="22" t="s">
        <v>5690</v>
      </c>
      <c r="D1379" s="22" t="s">
        <v>5691</v>
      </c>
      <c r="E1379" s="22" t="s">
        <v>5692</v>
      </c>
      <c r="F1379" s="22" t="n">
        <v>13</v>
      </c>
      <c r="G1379" s="26" t="n">
        <v>191.92</v>
      </c>
      <c r="H1379" s="26" t="n">
        <v>214.05</v>
      </c>
      <c r="I1379" s="26" t="n">
        <v>236.18</v>
      </c>
      <c r="J1379" s="26" t="n">
        <v>252.78</v>
      </c>
      <c r="K1379" s="26" t="n">
        <v>269.38</v>
      </c>
      <c r="L1379" s="26" t="n">
        <v>2.39</v>
      </c>
      <c r="M1379" s="27" t="n">
        <v>0.005</v>
      </c>
      <c r="N1379" s="27" t="n">
        <v>0.002</v>
      </c>
      <c r="O1379" s="26" t="n">
        <v>5</v>
      </c>
      <c r="P1379" s="26" t="n">
        <v>5</v>
      </c>
      <c r="Q1379" s="28" t="n">
        <v>100</v>
      </c>
      <c r="R1379" s="26" t="n">
        <v>30</v>
      </c>
      <c r="S1379" s="26" t="n">
        <v>0</v>
      </c>
      <c r="T1379" s="28" t="n">
        <v>1</v>
      </c>
      <c r="U1379" s="26" t="n">
        <v>0</v>
      </c>
      <c r="V1379" s="26" t="n">
        <v>0</v>
      </c>
      <c r="W1379" s="22" t="s">
        <v>21</v>
      </c>
      <c r="X1379" s="22" t="s">
        <v>293</v>
      </c>
    </row>
    <row r="1380" customFormat="false" ht="15" hidden="false" customHeight="false" outlineLevel="0" collapsed="false">
      <c r="A1380" s="22" t="s">
        <v>5693</v>
      </c>
      <c r="B1380" s="22" t="s">
        <v>21</v>
      </c>
      <c r="C1380" s="22" t="s">
        <v>5694</v>
      </c>
      <c r="D1380" s="22" t="s">
        <v>5695</v>
      </c>
      <c r="E1380" s="22" t="s">
        <v>5696</v>
      </c>
      <c r="F1380" s="22" t="n">
        <v>13</v>
      </c>
      <c r="G1380" s="26" t="n">
        <v>191.92</v>
      </c>
      <c r="H1380" s="26" t="n">
        <v>214.05</v>
      </c>
      <c r="I1380" s="26" t="n">
        <v>236.18</v>
      </c>
      <c r="J1380" s="26" t="n">
        <v>252.78</v>
      </c>
      <c r="K1380" s="26" t="n">
        <v>269.38</v>
      </c>
      <c r="L1380" s="26" t="n">
        <v>2.39</v>
      </c>
      <c r="M1380" s="27" t="n">
        <v>0.005</v>
      </c>
      <c r="N1380" s="27" t="n">
        <v>0.002</v>
      </c>
      <c r="O1380" s="26" t="n">
        <v>5</v>
      </c>
      <c r="P1380" s="26" t="n">
        <v>5</v>
      </c>
      <c r="Q1380" s="28" t="n">
        <v>100</v>
      </c>
      <c r="R1380" s="26" t="n">
        <v>30</v>
      </c>
      <c r="S1380" s="26" t="n">
        <v>0</v>
      </c>
      <c r="T1380" s="28" t="n">
        <v>1</v>
      </c>
      <c r="U1380" s="26" t="n">
        <v>0</v>
      </c>
      <c r="V1380" s="26" t="n">
        <v>0</v>
      </c>
      <c r="W1380" s="22" t="s">
        <v>21</v>
      </c>
      <c r="X1380" s="22" t="s">
        <v>293</v>
      </c>
    </row>
    <row r="1381" customFormat="false" ht="15" hidden="false" customHeight="false" outlineLevel="0" collapsed="false">
      <c r="A1381" s="22" t="s">
        <v>5697</v>
      </c>
      <c r="B1381" s="22" t="s">
        <v>21</v>
      </c>
      <c r="C1381" s="22" t="s">
        <v>5698</v>
      </c>
      <c r="D1381" s="22" t="s">
        <v>5699</v>
      </c>
      <c r="E1381" s="22" t="s">
        <v>5700</v>
      </c>
      <c r="F1381" s="22" t="n">
        <v>13</v>
      </c>
      <c r="G1381" s="26" t="n">
        <v>191.92</v>
      </c>
      <c r="H1381" s="26" t="n">
        <v>214.05</v>
      </c>
      <c r="I1381" s="26" t="n">
        <v>236.18</v>
      </c>
      <c r="J1381" s="26" t="n">
        <v>252.78</v>
      </c>
      <c r="K1381" s="26" t="n">
        <v>269.38</v>
      </c>
      <c r="L1381" s="26" t="n">
        <v>2.39</v>
      </c>
      <c r="M1381" s="27" t="n">
        <v>0.005</v>
      </c>
      <c r="N1381" s="27" t="n">
        <v>0.002</v>
      </c>
      <c r="O1381" s="26" t="n">
        <v>5</v>
      </c>
      <c r="P1381" s="26" t="n">
        <v>5</v>
      </c>
      <c r="Q1381" s="28" t="n">
        <v>100</v>
      </c>
      <c r="R1381" s="26" t="n">
        <v>30</v>
      </c>
      <c r="S1381" s="26" t="n">
        <v>0</v>
      </c>
      <c r="T1381" s="28" t="n">
        <v>1</v>
      </c>
      <c r="U1381" s="26" t="n">
        <v>0</v>
      </c>
      <c r="V1381" s="26" t="n">
        <v>0</v>
      </c>
      <c r="W1381" s="22" t="s">
        <v>21</v>
      </c>
      <c r="X1381" s="22" t="s">
        <v>293</v>
      </c>
    </row>
    <row r="1382" customFormat="false" ht="15" hidden="false" customHeight="false" outlineLevel="0" collapsed="false">
      <c r="A1382" s="22" t="s">
        <v>5701</v>
      </c>
      <c r="B1382" s="22" t="s">
        <v>21</v>
      </c>
      <c r="C1382" s="22" t="s">
        <v>5702</v>
      </c>
      <c r="D1382" s="22" t="s">
        <v>5703</v>
      </c>
      <c r="E1382" s="22" t="s">
        <v>5704</v>
      </c>
      <c r="F1382" s="22" t="n">
        <v>13</v>
      </c>
      <c r="G1382" s="26" t="n">
        <v>191.92</v>
      </c>
      <c r="H1382" s="26" t="n">
        <v>214.05</v>
      </c>
      <c r="I1382" s="26" t="n">
        <v>236.18</v>
      </c>
      <c r="J1382" s="26" t="n">
        <v>252.78</v>
      </c>
      <c r="K1382" s="26" t="n">
        <v>269.38</v>
      </c>
      <c r="L1382" s="26" t="n">
        <v>2.39</v>
      </c>
      <c r="M1382" s="27" t="n">
        <v>0.005</v>
      </c>
      <c r="N1382" s="27" t="n">
        <v>0.002</v>
      </c>
      <c r="O1382" s="26" t="n">
        <v>5</v>
      </c>
      <c r="P1382" s="26" t="n">
        <v>5</v>
      </c>
      <c r="Q1382" s="28" t="n">
        <v>100</v>
      </c>
      <c r="R1382" s="26" t="n">
        <v>30</v>
      </c>
      <c r="S1382" s="26" t="n">
        <v>0</v>
      </c>
      <c r="T1382" s="28" t="n">
        <v>1</v>
      </c>
      <c r="U1382" s="26" t="n">
        <v>0</v>
      </c>
      <c r="V1382" s="26" t="n">
        <v>0</v>
      </c>
      <c r="W1382" s="22" t="s">
        <v>21</v>
      </c>
      <c r="X1382" s="22" t="s">
        <v>293</v>
      </c>
    </row>
    <row r="1383" customFormat="false" ht="15" hidden="false" customHeight="false" outlineLevel="0" collapsed="false">
      <c r="A1383" s="22" t="s">
        <v>5705</v>
      </c>
      <c r="B1383" s="22" t="s">
        <v>21</v>
      </c>
      <c r="C1383" s="22" t="s">
        <v>5706</v>
      </c>
      <c r="D1383" s="22" t="s">
        <v>5707</v>
      </c>
      <c r="E1383" s="22" t="s">
        <v>5708</v>
      </c>
      <c r="F1383" s="22" t="n">
        <v>13</v>
      </c>
      <c r="G1383" s="26" t="n">
        <v>191.92</v>
      </c>
      <c r="H1383" s="26" t="n">
        <v>214.05</v>
      </c>
      <c r="I1383" s="26" t="n">
        <v>236.18</v>
      </c>
      <c r="J1383" s="26" t="n">
        <v>252.78</v>
      </c>
      <c r="K1383" s="26" t="n">
        <v>269.38</v>
      </c>
      <c r="L1383" s="26" t="n">
        <v>2.39</v>
      </c>
      <c r="M1383" s="27" t="n">
        <v>0.005</v>
      </c>
      <c r="N1383" s="27" t="n">
        <v>0.002</v>
      </c>
      <c r="O1383" s="26" t="n">
        <v>5</v>
      </c>
      <c r="P1383" s="26" t="n">
        <v>5</v>
      </c>
      <c r="Q1383" s="28" t="n">
        <v>100</v>
      </c>
      <c r="R1383" s="26" t="n">
        <v>30</v>
      </c>
      <c r="S1383" s="26" t="n">
        <v>0</v>
      </c>
      <c r="T1383" s="28" t="n">
        <v>1</v>
      </c>
      <c r="U1383" s="26" t="n">
        <v>0</v>
      </c>
      <c r="V1383" s="26" t="n">
        <v>400</v>
      </c>
      <c r="W1383" s="22" t="s">
        <v>21</v>
      </c>
      <c r="X1383" s="22" t="s">
        <v>293</v>
      </c>
    </row>
    <row r="1384" customFormat="false" ht="15" hidden="false" customHeight="false" outlineLevel="0" collapsed="false">
      <c r="A1384" s="22" t="s">
        <v>5709</v>
      </c>
      <c r="B1384" s="22" t="s">
        <v>21</v>
      </c>
      <c r="C1384" s="22" t="s">
        <v>5710</v>
      </c>
      <c r="D1384" s="22" t="s">
        <v>5711</v>
      </c>
      <c r="E1384" s="22" t="s">
        <v>5712</v>
      </c>
      <c r="F1384" s="22" t="n">
        <v>13</v>
      </c>
      <c r="G1384" s="26" t="n">
        <v>191.92</v>
      </c>
      <c r="H1384" s="26" t="n">
        <v>214.05</v>
      </c>
      <c r="I1384" s="26" t="n">
        <v>236.18</v>
      </c>
      <c r="J1384" s="26" t="n">
        <v>252.78</v>
      </c>
      <c r="K1384" s="26" t="n">
        <v>269.38</v>
      </c>
      <c r="L1384" s="26" t="n">
        <v>2.39</v>
      </c>
      <c r="M1384" s="27" t="n">
        <v>0.005</v>
      </c>
      <c r="N1384" s="27" t="n">
        <v>0.002</v>
      </c>
      <c r="O1384" s="26" t="n">
        <v>5</v>
      </c>
      <c r="P1384" s="26" t="n">
        <v>5</v>
      </c>
      <c r="Q1384" s="28" t="n">
        <v>100</v>
      </c>
      <c r="R1384" s="26" t="n">
        <v>30</v>
      </c>
      <c r="S1384" s="26" t="n">
        <v>0</v>
      </c>
      <c r="T1384" s="28" t="n">
        <v>1</v>
      </c>
      <c r="U1384" s="26" t="n">
        <v>0</v>
      </c>
      <c r="V1384" s="26" t="n">
        <v>0</v>
      </c>
      <c r="W1384" s="22" t="s">
        <v>21</v>
      </c>
      <c r="X1384" s="22" t="s">
        <v>293</v>
      </c>
    </row>
    <row r="1385" customFormat="false" ht="15" hidden="false" customHeight="false" outlineLevel="0" collapsed="false">
      <c r="A1385" s="22" t="s">
        <v>5713</v>
      </c>
      <c r="B1385" s="22" t="s">
        <v>21</v>
      </c>
      <c r="C1385" s="22" t="s">
        <v>5714</v>
      </c>
      <c r="D1385" s="22" t="s">
        <v>5715</v>
      </c>
      <c r="E1385" s="22" t="s">
        <v>5716</v>
      </c>
      <c r="F1385" s="22" t="n">
        <v>13</v>
      </c>
      <c r="G1385" s="26" t="n">
        <v>191.92</v>
      </c>
      <c r="H1385" s="26" t="n">
        <v>214.05</v>
      </c>
      <c r="I1385" s="26" t="n">
        <v>236.18</v>
      </c>
      <c r="J1385" s="26" t="n">
        <v>252.78</v>
      </c>
      <c r="K1385" s="26" t="n">
        <v>269.38</v>
      </c>
      <c r="L1385" s="26" t="n">
        <v>2.39</v>
      </c>
      <c r="M1385" s="27" t="n">
        <v>0.005</v>
      </c>
      <c r="N1385" s="27" t="n">
        <v>0.002</v>
      </c>
      <c r="O1385" s="26" t="n">
        <v>5</v>
      </c>
      <c r="P1385" s="26" t="n">
        <v>5</v>
      </c>
      <c r="Q1385" s="28" t="n">
        <v>100</v>
      </c>
      <c r="R1385" s="26" t="n">
        <v>30</v>
      </c>
      <c r="S1385" s="26" t="n">
        <v>0</v>
      </c>
      <c r="T1385" s="28" t="n">
        <v>1</v>
      </c>
      <c r="U1385" s="26" t="n">
        <v>0</v>
      </c>
      <c r="V1385" s="26" t="n">
        <v>0</v>
      </c>
      <c r="W1385" s="22" t="s">
        <v>21</v>
      </c>
      <c r="X1385" s="22" t="s">
        <v>293</v>
      </c>
    </row>
    <row r="1386" customFormat="false" ht="15" hidden="false" customHeight="false" outlineLevel="0" collapsed="false">
      <c r="A1386" s="22" t="s">
        <v>5717</v>
      </c>
      <c r="B1386" s="22" t="s">
        <v>21</v>
      </c>
      <c r="C1386" s="22" t="s">
        <v>5718</v>
      </c>
      <c r="D1386" s="22" t="s">
        <v>5719</v>
      </c>
      <c r="E1386" s="22" t="s">
        <v>5720</v>
      </c>
      <c r="F1386" s="22" t="n">
        <v>13</v>
      </c>
      <c r="G1386" s="26" t="n">
        <v>191.92</v>
      </c>
      <c r="H1386" s="26" t="n">
        <v>214.05</v>
      </c>
      <c r="I1386" s="26" t="n">
        <v>236.18</v>
      </c>
      <c r="J1386" s="26" t="n">
        <v>252.78</v>
      </c>
      <c r="K1386" s="26" t="n">
        <v>269.38</v>
      </c>
      <c r="L1386" s="26" t="n">
        <v>2.39</v>
      </c>
      <c r="M1386" s="27" t="n">
        <v>0.005</v>
      </c>
      <c r="N1386" s="27" t="n">
        <v>0.002</v>
      </c>
      <c r="O1386" s="26" t="n">
        <v>5</v>
      </c>
      <c r="P1386" s="26" t="n">
        <v>5</v>
      </c>
      <c r="Q1386" s="28" t="n">
        <v>100</v>
      </c>
      <c r="R1386" s="26" t="n">
        <v>30</v>
      </c>
      <c r="S1386" s="26" t="n">
        <v>0</v>
      </c>
      <c r="T1386" s="28" t="n">
        <v>1</v>
      </c>
      <c r="U1386" s="26" t="n">
        <v>0</v>
      </c>
      <c r="V1386" s="26" t="n">
        <v>0</v>
      </c>
      <c r="W1386" s="22" t="s">
        <v>21</v>
      </c>
      <c r="X1386" s="22" t="s">
        <v>293</v>
      </c>
    </row>
    <row r="1387" customFormat="false" ht="15" hidden="false" customHeight="false" outlineLevel="0" collapsed="false">
      <c r="A1387" s="22" t="s">
        <v>5721</v>
      </c>
      <c r="B1387" s="22" t="s">
        <v>21</v>
      </c>
      <c r="C1387" s="22" t="s">
        <v>5722</v>
      </c>
      <c r="D1387" s="22" t="s">
        <v>5723</v>
      </c>
      <c r="E1387" s="22" t="s">
        <v>5724</v>
      </c>
      <c r="F1387" s="22" t="n">
        <v>13</v>
      </c>
      <c r="G1387" s="26" t="n">
        <v>191.92</v>
      </c>
      <c r="H1387" s="26" t="n">
        <v>214.05</v>
      </c>
      <c r="I1387" s="26" t="n">
        <v>236.18</v>
      </c>
      <c r="J1387" s="26" t="n">
        <v>252.78</v>
      </c>
      <c r="K1387" s="26" t="n">
        <v>269.38</v>
      </c>
      <c r="L1387" s="26" t="n">
        <v>2.39</v>
      </c>
      <c r="M1387" s="27" t="n">
        <v>0.005</v>
      </c>
      <c r="N1387" s="27" t="n">
        <v>0.002</v>
      </c>
      <c r="O1387" s="26" t="n">
        <v>5</v>
      </c>
      <c r="P1387" s="26" t="n">
        <v>5</v>
      </c>
      <c r="Q1387" s="28" t="n">
        <v>100</v>
      </c>
      <c r="R1387" s="26" t="n">
        <v>30</v>
      </c>
      <c r="S1387" s="26" t="n">
        <v>0</v>
      </c>
      <c r="T1387" s="28" t="n">
        <v>1</v>
      </c>
      <c r="U1387" s="26" t="n">
        <v>0</v>
      </c>
      <c r="V1387" s="26" t="n">
        <v>0</v>
      </c>
      <c r="W1387" s="22" t="s">
        <v>21</v>
      </c>
      <c r="X1387" s="22" t="s">
        <v>293</v>
      </c>
    </row>
    <row r="1388" customFormat="false" ht="15" hidden="false" customHeight="false" outlineLevel="0" collapsed="false">
      <c r="A1388" s="22" t="s">
        <v>5725</v>
      </c>
      <c r="B1388" s="22" t="s">
        <v>21</v>
      </c>
      <c r="C1388" s="22" t="s">
        <v>5726</v>
      </c>
      <c r="D1388" s="22" t="s">
        <v>5727</v>
      </c>
      <c r="E1388" s="22" t="s">
        <v>5728</v>
      </c>
      <c r="F1388" s="22" t="n">
        <v>15</v>
      </c>
      <c r="G1388" s="26" t="n">
        <v>219.1</v>
      </c>
      <c r="H1388" s="26" t="n">
        <v>241.23</v>
      </c>
      <c r="I1388" s="26" t="n">
        <v>263.36</v>
      </c>
      <c r="J1388" s="26" t="n">
        <v>279.96</v>
      </c>
      <c r="K1388" s="26" t="n">
        <v>296.56</v>
      </c>
      <c r="L1388" s="26" t="n">
        <v>2.56</v>
      </c>
      <c r="M1388" s="27" t="n">
        <v>0.005</v>
      </c>
      <c r="N1388" s="27" t="n">
        <v>0.002</v>
      </c>
      <c r="O1388" s="26" t="n">
        <v>5</v>
      </c>
      <c r="P1388" s="26" t="n">
        <v>5</v>
      </c>
      <c r="Q1388" s="28" t="n">
        <v>100</v>
      </c>
      <c r="R1388" s="26" t="n">
        <v>30</v>
      </c>
      <c r="S1388" s="26" t="n">
        <v>0</v>
      </c>
      <c r="T1388" s="28" t="n">
        <v>1</v>
      </c>
      <c r="U1388" s="26" t="n">
        <v>0</v>
      </c>
      <c r="V1388" s="26" t="n">
        <v>400</v>
      </c>
      <c r="W1388" s="22" t="s">
        <v>21</v>
      </c>
      <c r="X1388" s="22" t="s">
        <v>373</v>
      </c>
    </row>
    <row r="1389" customFormat="false" ht="15" hidden="false" customHeight="false" outlineLevel="0" collapsed="false">
      <c r="A1389" s="22" t="s">
        <v>5729</v>
      </c>
      <c r="B1389" s="22" t="s">
        <v>21</v>
      </c>
      <c r="C1389" s="22" t="s">
        <v>5730</v>
      </c>
      <c r="D1389" s="22" t="s">
        <v>5731</v>
      </c>
      <c r="E1389" s="22" t="s">
        <v>5732</v>
      </c>
      <c r="F1389" s="22" t="n">
        <v>15</v>
      </c>
      <c r="G1389" s="26" t="n">
        <v>219.1</v>
      </c>
      <c r="H1389" s="26" t="n">
        <v>241.23</v>
      </c>
      <c r="I1389" s="26" t="n">
        <v>263.36</v>
      </c>
      <c r="J1389" s="26" t="n">
        <v>279.96</v>
      </c>
      <c r="K1389" s="26" t="n">
        <v>296.56</v>
      </c>
      <c r="L1389" s="26" t="n">
        <v>2.56</v>
      </c>
      <c r="M1389" s="27" t="n">
        <v>0.005</v>
      </c>
      <c r="N1389" s="27" t="n">
        <v>0.002</v>
      </c>
      <c r="O1389" s="26" t="n">
        <v>5</v>
      </c>
      <c r="P1389" s="26" t="n">
        <v>5</v>
      </c>
      <c r="Q1389" s="28" t="n">
        <v>100</v>
      </c>
      <c r="R1389" s="26" t="n">
        <v>30</v>
      </c>
      <c r="S1389" s="26" t="n">
        <v>0</v>
      </c>
      <c r="T1389" s="28" t="n">
        <v>1</v>
      </c>
      <c r="U1389" s="26" t="n">
        <v>0</v>
      </c>
      <c r="V1389" s="26" t="n">
        <v>0</v>
      </c>
      <c r="W1389" s="22" t="s">
        <v>21</v>
      </c>
      <c r="X1389" s="22" t="s">
        <v>373</v>
      </c>
    </row>
    <row r="1390" customFormat="false" ht="15" hidden="false" customHeight="false" outlineLevel="0" collapsed="false">
      <c r="A1390" s="22" t="s">
        <v>5733</v>
      </c>
      <c r="B1390" s="22" t="s">
        <v>21</v>
      </c>
      <c r="C1390" s="22" t="s">
        <v>370</v>
      </c>
      <c r="D1390" s="22" t="s">
        <v>5734</v>
      </c>
      <c r="E1390" s="22" t="s">
        <v>5735</v>
      </c>
      <c r="F1390" s="22" t="n">
        <v>13</v>
      </c>
      <c r="G1390" s="26" t="n">
        <v>219.1</v>
      </c>
      <c r="H1390" s="26" t="n">
        <v>241.23</v>
      </c>
      <c r="I1390" s="26" t="n">
        <v>263.36</v>
      </c>
      <c r="J1390" s="26" t="n">
        <v>279.96</v>
      </c>
      <c r="K1390" s="26" t="n">
        <v>296.56</v>
      </c>
      <c r="L1390" s="26" t="n">
        <v>2.56</v>
      </c>
      <c r="M1390" s="27" t="n">
        <v>0.005</v>
      </c>
      <c r="N1390" s="27" t="n">
        <v>0.002</v>
      </c>
      <c r="O1390" s="26" t="n">
        <v>5</v>
      </c>
      <c r="P1390" s="26" t="n">
        <v>5</v>
      </c>
      <c r="Q1390" s="28" t="n">
        <v>100</v>
      </c>
      <c r="R1390" s="26" t="n">
        <v>30</v>
      </c>
      <c r="S1390" s="26" t="n">
        <v>0</v>
      </c>
      <c r="T1390" s="28" t="n">
        <v>1</v>
      </c>
      <c r="U1390" s="26" t="n">
        <v>0</v>
      </c>
      <c r="V1390" s="26" t="n">
        <v>0</v>
      </c>
      <c r="W1390" s="22" t="s">
        <v>21</v>
      </c>
      <c r="X1390" s="22" t="s">
        <v>373</v>
      </c>
    </row>
    <row r="1391" customFormat="false" ht="15" hidden="false" customHeight="false" outlineLevel="0" collapsed="false">
      <c r="A1391" s="22" t="s">
        <v>5736</v>
      </c>
      <c r="B1391" s="22" t="s">
        <v>21</v>
      </c>
      <c r="C1391" s="22" t="s">
        <v>5737</v>
      </c>
      <c r="D1391" s="22" t="s">
        <v>5738</v>
      </c>
      <c r="E1391" s="22" t="s">
        <v>5739</v>
      </c>
      <c r="F1391" s="22" t="n">
        <v>15</v>
      </c>
      <c r="G1391" s="26" t="n">
        <v>219.1</v>
      </c>
      <c r="H1391" s="26" t="n">
        <v>241.23</v>
      </c>
      <c r="I1391" s="26" t="n">
        <v>263.36</v>
      </c>
      <c r="J1391" s="26" t="n">
        <v>279.96</v>
      </c>
      <c r="K1391" s="26" t="n">
        <v>296.56</v>
      </c>
      <c r="L1391" s="26" t="n">
        <v>2.56</v>
      </c>
      <c r="M1391" s="27" t="n">
        <v>0.005</v>
      </c>
      <c r="N1391" s="27" t="n">
        <v>0.002</v>
      </c>
      <c r="O1391" s="26" t="n">
        <v>5</v>
      </c>
      <c r="P1391" s="26" t="n">
        <v>5</v>
      </c>
      <c r="Q1391" s="28" t="n">
        <v>100</v>
      </c>
      <c r="R1391" s="26" t="n">
        <v>30</v>
      </c>
      <c r="S1391" s="26" t="n">
        <v>0</v>
      </c>
      <c r="T1391" s="28" t="n">
        <v>1</v>
      </c>
      <c r="U1391" s="26" t="n">
        <v>0</v>
      </c>
      <c r="V1391" s="26" t="n">
        <v>0</v>
      </c>
      <c r="W1391" s="22" t="s">
        <v>21</v>
      </c>
      <c r="X1391" s="22" t="s">
        <v>373</v>
      </c>
    </row>
    <row r="1392" customFormat="false" ht="15" hidden="false" customHeight="false" outlineLevel="0" collapsed="false">
      <c r="A1392" s="22" t="s">
        <v>5740</v>
      </c>
      <c r="B1392" s="22" t="s">
        <v>21</v>
      </c>
      <c r="C1392" s="22" t="s">
        <v>5741</v>
      </c>
      <c r="D1392" s="22" t="s">
        <v>5742</v>
      </c>
      <c r="E1392" s="22" t="s">
        <v>5743</v>
      </c>
      <c r="F1392" s="22" t="n">
        <v>15</v>
      </c>
      <c r="G1392" s="26" t="n">
        <v>219.1</v>
      </c>
      <c r="H1392" s="26" t="n">
        <v>241.23</v>
      </c>
      <c r="I1392" s="26" t="n">
        <v>263.36</v>
      </c>
      <c r="J1392" s="26" t="n">
        <v>279.96</v>
      </c>
      <c r="K1392" s="26" t="n">
        <v>296.56</v>
      </c>
      <c r="L1392" s="26" t="n">
        <v>2.56</v>
      </c>
      <c r="M1392" s="27" t="n">
        <v>0.005</v>
      </c>
      <c r="N1392" s="27" t="n">
        <v>0.002</v>
      </c>
      <c r="O1392" s="26" t="n">
        <v>5</v>
      </c>
      <c r="P1392" s="26" t="n">
        <v>5</v>
      </c>
      <c r="Q1392" s="28" t="n">
        <v>100</v>
      </c>
      <c r="R1392" s="26" t="n">
        <v>30</v>
      </c>
      <c r="S1392" s="26" t="n">
        <v>0</v>
      </c>
      <c r="T1392" s="28" t="n">
        <v>1</v>
      </c>
      <c r="U1392" s="26" t="n">
        <v>0</v>
      </c>
      <c r="V1392" s="26" t="n">
        <v>0</v>
      </c>
      <c r="W1392" s="22" t="s">
        <v>21</v>
      </c>
      <c r="X1392" s="22" t="s">
        <v>373</v>
      </c>
    </row>
    <row r="1393" customFormat="false" ht="15" hidden="false" customHeight="false" outlineLevel="0" collapsed="false">
      <c r="A1393" s="22" t="s">
        <v>5744</v>
      </c>
      <c r="B1393" s="22" t="s">
        <v>21</v>
      </c>
      <c r="C1393" s="22" t="s">
        <v>5745</v>
      </c>
      <c r="D1393" s="22" t="s">
        <v>5746</v>
      </c>
      <c r="E1393" s="22" t="s">
        <v>5747</v>
      </c>
      <c r="F1393" s="22" t="n">
        <v>15</v>
      </c>
      <c r="G1393" s="26" t="n">
        <v>219.1</v>
      </c>
      <c r="H1393" s="26" t="n">
        <v>241.23</v>
      </c>
      <c r="I1393" s="26" t="n">
        <v>263.36</v>
      </c>
      <c r="J1393" s="26" t="n">
        <v>279.96</v>
      </c>
      <c r="K1393" s="26" t="n">
        <v>296.56</v>
      </c>
      <c r="L1393" s="26" t="n">
        <v>2.56</v>
      </c>
      <c r="M1393" s="27" t="n">
        <v>0.005</v>
      </c>
      <c r="N1393" s="27" t="n">
        <v>0.002</v>
      </c>
      <c r="O1393" s="26" t="n">
        <v>5</v>
      </c>
      <c r="P1393" s="26" t="n">
        <v>5</v>
      </c>
      <c r="Q1393" s="28" t="n">
        <v>100</v>
      </c>
      <c r="R1393" s="26" t="n">
        <v>30</v>
      </c>
      <c r="S1393" s="26" t="n">
        <v>0</v>
      </c>
      <c r="T1393" s="28" t="n">
        <v>1</v>
      </c>
      <c r="U1393" s="26" t="n">
        <v>0</v>
      </c>
      <c r="V1393" s="26" t="n">
        <v>0</v>
      </c>
      <c r="W1393" s="22" t="s">
        <v>21</v>
      </c>
      <c r="X1393" s="22" t="s">
        <v>373</v>
      </c>
    </row>
    <row r="1394" customFormat="false" ht="15" hidden="false" customHeight="false" outlineLevel="0" collapsed="false">
      <c r="A1394" s="22" t="s">
        <v>5748</v>
      </c>
      <c r="B1394" s="22" t="s">
        <v>21</v>
      </c>
      <c r="C1394" s="22" t="s">
        <v>5749</v>
      </c>
      <c r="D1394" s="22" t="s">
        <v>5750</v>
      </c>
      <c r="E1394" s="22" t="s">
        <v>5751</v>
      </c>
      <c r="F1394" s="22" t="n">
        <v>15</v>
      </c>
      <c r="G1394" s="26" t="n">
        <v>219.1</v>
      </c>
      <c r="H1394" s="26" t="n">
        <v>241.23</v>
      </c>
      <c r="I1394" s="26" t="n">
        <v>263.36</v>
      </c>
      <c r="J1394" s="26" t="n">
        <v>279.96</v>
      </c>
      <c r="K1394" s="26" t="n">
        <v>296.56</v>
      </c>
      <c r="L1394" s="26" t="n">
        <v>2.56</v>
      </c>
      <c r="M1394" s="27" t="n">
        <v>0.005</v>
      </c>
      <c r="N1394" s="27" t="n">
        <v>0.002</v>
      </c>
      <c r="O1394" s="26" t="n">
        <v>5</v>
      </c>
      <c r="P1394" s="26" t="n">
        <v>5</v>
      </c>
      <c r="Q1394" s="28" t="n">
        <v>100</v>
      </c>
      <c r="R1394" s="26" t="n">
        <v>30</v>
      </c>
      <c r="S1394" s="26" t="n">
        <v>0</v>
      </c>
      <c r="T1394" s="28" t="n">
        <v>1</v>
      </c>
      <c r="U1394" s="26" t="n">
        <v>0</v>
      </c>
      <c r="V1394" s="26" t="n">
        <v>400</v>
      </c>
      <c r="W1394" s="22" t="s">
        <v>21</v>
      </c>
      <c r="X1394" s="22" t="s">
        <v>373</v>
      </c>
    </row>
    <row r="1395" customFormat="false" ht="15" hidden="false" customHeight="false" outlineLevel="0" collapsed="false">
      <c r="A1395" s="22" t="s">
        <v>5752</v>
      </c>
      <c r="B1395" s="22" t="s">
        <v>21</v>
      </c>
      <c r="C1395" s="22" t="s">
        <v>5753</v>
      </c>
      <c r="D1395" s="22" t="s">
        <v>5754</v>
      </c>
      <c r="E1395" s="22" t="s">
        <v>5755</v>
      </c>
      <c r="F1395" s="22" t="n">
        <v>15</v>
      </c>
      <c r="G1395" s="26" t="n">
        <v>219.1</v>
      </c>
      <c r="H1395" s="26" t="n">
        <v>241.23</v>
      </c>
      <c r="I1395" s="26" t="n">
        <v>263.36</v>
      </c>
      <c r="J1395" s="26" t="n">
        <v>279.96</v>
      </c>
      <c r="K1395" s="26" t="n">
        <v>296.56</v>
      </c>
      <c r="L1395" s="26" t="n">
        <v>2.56</v>
      </c>
      <c r="M1395" s="27" t="n">
        <v>0.005</v>
      </c>
      <c r="N1395" s="27" t="n">
        <v>0.002</v>
      </c>
      <c r="O1395" s="26" t="n">
        <v>5</v>
      </c>
      <c r="P1395" s="26" t="n">
        <v>5</v>
      </c>
      <c r="Q1395" s="28" t="n">
        <v>100</v>
      </c>
      <c r="R1395" s="26" t="n">
        <v>30</v>
      </c>
      <c r="S1395" s="26" t="n">
        <v>0</v>
      </c>
      <c r="T1395" s="28" t="n">
        <v>1</v>
      </c>
      <c r="U1395" s="26" t="n">
        <v>0</v>
      </c>
      <c r="V1395" s="26" t="n">
        <v>400</v>
      </c>
      <c r="W1395" s="22" t="s">
        <v>21</v>
      </c>
      <c r="X1395" s="22" t="s">
        <v>373</v>
      </c>
    </row>
    <row r="1396" customFormat="false" ht="15" hidden="false" customHeight="false" outlineLevel="0" collapsed="false">
      <c r="A1396" s="22" t="s">
        <v>5756</v>
      </c>
      <c r="B1396" s="22" t="s">
        <v>21</v>
      </c>
      <c r="C1396" s="22" t="s">
        <v>5757</v>
      </c>
      <c r="D1396" s="22" t="s">
        <v>5758</v>
      </c>
      <c r="E1396" s="22" t="s">
        <v>5759</v>
      </c>
      <c r="F1396" s="22" t="n">
        <v>15</v>
      </c>
      <c r="G1396" s="26" t="n">
        <v>219.1</v>
      </c>
      <c r="H1396" s="26" t="n">
        <v>241.23</v>
      </c>
      <c r="I1396" s="26" t="n">
        <v>263.36</v>
      </c>
      <c r="J1396" s="26" t="n">
        <v>279.96</v>
      </c>
      <c r="K1396" s="26" t="n">
        <v>296.56</v>
      </c>
      <c r="L1396" s="26" t="n">
        <v>2.56</v>
      </c>
      <c r="M1396" s="27" t="n">
        <v>0.005</v>
      </c>
      <c r="N1396" s="27" t="n">
        <v>0.002</v>
      </c>
      <c r="O1396" s="26" t="n">
        <v>5</v>
      </c>
      <c r="P1396" s="26" t="n">
        <v>5</v>
      </c>
      <c r="Q1396" s="28" t="n">
        <v>100</v>
      </c>
      <c r="R1396" s="26" t="n">
        <v>30</v>
      </c>
      <c r="S1396" s="26" t="n">
        <v>0</v>
      </c>
      <c r="T1396" s="28" t="n">
        <v>1</v>
      </c>
      <c r="U1396" s="26" t="n">
        <v>0</v>
      </c>
      <c r="V1396" s="26" t="n">
        <v>0</v>
      </c>
      <c r="W1396" s="22" t="s">
        <v>21</v>
      </c>
      <c r="X1396" s="22" t="s">
        <v>373</v>
      </c>
    </row>
    <row r="1397" customFormat="false" ht="15" hidden="false" customHeight="false" outlineLevel="0" collapsed="false">
      <c r="A1397" s="22" t="s">
        <v>5760</v>
      </c>
      <c r="B1397" s="22" t="s">
        <v>21</v>
      </c>
      <c r="C1397" s="22" t="s">
        <v>5761</v>
      </c>
      <c r="D1397" s="22" t="s">
        <v>5762</v>
      </c>
      <c r="E1397" s="22" t="s">
        <v>5763</v>
      </c>
      <c r="F1397" s="22" t="n">
        <v>15</v>
      </c>
      <c r="G1397" s="26" t="n">
        <v>219.1</v>
      </c>
      <c r="H1397" s="26" t="n">
        <v>241.23</v>
      </c>
      <c r="I1397" s="26" t="n">
        <v>263.36</v>
      </c>
      <c r="J1397" s="26" t="n">
        <v>279.96</v>
      </c>
      <c r="K1397" s="26" t="n">
        <v>296.56</v>
      </c>
      <c r="L1397" s="26" t="n">
        <v>2.56</v>
      </c>
      <c r="M1397" s="27" t="n">
        <v>0.005</v>
      </c>
      <c r="N1397" s="27" t="n">
        <v>0.002</v>
      </c>
      <c r="O1397" s="26" t="n">
        <v>5</v>
      </c>
      <c r="P1397" s="26" t="n">
        <v>5</v>
      </c>
      <c r="Q1397" s="28" t="n">
        <v>100</v>
      </c>
      <c r="R1397" s="26" t="n">
        <v>30</v>
      </c>
      <c r="S1397" s="26" t="n">
        <v>0</v>
      </c>
      <c r="T1397" s="28" t="n">
        <v>1</v>
      </c>
      <c r="U1397" s="26" t="n">
        <v>0</v>
      </c>
      <c r="V1397" s="26" t="n">
        <v>400</v>
      </c>
      <c r="W1397" s="22" t="s">
        <v>21</v>
      </c>
      <c r="X1397" s="22" t="s">
        <v>373</v>
      </c>
    </row>
    <row r="1398" customFormat="false" ht="15" hidden="false" customHeight="false" outlineLevel="0" collapsed="false">
      <c r="A1398" s="22" t="s">
        <v>5764</v>
      </c>
      <c r="B1398" s="22" t="s">
        <v>21</v>
      </c>
      <c r="C1398" s="22" t="s">
        <v>5765</v>
      </c>
      <c r="D1398" s="22" t="s">
        <v>5766</v>
      </c>
      <c r="E1398" s="22" t="s">
        <v>5767</v>
      </c>
      <c r="F1398" s="22" t="n">
        <v>15</v>
      </c>
      <c r="G1398" s="26" t="n">
        <v>219.1</v>
      </c>
      <c r="H1398" s="26" t="n">
        <v>241.23</v>
      </c>
      <c r="I1398" s="26" t="n">
        <v>263.36</v>
      </c>
      <c r="J1398" s="26" t="n">
        <v>279.96</v>
      </c>
      <c r="K1398" s="26" t="n">
        <v>296.56</v>
      </c>
      <c r="L1398" s="26" t="n">
        <v>2.56</v>
      </c>
      <c r="M1398" s="27" t="n">
        <v>0.005</v>
      </c>
      <c r="N1398" s="27" t="n">
        <v>0.002</v>
      </c>
      <c r="O1398" s="26" t="n">
        <v>5</v>
      </c>
      <c r="P1398" s="26" t="n">
        <v>5</v>
      </c>
      <c r="Q1398" s="28" t="n">
        <v>100</v>
      </c>
      <c r="R1398" s="26" t="n">
        <v>30</v>
      </c>
      <c r="S1398" s="26" t="n">
        <v>0</v>
      </c>
      <c r="T1398" s="28" t="n">
        <v>1</v>
      </c>
      <c r="U1398" s="26" t="n">
        <v>0</v>
      </c>
      <c r="V1398" s="26" t="n">
        <v>0</v>
      </c>
      <c r="W1398" s="22" t="s">
        <v>21</v>
      </c>
      <c r="X1398" s="22" t="s">
        <v>373</v>
      </c>
    </row>
    <row r="1399" customFormat="false" ht="15" hidden="false" customHeight="false" outlineLevel="0" collapsed="false">
      <c r="A1399" s="22" t="s">
        <v>5768</v>
      </c>
      <c r="B1399" s="22" t="s">
        <v>21</v>
      </c>
      <c r="C1399" s="22" t="s">
        <v>5769</v>
      </c>
      <c r="D1399" s="22" t="s">
        <v>5770</v>
      </c>
      <c r="E1399" s="22" t="s">
        <v>5771</v>
      </c>
      <c r="F1399" s="22" t="n">
        <v>15</v>
      </c>
      <c r="G1399" s="26" t="n">
        <v>219.1</v>
      </c>
      <c r="H1399" s="26" t="n">
        <v>241.23</v>
      </c>
      <c r="I1399" s="26" t="n">
        <v>263.36</v>
      </c>
      <c r="J1399" s="26" t="n">
        <v>279.96</v>
      </c>
      <c r="K1399" s="26" t="n">
        <v>296.56</v>
      </c>
      <c r="L1399" s="26" t="n">
        <v>2.56</v>
      </c>
      <c r="M1399" s="27" t="n">
        <v>0.005</v>
      </c>
      <c r="N1399" s="27" t="n">
        <v>0.002</v>
      </c>
      <c r="O1399" s="26" t="n">
        <v>5</v>
      </c>
      <c r="P1399" s="26" t="n">
        <v>5</v>
      </c>
      <c r="Q1399" s="28" t="n">
        <v>100</v>
      </c>
      <c r="R1399" s="26" t="n">
        <v>30</v>
      </c>
      <c r="S1399" s="26" t="n">
        <v>0</v>
      </c>
      <c r="T1399" s="28" t="n">
        <v>1</v>
      </c>
      <c r="U1399" s="26" t="n">
        <v>0</v>
      </c>
      <c r="V1399" s="26" t="n">
        <v>400</v>
      </c>
      <c r="W1399" s="22" t="s">
        <v>21</v>
      </c>
      <c r="X1399" s="22" t="s">
        <v>373</v>
      </c>
    </row>
    <row r="1400" customFormat="false" ht="15" hidden="false" customHeight="false" outlineLevel="0" collapsed="false">
      <c r="A1400" s="22" t="s">
        <v>5772</v>
      </c>
      <c r="B1400" s="22" t="s">
        <v>21</v>
      </c>
      <c r="C1400" s="22" t="s">
        <v>5773</v>
      </c>
      <c r="D1400" s="22" t="s">
        <v>5774</v>
      </c>
      <c r="E1400" s="22" t="s">
        <v>5775</v>
      </c>
      <c r="F1400" s="22" t="n">
        <v>15</v>
      </c>
      <c r="G1400" s="26" t="n">
        <v>219.1</v>
      </c>
      <c r="H1400" s="26" t="n">
        <v>241.23</v>
      </c>
      <c r="I1400" s="26" t="n">
        <v>263.36</v>
      </c>
      <c r="J1400" s="26" t="n">
        <v>279.96</v>
      </c>
      <c r="K1400" s="26" t="n">
        <v>296.56</v>
      </c>
      <c r="L1400" s="26" t="n">
        <v>2.56</v>
      </c>
      <c r="M1400" s="27" t="n">
        <v>0.005</v>
      </c>
      <c r="N1400" s="27" t="n">
        <v>0.002</v>
      </c>
      <c r="O1400" s="26" t="n">
        <v>5</v>
      </c>
      <c r="P1400" s="26" t="n">
        <v>5</v>
      </c>
      <c r="Q1400" s="28" t="n">
        <v>100</v>
      </c>
      <c r="R1400" s="26" t="n">
        <v>30</v>
      </c>
      <c r="S1400" s="26" t="n">
        <v>0</v>
      </c>
      <c r="T1400" s="28" t="n">
        <v>1</v>
      </c>
      <c r="U1400" s="26" t="n">
        <v>0</v>
      </c>
      <c r="V1400" s="26" t="n">
        <v>0</v>
      </c>
      <c r="W1400" s="22" t="s">
        <v>21</v>
      </c>
      <c r="X1400" s="22" t="s">
        <v>373</v>
      </c>
    </row>
    <row r="1401" customFormat="false" ht="15" hidden="false" customHeight="false" outlineLevel="0" collapsed="false">
      <c r="A1401" s="22" t="s">
        <v>5776</v>
      </c>
      <c r="B1401" s="22" t="s">
        <v>21</v>
      </c>
      <c r="C1401" s="22" t="s">
        <v>174</v>
      </c>
      <c r="D1401" s="22" t="s">
        <v>5777</v>
      </c>
      <c r="E1401" s="22" t="s">
        <v>5778</v>
      </c>
      <c r="F1401" s="22" t="n">
        <v>15</v>
      </c>
      <c r="G1401" s="26" t="n">
        <v>219.1</v>
      </c>
      <c r="H1401" s="26" t="n">
        <v>241.23</v>
      </c>
      <c r="I1401" s="26" t="n">
        <v>263.36</v>
      </c>
      <c r="J1401" s="26" t="n">
        <v>279.96</v>
      </c>
      <c r="K1401" s="26" t="n">
        <v>296.56</v>
      </c>
      <c r="L1401" s="26" t="n">
        <v>2.56</v>
      </c>
      <c r="M1401" s="27" t="n">
        <v>0.005</v>
      </c>
      <c r="N1401" s="27" t="n">
        <v>0.002</v>
      </c>
      <c r="O1401" s="26" t="n">
        <v>5</v>
      </c>
      <c r="P1401" s="26" t="n">
        <v>5</v>
      </c>
      <c r="Q1401" s="28" t="n">
        <v>100</v>
      </c>
      <c r="R1401" s="26" t="n">
        <v>30</v>
      </c>
      <c r="S1401" s="26" t="n">
        <v>0</v>
      </c>
      <c r="T1401" s="28" t="n">
        <v>1</v>
      </c>
      <c r="U1401" s="26" t="n">
        <v>0</v>
      </c>
      <c r="V1401" s="26" t="n">
        <v>400</v>
      </c>
      <c r="W1401" s="22" t="s">
        <v>21</v>
      </c>
      <c r="X1401" s="22" t="s">
        <v>373</v>
      </c>
    </row>
    <row r="1402" customFormat="false" ht="15" hidden="false" customHeight="false" outlineLevel="0" collapsed="false">
      <c r="A1402" s="22" t="s">
        <v>5779</v>
      </c>
      <c r="B1402" s="22" t="s">
        <v>21</v>
      </c>
      <c r="C1402" s="22" t="s">
        <v>5780</v>
      </c>
      <c r="D1402" s="22" t="s">
        <v>5781</v>
      </c>
      <c r="E1402" s="22" t="s">
        <v>5782</v>
      </c>
      <c r="F1402" s="22" t="n">
        <v>15</v>
      </c>
      <c r="G1402" s="26" t="n">
        <v>219.1</v>
      </c>
      <c r="H1402" s="26" t="n">
        <v>241.23</v>
      </c>
      <c r="I1402" s="26" t="n">
        <v>263.36</v>
      </c>
      <c r="J1402" s="26" t="n">
        <v>279.96</v>
      </c>
      <c r="K1402" s="26" t="n">
        <v>296.56</v>
      </c>
      <c r="L1402" s="26" t="n">
        <v>2.56</v>
      </c>
      <c r="M1402" s="27" t="n">
        <v>0.005</v>
      </c>
      <c r="N1402" s="27" t="n">
        <v>0.002</v>
      </c>
      <c r="O1402" s="26" t="n">
        <v>5</v>
      </c>
      <c r="P1402" s="26" t="n">
        <v>5</v>
      </c>
      <c r="Q1402" s="28" t="n">
        <v>100</v>
      </c>
      <c r="R1402" s="26" t="n">
        <v>30</v>
      </c>
      <c r="S1402" s="26" t="n">
        <v>0</v>
      </c>
      <c r="T1402" s="28" t="n">
        <v>1</v>
      </c>
      <c r="U1402" s="26" t="n">
        <v>0</v>
      </c>
      <c r="V1402" s="26" t="n">
        <v>0</v>
      </c>
      <c r="W1402" s="22" t="s">
        <v>21</v>
      </c>
      <c r="X1402" s="22" t="s">
        <v>373</v>
      </c>
    </row>
    <row r="1403" customFormat="false" ht="15" hidden="false" customHeight="false" outlineLevel="0" collapsed="false">
      <c r="A1403" s="22" t="s">
        <v>5783</v>
      </c>
      <c r="B1403" s="22" t="s">
        <v>21</v>
      </c>
      <c r="C1403" s="22" t="s">
        <v>5784</v>
      </c>
      <c r="D1403" s="22" t="s">
        <v>5785</v>
      </c>
      <c r="E1403" s="22" t="s">
        <v>5786</v>
      </c>
      <c r="F1403" s="22" t="n">
        <v>15</v>
      </c>
      <c r="G1403" s="26" t="n">
        <v>219.1</v>
      </c>
      <c r="H1403" s="26" t="n">
        <v>241.23</v>
      </c>
      <c r="I1403" s="26" t="n">
        <v>263.36</v>
      </c>
      <c r="J1403" s="26" t="n">
        <v>279.96</v>
      </c>
      <c r="K1403" s="26" t="n">
        <v>296.56</v>
      </c>
      <c r="L1403" s="26" t="n">
        <v>2.56</v>
      </c>
      <c r="M1403" s="27" t="n">
        <v>0.005</v>
      </c>
      <c r="N1403" s="27" t="n">
        <v>0.002</v>
      </c>
      <c r="O1403" s="26" t="n">
        <v>5</v>
      </c>
      <c r="P1403" s="26" t="n">
        <v>5</v>
      </c>
      <c r="Q1403" s="28" t="n">
        <v>100</v>
      </c>
      <c r="R1403" s="26" t="n">
        <v>30</v>
      </c>
      <c r="S1403" s="26" t="n">
        <v>0</v>
      </c>
      <c r="T1403" s="28" t="n">
        <v>1</v>
      </c>
      <c r="U1403" s="26" t="n">
        <v>0</v>
      </c>
      <c r="V1403" s="26" t="n">
        <v>400</v>
      </c>
      <c r="W1403" s="22" t="s">
        <v>21</v>
      </c>
      <c r="X1403" s="22" t="s">
        <v>373</v>
      </c>
    </row>
    <row r="1404" customFormat="false" ht="15" hidden="false" customHeight="false" outlineLevel="0" collapsed="false">
      <c r="A1404" s="22" t="s">
        <v>5787</v>
      </c>
      <c r="B1404" s="22" t="s">
        <v>21</v>
      </c>
      <c r="C1404" s="22" t="s">
        <v>379</v>
      </c>
      <c r="D1404" s="22" t="s">
        <v>5788</v>
      </c>
      <c r="E1404" s="22" t="s">
        <v>5789</v>
      </c>
      <c r="F1404" s="22" t="n">
        <v>13</v>
      </c>
      <c r="G1404" s="26" t="n">
        <v>219.1</v>
      </c>
      <c r="H1404" s="26" t="n">
        <v>241.23</v>
      </c>
      <c r="I1404" s="26" t="n">
        <v>263.36</v>
      </c>
      <c r="J1404" s="26" t="n">
        <v>279.96</v>
      </c>
      <c r="K1404" s="26" t="n">
        <v>296.56</v>
      </c>
      <c r="L1404" s="26" t="n">
        <v>2.56</v>
      </c>
      <c r="M1404" s="27" t="n">
        <v>0.005</v>
      </c>
      <c r="N1404" s="27" t="n">
        <v>0.002</v>
      </c>
      <c r="O1404" s="26" t="n">
        <v>5</v>
      </c>
      <c r="P1404" s="26" t="n">
        <v>5</v>
      </c>
      <c r="Q1404" s="28" t="n">
        <v>100</v>
      </c>
      <c r="R1404" s="26" t="n">
        <v>30</v>
      </c>
      <c r="S1404" s="26" t="n">
        <v>0</v>
      </c>
      <c r="T1404" s="28" t="n">
        <v>1</v>
      </c>
      <c r="U1404" s="26" t="n">
        <v>0</v>
      </c>
      <c r="V1404" s="26" t="n">
        <v>0</v>
      </c>
      <c r="W1404" s="22" t="s">
        <v>21</v>
      </c>
      <c r="X1404" s="22" t="s">
        <v>373</v>
      </c>
    </row>
    <row r="1405" customFormat="false" ht="15" hidden="false" customHeight="false" outlineLevel="0" collapsed="false">
      <c r="A1405" s="22" t="s">
        <v>5790</v>
      </c>
      <c r="B1405" s="22" t="s">
        <v>21</v>
      </c>
      <c r="C1405" s="22" t="s">
        <v>5791</v>
      </c>
      <c r="D1405" s="22" t="s">
        <v>5792</v>
      </c>
      <c r="E1405" s="22" t="s">
        <v>5793</v>
      </c>
      <c r="F1405" s="22" t="n">
        <v>15</v>
      </c>
      <c r="G1405" s="26" t="n">
        <v>219.1</v>
      </c>
      <c r="H1405" s="26" t="n">
        <v>241.23</v>
      </c>
      <c r="I1405" s="26" t="n">
        <v>263.36</v>
      </c>
      <c r="J1405" s="26" t="n">
        <v>279.96</v>
      </c>
      <c r="K1405" s="26" t="n">
        <v>296.56</v>
      </c>
      <c r="L1405" s="26" t="n">
        <v>2.56</v>
      </c>
      <c r="M1405" s="27" t="n">
        <v>0.005</v>
      </c>
      <c r="N1405" s="27" t="n">
        <v>0.002</v>
      </c>
      <c r="O1405" s="26" t="n">
        <v>5</v>
      </c>
      <c r="P1405" s="26" t="n">
        <v>5</v>
      </c>
      <c r="Q1405" s="28" t="n">
        <v>100</v>
      </c>
      <c r="R1405" s="26" t="n">
        <v>30</v>
      </c>
      <c r="S1405" s="26" t="n">
        <v>0</v>
      </c>
      <c r="T1405" s="28" t="n">
        <v>1</v>
      </c>
      <c r="U1405" s="26" t="n">
        <v>0</v>
      </c>
      <c r="V1405" s="26" t="n">
        <v>0</v>
      </c>
      <c r="W1405" s="22" t="s">
        <v>21</v>
      </c>
      <c r="X1405" s="22" t="s">
        <v>373</v>
      </c>
    </row>
    <row r="1406" customFormat="false" ht="15" hidden="false" customHeight="false" outlineLevel="0" collapsed="false">
      <c r="A1406" s="22" t="s">
        <v>5794</v>
      </c>
      <c r="B1406" s="22" t="s">
        <v>21</v>
      </c>
      <c r="C1406" s="22" t="s">
        <v>5795</v>
      </c>
      <c r="D1406" s="22" t="s">
        <v>5796</v>
      </c>
      <c r="E1406" s="22" t="s">
        <v>5797</v>
      </c>
      <c r="F1406" s="22" t="n">
        <v>15</v>
      </c>
      <c r="G1406" s="26" t="n">
        <v>219.1</v>
      </c>
      <c r="H1406" s="26" t="n">
        <v>241.23</v>
      </c>
      <c r="I1406" s="26" t="n">
        <v>263.36</v>
      </c>
      <c r="J1406" s="26" t="n">
        <v>279.96</v>
      </c>
      <c r="K1406" s="26" t="n">
        <v>296.56</v>
      </c>
      <c r="L1406" s="26" t="n">
        <v>2.56</v>
      </c>
      <c r="M1406" s="27" t="n">
        <v>0.005</v>
      </c>
      <c r="N1406" s="27" t="n">
        <v>0.002</v>
      </c>
      <c r="O1406" s="26" t="n">
        <v>5</v>
      </c>
      <c r="P1406" s="26" t="n">
        <v>5</v>
      </c>
      <c r="Q1406" s="28" t="n">
        <v>100</v>
      </c>
      <c r="R1406" s="26" t="n">
        <v>30</v>
      </c>
      <c r="S1406" s="26" t="n">
        <v>0</v>
      </c>
      <c r="T1406" s="28" t="n">
        <v>1</v>
      </c>
      <c r="U1406" s="26" t="n">
        <v>0</v>
      </c>
      <c r="V1406" s="26" t="n">
        <v>0</v>
      </c>
      <c r="W1406" s="22" t="s">
        <v>21</v>
      </c>
      <c r="X1406" s="22" t="s">
        <v>373</v>
      </c>
    </row>
    <row r="1407" customFormat="false" ht="15" hidden="false" customHeight="false" outlineLevel="0" collapsed="false">
      <c r="A1407" s="22" t="s">
        <v>5798</v>
      </c>
      <c r="B1407" s="22" t="s">
        <v>21</v>
      </c>
      <c r="C1407" s="22" t="s">
        <v>5799</v>
      </c>
      <c r="D1407" s="22" t="s">
        <v>5800</v>
      </c>
      <c r="E1407" s="22" t="s">
        <v>5801</v>
      </c>
      <c r="F1407" s="22" t="n">
        <v>15</v>
      </c>
      <c r="G1407" s="26" t="n">
        <v>219.1</v>
      </c>
      <c r="H1407" s="26" t="n">
        <v>241.23</v>
      </c>
      <c r="I1407" s="26" t="n">
        <v>263.36</v>
      </c>
      <c r="J1407" s="26" t="n">
        <v>279.96</v>
      </c>
      <c r="K1407" s="26" t="n">
        <v>296.56</v>
      </c>
      <c r="L1407" s="26" t="n">
        <v>2.56</v>
      </c>
      <c r="M1407" s="27" t="n">
        <v>0.005</v>
      </c>
      <c r="N1407" s="27" t="n">
        <v>0.002</v>
      </c>
      <c r="O1407" s="26" t="n">
        <v>5</v>
      </c>
      <c r="P1407" s="26" t="n">
        <v>5</v>
      </c>
      <c r="Q1407" s="28" t="n">
        <v>100</v>
      </c>
      <c r="R1407" s="26" t="n">
        <v>30</v>
      </c>
      <c r="S1407" s="26" t="n">
        <v>0</v>
      </c>
      <c r="T1407" s="28" t="n">
        <v>1</v>
      </c>
      <c r="U1407" s="26" t="n">
        <v>0</v>
      </c>
      <c r="V1407" s="26" t="n">
        <v>0</v>
      </c>
      <c r="W1407" s="22" t="s">
        <v>21</v>
      </c>
      <c r="X1407" s="22" t="s">
        <v>373</v>
      </c>
    </row>
    <row r="1408" customFormat="false" ht="15" hidden="false" customHeight="false" outlineLevel="0" collapsed="false">
      <c r="A1408" s="22" t="s">
        <v>5802</v>
      </c>
      <c r="B1408" s="22" t="s">
        <v>21</v>
      </c>
      <c r="C1408" s="22" t="s">
        <v>5803</v>
      </c>
      <c r="D1408" s="22" t="s">
        <v>5804</v>
      </c>
      <c r="E1408" s="22" t="s">
        <v>5805</v>
      </c>
      <c r="F1408" s="22" t="n">
        <v>15</v>
      </c>
      <c r="G1408" s="26" t="n">
        <v>219.1</v>
      </c>
      <c r="H1408" s="26" t="n">
        <v>241.23</v>
      </c>
      <c r="I1408" s="26" t="n">
        <v>263.36</v>
      </c>
      <c r="J1408" s="26" t="n">
        <v>279.96</v>
      </c>
      <c r="K1408" s="26" t="n">
        <v>296.56</v>
      </c>
      <c r="L1408" s="26" t="n">
        <v>2.56</v>
      </c>
      <c r="M1408" s="27" t="n">
        <v>0.005</v>
      </c>
      <c r="N1408" s="27" t="n">
        <v>0.002</v>
      </c>
      <c r="O1408" s="26" t="n">
        <v>5</v>
      </c>
      <c r="P1408" s="26" t="n">
        <v>5</v>
      </c>
      <c r="Q1408" s="28" t="n">
        <v>100</v>
      </c>
      <c r="R1408" s="26" t="n">
        <v>30</v>
      </c>
      <c r="S1408" s="26" t="n">
        <v>0</v>
      </c>
      <c r="T1408" s="28" t="n">
        <v>1</v>
      </c>
      <c r="U1408" s="26" t="n">
        <v>0</v>
      </c>
      <c r="V1408" s="26" t="n">
        <v>0</v>
      </c>
      <c r="W1408" s="22" t="s">
        <v>21</v>
      </c>
      <c r="X1408" s="22" t="s">
        <v>373</v>
      </c>
    </row>
    <row r="1409" customFormat="false" ht="15" hidden="false" customHeight="false" outlineLevel="0" collapsed="false">
      <c r="A1409" s="22" t="s">
        <v>5806</v>
      </c>
      <c r="B1409" s="22" t="s">
        <v>21</v>
      </c>
      <c r="C1409" s="22" t="s">
        <v>5807</v>
      </c>
      <c r="D1409" s="22" t="s">
        <v>5808</v>
      </c>
      <c r="E1409" s="22" t="s">
        <v>5809</v>
      </c>
      <c r="F1409" s="22" t="n">
        <v>15</v>
      </c>
      <c r="G1409" s="26" t="n">
        <v>219.1</v>
      </c>
      <c r="H1409" s="26" t="n">
        <v>241.23</v>
      </c>
      <c r="I1409" s="26" t="n">
        <v>263.36</v>
      </c>
      <c r="J1409" s="26" t="n">
        <v>279.96</v>
      </c>
      <c r="K1409" s="26" t="n">
        <v>296.56</v>
      </c>
      <c r="L1409" s="26" t="n">
        <v>2.56</v>
      </c>
      <c r="M1409" s="27" t="n">
        <v>0.005</v>
      </c>
      <c r="N1409" s="27" t="n">
        <v>0.002</v>
      </c>
      <c r="O1409" s="26" t="n">
        <v>5</v>
      </c>
      <c r="P1409" s="26" t="n">
        <v>5</v>
      </c>
      <c r="Q1409" s="28" t="n">
        <v>100</v>
      </c>
      <c r="R1409" s="26" t="n">
        <v>30</v>
      </c>
      <c r="S1409" s="26" t="n">
        <v>0</v>
      </c>
      <c r="T1409" s="28" t="n">
        <v>1</v>
      </c>
      <c r="U1409" s="26" t="n">
        <v>0</v>
      </c>
      <c r="V1409" s="26" t="n">
        <v>0</v>
      </c>
      <c r="W1409" s="22" t="s">
        <v>21</v>
      </c>
      <c r="X1409" s="22" t="s">
        <v>373</v>
      </c>
    </row>
    <row r="1410" customFormat="false" ht="15" hidden="false" customHeight="false" outlineLevel="0" collapsed="false">
      <c r="A1410" s="22" t="s">
        <v>5810</v>
      </c>
      <c r="B1410" s="22" t="s">
        <v>21</v>
      </c>
      <c r="C1410" s="22" t="s">
        <v>175</v>
      </c>
      <c r="D1410" s="22" t="s">
        <v>5811</v>
      </c>
      <c r="E1410" s="22" t="s">
        <v>5812</v>
      </c>
      <c r="F1410" s="22" t="n">
        <v>12</v>
      </c>
      <c r="G1410" s="26" t="n">
        <v>219.1</v>
      </c>
      <c r="H1410" s="26" t="n">
        <v>241.23</v>
      </c>
      <c r="I1410" s="26" t="n">
        <v>263.36</v>
      </c>
      <c r="J1410" s="26" t="n">
        <v>279.96</v>
      </c>
      <c r="K1410" s="26" t="n">
        <v>296.56</v>
      </c>
      <c r="L1410" s="26" t="n">
        <v>2.56</v>
      </c>
      <c r="M1410" s="27" t="n">
        <v>0.005</v>
      </c>
      <c r="N1410" s="27" t="n">
        <v>0.002</v>
      </c>
      <c r="O1410" s="26" t="n">
        <v>5</v>
      </c>
      <c r="P1410" s="26" t="n">
        <v>5</v>
      </c>
      <c r="Q1410" s="28" t="n">
        <v>100</v>
      </c>
      <c r="R1410" s="26" t="n">
        <v>30</v>
      </c>
      <c r="S1410" s="26" t="n">
        <v>0</v>
      </c>
      <c r="T1410" s="28" t="n">
        <v>1</v>
      </c>
      <c r="U1410" s="26" t="n">
        <v>0</v>
      </c>
      <c r="V1410" s="26" t="n">
        <v>0</v>
      </c>
      <c r="W1410" s="22" t="s">
        <v>21</v>
      </c>
      <c r="X1410" s="22" t="s">
        <v>373</v>
      </c>
    </row>
    <row r="1411" customFormat="false" ht="15" hidden="false" customHeight="false" outlineLevel="0" collapsed="false">
      <c r="A1411" s="22" t="s">
        <v>5813</v>
      </c>
      <c r="B1411" s="22" t="s">
        <v>21</v>
      </c>
      <c r="C1411" s="22" t="s">
        <v>5814</v>
      </c>
      <c r="D1411" s="22" t="s">
        <v>5815</v>
      </c>
      <c r="E1411" s="22" t="s">
        <v>5816</v>
      </c>
      <c r="F1411" s="22" t="n">
        <v>15</v>
      </c>
      <c r="G1411" s="26" t="n">
        <v>219.1</v>
      </c>
      <c r="H1411" s="26" t="n">
        <v>241.23</v>
      </c>
      <c r="I1411" s="26" t="n">
        <v>263.36</v>
      </c>
      <c r="J1411" s="26" t="n">
        <v>279.96</v>
      </c>
      <c r="K1411" s="26" t="n">
        <v>296.56</v>
      </c>
      <c r="L1411" s="26" t="n">
        <v>2.56</v>
      </c>
      <c r="M1411" s="27" t="n">
        <v>0.005</v>
      </c>
      <c r="N1411" s="27" t="n">
        <v>0.002</v>
      </c>
      <c r="O1411" s="26" t="n">
        <v>5</v>
      </c>
      <c r="P1411" s="26" t="n">
        <v>5</v>
      </c>
      <c r="Q1411" s="28" t="n">
        <v>100</v>
      </c>
      <c r="R1411" s="26" t="n">
        <v>30</v>
      </c>
      <c r="S1411" s="26" t="n">
        <v>0</v>
      </c>
      <c r="T1411" s="28" t="n">
        <v>1</v>
      </c>
      <c r="U1411" s="26" t="n">
        <v>0</v>
      </c>
      <c r="V1411" s="26" t="n">
        <v>0</v>
      </c>
      <c r="W1411" s="22" t="s">
        <v>21</v>
      </c>
      <c r="X1411" s="22" t="s">
        <v>373</v>
      </c>
    </row>
    <row r="1412" customFormat="false" ht="15" hidden="false" customHeight="false" outlineLevel="0" collapsed="false">
      <c r="A1412" s="22" t="s">
        <v>5817</v>
      </c>
      <c r="B1412" s="22" t="s">
        <v>21</v>
      </c>
      <c r="C1412" s="22" t="s">
        <v>5818</v>
      </c>
      <c r="D1412" s="22" t="s">
        <v>5819</v>
      </c>
      <c r="E1412" s="22" t="s">
        <v>5820</v>
      </c>
      <c r="F1412" s="22" t="n">
        <v>15</v>
      </c>
      <c r="G1412" s="26" t="n">
        <v>219.1</v>
      </c>
      <c r="H1412" s="26" t="n">
        <v>241.23</v>
      </c>
      <c r="I1412" s="26" t="n">
        <v>263.36</v>
      </c>
      <c r="J1412" s="26" t="n">
        <v>279.96</v>
      </c>
      <c r="K1412" s="26" t="n">
        <v>296.56</v>
      </c>
      <c r="L1412" s="26" t="n">
        <v>2.56</v>
      </c>
      <c r="M1412" s="27" t="n">
        <v>0.005</v>
      </c>
      <c r="N1412" s="27" t="n">
        <v>0.002</v>
      </c>
      <c r="O1412" s="26" t="n">
        <v>5</v>
      </c>
      <c r="P1412" s="26" t="n">
        <v>5</v>
      </c>
      <c r="Q1412" s="28" t="n">
        <v>100</v>
      </c>
      <c r="R1412" s="26" t="n">
        <v>30</v>
      </c>
      <c r="S1412" s="26" t="n">
        <v>0</v>
      </c>
      <c r="T1412" s="28" t="n">
        <v>1</v>
      </c>
      <c r="U1412" s="26" t="n">
        <v>0</v>
      </c>
      <c r="V1412" s="26" t="n">
        <v>0</v>
      </c>
      <c r="W1412" s="22" t="s">
        <v>21</v>
      </c>
      <c r="X1412" s="22" t="s">
        <v>373</v>
      </c>
    </row>
    <row r="1413" customFormat="false" ht="15" hidden="false" customHeight="false" outlineLevel="0" collapsed="false">
      <c r="A1413" s="22" t="s">
        <v>5821</v>
      </c>
      <c r="B1413" s="22" t="s">
        <v>21</v>
      </c>
      <c r="C1413" s="22" t="s">
        <v>5822</v>
      </c>
      <c r="D1413" s="22" t="s">
        <v>5823</v>
      </c>
      <c r="E1413" s="22" t="s">
        <v>5824</v>
      </c>
      <c r="F1413" s="22" t="n">
        <v>15</v>
      </c>
      <c r="G1413" s="26" t="n">
        <v>219.1</v>
      </c>
      <c r="H1413" s="26" t="n">
        <v>241.23</v>
      </c>
      <c r="I1413" s="26" t="n">
        <v>263.36</v>
      </c>
      <c r="J1413" s="26" t="n">
        <v>279.96</v>
      </c>
      <c r="K1413" s="26" t="n">
        <v>296.56</v>
      </c>
      <c r="L1413" s="26" t="n">
        <v>2.56</v>
      </c>
      <c r="M1413" s="27" t="n">
        <v>0.005</v>
      </c>
      <c r="N1413" s="27" t="n">
        <v>0.002</v>
      </c>
      <c r="O1413" s="26" t="n">
        <v>5</v>
      </c>
      <c r="P1413" s="26" t="n">
        <v>5</v>
      </c>
      <c r="Q1413" s="28" t="n">
        <v>100</v>
      </c>
      <c r="R1413" s="26" t="n">
        <v>30</v>
      </c>
      <c r="S1413" s="26" t="n">
        <v>0</v>
      </c>
      <c r="T1413" s="28" t="n">
        <v>1</v>
      </c>
      <c r="U1413" s="26" t="n">
        <v>0</v>
      </c>
      <c r="V1413" s="26" t="n">
        <v>0</v>
      </c>
      <c r="W1413" s="22" t="s">
        <v>21</v>
      </c>
      <c r="X1413" s="22" t="s">
        <v>373</v>
      </c>
    </row>
    <row r="1414" customFormat="false" ht="15" hidden="false" customHeight="false" outlineLevel="0" collapsed="false">
      <c r="A1414" s="22" t="s">
        <v>5825</v>
      </c>
      <c r="B1414" s="22" t="s">
        <v>21</v>
      </c>
      <c r="C1414" s="22" t="s">
        <v>5826</v>
      </c>
      <c r="D1414" s="22" t="s">
        <v>5827</v>
      </c>
      <c r="E1414" s="22" t="s">
        <v>5828</v>
      </c>
      <c r="F1414" s="22" t="n">
        <v>15</v>
      </c>
      <c r="G1414" s="26" t="n">
        <v>219.1</v>
      </c>
      <c r="H1414" s="26" t="n">
        <v>241.23</v>
      </c>
      <c r="I1414" s="26" t="n">
        <v>263.36</v>
      </c>
      <c r="J1414" s="26" t="n">
        <v>279.96</v>
      </c>
      <c r="K1414" s="26" t="n">
        <v>296.56</v>
      </c>
      <c r="L1414" s="26" t="n">
        <v>2.56</v>
      </c>
      <c r="M1414" s="27" t="n">
        <v>0.005</v>
      </c>
      <c r="N1414" s="27" t="n">
        <v>0.002</v>
      </c>
      <c r="O1414" s="26" t="n">
        <v>5</v>
      </c>
      <c r="P1414" s="26" t="n">
        <v>5</v>
      </c>
      <c r="Q1414" s="28" t="n">
        <v>100</v>
      </c>
      <c r="R1414" s="26" t="n">
        <v>30</v>
      </c>
      <c r="S1414" s="26" t="n">
        <v>0</v>
      </c>
      <c r="T1414" s="28" t="n">
        <v>1</v>
      </c>
      <c r="U1414" s="26" t="n">
        <v>0</v>
      </c>
      <c r="V1414" s="26" t="n">
        <v>400</v>
      </c>
      <c r="W1414" s="22" t="s">
        <v>21</v>
      </c>
      <c r="X1414" s="22" t="s">
        <v>373</v>
      </c>
    </row>
    <row r="1415" customFormat="false" ht="15" hidden="false" customHeight="false" outlineLevel="0" collapsed="false">
      <c r="A1415" s="22" t="s">
        <v>5829</v>
      </c>
      <c r="B1415" s="22" t="s">
        <v>21</v>
      </c>
      <c r="C1415" s="22" t="s">
        <v>5830</v>
      </c>
      <c r="D1415" s="22" t="s">
        <v>5831</v>
      </c>
      <c r="E1415" s="22" t="s">
        <v>5832</v>
      </c>
      <c r="F1415" s="22" t="n">
        <v>13</v>
      </c>
      <c r="G1415" s="26" t="n">
        <v>219.1</v>
      </c>
      <c r="H1415" s="26" t="n">
        <v>241.23</v>
      </c>
      <c r="I1415" s="26" t="n">
        <v>263.36</v>
      </c>
      <c r="J1415" s="26" t="n">
        <v>279.96</v>
      </c>
      <c r="K1415" s="26" t="n">
        <v>296.56</v>
      </c>
      <c r="L1415" s="26" t="n">
        <v>2.56</v>
      </c>
      <c r="M1415" s="27" t="n">
        <v>0.005</v>
      </c>
      <c r="N1415" s="27" t="n">
        <v>0.002</v>
      </c>
      <c r="O1415" s="26" t="n">
        <v>5</v>
      </c>
      <c r="P1415" s="26" t="n">
        <v>5</v>
      </c>
      <c r="Q1415" s="28" t="n">
        <v>100</v>
      </c>
      <c r="R1415" s="26" t="n">
        <v>30</v>
      </c>
      <c r="S1415" s="26" t="n">
        <v>0</v>
      </c>
      <c r="T1415" s="28" t="n">
        <v>1</v>
      </c>
      <c r="U1415" s="26" t="n">
        <v>0</v>
      </c>
      <c r="V1415" s="26" t="n">
        <v>0</v>
      </c>
      <c r="W1415" s="22" t="s">
        <v>21</v>
      </c>
      <c r="X1415" s="22" t="s">
        <v>373</v>
      </c>
    </row>
    <row r="1416" customFormat="false" ht="15" hidden="false" customHeight="false" outlineLevel="0" collapsed="false">
      <c r="A1416" s="22" t="s">
        <v>5833</v>
      </c>
      <c r="B1416" s="22" t="s">
        <v>21</v>
      </c>
      <c r="C1416" s="22" t="s">
        <v>5834</v>
      </c>
      <c r="D1416" s="22" t="s">
        <v>5835</v>
      </c>
      <c r="E1416" s="22" t="s">
        <v>5836</v>
      </c>
      <c r="F1416" s="22" t="n">
        <v>15</v>
      </c>
      <c r="G1416" s="26" t="n">
        <v>219.1</v>
      </c>
      <c r="H1416" s="26" t="n">
        <v>241.23</v>
      </c>
      <c r="I1416" s="26" t="n">
        <v>263.36</v>
      </c>
      <c r="J1416" s="26" t="n">
        <v>279.96</v>
      </c>
      <c r="K1416" s="26" t="n">
        <v>296.56</v>
      </c>
      <c r="L1416" s="26" t="n">
        <v>2.56</v>
      </c>
      <c r="M1416" s="27" t="n">
        <v>0.005</v>
      </c>
      <c r="N1416" s="27" t="n">
        <v>0.002</v>
      </c>
      <c r="O1416" s="26" t="n">
        <v>5</v>
      </c>
      <c r="P1416" s="26" t="n">
        <v>5</v>
      </c>
      <c r="Q1416" s="28" t="n">
        <v>100</v>
      </c>
      <c r="R1416" s="26" t="n">
        <v>30</v>
      </c>
      <c r="S1416" s="26" t="n">
        <v>0</v>
      </c>
      <c r="T1416" s="28" t="n">
        <v>1</v>
      </c>
      <c r="U1416" s="26" t="n">
        <v>0</v>
      </c>
      <c r="V1416" s="26" t="n">
        <v>400</v>
      </c>
      <c r="W1416" s="22" t="s">
        <v>21</v>
      </c>
      <c r="X1416" s="22" t="s">
        <v>373</v>
      </c>
    </row>
    <row r="1417" customFormat="false" ht="15" hidden="false" customHeight="false" outlineLevel="0" collapsed="false">
      <c r="A1417" s="22" t="s">
        <v>5837</v>
      </c>
      <c r="B1417" s="22" t="s">
        <v>21</v>
      </c>
      <c r="C1417" s="22" t="s">
        <v>5838</v>
      </c>
      <c r="D1417" s="22" t="s">
        <v>5839</v>
      </c>
      <c r="E1417" s="22" t="s">
        <v>5840</v>
      </c>
      <c r="F1417" s="22" t="n">
        <v>15</v>
      </c>
      <c r="G1417" s="26" t="n">
        <v>219.1</v>
      </c>
      <c r="H1417" s="26" t="n">
        <v>241.23</v>
      </c>
      <c r="I1417" s="26" t="n">
        <v>263.36</v>
      </c>
      <c r="J1417" s="26" t="n">
        <v>279.96</v>
      </c>
      <c r="K1417" s="26" t="n">
        <v>296.56</v>
      </c>
      <c r="L1417" s="26" t="n">
        <v>2.56</v>
      </c>
      <c r="M1417" s="27" t="n">
        <v>0.005</v>
      </c>
      <c r="N1417" s="27" t="n">
        <v>0.002</v>
      </c>
      <c r="O1417" s="26" t="n">
        <v>5</v>
      </c>
      <c r="P1417" s="26" t="n">
        <v>5</v>
      </c>
      <c r="Q1417" s="28" t="n">
        <v>100</v>
      </c>
      <c r="R1417" s="26" t="n">
        <v>30</v>
      </c>
      <c r="S1417" s="26" t="n">
        <v>0</v>
      </c>
      <c r="T1417" s="28" t="n">
        <v>1</v>
      </c>
      <c r="U1417" s="26" t="n">
        <v>0</v>
      </c>
      <c r="V1417" s="26" t="n">
        <v>400</v>
      </c>
      <c r="W1417" s="22" t="s">
        <v>21</v>
      </c>
      <c r="X1417" s="22" t="s">
        <v>373</v>
      </c>
    </row>
    <row r="1418" customFormat="false" ht="15" hidden="false" customHeight="false" outlineLevel="0" collapsed="false">
      <c r="A1418" s="22" t="s">
        <v>5841</v>
      </c>
      <c r="B1418" s="22" t="s">
        <v>21</v>
      </c>
      <c r="C1418" s="22" t="s">
        <v>5842</v>
      </c>
      <c r="D1418" s="22" t="s">
        <v>5843</v>
      </c>
      <c r="E1418" s="22" t="s">
        <v>5844</v>
      </c>
      <c r="F1418" s="22" t="n">
        <v>15</v>
      </c>
      <c r="G1418" s="26" t="n">
        <v>219.1</v>
      </c>
      <c r="H1418" s="26" t="n">
        <v>241.23</v>
      </c>
      <c r="I1418" s="26" t="n">
        <v>263.36</v>
      </c>
      <c r="J1418" s="26" t="n">
        <v>279.96</v>
      </c>
      <c r="K1418" s="26" t="n">
        <v>296.56</v>
      </c>
      <c r="L1418" s="26" t="n">
        <v>2.56</v>
      </c>
      <c r="M1418" s="27" t="n">
        <v>0.005</v>
      </c>
      <c r="N1418" s="27" t="n">
        <v>0.002</v>
      </c>
      <c r="O1418" s="26" t="n">
        <v>5</v>
      </c>
      <c r="P1418" s="26" t="n">
        <v>5</v>
      </c>
      <c r="Q1418" s="28" t="n">
        <v>100</v>
      </c>
      <c r="R1418" s="26" t="n">
        <v>30</v>
      </c>
      <c r="S1418" s="26" t="n">
        <v>0</v>
      </c>
      <c r="T1418" s="28" t="n">
        <v>1</v>
      </c>
      <c r="U1418" s="26" t="n">
        <v>0</v>
      </c>
      <c r="V1418" s="26" t="n">
        <v>0</v>
      </c>
      <c r="W1418" s="22" t="s">
        <v>21</v>
      </c>
      <c r="X1418" s="22" t="s">
        <v>373</v>
      </c>
    </row>
    <row r="1419" customFormat="false" ht="15" hidden="false" customHeight="false" outlineLevel="0" collapsed="false">
      <c r="A1419" s="22" t="s">
        <v>5845</v>
      </c>
      <c r="B1419" s="22" t="s">
        <v>21</v>
      </c>
      <c r="C1419" s="22" t="s">
        <v>5846</v>
      </c>
      <c r="D1419" s="22" t="s">
        <v>5847</v>
      </c>
      <c r="E1419" s="22" t="s">
        <v>5848</v>
      </c>
      <c r="F1419" s="22" t="n">
        <v>15</v>
      </c>
      <c r="G1419" s="26" t="n">
        <v>219.1</v>
      </c>
      <c r="H1419" s="26" t="n">
        <v>241.23</v>
      </c>
      <c r="I1419" s="26" t="n">
        <v>263.36</v>
      </c>
      <c r="J1419" s="26" t="n">
        <v>279.96</v>
      </c>
      <c r="K1419" s="26" t="n">
        <v>296.56</v>
      </c>
      <c r="L1419" s="26" t="n">
        <v>2.56</v>
      </c>
      <c r="M1419" s="27" t="n">
        <v>0.005</v>
      </c>
      <c r="N1419" s="27" t="n">
        <v>0.002</v>
      </c>
      <c r="O1419" s="26" t="n">
        <v>5</v>
      </c>
      <c r="P1419" s="26" t="n">
        <v>5</v>
      </c>
      <c r="Q1419" s="28" t="n">
        <v>100</v>
      </c>
      <c r="R1419" s="26" t="n">
        <v>30</v>
      </c>
      <c r="S1419" s="26" t="n">
        <v>0</v>
      </c>
      <c r="T1419" s="28" t="n">
        <v>1</v>
      </c>
      <c r="U1419" s="26" t="n">
        <v>0</v>
      </c>
      <c r="V1419" s="26" t="n">
        <v>0</v>
      </c>
      <c r="W1419" s="22" t="s">
        <v>21</v>
      </c>
      <c r="X1419" s="22" t="s">
        <v>373</v>
      </c>
    </row>
    <row r="1420" customFormat="false" ht="15" hidden="false" customHeight="false" outlineLevel="0" collapsed="false">
      <c r="A1420" s="22" t="s">
        <v>5849</v>
      </c>
      <c r="B1420" s="22" t="s">
        <v>21</v>
      </c>
      <c r="C1420" s="22" t="s">
        <v>5850</v>
      </c>
      <c r="D1420" s="22" t="s">
        <v>5851</v>
      </c>
      <c r="E1420" s="22" t="s">
        <v>5852</v>
      </c>
      <c r="F1420" s="22" t="n">
        <v>15</v>
      </c>
      <c r="G1420" s="26" t="n">
        <v>219.1</v>
      </c>
      <c r="H1420" s="26" t="n">
        <v>241.23</v>
      </c>
      <c r="I1420" s="26" t="n">
        <v>263.36</v>
      </c>
      <c r="J1420" s="26" t="n">
        <v>279.96</v>
      </c>
      <c r="K1420" s="26" t="n">
        <v>296.56</v>
      </c>
      <c r="L1420" s="26" t="n">
        <v>2.56</v>
      </c>
      <c r="M1420" s="27" t="n">
        <v>0.005</v>
      </c>
      <c r="N1420" s="27" t="n">
        <v>0.002</v>
      </c>
      <c r="O1420" s="26" t="n">
        <v>5</v>
      </c>
      <c r="P1420" s="26" t="n">
        <v>5</v>
      </c>
      <c r="Q1420" s="28" t="n">
        <v>100</v>
      </c>
      <c r="R1420" s="26" t="n">
        <v>30</v>
      </c>
      <c r="S1420" s="26" t="n">
        <v>0</v>
      </c>
      <c r="T1420" s="28" t="n">
        <v>1</v>
      </c>
      <c r="U1420" s="26" t="n">
        <v>0</v>
      </c>
      <c r="V1420" s="26" t="n">
        <v>400</v>
      </c>
      <c r="W1420" s="22" t="s">
        <v>21</v>
      </c>
      <c r="X1420" s="22" t="s">
        <v>373</v>
      </c>
    </row>
    <row r="1421" customFormat="false" ht="15" hidden="false" customHeight="false" outlineLevel="0" collapsed="false">
      <c r="A1421" s="22" t="s">
        <v>5853</v>
      </c>
      <c r="B1421" s="22" t="s">
        <v>21</v>
      </c>
      <c r="C1421" s="22" t="s">
        <v>5854</v>
      </c>
      <c r="D1421" s="22" t="s">
        <v>5855</v>
      </c>
      <c r="E1421" s="22" t="s">
        <v>5856</v>
      </c>
      <c r="F1421" s="22" t="n">
        <v>15</v>
      </c>
      <c r="G1421" s="26" t="n">
        <v>219.1</v>
      </c>
      <c r="H1421" s="26" t="n">
        <v>241.23</v>
      </c>
      <c r="I1421" s="26" t="n">
        <v>263.36</v>
      </c>
      <c r="J1421" s="26" t="n">
        <v>279.96</v>
      </c>
      <c r="K1421" s="26" t="n">
        <v>296.56</v>
      </c>
      <c r="L1421" s="26" t="n">
        <v>2.56</v>
      </c>
      <c r="M1421" s="27" t="n">
        <v>0.005</v>
      </c>
      <c r="N1421" s="27" t="n">
        <v>0.002</v>
      </c>
      <c r="O1421" s="26" t="n">
        <v>5</v>
      </c>
      <c r="P1421" s="26" t="n">
        <v>5</v>
      </c>
      <c r="Q1421" s="28" t="n">
        <v>100</v>
      </c>
      <c r="R1421" s="26" t="n">
        <v>30</v>
      </c>
      <c r="S1421" s="26" t="n">
        <v>0</v>
      </c>
      <c r="T1421" s="28" t="n">
        <v>1</v>
      </c>
      <c r="U1421" s="26" t="n">
        <v>0</v>
      </c>
      <c r="V1421" s="26" t="n">
        <v>400</v>
      </c>
      <c r="W1421" s="22" t="s">
        <v>21</v>
      </c>
      <c r="X1421" s="22" t="s">
        <v>373</v>
      </c>
    </row>
    <row r="1422" customFormat="false" ht="15" hidden="false" customHeight="false" outlineLevel="0" collapsed="false">
      <c r="A1422" s="22" t="s">
        <v>5857</v>
      </c>
      <c r="B1422" s="22" t="s">
        <v>21</v>
      </c>
      <c r="C1422" s="22" t="s">
        <v>5858</v>
      </c>
      <c r="D1422" s="22" t="s">
        <v>5859</v>
      </c>
      <c r="E1422" s="22" t="s">
        <v>5860</v>
      </c>
      <c r="F1422" s="22" t="n">
        <v>15</v>
      </c>
      <c r="G1422" s="26" t="n">
        <v>219.1</v>
      </c>
      <c r="H1422" s="26" t="n">
        <v>241.23</v>
      </c>
      <c r="I1422" s="26" t="n">
        <v>263.36</v>
      </c>
      <c r="J1422" s="26" t="n">
        <v>279.96</v>
      </c>
      <c r="K1422" s="26" t="n">
        <v>296.56</v>
      </c>
      <c r="L1422" s="26" t="n">
        <v>2.56</v>
      </c>
      <c r="M1422" s="27" t="n">
        <v>0.005</v>
      </c>
      <c r="N1422" s="27" t="n">
        <v>0.002</v>
      </c>
      <c r="O1422" s="26" t="n">
        <v>5</v>
      </c>
      <c r="P1422" s="26" t="n">
        <v>5</v>
      </c>
      <c r="Q1422" s="28" t="n">
        <v>100</v>
      </c>
      <c r="R1422" s="26" t="n">
        <v>30</v>
      </c>
      <c r="S1422" s="26" t="n">
        <v>0</v>
      </c>
      <c r="T1422" s="28" t="n">
        <v>1</v>
      </c>
      <c r="U1422" s="26" t="n">
        <v>0</v>
      </c>
      <c r="V1422" s="26" t="n">
        <v>0</v>
      </c>
      <c r="W1422" s="22" t="s">
        <v>21</v>
      </c>
      <c r="X1422" s="22" t="s">
        <v>373</v>
      </c>
    </row>
    <row r="1423" customFormat="false" ht="15" hidden="false" customHeight="false" outlineLevel="0" collapsed="false">
      <c r="A1423" s="22" t="s">
        <v>5861</v>
      </c>
      <c r="B1423" s="22" t="s">
        <v>21</v>
      </c>
      <c r="C1423" s="22" t="s">
        <v>5862</v>
      </c>
      <c r="D1423" s="22" t="s">
        <v>5863</v>
      </c>
      <c r="E1423" s="22" t="s">
        <v>5864</v>
      </c>
      <c r="F1423" s="22" t="n">
        <v>15</v>
      </c>
      <c r="G1423" s="26" t="n">
        <v>219.1</v>
      </c>
      <c r="H1423" s="26" t="n">
        <v>241.23</v>
      </c>
      <c r="I1423" s="26" t="n">
        <v>263.36</v>
      </c>
      <c r="J1423" s="26" t="n">
        <v>279.96</v>
      </c>
      <c r="K1423" s="26" t="n">
        <v>296.56</v>
      </c>
      <c r="L1423" s="26" t="n">
        <v>2.56</v>
      </c>
      <c r="M1423" s="27" t="n">
        <v>0.005</v>
      </c>
      <c r="N1423" s="27" t="n">
        <v>0.002</v>
      </c>
      <c r="O1423" s="26" t="n">
        <v>5</v>
      </c>
      <c r="P1423" s="26" t="n">
        <v>5</v>
      </c>
      <c r="Q1423" s="28" t="n">
        <v>100</v>
      </c>
      <c r="R1423" s="26" t="n">
        <v>30</v>
      </c>
      <c r="S1423" s="26" t="n">
        <v>0</v>
      </c>
      <c r="T1423" s="28" t="n">
        <v>1</v>
      </c>
      <c r="U1423" s="26" t="n">
        <v>0</v>
      </c>
      <c r="V1423" s="26" t="n">
        <v>0</v>
      </c>
      <c r="W1423" s="22" t="s">
        <v>21</v>
      </c>
      <c r="X1423" s="22" t="s">
        <v>373</v>
      </c>
    </row>
    <row r="1424" customFormat="false" ht="15" hidden="false" customHeight="false" outlineLevel="0" collapsed="false">
      <c r="A1424" s="22" t="s">
        <v>5865</v>
      </c>
      <c r="B1424" s="22" t="s">
        <v>21</v>
      </c>
      <c r="C1424" s="22" t="s">
        <v>5866</v>
      </c>
      <c r="D1424" s="22" t="s">
        <v>5867</v>
      </c>
      <c r="E1424" s="22" t="s">
        <v>5868</v>
      </c>
      <c r="F1424" s="22" t="n">
        <v>15</v>
      </c>
      <c r="G1424" s="26" t="n">
        <v>219.1</v>
      </c>
      <c r="H1424" s="26" t="n">
        <v>241.23</v>
      </c>
      <c r="I1424" s="26" t="n">
        <v>263.36</v>
      </c>
      <c r="J1424" s="26" t="n">
        <v>279.96</v>
      </c>
      <c r="K1424" s="26" t="n">
        <v>296.56</v>
      </c>
      <c r="L1424" s="26" t="n">
        <v>2.56</v>
      </c>
      <c r="M1424" s="27" t="n">
        <v>0.005</v>
      </c>
      <c r="N1424" s="27" t="n">
        <v>0.002</v>
      </c>
      <c r="O1424" s="26" t="n">
        <v>5</v>
      </c>
      <c r="P1424" s="26" t="n">
        <v>5</v>
      </c>
      <c r="Q1424" s="28" t="n">
        <v>100</v>
      </c>
      <c r="R1424" s="26" t="n">
        <v>30</v>
      </c>
      <c r="S1424" s="26" t="n">
        <v>0</v>
      </c>
      <c r="T1424" s="28" t="n">
        <v>1</v>
      </c>
      <c r="U1424" s="26" t="n">
        <v>0</v>
      </c>
      <c r="V1424" s="26" t="n">
        <v>0</v>
      </c>
      <c r="W1424" s="22" t="s">
        <v>21</v>
      </c>
      <c r="X1424" s="22" t="s">
        <v>373</v>
      </c>
    </row>
    <row r="1425" customFormat="false" ht="15" hidden="false" customHeight="false" outlineLevel="0" collapsed="false">
      <c r="A1425" s="22" t="s">
        <v>5869</v>
      </c>
      <c r="B1425" s="22" t="s">
        <v>21</v>
      </c>
      <c r="C1425" s="22" t="s">
        <v>5870</v>
      </c>
      <c r="D1425" s="22" t="s">
        <v>5871</v>
      </c>
      <c r="E1425" s="22" t="s">
        <v>5872</v>
      </c>
      <c r="F1425" s="22" t="n">
        <v>15</v>
      </c>
      <c r="G1425" s="26" t="n">
        <v>219.1</v>
      </c>
      <c r="H1425" s="26" t="n">
        <v>241.23</v>
      </c>
      <c r="I1425" s="26" t="n">
        <v>263.36</v>
      </c>
      <c r="J1425" s="26" t="n">
        <v>279.96</v>
      </c>
      <c r="K1425" s="26" t="n">
        <v>296.56</v>
      </c>
      <c r="L1425" s="26" t="n">
        <v>2.56</v>
      </c>
      <c r="M1425" s="27" t="n">
        <v>0.005</v>
      </c>
      <c r="N1425" s="27" t="n">
        <v>0.002</v>
      </c>
      <c r="O1425" s="26" t="n">
        <v>5</v>
      </c>
      <c r="P1425" s="26" t="n">
        <v>5</v>
      </c>
      <c r="Q1425" s="28" t="n">
        <v>100</v>
      </c>
      <c r="R1425" s="26" t="n">
        <v>30</v>
      </c>
      <c r="S1425" s="26" t="n">
        <v>0</v>
      </c>
      <c r="T1425" s="28" t="n">
        <v>1</v>
      </c>
      <c r="U1425" s="26" t="n">
        <v>0</v>
      </c>
      <c r="V1425" s="26" t="n">
        <v>0</v>
      </c>
      <c r="W1425" s="22" t="s">
        <v>21</v>
      </c>
      <c r="X1425" s="22" t="s">
        <v>373</v>
      </c>
    </row>
    <row r="1426" customFormat="false" ht="15" hidden="false" customHeight="false" outlineLevel="0" collapsed="false">
      <c r="A1426" s="22" t="s">
        <v>5873</v>
      </c>
      <c r="B1426" s="22" t="s">
        <v>21</v>
      </c>
      <c r="C1426" s="22" t="s">
        <v>5874</v>
      </c>
      <c r="D1426" s="22" t="s">
        <v>5875</v>
      </c>
      <c r="E1426" s="22" t="s">
        <v>5876</v>
      </c>
      <c r="F1426" s="22" t="n">
        <v>15</v>
      </c>
      <c r="G1426" s="26" t="n">
        <v>219.1</v>
      </c>
      <c r="H1426" s="26" t="n">
        <v>241.23</v>
      </c>
      <c r="I1426" s="26" t="n">
        <v>263.36</v>
      </c>
      <c r="J1426" s="26" t="n">
        <v>279.96</v>
      </c>
      <c r="K1426" s="26" t="n">
        <v>296.56</v>
      </c>
      <c r="L1426" s="26" t="n">
        <v>2.56</v>
      </c>
      <c r="M1426" s="27" t="n">
        <v>0.005</v>
      </c>
      <c r="N1426" s="27" t="n">
        <v>0.002</v>
      </c>
      <c r="O1426" s="26" t="n">
        <v>5</v>
      </c>
      <c r="P1426" s="26" t="n">
        <v>5</v>
      </c>
      <c r="Q1426" s="28" t="n">
        <v>100</v>
      </c>
      <c r="R1426" s="26" t="n">
        <v>30</v>
      </c>
      <c r="S1426" s="26" t="n">
        <v>0</v>
      </c>
      <c r="T1426" s="28" t="n">
        <v>1</v>
      </c>
      <c r="U1426" s="26" t="n">
        <v>0</v>
      </c>
      <c r="V1426" s="26" t="n">
        <v>0</v>
      </c>
      <c r="W1426" s="22" t="s">
        <v>21</v>
      </c>
      <c r="X1426" s="22" t="s">
        <v>373</v>
      </c>
    </row>
    <row r="1427" customFormat="false" ht="15" hidden="false" customHeight="false" outlineLevel="0" collapsed="false">
      <c r="A1427" s="22" t="s">
        <v>5877</v>
      </c>
      <c r="B1427" s="22" t="s">
        <v>21</v>
      </c>
      <c r="C1427" s="22" t="s">
        <v>5878</v>
      </c>
      <c r="D1427" s="22" t="s">
        <v>5879</v>
      </c>
      <c r="E1427" s="22" t="s">
        <v>5880</v>
      </c>
      <c r="F1427" s="22" t="n">
        <v>15</v>
      </c>
      <c r="G1427" s="26" t="n">
        <v>219.1</v>
      </c>
      <c r="H1427" s="26" t="n">
        <v>241.23</v>
      </c>
      <c r="I1427" s="26" t="n">
        <v>263.36</v>
      </c>
      <c r="J1427" s="26" t="n">
        <v>279.96</v>
      </c>
      <c r="K1427" s="26" t="n">
        <v>296.56</v>
      </c>
      <c r="L1427" s="26" t="n">
        <v>2.56</v>
      </c>
      <c r="M1427" s="27" t="n">
        <v>0.005</v>
      </c>
      <c r="N1427" s="27" t="n">
        <v>0.002</v>
      </c>
      <c r="O1427" s="26" t="n">
        <v>5</v>
      </c>
      <c r="P1427" s="26" t="n">
        <v>5</v>
      </c>
      <c r="Q1427" s="28" t="n">
        <v>100</v>
      </c>
      <c r="R1427" s="26" t="n">
        <v>30</v>
      </c>
      <c r="S1427" s="26" t="n">
        <v>0</v>
      </c>
      <c r="T1427" s="28" t="n">
        <v>1</v>
      </c>
      <c r="U1427" s="26" t="n">
        <v>0</v>
      </c>
      <c r="V1427" s="26" t="n">
        <v>0</v>
      </c>
      <c r="W1427" s="22" t="s">
        <v>21</v>
      </c>
      <c r="X1427" s="22" t="s">
        <v>373</v>
      </c>
    </row>
    <row r="1428" customFormat="false" ht="15" hidden="false" customHeight="false" outlineLevel="0" collapsed="false">
      <c r="A1428" s="22" t="s">
        <v>5881</v>
      </c>
      <c r="B1428" s="22" t="s">
        <v>21</v>
      </c>
      <c r="C1428" s="22" t="s">
        <v>5882</v>
      </c>
      <c r="D1428" s="22" t="s">
        <v>5883</v>
      </c>
      <c r="E1428" s="22" t="s">
        <v>5884</v>
      </c>
      <c r="F1428" s="22" t="n">
        <v>15</v>
      </c>
      <c r="G1428" s="26" t="n">
        <v>219.1</v>
      </c>
      <c r="H1428" s="26" t="n">
        <v>241.23</v>
      </c>
      <c r="I1428" s="26" t="n">
        <v>263.36</v>
      </c>
      <c r="J1428" s="26" t="n">
        <v>279.96</v>
      </c>
      <c r="K1428" s="26" t="n">
        <v>296.56</v>
      </c>
      <c r="L1428" s="26" t="n">
        <v>2.56</v>
      </c>
      <c r="M1428" s="27" t="n">
        <v>0.005</v>
      </c>
      <c r="N1428" s="27" t="n">
        <v>0.002</v>
      </c>
      <c r="O1428" s="26" t="n">
        <v>5</v>
      </c>
      <c r="P1428" s="26" t="n">
        <v>5</v>
      </c>
      <c r="Q1428" s="28" t="n">
        <v>100</v>
      </c>
      <c r="R1428" s="26" t="n">
        <v>30</v>
      </c>
      <c r="S1428" s="26" t="n">
        <v>0</v>
      </c>
      <c r="T1428" s="28" t="n">
        <v>1</v>
      </c>
      <c r="U1428" s="26" t="n">
        <v>0</v>
      </c>
      <c r="V1428" s="26" t="n">
        <v>0</v>
      </c>
      <c r="W1428" s="22" t="s">
        <v>21</v>
      </c>
      <c r="X1428" s="22" t="s">
        <v>373</v>
      </c>
    </row>
    <row r="1429" customFormat="false" ht="15" hidden="false" customHeight="false" outlineLevel="0" collapsed="false">
      <c r="A1429" s="22" t="s">
        <v>5885</v>
      </c>
      <c r="B1429" s="22" t="s">
        <v>21</v>
      </c>
      <c r="C1429" s="22" t="s">
        <v>5886</v>
      </c>
      <c r="D1429" s="22" t="s">
        <v>5887</v>
      </c>
      <c r="E1429" s="22" t="s">
        <v>5888</v>
      </c>
      <c r="F1429" s="22" t="n">
        <v>15</v>
      </c>
      <c r="G1429" s="26" t="n">
        <v>219.1</v>
      </c>
      <c r="H1429" s="26" t="n">
        <v>241.23</v>
      </c>
      <c r="I1429" s="26" t="n">
        <v>263.36</v>
      </c>
      <c r="J1429" s="26" t="n">
        <v>279.96</v>
      </c>
      <c r="K1429" s="26" t="n">
        <v>296.56</v>
      </c>
      <c r="L1429" s="26" t="n">
        <v>2.56</v>
      </c>
      <c r="M1429" s="27" t="n">
        <v>0.005</v>
      </c>
      <c r="N1429" s="27" t="n">
        <v>0.002</v>
      </c>
      <c r="O1429" s="26" t="n">
        <v>5</v>
      </c>
      <c r="P1429" s="26" t="n">
        <v>5</v>
      </c>
      <c r="Q1429" s="28" t="n">
        <v>100</v>
      </c>
      <c r="R1429" s="26" t="n">
        <v>30</v>
      </c>
      <c r="S1429" s="26" t="n">
        <v>0</v>
      </c>
      <c r="T1429" s="28" t="n">
        <v>1</v>
      </c>
      <c r="U1429" s="26" t="n">
        <v>0</v>
      </c>
      <c r="V1429" s="26" t="n">
        <v>0</v>
      </c>
      <c r="W1429" s="22" t="s">
        <v>21</v>
      </c>
      <c r="X1429" s="22" t="s">
        <v>373</v>
      </c>
    </row>
    <row r="1430" customFormat="false" ht="15" hidden="false" customHeight="false" outlineLevel="0" collapsed="false">
      <c r="A1430" s="22" t="s">
        <v>5889</v>
      </c>
      <c r="B1430" s="22" t="s">
        <v>21</v>
      </c>
      <c r="C1430" s="22" t="s">
        <v>5890</v>
      </c>
      <c r="D1430" s="22" t="s">
        <v>5891</v>
      </c>
      <c r="E1430" s="22" t="s">
        <v>5892</v>
      </c>
      <c r="F1430" s="22" t="n">
        <v>15</v>
      </c>
      <c r="G1430" s="26" t="n">
        <v>219.1</v>
      </c>
      <c r="H1430" s="26" t="n">
        <v>241.23</v>
      </c>
      <c r="I1430" s="26" t="n">
        <v>263.36</v>
      </c>
      <c r="J1430" s="26" t="n">
        <v>279.96</v>
      </c>
      <c r="K1430" s="26" t="n">
        <v>296.56</v>
      </c>
      <c r="L1430" s="26" t="n">
        <v>2.56</v>
      </c>
      <c r="M1430" s="27" t="n">
        <v>0.005</v>
      </c>
      <c r="N1430" s="27" t="n">
        <v>0.002</v>
      </c>
      <c r="O1430" s="26" t="n">
        <v>5</v>
      </c>
      <c r="P1430" s="26" t="n">
        <v>5</v>
      </c>
      <c r="Q1430" s="28" t="n">
        <v>100</v>
      </c>
      <c r="R1430" s="26" t="n">
        <v>30</v>
      </c>
      <c r="S1430" s="26" t="n">
        <v>0</v>
      </c>
      <c r="T1430" s="28" t="n">
        <v>1</v>
      </c>
      <c r="U1430" s="26" t="n">
        <v>0</v>
      </c>
      <c r="V1430" s="26" t="n">
        <v>400</v>
      </c>
      <c r="W1430" s="22" t="s">
        <v>21</v>
      </c>
      <c r="X1430" s="22" t="s">
        <v>373</v>
      </c>
    </row>
    <row r="1431" customFormat="false" ht="15" hidden="false" customHeight="false" outlineLevel="0" collapsed="false">
      <c r="A1431" s="22" t="s">
        <v>5893</v>
      </c>
      <c r="B1431" s="22" t="s">
        <v>21</v>
      </c>
      <c r="C1431" s="22" t="s">
        <v>5894</v>
      </c>
      <c r="D1431" s="22" t="s">
        <v>5895</v>
      </c>
      <c r="E1431" s="22" t="s">
        <v>5896</v>
      </c>
      <c r="F1431" s="22" t="n">
        <v>15</v>
      </c>
      <c r="G1431" s="26" t="n">
        <v>219.1</v>
      </c>
      <c r="H1431" s="26" t="n">
        <v>241.23</v>
      </c>
      <c r="I1431" s="26" t="n">
        <v>263.36</v>
      </c>
      <c r="J1431" s="26" t="n">
        <v>279.96</v>
      </c>
      <c r="K1431" s="26" t="n">
        <v>296.56</v>
      </c>
      <c r="L1431" s="26" t="n">
        <v>2.56</v>
      </c>
      <c r="M1431" s="27" t="n">
        <v>0.005</v>
      </c>
      <c r="N1431" s="27" t="n">
        <v>0.002</v>
      </c>
      <c r="O1431" s="26" t="n">
        <v>5</v>
      </c>
      <c r="P1431" s="26" t="n">
        <v>5</v>
      </c>
      <c r="Q1431" s="28" t="n">
        <v>100</v>
      </c>
      <c r="R1431" s="26" t="n">
        <v>30</v>
      </c>
      <c r="S1431" s="26" t="n">
        <v>0</v>
      </c>
      <c r="T1431" s="28" t="n">
        <v>1</v>
      </c>
      <c r="U1431" s="26" t="n">
        <v>0</v>
      </c>
      <c r="V1431" s="26" t="n">
        <v>0</v>
      </c>
      <c r="W1431" s="22" t="s">
        <v>21</v>
      </c>
      <c r="X1431" s="22" t="s">
        <v>373</v>
      </c>
    </row>
    <row r="1432" customFormat="false" ht="15" hidden="false" customHeight="false" outlineLevel="0" collapsed="false">
      <c r="A1432" s="22" t="s">
        <v>5897</v>
      </c>
      <c r="B1432" s="22" t="s">
        <v>21</v>
      </c>
      <c r="C1432" s="22" t="s">
        <v>5898</v>
      </c>
      <c r="D1432" s="22" t="s">
        <v>5899</v>
      </c>
      <c r="E1432" s="22" t="s">
        <v>5900</v>
      </c>
      <c r="F1432" s="22" t="n">
        <v>15</v>
      </c>
      <c r="G1432" s="26" t="n">
        <v>219.1</v>
      </c>
      <c r="H1432" s="26" t="n">
        <v>241.23</v>
      </c>
      <c r="I1432" s="26" t="n">
        <v>263.36</v>
      </c>
      <c r="J1432" s="26" t="n">
        <v>279.96</v>
      </c>
      <c r="K1432" s="26" t="n">
        <v>296.56</v>
      </c>
      <c r="L1432" s="26" t="n">
        <v>2.56</v>
      </c>
      <c r="M1432" s="27" t="n">
        <v>0.005</v>
      </c>
      <c r="N1432" s="27" t="n">
        <v>0.002</v>
      </c>
      <c r="O1432" s="26" t="n">
        <v>5</v>
      </c>
      <c r="P1432" s="26" t="n">
        <v>5</v>
      </c>
      <c r="Q1432" s="28" t="n">
        <v>100</v>
      </c>
      <c r="R1432" s="26" t="n">
        <v>30</v>
      </c>
      <c r="S1432" s="26" t="n">
        <v>0</v>
      </c>
      <c r="T1432" s="28" t="n">
        <v>1</v>
      </c>
      <c r="U1432" s="26" t="n">
        <v>0</v>
      </c>
      <c r="V1432" s="26" t="n">
        <v>400</v>
      </c>
      <c r="W1432" s="22" t="s">
        <v>21</v>
      </c>
      <c r="X1432" s="22" t="s">
        <v>373</v>
      </c>
    </row>
    <row r="1433" customFormat="false" ht="15" hidden="false" customHeight="false" outlineLevel="0" collapsed="false">
      <c r="A1433" s="22" t="s">
        <v>5901</v>
      </c>
      <c r="B1433" s="22" t="s">
        <v>21</v>
      </c>
      <c r="C1433" s="22" t="s">
        <v>5902</v>
      </c>
      <c r="D1433" s="22" t="s">
        <v>5903</v>
      </c>
      <c r="E1433" s="22" t="s">
        <v>5904</v>
      </c>
      <c r="F1433" s="22" t="n">
        <v>15</v>
      </c>
      <c r="G1433" s="26" t="n">
        <v>219.1</v>
      </c>
      <c r="H1433" s="26" t="n">
        <v>241.23</v>
      </c>
      <c r="I1433" s="26" t="n">
        <v>263.36</v>
      </c>
      <c r="J1433" s="26" t="n">
        <v>279.96</v>
      </c>
      <c r="K1433" s="26" t="n">
        <v>296.56</v>
      </c>
      <c r="L1433" s="26" t="n">
        <v>2.56</v>
      </c>
      <c r="M1433" s="27" t="n">
        <v>0.005</v>
      </c>
      <c r="N1433" s="27" t="n">
        <v>0.002</v>
      </c>
      <c r="O1433" s="26" t="n">
        <v>5</v>
      </c>
      <c r="P1433" s="26" t="n">
        <v>5</v>
      </c>
      <c r="Q1433" s="28" t="n">
        <v>100</v>
      </c>
      <c r="R1433" s="26" t="n">
        <v>30</v>
      </c>
      <c r="S1433" s="26" t="n">
        <v>0</v>
      </c>
      <c r="T1433" s="28" t="n">
        <v>1</v>
      </c>
      <c r="U1433" s="26" t="n">
        <v>0</v>
      </c>
      <c r="V1433" s="26" t="n">
        <v>0</v>
      </c>
      <c r="W1433" s="22" t="s">
        <v>21</v>
      </c>
      <c r="X1433" s="22" t="s">
        <v>373</v>
      </c>
    </row>
    <row r="1434" customFormat="false" ht="15" hidden="false" customHeight="false" outlineLevel="0" collapsed="false">
      <c r="A1434" s="22" t="s">
        <v>5905</v>
      </c>
      <c r="B1434" s="22" t="s">
        <v>21</v>
      </c>
      <c r="C1434" s="22" t="s">
        <v>5906</v>
      </c>
      <c r="D1434" s="22" t="s">
        <v>5907</v>
      </c>
      <c r="E1434" s="22" t="s">
        <v>5908</v>
      </c>
      <c r="F1434" s="22" t="n">
        <v>15</v>
      </c>
      <c r="G1434" s="26" t="n">
        <v>219.1</v>
      </c>
      <c r="H1434" s="26" t="n">
        <v>241.23</v>
      </c>
      <c r="I1434" s="26" t="n">
        <v>263.36</v>
      </c>
      <c r="J1434" s="26" t="n">
        <v>279.96</v>
      </c>
      <c r="K1434" s="26" t="n">
        <v>296.56</v>
      </c>
      <c r="L1434" s="26" t="n">
        <v>2.56</v>
      </c>
      <c r="M1434" s="27" t="n">
        <v>0.005</v>
      </c>
      <c r="N1434" s="27" t="n">
        <v>0.002</v>
      </c>
      <c r="O1434" s="26" t="n">
        <v>5</v>
      </c>
      <c r="P1434" s="26" t="n">
        <v>5</v>
      </c>
      <c r="Q1434" s="28" t="n">
        <v>100</v>
      </c>
      <c r="R1434" s="26" t="n">
        <v>30</v>
      </c>
      <c r="S1434" s="26" t="n">
        <v>0</v>
      </c>
      <c r="T1434" s="28" t="n">
        <v>1</v>
      </c>
      <c r="U1434" s="26" t="n">
        <v>0</v>
      </c>
      <c r="V1434" s="26" t="n">
        <v>0</v>
      </c>
      <c r="W1434" s="22" t="s">
        <v>21</v>
      </c>
      <c r="X1434" s="22" t="s">
        <v>373</v>
      </c>
    </row>
    <row r="1435" customFormat="false" ht="15" hidden="false" customHeight="false" outlineLevel="0" collapsed="false">
      <c r="A1435" s="22" t="s">
        <v>5909</v>
      </c>
      <c r="B1435" s="22" t="s">
        <v>21</v>
      </c>
      <c r="C1435" s="22" t="s">
        <v>5910</v>
      </c>
      <c r="D1435" s="22" t="s">
        <v>5911</v>
      </c>
      <c r="E1435" s="22" t="s">
        <v>5912</v>
      </c>
      <c r="F1435" s="22" t="n">
        <v>15</v>
      </c>
      <c r="G1435" s="26" t="n">
        <v>219.1</v>
      </c>
      <c r="H1435" s="26" t="n">
        <v>241.23</v>
      </c>
      <c r="I1435" s="26" t="n">
        <v>263.36</v>
      </c>
      <c r="J1435" s="26" t="n">
        <v>279.96</v>
      </c>
      <c r="K1435" s="26" t="n">
        <v>296.56</v>
      </c>
      <c r="L1435" s="26" t="n">
        <v>2.56</v>
      </c>
      <c r="M1435" s="27" t="n">
        <v>0.005</v>
      </c>
      <c r="N1435" s="27" t="n">
        <v>0.002</v>
      </c>
      <c r="O1435" s="26" t="n">
        <v>5</v>
      </c>
      <c r="P1435" s="26" t="n">
        <v>5</v>
      </c>
      <c r="Q1435" s="28" t="n">
        <v>100</v>
      </c>
      <c r="R1435" s="26" t="n">
        <v>30</v>
      </c>
      <c r="S1435" s="26" t="n">
        <v>0</v>
      </c>
      <c r="T1435" s="28" t="n">
        <v>1</v>
      </c>
      <c r="U1435" s="26" t="n">
        <v>0</v>
      </c>
      <c r="V1435" s="26" t="n">
        <v>400</v>
      </c>
      <c r="W1435" s="22" t="s">
        <v>21</v>
      </c>
      <c r="X1435" s="22" t="s">
        <v>373</v>
      </c>
    </row>
    <row r="1436" customFormat="false" ht="15" hidden="false" customHeight="false" outlineLevel="0" collapsed="false">
      <c r="A1436" s="22" t="s">
        <v>5913</v>
      </c>
      <c r="B1436" s="22" t="s">
        <v>21</v>
      </c>
      <c r="C1436" s="22" t="s">
        <v>5914</v>
      </c>
      <c r="D1436" s="22" t="s">
        <v>5915</v>
      </c>
      <c r="E1436" s="22" t="s">
        <v>5916</v>
      </c>
      <c r="F1436" s="22" t="n">
        <v>15</v>
      </c>
      <c r="G1436" s="26" t="n">
        <v>219.1</v>
      </c>
      <c r="H1436" s="26" t="n">
        <v>241.23</v>
      </c>
      <c r="I1436" s="26" t="n">
        <v>263.36</v>
      </c>
      <c r="J1436" s="26" t="n">
        <v>279.96</v>
      </c>
      <c r="K1436" s="26" t="n">
        <v>296.56</v>
      </c>
      <c r="L1436" s="26" t="n">
        <v>2.56</v>
      </c>
      <c r="M1436" s="27" t="n">
        <v>0.005</v>
      </c>
      <c r="N1436" s="27" t="n">
        <v>0.002</v>
      </c>
      <c r="O1436" s="26" t="n">
        <v>5</v>
      </c>
      <c r="P1436" s="26" t="n">
        <v>5</v>
      </c>
      <c r="Q1436" s="28" t="n">
        <v>100</v>
      </c>
      <c r="R1436" s="26" t="n">
        <v>30</v>
      </c>
      <c r="S1436" s="26" t="n">
        <v>0</v>
      </c>
      <c r="T1436" s="28" t="n">
        <v>1</v>
      </c>
      <c r="U1436" s="26" t="n">
        <v>0</v>
      </c>
      <c r="V1436" s="26" t="n">
        <v>400</v>
      </c>
      <c r="W1436" s="22" t="s">
        <v>21</v>
      </c>
      <c r="X1436" s="22" t="s">
        <v>373</v>
      </c>
    </row>
    <row r="1437" customFormat="false" ht="15" hidden="false" customHeight="false" outlineLevel="0" collapsed="false">
      <c r="A1437" s="22" t="s">
        <v>5917</v>
      </c>
      <c r="B1437" s="22" t="s">
        <v>21</v>
      </c>
      <c r="C1437" s="22" t="s">
        <v>5918</v>
      </c>
      <c r="D1437" s="22" t="s">
        <v>5919</v>
      </c>
      <c r="E1437" s="22" t="s">
        <v>5920</v>
      </c>
      <c r="F1437" s="22" t="n">
        <v>15</v>
      </c>
      <c r="G1437" s="26" t="n">
        <v>219.1</v>
      </c>
      <c r="H1437" s="26" t="n">
        <v>241.23</v>
      </c>
      <c r="I1437" s="26" t="n">
        <v>263.36</v>
      </c>
      <c r="J1437" s="26" t="n">
        <v>279.96</v>
      </c>
      <c r="K1437" s="26" t="n">
        <v>296.56</v>
      </c>
      <c r="L1437" s="26" t="n">
        <v>2.56</v>
      </c>
      <c r="M1437" s="27" t="n">
        <v>0.005</v>
      </c>
      <c r="N1437" s="27" t="n">
        <v>0.002</v>
      </c>
      <c r="O1437" s="26" t="n">
        <v>5</v>
      </c>
      <c r="P1437" s="26" t="n">
        <v>5</v>
      </c>
      <c r="Q1437" s="28" t="n">
        <v>100</v>
      </c>
      <c r="R1437" s="26" t="n">
        <v>30</v>
      </c>
      <c r="S1437" s="26" t="n">
        <v>0</v>
      </c>
      <c r="T1437" s="28" t="n">
        <v>1</v>
      </c>
      <c r="U1437" s="26" t="n">
        <v>0</v>
      </c>
      <c r="V1437" s="26" t="n">
        <v>0</v>
      </c>
      <c r="W1437" s="22" t="s">
        <v>21</v>
      </c>
      <c r="X1437" s="22" t="s">
        <v>373</v>
      </c>
    </row>
    <row r="1438" customFormat="false" ht="15" hidden="false" customHeight="false" outlineLevel="0" collapsed="false">
      <c r="A1438" s="22" t="s">
        <v>5921</v>
      </c>
      <c r="B1438" s="22" t="s">
        <v>21</v>
      </c>
      <c r="C1438" s="22" t="s">
        <v>5922</v>
      </c>
      <c r="D1438" s="22" t="s">
        <v>5923</v>
      </c>
      <c r="E1438" s="22" t="s">
        <v>5924</v>
      </c>
      <c r="F1438" s="22" t="n">
        <v>15</v>
      </c>
      <c r="G1438" s="26" t="n">
        <v>219.1</v>
      </c>
      <c r="H1438" s="26" t="n">
        <v>241.23</v>
      </c>
      <c r="I1438" s="26" t="n">
        <v>263.36</v>
      </c>
      <c r="J1438" s="26" t="n">
        <v>279.96</v>
      </c>
      <c r="K1438" s="26" t="n">
        <v>296.56</v>
      </c>
      <c r="L1438" s="26" t="n">
        <v>2.56</v>
      </c>
      <c r="M1438" s="27" t="n">
        <v>0.005</v>
      </c>
      <c r="N1438" s="27" t="n">
        <v>0.002</v>
      </c>
      <c r="O1438" s="26" t="n">
        <v>5</v>
      </c>
      <c r="P1438" s="26" t="n">
        <v>5</v>
      </c>
      <c r="Q1438" s="28" t="n">
        <v>100</v>
      </c>
      <c r="R1438" s="26" t="n">
        <v>30</v>
      </c>
      <c r="S1438" s="26" t="n">
        <v>0</v>
      </c>
      <c r="T1438" s="28" t="n">
        <v>1</v>
      </c>
      <c r="U1438" s="26" t="n">
        <v>0</v>
      </c>
      <c r="V1438" s="26" t="n">
        <v>0</v>
      </c>
      <c r="W1438" s="22" t="s">
        <v>21</v>
      </c>
      <c r="X1438" s="22" t="s">
        <v>373</v>
      </c>
    </row>
    <row r="1439" customFormat="false" ht="15" hidden="false" customHeight="false" outlineLevel="0" collapsed="false">
      <c r="A1439" s="22" t="s">
        <v>5925</v>
      </c>
      <c r="B1439" s="22" t="s">
        <v>21</v>
      </c>
      <c r="C1439" s="22" t="s">
        <v>5926</v>
      </c>
      <c r="D1439" s="22" t="s">
        <v>5927</v>
      </c>
      <c r="E1439" s="22" t="s">
        <v>5928</v>
      </c>
      <c r="F1439" s="22" t="n">
        <v>15</v>
      </c>
      <c r="G1439" s="26" t="n">
        <v>219.1</v>
      </c>
      <c r="H1439" s="26" t="n">
        <v>241.23</v>
      </c>
      <c r="I1439" s="26" t="n">
        <v>263.36</v>
      </c>
      <c r="J1439" s="26" t="n">
        <v>279.96</v>
      </c>
      <c r="K1439" s="26" t="n">
        <v>296.56</v>
      </c>
      <c r="L1439" s="26" t="n">
        <v>2.56</v>
      </c>
      <c r="M1439" s="27" t="n">
        <v>0.005</v>
      </c>
      <c r="N1439" s="27" t="n">
        <v>0.002</v>
      </c>
      <c r="O1439" s="26" t="n">
        <v>5</v>
      </c>
      <c r="P1439" s="26" t="n">
        <v>5</v>
      </c>
      <c r="Q1439" s="28" t="n">
        <v>100</v>
      </c>
      <c r="R1439" s="26" t="n">
        <v>30</v>
      </c>
      <c r="S1439" s="26" t="n">
        <v>0</v>
      </c>
      <c r="T1439" s="28" t="n">
        <v>1</v>
      </c>
      <c r="U1439" s="26" t="n">
        <v>0</v>
      </c>
      <c r="V1439" s="26" t="n">
        <v>0</v>
      </c>
      <c r="W1439" s="22" t="s">
        <v>21</v>
      </c>
      <c r="X1439" s="22" t="s">
        <v>373</v>
      </c>
    </row>
    <row r="1440" customFormat="false" ht="15" hidden="false" customHeight="false" outlineLevel="0" collapsed="false">
      <c r="A1440" s="22" t="s">
        <v>5929</v>
      </c>
      <c r="B1440" s="22" t="s">
        <v>21</v>
      </c>
      <c r="C1440" s="22" t="s">
        <v>5930</v>
      </c>
      <c r="D1440" s="22" t="s">
        <v>5931</v>
      </c>
      <c r="E1440" s="22" t="s">
        <v>5932</v>
      </c>
      <c r="F1440" s="22" t="n">
        <v>15</v>
      </c>
      <c r="G1440" s="26" t="n">
        <v>219.1</v>
      </c>
      <c r="H1440" s="26" t="n">
        <v>241.23</v>
      </c>
      <c r="I1440" s="26" t="n">
        <v>263.36</v>
      </c>
      <c r="J1440" s="26" t="n">
        <v>279.96</v>
      </c>
      <c r="K1440" s="26" t="n">
        <v>296.56</v>
      </c>
      <c r="L1440" s="26" t="n">
        <v>2.56</v>
      </c>
      <c r="M1440" s="27" t="n">
        <v>0.005</v>
      </c>
      <c r="N1440" s="27" t="n">
        <v>0.002</v>
      </c>
      <c r="O1440" s="26" t="n">
        <v>5</v>
      </c>
      <c r="P1440" s="26" t="n">
        <v>5</v>
      </c>
      <c r="Q1440" s="28" t="n">
        <v>100</v>
      </c>
      <c r="R1440" s="26" t="n">
        <v>30</v>
      </c>
      <c r="S1440" s="26" t="n">
        <v>0</v>
      </c>
      <c r="T1440" s="28" t="n">
        <v>1</v>
      </c>
      <c r="U1440" s="26" t="n">
        <v>0</v>
      </c>
      <c r="V1440" s="26" t="n">
        <v>0</v>
      </c>
      <c r="W1440" s="22" t="s">
        <v>21</v>
      </c>
      <c r="X1440" s="22" t="s">
        <v>373</v>
      </c>
    </row>
    <row r="1441" customFormat="false" ht="15" hidden="false" customHeight="false" outlineLevel="0" collapsed="false">
      <c r="A1441" s="22" t="s">
        <v>5933</v>
      </c>
      <c r="B1441" s="22" t="s">
        <v>21</v>
      </c>
      <c r="C1441" s="22" t="s">
        <v>5934</v>
      </c>
      <c r="D1441" s="22" t="s">
        <v>5935</v>
      </c>
      <c r="E1441" s="22" t="s">
        <v>5936</v>
      </c>
      <c r="F1441" s="22" t="n">
        <v>15</v>
      </c>
      <c r="G1441" s="26" t="n">
        <v>219.1</v>
      </c>
      <c r="H1441" s="26" t="n">
        <v>241.23</v>
      </c>
      <c r="I1441" s="26" t="n">
        <v>263.36</v>
      </c>
      <c r="J1441" s="26" t="n">
        <v>279.96</v>
      </c>
      <c r="K1441" s="26" t="n">
        <v>296.56</v>
      </c>
      <c r="L1441" s="26" t="n">
        <v>2.56</v>
      </c>
      <c r="M1441" s="27" t="n">
        <v>0.005</v>
      </c>
      <c r="N1441" s="27" t="n">
        <v>0.002</v>
      </c>
      <c r="O1441" s="26" t="n">
        <v>5</v>
      </c>
      <c r="P1441" s="26" t="n">
        <v>5</v>
      </c>
      <c r="Q1441" s="28" t="n">
        <v>100</v>
      </c>
      <c r="R1441" s="26" t="n">
        <v>30</v>
      </c>
      <c r="S1441" s="26" t="n">
        <v>0</v>
      </c>
      <c r="T1441" s="28" t="n">
        <v>1</v>
      </c>
      <c r="U1441" s="26" t="n">
        <v>0</v>
      </c>
      <c r="V1441" s="26" t="n">
        <v>400</v>
      </c>
      <c r="W1441" s="22" t="s">
        <v>21</v>
      </c>
      <c r="X1441" s="22" t="s">
        <v>373</v>
      </c>
    </row>
    <row r="1442" customFormat="false" ht="15" hidden="false" customHeight="false" outlineLevel="0" collapsed="false">
      <c r="A1442" s="22" t="s">
        <v>5937</v>
      </c>
      <c r="B1442" s="22" t="s">
        <v>21</v>
      </c>
      <c r="C1442" s="22" t="s">
        <v>5938</v>
      </c>
      <c r="D1442" s="22" t="s">
        <v>5939</v>
      </c>
      <c r="E1442" s="22" t="s">
        <v>5940</v>
      </c>
      <c r="F1442" s="22" t="n">
        <v>15</v>
      </c>
      <c r="G1442" s="26" t="n">
        <v>219.1</v>
      </c>
      <c r="H1442" s="26" t="n">
        <v>241.23</v>
      </c>
      <c r="I1442" s="26" t="n">
        <v>263.36</v>
      </c>
      <c r="J1442" s="26" t="n">
        <v>279.96</v>
      </c>
      <c r="K1442" s="26" t="n">
        <v>296.56</v>
      </c>
      <c r="L1442" s="26" t="n">
        <v>2.56</v>
      </c>
      <c r="M1442" s="27" t="n">
        <v>0.005</v>
      </c>
      <c r="N1442" s="27" t="n">
        <v>0.002</v>
      </c>
      <c r="O1442" s="26" t="n">
        <v>5</v>
      </c>
      <c r="P1442" s="26" t="n">
        <v>5</v>
      </c>
      <c r="Q1442" s="28" t="n">
        <v>100</v>
      </c>
      <c r="R1442" s="26" t="n">
        <v>30</v>
      </c>
      <c r="S1442" s="26" t="n">
        <v>0</v>
      </c>
      <c r="T1442" s="28" t="n">
        <v>1</v>
      </c>
      <c r="U1442" s="26" t="n">
        <v>0</v>
      </c>
      <c r="V1442" s="26" t="n">
        <v>0</v>
      </c>
      <c r="W1442" s="22" t="s">
        <v>21</v>
      </c>
      <c r="X1442" s="22" t="s">
        <v>373</v>
      </c>
    </row>
    <row r="1443" customFormat="false" ht="15" hidden="false" customHeight="false" outlineLevel="0" collapsed="false">
      <c r="A1443" s="22" t="s">
        <v>5941</v>
      </c>
      <c r="B1443" s="22" t="s">
        <v>21</v>
      </c>
      <c r="C1443" s="22" t="s">
        <v>5942</v>
      </c>
      <c r="D1443" s="22" t="s">
        <v>5943</v>
      </c>
      <c r="E1443" s="22" t="s">
        <v>5944</v>
      </c>
      <c r="F1443" s="22" t="n">
        <v>15</v>
      </c>
      <c r="G1443" s="26" t="n">
        <v>219.1</v>
      </c>
      <c r="H1443" s="26" t="n">
        <v>241.23</v>
      </c>
      <c r="I1443" s="26" t="n">
        <v>263.36</v>
      </c>
      <c r="J1443" s="26" t="n">
        <v>279.96</v>
      </c>
      <c r="K1443" s="26" t="n">
        <v>296.56</v>
      </c>
      <c r="L1443" s="26" t="n">
        <v>2.56</v>
      </c>
      <c r="M1443" s="27" t="n">
        <v>0.005</v>
      </c>
      <c r="N1443" s="27" t="n">
        <v>0.002</v>
      </c>
      <c r="O1443" s="26" t="n">
        <v>5</v>
      </c>
      <c r="P1443" s="26" t="n">
        <v>5</v>
      </c>
      <c r="Q1443" s="28" t="n">
        <v>100</v>
      </c>
      <c r="R1443" s="26" t="n">
        <v>30</v>
      </c>
      <c r="S1443" s="26" t="n">
        <v>0</v>
      </c>
      <c r="T1443" s="28" t="n">
        <v>1</v>
      </c>
      <c r="U1443" s="26" t="n">
        <v>0</v>
      </c>
      <c r="V1443" s="26" t="n">
        <v>0</v>
      </c>
      <c r="W1443" s="22" t="s">
        <v>21</v>
      </c>
      <c r="X1443" s="22" t="s">
        <v>373</v>
      </c>
    </row>
    <row r="1444" customFormat="false" ht="15" hidden="false" customHeight="false" outlineLevel="0" collapsed="false">
      <c r="A1444" s="22" t="s">
        <v>5945</v>
      </c>
      <c r="B1444" s="22" t="s">
        <v>21</v>
      </c>
      <c r="C1444" s="22" t="s">
        <v>5946</v>
      </c>
      <c r="D1444" s="22" t="s">
        <v>5947</v>
      </c>
      <c r="E1444" s="22" t="s">
        <v>5948</v>
      </c>
      <c r="F1444" s="22" t="n">
        <v>15</v>
      </c>
      <c r="G1444" s="26" t="n">
        <v>219.1</v>
      </c>
      <c r="H1444" s="26" t="n">
        <v>241.23</v>
      </c>
      <c r="I1444" s="26" t="n">
        <v>263.36</v>
      </c>
      <c r="J1444" s="26" t="n">
        <v>279.96</v>
      </c>
      <c r="K1444" s="26" t="n">
        <v>296.56</v>
      </c>
      <c r="L1444" s="26" t="n">
        <v>2.56</v>
      </c>
      <c r="M1444" s="27" t="n">
        <v>0.005</v>
      </c>
      <c r="N1444" s="27" t="n">
        <v>0.002</v>
      </c>
      <c r="O1444" s="26" t="n">
        <v>5</v>
      </c>
      <c r="P1444" s="26" t="n">
        <v>5</v>
      </c>
      <c r="Q1444" s="28" t="n">
        <v>100</v>
      </c>
      <c r="R1444" s="26" t="n">
        <v>30</v>
      </c>
      <c r="S1444" s="26" t="n">
        <v>0</v>
      </c>
      <c r="T1444" s="28" t="n">
        <v>1</v>
      </c>
      <c r="U1444" s="26" t="n">
        <v>0</v>
      </c>
      <c r="V1444" s="26" t="n">
        <v>0</v>
      </c>
      <c r="W1444" s="22" t="s">
        <v>21</v>
      </c>
      <c r="X1444" s="22" t="s">
        <v>373</v>
      </c>
    </row>
    <row r="1445" customFormat="false" ht="15" hidden="false" customHeight="false" outlineLevel="0" collapsed="false">
      <c r="A1445" s="22" t="s">
        <v>5949</v>
      </c>
      <c r="B1445" s="22" t="s">
        <v>21</v>
      </c>
      <c r="C1445" s="22" t="s">
        <v>5950</v>
      </c>
      <c r="D1445" s="22" t="s">
        <v>5951</v>
      </c>
      <c r="E1445" s="22" t="s">
        <v>5952</v>
      </c>
      <c r="F1445" s="22" t="n">
        <v>15</v>
      </c>
      <c r="G1445" s="26" t="n">
        <v>219.1</v>
      </c>
      <c r="H1445" s="26" t="n">
        <v>241.23</v>
      </c>
      <c r="I1445" s="26" t="n">
        <v>263.36</v>
      </c>
      <c r="J1445" s="26" t="n">
        <v>279.96</v>
      </c>
      <c r="K1445" s="26" t="n">
        <v>296.56</v>
      </c>
      <c r="L1445" s="26" t="n">
        <v>2.56</v>
      </c>
      <c r="M1445" s="27" t="n">
        <v>0.005</v>
      </c>
      <c r="N1445" s="27" t="n">
        <v>0.002</v>
      </c>
      <c r="O1445" s="26" t="n">
        <v>5</v>
      </c>
      <c r="P1445" s="26" t="n">
        <v>5</v>
      </c>
      <c r="Q1445" s="28" t="n">
        <v>100</v>
      </c>
      <c r="R1445" s="26" t="n">
        <v>30</v>
      </c>
      <c r="S1445" s="26" t="n">
        <v>0</v>
      </c>
      <c r="T1445" s="28" t="n">
        <v>1</v>
      </c>
      <c r="U1445" s="26" t="n">
        <v>0</v>
      </c>
      <c r="V1445" s="26" t="n">
        <v>400</v>
      </c>
      <c r="W1445" s="22" t="s">
        <v>21</v>
      </c>
      <c r="X1445" s="22" t="s">
        <v>373</v>
      </c>
    </row>
    <row r="1446" customFormat="false" ht="15" hidden="false" customHeight="false" outlineLevel="0" collapsed="false">
      <c r="A1446" s="22" t="s">
        <v>5953</v>
      </c>
      <c r="B1446" s="22" t="s">
        <v>21</v>
      </c>
      <c r="C1446" s="22" t="s">
        <v>5954</v>
      </c>
      <c r="D1446" s="22" t="s">
        <v>5955</v>
      </c>
      <c r="E1446" s="22" t="s">
        <v>5956</v>
      </c>
      <c r="F1446" s="22" t="n">
        <v>15</v>
      </c>
      <c r="G1446" s="26" t="n">
        <v>219.1</v>
      </c>
      <c r="H1446" s="26" t="n">
        <v>241.23</v>
      </c>
      <c r="I1446" s="26" t="n">
        <v>263.36</v>
      </c>
      <c r="J1446" s="26" t="n">
        <v>279.96</v>
      </c>
      <c r="K1446" s="26" t="n">
        <v>296.56</v>
      </c>
      <c r="L1446" s="26" t="n">
        <v>2.56</v>
      </c>
      <c r="M1446" s="27" t="n">
        <v>0.005</v>
      </c>
      <c r="N1446" s="27" t="n">
        <v>0.002</v>
      </c>
      <c r="O1446" s="26" t="n">
        <v>5</v>
      </c>
      <c r="P1446" s="26" t="n">
        <v>5</v>
      </c>
      <c r="Q1446" s="28" t="n">
        <v>100</v>
      </c>
      <c r="R1446" s="26" t="n">
        <v>30</v>
      </c>
      <c r="S1446" s="26" t="n">
        <v>0</v>
      </c>
      <c r="T1446" s="28" t="n">
        <v>1</v>
      </c>
      <c r="U1446" s="26" t="n">
        <v>0</v>
      </c>
      <c r="V1446" s="26" t="n">
        <v>0</v>
      </c>
      <c r="W1446" s="22" t="s">
        <v>21</v>
      </c>
      <c r="X1446" s="22" t="s">
        <v>373</v>
      </c>
    </row>
    <row r="1447" customFormat="false" ht="15" hidden="false" customHeight="false" outlineLevel="0" collapsed="false">
      <c r="A1447" s="22" t="s">
        <v>5957</v>
      </c>
      <c r="B1447" s="22" t="s">
        <v>21</v>
      </c>
      <c r="C1447" s="22" t="s">
        <v>5958</v>
      </c>
      <c r="D1447" s="22" t="s">
        <v>5959</v>
      </c>
      <c r="E1447" s="22" t="s">
        <v>5960</v>
      </c>
      <c r="F1447" s="22" t="n">
        <v>15</v>
      </c>
      <c r="G1447" s="26" t="n">
        <v>219.1</v>
      </c>
      <c r="H1447" s="26" t="n">
        <v>241.23</v>
      </c>
      <c r="I1447" s="26" t="n">
        <v>263.36</v>
      </c>
      <c r="J1447" s="26" t="n">
        <v>279.96</v>
      </c>
      <c r="K1447" s="26" t="n">
        <v>296.56</v>
      </c>
      <c r="L1447" s="26" t="n">
        <v>2.56</v>
      </c>
      <c r="M1447" s="27" t="n">
        <v>0.005</v>
      </c>
      <c r="N1447" s="27" t="n">
        <v>0.002</v>
      </c>
      <c r="O1447" s="26" t="n">
        <v>5</v>
      </c>
      <c r="P1447" s="26" t="n">
        <v>5</v>
      </c>
      <c r="Q1447" s="28" t="n">
        <v>100</v>
      </c>
      <c r="R1447" s="26" t="n">
        <v>30</v>
      </c>
      <c r="S1447" s="26" t="n">
        <v>0</v>
      </c>
      <c r="T1447" s="28" t="n">
        <v>1</v>
      </c>
      <c r="U1447" s="26" t="n">
        <v>0</v>
      </c>
      <c r="V1447" s="26" t="n">
        <v>400</v>
      </c>
      <c r="W1447" s="22" t="s">
        <v>21</v>
      </c>
      <c r="X1447" s="22" t="s">
        <v>373</v>
      </c>
    </row>
    <row r="1448" customFormat="false" ht="15" hidden="false" customHeight="false" outlineLevel="0" collapsed="false">
      <c r="A1448" s="22" t="s">
        <v>5961</v>
      </c>
      <c r="B1448" s="22" t="s">
        <v>21</v>
      </c>
      <c r="C1448" s="22" t="s">
        <v>179</v>
      </c>
      <c r="D1448" s="22" t="s">
        <v>5962</v>
      </c>
      <c r="E1448" s="22" t="s">
        <v>5963</v>
      </c>
      <c r="F1448" s="22" t="n">
        <v>15</v>
      </c>
      <c r="G1448" s="26" t="n">
        <v>219.1</v>
      </c>
      <c r="H1448" s="26" t="n">
        <v>241.23</v>
      </c>
      <c r="I1448" s="26" t="n">
        <v>263.36</v>
      </c>
      <c r="J1448" s="26" t="n">
        <v>279.96</v>
      </c>
      <c r="K1448" s="26" t="n">
        <v>296.56</v>
      </c>
      <c r="L1448" s="26" t="n">
        <v>2.56</v>
      </c>
      <c r="M1448" s="27" t="n">
        <v>0.005</v>
      </c>
      <c r="N1448" s="27" t="n">
        <v>0.002</v>
      </c>
      <c r="O1448" s="26" t="n">
        <v>5</v>
      </c>
      <c r="P1448" s="26" t="n">
        <v>5</v>
      </c>
      <c r="Q1448" s="28" t="n">
        <v>100</v>
      </c>
      <c r="R1448" s="26" t="n">
        <v>30</v>
      </c>
      <c r="S1448" s="26" t="n">
        <v>0</v>
      </c>
      <c r="T1448" s="28" t="n">
        <v>1</v>
      </c>
      <c r="U1448" s="26" t="n">
        <v>0</v>
      </c>
      <c r="V1448" s="26" t="n">
        <v>400</v>
      </c>
      <c r="W1448" s="22" t="s">
        <v>21</v>
      </c>
      <c r="X1448" s="22" t="s">
        <v>373</v>
      </c>
    </row>
    <row r="1449" customFormat="false" ht="15" hidden="false" customHeight="false" outlineLevel="0" collapsed="false">
      <c r="A1449" s="22" t="s">
        <v>5964</v>
      </c>
      <c r="B1449" s="22" t="s">
        <v>21</v>
      </c>
      <c r="C1449" s="22" t="s">
        <v>5965</v>
      </c>
      <c r="D1449" s="22" t="s">
        <v>5966</v>
      </c>
      <c r="E1449" s="22" t="s">
        <v>5967</v>
      </c>
      <c r="F1449" s="22" t="n">
        <v>15</v>
      </c>
      <c r="G1449" s="26" t="n">
        <v>219.1</v>
      </c>
      <c r="H1449" s="26" t="n">
        <v>241.23</v>
      </c>
      <c r="I1449" s="26" t="n">
        <v>263.36</v>
      </c>
      <c r="J1449" s="26" t="n">
        <v>279.96</v>
      </c>
      <c r="K1449" s="26" t="n">
        <v>296.56</v>
      </c>
      <c r="L1449" s="26" t="n">
        <v>2.56</v>
      </c>
      <c r="M1449" s="27" t="n">
        <v>0.005</v>
      </c>
      <c r="N1449" s="27" t="n">
        <v>0.002</v>
      </c>
      <c r="O1449" s="26" t="n">
        <v>5</v>
      </c>
      <c r="P1449" s="26" t="n">
        <v>5</v>
      </c>
      <c r="Q1449" s="28" t="n">
        <v>100</v>
      </c>
      <c r="R1449" s="26" t="n">
        <v>30</v>
      </c>
      <c r="S1449" s="26" t="n">
        <v>0</v>
      </c>
      <c r="T1449" s="28" t="n">
        <v>1</v>
      </c>
      <c r="U1449" s="26" t="n">
        <v>0</v>
      </c>
      <c r="V1449" s="26" t="n">
        <v>0</v>
      </c>
      <c r="W1449" s="22" t="s">
        <v>21</v>
      </c>
      <c r="X1449" s="22" t="s">
        <v>373</v>
      </c>
    </row>
    <row r="1450" customFormat="false" ht="15" hidden="false" customHeight="false" outlineLevel="0" collapsed="false">
      <c r="A1450" s="22" t="s">
        <v>5968</v>
      </c>
      <c r="B1450" s="22" t="s">
        <v>21</v>
      </c>
      <c r="C1450" s="22" t="s">
        <v>5969</v>
      </c>
      <c r="D1450" s="22" t="s">
        <v>5970</v>
      </c>
      <c r="E1450" s="22" t="s">
        <v>5971</v>
      </c>
      <c r="F1450" s="22" t="n">
        <v>15</v>
      </c>
      <c r="G1450" s="26" t="n">
        <v>219.1</v>
      </c>
      <c r="H1450" s="26" t="n">
        <v>241.23</v>
      </c>
      <c r="I1450" s="26" t="n">
        <v>263.36</v>
      </c>
      <c r="J1450" s="26" t="n">
        <v>279.96</v>
      </c>
      <c r="K1450" s="26" t="n">
        <v>296.56</v>
      </c>
      <c r="L1450" s="26" t="n">
        <v>2.56</v>
      </c>
      <c r="M1450" s="27" t="n">
        <v>0.005</v>
      </c>
      <c r="N1450" s="27" t="n">
        <v>0.002</v>
      </c>
      <c r="O1450" s="26" t="n">
        <v>5</v>
      </c>
      <c r="P1450" s="26" t="n">
        <v>5</v>
      </c>
      <c r="Q1450" s="28" t="n">
        <v>100</v>
      </c>
      <c r="R1450" s="26" t="n">
        <v>30</v>
      </c>
      <c r="S1450" s="26" t="n">
        <v>0</v>
      </c>
      <c r="T1450" s="28" t="n">
        <v>1</v>
      </c>
      <c r="U1450" s="26" t="n">
        <v>0</v>
      </c>
      <c r="V1450" s="26" t="n">
        <v>0</v>
      </c>
      <c r="W1450" s="22" t="s">
        <v>21</v>
      </c>
      <c r="X1450" s="22" t="s">
        <v>373</v>
      </c>
    </row>
    <row r="1451" customFormat="false" ht="15" hidden="false" customHeight="false" outlineLevel="0" collapsed="false">
      <c r="A1451" s="22" t="s">
        <v>5972</v>
      </c>
      <c r="B1451" s="22" t="s">
        <v>21</v>
      </c>
      <c r="C1451" s="22" t="s">
        <v>5973</v>
      </c>
      <c r="D1451" s="22" t="s">
        <v>5974</v>
      </c>
      <c r="E1451" s="22" t="s">
        <v>5975</v>
      </c>
      <c r="F1451" s="22" t="n">
        <v>15</v>
      </c>
      <c r="G1451" s="26" t="n">
        <v>219.1</v>
      </c>
      <c r="H1451" s="26" t="n">
        <v>241.23</v>
      </c>
      <c r="I1451" s="26" t="n">
        <v>263.36</v>
      </c>
      <c r="J1451" s="26" t="n">
        <v>279.96</v>
      </c>
      <c r="K1451" s="26" t="n">
        <v>296.56</v>
      </c>
      <c r="L1451" s="26" t="n">
        <v>2.56</v>
      </c>
      <c r="M1451" s="27" t="n">
        <v>0.005</v>
      </c>
      <c r="N1451" s="27" t="n">
        <v>0.002</v>
      </c>
      <c r="O1451" s="26" t="n">
        <v>5</v>
      </c>
      <c r="P1451" s="26" t="n">
        <v>5</v>
      </c>
      <c r="Q1451" s="28" t="n">
        <v>100</v>
      </c>
      <c r="R1451" s="26" t="n">
        <v>30</v>
      </c>
      <c r="S1451" s="26" t="n">
        <v>0</v>
      </c>
      <c r="T1451" s="28" t="n">
        <v>1</v>
      </c>
      <c r="U1451" s="26" t="n">
        <v>0</v>
      </c>
      <c r="V1451" s="26" t="n">
        <v>0</v>
      </c>
      <c r="W1451" s="22" t="s">
        <v>21</v>
      </c>
      <c r="X1451" s="22" t="s">
        <v>373</v>
      </c>
    </row>
    <row r="1452" customFormat="false" ht="15" hidden="false" customHeight="false" outlineLevel="0" collapsed="false">
      <c r="A1452" s="22" t="s">
        <v>5976</v>
      </c>
      <c r="B1452" s="22" t="s">
        <v>21</v>
      </c>
      <c r="C1452" s="22" t="s">
        <v>5977</v>
      </c>
      <c r="D1452" s="22" t="s">
        <v>5978</v>
      </c>
      <c r="E1452" s="22" t="s">
        <v>5979</v>
      </c>
      <c r="F1452" s="22" t="n">
        <v>15</v>
      </c>
      <c r="G1452" s="26" t="n">
        <v>219.1</v>
      </c>
      <c r="H1452" s="26" t="n">
        <v>241.23</v>
      </c>
      <c r="I1452" s="26" t="n">
        <v>263.36</v>
      </c>
      <c r="J1452" s="26" t="n">
        <v>279.96</v>
      </c>
      <c r="K1452" s="26" t="n">
        <v>296.56</v>
      </c>
      <c r="L1452" s="26" t="n">
        <v>2.56</v>
      </c>
      <c r="M1452" s="27" t="n">
        <v>0.005</v>
      </c>
      <c r="N1452" s="27" t="n">
        <v>0.002</v>
      </c>
      <c r="O1452" s="26" t="n">
        <v>5</v>
      </c>
      <c r="P1452" s="26" t="n">
        <v>5</v>
      </c>
      <c r="Q1452" s="28" t="n">
        <v>100</v>
      </c>
      <c r="R1452" s="26" t="n">
        <v>30</v>
      </c>
      <c r="S1452" s="26" t="n">
        <v>0</v>
      </c>
      <c r="T1452" s="28" t="n">
        <v>1</v>
      </c>
      <c r="U1452" s="26" t="n">
        <v>0</v>
      </c>
      <c r="V1452" s="26" t="n">
        <v>0</v>
      </c>
      <c r="W1452" s="22" t="s">
        <v>21</v>
      </c>
      <c r="X1452" s="22" t="s">
        <v>373</v>
      </c>
    </row>
    <row r="1453" customFormat="false" ht="15" hidden="false" customHeight="false" outlineLevel="0" collapsed="false">
      <c r="A1453" s="22" t="s">
        <v>5980</v>
      </c>
      <c r="B1453" s="22" t="s">
        <v>21</v>
      </c>
      <c r="C1453" s="22" t="s">
        <v>5981</v>
      </c>
      <c r="D1453" s="22" t="s">
        <v>5982</v>
      </c>
      <c r="E1453" s="22" t="s">
        <v>5983</v>
      </c>
      <c r="F1453" s="22" t="n">
        <v>15</v>
      </c>
      <c r="G1453" s="26" t="n">
        <v>219.1</v>
      </c>
      <c r="H1453" s="26" t="n">
        <v>241.23</v>
      </c>
      <c r="I1453" s="26" t="n">
        <v>263.36</v>
      </c>
      <c r="J1453" s="26" t="n">
        <v>279.96</v>
      </c>
      <c r="K1453" s="26" t="n">
        <v>296.56</v>
      </c>
      <c r="L1453" s="26" t="n">
        <v>2.56</v>
      </c>
      <c r="M1453" s="27" t="n">
        <v>0.005</v>
      </c>
      <c r="N1453" s="27" t="n">
        <v>0.002</v>
      </c>
      <c r="O1453" s="26" t="n">
        <v>5</v>
      </c>
      <c r="P1453" s="26" t="n">
        <v>5</v>
      </c>
      <c r="Q1453" s="28" t="n">
        <v>100</v>
      </c>
      <c r="R1453" s="26" t="n">
        <v>30</v>
      </c>
      <c r="S1453" s="26" t="n">
        <v>0</v>
      </c>
      <c r="T1453" s="28" t="n">
        <v>1</v>
      </c>
      <c r="U1453" s="26" t="n">
        <v>0</v>
      </c>
      <c r="V1453" s="26" t="n">
        <v>0</v>
      </c>
      <c r="W1453" s="22" t="s">
        <v>21</v>
      </c>
      <c r="X1453" s="22" t="s">
        <v>373</v>
      </c>
    </row>
    <row r="1454" customFormat="false" ht="15" hidden="false" customHeight="false" outlineLevel="0" collapsed="false">
      <c r="A1454" s="22" t="s">
        <v>5984</v>
      </c>
      <c r="B1454" s="22" t="s">
        <v>21</v>
      </c>
      <c r="C1454" s="22" t="s">
        <v>5985</v>
      </c>
      <c r="D1454" s="22" t="s">
        <v>5986</v>
      </c>
      <c r="E1454" s="22" t="s">
        <v>5987</v>
      </c>
      <c r="F1454" s="22" t="n">
        <v>15</v>
      </c>
      <c r="G1454" s="26" t="n">
        <v>219.1</v>
      </c>
      <c r="H1454" s="26" t="n">
        <v>241.23</v>
      </c>
      <c r="I1454" s="26" t="n">
        <v>263.36</v>
      </c>
      <c r="J1454" s="26" t="n">
        <v>279.96</v>
      </c>
      <c r="K1454" s="26" t="n">
        <v>296.56</v>
      </c>
      <c r="L1454" s="26" t="n">
        <v>2.56</v>
      </c>
      <c r="M1454" s="27" t="n">
        <v>0.005</v>
      </c>
      <c r="N1454" s="27" t="n">
        <v>0.002</v>
      </c>
      <c r="O1454" s="26" t="n">
        <v>5</v>
      </c>
      <c r="P1454" s="26" t="n">
        <v>5</v>
      </c>
      <c r="Q1454" s="28" t="n">
        <v>100</v>
      </c>
      <c r="R1454" s="26" t="n">
        <v>30</v>
      </c>
      <c r="S1454" s="26" t="n">
        <v>0</v>
      </c>
      <c r="T1454" s="28" t="n">
        <v>1</v>
      </c>
      <c r="U1454" s="26" t="n">
        <v>0</v>
      </c>
      <c r="V1454" s="26" t="n">
        <v>0</v>
      </c>
      <c r="W1454" s="22" t="s">
        <v>21</v>
      </c>
      <c r="X1454" s="22" t="s">
        <v>373</v>
      </c>
    </row>
    <row r="1455" customFormat="false" ht="15" hidden="false" customHeight="false" outlineLevel="0" collapsed="false">
      <c r="A1455" s="22" t="s">
        <v>5988</v>
      </c>
      <c r="B1455" s="22" t="s">
        <v>21</v>
      </c>
      <c r="C1455" s="22" t="s">
        <v>5989</v>
      </c>
      <c r="D1455" s="22" t="s">
        <v>5990</v>
      </c>
      <c r="E1455" s="22" t="s">
        <v>5991</v>
      </c>
      <c r="F1455" s="22" t="n">
        <v>15</v>
      </c>
      <c r="G1455" s="26" t="n">
        <v>219.1</v>
      </c>
      <c r="H1455" s="26" t="n">
        <v>241.23</v>
      </c>
      <c r="I1455" s="26" t="n">
        <v>263.36</v>
      </c>
      <c r="J1455" s="26" t="n">
        <v>279.96</v>
      </c>
      <c r="K1455" s="26" t="n">
        <v>296.56</v>
      </c>
      <c r="L1455" s="26" t="n">
        <v>2.56</v>
      </c>
      <c r="M1455" s="27" t="n">
        <v>0.005</v>
      </c>
      <c r="N1455" s="27" t="n">
        <v>0.002</v>
      </c>
      <c r="O1455" s="26" t="n">
        <v>5</v>
      </c>
      <c r="P1455" s="26" t="n">
        <v>5</v>
      </c>
      <c r="Q1455" s="28" t="n">
        <v>100</v>
      </c>
      <c r="R1455" s="26" t="n">
        <v>30</v>
      </c>
      <c r="S1455" s="26" t="n">
        <v>0</v>
      </c>
      <c r="T1455" s="28" t="n">
        <v>1</v>
      </c>
      <c r="U1455" s="26" t="n">
        <v>0</v>
      </c>
      <c r="V1455" s="26" t="n">
        <v>400</v>
      </c>
      <c r="W1455" s="22" t="s">
        <v>21</v>
      </c>
      <c r="X1455" s="22" t="s">
        <v>373</v>
      </c>
    </row>
    <row r="1456" customFormat="false" ht="15" hidden="false" customHeight="false" outlineLevel="0" collapsed="false">
      <c r="A1456" s="22" t="s">
        <v>5992</v>
      </c>
      <c r="B1456" s="22" t="s">
        <v>21</v>
      </c>
      <c r="C1456" s="22" t="s">
        <v>5993</v>
      </c>
      <c r="D1456" s="22" t="s">
        <v>5994</v>
      </c>
      <c r="E1456" s="22" t="s">
        <v>5995</v>
      </c>
      <c r="F1456" s="22" t="n">
        <v>15</v>
      </c>
      <c r="G1456" s="26" t="n">
        <v>219.1</v>
      </c>
      <c r="H1456" s="26" t="n">
        <v>241.23</v>
      </c>
      <c r="I1456" s="26" t="n">
        <v>263.36</v>
      </c>
      <c r="J1456" s="26" t="n">
        <v>279.96</v>
      </c>
      <c r="K1456" s="26" t="n">
        <v>296.56</v>
      </c>
      <c r="L1456" s="26" t="n">
        <v>2.56</v>
      </c>
      <c r="M1456" s="27" t="n">
        <v>0.005</v>
      </c>
      <c r="N1456" s="27" t="n">
        <v>0.002</v>
      </c>
      <c r="O1456" s="26" t="n">
        <v>5</v>
      </c>
      <c r="P1456" s="26" t="n">
        <v>5</v>
      </c>
      <c r="Q1456" s="28" t="n">
        <v>100</v>
      </c>
      <c r="R1456" s="26" t="n">
        <v>30</v>
      </c>
      <c r="S1456" s="26" t="n">
        <v>0</v>
      </c>
      <c r="T1456" s="28" t="n">
        <v>1</v>
      </c>
      <c r="U1456" s="26" t="n">
        <v>0</v>
      </c>
      <c r="V1456" s="26" t="n">
        <v>0</v>
      </c>
      <c r="W1456" s="22" t="s">
        <v>21</v>
      </c>
      <c r="X1456" s="22" t="s">
        <v>373</v>
      </c>
    </row>
    <row r="1457" customFormat="false" ht="15" hidden="false" customHeight="false" outlineLevel="0" collapsed="false">
      <c r="A1457" s="22" t="s">
        <v>5996</v>
      </c>
      <c r="B1457" s="22" t="s">
        <v>21</v>
      </c>
      <c r="C1457" s="22" t="s">
        <v>5997</v>
      </c>
      <c r="D1457" s="22" t="s">
        <v>5998</v>
      </c>
      <c r="E1457" s="22" t="s">
        <v>5999</v>
      </c>
      <c r="F1457" s="22" t="n">
        <v>15</v>
      </c>
      <c r="G1457" s="26" t="n">
        <v>219.1</v>
      </c>
      <c r="H1457" s="26" t="n">
        <v>241.23</v>
      </c>
      <c r="I1457" s="26" t="n">
        <v>263.36</v>
      </c>
      <c r="J1457" s="26" t="n">
        <v>279.96</v>
      </c>
      <c r="K1457" s="26" t="n">
        <v>296.56</v>
      </c>
      <c r="L1457" s="26" t="n">
        <v>2.56</v>
      </c>
      <c r="M1457" s="27" t="n">
        <v>0.005</v>
      </c>
      <c r="N1457" s="27" t="n">
        <v>0.002</v>
      </c>
      <c r="O1457" s="26" t="n">
        <v>5</v>
      </c>
      <c r="P1457" s="26" t="n">
        <v>5</v>
      </c>
      <c r="Q1457" s="28" t="n">
        <v>100</v>
      </c>
      <c r="R1457" s="26" t="n">
        <v>30</v>
      </c>
      <c r="S1457" s="26" t="n">
        <v>0</v>
      </c>
      <c r="T1457" s="28" t="n">
        <v>1</v>
      </c>
      <c r="U1457" s="26" t="n">
        <v>0</v>
      </c>
      <c r="V1457" s="26" t="n">
        <v>400</v>
      </c>
      <c r="W1457" s="22" t="s">
        <v>21</v>
      </c>
      <c r="X1457" s="22" t="s">
        <v>373</v>
      </c>
    </row>
    <row r="1458" customFormat="false" ht="15" hidden="false" customHeight="false" outlineLevel="0" collapsed="false">
      <c r="A1458" s="22" t="s">
        <v>6000</v>
      </c>
      <c r="B1458" s="22" t="s">
        <v>21</v>
      </c>
      <c r="C1458" s="22" t="s">
        <v>6001</v>
      </c>
      <c r="D1458" s="22" t="s">
        <v>6002</v>
      </c>
      <c r="E1458" s="22" t="s">
        <v>6003</v>
      </c>
      <c r="F1458" s="22" t="n">
        <v>15</v>
      </c>
      <c r="G1458" s="26" t="n">
        <v>219.1</v>
      </c>
      <c r="H1458" s="26" t="n">
        <v>241.23</v>
      </c>
      <c r="I1458" s="26" t="n">
        <v>263.36</v>
      </c>
      <c r="J1458" s="26" t="n">
        <v>279.96</v>
      </c>
      <c r="K1458" s="26" t="n">
        <v>296.56</v>
      </c>
      <c r="L1458" s="26" t="n">
        <v>2.56</v>
      </c>
      <c r="M1458" s="27" t="n">
        <v>0.005</v>
      </c>
      <c r="N1458" s="27" t="n">
        <v>0.002</v>
      </c>
      <c r="O1458" s="26" t="n">
        <v>5</v>
      </c>
      <c r="P1458" s="26" t="n">
        <v>5</v>
      </c>
      <c r="Q1458" s="28" t="n">
        <v>100</v>
      </c>
      <c r="R1458" s="26" t="n">
        <v>30</v>
      </c>
      <c r="S1458" s="26" t="n">
        <v>0</v>
      </c>
      <c r="T1458" s="28" t="n">
        <v>1</v>
      </c>
      <c r="U1458" s="26" t="n">
        <v>0</v>
      </c>
      <c r="V1458" s="26" t="n">
        <v>0</v>
      </c>
      <c r="W1458" s="22" t="s">
        <v>21</v>
      </c>
      <c r="X1458" s="22" t="s">
        <v>373</v>
      </c>
    </row>
    <row r="1459" customFormat="false" ht="15" hidden="false" customHeight="false" outlineLevel="0" collapsed="false">
      <c r="A1459" s="22" t="s">
        <v>6004</v>
      </c>
      <c r="B1459" s="22" t="s">
        <v>21</v>
      </c>
      <c r="C1459" s="22" t="s">
        <v>6005</v>
      </c>
      <c r="D1459" s="22" t="s">
        <v>6006</v>
      </c>
      <c r="E1459" s="22" t="s">
        <v>6007</v>
      </c>
      <c r="F1459" s="22" t="n">
        <v>15</v>
      </c>
      <c r="G1459" s="26" t="n">
        <v>219.1</v>
      </c>
      <c r="H1459" s="26" t="n">
        <v>241.23</v>
      </c>
      <c r="I1459" s="26" t="n">
        <v>263.36</v>
      </c>
      <c r="J1459" s="26" t="n">
        <v>279.96</v>
      </c>
      <c r="K1459" s="26" t="n">
        <v>296.56</v>
      </c>
      <c r="L1459" s="26" t="n">
        <v>2.56</v>
      </c>
      <c r="M1459" s="27" t="n">
        <v>0.005</v>
      </c>
      <c r="N1459" s="27" t="n">
        <v>0.002</v>
      </c>
      <c r="O1459" s="26" t="n">
        <v>5</v>
      </c>
      <c r="P1459" s="26" t="n">
        <v>5</v>
      </c>
      <c r="Q1459" s="28" t="n">
        <v>100</v>
      </c>
      <c r="R1459" s="26" t="n">
        <v>30</v>
      </c>
      <c r="S1459" s="26" t="n">
        <v>0</v>
      </c>
      <c r="T1459" s="28" t="n">
        <v>1</v>
      </c>
      <c r="U1459" s="26" t="n">
        <v>0</v>
      </c>
      <c r="V1459" s="26" t="n">
        <v>0</v>
      </c>
      <c r="W1459" s="22" t="s">
        <v>21</v>
      </c>
      <c r="X1459" s="22" t="s">
        <v>373</v>
      </c>
    </row>
    <row r="1460" customFormat="false" ht="15" hidden="false" customHeight="false" outlineLevel="0" collapsed="false">
      <c r="A1460" s="22" t="s">
        <v>6008</v>
      </c>
      <c r="B1460" s="22" t="s">
        <v>21</v>
      </c>
      <c r="C1460" s="22" t="s">
        <v>6009</v>
      </c>
      <c r="D1460" s="22" t="s">
        <v>6010</v>
      </c>
      <c r="E1460" s="22" t="s">
        <v>6011</v>
      </c>
      <c r="F1460" s="22" t="n">
        <v>15</v>
      </c>
      <c r="G1460" s="26" t="n">
        <v>219.1</v>
      </c>
      <c r="H1460" s="26" t="n">
        <v>241.23</v>
      </c>
      <c r="I1460" s="26" t="n">
        <v>263.36</v>
      </c>
      <c r="J1460" s="26" t="n">
        <v>279.96</v>
      </c>
      <c r="K1460" s="26" t="n">
        <v>296.56</v>
      </c>
      <c r="L1460" s="26" t="n">
        <v>2.56</v>
      </c>
      <c r="M1460" s="27" t="n">
        <v>0.005</v>
      </c>
      <c r="N1460" s="27" t="n">
        <v>0.002</v>
      </c>
      <c r="O1460" s="26" t="n">
        <v>5</v>
      </c>
      <c r="P1460" s="26" t="n">
        <v>5</v>
      </c>
      <c r="Q1460" s="28" t="n">
        <v>100</v>
      </c>
      <c r="R1460" s="26" t="n">
        <v>30</v>
      </c>
      <c r="S1460" s="26" t="n">
        <v>0</v>
      </c>
      <c r="T1460" s="28" t="n">
        <v>1</v>
      </c>
      <c r="U1460" s="26" t="n">
        <v>0</v>
      </c>
      <c r="V1460" s="26" t="n">
        <v>0</v>
      </c>
      <c r="W1460" s="22" t="s">
        <v>21</v>
      </c>
      <c r="X1460" s="22" t="s">
        <v>373</v>
      </c>
    </row>
    <row r="1461" customFormat="false" ht="15" hidden="false" customHeight="false" outlineLevel="0" collapsed="false">
      <c r="A1461" s="22" t="s">
        <v>6012</v>
      </c>
      <c r="B1461" s="22" t="s">
        <v>21</v>
      </c>
      <c r="C1461" s="22" t="s">
        <v>6013</v>
      </c>
      <c r="D1461" s="22" t="s">
        <v>6014</v>
      </c>
      <c r="E1461" s="22" t="s">
        <v>6015</v>
      </c>
      <c r="F1461" s="22" t="n">
        <v>15</v>
      </c>
      <c r="G1461" s="26" t="n">
        <v>219.1</v>
      </c>
      <c r="H1461" s="26" t="n">
        <v>241.23</v>
      </c>
      <c r="I1461" s="26" t="n">
        <v>263.36</v>
      </c>
      <c r="J1461" s="26" t="n">
        <v>279.96</v>
      </c>
      <c r="K1461" s="26" t="n">
        <v>296.56</v>
      </c>
      <c r="L1461" s="26" t="n">
        <v>2.56</v>
      </c>
      <c r="M1461" s="27" t="n">
        <v>0.005</v>
      </c>
      <c r="N1461" s="27" t="n">
        <v>0.002</v>
      </c>
      <c r="O1461" s="26" t="n">
        <v>5</v>
      </c>
      <c r="P1461" s="26" t="n">
        <v>5</v>
      </c>
      <c r="Q1461" s="28" t="n">
        <v>100</v>
      </c>
      <c r="R1461" s="26" t="n">
        <v>30</v>
      </c>
      <c r="S1461" s="26" t="n">
        <v>0</v>
      </c>
      <c r="T1461" s="28" t="n">
        <v>1</v>
      </c>
      <c r="U1461" s="26" t="n">
        <v>0</v>
      </c>
      <c r="V1461" s="26" t="n">
        <v>0</v>
      </c>
      <c r="W1461" s="22" t="s">
        <v>21</v>
      </c>
      <c r="X1461" s="22" t="s">
        <v>373</v>
      </c>
    </row>
    <row r="1462" customFormat="false" ht="15" hidden="false" customHeight="false" outlineLevel="0" collapsed="false">
      <c r="A1462" s="22" t="s">
        <v>6016</v>
      </c>
      <c r="B1462" s="22" t="s">
        <v>21</v>
      </c>
      <c r="C1462" s="22" t="s">
        <v>6017</v>
      </c>
      <c r="D1462" s="22" t="s">
        <v>6018</v>
      </c>
      <c r="E1462" s="22" t="s">
        <v>6019</v>
      </c>
      <c r="F1462" s="22" t="n">
        <v>15</v>
      </c>
      <c r="G1462" s="26" t="n">
        <v>219.1</v>
      </c>
      <c r="H1462" s="26" t="n">
        <v>241.23</v>
      </c>
      <c r="I1462" s="26" t="n">
        <v>263.36</v>
      </c>
      <c r="J1462" s="26" t="n">
        <v>279.96</v>
      </c>
      <c r="K1462" s="26" t="n">
        <v>296.56</v>
      </c>
      <c r="L1462" s="26" t="n">
        <v>2.56</v>
      </c>
      <c r="M1462" s="27" t="n">
        <v>0.005</v>
      </c>
      <c r="N1462" s="27" t="n">
        <v>0.002</v>
      </c>
      <c r="O1462" s="26" t="n">
        <v>5</v>
      </c>
      <c r="P1462" s="26" t="n">
        <v>5</v>
      </c>
      <c r="Q1462" s="28" t="n">
        <v>100</v>
      </c>
      <c r="R1462" s="26" t="n">
        <v>30</v>
      </c>
      <c r="S1462" s="26" t="n">
        <v>0</v>
      </c>
      <c r="T1462" s="28" t="n">
        <v>1</v>
      </c>
      <c r="U1462" s="26" t="n">
        <v>0</v>
      </c>
      <c r="V1462" s="26" t="n">
        <v>0</v>
      </c>
      <c r="W1462" s="22" t="s">
        <v>21</v>
      </c>
      <c r="X1462" s="22" t="s">
        <v>373</v>
      </c>
    </row>
    <row r="1463" customFormat="false" ht="15" hidden="false" customHeight="false" outlineLevel="0" collapsed="false">
      <c r="A1463" s="22" t="s">
        <v>6020</v>
      </c>
      <c r="B1463" s="22" t="s">
        <v>21</v>
      </c>
      <c r="C1463" s="22" t="s">
        <v>6021</v>
      </c>
      <c r="D1463" s="22" t="s">
        <v>6022</v>
      </c>
      <c r="E1463" s="22" t="s">
        <v>6023</v>
      </c>
      <c r="F1463" s="22" t="n">
        <v>15</v>
      </c>
      <c r="G1463" s="26" t="n">
        <v>219.1</v>
      </c>
      <c r="H1463" s="26" t="n">
        <v>241.23</v>
      </c>
      <c r="I1463" s="26" t="n">
        <v>263.36</v>
      </c>
      <c r="J1463" s="26" t="n">
        <v>279.96</v>
      </c>
      <c r="K1463" s="26" t="n">
        <v>296.56</v>
      </c>
      <c r="L1463" s="26" t="n">
        <v>2.56</v>
      </c>
      <c r="M1463" s="27" t="n">
        <v>0.005</v>
      </c>
      <c r="N1463" s="27" t="n">
        <v>0.002</v>
      </c>
      <c r="O1463" s="26" t="n">
        <v>5</v>
      </c>
      <c r="P1463" s="26" t="n">
        <v>5</v>
      </c>
      <c r="Q1463" s="28" t="n">
        <v>100</v>
      </c>
      <c r="R1463" s="26" t="n">
        <v>30</v>
      </c>
      <c r="S1463" s="26" t="n">
        <v>0</v>
      </c>
      <c r="T1463" s="28" t="n">
        <v>1</v>
      </c>
      <c r="U1463" s="26" t="n">
        <v>0</v>
      </c>
      <c r="V1463" s="26" t="n">
        <v>0</v>
      </c>
      <c r="W1463" s="22" t="s">
        <v>21</v>
      </c>
      <c r="X1463" s="22" t="s">
        <v>373</v>
      </c>
    </row>
    <row r="1464" customFormat="false" ht="15" hidden="false" customHeight="false" outlineLevel="0" collapsed="false">
      <c r="A1464" s="22" t="s">
        <v>6024</v>
      </c>
      <c r="B1464" s="22" t="s">
        <v>21</v>
      </c>
      <c r="C1464" s="22" t="s">
        <v>6025</v>
      </c>
      <c r="D1464" s="22" t="s">
        <v>6026</v>
      </c>
      <c r="E1464" s="22" t="s">
        <v>6027</v>
      </c>
      <c r="F1464" s="22" t="n">
        <v>15</v>
      </c>
      <c r="G1464" s="26" t="n">
        <v>219.1</v>
      </c>
      <c r="H1464" s="26" t="n">
        <v>241.23</v>
      </c>
      <c r="I1464" s="26" t="n">
        <v>263.36</v>
      </c>
      <c r="J1464" s="26" t="n">
        <v>279.96</v>
      </c>
      <c r="K1464" s="26" t="n">
        <v>296.56</v>
      </c>
      <c r="L1464" s="26" t="n">
        <v>2.56</v>
      </c>
      <c r="M1464" s="27" t="n">
        <v>0.005</v>
      </c>
      <c r="N1464" s="27" t="n">
        <v>0.002</v>
      </c>
      <c r="O1464" s="26" t="n">
        <v>5</v>
      </c>
      <c r="P1464" s="26" t="n">
        <v>5</v>
      </c>
      <c r="Q1464" s="28" t="n">
        <v>100</v>
      </c>
      <c r="R1464" s="26" t="n">
        <v>30</v>
      </c>
      <c r="S1464" s="26" t="n">
        <v>0</v>
      </c>
      <c r="T1464" s="28" t="n">
        <v>1</v>
      </c>
      <c r="U1464" s="26" t="n">
        <v>0</v>
      </c>
      <c r="V1464" s="26" t="n">
        <v>0</v>
      </c>
      <c r="W1464" s="22" t="s">
        <v>21</v>
      </c>
      <c r="X1464" s="22" t="s">
        <v>373</v>
      </c>
    </row>
    <row r="1465" customFormat="false" ht="15" hidden="false" customHeight="false" outlineLevel="0" collapsed="false">
      <c r="A1465" s="22" t="s">
        <v>6028</v>
      </c>
      <c r="B1465" s="22" t="s">
        <v>21</v>
      </c>
      <c r="C1465" s="22" t="s">
        <v>6029</v>
      </c>
      <c r="D1465" s="22" t="s">
        <v>6030</v>
      </c>
      <c r="E1465" s="22" t="s">
        <v>6031</v>
      </c>
      <c r="F1465" s="22" t="n">
        <v>15</v>
      </c>
      <c r="G1465" s="26" t="n">
        <v>219.1</v>
      </c>
      <c r="H1465" s="26" t="n">
        <v>241.23</v>
      </c>
      <c r="I1465" s="26" t="n">
        <v>263.36</v>
      </c>
      <c r="J1465" s="26" t="n">
        <v>279.96</v>
      </c>
      <c r="K1465" s="26" t="n">
        <v>296.56</v>
      </c>
      <c r="L1465" s="26" t="n">
        <v>2.56</v>
      </c>
      <c r="M1465" s="27" t="n">
        <v>0.005</v>
      </c>
      <c r="N1465" s="27" t="n">
        <v>0.002</v>
      </c>
      <c r="O1465" s="26" t="n">
        <v>5</v>
      </c>
      <c r="P1465" s="26" t="n">
        <v>5</v>
      </c>
      <c r="Q1465" s="28" t="n">
        <v>100</v>
      </c>
      <c r="R1465" s="26" t="n">
        <v>30</v>
      </c>
      <c r="S1465" s="26" t="n">
        <v>0</v>
      </c>
      <c r="T1465" s="28" t="n">
        <v>1</v>
      </c>
      <c r="U1465" s="26" t="n">
        <v>0</v>
      </c>
      <c r="V1465" s="26" t="n">
        <v>0</v>
      </c>
      <c r="W1465" s="22" t="s">
        <v>21</v>
      </c>
      <c r="X1465" s="22" t="s">
        <v>373</v>
      </c>
    </row>
    <row r="1466" customFormat="false" ht="15" hidden="false" customHeight="false" outlineLevel="0" collapsed="false">
      <c r="A1466" s="22" t="s">
        <v>6032</v>
      </c>
      <c r="B1466" s="22" t="s">
        <v>21</v>
      </c>
      <c r="C1466" s="22" t="s">
        <v>6033</v>
      </c>
      <c r="D1466" s="22" t="s">
        <v>6034</v>
      </c>
      <c r="E1466" s="22" t="s">
        <v>6035</v>
      </c>
      <c r="F1466" s="22" t="n">
        <v>15</v>
      </c>
      <c r="G1466" s="26" t="n">
        <v>219.1</v>
      </c>
      <c r="H1466" s="26" t="n">
        <v>241.23</v>
      </c>
      <c r="I1466" s="26" t="n">
        <v>263.36</v>
      </c>
      <c r="J1466" s="26" t="n">
        <v>279.96</v>
      </c>
      <c r="K1466" s="26" t="n">
        <v>296.56</v>
      </c>
      <c r="L1466" s="26" t="n">
        <v>2.56</v>
      </c>
      <c r="M1466" s="27" t="n">
        <v>0.005</v>
      </c>
      <c r="N1466" s="27" t="n">
        <v>0.002</v>
      </c>
      <c r="O1466" s="26" t="n">
        <v>5</v>
      </c>
      <c r="P1466" s="26" t="n">
        <v>5</v>
      </c>
      <c r="Q1466" s="28" t="n">
        <v>100</v>
      </c>
      <c r="R1466" s="26" t="n">
        <v>30</v>
      </c>
      <c r="S1466" s="26" t="n">
        <v>0</v>
      </c>
      <c r="T1466" s="28" t="n">
        <v>1</v>
      </c>
      <c r="U1466" s="26" t="n">
        <v>0</v>
      </c>
      <c r="V1466" s="26" t="n">
        <v>0</v>
      </c>
      <c r="W1466" s="22" t="s">
        <v>21</v>
      </c>
      <c r="X1466" s="22" t="s">
        <v>373</v>
      </c>
    </row>
    <row r="1467" customFormat="false" ht="15" hidden="false" customHeight="false" outlineLevel="0" collapsed="false">
      <c r="A1467" s="22" t="s">
        <v>6036</v>
      </c>
      <c r="B1467" s="22" t="s">
        <v>21</v>
      </c>
      <c r="C1467" s="22" t="s">
        <v>6037</v>
      </c>
      <c r="D1467" s="22" t="s">
        <v>6038</v>
      </c>
      <c r="E1467" s="22" t="s">
        <v>6039</v>
      </c>
      <c r="F1467" s="22" t="n">
        <v>15</v>
      </c>
      <c r="G1467" s="26" t="n">
        <v>219.1</v>
      </c>
      <c r="H1467" s="26" t="n">
        <v>241.23</v>
      </c>
      <c r="I1467" s="26" t="n">
        <v>263.36</v>
      </c>
      <c r="J1467" s="26" t="n">
        <v>279.96</v>
      </c>
      <c r="K1467" s="26" t="n">
        <v>296.56</v>
      </c>
      <c r="L1467" s="26" t="n">
        <v>2.56</v>
      </c>
      <c r="M1467" s="27" t="n">
        <v>0.005</v>
      </c>
      <c r="N1467" s="27" t="n">
        <v>0.002</v>
      </c>
      <c r="O1467" s="26" t="n">
        <v>5</v>
      </c>
      <c r="P1467" s="26" t="n">
        <v>5</v>
      </c>
      <c r="Q1467" s="28" t="n">
        <v>100</v>
      </c>
      <c r="R1467" s="26" t="n">
        <v>30</v>
      </c>
      <c r="S1467" s="26" t="n">
        <v>0</v>
      </c>
      <c r="T1467" s="28" t="n">
        <v>1</v>
      </c>
      <c r="U1467" s="26" t="n">
        <v>0</v>
      </c>
      <c r="V1467" s="26" t="n">
        <v>0</v>
      </c>
      <c r="W1467" s="22" t="s">
        <v>21</v>
      </c>
      <c r="X1467" s="22" t="s">
        <v>373</v>
      </c>
    </row>
    <row r="1468" customFormat="false" ht="15" hidden="false" customHeight="false" outlineLevel="0" collapsed="false">
      <c r="A1468" s="22" t="s">
        <v>6040</v>
      </c>
      <c r="B1468" s="22" t="s">
        <v>21</v>
      </c>
      <c r="C1468" s="22" t="s">
        <v>6041</v>
      </c>
      <c r="D1468" s="22" t="s">
        <v>6042</v>
      </c>
      <c r="E1468" s="22" t="s">
        <v>6043</v>
      </c>
      <c r="F1468" s="22" t="n">
        <v>15</v>
      </c>
      <c r="G1468" s="26" t="n">
        <v>219.1</v>
      </c>
      <c r="H1468" s="26" t="n">
        <v>241.23</v>
      </c>
      <c r="I1468" s="26" t="n">
        <v>263.36</v>
      </c>
      <c r="J1468" s="26" t="n">
        <v>279.96</v>
      </c>
      <c r="K1468" s="26" t="n">
        <v>296.56</v>
      </c>
      <c r="L1468" s="26" t="n">
        <v>2.56</v>
      </c>
      <c r="M1468" s="27" t="n">
        <v>0.005</v>
      </c>
      <c r="N1468" s="27" t="n">
        <v>0.002</v>
      </c>
      <c r="O1468" s="26" t="n">
        <v>5</v>
      </c>
      <c r="P1468" s="26" t="n">
        <v>5</v>
      </c>
      <c r="Q1468" s="28" t="n">
        <v>100</v>
      </c>
      <c r="R1468" s="26" t="n">
        <v>30</v>
      </c>
      <c r="S1468" s="26" t="n">
        <v>0</v>
      </c>
      <c r="T1468" s="28" t="n">
        <v>1</v>
      </c>
      <c r="U1468" s="26" t="n">
        <v>0</v>
      </c>
      <c r="V1468" s="26" t="n">
        <v>0</v>
      </c>
      <c r="W1468" s="22" t="s">
        <v>21</v>
      </c>
      <c r="X1468" s="22" t="s">
        <v>373</v>
      </c>
    </row>
    <row r="1469" customFormat="false" ht="15" hidden="false" customHeight="false" outlineLevel="0" collapsed="false">
      <c r="A1469" s="22" t="s">
        <v>6044</v>
      </c>
      <c r="B1469" s="22" t="s">
        <v>21</v>
      </c>
      <c r="C1469" s="22" t="s">
        <v>6045</v>
      </c>
      <c r="D1469" s="22" t="s">
        <v>6046</v>
      </c>
      <c r="E1469" s="22" t="s">
        <v>6047</v>
      </c>
      <c r="F1469" s="22" t="n">
        <v>15</v>
      </c>
      <c r="G1469" s="26" t="n">
        <v>219.1</v>
      </c>
      <c r="H1469" s="26" t="n">
        <v>241.23</v>
      </c>
      <c r="I1469" s="26" t="n">
        <v>263.36</v>
      </c>
      <c r="J1469" s="26" t="n">
        <v>279.96</v>
      </c>
      <c r="K1469" s="26" t="n">
        <v>296.56</v>
      </c>
      <c r="L1469" s="26" t="n">
        <v>2.56</v>
      </c>
      <c r="M1469" s="27" t="n">
        <v>0.005</v>
      </c>
      <c r="N1469" s="27" t="n">
        <v>0.002</v>
      </c>
      <c r="O1469" s="26" t="n">
        <v>5</v>
      </c>
      <c r="P1469" s="26" t="n">
        <v>5</v>
      </c>
      <c r="Q1469" s="28" t="n">
        <v>100</v>
      </c>
      <c r="R1469" s="26" t="n">
        <v>30</v>
      </c>
      <c r="S1469" s="26" t="n">
        <v>0</v>
      </c>
      <c r="T1469" s="28" t="n">
        <v>1</v>
      </c>
      <c r="U1469" s="26" t="n">
        <v>0</v>
      </c>
      <c r="V1469" s="26" t="n">
        <v>0</v>
      </c>
      <c r="W1469" s="22" t="s">
        <v>21</v>
      </c>
      <c r="X1469" s="22" t="s">
        <v>373</v>
      </c>
    </row>
    <row r="1470" customFormat="false" ht="15" hidden="false" customHeight="false" outlineLevel="0" collapsed="false">
      <c r="A1470" s="22" t="s">
        <v>6048</v>
      </c>
      <c r="B1470" s="22" t="s">
        <v>21</v>
      </c>
      <c r="C1470" s="22" t="s">
        <v>6049</v>
      </c>
      <c r="D1470" s="22" t="s">
        <v>6050</v>
      </c>
      <c r="E1470" s="22" t="s">
        <v>6051</v>
      </c>
      <c r="F1470" s="22" t="n">
        <v>15</v>
      </c>
      <c r="G1470" s="26" t="n">
        <v>219.1</v>
      </c>
      <c r="H1470" s="26" t="n">
        <v>241.23</v>
      </c>
      <c r="I1470" s="26" t="n">
        <v>263.36</v>
      </c>
      <c r="J1470" s="26" t="n">
        <v>279.96</v>
      </c>
      <c r="K1470" s="26" t="n">
        <v>296.56</v>
      </c>
      <c r="L1470" s="26" t="n">
        <v>2.56</v>
      </c>
      <c r="M1470" s="27" t="n">
        <v>0.005</v>
      </c>
      <c r="N1470" s="27" t="n">
        <v>0.002</v>
      </c>
      <c r="O1470" s="26" t="n">
        <v>5</v>
      </c>
      <c r="P1470" s="26" t="n">
        <v>5</v>
      </c>
      <c r="Q1470" s="28" t="n">
        <v>100</v>
      </c>
      <c r="R1470" s="26" t="n">
        <v>30</v>
      </c>
      <c r="S1470" s="26" t="n">
        <v>0</v>
      </c>
      <c r="T1470" s="28" t="n">
        <v>1</v>
      </c>
      <c r="U1470" s="26" t="n">
        <v>0</v>
      </c>
      <c r="V1470" s="26" t="n">
        <v>0</v>
      </c>
      <c r="W1470" s="22" t="s">
        <v>21</v>
      </c>
      <c r="X1470" s="22" t="s">
        <v>373</v>
      </c>
    </row>
    <row r="1471" customFormat="false" ht="15" hidden="false" customHeight="false" outlineLevel="0" collapsed="false">
      <c r="A1471" s="22" t="s">
        <v>6052</v>
      </c>
      <c r="B1471" s="22" t="s">
        <v>21</v>
      </c>
      <c r="C1471" s="22" t="s">
        <v>6053</v>
      </c>
      <c r="D1471" s="22" t="s">
        <v>6054</v>
      </c>
      <c r="E1471" s="22" t="s">
        <v>6055</v>
      </c>
      <c r="F1471" s="22" t="n">
        <v>15</v>
      </c>
      <c r="G1471" s="26" t="n">
        <v>219.1</v>
      </c>
      <c r="H1471" s="26" t="n">
        <v>241.23</v>
      </c>
      <c r="I1471" s="26" t="n">
        <v>263.36</v>
      </c>
      <c r="J1471" s="26" t="n">
        <v>279.96</v>
      </c>
      <c r="K1471" s="26" t="n">
        <v>296.56</v>
      </c>
      <c r="L1471" s="26" t="n">
        <v>2.56</v>
      </c>
      <c r="M1471" s="27" t="n">
        <v>0.005</v>
      </c>
      <c r="N1471" s="27" t="n">
        <v>0.002</v>
      </c>
      <c r="O1471" s="26" t="n">
        <v>5</v>
      </c>
      <c r="P1471" s="26" t="n">
        <v>5</v>
      </c>
      <c r="Q1471" s="28" t="n">
        <v>100</v>
      </c>
      <c r="R1471" s="26" t="n">
        <v>30</v>
      </c>
      <c r="S1471" s="26" t="n">
        <v>0</v>
      </c>
      <c r="T1471" s="28" t="n">
        <v>1</v>
      </c>
      <c r="U1471" s="26" t="n">
        <v>0</v>
      </c>
      <c r="V1471" s="26" t="n">
        <v>400</v>
      </c>
      <c r="W1471" s="22" t="s">
        <v>21</v>
      </c>
      <c r="X1471" s="22" t="s">
        <v>373</v>
      </c>
    </row>
    <row r="1472" customFormat="false" ht="15" hidden="false" customHeight="false" outlineLevel="0" collapsed="false">
      <c r="A1472" s="22" t="s">
        <v>6056</v>
      </c>
      <c r="B1472" s="22" t="s">
        <v>21</v>
      </c>
      <c r="C1472" s="22" t="s">
        <v>5222</v>
      </c>
      <c r="D1472" s="22" t="s">
        <v>6057</v>
      </c>
      <c r="E1472" s="22" t="s">
        <v>6058</v>
      </c>
      <c r="F1472" s="22" t="n">
        <v>15</v>
      </c>
      <c r="G1472" s="26" t="n">
        <v>219.1</v>
      </c>
      <c r="H1472" s="26" t="n">
        <v>241.23</v>
      </c>
      <c r="I1472" s="26" t="n">
        <v>263.36</v>
      </c>
      <c r="J1472" s="26" t="n">
        <v>279.96</v>
      </c>
      <c r="K1472" s="26" t="n">
        <v>296.56</v>
      </c>
      <c r="L1472" s="26" t="n">
        <v>2.56</v>
      </c>
      <c r="M1472" s="27" t="n">
        <v>0.005</v>
      </c>
      <c r="N1472" s="27" t="n">
        <v>0.002</v>
      </c>
      <c r="O1472" s="26" t="n">
        <v>5</v>
      </c>
      <c r="P1472" s="26" t="n">
        <v>5</v>
      </c>
      <c r="Q1472" s="28" t="n">
        <v>100</v>
      </c>
      <c r="R1472" s="26" t="n">
        <v>30</v>
      </c>
      <c r="S1472" s="26" t="n">
        <v>0</v>
      </c>
      <c r="T1472" s="28" t="n">
        <v>1</v>
      </c>
      <c r="U1472" s="26" t="n">
        <v>0</v>
      </c>
      <c r="V1472" s="26" t="n">
        <v>400</v>
      </c>
      <c r="W1472" s="22" t="s">
        <v>21</v>
      </c>
      <c r="X1472" s="22" t="s">
        <v>373</v>
      </c>
    </row>
    <row r="1473" customFormat="false" ht="15" hidden="false" customHeight="false" outlineLevel="0" collapsed="false">
      <c r="A1473" s="22" t="s">
        <v>6059</v>
      </c>
      <c r="B1473" s="22" t="s">
        <v>21</v>
      </c>
      <c r="C1473" s="22" t="s">
        <v>6060</v>
      </c>
      <c r="D1473" s="22" t="s">
        <v>6061</v>
      </c>
      <c r="E1473" s="22" t="s">
        <v>6062</v>
      </c>
      <c r="F1473" s="22" t="n">
        <v>15</v>
      </c>
      <c r="G1473" s="26" t="n">
        <v>219.1</v>
      </c>
      <c r="H1473" s="26" t="n">
        <v>241.23</v>
      </c>
      <c r="I1473" s="26" t="n">
        <v>263.36</v>
      </c>
      <c r="J1473" s="26" t="n">
        <v>279.96</v>
      </c>
      <c r="K1473" s="26" t="n">
        <v>296.56</v>
      </c>
      <c r="L1473" s="26" t="n">
        <v>2.56</v>
      </c>
      <c r="M1473" s="27" t="n">
        <v>0.005</v>
      </c>
      <c r="N1473" s="27" t="n">
        <v>0.002</v>
      </c>
      <c r="O1473" s="26" t="n">
        <v>5</v>
      </c>
      <c r="P1473" s="26" t="n">
        <v>5</v>
      </c>
      <c r="Q1473" s="28" t="n">
        <v>100</v>
      </c>
      <c r="R1473" s="26" t="n">
        <v>30</v>
      </c>
      <c r="S1473" s="26" t="n">
        <v>0</v>
      </c>
      <c r="T1473" s="28" t="n">
        <v>1</v>
      </c>
      <c r="U1473" s="26" t="n">
        <v>0</v>
      </c>
      <c r="V1473" s="26" t="n">
        <v>400</v>
      </c>
      <c r="W1473" s="22" t="s">
        <v>21</v>
      </c>
      <c r="X1473" s="22" t="s">
        <v>373</v>
      </c>
    </row>
    <row r="1474" customFormat="false" ht="15" hidden="false" customHeight="false" outlineLevel="0" collapsed="false">
      <c r="A1474" s="22" t="s">
        <v>6063</v>
      </c>
      <c r="B1474" s="22" t="s">
        <v>21</v>
      </c>
      <c r="C1474" s="22" t="s">
        <v>6064</v>
      </c>
      <c r="D1474" s="22" t="s">
        <v>6065</v>
      </c>
      <c r="E1474" s="22" t="s">
        <v>6066</v>
      </c>
      <c r="F1474" s="22" t="n">
        <v>15</v>
      </c>
      <c r="G1474" s="26" t="n">
        <v>219.1</v>
      </c>
      <c r="H1474" s="26" t="n">
        <v>241.23</v>
      </c>
      <c r="I1474" s="26" t="n">
        <v>263.36</v>
      </c>
      <c r="J1474" s="26" t="n">
        <v>279.96</v>
      </c>
      <c r="K1474" s="26" t="n">
        <v>296.56</v>
      </c>
      <c r="L1474" s="26" t="n">
        <v>2.56</v>
      </c>
      <c r="M1474" s="27" t="n">
        <v>0.005</v>
      </c>
      <c r="N1474" s="27" t="n">
        <v>0.002</v>
      </c>
      <c r="O1474" s="26" t="n">
        <v>5</v>
      </c>
      <c r="P1474" s="26" t="n">
        <v>5</v>
      </c>
      <c r="Q1474" s="28" t="n">
        <v>100</v>
      </c>
      <c r="R1474" s="26" t="n">
        <v>30</v>
      </c>
      <c r="S1474" s="26" t="n">
        <v>0</v>
      </c>
      <c r="T1474" s="28" t="n">
        <v>1</v>
      </c>
      <c r="U1474" s="26" t="n">
        <v>0</v>
      </c>
      <c r="V1474" s="26" t="n">
        <v>0</v>
      </c>
      <c r="W1474" s="22" t="s">
        <v>21</v>
      </c>
      <c r="X1474" s="22" t="s">
        <v>373</v>
      </c>
    </row>
    <row r="1475" customFormat="false" ht="15" hidden="false" customHeight="false" outlineLevel="0" collapsed="false">
      <c r="A1475" s="22" t="s">
        <v>6067</v>
      </c>
      <c r="B1475" s="22" t="s">
        <v>21</v>
      </c>
      <c r="C1475" s="22" t="s">
        <v>6068</v>
      </c>
      <c r="D1475" s="22" t="s">
        <v>6069</v>
      </c>
      <c r="E1475" s="22" t="s">
        <v>6070</v>
      </c>
      <c r="F1475" s="22" t="n">
        <v>15</v>
      </c>
      <c r="G1475" s="26" t="n">
        <v>219.1</v>
      </c>
      <c r="H1475" s="26" t="n">
        <v>241.23</v>
      </c>
      <c r="I1475" s="26" t="n">
        <v>263.36</v>
      </c>
      <c r="J1475" s="26" t="n">
        <v>279.96</v>
      </c>
      <c r="K1475" s="26" t="n">
        <v>296.56</v>
      </c>
      <c r="L1475" s="26" t="n">
        <v>2.56</v>
      </c>
      <c r="M1475" s="27" t="n">
        <v>0.005</v>
      </c>
      <c r="N1475" s="27" t="n">
        <v>0.002</v>
      </c>
      <c r="O1475" s="26" t="n">
        <v>5</v>
      </c>
      <c r="P1475" s="26" t="n">
        <v>5</v>
      </c>
      <c r="Q1475" s="28" t="n">
        <v>100</v>
      </c>
      <c r="R1475" s="26" t="n">
        <v>30</v>
      </c>
      <c r="S1475" s="26" t="n">
        <v>0</v>
      </c>
      <c r="T1475" s="28" t="n">
        <v>1</v>
      </c>
      <c r="U1475" s="26" t="n">
        <v>0</v>
      </c>
      <c r="V1475" s="26" t="n">
        <v>0</v>
      </c>
      <c r="W1475" s="22" t="s">
        <v>21</v>
      </c>
      <c r="X1475" s="22" t="s">
        <v>373</v>
      </c>
    </row>
    <row r="1476" customFormat="false" ht="15" hidden="false" customHeight="false" outlineLevel="0" collapsed="false">
      <c r="A1476" s="22" t="s">
        <v>6071</v>
      </c>
      <c r="B1476" s="22" t="s">
        <v>21</v>
      </c>
      <c r="C1476" s="22" t="s">
        <v>6072</v>
      </c>
      <c r="D1476" s="22" t="s">
        <v>6073</v>
      </c>
      <c r="E1476" s="22" t="s">
        <v>6074</v>
      </c>
      <c r="F1476" s="22" t="n">
        <v>15</v>
      </c>
      <c r="G1476" s="26" t="n">
        <v>219.1</v>
      </c>
      <c r="H1476" s="26" t="n">
        <v>241.23</v>
      </c>
      <c r="I1476" s="26" t="n">
        <v>263.36</v>
      </c>
      <c r="J1476" s="26" t="n">
        <v>279.96</v>
      </c>
      <c r="K1476" s="26" t="n">
        <v>296.56</v>
      </c>
      <c r="L1476" s="26" t="n">
        <v>2.56</v>
      </c>
      <c r="M1476" s="27" t="n">
        <v>0.005</v>
      </c>
      <c r="N1476" s="27" t="n">
        <v>0.002</v>
      </c>
      <c r="O1476" s="26" t="n">
        <v>5</v>
      </c>
      <c r="P1476" s="26" t="n">
        <v>5</v>
      </c>
      <c r="Q1476" s="28" t="n">
        <v>100</v>
      </c>
      <c r="R1476" s="26" t="n">
        <v>30</v>
      </c>
      <c r="S1476" s="26" t="n">
        <v>0</v>
      </c>
      <c r="T1476" s="28" t="n">
        <v>1</v>
      </c>
      <c r="U1476" s="26" t="n">
        <v>0</v>
      </c>
      <c r="V1476" s="26" t="n">
        <v>0</v>
      </c>
      <c r="W1476" s="22" t="s">
        <v>21</v>
      </c>
      <c r="X1476" s="22" t="s">
        <v>373</v>
      </c>
    </row>
    <row r="1477" customFormat="false" ht="15" hidden="false" customHeight="false" outlineLevel="0" collapsed="false">
      <c r="A1477" s="22" t="s">
        <v>6075</v>
      </c>
      <c r="B1477" s="22" t="s">
        <v>21</v>
      </c>
      <c r="C1477" s="22" t="s">
        <v>6076</v>
      </c>
      <c r="D1477" s="22" t="s">
        <v>6077</v>
      </c>
      <c r="E1477" s="22" t="s">
        <v>6078</v>
      </c>
      <c r="F1477" s="22" t="n">
        <v>15</v>
      </c>
      <c r="G1477" s="26" t="n">
        <v>219.1</v>
      </c>
      <c r="H1477" s="26" t="n">
        <v>241.23</v>
      </c>
      <c r="I1477" s="26" t="n">
        <v>263.36</v>
      </c>
      <c r="J1477" s="26" t="n">
        <v>279.96</v>
      </c>
      <c r="K1477" s="26" t="n">
        <v>296.56</v>
      </c>
      <c r="L1477" s="26" t="n">
        <v>2.56</v>
      </c>
      <c r="M1477" s="27" t="n">
        <v>0.005</v>
      </c>
      <c r="N1477" s="27" t="n">
        <v>0.002</v>
      </c>
      <c r="O1477" s="26" t="n">
        <v>5</v>
      </c>
      <c r="P1477" s="26" t="n">
        <v>5</v>
      </c>
      <c r="Q1477" s="28" t="n">
        <v>100</v>
      </c>
      <c r="R1477" s="26" t="n">
        <v>30</v>
      </c>
      <c r="S1477" s="26" t="n">
        <v>0</v>
      </c>
      <c r="T1477" s="28" t="n">
        <v>1</v>
      </c>
      <c r="U1477" s="26" t="n">
        <v>0</v>
      </c>
      <c r="V1477" s="26" t="n">
        <v>0</v>
      </c>
      <c r="W1477" s="22" t="s">
        <v>21</v>
      </c>
      <c r="X1477" s="22" t="s">
        <v>373</v>
      </c>
    </row>
    <row r="1478" customFormat="false" ht="15" hidden="false" customHeight="false" outlineLevel="0" collapsed="false">
      <c r="A1478" s="22" t="s">
        <v>6079</v>
      </c>
      <c r="B1478" s="22" t="s">
        <v>21</v>
      </c>
      <c r="C1478" s="22" t="s">
        <v>6080</v>
      </c>
      <c r="D1478" s="22" t="s">
        <v>6081</v>
      </c>
      <c r="E1478" s="22" t="s">
        <v>6082</v>
      </c>
      <c r="F1478" s="22" t="n">
        <v>15</v>
      </c>
      <c r="G1478" s="26" t="n">
        <v>219.1</v>
      </c>
      <c r="H1478" s="26" t="n">
        <v>241.23</v>
      </c>
      <c r="I1478" s="26" t="n">
        <v>263.36</v>
      </c>
      <c r="J1478" s="26" t="n">
        <v>279.96</v>
      </c>
      <c r="K1478" s="26" t="n">
        <v>296.56</v>
      </c>
      <c r="L1478" s="26" t="n">
        <v>2.56</v>
      </c>
      <c r="M1478" s="27" t="n">
        <v>0.005</v>
      </c>
      <c r="N1478" s="27" t="n">
        <v>0.002</v>
      </c>
      <c r="O1478" s="26" t="n">
        <v>5</v>
      </c>
      <c r="P1478" s="26" t="n">
        <v>5</v>
      </c>
      <c r="Q1478" s="28" t="n">
        <v>100</v>
      </c>
      <c r="R1478" s="26" t="n">
        <v>30</v>
      </c>
      <c r="S1478" s="26" t="n">
        <v>0</v>
      </c>
      <c r="T1478" s="28" t="n">
        <v>1</v>
      </c>
      <c r="U1478" s="26" t="n">
        <v>0</v>
      </c>
      <c r="V1478" s="26" t="n">
        <v>0</v>
      </c>
      <c r="W1478" s="22" t="s">
        <v>21</v>
      </c>
      <c r="X1478" s="22" t="s">
        <v>373</v>
      </c>
    </row>
    <row r="1479" customFormat="false" ht="15" hidden="false" customHeight="false" outlineLevel="0" collapsed="false">
      <c r="A1479" s="22" t="s">
        <v>6083</v>
      </c>
      <c r="B1479" s="22" t="s">
        <v>21</v>
      </c>
      <c r="C1479" s="22" t="s">
        <v>6084</v>
      </c>
      <c r="D1479" s="22" t="s">
        <v>6085</v>
      </c>
      <c r="E1479" s="22" t="s">
        <v>6086</v>
      </c>
      <c r="F1479" s="22" t="n">
        <v>15</v>
      </c>
      <c r="G1479" s="26" t="n">
        <v>219.1</v>
      </c>
      <c r="H1479" s="26" t="n">
        <v>241.23</v>
      </c>
      <c r="I1479" s="26" t="n">
        <v>263.36</v>
      </c>
      <c r="J1479" s="26" t="n">
        <v>279.96</v>
      </c>
      <c r="K1479" s="26" t="n">
        <v>296.56</v>
      </c>
      <c r="L1479" s="26" t="n">
        <v>2.56</v>
      </c>
      <c r="M1479" s="27" t="n">
        <v>0.005</v>
      </c>
      <c r="N1479" s="27" t="n">
        <v>0.002</v>
      </c>
      <c r="O1479" s="26" t="n">
        <v>5</v>
      </c>
      <c r="P1479" s="26" t="n">
        <v>5</v>
      </c>
      <c r="Q1479" s="28" t="n">
        <v>100</v>
      </c>
      <c r="R1479" s="26" t="n">
        <v>30</v>
      </c>
      <c r="S1479" s="26" t="n">
        <v>0</v>
      </c>
      <c r="T1479" s="28" t="n">
        <v>1</v>
      </c>
      <c r="U1479" s="26" t="n">
        <v>0</v>
      </c>
      <c r="V1479" s="26" t="n">
        <v>0</v>
      </c>
      <c r="W1479" s="22" t="s">
        <v>21</v>
      </c>
      <c r="X1479" s="22" t="s">
        <v>373</v>
      </c>
    </row>
    <row r="1480" customFormat="false" ht="15" hidden="false" customHeight="false" outlineLevel="0" collapsed="false">
      <c r="A1480" s="22" t="s">
        <v>6087</v>
      </c>
      <c r="B1480" s="22" t="s">
        <v>21</v>
      </c>
      <c r="C1480" s="22" t="s">
        <v>6088</v>
      </c>
      <c r="D1480" s="22" t="s">
        <v>6089</v>
      </c>
      <c r="E1480" s="22" t="s">
        <v>6090</v>
      </c>
      <c r="F1480" s="22" t="n">
        <v>15</v>
      </c>
      <c r="G1480" s="26" t="n">
        <v>219.1</v>
      </c>
      <c r="H1480" s="26" t="n">
        <v>241.23</v>
      </c>
      <c r="I1480" s="26" t="n">
        <v>263.36</v>
      </c>
      <c r="J1480" s="26" t="n">
        <v>279.96</v>
      </c>
      <c r="K1480" s="26" t="n">
        <v>296.56</v>
      </c>
      <c r="L1480" s="26" t="n">
        <v>2.56</v>
      </c>
      <c r="M1480" s="27" t="n">
        <v>0.005</v>
      </c>
      <c r="N1480" s="27" t="n">
        <v>0.002</v>
      </c>
      <c r="O1480" s="26" t="n">
        <v>5</v>
      </c>
      <c r="P1480" s="26" t="n">
        <v>5</v>
      </c>
      <c r="Q1480" s="28" t="n">
        <v>100</v>
      </c>
      <c r="R1480" s="26" t="n">
        <v>30</v>
      </c>
      <c r="S1480" s="26" t="n">
        <v>0</v>
      </c>
      <c r="T1480" s="28" t="n">
        <v>1</v>
      </c>
      <c r="U1480" s="26" t="n">
        <v>0</v>
      </c>
      <c r="V1480" s="26" t="n">
        <v>0</v>
      </c>
      <c r="W1480" s="22" t="s">
        <v>21</v>
      </c>
      <c r="X1480" s="22" t="s">
        <v>373</v>
      </c>
    </row>
    <row r="1481" customFormat="false" ht="15" hidden="false" customHeight="false" outlineLevel="0" collapsed="false">
      <c r="A1481" s="22" t="s">
        <v>6091</v>
      </c>
      <c r="B1481" s="22" t="s">
        <v>21</v>
      </c>
      <c r="C1481" s="22" t="s">
        <v>6092</v>
      </c>
      <c r="D1481" s="22" t="s">
        <v>6093</v>
      </c>
      <c r="E1481" s="22" t="s">
        <v>6094</v>
      </c>
      <c r="F1481" s="22" t="n">
        <v>15</v>
      </c>
      <c r="G1481" s="26" t="n">
        <v>219.1</v>
      </c>
      <c r="H1481" s="26" t="n">
        <v>241.23</v>
      </c>
      <c r="I1481" s="26" t="n">
        <v>263.36</v>
      </c>
      <c r="J1481" s="26" t="n">
        <v>279.96</v>
      </c>
      <c r="K1481" s="26" t="n">
        <v>296.56</v>
      </c>
      <c r="L1481" s="26" t="n">
        <v>2.56</v>
      </c>
      <c r="M1481" s="27" t="n">
        <v>0.005</v>
      </c>
      <c r="N1481" s="27" t="n">
        <v>0.002</v>
      </c>
      <c r="O1481" s="26" t="n">
        <v>5</v>
      </c>
      <c r="P1481" s="26" t="n">
        <v>5</v>
      </c>
      <c r="Q1481" s="28" t="n">
        <v>100</v>
      </c>
      <c r="R1481" s="26" t="n">
        <v>30</v>
      </c>
      <c r="S1481" s="26" t="n">
        <v>0</v>
      </c>
      <c r="T1481" s="28" t="n">
        <v>1</v>
      </c>
      <c r="U1481" s="26" t="n">
        <v>0</v>
      </c>
      <c r="V1481" s="26" t="n">
        <v>0</v>
      </c>
      <c r="W1481" s="22" t="s">
        <v>21</v>
      </c>
      <c r="X1481" s="22" t="s">
        <v>373</v>
      </c>
    </row>
    <row r="1482" customFormat="false" ht="15" hidden="false" customHeight="false" outlineLevel="0" collapsed="false">
      <c r="A1482" s="22" t="s">
        <v>6095</v>
      </c>
      <c r="B1482" s="22" t="s">
        <v>21</v>
      </c>
      <c r="C1482" s="22" t="s">
        <v>6096</v>
      </c>
      <c r="D1482" s="22" t="s">
        <v>6097</v>
      </c>
      <c r="E1482" s="22" t="s">
        <v>6098</v>
      </c>
      <c r="F1482" s="22" t="n">
        <v>15</v>
      </c>
      <c r="G1482" s="26" t="n">
        <v>219.1</v>
      </c>
      <c r="H1482" s="26" t="n">
        <v>241.23</v>
      </c>
      <c r="I1482" s="26" t="n">
        <v>263.36</v>
      </c>
      <c r="J1482" s="26" t="n">
        <v>279.96</v>
      </c>
      <c r="K1482" s="26" t="n">
        <v>296.56</v>
      </c>
      <c r="L1482" s="26" t="n">
        <v>2.56</v>
      </c>
      <c r="M1482" s="27" t="n">
        <v>0.005</v>
      </c>
      <c r="N1482" s="27" t="n">
        <v>0.002</v>
      </c>
      <c r="O1482" s="26" t="n">
        <v>5</v>
      </c>
      <c r="P1482" s="26" t="n">
        <v>5</v>
      </c>
      <c r="Q1482" s="28" t="n">
        <v>100</v>
      </c>
      <c r="R1482" s="26" t="n">
        <v>30</v>
      </c>
      <c r="S1482" s="26" t="n">
        <v>0</v>
      </c>
      <c r="T1482" s="28" t="n">
        <v>1</v>
      </c>
      <c r="U1482" s="26" t="n">
        <v>0</v>
      </c>
      <c r="V1482" s="26" t="n">
        <v>0</v>
      </c>
      <c r="W1482" s="22" t="s">
        <v>21</v>
      </c>
      <c r="X1482" s="22" t="s">
        <v>373</v>
      </c>
    </row>
    <row r="1483" customFormat="false" ht="15" hidden="false" customHeight="false" outlineLevel="0" collapsed="false">
      <c r="A1483" s="22" t="s">
        <v>6099</v>
      </c>
      <c r="B1483" s="22" t="s">
        <v>21</v>
      </c>
      <c r="C1483" s="22" t="s">
        <v>6100</v>
      </c>
      <c r="D1483" s="22" t="s">
        <v>6101</v>
      </c>
      <c r="E1483" s="22" t="s">
        <v>6102</v>
      </c>
      <c r="F1483" s="22" t="n">
        <v>15</v>
      </c>
      <c r="G1483" s="26" t="n">
        <v>219.1</v>
      </c>
      <c r="H1483" s="26" t="n">
        <v>241.23</v>
      </c>
      <c r="I1483" s="26" t="n">
        <v>263.36</v>
      </c>
      <c r="J1483" s="26" t="n">
        <v>279.96</v>
      </c>
      <c r="K1483" s="26" t="n">
        <v>296.56</v>
      </c>
      <c r="L1483" s="26" t="n">
        <v>2.56</v>
      </c>
      <c r="M1483" s="27" t="n">
        <v>0.005</v>
      </c>
      <c r="N1483" s="27" t="n">
        <v>0.002</v>
      </c>
      <c r="O1483" s="26" t="n">
        <v>5</v>
      </c>
      <c r="P1483" s="26" t="n">
        <v>5</v>
      </c>
      <c r="Q1483" s="28" t="n">
        <v>100</v>
      </c>
      <c r="R1483" s="26" t="n">
        <v>30</v>
      </c>
      <c r="S1483" s="26" t="n">
        <v>0</v>
      </c>
      <c r="T1483" s="28" t="n">
        <v>1</v>
      </c>
      <c r="U1483" s="26" t="n">
        <v>0</v>
      </c>
      <c r="V1483" s="26" t="n">
        <v>400</v>
      </c>
      <c r="W1483" s="22" t="s">
        <v>21</v>
      </c>
      <c r="X1483" s="22" t="s">
        <v>373</v>
      </c>
    </row>
    <row r="1484" customFormat="false" ht="15" hidden="false" customHeight="false" outlineLevel="0" collapsed="false">
      <c r="A1484" s="22" t="s">
        <v>6103</v>
      </c>
      <c r="B1484" s="22" t="s">
        <v>21</v>
      </c>
      <c r="C1484" s="22" t="s">
        <v>6104</v>
      </c>
      <c r="D1484" s="22" t="s">
        <v>6105</v>
      </c>
      <c r="E1484" s="22" t="s">
        <v>6106</v>
      </c>
      <c r="F1484" s="22" t="n">
        <v>15</v>
      </c>
      <c r="G1484" s="26" t="n">
        <v>219.1</v>
      </c>
      <c r="H1484" s="26" t="n">
        <v>241.23</v>
      </c>
      <c r="I1484" s="26" t="n">
        <v>263.36</v>
      </c>
      <c r="J1484" s="26" t="n">
        <v>279.96</v>
      </c>
      <c r="K1484" s="26" t="n">
        <v>296.56</v>
      </c>
      <c r="L1484" s="26" t="n">
        <v>2.56</v>
      </c>
      <c r="M1484" s="27" t="n">
        <v>0.005</v>
      </c>
      <c r="N1484" s="27" t="n">
        <v>0.002</v>
      </c>
      <c r="O1484" s="26" t="n">
        <v>5</v>
      </c>
      <c r="P1484" s="26" t="n">
        <v>5</v>
      </c>
      <c r="Q1484" s="28" t="n">
        <v>100</v>
      </c>
      <c r="R1484" s="26" t="n">
        <v>30</v>
      </c>
      <c r="S1484" s="26" t="n">
        <v>0</v>
      </c>
      <c r="T1484" s="28" t="n">
        <v>1</v>
      </c>
      <c r="U1484" s="26" t="n">
        <v>0</v>
      </c>
      <c r="V1484" s="26" t="n">
        <v>400</v>
      </c>
      <c r="W1484" s="22" t="s">
        <v>21</v>
      </c>
      <c r="X1484" s="22" t="s">
        <v>373</v>
      </c>
    </row>
    <row r="1485" customFormat="false" ht="15" hidden="false" customHeight="false" outlineLevel="0" collapsed="false">
      <c r="A1485" s="22" t="s">
        <v>6107</v>
      </c>
      <c r="B1485" s="22" t="s">
        <v>21</v>
      </c>
      <c r="C1485" s="22" t="s">
        <v>6108</v>
      </c>
      <c r="D1485" s="22" t="s">
        <v>6109</v>
      </c>
      <c r="E1485" s="22" t="s">
        <v>6110</v>
      </c>
      <c r="F1485" s="22" t="n">
        <v>15</v>
      </c>
      <c r="G1485" s="26" t="n">
        <v>219.1</v>
      </c>
      <c r="H1485" s="26" t="n">
        <v>241.23</v>
      </c>
      <c r="I1485" s="26" t="n">
        <v>263.36</v>
      </c>
      <c r="J1485" s="26" t="n">
        <v>279.96</v>
      </c>
      <c r="K1485" s="26" t="n">
        <v>296.56</v>
      </c>
      <c r="L1485" s="26" t="n">
        <v>2.56</v>
      </c>
      <c r="M1485" s="27" t="n">
        <v>0.005</v>
      </c>
      <c r="N1485" s="27" t="n">
        <v>0.002</v>
      </c>
      <c r="O1485" s="26" t="n">
        <v>5</v>
      </c>
      <c r="P1485" s="26" t="n">
        <v>5</v>
      </c>
      <c r="Q1485" s="28" t="n">
        <v>100</v>
      </c>
      <c r="R1485" s="26" t="n">
        <v>30</v>
      </c>
      <c r="S1485" s="26" t="n">
        <v>0</v>
      </c>
      <c r="T1485" s="28" t="n">
        <v>1</v>
      </c>
      <c r="U1485" s="26" t="n">
        <v>0</v>
      </c>
      <c r="V1485" s="26" t="n">
        <v>0</v>
      </c>
      <c r="W1485" s="22" t="s">
        <v>21</v>
      </c>
      <c r="X1485" s="22" t="s">
        <v>373</v>
      </c>
    </row>
    <row r="1486" customFormat="false" ht="15" hidden="false" customHeight="false" outlineLevel="0" collapsed="false">
      <c r="A1486" s="22" t="s">
        <v>6111</v>
      </c>
      <c r="B1486" s="22" t="s">
        <v>21</v>
      </c>
      <c r="C1486" s="22" t="s">
        <v>6112</v>
      </c>
      <c r="D1486" s="22" t="s">
        <v>6113</v>
      </c>
      <c r="E1486" s="22" t="s">
        <v>6114</v>
      </c>
      <c r="F1486" s="22" t="n">
        <v>15</v>
      </c>
      <c r="G1486" s="26" t="n">
        <v>219.1</v>
      </c>
      <c r="H1486" s="26" t="n">
        <v>241.23</v>
      </c>
      <c r="I1486" s="26" t="n">
        <v>263.36</v>
      </c>
      <c r="J1486" s="26" t="n">
        <v>279.96</v>
      </c>
      <c r="K1486" s="26" t="n">
        <v>296.56</v>
      </c>
      <c r="L1486" s="26" t="n">
        <v>2.56</v>
      </c>
      <c r="M1486" s="27" t="n">
        <v>0.005</v>
      </c>
      <c r="N1486" s="27" t="n">
        <v>0.002</v>
      </c>
      <c r="O1486" s="26" t="n">
        <v>5</v>
      </c>
      <c r="P1486" s="26" t="n">
        <v>5</v>
      </c>
      <c r="Q1486" s="28" t="n">
        <v>100</v>
      </c>
      <c r="R1486" s="26" t="n">
        <v>30</v>
      </c>
      <c r="S1486" s="26" t="n">
        <v>0</v>
      </c>
      <c r="T1486" s="28" t="n">
        <v>1</v>
      </c>
      <c r="U1486" s="26" t="n">
        <v>0</v>
      </c>
      <c r="V1486" s="26" t="n">
        <v>0</v>
      </c>
      <c r="W1486" s="22" t="s">
        <v>21</v>
      </c>
      <c r="X1486" s="22" t="s">
        <v>373</v>
      </c>
    </row>
    <row r="1487" customFormat="false" ht="15" hidden="false" customHeight="false" outlineLevel="0" collapsed="false">
      <c r="A1487" s="22" t="s">
        <v>6115</v>
      </c>
      <c r="B1487" s="22" t="s">
        <v>21</v>
      </c>
      <c r="C1487" s="22" t="s">
        <v>6116</v>
      </c>
      <c r="D1487" s="22" t="s">
        <v>6117</v>
      </c>
      <c r="E1487" s="22" t="s">
        <v>6118</v>
      </c>
      <c r="F1487" s="22" t="n">
        <v>15</v>
      </c>
      <c r="G1487" s="26" t="n">
        <v>219.1</v>
      </c>
      <c r="H1487" s="26" t="n">
        <v>241.23</v>
      </c>
      <c r="I1487" s="26" t="n">
        <v>263.36</v>
      </c>
      <c r="J1487" s="26" t="n">
        <v>279.96</v>
      </c>
      <c r="K1487" s="26" t="n">
        <v>296.56</v>
      </c>
      <c r="L1487" s="26" t="n">
        <v>2.56</v>
      </c>
      <c r="M1487" s="27" t="n">
        <v>0.005</v>
      </c>
      <c r="N1487" s="27" t="n">
        <v>0.002</v>
      </c>
      <c r="O1487" s="26" t="n">
        <v>5</v>
      </c>
      <c r="P1487" s="26" t="n">
        <v>5</v>
      </c>
      <c r="Q1487" s="28" t="n">
        <v>100</v>
      </c>
      <c r="R1487" s="26" t="n">
        <v>30</v>
      </c>
      <c r="S1487" s="26" t="n">
        <v>0</v>
      </c>
      <c r="T1487" s="28" t="n">
        <v>1</v>
      </c>
      <c r="U1487" s="26" t="n">
        <v>0</v>
      </c>
      <c r="V1487" s="26" t="n">
        <v>0</v>
      </c>
      <c r="W1487" s="22" t="s">
        <v>21</v>
      </c>
      <c r="X1487" s="22" t="s">
        <v>373</v>
      </c>
    </row>
    <row r="1488" customFormat="false" ht="15" hidden="false" customHeight="false" outlineLevel="0" collapsed="false">
      <c r="A1488" s="22" t="s">
        <v>6119</v>
      </c>
      <c r="B1488" s="22" t="s">
        <v>21</v>
      </c>
      <c r="C1488" s="22" t="s">
        <v>6120</v>
      </c>
      <c r="D1488" s="22" t="s">
        <v>6121</v>
      </c>
      <c r="E1488" s="22" t="s">
        <v>6122</v>
      </c>
      <c r="F1488" s="22" t="n">
        <v>15</v>
      </c>
      <c r="G1488" s="26" t="n">
        <v>219.1</v>
      </c>
      <c r="H1488" s="26" t="n">
        <v>241.23</v>
      </c>
      <c r="I1488" s="26" t="n">
        <v>263.36</v>
      </c>
      <c r="J1488" s="26" t="n">
        <v>279.96</v>
      </c>
      <c r="K1488" s="26" t="n">
        <v>296.56</v>
      </c>
      <c r="L1488" s="26" t="n">
        <v>2.56</v>
      </c>
      <c r="M1488" s="27" t="n">
        <v>0.005</v>
      </c>
      <c r="N1488" s="27" t="n">
        <v>0.002</v>
      </c>
      <c r="O1488" s="26" t="n">
        <v>5</v>
      </c>
      <c r="P1488" s="26" t="n">
        <v>5</v>
      </c>
      <c r="Q1488" s="28" t="n">
        <v>100</v>
      </c>
      <c r="R1488" s="26" t="n">
        <v>30</v>
      </c>
      <c r="S1488" s="26" t="n">
        <v>0</v>
      </c>
      <c r="T1488" s="28" t="n">
        <v>1</v>
      </c>
      <c r="U1488" s="26" t="n">
        <v>0</v>
      </c>
      <c r="V1488" s="26" t="n">
        <v>0</v>
      </c>
      <c r="W1488" s="22" t="s">
        <v>21</v>
      </c>
      <c r="X1488" s="22" t="s">
        <v>373</v>
      </c>
    </row>
    <row r="1489" customFormat="false" ht="15" hidden="false" customHeight="false" outlineLevel="0" collapsed="false">
      <c r="A1489" s="22" t="s">
        <v>6123</v>
      </c>
      <c r="B1489" s="22" t="s">
        <v>21</v>
      </c>
      <c r="C1489" s="22" t="s">
        <v>6124</v>
      </c>
      <c r="D1489" s="22" t="s">
        <v>6125</v>
      </c>
      <c r="E1489" s="22" t="s">
        <v>6126</v>
      </c>
      <c r="F1489" s="22" t="n">
        <v>15</v>
      </c>
      <c r="G1489" s="26" t="n">
        <v>219.1</v>
      </c>
      <c r="H1489" s="26" t="n">
        <v>241.23</v>
      </c>
      <c r="I1489" s="26" t="n">
        <v>263.36</v>
      </c>
      <c r="J1489" s="26" t="n">
        <v>279.96</v>
      </c>
      <c r="K1489" s="26" t="n">
        <v>296.56</v>
      </c>
      <c r="L1489" s="26" t="n">
        <v>2.56</v>
      </c>
      <c r="M1489" s="27" t="n">
        <v>0.005</v>
      </c>
      <c r="N1489" s="27" t="n">
        <v>0.002</v>
      </c>
      <c r="O1489" s="26" t="n">
        <v>5</v>
      </c>
      <c r="P1489" s="26" t="n">
        <v>5</v>
      </c>
      <c r="Q1489" s="28" t="n">
        <v>100</v>
      </c>
      <c r="R1489" s="26" t="n">
        <v>30</v>
      </c>
      <c r="S1489" s="26" t="n">
        <v>0</v>
      </c>
      <c r="T1489" s="28" t="n">
        <v>1</v>
      </c>
      <c r="U1489" s="26" t="n">
        <v>0</v>
      </c>
      <c r="V1489" s="26" t="n">
        <v>0</v>
      </c>
      <c r="W1489" s="22" t="s">
        <v>21</v>
      </c>
      <c r="X1489" s="22" t="s">
        <v>373</v>
      </c>
    </row>
    <row r="1490" customFormat="false" ht="15" hidden="false" customHeight="false" outlineLevel="0" collapsed="false">
      <c r="A1490" s="22" t="s">
        <v>6127</v>
      </c>
      <c r="B1490" s="22" t="s">
        <v>21</v>
      </c>
      <c r="C1490" s="22" t="s">
        <v>6128</v>
      </c>
      <c r="D1490" s="22" t="s">
        <v>6129</v>
      </c>
      <c r="E1490" s="22" t="s">
        <v>6130</v>
      </c>
      <c r="F1490" s="22" t="n">
        <v>15</v>
      </c>
      <c r="G1490" s="26" t="n">
        <v>219.1</v>
      </c>
      <c r="H1490" s="26" t="n">
        <v>241.23</v>
      </c>
      <c r="I1490" s="26" t="n">
        <v>263.36</v>
      </c>
      <c r="J1490" s="26" t="n">
        <v>279.96</v>
      </c>
      <c r="K1490" s="26" t="n">
        <v>296.56</v>
      </c>
      <c r="L1490" s="26" t="n">
        <v>2.56</v>
      </c>
      <c r="M1490" s="27" t="n">
        <v>0.005</v>
      </c>
      <c r="N1490" s="27" t="n">
        <v>0.002</v>
      </c>
      <c r="O1490" s="26" t="n">
        <v>5</v>
      </c>
      <c r="P1490" s="26" t="n">
        <v>5</v>
      </c>
      <c r="Q1490" s="28" t="n">
        <v>100</v>
      </c>
      <c r="R1490" s="26" t="n">
        <v>30</v>
      </c>
      <c r="S1490" s="26" t="n">
        <v>0</v>
      </c>
      <c r="T1490" s="28" t="n">
        <v>1</v>
      </c>
      <c r="U1490" s="26" t="n">
        <v>0</v>
      </c>
      <c r="V1490" s="26" t="n">
        <v>0</v>
      </c>
      <c r="W1490" s="22" t="s">
        <v>21</v>
      </c>
      <c r="X1490" s="22" t="s">
        <v>373</v>
      </c>
    </row>
    <row r="1491" customFormat="false" ht="15" hidden="false" customHeight="false" outlineLevel="0" collapsed="false">
      <c r="A1491" s="22" t="s">
        <v>6131</v>
      </c>
      <c r="B1491" s="29" t="s">
        <v>21</v>
      </c>
      <c r="C1491" s="29" t="s">
        <v>6132</v>
      </c>
      <c r="D1491" s="22" t="s">
        <v>6133</v>
      </c>
      <c r="E1491" s="22" t="s">
        <v>6134</v>
      </c>
      <c r="F1491" s="22" t="n">
        <v>15</v>
      </c>
      <c r="G1491" s="26" t="n">
        <v>101.65</v>
      </c>
      <c r="H1491" s="26" t="n">
        <v>112.67</v>
      </c>
      <c r="I1491" s="26" t="n">
        <v>134.71</v>
      </c>
      <c r="J1491" s="26" t="n">
        <v>145.73</v>
      </c>
      <c r="K1491" s="26" t="n">
        <v>162.25</v>
      </c>
      <c r="L1491" s="26" t="n">
        <v>2.12</v>
      </c>
      <c r="M1491" s="27" t="n">
        <v>0.005</v>
      </c>
      <c r="N1491" s="27" t="n">
        <v>0.002</v>
      </c>
      <c r="O1491" s="26" t="n">
        <v>5</v>
      </c>
      <c r="P1491" s="26" t="n">
        <v>5</v>
      </c>
      <c r="Q1491" s="28" t="n">
        <v>100</v>
      </c>
      <c r="R1491" s="26" t="n">
        <v>30</v>
      </c>
      <c r="S1491" s="26" t="n">
        <v>0</v>
      </c>
      <c r="T1491" s="28" t="n">
        <v>1</v>
      </c>
      <c r="U1491" s="26" t="n">
        <v>0</v>
      </c>
      <c r="V1491" s="26" t="n">
        <v>0</v>
      </c>
      <c r="W1491" s="29" t="s">
        <v>15</v>
      </c>
      <c r="X1491" s="22" t="s">
        <v>373</v>
      </c>
    </row>
    <row r="1492" customFormat="false" ht="15" hidden="false" customHeight="false" outlineLevel="0" collapsed="false">
      <c r="A1492" s="22" t="s">
        <v>6135</v>
      </c>
      <c r="B1492" s="22" t="s">
        <v>21</v>
      </c>
      <c r="C1492" s="22" t="s">
        <v>6136</v>
      </c>
      <c r="D1492" s="22" t="s">
        <v>6137</v>
      </c>
      <c r="E1492" s="22" t="s">
        <v>6138</v>
      </c>
      <c r="F1492" s="22" t="n">
        <v>15</v>
      </c>
      <c r="G1492" s="26" t="n">
        <v>219.1</v>
      </c>
      <c r="H1492" s="26" t="n">
        <v>241.23</v>
      </c>
      <c r="I1492" s="26" t="n">
        <v>263.36</v>
      </c>
      <c r="J1492" s="26" t="n">
        <v>279.96</v>
      </c>
      <c r="K1492" s="26" t="n">
        <v>296.56</v>
      </c>
      <c r="L1492" s="26" t="n">
        <v>2.56</v>
      </c>
      <c r="M1492" s="27" t="n">
        <v>0.005</v>
      </c>
      <c r="N1492" s="27" t="n">
        <v>0.002</v>
      </c>
      <c r="O1492" s="26" t="n">
        <v>5</v>
      </c>
      <c r="P1492" s="26" t="n">
        <v>5</v>
      </c>
      <c r="Q1492" s="28" t="n">
        <v>100</v>
      </c>
      <c r="R1492" s="26" t="n">
        <v>30</v>
      </c>
      <c r="S1492" s="26" t="n">
        <v>0</v>
      </c>
      <c r="T1492" s="28" t="n">
        <v>1</v>
      </c>
      <c r="U1492" s="26" t="n">
        <v>0</v>
      </c>
      <c r="V1492" s="26" t="n">
        <v>0</v>
      </c>
      <c r="W1492" s="22" t="s">
        <v>21</v>
      </c>
      <c r="X1492" s="22" t="s">
        <v>373</v>
      </c>
    </row>
    <row r="1493" customFormat="false" ht="15" hidden="false" customHeight="false" outlineLevel="0" collapsed="false">
      <c r="A1493" s="22" t="s">
        <v>6139</v>
      </c>
      <c r="B1493" s="22" t="s">
        <v>21</v>
      </c>
      <c r="C1493" s="22" t="s">
        <v>6140</v>
      </c>
      <c r="D1493" s="22" t="s">
        <v>6141</v>
      </c>
      <c r="E1493" s="22" t="s">
        <v>6142</v>
      </c>
      <c r="F1493" s="22" t="n">
        <v>15</v>
      </c>
      <c r="G1493" s="26" t="n">
        <v>219.1</v>
      </c>
      <c r="H1493" s="26" t="n">
        <v>241.23</v>
      </c>
      <c r="I1493" s="26" t="n">
        <v>263.36</v>
      </c>
      <c r="J1493" s="26" t="n">
        <v>279.96</v>
      </c>
      <c r="K1493" s="26" t="n">
        <v>296.56</v>
      </c>
      <c r="L1493" s="26" t="n">
        <v>2.56</v>
      </c>
      <c r="M1493" s="27" t="n">
        <v>0.005</v>
      </c>
      <c r="N1493" s="27" t="n">
        <v>0.002</v>
      </c>
      <c r="O1493" s="26" t="n">
        <v>5</v>
      </c>
      <c r="P1493" s="26" t="n">
        <v>5</v>
      </c>
      <c r="Q1493" s="28" t="n">
        <v>100</v>
      </c>
      <c r="R1493" s="26" t="n">
        <v>30</v>
      </c>
      <c r="S1493" s="26" t="n">
        <v>0</v>
      </c>
      <c r="T1493" s="28" t="n">
        <v>1</v>
      </c>
      <c r="U1493" s="26" t="n">
        <v>0</v>
      </c>
      <c r="V1493" s="26" t="n">
        <v>0</v>
      </c>
      <c r="W1493" s="22" t="s">
        <v>21</v>
      </c>
      <c r="X1493" s="22" t="s">
        <v>373</v>
      </c>
    </row>
    <row r="1494" customFormat="false" ht="15" hidden="false" customHeight="false" outlineLevel="0" collapsed="false">
      <c r="A1494" s="22" t="s">
        <v>6143</v>
      </c>
      <c r="B1494" s="22" t="s">
        <v>21</v>
      </c>
      <c r="C1494" s="22" t="s">
        <v>6144</v>
      </c>
      <c r="D1494" s="22" t="s">
        <v>6145</v>
      </c>
      <c r="E1494" s="22" t="s">
        <v>6146</v>
      </c>
      <c r="F1494" s="22" t="n">
        <v>15</v>
      </c>
      <c r="G1494" s="26" t="n">
        <v>219.1</v>
      </c>
      <c r="H1494" s="26" t="n">
        <v>241.23</v>
      </c>
      <c r="I1494" s="26" t="n">
        <v>263.36</v>
      </c>
      <c r="J1494" s="26" t="n">
        <v>279.96</v>
      </c>
      <c r="K1494" s="26" t="n">
        <v>296.56</v>
      </c>
      <c r="L1494" s="26" t="n">
        <v>2.56</v>
      </c>
      <c r="M1494" s="27" t="n">
        <v>0.005</v>
      </c>
      <c r="N1494" s="27" t="n">
        <v>0.002</v>
      </c>
      <c r="O1494" s="26" t="n">
        <v>5</v>
      </c>
      <c r="P1494" s="26" t="n">
        <v>5</v>
      </c>
      <c r="Q1494" s="28" t="n">
        <v>100</v>
      </c>
      <c r="R1494" s="26" t="n">
        <v>30</v>
      </c>
      <c r="S1494" s="26" t="n">
        <v>0</v>
      </c>
      <c r="T1494" s="28" t="n">
        <v>1</v>
      </c>
      <c r="U1494" s="26" t="n">
        <v>0</v>
      </c>
      <c r="V1494" s="26" t="n">
        <v>0</v>
      </c>
      <c r="W1494" s="22" t="s">
        <v>21</v>
      </c>
      <c r="X1494" s="22" t="s">
        <v>373</v>
      </c>
    </row>
    <row r="1495" customFormat="false" ht="15" hidden="false" customHeight="false" outlineLevel="0" collapsed="false">
      <c r="A1495" s="22" t="s">
        <v>6147</v>
      </c>
      <c r="B1495" s="22" t="s">
        <v>21</v>
      </c>
      <c r="C1495" s="22" t="s">
        <v>6148</v>
      </c>
      <c r="D1495" s="22" t="s">
        <v>6149</v>
      </c>
      <c r="E1495" s="22" t="s">
        <v>6150</v>
      </c>
      <c r="F1495" s="22" t="n">
        <v>15</v>
      </c>
      <c r="G1495" s="26" t="n">
        <v>219.1</v>
      </c>
      <c r="H1495" s="26" t="n">
        <v>241.23</v>
      </c>
      <c r="I1495" s="26" t="n">
        <v>263.36</v>
      </c>
      <c r="J1495" s="26" t="n">
        <v>279.96</v>
      </c>
      <c r="K1495" s="26" t="n">
        <v>296.56</v>
      </c>
      <c r="L1495" s="26" t="n">
        <v>2.56</v>
      </c>
      <c r="M1495" s="27" t="n">
        <v>0.005</v>
      </c>
      <c r="N1495" s="27" t="n">
        <v>0.002</v>
      </c>
      <c r="O1495" s="26" t="n">
        <v>5</v>
      </c>
      <c r="P1495" s="26" t="n">
        <v>5</v>
      </c>
      <c r="Q1495" s="28" t="n">
        <v>100</v>
      </c>
      <c r="R1495" s="26" t="n">
        <v>30</v>
      </c>
      <c r="S1495" s="26" t="n">
        <v>0</v>
      </c>
      <c r="T1495" s="28" t="n">
        <v>1</v>
      </c>
      <c r="U1495" s="26" t="n">
        <v>0</v>
      </c>
      <c r="V1495" s="26" t="n">
        <v>400</v>
      </c>
      <c r="W1495" s="22" t="s">
        <v>21</v>
      </c>
      <c r="X1495" s="22" t="s">
        <v>373</v>
      </c>
    </row>
    <row r="1496" customFormat="false" ht="15" hidden="false" customHeight="false" outlineLevel="0" collapsed="false">
      <c r="A1496" s="22" t="s">
        <v>6151</v>
      </c>
      <c r="B1496" s="22" t="s">
        <v>21</v>
      </c>
      <c r="C1496" s="22" t="s">
        <v>6152</v>
      </c>
      <c r="D1496" s="22" t="s">
        <v>6153</v>
      </c>
      <c r="E1496" s="22" t="s">
        <v>6154</v>
      </c>
      <c r="F1496" s="22" t="n">
        <v>15</v>
      </c>
      <c r="G1496" s="26" t="n">
        <v>219.1</v>
      </c>
      <c r="H1496" s="26" t="n">
        <v>241.23</v>
      </c>
      <c r="I1496" s="26" t="n">
        <v>263.36</v>
      </c>
      <c r="J1496" s="26" t="n">
        <v>279.96</v>
      </c>
      <c r="K1496" s="26" t="n">
        <v>296.56</v>
      </c>
      <c r="L1496" s="26" t="n">
        <v>2.56</v>
      </c>
      <c r="M1496" s="27" t="n">
        <v>0.005</v>
      </c>
      <c r="N1496" s="27" t="n">
        <v>0.002</v>
      </c>
      <c r="O1496" s="26" t="n">
        <v>5</v>
      </c>
      <c r="P1496" s="26" t="n">
        <v>5</v>
      </c>
      <c r="Q1496" s="28" t="n">
        <v>100</v>
      </c>
      <c r="R1496" s="26" t="n">
        <v>30</v>
      </c>
      <c r="S1496" s="26" t="n">
        <v>0</v>
      </c>
      <c r="T1496" s="28" t="n">
        <v>1</v>
      </c>
      <c r="U1496" s="26" t="n">
        <v>0</v>
      </c>
      <c r="V1496" s="26" t="n">
        <v>0</v>
      </c>
      <c r="W1496" s="22" t="s">
        <v>21</v>
      </c>
      <c r="X1496" s="22" t="s">
        <v>373</v>
      </c>
    </row>
    <row r="1497" customFormat="false" ht="15" hidden="false" customHeight="false" outlineLevel="0" collapsed="false">
      <c r="A1497" s="22" t="s">
        <v>6155</v>
      </c>
      <c r="B1497" s="22" t="s">
        <v>21</v>
      </c>
      <c r="C1497" s="22" t="s">
        <v>6156</v>
      </c>
      <c r="D1497" s="22" t="s">
        <v>6157</v>
      </c>
      <c r="E1497" s="22" t="s">
        <v>6158</v>
      </c>
      <c r="F1497" s="22" t="n">
        <v>15</v>
      </c>
      <c r="G1497" s="26" t="n">
        <v>219.1</v>
      </c>
      <c r="H1497" s="26" t="n">
        <v>241.23</v>
      </c>
      <c r="I1497" s="26" t="n">
        <v>263.36</v>
      </c>
      <c r="J1497" s="26" t="n">
        <v>279.96</v>
      </c>
      <c r="K1497" s="26" t="n">
        <v>296.56</v>
      </c>
      <c r="L1497" s="26" t="n">
        <v>2.56</v>
      </c>
      <c r="M1497" s="27" t="n">
        <v>0.005</v>
      </c>
      <c r="N1497" s="27" t="n">
        <v>0.002</v>
      </c>
      <c r="O1497" s="26" t="n">
        <v>5</v>
      </c>
      <c r="P1497" s="26" t="n">
        <v>5</v>
      </c>
      <c r="Q1497" s="28" t="n">
        <v>100</v>
      </c>
      <c r="R1497" s="26" t="n">
        <v>30</v>
      </c>
      <c r="S1497" s="26" t="n">
        <v>0</v>
      </c>
      <c r="T1497" s="28" t="n">
        <v>1</v>
      </c>
      <c r="U1497" s="26" t="n">
        <v>0</v>
      </c>
      <c r="V1497" s="26" t="n">
        <v>400</v>
      </c>
      <c r="W1497" s="22" t="s">
        <v>21</v>
      </c>
      <c r="X1497" s="22" t="s">
        <v>373</v>
      </c>
    </row>
    <row r="1498" customFormat="false" ht="15" hidden="false" customHeight="false" outlineLevel="0" collapsed="false">
      <c r="A1498" s="22" t="s">
        <v>6159</v>
      </c>
      <c r="B1498" s="22" t="s">
        <v>21</v>
      </c>
      <c r="C1498" s="22" t="s">
        <v>6160</v>
      </c>
      <c r="D1498" s="22" t="s">
        <v>6161</v>
      </c>
      <c r="E1498" s="22" t="s">
        <v>6162</v>
      </c>
      <c r="F1498" s="22" t="n">
        <v>15</v>
      </c>
      <c r="G1498" s="26" t="n">
        <v>219.1</v>
      </c>
      <c r="H1498" s="26" t="n">
        <v>241.23</v>
      </c>
      <c r="I1498" s="26" t="n">
        <v>263.36</v>
      </c>
      <c r="J1498" s="26" t="n">
        <v>279.96</v>
      </c>
      <c r="K1498" s="26" t="n">
        <v>296.56</v>
      </c>
      <c r="L1498" s="26" t="n">
        <v>2.56</v>
      </c>
      <c r="M1498" s="27" t="n">
        <v>0.005</v>
      </c>
      <c r="N1498" s="27" t="n">
        <v>0.002</v>
      </c>
      <c r="O1498" s="26" t="n">
        <v>5</v>
      </c>
      <c r="P1498" s="26" t="n">
        <v>5</v>
      </c>
      <c r="Q1498" s="28" t="n">
        <v>100</v>
      </c>
      <c r="R1498" s="26" t="n">
        <v>30</v>
      </c>
      <c r="S1498" s="26" t="n">
        <v>0</v>
      </c>
      <c r="T1498" s="28" t="n">
        <v>1</v>
      </c>
      <c r="U1498" s="26" t="n">
        <v>0</v>
      </c>
      <c r="V1498" s="26" t="n">
        <v>0</v>
      </c>
      <c r="W1498" s="22" t="s">
        <v>21</v>
      </c>
      <c r="X1498" s="22" t="s">
        <v>373</v>
      </c>
    </row>
    <row r="1499" customFormat="false" ht="15" hidden="false" customHeight="false" outlineLevel="0" collapsed="false">
      <c r="A1499" s="22" t="s">
        <v>6163</v>
      </c>
      <c r="B1499" s="22" t="s">
        <v>21</v>
      </c>
      <c r="C1499" s="22" t="s">
        <v>6164</v>
      </c>
      <c r="D1499" s="22" t="s">
        <v>6165</v>
      </c>
      <c r="E1499" s="22" t="s">
        <v>6166</v>
      </c>
      <c r="F1499" s="22" t="n">
        <v>15</v>
      </c>
      <c r="G1499" s="26" t="n">
        <v>219.1</v>
      </c>
      <c r="H1499" s="26" t="n">
        <v>241.23</v>
      </c>
      <c r="I1499" s="26" t="n">
        <v>263.36</v>
      </c>
      <c r="J1499" s="26" t="n">
        <v>279.96</v>
      </c>
      <c r="K1499" s="26" t="n">
        <v>296.56</v>
      </c>
      <c r="L1499" s="26" t="n">
        <v>2.56</v>
      </c>
      <c r="M1499" s="27" t="n">
        <v>0.005</v>
      </c>
      <c r="N1499" s="27" t="n">
        <v>0.002</v>
      </c>
      <c r="O1499" s="26" t="n">
        <v>5</v>
      </c>
      <c r="P1499" s="26" t="n">
        <v>5</v>
      </c>
      <c r="Q1499" s="28" t="n">
        <v>100</v>
      </c>
      <c r="R1499" s="26" t="n">
        <v>30</v>
      </c>
      <c r="S1499" s="26" t="n">
        <v>0</v>
      </c>
      <c r="T1499" s="28" t="n">
        <v>1</v>
      </c>
      <c r="U1499" s="26" t="n">
        <v>0</v>
      </c>
      <c r="V1499" s="26" t="n">
        <v>0</v>
      </c>
      <c r="W1499" s="22" t="s">
        <v>21</v>
      </c>
      <c r="X1499" s="22" t="s">
        <v>373</v>
      </c>
    </row>
    <row r="1500" customFormat="false" ht="15" hidden="false" customHeight="false" outlineLevel="0" collapsed="false">
      <c r="A1500" s="22" t="s">
        <v>6167</v>
      </c>
      <c r="B1500" s="22" t="s">
        <v>21</v>
      </c>
      <c r="C1500" s="22" t="s">
        <v>6168</v>
      </c>
      <c r="D1500" s="22" t="s">
        <v>6169</v>
      </c>
      <c r="E1500" s="22" t="s">
        <v>6170</v>
      </c>
      <c r="F1500" s="22" t="n">
        <v>15</v>
      </c>
      <c r="G1500" s="26" t="n">
        <v>219.1</v>
      </c>
      <c r="H1500" s="26" t="n">
        <v>241.23</v>
      </c>
      <c r="I1500" s="26" t="n">
        <v>263.36</v>
      </c>
      <c r="J1500" s="26" t="n">
        <v>279.96</v>
      </c>
      <c r="K1500" s="26" t="n">
        <v>296.56</v>
      </c>
      <c r="L1500" s="26" t="n">
        <v>2.56</v>
      </c>
      <c r="M1500" s="27" t="n">
        <v>0.005</v>
      </c>
      <c r="N1500" s="27" t="n">
        <v>0.002</v>
      </c>
      <c r="O1500" s="26" t="n">
        <v>5</v>
      </c>
      <c r="P1500" s="26" t="n">
        <v>5</v>
      </c>
      <c r="Q1500" s="28" t="n">
        <v>100</v>
      </c>
      <c r="R1500" s="26" t="n">
        <v>30</v>
      </c>
      <c r="S1500" s="26" t="n">
        <v>0</v>
      </c>
      <c r="T1500" s="28" t="n">
        <v>1</v>
      </c>
      <c r="U1500" s="26" t="n">
        <v>0</v>
      </c>
      <c r="V1500" s="26" t="n">
        <v>0</v>
      </c>
      <c r="W1500" s="22" t="s">
        <v>21</v>
      </c>
      <c r="X1500" s="22" t="s">
        <v>373</v>
      </c>
    </row>
    <row r="1501" customFormat="false" ht="15" hidden="false" customHeight="false" outlineLevel="0" collapsed="false">
      <c r="A1501" s="22" t="s">
        <v>6171</v>
      </c>
      <c r="B1501" s="22" t="s">
        <v>21</v>
      </c>
      <c r="C1501" s="22" t="s">
        <v>6172</v>
      </c>
      <c r="D1501" s="22" t="s">
        <v>6173</v>
      </c>
      <c r="E1501" s="22" t="s">
        <v>6174</v>
      </c>
      <c r="F1501" s="22" t="n">
        <v>15</v>
      </c>
      <c r="G1501" s="26" t="n">
        <v>219.1</v>
      </c>
      <c r="H1501" s="26" t="n">
        <v>241.23</v>
      </c>
      <c r="I1501" s="26" t="n">
        <v>263.36</v>
      </c>
      <c r="J1501" s="26" t="n">
        <v>279.96</v>
      </c>
      <c r="K1501" s="26" t="n">
        <v>296.56</v>
      </c>
      <c r="L1501" s="26" t="n">
        <v>2.56</v>
      </c>
      <c r="M1501" s="27" t="n">
        <v>0.005</v>
      </c>
      <c r="N1501" s="27" t="n">
        <v>0.002</v>
      </c>
      <c r="O1501" s="26" t="n">
        <v>5</v>
      </c>
      <c r="P1501" s="26" t="n">
        <v>5</v>
      </c>
      <c r="Q1501" s="28" t="n">
        <v>100</v>
      </c>
      <c r="R1501" s="26" t="n">
        <v>30</v>
      </c>
      <c r="S1501" s="26" t="n">
        <v>0</v>
      </c>
      <c r="T1501" s="28" t="n">
        <v>1</v>
      </c>
      <c r="U1501" s="26" t="n">
        <v>0</v>
      </c>
      <c r="V1501" s="26" t="n">
        <v>0</v>
      </c>
      <c r="W1501" s="22" t="s">
        <v>21</v>
      </c>
      <c r="X1501" s="22" t="s">
        <v>373</v>
      </c>
    </row>
    <row r="1502" customFormat="false" ht="15" hidden="false" customHeight="false" outlineLevel="0" collapsed="false">
      <c r="A1502" s="22" t="s">
        <v>6175</v>
      </c>
      <c r="B1502" s="22" t="s">
        <v>21</v>
      </c>
      <c r="C1502" s="22" t="s">
        <v>6176</v>
      </c>
      <c r="D1502" s="22" t="s">
        <v>6177</v>
      </c>
      <c r="E1502" s="22" t="s">
        <v>6178</v>
      </c>
      <c r="F1502" s="22" t="n">
        <v>15</v>
      </c>
      <c r="G1502" s="26" t="n">
        <v>219.1</v>
      </c>
      <c r="H1502" s="26" t="n">
        <v>241.23</v>
      </c>
      <c r="I1502" s="26" t="n">
        <v>263.36</v>
      </c>
      <c r="J1502" s="26" t="n">
        <v>279.96</v>
      </c>
      <c r="K1502" s="26" t="n">
        <v>296.56</v>
      </c>
      <c r="L1502" s="26" t="n">
        <v>2.56</v>
      </c>
      <c r="M1502" s="27" t="n">
        <v>0.005</v>
      </c>
      <c r="N1502" s="27" t="n">
        <v>0.002</v>
      </c>
      <c r="O1502" s="26" t="n">
        <v>5</v>
      </c>
      <c r="P1502" s="26" t="n">
        <v>5</v>
      </c>
      <c r="Q1502" s="28" t="n">
        <v>100</v>
      </c>
      <c r="R1502" s="26" t="n">
        <v>30</v>
      </c>
      <c r="S1502" s="26" t="n">
        <v>0</v>
      </c>
      <c r="T1502" s="28" t="n">
        <v>1</v>
      </c>
      <c r="U1502" s="26" t="n">
        <v>0</v>
      </c>
      <c r="V1502" s="26" t="n">
        <v>0</v>
      </c>
      <c r="W1502" s="22" t="s">
        <v>21</v>
      </c>
      <c r="X1502" s="22" t="s">
        <v>373</v>
      </c>
    </row>
    <row r="1503" customFormat="false" ht="15" hidden="false" customHeight="false" outlineLevel="0" collapsed="false">
      <c r="A1503" s="22" t="s">
        <v>6179</v>
      </c>
      <c r="B1503" s="22" t="s">
        <v>21</v>
      </c>
      <c r="C1503" s="22" t="s">
        <v>171</v>
      </c>
      <c r="D1503" s="22" t="s">
        <v>6180</v>
      </c>
      <c r="E1503" s="22" t="s">
        <v>6181</v>
      </c>
      <c r="F1503" s="22" t="n">
        <v>15</v>
      </c>
      <c r="G1503" s="26" t="n">
        <v>219.1</v>
      </c>
      <c r="H1503" s="26" t="n">
        <v>241.23</v>
      </c>
      <c r="I1503" s="26" t="n">
        <v>263.36</v>
      </c>
      <c r="J1503" s="26" t="n">
        <v>279.96</v>
      </c>
      <c r="K1503" s="26" t="n">
        <v>296.56</v>
      </c>
      <c r="L1503" s="26" t="n">
        <v>2.56</v>
      </c>
      <c r="M1503" s="27" t="n">
        <v>0.005</v>
      </c>
      <c r="N1503" s="27" t="n">
        <v>0.002</v>
      </c>
      <c r="O1503" s="26" t="n">
        <v>5</v>
      </c>
      <c r="P1503" s="26" t="n">
        <v>5</v>
      </c>
      <c r="Q1503" s="28" t="n">
        <v>100</v>
      </c>
      <c r="R1503" s="26" t="n">
        <v>30</v>
      </c>
      <c r="S1503" s="26" t="n">
        <v>0</v>
      </c>
      <c r="T1503" s="28" t="n">
        <v>1</v>
      </c>
      <c r="U1503" s="26" t="n">
        <v>0</v>
      </c>
      <c r="V1503" s="26" t="n">
        <v>0</v>
      </c>
      <c r="W1503" s="22" t="s">
        <v>21</v>
      </c>
      <c r="X1503" s="22" t="s">
        <v>373</v>
      </c>
    </row>
    <row r="1504" customFormat="false" ht="15" hidden="false" customHeight="false" outlineLevel="0" collapsed="false">
      <c r="A1504" s="22" t="s">
        <v>6182</v>
      </c>
      <c r="B1504" s="22" t="s">
        <v>21</v>
      </c>
      <c r="C1504" s="22" t="s">
        <v>6183</v>
      </c>
      <c r="D1504" s="22" t="s">
        <v>6184</v>
      </c>
      <c r="E1504" s="22" t="s">
        <v>6185</v>
      </c>
      <c r="F1504" s="22" t="n">
        <v>15</v>
      </c>
      <c r="G1504" s="26" t="n">
        <v>219.1</v>
      </c>
      <c r="H1504" s="26" t="n">
        <v>241.23</v>
      </c>
      <c r="I1504" s="26" t="n">
        <v>263.36</v>
      </c>
      <c r="J1504" s="26" t="n">
        <v>279.96</v>
      </c>
      <c r="K1504" s="26" t="n">
        <v>296.56</v>
      </c>
      <c r="L1504" s="26" t="n">
        <v>2.56</v>
      </c>
      <c r="M1504" s="27" t="n">
        <v>0.005</v>
      </c>
      <c r="N1504" s="27" t="n">
        <v>0.002</v>
      </c>
      <c r="O1504" s="26" t="n">
        <v>5</v>
      </c>
      <c r="P1504" s="26" t="n">
        <v>5</v>
      </c>
      <c r="Q1504" s="28" t="n">
        <v>100</v>
      </c>
      <c r="R1504" s="26" t="n">
        <v>30</v>
      </c>
      <c r="S1504" s="26" t="n">
        <v>0</v>
      </c>
      <c r="T1504" s="28" t="n">
        <v>1</v>
      </c>
      <c r="U1504" s="26" t="n">
        <v>0</v>
      </c>
      <c r="V1504" s="26" t="n">
        <v>0</v>
      </c>
      <c r="W1504" s="22" t="s">
        <v>21</v>
      </c>
      <c r="X1504" s="22" t="s">
        <v>373</v>
      </c>
    </row>
    <row r="1505" customFormat="false" ht="15" hidden="false" customHeight="false" outlineLevel="0" collapsed="false">
      <c r="A1505" s="22" t="s">
        <v>6186</v>
      </c>
      <c r="B1505" s="22" t="s">
        <v>21</v>
      </c>
      <c r="C1505" s="22" t="s">
        <v>6187</v>
      </c>
      <c r="D1505" s="22" t="s">
        <v>6188</v>
      </c>
      <c r="E1505" s="22" t="s">
        <v>6189</v>
      </c>
      <c r="F1505" s="22" t="n">
        <v>15</v>
      </c>
      <c r="G1505" s="26" t="n">
        <v>219.1</v>
      </c>
      <c r="H1505" s="26" t="n">
        <v>241.23</v>
      </c>
      <c r="I1505" s="26" t="n">
        <v>263.36</v>
      </c>
      <c r="J1505" s="26" t="n">
        <v>279.96</v>
      </c>
      <c r="K1505" s="26" t="n">
        <v>296.56</v>
      </c>
      <c r="L1505" s="26" t="n">
        <v>2.56</v>
      </c>
      <c r="M1505" s="27" t="n">
        <v>0.005</v>
      </c>
      <c r="N1505" s="27" t="n">
        <v>0.002</v>
      </c>
      <c r="O1505" s="26" t="n">
        <v>5</v>
      </c>
      <c r="P1505" s="26" t="n">
        <v>5</v>
      </c>
      <c r="Q1505" s="28" t="n">
        <v>100</v>
      </c>
      <c r="R1505" s="26" t="n">
        <v>30</v>
      </c>
      <c r="S1505" s="26" t="n">
        <v>0</v>
      </c>
      <c r="T1505" s="28" t="n">
        <v>1</v>
      </c>
      <c r="U1505" s="26" t="n">
        <v>0</v>
      </c>
      <c r="V1505" s="26" t="n">
        <v>0</v>
      </c>
      <c r="W1505" s="22" t="s">
        <v>21</v>
      </c>
      <c r="X1505" s="22" t="s">
        <v>373</v>
      </c>
    </row>
    <row r="1506" customFormat="false" ht="15" hidden="false" customHeight="false" outlineLevel="0" collapsed="false">
      <c r="A1506" s="22" t="s">
        <v>6190</v>
      </c>
      <c r="B1506" s="22" t="s">
        <v>21</v>
      </c>
      <c r="C1506" s="22" t="s">
        <v>6191</v>
      </c>
      <c r="D1506" s="22" t="s">
        <v>6192</v>
      </c>
      <c r="E1506" s="22" t="s">
        <v>6193</v>
      </c>
      <c r="F1506" s="22" t="n">
        <v>15</v>
      </c>
      <c r="G1506" s="26" t="n">
        <v>219.1</v>
      </c>
      <c r="H1506" s="26" t="n">
        <v>241.23</v>
      </c>
      <c r="I1506" s="26" t="n">
        <v>263.36</v>
      </c>
      <c r="J1506" s="26" t="n">
        <v>279.96</v>
      </c>
      <c r="K1506" s="26" t="n">
        <v>296.56</v>
      </c>
      <c r="L1506" s="26" t="n">
        <v>2.56</v>
      </c>
      <c r="M1506" s="27" t="n">
        <v>0.005</v>
      </c>
      <c r="N1506" s="27" t="n">
        <v>0.002</v>
      </c>
      <c r="O1506" s="26" t="n">
        <v>5</v>
      </c>
      <c r="P1506" s="26" t="n">
        <v>5</v>
      </c>
      <c r="Q1506" s="28" t="n">
        <v>100</v>
      </c>
      <c r="R1506" s="26" t="n">
        <v>30</v>
      </c>
      <c r="S1506" s="26" t="n">
        <v>0</v>
      </c>
      <c r="T1506" s="28" t="n">
        <v>1</v>
      </c>
      <c r="U1506" s="26" t="n">
        <v>0</v>
      </c>
      <c r="V1506" s="26" t="n">
        <v>400</v>
      </c>
      <c r="W1506" s="22" t="s">
        <v>21</v>
      </c>
      <c r="X1506" s="22" t="s">
        <v>373</v>
      </c>
    </row>
    <row r="1507" customFormat="false" ht="15" hidden="false" customHeight="false" outlineLevel="0" collapsed="false">
      <c r="A1507" s="22" t="s">
        <v>6194</v>
      </c>
      <c r="B1507" s="22" t="s">
        <v>21</v>
      </c>
      <c r="C1507" s="22" t="s">
        <v>6195</v>
      </c>
      <c r="D1507" s="22" t="s">
        <v>6196</v>
      </c>
      <c r="E1507" s="22" t="s">
        <v>6197</v>
      </c>
      <c r="F1507" s="22" t="n">
        <v>15</v>
      </c>
      <c r="G1507" s="26" t="n">
        <v>219.1</v>
      </c>
      <c r="H1507" s="26" t="n">
        <v>241.23</v>
      </c>
      <c r="I1507" s="26" t="n">
        <v>263.36</v>
      </c>
      <c r="J1507" s="26" t="n">
        <v>279.96</v>
      </c>
      <c r="K1507" s="26" t="n">
        <v>296.56</v>
      </c>
      <c r="L1507" s="26" t="n">
        <v>2.56</v>
      </c>
      <c r="M1507" s="27" t="n">
        <v>0.005</v>
      </c>
      <c r="N1507" s="27" t="n">
        <v>0.002</v>
      </c>
      <c r="O1507" s="26" t="n">
        <v>5</v>
      </c>
      <c r="P1507" s="26" t="n">
        <v>5</v>
      </c>
      <c r="Q1507" s="28" t="n">
        <v>100</v>
      </c>
      <c r="R1507" s="26" t="n">
        <v>30</v>
      </c>
      <c r="S1507" s="26" t="n">
        <v>0</v>
      </c>
      <c r="T1507" s="28" t="n">
        <v>1</v>
      </c>
      <c r="U1507" s="26" t="n">
        <v>0</v>
      </c>
      <c r="V1507" s="26" t="n">
        <v>0</v>
      </c>
      <c r="W1507" s="22" t="s">
        <v>21</v>
      </c>
      <c r="X1507" s="22" t="s">
        <v>373</v>
      </c>
    </row>
    <row r="1508" customFormat="false" ht="15" hidden="false" customHeight="false" outlineLevel="0" collapsed="false">
      <c r="A1508" s="22" t="s">
        <v>6198</v>
      </c>
      <c r="B1508" s="22" t="s">
        <v>21</v>
      </c>
      <c r="C1508" s="22" t="s">
        <v>6199</v>
      </c>
      <c r="D1508" s="22" t="s">
        <v>6200</v>
      </c>
      <c r="E1508" s="22" t="s">
        <v>6201</v>
      </c>
      <c r="F1508" s="22" t="n">
        <v>15</v>
      </c>
      <c r="G1508" s="26" t="n">
        <v>219.1</v>
      </c>
      <c r="H1508" s="26" t="n">
        <v>241.23</v>
      </c>
      <c r="I1508" s="26" t="n">
        <v>263.36</v>
      </c>
      <c r="J1508" s="26" t="n">
        <v>279.96</v>
      </c>
      <c r="K1508" s="26" t="n">
        <v>296.56</v>
      </c>
      <c r="L1508" s="26" t="n">
        <v>2.56</v>
      </c>
      <c r="M1508" s="27" t="n">
        <v>0.005</v>
      </c>
      <c r="N1508" s="27" t="n">
        <v>0.002</v>
      </c>
      <c r="O1508" s="26" t="n">
        <v>5</v>
      </c>
      <c r="P1508" s="26" t="n">
        <v>5</v>
      </c>
      <c r="Q1508" s="28" t="n">
        <v>100</v>
      </c>
      <c r="R1508" s="26" t="n">
        <v>30</v>
      </c>
      <c r="S1508" s="26" t="n">
        <v>0</v>
      </c>
      <c r="T1508" s="28" t="n">
        <v>1</v>
      </c>
      <c r="U1508" s="26" t="n">
        <v>0</v>
      </c>
      <c r="V1508" s="26" t="n">
        <v>0</v>
      </c>
      <c r="W1508" s="22" t="s">
        <v>21</v>
      </c>
      <c r="X1508" s="22" t="s">
        <v>373</v>
      </c>
    </row>
    <row r="1509" customFormat="false" ht="15" hidden="false" customHeight="false" outlineLevel="0" collapsed="false">
      <c r="A1509" s="22" t="s">
        <v>6202</v>
      </c>
      <c r="B1509" s="22" t="s">
        <v>21</v>
      </c>
      <c r="C1509" s="22" t="s">
        <v>6203</v>
      </c>
      <c r="D1509" s="22" t="s">
        <v>6204</v>
      </c>
      <c r="E1509" s="22" t="s">
        <v>6205</v>
      </c>
      <c r="F1509" s="22" t="n">
        <v>15</v>
      </c>
      <c r="G1509" s="26" t="n">
        <v>219.1</v>
      </c>
      <c r="H1509" s="26" t="n">
        <v>241.23</v>
      </c>
      <c r="I1509" s="26" t="n">
        <v>263.36</v>
      </c>
      <c r="J1509" s="26" t="n">
        <v>279.96</v>
      </c>
      <c r="K1509" s="26" t="n">
        <v>296.56</v>
      </c>
      <c r="L1509" s="26" t="n">
        <v>2.56</v>
      </c>
      <c r="M1509" s="27" t="n">
        <v>0.005</v>
      </c>
      <c r="N1509" s="27" t="n">
        <v>0.002</v>
      </c>
      <c r="O1509" s="26" t="n">
        <v>5</v>
      </c>
      <c r="P1509" s="26" t="n">
        <v>5</v>
      </c>
      <c r="Q1509" s="28" t="n">
        <v>100</v>
      </c>
      <c r="R1509" s="26" t="n">
        <v>30</v>
      </c>
      <c r="S1509" s="26" t="n">
        <v>0</v>
      </c>
      <c r="T1509" s="28" t="n">
        <v>1</v>
      </c>
      <c r="U1509" s="26" t="n">
        <v>0</v>
      </c>
      <c r="V1509" s="26" t="n">
        <v>400</v>
      </c>
      <c r="W1509" s="22" t="s">
        <v>21</v>
      </c>
      <c r="X1509" s="22" t="s">
        <v>373</v>
      </c>
    </row>
    <row r="1510" customFormat="false" ht="15" hidden="false" customHeight="false" outlineLevel="0" collapsed="false">
      <c r="A1510" s="22" t="s">
        <v>6206</v>
      </c>
      <c r="B1510" s="22" t="s">
        <v>21</v>
      </c>
      <c r="C1510" s="22" t="s">
        <v>6207</v>
      </c>
      <c r="D1510" s="22" t="s">
        <v>6208</v>
      </c>
      <c r="E1510" s="22" t="s">
        <v>6209</v>
      </c>
      <c r="F1510" s="22" t="n">
        <v>15</v>
      </c>
      <c r="G1510" s="26" t="n">
        <v>219.1</v>
      </c>
      <c r="H1510" s="26" t="n">
        <v>241.23</v>
      </c>
      <c r="I1510" s="26" t="n">
        <v>263.36</v>
      </c>
      <c r="J1510" s="26" t="n">
        <v>279.96</v>
      </c>
      <c r="K1510" s="26" t="n">
        <v>296.56</v>
      </c>
      <c r="L1510" s="26" t="n">
        <v>2.56</v>
      </c>
      <c r="M1510" s="27" t="n">
        <v>0.005</v>
      </c>
      <c r="N1510" s="27" t="n">
        <v>0.002</v>
      </c>
      <c r="O1510" s="26" t="n">
        <v>5</v>
      </c>
      <c r="P1510" s="26" t="n">
        <v>5</v>
      </c>
      <c r="Q1510" s="28" t="n">
        <v>100</v>
      </c>
      <c r="R1510" s="26" t="n">
        <v>30</v>
      </c>
      <c r="S1510" s="26" t="n">
        <v>0</v>
      </c>
      <c r="T1510" s="28" t="n">
        <v>1</v>
      </c>
      <c r="U1510" s="26" t="n">
        <v>0</v>
      </c>
      <c r="V1510" s="26" t="n">
        <v>400</v>
      </c>
      <c r="W1510" s="22" t="s">
        <v>21</v>
      </c>
      <c r="X1510" s="22" t="s">
        <v>373</v>
      </c>
    </row>
    <row r="1511" customFormat="false" ht="15" hidden="false" customHeight="false" outlineLevel="0" collapsed="false">
      <c r="A1511" s="22" t="s">
        <v>6210</v>
      </c>
      <c r="B1511" s="22" t="s">
        <v>21</v>
      </c>
      <c r="C1511" s="22" t="s">
        <v>6211</v>
      </c>
      <c r="D1511" s="22" t="s">
        <v>6212</v>
      </c>
      <c r="E1511" s="22" t="s">
        <v>6213</v>
      </c>
      <c r="F1511" s="22" t="n">
        <v>15</v>
      </c>
      <c r="G1511" s="26" t="n">
        <v>219.1</v>
      </c>
      <c r="H1511" s="26" t="n">
        <v>241.23</v>
      </c>
      <c r="I1511" s="26" t="n">
        <v>263.36</v>
      </c>
      <c r="J1511" s="26" t="n">
        <v>279.96</v>
      </c>
      <c r="K1511" s="26" t="n">
        <v>296.56</v>
      </c>
      <c r="L1511" s="26" t="n">
        <v>2.56</v>
      </c>
      <c r="M1511" s="27" t="n">
        <v>0.005</v>
      </c>
      <c r="N1511" s="27" t="n">
        <v>0.002</v>
      </c>
      <c r="O1511" s="26" t="n">
        <v>5</v>
      </c>
      <c r="P1511" s="26" t="n">
        <v>5</v>
      </c>
      <c r="Q1511" s="28" t="n">
        <v>100</v>
      </c>
      <c r="R1511" s="26" t="n">
        <v>30</v>
      </c>
      <c r="S1511" s="26" t="n">
        <v>0</v>
      </c>
      <c r="T1511" s="28" t="n">
        <v>1</v>
      </c>
      <c r="U1511" s="26" t="n">
        <v>0</v>
      </c>
      <c r="V1511" s="26" t="n">
        <v>400</v>
      </c>
      <c r="W1511" s="22" t="s">
        <v>21</v>
      </c>
      <c r="X1511" s="22" t="s">
        <v>373</v>
      </c>
    </row>
    <row r="1512" customFormat="false" ht="15" hidden="false" customHeight="false" outlineLevel="0" collapsed="false">
      <c r="A1512" s="22" t="s">
        <v>6214</v>
      </c>
      <c r="B1512" s="22" t="s">
        <v>21</v>
      </c>
      <c r="C1512" s="22" t="s">
        <v>6215</v>
      </c>
      <c r="D1512" s="22" t="s">
        <v>6216</v>
      </c>
      <c r="E1512" s="22" t="s">
        <v>6217</v>
      </c>
      <c r="F1512" s="22" t="n">
        <v>15</v>
      </c>
      <c r="G1512" s="26" t="n">
        <v>219.1</v>
      </c>
      <c r="H1512" s="26" t="n">
        <v>241.23</v>
      </c>
      <c r="I1512" s="26" t="n">
        <v>263.36</v>
      </c>
      <c r="J1512" s="26" t="n">
        <v>279.96</v>
      </c>
      <c r="K1512" s="26" t="n">
        <v>296.56</v>
      </c>
      <c r="L1512" s="26" t="n">
        <v>2.56</v>
      </c>
      <c r="M1512" s="27" t="n">
        <v>0.005</v>
      </c>
      <c r="N1512" s="27" t="n">
        <v>0.002</v>
      </c>
      <c r="O1512" s="26" t="n">
        <v>5</v>
      </c>
      <c r="P1512" s="26" t="n">
        <v>5</v>
      </c>
      <c r="Q1512" s="28" t="n">
        <v>100</v>
      </c>
      <c r="R1512" s="26" t="n">
        <v>30</v>
      </c>
      <c r="S1512" s="26" t="n">
        <v>0</v>
      </c>
      <c r="T1512" s="28" t="n">
        <v>1</v>
      </c>
      <c r="U1512" s="26" t="n">
        <v>0</v>
      </c>
      <c r="V1512" s="26" t="n">
        <v>0</v>
      </c>
      <c r="W1512" s="22" t="s">
        <v>21</v>
      </c>
      <c r="X1512" s="22" t="s">
        <v>373</v>
      </c>
    </row>
    <row r="1513" customFormat="false" ht="15" hidden="false" customHeight="false" outlineLevel="0" collapsed="false">
      <c r="A1513" s="22" t="s">
        <v>6218</v>
      </c>
      <c r="B1513" s="22" t="s">
        <v>21</v>
      </c>
      <c r="C1513" s="22" t="s">
        <v>6219</v>
      </c>
      <c r="D1513" s="22" t="s">
        <v>6220</v>
      </c>
      <c r="E1513" s="22" t="s">
        <v>6221</v>
      </c>
      <c r="F1513" s="22" t="n">
        <v>15</v>
      </c>
      <c r="G1513" s="26" t="n">
        <v>219.1</v>
      </c>
      <c r="H1513" s="26" t="n">
        <v>241.23</v>
      </c>
      <c r="I1513" s="26" t="n">
        <v>263.36</v>
      </c>
      <c r="J1513" s="26" t="n">
        <v>279.96</v>
      </c>
      <c r="K1513" s="26" t="n">
        <v>296.56</v>
      </c>
      <c r="L1513" s="26" t="n">
        <v>2.56</v>
      </c>
      <c r="M1513" s="27" t="n">
        <v>0.005</v>
      </c>
      <c r="N1513" s="27" t="n">
        <v>0.002</v>
      </c>
      <c r="O1513" s="26" t="n">
        <v>5</v>
      </c>
      <c r="P1513" s="26" t="n">
        <v>5</v>
      </c>
      <c r="Q1513" s="28" t="n">
        <v>100</v>
      </c>
      <c r="R1513" s="26" t="n">
        <v>30</v>
      </c>
      <c r="S1513" s="26" t="n">
        <v>0</v>
      </c>
      <c r="T1513" s="28" t="n">
        <v>1</v>
      </c>
      <c r="U1513" s="26" t="n">
        <v>0</v>
      </c>
      <c r="V1513" s="26" t="n">
        <v>0</v>
      </c>
      <c r="W1513" s="22" t="s">
        <v>21</v>
      </c>
      <c r="X1513" s="22" t="s">
        <v>373</v>
      </c>
    </row>
    <row r="1514" customFormat="false" ht="15" hidden="false" customHeight="false" outlineLevel="0" collapsed="false">
      <c r="A1514" s="22" t="s">
        <v>6222</v>
      </c>
      <c r="B1514" s="22" t="s">
        <v>21</v>
      </c>
      <c r="C1514" s="22" t="s">
        <v>6223</v>
      </c>
      <c r="D1514" s="22" t="s">
        <v>6224</v>
      </c>
      <c r="E1514" s="22" t="s">
        <v>6225</v>
      </c>
      <c r="F1514" s="22" t="n">
        <v>15</v>
      </c>
      <c r="G1514" s="26" t="n">
        <v>219.1</v>
      </c>
      <c r="H1514" s="26" t="n">
        <v>241.23</v>
      </c>
      <c r="I1514" s="26" t="n">
        <v>263.36</v>
      </c>
      <c r="J1514" s="26" t="n">
        <v>279.96</v>
      </c>
      <c r="K1514" s="26" t="n">
        <v>296.56</v>
      </c>
      <c r="L1514" s="26" t="n">
        <v>2.56</v>
      </c>
      <c r="M1514" s="27" t="n">
        <v>0.005</v>
      </c>
      <c r="N1514" s="27" t="n">
        <v>0.002</v>
      </c>
      <c r="O1514" s="26" t="n">
        <v>5</v>
      </c>
      <c r="P1514" s="26" t="n">
        <v>5</v>
      </c>
      <c r="Q1514" s="28" t="n">
        <v>100</v>
      </c>
      <c r="R1514" s="26" t="n">
        <v>30</v>
      </c>
      <c r="S1514" s="26" t="n">
        <v>0</v>
      </c>
      <c r="T1514" s="28" t="n">
        <v>1</v>
      </c>
      <c r="U1514" s="26" t="n">
        <v>0</v>
      </c>
      <c r="V1514" s="26" t="n">
        <v>0</v>
      </c>
      <c r="W1514" s="22" t="s">
        <v>21</v>
      </c>
      <c r="X1514" s="22" t="s">
        <v>373</v>
      </c>
    </row>
    <row r="1515" customFormat="false" ht="15" hidden="false" customHeight="false" outlineLevel="0" collapsed="false">
      <c r="A1515" s="22" t="s">
        <v>6226</v>
      </c>
      <c r="B1515" s="22" t="s">
        <v>21</v>
      </c>
      <c r="C1515" s="22" t="s">
        <v>5361</v>
      </c>
      <c r="D1515" s="22" t="s">
        <v>6227</v>
      </c>
      <c r="E1515" s="22" t="s">
        <v>6228</v>
      </c>
      <c r="F1515" s="22" t="n">
        <v>15</v>
      </c>
      <c r="G1515" s="26" t="n">
        <v>219.1</v>
      </c>
      <c r="H1515" s="26" t="n">
        <v>241.23</v>
      </c>
      <c r="I1515" s="26" t="n">
        <v>263.36</v>
      </c>
      <c r="J1515" s="26" t="n">
        <v>279.96</v>
      </c>
      <c r="K1515" s="26" t="n">
        <v>296.56</v>
      </c>
      <c r="L1515" s="26" t="n">
        <v>2.56</v>
      </c>
      <c r="M1515" s="27" t="n">
        <v>0.005</v>
      </c>
      <c r="N1515" s="27" t="n">
        <v>0.002</v>
      </c>
      <c r="O1515" s="26" t="n">
        <v>5</v>
      </c>
      <c r="P1515" s="26" t="n">
        <v>5</v>
      </c>
      <c r="Q1515" s="28" t="n">
        <v>100</v>
      </c>
      <c r="R1515" s="26" t="n">
        <v>30</v>
      </c>
      <c r="S1515" s="26" t="n">
        <v>0</v>
      </c>
      <c r="T1515" s="28" t="n">
        <v>1</v>
      </c>
      <c r="U1515" s="26" t="n">
        <v>0</v>
      </c>
      <c r="V1515" s="26" t="n">
        <v>400</v>
      </c>
      <c r="W1515" s="22" t="s">
        <v>21</v>
      </c>
      <c r="X1515" s="22" t="s">
        <v>373</v>
      </c>
    </row>
    <row r="1516" customFormat="false" ht="15" hidden="false" customHeight="false" outlineLevel="0" collapsed="false">
      <c r="A1516" s="22" t="s">
        <v>6229</v>
      </c>
      <c r="B1516" s="22" t="s">
        <v>21</v>
      </c>
      <c r="C1516" s="22" t="s">
        <v>6230</v>
      </c>
      <c r="D1516" s="22" t="s">
        <v>6231</v>
      </c>
      <c r="E1516" s="22" t="s">
        <v>6232</v>
      </c>
      <c r="F1516" s="22" t="n">
        <v>15</v>
      </c>
      <c r="G1516" s="26" t="n">
        <v>219.1</v>
      </c>
      <c r="H1516" s="26" t="n">
        <v>241.23</v>
      </c>
      <c r="I1516" s="26" t="n">
        <v>263.36</v>
      </c>
      <c r="J1516" s="26" t="n">
        <v>279.96</v>
      </c>
      <c r="K1516" s="26" t="n">
        <v>296.56</v>
      </c>
      <c r="L1516" s="26" t="n">
        <v>2.56</v>
      </c>
      <c r="M1516" s="27" t="n">
        <v>0.005</v>
      </c>
      <c r="N1516" s="27" t="n">
        <v>0.002</v>
      </c>
      <c r="O1516" s="26" t="n">
        <v>5</v>
      </c>
      <c r="P1516" s="26" t="n">
        <v>5</v>
      </c>
      <c r="Q1516" s="28" t="n">
        <v>100</v>
      </c>
      <c r="R1516" s="26" t="n">
        <v>30</v>
      </c>
      <c r="S1516" s="26" t="n">
        <v>0</v>
      </c>
      <c r="T1516" s="28" t="n">
        <v>1</v>
      </c>
      <c r="U1516" s="26" t="n">
        <v>0</v>
      </c>
      <c r="V1516" s="26" t="n">
        <v>0</v>
      </c>
      <c r="W1516" s="22" t="s">
        <v>21</v>
      </c>
      <c r="X1516" s="22" t="s">
        <v>373</v>
      </c>
    </row>
    <row r="1517" customFormat="false" ht="15" hidden="false" customHeight="false" outlineLevel="0" collapsed="false">
      <c r="A1517" s="22" t="s">
        <v>6233</v>
      </c>
      <c r="B1517" s="22" t="s">
        <v>21</v>
      </c>
      <c r="C1517" s="22" t="s">
        <v>6234</v>
      </c>
      <c r="D1517" s="22" t="s">
        <v>6235</v>
      </c>
      <c r="E1517" s="22" t="s">
        <v>6236</v>
      </c>
      <c r="F1517" s="22" t="n">
        <v>15</v>
      </c>
      <c r="G1517" s="26" t="n">
        <v>219.1</v>
      </c>
      <c r="H1517" s="26" t="n">
        <v>241.23</v>
      </c>
      <c r="I1517" s="26" t="n">
        <v>263.36</v>
      </c>
      <c r="J1517" s="26" t="n">
        <v>279.96</v>
      </c>
      <c r="K1517" s="26" t="n">
        <v>296.56</v>
      </c>
      <c r="L1517" s="26" t="n">
        <v>2.56</v>
      </c>
      <c r="M1517" s="27" t="n">
        <v>0.005</v>
      </c>
      <c r="N1517" s="27" t="n">
        <v>0.002</v>
      </c>
      <c r="O1517" s="26" t="n">
        <v>5</v>
      </c>
      <c r="P1517" s="26" t="n">
        <v>5</v>
      </c>
      <c r="Q1517" s="28" t="n">
        <v>100</v>
      </c>
      <c r="R1517" s="26" t="n">
        <v>30</v>
      </c>
      <c r="S1517" s="26" t="n">
        <v>0</v>
      </c>
      <c r="T1517" s="28" t="n">
        <v>1</v>
      </c>
      <c r="U1517" s="26" t="n">
        <v>0</v>
      </c>
      <c r="V1517" s="26" t="n">
        <v>0</v>
      </c>
      <c r="W1517" s="22" t="s">
        <v>21</v>
      </c>
      <c r="X1517" s="22" t="s">
        <v>373</v>
      </c>
    </row>
    <row r="1518" customFormat="false" ht="15" hidden="false" customHeight="false" outlineLevel="0" collapsed="false">
      <c r="A1518" s="22" t="s">
        <v>6237</v>
      </c>
      <c r="B1518" s="22" t="s">
        <v>21</v>
      </c>
      <c r="C1518" s="22" t="s">
        <v>6238</v>
      </c>
      <c r="D1518" s="22" t="s">
        <v>6239</v>
      </c>
      <c r="E1518" s="22" t="s">
        <v>6240</v>
      </c>
      <c r="F1518" s="22" t="n">
        <v>15</v>
      </c>
      <c r="G1518" s="26" t="n">
        <v>219.1</v>
      </c>
      <c r="H1518" s="26" t="n">
        <v>241.23</v>
      </c>
      <c r="I1518" s="26" t="n">
        <v>263.36</v>
      </c>
      <c r="J1518" s="26" t="n">
        <v>279.96</v>
      </c>
      <c r="K1518" s="26" t="n">
        <v>296.56</v>
      </c>
      <c r="L1518" s="26" t="n">
        <v>2.56</v>
      </c>
      <c r="M1518" s="27" t="n">
        <v>0.005</v>
      </c>
      <c r="N1518" s="27" t="n">
        <v>0.002</v>
      </c>
      <c r="O1518" s="26" t="n">
        <v>5</v>
      </c>
      <c r="P1518" s="26" t="n">
        <v>5</v>
      </c>
      <c r="Q1518" s="28" t="n">
        <v>100</v>
      </c>
      <c r="R1518" s="26" t="n">
        <v>30</v>
      </c>
      <c r="S1518" s="26" t="n">
        <v>0</v>
      </c>
      <c r="T1518" s="28" t="n">
        <v>1</v>
      </c>
      <c r="U1518" s="26" t="n">
        <v>0</v>
      </c>
      <c r="V1518" s="26" t="n">
        <v>0</v>
      </c>
      <c r="W1518" s="22" t="s">
        <v>21</v>
      </c>
      <c r="X1518" s="22" t="s">
        <v>373</v>
      </c>
    </row>
    <row r="1519" customFormat="false" ht="15" hidden="false" customHeight="false" outlineLevel="0" collapsed="false">
      <c r="A1519" s="22" t="s">
        <v>6241</v>
      </c>
      <c r="B1519" s="22" t="s">
        <v>21</v>
      </c>
      <c r="C1519" s="22" t="s">
        <v>6242</v>
      </c>
      <c r="D1519" s="22" t="s">
        <v>6243</v>
      </c>
      <c r="E1519" s="22" t="s">
        <v>6244</v>
      </c>
      <c r="F1519" s="22" t="n">
        <v>15</v>
      </c>
      <c r="G1519" s="26" t="n">
        <v>219.1</v>
      </c>
      <c r="H1519" s="26" t="n">
        <v>241.23</v>
      </c>
      <c r="I1519" s="26" t="n">
        <v>263.36</v>
      </c>
      <c r="J1519" s="26" t="n">
        <v>279.96</v>
      </c>
      <c r="K1519" s="26" t="n">
        <v>296.56</v>
      </c>
      <c r="L1519" s="26" t="n">
        <v>2.56</v>
      </c>
      <c r="M1519" s="27" t="n">
        <v>0.005</v>
      </c>
      <c r="N1519" s="27" t="n">
        <v>0.002</v>
      </c>
      <c r="O1519" s="26" t="n">
        <v>5</v>
      </c>
      <c r="P1519" s="26" t="n">
        <v>5</v>
      </c>
      <c r="Q1519" s="28" t="n">
        <v>100</v>
      </c>
      <c r="R1519" s="26" t="n">
        <v>30</v>
      </c>
      <c r="S1519" s="26" t="n">
        <v>0</v>
      </c>
      <c r="T1519" s="28" t="n">
        <v>1</v>
      </c>
      <c r="U1519" s="26" t="n">
        <v>0</v>
      </c>
      <c r="V1519" s="26" t="n">
        <v>400</v>
      </c>
      <c r="W1519" s="22" t="s">
        <v>21</v>
      </c>
      <c r="X1519" s="22" t="s">
        <v>373</v>
      </c>
    </row>
    <row r="1520" customFormat="false" ht="15" hidden="false" customHeight="false" outlineLevel="0" collapsed="false">
      <c r="A1520" s="22" t="s">
        <v>6245</v>
      </c>
      <c r="B1520" s="22" t="s">
        <v>21</v>
      </c>
      <c r="C1520" s="22" t="s">
        <v>6246</v>
      </c>
      <c r="D1520" s="22" t="s">
        <v>6247</v>
      </c>
      <c r="E1520" s="22" t="s">
        <v>6248</v>
      </c>
      <c r="F1520" s="22" t="n">
        <v>15</v>
      </c>
      <c r="G1520" s="26" t="n">
        <v>219.1</v>
      </c>
      <c r="H1520" s="26" t="n">
        <v>241.23</v>
      </c>
      <c r="I1520" s="26" t="n">
        <v>263.36</v>
      </c>
      <c r="J1520" s="26" t="n">
        <v>279.96</v>
      </c>
      <c r="K1520" s="26" t="n">
        <v>296.56</v>
      </c>
      <c r="L1520" s="26" t="n">
        <v>2.56</v>
      </c>
      <c r="M1520" s="27" t="n">
        <v>0.005</v>
      </c>
      <c r="N1520" s="27" t="n">
        <v>0.002</v>
      </c>
      <c r="O1520" s="26" t="n">
        <v>5</v>
      </c>
      <c r="P1520" s="26" t="n">
        <v>5</v>
      </c>
      <c r="Q1520" s="28" t="n">
        <v>100</v>
      </c>
      <c r="R1520" s="26" t="n">
        <v>30</v>
      </c>
      <c r="S1520" s="26" t="n">
        <v>0</v>
      </c>
      <c r="T1520" s="28" t="n">
        <v>1</v>
      </c>
      <c r="U1520" s="26" t="n">
        <v>0</v>
      </c>
      <c r="V1520" s="26" t="n">
        <v>0</v>
      </c>
      <c r="W1520" s="22" t="s">
        <v>21</v>
      </c>
      <c r="X1520" s="22" t="s">
        <v>373</v>
      </c>
    </row>
    <row r="1521" customFormat="false" ht="15" hidden="false" customHeight="false" outlineLevel="0" collapsed="false">
      <c r="A1521" s="22" t="s">
        <v>6249</v>
      </c>
      <c r="B1521" s="22" t="s">
        <v>21</v>
      </c>
      <c r="C1521" s="22" t="s">
        <v>6250</v>
      </c>
      <c r="D1521" s="22" t="s">
        <v>6251</v>
      </c>
      <c r="E1521" s="22" t="s">
        <v>6252</v>
      </c>
      <c r="F1521" s="22" t="n">
        <v>15</v>
      </c>
      <c r="G1521" s="26" t="n">
        <v>219.1</v>
      </c>
      <c r="H1521" s="26" t="n">
        <v>241.23</v>
      </c>
      <c r="I1521" s="26" t="n">
        <v>263.36</v>
      </c>
      <c r="J1521" s="26" t="n">
        <v>279.96</v>
      </c>
      <c r="K1521" s="26" t="n">
        <v>296.56</v>
      </c>
      <c r="L1521" s="26" t="n">
        <v>2.56</v>
      </c>
      <c r="M1521" s="27" t="n">
        <v>0.005</v>
      </c>
      <c r="N1521" s="27" t="n">
        <v>0.002</v>
      </c>
      <c r="O1521" s="26" t="n">
        <v>5</v>
      </c>
      <c r="P1521" s="26" t="n">
        <v>5</v>
      </c>
      <c r="Q1521" s="28" t="n">
        <v>100</v>
      </c>
      <c r="R1521" s="26" t="n">
        <v>30</v>
      </c>
      <c r="S1521" s="26" t="n">
        <v>0</v>
      </c>
      <c r="T1521" s="28" t="n">
        <v>1</v>
      </c>
      <c r="U1521" s="26" t="n">
        <v>0</v>
      </c>
      <c r="V1521" s="26" t="n">
        <v>0</v>
      </c>
      <c r="W1521" s="22" t="s">
        <v>21</v>
      </c>
      <c r="X1521" s="22" t="s">
        <v>373</v>
      </c>
    </row>
    <row r="1522" customFormat="false" ht="15" hidden="false" customHeight="false" outlineLevel="0" collapsed="false">
      <c r="A1522" s="22" t="s">
        <v>6253</v>
      </c>
      <c r="B1522" s="22" t="s">
        <v>21</v>
      </c>
      <c r="C1522" s="22" t="s">
        <v>6254</v>
      </c>
      <c r="D1522" s="22" t="s">
        <v>6255</v>
      </c>
      <c r="E1522" s="22" t="s">
        <v>6256</v>
      </c>
      <c r="F1522" s="22" t="n">
        <v>15</v>
      </c>
      <c r="G1522" s="26" t="n">
        <v>219.1</v>
      </c>
      <c r="H1522" s="26" t="n">
        <v>241.23</v>
      </c>
      <c r="I1522" s="26" t="n">
        <v>263.36</v>
      </c>
      <c r="J1522" s="26" t="n">
        <v>279.96</v>
      </c>
      <c r="K1522" s="26" t="n">
        <v>296.56</v>
      </c>
      <c r="L1522" s="26" t="n">
        <v>2.56</v>
      </c>
      <c r="M1522" s="27" t="n">
        <v>0.005</v>
      </c>
      <c r="N1522" s="27" t="n">
        <v>0.002</v>
      </c>
      <c r="O1522" s="26" t="n">
        <v>5</v>
      </c>
      <c r="P1522" s="26" t="n">
        <v>5</v>
      </c>
      <c r="Q1522" s="28" t="n">
        <v>100</v>
      </c>
      <c r="R1522" s="26" t="n">
        <v>30</v>
      </c>
      <c r="S1522" s="26" t="n">
        <v>0</v>
      </c>
      <c r="T1522" s="28" t="n">
        <v>1</v>
      </c>
      <c r="U1522" s="26" t="n">
        <v>0</v>
      </c>
      <c r="V1522" s="26" t="n">
        <v>0</v>
      </c>
      <c r="W1522" s="22" t="s">
        <v>21</v>
      </c>
      <c r="X1522" s="22" t="s">
        <v>373</v>
      </c>
    </row>
    <row r="1523" customFormat="false" ht="15" hidden="false" customHeight="false" outlineLevel="0" collapsed="false">
      <c r="A1523" s="22" t="s">
        <v>6257</v>
      </c>
      <c r="B1523" s="22" t="s">
        <v>21</v>
      </c>
      <c r="C1523" s="22" t="s">
        <v>6258</v>
      </c>
      <c r="D1523" s="22" t="s">
        <v>6259</v>
      </c>
      <c r="E1523" s="22" t="s">
        <v>6260</v>
      </c>
      <c r="F1523" s="22" t="n">
        <v>15</v>
      </c>
      <c r="G1523" s="26" t="n">
        <v>219.1</v>
      </c>
      <c r="H1523" s="26" t="n">
        <v>241.23</v>
      </c>
      <c r="I1523" s="26" t="n">
        <v>263.36</v>
      </c>
      <c r="J1523" s="26" t="n">
        <v>279.96</v>
      </c>
      <c r="K1523" s="26" t="n">
        <v>296.56</v>
      </c>
      <c r="L1523" s="26" t="n">
        <v>2.56</v>
      </c>
      <c r="M1523" s="27" t="n">
        <v>0.005</v>
      </c>
      <c r="N1523" s="27" t="n">
        <v>0.002</v>
      </c>
      <c r="O1523" s="26" t="n">
        <v>5</v>
      </c>
      <c r="P1523" s="26" t="n">
        <v>5</v>
      </c>
      <c r="Q1523" s="28" t="n">
        <v>100</v>
      </c>
      <c r="R1523" s="26" t="n">
        <v>30</v>
      </c>
      <c r="S1523" s="26" t="n">
        <v>0</v>
      </c>
      <c r="T1523" s="28" t="n">
        <v>1</v>
      </c>
      <c r="U1523" s="26" t="n">
        <v>0</v>
      </c>
      <c r="V1523" s="26" t="n">
        <v>0</v>
      </c>
      <c r="W1523" s="22" t="s">
        <v>21</v>
      </c>
      <c r="X1523" s="22" t="s">
        <v>373</v>
      </c>
    </row>
    <row r="1524" customFormat="false" ht="15" hidden="false" customHeight="false" outlineLevel="0" collapsed="false">
      <c r="A1524" s="22" t="s">
        <v>6261</v>
      </c>
      <c r="B1524" s="22" t="s">
        <v>21</v>
      </c>
      <c r="C1524" s="22" t="s">
        <v>6262</v>
      </c>
      <c r="D1524" s="22" t="s">
        <v>6263</v>
      </c>
      <c r="E1524" s="22" t="s">
        <v>6264</v>
      </c>
      <c r="F1524" s="22" t="n">
        <v>15</v>
      </c>
      <c r="G1524" s="26" t="n">
        <v>219.1</v>
      </c>
      <c r="H1524" s="26" t="n">
        <v>241.23</v>
      </c>
      <c r="I1524" s="26" t="n">
        <v>263.36</v>
      </c>
      <c r="J1524" s="26" t="n">
        <v>279.96</v>
      </c>
      <c r="K1524" s="26" t="n">
        <v>296.56</v>
      </c>
      <c r="L1524" s="26" t="n">
        <v>2.56</v>
      </c>
      <c r="M1524" s="27" t="n">
        <v>0.005</v>
      </c>
      <c r="N1524" s="27" t="n">
        <v>0.002</v>
      </c>
      <c r="O1524" s="26" t="n">
        <v>5</v>
      </c>
      <c r="P1524" s="26" t="n">
        <v>5</v>
      </c>
      <c r="Q1524" s="28" t="n">
        <v>100</v>
      </c>
      <c r="R1524" s="26" t="n">
        <v>30</v>
      </c>
      <c r="S1524" s="26" t="n">
        <v>0</v>
      </c>
      <c r="T1524" s="28" t="n">
        <v>1</v>
      </c>
      <c r="U1524" s="26" t="n">
        <v>0</v>
      </c>
      <c r="V1524" s="26" t="n">
        <v>400</v>
      </c>
      <c r="W1524" s="22" t="s">
        <v>21</v>
      </c>
      <c r="X1524" s="22" t="s">
        <v>373</v>
      </c>
    </row>
    <row r="1525" customFormat="false" ht="15" hidden="false" customHeight="false" outlineLevel="0" collapsed="false">
      <c r="A1525" s="22" t="s">
        <v>6265</v>
      </c>
      <c r="B1525" s="22" t="s">
        <v>21</v>
      </c>
      <c r="C1525" s="22" t="s">
        <v>6266</v>
      </c>
      <c r="D1525" s="22" t="s">
        <v>6267</v>
      </c>
      <c r="E1525" s="22" t="s">
        <v>6268</v>
      </c>
      <c r="F1525" s="22" t="n">
        <v>15</v>
      </c>
      <c r="G1525" s="26" t="n">
        <v>219.1</v>
      </c>
      <c r="H1525" s="26" t="n">
        <v>241.23</v>
      </c>
      <c r="I1525" s="26" t="n">
        <v>263.36</v>
      </c>
      <c r="J1525" s="26" t="n">
        <v>279.96</v>
      </c>
      <c r="K1525" s="26" t="n">
        <v>296.56</v>
      </c>
      <c r="L1525" s="26" t="n">
        <v>2.56</v>
      </c>
      <c r="M1525" s="27" t="n">
        <v>0.005</v>
      </c>
      <c r="N1525" s="27" t="n">
        <v>0.002</v>
      </c>
      <c r="O1525" s="26" t="n">
        <v>5</v>
      </c>
      <c r="P1525" s="26" t="n">
        <v>5</v>
      </c>
      <c r="Q1525" s="28" t="n">
        <v>100</v>
      </c>
      <c r="R1525" s="26" t="n">
        <v>30</v>
      </c>
      <c r="S1525" s="26" t="n">
        <v>0</v>
      </c>
      <c r="T1525" s="28" t="n">
        <v>1</v>
      </c>
      <c r="U1525" s="26" t="n">
        <v>0</v>
      </c>
      <c r="V1525" s="26" t="n">
        <v>400</v>
      </c>
      <c r="W1525" s="22" t="s">
        <v>21</v>
      </c>
      <c r="X1525" s="22" t="s">
        <v>373</v>
      </c>
    </row>
    <row r="1526" customFormat="false" ht="15" hidden="false" customHeight="false" outlineLevel="0" collapsed="false">
      <c r="A1526" s="22" t="s">
        <v>6269</v>
      </c>
      <c r="B1526" s="22" t="s">
        <v>21</v>
      </c>
      <c r="C1526" s="22" t="s">
        <v>6270</v>
      </c>
      <c r="D1526" s="22" t="s">
        <v>6271</v>
      </c>
      <c r="E1526" s="22" t="s">
        <v>6272</v>
      </c>
      <c r="F1526" s="22" t="n">
        <v>15</v>
      </c>
      <c r="G1526" s="26" t="n">
        <v>219.1</v>
      </c>
      <c r="H1526" s="26" t="n">
        <v>241.23</v>
      </c>
      <c r="I1526" s="26" t="n">
        <v>263.36</v>
      </c>
      <c r="J1526" s="26" t="n">
        <v>279.96</v>
      </c>
      <c r="K1526" s="26" t="n">
        <v>296.56</v>
      </c>
      <c r="L1526" s="26" t="n">
        <v>2.56</v>
      </c>
      <c r="M1526" s="27" t="n">
        <v>0.005</v>
      </c>
      <c r="N1526" s="27" t="n">
        <v>0.002</v>
      </c>
      <c r="O1526" s="26" t="n">
        <v>5</v>
      </c>
      <c r="P1526" s="26" t="n">
        <v>5</v>
      </c>
      <c r="Q1526" s="28" t="n">
        <v>100</v>
      </c>
      <c r="R1526" s="26" t="n">
        <v>30</v>
      </c>
      <c r="S1526" s="26" t="n">
        <v>0</v>
      </c>
      <c r="T1526" s="28" t="n">
        <v>1</v>
      </c>
      <c r="U1526" s="26" t="n">
        <v>0</v>
      </c>
      <c r="V1526" s="26" t="n">
        <v>400</v>
      </c>
      <c r="W1526" s="22" t="s">
        <v>21</v>
      </c>
      <c r="X1526" s="22" t="s">
        <v>373</v>
      </c>
    </row>
    <row r="1527" customFormat="false" ht="15" hidden="false" customHeight="false" outlineLevel="0" collapsed="false">
      <c r="A1527" s="22" t="s">
        <v>6273</v>
      </c>
      <c r="B1527" s="22" t="s">
        <v>21</v>
      </c>
      <c r="C1527" s="22" t="s">
        <v>6274</v>
      </c>
      <c r="D1527" s="22" t="s">
        <v>6275</v>
      </c>
      <c r="E1527" s="22" t="s">
        <v>6276</v>
      </c>
      <c r="F1527" s="22" t="n">
        <v>15</v>
      </c>
      <c r="G1527" s="26" t="n">
        <v>219.1</v>
      </c>
      <c r="H1527" s="26" t="n">
        <v>241.23</v>
      </c>
      <c r="I1527" s="26" t="n">
        <v>263.36</v>
      </c>
      <c r="J1527" s="26" t="n">
        <v>279.96</v>
      </c>
      <c r="K1527" s="26" t="n">
        <v>296.56</v>
      </c>
      <c r="L1527" s="26" t="n">
        <v>2.56</v>
      </c>
      <c r="M1527" s="27" t="n">
        <v>0.005</v>
      </c>
      <c r="N1527" s="27" t="n">
        <v>0.002</v>
      </c>
      <c r="O1527" s="26" t="n">
        <v>5</v>
      </c>
      <c r="P1527" s="26" t="n">
        <v>5</v>
      </c>
      <c r="Q1527" s="28" t="n">
        <v>100</v>
      </c>
      <c r="R1527" s="26" t="n">
        <v>30</v>
      </c>
      <c r="S1527" s="26" t="n">
        <v>0</v>
      </c>
      <c r="T1527" s="28" t="n">
        <v>1</v>
      </c>
      <c r="U1527" s="26" t="n">
        <v>0</v>
      </c>
      <c r="V1527" s="26" t="n">
        <v>0</v>
      </c>
      <c r="W1527" s="22" t="s">
        <v>21</v>
      </c>
      <c r="X1527" s="22" t="s">
        <v>373</v>
      </c>
    </row>
    <row r="1528" customFormat="false" ht="15" hidden="false" customHeight="false" outlineLevel="0" collapsed="false">
      <c r="A1528" s="22" t="s">
        <v>6277</v>
      </c>
      <c r="B1528" s="22" t="s">
        <v>21</v>
      </c>
      <c r="C1528" s="22" t="s">
        <v>6278</v>
      </c>
      <c r="D1528" s="22" t="s">
        <v>6279</v>
      </c>
      <c r="E1528" s="22" t="s">
        <v>6280</v>
      </c>
      <c r="F1528" s="22" t="n">
        <v>15</v>
      </c>
      <c r="G1528" s="26" t="n">
        <v>219.1</v>
      </c>
      <c r="H1528" s="26" t="n">
        <v>241.23</v>
      </c>
      <c r="I1528" s="26" t="n">
        <v>263.36</v>
      </c>
      <c r="J1528" s="26" t="n">
        <v>279.96</v>
      </c>
      <c r="K1528" s="26" t="n">
        <v>296.56</v>
      </c>
      <c r="L1528" s="26" t="n">
        <v>2.56</v>
      </c>
      <c r="M1528" s="27" t="n">
        <v>0.005</v>
      </c>
      <c r="N1528" s="27" t="n">
        <v>0.002</v>
      </c>
      <c r="O1528" s="26" t="n">
        <v>5</v>
      </c>
      <c r="P1528" s="26" t="n">
        <v>5</v>
      </c>
      <c r="Q1528" s="28" t="n">
        <v>100</v>
      </c>
      <c r="R1528" s="26" t="n">
        <v>30</v>
      </c>
      <c r="S1528" s="26" t="n">
        <v>0</v>
      </c>
      <c r="T1528" s="28" t="n">
        <v>1</v>
      </c>
      <c r="U1528" s="26" t="n">
        <v>0</v>
      </c>
      <c r="V1528" s="26" t="n">
        <v>0</v>
      </c>
      <c r="W1528" s="22" t="s">
        <v>21</v>
      </c>
      <c r="X1528" s="22" t="s">
        <v>373</v>
      </c>
    </row>
    <row r="1529" customFormat="false" ht="15" hidden="false" customHeight="false" outlineLevel="0" collapsed="false">
      <c r="A1529" s="22" t="s">
        <v>6281</v>
      </c>
      <c r="B1529" s="22" t="s">
        <v>21</v>
      </c>
      <c r="C1529" s="22" t="s">
        <v>6282</v>
      </c>
      <c r="D1529" s="22" t="s">
        <v>6283</v>
      </c>
      <c r="E1529" s="22" t="s">
        <v>6284</v>
      </c>
      <c r="F1529" s="22" t="n">
        <v>15</v>
      </c>
      <c r="G1529" s="26" t="n">
        <v>219.1</v>
      </c>
      <c r="H1529" s="26" t="n">
        <v>241.23</v>
      </c>
      <c r="I1529" s="26" t="n">
        <v>263.36</v>
      </c>
      <c r="J1529" s="26" t="n">
        <v>279.96</v>
      </c>
      <c r="K1529" s="26" t="n">
        <v>296.56</v>
      </c>
      <c r="L1529" s="26" t="n">
        <v>2.56</v>
      </c>
      <c r="M1529" s="27" t="n">
        <v>0.005</v>
      </c>
      <c r="N1529" s="27" t="n">
        <v>0.002</v>
      </c>
      <c r="O1529" s="26" t="n">
        <v>5</v>
      </c>
      <c r="P1529" s="26" t="n">
        <v>5</v>
      </c>
      <c r="Q1529" s="28" t="n">
        <v>100</v>
      </c>
      <c r="R1529" s="26" t="n">
        <v>30</v>
      </c>
      <c r="S1529" s="26" t="n">
        <v>0</v>
      </c>
      <c r="T1529" s="28" t="n">
        <v>1</v>
      </c>
      <c r="U1529" s="26" t="n">
        <v>0</v>
      </c>
      <c r="V1529" s="26" t="n">
        <v>0</v>
      </c>
      <c r="W1529" s="22" t="s">
        <v>21</v>
      </c>
      <c r="X1529" s="22" t="s">
        <v>373</v>
      </c>
    </row>
    <row r="1530" customFormat="false" ht="15" hidden="false" customHeight="false" outlineLevel="0" collapsed="false">
      <c r="A1530" s="22" t="s">
        <v>6285</v>
      </c>
      <c r="B1530" s="22" t="s">
        <v>21</v>
      </c>
      <c r="C1530" s="22" t="s">
        <v>6286</v>
      </c>
      <c r="D1530" s="22" t="s">
        <v>6287</v>
      </c>
      <c r="E1530" s="22" t="s">
        <v>6288</v>
      </c>
      <c r="F1530" s="22" t="n">
        <v>15</v>
      </c>
      <c r="G1530" s="26" t="n">
        <v>219.1</v>
      </c>
      <c r="H1530" s="26" t="n">
        <v>241.23</v>
      </c>
      <c r="I1530" s="26" t="n">
        <v>263.36</v>
      </c>
      <c r="J1530" s="26" t="n">
        <v>279.96</v>
      </c>
      <c r="K1530" s="26" t="n">
        <v>296.56</v>
      </c>
      <c r="L1530" s="26" t="n">
        <v>2.56</v>
      </c>
      <c r="M1530" s="27" t="n">
        <v>0.005</v>
      </c>
      <c r="N1530" s="27" t="n">
        <v>0.002</v>
      </c>
      <c r="O1530" s="26" t="n">
        <v>5</v>
      </c>
      <c r="P1530" s="26" t="n">
        <v>5</v>
      </c>
      <c r="Q1530" s="28" t="n">
        <v>100</v>
      </c>
      <c r="R1530" s="26" t="n">
        <v>30</v>
      </c>
      <c r="S1530" s="26" t="n">
        <v>0</v>
      </c>
      <c r="T1530" s="28" t="n">
        <v>1</v>
      </c>
      <c r="U1530" s="26" t="n">
        <v>0</v>
      </c>
      <c r="V1530" s="26" t="n">
        <v>0</v>
      </c>
      <c r="W1530" s="22" t="s">
        <v>21</v>
      </c>
      <c r="X1530" s="22" t="s">
        <v>373</v>
      </c>
    </row>
    <row r="1531" customFormat="false" ht="15" hidden="false" customHeight="false" outlineLevel="0" collapsed="false">
      <c r="A1531" s="22" t="s">
        <v>6289</v>
      </c>
      <c r="B1531" s="22" t="s">
        <v>21</v>
      </c>
      <c r="C1531" s="22" t="s">
        <v>6290</v>
      </c>
      <c r="D1531" s="22" t="s">
        <v>6291</v>
      </c>
      <c r="E1531" s="22" t="s">
        <v>6292</v>
      </c>
      <c r="F1531" s="22" t="n">
        <v>15</v>
      </c>
      <c r="G1531" s="26" t="n">
        <v>219.1</v>
      </c>
      <c r="H1531" s="26" t="n">
        <v>241.23</v>
      </c>
      <c r="I1531" s="26" t="n">
        <v>263.36</v>
      </c>
      <c r="J1531" s="26" t="n">
        <v>279.96</v>
      </c>
      <c r="K1531" s="26" t="n">
        <v>296.56</v>
      </c>
      <c r="L1531" s="26" t="n">
        <v>2.56</v>
      </c>
      <c r="M1531" s="27" t="n">
        <v>0.005</v>
      </c>
      <c r="N1531" s="27" t="n">
        <v>0.002</v>
      </c>
      <c r="O1531" s="26" t="n">
        <v>5</v>
      </c>
      <c r="P1531" s="26" t="n">
        <v>5</v>
      </c>
      <c r="Q1531" s="28" t="n">
        <v>100</v>
      </c>
      <c r="R1531" s="26" t="n">
        <v>30</v>
      </c>
      <c r="S1531" s="26" t="n">
        <v>0</v>
      </c>
      <c r="T1531" s="28" t="n">
        <v>1</v>
      </c>
      <c r="U1531" s="26" t="n">
        <v>0</v>
      </c>
      <c r="V1531" s="26" t="n">
        <v>400</v>
      </c>
      <c r="W1531" s="22" t="s">
        <v>21</v>
      </c>
      <c r="X1531" s="22" t="s">
        <v>373</v>
      </c>
    </row>
    <row r="1532" customFormat="false" ht="15" hidden="false" customHeight="false" outlineLevel="0" collapsed="false">
      <c r="A1532" s="22" t="s">
        <v>6293</v>
      </c>
      <c r="B1532" s="22" t="s">
        <v>21</v>
      </c>
      <c r="C1532" s="22" t="s">
        <v>6294</v>
      </c>
      <c r="D1532" s="22" t="s">
        <v>6295</v>
      </c>
      <c r="E1532" s="22" t="s">
        <v>6296</v>
      </c>
      <c r="F1532" s="22" t="n">
        <v>15</v>
      </c>
      <c r="G1532" s="26" t="n">
        <v>219.1</v>
      </c>
      <c r="H1532" s="26" t="n">
        <v>241.23</v>
      </c>
      <c r="I1532" s="26" t="n">
        <v>263.36</v>
      </c>
      <c r="J1532" s="26" t="n">
        <v>279.96</v>
      </c>
      <c r="K1532" s="26" t="n">
        <v>296.56</v>
      </c>
      <c r="L1532" s="26" t="n">
        <v>2.56</v>
      </c>
      <c r="M1532" s="27" t="n">
        <v>0.005</v>
      </c>
      <c r="N1532" s="27" t="n">
        <v>0.002</v>
      </c>
      <c r="O1532" s="26" t="n">
        <v>5</v>
      </c>
      <c r="P1532" s="26" t="n">
        <v>5</v>
      </c>
      <c r="Q1532" s="28" t="n">
        <v>100</v>
      </c>
      <c r="R1532" s="26" t="n">
        <v>30</v>
      </c>
      <c r="S1532" s="26" t="n">
        <v>0</v>
      </c>
      <c r="T1532" s="28" t="n">
        <v>1</v>
      </c>
      <c r="U1532" s="26" t="n">
        <v>0</v>
      </c>
      <c r="V1532" s="26" t="n">
        <v>0</v>
      </c>
      <c r="W1532" s="22" t="s">
        <v>21</v>
      </c>
      <c r="X1532" s="22" t="s">
        <v>373</v>
      </c>
    </row>
    <row r="1533" customFormat="false" ht="15" hidden="false" customHeight="false" outlineLevel="0" collapsed="false">
      <c r="A1533" s="22" t="s">
        <v>6297</v>
      </c>
      <c r="B1533" s="22" t="s">
        <v>21</v>
      </c>
      <c r="C1533" s="22" t="s">
        <v>6298</v>
      </c>
      <c r="D1533" s="22" t="s">
        <v>6299</v>
      </c>
      <c r="E1533" s="22" t="s">
        <v>6300</v>
      </c>
      <c r="F1533" s="22" t="n">
        <v>15</v>
      </c>
      <c r="G1533" s="26" t="n">
        <v>219.1</v>
      </c>
      <c r="H1533" s="26" t="n">
        <v>241.23</v>
      </c>
      <c r="I1533" s="26" t="n">
        <v>263.36</v>
      </c>
      <c r="J1533" s="26" t="n">
        <v>279.96</v>
      </c>
      <c r="K1533" s="26" t="n">
        <v>296.56</v>
      </c>
      <c r="L1533" s="26" t="n">
        <v>2.56</v>
      </c>
      <c r="M1533" s="27" t="n">
        <v>0.005</v>
      </c>
      <c r="N1533" s="27" t="n">
        <v>0.002</v>
      </c>
      <c r="O1533" s="26" t="n">
        <v>5</v>
      </c>
      <c r="P1533" s="26" t="n">
        <v>5</v>
      </c>
      <c r="Q1533" s="28" t="n">
        <v>100</v>
      </c>
      <c r="R1533" s="26" t="n">
        <v>30</v>
      </c>
      <c r="S1533" s="26" t="n">
        <v>0</v>
      </c>
      <c r="T1533" s="28" t="n">
        <v>1</v>
      </c>
      <c r="U1533" s="26" t="n">
        <v>0</v>
      </c>
      <c r="V1533" s="26" t="n">
        <v>0</v>
      </c>
      <c r="W1533" s="22" t="s">
        <v>21</v>
      </c>
      <c r="X1533" s="22" t="s">
        <v>373</v>
      </c>
    </row>
    <row r="1534" customFormat="false" ht="15" hidden="false" customHeight="false" outlineLevel="0" collapsed="false">
      <c r="A1534" s="22" t="s">
        <v>6301</v>
      </c>
      <c r="B1534" s="22" t="s">
        <v>21</v>
      </c>
      <c r="C1534" s="22" t="s">
        <v>6302</v>
      </c>
      <c r="D1534" s="22" t="s">
        <v>6303</v>
      </c>
      <c r="E1534" s="22" t="s">
        <v>6304</v>
      </c>
      <c r="F1534" s="22" t="n">
        <v>15</v>
      </c>
      <c r="G1534" s="26" t="n">
        <v>219.1</v>
      </c>
      <c r="H1534" s="26" t="n">
        <v>241.23</v>
      </c>
      <c r="I1534" s="26" t="n">
        <v>263.36</v>
      </c>
      <c r="J1534" s="26" t="n">
        <v>279.96</v>
      </c>
      <c r="K1534" s="26" t="n">
        <v>296.56</v>
      </c>
      <c r="L1534" s="26" t="n">
        <v>2.56</v>
      </c>
      <c r="M1534" s="27" t="n">
        <v>0.005</v>
      </c>
      <c r="N1534" s="27" t="n">
        <v>0.002</v>
      </c>
      <c r="O1534" s="26" t="n">
        <v>5</v>
      </c>
      <c r="P1534" s="26" t="n">
        <v>5</v>
      </c>
      <c r="Q1534" s="28" t="n">
        <v>100</v>
      </c>
      <c r="R1534" s="26" t="n">
        <v>30</v>
      </c>
      <c r="S1534" s="26" t="n">
        <v>0</v>
      </c>
      <c r="T1534" s="28" t="n">
        <v>1</v>
      </c>
      <c r="U1534" s="26" t="n">
        <v>0</v>
      </c>
      <c r="V1534" s="26" t="n">
        <v>0</v>
      </c>
      <c r="W1534" s="22" t="s">
        <v>21</v>
      </c>
      <c r="X1534" s="22" t="s">
        <v>373</v>
      </c>
    </row>
    <row r="1535" customFormat="false" ht="15" hidden="false" customHeight="false" outlineLevel="0" collapsed="false">
      <c r="A1535" s="22" t="s">
        <v>6305</v>
      </c>
      <c r="B1535" s="22" t="s">
        <v>21</v>
      </c>
      <c r="C1535" s="22" t="s">
        <v>6306</v>
      </c>
      <c r="D1535" s="22" t="s">
        <v>6307</v>
      </c>
      <c r="E1535" s="22" t="s">
        <v>6308</v>
      </c>
      <c r="F1535" s="22" t="n">
        <v>15</v>
      </c>
      <c r="G1535" s="26" t="n">
        <v>219.1</v>
      </c>
      <c r="H1535" s="26" t="n">
        <v>241.23</v>
      </c>
      <c r="I1535" s="26" t="n">
        <v>263.36</v>
      </c>
      <c r="J1535" s="26" t="n">
        <v>279.96</v>
      </c>
      <c r="K1535" s="26" t="n">
        <v>296.56</v>
      </c>
      <c r="L1535" s="26" t="n">
        <v>2.56</v>
      </c>
      <c r="M1535" s="27" t="n">
        <v>0.005</v>
      </c>
      <c r="N1535" s="27" t="n">
        <v>0.002</v>
      </c>
      <c r="O1535" s="26" t="n">
        <v>5</v>
      </c>
      <c r="P1535" s="26" t="n">
        <v>5</v>
      </c>
      <c r="Q1535" s="28" t="n">
        <v>100</v>
      </c>
      <c r="R1535" s="26" t="n">
        <v>30</v>
      </c>
      <c r="S1535" s="26" t="n">
        <v>0</v>
      </c>
      <c r="T1535" s="28" t="n">
        <v>1</v>
      </c>
      <c r="U1535" s="26" t="n">
        <v>0</v>
      </c>
      <c r="V1535" s="26" t="n">
        <v>400</v>
      </c>
      <c r="W1535" s="22" t="s">
        <v>21</v>
      </c>
      <c r="X1535" s="22" t="s">
        <v>373</v>
      </c>
    </row>
    <row r="1536" customFormat="false" ht="15" hidden="false" customHeight="false" outlineLevel="0" collapsed="false">
      <c r="A1536" s="22" t="s">
        <v>6309</v>
      </c>
      <c r="B1536" s="22" t="s">
        <v>21</v>
      </c>
      <c r="C1536" s="22" t="s">
        <v>6310</v>
      </c>
      <c r="D1536" s="22" t="s">
        <v>6311</v>
      </c>
      <c r="E1536" s="22" t="s">
        <v>6312</v>
      </c>
      <c r="F1536" s="22" t="n">
        <v>15</v>
      </c>
      <c r="G1536" s="26" t="n">
        <v>219.1</v>
      </c>
      <c r="H1536" s="26" t="n">
        <v>241.23</v>
      </c>
      <c r="I1536" s="26" t="n">
        <v>263.36</v>
      </c>
      <c r="J1536" s="26" t="n">
        <v>279.96</v>
      </c>
      <c r="K1536" s="26" t="n">
        <v>296.56</v>
      </c>
      <c r="L1536" s="26" t="n">
        <v>2.56</v>
      </c>
      <c r="M1536" s="27" t="n">
        <v>0.005</v>
      </c>
      <c r="N1536" s="27" t="n">
        <v>0.002</v>
      </c>
      <c r="O1536" s="26" t="n">
        <v>5</v>
      </c>
      <c r="P1536" s="26" t="n">
        <v>5</v>
      </c>
      <c r="Q1536" s="28" t="n">
        <v>100</v>
      </c>
      <c r="R1536" s="26" t="n">
        <v>30</v>
      </c>
      <c r="S1536" s="26" t="n">
        <v>0</v>
      </c>
      <c r="T1536" s="28" t="n">
        <v>1</v>
      </c>
      <c r="U1536" s="26" t="n">
        <v>0</v>
      </c>
      <c r="V1536" s="26" t="n">
        <v>0</v>
      </c>
      <c r="W1536" s="22" t="s">
        <v>21</v>
      </c>
      <c r="X1536" s="22" t="s">
        <v>373</v>
      </c>
    </row>
    <row r="1537" customFormat="false" ht="15" hidden="false" customHeight="false" outlineLevel="0" collapsed="false">
      <c r="A1537" s="22" t="s">
        <v>6313</v>
      </c>
      <c r="B1537" s="22" t="s">
        <v>21</v>
      </c>
      <c r="C1537" s="22" t="s">
        <v>6314</v>
      </c>
      <c r="D1537" s="22" t="s">
        <v>6315</v>
      </c>
      <c r="E1537" s="22" t="s">
        <v>6316</v>
      </c>
      <c r="F1537" s="22" t="n">
        <v>15</v>
      </c>
      <c r="G1537" s="26" t="n">
        <v>219.1</v>
      </c>
      <c r="H1537" s="26" t="n">
        <v>241.23</v>
      </c>
      <c r="I1537" s="26" t="n">
        <v>263.36</v>
      </c>
      <c r="J1537" s="26" t="n">
        <v>279.96</v>
      </c>
      <c r="K1537" s="26" t="n">
        <v>296.56</v>
      </c>
      <c r="L1537" s="26" t="n">
        <v>2.56</v>
      </c>
      <c r="M1537" s="27" t="n">
        <v>0.005</v>
      </c>
      <c r="N1537" s="27" t="n">
        <v>0.002</v>
      </c>
      <c r="O1537" s="26" t="n">
        <v>5</v>
      </c>
      <c r="P1537" s="26" t="n">
        <v>5</v>
      </c>
      <c r="Q1537" s="28" t="n">
        <v>100</v>
      </c>
      <c r="R1537" s="26" t="n">
        <v>30</v>
      </c>
      <c r="S1537" s="26" t="n">
        <v>0</v>
      </c>
      <c r="T1537" s="28" t="n">
        <v>1</v>
      </c>
      <c r="U1537" s="26" t="n">
        <v>0</v>
      </c>
      <c r="V1537" s="26" t="n">
        <v>0</v>
      </c>
      <c r="W1537" s="22" t="s">
        <v>21</v>
      </c>
      <c r="X1537" s="22" t="s">
        <v>373</v>
      </c>
    </row>
    <row r="1538" customFormat="false" ht="15" hidden="false" customHeight="false" outlineLevel="0" collapsed="false">
      <c r="A1538" s="22" t="s">
        <v>6317</v>
      </c>
      <c r="B1538" s="22" t="s">
        <v>21</v>
      </c>
      <c r="C1538" s="22" t="s">
        <v>6318</v>
      </c>
      <c r="D1538" s="22" t="s">
        <v>6319</v>
      </c>
      <c r="E1538" s="22" t="s">
        <v>6320</v>
      </c>
      <c r="F1538" s="22" t="n">
        <v>15</v>
      </c>
      <c r="G1538" s="26" t="n">
        <v>219.1</v>
      </c>
      <c r="H1538" s="26" t="n">
        <v>241.23</v>
      </c>
      <c r="I1538" s="26" t="n">
        <v>263.36</v>
      </c>
      <c r="J1538" s="26" t="n">
        <v>279.96</v>
      </c>
      <c r="K1538" s="26" t="n">
        <v>296.56</v>
      </c>
      <c r="L1538" s="26" t="n">
        <v>2.56</v>
      </c>
      <c r="M1538" s="27" t="n">
        <v>0.005</v>
      </c>
      <c r="N1538" s="27" t="n">
        <v>0.002</v>
      </c>
      <c r="O1538" s="26" t="n">
        <v>5</v>
      </c>
      <c r="P1538" s="26" t="n">
        <v>5</v>
      </c>
      <c r="Q1538" s="28" t="n">
        <v>100</v>
      </c>
      <c r="R1538" s="26" t="n">
        <v>30</v>
      </c>
      <c r="S1538" s="26" t="n">
        <v>0</v>
      </c>
      <c r="T1538" s="28" t="n">
        <v>1</v>
      </c>
      <c r="U1538" s="26" t="n">
        <v>0</v>
      </c>
      <c r="V1538" s="26" t="n">
        <v>0</v>
      </c>
      <c r="W1538" s="22" t="s">
        <v>21</v>
      </c>
      <c r="X1538" s="22" t="s">
        <v>373</v>
      </c>
    </row>
    <row r="1539" customFormat="false" ht="15" hidden="false" customHeight="false" outlineLevel="0" collapsed="false">
      <c r="A1539" s="22" t="s">
        <v>6321</v>
      </c>
      <c r="B1539" s="22" t="s">
        <v>21</v>
      </c>
      <c r="C1539" s="22" t="s">
        <v>6322</v>
      </c>
      <c r="D1539" s="22" t="s">
        <v>6323</v>
      </c>
      <c r="E1539" s="22" t="s">
        <v>6324</v>
      </c>
      <c r="F1539" s="22" t="n">
        <v>15</v>
      </c>
      <c r="G1539" s="26" t="n">
        <v>219.1</v>
      </c>
      <c r="H1539" s="26" t="n">
        <v>241.23</v>
      </c>
      <c r="I1539" s="26" t="n">
        <v>263.36</v>
      </c>
      <c r="J1539" s="26" t="n">
        <v>279.96</v>
      </c>
      <c r="K1539" s="26" t="n">
        <v>296.56</v>
      </c>
      <c r="L1539" s="26" t="n">
        <v>2.56</v>
      </c>
      <c r="M1539" s="27" t="n">
        <v>0.005</v>
      </c>
      <c r="N1539" s="27" t="n">
        <v>0.002</v>
      </c>
      <c r="O1539" s="26" t="n">
        <v>5</v>
      </c>
      <c r="P1539" s="26" t="n">
        <v>5</v>
      </c>
      <c r="Q1539" s="28" t="n">
        <v>100</v>
      </c>
      <c r="R1539" s="26" t="n">
        <v>30</v>
      </c>
      <c r="S1539" s="26" t="n">
        <v>0</v>
      </c>
      <c r="T1539" s="28" t="n">
        <v>1</v>
      </c>
      <c r="U1539" s="26" t="n">
        <v>0</v>
      </c>
      <c r="V1539" s="26" t="n">
        <v>0</v>
      </c>
      <c r="W1539" s="22" t="s">
        <v>21</v>
      </c>
      <c r="X1539" s="22" t="s">
        <v>373</v>
      </c>
    </row>
    <row r="1540" customFormat="false" ht="15" hidden="false" customHeight="false" outlineLevel="0" collapsed="false">
      <c r="A1540" s="22" t="s">
        <v>6325</v>
      </c>
      <c r="B1540" s="22" t="s">
        <v>21</v>
      </c>
      <c r="C1540" s="22" t="s">
        <v>6326</v>
      </c>
      <c r="D1540" s="22" t="s">
        <v>6327</v>
      </c>
      <c r="E1540" s="22" t="s">
        <v>6328</v>
      </c>
      <c r="F1540" s="22" t="n">
        <v>15</v>
      </c>
      <c r="G1540" s="26" t="n">
        <v>219.1</v>
      </c>
      <c r="H1540" s="26" t="n">
        <v>241.23</v>
      </c>
      <c r="I1540" s="26" t="n">
        <v>263.36</v>
      </c>
      <c r="J1540" s="26" t="n">
        <v>279.96</v>
      </c>
      <c r="K1540" s="26" t="n">
        <v>296.56</v>
      </c>
      <c r="L1540" s="26" t="n">
        <v>2.56</v>
      </c>
      <c r="M1540" s="27" t="n">
        <v>0.005</v>
      </c>
      <c r="N1540" s="27" t="n">
        <v>0.002</v>
      </c>
      <c r="O1540" s="26" t="n">
        <v>5</v>
      </c>
      <c r="P1540" s="26" t="n">
        <v>5</v>
      </c>
      <c r="Q1540" s="28" t="n">
        <v>100</v>
      </c>
      <c r="R1540" s="26" t="n">
        <v>30</v>
      </c>
      <c r="S1540" s="26" t="n">
        <v>0</v>
      </c>
      <c r="T1540" s="28" t="n">
        <v>1</v>
      </c>
      <c r="U1540" s="26" t="n">
        <v>0</v>
      </c>
      <c r="V1540" s="26" t="n">
        <v>400</v>
      </c>
      <c r="W1540" s="22" t="s">
        <v>21</v>
      </c>
      <c r="X1540" s="22" t="s">
        <v>373</v>
      </c>
    </row>
    <row r="1541" customFormat="false" ht="15" hidden="false" customHeight="false" outlineLevel="0" collapsed="false">
      <c r="A1541" s="22" t="s">
        <v>6329</v>
      </c>
      <c r="B1541" s="22" t="s">
        <v>21</v>
      </c>
      <c r="C1541" s="22" t="s">
        <v>6330</v>
      </c>
      <c r="D1541" s="22" t="s">
        <v>6331</v>
      </c>
      <c r="E1541" s="22" t="s">
        <v>6332</v>
      </c>
      <c r="F1541" s="22" t="n">
        <v>15</v>
      </c>
      <c r="G1541" s="26" t="n">
        <v>219.1</v>
      </c>
      <c r="H1541" s="26" t="n">
        <v>241.23</v>
      </c>
      <c r="I1541" s="26" t="n">
        <v>263.36</v>
      </c>
      <c r="J1541" s="26" t="n">
        <v>279.96</v>
      </c>
      <c r="K1541" s="26" t="n">
        <v>296.56</v>
      </c>
      <c r="L1541" s="26" t="n">
        <v>2.56</v>
      </c>
      <c r="M1541" s="27" t="n">
        <v>0.005</v>
      </c>
      <c r="N1541" s="27" t="n">
        <v>0.002</v>
      </c>
      <c r="O1541" s="26" t="n">
        <v>5</v>
      </c>
      <c r="P1541" s="26" t="n">
        <v>5</v>
      </c>
      <c r="Q1541" s="28" t="n">
        <v>100</v>
      </c>
      <c r="R1541" s="26" t="n">
        <v>30</v>
      </c>
      <c r="S1541" s="26" t="n">
        <v>0</v>
      </c>
      <c r="T1541" s="28" t="n">
        <v>1</v>
      </c>
      <c r="U1541" s="26" t="n">
        <v>0</v>
      </c>
      <c r="V1541" s="26" t="n">
        <v>400</v>
      </c>
      <c r="W1541" s="22" t="s">
        <v>21</v>
      </c>
      <c r="X1541" s="22" t="s">
        <v>373</v>
      </c>
    </row>
    <row r="1542" customFormat="false" ht="15" hidden="false" customHeight="false" outlineLevel="0" collapsed="false">
      <c r="A1542" s="22" t="s">
        <v>6333</v>
      </c>
      <c r="B1542" s="22" t="s">
        <v>21</v>
      </c>
      <c r="C1542" s="22" t="s">
        <v>6334</v>
      </c>
      <c r="D1542" s="22" t="s">
        <v>6335</v>
      </c>
      <c r="E1542" s="22" t="s">
        <v>6336</v>
      </c>
      <c r="F1542" s="22" t="n">
        <v>15</v>
      </c>
      <c r="G1542" s="26" t="n">
        <v>219.1</v>
      </c>
      <c r="H1542" s="26" t="n">
        <v>241.23</v>
      </c>
      <c r="I1542" s="26" t="n">
        <v>263.36</v>
      </c>
      <c r="J1542" s="26" t="n">
        <v>279.96</v>
      </c>
      <c r="K1542" s="26" t="n">
        <v>296.56</v>
      </c>
      <c r="L1542" s="26" t="n">
        <v>2.56</v>
      </c>
      <c r="M1542" s="27" t="n">
        <v>0.005</v>
      </c>
      <c r="N1542" s="27" t="n">
        <v>0.002</v>
      </c>
      <c r="O1542" s="26" t="n">
        <v>5</v>
      </c>
      <c r="P1542" s="26" t="n">
        <v>5</v>
      </c>
      <c r="Q1542" s="28" t="n">
        <v>100</v>
      </c>
      <c r="R1542" s="26" t="n">
        <v>30</v>
      </c>
      <c r="S1542" s="26" t="n">
        <v>0</v>
      </c>
      <c r="T1542" s="28" t="n">
        <v>1</v>
      </c>
      <c r="U1542" s="26" t="n">
        <v>0</v>
      </c>
      <c r="V1542" s="26" t="n">
        <v>0</v>
      </c>
      <c r="W1542" s="22" t="s">
        <v>21</v>
      </c>
      <c r="X1542" s="22" t="s">
        <v>373</v>
      </c>
    </row>
    <row r="1543" customFormat="false" ht="15" hidden="false" customHeight="false" outlineLevel="0" collapsed="false">
      <c r="A1543" s="22" t="s">
        <v>6337</v>
      </c>
      <c r="B1543" s="22" t="s">
        <v>21</v>
      </c>
      <c r="C1543" s="22" t="s">
        <v>6338</v>
      </c>
      <c r="D1543" s="22" t="s">
        <v>6339</v>
      </c>
      <c r="E1543" s="22" t="s">
        <v>6340</v>
      </c>
      <c r="F1543" s="22" t="n">
        <v>15</v>
      </c>
      <c r="G1543" s="26" t="n">
        <v>219.1</v>
      </c>
      <c r="H1543" s="26" t="n">
        <v>241.23</v>
      </c>
      <c r="I1543" s="26" t="n">
        <v>263.36</v>
      </c>
      <c r="J1543" s="26" t="n">
        <v>279.96</v>
      </c>
      <c r="K1543" s="26" t="n">
        <v>296.56</v>
      </c>
      <c r="L1543" s="26" t="n">
        <v>2.56</v>
      </c>
      <c r="M1543" s="27" t="n">
        <v>0.005</v>
      </c>
      <c r="N1543" s="27" t="n">
        <v>0.002</v>
      </c>
      <c r="O1543" s="26" t="n">
        <v>5</v>
      </c>
      <c r="P1543" s="26" t="n">
        <v>5</v>
      </c>
      <c r="Q1543" s="28" t="n">
        <v>100</v>
      </c>
      <c r="R1543" s="26" t="n">
        <v>30</v>
      </c>
      <c r="S1543" s="26" t="n">
        <v>0</v>
      </c>
      <c r="T1543" s="28" t="n">
        <v>1</v>
      </c>
      <c r="U1543" s="26" t="n">
        <v>0</v>
      </c>
      <c r="V1543" s="26" t="n">
        <v>0</v>
      </c>
      <c r="W1543" s="22" t="s">
        <v>21</v>
      </c>
      <c r="X1543" s="22" t="s">
        <v>373</v>
      </c>
    </row>
    <row r="1544" customFormat="false" ht="15" hidden="false" customHeight="false" outlineLevel="0" collapsed="false">
      <c r="A1544" s="22" t="s">
        <v>6341</v>
      </c>
      <c r="B1544" s="22" t="s">
        <v>21</v>
      </c>
      <c r="C1544" s="22" t="s">
        <v>6342</v>
      </c>
      <c r="D1544" s="22" t="s">
        <v>6343</v>
      </c>
      <c r="E1544" s="22" t="s">
        <v>6344</v>
      </c>
      <c r="F1544" s="22" t="n">
        <v>15</v>
      </c>
      <c r="G1544" s="26" t="n">
        <v>219.1</v>
      </c>
      <c r="H1544" s="26" t="n">
        <v>241.23</v>
      </c>
      <c r="I1544" s="26" t="n">
        <v>263.36</v>
      </c>
      <c r="J1544" s="26" t="n">
        <v>279.96</v>
      </c>
      <c r="K1544" s="26" t="n">
        <v>296.56</v>
      </c>
      <c r="L1544" s="26" t="n">
        <v>2.56</v>
      </c>
      <c r="M1544" s="27" t="n">
        <v>0.005</v>
      </c>
      <c r="N1544" s="27" t="n">
        <v>0.002</v>
      </c>
      <c r="O1544" s="26" t="n">
        <v>5</v>
      </c>
      <c r="P1544" s="26" t="n">
        <v>5</v>
      </c>
      <c r="Q1544" s="28" t="n">
        <v>100</v>
      </c>
      <c r="R1544" s="26" t="n">
        <v>30</v>
      </c>
      <c r="S1544" s="26" t="n">
        <v>0</v>
      </c>
      <c r="T1544" s="28" t="n">
        <v>1</v>
      </c>
      <c r="U1544" s="26" t="n">
        <v>0</v>
      </c>
      <c r="V1544" s="26" t="n">
        <v>400</v>
      </c>
      <c r="W1544" s="22" t="s">
        <v>21</v>
      </c>
      <c r="X1544" s="22" t="s">
        <v>373</v>
      </c>
    </row>
    <row r="1545" customFormat="false" ht="15" hidden="false" customHeight="false" outlineLevel="0" collapsed="false">
      <c r="A1545" s="22" t="s">
        <v>6345</v>
      </c>
      <c r="B1545" s="22" t="s">
        <v>21</v>
      </c>
      <c r="C1545" s="22" t="s">
        <v>6346</v>
      </c>
      <c r="D1545" s="22" t="s">
        <v>6347</v>
      </c>
      <c r="E1545" s="22" t="s">
        <v>6348</v>
      </c>
      <c r="F1545" s="22" t="n">
        <v>15</v>
      </c>
      <c r="G1545" s="26" t="n">
        <v>219.1</v>
      </c>
      <c r="H1545" s="26" t="n">
        <v>241.23</v>
      </c>
      <c r="I1545" s="26" t="n">
        <v>263.36</v>
      </c>
      <c r="J1545" s="26" t="n">
        <v>279.96</v>
      </c>
      <c r="K1545" s="26" t="n">
        <v>296.56</v>
      </c>
      <c r="L1545" s="26" t="n">
        <v>2.56</v>
      </c>
      <c r="M1545" s="27" t="n">
        <v>0.005</v>
      </c>
      <c r="N1545" s="27" t="n">
        <v>0.002</v>
      </c>
      <c r="O1545" s="26" t="n">
        <v>5</v>
      </c>
      <c r="P1545" s="26" t="n">
        <v>5</v>
      </c>
      <c r="Q1545" s="28" t="n">
        <v>100</v>
      </c>
      <c r="R1545" s="26" t="n">
        <v>30</v>
      </c>
      <c r="S1545" s="26" t="n">
        <v>0</v>
      </c>
      <c r="T1545" s="28" t="n">
        <v>1</v>
      </c>
      <c r="U1545" s="26" t="n">
        <v>0</v>
      </c>
      <c r="V1545" s="26" t="n">
        <v>0</v>
      </c>
      <c r="W1545" s="22" t="s">
        <v>21</v>
      </c>
      <c r="X1545" s="22" t="s">
        <v>373</v>
      </c>
    </row>
    <row r="1546" customFormat="false" ht="15" hidden="false" customHeight="false" outlineLevel="0" collapsed="false">
      <c r="A1546" s="22" t="s">
        <v>6349</v>
      </c>
      <c r="B1546" s="22" t="s">
        <v>21</v>
      </c>
      <c r="C1546" s="22" t="s">
        <v>6350</v>
      </c>
      <c r="D1546" s="22" t="s">
        <v>6351</v>
      </c>
      <c r="E1546" s="22" t="s">
        <v>6352</v>
      </c>
      <c r="F1546" s="22" t="n">
        <v>15</v>
      </c>
      <c r="G1546" s="26" t="n">
        <v>219.1</v>
      </c>
      <c r="H1546" s="26" t="n">
        <v>241.23</v>
      </c>
      <c r="I1546" s="26" t="n">
        <v>263.36</v>
      </c>
      <c r="J1546" s="26" t="n">
        <v>279.96</v>
      </c>
      <c r="K1546" s="26" t="n">
        <v>296.56</v>
      </c>
      <c r="L1546" s="26" t="n">
        <v>2.56</v>
      </c>
      <c r="M1546" s="27" t="n">
        <v>0.005</v>
      </c>
      <c r="N1546" s="27" t="n">
        <v>0.002</v>
      </c>
      <c r="O1546" s="26" t="n">
        <v>5</v>
      </c>
      <c r="P1546" s="26" t="n">
        <v>5</v>
      </c>
      <c r="Q1546" s="28" t="n">
        <v>100</v>
      </c>
      <c r="R1546" s="26" t="n">
        <v>30</v>
      </c>
      <c r="S1546" s="26" t="n">
        <v>0</v>
      </c>
      <c r="T1546" s="28" t="n">
        <v>1</v>
      </c>
      <c r="U1546" s="26" t="n">
        <v>0</v>
      </c>
      <c r="V1546" s="26" t="n">
        <v>0</v>
      </c>
      <c r="W1546" s="22" t="s">
        <v>21</v>
      </c>
      <c r="X1546" s="22" t="s">
        <v>373</v>
      </c>
    </row>
    <row r="1547" customFormat="false" ht="15" hidden="false" customHeight="false" outlineLevel="0" collapsed="false">
      <c r="A1547" s="22" t="s">
        <v>6353</v>
      </c>
      <c r="B1547" s="22" t="s">
        <v>21</v>
      </c>
      <c r="C1547" s="22" t="s">
        <v>6354</v>
      </c>
      <c r="D1547" s="22" t="s">
        <v>6355</v>
      </c>
      <c r="E1547" s="22" t="s">
        <v>6356</v>
      </c>
      <c r="F1547" s="22" t="n">
        <v>15</v>
      </c>
      <c r="G1547" s="26" t="n">
        <v>219.1</v>
      </c>
      <c r="H1547" s="26" t="n">
        <v>241.23</v>
      </c>
      <c r="I1547" s="26" t="n">
        <v>263.36</v>
      </c>
      <c r="J1547" s="26" t="n">
        <v>279.96</v>
      </c>
      <c r="K1547" s="26" t="n">
        <v>296.56</v>
      </c>
      <c r="L1547" s="26" t="n">
        <v>2.56</v>
      </c>
      <c r="M1547" s="27" t="n">
        <v>0.005</v>
      </c>
      <c r="N1547" s="27" t="n">
        <v>0.002</v>
      </c>
      <c r="O1547" s="26" t="n">
        <v>5</v>
      </c>
      <c r="P1547" s="26" t="n">
        <v>5</v>
      </c>
      <c r="Q1547" s="28" t="n">
        <v>100</v>
      </c>
      <c r="R1547" s="26" t="n">
        <v>30</v>
      </c>
      <c r="S1547" s="26" t="n">
        <v>0</v>
      </c>
      <c r="T1547" s="28" t="n">
        <v>1</v>
      </c>
      <c r="U1547" s="26" t="n">
        <v>0</v>
      </c>
      <c r="V1547" s="26" t="n">
        <v>0</v>
      </c>
      <c r="W1547" s="22" t="s">
        <v>21</v>
      </c>
      <c r="X1547" s="22" t="s">
        <v>373</v>
      </c>
    </row>
    <row r="1548" customFormat="false" ht="15" hidden="false" customHeight="false" outlineLevel="0" collapsed="false">
      <c r="A1548" s="22" t="s">
        <v>6357</v>
      </c>
      <c r="B1548" s="22" t="s">
        <v>21</v>
      </c>
      <c r="C1548" s="22" t="s">
        <v>6358</v>
      </c>
      <c r="D1548" s="22" t="s">
        <v>6359</v>
      </c>
      <c r="E1548" s="22" t="s">
        <v>6360</v>
      </c>
      <c r="F1548" s="22" t="n">
        <v>15</v>
      </c>
      <c r="G1548" s="26" t="n">
        <v>219.1</v>
      </c>
      <c r="H1548" s="26" t="n">
        <v>241.23</v>
      </c>
      <c r="I1548" s="26" t="n">
        <v>263.36</v>
      </c>
      <c r="J1548" s="26" t="n">
        <v>279.96</v>
      </c>
      <c r="K1548" s="26" t="n">
        <v>296.56</v>
      </c>
      <c r="L1548" s="26" t="n">
        <v>2.56</v>
      </c>
      <c r="M1548" s="27" t="n">
        <v>0.005</v>
      </c>
      <c r="N1548" s="27" t="n">
        <v>0.002</v>
      </c>
      <c r="O1548" s="26" t="n">
        <v>5</v>
      </c>
      <c r="P1548" s="26" t="n">
        <v>5</v>
      </c>
      <c r="Q1548" s="28" t="n">
        <v>100</v>
      </c>
      <c r="R1548" s="26" t="n">
        <v>30</v>
      </c>
      <c r="S1548" s="26" t="n">
        <v>0</v>
      </c>
      <c r="T1548" s="28" t="n">
        <v>1</v>
      </c>
      <c r="U1548" s="26" t="n">
        <v>0</v>
      </c>
      <c r="V1548" s="26" t="n">
        <v>400</v>
      </c>
      <c r="W1548" s="22" t="s">
        <v>21</v>
      </c>
      <c r="X1548" s="22" t="s">
        <v>373</v>
      </c>
    </row>
    <row r="1549" customFormat="false" ht="15" hidden="false" customHeight="false" outlineLevel="0" collapsed="false">
      <c r="A1549" s="22" t="s">
        <v>6361</v>
      </c>
      <c r="B1549" s="22" t="s">
        <v>21</v>
      </c>
      <c r="C1549" s="22" t="s">
        <v>172</v>
      </c>
      <c r="D1549" s="22" t="s">
        <v>6362</v>
      </c>
      <c r="E1549" s="22" t="s">
        <v>6363</v>
      </c>
      <c r="F1549" s="22" t="n">
        <v>15</v>
      </c>
      <c r="G1549" s="26" t="n">
        <v>219.1</v>
      </c>
      <c r="H1549" s="26" t="n">
        <v>241.23</v>
      </c>
      <c r="I1549" s="26" t="n">
        <v>263.36</v>
      </c>
      <c r="J1549" s="26" t="n">
        <v>279.96</v>
      </c>
      <c r="K1549" s="26" t="n">
        <v>296.56</v>
      </c>
      <c r="L1549" s="26" t="n">
        <v>2.56</v>
      </c>
      <c r="M1549" s="27" t="n">
        <v>0.005</v>
      </c>
      <c r="N1549" s="27" t="n">
        <v>0.002</v>
      </c>
      <c r="O1549" s="26" t="n">
        <v>5</v>
      </c>
      <c r="P1549" s="26" t="n">
        <v>5</v>
      </c>
      <c r="Q1549" s="28" t="n">
        <v>100</v>
      </c>
      <c r="R1549" s="26" t="n">
        <v>30</v>
      </c>
      <c r="S1549" s="26" t="n">
        <v>0</v>
      </c>
      <c r="T1549" s="28" t="n">
        <v>1</v>
      </c>
      <c r="U1549" s="26" t="n">
        <v>0</v>
      </c>
      <c r="V1549" s="26" t="n">
        <v>0</v>
      </c>
      <c r="W1549" s="22" t="s">
        <v>21</v>
      </c>
      <c r="X1549" s="22" t="s">
        <v>373</v>
      </c>
    </row>
    <row r="1550" customFormat="false" ht="15" hidden="false" customHeight="false" outlineLevel="0" collapsed="false">
      <c r="A1550" s="22" t="s">
        <v>6364</v>
      </c>
      <c r="B1550" s="22" t="s">
        <v>21</v>
      </c>
      <c r="C1550" s="22" t="s">
        <v>6365</v>
      </c>
      <c r="D1550" s="22" t="s">
        <v>6366</v>
      </c>
      <c r="E1550" s="22" t="s">
        <v>6367</v>
      </c>
      <c r="F1550" s="22" t="n">
        <v>15</v>
      </c>
      <c r="G1550" s="26" t="n">
        <v>219.1</v>
      </c>
      <c r="H1550" s="26" t="n">
        <v>241.23</v>
      </c>
      <c r="I1550" s="26" t="n">
        <v>263.36</v>
      </c>
      <c r="J1550" s="26" t="n">
        <v>279.96</v>
      </c>
      <c r="K1550" s="26" t="n">
        <v>296.56</v>
      </c>
      <c r="L1550" s="26" t="n">
        <v>2.56</v>
      </c>
      <c r="M1550" s="27" t="n">
        <v>0.005</v>
      </c>
      <c r="N1550" s="27" t="n">
        <v>0.002</v>
      </c>
      <c r="O1550" s="26" t="n">
        <v>5</v>
      </c>
      <c r="P1550" s="26" t="n">
        <v>5</v>
      </c>
      <c r="Q1550" s="28" t="n">
        <v>100</v>
      </c>
      <c r="R1550" s="26" t="n">
        <v>30</v>
      </c>
      <c r="S1550" s="26" t="n">
        <v>0</v>
      </c>
      <c r="T1550" s="28" t="n">
        <v>1</v>
      </c>
      <c r="U1550" s="26" t="n">
        <v>0</v>
      </c>
      <c r="V1550" s="26" t="n">
        <v>0</v>
      </c>
      <c r="W1550" s="22" t="s">
        <v>21</v>
      </c>
      <c r="X1550" s="22" t="s">
        <v>373</v>
      </c>
    </row>
    <row r="1551" customFormat="false" ht="15" hidden="false" customHeight="false" outlineLevel="0" collapsed="false">
      <c r="A1551" s="22" t="s">
        <v>6368</v>
      </c>
      <c r="B1551" s="22" t="s">
        <v>21</v>
      </c>
      <c r="C1551" s="22" t="s">
        <v>6369</v>
      </c>
      <c r="D1551" s="22" t="s">
        <v>6370</v>
      </c>
      <c r="E1551" s="22" t="s">
        <v>6371</v>
      </c>
      <c r="F1551" s="22" t="n">
        <v>15</v>
      </c>
      <c r="G1551" s="26" t="n">
        <v>219.1</v>
      </c>
      <c r="H1551" s="26" t="n">
        <v>241.23</v>
      </c>
      <c r="I1551" s="26" t="n">
        <v>263.36</v>
      </c>
      <c r="J1551" s="26" t="n">
        <v>279.96</v>
      </c>
      <c r="K1551" s="26" t="n">
        <v>296.56</v>
      </c>
      <c r="L1551" s="26" t="n">
        <v>2.56</v>
      </c>
      <c r="M1551" s="27" t="n">
        <v>0.005</v>
      </c>
      <c r="N1551" s="27" t="n">
        <v>0.002</v>
      </c>
      <c r="O1551" s="26" t="n">
        <v>5</v>
      </c>
      <c r="P1551" s="26" t="n">
        <v>5</v>
      </c>
      <c r="Q1551" s="28" t="n">
        <v>100</v>
      </c>
      <c r="R1551" s="26" t="n">
        <v>30</v>
      </c>
      <c r="S1551" s="26" t="n">
        <v>0</v>
      </c>
      <c r="T1551" s="28" t="n">
        <v>1</v>
      </c>
      <c r="U1551" s="26" t="n">
        <v>0</v>
      </c>
      <c r="V1551" s="26" t="n">
        <v>400</v>
      </c>
      <c r="W1551" s="22" t="s">
        <v>21</v>
      </c>
      <c r="X1551" s="22" t="s">
        <v>373</v>
      </c>
    </row>
    <row r="1552" customFormat="false" ht="15" hidden="false" customHeight="false" outlineLevel="0" collapsed="false">
      <c r="A1552" s="22" t="s">
        <v>6372</v>
      </c>
      <c r="B1552" s="22" t="s">
        <v>21</v>
      </c>
      <c r="C1552" s="22" t="s">
        <v>6373</v>
      </c>
      <c r="D1552" s="22" t="s">
        <v>6374</v>
      </c>
      <c r="E1552" s="22" t="s">
        <v>6375</v>
      </c>
      <c r="F1552" s="22" t="n">
        <v>15</v>
      </c>
      <c r="G1552" s="26" t="n">
        <v>219.1</v>
      </c>
      <c r="H1552" s="26" t="n">
        <v>241.23</v>
      </c>
      <c r="I1552" s="26" t="n">
        <v>263.36</v>
      </c>
      <c r="J1552" s="26" t="n">
        <v>279.96</v>
      </c>
      <c r="K1552" s="26" t="n">
        <v>296.56</v>
      </c>
      <c r="L1552" s="26" t="n">
        <v>2.56</v>
      </c>
      <c r="M1552" s="27" t="n">
        <v>0.005</v>
      </c>
      <c r="N1552" s="27" t="n">
        <v>0.002</v>
      </c>
      <c r="O1552" s="26" t="n">
        <v>5</v>
      </c>
      <c r="P1552" s="26" t="n">
        <v>5</v>
      </c>
      <c r="Q1552" s="28" t="n">
        <v>100</v>
      </c>
      <c r="R1552" s="26" t="n">
        <v>30</v>
      </c>
      <c r="S1552" s="26" t="n">
        <v>0</v>
      </c>
      <c r="T1552" s="28" t="n">
        <v>1</v>
      </c>
      <c r="U1552" s="26" t="n">
        <v>0</v>
      </c>
      <c r="V1552" s="26" t="n">
        <v>0</v>
      </c>
      <c r="W1552" s="22" t="s">
        <v>21</v>
      </c>
      <c r="X1552" s="22" t="s">
        <v>373</v>
      </c>
    </row>
    <row r="1553" customFormat="false" ht="15" hidden="false" customHeight="false" outlineLevel="0" collapsed="false">
      <c r="A1553" s="22" t="s">
        <v>6376</v>
      </c>
      <c r="B1553" s="22" t="s">
        <v>21</v>
      </c>
      <c r="C1553" s="22" t="s">
        <v>6377</v>
      </c>
      <c r="D1553" s="22" t="s">
        <v>6378</v>
      </c>
      <c r="E1553" s="22" t="s">
        <v>6379</v>
      </c>
      <c r="F1553" s="22" t="n">
        <v>15</v>
      </c>
      <c r="G1553" s="26" t="n">
        <v>219.1</v>
      </c>
      <c r="H1553" s="26" t="n">
        <v>241.23</v>
      </c>
      <c r="I1553" s="26" t="n">
        <v>263.36</v>
      </c>
      <c r="J1553" s="26" t="n">
        <v>279.96</v>
      </c>
      <c r="K1553" s="26" t="n">
        <v>296.56</v>
      </c>
      <c r="L1553" s="26" t="n">
        <v>2.56</v>
      </c>
      <c r="M1553" s="27" t="n">
        <v>0.005</v>
      </c>
      <c r="N1553" s="27" t="n">
        <v>0.002</v>
      </c>
      <c r="O1553" s="26" t="n">
        <v>5</v>
      </c>
      <c r="P1553" s="26" t="n">
        <v>5</v>
      </c>
      <c r="Q1553" s="28" t="n">
        <v>100</v>
      </c>
      <c r="R1553" s="26" t="n">
        <v>30</v>
      </c>
      <c r="S1553" s="26" t="n">
        <v>0</v>
      </c>
      <c r="T1553" s="28" t="n">
        <v>1</v>
      </c>
      <c r="U1553" s="26" t="n">
        <v>0</v>
      </c>
      <c r="V1553" s="26" t="n">
        <v>0</v>
      </c>
      <c r="W1553" s="22" t="s">
        <v>21</v>
      </c>
      <c r="X1553" s="22" t="s">
        <v>373</v>
      </c>
    </row>
    <row r="1554" customFormat="false" ht="15" hidden="false" customHeight="false" outlineLevel="0" collapsed="false">
      <c r="A1554" s="22" t="s">
        <v>6380</v>
      </c>
      <c r="B1554" s="22" t="s">
        <v>22</v>
      </c>
      <c r="C1554" s="22" t="s">
        <v>6381</v>
      </c>
      <c r="D1554" s="22" t="s">
        <v>6382</v>
      </c>
      <c r="E1554" s="22" t="s">
        <v>6383</v>
      </c>
      <c r="F1554" s="22" t="n">
        <v>9</v>
      </c>
      <c r="G1554" s="26" t="n">
        <v>68.37</v>
      </c>
      <c r="H1554" s="26" t="n">
        <v>78.39</v>
      </c>
      <c r="I1554" s="26" t="n">
        <v>98.42</v>
      </c>
      <c r="J1554" s="26" t="n">
        <v>108.44</v>
      </c>
      <c r="K1554" s="26" t="n">
        <v>123.46</v>
      </c>
      <c r="L1554" s="26" t="n">
        <v>1.68</v>
      </c>
      <c r="M1554" s="27" t="n">
        <v>0.005</v>
      </c>
      <c r="N1554" s="27" t="n">
        <v>0.002</v>
      </c>
      <c r="O1554" s="26" t="n">
        <v>5</v>
      </c>
      <c r="P1554" s="26" t="n">
        <v>5</v>
      </c>
      <c r="Q1554" s="28" t="n">
        <v>100</v>
      </c>
      <c r="R1554" s="26" t="n">
        <v>30</v>
      </c>
      <c r="S1554" s="26" t="n">
        <v>0</v>
      </c>
      <c r="T1554" s="28" t="n">
        <v>1</v>
      </c>
      <c r="U1554" s="26" t="n">
        <v>0</v>
      </c>
      <c r="V1554" s="26" t="n">
        <v>0</v>
      </c>
      <c r="W1554" s="22" t="s">
        <v>22</v>
      </c>
      <c r="X1554" s="22" t="s">
        <v>286</v>
      </c>
    </row>
    <row r="1555" customFormat="false" ht="15" hidden="false" customHeight="false" outlineLevel="0" collapsed="false">
      <c r="A1555" s="22" t="s">
        <v>6384</v>
      </c>
      <c r="B1555" s="22" t="s">
        <v>22</v>
      </c>
      <c r="C1555" s="22" t="s">
        <v>182</v>
      </c>
      <c r="D1555" s="22" t="s">
        <v>6385</v>
      </c>
      <c r="E1555" s="22" t="s">
        <v>6386</v>
      </c>
      <c r="F1555" s="22" t="n">
        <v>9</v>
      </c>
      <c r="G1555" s="26" t="n">
        <v>68.37</v>
      </c>
      <c r="H1555" s="26" t="n">
        <v>78.39</v>
      </c>
      <c r="I1555" s="26" t="n">
        <v>98.42</v>
      </c>
      <c r="J1555" s="26" t="n">
        <v>108.44</v>
      </c>
      <c r="K1555" s="26" t="n">
        <v>123.46</v>
      </c>
      <c r="L1555" s="26" t="n">
        <v>1.68</v>
      </c>
      <c r="M1555" s="27" t="n">
        <v>0.005</v>
      </c>
      <c r="N1555" s="27" t="n">
        <v>0.002</v>
      </c>
      <c r="O1555" s="26" t="n">
        <v>5</v>
      </c>
      <c r="P1555" s="26" t="n">
        <v>5</v>
      </c>
      <c r="Q1555" s="28" t="n">
        <v>100</v>
      </c>
      <c r="R1555" s="26" t="n">
        <v>30</v>
      </c>
      <c r="S1555" s="26" t="n">
        <v>0</v>
      </c>
      <c r="T1555" s="28" t="n">
        <v>1</v>
      </c>
      <c r="U1555" s="26" t="n">
        <v>0</v>
      </c>
      <c r="V1555" s="26" t="n">
        <v>0</v>
      </c>
      <c r="W1555" s="22" t="s">
        <v>22</v>
      </c>
      <c r="X1555" s="22" t="s">
        <v>286</v>
      </c>
    </row>
    <row r="1556" customFormat="false" ht="15" hidden="false" customHeight="false" outlineLevel="0" collapsed="false">
      <c r="A1556" s="22" t="s">
        <v>6387</v>
      </c>
      <c r="B1556" s="22" t="s">
        <v>22</v>
      </c>
      <c r="C1556" s="22" t="s">
        <v>6388</v>
      </c>
      <c r="D1556" s="22" t="s">
        <v>6389</v>
      </c>
      <c r="E1556" s="22" t="s">
        <v>6390</v>
      </c>
      <c r="F1556" s="22" t="n">
        <v>12</v>
      </c>
      <c r="G1556" s="26" t="n">
        <v>99.55</v>
      </c>
      <c r="H1556" s="26" t="n">
        <v>109.56</v>
      </c>
      <c r="I1556" s="26" t="n">
        <v>129.6</v>
      </c>
      <c r="J1556" s="26" t="n">
        <v>139.62</v>
      </c>
      <c r="K1556" s="26" t="n">
        <v>154.64</v>
      </c>
      <c r="L1556" s="26" t="n">
        <v>2.06</v>
      </c>
      <c r="M1556" s="27" t="n">
        <v>0.005</v>
      </c>
      <c r="N1556" s="27" t="n">
        <v>0.002</v>
      </c>
      <c r="O1556" s="26" t="n">
        <v>5</v>
      </c>
      <c r="P1556" s="26" t="n">
        <v>5</v>
      </c>
      <c r="Q1556" s="28" t="n">
        <v>100</v>
      </c>
      <c r="R1556" s="26" t="n">
        <v>30</v>
      </c>
      <c r="S1556" s="26" t="n">
        <v>0</v>
      </c>
      <c r="T1556" s="28" t="n">
        <v>1</v>
      </c>
      <c r="U1556" s="26" t="n">
        <v>0</v>
      </c>
      <c r="V1556" s="26" t="n">
        <v>0</v>
      </c>
      <c r="W1556" s="22" t="s">
        <v>22</v>
      </c>
      <c r="X1556" s="22" t="s">
        <v>293</v>
      </c>
    </row>
    <row r="1557" customFormat="false" ht="15" hidden="false" customHeight="false" outlineLevel="0" collapsed="false">
      <c r="A1557" s="22" t="s">
        <v>6391</v>
      </c>
      <c r="B1557" s="22" t="s">
        <v>22</v>
      </c>
      <c r="C1557" s="22" t="s">
        <v>6392</v>
      </c>
      <c r="D1557" s="22" t="s">
        <v>6393</v>
      </c>
      <c r="E1557" s="22" t="s">
        <v>6394</v>
      </c>
      <c r="F1557" s="22" t="n">
        <v>12</v>
      </c>
      <c r="G1557" s="26" t="n">
        <v>99.55</v>
      </c>
      <c r="H1557" s="26" t="n">
        <v>109.56</v>
      </c>
      <c r="I1557" s="26" t="n">
        <v>129.6</v>
      </c>
      <c r="J1557" s="26" t="n">
        <v>139.62</v>
      </c>
      <c r="K1557" s="26" t="n">
        <v>154.64</v>
      </c>
      <c r="L1557" s="26" t="n">
        <v>2.06</v>
      </c>
      <c r="M1557" s="27" t="n">
        <v>0.005</v>
      </c>
      <c r="N1557" s="27" t="n">
        <v>0.002</v>
      </c>
      <c r="O1557" s="26" t="n">
        <v>5</v>
      </c>
      <c r="P1557" s="26" t="n">
        <v>5</v>
      </c>
      <c r="Q1557" s="28" t="n">
        <v>100</v>
      </c>
      <c r="R1557" s="26" t="n">
        <v>30</v>
      </c>
      <c r="S1557" s="26" t="n">
        <v>0</v>
      </c>
      <c r="T1557" s="28" t="n">
        <v>1</v>
      </c>
      <c r="U1557" s="26" t="n">
        <v>0</v>
      </c>
      <c r="V1557" s="26" t="n">
        <v>0</v>
      </c>
      <c r="W1557" s="22" t="s">
        <v>22</v>
      </c>
      <c r="X1557" s="22" t="s">
        <v>293</v>
      </c>
    </row>
    <row r="1558" customFormat="false" ht="15" hidden="false" customHeight="false" outlineLevel="0" collapsed="false">
      <c r="A1558" s="22" t="s">
        <v>6395</v>
      </c>
      <c r="B1558" s="22" t="s">
        <v>22</v>
      </c>
      <c r="C1558" s="22" t="s">
        <v>6396</v>
      </c>
      <c r="D1558" s="22" t="s">
        <v>6397</v>
      </c>
      <c r="E1558" s="22" t="s">
        <v>6398</v>
      </c>
      <c r="F1558" s="22" t="n">
        <v>12</v>
      </c>
      <c r="G1558" s="26" t="n">
        <v>99.55</v>
      </c>
      <c r="H1558" s="26" t="n">
        <v>109.56</v>
      </c>
      <c r="I1558" s="26" t="n">
        <v>129.6</v>
      </c>
      <c r="J1558" s="26" t="n">
        <v>139.62</v>
      </c>
      <c r="K1558" s="26" t="n">
        <v>154.64</v>
      </c>
      <c r="L1558" s="26" t="n">
        <v>2.06</v>
      </c>
      <c r="M1558" s="27" t="n">
        <v>0.005</v>
      </c>
      <c r="N1558" s="27" t="n">
        <v>0.002</v>
      </c>
      <c r="O1558" s="26" t="n">
        <v>5</v>
      </c>
      <c r="P1558" s="26" t="n">
        <v>5</v>
      </c>
      <c r="Q1558" s="28" t="n">
        <v>100</v>
      </c>
      <c r="R1558" s="26" t="n">
        <v>30</v>
      </c>
      <c r="S1558" s="26" t="n">
        <v>0</v>
      </c>
      <c r="T1558" s="28" t="n">
        <v>1</v>
      </c>
      <c r="U1558" s="26" t="n">
        <v>0</v>
      </c>
      <c r="V1558" s="26" t="n">
        <v>0</v>
      </c>
      <c r="W1558" s="22" t="s">
        <v>22</v>
      </c>
      <c r="X1558" s="22" t="s">
        <v>293</v>
      </c>
    </row>
    <row r="1559" customFormat="false" ht="15" hidden="false" customHeight="false" outlineLevel="0" collapsed="false">
      <c r="A1559" s="22" t="s">
        <v>6399</v>
      </c>
      <c r="B1559" s="22" t="s">
        <v>22</v>
      </c>
      <c r="C1559" s="22" t="s">
        <v>6400</v>
      </c>
      <c r="D1559" s="22" t="s">
        <v>6401</v>
      </c>
      <c r="E1559" s="22" t="s">
        <v>6402</v>
      </c>
      <c r="F1559" s="22" t="n">
        <v>12</v>
      </c>
      <c r="G1559" s="26" t="n">
        <v>99.55</v>
      </c>
      <c r="H1559" s="26" t="n">
        <v>109.56</v>
      </c>
      <c r="I1559" s="26" t="n">
        <v>129.6</v>
      </c>
      <c r="J1559" s="26" t="n">
        <v>139.62</v>
      </c>
      <c r="K1559" s="26" t="n">
        <v>154.64</v>
      </c>
      <c r="L1559" s="26" t="n">
        <v>2.06</v>
      </c>
      <c r="M1559" s="27" t="n">
        <v>0.005</v>
      </c>
      <c r="N1559" s="27" t="n">
        <v>0.002</v>
      </c>
      <c r="O1559" s="26" t="n">
        <v>5</v>
      </c>
      <c r="P1559" s="26" t="n">
        <v>5</v>
      </c>
      <c r="Q1559" s="28" t="n">
        <v>100</v>
      </c>
      <c r="R1559" s="26" t="n">
        <v>30</v>
      </c>
      <c r="S1559" s="26" t="n">
        <v>0</v>
      </c>
      <c r="T1559" s="28" t="n">
        <v>1</v>
      </c>
      <c r="U1559" s="26" t="n">
        <v>0</v>
      </c>
      <c r="V1559" s="26" t="n">
        <v>250</v>
      </c>
      <c r="W1559" s="22" t="s">
        <v>22</v>
      </c>
      <c r="X1559" s="22" t="s">
        <v>293</v>
      </c>
    </row>
    <row r="1560" customFormat="false" ht="15" hidden="false" customHeight="false" outlineLevel="0" collapsed="false">
      <c r="A1560" s="22" t="s">
        <v>6403</v>
      </c>
      <c r="B1560" s="29" t="s">
        <v>22</v>
      </c>
      <c r="C1560" s="29" t="s">
        <v>6404</v>
      </c>
      <c r="D1560" s="22" t="s">
        <v>6405</v>
      </c>
      <c r="E1560" s="22" t="s">
        <v>6406</v>
      </c>
      <c r="F1560" s="22" t="n">
        <v>14</v>
      </c>
      <c r="G1560" s="26" t="n">
        <v>75.1</v>
      </c>
      <c r="H1560" s="26" t="n">
        <v>86.62</v>
      </c>
      <c r="I1560" s="26" t="n">
        <v>98.13</v>
      </c>
      <c r="J1560" s="26" t="n">
        <v>109.65</v>
      </c>
      <c r="K1560" s="26" t="n">
        <v>126.93</v>
      </c>
      <c r="L1560" s="26" t="n">
        <v>1.93</v>
      </c>
      <c r="M1560" s="27" t="n">
        <v>0.005</v>
      </c>
      <c r="N1560" s="27" t="n">
        <v>0.002</v>
      </c>
      <c r="O1560" s="26" t="n">
        <v>5</v>
      </c>
      <c r="P1560" s="26" t="n">
        <v>5</v>
      </c>
      <c r="Q1560" s="28" t="n">
        <v>100</v>
      </c>
      <c r="R1560" s="26" t="n">
        <v>30</v>
      </c>
      <c r="S1560" s="26" t="n">
        <v>0</v>
      </c>
      <c r="T1560" s="28" t="n">
        <v>1</v>
      </c>
      <c r="U1560" s="26" t="n">
        <v>0</v>
      </c>
      <c r="V1560" s="26" t="n">
        <v>0</v>
      </c>
      <c r="W1560" s="29" t="s">
        <v>23</v>
      </c>
      <c r="X1560" s="22" t="s">
        <v>293</v>
      </c>
    </row>
    <row r="1561" customFormat="false" ht="15" hidden="false" customHeight="false" outlineLevel="0" collapsed="false">
      <c r="A1561" s="22" t="s">
        <v>6407</v>
      </c>
      <c r="B1561" s="22" t="s">
        <v>22</v>
      </c>
      <c r="C1561" s="22" t="s">
        <v>6408</v>
      </c>
      <c r="D1561" s="22" t="s">
        <v>6409</v>
      </c>
      <c r="E1561" s="22" t="s">
        <v>6410</v>
      </c>
      <c r="F1561" s="22" t="n">
        <v>12</v>
      </c>
      <c r="G1561" s="26" t="n">
        <v>99.55</v>
      </c>
      <c r="H1561" s="26" t="n">
        <v>109.56</v>
      </c>
      <c r="I1561" s="26" t="n">
        <v>129.6</v>
      </c>
      <c r="J1561" s="26" t="n">
        <v>139.62</v>
      </c>
      <c r="K1561" s="26" t="n">
        <v>154.64</v>
      </c>
      <c r="L1561" s="26" t="n">
        <v>2.06</v>
      </c>
      <c r="M1561" s="27" t="n">
        <v>0.005</v>
      </c>
      <c r="N1561" s="27" t="n">
        <v>0.002</v>
      </c>
      <c r="O1561" s="26" t="n">
        <v>5</v>
      </c>
      <c r="P1561" s="26" t="n">
        <v>5</v>
      </c>
      <c r="Q1561" s="28" t="n">
        <v>100</v>
      </c>
      <c r="R1561" s="26" t="n">
        <v>30</v>
      </c>
      <c r="S1561" s="26" t="n">
        <v>0</v>
      </c>
      <c r="T1561" s="28" t="n">
        <v>1</v>
      </c>
      <c r="U1561" s="26" t="n">
        <v>0</v>
      </c>
      <c r="V1561" s="26" t="n">
        <v>0</v>
      </c>
      <c r="W1561" s="22" t="s">
        <v>22</v>
      </c>
      <c r="X1561" s="22" t="s">
        <v>293</v>
      </c>
    </row>
    <row r="1562" customFormat="false" ht="15" hidden="false" customHeight="false" outlineLevel="0" collapsed="false">
      <c r="A1562" s="22" t="s">
        <v>6411</v>
      </c>
      <c r="B1562" s="22" t="s">
        <v>22</v>
      </c>
      <c r="C1562" s="22" t="s">
        <v>6412</v>
      </c>
      <c r="D1562" s="22" t="s">
        <v>6413</v>
      </c>
      <c r="E1562" s="22" t="s">
        <v>6414</v>
      </c>
      <c r="F1562" s="22" t="n">
        <v>12</v>
      </c>
      <c r="G1562" s="26" t="n">
        <v>99.55</v>
      </c>
      <c r="H1562" s="26" t="n">
        <v>109.56</v>
      </c>
      <c r="I1562" s="26" t="n">
        <v>129.6</v>
      </c>
      <c r="J1562" s="26" t="n">
        <v>139.62</v>
      </c>
      <c r="K1562" s="26" t="n">
        <v>154.64</v>
      </c>
      <c r="L1562" s="26" t="n">
        <v>2.06</v>
      </c>
      <c r="M1562" s="27" t="n">
        <v>0.005</v>
      </c>
      <c r="N1562" s="27" t="n">
        <v>0.002</v>
      </c>
      <c r="O1562" s="26" t="n">
        <v>5</v>
      </c>
      <c r="P1562" s="26" t="n">
        <v>5</v>
      </c>
      <c r="Q1562" s="28" t="n">
        <v>100</v>
      </c>
      <c r="R1562" s="26" t="n">
        <v>30</v>
      </c>
      <c r="S1562" s="26" t="n">
        <v>0</v>
      </c>
      <c r="T1562" s="28" t="n">
        <v>1</v>
      </c>
      <c r="U1562" s="26" t="n">
        <v>0</v>
      </c>
      <c r="V1562" s="26" t="n">
        <v>250</v>
      </c>
      <c r="W1562" s="22" t="s">
        <v>22</v>
      </c>
      <c r="X1562" s="22" t="s">
        <v>293</v>
      </c>
    </row>
    <row r="1563" customFormat="false" ht="15" hidden="false" customHeight="false" outlineLevel="0" collapsed="false">
      <c r="A1563" s="22" t="s">
        <v>6415</v>
      </c>
      <c r="B1563" s="22" t="s">
        <v>22</v>
      </c>
      <c r="C1563" s="22" t="s">
        <v>6416</v>
      </c>
      <c r="D1563" s="22" t="s">
        <v>6417</v>
      </c>
      <c r="E1563" s="22" t="s">
        <v>6418</v>
      </c>
      <c r="F1563" s="22" t="n">
        <v>12</v>
      </c>
      <c r="G1563" s="26" t="n">
        <v>99.55</v>
      </c>
      <c r="H1563" s="26" t="n">
        <v>109.56</v>
      </c>
      <c r="I1563" s="26" t="n">
        <v>129.6</v>
      </c>
      <c r="J1563" s="26" t="n">
        <v>139.62</v>
      </c>
      <c r="K1563" s="26" t="n">
        <v>154.64</v>
      </c>
      <c r="L1563" s="26" t="n">
        <v>2.06</v>
      </c>
      <c r="M1563" s="27" t="n">
        <v>0.005</v>
      </c>
      <c r="N1563" s="27" t="n">
        <v>0.002</v>
      </c>
      <c r="O1563" s="26" t="n">
        <v>5</v>
      </c>
      <c r="P1563" s="26" t="n">
        <v>5</v>
      </c>
      <c r="Q1563" s="28" t="n">
        <v>100</v>
      </c>
      <c r="R1563" s="26" t="n">
        <v>30</v>
      </c>
      <c r="S1563" s="26" t="n">
        <v>0</v>
      </c>
      <c r="T1563" s="28" t="n">
        <v>1</v>
      </c>
      <c r="U1563" s="26" t="n">
        <v>0</v>
      </c>
      <c r="V1563" s="26" t="n">
        <v>0</v>
      </c>
      <c r="W1563" s="22" t="s">
        <v>22</v>
      </c>
      <c r="X1563" s="22" t="s">
        <v>293</v>
      </c>
    </row>
    <row r="1564" customFormat="false" ht="15" hidden="false" customHeight="false" outlineLevel="0" collapsed="false">
      <c r="A1564" s="22" t="s">
        <v>6419</v>
      </c>
      <c r="B1564" s="22" t="s">
        <v>22</v>
      </c>
      <c r="C1564" s="22" t="s">
        <v>6420</v>
      </c>
      <c r="D1564" s="22" t="s">
        <v>6421</v>
      </c>
      <c r="E1564" s="22" t="s">
        <v>6422</v>
      </c>
      <c r="F1564" s="22" t="n">
        <v>12</v>
      </c>
      <c r="G1564" s="26" t="n">
        <v>99.55</v>
      </c>
      <c r="H1564" s="26" t="n">
        <v>109.56</v>
      </c>
      <c r="I1564" s="26" t="n">
        <v>129.6</v>
      </c>
      <c r="J1564" s="26" t="n">
        <v>139.62</v>
      </c>
      <c r="K1564" s="26" t="n">
        <v>154.64</v>
      </c>
      <c r="L1564" s="26" t="n">
        <v>2.06</v>
      </c>
      <c r="M1564" s="27" t="n">
        <v>0.005</v>
      </c>
      <c r="N1564" s="27" t="n">
        <v>0.002</v>
      </c>
      <c r="O1564" s="26" t="n">
        <v>5</v>
      </c>
      <c r="P1564" s="26" t="n">
        <v>5</v>
      </c>
      <c r="Q1564" s="28" t="n">
        <v>100</v>
      </c>
      <c r="R1564" s="26" t="n">
        <v>30</v>
      </c>
      <c r="S1564" s="26" t="n">
        <v>0</v>
      </c>
      <c r="T1564" s="28" t="n">
        <v>1</v>
      </c>
      <c r="U1564" s="26" t="n">
        <v>0</v>
      </c>
      <c r="V1564" s="26" t="n">
        <v>0</v>
      </c>
      <c r="W1564" s="22" t="s">
        <v>22</v>
      </c>
      <c r="X1564" s="22" t="s">
        <v>293</v>
      </c>
    </row>
    <row r="1565" customFormat="false" ht="15" hidden="false" customHeight="false" outlineLevel="0" collapsed="false">
      <c r="A1565" s="22" t="s">
        <v>6423</v>
      </c>
      <c r="B1565" s="22" t="s">
        <v>22</v>
      </c>
      <c r="C1565" s="22" t="s">
        <v>6424</v>
      </c>
      <c r="D1565" s="22" t="s">
        <v>6425</v>
      </c>
      <c r="E1565" s="22" t="s">
        <v>6426</v>
      </c>
      <c r="F1565" s="22" t="n">
        <v>12</v>
      </c>
      <c r="G1565" s="26" t="n">
        <v>99.55</v>
      </c>
      <c r="H1565" s="26" t="n">
        <v>109.56</v>
      </c>
      <c r="I1565" s="26" t="n">
        <v>129.6</v>
      </c>
      <c r="J1565" s="26" t="n">
        <v>139.62</v>
      </c>
      <c r="K1565" s="26" t="n">
        <v>154.64</v>
      </c>
      <c r="L1565" s="26" t="n">
        <v>2.06</v>
      </c>
      <c r="M1565" s="27" t="n">
        <v>0.005</v>
      </c>
      <c r="N1565" s="27" t="n">
        <v>0.002</v>
      </c>
      <c r="O1565" s="26" t="n">
        <v>5</v>
      </c>
      <c r="P1565" s="26" t="n">
        <v>5</v>
      </c>
      <c r="Q1565" s="28" t="n">
        <v>100</v>
      </c>
      <c r="R1565" s="26" t="n">
        <v>30</v>
      </c>
      <c r="S1565" s="26" t="n">
        <v>0</v>
      </c>
      <c r="T1565" s="28" t="n">
        <v>1</v>
      </c>
      <c r="U1565" s="26" t="n">
        <v>0</v>
      </c>
      <c r="V1565" s="26" t="n">
        <v>0</v>
      </c>
      <c r="W1565" s="22" t="s">
        <v>22</v>
      </c>
      <c r="X1565" s="22" t="s">
        <v>293</v>
      </c>
    </row>
    <row r="1566" customFormat="false" ht="15" hidden="false" customHeight="false" outlineLevel="0" collapsed="false">
      <c r="A1566" s="22" t="s">
        <v>6427</v>
      </c>
      <c r="B1566" s="22" t="s">
        <v>22</v>
      </c>
      <c r="C1566" s="22" t="s">
        <v>6428</v>
      </c>
      <c r="D1566" s="22" t="s">
        <v>6429</v>
      </c>
      <c r="E1566" s="22" t="s">
        <v>6430</v>
      </c>
      <c r="F1566" s="22" t="n">
        <v>12</v>
      </c>
      <c r="G1566" s="26" t="n">
        <v>99.55</v>
      </c>
      <c r="H1566" s="26" t="n">
        <v>109.56</v>
      </c>
      <c r="I1566" s="26" t="n">
        <v>129.6</v>
      </c>
      <c r="J1566" s="26" t="n">
        <v>139.62</v>
      </c>
      <c r="K1566" s="26" t="n">
        <v>154.64</v>
      </c>
      <c r="L1566" s="26" t="n">
        <v>2.06</v>
      </c>
      <c r="M1566" s="27" t="n">
        <v>0.005</v>
      </c>
      <c r="N1566" s="27" t="n">
        <v>0.002</v>
      </c>
      <c r="O1566" s="26" t="n">
        <v>5</v>
      </c>
      <c r="P1566" s="26" t="n">
        <v>5</v>
      </c>
      <c r="Q1566" s="28" t="n">
        <v>100</v>
      </c>
      <c r="R1566" s="26" t="n">
        <v>30</v>
      </c>
      <c r="S1566" s="26" t="n">
        <v>0</v>
      </c>
      <c r="T1566" s="28" t="n">
        <v>1</v>
      </c>
      <c r="U1566" s="26" t="n">
        <v>0</v>
      </c>
      <c r="V1566" s="26" t="n">
        <v>0</v>
      </c>
      <c r="W1566" s="22" t="s">
        <v>22</v>
      </c>
      <c r="X1566" s="22" t="s">
        <v>293</v>
      </c>
    </row>
    <row r="1567" customFormat="false" ht="15" hidden="false" customHeight="false" outlineLevel="0" collapsed="false">
      <c r="A1567" s="22" t="s">
        <v>6431</v>
      </c>
      <c r="B1567" s="22" t="s">
        <v>22</v>
      </c>
      <c r="C1567" s="22" t="s">
        <v>6432</v>
      </c>
      <c r="D1567" s="22" t="s">
        <v>6433</v>
      </c>
      <c r="E1567" s="22" t="s">
        <v>6434</v>
      </c>
      <c r="F1567" s="22" t="n">
        <v>12</v>
      </c>
      <c r="G1567" s="26" t="n">
        <v>99.55</v>
      </c>
      <c r="H1567" s="26" t="n">
        <v>109.56</v>
      </c>
      <c r="I1567" s="26" t="n">
        <v>129.6</v>
      </c>
      <c r="J1567" s="26" t="n">
        <v>139.62</v>
      </c>
      <c r="K1567" s="26" t="n">
        <v>154.64</v>
      </c>
      <c r="L1567" s="26" t="n">
        <v>2.06</v>
      </c>
      <c r="M1567" s="27" t="n">
        <v>0.005</v>
      </c>
      <c r="N1567" s="27" t="n">
        <v>0.002</v>
      </c>
      <c r="O1567" s="26" t="n">
        <v>5</v>
      </c>
      <c r="P1567" s="26" t="n">
        <v>5</v>
      </c>
      <c r="Q1567" s="28" t="n">
        <v>100</v>
      </c>
      <c r="R1567" s="26" t="n">
        <v>30</v>
      </c>
      <c r="S1567" s="26" t="n">
        <v>0</v>
      </c>
      <c r="T1567" s="28" t="n">
        <v>1</v>
      </c>
      <c r="U1567" s="26" t="n">
        <v>0</v>
      </c>
      <c r="V1567" s="26" t="n">
        <v>0</v>
      </c>
      <c r="W1567" s="22" t="s">
        <v>22</v>
      </c>
      <c r="X1567" s="22" t="s">
        <v>293</v>
      </c>
    </row>
    <row r="1568" customFormat="false" ht="15" hidden="false" customHeight="false" outlineLevel="0" collapsed="false">
      <c r="A1568" s="22" t="s">
        <v>6435</v>
      </c>
      <c r="B1568" s="22" t="s">
        <v>22</v>
      </c>
      <c r="C1568" s="22" t="s">
        <v>6436</v>
      </c>
      <c r="D1568" s="22" t="s">
        <v>6437</v>
      </c>
      <c r="E1568" s="22" t="s">
        <v>6438</v>
      </c>
      <c r="F1568" s="22" t="n">
        <v>12</v>
      </c>
      <c r="G1568" s="26" t="n">
        <v>99.55</v>
      </c>
      <c r="H1568" s="26" t="n">
        <v>109.56</v>
      </c>
      <c r="I1568" s="26" t="n">
        <v>129.6</v>
      </c>
      <c r="J1568" s="26" t="n">
        <v>139.62</v>
      </c>
      <c r="K1568" s="26" t="n">
        <v>154.64</v>
      </c>
      <c r="L1568" s="26" t="n">
        <v>2.06</v>
      </c>
      <c r="M1568" s="27" t="n">
        <v>0.005</v>
      </c>
      <c r="N1568" s="27" t="n">
        <v>0.002</v>
      </c>
      <c r="O1568" s="26" t="n">
        <v>5</v>
      </c>
      <c r="P1568" s="26" t="n">
        <v>5</v>
      </c>
      <c r="Q1568" s="28" t="n">
        <v>100</v>
      </c>
      <c r="R1568" s="26" t="n">
        <v>30</v>
      </c>
      <c r="S1568" s="26" t="n">
        <v>0</v>
      </c>
      <c r="T1568" s="28" t="n">
        <v>1</v>
      </c>
      <c r="U1568" s="26" t="n">
        <v>0</v>
      </c>
      <c r="V1568" s="26" t="n">
        <v>0</v>
      </c>
      <c r="W1568" s="22" t="s">
        <v>22</v>
      </c>
      <c r="X1568" s="22" t="s">
        <v>293</v>
      </c>
    </row>
    <row r="1569" customFormat="false" ht="15" hidden="false" customHeight="false" outlineLevel="0" collapsed="false">
      <c r="A1569" s="22" t="s">
        <v>6439</v>
      </c>
      <c r="B1569" s="22" t="s">
        <v>22</v>
      </c>
      <c r="C1569" s="22" t="s">
        <v>6440</v>
      </c>
      <c r="D1569" s="22" t="s">
        <v>6441</v>
      </c>
      <c r="E1569" s="22" t="s">
        <v>6442</v>
      </c>
      <c r="F1569" s="22" t="n">
        <v>14</v>
      </c>
      <c r="G1569" s="26" t="n">
        <v>99.55</v>
      </c>
      <c r="H1569" s="26" t="n">
        <v>109.56</v>
      </c>
      <c r="I1569" s="26" t="n">
        <v>129.6</v>
      </c>
      <c r="J1569" s="26" t="n">
        <v>139.62</v>
      </c>
      <c r="K1569" s="26" t="n">
        <v>154.64</v>
      </c>
      <c r="L1569" s="26" t="n">
        <v>2.06</v>
      </c>
      <c r="M1569" s="27" t="n">
        <v>0.005</v>
      </c>
      <c r="N1569" s="27" t="n">
        <v>0.002</v>
      </c>
      <c r="O1569" s="26" t="n">
        <v>5</v>
      </c>
      <c r="P1569" s="26" t="n">
        <v>5</v>
      </c>
      <c r="Q1569" s="28" t="n">
        <v>100</v>
      </c>
      <c r="R1569" s="26" t="n">
        <v>30</v>
      </c>
      <c r="S1569" s="26" t="n">
        <v>0</v>
      </c>
      <c r="T1569" s="28" t="n">
        <v>1</v>
      </c>
      <c r="U1569" s="26" t="n">
        <v>0</v>
      </c>
      <c r="V1569" s="26" t="n">
        <v>250</v>
      </c>
      <c r="W1569" s="22" t="s">
        <v>22</v>
      </c>
      <c r="X1569" s="22" t="s">
        <v>293</v>
      </c>
    </row>
    <row r="1570" customFormat="false" ht="15" hidden="false" customHeight="false" outlineLevel="0" collapsed="false">
      <c r="A1570" s="22" t="s">
        <v>6443</v>
      </c>
      <c r="B1570" s="22" t="s">
        <v>22</v>
      </c>
      <c r="C1570" s="22" t="s">
        <v>190</v>
      </c>
      <c r="D1570" s="22" t="s">
        <v>6444</v>
      </c>
      <c r="E1570" s="22" t="s">
        <v>6445</v>
      </c>
      <c r="F1570" s="22" t="n">
        <v>12</v>
      </c>
      <c r="G1570" s="26" t="n">
        <v>99.55</v>
      </c>
      <c r="H1570" s="26" t="n">
        <v>109.56</v>
      </c>
      <c r="I1570" s="26" t="n">
        <v>129.6</v>
      </c>
      <c r="J1570" s="26" t="n">
        <v>139.62</v>
      </c>
      <c r="K1570" s="26" t="n">
        <v>154.64</v>
      </c>
      <c r="L1570" s="26" t="n">
        <v>2.06</v>
      </c>
      <c r="M1570" s="27" t="n">
        <v>0.005</v>
      </c>
      <c r="N1570" s="27" t="n">
        <v>0.002</v>
      </c>
      <c r="O1570" s="26" t="n">
        <v>5</v>
      </c>
      <c r="P1570" s="26" t="n">
        <v>5</v>
      </c>
      <c r="Q1570" s="28" t="n">
        <v>100</v>
      </c>
      <c r="R1570" s="26" t="n">
        <v>30</v>
      </c>
      <c r="S1570" s="26" t="n">
        <v>0</v>
      </c>
      <c r="T1570" s="28" t="n">
        <v>1</v>
      </c>
      <c r="U1570" s="26" t="n">
        <v>0</v>
      </c>
      <c r="V1570" s="26" t="n">
        <v>0</v>
      </c>
      <c r="W1570" s="22" t="s">
        <v>22</v>
      </c>
      <c r="X1570" s="22" t="s">
        <v>293</v>
      </c>
    </row>
    <row r="1571" customFormat="false" ht="15" hidden="false" customHeight="false" outlineLevel="0" collapsed="false">
      <c r="A1571" s="22" t="s">
        <v>6446</v>
      </c>
      <c r="B1571" s="22" t="s">
        <v>22</v>
      </c>
      <c r="C1571" s="22" t="s">
        <v>6447</v>
      </c>
      <c r="D1571" s="22" t="s">
        <v>6448</v>
      </c>
      <c r="E1571" s="22" t="s">
        <v>6449</v>
      </c>
      <c r="F1571" s="22" t="n">
        <v>12</v>
      </c>
      <c r="G1571" s="26" t="n">
        <v>99.55</v>
      </c>
      <c r="H1571" s="26" t="n">
        <v>109.56</v>
      </c>
      <c r="I1571" s="26" t="n">
        <v>129.6</v>
      </c>
      <c r="J1571" s="26" t="n">
        <v>139.62</v>
      </c>
      <c r="K1571" s="26" t="n">
        <v>154.64</v>
      </c>
      <c r="L1571" s="26" t="n">
        <v>2.06</v>
      </c>
      <c r="M1571" s="27" t="n">
        <v>0.005</v>
      </c>
      <c r="N1571" s="27" t="n">
        <v>0.002</v>
      </c>
      <c r="O1571" s="26" t="n">
        <v>5</v>
      </c>
      <c r="P1571" s="26" t="n">
        <v>5</v>
      </c>
      <c r="Q1571" s="28" t="n">
        <v>100</v>
      </c>
      <c r="R1571" s="26" t="n">
        <v>30</v>
      </c>
      <c r="S1571" s="26" t="n">
        <v>0</v>
      </c>
      <c r="T1571" s="28" t="n">
        <v>1</v>
      </c>
      <c r="U1571" s="26" t="n">
        <v>0</v>
      </c>
      <c r="V1571" s="26" t="n">
        <v>250</v>
      </c>
      <c r="W1571" s="22" t="s">
        <v>22</v>
      </c>
      <c r="X1571" s="22" t="s">
        <v>293</v>
      </c>
    </row>
    <row r="1572" customFormat="false" ht="15" hidden="false" customHeight="false" outlineLevel="0" collapsed="false">
      <c r="A1572" s="22" t="s">
        <v>6450</v>
      </c>
      <c r="B1572" s="22" t="s">
        <v>22</v>
      </c>
      <c r="C1572" s="22" t="s">
        <v>188</v>
      </c>
      <c r="D1572" s="22" t="s">
        <v>6451</v>
      </c>
      <c r="E1572" s="22" t="s">
        <v>6452</v>
      </c>
      <c r="F1572" s="22" t="n">
        <v>12</v>
      </c>
      <c r="G1572" s="26" t="n">
        <v>99.55</v>
      </c>
      <c r="H1572" s="26" t="n">
        <v>109.56</v>
      </c>
      <c r="I1572" s="26" t="n">
        <v>129.6</v>
      </c>
      <c r="J1572" s="26" t="n">
        <v>139.62</v>
      </c>
      <c r="K1572" s="26" t="n">
        <v>154.64</v>
      </c>
      <c r="L1572" s="26" t="n">
        <v>2.06</v>
      </c>
      <c r="M1572" s="27" t="n">
        <v>0.005</v>
      </c>
      <c r="N1572" s="27" t="n">
        <v>0.002</v>
      </c>
      <c r="O1572" s="26" t="n">
        <v>5</v>
      </c>
      <c r="P1572" s="26" t="n">
        <v>5</v>
      </c>
      <c r="Q1572" s="28" t="n">
        <v>100</v>
      </c>
      <c r="R1572" s="26" t="n">
        <v>30</v>
      </c>
      <c r="S1572" s="26" t="n">
        <v>0</v>
      </c>
      <c r="T1572" s="28" t="n">
        <v>1</v>
      </c>
      <c r="U1572" s="26" t="n">
        <v>0</v>
      </c>
      <c r="V1572" s="26" t="n">
        <v>0</v>
      </c>
      <c r="W1572" s="22" t="s">
        <v>22</v>
      </c>
      <c r="X1572" s="22" t="s">
        <v>293</v>
      </c>
    </row>
    <row r="1573" customFormat="false" ht="15" hidden="false" customHeight="false" outlineLevel="0" collapsed="false">
      <c r="A1573" s="22" t="s">
        <v>6453</v>
      </c>
      <c r="B1573" s="22" t="s">
        <v>22</v>
      </c>
      <c r="C1573" s="22" t="s">
        <v>6454</v>
      </c>
      <c r="D1573" s="22" t="s">
        <v>6455</v>
      </c>
      <c r="E1573" s="22" t="s">
        <v>6456</v>
      </c>
      <c r="F1573" s="22" t="n">
        <v>12</v>
      </c>
      <c r="G1573" s="26" t="n">
        <v>99.55</v>
      </c>
      <c r="H1573" s="26" t="n">
        <v>109.56</v>
      </c>
      <c r="I1573" s="26" t="n">
        <v>129.6</v>
      </c>
      <c r="J1573" s="26" t="n">
        <v>139.62</v>
      </c>
      <c r="K1573" s="26" t="n">
        <v>154.64</v>
      </c>
      <c r="L1573" s="26" t="n">
        <v>2.06</v>
      </c>
      <c r="M1573" s="27" t="n">
        <v>0.005</v>
      </c>
      <c r="N1573" s="27" t="n">
        <v>0.002</v>
      </c>
      <c r="O1573" s="26" t="n">
        <v>5</v>
      </c>
      <c r="P1573" s="26" t="n">
        <v>5</v>
      </c>
      <c r="Q1573" s="28" t="n">
        <v>100</v>
      </c>
      <c r="R1573" s="26" t="n">
        <v>30</v>
      </c>
      <c r="S1573" s="26" t="n">
        <v>0</v>
      </c>
      <c r="T1573" s="28" t="n">
        <v>1</v>
      </c>
      <c r="U1573" s="26" t="n">
        <v>0</v>
      </c>
      <c r="V1573" s="26" t="n">
        <v>0</v>
      </c>
      <c r="W1573" s="22" t="s">
        <v>22</v>
      </c>
      <c r="X1573" s="22" t="s">
        <v>293</v>
      </c>
    </row>
    <row r="1574" customFormat="false" ht="15" hidden="false" customHeight="false" outlineLevel="0" collapsed="false">
      <c r="A1574" s="22" t="s">
        <v>6457</v>
      </c>
      <c r="B1574" s="22" t="s">
        <v>22</v>
      </c>
      <c r="C1574" s="22" t="s">
        <v>6458</v>
      </c>
      <c r="D1574" s="22" t="s">
        <v>6459</v>
      </c>
      <c r="E1574" s="22" t="s">
        <v>6460</v>
      </c>
      <c r="F1574" s="22" t="n">
        <v>12</v>
      </c>
      <c r="G1574" s="26" t="n">
        <v>99.55</v>
      </c>
      <c r="H1574" s="26" t="n">
        <v>109.56</v>
      </c>
      <c r="I1574" s="26" t="n">
        <v>129.6</v>
      </c>
      <c r="J1574" s="26" t="n">
        <v>139.62</v>
      </c>
      <c r="K1574" s="26" t="n">
        <v>154.64</v>
      </c>
      <c r="L1574" s="26" t="n">
        <v>2.06</v>
      </c>
      <c r="M1574" s="27" t="n">
        <v>0.005</v>
      </c>
      <c r="N1574" s="27" t="n">
        <v>0.002</v>
      </c>
      <c r="O1574" s="26" t="n">
        <v>5</v>
      </c>
      <c r="P1574" s="26" t="n">
        <v>5</v>
      </c>
      <c r="Q1574" s="28" t="n">
        <v>100</v>
      </c>
      <c r="R1574" s="26" t="n">
        <v>30</v>
      </c>
      <c r="S1574" s="26" t="n">
        <v>0</v>
      </c>
      <c r="T1574" s="28" t="n">
        <v>1</v>
      </c>
      <c r="U1574" s="26" t="n">
        <v>0</v>
      </c>
      <c r="V1574" s="26" t="n">
        <v>250</v>
      </c>
      <c r="W1574" s="22" t="s">
        <v>22</v>
      </c>
      <c r="X1574" s="22" t="s">
        <v>293</v>
      </c>
    </row>
    <row r="1575" customFormat="false" ht="15" hidden="false" customHeight="false" outlineLevel="0" collapsed="false">
      <c r="A1575" s="22" t="s">
        <v>6461</v>
      </c>
      <c r="B1575" s="22" t="s">
        <v>22</v>
      </c>
      <c r="C1575" s="22" t="s">
        <v>6462</v>
      </c>
      <c r="D1575" s="22" t="s">
        <v>6463</v>
      </c>
      <c r="E1575" s="22" t="s">
        <v>6464</v>
      </c>
      <c r="F1575" s="22" t="n">
        <v>12</v>
      </c>
      <c r="G1575" s="26" t="n">
        <v>99.55</v>
      </c>
      <c r="H1575" s="26" t="n">
        <v>109.56</v>
      </c>
      <c r="I1575" s="26" t="n">
        <v>129.6</v>
      </c>
      <c r="J1575" s="26" t="n">
        <v>139.62</v>
      </c>
      <c r="K1575" s="26" t="n">
        <v>154.64</v>
      </c>
      <c r="L1575" s="26" t="n">
        <v>2.06</v>
      </c>
      <c r="M1575" s="27" t="n">
        <v>0.005</v>
      </c>
      <c r="N1575" s="27" t="n">
        <v>0.002</v>
      </c>
      <c r="O1575" s="26" t="n">
        <v>5</v>
      </c>
      <c r="P1575" s="26" t="n">
        <v>5</v>
      </c>
      <c r="Q1575" s="28" t="n">
        <v>100</v>
      </c>
      <c r="R1575" s="26" t="n">
        <v>30</v>
      </c>
      <c r="S1575" s="26" t="n">
        <v>0</v>
      </c>
      <c r="T1575" s="28" t="n">
        <v>1</v>
      </c>
      <c r="U1575" s="26" t="n">
        <v>0</v>
      </c>
      <c r="V1575" s="26" t="n">
        <v>0</v>
      </c>
      <c r="W1575" s="22" t="s">
        <v>22</v>
      </c>
      <c r="X1575" s="22" t="s">
        <v>293</v>
      </c>
    </row>
    <row r="1576" customFormat="false" ht="15" hidden="false" customHeight="false" outlineLevel="0" collapsed="false">
      <c r="A1576" s="22" t="s">
        <v>6465</v>
      </c>
      <c r="B1576" s="22" t="s">
        <v>22</v>
      </c>
      <c r="C1576" s="22" t="s">
        <v>6466</v>
      </c>
      <c r="D1576" s="22" t="s">
        <v>6467</v>
      </c>
      <c r="E1576" s="22" t="s">
        <v>6468</v>
      </c>
      <c r="F1576" s="22" t="n">
        <v>12</v>
      </c>
      <c r="G1576" s="26" t="n">
        <v>99.55</v>
      </c>
      <c r="H1576" s="26" t="n">
        <v>109.56</v>
      </c>
      <c r="I1576" s="26" t="n">
        <v>129.6</v>
      </c>
      <c r="J1576" s="26" t="n">
        <v>139.62</v>
      </c>
      <c r="K1576" s="26" t="n">
        <v>154.64</v>
      </c>
      <c r="L1576" s="26" t="n">
        <v>2.06</v>
      </c>
      <c r="M1576" s="27" t="n">
        <v>0.005</v>
      </c>
      <c r="N1576" s="27" t="n">
        <v>0.002</v>
      </c>
      <c r="O1576" s="26" t="n">
        <v>5</v>
      </c>
      <c r="P1576" s="26" t="n">
        <v>5</v>
      </c>
      <c r="Q1576" s="28" t="n">
        <v>100</v>
      </c>
      <c r="R1576" s="26" t="n">
        <v>30</v>
      </c>
      <c r="S1576" s="26" t="n">
        <v>0</v>
      </c>
      <c r="T1576" s="28" t="n">
        <v>1</v>
      </c>
      <c r="U1576" s="26" t="n">
        <v>0</v>
      </c>
      <c r="V1576" s="26" t="n">
        <v>0</v>
      </c>
      <c r="W1576" s="22" t="s">
        <v>22</v>
      </c>
      <c r="X1576" s="22" t="s">
        <v>293</v>
      </c>
    </row>
    <row r="1577" customFormat="false" ht="15" hidden="false" customHeight="false" outlineLevel="0" collapsed="false">
      <c r="A1577" s="22" t="s">
        <v>6469</v>
      </c>
      <c r="B1577" s="22" t="s">
        <v>22</v>
      </c>
      <c r="C1577" s="22" t="s">
        <v>6470</v>
      </c>
      <c r="D1577" s="22" t="s">
        <v>6471</v>
      </c>
      <c r="E1577" s="22" t="s">
        <v>6472</v>
      </c>
      <c r="F1577" s="22" t="n">
        <v>12</v>
      </c>
      <c r="G1577" s="26" t="n">
        <v>99.55</v>
      </c>
      <c r="H1577" s="26" t="n">
        <v>109.56</v>
      </c>
      <c r="I1577" s="26" t="n">
        <v>129.6</v>
      </c>
      <c r="J1577" s="26" t="n">
        <v>139.62</v>
      </c>
      <c r="K1577" s="26" t="n">
        <v>154.64</v>
      </c>
      <c r="L1577" s="26" t="n">
        <v>2.06</v>
      </c>
      <c r="M1577" s="27" t="n">
        <v>0.005</v>
      </c>
      <c r="N1577" s="27" t="n">
        <v>0.002</v>
      </c>
      <c r="O1577" s="26" t="n">
        <v>5</v>
      </c>
      <c r="P1577" s="26" t="n">
        <v>5</v>
      </c>
      <c r="Q1577" s="28" t="n">
        <v>100</v>
      </c>
      <c r="R1577" s="26" t="n">
        <v>30</v>
      </c>
      <c r="S1577" s="26" t="n">
        <v>0</v>
      </c>
      <c r="T1577" s="28" t="n">
        <v>1</v>
      </c>
      <c r="U1577" s="26" t="n">
        <v>0</v>
      </c>
      <c r="V1577" s="26" t="n">
        <v>0</v>
      </c>
      <c r="W1577" s="22" t="s">
        <v>22</v>
      </c>
      <c r="X1577" s="22" t="s">
        <v>293</v>
      </c>
    </row>
    <row r="1578" customFormat="false" ht="15" hidden="false" customHeight="false" outlineLevel="0" collapsed="false">
      <c r="A1578" s="22" t="s">
        <v>6473</v>
      </c>
      <c r="B1578" s="22" t="s">
        <v>22</v>
      </c>
      <c r="C1578" s="22" t="s">
        <v>6474</v>
      </c>
      <c r="D1578" s="22" t="s">
        <v>6475</v>
      </c>
      <c r="E1578" s="22" t="s">
        <v>6476</v>
      </c>
      <c r="F1578" s="22" t="n">
        <v>12</v>
      </c>
      <c r="G1578" s="26" t="n">
        <v>99.55</v>
      </c>
      <c r="H1578" s="26" t="n">
        <v>109.56</v>
      </c>
      <c r="I1578" s="26" t="n">
        <v>129.6</v>
      </c>
      <c r="J1578" s="26" t="n">
        <v>139.62</v>
      </c>
      <c r="K1578" s="26" t="n">
        <v>154.64</v>
      </c>
      <c r="L1578" s="26" t="n">
        <v>2.06</v>
      </c>
      <c r="M1578" s="27" t="n">
        <v>0.005</v>
      </c>
      <c r="N1578" s="27" t="n">
        <v>0.002</v>
      </c>
      <c r="O1578" s="26" t="n">
        <v>5</v>
      </c>
      <c r="P1578" s="26" t="n">
        <v>5</v>
      </c>
      <c r="Q1578" s="28" t="n">
        <v>100</v>
      </c>
      <c r="R1578" s="26" t="n">
        <v>30</v>
      </c>
      <c r="S1578" s="26" t="n">
        <v>0</v>
      </c>
      <c r="T1578" s="28" t="n">
        <v>1</v>
      </c>
      <c r="U1578" s="26" t="n">
        <v>0</v>
      </c>
      <c r="V1578" s="26" t="n">
        <v>250</v>
      </c>
      <c r="W1578" s="22" t="s">
        <v>22</v>
      </c>
      <c r="X1578" s="22" t="s">
        <v>293</v>
      </c>
    </row>
    <row r="1579" customFormat="false" ht="15" hidden="false" customHeight="false" outlineLevel="0" collapsed="false">
      <c r="A1579" s="22" t="s">
        <v>6477</v>
      </c>
      <c r="B1579" s="22" t="s">
        <v>22</v>
      </c>
      <c r="C1579" s="22" t="s">
        <v>6478</v>
      </c>
      <c r="D1579" s="22" t="s">
        <v>6479</v>
      </c>
      <c r="E1579" s="22" t="s">
        <v>6480</v>
      </c>
      <c r="F1579" s="22" t="n">
        <v>12</v>
      </c>
      <c r="G1579" s="26" t="n">
        <v>99.55</v>
      </c>
      <c r="H1579" s="26" t="n">
        <v>109.56</v>
      </c>
      <c r="I1579" s="26" t="n">
        <v>129.6</v>
      </c>
      <c r="J1579" s="26" t="n">
        <v>139.62</v>
      </c>
      <c r="K1579" s="26" t="n">
        <v>154.64</v>
      </c>
      <c r="L1579" s="26" t="n">
        <v>2.06</v>
      </c>
      <c r="M1579" s="27" t="n">
        <v>0.005</v>
      </c>
      <c r="N1579" s="27" t="n">
        <v>0.002</v>
      </c>
      <c r="O1579" s="26" t="n">
        <v>5</v>
      </c>
      <c r="P1579" s="26" t="n">
        <v>5</v>
      </c>
      <c r="Q1579" s="28" t="n">
        <v>100</v>
      </c>
      <c r="R1579" s="26" t="n">
        <v>30</v>
      </c>
      <c r="S1579" s="26" t="n">
        <v>0</v>
      </c>
      <c r="T1579" s="28" t="n">
        <v>1</v>
      </c>
      <c r="U1579" s="26" t="n">
        <v>0</v>
      </c>
      <c r="V1579" s="26" t="n">
        <v>0</v>
      </c>
      <c r="W1579" s="22" t="s">
        <v>22</v>
      </c>
      <c r="X1579" s="22" t="s">
        <v>293</v>
      </c>
    </row>
    <row r="1580" customFormat="false" ht="15" hidden="false" customHeight="false" outlineLevel="0" collapsed="false">
      <c r="A1580" s="22" t="s">
        <v>6481</v>
      </c>
      <c r="B1580" s="22" t="s">
        <v>22</v>
      </c>
      <c r="C1580" s="22" t="s">
        <v>863</v>
      </c>
      <c r="D1580" s="22" t="s">
        <v>6482</v>
      </c>
      <c r="E1580" s="22" t="s">
        <v>6483</v>
      </c>
      <c r="F1580" s="22" t="n">
        <v>12</v>
      </c>
      <c r="G1580" s="26" t="n">
        <v>99.55</v>
      </c>
      <c r="H1580" s="26" t="n">
        <v>109.56</v>
      </c>
      <c r="I1580" s="26" t="n">
        <v>129.6</v>
      </c>
      <c r="J1580" s="26" t="n">
        <v>139.62</v>
      </c>
      <c r="K1580" s="26" t="n">
        <v>154.64</v>
      </c>
      <c r="L1580" s="26" t="n">
        <v>2.06</v>
      </c>
      <c r="M1580" s="27" t="n">
        <v>0.005</v>
      </c>
      <c r="N1580" s="27" t="n">
        <v>0.002</v>
      </c>
      <c r="O1580" s="26" t="n">
        <v>5</v>
      </c>
      <c r="P1580" s="26" t="n">
        <v>5</v>
      </c>
      <c r="Q1580" s="28" t="n">
        <v>100</v>
      </c>
      <c r="R1580" s="26" t="n">
        <v>30</v>
      </c>
      <c r="S1580" s="26" t="n">
        <v>0</v>
      </c>
      <c r="T1580" s="28" t="n">
        <v>1</v>
      </c>
      <c r="U1580" s="26" t="n">
        <v>0</v>
      </c>
      <c r="V1580" s="26" t="n">
        <v>250</v>
      </c>
      <c r="W1580" s="22" t="s">
        <v>22</v>
      </c>
      <c r="X1580" s="22" t="s">
        <v>293</v>
      </c>
    </row>
    <row r="1581" customFormat="false" ht="15" hidden="false" customHeight="false" outlineLevel="0" collapsed="false">
      <c r="A1581" s="22" t="s">
        <v>6484</v>
      </c>
      <c r="B1581" s="22" t="s">
        <v>22</v>
      </c>
      <c r="C1581" s="22" t="s">
        <v>6485</v>
      </c>
      <c r="D1581" s="22" t="s">
        <v>6486</v>
      </c>
      <c r="E1581" s="22" t="s">
        <v>6487</v>
      </c>
      <c r="F1581" s="22" t="n">
        <v>12</v>
      </c>
      <c r="G1581" s="26" t="n">
        <v>99.55</v>
      </c>
      <c r="H1581" s="26" t="n">
        <v>109.56</v>
      </c>
      <c r="I1581" s="26" t="n">
        <v>129.6</v>
      </c>
      <c r="J1581" s="26" t="n">
        <v>139.62</v>
      </c>
      <c r="K1581" s="26" t="n">
        <v>154.64</v>
      </c>
      <c r="L1581" s="26" t="n">
        <v>2.06</v>
      </c>
      <c r="M1581" s="27" t="n">
        <v>0.005</v>
      </c>
      <c r="N1581" s="27" t="n">
        <v>0.002</v>
      </c>
      <c r="O1581" s="26" t="n">
        <v>5</v>
      </c>
      <c r="P1581" s="26" t="n">
        <v>5</v>
      </c>
      <c r="Q1581" s="28" t="n">
        <v>100</v>
      </c>
      <c r="R1581" s="26" t="n">
        <v>30</v>
      </c>
      <c r="S1581" s="26" t="n">
        <v>0</v>
      </c>
      <c r="T1581" s="28" t="n">
        <v>1</v>
      </c>
      <c r="U1581" s="26" t="n">
        <v>0</v>
      </c>
      <c r="V1581" s="26" t="n">
        <v>0</v>
      </c>
      <c r="W1581" s="22" t="s">
        <v>22</v>
      </c>
      <c r="X1581" s="22" t="s">
        <v>293</v>
      </c>
    </row>
    <row r="1582" customFormat="false" ht="15" hidden="false" customHeight="false" outlineLevel="0" collapsed="false">
      <c r="A1582" s="22" t="s">
        <v>6488</v>
      </c>
      <c r="B1582" s="22" t="s">
        <v>22</v>
      </c>
      <c r="C1582" s="22" t="s">
        <v>6489</v>
      </c>
      <c r="D1582" s="22" t="s">
        <v>6490</v>
      </c>
      <c r="E1582" s="22" t="s">
        <v>6491</v>
      </c>
      <c r="F1582" s="22" t="n">
        <v>12</v>
      </c>
      <c r="G1582" s="26" t="n">
        <v>99.55</v>
      </c>
      <c r="H1582" s="26" t="n">
        <v>109.56</v>
      </c>
      <c r="I1582" s="26" t="n">
        <v>129.6</v>
      </c>
      <c r="J1582" s="26" t="n">
        <v>139.62</v>
      </c>
      <c r="K1582" s="26" t="n">
        <v>154.64</v>
      </c>
      <c r="L1582" s="26" t="n">
        <v>2.06</v>
      </c>
      <c r="M1582" s="27" t="n">
        <v>0.005</v>
      </c>
      <c r="N1582" s="27" t="n">
        <v>0.002</v>
      </c>
      <c r="O1582" s="26" t="n">
        <v>5</v>
      </c>
      <c r="P1582" s="26" t="n">
        <v>5</v>
      </c>
      <c r="Q1582" s="28" t="n">
        <v>100</v>
      </c>
      <c r="R1582" s="26" t="n">
        <v>30</v>
      </c>
      <c r="S1582" s="26" t="n">
        <v>0</v>
      </c>
      <c r="T1582" s="28" t="n">
        <v>1</v>
      </c>
      <c r="U1582" s="26" t="n">
        <v>0</v>
      </c>
      <c r="V1582" s="26" t="n">
        <v>0</v>
      </c>
      <c r="W1582" s="22" t="s">
        <v>22</v>
      </c>
      <c r="X1582" s="22" t="s">
        <v>293</v>
      </c>
    </row>
    <row r="1583" customFormat="false" ht="15" hidden="false" customHeight="false" outlineLevel="0" collapsed="false">
      <c r="A1583" s="22" t="s">
        <v>6492</v>
      </c>
      <c r="B1583" s="22" t="s">
        <v>22</v>
      </c>
      <c r="C1583" s="22" t="s">
        <v>6493</v>
      </c>
      <c r="D1583" s="22" t="s">
        <v>6494</v>
      </c>
      <c r="E1583" s="22" t="s">
        <v>6495</v>
      </c>
      <c r="F1583" s="22" t="n">
        <v>12</v>
      </c>
      <c r="G1583" s="26" t="n">
        <v>99.55</v>
      </c>
      <c r="H1583" s="26" t="n">
        <v>109.56</v>
      </c>
      <c r="I1583" s="26" t="n">
        <v>129.6</v>
      </c>
      <c r="J1583" s="26" t="n">
        <v>139.62</v>
      </c>
      <c r="K1583" s="26" t="n">
        <v>154.64</v>
      </c>
      <c r="L1583" s="26" t="n">
        <v>2.06</v>
      </c>
      <c r="M1583" s="27" t="n">
        <v>0.005</v>
      </c>
      <c r="N1583" s="27" t="n">
        <v>0.002</v>
      </c>
      <c r="O1583" s="26" t="n">
        <v>5</v>
      </c>
      <c r="P1583" s="26" t="n">
        <v>5</v>
      </c>
      <c r="Q1583" s="28" t="n">
        <v>100</v>
      </c>
      <c r="R1583" s="26" t="n">
        <v>30</v>
      </c>
      <c r="S1583" s="26" t="n">
        <v>0</v>
      </c>
      <c r="T1583" s="28" t="n">
        <v>1</v>
      </c>
      <c r="U1583" s="26" t="n">
        <v>0</v>
      </c>
      <c r="V1583" s="26" t="n">
        <v>250</v>
      </c>
      <c r="W1583" s="22" t="s">
        <v>22</v>
      </c>
      <c r="X1583" s="22" t="s">
        <v>293</v>
      </c>
    </row>
    <row r="1584" customFormat="false" ht="15" hidden="false" customHeight="false" outlineLevel="0" collapsed="false">
      <c r="A1584" s="22" t="s">
        <v>6496</v>
      </c>
      <c r="B1584" s="22" t="s">
        <v>22</v>
      </c>
      <c r="C1584" s="22" t="s">
        <v>6497</v>
      </c>
      <c r="D1584" s="22" t="s">
        <v>6498</v>
      </c>
      <c r="E1584" s="22" t="s">
        <v>6499</v>
      </c>
      <c r="F1584" s="22" t="n">
        <v>12</v>
      </c>
      <c r="G1584" s="26" t="n">
        <v>99.55</v>
      </c>
      <c r="H1584" s="26" t="n">
        <v>109.56</v>
      </c>
      <c r="I1584" s="26" t="n">
        <v>129.6</v>
      </c>
      <c r="J1584" s="26" t="n">
        <v>139.62</v>
      </c>
      <c r="K1584" s="26" t="n">
        <v>154.64</v>
      </c>
      <c r="L1584" s="26" t="n">
        <v>2.06</v>
      </c>
      <c r="M1584" s="27" t="n">
        <v>0.005</v>
      </c>
      <c r="N1584" s="27" t="n">
        <v>0.002</v>
      </c>
      <c r="O1584" s="26" t="n">
        <v>5</v>
      </c>
      <c r="P1584" s="26" t="n">
        <v>5</v>
      </c>
      <c r="Q1584" s="28" t="n">
        <v>100</v>
      </c>
      <c r="R1584" s="26" t="n">
        <v>30</v>
      </c>
      <c r="S1584" s="26" t="n">
        <v>0</v>
      </c>
      <c r="T1584" s="28" t="n">
        <v>1</v>
      </c>
      <c r="U1584" s="26" t="n">
        <v>0</v>
      </c>
      <c r="V1584" s="26" t="n">
        <v>0</v>
      </c>
      <c r="W1584" s="22" t="s">
        <v>22</v>
      </c>
      <c r="X1584" s="22" t="s">
        <v>293</v>
      </c>
    </row>
    <row r="1585" customFormat="false" ht="15" hidden="false" customHeight="false" outlineLevel="0" collapsed="false">
      <c r="A1585" s="22" t="s">
        <v>6500</v>
      </c>
      <c r="B1585" s="22" t="s">
        <v>22</v>
      </c>
      <c r="C1585" s="22" t="s">
        <v>6501</v>
      </c>
      <c r="D1585" s="22" t="s">
        <v>6502</v>
      </c>
      <c r="E1585" s="22" t="s">
        <v>6503</v>
      </c>
      <c r="F1585" s="22" t="n">
        <v>12</v>
      </c>
      <c r="G1585" s="26" t="n">
        <v>99.55</v>
      </c>
      <c r="H1585" s="26" t="n">
        <v>109.56</v>
      </c>
      <c r="I1585" s="26" t="n">
        <v>129.6</v>
      </c>
      <c r="J1585" s="26" t="n">
        <v>139.62</v>
      </c>
      <c r="K1585" s="26" t="n">
        <v>154.64</v>
      </c>
      <c r="L1585" s="26" t="n">
        <v>2.06</v>
      </c>
      <c r="M1585" s="27" t="n">
        <v>0.005</v>
      </c>
      <c r="N1585" s="27" t="n">
        <v>0.002</v>
      </c>
      <c r="O1585" s="26" t="n">
        <v>5</v>
      </c>
      <c r="P1585" s="26" t="n">
        <v>5</v>
      </c>
      <c r="Q1585" s="28" t="n">
        <v>100</v>
      </c>
      <c r="R1585" s="26" t="n">
        <v>30</v>
      </c>
      <c r="S1585" s="26" t="n">
        <v>0</v>
      </c>
      <c r="T1585" s="28" t="n">
        <v>1</v>
      </c>
      <c r="U1585" s="26" t="n">
        <v>0</v>
      </c>
      <c r="V1585" s="26" t="n">
        <v>250</v>
      </c>
      <c r="W1585" s="22" t="s">
        <v>22</v>
      </c>
      <c r="X1585" s="22" t="s">
        <v>293</v>
      </c>
    </row>
    <row r="1586" customFormat="false" ht="15" hidden="false" customHeight="false" outlineLevel="0" collapsed="false">
      <c r="A1586" s="22" t="s">
        <v>6504</v>
      </c>
      <c r="B1586" s="22" t="s">
        <v>22</v>
      </c>
      <c r="C1586" s="22" t="s">
        <v>6505</v>
      </c>
      <c r="D1586" s="22" t="s">
        <v>6506</v>
      </c>
      <c r="E1586" s="22" t="s">
        <v>6507</v>
      </c>
      <c r="F1586" s="22" t="n">
        <v>12</v>
      </c>
      <c r="G1586" s="26" t="n">
        <v>99.55</v>
      </c>
      <c r="H1586" s="26" t="n">
        <v>109.56</v>
      </c>
      <c r="I1586" s="26" t="n">
        <v>129.6</v>
      </c>
      <c r="J1586" s="26" t="n">
        <v>139.62</v>
      </c>
      <c r="K1586" s="26" t="n">
        <v>154.64</v>
      </c>
      <c r="L1586" s="26" t="n">
        <v>2.06</v>
      </c>
      <c r="M1586" s="27" t="n">
        <v>0.005</v>
      </c>
      <c r="N1586" s="27" t="n">
        <v>0.002</v>
      </c>
      <c r="O1586" s="26" t="n">
        <v>5</v>
      </c>
      <c r="P1586" s="26" t="n">
        <v>5</v>
      </c>
      <c r="Q1586" s="28" t="n">
        <v>100</v>
      </c>
      <c r="R1586" s="26" t="n">
        <v>30</v>
      </c>
      <c r="S1586" s="26" t="n">
        <v>0</v>
      </c>
      <c r="T1586" s="28" t="n">
        <v>1</v>
      </c>
      <c r="U1586" s="26" t="n">
        <v>0</v>
      </c>
      <c r="V1586" s="26" t="n">
        <v>0</v>
      </c>
      <c r="W1586" s="22" t="s">
        <v>22</v>
      </c>
      <c r="X1586" s="22" t="s">
        <v>293</v>
      </c>
    </row>
    <row r="1587" customFormat="false" ht="15" hidden="false" customHeight="false" outlineLevel="0" collapsed="false">
      <c r="A1587" s="22" t="s">
        <v>6508</v>
      </c>
      <c r="B1587" s="22" t="s">
        <v>22</v>
      </c>
      <c r="C1587" s="22" t="s">
        <v>6509</v>
      </c>
      <c r="D1587" s="22" t="s">
        <v>6510</v>
      </c>
      <c r="E1587" s="22" t="s">
        <v>6511</v>
      </c>
      <c r="F1587" s="22" t="n">
        <v>12</v>
      </c>
      <c r="G1587" s="26" t="n">
        <v>99.55</v>
      </c>
      <c r="H1587" s="26" t="n">
        <v>109.56</v>
      </c>
      <c r="I1587" s="26" t="n">
        <v>129.6</v>
      </c>
      <c r="J1587" s="26" t="n">
        <v>139.62</v>
      </c>
      <c r="K1587" s="26" t="n">
        <v>154.64</v>
      </c>
      <c r="L1587" s="26" t="n">
        <v>2.06</v>
      </c>
      <c r="M1587" s="27" t="n">
        <v>0.005</v>
      </c>
      <c r="N1587" s="27" t="n">
        <v>0.002</v>
      </c>
      <c r="O1587" s="26" t="n">
        <v>5</v>
      </c>
      <c r="P1587" s="26" t="n">
        <v>5</v>
      </c>
      <c r="Q1587" s="28" t="n">
        <v>100</v>
      </c>
      <c r="R1587" s="26" t="n">
        <v>30</v>
      </c>
      <c r="S1587" s="26" t="n">
        <v>0</v>
      </c>
      <c r="T1587" s="28" t="n">
        <v>1</v>
      </c>
      <c r="U1587" s="26" t="n">
        <v>0</v>
      </c>
      <c r="V1587" s="26" t="n">
        <v>0</v>
      </c>
      <c r="W1587" s="22" t="s">
        <v>22</v>
      </c>
      <c r="X1587" s="22" t="s">
        <v>293</v>
      </c>
    </row>
    <row r="1588" customFormat="false" ht="15" hidden="false" customHeight="false" outlineLevel="0" collapsed="false">
      <c r="A1588" s="22" t="s">
        <v>6512</v>
      </c>
      <c r="B1588" s="22" t="s">
        <v>22</v>
      </c>
      <c r="C1588" s="22" t="s">
        <v>6513</v>
      </c>
      <c r="D1588" s="22" t="s">
        <v>6514</v>
      </c>
      <c r="E1588" s="22" t="s">
        <v>6515</v>
      </c>
      <c r="F1588" s="22" t="n">
        <v>12</v>
      </c>
      <c r="G1588" s="26" t="n">
        <v>99.55</v>
      </c>
      <c r="H1588" s="26" t="n">
        <v>109.56</v>
      </c>
      <c r="I1588" s="26" t="n">
        <v>129.6</v>
      </c>
      <c r="J1588" s="26" t="n">
        <v>139.62</v>
      </c>
      <c r="K1588" s="26" t="n">
        <v>154.64</v>
      </c>
      <c r="L1588" s="26" t="n">
        <v>2.06</v>
      </c>
      <c r="M1588" s="27" t="n">
        <v>0.005</v>
      </c>
      <c r="N1588" s="27" t="n">
        <v>0.002</v>
      </c>
      <c r="O1588" s="26" t="n">
        <v>5</v>
      </c>
      <c r="P1588" s="26" t="n">
        <v>5</v>
      </c>
      <c r="Q1588" s="28" t="n">
        <v>100</v>
      </c>
      <c r="R1588" s="26" t="n">
        <v>30</v>
      </c>
      <c r="S1588" s="26" t="n">
        <v>0</v>
      </c>
      <c r="T1588" s="28" t="n">
        <v>1</v>
      </c>
      <c r="U1588" s="26" t="n">
        <v>0</v>
      </c>
      <c r="V1588" s="26" t="n">
        <v>250</v>
      </c>
      <c r="W1588" s="22" t="s">
        <v>22</v>
      </c>
      <c r="X1588" s="22" t="s">
        <v>293</v>
      </c>
    </row>
    <row r="1589" customFormat="false" ht="15" hidden="false" customHeight="false" outlineLevel="0" collapsed="false">
      <c r="A1589" s="22" t="s">
        <v>6516</v>
      </c>
      <c r="B1589" s="22" t="s">
        <v>22</v>
      </c>
      <c r="C1589" s="22" t="s">
        <v>6517</v>
      </c>
      <c r="D1589" s="22" t="s">
        <v>6518</v>
      </c>
      <c r="E1589" s="22" t="s">
        <v>6519</v>
      </c>
      <c r="F1589" s="22" t="n">
        <v>12</v>
      </c>
      <c r="G1589" s="26" t="n">
        <v>99.55</v>
      </c>
      <c r="H1589" s="26" t="n">
        <v>109.56</v>
      </c>
      <c r="I1589" s="26" t="n">
        <v>129.6</v>
      </c>
      <c r="J1589" s="26" t="n">
        <v>139.62</v>
      </c>
      <c r="K1589" s="26" t="n">
        <v>154.64</v>
      </c>
      <c r="L1589" s="26" t="n">
        <v>2.06</v>
      </c>
      <c r="M1589" s="27" t="n">
        <v>0.005</v>
      </c>
      <c r="N1589" s="27" t="n">
        <v>0.002</v>
      </c>
      <c r="O1589" s="26" t="n">
        <v>5</v>
      </c>
      <c r="P1589" s="26" t="n">
        <v>5</v>
      </c>
      <c r="Q1589" s="28" t="n">
        <v>100</v>
      </c>
      <c r="R1589" s="26" t="n">
        <v>30</v>
      </c>
      <c r="S1589" s="26" t="n">
        <v>0</v>
      </c>
      <c r="T1589" s="28" t="n">
        <v>1</v>
      </c>
      <c r="U1589" s="26" t="n">
        <v>0</v>
      </c>
      <c r="V1589" s="26" t="n">
        <v>0</v>
      </c>
      <c r="W1589" s="22" t="s">
        <v>22</v>
      </c>
      <c r="X1589" s="22" t="s">
        <v>293</v>
      </c>
    </row>
    <row r="1590" customFormat="false" ht="15" hidden="false" customHeight="false" outlineLevel="0" collapsed="false">
      <c r="A1590" s="22" t="s">
        <v>6520</v>
      </c>
      <c r="B1590" s="22" t="s">
        <v>22</v>
      </c>
      <c r="C1590" s="22" t="s">
        <v>6521</v>
      </c>
      <c r="D1590" s="22" t="s">
        <v>6522</v>
      </c>
      <c r="E1590" s="22" t="s">
        <v>6523</v>
      </c>
      <c r="F1590" s="22" t="n">
        <v>12</v>
      </c>
      <c r="G1590" s="26" t="n">
        <v>99.55</v>
      </c>
      <c r="H1590" s="26" t="n">
        <v>109.56</v>
      </c>
      <c r="I1590" s="26" t="n">
        <v>129.6</v>
      </c>
      <c r="J1590" s="26" t="n">
        <v>139.62</v>
      </c>
      <c r="K1590" s="26" t="n">
        <v>154.64</v>
      </c>
      <c r="L1590" s="26" t="n">
        <v>2.06</v>
      </c>
      <c r="M1590" s="27" t="n">
        <v>0.005</v>
      </c>
      <c r="N1590" s="27" t="n">
        <v>0.002</v>
      </c>
      <c r="O1590" s="26" t="n">
        <v>5</v>
      </c>
      <c r="P1590" s="26" t="n">
        <v>5</v>
      </c>
      <c r="Q1590" s="28" t="n">
        <v>100</v>
      </c>
      <c r="R1590" s="26" t="n">
        <v>30</v>
      </c>
      <c r="S1590" s="26" t="n">
        <v>0</v>
      </c>
      <c r="T1590" s="28" t="n">
        <v>1</v>
      </c>
      <c r="U1590" s="26" t="n">
        <v>0</v>
      </c>
      <c r="V1590" s="26" t="n">
        <v>0</v>
      </c>
      <c r="W1590" s="22" t="s">
        <v>22</v>
      </c>
      <c r="X1590" s="22" t="s">
        <v>293</v>
      </c>
    </row>
    <row r="1591" customFormat="false" ht="15" hidden="false" customHeight="false" outlineLevel="0" collapsed="false">
      <c r="A1591" s="22" t="s">
        <v>6524</v>
      </c>
      <c r="B1591" s="22" t="s">
        <v>22</v>
      </c>
      <c r="C1591" s="22" t="s">
        <v>6525</v>
      </c>
      <c r="D1591" s="22" t="s">
        <v>6526</v>
      </c>
      <c r="E1591" s="22" t="s">
        <v>6527</v>
      </c>
      <c r="F1591" s="22" t="n">
        <v>12</v>
      </c>
      <c r="G1591" s="26" t="n">
        <v>99.55</v>
      </c>
      <c r="H1591" s="26" t="n">
        <v>109.56</v>
      </c>
      <c r="I1591" s="26" t="n">
        <v>129.6</v>
      </c>
      <c r="J1591" s="26" t="n">
        <v>139.62</v>
      </c>
      <c r="K1591" s="26" t="n">
        <v>154.64</v>
      </c>
      <c r="L1591" s="26" t="n">
        <v>2.06</v>
      </c>
      <c r="M1591" s="27" t="n">
        <v>0.005</v>
      </c>
      <c r="N1591" s="27" t="n">
        <v>0.002</v>
      </c>
      <c r="O1591" s="26" t="n">
        <v>5</v>
      </c>
      <c r="P1591" s="26" t="n">
        <v>5</v>
      </c>
      <c r="Q1591" s="28" t="n">
        <v>100</v>
      </c>
      <c r="R1591" s="26" t="n">
        <v>30</v>
      </c>
      <c r="S1591" s="26" t="n">
        <v>0</v>
      </c>
      <c r="T1591" s="28" t="n">
        <v>1</v>
      </c>
      <c r="U1591" s="26" t="n">
        <v>0</v>
      </c>
      <c r="V1591" s="26" t="n">
        <v>0</v>
      </c>
      <c r="W1591" s="22" t="s">
        <v>22</v>
      </c>
      <c r="X1591" s="22" t="s">
        <v>293</v>
      </c>
    </row>
    <row r="1592" customFormat="false" ht="15" hidden="false" customHeight="false" outlineLevel="0" collapsed="false">
      <c r="A1592" s="22" t="s">
        <v>6528</v>
      </c>
      <c r="B1592" s="22" t="s">
        <v>22</v>
      </c>
      <c r="C1592" s="22" t="s">
        <v>6529</v>
      </c>
      <c r="D1592" s="22" t="s">
        <v>6530</v>
      </c>
      <c r="E1592" s="22" t="s">
        <v>6531</v>
      </c>
      <c r="F1592" s="22" t="n">
        <v>12</v>
      </c>
      <c r="G1592" s="26" t="n">
        <v>99.55</v>
      </c>
      <c r="H1592" s="26" t="n">
        <v>109.56</v>
      </c>
      <c r="I1592" s="26" t="n">
        <v>129.6</v>
      </c>
      <c r="J1592" s="26" t="n">
        <v>139.62</v>
      </c>
      <c r="K1592" s="26" t="n">
        <v>154.64</v>
      </c>
      <c r="L1592" s="26" t="n">
        <v>2.06</v>
      </c>
      <c r="M1592" s="27" t="n">
        <v>0.005</v>
      </c>
      <c r="N1592" s="27" t="n">
        <v>0.002</v>
      </c>
      <c r="O1592" s="26" t="n">
        <v>5</v>
      </c>
      <c r="P1592" s="26" t="n">
        <v>5</v>
      </c>
      <c r="Q1592" s="28" t="n">
        <v>100</v>
      </c>
      <c r="R1592" s="26" t="n">
        <v>30</v>
      </c>
      <c r="S1592" s="26" t="n">
        <v>0</v>
      </c>
      <c r="T1592" s="28" t="n">
        <v>1</v>
      </c>
      <c r="U1592" s="26" t="n">
        <v>0</v>
      </c>
      <c r="V1592" s="26" t="n">
        <v>0</v>
      </c>
      <c r="W1592" s="22" t="s">
        <v>22</v>
      </c>
      <c r="X1592" s="22" t="s">
        <v>293</v>
      </c>
    </row>
    <row r="1593" customFormat="false" ht="15" hidden="false" customHeight="false" outlineLevel="0" collapsed="false">
      <c r="A1593" s="22" t="s">
        <v>6532</v>
      </c>
      <c r="B1593" s="22" t="s">
        <v>22</v>
      </c>
      <c r="C1593" s="22" t="s">
        <v>6533</v>
      </c>
      <c r="D1593" s="22" t="s">
        <v>6534</v>
      </c>
      <c r="E1593" s="22" t="s">
        <v>6535</v>
      </c>
      <c r="F1593" s="22" t="n">
        <v>12</v>
      </c>
      <c r="G1593" s="26" t="n">
        <v>99.55</v>
      </c>
      <c r="H1593" s="26" t="n">
        <v>109.56</v>
      </c>
      <c r="I1593" s="26" t="n">
        <v>129.6</v>
      </c>
      <c r="J1593" s="26" t="n">
        <v>139.62</v>
      </c>
      <c r="K1593" s="26" t="n">
        <v>154.64</v>
      </c>
      <c r="L1593" s="26" t="n">
        <v>2.06</v>
      </c>
      <c r="M1593" s="27" t="n">
        <v>0.005</v>
      </c>
      <c r="N1593" s="27" t="n">
        <v>0.002</v>
      </c>
      <c r="O1593" s="26" t="n">
        <v>5</v>
      </c>
      <c r="P1593" s="26" t="n">
        <v>5</v>
      </c>
      <c r="Q1593" s="28" t="n">
        <v>100</v>
      </c>
      <c r="R1593" s="26" t="n">
        <v>30</v>
      </c>
      <c r="S1593" s="26" t="n">
        <v>0</v>
      </c>
      <c r="T1593" s="28" t="n">
        <v>1</v>
      </c>
      <c r="U1593" s="26" t="n">
        <v>0</v>
      </c>
      <c r="V1593" s="26" t="n">
        <v>250</v>
      </c>
      <c r="W1593" s="22" t="s">
        <v>22</v>
      </c>
      <c r="X1593" s="22" t="s">
        <v>293</v>
      </c>
    </row>
    <row r="1594" customFormat="false" ht="15" hidden="false" customHeight="false" outlineLevel="0" collapsed="false">
      <c r="A1594" s="22" t="s">
        <v>6536</v>
      </c>
      <c r="B1594" s="22" t="s">
        <v>22</v>
      </c>
      <c r="C1594" s="22" t="s">
        <v>6537</v>
      </c>
      <c r="D1594" s="22" t="s">
        <v>6538</v>
      </c>
      <c r="E1594" s="22" t="s">
        <v>6539</v>
      </c>
      <c r="F1594" s="22" t="n">
        <v>12</v>
      </c>
      <c r="G1594" s="26" t="n">
        <v>99.55</v>
      </c>
      <c r="H1594" s="26" t="n">
        <v>109.56</v>
      </c>
      <c r="I1594" s="26" t="n">
        <v>129.6</v>
      </c>
      <c r="J1594" s="26" t="n">
        <v>139.62</v>
      </c>
      <c r="K1594" s="26" t="n">
        <v>154.64</v>
      </c>
      <c r="L1594" s="26" t="n">
        <v>2.06</v>
      </c>
      <c r="M1594" s="27" t="n">
        <v>0.005</v>
      </c>
      <c r="N1594" s="27" t="n">
        <v>0.002</v>
      </c>
      <c r="O1594" s="26" t="n">
        <v>5</v>
      </c>
      <c r="P1594" s="26" t="n">
        <v>5</v>
      </c>
      <c r="Q1594" s="28" t="n">
        <v>100</v>
      </c>
      <c r="R1594" s="26" t="n">
        <v>30</v>
      </c>
      <c r="S1594" s="26" t="n">
        <v>0</v>
      </c>
      <c r="T1594" s="28" t="n">
        <v>1</v>
      </c>
      <c r="U1594" s="26" t="n">
        <v>0</v>
      </c>
      <c r="V1594" s="26" t="n">
        <v>0</v>
      </c>
      <c r="W1594" s="22" t="s">
        <v>22</v>
      </c>
      <c r="X1594" s="22" t="s">
        <v>293</v>
      </c>
    </row>
    <row r="1595" customFormat="false" ht="15" hidden="false" customHeight="false" outlineLevel="0" collapsed="false">
      <c r="A1595" s="22" t="s">
        <v>6540</v>
      </c>
      <c r="B1595" s="22" t="s">
        <v>22</v>
      </c>
      <c r="C1595" s="22" t="s">
        <v>186</v>
      </c>
      <c r="D1595" s="22" t="s">
        <v>6541</v>
      </c>
      <c r="E1595" s="22" t="s">
        <v>6542</v>
      </c>
      <c r="F1595" s="22" t="n">
        <v>12</v>
      </c>
      <c r="G1595" s="26" t="n">
        <v>99.55</v>
      </c>
      <c r="H1595" s="26" t="n">
        <v>109.56</v>
      </c>
      <c r="I1595" s="26" t="n">
        <v>129.6</v>
      </c>
      <c r="J1595" s="26" t="n">
        <v>139.62</v>
      </c>
      <c r="K1595" s="26" t="n">
        <v>154.64</v>
      </c>
      <c r="L1595" s="26" t="n">
        <v>2.06</v>
      </c>
      <c r="M1595" s="27" t="n">
        <v>0.005</v>
      </c>
      <c r="N1595" s="27" t="n">
        <v>0.002</v>
      </c>
      <c r="O1595" s="26" t="n">
        <v>5</v>
      </c>
      <c r="P1595" s="26" t="n">
        <v>5</v>
      </c>
      <c r="Q1595" s="28" t="n">
        <v>100</v>
      </c>
      <c r="R1595" s="26" t="n">
        <v>30</v>
      </c>
      <c r="S1595" s="26" t="n">
        <v>0</v>
      </c>
      <c r="T1595" s="28" t="n">
        <v>1</v>
      </c>
      <c r="U1595" s="26" t="n">
        <v>0</v>
      </c>
      <c r="V1595" s="26" t="n">
        <v>0</v>
      </c>
      <c r="W1595" s="22" t="s">
        <v>22</v>
      </c>
      <c r="X1595" s="22" t="s">
        <v>293</v>
      </c>
    </row>
    <row r="1596" customFormat="false" ht="15" hidden="false" customHeight="false" outlineLevel="0" collapsed="false">
      <c r="A1596" s="22" t="s">
        <v>6543</v>
      </c>
      <c r="B1596" s="22" t="s">
        <v>22</v>
      </c>
      <c r="C1596" s="22" t="s">
        <v>6544</v>
      </c>
      <c r="D1596" s="22" t="s">
        <v>6545</v>
      </c>
      <c r="E1596" s="22" t="s">
        <v>6546</v>
      </c>
      <c r="F1596" s="22" t="n">
        <v>12</v>
      </c>
      <c r="G1596" s="26" t="n">
        <v>99.55</v>
      </c>
      <c r="H1596" s="26" t="n">
        <v>109.56</v>
      </c>
      <c r="I1596" s="26" t="n">
        <v>129.6</v>
      </c>
      <c r="J1596" s="26" t="n">
        <v>139.62</v>
      </c>
      <c r="K1596" s="26" t="n">
        <v>154.64</v>
      </c>
      <c r="L1596" s="26" t="n">
        <v>2.06</v>
      </c>
      <c r="M1596" s="27" t="n">
        <v>0.005</v>
      </c>
      <c r="N1596" s="27" t="n">
        <v>0.002</v>
      </c>
      <c r="O1596" s="26" t="n">
        <v>5</v>
      </c>
      <c r="P1596" s="26" t="n">
        <v>5</v>
      </c>
      <c r="Q1596" s="28" t="n">
        <v>100</v>
      </c>
      <c r="R1596" s="26" t="n">
        <v>30</v>
      </c>
      <c r="S1596" s="26" t="n">
        <v>0</v>
      </c>
      <c r="T1596" s="28" t="n">
        <v>1</v>
      </c>
      <c r="U1596" s="26" t="n">
        <v>0</v>
      </c>
      <c r="V1596" s="26" t="n">
        <v>250</v>
      </c>
      <c r="W1596" s="22" t="s">
        <v>22</v>
      </c>
      <c r="X1596" s="22" t="s">
        <v>293</v>
      </c>
    </row>
    <row r="1597" customFormat="false" ht="15" hidden="false" customHeight="false" outlineLevel="0" collapsed="false">
      <c r="A1597" s="22" t="s">
        <v>6547</v>
      </c>
      <c r="B1597" s="22" t="s">
        <v>22</v>
      </c>
      <c r="C1597" s="22" t="s">
        <v>6548</v>
      </c>
      <c r="D1597" s="22" t="s">
        <v>6549</v>
      </c>
      <c r="E1597" s="22" t="s">
        <v>6550</v>
      </c>
      <c r="F1597" s="22" t="n">
        <v>12</v>
      </c>
      <c r="G1597" s="26" t="n">
        <v>99.55</v>
      </c>
      <c r="H1597" s="26" t="n">
        <v>109.56</v>
      </c>
      <c r="I1597" s="26" t="n">
        <v>129.6</v>
      </c>
      <c r="J1597" s="26" t="n">
        <v>139.62</v>
      </c>
      <c r="K1597" s="26" t="n">
        <v>154.64</v>
      </c>
      <c r="L1597" s="26" t="n">
        <v>2.06</v>
      </c>
      <c r="M1597" s="27" t="n">
        <v>0.005</v>
      </c>
      <c r="N1597" s="27" t="n">
        <v>0.002</v>
      </c>
      <c r="O1597" s="26" t="n">
        <v>5</v>
      </c>
      <c r="P1597" s="26" t="n">
        <v>5</v>
      </c>
      <c r="Q1597" s="28" t="n">
        <v>100</v>
      </c>
      <c r="R1597" s="26" t="n">
        <v>30</v>
      </c>
      <c r="S1597" s="26" t="n">
        <v>0</v>
      </c>
      <c r="T1597" s="28" t="n">
        <v>1</v>
      </c>
      <c r="U1597" s="26" t="n">
        <v>0</v>
      </c>
      <c r="V1597" s="26" t="n">
        <v>0</v>
      </c>
      <c r="W1597" s="22" t="s">
        <v>22</v>
      </c>
      <c r="X1597" s="22" t="s">
        <v>293</v>
      </c>
    </row>
    <row r="1598" customFormat="false" ht="15" hidden="false" customHeight="false" outlineLevel="0" collapsed="false">
      <c r="A1598" s="22" t="s">
        <v>6551</v>
      </c>
      <c r="B1598" s="22" t="s">
        <v>22</v>
      </c>
      <c r="C1598" s="22" t="s">
        <v>6552</v>
      </c>
      <c r="D1598" s="22" t="s">
        <v>6553</v>
      </c>
      <c r="E1598" s="22" t="s">
        <v>6554</v>
      </c>
      <c r="F1598" s="22" t="n">
        <v>12</v>
      </c>
      <c r="G1598" s="26" t="n">
        <v>99.55</v>
      </c>
      <c r="H1598" s="26" t="n">
        <v>109.56</v>
      </c>
      <c r="I1598" s="26" t="n">
        <v>129.6</v>
      </c>
      <c r="J1598" s="26" t="n">
        <v>139.62</v>
      </c>
      <c r="K1598" s="26" t="n">
        <v>154.64</v>
      </c>
      <c r="L1598" s="26" t="n">
        <v>2.06</v>
      </c>
      <c r="M1598" s="27" t="n">
        <v>0.005</v>
      </c>
      <c r="N1598" s="27" t="n">
        <v>0.002</v>
      </c>
      <c r="O1598" s="26" t="n">
        <v>5</v>
      </c>
      <c r="P1598" s="26" t="n">
        <v>5</v>
      </c>
      <c r="Q1598" s="28" t="n">
        <v>100</v>
      </c>
      <c r="R1598" s="26" t="n">
        <v>30</v>
      </c>
      <c r="S1598" s="26" t="n">
        <v>0</v>
      </c>
      <c r="T1598" s="28" t="n">
        <v>1</v>
      </c>
      <c r="U1598" s="26" t="n">
        <v>0</v>
      </c>
      <c r="V1598" s="26" t="n">
        <v>0</v>
      </c>
      <c r="W1598" s="22" t="s">
        <v>22</v>
      </c>
      <c r="X1598" s="22" t="s">
        <v>293</v>
      </c>
    </row>
    <row r="1599" customFormat="false" ht="15" hidden="false" customHeight="false" outlineLevel="0" collapsed="false">
      <c r="A1599" s="22" t="s">
        <v>6555</v>
      </c>
      <c r="B1599" s="22" t="s">
        <v>22</v>
      </c>
      <c r="C1599" s="22" t="s">
        <v>6556</v>
      </c>
      <c r="D1599" s="22" t="s">
        <v>6557</v>
      </c>
      <c r="E1599" s="22" t="s">
        <v>6558</v>
      </c>
      <c r="F1599" s="22" t="n">
        <v>12</v>
      </c>
      <c r="G1599" s="26" t="n">
        <v>99.55</v>
      </c>
      <c r="H1599" s="26" t="n">
        <v>109.56</v>
      </c>
      <c r="I1599" s="26" t="n">
        <v>129.6</v>
      </c>
      <c r="J1599" s="26" t="n">
        <v>139.62</v>
      </c>
      <c r="K1599" s="26" t="n">
        <v>154.64</v>
      </c>
      <c r="L1599" s="26" t="n">
        <v>2.06</v>
      </c>
      <c r="M1599" s="27" t="n">
        <v>0.005</v>
      </c>
      <c r="N1599" s="27" t="n">
        <v>0.002</v>
      </c>
      <c r="O1599" s="26" t="n">
        <v>5</v>
      </c>
      <c r="P1599" s="26" t="n">
        <v>5</v>
      </c>
      <c r="Q1599" s="28" t="n">
        <v>100</v>
      </c>
      <c r="R1599" s="26" t="n">
        <v>30</v>
      </c>
      <c r="S1599" s="26" t="n">
        <v>0</v>
      </c>
      <c r="T1599" s="28" t="n">
        <v>1</v>
      </c>
      <c r="U1599" s="26" t="n">
        <v>0</v>
      </c>
      <c r="V1599" s="26" t="n">
        <v>0</v>
      </c>
      <c r="W1599" s="22" t="s">
        <v>22</v>
      </c>
      <c r="X1599" s="22" t="s">
        <v>293</v>
      </c>
    </row>
    <row r="1600" customFormat="false" ht="15" hidden="false" customHeight="false" outlineLevel="0" collapsed="false">
      <c r="A1600" s="22" t="s">
        <v>6559</v>
      </c>
      <c r="B1600" s="22" t="s">
        <v>22</v>
      </c>
      <c r="C1600" s="22" t="s">
        <v>6560</v>
      </c>
      <c r="D1600" s="22" t="s">
        <v>6561</v>
      </c>
      <c r="E1600" s="22" t="s">
        <v>6562</v>
      </c>
      <c r="F1600" s="22" t="n">
        <v>12</v>
      </c>
      <c r="G1600" s="26" t="n">
        <v>99.55</v>
      </c>
      <c r="H1600" s="26" t="n">
        <v>109.56</v>
      </c>
      <c r="I1600" s="26" t="n">
        <v>129.6</v>
      </c>
      <c r="J1600" s="26" t="n">
        <v>139.62</v>
      </c>
      <c r="K1600" s="26" t="n">
        <v>154.64</v>
      </c>
      <c r="L1600" s="26" t="n">
        <v>2.06</v>
      </c>
      <c r="M1600" s="27" t="n">
        <v>0.005</v>
      </c>
      <c r="N1600" s="27" t="n">
        <v>0.002</v>
      </c>
      <c r="O1600" s="26" t="n">
        <v>5</v>
      </c>
      <c r="P1600" s="26" t="n">
        <v>5</v>
      </c>
      <c r="Q1600" s="28" t="n">
        <v>100</v>
      </c>
      <c r="R1600" s="26" t="n">
        <v>30</v>
      </c>
      <c r="S1600" s="26" t="n">
        <v>0</v>
      </c>
      <c r="T1600" s="28" t="n">
        <v>1</v>
      </c>
      <c r="U1600" s="26" t="n">
        <v>0</v>
      </c>
      <c r="V1600" s="26" t="n">
        <v>250</v>
      </c>
      <c r="W1600" s="22" t="s">
        <v>22</v>
      </c>
      <c r="X1600" s="22" t="s">
        <v>293</v>
      </c>
    </row>
    <row r="1601" customFormat="false" ht="15" hidden="false" customHeight="false" outlineLevel="0" collapsed="false">
      <c r="A1601" s="22" t="s">
        <v>6563</v>
      </c>
      <c r="B1601" s="22" t="s">
        <v>22</v>
      </c>
      <c r="C1601" s="22" t="s">
        <v>6564</v>
      </c>
      <c r="D1601" s="22" t="s">
        <v>6565</v>
      </c>
      <c r="E1601" s="22" t="s">
        <v>6566</v>
      </c>
      <c r="F1601" s="22" t="n">
        <v>12</v>
      </c>
      <c r="G1601" s="26" t="n">
        <v>99.55</v>
      </c>
      <c r="H1601" s="26" t="n">
        <v>109.56</v>
      </c>
      <c r="I1601" s="26" t="n">
        <v>129.6</v>
      </c>
      <c r="J1601" s="26" t="n">
        <v>139.62</v>
      </c>
      <c r="K1601" s="26" t="n">
        <v>154.64</v>
      </c>
      <c r="L1601" s="26" t="n">
        <v>2.06</v>
      </c>
      <c r="M1601" s="27" t="n">
        <v>0.005</v>
      </c>
      <c r="N1601" s="27" t="n">
        <v>0.002</v>
      </c>
      <c r="O1601" s="26" t="n">
        <v>5</v>
      </c>
      <c r="P1601" s="26" t="n">
        <v>5</v>
      </c>
      <c r="Q1601" s="28" t="n">
        <v>100</v>
      </c>
      <c r="R1601" s="26" t="n">
        <v>30</v>
      </c>
      <c r="S1601" s="26" t="n">
        <v>0</v>
      </c>
      <c r="T1601" s="28" t="n">
        <v>1</v>
      </c>
      <c r="U1601" s="26" t="n">
        <v>0</v>
      </c>
      <c r="V1601" s="26" t="n">
        <v>0</v>
      </c>
      <c r="W1601" s="22" t="s">
        <v>22</v>
      </c>
      <c r="X1601" s="22" t="s">
        <v>293</v>
      </c>
    </row>
    <row r="1602" customFormat="false" ht="15" hidden="false" customHeight="false" outlineLevel="0" collapsed="false">
      <c r="A1602" s="22" t="s">
        <v>6567</v>
      </c>
      <c r="B1602" s="22" t="s">
        <v>22</v>
      </c>
      <c r="C1602" s="22" t="s">
        <v>6568</v>
      </c>
      <c r="D1602" s="22" t="s">
        <v>6569</v>
      </c>
      <c r="E1602" s="22" t="s">
        <v>6570</v>
      </c>
      <c r="F1602" s="22" t="n">
        <v>12</v>
      </c>
      <c r="G1602" s="26" t="n">
        <v>99.55</v>
      </c>
      <c r="H1602" s="26" t="n">
        <v>109.56</v>
      </c>
      <c r="I1602" s="26" t="n">
        <v>129.6</v>
      </c>
      <c r="J1602" s="26" t="n">
        <v>139.62</v>
      </c>
      <c r="K1602" s="26" t="n">
        <v>154.64</v>
      </c>
      <c r="L1602" s="26" t="n">
        <v>2.06</v>
      </c>
      <c r="M1602" s="27" t="n">
        <v>0.005</v>
      </c>
      <c r="N1602" s="27" t="n">
        <v>0.002</v>
      </c>
      <c r="O1602" s="26" t="n">
        <v>5</v>
      </c>
      <c r="P1602" s="26" t="n">
        <v>5</v>
      </c>
      <c r="Q1602" s="28" t="n">
        <v>100</v>
      </c>
      <c r="R1602" s="26" t="n">
        <v>30</v>
      </c>
      <c r="S1602" s="26" t="n">
        <v>0</v>
      </c>
      <c r="T1602" s="28" t="n">
        <v>1</v>
      </c>
      <c r="U1602" s="26" t="n">
        <v>0</v>
      </c>
      <c r="V1602" s="26" t="n">
        <v>0</v>
      </c>
      <c r="W1602" s="22" t="s">
        <v>22</v>
      </c>
      <c r="X1602" s="22" t="s">
        <v>293</v>
      </c>
    </row>
    <row r="1603" customFormat="false" ht="15" hidden="false" customHeight="false" outlineLevel="0" collapsed="false">
      <c r="A1603" s="22" t="s">
        <v>6571</v>
      </c>
      <c r="B1603" s="22" t="s">
        <v>22</v>
      </c>
      <c r="C1603" s="22" t="s">
        <v>6572</v>
      </c>
      <c r="D1603" s="22" t="s">
        <v>6573</v>
      </c>
      <c r="E1603" s="22" t="s">
        <v>6574</v>
      </c>
      <c r="F1603" s="22" t="n">
        <v>12</v>
      </c>
      <c r="G1603" s="26" t="n">
        <v>99.55</v>
      </c>
      <c r="H1603" s="26" t="n">
        <v>109.56</v>
      </c>
      <c r="I1603" s="26" t="n">
        <v>129.6</v>
      </c>
      <c r="J1603" s="26" t="n">
        <v>139.62</v>
      </c>
      <c r="K1603" s="26" t="n">
        <v>154.64</v>
      </c>
      <c r="L1603" s="26" t="n">
        <v>2.06</v>
      </c>
      <c r="M1603" s="27" t="n">
        <v>0.005</v>
      </c>
      <c r="N1603" s="27" t="n">
        <v>0.002</v>
      </c>
      <c r="O1603" s="26" t="n">
        <v>5</v>
      </c>
      <c r="P1603" s="26" t="n">
        <v>5</v>
      </c>
      <c r="Q1603" s="28" t="n">
        <v>100</v>
      </c>
      <c r="R1603" s="26" t="n">
        <v>30</v>
      </c>
      <c r="S1603" s="26" t="n">
        <v>0</v>
      </c>
      <c r="T1603" s="28" t="n">
        <v>1</v>
      </c>
      <c r="U1603" s="26" t="n">
        <v>0</v>
      </c>
      <c r="V1603" s="26" t="n">
        <v>0</v>
      </c>
      <c r="W1603" s="22" t="s">
        <v>22</v>
      </c>
      <c r="X1603" s="22" t="s">
        <v>293</v>
      </c>
    </row>
    <row r="1604" customFormat="false" ht="15" hidden="false" customHeight="false" outlineLevel="0" collapsed="false">
      <c r="A1604" s="22" t="s">
        <v>6575</v>
      </c>
      <c r="B1604" s="22" t="s">
        <v>22</v>
      </c>
      <c r="C1604" s="22" t="s">
        <v>196</v>
      </c>
      <c r="D1604" s="22" t="s">
        <v>6576</v>
      </c>
      <c r="E1604" s="22" t="s">
        <v>6577</v>
      </c>
      <c r="F1604" s="22" t="n">
        <v>12</v>
      </c>
      <c r="G1604" s="26" t="n">
        <v>99.55</v>
      </c>
      <c r="H1604" s="26" t="n">
        <v>109.56</v>
      </c>
      <c r="I1604" s="26" t="n">
        <v>129.6</v>
      </c>
      <c r="J1604" s="26" t="n">
        <v>139.62</v>
      </c>
      <c r="K1604" s="26" t="n">
        <v>154.64</v>
      </c>
      <c r="L1604" s="26" t="n">
        <v>2.06</v>
      </c>
      <c r="M1604" s="27" t="n">
        <v>0.005</v>
      </c>
      <c r="N1604" s="27" t="n">
        <v>0.002</v>
      </c>
      <c r="O1604" s="26" t="n">
        <v>5</v>
      </c>
      <c r="P1604" s="26" t="n">
        <v>5</v>
      </c>
      <c r="Q1604" s="28" t="n">
        <v>100</v>
      </c>
      <c r="R1604" s="26" t="n">
        <v>30</v>
      </c>
      <c r="S1604" s="26" t="n">
        <v>0</v>
      </c>
      <c r="T1604" s="28" t="n">
        <v>1</v>
      </c>
      <c r="U1604" s="26" t="n">
        <v>0</v>
      </c>
      <c r="V1604" s="26" t="n">
        <v>250</v>
      </c>
      <c r="W1604" s="22" t="s">
        <v>22</v>
      </c>
      <c r="X1604" s="22" t="s">
        <v>293</v>
      </c>
    </row>
    <row r="1605" customFormat="false" ht="15" hidden="false" customHeight="false" outlineLevel="0" collapsed="false">
      <c r="A1605" s="22" t="s">
        <v>6578</v>
      </c>
      <c r="B1605" s="22" t="s">
        <v>22</v>
      </c>
      <c r="C1605" s="22" t="s">
        <v>6579</v>
      </c>
      <c r="D1605" s="22" t="s">
        <v>6580</v>
      </c>
      <c r="E1605" s="22" t="s">
        <v>6581</v>
      </c>
      <c r="F1605" s="22" t="n">
        <v>12</v>
      </c>
      <c r="G1605" s="26" t="n">
        <v>99.55</v>
      </c>
      <c r="H1605" s="26" t="n">
        <v>109.56</v>
      </c>
      <c r="I1605" s="26" t="n">
        <v>129.6</v>
      </c>
      <c r="J1605" s="26" t="n">
        <v>139.62</v>
      </c>
      <c r="K1605" s="26" t="n">
        <v>154.64</v>
      </c>
      <c r="L1605" s="26" t="n">
        <v>2.06</v>
      </c>
      <c r="M1605" s="27" t="n">
        <v>0.005</v>
      </c>
      <c r="N1605" s="27" t="n">
        <v>0.002</v>
      </c>
      <c r="O1605" s="26" t="n">
        <v>5</v>
      </c>
      <c r="P1605" s="26" t="n">
        <v>5</v>
      </c>
      <c r="Q1605" s="28" t="n">
        <v>100</v>
      </c>
      <c r="R1605" s="26" t="n">
        <v>30</v>
      </c>
      <c r="S1605" s="26" t="n">
        <v>0</v>
      </c>
      <c r="T1605" s="28" t="n">
        <v>1</v>
      </c>
      <c r="U1605" s="26" t="n">
        <v>0</v>
      </c>
      <c r="V1605" s="26" t="n">
        <v>250</v>
      </c>
      <c r="W1605" s="22" t="s">
        <v>22</v>
      </c>
      <c r="X1605" s="22" t="s">
        <v>293</v>
      </c>
    </row>
    <row r="1606" customFormat="false" ht="15" hidden="false" customHeight="false" outlineLevel="0" collapsed="false">
      <c r="A1606" s="22" t="s">
        <v>6582</v>
      </c>
      <c r="B1606" s="22" t="s">
        <v>22</v>
      </c>
      <c r="C1606" s="22" t="s">
        <v>6583</v>
      </c>
      <c r="D1606" s="22" t="s">
        <v>6584</v>
      </c>
      <c r="E1606" s="22" t="s">
        <v>6585</v>
      </c>
      <c r="F1606" s="22" t="n">
        <v>12</v>
      </c>
      <c r="G1606" s="26" t="n">
        <v>99.55</v>
      </c>
      <c r="H1606" s="26" t="n">
        <v>109.56</v>
      </c>
      <c r="I1606" s="26" t="n">
        <v>129.6</v>
      </c>
      <c r="J1606" s="26" t="n">
        <v>139.62</v>
      </c>
      <c r="K1606" s="26" t="n">
        <v>154.64</v>
      </c>
      <c r="L1606" s="26" t="n">
        <v>2.06</v>
      </c>
      <c r="M1606" s="27" t="n">
        <v>0.005</v>
      </c>
      <c r="N1606" s="27" t="n">
        <v>0.002</v>
      </c>
      <c r="O1606" s="26" t="n">
        <v>5</v>
      </c>
      <c r="P1606" s="26" t="n">
        <v>5</v>
      </c>
      <c r="Q1606" s="28" t="n">
        <v>100</v>
      </c>
      <c r="R1606" s="26" t="n">
        <v>30</v>
      </c>
      <c r="S1606" s="26" t="n">
        <v>0</v>
      </c>
      <c r="T1606" s="28" t="n">
        <v>1</v>
      </c>
      <c r="U1606" s="26" t="n">
        <v>0</v>
      </c>
      <c r="V1606" s="26" t="n">
        <v>250</v>
      </c>
      <c r="W1606" s="22" t="s">
        <v>22</v>
      </c>
      <c r="X1606" s="22" t="s">
        <v>293</v>
      </c>
    </row>
    <row r="1607" customFormat="false" ht="15" hidden="false" customHeight="false" outlineLevel="0" collapsed="false">
      <c r="A1607" s="22" t="s">
        <v>6586</v>
      </c>
      <c r="B1607" s="22" t="s">
        <v>22</v>
      </c>
      <c r="C1607" s="22" t="s">
        <v>6587</v>
      </c>
      <c r="D1607" s="22" t="s">
        <v>6588</v>
      </c>
      <c r="E1607" s="22" t="s">
        <v>6589</v>
      </c>
      <c r="F1607" s="22" t="n">
        <v>12</v>
      </c>
      <c r="G1607" s="26" t="n">
        <v>99.55</v>
      </c>
      <c r="H1607" s="26" t="n">
        <v>109.56</v>
      </c>
      <c r="I1607" s="26" t="n">
        <v>129.6</v>
      </c>
      <c r="J1607" s="26" t="n">
        <v>139.62</v>
      </c>
      <c r="K1607" s="26" t="n">
        <v>154.64</v>
      </c>
      <c r="L1607" s="26" t="n">
        <v>2.06</v>
      </c>
      <c r="M1607" s="27" t="n">
        <v>0.005</v>
      </c>
      <c r="N1607" s="27" t="n">
        <v>0.002</v>
      </c>
      <c r="O1607" s="26" t="n">
        <v>5</v>
      </c>
      <c r="P1607" s="26" t="n">
        <v>5</v>
      </c>
      <c r="Q1607" s="28" t="n">
        <v>100</v>
      </c>
      <c r="R1607" s="26" t="n">
        <v>30</v>
      </c>
      <c r="S1607" s="26" t="n">
        <v>0</v>
      </c>
      <c r="T1607" s="28" t="n">
        <v>1</v>
      </c>
      <c r="U1607" s="26" t="n">
        <v>0</v>
      </c>
      <c r="V1607" s="26" t="n">
        <v>0</v>
      </c>
      <c r="W1607" s="22" t="s">
        <v>22</v>
      </c>
      <c r="X1607" s="22" t="s">
        <v>293</v>
      </c>
    </row>
    <row r="1608" customFormat="false" ht="15" hidden="false" customHeight="false" outlineLevel="0" collapsed="false">
      <c r="A1608" s="22" t="s">
        <v>6590</v>
      </c>
      <c r="B1608" s="29" t="s">
        <v>22</v>
      </c>
      <c r="C1608" s="29" t="s">
        <v>6591</v>
      </c>
      <c r="D1608" s="22" t="s">
        <v>6592</v>
      </c>
      <c r="E1608" s="22" t="s">
        <v>6593</v>
      </c>
      <c r="F1608" s="22" t="n">
        <v>12</v>
      </c>
      <c r="G1608" s="26" t="n">
        <v>75.1</v>
      </c>
      <c r="H1608" s="26" t="n">
        <v>86.62</v>
      </c>
      <c r="I1608" s="26" t="n">
        <v>98.13</v>
      </c>
      <c r="J1608" s="26" t="n">
        <v>109.65</v>
      </c>
      <c r="K1608" s="26" t="n">
        <v>126.93</v>
      </c>
      <c r="L1608" s="26" t="n">
        <v>1.93</v>
      </c>
      <c r="M1608" s="27" t="n">
        <v>0.005</v>
      </c>
      <c r="N1608" s="27" t="n">
        <v>0.002</v>
      </c>
      <c r="O1608" s="26" t="n">
        <v>5</v>
      </c>
      <c r="P1608" s="26" t="n">
        <v>5</v>
      </c>
      <c r="Q1608" s="28" t="n">
        <v>100</v>
      </c>
      <c r="R1608" s="26" t="n">
        <v>30</v>
      </c>
      <c r="S1608" s="26" t="n">
        <v>0</v>
      </c>
      <c r="T1608" s="28" t="n">
        <v>1</v>
      </c>
      <c r="U1608" s="26" t="n">
        <v>0</v>
      </c>
      <c r="V1608" s="26" t="n">
        <v>0</v>
      </c>
      <c r="W1608" s="29" t="s">
        <v>23</v>
      </c>
      <c r="X1608" s="22" t="s">
        <v>293</v>
      </c>
    </row>
    <row r="1609" customFormat="false" ht="15" hidden="false" customHeight="false" outlineLevel="0" collapsed="false">
      <c r="A1609" s="22" t="s">
        <v>6594</v>
      </c>
      <c r="B1609" s="22" t="s">
        <v>22</v>
      </c>
      <c r="C1609" s="22" t="s">
        <v>6595</v>
      </c>
      <c r="D1609" s="22" t="s">
        <v>6596</v>
      </c>
      <c r="E1609" s="22" t="s">
        <v>6597</v>
      </c>
      <c r="F1609" s="22" t="n">
        <v>12</v>
      </c>
      <c r="G1609" s="26" t="n">
        <v>99.55</v>
      </c>
      <c r="H1609" s="26" t="n">
        <v>109.56</v>
      </c>
      <c r="I1609" s="26" t="n">
        <v>129.6</v>
      </c>
      <c r="J1609" s="26" t="n">
        <v>139.62</v>
      </c>
      <c r="K1609" s="26" t="n">
        <v>154.64</v>
      </c>
      <c r="L1609" s="26" t="n">
        <v>2.06</v>
      </c>
      <c r="M1609" s="27" t="n">
        <v>0.005</v>
      </c>
      <c r="N1609" s="27" t="n">
        <v>0.002</v>
      </c>
      <c r="O1609" s="26" t="n">
        <v>5</v>
      </c>
      <c r="P1609" s="26" t="n">
        <v>5</v>
      </c>
      <c r="Q1609" s="28" t="n">
        <v>100</v>
      </c>
      <c r="R1609" s="26" t="n">
        <v>30</v>
      </c>
      <c r="S1609" s="26" t="n">
        <v>0</v>
      </c>
      <c r="T1609" s="28" t="n">
        <v>1</v>
      </c>
      <c r="U1609" s="26" t="n">
        <v>0</v>
      </c>
      <c r="V1609" s="26" t="n">
        <v>0</v>
      </c>
      <c r="W1609" s="22" t="s">
        <v>22</v>
      </c>
      <c r="X1609" s="22" t="s">
        <v>293</v>
      </c>
    </row>
    <row r="1610" customFormat="false" ht="15" hidden="false" customHeight="false" outlineLevel="0" collapsed="false">
      <c r="A1610" s="22" t="s">
        <v>6598</v>
      </c>
      <c r="B1610" s="22" t="s">
        <v>22</v>
      </c>
      <c r="C1610" s="22" t="s">
        <v>6599</v>
      </c>
      <c r="D1610" s="22" t="s">
        <v>6600</v>
      </c>
      <c r="E1610" s="22" t="s">
        <v>6601</v>
      </c>
      <c r="F1610" s="22" t="n">
        <v>12</v>
      </c>
      <c r="G1610" s="26" t="n">
        <v>99.55</v>
      </c>
      <c r="H1610" s="26" t="n">
        <v>109.56</v>
      </c>
      <c r="I1610" s="26" t="n">
        <v>129.6</v>
      </c>
      <c r="J1610" s="26" t="n">
        <v>139.62</v>
      </c>
      <c r="K1610" s="26" t="n">
        <v>154.64</v>
      </c>
      <c r="L1610" s="26" t="n">
        <v>2.06</v>
      </c>
      <c r="M1610" s="27" t="n">
        <v>0.005</v>
      </c>
      <c r="N1610" s="27" t="n">
        <v>0.002</v>
      </c>
      <c r="O1610" s="26" t="n">
        <v>5</v>
      </c>
      <c r="P1610" s="26" t="n">
        <v>5</v>
      </c>
      <c r="Q1610" s="28" t="n">
        <v>100</v>
      </c>
      <c r="R1610" s="26" t="n">
        <v>30</v>
      </c>
      <c r="S1610" s="26" t="n">
        <v>0</v>
      </c>
      <c r="T1610" s="28" t="n">
        <v>1</v>
      </c>
      <c r="U1610" s="26" t="n">
        <v>0</v>
      </c>
      <c r="V1610" s="26" t="n">
        <v>0</v>
      </c>
      <c r="W1610" s="22" t="s">
        <v>22</v>
      </c>
      <c r="X1610" s="22" t="s">
        <v>293</v>
      </c>
    </row>
    <row r="1611" customFormat="false" ht="15" hidden="false" customHeight="false" outlineLevel="0" collapsed="false">
      <c r="A1611" s="22" t="s">
        <v>6602</v>
      </c>
      <c r="B1611" s="22" t="s">
        <v>22</v>
      </c>
      <c r="C1611" s="22" t="s">
        <v>6603</v>
      </c>
      <c r="D1611" s="22" t="s">
        <v>6604</v>
      </c>
      <c r="E1611" s="22" t="s">
        <v>6605</v>
      </c>
      <c r="F1611" s="22" t="n">
        <v>12</v>
      </c>
      <c r="G1611" s="26" t="n">
        <v>99.55</v>
      </c>
      <c r="H1611" s="26" t="n">
        <v>109.56</v>
      </c>
      <c r="I1611" s="26" t="n">
        <v>129.6</v>
      </c>
      <c r="J1611" s="26" t="n">
        <v>139.62</v>
      </c>
      <c r="K1611" s="26" t="n">
        <v>154.64</v>
      </c>
      <c r="L1611" s="26" t="n">
        <v>2.06</v>
      </c>
      <c r="M1611" s="27" t="n">
        <v>0.005</v>
      </c>
      <c r="N1611" s="27" t="n">
        <v>0.002</v>
      </c>
      <c r="O1611" s="26" t="n">
        <v>5</v>
      </c>
      <c r="P1611" s="26" t="n">
        <v>5</v>
      </c>
      <c r="Q1611" s="28" t="n">
        <v>100</v>
      </c>
      <c r="R1611" s="26" t="n">
        <v>30</v>
      </c>
      <c r="S1611" s="26" t="n">
        <v>0</v>
      </c>
      <c r="T1611" s="28" t="n">
        <v>1</v>
      </c>
      <c r="U1611" s="26" t="n">
        <v>0</v>
      </c>
      <c r="V1611" s="26" t="n">
        <v>0</v>
      </c>
      <c r="W1611" s="22" t="s">
        <v>22</v>
      </c>
      <c r="X1611" s="22" t="s">
        <v>293</v>
      </c>
    </row>
    <row r="1612" customFormat="false" ht="15" hidden="false" customHeight="false" outlineLevel="0" collapsed="false">
      <c r="A1612" s="22" t="s">
        <v>6606</v>
      </c>
      <c r="B1612" s="29" t="s">
        <v>22</v>
      </c>
      <c r="C1612" s="29" t="s">
        <v>192</v>
      </c>
      <c r="D1612" s="22" t="s">
        <v>6607</v>
      </c>
      <c r="E1612" s="22" t="s">
        <v>6608</v>
      </c>
      <c r="F1612" s="22" t="n">
        <v>12</v>
      </c>
      <c r="G1612" s="26" t="n">
        <v>131.96</v>
      </c>
      <c r="H1612" s="26" t="n">
        <v>154.09</v>
      </c>
      <c r="I1612" s="26" t="n">
        <v>176.22</v>
      </c>
      <c r="J1612" s="26" t="n">
        <v>192.82</v>
      </c>
      <c r="K1612" s="26" t="n">
        <v>209.42</v>
      </c>
      <c r="L1612" s="26" t="n">
        <v>2.06</v>
      </c>
      <c r="M1612" s="27" t="n">
        <v>0.005</v>
      </c>
      <c r="N1612" s="27" t="n">
        <v>0.002</v>
      </c>
      <c r="O1612" s="26" t="n">
        <v>5</v>
      </c>
      <c r="P1612" s="26" t="n">
        <v>5</v>
      </c>
      <c r="Q1612" s="28" t="n">
        <v>100</v>
      </c>
      <c r="R1612" s="26" t="n">
        <v>30</v>
      </c>
      <c r="S1612" s="26" t="n">
        <v>0</v>
      </c>
      <c r="T1612" s="28" t="n">
        <v>1</v>
      </c>
      <c r="U1612" s="26" t="n">
        <v>0</v>
      </c>
      <c r="V1612" s="26" t="n">
        <v>0</v>
      </c>
      <c r="W1612" s="29" t="s">
        <v>17</v>
      </c>
      <c r="X1612" s="22" t="s">
        <v>293</v>
      </c>
    </row>
    <row r="1613" customFormat="false" ht="15" hidden="false" customHeight="false" outlineLevel="0" collapsed="false">
      <c r="A1613" s="22" t="s">
        <v>6609</v>
      </c>
      <c r="B1613" s="22" t="s">
        <v>22</v>
      </c>
      <c r="C1613" s="22" t="s">
        <v>194</v>
      </c>
      <c r="D1613" s="22" t="s">
        <v>6610</v>
      </c>
      <c r="E1613" s="22" t="s">
        <v>6611</v>
      </c>
      <c r="F1613" s="22" t="n">
        <v>12</v>
      </c>
      <c r="G1613" s="26" t="n">
        <v>99.55</v>
      </c>
      <c r="H1613" s="26" t="n">
        <v>109.56</v>
      </c>
      <c r="I1613" s="26" t="n">
        <v>129.6</v>
      </c>
      <c r="J1613" s="26" t="n">
        <v>139.62</v>
      </c>
      <c r="K1613" s="26" t="n">
        <v>154.64</v>
      </c>
      <c r="L1613" s="26" t="n">
        <v>2.06</v>
      </c>
      <c r="M1613" s="27" t="n">
        <v>0.005</v>
      </c>
      <c r="N1613" s="27" t="n">
        <v>0.002</v>
      </c>
      <c r="O1613" s="26" t="n">
        <v>5</v>
      </c>
      <c r="P1613" s="26" t="n">
        <v>5</v>
      </c>
      <c r="Q1613" s="28" t="n">
        <v>100</v>
      </c>
      <c r="R1613" s="26" t="n">
        <v>30</v>
      </c>
      <c r="S1613" s="26" t="n">
        <v>0</v>
      </c>
      <c r="T1613" s="28" t="n">
        <v>1</v>
      </c>
      <c r="U1613" s="26" t="n">
        <v>0</v>
      </c>
      <c r="V1613" s="26" t="n">
        <v>0</v>
      </c>
      <c r="W1613" s="22" t="s">
        <v>22</v>
      </c>
      <c r="X1613" s="22" t="s">
        <v>293</v>
      </c>
    </row>
    <row r="1614" customFormat="false" ht="15" hidden="false" customHeight="false" outlineLevel="0" collapsed="false">
      <c r="A1614" s="22" t="s">
        <v>6612</v>
      </c>
      <c r="B1614" s="22" t="s">
        <v>22</v>
      </c>
      <c r="C1614" s="22" t="s">
        <v>6613</v>
      </c>
      <c r="D1614" s="22" t="s">
        <v>6614</v>
      </c>
      <c r="E1614" s="22" t="s">
        <v>6615</v>
      </c>
      <c r="F1614" s="22" t="n">
        <v>12</v>
      </c>
      <c r="G1614" s="26" t="n">
        <v>99.55</v>
      </c>
      <c r="H1614" s="26" t="n">
        <v>109.56</v>
      </c>
      <c r="I1614" s="26" t="n">
        <v>129.6</v>
      </c>
      <c r="J1614" s="26" t="n">
        <v>139.62</v>
      </c>
      <c r="K1614" s="26" t="n">
        <v>154.64</v>
      </c>
      <c r="L1614" s="26" t="n">
        <v>2.06</v>
      </c>
      <c r="M1614" s="27" t="n">
        <v>0.005</v>
      </c>
      <c r="N1614" s="27" t="n">
        <v>0.002</v>
      </c>
      <c r="O1614" s="26" t="n">
        <v>5</v>
      </c>
      <c r="P1614" s="26" t="n">
        <v>5</v>
      </c>
      <c r="Q1614" s="28" t="n">
        <v>100</v>
      </c>
      <c r="R1614" s="26" t="n">
        <v>30</v>
      </c>
      <c r="S1614" s="26" t="n">
        <v>0</v>
      </c>
      <c r="T1614" s="28" t="n">
        <v>1</v>
      </c>
      <c r="U1614" s="26" t="n">
        <v>0</v>
      </c>
      <c r="V1614" s="26" t="n">
        <v>0</v>
      </c>
      <c r="W1614" s="22" t="s">
        <v>22</v>
      </c>
      <c r="X1614" s="22" t="s">
        <v>293</v>
      </c>
    </row>
    <row r="1615" customFormat="false" ht="15" hidden="false" customHeight="false" outlineLevel="0" collapsed="false">
      <c r="A1615" s="22" t="s">
        <v>6616</v>
      </c>
      <c r="B1615" s="22" t="s">
        <v>22</v>
      </c>
      <c r="C1615" s="22" t="s">
        <v>6617</v>
      </c>
      <c r="D1615" s="22" t="s">
        <v>6618</v>
      </c>
      <c r="E1615" s="22" t="s">
        <v>6619</v>
      </c>
      <c r="F1615" s="22" t="n">
        <v>12</v>
      </c>
      <c r="G1615" s="26" t="n">
        <v>99.55</v>
      </c>
      <c r="H1615" s="26" t="n">
        <v>109.56</v>
      </c>
      <c r="I1615" s="26" t="n">
        <v>129.6</v>
      </c>
      <c r="J1615" s="26" t="n">
        <v>139.62</v>
      </c>
      <c r="K1615" s="26" t="n">
        <v>154.64</v>
      </c>
      <c r="L1615" s="26" t="n">
        <v>2.06</v>
      </c>
      <c r="M1615" s="27" t="n">
        <v>0.005</v>
      </c>
      <c r="N1615" s="27" t="n">
        <v>0.002</v>
      </c>
      <c r="O1615" s="26" t="n">
        <v>5</v>
      </c>
      <c r="P1615" s="26" t="n">
        <v>5</v>
      </c>
      <c r="Q1615" s="28" t="n">
        <v>100</v>
      </c>
      <c r="R1615" s="26" t="n">
        <v>30</v>
      </c>
      <c r="S1615" s="26" t="n">
        <v>0</v>
      </c>
      <c r="T1615" s="28" t="n">
        <v>1</v>
      </c>
      <c r="U1615" s="26" t="n">
        <v>0</v>
      </c>
      <c r="V1615" s="26" t="n">
        <v>0</v>
      </c>
      <c r="W1615" s="22" t="s">
        <v>22</v>
      </c>
      <c r="X1615" s="22" t="s">
        <v>293</v>
      </c>
    </row>
    <row r="1616" customFormat="false" ht="15" hidden="false" customHeight="false" outlineLevel="0" collapsed="false">
      <c r="A1616" s="22" t="s">
        <v>6620</v>
      </c>
      <c r="B1616" s="22" t="s">
        <v>22</v>
      </c>
      <c r="C1616" s="22" t="s">
        <v>6621</v>
      </c>
      <c r="D1616" s="22" t="s">
        <v>6622</v>
      </c>
      <c r="E1616" s="22" t="s">
        <v>6623</v>
      </c>
      <c r="F1616" s="22" t="n">
        <v>12</v>
      </c>
      <c r="G1616" s="26" t="n">
        <v>99.55</v>
      </c>
      <c r="H1616" s="26" t="n">
        <v>109.56</v>
      </c>
      <c r="I1616" s="26" t="n">
        <v>129.6</v>
      </c>
      <c r="J1616" s="26" t="n">
        <v>139.62</v>
      </c>
      <c r="K1616" s="26" t="n">
        <v>154.64</v>
      </c>
      <c r="L1616" s="26" t="n">
        <v>2.06</v>
      </c>
      <c r="M1616" s="27" t="n">
        <v>0.005</v>
      </c>
      <c r="N1616" s="27" t="n">
        <v>0.002</v>
      </c>
      <c r="O1616" s="26" t="n">
        <v>5</v>
      </c>
      <c r="P1616" s="26" t="n">
        <v>5</v>
      </c>
      <c r="Q1616" s="28" t="n">
        <v>100</v>
      </c>
      <c r="R1616" s="26" t="n">
        <v>30</v>
      </c>
      <c r="S1616" s="26" t="n">
        <v>0</v>
      </c>
      <c r="T1616" s="28" t="n">
        <v>1</v>
      </c>
      <c r="U1616" s="26" t="n">
        <v>0</v>
      </c>
      <c r="V1616" s="26" t="n">
        <v>0</v>
      </c>
      <c r="W1616" s="22" t="s">
        <v>22</v>
      </c>
      <c r="X1616" s="22" t="s">
        <v>293</v>
      </c>
    </row>
    <row r="1617" customFormat="false" ht="15" hidden="false" customHeight="false" outlineLevel="0" collapsed="false">
      <c r="A1617" s="22" t="s">
        <v>6624</v>
      </c>
      <c r="B1617" s="22" t="s">
        <v>22</v>
      </c>
      <c r="C1617" s="22" t="s">
        <v>6625</v>
      </c>
      <c r="D1617" s="22" t="s">
        <v>6626</v>
      </c>
      <c r="E1617" s="22" t="s">
        <v>6627</v>
      </c>
      <c r="F1617" s="22" t="n">
        <v>12</v>
      </c>
      <c r="G1617" s="26" t="n">
        <v>99.55</v>
      </c>
      <c r="H1617" s="26" t="n">
        <v>109.56</v>
      </c>
      <c r="I1617" s="26" t="n">
        <v>129.6</v>
      </c>
      <c r="J1617" s="26" t="n">
        <v>139.62</v>
      </c>
      <c r="K1617" s="26" t="n">
        <v>154.64</v>
      </c>
      <c r="L1617" s="26" t="n">
        <v>2.06</v>
      </c>
      <c r="M1617" s="27" t="n">
        <v>0.005</v>
      </c>
      <c r="N1617" s="27" t="n">
        <v>0.002</v>
      </c>
      <c r="O1617" s="26" t="n">
        <v>5</v>
      </c>
      <c r="P1617" s="26" t="n">
        <v>5</v>
      </c>
      <c r="Q1617" s="28" t="n">
        <v>100</v>
      </c>
      <c r="R1617" s="26" t="n">
        <v>30</v>
      </c>
      <c r="S1617" s="26" t="n">
        <v>0</v>
      </c>
      <c r="T1617" s="28" t="n">
        <v>1</v>
      </c>
      <c r="U1617" s="26" t="n">
        <v>0</v>
      </c>
      <c r="V1617" s="26" t="n">
        <v>0</v>
      </c>
      <c r="W1617" s="22" t="s">
        <v>22</v>
      </c>
      <c r="X1617" s="22" t="s">
        <v>293</v>
      </c>
    </row>
    <row r="1618" customFormat="false" ht="15" hidden="false" customHeight="false" outlineLevel="0" collapsed="false">
      <c r="A1618" s="22" t="s">
        <v>6628</v>
      </c>
      <c r="B1618" s="22" t="s">
        <v>22</v>
      </c>
      <c r="C1618" s="22" t="s">
        <v>6629</v>
      </c>
      <c r="D1618" s="22" t="s">
        <v>6630</v>
      </c>
      <c r="E1618" s="22" t="s">
        <v>6631</v>
      </c>
      <c r="F1618" s="22" t="n">
        <v>12</v>
      </c>
      <c r="G1618" s="26" t="n">
        <v>99.55</v>
      </c>
      <c r="H1618" s="26" t="n">
        <v>109.56</v>
      </c>
      <c r="I1618" s="26" t="n">
        <v>129.6</v>
      </c>
      <c r="J1618" s="26" t="n">
        <v>139.62</v>
      </c>
      <c r="K1618" s="26" t="n">
        <v>154.64</v>
      </c>
      <c r="L1618" s="26" t="n">
        <v>2.06</v>
      </c>
      <c r="M1618" s="27" t="n">
        <v>0.005</v>
      </c>
      <c r="N1618" s="27" t="n">
        <v>0.002</v>
      </c>
      <c r="O1618" s="26" t="n">
        <v>5</v>
      </c>
      <c r="P1618" s="26" t="n">
        <v>5</v>
      </c>
      <c r="Q1618" s="28" t="n">
        <v>100</v>
      </c>
      <c r="R1618" s="26" t="n">
        <v>30</v>
      </c>
      <c r="S1618" s="26" t="n">
        <v>0</v>
      </c>
      <c r="T1618" s="28" t="n">
        <v>1</v>
      </c>
      <c r="U1618" s="26" t="n">
        <v>0</v>
      </c>
      <c r="V1618" s="26" t="n">
        <v>250</v>
      </c>
      <c r="W1618" s="22" t="s">
        <v>22</v>
      </c>
      <c r="X1618" s="22" t="s">
        <v>293</v>
      </c>
    </row>
    <row r="1619" customFormat="false" ht="15" hidden="false" customHeight="false" outlineLevel="0" collapsed="false">
      <c r="A1619" s="22" t="s">
        <v>6632</v>
      </c>
      <c r="B1619" s="22" t="s">
        <v>22</v>
      </c>
      <c r="C1619" s="22" t="s">
        <v>6633</v>
      </c>
      <c r="D1619" s="22" t="s">
        <v>6634</v>
      </c>
      <c r="E1619" s="22" t="s">
        <v>6635</v>
      </c>
      <c r="F1619" s="22" t="n">
        <v>12</v>
      </c>
      <c r="G1619" s="26" t="n">
        <v>99.55</v>
      </c>
      <c r="H1619" s="26" t="n">
        <v>109.56</v>
      </c>
      <c r="I1619" s="26" t="n">
        <v>129.6</v>
      </c>
      <c r="J1619" s="26" t="n">
        <v>139.62</v>
      </c>
      <c r="K1619" s="26" t="n">
        <v>154.64</v>
      </c>
      <c r="L1619" s="26" t="n">
        <v>2.06</v>
      </c>
      <c r="M1619" s="27" t="n">
        <v>0.005</v>
      </c>
      <c r="N1619" s="27" t="n">
        <v>0.002</v>
      </c>
      <c r="O1619" s="26" t="n">
        <v>5</v>
      </c>
      <c r="P1619" s="26" t="n">
        <v>5</v>
      </c>
      <c r="Q1619" s="28" t="n">
        <v>100</v>
      </c>
      <c r="R1619" s="26" t="n">
        <v>30</v>
      </c>
      <c r="S1619" s="26" t="n">
        <v>0</v>
      </c>
      <c r="T1619" s="28" t="n">
        <v>1</v>
      </c>
      <c r="U1619" s="26" t="n">
        <v>0</v>
      </c>
      <c r="V1619" s="26" t="n">
        <v>250</v>
      </c>
      <c r="W1619" s="22" t="s">
        <v>22</v>
      </c>
      <c r="X1619" s="22" t="s">
        <v>293</v>
      </c>
    </row>
    <row r="1620" customFormat="false" ht="15" hidden="false" customHeight="false" outlineLevel="0" collapsed="false">
      <c r="A1620" s="22" t="s">
        <v>6636</v>
      </c>
      <c r="B1620" s="22" t="s">
        <v>22</v>
      </c>
      <c r="C1620" s="22" t="s">
        <v>6637</v>
      </c>
      <c r="D1620" s="22" t="s">
        <v>6638</v>
      </c>
      <c r="E1620" s="22" t="s">
        <v>6639</v>
      </c>
      <c r="F1620" s="22" t="n">
        <v>12</v>
      </c>
      <c r="G1620" s="26" t="n">
        <v>99.55</v>
      </c>
      <c r="H1620" s="26" t="n">
        <v>109.56</v>
      </c>
      <c r="I1620" s="26" t="n">
        <v>129.6</v>
      </c>
      <c r="J1620" s="26" t="n">
        <v>139.62</v>
      </c>
      <c r="K1620" s="26" t="n">
        <v>154.64</v>
      </c>
      <c r="L1620" s="26" t="n">
        <v>2.06</v>
      </c>
      <c r="M1620" s="27" t="n">
        <v>0.005</v>
      </c>
      <c r="N1620" s="27" t="n">
        <v>0.002</v>
      </c>
      <c r="O1620" s="26" t="n">
        <v>5</v>
      </c>
      <c r="P1620" s="26" t="n">
        <v>5</v>
      </c>
      <c r="Q1620" s="28" t="n">
        <v>100</v>
      </c>
      <c r="R1620" s="26" t="n">
        <v>30</v>
      </c>
      <c r="S1620" s="26" t="n">
        <v>0</v>
      </c>
      <c r="T1620" s="28" t="n">
        <v>1</v>
      </c>
      <c r="U1620" s="26" t="n">
        <v>0</v>
      </c>
      <c r="V1620" s="26" t="n">
        <v>0</v>
      </c>
      <c r="W1620" s="22" t="s">
        <v>22</v>
      </c>
      <c r="X1620" s="22" t="s">
        <v>293</v>
      </c>
    </row>
    <row r="1621" customFormat="false" ht="15" hidden="false" customHeight="false" outlineLevel="0" collapsed="false">
      <c r="A1621" s="22" t="s">
        <v>6640</v>
      </c>
      <c r="B1621" s="22" t="s">
        <v>22</v>
      </c>
      <c r="C1621" s="22" t="s">
        <v>6641</v>
      </c>
      <c r="D1621" s="22" t="s">
        <v>6642</v>
      </c>
      <c r="E1621" s="22" t="s">
        <v>6643</v>
      </c>
      <c r="F1621" s="22" t="n">
        <v>12</v>
      </c>
      <c r="G1621" s="26" t="n">
        <v>99.55</v>
      </c>
      <c r="H1621" s="26" t="n">
        <v>109.56</v>
      </c>
      <c r="I1621" s="26" t="n">
        <v>129.6</v>
      </c>
      <c r="J1621" s="26" t="n">
        <v>139.62</v>
      </c>
      <c r="K1621" s="26" t="n">
        <v>154.64</v>
      </c>
      <c r="L1621" s="26" t="n">
        <v>2.06</v>
      </c>
      <c r="M1621" s="27" t="n">
        <v>0.005</v>
      </c>
      <c r="N1621" s="27" t="n">
        <v>0.002</v>
      </c>
      <c r="O1621" s="26" t="n">
        <v>5</v>
      </c>
      <c r="P1621" s="26" t="n">
        <v>5</v>
      </c>
      <c r="Q1621" s="28" t="n">
        <v>100</v>
      </c>
      <c r="R1621" s="26" t="n">
        <v>30</v>
      </c>
      <c r="S1621" s="26" t="n">
        <v>0</v>
      </c>
      <c r="T1621" s="28" t="n">
        <v>1</v>
      </c>
      <c r="U1621" s="26" t="n">
        <v>0</v>
      </c>
      <c r="V1621" s="26" t="n">
        <v>0</v>
      </c>
      <c r="W1621" s="22" t="s">
        <v>22</v>
      </c>
      <c r="X1621" s="22" t="s">
        <v>293</v>
      </c>
    </row>
    <row r="1622" customFormat="false" ht="15" hidden="false" customHeight="false" outlineLevel="0" collapsed="false">
      <c r="A1622" s="22" t="s">
        <v>6644</v>
      </c>
      <c r="B1622" s="22" t="s">
        <v>22</v>
      </c>
      <c r="C1622" s="22" t="s">
        <v>1031</v>
      </c>
      <c r="D1622" s="22" t="s">
        <v>6645</v>
      </c>
      <c r="E1622" s="22" t="s">
        <v>6646</v>
      </c>
      <c r="F1622" s="22" t="n">
        <v>12</v>
      </c>
      <c r="G1622" s="26" t="n">
        <v>99.55</v>
      </c>
      <c r="H1622" s="26" t="n">
        <v>109.56</v>
      </c>
      <c r="I1622" s="26" t="n">
        <v>129.6</v>
      </c>
      <c r="J1622" s="26" t="n">
        <v>139.62</v>
      </c>
      <c r="K1622" s="26" t="n">
        <v>154.64</v>
      </c>
      <c r="L1622" s="26" t="n">
        <v>2.06</v>
      </c>
      <c r="M1622" s="27" t="n">
        <v>0.005</v>
      </c>
      <c r="N1622" s="27" t="n">
        <v>0.002</v>
      </c>
      <c r="O1622" s="26" t="n">
        <v>5</v>
      </c>
      <c r="P1622" s="26" t="n">
        <v>5</v>
      </c>
      <c r="Q1622" s="28" t="n">
        <v>100</v>
      </c>
      <c r="R1622" s="26" t="n">
        <v>30</v>
      </c>
      <c r="S1622" s="26" t="n">
        <v>0</v>
      </c>
      <c r="T1622" s="28" t="n">
        <v>1</v>
      </c>
      <c r="U1622" s="26" t="n">
        <v>0</v>
      </c>
      <c r="V1622" s="26" t="n">
        <v>0</v>
      </c>
      <c r="W1622" s="22" t="s">
        <v>22</v>
      </c>
      <c r="X1622" s="22" t="s">
        <v>293</v>
      </c>
    </row>
    <row r="1623" customFormat="false" ht="15" hidden="false" customHeight="false" outlineLevel="0" collapsed="false">
      <c r="A1623" s="22" t="s">
        <v>6647</v>
      </c>
      <c r="B1623" s="22" t="s">
        <v>22</v>
      </c>
      <c r="C1623" s="22" t="s">
        <v>6648</v>
      </c>
      <c r="D1623" s="22" t="s">
        <v>6649</v>
      </c>
      <c r="E1623" s="22" t="s">
        <v>6650</v>
      </c>
      <c r="F1623" s="22" t="n">
        <v>12</v>
      </c>
      <c r="G1623" s="26" t="n">
        <v>99.55</v>
      </c>
      <c r="H1623" s="26" t="n">
        <v>109.56</v>
      </c>
      <c r="I1623" s="26" t="n">
        <v>129.6</v>
      </c>
      <c r="J1623" s="26" t="n">
        <v>139.62</v>
      </c>
      <c r="K1623" s="26" t="n">
        <v>154.64</v>
      </c>
      <c r="L1623" s="26" t="n">
        <v>2.06</v>
      </c>
      <c r="M1623" s="27" t="n">
        <v>0.005</v>
      </c>
      <c r="N1623" s="27" t="n">
        <v>0.002</v>
      </c>
      <c r="O1623" s="26" t="n">
        <v>5</v>
      </c>
      <c r="P1623" s="26" t="n">
        <v>5</v>
      </c>
      <c r="Q1623" s="28" t="n">
        <v>100</v>
      </c>
      <c r="R1623" s="26" t="n">
        <v>30</v>
      </c>
      <c r="S1623" s="26" t="n">
        <v>0</v>
      </c>
      <c r="T1623" s="28" t="n">
        <v>1</v>
      </c>
      <c r="U1623" s="26" t="n">
        <v>0</v>
      </c>
      <c r="V1623" s="26" t="n">
        <v>250</v>
      </c>
      <c r="W1623" s="22" t="s">
        <v>22</v>
      </c>
      <c r="X1623" s="22" t="s">
        <v>293</v>
      </c>
    </row>
    <row r="1624" customFormat="false" ht="15" hidden="false" customHeight="false" outlineLevel="0" collapsed="false">
      <c r="A1624" s="22" t="s">
        <v>6651</v>
      </c>
      <c r="B1624" s="22" t="s">
        <v>22</v>
      </c>
      <c r="C1624" s="22" t="s">
        <v>6652</v>
      </c>
      <c r="D1624" s="22" t="s">
        <v>6653</v>
      </c>
      <c r="E1624" s="22" t="s">
        <v>6654</v>
      </c>
      <c r="F1624" s="22" t="n">
        <v>12</v>
      </c>
      <c r="G1624" s="26" t="n">
        <v>99.55</v>
      </c>
      <c r="H1624" s="26" t="n">
        <v>109.56</v>
      </c>
      <c r="I1624" s="26" t="n">
        <v>129.6</v>
      </c>
      <c r="J1624" s="26" t="n">
        <v>139.62</v>
      </c>
      <c r="K1624" s="26" t="n">
        <v>154.64</v>
      </c>
      <c r="L1624" s="26" t="n">
        <v>2.06</v>
      </c>
      <c r="M1624" s="27" t="n">
        <v>0.005</v>
      </c>
      <c r="N1624" s="27" t="n">
        <v>0.002</v>
      </c>
      <c r="O1624" s="26" t="n">
        <v>5</v>
      </c>
      <c r="P1624" s="26" t="n">
        <v>5</v>
      </c>
      <c r="Q1624" s="28" t="n">
        <v>100</v>
      </c>
      <c r="R1624" s="26" t="n">
        <v>30</v>
      </c>
      <c r="S1624" s="26" t="n">
        <v>0</v>
      </c>
      <c r="T1624" s="28" t="n">
        <v>1</v>
      </c>
      <c r="U1624" s="26" t="n">
        <v>0</v>
      </c>
      <c r="V1624" s="26" t="n">
        <v>0</v>
      </c>
      <c r="W1624" s="22" t="s">
        <v>22</v>
      </c>
      <c r="X1624" s="22" t="s">
        <v>293</v>
      </c>
    </row>
    <row r="1625" customFormat="false" ht="15" hidden="false" customHeight="false" outlineLevel="0" collapsed="false">
      <c r="A1625" s="22" t="s">
        <v>6655</v>
      </c>
      <c r="B1625" s="22" t="s">
        <v>22</v>
      </c>
      <c r="C1625" s="22" t="s">
        <v>6656</v>
      </c>
      <c r="D1625" s="22" t="s">
        <v>6657</v>
      </c>
      <c r="E1625" s="22" t="s">
        <v>6658</v>
      </c>
      <c r="F1625" s="22" t="n">
        <v>12</v>
      </c>
      <c r="G1625" s="26" t="n">
        <v>99.55</v>
      </c>
      <c r="H1625" s="26" t="n">
        <v>109.56</v>
      </c>
      <c r="I1625" s="26" t="n">
        <v>129.6</v>
      </c>
      <c r="J1625" s="26" t="n">
        <v>139.62</v>
      </c>
      <c r="K1625" s="26" t="n">
        <v>154.64</v>
      </c>
      <c r="L1625" s="26" t="n">
        <v>2.06</v>
      </c>
      <c r="M1625" s="27" t="n">
        <v>0.005</v>
      </c>
      <c r="N1625" s="27" t="n">
        <v>0.002</v>
      </c>
      <c r="O1625" s="26" t="n">
        <v>5</v>
      </c>
      <c r="P1625" s="26" t="n">
        <v>5</v>
      </c>
      <c r="Q1625" s="28" t="n">
        <v>100</v>
      </c>
      <c r="R1625" s="26" t="n">
        <v>30</v>
      </c>
      <c r="S1625" s="26" t="n">
        <v>0</v>
      </c>
      <c r="T1625" s="28" t="n">
        <v>1</v>
      </c>
      <c r="U1625" s="26" t="n">
        <v>0</v>
      </c>
      <c r="V1625" s="26" t="n">
        <v>250</v>
      </c>
      <c r="W1625" s="22" t="s">
        <v>22</v>
      </c>
      <c r="X1625" s="22" t="s">
        <v>293</v>
      </c>
    </row>
    <row r="1626" customFormat="false" ht="15" hidden="false" customHeight="false" outlineLevel="0" collapsed="false">
      <c r="A1626" s="22" t="s">
        <v>6659</v>
      </c>
      <c r="B1626" s="22" t="s">
        <v>22</v>
      </c>
      <c r="C1626" s="22" t="s">
        <v>1071</v>
      </c>
      <c r="D1626" s="22" t="s">
        <v>6660</v>
      </c>
      <c r="E1626" s="22" t="s">
        <v>6661</v>
      </c>
      <c r="F1626" s="22" t="n">
        <v>12</v>
      </c>
      <c r="G1626" s="26" t="n">
        <v>99.55</v>
      </c>
      <c r="H1626" s="26" t="n">
        <v>109.56</v>
      </c>
      <c r="I1626" s="26" t="n">
        <v>129.6</v>
      </c>
      <c r="J1626" s="26" t="n">
        <v>139.62</v>
      </c>
      <c r="K1626" s="26" t="n">
        <v>154.64</v>
      </c>
      <c r="L1626" s="26" t="n">
        <v>2.06</v>
      </c>
      <c r="M1626" s="27" t="n">
        <v>0.005</v>
      </c>
      <c r="N1626" s="27" t="n">
        <v>0.002</v>
      </c>
      <c r="O1626" s="26" t="n">
        <v>5</v>
      </c>
      <c r="P1626" s="26" t="n">
        <v>5</v>
      </c>
      <c r="Q1626" s="28" t="n">
        <v>100</v>
      </c>
      <c r="R1626" s="26" t="n">
        <v>30</v>
      </c>
      <c r="S1626" s="26" t="n">
        <v>0</v>
      </c>
      <c r="T1626" s="28" t="n">
        <v>1</v>
      </c>
      <c r="U1626" s="26" t="n">
        <v>0</v>
      </c>
      <c r="V1626" s="26" t="n">
        <v>250</v>
      </c>
      <c r="W1626" s="22" t="s">
        <v>22</v>
      </c>
      <c r="X1626" s="22" t="s">
        <v>293</v>
      </c>
    </row>
    <row r="1627" customFormat="false" ht="15" hidden="false" customHeight="false" outlineLevel="0" collapsed="false">
      <c r="A1627" s="22" t="s">
        <v>6662</v>
      </c>
      <c r="B1627" s="22" t="s">
        <v>22</v>
      </c>
      <c r="C1627" s="22" t="s">
        <v>366</v>
      </c>
      <c r="D1627" s="22" t="s">
        <v>6663</v>
      </c>
      <c r="E1627" s="22" t="s">
        <v>6664</v>
      </c>
      <c r="F1627" s="22" t="n">
        <v>14</v>
      </c>
      <c r="G1627" s="26" t="n">
        <v>99.55</v>
      </c>
      <c r="H1627" s="26" t="n">
        <v>109.56</v>
      </c>
      <c r="I1627" s="26" t="n">
        <v>129.6</v>
      </c>
      <c r="J1627" s="26" t="n">
        <v>139.62</v>
      </c>
      <c r="K1627" s="26" t="n">
        <v>154.64</v>
      </c>
      <c r="L1627" s="26" t="n">
        <v>2.06</v>
      </c>
      <c r="M1627" s="27" t="n">
        <v>0.005</v>
      </c>
      <c r="N1627" s="27" t="n">
        <v>0.002</v>
      </c>
      <c r="O1627" s="26" t="n">
        <v>5</v>
      </c>
      <c r="P1627" s="26" t="n">
        <v>5</v>
      </c>
      <c r="Q1627" s="28" t="n">
        <v>100</v>
      </c>
      <c r="R1627" s="26" t="n">
        <v>30</v>
      </c>
      <c r="S1627" s="26" t="n">
        <v>0</v>
      </c>
      <c r="T1627" s="28" t="n">
        <v>1</v>
      </c>
      <c r="U1627" s="26" t="n">
        <v>0</v>
      </c>
      <c r="V1627" s="26" t="n">
        <v>0</v>
      </c>
      <c r="W1627" s="22" t="s">
        <v>22</v>
      </c>
      <c r="X1627" s="22" t="s">
        <v>293</v>
      </c>
    </row>
    <row r="1628" customFormat="false" ht="15" hidden="false" customHeight="false" outlineLevel="0" collapsed="false">
      <c r="A1628" s="22" t="s">
        <v>6665</v>
      </c>
      <c r="B1628" s="22" t="s">
        <v>22</v>
      </c>
      <c r="C1628" s="22" t="s">
        <v>6666</v>
      </c>
      <c r="D1628" s="22" t="s">
        <v>6667</v>
      </c>
      <c r="E1628" s="22" t="s">
        <v>6668</v>
      </c>
      <c r="F1628" s="22" t="n">
        <v>12</v>
      </c>
      <c r="G1628" s="26" t="n">
        <v>99.55</v>
      </c>
      <c r="H1628" s="26" t="n">
        <v>109.56</v>
      </c>
      <c r="I1628" s="26" t="n">
        <v>129.6</v>
      </c>
      <c r="J1628" s="26" t="n">
        <v>139.62</v>
      </c>
      <c r="K1628" s="26" t="n">
        <v>154.64</v>
      </c>
      <c r="L1628" s="26" t="n">
        <v>2.06</v>
      </c>
      <c r="M1628" s="27" t="n">
        <v>0.005</v>
      </c>
      <c r="N1628" s="27" t="n">
        <v>0.002</v>
      </c>
      <c r="O1628" s="26" t="n">
        <v>5</v>
      </c>
      <c r="P1628" s="26" t="n">
        <v>5</v>
      </c>
      <c r="Q1628" s="28" t="n">
        <v>100</v>
      </c>
      <c r="R1628" s="26" t="n">
        <v>30</v>
      </c>
      <c r="S1628" s="26" t="n">
        <v>0</v>
      </c>
      <c r="T1628" s="28" t="n">
        <v>1</v>
      </c>
      <c r="U1628" s="26" t="n">
        <v>0</v>
      </c>
      <c r="V1628" s="26" t="n">
        <v>0</v>
      </c>
      <c r="W1628" s="22" t="s">
        <v>22</v>
      </c>
      <c r="X1628" s="22" t="s">
        <v>293</v>
      </c>
    </row>
    <row r="1629" customFormat="false" ht="15" hidden="false" customHeight="false" outlineLevel="0" collapsed="false">
      <c r="A1629" s="22" t="s">
        <v>6669</v>
      </c>
      <c r="B1629" s="22" t="s">
        <v>22</v>
      </c>
      <c r="C1629" s="22" t="s">
        <v>6670</v>
      </c>
      <c r="D1629" s="22" t="s">
        <v>6671</v>
      </c>
      <c r="E1629" s="22" t="s">
        <v>6672</v>
      </c>
      <c r="F1629" s="22" t="n">
        <v>14</v>
      </c>
      <c r="G1629" s="26" t="n">
        <v>116.39</v>
      </c>
      <c r="H1629" s="26" t="n">
        <v>126.41</v>
      </c>
      <c r="I1629" s="26" t="n">
        <v>146.44</v>
      </c>
      <c r="J1629" s="26" t="n">
        <v>156.46</v>
      </c>
      <c r="K1629" s="26" t="n">
        <v>171.48</v>
      </c>
      <c r="L1629" s="26" t="n">
        <v>2.19</v>
      </c>
      <c r="M1629" s="27" t="n">
        <v>0.005</v>
      </c>
      <c r="N1629" s="27" t="n">
        <v>0.002</v>
      </c>
      <c r="O1629" s="26" t="n">
        <v>5</v>
      </c>
      <c r="P1629" s="26" t="n">
        <v>5</v>
      </c>
      <c r="Q1629" s="28" t="n">
        <v>100</v>
      </c>
      <c r="R1629" s="26" t="n">
        <v>30</v>
      </c>
      <c r="S1629" s="26" t="n">
        <v>0</v>
      </c>
      <c r="T1629" s="28" t="n">
        <v>1</v>
      </c>
      <c r="U1629" s="26" t="n">
        <v>0</v>
      </c>
      <c r="V1629" s="26" t="n">
        <v>0</v>
      </c>
      <c r="W1629" s="22" t="s">
        <v>22</v>
      </c>
      <c r="X1629" s="22" t="s">
        <v>373</v>
      </c>
    </row>
    <row r="1630" customFormat="false" ht="15" hidden="false" customHeight="false" outlineLevel="0" collapsed="false">
      <c r="A1630" s="22" t="s">
        <v>6673</v>
      </c>
      <c r="B1630" s="22" t="s">
        <v>22</v>
      </c>
      <c r="C1630" s="22" t="s">
        <v>6674</v>
      </c>
      <c r="D1630" s="22" t="s">
        <v>6675</v>
      </c>
      <c r="E1630" s="22" t="s">
        <v>6676</v>
      </c>
      <c r="F1630" s="22" t="n">
        <v>14</v>
      </c>
      <c r="G1630" s="26" t="n">
        <v>116.39</v>
      </c>
      <c r="H1630" s="26" t="n">
        <v>126.41</v>
      </c>
      <c r="I1630" s="26" t="n">
        <v>146.44</v>
      </c>
      <c r="J1630" s="26" t="n">
        <v>156.46</v>
      </c>
      <c r="K1630" s="26" t="n">
        <v>171.48</v>
      </c>
      <c r="L1630" s="26" t="n">
        <v>2.19</v>
      </c>
      <c r="M1630" s="27" t="n">
        <v>0.005</v>
      </c>
      <c r="N1630" s="27" t="n">
        <v>0.002</v>
      </c>
      <c r="O1630" s="26" t="n">
        <v>5</v>
      </c>
      <c r="P1630" s="26" t="n">
        <v>5</v>
      </c>
      <c r="Q1630" s="28" t="n">
        <v>100</v>
      </c>
      <c r="R1630" s="26" t="n">
        <v>30</v>
      </c>
      <c r="S1630" s="26" t="n">
        <v>0</v>
      </c>
      <c r="T1630" s="28" t="n">
        <v>1</v>
      </c>
      <c r="U1630" s="26" t="n">
        <v>0</v>
      </c>
      <c r="V1630" s="26" t="n">
        <v>0</v>
      </c>
      <c r="W1630" s="22" t="s">
        <v>22</v>
      </c>
      <c r="X1630" s="22" t="s">
        <v>373</v>
      </c>
    </row>
    <row r="1631" customFormat="false" ht="15" hidden="false" customHeight="false" outlineLevel="0" collapsed="false">
      <c r="A1631" s="22" t="s">
        <v>6677</v>
      </c>
      <c r="B1631" s="22" t="s">
        <v>22</v>
      </c>
      <c r="C1631" s="22" t="s">
        <v>6678</v>
      </c>
      <c r="D1631" s="22" t="s">
        <v>6679</v>
      </c>
      <c r="E1631" s="22" t="s">
        <v>6680</v>
      </c>
      <c r="F1631" s="22" t="n">
        <v>14</v>
      </c>
      <c r="G1631" s="26" t="n">
        <v>116.39</v>
      </c>
      <c r="H1631" s="26" t="n">
        <v>126.41</v>
      </c>
      <c r="I1631" s="26" t="n">
        <v>146.44</v>
      </c>
      <c r="J1631" s="26" t="n">
        <v>156.46</v>
      </c>
      <c r="K1631" s="26" t="n">
        <v>171.48</v>
      </c>
      <c r="L1631" s="26" t="n">
        <v>2.19</v>
      </c>
      <c r="M1631" s="27" t="n">
        <v>0.005</v>
      </c>
      <c r="N1631" s="27" t="n">
        <v>0.002</v>
      </c>
      <c r="O1631" s="26" t="n">
        <v>5</v>
      </c>
      <c r="P1631" s="26" t="n">
        <v>5</v>
      </c>
      <c r="Q1631" s="28" t="n">
        <v>100</v>
      </c>
      <c r="R1631" s="26" t="n">
        <v>30</v>
      </c>
      <c r="S1631" s="26" t="n">
        <v>0</v>
      </c>
      <c r="T1631" s="28" t="n">
        <v>1</v>
      </c>
      <c r="U1631" s="26" t="n">
        <v>0</v>
      </c>
      <c r="V1631" s="26" t="n">
        <v>0</v>
      </c>
      <c r="W1631" s="22" t="s">
        <v>22</v>
      </c>
      <c r="X1631" s="22" t="s">
        <v>373</v>
      </c>
    </row>
    <row r="1632" customFormat="false" ht="15" hidden="false" customHeight="false" outlineLevel="0" collapsed="false">
      <c r="A1632" s="22" t="s">
        <v>6681</v>
      </c>
      <c r="B1632" s="22" t="s">
        <v>22</v>
      </c>
      <c r="C1632" s="22" t="s">
        <v>6682</v>
      </c>
      <c r="D1632" s="22" t="s">
        <v>6683</v>
      </c>
      <c r="E1632" s="22" t="s">
        <v>6684</v>
      </c>
      <c r="F1632" s="22" t="n">
        <v>14</v>
      </c>
      <c r="G1632" s="26" t="n">
        <v>116.39</v>
      </c>
      <c r="H1632" s="26" t="n">
        <v>126.41</v>
      </c>
      <c r="I1632" s="26" t="n">
        <v>146.44</v>
      </c>
      <c r="J1632" s="26" t="n">
        <v>156.46</v>
      </c>
      <c r="K1632" s="26" t="n">
        <v>171.48</v>
      </c>
      <c r="L1632" s="26" t="n">
        <v>2.19</v>
      </c>
      <c r="M1632" s="27" t="n">
        <v>0.005</v>
      </c>
      <c r="N1632" s="27" t="n">
        <v>0.002</v>
      </c>
      <c r="O1632" s="26" t="n">
        <v>5</v>
      </c>
      <c r="P1632" s="26" t="n">
        <v>5</v>
      </c>
      <c r="Q1632" s="28" t="n">
        <v>100</v>
      </c>
      <c r="R1632" s="26" t="n">
        <v>30</v>
      </c>
      <c r="S1632" s="26" t="n">
        <v>0</v>
      </c>
      <c r="T1632" s="28" t="n">
        <v>1</v>
      </c>
      <c r="U1632" s="26" t="n">
        <v>0</v>
      </c>
      <c r="V1632" s="26" t="n">
        <v>0</v>
      </c>
      <c r="W1632" s="22" t="s">
        <v>22</v>
      </c>
      <c r="X1632" s="22" t="s">
        <v>373</v>
      </c>
    </row>
    <row r="1633" customFormat="false" ht="15" hidden="false" customHeight="false" outlineLevel="0" collapsed="false">
      <c r="A1633" s="22" t="s">
        <v>6685</v>
      </c>
      <c r="B1633" s="22" t="s">
        <v>22</v>
      </c>
      <c r="C1633" s="22" t="s">
        <v>6686</v>
      </c>
      <c r="D1633" s="22" t="s">
        <v>6687</v>
      </c>
      <c r="E1633" s="22" t="s">
        <v>6688</v>
      </c>
      <c r="F1633" s="22" t="n">
        <v>14</v>
      </c>
      <c r="G1633" s="26" t="n">
        <v>116.39</v>
      </c>
      <c r="H1633" s="26" t="n">
        <v>126.41</v>
      </c>
      <c r="I1633" s="26" t="n">
        <v>146.44</v>
      </c>
      <c r="J1633" s="26" t="n">
        <v>156.46</v>
      </c>
      <c r="K1633" s="26" t="n">
        <v>171.48</v>
      </c>
      <c r="L1633" s="26" t="n">
        <v>2.19</v>
      </c>
      <c r="M1633" s="27" t="n">
        <v>0.005</v>
      </c>
      <c r="N1633" s="27" t="n">
        <v>0.002</v>
      </c>
      <c r="O1633" s="26" t="n">
        <v>5</v>
      </c>
      <c r="P1633" s="26" t="n">
        <v>5</v>
      </c>
      <c r="Q1633" s="28" t="n">
        <v>100</v>
      </c>
      <c r="R1633" s="26" t="n">
        <v>30</v>
      </c>
      <c r="S1633" s="26" t="n">
        <v>0</v>
      </c>
      <c r="T1633" s="28" t="n">
        <v>1</v>
      </c>
      <c r="U1633" s="26" t="n">
        <v>0</v>
      </c>
      <c r="V1633" s="26" t="n">
        <v>0</v>
      </c>
      <c r="W1633" s="22" t="s">
        <v>22</v>
      </c>
      <c r="X1633" s="22" t="s">
        <v>373</v>
      </c>
    </row>
    <row r="1634" customFormat="false" ht="15" hidden="false" customHeight="false" outlineLevel="0" collapsed="false">
      <c r="A1634" s="22" t="s">
        <v>6689</v>
      </c>
      <c r="B1634" s="22" t="s">
        <v>22</v>
      </c>
      <c r="C1634" s="22" t="s">
        <v>6690</v>
      </c>
      <c r="D1634" s="22" t="s">
        <v>6691</v>
      </c>
      <c r="E1634" s="22" t="s">
        <v>6692</v>
      </c>
      <c r="F1634" s="22" t="n">
        <v>14</v>
      </c>
      <c r="G1634" s="26" t="n">
        <v>116.39</v>
      </c>
      <c r="H1634" s="26" t="n">
        <v>126.41</v>
      </c>
      <c r="I1634" s="26" t="n">
        <v>146.44</v>
      </c>
      <c r="J1634" s="26" t="n">
        <v>156.46</v>
      </c>
      <c r="K1634" s="26" t="n">
        <v>171.48</v>
      </c>
      <c r="L1634" s="26" t="n">
        <v>2.19</v>
      </c>
      <c r="M1634" s="27" t="n">
        <v>0.005</v>
      </c>
      <c r="N1634" s="27" t="n">
        <v>0.002</v>
      </c>
      <c r="O1634" s="26" t="n">
        <v>5</v>
      </c>
      <c r="P1634" s="26" t="n">
        <v>5</v>
      </c>
      <c r="Q1634" s="28" t="n">
        <v>100</v>
      </c>
      <c r="R1634" s="26" t="n">
        <v>30</v>
      </c>
      <c r="S1634" s="26" t="n">
        <v>0</v>
      </c>
      <c r="T1634" s="28" t="n">
        <v>1</v>
      </c>
      <c r="U1634" s="26" t="n">
        <v>0</v>
      </c>
      <c r="V1634" s="26" t="n">
        <v>0</v>
      </c>
      <c r="W1634" s="22" t="s">
        <v>22</v>
      </c>
      <c r="X1634" s="22" t="s">
        <v>373</v>
      </c>
    </row>
    <row r="1635" customFormat="false" ht="15" hidden="false" customHeight="false" outlineLevel="0" collapsed="false">
      <c r="A1635" s="22" t="s">
        <v>6693</v>
      </c>
      <c r="B1635" s="22" t="s">
        <v>22</v>
      </c>
      <c r="C1635" s="22" t="s">
        <v>4160</v>
      </c>
      <c r="D1635" s="22" t="s">
        <v>6694</v>
      </c>
      <c r="E1635" s="22" t="s">
        <v>6695</v>
      </c>
      <c r="F1635" s="22" t="n">
        <v>14</v>
      </c>
      <c r="G1635" s="26" t="n">
        <v>116.39</v>
      </c>
      <c r="H1635" s="26" t="n">
        <v>126.41</v>
      </c>
      <c r="I1635" s="26" t="n">
        <v>146.44</v>
      </c>
      <c r="J1635" s="26" t="n">
        <v>156.46</v>
      </c>
      <c r="K1635" s="26" t="n">
        <v>171.48</v>
      </c>
      <c r="L1635" s="26" t="n">
        <v>2.19</v>
      </c>
      <c r="M1635" s="27" t="n">
        <v>0.005</v>
      </c>
      <c r="N1635" s="27" t="n">
        <v>0.002</v>
      </c>
      <c r="O1635" s="26" t="n">
        <v>5</v>
      </c>
      <c r="P1635" s="26" t="n">
        <v>5</v>
      </c>
      <c r="Q1635" s="28" t="n">
        <v>100</v>
      </c>
      <c r="R1635" s="26" t="n">
        <v>30</v>
      </c>
      <c r="S1635" s="26" t="n">
        <v>0</v>
      </c>
      <c r="T1635" s="28" t="n">
        <v>1</v>
      </c>
      <c r="U1635" s="26" t="n">
        <v>0</v>
      </c>
      <c r="V1635" s="26" t="n">
        <v>0</v>
      </c>
      <c r="W1635" s="22" t="s">
        <v>22</v>
      </c>
      <c r="X1635" s="22" t="s">
        <v>373</v>
      </c>
    </row>
    <row r="1636" customFormat="false" ht="15" hidden="false" customHeight="false" outlineLevel="0" collapsed="false">
      <c r="A1636" s="22" t="s">
        <v>6696</v>
      </c>
      <c r="B1636" s="22" t="s">
        <v>22</v>
      </c>
      <c r="C1636" s="22" t="s">
        <v>6697</v>
      </c>
      <c r="D1636" s="22" t="s">
        <v>6698</v>
      </c>
      <c r="E1636" s="22" t="s">
        <v>6699</v>
      </c>
      <c r="F1636" s="22" t="n">
        <v>14</v>
      </c>
      <c r="G1636" s="26" t="n">
        <v>116.39</v>
      </c>
      <c r="H1636" s="26" t="n">
        <v>126.41</v>
      </c>
      <c r="I1636" s="26" t="n">
        <v>146.44</v>
      </c>
      <c r="J1636" s="26" t="n">
        <v>156.46</v>
      </c>
      <c r="K1636" s="26" t="n">
        <v>171.48</v>
      </c>
      <c r="L1636" s="26" t="n">
        <v>2.19</v>
      </c>
      <c r="M1636" s="27" t="n">
        <v>0.005</v>
      </c>
      <c r="N1636" s="27" t="n">
        <v>0.002</v>
      </c>
      <c r="O1636" s="26" t="n">
        <v>5</v>
      </c>
      <c r="P1636" s="26" t="n">
        <v>5</v>
      </c>
      <c r="Q1636" s="28" t="n">
        <v>100</v>
      </c>
      <c r="R1636" s="26" t="n">
        <v>30</v>
      </c>
      <c r="S1636" s="26" t="n">
        <v>0</v>
      </c>
      <c r="T1636" s="28" t="n">
        <v>1</v>
      </c>
      <c r="U1636" s="26" t="n">
        <v>0</v>
      </c>
      <c r="V1636" s="26" t="n">
        <v>0</v>
      </c>
      <c r="W1636" s="22" t="s">
        <v>22</v>
      </c>
      <c r="X1636" s="22" t="s">
        <v>373</v>
      </c>
    </row>
    <row r="1637" customFormat="false" ht="15" hidden="false" customHeight="false" outlineLevel="0" collapsed="false">
      <c r="A1637" s="22" t="s">
        <v>6700</v>
      </c>
      <c r="B1637" s="22" t="s">
        <v>22</v>
      </c>
      <c r="C1637" s="22" t="s">
        <v>175</v>
      </c>
      <c r="D1637" s="22" t="s">
        <v>6701</v>
      </c>
      <c r="E1637" s="22" t="s">
        <v>6702</v>
      </c>
      <c r="F1637" s="22" t="n">
        <v>15</v>
      </c>
      <c r="G1637" s="26" t="n">
        <v>116.39</v>
      </c>
      <c r="H1637" s="26" t="n">
        <v>126.41</v>
      </c>
      <c r="I1637" s="26" t="n">
        <v>146.44</v>
      </c>
      <c r="J1637" s="26" t="n">
        <v>156.46</v>
      </c>
      <c r="K1637" s="26" t="n">
        <v>171.48</v>
      </c>
      <c r="L1637" s="26" t="n">
        <v>2.19</v>
      </c>
      <c r="M1637" s="27" t="n">
        <v>0.005</v>
      </c>
      <c r="N1637" s="27" t="n">
        <v>0.002</v>
      </c>
      <c r="O1637" s="26" t="n">
        <v>5</v>
      </c>
      <c r="P1637" s="26" t="n">
        <v>5</v>
      </c>
      <c r="Q1637" s="28" t="n">
        <v>100</v>
      </c>
      <c r="R1637" s="26" t="n">
        <v>30</v>
      </c>
      <c r="S1637" s="26" t="n">
        <v>0</v>
      </c>
      <c r="T1637" s="28" t="n">
        <v>1</v>
      </c>
      <c r="U1637" s="26" t="n">
        <v>0</v>
      </c>
      <c r="V1637" s="26" t="n">
        <v>250</v>
      </c>
      <c r="W1637" s="22" t="s">
        <v>22</v>
      </c>
      <c r="X1637" s="22" t="s">
        <v>373</v>
      </c>
    </row>
    <row r="1638" customFormat="false" ht="15" hidden="false" customHeight="false" outlineLevel="0" collapsed="false">
      <c r="A1638" s="22" t="s">
        <v>6703</v>
      </c>
      <c r="B1638" s="22" t="s">
        <v>22</v>
      </c>
      <c r="C1638" s="22" t="s">
        <v>5018</v>
      </c>
      <c r="D1638" s="22" t="s">
        <v>6704</v>
      </c>
      <c r="E1638" s="22" t="s">
        <v>6705</v>
      </c>
      <c r="F1638" s="22" t="n">
        <v>12</v>
      </c>
      <c r="G1638" s="26" t="n">
        <v>116.39</v>
      </c>
      <c r="H1638" s="26" t="n">
        <v>126.41</v>
      </c>
      <c r="I1638" s="26" t="n">
        <v>146.44</v>
      </c>
      <c r="J1638" s="26" t="n">
        <v>156.46</v>
      </c>
      <c r="K1638" s="26" t="n">
        <v>171.48</v>
      </c>
      <c r="L1638" s="26" t="n">
        <v>2.19</v>
      </c>
      <c r="M1638" s="27" t="n">
        <v>0.005</v>
      </c>
      <c r="N1638" s="27" t="n">
        <v>0.002</v>
      </c>
      <c r="O1638" s="26" t="n">
        <v>5</v>
      </c>
      <c r="P1638" s="26" t="n">
        <v>5</v>
      </c>
      <c r="Q1638" s="28" t="n">
        <v>100</v>
      </c>
      <c r="R1638" s="26" t="n">
        <v>30</v>
      </c>
      <c r="S1638" s="26" t="n">
        <v>0</v>
      </c>
      <c r="T1638" s="28" t="n">
        <v>1</v>
      </c>
      <c r="U1638" s="26" t="n">
        <v>0</v>
      </c>
      <c r="V1638" s="26" t="n">
        <v>0</v>
      </c>
      <c r="W1638" s="22" t="s">
        <v>22</v>
      </c>
      <c r="X1638" s="22" t="s">
        <v>373</v>
      </c>
    </row>
    <row r="1639" customFormat="false" ht="15" hidden="false" customHeight="false" outlineLevel="0" collapsed="false">
      <c r="A1639" s="22" t="s">
        <v>6706</v>
      </c>
      <c r="B1639" s="22" t="s">
        <v>22</v>
      </c>
      <c r="C1639" s="22" t="s">
        <v>195</v>
      </c>
      <c r="D1639" s="22" t="s">
        <v>6707</v>
      </c>
      <c r="E1639" s="22" t="s">
        <v>6708</v>
      </c>
      <c r="F1639" s="22" t="n">
        <v>14</v>
      </c>
      <c r="G1639" s="26" t="n">
        <v>116.39</v>
      </c>
      <c r="H1639" s="26" t="n">
        <v>126.41</v>
      </c>
      <c r="I1639" s="26" t="n">
        <v>146.44</v>
      </c>
      <c r="J1639" s="26" t="n">
        <v>156.46</v>
      </c>
      <c r="K1639" s="26" t="n">
        <v>171.48</v>
      </c>
      <c r="L1639" s="26" t="n">
        <v>2.19</v>
      </c>
      <c r="M1639" s="27" t="n">
        <v>0.005</v>
      </c>
      <c r="N1639" s="27" t="n">
        <v>0.002</v>
      </c>
      <c r="O1639" s="26" t="n">
        <v>5</v>
      </c>
      <c r="P1639" s="26" t="n">
        <v>5</v>
      </c>
      <c r="Q1639" s="28" t="n">
        <v>100</v>
      </c>
      <c r="R1639" s="26" t="n">
        <v>30</v>
      </c>
      <c r="S1639" s="26" t="n">
        <v>0</v>
      </c>
      <c r="T1639" s="28" t="n">
        <v>1</v>
      </c>
      <c r="U1639" s="26" t="n">
        <v>0</v>
      </c>
      <c r="V1639" s="26" t="n">
        <v>250</v>
      </c>
      <c r="W1639" s="22" t="s">
        <v>22</v>
      </c>
      <c r="X1639" s="22" t="s">
        <v>373</v>
      </c>
    </row>
    <row r="1640" customFormat="false" ht="15" hidden="false" customHeight="false" outlineLevel="0" collapsed="false">
      <c r="A1640" s="22" t="s">
        <v>6709</v>
      </c>
      <c r="B1640" s="22" t="s">
        <v>22</v>
      </c>
      <c r="C1640" s="22" t="s">
        <v>407</v>
      </c>
      <c r="D1640" s="22" t="s">
        <v>6710</v>
      </c>
      <c r="E1640" s="22" t="s">
        <v>6711</v>
      </c>
      <c r="F1640" s="22" t="n">
        <v>14</v>
      </c>
      <c r="G1640" s="26" t="n">
        <v>116.39</v>
      </c>
      <c r="H1640" s="26" t="n">
        <v>126.41</v>
      </c>
      <c r="I1640" s="26" t="n">
        <v>146.44</v>
      </c>
      <c r="J1640" s="26" t="n">
        <v>156.46</v>
      </c>
      <c r="K1640" s="26" t="n">
        <v>171.48</v>
      </c>
      <c r="L1640" s="26" t="n">
        <v>2.19</v>
      </c>
      <c r="M1640" s="27" t="n">
        <v>0.005</v>
      </c>
      <c r="N1640" s="27" t="n">
        <v>0.002</v>
      </c>
      <c r="O1640" s="26" t="n">
        <v>5</v>
      </c>
      <c r="P1640" s="26" t="n">
        <v>5</v>
      </c>
      <c r="Q1640" s="28" t="n">
        <v>100</v>
      </c>
      <c r="R1640" s="26" t="n">
        <v>30</v>
      </c>
      <c r="S1640" s="26" t="n">
        <v>0</v>
      </c>
      <c r="T1640" s="28" t="n">
        <v>1</v>
      </c>
      <c r="U1640" s="26" t="n">
        <v>0</v>
      </c>
      <c r="V1640" s="26" t="n">
        <v>250</v>
      </c>
      <c r="W1640" s="22" t="s">
        <v>22</v>
      </c>
      <c r="X1640" s="22" t="s">
        <v>373</v>
      </c>
    </row>
    <row r="1641" customFormat="false" ht="15" hidden="false" customHeight="false" outlineLevel="0" collapsed="false">
      <c r="A1641" s="22" t="s">
        <v>6712</v>
      </c>
      <c r="B1641" s="22" t="s">
        <v>22</v>
      </c>
      <c r="C1641" s="22" t="s">
        <v>6713</v>
      </c>
      <c r="D1641" s="22" t="s">
        <v>6714</v>
      </c>
      <c r="E1641" s="22" t="s">
        <v>6715</v>
      </c>
      <c r="F1641" s="22" t="n">
        <v>14</v>
      </c>
      <c r="G1641" s="26" t="n">
        <v>116.39</v>
      </c>
      <c r="H1641" s="26" t="n">
        <v>126.41</v>
      </c>
      <c r="I1641" s="26" t="n">
        <v>146.44</v>
      </c>
      <c r="J1641" s="26" t="n">
        <v>156.46</v>
      </c>
      <c r="K1641" s="26" t="n">
        <v>171.48</v>
      </c>
      <c r="L1641" s="26" t="n">
        <v>2.19</v>
      </c>
      <c r="M1641" s="27" t="n">
        <v>0.005</v>
      </c>
      <c r="N1641" s="27" t="n">
        <v>0.002</v>
      </c>
      <c r="O1641" s="26" t="n">
        <v>5</v>
      </c>
      <c r="P1641" s="26" t="n">
        <v>5</v>
      </c>
      <c r="Q1641" s="28" t="n">
        <v>100</v>
      </c>
      <c r="R1641" s="26" t="n">
        <v>30</v>
      </c>
      <c r="S1641" s="26" t="n">
        <v>0</v>
      </c>
      <c r="T1641" s="28" t="n">
        <v>1</v>
      </c>
      <c r="U1641" s="26" t="n">
        <v>0</v>
      </c>
      <c r="V1641" s="26" t="n">
        <v>0</v>
      </c>
      <c r="W1641" s="22" t="s">
        <v>22</v>
      </c>
      <c r="X1641" s="22" t="s">
        <v>373</v>
      </c>
    </row>
    <row r="1642" customFormat="false" ht="15" hidden="false" customHeight="false" outlineLevel="0" collapsed="false">
      <c r="A1642" s="22" t="s">
        <v>6716</v>
      </c>
      <c r="B1642" s="22" t="s">
        <v>22</v>
      </c>
      <c r="C1642" s="22" t="s">
        <v>4242</v>
      </c>
      <c r="D1642" s="22" t="s">
        <v>6717</v>
      </c>
      <c r="E1642" s="22" t="s">
        <v>6718</v>
      </c>
      <c r="F1642" s="22" t="n">
        <v>12</v>
      </c>
      <c r="G1642" s="26" t="n">
        <v>116.39</v>
      </c>
      <c r="H1642" s="26" t="n">
        <v>126.41</v>
      </c>
      <c r="I1642" s="26" t="n">
        <v>146.44</v>
      </c>
      <c r="J1642" s="26" t="n">
        <v>156.46</v>
      </c>
      <c r="K1642" s="26" t="n">
        <v>171.48</v>
      </c>
      <c r="L1642" s="26" t="n">
        <v>2.19</v>
      </c>
      <c r="M1642" s="27" t="n">
        <v>0.005</v>
      </c>
      <c r="N1642" s="27" t="n">
        <v>0.002</v>
      </c>
      <c r="O1642" s="26" t="n">
        <v>5</v>
      </c>
      <c r="P1642" s="26" t="n">
        <v>5</v>
      </c>
      <c r="Q1642" s="28" t="n">
        <v>100</v>
      </c>
      <c r="R1642" s="26" t="n">
        <v>30</v>
      </c>
      <c r="S1642" s="26" t="n">
        <v>0</v>
      </c>
      <c r="T1642" s="28" t="n">
        <v>1</v>
      </c>
      <c r="U1642" s="26" t="n">
        <v>0</v>
      </c>
      <c r="V1642" s="26" t="n">
        <v>0</v>
      </c>
      <c r="W1642" s="22" t="s">
        <v>22</v>
      </c>
      <c r="X1642" s="22" t="s">
        <v>373</v>
      </c>
    </row>
    <row r="1643" customFormat="false" ht="15" hidden="false" customHeight="false" outlineLevel="0" collapsed="false">
      <c r="A1643" s="22" t="s">
        <v>6719</v>
      </c>
      <c r="B1643" s="22" t="s">
        <v>22</v>
      </c>
      <c r="C1643" s="22" t="s">
        <v>6720</v>
      </c>
      <c r="D1643" s="22" t="s">
        <v>6721</v>
      </c>
      <c r="E1643" s="22" t="s">
        <v>6722</v>
      </c>
      <c r="F1643" s="22" t="n">
        <v>14</v>
      </c>
      <c r="G1643" s="26" t="n">
        <v>116.39</v>
      </c>
      <c r="H1643" s="26" t="n">
        <v>126.41</v>
      </c>
      <c r="I1643" s="26" t="n">
        <v>146.44</v>
      </c>
      <c r="J1643" s="26" t="n">
        <v>156.46</v>
      </c>
      <c r="K1643" s="26" t="n">
        <v>171.48</v>
      </c>
      <c r="L1643" s="26" t="n">
        <v>2.19</v>
      </c>
      <c r="M1643" s="27" t="n">
        <v>0.005</v>
      </c>
      <c r="N1643" s="27" t="n">
        <v>0.002</v>
      </c>
      <c r="O1643" s="26" t="n">
        <v>5</v>
      </c>
      <c r="P1643" s="26" t="n">
        <v>5</v>
      </c>
      <c r="Q1643" s="28" t="n">
        <v>100</v>
      </c>
      <c r="R1643" s="26" t="n">
        <v>30</v>
      </c>
      <c r="S1643" s="26" t="n">
        <v>0</v>
      </c>
      <c r="T1643" s="28" t="n">
        <v>1</v>
      </c>
      <c r="U1643" s="26" t="n">
        <v>0</v>
      </c>
      <c r="V1643" s="26" t="n">
        <v>0</v>
      </c>
      <c r="W1643" s="22" t="s">
        <v>22</v>
      </c>
      <c r="X1643" s="22" t="s">
        <v>373</v>
      </c>
    </row>
    <row r="1644" customFormat="false" ht="15" hidden="false" customHeight="false" outlineLevel="0" collapsed="false">
      <c r="A1644" s="22" t="s">
        <v>6723</v>
      </c>
      <c r="B1644" s="22" t="s">
        <v>22</v>
      </c>
      <c r="C1644" s="22" t="s">
        <v>6724</v>
      </c>
      <c r="D1644" s="22" t="s">
        <v>6725</v>
      </c>
      <c r="E1644" s="22" t="s">
        <v>6726</v>
      </c>
      <c r="F1644" s="22" t="n">
        <v>14</v>
      </c>
      <c r="G1644" s="26" t="n">
        <v>116.39</v>
      </c>
      <c r="H1644" s="26" t="n">
        <v>126.41</v>
      </c>
      <c r="I1644" s="26" t="n">
        <v>146.44</v>
      </c>
      <c r="J1644" s="26" t="n">
        <v>156.46</v>
      </c>
      <c r="K1644" s="26" t="n">
        <v>171.48</v>
      </c>
      <c r="L1644" s="26" t="n">
        <v>2.19</v>
      </c>
      <c r="M1644" s="27" t="n">
        <v>0.005</v>
      </c>
      <c r="N1644" s="27" t="n">
        <v>0.002</v>
      </c>
      <c r="O1644" s="26" t="n">
        <v>5</v>
      </c>
      <c r="P1644" s="26" t="n">
        <v>5</v>
      </c>
      <c r="Q1644" s="28" t="n">
        <v>100</v>
      </c>
      <c r="R1644" s="26" t="n">
        <v>30</v>
      </c>
      <c r="S1644" s="26" t="n">
        <v>0</v>
      </c>
      <c r="T1644" s="28" t="n">
        <v>1</v>
      </c>
      <c r="U1644" s="26" t="n">
        <v>0</v>
      </c>
      <c r="V1644" s="26" t="n">
        <v>0</v>
      </c>
      <c r="W1644" s="22" t="s">
        <v>22</v>
      </c>
      <c r="X1644" s="22" t="s">
        <v>373</v>
      </c>
    </row>
    <row r="1645" customFormat="false" ht="15" hidden="false" customHeight="false" outlineLevel="0" collapsed="false">
      <c r="A1645" s="22" t="s">
        <v>6727</v>
      </c>
      <c r="B1645" s="22" t="s">
        <v>22</v>
      </c>
      <c r="C1645" s="22" t="s">
        <v>6728</v>
      </c>
      <c r="D1645" s="22" t="s">
        <v>6729</v>
      </c>
      <c r="E1645" s="22" t="s">
        <v>6730</v>
      </c>
      <c r="F1645" s="22" t="n">
        <v>14</v>
      </c>
      <c r="G1645" s="26" t="n">
        <v>116.39</v>
      </c>
      <c r="H1645" s="26" t="n">
        <v>126.41</v>
      </c>
      <c r="I1645" s="26" t="n">
        <v>146.44</v>
      </c>
      <c r="J1645" s="26" t="n">
        <v>156.46</v>
      </c>
      <c r="K1645" s="26" t="n">
        <v>171.48</v>
      </c>
      <c r="L1645" s="26" t="n">
        <v>2.19</v>
      </c>
      <c r="M1645" s="27" t="n">
        <v>0.005</v>
      </c>
      <c r="N1645" s="27" t="n">
        <v>0.002</v>
      </c>
      <c r="O1645" s="26" t="n">
        <v>5</v>
      </c>
      <c r="P1645" s="26" t="n">
        <v>5</v>
      </c>
      <c r="Q1645" s="28" t="n">
        <v>100</v>
      </c>
      <c r="R1645" s="26" t="n">
        <v>30</v>
      </c>
      <c r="S1645" s="26" t="n">
        <v>0</v>
      </c>
      <c r="T1645" s="28" t="n">
        <v>1</v>
      </c>
      <c r="U1645" s="26" t="n">
        <v>0</v>
      </c>
      <c r="V1645" s="26" t="n">
        <v>0</v>
      </c>
      <c r="W1645" s="22" t="s">
        <v>22</v>
      </c>
      <c r="X1645" s="22" t="s">
        <v>373</v>
      </c>
    </row>
    <row r="1646" customFormat="false" ht="15" hidden="false" customHeight="false" outlineLevel="0" collapsed="false">
      <c r="A1646" s="22" t="s">
        <v>6731</v>
      </c>
      <c r="B1646" s="22" t="s">
        <v>22</v>
      </c>
      <c r="C1646" s="22" t="s">
        <v>6732</v>
      </c>
      <c r="D1646" s="22" t="s">
        <v>6733</v>
      </c>
      <c r="E1646" s="22" t="s">
        <v>6734</v>
      </c>
      <c r="F1646" s="22" t="n">
        <v>14</v>
      </c>
      <c r="G1646" s="26" t="n">
        <v>116.39</v>
      </c>
      <c r="H1646" s="26" t="n">
        <v>126.41</v>
      </c>
      <c r="I1646" s="26" t="n">
        <v>146.44</v>
      </c>
      <c r="J1646" s="26" t="n">
        <v>156.46</v>
      </c>
      <c r="K1646" s="26" t="n">
        <v>171.48</v>
      </c>
      <c r="L1646" s="26" t="n">
        <v>2.19</v>
      </c>
      <c r="M1646" s="27" t="n">
        <v>0.005</v>
      </c>
      <c r="N1646" s="27" t="n">
        <v>0.002</v>
      </c>
      <c r="O1646" s="26" t="n">
        <v>5</v>
      </c>
      <c r="P1646" s="26" t="n">
        <v>5</v>
      </c>
      <c r="Q1646" s="28" t="n">
        <v>100</v>
      </c>
      <c r="R1646" s="26" t="n">
        <v>30</v>
      </c>
      <c r="S1646" s="26" t="n">
        <v>0</v>
      </c>
      <c r="T1646" s="28" t="n">
        <v>1</v>
      </c>
      <c r="U1646" s="26" t="n">
        <v>0</v>
      </c>
      <c r="V1646" s="26" t="n">
        <v>0</v>
      </c>
      <c r="W1646" s="22" t="s">
        <v>22</v>
      </c>
      <c r="X1646" s="22" t="s">
        <v>373</v>
      </c>
    </row>
    <row r="1647" customFormat="false" ht="15" hidden="false" customHeight="false" outlineLevel="0" collapsed="false">
      <c r="A1647" s="22" t="s">
        <v>6735</v>
      </c>
      <c r="B1647" s="22" t="s">
        <v>22</v>
      </c>
      <c r="C1647" s="22" t="s">
        <v>6736</v>
      </c>
      <c r="D1647" s="22" t="s">
        <v>6737</v>
      </c>
      <c r="E1647" s="22" t="s">
        <v>6738</v>
      </c>
      <c r="F1647" s="22" t="n">
        <v>14</v>
      </c>
      <c r="G1647" s="26" t="n">
        <v>116.39</v>
      </c>
      <c r="H1647" s="26" t="n">
        <v>126.41</v>
      </c>
      <c r="I1647" s="26" t="n">
        <v>146.44</v>
      </c>
      <c r="J1647" s="26" t="n">
        <v>156.46</v>
      </c>
      <c r="K1647" s="26" t="n">
        <v>171.48</v>
      </c>
      <c r="L1647" s="26" t="n">
        <v>2.19</v>
      </c>
      <c r="M1647" s="27" t="n">
        <v>0.005</v>
      </c>
      <c r="N1647" s="27" t="n">
        <v>0.002</v>
      </c>
      <c r="O1647" s="26" t="n">
        <v>5</v>
      </c>
      <c r="P1647" s="26" t="n">
        <v>5</v>
      </c>
      <c r="Q1647" s="28" t="n">
        <v>100</v>
      </c>
      <c r="R1647" s="26" t="n">
        <v>30</v>
      </c>
      <c r="S1647" s="26" t="n">
        <v>0</v>
      </c>
      <c r="T1647" s="28" t="n">
        <v>1</v>
      </c>
      <c r="U1647" s="26" t="n">
        <v>0</v>
      </c>
      <c r="V1647" s="26" t="n">
        <v>0</v>
      </c>
      <c r="W1647" s="22" t="s">
        <v>22</v>
      </c>
      <c r="X1647" s="22" t="s">
        <v>373</v>
      </c>
    </row>
    <row r="1648" customFormat="false" ht="15" hidden="false" customHeight="false" outlineLevel="0" collapsed="false">
      <c r="A1648" s="22" t="s">
        <v>6739</v>
      </c>
      <c r="B1648" s="22" t="s">
        <v>22</v>
      </c>
      <c r="C1648" s="22" t="s">
        <v>193</v>
      </c>
      <c r="D1648" s="22" t="s">
        <v>6740</v>
      </c>
      <c r="E1648" s="22" t="s">
        <v>6741</v>
      </c>
      <c r="F1648" s="22" t="n">
        <v>14</v>
      </c>
      <c r="G1648" s="26" t="n">
        <v>116.39</v>
      </c>
      <c r="H1648" s="26" t="n">
        <v>126.41</v>
      </c>
      <c r="I1648" s="26" t="n">
        <v>146.44</v>
      </c>
      <c r="J1648" s="26" t="n">
        <v>156.46</v>
      </c>
      <c r="K1648" s="26" t="n">
        <v>171.48</v>
      </c>
      <c r="L1648" s="26" t="n">
        <v>2.19</v>
      </c>
      <c r="M1648" s="27" t="n">
        <v>0.005</v>
      </c>
      <c r="N1648" s="27" t="n">
        <v>0.002</v>
      </c>
      <c r="O1648" s="26" t="n">
        <v>5</v>
      </c>
      <c r="P1648" s="26" t="n">
        <v>5</v>
      </c>
      <c r="Q1648" s="28" t="n">
        <v>100</v>
      </c>
      <c r="R1648" s="26" t="n">
        <v>30</v>
      </c>
      <c r="S1648" s="26" t="n">
        <v>0</v>
      </c>
      <c r="T1648" s="28" t="n">
        <v>1</v>
      </c>
      <c r="U1648" s="26" t="n">
        <v>0</v>
      </c>
      <c r="V1648" s="26" t="n">
        <v>250</v>
      </c>
      <c r="W1648" s="22" t="s">
        <v>22</v>
      </c>
      <c r="X1648" s="22" t="s">
        <v>373</v>
      </c>
    </row>
    <row r="1649" customFormat="false" ht="15" hidden="false" customHeight="false" outlineLevel="0" collapsed="false">
      <c r="A1649" s="22" t="s">
        <v>6742</v>
      </c>
      <c r="B1649" s="22" t="s">
        <v>22</v>
      </c>
      <c r="C1649" s="22" t="s">
        <v>6743</v>
      </c>
      <c r="D1649" s="22" t="s">
        <v>6744</v>
      </c>
      <c r="E1649" s="22" t="s">
        <v>6745</v>
      </c>
      <c r="F1649" s="22" t="n">
        <v>14</v>
      </c>
      <c r="G1649" s="26" t="n">
        <v>116.39</v>
      </c>
      <c r="H1649" s="26" t="n">
        <v>126.41</v>
      </c>
      <c r="I1649" s="26" t="n">
        <v>146.44</v>
      </c>
      <c r="J1649" s="26" t="n">
        <v>156.46</v>
      </c>
      <c r="K1649" s="26" t="n">
        <v>171.48</v>
      </c>
      <c r="L1649" s="26" t="n">
        <v>2.19</v>
      </c>
      <c r="M1649" s="27" t="n">
        <v>0.005</v>
      </c>
      <c r="N1649" s="27" t="n">
        <v>0.002</v>
      </c>
      <c r="O1649" s="26" t="n">
        <v>5</v>
      </c>
      <c r="P1649" s="26" t="n">
        <v>5</v>
      </c>
      <c r="Q1649" s="28" t="n">
        <v>100</v>
      </c>
      <c r="R1649" s="26" t="n">
        <v>30</v>
      </c>
      <c r="S1649" s="26" t="n">
        <v>0</v>
      </c>
      <c r="T1649" s="28" t="n">
        <v>1</v>
      </c>
      <c r="U1649" s="26" t="n">
        <v>0</v>
      </c>
      <c r="V1649" s="26" t="n">
        <v>0</v>
      </c>
      <c r="W1649" s="22" t="s">
        <v>22</v>
      </c>
      <c r="X1649" s="22" t="s">
        <v>373</v>
      </c>
    </row>
    <row r="1650" customFormat="false" ht="15" hidden="false" customHeight="false" outlineLevel="0" collapsed="false">
      <c r="A1650" s="22" t="s">
        <v>6746</v>
      </c>
      <c r="B1650" s="22" t="s">
        <v>22</v>
      </c>
      <c r="C1650" s="22" t="s">
        <v>6747</v>
      </c>
      <c r="D1650" s="22" t="s">
        <v>6748</v>
      </c>
      <c r="E1650" s="22" t="s">
        <v>6749</v>
      </c>
      <c r="F1650" s="22" t="n">
        <v>14</v>
      </c>
      <c r="G1650" s="26" t="n">
        <v>116.39</v>
      </c>
      <c r="H1650" s="26" t="n">
        <v>126.41</v>
      </c>
      <c r="I1650" s="26" t="n">
        <v>146.44</v>
      </c>
      <c r="J1650" s="26" t="n">
        <v>156.46</v>
      </c>
      <c r="K1650" s="26" t="n">
        <v>171.48</v>
      </c>
      <c r="L1650" s="26" t="n">
        <v>2.19</v>
      </c>
      <c r="M1650" s="27" t="n">
        <v>0.005</v>
      </c>
      <c r="N1650" s="27" t="n">
        <v>0.002</v>
      </c>
      <c r="O1650" s="26" t="n">
        <v>5</v>
      </c>
      <c r="P1650" s="26" t="n">
        <v>5</v>
      </c>
      <c r="Q1650" s="28" t="n">
        <v>100</v>
      </c>
      <c r="R1650" s="26" t="n">
        <v>30</v>
      </c>
      <c r="S1650" s="26" t="n">
        <v>0</v>
      </c>
      <c r="T1650" s="28" t="n">
        <v>1</v>
      </c>
      <c r="U1650" s="26" t="n">
        <v>0</v>
      </c>
      <c r="V1650" s="26" t="n">
        <v>0</v>
      </c>
      <c r="W1650" s="22" t="s">
        <v>22</v>
      </c>
      <c r="X1650" s="22" t="s">
        <v>373</v>
      </c>
    </row>
    <row r="1651" customFormat="false" ht="15" hidden="false" customHeight="false" outlineLevel="0" collapsed="false">
      <c r="A1651" s="22" t="s">
        <v>6750</v>
      </c>
      <c r="B1651" s="22" t="s">
        <v>22</v>
      </c>
      <c r="C1651" s="22" t="s">
        <v>6751</v>
      </c>
      <c r="D1651" s="22" t="s">
        <v>6752</v>
      </c>
      <c r="E1651" s="22" t="s">
        <v>6753</v>
      </c>
      <c r="F1651" s="22" t="n">
        <v>14</v>
      </c>
      <c r="G1651" s="26" t="n">
        <v>116.39</v>
      </c>
      <c r="H1651" s="26" t="n">
        <v>126.41</v>
      </c>
      <c r="I1651" s="26" t="n">
        <v>146.44</v>
      </c>
      <c r="J1651" s="26" t="n">
        <v>156.46</v>
      </c>
      <c r="K1651" s="26" t="n">
        <v>171.48</v>
      </c>
      <c r="L1651" s="26" t="n">
        <v>2.19</v>
      </c>
      <c r="M1651" s="27" t="n">
        <v>0.005</v>
      </c>
      <c r="N1651" s="27" t="n">
        <v>0.002</v>
      </c>
      <c r="O1651" s="26" t="n">
        <v>5</v>
      </c>
      <c r="P1651" s="26" t="n">
        <v>5</v>
      </c>
      <c r="Q1651" s="28" t="n">
        <v>100</v>
      </c>
      <c r="R1651" s="26" t="n">
        <v>30</v>
      </c>
      <c r="S1651" s="26" t="n">
        <v>0</v>
      </c>
      <c r="T1651" s="28" t="n">
        <v>1</v>
      </c>
      <c r="U1651" s="26" t="n">
        <v>0</v>
      </c>
      <c r="V1651" s="26" t="n">
        <v>0</v>
      </c>
      <c r="W1651" s="22" t="s">
        <v>22</v>
      </c>
      <c r="X1651" s="22" t="s">
        <v>373</v>
      </c>
    </row>
    <row r="1652" customFormat="false" ht="15" hidden="false" customHeight="false" outlineLevel="0" collapsed="false">
      <c r="A1652" s="22" t="s">
        <v>6754</v>
      </c>
      <c r="B1652" s="22" t="s">
        <v>22</v>
      </c>
      <c r="C1652" s="22" t="s">
        <v>6755</v>
      </c>
      <c r="D1652" s="22" t="s">
        <v>6756</v>
      </c>
      <c r="E1652" s="22" t="s">
        <v>6757</v>
      </c>
      <c r="F1652" s="22" t="n">
        <v>14</v>
      </c>
      <c r="G1652" s="26" t="n">
        <v>116.39</v>
      </c>
      <c r="H1652" s="26" t="n">
        <v>126.41</v>
      </c>
      <c r="I1652" s="26" t="n">
        <v>146.44</v>
      </c>
      <c r="J1652" s="26" t="n">
        <v>156.46</v>
      </c>
      <c r="K1652" s="26" t="n">
        <v>171.48</v>
      </c>
      <c r="L1652" s="26" t="n">
        <v>2.19</v>
      </c>
      <c r="M1652" s="27" t="n">
        <v>0.005</v>
      </c>
      <c r="N1652" s="27" t="n">
        <v>0.002</v>
      </c>
      <c r="O1652" s="26" t="n">
        <v>5</v>
      </c>
      <c r="P1652" s="26" t="n">
        <v>5</v>
      </c>
      <c r="Q1652" s="28" t="n">
        <v>100</v>
      </c>
      <c r="R1652" s="26" t="n">
        <v>30</v>
      </c>
      <c r="S1652" s="26" t="n">
        <v>0</v>
      </c>
      <c r="T1652" s="28" t="n">
        <v>1</v>
      </c>
      <c r="U1652" s="26" t="n">
        <v>0</v>
      </c>
      <c r="V1652" s="26" t="n">
        <v>0</v>
      </c>
      <c r="W1652" s="22" t="s">
        <v>22</v>
      </c>
      <c r="X1652" s="22" t="s">
        <v>373</v>
      </c>
    </row>
    <row r="1653" customFormat="false" ht="15" hidden="false" customHeight="false" outlineLevel="0" collapsed="false">
      <c r="A1653" s="22" t="s">
        <v>6758</v>
      </c>
      <c r="B1653" s="22" t="s">
        <v>22</v>
      </c>
      <c r="C1653" s="22" t="s">
        <v>6759</v>
      </c>
      <c r="D1653" s="22" t="s">
        <v>6760</v>
      </c>
      <c r="E1653" s="22" t="s">
        <v>6761</v>
      </c>
      <c r="F1653" s="22" t="n">
        <v>14</v>
      </c>
      <c r="G1653" s="26" t="n">
        <v>116.39</v>
      </c>
      <c r="H1653" s="26" t="n">
        <v>126.41</v>
      </c>
      <c r="I1653" s="26" t="n">
        <v>146.44</v>
      </c>
      <c r="J1653" s="26" t="n">
        <v>156.46</v>
      </c>
      <c r="K1653" s="26" t="n">
        <v>171.48</v>
      </c>
      <c r="L1653" s="26" t="n">
        <v>2.19</v>
      </c>
      <c r="M1653" s="27" t="n">
        <v>0.005</v>
      </c>
      <c r="N1653" s="27" t="n">
        <v>0.002</v>
      </c>
      <c r="O1653" s="26" t="n">
        <v>5</v>
      </c>
      <c r="P1653" s="26" t="n">
        <v>5</v>
      </c>
      <c r="Q1653" s="28" t="n">
        <v>100</v>
      </c>
      <c r="R1653" s="26" t="n">
        <v>30</v>
      </c>
      <c r="S1653" s="26" t="n">
        <v>0</v>
      </c>
      <c r="T1653" s="28" t="n">
        <v>1</v>
      </c>
      <c r="U1653" s="26" t="n">
        <v>0</v>
      </c>
      <c r="V1653" s="26" t="n">
        <v>0</v>
      </c>
      <c r="W1653" s="22" t="s">
        <v>22</v>
      </c>
      <c r="X1653" s="22" t="s">
        <v>373</v>
      </c>
    </row>
    <row r="1654" customFormat="false" ht="15" hidden="false" customHeight="false" outlineLevel="0" collapsed="false">
      <c r="A1654" s="22" t="s">
        <v>6762</v>
      </c>
      <c r="B1654" s="22" t="s">
        <v>22</v>
      </c>
      <c r="C1654" s="22" t="s">
        <v>6763</v>
      </c>
      <c r="D1654" s="22" t="s">
        <v>6764</v>
      </c>
      <c r="E1654" s="22" t="s">
        <v>6765</v>
      </c>
      <c r="F1654" s="22" t="n">
        <v>14</v>
      </c>
      <c r="G1654" s="26" t="n">
        <v>116.39</v>
      </c>
      <c r="H1654" s="26" t="n">
        <v>126.41</v>
      </c>
      <c r="I1654" s="26" t="n">
        <v>146.44</v>
      </c>
      <c r="J1654" s="26" t="n">
        <v>156.46</v>
      </c>
      <c r="K1654" s="26" t="n">
        <v>171.48</v>
      </c>
      <c r="L1654" s="26" t="n">
        <v>2.19</v>
      </c>
      <c r="M1654" s="27" t="n">
        <v>0.005</v>
      </c>
      <c r="N1654" s="27" t="n">
        <v>0.002</v>
      </c>
      <c r="O1654" s="26" t="n">
        <v>5</v>
      </c>
      <c r="P1654" s="26" t="n">
        <v>5</v>
      </c>
      <c r="Q1654" s="28" t="n">
        <v>100</v>
      </c>
      <c r="R1654" s="26" t="n">
        <v>30</v>
      </c>
      <c r="S1654" s="26" t="n">
        <v>0</v>
      </c>
      <c r="T1654" s="28" t="n">
        <v>1</v>
      </c>
      <c r="U1654" s="26" t="n">
        <v>0</v>
      </c>
      <c r="V1654" s="26" t="n">
        <v>0</v>
      </c>
      <c r="W1654" s="22" t="s">
        <v>22</v>
      </c>
      <c r="X1654" s="22" t="s">
        <v>373</v>
      </c>
    </row>
    <row r="1655" customFormat="false" ht="15" hidden="false" customHeight="false" outlineLevel="0" collapsed="false">
      <c r="A1655" s="22" t="s">
        <v>6766</v>
      </c>
      <c r="B1655" s="22" t="s">
        <v>22</v>
      </c>
      <c r="C1655" s="22" t="s">
        <v>6767</v>
      </c>
      <c r="D1655" s="22" t="s">
        <v>6768</v>
      </c>
      <c r="E1655" s="22" t="s">
        <v>6769</v>
      </c>
      <c r="F1655" s="22" t="n">
        <v>14</v>
      </c>
      <c r="G1655" s="26" t="n">
        <v>116.39</v>
      </c>
      <c r="H1655" s="26" t="n">
        <v>126.41</v>
      </c>
      <c r="I1655" s="26" t="n">
        <v>146.44</v>
      </c>
      <c r="J1655" s="26" t="n">
        <v>156.46</v>
      </c>
      <c r="K1655" s="26" t="n">
        <v>171.48</v>
      </c>
      <c r="L1655" s="26" t="n">
        <v>2.19</v>
      </c>
      <c r="M1655" s="27" t="n">
        <v>0.005</v>
      </c>
      <c r="N1655" s="27" t="n">
        <v>0.002</v>
      </c>
      <c r="O1655" s="26" t="n">
        <v>5</v>
      </c>
      <c r="P1655" s="26" t="n">
        <v>5</v>
      </c>
      <c r="Q1655" s="28" t="n">
        <v>100</v>
      </c>
      <c r="R1655" s="26" t="n">
        <v>30</v>
      </c>
      <c r="S1655" s="26" t="n">
        <v>0</v>
      </c>
      <c r="T1655" s="28" t="n">
        <v>1</v>
      </c>
      <c r="U1655" s="26" t="n">
        <v>0</v>
      </c>
      <c r="V1655" s="26" t="n">
        <v>0</v>
      </c>
      <c r="W1655" s="22" t="s">
        <v>22</v>
      </c>
      <c r="X1655" s="22" t="s">
        <v>373</v>
      </c>
    </row>
    <row r="1656" customFormat="false" ht="15" hidden="false" customHeight="false" outlineLevel="0" collapsed="false">
      <c r="A1656" s="22" t="s">
        <v>6770</v>
      </c>
      <c r="B1656" s="22" t="s">
        <v>22</v>
      </c>
      <c r="C1656" s="22" t="s">
        <v>6771</v>
      </c>
      <c r="D1656" s="22" t="s">
        <v>6772</v>
      </c>
      <c r="E1656" s="22" t="s">
        <v>6773</v>
      </c>
      <c r="F1656" s="22" t="n">
        <v>14</v>
      </c>
      <c r="G1656" s="26" t="n">
        <v>116.39</v>
      </c>
      <c r="H1656" s="26" t="n">
        <v>126.41</v>
      </c>
      <c r="I1656" s="26" t="n">
        <v>146.44</v>
      </c>
      <c r="J1656" s="26" t="n">
        <v>156.46</v>
      </c>
      <c r="K1656" s="26" t="n">
        <v>171.48</v>
      </c>
      <c r="L1656" s="26" t="n">
        <v>2.19</v>
      </c>
      <c r="M1656" s="27" t="n">
        <v>0.005</v>
      </c>
      <c r="N1656" s="27" t="n">
        <v>0.002</v>
      </c>
      <c r="O1656" s="26" t="n">
        <v>5</v>
      </c>
      <c r="P1656" s="26" t="n">
        <v>5</v>
      </c>
      <c r="Q1656" s="28" t="n">
        <v>100</v>
      </c>
      <c r="R1656" s="26" t="n">
        <v>30</v>
      </c>
      <c r="S1656" s="26" t="n">
        <v>0</v>
      </c>
      <c r="T1656" s="28" t="n">
        <v>1</v>
      </c>
      <c r="U1656" s="26" t="n">
        <v>0</v>
      </c>
      <c r="V1656" s="26" t="n">
        <v>0</v>
      </c>
      <c r="W1656" s="22" t="s">
        <v>22</v>
      </c>
      <c r="X1656" s="22" t="s">
        <v>373</v>
      </c>
    </row>
    <row r="1657" customFormat="false" ht="15" hidden="false" customHeight="false" outlineLevel="0" collapsed="false">
      <c r="A1657" s="22" t="s">
        <v>6774</v>
      </c>
      <c r="B1657" s="22" t="s">
        <v>22</v>
      </c>
      <c r="C1657" s="22" t="s">
        <v>6775</v>
      </c>
      <c r="D1657" s="22" t="s">
        <v>6776</v>
      </c>
      <c r="E1657" s="22" t="s">
        <v>6777</v>
      </c>
      <c r="F1657" s="22" t="n">
        <v>14</v>
      </c>
      <c r="G1657" s="26" t="n">
        <v>116.39</v>
      </c>
      <c r="H1657" s="26" t="n">
        <v>126.41</v>
      </c>
      <c r="I1657" s="26" t="n">
        <v>146.44</v>
      </c>
      <c r="J1657" s="26" t="n">
        <v>156.46</v>
      </c>
      <c r="K1657" s="26" t="n">
        <v>171.48</v>
      </c>
      <c r="L1657" s="26" t="n">
        <v>2.19</v>
      </c>
      <c r="M1657" s="27" t="n">
        <v>0.005</v>
      </c>
      <c r="N1657" s="27" t="n">
        <v>0.002</v>
      </c>
      <c r="O1657" s="26" t="n">
        <v>5</v>
      </c>
      <c r="P1657" s="26" t="n">
        <v>5</v>
      </c>
      <c r="Q1657" s="28" t="n">
        <v>100</v>
      </c>
      <c r="R1657" s="26" t="n">
        <v>30</v>
      </c>
      <c r="S1657" s="26" t="n">
        <v>0</v>
      </c>
      <c r="T1657" s="28" t="n">
        <v>1</v>
      </c>
      <c r="U1657" s="26" t="n">
        <v>0</v>
      </c>
      <c r="V1657" s="26" t="n">
        <v>0</v>
      </c>
      <c r="W1657" s="22" t="s">
        <v>22</v>
      </c>
      <c r="X1657" s="22" t="s">
        <v>373</v>
      </c>
    </row>
    <row r="1658" customFormat="false" ht="15" hidden="false" customHeight="false" outlineLevel="0" collapsed="false">
      <c r="A1658" s="22" t="s">
        <v>6778</v>
      </c>
      <c r="B1658" s="22" t="s">
        <v>22</v>
      </c>
      <c r="C1658" s="22" t="s">
        <v>6779</v>
      </c>
      <c r="D1658" s="22" t="s">
        <v>6780</v>
      </c>
      <c r="E1658" s="22" t="s">
        <v>6781</v>
      </c>
      <c r="F1658" s="22" t="n">
        <v>14</v>
      </c>
      <c r="G1658" s="26" t="n">
        <v>116.39</v>
      </c>
      <c r="H1658" s="26" t="n">
        <v>126.41</v>
      </c>
      <c r="I1658" s="26" t="n">
        <v>146.44</v>
      </c>
      <c r="J1658" s="26" t="n">
        <v>156.46</v>
      </c>
      <c r="K1658" s="26" t="n">
        <v>171.48</v>
      </c>
      <c r="L1658" s="26" t="n">
        <v>2.19</v>
      </c>
      <c r="M1658" s="27" t="n">
        <v>0.005</v>
      </c>
      <c r="N1658" s="27" t="n">
        <v>0.002</v>
      </c>
      <c r="O1658" s="26" t="n">
        <v>5</v>
      </c>
      <c r="P1658" s="26" t="n">
        <v>5</v>
      </c>
      <c r="Q1658" s="28" t="n">
        <v>100</v>
      </c>
      <c r="R1658" s="26" t="n">
        <v>30</v>
      </c>
      <c r="S1658" s="26" t="n">
        <v>0</v>
      </c>
      <c r="T1658" s="28" t="n">
        <v>1</v>
      </c>
      <c r="U1658" s="26" t="n">
        <v>0</v>
      </c>
      <c r="V1658" s="26" t="n">
        <v>0</v>
      </c>
      <c r="W1658" s="22" t="s">
        <v>22</v>
      </c>
      <c r="X1658" s="22" t="s">
        <v>373</v>
      </c>
    </row>
    <row r="1659" customFormat="false" ht="15" hidden="false" customHeight="false" outlineLevel="0" collapsed="false">
      <c r="A1659" s="22" t="s">
        <v>6782</v>
      </c>
      <c r="B1659" s="22" t="s">
        <v>22</v>
      </c>
      <c r="C1659" s="22" t="s">
        <v>6783</v>
      </c>
      <c r="D1659" s="22" t="s">
        <v>6784</v>
      </c>
      <c r="E1659" s="22" t="s">
        <v>6785</v>
      </c>
      <c r="F1659" s="22" t="n">
        <v>14</v>
      </c>
      <c r="G1659" s="26" t="n">
        <v>116.39</v>
      </c>
      <c r="H1659" s="26" t="n">
        <v>126.41</v>
      </c>
      <c r="I1659" s="26" t="n">
        <v>146.44</v>
      </c>
      <c r="J1659" s="26" t="n">
        <v>156.46</v>
      </c>
      <c r="K1659" s="26" t="n">
        <v>171.48</v>
      </c>
      <c r="L1659" s="26" t="n">
        <v>2.19</v>
      </c>
      <c r="M1659" s="27" t="n">
        <v>0.005</v>
      </c>
      <c r="N1659" s="27" t="n">
        <v>0.002</v>
      </c>
      <c r="O1659" s="26" t="n">
        <v>5</v>
      </c>
      <c r="P1659" s="26" t="n">
        <v>5</v>
      </c>
      <c r="Q1659" s="28" t="n">
        <v>100</v>
      </c>
      <c r="R1659" s="26" t="n">
        <v>30</v>
      </c>
      <c r="S1659" s="26" t="n">
        <v>0</v>
      </c>
      <c r="T1659" s="28" t="n">
        <v>1</v>
      </c>
      <c r="U1659" s="26" t="n">
        <v>0</v>
      </c>
      <c r="V1659" s="26" t="n">
        <v>0</v>
      </c>
      <c r="W1659" s="22" t="s">
        <v>22</v>
      </c>
      <c r="X1659" s="22" t="s">
        <v>373</v>
      </c>
    </row>
    <row r="1660" customFormat="false" ht="15" hidden="false" customHeight="false" outlineLevel="0" collapsed="false">
      <c r="A1660" s="22" t="s">
        <v>6786</v>
      </c>
      <c r="B1660" s="22" t="s">
        <v>22</v>
      </c>
      <c r="C1660" s="22" t="s">
        <v>6787</v>
      </c>
      <c r="D1660" s="22" t="s">
        <v>6788</v>
      </c>
      <c r="E1660" s="22" t="s">
        <v>6789</v>
      </c>
      <c r="F1660" s="22" t="n">
        <v>14</v>
      </c>
      <c r="G1660" s="26" t="n">
        <v>116.39</v>
      </c>
      <c r="H1660" s="26" t="n">
        <v>126.41</v>
      </c>
      <c r="I1660" s="26" t="n">
        <v>146.44</v>
      </c>
      <c r="J1660" s="26" t="n">
        <v>156.46</v>
      </c>
      <c r="K1660" s="26" t="n">
        <v>171.48</v>
      </c>
      <c r="L1660" s="26" t="n">
        <v>2.19</v>
      </c>
      <c r="M1660" s="27" t="n">
        <v>0.005</v>
      </c>
      <c r="N1660" s="27" t="n">
        <v>0.002</v>
      </c>
      <c r="O1660" s="26" t="n">
        <v>5</v>
      </c>
      <c r="P1660" s="26" t="n">
        <v>5</v>
      </c>
      <c r="Q1660" s="28" t="n">
        <v>100</v>
      </c>
      <c r="R1660" s="26" t="n">
        <v>30</v>
      </c>
      <c r="S1660" s="26" t="n">
        <v>0</v>
      </c>
      <c r="T1660" s="28" t="n">
        <v>1</v>
      </c>
      <c r="U1660" s="26" t="n">
        <v>0</v>
      </c>
      <c r="V1660" s="26" t="n">
        <v>0</v>
      </c>
      <c r="W1660" s="22" t="s">
        <v>22</v>
      </c>
      <c r="X1660" s="22" t="s">
        <v>373</v>
      </c>
    </row>
    <row r="1661" customFormat="false" ht="15" hidden="false" customHeight="false" outlineLevel="0" collapsed="false">
      <c r="A1661" s="22" t="s">
        <v>6790</v>
      </c>
      <c r="B1661" s="22" t="s">
        <v>22</v>
      </c>
      <c r="C1661" s="22" t="s">
        <v>6791</v>
      </c>
      <c r="D1661" s="22" t="s">
        <v>6792</v>
      </c>
      <c r="E1661" s="22" t="s">
        <v>6793</v>
      </c>
      <c r="F1661" s="22" t="n">
        <v>14</v>
      </c>
      <c r="G1661" s="26" t="n">
        <v>116.39</v>
      </c>
      <c r="H1661" s="26" t="n">
        <v>126.41</v>
      </c>
      <c r="I1661" s="26" t="n">
        <v>146.44</v>
      </c>
      <c r="J1661" s="26" t="n">
        <v>156.46</v>
      </c>
      <c r="K1661" s="26" t="n">
        <v>171.48</v>
      </c>
      <c r="L1661" s="26" t="n">
        <v>2.19</v>
      </c>
      <c r="M1661" s="27" t="n">
        <v>0.005</v>
      </c>
      <c r="N1661" s="27" t="n">
        <v>0.002</v>
      </c>
      <c r="O1661" s="26" t="n">
        <v>5</v>
      </c>
      <c r="P1661" s="26" t="n">
        <v>5</v>
      </c>
      <c r="Q1661" s="28" t="n">
        <v>100</v>
      </c>
      <c r="R1661" s="26" t="n">
        <v>30</v>
      </c>
      <c r="S1661" s="26" t="n">
        <v>0</v>
      </c>
      <c r="T1661" s="28" t="n">
        <v>1</v>
      </c>
      <c r="U1661" s="26" t="n">
        <v>0</v>
      </c>
      <c r="V1661" s="26" t="n">
        <v>0</v>
      </c>
      <c r="W1661" s="22" t="s">
        <v>22</v>
      </c>
      <c r="X1661" s="22" t="s">
        <v>373</v>
      </c>
    </row>
    <row r="1662" customFormat="false" ht="15" hidden="false" customHeight="false" outlineLevel="0" collapsed="false">
      <c r="A1662" s="22" t="s">
        <v>6794</v>
      </c>
      <c r="B1662" s="22" t="s">
        <v>22</v>
      </c>
      <c r="C1662" s="22" t="s">
        <v>6795</v>
      </c>
      <c r="D1662" s="22" t="s">
        <v>6796</v>
      </c>
      <c r="E1662" s="22" t="s">
        <v>6797</v>
      </c>
      <c r="F1662" s="22" t="n">
        <v>14</v>
      </c>
      <c r="G1662" s="26" t="n">
        <v>116.39</v>
      </c>
      <c r="H1662" s="26" t="n">
        <v>126.41</v>
      </c>
      <c r="I1662" s="26" t="n">
        <v>146.44</v>
      </c>
      <c r="J1662" s="26" t="n">
        <v>156.46</v>
      </c>
      <c r="K1662" s="26" t="n">
        <v>171.48</v>
      </c>
      <c r="L1662" s="26" t="n">
        <v>2.19</v>
      </c>
      <c r="M1662" s="27" t="n">
        <v>0.005</v>
      </c>
      <c r="N1662" s="27" t="n">
        <v>0.002</v>
      </c>
      <c r="O1662" s="26" t="n">
        <v>5</v>
      </c>
      <c r="P1662" s="26" t="n">
        <v>5</v>
      </c>
      <c r="Q1662" s="28" t="n">
        <v>100</v>
      </c>
      <c r="R1662" s="26" t="n">
        <v>30</v>
      </c>
      <c r="S1662" s="26" t="n">
        <v>0</v>
      </c>
      <c r="T1662" s="28" t="n">
        <v>1</v>
      </c>
      <c r="U1662" s="26" t="n">
        <v>0</v>
      </c>
      <c r="V1662" s="26" t="n">
        <v>250</v>
      </c>
      <c r="W1662" s="22" t="s">
        <v>22</v>
      </c>
      <c r="X1662" s="22" t="s">
        <v>373</v>
      </c>
    </row>
    <row r="1663" customFormat="false" ht="15" hidden="false" customHeight="false" outlineLevel="0" collapsed="false">
      <c r="A1663" s="22" t="s">
        <v>6798</v>
      </c>
      <c r="B1663" s="22" t="s">
        <v>22</v>
      </c>
      <c r="C1663" s="22" t="s">
        <v>6799</v>
      </c>
      <c r="D1663" s="22" t="s">
        <v>6800</v>
      </c>
      <c r="E1663" s="22" t="s">
        <v>6801</v>
      </c>
      <c r="F1663" s="22" t="n">
        <v>14</v>
      </c>
      <c r="G1663" s="26" t="n">
        <v>116.39</v>
      </c>
      <c r="H1663" s="26" t="n">
        <v>126.41</v>
      </c>
      <c r="I1663" s="26" t="n">
        <v>146.44</v>
      </c>
      <c r="J1663" s="26" t="n">
        <v>156.46</v>
      </c>
      <c r="K1663" s="26" t="n">
        <v>171.48</v>
      </c>
      <c r="L1663" s="26" t="n">
        <v>2.19</v>
      </c>
      <c r="M1663" s="27" t="n">
        <v>0.005</v>
      </c>
      <c r="N1663" s="27" t="n">
        <v>0.002</v>
      </c>
      <c r="O1663" s="26" t="n">
        <v>5</v>
      </c>
      <c r="P1663" s="26" t="n">
        <v>5</v>
      </c>
      <c r="Q1663" s="28" t="n">
        <v>100</v>
      </c>
      <c r="R1663" s="26" t="n">
        <v>30</v>
      </c>
      <c r="S1663" s="26" t="n">
        <v>0</v>
      </c>
      <c r="T1663" s="28" t="n">
        <v>1</v>
      </c>
      <c r="U1663" s="26" t="n">
        <v>0</v>
      </c>
      <c r="V1663" s="26" t="n">
        <v>0</v>
      </c>
      <c r="W1663" s="22" t="s">
        <v>22</v>
      </c>
      <c r="X1663" s="22" t="s">
        <v>373</v>
      </c>
    </row>
    <row r="1664" customFormat="false" ht="15" hidden="false" customHeight="false" outlineLevel="0" collapsed="false">
      <c r="A1664" s="22" t="s">
        <v>6802</v>
      </c>
      <c r="B1664" s="22" t="s">
        <v>22</v>
      </c>
      <c r="C1664" s="22" t="s">
        <v>6803</v>
      </c>
      <c r="D1664" s="22" t="s">
        <v>6804</v>
      </c>
      <c r="E1664" s="22" t="s">
        <v>6805</v>
      </c>
      <c r="F1664" s="22" t="n">
        <v>14</v>
      </c>
      <c r="G1664" s="26" t="n">
        <v>116.39</v>
      </c>
      <c r="H1664" s="26" t="n">
        <v>126.41</v>
      </c>
      <c r="I1664" s="26" t="n">
        <v>146.44</v>
      </c>
      <c r="J1664" s="26" t="n">
        <v>156.46</v>
      </c>
      <c r="K1664" s="26" t="n">
        <v>171.48</v>
      </c>
      <c r="L1664" s="26" t="n">
        <v>2.19</v>
      </c>
      <c r="M1664" s="27" t="n">
        <v>0.005</v>
      </c>
      <c r="N1664" s="27" t="n">
        <v>0.002</v>
      </c>
      <c r="O1664" s="26" t="n">
        <v>5</v>
      </c>
      <c r="P1664" s="26" t="n">
        <v>5</v>
      </c>
      <c r="Q1664" s="28" t="n">
        <v>100</v>
      </c>
      <c r="R1664" s="26" t="n">
        <v>30</v>
      </c>
      <c r="S1664" s="26" t="n">
        <v>0</v>
      </c>
      <c r="T1664" s="28" t="n">
        <v>1</v>
      </c>
      <c r="U1664" s="26" t="n">
        <v>0</v>
      </c>
      <c r="V1664" s="26" t="n">
        <v>0</v>
      </c>
      <c r="W1664" s="22" t="s">
        <v>22</v>
      </c>
      <c r="X1664" s="22" t="s">
        <v>373</v>
      </c>
    </row>
    <row r="1665" customFormat="false" ht="15" hidden="false" customHeight="false" outlineLevel="0" collapsed="false">
      <c r="A1665" s="22" t="s">
        <v>6806</v>
      </c>
      <c r="B1665" s="22" t="s">
        <v>22</v>
      </c>
      <c r="C1665" s="22" t="s">
        <v>6807</v>
      </c>
      <c r="D1665" s="22" t="s">
        <v>6808</v>
      </c>
      <c r="E1665" s="22" t="s">
        <v>6809</v>
      </c>
      <c r="F1665" s="22" t="n">
        <v>14</v>
      </c>
      <c r="G1665" s="26" t="n">
        <v>116.39</v>
      </c>
      <c r="H1665" s="26" t="n">
        <v>126.41</v>
      </c>
      <c r="I1665" s="26" t="n">
        <v>146.44</v>
      </c>
      <c r="J1665" s="26" t="n">
        <v>156.46</v>
      </c>
      <c r="K1665" s="26" t="n">
        <v>171.48</v>
      </c>
      <c r="L1665" s="26" t="n">
        <v>2.19</v>
      </c>
      <c r="M1665" s="27" t="n">
        <v>0.005</v>
      </c>
      <c r="N1665" s="27" t="n">
        <v>0.002</v>
      </c>
      <c r="O1665" s="26" t="n">
        <v>5</v>
      </c>
      <c r="P1665" s="26" t="n">
        <v>5</v>
      </c>
      <c r="Q1665" s="28" t="n">
        <v>100</v>
      </c>
      <c r="R1665" s="26" t="n">
        <v>30</v>
      </c>
      <c r="S1665" s="26" t="n">
        <v>0</v>
      </c>
      <c r="T1665" s="28" t="n">
        <v>1</v>
      </c>
      <c r="U1665" s="26" t="n">
        <v>0</v>
      </c>
      <c r="V1665" s="26" t="n">
        <v>0</v>
      </c>
      <c r="W1665" s="22" t="s">
        <v>22</v>
      </c>
      <c r="X1665" s="22" t="s">
        <v>373</v>
      </c>
    </row>
    <row r="1666" customFormat="false" ht="15" hidden="false" customHeight="false" outlineLevel="0" collapsed="false">
      <c r="A1666" s="22" t="s">
        <v>6810</v>
      </c>
      <c r="B1666" s="22" t="s">
        <v>22</v>
      </c>
      <c r="C1666" s="22" t="s">
        <v>6811</v>
      </c>
      <c r="D1666" s="22" t="s">
        <v>6812</v>
      </c>
      <c r="E1666" s="22" t="s">
        <v>6813</v>
      </c>
      <c r="F1666" s="22" t="n">
        <v>14</v>
      </c>
      <c r="G1666" s="26" t="n">
        <v>116.39</v>
      </c>
      <c r="H1666" s="26" t="n">
        <v>126.41</v>
      </c>
      <c r="I1666" s="26" t="n">
        <v>146.44</v>
      </c>
      <c r="J1666" s="26" t="n">
        <v>156.46</v>
      </c>
      <c r="K1666" s="26" t="n">
        <v>171.48</v>
      </c>
      <c r="L1666" s="26" t="n">
        <v>2.19</v>
      </c>
      <c r="M1666" s="27" t="n">
        <v>0.005</v>
      </c>
      <c r="N1666" s="27" t="n">
        <v>0.002</v>
      </c>
      <c r="O1666" s="26" t="n">
        <v>5</v>
      </c>
      <c r="P1666" s="26" t="n">
        <v>5</v>
      </c>
      <c r="Q1666" s="28" t="n">
        <v>100</v>
      </c>
      <c r="R1666" s="26" t="n">
        <v>30</v>
      </c>
      <c r="S1666" s="26" t="n">
        <v>0</v>
      </c>
      <c r="T1666" s="28" t="n">
        <v>1</v>
      </c>
      <c r="U1666" s="26" t="n">
        <v>0</v>
      </c>
      <c r="V1666" s="26" t="n">
        <v>0</v>
      </c>
      <c r="W1666" s="22" t="s">
        <v>22</v>
      </c>
      <c r="X1666" s="22" t="s">
        <v>373</v>
      </c>
    </row>
    <row r="1667" customFormat="false" ht="15" hidden="false" customHeight="false" outlineLevel="0" collapsed="false">
      <c r="A1667" s="22" t="s">
        <v>6814</v>
      </c>
      <c r="B1667" s="22" t="s">
        <v>22</v>
      </c>
      <c r="C1667" s="22" t="s">
        <v>506</v>
      </c>
      <c r="D1667" s="22" t="s">
        <v>6815</v>
      </c>
      <c r="E1667" s="22" t="s">
        <v>6816</v>
      </c>
      <c r="F1667" s="22" t="n">
        <v>14</v>
      </c>
      <c r="G1667" s="26" t="n">
        <v>116.39</v>
      </c>
      <c r="H1667" s="26" t="n">
        <v>126.41</v>
      </c>
      <c r="I1667" s="26" t="n">
        <v>146.44</v>
      </c>
      <c r="J1667" s="26" t="n">
        <v>156.46</v>
      </c>
      <c r="K1667" s="26" t="n">
        <v>171.48</v>
      </c>
      <c r="L1667" s="26" t="n">
        <v>2.19</v>
      </c>
      <c r="M1667" s="27" t="n">
        <v>0.005</v>
      </c>
      <c r="N1667" s="27" t="n">
        <v>0.002</v>
      </c>
      <c r="O1667" s="26" t="n">
        <v>5</v>
      </c>
      <c r="P1667" s="26" t="n">
        <v>5</v>
      </c>
      <c r="Q1667" s="28" t="n">
        <v>100</v>
      </c>
      <c r="R1667" s="26" t="n">
        <v>30</v>
      </c>
      <c r="S1667" s="26" t="n">
        <v>0</v>
      </c>
      <c r="T1667" s="28" t="n">
        <v>1</v>
      </c>
      <c r="U1667" s="26" t="n">
        <v>0</v>
      </c>
      <c r="V1667" s="26" t="n">
        <v>0</v>
      </c>
      <c r="W1667" s="22" t="s">
        <v>22</v>
      </c>
      <c r="X1667" s="22" t="s">
        <v>373</v>
      </c>
    </row>
    <row r="1668" customFormat="false" ht="15" hidden="false" customHeight="false" outlineLevel="0" collapsed="false">
      <c r="A1668" s="22" t="s">
        <v>6817</v>
      </c>
      <c r="B1668" s="22" t="s">
        <v>22</v>
      </c>
      <c r="C1668" s="22" t="s">
        <v>6818</v>
      </c>
      <c r="D1668" s="22" t="s">
        <v>6819</v>
      </c>
      <c r="E1668" s="22" t="s">
        <v>6820</v>
      </c>
      <c r="F1668" s="22" t="n">
        <v>14</v>
      </c>
      <c r="G1668" s="26" t="n">
        <v>116.39</v>
      </c>
      <c r="H1668" s="26" t="n">
        <v>126.41</v>
      </c>
      <c r="I1668" s="26" t="n">
        <v>146.44</v>
      </c>
      <c r="J1668" s="26" t="n">
        <v>156.46</v>
      </c>
      <c r="K1668" s="26" t="n">
        <v>171.48</v>
      </c>
      <c r="L1668" s="26" t="n">
        <v>2.19</v>
      </c>
      <c r="M1668" s="27" t="n">
        <v>0.005</v>
      </c>
      <c r="N1668" s="27" t="n">
        <v>0.002</v>
      </c>
      <c r="O1668" s="26" t="n">
        <v>5</v>
      </c>
      <c r="P1668" s="26" t="n">
        <v>5</v>
      </c>
      <c r="Q1668" s="28" t="n">
        <v>100</v>
      </c>
      <c r="R1668" s="26" t="n">
        <v>30</v>
      </c>
      <c r="S1668" s="26" t="n">
        <v>0</v>
      </c>
      <c r="T1668" s="28" t="n">
        <v>1</v>
      </c>
      <c r="U1668" s="26" t="n">
        <v>0</v>
      </c>
      <c r="V1668" s="26" t="n">
        <v>250</v>
      </c>
      <c r="W1668" s="22" t="s">
        <v>22</v>
      </c>
      <c r="X1668" s="22" t="s">
        <v>373</v>
      </c>
    </row>
    <row r="1669" customFormat="false" ht="15" hidden="false" customHeight="false" outlineLevel="0" collapsed="false">
      <c r="A1669" s="22" t="s">
        <v>6821</v>
      </c>
      <c r="B1669" s="22" t="s">
        <v>22</v>
      </c>
      <c r="C1669" s="22" t="s">
        <v>6822</v>
      </c>
      <c r="D1669" s="22" t="s">
        <v>6823</v>
      </c>
      <c r="E1669" s="22" t="s">
        <v>6824</v>
      </c>
      <c r="F1669" s="22" t="n">
        <v>14</v>
      </c>
      <c r="G1669" s="26" t="n">
        <v>116.39</v>
      </c>
      <c r="H1669" s="26" t="n">
        <v>126.41</v>
      </c>
      <c r="I1669" s="26" t="n">
        <v>146.44</v>
      </c>
      <c r="J1669" s="26" t="n">
        <v>156.46</v>
      </c>
      <c r="K1669" s="26" t="n">
        <v>171.48</v>
      </c>
      <c r="L1669" s="26" t="n">
        <v>2.19</v>
      </c>
      <c r="M1669" s="27" t="n">
        <v>0.005</v>
      </c>
      <c r="N1669" s="27" t="n">
        <v>0.002</v>
      </c>
      <c r="O1669" s="26" t="n">
        <v>5</v>
      </c>
      <c r="P1669" s="26" t="n">
        <v>5</v>
      </c>
      <c r="Q1669" s="28" t="n">
        <v>100</v>
      </c>
      <c r="R1669" s="26" t="n">
        <v>30</v>
      </c>
      <c r="S1669" s="26" t="n">
        <v>0</v>
      </c>
      <c r="T1669" s="28" t="n">
        <v>1</v>
      </c>
      <c r="U1669" s="26" t="n">
        <v>0</v>
      </c>
      <c r="V1669" s="26" t="n">
        <v>0</v>
      </c>
      <c r="W1669" s="22" t="s">
        <v>22</v>
      </c>
      <c r="X1669" s="22" t="s">
        <v>373</v>
      </c>
    </row>
    <row r="1670" customFormat="false" ht="15" hidden="false" customHeight="false" outlineLevel="0" collapsed="false">
      <c r="A1670" s="22" t="s">
        <v>6825</v>
      </c>
      <c r="B1670" s="22" t="s">
        <v>22</v>
      </c>
      <c r="C1670" s="22" t="s">
        <v>6826</v>
      </c>
      <c r="D1670" s="22" t="s">
        <v>6827</v>
      </c>
      <c r="E1670" s="22" t="s">
        <v>6828</v>
      </c>
      <c r="F1670" s="22" t="n">
        <v>14</v>
      </c>
      <c r="G1670" s="26" t="n">
        <v>116.39</v>
      </c>
      <c r="H1670" s="26" t="n">
        <v>126.41</v>
      </c>
      <c r="I1670" s="26" t="n">
        <v>146.44</v>
      </c>
      <c r="J1670" s="26" t="n">
        <v>156.46</v>
      </c>
      <c r="K1670" s="26" t="n">
        <v>171.48</v>
      </c>
      <c r="L1670" s="26" t="n">
        <v>2.19</v>
      </c>
      <c r="M1670" s="27" t="n">
        <v>0.005</v>
      </c>
      <c r="N1670" s="27" t="n">
        <v>0.002</v>
      </c>
      <c r="O1670" s="26" t="n">
        <v>5</v>
      </c>
      <c r="P1670" s="26" t="n">
        <v>5</v>
      </c>
      <c r="Q1670" s="28" t="n">
        <v>100</v>
      </c>
      <c r="R1670" s="26" t="n">
        <v>30</v>
      </c>
      <c r="S1670" s="26" t="n">
        <v>0</v>
      </c>
      <c r="T1670" s="28" t="n">
        <v>1</v>
      </c>
      <c r="U1670" s="26" t="n">
        <v>0</v>
      </c>
      <c r="V1670" s="26" t="n">
        <v>0</v>
      </c>
      <c r="W1670" s="22" t="s">
        <v>22</v>
      </c>
      <c r="X1670" s="22" t="s">
        <v>373</v>
      </c>
    </row>
    <row r="1671" customFormat="false" ht="15" hidden="false" customHeight="false" outlineLevel="0" collapsed="false">
      <c r="A1671" s="22" t="s">
        <v>6829</v>
      </c>
      <c r="B1671" s="22" t="s">
        <v>22</v>
      </c>
      <c r="C1671" s="22" t="s">
        <v>6830</v>
      </c>
      <c r="D1671" s="22" t="s">
        <v>6831</v>
      </c>
      <c r="E1671" s="22" t="s">
        <v>6832</v>
      </c>
      <c r="F1671" s="22" t="n">
        <v>14</v>
      </c>
      <c r="G1671" s="26" t="n">
        <v>116.39</v>
      </c>
      <c r="H1671" s="26" t="n">
        <v>126.41</v>
      </c>
      <c r="I1671" s="26" t="n">
        <v>146.44</v>
      </c>
      <c r="J1671" s="26" t="n">
        <v>156.46</v>
      </c>
      <c r="K1671" s="26" t="n">
        <v>171.48</v>
      </c>
      <c r="L1671" s="26" t="n">
        <v>2.19</v>
      </c>
      <c r="M1671" s="27" t="n">
        <v>0.005</v>
      </c>
      <c r="N1671" s="27" t="n">
        <v>0.002</v>
      </c>
      <c r="O1671" s="26" t="n">
        <v>5</v>
      </c>
      <c r="P1671" s="26" t="n">
        <v>5</v>
      </c>
      <c r="Q1671" s="28" t="n">
        <v>100</v>
      </c>
      <c r="R1671" s="26" t="n">
        <v>30</v>
      </c>
      <c r="S1671" s="26" t="n">
        <v>0</v>
      </c>
      <c r="T1671" s="28" t="n">
        <v>1</v>
      </c>
      <c r="U1671" s="26" t="n">
        <v>0</v>
      </c>
      <c r="V1671" s="26" t="n">
        <v>0</v>
      </c>
      <c r="W1671" s="22" t="s">
        <v>22</v>
      </c>
      <c r="X1671" s="22" t="s">
        <v>373</v>
      </c>
    </row>
    <row r="1672" customFormat="false" ht="15" hidden="false" customHeight="false" outlineLevel="0" collapsed="false">
      <c r="A1672" s="22" t="s">
        <v>6833</v>
      </c>
      <c r="B1672" s="22" t="s">
        <v>22</v>
      </c>
      <c r="C1672" s="22" t="s">
        <v>6834</v>
      </c>
      <c r="D1672" s="22" t="s">
        <v>6835</v>
      </c>
      <c r="E1672" s="22" t="s">
        <v>6836</v>
      </c>
      <c r="F1672" s="22" t="n">
        <v>14</v>
      </c>
      <c r="G1672" s="26" t="n">
        <v>116.39</v>
      </c>
      <c r="H1672" s="26" t="n">
        <v>126.41</v>
      </c>
      <c r="I1672" s="26" t="n">
        <v>146.44</v>
      </c>
      <c r="J1672" s="26" t="n">
        <v>156.46</v>
      </c>
      <c r="K1672" s="26" t="n">
        <v>171.48</v>
      </c>
      <c r="L1672" s="26" t="n">
        <v>2.19</v>
      </c>
      <c r="M1672" s="27" t="n">
        <v>0.005</v>
      </c>
      <c r="N1672" s="27" t="n">
        <v>0.002</v>
      </c>
      <c r="O1672" s="26" t="n">
        <v>5</v>
      </c>
      <c r="P1672" s="26" t="n">
        <v>5</v>
      </c>
      <c r="Q1672" s="28" t="n">
        <v>100</v>
      </c>
      <c r="R1672" s="26" t="n">
        <v>30</v>
      </c>
      <c r="S1672" s="26" t="n">
        <v>0</v>
      </c>
      <c r="T1672" s="28" t="n">
        <v>1</v>
      </c>
      <c r="U1672" s="26" t="n">
        <v>0</v>
      </c>
      <c r="V1672" s="26" t="n">
        <v>0</v>
      </c>
      <c r="W1672" s="22" t="s">
        <v>22</v>
      </c>
      <c r="X1672" s="22" t="s">
        <v>373</v>
      </c>
    </row>
    <row r="1673" customFormat="false" ht="15" hidden="false" customHeight="false" outlineLevel="0" collapsed="false">
      <c r="A1673" s="22" t="s">
        <v>6837</v>
      </c>
      <c r="B1673" s="22" t="s">
        <v>22</v>
      </c>
      <c r="C1673" s="22" t="s">
        <v>6838</v>
      </c>
      <c r="D1673" s="22" t="s">
        <v>6839</v>
      </c>
      <c r="E1673" s="22" t="s">
        <v>6840</v>
      </c>
      <c r="F1673" s="22" t="n">
        <v>14</v>
      </c>
      <c r="G1673" s="26" t="n">
        <v>116.39</v>
      </c>
      <c r="H1673" s="26" t="n">
        <v>126.41</v>
      </c>
      <c r="I1673" s="26" t="n">
        <v>146.44</v>
      </c>
      <c r="J1673" s="26" t="n">
        <v>156.46</v>
      </c>
      <c r="K1673" s="26" t="n">
        <v>171.48</v>
      </c>
      <c r="L1673" s="26" t="n">
        <v>2.19</v>
      </c>
      <c r="M1673" s="27" t="n">
        <v>0.005</v>
      </c>
      <c r="N1673" s="27" t="n">
        <v>0.002</v>
      </c>
      <c r="O1673" s="26" t="n">
        <v>5</v>
      </c>
      <c r="P1673" s="26" t="n">
        <v>5</v>
      </c>
      <c r="Q1673" s="28" t="n">
        <v>100</v>
      </c>
      <c r="R1673" s="26" t="n">
        <v>30</v>
      </c>
      <c r="S1673" s="26" t="n">
        <v>0</v>
      </c>
      <c r="T1673" s="28" t="n">
        <v>1</v>
      </c>
      <c r="U1673" s="26" t="n">
        <v>0</v>
      </c>
      <c r="V1673" s="26" t="n">
        <v>0</v>
      </c>
      <c r="W1673" s="22" t="s">
        <v>22</v>
      </c>
      <c r="X1673" s="22" t="s">
        <v>373</v>
      </c>
    </row>
    <row r="1674" customFormat="false" ht="15" hidden="false" customHeight="false" outlineLevel="0" collapsed="false">
      <c r="A1674" s="22" t="s">
        <v>6841</v>
      </c>
      <c r="B1674" s="22" t="s">
        <v>22</v>
      </c>
      <c r="C1674" s="22" t="s">
        <v>6842</v>
      </c>
      <c r="D1674" s="22" t="s">
        <v>6843</v>
      </c>
      <c r="E1674" s="22" t="s">
        <v>6844</v>
      </c>
      <c r="F1674" s="22" t="n">
        <v>14</v>
      </c>
      <c r="G1674" s="26" t="n">
        <v>116.39</v>
      </c>
      <c r="H1674" s="26" t="n">
        <v>126.41</v>
      </c>
      <c r="I1674" s="26" t="n">
        <v>146.44</v>
      </c>
      <c r="J1674" s="26" t="n">
        <v>156.46</v>
      </c>
      <c r="K1674" s="26" t="n">
        <v>171.48</v>
      </c>
      <c r="L1674" s="26" t="n">
        <v>2.19</v>
      </c>
      <c r="M1674" s="27" t="n">
        <v>0.005</v>
      </c>
      <c r="N1674" s="27" t="n">
        <v>0.002</v>
      </c>
      <c r="O1674" s="26" t="n">
        <v>5</v>
      </c>
      <c r="P1674" s="26" t="n">
        <v>5</v>
      </c>
      <c r="Q1674" s="28" t="n">
        <v>100</v>
      </c>
      <c r="R1674" s="26" t="n">
        <v>30</v>
      </c>
      <c r="S1674" s="26" t="n">
        <v>0</v>
      </c>
      <c r="T1674" s="28" t="n">
        <v>1</v>
      </c>
      <c r="U1674" s="26" t="n">
        <v>0</v>
      </c>
      <c r="V1674" s="26" t="n">
        <v>0</v>
      </c>
      <c r="W1674" s="22" t="s">
        <v>22</v>
      </c>
      <c r="X1674" s="22" t="s">
        <v>373</v>
      </c>
    </row>
    <row r="1675" customFormat="false" ht="15" hidden="false" customHeight="false" outlineLevel="0" collapsed="false">
      <c r="A1675" s="22" t="s">
        <v>6845</v>
      </c>
      <c r="B1675" s="29" t="s">
        <v>22</v>
      </c>
      <c r="C1675" s="29" t="s">
        <v>6846</v>
      </c>
      <c r="D1675" s="22" t="s">
        <v>6847</v>
      </c>
      <c r="E1675" s="22" t="s">
        <v>6848</v>
      </c>
      <c r="F1675" s="22" t="n">
        <v>14</v>
      </c>
      <c r="G1675" s="26" t="n">
        <v>101.65</v>
      </c>
      <c r="H1675" s="26" t="n">
        <v>112.67</v>
      </c>
      <c r="I1675" s="26" t="n">
        <v>134.71</v>
      </c>
      <c r="J1675" s="26" t="n">
        <v>145.73</v>
      </c>
      <c r="K1675" s="26" t="n">
        <v>162.25</v>
      </c>
      <c r="L1675" s="26" t="n">
        <v>2.12</v>
      </c>
      <c r="M1675" s="27" t="n">
        <v>0.005</v>
      </c>
      <c r="N1675" s="27" t="n">
        <v>0.002</v>
      </c>
      <c r="O1675" s="26" t="n">
        <v>5</v>
      </c>
      <c r="P1675" s="26" t="n">
        <v>5</v>
      </c>
      <c r="Q1675" s="28" t="n">
        <v>100</v>
      </c>
      <c r="R1675" s="26" t="n">
        <v>30</v>
      </c>
      <c r="S1675" s="26" t="n">
        <v>0</v>
      </c>
      <c r="T1675" s="28" t="n">
        <v>1</v>
      </c>
      <c r="U1675" s="26" t="n">
        <v>0</v>
      </c>
      <c r="V1675" s="26" t="n">
        <v>0</v>
      </c>
      <c r="W1675" s="29" t="s">
        <v>15</v>
      </c>
      <c r="X1675" s="22" t="s">
        <v>373</v>
      </c>
    </row>
    <row r="1676" customFormat="false" ht="15" hidden="false" customHeight="false" outlineLevel="0" collapsed="false">
      <c r="A1676" s="22" t="s">
        <v>6849</v>
      </c>
      <c r="B1676" s="22" t="s">
        <v>22</v>
      </c>
      <c r="C1676" s="22" t="s">
        <v>573</v>
      </c>
      <c r="D1676" s="22" t="s">
        <v>6850</v>
      </c>
      <c r="E1676" s="22" t="s">
        <v>6851</v>
      </c>
      <c r="F1676" s="22" t="n">
        <v>14</v>
      </c>
      <c r="G1676" s="26" t="n">
        <v>116.39</v>
      </c>
      <c r="H1676" s="26" t="n">
        <v>126.41</v>
      </c>
      <c r="I1676" s="26" t="n">
        <v>146.44</v>
      </c>
      <c r="J1676" s="26" t="n">
        <v>156.46</v>
      </c>
      <c r="K1676" s="26" t="n">
        <v>171.48</v>
      </c>
      <c r="L1676" s="26" t="n">
        <v>2.19</v>
      </c>
      <c r="M1676" s="27" t="n">
        <v>0.005</v>
      </c>
      <c r="N1676" s="27" t="n">
        <v>0.002</v>
      </c>
      <c r="O1676" s="26" t="n">
        <v>5</v>
      </c>
      <c r="P1676" s="26" t="n">
        <v>5</v>
      </c>
      <c r="Q1676" s="28" t="n">
        <v>100</v>
      </c>
      <c r="R1676" s="26" t="n">
        <v>30</v>
      </c>
      <c r="S1676" s="26" t="n">
        <v>0</v>
      </c>
      <c r="T1676" s="28" t="n">
        <v>1</v>
      </c>
      <c r="U1676" s="26" t="n">
        <v>0</v>
      </c>
      <c r="V1676" s="26" t="n">
        <v>0</v>
      </c>
      <c r="W1676" s="22" t="s">
        <v>22</v>
      </c>
      <c r="X1676" s="22" t="s">
        <v>373</v>
      </c>
    </row>
    <row r="1677" customFormat="false" ht="15" hidden="false" customHeight="false" outlineLevel="0" collapsed="false">
      <c r="A1677" s="22" t="s">
        <v>6852</v>
      </c>
      <c r="B1677" s="22" t="s">
        <v>22</v>
      </c>
      <c r="C1677" s="22" t="s">
        <v>6853</v>
      </c>
      <c r="D1677" s="22" t="s">
        <v>6854</v>
      </c>
      <c r="E1677" s="22" t="s">
        <v>6855</v>
      </c>
      <c r="F1677" s="22" t="n">
        <v>14</v>
      </c>
      <c r="G1677" s="26" t="n">
        <v>116.39</v>
      </c>
      <c r="H1677" s="26" t="n">
        <v>126.41</v>
      </c>
      <c r="I1677" s="26" t="n">
        <v>146.44</v>
      </c>
      <c r="J1677" s="26" t="n">
        <v>156.46</v>
      </c>
      <c r="K1677" s="26" t="n">
        <v>171.48</v>
      </c>
      <c r="L1677" s="26" t="n">
        <v>2.19</v>
      </c>
      <c r="M1677" s="27" t="n">
        <v>0.005</v>
      </c>
      <c r="N1677" s="27" t="n">
        <v>0.002</v>
      </c>
      <c r="O1677" s="26" t="n">
        <v>5</v>
      </c>
      <c r="P1677" s="26" t="n">
        <v>5</v>
      </c>
      <c r="Q1677" s="28" t="n">
        <v>100</v>
      </c>
      <c r="R1677" s="26" t="n">
        <v>30</v>
      </c>
      <c r="S1677" s="26" t="n">
        <v>0</v>
      </c>
      <c r="T1677" s="28" t="n">
        <v>1</v>
      </c>
      <c r="U1677" s="26" t="n">
        <v>0</v>
      </c>
      <c r="V1677" s="26" t="n">
        <v>0</v>
      </c>
      <c r="W1677" s="22" t="s">
        <v>22</v>
      </c>
      <c r="X1677" s="22" t="s">
        <v>373</v>
      </c>
    </row>
    <row r="1678" customFormat="false" ht="15" hidden="false" customHeight="false" outlineLevel="0" collapsed="false">
      <c r="A1678" s="22" t="s">
        <v>6856</v>
      </c>
      <c r="B1678" s="22" t="s">
        <v>22</v>
      </c>
      <c r="C1678" s="22" t="s">
        <v>6857</v>
      </c>
      <c r="D1678" s="22" t="s">
        <v>6858</v>
      </c>
      <c r="E1678" s="22" t="s">
        <v>6859</v>
      </c>
      <c r="F1678" s="22" t="n">
        <v>14</v>
      </c>
      <c r="G1678" s="26" t="n">
        <v>116.39</v>
      </c>
      <c r="H1678" s="26" t="n">
        <v>126.41</v>
      </c>
      <c r="I1678" s="26" t="n">
        <v>146.44</v>
      </c>
      <c r="J1678" s="26" t="n">
        <v>156.46</v>
      </c>
      <c r="K1678" s="26" t="n">
        <v>171.48</v>
      </c>
      <c r="L1678" s="26" t="n">
        <v>2.19</v>
      </c>
      <c r="M1678" s="27" t="n">
        <v>0.005</v>
      </c>
      <c r="N1678" s="27" t="n">
        <v>0.002</v>
      </c>
      <c r="O1678" s="26" t="n">
        <v>5</v>
      </c>
      <c r="P1678" s="26" t="n">
        <v>5</v>
      </c>
      <c r="Q1678" s="28" t="n">
        <v>100</v>
      </c>
      <c r="R1678" s="26" t="n">
        <v>30</v>
      </c>
      <c r="S1678" s="26" t="n">
        <v>0</v>
      </c>
      <c r="T1678" s="28" t="n">
        <v>1</v>
      </c>
      <c r="U1678" s="26" t="n">
        <v>0</v>
      </c>
      <c r="V1678" s="26" t="n">
        <v>0</v>
      </c>
      <c r="W1678" s="22" t="s">
        <v>22</v>
      </c>
      <c r="X1678" s="22" t="s">
        <v>373</v>
      </c>
    </row>
    <row r="1679" customFormat="false" ht="15" hidden="false" customHeight="false" outlineLevel="0" collapsed="false">
      <c r="A1679" s="22" t="s">
        <v>6860</v>
      </c>
      <c r="B1679" s="22" t="s">
        <v>22</v>
      </c>
      <c r="C1679" s="22" t="s">
        <v>6861</v>
      </c>
      <c r="D1679" s="22" t="s">
        <v>6862</v>
      </c>
      <c r="E1679" s="22" t="s">
        <v>6863</v>
      </c>
      <c r="F1679" s="22" t="n">
        <v>14</v>
      </c>
      <c r="G1679" s="26" t="n">
        <v>116.39</v>
      </c>
      <c r="H1679" s="26" t="n">
        <v>126.41</v>
      </c>
      <c r="I1679" s="26" t="n">
        <v>146.44</v>
      </c>
      <c r="J1679" s="26" t="n">
        <v>156.46</v>
      </c>
      <c r="K1679" s="26" t="n">
        <v>171.48</v>
      </c>
      <c r="L1679" s="26" t="n">
        <v>2.19</v>
      </c>
      <c r="M1679" s="27" t="n">
        <v>0.005</v>
      </c>
      <c r="N1679" s="27" t="n">
        <v>0.002</v>
      </c>
      <c r="O1679" s="26" t="n">
        <v>5</v>
      </c>
      <c r="P1679" s="26" t="n">
        <v>5</v>
      </c>
      <c r="Q1679" s="28" t="n">
        <v>100</v>
      </c>
      <c r="R1679" s="26" t="n">
        <v>30</v>
      </c>
      <c r="S1679" s="26" t="n">
        <v>0</v>
      </c>
      <c r="T1679" s="28" t="n">
        <v>1</v>
      </c>
      <c r="U1679" s="26" t="n">
        <v>0</v>
      </c>
      <c r="V1679" s="26" t="n">
        <v>250</v>
      </c>
      <c r="W1679" s="22" t="s">
        <v>22</v>
      </c>
      <c r="X1679" s="22" t="s">
        <v>373</v>
      </c>
    </row>
    <row r="1680" customFormat="false" ht="15" hidden="false" customHeight="false" outlineLevel="0" collapsed="false">
      <c r="A1680" s="22" t="s">
        <v>6864</v>
      </c>
      <c r="B1680" s="22" t="s">
        <v>22</v>
      </c>
      <c r="C1680" s="22" t="s">
        <v>184</v>
      </c>
      <c r="D1680" s="22" t="s">
        <v>6865</v>
      </c>
      <c r="E1680" s="22" t="s">
        <v>6866</v>
      </c>
      <c r="F1680" s="22" t="n">
        <v>9</v>
      </c>
      <c r="G1680" s="26" t="n">
        <v>116.39</v>
      </c>
      <c r="H1680" s="26" t="n">
        <v>126.41</v>
      </c>
      <c r="I1680" s="26" t="n">
        <v>146.44</v>
      </c>
      <c r="J1680" s="26" t="n">
        <v>156.46</v>
      </c>
      <c r="K1680" s="26" t="n">
        <v>171.48</v>
      </c>
      <c r="L1680" s="26" t="n">
        <v>2.19</v>
      </c>
      <c r="M1680" s="27" t="n">
        <v>0.005</v>
      </c>
      <c r="N1680" s="27" t="n">
        <v>0.002</v>
      </c>
      <c r="O1680" s="26" t="n">
        <v>5</v>
      </c>
      <c r="P1680" s="26" t="n">
        <v>5</v>
      </c>
      <c r="Q1680" s="28" t="n">
        <v>100</v>
      </c>
      <c r="R1680" s="26" t="n">
        <v>30</v>
      </c>
      <c r="S1680" s="26" t="n">
        <v>0</v>
      </c>
      <c r="T1680" s="28" t="n">
        <v>1</v>
      </c>
      <c r="U1680" s="26" t="n">
        <v>0</v>
      </c>
      <c r="V1680" s="26" t="n">
        <v>0</v>
      </c>
      <c r="W1680" s="22" t="s">
        <v>22</v>
      </c>
      <c r="X1680" s="22" t="s">
        <v>373</v>
      </c>
    </row>
    <row r="1681" customFormat="false" ht="15" hidden="false" customHeight="false" outlineLevel="0" collapsed="false">
      <c r="A1681" s="22" t="s">
        <v>6867</v>
      </c>
      <c r="B1681" s="22" t="s">
        <v>22</v>
      </c>
      <c r="C1681" s="22" t="s">
        <v>4461</v>
      </c>
      <c r="D1681" s="22" t="s">
        <v>6868</v>
      </c>
      <c r="E1681" s="22" t="s">
        <v>6869</v>
      </c>
      <c r="F1681" s="22" t="n">
        <v>12</v>
      </c>
      <c r="G1681" s="26" t="n">
        <v>116.39</v>
      </c>
      <c r="H1681" s="26" t="n">
        <v>126.41</v>
      </c>
      <c r="I1681" s="26" t="n">
        <v>146.44</v>
      </c>
      <c r="J1681" s="26" t="n">
        <v>156.46</v>
      </c>
      <c r="K1681" s="26" t="n">
        <v>171.48</v>
      </c>
      <c r="L1681" s="26" t="n">
        <v>2.19</v>
      </c>
      <c r="M1681" s="27" t="n">
        <v>0.005</v>
      </c>
      <c r="N1681" s="27" t="n">
        <v>0.002</v>
      </c>
      <c r="O1681" s="26" t="n">
        <v>5</v>
      </c>
      <c r="P1681" s="26" t="n">
        <v>5</v>
      </c>
      <c r="Q1681" s="28" t="n">
        <v>100</v>
      </c>
      <c r="R1681" s="26" t="n">
        <v>30</v>
      </c>
      <c r="S1681" s="26" t="n">
        <v>0</v>
      </c>
      <c r="T1681" s="28" t="n">
        <v>1</v>
      </c>
      <c r="U1681" s="26" t="n">
        <v>0</v>
      </c>
      <c r="V1681" s="26" t="n">
        <v>0</v>
      </c>
      <c r="W1681" s="22" t="s">
        <v>22</v>
      </c>
      <c r="X1681" s="22" t="s">
        <v>373</v>
      </c>
    </row>
    <row r="1682" customFormat="false" ht="15" hidden="false" customHeight="false" outlineLevel="0" collapsed="false">
      <c r="A1682" s="22" t="s">
        <v>6870</v>
      </c>
      <c r="B1682" s="22" t="s">
        <v>22</v>
      </c>
      <c r="C1682" s="22" t="s">
        <v>6871</v>
      </c>
      <c r="D1682" s="22" t="s">
        <v>6872</v>
      </c>
      <c r="E1682" s="22" t="s">
        <v>6873</v>
      </c>
      <c r="F1682" s="22" t="n">
        <v>14</v>
      </c>
      <c r="G1682" s="26" t="n">
        <v>116.39</v>
      </c>
      <c r="H1682" s="26" t="n">
        <v>126.41</v>
      </c>
      <c r="I1682" s="26" t="n">
        <v>146.44</v>
      </c>
      <c r="J1682" s="26" t="n">
        <v>156.46</v>
      </c>
      <c r="K1682" s="26" t="n">
        <v>171.48</v>
      </c>
      <c r="L1682" s="26" t="n">
        <v>2.19</v>
      </c>
      <c r="M1682" s="27" t="n">
        <v>0.005</v>
      </c>
      <c r="N1682" s="27" t="n">
        <v>0.002</v>
      </c>
      <c r="O1682" s="26" t="n">
        <v>5</v>
      </c>
      <c r="P1682" s="26" t="n">
        <v>5</v>
      </c>
      <c r="Q1682" s="28" t="n">
        <v>100</v>
      </c>
      <c r="R1682" s="26" t="n">
        <v>30</v>
      </c>
      <c r="S1682" s="26" t="n">
        <v>0</v>
      </c>
      <c r="T1682" s="28" t="n">
        <v>1</v>
      </c>
      <c r="U1682" s="26" t="n">
        <v>0</v>
      </c>
      <c r="V1682" s="26" t="n">
        <v>0</v>
      </c>
      <c r="W1682" s="22" t="s">
        <v>22</v>
      </c>
      <c r="X1682" s="22" t="s">
        <v>373</v>
      </c>
    </row>
    <row r="1683" customFormat="false" ht="15" hidden="false" customHeight="false" outlineLevel="0" collapsed="false">
      <c r="A1683" s="22" t="s">
        <v>6874</v>
      </c>
      <c r="B1683" s="22" t="s">
        <v>22</v>
      </c>
      <c r="C1683" s="22" t="s">
        <v>6875</v>
      </c>
      <c r="D1683" s="22" t="s">
        <v>6876</v>
      </c>
      <c r="E1683" s="22" t="s">
        <v>6877</v>
      </c>
      <c r="F1683" s="22" t="n">
        <v>14</v>
      </c>
      <c r="G1683" s="26" t="n">
        <v>116.39</v>
      </c>
      <c r="H1683" s="26" t="n">
        <v>126.41</v>
      </c>
      <c r="I1683" s="26" t="n">
        <v>146.44</v>
      </c>
      <c r="J1683" s="26" t="n">
        <v>156.46</v>
      </c>
      <c r="K1683" s="26" t="n">
        <v>171.48</v>
      </c>
      <c r="L1683" s="26" t="n">
        <v>2.19</v>
      </c>
      <c r="M1683" s="27" t="n">
        <v>0.005</v>
      </c>
      <c r="N1683" s="27" t="n">
        <v>0.002</v>
      </c>
      <c r="O1683" s="26" t="n">
        <v>5</v>
      </c>
      <c r="P1683" s="26" t="n">
        <v>5</v>
      </c>
      <c r="Q1683" s="28" t="n">
        <v>100</v>
      </c>
      <c r="R1683" s="26" t="n">
        <v>30</v>
      </c>
      <c r="S1683" s="26" t="n">
        <v>0</v>
      </c>
      <c r="T1683" s="28" t="n">
        <v>1</v>
      </c>
      <c r="U1683" s="26" t="n">
        <v>0</v>
      </c>
      <c r="V1683" s="26" t="n">
        <v>0</v>
      </c>
      <c r="W1683" s="22" t="s">
        <v>22</v>
      </c>
      <c r="X1683" s="22" t="s">
        <v>373</v>
      </c>
    </row>
    <row r="1684" customFormat="false" ht="15" hidden="false" customHeight="false" outlineLevel="0" collapsed="false">
      <c r="A1684" s="22" t="s">
        <v>6878</v>
      </c>
      <c r="B1684" s="22" t="s">
        <v>22</v>
      </c>
      <c r="C1684" s="22" t="s">
        <v>4487</v>
      </c>
      <c r="D1684" s="22" t="s">
        <v>6879</v>
      </c>
      <c r="E1684" s="22" t="s">
        <v>6880</v>
      </c>
      <c r="F1684" s="22" t="n">
        <v>14</v>
      </c>
      <c r="G1684" s="26" t="n">
        <v>116.39</v>
      </c>
      <c r="H1684" s="26" t="n">
        <v>126.41</v>
      </c>
      <c r="I1684" s="26" t="n">
        <v>146.44</v>
      </c>
      <c r="J1684" s="26" t="n">
        <v>156.46</v>
      </c>
      <c r="K1684" s="26" t="n">
        <v>171.48</v>
      </c>
      <c r="L1684" s="26" t="n">
        <v>2.19</v>
      </c>
      <c r="M1684" s="27" t="n">
        <v>0.005</v>
      </c>
      <c r="N1684" s="27" t="n">
        <v>0.002</v>
      </c>
      <c r="O1684" s="26" t="n">
        <v>5</v>
      </c>
      <c r="P1684" s="26" t="n">
        <v>5</v>
      </c>
      <c r="Q1684" s="28" t="n">
        <v>100</v>
      </c>
      <c r="R1684" s="26" t="n">
        <v>30</v>
      </c>
      <c r="S1684" s="26" t="n">
        <v>0</v>
      </c>
      <c r="T1684" s="28" t="n">
        <v>1</v>
      </c>
      <c r="U1684" s="26" t="n">
        <v>0</v>
      </c>
      <c r="V1684" s="26" t="n">
        <v>0</v>
      </c>
      <c r="W1684" s="22" t="s">
        <v>22</v>
      </c>
      <c r="X1684" s="22" t="s">
        <v>373</v>
      </c>
    </row>
    <row r="1685" customFormat="false" ht="15" hidden="false" customHeight="false" outlineLevel="0" collapsed="false">
      <c r="A1685" s="22" t="s">
        <v>6881</v>
      </c>
      <c r="B1685" s="22" t="s">
        <v>22</v>
      </c>
      <c r="C1685" s="22" t="s">
        <v>6882</v>
      </c>
      <c r="D1685" s="22" t="s">
        <v>6883</v>
      </c>
      <c r="E1685" s="22" t="s">
        <v>6884</v>
      </c>
      <c r="F1685" s="22" t="n">
        <v>14</v>
      </c>
      <c r="G1685" s="26" t="n">
        <v>116.39</v>
      </c>
      <c r="H1685" s="26" t="n">
        <v>126.41</v>
      </c>
      <c r="I1685" s="26" t="n">
        <v>146.44</v>
      </c>
      <c r="J1685" s="26" t="n">
        <v>156.46</v>
      </c>
      <c r="K1685" s="26" t="n">
        <v>171.48</v>
      </c>
      <c r="L1685" s="26" t="n">
        <v>2.19</v>
      </c>
      <c r="M1685" s="27" t="n">
        <v>0.005</v>
      </c>
      <c r="N1685" s="27" t="n">
        <v>0.002</v>
      </c>
      <c r="O1685" s="26" t="n">
        <v>5</v>
      </c>
      <c r="P1685" s="26" t="n">
        <v>5</v>
      </c>
      <c r="Q1685" s="28" t="n">
        <v>100</v>
      </c>
      <c r="R1685" s="26" t="n">
        <v>30</v>
      </c>
      <c r="S1685" s="26" t="n">
        <v>0</v>
      </c>
      <c r="T1685" s="28" t="n">
        <v>1</v>
      </c>
      <c r="U1685" s="26" t="n">
        <v>0</v>
      </c>
      <c r="V1685" s="26" t="n">
        <v>0</v>
      </c>
      <c r="W1685" s="22" t="s">
        <v>22</v>
      </c>
      <c r="X1685" s="22" t="s">
        <v>373</v>
      </c>
    </row>
    <row r="1686" customFormat="false" ht="15" hidden="false" customHeight="false" outlineLevel="0" collapsed="false">
      <c r="A1686" s="22" t="s">
        <v>6885</v>
      </c>
      <c r="B1686" s="22" t="s">
        <v>22</v>
      </c>
      <c r="C1686" s="22" t="s">
        <v>6886</v>
      </c>
      <c r="D1686" s="22" t="s">
        <v>6887</v>
      </c>
      <c r="E1686" s="22" t="s">
        <v>6888</v>
      </c>
      <c r="F1686" s="22" t="n">
        <v>14</v>
      </c>
      <c r="G1686" s="26" t="n">
        <v>116.39</v>
      </c>
      <c r="H1686" s="26" t="n">
        <v>126.41</v>
      </c>
      <c r="I1686" s="26" t="n">
        <v>146.44</v>
      </c>
      <c r="J1686" s="26" t="n">
        <v>156.46</v>
      </c>
      <c r="K1686" s="26" t="n">
        <v>171.48</v>
      </c>
      <c r="L1686" s="26" t="n">
        <v>2.19</v>
      </c>
      <c r="M1686" s="27" t="n">
        <v>0.005</v>
      </c>
      <c r="N1686" s="27" t="n">
        <v>0.002</v>
      </c>
      <c r="O1686" s="26" t="n">
        <v>5</v>
      </c>
      <c r="P1686" s="26" t="n">
        <v>5</v>
      </c>
      <c r="Q1686" s="28" t="n">
        <v>100</v>
      </c>
      <c r="R1686" s="26" t="n">
        <v>30</v>
      </c>
      <c r="S1686" s="26" t="n">
        <v>0</v>
      </c>
      <c r="T1686" s="28" t="n">
        <v>1</v>
      </c>
      <c r="U1686" s="26" t="n">
        <v>0</v>
      </c>
      <c r="V1686" s="26" t="n">
        <v>0</v>
      </c>
      <c r="W1686" s="22" t="s">
        <v>22</v>
      </c>
      <c r="X1686" s="22" t="s">
        <v>373</v>
      </c>
    </row>
    <row r="1687" customFormat="false" ht="15" hidden="false" customHeight="false" outlineLevel="0" collapsed="false">
      <c r="A1687" s="22" t="s">
        <v>6889</v>
      </c>
      <c r="B1687" s="22" t="s">
        <v>22</v>
      </c>
      <c r="C1687" s="22" t="s">
        <v>6890</v>
      </c>
      <c r="D1687" s="22" t="s">
        <v>6891</v>
      </c>
      <c r="E1687" s="22" t="s">
        <v>6892</v>
      </c>
      <c r="F1687" s="22" t="n">
        <v>14</v>
      </c>
      <c r="G1687" s="26" t="n">
        <v>116.39</v>
      </c>
      <c r="H1687" s="26" t="n">
        <v>126.41</v>
      </c>
      <c r="I1687" s="26" t="n">
        <v>146.44</v>
      </c>
      <c r="J1687" s="26" t="n">
        <v>156.46</v>
      </c>
      <c r="K1687" s="26" t="n">
        <v>171.48</v>
      </c>
      <c r="L1687" s="26" t="n">
        <v>2.19</v>
      </c>
      <c r="M1687" s="27" t="n">
        <v>0.005</v>
      </c>
      <c r="N1687" s="27" t="n">
        <v>0.002</v>
      </c>
      <c r="O1687" s="26" t="n">
        <v>5</v>
      </c>
      <c r="P1687" s="26" t="n">
        <v>5</v>
      </c>
      <c r="Q1687" s="28" t="n">
        <v>100</v>
      </c>
      <c r="R1687" s="26" t="n">
        <v>30</v>
      </c>
      <c r="S1687" s="26" t="n">
        <v>0</v>
      </c>
      <c r="T1687" s="28" t="n">
        <v>1</v>
      </c>
      <c r="U1687" s="26" t="n">
        <v>0</v>
      </c>
      <c r="V1687" s="26" t="n">
        <v>0</v>
      </c>
      <c r="W1687" s="22" t="s">
        <v>22</v>
      </c>
      <c r="X1687" s="22" t="s">
        <v>373</v>
      </c>
    </row>
    <row r="1688" customFormat="false" ht="15" hidden="false" customHeight="false" outlineLevel="0" collapsed="false">
      <c r="A1688" s="22" t="s">
        <v>6893</v>
      </c>
      <c r="B1688" s="22" t="s">
        <v>22</v>
      </c>
      <c r="C1688" s="22" t="s">
        <v>6894</v>
      </c>
      <c r="D1688" s="22" t="s">
        <v>6895</v>
      </c>
      <c r="E1688" s="22" t="s">
        <v>6896</v>
      </c>
      <c r="F1688" s="22" t="n">
        <v>14</v>
      </c>
      <c r="G1688" s="26" t="n">
        <v>116.39</v>
      </c>
      <c r="H1688" s="26" t="n">
        <v>126.41</v>
      </c>
      <c r="I1688" s="26" t="n">
        <v>146.44</v>
      </c>
      <c r="J1688" s="26" t="n">
        <v>156.46</v>
      </c>
      <c r="K1688" s="26" t="n">
        <v>171.48</v>
      </c>
      <c r="L1688" s="26" t="n">
        <v>2.19</v>
      </c>
      <c r="M1688" s="27" t="n">
        <v>0.005</v>
      </c>
      <c r="N1688" s="27" t="n">
        <v>0.002</v>
      </c>
      <c r="O1688" s="26" t="n">
        <v>5</v>
      </c>
      <c r="P1688" s="26" t="n">
        <v>5</v>
      </c>
      <c r="Q1688" s="28" t="n">
        <v>100</v>
      </c>
      <c r="R1688" s="26" t="n">
        <v>30</v>
      </c>
      <c r="S1688" s="26" t="n">
        <v>0</v>
      </c>
      <c r="T1688" s="28" t="n">
        <v>1</v>
      </c>
      <c r="U1688" s="26" t="n">
        <v>0</v>
      </c>
      <c r="V1688" s="26" t="n">
        <v>0</v>
      </c>
      <c r="W1688" s="22" t="s">
        <v>22</v>
      </c>
      <c r="X1688" s="22" t="s">
        <v>373</v>
      </c>
    </row>
    <row r="1689" customFormat="false" ht="15" hidden="false" customHeight="false" outlineLevel="0" collapsed="false">
      <c r="A1689" s="22" t="s">
        <v>6897</v>
      </c>
      <c r="B1689" s="22" t="s">
        <v>22</v>
      </c>
      <c r="C1689" s="22" t="s">
        <v>1936</v>
      </c>
      <c r="D1689" s="22" t="s">
        <v>6898</v>
      </c>
      <c r="E1689" s="22" t="s">
        <v>6899</v>
      </c>
      <c r="F1689" s="22" t="n">
        <v>14</v>
      </c>
      <c r="G1689" s="26" t="n">
        <v>116.39</v>
      </c>
      <c r="H1689" s="26" t="n">
        <v>126.41</v>
      </c>
      <c r="I1689" s="26" t="n">
        <v>146.44</v>
      </c>
      <c r="J1689" s="26" t="n">
        <v>156.46</v>
      </c>
      <c r="K1689" s="26" t="n">
        <v>171.48</v>
      </c>
      <c r="L1689" s="26" t="n">
        <v>2.19</v>
      </c>
      <c r="M1689" s="27" t="n">
        <v>0.005</v>
      </c>
      <c r="N1689" s="27" t="n">
        <v>0.002</v>
      </c>
      <c r="O1689" s="26" t="n">
        <v>5</v>
      </c>
      <c r="P1689" s="26" t="n">
        <v>5</v>
      </c>
      <c r="Q1689" s="28" t="n">
        <v>100</v>
      </c>
      <c r="R1689" s="26" t="n">
        <v>30</v>
      </c>
      <c r="S1689" s="26" t="n">
        <v>0</v>
      </c>
      <c r="T1689" s="28" t="n">
        <v>1</v>
      </c>
      <c r="U1689" s="26" t="n">
        <v>0</v>
      </c>
      <c r="V1689" s="26" t="n">
        <v>0</v>
      </c>
      <c r="W1689" s="22" t="s">
        <v>22</v>
      </c>
      <c r="X1689" s="22" t="s">
        <v>373</v>
      </c>
    </row>
    <row r="1690" customFormat="false" ht="15" hidden="false" customHeight="false" outlineLevel="0" collapsed="false">
      <c r="A1690" s="22" t="s">
        <v>6900</v>
      </c>
      <c r="B1690" s="22" t="s">
        <v>22</v>
      </c>
      <c r="C1690" s="22" t="s">
        <v>6901</v>
      </c>
      <c r="D1690" s="22" t="s">
        <v>6902</v>
      </c>
      <c r="E1690" s="22" t="s">
        <v>6903</v>
      </c>
      <c r="F1690" s="22" t="n">
        <v>14</v>
      </c>
      <c r="G1690" s="26" t="n">
        <v>116.39</v>
      </c>
      <c r="H1690" s="26" t="n">
        <v>126.41</v>
      </c>
      <c r="I1690" s="26" t="n">
        <v>146.44</v>
      </c>
      <c r="J1690" s="26" t="n">
        <v>156.46</v>
      </c>
      <c r="K1690" s="26" t="n">
        <v>171.48</v>
      </c>
      <c r="L1690" s="26" t="n">
        <v>2.19</v>
      </c>
      <c r="M1690" s="27" t="n">
        <v>0.005</v>
      </c>
      <c r="N1690" s="27" t="n">
        <v>0.002</v>
      </c>
      <c r="O1690" s="26" t="n">
        <v>5</v>
      </c>
      <c r="P1690" s="26" t="n">
        <v>5</v>
      </c>
      <c r="Q1690" s="28" t="n">
        <v>100</v>
      </c>
      <c r="R1690" s="26" t="n">
        <v>30</v>
      </c>
      <c r="S1690" s="26" t="n">
        <v>0</v>
      </c>
      <c r="T1690" s="28" t="n">
        <v>1</v>
      </c>
      <c r="U1690" s="26" t="n">
        <v>0</v>
      </c>
      <c r="V1690" s="26" t="n">
        <v>0</v>
      </c>
      <c r="W1690" s="22" t="s">
        <v>22</v>
      </c>
      <c r="X1690" s="22" t="s">
        <v>373</v>
      </c>
    </row>
    <row r="1691" customFormat="false" ht="15" hidden="false" customHeight="false" outlineLevel="0" collapsed="false">
      <c r="A1691" s="22" t="s">
        <v>6904</v>
      </c>
      <c r="B1691" s="22" t="s">
        <v>22</v>
      </c>
      <c r="C1691" s="22" t="s">
        <v>1952</v>
      </c>
      <c r="D1691" s="22" t="s">
        <v>6905</v>
      </c>
      <c r="E1691" s="22" t="s">
        <v>6906</v>
      </c>
      <c r="F1691" s="22" t="n">
        <v>12</v>
      </c>
      <c r="G1691" s="26" t="n">
        <v>116.39</v>
      </c>
      <c r="H1691" s="26" t="n">
        <v>126.41</v>
      </c>
      <c r="I1691" s="26" t="n">
        <v>146.44</v>
      </c>
      <c r="J1691" s="26" t="n">
        <v>156.46</v>
      </c>
      <c r="K1691" s="26" t="n">
        <v>171.48</v>
      </c>
      <c r="L1691" s="26" t="n">
        <v>2.19</v>
      </c>
      <c r="M1691" s="27" t="n">
        <v>0.005</v>
      </c>
      <c r="N1691" s="27" t="n">
        <v>0.002</v>
      </c>
      <c r="O1691" s="26" t="n">
        <v>5</v>
      </c>
      <c r="P1691" s="26" t="n">
        <v>5</v>
      </c>
      <c r="Q1691" s="28" t="n">
        <v>100</v>
      </c>
      <c r="R1691" s="26" t="n">
        <v>30</v>
      </c>
      <c r="S1691" s="26" t="n">
        <v>0</v>
      </c>
      <c r="T1691" s="28" t="n">
        <v>1</v>
      </c>
      <c r="U1691" s="26" t="n">
        <v>0</v>
      </c>
      <c r="V1691" s="26" t="n">
        <v>250</v>
      </c>
      <c r="W1691" s="22" t="s">
        <v>22</v>
      </c>
      <c r="X1691" s="22" t="s">
        <v>373</v>
      </c>
    </row>
    <row r="1692" customFormat="false" ht="15" hidden="false" customHeight="false" outlineLevel="0" collapsed="false">
      <c r="A1692" s="22" t="s">
        <v>6907</v>
      </c>
      <c r="B1692" s="22" t="s">
        <v>22</v>
      </c>
      <c r="C1692" s="22" t="s">
        <v>4577</v>
      </c>
      <c r="D1692" s="22" t="s">
        <v>6908</v>
      </c>
      <c r="E1692" s="22" t="s">
        <v>6909</v>
      </c>
      <c r="F1692" s="22" t="n">
        <v>14</v>
      </c>
      <c r="G1692" s="26" t="n">
        <v>116.39</v>
      </c>
      <c r="H1692" s="26" t="n">
        <v>126.41</v>
      </c>
      <c r="I1692" s="26" t="n">
        <v>146.44</v>
      </c>
      <c r="J1692" s="26" t="n">
        <v>156.46</v>
      </c>
      <c r="K1692" s="26" t="n">
        <v>171.48</v>
      </c>
      <c r="L1692" s="26" t="n">
        <v>2.19</v>
      </c>
      <c r="M1692" s="27" t="n">
        <v>0.005</v>
      </c>
      <c r="N1692" s="27" t="n">
        <v>0.002</v>
      </c>
      <c r="O1692" s="26" t="n">
        <v>5</v>
      </c>
      <c r="P1692" s="26" t="n">
        <v>5</v>
      </c>
      <c r="Q1692" s="28" t="n">
        <v>100</v>
      </c>
      <c r="R1692" s="26" t="n">
        <v>30</v>
      </c>
      <c r="S1692" s="26" t="n">
        <v>0</v>
      </c>
      <c r="T1692" s="28" t="n">
        <v>1</v>
      </c>
      <c r="U1692" s="26" t="n">
        <v>0</v>
      </c>
      <c r="V1692" s="26" t="n">
        <v>0</v>
      </c>
      <c r="W1692" s="22" t="s">
        <v>22</v>
      </c>
      <c r="X1692" s="22" t="s">
        <v>373</v>
      </c>
    </row>
    <row r="1693" customFormat="false" ht="15" hidden="false" customHeight="false" outlineLevel="0" collapsed="false">
      <c r="A1693" s="22" t="s">
        <v>6910</v>
      </c>
      <c r="B1693" s="22" t="s">
        <v>22</v>
      </c>
      <c r="C1693" s="22" t="s">
        <v>6911</v>
      </c>
      <c r="D1693" s="22" t="s">
        <v>6912</v>
      </c>
      <c r="E1693" s="22" t="s">
        <v>6913</v>
      </c>
      <c r="F1693" s="22" t="n">
        <v>14</v>
      </c>
      <c r="G1693" s="26" t="n">
        <v>116.39</v>
      </c>
      <c r="H1693" s="26" t="n">
        <v>126.41</v>
      </c>
      <c r="I1693" s="26" t="n">
        <v>146.44</v>
      </c>
      <c r="J1693" s="26" t="n">
        <v>156.46</v>
      </c>
      <c r="K1693" s="26" t="n">
        <v>171.48</v>
      </c>
      <c r="L1693" s="26" t="n">
        <v>2.19</v>
      </c>
      <c r="M1693" s="27" t="n">
        <v>0.005</v>
      </c>
      <c r="N1693" s="27" t="n">
        <v>0.002</v>
      </c>
      <c r="O1693" s="26" t="n">
        <v>5</v>
      </c>
      <c r="P1693" s="26" t="n">
        <v>5</v>
      </c>
      <c r="Q1693" s="28" t="n">
        <v>100</v>
      </c>
      <c r="R1693" s="26" t="n">
        <v>30</v>
      </c>
      <c r="S1693" s="26" t="n">
        <v>0</v>
      </c>
      <c r="T1693" s="28" t="n">
        <v>1</v>
      </c>
      <c r="U1693" s="26" t="n">
        <v>0</v>
      </c>
      <c r="V1693" s="26" t="n">
        <v>0</v>
      </c>
      <c r="W1693" s="22" t="s">
        <v>22</v>
      </c>
      <c r="X1693" s="22" t="s">
        <v>373</v>
      </c>
    </row>
    <row r="1694" customFormat="false" ht="15" hidden="false" customHeight="false" outlineLevel="0" collapsed="false">
      <c r="A1694" s="22" t="s">
        <v>6914</v>
      </c>
      <c r="B1694" s="22" t="s">
        <v>22</v>
      </c>
      <c r="C1694" s="22" t="s">
        <v>6915</v>
      </c>
      <c r="D1694" s="22" t="s">
        <v>6916</v>
      </c>
      <c r="E1694" s="22" t="s">
        <v>6917</v>
      </c>
      <c r="F1694" s="22" t="n">
        <v>14</v>
      </c>
      <c r="G1694" s="26" t="n">
        <v>116.39</v>
      </c>
      <c r="H1694" s="26" t="n">
        <v>126.41</v>
      </c>
      <c r="I1694" s="26" t="n">
        <v>146.44</v>
      </c>
      <c r="J1694" s="26" t="n">
        <v>156.46</v>
      </c>
      <c r="K1694" s="26" t="n">
        <v>171.48</v>
      </c>
      <c r="L1694" s="26" t="n">
        <v>2.19</v>
      </c>
      <c r="M1694" s="27" t="n">
        <v>0.005</v>
      </c>
      <c r="N1694" s="27" t="n">
        <v>0.002</v>
      </c>
      <c r="O1694" s="26" t="n">
        <v>5</v>
      </c>
      <c r="P1694" s="26" t="n">
        <v>5</v>
      </c>
      <c r="Q1694" s="28" t="n">
        <v>100</v>
      </c>
      <c r="R1694" s="26" t="n">
        <v>30</v>
      </c>
      <c r="S1694" s="26" t="n">
        <v>0</v>
      </c>
      <c r="T1694" s="28" t="n">
        <v>1</v>
      </c>
      <c r="U1694" s="26" t="n">
        <v>0</v>
      </c>
      <c r="V1694" s="26" t="n">
        <v>250</v>
      </c>
      <c r="W1694" s="22" t="s">
        <v>22</v>
      </c>
      <c r="X1694" s="22" t="s">
        <v>373</v>
      </c>
    </row>
    <row r="1695" customFormat="false" ht="15" hidden="false" customHeight="false" outlineLevel="0" collapsed="false">
      <c r="A1695" s="22" t="s">
        <v>6918</v>
      </c>
      <c r="B1695" s="22" t="s">
        <v>22</v>
      </c>
      <c r="C1695" s="22" t="s">
        <v>6919</v>
      </c>
      <c r="D1695" s="22" t="s">
        <v>6920</v>
      </c>
      <c r="E1695" s="22" t="s">
        <v>6921</v>
      </c>
      <c r="F1695" s="22" t="n">
        <v>14</v>
      </c>
      <c r="G1695" s="26" t="n">
        <v>116.39</v>
      </c>
      <c r="H1695" s="26" t="n">
        <v>126.41</v>
      </c>
      <c r="I1695" s="26" t="n">
        <v>146.44</v>
      </c>
      <c r="J1695" s="26" t="n">
        <v>156.46</v>
      </c>
      <c r="K1695" s="26" t="n">
        <v>171.48</v>
      </c>
      <c r="L1695" s="26" t="n">
        <v>2.19</v>
      </c>
      <c r="M1695" s="27" t="n">
        <v>0.005</v>
      </c>
      <c r="N1695" s="27" t="n">
        <v>0.002</v>
      </c>
      <c r="O1695" s="26" t="n">
        <v>5</v>
      </c>
      <c r="P1695" s="26" t="n">
        <v>5</v>
      </c>
      <c r="Q1695" s="28" t="n">
        <v>100</v>
      </c>
      <c r="R1695" s="26" t="n">
        <v>30</v>
      </c>
      <c r="S1695" s="26" t="n">
        <v>0</v>
      </c>
      <c r="T1695" s="28" t="n">
        <v>1</v>
      </c>
      <c r="U1695" s="26" t="n">
        <v>0</v>
      </c>
      <c r="V1695" s="26" t="n">
        <v>250</v>
      </c>
      <c r="W1695" s="22" t="s">
        <v>22</v>
      </c>
      <c r="X1695" s="22" t="s">
        <v>373</v>
      </c>
    </row>
    <row r="1696" customFormat="false" ht="15" hidden="false" customHeight="false" outlineLevel="0" collapsed="false">
      <c r="A1696" s="22" t="s">
        <v>6922</v>
      </c>
      <c r="B1696" s="22" t="s">
        <v>22</v>
      </c>
      <c r="C1696" s="22" t="s">
        <v>6923</v>
      </c>
      <c r="D1696" s="22" t="s">
        <v>6924</v>
      </c>
      <c r="E1696" s="22" t="s">
        <v>6925</v>
      </c>
      <c r="F1696" s="22" t="n">
        <v>14</v>
      </c>
      <c r="G1696" s="26" t="n">
        <v>116.39</v>
      </c>
      <c r="H1696" s="26" t="n">
        <v>126.41</v>
      </c>
      <c r="I1696" s="26" t="n">
        <v>146.44</v>
      </c>
      <c r="J1696" s="26" t="n">
        <v>156.46</v>
      </c>
      <c r="K1696" s="26" t="n">
        <v>171.48</v>
      </c>
      <c r="L1696" s="26" t="n">
        <v>2.19</v>
      </c>
      <c r="M1696" s="27" t="n">
        <v>0.005</v>
      </c>
      <c r="N1696" s="27" t="n">
        <v>0.002</v>
      </c>
      <c r="O1696" s="26" t="n">
        <v>5</v>
      </c>
      <c r="P1696" s="26" t="n">
        <v>5</v>
      </c>
      <c r="Q1696" s="28" t="n">
        <v>100</v>
      </c>
      <c r="R1696" s="26" t="n">
        <v>30</v>
      </c>
      <c r="S1696" s="26" t="n">
        <v>0</v>
      </c>
      <c r="T1696" s="28" t="n">
        <v>1</v>
      </c>
      <c r="U1696" s="26" t="n">
        <v>0</v>
      </c>
      <c r="V1696" s="26" t="n">
        <v>0</v>
      </c>
      <c r="W1696" s="22" t="s">
        <v>22</v>
      </c>
      <c r="X1696" s="22" t="s">
        <v>373</v>
      </c>
    </row>
    <row r="1697" customFormat="false" ht="15" hidden="false" customHeight="false" outlineLevel="0" collapsed="false">
      <c r="A1697" s="22" t="s">
        <v>6926</v>
      </c>
      <c r="B1697" s="22" t="s">
        <v>22</v>
      </c>
      <c r="C1697" s="22" t="s">
        <v>6927</v>
      </c>
      <c r="D1697" s="22" t="s">
        <v>6928</v>
      </c>
      <c r="E1697" s="22" t="s">
        <v>6929</v>
      </c>
      <c r="F1697" s="22" t="n">
        <v>14</v>
      </c>
      <c r="G1697" s="26" t="n">
        <v>116.39</v>
      </c>
      <c r="H1697" s="26" t="n">
        <v>126.41</v>
      </c>
      <c r="I1697" s="26" t="n">
        <v>146.44</v>
      </c>
      <c r="J1697" s="26" t="n">
        <v>156.46</v>
      </c>
      <c r="K1697" s="26" t="n">
        <v>171.48</v>
      </c>
      <c r="L1697" s="26" t="n">
        <v>2.19</v>
      </c>
      <c r="M1697" s="27" t="n">
        <v>0.005</v>
      </c>
      <c r="N1697" s="27" t="n">
        <v>0.002</v>
      </c>
      <c r="O1697" s="26" t="n">
        <v>5</v>
      </c>
      <c r="P1697" s="26" t="n">
        <v>5</v>
      </c>
      <c r="Q1697" s="28" t="n">
        <v>100</v>
      </c>
      <c r="R1697" s="26" t="n">
        <v>30</v>
      </c>
      <c r="S1697" s="26" t="n">
        <v>0</v>
      </c>
      <c r="T1697" s="28" t="n">
        <v>1</v>
      </c>
      <c r="U1697" s="26" t="n">
        <v>0</v>
      </c>
      <c r="V1697" s="26" t="n">
        <v>0</v>
      </c>
      <c r="W1697" s="22" t="s">
        <v>22</v>
      </c>
      <c r="X1697" s="22" t="s">
        <v>373</v>
      </c>
    </row>
    <row r="1698" customFormat="false" ht="15" hidden="false" customHeight="false" outlineLevel="0" collapsed="false">
      <c r="A1698" s="22" t="s">
        <v>6930</v>
      </c>
      <c r="B1698" s="22" t="s">
        <v>22</v>
      </c>
      <c r="C1698" s="22" t="s">
        <v>6931</v>
      </c>
      <c r="D1698" s="22" t="s">
        <v>6932</v>
      </c>
      <c r="E1698" s="22" t="s">
        <v>6933</v>
      </c>
      <c r="F1698" s="22" t="n">
        <v>14</v>
      </c>
      <c r="G1698" s="26" t="n">
        <v>116.39</v>
      </c>
      <c r="H1698" s="26" t="n">
        <v>126.41</v>
      </c>
      <c r="I1698" s="26" t="n">
        <v>146.44</v>
      </c>
      <c r="J1698" s="26" t="n">
        <v>156.46</v>
      </c>
      <c r="K1698" s="26" t="n">
        <v>171.48</v>
      </c>
      <c r="L1698" s="26" t="n">
        <v>2.19</v>
      </c>
      <c r="M1698" s="27" t="n">
        <v>0.005</v>
      </c>
      <c r="N1698" s="27" t="n">
        <v>0.002</v>
      </c>
      <c r="O1698" s="26" t="n">
        <v>5</v>
      </c>
      <c r="P1698" s="26" t="n">
        <v>5</v>
      </c>
      <c r="Q1698" s="28" t="n">
        <v>100</v>
      </c>
      <c r="R1698" s="26" t="n">
        <v>30</v>
      </c>
      <c r="S1698" s="26" t="n">
        <v>0</v>
      </c>
      <c r="T1698" s="28" t="n">
        <v>1</v>
      </c>
      <c r="U1698" s="26" t="n">
        <v>0</v>
      </c>
      <c r="V1698" s="26" t="n">
        <v>0</v>
      </c>
      <c r="W1698" s="22" t="s">
        <v>22</v>
      </c>
      <c r="X1698" s="22" t="s">
        <v>373</v>
      </c>
    </row>
    <row r="1699" customFormat="false" ht="15" hidden="false" customHeight="false" outlineLevel="0" collapsed="false">
      <c r="A1699" s="22" t="s">
        <v>6934</v>
      </c>
      <c r="B1699" s="22" t="s">
        <v>22</v>
      </c>
      <c r="C1699" s="22" t="s">
        <v>6935</v>
      </c>
      <c r="D1699" s="22" t="s">
        <v>6936</v>
      </c>
      <c r="E1699" s="22" t="s">
        <v>6937</v>
      </c>
      <c r="F1699" s="22" t="n">
        <v>14</v>
      </c>
      <c r="G1699" s="26" t="n">
        <v>116.39</v>
      </c>
      <c r="H1699" s="26" t="n">
        <v>126.41</v>
      </c>
      <c r="I1699" s="26" t="n">
        <v>146.44</v>
      </c>
      <c r="J1699" s="26" t="n">
        <v>156.46</v>
      </c>
      <c r="K1699" s="26" t="n">
        <v>171.48</v>
      </c>
      <c r="L1699" s="26" t="n">
        <v>2.19</v>
      </c>
      <c r="M1699" s="27" t="n">
        <v>0.005</v>
      </c>
      <c r="N1699" s="27" t="n">
        <v>0.002</v>
      </c>
      <c r="O1699" s="26" t="n">
        <v>5</v>
      </c>
      <c r="P1699" s="26" t="n">
        <v>5</v>
      </c>
      <c r="Q1699" s="28" t="n">
        <v>100</v>
      </c>
      <c r="R1699" s="26" t="n">
        <v>30</v>
      </c>
      <c r="S1699" s="26" t="n">
        <v>0</v>
      </c>
      <c r="T1699" s="28" t="n">
        <v>1</v>
      </c>
      <c r="U1699" s="26" t="n">
        <v>0</v>
      </c>
      <c r="V1699" s="26" t="n">
        <v>0</v>
      </c>
      <c r="W1699" s="22" t="s">
        <v>22</v>
      </c>
      <c r="X1699" s="22" t="s">
        <v>373</v>
      </c>
    </row>
    <row r="1700" customFormat="false" ht="15" hidden="false" customHeight="false" outlineLevel="0" collapsed="false">
      <c r="A1700" s="22" t="s">
        <v>6938</v>
      </c>
      <c r="B1700" s="22" t="s">
        <v>22</v>
      </c>
      <c r="C1700" s="22" t="s">
        <v>6939</v>
      </c>
      <c r="D1700" s="22" t="s">
        <v>6940</v>
      </c>
      <c r="E1700" s="22" t="s">
        <v>6941</v>
      </c>
      <c r="F1700" s="22" t="n">
        <v>14</v>
      </c>
      <c r="G1700" s="26" t="n">
        <v>116.39</v>
      </c>
      <c r="H1700" s="26" t="n">
        <v>126.41</v>
      </c>
      <c r="I1700" s="26" t="n">
        <v>146.44</v>
      </c>
      <c r="J1700" s="26" t="n">
        <v>156.46</v>
      </c>
      <c r="K1700" s="26" t="n">
        <v>171.48</v>
      </c>
      <c r="L1700" s="26" t="n">
        <v>2.19</v>
      </c>
      <c r="M1700" s="27" t="n">
        <v>0.005</v>
      </c>
      <c r="N1700" s="27" t="n">
        <v>0.002</v>
      </c>
      <c r="O1700" s="26" t="n">
        <v>5</v>
      </c>
      <c r="P1700" s="26" t="n">
        <v>5</v>
      </c>
      <c r="Q1700" s="28" t="n">
        <v>100</v>
      </c>
      <c r="R1700" s="26" t="n">
        <v>30</v>
      </c>
      <c r="S1700" s="26" t="n">
        <v>0</v>
      </c>
      <c r="T1700" s="28" t="n">
        <v>1</v>
      </c>
      <c r="U1700" s="26" t="n">
        <v>0</v>
      </c>
      <c r="V1700" s="26" t="n">
        <v>0</v>
      </c>
      <c r="W1700" s="22" t="s">
        <v>22</v>
      </c>
      <c r="X1700" s="22" t="s">
        <v>373</v>
      </c>
    </row>
    <row r="1701" customFormat="false" ht="15" hidden="false" customHeight="false" outlineLevel="0" collapsed="false">
      <c r="A1701" s="22" t="s">
        <v>6942</v>
      </c>
      <c r="B1701" s="22" t="s">
        <v>22</v>
      </c>
      <c r="C1701" s="22" t="s">
        <v>6943</v>
      </c>
      <c r="D1701" s="22" t="s">
        <v>6944</v>
      </c>
      <c r="E1701" s="22" t="s">
        <v>6945</v>
      </c>
      <c r="F1701" s="22" t="n">
        <v>14</v>
      </c>
      <c r="G1701" s="26" t="n">
        <v>116.39</v>
      </c>
      <c r="H1701" s="26" t="n">
        <v>126.41</v>
      </c>
      <c r="I1701" s="26" t="n">
        <v>146.44</v>
      </c>
      <c r="J1701" s="26" t="n">
        <v>156.46</v>
      </c>
      <c r="K1701" s="26" t="n">
        <v>171.48</v>
      </c>
      <c r="L1701" s="26" t="n">
        <v>2.19</v>
      </c>
      <c r="M1701" s="27" t="n">
        <v>0.005</v>
      </c>
      <c r="N1701" s="27" t="n">
        <v>0.002</v>
      </c>
      <c r="O1701" s="26" t="n">
        <v>5</v>
      </c>
      <c r="P1701" s="26" t="n">
        <v>5</v>
      </c>
      <c r="Q1701" s="28" t="n">
        <v>100</v>
      </c>
      <c r="R1701" s="26" t="n">
        <v>30</v>
      </c>
      <c r="S1701" s="26" t="n">
        <v>0</v>
      </c>
      <c r="T1701" s="28" t="n">
        <v>1</v>
      </c>
      <c r="U1701" s="26" t="n">
        <v>0</v>
      </c>
      <c r="V1701" s="26" t="n">
        <v>0</v>
      </c>
      <c r="W1701" s="22" t="s">
        <v>22</v>
      </c>
      <c r="X1701" s="22" t="s">
        <v>373</v>
      </c>
    </row>
    <row r="1702" customFormat="false" ht="15" hidden="false" customHeight="false" outlineLevel="0" collapsed="false">
      <c r="A1702" s="22" t="s">
        <v>6946</v>
      </c>
      <c r="B1702" s="22" t="s">
        <v>22</v>
      </c>
      <c r="C1702" s="22" t="s">
        <v>6947</v>
      </c>
      <c r="D1702" s="22" t="s">
        <v>6948</v>
      </c>
      <c r="E1702" s="22" t="s">
        <v>6949</v>
      </c>
      <c r="F1702" s="22" t="n">
        <v>14</v>
      </c>
      <c r="G1702" s="26" t="n">
        <v>116.39</v>
      </c>
      <c r="H1702" s="26" t="n">
        <v>126.41</v>
      </c>
      <c r="I1702" s="26" t="n">
        <v>146.44</v>
      </c>
      <c r="J1702" s="26" t="n">
        <v>156.46</v>
      </c>
      <c r="K1702" s="26" t="n">
        <v>171.48</v>
      </c>
      <c r="L1702" s="26" t="n">
        <v>2.19</v>
      </c>
      <c r="M1702" s="27" t="n">
        <v>0.005</v>
      </c>
      <c r="N1702" s="27" t="n">
        <v>0.002</v>
      </c>
      <c r="O1702" s="26" t="n">
        <v>5</v>
      </c>
      <c r="P1702" s="26" t="n">
        <v>5</v>
      </c>
      <c r="Q1702" s="28" t="n">
        <v>100</v>
      </c>
      <c r="R1702" s="26" t="n">
        <v>30</v>
      </c>
      <c r="S1702" s="26" t="n">
        <v>0</v>
      </c>
      <c r="T1702" s="28" t="n">
        <v>1</v>
      </c>
      <c r="U1702" s="26" t="n">
        <v>0</v>
      </c>
      <c r="V1702" s="26" t="n">
        <v>250</v>
      </c>
      <c r="W1702" s="22" t="s">
        <v>22</v>
      </c>
      <c r="X1702" s="22" t="s">
        <v>373</v>
      </c>
    </row>
    <row r="1703" customFormat="false" ht="15" hidden="false" customHeight="false" outlineLevel="0" collapsed="false">
      <c r="A1703" s="22" t="s">
        <v>6950</v>
      </c>
      <c r="B1703" s="22" t="s">
        <v>22</v>
      </c>
      <c r="C1703" s="22" t="s">
        <v>6951</v>
      </c>
      <c r="D1703" s="22" t="s">
        <v>6952</v>
      </c>
      <c r="E1703" s="22" t="s">
        <v>6953</v>
      </c>
      <c r="F1703" s="22" t="n">
        <v>14</v>
      </c>
      <c r="G1703" s="26" t="n">
        <v>116.39</v>
      </c>
      <c r="H1703" s="26" t="n">
        <v>126.41</v>
      </c>
      <c r="I1703" s="26" t="n">
        <v>146.44</v>
      </c>
      <c r="J1703" s="26" t="n">
        <v>156.46</v>
      </c>
      <c r="K1703" s="26" t="n">
        <v>171.48</v>
      </c>
      <c r="L1703" s="26" t="n">
        <v>2.19</v>
      </c>
      <c r="M1703" s="27" t="n">
        <v>0.005</v>
      </c>
      <c r="N1703" s="27" t="n">
        <v>0.002</v>
      </c>
      <c r="O1703" s="26" t="n">
        <v>5</v>
      </c>
      <c r="P1703" s="26" t="n">
        <v>5</v>
      </c>
      <c r="Q1703" s="28" t="n">
        <v>100</v>
      </c>
      <c r="R1703" s="26" t="n">
        <v>30</v>
      </c>
      <c r="S1703" s="26" t="n">
        <v>0</v>
      </c>
      <c r="T1703" s="28" t="n">
        <v>1</v>
      </c>
      <c r="U1703" s="26" t="n">
        <v>0</v>
      </c>
      <c r="V1703" s="26" t="n">
        <v>0</v>
      </c>
      <c r="W1703" s="22" t="s">
        <v>22</v>
      </c>
      <c r="X1703" s="22" t="s">
        <v>373</v>
      </c>
    </row>
    <row r="1704" customFormat="false" ht="15" hidden="false" customHeight="false" outlineLevel="0" collapsed="false">
      <c r="A1704" s="22" t="s">
        <v>6954</v>
      </c>
      <c r="B1704" s="22" t="s">
        <v>22</v>
      </c>
      <c r="C1704" s="22" t="s">
        <v>6955</v>
      </c>
      <c r="D1704" s="22" t="s">
        <v>6956</v>
      </c>
      <c r="E1704" s="22" t="s">
        <v>6957</v>
      </c>
      <c r="F1704" s="22" t="n">
        <v>14</v>
      </c>
      <c r="G1704" s="26" t="n">
        <v>116.39</v>
      </c>
      <c r="H1704" s="26" t="n">
        <v>126.41</v>
      </c>
      <c r="I1704" s="26" t="n">
        <v>146.44</v>
      </c>
      <c r="J1704" s="26" t="n">
        <v>156.46</v>
      </c>
      <c r="K1704" s="26" t="n">
        <v>171.48</v>
      </c>
      <c r="L1704" s="26" t="n">
        <v>2.19</v>
      </c>
      <c r="M1704" s="27" t="n">
        <v>0.005</v>
      </c>
      <c r="N1704" s="27" t="n">
        <v>0.002</v>
      </c>
      <c r="O1704" s="26" t="n">
        <v>5</v>
      </c>
      <c r="P1704" s="26" t="n">
        <v>5</v>
      </c>
      <c r="Q1704" s="28" t="n">
        <v>100</v>
      </c>
      <c r="R1704" s="26" t="n">
        <v>30</v>
      </c>
      <c r="S1704" s="26" t="n">
        <v>0</v>
      </c>
      <c r="T1704" s="28" t="n">
        <v>1</v>
      </c>
      <c r="U1704" s="26" t="n">
        <v>0</v>
      </c>
      <c r="V1704" s="26" t="n">
        <v>0</v>
      </c>
      <c r="W1704" s="22" t="s">
        <v>22</v>
      </c>
      <c r="X1704" s="22" t="s">
        <v>373</v>
      </c>
    </row>
    <row r="1705" customFormat="false" ht="15" hidden="false" customHeight="false" outlineLevel="0" collapsed="false">
      <c r="A1705" s="22" t="s">
        <v>6958</v>
      </c>
      <c r="B1705" s="22" t="s">
        <v>22</v>
      </c>
      <c r="C1705" s="22" t="s">
        <v>6959</v>
      </c>
      <c r="D1705" s="22" t="s">
        <v>6960</v>
      </c>
      <c r="E1705" s="22" t="s">
        <v>6961</v>
      </c>
      <c r="F1705" s="22" t="n">
        <v>14</v>
      </c>
      <c r="G1705" s="26" t="n">
        <v>116.39</v>
      </c>
      <c r="H1705" s="26" t="n">
        <v>126.41</v>
      </c>
      <c r="I1705" s="26" t="n">
        <v>146.44</v>
      </c>
      <c r="J1705" s="26" t="n">
        <v>156.46</v>
      </c>
      <c r="K1705" s="26" t="n">
        <v>171.48</v>
      </c>
      <c r="L1705" s="26" t="n">
        <v>2.19</v>
      </c>
      <c r="M1705" s="27" t="n">
        <v>0.005</v>
      </c>
      <c r="N1705" s="27" t="n">
        <v>0.002</v>
      </c>
      <c r="O1705" s="26" t="n">
        <v>5</v>
      </c>
      <c r="P1705" s="26" t="n">
        <v>5</v>
      </c>
      <c r="Q1705" s="28" t="n">
        <v>100</v>
      </c>
      <c r="R1705" s="26" t="n">
        <v>30</v>
      </c>
      <c r="S1705" s="26" t="n">
        <v>0</v>
      </c>
      <c r="T1705" s="28" t="n">
        <v>1</v>
      </c>
      <c r="U1705" s="26" t="n">
        <v>0</v>
      </c>
      <c r="V1705" s="26" t="n">
        <v>0</v>
      </c>
      <c r="W1705" s="22" t="s">
        <v>22</v>
      </c>
      <c r="X1705" s="22" t="s">
        <v>373</v>
      </c>
    </row>
    <row r="1706" customFormat="false" ht="15" hidden="false" customHeight="false" outlineLevel="0" collapsed="false">
      <c r="A1706" s="22" t="s">
        <v>6962</v>
      </c>
      <c r="B1706" s="22" t="s">
        <v>22</v>
      </c>
      <c r="C1706" s="22" t="s">
        <v>6963</v>
      </c>
      <c r="D1706" s="22" t="s">
        <v>6964</v>
      </c>
      <c r="E1706" s="22" t="s">
        <v>6965</v>
      </c>
      <c r="F1706" s="22" t="n">
        <v>14</v>
      </c>
      <c r="G1706" s="26" t="n">
        <v>116.39</v>
      </c>
      <c r="H1706" s="26" t="n">
        <v>126.41</v>
      </c>
      <c r="I1706" s="26" t="n">
        <v>146.44</v>
      </c>
      <c r="J1706" s="26" t="n">
        <v>156.46</v>
      </c>
      <c r="K1706" s="26" t="n">
        <v>171.48</v>
      </c>
      <c r="L1706" s="26" t="n">
        <v>2.19</v>
      </c>
      <c r="M1706" s="27" t="n">
        <v>0.005</v>
      </c>
      <c r="N1706" s="27" t="n">
        <v>0.002</v>
      </c>
      <c r="O1706" s="26" t="n">
        <v>5</v>
      </c>
      <c r="P1706" s="26" t="n">
        <v>5</v>
      </c>
      <c r="Q1706" s="28" t="n">
        <v>100</v>
      </c>
      <c r="R1706" s="26" t="n">
        <v>30</v>
      </c>
      <c r="S1706" s="26" t="n">
        <v>0</v>
      </c>
      <c r="T1706" s="28" t="n">
        <v>1</v>
      </c>
      <c r="U1706" s="26" t="n">
        <v>0</v>
      </c>
      <c r="V1706" s="26" t="n">
        <v>0</v>
      </c>
      <c r="W1706" s="22" t="s">
        <v>22</v>
      </c>
      <c r="X1706" s="22" t="s">
        <v>373</v>
      </c>
    </row>
    <row r="1707" customFormat="false" ht="15" hidden="false" customHeight="false" outlineLevel="0" collapsed="false">
      <c r="A1707" s="22" t="s">
        <v>6966</v>
      </c>
      <c r="B1707" s="22" t="s">
        <v>22</v>
      </c>
      <c r="C1707" s="22" t="s">
        <v>6967</v>
      </c>
      <c r="D1707" s="22" t="s">
        <v>6968</v>
      </c>
      <c r="E1707" s="22" t="s">
        <v>6969</v>
      </c>
      <c r="F1707" s="22" t="n">
        <v>14</v>
      </c>
      <c r="G1707" s="26" t="n">
        <v>116.39</v>
      </c>
      <c r="H1707" s="26" t="n">
        <v>126.41</v>
      </c>
      <c r="I1707" s="26" t="n">
        <v>146.44</v>
      </c>
      <c r="J1707" s="26" t="n">
        <v>156.46</v>
      </c>
      <c r="K1707" s="26" t="n">
        <v>171.48</v>
      </c>
      <c r="L1707" s="26" t="n">
        <v>2.19</v>
      </c>
      <c r="M1707" s="27" t="n">
        <v>0.005</v>
      </c>
      <c r="N1707" s="27" t="n">
        <v>0.002</v>
      </c>
      <c r="O1707" s="26" t="n">
        <v>5</v>
      </c>
      <c r="P1707" s="26" t="n">
        <v>5</v>
      </c>
      <c r="Q1707" s="28" t="n">
        <v>100</v>
      </c>
      <c r="R1707" s="26" t="n">
        <v>30</v>
      </c>
      <c r="S1707" s="26" t="n">
        <v>0</v>
      </c>
      <c r="T1707" s="28" t="n">
        <v>1</v>
      </c>
      <c r="U1707" s="26" t="n">
        <v>0</v>
      </c>
      <c r="V1707" s="26" t="n">
        <v>0</v>
      </c>
      <c r="W1707" s="22" t="s">
        <v>22</v>
      </c>
      <c r="X1707" s="22" t="s">
        <v>373</v>
      </c>
    </row>
    <row r="1708" customFormat="false" ht="15" hidden="false" customHeight="false" outlineLevel="0" collapsed="false">
      <c r="A1708" s="22" t="s">
        <v>6970</v>
      </c>
      <c r="B1708" s="22" t="s">
        <v>22</v>
      </c>
      <c r="C1708" s="22" t="s">
        <v>6971</v>
      </c>
      <c r="D1708" s="22" t="s">
        <v>6972</v>
      </c>
      <c r="E1708" s="22" t="s">
        <v>6973</v>
      </c>
      <c r="F1708" s="22" t="n">
        <v>14</v>
      </c>
      <c r="G1708" s="26" t="n">
        <v>116.39</v>
      </c>
      <c r="H1708" s="26" t="n">
        <v>126.41</v>
      </c>
      <c r="I1708" s="26" t="n">
        <v>146.44</v>
      </c>
      <c r="J1708" s="26" t="n">
        <v>156.46</v>
      </c>
      <c r="K1708" s="26" t="n">
        <v>171.48</v>
      </c>
      <c r="L1708" s="26" t="n">
        <v>2.19</v>
      </c>
      <c r="M1708" s="27" t="n">
        <v>0.005</v>
      </c>
      <c r="N1708" s="27" t="n">
        <v>0.002</v>
      </c>
      <c r="O1708" s="26" t="n">
        <v>5</v>
      </c>
      <c r="P1708" s="26" t="n">
        <v>5</v>
      </c>
      <c r="Q1708" s="28" t="n">
        <v>100</v>
      </c>
      <c r="R1708" s="26" t="n">
        <v>30</v>
      </c>
      <c r="S1708" s="26" t="n">
        <v>0</v>
      </c>
      <c r="T1708" s="28" t="n">
        <v>1</v>
      </c>
      <c r="U1708" s="26" t="n">
        <v>0</v>
      </c>
      <c r="V1708" s="26" t="n">
        <v>0</v>
      </c>
      <c r="W1708" s="22" t="s">
        <v>22</v>
      </c>
      <c r="X1708" s="22" t="s">
        <v>373</v>
      </c>
    </row>
    <row r="1709" customFormat="false" ht="15" hidden="false" customHeight="false" outlineLevel="0" collapsed="false">
      <c r="A1709" s="22" t="s">
        <v>6974</v>
      </c>
      <c r="B1709" s="22" t="s">
        <v>22</v>
      </c>
      <c r="C1709" s="22" t="s">
        <v>3865</v>
      </c>
      <c r="D1709" s="22" t="s">
        <v>6975</v>
      </c>
      <c r="E1709" s="22" t="s">
        <v>6976</v>
      </c>
      <c r="F1709" s="22" t="n">
        <v>17</v>
      </c>
      <c r="G1709" s="26" t="n">
        <v>116.39</v>
      </c>
      <c r="H1709" s="26" t="n">
        <v>126.41</v>
      </c>
      <c r="I1709" s="26" t="n">
        <v>146.44</v>
      </c>
      <c r="J1709" s="26" t="n">
        <v>156.46</v>
      </c>
      <c r="K1709" s="26" t="n">
        <v>171.48</v>
      </c>
      <c r="L1709" s="26" t="n">
        <v>2.19</v>
      </c>
      <c r="M1709" s="27" t="n">
        <v>0.005</v>
      </c>
      <c r="N1709" s="27" t="n">
        <v>0.002</v>
      </c>
      <c r="O1709" s="26" t="n">
        <v>5</v>
      </c>
      <c r="P1709" s="26" t="n">
        <v>5</v>
      </c>
      <c r="Q1709" s="28" t="n">
        <v>100</v>
      </c>
      <c r="R1709" s="26" t="n">
        <v>30</v>
      </c>
      <c r="S1709" s="26" t="n">
        <v>0</v>
      </c>
      <c r="T1709" s="28" t="n">
        <v>1</v>
      </c>
      <c r="U1709" s="26" t="n">
        <v>0</v>
      </c>
      <c r="V1709" s="26" t="n">
        <v>0</v>
      </c>
      <c r="W1709" s="22" t="s">
        <v>22</v>
      </c>
      <c r="X1709" s="22" t="s">
        <v>373</v>
      </c>
    </row>
    <row r="1710" customFormat="false" ht="15" hidden="false" customHeight="false" outlineLevel="0" collapsed="false">
      <c r="A1710" s="22" t="s">
        <v>6977</v>
      </c>
      <c r="B1710" s="22" t="s">
        <v>22</v>
      </c>
      <c r="C1710" s="22" t="s">
        <v>6978</v>
      </c>
      <c r="D1710" s="22" t="s">
        <v>6979</v>
      </c>
      <c r="E1710" s="22" t="s">
        <v>6980</v>
      </c>
      <c r="F1710" s="22" t="n">
        <v>14</v>
      </c>
      <c r="G1710" s="26" t="n">
        <v>116.39</v>
      </c>
      <c r="H1710" s="26" t="n">
        <v>126.41</v>
      </c>
      <c r="I1710" s="26" t="n">
        <v>146.44</v>
      </c>
      <c r="J1710" s="26" t="n">
        <v>156.46</v>
      </c>
      <c r="K1710" s="26" t="n">
        <v>171.48</v>
      </c>
      <c r="L1710" s="26" t="n">
        <v>2.19</v>
      </c>
      <c r="M1710" s="27" t="n">
        <v>0.005</v>
      </c>
      <c r="N1710" s="27" t="n">
        <v>0.002</v>
      </c>
      <c r="O1710" s="26" t="n">
        <v>5</v>
      </c>
      <c r="P1710" s="26" t="n">
        <v>5</v>
      </c>
      <c r="Q1710" s="28" t="n">
        <v>100</v>
      </c>
      <c r="R1710" s="26" t="n">
        <v>30</v>
      </c>
      <c r="S1710" s="26" t="n">
        <v>0</v>
      </c>
      <c r="T1710" s="28" t="n">
        <v>1</v>
      </c>
      <c r="U1710" s="26" t="n">
        <v>0</v>
      </c>
      <c r="V1710" s="26" t="n">
        <v>0</v>
      </c>
      <c r="W1710" s="22" t="s">
        <v>22</v>
      </c>
      <c r="X1710" s="22" t="s">
        <v>373</v>
      </c>
    </row>
    <row r="1711" customFormat="false" ht="15" hidden="false" customHeight="false" outlineLevel="0" collapsed="false">
      <c r="A1711" s="22" t="s">
        <v>6981</v>
      </c>
      <c r="B1711" s="22" t="s">
        <v>22</v>
      </c>
      <c r="C1711" s="22" t="s">
        <v>6982</v>
      </c>
      <c r="D1711" s="22" t="s">
        <v>6983</v>
      </c>
      <c r="E1711" s="22" t="s">
        <v>6984</v>
      </c>
      <c r="F1711" s="22" t="n">
        <v>14</v>
      </c>
      <c r="G1711" s="26" t="n">
        <v>116.39</v>
      </c>
      <c r="H1711" s="26" t="n">
        <v>126.41</v>
      </c>
      <c r="I1711" s="26" t="n">
        <v>146.44</v>
      </c>
      <c r="J1711" s="26" t="n">
        <v>156.46</v>
      </c>
      <c r="K1711" s="26" t="n">
        <v>171.48</v>
      </c>
      <c r="L1711" s="26" t="n">
        <v>2.19</v>
      </c>
      <c r="M1711" s="27" t="n">
        <v>0.005</v>
      </c>
      <c r="N1711" s="27" t="n">
        <v>0.002</v>
      </c>
      <c r="O1711" s="26" t="n">
        <v>5</v>
      </c>
      <c r="P1711" s="26" t="n">
        <v>5</v>
      </c>
      <c r="Q1711" s="28" t="n">
        <v>100</v>
      </c>
      <c r="R1711" s="26" t="n">
        <v>30</v>
      </c>
      <c r="S1711" s="26" t="n">
        <v>0</v>
      </c>
      <c r="T1711" s="28" t="n">
        <v>1</v>
      </c>
      <c r="U1711" s="26" t="n">
        <v>0</v>
      </c>
      <c r="V1711" s="26" t="n">
        <v>0</v>
      </c>
      <c r="W1711" s="22" t="s">
        <v>22</v>
      </c>
      <c r="X1711" s="22" t="s">
        <v>373</v>
      </c>
    </row>
    <row r="1712" customFormat="false" ht="15" hidden="false" customHeight="false" outlineLevel="0" collapsed="false">
      <c r="A1712" s="22" t="s">
        <v>6985</v>
      </c>
      <c r="B1712" s="22" t="s">
        <v>22</v>
      </c>
      <c r="C1712" s="22" t="s">
        <v>6986</v>
      </c>
      <c r="D1712" s="22" t="s">
        <v>6987</v>
      </c>
      <c r="E1712" s="22" t="s">
        <v>6988</v>
      </c>
      <c r="F1712" s="22" t="n">
        <v>14</v>
      </c>
      <c r="G1712" s="26" t="n">
        <v>116.39</v>
      </c>
      <c r="H1712" s="26" t="n">
        <v>126.41</v>
      </c>
      <c r="I1712" s="26" t="n">
        <v>146.44</v>
      </c>
      <c r="J1712" s="26" t="n">
        <v>156.46</v>
      </c>
      <c r="K1712" s="26" t="n">
        <v>171.48</v>
      </c>
      <c r="L1712" s="26" t="n">
        <v>2.19</v>
      </c>
      <c r="M1712" s="27" t="n">
        <v>0.005</v>
      </c>
      <c r="N1712" s="27" t="n">
        <v>0.002</v>
      </c>
      <c r="O1712" s="26" t="n">
        <v>5</v>
      </c>
      <c r="P1712" s="26" t="n">
        <v>5</v>
      </c>
      <c r="Q1712" s="28" t="n">
        <v>100</v>
      </c>
      <c r="R1712" s="26" t="n">
        <v>30</v>
      </c>
      <c r="S1712" s="26" t="n">
        <v>0</v>
      </c>
      <c r="T1712" s="28" t="n">
        <v>1</v>
      </c>
      <c r="U1712" s="26" t="n">
        <v>0</v>
      </c>
      <c r="V1712" s="26" t="n">
        <v>0</v>
      </c>
      <c r="W1712" s="22" t="s">
        <v>22</v>
      </c>
      <c r="X1712" s="22" t="s">
        <v>373</v>
      </c>
    </row>
    <row r="1713" customFormat="false" ht="15" hidden="false" customHeight="false" outlineLevel="0" collapsed="false">
      <c r="A1713" s="22" t="s">
        <v>6989</v>
      </c>
      <c r="B1713" s="22" t="s">
        <v>22</v>
      </c>
      <c r="C1713" s="22" t="s">
        <v>6990</v>
      </c>
      <c r="D1713" s="22" t="s">
        <v>6991</v>
      </c>
      <c r="E1713" s="22" t="s">
        <v>6992</v>
      </c>
      <c r="F1713" s="22" t="n">
        <v>14</v>
      </c>
      <c r="G1713" s="26" t="n">
        <v>116.39</v>
      </c>
      <c r="H1713" s="26" t="n">
        <v>126.41</v>
      </c>
      <c r="I1713" s="26" t="n">
        <v>146.44</v>
      </c>
      <c r="J1713" s="26" t="n">
        <v>156.46</v>
      </c>
      <c r="K1713" s="26" t="n">
        <v>171.48</v>
      </c>
      <c r="L1713" s="26" t="n">
        <v>2.19</v>
      </c>
      <c r="M1713" s="27" t="n">
        <v>0.005</v>
      </c>
      <c r="N1713" s="27" t="n">
        <v>0.002</v>
      </c>
      <c r="O1713" s="26" t="n">
        <v>5</v>
      </c>
      <c r="P1713" s="26" t="n">
        <v>5</v>
      </c>
      <c r="Q1713" s="28" t="n">
        <v>100</v>
      </c>
      <c r="R1713" s="26" t="n">
        <v>30</v>
      </c>
      <c r="S1713" s="26" t="n">
        <v>0</v>
      </c>
      <c r="T1713" s="28" t="n">
        <v>1</v>
      </c>
      <c r="U1713" s="26" t="n">
        <v>0</v>
      </c>
      <c r="V1713" s="26" t="n">
        <v>0</v>
      </c>
      <c r="W1713" s="22" t="s">
        <v>22</v>
      </c>
      <c r="X1713" s="22" t="s">
        <v>373</v>
      </c>
    </row>
    <row r="1714" customFormat="false" ht="15" hidden="false" customHeight="false" outlineLevel="0" collapsed="false">
      <c r="A1714" s="22" t="s">
        <v>6993</v>
      </c>
      <c r="B1714" s="22" t="s">
        <v>22</v>
      </c>
      <c r="C1714" s="22" t="s">
        <v>6994</v>
      </c>
      <c r="D1714" s="22" t="s">
        <v>6995</v>
      </c>
      <c r="E1714" s="22" t="s">
        <v>6996</v>
      </c>
      <c r="F1714" s="22" t="n">
        <v>14</v>
      </c>
      <c r="G1714" s="26" t="n">
        <v>116.39</v>
      </c>
      <c r="H1714" s="26" t="n">
        <v>126.41</v>
      </c>
      <c r="I1714" s="26" t="n">
        <v>146.44</v>
      </c>
      <c r="J1714" s="26" t="n">
        <v>156.46</v>
      </c>
      <c r="K1714" s="26" t="n">
        <v>171.48</v>
      </c>
      <c r="L1714" s="26" t="n">
        <v>2.19</v>
      </c>
      <c r="M1714" s="27" t="n">
        <v>0.005</v>
      </c>
      <c r="N1714" s="27" t="n">
        <v>0.002</v>
      </c>
      <c r="O1714" s="26" t="n">
        <v>5</v>
      </c>
      <c r="P1714" s="26" t="n">
        <v>5</v>
      </c>
      <c r="Q1714" s="28" t="n">
        <v>100</v>
      </c>
      <c r="R1714" s="26" t="n">
        <v>30</v>
      </c>
      <c r="S1714" s="26" t="n">
        <v>0</v>
      </c>
      <c r="T1714" s="28" t="n">
        <v>1</v>
      </c>
      <c r="U1714" s="26" t="n">
        <v>0</v>
      </c>
      <c r="V1714" s="26" t="n">
        <v>0</v>
      </c>
      <c r="W1714" s="22" t="s">
        <v>22</v>
      </c>
      <c r="X1714" s="22" t="s">
        <v>373</v>
      </c>
    </row>
    <row r="1715" customFormat="false" ht="15" hidden="false" customHeight="false" outlineLevel="0" collapsed="false">
      <c r="A1715" s="22" t="s">
        <v>6997</v>
      </c>
      <c r="B1715" s="22" t="s">
        <v>22</v>
      </c>
      <c r="C1715" s="22" t="s">
        <v>6998</v>
      </c>
      <c r="D1715" s="22" t="s">
        <v>6999</v>
      </c>
      <c r="E1715" s="22" t="s">
        <v>7000</v>
      </c>
      <c r="F1715" s="22" t="n">
        <v>14</v>
      </c>
      <c r="G1715" s="26" t="n">
        <v>116.39</v>
      </c>
      <c r="H1715" s="26" t="n">
        <v>126.41</v>
      </c>
      <c r="I1715" s="26" t="n">
        <v>146.44</v>
      </c>
      <c r="J1715" s="26" t="n">
        <v>156.46</v>
      </c>
      <c r="K1715" s="26" t="n">
        <v>171.48</v>
      </c>
      <c r="L1715" s="26" t="n">
        <v>2.19</v>
      </c>
      <c r="M1715" s="27" t="n">
        <v>0.005</v>
      </c>
      <c r="N1715" s="27" t="n">
        <v>0.002</v>
      </c>
      <c r="O1715" s="26" t="n">
        <v>5</v>
      </c>
      <c r="P1715" s="26" t="n">
        <v>5</v>
      </c>
      <c r="Q1715" s="28" t="n">
        <v>100</v>
      </c>
      <c r="R1715" s="26" t="n">
        <v>30</v>
      </c>
      <c r="S1715" s="26" t="n">
        <v>0</v>
      </c>
      <c r="T1715" s="28" t="n">
        <v>1</v>
      </c>
      <c r="U1715" s="26" t="n">
        <v>0</v>
      </c>
      <c r="V1715" s="26" t="n">
        <v>0</v>
      </c>
      <c r="W1715" s="22" t="s">
        <v>22</v>
      </c>
      <c r="X1715" s="22" t="s">
        <v>373</v>
      </c>
    </row>
    <row r="1716" customFormat="false" ht="15" hidden="false" customHeight="false" outlineLevel="0" collapsed="false">
      <c r="A1716" s="22" t="s">
        <v>7001</v>
      </c>
      <c r="B1716" s="22" t="s">
        <v>22</v>
      </c>
      <c r="C1716" s="22" t="s">
        <v>7002</v>
      </c>
      <c r="D1716" s="22" t="s">
        <v>7003</v>
      </c>
      <c r="E1716" s="22" t="s">
        <v>7004</v>
      </c>
      <c r="F1716" s="22" t="n">
        <v>14</v>
      </c>
      <c r="G1716" s="26" t="n">
        <v>116.39</v>
      </c>
      <c r="H1716" s="26" t="n">
        <v>126.41</v>
      </c>
      <c r="I1716" s="26" t="n">
        <v>146.44</v>
      </c>
      <c r="J1716" s="26" t="n">
        <v>156.46</v>
      </c>
      <c r="K1716" s="26" t="n">
        <v>171.48</v>
      </c>
      <c r="L1716" s="26" t="n">
        <v>2.19</v>
      </c>
      <c r="M1716" s="27" t="n">
        <v>0.005</v>
      </c>
      <c r="N1716" s="27" t="n">
        <v>0.002</v>
      </c>
      <c r="O1716" s="26" t="n">
        <v>5</v>
      </c>
      <c r="P1716" s="26" t="n">
        <v>5</v>
      </c>
      <c r="Q1716" s="28" t="n">
        <v>100</v>
      </c>
      <c r="R1716" s="26" t="n">
        <v>30</v>
      </c>
      <c r="S1716" s="26" t="n">
        <v>0</v>
      </c>
      <c r="T1716" s="28" t="n">
        <v>1</v>
      </c>
      <c r="U1716" s="26" t="n">
        <v>0</v>
      </c>
      <c r="V1716" s="26" t="n">
        <v>0</v>
      </c>
      <c r="W1716" s="22" t="s">
        <v>22</v>
      </c>
      <c r="X1716" s="22" t="s">
        <v>373</v>
      </c>
    </row>
    <row r="1717" customFormat="false" ht="15" hidden="false" customHeight="false" outlineLevel="0" collapsed="false">
      <c r="A1717" s="22" t="s">
        <v>7005</v>
      </c>
      <c r="B1717" s="22" t="s">
        <v>22</v>
      </c>
      <c r="C1717" s="22" t="s">
        <v>7006</v>
      </c>
      <c r="D1717" s="22" t="s">
        <v>7007</v>
      </c>
      <c r="E1717" s="22" t="s">
        <v>7008</v>
      </c>
      <c r="F1717" s="22" t="n">
        <v>14</v>
      </c>
      <c r="G1717" s="26" t="n">
        <v>116.39</v>
      </c>
      <c r="H1717" s="26" t="n">
        <v>126.41</v>
      </c>
      <c r="I1717" s="26" t="n">
        <v>146.44</v>
      </c>
      <c r="J1717" s="26" t="n">
        <v>156.46</v>
      </c>
      <c r="K1717" s="26" t="n">
        <v>171.48</v>
      </c>
      <c r="L1717" s="26" t="n">
        <v>2.19</v>
      </c>
      <c r="M1717" s="27" t="n">
        <v>0.005</v>
      </c>
      <c r="N1717" s="27" t="n">
        <v>0.002</v>
      </c>
      <c r="O1717" s="26" t="n">
        <v>5</v>
      </c>
      <c r="P1717" s="26" t="n">
        <v>5</v>
      </c>
      <c r="Q1717" s="28" t="n">
        <v>100</v>
      </c>
      <c r="R1717" s="26" t="n">
        <v>30</v>
      </c>
      <c r="S1717" s="26" t="n">
        <v>0</v>
      </c>
      <c r="T1717" s="28" t="n">
        <v>1</v>
      </c>
      <c r="U1717" s="26" t="n">
        <v>0</v>
      </c>
      <c r="V1717" s="26" t="n">
        <v>0</v>
      </c>
      <c r="W1717" s="22" t="s">
        <v>22</v>
      </c>
      <c r="X1717" s="22" t="s">
        <v>373</v>
      </c>
    </row>
    <row r="1718" customFormat="false" ht="15" hidden="false" customHeight="false" outlineLevel="0" collapsed="false">
      <c r="A1718" s="22" t="s">
        <v>7009</v>
      </c>
      <c r="B1718" s="22" t="s">
        <v>22</v>
      </c>
      <c r="C1718" s="22" t="s">
        <v>7010</v>
      </c>
      <c r="D1718" s="22" t="s">
        <v>7011</v>
      </c>
      <c r="E1718" s="22" t="s">
        <v>7012</v>
      </c>
      <c r="F1718" s="22" t="n">
        <v>14</v>
      </c>
      <c r="G1718" s="26" t="n">
        <v>116.39</v>
      </c>
      <c r="H1718" s="26" t="n">
        <v>126.41</v>
      </c>
      <c r="I1718" s="26" t="n">
        <v>146.44</v>
      </c>
      <c r="J1718" s="26" t="n">
        <v>156.46</v>
      </c>
      <c r="K1718" s="26" t="n">
        <v>171.48</v>
      </c>
      <c r="L1718" s="26" t="n">
        <v>2.19</v>
      </c>
      <c r="M1718" s="27" t="n">
        <v>0.005</v>
      </c>
      <c r="N1718" s="27" t="n">
        <v>0.002</v>
      </c>
      <c r="O1718" s="26" t="n">
        <v>5</v>
      </c>
      <c r="P1718" s="26" t="n">
        <v>5</v>
      </c>
      <c r="Q1718" s="28" t="n">
        <v>100</v>
      </c>
      <c r="R1718" s="26" t="n">
        <v>30</v>
      </c>
      <c r="S1718" s="26" t="n">
        <v>0</v>
      </c>
      <c r="T1718" s="28" t="n">
        <v>1</v>
      </c>
      <c r="U1718" s="26" t="n">
        <v>0</v>
      </c>
      <c r="V1718" s="26" t="n">
        <v>0</v>
      </c>
      <c r="W1718" s="22" t="s">
        <v>22</v>
      </c>
      <c r="X1718" s="22" t="s">
        <v>373</v>
      </c>
    </row>
    <row r="1719" customFormat="false" ht="15" hidden="false" customHeight="false" outlineLevel="0" collapsed="false">
      <c r="A1719" s="22" t="s">
        <v>7013</v>
      </c>
      <c r="B1719" s="22" t="s">
        <v>22</v>
      </c>
      <c r="C1719" s="22" t="s">
        <v>4768</v>
      </c>
      <c r="D1719" s="22" t="s">
        <v>7014</v>
      </c>
      <c r="E1719" s="22" t="s">
        <v>7015</v>
      </c>
      <c r="F1719" s="22" t="n">
        <v>12</v>
      </c>
      <c r="G1719" s="26" t="n">
        <v>116.39</v>
      </c>
      <c r="H1719" s="26" t="n">
        <v>126.41</v>
      </c>
      <c r="I1719" s="26" t="n">
        <v>146.44</v>
      </c>
      <c r="J1719" s="26" t="n">
        <v>156.46</v>
      </c>
      <c r="K1719" s="26" t="n">
        <v>171.48</v>
      </c>
      <c r="L1719" s="26" t="n">
        <v>2.19</v>
      </c>
      <c r="M1719" s="27" t="n">
        <v>0.005</v>
      </c>
      <c r="N1719" s="27" t="n">
        <v>0.002</v>
      </c>
      <c r="O1719" s="26" t="n">
        <v>5</v>
      </c>
      <c r="P1719" s="26" t="n">
        <v>5</v>
      </c>
      <c r="Q1719" s="28" t="n">
        <v>100</v>
      </c>
      <c r="R1719" s="26" t="n">
        <v>30</v>
      </c>
      <c r="S1719" s="26" t="n">
        <v>0</v>
      </c>
      <c r="T1719" s="28" t="n">
        <v>1</v>
      </c>
      <c r="U1719" s="26" t="n">
        <v>0</v>
      </c>
      <c r="V1719" s="26" t="n">
        <v>0</v>
      </c>
      <c r="W1719" s="22" t="s">
        <v>22</v>
      </c>
      <c r="X1719" s="22" t="s">
        <v>373</v>
      </c>
    </row>
    <row r="1720" customFormat="false" ht="15" hidden="false" customHeight="false" outlineLevel="0" collapsed="false">
      <c r="A1720" s="22" t="s">
        <v>7016</v>
      </c>
      <c r="B1720" s="22" t="s">
        <v>22</v>
      </c>
      <c r="C1720" s="22" t="s">
        <v>7017</v>
      </c>
      <c r="D1720" s="22" t="s">
        <v>7018</v>
      </c>
      <c r="E1720" s="22" t="s">
        <v>7019</v>
      </c>
      <c r="F1720" s="22" t="n">
        <v>14</v>
      </c>
      <c r="G1720" s="26" t="n">
        <v>116.39</v>
      </c>
      <c r="H1720" s="26" t="n">
        <v>126.41</v>
      </c>
      <c r="I1720" s="26" t="n">
        <v>146.44</v>
      </c>
      <c r="J1720" s="26" t="n">
        <v>156.46</v>
      </c>
      <c r="K1720" s="26" t="n">
        <v>171.48</v>
      </c>
      <c r="L1720" s="26" t="n">
        <v>2.19</v>
      </c>
      <c r="M1720" s="27" t="n">
        <v>0.005</v>
      </c>
      <c r="N1720" s="27" t="n">
        <v>0.002</v>
      </c>
      <c r="O1720" s="26" t="n">
        <v>5</v>
      </c>
      <c r="P1720" s="26" t="n">
        <v>5</v>
      </c>
      <c r="Q1720" s="28" t="n">
        <v>100</v>
      </c>
      <c r="R1720" s="26" t="n">
        <v>30</v>
      </c>
      <c r="S1720" s="26" t="n">
        <v>0</v>
      </c>
      <c r="T1720" s="28" t="n">
        <v>1</v>
      </c>
      <c r="U1720" s="26" t="n">
        <v>0</v>
      </c>
      <c r="V1720" s="26" t="n">
        <v>0</v>
      </c>
      <c r="W1720" s="22" t="s">
        <v>22</v>
      </c>
      <c r="X1720" s="22" t="s">
        <v>373</v>
      </c>
    </row>
    <row r="1721" customFormat="false" ht="15" hidden="false" customHeight="false" outlineLevel="0" collapsed="false">
      <c r="A1721" s="22" t="s">
        <v>7020</v>
      </c>
      <c r="B1721" s="22" t="s">
        <v>23</v>
      </c>
      <c r="C1721" s="22" t="s">
        <v>198</v>
      </c>
      <c r="D1721" s="22" t="s">
        <v>7021</v>
      </c>
      <c r="E1721" s="22" t="s">
        <v>7022</v>
      </c>
      <c r="F1721" s="22" t="n">
        <v>7</v>
      </c>
      <c r="G1721" s="26" t="n">
        <v>47.52</v>
      </c>
      <c r="H1721" s="26" t="n">
        <v>59.04</v>
      </c>
      <c r="I1721" s="26" t="n">
        <v>70.56</v>
      </c>
      <c r="J1721" s="26" t="n">
        <v>82.08</v>
      </c>
      <c r="K1721" s="26" t="n">
        <v>99.36</v>
      </c>
      <c r="L1721" s="26" t="n">
        <v>1.42</v>
      </c>
      <c r="M1721" s="27" t="n">
        <v>0.005</v>
      </c>
      <c r="N1721" s="27" t="n">
        <v>0.002</v>
      </c>
      <c r="O1721" s="26" t="n">
        <v>5</v>
      </c>
      <c r="P1721" s="26" t="n">
        <v>5</v>
      </c>
      <c r="Q1721" s="28" t="n">
        <v>100</v>
      </c>
      <c r="R1721" s="26" t="n">
        <v>30</v>
      </c>
      <c r="S1721" s="26" t="n">
        <v>0</v>
      </c>
      <c r="T1721" s="28" t="n">
        <v>1</v>
      </c>
      <c r="U1721" s="26" t="n">
        <v>0</v>
      </c>
      <c r="V1721" s="26" t="n">
        <v>0</v>
      </c>
      <c r="W1721" s="22" t="s">
        <v>23</v>
      </c>
      <c r="X1721" s="22" t="s">
        <v>286</v>
      </c>
    </row>
    <row r="1722" customFormat="false" ht="15" hidden="false" customHeight="false" outlineLevel="0" collapsed="false">
      <c r="A1722" s="22" t="s">
        <v>7023</v>
      </c>
      <c r="B1722" s="22" t="s">
        <v>23</v>
      </c>
      <c r="C1722" s="22" t="s">
        <v>200</v>
      </c>
      <c r="D1722" s="22" t="s">
        <v>7024</v>
      </c>
      <c r="E1722" s="22" t="s">
        <v>7025</v>
      </c>
      <c r="F1722" s="22" t="n">
        <v>7</v>
      </c>
      <c r="G1722" s="26" t="n">
        <v>47.52</v>
      </c>
      <c r="H1722" s="26" t="n">
        <v>59.04</v>
      </c>
      <c r="I1722" s="26" t="n">
        <v>70.56</v>
      </c>
      <c r="J1722" s="26" t="n">
        <v>82.08</v>
      </c>
      <c r="K1722" s="26" t="n">
        <v>99.36</v>
      </c>
      <c r="L1722" s="26" t="n">
        <v>1.42</v>
      </c>
      <c r="M1722" s="27" t="n">
        <v>0.005</v>
      </c>
      <c r="N1722" s="27" t="n">
        <v>0.002</v>
      </c>
      <c r="O1722" s="26" t="n">
        <v>5</v>
      </c>
      <c r="P1722" s="26" t="n">
        <v>5</v>
      </c>
      <c r="Q1722" s="28" t="n">
        <v>100</v>
      </c>
      <c r="R1722" s="26" t="n">
        <v>30</v>
      </c>
      <c r="S1722" s="26" t="n">
        <v>0</v>
      </c>
      <c r="T1722" s="28" t="n">
        <v>1</v>
      </c>
      <c r="U1722" s="26" t="n">
        <v>0</v>
      </c>
      <c r="V1722" s="26" t="n">
        <v>0</v>
      </c>
      <c r="W1722" s="22" t="s">
        <v>23</v>
      </c>
      <c r="X1722" s="22" t="s">
        <v>286</v>
      </c>
    </row>
    <row r="1723" customFormat="false" ht="15" hidden="false" customHeight="false" outlineLevel="0" collapsed="false">
      <c r="A1723" s="22" t="s">
        <v>7026</v>
      </c>
      <c r="B1723" s="22" t="s">
        <v>23</v>
      </c>
      <c r="C1723" s="22" t="s">
        <v>205</v>
      </c>
      <c r="D1723" s="22" t="s">
        <v>7027</v>
      </c>
      <c r="E1723" s="22" t="s">
        <v>7028</v>
      </c>
      <c r="F1723" s="22" t="n">
        <v>7</v>
      </c>
      <c r="G1723" s="26" t="n">
        <v>47.52</v>
      </c>
      <c r="H1723" s="26" t="n">
        <v>59.04</v>
      </c>
      <c r="I1723" s="26" t="n">
        <v>70.56</v>
      </c>
      <c r="J1723" s="26" t="n">
        <v>82.08</v>
      </c>
      <c r="K1723" s="26" t="n">
        <v>99.36</v>
      </c>
      <c r="L1723" s="26" t="n">
        <v>1.42</v>
      </c>
      <c r="M1723" s="27" t="n">
        <v>0.005</v>
      </c>
      <c r="N1723" s="27" t="n">
        <v>0.002</v>
      </c>
      <c r="O1723" s="26" t="n">
        <v>5</v>
      </c>
      <c r="P1723" s="26" t="n">
        <v>5</v>
      </c>
      <c r="Q1723" s="28" t="n">
        <v>100</v>
      </c>
      <c r="R1723" s="26" t="n">
        <v>30</v>
      </c>
      <c r="S1723" s="26" t="n">
        <v>0</v>
      </c>
      <c r="T1723" s="28" t="n">
        <v>1</v>
      </c>
      <c r="U1723" s="26" t="n">
        <v>0</v>
      </c>
      <c r="V1723" s="26" t="n">
        <v>0</v>
      </c>
      <c r="W1723" s="22" t="s">
        <v>23</v>
      </c>
      <c r="X1723" s="22" t="s">
        <v>286</v>
      </c>
    </row>
    <row r="1724" customFormat="false" ht="15" hidden="false" customHeight="false" outlineLevel="0" collapsed="false">
      <c r="A1724" s="22" t="s">
        <v>7029</v>
      </c>
      <c r="B1724" s="22" t="s">
        <v>23</v>
      </c>
      <c r="C1724" s="22" t="s">
        <v>7030</v>
      </c>
      <c r="D1724" s="22" t="s">
        <v>7031</v>
      </c>
      <c r="E1724" s="22" t="s">
        <v>7032</v>
      </c>
      <c r="F1724" s="22" t="n">
        <v>10</v>
      </c>
      <c r="G1724" s="26" t="n">
        <v>75.1</v>
      </c>
      <c r="H1724" s="26" t="n">
        <v>86.62</v>
      </c>
      <c r="I1724" s="26" t="n">
        <v>98.13</v>
      </c>
      <c r="J1724" s="26" t="n">
        <v>109.65</v>
      </c>
      <c r="K1724" s="26" t="n">
        <v>126.93</v>
      </c>
      <c r="L1724" s="26" t="n">
        <v>1.93</v>
      </c>
      <c r="M1724" s="27" t="n">
        <v>0.005</v>
      </c>
      <c r="N1724" s="27" t="n">
        <v>0.002</v>
      </c>
      <c r="O1724" s="26" t="n">
        <v>5</v>
      </c>
      <c r="P1724" s="26" t="n">
        <v>5</v>
      </c>
      <c r="Q1724" s="28" t="n">
        <v>100</v>
      </c>
      <c r="R1724" s="26" t="n">
        <v>30</v>
      </c>
      <c r="S1724" s="26" t="n">
        <v>0</v>
      </c>
      <c r="T1724" s="28" t="n">
        <v>1</v>
      </c>
      <c r="U1724" s="26" t="n">
        <v>0</v>
      </c>
      <c r="V1724" s="26" t="n">
        <v>0</v>
      </c>
      <c r="W1724" s="22" t="s">
        <v>23</v>
      </c>
      <c r="X1724" s="22" t="s">
        <v>293</v>
      </c>
    </row>
    <row r="1725" customFormat="false" ht="15" hidden="false" customHeight="false" outlineLevel="0" collapsed="false">
      <c r="A1725" s="22" t="s">
        <v>7033</v>
      </c>
      <c r="B1725" s="29" t="s">
        <v>23</v>
      </c>
      <c r="C1725" s="29" t="s">
        <v>6404</v>
      </c>
      <c r="D1725" s="22" t="s">
        <v>7034</v>
      </c>
      <c r="E1725" s="22" t="s">
        <v>7035</v>
      </c>
      <c r="F1725" s="22" t="n">
        <v>10</v>
      </c>
      <c r="G1725" s="26" t="n">
        <v>99.55</v>
      </c>
      <c r="H1725" s="26" t="n">
        <v>109.56</v>
      </c>
      <c r="I1725" s="26" t="n">
        <v>129.6</v>
      </c>
      <c r="J1725" s="26" t="n">
        <v>139.62</v>
      </c>
      <c r="K1725" s="26" t="n">
        <v>154.64</v>
      </c>
      <c r="L1725" s="26" t="n">
        <v>2.06</v>
      </c>
      <c r="M1725" s="27" t="n">
        <v>0.005</v>
      </c>
      <c r="N1725" s="27" t="n">
        <v>0.002</v>
      </c>
      <c r="O1725" s="26" t="n">
        <v>5</v>
      </c>
      <c r="P1725" s="26" t="n">
        <v>5</v>
      </c>
      <c r="Q1725" s="28" t="n">
        <v>100</v>
      </c>
      <c r="R1725" s="26" t="n">
        <v>30</v>
      </c>
      <c r="S1725" s="26" t="n">
        <v>0</v>
      </c>
      <c r="T1725" s="28" t="n">
        <v>1</v>
      </c>
      <c r="U1725" s="26" t="n">
        <v>0</v>
      </c>
      <c r="V1725" s="26" t="n">
        <v>0</v>
      </c>
      <c r="W1725" s="29" t="s">
        <v>22</v>
      </c>
      <c r="X1725" s="22" t="s">
        <v>293</v>
      </c>
    </row>
    <row r="1726" customFormat="false" ht="15" hidden="false" customHeight="false" outlineLevel="0" collapsed="false">
      <c r="A1726" s="22" t="s">
        <v>7036</v>
      </c>
      <c r="B1726" s="22" t="s">
        <v>23</v>
      </c>
      <c r="C1726" s="22" t="s">
        <v>7037</v>
      </c>
      <c r="D1726" s="22" t="s">
        <v>7038</v>
      </c>
      <c r="E1726" s="22" t="s">
        <v>7039</v>
      </c>
      <c r="F1726" s="22" t="n">
        <v>10</v>
      </c>
      <c r="G1726" s="26" t="n">
        <v>75.1</v>
      </c>
      <c r="H1726" s="26" t="n">
        <v>86.62</v>
      </c>
      <c r="I1726" s="26" t="n">
        <v>98.13</v>
      </c>
      <c r="J1726" s="26" t="n">
        <v>109.65</v>
      </c>
      <c r="K1726" s="26" t="n">
        <v>126.93</v>
      </c>
      <c r="L1726" s="26" t="n">
        <v>1.93</v>
      </c>
      <c r="M1726" s="27" t="n">
        <v>0.005</v>
      </c>
      <c r="N1726" s="27" t="n">
        <v>0.002</v>
      </c>
      <c r="O1726" s="26" t="n">
        <v>5</v>
      </c>
      <c r="P1726" s="26" t="n">
        <v>5</v>
      </c>
      <c r="Q1726" s="28" t="n">
        <v>100</v>
      </c>
      <c r="R1726" s="26" t="n">
        <v>30</v>
      </c>
      <c r="S1726" s="26" t="n">
        <v>0</v>
      </c>
      <c r="T1726" s="28" t="n">
        <v>1</v>
      </c>
      <c r="U1726" s="26" t="n">
        <v>0</v>
      </c>
      <c r="V1726" s="26" t="n">
        <v>0</v>
      </c>
      <c r="W1726" s="22" t="s">
        <v>23</v>
      </c>
      <c r="X1726" s="22" t="s">
        <v>293</v>
      </c>
    </row>
    <row r="1727" customFormat="false" ht="15" hidden="false" customHeight="false" outlineLevel="0" collapsed="false">
      <c r="A1727" s="22" t="s">
        <v>7040</v>
      </c>
      <c r="B1727" s="22" t="s">
        <v>23</v>
      </c>
      <c r="C1727" s="22" t="s">
        <v>7041</v>
      </c>
      <c r="D1727" s="22" t="s">
        <v>7042</v>
      </c>
      <c r="E1727" s="22" t="s">
        <v>7043</v>
      </c>
      <c r="F1727" s="22" t="n">
        <v>10</v>
      </c>
      <c r="G1727" s="26" t="n">
        <v>75.1</v>
      </c>
      <c r="H1727" s="26" t="n">
        <v>86.62</v>
      </c>
      <c r="I1727" s="26" t="n">
        <v>98.13</v>
      </c>
      <c r="J1727" s="26" t="n">
        <v>109.65</v>
      </c>
      <c r="K1727" s="26" t="n">
        <v>126.93</v>
      </c>
      <c r="L1727" s="26" t="n">
        <v>1.93</v>
      </c>
      <c r="M1727" s="27" t="n">
        <v>0.005</v>
      </c>
      <c r="N1727" s="27" t="n">
        <v>0.002</v>
      </c>
      <c r="O1727" s="26" t="n">
        <v>5</v>
      </c>
      <c r="P1727" s="26" t="n">
        <v>5</v>
      </c>
      <c r="Q1727" s="28" t="n">
        <v>100</v>
      </c>
      <c r="R1727" s="26" t="n">
        <v>30</v>
      </c>
      <c r="S1727" s="26" t="n">
        <v>0</v>
      </c>
      <c r="T1727" s="28" t="n">
        <v>1</v>
      </c>
      <c r="U1727" s="26" t="n">
        <v>0</v>
      </c>
      <c r="V1727" s="26" t="n">
        <v>0</v>
      </c>
      <c r="W1727" s="22" t="s">
        <v>23</v>
      </c>
      <c r="X1727" s="22" t="s">
        <v>293</v>
      </c>
    </row>
    <row r="1728" customFormat="false" ht="15" hidden="false" customHeight="false" outlineLevel="0" collapsed="false">
      <c r="A1728" s="22" t="s">
        <v>7044</v>
      </c>
      <c r="B1728" s="29" t="s">
        <v>23</v>
      </c>
      <c r="C1728" s="29" t="s">
        <v>315</v>
      </c>
      <c r="D1728" s="22" t="s">
        <v>7045</v>
      </c>
      <c r="E1728" s="22" t="s">
        <v>7046</v>
      </c>
      <c r="F1728" s="22" t="n">
        <v>10</v>
      </c>
      <c r="G1728" s="26" t="n">
        <v>76.24</v>
      </c>
      <c r="H1728" s="26" t="n">
        <v>87.26</v>
      </c>
      <c r="I1728" s="26" t="n">
        <v>109.29</v>
      </c>
      <c r="J1728" s="26" t="n">
        <v>120.31</v>
      </c>
      <c r="K1728" s="26" t="n">
        <v>136.84</v>
      </c>
      <c r="L1728" s="26" t="n">
        <v>1.59</v>
      </c>
      <c r="M1728" s="27" t="n">
        <v>0.005</v>
      </c>
      <c r="N1728" s="27" t="n">
        <v>0.002</v>
      </c>
      <c r="O1728" s="26" t="n">
        <v>5</v>
      </c>
      <c r="P1728" s="26" t="n">
        <v>5</v>
      </c>
      <c r="Q1728" s="28" t="n">
        <v>100</v>
      </c>
      <c r="R1728" s="26" t="n">
        <v>30</v>
      </c>
      <c r="S1728" s="26" t="n">
        <v>0</v>
      </c>
      <c r="T1728" s="28" t="n">
        <v>1</v>
      </c>
      <c r="U1728" s="26" t="n">
        <v>0</v>
      </c>
      <c r="V1728" s="26" t="n">
        <v>0</v>
      </c>
      <c r="W1728" s="29" t="s">
        <v>15</v>
      </c>
      <c r="X1728" s="22" t="s">
        <v>293</v>
      </c>
    </row>
    <row r="1729" customFormat="false" ht="15" hidden="false" customHeight="false" outlineLevel="0" collapsed="false">
      <c r="A1729" s="22" t="s">
        <v>7047</v>
      </c>
      <c r="B1729" s="22" t="s">
        <v>23</v>
      </c>
      <c r="C1729" s="22" t="s">
        <v>7048</v>
      </c>
      <c r="D1729" s="22" t="s">
        <v>7049</v>
      </c>
      <c r="E1729" s="22" t="s">
        <v>7050</v>
      </c>
      <c r="F1729" s="22" t="n">
        <v>10</v>
      </c>
      <c r="G1729" s="26" t="n">
        <v>75.1</v>
      </c>
      <c r="H1729" s="26" t="n">
        <v>86.62</v>
      </c>
      <c r="I1729" s="26" t="n">
        <v>98.13</v>
      </c>
      <c r="J1729" s="26" t="n">
        <v>109.65</v>
      </c>
      <c r="K1729" s="26" t="n">
        <v>126.93</v>
      </c>
      <c r="L1729" s="26" t="n">
        <v>1.93</v>
      </c>
      <c r="M1729" s="27" t="n">
        <v>0.005</v>
      </c>
      <c r="N1729" s="27" t="n">
        <v>0.002</v>
      </c>
      <c r="O1729" s="26" t="n">
        <v>5</v>
      </c>
      <c r="P1729" s="26" t="n">
        <v>5</v>
      </c>
      <c r="Q1729" s="28" t="n">
        <v>100</v>
      </c>
      <c r="R1729" s="26" t="n">
        <v>30</v>
      </c>
      <c r="S1729" s="26" t="n">
        <v>0</v>
      </c>
      <c r="T1729" s="28" t="n">
        <v>1</v>
      </c>
      <c r="U1729" s="26" t="n">
        <v>0</v>
      </c>
      <c r="V1729" s="26" t="n">
        <v>0</v>
      </c>
      <c r="W1729" s="22" t="s">
        <v>23</v>
      </c>
      <c r="X1729" s="22" t="s">
        <v>293</v>
      </c>
    </row>
    <row r="1730" customFormat="false" ht="15" hidden="false" customHeight="false" outlineLevel="0" collapsed="false">
      <c r="A1730" s="22" t="s">
        <v>7051</v>
      </c>
      <c r="B1730" s="22" t="s">
        <v>23</v>
      </c>
      <c r="C1730" s="22" t="s">
        <v>7052</v>
      </c>
      <c r="D1730" s="22" t="s">
        <v>7053</v>
      </c>
      <c r="E1730" s="22" t="s">
        <v>7054</v>
      </c>
      <c r="F1730" s="22" t="n">
        <v>10</v>
      </c>
      <c r="G1730" s="26" t="n">
        <v>75.1</v>
      </c>
      <c r="H1730" s="26" t="n">
        <v>86.62</v>
      </c>
      <c r="I1730" s="26" t="n">
        <v>98.13</v>
      </c>
      <c r="J1730" s="26" t="n">
        <v>109.65</v>
      </c>
      <c r="K1730" s="26" t="n">
        <v>126.93</v>
      </c>
      <c r="L1730" s="26" t="n">
        <v>1.93</v>
      </c>
      <c r="M1730" s="27" t="n">
        <v>0.005</v>
      </c>
      <c r="N1730" s="27" t="n">
        <v>0.002</v>
      </c>
      <c r="O1730" s="26" t="n">
        <v>5</v>
      </c>
      <c r="P1730" s="26" t="n">
        <v>5</v>
      </c>
      <c r="Q1730" s="28" t="n">
        <v>100</v>
      </c>
      <c r="R1730" s="26" t="n">
        <v>30</v>
      </c>
      <c r="S1730" s="26" t="n">
        <v>0</v>
      </c>
      <c r="T1730" s="28" t="n">
        <v>1</v>
      </c>
      <c r="U1730" s="26" t="n">
        <v>0</v>
      </c>
      <c r="V1730" s="26" t="n">
        <v>0</v>
      </c>
      <c r="W1730" s="22" t="s">
        <v>23</v>
      </c>
      <c r="X1730" s="22" t="s">
        <v>293</v>
      </c>
    </row>
    <row r="1731" customFormat="false" ht="15" hidden="false" customHeight="false" outlineLevel="0" collapsed="false">
      <c r="A1731" s="22" t="s">
        <v>7055</v>
      </c>
      <c r="B1731" s="22" t="s">
        <v>23</v>
      </c>
      <c r="C1731" s="22" t="s">
        <v>7056</v>
      </c>
      <c r="D1731" s="22" t="s">
        <v>7057</v>
      </c>
      <c r="E1731" s="22" t="s">
        <v>7058</v>
      </c>
      <c r="F1731" s="22" t="n">
        <v>10</v>
      </c>
      <c r="G1731" s="26" t="n">
        <v>75.1</v>
      </c>
      <c r="H1731" s="26" t="n">
        <v>86.62</v>
      </c>
      <c r="I1731" s="26" t="n">
        <v>98.13</v>
      </c>
      <c r="J1731" s="26" t="n">
        <v>109.65</v>
      </c>
      <c r="K1731" s="26" t="n">
        <v>126.93</v>
      </c>
      <c r="L1731" s="26" t="n">
        <v>1.93</v>
      </c>
      <c r="M1731" s="27" t="n">
        <v>0.005</v>
      </c>
      <c r="N1731" s="27" t="n">
        <v>0.002</v>
      </c>
      <c r="O1731" s="26" t="n">
        <v>5</v>
      </c>
      <c r="P1731" s="26" t="n">
        <v>5</v>
      </c>
      <c r="Q1731" s="28" t="n">
        <v>100</v>
      </c>
      <c r="R1731" s="26" t="n">
        <v>30</v>
      </c>
      <c r="S1731" s="26" t="n">
        <v>0</v>
      </c>
      <c r="T1731" s="28" t="n">
        <v>1</v>
      </c>
      <c r="U1731" s="26" t="n">
        <v>0</v>
      </c>
      <c r="V1731" s="26" t="n">
        <v>0</v>
      </c>
      <c r="W1731" s="22" t="s">
        <v>23</v>
      </c>
      <c r="X1731" s="22" t="s">
        <v>293</v>
      </c>
    </row>
    <row r="1732" customFormat="false" ht="15" hidden="false" customHeight="false" outlineLevel="0" collapsed="false">
      <c r="A1732" s="22" t="s">
        <v>7059</v>
      </c>
      <c r="B1732" s="22" t="s">
        <v>23</v>
      </c>
      <c r="C1732" s="22" t="s">
        <v>7060</v>
      </c>
      <c r="D1732" s="22" t="s">
        <v>7061</v>
      </c>
      <c r="E1732" s="22" t="s">
        <v>7062</v>
      </c>
      <c r="F1732" s="22" t="n">
        <v>10</v>
      </c>
      <c r="G1732" s="26" t="n">
        <v>75.1</v>
      </c>
      <c r="H1732" s="26" t="n">
        <v>86.62</v>
      </c>
      <c r="I1732" s="26" t="n">
        <v>98.13</v>
      </c>
      <c r="J1732" s="26" t="n">
        <v>109.65</v>
      </c>
      <c r="K1732" s="26" t="n">
        <v>126.93</v>
      </c>
      <c r="L1732" s="26" t="n">
        <v>1.93</v>
      </c>
      <c r="M1732" s="27" t="n">
        <v>0.005</v>
      </c>
      <c r="N1732" s="27" t="n">
        <v>0.002</v>
      </c>
      <c r="O1732" s="26" t="n">
        <v>5</v>
      </c>
      <c r="P1732" s="26" t="n">
        <v>5</v>
      </c>
      <c r="Q1732" s="28" t="n">
        <v>100</v>
      </c>
      <c r="R1732" s="26" t="n">
        <v>30</v>
      </c>
      <c r="S1732" s="26" t="n">
        <v>0</v>
      </c>
      <c r="T1732" s="28" t="n">
        <v>1</v>
      </c>
      <c r="U1732" s="26" t="n">
        <v>0</v>
      </c>
      <c r="V1732" s="26" t="n">
        <v>0</v>
      </c>
      <c r="W1732" s="22" t="s">
        <v>23</v>
      </c>
      <c r="X1732" s="22" t="s">
        <v>293</v>
      </c>
    </row>
    <row r="1733" customFormat="false" ht="15" hidden="false" customHeight="false" outlineLevel="0" collapsed="false">
      <c r="A1733" s="22" t="s">
        <v>7063</v>
      </c>
      <c r="B1733" s="29" t="s">
        <v>23</v>
      </c>
      <c r="C1733" s="29" t="s">
        <v>202</v>
      </c>
      <c r="D1733" s="22" t="s">
        <v>7064</v>
      </c>
      <c r="E1733" s="22" t="s">
        <v>7065</v>
      </c>
      <c r="F1733" s="22" t="n">
        <v>10</v>
      </c>
      <c r="G1733" s="26" t="n">
        <v>78.36</v>
      </c>
      <c r="H1733" s="26" t="n">
        <v>88.38</v>
      </c>
      <c r="I1733" s="26" t="n">
        <v>108.41</v>
      </c>
      <c r="J1733" s="26" t="n">
        <v>118.43</v>
      </c>
      <c r="K1733" s="26" t="n">
        <v>133.46</v>
      </c>
      <c r="L1733" s="26" t="n">
        <v>1.93</v>
      </c>
      <c r="M1733" s="27" t="n">
        <v>0.005</v>
      </c>
      <c r="N1733" s="27" t="n">
        <v>0.002</v>
      </c>
      <c r="O1733" s="26" t="n">
        <v>5</v>
      </c>
      <c r="P1733" s="26" t="n">
        <v>5</v>
      </c>
      <c r="Q1733" s="28" t="n">
        <v>100</v>
      </c>
      <c r="R1733" s="26" t="n">
        <v>30</v>
      </c>
      <c r="S1733" s="26" t="n">
        <v>0</v>
      </c>
      <c r="T1733" s="28" t="n">
        <v>1</v>
      </c>
      <c r="U1733" s="26" t="n">
        <v>0</v>
      </c>
      <c r="V1733" s="26" t="n">
        <v>0</v>
      </c>
      <c r="W1733" s="29" t="s">
        <v>19</v>
      </c>
      <c r="X1733" s="22" t="s">
        <v>293</v>
      </c>
    </row>
    <row r="1734" customFormat="false" ht="15" hidden="false" customHeight="false" outlineLevel="0" collapsed="false">
      <c r="A1734" s="22" t="s">
        <v>7066</v>
      </c>
      <c r="B1734" s="22" t="s">
        <v>23</v>
      </c>
      <c r="C1734" s="22" t="s">
        <v>7067</v>
      </c>
      <c r="D1734" s="22" t="s">
        <v>7068</v>
      </c>
      <c r="E1734" s="22" t="s">
        <v>7069</v>
      </c>
      <c r="F1734" s="22" t="n">
        <v>10</v>
      </c>
      <c r="G1734" s="26" t="n">
        <v>75.1</v>
      </c>
      <c r="H1734" s="26" t="n">
        <v>86.62</v>
      </c>
      <c r="I1734" s="26" t="n">
        <v>98.13</v>
      </c>
      <c r="J1734" s="26" t="n">
        <v>109.65</v>
      </c>
      <c r="K1734" s="26" t="n">
        <v>126.93</v>
      </c>
      <c r="L1734" s="26" t="n">
        <v>1.93</v>
      </c>
      <c r="M1734" s="27" t="n">
        <v>0.005</v>
      </c>
      <c r="N1734" s="27" t="n">
        <v>0.002</v>
      </c>
      <c r="O1734" s="26" t="n">
        <v>5</v>
      </c>
      <c r="P1734" s="26" t="n">
        <v>5</v>
      </c>
      <c r="Q1734" s="28" t="n">
        <v>100</v>
      </c>
      <c r="R1734" s="26" t="n">
        <v>30</v>
      </c>
      <c r="S1734" s="26" t="n">
        <v>0</v>
      </c>
      <c r="T1734" s="28" t="n">
        <v>1</v>
      </c>
      <c r="U1734" s="26" t="n">
        <v>0</v>
      </c>
      <c r="V1734" s="26" t="n">
        <v>0</v>
      </c>
      <c r="W1734" s="22" t="s">
        <v>23</v>
      </c>
      <c r="X1734" s="22" t="s">
        <v>293</v>
      </c>
    </row>
    <row r="1735" customFormat="false" ht="15" hidden="false" customHeight="false" outlineLevel="0" collapsed="false">
      <c r="A1735" s="22" t="s">
        <v>7070</v>
      </c>
      <c r="B1735" s="22" t="s">
        <v>23</v>
      </c>
      <c r="C1735" s="22" t="s">
        <v>7071</v>
      </c>
      <c r="D1735" s="22" t="s">
        <v>7072</v>
      </c>
      <c r="E1735" s="22" t="s">
        <v>7073</v>
      </c>
      <c r="F1735" s="22" t="n">
        <v>10</v>
      </c>
      <c r="G1735" s="26" t="n">
        <v>75.1</v>
      </c>
      <c r="H1735" s="26" t="n">
        <v>86.62</v>
      </c>
      <c r="I1735" s="26" t="n">
        <v>98.13</v>
      </c>
      <c r="J1735" s="26" t="n">
        <v>109.65</v>
      </c>
      <c r="K1735" s="26" t="n">
        <v>126.93</v>
      </c>
      <c r="L1735" s="26" t="n">
        <v>1.93</v>
      </c>
      <c r="M1735" s="27" t="n">
        <v>0.005</v>
      </c>
      <c r="N1735" s="27" t="n">
        <v>0.002</v>
      </c>
      <c r="O1735" s="26" t="n">
        <v>5</v>
      </c>
      <c r="P1735" s="26" t="n">
        <v>5</v>
      </c>
      <c r="Q1735" s="28" t="n">
        <v>100</v>
      </c>
      <c r="R1735" s="26" t="n">
        <v>30</v>
      </c>
      <c r="S1735" s="26" t="n">
        <v>0</v>
      </c>
      <c r="T1735" s="28" t="n">
        <v>1</v>
      </c>
      <c r="U1735" s="26" t="n">
        <v>0</v>
      </c>
      <c r="V1735" s="26" t="n">
        <v>0</v>
      </c>
      <c r="W1735" s="22" t="s">
        <v>23</v>
      </c>
      <c r="X1735" s="22" t="s">
        <v>293</v>
      </c>
    </row>
    <row r="1736" customFormat="false" ht="15" hidden="false" customHeight="false" outlineLevel="0" collapsed="false">
      <c r="A1736" s="22" t="s">
        <v>7074</v>
      </c>
      <c r="B1736" s="22" t="s">
        <v>23</v>
      </c>
      <c r="C1736" s="22" t="s">
        <v>7075</v>
      </c>
      <c r="D1736" s="22" t="s">
        <v>7076</v>
      </c>
      <c r="E1736" s="22" t="s">
        <v>7077</v>
      </c>
      <c r="F1736" s="22" t="n">
        <v>10</v>
      </c>
      <c r="G1736" s="26" t="n">
        <v>75.1</v>
      </c>
      <c r="H1736" s="26" t="n">
        <v>86.62</v>
      </c>
      <c r="I1736" s="26" t="n">
        <v>98.13</v>
      </c>
      <c r="J1736" s="26" t="n">
        <v>109.65</v>
      </c>
      <c r="K1736" s="26" t="n">
        <v>126.93</v>
      </c>
      <c r="L1736" s="26" t="n">
        <v>1.93</v>
      </c>
      <c r="M1736" s="27" t="n">
        <v>0.005</v>
      </c>
      <c r="N1736" s="27" t="n">
        <v>0.002</v>
      </c>
      <c r="O1736" s="26" t="n">
        <v>5</v>
      </c>
      <c r="P1736" s="26" t="n">
        <v>5</v>
      </c>
      <c r="Q1736" s="28" t="n">
        <v>100</v>
      </c>
      <c r="R1736" s="26" t="n">
        <v>30</v>
      </c>
      <c r="S1736" s="26" t="n">
        <v>0</v>
      </c>
      <c r="T1736" s="28" t="n">
        <v>1</v>
      </c>
      <c r="U1736" s="26" t="n">
        <v>0</v>
      </c>
      <c r="V1736" s="26" t="n">
        <v>0</v>
      </c>
      <c r="W1736" s="22" t="s">
        <v>23</v>
      </c>
      <c r="X1736" s="22" t="s">
        <v>293</v>
      </c>
    </row>
    <row r="1737" customFormat="false" ht="15" hidden="false" customHeight="false" outlineLevel="0" collapsed="false">
      <c r="A1737" s="22" t="s">
        <v>7078</v>
      </c>
      <c r="B1737" s="22" t="s">
        <v>23</v>
      </c>
      <c r="C1737" s="22" t="s">
        <v>7079</v>
      </c>
      <c r="D1737" s="22" t="s">
        <v>7080</v>
      </c>
      <c r="E1737" s="22" t="s">
        <v>7081</v>
      </c>
      <c r="F1737" s="22" t="n">
        <v>10</v>
      </c>
      <c r="G1737" s="26" t="n">
        <v>75.1</v>
      </c>
      <c r="H1737" s="26" t="n">
        <v>86.62</v>
      </c>
      <c r="I1737" s="26" t="n">
        <v>98.13</v>
      </c>
      <c r="J1737" s="26" t="n">
        <v>109.65</v>
      </c>
      <c r="K1737" s="26" t="n">
        <v>126.93</v>
      </c>
      <c r="L1737" s="26" t="n">
        <v>1.93</v>
      </c>
      <c r="M1737" s="27" t="n">
        <v>0.005</v>
      </c>
      <c r="N1737" s="27" t="n">
        <v>0.002</v>
      </c>
      <c r="O1737" s="26" t="n">
        <v>5</v>
      </c>
      <c r="P1737" s="26" t="n">
        <v>5</v>
      </c>
      <c r="Q1737" s="28" t="n">
        <v>100</v>
      </c>
      <c r="R1737" s="26" t="n">
        <v>30</v>
      </c>
      <c r="S1737" s="26" t="n">
        <v>0</v>
      </c>
      <c r="T1737" s="28" t="n">
        <v>1</v>
      </c>
      <c r="U1737" s="26" t="n">
        <v>0</v>
      </c>
      <c r="V1737" s="26" t="n">
        <v>0</v>
      </c>
      <c r="W1737" s="22" t="s">
        <v>23</v>
      </c>
      <c r="X1737" s="22" t="s">
        <v>293</v>
      </c>
    </row>
    <row r="1738" customFormat="false" ht="15" hidden="false" customHeight="false" outlineLevel="0" collapsed="false">
      <c r="A1738" s="22" t="s">
        <v>7082</v>
      </c>
      <c r="B1738" s="22" t="s">
        <v>23</v>
      </c>
      <c r="C1738" s="22" t="s">
        <v>7083</v>
      </c>
      <c r="D1738" s="22" t="s">
        <v>7084</v>
      </c>
      <c r="E1738" s="22" t="s">
        <v>7085</v>
      </c>
      <c r="F1738" s="22" t="n">
        <v>10</v>
      </c>
      <c r="G1738" s="26" t="n">
        <v>75.1</v>
      </c>
      <c r="H1738" s="26" t="n">
        <v>86.62</v>
      </c>
      <c r="I1738" s="26" t="n">
        <v>98.13</v>
      </c>
      <c r="J1738" s="26" t="n">
        <v>109.65</v>
      </c>
      <c r="K1738" s="26" t="n">
        <v>126.93</v>
      </c>
      <c r="L1738" s="26" t="n">
        <v>1.93</v>
      </c>
      <c r="M1738" s="27" t="n">
        <v>0.005</v>
      </c>
      <c r="N1738" s="27" t="n">
        <v>0.002</v>
      </c>
      <c r="O1738" s="26" t="n">
        <v>5</v>
      </c>
      <c r="P1738" s="26" t="n">
        <v>5</v>
      </c>
      <c r="Q1738" s="28" t="n">
        <v>100</v>
      </c>
      <c r="R1738" s="26" t="n">
        <v>30</v>
      </c>
      <c r="S1738" s="26" t="n">
        <v>0</v>
      </c>
      <c r="T1738" s="28" t="n">
        <v>1</v>
      </c>
      <c r="U1738" s="26" t="n">
        <v>0</v>
      </c>
      <c r="V1738" s="26" t="n">
        <v>0</v>
      </c>
      <c r="W1738" s="22" t="s">
        <v>23</v>
      </c>
      <c r="X1738" s="22" t="s">
        <v>293</v>
      </c>
    </row>
    <row r="1739" customFormat="false" ht="15" hidden="false" customHeight="false" outlineLevel="0" collapsed="false">
      <c r="A1739" s="22" t="s">
        <v>7086</v>
      </c>
      <c r="B1739" s="22" t="s">
        <v>23</v>
      </c>
      <c r="C1739" s="22" t="s">
        <v>7087</v>
      </c>
      <c r="D1739" s="22" t="s">
        <v>7088</v>
      </c>
      <c r="E1739" s="22" t="s">
        <v>7089</v>
      </c>
      <c r="F1739" s="22" t="n">
        <v>10</v>
      </c>
      <c r="G1739" s="26" t="n">
        <v>75.1</v>
      </c>
      <c r="H1739" s="26" t="n">
        <v>86.62</v>
      </c>
      <c r="I1739" s="26" t="n">
        <v>98.13</v>
      </c>
      <c r="J1739" s="26" t="n">
        <v>109.65</v>
      </c>
      <c r="K1739" s="26" t="n">
        <v>126.93</v>
      </c>
      <c r="L1739" s="26" t="n">
        <v>1.93</v>
      </c>
      <c r="M1739" s="27" t="n">
        <v>0.005</v>
      </c>
      <c r="N1739" s="27" t="n">
        <v>0.002</v>
      </c>
      <c r="O1739" s="26" t="n">
        <v>5</v>
      </c>
      <c r="P1739" s="26" t="n">
        <v>5</v>
      </c>
      <c r="Q1739" s="28" t="n">
        <v>100</v>
      </c>
      <c r="R1739" s="26" t="n">
        <v>30</v>
      </c>
      <c r="S1739" s="26" t="n">
        <v>0</v>
      </c>
      <c r="T1739" s="28" t="n">
        <v>1</v>
      </c>
      <c r="U1739" s="26" t="n">
        <v>0</v>
      </c>
      <c r="V1739" s="26" t="n">
        <v>0</v>
      </c>
      <c r="W1739" s="22" t="s">
        <v>23</v>
      </c>
      <c r="X1739" s="22" t="s">
        <v>293</v>
      </c>
    </row>
    <row r="1740" customFormat="false" ht="15" hidden="false" customHeight="false" outlineLevel="0" collapsed="false">
      <c r="A1740" s="22" t="s">
        <v>7090</v>
      </c>
      <c r="B1740" s="22" t="s">
        <v>23</v>
      </c>
      <c r="C1740" s="22" t="s">
        <v>7091</v>
      </c>
      <c r="D1740" s="22" t="s">
        <v>7092</v>
      </c>
      <c r="E1740" s="22" t="s">
        <v>7093</v>
      </c>
      <c r="F1740" s="22" t="n">
        <v>10</v>
      </c>
      <c r="G1740" s="26" t="n">
        <v>75.1</v>
      </c>
      <c r="H1740" s="26" t="n">
        <v>86.62</v>
      </c>
      <c r="I1740" s="26" t="n">
        <v>98.13</v>
      </c>
      <c r="J1740" s="26" t="n">
        <v>109.65</v>
      </c>
      <c r="K1740" s="26" t="n">
        <v>126.93</v>
      </c>
      <c r="L1740" s="26" t="n">
        <v>1.93</v>
      </c>
      <c r="M1740" s="27" t="n">
        <v>0.005</v>
      </c>
      <c r="N1740" s="27" t="n">
        <v>0.002</v>
      </c>
      <c r="O1740" s="26" t="n">
        <v>5</v>
      </c>
      <c r="P1740" s="26" t="n">
        <v>5</v>
      </c>
      <c r="Q1740" s="28" t="n">
        <v>100</v>
      </c>
      <c r="R1740" s="26" t="n">
        <v>30</v>
      </c>
      <c r="S1740" s="26" t="n">
        <v>0</v>
      </c>
      <c r="T1740" s="28" t="n">
        <v>1</v>
      </c>
      <c r="U1740" s="26" t="n">
        <v>0</v>
      </c>
      <c r="V1740" s="26" t="n">
        <v>0</v>
      </c>
      <c r="W1740" s="22" t="s">
        <v>23</v>
      </c>
      <c r="X1740" s="22" t="s">
        <v>293</v>
      </c>
    </row>
    <row r="1741" customFormat="false" ht="15" hidden="false" customHeight="false" outlineLevel="0" collapsed="false">
      <c r="A1741" s="22" t="s">
        <v>7094</v>
      </c>
      <c r="B1741" s="22" t="s">
        <v>23</v>
      </c>
      <c r="C1741" s="22" t="s">
        <v>7095</v>
      </c>
      <c r="D1741" s="22" t="s">
        <v>7096</v>
      </c>
      <c r="E1741" s="22" t="s">
        <v>7097</v>
      </c>
      <c r="F1741" s="22" t="n">
        <v>10</v>
      </c>
      <c r="G1741" s="26" t="n">
        <v>75.1</v>
      </c>
      <c r="H1741" s="26" t="n">
        <v>86.62</v>
      </c>
      <c r="I1741" s="26" t="n">
        <v>98.13</v>
      </c>
      <c r="J1741" s="26" t="n">
        <v>109.65</v>
      </c>
      <c r="K1741" s="26" t="n">
        <v>126.93</v>
      </c>
      <c r="L1741" s="26" t="n">
        <v>1.93</v>
      </c>
      <c r="M1741" s="27" t="n">
        <v>0.005</v>
      </c>
      <c r="N1741" s="27" t="n">
        <v>0.002</v>
      </c>
      <c r="O1741" s="26" t="n">
        <v>5</v>
      </c>
      <c r="P1741" s="26" t="n">
        <v>5</v>
      </c>
      <c r="Q1741" s="28" t="n">
        <v>100</v>
      </c>
      <c r="R1741" s="26" t="n">
        <v>30</v>
      </c>
      <c r="S1741" s="26" t="n">
        <v>0</v>
      </c>
      <c r="T1741" s="28" t="n">
        <v>1</v>
      </c>
      <c r="U1741" s="26" t="n">
        <v>0</v>
      </c>
      <c r="V1741" s="26" t="n">
        <v>0</v>
      </c>
      <c r="W1741" s="22" t="s">
        <v>23</v>
      </c>
      <c r="X1741" s="22" t="s">
        <v>293</v>
      </c>
    </row>
    <row r="1742" customFormat="false" ht="15" hidden="false" customHeight="false" outlineLevel="0" collapsed="false">
      <c r="A1742" s="22" t="s">
        <v>7098</v>
      </c>
      <c r="B1742" s="22" t="s">
        <v>23</v>
      </c>
      <c r="C1742" s="22" t="s">
        <v>7099</v>
      </c>
      <c r="D1742" s="22" t="s">
        <v>7100</v>
      </c>
      <c r="E1742" s="22" t="s">
        <v>7101</v>
      </c>
      <c r="F1742" s="22" t="n">
        <v>10</v>
      </c>
      <c r="G1742" s="26" t="n">
        <v>75.1</v>
      </c>
      <c r="H1742" s="26" t="n">
        <v>86.62</v>
      </c>
      <c r="I1742" s="26" t="n">
        <v>98.13</v>
      </c>
      <c r="J1742" s="26" t="n">
        <v>109.65</v>
      </c>
      <c r="K1742" s="26" t="n">
        <v>126.93</v>
      </c>
      <c r="L1742" s="26" t="n">
        <v>1.93</v>
      </c>
      <c r="M1742" s="27" t="n">
        <v>0.005</v>
      </c>
      <c r="N1742" s="27" t="n">
        <v>0.002</v>
      </c>
      <c r="O1742" s="26" t="n">
        <v>5</v>
      </c>
      <c r="P1742" s="26" t="n">
        <v>5</v>
      </c>
      <c r="Q1742" s="28" t="n">
        <v>100</v>
      </c>
      <c r="R1742" s="26" t="n">
        <v>30</v>
      </c>
      <c r="S1742" s="26" t="n">
        <v>0</v>
      </c>
      <c r="T1742" s="28" t="n">
        <v>1</v>
      </c>
      <c r="U1742" s="26" t="n">
        <v>0</v>
      </c>
      <c r="V1742" s="26" t="n">
        <v>0</v>
      </c>
      <c r="W1742" s="22" t="s">
        <v>23</v>
      </c>
      <c r="X1742" s="22" t="s">
        <v>293</v>
      </c>
    </row>
    <row r="1743" customFormat="false" ht="15" hidden="false" customHeight="false" outlineLevel="0" collapsed="false">
      <c r="A1743" s="22" t="s">
        <v>7102</v>
      </c>
      <c r="B1743" s="22" t="s">
        <v>23</v>
      </c>
      <c r="C1743" s="22" t="s">
        <v>7103</v>
      </c>
      <c r="D1743" s="22" t="s">
        <v>7104</v>
      </c>
      <c r="E1743" s="22" t="s">
        <v>7105</v>
      </c>
      <c r="F1743" s="22" t="n">
        <v>10</v>
      </c>
      <c r="G1743" s="26" t="n">
        <v>75.1</v>
      </c>
      <c r="H1743" s="26" t="n">
        <v>86.62</v>
      </c>
      <c r="I1743" s="26" t="n">
        <v>98.13</v>
      </c>
      <c r="J1743" s="26" t="n">
        <v>109.65</v>
      </c>
      <c r="K1743" s="26" t="n">
        <v>126.93</v>
      </c>
      <c r="L1743" s="26" t="n">
        <v>1.93</v>
      </c>
      <c r="M1743" s="27" t="n">
        <v>0.005</v>
      </c>
      <c r="N1743" s="27" t="n">
        <v>0.002</v>
      </c>
      <c r="O1743" s="26" t="n">
        <v>5</v>
      </c>
      <c r="P1743" s="26" t="n">
        <v>5</v>
      </c>
      <c r="Q1743" s="28" t="n">
        <v>100</v>
      </c>
      <c r="R1743" s="26" t="n">
        <v>30</v>
      </c>
      <c r="S1743" s="26" t="n">
        <v>0</v>
      </c>
      <c r="T1743" s="28" t="n">
        <v>1</v>
      </c>
      <c r="U1743" s="26" t="n">
        <v>0</v>
      </c>
      <c r="V1743" s="26" t="n">
        <v>0</v>
      </c>
      <c r="W1743" s="22" t="s">
        <v>23</v>
      </c>
      <c r="X1743" s="22" t="s">
        <v>293</v>
      </c>
    </row>
    <row r="1744" customFormat="false" ht="15" hidden="false" customHeight="false" outlineLevel="0" collapsed="false">
      <c r="A1744" s="22" t="s">
        <v>7106</v>
      </c>
      <c r="B1744" s="29" t="s">
        <v>23</v>
      </c>
      <c r="C1744" s="29" t="s">
        <v>6591</v>
      </c>
      <c r="D1744" s="22" t="s">
        <v>7107</v>
      </c>
      <c r="E1744" s="22" t="s">
        <v>7108</v>
      </c>
      <c r="F1744" s="22" t="n">
        <v>10</v>
      </c>
      <c r="G1744" s="26" t="n">
        <v>99.55</v>
      </c>
      <c r="H1744" s="26" t="n">
        <v>109.56</v>
      </c>
      <c r="I1744" s="26" t="n">
        <v>129.6</v>
      </c>
      <c r="J1744" s="26" t="n">
        <v>139.62</v>
      </c>
      <c r="K1744" s="26" t="n">
        <v>154.64</v>
      </c>
      <c r="L1744" s="26" t="n">
        <v>2.06</v>
      </c>
      <c r="M1744" s="27" t="n">
        <v>0.005</v>
      </c>
      <c r="N1744" s="27" t="n">
        <v>0.002</v>
      </c>
      <c r="O1744" s="26" t="n">
        <v>5</v>
      </c>
      <c r="P1744" s="26" t="n">
        <v>5</v>
      </c>
      <c r="Q1744" s="28" t="n">
        <v>100</v>
      </c>
      <c r="R1744" s="26" t="n">
        <v>30</v>
      </c>
      <c r="S1744" s="26" t="n">
        <v>0</v>
      </c>
      <c r="T1744" s="28" t="n">
        <v>1</v>
      </c>
      <c r="U1744" s="26" t="n">
        <v>0</v>
      </c>
      <c r="V1744" s="26" t="n">
        <v>0</v>
      </c>
      <c r="W1744" s="29" t="s">
        <v>22</v>
      </c>
      <c r="X1744" s="22" t="s">
        <v>293</v>
      </c>
    </row>
    <row r="1745" customFormat="false" ht="15" hidden="false" customHeight="false" outlineLevel="0" collapsed="false">
      <c r="A1745" s="22" t="s">
        <v>7109</v>
      </c>
      <c r="B1745" s="22" t="s">
        <v>23</v>
      </c>
      <c r="C1745" s="22" t="s">
        <v>7110</v>
      </c>
      <c r="D1745" s="22" t="s">
        <v>7111</v>
      </c>
      <c r="E1745" s="22" t="s">
        <v>7112</v>
      </c>
      <c r="F1745" s="22" t="n">
        <v>10</v>
      </c>
      <c r="G1745" s="26" t="n">
        <v>75.1</v>
      </c>
      <c r="H1745" s="26" t="n">
        <v>86.62</v>
      </c>
      <c r="I1745" s="26" t="n">
        <v>98.13</v>
      </c>
      <c r="J1745" s="26" t="n">
        <v>109.65</v>
      </c>
      <c r="K1745" s="26" t="n">
        <v>126.93</v>
      </c>
      <c r="L1745" s="26" t="n">
        <v>1.93</v>
      </c>
      <c r="M1745" s="27" t="n">
        <v>0.005</v>
      </c>
      <c r="N1745" s="27" t="n">
        <v>0.002</v>
      </c>
      <c r="O1745" s="26" t="n">
        <v>5</v>
      </c>
      <c r="P1745" s="26" t="n">
        <v>5</v>
      </c>
      <c r="Q1745" s="28" t="n">
        <v>100</v>
      </c>
      <c r="R1745" s="26" t="n">
        <v>30</v>
      </c>
      <c r="S1745" s="26" t="n">
        <v>0</v>
      </c>
      <c r="T1745" s="28" t="n">
        <v>1</v>
      </c>
      <c r="U1745" s="26" t="n">
        <v>0</v>
      </c>
      <c r="V1745" s="26" t="n">
        <v>0</v>
      </c>
      <c r="W1745" s="22" t="s">
        <v>23</v>
      </c>
      <c r="X1745" s="22" t="s">
        <v>293</v>
      </c>
    </row>
    <row r="1746" customFormat="false" ht="15" hidden="false" customHeight="false" outlineLevel="0" collapsed="false">
      <c r="A1746" s="22" t="s">
        <v>7113</v>
      </c>
      <c r="B1746" s="22" t="s">
        <v>23</v>
      </c>
      <c r="C1746" s="22" t="s">
        <v>7114</v>
      </c>
      <c r="D1746" s="22" t="s">
        <v>7115</v>
      </c>
      <c r="E1746" s="22" t="s">
        <v>7116</v>
      </c>
      <c r="F1746" s="22" t="n">
        <v>10</v>
      </c>
      <c r="G1746" s="26" t="n">
        <v>75.1</v>
      </c>
      <c r="H1746" s="26" t="n">
        <v>86.62</v>
      </c>
      <c r="I1746" s="26" t="n">
        <v>98.13</v>
      </c>
      <c r="J1746" s="26" t="n">
        <v>109.65</v>
      </c>
      <c r="K1746" s="26" t="n">
        <v>126.93</v>
      </c>
      <c r="L1746" s="26" t="n">
        <v>1.93</v>
      </c>
      <c r="M1746" s="27" t="n">
        <v>0.005</v>
      </c>
      <c r="N1746" s="27" t="n">
        <v>0.002</v>
      </c>
      <c r="O1746" s="26" t="n">
        <v>5</v>
      </c>
      <c r="P1746" s="26" t="n">
        <v>5</v>
      </c>
      <c r="Q1746" s="28" t="n">
        <v>100</v>
      </c>
      <c r="R1746" s="26" t="n">
        <v>30</v>
      </c>
      <c r="S1746" s="26" t="n">
        <v>0</v>
      </c>
      <c r="T1746" s="28" t="n">
        <v>1</v>
      </c>
      <c r="U1746" s="26" t="n">
        <v>0</v>
      </c>
      <c r="V1746" s="26" t="n">
        <v>0</v>
      </c>
      <c r="W1746" s="22" t="s">
        <v>23</v>
      </c>
      <c r="X1746" s="22" t="s">
        <v>293</v>
      </c>
    </row>
    <row r="1747" customFormat="false" ht="15" hidden="false" customHeight="false" outlineLevel="0" collapsed="false">
      <c r="A1747" s="22" t="s">
        <v>7117</v>
      </c>
      <c r="B1747" s="22" t="s">
        <v>23</v>
      </c>
      <c r="C1747" s="22" t="s">
        <v>7118</v>
      </c>
      <c r="D1747" s="22" t="s">
        <v>7119</v>
      </c>
      <c r="E1747" s="22" t="s">
        <v>7120</v>
      </c>
      <c r="F1747" s="22" t="n">
        <v>10</v>
      </c>
      <c r="G1747" s="26" t="n">
        <v>75.1</v>
      </c>
      <c r="H1747" s="26" t="n">
        <v>86.62</v>
      </c>
      <c r="I1747" s="26" t="n">
        <v>98.13</v>
      </c>
      <c r="J1747" s="26" t="n">
        <v>109.65</v>
      </c>
      <c r="K1747" s="26" t="n">
        <v>126.93</v>
      </c>
      <c r="L1747" s="26" t="n">
        <v>1.93</v>
      </c>
      <c r="M1747" s="27" t="n">
        <v>0.005</v>
      </c>
      <c r="N1747" s="27" t="n">
        <v>0.002</v>
      </c>
      <c r="O1747" s="26" t="n">
        <v>5</v>
      </c>
      <c r="P1747" s="26" t="n">
        <v>5</v>
      </c>
      <c r="Q1747" s="28" t="n">
        <v>100</v>
      </c>
      <c r="R1747" s="26" t="n">
        <v>30</v>
      </c>
      <c r="S1747" s="26" t="n">
        <v>0</v>
      </c>
      <c r="T1747" s="28" t="n">
        <v>1</v>
      </c>
      <c r="U1747" s="26" t="n">
        <v>0</v>
      </c>
      <c r="V1747" s="26" t="n">
        <v>0</v>
      </c>
      <c r="W1747" s="22" t="s">
        <v>23</v>
      </c>
      <c r="X1747" s="22" t="s">
        <v>293</v>
      </c>
    </row>
    <row r="1748" customFormat="false" ht="15" hidden="false" customHeight="false" outlineLevel="0" collapsed="false">
      <c r="A1748" s="22" t="s">
        <v>7121</v>
      </c>
      <c r="B1748" s="22" t="s">
        <v>23</v>
      </c>
      <c r="C1748" s="22" t="s">
        <v>7122</v>
      </c>
      <c r="D1748" s="22" t="s">
        <v>7123</v>
      </c>
      <c r="E1748" s="22" t="s">
        <v>7124</v>
      </c>
      <c r="F1748" s="22" t="n">
        <v>10</v>
      </c>
      <c r="G1748" s="26" t="n">
        <v>75.1</v>
      </c>
      <c r="H1748" s="26" t="n">
        <v>86.62</v>
      </c>
      <c r="I1748" s="26" t="n">
        <v>98.13</v>
      </c>
      <c r="J1748" s="26" t="n">
        <v>109.65</v>
      </c>
      <c r="K1748" s="26" t="n">
        <v>126.93</v>
      </c>
      <c r="L1748" s="26" t="n">
        <v>1.93</v>
      </c>
      <c r="M1748" s="27" t="n">
        <v>0.005</v>
      </c>
      <c r="N1748" s="27" t="n">
        <v>0.002</v>
      </c>
      <c r="O1748" s="26" t="n">
        <v>5</v>
      </c>
      <c r="P1748" s="26" t="n">
        <v>5</v>
      </c>
      <c r="Q1748" s="28" t="n">
        <v>100</v>
      </c>
      <c r="R1748" s="26" t="n">
        <v>30</v>
      </c>
      <c r="S1748" s="26" t="n">
        <v>0</v>
      </c>
      <c r="T1748" s="28" t="n">
        <v>1</v>
      </c>
      <c r="U1748" s="26" t="n">
        <v>0</v>
      </c>
      <c r="V1748" s="26" t="n">
        <v>0</v>
      </c>
      <c r="W1748" s="22" t="s">
        <v>23</v>
      </c>
      <c r="X1748" s="22" t="s">
        <v>293</v>
      </c>
    </row>
    <row r="1749" customFormat="false" ht="15" hidden="false" customHeight="false" outlineLevel="0" collapsed="false">
      <c r="A1749" s="22" t="s">
        <v>7125</v>
      </c>
      <c r="B1749" s="29" t="s">
        <v>23</v>
      </c>
      <c r="C1749" s="29" t="s">
        <v>991</v>
      </c>
      <c r="D1749" s="22" t="s">
        <v>7126</v>
      </c>
      <c r="E1749" s="22" t="s">
        <v>7127</v>
      </c>
      <c r="F1749" s="22" t="n">
        <v>10</v>
      </c>
      <c r="G1749" s="26" t="n">
        <v>78.36</v>
      </c>
      <c r="H1749" s="26" t="n">
        <v>88.38</v>
      </c>
      <c r="I1749" s="26" t="n">
        <v>108.41</v>
      </c>
      <c r="J1749" s="26" t="n">
        <v>118.43</v>
      </c>
      <c r="K1749" s="26" t="n">
        <v>133.46</v>
      </c>
      <c r="L1749" s="26" t="n">
        <v>1.93</v>
      </c>
      <c r="M1749" s="27" t="n">
        <v>0.005</v>
      </c>
      <c r="N1749" s="27" t="n">
        <v>0.002</v>
      </c>
      <c r="O1749" s="26" t="n">
        <v>5</v>
      </c>
      <c r="P1749" s="26" t="n">
        <v>5</v>
      </c>
      <c r="Q1749" s="28" t="n">
        <v>100</v>
      </c>
      <c r="R1749" s="26" t="n">
        <v>30</v>
      </c>
      <c r="S1749" s="26" t="n">
        <v>0</v>
      </c>
      <c r="T1749" s="28" t="n">
        <v>1</v>
      </c>
      <c r="U1749" s="26" t="n">
        <v>0</v>
      </c>
      <c r="V1749" s="26" t="n">
        <v>0</v>
      </c>
      <c r="W1749" s="29" t="s">
        <v>19</v>
      </c>
      <c r="X1749" s="22" t="s">
        <v>293</v>
      </c>
    </row>
    <row r="1750" customFormat="false" ht="15" hidden="false" customHeight="false" outlineLevel="0" collapsed="false">
      <c r="A1750" s="22" t="s">
        <v>7128</v>
      </c>
      <c r="B1750" s="22" t="s">
        <v>23</v>
      </c>
      <c r="C1750" s="22" t="s">
        <v>7129</v>
      </c>
      <c r="D1750" s="22" t="s">
        <v>7130</v>
      </c>
      <c r="E1750" s="22" t="s">
        <v>7131</v>
      </c>
      <c r="F1750" s="22" t="n">
        <v>10</v>
      </c>
      <c r="G1750" s="26" t="n">
        <v>75.1</v>
      </c>
      <c r="H1750" s="26" t="n">
        <v>86.62</v>
      </c>
      <c r="I1750" s="26" t="n">
        <v>98.13</v>
      </c>
      <c r="J1750" s="26" t="n">
        <v>109.65</v>
      </c>
      <c r="K1750" s="26" t="n">
        <v>126.93</v>
      </c>
      <c r="L1750" s="26" t="n">
        <v>1.93</v>
      </c>
      <c r="M1750" s="27" t="n">
        <v>0.005</v>
      </c>
      <c r="N1750" s="27" t="n">
        <v>0.002</v>
      </c>
      <c r="O1750" s="26" t="n">
        <v>5</v>
      </c>
      <c r="P1750" s="26" t="n">
        <v>5</v>
      </c>
      <c r="Q1750" s="28" t="n">
        <v>100</v>
      </c>
      <c r="R1750" s="26" t="n">
        <v>30</v>
      </c>
      <c r="S1750" s="26" t="n">
        <v>0</v>
      </c>
      <c r="T1750" s="28" t="n">
        <v>1</v>
      </c>
      <c r="U1750" s="26" t="n">
        <v>0</v>
      </c>
      <c r="V1750" s="26" t="n">
        <v>0</v>
      </c>
      <c r="W1750" s="22" t="s">
        <v>23</v>
      </c>
      <c r="X1750" s="22" t="s">
        <v>293</v>
      </c>
    </row>
    <row r="1751" customFormat="false" ht="15" hidden="false" customHeight="false" outlineLevel="0" collapsed="false">
      <c r="A1751" s="22" t="s">
        <v>7132</v>
      </c>
      <c r="B1751" s="22" t="s">
        <v>23</v>
      </c>
      <c r="C1751" s="22" t="s">
        <v>207</v>
      </c>
      <c r="D1751" s="22" t="s">
        <v>7133</v>
      </c>
      <c r="E1751" s="22" t="s">
        <v>7134</v>
      </c>
      <c r="F1751" s="22" t="n">
        <v>10</v>
      </c>
      <c r="G1751" s="26" t="n">
        <v>75.1</v>
      </c>
      <c r="H1751" s="26" t="n">
        <v>86.62</v>
      </c>
      <c r="I1751" s="26" t="n">
        <v>98.13</v>
      </c>
      <c r="J1751" s="26" t="n">
        <v>109.65</v>
      </c>
      <c r="K1751" s="26" t="n">
        <v>126.93</v>
      </c>
      <c r="L1751" s="26" t="n">
        <v>1.93</v>
      </c>
      <c r="M1751" s="27" t="n">
        <v>0.005</v>
      </c>
      <c r="N1751" s="27" t="n">
        <v>0.002</v>
      </c>
      <c r="O1751" s="26" t="n">
        <v>5</v>
      </c>
      <c r="P1751" s="26" t="n">
        <v>5</v>
      </c>
      <c r="Q1751" s="28" t="n">
        <v>100</v>
      </c>
      <c r="R1751" s="26" t="n">
        <v>30</v>
      </c>
      <c r="S1751" s="26" t="n">
        <v>0</v>
      </c>
      <c r="T1751" s="28" t="n">
        <v>1</v>
      </c>
      <c r="U1751" s="26" t="n">
        <v>0</v>
      </c>
      <c r="V1751" s="26" t="n">
        <v>0</v>
      </c>
      <c r="W1751" s="22" t="s">
        <v>23</v>
      </c>
      <c r="X1751" s="22" t="s">
        <v>293</v>
      </c>
    </row>
    <row r="1752" customFormat="false" ht="15" hidden="false" customHeight="false" outlineLevel="0" collapsed="false">
      <c r="A1752" s="22" t="s">
        <v>7135</v>
      </c>
      <c r="B1752" s="22" t="s">
        <v>23</v>
      </c>
      <c r="C1752" s="22" t="s">
        <v>7136</v>
      </c>
      <c r="D1752" s="22" t="s">
        <v>7137</v>
      </c>
      <c r="E1752" s="22" t="s">
        <v>7138</v>
      </c>
      <c r="F1752" s="22" t="n">
        <v>12</v>
      </c>
      <c r="G1752" s="26" t="n">
        <v>91.58</v>
      </c>
      <c r="H1752" s="26" t="n">
        <v>103.1</v>
      </c>
      <c r="I1752" s="26" t="n">
        <v>114.62</v>
      </c>
      <c r="J1752" s="26" t="n">
        <v>126.14</v>
      </c>
      <c r="K1752" s="26" t="n">
        <v>143.42</v>
      </c>
      <c r="L1752" s="26" t="n">
        <v>2.06</v>
      </c>
      <c r="M1752" s="27" t="n">
        <v>0.005</v>
      </c>
      <c r="N1752" s="27" t="n">
        <v>0.002</v>
      </c>
      <c r="O1752" s="26" t="n">
        <v>5</v>
      </c>
      <c r="P1752" s="26" t="n">
        <v>5</v>
      </c>
      <c r="Q1752" s="28" t="n">
        <v>100</v>
      </c>
      <c r="R1752" s="26" t="n">
        <v>30</v>
      </c>
      <c r="S1752" s="26" t="n">
        <v>0</v>
      </c>
      <c r="T1752" s="28" t="n">
        <v>1</v>
      </c>
      <c r="U1752" s="26" t="n">
        <v>0</v>
      </c>
      <c r="V1752" s="26" t="n">
        <v>0</v>
      </c>
      <c r="W1752" s="22" t="s">
        <v>23</v>
      </c>
      <c r="X1752" s="22" t="s">
        <v>373</v>
      </c>
    </row>
    <row r="1753" customFormat="false" ht="15" hidden="false" customHeight="false" outlineLevel="0" collapsed="false">
      <c r="A1753" s="22" t="s">
        <v>7139</v>
      </c>
      <c r="B1753" s="22" t="s">
        <v>23</v>
      </c>
      <c r="C1753" s="22" t="s">
        <v>7140</v>
      </c>
      <c r="D1753" s="22" t="s">
        <v>7141</v>
      </c>
      <c r="E1753" s="22" t="s">
        <v>7142</v>
      </c>
      <c r="F1753" s="22" t="n">
        <v>12</v>
      </c>
      <c r="G1753" s="26" t="n">
        <v>91.58</v>
      </c>
      <c r="H1753" s="26" t="n">
        <v>103.1</v>
      </c>
      <c r="I1753" s="26" t="n">
        <v>114.62</v>
      </c>
      <c r="J1753" s="26" t="n">
        <v>126.14</v>
      </c>
      <c r="K1753" s="26" t="n">
        <v>143.42</v>
      </c>
      <c r="L1753" s="26" t="n">
        <v>2.06</v>
      </c>
      <c r="M1753" s="27" t="n">
        <v>0.005</v>
      </c>
      <c r="N1753" s="27" t="n">
        <v>0.002</v>
      </c>
      <c r="O1753" s="26" t="n">
        <v>5</v>
      </c>
      <c r="P1753" s="26" t="n">
        <v>5</v>
      </c>
      <c r="Q1753" s="28" t="n">
        <v>100</v>
      </c>
      <c r="R1753" s="26" t="n">
        <v>30</v>
      </c>
      <c r="S1753" s="26" t="n">
        <v>0</v>
      </c>
      <c r="T1753" s="28" t="n">
        <v>1</v>
      </c>
      <c r="U1753" s="26" t="n">
        <v>0</v>
      </c>
      <c r="V1753" s="26" t="n">
        <v>0</v>
      </c>
      <c r="W1753" s="22" t="s">
        <v>23</v>
      </c>
      <c r="X1753" s="22" t="s">
        <v>373</v>
      </c>
    </row>
    <row r="1754" customFormat="false" ht="15" hidden="false" customHeight="false" outlineLevel="0" collapsed="false">
      <c r="A1754" s="22" t="s">
        <v>7143</v>
      </c>
      <c r="B1754" s="22" t="s">
        <v>23</v>
      </c>
      <c r="C1754" s="22" t="s">
        <v>204</v>
      </c>
      <c r="D1754" s="22" t="s">
        <v>7144</v>
      </c>
      <c r="E1754" s="22" t="s">
        <v>7145</v>
      </c>
      <c r="F1754" s="22" t="n">
        <v>12</v>
      </c>
      <c r="G1754" s="26" t="n">
        <v>91.58</v>
      </c>
      <c r="H1754" s="26" t="n">
        <v>103.1</v>
      </c>
      <c r="I1754" s="26" t="n">
        <v>114.62</v>
      </c>
      <c r="J1754" s="26" t="n">
        <v>126.14</v>
      </c>
      <c r="K1754" s="26" t="n">
        <v>143.42</v>
      </c>
      <c r="L1754" s="26" t="n">
        <v>2.06</v>
      </c>
      <c r="M1754" s="27" t="n">
        <v>0.005</v>
      </c>
      <c r="N1754" s="27" t="n">
        <v>0.002</v>
      </c>
      <c r="O1754" s="26" t="n">
        <v>5</v>
      </c>
      <c r="P1754" s="26" t="n">
        <v>5</v>
      </c>
      <c r="Q1754" s="28" t="n">
        <v>100</v>
      </c>
      <c r="R1754" s="26" t="n">
        <v>30</v>
      </c>
      <c r="S1754" s="26" t="n">
        <v>0</v>
      </c>
      <c r="T1754" s="28" t="n">
        <v>1</v>
      </c>
      <c r="U1754" s="26" t="n">
        <v>0</v>
      </c>
      <c r="V1754" s="26" t="n">
        <v>0</v>
      </c>
      <c r="W1754" s="22" t="s">
        <v>23</v>
      </c>
      <c r="X1754" s="22" t="s">
        <v>373</v>
      </c>
    </row>
    <row r="1755" customFormat="false" ht="15" hidden="false" customHeight="false" outlineLevel="0" collapsed="false">
      <c r="A1755" s="22" t="s">
        <v>7146</v>
      </c>
      <c r="B1755" s="22" t="s">
        <v>23</v>
      </c>
      <c r="C1755" s="22" t="s">
        <v>7147</v>
      </c>
      <c r="D1755" s="22" t="s">
        <v>7148</v>
      </c>
      <c r="E1755" s="22" t="s">
        <v>7149</v>
      </c>
      <c r="F1755" s="22" t="n">
        <v>12</v>
      </c>
      <c r="G1755" s="26" t="n">
        <v>91.58</v>
      </c>
      <c r="H1755" s="26" t="n">
        <v>103.1</v>
      </c>
      <c r="I1755" s="26" t="n">
        <v>114.62</v>
      </c>
      <c r="J1755" s="26" t="n">
        <v>126.14</v>
      </c>
      <c r="K1755" s="26" t="n">
        <v>143.42</v>
      </c>
      <c r="L1755" s="26" t="n">
        <v>2.06</v>
      </c>
      <c r="M1755" s="27" t="n">
        <v>0.005</v>
      </c>
      <c r="N1755" s="27" t="n">
        <v>0.002</v>
      </c>
      <c r="O1755" s="26" t="n">
        <v>5</v>
      </c>
      <c r="P1755" s="26" t="n">
        <v>5</v>
      </c>
      <c r="Q1755" s="28" t="n">
        <v>100</v>
      </c>
      <c r="R1755" s="26" t="n">
        <v>30</v>
      </c>
      <c r="S1755" s="26" t="n">
        <v>0</v>
      </c>
      <c r="T1755" s="28" t="n">
        <v>1</v>
      </c>
      <c r="U1755" s="26" t="n">
        <v>0</v>
      </c>
      <c r="V1755" s="26" t="n">
        <v>0</v>
      </c>
      <c r="W1755" s="22" t="s">
        <v>23</v>
      </c>
      <c r="X1755" s="22" t="s">
        <v>373</v>
      </c>
    </row>
    <row r="1756" customFormat="false" ht="15" hidden="false" customHeight="false" outlineLevel="0" collapsed="false">
      <c r="A1756" s="22" t="s">
        <v>7150</v>
      </c>
      <c r="B1756" s="22" t="s">
        <v>23</v>
      </c>
      <c r="C1756" s="22" t="s">
        <v>7151</v>
      </c>
      <c r="D1756" s="22" t="s">
        <v>7152</v>
      </c>
      <c r="E1756" s="22" t="s">
        <v>7153</v>
      </c>
      <c r="F1756" s="22" t="n">
        <v>10</v>
      </c>
      <c r="G1756" s="26" t="n">
        <v>91.58</v>
      </c>
      <c r="H1756" s="26" t="n">
        <v>103.1</v>
      </c>
      <c r="I1756" s="26" t="n">
        <v>114.62</v>
      </c>
      <c r="J1756" s="26" t="n">
        <v>126.14</v>
      </c>
      <c r="K1756" s="26" t="n">
        <v>143.42</v>
      </c>
      <c r="L1756" s="26" t="n">
        <v>2.06</v>
      </c>
      <c r="M1756" s="27" t="n">
        <v>0.005</v>
      </c>
      <c r="N1756" s="27" t="n">
        <v>0.002</v>
      </c>
      <c r="O1756" s="26" t="n">
        <v>5</v>
      </c>
      <c r="P1756" s="26" t="n">
        <v>5</v>
      </c>
      <c r="Q1756" s="28" t="n">
        <v>100</v>
      </c>
      <c r="R1756" s="26" t="n">
        <v>30</v>
      </c>
      <c r="S1756" s="26" t="n">
        <v>0</v>
      </c>
      <c r="T1756" s="28" t="n">
        <v>1</v>
      </c>
      <c r="U1756" s="26" t="n">
        <v>0</v>
      </c>
      <c r="V1756" s="26" t="n">
        <v>0</v>
      </c>
      <c r="W1756" s="22" t="s">
        <v>23</v>
      </c>
      <c r="X1756" s="22" t="s">
        <v>373</v>
      </c>
    </row>
    <row r="1757" customFormat="false" ht="15" hidden="false" customHeight="false" outlineLevel="0" collapsed="false">
      <c r="A1757" s="22" t="s">
        <v>7154</v>
      </c>
      <c r="B1757" s="22" t="s">
        <v>23</v>
      </c>
      <c r="C1757" s="22" t="s">
        <v>7155</v>
      </c>
      <c r="D1757" s="22" t="s">
        <v>7156</v>
      </c>
      <c r="E1757" s="22" t="s">
        <v>7157</v>
      </c>
      <c r="F1757" s="22" t="n">
        <v>12</v>
      </c>
      <c r="G1757" s="26" t="n">
        <v>91.58</v>
      </c>
      <c r="H1757" s="26" t="n">
        <v>103.1</v>
      </c>
      <c r="I1757" s="26" t="n">
        <v>114.62</v>
      </c>
      <c r="J1757" s="26" t="n">
        <v>126.14</v>
      </c>
      <c r="K1757" s="26" t="n">
        <v>143.42</v>
      </c>
      <c r="L1757" s="26" t="n">
        <v>2.06</v>
      </c>
      <c r="M1757" s="27" t="n">
        <v>0.005</v>
      </c>
      <c r="N1757" s="27" t="n">
        <v>0.002</v>
      </c>
      <c r="O1757" s="26" t="n">
        <v>5</v>
      </c>
      <c r="P1757" s="26" t="n">
        <v>5</v>
      </c>
      <c r="Q1757" s="28" t="n">
        <v>100</v>
      </c>
      <c r="R1757" s="26" t="n">
        <v>30</v>
      </c>
      <c r="S1757" s="26" t="n">
        <v>0</v>
      </c>
      <c r="T1757" s="28" t="n">
        <v>1</v>
      </c>
      <c r="U1757" s="26" t="n">
        <v>0</v>
      </c>
      <c r="V1757" s="26" t="n">
        <v>0</v>
      </c>
      <c r="W1757" s="22" t="s">
        <v>23</v>
      </c>
      <c r="X1757" s="22" t="s">
        <v>373</v>
      </c>
    </row>
    <row r="1758" customFormat="false" ht="15" hidden="false" customHeight="false" outlineLevel="0" collapsed="false">
      <c r="A1758" s="22" t="s">
        <v>7158</v>
      </c>
      <c r="B1758" s="22" t="s">
        <v>23</v>
      </c>
      <c r="C1758" s="22" t="s">
        <v>7159</v>
      </c>
      <c r="D1758" s="22" t="s">
        <v>7160</v>
      </c>
      <c r="E1758" s="22" t="s">
        <v>7161</v>
      </c>
      <c r="F1758" s="22" t="n">
        <v>12</v>
      </c>
      <c r="G1758" s="26" t="n">
        <v>91.58</v>
      </c>
      <c r="H1758" s="26" t="n">
        <v>103.1</v>
      </c>
      <c r="I1758" s="26" t="n">
        <v>114.62</v>
      </c>
      <c r="J1758" s="26" t="n">
        <v>126.14</v>
      </c>
      <c r="K1758" s="26" t="n">
        <v>143.42</v>
      </c>
      <c r="L1758" s="26" t="n">
        <v>2.06</v>
      </c>
      <c r="M1758" s="27" t="n">
        <v>0.005</v>
      </c>
      <c r="N1758" s="27" t="n">
        <v>0.002</v>
      </c>
      <c r="O1758" s="26" t="n">
        <v>5</v>
      </c>
      <c r="P1758" s="26" t="n">
        <v>5</v>
      </c>
      <c r="Q1758" s="28" t="n">
        <v>100</v>
      </c>
      <c r="R1758" s="26" t="n">
        <v>30</v>
      </c>
      <c r="S1758" s="26" t="n">
        <v>0</v>
      </c>
      <c r="T1758" s="28" t="n">
        <v>1</v>
      </c>
      <c r="U1758" s="26" t="n">
        <v>0</v>
      </c>
      <c r="V1758" s="26" t="n">
        <v>0</v>
      </c>
      <c r="W1758" s="22" t="s">
        <v>23</v>
      </c>
      <c r="X1758" s="22" t="s">
        <v>373</v>
      </c>
    </row>
    <row r="1759" customFormat="false" ht="15" hidden="false" customHeight="false" outlineLevel="0" collapsed="false">
      <c r="A1759" s="22" t="s">
        <v>7162</v>
      </c>
      <c r="B1759" s="22" t="s">
        <v>23</v>
      </c>
      <c r="C1759" s="22" t="s">
        <v>7163</v>
      </c>
      <c r="D1759" s="22" t="s">
        <v>7164</v>
      </c>
      <c r="E1759" s="22" t="s">
        <v>7165</v>
      </c>
      <c r="F1759" s="22" t="n">
        <v>10</v>
      </c>
      <c r="G1759" s="26" t="n">
        <v>91.58</v>
      </c>
      <c r="H1759" s="26" t="n">
        <v>103.1</v>
      </c>
      <c r="I1759" s="26" t="n">
        <v>114.62</v>
      </c>
      <c r="J1759" s="26" t="n">
        <v>126.14</v>
      </c>
      <c r="K1759" s="26" t="n">
        <v>143.42</v>
      </c>
      <c r="L1759" s="26" t="n">
        <v>2.06</v>
      </c>
      <c r="M1759" s="27" t="n">
        <v>0.005</v>
      </c>
      <c r="N1759" s="27" t="n">
        <v>0.002</v>
      </c>
      <c r="O1759" s="26" t="n">
        <v>5</v>
      </c>
      <c r="P1759" s="26" t="n">
        <v>5</v>
      </c>
      <c r="Q1759" s="28" t="n">
        <v>100</v>
      </c>
      <c r="R1759" s="26" t="n">
        <v>30</v>
      </c>
      <c r="S1759" s="26" t="n">
        <v>0</v>
      </c>
      <c r="T1759" s="28" t="n">
        <v>1</v>
      </c>
      <c r="U1759" s="26" t="n">
        <v>0</v>
      </c>
      <c r="V1759" s="26" t="n">
        <v>0</v>
      </c>
      <c r="W1759" s="22" t="s">
        <v>23</v>
      </c>
      <c r="X1759" s="22" t="s">
        <v>373</v>
      </c>
    </row>
    <row r="1760" customFormat="false" ht="15" hidden="false" customHeight="false" outlineLevel="0" collapsed="false">
      <c r="A1760" s="22" t="s">
        <v>7166</v>
      </c>
      <c r="B1760" s="22" t="s">
        <v>23</v>
      </c>
      <c r="C1760" s="22" t="s">
        <v>210</v>
      </c>
      <c r="D1760" s="22" t="s">
        <v>7167</v>
      </c>
      <c r="E1760" s="22" t="s">
        <v>7168</v>
      </c>
      <c r="F1760" s="22" t="n">
        <v>10</v>
      </c>
      <c r="G1760" s="26" t="n">
        <v>91.58</v>
      </c>
      <c r="H1760" s="26" t="n">
        <v>103.1</v>
      </c>
      <c r="I1760" s="26" t="n">
        <v>114.62</v>
      </c>
      <c r="J1760" s="26" t="n">
        <v>126.14</v>
      </c>
      <c r="K1760" s="26" t="n">
        <v>143.42</v>
      </c>
      <c r="L1760" s="26" t="n">
        <v>2.06</v>
      </c>
      <c r="M1760" s="27" t="n">
        <v>0.005</v>
      </c>
      <c r="N1760" s="27" t="n">
        <v>0.002</v>
      </c>
      <c r="O1760" s="26" t="n">
        <v>5</v>
      </c>
      <c r="P1760" s="26" t="n">
        <v>5</v>
      </c>
      <c r="Q1760" s="28" t="n">
        <v>100</v>
      </c>
      <c r="R1760" s="26" t="n">
        <v>30</v>
      </c>
      <c r="S1760" s="26" t="n">
        <v>0</v>
      </c>
      <c r="T1760" s="28" t="n">
        <v>1</v>
      </c>
      <c r="U1760" s="26" t="n">
        <v>0</v>
      </c>
      <c r="V1760" s="26" t="n">
        <v>0</v>
      </c>
      <c r="W1760" s="22" t="s">
        <v>23</v>
      </c>
      <c r="X1760" s="22" t="s">
        <v>373</v>
      </c>
    </row>
    <row r="1761" customFormat="false" ht="15" hidden="false" customHeight="false" outlineLevel="0" collapsed="false">
      <c r="A1761" s="22" t="s">
        <v>7169</v>
      </c>
      <c r="B1761" s="22" t="s">
        <v>23</v>
      </c>
      <c r="C1761" s="22" t="s">
        <v>7170</v>
      </c>
      <c r="D1761" s="22" t="s">
        <v>7171</v>
      </c>
      <c r="E1761" s="22" t="s">
        <v>7172</v>
      </c>
      <c r="F1761" s="22" t="n">
        <v>10</v>
      </c>
      <c r="G1761" s="26" t="n">
        <v>91.58</v>
      </c>
      <c r="H1761" s="26" t="n">
        <v>103.1</v>
      </c>
      <c r="I1761" s="26" t="n">
        <v>114.62</v>
      </c>
      <c r="J1761" s="26" t="n">
        <v>126.14</v>
      </c>
      <c r="K1761" s="26" t="n">
        <v>143.42</v>
      </c>
      <c r="L1761" s="26" t="n">
        <v>2.06</v>
      </c>
      <c r="M1761" s="27" t="n">
        <v>0.005</v>
      </c>
      <c r="N1761" s="27" t="n">
        <v>0.002</v>
      </c>
      <c r="O1761" s="26" t="n">
        <v>5</v>
      </c>
      <c r="P1761" s="26" t="n">
        <v>5</v>
      </c>
      <c r="Q1761" s="28" t="n">
        <v>100</v>
      </c>
      <c r="R1761" s="26" t="n">
        <v>30</v>
      </c>
      <c r="S1761" s="26" t="n">
        <v>0</v>
      </c>
      <c r="T1761" s="28" t="n">
        <v>1</v>
      </c>
      <c r="U1761" s="26" t="n">
        <v>0</v>
      </c>
      <c r="V1761" s="26" t="n">
        <v>0</v>
      </c>
      <c r="W1761" s="22" t="s">
        <v>23</v>
      </c>
      <c r="X1761" s="22" t="s">
        <v>373</v>
      </c>
    </row>
    <row r="1762" customFormat="false" ht="15" hidden="false" customHeight="false" outlineLevel="0" collapsed="false">
      <c r="A1762" s="22" t="s">
        <v>7173</v>
      </c>
      <c r="B1762" s="22" t="s">
        <v>23</v>
      </c>
      <c r="C1762" s="22" t="s">
        <v>7174</v>
      </c>
      <c r="D1762" s="22" t="s">
        <v>7175</v>
      </c>
      <c r="E1762" s="22" t="s">
        <v>7176</v>
      </c>
      <c r="F1762" s="22" t="n">
        <v>10</v>
      </c>
      <c r="G1762" s="26" t="n">
        <v>91.58</v>
      </c>
      <c r="H1762" s="26" t="n">
        <v>103.1</v>
      </c>
      <c r="I1762" s="26" t="n">
        <v>114.62</v>
      </c>
      <c r="J1762" s="26" t="n">
        <v>126.14</v>
      </c>
      <c r="K1762" s="26" t="n">
        <v>143.42</v>
      </c>
      <c r="L1762" s="26" t="n">
        <v>2.06</v>
      </c>
      <c r="M1762" s="27" t="n">
        <v>0.005</v>
      </c>
      <c r="N1762" s="27" t="n">
        <v>0.002</v>
      </c>
      <c r="O1762" s="26" t="n">
        <v>5</v>
      </c>
      <c r="P1762" s="26" t="n">
        <v>5</v>
      </c>
      <c r="Q1762" s="28" t="n">
        <v>100</v>
      </c>
      <c r="R1762" s="26" t="n">
        <v>30</v>
      </c>
      <c r="S1762" s="26" t="n">
        <v>0</v>
      </c>
      <c r="T1762" s="28" t="n">
        <v>1</v>
      </c>
      <c r="U1762" s="26" t="n">
        <v>0</v>
      </c>
      <c r="V1762" s="26" t="n">
        <v>0</v>
      </c>
      <c r="W1762" s="22" t="s">
        <v>23</v>
      </c>
      <c r="X1762" s="22" t="s">
        <v>373</v>
      </c>
    </row>
    <row r="1763" customFormat="false" ht="15" hidden="false" customHeight="false" outlineLevel="0" collapsed="false">
      <c r="A1763" s="22" t="s">
        <v>7177</v>
      </c>
      <c r="B1763" s="29" t="s">
        <v>23</v>
      </c>
      <c r="C1763" s="29" t="s">
        <v>5113</v>
      </c>
      <c r="D1763" s="22" t="s">
        <v>7178</v>
      </c>
      <c r="E1763" s="22" t="s">
        <v>7179</v>
      </c>
      <c r="F1763" s="22" t="n">
        <v>10</v>
      </c>
      <c r="G1763" s="26" t="n">
        <v>109.5</v>
      </c>
      <c r="H1763" s="26" t="n">
        <v>120.52</v>
      </c>
      <c r="I1763" s="26" t="n">
        <v>142.56</v>
      </c>
      <c r="J1763" s="26" t="n">
        <v>153.58</v>
      </c>
      <c r="K1763" s="26" t="n">
        <v>170.11</v>
      </c>
      <c r="L1763" s="26" t="n">
        <v>2.06</v>
      </c>
      <c r="M1763" s="27" t="n">
        <v>0.005</v>
      </c>
      <c r="N1763" s="27" t="n">
        <v>0.002</v>
      </c>
      <c r="O1763" s="26" t="n">
        <v>5</v>
      </c>
      <c r="P1763" s="26" t="n">
        <v>5</v>
      </c>
      <c r="Q1763" s="28" t="n">
        <v>100</v>
      </c>
      <c r="R1763" s="26" t="n">
        <v>30</v>
      </c>
      <c r="S1763" s="26" t="n">
        <v>0</v>
      </c>
      <c r="T1763" s="28" t="n">
        <v>1</v>
      </c>
      <c r="U1763" s="26" t="n">
        <v>0</v>
      </c>
      <c r="V1763" s="26" t="n">
        <v>0</v>
      </c>
      <c r="W1763" s="29" t="s">
        <v>20</v>
      </c>
      <c r="X1763" s="22" t="s">
        <v>373</v>
      </c>
    </row>
    <row r="1764" customFormat="false" ht="15" hidden="false" customHeight="false" outlineLevel="0" collapsed="false">
      <c r="A1764" s="22" t="s">
        <v>7180</v>
      </c>
      <c r="B1764" s="22" t="s">
        <v>23</v>
      </c>
      <c r="C1764" s="22" t="s">
        <v>7181</v>
      </c>
      <c r="D1764" s="22" t="s">
        <v>7182</v>
      </c>
      <c r="E1764" s="22" t="s">
        <v>7183</v>
      </c>
      <c r="F1764" s="22" t="n">
        <v>10</v>
      </c>
      <c r="G1764" s="26" t="n">
        <v>91.58</v>
      </c>
      <c r="H1764" s="26" t="n">
        <v>103.1</v>
      </c>
      <c r="I1764" s="26" t="n">
        <v>114.62</v>
      </c>
      <c r="J1764" s="26" t="n">
        <v>126.14</v>
      </c>
      <c r="K1764" s="26" t="n">
        <v>143.42</v>
      </c>
      <c r="L1764" s="26" t="n">
        <v>2.06</v>
      </c>
      <c r="M1764" s="27" t="n">
        <v>0.005</v>
      </c>
      <c r="N1764" s="27" t="n">
        <v>0.002</v>
      </c>
      <c r="O1764" s="26" t="n">
        <v>5</v>
      </c>
      <c r="P1764" s="26" t="n">
        <v>5</v>
      </c>
      <c r="Q1764" s="28" t="n">
        <v>100</v>
      </c>
      <c r="R1764" s="26" t="n">
        <v>30</v>
      </c>
      <c r="S1764" s="26" t="n">
        <v>0</v>
      </c>
      <c r="T1764" s="28" t="n">
        <v>1</v>
      </c>
      <c r="U1764" s="26" t="n">
        <v>0</v>
      </c>
      <c r="V1764" s="26" t="n">
        <v>0</v>
      </c>
      <c r="W1764" s="22" t="s">
        <v>23</v>
      </c>
      <c r="X1764" s="22" t="s">
        <v>373</v>
      </c>
    </row>
    <row r="1765" customFormat="false" ht="15" hidden="false" customHeight="false" outlineLevel="0" collapsed="false">
      <c r="A1765" s="22" t="s">
        <v>7184</v>
      </c>
      <c r="B1765" s="22" t="s">
        <v>23</v>
      </c>
      <c r="C1765" s="22" t="s">
        <v>7185</v>
      </c>
      <c r="D1765" s="22" t="s">
        <v>7186</v>
      </c>
      <c r="E1765" s="22" t="s">
        <v>7187</v>
      </c>
      <c r="F1765" s="22" t="n">
        <v>12</v>
      </c>
      <c r="G1765" s="26" t="n">
        <v>91.58</v>
      </c>
      <c r="H1765" s="26" t="n">
        <v>103.1</v>
      </c>
      <c r="I1765" s="26" t="n">
        <v>114.62</v>
      </c>
      <c r="J1765" s="26" t="n">
        <v>126.14</v>
      </c>
      <c r="K1765" s="26" t="n">
        <v>143.42</v>
      </c>
      <c r="L1765" s="26" t="n">
        <v>2.06</v>
      </c>
      <c r="M1765" s="27" t="n">
        <v>0.005</v>
      </c>
      <c r="N1765" s="27" t="n">
        <v>0.002</v>
      </c>
      <c r="O1765" s="26" t="n">
        <v>5</v>
      </c>
      <c r="P1765" s="26" t="n">
        <v>5</v>
      </c>
      <c r="Q1765" s="28" t="n">
        <v>100</v>
      </c>
      <c r="R1765" s="26" t="n">
        <v>30</v>
      </c>
      <c r="S1765" s="26" t="n">
        <v>0</v>
      </c>
      <c r="T1765" s="28" t="n">
        <v>1</v>
      </c>
      <c r="U1765" s="26" t="n">
        <v>0</v>
      </c>
      <c r="V1765" s="26" t="n">
        <v>0</v>
      </c>
      <c r="W1765" s="22" t="s">
        <v>23</v>
      </c>
      <c r="X1765" s="22" t="s">
        <v>373</v>
      </c>
    </row>
    <row r="1766" customFormat="false" ht="15" hidden="false" customHeight="false" outlineLevel="0" collapsed="false">
      <c r="A1766" s="22" t="s">
        <v>7188</v>
      </c>
      <c r="B1766" s="22" t="s">
        <v>23</v>
      </c>
      <c r="C1766" s="22" t="s">
        <v>7189</v>
      </c>
      <c r="D1766" s="22" t="s">
        <v>7190</v>
      </c>
      <c r="E1766" s="22" t="s">
        <v>7191</v>
      </c>
      <c r="F1766" s="22" t="n">
        <v>10</v>
      </c>
      <c r="G1766" s="26" t="n">
        <v>91.58</v>
      </c>
      <c r="H1766" s="26" t="n">
        <v>103.1</v>
      </c>
      <c r="I1766" s="26" t="n">
        <v>114.62</v>
      </c>
      <c r="J1766" s="26" t="n">
        <v>126.14</v>
      </c>
      <c r="K1766" s="26" t="n">
        <v>143.42</v>
      </c>
      <c r="L1766" s="26" t="n">
        <v>2.06</v>
      </c>
      <c r="M1766" s="27" t="n">
        <v>0.005</v>
      </c>
      <c r="N1766" s="27" t="n">
        <v>0.002</v>
      </c>
      <c r="O1766" s="26" t="n">
        <v>5</v>
      </c>
      <c r="P1766" s="26" t="n">
        <v>5</v>
      </c>
      <c r="Q1766" s="28" t="n">
        <v>100</v>
      </c>
      <c r="R1766" s="26" t="n">
        <v>30</v>
      </c>
      <c r="S1766" s="26" t="n">
        <v>0</v>
      </c>
      <c r="T1766" s="28" t="n">
        <v>1</v>
      </c>
      <c r="U1766" s="26" t="n">
        <v>0</v>
      </c>
      <c r="V1766" s="26" t="n">
        <v>0</v>
      </c>
      <c r="W1766" s="22" t="s">
        <v>23</v>
      </c>
      <c r="X1766" s="22" t="s">
        <v>373</v>
      </c>
    </row>
    <row r="1767" customFormat="false" ht="15" hidden="false" customHeight="false" outlineLevel="0" collapsed="false">
      <c r="A1767" s="22" t="s">
        <v>7192</v>
      </c>
      <c r="B1767" s="22" t="s">
        <v>23</v>
      </c>
      <c r="C1767" s="22" t="s">
        <v>7193</v>
      </c>
      <c r="D1767" s="22" t="s">
        <v>7194</v>
      </c>
      <c r="E1767" s="22" t="s">
        <v>7195</v>
      </c>
      <c r="F1767" s="22" t="n">
        <v>12</v>
      </c>
      <c r="G1767" s="26" t="n">
        <v>91.58</v>
      </c>
      <c r="H1767" s="26" t="n">
        <v>103.1</v>
      </c>
      <c r="I1767" s="26" t="n">
        <v>114.62</v>
      </c>
      <c r="J1767" s="26" t="n">
        <v>126.14</v>
      </c>
      <c r="K1767" s="26" t="n">
        <v>143.42</v>
      </c>
      <c r="L1767" s="26" t="n">
        <v>2.06</v>
      </c>
      <c r="M1767" s="27" t="n">
        <v>0.005</v>
      </c>
      <c r="N1767" s="27" t="n">
        <v>0.002</v>
      </c>
      <c r="O1767" s="26" t="n">
        <v>5</v>
      </c>
      <c r="P1767" s="26" t="n">
        <v>5</v>
      </c>
      <c r="Q1767" s="28" t="n">
        <v>100</v>
      </c>
      <c r="R1767" s="26" t="n">
        <v>30</v>
      </c>
      <c r="S1767" s="26" t="n">
        <v>0</v>
      </c>
      <c r="T1767" s="28" t="n">
        <v>1</v>
      </c>
      <c r="U1767" s="26" t="n">
        <v>0</v>
      </c>
      <c r="V1767" s="26" t="n">
        <v>0</v>
      </c>
      <c r="W1767" s="22" t="s">
        <v>23</v>
      </c>
      <c r="X1767" s="22" t="s">
        <v>373</v>
      </c>
    </row>
    <row r="1768" customFormat="false" ht="15" hidden="false" customHeight="false" outlineLevel="0" collapsed="false">
      <c r="A1768" s="22" t="s">
        <v>7196</v>
      </c>
      <c r="B1768" s="22" t="s">
        <v>23</v>
      </c>
      <c r="C1768" s="22" t="s">
        <v>7197</v>
      </c>
      <c r="D1768" s="22" t="s">
        <v>7198</v>
      </c>
      <c r="E1768" s="22" t="s">
        <v>7199</v>
      </c>
      <c r="F1768" s="22" t="n">
        <v>10</v>
      </c>
      <c r="G1768" s="26" t="n">
        <v>91.58</v>
      </c>
      <c r="H1768" s="26" t="n">
        <v>103.1</v>
      </c>
      <c r="I1768" s="26" t="n">
        <v>114.62</v>
      </c>
      <c r="J1768" s="26" t="n">
        <v>126.14</v>
      </c>
      <c r="K1768" s="26" t="n">
        <v>143.42</v>
      </c>
      <c r="L1768" s="26" t="n">
        <v>2.06</v>
      </c>
      <c r="M1768" s="27" t="n">
        <v>0.005</v>
      </c>
      <c r="N1768" s="27" t="n">
        <v>0.002</v>
      </c>
      <c r="O1768" s="26" t="n">
        <v>5</v>
      </c>
      <c r="P1768" s="26" t="n">
        <v>5</v>
      </c>
      <c r="Q1768" s="28" t="n">
        <v>100</v>
      </c>
      <c r="R1768" s="26" t="n">
        <v>30</v>
      </c>
      <c r="S1768" s="26" t="n">
        <v>0</v>
      </c>
      <c r="T1768" s="28" t="n">
        <v>1</v>
      </c>
      <c r="U1768" s="26" t="n">
        <v>0</v>
      </c>
      <c r="V1768" s="26" t="n">
        <v>0</v>
      </c>
      <c r="W1768" s="22" t="s">
        <v>23</v>
      </c>
      <c r="X1768" s="22" t="s">
        <v>373</v>
      </c>
    </row>
    <row r="1769" customFormat="false" ht="15" hidden="false" customHeight="false" outlineLevel="0" collapsed="false">
      <c r="A1769" s="22" t="s">
        <v>7200</v>
      </c>
      <c r="B1769" s="22" t="s">
        <v>23</v>
      </c>
      <c r="C1769" s="22" t="s">
        <v>7201</v>
      </c>
      <c r="D1769" s="22" t="s">
        <v>7202</v>
      </c>
      <c r="E1769" s="22" t="s">
        <v>7203</v>
      </c>
      <c r="F1769" s="22" t="n">
        <v>10</v>
      </c>
      <c r="G1769" s="26" t="n">
        <v>91.58</v>
      </c>
      <c r="H1769" s="26" t="n">
        <v>103.1</v>
      </c>
      <c r="I1769" s="26" t="n">
        <v>114.62</v>
      </c>
      <c r="J1769" s="26" t="n">
        <v>126.14</v>
      </c>
      <c r="K1769" s="26" t="n">
        <v>143.42</v>
      </c>
      <c r="L1769" s="26" t="n">
        <v>2.06</v>
      </c>
      <c r="M1769" s="27" t="n">
        <v>0.005</v>
      </c>
      <c r="N1769" s="27" t="n">
        <v>0.002</v>
      </c>
      <c r="O1769" s="26" t="n">
        <v>5</v>
      </c>
      <c r="P1769" s="26" t="n">
        <v>5</v>
      </c>
      <c r="Q1769" s="28" t="n">
        <v>100</v>
      </c>
      <c r="R1769" s="26" t="n">
        <v>30</v>
      </c>
      <c r="S1769" s="26" t="n">
        <v>0</v>
      </c>
      <c r="T1769" s="28" t="n">
        <v>1</v>
      </c>
      <c r="U1769" s="26" t="n">
        <v>0</v>
      </c>
      <c r="V1769" s="26" t="n">
        <v>0</v>
      </c>
      <c r="W1769" s="22" t="s">
        <v>23</v>
      </c>
      <c r="X1769" s="22" t="s">
        <v>373</v>
      </c>
    </row>
    <row r="1770" customFormat="false" ht="15" hidden="false" customHeight="false" outlineLevel="0" collapsed="false">
      <c r="A1770" s="22" t="s">
        <v>7204</v>
      </c>
      <c r="B1770" s="22" t="s">
        <v>23</v>
      </c>
      <c r="C1770" s="22" t="s">
        <v>7205</v>
      </c>
      <c r="D1770" s="22" t="s">
        <v>7206</v>
      </c>
      <c r="E1770" s="22" t="s">
        <v>7207</v>
      </c>
      <c r="F1770" s="22" t="n">
        <v>10</v>
      </c>
      <c r="G1770" s="26" t="n">
        <v>91.58</v>
      </c>
      <c r="H1770" s="26" t="n">
        <v>103.1</v>
      </c>
      <c r="I1770" s="26" t="n">
        <v>114.62</v>
      </c>
      <c r="J1770" s="26" t="n">
        <v>126.14</v>
      </c>
      <c r="K1770" s="26" t="n">
        <v>143.42</v>
      </c>
      <c r="L1770" s="26" t="n">
        <v>2.06</v>
      </c>
      <c r="M1770" s="27" t="n">
        <v>0.005</v>
      </c>
      <c r="N1770" s="27" t="n">
        <v>0.002</v>
      </c>
      <c r="O1770" s="26" t="n">
        <v>5</v>
      </c>
      <c r="P1770" s="26" t="n">
        <v>5</v>
      </c>
      <c r="Q1770" s="28" t="n">
        <v>100</v>
      </c>
      <c r="R1770" s="26" t="n">
        <v>30</v>
      </c>
      <c r="S1770" s="26" t="n">
        <v>0</v>
      </c>
      <c r="T1770" s="28" t="n">
        <v>1</v>
      </c>
      <c r="U1770" s="26" t="n">
        <v>0</v>
      </c>
      <c r="V1770" s="26" t="n">
        <v>0</v>
      </c>
      <c r="W1770" s="22" t="s">
        <v>23</v>
      </c>
      <c r="X1770" s="22" t="s">
        <v>373</v>
      </c>
    </row>
    <row r="1771" customFormat="false" ht="15" hidden="false" customHeight="false" outlineLevel="0" collapsed="false">
      <c r="A1771" s="22" t="s">
        <v>7208</v>
      </c>
      <c r="B1771" s="22" t="s">
        <v>23</v>
      </c>
      <c r="C1771" s="22" t="s">
        <v>7209</v>
      </c>
      <c r="D1771" s="22" t="s">
        <v>7210</v>
      </c>
      <c r="E1771" s="22" t="s">
        <v>7211</v>
      </c>
      <c r="F1771" s="22" t="n">
        <v>10</v>
      </c>
      <c r="G1771" s="26" t="n">
        <v>91.58</v>
      </c>
      <c r="H1771" s="26" t="n">
        <v>103.1</v>
      </c>
      <c r="I1771" s="26" t="n">
        <v>114.62</v>
      </c>
      <c r="J1771" s="26" t="n">
        <v>126.14</v>
      </c>
      <c r="K1771" s="26" t="n">
        <v>143.42</v>
      </c>
      <c r="L1771" s="26" t="n">
        <v>2.06</v>
      </c>
      <c r="M1771" s="27" t="n">
        <v>0.005</v>
      </c>
      <c r="N1771" s="27" t="n">
        <v>0.002</v>
      </c>
      <c r="O1771" s="26" t="n">
        <v>5</v>
      </c>
      <c r="P1771" s="26" t="n">
        <v>5</v>
      </c>
      <c r="Q1771" s="28" t="n">
        <v>100</v>
      </c>
      <c r="R1771" s="26" t="n">
        <v>30</v>
      </c>
      <c r="S1771" s="26" t="n">
        <v>0</v>
      </c>
      <c r="T1771" s="28" t="n">
        <v>1</v>
      </c>
      <c r="U1771" s="26" t="n">
        <v>0</v>
      </c>
      <c r="V1771" s="26" t="n">
        <v>0</v>
      </c>
      <c r="W1771" s="22" t="s">
        <v>23</v>
      </c>
      <c r="X1771" s="22" t="s">
        <v>373</v>
      </c>
    </row>
    <row r="1772" customFormat="false" ht="15" hidden="false" customHeight="false" outlineLevel="0" collapsed="false">
      <c r="A1772" s="22" t="s">
        <v>7212</v>
      </c>
      <c r="B1772" s="22" t="s">
        <v>23</v>
      </c>
      <c r="C1772" s="22" t="s">
        <v>7213</v>
      </c>
      <c r="D1772" s="22" t="s">
        <v>7214</v>
      </c>
      <c r="E1772" s="22" t="s">
        <v>7215</v>
      </c>
      <c r="F1772" s="22" t="n">
        <v>10</v>
      </c>
      <c r="G1772" s="26" t="n">
        <v>91.58</v>
      </c>
      <c r="H1772" s="26" t="n">
        <v>103.1</v>
      </c>
      <c r="I1772" s="26" t="n">
        <v>114.62</v>
      </c>
      <c r="J1772" s="26" t="n">
        <v>126.14</v>
      </c>
      <c r="K1772" s="26" t="n">
        <v>143.42</v>
      </c>
      <c r="L1772" s="26" t="n">
        <v>2.06</v>
      </c>
      <c r="M1772" s="27" t="n">
        <v>0.005</v>
      </c>
      <c r="N1772" s="27" t="n">
        <v>0.002</v>
      </c>
      <c r="O1772" s="26" t="n">
        <v>5</v>
      </c>
      <c r="P1772" s="26" t="n">
        <v>5</v>
      </c>
      <c r="Q1772" s="28" t="n">
        <v>100</v>
      </c>
      <c r="R1772" s="26" t="n">
        <v>30</v>
      </c>
      <c r="S1772" s="26" t="n">
        <v>0</v>
      </c>
      <c r="T1772" s="28" t="n">
        <v>1</v>
      </c>
      <c r="U1772" s="26" t="n">
        <v>0</v>
      </c>
      <c r="V1772" s="26" t="n">
        <v>0</v>
      </c>
      <c r="W1772" s="22" t="s">
        <v>23</v>
      </c>
      <c r="X1772" s="22" t="s">
        <v>373</v>
      </c>
    </row>
    <row r="1773" customFormat="false" ht="15" hidden="false" customHeight="false" outlineLevel="0" collapsed="false">
      <c r="A1773" s="22" t="s">
        <v>7216</v>
      </c>
      <c r="B1773" s="22" t="s">
        <v>23</v>
      </c>
      <c r="C1773" s="22" t="s">
        <v>7217</v>
      </c>
      <c r="D1773" s="22" t="s">
        <v>7218</v>
      </c>
      <c r="E1773" s="22" t="s">
        <v>7219</v>
      </c>
      <c r="F1773" s="22" t="n">
        <v>10</v>
      </c>
      <c r="G1773" s="26" t="n">
        <v>91.58</v>
      </c>
      <c r="H1773" s="26" t="n">
        <v>103.1</v>
      </c>
      <c r="I1773" s="26" t="n">
        <v>114.62</v>
      </c>
      <c r="J1773" s="26" t="n">
        <v>126.14</v>
      </c>
      <c r="K1773" s="26" t="n">
        <v>143.42</v>
      </c>
      <c r="L1773" s="26" t="n">
        <v>2.06</v>
      </c>
      <c r="M1773" s="27" t="n">
        <v>0.005</v>
      </c>
      <c r="N1773" s="27" t="n">
        <v>0.002</v>
      </c>
      <c r="O1773" s="26" t="n">
        <v>5</v>
      </c>
      <c r="P1773" s="26" t="n">
        <v>5</v>
      </c>
      <c r="Q1773" s="28" t="n">
        <v>100</v>
      </c>
      <c r="R1773" s="26" t="n">
        <v>30</v>
      </c>
      <c r="S1773" s="26" t="n">
        <v>0</v>
      </c>
      <c r="T1773" s="28" t="n">
        <v>1</v>
      </c>
      <c r="U1773" s="26" t="n">
        <v>0</v>
      </c>
      <c r="V1773" s="26" t="n">
        <v>0</v>
      </c>
      <c r="W1773" s="22" t="s">
        <v>23</v>
      </c>
      <c r="X1773" s="22" t="s">
        <v>373</v>
      </c>
    </row>
    <row r="1774" customFormat="false" ht="15" hidden="false" customHeight="false" outlineLevel="0" collapsed="false">
      <c r="A1774" s="22" t="s">
        <v>7220</v>
      </c>
      <c r="B1774" s="22" t="s">
        <v>23</v>
      </c>
      <c r="C1774" s="22" t="s">
        <v>7221</v>
      </c>
      <c r="D1774" s="22" t="s">
        <v>7222</v>
      </c>
      <c r="E1774" s="22" t="s">
        <v>7223</v>
      </c>
      <c r="F1774" s="22" t="n">
        <v>10</v>
      </c>
      <c r="G1774" s="26" t="n">
        <v>91.58</v>
      </c>
      <c r="H1774" s="26" t="n">
        <v>103.1</v>
      </c>
      <c r="I1774" s="26" t="n">
        <v>114.62</v>
      </c>
      <c r="J1774" s="26" t="n">
        <v>126.14</v>
      </c>
      <c r="K1774" s="26" t="n">
        <v>143.42</v>
      </c>
      <c r="L1774" s="26" t="n">
        <v>2.06</v>
      </c>
      <c r="M1774" s="27" t="n">
        <v>0.005</v>
      </c>
      <c r="N1774" s="27" t="n">
        <v>0.002</v>
      </c>
      <c r="O1774" s="26" t="n">
        <v>5</v>
      </c>
      <c r="P1774" s="26" t="n">
        <v>5</v>
      </c>
      <c r="Q1774" s="28" t="n">
        <v>100</v>
      </c>
      <c r="R1774" s="26" t="n">
        <v>30</v>
      </c>
      <c r="S1774" s="26" t="n">
        <v>0</v>
      </c>
      <c r="T1774" s="28" t="n">
        <v>1</v>
      </c>
      <c r="U1774" s="26" t="n">
        <v>0</v>
      </c>
      <c r="V1774" s="26" t="n">
        <v>0</v>
      </c>
      <c r="W1774" s="22" t="s">
        <v>23</v>
      </c>
      <c r="X1774" s="22" t="s">
        <v>373</v>
      </c>
    </row>
    <row r="1775" customFormat="false" ht="15" hidden="false" customHeight="false" outlineLevel="0" collapsed="false">
      <c r="A1775" s="22" t="s">
        <v>7224</v>
      </c>
      <c r="B1775" s="22" t="s">
        <v>23</v>
      </c>
      <c r="C1775" s="22" t="s">
        <v>7225</v>
      </c>
      <c r="D1775" s="22" t="s">
        <v>7226</v>
      </c>
      <c r="E1775" s="22" t="s">
        <v>7227</v>
      </c>
      <c r="F1775" s="22" t="n">
        <v>10</v>
      </c>
      <c r="G1775" s="26" t="n">
        <v>91.58</v>
      </c>
      <c r="H1775" s="26" t="n">
        <v>103.1</v>
      </c>
      <c r="I1775" s="26" t="n">
        <v>114.62</v>
      </c>
      <c r="J1775" s="26" t="n">
        <v>126.14</v>
      </c>
      <c r="K1775" s="26" t="n">
        <v>143.42</v>
      </c>
      <c r="L1775" s="26" t="n">
        <v>2.06</v>
      </c>
      <c r="M1775" s="27" t="n">
        <v>0.005</v>
      </c>
      <c r="N1775" s="27" t="n">
        <v>0.002</v>
      </c>
      <c r="O1775" s="26" t="n">
        <v>5</v>
      </c>
      <c r="P1775" s="26" t="n">
        <v>5</v>
      </c>
      <c r="Q1775" s="28" t="n">
        <v>100</v>
      </c>
      <c r="R1775" s="26" t="n">
        <v>30</v>
      </c>
      <c r="S1775" s="26" t="n">
        <v>0</v>
      </c>
      <c r="T1775" s="28" t="n">
        <v>1</v>
      </c>
      <c r="U1775" s="26" t="n">
        <v>0</v>
      </c>
      <c r="V1775" s="26" t="n">
        <v>0</v>
      </c>
      <c r="W1775" s="22" t="s">
        <v>23</v>
      </c>
      <c r="X1775" s="22" t="s">
        <v>373</v>
      </c>
    </row>
    <row r="1776" customFormat="false" ht="15" hidden="false" customHeight="false" outlineLevel="0" collapsed="false">
      <c r="A1776" s="22" t="s">
        <v>7228</v>
      </c>
      <c r="B1776" s="22" t="s">
        <v>23</v>
      </c>
      <c r="C1776" s="22" t="s">
        <v>209</v>
      </c>
      <c r="D1776" s="22" t="s">
        <v>7229</v>
      </c>
      <c r="E1776" s="22" t="s">
        <v>7230</v>
      </c>
      <c r="F1776" s="22" t="n">
        <v>12</v>
      </c>
      <c r="G1776" s="26" t="n">
        <v>91.58</v>
      </c>
      <c r="H1776" s="26" t="n">
        <v>103.1</v>
      </c>
      <c r="I1776" s="26" t="n">
        <v>114.62</v>
      </c>
      <c r="J1776" s="26" t="n">
        <v>126.14</v>
      </c>
      <c r="K1776" s="26" t="n">
        <v>143.42</v>
      </c>
      <c r="L1776" s="26" t="n">
        <v>2.06</v>
      </c>
      <c r="M1776" s="27" t="n">
        <v>0.005</v>
      </c>
      <c r="N1776" s="27" t="n">
        <v>0.002</v>
      </c>
      <c r="O1776" s="26" t="n">
        <v>5</v>
      </c>
      <c r="P1776" s="26" t="n">
        <v>5</v>
      </c>
      <c r="Q1776" s="28" t="n">
        <v>100</v>
      </c>
      <c r="R1776" s="26" t="n">
        <v>30</v>
      </c>
      <c r="S1776" s="26" t="n">
        <v>0</v>
      </c>
      <c r="T1776" s="28" t="n">
        <v>1</v>
      </c>
      <c r="U1776" s="26" t="n">
        <v>0</v>
      </c>
      <c r="V1776" s="26" t="n">
        <v>0</v>
      </c>
      <c r="W1776" s="22" t="s">
        <v>23</v>
      </c>
      <c r="X1776" s="22" t="s">
        <v>373</v>
      </c>
    </row>
    <row r="1777" customFormat="false" ht="15" hidden="false" customHeight="false" outlineLevel="0" collapsed="false">
      <c r="A1777" s="22" t="s">
        <v>7231</v>
      </c>
      <c r="B1777" s="22" t="s">
        <v>23</v>
      </c>
      <c r="C1777" s="22" t="s">
        <v>7232</v>
      </c>
      <c r="D1777" s="22" t="s">
        <v>7233</v>
      </c>
      <c r="E1777" s="22" t="s">
        <v>7234</v>
      </c>
      <c r="F1777" s="22" t="n">
        <v>12</v>
      </c>
      <c r="G1777" s="26" t="n">
        <v>91.58</v>
      </c>
      <c r="H1777" s="26" t="n">
        <v>103.1</v>
      </c>
      <c r="I1777" s="26" t="n">
        <v>114.62</v>
      </c>
      <c r="J1777" s="26" t="n">
        <v>126.14</v>
      </c>
      <c r="K1777" s="26" t="n">
        <v>143.42</v>
      </c>
      <c r="L1777" s="26" t="n">
        <v>2.06</v>
      </c>
      <c r="M1777" s="27" t="n">
        <v>0.005</v>
      </c>
      <c r="N1777" s="27" t="n">
        <v>0.002</v>
      </c>
      <c r="O1777" s="26" t="n">
        <v>5</v>
      </c>
      <c r="P1777" s="26" t="n">
        <v>5</v>
      </c>
      <c r="Q1777" s="28" t="n">
        <v>100</v>
      </c>
      <c r="R1777" s="26" t="n">
        <v>30</v>
      </c>
      <c r="S1777" s="26" t="n">
        <v>0</v>
      </c>
      <c r="T1777" s="28" t="n">
        <v>1</v>
      </c>
      <c r="U1777" s="26" t="n">
        <v>0</v>
      </c>
      <c r="V1777" s="26" t="n">
        <v>0</v>
      </c>
      <c r="W1777" s="22" t="s">
        <v>23</v>
      </c>
      <c r="X1777" s="22" t="s">
        <v>373</v>
      </c>
    </row>
    <row r="1778" customFormat="false" ht="15" hidden="false" customHeight="false" outlineLevel="0" collapsed="false">
      <c r="A1778" s="22" t="s">
        <v>7235</v>
      </c>
      <c r="B1778" s="29" t="s">
        <v>23</v>
      </c>
      <c r="C1778" s="29" t="s">
        <v>109</v>
      </c>
      <c r="D1778" s="22" t="s">
        <v>7236</v>
      </c>
      <c r="E1778" s="22" t="s">
        <v>7237</v>
      </c>
      <c r="F1778" s="22" t="n">
        <v>10</v>
      </c>
      <c r="G1778" s="26" t="n">
        <v>182.58</v>
      </c>
      <c r="H1778" s="26" t="n">
        <v>204.71</v>
      </c>
      <c r="I1778" s="26" t="n">
        <v>226.84</v>
      </c>
      <c r="J1778" s="26" t="n">
        <v>243.44</v>
      </c>
      <c r="K1778" s="26" t="n">
        <v>260.04</v>
      </c>
      <c r="L1778" s="26" t="n">
        <v>2.28</v>
      </c>
      <c r="M1778" s="27" t="n">
        <v>0.005</v>
      </c>
      <c r="N1778" s="27" t="n">
        <v>0.002</v>
      </c>
      <c r="O1778" s="26" t="n">
        <v>5</v>
      </c>
      <c r="P1778" s="26" t="n">
        <v>5</v>
      </c>
      <c r="Q1778" s="28" t="n">
        <v>100</v>
      </c>
      <c r="R1778" s="26" t="n">
        <v>30</v>
      </c>
      <c r="S1778" s="26" t="n">
        <v>0</v>
      </c>
      <c r="T1778" s="28" t="n">
        <v>1</v>
      </c>
      <c r="U1778" s="26" t="n">
        <v>0</v>
      </c>
      <c r="V1778" s="26" t="n">
        <v>0</v>
      </c>
      <c r="W1778" s="29" t="s">
        <v>17</v>
      </c>
      <c r="X1778" s="22" t="s">
        <v>373</v>
      </c>
    </row>
    <row r="1779" customFormat="false" ht="15" hidden="false" customHeight="false" outlineLevel="0" collapsed="false">
      <c r="A1779" s="22" t="s">
        <v>7238</v>
      </c>
      <c r="B1779" s="22" t="s">
        <v>23</v>
      </c>
      <c r="C1779" s="22" t="s">
        <v>7239</v>
      </c>
      <c r="D1779" s="22" t="s">
        <v>7240</v>
      </c>
      <c r="E1779" s="22" t="s">
        <v>7241</v>
      </c>
      <c r="F1779" s="22" t="n">
        <v>10</v>
      </c>
      <c r="G1779" s="26" t="n">
        <v>91.58</v>
      </c>
      <c r="H1779" s="26" t="n">
        <v>103.1</v>
      </c>
      <c r="I1779" s="26" t="n">
        <v>114.62</v>
      </c>
      <c r="J1779" s="26" t="n">
        <v>126.14</v>
      </c>
      <c r="K1779" s="26" t="n">
        <v>143.42</v>
      </c>
      <c r="L1779" s="26" t="n">
        <v>2.06</v>
      </c>
      <c r="M1779" s="27" t="n">
        <v>0.005</v>
      </c>
      <c r="N1779" s="27" t="n">
        <v>0.002</v>
      </c>
      <c r="O1779" s="26" t="n">
        <v>5</v>
      </c>
      <c r="P1779" s="26" t="n">
        <v>5</v>
      </c>
      <c r="Q1779" s="28" t="n">
        <v>100</v>
      </c>
      <c r="R1779" s="26" t="n">
        <v>30</v>
      </c>
      <c r="S1779" s="26" t="n">
        <v>0</v>
      </c>
      <c r="T1779" s="28" t="n">
        <v>1</v>
      </c>
      <c r="U1779" s="26" t="n">
        <v>0</v>
      </c>
      <c r="V1779" s="26" t="n">
        <v>0</v>
      </c>
      <c r="W1779" s="22" t="s">
        <v>23</v>
      </c>
      <c r="X1779" s="22" t="s">
        <v>373</v>
      </c>
    </row>
    <row r="1780" customFormat="false" ht="15" hidden="false" customHeight="false" outlineLevel="0" collapsed="false">
      <c r="A1780" s="22" t="s">
        <v>7242</v>
      </c>
      <c r="B1780" s="22" t="s">
        <v>23</v>
      </c>
      <c r="C1780" s="22" t="s">
        <v>7243</v>
      </c>
      <c r="D1780" s="22" t="s">
        <v>7244</v>
      </c>
      <c r="E1780" s="22" t="s">
        <v>7245</v>
      </c>
      <c r="F1780" s="22" t="n">
        <v>10</v>
      </c>
      <c r="G1780" s="26" t="n">
        <v>91.58</v>
      </c>
      <c r="H1780" s="26" t="n">
        <v>103.1</v>
      </c>
      <c r="I1780" s="26" t="n">
        <v>114.62</v>
      </c>
      <c r="J1780" s="26" t="n">
        <v>126.14</v>
      </c>
      <c r="K1780" s="26" t="n">
        <v>143.42</v>
      </c>
      <c r="L1780" s="26" t="n">
        <v>2.06</v>
      </c>
      <c r="M1780" s="27" t="n">
        <v>0.005</v>
      </c>
      <c r="N1780" s="27" t="n">
        <v>0.002</v>
      </c>
      <c r="O1780" s="26" t="n">
        <v>5</v>
      </c>
      <c r="P1780" s="26" t="n">
        <v>5</v>
      </c>
      <c r="Q1780" s="28" t="n">
        <v>100</v>
      </c>
      <c r="R1780" s="26" t="n">
        <v>30</v>
      </c>
      <c r="S1780" s="26" t="n">
        <v>0</v>
      </c>
      <c r="T1780" s="28" t="n">
        <v>1</v>
      </c>
      <c r="U1780" s="26" t="n">
        <v>0</v>
      </c>
      <c r="V1780" s="26" t="n">
        <v>0</v>
      </c>
      <c r="W1780" s="22" t="s">
        <v>23</v>
      </c>
      <c r="X1780" s="22" t="s">
        <v>373</v>
      </c>
    </row>
    <row r="1781" customFormat="false" ht="15" hidden="false" customHeight="false" outlineLevel="0" collapsed="false">
      <c r="A1781" s="22" t="s">
        <v>7246</v>
      </c>
      <c r="B1781" s="22" t="s">
        <v>23</v>
      </c>
      <c r="C1781" s="22" t="s">
        <v>7247</v>
      </c>
      <c r="D1781" s="22" t="s">
        <v>7248</v>
      </c>
      <c r="E1781" s="22" t="s">
        <v>7249</v>
      </c>
      <c r="F1781" s="22" t="n">
        <v>10</v>
      </c>
      <c r="G1781" s="26" t="n">
        <v>91.58</v>
      </c>
      <c r="H1781" s="26" t="n">
        <v>103.1</v>
      </c>
      <c r="I1781" s="26" t="n">
        <v>114.62</v>
      </c>
      <c r="J1781" s="26" t="n">
        <v>126.14</v>
      </c>
      <c r="K1781" s="26" t="n">
        <v>143.42</v>
      </c>
      <c r="L1781" s="26" t="n">
        <v>2.06</v>
      </c>
      <c r="M1781" s="27" t="n">
        <v>0.005</v>
      </c>
      <c r="N1781" s="27" t="n">
        <v>0.002</v>
      </c>
      <c r="O1781" s="26" t="n">
        <v>5</v>
      </c>
      <c r="P1781" s="26" t="n">
        <v>5</v>
      </c>
      <c r="Q1781" s="28" t="n">
        <v>100</v>
      </c>
      <c r="R1781" s="26" t="n">
        <v>30</v>
      </c>
      <c r="S1781" s="26" t="n">
        <v>0</v>
      </c>
      <c r="T1781" s="28" t="n">
        <v>1</v>
      </c>
      <c r="U1781" s="26" t="n">
        <v>0</v>
      </c>
      <c r="V1781" s="26" t="n">
        <v>0</v>
      </c>
      <c r="W1781" s="22" t="s">
        <v>23</v>
      </c>
      <c r="X1781" s="22" t="s">
        <v>373</v>
      </c>
    </row>
    <row r="1782" customFormat="false" ht="15" hidden="false" customHeight="false" outlineLevel="0" collapsed="false">
      <c r="A1782" s="22" t="s">
        <v>7250</v>
      </c>
      <c r="B1782" s="22" t="s">
        <v>23</v>
      </c>
      <c r="C1782" s="22" t="s">
        <v>7251</v>
      </c>
      <c r="D1782" s="22" t="s">
        <v>7252</v>
      </c>
      <c r="E1782" s="22" t="s">
        <v>7253</v>
      </c>
      <c r="F1782" s="22" t="n">
        <v>10</v>
      </c>
      <c r="G1782" s="26" t="n">
        <v>91.58</v>
      </c>
      <c r="H1782" s="26" t="n">
        <v>103.1</v>
      </c>
      <c r="I1782" s="26" t="n">
        <v>114.62</v>
      </c>
      <c r="J1782" s="26" t="n">
        <v>126.14</v>
      </c>
      <c r="K1782" s="26" t="n">
        <v>143.42</v>
      </c>
      <c r="L1782" s="26" t="n">
        <v>2.06</v>
      </c>
      <c r="M1782" s="27" t="n">
        <v>0.005</v>
      </c>
      <c r="N1782" s="27" t="n">
        <v>0.002</v>
      </c>
      <c r="O1782" s="26" t="n">
        <v>5</v>
      </c>
      <c r="P1782" s="26" t="n">
        <v>5</v>
      </c>
      <c r="Q1782" s="28" t="n">
        <v>100</v>
      </c>
      <c r="R1782" s="26" t="n">
        <v>30</v>
      </c>
      <c r="S1782" s="26" t="n">
        <v>0</v>
      </c>
      <c r="T1782" s="28" t="n">
        <v>1</v>
      </c>
      <c r="U1782" s="26" t="n">
        <v>0</v>
      </c>
      <c r="V1782" s="26" t="n">
        <v>0</v>
      </c>
      <c r="W1782" s="22" t="s">
        <v>23</v>
      </c>
      <c r="X1782" s="22" t="s">
        <v>373</v>
      </c>
    </row>
    <row r="1783" customFormat="false" ht="15" hidden="false" customHeight="false" outlineLevel="0" collapsed="false">
      <c r="A1783" s="22" t="s">
        <v>7254</v>
      </c>
      <c r="B1783" s="22" t="s">
        <v>23</v>
      </c>
      <c r="C1783" s="22" t="s">
        <v>208</v>
      </c>
      <c r="D1783" s="22" t="s">
        <v>7255</v>
      </c>
      <c r="E1783" s="22" t="s">
        <v>7256</v>
      </c>
      <c r="F1783" s="22" t="n">
        <v>12</v>
      </c>
      <c r="G1783" s="26" t="n">
        <v>91.58</v>
      </c>
      <c r="H1783" s="26" t="n">
        <v>103.1</v>
      </c>
      <c r="I1783" s="26" t="n">
        <v>114.62</v>
      </c>
      <c r="J1783" s="26" t="n">
        <v>126.14</v>
      </c>
      <c r="K1783" s="26" t="n">
        <v>143.42</v>
      </c>
      <c r="L1783" s="26" t="n">
        <v>2.06</v>
      </c>
      <c r="M1783" s="27" t="n">
        <v>0.005</v>
      </c>
      <c r="N1783" s="27" t="n">
        <v>0.002</v>
      </c>
      <c r="O1783" s="26" t="n">
        <v>5</v>
      </c>
      <c r="P1783" s="26" t="n">
        <v>5</v>
      </c>
      <c r="Q1783" s="28" t="n">
        <v>100</v>
      </c>
      <c r="R1783" s="26" t="n">
        <v>30</v>
      </c>
      <c r="S1783" s="26" t="n">
        <v>0</v>
      </c>
      <c r="T1783" s="28" t="n">
        <v>1</v>
      </c>
      <c r="U1783" s="26" t="n">
        <v>0</v>
      </c>
      <c r="V1783" s="26" t="n">
        <v>0</v>
      </c>
      <c r="W1783" s="22" t="s">
        <v>23</v>
      </c>
      <c r="X1783" s="22" t="s">
        <v>373</v>
      </c>
    </row>
    <row r="1784" customFormat="false" ht="15" hidden="false" customHeight="false" outlineLevel="0" collapsed="false">
      <c r="A1784" s="22" t="s">
        <v>7257</v>
      </c>
      <c r="B1784" s="22" t="s">
        <v>23</v>
      </c>
      <c r="C1784" s="22" t="s">
        <v>7258</v>
      </c>
      <c r="D1784" s="22" t="s">
        <v>7259</v>
      </c>
      <c r="E1784" s="22" t="s">
        <v>7260</v>
      </c>
      <c r="F1784" s="22" t="n">
        <v>12</v>
      </c>
      <c r="G1784" s="26" t="n">
        <v>91.58</v>
      </c>
      <c r="H1784" s="26" t="n">
        <v>103.1</v>
      </c>
      <c r="I1784" s="26" t="n">
        <v>114.62</v>
      </c>
      <c r="J1784" s="26" t="n">
        <v>126.14</v>
      </c>
      <c r="K1784" s="26" t="n">
        <v>143.42</v>
      </c>
      <c r="L1784" s="26" t="n">
        <v>2.06</v>
      </c>
      <c r="M1784" s="27" t="n">
        <v>0.005</v>
      </c>
      <c r="N1784" s="27" t="n">
        <v>0.002</v>
      </c>
      <c r="O1784" s="26" t="n">
        <v>5</v>
      </c>
      <c r="P1784" s="26" t="n">
        <v>5</v>
      </c>
      <c r="Q1784" s="28" t="n">
        <v>100</v>
      </c>
      <c r="R1784" s="26" t="n">
        <v>30</v>
      </c>
      <c r="S1784" s="26" t="n">
        <v>0</v>
      </c>
      <c r="T1784" s="28" t="n">
        <v>1</v>
      </c>
      <c r="U1784" s="26" t="n">
        <v>0</v>
      </c>
      <c r="V1784" s="26" t="n">
        <v>0</v>
      </c>
      <c r="W1784" s="22" t="s">
        <v>23</v>
      </c>
      <c r="X1784" s="22" t="s">
        <v>373</v>
      </c>
    </row>
    <row r="1785" customFormat="false" ht="15" hidden="false" customHeight="false" outlineLevel="0" collapsed="false">
      <c r="A1785" s="22" t="s">
        <v>7261</v>
      </c>
      <c r="B1785" s="22" t="s">
        <v>23</v>
      </c>
      <c r="C1785" s="22" t="s">
        <v>7262</v>
      </c>
      <c r="D1785" s="22" t="s">
        <v>7263</v>
      </c>
      <c r="E1785" s="22" t="s">
        <v>7264</v>
      </c>
      <c r="F1785" s="22" t="n">
        <v>10</v>
      </c>
      <c r="G1785" s="26" t="n">
        <v>91.58</v>
      </c>
      <c r="H1785" s="26" t="n">
        <v>103.1</v>
      </c>
      <c r="I1785" s="26" t="n">
        <v>114.62</v>
      </c>
      <c r="J1785" s="26" t="n">
        <v>126.14</v>
      </c>
      <c r="K1785" s="26" t="n">
        <v>143.42</v>
      </c>
      <c r="L1785" s="26" t="n">
        <v>2.06</v>
      </c>
      <c r="M1785" s="27" t="n">
        <v>0.005</v>
      </c>
      <c r="N1785" s="27" t="n">
        <v>0.002</v>
      </c>
      <c r="O1785" s="26" t="n">
        <v>5</v>
      </c>
      <c r="P1785" s="26" t="n">
        <v>5</v>
      </c>
      <c r="Q1785" s="28" t="n">
        <v>100</v>
      </c>
      <c r="R1785" s="26" t="n">
        <v>30</v>
      </c>
      <c r="S1785" s="26" t="n">
        <v>0</v>
      </c>
      <c r="T1785" s="28" t="n">
        <v>1</v>
      </c>
      <c r="U1785" s="26" t="n">
        <v>0</v>
      </c>
      <c r="V1785" s="26" t="n">
        <v>0</v>
      </c>
      <c r="W1785" s="22" t="s">
        <v>23</v>
      </c>
      <c r="X1785" s="22" t="s">
        <v>373</v>
      </c>
    </row>
    <row r="1786" customFormat="false" ht="15" hidden="false" customHeight="false" outlineLevel="0" collapsed="false">
      <c r="A1786" s="22" t="s">
        <v>7265</v>
      </c>
      <c r="B1786" s="22" t="s">
        <v>23</v>
      </c>
      <c r="C1786" s="22" t="s">
        <v>7266</v>
      </c>
      <c r="D1786" s="22" t="s">
        <v>7267</v>
      </c>
      <c r="E1786" s="22" t="s">
        <v>7268</v>
      </c>
      <c r="F1786" s="22" t="n">
        <v>10</v>
      </c>
      <c r="G1786" s="26" t="n">
        <v>91.58</v>
      </c>
      <c r="H1786" s="26" t="n">
        <v>103.1</v>
      </c>
      <c r="I1786" s="26" t="n">
        <v>114.62</v>
      </c>
      <c r="J1786" s="26" t="n">
        <v>126.14</v>
      </c>
      <c r="K1786" s="26" t="n">
        <v>143.42</v>
      </c>
      <c r="L1786" s="26" t="n">
        <v>2.06</v>
      </c>
      <c r="M1786" s="27" t="n">
        <v>0.005</v>
      </c>
      <c r="N1786" s="27" t="n">
        <v>0.002</v>
      </c>
      <c r="O1786" s="26" t="n">
        <v>5</v>
      </c>
      <c r="P1786" s="26" t="n">
        <v>5</v>
      </c>
      <c r="Q1786" s="28" t="n">
        <v>100</v>
      </c>
      <c r="R1786" s="26" t="n">
        <v>30</v>
      </c>
      <c r="S1786" s="26" t="n">
        <v>0</v>
      </c>
      <c r="T1786" s="28" t="n">
        <v>1</v>
      </c>
      <c r="U1786" s="26" t="n">
        <v>0</v>
      </c>
      <c r="V1786" s="26" t="n">
        <v>0</v>
      </c>
      <c r="W1786" s="22" t="s">
        <v>23</v>
      </c>
      <c r="X1786" s="22" t="s">
        <v>373</v>
      </c>
    </row>
    <row r="1787" customFormat="false" ht="15" hidden="false" customHeight="false" outlineLevel="0" collapsed="false">
      <c r="A1787" s="22" t="s">
        <v>7269</v>
      </c>
      <c r="B1787" s="22" t="s">
        <v>23</v>
      </c>
      <c r="C1787" s="22" t="s">
        <v>7270</v>
      </c>
      <c r="D1787" s="22" t="s">
        <v>7271</v>
      </c>
      <c r="E1787" s="22" t="s">
        <v>7272</v>
      </c>
      <c r="F1787" s="22" t="n">
        <v>10</v>
      </c>
      <c r="G1787" s="26" t="n">
        <v>91.58</v>
      </c>
      <c r="H1787" s="26" t="n">
        <v>103.1</v>
      </c>
      <c r="I1787" s="26" t="n">
        <v>114.62</v>
      </c>
      <c r="J1787" s="26" t="n">
        <v>126.14</v>
      </c>
      <c r="K1787" s="26" t="n">
        <v>143.42</v>
      </c>
      <c r="L1787" s="26" t="n">
        <v>2.06</v>
      </c>
      <c r="M1787" s="27" t="n">
        <v>0.005</v>
      </c>
      <c r="N1787" s="27" t="n">
        <v>0.002</v>
      </c>
      <c r="O1787" s="26" t="n">
        <v>5</v>
      </c>
      <c r="P1787" s="26" t="n">
        <v>5</v>
      </c>
      <c r="Q1787" s="28" t="n">
        <v>100</v>
      </c>
      <c r="R1787" s="26" t="n">
        <v>30</v>
      </c>
      <c r="S1787" s="26" t="n">
        <v>0</v>
      </c>
      <c r="T1787" s="28" t="n">
        <v>1</v>
      </c>
      <c r="U1787" s="26" t="n">
        <v>0</v>
      </c>
      <c r="V1787" s="26" t="n">
        <v>0</v>
      </c>
      <c r="W1787" s="22" t="s">
        <v>23</v>
      </c>
      <c r="X1787" s="22" t="s">
        <v>373</v>
      </c>
    </row>
    <row r="1788" customFormat="false" ht="15" hidden="false" customHeight="false" outlineLevel="0" collapsed="false">
      <c r="A1788" s="22" t="s">
        <v>7273</v>
      </c>
      <c r="B1788" s="22" t="s">
        <v>23</v>
      </c>
      <c r="C1788" s="22" t="s">
        <v>7274</v>
      </c>
      <c r="D1788" s="22" t="s">
        <v>7275</v>
      </c>
      <c r="E1788" s="22" t="s">
        <v>7276</v>
      </c>
      <c r="F1788" s="22" t="n">
        <v>10</v>
      </c>
      <c r="G1788" s="26" t="n">
        <v>91.58</v>
      </c>
      <c r="H1788" s="26" t="n">
        <v>103.1</v>
      </c>
      <c r="I1788" s="26" t="n">
        <v>114.62</v>
      </c>
      <c r="J1788" s="26" t="n">
        <v>126.14</v>
      </c>
      <c r="K1788" s="26" t="n">
        <v>143.42</v>
      </c>
      <c r="L1788" s="26" t="n">
        <v>2.06</v>
      </c>
      <c r="M1788" s="27" t="n">
        <v>0.005</v>
      </c>
      <c r="N1788" s="27" t="n">
        <v>0.002</v>
      </c>
      <c r="O1788" s="26" t="n">
        <v>5</v>
      </c>
      <c r="P1788" s="26" t="n">
        <v>5</v>
      </c>
      <c r="Q1788" s="28" t="n">
        <v>100</v>
      </c>
      <c r="R1788" s="26" t="n">
        <v>30</v>
      </c>
      <c r="S1788" s="26" t="n">
        <v>0</v>
      </c>
      <c r="T1788" s="28" t="n">
        <v>1</v>
      </c>
      <c r="U1788" s="26" t="n">
        <v>0</v>
      </c>
      <c r="V1788" s="26" t="n">
        <v>0</v>
      </c>
      <c r="W1788" s="22" t="s">
        <v>23</v>
      </c>
      <c r="X1788" s="22" t="s">
        <v>373</v>
      </c>
    </row>
    <row r="1789" customFormat="false" ht="15" hidden="false" customHeight="false" outlineLevel="0" collapsed="false">
      <c r="A1789" s="22" t="s">
        <v>7277</v>
      </c>
      <c r="B1789" s="22" t="s">
        <v>23</v>
      </c>
      <c r="C1789" s="22" t="s">
        <v>7278</v>
      </c>
      <c r="D1789" s="22" t="s">
        <v>7279</v>
      </c>
      <c r="E1789" s="22" t="s">
        <v>7280</v>
      </c>
      <c r="F1789" s="22" t="n">
        <v>10</v>
      </c>
      <c r="G1789" s="26" t="n">
        <v>91.58</v>
      </c>
      <c r="H1789" s="26" t="n">
        <v>103.1</v>
      </c>
      <c r="I1789" s="26" t="n">
        <v>114.62</v>
      </c>
      <c r="J1789" s="26" t="n">
        <v>126.14</v>
      </c>
      <c r="K1789" s="26" t="n">
        <v>143.42</v>
      </c>
      <c r="L1789" s="26" t="n">
        <v>2.06</v>
      </c>
      <c r="M1789" s="27" t="n">
        <v>0.005</v>
      </c>
      <c r="N1789" s="27" t="n">
        <v>0.002</v>
      </c>
      <c r="O1789" s="26" t="n">
        <v>5</v>
      </c>
      <c r="P1789" s="26" t="n">
        <v>5</v>
      </c>
      <c r="Q1789" s="28" t="n">
        <v>100</v>
      </c>
      <c r="R1789" s="26" t="n">
        <v>30</v>
      </c>
      <c r="S1789" s="26" t="n">
        <v>0</v>
      </c>
      <c r="T1789" s="28" t="n">
        <v>1</v>
      </c>
      <c r="U1789" s="26" t="n">
        <v>0</v>
      </c>
      <c r="V1789" s="26" t="n">
        <v>0</v>
      </c>
      <c r="W1789" s="22" t="s">
        <v>23</v>
      </c>
      <c r="X1789" s="22" t="s">
        <v>373</v>
      </c>
    </row>
    <row r="1790" customFormat="false" ht="15" hidden="false" customHeight="false" outlineLevel="0" collapsed="false">
      <c r="A1790" s="22" t="s">
        <v>7281</v>
      </c>
      <c r="B1790" s="29" t="s">
        <v>23</v>
      </c>
      <c r="C1790" s="29" t="s">
        <v>4610</v>
      </c>
      <c r="D1790" s="22" t="s">
        <v>7282</v>
      </c>
      <c r="E1790" s="22" t="s">
        <v>7283</v>
      </c>
      <c r="F1790" s="22" t="n">
        <v>10</v>
      </c>
      <c r="G1790" s="26" t="n">
        <v>99.55</v>
      </c>
      <c r="H1790" s="26" t="n">
        <v>109.56</v>
      </c>
      <c r="I1790" s="26" t="n">
        <v>129.6</v>
      </c>
      <c r="J1790" s="26" t="n">
        <v>139.62</v>
      </c>
      <c r="K1790" s="26" t="n">
        <v>154.64</v>
      </c>
      <c r="L1790" s="26" t="n">
        <v>2.06</v>
      </c>
      <c r="M1790" s="27" t="n">
        <v>0.005</v>
      </c>
      <c r="N1790" s="27" t="n">
        <v>0.002</v>
      </c>
      <c r="O1790" s="26" t="n">
        <v>5</v>
      </c>
      <c r="P1790" s="26" t="n">
        <v>5</v>
      </c>
      <c r="Q1790" s="28" t="n">
        <v>100</v>
      </c>
      <c r="R1790" s="26" t="n">
        <v>30</v>
      </c>
      <c r="S1790" s="26" t="n">
        <v>0</v>
      </c>
      <c r="T1790" s="28" t="n">
        <v>1</v>
      </c>
      <c r="U1790" s="26" t="n">
        <v>0</v>
      </c>
      <c r="V1790" s="26" t="n">
        <v>0</v>
      </c>
      <c r="W1790" s="29" t="s">
        <v>19</v>
      </c>
      <c r="X1790" s="22" t="s">
        <v>373</v>
      </c>
    </row>
    <row r="1791" customFormat="false" ht="15" hidden="false" customHeight="false" outlineLevel="0" collapsed="false">
      <c r="A1791" s="22" t="s">
        <v>7284</v>
      </c>
      <c r="B1791" s="22" t="s">
        <v>23</v>
      </c>
      <c r="C1791" s="22" t="s">
        <v>7285</v>
      </c>
      <c r="D1791" s="22" t="s">
        <v>7286</v>
      </c>
      <c r="E1791" s="22" t="s">
        <v>7287</v>
      </c>
      <c r="F1791" s="22" t="n">
        <v>10</v>
      </c>
      <c r="G1791" s="26" t="n">
        <v>91.58</v>
      </c>
      <c r="H1791" s="26" t="n">
        <v>103.1</v>
      </c>
      <c r="I1791" s="26" t="n">
        <v>114.62</v>
      </c>
      <c r="J1791" s="26" t="n">
        <v>126.14</v>
      </c>
      <c r="K1791" s="26" t="n">
        <v>143.42</v>
      </c>
      <c r="L1791" s="26" t="n">
        <v>2.06</v>
      </c>
      <c r="M1791" s="27" t="n">
        <v>0.005</v>
      </c>
      <c r="N1791" s="27" t="n">
        <v>0.002</v>
      </c>
      <c r="O1791" s="26" t="n">
        <v>5</v>
      </c>
      <c r="P1791" s="26" t="n">
        <v>5</v>
      </c>
      <c r="Q1791" s="28" t="n">
        <v>100</v>
      </c>
      <c r="R1791" s="26" t="n">
        <v>30</v>
      </c>
      <c r="S1791" s="26" t="n">
        <v>0</v>
      </c>
      <c r="T1791" s="28" t="n">
        <v>1</v>
      </c>
      <c r="U1791" s="26" t="n">
        <v>0</v>
      </c>
      <c r="V1791" s="26" t="n">
        <v>0</v>
      </c>
      <c r="W1791" s="22" t="s">
        <v>23</v>
      </c>
      <c r="X1791" s="22" t="s">
        <v>373</v>
      </c>
    </row>
    <row r="1792" customFormat="false" ht="15" hidden="false" customHeight="false" outlineLevel="0" collapsed="false">
      <c r="A1792" s="22" t="s">
        <v>7288</v>
      </c>
      <c r="B1792" s="22" t="s">
        <v>23</v>
      </c>
      <c r="C1792" s="22" t="s">
        <v>203</v>
      </c>
      <c r="D1792" s="22" t="s">
        <v>7289</v>
      </c>
      <c r="E1792" s="22" t="s">
        <v>7290</v>
      </c>
      <c r="F1792" s="22" t="n">
        <v>10</v>
      </c>
      <c r="G1792" s="26" t="n">
        <v>91.58</v>
      </c>
      <c r="H1792" s="26" t="n">
        <v>103.1</v>
      </c>
      <c r="I1792" s="26" t="n">
        <v>114.62</v>
      </c>
      <c r="J1792" s="26" t="n">
        <v>126.14</v>
      </c>
      <c r="K1792" s="26" t="n">
        <v>143.42</v>
      </c>
      <c r="L1792" s="26" t="n">
        <v>2.06</v>
      </c>
      <c r="M1792" s="27" t="n">
        <v>0.005</v>
      </c>
      <c r="N1792" s="27" t="n">
        <v>0.002</v>
      </c>
      <c r="O1792" s="26" t="n">
        <v>5</v>
      </c>
      <c r="P1792" s="26" t="n">
        <v>5</v>
      </c>
      <c r="Q1792" s="28" t="n">
        <v>100</v>
      </c>
      <c r="R1792" s="26" t="n">
        <v>30</v>
      </c>
      <c r="S1792" s="26" t="n">
        <v>0</v>
      </c>
      <c r="T1792" s="28" t="n">
        <v>1</v>
      </c>
      <c r="U1792" s="26" t="n">
        <v>0</v>
      </c>
      <c r="V1792" s="26" t="n">
        <v>0</v>
      </c>
      <c r="W1792" s="22" t="s">
        <v>23</v>
      </c>
      <c r="X1792" s="22" t="s">
        <v>373</v>
      </c>
    </row>
    <row r="1793" customFormat="false" ht="15" hidden="false" customHeight="false" outlineLevel="0" collapsed="false">
      <c r="A1793" s="22" t="s">
        <v>7291</v>
      </c>
      <c r="B1793" s="22" t="s">
        <v>23</v>
      </c>
      <c r="C1793" s="22" t="s">
        <v>7292</v>
      </c>
      <c r="D1793" s="22" t="s">
        <v>7293</v>
      </c>
      <c r="E1793" s="22" t="s">
        <v>7294</v>
      </c>
      <c r="F1793" s="22" t="n">
        <v>10</v>
      </c>
      <c r="G1793" s="26" t="n">
        <v>91.58</v>
      </c>
      <c r="H1793" s="26" t="n">
        <v>103.1</v>
      </c>
      <c r="I1793" s="26" t="n">
        <v>114.62</v>
      </c>
      <c r="J1793" s="26" t="n">
        <v>126.14</v>
      </c>
      <c r="K1793" s="26" t="n">
        <v>143.42</v>
      </c>
      <c r="L1793" s="26" t="n">
        <v>2.06</v>
      </c>
      <c r="M1793" s="27" t="n">
        <v>0.005</v>
      </c>
      <c r="N1793" s="27" t="n">
        <v>0.002</v>
      </c>
      <c r="O1793" s="26" t="n">
        <v>5</v>
      </c>
      <c r="P1793" s="26" t="n">
        <v>5</v>
      </c>
      <c r="Q1793" s="28" t="n">
        <v>100</v>
      </c>
      <c r="R1793" s="26" t="n">
        <v>30</v>
      </c>
      <c r="S1793" s="26" t="n">
        <v>0</v>
      </c>
      <c r="T1793" s="28" t="n">
        <v>1</v>
      </c>
      <c r="U1793" s="26" t="n">
        <v>0</v>
      </c>
      <c r="V1793" s="26" t="n">
        <v>0</v>
      </c>
      <c r="W1793" s="22" t="s">
        <v>23</v>
      </c>
      <c r="X1793" s="22" t="s">
        <v>373</v>
      </c>
    </row>
    <row r="1794" customFormat="false" ht="15" hidden="false" customHeight="false" outlineLevel="0" collapsed="false">
      <c r="A1794" s="22" t="s">
        <v>7295</v>
      </c>
      <c r="B1794" s="22" t="s">
        <v>23</v>
      </c>
      <c r="C1794" s="22" t="s">
        <v>7296</v>
      </c>
      <c r="D1794" s="22" t="s">
        <v>7297</v>
      </c>
      <c r="E1794" s="22" t="s">
        <v>7298</v>
      </c>
      <c r="F1794" s="22" t="n">
        <v>10</v>
      </c>
      <c r="G1794" s="26" t="n">
        <v>91.58</v>
      </c>
      <c r="H1794" s="26" t="n">
        <v>103.1</v>
      </c>
      <c r="I1794" s="26" t="n">
        <v>114.62</v>
      </c>
      <c r="J1794" s="26" t="n">
        <v>126.14</v>
      </c>
      <c r="K1794" s="26" t="n">
        <v>143.42</v>
      </c>
      <c r="L1794" s="26" t="n">
        <v>2.06</v>
      </c>
      <c r="M1794" s="27" t="n">
        <v>0.005</v>
      </c>
      <c r="N1794" s="27" t="n">
        <v>0.002</v>
      </c>
      <c r="O1794" s="26" t="n">
        <v>5</v>
      </c>
      <c r="P1794" s="26" t="n">
        <v>5</v>
      </c>
      <c r="Q1794" s="28" t="n">
        <v>100</v>
      </c>
      <c r="R1794" s="26" t="n">
        <v>30</v>
      </c>
      <c r="S1794" s="26" t="n">
        <v>0</v>
      </c>
      <c r="T1794" s="28" t="n">
        <v>1</v>
      </c>
      <c r="U1794" s="26" t="n">
        <v>0</v>
      </c>
      <c r="V1794" s="26" t="n">
        <v>0</v>
      </c>
      <c r="W1794" s="22" t="s">
        <v>23</v>
      </c>
      <c r="X1794" s="22" t="s">
        <v>373</v>
      </c>
    </row>
    <row r="1795" customFormat="false" ht="15" hidden="false" customHeight="false" outlineLevel="0" collapsed="false">
      <c r="A1795" s="22" t="s">
        <v>7299</v>
      </c>
      <c r="B1795" s="22" t="s">
        <v>23</v>
      </c>
      <c r="C1795" s="22" t="s">
        <v>7300</v>
      </c>
      <c r="D1795" s="22" t="s">
        <v>7301</v>
      </c>
      <c r="E1795" s="22" t="s">
        <v>7302</v>
      </c>
      <c r="F1795" s="22" t="n">
        <v>10</v>
      </c>
      <c r="G1795" s="26" t="n">
        <v>91.58</v>
      </c>
      <c r="H1795" s="26" t="n">
        <v>103.1</v>
      </c>
      <c r="I1795" s="26" t="n">
        <v>114.62</v>
      </c>
      <c r="J1795" s="26" t="n">
        <v>126.14</v>
      </c>
      <c r="K1795" s="26" t="n">
        <v>143.42</v>
      </c>
      <c r="L1795" s="26" t="n">
        <v>2.06</v>
      </c>
      <c r="M1795" s="27" t="n">
        <v>0.005</v>
      </c>
      <c r="N1795" s="27" t="n">
        <v>0.002</v>
      </c>
      <c r="O1795" s="26" t="n">
        <v>5</v>
      </c>
      <c r="P1795" s="26" t="n">
        <v>5</v>
      </c>
      <c r="Q1795" s="28" t="n">
        <v>100</v>
      </c>
      <c r="R1795" s="26" t="n">
        <v>30</v>
      </c>
      <c r="S1795" s="26" t="n">
        <v>0</v>
      </c>
      <c r="T1795" s="28" t="n">
        <v>1</v>
      </c>
      <c r="U1795" s="26" t="n">
        <v>0</v>
      </c>
      <c r="V1795" s="26" t="n">
        <v>0</v>
      </c>
      <c r="W1795" s="22" t="s">
        <v>23</v>
      </c>
      <c r="X1795" s="22" t="s">
        <v>373</v>
      </c>
    </row>
  </sheetData>
  <autoFilter ref="A1:X17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8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7"/>
    <col collapsed="false" customWidth="true" hidden="false" outlineLevel="0" max="15" min="15" style="0" width="22"/>
    <col collapsed="false" customWidth="true" hidden="false" outlineLevel="0" max="16" min="16" style="0" width="6"/>
    <col collapsed="false" customWidth="true" hidden="false" outlineLevel="0" max="17" min="17" style="0" width="7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1" min="21" style="0" width="7"/>
    <col collapsed="false" customWidth="true" hidden="false" outlineLevel="0" max="23" min="22" style="0" width="8"/>
    <col collapsed="false" customWidth="true" hidden="false" outlineLevel="0" max="24" min="24" style="0" width="9"/>
    <col collapsed="false" customWidth="true" hidden="false" outlineLevel="0" max="25" min="25" style="0" width="7"/>
    <col collapsed="false" customWidth="true" hidden="false" outlineLevel="0" max="26" min="26" style="0" width="8"/>
    <col collapsed="false" customWidth="true" hidden="false" outlineLevel="0" max="27" min="27" style="0" width="11"/>
    <col collapsed="false" customWidth="true" hidden="false" outlineLevel="0" max="28" min="28" style="0" width="7"/>
    <col collapsed="false" customWidth="true" hidden="false" outlineLevel="0" max="29" min="29" style="0" width="9"/>
    <col collapsed="false" customWidth="true" hidden="false" outlineLevel="0" max="31" min="30" style="0" width="12"/>
    <col collapsed="false" customWidth="true" hidden="false" outlineLevel="0" max="32" min="32" style="0" width="8"/>
    <col collapsed="false" customWidth="true" hidden="false" outlineLevel="0" max="33" min="33" style="0" width="10"/>
    <col collapsed="false" customWidth="true" hidden="false" outlineLevel="0" max="34" min="34" style="0" width="30"/>
    <col collapsed="false" customWidth="true" hidden="false" outlineLevel="0" max="35" min="35" style="0" width="13"/>
    <col collapsed="false" customWidth="true" hidden="false" outlineLevel="0" max="36" min="36" style="0" width="16"/>
  </cols>
  <sheetData>
    <row r="1" customFormat="false" ht="42" hidden="false" customHeight="true" outlineLevel="0" collapsed="false">
      <c r="A1" s="3" t="s">
        <v>2</v>
      </c>
      <c r="B1" s="3" t="s">
        <v>211</v>
      </c>
      <c r="C1" s="3" t="s">
        <v>53</v>
      </c>
      <c r="D1" s="3" t="s">
        <v>212</v>
      </c>
      <c r="E1" s="3" t="s">
        <v>7303</v>
      </c>
      <c r="F1" s="3" t="s">
        <v>7304</v>
      </c>
      <c r="G1" s="3" t="s">
        <v>7305</v>
      </c>
      <c r="H1" s="3" t="s">
        <v>7306</v>
      </c>
      <c r="I1" s="3" t="s">
        <v>7307</v>
      </c>
      <c r="J1" s="3" t="s">
        <v>7308</v>
      </c>
      <c r="K1" s="3" t="s">
        <v>7309</v>
      </c>
      <c r="L1" s="3" t="s">
        <v>7310</v>
      </c>
      <c r="M1" s="3" t="s">
        <v>7311</v>
      </c>
      <c r="N1" s="3" t="s">
        <v>7312</v>
      </c>
      <c r="O1" s="3" t="s">
        <v>7313</v>
      </c>
      <c r="P1" s="3" t="s">
        <v>7314</v>
      </c>
      <c r="Q1" s="3" t="s">
        <v>55</v>
      </c>
      <c r="R1" s="3" t="s">
        <v>244</v>
      </c>
      <c r="S1" s="3" t="s">
        <v>246</v>
      </c>
      <c r="T1" s="3" t="s">
        <v>248</v>
      </c>
      <c r="U1" s="3" t="s">
        <v>250</v>
      </c>
      <c r="V1" s="3" t="s">
        <v>254</v>
      </c>
      <c r="W1" s="3" t="s">
        <v>7315</v>
      </c>
      <c r="X1" s="3" t="s">
        <v>7316</v>
      </c>
      <c r="Y1" s="3" t="s">
        <v>7317</v>
      </c>
      <c r="Z1" s="3" t="s">
        <v>252</v>
      </c>
      <c r="AA1" s="3" t="s">
        <v>7318</v>
      </c>
      <c r="AB1" s="3" t="s">
        <v>218</v>
      </c>
      <c r="AC1" s="3" t="s">
        <v>258</v>
      </c>
      <c r="AD1" s="3" t="s">
        <v>7319</v>
      </c>
      <c r="AE1" s="3" t="s">
        <v>7320</v>
      </c>
      <c r="AF1" s="3" t="s">
        <v>9</v>
      </c>
      <c r="AG1" s="3" t="s">
        <v>7321</v>
      </c>
      <c r="AH1" s="3" t="s">
        <v>7322</v>
      </c>
      <c r="AI1" s="3" t="s">
        <v>7323</v>
      </c>
      <c r="AJ1" s="3" t="s">
        <v>7324</v>
      </c>
    </row>
    <row r="2" customFormat="false" ht="15" hidden="false" customHeight="false" outlineLevel="0" collapsed="false">
      <c r="A2" s="22" t="s">
        <v>15</v>
      </c>
      <c r="B2" s="22" t="n">
        <v>1</v>
      </c>
      <c r="C2" s="22" t="s">
        <v>59</v>
      </c>
      <c r="D2" s="22" t="s">
        <v>30</v>
      </c>
      <c r="E2" s="22" t="s">
        <v>20</v>
      </c>
      <c r="F2" s="22" t="n">
        <v>837685</v>
      </c>
      <c r="G2" s="30" t="n">
        <v>46237</v>
      </c>
      <c r="H2" s="22" t="n">
        <v>32362</v>
      </c>
      <c r="I2" s="22" t="s">
        <v>7325</v>
      </c>
      <c r="J2" s="31" t="n">
        <v>79.26</v>
      </c>
      <c r="K2" s="26" t="n">
        <v>1083.23</v>
      </c>
      <c r="L2" s="26" t="n">
        <v>202.76</v>
      </c>
      <c r="M2" s="22" t="s">
        <v>283</v>
      </c>
      <c r="N2" s="22" t="n">
        <f aca="false">MATCH(M2,'Tabela Passaro'!$A$2:$A$1795,0)</f>
        <v>1</v>
      </c>
      <c r="O2" s="22" t="str">
        <f aca="false">INDEX('Tabela Passaro'!$C$2:$C$1795,$N2)</f>
        <v>MACEIO</v>
      </c>
      <c r="P2" s="22" t="str">
        <f aca="false">INDEX('Tabela Passaro'!$B$2:$B$1795,$N2)</f>
        <v>AL</v>
      </c>
      <c r="Q2" s="22" t="n">
        <f aca="false">INDEX('Tabela Passaro'!$F$2:$F$1795,$N2)</f>
        <v>8</v>
      </c>
      <c r="R2" s="32" t="n">
        <f aca="false">IF(J2&lt;=10,INDEX('Tabela Passaro'!$G$2:$G$1795,$N2),IF(J2&lt;=30,INDEX('Tabela Passaro'!$H$2:$H$1795,$N2),IF(J2&lt;=50,INDEX('Tabela Passaro'!$I$2:$I$1795,$N2),IF(J2&lt;=70,INDEX('Tabela Passaro'!$J$2:$J$1795,$N2),IF(J2&lt;=100,INDEX('Tabela Passaro'!$K$2:$K$1795,$N2),INDEX('Tabela Passaro'!$K$2:$K$1795,$N2)+(J2-100)*INDEX('Tabela Passaro'!$L$2:$L$1795,$N2))))))</f>
        <v>105.51</v>
      </c>
      <c r="S2" s="32" t="n">
        <f aca="false">K2*INDEX('Tabela Passaro'!$M$2:$M$1795,$N2)</f>
        <v>5.41615</v>
      </c>
      <c r="T2" s="32" t="n">
        <f aca="false">K2*INDEX('Tabela Passaro'!$N$2:$N$1795,$N2)</f>
        <v>2.16646</v>
      </c>
      <c r="U2" s="32" t="n">
        <f aca="false">INDEX('Tabela Passaro'!$O$2:$O$1795,$N2)</f>
        <v>5</v>
      </c>
      <c r="V2" s="32" t="n">
        <f aca="false">ROUNDUP(J2/INDEX('Tabela Passaro'!$Q$2:$Q$1795,$N2),0)*INDEX('Tabela Passaro'!$P$2:$P$1795,$N2)</f>
        <v>5</v>
      </c>
      <c r="W2" s="32" t="n">
        <f aca="false">INDEX('Tabela Passaro'!$R$2:$R$1795,$N2)</f>
        <v>30</v>
      </c>
      <c r="X2" s="32" t="n">
        <f aca="false">ROUNDUP(J2/INDEX('Tabela Passaro'!$T$2:$T$1795,$N2),0)*INDEX('Tabela Passaro'!$S$2:$S$1795,$N2)</f>
        <v>0</v>
      </c>
      <c r="Y2" s="32" t="n">
        <f aca="false">INDEX('Tabela Passaro'!$U$2:$U$1795,$N2)</f>
        <v>0</v>
      </c>
      <c r="Z2" s="32" t="n">
        <f aca="false">INDEX('Tabela Passaro'!$V$2:$V$1795,$N2)</f>
        <v>0</v>
      </c>
      <c r="AA2" s="32" t="n">
        <f aca="false">SUM(R2:Z2)</f>
        <v>153.09261</v>
      </c>
      <c r="AB2" s="33" t="n">
        <f aca="false">INDEX(Premissas!$B$5:$B$13,MATCH(A2,Premissas!$A$5:$A$13,0))</f>
        <v>0.07</v>
      </c>
      <c r="AC2" s="32" t="n">
        <f aca="false">AA2/(1-AB2)-AA2</f>
        <v>11.5230996774194</v>
      </c>
      <c r="AD2" s="32" t="n">
        <f aca="false">ROUND(AA2+AC2,2)</f>
        <v>164.62</v>
      </c>
      <c r="AE2" s="32" t="n">
        <f aca="false">AD2-L2</f>
        <v>-38.14</v>
      </c>
      <c r="AF2" s="34" t="n">
        <f aca="false">IF(L2=0,0,AE2/L2)</f>
        <v>-0.188104162556717</v>
      </c>
      <c r="AG2" s="22" t="str">
        <f aca="false">IF(AD2&lt;L2,"PASSARO","ATUAL")</f>
        <v>PASSARO</v>
      </c>
      <c r="AH2" s="22" t="str">
        <f aca="false">IF(P2&lt;&gt;A2,"Faixa cadastrada como "&amp;P2&amp;" na tabela; preço aplicado pela UF do CEP","")</f>
        <v/>
      </c>
      <c r="AI2" s="26" t="n">
        <v>217.5</v>
      </c>
      <c r="AJ2" s="22" t="str">
        <f aca="false">INDEX('Tabela Passaro'!$X$2:$X$1795,$N2)</f>
        <v>CAPITAL</v>
      </c>
    </row>
    <row r="3" customFormat="false" ht="15" hidden="false" customHeight="false" outlineLevel="0" collapsed="false">
      <c r="A3" s="22" t="s">
        <v>15</v>
      </c>
      <c r="B3" s="22" t="n">
        <v>1</v>
      </c>
      <c r="C3" s="22" t="s">
        <v>59</v>
      </c>
      <c r="D3" s="22" t="s">
        <v>30</v>
      </c>
      <c r="E3" s="22" t="s">
        <v>7326</v>
      </c>
      <c r="F3" s="22" t="n">
        <v>521934</v>
      </c>
      <c r="G3" s="30" t="n">
        <v>46237</v>
      </c>
      <c r="H3" s="22" t="n">
        <v>619520</v>
      </c>
      <c r="I3" s="22" t="s">
        <v>7327</v>
      </c>
      <c r="J3" s="31" t="n">
        <v>44.5</v>
      </c>
      <c r="K3" s="26" t="n">
        <v>1054</v>
      </c>
      <c r="L3" s="26" t="n">
        <v>180.27</v>
      </c>
      <c r="M3" s="22" t="s">
        <v>283</v>
      </c>
      <c r="N3" s="22" t="n">
        <f aca="false">MATCH(M3,'Tabela Passaro'!$A$2:$A$1795,0)</f>
        <v>1</v>
      </c>
      <c r="O3" s="22" t="str">
        <f aca="false">INDEX('Tabela Passaro'!$C$2:$C$1795,$N3)</f>
        <v>MACEIO</v>
      </c>
      <c r="P3" s="22" t="str">
        <f aca="false">INDEX('Tabela Passaro'!$B$2:$B$1795,$N3)</f>
        <v>AL</v>
      </c>
      <c r="Q3" s="22" t="n">
        <f aca="false">INDEX('Tabela Passaro'!$F$2:$F$1795,$N3)</f>
        <v>8</v>
      </c>
      <c r="R3" s="32" t="n">
        <f aca="false">IF(J3&lt;=10,INDEX('Tabela Passaro'!$G$2:$G$1795,$N3),IF(J3&lt;=30,INDEX('Tabela Passaro'!$H$2:$H$1795,$N3),IF(J3&lt;=50,INDEX('Tabela Passaro'!$I$2:$I$1795,$N3),IF(J3&lt;=70,INDEX('Tabela Passaro'!$J$2:$J$1795,$N3),IF(J3&lt;=100,INDEX('Tabela Passaro'!$K$2:$K$1795,$N3),INDEX('Tabela Passaro'!$K$2:$K$1795,$N3)+(J3-100)*INDEX('Tabela Passaro'!$L$2:$L$1795,$N3))))))</f>
        <v>77.96</v>
      </c>
      <c r="S3" s="32" t="n">
        <f aca="false">K3*INDEX('Tabela Passaro'!$M$2:$M$1795,$N3)</f>
        <v>5.27</v>
      </c>
      <c r="T3" s="32" t="n">
        <f aca="false">K3*INDEX('Tabela Passaro'!$N$2:$N$1795,$N3)</f>
        <v>2.108</v>
      </c>
      <c r="U3" s="32" t="n">
        <f aca="false">INDEX('Tabela Passaro'!$O$2:$O$1795,$N3)</f>
        <v>5</v>
      </c>
      <c r="V3" s="32" t="n">
        <f aca="false">ROUNDUP(J3/INDEX('Tabela Passaro'!$Q$2:$Q$1795,$N3),0)*INDEX('Tabela Passaro'!$P$2:$P$1795,$N3)</f>
        <v>5</v>
      </c>
      <c r="W3" s="32" t="n">
        <f aca="false">INDEX('Tabela Passaro'!$R$2:$R$1795,$N3)</f>
        <v>30</v>
      </c>
      <c r="X3" s="32" t="n">
        <f aca="false">ROUNDUP(J3/INDEX('Tabela Passaro'!$T$2:$T$1795,$N3),0)*INDEX('Tabela Passaro'!$S$2:$S$1795,$N3)</f>
        <v>0</v>
      </c>
      <c r="Y3" s="32" t="n">
        <f aca="false">INDEX('Tabela Passaro'!$U$2:$U$1795,$N3)</f>
        <v>0</v>
      </c>
      <c r="Z3" s="32" t="n">
        <f aca="false">INDEX('Tabela Passaro'!$V$2:$V$1795,$N3)</f>
        <v>0</v>
      </c>
      <c r="AA3" s="32" t="n">
        <f aca="false">SUM(R3:Z3)</f>
        <v>125.338</v>
      </c>
      <c r="AB3" s="33" t="n">
        <f aca="false">INDEX(Premissas!$B$5:$B$13,MATCH(A3,Premissas!$A$5:$A$13,0))</f>
        <v>0.07</v>
      </c>
      <c r="AC3" s="32" t="n">
        <f aca="false">AA3/(1-AB3)-AA3</f>
        <v>9.4340430107527</v>
      </c>
      <c r="AD3" s="32" t="n">
        <f aca="false">ROUND(AA3+AC3,2)</f>
        <v>134.77</v>
      </c>
      <c r="AE3" s="32" t="n">
        <f aca="false">AD3-L3</f>
        <v>-45.5</v>
      </c>
      <c r="AF3" s="34" t="n">
        <f aca="false">IF(L3=0,0,AE3/L3)</f>
        <v>-0.252399179009264</v>
      </c>
      <c r="AG3" s="22" t="str">
        <f aca="false">IF(AD3&lt;L3,"PASSARO","ATUAL")</f>
        <v>PASSARO</v>
      </c>
      <c r="AH3" s="22" t="str">
        <f aca="false">IF(P3&lt;&gt;A3,"Faixa cadastrada como "&amp;P3&amp;" na tabela; preço aplicado pela UF do CEP","")</f>
        <v/>
      </c>
      <c r="AI3" s="26" t="n">
        <v>168.97</v>
      </c>
      <c r="AJ3" s="22" t="str">
        <f aca="false">INDEX('Tabela Passaro'!$X$2:$X$1795,$N3)</f>
        <v>CAPITAL</v>
      </c>
    </row>
    <row r="4" customFormat="false" ht="15" hidden="false" customHeight="false" outlineLevel="0" collapsed="false">
      <c r="A4" s="22" t="s">
        <v>15</v>
      </c>
      <c r="B4" s="22" t="n">
        <v>1</v>
      </c>
      <c r="C4" s="22" t="s">
        <v>59</v>
      </c>
      <c r="D4" s="22" t="s">
        <v>30</v>
      </c>
      <c r="E4" s="22" t="s">
        <v>7328</v>
      </c>
      <c r="F4" s="22" t="n">
        <v>2307459</v>
      </c>
      <c r="G4" s="30" t="n">
        <v>46238</v>
      </c>
      <c r="H4" s="22" t="n">
        <v>131331</v>
      </c>
      <c r="I4" s="22" t="s">
        <v>7329</v>
      </c>
      <c r="J4" s="31" t="n">
        <v>34.4</v>
      </c>
      <c r="K4" s="26" t="n">
        <v>620.46</v>
      </c>
      <c r="L4" s="26" t="n">
        <v>155.77</v>
      </c>
      <c r="M4" s="22" t="s">
        <v>283</v>
      </c>
      <c r="N4" s="22" t="n">
        <f aca="false">MATCH(M4,'Tabela Passaro'!$A$2:$A$1795,0)</f>
        <v>1</v>
      </c>
      <c r="O4" s="22" t="str">
        <f aca="false">INDEX('Tabela Passaro'!$C$2:$C$1795,$N4)</f>
        <v>MACEIO</v>
      </c>
      <c r="P4" s="22" t="str">
        <f aca="false">INDEX('Tabela Passaro'!$B$2:$B$1795,$N4)</f>
        <v>AL</v>
      </c>
      <c r="Q4" s="22" t="n">
        <f aca="false">INDEX('Tabela Passaro'!$F$2:$F$1795,$N4)</f>
        <v>8</v>
      </c>
      <c r="R4" s="32" t="n">
        <f aca="false">IF(J4&lt;=10,INDEX('Tabela Passaro'!$G$2:$G$1795,$N4),IF(J4&lt;=30,INDEX('Tabela Passaro'!$H$2:$H$1795,$N4),IF(J4&lt;=50,INDEX('Tabela Passaro'!$I$2:$I$1795,$N4),IF(J4&lt;=70,INDEX('Tabela Passaro'!$J$2:$J$1795,$N4),IF(J4&lt;=100,INDEX('Tabela Passaro'!$K$2:$K$1795,$N4),INDEX('Tabela Passaro'!$K$2:$K$1795,$N4)+(J4-100)*INDEX('Tabela Passaro'!$L$2:$L$1795,$N4))))))</f>
        <v>77.96</v>
      </c>
      <c r="S4" s="32" t="n">
        <f aca="false">K4*INDEX('Tabela Passaro'!$M$2:$M$1795,$N4)</f>
        <v>3.1023</v>
      </c>
      <c r="T4" s="32" t="n">
        <f aca="false">K4*INDEX('Tabela Passaro'!$N$2:$N$1795,$N4)</f>
        <v>1.24092</v>
      </c>
      <c r="U4" s="32" t="n">
        <f aca="false">INDEX('Tabela Passaro'!$O$2:$O$1795,$N4)</f>
        <v>5</v>
      </c>
      <c r="V4" s="32" t="n">
        <f aca="false">ROUNDUP(J4/INDEX('Tabela Passaro'!$Q$2:$Q$1795,$N4),0)*INDEX('Tabela Passaro'!$P$2:$P$1795,$N4)</f>
        <v>5</v>
      </c>
      <c r="W4" s="32" t="n">
        <f aca="false">INDEX('Tabela Passaro'!$R$2:$R$1795,$N4)</f>
        <v>30</v>
      </c>
      <c r="X4" s="32" t="n">
        <f aca="false">ROUNDUP(J4/INDEX('Tabela Passaro'!$T$2:$T$1795,$N4),0)*INDEX('Tabela Passaro'!$S$2:$S$1795,$N4)</f>
        <v>0</v>
      </c>
      <c r="Y4" s="32" t="n">
        <f aca="false">INDEX('Tabela Passaro'!$U$2:$U$1795,$N4)</f>
        <v>0</v>
      </c>
      <c r="Z4" s="32" t="n">
        <f aca="false">INDEX('Tabela Passaro'!$V$2:$V$1795,$N4)</f>
        <v>0</v>
      </c>
      <c r="AA4" s="32" t="n">
        <f aca="false">SUM(R4:Z4)</f>
        <v>122.30322</v>
      </c>
      <c r="AB4" s="33" t="n">
        <f aca="false">INDEX(Premissas!$B$5:$B$13,MATCH(A4,Premissas!$A$5:$A$13,0))</f>
        <v>0.07</v>
      </c>
      <c r="AC4" s="32" t="n">
        <f aca="false">AA4/(1-AB4)-AA4</f>
        <v>9.20561870967744</v>
      </c>
      <c r="AD4" s="32" t="n">
        <f aca="false">ROUND(AA4+AC4,2)</f>
        <v>131.51</v>
      </c>
      <c r="AE4" s="32" t="n">
        <f aca="false">AD4-L4</f>
        <v>-24.26</v>
      </c>
      <c r="AF4" s="34" t="n">
        <f aca="false">IF(L4=0,0,AE4/L4)</f>
        <v>-0.15574244077807</v>
      </c>
      <c r="AG4" s="22" t="str">
        <f aca="false">IF(AD4&lt;L4,"PASSARO","ATUAL")</f>
        <v>PASSARO</v>
      </c>
      <c r="AH4" s="22" t="str">
        <f aca="false">IF(P4&lt;&gt;A4,"Faixa cadastrada como "&amp;P4&amp;" na tabela; preço aplicado pela UF do CEP","")</f>
        <v/>
      </c>
      <c r="AI4" s="26" t="n">
        <v>159.94</v>
      </c>
      <c r="AJ4" s="22" t="str">
        <f aca="false">INDEX('Tabela Passaro'!$X$2:$X$1795,$N4)</f>
        <v>CAPITAL</v>
      </c>
    </row>
    <row r="5" customFormat="false" ht="15" hidden="false" customHeight="false" outlineLevel="0" collapsed="false">
      <c r="A5" s="22" t="s">
        <v>15</v>
      </c>
      <c r="B5" s="22" t="n">
        <v>1</v>
      </c>
      <c r="C5" s="22" t="s">
        <v>59</v>
      </c>
      <c r="D5" s="22" t="s">
        <v>30</v>
      </c>
      <c r="E5" s="22" t="s">
        <v>7328</v>
      </c>
      <c r="F5" s="22" t="n">
        <v>2307461</v>
      </c>
      <c r="G5" s="30" t="n">
        <v>46238</v>
      </c>
      <c r="H5" s="22" t="n">
        <v>131333</v>
      </c>
      <c r="I5" s="22" t="s">
        <v>7330</v>
      </c>
      <c r="J5" s="31" t="n">
        <v>66.4</v>
      </c>
      <c r="K5" s="26" t="n">
        <v>827.32</v>
      </c>
      <c r="L5" s="26" t="n">
        <v>184.85</v>
      </c>
      <c r="M5" s="22" t="s">
        <v>283</v>
      </c>
      <c r="N5" s="22" t="n">
        <f aca="false">MATCH(M5,'Tabela Passaro'!$A$2:$A$1795,0)</f>
        <v>1</v>
      </c>
      <c r="O5" s="22" t="str">
        <f aca="false">INDEX('Tabela Passaro'!$C$2:$C$1795,$N5)</f>
        <v>MACEIO</v>
      </c>
      <c r="P5" s="22" t="str">
        <f aca="false">INDEX('Tabela Passaro'!$B$2:$B$1795,$N5)</f>
        <v>AL</v>
      </c>
      <c r="Q5" s="22" t="n">
        <f aca="false">INDEX('Tabela Passaro'!$F$2:$F$1795,$N5)</f>
        <v>8</v>
      </c>
      <c r="R5" s="32" t="n">
        <f aca="false">IF(J5&lt;=10,INDEX('Tabela Passaro'!$G$2:$G$1795,$N5),IF(J5&lt;=30,INDEX('Tabela Passaro'!$H$2:$H$1795,$N5),IF(J5&lt;=50,INDEX('Tabela Passaro'!$I$2:$I$1795,$N5),IF(J5&lt;=70,INDEX('Tabela Passaro'!$J$2:$J$1795,$N5),IF(J5&lt;=100,INDEX('Tabela Passaro'!$K$2:$K$1795,$N5),INDEX('Tabela Passaro'!$K$2:$K$1795,$N5)+(J5-100)*INDEX('Tabela Passaro'!$L$2:$L$1795,$N5))))))</f>
        <v>88.98</v>
      </c>
      <c r="S5" s="32" t="n">
        <f aca="false">K5*INDEX('Tabela Passaro'!$M$2:$M$1795,$N5)</f>
        <v>4.1366</v>
      </c>
      <c r="T5" s="32" t="n">
        <f aca="false">K5*INDEX('Tabela Passaro'!$N$2:$N$1795,$N5)</f>
        <v>1.65464</v>
      </c>
      <c r="U5" s="32" t="n">
        <f aca="false">INDEX('Tabela Passaro'!$O$2:$O$1795,$N5)</f>
        <v>5</v>
      </c>
      <c r="V5" s="32" t="n">
        <f aca="false">ROUNDUP(J5/INDEX('Tabela Passaro'!$Q$2:$Q$1795,$N5),0)*INDEX('Tabela Passaro'!$P$2:$P$1795,$N5)</f>
        <v>5</v>
      </c>
      <c r="W5" s="32" t="n">
        <f aca="false">INDEX('Tabela Passaro'!$R$2:$R$1795,$N5)</f>
        <v>30</v>
      </c>
      <c r="X5" s="32" t="n">
        <f aca="false">ROUNDUP(J5/INDEX('Tabela Passaro'!$T$2:$T$1795,$N5),0)*INDEX('Tabela Passaro'!$S$2:$S$1795,$N5)</f>
        <v>0</v>
      </c>
      <c r="Y5" s="32" t="n">
        <f aca="false">INDEX('Tabela Passaro'!$U$2:$U$1795,$N5)</f>
        <v>0</v>
      </c>
      <c r="Z5" s="32" t="n">
        <f aca="false">INDEX('Tabela Passaro'!$V$2:$V$1795,$N5)</f>
        <v>0</v>
      </c>
      <c r="AA5" s="32" t="n">
        <f aca="false">SUM(R5:Z5)</f>
        <v>134.77124</v>
      </c>
      <c r="AB5" s="33" t="n">
        <f aca="false">INDEX(Premissas!$B$5:$B$13,MATCH(A5,Premissas!$A$5:$A$13,0))</f>
        <v>0.07</v>
      </c>
      <c r="AC5" s="32" t="n">
        <f aca="false">AA5/(1-AB5)-AA5</f>
        <v>10.144071827957</v>
      </c>
      <c r="AD5" s="32" t="n">
        <f aca="false">ROUND(AA5+AC5,2)</f>
        <v>144.92</v>
      </c>
      <c r="AE5" s="32" t="n">
        <f aca="false">AD5-L5</f>
        <v>-39.93</v>
      </c>
      <c r="AF5" s="34" t="n">
        <f aca="false">IF(L5=0,0,AE5/L5)</f>
        <v>-0.216012983500135</v>
      </c>
      <c r="AG5" s="22" t="str">
        <f aca="false">IF(AD5&lt;L5,"PASSARO","ATUAL")</f>
        <v>PASSARO</v>
      </c>
      <c r="AH5" s="22" t="str">
        <f aca="false">IF(P5&lt;&gt;A5,"Faixa cadastrada como "&amp;P5&amp;" na tabela; preço aplicado pela UF do CEP","")</f>
        <v/>
      </c>
      <c r="AI5" s="26" t="n">
        <v>189.95</v>
      </c>
      <c r="AJ5" s="22" t="str">
        <f aca="false">INDEX('Tabela Passaro'!$X$2:$X$1795,$N5)</f>
        <v>CAPITAL</v>
      </c>
    </row>
    <row r="6" customFormat="false" ht="15" hidden="false" customHeight="false" outlineLevel="0" collapsed="false">
      <c r="A6" s="22" t="s">
        <v>15</v>
      </c>
      <c r="B6" s="22" t="n">
        <v>1</v>
      </c>
      <c r="C6" s="22" t="s">
        <v>59</v>
      </c>
      <c r="D6" s="22" t="s">
        <v>30</v>
      </c>
      <c r="E6" s="22" t="s">
        <v>20</v>
      </c>
      <c r="F6" s="22" t="n">
        <v>837961</v>
      </c>
      <c r="G6" s="30" t="n">
        <v>46239</v>
      </c>
      <c r="H6" s="22" t="n">
        <v>32407</v>
      </c>
      <c r="I6" s="22" t="s">
        <v>7331</v>
      </c>
      <c r="J6" s="31" t="n">
        <v>22.4</v>
      </c>
      <c r="K6" s="26" t="n">
        <v>605.63</v>
      </c>
      <c r="L6" s="26" t="n">
        <v>109.74</v>
      </c>
      <c r="M6" s="22" t="s">
        <v>283</v>
      </c>
      <c r="N6" s="22" t="n">
        <f aca="false">MATCH(M6,'Tabela Passaro'!$A$2:$A$1795,0)</f>
        <v>1</v>
      </c>
      <c r="O6" s="22" t="str">
        <f aca="false">INDEX('Tabela Passaro'!$C$2:$C$1795,$N6)</f>
        <v>MACEIO</v>
      </c>
      <c r="P6" s="22" t="str">
        <f aca="false">INDEX('Tabela Passaro'!$B$2:$B$1795,$N6)</f>
        <v>AL</v>
      </c>
      <c r="Q6" s="22" t="n">
        <f aca="false">INDEX('Tabela Passaro'!$F$2:$F$1795,$N6)</f>
        <v>8</v>
      </c>
      <c r="R6" s="32" t="n">
        <f aca="false">IF(J6&lt;=10,INDEX('Tabela Passaro'!$G$2:$G$1795,$N6),IF(J6&lt;=30,INDEX('Tabela Passaro'!$H$2:$H$1795,$N6),IF(J6&lt;=50,INDEX('Tabela Passaro'!$I$2:$I$1795,$N6),IF(J6&lt;=70,INDEX('Tabela Passaro'!$J$2:$J$1795,$N6),IF(J6&lt;=100,INDEX('Tabela Passaro'!$K$2:$K$1795,$N6),INDEX('Tabela Passaro'!$K$2:$K$1795,$N6)+(J6-100)*INDEX('Tabela Passaro'!$L$2:$L$1795,$N6))))))</f>
        <v>66.94</v>
      </c>
      <c r="S6" s="32" t="n">
        <f aca="false">K6*INDEX('Tabela Passaro'!$M$2:$M$1795,$N6)</f>
        <v>3.02815</v>
      </c>
      <c r="T6" s="32" t="n">
        <f aca="false">K6*INDEX('Tabela Passaro'!$N$2:$N$1795,$N6)</f>
        <v>1.21126</v>
      </c>
      <c r="U6" s="32" t="n">
        <f aca="false">INDEX('Tabela Passaro'!$O$2:$O$1795,$N6)</f>
        <v>5</v>
      </c>
      <c r="V6" s="32" t="n">
        <f aca="false">ROUNDUP(J6/INDEX('Tabela Passaro'!$Q$2:$Q$1795,$N6),0)*INDEX('Tabela Passaro'!$P$2:$P$1795,$N6)</f>
        <v>5</v>
      </c>
      <c r="W6" s="32" t="n">
        <f aca="false">INDEX('Tabela Passaro'!$R$2:$R$1795,$N6)</f>
        <v>30</v>
      </c>
      <c r="X6" s="32" t="n">
        <f aca="false">ROUNDUP(J6/INDEX('Tabela Passaro'!$T$2:$T$1795,$N6),0)*INDEX('Tabela Passaro'!$S$2:$S$1795,$N6)</f>
        <v>0</v>
      </c>
      <c r="Y6" s="32" t="n">
        <f aca="false">INDEX('Tabela Passaro'!$U$2:$U$1795,$N6)</f>
        <v>0</v>
      </c>
      <c r="Z6" s="32" t="n">
        <f aca="false">INDEX('Tabela Passaro'!$V$2:$V$1795,$N6)</f>
        <v>0</v>
      </c>
      <c r="AA6" s="32" t="n">
        <f aca="false">SUM(R6:Z6)</f>
        <v>111.17941</v>
      </c>
      <c r="AB6" s="33" t="n">
        <f aca="false">INDEX(Premissas!$B$5:$B$13,MATCH(A6,Premissas!$A$5:$A$13,0))</f>
        <v>0.07</v>
      </c>
      <c r="AC6" s="32" t="n">
        <f aca="false">AA6/(1-AB6)-AA6</f>
        <v>8.36834268817205</v>
      </c>
      <c r="AD6" s="32" t="n">
        <f aca="false">ROUND(AA6+AC6,2)</f>
        <v>119.55</v>
      </c>
      <c r="AE6" s="32" t="n">
        <f aca="false">AD6-L6</f>
        <v>9.81</v>
      </c>
      <c r="AF6" s="34" t="n">
        <f aca="false">IF(L6=0,0,AE6/L6)</f>
        <v>0.0893931109896118</v>
      </c>
      <c r="AG6" s="22" t="str">
        <f aca="false">IF(AD6&lt;L6,"PASSARO","ATUAL")</f>
        <v>ATUAL</v>
      </c>
      <c r="AH6" s="22" t="str">
        <f aca="false">IF(P6&lt;&gt;A6,"Faixa cadastrada como "&amp;P6&amp;" na tabela; preço aplicado pela UF do CEP","")</f>
        <v/>
      </c>
      <c r="AI6" s="26" t="n">
        <v>141.46</v>
      </c>
      <c r="AJ6" s="22" t="str">
        <f aca="false">INDEX('Tabela Passaro'!$X$2:$X$1795,$N6)</f>
        <v>CAPITAL</v>
      </c>
    </row>
    <row r="7" customFormat="false" ht="15" hidden="false" customHeight="false" outlineLevel="0" collapsed="false">
      <c r="A7" s="22" t="s">
        <v>15</v>
      </c>
      <c r="B7" s="22" t="n">
        <v>1</v>
      </c>
      <c r="C7" s="22" t="s">
        <v>59</v>
      </c>
      <c r="D7" s="22" t="s">
        <v>30</v>
      </c>
      <c r="E7" s="22" t="s">
        <v>7328</v>
      </c>
      <c r="F7" s="22" t="n">
        <v>2307924</v>
      </c>
      <c r="G7" s="30" t="n">
        <v>46239</v>
      </c>
      <c r="H7" s="22" t="n">
        <v>131899</v>
      </c>
      <c r="I7" s="22" t="s">
        <v>7332</v>
      </c>
      <c r="J7" s="31" t="n">
        <v>66.4</v>
      </c>
      <c r="K7" s="26" t="n">
        <v>966.75</v>
      </c>
      <c r="L7" s="26" t="n">
        <v>185.94</v>
      </c>
      <c r="M7" s="22" t="s">
        <v>283</v>
      </c>
      <c r="N7" s="22" t="n">
        <f aca="false">MATCH(M7,'Tabela Passaro'!$A$2:$A$1795,0)</f>
        <v>1</v>
      </c>
      <c r="O7" s="22" t="str">
        <f aca="false">INDEX('Tabela Passaro'!$C$2:$C$1795,$N7)</f>
        <v>MACEIO</v>
      </c>
      <c r="P7" s="22" t="str">
        <f aca="false">INDEX('Tabela Passaro'!$B$2:$B$1795,$N7)</f>
        <v>AL</v>
      </c>
      <c r="Q7" s="22" t="n">
        <f aca="false">INDEX('Tabela Passaro'!$F$2:$F$1795,$N7)</f>
        <v>8</v>
      </c>
      <c r="R7" s="32" t="n">
        <f aca="false">IF(J7&lt;=10,INDEX('Tabela Passaro'!$G$2:$G$1795,$N7),IF(J7&lt;=30,INDEX('Tabela Passaro'!$H$2:$H$1795,$N7),IF(J7&lt;=50,INDEX('Tabela Passaro'!$I$2:$I$1795,$N7),IF(J7&lt;=70,INDEX('Tabela Passaro'!$J$2:$J$1795,$N7),IF(J7&lt;=100,INDEX('Tabela Passaro'!$K$2:$K$1795,$N7),INDEX('Tabela Passaro'!$K$2:$K$1795,$N7)+(J7-100)*INDEX('Tabela Passaro'!$L$2:$L$1795,$N7))))))</f>
        <v>88.98</v>
      </c>
      <c r="S7" s="32" t="n">
        <f aca="false">K7*INDEX('Tabela Passaro'!$M$2:$M$1795,$N7)</f>
        <v>4.83375</v>
      </c>
      <c r="T7" s="32" t="n">
        <f aca="false">K7*INDEX('Tabela Passaro'!$N$2:$N$1795,$N7)</f>
        <v>1.9335</v>
      </c>
      <c r="U7" s="32" t="n">
        <f aca="false">INDEX('Tabela Passaro'!$O$2:$O$1795,$N7)</f>
        <v>5</v>
      </c>
      <c r="V7" s="32" t="n">
        <f aca="false">ROUNDUP(J7/INDEX('Tabela Passaro'!$Q$2:$Q$1795,$N7),0)*INDEX('Tabela Passaro'!$P$2:$P$1795,$N7)</f>
        <v>5</v>
      </c>
      <c r="W7" s="32" t="n">
        <f aca="false">INDEX('Tabela Passaro'!$R$2:$R$1795,$N7)</f>
        <v>30</v>
      </c>
      <c r="X7" s="32" t="n">
        <f aca="false">ROUNDUP(J7/INDEX('Tabela Passaro'!$T$2:$T$1795,$N7),0)*INDEX('Tabela Passaro'!$S$2:$S$1795,$N7)</f>
        <v>0</v>
      </c>
      <c r="Y7" s="32" t="n">
        <f aca="false">INDEX('Tabela Passaro'!$U$2:$U$1795,$N7)</f>
        <v>0</v>
      </c>
      <c r="Z7" s="32" t="n">
        <f aca="false">INDEX('Tabela Passaro'!$V$2:$V$1795,$N7)</f>
        <v>0</v>
      </c>
      <c r="AA7" s="32" t="n">
        <f aca="false">SUM(R7:Z7)</f>
        <v>135.74725</v>
      </c>
      <c r="AB7" s="33" t="n">
        <f aca="false">INDEX(Premissas!$B$5:$B$13,MATCH(A7,Premissas!$A$5:$A$13,0))</f>
        <v>0.07</v>
      </c>
      <c r="AC7" s="32" t="n">
        <f aca="false">AA7/(1-AB7)-AA7</f>
        <v>10.2175349462366</v>
      </c>
      <c r="AD7" s="32" t="n">
        <f aca="false">ROUND(AA7+AC7,2)</f>
        <v>145.96</v>
      </c>
      <c r="AE7" s="32" t="n">
        <f aca="false">AD7-L7</f>
        <v>-39.98</v>
      </c>
      <c r="AF7" s="34" t="n">
        <f aca="false">IF(L7=0,0,AE7/L7)</f>
        <v>-0.215015596428956</v>
      </c>
      <c r="AG7" s="22" t="str">
        <f aca="false">IF(AD7&lt;L7,"PASSARO","ATUAL")</f>
        <v>PASSARO</v>
      </c>
      <c r="AH7" s="22" t="str">
        <f aca="false">IF(P7&lt;&gt;A7,"Faixa cadastrada como "&amp;P7&amp;" na tabela; preço aplicado pela UF do CEP","")</f>
        <v/>
      </c>
      <c r="AI7" s="26" t="n">
        <v>191.3</v>
      </c>
      <c r="AJ7" s="22" t="str">
        <f aca="false">INDEX('Tabela Passaro'!$X$2:$X$1795,$N7)</f>
        <v>CAPITAL</v>
      </c>
    </row>
    <row r="8" customFormat="false" ht="15" hidden="false" customHeight="false" outlineLevel="0" collapsed="false">
      <c r="A8" s="22" t="s">
        <v>15</v>
      </c>
      <c r="B8" s="22" t="n">
        <v>1</v>
      </c>
      <c r="C8" s="22" t="s">
        <v>59</v>
      </c>
      <c r="D8" s="22" t="s">
        <v>30</v>
      </c>
      <c r="E8" s="22" t="s">
        <v>7328</v>
      </c>
      <c r="F8" s="22" t="n">
        <v>2307937</v>
      </c>
      <c r="G8" s="30" t="n">
        <v>46239</v>
      </c>
      <c r="H8" s="22" t="n">
        <v>131908</v>
      </c>
      <c r="I8" s="22" t="s">
        <v>7333</v>
      </c>
      <c r="J8" s="31" t="n">
        <v>51.06</v>
      </c>
      <c r="K8" s="26" t="n">
        <v>911.83</v>
      </c>
      <c r="L8" s="26" t="n">
        <v>185.51</v>
      </c>
      <c r="M8" s="22" t="s">
        <v>283</v>
      </c>
      <c r="N8" s="22" t="n">
        <f aca="false">MATCH(M8,'Tabela Passaro'!$A$2:$A$1795,0)</f>
        <v>1</v>
      </c>
      <c r="O8" s="22" t="str">
        <f aca="false">INDEX('Tabela Passaro'!$C$2:$C$1795,$N8)</f>
        <v>MACEIO</v>
      </c>
      <c r="P8" s="22" t="str">
        <f aca="false">INDEX('Tabela Passaro'!$B$2:$B$1795,$N8)</f>
        <v>AL</v>
      </c>
      <c r="Q8" s="22" t="n">
        <f aca="false">INDEX('Tabela Passaro'!$F$2:$F$1795,$N8)</f>
        <v>8</v>
      </c>
      <c r="R8" s="32" t="n">
        <f aca="false">IF(J8&lt;=10,INDEX('Tabela Passaro'!$G$2:$G$1795,$N8),IF(J8&lt;=30,INDEX('Tabela Passaro'!$H$2:$H$1795,$N8),IF(J8&lt;=50,INDEX('Tabela Passaro'!$I$2:$I$1795,$N8),IF(J8&lt;=70,INDEX('Tabela Passaro'!$J$2:$J$1795,$N8),IF(J8&lt;=100,INDEX('Tabela Passaro'!$K$2:$K$1795,$N8),INDEX('Tabela Passaro'!$K$2:$K$1795,$N8)+(J8-100)*INDEX('Tabela Passaro'!$L$2:$L$1795,$N8))))))</f>
        <v>88.98</v>
      </c>
      <c r="S8" s="32" t="n">
        <f aca="false">K8*INDEX('Tabela Passaro'!$M$2:$M$1795,$N8)</f>
        <v>4.55915</v>
      </c>
      <c r="T8" s="32" t="n">
        <f aca="false">K8*INDEX('Tabela Passaro'!$N$2:$N$1795,$N8)</f>
        <v>1.82366</v>
      </c>
      <c r="U8" s="32" t="n">
        <f aca="false">INDEX('Tabela Passaro'!$O$2:$O$1795,$N8)</f>
        <v>5</v>
      </c>
      <c r="V8" s="32" t="n">
        <f aca="false">ROUNDUP(J8/INDEX('Tabela Passaro'!$Q$2:$Q$1795,$N8),0)*INDEX('Tabela Passaro'!$P$2:$P$1795,$N8)</f>
        <v>5</v>
      </c>
      <c r="W8" s="32" t="n">
        <f aca="false">INDEX('Tabela Passaro'!$R$2:$R$1795,$N8)</f>
        <v>30</v>
      </c>
      <c r="X8" s="32" t="n">
        <f aca="false">ROUNDUP(J8/INDEX('Tabela Passaro'!$T$2:$T$1795,$N8),0)*INDEX('Tabela Passaro'!$S$2:$S$1795,$N8)</f>
        <v>0</v>
      </c>
      <c r="Y8" s="32" t="n">
        <f aca="false">INDEX('Tabela Passaro'!$U$2:$U$1795,$N8)</f>
        <v>0</v>
      </c>
      <c r="Z8" s="32" t="n">
        <f aca="false">INDEX('Tabela Passaro'!$V$2:$V$1795,$N8)</f>
        <v>0</v>
      </c>
      <c r="AA8" s="32" t="n">
        <f aca="false">SUM(R8:Z8)</f>
        <v>135.36281</v>
      </c>
      <c r="AB8" s="33" t="n">
        <f aca="false">INDEX(Premissas!$B$5:$B$13,MATCH(A8,Premissas!$A$5:$A$13,0))</f>
        <v>0.07</v>
      </c>
      <c r="AC8" s="32" t="n">
        <f aca="false">AA8/(1-AB8)-AA8</f>
        <v>10.1885986021506</v>
      </c>
      <c r="AD8" s="32" t="n">
        <f aca="false">ROUND(AA8+AC8,2)</f>
        <v>145.55</v>
      </c>
      <c r="AE8" s="32" t="n">
        <f aca="false">AD8-L8</f>
        <v>-39.96</v>
      </c>
      <c r="AF8" s="34" t="n">
        <f aca="false">IF(L8=0,0,AE8/L8)</f>
        <v>-0.215406177564552</v>
      </c>
      <c r="AG8" s="22" t="str">
        <f aca="false">IF(AD8&lt;L8,"PASSARO","ATUAL")</f>
        <v>PASSARO</v>
      </c>
      <c r="AH8" s="22" t="str">
        <f aca="false">IF(P8&lt;&gt;A8,"Faixa cadastrada como "&amp;P8&amp;" na tabela; preço aplicado pela UF do CEP","")</f>
        <v/>
      </c>
      <c r="AI8" s="26" t="n">
        <v>183.51</v>
      </c>
      <c r="AJ8" s="22" t="str">
        <f aca="false">INDEX('Tabela Passaro'!$X$2:$X$1795,$N8)</f>
        <v>CAPITAL</v>
      </c>
    </row>
    <row r="9" customFormat="false" ht="15" hidden="false" customHeight="false" outlineLevel="0" collapsed="false">
      <c r="A9" s="22" t="s">
        <v>15</v>
      </c>
      <c r="B9" s="22" t="n">
        <v>1</v>
      </c>
      <c r="C9" s="22" t="s">
        <v>59</v>
      </c>
      <c r="D9" s="22" t="s">
        <v>30</v>
      </c>
      <c r="E9" s="22" t="s">
        <v>7328</v>
      </c>
      <c r="F9" s="22" t="n">
        <v>2307899</v>
      </c>
      <c r="G9" s="30" t="n">
        <v>46239</v>
      </c>
      <c r="H9" s="22" t="n">
        <v>131917</v>
      </c>
      <c r="I9" s="22" t="s">
        <v>7334</v>
      </c>
      <c r="J9" s="31" t="n">
        <v>34.4</v>
      </c>
      <c r="K9" s="26" t="n">
        <v>689.51</v>
      </c>
      <c r="L9" s="26" t="n">
        <v>156.32</v>
      </c>
      <c r="M9" s="22" t="s">
        <v>283</v>
      </c>
      <c r="N9" s="22" t="n">
        <f aca="false">MATCH(M9,'Tabela Passaro'!$A$2:$A$1795,0)</f>
        <v>1</v>
      </c>
      <c r="O9" s="22" t="str">
        <f aca="false">INDEX('Tabela Passaro'!$C$2:$C$1795,$N9)</f>
        <v>MACEIO</v>
      </c>
      <c r="P9" s="22" t="str">
        <f aca="false">INDEX('Tabela Passaro'!$B$2:$B$1795,$N9)</f>
        <v>AL</v>
      </c>
      <c r="Q9" s="22" t="n">
        <f aca="false">INDEX('Tabela Passaro'!$F$2:$F$1795,$N9)</f>
        <v>8</v>
      </c>
      <c r="R9" s="32" t="n">
        <f aca="false">IF(J9&lt;=10,INDEX('Tabela Passaro'!$G$2:$G$1795,$N9),IF(J9&lt;=30,INDEX('Tabela Passaro'!$H$2:$H$1795,$N9),IF(J9&lt;=50,INDEX('Tabela Passaro'!$I$2:$I$1795,$N9),IF(J9&lt;=70,INDEX('Tabela Passaro'!$J$2:$J$1795,$N9),IF(J9&lt;=100,INDEX('Tabela Passaro'!$K$2:$K$1795,$N9),INDEX('Tabela Passaro'!$K$2:$K$1795,$N9)+(J9-100)*INDEX('Tabela Passaro'!$L$2:$L$1795,$N9))))))</f>
        <v>77.96</v>
      </c>
      <c r="S9" s="32" t="n">
        <f aca="false">K9*INDEX('Tabela Passaro'!$M$2:$M$1795,$N9)</f>
        <v>3.44755</v>
      </c>
      <c r="T9" s="32" t="n">
        <f aca="false">K9*INDEX('Tabela Passaro'!$N$2:$N$1795,$N9)</f>
        <v>1.37902</v>
      </c>
      <c r="U9" s="32" t="n">
        <f aca="false">INDEX('Tabela Passaro'!$O$2:$O$1795,$N9)</f>
        <v>5</v>
      </c>
      <c r="V9" s="32" t="n">
        <f aca="false">ROUNDUP(J9/INDEX('Tabela Passaro'!$Q$2:$Q$1795,$N9),0)*INDEX('Tabela Passaro'!$P$2:$P$1795,$N9)</f>
        <v>5</v>
      </c>
      <c r="W9" s="32" t="n">
        <f aca="false">INDEX('Tabela Passaro'!$R$2:$R$1795,$N9)</f>
        <v>30</v>
      </c>
      <c r="X9" s="32" t="n">
        <f aca="false">ROUNDUP(J9/INDEX('Tabela Passaro'!$T$2:$T$1795,$N9),0)*INDEX('Tabela Passaro'!$S$2:$S$1795,$N9)</f>
        <v>0</v>
      </c>
      <c r="Y9" s="32" t="n">
        <f aca="false">INDEX('Tabela Passaro'!$U$2:$U$1795,$N9)</f>
        <v>0</v>
      </c>
      <c r="Z9" s="32" t="n">
        <f aca="false">INDEX('Tabela Passaro'!$V$2:$V$1795,$N9)</f>
        <v>0</v>
      </c>
      <c r="AA9" s="32" t="n">
        <f aca="false">SUM(R9:Z9)</f>
        <v>122.78657</v>
      </c>
      <c r="AB9" s="33" t="n">
        <f aca="false">INDEX(Premissas!$B$5:$B$13,MATCH(A9,Premissas!$A$5:$A$13,0))</f>
        <v>0.07</v>
      </c>
      <c r="AC9" s="32" t="n">
        <f aca="false">AA9/(1-AB9)-AA9</f>
        <v>9.24199989247312</v>
      </c>
      <c r="AD9" s="32" t="n">
        <f aca="false">ROUND(AA9+AC9,2)</f>
        <v>132.03</v>
      </c>
      <c r="AE9" s="32" t="n">
        <f aca="false">AD9-L9</f>
        <v>-24.29</v>
      </c>
      <c r="AF9" s="34" t="n">
        <f aca="false">IF(L9=0,0,AE9/L9)</f>
        <v>-0.155386386898669</v>
      </c>
      <c r="AG9" s="22" t="str">
        <f aca="false">IF(AD9&lt;L9,"PASSARO","ATUAL")</f>
        <v>PASSARO</v>
      </c>
      <c r="AH9" s="22" t="str">
        <f aca="false">IF(P9&lt;&gt;A9,"Faixa cadastrada como "&amp;P9&amp;" na tabela; preço aplicado pela UF do CEP","")</f>
        <v/>
      </c>
      <c r="AI9" s="26" t="n">
        <v>160.61</v>
      </c>
      <c r="AJ9" s="22" t="str">
        <f aca="false">INDEX('Tabela Passaro'!$X$2:$X$1795,$N9)</f>
        <v>CAPITAL</v>
      </c>
    </row>
    <row r="10" customFormat="false" ht="15" hidden="false" customHeight="false" outlineLevel="0" collapsed="false">
      <c r="A10" s="22" t="s">
        <v>15</v>
      </c>
      <c r="B10" s="22" t="n">
        <v>1</v>
      </c>
      <c r="C10" s="22" t="s">
        <v>59</v>
      </c>
      <c r="D10" s="22" t="s">
        <v>30</v>
      </c>
      <c r="E10" s="22" t="s">
        <v>7328</v>
      </c>
      <c r="F10" s="22" t="n">
        <v>2307964</v>
      </c>
      <c r="G10" s="30" t="n">
        <v>46239</v>
      </c>
      <c r="H10" s="22" t="n">
        <v>131952</v>
      </c>
      <c r="I10" s="22" t="s">
        <v>7335</v>
      </c>
      <c r="J10" s="31" t="n">
        <v>25.8</v>
      </c>
      <c r="K10" s="26" t="n">
        <v>498.08</v>
      </c>
      <c r="L10" s="26" t="n">
        <v>118.94</v>
      </c>
      <c r="M10" s="22" t="s">
        <v>283</v>
      </c>
      <c r="N10" s="22" t="n">
        <f aca="false">MATCH(M10,'Tabela Passaro'!$A$2:$A$1795,0)</f>
        <v>1</v>
      </c>
      <c r="O10" s="22" t="str">
        <f aca="false">INDEX('Tabela Passaro'!$C$2:$C$1795,$N10)</f>
        <v>MACEIO</v>
      </c>
      <c r="P10" s="22" t="str">
        <f aca="false">INDEX('Tabela Passaro'!$B$2:$B$1795,$N10)</f>
        <v>AL</v>
      </c>
      <c r="Q10" s="22" t="n">
        <f aca="false">INDEX('Tabela Passaro'!$F$2:$F$1795,$N10)</f>
        <v>8</v>
      </c>
      <c r="R10" s="32" t="n">
        <f aca="false">IF(J10&lt;=10,INDEX('Tabela Passaro'!$G$2:$G$1795,$N10),IF(J10&lt;=30,INDEX('Tabela Passaro'!$H$2:$H$1795,$N10),IF(J10&lt;=50,INDEX('Tabela Passaro'!$I$2:$I$1795,$N10),IF(J10&lt;=70,INDEX('Tabela Passaro'!$J$2:$J$1795,$N10),IF(J10&lt;=100,INDEX('Tabela Passaro'!$K$2:$K$1795,$N10),INDEX('Tabela Passaro'!$K$2:$K$1795,$N10)+(J10-100)*INDEX('Tabela Passaro'!$L$2:$L$1795,$N10))))))</f>
        <v>66.94</v>
      </c>
      <c r="S10" s="32" t="n">
        <f aca="false">K10*INDEX('Tabela Passaro'!$M$2:$M$1795,$N10)</f>
        <v>2.4904</v>
      </c>
      <c r="T10" s="32" t="n">
        <f aca="false">K10*INDEX('Tabela Passaro'!$N$2:$N$1795,$N10)</f>
        <v>0.99616</v>
      </c>
      <c r="U10" s="32" t="n">
        <f aca="false">INDEX('Tabela Passaro'!$O$2:$O$1795,$N10)</f>
        <v>5</v>
      </c>
      <c r="V10" s="32" t="n">
        <f aca="false">ROUNDUP(J10/INDEX('Tabela Passaro'!$Q$2:$Q$1795,$N10),0)*INDEX('Tabela Passaro'!$P$2:$P$1795,$N10)</f>
        <v>5</v>
      </c>
      <c r="W10" s="32" t="n">
        <f aca="false">INDEX('Tabela Passaro'!$R$2:$R$1795,$N10)</f>
        <v>30</v>
      </c>
      <c r="X10" s="32" t="n">
        <f aca="false">ROUNDUP(J10/INDEX('Tabela Passaro'!$T$2:$T$1795,$N10),0)*INDEX('Tabela Passaro'!$S$2:$S$1795,$N10)</f>
        <v>0</v>
      </c>
      <c r="Y10" s="32" t="n">
        <f aca="false">INDEX('Tabela Passaro'!$U$2:$U$1795,$N10)</f>
        <v>0</v>
      </c>
      <c r="Z10" s="32" t="n">
        <f aca="false">INDEX('Tabela Passaro'!$V$2:$V$1795,$N10)</f>
        <v>0</v>
      </c>
      <c r="AA10" s="32" t="n">
        <f aca="false">SUM(R10:Z10)</f>
        <v>110.42656</v>
      </c>
      <c r="AB10" s="33" t="n">
        <f aca="false">INDEX(Premissas!$B$5:$B$13,MATCH(A10,Premissas!$A$5:$A$13,0))</f>
        <v>0.07</v>
      </c>
      <c r="AC10" s="32" t="n">
        <f aca="false">AA10/(1-AB10)-AA10</f>
        <v>8.3116765591398</v>
      </c>
      <c r="AD10" s="32" t="n">
        <f aca="false">ROUND(AA10+AC10,2)</f>
        <v>118.74</v>
      </c>
      <c r="AE10" s="32" t="n">
        <f aca="false">AD10-L10</f>
        <v>-0.200000000000003</v>
      </c>
      <c r="AF10" s="34" t="n">
        <f aca="false">IF(L10=0,0,AE10/L10)</f>
        <v>-0.00168152009416515</v>
      </c>
      <c r="AG10" s="22" t="str">
        <f aca="false">IF(AD10&lt;L10,"PASSARO","ATUAL")</f>
        <v>PASSARO</v>
      </c>
      <c r="AH10" s="22" t="str">
        <f aca="false">IF(P10&lt;&gt;A10,"Faixa cadastrada como "&amp;P10&amp;" na tabela; preço aplicado pela UF do CEP","")</f>
        <v/>
      </c>
      <c r="AI10" s="26" t="n">
        <v>141.87</v>
      </c>
      <c r="AJ10" s="22" t="str">
        <f aca="false">INDEX('Tabela Passaro'!$X$2:$X$1795,$N10)</f>
        <v>CAPITAL</v>
      </c>
    </row>
    <row r="11" customFormat="false" ht="15" hidden="false" customHeight="false" outlineLevel="0" collapsed="false">
      <c r="A11" s="22" t="s">
        <v>15</v>
      </c>
      <c r="B11" s="22" t="n">
        <v>1</v>
      </c>
      <c r="C11" s="22" t="s">
        <v>59</v>
      </c>
      <c r="D11" s="22" t="s">
        <v>30</v>
      </c>
      <c r="E11" s="22" t="s">
        <v>7326</v>
      </c>
      <c r="F11" s="22" t="n">
        <v>522632</v>
      </c>
      <c r="G11" s="30" t="n">
        <v>46239</v>
      </c>
      <c r="H11" s="22" t="n">
        <v>620534</v>
      </c>
      <c r="I11" s="22" t="s">
        <v>7336</v>
      </c>
      <c r="J11" s="31" t="n">
        <v>107.7</v>
      </c>
      <c r="K11" s="26" t="n">
        <v>1609.93</v>
      </c>
      <c r="L11" s="26" t="n">
        <v>332</v>
      </c>
      <c r="M11" s="22" t="s">
        <v>283</v>
      </c>
      <c r="N11" s="22" t="n">
        <f aca="false">MATCH(M11,'Tabela Passaro'!$A$2:$A$1795,0)</f>
        <v>1</v>
      </c>
      <c r="O11" s="22" t="str">
        <f aca="false">INDEX('Tabela Passaro'!$C$2:$C$1795,$N11)</f>
        <v>MACEIO</v>
      </c>
      <c r="P11" s="22" t="str">
        <f aca="false">INDEX('Tabela Passaro'!$B$2:$B$1795,$N11)</f>
        <v>AL</v>
      </c>
      <c r="Q11" s="22" t="n">
        <f aca="false">INDEX('Tabela Passaro'!$F$2:$F$1795,$N11)</f>
        <v>8</v>
      </c>
      <c r="R11" s="32" t="n">
        <f aca="false">IF(J11&lt;=10,INDEX('Tabela Passaro'!$G$2:$G$1795,$N11),IF(J11&lt;=30,INDEX('Tabela Passaro'!$H$2:$H$1795,$N11),IF(J11&lt;=50,INDEX('Tabela Passaro'!$I$2:$I$1795,$N11),IF(J11&lt;=70,INDEX('Tabela Passaro'!$J$2:$J$1795,$N11),IF(J11&lt;=100,INDEX('Tabela Passaro'!$K$2:$K$1795,$N11),INDEX('Tabela Passaro'!$K$2:$K$1795,$N11)+(J11-100)*INDEX('Tabela Passaro'!$L$2:$L$1795,$N11))))))</f>
        <v>117.06</v>
      </c>
      <c r="S11" s="32" t="n">
        <f aca="false">K11*INDEX('Tabela Passaro'!$M$2:$M$1795,$N11)</f>
        <v>8.04965</v>
      </c>
      <c r="T11" s="32" t="n">
        <f aca="false">K11*INDEX('Tabela Passaro'!$N$2:$N$1795,$N11)</f>
        <v>3.21986</v>
      </c>
      <c r="U11" s="32" t="n">
        <f aca="false">INDEX('Tabela Passaro'!$O$2:$O$1795,$N11)</f>
        <v>5</v>
      </c>
      <c r="V11" s="32" t="n">
        <f aca="false">ROUNDUP(J11/INDEX('Tabela Passaro'!$Q$2:$Q$1795,$N11),0)*INDEX('Tabela Passaro'!$P$2:$P$1795,$N11)</f>
        <v>10</v>
      </c>
      <c r="W11" s="32" t="n">
        <f aca="false">INDEX('Tabela Passaro'!$R$2:$R$1795,$N11)</f>
        <v>30</v>
      </c>
      <c r="X11" s="32" t="n">
        <f aca="false">ROUNDUP(J11/INDEX('Tabela Passaro'!$T$2:$T$1795,$N11),0)*INDEX('Tabela Passaro'!$S$2:$S$1795,$N11)</f>
        <v>0</v>
      </c>
      <c r="Y11" s="32" t="n">
        <f aca="false">INDEX('Tabela Passaro'!$U$2:$U$1795,$N11)</f>
        <v>0</v>
      </c>
      <c r="Z11" s="32" t="n">
        <f aca="false">INDEX('Tabela Passaro'!$V$2:$V$1795,$N11)</f>
        <v>0</v>
      </c>
      <c r="AA11" s="32" t="n">
        <f aca="false">SUM(R11:Z11)</f>
        <v>173.32951</v>
      </c>
      <c r="AB11" s="33" t="n">
        <f aca="false">INDEX(Premissas!$B$5:$B$13,MATCH(A11,Premissas!$A$5:$A$13,0))</f>
        <v>0.07</v>
      </c>
      <c r="AC11" s="32" t="n">
        <f aca="false">AA11/(1-AB11)-AA11</f>
        <v>13.0463072043011</v>
      </c>
      <c r="AD11" s="32" t="n">
        <f aca="false">ROUND(AA11+AC11,2)</f>
        <v>186.38</v>
      </c>
      <c r="AE11" s="32" t="n">
        <f aca="false">AD11-L11</f>
        <v>-145.62</v>
      </c>
      <c r="AF11" s="34" t="n">
        <f aca="false">IF(L11=0,0,AE11/L11)</f>
        <v>-0.438614457831325</v>
      </c>
      <c r="AG11" s="22" t="str">
        <f aca="false">IF(AD11&lt;L11,"PASSARO","ATUAL")</f>
        <v>PASSARO</v>
      </c>
      <c r="AH11" s="22" t="str">
        <f aca="false">IF(P11&lt;&gt;A11,"Faixa cadastrada como "&amp;P11&amp;" na tabela; preço aplicado pela UF do CEP","")</f>
        <v/>
      </c>
      <c r="AI11" s="26" t="n">
        <v>255.52</v>
      </c>
      <c r="AJ11" s="22" t="str">
        <f aca="false">INDEX('Tabela Passaro'!$X$2:$X$1795,$N11)</f>
        <v>CAPITAL</v>
      </c>
    </row>
    <row r="12" customFormat="false" ht="15" hidden="false" customHeight="false" outlineLevel="0" collapsed="false">
      <c r="A12" s="22" t="s">
        <v>15</v>
      </c>
      <c r="B12" s="22" t="n">
        <v>1</v>
      </c>
      <c r="C12" s="22" t="s">
        <v>59</v>
      </c>
      <c r="D12" s="22" t="s">
        <v>30</v>
      </c>
      <c r="E12" s="22" t="s">
        <v>20</v>
      </c>
      <c r="F12" s="22" t="n">
        <v>838069</v>
      </c>
      <c r="G12" s="30" t="n">
        <v>46240</v>
      </c>
      <c r="H12" s="22" t="n">
        <v>32413</v>
      </c>
      <c r="I12" s="22" t="s">
        <v>7337</v>
      </c>
      <c r="J12" s="31" t="n">
        <v>19.5</v>
      </c>
      <c r="K12" s="26" t="n">
        <v>679.65</v>
      </c>
      <c r="L12" s="26" t="n">
        <v>110.42</v>
      </c>
      <c r="M12" s="22" t="s">
        <v>283</v>
      </c>
      <c r="N12" s="22" t="n">
        <f aca="false">MATCH(M12,'Tabela Passaro'!$A$2:$A$1795,0)</f>
        <v>1</v>
      </c>
      <c r="O12" s="22" t="str">
        <f aca="false">INDEX('Tabela Passaro'!$C$2:$C$1795,$N12)</f>
        <v>MACEIO</v>
      </c>
      <c r="P12" s="22" t="str">
        <f aca="false">INDEX('Tabela Passaro'!$B$2:$B$1795,$N12)</f>
        <v>AL</v>
      </c>
      <c r="Q12" s="22" t="n">
        <f aca="false">INDEX('Tabela Passaro'!$F$2:$F$1795,$N12)</f>
        <v>8</v>
      </c>
      <c r="R12" s="32" t="n">
        <f aca="false">IF(J12&lt;=10,INDEX('Tabela Passaro'!$G$2:$G$1795,$N12),IF(J12&lt;=30,INDEX('Tabela Passaro'!$H$2:$H$1795,$N12),IF(J12&lt;=50,INDEX('Tabela Passaro'!$I$2:$I$1795,$N12),IF(J12&lt;=70,INDEX('Tabela Passaro'!$J$2:$J$1795,$N12),IF(J12&lt;=100,INDEX('Tabela Passaro'!$K$2:$K$1795,$N12),INDEX('Tabela Passaro'!$K$2:$K$1795,$N12)+(J12-100)*INDEX('Tabela Passaro'!$L$2:$L$1795,$N12))))))</f>
        <v>66.94</v>
      </c>
      <c r="S12" s="32" t="n">
        <f aca="false">K12*INDEX('Tabela Passaro'!$M$2:$M$1795,$N12)</f>
        <v>3.39825</v>
      </c>
      <c r="T12" s="32" t="n">
        <f aca="false">K12*INDEX('Tabela Passaro'!$N$2:$N$1795,$N12)</f>
        <v>1.3593</v>
      </c>
      <c r="U12" s="32" t="n">
        <f aca="false">INDEX('Tabela Passaro'!$O$2:$O$1795,$N12)</f>
        <v>5</v>
      </c>
      <c r="V12" s="32" t="n">
        <f aca="false">ROUNDUP(J12/INDEX('Tabela Passaro'!$Q$2:$Q$1795,$N12),0)*INDEX('Tabela Passaro'!$P$2:$P$1795,$N12)</f>
        <v>5</v>
      </c>
      <c r="W12" s="32" t="n">
        <f aca="false">INDEX('Tabela Passaro'!$R$2:$R$1795,$N12)</f>
        <v>30</v>
      </c>
      <c r="X12" s="32" t="n">
        <f aca="false">ROUNDUP(J12/INDEX('Tabela Passaro'!$T$2:$T$1795,$N12),0)*INDEX('Tabela Passaro'!$S$2:$S$1795,$N12)</f>
        <v>0</v>
      </c>
      <c r="Y12" s="32" t="n">
        <f aca="false">INDEX('Tabela Passaro'!$U$2:$U$1795,$N12)</f>
        <v>0</v>
      </c>
      <c r="Z12" s="32" t="n">
        <f aca="false">INDEX('Tabela Passaro'!$V$2:$V$1795,$N12)</f>
        <v>0</v>
      </c>
      <c r="AA12" s="32" t="n">
        <f aca="false">SUM(R12:Z12)</f>
        <v>111.69755</v>
      </c>
      <c r="AB12" s="33" t="n">
        <f aca="false">INDEX(Premissas!$B$5:$B$13,MATCH(A12,Premissas!$A$5:$A$13,0))</f>
        <v>0.07</v>
      </c>
      <c r="AC12" s="32" t="n">
        <f aca="false">AA12/(1-AB12)-AA12</f>
        <v>8.40734247311829</v>
      </c>
      <c r="AD12" s="32" t="n">
        <f aca="false">ROUND(AA12+AC12,2)</f>
        <v>120.1</v>
      </c>
      <c r="AE12" s="32" t="n">
        <f aca="false">AD12-L12</f>
        <v>9.67999999999999</v>
      </c>
      <c r="AF12" s="34" t="n">
        <f aca="false">IF(L12=0,0,AE12/L12)</f>
        <v>0.0876652780293424</v>
      </c>
      <c r="AG12" s="22" t="str">
        <f aca="false">IF(AD12&lt;L12,"PASSARO","ATUAL")</f>
        <v>ATUAL</v>
      </c>
      <c r="AH12" s="22" t="str">
        <f aca="false">IF(P12&lt;&gt;A12,"Faixa cadastrada como "&amp;P12&amp;" na tabela; preço aplicado pela UF do CEP","")</f>
        <v/>
      </c>
      <c r="AI12" s="26" t="n">
        <v>140.73</v>
      </c>
      <c r="AJ12" s="22" t="str">
        <f aca="false">INDEX('Tabela Passaro'!$X$2:$X$1795,$N12)</f>
        <v>CAPITAL</v>
      </c>
    </row>
    <row r="13" customFormat="false" ht="15" hidden="false" customHeight="false" outlineLevel="0" collapsed="false">
      <c r="A13" s="22" t="s">
        <v>15</v>
      </c>
      <c r="B13" s="22" t="n">
        <v>1</v>
      </c>
      <c r="C13" s="22" t="s">
        <v>59</v>
      </c>
      <c r="D13" s="22" t="s">
        <v>30</v>
      </c>
      <c r="E13" s="22" t="s">
        <v>7326</v>
      </c>
      <c r="F13" s="22" t="n">
        <v>522862</v>
      </c>
      <c r="G13" s="30" t="n">
        <v>46240</v>
      </c>
      <c r="H13" s="22" t="n">
        <v>621116</v>
      </c>
      <c r="I13" s="22" t="s">
        <v>7338</v>
      </c>
      <c r="J13" s="31" t="n">
        <v>107.7</v>
      </c>
      <c r="K13" s="26" t="n">
        <v>1776.12</v>
      </c>
      <c r="L13" s="26" t="n">
        <v>333.42</v>
      </c>
      <c r="M13" s="22" t="s">
        <v>283</v>
      </c>
      <c r="N13" s="22" t="n">
        <f aca="false">MATCH(M13,'Tabela Passaro'!$A$2:$A$1795,0)</f>
        <v>1</v>
      </c>
      <c r="O13" s="22" t="str">
        <f aca="false">INDEX('Tabela Passaro'!$C$2:$C$1795,$N13)</f>
        <v>MACEIO</v>
      </c>
      <c r="P13" s="22" t="str">
        <f aca="false">INDEX('Tabela Passaro'!$B$2:$B$1795,$N13)</f>
        <v>AL</v>
      </c>
      <c r="Q13" s="22" t="n">
        <f aca="false">INDEX('Tabela Passaro'!$F$2:$F$1795,$N13)</f>
        <v>8</v>
      </c>
      <c r="R13" s="32" t="n">
        <f aca="false">IF(J13&lt;=10,INDEX('Tabela Passaro'!$G$2:$G$1795,$N13),IF(J13&lt;=30,INDEX('Tabela Passaro'!$H$2:$H$1795,$N13),IF(J13&lt;=50,INDEX('Tabela Passaro'!$I$2:$I$1795,$N13),IF(J13&lt;=70,INDEX('Tabela Passaro'!$J$2:$J$1795,$N13),IF(J13&lt;=100,INDEX('Tabela Passaro'!$K$2:$K$1795,$N13),INDEX('Tabela Passaro'!$K$2:$K$1795,$N13)+(J13-100)*INDEX('Tabela Passaro'!$L$2:$L$1795,$N13))))))</f>
        <v>117.06</v>
      </c>
      <c r="S13" s="32" t="n">
        <f aca="false">K13*INDEX('Tabela Passaro'!$M$2:$M$1795,$N13)</f>
        <v>8.8806</v>
      </c>
      <c r="T13" s="32" t="n">
        <f aca="false">K13*INDEX('Tabela Passaro'!$N$2:$N$1795,$N13)</f>
        <v>3.55224</v>
      </c>
      <c r="U13" s="32" t="n">
        <f aca="false">INDEX('Tabela Passaro'!$O$2:$O$1795,$N13)</f>
        <v>5</v>
      </c>
      <c r="V13" s="32" t="n">
        <f aca="false">ROUNDUP(J13/INDEX('Tabela Passaro'!$Q$2:$Q$1795,$N13),0)*INDEX('Tabela Passaro'!$P$2:$P$1795,$N13)</f>
        <v>10</v>
      </c>
      <c r="W13" s="32" t="n">
        <f aca="false">INDEX('Tabela Passaro'!$R$2:$R$1795,$N13)</f>
        <v>30</v>
      </c>
      <c r="X13" s="32" t="n">
        <f aca="false">ROUNDUP(J13/INDEX('Tabela Passaro'!$T$2:$T$1795,$N13),0)*INDEX('Tabela Passaro'!$S$2:$S$1795,$N13)</f>
        <v>0</v>
      </c>
      <c r="Y13" s="32" t="n">
        <f aca="false">INDEX('Tabela Passaro'!$U$2:$U$1795,$N13)</f>
        <v>0</v>
      </c>
      <c r="Z13" s="32" t="n">
        <f aca="false">INDEX('Tabela Passaro'!$V$2:$V$1795,$N13)</f>
        <v>0</v>
      </c>
      <c r="AA13" s="32" t="n">
        <f aca="false">SUM(R13:Z13)</f>
        <v>174.49284</v>
      </c>
      <c r="AB13" s="33" t="n">
        <f aca="false">INDEX(Premissas!$B$5:$B$13,MATCH(A13,Premissas!$A$5:$A$13,0))</f>
        <v>0.07</v>
      </c>
      <c r="AC13" s="32" t="n">
        <f aca="false">AA13/(1-AB13)-AA13</f>
        <v>13.1338696774194</v>
      </c>
      <c r="AD13" s="32" t="n">
        <f aca="false">ROUND(AA13+AC13,2)</f>
        <v>187.63</v>
      </c>
      <c r="AE13" s="32" t="n">
        <f aca="false">AD13-L13</f>
        <v>-145.79</v>
      </c>
      <c r="AF13" s="34" t="n">
        <f aca="false">IF(L13=0,0,AE13/L13)</f>
        <v>-0.437256313358527</v>
      </c>
      <c r="AG13" s="22" t="str">
        <f aca="false">IF(AD13&lt;L13,"PASSARO","ATUAL")</f>
        <v>PASSARO</v>
      </c>
      <c r="AH13" s="22" t="str">
        <f aca="false">IF(P13&lt;&gt;A13,"Faixa cadastrada como "&amp;P13&amp;" na tabela; preço aplicado pela UF do CEP","")</f>
        <v/>
      </c>
      <c r="AI13" s="26" t="n">
        <v>257.13</v>
      </c>
      <c r="AJ13" s="22" t="str">
        <f aca="false">INDEX('Tabela Passaro'!$X$2:$X$1795,$N13)</f>
        <v>CAPITAL</v>
      </c>
    </row>
    <row r="14" customFormat="false" ht="15" hidden="false" customHeight="false" outlineLevel="0" collapsed="false">
      <c r="A14" s="22" t="s">
        <v>15</v>
      </c>
      <c r="B14" s="22" t="n">
        <v>1</v>
      </c>
      <c r="C14" s="22" t="s">
        <v>59</v>
      </c>
      <c r="D14" s="22" t="s">
        <v>30</v>
      </c>
      <c r="E14" s="22" t="s">
        <v>7326</v>
      </c>
      <c r="F14" s="22" t="n">
        <v>523081</v>
      </c>
      <c r="G14" s="30" t="n">
        <v>46241</v>
      </c>
      <c r="H14" s="22" t="n">
        <v>621570</v>
      </c>
      <c r="I14" s="22" t="s">
        <v>7339</v>
      </c>
      <c r="J14" s="31" t="n">
        <v>33</v>
      </c>
      <c r="K14" s="26" t="n">
        <v>704.59</v>
      </c>
      <c r="L14" s="26" t="n">
        <v>177.29</v>
      </c>
      <c r="M14" s="22" t="s">
        <v>283</v>
      </c>
      <c r="N14" s="22" t="n">
        <f aca="false">MATCH(M14,'Tabela Passaro'!$A$2:$A$1795,0)</f>
        <v>1</v>
      </c>
      <c r="O14" s="22" t="str">
        <f aca="false">INDEX('Tabela Passaro'!$C$2:$C$1795,$N14)</f>
        <v>MACEIO</v>
      </c>
      <c r="P14" s="22" t="str">
        <f aca="false">INDEX('Tabela Passaro'!$B$2:$B$1795,$N14)</f>
        <v>AL</v>
      </c>
      <c r="Q14" s="22" t="n">
        <f aca="false">INDEX('Tabela Passaro'!$F$2:$F$1795,$N14)</f>
        <v>8</v>
      </c>
      <c r="R14" s="32" t="n">
        <f aca="false">IF(J14&lt;=10,INDEX('Tabela Passaro'!$G$2:$G$1795,$N14),IF(J14&lt;=30,INDEX('Tabela Passaro'!$H$2:$H$1795,$N14),IF(J14&lt;=50,INDEX('Tabela Passaro'!$I$2:$I$1795,$N14),IF(J14&lt;=70,INDEX('Tabela Passaro'!$J$2:$J$1795,$N14),IF(J14&lt;=100,INDEX('Tabela Passaro'!$K$2:$K$1795,$N14),INDEX('Tabela Passaro'!$K$2:$K$1795,$N14)+(J14-100)*INDEX('Tabela Passaro'!$L$2:$L$1795,$N14))))))</f>
        <v>77.96</v>
      </c>
      <c r="S14" s="32" t="n">
        <f aca="false">K14*INDEX('Tabela Passaro'!$M$2:$M$1795,$N14)</f>
        <v>3.52295</v>
      </c>
      <c r="T14" s="32" t="n">
        <f aca="false">K14*INDEX('Tabela Passaro'!$N$2:$N$1795,$N14)</f>
        <v>1.40918</v>
      </c>
      <c r="U14" s="32" t="n">
        <f aca="false">INDEX('Tabela Passaro'!$O$2:$O$1795,$N14)</f>
        <v>5</v>
      </c>
      <c r="V14" s="32" t="n">
        <f aca="false">ROUNDUP(J14/INDEX('Tabela Passaro'!$Q$2:$Q$1795,$N14),0)*INDEX('Tabela Passaro'!$P$2:$P$1795,$N14)</f>
        <v>5</v>
      </c>
      <c r="W14" s="32" t="n">
        <f aca="false">INDEX('Tabela Passaro'!$R$2:$R$1795,$N14)</f>
        <v>30</v>
      </c>
      <c r="X14" s="32" t="n">
        <f aca="false">ROUNDUP(J14/INDEX('Tabela Passaro'!$T$2:$T$1795,$N14),0)*INDEX('Tabela Passaro'!$S$2:$S$1795,$N14)</f>
        <v>0</v>
      </c>
      <c r="Y14" s="32" t="n">
        <f aca="false">INDEX('Tabela Passaro'!$U$2:$U$1795,$N14)</f>
        <v>0</v>
      </c>
      <c r="Z14" s="32" t="n">
        <f aca="false">INDEX('Tabela Passaro'!$V$2:$V$1795,$N14)</f>
        <v>0</v>
      </c>
      <c r="AA14" s="32" t="n">
        <f aca="false">SUM(R14:Z14)</f>
        <v>122.89213</v>
      </c>
      <c r="AB14" s="33" t="n">
        <f aca="false">INDEX(Premissas!$B$5:$B$13,MATCH(A14,Premissas!$A$5:$A$13,0))</f>
        <v>0.07</v>
      </c>
      <c r="AC14" s="32" t="n">
        <f aca="false">AA14/(1-AB14)-AA14</f>
        <v>9.2499452688172</v>
      </c>
      <c r="AD14" s="32" t="n">
        <f aca="false">ROUND(AA14+AC14,2)</f>
        <v>132.14</v>
      </c>
      <c r="AE14" s="32" t="n">
        <f aca="false">AD14-L14</f>
        <v>-45.15</v>
      </c>
      <c r="AF14" s="34" t="n">
        <f aca="false">IF(L14=0,0,AE14/L14)</f>
        <v>-0.254667493936488</v>
      </c>
      <c r="AG14" s="22" t="str">
        <f aca="false">IF(AD14&lt;L14,"PASSARO","ATUAL")</f>
        <v>PASSARO</v>
      </c>
      <c r="AH14" s="22" t="str">
        <f aca="false">IF(P14&lt;&gt;A14,"Faixa cadastrada como "&amp;P14&amp;" na tabela; preço aplicado pela UF do CEP","")</f>
        <v/>
      </c>
      <c r="AI14" s="26" t="n">
        <v>159.79</v>
      </c>
      <c r="AJ14" s="22" t="str">
        <f aca="false">INDEX('Tabela Passaro'!$X$2:$X$1795,$N14)</f>
        <v>CAPITAL</v>
      </c>
    </row>
    <row r="15" customFormat="false" ht="15" hidden="false" customHeight="false" outlineLevel="0" collapsed="false">
      <c r="A15" s="22" t="s">
        <v>15</v>
      </c>
      <c r="B15" s="22" t="n">
        <v>1</v>
      </c>
      <c r="C15" s="22" t="s">
        <v>59</v>
      </c>
      <c r="D15" s="22" t="s">
        <v>30</v>
      </c>
      <c r="E15" s="22" t="s">
        <v>7328</v>
      </c>
      <c r="F15" s="22" t="n">
        <v>2309834</v>
      </c>
      <c r="G15" s="30" t="n">
        <v>46244</v>
      </c>
      <c r="H15" s="22" t="n">
        <v>132177</v>
      </c>
      <c r="I15" s="22" t="s">
        <v>7340</v>
      </c>
      <c r="J15" s="31" t="n">
        <v>37.59</v>
      </c>
      <c r="K15" s="26" t="n">
        <v>651.22</v>
      </c>
      <c r="L15" s="26" t="n">
        <v>156.02</v>
      </c>
      <c r="M15" s="22" t="s">
        <v>283</v>
      </c>
      <c r="N15" s="22" t="n">
        <f aca="false">MATCH(M15,'Tabela Passaro'!$A$2:$A$1795,0)</f>
        <v>1</v>
      </c>
      <c r="O15" s="22" t="str">
        <f aca="false">INDEX('Tabela Passaro'!$C$2:$C$1795,$N15)</f>
        <v>MACEIO</v>
      </c>
      <c r="P15" s="22" t="str">
        <f aca="false">INDEX('Tabela Passaro'!$B$2:$B$1795,$N15)</f>
        <v>AL</v>
      </c>
      <c r="Q15" s="22" t="n">
        <f aca="false">INDEX('Tabela Passaro'!$F$2:$F$1795,$N15)</f>
        <v>8</v>
      </c>
      <c r="R15" s="32" t="n">
        <f aca="false">IF(J15&lt;=10,INDEX('Tabela Passaro'!$G$2:$G$1795,$N15),IF(J15&lt;=30,INDEX('Tabela Passaro'!$H$2:$H$1795,$N15),IF(J15&lt;=50,INDEX('Tabela Passaro'!$I$2:$I$1795,$N15),IF(J15&lt;=70,INDEX('Tabela Passaro'!$J$2:$J$1795,$N15),IF(J15&lt;=100,INDEX('Tabela Passaro'!$K$2:$K$1795,$N15),INDEX('Tabela Passaro'!$K$2:$K$1795,$N15)+(J15-100)*INDEX('Tabela Passaro'!$L$2:$L$1795,$N15))))))</f>
        <v>77.96</v>
      </c>
      <c r="S15" s="32" t="n">
        <f aca="false">K15*INDEX('Tabela Passaro'!$M$2:$M$1795,$N15)</f>
        <v>3.2561</v>
      </c>
      <c r="T15" s="32" t="n">
        <f aca="false">K15*INDEX('Tabela Passaro'!$N$2:$N$1795,$N15)</f>
        <v>1.30244</v>
      </c>
      <c r="U15" s="32" t="n">
        <f aca="false">INDEX('Tabela Passaro'!$O$2:$O$1795,$N15)</f>
        <v>5</v>
      </c>
      <c r="V15" s="32" t="n">
        <f aca="false">ROUNDUP(J15/INDEX('Tabela Passaro'!$Q$2:$Q$1795,$N15),0)*INDEX('Tabela Passaro'!$P$2:$P$1795,$N15)</f>
        <v>5</v>
      </c>
      <c r="W15" s="32" t="n">
        <f aca="false">INDEX('Tabela Passaro'!$R$2:$R$1795,$N15)</f>
        <v>30</v>
      </c>
      <c r="X15" s="32" t="n">
        <f aca="false">ROUNDUP(J15/INDEX('Tabela Passaro'!$T$2:$T$1795,$N15),0)*INDEX('Tabela Passaro'!$S$2:$S$1795,$N15)</f>
        <v>0</v>
      </c>
      <c r="Y15" s="32" t="n">
        <f aca="false">INDEX('Tabela Passaro'!$U$2:$U$1795,$N15)</f>
        <v>0</v>
      </c>
      <c r="Z15" s="32" t="n">
        <f aca="false">INDEX('Tabela Passaro'!$V$2:$V$1795,$N15)</f>
        <v>0</v>
      </c>
      <c r="AA15" s="32" t="n">
        <f aca="false">SUM(R15:Z15)</f>
        <v>122.51854</v>
      </c>
      <c r="AB15" s="33" t="n">
        <f aca="false">INDEX(Premissas!$B$5:$B$13,MATCH(A15,Premissas!$A$5:$A$13,0))</f>
        <v>0.07</v>
      </c>
      <c r="AC15" s="32" t="n">
        <f aca="false">AA15/(1-AB15)-AA15</f>
        <v>9.22182559139786</v>
      </c>
      <c r="AD15" s="32" t="n">
        <f aca="false">ROUND(AA15+AC15,2)</f>
        <v>131.74</v>
      </c>
      <c r="AE15" s="32" t="n">
        <f aca="false">AD15-L15</f>
        <v>-24.28</v>
      </c>
      <c r="AF15" s="34" t="n">
        <f aca="false">IF(L15=0,0,AE15/L15)</f>
        <v>-0.155621074221254</v>
      </c>
      <c r="AG15" s="22" t="str">
        <f aca="false">IF(AD15&lt;L15,"PASSARO","ATUAL")</f>
        <v>PASSARO</v>
      </c>
      <c r="AH15" s="22" t="str">
        <f aca="false">IF(P15&lt;&gt;A15,"Faixa cadastrada como "&amp;P15&amp;" na tabela; preço aplicado pela UF do CEP","")</f>
        <v/>
      </c>
      <c r="AI15" s="26" t="n">
        <v>161.69</v>
      </c>
      <c r="AJ15" s="22" t="str">
        <f aca="false">INDEX('Tabela Passaro'!$X$2:$X$1795,$N15)</f>
        <v>CAPITAL</v>
      </c>
    </row>
    <row r="16" customFormat="false" ht="15" hidden="false" customHeight="false" outlineLevel="0" collapsed="false">
      <c r="A16" s="22" t="s">
        <v>15</v>
      </c>
      <c r="B16" s="22" t="n">
        <v>1</v>
      </c>
      <c r="C16" s="22" t="s">
        <v>59</v>
      </c>
      <c r="D16" s="22" t="s">
        <v>30</v>
      </c>
      <c r="E16" s="22" t="s">
        <v>7328</v>
      </c>
      <c r="F16" s="22" t="n">
        <v>2309845</v>
      </c>
      <c r="G16" s="30" t="n">
        <v>46244</v>
      </c>
      <c r="H16" s="22" t="n">
        <v>132202</v>
      </c>
      <c r="I16" s="22" t="s">
        <v>7341</v>
      </c>
      <c r="J16" s="31" t="n">
        <v>48</v>
      </c>
      <c r="K16" s="26" t="n">
        <v>1224.52</v>
      </c>
      <c r="L16" s="26" t="n">
        <v>160.55</v>
      </c>
      <c r="M16" s="22" t="s">
        <v>283</v>
      </c>
      <c r="N16" s="22" t="n">
        <f aca="false">MATCH(M16,'Tabela Passaro'!$A$2:$A$1795,0)</f>
        <v>1</v>
      </c>
      <c r="O16" s="22" t="str">
        <f aca="false">INDEX('Tabela Passaro'!$C$2:$C$1795,$N16)</f>
        <v>MACEIO</v>
      </c>
      <c r="P16" s="22" t="str">
        <f aca="false">INDEX('Tabela Passaro'!$B$2:$B$1795,$N16)</f>
        <v>AL</v>
      </c>
      <c r="Q16" s="22" t="n">
        <f aca="false">INDEX('Tabela Passaro'!$F$2:$F$1795,$N16)</f>
        <v>8</v>
      </c>
      <c r="R16" s="32" t="n">
        <f aca="false">IF(J16&lt;=10,INDEX('Tabela Passaro'!$G$2:$G$1795,$N16),IF(J16&lt;=30,INDEX('Tabela Passaro'!$H$2:$H$1795,$N16),IF(J16&lt;=50,INDEX('Tabela Passaro'!$I$2:$I$1795,$N16),IF(J16&lt;=70,INDEX('Tabela Passaro'!$J$2:$J$1795,$N16),IF(J16&lt;=100,INDEX('Tabela Passaro'!$K$2:$K$1795,$N16),INDEX('Tabela Passaro'!$K$2:$K$1795,$N16)+(J16-100)*INDEX('Tabela Passaro'!$L$2:$L$1795,$N16))))))</f>
        <v>77.96</v>
      </c>
      <c r="S16" s="32" t="n">
        <f aca="false">K16*INDEX('Tabela Passaro'!$M$2:$M$1795,$N16)</f>
        <v>6.1226</v>
      </c>
      <c r="T16" s="32" t="n">
        <f aca="false">K16*INDEX('Tabela Passaro'!$N$2:$N$1795,$N16)</f>
        <v>2.44904</v>
      </c>
      <c r="U16" s="32" t="n">
        <f aca="false">INDEX('Tabela Passaro'!$O$2:$O$1795,$N16)</f>
        <v>5</v>
      </c>
      <c r="V16" s="32" t="n">
        <f aca="false">ROUNDUP(J16/INDEX('Tabela Passaro'!$Q$2:$Q$1795,$N16),0)*INDEX('Tabela Passaro'!$P$2:$P$1795,$N16)</f>
        <v>5</v>
      </c>
      <c r="W16" s="32" t="n">
        <f aca="false">INDEX('Tabela Passaro'!$R$2:$R$1795,$N16)</f>
        <v>30</v>
      </c>
      <c r="X16" s="32" t="n">
        <f aca="false">ROUNDUP(J16/INDEX('Tabela Passaro'!$T$2:$T$1795,$N16),0)*INDEX('Tabela Passaro'!$S$2:$S$1795,$N16)</f>
        <v>0</v>
      </c>
      <c r="Y16" s="32" t="n">
        <f aca="false">INDEX('Tabela Passaro'!$U$2:$U$1795,$N16)</f>
        <v>0</v>
      </c>
      <c r="Z16" s="32" t="n">
        <f aca="false">INDEX('Tabela Passaro'!$V$2:$V$1795,$N16)</f>
        <v>0</v>
      </c>
      <c r="AA16" s="32" t="n">
        <f aca="false">SUM(R16:Z16)</f>
        <v>126.53164</v>
      </c>
      <c r="AB16" s="33" t="n">
        <f aca="false">INDEX(Premissas!$B$5:$B$13,MATCH(A16,Premissas!$A$5:$A$13,0))</f>
        <v>0.07</v>
      </c>
      <c r="AC16" s="32" t="n">
        <f aca="false">AA16/(1-AB16)-AA16</f>
        <v>9.52388688172043</v>
      </c>
      <c r="AD16" s="32" t="n">
        <f aca="false">ROUND(AA16+AC16,2)</f>
        <v>136.06</v>
      </c>
      <c r="AE16" s="32" t="n">
        <f aca="false">AD16-L16</f>
        <v>-24.49</v>
      </c>
      <c r="AF16" s="34" t="n">
        <f aca="false">IF(L16=0,0,AE16/L16)</f>
        <v>-0.152538150109</v>
      </c>
      <c r="AG16" s="22" t="str">
        <f aca="false">IF(AD16&lt;L16,"PASSARO","ATUAL")</f>
        <v>PASSARO</v>
      </c>
      <c r="AH16" s="22" t="str">
        <f aca="false">IF(P16&lt;&gt;A16,"Faixa cadastrada como "&amp;P16&amp;" na tabela; preço aplicado pela UF do CEP","")</f>
        <v/>
      </c>
      <c r="AI16" s="26" t="n">
        <v>172.08</v>
      </c>
      <c r="AJ16" s="22" t="str">
        <f aca="false">INDEX('Tabela Passaro'!$X$2:$X$1795,$N16)</f>
        <v>CAPITAL</v>
      </c>
    </row>
    <row r="17" customFormat="false" ht="15" hidden="false" customHeight="false" outlineLevel="0" collapsed="false">
      <c r="A17" s="22" t="s">
        <v>15</v>
      </c>
      <c r="B17" s="22" t="n">
        <v>1</v>
      </c>
      <c r="C17" s="22" t="s">
        <v>59</v>
      </c>
      <c r="D17" s="22" t="s">
        <v>30</v>
      </c>
      <c r="E17" s="22" t="s">
        <v>7328</v>
      </c>
      <c r="F17" s="22" t="n">
        <v>2309859</v>
      </c>
      <c r="G17" s="30" t="n">
        <v>46244</v>
      </c>
      <c r="H17" s="22" t="n">
        <v>132338</v>
      </c>
      <c r="I17" s="22" t="s">
        <v>7342</v>
      </c>
      <c r="J17" s="31" t="n">
        <v>79.26</v>
      </c>
      <c r="K17" s="26" t="n">
        <v>875.29</v>
      </c>
      <c r="L17" s="26" t="n">
        <v>232.7</v>
      </c>
      <c r="M17" s="22" t="s">
        <v>283</v>
      </c>
      <c r="N17" s="22" t="n">
        <f aca="false">MATCH(M17,'Tabela Passaro'!$A$2:$A$1795,0)</f>
        <v>1</v>
      </c>
      <c r="O17" s="22" t="str">
        <f aca="false">INDEX('Tabela Passaro'!$C$2:$C$1795,$N17)</f>
        <v>MACEIO</v>
      </c>
      <c r="P17" s="22" t="str">
        <f aca="false">INDEX('Tabela Passaro'!$B$2:$B$1795,$N17)</f>
        <v>AL</v>
      </c>
      <c r="Q17" s="22" t="n">
        <f aca="false">INDEX('Tabela Passaro'!$F$2:$F$1795,$N17)</f>
        <v>8</v>
      </c>
      <c r="R17" s="32" t="n">
        <f aca="false">IF(J17&lt;=10,INDEX('Tabela Passaro'!$G$2:$G$1795,$N17),IF(J17&lt;=30,INDEX('Tabela Passaro'!$H$2:$H$1795,$N17),IF(J17&lt;=50,INDEX('Tabela Passaro'!$I$2:$I$1795,$N17),IF(J17&lt;=70,INDEX('Tabela Passaro'!$J$2:$J$1795,$N17),IF(J17&lt;=100,INDEX('Tabela Passaro'!$K$2:$K$1795,$N17),INDEX('Tabela Passaro'!$K$2:$K$1795,$N17)+(J17-100)*INDEX('Tabela Passaro'!$L$2:$L$1795,$N17))))))</f>
        <v>105.51</v>
      </c>
      <c r="S17" s="32" t="n">
        <f aca="false">K17*INDEX('Tabela Passaro'!$M$2:$M$1795,$N17)</f>
        <v>4.37645</v>
      </c>
      <c r="T17" s="32" t="n">
        <f aca="false">K17*INDEX('Tabela Passaro'!$N$2:$N$1795,$N17)</f>
        <v>1.75058</v>
      </c>
      <c r="U17" s="32" t="n">
        <f aca="false">INDEX('Tabela Passaro'!$O$2:$O$1795,$N17)</f>
        <v>5</v>
      </c>
      <c r="V17" s="32" t="n">
        <f aca="false">ROUNDUP(J17/INDEX('Tabela Passaro'!$Q$2:$Q$1795,$N17),0)*INDEX('Tabela Passaro'!$P$2:$P$1795,$N17)</f>
        <v>5</v>
      </c>
      <c r="W17" s="32" t="n">
        <f aca="false">INDEX('Tabela Passaro'!$R$2:$R$1795,$N17)</f>
        <v>30</v>
      </c>
      <c r="X17" s="32" t="n">
        <f aca="false">ROUNDUP(J17/INDEX('Tabela Passaro'!$T$2:$T$1795,$N17),0)*INDEX('Tabela Passaro'!$S$2:$S$1795,$N17)</f>
        <v>0</v>
      </c>
      <c r="Y17" s="32" t="n">
        <f aca="false">INDEX('Tabela Passaro'!$U$2:$U$1795,$N17)</f>
        <v>0</v>
      </c>
      <c r="Z17" s="32" t="n">
        <f aca="false">INDEX('Tabela Passaro'!$V$2:$V$1795,$N17)</f>
        <v>0</v>
      </c>
      <c r="AA17" s="32" t="n">
        <f aca="false">SUM(R17:Z17)</f>
        <v>151.63703</v>
      </c>
      <c r="AB17" s="33" t="n">
        <f aca="false">INDEX(Premissas!$B$5:$B$13,MATCH(A17,Premissas!$A$5:$A$13,0))</f>
        <v>0.07</v>
      </c>
      <c r="AC17" s="32" t="n">
        <f aca="false">AA17/(1-AB17)-AA17</f>
        <v>11.4135398924731</v>
      </c>
      <c r="AD17" s="32" t="n">
        <f aca="false">ROUND(AA17+AC17,2)</f>
        <v>163.05</v>
      </c>
      <c r="AE17" s="32" t="n">
        <f aca="false">AD17-L17</f>
        <v>-69.65</v>
      </c>
      <c r="AF17" s="34" t="n">
        <f aca="false">IF(L17=0,0,AE17/L17)</f>
        <v>-0.299312419424151</v>
      </c>
      <c r="AG17" s="22" t="str">
        <f aca="false">IF(AD17&lt;L17,"PASSARO","ATUAL")</f>
        <v>PASSARO</v>
      </c>
      <c r="AH17" s="22" t="str">
        <f aca="false">IF(P17&lt;&gt;A17,"Faixa cadastrada como "&amp;P17&amp;" na tabela; preço aplicado pela UF do CEP","")</f>
        <v/>
      </c>
      <c r="AI17" s="26" t="n">
        <v>215.49</v>
      </c>
      <c r="AJ17" s="22" t="str">
        <f aca="false">INDEX('Tabela Passaro'!$X$2:$X$1795,$N17)</f>
        <v>CAPITAL</v>
      </c>
    </row>
    <row r="18" customFormat="false" ht="15" hidden="false" customHeight="false" outlineLevel="0" collapsed="false">
      <c r="A18" s="22" t="s">
        <v>15</v>
      </c>
      <c r="B18" s="22" t="n">
        <v>1</v>
      </c>
      <c r="C18" s="22" t="s">
        <v>59</v>
      </c>
      <c r="D18" s="22" t="s">
        <v>30</v>
      </c>
      <c r="E18" s="22" t="s">
        <v>7328</v>
      </c>
      <c r="F18" s="22" t="n">
        <v>2309897</v>
      </c>
      <c r="G18" s="30" t="n">
        <v>46244</v>
      </c>
      <c r="H18" s="22" t="n">
        <v>132377</v>
      </c>
      <c r="I18" s="22" t="s">
        <v>7343</v>
      </c>
      <c r="J18" s="31" t="n">
        <v>51.06</v>
      </c>
      <c r="K18" s="26" t="n">
        <v>902.72</v>
      </c>
      <c r="L18" s="26" t="n">
        <v>185.44</v>
      </c>
      <c r="M18" s="22" t="s">
        <v>283</v>
      </c>
      <c r="N18" s="22" t="n">
        <f aca="false">MATCH(M18,'Tabela Passaro'!$A$2:$A$1795,0)</f>
        <v>1</v>
      </c>
      <c r="O18" s="22" t="str">
        <f aca="false">INDEX('Tabela Passaro'!$C$2:$C$1795,$N18)</f>
        <v>MACEIO</v>
      </c>
      <c r="P18" s="22" t="str">
        <f aca="false">INDEX('Tabela Passaro'!$B$2:$B$1795,$N18)</f>
        <v>AL</v>
      </c>
      <c r="Q18" s="22" t="n">
        <f aca="false">INDEX('Tabela Passaro'!$F$2:$F$1795,$N18)</f>
        <v>8</v>
      </c>
      <c r="R18" s="32" t="n">
        <f aca="false">IF(J18&lt;=10,INDEX('Tabela Passaro'!$G$2:$G$1795,$N18),IF(J18&lt;=30,INDEX('Tabela Passaro'!$H$2:$H$1795,$N18),IF(J18&lt;=50,INDEX('Tabela Passaro'!$I$2:$I$1795,$N18),IF(J18&lt;=70,INDEX('Tabela Passaro'!$J$2:$J$1795,$N18),IF(J18&lt;=100,INDEX('Tabela Passaro'!$K$2:$K$1795,$N18),INDEX('Tabela Passaro'!$K$2:$K$1795,$N18)+(J18-100)*INDEX('Tabela Passaro'!$L$2:$L$1795,$N18))))))</f>
        <v>88.98</v>
      </c>
      <c r="S18" s="32" t="n">
        <f aca="false">K18*INDEX('Tabela Passaro'!$M$2:$M$1795,$N18)</f>
        <v>4.5136</v>
      </c>
      <c r="T18" s="32" t="n">
        <f aca="false">K18*INDEX('Tabela Passaro'!$N$2:$N$1795,$N18)</f>
        <v>1.80544</v>
      </c>
      <c r="U18" s="32" t="n">
        <f aca="false">INDEX('Tabela Passaro'!$O$2:$O$1795,$N18)</f>
        <v>5</v>
      </c>
      <c r="V18" s="32" t="n">
        <f aca="false">ROUNDUP(J18/INDEX('Tabela Passaro'!$Q$2:$Q$1795,$N18),0)*INDEX('Tabela Passaro'!$P$2:$P$1795,$N18)</f>
        <v>5</v>
      </c>
      <c r="W18" s="32" t="n">
        <f aca="false">INDEX('Tabela Passaro'!$R$2:$R$1795,$N18)</f>
        <v>30</v>
      </c>
      <c r="X18" s="32" t="n">
        <f aca="false">ROUNDUP(J18/INDEX('Tabela Passaro'!$T$2:$T$1795,$N18),0)*INDEX('Tabela Passaro'!$S$2:$S$1795,$N18)</f>
        <v>0</v>
      </c>
      <c r="Y18" s="32" t="n">
        <f aca="false">INDEX('Tabela Passaro'!$U$2:$U$1795,$N18)</f>
        <v>0</v>
      </c>
      <c r="Z18" s="32" t="n">
        <f aca="false">INDEX('Tabela Passaro'!$V$2:$V$1795,$N18)</f>
        <v>0</v>
      </c>
      <c r="AA18" s="32" t="n">
        <f aca="false">SUM(R18:Z18)</f>
        <v>135.29904</v>
      </c>
      <c r="AB18" s="33" t="n">
        <f aca="false">INDEX(Premissas!$B$5:$B$13,MATCH(A18,Premissas!$A$5:$A$13,0))</f>
        <v>0.07</v>
      </c>
      <c r="AC18" s="32" t="n">
        <f aca="false">AA18/(1-AB18)-AA18</f>
        <v>10.1837987096774</v>
      </c>
      <c r="AD18" s="32" t="n">
        <f aca="false">ROUND(AA18+AC18,2)</f>
        <v>145.48</v>
      </c>
      <c r="AE18" s="32" t="n">
        <f aca="false">AD18-L18</f>
        <v>-39.96</v>
      </c>
      <c r="AF18" s="34" t="n">
        <f aca="false">IF(L18=0,0,AE18/L18)</f>
        <v>-0.21548748921484</v>
      </c>
      <c r="AG18" s="22" t="str">
        <f aca="false">IF(AD18&lt;L18,"PASSARO","ATUAL")</f>
        <v>PASSARO</v>
      </c>
      <c r="AH18" s="22" t="str">
        <f aca="false">IF(P18&lt;&gt;A18,"Faixa cadastrada como "&amp;P18&amp;" na tabela; preço aplicado pela UF do CEP","")</f>
        <v/>
      </c>
      <c r="AI18" s="26" t="n">
        <v>183.42</v>
      </c>
      <c r="AJ18" s="22" t="str">
        <f aca="false">INDEX('Tabela Passaro'!$X$2:$X$1795,$N18)</f>
        <v>CAPITAL</v>
      </c>
    </row>
    <row r="19" customFormat="false" ht="15" hidden="false" customHeight="false" outlineLevel="0" collapsed="false">
      <c r="A19" s="22" t="s">
        <v>15</v>
      </c>
      <c r="B19" s="22" t="n">
        <v>1</v>
      </c>
      <c r="C19" s="22" t="s">
        <v>59</v>
      </c>
      <c r="D19" s="22" t="s">
        <v>30</v>
      </c>
      <c r="E19" s="22" t="s">
        <v>7326</v>
      </c>
      <c r="F19" s="22" t="n">
        <v>523671</v>
      </c>
      <c r="G19" s="30" t="n">
        <v>46244</v>
      </c>
      <c r="H19" s="22" t="n">
        <v>621823</v>
      </c>
      <c r="I19" s="22" t="s">
        <v>7344</v>
      </c>
      <c r="J19" s="31" t="n">
        <v>24.4</v>
      </c>
      <c r="K19" s="26" t="n">
        <v>453.38</v>
      </c>
      <c r="L19" s="26" t="n">
        <v>128.65</v>
      </c>
      <c r="M19" s="22" t="s">
        <v>283</v>
      </c>
      <c r="N19" s="22" t="n">
        <f aca="false">MATCH(M19,'Tabela Passaro'!$A$2:$A$1795,0)</f>
        <v>1</v>
      </c>
      <c r="O19" s="22" t="str">
        <f aca="false">INDEX('Tabela Passaro'!$C$2:$C$1795,$N19)</f>
        <v>MACEIO</v>
      </c>
      <c r="P19" s="22" t="str">
        <f aca="false">INDEX('Tabela Passaro'!$B$2:$B$1795,$N19)</f>
        <v>AL</v>
      </c>
      <c r="Q19" s="22" t="n">
        <f aca="false">INDEX('Tabela Passaro'!$F$2:$F$1795,$N19)</f>
        <v>8</v>
      </c>
      <c r="R19" s="32" t="n">
        <f aca="false">IF(J19&lt;=10,INDEX('Tabela Passaro'!$G$2:$G$1795,$N19),IF(J19&lt;=30,INDEX('Tabela Passaro'!$H$2:$H$1795,$N19),IF(J19&lt;=50,INDEX('Tabela Passaro'!$I$2:$I$1795,$N19),IF(J19&lt;=70,INDEX('Tabela Passaro'!$J$2:$J$1795,$N19),IF(J19&lt;=100,INDEX('Tabela Passaro'!$K$2:$K$1795,$N19),INDEX('Tabela Passaro'!$K$2:$K$1795,$N19)+(J19-100)*INDEX('Tabela Passaro'!$L$2:$L$1795,$N19))))))</f>
        <v>66.94</v>
      </c>
      <c r="S19" s="32" t="n">
        <f aca="false">K19*INDEX('Tabela Passaro'!$M$2:$M$1795,$N19)</f>
        <v>2.2669</v>
      </c>
      <c r="T19" s="32" t="n">
        <f aca="false">K19*INDEX('Tabela Passaro'!$N$2:$N$1795,$N19)</f>
        <v>0.90676</v>
      </c>
      <c r="U19" s="32" t="n">
        <f aca="false">INDEX('Tabela Passaro'!$O$2:$O$1795,$N19)</f>
        <v>5</v>
      </c>
      <c r="V19" s="32" t="n">
        <f aca="false">ROUNDUP(J19/INDEX('Tabela Passaro'!$Q$2:$Q$1795,$N19),0)*INDEX('Tabela Passaro'!$P$2:$P$1795,$N19)</f>
        <v>5</v>
      </c>
      <c r="W19" s="32" t="n">
        <f aca="false">INDEX('Tabela Passaro'!$R$2:$R$1795,$N19)</f>
        <v>30</v>
      </c>
      <c r="X19" s="32" t="n">
        <f aca="false">ROUNDUP(J19/INDEX('Tabela Passaro'!$T$2:$T$1795,$N19),0)*INDEX('Tabela Passaro'!$S$2:$S$1795,$N19)</f>
        <v>0</v>
      </c>
      <c r="Y19" s="32" t="n">
        <f aca="false">INDEX('Tabela Passaro'!$U$2:$U$1795,$N19)</f>
        <v>0</v>
      </c>
      <c r="Z19" s="32" t="n">
        <f aca="false">INDEX('Tabela Passaro'!$V$2:$V$1795,$N19)</f>
        <v>0</v>
      </c>
      <c r="AA19" s="32" t="n">
        <f aca="false">SUM(R19:Z19)</f>
        <v>110.11366</v>
      </c>
      <c r="AB19" s="33" t="n">
        <f aca="false">INDEX(Premissas!$B$5:$B$13,MATCH(A19,Premissas!$A$5:$A$13,0))</f>
        <v>0.07</v>
      </c>
      <c r="AC19" s="32" t="n">
        <f aca="false">AA19/(1-AB19)-AA19</f>
        <v>8.28812494623656</v>
      </c>
      <c r="AD19" s="32" t="n">
        <f aca="false">ROUND(AA19+AC19,2)</f>
        <v>118.4</v>
      </c>
      <c r="AE19" s="32" t="n">
        <f aca="false">AD19-L19</f>
        <v>-10.25</v>
      </c>
      <c r="AF19" s="34" t="n">
        <f aca="false">IF(L19=0,0,AE19/L19)</f>
        <v>-0.0796735328410416</v>
      </c>
      <c r="AG19" s="22" t="str">
        <f aca="false">IF(AD19&lt;L19,"PASSARO","ATUAL")</f>
        <v>PASSARO</v>
      </c>
      <c r="AH19" s="22" t="str">
        <f aca="false">IF(P19&lt;&gt;A19,"Faixa cadastrada como "&amp;P19&amp;" na tabela; preço aplicado pela UF do CEP","")</f>
        <v/>
      </c>
      <c r="AI19" s="26" t="n">
        <v>140.96</v>
      </c>
      <c r="AJ19" s="22" t="str">
        <f aca="false">INDEX('Tabela Passaro'!$X$2:$X$1795,$N19)</f>
        <v>CAPITAL</v>
      </c>
    </row>
    <row r="20" customFormat="false" ht="15" hidden="false" customHeight="false" outlineLevel="0" collapsed="false">
      <c r="A20" s="22" t="s">
        <v>15</v>
      </c>
      <c r="B20" s="22" t="n">
        <v>1</v>
      </c>
      <c r="C20" s="22" t="s">
        <v>59</v>
      </c>
      <c r="D20" s="22" t="s">
        <v>30</v>
      </c>
      <c r="E20" s="22" t="s">
        <v>7326</v>
      </c>
      <c r="F20" s="22" t="n">
        <v>523785</v>
      </c>
      <c r="G20" s="30" t="n">
        <v>46245</v>
      </c>
      <c r="H20" s="22" t="n">
        <v>620275</v>
      </c>
      <c r="I20" s="22" t="s">
        <v>7345</v>
      </c>
      <c r="J20" s="31" t="n">
        <v>75.6</v>
      </c>
      <c r="K20" s="26" t="n">
        <v>1360.74</v>
      </c>
      <c r="L20" s="26" t="n">
        <v>284.97</v>
      </c>
      <c r="M20" s="22" t="s">
        <v>283</v>
      </c>
      <c r="N20" s="22" t="n">
        <f aca="false">MATCH(M20,'Tabela Passaro'!$A$2:$A$1795,0)</f>
        <v>1</v>
      </c>
      <c r="O20" s="22" t="str">
        <f aca="false">INDEX('Tabela Passaro'!$C$2:$C$1795,$N20)</f>
        <v>MACEIO</v>
      </c>
      <c r="P20" s="22" t="str">
        <f aca="false">INDEX('Tabela Passaro'!$B$2:$B$1795,$N20)</f>
        <v>AL</v>
      </c>
      <c r="Q20" s="22" t="n">
        <f aca="false">INDEX('Tabela Passaro'!$F$2:$F$1795,$N20)</f>
        <v>8</v>
      </c>
      <c r="R20" s="32" t="n">
        <f aca="false">IF(J20&lt;=10,INDEX('Tabela Passaro'!$G$2:$G$1795,$N20),IF(J20&lt;=30,INDEX('Tabela Passaro'!$H$2:$H$1795,$N20),IF(J20&lt;=50,INDEX('Tabela Passaro'!$I$2:$I$1795,$N20),IF(J20&lt;=70,INDEX('Tabela Passaro'!$J$2:$J$1795,$N20),IF(J20&lt;=100,INDEX('Tabela Passaro'!$K$2:$K$1795,$N20),INDEX('Tabela Passaro'!$K$2:$K$1795,$N20)+(J20-100)*INDEX('Tabela Passaro'!$L$2:$L$1795,$N20))))))</f>
        <v>105.51</v>
      </c>
      <c r="S20" s="32" t="n">
        <f aca="false">K20*INDEX('Tabela Passaro'!$M$2:$M$1795,$N20)</f>
        <v>6.8037</v>
      </c>
      <c r="T20" s="32" t="n">
        <f aca="false">K20*INDEX('Tabela Passaro'!$N$2:$N$1795,$N20)</f>
        <v>2.72148</v>
      </c>
      <c r="U20" s="32" t="n">
        <f aca="false">INDEX('Tabela Passaro'!$O$2:$O$1795,$N20)</f>
        <v>5</v>
      </c>
      <c r="V20" s="32" t="n">
        <f aca="false">ROUNDUP(J20/INDEX('Tabela Passaro'!$Q$2:$Q$1795,$N20),0)*INDEX('Tabela Passaro'!$P$2:$P$1795,$N20)</f>
        <v>5</v>
      </c>
      <c r="W20" s="32" t="n">
        <f aca="false">INDEX('Tabela Passaro'!$R$2:$R$1795,$N20)</f>
        <v>30</v>
      </c>
      <c r="X20" s="32" t="n">
        <f aca="false">ROUNDUP(J20/INDEX('Tabela Passaro'!$T$2:$T$1795,$N20),0)*INDEX('Tabela Passaro'!$S$2:$S$1795,$N20)</f>
        <v>0</v>
      </c>
      <c r="Y20" s="32" t="n">
        <f aca="false">INDEX('Tabela Passaro'!$U$2:$U$1795,$N20)</f>
        <v>0</v>
      </c>
      <c r="Z20" s="32" t="n">
        <f aca="false">INDEX('Tabela Passaro'!$V$2:$V$1795,$N20)</f>
        <v>0</v>
      </c>
      <c r="AA20" s="32" t="n">
        <f aca="false">SUM(R20:Z20)</f>
        <v>155.03518</v>
      </c>
      <c r="AB20" s="33" t="n">
        <f aca="false">INDEX(Premissas!$B$5:$B$13,MATCH(A20,Premissas!$A$5:$A$13,0))</f>
        <v>0.07</v>
      </c>
      <c r="AC20" s="32" t="n">
        <f aca="false">AA20/(1-AB20)-AA20</f>
        <v>11.6693146236559</v>
      </c>
      <c r="AD20" s="32" t="n">
        <f aca="false">ROUND(AA20+AC20,2)</f>
        <v>166.7</v>
      </c>
      <c r="AE20" s="32" t="n">
        <f aca="false">AD20-L20</f>
        <v>-118.27</v>
      </c>
      <c r="AF20" s="34" t="n">
        <f aca="false">IF(L20=0,0,AE20/L20)</f>
        <v>-0.415026143102783</v>
      </c>
      <c r="AG20" s="22" t="str">
        <f aca="false">IF(AD20&lt;L20,"PASSARO","ATUAL")</f>
        <v>PASSARO</v>
      </c>
      <c r="AH20" s="22" t="str">
        <f aca="false">IF(P20&lt;&gt;A20,"Faixa cadastrada como "&amp;P20&amp;" na tabela; preço aplicado pela UF do CEP","")</f>
        <v/>
      </c>
      <c r="AI20" s="26" t="n">
        <v>218.25</v>
      </c>
      <c r="AJ20" s="22" t="str">
        <f aca="false">INDEX('Tabela Passaro'!$X$2:$X$1795,$N20)</f>
        <v>CAPITAL</v>
      </c>
    </row>
    <row r="21" customFormat="false" ht="15" hidden="false" customHeight="false" outlineLevel="0" collapsed="false">
      <c r="A21" s="22" t="s">
        <v>15</v>
      </c>
      <c r="B21" s="22" t="n">
        <v>1</v>
      </c>
      <c r="C21" s="22" t="s">
        <v>59</v>
      </c>
      <c r="D21" s="22" t="s">
        <v>30</v>
      </c>
      <c r="E21" s="22" t="s">
        <v>7326</v>
      </c>
      <c r="F21" s="22" t="n">
        <v>523841</v>
      </c>
      <c r="G21" s="30" t="n">
        <v>46245</v>
      </c>
      <c r="H21" s="22" t="n">
        <v>623571</v>
      </c>
      <c r="I21" s="22" t="s">
        <v>7346</v>
      </c>
      <c r="J21" s="31" t="n">
        <v>29.2</v>
      </c>
      <c r="K21" s="26" t="n">
        <v>569.63</v>
      </c>
      <c r="L21" s="26" t="n">
        <v>129.62</v>
      </c>
      <c r="M21" s="22" t="s">
        <v>283</v>
      </c>
      <c r="N21" s="22" t="n">
        <f aca="false">MATCH(M21,'Tabela Passaro'!$A$2:$A$1795,0)</f>
        <v>1</v>
      </c>
      <c r="O21" s="22" t="str">
        <f aca="false">INDEX('Tabela Passaro'!$C$2:$C$1795,$N21)</f>
        <v>MACEIO</v>
      </c>
      <c r="P21" s="22" t="str">
        <f aca="false">INDEX('Tabela Passaro'!$B$2:$B$1795,$N21)</f>
        <v>AL</v>
      </c>
      <c r="Q21" s="22" t="n">
        <f aca="false">INDEX('Tabela Passaro'!$F$2:$F$1795,$N21)</f>
        <v>8</v>
      </c>
      <c r="R21" s="32" t="n">
        <f aca="false">IF(J21&lt;=10,INDEX('Tabela Passaro'!$G$2:$G$1795,$N21),IF(J21&lt;=30,INDEX('Tabela Passaro'!$H$2:$H$1795,$N21),IF(J21&lt;=50,INDEX('Tabela Passaro'!$I$2:$I$1795,$N21),IF(J21&lt;=70,INDEX('Tabela Passaro'!$J$2:$J$1795,$N21),IF(J21&lt;=100,INDEX('Tabela Passaro'!$K$2:$K$1795,$N21),INDEX('Tabela Passaro'!$K$2:$K$1795,$N21)+(J21-100)*INDEX('Tabela Passaro'!$L$2:$L$1795,$N21))))))</f>
        <v>66.94</v>
      </c>
      <c r="S21" s="32" t="n">
        <f aca="false">K21*INDEX('Tabela Passaro'!$M$2:$M$1795,$N21)</f>
        <v>2.84815</v>
      </c>
      <c r="T21" s="32" t="n">
        <f aca="false">K21*INDEX('Tabela Passaro'!$N$2:$N$1795,$N21)</f>
        <v>1.13926</v>
      </c>
      <c r="U21" s="32" t="n">
        <f aca="false">INDEX('Tabela Passaro'!$O$2:$O$1795,$N21)</f>
        <v>5</v>
      </c>
      <c r="V21" s="32" t="n">
        <f aca="false">ROUNDUP(J21/INDEX('Tabela Passaro'!$Q$2:$Q$1795,$N21),0)*INDEX('Tabela Passaro'!$P$2:$P$1795,$N21)</f>
        <v>5</v>
      </c>
      <c r="W21" s="32" t="n">
        <f aca="false">INDEX('Tabela Passaro'!$R$2:$R$1795,$N21)</f>
        <v>30</v>
      </c>
      <c r="X21" s="32" t="n">
        <f aca="false">ROUNDUP(J21/INDEX('Tabela Passaro'!$T$2:$T$1795,$N21),0)*INDEX('Tabela Passaro'!$S$2:$S$1795,$N21)</f>
        <v>0</v>
      </c>
      <c r="Y21" s="32" t="n">
        <f aca="false">INDEX('Tabela Passaro'!$U$2:$U$1795,$N21)</f>
        <v>0</v>
      </c>
      <c r="Z21" s="32" t="n">
        <f aca="false">INDEX('Tabela Passaro'!$V$2:$V$1795,$N21)</f>
        <v>0</v>
      </c>
      <c r="AA21" s="32" t="n">
        <f aca="false">SUM(R21:Z21)</f>
        <v>110.92741</v>
      </c>
      <c r="AB21" s="33" t="n">
        <f aca="false">INDEX(Premissas!$B$5:$B$13,MATCH(A21,Premissas!$A$5:$A$13,0))</f>
        <v>0.07</v>
      </c>
      <c r="AC21" s="32" t="n">
        <f aca="false">AA21/(1-AB21)-AA21</f>
        <v>8.34937494623657</v>
      </c>
      <c r="AD21" s="32" t="n">
        <f aca="false">ROUND(AA21+AC21,2)</f>
        <v>119.28</v>
      </c>
      <c r="AE21" s="32" t="n">
        <f aca="false">AD21-L21</f>
        <v>-10.34</v>
      </c>
      <c r="AF21" s="34" t="n">
        <f aca="false">IF(L21=0,0,AE21/L21)</f>
        <v>-0.0797716401789848</v>
      </c>
      <c r="AG21" s="22" t="str">
        <f aca="false">IF(AD21&lt;L21,"PASSARO","ATUAL")</f>
        <v>PASSARO</v>
      </c>
      <c r="AH21" s="22" t="str">
        <f aca="false">IF(P21&lt;&gt;A21,"Faixa cadastrada como "&amp;P21&amp;" na tabela; preço aplicado pela UF do CEP","")</f>
        <v/>
      </c>
      <c r="AI21" s="26" t="n">
        <v>144.5</v>
      </c>
      <c r="AJ21" s="22" t="str">
        <f aca="false">INDEX('Tabela Passaro'!$X$2:$X$1795,$N21)</f>
        <v>CAPITAL</v>
      </c>
    </row>
    <row r="22" customFormat="false" ht="15" hidden="false" customHeight="false" outlineLevel="0" collapsed="false">
      <c r="A22" s="22" t="s">
        <v>15</v>
      </c>
      <c r="B22" s="22" t="n">
        <v>1</v>
      </c>
      <c r="C22" s="22" t="s">
        <v>59</v>
      </c>
      <c r="D22" s="22" t="s">
        <v>30</v>
      </c>
      <c r="E22" s="22" t="s">
        <v>7326</v>
      </c>
      <c r="F22" s="22" t="n">
        <v>523868</v>
      </c>
      <c r="G22" s="30" t="n">
        <v>46245</v>
      </c>
      <c r="H22" s="22" t="n">
        <v>623711</v>
      </c>
      <c r="I22" s="22" t="s">
        <v>7347</v>
      </c>
      <c r="J22" s="31" t="n">
        <v>28.8</v>
      </c>
      <c r="K22" s="26" t="n">
        <v>1039.39</v>
      </c>
      <c r="L22" s="26" t="n">
        <v>133.63</v>
      </c>
      <c r="M22" s="22" t="s">
        <v>283</v>
      </c>
      <c r="N22" s="22" t="n">
        <f aca="false">MATCH(M22,'Tabela Passaro'!$A$2:$A$1795,0)</f>
        <v>1</v>
      </c>
      <c r="O22" s="22" t="str">
        <f aca="false">INDEX('Tabela Passaro'!$C$2:$C$1795,$N22)</f>
        <v>MACEIO</v>
      </c>
      <c r="P22" s="22" t="str">
        <f aca="false">INDEX('Tabela Passaro'!$B$2:$B$1795,$N22)</f>
        <v>AL</v>
      </c>
      <c r="Q22" s="22" t="n">
        <f aca="false">INDEX('Tabela Passaro'!$F$2:$F$1795,$N22)</f>
        <v>8</v>
      </c>
      <c r="R22" s="32" t="n">
        <f aca="false">IF(J22&lt;=10,INDEX('Tabela Passaro'!$G$2:$G$1795,$N22),IF(J22&lt;=30,INDEX('Tabela Passaro'!$H$2:$H$1795,$N22),IF(J22&lt;=50,INDEX('Tabela Passaro'!$I$2:$I$1795,$N22),IF(J22&lt;=70,INDEX('Tabela Passaro'!$J$2:$J$1795,$N22),IF(J22&lt;=100,INDEX('Tabela Passaro'!$K$2:$K$1795,$N22),INDEX('Tabela Passaro'!$K$2:$K$1795,$N22)+(J22-100)*INDEX('Tabela Passaro'!$L$2:$L$1795,$N22))))))</f>
        <v>66.94</v>
      </c>
      <c r="S22" s="32" t="n">
        <f aca="false">K22*INDEX('Tabela Passaro'!$M$2:$M$1795,$N22)</f>
        <v>5.19695</v>
      </c>
      <c r="T22" s="32" t="n">
        <f aca="false">K22*INDEX('Tabela Passaro'!$N$2:$N$1795,$N22)</f>
        <v>2.07878</v>
      </c>
      <c r="U22" s="32" t="n">
        <f aca="false">INDEX('Tabela Passaro'!$O$2:$O$1795,$N22)</f>
        <v>5</v>
      </c>
      <c r="V22" s="32" t="n">
        <f aca="false">ROUNDUP(J22/INDEX('Tabela Passaro'!$Q$2:$Q$1795,$N22),0)*INDEX('Tabela Passaro'!$P$2:$P$1795,$N22)</f>
        <v>5</v>
      </c>
      <c r="W22" s="32" t="n">
        <f aca="false">INDEX('Tabela Passaro'!$R$2:$R$1795,$N22)</f>
        <v>30</v>
      </c>
      <c r="X22" s="32" t="n">
        <f aca="false">ROUNDUP(J22/INDEX('Tabela Passaro'!$T$2:$T$1795,$N22),0)*INDEX('Tabela Passaro'!$S$2:$S$1795,$N22)</f>
        <v>0</v>
      </c>
      <c r="Y22" s="32" t="n">
        <f aca="false">INDEX('Tabela Passaro'!$U$2:$U$1795,$N22)</f>
        <v>0</v>
      </c>
      <c r="Z22" s="32" t="n">
        <f aca="false">INDEX('Tabela Passaro'!$V$2:$V$1795,$N22)</f>
        <v>0</v>
      </c>
      <c r="AA22" s="32" t="n">
        <f aca="false">SUM(R22:Z22)</f>
        <v>114.21573</v>
      </c>
      <c r="AB22" s="33" t="n">
        <f aca="false">INDEX(Premissas!$B$5:$B$13,MATCH(A22,Premissas!$A$5:$A$13,0))</f>
        <v>0.07</v>
      </c>
      <c r="AC22" s="32" t="n">
        <f aca="false">AA22/(1-AB22)-AA22</f>
        <v>8.59688290322582</v>
      </c>
      <c r="AD22" s="32" t="n">
        <f aca="false">ROUND(AA22+AC22,2)</f>
        <v>122.81</v>
      </c>
      <c r="AE22" s="32" t="n">
        <f aca="false">AD22-L22</f>
        <v>-10.82</v>
      </c>
      <c r="AF22" s="34" t="n">
        <f aca="false">IF(L22=0,0,AE22/L22)</f>
        <v>-0.0809698421013245</v>
      </c>
      <c r="AG22" s="22" t="str">
        <f aca="false">IF(AD22&lt;L22,"PASSARO","ATUAL")</f>
        <v>PASSARO</v>
      </c>
      <c r="AH22" s="22" t="str">
        <f aca="false">IF(P22&lt;&gt;A22,"Faixa cadastrada como "&amp;P22&amp;" na tabela; preço aplicado pela UF do CEP","")</f>
        <v/>
      </c>
      <c r="AI22" s="26" t="n">
        <v>148.56</v>
      </c>
      <c r="AJ22" s="22" t="str">
        <f aca="false">INDEX('Tabela Passaro'!$X$2:$X$1795,$N22)</f>
        <v>CAPITAL</v>
      </c>
    </row>
    <row r="23" customFormat="false" ht="15" hidden="false" customHeight="false" outlineLevel="0" collapsed="false">
      <c r="A23" s="22" t="s">
        <v>15</v>
      </c>
      <c r="B23" s="22" t="n">
        <v>1</v>
      </c>
      <c r="C23" s="22" t="s">
        <v>59</v>
      </c>
      <c r="D23" s="22" t="s">
        <v>30</v>
      </c>
      <c r="E23" s="22" t="s">
        <v>7328</v>
      </c>
      <c r="F23" s="22" t="n">
        <v>2311231</v>
      </c>
      <c r="G23" s="30" t="n">
        <v>46246</v>
      </c>
      <c r="H23" s="22" t="n">
        <v>132501</v>
      </c>
      <c r="I23" s="22" t="s">
        <v>7348</v>
      </c>
      <c r="J23" s="31" t="n">
        <v>124.2</v>
      </c>
      <c r="K23" s="26" t="n">
        <v>2005.44</v>
      </c>
      <c r="L23" s="26" t="n">
        <v>292.75</v>
      </c>
      <c r="M23" s="22" t="s">
        <v>283</v>
      </c>
      <c r="N23" s="22" t="n">
        <f aca="false">MATCH(M23,'Tabela Passaro'!$A$2:$A$1795,0)</f>
        <v>1</v>
      </c>
      <c r="O23" s="22" t="str">
        <f aca="false">INDEX('Tabela Passaro'!$C$2:$C$1795,$N23)</f>
        <v>MACEIO</v>
      </c>
      <c r="P23" s="22" t="str">
        <f aca="false">INDEX('Tabela Passaro'!$B$2:$B$1795,$N23)</f>
        <v>AL</v>
      </c>
      <c r="Q23" s="22" t="n">
        <f aca="false">INDEX('Tabela Passaro'!$F$2:$F$1795,$N23)</f>
        <v>8</v>
      </c>
      <c r="R23" s="32" t="n">
        <f aca="false">IF(J23&lt;=10,INDEX('Tabela Passaro'!$G$2:$G$1795,$N23),IF(J23&lt;=30,INDEX('Tabela Passaro'!$H$2:$H$1795,$N23),IF(J23&lt;=50,INDEX('Tabela Passaro'!$I$2:$I$1795,$N23),IF(J23&lt;=70,INDEX('Tabela Passaro'!$J$2:$J$1795,$N23),IF(J23&lt;=100,INDEX('Tabela Passaro'!$K$2:$K$1795,$N23),INDEX('Tabela Passaro'!$K$2:$K$1795,$N23)+(J23-100)*INDEX('Tabela Passaro'!$L$2:$L$1795,$N23))))))</f>
        <v>141.81</v>
      </c>
      <c r="S23" s="32" t="n">
        <f aca="false">K23*INDEX('Tabela Passaro'!$M$2:$M$1795,$N23)</f>
        <v>10.0272</v>
      </c>
      <c r="T23" s="32" t="n">
        <f aca="false">K23*INDEX('Tabela Passaro'!$N$2:$N$1795,$N23)</f>
        <v>4.01088</v>
      </c>
      <c r="U23" s="32" t="n">
        <f aca="false">INDEX('Tabela Passaro'!$O$2:$O$1795,$N23)</f>
        <v>5</v>
      </c>
      <c r="V23" s="32" t="n">
        <f aca="false">ROUNDUP(J23/INDEX('Tabela Passaro'!$Q$2:$Q$1795,$N23),0)*INDEX('Tabela Passaro'!$P$2:$P$1795,$N23)</f>
        <v>10</v>
      </c>
      <c r="W23" s="32" t="n">
        <f aca="false">INDEX('Tabela Passaro'!$R$2:$R$1795,$N23)</f>
        <v>30</v>
      </c>
      <c r="X23" s="32" t="n">
        <f aca="false">ROUNDUP(J23/INDEX('Tabela Passaro'!$T$2:$T$1795,$N23),0)*INDEX('Tabela Passaro'!$S$2:$S$1795,$N23)</f>
        <v>0</v>
      </c>
      <c r="Y23" s="32" t="n">
        <f aca="false">INDEX('Tabela Passaro'!$U$2:$U$1795,$N23)</f>
        <v>0</v>
      </c>
      <c r="Z23" s="32" t="n">
        <f aca="false">INDEX('Tabela Passaro'!$V$2:$V$1795,$N23)</f>
        <v>0</v>
      </c>
      <c r="AA23" s="32" t="n">
        <f aca="false">SUM(R23:Z23)</f>
        <v>200.84808</v>
      </c>
      <c r="AB23" s="33" t="n">
        <f aca="false">INDEX(Premissas!$B$5:$B$13,MATCH(A23,Premissas!$A$5:$A$13,0))</f>
        <v>0.07</v>
      </c>
      <c r="AC23" s="32" t="n">
        <f aca="false">AA23/(1-AB23)-AA23</f>
        <v>15.1175974193549</v>
      </c>
      <c r="AD23" s="32" t="n">
        <f aca="false">ROUND(AA23+AC23,2)</f>
        <v>215.97</v>
      </c>
      <c r="AE23" s="32" t="n">
        <f aca="false">AD23-L23</f>
        <v>-76.78</v>
      </c>
      <c r="AF23" s="34" t="n">
        <f aca="false">IF(L23=0,0,AE23/L23)</f>
        <v>-0.262271562766866</v>
      </c>
      <c r="AG23" s="22" t="str">
        <f aca="false">IF(AD23&lt;L23,"PASSARO","ATUAL")</f>
        <v>PASSARO</v>
      </c>
      <c r="AH23" s="22" t="str">
        <f aca="false">IF(P23&lt;&gt;A23,"Faixa cadastrada como "&amp;P23&amp;" na tabela; preço aplicado pela UF do CEP","")</f>
        <v/>
      </c>
      <c r="AI23" s="26" t="n">
        <v>297.56</v>
      </c>
      <c r="AJ23" s="22" t="str">
        <f aca="false">INDEX('Tabela Passaro'!$X$2:$X$1795,$N23)</f>
        <v>CAPITAL</v>
      </c>
    </row>
    <row r="24" customFormat="false" ht="15" hidden="false" customHeight="false" outlineLevel="0" collapsed="false">
      <c r="A24" s="22" t="s">
        <v>15</v>
      </c>
      <c r="B24" s="22" t="n">
        <v>1</v>
      </c>
      <c r="C24" s="22" t="s">
        <v>59</v>
      </c>
      <c r="D24" s="22" t="s">
        <v>30</v>
      </c>
      <c r="E24" s="22" t="s">
        <v>7328</v>
      </c>
      <c r="F24" s="22" t="n">
        <v>2311240</v>
      </c>
      <c r="G24" s="30" t="n">
        <v>46246</v>
      </c>
      <c r="H24" s="22" t="n">
        <v>132528</v>
      </c>
      <c r="I24" s="22" t="s">
        <v>7349</v>
      </c>
      <c r="J24" s="31" t="n">
        <v>29.2</v>
      </c>
      <c r="K24" s="26" t="n">
        <v>591.03</v>
      </c>
      <c r="L24" s="26" t="n">
        <v>119.68</v>
      </c>
      <c r="M24" s="22" t="s">
        <v>283</v>
      </c>
      <c r="N24" s="22" t="n">
        <f aca="false">MATCH(M24,'Tabela Passaro'!$A$2:$A$1795,0)</f>
        <v>1</v>
      </c>
      <c r="O24" s="22" t="str">
        <f aca="false">INDEX('Tabela Passaro'!$C$2:$C$1795,$N24)</f>
        <v>MACEIO</v>
      </c>
      <c r="P24" s="22" t="str">
        <f aca="false">INDEX('Tabela Passaro'!$B$2:$B$1795,$N24)</f>
        <v>AL</v>
      </c>
      <c r="Q24" s="22" t="n">
        <f aca="false">INDEX('Tabela Passaro'!$F$2:$F$1795,$N24)</f>
        <v>8</v>
      </c>
      <c r="R24" s="32" t="n">
        <f aca="false">IF(J24&lt;=10,INDEX('Tabela Passaro'!$G$2:$G$1795,$N24),IF(J24&lt;=30,INDEX('Tabela Passaro'!$H$2:$H$1795,$N24),IF(J24&lt;=50,INDEX('Tabela Passaro'!$I$2:$I$1795,$N24),IF(J24&lt;=70,INDEX('Tabela Passaro'!$J$2:$J$1795,$N24),IF(J24&lt;=100,INDEX('Tabela Passaro'!$K$2:$K$1795,$N24),INDEX('Tabela Passaro'!$K$2:$K$1795,$N24)+(J24-100)*INDEX('Tabela Passaro'!$L$2:$L$1795,$N24))))))</f>
        <v>66.94</v>
      </c>
      <c r="S24" s="32" t="n">
        <f aca="false">K24*INDEX('Tabela Passaro'!$M$2:$M$1795,$N24)</f>
        <v>2.95515</v>
      </c>
      <c r="T24" s="32" t="n">
        <f aca="false">K24*INDEX('Tabela Passaro'!$N$2:$N$1795,$N24)</f>
        <v>1.18206</v>
      </c>
      <c r="U24" s="32" t="n">
        <f aca="false">INDEX('Tabela Passaro'!$O$2:$O$1795,$N24)</f>
        <v>5</v>
      </c>
      <c r="V24" s="32" t="n">
        <f aca="false">ROUNDUP(J24/INDEX('Tabela Passaro'!$Q$2:$Q$1795,$N24),0)*INDEX('Tabela Passaro'!$P$2:$P$1795,$N24)</f>
        <v>5</v>
      </c>
      <c r="W24" s="32" t="n">
        <f aca="false">INDEX('Tabela Passaro'!$R$2:$R$1795,$N24)</f>
        <v>30</v>
      </c>
      <c r="X24" s="32" t="n">
        <f aca="false">ROUNDUP(J24/INDEX('Tabela Passaro'!$T$2:$T$1795,$N24),0)*INDEX('Tabela Passaro'!$S$2:$S$1795,$N24)</f>
        <v>0</v>
      </c>
      <c r="Y24" s="32" t="n">
        <f aca="false">INDEX('Tabela Passaro'!$U$2:$U$1795,$N24)</f>
        <v>0</v>
      </c>
      <c r="Z24" s="32" t="n">
        <f aca="false">INDEX('Tabela Passaro'!$V$2:$V$1795,$N24)</f>
        <v>0</v>
      </c>
      <c r="AA24" s="32" t="n">
        <f aca="false">SUM(R24:Z24)</f>
        <v>111.07721</v>
      </c>
      <c r="AB24" s="33" t="n">
        <f aca="false">INDEX(Premissas!$B$5:$B$13,MATCH(A24,Premissas!$A$5:$A$13,0))</f>
        <v>0.07</v>
      </c>
      <c r="AC24" s="32" t="n">
        <f aca="false">AA24/(1-AB24)-AA24</f>
        <v>8.36065021505377</v>
      </c>
      <c r="AD24" s="32" t="n">
        <f aca="false">ROUND(AA24+AC24,2)</f>
        <v>119.44</v>
      </c>
      <c r="AE24" s="32" t="n">
        <f aca="false">AD24-L24</f>
        <v>-0.240000000000009</v>
      </c>
      <c r="AF24" s="34" t="n">
        <f aca="false">IF(L24=0,0,AE24/L24)</f>
        <v>-0.00200534759358296</v>
      </c>
      <c r="AG24" s="22" t="str">
        <f aca="false">IF(AD24&lt;L24,"PASSARO","ATUAL")</f>
        <v>PASSARO</v>
      </c>
      <c r="AH24" s="22" t="str">
        <f aca="false">IF(P24&lt;&gt;A24,"Faixa cadastrada como "&amp;P24&amp;" na tabela; preço aplicado pela UF do CEP","")</f>
        <v/>
      </c>
      <c r="AI24" s="26" t="n">
        <v>144.71</v>
      </c>
      <c r="AJ24" s="22" t="str">
        <f aca="false">INDEX('Tabela Passaro'!$X$2:$X$1795,$N24)</f>
        <v>CAPITAL</v>
      </c>
    </row>
    <row r="25" customFormat="false" ht="15" hidden="false" customHeight="false" outlineLevel="0" collapsed="false">
      <c r="A25" s="22" t="s">
        <v>15</v>
      </c>
      <c r="B25" s="22" t="n">
        <v>1</v>
      </c>
      <c r="C25" s="22" t="s">
        <v>59</v>
      </c>
      <c r="D25" s="22" t="s">
        <v>30</v>
      </c>
      <c r="E25" s="22" t="s">
        <v>7328</v>
      </c>
      <c r="F25" s="22" t="n">
        <v>2311271</v>
      </c>
      <c r="G25" s="30" t="n">
        <v>46246</v>
      </c>
      <c r="H25" s="22" t="n">
        <v>132724</v>
      </c>
      <c r="I25" s="22" t="s">
        <v>7350</v>
      </c>
      <c r="J25" s="31" t="n">
        <v>59.8</v>
      </c>
      <c r="K25" s="26" t="n">
        <v>1225.19</v>
      </c>
      <c r="L25" s="26" t="n">
        <v>187.99</v>
      </c>
      <c r="M25" s="22" t="s">
        <v>283</v>
      </c>
      <c r="N25" s="22" t="n">
        <f aca="false">MATCH(M25,'Tabela Passaro'!$A$2:$A$1795,0)</f>
        <v>1</v>
      </c>
      <c r="O25" s="22" t="str">
        <f aca="false">INDEX('Tabela Passaro'!$C$2:$C$1795,$N25)</f>
        <v>MACEIO</v>
      </c>
      <c r="P25" s="22" t="str">
        <f aca="false">INDEX('Tabela Passaro'!$B$2:$B$1795,$N25)</f>
        <v>AL</v>
      </c>
      <c r="Q25" s="22" t="n">
        <f aca="false">INDEX('Tabela Passaro'!$F$2:$F$1795,$N25)</f>
        <v>8</v>
      </c>
      <c r="R25" s="32" t="n">
        <f aca="false">IF(J25&lt;=10,INDEX('Tabela Passaro'!$G$2:$G$1795,$N25),IF(J25&lt;=30,INDEX('Tabela Passaro'!$H$2:$H$1795,$N25),IF(J25&lt;=50,INDEX('Tabela Passaro'!$I$2:$I$1795,$N25),IF(J25&lt;=70,INDEX('Tabela Passaro'!$J$2:$J$1795,$N25),IF(J25&lt;=100,INDEX('Tabela Passaro'!$K$2:$K$1795,$N25),INDEX('Tabela Passaro'!$K$2:$K$1795,$N25)+(J25-100)*INDEX('Tabela Passaro'!$L$2:$L$1795,$N25))))))</f>
        <v>88.98</v>
      </c>
      <c r="S25" s="32" t="n">
        <f aca="false">K25*INDEX('Tabela Passaro'!$M$2:$M$1795,$N25)</f>
        <v>6.12595</v>
      </c>
      <c r="T25" s="32" t="n">
        <f aca="false">K25*INDEX('Tabela Passaro'!$N$2:$N$1795,$N25)</f>
        <v>2.45038</v>
      </c>
      <c r="U25" s="32" t="n">
        <f aca="false">INDEX('Tabela Passaro'!$O$2:$O$1795,$N25)</f>
        <v>5</v>
      </c>
      <c r="V25" s="32" t="n">
        <f aca="false">ROUNDUP(J25/INDEX('Tabela Passaro'!$Q$2:$Q$1795,$N25),0)*INDEX('Tabela Passaro'!$P$2:$P$1795,$N25)</f>
        <v>5</v>
      </c>
      <c r="W25" s="32" t="n">
        <f aca="false">INDEX('Tabela Passaro'!$R$2:$R$1795,$N25)</f>
        <v>30</v>
      </c>
      <c r="X25" s="32" t="n">
        <f aca="false">ROUNDUP(J25/INDEX('Tabela Passaro'!$T$2:$T$1795,$N25),0)*INDEX('Tabela Passaro'!$S$2:$S$1795,$N25)</f>
        <v>0</v>
      </c>
      <c r="Y25" s="32" t="n">
        <f aca="false">INDEX('Tabela Passaro'!$U$2:$U$1795,$N25)</f>
        <v>0</v>
      </c>
      <c r="Z25" s="32" t="n">
        <f aca="false">INDEX('Tabela Passaro'!$V$2:$V$1795,$N25)</f>
        <v>0</v>
      </c>
      <c r="AA25" s="32" t="n">
        <f aca="false">SUM(R25:Z25)</f>
        <v>137.55633</v>
      </c>
      <c r="AB25" s="33" t="n">
        <f aca="false">INDEX(Premissas!$B$5:$B$13,MATCH(A25,Premissas!$A$5:$A$13,0))</f>
        <v>0.07</v>
      </c>
      <c r="AC25" s="32" t="n">
        <f aca="false">AA25/(1-AB25)-AA25</f>
        <v>10.3537022580645</v>
      </c>
      <c r="AD25" s="32" t="n">
        <f aca="false">ROUND(AA25+AC25,2)</f>
        <v>147.91</v>
      </c>
      <c r="AE25" s="32" t="n">
        <f aca="false">AD25-L25</f>
        <v>-40.08</v>
      </c>
      <c r="AF25" s="34" t="n">
        <f aca="false">IF(L25=0,0,AE25/L25)</f>
        <v>-0.213202829937763</v>
      </c>
      <c r="AG25" s="22" t="str">
        <f aca="false">IF(AD25&lt;L25,"PASSARO","ATUAL")</f>
        <v>PASSARO</v>
      </c>
      <c r="AH25" s="22" t="str">
        <f aca="false">IF(P25&lt;&gt;A25,"Faixa cadastrada como "&amp;P25&amp;" na tabela; preço aplicado pela UF do CEP","")</f>
        <v/>
      </c>
      <c r="AI25" s="26" t="n">
        <v>190.42</v>
      </c>
      <c r="AJ25" s="22" t="str">
        <f aca="false">INDEX('Tabela Passaro'!$X$2:$X$1795,$N25)</f>
        <v>CAPITAL</v>
      </c>
    </row>
    <row r="26" customFormat="false" ht="15" hidden="false" customHeight="false" outlineLevel="0" collapsed="false">
      <c r="A26" s="22" t="s">
        <v>15</v>
      </c>
      <c r="B26" s="22" t="n">
        <v>1</v>
      </c>
      <c r="C26" s="22" t="s">
        <v>59</v>
      </c>
      <c r="D26" s="22" t="s">
        <v>30</v>
      </c>
      <c r="E26" s="22" t="s">
        <v>7328</v>
      </c>
      <c r="F26" s="22" t="n">
        <v>2311305</v>
      </c>
      <c r="G26" s="30" t="n">
        <v>46246</v>
      </c>
      <c r="H26" s="22" t="n">
        <v>132758</v>
      </c>
      <c r="I26" s="22" t="s">
        <v>7351</v>
      </c>
      <c r="J26" s="31" t="n">
        <v>54.8</v>
      </c>
      <c r="K26" s="26" t="n">
        <v>983.91</v>
      </c>
      <c r="L26" s="26" t="n">
        <v>186.08</v>
      </c>
      <c r="M26" s="22" t="s">
        <v>283</v>
      </c>
      <c r="N26" s="22" t="n">
        <f aca="false">MATCH(M26,'Tabela Passaro'!$A$2:$A$1795,0)</f>
        <v>1</v>
      </c>
      <c r="O26" s="22" t="str">
        <f aca="false">INDEX('Tabela Passaro'!$C$2:$C$1795,$N26)</f>
        <v>MACEIO</v>
      </c>
      <c r="P26" s="22" t="str">
        <f aca="false">INDEX('Tabela Passaro'!$B$2:$B$1795,$N26)</f>
        <v>AL</v>
      </c>
      <c r="Q26" s="22" t="n">
        <f aca="false">INDEX('Tabela Passaro'!$F$2:$F$1795,$N26)</f>
        <v>8</v>
      </c>
      <c r="R26" s="32" t="n">
        <f aca="false">IF(J26&lt;=10,INDEX('Tabela Passaro'!$G$2:$G$1795,$N26),IF(J26&lt;=30,INDEX('Tabela Passaro'!$H$2:$H$1795,$N26),IF(J26&lt;=50,INDEX('Tabela Passaro'!$I$2:$I$1795,$N26),IF(J26&lt;=70,INDEX('Tabela Passaro'!$J$2:$J$1795,$N26),IF(J26&lt;=100,INDEX('Tabela Passaro'!$K$2:$K$1795,$N26),INDEX('Tabela Passaro'!$K$2:$K$1795,$N26)+(J26-100)*INDEX('Tabela Passaro'!$L$2:$L$1795,$N26))))))</f>
        <v>88.98</v>
      </c>
      <c r="S26" s="32" t="n">
        <f aca="false">K26*INDEX('Tabela Passaro'!$M$2:$M$1795,$N26)</f>
        <v>4.91955</v>
      </c>
      <c r="T26" s="32" t="n">
        <f aca="false">K26*INDEX('Tabela Passaro'!$N$2:$N$1795,$N26)</f>
        <v>1.96782</v>
      </c>
      <c r="U26" s="32" t="n">
        <f aca="false">INDEX('Tabela Passaro'!$O$2:$O$1795,$N26)</f>
        <v>5</v>
      </c>
      <c r="V26" s="32" t="n">
        <f aca="false">ROUNDUP(J26/INDEX('Tabela Passaro'!$Q$2:$Q$1795,$N26),0)*INDEX('Tabela Passaro'!$P$2:$P$1795,$N26)</f>
        <v>5</v>
      </c>
      <c r="W26" s="32" t="n">
        <f aca="false">INDEX('Tabela Passaro'!$R$2:$R$1795,$N26)</f>
        <v>30</v>
      </c>
      <c r="X26" s="32" t="n">
        <f aca="false">ROUNDUP(J26/INDEX('Tabela Passaro'!$T$2:$T$1795,$N26),0)*INDEX('Tabela Passaro'!$S$2:$S$1795,$N26)</f>
        <v>0</v>
      </c>
      <c r="Y26" s="32" t="n">
        <f aca="false">INDEX('Tabela Passaro'!$U$2:$U$1795,$N26)</f>
        <v>0</v>
      </c>
      <c r="Z26" s="32" t="n">
        <f aca="false">INDEX('Tabela Passaro'!$V$2:$V$1795,$N26)</f>
        <v>0</v>
      </c>
      <c r="AA26" s="32" t="n">
        <f aca="false">SUM(R26:Z26)</f>
        <v>135.86737</v>
      </c>
      <c r="AB26" s="33" t="n">
        <f aca="false">INDEX(Premissas!$B$5:$B$13,MATCH(A26,Premissas!$A$5:$A$13,0))</f>
        <v>0.07</v>
      </c>
      <c r="AC26" s="32" t="n">
        <f aca="false">AA26/(1-AB26)-AA26</f>
        <v>10.2265762365591</v>
      </c>
      <c r="AD26" s="32" t="n">
        <f aca="false">ROUND(AA26+AC26,2)</f>
        <v>146.09</v>
      </c>
      <c r="AE26" s="32" t="n">
        <f aca="false">AD26-L26</f>
        <v>-39.99</v>
      </c>
      <c r="AF26" s="34" t="n">
        <f aca="false">IF(L26=0,0,AE26/L26)</f>
        <v>-0.214907566638005</v>
      </c>
      <c r="AG26" s="22" t="str">
        <f aca="false">IF(AD26&lt;L26,"PASSARO","ATUAL")</f>
        <v>PASSARO</v>
      </c>
      <c r="AH26" s="22" t="str">
        <f aca="false">IF(P26&lt;&gt;A26,"Faixa cadastrada como "&amp;P26&amp;" na tabela; preço aplicado pela UF do CEP","")</f>
        <v/>
      </c>
      <c r="AI26" s="26" t="n">
        <v>185.66</v>
      </c>
      <c r="AJ26" s="22" t="str">
        <f aca="false">INDEX('Tabela Passaro'!$X$2:$X$1795,$N26)</f>
        <v>CAPITAL</v>
      </c>
    </row>
    <row r="27" customFormat="false" ht="15" hidden="false" customHeight="false" outlineLevel="0" collapsed="false">
      <c r="A27" s="22" t="s">
        <v>15</v>
      </c>
      <c r="B27" s="22" t="n">
        <v>1</v>
      </c>
      <c r="C27" s="22" t="s">
        <v>59</v>
      </c>
      <c r="D27" s="22" t="s">
        <v>30</v>
      </c>
      <c r="E27" s="22" t="s">
        <v>20</v>
      </c>
      <c r="F27" s="22" t="n">
        <v>838972</v>
      </c>
      <c r="G27" s="30" t="n">
        <v>46247</v>
      </c>
      <c r="H27" s="22" t="n">
        <v>32501</v>
      </c>
      <c r="I27" s="22" t="s">
        <v>7352</v>
      </c>
      <c r="J27" s="31" t="n">
        <v>33</v>
      </c>
      <c r="K27" s="26" t="n">
        <v>536.68</v>
      </c>
      <c r="L27" s="26" t="n">
        <v>140.3</v>
      </c>
      <c r="M27" s="22" t="s">
        <v>283</v>
      </c>
      <c r="N27" s="22" t="n">
        <f aca="false">MATCH(M27,'Tabela Passaro'!$A$2:$A$1795,0)</f>
        <v>1</v>
      </c>
      <c r="O27" s="22" t="str">
        <f aca="false">INDEX('Tabela Passaro'!$C$2:$C$1795,$N27)</f>
        <v>MACEIO</v>
      </c>
      <c r="P27" s="22" t="str">
        <f aca="false">INDEX('Tabela Passaro'!$B$2:$B$1795,$N27)</f>
        <v>AL</v>
      </c>
      <c r="Q27" s="22" t="n">
        <f aca="false">INDEX('Tabela Passaro'!$F$2:$F$1795,$N27)</f>
        <v>8</v>
      </c>
      <c r="R27" s="32" t="n">
        <f aca="false">IF(J27&lt;=10,INDEX('Tabela Passaro'!$G$2:$G$1795,$N27),IF(J27&lt;=30,INDEX('Tabela Passaro'!$H$2:$H$1795,$N27),IF(J27&lt;=50,INDEX('Tabela Passaro'!$I$2:$I$1795,$N27),IF(J27&lt;=70,INDEX('Tabela Passaro'!$J$2:$J$1795,$N27),IF(J27&lt;=100,INDEX('Tabela Passaro'!$K$2:$K$1795,$N27),INDEX('Tabela Passaro'!$K$2:$K$1795,$N27)+(J27-100)*INDEX('Tabela Passaro'!$L$2:$L$1795,$N27))))))</f>
        <v>77.96</v>
      </c>
      <c r="S27" s="32" t="n">
        <f aca="false">K27*INDEX('Tabela Passaro'!$M$2:$M$1795,$N27)</f>
        <v>2.6834</v>
      </c>
      <c r="T27" s="32" t="n">
        <f aca="false">K27*INDEX('Tabela Passaro'!$N$2:$N$1795,$N27)</f>
        <v>1.07336</v>
      </c>
      <c r="U27" s="32" t="n">
        <f aca="false">INDEX('Tabela Passaro'!$O$2:$O$1795,$N27)</f>
        <v>5</v>
      </c>
      <c r="V27" s="32" t="n">
        <f aca="false">ROUNDUP(J27/INDEX('Tabela Passaro'!$Q$2:$Q$1795,$N27),0)*INDEX('Tabela Passaro'!$P$2:$P$1795,$N27)</f>
        <v>5</v>
      </c>
      <c r="W27" s="32" t="n">
        <f aca="false">INDEX('Tabela Passaro'!$R$2:$R$1795,$N27)</f>
        <v>30</v>
      </c>
      <c r="X27" s="32" t="n">
        <f aca="false">ROUNDUP(J27/INDEX('Tabela Passaro'!$T$2:$T$1795,$N27),0)*INDEX('Tabela Passaro'!$S$2:$S$1795,$N27)</f>
        <v>0</v>
      </c>
      <c r="Y27" s="32" t="n">
        <f aca="false">INDEX('Tabela Passaro'!$U$2:$U$1795,$N27)</f>
        <v>0</v>
      </c>
      <c r="Z27" s="32" t="n">
        <f aca="false">INDEX('Tabela Passaro'!$V$2:$V$1795,$N27)</f>
        <v>0</v>
      </c>
      <c r="AA27" s="32" t="n">
        <f aca="false">SUM(R27:Z27)</f>
        <v>121.71676</v>
      </c>
      <c r="AB27" s="33" t="n">
        <f aca="false">INDEX(Premissas!$B$5:$B$13,MATCH(A27,Premissas!$A$5:$A$13,0))</f>
        <v>0.07</v>
      </c>
      <c r="AC27" s="32" t="n">
        <f aca="false">AA27/(1-AB27)-AA27</f>
        <v>9.1614765591398</v>
      </c>
      <c r="AD27" s="32" t="n">
        <f aca="false">ROUND(AA27+AC27,2)</f>
        <v>130.88</v>
      </c>
      <c r="AE27" s="32" t="n">
        <f aca="false">AD27-L27</f>
        <v>-9.42000000000002</v>
      </c>
      <c r="AF27" s="34" t="n">
        <f aca="false">IF(L27=0,0,AE27/L27)</f>
        <v>-0.0671418389166074</v>
      </c>
      <c r="AG27" s="22" t="str">
        <f aca="false">IF(AD27&lt;L27,"PASSARO","ATUAL")</f>
        <v>PASSARO</v>
      </c>
      <c r="AH27" s="22" t="str">
        <f aca="false">IF(P27&lt;&gt;A27,"Faixa cadastrada como "&amp;P27&amp;" na tabela; preço aplicado pela UF do CEP","")</f>
        <v/>
      </c>
      <c r="AI27" s="26" t="n">
        <v>158.16</v>
      </c>
      <c r="AJ27" s="22" t="str">
        <f aca="false">INDEX('Tabela Passaro'!$X$2:$X$1795,$N27)</f>
        <v>CAPITAL</v>
      </c>
    </row>
    <row r="28" customFormat="false" ht="15" hidden="false" customHeight="false" outlineLevel="0" collapsed="false">
      <c r="A28" s="22" t="s">
        <v>15</v>
      </c>
      <c r="B28" s="22" t="n">
        <v>1</v>
      </c>
      <c r="C28" s="22" t="s">
        <v>59</v>
      </c>
      <c r="D28" s="22" t="s">
        <v>30</v>
      </c>
      <c r="E28" s="22" t="s">
        <v>7326</v>
      </c>
      <c r="F28" s="22" t="n">
        <v>524681</v>
      </c>
      <c r="G28" s="30" t="n">
        <v>46247</v>
      </c>
      <c r="H28" s="22" t="n">
        <v>624353</v>
      </c>
      <c r="I28" s="22" t="s">
        <v>7353</v>
      </c>
      <c r="J28" s="31" t="n">
        <v>34.9</v>
      </c>
      <c r="K28" s="26" t="n">
        <v>715.18</v>
      </c>
      <c r="L28" s="26" t="n">
        <v>177.39</v>
      </c>
      <c r="M28" s="22" t="s">
        <v>283</v>
      </c>
      <c r="N28" s="22" t="n">
        <f aca="false">MATCH(M28,'Tabela Passaro'!$A$2:$A$1795,0)</f>
        <v>1</v>
      </c>
      <c r="O28" s="22" t="str">
        <f aca="false">INDEX('Tabela Passaro'!$C$2:$C$1795,$N28)</f>
        <v>MACEIO</v>
      </c>
      <c r="P28" s="22" t="str">
        <f aca="false">INDEX('Tabela Passaro'!$B$2:$B$1795,$N28)</f>
        <v>AL</v>
      </c>
      <c r="Q28" s="22" t="n">
        <f aca="false">INDEX('Tabela Passaro'!$F$2:$F$1795,$N28)</f>
        <v>8</v>
      </c>
      <c r="R28" s="32" t="n">
        <f aca="false">IF(J28&lt;=10,INDEX('Tabela Passaro'!$G$2:$G$1795,$N28),IF(J28&lt;=30,INDEX('Tabela Passaro'!$H$2:$H$1795,$N28),IF(J28&lt;=50,INDEX('Tabela Passaro'!$I$2:$I$1795,$N28),IF(J28&lt;=70,INDEX('Tabela Passaro'!$J$2:$J$1795,$N28),IF(J28&lt;=100,INDEX('Tabela Passaro'!$K$2:$K$1795,$N28),INDEX('Tabela Passaro'!$K$2:$K$1795,$N28)+(J28-100)*INDEX('Tabela Passaro'!$L$2:$L$1795,$N28))))))</f>
        <v>77.96</v>
      </c>
      <c r="S28" s="32" t="n">
        <f aca="false">K28*INDEX('Tabela Passaro'!$M$2:$M$1795,$N28)</f>
        <v>3.5759</v>
      </c>
      <c r="T28" s="32" t="n">
        <f aca="false">K28*INDEX('Tabela Passaro'!$N$2:$N$1795,$N28)</f>
        <v>1.43036</v>
      </c>
      <c r="U28" s="32" t="n">
        <f aca="false">INDEX('Tabela Passaro'!$O$2:$O$1795,$N28)</f>
        <v>5</v>
      </c>
      <c r="V28" s="32" t="n">
        <f aca="false">ROUNDUP(J28/INDEX('Tabela Passaro'!$Q$2:$Q$1795,$N28),0)*INDEX('Tabela Passaro'!$P$2:$P$1795,$N28)</f>
        <v>5</v>
      </c>
      <c r="W28" s="32" t="n">
        <f aca="false">INDEX('Tabela Passaro'!$R$2:$R$1795,$N28)</f>
        <v>30</v>
      </c>
      <c r="X28" s="32" t="n">
        <f aca="false">ROUNDUP(J28/INDEX('Tabela Passaro'!$T$2:$T$1795,$N28),0)*INDEX('Tabela Passaro'!$S$2:$S$1795,$N28)</f>
        <v>0</v>
      </c>
      <c r="Y28" s="32" t="n">
        <f aca="false">INDEX('Tabela Passaro'!$U$2:$U$1795,$N28)</f>
        <v>0</v>
      </c>
      <c r="Z28" s="32" t="n">
        <f aca="false">INDEX('Tabela Passaro'!$V$2:$V$1795,$N28)</f>
        <v>0</v>
      </c>
      <c r="AA28" s="32" t="n">
        <f aca="false">SUM(R28:Z28)</f>
        <v>122.96626</v>
      </c>
      <c r="AB28" s="33" t="n">
        <f aca="false">INDEX(Premissas!$B$5:$B$13,MATCH(A28,Premissas!$A$5:$A$13,0))</f>
        <v>0.07</v>
      </c>
      <c r="AC28" s="32" t="n">
        <f aca="false">AA28/(1-AB28)-AA28</f>
        <v>9.25552494623658</v>
      </c>
      <c r="AD28" s="32" t="n">
        <f aca="false">ROUND(AA28+AC28,2)</f>
        <v>132.22</v>
      </c>
      <c r="AE28" s="32" t="n">
        <f aca="false">AD28-L28</f>
        <v>-45.17</v>
      </c>
      <c r="AF28" s="34" t="n">
        <f aca="false">IF(L28=0,0,AE28/L28)</f>
        <v>-0.25463667625007</v>
      </c>
      <c r="AG28" s="22" t="str">
        <f aca="false">IF(AD28&lt;L28,"PASSARO","ATUAL")</f>
        <v>PASSARO</v>
      </c>
      <c r="AH28" s="22" t="str">
        <f aca="false">IF(P28&lt;&gt;A28,"Faixa cadastrada como "&amp;P28&amp;" na tabela; preço aplicado pela UF do CEP","")</f>
        <v/>
      </c>
      <c r="AI28" s="26" t="n">
        <v>160.86</v>
      </c>
      <c r="AJ28" s="22" t="str">
        <f aca="false">INDEX('Tabela Passaro'!$X$2:$X$1795,$N28)</f>
        <v>CAPITAL</v>
      </c>
    </row>
    <row r="29" customFormat="false" ht="15" hidden="false" customHeight="false" outlineLevel="0" collapsed="false">
      <c r="A29" s="22" t="s">
        <v>15</v>
      </c>
      <c r="B29" s="22" t="n">
        <v>1</v>
      </c>
      <c r="C29" s="22" t="s">
        <v>59</v>
      </c>
      <c r="D29" s="22" t="s">
        <v>30</v>
      </c>
      <c r="E29" s="22" t="s">
        <v>7328</v>
      </c>
      <c r="F29" s="22" t="n">
        <v>2312280</v>
      </c>
      <c r="G29" s="30" t="n">
        <v>46248</v>
      </c>
      <c r="H29" s="22" t="n">
        <v>133193</v>
      </c>
      <c r="I29" s="22" t="s">
        <v>7354</v>
      </c>
      <c r="J29" s="31" t="n">
        <v>51.06</v>
      </c>
      <c r="K29" s="26" t="n">
        <v>905.13</v>
      </c>
      <c r="L29" s="26" t="n">
        <v>185.46</v>
      </c>
      <c r="M29" s="22" t="s">
        <v>283</v>
      </c>
      <c r="N29" s="22" t="n">
        <f aca="false">MATCH(M29,'Tabela Passaro'!$A$2:$A$1795,0)</f>
        <v>1</v>
      </c>
      <c r="O29" s="22" t="str">
        <f aca="false">INDEX('Tabela Passaro'!$C$2:$C$1795,$N29)</f>
        <v>MACEIO</v>
      </c>
      <c r="P29" s="22" t="str">
        <f aca="false">INDEX('Tabela Passaro'!$B$2:$B$1795,$N29)</f>
        <v>AL</v>
      </c>
      <c r="Q29" s="22" t="n">
        <f aca="false">INDEX('Tabela Passaro'!$F$2:$F$1795,$N29)</f>
        <v>8</v>
      </c>
      <c r="R29" s="32" t="n">
        <f aca="false">IF(J29&lt;=10,INDEX('Tabela Passaro'!$G$2:$G$1795,$N29),IF(J29&lt;=30,INDEX('Tabela Passaro'!$H$2:$H$1795,$N29),IF(J29&lt;=50,INDEX('Tabela Passaro'!$I$2:$I$1795,$N29),IF(J29&lt;=70,INDEX('Tabela Passaro'!$J$2:$J$1795,$N29),IF(J29&lt;=100,INDEX('Tabela Passaro'!$K$2:$K$1795,$N29),INDEX('Tabela Passaro'!$K$2:$K$1795,$N29)+(J29-100)*INDEX('Tabela Passaro'!$L$2:$L$1795,$N29))))))</f>
        <v>88.98</v>
      </c>
      <c r="S29" s="32" t="n">
        <f aca="false">K29*INDEX('Tabela Passaro'!$M$2:$M$1795,$N29)</f>
        <v>4.52565</v>
      </c>
      <c r="T29" s="32" t="n">
        <f aca="false">K29*INDEX('Tabela Passaro'!$N$2:$N$1795,$N29)</f>
        <v>1.81026</v>
      </c>
      <c r="U29" s="32" t="n">
        <f aca="false">INDEX('Tabela Passaro'!$O$2:$O$1795,$N29)</f>
        <v>5</v>
      </c>
      <c r="V29" s="32" t="n">
        <f aca="false">ROUNDUP(J29/INDEX('Tabela Passaro'!$Q$2:$Q$1795,$N29),0)*INDEX('Tabela Passaro'!$P$2:$P$1795,$N29)</f>
        <v>5</v>
      </c>
      <c r="W29" s="32" t="n">
        <f aca="false">INDEX('Tabela Passaro'!$R$2:$R$1795,$N29)</f>
        <v>30</v>
      </c>
      <c r="X29" s="32" t="n">
        <f aca="false">ROUNDUP(J29/INDEX('Tabela Passaro'!$T$2:$T$1795,$N29),0)*INDEX('Tabela Passaro'!$S$2:$S$1795,$N29)</f>
        <v>0</v>
      </c>
      <c r="Y29" s="32" t="n">
        <f aca="false">INDEX('Tabela Passaro'!$U$2:$U$1795,$N29)</f>
        <v>0</v>
      </c>
      <c r="Z29" s="32" t="n">
        <f aca="false">INDEX('Tabela Passaro'!$V$2:$V$1795,$N29)</f>
        <v>0</v>
      </c>
      <c r="AA29" s="32" t="n">
        <f aca="false">SUM(R29:Z29)</f>
        <v>135.31591</v>
      </c>
      <c r="AB29" s="33" t="n">
        <f aca="false">INDEX(Premissas!$B$5:$B$13,MATCH(A29,Premissas!$A$5:$A$13,0))</f>
        <v>0.07</v>
      </c>
      <c r="AC29" s="32" t="n">
        <f aca="false">AA29/(1-AB29)-AA29</f>
        <v>10.1850684946237</v>
      </c>
      <c r="AD29" s="32" t="n">
        <f aca="false">ROUND(AA29+AC29,2)</f>
        <v>145.5</v>
      </c>
      <c r="AE29" s="32" t="n">
        <f aca="false">AD29-L29</f>
        <v>-39.96</v>
      </c>
      <c r="AF29" s="34" t="n">
        <f aca="false">IF(L29=0,0,AE29/L29)</f>
        <v>-0.21546425105144</v>
      </c>
      <c r="AG29" s="22" t="str">
        <f aca="false">IF(AD29&lt;L29,"PASSARO","ATUAL")</f>
        <v>PASSARO</v>
      </c>
      <c r="AH29" s="22" t="str">
        <f aca="false">IF(P29&lt;&gt;A29,"Faixa cadastrada como "&amp;P29&amp;" na tabela; preço aplicado pela UF do CEP","")</f>
        <v/>
      </c>
      <c r="AI29" s="26" t="n">
        <v>183.45</v>
      </c>
      <c r="AJ29" s="22" t="str">
        <f aca="false">INDEX('Tabela Passaro'!$X$2:$X$1795,$N29)</f>
        <v>CAPITAL</v>
      </c>
    </row>
    <row r="30" customFormat="false" ht="15" hidden="false" customHeight="false" outlineLevel="0" collapsed="false">
      <c r="A30" s="22" t="s">
        <v>15</v>
      </c>
      <c r="B30" s="22" t="n">
        <v>1</v>
      </c>
      <c r="C30" s="22" t="s">
        <v>59</v>
      </c>
      <c r="D30" s="22" t="s">
        <v>30</v>
      </c>
      <c r="E30" s="22" t="s">
        <v>7328</v>
      </c>
      <c r="F30" s="22" t="n">
        <v>2312345</v>
      </c>
      <c r="G30" s="30" t="n">
        <v>46248</v>
      </c>
      <c r="H30" s="22" t="n">
        <v>133254</v>
      </c>
      <c r="I30" s="22" t="s">
        <v>7355</v>
      </c>
      <c r="J30" s="31" t="n">
        <v>124.2</v>
      </c>
      <c r="K30" s="26" t="n">
        <v>2220.3</v>
      </c>
      <c r="L30" s="26" t="n">
        <v>294.45</v>
      </c>
      <c r="M30" s="22" t="s">
        <v>283</v>
      </c>
      <c r="N30" s="22" t="n">
        <f aca="false">MATCH(M30,'Tabela Passaro'!$A$2:$A$1795,0)</f>
        <v>1</v>
      </c>
      <c r="O30" s="22" t="str">
        <f aca="false">INDEX('Tabela Passaro'!$C$2:$C$1795,$N30)</f>
        <v>MACEIO</v>
      </c>
      <c r="P30" s="22" t="str">
        <f aca="false">INDEX('Tabela Passaro'!$B$2:$B$1795,$N30)</f>
        <v>AL</v>
      </c>
      <c r="Q30" s="22" t="n">
        <f aca="false">INDEX('Tabela Passaro'!$F$2:$F$1795,$N30)</f>
        <v>8</v>
      </c>
      <c r="R30" s="32" t="n">
        <f aca="false">IF(J30&lt;=10,INDEX('Tabela Passaro'!$G$2:$G$1795,$N30),IF(J30&lt;=30,INDEX('Tabela Passaro'!$H$2:$H$1795,$N30),IF(J30&lt;=50,INDEX('Tabela Passaro'!$I$2:$I$1795,$N30),IF(J30&lt;=70,INDEX('Tabela Passaro'!$J$2:$J$1795,$N30),IF(J30&lt;=100,INDEX('Tabela Passaro'!$K$2:$K$1795,$N30),INDEX('Tabela Passaro'!$K$2:$K$1795,$N30)+(J30-100)*INDEX('Tabela Passaro'!$L$2:$L$1795,$N30))))))</f>
        <v>141.81</v>
      </c>
      <c r="S30" s="32" t="n">
        <f aca="false">K30*INDEX('Tabela Passaro'!$M$2:$M$1795,$N30)</f>
        <v>11.1015</v>
      </c>
      <c r="T30" s="32" t="n">
        <f aca="false">K30*INDEX('Tabela Passaro'!$N$2:$N$1795,$N30)</f>
        <v>4.4406</v>
      </c>
      <c r="U30" s="32" t="n">
        <f aca="false">INDEX('Tabela Passaro'!$O$2:$O$1795,$N30)</f>
        <v>5</v>
      </c>
      <c r="V30" s="32" t="n">
        <f aca="false">ROUNDUP(J30/INDEX('Tabela Passaro'!$Q$2:$Q$1795,$N30),0)*INDEX('Tabela Passaro'!$P$2:$P$1795,$N30)</f>
        <v>10</v>
      </c>
      <c r="W30" s="32" t="n">
        <f aca="false">INDEX('Tabela Passaro'!$R$2:$R$1795,$N30)</f>
        <v>30</v>
      </c>
      <c r="X30" s="32" t="n">
        <f aca="false">ROUNDUP(J30/INDEX('Tabela Passaro'!$T$2:$T$1795,$N30),0)*INDEX('Tabela Passaro'!$S$2:$S$1795,$N30)</f>
        <v>0</v>
      </c>
      <c r="Y30" s="32" t="n">
        <f aca="false">INDEX('Tabela Passaro'!$U$2:$U$1795,$N30)</f>
        <v>0</v>
      </c>
      <c r="Z30" s="32" t="n">
        <f aca="false">INDEX('Tabela Passaro'!$V$2:$V$1795,$N30)</f>
        <v>0</v>
      </c>
      <c r="AA30" s="32" t="n">
        <f aca="false">SUM(R30:Z30)</f>
        <v>202.3521</v>
      </c>
      <c r="AB30" s="33" t="n">
        <f aca="false">INDEX(Premissas!$B$5:$B$13,MATCH(A30,Premissas!$A$5:$A$13,0))</f>
        <v>0.07</v>
      </c>
      <c r="AC30" s="32" t="n">
        <f aca="false">AA30/(1-AB30)-AA30</f>
        <v>15.2308032258065</v>
      </c>
      <c r="AD30" s="32" t="n">
        <f aca="false">ROUND(AA30+AC30,2)</f>
        <v>217.58</v>
      </c>
      <c r="AE30" s="32" t="n">
        <f aca="false">AD30-L30</f>
        <v>-76.87</v>
      </c>
      <c r="AF30" s="34" t="n">
        <f aca="false">IF(L30=0,0,AE30/L30)</f>
        <v>-0.261062998811343</v>
      </c>
      <c r="AG30" s="22" t="str">
        <f aca="false">IF(AD30&lt;L30,"PASSARO","ATUAL")</f>
        <v>PASSARO</v>
      </c>
      <c r="AH30" s="22" t="str">
        <f aca="false">IF(P30&lt;&gt;A30,"Faixa cadastrada como "&amp;P30&amp;" na tabela; preço aplicado pela UF do CEP","")</f>
        <v/>
      </c>
      <c r="AI30" s="26" t="n">
        <v>299.64</v>
      </c>
      <c r="AJ30" s="22" t="str">
        <f aca="false">INDEX('Tabela Passaro'!$X$2:$X$1795,$N30)</f>
        <v>CAPITAL</v>
      </c>
    </row>
    <row r="31" customFormat="false" ht="15" hidden="false" customHeight="false" outlineLevel="0" collapsed="false">
      <c r="A31" s="22" t="s">
        <v>15</v>
      </c>
      <c r="B31" s="22" t="n">
        <v>1</v>
      </c>
      <c r="C31" s="22" t="s">
        <v>59</v>
      </c>
      <c r="D31" s="22" t="s">
        <v>30</v>
      </c>
      <c r="E31" s="22" t="s">
        <v>7328</v>
      </c>
      <c r="F31" s="22" t="n">
        <v>2312371</v>
      </c>
      <c r="G31" s="30" t="n">
        <v>46248</v>
      </c>
      <c r="H31" s="22" t="n">
        <v>133275</v>
      </c>
      <c r="I31" s="22" t="s">
        <v>7356</v>
      </c>
      <c r="J31" s="31" t="n">
        <v>67.8</v>
      </c>
      <c r="K31" s="26" t="n">
        <v>1143.07</v>
      </c>
      <c r="L31" s="26" t="n">
        <v>187.35</v>
      </c>
      <c r="M31" s="22" t="s">
        <v>283</v>
      </c>
      <c r="N31" s="22" t="n">
        <f aca="false">MATCH(M31,'Tabela Passaro'!$A$2:$A$1795,0)</f>
        <v>1</v>
      </c>
      <c r="O31" s="22" t="str">
        <f aca="false">INDEX('Tabela Passaro'!$C$2:$C$1795,$N31)</f>
        <v>MACEIO</v>
      </c>
      <c r="P31" s="22" t="str">
        <f aca="false">INDEX('Tabela Passaro'!$B$2:$B$1795,$N31)</f>
        <v>AL</v>
      </c>
      <c r="Q31" s="22" t="n">
        <f aca="false">INDEX('Tabela Passaro'!$F$2:$F$1795,$N31)</f>
        <v>8</v>
      </c>
      <c r="R31" s="32" t="n">
        <f aca="false">IF(J31&lt;=10,INDEX('Tabela Passaro'!$G$2:$G$1795,$N31),IF(J31&lt;=30,INDEX('Tabela Passaro'!$H$2:$H$1795,$N31),IF(J31&lt;=50,INDEX('Tabela Passaro'!$I$2:$I$1795,$N31),IF(J31&lt;=70,INDEX('Tabela Passaro'!$J$2:$J$1795,$N31),IF(J31&lt;=100,INDEX('Tabela Passaro'!$K$2:$K$1795,$N31),INDEX('Tabela Passaro'!$K$2:$K$1795,$N31)+(J31-100)*INDEX('Tabela Passaro'!$L$2:$L$1795,$N31))))))</f>
        <v>88.98</v>
      </c>
      <c r="S31" s="32" t="n">
        <f aca="false">K31*INDEX('Tabela Passaro'!$M$2:$M$1795,$N31)</f>
        <v>5.71535</v>
      </c>
      <c r="T31" s="32" t="n">
        <f aca="false">K31*INDEX('Tabela Passaro'!$N$2:$N$1795,$N31)</f>
        <v>2.28614</v>
      </c>
      <c r="U31" s="32" t="n">
        <f aca="false">INDEX('Tabela Passaro'!$O$2:$O$1795,$N31)</f>
        <v>5</v>
      </c>
      <c r="V31" s="32" t="n">
        <f aca="false">ROUNDUP(J31/INDEX('Tabela Passaro'!$Q$2:$Q$1795,$N31),0)*INDEX('Tabela Passaro'!$P$2:$P$1795,$N31)</f>
        <v>5</v>
      </c>
      <c r="W31" s="32" t="n">
        <f aca="false">INDEX('Tabela Passaro'!$R$2:$R$1795,$N31)</f>
        <v>30</v>
      </c>
      <c r="X31" s="32" t="n">
        <f aca="false">ROUNDUP(J31/INDEX('Tabela Passaro'!$T$2:$T$1795,$N31),0)*INDEX('Tabela Passaro'!$S$2:$S$1795,$N31)</f>
        <v>0</v>
      </c>
      <c r="Y31" s="32" t="n">
        <f aca="false">INDEX('Tabela Passaro'!$U$2:$U$1795,$N31)</f>
        <v>0</v>
      </c>
      <c r="Z31" s="32" t="n">
        <f aca="false">INDEX('Tabela Passaro'!$V$2:$V$1795,$N31)</f>
        <v>0</v>
      </c>
      <c r="AA31" s="32" t="n">
        <f aca="false">SUM(R31:Z31)</f>
        <v>136.98149</v>
      </c>
      <c r="AB31" s="33" t="n">
        <f aca="false">INDEX(Premissas!$B$5:$B$13,MATCH(A31,Premissas!$A$5:$A$13,0))</f>
        <v>0.07</v>
      </c>
      <c r="AC31" s="32" t="n">
        <f aca="false">AA31/(1-AB31)-AA31</f>
        <v>10.3104347311828</v>
      </c>
      <c r="AD31" s="32" t="n">
        <f aca="false">ROUND(AA31+AC31,2)</f>
        <v>147.29</v>
      </c>
      <c r="AE31" s="32" t="n">
        <f aca="false">AD31-L31</f>
        <v>-40.06</v>
      </c>
      <c r="AF31" s="34" t="n">
        <f aca="false">IF(L31=0,0,AE31/L31)</f>
        <v>-0.213824392847611</v>
      </c>
      <c r="AG31" s="22" t="str">
        <f aca="false">IF(AD31&lt;L31,"PASSARO","ATUAL")</f>
        <v>PASSARO</v>
      </c>
      <c r="AH31" s="22" t="str">
        <f aca="false">IF(P31&lt;&gt;A31,"Faixa cadastrada como "&amp;P31&amp;" na tabela; preço aplicado pela UF do CEP","")</f>
        <v/>
      </c>
      <c r="AI31" s="26" t="n">
        <v>193.49</v>
      </c>
      <c r="AJ31" s="22" t="str">
        <f aca="false">INDEX('Tabela Passaro'!$X$2:$X$1795,$N31)</f>
        <v>CAPITAL</v>
      </c>
    </row>
    <row r="32" customFormat="false" ht="15" hidden="false" customHeight="false" outlineLevel="0" collapsed="false">
      <c r="A32" s="22" t="s">
        <v>15</v>
      </c>
      <c r="B32" s="22" t="n">
        <v>1</v>
      </c>
      <c r="C32" s="22" t="s">
        <v>59</v>
      </c>
      <c r="D32" s="22" t="s">
        <v>30</v>
      </c>
      <c r="E32" s="22" t="s">
        <v>7328</v>
      </c>
      <c r="F32" s="22" t="n">
        <v>2312392</v>
      </c>
      <c r="G32" s="30" t="n">
        <v>46248</v>
      </c>
      <c r="H32" s="22" t="n">
        <v>133284</v>
      </c>
      <c r="I32" s="22" t="s">
        <v>7357</v>
      </c>
      <c r="J32" s="31" t="n">
        <v>106.5</v>
      </c>
      <c r="K32" s="26" t="n">
        <v>1436.31</v>
      </c>
      <c r="L32" s="26" t="n">
        <v>266.96</v>
      </c>
      <c r="M32" s="22" t="s">
        <v>283</v>
      </c>
      <c r="N32" s="22" t="n">
        <f aca="false">MATCH(M32,'Tabela Passaro'!$A$2:$A$1795,0)</f>
        <v>1</v>
      </c>
      <c r="O32" s="22" t="str">
        <f aca="false">INDEX('Tabela Passaro'!$C$2:$C$1795,$N32)</f>
        <v>MACEIO</v>
      </c>
      <c r="P32" s="22" t="str">
        <f aca="false">INDEX('Tabela Passaro'!$B$2:$B$1795,$N32)</f>
        <v>AL</v>
      </c>
      <c r="Q32" s="22" t="n">
        <f aca="false">INDEX('Tabela Passaro'!$F$2:$F$1795,$N32)</f>
        <v>8</v>
      </c>
      <c r="R32" s="32" t="n">
        <f aca="false">IF(J32&lt;=10,INDEX('Tabela Passaro'!$G$2:$G$1795,$N32),IF(J32&lt;=30,INDEX('Tabela Passaro'!$H$2:$H$1795,$N32),IF(J32&lt;=50,INDEX('Tabela Passaro'!$I$2:$I$1795,$N32),IF(J32&lt;=70,INDEX('Tabela Passaro'!$J$2:$J$1795,$N32),IF(J32&lt;=100,INDEX('Tabela Passaro'!$K$2:$K$1795,$N32),INDEX('Tabela Passaro'!$K$2:$K$1795,$N32)+(J32-100)*INDEX('Tabela Passaro'!$L$2:$L$1795,$N32))))))</f>
        <v>115.26</v>
      </c>
      <c r="S32" s="32" t="n">
        <f aca="false">K32*INDEX('Tabela Passaro'!$M$2:$M$1795,$N32)</f>
        <v>7.18155</v>
      </c>
      <c r="T32" s="32" t="n">
        <f aca="false">K32*INDEX('Tabela Passaro'!$N$2:$N$1795,$N32)</f>
        <v>2.87262</v>
      </c>
      <c r="U32" s="32" t="n">
        <f aca="false">INDEX('Tabela Passaro'!$O$2:$O$1795,$N32)</f>
        <v>5</v>
      </c>
      <c r="V32" s="32" t="n">
        <f aca="false">ROUNDUP(J32/INDEX('Tabela Passaro'!$Q$2:$Q$1795,$N32),0)*INDEX('Tabela Passaro'!$P$2:$P$1795,$N32)</f>
        <v>10</v>
      </c>
      <c r="W32" s="32" t="n">
        <f aca="false">INDEX('Tabela Passaro'!$R$2:$R$1795,$N32)</f>
        <v>30</v>
      </c>
      <c r="X32" s="32" t="n">
        <f aca="false">ROUNDUP(J32/INDEX('Tabela Passaro'!$T$2:$T$1795,$N32),0)*INDEX('Tabela Passaro'!$S$2:$S$1795,$N32)</f>
        <v>0</v>
      </c>
      <c r="Y32" s="32" t="n">
        <f aca="false">INDEX('Tabela Passaro'!$U$2:$U$1795,$N32)</f>
        <v>0</v>
      </c>
      <c r="Z32" s="32" t="n">
        <f aca="false">INDEX('Tabela Passaro'!$V$2:$V$1795,$N32)</f>
        <v>0</v>
      </c>
      <c r="AA32" s="32" t="n">
        <f aca="false">SUM(R32:Z32)</f>
        <v>170.31417</v>
      </c>
      <c r="AB32" s="33" t="n">
        <f aca="false">INDEX(Premissas!$B$5:$B$13,MATCH(A32,Premissas!$A$5:$A$13,0))</f>
        <v>0.07</v>
      </c>
      <c r="AC32" s="32" t="n">
        <f aca="false">AA32/(1-AB32)-AA32</f>
        <v>12.8193461290323</v>
      </c>
      <c r="AD32" s="32" t="n">
        <f aca="false">ROUND(AA32+AC32,2)</f>
        <v>183.13</v>
      </c>
      <c r="AE32" s="32" t="n">
        <f aca="false">AD32-L32</f>
        <v>-83.83</v>
      </c>
      <c r="AF32" s="34" t="n">
        <f aca="false">IF(L32=0,0,AE32/L32)</f>
        <v>-0.314017081210668</v>
      </c>
      <c r="AG32" s="22" t="str">
        <f aca="false">IF(AD32&lt;L32,"PASSARO","ATUAL")</f>
        <v>PASSARO</v>
      </c>
      <c r="AH32" s="22" t="str">
        <f aca="false">IF(P32&lt;&gt;A32,"Faixa cadastrada como "&amp;P32&amp;" na tabela; preço aplicado pela UF do CEP","")</f>
        <v/>
      </c>
      <c r="AI32" s="26" t="n">
        <v>251.17</v>
      </c>
      <c r="AJ32" s="22" t="str">
        <f aca="false">INDEX('Tabela Passaro'!$X$2:$X$1795,$N32)</f>
        <v>CAPITAL</v>
      </c>
    </row>
    <row r="33" customFormat="false" ht="15" hidden="false" customHeight="false" outlineLevel="0" collapsed="false">
      <c r="A33" s="22" t="s">
        <v>15</v>
      </c>
      <c r="B33" s="22" t="n">
        <v>1</v>
      </c>
      <c r="C33" s="22" t="s">
        <v>59</v>
      </c>
      <c r="D33" s="22" t="s">
        <v>30</v>
      </c>
      <c r="E33" s="22" t="s">
        <v>7328</v>
      </c>
      <c r="F33" s="22" t="n">
        <v>2312418</v>
      </c>
      <c r="G33" s="30" t="n">
        <v>46248</v>
      </c>
      <c r="H33" s="22" t="n">
        <v>133331</v>
      </c>
      <c r="I33" s="22" t="s">
        <v>7358</v>
      </c>
      <c r="J33" s="31" t="n">
        <v>38.6</v>
      </c>
      <c r="K33" s="26" t="n">
        <v>645.78</v>
      </c>
      <c r="L33" s="26" t="n">
        <v>155.97</v>
      </c>
      <c r="M33" s="22" t="s">
        <v>283</v>
      </c>
      <c r="N33" s="22" t="n">
        <f aca="false">MATCH(M33,'Tabela Passaro'!$A$2:$A$1795,0)</f>
        <v>1</v>
      </c>
      <c r="O33" s="22" t="str">
        <f aca="false">INDEX('Tabela Passaro'!$C$2:$C$1795,$N33)</f>
        <v>MACEIO</v>
      </c>
      <c r="P33" s="22" t="str">
        <f aca="false">INDEX('Tabela Passaro'!$B$2:$B$1795,$N33)</f>
        <v>AL</v>
      </c>
      <c r="Q33" s="22" t="n">
        <f aca="false">INDEX('Tabela Passaro'!$F$2:$F$1795,$N33)</f>
        <v>8</v>
      </c>
      <c r="R33" s="32" t="n">
        <f aca="false">IF(J33&lt;=10,INDEX('Tabela Passaro'!$G$2:$G$1795,$N33),IF(J33&lt;=30,INDEX('Tabela Passaro'!$H$2:$H$1795,$N33),IF(J33&lt;=50,INDEX('Tabela Passaro'!$I$2:$I$1795,$N33),IF(J33&lt;=70,INDEX('Tabela Passaro'!$J$2:$J$1795,$N33),IF(J33&lt;=100,INDEX('Tabela Passaro'!$K$2:$K$1795,$N33),INDEX('Tabela Passaro'!$K$2:$K$1795,$N33)+(J33-100)*INDEX('Tabela Passaro'!$L$2:$L$1795,$N33))))))</f>
        <v>77.96</v>
      </c>
      <c r="S33" s="32" t="n">
        <f aca="false">K33*INDEX('Tabela Passaro'!$M$2:$M$1795,$N33)</f>
        <v>3.2289</v>
      </c>
      <c r="T33" s="32" t="n">
        <f aca="false">K33*INDEX('Tabela Passaro'!$N$2:$N$1795,$N33)</f>
        <v>1.29156</v>
      </c>
      <c r="U33" s="32" t="n">
        <f aca="false">INDEX('Tabela Passaro'!$O$2:$O$1795,$N33)</f>
        <v>5</v>
      </c>
      <c r="V33" s="32" t="n">
        <f aca="false">ROUNDUP(J33/INDEX('Tabela Passaro'!$Q$2:$Q$1795,$N33),0)*INDEX('Tabela Passaro'!$P$2:$P$1795,$N33)</f>
        <v>5</v>
      </c>
      <c r="W33" s="32" t="n">
        <f aca="false">INDEX('Tabela Passaro'!$R$2:$R$1795,$N33)</f>
        <v>30</v>
      </c>
      <c r="X33" s="32" t="n">
        <f aca="false">ROUNDUP(J33/INDEX('Tabela Passaro'!$T$2:$T$1795,$N33),0)*INDEX('Tabela Passaro'!$S$2:$S$1795,$N33)</f>
        <v>0</v>
      </c>
      <c r="Y33" s="32" t="n">
        <f aca="false">INDEX('Tabela Passaro'!$U$2:$U$1795,$N33)</f>
        <v>0</v>
      </c>
      <c r="Z33" s="32" t="n">
        <f aca="false">INDEX('Tabela Passaro'!$V$2:$V$1795,$N33)</f>
        <v>0</v>
      </c>
      <c r="AA33" s="32" t="n">
        <f aca="false">SUM(R33:Z33)</f>
        <v>122.48046</v>
      </c>
      <c r="AB33" s="33" t="n">
        <f aca="false">INDEX(Premissas!$B$5:$B$13,MATCH(A33,Premissas!$A$5:$A$13,0))</f>
        <v>0.07</v>
      </c>
      <c r="AC33" s="32" t="n">
        <f aca="false">AA33/(1-AB33)-AA33</f>
        <v>9.21895935483872</v>
      </c>
      <c r="AD33" s="32" t="n">
        <f aca="false">ROUND(AA33+AC33,2)</f>
        <v>131.7</v>
      </c>
      <c r="AE33" s="32" t="n">
        <f aca="false">AD33-L33</f>
        <v>-24.27</v>
      </c>
      <c r="AF33" s="34" t="n">
        <f aca="false">IF(L33=0,0,AE33/L33)</f>
        <v>-0.155606847470668</v>
      </c>
      <c r="AG33" s="22" t="str">
        <f aca="false">IF(AD33&lt;L33,"PASSARO","ATUAL")</f>
        <v>PASSARO</v>
      </c>
      <c r="AH33" s="22" t="str">
        <f aca="false">IF(P33&lt;&gt;A33,"Faixa cadastrada como "&amp;P33&amp;" na tabela; preço aplicado pela UF do CEP","")</f>
        <v/>
      </c>
      <c r="AI33" s="26" t="n">
        <v>162.12</v>
      </c>
      <c r="AJ33" s="22" t="str">
        <f aca="false">INDEX('Tabela Passaro'!$X$2:$X$1795,$N33)</f>
        <v>CAPITAL</v>
      </c>
    </row>
    <row r="34" customFormat="false" ht="15" hidden="false" customHeight="false" outlineLevel="0" collapsed="false">
      <c r="A34" s="22" t="s">
        <v>15</v>
      </c>
      <c r="B34" s="22" t="n">
        <v>1</v>
      </c>
      <c r="C34" s="22" t="s">
        <v>59</v>
      </c>
      <c r="D34" s="22" t="s">
        <v>30</v>
      </c>
      <c r="E34" s="22" t="s">
        <v>7326</v>
      </c>
      <c r="F34" s="22" t="n">
        <v>525020</v>
      </c>
      <c r="G34" s="30" t="n">
        <v>46248</v>
      </c>
      <c r="H34" s="22" t="n">
        <v>624791</v>
      </c>
      <c r="I34" s="22" t="s">
        <v>7359</v>
      </c>
      <c r="J34" s="31" t="n">
        <v>67.8</v>
      </c>
      <c r="K34" s="26" t="n">
        <v>1240.92</v>
      </c>
      <c r="L34" s="26" t="n">
        <v>220.42</v>
      </c>
      <c r="M34" s="22" t="s">
        <v>283</v>
      </c>
      <c r="N34" s="22" t="n">
        <f aca="false">MATCH(M34,'Tabela Passaro'!$A$2:$A$1795,0)</f>
        <v>1</v>
      </c>
      <c r="O34" s="22" t="str">
        <f aca="false">INDEX('Tabela Passaro'!$C$2:$C$1795,$N34)</f>
        <v>MACEIO</v>
      </c>
      <c r="P34" s="22" t="str">
        <f aca="false">INDEX('Tabela Passaro'!$B$2:$B$1795,$N34)</f>
        <v>AL</v>
      </c>
      <c r="Q34" s="22" t="n">
        <f aca="false">INDEX('Tabela Passaro'!$F$2:$F$1795,$N34)</f>
        <v>8</v>
      </c>
      <c r="R34" s="32" t="n">
        <f aca="false">IF(J34&lt;=10,INDEX('Tabela Passaro'!$G$2:$G$1795,$N34),IF(J34&lt;=30,INDEX('Tabela Passaro'!$H$2:$H$1795,$N34),IF(J34&lt;=50,INDEX('Tabela Passaro'!$I$2:$I$1795,$N34),IF(J34&lt;=70,INDEX('Tabela Passaro'!$J$2:$J$1795,$N34),IF(J34&lt;=100,INDEX('Tabela Passaro'!$K$2:$K$1795,$N34),INDEX('Tabela Passaro'!$K$2:$K$1795,$N34)+(J34-100)*INDEX('Tabela Passaro'!$L$2:$L$1795,$N34))))))</f>
        <v>88.98</v>
      </c>
      <c r="S34" s="32" t="n">
        <f aca="false">K34*INDEX('Tabela Passaro'!$M$2:$M$1795,$N34)</f>
        <v>6.2046</v>
      </c>
      <c r="T34" s="32" t="n">
        <f aca="false">K34*INDEX('Tabela Passaro'!$N$2:$N$1795,$N34)</f>
        <v>2.48184</v>
      </c>
      <c r="U34" s="32" t="n">
        <f aca="false">INDEX('Tabela Passaro'!$O$2:$O$1795,$N34)</f>
        <v>5</v>
      </c>
      <c r="V34" s="32" t="n">
        <f aca="false">ROUNDUP(J34/INDEX('Tabela Passaro'!$Q$2:$Q$1795,$N34),0)*INDEX('Tabela Passaro'!$P$2:$P$1795,$N34)</f>
        <v>5</v>
      </c>
      <c r="W34" s="32" t="n">
        <f aca="false">INDEX('Tabela Passaro'!$R$2:$R$1795,$N34)</f>
        <v>30</v>
      </c>
      <c r="X34" s="32" t="n">
        <f aca="false">ROUNDUP(J34/INDEX('Tabela Passaro'!$T$2:$T$1795,$N34),0)*INDEX('Tabela Passaro'!$S$2:$S$1795,$N34)</f>
        <v>0</v>
      </c>
      <c r="Y34" s="32" t="n">
        <f aca="false">INDEX('Tabela Passaro'!$U$2:$U$1795,$N34)</f>
        <v>0</v>
      </c>
      <c r="Z34" s="32" t="n">
        <f aca="false">INDEX('Tabela Passaro'!$V$2:$V$1795,$N34)</f>
        <v>0</v>
      </c>
      <c r="AA34" s="32" t="n">
        <f aca="false">SUM(R34:Z34)</f>
        <v>137.66644</v>
      </c>
      <c r="AB34" s="33" t="n">
        <f aca="false">INDEX(Premissas!$B$5:$B$13,MATCH(A34,Premissas!$A$5:$A$13,0))</f>
        <v>0.07</v>
      </c>
      <c r="AC34" s="32" t="n">
        <f aca="false">AA34/(1-AB34)-AA34</f>
        <v>10.3619901075269</v>
      </c>
      <c r="AD34" s="32" t="n">
        <f aca="false">ROUND(AA34+AC34,2)</f>
        <v>148.03</v>
      </c>
      <c r="AE34" s="32" t="n">
        <f aca="false">AD34-L34</f>
        <v>-72.39</v>
      </c>
      <c r="AF34" s="34" t="n">
        <f aca="false">IF(L34=0,0,AE34/L34)</f>
        <v>-0.328418473822702</v>
      </c>
      <c r="AG34" s="22" t="str">
        <f aca="false">IF(AD34&lt;L34,"PASSARO","ATUAL")</f>
        <v>PASSARO</v>
      </c>
      <c r="AH34" s="22" t="str">
        <f aca="false">IF(P34&lt;&gt;A34,"Faixa cadastrada como "&amp;P34&amp;" na tabela; preço aplicado pela UF do CEP","")</f>
        <v/>
      </c>
      <c r="AI34" s="26" t="n">
        <v>194.44</v>
      </c>
      <c r="AJ34" s="22" t="str">
        <f aca="false">INDEX('Tabela Passaro'!$X$2:$X$1795,$N34)</f>
        <v>CAPITAL</v>
      </c>
    </row>
    <row r="35" customFormat="false" ht="15" hidden="false" customHeight="false" outlineLevel="0" collapsed="false">
      <c r="A35" s="22" t="s">
        <v>15</v>
      </c>
      <c r="B35" s="22" t="n">
        <v>1</v>
      </c>
      <c r="C35" s="22" t="s">
        <v>59</v>
      </c>
      <c r="D35" s="22" t="s">
        <v>30</v>
      </c>
      <c r="E35" s="22" t="s">
        <v>20</v>
      </c>
      <c r="F35" s="22" t="n">
        <v>839329</v>
      </c>
      <c r="G35" s="30" t="n">
        <v>46251</v>
      </c>
      <c r="H35" s="22" t="n">
        <v>32518</v>
      </c>
      <c r="I35" s="22" t="s">
        <v>7360</v>
      </c>
      <c r="J35" s="31" t="n">
        <v>31.3</v>
      </c>
      <c r="K35" s="26" t="n">
        <v>534.51</v>
      </c>
      <c r="L35" s="26" t="n">
        <v>140.28</v>
      </c>
      <c r="M35" s="22" t="s">
        <v>283</v>
      </c>
      <c r="N35" s="22" t="n">
        <f aca="false">MATCH(M35,'Tabela Passaro'!$A$2:$A$1795,0)</f>
        <v>1</v>
      </c>
      <c r="O35" s="22" t="str">
        <f aca="false">INDEX('Tabela Passaro'!$C$2:$C$1795,$N35)</f>
        <v>MACEIO</v>
      </c>
      <c r="P35" s="22" t="str">
        <f aca="false">INDEX('Tabela Passaro'!$B$2:$B$1795,$N35)</f>
        <v>AL</v>
      </c>
      <c r="Q35" s="22" t="n">
        <f aca="false">INDEX('Tabela Passaro'!$F$2:$F$1795,$N35)</f>
        <v>8</v>
      </c>
      <c r="R35" s="32" t="n">
        <f aca="false">IF(J35&lt;=10,INDEX('Tabela Passaro'!$G$2:$G$1795,$N35),IF(J35&lt;=30,INDEX('Tabela Passaro'!$H$2:$H$1795,$N35),IF(J35&lt;=50,INDEX('Tabela Passaro'!$I$2:$I$1795,$N35),IF(J35&lt;=70,INDEX('Tabela Passaro'!$J$2:$J$1795,$N35),IF(J35&lt;=100,INDEX('Tabela Passaro'!$K$2:$K$1795,$N35),INDEX('Tabela Passaro'!$K$2:$K$1795,$N35)+(J35-100)*INDEX('Tabela Passaro'!$L$2:$L$1795,$N35))))))</f>
        <v>77.96</v>
      </c>
      <c r="S35" s="32" t="n">
        <f aca="false">K35*INDEX('Tabela Passaro'!$M$2:$M$1795,$N35)</f>
        <v>2.67255</v>
      </c>
      <c r="T35" s="32" t="n">
        <f aca="false">K35*INDEX('Tabela Passaro'!$N$2:$N$1795,$N35)</f>
        <v>1.06902</v>
      </c>
      <c r="U35" s="32" t="n">
        <f aca="false">INDEX('Tabela Passaro'!$O$2:$O$1795,$N35)</f>
        <v>5</v>
      </c>
      <c r="V35" s="32" t="n">
        <f aca="false">ROUNDUP(J35/INDEX('Tabela Passaro'!$Q$2:$Q$1795,$N35),0)*INDEX('Tabela Passaro'!$P$2:$P$1795,$N35)</f>
        <v>5</v>
      </c>
      <c r="W35" s="32" t="n">
        <f aca="false">INDEX('Tabela Passaro'!$R$2:$R$1795,$N35)</f>
        <v>30</v>
      </c>
      <c r="X35" s="32" t="n">
        <f aca="false">ROUNDUP(J35/INDEX('Tabela Passaro'!$T$2:$T$1795,$N35),0)*INDEX('Tabela Passaro'!$S$2:$S$1795,$N35)</f>
        <v>0</v>
      </c>
      <c r="Y35" s="32" t="n">
        <f aca="false">INDEX('Tabela Passaro'!$U$2:$U$1795,$N35)</f>
        <v>0</v>
      </c>
      <c r="Z35" s="32" t="n">
        <f aca="false">INDEX('Tabela Passaro'!$V$2:$V$1795,$N35)</f>
        <v>0</v>
      </c>
      <c r="AA35" s="32" t="n">
        <f aca="false">SUM(R35:Z35)</f>
        <v>121.70157</v>
      </c>
      <c r="AB35" s="33" t="n">
        <f aca="false">INDEX(Premissas!$B$5:$B$13,MATCH(A35,Premissas!$A$5:$A$13,0))</f>
        <v>0.07</v>
      </c>
      <c r="AC35" s="32" t="n">
        <f aca="false">AA35/(1-AB35)-AA35</f>
        <v>9.16033322580647</v>
      </c>
      <c r="AD35" s="32" t="n">
        <f aca="false">ROUND(AA35+AC35,2)</f>
        <v>130.86</v>
      </c>
      <c r="AE35" s="32" t="n">
        <f aca="false">AD35-L35</f>
        <v>-9.41999999999999</v>
      </c>
      <c r="AF35" s="34" t="n">
        <f aca="false">IF(L35=0,0,AE35/L35)</f>
        <v>-0.0671514114627886</v>
      </c>
      <c r="AG35" s="22" t="str">
        <f aca="false">IF(AD35&lt;L35,"PASSARO","ATUAL")</f>
        <v>PASSARO</v>
      </c>
      <c r="AH35" s="22" t="str">
        <f aca="false">IF(P35&lt;&gt;A35,"Faixa cadastrada como "&amp;P35&amp;" na tabela; preço aplicado pela UF do CEP","")</f>
        <v/>
      </c>
      <c r="AI35" s="26" t="n">
        <v>157.66</v>
      </c>
      <c r="AJ35" s="22" t="str">
        <f aca="false">INDEX('Tabela Passaro'!$X$2:$X$1795,$N35)</f>
        <v>CAPITAL</v>
      </c>
    </row>
    <row r="36" customFormat="false" ht="15" hidden="false" customHeight="false" outlineLevel="0" collapsed="false">
      <c r="A36" s="22" t="s">
        <v>15</v>
      </c>
      <c r="B36" s="22" t="n">
        <v>1</v>
      </c>
      <c r="C36" s="22" t="s">
        <v>59</v>
      </c>
      <c r="D36" s="22" t="s">
        <v>30</v>
      </c>
      <c r="E36" s="22" t="s">
        <v>20</v>
      </c>
      <c r="F36" s="22" t="n">
        <v>839345</v>
      </c>
      <c r="G36" s="30" t="n">
        <v>46251</v>
      </c>
      <c r="H36" s="22" t="n">
        <v>32533</v>
      </c>
      <c r="I36" s="22" t="s">
        <v>7361</v>
      </c>
      <c r="J36" s="31" t="n">
        <v>34.1</v>
      </c>
      <c r="K36" s="26" t="n">
        <v>607.39</v>
      </c>
      <c r="L36" s="26" t="n">
        <v>140.94</v>
      </c>
      <c r="M36" s="22" t="s">
        <v>283</v>
      </c>
      <c r="N36" s="22" t="n">
        <f aca="false">MATCH(M36,'Tabela Passaro'!$A$2:$A$1795,0)</f>
        <v>1</v>
      </c>
      <c r="O36" s="22" t="str">
        <f aca="false">INDEX('Tabela Passaro'!$C$2:$C$1795,$N36)</f>
        <v>MACEIO</v>
      </c>
      <c r="P36" s="22" t="str">
        <f aca="false">INDEX('Tabela Passaro'!$B$2:$B$1795,$N36)</f>
        <v>AL</v>
      </c>
      <c r="Q36" s="22" t="n">
        <f aca="false">INDEX('Tabela Passaro'!$F$2:$F$1795,$N36)</f>
        <v>8</v>
      </c>
      <c r="R36" s="32" t="n">
        <f aca="false">IF(J36&lt;=10,INDEX('Tabela Passaro'!$G$2:$G$1795,$N36),IF(J36&lt;=30,INDEX('Tabela Passaro'!$H$2:$H$1795,$N36),IF(J36&lt;=50,INDEX('Tabela Passaro'!$I$2:$I$1795,$N36),IF(J36&lt;=70,INDEX('Tabela Passaro'!$J$2:$J$1795,$N36),IF(J36&lt;=100,INDEX('Tabela Passaro'!$K$2:$K$1795,$N36),INDEX('Tabela Passaro'!$K$2:$K$1795,$N36)+(J36-100)*INDEX('Tabela Passaro'!$L$2:$L$1795,$N36))))))</f>
        <v>77.96</v>
      </c>
      <c r="S36" s="32" t="n">
        <f aca="false">K36*INDEX('Tabela Passaro'!$M$2:$M$1795,$N36)</f>
        <v>3.03695</v>
      </c>
      <c r="T36" s="32" t="n">
        <f aca="false">K36*INDEX('Tabela Passaro'!$N$2:$N$1795,$N36)</f>
        <v>1.21478</v>
      </c>
      <c r="U36" s="32" t="n">
        <f aca="false">INDEX('Tabela Passaro'!$O$2:$O$1795,$N36)</f>
        <v>5</v>
      </c>
      <c r="V36" s="32" t="n">
        <f aca="false">ROUNDUP(J36/INDEX('Tabela Passaro'!$Q$2:$Q$1795,$N36),0)*INDEX('Tabela Passaro'!$P$2:$P$1795,$N36)</f>
        <v>5</v>
      </c>
      <c r="W36" s="32" t="n">
        <f aca="false">INDEX('Tabela Passaro'!$R$2:$R$1795,$N36)</f>
        <v>30</v>
      </c>
      <c r="X36" s="32" t="n">
        <f aca="false">ROUNDUP(J36/INDEX('Tabela Passaro'!$T$2:$T$1795,$N36),0)*INDEX('Tabela Passaro'!$S$2:$S$1795,$N36)</f>
        <v>0</v>
      </c>
      <c r="Y36" s="32" t="n">
        <f aca="false">INDEX('Tabela Passaro'!$U$2:$U$1795,$N36)</f>
        <v>0</v>
      </c>
      <c r="Z36" s="32" t="n">
        <f aca="false">INDEX('Tabela Passaro'!$V$2:$V$1795,$N36)</f>
        <v>0</v>
      </c>
      <c r="AA36" s="32" t="n">
        <f aca="false">SUM(R36:Z36)</f>
        <v>122.21173</v>
      </c>
      <c r="AB36" s="33" t="n">
        <f aca="false">INDEX(Premissas!$B$5:$B$13,MATCH(A36,Premissas!$A$5:$A$13,0))</f>
        <v>0.07</v>
      </c>
      <c r="AC36" s="32" t="n">
        <f aca="false">AA36/(1-AB36)-AA36</f>
        <v>9.19873236559141</v>
      </c>
      <c r="AD36" s="32" t="n">
        <f aca="false">ROUND(AA36+AC36,2)</f>
        <v>131.41</v>
      </c>
      <c r="AE36" s="32" t="n">
        <f aca="false">AD36-L36</f>
        <v>-9.53</v>
      </c>
      <c r="AF36" s="34" t="n">
        <f aca="false">IF(L36=0,0,AE36/L36)</f>
        <v>-0.0676174258549738</v>
      </c>
      <c r="AG36" s="22" t="str">
        <f aca="false">IF(AD36&lt;L36,"PASSARO","ATUAL")</f>
        <v>PASSARO</v>
      </c>
      <c r="AH36" s="22" t="str">
        <f aca="false">IF(P36&lt;&gt;A36,"Faixa cadastrada como "&amp;P36&amp;" na tabela; preço aplicado pela UF do CEP","")</f>
        <v/>
      </c>
      <c r="AI36" s="26" t="n">
        <v>159.81</v>
      </c>
      <c r="AJ36" s="22" t="str">
        <f aca="false">INDEX('Tabela Passaro'!$X$2:$X$1795,$N36)</f>
        <v>CAPITAL</v>
      </c>
    </row>
    <row r="37" customFormat="false" ht="15" hidden="false" customHeight="false" outlineLevel="0" collapsed="false">
      <c r="A37" s="22" t="s">
        <v>15</v>
      </c>
      <c r="B37" s="22" t="n">
        <v>1</v>
      </c>
      <c r="C37" s="22" t="s">
        <v>59</v>
      </c>
      <c r="D37" s="22" t="s">
        <v>30</v>
      </c>
      <c r="E37" s="22" t="s">
        <v>7328</v>
      </c>
      <c r="F37" s="22" t="n">
        <v>2313193</v>
      </c>
      <c r="G37" s="30" t="n">
        <v>46251</v>
      </c>
      <c r="H37" s="22" t="n">
        <v>133612</v>
      </c>
      <c r="I37" s="22" t="s">
        <v>7362</v>
      </c>
      <c r="J37" s="31" t="n">
        <v>29.2</v>
      </c>
      <c r="K37" s="26" t="n">
        <v>480.51</v>
      </c>
      <c r="L37" s="26" t="n">
        <v>118.79</v>
      </c>
      <c r="M37" s="22" t="s">
        <v>283</v>
      </c>
      <c r="N37" s="22" t="n">
        <f aca="false">MATCH(M37,'Tabela Passaro'!$A$2:$A$1795,0)</f>
        <v>1</v>
      </c>
      <c r="O37" s="22" t="str">
        <f aca="false">INDEX('Tabela Passaro'!$C$2:$C$1795,$N37)</f>
        <v>MACEIO</v>
      </c>
      <c r="P37" s="22" t="str">
        <f aca="false">INDEX('Tabela Passaro'!$B$2:$B$1795,$N37)</f>
        <v>AL</v>
      </c>
      <c r="Q37" s="22" t="n">
        <f aca="false">INDEX('Tabela Passaro'!$F$2:$F$1795,$N37)</f>
        <v>8</v>
      </c>
      <c r="R37" s="32" t="n">
        <f aca="false">IF(J37&lt;=10,INDEX('Tabela Passaro'!$G$2:$G$1795,$N37),IF(J37&lt;=30,INDEX('Tabela Passaro'!$H$2:$H$1795,$N37),IF(J37&lt;=50,INDEX('Tabela Passaro'!$I$2:$I$1795,$N37),IF(J37&lt;=70,INDEX('Tabela Passaro'!$J$2:$J$1795,$N37),IF(J37&lt;=100,INDEX('Tabela Passaro'!$K$2:$K$1795,$N37),INDEX('Tabela Passaro'!$K$2:$K$1795,$N37)+(J37-100)*INDEX('Tabela Passaro'!$L$2:$L$1795,$N37))))))</f>
        <v>66.94</v>
      </c>
      <c r="S37" s="32" t="n">
        <f aca="false">K37*INDEX('Tabela Passaro'!$M$2:$M$1795,$N37)</f>
        <v>2.40255</v>
      </c>
      <c r="T37" s="32" t="n">
        <f aca="false">K37*INDEX('Tabela Passaro'!$N$2:$N$1795,$N37)</f>
        <v>0.96102</v>
      </c>
      <c r="U37" s="32" t="n">
        <f aca="false">INDEX('Tabela Passaro'!$O$2:$O$1795,$N37)</f>
        <v>5</v>
      </c>
      <c r="V37" s="32" t="n">
        <f aca="false">ROUNDUP(J37/INDEX('Tabela Passaro'!$Q$2:$Q$1795,$N37),0)*INDEX('Tabela Passaro'!$P$2:$P$1795,$N37)</f>
        <v>5</v>
      </c>
      <c r="W37" s="32" t="n">
        <f aca="false">INDEX('Tabela Passaro'!$R$2:$R$1795,$N37)</f>
        <v>30</v>
      </c>
      <c r="X37" s="32" t="n">
        <f aca="false">ROUNDUP(J37/INDEX('Tabela Passaro'!$T$2:$T$1795,$N37),0)*INDEX('Tabela Passaro'!$S$2:$S$1795,$N37)</f>
        <v>0</v>
      </c>
      <c r="Y37" s="32" t="n">
        <f aca="false">INDEX('Tabela Passaro'!$U$2:$U$1795,$N37)</f>
        <v>0</v>
      </c>
      <c r="Z37" s="32" t="n">
        <f aca="false">INDEX('Tabela Passaro'!$V$2:$V$1795,$N37)</f>
        <v>0</v>
      </c>
      <c r="AA37" s="32" t="n">
        <f aca="false">SUM(R37:Z37)</f>
        <v>110.30357</v>
      </c>
      <c r="AB37" s="33" t="n">
        <f aca="false">INDEX(Premissas!$B$5:$B$13,MATCH(A37,Premissas!$A$5:$A$13,0))</f>
        <v>0.07</v>
      </c>
      <c r="AC37" s="32" t="n">
        <f aca="false">AA37/(1-AB37)-AA37</f>
        <v>8.30241924731183</v>
      </c>
      <c r="AD37" s="32" t="n">
        <f aca="false">ROUND(AA37+AC37,2)</f>
        <v>118.61</v>
      </c>
      <c r="AE37" s="32" t="n">
        <f aca="false">AD37-L37</f>
        <v>-0.180000000000007</v>
      </c>
      <c r="AF37" s="34" t="n">
        <f aca="false">IF(L37=0,0,AE37/L37)</f>
        <v>-0.00151527906389432</v>
      </c>
      <c r="AG37" s="22" t="str">
        <f aca="false">IF(AD37&lt;L37,"PASSARO","ATUAL")</f>
        <v>PASSARO</v>
      </c>
      <c r="AH37" s="22" t="str">
        <f aca="false">IF(P37&lt;&gt;A37,"Faixa cadastrada como "&amp;P37&amp;" na tabela; preço aplicado pela UF do CEP","")</f>
        <v/>
      </c>
      <c r="AI37" s="26" t="n">
        <v>143.64</v>
      </c>
      <c r="AJ37" s="22" t="str">
        <f aca="false">INDEX('Tabela Passaro'!$X$2:$X$1795,$N37)</f>
        <v>CAPITAL</v>
      </c>
    </row>
    <row r="38" customFormat="false" ht="15" hidden="false" customHeight="false" outlineLevel="0" collapsed="false">
      <c r="A38" s="22" t="s">
        <v>15</v>
      </c>
      <c r="B38" s="22" t="n">
        <v>1</v>
      </c>
      <c r="C38" s="22" t="s">
        <v>59</v>
      </c>
      <c r="D38" s="22" t="s">
        <v>30</v>
      </c>
      <c r="E38" s="22" t="s">
        <v>7328</v>
      </c>
      <c r="F38" s="22" t="n">
        <v>2313194</v>
      </c>
      <c r="G38" s="30" t="n">
        <v>46251</v>
      </c>
      <c r="H38" s="22" t="n">
        <v>133615</v>
      </c>
      <c r="I38" s="22" t="s">
        <v>7363</v>
      </c>
      <c r="J38" s="31" t="n">
        <v>29.2</v>
      </c>
      <c r="K38" s="26" t="n">
        <v>480.51</v>
      </c>
      <c r="L38" s="26" t="n">
        <v>118.79</v>
      </c>
      <c r="M38" s="22" t="s">
        <v>283</v>
      </c>
      <c r="N38" s="22" t="n">
        <f aca="false">MATCH(M38,'Tabela Passaro'!$A$2:$A$1795,0)</f>
        <v>1</v>
      </c>
      <c r="O38" s="22" t="str">
        <f aca="false">INDEX('Tabela Passaro'!$C$2:$C$1795,$N38)</f>
        <v>MACEIO</v>
      </c>
      <c r="P38" s="22" t="str">
        <f aca="false">INDEX('Tabela Passaro'!$B$2:$B$1795,$N38)</f>
        <v>AL</v>
      </c>
      <c r="Q38" s="22" t="n">
        <f aca="false">INDEX('Tabela Passaro'!$F$2:$F$1795,$N38)</f>
        <v>8</v>
      </c>
      <c r="R38" s="32" t="n">
        <f aca="false">IF(J38&lt;=10,INDEX('Tabela Passaro'!$G$2:$G$1795,$N38),IF(J38&lt;=30,INDEX('Tabela Passaro'!$H$2:$H$1795,$N38),IF(J38&lt;=50,INDEX('Tabela Passaro'!$I$2:$I$1795,$N38),IF(J38&lt;=70,INDEX('Tabela Passaro'!$J$2:$J$1795,$N38),IF(J38&lt;=100,INDEX('Tabela Passaro'!$K$2:$K$1795,$N38),INDEX('Tabela Passaro'!$K$2:$K$1795,$N38)+(J38-100)*INDEX('Tabela Passaro'!$L$2:$L$1795,$N38))))))</f>
        <v>66.94</v>
      </c>
      <c r="S38" s="32" t="n">
        <f aca="false">K38*INDEX('Tabela Passaro'!$M$2:$M$1795,$N38)</f>
        <v>2.40255</v>
      </c>
      <c r="T38" s="32" t="n">
        <f aca="false">K38*INDEX('Tabela Passaro'!$N$2:$N$1795,$N38)</f>
        <v>0.96102</v>
      </c>
      <c r="U38" s="32" t="n">
        <f aca="false">INDEX('Tabela Passaro'!$O$2:$O$1795,$N38)</f>
        <v>5</v>
      </c>
      <c r="V38" s="32" t="n">
        <f aca="false">ROUNDUP(J38/INDEX('Tabela Passaro'!$Q$2:$Q$1795,$N38),0)*INDEX('Tabela Passaro'!$P$2:$P$1795,$N38)</f>
        <v>5</v>
      </c>
      <c r="W38" s="32" t="n">
        <f aca="false">INDEX('Tabela Passaro'!$R$2:$R$1795,$N38)</f>
        <v>30</v>
      </c>
      <c r="X38" s="32" t="n">
        <f aca="false">ROUNDUP(J38/INDEX('Tabela Passaro'!$T$2:$T$1795,$N38),0)*INDEX('Tabela Passaro'!$S$2:$S$1795,$N38)</f>
        <v>0</v>
      </c>
      <c r="Y38" s="32" t="n">
        <f aca="false">INDEX('Tabela Passaro'!$U$2:$U$1795,$N38)</f>
        <v>0</v>
      </c>
      <c r="Z38" s="32" t="n">
        <f aca="false">INDEX('Tabela Passaro'!$V$2:$V$1795,$N38)</f>
        <v>0</v>
      </c>
      <c r="AA38" s="32" t="n">
        <f aca="false">SUM(R38:Z38)</f>
        <v>110.30357</v>
      </c>
      <c r="AB38" s="33" t="n">
        <f aca="false">INDEX(Premissas!$B$5:$B$13,MATCH(A38,Premissas!$A$5:$A$13,0))</f>
        <v>0.07</v>
      </c>
      <c r="AC38" s="32" t="n">
        <f aca="false">AA38/(1-AB38)-AA38</f>
        <v>8.30241924731183</v>
      </c>
      <c r="AD38" s="32" t="n">
        <f aca="false">ROUND(AA38+AC38,2)</f>
        <v>118.61</v>
      </c>
      <c r="AE38" s="32" t="n">
        <f aca="false">AD38-L38</f>
        <v>-0.180000000000007</v>
      </c>
      <c r="AF38" s="34" t="n">
        <f aca="false">IF(L38=0,0,AE38/L38)</f>
        <v>-0.00151527906389432</v>
      </c>
      <c r="AG38" s="22" t="str">
        <f aca="false">IF(AD38&lt;L38,"PASSARO","ATUAL")</f>
        <v>PASSARO</v>
      </c>
      <c r="AH38" s="22" t="str">
        <f aca="false">IF(P38&lt;&gt;A38,"Faixa cadastrada como "&amp;P38&amp;" na tabela; preço aplicado pela UF do CEP","")</f>
        <v/>
      </c>
      <c r="AI38" s="26" t="n">
        <v>143.64</v>
      </c>
      <c r="AJ38" s="22" t="str">
        <f aca="false">INDEX('Tabela Passaro'!$X$2:$X$1795,$N38)</f>
        <v>CAPITAL</v>
      </c>
    </row>
    <row r="39" customFormat="false" ht="15" hidden="false" customHeight="false" outlineLevel="0" collapsed="false">
      <c r="A39" s="22" t="s">
        <v>15</v>
      </c>
      <c r="B39" s="22" t="n">
        <v>1</v>
      </c>
      <c r="C39" s="22" t="s">
        <v>59</v>
      </c>
      <c r="D39" s="22" t="s">
        <v>30</v>
      </c>
      <c r="E39" s="22" t="s">
        <v>7328</v>
      </c>
      <c r="F39" s="22" t="n">
        <v>2313222</v>
      </c>
      <c r="G39" s="30" t="n">
        <v>46251</v>
      </c>
      <c r="H39" s="22" t="n">
        <v>133643</v>
      </c>
      <c r="I39" s="22" t="s">
        <v>7364</v>
      </c>
      <c r="J39" s="31" t="n">
        <v>124.2</v>
      </c>
      <c r="K39" s="26" t="n">
        <v>1943.85</v>
      </c>
      <c r="L39" s="26" t="n">
        <v>292.27</v>
      </c>
      <c r="M39" s="22" t="s">
        <v>283</v>
      </c>
      <c r="N39" s="22" t="n">
        <f aca="false">MATCH(M39,'Tabela Passaro'!$A$2:$A$1795,0)</f>
        <v>1</v>
      </c>
      <c r="O39" s="22" t="str">
        <f aca="false">INDEX('Tabela Passaro'!$C$2:$C$1795,$N39)</f>
        <v>MACEIO</v>
      </c>
      <c r="P39" s="22" t="str">
        <f aca="false">INDEX('Tabela Passaro'!$B$2:$B$1795,$N39)</f>
        <v>AL</v>
      </c>
      <c r="Q39" s="22" t="n">
        <f aca="false">INDEX('Tabela Passaro'!$F$2:$F$1795,$N39)</f>
        <v>8</v>
      </c>
      <c r="R39" s="32" t="n">
        <f aca="false">IF(J39&lt;=10,INDEX('Tabela Passaro'!$G$2:$G$1795,$N39),IF(J39&lt;=30,INDEX('Tabela Passaro'!$H$2:$H$1795,$N39),IF(J39&lt;=50,INDEX('Tabela Passaro'!$I$2:$I$1795,$N39),IF(J39&lt;=70,INDEX('Tabela Passaro'!$J$2:$J$1795,$N39),IF(J39&lt;=100,INDEX('Tabela Passaro'!$K$2:$K$1795,$N39),INDEX('Tabela Passaro'!$K$2:$K$1795,$N39)+(J39-100)*INDEX('Tabela Passaro'!$L$2:$L$1795,$N39))))))</f>
        <v>141.81</v>
      </c>
      <c r="S39" s="32" t="n">
        <f aca="false">K39*INDEX('Tabela Passaro'!$M$2:$M$1795,$N39)</f>
        <v>9.71925</v>
      </c>
      <c r="T39" s="32" t="n">
        <f aca="false">K39*INDEX('Tabela Passaro'!$N$2:$N$1795,$N39)</f>
        <v>3.8877</v>
      </c>
      <c r="U39" s="32" t="n">
        <f aca="false">INDEX('Tabela Passaro'!$O$2:$O$1795,$N39)</f>
        <v>5</v>
      </c>
      <c r="V39" s="32" t="n">
        <f aca="false">ROUNDUP(J39/INDEX('Tabela Passaro'!$Q$2:$Q$1795,$N39),0)*INDEX('Tabela Passaro'!$P$2:$P$1795,$N39)</f>
        <v>10</v>
      </c>
      <c r="W39" s="32" t="n">
        <f aca="false">INDEX('Tabela Passaro'!$R$2:$R$1795,$N39)</f>
        <v>30</v>
      </c>
      <c r="X39" s="32" t="n">
        <f aca="false">ROUNDUP(J39/INDEX('Tabela Passaro'!$T$2:$T$1795,$N39),0)*INDEX('Tabela Passaro'!$S$2:$S$1795,$N39)</f>
        <v>0</v>
      </c>
      <c r="Y39" s="32" t="n">
        <f aca="false">INDEX('Tabela Passaro'!$U$2:$U$1795,$N39)</f>
        <v>0</v>
      </c>
      <c r="Z39" s="32" t="n">
        <f aca="false">INDEX('Tabela Passaro'!$V$2:$V$1795,$N39)</f>
        <v>0</v>
      </c>
      <c r="AA39" s="32" t="n">
        <f aca="false">SUM(R39:Z39)</f>
        <v>200.41695</v>
      </c>
      <c r="AB39" s="33" t="n">
        <f aca="false">INDEX(Premissas!$B$5:$B$13,MATCH(A39,Premissas!$A$5:$A$13,0))</f>
        <v>0.07</v>
      </c>
      <c r="AC39" s="32" t="n">
        <f aca="false">AA39/(1-AB39)-AA39</f>
        <v>15.0851467741936</v>
      </c>
      <c r="AD39" s="32" t="n">
        <f aca="false">ROUND(AA39+AC39,2)</f>
        <v>215.5</v>
      </c>
      <c r="AE39" s="32" t="n">
        <f aca="false">AD39-L39</f>
        <v>-76.77</v>
      </c>
      <c r="AF39" s="34" t="n">
        <f aca="false">IF(L39=0,0,AE39/L39)</f>
        <v>-0.262668080884114</v>
      </c>
      <c r="AG39" s="22" t="str">
        <f aca="false">IF(AD39&lt;L39,"PASSARO","ATUAL")</f>
        <v>PASSARO</v>
      </c>
      <c r="AH39" s="22" t="str">
        <f aca="false">IF(P39&lt;&gt;A39,"Faixa cadastrada como "&amp;P39&amp;" na tabela; preço aplicado pela UF do CEP","")</f>
        <v/>
      </c>
      <c r="AI39" s="26" t="n">
        <v>296.96</v>
      </c>
      <c r="AJ39" s="22" t="str">
        <f aca="false">INDEX('Tabela Passaro'!$X$2:$X$1795,$N39)</f>
        <v>CAPITAL</v>
      </c>
    </row>
    <row r="40" customFormat="false" ht="15" hidden="false" customHeight="false" outlineLevel="0" collapsed="false">
      <c r="A40" s="22" t="s">
        <v>15</v>
      </c>
      <c r="B40" s="22" t="n">
        <v>1</v>
      </c>
      <c r="C40" s="22" t="s">
        <v>59</v>
      </c>
      <c r="D40" s="22" t="s">
        <v>30</v>
      </c>
      <c r="E40" s="22" t="s">
        <v>7328</v>
      </c>
      <c r="F40" s="22" t="n">
        <v>2313224</v>
      </c>
      <c r="G40" s="30" t="n">
        <v>46251</v>
      </c>
      <c r="H40" s="22" t="n">
        <v>133645</v>
      </c>
      <c r="I40" s="22" t="s">
        <v>7365</v>
      </c>
      <c r="J40" s="31" t="n">
        <v>27.6</v>
      </c>
      <c r="K40" s="26" t="n">
        <v>664.78</v>
      </c>
      <c r="L40" s="26" t="n">
        <v>120.25</v>
      </c>
      <c r="M40" s="22" t="s">
        <v>283</v>
      </c>
      <c r="N40" s="22" t="n">
        <f aca="false">MATCH(M40,'Tabela Passaro'!$A$2:$A$1795,0)</f>
        <v>1</v>
      </c>
      <c r="O40" s="22" t="str">
        <f aca="false">INDEX('Tabela Passaro'!$C$2:$C$1795,$N40)</f>
        <v>MACEIO</v>
      </c>
      <c r="P40" s="22" t="str">
        <f aca="false">INDEX('Tabela Passaro'!$B$2:$B$1795,$N40)</f>
        <v>AL</v>
      </c>
      <c r="Q40" s="22" t="n">
        <f aca="false">INDEX('Tabela Passaro'!$F$2:$F$1795,$N40)</f>
        <v>8</v>
      </c>
      <c r="R40" s="32" t="n">
        <f aca="false">IF(J40&lt;=10,INDEX('Tabela Passaro'!$G$2:$G$1795,$N40),IF(J40&lt;=30,INDEX('Tabela Passaro'!$H$2:$H$1795,$N40),IF(J40&lt;=50,INDEX('Tabela Passaro'!$I$2:$I$1795,$N40),IF(J40&lt;=70,INDEX('Tabela Passaro'!$J$2:$J$1795,$N40),IF(J40&lt;=100,INDEX('Tabela Passaro'!$K$2:$K$1795,$N40),INDEX('Tabela Passaro'!$K$2:$K$1795,$N40)+(J40-100)*INDEX('Tabela Passaro'!$L$2:$L$1795,$N40))))))</f>
        <v>66.94</v>
      </c>
      <c r="S40" s="32" t="n">
        <f aca="false">K40*INDEX('Tabela Passaro'!$M$2:$M$1795,$N40)</f>
        <v>3.3239</v>
      </c>
      <c r="T40" s="32" t="n">
        <f aca="false">K40*INDEX('Tabela Passaro'!$N$2:$N$1795,$N40)</f>
        <v>1.32956</v>
      </c>
      <c r="U40" s="32" t="n">
        <f aca="false">INDEX('Tabela Passaro'!$O$2:$O$1795,$N40)</f>
        <v>5</v>
      </c>
      <c r="V40" s="32" t="n">
        <f aca="false">ROUNDUP(J40/INDEX('Tabela Passaro'!$Q$2:$Q$1795,$N40),0)*INDEX('Tabela Passaro'!$P$2:$P$1795,$N40)</f>
        <v>5</v>
      </c>
      <c r="W40" s="32" t="n">
        <f aca="false">INDEX('Tabela Passaro'!$R$2:$R$1795,$N40)</f>
        <v>30</v>
      </c>
      <c r="X40" s="32" t="n">
        <f aca="false">ROUNDUP(J40/INDEX('Tabela Passaro'!$T$2:$T$1795,$N40),0)*INDEX('Tabela Passaro'!$S$2:$S$1795,$N40)</f>
        <v>0</v>
      </c>
      <c r="Y40" s="32" t="n">
        <f aca="false">INDEX('Tabela Passaro'!$U$2:$U$1795,$N40)</f>
        <v>0</v>
      </c>
      <c r="Z40" s="32" t="n">
        <f aca="false">INDEX('Tabela Passaro'!$V$2:$V$1795,$N40)</f>
        <v>0</v>
      </c>
      <c r="AA40" s="32" t="n">
        <f aca="false">SUM(R40:Z40)</f>
        <v>111.59346</v>
      </c>
      <c r="AB40" s="33" t="n">
        <f aca="false">INDEX(Premissas!$B$5:$B$13,MATCH(A40,Premissas!$A$5:$A$13,0))</f>
        <v>0.07</v>
      </c>
      <c r="AC40" s="32" t="n">
        <f aca="false">AA40/(1-AB40)-AA40</f>
        <v>8.39950774193549</v>
      </c>
      <c r="AD40" s="32" t="n">
        <f aca="false">ROUND(AA40+AC40,2)</f>
        <v>119.99</v>
      </c>
      <c r="AE40" s="32" t="n">
        <f aca="false">AD40-L40</f>
        <v>-0.260000000000005</v>
      </c>
      <c r="AF40" s="34" t="n">
        <f aca="false">IF(L40=0,0,AE40/L40)</f>
        <v>-0.0021621621621622</v>
      </c>
      <c r="AG40" s="22" t="str">
        <f aca="false">IF(AD40&lt;L40,"PASSARO","ATUAL")</f>
        <v>PASSARO</v>
      </c>
      <c r="AH40" s="22" t="str">
        <f aca="false">IF(P40&lt;&gt;A40,"Faixa cadastrada como "&amp;P40&amp;" na tabela; preço aplicado pela UF do CEP","")</f>
        <v/>
      </c>
      <c r="AI40" s="26" t="n">
        <v>144.45</v>
      </c>
      <c r="AJ40" s="22" t="str">
        <f aca="false">INDEX('Tabela Passaro'!$X$2:$X$1795,$N40)</f>
        <v>CAPITAL</v>
      </c>
    </row>
    <row r="41" customFormat="false" ht="15" hidden="false" customHeight="false" outlineLevel="0" collapsed="false">
      <c r="A41" s="22" t="s">
        <v>15</v>
      </c>
      <c r="B41" s="22" t="n">
        <v>1</v>
      </c>
      <c r="C41" s="22" t="s">
        <v>59</v>
      </c>
      <c r="D41" s="22" t="s">
        <v>30</v>
      </c>
      <c r="E41" s="22" t="s">
        <v>7328</v>
      </c>
      <c r="F41" s="22" t="n">
        <v>2313233</v>
      </c>
      <c r="G41" s="30" t="n">
        <v>46251</v>
      </c>
      <c r="H41" s="22" t="n">
        <v>133650</v>
      </c>
      <c r="I41" s="22" t="s">
        <v>7366</v>
      </c>
      <c r="J41" s="31" t="n">
        <v>45.5</v>
      </c>
      <c r="K41" s="26" t="n">
        <v>715.27</v>
      </c>
      <c r="L41" s="26" t="n">
        <v>156.53</v>
      </c>
      <c r="M41" s="22" t="s">
        <v>283</v>
      </c>
      <c r="N41" s="22" t="n">
        <f aca="false">MATCH(M41,'Tabela Passaro'!$A$2:$A$1795,0)</f>
        <v>1</v>
      </c>
      <c r="O41" s="22" t="str">
        <f aca="false">INDEX('Tabela Passaro'!$C$2:$C$1795,$N41)</f>
        <v>MACEIO</v>
      </c>
      <c r="P41" s="22" t="str">
        <f aca="false">INDEX('Tabela Passaro'!$B$2:$B$1795,$N41)</f>
        <v>AL</v>
      </c>
      <c r="Q41" s="22" t="n">
        <f aca="false">INDEX('Tabela Passaro'!$F$2:$F$1795,$N41)</f>
        <v>8</v>
      </c>
      <c r="R41" s="32" t="n">
        <f aca="false">IF(J41&lt;=10,INDEX('Tabela Passaro'!$G$2:$G$1795,$N41),IF(J41&lt;=30,INDEX('Tabela Passaro'!$H$2:$H$1795,$N41),IF(J41&lt;=50,INDEX('Tabela Passaro'!$I$2:$I$1795,$N41),IF(J41&lt;=70,INDEX('Tabela Passaro'!$J$2:$J$1795,$N41),IF(J41&lt;=100,INDEX('Tabela Passaro'!$K$2:$K$1795,$N41),INDEX('Tabela Passaro'!$K$2:$K$1795,$N41)+(J41-100)*INDEX('Tabela Passaro'!$L$2:$L$1795,$N41))))))</f>
        <v>77.96</v>
      </c>
      <c r="S41" s="32" t="n">
        <f aca="false">K41*INDEX('Tabela Passaro'!$M$2:$M$1795,$N41)</f>
        <v>3.57635</v>
      </c>
      <c r="T41" s="32" t="n">
        <f aca="false">K41*INDEX('Tabela Passaro'!$N$2:$N$1795,$N41)</f>
        <v>1.43054</v>
      </c>
      <c r="U41" s="32" t="n">
        <f aca="false">INDEX('Tabela Passaro'!$O$2:$O$1795,$N41)</f>
        <v>5</v>
      </c>
      <c r="V41" s="32" t="n">
        <f aca="false">ROUNDUP(J41/INDEX('Tabela Passaro'!$Q$2:$Q$1795,$N41),0)*INDEX('Tabela Passaro'!$P$2:$P$1795,$N41)</f>
        <v>5</v>
      </c>
      <c r="W41" s="32" t="n">
        <f aca="false">INDEX('Tabela Passaro'!$R$2:$R$1795,$N41)</f>
        <v>30</v>
      </c>
      <c r="X41" s="32" t="n">
        <f aca="false">ROUNDUP(J41/INDEX('Tabela Passaro'!$T$2:$T$1795,$N41),0)*INDEX('Tabela Passaro'!$S$2:$S$1795,$N41)</f>
        <v>0</v>
      </c>
      <c r="Y41" s="32" t="n">
        <f aca="false">INDEX('Tabela Passaro'!$U$2:$U$1795,$N41)</f>
        <v>0</v>
      </c>
      <c r="Z41" s="32" t="n">
        <f aca="false">INDEX('Tabela Passaro'!$V$2:$V$1795,$N41)</f>
        <v>0</v>
      </c>
      <c r="AA41" s="32" t="n">
        <f aca="false">SUM(R41:Z41)</f>
        <v>122.96689</v>
      </c>
      <c r="AB41" s="33" t="n">
        <f aca="false">INDEX(Premissas!$B$5:$B$13,MATCH(A41,Premissas!$A$5:$A$13,0))</f>
        <v>0.07</v>
      </c>
      <c r="AC41" s="32" t="n">
        <f aca="false">AA41/(1-AB41)-AA41</f>
        <v>9.25557236559142</v>
      </c>
      <c r="AD41" s="32" t="n">
        <f aca="false">ROUND(AA41+AC41,2)</f>
        <v>132.22</v>
      </c>
      <c r="AE41" s="32" t="n">
        <f aca="false">AD41-L41</f>
        <v>-24.31</v>
      </c>
      <c r="AF41" s="34" t="n">
        <f aca="false">IF(L41=0,0,AE41/L41)</f>
        <v>-0.155305692199578</v>
      </c>
      <c r="AG41" s="22" t="str">
        <f aca="false">IF(AD41&lt;L41,"PASSARO","ATUAL")</f>
        <v>PASSARO</v>
      </c>
      <c r="AH41" s="22" t="str">
        <f aca="false">IF(P41&lt;&gt;A41,"Faixa cadastrada como "&amp;P41&amp;" na tabela; preço aplicado pela UF do CEP","")</f>
        <v/>
      </c>
      <c r="AI41" s="26" t="n">
        <v>166.18</v>
      </c>
      <c r="AJ41" s="22" t="str">
        <f aca="false">INDEX('Tabela Passaro'!$X$2:$X$1795,$N41)</f>
        <v>CAPITAL</v>
      </c>
    </row>
    <row r="42" customFormat="false" ht="15" hidden="false" customHeight="false" outlineLevel="0" collapsed="false">
      <c r="A42" s="22" t="s">
        <v>15</v>
      </c>
      <c r="B42" s="22" t="n">
        <v>1</v>
      </c>
      <c r="C42" s="22" t="s">
        <v>59</v>
      </c>
      <c r="D42" s="22" t="s">
        <v>30</v>
      </c>
      <c r="E42" s="22" t="s">
        <v>7326</v>
      </c>
      <c r="F42" s="22" t="n">
        <v>525365</v>
      </c>
      <c r="G42" s="30" t="n">
        <v>46251</v>
      </c>
      <c r="H42" s="22" t="n">
        <v>625353</v>
      </c>
      <c r="I42" s="22" t="s">
        <v>7367</v>
      </c>
      <c r="J42" s="31" t="n">
        <v>59.3</v>
      </c>
      <c r="K42" s="26" t="n">
        <v>1251.13</v>
      </c>
      <c r="L42" s="26" t="n">
        <v>220.52</v>
      </c>
      <c r="M42" s="22" t="s">
        <v>283</v>
      </c>
      <c r="N42" s="22" t="n">
        <f aca="false">MATCH(M42,'Tabela Passaro'!$A$2:$A$1795,0)</f>
        <v>1</v>
      </c>
      <c r="O42" s="22" t="str">
        <f aca="false">INDEX('Tabela Passaro'!$C$2:$C$1795,$N42)</f>
        <v>MACEIO</v>
      </c>
      <c r="P42" s="22" t="str">
        <f aca="false">INDEX('Tabela Passaro'!$B$2:$B$1795,$N42)</f>
        <v>AL</v>
      </c>
      <c r="Q42" s="22" t="n">
        <f aca="false">INDEX('Tabela Passaro'!$F$2:$F$1795,$N42)</f>
        <v>8</v>
      </c>
      <c r="R42" s="32" t="n">
        <f aca="false">IF(J42&lt;=10,INDEX('Tabela Passaro'!$G$2:$G$1795,$N42),IF(J42&lt;=30,INDEX('Tabela Passaro'!$H$2:$H$1795,$N42),IF(J42&lt;=50,INDEX('Tabela Passaro'!$I$2:$I$1795,$N42),IF(J42&lt;=70,INDEX('Tabela Passaro'!$J$2:$J$1795,$N42),IF(J42&lt;=100,INDEX('Tabela Passaro'!$K$2:$K$1795,$N42),INDEX('Tabela Passaro'!$K$2:$K$1795,$N42)+(J42-100)*INDEX('Tabela Passaro'!$L$2:$L$1795,$N42))))))</f>
        <v>88.98</v>
      </c>
      <c r="S42" s="32" t="n">
        <f aca="false">K42*INDEX('Tabela Passaro'!$M$2:$M$1795,$N42)</f>
        <v>6.25565</v>
      </c>
      <c r="T42" s="32" t="n">
        <f aca="false">K42*INDEX('Tabela Passaro'!$N$2:$N$1795,$N42)</f>
        <v>2.50226</v>
      </c>
      <c r="U42" s="32" t="n">
        <f aca="false">INDEX('Tabela Passaro'!$O$2:$O$1795,$N42)</f>
        <v>5</v>
      </c>
      <c r="V42" s="32" t="n">
        <f aca="false">ROUNDUP(J42/INDEX('Tabela Passaro'!$Q$2:$Q$1795,$N42),0)*INDEX('Tabela Passaro'!$P$2:$P$1795,$N42)</f>
        <v>5</v>
      </c>
      <c r="W42" s="32" t="n">
        <f aca="false">INDEX('Tabela Passaro'!$R$2:$R$1795,$N42)</f>
        <v>30</v>
      </c>
      <c r="X42" s="32" t="n">
        <f aca="false">ROUNDUP(J42/INDEX('Tabela Passaro'!$T$2:$T$1795,$N42),0)*INDEX('Tabela Passaro'!$S$2:$S$1795,$N42)</f>
        <v>0</v>
      </c>
      <c r="Y42" s="32" t="n">
        <f aca="false">INDEX('Tabela Passaro'!$U$2:$U$1795,$N42)</f>
        <v>0</v>
      </c>
      <c r="Z42" s="32" t="n">
        <f aca="false">INDEX('Tabela Passaro'!$V$2:$V$1795,$N42)</f>
        <v>0</v>
      </c>
      <c r="AA42" s="32" t="n">
        <f aca="false">SUM(R42:Z42)</f>
        <v>137.73791</v>
      </c>
      <c r="AB42" s="33" t="n">
        <f aca="false">INDEX(Premissas!$B$5:$B$13,MATCH(A42,Premissas!$A$5:$A$13,0))</f>
        <v>0.07</v>
      </c>
      <c r="AC42" s="32" t="n">
        <f aca="false">AA42/(1-AB42)-AA42</f>
        <v>10.3673695698925</v>
      </c>
      <c r="AD42" s="32" t="n">
        <f aca="false">ROUND(AA42+AC42,2)</f>
        <v>148.11</v>
      </c>
      <c r="AE42" s="32" t="n">
        <f aca="false">AD42-L42</f>
        <v>-72.41</v>
      </c>
      <c r="AF42" s="34" t="n">
        <f aca="false">IF(L42=0,0,AE42/L42)</f>
        <v>-0.328360239434065</v>
      </c>
      <c r="AG42" s="22" t="str">
        <f aca="false">IF(AD42&lt;L42,"PASSARO","ATUAL")</f>
        <v>PASSARO</v>
      </c>
      <c r="AH42" s="22" t="str">
        <f aca="false">IF(P42&lt;&gt;A42,"Faixa cadastrada como "&amp;P42&amp;" na tabela; preço aplicado pela UF do CEP","")</f>
        <v/>
      </c>
      <c r="AI42" s="26" t="n">
        <v>190.67</v>
      </c>
      <c r="AJ42" s="22" t="str">
        <f aca="false">INDEX('Tabela Passaro'!$X$2:$X$1795,$N42)</f>
        <v>CAPITAL</v>
      </c>
    </row>
    <row r="43" customFormat="false" ht="15" hidden="false" customHeight="false" outlineLevel="0" collapsed="false">
      <c r="A43" s="22" t="s">
        <v>15</v>
      </c>
      <c r="B43" s="22" t="n">
        <v>1</v>
      </c>
      <c r="C43" s="22" t="s">
        <v>59</v>
      </c>
      <c r="D43" s="22" t="s">
        <v>30</v>
      </c>
      <c r="E43" s="22" t="s">
        <v>20</v>
      </c>
      <c r="F43" s="22" t="n">
        <v>839397</v>
      </c>
      <c r="G43" s="30" t="n">
        <v>46252</v>
      </c>
      <c r="H43" s="22" t="n">
        <v>32535</v>
      </c>
      <c r="I43" s="22" t="s">
        <v>7368</v>
      </c>
      <c r="J43" s="31" t="n">
        <v>66.5</v>
      </c>
      <c r="K43" s="26" t="n">
        <v>886.85</v>
      </c>
      <c r="L43" s="26" t="n">
        <v>162.63</v>
      </c>
      <c r="M43" s="22" t="s">
        <v>283</v>
      </c>
      <c r="N43" s="22" t="n">
        <f aca="false">MATCH(M43,'Tabela Passaro'!$A$2:$A$1795,0)</f>
        <v>1</v>
      </c>
      <c r="O43" s="22" t="str">
        <f aca="false">INDEX('Tabela Passaro'!$C$2:$C$1795,$N43)</f>
        <v>MACEIO</v>
      </c>
      <c r="P43" s="22" t="str">
        <f aca="false">INDEX('Tabela Passaro'!$B$2:$B$1795,$N43)</f>
        <v>AL</v>
      </c>
      <c r="Q43" s="22" t="n">
        <f aca="false">INDEX('Tabela Passaro'!$F$2:$F$1795,$N43)</f>
        <v>8</v>
      </c>
      <c r="R43" s="32" t="n">
        <f aca="false">IF(J43&lt;=10,INDEX('Tabela Passaro'!$G$2:$G$1795,$N43),IF(J43&lt;=30,INDEX('Tabela Passaro'!$H$2:$H$1795,$N43),IF(J43&lt;=50,INDEX('Tabela Passaro'!$I$2:$I$1795,$N43),IF(J43&lt;=70,INDEX('Tabela Passaro'!$J$2:$J$1795,$N43),IF(J43&lt;=100,INDEX('Tabela Passaro'!$K$2:$K$1795,$N43),INDEX('Tabela Passaro'!$K$2:$K$1795,$N43)+(J43-100)*INDEX('Tabela Passaro'!$L$2:$L$1795,$N43))))))</f>
        <v>88.98</v>
      </c>
      <c r="S43" s="32" t="n">
        <f aca="false">K43*INDEX('Tabela Passaro'!$M$2:$M$1795,$N43)</f>
        <v>4.43425</v>
      </c>
      <c r="T43" s="32" t="n">
        <f aca="false">K43*INDEX('Tabela Passaro'!$N$2:$N$1795,$N43)</f>
        <v>1.7737</v>
      </c>
      <c r="U43" s="32" t="n">
        <f aca="false">INDEX('Tabela Passaro'!$O$2:$O$1795,$N43)</f>
        <v>5</v>
      </c>
      <c r="V43" s="32" t="n">
        <f aca="false">ROUNDUP(J43/INDEX('Tabela Passaro'!$Q$2:$Q$1795,$N43),0)*INDEX('Tabela Passaro'!$P$2:$P$1795,$N43)</f>
        <v>5</v>
      </c>
      <c r="W43" s="32" t="n">
        <f aca="false">INDEX('Tabela Passaro'!$R$2:$R$1795,$N43)</f>
        <v>30</v>
      </c>
      <c r="X43" s="32" t="n">
        <f aca="false">ROUNDUP(J43/INDEX('Tabela Passaro'!$T$2:$T$1795,$N43),0)*INDEX('Tabela Passaro'!$S$2:$S$1795,$N43)</f>
        <v>0</v>
      </c>
      <c r="Y43" s="32" t="n">
        <f aca="false">INDEX('Tabela Passaro'!$U$2:$U$1795,$N43)</f>
        <v>0</v>
      </c>
      <c r="Z43" s="32" t="n">
        <f aca="false">INDEX('Tabela Passaro'!$V$2:$V$1795,$N43)</f>
        <v>0</v>
      </c>
      <c r="AA43" s="32" t="n">
        <f aca="false">SUM(R43:Z43)</f>
        <v>135.18795</v>
      </c>
      <c r="AB43" s="33" t="n">
        <f aca="false">INDEX(Premissas!$B$5:$B$13,MATCH(A43,Premissas!$A$5:$A$13,0))</f>
        <v>0.07</v>
      </c>
      <c r="AC43" s="32" t="n">
        <f aca="false">AA43/(1-AB43)-AA43</f>
        <v>10.1754370967742</v>
      </c>
      <c r="AD43" s="32" t="n">
        <f aca="false">ROUND(AA43+AC43,2)</f>
        <v>145.36</v>
      </c>
      <c r="AE43" s="32" t="n">
        <f aca="false">AD43-L43</f>
        <v>-17.27</v>
      </c>
      <c r="AF43" s="34" t="n">
        <f aca="false">IF(L43=0,0,AE43/L43)</f>
        <v>-0.106191969501322</v>
      </c>
      <c r="AG43" s="22" t="str">
        <f aca="false">IF(AD43&lt;L43,"PASSARO","ATUAL")</f>
        <v>PASSARO</v>
      </c>
      <c r="AH43" s="22" t="str">
        <f aca="false">IF(P43&lt;&gt;A43,"Faixa cadastrada como "&amp;P43&amp;" na tabela; preço aplicado pela UF do CEP","")</f>
        <v/>
      </c>
      <c r="AI43" s="26" t="n">
        <v>190.53</v>
      </c>
      <c r="AJ43" s="22" t="str">
        <f aca="false">INDEX('Tabela Passaro'!$X$2:$X$1795,$N43)</f>
        <v>CAPITAL</v>
      </c>
    </row>
    <row r="44" customFormat="false" ht="15" hidden="false" customHeight="false" outlineLevel="0" collapsed="false">
      <c r="A44" s="22" t="s">
        <v>15</v>
      </c>
      <c r="B44" s="22" t="n">
        <v>1</v>
      </c>
      <c r="C44" s="22" t="s">
        <v>59</v>
      </c>
      <c r="D44" s="22" t="s">
        <v>30</v>
      </c>
      <c r="E44" s="22" t="s">
        <v>20</v>
      </c>
      <c r="F44" s="22" t="n">
        <v>839525</v>
      </c>
      <c r="G44" s="30" t="n">
        <v>46253</v>
      </c>
      <c r="H44" s="22" t="n">
        <v>32548</v>
      </c>
      <c r="I44" s="22" t="s">
        <v>7369</v>
      </c>
      <c r="J44" s="31" t="n">
        <v>39</v>
      </c>
      <c r="K44" s="26" t="n">
        <v>737.11</v>
      </c>
      <c r="L44" s="26" t="n">
        <v>142.1</v>
      </c>
      <c r="M44" s="22" t="s">
        <v>283</v>
      </c>
      <c r="N44" s="22" t="n">
        <f aca="false">MATCH(M44,'Tabela Passaro'!$A$2:$A$1795,0)</f>
        <v>1</v>
      </c>
      <c r="O44" s="22" t="str">
        <f aca="false">INDEX('Tabela Passaro'!$C$2:$C$1795,$N44)</f>
        <v>MACEIO</v>
      </c>
      <c r="P44" s="22" t="str">
        <f aca="false">INDEX('Tabela Passaro'!$B$2:$B$1795,$N44)</f>
        <v>AL</v>
      </c>
      <c r="Q44" s="22" t="n">
        <f aca="false">INDEX('Tabela Passaro'!$F$2:$F$1795,$N44)</f>
        <v>8</v>
      </c>
      <c r="R44" s="32" t="n">
        <f aca="false">IF(J44&lt;=10,INDEX('Tabela Passaro'!$G$2:$G$1795,$N44),IF(J44&lt;=30,INDEX('Tabela Passaro'!$H$2:$H$1795,$N44),IF(J44&lt;=50,INDEX('Tabela Passaro'!$I$2:$I$1795,$N44),IF(J44&lt;=70,INDEX('Tabela Passaro'!$J$2:$J$1795,$N44),IF(J44&lt;=100,INDEX('Tabela Passaro'!$K$2:$K$1795,$N44),INDEX('Tabela Passaro'!$K$2:$K$1795,$N44)+(J44-100)*INDEX('Tabela Passaro'!$L$2:$L$1795,$N44))))))</f>
        <v>77.96</v>
      </c>
      <c r="S44" s="32" t="n">
        <f aca="false">K44*INDEX('Tabela Passaro'!$M$2:$M$1795,$N44)</f>
        <v>3.68555</v>
      </c>
      <c r="T44" s="32" t="n">
        <f aca="false">K44*INDEX('Tabela Passaro'!$N$2:$N$1795,$N44)</f>
        <v>1.47422</v>
      </c>
      <c r="U44" s="32" t="n">
        <f aca="false">INDEX('Tabela Passaro'!$O$2:$O$1795,$N44)</f>
        <v>5</v>
      </c>
      <c r="V44" s="32" t="n">
        <f aca="false">ROUNDUP(J44/INDEX('Tabela Passaro'!$Q$2:$Q$1795,$N44),0)*INDEX('Tabela Passaro'!$P$2:$P$1795,$N44)</f>
        <v>5</v>
      </c>
      <c r="W44" s="32" t="n">
        <f aca="false">INDEX('Tabela Passaro'!$R$2:$R$1795,$N44)</f>
        <v>30</v>
      </c>
      <c r="X44" s="32" t="n">
        <f aca="false">ROUNDUP(J44/INDEX('Tabela Passaro'!$T$2:$T$1795,$N44),0)*INDEX('Tabela Passaro'!$S$2:$S$1795,$N44)</f>
        <v>0</v>
      </c>
      <c r="Y44" s="32" t="n">
        <f aca="false">INDEX('Tabela Passaro'!$U$2:$U$1795,$N44)</f>
        <v>0</v>
      </c>
      <c r="Z44" s="32" t="n">
        <f aca="false">INDEX('Tabela Passaro'!$V$2:$V$1795,$N44)</f>
        <v>0</v>
      </c>
      <c r="AA44" s="32" t="n">
        <f aca="false">SUM(R44:Z44)</f>
        <v>123.11977</v>
      </c>
      <c r="AB44" s="33" t="n">
        <f aca="false">INDEX(Premissas!$B$5:$B$13,MATCH(A44,Premissas!$A$5:$A$13,0))</f>
        <v>0.07</v>
      </c>
      <c r="AC44" s="32" t="n">
        <f aca="false">AA44/(1-AB44)-AA44</f>
        <v>9.26707946236559</v>
      </c>
      <c r="AD44" s="32" t="n">
        <f aca="false">ROUND(AA44+AC44,2)</f>
        <v>132.39</v>
      </c>
      <c r="AE44" s="32" t="n">
        <f aca="false">AD44-L44</f>
        <v>-9.71000000000001</v>
      </c>
      <c r="AF44" s="34" t="n">
        <f aca="false">IF(L44=0,0,AE44/L44)</f>
        <v>-0.0683321604503871</v>
      </c>
      <c r="AG44" s="22" t="str">
        <f aca="false">IF(AD44&lt;L44,"PASSARO","ATUAL")</f>
        <v>PASSARO</v>
      </c>
      <c r="AH44" s="22" t="str">
        <f aca="false">IF(P44&lt;&gt;A44,"Faixa cadastrada como "&amp;P44&amp;" na tabela; preço aplicado pela UF do CEP","")</f>
        <v/>
      </c>
      <c r="AI44" s="26" t="n">
        <v>163</v>
      </c>
      <c r="AJ44" s="22" t="str">
        <f aca="false">INDEX('Tabela Passaro'!$X$2:$X$1795,$N44)</f>
        <v>CAPITAL</v>
      </c>
    </row>
    <row r="45" customFormat="false" ht="15" hidden="false" customHeight="false" outlineLevel="0" collapsed="false">
      <c r="A45" s="22" t="s">
        <v>15</v>
      </c>
      <c r="B45" s="22" t="n">
        <v>1</v>
      </c>
      <c r="C45" s="22" t="s">
        <v>59</v>
      </c>
      <c r="D45" s="22" t="s">
        <v>30</v>
      </c>
      <c r="E45" s="22" t="s">
        <v>7326</v>
      </c>
      <c r="F45" s="22" t="n">
        <v>526080</v>
      </c>
      <c r="G45" s="30" t="n">
        <v>46253</v>
      </c>
      <c r="H45" s="22" t="n">
        <v>626765</v>
      </c>
      <c r="I45" s="22" t="s">
        <v>7370</v>
      </c>
      <c r="J45" s="31" t="n">
        <v>45.4</v>
      </c>
      <c r="K45" s="26" t="n">
        <v>731.87</v>
      </c>
      <c r="L45" s="26" t="n">
        <v>177.53</v>
      </c>
      <c r="M45" s="22" t="s">
        <v>283</v>
      </c>
      <c r="N45" s="22" t="n">
        <f aca="false">MATCH(M45,'Tabela Passaro'!$A$2:$A$1795,0)</f>
        <v>1</v>
      </c>
      <c r="O45" s="22" t="str">
        <f aca="false">INDEX('Tabela Passaro'!$C$2:$C$1795,$N45)</f>
        <v>MACEIO</v>
      </c>
      <c r="P45" s="22" t="str">
        <f aca="false">INDEX('Tabela Passaro'!$B$2:$B$1795,$N45)</f>
        <v>AL</v>
      </c>
      <c r="Q45" s="22" t="n">
        <f aca="false">INDEX('Tabela Passaro'!$F$2:$F$1795,$N45)</f>
        <v>8</v>
      </c>
      <c r="R45" s="32" t="n">
        <f aca="false">IF(J45&lt;=10,INDEX('Tabela Passaro'!$G$2:$G$1795,$N45),IF(J45&lt;=30,INDEX('Tabela Passaro'!$H$2:$H$1795,$N45),IF(J45&lt;=50,INDEX('Tabela Passaro'!$I$2:$I$1795,$N45),IF(J45&lt;=70,INDEX('Tabela Passaro'!$J$2:$J$1795,$N45),IF(J45&lt;=100,INDEX('Tabela Passaro'!$K$2:$K$1795,$N45),INDEX('Tabela Passaro'!$K$2:$K$1795,$N45)+(J45-100)*INDEX('Tabela Passaro'!$L$2:$L$1795,$N45))))))</f>
        <v>77.96</v>
      </c>
      <c r="S45" s="32" t="n">
        <f aca="false">K45*INDEX('Tabela Passaro'!$M$2:$M$1795,$N45)</f>
        <v>3.65935</v>
      </c>
      <c r="T45" s="32" t="n">
        <f aca="false">K45*INDEX('Tabela Passaro'!$N$2:$N$1795,$N45)</f>
        <v>1.46374</v>
      </c>
      <c r="U45" s="32" t="n">
        <f aca="false">INDEX('Tabela Passaro'!$O$2:$O$1795,$N45)</f>
        <v>5</v>
      </c>
      <c r="V45" s="32" t="n">
        <f aca="false">ROUNDUP(J45/INDEX('Tabela Passaro'!$Q$2:$Q$1795,$N45),0)*INDEX('Tabela Passaro'!$P$2:$P$1795,$N45)</f>
        <v>5</v>
      </c>
      <c r="W45" s="32" t="n">
        <f aca="false">INDEX('Tabela Passaro'!$R$2:$R$1795,$N45)</f>
        <v>30</v>
      </c>
      <c r="X45" s="32" t="n">
        <f aca="false">ROUNDUP(J45/INDEX('Tabela Passaro'!$T$2:$T$1795,$N45),0)*INDEX('Tabela Passaro'!$S$2:$S$1795,$N45)</f>
        <v>0</v>
      </c>
      <c r="Y45" s="32" t="n">
        <f aca="false">INDEX('Tabela Passaro'!$U$2:$U$1795,$N45)</f>
        <v>0</v>
      </c>
      <c r="Z45" s="32" t="n">
        <f aca="false">INDEX('Tabela Passaro'!$V$2:$V$1795,$N45)</f>
        <v>0</v>
      </c>
      <c r="AA45" s="32" t="n">
        <f aca="false">SUM(R45:Z45)</f>
        <v>123.08309</v>
      </c>
      <c r="AB45" s="33" t="n">
        <f aca="false">INDEX(Premissas!$B$5:$B$13,MATCH(A45,Premissas!$A$5:$A$13,0))</f>
        <v>0.07</v>
      </c>
      <c r="AC45" s="32" t="n">
        <f aca="false">AA45/(1-AB45)-AA45</f>
        <v>9.26431860215055</v>
      </c>
      <c r="AD45" s="32" t="n">
        <f aca="false">ROUND(AA45+AC45,2)</f>
        <v>132.35</v>
      </c>
      <c r="AE45" s="32" t="n">
        <f aca="false">AD45-L45</f>
        <v>-45.18</v>
      </c>
      <c r="AF45" s="34" t="n">
        <f aca="false">IF(L45=0,0,AE45/L45)</f>
        <v>-0.254492198501662</v>
      </c>
      <c r="AG45" s="22" t="str">
        <f aca="false">IF(AD45&lt;L45,"PASSARO","ATUAL")</f>
        <v>PASSARO</v>
      </c>
      <c r="AH45" s="22" t="str">
        <f aca="false">IF(P45&lt;&gt;A45,"Faixa cadastrada como "&amp;P45&amp;" na tabela; preço aplicado pela UF do CEP","")</f>
        <v/>
      </c>
      <c r="AI45" s="26" t="n">
        <v>166.34</v>
      </c>
      <c r="AJ45" s="22" t="str">
        <f aca="false">INDEX('Tabela Passaro'!$X$2:$X$1795,$N45)</f>
        <v>CAPITAL</v>
      </c>
    </row>
    <row r="46" customFormat="false" ht="15" hidden="false" customHeight="false" outlineLevel="0" collapsed="false">
      <c r="A46" s="22" t="s">
        <v>15</v>
      </c>
      <c r="B46" s="22" t="n">
        <v>1</v>
      </c>
      <c r="C46" s="22" t="s">
        <v>59</v>
      </c>
      <c r="D46" s="22" t="s">
        <v>30</v>
      </c>
      <c r="E46" s="22" t="s">
        <v>7326</v>
      </c>
      <c r="F46" s="22" t="n">
        <v>526108</v>
      </c>
      <c r="G46" s="30" t="n">
        <v>46253</v>
      </c>
      <c r="H46" s="22" t="n">
        <v>627006</v>
      </c>
      <c r="I46" s="22" t="s">
        <v>7371</v>
      </c>
      <c r="J46" s="31" t="n">
        <v>5.74</v>
      </c>
      <c r="K46" s="26" t="n">
        <v>704.73</v>
      </c>
      <c r="L46" s="26" t="n">
        <v>75.19</v>
      </c>
      <c r="M46" s="22" t="s">
        <v>283</v>
      </c>
      <c r="N46" s="22" t="n">
        <f aca="false">MATCH(M46,'Tabela Passaro'!$A$2:$A$1795,0)</f>
        <v>1</v>
      </c>
      <c r="O46" s="22" t="str">
        <f aca="false">INDEX('Tabela Passaro'!$C$2:$C$1795,$N46)</f>
        <v>MACEIO</v>
      </c>
      <c r="P46" s="22" t="str">
        <f aca="false">INDEX('Tabela Passaro'!$B$2:$B$1795,$N46)</f>
        <v>AL</v>
      </c>
      <c r="Q46" s="22" t="n">
        <f aca="false">INDEX('Tabela Passaro'!$F$2:$F$1795,$N46)</f>
        <v>8</v>
      </c>
      <c r="R46" s="32" t="n">
        <f aca="false">IF(J46&lt;=10,INDEX('Tabela Passaro'!$G$2:$G$1795,$N46),IF(J46&lt;=30,INDEX('Tabela Passaro'!$H$2:$H$1795,$N46),IF(J46&lt;=50,INDEX('Tabela Passaro'!$I$2:$I$1795,$N46),IF(J46&lt;=70,INDEX('Tabela Passaro'!$J$2:$J$1795,$N46),IF(J46&lt;=100,INDEX('Tabela Passaro'!$K$2:$K$1795,$N46),INDEX('Tabela Passaro'!$K$2:$K$1795,$N46)+(J46-100)*INDEX('Tabela Passaro'!$L$2:$L$1795,$N46))))))</f>
        <v>55.92</v>
      </c>
      <c r="S46" s="32" t="n">
        <f aca="false">K46*INDEX('Tabela Passaro'!$M$2:$M$1795,$N46)</f>
        <v>3.52365</v>
      </c>
      <c r="T46" s="32" t="n">
        <f aca="false">K46*INDEX('Tabela Passaro'!$N$2:$N$1795,$N46)</f>
        <v>1.40946</v>
      </c>
      <c r="U46" s="32" t="n">
        <f aca="false">INDEX('Tabela Passaro'!$O$2:$O$1795,$N46)</f>
        <v>5</v>
      </c>
      <c r="V46" s="32" t="n">
        <f aca="false">ROUNDUP(J46/INDEX('Tabela Passaro'!$Q$2:$Q$1795,$N46),0)*INDEX('Tabela Passaro'!$P$2:$P$1795,$N46)</f>
        <v>5</v>
      </c>
      <c r="W46" s="32" t="n">
        <f aca="false">INDEX('Tabela Passaro'!$R$2:$R$1795,$N46)</f>
        <v>30</v>
      </c>
      <c r="X46" s="32" t="n">
        <f aca="false">ROUNDUP(J46/INDEX('Tabela Passaro'!$T$2:$T$1795,$N46),0)*INDEX('Tabela Passaro'!$S$2:$S$1795,$N46)</f>
        <v>0</v>
      </c>
      <c r="Y46" s="32" t="n">
        <f aca="false">INDEX('Tabela Passaro'!$U$2:$U$1795,$N46)</f>
        <v>0</v>
      </c>
      <c r="Z46" s="32" t="n">
        <f aca="false">INDEX('Tabela Passaro'!$V$2:$V$1795,$N46)</f>
        <v>0</v>
      </c>
      <c r="AA46" s="32" t="n">
        <f aca="false">SUM(R46:Z46)</f>
        <v>100.85311</v>
      </c>
      <c r="AB46" s="33" t="n">
        <f aca="false">INDEX(Premissas!$B$5:$B$13,MATCH(A46,Premissas!$A$5:$A$13,0))</f>
        <v>0.07</v>
      </c>
      <c r="AC46" s="32" t="n">
        <f aca="false">AA46/(1-AB46)-AA46</f>
        <v>7.59109430107527</v>
      </c>
      <c r="AD46" s="32" t="n">
        <f aca="false">ROUND(AA46+AC46,2)</f>
        <v>108.44</v>
      </c>
      <c r="AE46" s="32" t="n">
        <f aca="false">AD46-L46</f>
        <v>33.25</v>
      </c>
      <c r="AF46" s="34" t="n">
        <f aca="false">IF(L46=0,0,AE46/L46)</f>
        <v>0.442213060247373</v>
      </c>
      <c r="AG46" s="22" t="str">
        <f aca="false">IF(AD46&lt;L46,"PASSARO","ATUAL")</f>
        <v>ATUAL</v>
      </c>
      <c r="AH46" s="22" t="str">
        <f aca="false">IF(P46&lt;&gt;A46,"Faixa cadastrada como "&amp;P46&amp;" na tabela; preço aplicado pela UF do CEP","")</f>
        <v/>
      </c>
      <c r="AI46" s="26" t="n">
        <v>121.67</v>
      </c>
      <c r="AJ46" s="22" t="str">
        <f aca="false">INDEX('Tabela Passaro'!$X$2:$X$1795,$N46)</f>
        <v>CAPITAL</v>
      </c>
    </row>
    <row r="47" customFormat="false" ht="15" hidden="false" customHeight="false" outlineLevel="0" collapsed="false">
      <c r="A47" s="22" t="s">
        <v>15</v>
      </c>
      <c r="B47" s="22" t="n">
        <v>1</v>
      </c>
      <c r="C47" s="22" t="s">
        <v>59</v>
      </c>
      <c r="D47" s="22" t="s">
        <v>30</v>
      </c>
      <c r="E47" s="22" t="s">
        <v>7326</v>
      </c>
      <c r="F47" s="22" t="n">
        <v>526132</v>
      </c>
      <c r="G47" s="30" t="n">
        <v>46253</v>
      </c>
      <c r="H47" s="22" t="n">
        <v>627146</v>
      </c>
      <c r="I47" s="22" t="s">
        <v>7372</v>
      </c>
      <c r="J47" s="31" t="n">
        <v>34.9</v>
      </c>
      <c r="K47" s="26" t="n">
        <v>664.98</v>
      </c>
      <c r="L47" s="26" t="n">
        <v>176.95</v>
      </c>
      <c r="M47" s="22" t="s">
        <v>283</v>
      </c>
      <c r="N47" s="22" t="n">
        <f aca="false">MATCH(M47,'Tabela Passaro'!$A$2:$A$1795,0)</f>
        <v>1</v>
      </c>
      <c r="O47" s="22" t="str">
        <f aca="false">INDEX('Tabela Passaro'!$C$2:$C$1795,$N47)</f>
        <v>MACEIO</v>
      </c>
      <c r="P47" s="22" t="str">
        <f aca="false">INDEX('Tabela Passaro'!$B$2:$B$1795,$N47)</f>
        <v>AL</v>
      </c>
      <c r="Q47" s="22" t="n">
        <f aca="false">INDEX('Tabela Passaro'!$F$2:$F$1795,$N47)</f>
        <v>8</v>
      </c>
      <c r="R47" s="32" t="n">
        <f aca="false">IF(J47&lt;=10,INDEX('Tabela Passaro'!$G$2:$G$1795,$N47),IF(J47&lt;=30,INDEX('Tabela Passaro'!$H$2:$H$1795,$N47),IF(J47&lt;=50,INDEX('Tabela Passaro'!$I$2:$I$1795,$N47),IF(J47&lt;=70,INDEX('Tabela Passaro'!$J$2:$J$1795,$N47),IF(J47&lt;=100,INDEX('Tabela Passaro'!$K$2:$K$1795,$N47),INDEX('Tabela Passaro'!$K$2:$K$1795,$N47)+(J47-100)*INDEX('Tabela Passaro'!$L$2:$L$1795,$N47))))))</f>
        <v>77.96</v>
      </c>
      <c r="S47" s="32" t="n">
        <f aca="false">K47*INDEX('Tabela Passaro'!$M$2:$M$1795,$N47)</f>
        <v>3.3249</v>
      </c>
      <c r="T47" s="32" t="n">
        <f aca="false">K47*INDEX('Tabela Passaro'!$N$2:$N$1795,$N47)</f>
        <v>1.32996</v>
      </c>
      <c r="U47" s="32" t="n">
        <f aca="false">INDEX('Tabela Passaro'!$O$2:$O$1795,$N47)</f>
        <v>5</v>
      </c>
      <c r="V47" s="32" t="n">
        <f aca="false">ROUNDUP(J47/INDEX('Tabela Passaro'!$Q$2:$Q$1795,$N47),0)*INDEX('Tabela Passaro'!$P$2:$P$1795,$N47)</f>
        <v>5</v>
      </c>
      <c r="W47" s="32" t="n">
        <f aca="false">INDEX('Tabela Passaro'!$R$2:$R$1795,$N47)</f>
        <v>30</v>
      </c>
      <c r="X47" s="32" t="n">
        <f aca="false">ROUNDUP(J47/INDEX('Tabela Passaro'!$T$2:$T$1795,$N47),0)*INDEX('Tabela Passaro'!$S$2:$S$1795,$N47)</f>
        <v>0</v>
      </c>
      <c r="Y47" s="32" t="n">
        <f aca="false">INDEX('Tabela Passaro'!$U$2:$U$1795,$N47)</f>
        <v>0</v>
      </c>
      <c r="Z47" s="32" t="n">
        <f aca="false">INDEX('Tabela Passaro'!$V$2:$V$1795,$N47)</f>
        <v>0</v>
      </c>
      <c r="AA47" s="32" t="n">
        <f aca="false">SUM(R47:Z47)</f>
        <v>122.61486</v>
      </c>
      <c r="AB47" s="33" t="n">
        <f aca="false">INDEX(Premissas!$B$5:$B$13,MATCH(A47,Premissas!$A$5:$A$13,0))</f>
        <v>0.07</v>
      </c>
      <c r="AC47" s="32" t="n">
        <f aca="false">AA47/(1-AB47)-AA47</f>
        <v>9.22907548387099</v>
      </c>
      <c r="AD47" s="32" t="n">
        <f aca="false">ROUND(AA47+AC47,2)</f>
        <v>131.84</v>
      </c>
      <c r="AE47" s="32" t="n">
        <f aca="false">AD47-L47</f>
        <v>-45.11</v>
      </c>
      <c r="AF47" s="34" t="n">
        <f aca="false">IF(L47=0,0,AE47/L47)</f>
        <v>-0.254930771404351</v>
      </c>
      <c r="AG47" s="22" t="str">
        <f aca="false">IF(AD47&lt;L47,"PASSARO","ATUAL")</f>
        <v>PASSARO</v>
      </c>
      <c r="AH47" s="22" t="str">
        <f aca="false">IF(P47&lt;&gt;A47,"Faixa cadastrada como "&amp;P47&amp;" na tabela; preço aplicado pela UF do CEP","")</f>
        <v/>
      </c>
      <c r="AI47" s="26" t="n">
        <v>160.37</v>
      </c>
      <c r="AJ47" s="22" t="str">
        <f aca="false">INDEX('Tabela Passaro'!$X$2:$X$1795,$N47)</f>
        <v>CAPITAL</v>
      </c>
    </row>
    <row r="48" customFormat="false" ht="15" hidden="false" customHeight="false" outlineLevel="0" collapsed="false">
      <c r="A48" s="22" t="s">
        <v>15</v>
      </c>
      <c r="B48" s="22" t="n">
        <v>1</v>
      </c>
      <c r="C48" s="22" t="s">
        <v>59</v>
      </c>
      <c r="D48" s="22" t="s">
        <v>30</v>
      </c>
      <c r="E48" s="22" t="s">
        <v>20</v>
      </c>
      <c r="F48" s="22" t="n">
        <v>839628</v>
      </c>
      <c r="G48" s="30" t="n">
        <v>46254</v>
      </c>
      <c r="H48" s="22" t="n">
        <v>32557</v>
      </c>
      <c r="I48" s="22" t="s">
        <v>7373</v>
      </c>
      <c r="J48" s="31" t="n">
        <v>29.97</v>
      </c>
      <c r="K48" s="26" t="n">
        <v>492.36</v>
      </c>
      <c r="L48" s="26" t="n">
        <v>108.73</v>
      </c>
      <c r="M48" s="22" t="s">
        <v>283</v>
      </c>
      <c r="N48" s="22" t="n">
        <f aca="false">MATCH(M48,'Tabela Passaro'!$A$2:$A$1795,0)</f>
        <v>1</v>
      </c>
      <c r="O48" s="22" t="str">
        <f aca="false">INDEX('Tabela Passaro'!$C$2:$C$1795,$N48)</f>
        <v>MACEIO</v>
      </c>
      <c r="P48" s="22" t="str">
        <f aca="false">INDEX('Tabela Passaro'!$B$2:$B$1795,$N48)</f>
        <v>AL</v>
      </c>
      <c r="Q48" s="22" t="n">
        <f aca="false">INDEX('Tabela Passaro'!$F$2:$F$1795,$N48)</f>
        <v>8</v>
      </c>
      <c r="R48" s="32" t="n">
        <f aca="false">IF(J48&lt;=10,INDEX('Tabela Passaro'!$G$2:$G$1795,$N48),IF(J48&lt;=30,INDEX('Tabela Passaro'!$H$2:$H$1795,$N48),IF(J48&lt;=50,INDEX('Tabela Passaro'!$I$2:$I$1795,$N48),IF(J48&lt;=70,INDEX('Tabela Passaro'!$J$2:$J$1795,$N48),IF(J48&lt;=100,INDEX('Tabela Passaro'!$K$2:$K$1795,$N48),INDEX('Tabela Passaro'!$K$2:$K$1795,$N48)+(J48-100)*INDEX('Tabela Passaro'!$L$2:$L$1795,$N48))))))</f>
        <v>66.94</v>
      </c>
      <c r="S48" s="32" t="n">
        <f aca="false">K48*INDEX('Tabela Passaro'!$M$2:$M$1795,$N48)</f>
        <v>2.4618</v>
      </c>
      <c r="T48" s="32" t="n">
        <f aca="false">K48*INDEX('Tabela Passaro'!$N$2:$N$1795,$N48)</f>
        <v>0.98472</v>
      </c>
      <c r="U48" s="32" t="n">
        <f aca="false">INDEX('Tabela Passaro'!$O$2:$O$1795,$N48)</f>
        <v>5</v>
      </c>
      <c r="V48" s="32" t="n">
        <f aca="false">ROUNDUP(J48/INDEX('Tabela Passaro'!$Q$2:$Q$1795,$N48),0)*INDEX('Tabela Passaro'!$P$2:$P$1795,$N48)</f>
        <v>5</v>
      </c>
      <c r="W48" s="32" t="n">
        <f aca="false">INDEX('Tabela Passaro'!$R$2:$R$1795,$N48)</f>
        <v>30</v>
      </c>
      <c r="X48" s="32" t="n">
        <f aca="false">ROUNDUP(J48/INDEX('Tabela Passaro'!$T$2:$T$1795,$N48),0)*INDEX('Tabela Passaro'!$S$2:$S$1795,$N48)</f>
        <v>0</v>
      </c>
      <c r="Y48" s="32" t="n">
        <f aca="false">INDEX('Tabela Passaro'!$U$2:$U$1795,$N48)</f>
        <v>0</v>
      </c>
      <c r="Z48" s="32" t="n">
        <f aca="false">INDEX('Tabela Passaro'!$V$2:$V$1795,$N48)</f>
        <v>0</v>
      </c>
      <c r="AA48" s="32" t="n">
        <f aca="false">SUM(R48:Z48)</f>
        <v>110.38652</v>
      </c>
      <c r="AB48" s="33" t="n">
        <f aca="false">INDEX(Premissas!$B$5:$B$13,MATCH(A48,Premissas!$A$5:$A$13,0))</f>
        <v>0.07</v>
      </c>
      <c r="AC48" s="32" t="n">
        <f aca="false">AA48/(1-AB48)-AA48</f>
        <v>8.30866279569894</v>
      </c>
      <c r="AD48" s="32" t="n">
        <f aca="false">ROUND(AA48+AC48,2)</f>
        <v>118.7</v>
      </c>
      <c r="AE48" s="32" t="n">
        <f aca="false">AD48-L48</f>
        <v>9.97</v>
      </c>
      <c r="AF48" s="34" t="n">
        <f aca="false">IF(L48=0,0,AE48/L48)</f>
        <v>0.0916950243722983</v>
      </c>
      <c r="AG48" s="22" t="str">
        <f aca="false">IF(AD48&lt;L48,"PASSARO","ATUAL")</f>
        <v>ATUAL</v>
      </c>
      <c r="AH48" s="22" t="str">
        <f aca="false">IF(P48&lt;&gt;A48,"Faixa cadastrada como "&amp;P48&amp;" na tabela; preço aplicado pela UF do CEP","")</f>
        <v/>
      </c>
      <c r="AI48" s="26" t="n">
        <v>143.75</v>
      </c>
      <c r="AJ48" s="22" t="str">
        <f aca="false">INDEX('Tabela Passaro'!$X$2:$X$1795,$N48)</f>
        <v>CAPITAL</v>
      </c>
    </row>
    <row r="49" customFormat="false" ht="15" hidden="false" customHeight="false" outlineLevel="0" collapsed="false">
      <c r="A49" s="22" t="s">
        <v>15</v>
      </c>
      <c r="B49" s="22" t="n">
        <v>1</v>
      </c>
      <c r="C49" s="22" t="s">
        <v>59</v>
      </c>
      <c r="D49" s="22" t="s">
        <v>30</v>
      </c>
      <c r="E49" s="22" t="s">
        <v>7328</v>
      </c>
      <c r="F49" s="22" t="n">
        <v>2314430</v>
      </c>
      <c r="G49" s="30" t="n">
        <v>46254</v>
      </c>
      <c r="H49" s="22" t="n">
        <v>134112</v>
      </c>
      <c r="I49" s="22" t="s">
        <v>7374</v>
      </c>
      <c r="J49" s="31" t="n">
        <v>48</v>
      </c>
      <c r="K49" s="26" t="n">
        <v>1014.34</v>
      </c>
      <c r="L49" s="26" t="n">
        <v>158.89</v>
      </c>
      <c r="M49" s="22" t="s">
        <v>283</v>
      </c>
      <c r="N49" s="22" t="n">
        <f aca="false">MATCH(M49,'Tabela Passaro'!$A$2:$A$1795,0)</f>
        <v>1</v>
      </c>
      <c r="O49" s="22" t="str">
        <f aca="false">INDEX('Tabela Passaro'!$C$2:$C$1795,$N49)</f>
        <v>MACEIO</v>
      </c>
      <c r="P49" s="22" t="str">
        <f aca="false">INDEX('Tabela Passaro'!$B$2:$B$1795,$N49)</f>
        <v>AL</v>
      </c>
      <c r="Q49" s="22" t="n">
        <f aca="false">INDEX('Tabela Passaro'!$F$2:$F$1795,$N49)</f>
        <v>8</v>
      </c>
      <c r="R49" s="32" t="n">
        <f aca="false">IF(J49&lt;=10,INDEX('Tabela Passaro'!$G$2:$G$1795,$N49),IF(J49&lt;=30,INDEX('Tabela Passaro'!$H$2:$H$1795,$N49),IF(J49&lt;=50,INDEX('Tabela Passaro'!$I$2:$I$1795,$N49),IF(J49&lt;=70,INDEX('Tabela Passaro'!$J$2:$J$1795,$N49),IF(J49&lt;=100,INDEX('Tabela Passaro'!$K$2:$K$1795,$N49),INDEX('Tabela Passaro'!$K$2:$K$1795,$N49)+(J49-100)*INDEX('Tabela Passaro'!$L$2:$L$1795,$N49))))))</f>
        <v>77.96</v>
      </c>
      <c r="S49" s="32" t="n">
        <f aca="false">K49*INDEX('Tabela Passaro'!$M$2:$M$1795,$N49)</f>
        <v>5.0717</v>
      </c>
      <c r="T49" s="32" t="n">
        <f aca="false">K49*INDEX('Tabela Passaro'!$N$2:$N$1795,$N49)</f>
        <v>2.02868</v>
      </c>
      <c r="U49" s="32" t="n">
        <f aca="false">INDEX('Tabela Passaro'!$O$2:$O$1795,$N49)</f>
        <v>5</v>
      </c>
      <c r="V49" s="32" t="n">
        <f aca="false">ROUNDUP(J49/INDEX('Tabela Passaro'!$Q$2:$Q$1795,$N49),0)*INDEX('Tabela Passaro'!$P$2:$P$1795,$N49)</f>
        <v>5</v>
      </c>
      <c r="W49" s="32" t="n">
        <f aca="false">INDEX('Tabela Passaro'!$R$2:$R$1795,$N49)</f>
        <v>30</v>
      </c>
      <c r="X49" s="32" t="n">
        <f aca="false">ROUNDUP(J49/INDEX('Tabela Passaro'!$T$2:$T$1795,$N49),0)*INDEX('Tabela Passaro'!$S$2:$S$1795,$N49)</f>
        <v>0</v>
      </c>
      <c r="Y49" s="32" t="n">
        <f aca="false">INDEX('Tabela Passaro'!$U$2:$U$1795,$N49)</f>
        <v>0</v>
      </c>
      <c r="Z49" s="32" t="n">
        <f aca="false">INDEX('Tabela Passaro'!$V$2:$V$1795,$N49)</f>
        <v>0</v>
      </c>
      <c r="AA49" s="32" t="n">
        <f aca="false">SUM(R49:Z49)</f>
        <v>125.06038</v>
      </c>
      <c r="AB49" s="33" t="n">
        <f aca="false">INDEX(Premissas!$B$5:$B$13,MATCH(A49,Premissas!$A$5:$A$13,0))</f>
        <v>0.07</v>
      </c>
      <c r="AC49" s="32" t="n">
        <f aca="false">AA49/(1-AB49)-AA49</f>
        <v>9.41314688172044</v>
      </c>
      <c r="AD49" s="32" t="n">
        <f aca="false">ROUND(AA49+AC49,2)</f>
        <v>134.47</v>
      </c>
      <c r="AE49" s="32" t="n">
        <f aca="false">AD49-L49</f>
        <v>-24.42</v>
      </c>
      <c r="AF49" s="34" t="n">
        <f aca="false">IF(L49=0,0,AE49/L49)</f>
        <v>-0.153691232928441</v>
      </c>
      <c r="AG49" s="22" t="str">
        <f aca="false">IF(AD49&lt;L49,"PASSARO","ATUAL")</f>
        <v>PASSARO</v>
      </c>
      <c r="AH49" s="22" t="str">
        <f aca="false">IF(P49&lt;&gt;A49,"Faixa cadastrada como "&amp;P49&amp;" na tabela; preço aplicado pela UF do CEP","")</f>
        <v/>
      </c>
      <c r="AI49" s="26" t="n">
        <v>170.04</v>
      </c>
      <c r="AJ49" s="22" t="str">
        <f aca="false">INDEX('Tabela Passaro'!$X$2:$X$1795,$N49)</f>
        <v>CAPITAL</v>
      </c>
    </row>
    <row r="50" customFormat="false" ht="15" hidden="false" customHeight="false" outlineLevel="0" collapsed="false">
      <c r="A50" s="22" t="s">
        <v>15</v>
      </c>
      <c r="B50" s="22" t="n">
        <v>1</v>
      </c>
      <c r="C50" s="22" t="s">
        <v>59</v>
      </c>
      <c r="D50" s="22" t="s">
        <v>30</v>
      </c>
      <c r="E50" s="22" t="s">
        <v>7328</v>
      </c>
      <c r="F50" s="22" t="n">
        <v>2314460</v>
      </c>
      <c r="G50" s="30" t="n">
        <v>46254</v>
      </c>
      <c r="H50" s="22" t="n">
        <v>134318</v>
      </c>
      <c r="I50" s="22" t="s">
        <v>7375</v>
      </c>
      <c r="J50" s="31" t="n">
        <v>48</v>
      </c>
      <c r="K50" s="26" t="n">
        <v>1143.72</v>
      </c>
      <c r="L50" s="26" t="n">
        <v>159.92</v>
      </c>
      <c r="M50" s="22" t="s">
        <v>283</v>
      </c>
      <c r="N50" s="22" t="n">
        <f aca="false">MATCH(M50,'Tabela Passaro'!$A$2:$A$1795,0)</f>
        <v>1</v>
      </c>
      <c r="O50" s="22" t="str">
        <f aca="false">INDEX('Tabela Passaro'!$C$2:$C$1795,$N50)</f>
        <v>MACEIO</v>
      </c>
      <c r="P50" s="22" t="str">
        <f aca="false">INDEX('Tabela Passaro'!$B$2:$B$1795,$N50)</f>
        <v>AL</v>
      </c>
      <c r="Q50" s="22" t="n">
        <f aca="false">INDEX('Tabela Passaro'!$F$2:$F$1795,$N50)</f>
        <v>8</v>
      </c>
      <c r="R50" s="32" t="n">
        <f aca="false">IF(J50&lt;=10,INDEX('Tabela Passaro'!$G$2:$G$1795,$N50),IF(J50&lt;=30,INDEX('Tabela Passaro'!$H$2:$H$1795,$N50),IF(J50&lt;=50,INDEX('Tabela Passaro'!$I$2:$I$1795,$N50),IF(J50&lt;=70,INDEX('Tabela Passaro'!$J$2:$J$1795,$N50),IF(J50&lt;=100,INDEX('Tabela Passaro'!$K$2:$K$1795,$N50),INDEX('Tabela Passaro'!$K$2:$K$1795,$N50)+(J50-100)*INDEX('Tabela Passaro'!$L$2:$L$1795,$N50))))))</f>
        <v>77.96</v>
      </c>
      <c r="S50" s="32" t="n">
        <f aca="false">K50*INDEX('Tabela Passaro'!$M$2:$M$1795,$N50)</f>
        <v>5.7186</v>
      </c>
      <c r="T50" s="32" t="n">
        <f aca="false">K50*INDEX('Tabela Passaro'!$N$2:$N$1795,$N50)</f>
        <v>2.28744</v>
      </c>
      <c r="U50" s="32" t="n">
        <f aca="false">INDEX('Tabela Passaro'!$O$2:$O$1795,$N50)</f>
        <v>5</v>
      </c>
      <c r="V50" s="32" t="n">
        <f aca="false">ROUNDUP(J50/INDEX('Tabela Passaro'!$Q$2:$Q$1795,$N50),0)*INDEX('Tabela Passaro'!$P$2:$P$1795,$N50)</f>
        <v>5</v>
      </c>
      <c r="W50" s="32" t="n">
        <f aca="false">INDEX('Tabela Passaro'!$R$2:$R$1795,$N50)</f>
        <v>30</v>
      </c>
      <c r="X50" s="32" t="n">
        <f aca="false">ROUNDUP(J50/INDEX('Tabela Passaro'!$T$2:$T$1795,$N50),0)*INDEX('Tabela Passaro'!$S$2:$S$1795,$N50)</f>
        <v>0</v>
      </c>
      <c r="Y50" s="32" t="n">
        <f aca="false">INDEX('Tabela Passaro'!$U$2:$U$1795,$N50)</f>
        <v>0</v>
      </c>
      <c r="Z50" s="32" t="n">
        <f aca="false">INDEX('Tabela Passaro'!$V$2:$V$1795,$N50)</f>
        <v>0</v>
      </c>
      <c r="AA50" s="32" t="n">
        <f aca="false">SUM(R50:Z50)</f>
        <v>125.96604</v>
      </c>
      <c r="AB50" s="33" t="n">
        <f aca="false">INDEX(Premissas!$B$5:$B$13,MATCH(A50,Premissas!$A$5:$A$13,0))</f>
        <v>0.07</v>
      </c>
      <c r="AC50" s="32" t="n">
        <f aca="false">AA50/(1-AB50)-AA50</f>
        <v>9.48131483870969</v>
      </c>
      <c r="AD50" s="32" t="n">
        <f aca="false">ROUND(AA50+AC50,2)</f>
        <v>135.45</v>
      </c>
      <c r="AE50" s="32" t="n">
        <f aca="false">AD50-L50</f>
        <v>-24.47</v>
      </c>
      <c r="AF50" s="34" t="n">
        <f aca="false">IF(L50=0,0,AE50/L50)</f>
        <v>-0.153014007003502</v>
      </c>
      <c r="AG50" s="22" t="str">
        <f aca="false">IF(AD50&lt;L50,"PASSARO","ATUAL")</f>
        <v>PASSARO</v>
      </c>
      <c r="AH50" s="22" t="str">
        <f aca="false">IF(P50&lt;&gt;A50,"Faixa cadastrada como "&amp;P50&amp;" na tabela; preço aplicado pela UF do CEP","")</f>
        <v/>
      </c>
      <c r="AI50" s="26" t="n">
        <v>171.29</v>
      </c>
      <c r="AJ50" s="22" t="str">
        <f aca="false">INDEX('Tabela Passaro'!$X$2:$X$1795,$N50)</f>
        <v>CAPITAL</v>
      </c>
    </row>
    <row r="51" customFormat="false" ht="15" hidden="false" customHeight="false" outlineLevel="0" collapsed="false">
      <c r="A51" s="22" t="s">
        <v>15</v>
      </c>
      <c r="B51" s="22" t="n">
        <v>1</v>
      </c>
      <c r="C51" s="22" t="s">
        <v>59</v>
      </c>
      <c r="D51" s="22" t="s">
        <v>30</v>
      </c>
      <c r="E51" s="22" t="s">
        <v>20</v>
      </c>
      <c r="F51" s="22" t="n">
        <v>839839</v>
      </c>
      <c r="G51" s="30" t="n">
        <v>46255</v>
      </c>
      <c r="H51" s="22" t="n">
        <v>32588</v>
      </c>
      <c r="I51" s="22" t="s">
        <v>7376</v>
      </c>
      <c r="J51" s="31" t="n">
        <v>79.26</v>
      </c>
      <c r="K51" s="26" t="n">
        <v>1609.99</v>
      </c>
      <c r="L51" s="26" t="n">
        <v>207.49</v>
      </c>
      <c r="M51" s="22" t="s">
        <v>283</v>
      </c>
      <c r="N51" s="22" t="n">
        <f aca="false">MATCH(M51,'Tabela Passaro'!$A$2:$A$1795,0)</f>
        <v>1</v>
      </c>
      <c r="O51" s="22" t="str">
        <f aca="false">INDEX('Tabela Passaro'!$C$2:$C$1795,$N51)</f>
        <v>MACEIO</v>
      </c>
      <c r="P51" s="22" t="str">
        <f aca="false">INDEX('Tabela Passaro'!$B$2:$B$1795,$N51)</f>
        <v>AL</v>
      </c>
      <c r="Q51" s="22" t="n">
        <f aca="false">INDEX('Tabela Passaro'!$F$2:$F$1795,$N51)</f>
        <v>8</v>
      </c>
      <c r="R51" s="32" t="n">
        <f aca="false">IF(J51&lt;=10,INDEX('Tabela Passaro'!$G$2:$G$1795,$N51),IF(J51&lt;=30,INDEX('Tabela Passaro'!$H$2:$H$1795,$N51),IF(J51&lt;=50,INDEX('Tabela Passaro'!$I$2:$I$1795,$N51),IF(J51&lt;=70,INDEX('Tabela Passaro'!$J$2:$J$1795,$N51),IF(J51&lt;=100,INDEX('Tabela Passaro'!$K$2:$K$1795,$N51),INDEX('Tabela Passaro'!$K$2:$K$1795,$N51)+(J51-100)*INDEX('Tabela Passaro'!$L$2:$L$1795,$N51))))))</f>
        <v>105.51</v>
      </c>
      <c r="S51" s="32" t="n">
        <f aca="false">K51*INDEX('Tabela Passaro'!$M$2:$M$1795,$N51)</f>
        <v>8.04995</v>
      </c>
      <c r="T51" s="32" t="n">
        <f aca="false">K51*INDEX('Tabela Passaro'!$N$2:$N$1795,$N51)</f>
        <v>3.21998</v>
      </c>
      <c r="U51" s="32" t="n">
        <f aca="false">INDEX('Tabela Passaro'!$O$2:$O$1795,$N51)</f>
        <v>5</v>
      </c>
      <c r="V51" s="32" t="n">
        <f aca="false">ROUNDUP(J51/INDEX('Tabela Passaro'!$Q$2:$Q$1795,$N51),0)*INDEX('Tabela Passaro'!$P$2:$P$1795,$N51)</f>
        <v>5</v>
      </c>
      <c r="W51" s="32" t="n">
        <f aca="false">INDEX('Tabela Passaro'!$R$2:$R$1795,$N51)</f>
        <v>30</v>
      </c>
      <c r="X51" s="32" t="n">
        <f aca="false">ROUNDUP(J51/INDEX('Tabela Passaro'!$T$2:$T$1795,$N51),0)*INDEX('Tabela Passaro'!$S$2:$S$1795,$N51)</f>
        <v>0</v>
      </c>
      <c r="Y51" s="32" t="n">
        <f aca="false">INDEX('Tabela Passaro'!$U$2:$U$1795,$N51)</f>
        <v>0</v>
      </c>
      <c r="Z51" s="32" t="n">
        <f aca="false">INDEX('Tabela Passaro'!$V$2:$V$1795,$N51)</f>
        <v>0</v>
      </c>
      <c r="AA51" s="32" t="n">
        <f aca="false">SUM(R51:Z51)</f>
        <v>156.77993</v>
      </c>
      <c r="AB51" s="33" t="n">
        <f aca="false">INDEX(Premissas!$B$5:$B$13,MATCH(A51,Premissas!$A$5:$A$13,0))</f>
        <v>0.07</v>
      </c>
      <c r="AC51" s="32" t="n">
        <f aca="false">AA51/(1-AB51)-AA51</f>
        <v>11.8006398924731</v>
      </c>
      <c r="AD51" s="32" t="n">
        <f aca="false">ROUND(AA51+AC51,2)</f>
        <v>168.58</v>
      </c>
      <c r="AE51" s="32" t="n">
        <f aca="false">AD51-L51</f>
        <v>-38.91</v>
      </c>
      <c r="AF51" s="34" t="n">
        <f aca="false">IF(L51=0,0,AE51/L51)</f>
        <v>-0.187527109740228</v>
      </c>
      <c r="AG51" s="22" t="str">
        <f aca="false">IF(AD51&lt;L51,"PASSARO","ATUAL")</f>
        <v>PASSARO</v>
      </c>
      <c r="AH51" s="22" t="str">
        <f aca="false">IF(P51&lt;&gt;A51,"Faixa cadastrada como "&amp;P51&amp;" na tabela; preço aplicado pela UF do CEP","")</f>
        <v/>
      </c>
      <c r="AI51" s="26" t="n">
        <v>222.6</v>
      </c>
      <c r="AJ51" s="22" t="str">
        <f aca="false">INDEX('Tabela Passaro'!$X$2:$X$1795,$N51)</f>
        <v>CAPITAL</v>
      </c>
    </row>
    <row r="52" customFormat="false" ht="15" hidden="false" customHeight="false" outlineLevel="0" collapsed="false">
      <c r="A52" s="22" t="s">
        <v>15</v>
      </c>
      <c r="B52" s="22" t="n">
        <v>1</v>
      </c>
      <c r="C52" s="22" t="s">
        <v>59</v>
      </c>
      <c r="D52" s="22" t="s">
        <v>30</v>
      </c>
      <c r="E52" s="22" t="s">
        <v>7326</v>
      </c>
      <c r="F52" s="22" t="n">
        <v>526653</v>
      </c>
      <c r="G52" s="30" t="n">
        <v>46255</v>
      </c>
      <c r="H52" s="22" t="n">
        <v>627522</v>
      </c>
      <c r="I52" s="22" t="s">
        <v>7377</v>
      </c>
      <c r="J52" s="31" t="n">
        <v>36.55</v>
      </c>
      <c r="K52" s="26" t="n">
        <v>586.79</v>
      </c>
      <c r="L52" s="26" t="n">
        <v>176.29</v>
      </c>
      <c r="M52" s="22" t="s">
        <v>283</v>
      </c>
      <c r="N52" s="22" t="n">
        <f aca="false">MATCH(M52,'Tabela Passaro'!$A$2:$A$1795,0)</f>
        <v>1</v>
      </c>
      <c r="O52" s="22" t="str">
        <f aca="false">INDEX('Tabela Passaro'!$C$2:$C$1795,$N52)</f>
        <v>MACEIO</v>
      </c>
      <c r="P52" s="22" t="str">
        <f aca="false">INDEX('Tabela Passaro'!$B$2:$B$1795,$N52)</f>
        <v>AL</v>
      </c>
      <c r="Q52" s="22" t="n">
        <f aca="false">INDEX('Tabela Passaro'!$F$2:$F$1795,$N52)</f>
        <v>8</v>
      </c>
      <c r="R52" s="32" t="n">
        <f aca="false">IF(J52&lt;=10,INDEX('Tabela Passaro'!$G$2:$G$1795,$N52),IF(J52&lt;=30,INDEX('Tabela Passaro'!$H$2:$H$1795,$N52),IF(J52&lt;=50,INDEX('Tabela Passaro'!$I$2:$I$1795,$N52),IF(J52&lt;=70,INDEX('Tabela Passaro'!$J$2:$J$1795,$N52),IF(J52&lt;=100,INDEX('Tabela Passaro'!$K$2:$K$1795,$N52),INDEX('Tabela Passaro'!$K$2:$K$1795,$N52)+(J52-100)*INDEX('Tabela Passaro'!$L$2:$L$1795,$N52))))))</f>
        <v>77.96</v>
      </c>
      <c r="S52" s="32" t="n">
        <f aca="false">K52*INDEX('Tabela Passaro'!$M$2:$M$1795,$N52)</f>
        <v>2.93395</v>
      </c>
      <c r="T52" s="32" t="n">
        <f aca="false">K52*INDEX('Tabela Passaro'!$N$2:$N$1795,$N52)</f>
        <v>1.17358</v>
      </c>
      <c r="U52" s="32" t="n">
        <f aca="false">INDEX('Tabela Passaro'!$O$2:$O$1795,$N52)</f>
        <v>5</v>
      </c>
      <c r="V52" s="32" t="n">
        <f aca="false">ROUNDUP(J52/INDEX('Tabela Passaro'!$Q$2:$Q$1795,$N52),0)*INDEX('Tabela Passaro'!$P$2:$P$1795,$N52)</f>
        <v>5</v>
      </c>
      <c r="W52" s="32" t="n">
        <f aca="false">INDEX('Tabela Passaro'!$R$2:$R$1795,$N52)</f>
        <v>30</v>
      </c>
      <c r="X52" s="32" t="n">
        <f aca="false">ROUNDUP(J52/INDEX('Tabela Passaro'!$T$2:$T$1795,$N52),0)*INDEX('Tabela Passaro'!$S$2:$S$1795,$N52)</f>
        <v>0</v>
      </c>
      <c r="Y52" s="32" t="n">
        <f aca="false">INDEX('Tabela Passaro'!$U$2:$U$1795,$N52)</f>
        <v>0</v>
      </c>
      <c r="Z52" s="32" t="n">
        <f aca="false">INDEX('Tabela Passaro'!$V$2:$V$1795,$N52)</f>
        <v>0</v>
      </c>
      <c r="AA52" s="32" t="n">
        <f aca="false">SUM(R52:Z52)</f>
        <v>122.06753</v>
      </c>
      <c r="AB52" s="33" t="n">
        <f aca="false">INDEX(Premissas!$B$5:$B$13,MATCH(A52,Premissas!$A$5:$A$13,0))</f>
        <v>0.07</v>
      </c>
      <c r="AC52" s="32" t="n">
        <f aca="false">AA52/(1-AB52)-AA52</f>
        <v>9.18787860215055</v>
      </c>
      <c r="AD52" s="32" t="n">
        <f aca="false">ROUND(AA52+AC52,2)</f>
        <v>131.26</v>
      </c>
      <c r="AE52" s="32" t="n">
        <f aca="false">AD52-L52</f>
        <v>-45.03</v>
      </c>
      <c r="AF52" s="34" t="n">
        <f aca="false">IF(L52=0,0,AE52/L52)</f>
        <v>-0.255431391457258</v>
      </c>
      <c r="AG52" s="22" t="str">
        <f aca="false">IF(AD52&lt;L52,"PASSARO","ATUAL")</f>
        <v>PASSARO</v>
      </c>
      <c r="AH52" s="22" t="str">
        <f aca="false">IF(P52&lt;&gt;A52,"Faixa cadastrada como "&amp;P52&amp;" na tabela; preço aplicado pela UF do CEP","")</f>
        <v/>
      </c>
      <c r="AI52" s="26" t="n">
        <v>160.58</v>
      </c>
      <c r="AJ52" s="22" t="str">
        <f aca="false">INDEX('Tabela Passaro'!$X$2:$X$1795,$N52)</f>
        <v>CAPITAL</v>
      </c>
    </row>
    <row r="53" customFormat="false" ht="15" hidden="false" customHeight="false" outlineLevel="0" collapsed="false">
      <c r="A53" s="22" t="s">
        <v>15</v>
      </c>
      <c r="B53" s="22" t="n">
        <v>1</v>
      </c>
      <c r="C53" s="22" t="s">
        <v>59</v>
      </c>
      <c r="D53" s="22" t="s">
        <v>30</v>
      </c>
      <c r="E53" s="22" t="s">
        <v>7326</v>
      </c>
      <c r="F53" s="22" t="n">
        <v>526677</v>
      </c>
      <c r="G53" s="30" t="n">
        <v>46255</v>
      </c>
      <c r="H53" s="22" t="n">
        <v>627723</v>
      </c>
      <c r="I53" s="22" t="s">
        <v>7378</v>
      </c>
      <c r="J53" s="31" t="n">
        <v>119.8</v>
      </c>
      <c r="K53" s="26" t="n">
        <v>1732.11</v>
      </c>
      <c r="L53" s="26" t="n">
        <v>354.72</v>
      </c>
      <c r="M53" s="22" t="s">
        <v>283</v>
      </c>
      <c r="N53" s="22" t="n">
        <f aca="false">MATCH(M53,'Tabela Passaro'!$A$2:$A$1795,0)</f>
        <v>1</v>
      </c>
      <c r="O53" s="22" t="str">
        <f aca="false">INDEX('Tabela Passaro'!$C$2:$C$1795,$N53)</f>
        <v>MACEIO</v>
      </c>
      <c r="P53" s="22" t="str">
        <f aca="false">INDEX('Tabela Passaro'!$B$2:$B$1795,$N53)</f>
        <v>AL</v>
      </c>
      <c r="Q53" s="22" t="n">
        <f aca="false">INDEX('Tabela Passaro'!$F$2:$F$1795,$N53)</f>
        <v>8</v>
      </c>
      <c r="R53" s="32" t="n">
        <f aca="false">IF(J53&lt;=10,INDEX('Tabela Passaro'!$G$2:$G$1795,$N53),IF(J53&lt;=30,INDEX('Tabela Passaro'!$H$2:$H$1795,$N53),IF(J53&lt;=50,INDEX('Tabela Passaro'!$I$2:$I$1795,$N53),IF(J53&lt;=70,INDEX('Tabela Passaro'!$J$2:$J$1795,$N53),IF(J53&lt;=100,INDEX('Tabela Passaro'!$K$2:$K$1795,$N53),INDEX('Tabela Passaro'!$K$2:$K$1795,$N53)+(J53-100)*INDEX('Tabela Passaro'!$L$2:$L$1795,$N53))))))</f>
        <v>135.21</v>
      </c>
      <c r="S53" s="32" t="n">
        <f aca="false">K53*INDEX('Tabela Passaro'!$M$2:$M$1795,$N53)</f>
        <v>8.66055</v>
      </c>
      <c r="T53" s="32" t="n">
        <f aca="false">K53*INDEX('Tabela Passaro'!$N$2:$N$1795,$N53)</f>
        <v>3.46422</v>
      </c>
      <c r="U53" s="32" t="n">
        <f aca="false">INDEX('Tabela Passaro'!$O$2:$O$1795,$N53)</f>
        <v>5</v>
      </c>
      <c r="V53" s="32" t="n">
        <f aca="false">ROUNDUP(J53/INDEX('Tabela Passaro'!$Q$2:$Q$1795,$N53),0)*INDEX('Tabela Passaro'!$P$2:$P$1795,$N53)</f>
        <v>10</v>
      </c>
      <c r="W53" s="32" t="n">
        <f aca="false">INDEX('Tabela Passaro'!$R$2:$R$1795,$N53)</f>
        <v>30</v>
      </c>
      <c r="X53" s="32" t="n">
        <f aca="false">ROUNDUP(J53/INDEX('Tabela Passaro'!$T$2:$T$1795,$N53),0)*INDEX('Tabela Passaro'!$S$2:$S$1795,$N53)</f>
        <v>0</v>
      </c>
      <c r="Y53" s="32" t="n">
        <f aca="false">INDEX('Tabela Passaro'!$U$2:$U$1795,$N53)</f>
        <v>0</v>
      </c>
      <c r="Z53" s="32" t="n">
        <f aca="false">INDEX('Tabela Passaro'!$V$2:$V$1795,$N53)</f>
        <v>0</v>
      </c>
      <c r="AA53" s="32" t="n">
        <f aca="false">SUM(R53:Z53)</f>
        <v>192.33477</v>
      </c>
      <c r="AB53" s="33" t="n">
        <f aca="false">INDEX(Premissas!$B$5:$B$13,MATCH(A53,Premissas!$A$5:$A$13,0))</f>
        <v>0.07</v>
      </c>
      <c r="AC53" s="32" t="n">
        <f aca="false">AA53/(1-AB53)-AA53</f>
        <v>14.4768106451613</v>
      </c>
      <c r="AD53" s="32" t="n">
        <f aca="false">ROUND(AA53+AC53,2)</f>
        <v>206.81</v>
      </c>
      <c r="AE53" s="32" t="n">
        <f aca="false">AD53-L53</f>
        <v>-147.91</v>
      </c>
      <c r="AF53" s="34" t="n">
        <f aca="false">IF(L53=0,0,AE53/L53)</f>
        <v>-0.416976770410465</v>
      </c>
      <c r="AG53" s="22" t="str">
        <f aca="false">IF(AD53&lt;L53,"PASSARO","ATUAL")</f>
        <v>PASSARO</v>
      </c>
      <c r="AH53" s="22" t="str">
        <f aca="false">IF(P53&lt;&gt;A53,"Faixa cadastrada como "&amp;P53&amp;" na tabela; preço aplicado pela UF do CEP","")</f>
        <v/>
      </c>
      <c r="AI53" s="26" t="n">
        <v>284.5</v>
      </c>
      <c r="AJ53" s="22" t="str">
        <f aca="false">INDEX('Tabela Passaro'!$X$2:$X$1795,$N53)</f>
        <v>CAPITAL</v>
      </c>
    </row>
    <row r="54" customFormat="false" ht="15" hidden="false" customHeight="false" outlineLevel="0" collapsed="false">
      <c r="A54" s="22" t="s">
        <v>15</v>
      </c>
      <c r="B54" s="22" t="n">
        <v>1</v>
      </c>
      <c r="C54" s="22" t="s">
        <v>59</v>
      </c>
      <c r="D54" s="22" t="s">
        <v>30</v>
      </c>
      <c r="E54" s="22" t="s">
        <v>7326</v>
      </c>
      <c r="F54" s="22" t="n">
        <v>526681</v>
      </c>
      <c r="G54" s="30" t="n">
        <v>46255</v>
      </c>
      <c r="H54" s="22" t="n">
        <v>627727</v>
      </c>
      <c r="I54" s="22" t="s">
        <v>7379</v>
      </c>
      <c r="J54" s="31" t="n">
        <v>106.5</v>
      </c>
      <c r="K54" s="26" t="n">
        <v>1468.53</v>
      </c>
      <c r="L54" s="26" t="n">
        <v>328.63</v>
      </c>
      <c r="M54" s="22" t="s">
        <v>283</v>
      </c>
      <c r="N54" s="22" t="n">
        <f aca="false">MATCH(M54,'Tabela Passaro'!$A$2:$A$1795,0)</f>
        <v>1</v>
      </c>
      <c r="O54" s="22" t="str">
        <f aca="false">INDEX('Tabela Passaro'!$C$2:$C$1795,$N54)</f>
        <v>MACEIO</v>
      </c>
      <c r="P54" s="22" t="str">
        <f aca="false">INDEX('Tabela Passaro'!$B$2:$B$1795,$N54)</f>
        <v>AL</v>
      </c>
      <c r="Q54" s="22" t="n">
        <f aca="false">INDEX('Tabela Passaro'!$F$2:$F$1795,$N54)</f>
        <v>8</v>
      </c>
      <c r="R54" s="32" t="n">
        <f aca="false">IF(J54&lt;=10,INDEX('Tabela Passaro'!$G$2:$G$1795,$N54),IF(J54&lt;=30,INDEX('Tabela Passaro'!$H$2:$H$1795,$N54),IF(J54&lt;=50,INDEX('Tabela Passaro'!$I$2:$I$1795,$N54),IF(J54&lt;=70,INDEX('Tabela Passaro'!$J$2:$J$1795,$N54),IF(J54&lt;=100,INDEX('Tabela Passaro'!$K$2:$K$1795,$N54),INDEX('Tabela Passaro'!$K$2:$K$1795,$N54)+(J54-100)*INDEX('Tabela Passaro'!$L$2:$L$1795,$N54))))))</f>
        <v>115.26</v>
      </c>
      <c r="S54" s="32" t="n">
        <f aca="false">K54*INDEX('Tabela Passaro'!$M$2:$M$1795,$N54)</f>
        <v>7.34265</v>
      </c>
      <c r="T54" s="32" t="n">
        <f aca="false">K54*INDEX('Tabela Passaro'!$N$2:$N$1795,$N54)</f>
        <v>2.93706</v>
      </c>
      <c r="U54" s="32" t="n">
        <f aca="false">INDEX('Tabela Passaro'!$O$2:$O$1795,$N54)</f>
        <v>5</v>
      </c>
      <c r="V54" s="32" t="n">
        <f aca="false">ROUNDUP(J54/INDEX('Tabela Passaro'!$Q$2:$Q$1795,$N54),0)*INDEX('Tabela Passaro'!$P$2:$P$1795,$N54)</f>
        <v>10</v>
      </c>
      <c r="W54" s="32" t="n">
        <f aca="false">INDEX('Tabela Passaro'!$R$2:$R$1795,$N54)</f>
        <v>30</v>
      </c>
      <c r="X54" s="32" t="n">
        <f aca="false">ROUNDUP(J54/INDEX('Tabela Passaro'!$T$2:$T$1795,$N54),0)*INDEX('Tabela Passaro'!$S$2:$S$1795,$N54)</f>
        <v>0</v>
      </c>
      <c r="Y54" s="32" t="n">
        <f aca="false">INDEX('Tabela Passaro'!$U$2:$U$1795,$N54)</f>
        <v>0</v>
      </c>
      <c r="Z54" s="32" t="n">
        <f aca="false">INDEX('Tabela Passaro'!$V$2:$V$1795,$N54)</f>
        <v>0</v>
      </c>
      <c r="AA54" s="32" t="n">
        <f aca="false">SUM(R54:Z54)</f>
        <v>170.53971</v>
      </c>
      <c r="AB54" s="33" t="n">
        <f aca="false">INDEX(Premissas!$B$5:$B$13,MATCH(A54,Premissas!$A$5:$A$13,0))</f>
        <v>0.07</v>
      </c>
      <c r="AC54" s="32" t="n">
        <f aca="false">AA54/(1-AB54)-AA54</f>
        <v>12.8363222580645</v>
      </c>
      <c r="AD54" s="32" t="n">
        <f aca="false">ROUND(AA54+AC54,2)</f>
        <v>183.38</v>
      </c>
      <c r="AE54" s="32" t="n">
        <f aca="false">AD54-L54</f>
        <v>-145.25</v>
      </c>
      <c r="AF54" s="34" t="n">
        <f aca="false">IF(L54=0,0,AE54/L54)</f>
        <v>-0.441986428506223</v>
      </c>
      <c r="AG54" s="22" t="str">
        <f aca="false">IF(AD54&lt;L54,"PASSARO","ATUAL")</f>
        <v>PASSARO</v>
      </c>
      <c r="AH54" s="22" t="str">
        <f aca="false">IF(P54&lt;&gt;A54,"Faixa cadastrada como "&amp;P54&amp;" na tabela; preço aplicado pela UF do CEP","")</f>
        <v/>
      </c>
      <c r="AI54" s="26" t="n">
        <v>251.49</v>
      </c>
      <c r="AJ54" s="22" t="str">
        <f aca="false">INDEX('Tabela Passaro'!$X$2:$X$1795,$N54)</f>
        <v>CAPITAL</v>
      </c>
    </row>
    <row r="55" customFormat="false" ht="15" hidden="false" customHeight="false" outlineLevel="0" collapsed="false">
      <c r="A55" s="22" t="s">
        <v>15</v>
      </c>
      <c r="B55" s="22" t="n">
        <v>1</v>
      </c>
      <c r="C55" s="22" t="s">
        <v>59</v>
      </c>
      <c r="D55" s="22" t="s">
        <v>30</v>
      </c>
      <c r="E55" s="22" t="s">
        <v>7326</v>
      </c>
      <c r="F55" s="22" t="n">
        <v>526645</v>
      </c>
      <c r="G55" s="30" t="n">
        <v>46255</v>
      </c>
      <c r="H55" s="22" t="n">
        <v>628028</v>
      </c>
      <c r="I55" s="22" t="s">
        <v>7380</v>
      </c>
      <c r="J55" s="31" t="n">
        <v>168.8</v>
      </c>
      <c r="K55" s="26" t="n">
        <v>2245.4</v>
      </c>
      <c r="L55" s="26" t="n">
        <v>446.91</v>
      </c>
      <c r="M55" s="22" t="s">
        <v>283</v>
      </c>
      <c r="N55" s="22" t="n">
        <f aca="false">MATCH(M55,'Tabela Passaro'!$A$2:$A$1795,0)</f>
        <v>1</v>
      </c>
      <c r="O55" s="22" t="str">
        <f aca="false">INDEX('Tabela Passaro'!$C$2:$C$1795,$N55)</f>
        <v>MACEIO</v>
      </c>
      <c r="P55" s="22" t="str">
        <f aca="false">INDEX('Tabela Passaro'!$B$2:$B$1795,$N55)</f>
        <v>AL</v>
      </c>
      <c r="Q55" s="22" t="n">
        <f aca="false">INDEX('Tabela Passaro'!$F$2:$F$1795,$N55)</f>
        <v>8</v>
      </c>
      <c r="R55" s="32" t="n">
        <f aca="false">IF(J55&lt;=10,INDEX('Tabela Passaro'!$G$2:$G$1795,$N55),IF(J55&lt;=30,INDEX('Tabela Passaro'!$H$2:$H$1795,$N55),IF(J55&lt;=50,INDEX('Tabela Passaro'!$I$2:$I$1795,$N55),IF(J55&lt;=70,INDEX('Tabela Passaro'!$J$2:$J$1795,$N55),IF(J55&lt;=100,INDEX('Tabela Passaro'!$K$2:$K$1795,$N55),INDEX('Tabela Passaro'!$K$2:$K$1795,$N55)+(J55-100)*INDEX('Tabela Passaro'!$L$2:$L$1795,$N55))))))</f>
        <v>208.71</v>
      </c>
      <c r="S55" s="32" t="n">
        <f aca="false">K55*INDEX('Tabela Passaro'!$M$2:$M$1795,$N55)</f>
        <v>11.227</v>
      </c>
      <c r="T55" s="32" t="n">
        <f aca="false">K55*INDEX('Tabela Passaro'!$N$2:$N$1795,$N55)</f>
        <v>4.4908</v>
      </c>
      <c r="U55" s="32" t="n">
        <f aca="false">INDEX('Tabela Passaro'!$O$2:$O$1795,$N55)</f>
        <v>5</v>
      </c>
      <c r="V55" s="32" t="n">
        <f aca="false">ROUNDUP(J55/INDEX('Tabela Passaro'!$Q$2:$Q$1795,$N55),0)*INDEX('Tabela Passaro'!$P$2:$P$1795,$N55)</f>
        <v>10</v>
      </c>
      <c r="W55" s="32" t="n">
        <f aca="false">INDEX('Tabela Passaro'!$R$2:$R$1795,$N55)</f>
        <v>30</v>
      </c>
      <c r="X55" s="32" t="n">
        <f aca="false">ROUNDUP(J55/INDEX('Tabela Passaro'!$T$2:$T$1795,$N55),0)*INDEX('Tabela Passaro'!$S$2:$S$1795,$N55)</f>
        <v>0</v>
      </c>
      <c r="Y55" s="32" t="n">
        <f aca="false">INDEX('Tabela Passaro'!$U$2:$U$1795,$N55)</f>
        <v>0</v>
      </c>
      <c r="Z55" s="32" t="n">
        <f aca="false">INDEX('Tabela Passaro'!$V$2:$V$1795,$N55)</f>
        <v>0</v>
      </c>
      <c r="AA55" s="32" t="n">
        <f aca="false">SUM(R55:Z55)</f>
        <v>269.4278</v>
      </c>
      <c r="AB55" s="33" t="n">
        <f aca="false">INDEX(Premissas!$B$5:$B$13,MATCH(A55,Premissas!$A$5:$A$13,0))</f>
        <v>0.07</v>
      </c>
      <c r="AC55" s="32" t="n">
        <f aca="false">AA55/(1-AB55)-AA55</f>
        <v>20.279511827957</v>
      </c>
      <c r="AD55" s="32" t="n">
        <f aca="false">ROUND(AA55+AC55,2)</f>
        <v>289.71</v>
      </c>
      <c r="AE55" s="32" t="n">
        <f aca="false">AD55-L55</f>
        <v>-157.2</v>
      </c>
      <c r="AF55" s="34" t="n">
        <f aca="false">IF(L55=0,0,AE55/L55)</f>
        <v>-0.351748674229711</v>
      </c>
      <c r="AG55" s="22" t="str">
        <f aca="false">IF(AD55&lt;L55,"PASSARO","ATUAL")</f>
        <v>PASSARO</v>
      </c>
      <c r="AH55" s="22" t="str">
        <f aca="false">IF(P55&lt;&gt;A55,"Faixa cadastrada como "&amp;P55&amp;" na tabela; preço aplicado pela UF do CEP","")</f>
        <v/>
      </c>
      <c r="AI55" s="26" t="n">
        <v>402.22</v>
      </c>
      <c r="AJ55" s="22" t="str">
        <f aca="false">INDEX('Tabela Passaro'!$X$2:$X$1795,$N55)</f>
        <v>CAPITAL</v>
      </c>
    </row>
    <row r="56" customFormat="false" ht="15" hidden="false" customHeight="false" outlineLevel="0" collapsed="false">
      <c r="A56" s="22" t="s">
        <v>15</v>
      </c>
      <c r="B56" s="22" t="n">
        <v>1</v>
      </c>
      <c r="C56" s="22" t="s">
        <v>59</v>
      </c>
      <c r="D56" s="22" t="s">
        <v>30</v>
      </c>
      <c r="E56" s="22" t="s">
        <v>20</v>
      </c>
      <c r="F56" s="22" t="n">
        <v>839948</v>
      </c>
      <c r="G56" s="30" t="n">
        <v>46258</v>
      </c>
      <c r="H56" s="22" t="n">
        <v>32614</v>
      </c>
      <c r="I56" s="22" t="s">
        <v>7381</v>
      </c>
      <c r="J56" s="31" t="n">
        <v>51.6</v>
      </c>
      <c r="K56" s="26" t="n">
        <v>955.29</v>
      </c>
      <c r="L56" s="26" t="n">
        <v>163.25</v>
      </c>
      <c r="M56" s="22" t="s">
        <v>283</v>
      </c>
      <c r="N56" s="22" t="n">
        <f aca="false">MATCH(M56,'Tabela Passaro'!$A$2:$A$1795,0)</f>
        <v>1</v>
      </c>
      <c r="O56" s="22" t="str">
        <f aca="false">INDEX('Tabela Passaro'!$C$2:$C$1795,$N56)</f>
        <v>MACEIO</v>
      </c>
      <c r="P56" s="22" t="str">
        <f aca="false">INDEX('Tabela Passaro'!$B$2:$B$1795,$N56)</f>
        <v>AL</v>
      </c>
      <c r="Q56" s="22" t="n">
        <f aca="false">INDEX('Tabela Passaro'!$F$2:$F$1795,$N56)</f>
        <v>8</v>
      </c>
      <c r="R56" s="32" t="n">
        <f aca="false">IF(J56&lt;=10,INDEX('Tabela Passaro'!$G$2:$G$1795,$N56),IF(J56&lt;=30,INDEX('Tabela Passaro'!$H$2:$H$1795,$N56),IF(J56&lt;=50,INDEX('Tabela Passaro'!$I$2:$I$1795,$N56),IF(J56&lt;=70,INDEX('Tabela Passaro'!$J$2:$J$1795,$N56),IF(J56&lt;=100,INDEX('Tabela Passaro'!$K$2:$K$1795,$N56),INDEX('Tabela Passaro'!$K$2:$K$1795,$N56)+(J56-100)*INDEX('Tabela Passaro'!$L$2:$L$1795,$N56))))))</f>
        <v>88.98</v>
      </c>
      <c r="S56" s="32" t="n">
        <f aca="false">K56*INDEX('Tabela Passaro'!$M$2:$M$1795,$N56)</f>
        <v>4.77645</v>
      </c>
      <c r="T56" s="32" t="n">
        <f aca="false">K56*INDEX('Tabela Passaro'!$N$2:$N$1795,$N56)</f>
        <v>1.91058</v>
      </c>
      <c r="U56" s="32" t="n">
        <f aca="false">INDEX('Tabela Passaro'!$O$2:$O$1795,$N56)</f>
        <v>5</v>
      </c>
      <c r="V56" s="32" t="n">
        <f aca="false">ROUNDUP(J56/INDEX('Tabela Passaro'!$Q$2:$Q$1795,$N56),0)*INDEX('Tabela Passaro'!$P$2:$P$1795,$N56)</f>
        <v>5</v>
      </c>
      <c r="W56" s="32" t="n">
        <f aca="false">INDEX('Tabela Passaro'!$R$2:$R$1795,$N56)</f>
        <v>30</v>
      </c>
      <c r="X56" s="32" t="n">
        <f aca="false">ROUNDUP(J56/INDEX('Tabela Passaro'!$T$2:$T$1795,$N56),0)*INDEX('Tabela Passaro'!$S$2:$S$1795,$N56)</f>
        <v>0</v>
      </c>
      <c r="Y56" s="32" t="n">
        <f aca="false">INDEX('Tabela Passaro'!$U$2:$U$1795,$N56)</f>
        <v>0</v>
      </c>
      <c r="Z56" s="32" t="n">
        <f aca="false">INDEX('Tabela Passaro'!$V$2:$V$1795,$N56)</f>
        <v>0</v>
      </c>
      <c r="AA56" s="32" t="n">
        <f aca="false">SUM(R56:Z56)</f>
        <v>135.66703</v>
      </c>
      <c r="AB56" s="33" t="n">
        <f aca="false">INDEX(Premissas!$B$5:$B$13,MATCH(A56,Premissas!$A$5:$A$13,0))</f>
        <v>0.07</v>
      </c>
      <c r="AC56" s="32" t="n">
        <f aca="false">AA56/(1-AB56)-AA56</f>
        <v>10.2114968817205</v>
      </c>
      <c r="AD56" s="32" t="n">
        <f aca="false">ROUND(AA56+AC56,2)</f>
        <v>145.88</v>
      </c>
      <c r="AE56" s="32" t="n">
        <f aca="false">AD56-L56</f>
        <v>-17.37</v>
      </c>
      <c r="AF56" s="34" t="n">
        <f aca="false">IF(L56=0,0,AE56/L56)</f>
        <v>-0.106401225114855</v>
      </c>
      <c r="AG56" s="22" t="str">
        <f aca="false">IF(AD56&lt;L56,"PASSARO","ATUAL")</f>
        <v>PASSARO</v>
      </c>
      <c r="AH56" s="22" t="str">
        <f aca="false">IF(P56&lt;&gt;A56,"Faixa cadastrada como "&amp;P56&amp;" na tabela; preço aplicado pela UF do CEP","")</f>
        <v/>
      </c>
      <c r="AI56" s="26" t="n">
        <v>183.93</v>
      </c>
      <c r="AJ56" s="22" t="str">
        <f aca="false">INDEX('Tabela Passaro'!$X$2:$X$1795,$N56)</f>
        <v>CAPITAL</v>
      </c>
    </row>
    <row r="57" customFormat="false" ht="15" hidden="false" customHeight="false" outlineLevel="0" collapsed="false">
      <c r="A57" s="22" t="s">
        <v>15</v>
      </c>
      <c r="B57" s="22" t="n">
        <v>1</v>
      </c>
      <c r="C57" s="22" t="s">
        <v>59</v>
      </c>
      <c r="D57" s="22" t="s">
        <v>30</v>
      </c>
      <c r="E57" s="22" t="s">
        <v>20</v>
      </c>
      <c r="F57" s="22" t="n">
        <v>839952</v>
      </c>
      <c r="G57" s="30" t="n">
        <v>46258</v>
      </c>
      <c r="H57" s="22" t="n">
        <v>32631</v>
      </c>
      <c r="I57" s="22" t="s">
        <v>7382</v>
      </c>
      <c r="J57" s="31" t="n">
        <v>79.26</v>
      </c>
      <c r="K57" s="26" t="n">
        <v>982.31</v>
      </c>
      <c r="L57" s="26" t="n">
        <v>201.85</v>
      </c>
      <c r="M57" s="22" t="s">
        <v>283</v>
      </c>
      <c r="N57" s="22" t="n">
        <f aca="false">MATCH(M57,'Tabela Passaro'!$A$2:$A$1795,0)</f>
        <v>1</v>
      </c>
      <c r="O57" s="22" t="str">
        <f aca="false">INDEX('Tabela Passaro'!$C$2:$C$1795,$N57)</f>
        <v>MACEIO</v>
      </c>
      <c r="P57" s="22" t="str">
        <f aca="false">INDEX('Tabela Passaro'!$B$2:$B$1795,$N57)</f>
        <v>AL</v>
      </c>
      <c r="Q57" s="22" t="n">
        <f aca="false">INDEX('Tabela Passaro'!$F$2:$F$1795,$N57)</f>
        <v>8</v>
      </c>
      <c r="R57" s="32" t="n">
        <f aca="false">IF(J57&lt;=10,INDEX('Tabela Passaro'!$G$2:$G$1795,$N57),IF(J57&lt;=30,INDEX('Tabela Passaro'!$H$2:$H$1795,$N57),IF(J57&lt;=50,INDEX('Tabela Passaro'!$I$2:$I$1795,$N57),IF(J57&lt;=70,INDEX('Tabela Passaro'!$J$2:$J$1795,$N57),IF(J57&lt;=100,INDEX('Tabela Passaro'!$K$2:$K$1795,$N57),INDEX('Tabela Passaro'!$K$2:$K$1795,$N57)+(J57-100)*INDEX('Tabela Passaro'!$L$2:$L$1795,$N57))))))</f>
        <v>105.51</v>
      </c>
      <c r="S57" s="32" t="n">
        <f aca="false">K57*INDEX('Tabela Passaro'!$M$2:$M$1795,$N57)</f>
        <v>4.91155</v>
      </c>
      <c r="T57" s="32" t="n">
        <f aca="false">K57*INDEX('Tabela Passaro'!$N$2:$N$1795,$N57)</f>
        <v>1.96462</v>
      </c>
      <c r="U57" s="32" t="n">
        <f aca="false">INDEX('Tabela Passaro'!$O$2:$O$1795,$N57)</f>
        <v>5</v>
      </c>
      <c r="V57" s="32" t="n">
        <f aca="false">ROUNDUP(J57/INDEX('Tabela Passaro'!$Q$2:$Q$1795,$N57),0)*INDEX('Tabela Passaro'!$P$2:$P$1795,$N57)</f>
        <v>5</v>
      </c>
      <c r="W57" s="32" t="n">
        <f aca="false">INDEX('Tabela Passaro'!$R$2:$R$1795,$N57)</f>
        <v>30</v>
      </c>
      <c r="X57" s="32" t="n">
        <f aca="false">ROUNDUP(J57/INDEX('Tabela Passaro'!$T$2:$T$1795,$N57),0)*INDEX('Tabela Passaro'!$S$2:$S$1795,$N57)</f>
        <v>0</v>
      </c>
      <c r="Y57" s="32" t="n">
        <f aca="false">INDEX('Tabela Passaro'!$U$2:$U$1795,$N57)</f>
        <v>0</v>
      </c>
      <c r="Z57" s="32" t="n">
        <f aca="false">INDEX('Tabela Passaro'!$V$2:$V$1795,$N57)</f>
        <v>0</v>
      </c>
      <c r="AA57" s="32" t="n">
        <f aca="false">SUM(R57:Z57)</f>
        <v>152.38617</v>
      </c>
      <c r="AB57" s="33" t="n">
        <f aca="false">INDEX(Premissas!$B$5:$B$13,MATCH(A57,Premissas!$A$5:$A$13,0))</f>
        <v>0.07</v>
      </c>
      <c r="AC57" s="32" t="n">
        <f aca="false">AA57/(1-AB57)-AA57</f>
        <v>11.4699267741936</v>
      </c>
      <c r="AD57" s="32" t="n">
        <f aca="false">ROUND(AA57+AC57,2)</f>
        <v>163.86</v>
      </c>
      <c r="AE57" s="32" t="n">
        <f aca="false">AD57-L57</f>
        <v>-37.99</v>
      </c>
      <c r="AF57" s="34" t="n">
        <f aca="false">IF(L57=0,0,AE57/L57)</f>
        <v>-0.188209066138221</v>
      </c>
      <c r="AG57" s="22" t="str">
        <f aca="false">IF(AD57&lt;L57,"PASSARO","ATUAL")</f>
        <v>PASSARO</v>
      </c>
      <c r="AH57" s="22" t="str">
        <f aca="false">IF(P57&lt;&gt;A57,"Faixa cadastrada como "&amp;P57&amp;" na tabela; preço aplicado pela UF do CEP","")</f>
        <v/>
      </c>
      <c r="AI57" s="26" t="n">
        <v>216.53</v>
      </c>
      <c r="AJ57" s="22" t="str">
        <f aca="false">INDEX('Tabela Passaro'!$X$2:$X$1795,$N57)</f>
        <v>CAPITAL</v>
      </c>
    </row>
    <row r="58" customFormat="false" ht="15" hidden="false" customHeight="false" outlineLevel="0" collapsed="false">
      <c r="A58" s="22" t="s">
        <v>15</v>
      </c>
      <c r="B58" s="22" t="n">
        <v>1</v>
      </c>
      <c r="C58" s="22" t="s">
        <v>59</v>
      </c>
      <c r="D58" s="22" t="s">
        <v>30</v>
      </c>
      <c r="E58" s="22" t="s">
        <v>7328</v>
      </c>
      <c r="F58" s="22" t="n">
        <v>2315667</v>
      </c>
      <c r="G58" s="30" t="n">
        <v>46258</v>
      </c>
      <c r="H58" s="22" t="n">
        <v>134393</v>
      </c>
      <c r="I58" s="22" t="s">
        <v>7383</v>
      </c>
      <c r="J58" s="31" t="n">
        <v>31.3</v>
      </c>
      <c r="K58" s="26" t="n">
        <v>580.04</v>
      </c>
      <c r="L58" s="26" t="n">
        <v>155.45</v>
      </c>
      <c r="M58" s="22" t="s">
        <v>283</v>
      </c>
      <c r="N58" s="22" t="n">
        <f aca="false">MATCH(M58,'Tabela Passaro'!$A$2:$A$1795,0)</f>
        <v>1</v>
      </c>
      <c r="O58" s="22" t="str">
        <f aca="false">INDEX('Tabela Passaro'!$C$2:$C$1795,$N58)</f>
        <v>MACEIO</v>
      </c>
      <c r="P58" s="22" t="str">
        <f aca="false">INDEX('Tabela Passaro'!$B$2:$B$1795,$N58)</f>
        <v>AL</v>
      </c>
      <c r="Q58" s="22" t="n">
        <f aca="false">INDEX('Tabela Passaro'!$F$2:$F$1795,$N58)</f>
        <v>8</v>
      </c>
      <c r="R58" s="32" t="n">
        <f aca="false">IF(J58&lt;=10,INDEX('Tabela Passaro'!$G$2:$G$1795,$N58),IF(J58&lt;=30,INDEX('Tabela Passaro'!$H$2:$H$1795,$N58),IF(J58&lt;=50,INDEX('Tabela Passaro'!$I$2:$I$1795,$N58),IF(J58&lt;=70,INDEX('Tabela Passaro'!$J$2:$J$1795,$N58),IF(J58&lt;=100,INDEX('Tabela Passaro'!$K$2:$K$1795,$N58),INDEX('Tabela Passaro'!$K$2:$K$1795,$N58)+(J58-100)*INDEX('Tabela Passaro'!$L$2:$L$1795,$N58))))))</f>
        <v>77.96</v>
      </c>
      <c r="S58" s="32" t="n">
        <f aca="false">K58*INDEX('Tabela Passaro'!$M$2:$M$1795,$N58)</f>
        <v>2.9002</v>
      </c>
      <c r="T58" s="32" t="n">
        <f aca="false">K58*INDEX('Tabela Passaro'!$N$2:$N$1795,$N58)</f>
        <v>1.16008</v>
      </c>
      <c r="U58" s="32" t="n">
        <f aca="false">INDEX('Tabela Passaro'!$O$2:$O$1795,$N58)</f>
        <v>5</v>
      </c>
      <c r="V58" s="32" t="n">
        <f aca="false">ROUNDUP(J58/INDEX('Tabela Passaro'!$Q$2:$Q$1795,$N58),0)*INDEX('Tabela Passaro'!$P$2:$P$1795,$N58)</f>
        <v>5</v>
      </c>
      <c r="W58" s="32" t="n">
        <f aca="false">INDEX('Tabela Passaro'!$R$2:$R$1795,$N58)</f>
        <v>30</v>
      </c>
      <c r="X58" s="32" t="n">
        <f aca="false">ROUNDUP(J58/INDEX('Tabela Passaro'!$T$2:$T$1795,$N58),0)*INDEX('Tabela Passaro'!$S$2:$S$1795,$N58)</f>
        <v>0</v>
      </c>
      <c r="Y58" s="32" t="n">
        <f aca="false">INDEX('Tabela Passaro'!$U$2:$U$1795,$N58)</f>
        <v>0</v>
      </c>
      <c r="Z58" s="32" t="n">
        <f aca="false">INDEX('Tabela Passaro'!$V$2:$V$1795,$N58)</f>
        <v>0</v>
      </c>
      <c r="AA58" s="32" t="n">
        <f aca="false">SUM(R58:Z58)</f>
        <v>122.02028</v>
      </c>
      <c r="AB58" s="33" t="n">
        <f aca="false">INDEX(Premissas!$B$5:$B$13,MATCH(A58,Premissas!$A$5:$A$13,0))</f>
        <v>0.07</v>
      </c>
      <c r="AC58" s="32" t="n">
        <f aca="false">AA58/(1-AB58)-AA58</f>
        <v>9.18432215053765</v>
      </c>
      <c r="AD58" s="32" t="n">
        <f aca="false">ROUND(AA58+AC58,2)</f>
        <v>131.2</v>
      </c>
      <c r="AE58" s="32" t="n">
        <f aca="false">AD58-L58</f>
        <v>-24.25</v>
      </c>
      <c r="AF58" s="34" t="n">
        <f aca="false">IF(L58=0,0,AE58/L58)</f>
        <v>-0.155998713412673</v>
      </c>
      <c r="AG58" s="22" t="str">
        <f aca="false">IF(AD58&lt;L58,"PASSARO","ATUAL")</f>
        <v>PASSARO</v>
      </c>
      <c r="AH58" s="22" t="str">
        <f aca="false">IF(P58&lt;&gt;A58,"Faixa cadastrada como "&amp;P58&amp;" na tabela; preço aplicado pela UF do CEP","")</f>
        <v/>
      </c>
      <c r="AI58" s="26" t="n">
        <v>158.1</v>
      </c>
      <c r="AJ58" s="22" t="str">
        <f aca="false">INDEX('Tabela Passaro'!$X$2:$X$1795,$N58)</f>
        <v>CAPITAL</v>
      </c>
    </row>
    <row r="59" customFormat="false" ht="15" hidden="false" customHeight="false" outlineLevel="0" collapsed="false">
      <c r="A59" s="22" t="s">
        <v>15</v>
      </c>
      <c r="B59" s="22" t="n">
        <v>1</v>
      </c>
      <c r="C59" s="22" t="s">
        <v>59</v>
      </c>
      <c r="D59" s="22" t="s">
        <v>30</v>
      </c>
      <c r="E59" s="22" t="s">
        <v>7328</v>
      </c>
      <c r="F59" s="22" t="n">
        <v>2315696</v>
      </c>
      <c r="G59" s="30" t="n">
        <v>46258</v>
      </c>
      <c r="H59" s="22" t="n">
        <v>134421</v>
      </c>
      <c r="I59" s="22" t="s">
        <v>7384</v>
      </c>
      <c r="J59" s="31" t="n">
        <v>37.59</v>
      </c>
      <c r="K59" s="26" t="n">
        <v>621.83</v>
      </c>
      <c r="L59" s="26" t="n">
        <v>155.78</v>
      </c>
      <c r="M59" s="22" t="s">
        <v>283</v>
      </c>
      <c r="N59" s="22" t="n">
        <f aca="false">MATCH(M59,'Tabela Passaro'!$A$2:$A$1795,0)</f>
        <v>1</v>
      </c>
      <c r="O59" s="22" t="str">
        <f aca="false">INDEX('Tabela Passaro'!$C$2:$C$1795,$N59)</f>
        <v>MACEIO</v>
      </c>
      <c r="P59" s="22" t="str">
        <f aca="false">INDEX('Tabela Passaro'!$B$2:$B$1795,$N59)</f>
        <v>AL</v>
      </c>
      <c r="Q59" s="22" t="n">
        <f aca="false">INDEX('Tabela Passaro'!$F$2:$F$1795,$N59)</f>
        <v>8</v>
      </c>
      <c r="R59" s="32" t="n">
        <f aca="false">IF(J59&lt;=10,INDEX('Tabela Passaro'!$G$2:$G$1795,$N59),IF(J59&lt;=30,INDEX('Tabela Passaro'!$H$2:$H$1795,$N59),IF(J59&lt;=50,INDEX('Tabela Passaro'!$I$2:$I$1795,$N59),IF(J59&lt;=70,INDEX('Tabela Passaro'!$J$2:$J$1795,$N59),IF(J59&lt;=100,INDEX('Tabela Passaro'!$K$2:$K$1795,$N59),INDEX('Tabela Passaro'!$K$2:$K$1795,$N59)+(J59-100)*INDEX('Tabela Passaro'!$L$2:$L$1795,$N59))))))</f>
        <v>77.96</v>
      </c>
      <c r="S59" s="32" t="n">
        <f aca="false">K59*INDEX('Tabela Passaro'!$M$2:$M$1795,$N59)</f>
        <v>3.10915</v>
      </c>
      <c r="T59" s="32" t="n">
        <f aca="false">K59*INDEX('Tabela Passaro'!$N$2:$N$1795,$N59)</f>
        <v>1.24366</v>
      </c>
      <c r="U59" s="32" t="n">
        <f aca="false">INDEX('Tabela Passaro'!$O$2:$O$1795,$N59)</f>
        <v>5</v>
      </c>
      <c r="V59" s="32" t="n">
        <f aca="false">ROUNDUP(J59/INDEX('Tabela Passaro'!$Q$2:$Q$1795,$N59),0)*INDEX('Tabela Passaro'!$P$2:$P$1795,$N59)</f>
        <v>5</v>
      </c>
      <c r="W59" s="32" t="n">
        <f aca="false">INDEX('Tabela Passaro'!$R$2:$R$1795,$N59)</f>
        <v>30</v>
      </c>
      <c r="X59" s="32" t="n">
        <f aca="false">ROUNDUP(J59/INDEX('Tabela Passaro'!$T$2:$T$1795,$N59),0)*INDEX('Tabela Passaro'!$S$2:$S$1795,$N59)</f>
        <v>0</v>
      </c>
      <c r="Y59" s="32" t="n">
        <f aca="false">INDEX('Tabela Passaro'!$U$2:$U$1795,$N59)</f>
        <v>0</v>
      </c>
      <c r="Z59" s="32" t="n">
        <f aca="false">INDEX('Tabela Passaro'!$V$2:$V$1795,$N59)</f>
        <v>0</v>
      </c>
      <c r="AA59" s="32" t="n">
        <f aca="false">SUM(R59:Z59)</f>
        <v>122.31281</v>
      </c>
      <c r="AB59" s="33" t="n">
        <f aca="false">INDEX(Premissas!$B$5:$B$13,MATCH(A59,Premissas!$A$5:$A$13,0))</f>
        <v>0.07</v>
      </c>
      <c r="AC59" s="32" t="n">
        <f aca="false">AA59/(1-AB59)-AA59</f>
        <v>9.2063405376344</v>
      </c>
      <c r="AD59" s="32" t="n">
        <f aca="false">ROUND(AA59+AC59,2)</f>
        <v>131.52</v>
      </c>
      <c r="AE59" s="32" t="n">
        <f aca="false">AD59-L59</f>
        <v>-24.26</v>
      </c>
      <c r="AF59" s="34" t="n">
        <f aca="false">IF(L59=0,0,AE59/L59)</f>
        <v>-0.155732443189113</v>
      </c>
      <c r="AG59" s="22" t="str">
        <f aca="false">IF(AD59&lt;L59,"PASSARO","ATUAL")</f>
        <v>PASSARO</v>
      </c>
      <c r="AH59" s="22" t="str">
        <f aca="false">IF(P59&lt;&gt;A59,"Faixa cadastrada como "&amp;P59&amp;" na tabela; preço aplicado pela UF do CEP","")</f>
        <v/>
      </c>
      <c r="AI59" s="26" t="n">
        <v>161.4</v>
      </c>
      <c r="AJ59" s="22" t="str">
        <f aca="false">INDEX('Tabela Passaro'!$X$2:$X$1795,$N59)</f>
        <v>CAPITAL</v>
      </c>
    </row>
    <row r="60" customFormat="false" ht="15" hidden="false" customHeight="false" outlineLevel="0" collapsed="false">
      <c r="A60" s="22" t="s">
        <v>15</v>
      </c>
      <c r="B60" s="22" t="n">
        <v>1</v>
      </c>
      <c r="C60" s="22" t="s">
        <v>59</v>
      </c>
      <c r="D60" s="22" t="s">
        <v>30</v>
      </c>
      <c r="E60" s="22" t="s">
        <v>7328</v>
      </c>
      <c r="F60" s="22" t="n">
        <v>2315695</v>
      </c>
      <c r="G60" s="30" t="n">
        <v>46258</v>
      </c>
      <c r="H60" s="22" t="n">
        <v>134424</v>
      </c>
      <c r="I60" s="22" t="s">
        <v>7385</v>
      </c>
      <c r="J60" s="31" t="n">
        <v>46.8</v>
      </c>
      <c r="K60" s="26" t="n">
        <v>521.24</v>
      </c>
      <c r="L60" s="26" t="n">
        <v>154.99</v>
      </c>
      <c r="M60" s="22" t="s">
        <v>283</v>
      </c>
      <c r="N60" s="22" t="n">
        <f aca="false">MATCH(M60,'Tabela Passaro'!$A$2:$A$1795,0)</f>
        <v>1</v>
      </c>
      <c r="O60" s="22" t="str">
        <f aca="false">INDEX('Tabela Passaro'!$C$2:$C$1795,$N60)</f>
        <v>MACEIO</v>
      </c>
      <c r="P60" s="22" t="str">
        <f aca="false">INDEX('Tabela Passaro'!$B$2:$B$1795,$N60)</f>
        <v>AL</v>
      </c>
      <c r="Q60" s="22" t="n">
        <f aca="false">INDEX('Tabela Passaro'!$F$2:$F$1795,$N60)</f>
        <v>8</v>
      </c>
      <c r="R60" s="32" t="n">
        <f aca="false">IF(J60&lt;=10,INDEX('Tabela Passaro'!$G$2:$G$1795,$N60),IF(J60&lt;=30,INDEX('Tabela Passaro'!$H$2:$H$1795,$N60),IF(J60&lt;=50,INDEX('Tabela Passaro'!$I$2:$I$1795,$N60),IF(J60&lt;=70,INDEX('Tabela Passaro'!$J$2:$J$1795,$N60),IF(J60&lt;=100,INDEX('Tabela Passaro'!$K$2:$K$1795,$N60),INDEX('Tabela Passaro'!$K$2:$K$1795,$N60)+(J60-100)*INDEX('Tabela Passaro'!$L$2:$L$1795,$N60))))))</f>
        <v>77.96</v>
      </c>
      <c r="S60" s="32" t="n">
        <f aca="false">K60*INDEX('Tabela Passaro'!$M$2:$M$1795,$N60)</f>
        <v>2.6062</v>
      </c>
      <c r="T60" s="32" t="n">
        <f aca="false">K60*INDEX('Tabela Passaro'!$N$2:$N$1795,$N60)</f>
        <v>1.04248</v>
      </c>
      <c r="U60" s="32" t="n">
        <f aca="false">INDEX('Tabela Passaro'!$O$2:$O$1795,$N60)</f>
        <v>5</v>
      </c>
      <c r="V60" s="32" t="n">
        <f aca="false">ROUNDUP(J60/INDEX('Tabela Passaro'!$Q$2:$Q$1795,$N60),0)*INDEX('Tabela Passaro'!$P$2:$P$1795,$N60)</f>
        <v>5</v>
      </c>
      <c r="W60" s="32" t="n">
        <f aca="false">INDEX('Tabela Passaro'!$R$2:$R$1795,$N60)</f>
        <v>30</v>
      </c>
      <c r="X60" s="32" t="n">
        <f aca="false">ROUNDUP(J60/INDEX('Tabela Passaro'!$T$2:$T$1795,$N60),0)*INDEX('Tabela Passaro'!$S$2:$S$1795,$N60)</f>
        <v>0</v>
      </c>
      <c r="Y60" s="32" t="n">
        <f aca="false">INDEX('Tabela Passaro'!$U$2:$U$1795,$N60)</f>
        <v>0</v>
      </c>
      <c r="Z60" s="32" t="n">
        <f aca="false">INDEX('Tabela Passaro'!$V$2:$V$1795,$N60)</f>
        <v>0</v>
      </c>
      <c r="AA60" s="32" t="n">
        <f aca="false">SUM(R60:Z60)</f>
        <v>121.60868</v>
      </c>
      <c r="AB60" s="33" t="n">
        <f aca="false">INDEX(Premissas!$B$5:$B$13,MATCH(A60,Premissas!$A$5:$A$13,0))</f>
        <v>0.07</v>
      </c>
      <c r="AC60" s="32" t="n">
        <f aca="false">AA60/(1-AB60)-AA60</f>
        <v>9.15334150537635</v>
      </c>
      <c r="AD60" s="32" t="n">
        <f aca="false">ROUND(AA60+AC60,2)</f>
        <v>130.76</v>
      </c>
      <c r="AE60" s="32" t="n">
        <f aca="false">AD60-L60</f>
        <v>-24.23</v>
      </c>
      <c r="AF60" s="34" t="n">
        <f aca="false">IF(L60=0,0,AE60/L60)</f>
        <v>-0.156332666623653</v>
      </c>
      <c r="AG60" s="22" t="str">
        <f aca="false">IF(AD60&lt;L60,"PASSARO","ATUAL")</f>
        <v>PASSARO</v>
      </c>
      <c r="AH60" s="22" t="str">
        <f aca="false">IF(P60&lt;&gt;A60,"Faixa cadastrada como "&amp;P60&amp;" na tabela; preço aplicado pela UF do CEP","")</f>
        <v/>
      </c>
      <c r="AI60" s="26" t="n">
        <v>164.79</v>
      </c>
      <c r="AJ60" s="22" t="str">
        <f aca="false">INDEX('Tabela Passaro'!$X$2:$X$1795,$N60)</f>
        <v>CAPITAL</v>
      </c>
    </row>
    <row r="61" customFormat="false" ht="15" hidden="false" customHeight="false" outlineLevel="0" collapsed="false">
      <c r="A61" s="22" t="s">
        <v>15</v>
      </c>
      <c r="B61" s="22" t="n">
        <v>1</v>
      </c>
      <c r="C61" s="22" t="s">
        <v>59</v>
      </c>
      <c r="D61" s="22" t="s">
        <v>30</v>
      </c>
      <c r="E61" s="22" t="s">
        <v>7328</v>
      </c>
      <c r="F61" s="22" t="n">
        <v>2315622</v>
      </c>
      <c r="G61" s="30" t="n">
        <v>46258</v>
      </c>
      <c r="H61" s="22" t="n">
        <v>134899</v>
      </c>
      <c r="I61" s="22" t="s">
        <v>7386</v>
      </c>
      <c r="J61" s="31" t="n">
        <v>39.76</v>
      </c>
      <c r="K61" s="26" t="n">
        <v>729.18</v>
      </c>
      <c r="L61" s="26" t="n">
        <v>156.64</v>
      </c>
      <c r="M61" s="22" t="s">
        <v>283</v>
      </c>
      <c r="N61" s="22" t="n">
        <f aca="false">MATCH(M61,'Tabela Passaro'!$A$2:$A$1795,0)</f>
        <v>1</v>
      </c>
      <c r="O61" s="22" t="str">
        <f aca="false">INDEX('Tabela Passaro'!$C$2:$C$1795,$N61)</f>
        <v>MACEIO</v>
      </c>
      <c r="P61" s="22" t="str">
        <f aca="false">INDEX('Tabela Passaro'!$B$2:$B$1795,$N61)</f>
        <v>AL</v>
      </c>
      <c r="Q61" s="22" t="n">
        <f aca="false">INDEX('Tabela Passaro'!$F$2:$F$1795,$N61)</f>
        <v>8</v>
      </c>
      <c r="R61" s="32" t="n">
        <f aca="false">IF(J61&lt;=10,INDEX('Tabela Passaro'!$G$2:$G$1795,$N61),IF(J61&lt;=30,INDEX('Tabela Passaro'!$H$2:$H$1795,$N61),IF(J61&lt;=50,INDEX('Tabela Passaro'!$I$2:$I$1795,$N61),IF(J61&lt;=70,INDEX('Tabela Passaro'!$J$2:$J$1795,$N61),IF(J61&lt;=100,INDEX('Tabela Passaro'!$K$2:$K$1795,$N61),INDEX('Tabela Passaro'!$K$2:$K$1795,$N61)+(J61-100)*INDEX('Tabela Passaro'!$L$2:$L$1795,$N61))))))</f>
        <v>77.96</v>
      </c>
      <c r="S61" s="32" t="n">
        <f aca="false">K61*INDEX('Tabela Passaro'!$M$2:$M$1795,$N61)</f>
        <v>3.6459</v>
      </c>
      <c r="T61" s="32" t="n">
        <f aca="false">K61*INDEX('Tabela Passaro'!$N$2:$N$1795,$N61)</f>
        <v>1.45836</v>
      </c>
      <c r="U61" s="32" t="n">
        <f aca="false">INDEX('Tabela Passaro'!$O$2:$O$1795,$N61)</f>
        <v>5</v>
      </c>
      <c r="V61" s="32" t="n">
        <f aca="false">ROUNDUP(J61/INDEX('Tabela Passaro'!$Q$2:$Q$1795,$N61),0)*INDEX('Tabela Passaro'!$P$2:$P$1795,$N61)</f>
        <v>5</v>
      </c>
      <c r="W61" s="32" t="n">
        <f aca="false">INDEX('Tabela Passaro'!$R$2:$R$1795,$N61)</f>
        <v>30</v>
      </c>
      <c r="X61" s="32" t="n">
        <f aca="false">ROUNDUP(J61/INDEX('Tabela Passaro'!$T$2:$T$1795,$N61),0)*INDEX('Tabela Passaro'!$S$2:$S$1795,$N61)</f>
        <v>0</v>
      </c>
      <c r="Y61" s="32" t="n">
        <f aca="false">INDEX('Tabela Passaro'!$U$2:$U$1795,$N61)</f>
        <v>0</v>
      </c>
      <c r="Z61" s="32" t="n">
        <f aca="false">INDEX('Tabela Passaro'!$V$2:$V$1795,$N61)</f>
        <v>0</v>
      </c>
      <c r="AA61" s="32" t="n">
        <f aca="false">SUM(R61:Z61)</f>
        <v>123.06426</v>
      </c>
      <c r="AB61" s="33" t="n">
        <f aca="false">INDEX(Premissas!$B$5:$B$13,MATCH(A61,Premissas!$A$5:$A$13,0))</f>
        <v>0.07</v>
      </c>
      <c r="AC61" s="32" t="n">
        <f aca="false">AA61/(1-AB61)-AA61</f>
        <v>9.26290129032259</v>
      </c>
      <c r="AD61" s="32" t="n">
        <f aca="false">ROUND(AA61+AC61,2)</f>
        <v>132.33</v>
      </c>
      <c r="AE61" s="32" t="n">
        <f aca="false">AD61-L61</f>
        <v>-24.31</v>
      </c>
      <c r="AF61" s="34" t="n">
        <f aca="false">IF(L61=0,0,AE61/L61)</f>
        <v>-0.155196629213483</v>
      </c>
      <c r="AG61" s="22" t="str">
        <f aca="false">IF(AD61&lt;L61,"PASSARO","ATUAL")</f>
        <v>PASSARO</v>
      </c>
      <c r="AH61" s="22" t="str">
        <f aca="false">IF(P61&lt;&gt;A61,"Faixa cadastrada como "&amp;P61&amp;" na tabela; preço aplicado pela UF do CEP","")</f>
        <v/>
      </c>
      <c r="AI61" s="26" t="n">
        <v>163.41</v>
      </c>
      <c r="AJ61" s="22" t="str">
        <f aca="false">INDEX('Tabela Passaro'!$X$2:$X$1795,$N61)</f>
        <v>CAPITAL</v>
      </c>
    </row>
    <row r="62" customFormat="false" ht="15" hidden="false" customHeight="false" outlineLevel="0" collapsed="false">
      <c r="A62" s="22" t="s">
        <v>15</v>
      </c>
      <c r="B62" s="22" t="n">
        <v>1</v>
      </c>
      <c r="C62" s="22" t="s">
        <v>59</v>
      </c>
      <c r="D62" s="22" t="s">
        <v>30</v>
      </c>
      <c r="E62" s="22" t="s">
        <v>7328</v>
      </c>
      <c r="F62" s="22" t="n">
        <v>2315706</v>
      </c>
      <c r="G62" s="30" t="n">
        <v>46258</v>
      </c>
      <c r="H62" s="22" t="n">
        <v>134906</v>
      </c>
      <c r="I62" s="22" t="s">
        <v>7387</v>
      </c>
      <c r="J62" s="31" t="n">
        <v>49.6</v>
      </c>
      <c r="K62" s="26" t="n">
        <v>873.02</v>
      </c>
      <c r="L62" s="26" t="n">
        <v>157.78</v>
      </c>
      <c r="M62" s="22" t="s">
        <v>283</v>
      </c>
      <c r="N62" s="22" t="n">
        <f aca="false">MATCH(M62,'Tabela Passaro'!$A$2:$A$1795,0)</f>
        <v>1</v>
      </c>
      <c r="O62" s="22" t="str">
        <f aca="false">INDEX('Tabela Passaro'!$C$2:$C$1795,$N62)</f>
        <v>MACEIO</v>
      </c>
      <c r="P62" s="22" t="str">
        <f aca="false">INDEX('Tabela Passaro'!$B$2:$B$1795,$N62)</f>
        <v>AL</v>
      </c>
      <c r="Q62" s="22" t="n">
        <f aca="false">INDEX('Tabela Passaro'!$F$2:$F$1795,$N62)</f>
        <v>8</v>
      </c>
      <c r="R62" s="32" t="n">
        <f aca="false">IF(J62&lt;=10,INDEX('Tabela Passaro'!$G$2:$G$1795,$N62),IF(J62&lt;=30,INDEX('Tabela Passaro'!$H$2:$H$1795,$N62),IF(J62&lt;=50,INDEX('Tabela Passaro'!$I$2:$I$1795,$N62),IF(J62&lt;=70,INDEX('Tabela Passaro'!$J$2:$J$1795,$N62),IF(J62&lt;=100,INDEX('Tabela Passaro'!$K$2:$K$1795,$N62),INDEX('Tabela Passaro'!$K$2:$K$1795,$N62)+(J62-100)*INDEX('Tabela Passaro'!$L$2:$L$1795,$N62))))))</f>
        <v>77.96</v>
      </c>
      <c r="S62" s="32" t="n">
        <f aca="false">K62*INDEX('Tabela Passaro'!$M$2:$M$1795,$N62)</f>
        <v>4.3651</v>
      </c>
      <c r="T62" s="32" t="n">
        <f aca="false">K62*INDEX('Tabela Passaro'!$N$2:$N$1795,$N62)</f>
        <v>1.74604</v>
      </c>
      <c r="U62" s="32" t="n">
        <f aca="false">INDEX('Tabela Passaro'!$O$2:$O$1795,$N62)</f>
        <v>5</v>
      </c>
      <c r="V62" s="32" t="n">
        <f aca="false">ROUNDUP(J62/INDEX('Tabela Passaro'!$Q$2:$Q$1795,$N62),0)*INDEX('Tabela Passaro'!$P$2:$P$1795,$N62)</f>
        <v>5</v>
      </c>
      <c r="W62" s="32" t="n">
        <f aca="false">INDEX('Tabela Passaro'!$R$2:$R$1795,$N62)</f>
        <v>30</v>
      </c>
      <c r="X62" s="32" t="n">
        <f aca="false">ROUNDUP(J62/INDEX('Tabela Passaro'!$T$2:$T$1795,$N62),0)*INDEX('Tabela Passaro'!$S$2:$S$1795,$N62)</f>
        <v>0</v>
      </c>
      <c r="Y62" s="32" t="n">
        <f aca="false">INDEX('Tabela Passaro'!$U$2:$U$1795,$N62)</f>
        <v>0</v>
      </c>
      <c r="Z62" s="32" t="n">
        <f aca="false">INDEX('Tabela Passaro'!$V$2:$V$1795,$N62)</f>
        <v>0</v>
      </c>
      <c r="AA62" s="32" t="n">
        <f aca="false">SUM(R62:Z62)</f>
        <v>124.07114</v>
      </c>
      <c r="AB62" s="33" t="n">
        <f aca="false">INDEX(Premissas!$B$5:$B$13,MATCH(A62,Premissas!$A$5:$A$13,0))</f>
        <v>0.07</v>
      </c>
      <c r="AC62" s="32" t="n">
        <f aca="false">AA62/(1-AB62)-AA62</f>
        <v>9.33868795698926</v>
      </c>
      <c r="AD62" s="32" t="n">
        <f aca="false">ROUND(AA62+AC62,2)</f>
        <v>133.41</v>
      </c>
      <c r="AE62" s="32" t="n">
        <f aca="false">AD62-L62</f>
        <v>-24.37</v>
      </c>
      <c r="AF62" s="34" t="n">
        <f aca="false">IF(L62=0,0,AE62/L62)</f>
        <v>-0.154455571048295</v>
      </c>
      <c r="AG62" s="22" t="str">
        <f aca="false">IF(AD62&lt;L62,"PASSARO","ATUAL")</f>
        <v>PASSARO</v>
      </c>
      <c r="AH62" s="22" t="str">
        <f aca="false">IF(P62&lt;&gt;A62,"Faixa cadastrada como "&amp;P62&amp;" na tabela; preço aplicado pela UF do CEP","")</f>
        <v/>
      </c>
      <c r="AI62" s="26" t="n">
        <v>169.64</v>
      </c>
      <c r="AJ62" s="22" t="str">
        <f aca="false">INDEX('Tabela Passaro'!$X$2:$X$1795,$N62)</f>
        <v>CAPITAL</v>
      </c>
    </row>
    <row r="63" customFormat="false" ht="15" hidden="false" customHeight="false" outlineLevel="0" collapsed="false">
      <c r="A63" s="22" t="s">
        <v>15</v>
      </c>
      <c r="B63" s="22" t="n">
        <v>1</v>
      </c>
      <c r="C63" s="22" t="s">
        <v>59</v>
      </c>
      <c r="D63" s="22" t="s">
        <v>30</v>
      </c>
      <c r="E63" s="22" t="s">
        <v>7328</v>
      </c>
      <c r="F63" s="22" t="n">
        <v>2315750</v>
      </c>
      <c r="G63" s="30" t="n">
        <v>46258</v>
      </c>
      <c r="H63" s="22" t="n">
        <v>134908</v>
      </c>
      <c r="I63" s="22" t="s">
        <v>7388</v>
      </c>
      <c r="J63" s="31" t="n">
        <v>29.2</v>
      </c>
      <c r="K63" s="26" t="n">
        <v>523.71</v>
      </c>
      <c r="L63" s="26" t="n">
        <v>119.14</v>
      </c>
      <c r="M63" s="22" t="s">
        <v>283</v>
      </c>
      <c r="N63" s="22" t="n">
        <f aca="false">MATCH(M63,'Tabela Passaro'!$A$2:$A$1795,0)</f>
        <v>1</v>
      </c>
      <c r="O63" s="22" t="str">
        <f aca="false">INDEX('Tabela Passaro'!$C$2:$C$1795,$N63)</f>
        <v>MACEIO</v>
      </c>
      <c r="P63" s="22" t="str">
        <f aca="false">INDEX('Tabela Passaro'!$B$2:$B$1795,$N63)</f>
        <v>AL</v>
      </c>
      <c r="Q63" s="22" t="n">
        <f aca="false">INDEX('Tabela Passaro'!$F$2:$F$1795,$N63)</f>
        <v>8</v>
      </c>
      <c r="R63" s="32" t="n">
        <f aca="false">IF(J63&lt;=10,INDEX('Tabela Passaro'!$G$2:$G$1795,$N63),IF(J63&lt;=30,INDEX('Tabela Passaro'!$H$2:$H$1795,$N63),IF(J63&lt;=50,INDEX('Tabela Passaro'!$I$2:$I$1795,$N63),IF(J63&lt;=70,INDEX('Tabela Passaro'!$J$2:$J$1795,$N63),IF(J63&lt;=100,INDEX('Tabela Passaro'!$K$2:$K$1795,$N63),INDEX('Tabela Passaro'!$K$2:$K$1795,$N63)+(J63-100)*INDEX('Tabela Passaro'!$L$2:$L$1795,$N63))))))</f>
        <v>66.94</v>
      </c>
      <c r="S63" s="32" t="n">
        <f aca="false">K63*INDEX('Tabela Passaro'!$M$2:$M$1795,$N63)</f>
        <v>2.61855</v>
      </c>
      <c r="T63" s="32" t="n">
        <f aca="false">K63*INDEX('Tabela Passaro'!$N$2:$N$1795,$N63)</f>
        <v>1.04742</v>
      </c>
      <c r="U63" s="32" t="n">
        <f aca="false">INDEX('Tabela Passaro'!$O$2:$O$1795,$N63)</f>
        <v>5</v>
      </c>
      <c r="V63" s="32" t="n">
        <f aca="false">ROUNDUP(J63/INDEX('Tabela Passaro'!$Q$2:$Q$1795,$N63),0)*INDEX('Tabela Passaro'!$P$2:$P$1795,$N63)</f>
        <v>5</v>
      </c>
      <c r="W63" s="32" t="n">
        <f aca="false">INDEX('Tabela Passaro'!$R$2:$R$1795,$N63)</f>
        <v>30</v>
      </c>
      <c r="X63" s="32" t="n">
        <f aca="false">ROUNDUP(J63/INDEX('Tabela Passaro'!$T$2:$T$1795,$N63),0)*INDEX('Tabela Passaro'!$S$2:$S$1795,$N63)</f>
        <v>0</v>
      </c>
      <c r="Y63" s="32" t="n">
        <f aca="false">INDEX('Tabela Passaro'!$U$2:$U$1795,$N63)</f>
        <v>0</v>
      </c>
      <c r="Z63" s="32" t="n">
        <f aca="false">INDEX('Tabela Passaro'!$V$2:$V$1795,$N63)</f>
        <v>0</v>
      </c>
      <c r="AA63" s="32" t="n">
        <f aca="false">SUM(R63:Z63)</f>
        <v>110.60597</v>
      </c>
      <c r="AB63" s="33" t="n">
        <f aca="false">INDEX(Premissas!$B$5:$B$13,MATCH(A63,Premissas!$A$5:$A$13,0))</f>
        <v>0.07</v>
      </c>
      <c r="AC63" s="32" t="n">
        <f aca="false">AA63/(1-AB63)-AA63</f>
        <v>8.32518053763441</v>
      </c>
      <c r="AD63" s="32" t="n">
        <f aca="false">ROUND(AA63+AC63,2)</f>
        <v>118.93</v>
      </c>
      <c r="AE63" s="32" t="n">
        <f aca="false">AD63-L63</f>
        <v>-0.209999999999994</v>
      </c>
      <c r="AF63" s="34" t="n">
        <f aca="false">IF(L63=0,0,AE63/L63)</f>
        <v>-0.00176263219741475</v>
      </c>
      <c r="AG63" s="22" t="str">
        <f aca="false">IF(AD63&lt;L63,"PASSARO","ATUAL")</f>
        <v>PASSARO</v>
      </c>
      <c r="AH63" s="22" t="str">
        <f aca="false">IF(P63&lt;&gt;A63,"Faixa cadastrada como "&amp;P63&amp;" na tabela; preço aplicado pela UF do CEP","")</f>
        <v/>
      </c>
      <c r="AI63" s="26" t="n">
        <v>144.06</v>
      </c>
      <c r="AJ63" s="22" t="str">
        <f aca="false">INDEX('Tabela Passaro'!$X$2:$X$1795,$N63)</f>
        <v>CAPITAL</v>
      </c>
    </row>
    <row r="64" customFormat="false" ht="15" hidden="false" customHeight="false" outlineLevel="0" collapsed="false">
      <c r="A64" s="22" t="s">
        <v>15</v>
      </c>
      <c r="B64" s="22" t="n">
        <v>1</v>
      </c>
      <c r="C64" s="22" t="s">
        <v>59</v>
      </c>
      <c r="D64" s="22" t="s">
        <v>30</v>
      </c>
      <c r="E64" s="22" t="s">
        <v>7328</v>
      </c>
      <c r="F64" s="22" t="n">
        <v>2315774</v>
      </c>
      <c r="G64" s="30" t="n">
        <v>46258</v>
      </c>
      <c r="H64" s="22" t="n">
        <v>134934</v>
      </c>
      <c r="I64" s="22" t="s">
        <v>7389</v>
      </c>
      <c r="J64" s="31" t="n">
        <v>34.4</v>
      </c>
      <c r="K64" s="26" t="n">
        <v>598.69</v>
      </c>
      <c r="L64" s="26" t="n">
        <v>155.6</v>
      </c>
      <c r="M64" s="22" t="s">
        <v>283</v>
      </c>
      <c r="N64" s="22" t="n">
        <f aca="false">MATCH(M64,'Tabela Passaro'!$A$2:$A$1795,0)</f>
        <v>1</v>
      </c>
      <c r="O64" s="22" t="str">
        <f aca="false">INDEX('Tabela Passaro'!$C$2:$C$1795,$N64)</f>
        <v>MACEIO</v>
      </c>
      <c r="P64" s="22" t="str">
        <f aca="false">INDEX('Tabela Passaro'!$B$2:$B$1795,$N64)</f>
        <v>AL</v>
      </c>
      <c r="Q64" s="22" t="n">
        <f aca="false">INDEX('Tabela Passaro'!$F$2:$F$1795,$N64)</f>
        <v>8</v>
      </c>
      <c r="R64" s="32" t="n">
        <f aca="false">IF(J64&lt;=10,INDEX('Tabela Passaro'!$G$2:$G$1795,$N64),IF(J64&lt;=30,INDEX('Tabela Passaro'!$H$2:$H$1795,$N64),IF(J64&lt;=50,INDEX('Tabela Passaro'!$I$2:$I$1795,$N64),IF(J64&lt;=70,INDEX('Tabela Passaro'!$J$2:$J$1795,$N64),IF(J64&lt;=100,INDEX('Tabela Passaro'!$K$2:$K$1795,$N64),INDEX('Tabela Passaro'!$K$2:$K$1795,$N64)+(J64-100)*INDEX('Tabela Passaro'!$L$2:$L$1795,$N64))))))</f>
        <v>77.96</v>
      </c>
      <c r="S64" s="32" t="n">
        <f aca="false">K64*INDEX('Tabela Passaro'!$M$2:$M$1795,$N64)</f>
        <v>2.99345</v>
      </c>
      <c r="T64" s="32" t="n">
        <f aca="false">K64*INDEX('Tabela Passaro'!$N$2:$N$1795,$N64)</f>
        <v>1.19738</v>
      </c>
      <c r="U64" s="32" t="n">
        <f aca="false">INDEX('Tabela Passaro'!$O$2:$O$1795,$N64)</f>
        <v>5</v>
      </c>
      <c r="V64" s="32" t="n">
        <f aca="false">ROUNDUP(J64/INDEX('Tabela Passaro'!$Q$2:$Q$1795,$N64),0)*INDEX('Tabela Passaro'!$P$2:$P$1795,$N64)</f>
        <v>5</v>
      </c>
      <c r="W64" s="32" t="n">
        <f aca="false">INDEX('Tabela Passaro'!$R$2:$R$1795,$N64)</f>
        <v>30</v>
      </c>
      <c r="X64" s="32" t="n">
        <f aca="false">ROUNDUP(J64/INDEX('Tabela Passaro'!$T$2:$T$1795,$N64),0)*INDEX('Tabela Passaro'!$S$2:$S$1795,$N64)</f>
        <v>0</v>
      </c>
      <c r="Y64" s="32" t="n">
        <f aca="false">INDEX('Tabela Passaro'!$U$2:$U$1795,$N64)</f>
        <v>0</v>
      </c>
      <c r="Z64" s="32" t="n">
        <f aca="false">INDEX('Tabela Passaro'!$V$2:$V$1795,$N64)</f>
        <v>0</v>
      </c>
      <c r="AA64" s="32" t="n">
        <f aca="false">SUM(R64:Z64)</f>
        <v>122.15083</v>
      </c>
      <c r="AB64" s="33" t="n">
        <f aca="false">INDEX(Premissas!$B$5:$B$13,MATCH(A64,Premissas!$A$5:$A$13,0))</f>
        <v>0.07</v>
      </c>
      <c r="AC64" s="32" t="n">
        <f aca="false">AA64/(1-AB64)-AA64</f>
        <v>9.19414849462366</v>
      </c>
      <c r="AD64" s="32" t="n">
        <f aca="false">ROUND(AA64+AC64,2)</f>
        <v>131.34</v>
      </c>
      <c r="AE64" s="32" t="n">
        <f aca="false">AD64-L64</f>
        <v>-24.26</v>
      </c>
      <c r="AF64" s="34" t="n">
        <f aca="false">IF(L64=0,0,AE64/L64)</f>
        <v>-0.155912596401028</v>
      </c>
      <c r="AG64" s="22" t="str">
        <f aca="false">IF(AD64&lt;L64,"PASSARO","ATUAL")</f>
        <v>PASSARO</v>
      </c>
      <c r="AH64" s="22" t="str">
        <f aca="false">IF(P64&lt;&gt;A64,"Faixa cadastrada como "&amp;P64&amp;" na tabela; preço aplicado pela UF do CEP","")</f>
        <v/>
      </c>
      <c r="AI64" s="26" t="n">
        <v>159.73</v>
      </c>
      <c r="AJ64" s="22" t="str">
        <f aca="false">INDEX('Tabela Passaro'!$X$2:$X$1795,$N64)</f>
        <v>CAPITAL</v>
      </c>
    </row>
    <row r="65" customFormat="false" ht="15" hidden="false" customHeight="false" outlineLevel="0" collapsed="false">
      <c r="A65" s="22" t="s">
        <v>15</v>
      </c>
      <c r="B65" s="22" t="n">
        <v>1</v>
      </c>
      <c r="C65" s="22" t="s">
        <v>59</v>
      </c>
      <c r="D65" s="22" t="s">
        <v>30</v>
      </c>
      <c r="E65" s="22" t="s">
        <v>7328</v>
      </c>
      <c r="F65" s="22" t="n">
        <v>2315802</v>
      </c>
      <c r="G65" s="30" t="n">
        <v>46258</v>
      </c>
      <c r="H65" s="22" t="n">
        <v>134946</v>
      </c>
      <c r="I65" s="22" t="s">
        <v>7390</v>
      </c>
      <c r="J65" s="31" t="n">
        <v>66.4</v>
      </c>
      <c r="K65" s="26" t="n">
        <v>929.76</v>
      </c>
      <c r="L65" s="26" t="n">
        <v>185.65</v>
      </c>
      <c r="M65" s="22" t="s">
        <v>283</v>
      </c>
      <c r="N65" s="22" t="n">
        <f aca="false">MATCH(M65,'Tabela Passaro'!$A$2:$A$1795,0)</f>
        <v>1</v>
      </c>
      <c r="O65" s="22" t="str">
        <f aca="false">INDEX('Tabela Passaro'!$C$2:$C$1795,$N65)</f>
        <v>MACEIO</v>
      </c>
      <c r="P65" s="22" t="str">
        <f aca="false">INDEX('Tabela Passaro'!$B$2:$B$1795,$N65)</f>
        <v>AL</v>
      </c>
      <c r="Q65" s="22" t="n">
        <f aca="false">INDEX('Tabela Passaro'!$F$2:$F$1795,$N65)</f>
        <v>8</v>
      </c>
      <c r="R65" s="32" t="n">
        <f aca="false">IF(J65&lt;=10,INDEX('Tabela Passaro'!$G$2:$G$1795,$N65),IF(J65&lt;=30,INDEX('Tabela Passaro'!$H$2:$H$1795,$N65),IF(J65&lt;=50,INDEX('Tabela Passaro'!$I$2:$I$1795,$N65),IF(J65&lt;=70,INDEX('Tabela Passaro'!$J$2:$J$1795,$N65),IF(J65&lt;=100,INDEX('Tabela Passaro'!$K$2:$K$1795,$N65),INDEX('Tabela Passaro'!$K$2:$K$1795,$N65)+(J65-100)*INDEX('Tabela Passaro'!$L$2:$L$1795,$N65))))))</f>
        <v>88.98</v>
      </c>
      <c r="S65" s="32" t="n">
        <f aca="false">K65*INDEX('Tabela Passaro'!$M$2:$M$1795,$N65)</f>
        <v>4.6488</v>
      </c>
      <c r="T65" s="32" t="n">
        <f aca="false">K65*INDEX('Tabela Passaro'!$N$2:$N$1795,$N65)</f>
        <v>1.85952</v>
      </c>
      <c r="U65" s="32" t="n">
        <f aca="false">INDEX('Tabela Passaro'!$O$2:$O$1795,$N65)</f>
        <v>5</v>
      </c>
      <c r="V65" s="32" t="n">
        <f aca="false">ROUNDUP(J65/INDEX('Tabela Passaro'!$Q$2:$Q$1795,$N65),0)*INDEX('Tabela Passaro'!$P$2:$P$1795,$N65)</f>
        <v>5</v>
      </c>
      <c r="W65" s="32" t="n">
        <f aca="false">INDEX('Tabela Passaro'!$R$2:$R$1795,$N65)</f>
        <v>30</v>
      </c>
      <c r="X65" s="32" t="n">
        <f aca="false">ROUNDUP(J65/INDEX('Tabela Passaro'!$T$2:$T$1795,$N65),0)*INDEX('Tabela Passaro'!$S$2:$S$1795,$N65)</f>
        <v>0</v>
      </c>
      <c r="Y65" s="32" t="n">
        <f aca="false">INDEX('Tabela Passaro'!$U$2:$U$1795,$N65)</f>
        <v>0</v>
      </c>
      <c r="Z65" s="32" t="n">
        <f aca="false">INDEX('Tabela Passaro'!$V$2:$V$1795,$N65)</f>
        <v>0</v>
      </c>
      <c r="AA65" s="32" t="n">
        <f aca="false">SUM(R65:Z65)</f>
        <v>135.48832</v>
      </c>
      <c r="AB65" s="33" t="n">
        <f aca="false">INDEX(Premissas!$B$5:$B$13,MATCH(A65,Premissas!$A$5:$A$13,0))</f>
        <v>0.07</v>
      </c>
      <c r="AC65" s="32" t="n">
        <f aca="false">AA65/(1-AB65)-AA65</f>
        <v>10.1980455913979</v>
      </c>
      <c r="AD65" s="32" t="n">
        <f aca="false">ROUND(AA65+AC65,2)</f>
        <v>145.69</v>
      </c>
      <c r="AE65" s="32" t="n">
        <f aca="false">AD65-L65</f>
        <v>-39.96</v>
      </c>
      <c r="AF65" s="34" t="n">
        <f aca="false">IF(L65=0,0,AE65/L65)</f>
        <v>-0.215243738217075</v>
      </c>
      <c r="AG65" s="22" t="str">
        <f aca="false">IF(AD65&lt;L65,"PASSARO","ATUAL")</f>
        <v>PASSARO</v>
      </c>
      <c r="AH65" s="22" t="str">
        <f aca="false">IF(P65&lt;&gt;A65,"Faixa cadastrada como "&amp;P65&amp;" na tabela; preço aplicado pela UF do CEP","")</f>
        <v/>
      </c>
      <c r="AI65" s="26" t="n">
        <v>190.94</v>
      </c>
      <c r="AJ65" s="22" t="str">
        <f aca="false">INDEX('Tabela Passaro'!$X$2:$X$1795,$N65)</f>
        <v>CAPITAL</v>
      </c>
    </row>
    <row r="66" customFormat="false" ht="15" hidden="false" customHeight="false" outlineLevel="0" collapsed="false">
      <c r="A66" s="22" t="s">
        <v>15</v>
      </c>
      <c r="B66" s="22" t="n">
        <v>1</v>
      </c>
      <c r="C66" s="22" t="s">
        <v>59</v>
      </c>
      <c r="D66" s="22" t="s">
        <v>30</v>
      </c>
      <c r="E66" s="22" t="s">
        <v>7328</v>
      </c>
      <c r="F66" s="22" t="n">
        <v>2315818</v>
      </c>
      <c r="G66" s="30" t="n">
        <v>46258</v>
      </c>
      <c r="H66" s="22" t="n">
        <v>134958</v>
      </c>
      <c r="I66" s="22" t="s">
        <v>7391</v>
      </c>
      <c r="J66" s="31" t="n">
        <v>51.06</v>
      </c>
      <c r="K66" s="26" t="n">
        <v>855.54</v>
      </c>
      <c r="L66" s="26" t="n">
        <v>185.07</v>
      </c>
      <c r="M66" s="22" t="s">
        <v>283</v>
      </c>
      <c r="N66" s="22" t="n">
        <f aca="false">MATCH(M66,'Tabela Passaro'!$A$2:$A$1795,0)</f>
        <v>1</v>
      </c>
      <c r="O66" s="22" t="str">
        <f aca="false">INDEX('Tabela Passaro'!$C$2:$C$1795,$N66)</f>
        <v>MACEIO</v>
      </c>
      <c r="P66" s="22" t="str">
        <f aca="false">INDEX('Tabela Passaro'!$B$2:$B$1795,$N66)</f>
        <v>AL</v>
      </c>
      <c r="Q66" s="22" t="n">
        <f aca="false">INDEX('Tabela Passaro'!$F$2:$F$1795,$N66)</f>
        <v>8</v>
      </c>
      <c r="R66" s="32" t="n">
        <f aca="false">IF(J66&lt;=10,INDEX('Tabela Passaro'!$G$2:$G$1795,$N66),IF(J66&lt;=30,INDEX('Tabela Passaro'!$H$2:$H$1795,$N66),IF(J66&lt;=50,INDEX('Tabela Passaro'!$I$2:$I$1795,$N66),IF(J66&lt;=70,INDEX('Tabela Passaro'!$J$2:$J$1795,$N66),IF(J66&lt;=100,INDEX('Tabela Passaro'!$K$2:$K$1795,$N66),INDEX('Tabela Passaro'!$K$2:$K$1795,$N66)+(J66-100)*INDEX('Tabela Passaro'!$L$2:$L$1795,$N66))))))</f>
        <v>88.98</v>
      </c>
      <c r="S66" s="32" t="n">
        <f aca="false">K66*INDEX('Tabela Passaro'!$M$2:$M$1795,$N66)</f>
        <v>4.2777</v>
      </c>
      <c r="T66" s="32" t="n">
        <f aca="false">K66*INDEX('Tabela Passaro'!$N$2:$N$1795,$N66)</f>
        <v>1.71108</v>
      </c>
      <c r="U66" s="32" t="n">
        <f aca="false">INDEX('Tabela Passaro'!$O$2:$O$1795,$N66)</f>
        <v>5</v>
      </c>
      <c r="V66" s="32" t="n">
        <f aca="false">ROUNDUP(J66/INDEX('Tabela Passaro'!$Q$2:$Q$1795,$N66),0)*INDEX('Tabela Passaro'!$P$2:$P$1795,$N66)</f>
        <v>5</v>
      </c>
      <c r="W66" s="32" t="n">
        <f aca="false">INDEX('Tabela Passaro'!$R$2:$R$1795,$N66)</f>
        <v>30</v>
      </c>
      <c r="X66" s="32" t="n">
        <f aca="false">ROUNDUP(J66/INDEX('Tabela Passaro'!$T$2:$T$1795,$N66),0)*INDEX('Tabela Passaro'!$S$2:$S$1795,$N66)</f>
        <v>0</v>
      </c>
      <c r="Y66" s="32" t="n">
        <f aca="false">INDEX('Tabela Passaro'!$U$2:$U$1795,$N66)</f>
        <v>0</v>
      </c>
      <c r="Z66" s="32" t="n">
        <f aca="false">INDEX('Tabela Passaro'!$V$2:$V$1795,$N66)</f>
        <v>0</v>
      </c>
      <c r="AA66" s="32" t="n">
        <f aca="false">SUM(R66:Z66)</f>
        <v>134.96878</v>
      </c>
      <c r="AB66" s="33" t="n">
        <f aca="false">INDEX(Premissas!$B$5:$B$13,MATCH(A66,Premissas!$A$5:$A$13,0))</f>
        <v>0.07</v>
      </c>
      <c r="AC66" s="32" t="n">
        <f aca="false">AA66/(1-AB66)-AA66</f>
        <v>10.1589404301075</v>
      </c>
      <c r="AD66" s="32" t="n">
        <f aca="false">ROUND(AA66+AC66,2)</f>
        <v>145.13</v>
      </c>
      <c r="AE66" s="32" t="n">
        <f aca="false">AD66-L66</f>
        <v>-39.94</v>
      </c>
      <c r="AF66" s="34" t="n">
        <f aca="false">IF(L66=0,0,AE66/L66)</f>
        <v>-0.215810233965527</v>
      </c>
      <c r="AG66" s="22" t="str">
        <f aca="false">IF(AD66&lt;L66,"PASSARO","ATUAL")</f>
        <v>PASSARO</v>
      </c>
      <c r="AH66" s="22" t="str">
        <f aca="false">IF(P66&lt;&gt;A66,"Faixa cadastrada como "&amp;P66&amp;" na tabela; preço aplicado pela UF do CEP","")</f>
        <v/>
      </c>
      <c r="AI66" s="26" t="n">
        <v>182.97</v>
      </c>
      <c r="AJ66" s="22" t="str">
        <f aca="false">INDEX('Tabela Passaro'!$X$2:$X$1795,$N66)</f>
        <v>CAPITAL</v>
      </c>
    </row>
    <row r="67" customFormat="false" ht="15" hidden="false" customHeight="false" outlineLevel="0" collapsed="false">
      <c r="A67" s="22" t="s">
        <v>15</v>
      </c>
      <c r="B67" s="22" t="n">
        <v>1</v>
      </c>
      <c r="C67" s="22" t="s">
        <v>59</v>
      </c>
      <c r="D67" s="22" t="s">
        <v>30</v>
      </c>
      <c r="E67" s="22" t="s">
        <v>7328</v>
      </c>
      <c r="F67" s="22" t="n">
        <v>2315843</v>
      </c>
      <c r="G67" s="30" t="n">
        <v>46258</v>
      </c>
      <c r="H67" s="22" t="n">
        <v>135113</v>
      </c>
      <c r="I67" s="22" t="s">
        <v>7392</v>
      </c>
      <c r="J67" s="31" t="n">
        <v>45.4</v>
      </c>
      <c r="K67" s="26" t="n">
        <v>652.79</v>
      </c>
      <c r="L67" s="26" t="n">
        <v>156.02</v>
      </c>
      <c r="M67" s="22" t="s">
        <v>283</v>
      </c>
      <c r="N67" s="22" t="n">
        <f aca="false">MATCH(M67,'Tabela Passaro'!$A$2:$A$1795,0)</f>
        <v>1</v>
      </c>
      <c r="O67" s="22" t="str">
        <f aca="false">INDEX('Tabela Passaro'!$C$2:$C$1795,$N67)</f>
        <v>MACEIO</v>
      </c>
      <c r="P67" s="22" t="str">
        <f aca="false">INDEX('Tabela Passaro'!$B$2:$B$1795,$N67)</f>
        <v>AL</v>
      </c>
      <c r="Q67" s="22" t="n">
        <f aca="false">INDEX('Tabela Passaro'!$F$2:$F$1795,$N67)</f>
        <v>8</v>
      </c>
      <c r="R67" s="32" t="n">
        <f aca="false">IF(J67&lt;=10,INDEX('Tabela Passaro'!$G$2:$G$1795,$N67),IF(J67&lt;=30,INDEX('Tabela Passaro'!$H$2:$H$1795,$N67),IF(J67&lt;=50,INDEX('Tabela Passaro'!$I$2:$I$1795,$N67),IF(J67&lt;=70,INDEX('Tabela Passaro'!$J$2:$J$1795,$N67),IF(J67&lt;=100,INDEX('Tabela Passaro'!$K$2:$K$1795,$N67),INDEX('Tabela Passaro'!$K$2:$K$1795,$N67)+(J67-100)*INDEX('Tabela Passaro'!$L$2:$L$1795,$N67))))))</f>
        <v>77.96</v>
      </c>
      <c r="S67" s="32" t="n">
        <f aca="false">K67*INDEX('Tabela Passaro'!$M$2:$M$1795,$N67)</f>
        <v>3.26395</v>
      </c>
      <c r="T67" s="32" t="n">
        <f aca="false">K67*INDEX('Tabela Passaro'!$N$2:$N$1795,$N67)</f>
        <v>1.30558</v>
      </c>
      <c r="U67" s="32" t="n">
        <f aca="false">INDEX('Tabela Passaro'!$O$2:$O$1795,$N67)</f>
        <v>5</v>
      </c>
      <c r="V67" s="32" t="n">
        <f aca="false">ROUNDUP(J67/INDEX('Tabela Passaro'!$Q$2:$Q$1795,$N67),0)*INDEX('Tabela Passaro'!$P$2:$P$1795,$N67)</f>
        <v>5</v>
      </c>
      <c r="W67" s="32" t="n">
        <f aca="false">INDEX('Tabela Passaro'!$R$2:$R$1795,$N67)</f>
        <v>30</v>
      </c>
      <c r="X67" s="32" t="n">
        <f aca="false">ROUNDUP(J67/INDEX('Tabela Passaro'!$T$2:$T$1795,$N67),0)*INDEX('Tabela Passaro'!$S$2:$S$1795,$N67)</f>
        <v>0</v>
      </c>
      <c r="Y67" s="32" t="n">
        <f aca="false">INDEX('Tabela Passaro'!$U$2:$U$1795,$N67)</f>
        <v>0</v>
      </c>
      <c r="Z67" s="32" t="n">
        <f aca="false">INDEX('Tabela Passaro'!$V$2:$V$1795,$N67)</f>
        <v>0</v>
      </c>
      <c r="AA67" s="32" t="n">
        <f aca="false">SUM(R67:Z67)</f>
        <v>122.52953</v>
      </c>
      <c r="AB67" s="33" t="n">
        <f aca="false">INDEX(Premissas!$B$5:$B$13,MATCH(A67,Premissas!$A$5:$A$13,0))</f>
        <v>0.07</v>
      </c>
      <c r="AC67" s="32" t="n">
        <f aca="false">AA67/(1-AB67)-AA67</f>
        <v>9.22265279569893</v>
      </c>
      <c r="AD67" s="32" t="n">
        <f aca="false">ROUND(AA67+AC67,2)</f>
        <v>131.75</v>
      </c>
      <c r="AE67" s="32" t="n">
        <f aca="false">AD67-L67</f>
        <v>-24.27</v>
      </c>
      <c r="AF67" s="34" t="n">
        <f aca="false">IF(L67=0,0,AE67/L67)</f>
        <v>-0.155556979874375</v>
      </c>
      <c r="AG67" s="22" t="str">
        <f aca="false">IF(AD67&lt;L67,"PASSARO","ATUAL")</f>
        <v>PASSARO</v>
      </c>
      <c r="AH67" s="22" t="str">
        <f aca="false">IF(P67&lt;&gt;A67,"Faixa cadastrada como "&amp;P67&amp;" na tabela; preço aplicado pela UF do CEP","")</f>
        <v/>
      </c>
      <c r="AI67" s="26" t="n">
        <v>165.58</v>
      </c>
      <c r="AJ67" s="22" t="str">
        <f aca="false">INDEX('Tabela Passaro'!$X$2:$X$1795,$N67)</f>
        <v>CAPITAL</v>
      </c>
    </row>
    <row r="68" customFormat="false" ht="15" hidden="false" customHeight="false" outlineLevel="0" collapsed="false">
      <c r="A68" s="22" t="s">
        <v>15</v>
      </c>
      <c r="B68" s="22" t="n">
        <v>1</v>
      </c>
      <c r="C68" s="22" t="s">
        <v>59</v>
      </c>
      <c r="D68" s="22" t="s">
        <v>30</v>
      </c>
      <c r="E68" s="22" t="s">
        <v>7328</v>
      </c>
      <c r="F68" s="22" t="n">
        <v>2315848</v>
      </c>
      <c r="G68" s="30" t="n">
        <v>46258</v>
      </c>
      <c r="H68" s="22" t="n">
        <v>135324</v>
      </c>
      <c r="I68" s="22" t="s">
        <v>7393</v>
      </c>
      <c r="J68" s="31" t="n">
        <v>51.06</v>
      </c>
      <c r="K68" s="26" t="n">
        <v>920.97</v>
      </c>
      <c r="L68" s="26" t="n">
        <v>185.57</v>
      </c>
      <c r="M68" s="22" t="s">
        <v>283</v>
      </c>
      <c r="N68" s="22" t="n">
        <f aca="false">MATCH(M68,'Tabela Passaro'!$A$2:$A$1795,0)</f>
        <v>1</v>
      </c>
      <c r="O68" s="22" t="str">
        <f aca="false">INDEX('Tabela Passaro'!$C$2:$C$1795,$N68)</f>
        <v>MACEIO</v>
      </c>
      <c r="P68" s="22" t="str">
        <f aca="false">INDEX('Tabela Passaro'!$B$2:$B$1795,$N68)</f>
        <v>AL</v>
      </c>
      <c r="Q68" s="22" t="n">
        <f aca="false">INDEX('Tabela Passaro'!$F$2:$F$1795,$N68)</f>
        <v>8</v>
      </c>
      <c r="R68" s="32" t="n">
        <f aca="false">IF(J68&lt;=10,INDEX('Tabela Passaro'!$G$2:$G$1795,$N68),IF(J68&lt;=30,INDEX('Tabela Passaro'!$H$2:$H$1795,$N68),IF(J68&lt;=50,INDEX('Tabela Passaro'!$I$2:$I$1795,$N68),IF(J68&lt;=70,INDEX('Tabela Passaro'!$J$2:$J$1795,$N68),IF(J68&lt;=100,INDEX('Tabela Passaro'!$K$2:$K$1795,$N68),INDEX('Tabela Passaro'!$K$2:$K$1795,$N68)+(J68-100)*INDEX('Tabela Passaro'!$L$2:$L$1795,$N68))))))</f>
        <v>88.98</v>
      </c>
      <c r="S68" s="32" t="n">
        <f aca="false">K68*INDEX('Tabela Passaro'!$M$2:$M$1795,$N68)</f>
        <v>4.60485</v>
      </c>
      <c r="T68" s="32" t="n">
        <f aca="false">K68*INDEX('Tabela Passaro'!$N$2:$N$1795,$N68)</f>
        <v>1.84194</v>
      </c>
      <c r="U68" s="32" t="n">
        <f aca="false">INDEX('Tabela Passaro'!$O$2:$O$1795,$N68)</f>
        <v>5</v>
      </c>
      <c r="V68" s="32" t="n">
        <f aca="false">ROUNDUP(J68/INDEX('Tabela Passaro'!$Q$2:$Q$1795,$N68),0)*INDEX('Tabela Passaro'!$P$2:$P$1795,$N68)</f>
        <v>5</v>
      </c>
      <c r="W68" s="32" t="n">
        <f aca="false">INDEX('Tabela Passaro'!$R$2:$R$1795,$N68)</f>
        <v>30</v>
      </c>
      <c r="X68" s="32" t="n">
        <f aca="false">ROUNDUP(J68/INDEX('Tabela Passaro'!$T$2:$T$1795,$N68),0)*INDEX('Tabela Passaro'!$S$2:$S$1795,$N68)</f>
        <v>0</v>
      </c>
      <c r="Y68" s="32" t="n">
        <f aca="false">INDEX('Tabela Passaro'!$U$2:$U$1795,$N68)</f>
        <v>0</v>
      </c>
      <c r="Z68" s="32" t="n">
        <f aca="false">INDEX('Tabela Passaro'!$V$2:$V$1795,$N68)</f>
        <v>0</v>
      </c>
      <c r="AA68" s="32" t="n">
        <f aca="false">SUM(R68:Z68)</f>
        <v>135.42679</v>
      </c>
      <c r="AB68" s="33" t="n">
        <f aca="false">INDEX(Premissas!$B$5:$B$13,MATCH(A68,Premissas!$A$5:$A$13,0))</f>
        <v>0.07</v>
      </c>
      <c r="AC68" s="32" t="n">
        <f aca="false">AA68/(1-AB68)-AA68</f>
        <v>10.1934143010753</v>
      </c>
      <c r="AD68" s="32" t="n">
        <f aca="false">ROUND(AA68+AC68,2)</f>
        <v>145.62</v>
      </c>
      <c r="AE68" s="32" t="n">
        <f aca="false">AD68-L68</f>
        <v>-39.95</v>
      </c>
      <c r="AF68" s="34" t="n">
        <f aca="false">IF(L68=0,0,AE68/L68)</f>
        <v>-0.215282642668535</v>
      </c>
      <c r="AG68" s="22" t="str">
        <f aca="false">IF(AD68&lt;L68,"PASSARO","ATUAL")</f>
        <v>PASSARO</v>
      </c>
      <c r="AH68" s="22" t="str">
        <f aca="false">IF(P68&lt;&gt;A68,"Faixa cadastrada como "&amp;P68&amp;" na tabela; preço aplicado pela UF do CEP","")</f>
        <v/>
      </c>
      <c r="AI68" s="26" t="n">
        <v>183.6</v>
      </c>
      <c r="AJ68" s="22" t="str">
        <f aca="false">INDEX('Tabela Passaro'!$X$2:$X$1795,$N68)</f>
        <v>CAPITAL</v>
      </c>
    </row>
    <row r="69" customFormat="false" ht="15" hidden="false" customHeight="false" outlineLevel="0" collapsed="false">
      <c r="A69" s="22" t="s">
        <v>15</v>
      </c>
      <c r="B69" s="22" t="n">
        <v>1</v>
      </c>
      <c r="C69" s="22" t="s">
        <v>59</v>
      </c>
      <c r="D69" s="22" t="s">
        <v>30</v>
      </c>
      <c r="E69" s="22" t="s">
        <v>20</v>
      </c>
      <c r="F69" s="22" t="n">
        <v>840022</v>
      </c>
      <c r="G69" s="30" t="n">
        <v>46259</v>
      </c>
      <c r="H69" s="22" t="n">
        <v>32668</v>
      </c>
      <c r="I69" s="22" t="s">
        <v>7394</v>
      </c>
      <c r="J69" s="31" t="n">
        <v>69.41</v>
      </c>
      <c r="K69" s="26" t="n">
        <v>1050.68</v>
      </c>
      <c r="L69" s="26" t="n">
        <v>164.1</v>
      </c>
      <c r="M69" s="22" t="s">
        <v>283</v>
      </c>
      <c r="N69" s="22" t="n">
        <f aca="false">MATCH(M69,'Tabela Passaro'!$A$2:$A$1795,0)</f>
        <v>1</v>
      </c>
      <c r="O69" s="22" t="str">
        <f aca="false">INDEX('Tabela Passaro'!$C$2:$C$1795,$N69)</f>
        <v>MACEIO</v>
      </c>
      <c r="P69" s="22" t="str">
        <f aca="false">INDEX('Tabela Passaro'!$B$2:$B$1795,$N69)</f>
        <v>AL</v>
      </c>
      <c r="Q69" s="22" t="n">
        <f aca="false">INDEX('Tabela Passaro'!$F$2:$F$1795,$N69)</f>
        <v>8</v>
      </c>
      <c r="R69" s="32" t="n">
        <f aca="false">IF(J69&lt;=10,INDEX('Tabela Passaro'!$G$2:$G$1795,$N69),IF(J69&lt;=30,INDEX('Tabela Passaro'!$H$2:$H$1795,$N69),IF(J69&lt;=50,INDEX('Tabela Passaro'!$I$2:$I$1795,$N69),IF(J69&lt;=70,INDEX('Tabela Passaro'!$J$2:$J$1795,$N69),IF(J69&lt;=100,INDEX('Tabela Passaro'!$K$2:$K$1795,$N69),INDEX('Tabela Passaro'!$K$2:$K$1795,$N69)+(J69-100)*INDEX('Tabela Passaro'!$L$2:$L$1795,$N69))))))</f>
        <v>88.98</v>
      </c>
      <c r="S69" s="32" t="n">
        <f aca="false">K69*INDEX('Tabela Passaro'!$M$2:$M$1795,$N69)</f>
        <v>5.2534</v>
      </c>
      <c r="T69" s="32" t="n">
        <f aca="false">K69*INDEX('Tabela Passaro'!$N$2:$N$1795,$N69)</f>
        <v>2.10136</v>
      </c>
      <c r="U69" s="32" t="n">
        <f aca="false">INDEX('Tabela Passaro'!$O$2:$O$1795,$N69)</f>
        <v>5</v>
      </c>
      <c r="V69" s="32" t="n">
        <f aca="false">ROUNDUP(J69/INDEX('Tabela Passaro'!$Q$2:$Q$1795,$N69),0)*INDEX('Tabela Passaro'!$P$2:$P$1795,$N69)</f>
        <v>5</v>
      </c>
      <c r="W69" s="32" t="n">
        <f aca="false">INDEX('Tabela Passaro'!$R$2:$R$1795,$N69)</f>
        <v>30</v>
      </c>
      <c r="X69" s="32" t="n">
        <f aca="false">ROUNDUP(J69/INDEX('Tabela Passaro'!$T$2:$T$1795,$N69),0)*INDEX('Tabela Passaro'!$S$2:$S$1795,$N69)</f>
        <v>0</v>
      </c>
      <c r="Y69" s="32" t="n">
        <f aca="false">INDEX('Tabela Passaro'!$U$2:$U$1795,$N69)</f>
        <v>0</v>
      </c>
      <c r="Z69" s="32" t="n">
        <f aca="false">INDEX('Tabela Passaro'!$V$2:$V$1795,$N69)</f>
        <v>0</v>
      </c>
      <c r="AA69" s="32" t="n">
        <f aca="false">SUM(R69:Z69)</f>
        <v>136.33476</v>
      </c>
      <c r="AB69" s="33" t="n">
        <f aca="false">INDEX(Premissas!$B$5:$B$13,MATCH(A69,Premissas!$A$5:$A$13,0))</f>
        <v>0.07</v>
      </c>
      <c r="AC69" s="32" t="n">
        <f aca="false">AA69/(1-AB69)-AA69</f>
        <v>10.2617561290323</v>
      </c>
      <c r="AD69" s="32" t="n">
        <f aca="false">ROUND(AA69+AC69,2)</f>
        <v>146.6</v>
      </c>
      <c r="AE69" s="32" t="n">
        <f aca="false">AD69-L69</f>
        <v>-17.5</v>
      </c>
      <c r="AF69" s="34" t="n">
        <f aca="false">IF(L69=0,0,AE69/L69)</f>
        <v>-0.106642291285801</v>
      </c>
      <c r="AG69" s="22" t="str">
        <f aca="false">IF(AD69&lt;L69,"PASSARO","ATUAL")</f>
        <v>PASSARO</v>
      </c>
      <c r="AH69" s="22" t="str">
        <f aca="false">IF(P69&lt;&gt;A69,"Faixa cadastrada como "&amp;P69&amp;" na tabela; preço aplicado pela UF do CEP","")</f>
        <v/>
      </c>
      <c r="AI69" s="26" t="n">
        <v>193.57</v>
      </c>
      <c r="AJ69" s="22" t="str">
        <f aca="false">INDEX('Tabela Passaro'!$X$2:$X$1795,$N69)</f>
        <v>CAPITAL</v>
      </c>
    </row>
    <row r="70" customFormat="false" ht="15" hidden="false" customHeight="false" outlineLevel="0" collapsed="false">
      <c r="A70" s="22" t="s">
        <v>15</v>
      </c>
      <c r="B70" s="22" t="n">
        <v>1</v>
      </c>
      <c r="C70" s="22" t="s">
        <v>59</v>
      </c>
      <c r="D70" s="22" t="s">
        <v>30</v>
      </c>
      <c r="E70" s="22" t="s">
        <v>20</v>
      </c>
      <c r="F70" s="22" t="n">
        <v>840020</v>
      </c>
      <c r="G70" s="30" t="n">
        <v>46259</v>
      </c>
      <c r="H70" s="22" t="n">
        <v>32670</v>
      </c>
      <c r="I70" s="22" t="s">
        <v>7395</v>
      </c>
      <c r="J70" s="31" t="n">
        <v>59.3</v>
      </c>
      <c r="K70" s="26" t="n">
        <v>1114.33</v>
      </c>
      <c r="L70" s="26" t="n">
        <v>164.67</v>
      </c>
      <c r="M70" s="22" t="s">
        <v>283</v>
      </c>
      <c r="N70" s="22" t="n">
        <f aca="false">MATCH(M70,'Tabela Passaro'!$A$2:$A$1795,0)</f>
        <v>1</v>
      </c>
      <c r="O70" s="22" t="str">
        <f aca="false">INDEX('Tabela Passaro'!$C$2:$C$1795,$N70)</f>
        <v>MACEIO</v>
      </c>
      <c r="P70" s="22" t="str">
        <f aca="false">INDEX('Tabela Passaro'!$B$2:$B$1795,$N70)</f>
        <v>AL</v>
      </c>
      <c r="Q70" s="22" t="n">
        <f aca="false">INDEX('Tabela Passaro'!$F$2:$F$1795,$N70)</f>
        <v>8</v>
      </c>
      <c r="R70" s="32" t="n">
        <f aca="false">IF(J70&lt;=10,INDEX('Tabela Passaro'!$G$2:$G$1795,$N70),IF(J70&lt;=30,INDEX('Tabela Passaro'!$H$2:$H$1795,$N70),IF(J70&lt;=50,INDEX('Tabela Passaro'!$I$2:$I$1795,$N70),IF(J70&lt;=70,INDEX('Tabela Passaro'!$J$2:$J$1795,$N70),IF(J70&lt;=100,INDEX('Tabela Passaro'!$K$2:$K$1795,$N70),INDEX('Tabela Passaro'!$K$2:$K$1795,$N70)+(J70-100)*INDEX('Tabela Passaro'!$L$2:$L$1795,$N70))))))</f>
        <v>88.98</v>
      </c>
      <c r="S70" s="32" t="n">
        <f aca="false">K70*INDEX('Tabela Passaro'!$M$2:$M$1795,$N70)</f>
        <v>5.57165</v>
      </c>
      <c r="T70" s="32" t="n">
        <f aca="false">K70*INDEX('Tabela Passaro'!$N$2:$N$1795,$N70)</f>
        <v>2.22866</v>
      </c>
      <c r="U70" s="32" t="n">
        <f aca="false">INDEX('Tabela Passaro'!$O$2:$O$1795,$N70)</f>
        <v>5</v>
      </c>
      <c r="V70" s="32" t="n">
        <f aca="false">ROUNDUP(J70/INDEX('Tabela Passaro'!$Q$2:$Q$1795,$N70),0)*INDEX('Tabela Passaro'!$P$2:$P$1795,$N70)</f>
        <v>5</v>
      </c>
      <c r="W70" s="32" t="n">
        <f aca="false">INDEX('Tabela Passaro'!$R$2:$R$1795,$N70)</f>
        <v>30</v>
      </c>
      <c r="X70" s="32" t="n">
        <f aca="false">ROUNDUP(J70/INDEX('Tabela Passaro'!$T$2:$T$1795,$N70),0)*INDEX('Tabela Passaro'!$S$2:$S$1795,$N70)</f>
        <v>0</v>
      </c>
      <c r="Y70" s="32" t="n">
        <f aca="false">INDEX('Tabela Passaro'!$U$2:$U$1795,$N70)</f>
        <v>0</v>
      </c>
      <c r="Z70" s="32" t="n">
        <f aca="false">INDEX('Tabela Passaro'!$V$2:$V$1795,$N70)</f>
        <v>0</v>
      </c>
      <c r="AA70" s="32" t="n">
        <f aca="false">SUM(R70:Z70)</f>
        <v>136.78031</v>
      </c>
      <c r="AB70" s="33" t="n">
        <f aca="false">INDEX(Premissas!$B$5:$B$13,MATCH(A70,Premissas!$A$5:$A$13,0))</f>
        <v>0.07</v>
      </c>
      <c r="AC70" s="32" t="n">
        <f aca="false">AA70/(1-AB70)-AA70</f>
        <v>10.2952921505376</v>
      </c>
      <c r="AD70" s="32" t="n">
        <f aca="false">ROUND(AA70+AC70,2)</f>
        <v>147.08</v>
      </c>
      <c r="AE70" s="32" t="n">
        <f aca="false">AD70-L70</f>
        <v>-17.59</v>
      </c>
      <c r="AF70" s="34" t="n">
        <f aca="false">IF(L70=0,0,AE70/L70)</f>
        <v>-0.106819700006073</v>
      </c>
      <c r="AG70" s="22" t="str">
        <f aca="false">IF(AD70&lt;L70,"PASSARO","ATUAL")</f>
        <v>PASSARO</v>
      </c>
      <c r="AH70" s="22" t="str">
        <f aca="false">IF(P70&lt;&gt;A70,"Faixa cadastrada como "&amp;P70&amp;" na tabela; preço aplicado pela UF do CEP","")</f>
        <v/>
      </c>
      <c r="AI70" s="26" t="n">
        <v>189.34</v>
      </c>
      <c r="AJ70" s="22" t="str">
        <f aca="false">INDEX('Tabela Passaro'!$X$2:$X$1795,$N70)</f>
        <v>CAPITAL</v>
      </c>
    </row>
    <row r="71" customFormat="false" ht="15" hidden="false" customHeight="false" outlineLevel="0" collapsed="false">
      <c r="A71" s="22" t="s">
        <v>15</v>
      </c>
      <c r="B71" s="22" t="n">
        <v>1</v>
      </c>
      <c r="C71" s="22" t="s">
        <v>59</v>
      </c>
      <c r="D71" s="22" t="s">
        <v>30</v>
      </c>
      <c r="E71" s="22" t="s">
        <v>7326</v>
      </c>
      <c r="F71" s="22" t="n">
        <v>527341</v>
      </c>
      <c r="G71" s="30" t="n">
        <v>46259</v>
      </c>
      <c r="H71" s="22" t="n">
        <v>628794</v>
      </c>
      <c r="I71" s="22" t="s">
        <v>7396</v>
      </c>
      <c r="J71" s="31" t="n">
        <v>51.06</v>
      </c>
      <c r="K71" s="26" t="n">
        <v>856.5</v>
      </c>
      <c r="L71" s="26" t="n">
        <v>217.15</v>
      </c>
      <c r="M71" s="22" t="s">
        <v>283</v>
      </c>
      <c r="N71" s="22" t="n">
        <f aca="false">MATCH(M71,'Tabela Passaro'!$A$2:$A$1795,0)</f>
        <v>1</v>
      </c>
      <c r="O71" s="22" t="str">
        <f aca="false">INDEX('Tabela Passaro'!$C$2:$C$1795,$N71)</f>
        <v>MACEIO</v>
      </c>
      <c r="P71" s="22" t="str">
        <f aca="false">INDEX('Tabela Passaro'!$B$2:$B$1795,$N71)</f>
        <v>AL</v>
      </c>
      <c r="Q71" s="22" t="n">
        <f aca="false">INDEX('Tabela Passaro'!$F$2:$F$1795,$N71)</f>
        <v>8</v>
      </c>
      <c r="R71" s="32" t="n">
        <f aca="false">IF(J71&lt;=10,INDEX('Tabela Passaro'!$G$2:$G$1795,$N71),IF(J71&lt;=30,INDEX('Tabela Passaro'!$H$2:$H$1795,$N71),IF(J71&lt;=50,INDEX('Tabela Passaro'!$I$2:$I$1795,$N71),IF(J71&lt;=70,INDEX('Tabela Passaro'!$J$2:$J$1795,$N71),IF(J71&lt;=100,INDEX('Tabela Passaro'!$K$2:$K$1795,$N71),INDEX('Tabela Passaro'!$K$2:$K$1795,$N71)+(J71-100)*INDEX('Tabela Passaro'!$L$2:$L$1795,$N71))))))</f>
        <v>88.98</v>
      </c>
      <c r="S71" s="32" t="n">
        <f aca="false">K71*INDEX('Tabela Passaro'!$M$2:$M$1795,$N71)</f>
        <v>4.2825</v>
      </c>
      <c r="T71" s="32" t="n">
        <f aca="false">K71*INDEX('Tabela Passaro'!$N$2:$N$1795,$N71)</f>
        <v>1.713</v>
      </c>
      <c r="U71" s="32" t="n">
        <f aca="false">INDEX('Tabela Passaro'!$O$2:$O$1795,$N71)</f>
        <v>5</v>
      </c>
      <c r="V71" s="32" t="n">
        <f aca="false">ROUNDUP(J71/INDEX('Tabela Passaro'!$Q$2:$Q$1795,$N71),0)*INDEX('Tabela Passaro'!$P$2:$P$1795,$N71)</f>
        <v>5</v>
      </c>
      <c r="W71" s="32" t="n">
        <f aca="false">INDEX('Tabela Passaro'!$R$2:$R$1795,$N71)</f>
        <v>30</v>
      </c>
      <c r="X71" s="32" t="n">
        <f aca="false">ROUNDUP(J71/INDEX('Tabela Passaro'!$T$2:$T$1795,$N71),0)*INDEX('Tabela Passaro'!$S$2:$S$1795,$N71)</f>
        <v>0</v>
      </c>
      <c r="Y71" s="32" t="n">
        <f aca="false">INDEX('Tabela Passaro'!$U$2:$U$1795,$N71)</f>
        <v>0</v>
      </c>
      <c r="Z71" s="32" t="n">
        <f aca="false">INDEX('Tabela Passaro'!$V$2:$V$1795,$N71)</f>
        <v>0</v>
      </c>
      <c r="AA71" s="32" t="n">
        <f aca="false">SUM(R71:Z71)</f>
        <v>134.9755</v>
      </c>
      <c r="AB71" s="33" t="n">
        <f aca="false">INDEX(Premissas!$B$5:$B$13,MATCH(A71,Premissas!$A$5:$A$13,0))</f>
        <v>0.07</v>
      </c>
      <c r="AC71" s="32" t="n">
        <f aca="false">AA71/(1-AB71)-AA71</f>
        <v>10.1594462365591</v>
      </c>
      <c r="AD71" s="32" t="n">
        <f aca="false">ROUND(AA71+AC71,2)</f>
        <v>145.13</v>
      </c>
      <c r="AE71" s="32" t="n">
        <f aca="false">AD71-L71</f>
        <v>-72.02</v>
      </c>
      <c r="AF71" s="34" t="n">
        <f aca="false">IF(L71=0,0,AE71/L71)</f>
        <v>-0.331660142758462</v>
      </c>
      <c r="AG71" s="22" t="str">
        <f aca="false">IF(AD71&lt;L71,"PASSARO","ATUAL")</f>
        <v>PASSARO</v>
      </c>
      <c r="AH71" s="22" t="str">
        <f aca="false">IF(P71&lt;&gt;A71,"Faixa cadastrada como "&amp;P71&amp;" na tabela; preço aplicado pela UF do CEP","")</f>
        <v/>
      </c>
      <c r="AI71" s="26" t="n">
        <v>182.98</v>
      </c>
      <c r="AJ71" s="22" t="str">
        <f aca="false">INDEX('Tabela Passaro'!$X$2:$X$1795,$N71)</f>
        <v>CAPITAL</v>
      </c>
    </row>
    <row r="72" customFormat="false" ht="15" hidden="false" customHeight="false" outlineLevel="0" collapsed="false">
      <c r="A72" s="22" t="s">
        <v>15</v>
      </c>
      <c r="B72" s="22" t="n">
        <v>1</v>
      </c>
      <c r="C72" s="22" t="s">
        <v>59</v>
      </c>
      <c r="D72" s="22" t="s">
        <v>30</v>
      </c>
      <c r="E72" s="22" t="s">
        <v>7326</v>
      </c>
      <c r="F72" s="22" t="n">
        <v>527346</v>
      </c>
      <c r="G72" s="30" t="n">
        <v>46259</v>
      </c>
      <c r="H72" s="22" t="n">
        <v>628801</v>
      </c>
      <c r="I72" s="22" t="s">
        <v>7397</v>
      </c>
      <c r="J72" s="31" t="n">
        <v>46.8</v>
      </c>
      <c r="K72" s="26" t="n">
        <v>598.44</v>
      </c>
      <c r="L72" s="26" t="n">
        <v>176.39</v>
      </c>
      <c r="M72" s="22" t="s">
        <v>283</v>
      </c>
      <c r="N72" s="22" t="n">
        <f aca="false">MATCH(M72,'Tabela Passaro'!$A$2:$A$1795,0)</f>
        <v>1</v>
      </c>
      <c r="O72" s="22" t="str">
        <f aca="false">INDEX('Tabela Passaro'!$C$2:$C$1795,$N72)</f>
        <v>MACEIO</v>
      </c>
      <c r="P72" s="22" t="str">
        <f aca="false">INDEX('Tabela Passaro'!$B$2:$B$1795,$N72)</f>
        <v>AL</v>
      </c>
      <c r="Q72" s="22" t="n">
        <f aca="false">INDEX('Tabela Passaro'!$F$2:$F$1795,$N72)</f>
        <v>8</v>
      </c>
      <c r="R72" s="32" t="n">
        <f aca="false">IF(J72&lt;=10,INDEX('Tabela Passaro'!$G$2:$G$1795,$N72),IF(J72&lt;=30,INDEX('Tabela Passaro'!$H$2:$H$1795,$N72),IF(J72&lt;=50,INDEX('Tabela Passaro'!$I$2:$I$1795,$N72),IF(J72&lt;=70,INDEX('Tabela Passaro'!$J$2:$J$1795,$N72),IF(J72&lt;=100,INDEX('Tabela Passaro'!$K$2:$K$1795,$N72),INDEX('Tabela Passaro'!$K$2:$K$1795,$N72)+(J72-100)*INDEX('Tabela Passaro'!$L$2:$L$1795,$N72))))))</f>
        <v>77.96</v>
      </c>
      <c r="S72" s="32" t="n">
        <f aca="false">K72*INDEX('Tabela Passaro'!$M$2:$M$1795,$N72)</f>
        <v>2.9922</v>
      </c>
      <c r="T72" s="32" t="n">
        <f aca="false">K72*INDEX('Tabela Passaro'!$N$2:$N$1795,$N72)</f>
        <v>1.19688</v>
      </c>
      <c r="U72" s="32" t="n">
        <f aca="false">INDEX('Tabela Passaro'!$O$2:$O$1795,$N72)</f>
        <v>5</v>
      </c>
      <c r="V72" s="32" t="n">
        <f aca="false">ROUNDUP(J72/INDEX('Tabela Passaro'!$Q$2:$Q$1795,$N72),0)*INDEX('Tabela Passaro'!$P$2:$P$1795,$N72)</f>
        <v>5</v>
      </c>
      <c r="W72" s="32" t="n">
        <f aca="false">INDEX('Tabela Passaro'!$R$2:$R$1795,$N72)</f>
        <v>30</v>
      </c>
      <c r="X72" s="32" t="n">
        <f aca="false">ROUNDUP(J72/INDEX('Tabela Passaro'!$T$2:$T$1795,$N72),0)*INDEX('Tabela Passaro'!$S$2:$S$1795,$N72)</f>
        <v>0</v>
      </c>
      <c r="Y72" s="32" t="n">
        <f aca="false">INDEX('Tabela Passaro'!$U$2:$U$1795,$N72)</f>
        <v>0</v>
      </c>
      <c r="Z72" s="32" t="n">
        <f aca="false">INDEX('Tabela Passaro'!$V$2:$V$1795,$N72)</f>
        <v>0</v>
      </c>
      <c r="AA72" s="32" t="n">
        <f aca="false">SUM(R72:Z72)</f>
        <v>122.14908</v>
      </c>
      <c r="AB72" s="33" t="n">
        <f aca="false">INDEX(Premissas!$B$5:$B$13,MATCH(A72,Premissas!$A$5:$A$13,0))</f>
        <v>0.07</v>
      </c>
      <c r="AC72" s="32" t="n">
        <f aca="false">AA72/(1-AB72)-AA72</f>
        <v>9.19401677419356</v>
      </c>
      <c r="AD72" s="32" t="n">
        <f aca="false">ROUND(AA72+AC72,2)</f>
        <v>131.34</v>
      </c>
      <c r="AE72" s="32" t="n">
        <f aca="false">AD72-L72</f>
        <v>-45.05</v>
      </c>
      <c r="AF72" s="34" t="n">
        <f aca="false">IF(L72=0,0,AE72/L72)</f>
        <v>-0.255399965984466</v>
      </c>
      <c r="AG72" s="22" t="str">
        <f aca="false">IF(AD72&lt;L72,"PASSARO","ATUAL")</f>
        <v>PASSARO</v>
      </c>
      <c r="AH72" s="22" t="str">
        <f aca="false">IF(P72&lt;&gt;A72,"Faixa cadastrada como "&amp;P72&amp;" na tabela; preço aplicado pela UF do CEP","")</f>
        <v/>
      </c>
      <c r="AI72" s="26" t="n">
        <v>165.53</v>
      </c>
      <c r="AJ72" s="22" t="str">
        <f aca="false">INDEX('Tabela Passaro'!$X$2:$X$1795,$N72)</f>
        <v>CAPITAL</v>
      </c>
    </row>
    <row r="73" customFormat="false" ht="15" hidden="false" customHeight="false" outlineLevel="0" collapsed="false">
      <c r="A73" s="22" t="s">
        <v>15</v>
      </c>
      <c r="B73" s="22" t="n">
        <v>1</v>
      </c>
      <c r="C73" s="22" t="s">
        <v>59</v>
      </c>
      <c r="D73" s="22" t="s">
        <v>30</v>
      </c>
      <c r="E73" s="22" t="s">
        <v>7326</v>
      </c>
      <c r="F73" s="22" t="n">
        <v>527355</v>
      </c>
      <c r="G73" s="30" t="n">
        <v>46259</v>
      </c>
      <c r="H73" s="22" t="n">
        <v>628808</v>
      </c>
      <c r="I73" s="22" t="s">
        <v>7398</v>
      </c>
      <c r="J73" s="31" t="n">
        <v>33</v>
      </c>
      <c r="K73" s="26" t="n">
        <v>678.05</v>
      </c>
      <c r="L73" s="26" t="n">
        <v>177.06</v>
      </c>
      <c r="M73" s="22" t="s">
        <v>283</v>
      </c>
      <c r="N73" s="22" t="n">
        <f aca="false">MATCH(M73,'Tabela Passaro'!$A$2:$A$1795,0)</f>
        <v>1</v>
      </c>
      <c r="O73" s="22" t="str">
        <f aca="false">INDEX('Tabela Passaro'!$C$2:$C$1795,$N73)</f>
        <v>MACEIO</v>
      </c>
      <c r="P73" s="22" t="str">
        <f aca="false">INDEX('Tabela Passaro'!$B$2:$B$1795,$N73)</f>
        <v>AL</v>
      </c>
      <c r="Q73" s="22" t="n">
        <f aca="false">INDEX('Tabela Passaro'!$F$2:$F$1795,$N73)</f>
        <v>8</v>
      </c>
      <c r="R73" s="32" t="n">
        <f aca="false">IF(J73&lt;=10,INDEX('Tabela Passaro'!$G$2:$G$1795,$N73),IF(J73&lt;=30,INDEX('Tabela Passaro'!$H$2:$H$1795,$N73),IF(J73&lt;=50,INDEX('Tabela Passaro'!$I$2:$I$1795,$N73),IF(J73&lt;=70,INDEX('Tabela Passaro'!$J$2:$J$1795,$N73),IF(J73&lt;=100,INDEX('Tabela Passaro'!$K$2:$K$1795,$N73),INDEX('Tabela Passaro'!$K$2:$K$1795,$N73)+(J73-100)*INDEX('Tabela Passaro'!$L$2:$L$1795,$N73))))))</f>
        <v>77.96</v>
      </c>
      <c r="S73" s="32" t="n">
        <f aca="false">K73*INDEX('Tabela Passaro'!$M$2:$M$1795,$N73)</f>
        <v>3.39025</v>
      </c>
      <c r="T73" s="32" t="n">
        <f aca="false">K73*INDEX('Tabela Passaro'!$N$2:$N$1795,$N73)</f>
        <v>1.3561</v>
      </c>
      <c r="U73" s="32" t="n">
        <f aca="false">INDEX('Tabela Passaro'!$O$2:$O$1795,$N73)</f>
        <v>5</v>
      </c>
      <c r="V73" s="32" t="n">
        <f aca="false">ROUNDUP(J73/INDEX('Tabela Passaro'!$Q$2:$Q$1795,$N73),0)*INDEX('Tabela Passaro'!$P$2:$P$1795,$N73)</f>
        <v>5</v>
      </c>
      <c r="W73" s="32" t="n">
        <f aca="false">INDEX('Tabela Passaro'!$R$2:$R$1795,$N73)</f>
        <v>30</v>
      </c>
      <c r="X73" s="32" t="n">
        <f aca="false">ROUNDUP(J73/INDEX('Tabela Passaro'!$T$2:$T$1795,$N73),0)*INDEX('Tabela Passaro'!$S$2:$S$1795,$N73)</f>
        <v>0</v>
      </c>
      <c r="Y73" s="32" t="n">
        <f aca="false">INDEX('Tabela Passaro'!$U$2:$U$1795,$N73)</f>
        <v>0</v>
      </c>
      <c r="Z73" s="32" t="n">
        <f aca="false">INDEX('Tabela Passaro'!$V$2:$V$1795,$N73)</f>
        <v>0</v>
      </c>
      <c r="AA73" s="32" t="n">
        <f aca="false">SUM(R73:Z73)</f>
        <v>122.70635</v>
      </c>
      <c r="AB73" s="33" t="n">
        <f aca="false">INDEX(Premissas!$B$5:$B$13,MATCH(A73,Premissas!$A$5:$A$13,0))</f>
        <v>0.07</v>
      </c>
      <c r="AC73" s="32" t="n">
        <f aca="false">AA73/(1-AB73)-AA73</f>
        <v>9.23596182795698</v>
      </c>
      <c r="AD73" s="32" t="n">
        <f aca="false">ROUND(AA73+AC73,2)</f>
        <v>131.94</v>
      </c>
      <c r="AE73" s="32" t="n">
        <f aca="false">AD73-L73</f>
        <v>-45.12</v>
      </c>
      <c r="AF73" s="34" t="n">
        <f aca="false">IF(L73=0,0,AE73/L73)</f>
        <v>-0.25482887156896</v>
      </c>
      <c r="AG73" s="22" t="str">
        <f aca="false">IF(AD73&lt;L73,"PASSARO","ATUAL")</f>
        <v>PASSARO</v>
      </c>
      <c r="AH73" s="22" t="str">
        <f aca="false">IF(P73&lt;&gt;A73,"Faixa cadastrada como "&amp;P73&amp;" na tabela; preço aplicado pela UF do CEP","")</f>
        <v/>
      </c>
      <c r="AI73" s="26" t="n">
        <v>159.53</v>
      </c>
      <c r="AJ73" s="22" t="str">
        <f aca="false">INDEX('Tabela Passaro'!$X$2:$X$1795,$N73)</f>
        <v>CAPITAL</v>
      </c>
    </row>
    <row r="74" customFormat="false" ht="15" hidden="false" customHeight="false" outlineLevel="0" collapsed="false">
      <c r="A74" s="22" t="s">
        <v>15</v>
      </c>
      <c r="B74" s="22" t="n">
        <v>1</v>
      </c>
      <c r="C74" s="22" t="s">
        <v>59</v>
      </c>
      <c r="D74" s="22" t="s">
        <v>30</v>
      </c>
      <c r="E74" s="22" t="s">
        <v>7399</v>
      </c>
      <c r="F74" s="22" t="n">
        <v>262107</v>
      </c>
      <c r="G74" s="30" t="n">
        <v>46260</v>
      </c>
      <c r="H74" s="22" t="n">
        <v>31982</v>
      </c>
      <c r="I74" s="22" t="s">
        <v>7400</v>
      </c>
      <c r="J74" s="31" t="n">
        <v>51.06</v>
      </c>
      <c r="K74" s="26" t="n">
        <v>1029.98</v>
      </c>
      <c r="L74" s="26" t="n">
        <v>163.91</v>
      </c>
      <c r="M74" s="22" t="s">
        <v>283</v>
      </c>
      <c r="N74" s="22" t="n">
        <f aca="false">MATCH(M74,'Tabela Passaro'!$A$2:$A$1795,0)</f>
        <v>1</v>
      </c>
      <c r="O74" s="22" t="str">
        <f aca="false">INDEX('Tabela Passaro'!$C$2:$C$1795,$N74)</f>
        <v>MACEIO</v>
      </c>
      <c r="P74" s="22" t="str">
        <f aca="false">INDEX('Tabela Passaro'!$B$2:$B$1795,$N74)</f>
        <v>AL</v>
      </c>
      <c r="Q74" s="22" t="n">
        <f aca="false">INDEX('Tabela Passaro'!$F$2:$F$1795,$N74)</f>
        <v>8</v>
      </c>
      <c r="R74" s="32" t="n">
        <f aca="false">IF(J74&lt;=10,INDEX('Tabela Passaro'!$G$2:$G$1795,$N74),IF(J74&lt;=30,INDEX('Tabela Passaro'!$H$2:$H$1795,$N74),IF(J74&lt;=50,INDEX('Tabela Passaro'!$I$2:$I$1795,$N74),IF(J74&lt;=70,INDEX('Tabela Passaro'!$J$2:$J$1795,$N74),IF(J74&lt;=100,INDEX('Tabela Passaro'!$K$2:$K$1795,$N74),INDEX('Tabela Passaro'!$K$2:$K$1795,$N74)+(J74-100)*INDEX('Tabela Passaro'!$L$2:$L$1795,$N74))))))</f>
        <v>88.98</v>
      </c>
      <c r="S74" s="32" t="n">
        <f aca="false">K74*INDEX('Tabela Passaro'!$M$2:$M$1795,$N74)</f>
        <v>5.1499</v>
      </c>
      <c r="T74" s="32" t="n">
        <f aca="false">K74*INDEX('Tabela Passaro'!$N$2:$N$1795,$N74)</f>
        <v>2.05996</v>
      </c>
      <c r="U74" s="32" t="n">
        <f aca="false">INDEX('Tabela Passaro'!$O$2:$O$1795,$N74)</f>
        <v>5</v>
      </c>
      <c r="V74" s="32" t="n">
        <f aca="false">ROUNDUP(J74/INDEX('Tabela Passaro'!$Q$2:$Q$1795,$N74),0)*INDEX('Tabela Passaro'!$P$2:$P$1795,$N74)</f>
        <v>5</v>
      </c>
      <c r="W74" s="32" t="n">
        <f aca="false">INDEX('Tabela Passaro'!$R$2:$R$1795,$N74)</f>
        <v>30</v>
      </c>
      <c r="X74" s="32" t="n">
        <f aca="false">ROUNDUP(J74/INDEX('Tabela Passaro'!$T$2:$T$1795,$N74),0)*INDEX('Tabela Passaro'!$S$2:$S$1795,$N74)</f>
        <v>0</v>
      </c>
      <c r="Y74" s="32" t="n">
        <f aca="false">INDEX('Tabela Passaro'!$U$2:$U$1795,$N74)</f>
        <v>0</v>
      </c>
      <c r="Z74" s="32" t="n">
        <f aca="false">INDEX('Tabela Passaro'!$V$2:$V$1795,$N74)</f>
        <v>0</v>
      </c>
      <c r="AA74" s="32" t="n">
        <f aca="false">SUM(R74:Z74)</f>
        <v>136.18986</v>
      </c>
      <c r="AB74" s="33" t="n">
        <f aca="false">INDEX(Premissas!$B$5:$B$13,MATCH(A74,Premissas!$A$5:$A$13,0))</f>
        <v>0.07</v>
      </c>
      <c r="AC74" s="32" t="n">
        <f aca="false">AA74/(1-AB74)-AA74</f>
        <v>10.2508496774194</v>
      </c>
      <c r="AD74" s="32" t="n">
        <f aca="false">ROUND(AA74+AC74,2)</f>
        <v>146.44</v>
      </c>
      <c r="AE74" s="32" t="n">
        <f aca="false">AD74-L74</f>
        <v>-17.47</v>
      </c>
      <c r="AF74" s="34" t="n">
        <f aca="false">IF(L74=0,0,AE74/L74)</f>
        <v>-0.106582880849247</v>
      </c>
      <c r="AG74" s="22" t="str">
        <f aca="false">IF(AD74&lt;L74,"PASSARO","ATUAL")</f>
        <v>PASSARO</v>
      </c>
      <c r="AH74" s="22" t="str">
        <f aca="false">IF(P74&lt;&gt;A74,"Faixa cadastrada como "&amp;P74&amp;" na tabela; preço aplicado pela UF do CEP","")</f>
        <v/>
      </c>
      <c r="AI74" s="26" t="n">
        <v>184.66</v>
      </c>
      <c r="AJ74" s="22" t="str">
        <f aca="false">INDEX('Tabela Passaro'!$X$2:$X$1795,$N74)</f>
        <v>CAPITAL</v>
      </c>
    </row>
    <row r="75" customFormat="false" ht="15" hidden="false" customHeight="false" outlineLevel="0" collapsed="false">
      <c r="A75" s="22" t="s">
        <v>15</v>
      </c>
      <c r="B75" s="22" t="n">
        <v>1</v>
      </c>
      <c r="C75" s="22" t="s">
        <v>59</v>
      </c>
      <c r="D75" s="22" t="s">
        <v>30</v>
      </c>
      <c r="E75" s="22" t="s">
        <v>20</v>
      </c>
      <c r="F75" s="22" t="n">
        <v>840175</v>
      </c>
      <c r="G75" s="30" t="n">
        <v>46260</v>
      </c>
      <c r="H75" s="22" t="n">
        <v>32692</v>
      </c>
      <c r="I75" s="22" t="s">
        <v>7360</v>
      </c>
      <c r="J75" s="31" t="n">
        <v>31.3</v>
      </c>
      <c r="K75" s="26" t="n">
        <v>564.52</v>
      </c>
      <c r="L75" s="26" t="n">
        <v>140.55</v>
      </c>
      <c r="M75" s="22" t="s">
        <v>283</v>
      </c>
      <c r="N75" s="22" t="n">
        <f aca="false">MATCH(M75,'Tabela Passaro'!$A$2:$A$1795,0)</f>
        <v>1</v>
      </c>
      <c r="O75" s="22" t="str">
        <f aca="false">INDEX('Tabela Passaro'!$C$2:$C$1795,$N75)</f>
        <v>MACEIO</v>
      </c>
      <c r="P75" s="22" t="str">
        <f aca="false">INDEX('Tabela Passaro'!$B$2:$B$1795,$N75)</f>
        <v>AL</v>
      </c>
      <c r="Q75" s="22" t="n">
        <f aca="false">INDEX('Tabela Passaro'!$F$2:$F$1795,$N75)</f>
        <v>8</v>
      </c>
      <c r="R75" s="32" t="n">
        <f aca="false">IF(J75&lt;=10,INDEX('Tabela Passaro'!$G$2:$G$1795,$N75),IF(J75&lt;=30,INDEX('Tabela Passaro'!$H$2:$H$1795,$N75),IF(J75&lt;=50,INDEX('Tabela Passaro'!$I$2:$I$1795,$N75),IF(J75&lt;=70,INDEX('Tabela Passaro'!$J$2:$J$1795,$N75),IF(J75&lt;=100,INDEX('Tabela Passaro'!$K$2:$K$1795,$N75),INDEX('Tabela Passaro'!$K$2:$K$1795,$N75)+(J75-100)*INDEX('Tabela Passaro'!$L$2:$L$1795,$N75))))))</f>
        <v>77.96</v>
      </c>
      <c r="S75" s="32" t="n">
        <f aca="false">K75*INDEX('Tabela Passaro'!$M$2:$M$1795,$N75)</f>
        <v>2.8226</v>
      </c>
      <c r="T75" s="32" t="n">
        <f aca="false">K75*INDEX('Tabela Passaro'!$N$2:$N$1795,$N75)</f>
        <v>1.12904</v>
      </c>
      <c r="U75" s="32" t="n">
        <f aca="false">INDEX('Tabela Passaro'!$O$2:$O$1795,$N75)</f>
        <v>5</v>
      </c>
      <c r="V75" s="32" t="n">
        <f aca="false">ROUNDUP(J75/INDEX('Tabela Passaro'!$Q$2:$Q$1795,$N75),0)*INDEX('Tabela Passaro'!$P$2:$P$1795,$N75)</f>
        <v>5</v>
      </c>
      <c r="W75" s="32" t="n">
        <f aca="false">INDEX('Tabela Passaro'!$R$2:$R$1795,$N75)</f>
        <v>30</v>
      </c>
      <c r="X75" s="32" t="n">
        <f aca="false">ROUNDUP(J75/INDEX('Tabela Passaro'!$T$2:$T$1795,$N75),0)*INDEX('Tabela Passaro'!$S$2:$S$1795,$N75)</f>
        <v>0</v>
      </c>
      <c r="Y75" s="32" t="n">
        <f aca="false">INDEX('Tabela Passaro'!$U$2:$U$1795,$N75)</f>
        <v>0</v>
      </c>
      <c r="Z75" s="32" t="n">
        <f aca="false">INDEX('Tabela Passaro'!$V$2:$V$1795,$N75)</f>
        <v>0</v>
      </c>
      <c r="AA75" s="32" t="n">
        <f aca="false">SUM(R75:Z75)</f>
        <v>121.91164</v>
      </c>
      <c r="AB75" s="33" t="n">
        <f aca="false">INDEX(Premissas!$B$5:$B$13,MATCH(A75,Premissas!$A$5:$A$13,0))</f>
        <v>0.07</v>
      </c>
      <c r="AC75" s="32" t="n">
        <f aca="false">AA75/(1-AB75)-AA75</f>
        <v>9.17614494623656</v>
      </c>
      <c r="AD75" s="32" t="n">
        <f aca="false">ROUND(AA75+AC75,2)</f>
        <v>131.09</v>
      </c>
      <c r="AE75" s="32" t="n">
        <f aca="false">AD75-L75</f>
        <v>-9.46000000000001</v>
      </c>
      <c r="AF75" s="34" t="n">
        <f aca="false">IF(L75=0,0,AE75/L75)</f>
        <v>-0.0673070081821416</v>
      </c>
      <c r="AG75" s="22" t="str">
        <f aca="false">IF(AD75&lt;L75,"PASSARO","ATUAL")</f>
        <v>PASSARO</v>
      </c>
      <c r="AH75" s="22" t="str">
        <f aca="false">IF(P75&lt;&gt;A75,"Faixa cadastrada como "&amp;P75&amp;" na tabela; preço aplicado pela UF do CEP","")</f>
        <v/>
      </c>
      <c r="AI75" s="26" t="n">
        <v>157.95</v>
      </c>
      <c r="AJ75" s="22" t="str">
        <f aca="false">INDEX('Tabela Passaro'!$X$2:$X$1795,$N75)</f>
        <v>CAPITAL</v>
      </c>
    </row>
    <row r="76" customFormat="false" ht="15" hidden="false" customHeight="false" outlineLevel="0" collapsed="false">
      <c r="A76" s="22" t="s">
        <v>15</v>
      </c>
      <c r="B76" s="22" t="n">
        <v>1</v>
      </c>
      <c r="C76" s="22" t="s">
        <v>59</v>
      </c>
      <c r="D76" s="22" t="s">
        <v>30</v>
      </c>
      <c r="E76" s="22" t="s">
        <v>20</v>
      </c>
      <c r="F76" s="22" t="n">
        <v>840168</v>
      </c>
      <c r="G76" s="30" t="n">
        <v>46260</v>
      </c>
      <c r="H76" s="22" t="n">
        <v>32715</v>
      </c>
      <c r="I76" s="22" t="s">
        <v>7401</v>
      </c>
      <c r="J76" s="31" t="n">
        <v>51.06</v>
      </c>
      <c r="K76" s="26" t="n">
        <v>909.05</v>
      </c>
      <c r="L76" s="26" t="n">
        <v>162.83</v>
      </c>
      <c r="M76" s="22" t="s">
        <v>283</v>
      </c>
      <c r="N76" s="22" t="n">
        <f aca="false">MATCH(M76,'Tabela Passaro'!$A$2:$A$1795,0)</f>
        <v>1</v>
      </c>
      <c r="O76" s="22" t="str">
        <f aca="false">INDEX('Tabela Passaro'!$C$2:$C$1795,$N76)</f>
        <v>MACEIO</v>
      </c>
      <c r="P76" s="22" t="str">
        <f aca="false">INDEX('Tabela Passaro'!$B$2:$B$1795,$N76)</f>
        <v>AL</v>
      </c>
      <c r="Q76" s="22" t="n">
        <f aca="false">INDEX('Tabela Passaro'!$F$2:$F$1795,$N76)</f>
        <v>8</v>
      </c>
      <c r="R76" s="32" t="n">
        <f aca="false">IF(J76&lt;=10,INDEX('Tabela Passaro'!$G$2:$G$1795,$N76),IF(J76&lt;=30,INDEX('Tabela Passaro'!$H$2:$H$1795,$N76),IF(J76&lt;=50,INDEX('Tabela Passaro'!$I$2:$I$1795,$N76),IF(J76&lt;=70,INDEX('Tabela Passaro'!$J$2:$J$1795,$N76),IF(J76&lt;=100,INDEX('Tabela Passaro'!$K$2:$K$1795,$N76),INDEX('Tabela Passaro'!$K$2:$K$1795,$N76)+(J76-100)*INDEX('Tabela Passaro'!$L$2:$L$1795,$N76))))))</f>
        <v>88.98</v>
      </c>
      <c r="S76" s="32" t="n">
        <f aca="false">K76*INDEX('Tabela Passaro'!$M$2:$M$1795,$N76)</f>
        <v>4.54525</v>
      </c>
      <c r="T76" s="32" t="n">
        <f aca="false">K76*INDEX('Tabela Passaro'!$N$2:$N$1795,$N76)</f>
        <v>1.8181</v>
      </c>
      <c r="U76" s="32" t="n">
        <f aca="false">INDEX('Tabela Passaro'!$O$2:$O$1795,$N76)</f>
        <v>5</v>
      </c>
      <c r="V76" s="32" t="n">
        <f aca="false">ROUNDUP(J76/INDEX('Tabela Passaro'!$Q$2:$Q$1795,$N76),0)*INDEX('Tabela Passaro'!$P$2:$P$1795,$N76)</f>
        <v>5</v>
      </c>
      <c r="W76" s="32" t="n">
        <f aca="false">INDEX('Tabela Passaro'!$R$2:$R$1795,$N76)</f>
        <v>30</v>
      </c>
      <c r="X76" s="32" t="n">
        <f aca="false">ROUNDUP(J76/INDEX('Tabela Passaro'!$T$2:$T$1795,$N76),0)*INDEX('Tabela Passaro'!$S$2:$S$1795,$N76)</f>
        <v>0</v>
      </c>
      <c r="Y76" s="32" t="n">
        <f aca="false">INDEX('Tabela Passaro'!$U$2:$U$1795,$N76)</f>
        <v>0</v>
      </c>
      <c r="Z76" s="32" t="n">
        <f aca="false">INDEX('Tabela Passaro'!$V$2:$V$1795,$N76)</f>
        <v>0</v>
      </c>
      <c r="AA76" s="32" t="n">
        <f aca="false">SUM(R76:Z76)</f>
        <v>135.34335</v>
      </c>
      <c r="AB76" s="33" t="n">
        <f aca="false">INDEX(Premissas!$B$5:$B$13,MATCH(A76,Premissas!$A$5:$A$13,0))</f>
        <v>0.07</v>
      </c>
      <c r="AC76" s="32" t="n">
        <f aca="false">AA76/(1-AB76)-AA76</f>
        <v>10.1871338709678</v>
      </c>
      <c r="AD76" s="32" t="n">
        <f aca="false">ROUND(AA76+AC76,2)</f>
        <v>145.53</v>
      </c>
      <c r="AE76" s="32" t="n">
        <f aca="false">AD76-L76</f>
        <v>-17.3</v>
      </c>
      <c r="AF76" s="34" t="n">
        <f aca="false">IF(L76=0,0,AE76/L76)</f>
        <v>-0.106245777805073</v>
      </c>
      <c r="AG76" s="22" t="str">
        <f aca="false">IF(AD76&lt;L76,"PASSARO","ATUAL")</f>
        <v>PASSARO</v>
      </c>
      <c r="AH76" s="22" t="str">
        <f aca="false">IF(P76&lt;&gt;A76,"Faixa cadastrada como "&amp;P76&amp;" na tabela; preço aplicado pela UF do CEP","")</f>
        <v/>
      </c>
      <c r="AI76" s="26" t="n">
        <v>183.49</v>
      </c>
      <c r="AJ76" s="22" t="str">
        <f aca="false">INDEX('Tabela Passaro'!$X$2:$X$1795,$N76)</f>
        <v>CAPITAL</v>
      </c>
    </row>
    <row r="77" customFormat="false" ht="15" hidden="false" customHeight="false" outlineLevel="0" collapsed="false">
      <c r="A77" s="22" t="s">
        <v>15</v>
      </c>
      <c r="B77" s="22" t="n">
        <v>1</v>
      </c>
      <c r="C77" s="22" t="s">
        <v>59</v>
      </c>
      <c r="D77" s="22" t="s">
        <v>30</v>
      </c>
      <c r="E77" s="22" t="s">
        <v>7328</v>
      </c>
      <c r="F77" s="22" t="n">
        <v>2316547</v>
      </c>
      <c r="G77" s="30" t="n">
        <v>46260</v>
      </c>
      <c r="H77" s="22" t="n">
        <v>135564</v>
      </c>
      <c r="I77" s="22" t="s">
        <v>7352</v>
      </c>
      <c r="J77" s="31" t="n">
        <v>48</v>
      </c>
      <c r="K77" s="26" t="n">
        <v>1279.52</v>
      </c>
      <c r="L77" s="26" t="n">
        <v>160.99</v>
      </c>
      <c r="M77" s="22" t="s">
        <v>283</v>
      </c>
      <c r="N77" s="22" t="n">
        <f aca="false">MATCH(M77,'Tabela Passaro'!$A$2:$A$1795,0)</f>
        <v>1</v>
      </c>
      <c r="O77" s="22" t="str">
        <f aca="false">INDEX('Tabela Passaro'!$C$2:$C$1795,$N77)</f>
        <v>MACEIO</v>
      </c>
      <c r="P77" s="22" t="str">
        <f aca="false">INDEX('Tabela Passaro'!$B$2:$B$1795,$N77)</f>
        <v>AL</v>
      </c>
      <c r="Q77" s="22" t="n">
        <f aca="false">INDEX('Tabela Passaro'!$F$2:$F$1795,$N77)</f>
        <v>8</v>
      </c>
      <c r="R77" s="32" t="n">
        <f aca="false">IF(J77&lt;=10,INDEX('Tabela Passaro'!$G$2:$G$1795,$N77),IF(J77&lt;=30,INDEX('Tabela Passaro'!$H$2:$H$1795,$N77),IF(J77&lt;=50,INDEX('Tabela Passaro'!$I$2:$I$1795,$N77),IF(J77&lt;=70,INDEX('Tabela Passaro'!$J$2:$J$1795,$N77),IF(J77&lt;=100,INDEX('Tabela Passaro'!$K$2:$K$1795,$N77),INDEX('Tabela Passaro'!$K$2:$K$1795,$N77)+(J77-100)*INDEX('Tabela Passaro'!$L$2:$L$1795,$N77))))))</f>
        <v>77.96</v>
      </c>
      <c r="S77" s="32" t="n">
        <f aca="false">K77*INDEX('Tabela Passaro'!$M$2:$M$1795,$N77)</f>
        <v>6.3976</v>
      </c>
      <c r="T77" s="32" t="n">
        <f aca="false">K77*INDEX('Tabela Passaro'!$N$2:$N$1795,$N77)</f>
        <v>2.55904</v>
      </c>
      <c r="U77" s="32" t="n">
        <f aca="false">INDEX('Tabela Passaro'!$O$2:$O$1795,$N77)</f>
        <v>5</v>
      </c>
      <c r="V77" s="32" t="n">
        <f aca="false">ROUNDUP(J77/INDEX('Tabela Passaro'!$Q$2:$Q$1795,$N77),0)*INDEX('Tabela Passaro'!$P$2:$P$1795,$N77)</f>
        <v>5</v>
      </c>
      <c r="W77" s="32" t="n">
        <f aca="false">INDEX('Tabela Passaro'!$R$2:$R$1795,$N77)</f>
        <v>30</v>
      </c>
      <c r="X77" s="32" t="n">
        <f aca="false">ROUNDUP(J77/INDEX('Tabela Passaro'!$T$2:$T$1795,$N77),0)*INDEX('Tabela Passaro'!$S$2:$S$1795,$N77)</f>
        <v>0</v>
      </c>
      <c r="Y77" s="32" t="n">
        <f aca="false">INDEX('Tabela Passaro'!$U$2:$U$1795,$N77)</f>
        <v>0</v>
      </c>
      <c r="Z77" s="32" t="n">
        <f aca="false">INDEX('Tabela Passaro'!$V$2:$V$1795,$N77)</f>
        <v>0</v>
      </c>
      <c r="AA77" s="32" t="n">
        <f aca="false">SUM(R77:Z77)</f>
        <v>126.91664</v>
      </c>
      <c r="AB77" s="33" t="n">
        <f aca="false">INDEX(Premissas!$B$5:$B$13,MATCH(A77,Premissas!$A$5:$A$13,0))</f>
        <v>0.07</v>
      </c>
      <c r="AC77" s="32" t="n">
        <f aca="false">AA77/(1-AB77)-AA77</f>
        <v>9.55286537634409</v>
      </c>
      <c r="AD77" s="32" t="n">
        <f aca="false">ROUND(AA77+AC77,2)</f>
        <v>136.47</v>
      </c>
      <c r="AE77" s="32" t="n">
        <f aca="false">AD77-L77</f>
        <v>-24.52</v>
      </c>
      <c r="AF77" s="34" t="n">
        <f aca="false">IF(L77=0,0,AE77/L77)</f>
        <v>-0.15230759674514</v>
      </c>
      <c r="AG77" s="22" t="str">
        <f aca="false">IF(AD77&lt;L77,"PASSARO","ATUAL")</f>
        <v>PASSARO</v>
      </c>
      <c r="AH77" s="22" t="str">
        <f aca="false">IF(P77&lt;&gt;A77,"Faixa cadastrada como "&amp;P77&amp;" na tabela; preço aplicado pela UF do CEP","")</f>
        <v/>
      </c>
      <c r="AI77" s="26" t="n">
        <v>172.61</v>
      </c>
      <c r="AJ77" s="22" t="str">
        <f aca="false">INDEX('Tabela Passaro'!$X$2:$X$1795,$N77)</f>
        <v>CAPITAL</v>
      </c>
    </row>
    <row r="78" customFormat="false" ht="15" hidden="false" customHeight="false" outlineLevel="0" collapsed="false">
      <c r="A78" s="22" t="s">
        <v>15</v>
      </c>
      <c r="B78" s="22" t="n">
        <v>1</v>
      </c>
      <c r="C78" s="22" t="s">
        <v>59</v>
      </c>
      <c r="D78" s="22" t="s">
        <v>30</v>
      </c>
      <c r="E78" s="22" t="s">
        <v>7328</v>
      </c>
      <c r="F78" s="22" t="n">
        <v>2316555</v>
      </c>
      <c r="G78" s="30" t="n">
        <v>46260</v>
      </c>
      <c r="H78" s="22" t="n">
        <v>135864</v>
      </c>
      <c r="I78" s="22" t="s">
        <v>7402</v>
      </c>
      <c r="J78" s="31" t="n">
        <v>29</v>
      </c>
      <c r="K78" s="26" t="n">
        <v>467.31</v>
      </c>
      <c r="L78" s="26" t="n">
        <v>118.7</v>
      </c>
      <c r="M78" s="22" t="s">
        <v>283</v>
      </c>
      <c r="N78" s="22" t="n">
        <f aca="false">MATCH(M78,'Tabela Passaro'!$A$2:$A$1795,0)</f>
        <v>1</v>
      </c>
      <c r="O78" s="22" t="str">
        <f aca="false">INDEX('Tabela Passaro'!$C$2:$C$1795,$N78)</f>
        <v>MACEIO</v>
      </c>
      <c r="P78" s="22" t="str">
        <f aca="false">INDEX('Tabela Passaro'!$B$2:$B$1795,$N78)</f>
        <v>AL</v>
      </c>
      <c r="Q78" s="22" t="n">
        <f aca="false">INDEX('Tabela Passaro'!$F$2:$F$1795,$N78)</f>
        <v>8</v>
      </c>
      <c r="R78" s="32" t="n">
        <f aca="false">IF(J78&lt;=10,INDEX('Tabela Passaro'!$G$2:$G$1795,$N78),IF(J78&lt;=30,INDEX('Tabela Passaro'!$H$2:$H$1795,$N78),IF(J78&lt;=50,INDEX('Tabela Passaro'!$I$2:$I$1795,$N78),IF(J78&lt;=70,INDEX('Tabela Passaro'!$J$2:$J$1795,$N78),IF(J78&lt;=100,INDEX('Tabela Passaro'!$K$2:$K$1795,$N78),INDEX('Tabela Passaro'!$K$2:$K$1795,$N78)+(J78-100)*INDEX('Tabela Passaro'!$L$2:$L$1795,$N78))))))</f>
        <v>66.94</v>
      </c>
      <c r="S78" s="32" t="n">
        <f aca="false">K78*INDEX('Tabela Passaro'!$M$2:$M$1795,$N78)</f>
        <v>2.33655</v>
      </c>
      <c r="T78" s="32" t="n">
        <f aca="false">K78*INDEX('Tabela Passaro'!$N$2:$N$1795,$N78)</f>
        <v>0.93462</v>
      </c>
      <c r="U78" s="32" t="n">
        <f aca="false">INDEX('Tabela Passaro'!$O$2:$O$1795,$N78)</f>
        <v>5</v>
      </c>
      <c r="V78" s="32" t="n">
        <f aca="false">ROUNDUP(J78/INDEX('Tabela Passaro'!$Q$2:$Q$1795,$N78),0)*INDEX('Tabela Passaro'!$P$2:$P$1795,$N78)</f>
        <v>5</v>
      </c>
      <c r="W78" s="32" t="n">
        <f aca="false">INDEX('Tabela Passaro'!$R$2:$R$1795,$N78)</f>
        <v>30</v>
      </c>
      <c r="X78" s="32" t="n">
        <f aca="false">ROUNDUP(J78/INDEX('Tabela Passaro'!$T$2:$T$1795,$N78),0)*INDEX('Tabela Passaro'!$S$2:$S$1795,$N78)</f>
        <v>0</v>
      </c>
      <c r="Y78" s="32" t="n">
        <f aca="false">INDEX('Tabela Passaro'!$U$2:$U$1795,$N78)</f>
        <v>0</v>
      </c>
      <c r="Z78" s="32" t="n">
        <f aca="false">INDEX('Tabela Passaro'!$V$2:$V$1795,$N78)</f>
        <v>0</v>
      </c>
      <c r="AA78" s="32" t="n">
        <f aca="false">SUM(R78:Z78)</f>
        <v>110.21117</v>
      </c>
      <c r="AB78" s="33" t="n">
        <f aca="false">INDEX(Premissas!$B$5:$B$13,MATCH(A78,Premissas!$A$5:$A$13,0))</f>
        <v>0.07</v>
      </c>
      <c r="AC78" s="32" t="n">
        <f aca="false">AA78/(1-AB78)-AA78</f>
        <v>8.29546440860216</v>
      </c>
      <c r="AD78" s="32" t="n">
        <f aca="false">ROUND(AA78+AC78,2)</f>
        <v>118.51</v>
      </c>
      <c r="AE78" s="32" t="n">
        <f aca="false">AD78-L78</f>
        <v>-0.189999999999998</v>
      </c>
      <c r="AF78" s="34" t="n">
        <f aca="false">IF(L78=0,0,AE78/L78)</f>
        <v>-0.0016006739679865</v>
      </c>
      <c r="AG78" s="22" t="str">
        <f aca="false">IF(AD78&lt;L78,"PASSARO","ATUAL")</f>
        <v>PASSARO</v>
      </c>
      <c r="AH78" s="22" t="str">
        <f aca="false">IF(P78&lt;&gt;A78,"Faixa cadastrada como "&amp;P78&amp;" na tabela; preço aplicado pela UF do CEP","")</f>
        <v/>
      </c>
      <c r="AI78" s="26" t="n">
        <v>143.03</v>
      </c>
      <c r="AJ78" s="22" t="str">
        <f aca="false">INDEX('Tabela Passaro'!$X$2:$X$1795,$N78)</f>
        <v>CAPITAL</v>
      </c>
    </row>
    <row r="79" customFormat="false" ht="15" hidden="false" customHeight="false" outlineLevel="0" collapsed="false">
      <c r="A79" s="22" t="s">
        <v>15</v>
      </c>
      <c r="B79" s="22" t="n">
        <v>1</v>
      </c>
      <c r="C79" s="22" t="s">
        <v>59</v>
      </c>
      <c r="D79" s="22" t="s">
        <v>30</v>
      </c>
      <c r="E79" s="22" t="s">
        <v>7328</v>
      </c>
      <c r="F79" s="22" t="n">
        <v>2316558</v>
      </c>
      <c r="G79" s="30" t="n">
        <v>46260</v>
      </c>
      <c r="H79" s="22" t="n">
        <v>135871</v>
      </c>
      <c r="I79" s="22" t="s">
        <v>7403</v>
      </c>
      <c r="J79" s="31" t="n">
        <v>39.9</v>
      </c>
      <c r="K79" s="26" t="n">
        <v>846.09</v>
      </c>
      <c r="L79" s="26" t="n">
        <v>157.56</v>
      </c>
      <c r="M79" s="22" t="s">
        <v>283</v>
      </c>
      <c r="N79" s="22" t="n">
        <f aca="false">MATCH(M79,'Tabela Passaro'!$A$2:$A$1795,0)</f>
        <v>1</v>
      </c>
      <c r="O79" s="22" t="str">
        <f aca="false">INDEX('Tabela Passaro'!$C$2:$C$1795,$N79)</f>
        <v>MACEIO</v>
      </c>
      <c r="P79" s="22" t="str">
        <f aca="false">INDEX('Tabela Passaro'!$B$2:$B$1795,$N79)</f>
        <v>AL</v>
      </c>
      <c r="Q79" s="22" t="n">
        <f aca="false">INDEX('Tabela Passaro'!$F$2:$F$1795,$N79)</f>
        <v>8</v>
      </c>
      <c r="R79" s="32" t="n">
        <f aca="false">IF(J79&lt;=10,INDEX('Tabela Passaro'!$G$2:$G$1795,$N79),IF(J79&lt;=30,INDEX('Tabela Passaro'!$H$2:$H$1795,$N79),IF(J79&lt;=50,INDEX('Tabela Passaro'!$I$2:$I$1795,$N79),IF(J79&lt;=70,INDEX('Tabela Passaro'!$J$2:$J$1795,$N79),IF(J79&lt;=100,INDEX('Tabela Passaro'!$K$2:$K$1795,$N79),INDEX('Tabela Passaro'!$K$2:$K$1795,$N79)+(J79-100)*INDEX('Tabela Passaro'!$L$2:$L$1795,$N79))))))</f>
        <v>77.96</v>
      </c>
      <c r="S79" s="32" t="n">
        <f aca="false">K79*INDEX('Tabela Passaro'!$M$2:$M$1795,$N79)</f>
        <v>4.23045</v>
      </c>
      <c r="T79" s="32" t="n">
        <f aca="false">K79*INDEX('Tabela Passaro'!$N$2:$N$1795,$N79)</f>
        <v>1.69218</v>
      </c>
      <c r="U79" s="32" t="n">
        <f aca="false">INDEX('Tabela Passaro'!$O$2:$O$1795,$N79)</f>
        <v>5</v>
      </c>
      <c r="V79" s="32" t="n">
        <f aca="false">ROUNDUP(J79/INDEX('Tabela Passaro'!$Q$2:$Q$1795,$N79),0)*INDEX('Tabela Passaro'!$P$2:$P$1795,$N79)</f>
        <v>5</v>
      </c>
      <c r="W79" s="32" t="n">
        <f aca="false">INDEX('Tabela Passaro'!$R$2:$R$1795,$N79)</f>
        <v>30</v>
      </c>
      <c r="X79" s="32" t="n">
        <f aca="false">ROUNDUP(J79/INDEX('Tabela Passaro'!$T$2:$T$1795,$N79),0)*INDEX('Tabela Passaro'!$S$2:$S$1795,$N79)</f>
        <v>0</v>
      </c>
      <c r="Y79" s="32" t="n">
        <f aca="false">INDEX('Tabela Passaro'!$U$2:$U$1795,$N79)</f>
        <v>0</v>
      </c>
      <c r="Z79" s="32" t="n">
        <f aca="false">INDEX('Tabela Passaro'!$V$2:$V$1795,$N79)</f>
        <v>0</v>
      </c>
      <c r="AA79" s="32" t="n">
        <f aca="false">SUM(R79:Z79)</f>
        <v>123.88263</v>
      </c>
      <c r="AB79" s="33" t="n">
        <f aca="false">INDEX(Premissas!$B$5:$B$13,MATCH(A79,Premissas!$A$5:$A$13,0))</f>
        <v>0.07</v>
      </c>
      <c r="AC79" s="32" t="n">
        <f aca="false">AA79/(1-AB79)-AA79</f>
        <v>9.32449903225806</v>
      </c>
      <c r="AD79" s="32" t="n">
        <f aca="false">ROUND(AA79+AC79,2)</f>
        <v>133.21</v>
      </c>
      <c r="AE79" s="32" t="n">
        <f aca="false">AD79-L79</f>
        <v>-24.35</v>
      </c>
      <c r="AF79" s="34" t="n">
        <f aca="false">IF(L79=0,0,AE79/L79)</f>
        <v>-0.154544300583905</v>
      </c>
      <c r="AG79" s="22" t="str">
        <f aca="false">IF(AD79&lt;L79,"PASSARO","ATUAL")</f>
        <v>PASSARO</v>
      </c>
      <c r="AH79" s="22" t="str">
        <f aca="false">IF(P79&lt;&gt;A79,"Faixa cadastrada como "&amp;P79&amp;" na tabela; preço aplicado pela UF do CEP","")</f>
        <v/>
      </c>
      <c r="AI79" s="26" t="n">
        <v>164.54</v>
      </c>
      <c r="AJ79" s="22" t="str">
        <f aca="false">INDEX('Tabela Passaro'!$X$2:$X$1795,$N79)</f>
        <v>CAPITAL</v>
      </c>
    </row>
    <row r="80" customFormat="false" ht="15" hidden="false" customHeight="false" outlineLevel="0" collapsed="false">
      <c r="A80" s="22" t="s">
        <v>15</v>
      </c>
      <c r="B80" s="22" t="n">
        <v>1</v>
      </c>
      <c r="C80" s="22" t="s">
        <v>59</v>
      </c>
      <c r="D80" s="22" t="s">
        <v>30</v>
      </c>
      <c r="E80" s="22" t="s">
        <v>20</v>
      </c>
      <c r="F80" s="22" t="n">
        <v>840431</v>
      </c>
      <c r="G80" s="30" t="n">
        <v>46261</v>
      </c>
      <c r="H80" s="22" t="n">
        <v>32728</v>
      </c>
      <c r="I80" s="22" t="s">
        <v>7404</v>
      </c>
      <c r="J80" s="31" t="n">
        <v>61.3</v>
      </c>
      <c r="K80" s="26" t="n">
        <v>1027.44</v>
      </c>
      <c r="L80" s="26" t="n">
        <v>163.9</v>
      </c>
      <c r="M80" s="22" t="s">
        <v>283</v>
      </c>
      <c r="N80" s="22" t="n">
        <f aca="false">MATCH(M80,'Tabela Passaro'!$A$2:$A$1795,0)</f>
        <v>1</v>
      </c>
      <c r="O80" s="22" t="str">
        <f aca="false">INDEX('Tabela Passaro'!$C$2:$C$1795,$N80)</f>
        <v>MACEIO</v>
      </c>
      <c r="P80" s="22" t="str">
        <f aca="false">INDEX('Tabela Passaro'!$B$2:$B$1795,$N80)</f>
        <v>AL</v>
      </c>
      <c r="Q80" s="22" t="n">
        <f aca="false">INDEX('Tabela Passaro'!$F$2:$F$1795,$N80)</f>
        <v>8</v>
      </c>
      <c r="R80" s="32" t="n">
        <f aca="false">IF(J80&lt;=10,INDEX('Tabela Passaro'!$G$2:$G$1795,$N80),IF(J80&lt;=30,INDEX('Tabela Passaro'!$H$2:$H$1795,$N80),IF(J80&lt;=50,INDEX('Tabela Passaro'!$I$2:$I$1795,$N80),IF(J80&lt;=70,INDEX('Tabela Passaro'!$J$2:$J$1795,$N80),IF(J80&lt;=100,INDEX('Tabela Passaro'!$K$2:$K$1795,$N80),INDEX('Tabela Passaro'!$K$2:$K$1795,$N80)+(J80-100)*INDEX('Tabela Passaro'!$L$2:$L$1795,$N80))))))</f>
        <v>88.98</v>
      </c>
      <c r="S80" s="32" t="n">
        <f aca="false">K80*INDEX('Tabela Passaro'!$M$2:$M$1795,$N80)</f>
        <v>5.1372</v>
      </c>
      <c r="T80" s="32" t="n">
        <f aca="false">K80*INDEX('Tabela Passaro'!$N$2:$N$1795,$N80)</f>
        <v>2.05488</v>
      </c>
      <c r="U80" s="32" t="n">
        <f aca="false">INDEX('Tabela Passaro'!$O$2:$O$1795,$N80)</f>
        <v>5</v>
      </c>
      <c r="V80" s="32" t="n">
        <f aca="false">ROUNDUP(J80/INDEX('Tabela Passaro'!$Q$2:$Q$1795,$N80),0)*INDEX('Tabela Passaro'!$P$2:$P$1795,$N80)</f>
        <v>5</v>
      </c>
      <c r="W80" s="32" t="n">
        <f aca="false">INDEX('Tabela Passaro'!$R$2:$R$1795,$N80)</f>
        <v>30</v>
      </c>
      <c r="X80" s="32" t="n">
        <f aca="false">ROUNDUP(J80/INDEX('Tabela Passaro'!$T$2:$T$1795,$N80),0)*INDEX('Tabela Passaro'!$S$2:$S$1795,$N80)</f>
        <v>0</v>
      </c>
      <c r="Y80" s="32" t="n">
        <f aca="false">INDEX('Tabela Passaro'!$U$2:$U$1795,$N80)</f>
        <v>0</v>
      </c>
      <c r="Z80" s="32" t="n">
        <f aca="false">INDEX('Tabela Passaro'!$V$2:$V$1795,$N80)</f>
        <v>0</v>
      </c>
      <c r="AA80" s="32" t="n">
        <f aca="false">SUM(R80:Z80)</f>
        <v>136.17208</v>
      </c>
      <c r="AB80" s="33" t="n">
        <f aca="false">INDEX(Premissas!$B$5:$B$13,MATCH(A80,Premissas!$A$5:$A$13,0))</f>
        <v>0.07</v>
      </c>
      <c r="AC80" s="32" t="n">
        <f aca="false">AA80/(1-AB80)-AA80</f>
        <v>10.2495113978495</v>
      </c>
      <c r="AD80" s="32" t="n">
        <f aca="false">ROUND(AA80+AC80,2)</f>
        <v>146.42</v>
      </c>
      <c r="AE80" s="32" t="n">
        <f aca="false">AD80-L80</f>
        <v>-17.48</v>
      </c>
      <c r="AF80" s="34" t="n">
        <f aca="false">IF(L80=0,0,AE80/L80)</f>
        <v>-0.106650396583283</v>
      </c>
      <c r="AG80" s="22" t="str">
        <f aca="false">IF(AD80&lt;L80,"PASSARO","ATUAL")</f>
        <v>PASSARO</v>
      </c>
      <c r="AH80" s="22" t="str">
        <f aca="false">IF(P80&lt;&gt;A80,"Faixa cadastrada como "&amp;P80&amp;" na tabela; preço aplicado pela UF do CEP","")</f>
        <v/>
      </c>
      <c r="AI80" s="26" t="n">
        <v>189.47</v>
      </c>
      <c r="AJ80" s="22" t="str">
        <f aca="false">INDEX('Tabela Passaro'!$X$2:$X$1795,$N80)</f>
        <v>CAPITAL</v>
      </c>
    </row>
    <row r="81" customFormat="false" ht="15" hidden="false" customHeight="false" outlineLevel="0" collapsed="false">
      <c r="A81" s="22" t="s">
        <v>15</v>
      </c>
      <c r="B81" s="22" t="n">
        <v>1</v>
      </c>
      <c r="C81" s="22" t="s">
        <v>59</v>
      </c>
      <c r="D81" s="22" t="s">
        <v>30</v>
      </c>
      <c r="E81" s="22" t="s">
        <v>20</v>
      </c>
      <c r="F81" s="22" t="n">
        <v>840450</v>
      </c>
      <c r="G81" s="30" t="n">
        <v>46261</v>
      </c>
      <c r="H81" s="22" t="n">
        <v>32746</v>
      </c>
      <c r="I81" s="22" t="s">
        <v>7405</v>
      </c>
      <c r="J81" s="31" t="n">
        <v>19.4</v>
      </c>
      <c r="K81" s="26" t="n">
        <v>461.94</v>
      </c>
      <c r="L81" s="26" t="n">
        <v>108.45</v>
      </c>
      <c r="M81" s="22" t="s">
        <v>283</v>
      </c>
      <c r="N81" s="22" t="n">
        <f aca="false">MATCH(M81,'Tabela Passaro'!$A$2:$A$1795,0)</f>
        <v>1</v>
      </c>
      <c r="O81" s="22" t="str">
        <f aca="false">INDEX('Tabela Passaro'!$C$2:$C$1795,$N81)</f>
        <v>MACEIO</v>
      </c>
      <c r="P81" s="22" t="str">
        <f aca="false">INDEX('Tabela Passaro'!$B$2:$B$1795,$N81)</f>
        <v>AL</v>
      </c>
      <c r="Q81" s="22" t="n">
        <f aca="false">INDEX('Tabela Passaro'!$F$2:$F$1795,$N81)</f>
        <v>8</v>
      </c>
      <c r="R81" s="32" t="n">
        <f aca="false">IF(J81&lt;=10,INDEX('Tabela Passaro'!$G$2:$G$1795,$N81),IF(J81&lt;=30,INDEX('Tabela Passaro'!$H$2:$H$1795,$N81),IF(J81&lt;=50,INDEX('Tabela Passaro'!$I$2:$I$1795,$N81),IF(J81&lt;=70,INDEX('Tabela Passaro'!$J$2:$J$1795,$N81),IF(J81&lt;=100,INDEX('Tabela Passaro'!$K$2:$K$1795,$N81),INDEX('Tabela Passaro'!$K$2:$K$1795,$N81)+(J81-100)*INDEX('Tabela Passaro'!$L$2:$L$1795,$N81))))))</f>
        <v>66.94</v>
      </c>
      <c r="S81" s="32" t="n">
        <f aca="false">K81*INDEX('Tabela Passaro'!$M$2:$M$1795,$N81)</f>
        <v>2.3097</v>
      </c>
      <c r="T81" s="32" t="n">
        <f aca="false">K81*INDEX('Tabela Passaro'!$N$2:$N$1795,$N81)</f>
        <v>0.92388</v>
      </c>
      <c r="U81" s="32" t="n">
        <f aca="false">INDEX('Tabela Passaro'!$O$2:$O$1795,$N81)</f>
        <v>5</v>
      </c>
      <c r="V81" s="32" t="n">
        <f aca="false">ROUNDUP(J81/INDEX('Tabela Passaro'!$Q$2:$Q$1795,$N81),0)*INDEX('Tabela Passaro'!$P$2:$P$1795,$N81)</f>
        <v>5</v>
      </c>
      <c r="W81" s="32" t="n">
        <f aca="false">INDEX('Tabela Passaro'!$R$2:$R$1795,$N81)</f>
        <v>30</v>
      </c>
      <c r="X81" s="32" t="n">
        <f aca="false">ROUNDUP(J81/INDEX('Tabela Passaro'!$T$2:$T$1795,$N81),0)*INDEX('Tabela Passaro'!$S$2:$S$1795,$N81)</f>
        <v>0</v>
      </c>
      <c r="Y81" s="32" t="n">
        <f aca="false">INDEX('Tabela Passaro'!$U$2:$U$1795,$N81)</f>
        <v>0</v>
      </c>
      <c r="Z81" s="32" t="n">
        <f aca="false">INDEX('Tabela Passaro'!$V$2:$V$1795,$N81)</f>
        <v>0</v>
      </c>
      <c r="AA81" s="32" t="n">
        <f aca="false">SUM(R81:Z81)</f>
        <v>110.17358</v>
      </c>
      <c r="AB81" s="33" t="n">
        <f aca="false">INDEX(Premissas!$B$5:$B$13,MATCH(A81,Premissas!$A$5:$A$13,0))</f>
        <v>0.07</v>
      </c>
      <c r="AC81" s="32" t="n">
        <f aca="false">AA81/(1-AB81)-AA81</f>
        <v>8.29263505376345</v>
      </c>
      <c r="AD81" s="32" t="n">
        <f aca="false">ROUND(AA81+AC81,2)</f>
        <v>118.47</v>
      </c>
      <c r="AE81" s="32" t="n">
        <f aca="false">AD81-L81</f>
        <v>10.02</v>
      </c>
      <c r="AF81" s="34" t="n">
        <f aca="false">IF(L81=0,0,AE81/L81)</f>
        <v>0.0923928077455048</v>
      </c>
      <c r="AG81" s="22" t="str">
        <f aca="false">IF(AD81&lt;L81,"PASSARO","ATUAL")</f>
        <v>ATUAL</v>
      </c>
      <c r="AH81" s="22" t="str">
        <f aca="false">IF(P81&lt;&gt;A81,"Faixa cadastrada como "&amp;P81&amp;" na tabela; preço aplicado pela UF do CEP","")</f>
        <v/>
      </c>
      <c r="AI81" s="26" t="n">
        <v>138.62</v>
      </c>
      <c r="AJ81" s="22" t="str">
        <f aca="false">INDEX('Tabela Passaro'!$X$2:$X$1795,$N81)</f>
        <v>CAPITAL</v>
      </c>
    </row>
    <row r="82" customFormat="false" ht="15" hidden="false" customHeight="false" outlineLevel="0" collapsed="false">
      <c r="A82" s="22" t="s">
        <v>15</v>
      </c>
      <c r="B82" s="22" t="n">
        <v>1</v>
      </c>
      <c r="C82" s="22" t="s">
        <v>59</v>
      </c>
      <c r="D82" s="22" t="s">
        <v>30</v>
      </c>
      <c r="E82" s="22" t="s">
        <v>20</v>
      </c>
      <c r="F82" s="22" t="n">
        <v>840479</v>
      </c>
      <c r="G82" s="30" t="n">
        <v>46262</v>
      </c>
      <c r="H82" s="22" t="n">
        <v>32760</v>
      </c>
      <c r="I82" s="22" t="s">
        <v>7406</v>
      </c>
      <c r="J82" s="31" t="n">
        <v>51.06</v>
      </c>
      <c r="K82" s="26" t="n">
        <v>890.45</v>
      </c>
      <c r="L82" s="26" t="n">
        <v>162.66</v>
      </c>
      <c r="M82" s="22" t="s">
        <v>283</v>
      </c>
      <c r="N82" s="22" t="n">
        <f aca="false">MATCH(M82,'Tabela Passaro'!$A$2:$A$1795,0)</f>
        <v>1</v>
      </c>
      <c r="O82" s="22" t="str">
        <f aca="false">INDEX('Tabela Passaro'!$C$2:$C$1795,$N82)</f>
        <v>MACEIO</v>
      </c>
      <c r="P82" s="22" t="str">
        <f aca="false">INDEX('Tabela Passaro'!$B$2:$B$1795,$N82)</f>
        <v>AL</v>
      </c>
      <c r="Q82" s="22" t="n">
        <f aca="false">INDEX('Tabela Passaro'!$F$2:$F$1795,$N82)</f>
        <v>8</v>
      </c>
      <c r="R82" s="32" t="n">
        <f aca="false">IF(J82&lt;=10,INDEX('Tabela Passaro'!$G$2:$G$1795,$N82),IF(J82&lt;=30,INDEX('Tabela Passaro'!$H$2:$H$1795,$N82),IF(J82&lt;=50,INDEX('Tabela Passaro'!$I$2:$I$1795,$N82),IF(J82&lt;=70,INDEX('Tabela Passaro'!$J$2:$J$1795,$N82),IF(J82&lt;=100,INDEX('Tabela Passaro'!$K$2:$K$1795,$N82),INDEX('Tabela Passaro'!$K$2:$K$1795,$N82)+(J82-100)*INDEX('Tabela Passaro'!$L$2:$L$1795,$N82))))))</f>
        <v>88.98</v>
      </c>
      <c r="S82" s="32" t="n">
        <f aca="false">K82*INDEX('Tabela Passaro'!$M$2:$M$1795,$N82)</f>
        <v>4.45225</v>
      </c>
      <c r="T82" s="32" t="n">
        <f aca="false">K82*INDEX('Tabela Passaro'!$N$2:$N$1795,$N82)</f>
        <v>1.7809</v>
      </c>
      <c r="U82" s="32" t="n">
        <f aca="false">INDEX('Tabela Passaro'!$O$2:$O$1795,$N82)</f>
        <v>5</v>
      </c>
      <c r="V82" s="32" t="n">
        <f aca="false">ROUNDUP(J82/INDEX('Tabela Passaro'!$Q$2:$Q$1795,$N82),0)*INDEX('Tabela Passaro'!$P$2:$P$1795,$N82)</f>
        <v>5</v>
      </c>
      <c r="W82" s="32" t="n">
        <f aca="false">INDEX('Tabela Passaro'!$R$2:$R$1795,$N82)</f>
        <v>30</v>
      </c>
      <c r="X82" s="32" t="n">
        <f aca="false">ROUNDUP(J82/INDEX('Tabela Passaro'!$T$2:$T$1795,$N82),0)*INDEX('Tabela Passaro'!$S$2:$S$1795,$N82)</f>
        <v>0</v>
      </c>
      <c r="Y82" s="32" t="n">
        <f aca="false">INDEX('Tabela Passaro'!$U$2:$U$1795,$N82)</f>
        <v>0</v>
      </c>
      <c r="Z82" s="32" t="n">
        <f aca="false">INDEX('Tabela Passaro'!$V$2:$V$1795,$N82)</f>
        <v>0</v>
      </c>
      <c r="AA82" s="32" t="n">
        <f aca="false">SUM(R82:Z82)</f>
        <v>135.21315</v>
      </c>
      <c r="AB82" s="33" t="n">
        <f aca="false">INDEX(Premissas!$B$5:$B$13,MATCH(A82,Premissas!$A$5:$A$13,0))</f>
        <v>0.07</v>
      </c>
      <c r="AC82" s="32" t="n">
        <f aca="false">AA82/(1-AB82)-AA82</f>
        <v>10.1773338709677</v>
      </c>
      <c r="AD82" s="32" t="n">
        <f aca="false">ROUND(AA82+AC82,2)</f>
        <v>145.39</v>
      </c>
      <c r="AE82" s="32" t="n">
        <f aca="false">AD82-L82</f>
        <v>-17.27</v>
      </c>
      <c r="AF82" s="34" t="n">
        <f aca="false">IF(L82=0,0,AE82/L82)</f>
        <v>-0.106172384114103</v>
      </c>
      <c r="AG82" s="22" t="str">
        <f aca="false">IF(AD82&lt;L82,"PASSARO","ATUAL")</f>
        <v>PASSARO</v>
      </c>
      <c r="AH82" s="22" t="str">
        <f aca="false">IF(P82&lt;&gt;A82,"Faixa cadastrada como "&amp;P82&amp;" na tabela; preço aplicado pela UF do CEP","")</f>
        <v/>
      </c>
      <c r="AI82" s="26" t="n">
        <v>183.31</v>
      </c>
      <c r="AJ82" s="22" t="str">
        <f aca="false">INDEX('Tabela Passaro'!$X$2:$X$1795,$N82)</f>
        <v>CAPITAL</v>
      </c>
    </row>
    <row r="83" customFormat="false" ht="15" hidden="false" customHeight="false" outlineLevel="0" collapsed="false">
      <c r="A83" s="22" t="s">
        <v>15</v>
      </c>
      <c r="B83" s="22" t="n">
        <v>1</v>
      </c>
      <c r="C83" s="22" t="s">
        <v>59</v>
      </c>
      <c r="D83" s="22" t="s">
        <v>30</v>
      </c>
      <c r="E83" s="22" t="s">
        <v>20</v>
      </c>
      <c r="F83" s="22" t="n">
        <v>840477</v>
      </c>
      <c r="G83" s="30" t="n">
        <v>46262</v>
      </c>
      <c r="H83" s="22" t="n">
        <v>32778</v>
      </c>
      <c r="I83" s="22" t="s">
        <v>7407</v>
      </c>
      <c r="J83" s="31" t="n">
        <v>38.2</v>
      </c>
      <c r="K83" s="26" t="n">
        <v>873.42</v>
      </c>
      <c r="L83" s="26" t="n">
        <v>143.33</v>
      </c>
      <c r="M83" s="22" t="s">
        <v>283</v>
      </c>
      <c r="N83" s="22" t="n">
        <f aca="false">MATCH(M83,'Tabela Passaro'!$A$2:$A$1795,0)</f>
        <v>1</v>
      </c>
      <c r="O83" s="22" t="str">
        <f aca="false">INDEX('Tabela Passaro'!$C$2:$C$1795,$N83)</f>
        <v>MACEIO</v>
      </c>
      <c r="P83" s="22" t="str">
        <f aca="false">INDEX('Tabela Passaro'!$B$2:$B$1795,$N83)</f>
        <v>AL</v>
      </c>
      <c r="Q83" s="22" t="n">
        <f aca="false">INDEX('Tabela Passaro'!$F$2:$F$1795,$N83)</f>
        <v>8</v>
      </c>
      <c r="R83" s="32" t="n">
        <f aca="false">IF(J83&lt;=10,INDEX('Tabela Passaro'!$G$2:$G$1795,$N83),IF(J83&lt;=30,INDEX('Tabela Passaro'!$H$2:$H$1795,$N83),IF(J83&lt;=50,INDEX('Tabela Passaro'!$I$2:$I$1795,$N83),IF(J83&lt;=70,INDEX('Tabela Passaro'!$J$2:$J$1795,$N83),IF(J83&lt;=100,INDEX('Tabela Passaro'!$K$2:$K$1795,$N83),INDEX('Tabela Passaro'!$K$2:$K$1795,$N83)+(J83-100)*INDEX('Tabela Passaro'!$L$2:$L$1795,$N83))))))</f>
        <v>77.96</v>
      </c>
      <c r="S83" s="32" t="n">
        <f aca="false">K83*INDEX('Tabela Passaro'!$M$2:$M$1795,$N83)</f>
        <v>4.3671</v>
      </c>
      <c r="T83" s="32" t="n">
        <f aca="false">K83*INDEX('Tabela Passaro'!$N$2:$N$1795,$N83)</f>
        <v>1.74684</v>
      </c>
      <c r="U83" s="32" t="n">
        <f aca="false">INDEX('Tabela Passaro'!$O$2:$O$1795,$N83)</f>
        <v>5</v>
      </c>
      <c r="V83" s="32" t="n">
        <f aca="false">ROUNDUP(J83/INDEX('Tabela Passaro'!$Q$2:$Q$1795,$N83),0)*INDEX('Tabela Passaro'!$P$2:$P$1795,$N83)</f>
        <v>5</v>
      </c>
      <c r="W83" s="32" t="n">
        <f aca="false">INDEX('Tabela Passaro'!$R$2:$R$1795,$N83)</f>
        <v>30</v>
      </c>
      <c r="X83" s="32" t="n">
        <f aca="false">ROUNDUP(J83/INDEX('Tabela Passaro'!$T$2:$T$1795,$N83),0)*INDEX('Tabela Passaro'!$S$2:$S$1795,$N83)</f>
        <v>0</v>
      </c>
      <c r="Y83" s="32" t="n">
        <f aca="false">INDEX('Tabela Passaro'!$U$2:$U$1795,$N83)</f>
        <v>0</v>
      </c>
      <c r="Z83" s="32" t="n">
        <f aca="false">INDEX('Tabela Passaro'!$V$2:$V$1795,$N83)</f>
        <v>0</v>
      </c>
      <c r="AA83" s="32" t="n">
        <f aca="false">SUM(R83:Z83)</f>
        <v>124.07394</v>
      </c>
      <c r="AB83" s="33" t="n">
        <f aca="false">INDEX(Premissas!$B$5:$B$13,MATCH(A83,Premissas!$A$5:$A$13,0))</f>
        <v>0.07</v>
      </c>
      <c r="AC83" s="32" t="n">
        <f aca="false">AA83/(1-AB83)-AA83</f>
        <v>9.33889870967744</v>
      </c>
      <c r="AD83" s="32" t="n">
        <f aca="false">ROUND(AA83+AC83,2)</f>
        <v>133.41</v>
      </c>
      <c r="AE83" s="32" t="n">
        <f aca="false">AD83-L83</f>
        <v>-9.92000000000002</v>
      </c>
      <c r="AF83" s="34" t="n">
        <f aca="false">IF(L83=0,0,AE83/L83)</f>
        <v>-0.0692109118816718</v>
      </c>
      <c r="AG83" s="22" t="str">
        <f aca="false">IF(AD83&lt;L83,"PASSARO","ATUAL")</f>
        <v>PASSARO</v>
      </c>
      <c r="AH83" s="22" t="str">
        <f aca="false">IF(P83&lt;&gt;A83,"Faixa cadastrada como "&amp;P83&amp;" na tabela; preço aplicado pela UF do CEP","")</f>
        <v/>
      </c>
      <c r="AI83" s="26" t="n">
        <v>164.32</v>
      </c>
      <c r="AJ83" s="22" t="str">
        <f aca="false">INDEX('Tabela Passaro'!$X$2:$X$1795,$N83)</f>
        <v>CAPITAL</v>
      </c>
    </row>
    <row r="84" customFormat="false" ht="15" hidden="false" customHeight="false" outlineLevel="0" collapsed="false">
      <c r="A84" s="22" t="s">
        <v>15</v>
      </c>
      <c r="B84" s="22" t="n">
        <v>1</v>
      </c>
      <c r="C84" s="22" t="s">
        <v>59</v>
      </c>
      <c r="D84" s="22" t="s">
        <v>30</v>
      </c>
      <c r="E84" s="22" t="s">
        <v>7326</v>
      </c>
      <c r="F84" s="22" t="n">
        <v>528137</v>
      </c>
      <c r="G84" s="30" t="n">
        <v>46262</v>
      </c>
      <c r="H84" s="22" t="n">
        <v>629600</v>
      </c>
      <c r="I84" s="22" t="s">
        <v>7404</v>
      </c>
      <c r="J84" s="31" t="n">
        <v>17.3</v>
      </c>
      <c r="K84" s="26" t="n">
        <v>1435.67</v>
      </c>
      <c r="L84" s="26" t="n">
        <v>137</v>
      </c>
      <c r="M84" s="22" t="s">
        <v>283</v>
      </c>
      <c r="N84" s="22" t="n">
        <f aca="false">MATCH(M84,'Tabela Passaro'!$A$2:$A$1795,0)</f>
        <v>1</v>
      </c>
      <c r="O84" s="22" t="str">
        <f aca="false">INDEX('Tabela Passaro'!$C$2:$C$1795,$N84)</f>
        <v>MACEIO</v>
      </c>
      <c r="P84" s="22" t="str">
        <f aca="false">INDEX('Tabela Passaro'!$B$2:$B$1795,$N84)</f>
        <v>AL</v>
      </c>
      <c r="Q84" s="22" t="n">
        <f aca="false">INDEX('Tabela Passaro'!$F$2:$F$1795,$N84)</f>
        <v>8</v>
      </c>
      <c r="R84" s="32" t="n">
        <f aca="false">IF(J84&lt;=10,INDEX('Tabela Passaro'!$G$2:$G$1795,$N84),IF(J84&lt;=30,INDEX('Tabela Passaro'!$H$2:$H$1795,$N84),IF(J84&lt;=50,INDEX('Tabela Passaro'!$I$2:$I$1795,$N84),IF(J84&lt;=70,INDEX('Tabela Passaro'!$J$2:$J$1795,$N84),IF(J84&lt;=100,INDEX('Tabela Passaro'!$K$2:$K$1795,$N84),INDEX('Tabela Passaro'!$K$2:$K$1795,$N84)+(J84-100)*INDEX('Tabela Passaro'!$L$2:$L$1795,$N84))))))</f>
        <v>66.94</v>
      </c>
      <c r="S84" s="32" t="n">
        <f aca="false">K84*INDEX('Tabela Passaro'!$M$2:$M$1795,$N84)</f>
        <v>7.17835</v>
      </c>
      <c r="T84" s="32" t="n">
        <f aca="false">K84*INDEX('Tabela Passaro'!$N$2:$N$1795,$N84)</f>
        <v>2.87134</v>
      </c>
      <c r="U84" s="32" t="n">
        <f aca="false">INDEX('Tabela Passaro'!$O$2:$O$1795,$N84)</f>
        <v>5</v>
      </c>
      <c r="V84" s="32" t="n">
        <f aca="false">ROUNDUP(J84/INDEX('Tabela Passaro'!$Q$2:$Q$1795,$N84),0)*INDEX('Tabela Passaro'!$P$2:$P$1795,$N84)</f>
        <v>5</v>
      </c>
      <c r="W84" s="32" t="n">
        <f aca="false">INDEX('Tabela Passaro'!$R$2:$R$1795,$N84)</f>
        <v>30</v>
      </c>
      <c r="X84" s="32" t="n">
        <f aca="false">ROUNDUP(J84/INDEX('Tabela Passaro'!$T$2:$T$1795,$N84),0)*INDEX('Tabela Passaro'!$S$2:$S$1795,$N84)</f>
        <v>0</v>
      </c>
      <c r="Y84" s="32" t="n">
        <f aca="false">INDEX('Tabela Passaro'!$U$2:$U$1795,$N84)</f>
        <v>0</v>
      </c>
      <c r="Z84" s="32" t="n">
        <f aca="false">INDEX('Tabela Passaro'!$V$2:$V$1795,$N84)</f>
        <v>0</v>
      </c>
      <c r="AA84" s="32" t="n">
        <f aca="false">SUM(R84:Z84)</f>
        <v>116.98969</v>
      </c>
      <c r="AB84" s="33" t="n">
        <f aca="false">INDEX(Premissas!$B$5:$B$13,MATCH(A84,Premissas!$A$5:$A$13,0))</f>
        <v>0.07</v>
      </c>
      <c r="AC84" s="32" t="n">
        <f aca="false">AA84/(1-AB84)-AA84</f>
        <v>8.80567559139786</v>
      </c>
      <c r="AD84" s="32" t="n">
        <f aca="false">ROUND(AA84+AC84,2)</f>
        <v>125.8</v>
      </c>
      <c r="AE84" s="32" t="n">
        <f aca="false">AD84-L84</f>
        <v>-11.2</v>
      </c>
      <c r="AF84" s="34" t="n">
        <f aca="false">IF(L84=0,0,AE84/L84)</f>
        <v>-0.0817518248175183</v>
      </c>
      <c r="AG84" s="22" t="str">
        <f aca="false">IF(AD84&lt;L84,"PASSARO","ATUAL")</f>
        <v>PASSARO</v>
      </c>
      <c r="AH84" s="22" t="str">
        <f aca="false">IF(P84&lt;&gt;A84,"Faixa cadastrada como "&amp;P84&amp;" na tabela; preço aplicado pela UF do CEP","")</f>
        <v/>
      </c>
      <c r="AI84" s="26" t="n">
        <v>147.08</v>
      </c>
      <c r="AJ84" s="22" t="str">
        <f aca="false">INDEX('Tabela Passaro'!$X$2:$X$1795,$N84)</f>
        <v>CAPITAL</v>
      </c>
    </row>
    <row r="85" customFormat="false" ht="15" hidden="false" customHeight="false" outlineLevel="0" collapsed="false">
      <c r="A85" s="22" t="s">
        <v>15</v>
      </c>
      <c r="B85" s="22" t="n">
        <v>1</v>
      </c>
      <c r="C85" s="22" t="s">
        <v>59</v>
      </c>
      <c r="D85" s="22" t="s">
        <v>30</v>
      </c>
      <c r="E85" s="22" t="s">
        <v>7326</v>
      </c>
      <c r="F85" s="22" t="n">
        <v>528278</v>
      </c>
      <c r="G85" s="30" t="n">
        <v>46262</v>
      </c>
      <c r="H85" s="22" t="n">
        <v>629816</v>
      </c>
      <c r="I85" s="22" t="s">
        <v>7408</v>
      </c>
      <c r="J85" s="31" t="n">
        <v>107.7</v>
      </c>
      <c r="K85" s="26" t="n">
        <v>1769.24</v>
      </c>
      <c r="L85" s="26" t="n">
        <v>333.35</v>
      </c>
      <c r="M85" s="22" t="s">
        <v>283</v>
      </c>
      <c r="N85" s="22" t="n">
        <f aca="false">MATCH(M85,'Tabela Passaro'!$A$2:$A$1795,0)</f>
        <v>1</v>
      </c>
      <c r="O85" s="22" t="str">
        <f aca="false">INDEX('Tabela Passaro'!$C$2:$C$1795,$N85)</f>
        <v>MACEIO</v>
      </c>
      <c r="P85" s="22" t="str">
        <f aca="false">INDEX('Tabela Passaro'!$B$2:$B$1795,$N85)</f>
        <v>AL</v>
      </c>
      <c r="Q85" s="22" t="n">
        <f aca="false">INDEX('Tabela Passaro'!$F$2:$F$1795,$N85)</f>
        <v>8</v>
      </c>
      <c r="R85" s="32" t="n">
        <f aca="false">IF(J85&lt;=10,INDEX('Tabela Passaro'!$G$2:$G$1795,$N85),IF(J85&lt;=30,INDEX('Tabela Passaro'!$H$2:$H$1795,$N85),IF(J85&lt;=50,INDEX('Tabela Passaro'!$I$2:$I$1795,$N85),IF(J85&lt;=70,INDEX('Tabela Passaro'!$J$2:$J$1795,$N85),IF(J85&lt;=100,INDEX('Tabela Passaro'!$K$2:$K$1795,$N85),INDEX('Tabela Passaro'!$K$2:$K$1795,$N85)+(J85-100)*INDEX('Tabela Passaro'!$L$2:$L$1795,$N85))))))</f>
        <v>117.06</v>
      </c>
      <c r="S85" s="32" t="n">
        <f aca="false">K85*INDEX('Tabela Passaro'!$M$2:$M$1795,$N85)</f>
        <v>8.8462</v>
      </c>
      <c r="T85" s="32" t="n">
        <f aca="false">K85*INDEX('Tabela Passaro'!$N$2:$N$1795,$N85)</f>
        <v>3.53848</v>
      </c>
      <c r="U85" s="32" t="n">
        <f aca="false">INDEX('Tabela Passaro'!$O$2:$O$1795,$N85)</f>
        <v>5</v>
      </c>
      <c r="V85" s="32" t="n">
        <f aca="false">ROUNDUP(J85/INDEX('Tabela Passaro'!$Q$2:$Q$1795,$N85),0)*INDEX('Tabela Passaro'!$P$2:$P$1795,$N85)</f>
        <v>10</v>
      </c>
      <c r="W85" s="32" t="n">
        <f aca="false">INDEX('Tabela Passaro'!$R$2:$R$1795,$N85)</f>
        <v>30</v>
      </c>
      <c r="X85" s="32" t="n">
        <f aca="false">ROUNDUP(J85/INDEX('Tabela Passaro'!$T$2:$T$1795,$N85),0)*INDEX('Tabela Passaro'!$S$2:$S$1795,$N85)</f>
        <v>0</v>
      </c>
      <c r="Y85" s="32" t="n">
        <f aca="false">INDEX('Tabela Passaro'!$U$2:$U$1795,$N85)</f>
        <v>0</v>
      </c>
      <c r="Z85" s="32" t="n">
        <f aca="false">INDEX('Tabela Passaro'!$V$2:$V$1795,$N85)</f>
        <v>0</v>
      </c>
      <c r="AA85" s="32" t="n">
        <f aca="false">SUM(R85:Z85)</f>
        <v>174.44468</v>
      </c>
      <c r="AB85" s="33" t="n">
        <f aca="false">INDEX(Premissas!$B$5:$B$13,MATCH(A85,Premissas!$A$5:$A$13,0))</f>
        <v>0.07</v>
      </c>
      <c r="AC85" s="32" t="n">
        <f aca="false">AA85/(1-AB85)-AA85</f>
        <v>13.1302447311828</v>
      </c>
      <c r="AD85" s="32" t="n">
        <f aca="false">ROUND(AA85+AC85,2)</f>
        <v>187.57</v>
      </c>
      <c r="AE85" s="32" t="n">
        <f aca="false">AD85-L85</f>
        <v>-145.78</v>
      </c>
      <c r="AF85" s="34" t="n">
        <f aca="false">IF(L85=0,0,AE85/L85)</f>
        <v>-0.437318134093295</v>
      </c>
      <c r="AG85" s="22" t="str">
        <f aca="false">IF(AD85&lt;L85,"PASSARO","ATUAL")</f>
        <v>PASSARO</v>
      </c>
      <c r="AH85" s="22" t="str">
        <f aca="false">IF(P85&lt;&gt;A85,"Faixa cadastrada como "&amp;P85&amp;" na tabela; preço aplicado pela UF do CEP","")</f>
        <v/>
      </c>
      <c r="AI85" s="26" t="n">
        <v>257.06</v>
      </c>
      <c r="AJ85" s="22" t="str">
        <f aca="false">INDEX('Tabela Passaro'!$X$2:$X$1795,$N85)</f>
        <v>CAPITAL</v>
      </c>
    </row>
    <row r="86" customFormat="false" ht="15" hidden="false" customHeight="false" outlineLevel="0" collapsed="false">
      <c r="A86" s="22" t="s">
        <v>15</v>
      </c>
      <c r="B86" s="22" t="n">
        <v>1</v>
      </c>
      <c r="C86" s="22" t="s">
        <v>59</v>
      </c>
      <c r="D86" s="22" t="s">
        <v>30</v>
      </c>
      <c r="E86" s="22" t="s">
        <v>7326</v>
      </c>
      <c r="F86" s="22" t="n">
        <v>528267</v>
      </c>
      <c r="G86" s="30" t="n">
        <v>46262</v>
      </c>
      <c r="H86" s="22" t="n">
        <v>630022</v>
      </c>
      <c r="I86" s="22" t="s">
        <v>7409</v>
      </c>
      <c r="J86" s="31" t="n">
        <v>44.5</v>
      </c>
      <c r="K86" s="26" t="n">
        <v>984.38</v>
      </c>
      <c r="L86" s="26" t="n">
        <v>179.67</v>
      </c>
      <c r="M86" s="22" t="s">
        <v>283</v>
      </c>
      <c r="N86" s="22" t="n">
        <f aca="false">MATCH(M86,'Tabela Passaro'!$A$2:$A$1795,0)</f>
        <v>1</v>
      </c>
      <c r="O86" s="22" t="str">
        <f aca="false">INDEX('Tabela Passaro'!$C$2:$C$1795,$N86)</f>
        <v>MACEIO</v>
      </c>
      <c r="P86" s="22" t="str">
        <f aca="false">INDEX('Tabela Passaro'!$B$2:$B$1795,$N86)</f>
        <v>AL</v>
      </c>
      <c r="Q86" s="22" t="n">
        <f aca="false">INDEX('Tabela Passaro'!$F$2:$F$1795,$N86)</f>
        <v>8</v>
      </c>
      <c r="R86" s="32" t="n">
        <f aca="false">IF(J86&lt;=10,INDEX('Tabela Passaro'!$G$2:$G$1795,$N86),IF(J86&lt;=30,INDEX('Tabela Passaro'!$H$2:$H$1795,$N86),IF(J86&lt;=50,INDEX('Tabela Passaro'!$I$2:$I$1795,$N86),IF(J86&lt;=70,INDEX('Tabela Passaro'!$J$2:$J$1795,$N86),IF(J86&lt;=100,INDEX('Tabela Passaro'!$K$2:$K$1795,$N86),INDEX('Tabela Passaro'!$K$2:$K$1795,$N86)+(J86-100)*INDEX('Tabela Passaro'!$L$2:$L$1795,$N86))))))</f>
        <v>77.96</v>
      </c>
      <c r="S86" s="32" t="n">
        <f aca="false">K86*INDEX('Tabela Passaro'!$M$2:$M$1795,$N86)</f>
        <v>4.9219</v>
      </c>
      <c r="T86" s="32" t="n">
        <f aca="false">K86*INDEX('Tabela Passaro'!$N$2:$N$1795,$N86)</f>
        <v>1.96876</v>
      </c>
      <c r="U86" s="32" t="n">
        <f aca="false">INDEX('Tabela Passaro'!$O$2:$O$1795,$N86)</f>
        <v>5</v>
      </c>
      <c r="V86" s="32" t="n">
        <f aca="false">ROUNDUP(J86/INDEX('Tabela Passaro'!$Q$2:$Q$1795,$N86),0)*INDEX('Tabela Passaro'!$P$2:$P$1795,$N86)</f>
        <v>5</v>
      </c>
      <c r="W86" s="32" t="n">
        <f aca="false">INDEX('Tabela Passaro'!$R$2:$R$1795,$N86)</f>
        <v>30</v>
      </c>
      <c r="X86" s="32" t="n">
        <f aca="false">ROUNDUP(J86/INDEX('Tabela Passaro'!$T$2:$T$1795,$N86),0)*INDEX('Tabela Passaro'!$S$2:$S$1795,$N86)</f>
        <v>0</v>
      </c>
      <c r="Y86" s="32" t="n">
        <f aca="false">INDEX('Tabela Passaro'!$U$2:$U$1795,$N86)</f>
        <v>0</v>
      </c>
      <c r="Z86" s="32" t="n">
        <f aca="false">INDEX('Tabela Passaro'!$V$2:$V$1795,$N86)</f>
        <v>0</v>
      </c>
      <c r="AA86" s="32" t="n">
        <f aca="false">SUM(R86:Z86)</f>
        <v>124.85066</v>
      </c>
      <c r="AB86" s="33" t="n">
        <f aca="false">INDEX(Premissas!$B$5:$B$13,MATCH(A86,Premissas!$A$5:$A$13,0))</f>
        <v>0.07</v>
      </c>
      <c r="AC86" s="32" t="n">
        <f aca="false">AA86/(1-AB86)-AA86</f>
        <v>9.39736150537634</v>
      </c>
      <c r="AD86" s="32" t="n">
        <f aca="false">ROUND(AA86+AC86,2)</f>
        <v>134.25</v>
      </c>
      <c r="AE86" s="32" t="n">
        <f aca="false">AD86-L86</f>
        <v>-45.42</v>
      </c>
      <c r="AF86" s="34" t="n">
        <f aca="false">IF(L86=0,0,AE86/L86)</f>
        <v>-0.252796794122558</v>
      </c>
      <c r="AG86" s="22" t="str">
        <f aca="false">IF(AD86&lt;L86,"PASSARO","ATUAL")</f>
        <v>PASSARO</v>
      </c>
      <c r="AH86" s="22" t="str">
        <f aca="false">IF(P86&lt;&gt;A86,"Faixa cadastrada como "&amp;P86&amp;" na tabela; preço aplicado pela UF do CEP","")</f>
        <v/>
      </c>
      <c r="AI86" s="26" t="n">
        <v>168.3</v>
      </c>
      <c r="AJ86" s="22" t="str">
        <f aca="false">INDEX('Tabela Passaro'!$X$2:$X$1795,$N86)</f>
        <v>CAPITAL</v>
      </c>
    </row>
    <row r="87" customFormat="false" ht="15" hidden="false" customHeight="false" outlineLevel="0" collapsed="false">
      <c r="A87" s="22" t="s">
        <v>15</v>
      </c>
      <c r="B87" s="22" t="n">
        <v>1</v>
      </c>
      <c r="C87" s="22" t="s">
        <v>59</v>
      </c>
      <c r="D87" s="22" t="s">
        <v>30</v>
      </c>
      <c r="E87" s="22" t="s">
        <v>20</v>
      </c>
      <c r="F87" s="22" t="n">
        <v>840619</v>
      </c>
      <c r="G87" s="30" t="n">
        <v>46265</v>
      </c>
      <c r="H87" s="22" t="n">
        <v>32818</v>
      </c>
      <c r="I87" s="22" t="s">
        <v>7410</v>
      </c>
      <c r="J87" s="31" t="n">
        <v>39.76</v>
      </c>
      <c r="K87" s="26" t="n">
        <v>765.77</v>
      </c>
      <c r="L87" s="26" t="n">
        <v>142.35</v>
      </c>
      <c r="M87" s="22" t="s">
        <v>283</v>
      </c>
      <c r="N87" s="22" t="n">
        <f aca="false">MATCH(M87,'Tabela Passaro'!$A$2:$A$1795,0)</f>
        <v>1</v>
      </c>
      <c r="O87" s="22" t="str">
        <f aca="false">INDEX('Tabela Passaro'!$C$2:$C$1795,$N87)</f>
        <v>MACEIO</v>
      </c>
      <c r="P87" s="22" t="str">
        <f aca="false">INDEX('Tabela Passaro'!$B$2:$B$1795,$N87)</f>
        <v>AL</v>
      </c>
      <c r="Q87" s="22" t="n">
        <f aca="false">INDEX('Tabela Passaro'!$F$2:$F$1795,$N87)</f>
        <v>8</v>
      </c>
      <c r="R87" s="32" t="n">
        <f aca="false">IF(J87&lt;=10,INDEX('Tabela Passaro'!$G$2:$G$1795,$N87),IF(J87&lt;=30,INDEX('Tabela Passaro'!$H$2:$H$1795,$N87),IF(J87&lt;=50,INDEX('Tabela Passaro'!$I$2:$I$1795,$N87),IF(J87&lt;=70,INDEX('Tabela Passaro'!$J$2:$J$1795,$N87),IF(J87&lt;=100,INDEX('Tabela Passaro'!$K$2:$K$1795,$N87),INDEX('Tabela Passaro'!$K$2:$K$1795,$N87)+(J87-100)*INDEX('Tabela Passaro'!$L$2:$L$1795,$N87))))))</f>
        <v>77.96</v>
      </c>
      <c r="S87" s="32" t="n">
        <f aca="false">K87*INDEX('Tabela Passaro'!$M$2:$M$1795,$N87)</f>
        <v>3.82885</v>
      </c>
      <c r="T87" s="32" t="n">
        <f aca="false">K87*INDEX('Tabela Passaro'!$N$2:$N$1795,$N87)</f>
        <v>1.53154</v>
      </c>
      <c r="U87" s="32" t="n">
        <f aca="false">INDEX('Tabela Passaro'!$O$2:$O$1795,$N87)</f>
        <v>5</v>
      </c>
      <c r="V87" s="32" t="n">
        <f aca="false">ROUNDUP(J87/INDEX('Tabela Passaro'!$Q$2:$Q$1795,$N87),0)*INDEX('Tabela Passaro'!$P$2:$P$1795,$N87)</f>
        <v>5</v>
      </c>
      <c r="W87" s="32" t="n">
        <f aca="false">INDEX('Tabela Passaro'!$R$2:$R$1795,$N87)</f>
        <v>30</v>
      </c>
      <c r="X87" s="32" t="n">
        <f aca="false">ROUNDUP(J87/INDEX('Tabela Passaro'!$T$2:$T$1795,$N87),0)*INDEX('Tabela Passaro'!$S$2:$S$1795,$N87)</f>
        <v>0</v>
      </c>
      <c r="Y87" s="32" t="n">
        <f aca="false">INDEX('Tabela Passaro'!$U$2:$U$1795,$N87)</f>
        <v>0</v>
      </c>
      <c r="Z87" s="32" t="n">
        <f aca="false">INDEX('Tabela Passaro'!$V$2:$V$1795,$N87)</f>
        <v>0</v>
      </c>
      <c r="AA87" s="32" t="n">
        <f aca="false">SUM(R87:Z87)</f>
        <v>123.32039</v>
      </c>
      <c r="AB87" s="33" t="n">
        <f aca="false">INDEX(Premissas!$B$5:$B$13,MATCH(A87,Premissas!$A$5:$A$13,0))</f>
        <v>0.07</v>
      </c>
      <c r="AC87" s="32" t="n">
        <f aca="false">AA87/(1-AB87)-AA87</f>
        <v>9.28217989247314</v>
      </c>
      <c r="AD87" s="32" t="n">
        <f aca="false">ROUND(AA87+AC87,2)</f>
        <v>132.6</v>
      </c>
      <c r="AE87" s="32" t="n">
        <f aca="false">AD87-L87</f>
        <v>-9.75</v>
      </c>
      <c r="AF87" s="34" t="n">
        <f aca="false">IF(L87=0,0,AE87/L87)</f>
        <v>-0.0684931506849315</v>
      </c>
      <c r="AG87" s="22" t="str">
        <f aca="false">IF(AD87&lt;L87,"PASSARO","ATUAL")</f>
        <v>PASSARO</v>
      </c>
      <c r="AH87" s="22" t="str">
        <f aca="false">IF(P87&lt;&gt;A87,"Faixa cadastrada como "&amp;P87&amp;" na tabela; preço aplicado pela UF do CEP","")</f>
        <v/>
      </c>
      <c r="AI87" s="26" t="n">
        <v>163.77</v>
      </c>
      <c r="AJ87" s="22" t="str">
        <f aca="false">INDEX('Tabela Passaro'!$X$2:$X$1795,$N87)</f>
        <v>CAPITAL</v>
      </c>
    </row>
    <row r="88" customFormat="false" ht="15" hidden="false" customHeight="false" outlineLevel="0" collapsed="false">
      <c r="A88" s="22" t="s">
        <v>15</v>
      </c>
      <c r="B88" s="22" t="n">
        <v>1</v>
      </c>
      <c r="C88" s="22" t="s">
        <v>59</v>
      </c>
      <c r="D88" s="22" t="s">
        <v>30</v>
      </c>
      <c r="E88" s="22" t="s">
        <v>20</v>
      </c>
      <c r="F88" s="22" t="n">
        <v>840646</v>
      </c>
      <c r="G88" s="30" t="n">
        <v>46265</v>
      </c>
      <c r="H88" s="22" t="n">
        <v>32846</v>
      </c>
      <c r="I88" s="22" t="s">
        <v>7411</v>
      </c>
      <c r="J88" s="31" t="n">
        <v>39.6</v>
      </c>
      <c r="K88" s="26" t="n">
        <v>977.71</v>
      </c>
      <c r="L88" s="26" t="n">
        <v>144.26</v>
      </c>
      <c r="M88" s="22" t="s">
        <v>283</v>
      </c>
      <c r="N88" s="22" t="n">
        <f aca="false">MATCH(M88,'Tabela Passaro'!$A$2:$A$1795,0)</f>
        <v>1</v>
      </c>
      <c r="O88" s="22" t="str">
        <f aca="false">INDEX('Tabela Passaro'!$C$2:$C$1795,$N88)</f>
        <v>MACEIO</v>
      </c>
      <c r="P88" s="22" t="str">
        <f aca="false">INDEX('Tabela Passaro'!$B$2:$B$1795,$N88)</f>
        <v>AL</v>
      </c>
      <c r="Q88" s="22" t="n">
        <f aca="false">INDEX('Tabela Passaro'!$F$2:$F$1795,$N88)</f>
        <v>8</v>
      </c>
      <c r="R88" s="32" t="n">
        <f aca="false">IF(J88&lt;=10,INDEX('Tabela Passaro'!$G$2:$G$1795,$N88),IF(J88&lt;=30,INDEX('Tabela Passaro'!$H$2:$H$1795,$N88),IF(J88&lt;=50,INDEX('Tabela Passaro'!$I$2:$I$1795,$N88),IF(J88&lt;=70,INDEX('Tabela Passaro'!$J$2:$J$1795,$N88),IF(J88&lt;=100,INDEX('Tabela Passaro'!$K$2:$K$1795,$N88),INDEX('Tabela Passaro'!$K$2:$K$1795,$N88)+(J88-100)*INDEX('Tabela Passaro'!$L$2:$L$1795,$N88))))))</f>
        <v>77.96</v>
      </c>
      <c r="S88" s="32" t="n">
        <f aca="false">K88*INDEX('Tabela Passaro'!$M$2:$M$1795,$N88)</f>
        <v>4.88855</v>
      </c>
      <c r="T88" s="32" t="n">
        <f aca="false">K88*INDEX('Tabela Passaro'!$N$2:$N$1795,$N88)</f>
        <v>1.95542</v>
      </c>
      <c r="U88" s="32" t="n">
        <f aca="false">INDEX('Tabela Passaro'!$O$2:$O$1795,$N88)</f>
        <v>5</v>
      </c>
      <c r="V88" s="32" t="n">
        <f aca="false">ROUNDUP(J88/INDEX('Tabela Passaro'!$Q$2:$Q$1795,$N88),0)*INDEX('Tabela Passaro'!$P$2:$P$1795,$N88)</f>
        <v>5</v>
      </c>
      <c r="W88" s="32" t="n">
        <f aca="false">INDEX('Tabela Passaro'!$R$2:$R$1795,$N88)</f>
        <v>30</v>
      </c>
      <c r="X88" s="32" t="n">
        <f aca="false">ROUNDUP(J88/INDEX('Tabela Passaro'!$T$2:$T$1795,$N88),0)*INDEX('Tabela Passaro'!$S$2:$S$1795,$N88)</f>
        <v>0</v>
      </c>
      <c r="Y88" s="32" t="n">
        <f aca="false">INDEX('Tabela Passaro'!$U$2:$U$1795,$N88)</f>
        <v>0</v>
      </c>
      <c r="Z88" s="32" t="n">
        <f aca="false">INDEX('Tabela Passaro'!$V$2:$V$1795,$N88)</f>
        <v>0</v>
      </c>
      <c r="AA88" s="32" t="n">
        <f aca="false">SUM(R88:Z88)</f>
        <v>124.80397</v>
      </c>
      <c r="AB88" s="33" t="n">
        <f aca="false">INDEX(Premissas!$B$5:$B$13,MATCH(A88,Premissas!$A$5:$A$13,0))</f>
        <v>0.07</v>
      </c>
      <c r="AC88" s="32" t="n">
        <f aca="false">AA88/(1-AB88)-AA88</f>
        <v>9.3938472043011</v>
      </c>
      <c r="AD88" s="32" t="n">
        <f aca="false">ROUND(AA88+AC88,2)</f>
        <v>134.2</v>
      </c>
      <c r="AE88" s="32" t="n">
        <f aca="false">AD88-L88</f>
        <v>-10.06</v>
      </c>
      <c r="AF88" s="34" t="n">
        <f aca="false">IF(L88=0,0,AE88/L88)</f>
        <v>-0.0697352003327326</v>
      </c>
      <c r="AG88" s="22" t="str">
        <f aca="false">IF(AD88&lt;L88,"PASSARO","ATUAL")</f>
        <v>PASSARO</v>
      </c>
      <c r="AH88" s="22" t="str">
        <f aca="false">IF(P88&lt;&gt;A88,"Faixa cadastrada como "&amp;P88&amp;" na tabela; preço aplicado pela UF do CEP","")</f>
        <v/>
      </c>
      <c r="AI88" s="26" t="n">
        <v>165.82</v>
      </c>
      <c r="AJ88" s="22" t="str">
        <f aca="false">INDEX('Tabela Passaro'!$X$2:$X$1795,$N88)</f>
        <v>CAPITAL</v>
      </c>
    </row>
    <row r="89" customFormat="false" ht="15" hidden="false" customHeight="false" outlineLevel="0" collapsed="false">
      <c r="A89" s="22" t="s">
        <v>15</v>
      </c>
      <c r="B89" s="22" t="n">
        <v>1</v>
      </c>
      <c r="C89" s="22" t="s">
        <v>59</v>
      </c>
      <c r="D89" s="22" t="s">
        <v>30</v>
      </c>
      <c r="E89" s="22" t="s">
        <v>20</v>
      </c>
      <c r="F89" s="22" t="n">
        <v>840674</v>
      </c>
      <c r="G89" s="30" t="n">
        <v>46265</v>
      </c>
      <c r="H89" s="22" t="n">
        <v>32874</v>
      </c>
      <c r="I89" s="22" t="s">
        <v>7412</v>
      </c>
      <c r="J89" s="31" t="n">
        <v>56.7</v>
      </c>
      <c r="K89" s="26" t="n">
        <v>914.35</v>
      </c>
      <c r="L89" s="26" t="n">
        <v>162.88</v>
      </c>
      <c r="M89" s="22" t="s">
        <v>283</v>
      </c>
      <c r="N89" s="22" t="n">
        <f aca="false">MATCH(M89,'Tabela Passaro'!$A$2:$A$1795,0)</f>
        <v>1</v>
      </c>
      <c r="O89" s="22" t="str">
        <f aca="false">INDEX('Tabela Passaro'!$C$2:$C$1795,$N89)</f>
        <v>MACEIO</v>
      </c>
      <c r="P89" s="22" t="str">
        <f aca="false">INDEX('Tabela Passaro'!$B$2:$B$1795,$N89)</f>
        <v>AL</v>
      </c>
      <c r="Q89" s="22" t="n">
        <f aca="false">INDEX('Tabela Passaro'!$F$2:$F$1795,$N89)</f>
        <v>8</v>
      </c>
      <c r="R89" s="32" t="n">
        <f aca="false">IF(J89&lt;=10,INDEX('Tabela Passaro'!$G$2:$G$1795,$N89),IF(J89&lt;=30,INDEX('Tabela Passaro'!$H$2:$H$1795,$N89),IF(J89&lt;=50,INDEX('Tabela Passaro'!$I$2:$I$1795,$N89),IF(J89&lt;=70,INDEX('Tabela Passaro'!$J$2:$J$1795,$N89),IF(J89&lt;=100,INDEX('Tabela Passaro'!$K$2:$K$1795,$N89),INDEX('Tabela Passaro'!$K$2:$K$1795,$N89)+(J89-100)*INDEX('Tabela Passaro'!$L$2:$L$1795,$N89))))))</f>
        <v>88.98</v>
      </c>
      <c r="S89" s="32" t="n">
        <f aca="false">K89*INDEX('Tabela Passaro'!$M$2:$M$1795,$N89)</f>
        <v>4.57175</v>
      </c>
      <c r="T89" s="32" t="n">
        <f aca="false">K89*INDEX('Tabela Passaro'!$N$2:$N$1795,$N89)</f>
        <v>1.8287</v>
      </c>
      <c r="U89" s="32" t="n">
        <f aca="false">INDEX('Tabela Passaro'!$O$2:$O$1795,$N89)</f>
        <v>5</v>
      </c>
      <c r="V89" s="32" t="n">
        <f aca="false">ROUNDUP(J89/INDEX('Tabela Passaro'!$Q$2:$Q$1795,$N89),0)*INDEX('Tabela Passaro'!$P$2:$P$1795,$N89)</f>
        <v>5</v>
      </c>
      <c r="W89" s="32" t="n">
        <f aca="false">INDEX('Tabela Passaro'!$R$2:$R$1795,$N89)</f>
        <v>30</v>
      </c>
      <c r="X89" s="32" t="n">
        <f aca="false">ROUNDUP(J89/INDEX('Tabela Passaro'!$T$2:$T$1795,$N89),0)*INDEX('Tabela Passaro'!$S$2:$S$1795,$N89)</f>
        <v>0</v>
      </c>
      <c r="Y89" s="32" t="n">
        <f aca="false">INDEX('Tabela Passaro'!$U$2:$U$1795,$N89)</f>
        <v>0</v>
      </c>
      <c r="Z89" s="32" t="n">
        <f aca="false">INDEX('Tabela Passaro'!$V$2:$V$1795,$N89)</f>
        <v>0</v>
      </c>
      <c r="AA89" s="32" t="n">
        <f aca="false">SUM(R89:Z89)</f>
        <v>135.38045</v>
      </c>
      <c r="AB89" s="33" t="n">
        <f aca="false">INDEX(Premissas!$B$5:$B$13,MATCH(A89,Premissas!$A$5:$A$13,0))</f>
        <v>0.07</v>
      </c>
      <c r="AC89" s="32" t="n">
        <f aca="false">AA89/(1-AB89)-AA89</f>
        <v>10.189926344086</v>
      </c>
      <c r="AD89" s="32" t="n">
        <f aca="false">ROUND(AA89+AC89,2)</f>
        <v>145.57</v>
      </c>
      <c r="AE89" s="32" t="n">
        <f aca="false">AD89-L89</f>
        <v>-17.31</v>
      </c>
      <c r="AF89" s="34" t="n">
        <f aca="false">IF(L89=0,0,AE89/L89)</f>
        <v>-0.106274557956778</v>
      </c>
      <c r="AG89" s="22" t="str">
        <f aca="false">IF(AD89&lt;L89,"PASSARO","ATUAL")</f>
        <v>PASSARO</v>
      </c>
      <c r="AH89" s="22" t="str">
        <f aca="false">IF(P89&lt;&gt;A89,"Faixa cadastrada como "&amp;P89&amp;" na tabela; preço aplicado pela UF do CEP","")</f>
        <v/>
      </c>
      <c r="AI89" s="26" t="n">
        <v>185.96</v>
      </c>
      <c r="AJ89" s="22" t="str">
        <f aca="false">INDEX('Tabela Passaro'!$X$2:$X$1795,$N89)</f>
        <v>CAPITAL</v>
      </c>
    </row>
    <row r="90" customFormat="false" ht="15" hidden="false" customHeight="false" outlineLevel="0" collapsed="false">
      <c r="A90" s="22" t="s">
        <v>15</v>
      </c>
      <c r="B90" s="22" t="n">
        <v>1</v>
      </c>
      <c r="C90" s="22" t="s">
        <v>59</v>
      </c>
      <c r="D90" s="22" t="s">
        <v>30</v>
      </c>
      <c r="E90" s="22" t="s">
        <v>20</v>
      </c>
      <c r="F90" s="22" t="n">
        <v>840671</v>
      </c>
      <c r="G90" s="30" t="n">
        <v>46265</v>
      </c>
      <c r="H90" s="22" t="n">
        <v>32875</v>
      </c>
      <c r="I90" s="22" t="s">
        <v>7413</v>
      </c>
      <c r="J90" s="31" t="n">
        <v>45.4</v>
      </c>
      <c r="K90" s="26" t="n">
        <v>607.77</v>
      </c>
      <c r="L90" s="26" t="n">
        <v>140.94</v>
      </c>
      <c r="M90" s="22" t="s">
        <v>283</v>
      </c>
      <c r="N90" s="22" t="n">
        <f aca="false">MATCH(M90,'Tabela Passaro'!$A$2:$A$1795,0)</f>
        <v>1</v>
      </c>
      <c r="O90" s="22" t="str">
        <f aca="false">INDEX('Tabela Passaro'!$C$2:$C$1795,$N90)</f>
        <v>MACEIO</v>
      </c>
      <c r="P90" s="22" t="str">
        <f aca="false">INDEX('Tabela Passaro'!$B$2:$B$1795,$N90)</f>
        <v>AL</v>
      </c>
      <c r="Q90" s="22" t="n">
        <f aca="false">INDEX('Tabela Passaro'!$F$2:$F$1795,$N90)</f>
        <v>8</v>
      </c>
      <c r="R90" s="32" t="n">
        <f aca="false">IF(J90&lt;=10,INDEX('Tabela Passaro'!$G$2:$G$1795,$N90),IF(J90&lt;=30,INDEX('Tabela Passaro'!$H$2:$H$1795,$N90),IF(J90&lt;=50,INDEX('Tabela Passaro'!$I$2:$I$1795,$N90),IF(J90&lt;=70,INDEX('Tabela Passaro'!$J$2:$J$1795,$N90),IF(J90&lt;=100,INDEX('Tabela Passaro'!$K$2:$K$1795,$N90),INDEX('Tabela Passaro'!$K$2:$K$1795,$N90)+(J90-100)*INDEX('Tabela Passaro'!$L$2:$L$1795,$N90))))))</f>
        <v>77.96</v>
      </c>
      <c r="S90" s="32" t="n">
        <f aca="false">K90*INDEX('Tabela Passaro'!$M$2:$M$1795,$N90)</f>
        <v>3.03885</v>
      </c>
      <c r="T90" s="32" t="n">
        <f aca="false">K90*INDEX('Tabela Passaro'!$N$2:$N$1795,$N90)</f>
        <v>1.21554</v>
      </c>
      <c r="U90" s="32" t="n">
        <f aca="false">INDEX('Tabela Passaro'!$O$2:$O$1795,$N90)</f>
        <v>5</v>
      </c>
      <c r="V90" s="32" t="n">
        <f aca="false">ROUNDUP(J90/INDEX('Tabela Passaro'!$Q$2:$Q$1795,$N90),0)*INDEX('Tabela Passaro'!$P$2:$P$1795,$N90)</f>
        <v>5</v>
      </c>
      <c r="W90" s="32" t="n">
        <f aca="false">INDEX('Tabela Passaro'!$R$2:$R$1795,$N90)</f>
        <v>30</v>
      </c>
      <c r="X90" s="32" t="n">
        <f aca="false">ROUNDUP(J90/INDEX('Tabela Passaro'!$T$2:$T$1795,$N90),0)*INDEX('Tabela Passaro'!$S$2:$S$1795,$N90)</f>
        <v>0</v>
      </c>
      <c r="Y90" s="32" t="n">
        <f aca="false">INDEX('Tabela Passaro'!$U$2:$U$1795,$N90)</f>
        <v>0</v>
      </c>
      <c r="Z90" s="32" t="n">
        <f aca="false">INDEX('Tabela Passaro'!$V$2:$V$1795,$N90)</f>
        <v>0</v>
      </c>
      <c r="AA90" s="32" t="n">
        <f aca="false">SUM(R90:Z90)</f>
        <v>122.21439</v>
      </c>
      <c r="AB90" s="33" t="n">
        <f aca="false">INDEX(Premissas!$B$5:$B$13,MATCH(A90,Premissas!$A$5:$A$13,0))</f>
        <v>0.07</v>
      </c>
      <c r="AC90" s="32" t="n">
        <f aca="false">AA90/(1-AB90)-AA90</f>
        <v>9.19893258064518</v>
      </c>
      <c r="AD90" s="32" t="n">
        <f aca="false">ROUND(AA90+AC90,2)</f>
        <v>131.41</v>
      </c>
      <c r="AE90" s="32" t="n">
        <f aca="false">AD90-L90</f>
        <v>-9.53</v>
      </c>
      <c r="AF90" s="34" t="n">
        <f aca="false">IF(L90=0,0,AE90/L90)</f>
        <v>-0.0676174258549738</v>
      </c>
      <c r="AG90" s="22" t="str">
        <f aca="false">IF(AD90&lt;L90,"PASSARO","ATUAL")</f>
        <v>PASSARO</v>
      </c>
      <c r="AH90" s="22" t="str">
        <f aca="false">IF(P90&lt;&gt;A90,"Faixa cadastrada como "&amp;P90&amp;" na tabela; preço aplicado pela UF do CEP","")</f>
        <v/>
      </c>
      <c r="AI90" s="26" t="n">
        <v>165.14</v>
      </c>
      <c r="AJ90" s="22" t="str">
        <f aca="false">INDEX('Tabela Passaro'!$X$2:$X$1795,$N90)</f>
        <v>CAPITAL</v>
      </c>
    </row>
    <row r="91" customFormat="false" ht="15" hidden="false" customHeight="false" outlineLevel="0" collapsed="false">
      <c r="A91" s="22" t="s">
        <v>15</v>
      </c>
      <c r="B91" s="22" t="n">
        <v>1</v>
      </c>
      <c r="C91" s="22" t="s">
        <v>59</v>
      </c>
      <c r="D91" s="22" t="s">
        <v>30</v>
      </c>
      <c r="E91" s="22" t="s">
        <v>7399</v>
      </c>
      <c r="F91" s="22" t="n">
        <v>262330</v>
      </c>
      <c r="G91" s="30" t="n">
        <v>46265</v>
      </c>
      <c r="H91" s="22" t="n">
        <v>615325</v>
      </c>
      <c r="I91" s="22" t="s">
        <v>7414</v>
      </c>
      <c r="J91" s="31" t="n">
        <v>107.7</v>
      </c>
      <c r="K91" s="26" t="n">
        <v>1813.98</v>
      </c>
      <c r="L91" s="26" t="n">
        <v>352.69</v>
      </c>
      <c r="M91" s="22" t="s">
        <v>283</v>
      </c>
      <c r="N91" s="22" t="n">
        <f aca="false">MATCH(M91,'Tabela Passaro'!$A$2:$A$1795,0)</f>
        <v>1</v>
      </c>
      <c r="O91" s="22" t="str">
        <f aca="false">INDEX('Tabela Passaro'!$C$2:$C$1795,$N91)</f>
        <v>MACEIO</v>
      </c>
      <c r="P91" s="22" t="str">
        <f aca="false">INDEX('Tabela Passaro'!$B$2:$B$1795,$N91)</f>
        <v>AL</v>
      </c>
      <c r="Q91" s="22" t="n">
        <f aca="false">INDEX('Tabela Passaro'!$F$2:$F$1795,$N91)</f>
        <v>8</v>
      </c>
      <c r="R91" s="32" t="n">
        <f aca="false">IF(J91&lt;=10,INDEX('Tabela Passaro'!$G$2:$G$1795,$N91),IF(J91&lt;=30,INDEX('Tabela Passaro'!$H$2:$H$1795,$N91),IF(J91&lt;=50,INDEX('Tabela Passaro'!$I$2:$I$1795,$N91),IF(J91&lt;=70,INDEX('Tabela Passaro'!$J$2:$J$1795,$N91),IF(J91&lt;=100,INDEX('Tabela Passaro'!$K$2:$K$1795,$N91),INDEX('Tabela Passaro'!$K$2:$K$1795,$N91)+(J91-100)*INDEX('Tabela Passaro'!$L$2:$L$1795,$N91))))))</f>
        <v>117.06</v>
      </c>
      <c r="S91" s="32" t="n">
        <f aca="false">K91*INDEX('Tabela Passaro'!$M$2:$M$1795,$N91)</f>
        <v>9.0699</v>
      </c>
      <c r="T91" s="32" t="n">
        <f aca="false">K91*INDEX('Tabela Passaro'!$N$2:$N$1795,$N91)</f>
        <v>3.62796</v>
      </c>
      <c r="U91" s="32" t="n">
        <f aca="false">INDEX('Tabela Passaro'!$O$2:$O$1795,$N91)</f>
        <v>5</v>
      </c>
      <c r="V91" s="32" t="n">
        <f aca="false">ROUNDUP(J91/INDEX('Tabela Passaro'!$Q$2:$Q$1795,$N91),0)*INDEX('Tabela Passaro'!$P$2:$P$1795,$N91)</f>
        <v>10</v>
      </c>
      <c r="W91" s="32" t="n">
        <f aca="false">INDEX('Tabela Passaro'!$R$2:$R$1795,$N91)</f>
        <v>30</v>
      </c>
      <c r="X91" s="32" t="n">
        <f aca="false">ROUNDUP(J91/INDEX('Tabela Passaro'!$T$2:$T$1795,$N91),0)*INDEX('Tabela Passaro'!$S$2:$S$1795,$N91)</f>
        <v>0</v>
      </c>
      <c r="Y91" s="32" t="n">
        <f aca="false">INDEX('Tabela Passaro'!$U$2:$U$1795,$N91)</f>
        <v>0</v>
      </c>
      <c r="Z91" s="32" t="n">
        <f aca="false">INDEX('Tabela Passaro'!$V$2:$V$1795,$N91)</f>
        <v>0</v>
      </c>
      <c r="AA91" s="32" t="n">
        <f aca="false">SUM(R91:Z91)</f>
        <v>174.75786</v>
      </c>
      <c r="AB91" s="33" t="n">
        <f aca="false">INDEX(Premissas!$B$5:$B$13,MATCH(A91,Premissas!$A$5:$A$13,0))</f>
        <v>0.07</v>
      </c>
      <c r="AC91" s="32" t="n">
        <f aca="false">AA91/(1-AB91)-AA91</f>
        <v>13.1538174193549</v>
      </c>
      <c r="AD91" s="32" t="n">
        <f aca="false">ROUND(AA91+AC91,2)</f>
        <v>187.91</v>
      </c>
      <c r="AE91" s="32" t="n">
        <f aca="false">AD91-L91</f>
        <v>-164.78</v>
      </c>
      <c r="AF91" s="34" t="n">
        <f aca="false">IF(L91=0,0,AE91/L91)</f>
        <v>-0.467209163854943</v>
      </c>
      <c r="AG91" s="22" t="str">
        <f aca="false">IF(AD91&lt;L91,"PASSARO","ATUAL")</f>
        <v>PASSARO</v>
      </c>
      <c r="AH91" s="22" t="str">
        <f aca="false">IF(P91&lt;&gt;A91,"Faixa cadastrada como "&amp;P91&amp;" na tabela; preço aplicado pela UF do CEP","")</f>
        <v/>
      </c>
      <c r="AI91" s="26" t="n">
        <v>257.49</v>
      </c>
      <c r="AJ91" s="22" t="str">
        <f aca="false">INDEX('Tabela Passaro'!$X$2:$X$1795,$N91)</f>
        <v>CAPITAL</v>
      </c>
    </row>
    <row r="92" customFormat="false" ht="15" hidden="false" customHeight="false" outlineLevel="0" collapsed="false">
      <c r="A92" s="22" t="s">
        <v>15</v>
      </c>
      <c r="B92" s="22" t="n">
        <v>1</v>
      </c>
      <c r="C92" s="22" t="s">
        <v>59</v>
      </c>
      <c r="D92" s="22" t="s">
        <v>31</v>
      </c>
      <c r="E92" s="22" t="s">
        <v>7326</v>
      </c>
      <c r="F92" s="22" t="n">
        <v>111839</v>
      </c>
      <c r="G92" s="30" t="n">
        <v>46238</v>
      </c>
      <c r="H92" s="22" t="n">
        <v>587394</v>
      </c>
      <c r="I92" s="22" t="s">
        <v>7415</v>
      </c>
      <c r="J92" s="31" t="n">
        <v>21.1</v>
      </c>
      <c r="K92" s="26" t="n">
        <v>759.89</v>
      </c>
      <c r="L92" s="26" t="n">
        <v>89.69</v>
      </c>
      <c r="M92" s="22" t="s">
        <v>283</v>
      </c>
      <c r="N92" s="22" t="n">
        <f aca="false">MATCH(M92,'Tabela Passaro'!$A$2:$A$1795,0)</f>
        <v>1</v>
      </c>
      <c r="O92" s="22" t="str">
        <f aca="false">INDEX('Tabela Passaro'!$C$2:$C$1795,$N92)</f>
        <v>MACEIO</v>
      </c>
      <c r="P92" s="22" t="str">
        <f aca="false">INDEX('Tabela Passaro'!$B$2:$B$1795,$N92)</f>
        <v>AL</v>
      </c>
      <c r="Q92" s="22" t="n">
        <f aca="false">INDEX('Tabela Passaro'!$F$2:$F$1795,$N92)</f>
        <v>8</v>
      </c>
      <c r="R92" s="32" t="n">
        <f aca="false">IF(J92&lt;=10,INDEX('Tabela Passaro'!$G$2:$G$1795,$N92),IF(J92&lt;=30,INDEX('Tabela Passaro'!$H$2:$H$1795,$N92),IF(J92&lt;=50,INDEX('Tabela Passaro'!$I$2:$I$1795,$N92),IF(J92&lt;=70,INDEX('Tabela Passaro'!$J$2:$J$1795,$N92),IF(J92&lt;=100,INDEX('Tabela Passaro'!$K$2:$K$1795,$N92),INDEX('Tabela Passaro'!$K$2:$K$1795,$N92)+(J92-100)*INDEX('Tabela Passaro'!$L$2:$L$1795,$N92))))))</f>
        <v>66.94</v>
      </c>
      <c r="S92" s="32" t="n">
        <f aca="false">K92*INDEX('Tabela Passaro'!$M$2:$M$1795,$N92)</f>
        <v>3.79945</v>
      </c>
      <c r="T92" s="32" t="n">
        <f aca="false">K92*INDEX('Tabela Passaro'!$N$2:$N$1795,$N92)</f>
        <v>1.51978</v>
      </c>
      <c r="U92" s="32" t="n">
        <f aca="false">INDEX('Tabela Passaro'!$O$2:$O$1795,$N92)</f>
        <v>5</v>
      </c>
      <c r="V92" s="32" t="n">
        <f aca="false">ROUNDUP(J92/INDEX('Tabela Passaro'!$Q$2:$Q$1795,$N92),0)*INDEX('Tabela Passaro'!$P$2:$P$1795,$N92)</f>
        <v>5</v>
      </c>
      <c r="W92" s="32" t="n">
        <f aca="false">INDEX('Tabela Passaro'!$R$2:$R$1795,$N92)</f>
        <v>30</v>
      </c>
      <c r="X92" s="32" t="n">
        <f aca="false">ROUNDUP(J92/INDEX('Tabela Passaro'!$T$2:$T$1795,$N92),0)*INDEX('Tabela Passaro'!$S$2:$S$1795,$N92)</f>
        <v>0</v>
      </c>
      <c r="Y92" s="32" t="n">
        <f aca="false">INDEX('Tabela Passaro'!$U$2:$U$1795,$N92)</f>
        <v>0</v>
      </c>
      <c r="Z92" s="32" t="n">
        <f aca="false">INDEX('Tabela Passaro'!$V$2:$V$1795,$N92)</f>
        <v>0</v>
      </c>
      <c r="AA92" s="32" t="n">
        <f aca="false">SUM(R92:Z92)</f>
        <v>112.25923</v>
      </c>
      <c r="AB92" s="33" t="n">
        <f aca="false">INDEX(Premissas!$B$5:$B$13,MATCH(A92,Premissas!$A$5:$A$13,0))</f>
        <v>0.07</v>
      </c>
      <c r="AC92" s="32" t="n">
        <f aca="false">AA92/(1-AB92)-AA92</f>
        <v>8.4496194623656</v>
      </c>
      <c r="AD92" s="32" t="n">
        <f aca="false">ROUND(AA92+AC92,2)</f>
        <v>120.71</v>
      </c>
      <c r="AE92" s="32" t="n">
        <f aca="false">AD92-L92</f>
        <v>31.02</v>
      </c>
      <c r="AF92" s="34" t="n">
        <f aca="false">IF(L92=0,0,AE92/L92)</f>
        <v>0.34585795517895</v>
      </c>
      <c r="AG92" s="22" t="str">
        <f aca="false">IF(AD92&lt;L92,"PASSARO","ATUAL")</f>
        <v>ATUAL</v>
      </c>
      <c r="AH92" s="22" t="str">
        <f aca="false">IF(P92&lt;&gt;A92,"Faixa cadastrada como "&amp;P92&amp;" na tabela; preço aplicado pela UF do CEP","")</f>
        <v/>
      </c>
      <c r="AI92" s="26" t="n">
        <v>142.47</v>
      </c>
      <c r="AJ92" s="22" t="str">
        <f aca="false">INDEX('Tabela Passaro'!$X$2:$X$1795,$N92)</f>
        <v>CAPITAL</v>
      </c>
    </row>
    <row r="93" customFormat="false" ht="15" hidden="false" customHeight="false" outlineLevel="0" collapsed="false">
      <c r="A93" s="22" t="s">
        <v>15</v>
      </c>
      <c r="B93" s="22" t="n">
        <v>1</v>
      </c>
      <c r="C93" s="22" t="s">
        <v>59</v>
      </c>
      <c r="D93" s="22" t="s">
        <v>31</v>
      </c>
      <c r="E93" s="22" t="s">
        <v>7326</v>
      </c>
      <c r="F93" s="22" t="n">
        <v>12730334</v>
      </c>
      <c r="G93" s="30" t="n">
        <v>46238</v>
      </c>
      <c r="H93" s="22" t="n">
        <v>620321</v>
      </c>
      <c r="I93" s="22" t="s">
        <v>7416</v>
      </c>
      <c r="J93" s="31" t="n">
        <v>17.2</v>
      </c>
      <c r="K93" s="26" t="n">
        <v>297.07</v>
      </c>
      <c r="L93" s="26" t="n">
        <v>61.72</v>
      </c>
      <c r="M93" s="22" t="s">
        <v>283</v>
      </c>
      <c r="N93" s="22" t="n">
        <f aca="false">MATCH(M93,'Tabela Passaro'!$A$2:$A$1795,0)</f>
        <v>1</v>
      </c>
      <c r="O93" s="22" t="str">
        <f aca="false">INDEX('Tabela Passaro'!$C$2:$C$1795,$N93)</f>
        <v>MACEIO</v>
      </c>
      <c r="P93" s="22" t="str">
        <f aca="false">INDEX('Tabela Passaro'!$B$2:$B$1795,$N93)</f>
        <v>AL</v>
      </c>
      <c r="Q93" s="22" t="n">
        <f aca="false">INDEX('Tabela Passaro'!$F$2:$F$1795,$N93)</f>
        <v>8</v>
      </c>
      <c r="R93" s="32" t="n">
        <f aca="false">IF(J93&lt;=10,INDEX('Tabela Passaro'!$G$2:$G$1795,$N93),IF(J93&lt;=30,INDEX('Tabela Passaro'!$H$2:$H$1795,$N93),IF(J93&lt;=50,INDEX('Tabela Passaro'!$I$2:$I$1795,$N93),IF(J93&lt;=70,INDEX('Tabela Passaro'!$J$2:$J$1795,$N93),IF(J93&lt;=100,INDEX('Tabela Passaro'!$K$2:$K$1795,$N93),INDEX('Tabela Passaro'!$K$2:$K$1795,$N93)+(J93-100)*INDEX('Tabela Passaro'!$L$2:$L$1795,$N93))))))</f>
        <v>66.94</v>
      </c>
      <c r="S93" s="32" t="n">
        <f aca="false">K93*INDEX('Tabela Passaro'!$M$2:$M$1795,$N93)</f>
        <v>1.48535</v>
      </c>
      <c r="T93" s="32" t="n">
        <f aca="false">K93*INDEX('Tabela Passaro'!$N$2:$N$1795,$N93)</f>
        <v>0.59414</v>
      </c>
      <c r="U93" s="32" t="n">
        <f aca="false">INDEX('Tabela Passaro'!$O$2:$O$1795,$N93)</f>
        <v>5</v>
      </c>
      <c r="V93" s="32" t="n">
        <f aca="false">ROUNDUP(J93/INDEX('Tabela Passaro'!$Q$2:$Q$1795,$N93),0)*INDEX('Tabela Passaro'!$P$2:$P$1795,$N93)</f>
        <v>5</v>
      </c>
      <c r="W93" s="32" t="n">
        <f aca="false">INDEX('Tabela Passaro'!$R$2:$R$1795,$N93)</f>
        <v>30</v>
      </c>
      <c r="X93" s="32" t="n">
        <f aca="false">ROUNDUP(J93/INDEX('Tabela Passaro'!$T$2:$T$1795,$N93),0)*INDEX('Tabela Passaro'!$S$2:$S$1795,$N93)</f>
        <v>0</v>
      </c>
      <c r="Y93" s="32" t="n">
        <f aca="false">INDEX('Tabela Passaro'!$U$2:$U$1795,$N93)</f>
        <v>0</v>
      </c>
      <c r="Z93" s="32" t="n">
        <f aca="false">INDEX('Tabela Passaro'!$V$2:$V$1795,$N93)</f>
        <v>0</v>
      </c>
      <c r="AA93" s="32" t="n">
        <f aca="false">SUM(R93:Z93)</f>
        <v>109.01949</v>
      </c>
      <c r="AB93" s="33" t="n">
        <f aca="false">INDEX(Premissas!$B$5:$B$13,MATCH(A93,Premissas!$A$5:$A$13,0))</f>
        <v>0.07</v>
      </c>
      <c r="AC93" s="32" t="n">
        <f aca="false">AA93/(1-AB93)-AA93</f>
        <v>8.20576806451614</v>
      </c>
      <c r="AD93" s="32" t="n">
        <f aca="false">ROUND(AA93+AC93,2)</f>
        <v>117.23</v>
      </c>
      <c r="AE93" s="32" t="n">
        <f aca="false">AD93-L93</f>
        <v>55.51</v>
      </c>
      <c r="AF93" s="34" t="n">
        <f aca="false">IF(L93=0,0,AE93/L93)</f>
        <v>0.899384316267012</v>
      </c>
      <c r="AG93" s="22" t="str">
        <f aca="false">IF(AD93&lt;L93,"PASSARO","ATUAL")</f>
        <v>ATUAL</v>
      </c>
      <c r="AH93" s="22" t="str">
        <f aca="false">IF(P93&lt;&gt;A93,"Faixa cadastrada como "&amp;P93&amp;" na tabela; preço aplicado pela UF do CEP","")</f>
        <v/>
      </c>
      <c r="AI93" s="26" t="n">
        <v>136.06</v>
      </c>
      <c r="AJ93" s="22" t="str">
        <f aca="false">INDEX('Tabela Passaro'!$X$2:$X$1795,$N93)</f>
        <v>CAPITAL</v>
      </c>
    </row>
    <row r="94" customFormat="false" ht="15" hidden="false" customHeight="false" outlineLevel="0" collapsed="false">
      <c r="A94" s="22" t="s">
        <v>15</v>
      </c>
      <c r="B94" s="22" t="n">
        <v>1</v>
      </c>
      <c r="C94" s="22" t="s">
        <v>59</v>
      </c>
      <c r="D94" s="22" t="s">
        <v>31</v>
      </c>
      <c r="E94" s="22" t="s">
        <v>7326</v>
      </c>
      <c r="F94" s="22" t="n">
        <v>12736890</v>
      </c>
      <c r="G94" s="30" t="n">
        <v>46239</v>
      </c>
      <c r="H94" s="22" t="n">
        <v>620602</v>
      </c>
      <c r="I94" s="22" t="s">
        <v>7417</v>
      </c>
      <c r="J94" s="31" t="n">
        <v>19.4</v>
      </c>
      <c r="K94" s="26" t="n">
        <v>424.27</v>
      </c>
      <c r="L94" s="26" t="n">
        <v>77.17</v>
      </c>
      <c r="M94" s="22" t="s">
        <v>283</v>
      </c>
      <c r="N94" s="22" t="n">
        <f aca="false">MATCH(M94,'Tabela Passaro'!$A$2:$A$1795,0)</f>
        <v>1</v>
      </c>
      <c r="O94" s="22" t="str">
        <f aca="false">INDEX('Tabela Passaro'!$C$2:$C$1795,$N94)</f>
        <v>MACEIO</v>
      </c>
      <c r="P94" s="22" t="str">
        <f aca="false">INDEX('Tabela Passaro'!$B$2:$B$1795,$N94)</f>
        <v>AL</v>
      </c>
      <c r="Q94" s="22" t="n">
        <f aca="false">INDEX('Tabela Passaro'!$F$2:$F$1795,$N94)</f>
        <v>8</v>
      </c>
      <c r="R94" s="32" t="n">
        <f aca="false">IF(J94&lt;=10,INDEX('Tabela Passaro'!$G$2:$G$1795,$N94),IF(J94&lt;=30,INDEX('Tabela Passaro'!$H$2:$H$1795,$N94),IF(J94&lt;=50,INDEX('Tabela Passaro'!$I$2:$I$1795,$N94),IF(J94&lt;=70,INDEX('Tabela Passaro'!$J$2:$J$1795,$N94),IF(J94&lt;=100,INDEX('Tabela Passaro'!$K$2:$K$1795,$N94),INDEX('Tabela Passaro'!$K$2:$K$1795,$N94)+(J94-100)*INDEX('Tabela Passaro'!$L$2:$L$1795,$N94))))))</f>
        <v>66.94</v>
      </c>
      <c r="S94" s="32" t="n">
        <f aca="false">K94*INDEX('Tabela Passaro'!$M$2:$M$1795,$N94)</f>
        <v>2.12135</v>
      </c>
      <c r="T94" s="32" t="n">
        <f aca="false">K94*INDEX('Tabela Passaro'!$N$2:$N$1795,$N94)</f>
        <v>0.84854</v>
      </c>
      <c r="U94" s="32" t="n">
        <f aca="false">INDEX('Tabela Passaro'!$O$2:$O$1795,$N94)</f>
        <v>5</v>
      </c>
      <c r="V94" s="32" t="n">
        <f aca="false">ROUNDUP(J94/INDEX('Tabela Passaro'!$Q$2:$Q$1795,$N94),0)*INDEX('Tabela Passaro'!$P$2:$P$1795,$N94)</f>
        <v>5</v>
      </c>
      <c r="W94" s="32" t="n">
        <f aca="false">INDEX('Tabela Passaro'!$R$2:$R$1795,$N94)</f>
        <v>30</v>
      </c>
      <c r="X94" s="32" t="n">
        <f aca="false">ROUNDUP(J94/INDEX('Tabela Passaro'!$T$2:$T$1795,$N94),0)*INDEX('Tabela Passaro'!$S$2:$S$1795,$N94)</f>
        <v>0</v>
      </c>
      <c r="Y94" s="32" t="n">
        <f aca="false">INDEX('Tabela Passaro'!$U$2:$U$1795,$N94)</f>
        <v>0</v>
      </c>
      <c r="Z94" s="32" t="n">
        <f aca="false">INDEX('Tabela Passaro'!$V$2:$V$1795,$N94)</f>
        <v>0</v>
      </c>
      <c r="AA94" s="32" t="n">
        <f aca="false">SUM(R94:Z94)</f>
        <v>109.90989</v>
      </c>
      <c r="AB94" s="33" t="n">
        <f aca="false">INDEX(Premissas!$B$5:$B$13,MATCH(A94,Premissas!$A$5:$A$13,0))</f>
        <v>0.07</v>
      </c>
      <c r="AC94" s="32" t="n">
        <f aca="false">AA94/(1-AB94)-AA94</f>
        <v>8.27278741935484</v>
      </c>
      <c r="AD94" s="32" t="n">
        <f aca="false">ROUND(AA94+AC94,2)</f>
        <v>118.18</v>
      </c>
      <c r="AE94" s="32" t="n">
        <f aca="false">AD94-L94</f>
        <v>41.01</v>
      </c>
      <c r="AF94" s="34" t="n">
        <f aca="false">IF(L94=0,0,AE94/L94)</f>
        <v>0.531424128547363</v>
      </c>
      <c r="AG94" s="22" t="str">
        <f aca="false">IF(AD94&lt;L94,"PASSARO","ATUAL")</f>
        <v>ATUAL</v>
      </c>
      <c r="AH94" s="22" t="str">
        <f aca="false">IF(P94&lt;&gt;A94,"Faixa cadastrada como "&amp;P94&amp;" na tabela; preço aplicado pela UF do CEP","")</f>
        <v/>
      </c>
      <c r="AI94" s="26" t="n">
        <v>138.26</v>
      </c>
      <c r="AJ94" s="22" t="str">
        <f aca="false">INDEX('Tabela Passaro'!$X$2:$X$1795,$N94)</f>
        <v>CAPITAL</v>
      </c>
    </row>
    <row r="95" customFormat="false" ht="15" hidden="false" customHeight="false" outlineLevel="0" collapsed="false">
      <c r="A95" s="22" t="s">
        <v>15</v>
      </c>
      <c r="B95" s="22" t="n">
        <v>1</v>
      </c>
      <c r="C95" s="22" t="s">
        <v>59</v>
      </c>
      <c r="D95" s="22" t="s">
        <v>31</v>
      </c>
      <c r="E95" s="22" t="s">
        <v>7326</v>
      </c>
      <c r="F95" s="22" t="n">
        <v>12749547</v>
      </c>
      <c r="G95" s="30" t="n">
        <v>46241</v>
      </c>
      <c r="H95" s="22" t="n">
        <v>621447</v>
      </c>
      <c r="I95" s="22" t="s">
        <v>7418</v>
      </c>
      <c r="J95" s="31" t="n">
        <v>22.4</v>
      </c>
      <c r="K95" s="26" t="n">
        <v>728.64</v>
      </c>
      <c r="L95" s="26" t="n">
        <v>90.11</v>
      </c>
      <c r="M95" s="22" t="s">
        <v>283</v>
      </c>
      <c r="N95" s="22" t="n">
        <f aca="false">MATCH(M95,'Tabela Passaro'!$A$2:$A$1795,0)</f>
        <v>1</v>
      </c>
      <c r="O95" s="22" t="str">
        <f aca="false">INDEX('Tabela Passaro'!$C$2:$C$1795,$N95)</f>
        <v>MACEIO</v>
      </c>
      <c r="P95" s="22" t="str">
        <f aca="false">INDEX('Tabela Passaro'!$B$2:$B$1795,$N95)</f>
        <v>AL</v>
      </c>
      <c r="Q95" s="22" t="n">
        <f aca="false">INDEX('Tabela Passaro'!$F$2:$F$1795,$N95)</f>
        <v>8</v>
      </c>
      <c r="R95" s="32" t="n">
        <f aca="false">IF(J95&lt;=10,INDEX('Tabela Passaro'!$G$2:$G$1795,$N95),IF(J95&lt;=30,INDEX('Tabela Passaro'!$H$2:$H$1795,$N95),IF(J95&lt;=50,INDEX('Tabela Passaro'!$I$2:$I$1795,$N95),IF(J95&lt;=70,INDEX('Tabela Passaro'!$J$2:$J$1795,$N95),IF(J95&lt;=100,INDEX('Tabela Passaro'!$K$2:$K$1795,$N95),INDEX('Tabela Passaro'!$K$2:$K$1795,$N95)+(J95-100)*INDEX('Tabela Passaro'!$L$2:$L$1795,$N95))))))</f>
        <v>66.94</v>
      </c>
      <c r="S95" s="32" t="n">
        <f aca="false">K95*INDEX('Tabela Passaro'!$M$2:$M$1795,$N95)</f>
        <v>3.6432</v>
      </c>
      <c r="T95" s="32" t="n">
        <f aca="false">K95*INDEX('Tabela Passaro'!$N$2:$N$1795,$N95)</f>
        <v>1.45728</v>
      </c>
      <c r="U95" s="32" t="n">
        <f aca="false">INDEX('Tabela Passaro'!$O$2:$O$1795,$N95)</f>
        <v>5</v>
      </c>
      <c r="V95" s="32" t="n">
        <f aca="false">ROUNDUP(J95/INDEX('Tabela Passaro'!$Q$2:$Q$1795,$N95),0)*INDEX('Tabela Passaro'!$P$2:$P$1795,$N95)</f>
        <v>5</v>
      </c>
      <c r="W95" s="32" t="n">
        <f aca="false">INDEX('Tabela Passaro'!$R$2:$R$1795,$N95)</f>
        <v>30</v>
      </c>
      <c r="X95" s="32" t="n">
        <f aca="false">ROUNDUP(J95/INDEX('Tabela Passaro'!$T$2:$T$1795,$N95),0)*INDEX('Tabela Passaro'!$S$2:$S$1795,$N95)</f>
        <v>0</v>
      </c>
      <c r="Y95" s="32" t="n">
        <f aca="false">INDEX('Tabela Passaro'!$U$2:$U$1795,$N95)</f>
        <v>0</v>
      </c>
      <c r="Z95" s="32" t="n">
        <f aca="false">INDEX('Tabela Passaro'!$V$2:$V$1795,$N95)</f>
        <v>0</v>
      </c>
      <c r="AA95" s="32" t="n">
        <f aca="false">SUM(R95:Z95)</f>
        <v>112.04048</v>
      </c>
      <c r="AB95" s="33" t="n">
        <f aca="false">INDEX(Premissas!$B$5:$B$13,MATCH(A95,Premissas!$A$5:$A$13,0))</f>
        <v>0.07</v>
      </c>
      <c r="AC95" s="32" t="n">
        <f aca="false">AA95/(1-AB95)-AA95</f>
        <v>8.43315440860216</v>
      </c>
      <c r="AD95" s="32" t="n">
        <f aca="false">ROUND(AA95+AC95,2)</f>
        <v>120.47</v>
      </c>
      <c r="AE95" s="32" t="n">
        <f aca="false">AD95-L95</f>
        <v>30.36</v>
      </c>
      <c r="AF95" s="34" t="n">
        <f aca="false">IF(L95=0,0,AE95/L95)</f>
        <v>0.336921540339585</v>
      </c>
      <c r="AG95" s="22" t="str">
        <f aca="false">IF(AD95&lt;L95,"PASSARO","ATUAL")</f>
        <v>ATUAL</v>
      </c>
      <c r="AH95" s="22" t="str">
        <f aca="false">IF(P95&lt;&gt;A95,"Faixa cadastrada como "&amp;P95&amp;" na tabela; preço aplicado pela UF do CEP","")</f>
        <v/>
      </c>
      <c r="AI95" s="26" t="n">
        <v>142.65</v>
      </c>
      <c r="AJ95" s="22" t="str">
        <f aca="false">INDEX('Tabela Passaro'!$X$2:$X$1795,$N95)</f>
        <v>CAPITAL</v>
      </c>
    </row>
    <row r="96" customFormat="false" ht="15" hidden="false" customHeight="false" outlineLevel="0" collapsed="false">
      <c r="A96" s="22" t="s">
        <v>15</v>
      </c>
      <c r="B96" s="22" t="n">
        <v>1</v>
      </c>
      <c r="C96" s="22" t="s">
        <v>59</v>
      </c>
      <c r="D96" s="22" t="s">
        <v>31</v>
      </c>
      <c r="E96" s="22" t="s">
        <v>7326</v>
      </c>
      <c r="F96" s="22" t="n">
        <v>12765968</v>
      </c>
      <c r="G96" s="30" t="n">
        <v>46245</v>
      </c>
      <c r="H96" s="22" t="n">
        <v>622635</v>
      </c>
      <c r="I96" s="22" t="s">
        <v>7331</v>
      </c>
      <c r="J96" s="31" t="n">
        <v>22.4</v>
      </c>
      <c r="K96" s="26" t="n">
        <v>521.16</v>
      </c>
      <c r="L96" s="26" t="n">
        <v>88.25</v>
      </c>
      <c r="M96" s="22" t="s">
        <v>283</v>
      </c>
      <c r="N96" s="22" t="n">
        <f aca="false">MATCH(M96,'Tabela Passaro'!$A$2:$A$1795,0)</f>
        <v>1</v>
      </c>
      <c r="O96" s="22" t="str">
        <f aca="false">INDEX('Tabela Passaro'!$C$2:$C$1795,$N96)</f>
        <v>MACEIO</v>
      </c>
      <c r="P96" s="22" t="str">
        <f aca="false">INDEX('Tabela Passaro'!$B$2:$B$1795,$N96)</f>
        <v>AL</v>
      </c>
      <c r="Q96" s="22" t="n">
        <f aca="false">INDEX('Tabela Passaro'!$F$2:$F$1795,$N96)</f>
        <v>8</v>
      </c>
      <c r="R96" s="32" t="n">
        <f aca="false">IF(J96&lt;=10,INDEX('Tabela Passaro'!$G$2:$G$1795,$N96),IF(J96&lt;=30,INDEX('Tabela Passaro'!$H$2:$H$1795,$N96),IF(J96&lt;=50,INDEX('Tabela Passaro'!$I$2:$I$1795,$N96),IF(J96&lt;=70,INDEX('Tabela Passaro'!$J$2:$J$1795,$N96),IF(J96&lt;=100,INDEX('Tabela Passaro'!$K$2:$K$1795,$N96),INDEX('Tabela Passaro'!$K$2:$K$1795,$N96)+(J96-100)*INDEX('Tabela Passaro'!$L$2:$L$1795,$N96))))))</f>
        <v>66.94</v>
      </c>
      <c r="S96" s="32" t="n">
        <f aca="false">K96*INDEX('Tabela Passaro'!$M$2:$M$1795,$N96)</f>
        <v>2.6058</v>
      </c>
      <c r="T96" s="32" t="n">
        <f aca="false">K96*INDEX('Tabela Passaro'!$N$2:$N$1795,$N96)</f>
        <v>1.04232</v>
      </c>
      <c r="U96" s="32" t="n">
        <f aca="false">INDEX('Tabela Passaro'!$O$2:$O$1795,$N96)</f>
        <v>5</v>
      </c>
      <c r="V96" s="32" t="n">
        <f aca="false">ROUNDUP(J96/INDEX('Tabela Passaro'!$Q$2:$Q$1795,$N96),0)*INDEX('Tabela Passaro'!$P$2:$P$1795,$N96)</f>
        <v>5</v>
      </c>
      <c r="W96" s="32" t="n">
        <f aca="false">INDEX('Tabela Passaro'!$R$2:$R$1795,$N96)</f>
        <v>30</v>
      </c>
      <c r="X96" s="32" t="n">
        <f aca="false">ROUNDUP(J96/INDEX('Tabela Passaro'!$T$2:$T$1795,$N96),0)*INDEX('Tabela Passaro'!$S$2:$S$1795,$N96)</f>
        <v>0</v>
      </c>
      <c r="Y96" s="32" t="n">
        <f aca="false">INDEX('Tabela Passaro'!$U$2:$U$1795,$N96)</f>
        <v>0</v>
      </c>
      <c r="Z96" s="32" t="n">
        <f aca="false">INDEX('Tabela Passaro'!$V$2:$V$1795,$N96)</f>
        <v>0</v>
      </c>
      <c r="AA96" s="32" t="n">
        <f aca="false">SUM(R96:Z96)</f>
        <v>110.58812</v>
      </c>
      <c r="AB96" s="33" t="n">
        <f aca="false">INDEX(Premissas!$B$5:$B$13,MATCH(A96,Premissas!$A$5:$A$13,0))</f>
        <v>0.07</v>
      </c>
      <c r="AC96" s="32" t="n">
        <f aca="false">AA96/(1-AB96)-AA96</f>
        <v>8.32383698924733</v>
      </c>
      <c r="AD96" s="32" t="n">
        <f aca="false">ROUND(AA96+AC96,2)</f>
        <v>118.91</v>
      </c>
      <c r="AE96" s="32" t="n">
        <f aca="false">AD96-L96</f>
        <v>30.66</v>
      </c>
      <c r="AF96" s="34" t="n">
        <f aca="false">IF(L96=0,0,AE96/L96)</f>
        <v>0.34742209631728</v>
      </c>
      <c r="AG96" s="22" t="str">
        <f aca="false">IF(AD96&lt;L96,"PASSARO","ATUAL")</f>
        <v>ATUAL</v>
      </c>
      <c r="AH96" s="22" t="str">
        <f aca="false">IF(P96&lt;&gt;A96,"Faixa cadastrada como "&amp;P96&amp;" na tabela; preço aplicado pela UF do CEP","")</f>
        <v/>
      </c>
      <c r="AI96" s="26" t="n">
        <v>140.65</v>
      </c>
      <c r="AJ96" s="22" t="str">
        <f aca="false">INDEX('Tabela Passaro'!$X$2:$X$1795,$N96)</f>
        <v>CAPITAL</v>
      </c>
    </row>
    <row r="97" customFormat="false" ht="15" hidden="false" customHeight="false" outlineLevel="0" collapsed="false">
      <c r="A97" s="22" t="s">
        <v>15</v>
      </c>
      <c r="B97" s="22" t="n">
        <v>1</v>
      </c>
      <c r="C97" s="22" t="s">
        <v>59</v>
      </c>
      <c r="D97" s="22" t="s">
        <v>31</v>
      </c>
      <c r="E97" s="22" t="s">
        <v>7326</v>
      </c>
      <c r="F97" s="22" t="n">
        <v>12773332</v>
      </c>
      <c r="G97" s="30" t="n">
        <v>46246</v>
      </c>
      <c r="H97" s="22" t="n">
        <v>623435</v>
      </c>
      <c r="I97" s="22" t="s">
        <v>7419</v>
      </c>
      <c r="J97" s="31" t="n">
        <v>22.4</v>
      </c>
      <c r="K97" s="26" t="n">
        <v>474.36</v>
      </c>
      <c r="L97" s="26" t="n">
        <v>87.2</v>
      </c>
      <c r="M97" s="22" t="s">
        <v>283</v>
      </c>
      <c r="N97" s="22" t="n">
        <f aca="false">MATCH(M97,'Tabela Passaro'!$A$2:$A$1795,0)</f>
        <v>1</v>
      </c>
      <c r="O97" s="22" t="str">
        <f aca="false">INDEX('Tabela Passaro'!$C$2:$C$1795,$N97)</f>
        <v>MACEIO</v>
      </c>
      <c r="P97" s="22" t="str">
        <f aca="false">INDEX('Tabela Passaro'!$B$2:$B$1795,$N97)</f>
        <v>AL</v>
      </c>
      <c r="Q97" s="22" t="n">
        <f aca="false">INDEX('Tabela Passaro'!$F$2:$F$1795,$N97)</f>
        <v>8</v>
      </c>
      <c r="R97" s="32" t="n">
        <f aca="false">IF(J97&lt;=10,INDEX('Tabela Passaro'!$G$2:$G$1795,$N97),IF(J97&lt;=30,INDEX('Tabela Passaro'!$H$2:$H$1795,$N97),IF(J97&lt;=50,INDEX('Tabela Passaro'!$I$2:$I$1795,$N97),IF(J97&lt;=70,INDEX('Tabela Passaro'!$J$2:$J$1795,$N97),IF(J97&lt;=100,INDEX('Tabela Passaro'!$K$2:$K$1795,$N97),INDEX('Tabela Passaro'!$K$2:$K$1795,$N97)+(J97-100)*INDEX('Tabela Passaro'!$L$2:$L$1795,$N97))))))</f>
        <v>66.94</v>
      </c>
      <c r="S97" s="32" t="n">
        <f aca="false">K97*INDEX('Tabela Passaro'!$M$2:$M$1795,$N97)</f>
        <v>2.3718</v>
      </c>
      <c r="T97" s="32" t="n">
        <f aca="false">K97*INDEX('Tabela Passaro'!$N$2:$N$1795,$N97)</f>
        <v>0.94872</v>
      </c>
      <c r="U97" s="32" t="n">
        <f aca="false">INDEX('Tabela Passaro'!$O$2:$O$1795,$N97)</f>
        <v>5</v>
      </c>
      <c r="V97" s="32" t="n">
        <f aca="false">ROUNDUP(J97/INDEX('Tabela Passaro'!$Q$2:$Q$1795,$N97),0)*INDEX('Tabela Passaro'!$P$2:$P$1795,$N97)</f>
        <v>5</v>
      </c>
      <c r="W97" s="32" t="n">
        <f aca="false">INDEX('Tabela Passaro'!$R$2:$R$1795,$N97)</f>
        <v>30</v>
      </c>
      <c r="X97" s="32" t="n">
        <f aca="false">ROUNDUP(J97/INDEX('Tabela Passaro'!$T$2:$T$1795,$N97),0)*INDEX('Tabela Passaro'!$S$2:$S$1795,$N97)</f>
        <v>0</v>
      </c>
      <c r="Y97" s="32" t="n">
        <f aca="false">INDEX('Tabela Passaro'!$U$2:$U$1795,$N97)</f>
        <v>0</v>
      </c>
      <c r="Z97" s="32" t="n">
        <f aca="false">INDEX('Tabela Passaro'!$V$2:$V$1795,$N97)</f>
        <v>0</v>
      </c>
      <c r="AA97" s="32" t="n">
        <f aca="false">SUM(R97:Z97)</f>
        <v>110.26052</v>
      </c>
      <c r="AB97" s="33" t="n">
        <f aca="false">INDEX(Premissas!$B$5:$B$13,MATCH(A97,Premissas!$A$5:$A$13,0))</f>
        <v>0.07</v>
      </c>
      <c r="AC97" s="32" t="n">
        <f aca="false">AA97/(1-AB97)-AA97</f>
        <v>8.29917892473119</v>
      </c>
      <c r="AD97" s="32" t="n">
        <f aca="false">ROUND(AA97+AC97,2)</f>
        <v>118.56</v>
      </c>
      <c r="AE97" s="32" t="n">
        <f aca="false">AD97-L97</f>
        <v>31.36</v>
      </c>
      <c r="AF97" s="34" t="n">
        <f aca="false">IF(L97=0,0,AE97/L97)</f>
        <v>0.359633027522936</v>
      </c>
      <c r="AG97" s="22" t="str">
        <f aca="false">IF(AD97&lt;L97,"PASSARO","ATUAL")</f>
        <v>ATUAL</v>
      </c>
      <c r="AH97" s="22" t="str">
        <f aca="false">IF(P97&lt;&gt;A97,"Faixa cadastrada como "&amp;P97&amp;" na tabela; preço aplicado pela UF do CEP","")</f>
        <v/>
      </c>
      <c r="AI97" s="26" t="n">
        <v>140.19</v>
      </c>
      <c r="AJ97" s="22" t="str">
        <f aca="false">INDEX('Tabela Passaro'!$X$2:$X$1795,$N97)</f>
        <v>CAPITAL</v>
      </c>
    </row>
    <row r="98" customFormat="false" ht="15" hidden="false" customHeight="false" outlineLevel="0" collapsed="false">
      <c r="A98" s="22" t="s">
        <v>15</v>
      </c>
      <c r="B98" s="22" t="n">
        <v>1</v>
      </c>
      <c r="C98" s="22" t="s">
        <v>59</v>
      </c>
      <c r="D98" s="22" t="s">
        <v>31</v>
      </c>
      <c r="E98" s="22" t="s">
        <v>7326</v>
      </c>
      <c r="F98" s="22" t="n">
        <v>12773602</v>
      </c>
      <c r="G98" s="30" t="n">
        <v>46246</v>
      </c>
      <c r="H98" s="22" t="n">
        <v>624184</v>
      </c>
      <c r="I98" s="22" t="s">
        <v>7420</v>
      </c>
      <c r="J98" s="31" t="n">
        <v>19.4</v>
      </c>
      <c r="K98" s="26" t="n">
        <v>540.01</v>
      </c>
      <c r="L98" s="26" t="n">
        <v>76.17</v>
      </c>
      <c r="M98" s="22" t="s">
        <v>283</v>
      </c>
      <c r="N98" s="22" t="n">
        <f aca="false">MATCH(M98,'Tabela Passaro'!$A$2:$A$1795,0)</f>
        <v>1</v>
      </c>
      <c r="O98" s="22" t="str">
        <f aca="false">INDEX('Tabela Passaro'!$C$2:$C$1795,$N98)</f>
        <v>MACEIO</v>
      </c>
      <c r="P98" s="22" t="str">
        <f aca="false">INDEX('Tabela Passaro'!$B$2:$B$1795,$N98)</f>
        <v>AL</v>
      </c>
      <c r="Q98" s="22" t="n">
        <f aca="false">INDEX('Tabela Passaro'!$F$2:$F$1795,$N98)</f>
        <v>8</v>
      </c>
      <c r="R98" s="32" t="n">
        <f aca="false">IF(J98&lt;=10,INDEX('Tabela Passaro'!$G$2:$G$1795,$N98),IF(J98&lt;=30,INDEX('Tabela Passaro'!$H$2:$H$1795,$N98),IF(J98&lt;=50,INDEX('Tabela Passaro'!$I$2:$I$1795,$N98),IF(J98&lt;=70,INDEX('Tabela Passaro'!$J$2:$J$1795,$N98),IF(J98&lt;=100,INDEX('Tabela Passaro'!$K$2:$K$1795,$N98),INDEX('Tabela Passaro'!$K$2:$K$1795,$N98)+(J98-100)*INDEX('Tabela Passaro'!$L$2:$L$1795,$N98))))))</f>
        <v>66.94</v>
      </c>
      <c r="S98" s="32" t="n">
        <f aca="false">K98*INDEX('Tabela Passaro'!$M$2:$M$1795,$N98)</f>
        <v>2.70005</v>
      </c>
      <c r="T98" s="32" t="n">
        <f aca="false">K98*INDEX('Tabela Passaro'!$N$2:$N$1795,$N98)</f>
        <v>1.08002</v>
      </c>
      <c r="U98" s="32" t="n">
        <f aca="false">INDEX('Tabela Passaro'!$O$2:$O$1795,$N98)</f>
        <v>5</v>
      </c>
      <c r="V98" s="32" t="n">
        <f aca="false">ROUNDUP(J98/INDEX('Tabela Passaro'!$Q$2:$Q$1795,$N98),0)*INDEX('Tabela Passaro'!$P$2:$P$1795,$N98)</f>
        <v>5</v>
      </c>
      <c r="W98" s="32" t="n">
        <f aca="false">INDEX('Tabela Passaro'!$R$2:$R$1795,$N98)</f>
        <v>30</v>
      </c>
      <c r="X98" s="32" t="n">
        <f aca="false">ROUNDUP(J98/INDEX('Tabela Passaro'!$T$2:$T$1795,$N98),0)*INDEX('Tabela Passaro'!$S$2:$S$1795,$N98)</f>
        <v>0</v>
      </c>
      <c r="Y98" s="32" t="n">
        <f aca="false">INDEX('Tabela Passaro'!$U$2:$U$1795,$N98)</f>
        <v>0</v>
      </c>
      <c r="Z98" s="32" t="n">
        <f aca="false">INDEX('Tabela Passaro'!$V$2:$V$1795,$N98)</f>
        <v>0</v>
      </c>
      <c r="AA98" s="32" t="n">
        <f aca="false">SUM(R98:Z98)</f>
        <v>110.72007</v>
      </c>
      <c r="AB98" s="33" t="n">
        <f aca="false">INDEX(Premissas!$B$5:$B$13,MATCH(A98,Premissas!$A$5:$A$13,0))</f>
        <v>0.07</v>
      </c>
      <c r="AC98" s="32" t="n">
        <f aca="false">AA98/(1-AB98)-AA98</f>
        <v>8.33376870967743</v>
      </c>
      <c r="AD98" s="32" t="n">
        <f aca="false">ROUND(AA98+AC98,2)</f>
        <v>119.05</v>
      </c>
      <c r="AE98" s="32" t="n">
        <f aca="false">AD98-L98</f>
        <v>42.88</v>
      </c>
      <c r="AF98" s="34" t="n">
        <f aca="false">IF(L98=0,0,AE98/L98)</f>
        <v>0.562951293160037</v>
      </c>
      <c r="AG98" s="22" t="str">
        <f aca="false">IF(AD98&lt;L98,"PASSARO","ATUAL")</f>
        <v>ATUAL</v>
      </c>
      <c r="AH98" s="22" t="str">
        <f aca="false">IF(P98&lt;&gt;A98,"Faixa cadastrada como "&amp;P98&amp;" na tabela; preço aplicado pela UF do CEP","")</f>
        <v/>
      </c>
      <c r="AI98" s="26" t="n">
        <v>139.38</v>
      </c>
      <c r="AJ98" s="22" t="str">
        <f aca="false">INDEX('Tabela Passaro'!$X$2:$X$1795,$N98)</f>
        <v>CAPITAL</v>
      </c>
    </row>
    <row r="99" customFormat="false" ht="15" hidden="false" customHeight="false" outlineLevel="0" collapsed="false">
      <c r="A99" s="22" t="s">
        <v>15</v>
      </c>
      <c r="B99" s="22" t="n">
        <v>1</v>
      </c>
      <c r="C99" s="22" t="s">
        <v>59</v>
      </c>
      <c r="D99" s="22" t="s">
        <v>31</v>
      </c>
      <c r="E99" s="22" t="s">
        <v>7326</v>
      </c>
      <c r="F99" s="22" t="n">
        <v>12782122</v>
      </c>
      <c r="G99" s="30" t="n">
        <v>46247</v>
      </c>
      <c r="H99" s="22" t="n">
        <v>624419</v>
      </c>
      <c r="I99" s="22" t="s">
        <v>7421</v>
      </c>
      <c r="J99" s="31" t="n">
        <v>22.4</v>
      </c>
      <c r="K99" s="26" t="n">
        <v>584.8</v>
      </c>
      <c r="L99" s="26" t="n">
        <v>88.95</v>
      </c>
      <c r="M99" s="22" t="s">
        <v>283</v>
      </c>
      <c r="N99" s="22" t="n">
        <f aca="false">MATCH(M99,'Tabela Passaro'!$A$2:$A$1795,0)</f>
        <v>1</v>
      </c>
      <c r="O99" s="22" t="str">
        <f aca="false">INDEX('Tabela Passaro'!$C$2:$C$1795,$N99)</f>
        <v>MACEIO</v>
      </c>
      <c r="P99" s="22" t="str">
        <f aca="false">INDEX('Tabela Passaro'!$B$2:$B$1795,$N99)</f>
        <v>AL</v>
      </c>
      <c r="Q99" s="22" t="n">
        <f aca="false">INDEX('Tabela Passaro'!$F$2:$F$1795,$N99)</f>
        <v>8</v>
      </c>
      <c r="R99" s="32" t="n">
        <f aca="false">IF(J99&lt;=10,INDEX('Tabela Passaro'!$G$2:$G$1795,$N99),IF(J99&lt;=30,INDEX('Tabela Passaro'!$H$2:$H$1795,$N99),IF(J99&lt;=50,INDEX('Tabela Passaro'!$I$2:$I$1795,$N99),IF(J99&lt;=70,INDEX('Tabela Passaro'!$J$2:$J$1795,$N99),IF(J99&lt;=100,INDEX('Tabela Passaro'!$K$2:$K$1795,$N99),INDEX('Tabela Passaro'!$K$2:$K$1795,$N99)+(J99-100)*INDEX('Tabela Passaro'!$L$2:$L$1795,$N99))))))</f>
        <v>66.94</v>
      </c>
      <c r="S99" s="32" t="n">
        <f aca="false">K99*INDEX('Tabela Passaro'!$M$2:$M$1795,$N99)</f>
        <v>2.924</v>
      </c>
      <c r="T99" s="32" t="n">
        <f aca="false">K99*INDEX('Tabela Passaro'!$N$2:$N$1795,$N99)</f>
        <v>1.1696</v>
      </c>
      <c r="U99" s="32" t="n">
        <f aca="false">INDEX('Tabela Passaro'!$O$2:$O$1795,$N99)</f>
        <v>5</v>
      </c>
      <c r="V99" s="32" t="n">
        <f aca="false">ROUNDUP(J99/INDEX('Tabela Passaro'!$Q$2:$Q$1795,$N99),0)*INDEX('Tabela Passaro'!$P$2:$P$1795,$N99)</f>
        <v>5</v>
      </c>
      <c r="W99" s="32" t="n">
        <f aca="false">INDEX('Tabela Passaro'!$R$2:$R$1795,$N99)</f>
        <v>30</v>
      </c>
      <c r="X99" s="32" t="n">
        <f aca="false">ROUNDUP(J99/INDEX('Tabela Passaro'!$T$2:$T$1795,$N99),0)*INDEX('Tabela Passaro'!$S$2:$S$1795,$N99)</f>
        <v>0</v>
      </c>
      <c r="Y99" s="32" t="n">
        <f aca="false">INDEX('Tabela Passaro'!$U$2:$U$1795,$N99)</f>
        <v>0</v>
      </c>
      <c r="Z99" s="32" t="n">
        <f aca="false">INDEX('Tabela Passaro'!$V$2:$V$1795,$N99)</f>
        <v>0</v>
      </c>
      <c r="AA99" s="32" t="n">
        <f aca="false">SUM(R99:Z99)</f>
        <v>111.0336</v>
      </c>
      <c r="AB99" s="33" t="n">
        <f aca="false">INDEX(Premissas!$B$5:$B$13,MATCH(A99,Premissas!$A$5:$A$13,0))</f>
        <v>0.07</v>
      </c>
      <c r="AC99" s="32" t="n">
        <f aca="false">AA99/(1-AB99)-AA99</f>
        <v>8.35736774193549</v>
      </c>
      <c r="AD99" s="32" t="n">
        <f aca="false">ROUND(AA99+AC99,2)</f>
        <v>119.39</v>
      </c>
      <c r="AE99" s="32" t="n">
        <f aca="false">AD99-L99</f>
        <v>30.44</v>
      </c>
      <c r="AF99" s="34" t="n">
        <f aca="false">IF(L99=0,0,AE99/L99)</f>
        <v>0.34221472737493</v>
      </c>
      <c r="AG99" s="22" t="str">
        <f aca="false">IF(AD99&lt;L99,"PASSARO","ATUAL")</f>
        <v>ATUAL</v>
      </c>
      <c r="AH99" s="22" t="str">
        <f aca="false">IF(P99&lt;&gt;A99,"Faixa cadastrada como "&amp;P99&amp;" na tabela; preço aplicado pela UF do CEP","")</f>
        <v/>
      </c>
      <c r="AI99" s="26" t="n">
        <v>141.26</v>
      </c>
      <c r="AJ99" s="22" t="str">
        <f aca="false">INDEX('Tabela Passaro'!$X$2:$X$1795,$N99)</f>
        <v>CAPITAL</v>
      </c>
    </row>
    <row r="100" customFormat="false" ht="15" hidden="false" customHeight="false" outlineLevel="0" collapsed="false">
      <c r="A100" s="22" t="s">
        <v>15</v>
      </c>
      <c r="B100" s="22" t="n">
        <v>1</v>
      </c>
      <c r="C100" s="22" t="s">
        <v>59</v>
      </c>
      <c r="D100" s="22" t="s">
        <v>31</v>
      </c>
      <c r="E100" s="22" t="s">
        <v>7326</v>
      </c>
      <c r="F100" s="22" t="n">
        <v>12782131</v>
      </c>
      <c r="G100" s="30" t="n">
        <v>46247</v>
      </c>
      <c r="H100" s="22" t="n">
        <v>624436</v>
      </c>
      <c r="I100" s="22" t="s">
        <v>7422</v>
      </c>
      <c r="J100" s="31" t="n">
        <v>19.4</v>
      </c>
      <c r="K100" s="26" t="n">
        <v>571.05</v>
      </c>
      <c r="L100" s="26" t="n">
        <v>76.58</v>
      </c>
      <c r="M100" s="22" t="s">
        <v>283</v>
      </c>
      <c r="N100" s="22" t="n">
        <f aca="false">MATCH(M100,'Tabela Passaro'!$A$2:$A$1795,0)</f>
        <v>1</v>
      </c>
      <c r="O100" s="22" t="str">
        <f aca="false">INDEX('Tabela Passaro'!$C$2:$C$1795,$N100)</f>
        <v>MACEIO</v>
      </c>
      <c r="P100" s="22" t="str">
        <f aca="false">INDEX('Tabela Passaro'!$B$2:$B$1795,$N100)</f>
        <v>AL</v>
      </c>
      <c r="Q100" s="22" t="n">
        <f aca="false">INDEX('Tabela Passaro'!$F$2:$F$1795,$N100)</f>
        <v>8</v>
      </c>
      <c r="R100" s="32" t="n">
        <f aca="false">IF(J100&lt;=10,INDEX('Tabela Passaro'!$G$2:$G$1795,$N100),IF(J100&lt;=30,INDEX('Tabela Passaro'!$H$2:$H$1795,$N100),IF(J100&lt;=50,INDEX('Tabela Passaro'!$I$2:$I$1795,$N100),IF(J100&lt;=70,INDEX('Tabela Passaro'!$J$2:$J$1795,$N100),IF(J100&lt;=100,INDEX('Tabela Passaro'!$K$2:$K$1795,$N100),INDEX('Tabela Passaro'!$K$2:$K$1795,$N100)+(J100-100)*INDEX('Tabela Passaro'!$L$2:$L$1795,$N100))))))</f>
        <v>66.94</v>
      </c>
      <c r="S100" s="32" t="n">
        <f aca="false">K100*INDEX('Tabela Passaro'!$M$2:$M$1795,$N100)</f>
        <v>2.85525</v>
      </c>
      <c r="T100" s="32" t="n">
        <f aca="false">K100*INDEX('Tabela Passaro'!$N$2:$N$1795,$N100)</f>
        <v>1.1421</v>
      </c>
      <c r="U100" s="32" t="n">
        <f aca="false">INDEX('Tabela Passaro'!$O$2:$O$1795,$N100)</f>
        <v>5</v>
      </c>
      <c r="V100" s="32" t="n">
        <f aca="false">ROUNDUP(J100/INDEX('Tabela Passaro'!$Q$2:$Q$1795,$N100),0)*INDEX('Tabela Passaro'!$P$2:$P$1795,$N100)</f>
        <v>5</v>
      </c>
      <c r="W100" s="32" t="n">
        <f aca="false">INDEX('Tabela Passaro'!$R$2:$R$1795,$N100)</f>
        <v>30</v>
      </c>
      <c r="X100" s="32" t="n">
        <f aca="false">ROUNDUP(J100/INDEX('Tabela Passaro'!$T$2:$T$1795,$N100),0)*INDEX('Tabela Passaro'!$S$2:$S$1795,$N100)</f>
        <v>0</v>
      </c>
      <c r="Y100" s="32" t="n">
        <f aca="false">INDEX('Tabela Passaro'!$U$2:$U$1795,$N100)</f>
        <v>0</v>
      </c>
      <c r="Z100" s="32" t="n">
        <f aca="false">INDEX('Tabela Passaro'!$V$2:$V$1795,$N100)</f>
        <v>0</v>
      </c>
      <c r="AA100" s="32" t="n">
        <f aca="false">SUM(R100:Z100)</f>
        <v>110.93735</v>
      </c>
      <c r="AB100" s="33" t="n">
        <f aca="false">INDEX(Premissas!$B$5:$B$13,MATCH(A100,Premissas!$A$5:$A$13,0))</f>
        <v>0.07</v>
      </c>
      <c r="AC100" s="32" t="n">
        <f aca="false">AA100/(1-AB100)-AA100</f>
        <v>8.35012311827958</v>
      </c>
      <c r="AD100" s="32" t="n">
        <f aca="false">ROUND(AA100+AC100,2)</f>
        <v>119.29</v>
      </c>
      <c r="AE100" s="32" t="n">
        <f aca="false">AD100-L100</f>
        <v>42.71</v>
      </c>
      <c r="AF100" s="34" t="n">
        <f aca="false">IF(L100=0,0,AE100/L100)</f>
        <v>0.557717419691826</v>
      </c>
      <c r="AG100" s="22" t="str">
        <f aca="false">IF(AD100&lt;L100,"PASSARO","ATUAL")</f>
        <v>ATUAL</v>
      </c>
      <c r="AH100" s="22" t="str">
        <f aca="false">IF(P100&lt;&gt;A100,"Faixa cadastrada como "&amp;P100&amp;" na tabela; preço aplicado pela UF do CEP","")</f>
        <v/>
      </c>
      <c r="AI100" s="26" t="n">
        <v>139.68</v>
      </c>
      <c r="AJ100" s="22" t="str">
        <f aca="false">INDEX('Tabela Passaro'!$X$2:$X$1795,$N100)</f>
        <v>CAPITAL</v>
      </c>
    </row>
    <row r="101" customFormat="false" ht="15" hidden="false" customHeight="false" outlineLevel="0" collapsed="false">
      <c r="A101" s="22" t="s">
        <v>15</v>
      </c>
      <c r="B101" s="22" t="n">
        <v>1</v>
      </c>
      <c r="C101" s="22" t="s">
        <v>59</v>
      </c>
      <c r="D101" s="22" t="s">
        <v>31</v>
      </c>
      <c r="E101" s="22" t="s">
        <v>7326</v>
      </c>
      <c r="F101" s="22" t="n">
        <v>12782145</v>
      </c>
      <c r="G101" s="30" t="n">
        <v>46247</v>
      </c>
      <c r="H101" s="22" t="n">
        <v>624448</v>
      </c>
      <c r="I101" s="22" t="s">
        <v>7423</v>
      </c>
      <c r="J101" s="31" t="n">
        <v>17.2</v>
      </c>
      <c r="K101" s="26" t="n">
        <v>379.98</v>
      </c>
      <c r="L101" s="26" t="n">
        <v>62.08</v>
      </c>
      <c r="M101" s="22" t="s">
        <v>283</v>
      </c>
      <c r="N101" s="22" t="n">
        <f aca="false">MATCH(M101,'Tabela Passaro'!$A$2:$A$1795,0)</f>
        <v>1</v>
      </c>
      <c r="O101" s="22" t="str">
        <f aca="false">INDEX('Tabela Passaro'!$C$2:$C$1795,$N101)</f>
        <v>MACEIO</v>
      </c>
      <c r="P101" s="22" t="str">
        <f aca="false">INDEX('Tabela Passaro'!$B$2:$B$1795,$N101)</f>
        <v>AL</v>
      </c>
      <c r="Q101" s="22" t="n">
        <f aca="false">INDEX('Tabela Passaro'!$F$2:$F$1795,$N101)</f>
        <v>8</v>
      </c>
      <c r="R101" s="32" t="n">
        <f aca="false">IF(J101&lt;=10,INDEX('Tabela Passaro'!$G$2:$G$1795,$N101),IF(J101&lt;=30,INDEX('Tabela Passaro'!$H$2:$H$1795,$N101),IF(J101&lt;=50,INDEX('Tabela Passaro'!$I$2:$I$1795,$N101),IF(J101&lt;=70,INDEX('Tabela Passaro'!$J$2:$J$1795,$N101),IF(J101&lt;=100,INDEX('Tabela Passaro'!$K$2:$K$1795,$N101),INDEX('Tabela Passaro'!$K$2:$K$1795,$N101)+(J101-100)*INDEX('Tabela Passaro'!$L$2:$L$1795,$N101))))))</f>
        <v>66.94</v>
      </c>
      <c r="S101" s="32" t="n">
        <f aca="false">K101*INDEX('Tabela Passaro'!$M$2:$M$1795,$N101)</f>
        <v>1.8999</v>
      </c>
      <c r="T101" s="32" t="n">
        <f aca="false">K101*INDEX('Tabela Passaro'!$N$2:$N$1795,$N101)</f>
        <v>0.75996</v>
      </c>
      <c r="U101" s="32" t="n">
        <f aca="false">INDEX('Tabela Passaro'!$O$2:$O$1795,$N101)</f>
        <v>5</v>
      </c>
      <c r="V101" s="32" t="n">
        <f aca="false">ROUNDUP(J101/INDEX('Tabela Passaro'!$Q$2:$Q$1795,$N101),0)*INDEX('Tabela Passaro'!$P$2:$P$1795,$N101)</f>
        <v>5</v>
      </c>
      <c r="W101" s="32" t="n">
        <f aca="false">INDEX('Tabela Passaro'!$R$2:$R$1795,$N101)</f>
        <v>30</v>
      </c>
      <c r="X101" s="32" t="n">
        <f aca="false">ROUNDUP(J101/INDEX('Tabela Passaro'!$T$2:$T$1795,$N101),0)*INDEX('Tabela Passaro'!$S$2:$S$1795,$N101)</f>
        <v>0</v>
      </c>
      <c r="Y101" s="32" t="n">
        <f aca="false">INDEX('Tabela Passaro'!$U$2:$U$1795,$N101)</f>
        <v>0</v>
      </c>
      <c r="Z101" s="32" t="n">
        <f aca="false">INDEX('Tabela Passaro'!$V$2:$V$1795,$N101)</f>
        <v>0</v>
      </c>
      <c r="AA101" s="32" t="n">
        <f aca="false">SUM(R101:Z101)</f>
        <v>109.59986</v>
      </c>
      <c r="AB101" s="33" t="n">
        <f aca="false">INDEX(Premissas!$B$5:$B$13,MATCH(A101,Premissas!$A$5:$A$13,0))</f>
        <v>0.07</v>
      </c>
      <c r="AC101" s="32" t="n">
        <f aca="false">AA101/(1-AB101)-AA101</f>
        <v>8.249451827957</v>
      </c>
      <c r="AD101" s="32" t="n">
        <f aca="false">ROUND(AA101+AC101,2)</f>
        <v>117.85</v>
      </c>
      <c r="AE101" s="32" t="n">
        <f aca="false">AD101-L101</f>
        <v>55.77</v>
      </c>
      <c r="AF101" s="34" t="n">
        <f aca="false">IF(L101=0,0,AE101/L101)</f>
        <v>0.898356958762887</v>
      </c>
      <c r="AG101" s="22" t="str">
        <f aca="false">IF(AD101&lt;L101,"PASSARO","ATUAL")</f>
        <v>ATUAL</v>
      </c>
      <c r="AH101" s="22" t="str">
        <f aca="false">IF(P101&lt;&gt;A101,"Faixa cadastrada como "&amp;P101&amp;" na tabela; preço aplicado pela UF do CEP","")</f>
        <v/>
      </c>
      <c r="AI101" s="26" t="n">
        <v>136.86</v>
      </c>
      <c r="AJ101" s="22" t="str">
        <f aca="false">INDEX('Tabela Passaro'!$X$2:$X$1795,$N101)</f>
        <v>CAPITAL</v>
      </c>
    </row>
    <row r="102" customFormat="false" ht="15" hidden="false" customHeight="false" outlineLevel="0" collapsed="false">
      <c r="A102" s="22" t="s">
        <v>15</v>
      </c>
      <c r="B102" s="22" t="n">
        <v>1</v>
      </c>
      <c r="C102" s="22" t="s">
        <v>59</v>
      </c>
      <c r="D102" s="22" t="s">
        <v>31</v>
      </c>
      <c r="E102" s="22" t="s">
        <v>7326</v>
      </c>
      <c r="F102" s="22" t="n">
        <v>12790681</v>
      </c>
      <c r="G102" s="30" t="n">
        <v>46248</v>
      </c>
      <c r="H102" s="22" t="n">
        <v>624941</v>
      </c>
      <c r="I102" s="22" t="s">
        <v>7424</v>
      </c>
      <c r="J102" s="31" t="n">
        <v>20.8</v>
      </c>
      <c r="K102" s="26" t="n">
        <v>630.99</v>
      </c>
      <c r="L102" s="26" t="n">
        <v>88.81</v>
      </c>
      <c r="M102" s="22" t="s">
        <v>283</v>
      </c>
      <c r="N102" s="22" t="n">
        <f aca="false">MATCH(M102,'Tabela Passaro'!$A$2:$A$1795,0)</f>
        <v>1</v>
      </c>
      <c r="O102" s="22" t="str">
        <f aca="false">INDEX('Tabela Passaro'!$C$2:$C$1795,$N102)</f>
        <v>MACEIO</v>
      </c>
      <c r="P102" s="22" t="str">
        <f aca="false">INDEX('Tabela Passaro'!$B$2:$B$1795,$N102)</f>
        <v>AL</v>
      </c>
      <c r="Q102" s="22" t="n">
        <f aca="false">INDEX('Tabela Passaro'!$F$2:$F$1795,$N102)</f>
        <v>8</v>
      </c>
      <c r="R102" s="32" t="n">
        <f aca="false">IF(J102&lt;=10,INDEX('Tabela Passaro'!$G$2:$G$1795,$N102),IF(J102&lt;=30,INDEX('Tabela Passaro'!$H$2:$H$1795,$N102),IF(J102&lt;=50,INDEX('Tabela Passaro'!$I$2:$I$1795,$N102),IF(J102&lt;=70,INDEX('Tabela Passaro'!$J$2:$J$1795,$N102),IF(J102&lt;=100,INDEX('Tabela Passaro'!$K$2:$K$1795,$N102),INDEX('Tabela Passaro'!$K$2:$K$1795,$N102)+(J102-100)*INDEX('Tabela Passaro'!$L$2:$L$1795,$N102))))))</f>
        <v>66.94</v>
      </c>
      <c r="S102" s="32" t="n">
        <f aca="false">K102*INDEX('Tabela Passaro'!$M$2:$M$1795,$N102)</f>
        <v>3.15495</v>
      </c>
      <c r="T102" s="32" t="n">
        <f aca="false">K102*INDEX('Tabela Passaro'!$N$2:$N$1795,$N102)</f>
        <v>1.26198</v>
      </c>
      <c r="U102" s="32" t="n">
        <f aca="false">INDEX('Tabela Passaro'!$O$2:$O$1795,$N102)</f>
        <v>5</v>
      </c>
      <c r="V102" s="32" t="n">
        <f aca="false">ROUNDUP(J102/INDEX('Tabela Passaro'!$Q$2:$Q$1795,$N102),0)*INDEX('Tabela Passaro'!$P$2:$P$1795,$N102)</f>
        <v>5</v>
      </c>
      <c r="W102" s="32" t="n">
        <f aca="false">INDEX('Tabela Passaro'!$R$2:$R$1795,$N102)</f>
        <v>30</v>
      </c>
      <c r="X102" s="32" t="n">
        <f aca="false">ROUNDUP(J102/INDEX('Tabela Passaro'!$T$2:$T$1795,$N102),0)*INDEX('Tabela Passaro'!$S$2:$S$1795,$N102)</f>
        <v>0</v>
      </c>
      <c r="Y102" s="32" t="n">
        <f aca="false">INDEX('Tabela Passaro'!$U$2:$U$1795,$N102)</f>
        <v>0</v>
      </c>
      <c r="Z102" s="32" t="n">
        <f aca="false">INDEX('Tabela Passaro'!$V$2:$V$1795,$N102)</f>
        <v>0</v>
      </c>
      <c r="AA102" s="32" t="n">
        <f aca="false">SUM(R102:Z102)</f>
        <v>111.35693</v>
      </c>
      <c r="AB102" s="33" t="n">
        <f aca="false">INDEX(Premissas!$B$5:$B$13,MATCH(A102,Premissas!$A$5:$A$13,0))</f>
        <v>0.07</v>
      </c>
      <c r="AC102" s="32" t="n">
        <f aca="false">AA102/(1-AB102)-AA102</f>
        <v>8.38170440860216</v>
      </c>
      <c r="AD102" s="32" t="n">
        <f aca="false">ROUND(AA102+AC102,2)</f>
        <v>119.74</v>
      </c>
      <c r="AE102" s="32" t="n">
        <f aca="false">AD102-L102</f>
        <v>30.93</v>
      </c>
      <c r="AF102" s="34" t="n">
        <f aca="false">IF(L102=0,0,AE102/L102)</f>
        <v>0.348271591037045</v>
      </c>
      <c r="AG102" s="22" t="str">
        <f aca="false">IF(AD102&lt;L102,"PASSARO","ATUAL")</f>
        <v>ATUAL</v>
      </c>
      <c r="AH102" s="22" t="str">
        <f aca="false">IF(P102&lt;&gt;A102,"Faixa cadastrada como "&amp;P102&amp;" na tabela; preço aplicado pela UF do CEP","")</f>
        <v/>
      </c>
      <c r="AI102" s="26" t="n">
        <v>140.74</v>
      </c>
      <c r="AJ102" s="22" t="str">
        <f aca="false">INDEX('Tabela Passaro'!$X$2:$X$1795,$N102)</f>
        <v>CAPITAL</v>
      </c>
    </row>
    <row r="103" customFormat="false" ht="15" hidden="false" customHeight="false" outlineLevel="0" collapsed="false">
      <c r="A103" s="22" t="s">
        <v>15</v>
      </c>
      <c r="B103" s="22" t="n">
        <v>1</v>
      </c>
      <c r="C103" s="22" t="s">
        <v>59</v>
      </c>
      <c r="D103" s="22" t="s">
        <v>31</v>
      </c>
      <c r="E103" s="22" t="s">
        <v>7326</v>
      </c>
      <c r="F103" s="22" t="n">
        <v>12809412</v>
      </c>
      <c r="G103" s="30" t="n">
        <v>46252</v>
      </c>
      <c r="H103" s="22" t="n">
        <v>626069</v>
      </c>
      <c r="I103" s="22" t="s">
        <v>7425</v>
      </c>
      <c r="J103" s="31" t="n">
        <v>20.8</v>
      </c>
      <c r="K103" s="26" t="n">
        <v>561.22</v>
      </c>
      <c r="L103" s="26" t="n">
        <v>88.47</v>
      </c>
      <c r="M103" s="22" t="s">
        <v>283</v>
      </c>
      <c r="N103" s="22" t="n">
        <f aca="false">MATCH(M103,'Tabela Passaro'!$A$2:$A$1795,0)</f>
        <v>1</v>
      </c>
      <c r="O103" s="22" t="str">
        <f aca="false">INDEX('Tabela Passaro'!$C$2:$C$1795,$N103)</f>
        <v>MACEIO</v>
      </c>
      <c r="P103" s="22" t="str">
        <f aca="false">INDEX('Tabela Passaro'!$B$2:$B$1795,$N103)</f>
        <v>AL</v>
      </c>
      <c r="Q103" s="22" t="n">
        <f aca="false">INDEX('Tabela Passaro'!$F$2:$F$1795,$N103)</f>
        <v>8</v>
      </c>
      <c r="R103" s="32" t="n">
        <f aca="false">IF(J103&lt;=10,INDEX('Tabela Passaro'!$G$2:$G$1795,$N103),IF(J103&lt;=30,INDEX('Tabela Passaro'!$H$2:$H$1795,$N103),IF(J103&lt;=50,INDEX('Tabela Passaro'!$I$2:$I$1795,$N103),IF(J103&lt;=70,INDEX('Tabela Passaro'!$J$2:$J$1795,$N103),IF(J103&lt;=100,INDEX('Tabela Passaro'!$K$2:$K$1795,$N103),INDEX('Tabela Passaro'!$K$2:$K$1795,$N103)+(J103-100)*INDEX('Tabela Passaro'!$L$2:$L$1795,$N103))))))</f>
        <v>66.94</v>
      </c>
      <c r="S103" s="32" t="n">
        <f aca="false">K103*INDEX('Tabela Passaro'!$M$2:$M$1795,$N103)</f>
        <v>2.8061</v>
      </c>
      <c r="T103" s="32" t="n">
        <f aca="false">K103*INDEX('Tabela Passaro'!$N$2:$N$1795,$N103)</f>
        <v>1.12244</v>
      </c>
      <c r="U103" s="32" t="n">
        <f aca="false">INDEX('Tabela Passaro'!$O$2:$O$1795,$N103)</f>
        <v>5</v>
      </c>
      <c r="V103" s="32" t="n">
        <f aca="false">ROUNDUP(J103/INDEX('Tabela Passaro'!$Q$2:$Q$1795,$N103),0)*INDEX('Tabela Passaro'!$P$2:$P$1795,$N103)</f>
        <v>5</v>
      </c>
      <c r="W103" s="32" t="n">
        <f aca="false">INDEX('Tabela Passaro'!$R$2:$R$1795,$N103)</f>
        <v>30</v>
      </c>
      <c r="X103" s="32" t="n">
        <f aca="false">ROUNDUP(J103/INDEX('Tabela Passaro'!$T$2:$T$1795,$N103),0)*INDEX('Tabela Passaro'!$S$2:$S$1795,$N103)</f>
        <v>0</v>
      </c>
      <c r="Y103" s="32" t="n">
        <f aca="false">INDEX('Tabela Passaro'!$U$2:$U$1795,$N103)</f>
        <v>0</v>
      </c>
      <c r="Z103" s="32" t="n">
        <f aca="false">INDEX('Tabela Passaro'!$V$2:$V$1795,$N103)</f>
        <v>0</v>
      </c>
      <c r="AA103" s="32" t="n">
        <f aca="false">SUM(R103:Z103)</f>
        <v>110.86854</v>
      </c>
      <c r="AB103" s="33" t="n">
        <f aca="false">INDEX(Premissas!$B$5:$B$13,MATCH(A103,Premissas!$A$5:$A$13,0))</f>
        <v>0.07</v>
      </c>
      <c r="AC103" s="32" t="n">
        <f aca="false">AA103/(1-AB103)-AA103</f>
        <v>8.34494387096775</v>
      </c>
      <c r="AD103" s="32" t="n">
        <f aca="false">ROUND(AA103+AC103,2)</f>
        <v>119.21</v>
      </c>
      <c r="AE103" s="32" t="n">
        <f aca="false">AD103-L103</f>
        <v>30.74</v>
      </c>
      <c r="AF103" s="34" t="n">
        <f aca="false">IF(L103=0,0,AE103/L103)</f>
        <v>0.347462416638408</v>
      </c>
      <c r="AG103" s="22" t="str">
        <f aca="false">IF(AD103&lt;L103,"PASSARO","ATUAL")</f>
        <v>ATUAL</v>
      </c>
      <c r="AH103" s="22" t="str">
        <f aca="false">IF(P103&lt;&gt;A103,"Faixa cadastrada como "&amp;P103&amp;" na tabela; preço aplicado pela UF do CEP","")</f>
        <v/>
      </c>
      <c r="AI103" s="26" t="n">
        <v>140.07</v>
      </c>
      <c r="AJ103" s="22" t="str">
        <f aca="false">INDEX('Tabela Passaro'!$X$2:$X$1795,$N103)</f>
        <v>CAPITAL</v>
      </c>
    </row>
    <row r="104" customFormat="false" ht="15" hidden="false" customHeight="false" outlineLevel="0" collapsed="false">
      <c r="A104" s="22" t="s">
        <v>15</v>
      </c>
      <c r="B104" s="22" t="n">
        <v>1</v>
      </c>
      <c r="C104" s="22" t="s">
        <v>59</v>
      </c>
      <c r="D104" s="22" t="s">
        <v>31</v>
      </c>
      <c r="E104" s="22" t="s">
        <v>7326</v>
      </c>
      <c r="F104" s="22" t="n">
        <v>12809419</v>
      </c>
      <c r="G104" s="30" t="n">
        <v>46252</v>
      </c>
      <c r="H104" s="22" t="n">
        <v>626460</v>
      </c>
      <c r="I104" s="22" t="s">
        <v>7426</v>
      </c>
      <c r="J104" s="31" t="n">
        <v>17.8</v>
      </c>
      <c r="K104" s="26" t="n">
        <v>453.82</v>
      </c>
      <c r="L104" s="26" t="n">
        <v>62.55</v>
      </c>
      <c r="M104" s="22" t="s">
        <v>283</v>
      </c>
      <c r="N104" s="22" t="n">
        <f aca="false">MATCH(M104,'Tabela Passaro'!$A$2:$A$1795,0)</f>
        <v>1</v>
      </c>
      <c r="O104" s="22" t="str">
        <f aca="false">INDEX('Tabela Passaro'!$C$2:$C$1795,$N104)</f>
        <v>MACEIO</v>
      </c>
      <c r="P104" s="22" t="str">
        <f aca="false">INDEX('Tabela Passaro'!$B$2:$B$1795,$N104)</f>
        <v>AL</v>
      </c>
      <c r="Q104" s="22" t="n">
        <f aca="false">INDEX('Tabela Passaro'!$F$2:$F$1795,$N104)</f>
        <v>8</v>
      </c>
      <c r="R104" s="32" t="n">
        <f aca="false">IF(J104&lt;=10,INDEX('Tabela Passaro'!$G$2:$G$1795,$N104),IF(J104&lt;=30,INDEX('Tabela Passaro'!$H$2:$H$1795,$N104),IF(J104&lt;=50,INDEX('Tabela Passaro'!$I$2:$I$1795,$N104),IF(J104&lt;=70,INDEX('Tabela Passaro'!$J$2:$J$1795,$N104),IF(J104&lt;=100,INDEX('Tabela Passaro'!$K$2:$K$1795,$N104),INDEX('Tabela Passaro'!$K$2:$K$1795,$N104)+(J104-100)*INDEX('Tabela Passaro'!$L$2:$L$1795,$N104))))))</f>
        <v>66.94</v>
      </c>
      <c r="S104" s="32" t="n">
        <f aca="false">K104*INDEX('Tabela Passaro'!$M$2:$M$1795,$N104)</f>
        <v>2.2691</v>
      </c>
      <c r="T104" s="32" t="n">
        <f aca="false">K104*INDEX('Tabela Passaro'!$N$2:$N$1795,$N104)</f>
        <v>0.90764</v>
      </c>
      <c r="U104" s="32" t="n">
        <f aca="false">INDEX('Tabela Passaro'!$O$2:$O$1795,$N104)</f>
        <v>5</v>
      </c>
      <c r="V104" s="32" t="n">
        <f aca="false">ROUNDUP(J104/INDEX('Tabela Passaro'!$Q$2:$Q$1795,$N104),0)*INDEX('Tabela Passaro'!$P$2:$P$1795,$N104)</f>
        <v>5</v>
      </c>
      <c r="W104" s="32" t="n">
        <f aca="false">INDEX('Tabela Passaro'!$R$2:$R$1795,$N104)</f>
        <v>30</v>
      </c>
      <c r="X104" s="32" t="n">
        <f aca="false">ROUNDUP(J104/INDEX('Tabela Passaro'!$T$2:$T$1795,$N104),0)*INDEX('Tabela Passaro'!$S$2:$S$1795,$N104)</f>
        <v>0</v>
      </c>
      <c r="Y104" s="32" t="n">
        <f aca="false">INDEX('Tabela Passaro'!$U$2:$U$1795,$N104)</f>
        <v>0</v>
      </c>
      <c r="Z104" s="32" t="n">
        <f aca="false">INDEX('Tabela Passaro'!$V$2:$V$1795,$N104)</f>
        <v>0</v>
      </c>
      <c r="AA104" s="32" t="n">
        <f aca="false">SUM(R104:Z104)</f>
        <v>110.11674</v>
      </c>
      <c r="AB104" s="33" t="n">
        <f aca="false">INDEX(Premissas!$B$5:$B$13,MATCH(A104,Premissas!$A$5:$A$13,0))</f>
        <v>0.07</v>
      </c>
      <c r="AC104" s="32" t="n">
        <f aca="false">AA104/(1-AB104)-AA104</f>
        <v>8.28835677419356</v>
      </c>
      <c r="AD104" s="32" t="n">
        <f aca="false">ROUND(AA104+AC104,2)</f>
        <v>118.41</v>
      </c>
      <c r="AE104" s="32" t="n">
        <f aca="false">AD104-L104</f>
        <v>55.86</v>
      </c>
      <c r="AF104" s="34" t="n">
        <f aca="false">IF(L104=0,0,AE104/L104)</f>
        <v>0.893045563549161</v>
      </c>
      <c r="AG104" s="22" t="str">
        <f aca="false">IF(AD104&lt;L104,"PASSARO","ATUAL")</f>
        <v>ATUAL</v>
      </c>
      <c r="AH104" s="22" t="str">
        <f aca="false">IF(P104&lt;&gt;A104,"Faixa cadastrada como "&amp;P104&amp;" na tabela; preço aplicado pela UF do CEP","")</f>
        <v/>
      </c>
      <c r="AI104" s="26" t="n">
        <v>137.57</v>
      </c>
      <c r="AJ104" s="22" t="str">
        <f aca="false">INDEX('Tabela Passaro'!$X$2:$X$1795,$N104)</f>
        <v>CAPITAL</v>
      </c>
    </row>
    <row r="105" customFormat="false" ht="15" hidden="false" customHeight="false" outlineLevel="0" collapsed="false">
      <c r="A105" s="22" t="s">
        <v>15</v>
      </c>
      <c r="B105" s="22" t="n">
        <v>1</v>
      </c>
      <c r="C105" s="22" t="s">
        <v>59</v>
      </c>
      <c r="D105" s="22" t="s">
        <v>31</v>
      </c>
      <c r="E105" s="22" t="s">
        <v>7326</v>
      </c>
      <c r="F105" s="22" t="n">
        <v>12835691</v>
      </c>
      <c r="G105" s="30" t="n">
        <v>46258</v>
      </c>
      <c r="H105" s="22" t="n">
        <v>628210</v>
      </c>
      <c r="I105" s="22" t="s">
        <v>7427</v>
      </c>
      <c r="J105" s="31" t="n">
        <v>20.8</v>
      </c>
      <c r="K105" s="26" t="n">
        <v>669.95</v>
      </c>
      <c r="L105" s="26" t="n">
        <v>89.15</v>
      </c>
      <c r="M105" s="22" t="s">
        <v>283</v>
      </c>
      <c r="N105" s="22" t="n">
        <f aca="false">MATCH(M105,'Tabela Passaro'!$A$2:$A$1795,0)</f>
        <v>1</v>
      </c>
      <c r="O105" s="22" t="str">
        <f aca="false">INDEX('Tabela Passaro'!$C$2:$C$1795,$N105)</f>
        <v>MACEIO</v>
      </c>
      <c r="P105" s="22" t="str">
        <f aca="false">INDEX('Tabela Passaro'!$B$2:$B$1795,$N105)</f>
        <v>AL</v>
      </c>
      <c r="Q105" s="22" t="n">
        <f aca="false">INDEX('Tabela Passaro'!$F$2:$F$1795,$N105)</f>
        <v>8</v>
      </c>
      <c r="R105" s="32" t="n">
        <f aca="false">IF(J105&lt;=10,INDEX('Tabela Passaro'!$G$2:$G$1795,$N105),IF(J105&lt;=30,INDEX('Tabela Passaro'!$H$2:$H$1795,$N105),IF(J105&lt;=50,INDEX('Tabela Passaro'!$I$2:$I$1795,$N105),IF(J105&lt;=70,INDEX('Tabela Passaro'!$J$2:$J$1795,$N105),IF(J105&lt;=100,INDEX('Tabela Passaro'!$K$2:$K$1795,$N105),INDEX('Tabela Passaro'!$K$2:$K$1795,$N105)+(J105-100)*INDEX('Tabela Passaro'!$L$2:$L$1795,$N105))))))</f>
        <v>66.94</v>
      </c>
      <c r="S105" s="32" t="n">
        <f aca="false">K105*INDEX('Tabela Passaro'!$M$2:$M$1795,$N105)</f>
        <v>3.34975</v>
      </c>
      <c r="T105" s="32" t="n">
        <f aca="false">K105*INDEX('Tabela Passaro'!$N$2:$N$1795,$N105)</f>
        <v>1.3399</v>
      </c>
      <c r="U105" s="32" t="n">
        <f aca="false">INDEX('Tabela Passaro'!$O$2:$O$1795,$N105)</f>
        <v>5</v>
      </c>
      <c r="V105" s="32" t="n">
        <f aca="false">ROUNDUP(J105/INDEX('Tabela Passaro'!$Q$2:$Q$1795,$N105),0)*INDEX('Tabela Passaro'!$P$2:$P$1795,$N105)</f>
        <v>5</v>
      </c>
      <c r="W105" s="32" t="n">
        <f aca="false">INDEX('Tabela Passaro'!$R$2:$R$1795,$N105)</f>
        <v>30</v>
      </c>
      <c r="X105" s="32" t="n">
        <f aca="false">ROUNDUP(J105/INDEX('Tabela Passaro'!$T$2:$T$1795,$N105),0)*INDEX('Tabela Passaro'!$S$2:$S$1795,$N105)</f>
        <v>0</v>
      </c>
      <c r="Y105" s="32" t="n">
        <f aca="false">INDEX('Tabela Passaro'!$U$2:$U$1795,$N105)</f>
        <v>0</v>
      </c>
      <c r="Z105" s="32" t="n">
        <f aca="false">INDEX('Tabela Passaro'!$V$2:$V$1795,$N105)</f>
        <v>0</v>
      </c>
      <c r="AA105" s="32" t="n">
        <f aca="false">SUM(R105:Z105)</f>
        <v>111.62965</v>
      </c>
      <c r="AB105" s="33" t="n">
        <f aca="false">INDEX(Premissas!$B$5:$B$13,MATCH(A105,Premissas!$A$5:$A$13,0))</f>
        <v>0.07</v>
      </c>
      <c r="AC105" s="32" t="n">
        <f aca="false">AA105/(1-AB105)-AA105</f>
        <v>8.40223172043011</v>
      </c>
      <c r="AD105" s="32" t="n">
        <f aca="false">ROUND(AA105+AC105,2)</f>
        <v>120.03</v>
      </c>
      <c r="AE105" s="32" t="n">
        <f aca="false">AD105-L105</f>
        <v>30.88</v>
      </c>
      <c r="AF105" s="34" t="n">
        <f aca="false">IF(L105=0,0,AE105/L105)</f>
        <v>0.346382501402131</v>
      </c>
      <c r="AG105" s="22" t="str">
        <f aca="false">IF(AD105&lt;L105,"PASSARO","ATUAL")</f>
        <v>ATUAL</v>
      </c>
      <c r="AH105" s="22" t="str">
        <f aca="false">IF(P105&lt;&gt;A105,"Faixa cadastrada como "&amp;P105&amp;" na tabela; preço aplicado pela UF do CEP","")</f>
        <v/>
      </c>
      <c r="AI105" s="26" t="n">
        <v>141.12</v>
      </c>
      <c r="AJ105" s="22" t="str">
        <f aca="false">INDEX('Tabela Passaro'!$X$2:$X$1795,$N105)</f>
        <v>CAPITAL</v>
      </c>
    </row>
    <row r="106" customFormat="false" ht="15" hidden="false" customHeight="false" outlineLevel="0" collapsed="false">
      <c r="A106" s="22" t="s">
        <v>15</v>
      </c>
      <c r="B106" s="22" t="n">
        <v>1</v>
      </c>
      <c r="C106" s="22" t="s">
        <v>59</v>
      </c>
      <c r="D106" s="22" t="s">
        <v>31</v>
      </c>
      <c r="E106" s="22" t="s">
        <v>7326</v>
      </c>
      <c r="F106" s="22" t="n">
        <v>12844831</v>
      </c>
      <c r="G106" s="30" t="n">
        <v>46259</v>
      </c>
      <c r="H106" s="22" t="n">
        <v>628418</v>
      </c>
      <c r="I106" s="22" t="s">
        <v>7428</v>
      </c>
      <c r="J106" s="31" t="n">
        <v>22.09</v>
      </c>
      <c r="K106" s="26" t="n">
        <v>433.54</v>
      </c>
      <c r="L106" s="26" t="n">
        <v>86.46</v>
      </c>
      <c r="M106" s="22" t="s">
        <v>283</v>
      </c>
      <c r="N106" s="22" t="n">
        <f aca="false">MATCH(M106,'Tabela Passaro'!$A$2:$A$1795,0)</f>
        <v>1</v>
      </c>
      <c r="O106" s="22" t="str">
        <f aca="false">INDEX('Tabela Passaro'!$C$2:$C$1795,$N106)</f>
        <v>MACEIO</v>
      </c>
      <c r="P106" s="22" t="str">
        <f aca="false">INDEX('Tabela Passaro'!$B$2:$B$1795,$N106)</f>
        <v>AL</v>
      </c>
      <c r="Q106" s="22" t="n">
        <f aca="false">INDEX('Tabela Passaro'!$F$2:$F$1795,$N106)</f>
        <v>8</v>
      </c>
      <c r="R106" s="32" t="n">
        <f aca="false">IF(J106&lt;=10,INDEX('Tabela Passaro'!$G$2:$G$1795,$N106),IF(J106&lt;=30,INDEX('Tabela Passaro'!$H$2:$H$1795,$N106),IF(J106&lt;=50,INDEX('Tabela Passaro'!$I$2:$I$1795,$N106),IF(J106&lt;=70,INDEX('Tabela Passaro'!$J$2:$J$1795,$N106),IF(J106&lt;=100,INDEX('Tabela Passaro'!$K$2:$K$1795,$N106),INDEX('Tabela Passaro'!$K$2:$K$1795,$N106)+(J106-100)*INDEX('Tabela Passaro'!$L$2:$L$1795,$N106))))))</f>
        <v>66.94</v>
      </c>
      <c r="S106" s="32" t="n">
        <f aca="false">K106*INDEX('Tabela Passaro'!$M$2:$M$1795,$N106)</f>
        <v>2.1677</v>
      </c>
      <c r="T106" s="32" t="n">
        <f aca="false">K106*INDEX('Tabela Passaro'!$N$2:$N$1795,$N106)</f>
        <v>0.86708</v>
      </c>
      <c r="U106" s="32" t="n">
        <f aca="false">INDEX('Tabela Passaro'!$O$2:$O$1795,$N106)</f>
        <v>5</v>
      </c>
      <c r="V106" s="32" t="n">
        <f aca="false">ROUNDUP(J106/INDEX('Tabela Passaro'!$Q$2:$Q$1795,$N106),0)*INDEX('Tabela Passaro'!$P$2:$P$1795,$N106)</f>
        <v>5</v>
      </c>
      <c r="W106" s="32" t="n">
        <f aca="false">INDEX('Tabela Passaro'!$R$2:$R$1795,$N106)</f>
        <v>30</v>
      </c>
      <c r="X106" s="32" t="n">
        <f aca="false">ROUNDUP(J106/INDEX('Tabela Passaro'!$T$2:$T$1795,$N106),0)*INDEX('Tabela Passaro'!$S$2:$S$1795,$N106)</f>
        <v>0</v>
      </c>
      <c r="Y106" s="32" t="n">
        <f aca="false">INDEX('Tabela Passaro'!$U$2:$U$1795,$N106)</f>
        <v>0</v>
      </c>
      <c r="Z106" s="32" t="n">
        <f aca="false">INDEX('Tabela Passaro'!$V$2:$V$1795,$N106)</f>
        <v>0</v>
      </c>
      <c r="AA106" s="32" t="n">
        <f aca="false">SUM(R106:Z106)</f>
        <v>109.97478</v>
      </c>
      <c r="AB106" s="33" t="n">
        <f aca="false">INDEX(Premissas!$B$5:$B$13,MATCH(A106,Premissas!$A$5:$A$13,0))</f>
        <v>0.07</v>
      </c>
      <c r="AC106" s="32" t="n">
        <f aca="false">AA106/(1-AB106)-AA106</f>
        <v>8.27767161290323</v>
      </c>
      <c r="AD106" s="32" t="n">
        <f aca="false">ROUND(AA106+AC106,2)</f>
        <v>118.25</v>
      </c>
      <c r="AE106" s="32" t="n">
        <f aca="false">AD106-L106</f>
        <v>31.79</v>
      </c>
      <c r="AF106" s="34" t="n">
        <f aca="false">IF(L106=0,0,AE106/L106)</f>
        <v>0.367684478371501</v>
      </c>
      <c r="AG106" s="22" t="str">
        <f aca="false">IF(AD106&lt;L106,"PASSARO","ATUAL")</f>
        <v>ATUAL</v>
      </c>
      <c r="AH106" s="22" t="str">
        <f aca="false">IF(P106&lt;&gt;A106,"Faixa cadastrada como "&amp;P106&amp;" na tabela; preço aplicado pela UF do CEP","")</f>
        <v/>
      </c>
      <c r="AI106" s="26" t="n">
        <v>139.8</v>
      </c>
      <c r="AJ106" s="22" t="str">
        <f aca="false">INDEX('Tabela Passaro'!$X$2:$X$1795,$N106)</f>
        <v>CAPITAL</v>
      </c>
    </row>
    <row r="107" customFormat="false" ht="15" hidden="false" customHeight="false" outlineLevel="0" collapsed="false">
      <c r="A107" s="22" t="s">
        <v>15</v>
      </c>
      <c r="B107" s="22" t="n">
        <v>1</v>
      </c>
      <c r="C107" s="22" t="s">
        <v>59</v>
      </c>
      <c r="D107" s="22" t="s">
        <v>31</v>
      </c>
      <c r="E107" s="22" t="s">
        <v>7326</v>
      </c>
      <c r="F107" s="22" t="n">
        <v>12844834</v>
      </c>
      <c r="G107" s="30" t="n">
        <v>46259</v>
      </c>
      <c r="H107" s="22" t="n">
        <v>628420</v>
      </c>
      <c r="I107" s="22" t="s">
        <v>7429</v>
      </c>
      <c r="J107" s="31" t="n">
        <v>20.8</v>
      </c>
      <c r="K107" s="26" t="n">
        <v>594.34</v>
      </c>
      <c r="L107" s="26" t="n">
        <v>89.15</v>
      </c>
      <c r="M107" s="22" t="s">
        <v>283</v>
      </c>
      <c r="N107" s="22" t="n">
        <f aca="false">MATCH(M107,'Tabela Passaro'!$A$2:$A$1795,0)</f>
        <v>1</v>
      </c>
      <c r="O107" s="22" t="str">
        <f aca="false">INDEX('Tabela Passaro'!$C$2:$C$1795,$N107)</f>
        <v>MACEIO</v>
      </c>
      <c r="P107" s="22" t="str">
        <f aca="false">INDEX('Tabela Passaro'!$B$2:$B$1795,$N107)</f>
        <v>AL</v>
      </c>
      <c r="Q107" s="22" t="n">
        <f aca="false">INDEX('Tabela Passaro'!$F$2:$F$1795,$N107)</f>
        <v>8</v>
      </c>
      <c r="R107" s="32" t="n">
        <f aca="false">IF(J107&lt;=10,INDEX('Tabela Passaro'!$G$2:$G$1795,$N107),IF(J107&lt;=30,INDEX('Tabela Passaro'!$H$2:$H$1795,$N107),IF(J107&lt;=50,INDEX('Tabela Passaro'!$I$2:$I$1795,$N107),IF(J107&lt;=70,INDEX('Tabela Passaro'!$J$2:$J$1795,$N107),IF(J107&lt;=100,INDEX('Tabela Passaro'!$K$2:$K$1795,$N107),INDEX('Tabela Passaro'!$K$2:$K$1795,$N107)+(J107-100)*INDEX('Tabela Passaro'!$L$2:$L$1795,$N107))))))</f>
        <v>66.94</v>
      </c>
      <c r="S107" s="32" t="n">
        <f aca="false">K107*INDEX('Tabela Passaro'!$M$2:$M$1795,$N107)</f>
        <v>2.9717</v>
      </c>
      <c r="T107" s="32" t="n">
        <f aca="false">K107*INDEX('Tabela Passaro'!$N$2:$N$1795,$N107)</f>
        <v>1.18868</v>
      </c>
      <c r="U107" s="32" t="n">
        <f aca="false">INDEX('Tabela Passaro'!$O$2:$O$1795,$N107)</f>
        <v>5</v>
      </c>
      <c r="V107" s="32" t="n">
        <f aca="false">ROUNDUP(J107/INDEX('Tabela Passaro'!$Q$2:$Q$1795,$N107),0)*INDEX('Tabela Passaro'!$P$2:$P$1795,$N107)</f>
        <v>5</v>
      </c>
      <c r="W107" s="32" t="n">
        <f aca="false">INDEX('Tabela Passaro'!$R$2:$R$1795,$N107)</f>
        <v>30</v>
      </c>
      <c r="X107" s="32" t="n">
        <f aca="false">ROUNDUP(J107/INDEX('Tabela Passaro'!$T$2:$T$1795,$N107),0)*INDEX('Tabela Passaro'!$S$2:$S$1795,$N107)</f>
        <v>0</v>
      </c>
      <c r="Y107" s="32" t="n">
        <f aca="false">INDEX('Tabela Passaro'!$U$2:$U$1795,$N107)</f>
        <v>0</v>
      </c>
      <c r="Z107" s="32" t="n">
        <f aca="false">INDEX('Tabela Passaro'!$V$2:$V$1795,$N107)</f>
        <v>0</v>
      </c>
      <c r="AA107" s="32" t="n">
        <f aca="false">SUM(R107:Z107)</f>
        <v>111.10038</v>
      </c>
      <c r="AB107" s="33" t="n">
        <f aca="false">INDEX(Premissas!$B$5:$B$13,MATCH(A107,Premissas!$A$5:$A$13,0))</f>
        <v>0.07</v>
      </c>
      <c r="AC107" s="32" t="n">
        <f aca="false">AA107/(1-AB107)-AA107</f>
        <v>8.3623941935484</v>
      </c>
      <c r="AD107" s="32" t="n">
        <f aca="false">ROUND(AA107+AC107,2)</f>
        <v>119.46</v>
      </c>
      <c r="AE107" s="32" t="n">
        <f aca="false">AD107-L107</f>
        <v>30.31</v>
      </c>
      <c r="AF107" s="34" t="n">
        <f aca="false">IF(L107=0,0,AE107/L107)</f>
        <v>0.339988782950084</v>
      </c>
      <c r="AG107" s="22" t="str">
        <f aca="false">IF(AD107&lt;L107,"PASSARO","ATUAL")</f>
        <v>ATUAL</v>
      </c>
      <c r="AH107" s="22" t="str">
        <f aca="false">IF(P107&lt;&gt;A107,"Faixa cadastrada como "&amp;P107&amp;" na tabela; preço aplicado pela UF do CEP","")</f>
        <v/>
      </c>
      <c r="AI107" s="26" t="n">
        <v>140.39</v>
      </c>
      <c r="AJ107" s="22" t="str">
        <f aca="false">INDEX('Tabela Passaro'!$X$2:$X$1795,$N107)</f>
        <v>CAPITAL</v>
      </c>
    </row>
    <row r="108" customFormat="false" ht="15" hidden="false" customHeight="false" outlineLevel="0" collapsed="false">
      <c r="A108" s="22" t="s">
        <v>15</v>
      </c>
      <c r="B108" s="22" t="n">
        <v>1</v>
      </c>
      <c r="C108" s="22" t="s">
        <v>59</v>
      </c>
      <c r="D108" s="22" t="s">
        <v>31</v>
      </c>
      <c r="E108" s="22" t="s">
        <v>7326</v>
      </c>
      <c r="F108" s="22" t="n">
        <v>12844944</v>
      </c>
      <c r="G108" s="30" t="n">
        <v>46259</v>
      </c>
      <c r="H108" s="22" t="n">
        <v>628950</v>
      </c>
      <c r="I108" s="22" t="s">
        <v>7430</v>
      </c>
      <c r="J108" s="31" t="n">
        <v>20.8</v>
      </c>
      <c r="K108" s="26" t="n">
        <v>593.78</v>
      </c>
      <c r="L108" s="26" t="n">
        <v>89.15</v>
      </c>
      <c r="M108" s="22" t="s">
        <v>283</v>
      </c>
      <c r="N108" s="22" t="n">
        <f aca="false">MATCH(M108,'Tabela Passaro'!$A$2:$A$1795,0)</f>
        <v>1</v>
      </c>
      <c r="O108" s="22" t="str">
        <f aca="false">INDEX('Tabela Passaro'!$C$2:$C$1795,$N108)</f>
        <v>MACEIO</v>
      </c>
      <c r="P108" s="22" t="str">
        <f aca="false">INDEX('Tabela Passaro'!$B$2:$B$1795,$N108)</f>
        <v>AL</v>
      </c>
      <c r="Q108" s="22" t="n">
        <f aca="false">INDEX('Tabela Passaro'!$F$2:$F$1795,$N108)</f>
        <v>8</v>
      </c>
      <c r="R108" s="32" t="n">
        <f aca="false">IF(J108&lt;=10,INDEX('Tabela Passaro'!$G$2:$G$1795,$N108),IF(J108&lt;=30,INDEX('Tabela Passaro'!$H$2:$H$1795,$N108),IF(J108&lt;=50,INDEX('Tabela Passaro'!$I$2:$I$1795,$N108),IF(J108&lt;=70,INDEX('Tabela Passaro'!$J$2:$J$1795,$N108),IF(J108&lt;=100,INDEX('Tabela Passaro'!$K$2:$K$1795,$N108),INDEX('Tabela Passaro'!$K$2:$K$1795,$N108)+(J108-100)*INDEX('Tabela Passaro'!$L$2:$L$1795,$N108))))))</f>
        <v>66.94</v>
      </c>
      <c r="S108" s="32" t="n">
        <f aca="false">K108*INDEX('Tabela Passaro'!$M$2:$M$1795,$N108)</f>
        <v>2.9689</v>
      </c>
      <c r="T108" s="32" t="n">
        <f aca="false">K108*INDEX('Tabela Passaro'!$N$2:$N$1795,$N108)</f>
        <v>1.18756</v>
      </c>
      <c r="U108" s="32" t="n">
        <f aca="false">INDEX('Tabela Passaro'!$O$2:$O$1795,$N108)</f>
        <v>5</v>
      </c>
      <c r="V108" s="32" t="n">
        <f aca="false">ROUNDUP(J108/INDEX('Tabela Passaro'!$Q$2:$Q$1795,$N108),0)*INDEX('Tabela Passaro'!$P$2:$P$1795,$N108)</f>
        <v>5</v>
      </c>
      <c r="W108" s="32" t="n">
        <f aca="false">INDEX('Tabela Passaro'!$R$2:$R$1795,$N108)</f>
        <v>30</v>
      </c>
      <c r="X108" s="32" t="n">
        <f aca="false">ROUNDUP(J108/INDEX('Tabela Passaro'!$T$2:$T$1795,$N108),0)*INDEX('Tabela Passaro'!$S$2:$S$1795,$N108)</f>
        <v>0</v>
      </c>
      <c r="Y108" s="32" t="n">
        <f aca="false">INDEX('Tabela Passaro'!$U$2:$U$1795,$N108)</f>
        <v>0</v>
      </c>
      <c r="Z108" s="32" t="n">
        <f aca="false">INDEX('Tabela Passaro'!$V$2:$V$1795,$N108)</f>
        <v>0</v>
      </c>
      <c r="AA108" s="32" t="n">
        <f aca="false">SUM(R108:Z108)</f>
        <v>111.09646</v>
      </c>
      <c r="AB108" s="33" t="n">
        <f aca="false">INDEX(Premissas!$B$5:$B$13,MATCH(A108,Premissas!$A$5:$A$13,0))</f>
        <v>0.07</v>
      </c>
      <c r="AC108" s="32" t="n">
        <f aca="false">AA108/(1-AB108)-AA108</f>
        <v>8.36209913978496</v>
      </c>
      <c r="AD108" s="32" t="n">
        <f aca="false">ROUND(AA108+AC108,2)</f>
        <v>119.46</v>
      </c>
      <c r="AE108" s="32" t="n">
        <f aca="false">AD108-L108</f>
        <v>30.31</v>
      </c>
      <c r="AF108" s="34" t="n">
        <f aca="false">IF(L108=0,0,AE108/L108)</f>
        <v>0.339988782950084</v>
      </c>
      <c r="AG108" s="22" t="str">
        <f aca="false">IF(AD108&lt;L108,"PASSARO","ATUAL")</f>
        <v>ATUAL</v>
      </c>
      <c r="AH108" s="22" t="str">
        <f aca="false">IF(P108&lt;&gt;A108,"Faixa cadastrada como "&amp;P108&amp;" na tabela; preço aplicado pela UF do CEP","")</f>
        <v/>
      </c>
      <c r="AI108" s="26" t="n">
        <v>140.38</v>
      </c>
      <c r="AJ108" s="22" t="str">
        <f aca="false">INDEX('Tabela Passaro'!$X$2:$X$1795,$N108)</f>
        <v>CAPITAL</v>
      </c>
    </row>
    <row r="109" customFormat="false" ht="15" hidden="false" customHeight="false" outlineLevel="0" collapsed="false">
      <c r="A109" s="22" t="s">
        <v>15</v>
      </c>
      <c r="B109" s="22" t="n">
        <v>1</v>
      </c>
      <c r="C109" s="22" t="s">
        <v>59</v>
      </c>
      <c r="D109" s="22" t="s">
        <v>31</v>
      </c>
      <c r="E109" s="22" t="s">
        <v>7326</v>
      </c>
      <c r="F109" s="22" t="n">
        <v>12856557</v>
      </c>
      <c r="G109" s="30" t="n">
        <v>46261</v>
      </c>
      <c r="H109" s="22" t="n">
        <v>629866</v>
      </c>
      <c r="I109" s="22" t="s">
        <v>7431</v>
      </c>
      <c r="J109" s="31" t="n">
        <v>22.3</v>
      </c>
      <c r="K109" s="26" t="n">
        <v>627.78</v>
      </c>
      <c r="L109" s="26" t="n">
        <v>87.06</v>
      </c>
      <c r="M109" s="22" t="s">
        <v>283</v>
      </c>
      <c r="N109" s="22" t="n">
        <f aca="false">MATCH(M109,'Tabela Passaro'!$A$2:$A$1795,0)</f>
        <v>1</v>
      </c>
      <c r="O109" s="22" t="str">
        <f aca="false">INDEX('Tabela Passaro'!$C$2:$C$1795,$N109)</f>
        <v>MACEIO</v>
      </c>
      <c r="P109" s="22" t="str">
        <f aca="false">INDEX('Tabela Passaro'!$B$2:$B$1795,$N109)</f>
        <v>AL</v>
      </c>
      <c r="Q109" s="22" t="n">
        <f aca="false">INDEX('Tabela Passaro'!$F$2:$F$1795,$N109)</f>
        <v>8</v>
      </c>
      <c r="R109" s="32" t="n">
        <f aca="false">IF(J109&lt;=10,INDEX('Tabela Passaro'!$G$2:$G$1795,$N109),IF(J109&lt;=30,INDEX('Tabela Passaro'!$H$2:$H$1795,$N109),IF(J109&lt;=50,INDEX('Tabela Passaro'!$I$2:$I$1795,$N109),IF(J109&lt;=70,INDEX('Tabela Passaro'!$J$2:$J$1795,$N109),IF(J109&lt;=100,INDEX('Tabela Passaro'!$K$2:$K$1795,$N109),INDEX('Tabela Passaro'!$K$2:$K$1795,$N109)+(J109-100)*INDEX('Tabela Passaro'!$L$2:$L$1795,$N109))))))</f>
        <v>66.94</v>
      </c>
      <c r="S109" s="32" t="n">
        <f aca="false">K109*INDEX('Tabela Passaro'!$M$2:$M$1795,$N109)</f>
        <v>3.1389</v>
      </c>
      <c r="T109" s="32" t="n">
        <f aca="false">K109*INDEX('Tabela Passaro'!$N$2:$N$1795,$N109)</f>
        <v>1.25556</v>
      </c>
      <c r="U109" s="32" t="n">
        <f aca="false">INDEX('Tabela Passaro'!$O$2:$O$1795,$N109)</f>
        <v>5</v>
      </c>
      <c r="V109" s="32" t="n">
        <f aca="false">ROUNDUP(J109/INDEX('Tabela Passaro'!$Q$2:$Q$1795,$N109),0)*INDEX('Tabela Passaro'!$P$2:$P$1795,$N109)</f>
        <v>5</v>
      </c>
      <c r="W109" s="32" t="n">
        <f aca="false">INDEX('Tabela Passaro'!$R$2:$R$1795,$N109)</f>
        <v>30</v>
      </c>
      <c r="X109" s="32" t="n">
        <f aca="false">ROUNDUP(J109/INDEX('Tabela Passaro'!$T$2:$T$1795,$N109),0)*INDEX('Tabela Passaro'!$S$2:$S$1795,$N109)</f>
        <v>0</v>
      </c>
      <c r="Y109" s="32" t="n">
        <f aca="false">INDEX('Tabela Passaro'!$U$2:$U$1795,$N109)</f>
        <v>0</v>
      </c>
      <c r="Z109" s="32" t="n">
        <f aca="false">INDEX('Tabela Passaro'!$V$2:$V$1795,$N109)</f>
        <v>0</v>
      </c>
      <c r="AA109" s="32" t="n">
        <f aca="false">SUM(R109:Z109)</f>
        <v>111.33446</v>
      </c>
      <c r="AB109" s="33" t="n">
        <f aca="false">INDEX(Premissas!$B$5:$B$13,MATCH(A109,Premissas!$A$5:$A$13,0))</f>
        <v>0.07</v>
      </c>
      <c r="AC109" s="32" t="n">
        <f aca="false">AA109/(1-AB109)-AA109</f>
        <v>8.38001311827958</v>
      </c>
      <c r="AD109" s="32" t="n">
        <f aca="false">ROUND(AA109+AC109,2)</f>
        <v>119.71</v>
      </c>
      <c r="AE109" s="32" t="n">
        <f aca="false">AD109-L109</f>
        <v>32.65</v>
      </c>
      <c r="AF109" s="34" t="n">
        <f aca="false">IF(L109=0,0,AE109/L109)</f>
        <v>0.375028715828164</v>
      </c>
      <c r="AG109" s="22" t="str">
        <f aca="false">IF(AD109&lt;L109,"PASSARO","ATUAL")</f>
        <v>ATUAL</v>
      </c>
      <c r="AH109" s="22" t="str">
        <f aca="false">IF(P109&lt;&gt;A109,"Faixa cadastrada como "&amp;P109&amp;" na tabela; preço aplicado pela UF do CEP","")</f>
        <v/>
      </c>
      <c r="AI109" s="26" t="n">
        <v>141.68</v>
      </c>
      <c r="AJ109" s="22" t="str">
        <f aca="false">INDEX('Tabela Passaro'!$X$2:$X$1795,$N109)</f>
        <v>CAPITAL</v>
      </c>
    </row>
    <row r="110" customFormat="false" ht="15" hidden="false" customHeight="false" outlineLevel="0" collapsed="false">
      <c r="A110" s="22" t="s">
        <v>15</v>
      </c>
      <c r="B110" s="22" t="n">
        <v>1</v>
      </c>
      <c r="C110" s="22" t="s">
        <v>59</v>
      </c>
      <c r="D110" s="22" t="s">
        <v>31</v>
      </c>
      <c r="E110" s="22" t="s">
        <v>7326</v>
      </c>
      <c r="F110" s="22" t="n">
        <v>12862932</v>
      </c>
      <c r="G110" s="30" t="n">
        <v>46262</v>
      </c>
      <c r="H110" s="22" t="n">
        <v>630480</v>
      </c>
      <c r="I110" s="22" t="s">
        <v>7432</v>
      </c>
      <c r="J110" s="31" t="n">
        <v>19.5</v>
      </c>
      <c r="K110" s="26" t="n">
        <v>483</v>
      </c>
      <c r="L110" s="26" t="n">
        <v>78.42</v>
      </c>
      <c r="M110" s="22" t="s">
        <v>283</v>
      </c>
      <c r="N110" s="22" t="n">
        <f aca="false">MATCH(M110,'Tabela Passaro'!$A$2:$A$1795,0)</f>
        <v>1</v>
      </c>
      <c r="O110" s="22" t="str">
        <f aca="false">INDEX('Tabela Passaro'!$C$2:$C$1795,$N110)</f>
        <v>MACEIO</v>
      </c>
      <c r="P110" s="22" t="str">
        <f aca="false">INDEX('Tabela Passaro'!$B$2:$B$1795,$N110)</f>
        <v>AL</v>
      </c>
      <c r="Q110" s="22" t="n">
        <f aca="false">INDEX('Tabela Passaro'!$F$2:$F$1795,$N110)</f>
        <v>8</v>
      </c>
      <c r="R110" s="32" t="n">
        <f aca="false">IF(J110&lt;=10,INDEX('Tabela Passaro'!$G$2:$G$1795,$N110),IF(J110&lt;=30,INDEX('Tabela Passaro'!$H$2:$H$1795,$N110),IF(J110&lt;=50,INDEX('Tabela Passaro'!$I$2:$I$1795,$N110),IF(J110&lt;=70,INDEX('Tabela Passaro'!$J$2:$J$1795,$N110),IF(J110&lt;=100,INDEX('Tabela Passaro'!$K$2:$K$1795,$N110),INDEX('Tabela Passaro'!$K$2:$K$1795,$N110)+(J110-100)*INDEX('Tabela Passaro'!$L$2:$L$1795,$N110))))))</f>
        <v>66.94</v>
      </c>
      <c r="S110" s="32" t="n">
        <f aca="false">K110*INDEX('Tabela Passaro'!$M$2:$M$1795,$N110)</f>
        <v>2.415</v>
      </c>
      <c r="T110" s="32" t="n">
        <f aca="false">K110*INDEX('Tabela Passaro'!$N$2:$N$1795,$N110)</f>
        <v>0.966</v>
      </c>
      <c r="U110" s="32" t="n">
        <f aca="false">INDEX('Tabela Passaro'!$O$2:$O$1795,$N110)</f>
        <v>5</v>
      </c>
      <c r="V110" s="32" t="n">
        <f aca="false">ROUNDUP(J110/INDEX('Tabela Passaro'!$Q$2:$Q$1795,$N110),0)*INDEX('Tabela Passaro'!$P$2:$P$1795,$N110)</f>
        <v>5</v>
      </c>
      <c r="W110" s="32" t="n">
        <f aca="false">INDEX('Tabela Passaro'!$R$2:$R$1795,$N110)</f>
        <v>30</v>
      </c>
      <c r="X110" s="32" t="n">
        <f aca="false">ROUNDUP(J110/INDEX('Tabela Passaro'!$T$2:$T$1795,$N110),0)*INDEX('Tabela Passaro'!$S$2:$S$1795,$N110)</f>
        <v>0</v>
      </c>
      <c r="Y110" s="32" t="n">
        <f aca="false">INDEX('Tabela Passaro'!$U$2:$U$1795,$N110)</f>
        <v>0</v>
      </c>
      <c r="Z110" s="32" t="n">
        <f aca="false">INDEX('Tabela Passaro'!$V$2:$V$1795,$N110)</f>
        <v>0</v>
      </c>
      <c r="AA110" s="32" t="n">
        <f aca="false">SUM(R110:Z110)</f>
        <v>110.321</v>
      </c>
      <c r="AB110" s="33" t="n">
        <f aca="false">INDEX(Premissas!$B$5:$B$13,MATCH(A110,Premissas!$A$5:$A$13,0))</f>
        <v>0.07</v>
      </c>
      <c r="AC110" s="32" t="n">
        <f aca="false">AA110/(1-AB110)-AA110</f>
        <v>8.3037311827957</v>
      </c>
      <c r="AD110" s="32" t="n">
        <f aca="false">ROUND(AA110+AC110,2)</f>
        <v>118.62</v>
      </c>
      <c r="AE110" s="32" t="n">
        <f aca="false">AD110-L110</f>
        <v>40.2</v>
      </c>
      <c r="AF110" s="34" t="n">
        <f aca="false">IF(L110=0,0,AE110/L110)</f>
        <v>0.512624330527927</v>
      </c>
      <c r="AG110" s="22" t="str">
        <f aca="false">IF(AD110&lt;L110,"PASSARO","ATUAL")</f>
        <v>ATUAL</v>
      </c>
      <c r="AH110" s="22" t="str">
        <f aca="false">IF(P110&lt;&gt;A110,"Faixa cadastrada como "&amp;P110&amp;" na tabela; preço aplicado pela UF do CEP","")</f>
        <v/>
      </c>
      <c r="AI110" s="26" t="n">
        <v>138.82</v>
      </c>
      <c r="AJ110" s="22" t="str">
        <f aca="false">INDEX('Tabela Passaro'!$X$2:$X$1795,$N110)</f>
        <v>CAPITAL</v>
      </c>
    </row>
    <row r="111" customFormat="false" ht="15" hidden="false" customHeight="false" outlineLevel="0" collapsed="false">
      <c r="A111" s="22" t="s">
        <v>15</v>
      </c>
      <c r="B111" s="22" t="n">
        <v>1</v>
      </c>
      <c r="C111" s="22" t="s">
        <v>59</v>
      </c>
      <c r="D111" s="22" t="s">
        <v>35</v>
      </c>
      <c r="E111" s="22" t="s">
        <v>7399</v>
      </c>
      <c r="F111" s="22" t="n">
        <v>32243</v>
      </c>
      <c r="G111" s="30" t="n">
        <v>46265</v>
      </c>
      <c r="H111" s="22" t="n">
        <v>9007</v>
      </c>
      <c r="I111" s="22" t="s">
        <v>7433</v>
      </c>
      <c r="J111" s="31" t="n">
        <v>66.8</v>
      </c>
      <c r="K111" s="26" t="n">
        <v>847.95</v>
      </c>
      <c r="L111" s="26" t="n">
        <v>175.96</v>
      </c>
      <c r="M111" s="22" t="s">
        <v>283</v>
      </c>
      <c r="N111" s="22" t="n">
        <f aca="false">MATCH(M111,'Tabela Passaro'!$A$2:$A$1795,0)</f>
        <v>1</v>
      </c>
      <c r="O111" s="22" t="str">
        <f aca="false">INDEX('Tabela Passaro'!$C$2:$C$1795,$N111)</f>
        <v>MACEIO</v>
      </c>
      <c r="P111" s="22" t="str">
        <f aca="false">INDEX('Tabela Passaro'!$B$2:$B$1795,$N111)</f>
        <v>AL</v>
      </c>
      <c r="Q111" s="22" t="n">
        <f aca="false">INDEX('Tabela Passaro'!$F$2:$F$1795,$N111)</f>
        <v>8</v>
      </c>
      <c r="R111" s="32" t="n">
        <f aca="false">IF(J111&lt;=10,INDEX('Tabela Passaro'!$G$2:$G$1795,$N111),IF(J111&lt;=30,INDEX('Tabela Passaro'!$H$2:$H$1795,$N111),IF(J111&lt;=50,INDEX('Tabela Passaro'!$I$2:$I$1795,$N111),IF(J111&lt;=70,INDEX('Tabela Passaro'!$J$2:$J$1795,$N111),IF(J111&lt;=100,INDEX('Tabela Passaro'!$K$2:$K$1795,$N111),INDEX('Tabela Passaro'!$K$2:$K$1795,$N111)+(J111-100)*INDEX('Tabela Passaro'!$L$2:$L$1795,$N111))))))</f>
        <v>88.98</v>
      </c>
      <c r="S111" s="32" t="n">
        <f aca="false">K111*INDEX('Tabela Passaro'!$M$2:$M$1795,$N111)</f>
        <v>4.23975</v>
      </c>
      <c r="T111" s="32" t="n">
        <f aca="false">K111*INDEX('Tabela Passaro'!$N$2:$N$1795,$N111)</f>
        <v>1.6959</v>
      </c>
      <c r="U111" s="32" t="n">
        <f aca="false">INDEX('Tabela Passaro'!$O$2:$O$1795,$N111)</f>
        <v>5</v>
      </c>
      <c r="V111" s="32" t="n">
        <f aca="false">ROUNDUP(J111/INDEX('Tabela Passaro'!$Q$2:$Q$1795,$N111),0)*INDEX('Tabela Passaro'!$P$2:$P$1795,$N111)</f>
        <v>5</v>
      </c>
      <c r="W111" s="32" t="n">
        <f aca="false">INDEX('Tabela Passaro'!$R$2:$R$1795,$N111)</f>
        <v>30</v>
      </c>
      <c r="X111" s="32" t="n">
        <f aca="false">ROUNDUP(J111/INDEX('Tabela Passaro'!$T$2:$T$1795,$N111),0)*INDEX('Tabela Passaro'!$S$2:$S$1795,$N111)</f>
        <v>0</v>
      </c>
      <c r="Y111" s="32" t="n">
        <f aca="false">INDEX('Tabela Passaro'!$U$2:$U$1795,$N111)</f>
        <v>0</v>
      </c>
      <c r="Z111" s="32" t="n">
        <f aca="false">INDEX('Tabela Passaro'!$V$2:$V$1795,$N111)</f>
        <v>0</v>
      </c>
      <c r="AA111" s="32" t="n">
        <f aca="false">SUM(R111:Z111)</f>
        <v>134.91565</v>
      </c>
      <c r="AB111" s="33" t="n">
        <f aca="false">INDEX(Premissas!$B$5:$B$13,MATCH(A111,Premissas!$A$5:$A$13,0))</f>
        <v>0.07</v>
      </c>
      <c r="AC111" s="32" t="n">
        <f aca="false">AA111/(1-AB111)-AA111</f>
        <v>10.1549413978495</v>
      </c>
      <c r="AD111" s="32" t="n">
        <f aca="false">ROUND(AA111+AC111,2)</f>
        <v>145.07</v>
      </c>
      <c r="AE111" s="32" t="n">
        <f aca="false">AD111-L111</f>
        <v>-30.89</v>
      </c>
      <c r="AF111" s="34" t="n">
        <f aca="false">IF(L111=0,0,AE111/L111)</f>
        <v>-0.175551261650375</v>
      </c>
      <c r="AG111" s="22" t="str">
        <f aca="false">IF(AD111&lt;L111,"PASSARO","ATUAL")</f>
        <v>PASSARO</v>
      </c>
      <c r="AH111" s="22" t="str">
        <f aca="false">IF(P111&lt;&gt;A111,"Faixa cadastrada como "&amp;P111&amp;" na tabela; preço aplicado pela UF do CEP","")</f>
        <v/>
      </c>
      <c r="AI111" s="26" t="n">
        <v>190.15</v>
      </c>
      <c r="AJ111" s="22" t="str">
        <f aca="false">INDEX('Tabela Passaro'!$X$2:$X$1795,$N111)</f>
        <v>CAPITAL</v>
      </c>
    </row>
    <row r="112" customFormat="false" ht="15" hidden="false" customHeight="false" outlineLevel="0" collapsed="false">
      <c r="A112" s="22" t="s">
        <v>15</v>
      </c>
      <c r="B112" s="22" t="n">
        <v>2</v>
      </c>
      <c r="C112" s="22" t="s">
        <v>61</v>
      </c>
      <c r="D112" s="22" t="s">
        <v>30</v>
      </c>
      <c r="E112" s="22" t="s">
        <v>20</v>
      </c>
      <c r="F112" s="22" t="n">
        <v>837679</v>
      </c>
      <c r="G112" s="30" t="n">
        <v>46237</v>
      </c>
      <c r="H112" s="22" t="n">
        <v>32356</v>
      </c>
      <c r="I112" s="22" t="s">
        <v>7434</v>
      </c>
      <c r="J112" s="31" t="n">
        <v>17.2</v>
      </c>
      <c r="K112" s="26" t="n">
        <v>378.23</v>
      </c>
      <c r="L112" s="26" t="n">
        <v>113.7</v>
      </c>
      <c r="M112" s="22" t="s">
        <v>290</v>
      </c>
      <c r="N112" s="22" t="n">
        <f aca="false">MATCH(M112,'Tabela Passaro'!$A$2:$A$1795,0)</f>
        <v>3</v>
      </c>
      <c r="O112" s="22" t="str">
        <f aca="false">INDEX('Tabela Passaro'!$C$2:$C$1795,$N112)</f>
        <v>ARAPIRACA</v>
      </c>
      <c r="P112" s="22" t="str">
        <f aca="false">INDEX('Tabela Passaro'!$B$2:$B$1795,$N112)</f>
        <v>AL</v>
      </c>
      <c r="Q112" s="22" t="n">
        <f aca="false">INDEX('Tabela Passaro'!$F$2:$F$1795,$N112)</f>
        <v>10</v>
      </c>
      <c r="R112" s="32" t="n">
        <f aca="false">IF(J112&lt;=10,INDEX('Tabela Passaro'!$G$2:$G$1795,$N112),IF(J112&lt;=30,INDEX('Tabela Passaro'!$H$2:$H$1795,$N112),IF(J112&lt;=50,INDEX('Tabela Passaro'!$I$2:$I$1795,$N112),IF(J112&lt;=70,INDEX('Tabela Passaro'!$J$2:$J$1795,$N112),IF(J112&lt;=100,INDEX('Tabela Passaro'!$K$2:$K$1795,$N112),INDEX('Tabela Passaro'!$K$2:$K$1795,$N112)+(J112-100)*INDEX('Tabela Passaro'!$L$2:$L$1795,$N112))))))</f>
        <v>87.26</v>
      </c>
      <c r="S112" s="32" t="n">
        <f aca="false">K112*INDEX('Tabela Passaro'!$M$2:$M$1795,$N112)</f>
        <v>1.89115</v>
      </c>
      <c r="T112" s="32" t="n">
        <f aca="false">K112*INDEX('Tabela Passaro'!$N$2:$N$1795,$N112)</f>
        <v>0.75646</v>
      </c>
      <c r="U112" s="32" t="n">
        <f aca="false">INDEX('Tabela Passaro'!$O$2:$O$1795,$N112)</f>
        <v>5</v>
      </c>
      <c r="V112" s="32" t="n">
        <f aca="false">ROUNDUP(J112/INDEX('Tabela Passaro'!$Q$2:$Q$1795,$N112),0)*INDEX('Tabela Passaro'!$P$2:$P$1795,$N112)</f>
        <v>5</v>
      </c>
      <c r="W112" s="32" t="n">
        <f aca="false">INDEX('Tabela Passaro'!$R$2:$R$1795,$N112)</f>
        <v>30</v>
      </c>
      <c r="X112" s="32" t="n">
        <f aca="false">ROUNDUP(J112/INDEX('Tabela Passaro'!$T$2:$T$1795,$N112),0)*INDEX('Tabela Passaro'!$S$2:$S$1795,$N112)</f>
        <v>0</v>
      </c>
      <c r="Y112" s="32" t="n">
        <f aca="false">INDEX('Tabela Passaro'!$U$2:$U$1795,$N112)</f>
        <v>0</v>
      </c>
      <c r="Z112" s="32" t="n">
        <f aca="false">INDEX('Tabela Passaro'!$V$2:$V$1795,$N112)</f>
        <v>0</v>
      </c>
      <c r="AA112" s="32" t="n">
        <f aca="false">SUM(R112:Z112)</f>
        <v>129.90761</v>
      </c>
      <c r="AB112" s="33" t="n">
        <f aca="false">INDEX(Premissas!$B$5:$B$13,MATCH(A112,Premissas!$A$5:$A$13,0))</f>
        <v>0.07</v>
      </c>
      <c r="AC112" s="32" t="n">
        <f aca="false">AA112/(1-AB112)-AA112</f>
        <v>9.77799215053764</v>
      </c>
      <c r="AD112" s="32" t="n">
        <f aca="false">ROUND(AA112+AC112,2)</f>
        <v>139.69</v>
      </c>
      <c r="AE112" s="32" t="n">
        <f aca="false">AD112-L112</f>
        <v>25.99</v>
      </c>
      <c r="AF112" s="34" t="n">
        <f aca="false">IF(L112=0,0,AE112/L112)</f>
        <v>0.22858399296394</v>
      </c>
      <c r="AG112" s="22" t="str">
        <f aca="false">IF(AD112&lt;L112,"PASSARO","ATUAL")</f>
        <v>ATUAL</v>
      </c>
      <c r="AH112" s="22" t="str">
        <f aca="false">IF(P112&lt;&gt;A112,"Faixa cadastrada como "&amp;P112&amp;" na tabela; preço aplicado pela UF do CEP","")</f>
        <v/>
      </c>
      <c r="AI112" s="26" t="n">
        <v>143.81</v>
      </c>
      <c r="AJ112" s="22" t="str">
        <f aca="false">INDEX('Tabela Passaro'!$X$2:$X$1795,$N112)</f>
        <v>INTERIOR 1</v>
      </c>
    </row>
    <row r="113" customFormat="false" ht="15" hidden="false" customHeight="false" outlineLevel="0" collapsed="false">
      <c r="A113" s="22" t="s">
        <v>15</v>
      </c>
      <c r="B113" s="22" t="n">
        <v>2</v>
      </c>
      <c r="C113" s="22" t="s">
        <v>61</v>
      </c>
      <c r="D113" s="22" t="s">
        <v>30</v>
      </c>
      <c r="E113" s="22" t="s">
        <v>20</v>
      </c>
      <c r="F113" s="22" t="n">
        <v>837681</v>
      </c>
      <c r="G113" s="30" t="n">
        <v>46237</v>
      </c>
      <c r="H113" s="22" t="n">
        <v>32358</v>
      </c>
      <c r="I113" s="22" t="s">
        <v>7435</v>
      </c>
      <c r="J113" s="31" t="n">
        <v>30.9</v>
      </c>
      <c r="K113" s="26" t="n">
        <v>543.62</v>
      </c>
      <c r="L113" s="26" t="n">
        <v>149.95</v>
      </c>
      <c r="M113" s="22" t="s">
        <v>290</v>
      </c>
      <c r="N113" s="22" t="n">
        <f aca="false">MATCH(M113,'Tabela Passaro'!$A$2:$A$1795,0)</f>
        <v>3</v>
      </c>
      <c r="O113" s="22" t="str">
        <f aca="false">INDEX('Tabela Passaro'!$C$2:$C$1795,$N113)</f>
        <v>ARAPIRACA</v>
      </c>
      <c r="P113" s="22" t="str">
        <f aca="false">INDEX('Tabela Passaro'!$B$2:$B$1795,$N113)</f>
        <v>AL</v>
      </c>
      <c r="Q113" s="22" t="n">
        <f aca="false">INDEX('Tabela Passaro'!$F$2:$F$1795,$N113)</f>
        <v>10</v>
      </c>
      <c r="R113" s="32" t="n">
        <f aca="false">IF(J113&lt;=10,INDEX('Tabela Passaro'!$G$2:$G$1795,$N113),IF(J113&lt;=30,INDEX('Tabela Passaro'!$H$2:$H$1795,$N113),IF(J113&lt;=50,INDEX('Tabela Passaro'!$I$2:$I$1795,$N113),IF(J113&lt;=70,INDEX('Tabela Passaro'!$J$2:$J$1795,$N113),IF(J113&lt;=100,INDEX('Tabela Passaro'!$K$2:$K$1795,$N113),INDEX('Tabela Passaro'!$K$2:$K$1795,$N113)+(J113-100)*INDEX('Tabela Passaro'!$L$2:$L$1795,$N113))))))</f>
        <v>109.29</v>
      </c>
      <c r="S113" s="32" t="n">
        <f aca="false">K113*INDEX('Tabela Passaro'!$M$2:$M$1795,$N113)</f>
        <v>2.7181</v>
      </c>
      <c r="T113" s="32" t="n">
        <f aca="false">K113*INDEX('Tabela Passaro'!$N$2:$N$1795,$N113)</f>
        <v>1.08724</v>
      </c>
      <c r="U113" s="32" t="n">
        <f aca="false">INDEX('Tabela Passaro'!$O$2:$O$1795,$N113)</f>
        <v>5</v>
      </c>
      <c r="V113" s="32" t="n">
        <f aca="false">ROUNDUP(J113/INDEX('Tabela Passaro'!$Q$2:$Q$1795,$N113),0)*INDEX('Tabela Passaro'!$P$2:$P$1795,$N113)</f>
        <v>5</v>
      </c>
      <c r="W113" s="32" t="n">
        <f aca="false">INDEX('Tabela Passaro'!$R$2:$R$1795,$N113)</f>
        <v>30</v>
      </c>
      <c r="X113" s="32" t="n">
        <f aca="false">ROUNDUP(J113/INDEX('Tabela Passaro'!$T$2:$T$1795,$N113),0)*INDEX('Tabela Passaro'!$S$2:$S$1795,$N113)</f>
        <v>0</v>
      </c>
      <c r="Y113" s="32" t="n">
        <f aca="false">INDEX('Tabela Passaro'!$U$2:$U$1795,$N113)</f>
        <v>0</v>
      </c>
      <c r="Z113" s="32" t="n">
        <f aca="false">INDEX('Tabela Passaro'!$V$2:$V$1795,$N113)</f>
        <v>0</v>
      </c>
      <c r="AA113" s="32" t="n">
        <f aca="false">SUM(R113:Z113)</f>
        <v>153.09534</v>
      </c>
      <c r="AB113" s="33" t="n">
        <f aca="false">INDEX(Premissas!$B$5:$B$13,MATCH(A113,Premissas!$A$5:$A$13,0))</f>
        <v>0.07</v>
      </c>
      <c r="AC113" s="32" t="n">
        <f aca="false">AA113/(1-AB113)-AA113</f>
        <v>11.5233051612903</v>
      </c>
      <c r="AD113" s="32" t="n">
        <f aca="false">ROUND(AA113+AC113,2)</f>
        <v>164.62</v>
      </c>
      <c r="AE113" s="32" t="n">
        <f aca="false">AD113-L113</f>
        <v>14.67</v>
      </c>
      <c r="AF113" s="34" t="n">
        <f aca="false">IF(L113=0,0,AE113/L113)</f>
        <v>0.0978326108702902</v>
      </c>
      <c r="AG113" s="22" t="str">
        <f aca="false">IF(AD113&lt;L113,"PASSARO","ATUAL")</f>
        <v>ATUAL</v>
      </c>
      <c r="AH113" s="22" t="str">
        <f aca="false">IF(P113&lt;&gt;A113,"Faixa cadastrada como "&amp;P113&amp;" na tabela; preço aplicado pela UF do CEP","")</f>
        <v/>
      </c>
      <c r="AI113" s="26" t="n">
        <v>176.74</v>
      </c>
      <c r="AJ113" s="22" t="str">
        <f aca="false">INDEX('Tabela Passaro'!$X$2:$X$1795,$N113)</f>
        <v>INTERIOR 1</v>
      </c>
    </row>
    <row r="114" customFormat="false" ht="15" hidden="false" customHeight="false" outlineLevel="0" collapsed="false">
      <c r="A114" s="22" t="s">
        <v>15</v>
      </c>
      <c r="B114" s="22" t="n">
        <v>2</v>
      </c>
      <c r="C114" s="22" t="s">
        <v>61</v>
      </c>
      <c r="D114" s="22" t="s">
        <v>30</v>
      </c>
      <c r="E114" s="22" t="s">
        <v>20</v>
      </c>
      <c r="F114" s="22" t="n">
        <v>837700</v>
      </c>
      <c r="G114" s="30" t="n">
        <v>46237</v>
      </c>
      <c r="H114" s="22" t="n">
        <v>32377</v>
      </c>
      <c r="I114" s="22" t="s">
        <v>7436</v>
      </c>
      <c r="J114" s="31" t="n">
        <v>65</v>
      </c>
      <c r="K114" s="26" t="n">
        <v>913.37</v>
      </c>
      <c r="L114" s="26" t="n">
        <v>190.44</v>
      </c>
      <c r="M114" s="22" t="s">
        <v>290</v>
      </c>
      <c r="N114" s="22" t="n">
        <f aca="false">MATCH(M114,'Tabela Passaro'!$A$2:$A$1795,0)</f>
        <v>3</v>
      </c>
      <c r="O114" s="22" t="str">
        <f aca="false">INDEX('Tabela Passaro'!$C$2:$C$1795,$N114)</f>
        <v>ARAPIRACA</v>
      </c>
      <c r="P114" s="22" t="str">
        <f aca="false">INDEX('Tabela Passaro'!$B$2:$B$1795,$N114)</f>
        <v>AL</v>
      </c>
      <c r="Q114" s="22" t="n">
        <f aca="false">INDEX('Tabela Passaro'!$F$2:$F$1795,$N114)</f>
        <v>10</v>
      </c>
      <c r="R114" s="32" t="n">
        <f aca="false">IF(J114&lt;=10,INDEX('Tabela Passaro'!$G$2:$G$1795,$N114),IF(J114&lt;=30,INDEX('Tabela Passaro'!$H$2:$H$1795,$N114),IF(J114&lt;=50,INDEX('Tabela Passaro'!$I$2:$I$1795,$N114),IF(J114&lt;=70,INDEX('Tabela Passaro'!$J$2:$J$1795,$N114),IF(J114&lt;=100,INDEX('Tabela Passaro'!$K$2:$K$1795,$N114),INDEX('Tabela Passaro'!$K$2:$K$1795,$N114)+(J114-100)*INDEX('Tabela Passaro'!$L$2:$L$1795,$N114))))))</f>
        <v>120.31</v>
      </c>
      <c r="S114" s="32" t="n">
        <f aca="false">K114*INDEX('Tabela Passaro'!$M$2:$M$1795,$N114)</f>
        <v>4.56685</v>
      </c>
      <c r="T114" s="32" t="n">
        <f aca="false">K114*INDEX('Tabela Passaro'!$N$2:$N$1795,$N114)</f>
        <v>1.82674</v>
      </c>
      <c r="U114" s="32" t="n">
        <f aca="false">INDEX('Tabela Passaro'!$O$2:$O$1795,$N114)</f>
        <v>5</v>
      </c>
      <c r="V114" s="32" t="n">
        <f aca="false">ROUNDUP(J114/INDEX('Tabela Passaro'!$Q$2:$Q$1795,$N114),0)*INDEX('Tabela Passaro'!$P$2:$P$1795,$N114)</f>
        <v>5</v>
      </c>
      <c r="W114" s="32" t="n">
        <f aca="false">INDEX('Tabela Passaro'!$R$2:$R$1795,$N114)</f>
        <v>30</v>
      </c>
      <c r="X114" s="32" t="n">
        <f aca="false">ROUNDUP(J114/INDEX('Tabela Passaro'!$T$2:$T$1795,$N114),0)*INDEX('Tabela Passaro'!$S$2:$S$1795,$N114)</f>
        <v>0</v>
      </c>
      <c r="Y114" s="32" t="n">
        <f aca="false">INDEX('Tabela Passaro'!$U$2:$U$1795,$N114)</f>
        <v>0</v>
      </c>
      <c r="Z114" s="32" t="n">
        <f aca="false">INDEX('Tabela Passaro'!$V$2:$V$1795,$N114)</f>
        <v>0</v>
      </c>
      <c r="AA114" s="32" t="n">
        <f aca="false">SUM(R114:Z114)</f>
        <v>166.70359</v>
      </c>
      <c r="AB114" s="33" t="n">
        <f aca="false">INDEX(Premissas!$B$5:$B$13,MATCH(A114,Premissas!$A$5:$A$13,0))</f>
        <v>0.07</v>
      </c>
      <c r="AC114" s="32" t="n">
        <f aca="false">AA114/(1-AB114)-AA114</f>
        <v>12.5475820430108</v>
      </c>
      <c r="AD114" s="32" t="n">
        <f aca="false">ROUND(AA114+AC114,2)</f>
        <v>179.25</v>
      </c>
      <c r="AE114" s="32" t="n">
        <f aca="false">AD114-L114</f>
        <v>-11.19</v>
      </c>
      <c r="AF114" s="34" t="n">
        <f aca="false">IF(L114=0,0,AE114/L114)</f>
        <v>-0.0587586641461878</v>
      </c>
      <c r="AG114" s="22" t="str">
        <f aca="false">IF(AD114&lt;L114,"PASSARO","ATUAL")</f>
        <v>PASSARO</v>
      </c>
      <c r="AH114" s="22" t="str">
        <f aca="false">IF(P114&lt;&gt;A114,"Faixa cadastrada como "&amp;P114&amp;" na tabela; preço aplicado pela UF do CEP","")</f>
        <v/>
      </c>
      <c r="AI114" s="26" t="n">
        <v>209.3</v>
      </c>
      <c r="AJ114" s="22" t="str">
        <f aca="false">INDEX('Tabela Passaro'!$X$2:$X$1795,$N114)</f>
        <v>INTERIOR 1</v>
      </c>
    </row>
    <row r="115" customFormat="false" ht="15" hidden="false" customHeight="false" outlineLevel="0" collapsed="false">
      <c r="A115" s="22" t="s">
        <v>15</v>
      </c>
      <c r="B115" s="22" t="n">
        <v>2</v>
      </c>
      <c r="C115" s="22" t="s">
        <v>61</v>
      </c>
      <c r="D115" s="22" t="s">
        <v>30</v>
      </c>
      <c r="E115" s="22" t="s">
        <v>7328</v>
      </c>
      <c r="F115" s="22" t="n">
        <v>2307423</v>
      </c>
      <c r="G115" s="30" t="n">
        <v>46238</v>
      </c>
      <c r="H115" s="22" t="n">
        <v>131284</v>
      </c>
      <c r="I115" s="22" t="s">
        <v>7437</v>
      </c>
      <c r="J115" s="31" t="n">
        <v>51.06</v>
      </c>
      <c r="K115" s="26" t="n">
        <v>963.4</v>
      </c>
      <c r="L115" s="26" t="n">
        <v>210.19</v>
      </c>
      <c r="M115" s="22" t="s">
        <v>290</v>
      </c>
      <c r="N115" s="22" t="n">
        <f aca="false">MATCH(M115,'Tabela Passaro'!$A$2:$A$1795,0)</f>
        <v>3</v>
      </c>
      <c r="O115" s="22" t="str">
        <f aca="false">INDEX('Tabela Passaro'!$C$2:$C$1795,$N115)</f>
        <v>ARAPIRACA</v>
      </c>
      <c r="P115" s="22" t="str">
        <f aca="false">INDEX('Tabela Passaro'!$B$2:$B$1795,$N115)</f>
        <v>AL</v>
      </c>
      <c r="Q115" s="22" t="n">
        <f aca="false">INDEX('Tabela Passaro'!$F$2:$F$1795,$N115)</f>
        <v>10</v>
      </c>
      <c r="R115" s="32" t="n">
        <f aca="false">IF(J115&lt;=10,INDEX('Tabela Passaro'!$G$2:$G$1795,$N115),IF(J115&lt;=30,INDEX('Tabela Passaro'!$H$2:$H$1795,$N115),IF(J115&lt;=50,INDEX('Tabela Passaro'!$I$2:$I$1795,$N115),IF(J115&lt;=70,INDEX('Tabela Passaro'!$J$2:$J$1795,$N115),IF(J115&lt;=100,INDEX('Tabela Passaro'!$K$2:$K$1795,$N115),INDEX('Tabela Passaro'!$K$2:$K$1795,$N115)+(J115-100)*INDEX('Tabela Passaro'!$L$2:$L$1795,$N115))))))</f>
        <v>120.31</v>
      </c>
      <c r="S115" s="32" t="n">
        <f aca="false">K115*INDEX('Tabela Passaro'!$M$2:$M$1795,$N115)</f>
        <v>4.817</v>
      </c>
      <c r="T115" s="32" t="n">
        <f aca="false">K115*INDEX('Tabela Passaro'!$N$2:$N$1795,$N115)</f>
        <v>1.9268</v>
      </c>
      <c r="U115" s="32" t="n">
        <f aca="false">INDEX('Tabela Passaro'!$O$2:$O$1795,$N115)</f>
        <v>5</v>
      </c>
      <c r="V115" s="32" t="n">
        <f aca="false">ROUNDUP(J115/INDEX('Tabela Passaro'!$Q$2:$Q$1795,$N115),0)*INDEX('Tabela Passaro'!$P$2:$P$1795,$N115)</f>
        <v>5</v>
      </c>
      <c r="W115" s="32" t="n">
        <f aca="false">INDEX('Tabela Passaro'!$R$2:$R$1795,$N115)</f>
        <v>30</v>
      </c>
      <c r="X115" s="32" t="n">
        <f aca="false">ROUNDUP(J115/INDEX('Tabela Passaro'!$T$2:$T$1795,$N115),0)*INDEX('Tabela Passaro'!$S$2:$S$1795,$N115)</f>
        <v>0</v>
      </c>
      <c r="Y115" s="32" t="n">
        <f aca="false">INDEX('Tabela Passaro'!$U$2:$U$1795,$N115)</f>
        <v>0</v>
      </c>
      <c r="Z115" s="32" t="n">
        <f aca="false">INDEX('Tabela Passaro'!$V$2:$V$1795,$N115)</f>
        <v>0</v>
      </c>
      <c r="AA115" s="32" t="n">
        <f aca="false">SUM(R115:Z115)</f>
        <v>167.0538</v>
      </c>
      <c r="AB115" s="33" t="n">
        <f aca="false">INDEX(Premissas!$B$5:$B$13,MATCH(A115,Premissas!$A$5:$A$13,0))</f>
        <v>0.07</v>
      </c>
      <c r="AC115" s="32" t="n">
        <f aca="false">AA115/(1-AB115)-AA115</f>
        <v>12.5739419354839</v>
      </c>
      <c r="AD115" s="32" t="n">
        <f aca="false">ROUND(AA115+AC115,2)</f>
        <v>179.63</v>
      </c>
      <c r="AE115" s="32" t="n">
        <f aca="false">AD115-L115</f>
        <v>-30.56</v>
      </c>
      <c r="AF115" s="34" t="n">
        <f aca="false">IF(L115=0,0,AE115/L115)</f>
        <v>-0.145392264141967</v>
      </c>
      <c r="AG115" s="22" t="str">
        <f aca="false">IF(AD115&lt;L115,"PASSARO","ATUAL")</f>
        <v>PASSARO</v>
      </c>
      <c r="AH115" s="22" t="str">
        <f aca="false">IF(P115&lt;&gt;A115,"Faixa cadastrada como "&amp;P115&amp;" na tabela; preço aplicado pela UF do CEP","")</f>
        <v/>
      </c>
      <c r="AI115" s="26" t="n">
        <v>203.5</v>
      </c>
      <c r="AJ115" s="22" t="str">
        <f aca="false">INDEX('Tabela Passaro'!$X$2:$X$1795,$N115)</f>
        <v>INTERIOR 1</v>
      </c>
    </row>
    <row r="116" customFormat="false" ht="15" hidden="false" customHeight="false" outlineLevel="0" collapsed="false">
      <c r="A116" s="22" t="s">
        <v>15</v>
      </c>
      <c r="B116" s="22" t="n">
        <v>2</v>
      </c>
      <c r="C116" s="22" t="s">
        <v>61</v>
      </c>
      <c r="D116" s="22" t="s">
        <v>30</v>
      </c>
      <c r="E116" s="22" t="s">
        <v>7328</v>
      </c>
      <c r="F116" s="22" t="n">
        <v>2307435</v>
      </c>
      <c r="G116" s="30" t="n">
        <v>46238</v>
      </c>
      <c r="H116" s="22" t="n">
        <v>131294</v>
      </c>
      <c r="I116" s="22" t="s">
        <v>7438</v>
      </c>
      <c r="J116" s="31" t="n">
        <v>27.4</v>
      </c>
      <c r="K116" s="26" t="n">
        <v>500.91</v>
      </c>
      <c r="L116" s="26" t="n">
        <v>125.28</v>
      </c>
      <c r="M116" s="22" t="s">
        <v>290</v>
      </c>
      <c r="N116" s="22" t="n">
        <f aca="false">MATCH(M116,'Tabela Passaro'!$A$2:$A$1795,0)</f>
        <v>3</v>
      </c>
      <c r="O116" s="22" t="str">
        <f aca="false">INDEX('Tabela Passaro'!$C$2:$C$1795,$N116)</f>
        <v>ARAPIRACA</v>
      </c>
      <c r="P116" s="22" t="str">
        <f aca="false">INDEX('Tabela Passaro'!$B$2:$B$1795,$N116)</f>
        <v>AL</v>
      </c>
      <c r="Q116" s="22" t="n">
        <f aca="false">INDEX('Tabela Passaro'!$F$2:$F$1795,$N116)</f>
        <v>10</v>
      </c>
      <c r="R116" s="32" t="n">
        <f aca="false">IF(J116&lt;=10,INDEX('Tabela Passaro'!$G$2:$G$1795,$N116),IF(J116&lt;=30,INDEX('Tabela Passaro'!$H$2:$H$1795,$N116),IF(J116&lt;=50,INDEX('Tabela Passaro'!$I$2:$I$1795,$N116),IF(J116&lt;=70,INDEX('Tabela Passaro'!$J$2:$J$1795,$N116),IF(J116&lt;=100,INDEX('Tabela Passaro'!$K$2:$K$1795,$N116),INDEX('Tabela Passaro'!$K$2:$K$1795,$N116)+(J116-100)*INDEX('Tabela Passaro'!$L$2:$L$1795,$N116))))))</f>
        <v>87.26</v>
      </c>
      <c r="S116" s="32" t="n">
        <f aca="false">K116*INDEX('Tabela Passaro'!$M$2:$M$1795,$N116)</f>
        <v>2.50455</v>
      </c>
      <c r="T116" s="32" t="n">
        <f aca="false">K116*INDEX('Tabela Passaro'!$N$2:$N$1795,$N116)</f>
        <v>1.00182</v>
      </c>
      <c r="U116" s="32" t="n">
        <f aca="false">INDEX('Tabela Passaro'!$O$2:$O$1795,$N116)</f>
        <v>5</v>
      </c>
      <c r="V116" s="32" t="n">
        <f aca="false">ROUNDUP(J116/INDEX('Tabela Passaro'!$Q$2:$Q$1795,$N116),0)*INDEX('Tabela Passaro'!$P$2:$P$1795,$N116)</f>
        <v>5</v>
      </c>
      <c r="W116" s="32" t="n">
        <f aca="false">INDEX('Tabela Passaro'!$R$2:$R$1795,$N116)</f>
        <v>30</v>
      </c>
      <c r="X116" s="32" t="n">
        <f aca="false">ROUNDUP(J116/INDEX('Tabela Passaro'!$T$2:$T$1795,$N116),0)*INDEX('Tabela Passaro'!$S$2:$S$1795,$N116)</f>
        <v>0</v>
      </c>
      <c r="Y116" s="32" t="n">
        <f aca="false">INDEX('Tabela Passaro'!$U$2:$U$1795,$N116)</f>
        <v>0</v>
      </c>
      <c r="Z116" s="32" t="n">
        <f aca="false">INDEX('Tabela Passaro'!$V$2:$V$1795,$N116)</f>
        <v>0</v>
      </c>
      <c r="AA116" s="32" t="n">
        <f aca="false">SUM(R116:Z116)</f>
        <v>130.76637</v>
      </c>
      <c r="AB116" s="33" t="n">
        <f aca="false">INDEX(Premissas!$B$5:$B$13,MATCH(A116,Premissas!$A$5:$A$13,0))</f>
        <v>0.07</v>
      </c>
      <c r="AC116" s="32" t="n">
        <f aca="false">AA116/(1-AB116)-AA116</f>
        <v>9.84263000000001</v>
      </c>
      <c r="AD116" s="32" t="n">
        <f aca="false">ROUND(AA116+AC116,2)</f>
        <v>140.61</v>
      </c>
      <c r="AE116" s="32" t="n">
        <f aca="false">AD116-L116</f>
        <v>15.33</v>
      </c>
      <c r="AF116" s="34" t="n">
        <f aca="false">IF(L116=0,0,AE116/L116)</f>
        <v>0.122365900383142</v>
      </c>
      <c r="AG116" s="22" t="str">
        <f aca="false">IF(AD116&lt;L116,"PASSARO","ATUAL")</f>
        <v>ATUAL</v>
      </c>
      <c r="AH116" s="22" t="str">
        <f aca="false">IF(P116&lt;&gt;A116,"Faixa cadastrada como "&amp;P116&amp;" na tabela; preço aplicado pela UF do CEP","")</f>
        <v/>
      </c>
      <c r="AI116" s="26" t="n">
        <v>149.84</v>
      </c>
      <c r="AJ116" s="22" t="str">
        <f aca="false">INDEX('Tabela Passaro'!$X$2:$X$1795,$N116)</f>
        <v>INTERIOR 1</v>
      </c>
    </row>
    <row r="117" customFormat="false" ht="15" hidden="false" customHeight="false" outlineLevel="0" collapsed="false">
      <c r="A117" s="22" t="s">
        <v>15</v>
      </c>
      <c r="B117" s="22" t="n">
        <v>2</v>
      </c>
      <c r="C117" s="22" t="s">
        <v>61</v>
      </c>
      <c r="D117" s="22" t="s">
        <v>30</v>
      </c>
      <c r="E117" s="22" t="s">
        <v>7328</v>
      </c>
      <c r="F117" s="22" t="n">
        <v>2307863</v>
      </c>
      <c r="G117" s="30" t="n">
        <v>46239</v>
      </c>
      <c r="H117" s="22" t="n">
        <v>131846</v>
      </c>
      <c r="I117" s="22" t="s">
        <v>7439</v>
      </c>
      <c r="J117" s="31" t="n">
        <v>38.15</v>
      </c>
      <c r="K117" s="26" t="n">
        <v>683.88</v>
      </c>
      <c r="L117" s="26" t="n">
        <v>164.72</v>
      </c>
      <c r="M117" s="22" t="s">
        <v>290</v>
      </c>
      <c r="N117" s="22" t="n">
        <f aca="false">MATCH(M117,'Tabela Passaro'!$A$2:$A$1795,0)</f>
        <v>3</v>
      </c>
      <c r="O117" s="22" t="str">
        <f aca="false">INDEX('Tabela Passaro'!$C$2:$C$1795,$N117)</f>
        <v>ARAPIRACA</v>
      </c>
      <c r="P117" s="22" t="str">
        <f aca="false">INDEX('Tabela Passaro'!$B$2:$B$1795,$N117)</f>
        <v>AL</v>
      </c>
      <c r="Q117" s="22" t="n">
        <f aca="false">INDEX('Tabela Passaro'!$F$2:$F$1795,$N117)</f>
        <v>10</v>
      </c>
      <c r="R117" s="32" t="n">
        <f aca="false">IF(J117&lt;=10,INDEX('Tabela Passaro'!$G$2:$G$1795,$N117),IF(J117&lt;=30,INDEX('Tabela Passaro'!$H$2:$H$1795,$N117),IF(J117&lt;=50,INDEX('Tabela Passaro'!$I$2:$I$1795,$N117),IF(J117&lt;=70,INDEX('Tabela Passaro'!$J$2:$J$1795,$N117),IF(J117&lt;=100,INDEX('Tabela Passaro'!$K$2:$K$1795,$N117),INDEX('Tabela Passaro'!$K$2:$K$1795,$N117)+(J117-100)*INDEX('Tabela Passaro'!$L$2:$L$1795,$N117))))))</f>
        <v>109.29</v>
      </c>
      <c r="S117" s="32" t="n">
        <f aca="false">K117*INDEX('Tabela Passaro'!$M$2:$M$1795,$N117)</f>
        <v>3.4194</v>
      </c>
      <c r="T117" s="32" t="n">
        <f aca="false">K117*INDEX('Tabela Passaro'!$N$2:$N$1795,$N117)</f>
        <v>1.36776</v>
      </c>
      <c r="U117" s="32" t="n">
        <f aca="false">INDEX('Tabela Passaro'!$O$2:$O$1795,$N117)</f>
        <v>5</v>
      </c>
      <c r="V117" s="32" t="n">
        <f aca="false">ROUNDUP(J117/INDEX('Tabela Passaro'!$Q$2:$Q$1795,$N117),0)*INDEX('Tabela Passaro'!$P$2:$P$1795,$N117)</f>
        <v>5</v>
      </c>
      <c r="W117" s="32" t="n">
        <f aca="false">INDEX('Tabela Passaro'!$R$2:$R$1795,$N117)</f>
        <v>30</v>
      </c>
      <c r="X117" s="32" t="n">
        <f aca="false">ROUNDUP(J117/INDEX('Tabela Passaro'!$T$2:$T$1795,$N117),0)*INDEX('Tabela Passaro'!$S$2:$S$1795,$N117)</f>
        <v>0</v>
      </c>
      <c r="Y117" s="32" t="n">
        <f aca="false">INDEX('Tabela Passaro'!$U$2:$U$1795,$N117)</f>
        <v>0</v>
      </c>
      <c r="Z117" s="32" t="n">
        <f aca="false">INDEX('Tabela Passaro'!$V$2:$V$1795,$N117)</f>
        <v>0</v>
      </c>
      <c r="AA117" s="32" t="n">
        <f aca="false">SUM(R117:Z117)</f>
        <v>154.07716</v>
      </c>
      <c r="AB117" s="33" t="n">
        <f aca="false">INDEX(Premissas!$B$5:$B$13,MATCH(A117,Premissas!$A$5:$A$13,0))</f>
        <v>0.07</v>
      </c>
      <c r="AC117" s="32" t="n">
        <f aca="false">AA117/(1-AB117)-AA117</f>
        <v>11.5972055913979</v>
      </c>
      <c r="AD117" s="32" t="n">
        <f aca="false">ROUND(AA117+AC117,2)</f>
        <v>165.67</v>
      </c>
      <c r="AE117" s="32" t="n">
        <f aca="false">AD117-L117</f>
        <v>0.949999999999989</v>
      </c>
      <c r="AF117" s="34" t="n">
        <f aca="false">IF(L117=0,0,AE117/L117)</f>
        <v>0.00576736279747443</v>
      </c>
      <c r="AG117" s="22" t="str">
        <f aca="false">IF(AD117&lt;L117,"PASSARO","ATUAL")</f>
        <v>ATUAL</v>
      </c>
      <c r="AH117" s="22" t="str">
        <f aca="false">IF(P117&lt;&gt;A117,"Faixa cadastrada como "&amp;P117&amp;" na tabela; preço aplicado pela UF do CEP","")</f>
        <v/>
      </c>
      <c r="AI117" s="26" t="n">
        <v>181.97</v>
      </c>
      <c r="AJ117" s="22" t="str">
        <f aca="false">INDEX('Tabela Passaro'!$X$2:$X$1795,$N117)</f>
        <v>INTERIOR 1</v>
      </c>
    </row>
    <row r="118" customFormat="false" ht="15" hidden="false" customHeight="false" outlineLevel="0" collapsed="false">
      <c r="A118" s="22" t="s">
        <v>15</v>
      </c>
      <c r="B118" s="22" t="n">
        <v>2</v>
      </c>
      <c r="C118" s="22" t="s">
        <v>61</v>
      </c>
      <c r="D118" s="22" t="s">
        <v>30</v>
      </c>
      <c r="E118" s="22" t="s">
        <v>7328</v>
      </c>
      <c r="F118" s="22" t="n">
        <v>2307901</v>
      </c>
      <c r="G118" s="30" t="n">
        <v>46239</v>
      </c>
      <c r="H118" s="22" t="n">
        <v>131919</v>
      </c>
      <c r="I118" s="22" t="s">
        <v>7440</v>
      </c>
      <c r="J118" s="31" t="n">
        <v>67.8</v>
      </c>
      <c r="K118" s="26" t="n">
        <v>1098.37</v>
      </c>
      <c r="L118" s="26" t="n">
        <v>211.25</v>
      </c>
      <c r="M118" s="22" t="s">
        <v>290</v>
      </c>
      <c r="N118" s="22" t="n">
        <f aca="false">MATCH(M118,'Tabela Passaro'!$A$2:$A$1795,0)</f>
        <v>3</v>
      </c>
      <c r="O118" s="22" t="str">
        <f aca="false">INDEX('Tabela Passaro'!$C$2:$C$1795,$N118)</f>
        <v>ARAPIRACA</v>
      </c>
      <c r="P118" s="22" t="str">
        <f aca="false">INDEX('Tabela Passaro'!$B$2:$B$1795,$N118)</f>
        <v>AL</v>
      </c>
      <c r="Q118" s="22" t="n">
        <f aca="false">INDEX('Tabela Passaro'!$F$2:$F$1795,$N118)</f>
        <v>10</v>
      </c>
      <c r="R118" s="32" t="n">
        <f aca="false">IF(J118&lt;=10,INDEX('Tabela Passaro'!$G$2:$G$1795,$N118),IF(J118&lt;=30,INDEX('Tabela Passaro'!$H$2:$H$1795,$N118),IF(J118&lt;=50,INDEX('Tabela Passaro'!$I$2:$I$1795,$N118),IF(J118&lt;=70,INDEX('Tabela Passaro'!$J$2:$J$1795,$N118),IF(J118&lt;=100,INDEX('Tabela Passaro'!$K$2:$K$1795,$N118),INDEX('Tabela Passaro'!$K$2:$K$1795,$N118)+(J118-100)*INDEX('Tabela Passaro'!$L$2:$L$1795,$N118))))))</f>
        <v>120.31</v>
      </c>
      <c r="S118" s="32" t="n">
        <f aca="false">K118*INDEX('Tabela Passaro'!$M$2:$M$1795,$N118)</f>
        <v>5.49185</v>
      </c>
      <c r="T118" s="32" t="n">
        <f aca="false">K118*INDEX('Tabela Passaro'!$N$2:$N$1795,$N118)</f>
        <v>2.19674</v>
      </c>
      <c r="U118" s="32" t="n">
        <f aca="false">INDEX('Tabela Passaro'!$O$2:$O$1795,$N118)</f>
        <v>5</v>
      </c>
      <c r="V118" s="32" t="n">
        <f aca="false">ROUNDUP(J118/INDEX('Tabela Passaro'!$Q$2:$Q$1795,$N118),0)*INDEX('Tabela Passaro'!$P$2:$P$1795,$N118)</f>
        <v>5</v>
      </c>
      <c r="W118" s="32" t="n">
        <f aca="false">INDEX('Tabela Passaro'!$R$2:$R$1795,$N118)</f>
        <v>30</v>
      </c>
      <c r="X118" s="32" t="n">
        <f aca="false">ROUNDUP(J118/INDEX('Tabela Passaro'!$T$2:$T$1795,$N118),0)*INDEX('Tabela Passaro'!$S$2:$S$1795,$N118)</f>
        <v>0</v>
      </c>
      <c r="Y118" s="32" t="n">
        <f aca="false">INDEX('Tabela Passaro'!$U$2:$U$1795,$N118)</f>
        <v>0</v>
      </c>
      <c r="Z118" s="32" t="n">
        <f aca="false">INDEX('Tabela Passaro'!$V$2:$V$1795,$N118)</f>
        <v>0</v>
      </c>
      <c r="AA118" s="32" t="n">
        <f aca="false">SUM(R118:Z118)</f>
        <v>167.99859</v>
      </c>
      <c r="AB118" s="33" t="n">
        <f aca="false">INDEX(Premissas!$B$5:$B$13,MATCH(A118,Premissas!$A$5:$A$13,0))</f>
        <v>0.07</v>
      </c>
      <c r="AC118" s="32" t="n">
        <f aca="false">AA118/(1-AB118)-AA118</f>
        <v>12.6450551612903</v>
      </c>
      <c r="AD118" s="32" t="n">
        <f aca="false">ROUND(AA118+AC118,2)</f>
        <v>180.64</v>
      </c>
      <c r="AE118" s="32" t="n">
        <f aca="false">AD118-L118</f>
        <v>-30.61</v>
      </c>
      <c r="AF118" s="34" t="n">
        <f aca="false">IF(L118=0,0,AE118/L118)</f>
        <v>-0.144899408284024</v>
      </c>
      <c r="AG118" s="22" t="str">
        <f aca="false">IF(AD118&lt;L118,"PASSARO","ATUAL")</f>
        <v>PASSARO</v>
      </c>
      <c r="AH118" s="22" t="str">
        <f aca="false">IF(P118&lt;&gt;A118,"Faixa cadastrada como "&amp;P118&amp;" na tabela; preço aplicado pela UF do CEP","")</f>
        <v/>
      </c>
      <c r="AI118" s="26" t="n">
        <v>212.54</v>
      </c>
      <c r="AJ118" s="22" t="str">
        <f aca="false">INDEX('Tabela Passaro'!$X$2:$X$1795,$N118)</f>
        <v>INTERIOR 1</v>
      </c>
    </row>
    <row r="119" customFormat="false" ht="15" hidden="false" customHeight="false" outlineLevel="0" collapsed="false">
      <c r="A119" s="22" t="s">
        <v>15</v>
      </c>
      <c r="B119" s="22" t="n">
        <v>2</v>
      </c>
      <c r="C119" s="22" t="s">
        <v>61</v>
      </c>
      <c r="D119" s="22" t="s">
        <v>30</v>
      </c>
      <c r="E119" s="22" t="s">
        <v>20</v>
      </c>
      <c r="F119" s="22" t="n">
        <v>838402</v>
      </c>
      <c r="G119" s="30" t="n">
        <v>46244</v>
      </c>
      <c r="H119" s="22" t="n">
        <v>32448</v>
      </c>
      <c r="I119" s="22" t="s">
        <v>7441</v>
      </c>
      <c r="J119" s="31" t="n">
        <v>29.59</v>
      </c>
      <c r="K119" s="26" t="n">
        <v>507.46</v>
      </c>
      <c r="L119" s="26" t="n">
        <v>114.86</v>
      </c>
      <c r="M119" s="22" t="s">
        <v>290</v>
      </c>
      <c r="N119" s="22" t="n">
        <f aca="false">MATCH(M119,'Tabela Passaro'!$A$2:$A$1795,0)</f>
        <v>3</v>
      </c>
      <c r="O119" s="22" t="str">
        <f aca="false">INDEX('Tabela Passaro'!$C$2:$C$1795,$N119)</f>
        <v>ARAPIRACA</v>
      </c>
      <c r="P119" s="22" t="str">
        <f aca="false">INDEX('Tabela Passaro'!$B$2:$B$1795,$N119)</f>
        <v>AL</v>
      </c>
      <c r="Q119" s="22" t="n">
        <f aca="false">INDEX('Tabela Passaro'!$F$2:$F$1795,$N119)</f>
        <v>10</v>
      </c>
      <c r="R119" s="32" t="n">
        <f aca="false">IF(J119&lt;=10,INDEX('Tabela Passaro'!$G$2:$G$1795,$N119),IF(J119&lt;=30,INDEX('Tabela Passaro'!$H$2:$H$1795,$N119),IF(J119&lt;=50,INDEX('Tabela Passaro'!$I$2:$I$1795,$N119),IF(J119&lt;=70,INDEX('Tabela Passaro'!$J$2:$J$1795,$N119),IF(J119&lt;=100,INDEX('Tabela Passaro'!$K$2:$K$1795,$N119),INDEX('Tabela Passaro'!$K$2:$K$1795,$N119)+(J119-100)*INDEX('Tabela Passaro'!$L$2:$L$1795,$N119))))))</f>
        <v>87.26</v>
      </c>
      <c r="S119" s="32" t="n">
        <f aca="false">K119*INDEX('Tabela Passaro'!$M$2:$M$1795,$N119)</f>
        <v>2.5373</v>
      </c>
      <c r="T119" s="32" t="n">
        <f aca="false">K119*INDEX('Tabela Passaro'!$N$2:$N$1795,$N119)</f>
        <v>1.01492</v>
      </c>
      <c r="U119" s="32" t="n">
        <f aca="false">INDEX('Tabela Passaro'!$O$2:$O$1795,$N119)</f>
        <v>5</v>
      </c>
      <c r="V119" s="32" t="n">
        <f aca="false">ROUNDUP(J119/INDEX('Tabela Passaro'!$Q$2:$Q$1795,$N119),0)*INDEX('Tabela Passaro'!$P$2:$P$1795,$N119)</f>
        <v>5</v>
      </c>
      <c r="W119" s="32" t="n">
        <f aca="false">INDEX('Tabela Passaro'!$R$2:$R$1795,$N119)</f>
        <v>30</v>
      </c>
      <c r="X119" s="32" t="n">
        <f aca="false">ROUNDUP(J119/INDEX('Tabela Passaro'!$T$2:$T$1795,$N119),0)*INDEX('Tabela Passaro'!$S$2:$S$1795,$N119)</f>
        <v>0</v>
      </c>
      <c r="Y119" s="32" t="n">
        <f aca="false">INDEX('Tabela Passaro'!$U$2:$U$1795,$N119)</f>
        <v>0</v>
      </c>
      <c r="Z119" s="32" t="n">
        <f aca="false">INDEX('Tabela Passaro'!$V$2:$V$1795,$N119)</f>
        <v>0</v>
      </c>
      <c r="AA119" s="32" t="n">
        <f aca="false">SUM(R119:Z119)</f>
        <v>130.81222</v>
      </c>
      <c r="AB119" s="33" t="n">
        <f aca="false">INDEX(Premissas!$B$5:$B$13,MATCH(A119,Premissas!$A$5:$A$13,0))</f>
        <v>0.07</v>
      </c>
      <c r="AC119" s="32" t="n">
        <f aca="false">AA119/(1-AB119)-AA119</f>
        <v>9.84608107526884</v>
      </c>
      <c r="AD119" s="32" t="n">
        <f aca="false">ROUND(AA119+AC119,2)</f>
        <v>140.66</v>
      </c>
      <c r="AE119" s="32" t="n">
        <f aca="false">AD119-L119</f>
        <v>25.8</v>
      </c>
      <c r="AF119" s="34" t="n">
        <f aca="false">IF(L119=0,0,AE119/L119)</f>
        <v>0.22462127807766</v>
      </c>
      <c r="AG119" s="22" t="str">
        <f aca="false">IF(AD119&lt;L119,"PASSARO","ATUAL")</f>
        <v>ATUAL</v>
      </c>
      <c r="AH119" s="22" t="str">
        <f aca="false">IF(P119&lt;&gt;A119,"Faixa cadastrada como "&amp;P119&amp;" na tabela; preço aplicado pela UF do CEP","")</f>
        <v/>
      </c>
      <c r="AI119" s="26" t="n">
        <v>150.87</v>
      </c>
      <c r="AJ119" s="22" t="str">
        <f aca="false">INDEX('Tabela Passaro'!$X$2:$X$1795,$N119)</f>
        <v>INTERIOR 1</v>
      </c>
    </row>
    <row r="120" customFormat="false" ht="15" hidden="false" customHeight="false" outlineLevel="0" collapsed="false">
      <c r="A120" s="22" t="s">
        <v>15</v>
      </c>
      <c r="B120" s="22" t="n">
        <v>2</v>
      </c>
      <c r="C120" s="22" t="s">
        <v>61</v>
      </c>
      <c r="D120" s="22" t="s">
        <v>30</v>
      </c>
      <c r="E120" s="22" t="s">
        <v>7326</v>
      </c>
      <c r="F120" s="22" t="n">
        <v>523737</v>
      </c>
      <c r="G120" s="30" t="n">
        <v>46244</v>
      </c>
      <c r="H120" s="22" t="n">
        <v>622532</v>
      </c>
      <c r="I120" s="22" t="s">
        <v>7442</v>
      </c>
      <c r="J120" s="31" t="n">
        <v>66.4</v>
      </c>
      <c r="K120" s="26" t="n">
        <v>948.15</v>
      </c>
      <c r="L120" s="26" t="n">
        <v>244.02</v>
      </c>
      <c r="M120" s="22" t="s">
        <v>290</v>
      </c>
      <c r="N120" s="22" t="n">
        <f aca="false">MATCH(M120,'Tabela Passaro'!$A$2:$A$1795,0)</f>
        <v>3</v>
      </c>
      <c r="O120" s="22" t="str">
        <f aca="false">INDEX('Tabela Passaro'!$C$2:$C$1795,$N120)</f>
        <v>ARAPIRACA</v>
      </c>
      <c r="P120" s="22" t="str">
        <f aca="false">INDEX('Tabela Passaro'!$B$2:$B$1795,$N120)</f>
        <v>AL</v>
      </c>
      <c r="Q120" s="22" t="n">
        <f aca="false">INDEX('Tabela Passaro'!$F$2:$F$1795,$N120)</f>
        <v>10</v>
      </c>
      <c r="R120" s="32" t="n">
        <f aca="false">IF(J120&lt;=10,INDEX('Tabela Passaro'!$G$2:$G$1795,$N120),IF(J120&lt;=30,INDEX('Tabela Passaro'!$H$2:$H$1795,$N120),IF(J120&lt;=50,INDEX('Tabela Passaro'!$I$2:$I$1795,$N120),IF(J120&lt;=70,INDEX('Tabela Passaro'!$J$2:$J$1795,$N120),IF(J120&lt;=100,INDEX('Tabela Passaro'!$K$2:$K$1795,$N120),INDEX('Tabela Passaro'!$K$2:$K$1795,$N120)+(J120-100)*INDEX('Tabela Passaro'!$L$2:$L$1795,$N120))))))</f>
        <v>120.31</v>
      </c>
      <c r="S120" s="32" t="n">
        <f aca="false">K120*INDEX('Tabela Passaro'!$M$2:$M$1795,$N120)</f>
        <v>4.74075</v>
      </c>
      <c r="T120" s="32" t="n">
        <f aca="false">K120*INDEX('Tabela Passaro'!$N$2:$N$1795,$N120)</f>
        <v>1.8963</v>
      </c>
      <c r="U120" s="32" t="n">
        <f aca="false">INDEX('Tabela Passaro'!$O$2:$O$1795,$N120)</f>
        <v>5</v>
      </c>
      <c r="V120" s="32" t="n">
        <f aca="false">ROUNDUP(J120/INDEX('Tabela Passaro'!$Q$2:$Q$1795,$N120),0)*INDEX('Tabela Passaro'!$P$2:$P$1795,$N120)</f>
        <v>5</v>
      </c>
      <c r="W120" s="32" t="n">
        <f aca="false">INDEX('Tabela Passaro'!$R$2:$R$1795,$N120)</f>
        <v>30</v>
      </c>
      <c r="X120" s="32" t="n">
        <f aca="false">ROUNDUP(J120/INDEX('Tabela Passaro'!$T$2:$T$1795,$N120),0)*INDEX('Tabela Passaro'!$S$2:$S$1795,$N120)</f>
        <v>0</v>
      </c>
      <c r="Y120" s="32" t="n">
        <f aca="false">INDEX('Tabela Passaro'!$U$2:$U$1795,$N120)</f>
        <v>0</v>
      </c>
      <c r="Z120" s="32" t="n">
        <f aca="false">INDEX('Tabela Passaro'!$V$2:$V$1795,$N120)</f>
        <v>0</v>
      </c>
      <c r="AA120" s="32" t="n">
        <f aca="false">SUM(R120:Z120)</f>
        <v>166.94705</v>
      </c>
      <c r="AB120" s="33" t="n">
        <f aca="false">INDEX(Premissas!$B$5:$B$13,MATCH(A120,Premissas!$A$5:$A$13,0))</f>
        <v>0.07</v>
      </c>
      <c r="AC120" s="32" t="n">
        <f aca="false">AA120/(1-AB120)-AA120</f>
        <v>12.5659069892473</v>
      </c>
      <c r="AD120" s="32" t="n">
        <f aca="false">ROUND(AA120+AC120,2)</f>
        <v>179.51</v>
      </c>
      <c r="AE120" s="32" t="n">
        <f aca="false">AD120-L120</f>
        <v>-64.51</v>
      </c>
      <c r="AF120" s="34" t="n">
        <f aca="false">IF(L120=0,0,AE120/L120)</f>
        <v>-0.264363576756004</v>
      </c>
      <c r="AG120" s="22" t="str">
        <f aca="false">IF(AD120&lt;L120,"PASSARO","ATUAL")</f>
        <v>PASSARO</v>
      </c>
      <c r="AH120" s="22" t="str">
        <f aca="false">IF(P120&lt;&gt;A120,"Faixa cadastrada como "&amp;P120&amp;" na tabela; preço aplicado pela UF do CEP","")</f>
        <v/>
      </c>
      <c r="AI120" s="26" t="n">
        <v>210.61</v>
      </c>
      <c r="AJ120" s="22" t="str">
        <f aca="false">INDEX('Tabela Passaro'!$X$2:$X$1795,$N120)</f>
        <v>INTERIOR 1</v>
      </c>
    </row>
    <row r="121" customFormat="false" ht="15" hidden="false" customHeight="false" outlineLevel="0" collapsed="false">
      <c r="A121" s="22" t="s">
        <v>15</v>
      </c>
      <c r="B121" s="22" t="n">
        <v>2</v>
      </c>
      <c r="C121" s="22" t="s">
        <v>61</v>
      </c>
      <c r="D121" s="22" t="s">
        <v>30</v>
      </c>
      <c r="E121" s="22" t="s">
        <v>7328</v>
      </c>
      <c r="F121" s="22" t="n">
        <v>2312405</v>
      </c>
      <c r="G121" s="30" t="n">
        <v>46248</v>
      </c>
      <c r="H121" s="22" t="n">
        <v>133299</v>
      </c>
      <c r="I121" s="22" t="s">
        <v>7443</v>
      </c>
      <c r="J121" s="31" t="n">
        <v>51.06</v>
      </c>
      <c r="K121" s="26" t="n">
        <v>768.62</v>
      </c>
      <c r="L121" s="26" t="n">
        <v>208.64</v>
      </c>
      <c r="M121" s="22" t="s">
        <v>290</v>
      </c>
      <c r="N121" s="22" t="n">
        <f aca="false">MATCH(M121,'Tabela Passaro'!$A$2:$A$1795,0)</f>
        <v>3</v>
      </c>
      <c r="O121" s="22" t="str">
        <f aca="false">INDEX('Tabela Passaro'!$C$2:$C$1795,$N121)</f>
        <v>ARAPIRACA</v>
      </c>
      <c r="P121" s="22" t="str">
        <f aca="false">INDEX('Tabela Passaro'!$B$2:$B$1795,$N121)</f>
        <v>AL</v>
      </c>
      <c r="Q121" s="22" t="n">
        <f aca="false">INDEX('Tabela Passaro'!$F$2:$F$1795,$N121)</f>
        <v>10</v>
      </c>
      <c r="R121" s="32" t="n">
        <f aca="false">IF(J121&lt;=10,INDEX('Tabela Passaro'!$G$2:$G$1795,$N121),IF(J121&lt;=30,INDEX('Tabela Passaro'!$H$2:$H$1795,$N121),IF(J121&lt;=50,INDEX('Tabela Passaro'!$I$2:$I$1795,$N121),IF(J121&lt;=70,INDEX('Tabela Passaro'!$J$2:$J$1795,$N121),IF(J121&lt;=100,INDEX('Tabela Passaro'!$K$2:$K$1795,$N121),INDEX('Tabela Passaro'!$K$2:$K$1795,$N121)+(J121-100)*INDEX('Tabela Passaro'!$L$2:$L$1795,$N121))))))</f>
        <v>120.31</v>
      </c>
      <c r="S121" s="32" t="n">
        <f aca="false">K121*INDEX('Tabela Passaro'!$M$2:$M$1795,$N121)</f>
        <v>3.8431</v>
      </c>
      <c r="T121" s="32" t="n">
        <f aca="false">K121*INDEX('Tabela Passaro'!$N$2:$N$1795,$N121)</f>
        <v>1.53724</v>
      </c>
      <c r="U121" s="32" t="n">
        <f aca="false">INDEX('Tabela Passaro'!$O$2:$O$1795,$N121)</f>
        <v>5</v>
      </c>
      <c r="V121" s="32" t="n">
        <f aca="false">ROUNDUP(J121/INDEX('Tabela Passaro'!$Q$2:$Q$1795,$N121),0)*INDEX('Tabela Passaro'!$P$2:$P$1795,$N121)</f>
        <v>5</v>
      </c>
      <c r="W121" s="32" t="n">
        <f aca="false">INDEX('Tabela Passaro'!$R$2:$R$1795,$N121)</f>
        <v>30</v>
      </c>
      <c r="X121" s="32" t="n">
        <f aca="false">ROUNDUP(J121/INDEX('Tabela Passaro'!$T$2:$T$1795,$N121),0)*INDEX('Tabela Passaro'!$S$2:$S$1795,$N121)</f>
        <v>0</v>
      </c>
      <c r="Y121" s="32" t="n">
        <f aca="false">INDEX('Tabela Passaro'!$U$2:$U$1795,$N121)</f>
        <v>0</v>
      </c>
      <c r="Z121" s="32" t="n">
        <f aca="false">INDEX('Tabela Passaro'!$V$2:$V$1795,$N121)</f>
        <v>0</v>
      </c>
      <c r="AA121" s="32" t="n">
        <f aca="false">SUM(R121:Z121)</f>
        <v>165.69034</v>
      </c>
      <c r="AB121" s="33" t="n">
        <f aca="false">INDEX(Premissas!$B$5:$B$13,MATCH(A121,Premissas!$A$5:$A$13,0))</f>
        <v>0.07</v>
      </c>
      <c r="AC121" s="32" t="n">
        <f aca="false">AA121/(1-AB121)-AA121</f>
        <v>12.4713159139785</v>
      </c>
      <c r="AD121" s="32" t="n">
        <f aca="false">ROUND(AA121+AC121,2)</f>
        <v>178.16</v>
      </c>
      <c r="AE121" s="32" t="n">
        <f aca="false">AD121-L121</f>
        <v>-30.48</v>
      </c>
      <c r="AF121" s="34" t="n">
        <f aca="false">IF(L121=0,0,AE121/L121)</f>
        <v>-0.146088957055215</v>
      </c>
      <c r="AG121" s="22" t="str">
        <f aca="false">IF(AD121&lt;L121,"PASSARO","ATUAL")</f>
        <v>PASSARO</v>
      </c>
      <c r="AH121" s="22" t="str">
        <f aca="false">IF(P121&lt;&gt;A121,"Faixa cadastrada como "&amp;P121&amp;" na tabela; preço aplicado pela UF do CEP","")</f>
        <v/>
      </c>
      <c r="AI121" s="26" t="n">
        <v>201.61</v>
      </c>
      <c r="AJ121" s="22" t="str">
        <f aca="false">INDEX('Tabela Passaro'!$X$2:$X$1795,$N121)</f>
        <v>INTERIOR 1</v>
      </c>
    </row>
    <row r="122" customFormat="false" ht="15" hidden="false" customHeight="false" outlineLevel="0" collapsed="false">
      <c r="A122" s="22" t="s">
        <v>15</v>
      </c>
      <c r="B122" s="22" t="n">
        <v>2</v>
      </c>
      <c r="C122" s="22" t="s">
        <v>61</v>
      </c>
      <c r="D122" s="22" t="s">
        <v>30</v>
      </c>
      <c r="E122" s="22" t="s">
        <v>7328</v>
      </c>
      <c r="F122" s="22" t="n">
        <v>2312419</v>
      </c>
      <c r="G122" s="30" t="n">
        <v>46248</v>
      </c>
      <c r="H122" s="22" t="n">
        <v>133317</v>
      </c>
      <c r="I122" s="22" t="s">
        <v>7444</v>
      </c>
      <c r="J122" s="31" t="n">
        <v>27.4</v>
      </c>
      <c r="K122" s="26" t="n">
        <v>519.07</v>
      </c>
      <c r="L122" s="26" t="n">
        <v>125.44</v>
      </c>
      <c r="M122" s="22" t="s">
        <v>290</v>
      </c>
      <c r="N122" s="22" t="n">
        <f aca="false">MATCH(M122,'Tabela Passaro'!$A$2:$A$1795,0)</f>
        <v>3</v>
      </c>
      <c r="O122" s="22" t="str">
        <f aca="false">INDEX('Tabela Passaro'!$C$2:$C$1795,$N122)</f>
        <v>ARAPIRACA</v>
      </c>
      <c r="P122" s="22" t="str">
        <f aca="false">INDEX('Tabela Passaro'!$B$2:$B$1795,$N122)</f>
        <v>AL</v>
      </c>
      <c r="Q122" s="22" t="n">
        <f aca="false">INDEX('Tabela Passaro'!$F$2:$F$1795,$N122)</f>
        <v>10</v>
      </c>
      <c r="R122" s="32" t="n">
        <f aca="false">IF(J122&lt;=10,INDEX('Tabela Passaro'!$G$2:$G$1795,$N122),IF(J122&lt;=30,INDEX('Tabela Passaro'!$H$2:$H$1795,$N122),IF(J122&lt;=50,INDEX('Tabela Passaro'!$I$2:$I$1795,$N122),IF(J122&lt;=70,INDEX('Tabela Passaro'!$J$2:$J$1795,$N122),IF(J122&lt;=100,INDEX('Tabela Passaro'!$K$2:$K$1795,$N122),INDEX('Tabela Passaro'!$K$2:$K$1795,$N122)+(J122-100)*INDEX('Tabela Passaro'!$L$2:$L$1795,$N122))))))</f>
        <v>87.26</v>
      </c>
      <c r="S122" s="32" t="n">
        <f aca="false">K122*INDEX('Tabela Passaro'!$M$2:$M$1795,$N122)</f>
        <v>2.59535</v>
      </c>
      <c r="T122" s="32" t="n">
        <f aca="false">K122*INDEX('Tabela Passaro'!$N$2:$N$1795,$N122)</f>
        <v>1.03814</v>
      </c>
      <c r="U122" s="32" t="n">
        <f aca="false">INDEX('Tabela Passaro'!$O$2:$O$1795,$N122)</f>
        <v>5</v>
      </c>
      <c r="V122" s="32" t="n">
        <f aca="false">ROUNDUP(J122/INDEX('Tabela Passaro'!$Q$2:$Q$1795,$N122),0)*INDEX('Tabela Passaro'!$P$2:$P$1795,$N122)</f>
        <v>5</v>
      </c>
      <c r="W122" s="32" t="n">
        <f aca="false">INDEX('Tabela Passaro'!$R$2:$R$1795,$N122)</f>
        <v>30</v>
      </c>
      <c r="X122" s="32" t="n">
        <f aca="false">ROUNDUP(J122/INDEX('Tabela Passaro'!$T$2:$T$1795,$N122),0)*INDEX('Tabela Passaro'!$S$2:$S$1795,$N122)</f>
        <v>0</v>
      </c>
      <c r="Y122" s="32" t="n">
        <f aca="false">INDEX('Tabela Passaro'!$U$2:$U$1795,$N122)</f>
        <v>0</v>
      </c>
      <c r="Z122" s="32" t="n">
        <f aca="false">INDEX('Tabela Passaro'!$V$2:$V$1795,$N122)</f>
        <v>0</v>
      </c>
      <c r="AA122" s="32" t="n">
        <f aca="false">SUM(R122:Z122)</f>
        <v>130.89349</v>
      </c>
      <c r="AB122" s="33" t="n">
        <f aca="false">INDEX(Premissas!$B$5:$B$13,MATCH(A122,Premissas!$A$5:$A$13,0))</f>
        <v>0.07</v>
      </c>
      <c r="AC122" s="32" t="n">
        <f aca="false">AA122/(1-AB122)-AA122</f>
        <v>9.85219817204302</v>
      </c>
      <c r="AD122" s="32" t="n">
        <f aca="false">ROUND(AA122+AC122,2)</f>
        <v>140.75</v>
      </c>
      <c r="AE122" s="32" t="n">
        <f aca="false">AD122-L122</f>
        <v>15.31</v>
      </c>
      <c r="AF122" s="34" t="n">
        <f aca="false">IF(L122=0,0,AE122/L122)</f>
        <v>0.122050382653061</v>
      </c>
      <c r="AG122" s="22" t="str">
        <f aca="false">IF(AD122&lt;L122,"PASSARO","ATUAL")</f>
        <v>ATUAL</v>
      </c>
      <c r="AH122" s="22" t="str">
        <f aca="false">IF(P122&lt;&gt;A122,"Faixa cadastrada como "&amp;P122&amp;" na tabela; preço aplicado pela UF do CEP","")</f>
        <v/>
      </c>
      <c r="AI122" s="26" t="n">
        <v>150.01</v>
      </c>
      <c r="AJ122" s="22" t="str">
        <f aca="false">INDEX('Tabela Passaro'!$X$2:$X$1795,$N122)</f>
        <v>INTERIOR 1</v>
      </c>
    </row>
    <row r="123" customFormat="false" ht="15" hidden="false" customHeight="false" outlineLevel="0" collapsed="false">
      <c r="A123" s="22" t="s">
        <v>15</v>
      </c>
      <c r="B123" s="22" t="n">
        <v>2</v>
      </c>
      <c r="C123" s="22" t="s">
        <v>61</v>
      </c>
      <c r="D123" s="22" t="s">
        <v>30</v>
      </c>
      <c r="E123" s="22" t="s">
        <v>7328</v>
      </c>
      <c r="F123" s="22" t="n">
        <v>2312447</v>
      </c>
      <c r="G123" s="30" t="n">
        <v>46248</v>
      </c>
      <c r="H123" s="22" t="n">
        <v>133343</v>
      </c>
      <c r="I123" s="22" t="s">
        <v>7445</v>
      </c>
      <c r="J123" s="31" t="n">
        <v>27.6</v>
      </c>
      <c r="K123" s="26" t="n">
        <v>662.94</v>
      </c>
      <c r="L123" s="26" t="n">
        <v>126.57</v>
      </c>
      <c r="M123" s="22" t="s">
        <v>290</v>
      </c>
      <c r="N123" s="22" t="n">
        <f aca="false">MATCH(M123,'Tabela Passaro'!$A$2:$A$1795,0)</f>
        <v>3</v>
      </c>
      <c r="O123" s="22" t="str">
        <f aca="false">INDEX('Tabela Passaro'!$C$2:$C$1795,$N123)</f>
        <v>ARAPIRACA</v>
      </c>
      <c r="P123" s="22" t="str">
        <f aca="false">INDEX('Tabela Passaro'!$B$2:$B$1795,$N123)</f>
        <v>AL</v>
      </c>
      <c r="Q123" s="22" t="n">
        <f aca="false">INDEX('Tabela Passaro'!$F$2:$F$1795,$N123)</f>
        <v>10</v>
      </c>
      <c r="R123" s="32" t="n">
        <f aca="false">IF(J123&lt;=10,INDEX('Tabela Passaro'!$G$2:$G$1795,$N123),IF(J123&lt;=30,INDEX('Tabela Passaro'!$H$2:$H$1795,$N123),IF(J123&lt;=50,INDEX('Tabela Passaro'!$I$2:$I$1795,$N123),IF(J123&lt;=70,INDEX('Tabela Passaro'!$J$2:$J$1795,$N123),IF(J123&lt;=100,INDEX('Tabela Passaro'!$K$2:$K$1795,$N123),INDEX('Tabela Passaro'!$K$2:$K$1795,$N123)+(J123-100)*INDEX('Tabela Passaro'!$L$2:$L$1795,$N123))))))</f>
        <v>87.26</v>
      </c>
      <c r="S123" s="32" t="n">
        <f aca="false">K123*INDEX('Tabela Passaro'!$M$2:$M$1795,$N123)</f>
        <v>3.3147</v>
      </c>
      <c r="T123" s="32" t="n">
        <f aca="false">K123*INDEX('Tabela Passaro'!$N$2:$N$1795,$N123)</f>
        <v>1.32588</v>
      </c>
      <c r="U123" s="32" t="n">
        <f aca="false">INDEX('Tabela Passaro'!$O$2:$O$1795,$N123)</f>
        <v>5</v>
      </c>
      <c r="V123" s="32" t="n">
        <f aca="false">ROUNDUP(J123/INDEX('Tabela Passaro'!$Q$2:$Q$1795,$N123),0)*INDEX('Tabela Passaro'!$P$2:$P$1795,$N123)</f>
        <v>5</v>
      </c>
      <c r="W123" s="32" t="n">
        <f aca="false">INDEX('Tabela Passaro'!$R$2:$R$1795,$N123)</f>
        <v>30</v>
      </c>
      <c r="X123" s="32" t="n">
        <f aca="false">ROUNDUP(J123/INDEX('Tabela Passaro'!$T$2:$T$1795,$N123),0)*INDEX('Tabela Passaro'!$S$2:$S$1795,$N123)</f>
        <v>0</v>
      </c>
      <c r="Y123" s="32" t="n">
        <f aca="false">INDEX('Tabela Passaro'!$U$2:$U$1795,$N123)</f>
        <v>0</v>
      </c>
      <c r="Z123" s="32" t="n">
        <f aca="false">INDEX('Tabela Passaro'!$V$2:$V$1795,$N123)</f>
        <v>0</v>
      </c>
      <c r="AA123" s="32" t="n">
        <f aca="false">SUM(R123:Z123)</f>
        <v>131.90058</v>
      </c>
      <c r="AB123" s="33" t="n">
        <f aca="false">INDEX(Premissas!$B$5:$B$13,MATCH(A123,Premissas!$A$5:$A$13,0))</f>
        <v>0.07</v>
      </c>
      <c r="AC123" s="32" t="n">
        <f aca="false">AA123/(1-AB123)-AA123</f>
        <v>9.92800064516129</v>
      </c>
      <c r="AD123" s="32" t="n">
        <f aca="false">ROUND(AA123+AC123,2)</f>
        <v>141.83</v>
      </c>
      <c r="AE123" s="32" t="n">
        <f aca="false">AD123-L123</f>
        <v>15.26</v>
      </c>
      <c r="AF123" s="34" t="n">
        <f aca="false">IF(L123=0,0,AE123/L123)</f>
        <v>0.120565694872403</v>
      </c>
      <c r="AG123" s="22" t="str">
        <f aca="false">IF(AD123&lt;L123,"PASSARO","ATUAL")</f>
        <v>ATUAL</v>
      </c>
      <c r="AH123" s="22" t="str">
        <f aca="false">IF(P123&lt;&gt;A123,"Faixa cadastrada como "&amp;P123&amp;" na tabela; preço aplicado pela UF do CEP","")</f>
        <v/>
      </c>
      <c r="AI123" s="26" t="n">
        <v>151.4</v>
      </c>
      <c r="AJ123" s="22" t="str">
        <f aca="false">INDEX('Tabela Passaro'!$X$2:$X$1795,$N123)</f>
        <v>INTERIOR 1</v>
      </c>
    </row>
    <row r="124" customFormat="false" ht="15" hidden="false" customHeight="false" outlineLevel="0" collapsed="false">
      <c r="A124" s="22" t="s">
        <v>15</v>
      </c>
      <c r="B124" s="22" t="n">
        <v>2</v>
      </c>
      <c r="C124" s="22" t="s">
        <v>61</v>
      </c>
      <c r="D124" s="22" t="s">
        <v>30</v>
      </c>
      <c r="E124" s="22" t="s">
        <v>7399</v>
      </c>
      <c r="F124" s="22" t="n">
        <v>261773</v>
      </c>
      <c r="G124" s="30" t="n">
        <v>46249</v>
      </c>
      <c r="H124" s="22" t="n">
        <v>604145</v>
      </c>
      <c r="I124" s="22" t="s">
        <v>7446</v>
      </c>
      <c r="J124" s="31" t="n">
        <v>17.3</v>
      </c>
      <c r="K124" s="26" t="n">
        <v>1228.77</v>
      </c>
      <c r="L124" s="26" t="n">
        <v>136.92</v>
      </c>
      <c r="M124" s="22" t="s">
        <v>290</v>
      </c>
      <c r="N124" s="22" t="n">
        <f aca="false">MATCH(M124,'Tabela Passaro'!$A$2:$A$1795,0)</f>
        <v>3</v>
      </c>
      <c r="O124" s="22" t="str">
        <f aca="false">INDEX('Tabela Passaro'!$C$2:$C$1795,$N124)</f>
        <v>ARAPIRACA</v>
      </c>
      <c r="P124" s="22" t="str">
        <f aca="false">INDEX('Tabela Passaro'!$B$2:$B$1795,$N124)</f>
        <v>AL</v>
      </c>
      <c r="Q124" s="22" t="n">
        <f aca="false">INDEX('Tabela Passaro'!$F$2:$F$1795,$N124)</f>
        <v>10</v>
      </c>
      <c r="R124" s="32" t="n">
        <f aca="false">IF(J124&lt;=10,INDEX('Tabela Passaro'!$G$2:$G$1795,$N124),IF(J124&lt;=30,INDEX('Tabela Passaro'!$H$2:$H$1795,$N124),IF(J124&lt;=50,INDEX('Tabela Passaro'!$I$2:$I$1795,$N124),IF(J124&lt;=70,INDEX('Tabela Passaro'!$J$2:$J$1795,$N124),IF(J124&lt;=100,INDEX('Tabela Passaro'!$K$2:$K$1795,$N124),INDEX('Tabela Passaro'!$K$2:$K$1795,$N124)+(J124-100)*INDEX('Tabela Passaro'!$L$2:$L$1795,$N124))))))</f>
        <v>87.26</v>
      </c>
      <c r="S124" s="32" t="n">
        <f aca="false">K124*INDEX('Tabela Passaro'!$M$2:$M$1795,$N124)</f>
        <v>6.14385</v>
      </c>
      <c r="T124" s="32" t="n">
        <f aca="false">K124*INDEX('Tabela Passaro'!$N$2:$N$1795,$N124)</f>
        <v>2.45754</v>
      </c>
      <c r="U124" s="32" t="n">
        <f aca="false">INDEX('Tabela Passaro'!$O$2:$O$1795,$N124)</f>
        <v>5</v>
      </c>
      <c r="V124" s="32" t="n">
        <f aca="false">ROUNDUP(J124/INDEX('Tabela Passaro'!$Q$2:$Q$1795,$N124),0)*INDEX('Tabela Passaro'!$P$2:$P$1795,$N124)</f>
        <v>5</v>
      </c>
      <c r="W124" s="32" t="n">
        <f aca="false">INDEX('Tabela Passaro'!$R$2:$R$1795,$N124)</f>
        <v>30</v>
      </c>
      <c r="X124" s="32" t="n">
        <f aca="false">ROUNDUP(J124/INDEX('Tabela Passaro'!$T$2:$T$1795,$N124),0)*INDEX('Tabela Passaro'!$S$2:$S$1795,$N124)</f>
        <v>0</v>
      </c>
      <c r="Y124" s="32" t="n">
        <f aca="false">INDEX('Tabela Passaro'!$U$2:$U$1795,$N124)</f>
        <v>0</v>
      </c>
      <c r="Z124" s="32" t="n">
        <f aca="false">INDEX('Tabela Passaro'!$V$2:$V$1795,$N124)</f>
        <v>0</v>
      </c>
      <c r="AA124" s="32" t="n">
        <f aca="false">SUM(R124:Z124)</f>
        <v>135.86139</v>
      </c>
      <c r="AB124" s="33" t="n">
        <f aca="false">INDEX(Premissas!$B$5:$B$13,MATCH(A124,Premissas!$A$5:$A$13,0))</f>
        <v>0.07</v>
      </c>
      <c r="AC124" s="32" t="n">
        <f aca="false">AA124/(1-AB124)-AA124</f>
        <v>10.2261261290323</v>
      </c>
      <c r="AD124" s="32" t="n">
        <f aca="false">ROUND(AA124+AC124,2)</f>
        <v>146.09</v>
      </c>
      <c r="AE124" s="32" t="n">
        <f aca="false">AD124-L124</f>
        <v>9.17000000000002</v>
      </c>
      <c r="AF124" s="34" t="n">
        <f aca="false">IF(L124=0,0,AE124/L124)</f>
        <v>0.0669734151329245</v>
      </c>
      <c r="AG124" s="22" t="str">
        <f aca="false">IF(AD124&lt;L124,"PASSARO","ATUAL")</f>
        <v>ATUAL</v>
      </c>
      <c r="AH124" s="22" t="str">
        <f aca="false">IF(P124&lt;&gt;A124,"Faixa cadastrada como "&amp;P124&amp;" na tabela; preço aplicado pela UF do CEP","")</f>
        <v/>
      </c>
      <c r="AI124" s="26" t="n">
        <v>152.04</v>
      </c>
      <c r="AJ124" s="22" t="str">
        <f aca="false">INDEX('Tabela Passaro'!$X$2:$X$1795,$N124)</f>
        <v>INTERIOR 1</v>
      </c>
    </row>
    <row r="125" customFormat="false" ht="15" hidden="false" customHeight="false" outlineLevel="0" collapsed="false">
      <c r="A125" s="22" t="s">
        <v>15</v>
      </c>
      <c r="B125" s="22" t="n">
        <v>2</v>
      </c>
      <c r="C125" s="22" t="s">
        <v>61</v>
      </c>
      <c r="D125" s="22" t="s">
        <v>30</v>
      </c>
      <c r="E125" s="22" t="s">
        <v>7328</v>
      </c>
      <c r="F125" s="22" t="n">
        <v>2313198</v>
      </c>
      <c r="G125" s="30" t="n">
        <v>46251</v>
      </c>
      <c r="H125" s="22" t="n">
        <v>133619</v>
      </c>
      <c r="I125" s="22" t="s">
        <v>7447</v>
      </c>
      <c r="J125" s="31" t="n">
        <v>29.2</v>
      </c>
      <c r="K125" s="26" t="n">
        <v>531.53</v>
      </c>
      <c r="L125" s="26" t="n">
        <v>125.53</v>
      </c>
      <c r="M125" s="22" t="s">
        <v>290</v>
      </c>
      <c r="N125" s="22" t="n">
        <f aca="false">MATCH(M125,'Tabela Passaro'!$A$2:$A$1795,0)</f>
        <v>3</v>
      </c>
      <c r="O125" s="22" t="str">
        <f aca="false">INDEX('Tabela Passaro'!$C$2:$C$1795,$N125)</f>
        <v>ARAPIRACA</v>
      </c>
      <c r="P125" s="22" t="str">
        <f aca="false">INDEX('Tabela Passaro'!$B$2:$B$1795,$N125)</f>
        <v>AL</v>
      </c>
      <c r="Q125" s="22" t="n">
        <f aca="false">INDEX('Tabela Passaro'!$F$2:$F$1795,$N125)</f>
        <v>10</v>
      </c>
      <c r="R125" s="32" t="n">
        <f aca="false">IF(J125&lt;=10,INDEX('Tabela Passaro'!$G$2:$G$1795,$N125),IF(J125&lt;=30,INDEX('Tabela Passaro'!$H$2:$H$1795,$N125),IF(J125&lt;=50,INDEX('Tabela Passaro'!$I$2:$I$1795,$N125),IF(J125&lt;=70,INDEX('Tabela Passaro'!$J$2:$J$1795,$N125),IF(J125&lt;=100,INDEX('Tabela Passaro'!$K$2:$K$1795,$N125),INDEX('Tabela Passaro'!$K$2:$K$1795,$N125)+(J125-100)*INDEX('Tabela Passaro'!$L$2:$L$1795,$N125))))))</f>
        <v>87.26</v>
      </c>
      <c r="S125" s="32" t="n">
        <f aca="false">K125*INDEX('Tabela Passaro'!$M$2:$M$1795,$N125)</f>
        <v>2.65765</v>
      </c>
      <c r="T125" s="32" t="n">
        <f aca="false">K125*INDEX('Tabela Passaro'!$N$2:$N$1795,$N125)</f>
        <v>1.06306</v>
      </c>
      <c r="U125" s="32" t="n">
        <f aca="false">INDEX('Tabela Passaro'!$O$2:$O$1795,$N125)</f>
        <v>5</v>
      </c>
      <c r="V125" s="32" t="n">
        <f aca="false">ROUNDUP(J125/INDEX('Tabela Passaro'!$Q$2:$Q$1795,$N125),0)*INDEX('Tabela Passaro'!$P$2:$P$1795,$N125)</f>
        <v>5</v>
      </c>
      <c r="W125" s="32" t="n">
        <f aca="false">INDEX('Tabela Passaro'!$R$2:$R$1795,$N125)</f>
        <v>30</v>
      </c>
      <c r="X125" s="32" t="n">
        <f aca="false">ROUNDUP(J125/INDEX('Tabela Passaro'!$T$2:$T$1795,$N125),0)*INDEX('Tabela Passaro'!$S$2:$S$1795,$N125)</f>
        <v>0</v>
      </c>
      <c r="Y125" s="32" t="n">
        <f aca="false">INDEX('Tabela Passaro'!$U$2:$U$1795,$N125)</f>
        <v>0</v>
      </c>
      <c r="Z125" s="32" t="n">
        <f aca="false">INDEX('Tabela Passaro'!$V$2:$V$1795,$N125)</f>
        <v>0</v>
      </c>
      <c r="AA125" s="32" t="n">
        <f aca="false">SUM(R125:Z125)</f>
        <v>130.98071</v>
      </c>
      <c r="AB125" s="33" t="n">
        <f aca="false">INDEX(Premissas!$B$5:$B$13,MATCH(A125,Premissas!$A$5:$A$13,0))</f>
        <v>0.07</v>
      </c>
      <c r="AC125" s="32" t="n">
        <f aca="false">AA125/(1-AB125)-AA125</f>
        <v>9.85876311827957</v>
      </c>
      <c r="AD125" s="32" t="n">
        <f aca="false">ROUND(AA125+AC125,2)</f>
        <v>140.84</v>
      </c>
      <c r="AE125" s="32" t="n">
        <f aca="false">AD125-L125</f>
        <v>15.31</v>
      </c>
      <c r="AF125" s="34" t="n">
        <f aca="false">IF(L125=0,0,AE125/L125)</f>
        <v>0.121962877399825</v>
      </c>
      <c r="AG125" s="22" t="str">
        <f aca="false">IF(AD125&lt;L125,"PASSARO","ATUAL")</f>
        <v>ATUAL</v>
      </c>
      <c r="AH125" s="22" t="str">
        <f aca="false">IF(P125&lt;&gt;A125,"Faixa cadastrada como "&amp;P125&amp;" na tabela; preço aplicado pela UF do CEP","")</f>
        <v/>
      </c>
      <c r="AI125" s="26" t="n">
        <v>151.1</v>
      </c>
      <c r="AJ125" s="22" t="str">
        <f aca="false">INDEX('Tabela Passaro'!$X$2:$X$1795,$N125)</f>
        <v>INTERIOR 1</v>
      </c>
    </row>
    <row r="126" customFormat="false" ht="15" hidden="false" customHeight="false" outlineLevel="0" collapsed="false">
      <c r="A126" s="22" t="s">
        <v>15</v>
      </c>
      <c r="B126" s="22" t="n">
        <v>2</v>
      </c>
      <c r="C126" s="22" t="s">
        <v>61</v>
      </c>
      <c r="D126" s="22" t="s">
        <v>30</v>
      </c>
      <c r="E126" s="22" t="s">
        <v>7328</v>
      </c>
      <c r="F126" s="22" t="n">
        <v>2313226</v>
      </c>
      <c r="G126" s="30" t="n">
        <v>46251</v>
      </c>
      <c r="H126" s="22" t="n">
        <v>133647</v>
      </c>
      <c r="I126" s="22" t="s">
        <v>7448</v>
      </c>
      <c r="J126" s="31" t="n">
        <v>51.06</v>
      </c>
      <c r="K126" s="26" t="n">
        <v>948.16</v>
      </c>
      <c r="L126" s="26" t="n">
        <v>210.06</v>
      </c>
      <c r="M126" s="22" t="s">
        <v>290</v>
      </c>
      <c r="N126" s="22" t="n">
        <f aca="false">MATCH(M126,'Tabela Passaro'!$A$2:$A$1795,0)</f>
        <v>3</v>
      </c>
      <c r="O126" s="22" t="str">
        <f aca="false">INDEX('Tabela Passaro'!$C$2:$C$1795,$N126)</f>
        <v>ARAPIRACA</v>
      </c>
      <c r="P126" s="22" t="str">
        <f aca="false">INDEX('Tabela Passaro'!$B$2:$B$1795,$N126)</f>
        <v>AL</v>
      </c>
      <c r="Q126" s="22" t="n">
        <f aca="false">INDEX('Tabela Passaro'!$F$2:$F$1795,$N126)</f>
        <v>10</v>
      </c>
      <c r="R126" s="32" t="n">
        <f aca="false">IF(J126&lt;=10,INDEX('Tabela Passaro'!$G$2:$G$1795,$N126),IF(J126&lt;=30,INDEX('Tabela Passaro'!$H$2:$H$1795,$N126),IF(J126&lt;=50,INDEX('Tabela Passaro'!$I$2:$I$1795,$N126),IF(J126&lt;=70,INDEX('Tabela Passaro'!$J$2:$J$1795,$N126),IF(J126&lt;=100,INDEX('Tabela Passaro'!$K$2:$K$1795,$N126),INDEX('Tabela Passaro'!$K$2:$K$1795,$N126)+(J126-100)*INDEX('Tabela Passaro'!$L$2:$L$1795,$N126))))))</f>
        <v>120.31</v>
      </c>
      <c r="S126" s="32" t="n">
        <f aca="false">K126*INDEX('Tabela Passaro'!$M$2:$M$1795,$N126)</f>
        <v>4.7408</v>
      </c>
      <c r="T126" s="32" t="n">
        <f aca="false">K126*INDEX('Tabela Passaro'!$N$2:$N$1795,$N126)</f>
        <v>1.89632</v>
      </c>
      <c r="U126" s="32" t="n">
        <f aca="false">INDEX('Tabela Passaro'!$O$2:$O$1795,$N126)</f>
        <v>5</v>
      </c>
      <c r="V126" s="32" t="n">
        <f aca="false">ROUNDUP(J126/INDEX('Tabela Passaro'!$Q$2:$Q$1795,$N126),0)*INDEX('Tabela Passaro'!$P$2:$P$1795,$N126)</f>
        <v>5</v>
      </c>
      <c r="W126" s="32" t="n">
        <f aca="false">INDEX('Tabela Passaro'!$R$2:$R$1795,$N126)</f>
        <v>30</v>
      </c>
      <c r="X126" s="32" t="n">
        <f aca="false">ROUNDUP(J126/INDEX('Tabela Passaro'!$T$2:$T$1795,$N126),0)*INDEX('Tabela Passaro'!$S$2:$S$1795,$N126)</f>
        <v>0</v>
      </c>
      <c r="Y126" s="32" t="n">
        <f aca="false">INDEX('Tabela Passaro'!$U$2:$U$1795,$N126)</f>
        <v>0</v>
      </c>
      <c r="Z126" s="32" t="n">
        <f aca="false">INDEX('Tabela Passaro'!$V$2:$V$1795,$N126)</f>
        <v>0</v>
      </c>
      <c r="AA126" s="32" t="n">
        <f aca="false">SUM(R126:Z126)</f>
        <v>166.94712</v>
      </c>
      <c r="AB126" s="33" t="n">
        <f aca="false">INDEX(Premissas!$B$5:$B$13,MATCH(A126,Premissas!$A$5:$A$13,0))</f>
        <v>0.07</v>
      </c>
      <c r="AC126" s="32" t="n">
        <f aca="false">AA126/(1-AB126)-AA126</f>
        <v>12.5659122580645</v>
      </c>
      <c r="AD126" s="32" t="n">
        <f aca="false">ROUND(AA126+AC126,2)</f>
        <v>179.51</v>
      </c>
      <c r="AE126" s="32" t="n">
        <f aca="false">AD126-L126</f>
        <v>-30.55</v>
      </c>
      <c r="AF126" s="34" t="n">
        <f aca="false">IF(L126=0,0,AE126/L126)</f>
        <v>-0.145434637722556</v>
      </c>
      <c r="AG126" s="22" t="str">
        <f aca="false">IF(AD126&lt;L126,"PASSARO","ATUAL")</f>
        <v>PASSARO</v>
      </c>
      <c r="AH126" s="22" t="str">
        <f aca="false">IF(P126&lt;&gt;A126,"Faixa cadastrada como "&amp;P126&amp;" na tabela; preço aplicado pela UF do CEP","")</f>
        <v/>
      </c>
      <c r="AI126" s="26" t="n">
        <v>203.35</v>
      </c>
      <c r="AJ126" s="22" t="str">
        <f aca="false">INDEX('Tabela Passaro'!$X$2:$X$1795,$N126)</f>
        <v>INTERIOR 1</v>
      </c>
    </row>
    <row r="127" customFormat="false" ht="15" hidden="false" customHeight="false" outlineLevel="0" collapsed="false">
      <c r="A127" s="22" t="s">
        <v>15</v>
      </c>
      <c r="B127" s="22" t="n">
        <v>2</v>
      </c>
      <c r="C127" s="22" t="s">
        <v>61</v>
      </c>
      <c r="D127" s="22" t="s">
        <v>30</v>
      </c>
      <c r="E127" s="22" t="s">
        <v>7328</v>
      </c>
      <c r="F127" s="22" t="n">
        <v>2315798</v>
      </c>
      <c r="G127" s="30" t="n">
        <v>46258</v>
      </c>
      <c r="H127" s="22" t="n">
        <v>135320</v>
      </c>
      <c r="I127" s="22" t="s">
        <v>7449</v>
      </c>
      <c r="J127" s="31" t="n">
        <v>62.9</v>
      </c>
      <c r="K127" s="26" t="n">
        <v>1096.25</v>
      </c>
      <c r="L127" s="26" t="n">
        <v>211.23</v>
      </c>
      <c r="M127" s="22" t="s">
        <v>290</v>
      </c>
      <c r="N127" s="22" t="n">
        <f aca="false">MATCH(M127,'Tabela Passaro'!$A$2:$A$1795,0)</f>
        <v>3</v>
      </c>
      <c r="O127" s="22" t="str">
        <f aca="false">INDEX('Tabela Passaro'!$C$2:$C$1795,$N127)</f>
        <v>ARAPIRACA</v>
      </c>
      <c r="P127" s="22" t="str">
        <f aca="false">INDEX('Tabela Passaro'!$B$2:$B$1795,$N127)</f>
        <v>AL</v>
      </c>
      <c r="Q127" s="22" t="n">
        <f aca="false">INDEX('Tabela Passaro'!$F$2:$F$1795,$N127)</f>
        <v>10</v>
      </c>
      <c r="R127" s="32" t="n">
        <f aca="false">IF(J127&lt;=10,INDEX('Tabela Passaro'!$G$2:$G$1795,$N127),IF(J127&lt;=30,INDEX('Tabela Passaro'!$H$2:$H$1795,$N127),IF(J127&lt;=50,INDEX('Tabela Passaro'!$I$2:$I$1795,$N127),IF(J127&lt;=70,INDEX('Tabela Passaro'!$J$2:$J$1795,$N127),IF(J127&lt;=100,INDEX('Tabela Passaro'!$K$2:$K$1795,$N127),INDEX('Tabela Passaro'!$K$2:$K$1795,$N127)+(J127-100)*INDEX('Tabela Passaro'!$L$2:$L$1795,$N127))))))</f>
        <v>120.31</v>
      </c>
      <c r="S127" s="32" t="n">
        <f aca="false">K127*INDEX('Tabela Passaro'!$M$2:$M$1795,$N127)</f>
        <v>5.48125</v>
      </c>
      <c r="T127" s="32" t="n">
        <f aca="false">K127*INDEX('Tabela Passaro'!$N$2:$N$1795,$N127)</f>
        <v>2.1925</v>
      </c>
      <c r="U127" s="32" t="n">
        <f aca="false">INDEX('Tabela Passaro'!$O$2:$O$1795,$N127)</f>
        <v>5</v>
      </c>
      <c r="V127" s="32" t="n">
        <f aca="false">ROUNDUP(J127/INDEX('Tabela Passaro'!$Q$2:$Q$1795,$N127),0)*INDEX('Tabela Passaro'!$P$2:$P$1795,$N127)</f>
        <v>5</v>
      </c>
      <c r="W127" s="32" t="n">
        <f aca="false">INDEX('Tabela Passaro'!$R$2:$R$1795,$N127)</f>
        <v>30</v>
      </c>
      <c r="X127" s="32" t="n">
        <f aca="false">ROUNDUP(J127/INDEX('Tabela Passaro'!$T$2:$T$1795,$N127),0)*INDEX('Tabela Passaro'!$S$2:$S$1795,$N127)</f>
        <v>0</v>
      </c>
      <c r="Y127" s="32" t="n">
        <f aca="false">INDEX('Tabela Passaro'!$U$2:$U$1795,$N127)</f>
        <v>0</v>
      </c>
      <c r="Z127" s="32" t="n">
        <f aca="false">INDEX('Tabela Passaro'!$V$2:$V$1795,$N127)</f>
        <v>0</v>
      </c>
      <c r="AA127" s="32" t="n">
        <f aca="false">SUM(R127:Z127)</f>
        <v>167.98375</v>
      </c>
      <c r="AB127" s="33" t="n">
        <f aca="false">INDEX(Premissas!$B$5:$B$13,MATCH(A127,Premissas!$A$5:$A$13,0))</f>
        <v>0.07</v>
      </c>
      <c r="AC127" s="32" t="n">
        <f aca="false">AA127/(1-AB127)-AA127</f>
        <v>12.643938172043</v>
      </c>
      <c r="AD127" s="32" t="n">
        <f aca="false">ROUND(AA127+AC127,2)</f>
        <v>180.63</v>
      </c>
      <c r="AE127" s="32" t="n">
        <f aca="false">AD127-L127</f>
        <v>-30.6</v>
      </c>
      <c r="AF127" s="34" t="n">
        <f aca="false">IF(L127=0,0,AE127/L127)</f>
        <v>-0.144865786109928</v>
      </c>
      <c r="AG127" s="22" t="str">
        <f aca="false">IF(AD127&lt;L127,"PASSARO","ATUAL")</f>
        <v>PASSARO</v>
      </c>
      <c r="AH127" s="22" t="str">
        <f aca="false">IF(P127&lt;&gt;A127,"Faixa cadastrada como "&amp;P127&amp;" na tabela; preço aplicado pela UF do CEP","")</f>
        <v/>
      </c>
      <c r="AI127" s="26" t="n">
        <v>210.1</v>
      </c>
      <c r="AJ127" s="22" t="str">
        <f aca="false">INDEX('Tabela Passaro'!$X$2:$X$1795,$N127)</f>
        <v>INTERIOR 1</v>
      </c>
    </row>
    <row r="128" customFormat="false" ht="15" hidden="false" customHeight="false" outlineLevel="0" collapsed="false">
      <c r="A128" s="22" t="s">
        <v>15</v>
      </c>
      <c r="B128" s="22" t="n">
        <v>2</v>
      </c>
      <c r="C128" s="22" t="s">
        <v>61</v>
      </c>
      <c r="D128" s="22" t="s">
        <v>30</v>
      </c>
      <c r="E128" s="22" t="s">
        <v>7326</v>
      </c>
      <c r="F128" s="22" t="n">
        <v>526900</v>
      </c>
      <c r="G128" s="30" t="n">
        <v>46258</v>
      </c>
      <c r="H128" s="22" t="n">
        <v>627922</v>
      </c>
      <c r="I128" s="22" t="s">
        <v>7450</v>
      </c>
      <c r="J128" s="31" t="n">
        <v>13.49</v>
      </c>
      <c r="K128" s="26" t="n">
        <v>1141.73</v>
      </c>
      <c r="L128" s="26" t="n">
        <v>92.53</v>
      </c>
      <c r="M128" s="22" t="s">
        <v>290</v>
      </c>
      <c r="N128" s="22" t="n">
        <f aca="false">MATCH(M128,'Tabela Passaro'!$A$2:$A$1795,0)</f>
        <v>3</v>
      </c>
      <c r="O128" s="22" t="str">
        <f aca="false">INDEX('Tabela Passaro'!$C$2:$C$1795,$N128)</f>
        <v>ARAPIRACA</v>
      </c>
      <c r="P128" s="22" t="str">
        <f aca="false">INDEX('Tabela Passaro'!$B$2:$B$1795,$N128)</f>
        <v>AL</v>
      </c>
      <c r="Q128" s="22" t="n">
        <f aca="false">INDEX('Tabela Passaro'!$F$2:$F$1795,$N128)</f>
        <v>10</v>
      </c>
      <c r="R128" s="32" t="n">
        <f aca="false">IF(J128&lt;=10,INDEX('Tabela Passaro'!$G$2:$G$1795,$N128),IF(J128&lt;=30,INDEX('Tabela Passaro'!$H$2:$H$1795,$N128),IF(J128&lt;=50,INDEX('Tabela Passaro'!$I$2:$I$1795,$N128),IF(J128&lt;=70,INDEX('Tabela Passaro'!$J$2:$J$1795,$N128),IF(J128&lt;=100,INDEX('Tabela Passaro'!$K$2:$K$1795,$N128),INDEX('Tabela Passaro'!$K$2:$K$1795,$N128)+(J128-100)*INDEX('Tabela Passaro'!$L$2:$L$1795,$N128))))))</f>
        <v>87.26</v>
      </c>
      <c r="S128" s="32" t="n">
        <f aca="false">K128*INDEX('Tabela Passaro'!$M$2:$M$1795,$N128)</f>
        <v>5.70865</v>
      </c>
      <c r="T128" s="32" t="n">
        <f aca="false">K128*INDEX('Tabela Passaro'!$N$2:$N$1795,$N128)</f>
        <v>2.28346</v>
      </c>
      <c r="U128" s="32" t="n">
        <f aca="false">INDEX('Tabela Passaro'!$O$2:$O$1795,$N128)</f>
        <v>5</v>
      </c>
      <c r="V128" s="32" t="n">
        <f aca="false">ROUNDUP(J128/INDEX('Tabela Passaro'!$Q$2:$Q$1795,$N128),0)*INDEX('Tabela Passaro'!$P$2:$P$1795,$N128)</f>
        <v>5</v>
      </c>
      <c r="W128" s="32" t="n">
        <f aca="false">INDEX('Tabela Passaro'!$R$2:$R$1795,$N128)</f>
        <v>30</v>
      </c>
      <c r="X128" s="32" t="n">
        <f aca="false">ROUNDUP(J128/INDEX('Tabela Passaro'!$T$2:$T$1795,$N128),0)*INDEX('Tabela Passaro'!$S$2:$S$1795,$N128)</f>
        <v>0</v>
      </c>
      <c r="Y128" s="32" t="n">
        <f aca="false">INDEX('Tabela Passaro'!$U$2:$U$1795,$N128)</f>
        <v>0</v>
      </c>
      <c r="Z128" s="32" t="n">
        <f aca="false">INDEX('Tabela Passaro'!$V$2:$V$1795,$N128)</f>
        <v>0</v>
      </c>
      <c r="AA128" s="32" t="n">
        <f aca="false">SUM(R128:Z128)</f>
        <v>135.25211</v>
      </c>
      <c r="AB128" s="33" t="n">
        <f aca="false">INDEX(Premissas!$B$5:$B$13,MATCH(A128,Premissas!$A$5:$A$13,0))</f>
        <v>0.07</v>
      </c>
      <c r="AC128" s="32" t="n">
        <f aca="false">AA128/(1-AB128)-AA128</f>
        <v>10.180266344086</v>
      </c>
      <c r="AD128" s="32" t="n">
        <f aca="false">ROUND(AA128+AC128,2)</f>
        <v>145.43</v>
      </c>
      <c r="AE128" s="32" t="n">
        <f aca="false">AD128-L128</f>
        <v>52.9</v>
      </c>
      <c r="AF128" s="34" t="n">
        <f aca="false">IF(L128=0,0,AE128/L128)</f>
        <v>0.571706473576138</v>
      </c>
      <c r="AG128" s="22" t="str">
        <f aca="false">IF(AD128&lt;L128,"PASSARO","ATUAL")</f>
        <v>ATUAL</v>
      </c>
      <c r="AH128" s="22" t="str">
        <f aca="false">IF(P128&lt;&gt;A128,"Faixa cadastrada como "&amp;P128&amp;" na tabela; preço aplicado pela UF do CEP","")</f>
        <v/>
      </c>
      <c r="AI128" s="26" t="n">
        <v>149.26</v>
      </c>
      <c r="AJ128" s="22" t="str">
        <f aca="false">INDEX('Tabela Passaro'!$X$2:$X$1795,$N128)</f>
        <v>INTERIOR 1</v>
      </c>
    </row>
    <row r="129" customFormat="false" ht="15" hidden="false" customHeight="false" outlineLevel="0" collapsed="false">
      <c r="A129" s="22" t="s">
        <v>15</v>
      </c>
      <c r="B129" s="22" t="n">
        <v>2</v>
      </c>
      <c r="C129" s="22" t="s">
        <v>61</v>
      </c>
      <c r="D129" s="22" t="s">
        <v>30</v>
      </c>
      <c r="E129" s="22" t="s">
        <v>7326</v>
      </c>
      <c r="F129" s="22" t="n">
        <v>527382</v>
      </c>
      <c r="G129" s="30" t="n">
        <v>46259</v>
      </c>
      <c r="H129" s="22" t="n">
        <v>629122</v>
      </c>
      <c r="I129" s="22" t="s">
        <v>7443</v>
      </c>
      <c r="J129" s="31" t="n">
        <v>37.59</v>
      </c>
      <c r="K129" s="26" t="n">
        <v>668.95</v>
      </c>
      <c r="L129" s="26" t="n">
        <v>184.92</v>
      </c>
      <c r="M129" s="22" t="s">
        <v>290</v>
      </c>
      <c r="N129" s="22" t="n">
        <f aca="false">MATCH(M129,'Tabela Passaro'!$A$2:$A$1795,0)</f>
        <v>3</v>
      </c>
      <c r="O129" s="22" t="str">
        <f aca="false">INDEX('Tabela Passaro'!$C$2:$C$1795,$N129)</f>
        <v>ARAPIRACA</v>
      </c>
      <c r="P129" s="22" t="str">
        <f aca="false">INDEX('Tabela Passaro'!$B$2:$B$1795,$N129)</f>
        <v>AL</v>
      </c>
      <c r="Q129" s="22" t="n">
        <f aca="false">INDEX('Tabela Passaro'!$F$2:$F$1795,$N129)</f>
        <v>10</v>
      </c>
      <c r="R129" s="32" t="n">
        <f aca="false">IF(J129&lt;=10,INDEX('Tabela Passaro'!$G$2:$G$1795,$N129),IF(J129&lt;=30,INDEX('Tabela Passaro'!$H$2:$H$1795,$N129),IF(J129&lt;=50,INDEX('Tabela Passaro'!$I$2:$I$1795,$N129),IF(J129&lt;=70,INDEX('Tabela Passaro'!$J$2:$J$1795,$N129),IF(J129&lt;=100,INDEX('Tabela Passaro'!$K$2:$K$1795,$N129),INDEX('Tabela Passaro'!$K$2:$K$1795,$N129)+(J129-100)*INDEX('Tabela Passaro'!$L$2:$L$1795,$N129))))))</f>
        <v>109.29</v>
      </c>
      <c r="S129" s="32" t="n">
        <f aca="false">K129*INDEX('Tabela Passaro'!$M$2:$M$1795,$N129)</f>
        <v>3.34475</v>
      </c>
      <c r="T129" s="32" t="n">
        <f aca="false">K129*INDEX('Tabela Passaro'!$N$2:$N$1795,$N129)</f>
        <v>1.3379</v>
      </c>
      <c r="U129" s="32" t="n">
        <f aca="false">INDEX('Tabela Passaro'!$O$2:$O$1795,$N129)</f>
        <v>5</v>
      </c>
      <c r="V129" s="32" t="n">
        <f aca="false">ROUNDUP(J129/INDEX('Tabela Passaro'!$Q$2:$Q$1795,$N129),0)*INDEX('Tabela Passaro'!$P$2:$P$1795,$N129)</f>
        <v>5</v>
      </c>
      <c r="W129" s="32" t="n">
        <f aca="false">INDEX('Tabela Passaro'!$R$2:$R$1795,$N129)</f>
        <v>30</v>
      </c>
      <c r="X129" s="32" t="n">
        <f aca="false">ROUNDUP(J129/INDEX('Tabela Passaro'!$T$2:$T$1795,$N129),0)*INDEX('Tabela Passaro'!$S$2:$S$1795,$N129)</f>
        <v>0</v>
      </c>
      <c r="Y129" s="32" t="n">
        <f aca="false">INDEX('Tabela Passaro'!$U$2:$U$1795,$N129)</f>
        <v>0</v>
      </c>
      <c r="Z129" s="32" t="n">
        <f aca="false">INDEX('Tabela Passaro'!$V$2:$V$1795,$N129)</f>
        <v>0</v>
      </c>
      <c r="AA129" s="32" t="n">
        <f aca="false">SUM(R129:Z129)</f>
        <v>153.97265</v>
      </c>
      <c r="AB129" s="33" t="n">
        <f aca="false">INDEX(Premissas!$B$5:$B$13,MATCH(A129,Premissas!$A$5:$A$13,0))</f>
        <v>0.07</v>
      </c>
      <c r="AC129" s="32" t="n">
        <f aca="false">AA129/(1-AB129)-AA129</f>
        <v>11.5893392473118</v>
      </c>
      <c r="AD129" s="32" t="n">
        <f aca="false">ROUND(AA129+AC129,2)</f>
        <v>165.56</v>
      </c>
      <c r="AE129" s="32" t="n">
        <f aca="false">AD129-L129</f>
        <v>-19.36</v>
      </c>
      <c r="AF129" s="34" t="n">
        <f aca="false">IF(L129=0,0,AE129/L129)</f>
        <v>-0.104693921695868</v>
      </c>
      <c r="AG129" s="22" t="str">
        <f aca="false">IF(AD129&lt;L129,"PASSARO","ATUAL")</f>
        <v>PASSARO</v>
      </c>
      <c r="AH129" s="22" t="str">
        <f aca="false">IF(P129&lt;&gt;A129,"Faixa cadastrada como "&amp;P129&amp;" na tabela; preço aplicado pela UF do CEP","")</f>
        <v/>
      </c>
      <c r="AI129" s="26" t="n">
        <v>181.34</v>
      </c>
      <c r="AJ129" s="22" t="str">
        <f aca="false">INDEX('Tabela Passaro'!$X$2:$X$1795,$N129)</f>
        <v>INTERIOR 1</v>
      </c>
    </row>
    <row r="130" customFormat="false" ht="15" hidden="false" customHeight="false" outlineLevel="0" collapsed="false">
      <c r="A130" s="22" t="s">
        <v>15</v>
      </c>
      <c r="B130" s="22" t="n">
        <v>2</v>
      </c>
      <c r="C130" s="22" t="s">
        <v>61</v>
      </c>
      <c r="D130" s="22" t="s">
        <v>30</v>
      </c>
      <c r="E130" s="22" t="s">
        <v>7326</v>
      </c>
      <c r="F130" s="22" t="n">
        <v>527423</v>
      </c>
      <c r="G130" s="30" t="n">
        <v>46259</v>
      </c>
      <c r="H130" s="22" t="n">
        <v>629277</v>
      </c>
      <c r="I130" s="22" t="s">
        <v>7451</v>
      </c>
      <c r="J130" s="31" t="n">
        <v>13.1</v>
      </c>
      <c r="K130" s="26" t="n">
        <v>414.12</v>
      </c>
      <c r="L130" s="26" t="n">
        <v>86.34</v>
      </c>
      <c r="M130" s="22" t="s">
        <v>290</v>
      </c>
      <c r="N130" s="22" t="n">
        <f aca="false">MATCH(M130,'Tabela Passaro'!$A$2:$A$1795,0)</f>
        <v>3</v>
      </c>
      <c r="O130" s="22" t="str">
        <f aca="false">INDEX('Tabela Passaro'!$C$2:$C$1795,$N130)</f>
        <v>ARAPIRACA</v>
      </c>
      <c r="P130" s="22" t="str">
        <f aca="false">INDEX('Tabela Passaro'!$B$2:$B$1795,$N130)</f>
        <v>AL</v>
      </c>
      <c r="Q130" s="22" t="n">
        <f aca="false">INDEX('Tabela Passaro'!$F$2:$F$1795,$N130)</f>
        <v>10</v>
      </c>
      <c r="R130" s="32" t="n">
        <f aca="false">IF(J130&lt;=10,INDEX('Tabela Passaro'!$G$2:$G$1795,$N130),IF(J130&lt;=30,INDEX('Tabela Passaro'!$H$2:$H$1795,$N130),IF(J130&lt;=50,INDEX('Tabela Passaro'!$I$2:$I$1795,$N130),IF(J130&lt;=70,INDEX('Tabela Passaro'!$J$2:$J$1795,$N130),IF(J130&lt;=100,INDEX('Tabela Passaro'!$K$2:$K$1795,$N130),INDEX('Tabela Passaro'!$K$2:$K$1795,$N130)+(J130-100)*INDEX('Tabela Passaro'!$L$2:$L$1795,$N130))))))</f>
        <v>87.26</v>
      </c>
      <c r="S130" s="32" t="n">
        <f aca="false">K130*INDEX('Tabela Passaro'!$M$2:$M$1795,$N130)</f>
        <v>2.0706</v>
      </c>
      <c r="T130" s="32" t="n">
        <f aca="false">K130*INDEX('Tabela Passaro'!$N$2:$N$1795,$N130)</f>
        <v>0.82824</v>
      </c>
      <c r="U130" s="32" t="n">
        <f aca="false">INDEX('Tabela Passaro'!$O$2:$O$1795,$N130)</f>
        <v>5</v>
      </c>
      <c r="V130" s="32" t="n">
        <f aca="false">ROUNDUP(J130/INDEX('Tabela Passaro'!$Q$2:$Q$1795,$N130),0)*INDEX('Tabela Passaro'!$P$2:$P$1795,$N130)</f>
        <v>5</v>
      </c>
      <c r="W130" s="32" t="n">
        <f aca="false">INDEX('Tabela Passaro'!$R$2:$R$1795,$N130)</f>
        <v>30</v>
      </c>
      <c r="X130" s="32" t="n">
        <f aca="false">ROUNDUP(J130/INDEX('Tabela Passaro'!$T$2:$T$1795,$N130),0)*INDEX('Tabela Passaro'!$S$2:$S$1795,$N130)</f>
        <v>0</v>
      </c>
      <c r="Y130" s="32" t="n">
        <f aca="false">INDEX('Tabela Passaro'!$U$2:$U$1795,$N130)</f>
        <v>0</v>
      </c>
      <c r="Z130" s="32" t="n">
        <f aca="false">INDEX('Tabela Passaro'!$V$2:$V$1795,$N130)</f>
        <v>0</v>
      </c>
      <c r="AA130" s="32" t="n">
        <f aca="false">SUM(R130:Z130)</f>
        <v>130.15884</v>
      </c>
      <c r="AB130" s="33" t="n">
        <f aca="false">INDEX(Premissas!$B$5:$B$13,MATCH(A130,Premissas!$A$5:$A$13,0))</f>
        <v>0.07</v>
      </c>
      <c r="AC130" s="32" t="n">
        <f aca="false">AA130/(1-AB130)-AA130</f>
        <v>9.79690193548387</v>
      </c>
      <c r="AD130" s="32" t="n">
        <f aca="false">ROUND(AA130+AC130,2)</f>
        <v>139.96</v>
      </c>
      <c r="AE130" s="32" t="n">
        <f aca="false">AD130-L130</f>
        <v>53.62</v>
      </c>
      <c r="AF130" s="34" t="n">
        <f aca="false">IF(L130=0,0,AE130/L130)</f>
        <v>0.621033124855224</v>
      </c>
      <c r="AG130" s="22" t="str">
        <f aca="false">IF(AD130&lt;L130,"PASSARO","ATUAL")</f>
        <v>ATUAL</v>
      </c>
      <c r="AH130" s="22" t="str">
        <f aca="false">IF(P130&lt;&gt;A130,"Faixa cadastrada como "&amp;P130&amp;" na tabela; preço aplicado pela UF do CEP","")</f>
        <v/>
      </c>
      <c r="AI130" s="26" t="n">
        <v>142.22</v>
      </c>
      <c r="AJ130" s="22" t="str">
        <f aca="false">INDEX('Tabela Passaro'!$X$2:$X$1795,$N130)</f>
        <v>INTERIOR 1</v>
      </c>
    </row>
    <row r="131" customFormat="false" ht="15" hidden="false" customHeight="false" outlineLevel="0" collapsed="false">
      <c r="A131" s="22" t="s">
        <v>15</v>
      </c>
      <c r="B131" s="22" t="n">
        <v>2</v>
      </c>
      <c r="C131" s="22" t="s">
        <v>61</v>
      </c>
      <c r="D131" s="22" t="s">
        <v>30</v>
      </c>
      <c r="E131" s="22" t="s">
        <v>7328</v>
      </c>
      <c r="F131" s="22" t="n">
        <v>2316593</v>
      </c>
      <c r="G131" s="30" t="n">
        <v>46260</v>
      </c>
      <c r="H131" s="22" t="n">
        <v>135904</v>
      </c>
      <c r="I131" s="22" t="s">
        <v>7452</v>
      </c>
      <c r="J131" s="31" t="n">
        <v>39.76</v>
      </c>
      <c r="K131" s="26" t="n">
        <v>732.6</v>
      </c>
      <c r="L131" s="26" t="n">
        <v>165.1</v>
      </c>
      <c r="M131" s="22" t="s">
        <v>290</v>
      </c>
      <c r="N131" s="22" t="n">
        <f aca="false">MATCH(M131,'Tabela Passaro'!$A$2:$A$1795,0)</f>
        <v>3</v>
      </c>
      <c r="O131" s="22" t="str">
        <f aca="false">INDEX('Tabela Passaro'!$C$2:$C$1795,$N131)</f>
        <v>ARAPIRACA</v>
      </c>
      <c r="P131" s="22" t="str">
        <f aca="false">INDEX('Tabela Passaro'!$B$2:$B$1795,$N131)</f>
        <v>AL</v>
      </c>
      <c r="Q131" s="22" t="n">
        <f aca="false">INDEX('Tabela Passaro'!$F$2:$F$1795,$N131)</f>
        <v>10</v>
      </c>
      <c r="R131" s="32" t="n">
        <f aca="false">IF(J131&lt;=10,INDEX('Tabela Passaro'!$G$2:$G$1795,$N131),IF(J131&lt;=30,INDEX('Tabela Passaro'!$H$2:$H$1795,$N131),IF(J131&lt;=50,INDEX('Tabela Passaro'!$I$2:$I$1795,$N131),IF(J131&lt;=70,INDEX('Tabela Passaro'!$J$2:$J$1795,$N131),IF(J131&lt;=100,INDEX('Tabela Passaro'!$K$2:$K$1795,$N131),INDEX('Tabela Passaro'!$K$2:$K$1795,$N131)+(J131-100)*INDEX('Tabela Passaro'!$L$2:$L$1795,$N131))))))</f>
        <v>109.29</v>
      </c>
      <c r="S131" s="32" t="n">
        <f aca="false">K131*INDEX('Tabela Passaro'!$M$2:$M$1795,$N131)</f>
        <v>3.663</v>
      </c>
      <c r="T131" s="32" t="n">
        <f aca="false">K131*INDEX('Tabela Passaro'!$N$2:$N$1795,$N131)</f>
        <v>1.4652</v>
      </c>
      <c r="U131" s="32" t="n">
        <f aca="false">INDEX('Tabela Passaro'!$O$2:$O$1795,$N131)</f>
        <v>5</v>
      </c>
      <c r="V131" s="32" t="n">
        <f aca="false">ROUNDUP(J131/INDEX('Tabela Passaro'!$Q$2:$Q$1795,$N131),0)*INDEX('Tabela Passaro'!$P$2:$P$1795,$N131)</f>
        <v>5</v>
      </c>
      <c r="W131" s="32" t="n">
        <f aca="false">INDEX('Tabela Passaro'!$R$2:$R$1795,$N131)</f>
        <v>30</v>
      </c>
      <c r="X131" s="32" t="n">
        <f aca="false">ROUNDUP(J131/INDEX('Tabela Passaro'!$T$2:$T$1795,$N131),0)*INDEX('Tabela Passaro'!$S$2:$S$1795,$N131)</f>
        <v>0</v>
      </c>
      <c r="Y131" s="32" t="n">
        <f aca="false">INDEX('Tabela Passaro'!$U$2:$U$1795,$N131)</f>
        <v>0</v>
      </c>
      <c r="Z131" s="32" t="n">
        <f aca="false">INDEX('Tabela Passaro'!$V$2:$V$1795,$N131)</f>
        <v>0</v>
      </c>
      <c r="AA131" s="32" t="n">
        <f aca="false">SUM(R131:Z131)</f>
        <v>154.4182</v>
      </c>
      <c r="AB131" s="33" t="n">
        <f aca="false">INDEX(Premissas!$B$5:$B$13,MATCH(A131,Premissas!$A$5:$A$13,0))</f>
        <v>0.07</v>
      </c>
      <c r="AC131" s="32" t="n">
        <f aca="false">AA131/(1-AB131)-AA131</f>
        <v>11.6228752688172</v>
      </c>
      <c r="AD131" s="32" t="n">
        <f aca="false">ROUND(AA131+AC131,2)</f>
        <v>166.04</v>
      </c>
      <c r="AE131" s="32" t="n">
        <f aca="false">AD131-L131</f>
        <v>0.939999999999998</v>
      </c>
      <c r="AF131" s="34" t="n">
        <f aca="false">IF(L131=0,0,AE131/L131)</f>
        <v>0.00569351907934584</v>
      </c>
      <c r="AG131" s="22" t="str">
        <f aca="false">IF(AD131&lt;L131,"PASSARO","ATUAL")</f>
        <v>ATUAL</v>
      </c>
      <c r="AH131" s="22" t="str">
        <f aca="false">IF(P131&lt;&gt;A131,"Faixa cadastrada como "&amp;P131&amp;" na tabela; preço aplicado pela UF do CEP","")</f>
        <v/>
      </c>
      <c r="AI131" s="26" t="n">
        <v>182.93</v>
      </c>
      <c r="AJ131" s="22" t="str">
        <f aca="false">INDEX('Tabela Passaro'!$X$2:$X$1795,$N131)</f>
        <v>INTERIOR 1</v>
      </c>
    </row>
    <row r="132" customFormat="false" ht="15" hidden="false" customHeight="false" outlineLevel="0" collapsed="false">
      <c r="A132" s="22" t="s">
        <v>15</v>
      </c>
      <c r="B132" s="22" t="n">
        <v>2</v>
      </c>
      <c r="C132" s="22" t="s">
        <v>61</v>
      </c>
      <c r="D132" s="22" t="s">
        <v>30</v>
      </c>
      <c r="E132" s="22" t="s">
        <v>7326</v>
      </c>
      <c r="F132" s="22" t="n">
        <v>528258</v>
      </c>
      <c r="G132" s="30" t="n">
        <v>46262</v>
      </c>
      <c r="H132" s="22" t="n">
        <v>629957</v>
      </c>
      <c r="I132" s="22" t="s">
        <v>7453</v>
      </c>
      <c r="J132" s="31" t="n">
        <v>46.8</v>
      </c>
      <c r="K132" s="26" t="n">
        <v>532.9</v>
      </c>
      <c r="L132" s="26" t="n">
        <v>183.76</v>
      </c>
      <c r="M132" s="22" t="s">
        <v>290</v>
      </c>
      <c r="N132" s="22" t="n">
        <f aca="false">MATCH(M132,'Tabela Passaro'!$A$2:$A$1795,0)</f>
        <v>3</v>
      </c>
      <c r="O132" s="22" t="str">
        <f aca="false">INDEX('Tabela Passaro'!$C$2:$C$1795,$N132)</f>
        <v>ARAPIRACA</v>
      </c>
      <c r="P132" s="22" t="str">
        <f aca="false">INDEX('Tabela Passaro'!$B$2:$B$1795,$N132)</f>
        <v>AL</v>
      </c>
      <c r="Q132" s="22" t="n">
        <f aca="false">INDEX('Tabela Passaro'!$F$2:$F$1795,$N132)</f>
        <v>10</v>
      </c>
      <c r="R132" s="32" t="n">
        <f aca="false">IF(J132&lt;=10,INDEX('Tabela Passaro'!$G$2:$G$1795,$N132),IF(J132&lt;=30,INDEX('Tabela Passaro'!$H$2:$H$1795,$N132),IF(J132&lt;=50,INDEX('Tabela Passaro'!$I$2:$I$1795,$N132),IF(J132&lt;=70,INDEX('Tabela Passaro'!$J$2:$J$1795,$N132),IF(J132&lt;=100,INDEX('Tabela Passaro'!$K$2:$K$1795,$N132),INDEX('Tabela Passaro'!$K$2:$K$1795,$N132)+(J132-100)*INDEX('Tabela Passaro'!$L$2:$L$1795,$N132))))))</f>
        <v>109.29</v>
      </c>
      <c r="S132" s="32" t="n">
        <f aca="false">K132*INDEX('Tabela Passaro'!$M$2:$M$1795,$N132)</f>
        <v>2.6645</v>
      </c>
      <c r="T132" s="32" t="n">
        <f aca="false">K132*INDEX('Tabela Passaro'!$N$2:$N$1795,$N132)</f>
        <v>1.0658</v>
      </c>
      <c r="U132" s="32" t="n">
        <f aca="false">INDEX('Tabela Passaro'!$O$2:$O$1795,$N132)</f>
        <v>5</v>
      </c>
      <c r="V132" s="32" t="n">
        <f aca="false">ROUNDUP(J132/INDEX('Tabela Passaro'!$Q$2:$Q$1795,$N132),0)*INDEX('Tabela Passaro'!$P$2:$P$1795,$N132)</f>
        <v>5</v>
      </c>
      <c r="W132" s="32" t="n">
        <f aca="false">INDEX('Tabela Passaro'!$R$2:$R$1795,$N132)</f>
        <v>30</v>
      </c>
      <c r="X132" s="32" t="n">
        <f aca="false">ROUNDUP(J132/INDEX('Tabela Passaro'!$T$2:$T$1795,$N132),0)*INDEX('Tabela Passaro'!$S$2:$S$1795,$N132)</f>
        <v>0</v>
      </c>
      <c r="Y132" s="32" t="n">
        <f aca="false">INDEX('Tabela Passaro'!$U$2:$U$1795,$N132)</f>
        <v>0</v>
      </c>
      <c r="Z132" s="32" t="n">
        <f aca="false">INDEX('Tabela Passaro'!$V$2:$V$1795,$N132)</f>
        <v>0</v>
      </c>
      <c r="AA132" s="32" t="n">
        <f aca="false">SUM(R132:Z132)</f>
        <v>153.0203</v>
      </c>
      <c r="AB132" s="33" t="n">
        <f aca="false">INDEX(Premissas!$B$5:$B$13,MATCH(A132,Premissas!$A$5:$A$13,0))</f>
        <v>0.07</v>
      </c>
      <c r="AC132" s="32" t="n">
        <f aca="false">AA132/(1-AB132)-AA132</f>
        <v>11.5176569892473</v>
      </c>
      <c r="AD132" s="32" t="n">
        <f aca="false">ROUND(AA132+AC132,2)</f>
        <v>164.54</v>
      </c>
      <c r="AE132" s="32" t="n">
        <f aca="false">AD132-L132</f>
        <v>-19.22</v>
      </c>
      <c r="AF132" s="34" t="n">
        <f aca="false">IF(L132=0,0,AE132/L132)</f>
        <v>-0.104592947322595</v>
      </c>
      <c r="AG132" s="22" t="str">
        <f aca="false">IF(AD132&lt;L132,"PASSARO","ATUAL")</f>
        <v>PASSARO</v>
      </c>
      <c r="AH132" s="22" t="str">
        <f aca="false">IF(P132&lt;&gt;A132,"Faixa cadastrada como "&amp;P132&amp;" na tabela; preço aplicado pela UF do CEP","")</f>
        <v/>
      </c>
      <c r="AI132" s="26" t="n">
        <v>184.38</v>
      </c>
      <c r="AJ132" s="22" t="str">
        <f aca="false">INDEX('Tabela Passaro'!$X$2:$X$1795,$N132)</f>
        <v>INTERIOR 1</v>
      </c>
    </row>
    <row r="133" customFormat="false" ht="15" hidden="false" customHeight="false" outlineLevel="0" collapsed="false">
      <c r="A133" s="22" t="s">
        <v>15</v>
      </c>
      <c r="B133" s="22" t="n">
        <v>2</v>
      </c>
      <c r="C133" s="22" t="s">
        <v>61</v>
      </c>
      <c r="D133" s="22" t="s">
        <v>30</v>
      </c>
      <c r="E133" s="22" t="s">
        <v>20</v>
      </c>
      <c r="F133" s="22" t="n">
        <v>840683</v>
      </c>
      <c r="G133" s="30" t="n">
        <v>46265</v>
      </c>
      <c r="H133" s="22" t="n">
        <v>32884</v>
      </c>
      <c r="I133" s="22" t="s">
        <v>7454</v>
      </c>
      <c r="J133" s="31" t="n">
        <v>27.6</v>
      </c>
      <c r="K133" s="26" t="n">
        <v>707.72</v>
      </c>
      <c r="L133" s="26" t="n">
        <v>116.66</v>
      </c>
      <c r="M133" s="22" t="s">
        <v>290</v>
      </c>
      <c r="N133" s="22" t="n">
        <f aca="false">MATCH(M133,'Tabela Passaro'!$A$2:$A$1795,0)</f>
        <v>3</v>
      </c>
      <c r="O133" s="22" t="str">
        <f aca="false">INDEX('Tabela Passaro'!$C$2:$C$1795,$N133)</f>
        <v>ARAPIRACA</v>
      </c>
      <c r="P133" s="22" t="str">
        <f aca="false">INDEX('Tabela Passaro'!$B$2:$B$1795,$N133)</f>
        <v>AL</v>
      </c>
      <c r="Q133" s="22" t="n">
        <f aca="false">INDEX('Tabela Passaro'!$F$2:$F$1795,$N133)</f>
        <v>10</v>
      </c>
      <c r="R133" s="32" t="n">
        <f aca="false">IF(J133&lt;=10,INDEX('Tabela Passaro'!$G$2:$G$1795,$N133),IF(J133&lt;=30,INDEX('Tabela Passaro'!$H$2:$H$1795,$N133),IF(J133&lt;=50,INDEX('Tabela Passaro'!$I$2:$I$1795,$N133),IF(J133&lt;=70,INDEX('Tabela Passaro'!$J$2:$J$1795,$N133),IF(J133&lt;=100,INDEX('Tabela Passaro'!$K$2:$K$1795,$N133),INDEX('Tabela Passaro'!$K$2:$K$1795,$N133)+(J133-100)*INDEX('Tabela Passaro'!$L$2:$L$1795,$N133))))))</f>
        <v>87.26</v>
      </c>
      <c r="S133" s="32" t="n">
        <f aca="false">K133*INDEX('Tabela Passaro'!$M$2:$M$1795,$N133)</f>
        <v>3.5386</v>
      </c>
      <c r="T133" s="32" t="n">
        <f aca="false">K133*INDEX('Tabela Passaro'!$N$2:$N$1795,$N133)</f>
        <v>1.41544</v>
      </c>
      <c r="U133" s="32" t="n">
        <f aca="false">INDEX('Tabela Passaro'!$O$2:$O$1795,$N133)</f>
        <v>5</v>
      </c>
      <c r="V133" s="32" t="n">
        <f aca="false">ROUNDUP(J133/INDEX('Tabela Passaro'!$Q$2:$Q$1795,$N133),0)*INDEX('Tabela Passaro'!$P$2:$P$1795,$N133)</f>
        <v>5</v>
      </c>
      <c r="W133" s="32" t="n">
        <f aca="false">INDEX('Tabela Passaro'!$R$2:$R$1795,$N133)</f>
        <v>30</v>
      </c>
      <c r="X133" s="32" t="n">
        <f aca="false">ROUNDUP(J133/INDEX('Tabela Passaro'!$T$2:$T$1795,$N133),0)*INDEX('Tabela Passaro'!$S$2:$S$1795,$N133)</f>
        <v>0</v>
      </c>
      <c r="Y133" s="32" t="n">
        <f aca="false">INDEX('Tabela Passaro'!$U$2:$U$1795,$N133)</f>
        <v>0</v>
      </c>
      <c r="Z133" s="32" t="n">
        <f aca="false">INDEX('Tabela Passaro'!$V$2:$V$1795,$N133)</f>
        <v>0</v>
      </c>
      <c r="AA133" s="32" t="n">
        <f aca="false">SUM(R133:Z133)</f>
        <v>132.21404</v>
      </c>
      <c r="AB133" s="33" t="n">
        <f aca="false">INDEX(Premissas!$B$5:$B$13,MATCH(A133,Premissas!$A$5:$A$13,0))</f>
        <v>0.07</v>
      </c>
      <c r="AC133" s="32" t="n">
        <f aca="false">AA133/(1-AB133)-AA133</f>
        <v>9.95159440860215</v>
      </c>
      <c r="AD133" s="32" t="n">
        <f aca="false">ROUND(AA133+AC133,2)</f>
        <v>142.17</v>
      </c>
      <c r="AE133" s="32" t="n">
        <f aca="false">AD133-L133</f>
        <v>25.51</v>
      </c>
      <c r="AF133" s="34" t="n">
        <f aca="false">IF(L133=0,0,AE133/L133)</f>
        <v>0.218669638265044</v>
      </c>
      <c r="AG133" s="22" t="str">
        <f aca="false">IF(AD133&lt;L133,"PASSARO","ATUAL")</f>
        <v>ATUAL</v>
      </c>
      <c r="AH133" s="22" t="str">
        <f aca="false">IF(P133&lt;&gt;A133,"Faixa cadastrada como "&amp;P133&amp;" na tabela; preço aplicado pela UF do CEP","")</f>
        <v/>
      </c>
      <c r="AI133" s="26" t="n">
        <v>151.84</v>
      </c>
      <c r="AJ133" s="22" t="str">
        <f aca="false">INDEX('Tabela Passaro'!$X$2:$X$1795,$N133)</f>
        <v>INTERIOR 1</v>
      </c>
    </row>
    <row r="134" customFormat="false" ht="15" hidden="false" customHeight="false" outlineLevel="0" collapsed="false">
      <c r="A134" s="22" t="s">
        <v>15</v>
      </c>
      <c r="B134" s="22" t="n">
        <v>2</v>
      </c>
      <c r="C134" s="22" t="s">
        <v>61</v>
      </c>
      <c r="D134" s="22" t="s">
        <v>31</v>
      </c>
      <c r="E134" s="22" t="s">
        <v>7326</v>
      </c>
      <c r="F134" s="22" t="n">
        <v>12767951</v>
      </c>
      <c r="G134" s="30" t="n">
        <v>46245</v>
      </c>
      <c r="H134" s="22" t="n">
        <v>622651</v>
      </c>
      <c r="I134" s="22" t="s">
        <v>7455</v>
      </c>
      <c r="J134" s="31" t="n">
        <v>20.8</v>
      </c>
      <c r="K134" s="26" t="n">
        <v>511.89</v>
      </c>
      <c r="L134" s="26" t="n">
        <v>90.87</v>
      </c>
      <c r="M134" s="22" t="s">
        <v>290</v>
      </c>
      <c r="N134" s="22" t="n">
        <f aca="false">MATCH(M134,'Tabela Passaro'!$A$2:$A$1795,0)</f>
        <v>3</v>
      </c>
      <c r="O134" s="22" t="str">
        <f aca="false">INDEX('Tabela Passaro'!$C$2:$C$1795,$N134)</f>
        <v>ARAPIRACA</v>
      </c>
      <c r="P134" s="22" t="str">
        <f aca="false">INDEX('Tabela Passaro'!$B$2:$B$1795,$N134)</f>
        <v>AL</v>
      </c>
      <c r="Q134" s="22" t="n">
        <f aca="false">INDEX('Tabela Passaro'!$F$2:$F$1795,$N134)</f>
        <v>10</v>
      </c>
      <c r="R134" s="32" t="n">
        <f aca="false">IF(J134&lt;=10,INDEX('Tabela Passaro'!$G$2:$G$1795,$N134),IF(J134&lt;=30,INDEX('Tabela Passaro'!$H$2:$H$1795,$N134),IF(J134&lt;=50,INDEX('Tabela Passaro'!$I$2:$I$1795,$N134),IF(J134&lt;=70,INDEX('Tabela Passaro'!$J$2:$J$1795,$N134),IF(J134&lt;=100,INDEX('Tabela Passaro'!$K$2:$K$1795,$N134),INDEX('Tabela Passaro'!$K$2:$K$1795,$N134)+(J134-100)*INDEX('Tabela Passaro'!$L$2:$L$1795,$N134))))))</f>
        <v>87.26</v>
      </c>
      <c r="S134" s="32" t="n">
        <f aca="false">K134*INDEX('Tabela Passaro'!$M$2:$M$1795,$N134)</f>
        <v>2.55945</v>
      </c>
      <c r="T134" s="32" t="n">
        <f aca="false">K134*INDEX('Tabela Passaro'!$N$2:$N$1795,$N134)</f>
        <v>1.02378</v>
      </c>
      <c r="U134" s="32" t="n">
        <f aca="false">INDEX('Tabela Passaro'!$O$2:$O$1795,$N134)</f>
        <v>5</v>
      </c>
      <c r="V134" s="32" t="n">
        <f aca="false">ROUNDUP(J134/INDEX('Tabela Passaro'!$Q$2:$Q$1795,$N134),0)*INDEX('Tabela Passaro'!$P$2:$P$1795,$N134)</f>
        <v>5</v>
      </c>
      <c r="W134" s="32" t="n">
        <f aca="false">INDEX('Tabela Passaro'!$R$2:$R$1795,$N134)</f>
        <v>30</v>
      </c>
      <c r="X134" s="32" t="n">
        <f aca="false">ROUNDUP(J134/INDEX('Tabela Passaro'!$T$2:$T$1795,$N134),0)*INDEX('Tabela Passaro'!$S$2:$S$1795,$N134)</f>
        <v>0</v>
      </c>
      <c r="Y134" s="32" t="n">
        <f aca="false">INDEX('Tabela Passaro'!$U$2:$U$1795,$N134)</f>
        <v>0</v>
      </c>
      <c r="Z134" s="32" t="n">
        <f aca="false">INDEX('Tabela Passaro'!$V$2:$V$1795,$N134)</f>
        <v>0</v>
      </c>
      <c r="AA134" s="32" t="n">
        <f aca="false">SUM(R134:Z134)</f>
        <v>130.84323</v>
      </c>
      <c r="AB134" s="33" t="n">
        <f aca="false">INDEX(Premissas!$B$5:$B$13,MATCH(A134,Premissas!$A$5:$A$13,0))</f>
        <v>0.07</v>
      </c>
      <c r="AC134" s="32" t="n">
        <f aca="false">AA134/(1-AB134)-AA134</f>
        <v>9.84841516129032</v>
      </c>
      <c r="AD134" s="32" t="n">
        <f aca="false">ROUND(AA134+AC134,2)</f>
        <v>140.69</v>
      </c>
      <c r="AE134" s="32" t="n">
        <f aca="false">AD134-L134</f>
        <v>49.82</v>
      </c>
      <c r="AF134" s="34" t="n">
        <f aca="false">IF(L134=0,0,AE134/L134)</f>
        <v>0.548255749972488</v>
      </c>
      <c r="AG134" s="22" t="str">
        <f aca="false">IF(AD134&lt;L134,"PASSARO","ATUAL")</f>
        <v>ATUAL</v>
      </c>
      <c r="AH134" s="22" t="str">
        <f aca="false">IF(P134&lt;&gt;A134,"Faixa cadastrada como "&amp;P134&amp;" na tabela; preço aplicado pela UF do CEP","")</f>
        <v/>
      </c>
      <c r="AI134" s="26" t="n">
        <v>146.56</v>
      </c>
      <c r="AJ134" s="22" t="str">
        <f aca="false">INDEX('Tabela Passaro'!$X$2:$X$1795,$N134)</f>
        <v>INTERIOR 1</v>
      </c>
    </row>
    <row r="135" customFormat="false" ht="15" hidden="false" customHeight="false" outlineLevel="0" collapsed="false">
      <c r="A135" s="22" t="s">
        <v>15</v>
      </c>
      <c r="B135" s="22" t="n">
        <v>2</v>
      </c>
      <c r="C135" s="22" t="s">
        <v>61</v>
      </c>
      <c r="D135" s="22" t="s">
        <v>31</v>
      </c>
      <c r="E135" s="22" t="s">
        <v>7326</v>
      </c>
      <c r="F135" s="22" t="n">
        <v>12773448</v>
      </c>
      <c r="G135" s="30" t="n">
        <v>46246</v>
      </c>
      <c r="H135" s="22" t="n">
        <v>623428</v>
      </c>
      <c r="I135" s="22" t="s">
        <v>7456</v>
      </c>
      <c r="J135" s="31" t="n">
        <v>22.09</v>
      </c>
      <c r="K135" s="26" t="n">
        <v>426.75</v>
      </c>
      <c r="L135" s="26" t="n">
        <v>90.04</v>
      </c>
      <c r="M135" s="22" t="s">
        <v>290</v>
      </c>
      <c r="N135" s="22" t="n">
        <f aca="false">MATCH(M135,'Tabela Passaro'!$A$2:$A$1795,0)</f>
        <v>3</v>
      </c>
      <c r="O135" s="22" t="str">
        <f aca="false">INDEX('Tabela Passaro'!$C$2:$C$1795,$N135)</f>
        <v>ARAPIRACA</v>
      </c>
      <c r="P135" s="22" t="str">
        <f aca="false">INDEX('Tabela Passaro'!$B$2:$B$1795,$N135)</f>
        <v>AL</v>
      </c>
      <c r="Q135" s="22" t="n">
        <f aca="false">INDEX('Tabela Passaro'!$F$2:$F$1795,$N135)</f>
        <v>10</v>
      </c>
      <c r="R135" s="32" t="n">
        <f aca="false">IF(J135&lt;=10,INDEX('Tabela Passaro'!$G$2:$G$1795,$N135),IF(J135&lt;=30,INDEX('Tabela Passaro'!$H$2:$H$1795,$N135),IF(J135&lt;=50,INDEX('Tabela Passaro'!$I$2:$I$1795,$N135),IF(J135&lt;=70,INDEX('Tabela Passaro'!$J$2:$J$1795,$N135),IF(J135&lt;=100,INDEX('Tabela Passaro'!$K$2:$K$1795,$N135),INDEX('Tabela Passaro'!$K$2:$K$1795,$N135)+(J135-100)*INDEX('Tabela Passaro'!$L$2:$L$1795,$N135))))))</f>
        <v>87.26</v>
      </c>
      <c r="S135" s="32" t="n">
        <f aca="false">K135*INDEX('Tabela Passaro'!$M$2:$M$1795,$N135)</f>
        <v>2.13375</v>
      </c>
      <c r="T135" s="32" t="n">
        <f aca="false">K135*INDEX('Tabela Passaro'!$N$2:$N$1795,$N135)</f>
        <v>0.8535</v>
      </c>
      <c r="U135" s="32" t="n">
        <f aca="false">INDEX('Tabela Passaro'!$O$2:$O$1795,$N135)</f>
        <v>5</v>
      </c>
      <c r="V135" s="32" t="n">
        <f aca="false">ROUNDUP(J135/INDEX('Tabela Passaro'!$Q$2:$Q$1795,$N135),0)*INDEX('Tabela Passaro'!$P$2:$P$1795,$N135)</f>
        <v>5</v>
      </c>
      <c r="W135" s="32" t="n">
        <f aca="false">INDEX('Tabela Passaro'!$R$2:$R$1795,$N135)</f>
        <v>30</v>
      </c>
      <c r="X135" s="32" t="n">
        <f aca="false">ROUNDUP(J135/INDEX('Tabela Passaro'!$T$2:$T$1795,$N135),0)*INDEX('Tabela Passaro'!$S$2:$S$1795,$N135)</f>
        <v>0</v>
      </c>
      <c r="Y135" s="32" t="n">
        <f aca="false">INDEX('Tabela Passaro'!$U$2:$U$1795,$N135)</f>
        <v>0</v>
      </c>
      <c r="Z135" s="32" t="n">
        <f aca="false">INDEX('Tabela Passaro'!$V$2:$V$1795,$N135)</f>
        <v>0</v>
      </c>
      <c r="AA135" s="32" t="n">
        <f aca="false">SUM(R135:Z135)</f>
        <v>130.24725</v>
      </c>
      <c r="AB135" s="33" t="n">
        <f aca="false">INDEX(Premissas!$B$5:$B$13,MATCH(A135,Premissas!$A$5:$A$13,0))</f>
        <v>0.07</v>
      </c>
      <c r="AC135" s="32" t="n">
        <f aca="false">AA135/(1-AB135)-AA135</f>
        <v>9.80355645161291</v>
      </c>
      <c r="AD135" s="32" t="n">
        <f aca="false">ROUND(AA135+AC135,2)</f>
        <v>140.05</v>
      </c>
      <c r="AE135" s="32" t="n">
        <f aca="false">AD135-L135</f>
        <v>50.01</v>
      </c>
      <c r="AF135" s="34" t="n">
        <f aca="false">IF(L135=0,0,AE135/L135)</f>
        <v>0.55541981341626</v>
      </c>
      <c r="AG135" s="22" t="str">
        <f aca="false">IF(AD135&lt;L135,"PASSARO","ATUAL")</f>
        <v>ATUAL</v>
      </c>
      <c r="AH135" s="22" t="str">
        <f aca="false">IF(P135&lt;&gt;A135,"Faixa cadastrada como "&amp;P135&amp;" na tabela; preço aplicado pela UF do CEP","")</f>
        <v/>
      </c>
      <c r="AI135" s="26" t="n">
        <v>146.7</v>
      </c>
      <c r="AJ135" s="22" t="str">
        <f aca="false">INDEX('Tabela Passaro'!$X$2:$X$1795,$N135)</f>
        <v>INTERIOR 1</v>
      </c>
    </row>
    <row r="136" customFormat="false" ht="15" hidden="false" customHeight="false" outlineLevel="0" collapsed="false">
      <c r="A136" s="22" t="s">
        <v>15</v>
      </c>
      <c r="B136" s="22" t="n">
        <v>2</v>
      </c>
      <c r="C136" s="22" t="s">
        <v>61</v>
      </c>
      <c r="D136" s="22" t="s">
        <v>31</v>
      </c>
      <c r="E136" s="22" t="s">
        <v>7326</v>
      </c>
      <c r="F136" s="22" t="n">
        <v>12808333</v>
      </c>
      <c r="G136" s="30" t="n">
        <v>46252</v>
      </c>
      <c r="H136" s="22" t="n">
        <v>626102</v>
      </c>
      <c r="I136" s="22" t="s">
        <v>7457</v>
      </c>
      <c r="J136" s="31" t="n">
        <v>19.4</v>
      </c>
      <c r="K136" s="26" t="n">
        <v>466.8</v>
      </c>
      <c r="L136" s="26" t="n">
        <v>79.33</v>
      </c>
      <c r="M136" s="22" t="s">
        <v>290</v>
      </c>
      <c r="N136" s="22" t="n">
        <f aca="false">MATCH(M136,'Tabela Passaro'!$A$2:$A$1795,0)</f>
        <v>3</v>
      </c>
      <c r="O136" s="22" t="str">
        <f aca="false">INDEX('Tabela Passaro'!$C$2:$C$1795,$N136)</f>
        <v>ARAPIRACA</v>
      </c>
      <c r="P136" s="22" t="str">
        <f aca="false">INDEX('Tabela Passaro'!$B$2:$B$1795,$N136)</f>
        <v>AL</v>
      </c>
      <c r="Q136" s="22" t="n">
        <f aca="false">INDEX('Tabela Passaro'!$F$2:$F$1795,$N136)</f>
        <v>10</v>
      </c>
      <c r="R136" s="32" t="n">
        <f aca="false">IF(J136&lt;=10,INDEX('Tabela Passaro'!$G$2:$G$1795,$N136),IF(J136&lt;=30,INDEX('Tabela Passaro'!$H$2:$H$1795,$N136),IF(J136&lt;=50,INDEX('Tabela Passaro'!$I$2:$I$1795,$N136),IF(J136&lt;=70,INDEX('Tabela Passaro'!$J$2:$J$1795,$N136),IF(J136&lt;=100,INDEX('Tabela Passaro'!$K$2:$K$1795,$N136),INDEX('Tabela Passaro'!$K$2:$K$1795,$N136)+(J136-100)*INDEX('Tabela Passaro'!$L$2:$L$1795,$N136))))))</f>
        <v>87.26</v>
      </c>
      <c r="S136" s="32" t="n">
        <f aca="false">K136*INDEX('Tabela Passaro'!$M$2:$M$1795,$N136)</f>
        <v>2.334</v>
      </c>
      <c r="T136" s="32" t="n">
        <f aca="false">K136*INDEX('Tabela Passaro'!$N$2:$N$1795,$N136)</f>
        <v>0.9336</v>
      </c>
      <c r="U136" s="32" t="n">
        <f aca="false">INDEX('Tabela Passaro'!$O$2:$O$1795,$N136)</f>
        <v>5</v>
      </c>
      <c r="V136" s="32" t="n">
        <f aca="false">ROUNDUP(J136/INDEX('Tabela Passaro'!$Q$2:$Q$1795,$N136),0)*INDEX('Tabela Passaro'!$P$2:$P$1795,$N136)</f>
        <v>5</v>
      </c>
      <c r="W136" s="32" t="n">
        <f aca="false">INDEX('Tabela Passaro'!$R$2:$R$1795,$N136)</f>
        <v>30</v>
      </c>
      <c r="X136" s="32" t="n">
        <f aca="false">ROUNDUP(J136/INDEX('Tabela Passaro'!$T$2:$T$1795,$N136),0)*INDEX('Tabela Passaro'!$S$2:$S$1795,$N136)</f>
        <v>0</v>
      </c>
      <c r="Y136" s="32" t="n">
        <f aca="false">INDEX('Tabela Passaro'!$U$2:$U$1795,$N136)</f>
        <v>0</v>
      </c>
      <c r="Z136" s="32" t="n">
        <f aca="false">INDEX('Tabela Passaro'!$V$2:$V$1795,$N136)</f>
        <v>0</v>
      </c>
      <c r="AA136" s="32" t="n">
        <f aca="false">SUM(R136:Z136)</f>
        <v>130.5276</v>
      </c>
      <c r="AB136" s="33" t="n">
        <f aca="false">INDEX(Premissas!$B$5:$B$13,MATCH(A136,Premissas!$A$5:$A$13,0))</f>
        <v>0.07</v>
      </c>
      <c r="AC136" s="32" t="n">
        <f aca="false">AA136/(1-AB136)-AA136</f>
        <v>9.82465806451614</v>
      </c>
      <c r="AD136" s="32" t="n">
        <f aca="false">ROUND(AA136+AC136,2)</f>
        <v>140.35</v>
      </c>
      <c r="AE136" s="32" t="n">
        <f aca="false">AD136-L136</f>
        <v>61.02</v>
      </c>
      <c r="AF136" s="34" t="n">
        <f aca="false">IF(L136=0,0,AE136/L136)</f>
        <v>0.769191982856423</v>
      </c>
      <c r="AG136" s="22" t="str">
        <f aca="false">IF(AD136&lt;L136,"PASSARO","ATUAL")</f>
        <v>ATUAL</v>
      </c>
      <c r="AH136" s="22" t="str">
        <f aca="false">IF(P136&lt;&gt;A136,"Faixa cadastrada como "&amp;P136&amp;" na tabela; preço aplicado pela UF do CEP","")</f>
        <v/>
      </c>
      <c r="AI136" s="26" t="n">
        <v>145.64</v>
      </c>
      <c r="AJ136" s="22" t="str">
        <f aca="false">INDEX('Tabela Passaro'!$X$2:$X$1795,$N136)</f>
        <v>INTERIOR 1</v>
      </c>
    </row>
    <row r="137" customFormat="false" ht="15" hidden="false" customHeight="false" outlineLevel="0" collapsed="false">
      <c r="A137" s="22" t="s">
        <v>15</v>
      </c>
      <c r="B137" s="22" t="n">
        <v>2</v>
      </c>
      <c r="C137" s="22" t="s">
        <v>61</v>
      </c>
      <c r="D137" s="22" t="s">
        <v>31</v>
      </c>
      <c r="E137" s="22" t="s">
        <v>7326</v>
      </c>
      <c r="F137" s="22" t="n">
        <v>12816274</v>
      </c>
      <c r="G137" s="30" t="n">
        <v>46253</v>
      </c>
      <c r="H137" s="22" t="n">
        <v>626856</v>
      </c>
      <c r="I137" s="22" t="s">
        <v>7458</v>
      </c>
      <c r="J137" s="31" t="n">
        <v>20.8</v>
      </c>
      <c r="K137" s="26" t="n">
        <v>623.3</v>
      </c>
      <c r="L137" s="26" t="n">
        <v>91.18</v>
      </c>
      <c r="M137" s="22" t="s">
        <v>290</v>
      </c>
      <c r="N137" s="22" t="n">
        <f aca="false">MATCH(M137,'Tabela Passaro'!$A$2:$A$1795,0)</f>
        <v>3</v>
      </c>
      <c r="O137" s="22" t="str">
        <f aca="false">INDEX('Tabela Passaro'!$C$2:$C$1795,$N137)</f>
        <v>ARAPIRACA</v>
      </c>
      <c r="P137" s="22" t="str">
        <f aca="false">INDEX('Tabela Passaro'!$B$2:$B$1795,$N137)</f>
        <v>AL</v>
      </c>
      <c r="Q137" s="22" t="n">
        <f aca="false">INDEX('Tabela Passaro'!$F$2:$F$1795,$N137)</f>
        <v>10</v>
      </c>
      <c r="R137" s="32" t="n">
        <f aca="false">IF(J137&lt;=10,INDEX('Tabela Passaro'!$G$2:$G$1795,$N137),IF(J137&lt;=30,INDEX('Tabela Passaro'!$H$2:$H$1795,$N137),IF(J137&lt;=50,INDEX('Tabela Passaro'!$I$2:$I$1795,$N137),IF(J137&lt;=70,INDEX('Tabela Passaro'!$J$2:$J$1795,$N137),IF(J137&lt;=100,INDEX('Tabela Passaro'!$K$2:$K$1795,$N137),INDEX('Tabela Passaro'!$K$2:$K$1795,$N137)+(J137-100)*INDEX('Tabela Passaro'!$L$2:$L$1795,$N137))))))</f>
        <v>87.26</v>
      </c>
      <c r="S137" s="32" t="n">
        <f aca="false">K137*INDEX('Tabela Passaro'!$M$2:$M$1795,$N137)</f>
        <v>3.1165</v>
      </c>
      <c r="T137" s="32" t="n">
        <f aca="false">K137*INDEX('Tabela Passaro'!$N$2:$N$1795,$N137)</f>
        <v>1.2466</v>
      </c>
      <c r="U137" s="32" t="n">
        <f aca="false">INDEX('Tabela Passaro'!$O$2:$O$1795,$N137)</f>
        <v>5</v>
      </c>
      <c r="V137" s="32" t="n">
        <f aca="false">ROUNDUP(J137/INDEX('Tabela Passaro'!$Q$2:$Q$1795,$N137),0)*INDEX('Tabela Passaro'!$P$2:$P$1795,$N137)</f>
        <v>5</v>
      </c>
      <c r="W137" s="32" t="n">
        <f aca="false">INDEX('Tabela Passaro'!$R$2:$R$1795,$N137)</f>
        <v>30</v>
      </c>
      <c r="X137" s="32" t="n">
        <f aca="false">ROUNDUP(J137/INDEX('Tabela Passaro'!$T$2:$T$1795,$N137),0)*INDEX('Tabela Passaro'!$S$2:$S$1795,$N137)</f>
        <v>0</v>
      </c>
      <c r="Y137" s="32" t="n">
        <f aca="false">INDEX('Tabela Passaro'!$U$2:$U$1795,$N137)</f>
        <v>0</v>
      </c>
      <c r="Z137" s="32" t="n">
        <f aca="false">INDEX('Tabela Passaro'!$V$2:$V$1795,$N137)</f>
        <v>0</v>
      </c>
      <c r="AA137" s="32" t="n">
        <f aca="false">SUM(R137:Z137)</f>
        <v>131.6231</v>
      </c>
      <c r="AB137" s="33" t="n">
        <f aca="false">INDEX(Premissas!$B$5:$B$13,MATCH(A137,Premissas!$A$5:$A$13,0))</f>
        <v>0.07</v>
      </c>
      <c r="AC137" s="32" t="n">
        <f aca="false">AA137/(1-AB137)-AA137</f>
        <v>9.90711505376345</v>
      </c>
      <c r="AD137" s="32" t="n">
        <f aca="false">ROUND(AA137+AC137,2)</f>
        <v>141.53</v>
      </c>
      <c r="AE137" s="32" t="n">
        <f aca="false">AD137-L137</f>
        <v>50.35</v>
      </c>
      <c r="AF137" s="34" t="n">
        <f aca="false">IF(L137=0,0,AE137/L137)</f>
        <v>0.552204430796227</v>
      </c>
      <c r="AG137" s="22" t="str">
        <f aca="false">IF(AD137&lt;L137,"PASSARO","ATUAL")</f>
        <v>ATUAL</v>
      </c>
      <c r="AH137" s="22" t="str">
        <f aca="false">IF(P137&lt;&gt;A137,"Faixa cadastrada como "&amp;P137&amp;" na tabela; preço aplicado pela UF do CEP","")</f>
        <v/>
      </c>
      <c r="AI137" s="26" t="n">
        <v>147.63</v>
      </c>
      <c r="AJ137" s="22" t="str">
        <f aca="false">INDEX('Tabela Passaro'!$X$2:$X$1795,$N137)</f>
        <v>INTERIOR 1</v>
      </c>
    </row>
    <row r="138" customFormat="false" ht="15" hidden="false" customHeight="false" outlineLevel="0" collapsed="false">
      <c r="A138" s="22" t="s">
        <v>15</v>
      </c>
      <c r="B138" s="22" t="n">
        <v>3</v>
      </c>
      <c r="C138" s="22" t="s">
        <v>63</v>
      </c>
      <c r="D138" s="22" t="s">
        <v>30</v>
      </c>
      <c r="E138" s="22" t="s">
        <v>7328</v>
      </c>
      <c r="F138" s="22" t="n">
        <v>2307492</v>
      </c>
      <c r="G138" s="30" t="n">
        <v>46238</v>
      </c>
      <c r="H138" s="22" t="n">
        <v>131503</v>
      </c>
      <c r="I138" s="22" t="s">
        <v>7459</v>
      </c>
      <c r="J138" s="31" t="n">
        <v>48</v>
      </c>
      <c r="K138" s="26" t="n">
        <v>963.95</v>
      </c>
      <c r="L138" s="26" t="n">
        <v>166.93</v>
      </c>
      <c r="M138" s="22" t="s">
        <v>322</v>
      </c>
      <c r="N138" s="22" t="n">
        <f aca="false">MATCH(M138,'Tabela Passaro'!$A$2:$A$1795,0)</f>
        <v>11</v>
      </c>
      <c r="O138" s="22" t="str">
        <f aca="false">INDEX('Tabela Passaro'!$C$2:$C$1795,$N138)</f>
        <v>MARECHAL DEODORO</v>
      </c>
      <c r="P138" s="22" t="str">
        <f aca="false">INDEX('Tabela Passaro'!$B$2:$B$1795,$N138)</f>
        <v>AL</v>
      </c>
      <c r="Q138" s="22" t="n">
        <f aca="false">INDEX('Tabela Passaro'!$F$2:$F$1795,$N138)</f>
        <v>10</v>
      </c>
      <c r="R138" s="32" t="n">
        <f aca="false">IF(J138&lt;=10,INDEX('Tabela Passaro'!$G$2:$G$1795,$N138),IF(J138&lt;=30,INDEX('Tabela Passaro'!$H$2:$H$1795,$N138),IF(J138&lt;=50,INDEX('Tabela Passaro'!$I$2:$I$1795,$N138),IF(J138&lt;=70,INDEX('Tabela Passaro'!$J$2:$J$1795,$N138),IF(J138&lt;=100,INDEX('Tabela Passaro'!$K$2:$K$1795,$N138),INDEX('Tabela Passaro'!$K$2:$K$1795,$N138)+(J138-100)*INDEX('Tabela Passaro'!$L$2:$L$1795,$N138))))))</f>
        <v>109.29</v>
      </c>
      <c r="S138" s="32" t="n">
        <f aca="false">K138*INDEX('Tabela Passaro'!$M$2:$M$1795,$N138)</f>
        <v>4.81975</v>
      </c>
      <c r="T138" s="32" t="n">
        <f aca="false">K138*INDEX('Tabela Passaro'!$N$2:$N$1795,$N138)</f>
        <v>1.9279</v>
      </c>
      <c r="U138" s="32" t="n">
        <f aca="false">INDEX('Tabela Passaro'!$O$2:$O$1795,$N138)</f>
        <v>5</v>
      </c>
      <c r="V138" s="32" t="n">
        <f aca="false">ROUNDUP(J138/INDEX('Tabela Passaro'!$Q$2:$Q$1795,$N138),0)*INDEX('Tabela Passaro'!$P$2:$P$1795,$N138)</f>
        <v>5</v>
      </c>
      <c r="W138" s="32" t="n">
        <f aca="false">INDEX('Tabela Passaro'!$R$2:$R$1795,$N138)</f>
        <v>30</v>
      </c>
      <c r="X138" s="32" t="n">
        <f aca="false">ROUNDUP(J138/INDEX('Tabela Passaro'!$T$2:$T$1795,$N138),0)*INDEX('Tabela Passaro'!$S$2:$S$1795,$N138)</f>
        <v>0</v>
      </c>
      <c r="Y138" s="32" t="n">
        <f aca="false">INDEX('Tabela Passaro'!$U$2:$U$1795,$N138)</f>
        <v>0</v>
      </c>
      <c r="Z138" s="32" t="n">
        <f aca="false">INDEX('Tabela Passaro'!$V$2:$V$1795,$N138)</f>
        <v>0</v>
      </c>
      <c r="AA138" s="32" t="n">
        <f aca="false">SUM(R138:Z138)</f>
        <v>156.03765</v>
      </c>
      <c r="AB138" s="33" t="n">
        <f aca="false">INDEX(Premissas!$B$5:$B$13,MATCH(A138,Premissas!$A$5:$A$13,0))</f>
        <v>0.07</v>
      </c>
      <c r="AC138" s="32" t="n">
        <f aca="false">AA138/(1-AB138)-AA138</f>
        <v>11.7447693548387</v>
      </c>
      <c r="AD138" s="32" t="n">
        <f aca="false">ROUND(AA138+AC138,2)</f>
        <v>167.78</v>
      </c>
      <c r="AE138" s="32" t="n">
        <f aca="false">AD138-L138</f>
        <v>0.849999999999994</v>
      </c>
      <c r="AF138" s="34" t="n">
        <f aca="false">IF(L138=0,0,AE138/L138)</f>
        <v>0.00509195471155571</v>
      </c>
      <c r="AG138" s="22" t="str">
        <f aca="false">IF(AD138&lt;L138,"PASSARO","ATUAL")</f>
        <v>ATUAL</v>
      </c>
      <c r="AH138" s="22" t="str">
        <f aca="false">IF(P138&lt;&gt;A138,"Faixa cadastrada como "&amp;P138&amp;" na tabela; preço aplicado pela UF do CEP","")</f>
        <v/>
      </c>
      <c r="AI138" s="26" t="n">
        <v>189.04</v>
      </c>
      <c r="AJ138" s="22" t="str">
        <f aca="false">INDEX('Tabela Passaro'!$X$2:$X$1795,$N138)</f>
        <v>INTERIOR 1</v>
      </c>
    </row>
    <row r="139" customFormat="false" ht="15" hidden="false" customHeight="false" outlineLevel="0" collapsed="false">
      <c r="A139" s="22" t="s">
        <v>15</v>
      </c>
      <c r="B139" s="22" t="n">
        <v>3</v>
      </c>
      <c r="C139" s="22" t="s">
        <v>63</v>
      </c>
      <c r="D139" s="22" t="s">
        <v>30</v>
      </c>
      <c r="E139" s="22" t="s">
        <v>7328</v>
      </c>
      <c r="F139" s="22" t="n">
        <v>2307943</v>
      </c>
      <c r="G139" s="30" t="n">
        <v>46239</v>
      </c>
      <c r="H139" s="22" t="n">
        <v>131928</v>
      </c>
      <c r="I139" s="22" t="s">
        <v>7459</v>
      </c>
      <c r="J139" s="31" t="n">
        <v>124.2</v>
      </c>
      <c r="K139" s="26" t="n">
        <v>2195.56</v>
      </c>
      <c r="L139" s="26" t="n">
        <v>312.2</v>
      </c>
      <c r="M139" s="22" t="s">
        <v>322</v>
      </c>
      <c r="N139" s="22" t="n">
        <f aca="false">MATCH(M139,'Tabela Passaro'!$A$2:$A$1795,0)</f>
        <v>11</v>
      </c>
      <c r="O139" s="22" t="str">
        <f aca="false">INDEX('Tabela Passaro'!$C$2:$C$1795,$N139)</f>
        <v>MARECHAL DEODORO</v>
      </c>
      <c r="P139" s="22" t="str">
        <f aca="false">INDEX('Tabela Passaro'!$B$2:$B$1795,$N139)</f>
        <v>AL</v>
      </c>
      <c r="Q139" s="22" t="n">
        <f aca="false">INDEX('Tabela Passaro'!$F$2:$F$1795,$N139)</f>
        <v>10</v>
      </c>
      <c r="R139" s="32" t="n">
        <f aca="false">IF(J139&lt;=10,INDEX('Tabela Passaro'!$G$2:$G$1795,$N139),IF(J139&lt;=30,INDEX('Tabela Passaro'!$H$2:$H$1795,$N139),IF(J139&lt;=50,INDEX('Tabela Passaro'!$I$2:$I$1795,$N139),IF(J139&lt;=70,INDEX('Tabela Passaro'!$J$2:$J$1795,$N139),IF(J139&lt;=100,INDEX('Tabela Passaro'!$K$2:$K$1795,$N139),INDEX('Tabela Passaro'!$K$2:$K$1795,$N139)+(J139-100)*INDEX('Tabela Passaro'!$L$2:$L$1795,$N139))))))</f>
        <v>175.318</v>
      </c>
      <c r="S139" s="32" t="n">
        <f aca="false">K139*INDEX('Tabela Passaro'!$M$2:$M$1795,$N139)</f>
        <v>10.9778</v>
      </c>
      <c r="T139" s="32" t="n">
        <f aca="false">K139*INDEX('Tabela Passaro'!$N$2:$N$1795,$N139)</f>
        <v>4.39112</v>
      </c>
      <c r="U139" s="32" t="n">
        <f aca="false">INDEX('Tabela Passaro'!$O$2:$O$1795,$N139)</f>
        <v>5</v>
      </c>
      <c r="V139" s="32" t="n">
        <f aca="false">ROUNDUP(J139/INDEX('Tabela Passaro'!$Q$2:$Q$1795,$N139),0)*INDEX('Tabela Passaro'!$P$2:$P$1795,$N139)</f>
        <v>10</v>
      </c>
      <c r="W139" s="32" t="n">
        <f aca="false">INDEX('Tabela Passaro'!$R$2:$R$1795,$N139)</f>
        <v>30</v>
      </c>
      <c r="X139" s="32" t="n">
        <f aca="false">ROUNDUP(J139/INDEX('Tabela Passaro'!$T$2:$T$1795,$N139),0)*INDEX('Tabela Passaro'!$S$2:$S$1795,$N139)</f>
        <v>0</v>
      </c>
      <c r="Y139" s="32" t="n">
        <f aca="false">INDEX('Tabela Passaro'!$U$2:$U$1795,$N139)</f>
        <v>0</v>
      </c>
      <c r="Z139" s="32" t="n">
        <f aca="false">INDEX('Tabela Passaro'!$V$2:$V$1795,$N139)</f>
        <v>0</v>
      </c>
      <c r="AA139" s="32" t="n">
        <f aca="false">SUM(R139:Z139)</f>
        <v>235.68692</v>
      </c>
      <c r="AB139" s="33" t="n">
        <f aca="false">INDEX(Premissas!$B$5:$B$13,MATCH(A139,Premissas!$A$5:$A$13,0))</f>
        <v>0.07</v>
      </c>
      <c r="AC139" s="32" t="n">
        <f aca="false">AA139/(1-AB139)-AA139</f>
        <v>17.7398756989248</v>
      </c>
      <c r="AD139" s="32" t="n">
        <f aca="false">ROUND(AA139+AC139,2)</f>
        <v>253.43</v>
      </c>
      <c r="AE139" s="32" t="n">
        <f aca="false">AD139-L139</f>
        <v>-58.77</v>
      </c>
      <c r="AF139" s="34" t="n">
        <f aca="false">IF(L139=0,0,AE139/L139)</f>
        <v>-0.188244714926329</v>
      </c>
      <c r="AG139" s="22" t="str">
        <f aca="false">IF(AD139&lt;L139,"PASSARO","ATUAL")</f>
        <v>PASSARO</v>
      </c>
      <c r="AH139" s="22" t="str">
        <f aca="false">IF(P139&lt;&gt;A139,"Faixa cadastrada como "&amp;P139&amp;" na tabela; preço aplicado pela UF do CEP","")</f>
        <v/>
      </c>
      <c r="AI139" s="26" t="n">
        <v>321.48</v>
      </c>
      <c r="AJ139" s="22" t="str">
        <f aca="false">INDEX('Tabela Passaro'!$X$2:$X$1795,$N139)</f>
        <v>INTERIOR 1</v>
      </c>
    </row>
    <row r="140" customFormat="false" ht="15" hidden="false" customHeight="false" outlineLevel="0" collapsed="false">
      <c r="A140" s="22" t="s">
        <v>15</v>
      </c>
      <c r="B140" s="22" t="n">
        <v>3</v>
      </c>
      <c r="C140" s="22" t="s">
        <v>63</v>
      </c>
      <c r="D140" s="22" t="s">
        <v>30</v>
      </c>
      <c r="E140" s="22" t="s">
        <v>7326</v>
      </c>
      <c r="F140" s="22" t="n">
        <v>523071</v>
      </c>
      <c r="G140" s="30" t="n">
        <v>46241</v>
      </c>
      <c r="H140" s="22" t="n">
        <v>621367</v>
      </c>
      <c r="I140" s="22" t="s">
        <v>7459</v>
      </c>
      <c r="J140" s="31" t="n">
        <v>107.7</v>
      </c>
      <c r="K140" s="26" t="n">
        <v>1801.91</v>
      </c>
      <c r="L140" s="26" t="n">
        <v>352.91</v>
      </c>
      <c r="M140" s="22" t="s">
        <v>322</v>
      </c>
      <c r="N140" s="22" t="n">
        <f aca="false">MATCH(M140,'Tabela Passaro'!$A$2:$A$1795,0)</f>
        <v>11</v>
      </c>
      <c r="O140" s="22" t="str">
        <f aca="false">INDEX('Tabela Passaro'!$C$2:$C$1795,$N140)</f>
        <v>MARECHAL DEODORO</v>
      </c>
      <c r="P140" s="22" t="str">
        <f aca="false">INDEX('Tabela Passaro'!$B$2:$B$1795,$N140)</f>
        <v>AL</v>
      </c>
      <c r="Q140" s="22" t="n">
        <f aca="false">INDEX('Tabela Passaro'!$F$2:$F$1795,$N140)</f>
        <v>10</v>
      </c>
      <c r="R140" s="32" t="n">
        <f aca="false">IF(J140&lt;=10,INDEX('Tabela Passaro'!$G$2:$G$1795,$N140),IF(J140&lt;=30,INDEX('Tabela Passaro'!$H$2:$H$1795,$N140),IF(J140&lt;=50,INDEX('Tabela Passaro'!$I$2:$I$1795,$N140),IF(J140&lt;=70,INDEX('Tabela Passaro'!$J$2:$J$1795,$N140),IF(J140&lt;=100,INDEX('Tabela Passaro'!$K$2:$K$1795,$N140),INDEX('Tabela Passaro'!$K$2:$K$1795,$N140)+(J140-100)*INDEX('Tabela Passaro'!$L$2:$L$1795,$N140))))))</f>
        <v>149.083</v>
      </c>
      <c r="S140" s="32" t="n">
        <f aca="false">K140*INDEX('Tabela Passaro'!$M$2:$M$1795,$N140)</f>
        <v>9.00955</v>
      </c>
      <c r="T140" s="32" t="n">
        <f aca="false">K140*INDEX('Tabela Passaro'!$N$2:$N$1795,$N140)</f>
        <v>3.60382</v>
      </c>
      <c r="U140" s="32" t="n">
        <f aca="false">INDEX('Tabela Passaro'!$O$2:$O$1795,$N140)</f>
        <v>5</v>
      </c>
      <c r="V140" s="32" t="n">
        <f aca="false">ROUNDUP(J140/INDEX('Tabela Passaro'!$Q$2:$Q$1795,$N140),0)*INDEX('Tabela Passaro'!$P$2:$P$1795,$N140)</f>
        <v>10</v>
      </c>
      <c r="W140" s="32" t="n">
        <f aca="false">INDEX('Tabela Passaro'!$R$2:$R$1795,$N140)</f>
        <v>30</v>
      </c>
      <c r="X140" s="32" t="n">
        <f aca="false">ROUNDUP(J140/INDEX('Tabela Passaro'!$T$2:$T$1795,$N140),0)*INDEX('Tabela Passaro'!$S$2:$S$1795,$N140)</f>
        <v>0</v>
      </c>
      <c r="Y140" s="32" t="n">
        <f aca="false">INDEX('Tabela Passaro'!$U$2:$U$1795,$N140)</f>
        <v>0</v>
      </c>
      <c r="Z140" s="32" t="n">
        <f aca="false">INDEX('Tabela Passaro'!$V$2:$V$1795,$N140)</f>
        <v>0</v>
      </c>
      <c r="AA140" s="32" t="n">
        <f aca="false">SUM(R140:Z140)</f>
        <v>206.69637</v>
      </c>
      <c r="AB140" s="33" t="n">
        <f aca="false">INDEX(Premissas!$B$5:$B$13,MATCH(A140,Premissas!$A$5:$A$13,0))</f>
        <v>0.07</v>
      </c>
      <c r="AC140" s="32" t="n">
        <f aca="false">AA140/(1-AB140)-AA140</f>
        <v>15.5577912903226</v>
      </c>
      <c r="AD140" s="32" t="n">
        <f aca="false">ROUND(AA140+AC140,2)</f>
        <v>222.25</v>
      </c>
      <c r="AE140" s="32" t="n">
        <f aca="false">AD140-L140</f>
        <v>-130.66</v>
      </c>
      <c r="AF140" s="34" t="n">
        <f aca="false">IF(L140=0,0,AE140/L140)</f>
        <v>-0.370236037516647</v>
      </c>
      <c r="AG140" s="22" t="str">
        <f aca="false">IF(AD140&lt;L140,"PASSARO","ATUAL")</f>
        <v>PASSARO</v>
      </c>
      <c r="AH140" s="22" t="str">
        <f aca="false">IF(P140&lt;&gt;A140,"Faixa cadastrada como "&amp;P140&amp;" na tabela; preço aplicado pela UF do CEP","")</f>
        <v/>
      </c>
      <c r="AI140" s="26" t="n">
        <v>277.69</v>
      </c>
      <c r="AJ140" s="22" t="str">
        <f aca="false">INDEX('Tabela Passaro'!$X$2:$X$1795,$N140)</f>
        <v>INTERIOR 1</v>
      </c>
    </row>
    <row r="141" customFormat="false" ht="15" hidden="false" customHeight="false" outlineLevel="0" collapsed="false">
      <c r="A141" s="22" t="s">
        <v>15</v>
      </c>
      <c r="B141" s="22" t="n">
        <v>3</v>
      </c>
      <c r="C141" s="22" t="s">
        <v>63</v>
      </c>
      <c r="D141" s="22" t="s">
        <v>30</v>
      </c>
      <c r="E141" s="22" t="s">
        <v>7328</v>
      </c>
      <c r="F141" s="22" t="n">
        <v>2309877</v>
      </c>
      <c r="G141" s="30" t="n">
        <v>46244</v>
      </c>
      <c r="H141" s="22" t="n">
        <v>132356</v>
      </c>
      <c r="I141" s="22" t="s">
        <v>7459</v>
      </c>
      <c r="J141" s="31" t="n">
        <v>37.2</v>
      </c>
      <c r="K141" s="26" t="n">
        <v>575.47</v>
      </c>
      <c r="L141" s="26" t="n">
        <v>163.86</v>
      </c>
      <c r="M141" s="22" t="s">
        <v>322</v>
      </c>
      <c r="N141" s="22" t="n">
        <f aca="false">MATCH(M141,'Tabela Passaro'!$A$2:$A$1795,0)</f>
        <v>11</v>
      </c>
      <c r="O141" s="22" t="str">
        <f aca="false">INDEX('Tabela Passaro'!$C$2:$C$1795,$N141)</f>
        <v>MARECHAL DEODORO</v>
      </c>
      <c r="P141" s="22" t="str">
        <f aca="false">INDEX('Tabela Passaro'!$B$2:$B$1795,$N141)</f>
        <v>AL</v>
      </c>
      <c r="Q141" s="22" t="n">
        <f aca="false">INDEX('Tabela Passaro'!$F$2:$F$1795,$N141)</f>
        <v>10</v>
      </c>
      <c r="R141" s="32" t="n">
        <f aca="false">IF(J141&lt;=10,INDEX('Tabela Passaro'!$G$2:$G$1795,$N141),IF(J141&lt;=30,INDEX('Tabela Passaro'!$H$2:$H$1795,$N141),IF(J141&lt;=50,INDEX('Tabela Passaro'!$I$2:$I$1795,$N141),IF(J141&lt;=70,INDEX('Tabela Passaro'!$J$2:$J$1795,$N141),IF(J141&lt;=100,INDEX('Tabela Passaro'!$K$2:$K$1795,$N141),INDEX('Tabela Passaro'!$K$2:$K$1795,$N141)+(J141-100)*INDEX('Tabela Passaro'!$L$2:$L$1795,$N141))))))</f>
        <v>109.29</v>
      </c>
      <c r="S141" s="32" t="n">
        <f aca="false">K141*INDEX('Tabela Passaro'!$M$2:$M$1795,$N141)</f>
        <v>2.87735</v>
      </c>
      <c r="T141" s="32" t="n">
        <f aca="false">K141*INDEX('Tabela Passaro'!$N$2:$N$1795,$N141)</f>
        <v>1.15094</v>
      </c>
      <c r="U141" s="32" t="n">
        <f aca="false">INDEX('Tabela Passaro'!$O$2:$O$1795,$N141)</f>
        <v>5</v>
      </c>
      <c r="V141" s="32" t="n">
        <f aca="false">ROUNDUP(J141/INDEX('Tabela Passaro'!$Q$2:$Q$1795,$N141),0)*INDEX('Tabela Passaro'!$P$2:$P$1795,$N141)</f>
        <v>5</v>
      </c>
      <c r="W141" s="32" t="n">
        <f aca="false">INDEX('Tabela Passaro'!$R$2:$R$1795,$N141)</f>
        <v>30</v>
      </c>
      <c r="X141" s="32" t="n">
        <f aca="false">ROUNDUP(J141/INDEX('Tabela Passaro'!$T$2:$T$1795,$N141),0)*INDEX('Tabela Passaro'!$S$2:$S$1795,$N141)</f>
        <v>0</v>
      </c>
      <c r="Y141" s="32" t="n">
        <f aca="false">INDEX('Tabela Passaro'!$U$2:$U$1795,$N141)</f>
        <v>0</v>
      </c>
      <c r="Z141" s="32" t="n">
        <f aca="false">INDEX('Tabela Passaro'!$V$2:$V$1795,$N141)</f>
        <v>0</v>
      </c>
      <c r="AA141" s="32" t="n">
        <f aca="false">SUM(R141:Z141)</f>
        <v>153.31829</v>
      </c>
      <c r="AB141" s="33" t="n">
        <f aca="false">INDEX(Premissas!$B$5:$B$13,MATCH(A141,Premissas!$A$5:$A$13,0))</f>
        <v>0.07</v>
      </c>
      <c r="AC141" s="32" t="n">
        <f aca="false">AA141/(1-AB141)-AA141</f>
        <v>11.540086344086</v>
      </c>
      <c r="AD141" s="32" t="n">
        <f aca="false">ROUND(AA141+AC141,2)</f>
        <v>164.86</v>
      </c>
      <c r="AE141" s="32" t="n">
        <f aca="false">AD141-L141</f>
        <v>1</v>
      </c>
      <c r="AF141" s="34" t="n">
        <f aca="false">IF(L141=0,0,AE141/L141)</f>
        <v>0.00610277065787868</v>
      </c>
      <c r="AG141" s="22" t="str">
        <f aca="false">IF(AD141&lt;L141,"PASSARO","ATUAL")</f>
        <v>ATUAL</v>
      </c>
      <c r="AH141" s="22" t="str">
        <f aca="false">IF(P141&lt;&gt;A141,"Faixa cadastrada como "&amp;P141&amp;" na tabela; preço aplicado pela UF do CEP","")</f>
        <v/>
      </c>
      <c r="AI141" s="26" t="n">
        <v>180.44</v>
      </c>
      <c r="AJ141" s="22" t="str">
        <f aca="false">INDEX('Tabela Passaro'!$X$2:$X$1795,$N141)</f>
        <v>INTERIOR 1</v>
      </c>
    </row>
    <row r="142" customFormat="false" ht="15" hidden="false" customHeight="false" outlineLevel="0" collapsed="false">
      <c r="A142" s="22" t="s">
        <v>15</v>
      </c>
      <c r="B142" s="22" t="n">
        <v>3</v>
      </c>
      <c r="C142" s="22" t="s">
        <v>63</v>
      </c>
      <c r="D142" s="22" t="s">
        <v>30</v>
      </c>
      <c r="E142" s="22" t="s">
        <v>7326</v>
      </c>
      <c r="F142" s="22" t="n">
        <v>524991</v>
      </c>
      <c r="G142" s="30" t="n">
        <v>46248</v>
      </c>
      <c r="H142" s="22" t="n">
        <v>625203</v>
      </c>
      <c r="I142" s="22" t="s">
        <v>7459</v>
      </c>
      <c r="J142" s="31" t="n">
        <v>63.1</v>
      </c>
      <c r="K142" s="26" t="n">
        <v>2155.22</v>
      </c>
      <c r="L142" s="26" t="n">
        <v>254.3</v>
      </c>
      <c r="M142" s="22" t="s">
        <v>322</v>
      </c>
      <c r="N142" s="22" t="n">
        <f aca="false">MATCH(M142,'Tabela Passaro'!$A$2:$A$1795,0)</f>
        <v>11</v>
      </c>
      <c r="O142" s="22" t="str">
        <f aca="false">INDEX('Tabela Passaro'!$C$2:$C$1795,$N142)</f>
        <v>MARECHAL DEODORO</v>
      </c>
      <c r="P142" s="22" t="str">
        <f aca="false">INDEX('Tabela Passaro'!$B$2:$B$1795,$N142)</f>
        <v>AL</v>
      </c>
      <c r="Q142" s="22" t="n">
        <f aca="false">INDEX('Tabela Passaro'!$F$2:$F$1795,$N142)</f>
        <v>10</v>
      </c>
      <c r="R142" s="32" t="n">
        <f aca="false">IF(J142&lt;=10,INDEX('Tabela Passaro'!$G$2:$G$1795,$N142),IF(J142&lt;=30,INDEX('Tabela Passaro'!$H$2:$H$1795,$N142),IF(J142&lt;=50,INDEX('Tabela Passaro'!$I$2:$I$1795,$N142),IF(J142&lt;=70,INDEX('Tabela Passaro'!$J$2:$J$1795,$N142),IF(J142&lt;=100,INDEX('Tabela Passaro'!$K$2:$K$1795,$N142),INDEX('Tabela Passaro'!$K$2:$K$1795,$N142)+(J142-100)*INDEX('Tabela Passaro'!$L$2:$L$1795,$N142))))))</f>
        <v>120.31</v>
      </c>
      <c r="S142" s="32" t="n">
        <f aca="false">K142*INDEX('Tabela Passaro'!$M$2:$M$1795,$N142)</f>
        <v>10.7761</v>
      </c>
      <c r="T142" s="32" t="n">
        <f aca="false">K142*INDEX('Tabela Passaro'!$N$2:$N$1795,$N142)</f>
        <v>4.31044</v>
      </c>
      <c r="U142" s="32" t="n">
        <f aca="false">INDEX('Tabela Passaro'!$O$2:$O$1795,$N142)</f>
        <v>5</v>
      </c>
      <c r="V142" s="32" t="n">
        <f aca="false">ROUNDUP(J142/INDEX('Tabela Passaro'!$Q$2:$Q$1795,$N142),0)*INDEX('Tabela Passaro'!$P$2:$P$1795,$N142)</f>
        <v>5</v>
      </c>
      <c r="W142" s="32" t="n">
        <f aca="false">INDEX('Tabela Passaro'!$R$2:$R$1795,$N142)</f>
        <v>30</v>
      </c>
      <c r="X142" s="32" t="n">
        <f aca="false">ROUNDUP(J142/INDEX('Tabela Passaro'!$T$2:$T$1795,$N142),0)*INDEX('Tabela Passaro'!$S$2:$S$1795,$N142)</f>
        <v>0</v>
      </c>
      <c r="Y142" s="32" t="n">
        <f aca="false">INDEX('Tabela Passaro'!$U$2:$U$1795,$N142)</f>
        <v>0</v>
      </c>
      <c r="Z142" s="32" t="n">
        <f aca="false">INDEX('Tabela Passaro'!$V$2:$V$1795,$N142)</f>
        <v>0</v>
      </c>
      <c r="AA142" s="32" t="n">
        <f aca="false">SUM(R142:Z142)</f>
        <v>175.39654</v>
      </c>
      <c r="AB142" s="33" t="n">
        <f aca="false">INDEX(Premissas!$B$5:$B$13,MATCH(A142,Premissas!$A$5:$A$13,0))</f>
        <v>0.07</v>
      </c>
      <c r="AC142" s="32" t="n">
        <f aca="false">AA142/(1-AB142)-AA142</f>
        <v>13.2018901075269</v>
      </c>
      <c r="AD142" s="32" t="n">
        <f aca="false">ROUND(AA142+AC142,2)</f>
        <v>188.6</v>
      </c>
      <c r="AE142" s="32" t="n">
        <f aca="false">AD142-L142</f>
        <v>-65.7</v>
      </c>
      <c r="AF142" s="34" t="n">
        <f aca="false">IF(L142=0,0,AE142/L142)</f>
        <v>-0.258356272119544</v>
      </c>
      <c r="AG142" s="22" t="str">
        <f aca="false">IF(AD142&lt;L142,"PASSARO","ATUAL")</f>
        <v>PASSARO</v>
      </c>
      <c r="AH142" s="22" t="str">
        <f aca="false">IF(P142&lt;&gt;A142,"Faixa cadastrada como "&amp;P142&amp;" na tabela; preço aplicado pela UF do CEP","")</f>
        <v/>
      </c>
      <c r="AI142" s="26" t="n">
        <v>220.84</v>
      </c>
      <c r="AJ142" s="22" t="str">
        <f aca="false">INDEX('Tabela Passaro'!$X$2:$X$1795,$N142)</f>
        <v>INTERIOR 1</v>
      </c>
    </row>
    <row r="143" customFormat="false" ht="15" hidden="false" customHeight="false" outlineLevel="0" collapsed="false">
      <c r="A143" s="22" t="s">
        <v>15</v>
      </c>
      <c r="B143" s="22" t="n">
        <v>3</v>
      </c>
      <c r="C143" s="22" t="s">
        <v>63</v>
      </c>
      <c r="D143" s="22" t="s">
        <v>30</v>
      </c>
      <c r="E143" s="22" t="s">
        <v>7328</v>
      </c>
      <c r="F143" s="22" t="n">
        <v>2316517</v>
      </c>
      <c r="G143" s="30" t="n">
        <v>46260</v>
      </c>
      <c r="H143" s="22" t="n">
        <v>135527</v>
      </c>
      <c r="I143" s="22" t="s">
        <v>7459</v>
      </c>
      <c r="J143" s="31" t="n">
        <v>46.8</v>
      </c>
      <c r="K143" s="26" t="n">
        <v>583.24</v>
      </c>
      <c r="L143" s="26" t="n">
        <v>163.93</v>
      </c>
      <c r="M143" s="22" t="s">
        <v>322</v>
      </c>
      <c r="N143" s="22" t="n">
        <f aca="false">MATCH(M143,'Tabela Passaro'!$A$2:$A$1795,0)</f>
        <v>11</v>
      </c>
      <c r="O143" s="22" t="str">
        <f aca="false">INDEX('Tabela Passaro'!$C$2:$C$1795,$N143)</f>
        <v>MARECHAL DEODORO</v>
      </c>
      <c r="P143" s="22" t="str">
        <f aca="false">INDEX('Tabela Passaro'!$B$2:$B$1795,$N143)</f>
        <v>AL</v>
      </c>
      <c r="Q143" s="22" t="n">
        <f aca="false">INDEX('Tabela Passaro'!$F$2:$F$1795,$N143)</f>
        <v>10</v>
      </c>
      <c r="R143" s="32" t="n">
        <f aca="false">IF(J143&lt;=10,INDEX('Tabela Passaro'!$G$2:$G$1795,$N143),IF(J143&lt;=30,INDEX('Tabela Passaro'!$H$2:$H$1795,$N143),IF(J143&lt;=50,INDEX('Tabela Passaro'!$I$2:$I$1795,$N143),IF(J143&lt;=70,INDEX('Tabela Passaro'!$J$2:$J$1795,$N143),IF(J143&lt;=100,INDEX('Tabela Passaro'!$K$2:$K$1795,$N143),INDEX('Tabela Passaro'!$K$2:$K$1795,$N143)+(J143-100)*INDEX('Tabela Passaro'!$L$2:$L$1795,$N143))))))</f>
        <v>109.29</v>
      </c>
      <c r="S143" s="32" t="n">
        <f aca="false">K143*INDEX('Tabela Passaro'!$M$2:$M$1795,$N143)</f>
        <v>2.9162</v>
      </c>
      <c r="T143" s="32" t="n">
        <f aca="false">K143*INDEX('Tabela Passaro'!$N$2:$N$1795,$N143)</f>
        <v>1.16648</v>
      </c>
      <c r="U143" s="32" t="n">
        <f aca="false">INDEX('Tabela Passaro'!$O$2:$O$1795,$N143)</f>
        <v>5</v>
      </c>
      <c r="V143" s="32" t="n">
        <f aca="false">ROUNDUP(J143/INDEX('Tabela Passaro'!$Q$2:$Q$1795,$N143),0)*INDEX('Tabela Passaro'!$P$2:$P$1795,$N143)</f>
        <v>5</v>
      </c>
      <c r="W143" s="32" t="n">
        <f aca="false">INDEX('Tabela Passaro'!$R$2:$R$1795,$N143)</f>
        <v>30</v>
      </c>
      <c r="X143" s="32" t="n">
        <f aca="false">ROUNDUP(J143/INDEX('Tabela Passaro'!$T$2:$T$1795,$N143),0)*INDEX('Tabela Passaro'!$S$2:$S$1795,$N143)</f>
        <v>0</v>
      </c>
      <c r="Y143" s="32" t="n">
        <f aca="false">INDEX('Tabela Passaro'!$U$2:$U$1795,$N143)</f>
        <v>0</v>
      </c>
      <c r="Z143" s="32" t="n">
        <f aca="false">INDEX('Tabela Passaro'!$V$2:$V$1795,$N143)</f>
        <v>0</v>
      </c>
      <c r="AA143" s="32" t="n">
        <f aca="false">SUM(R143:Z143)</f>
        <v>153.37268</v>
      </c>
      <c r="AB143" s="33" t="n">
        <f aca="false">INDEX(Premissas!$B$5:$B$13,MATCH(A143,Premissas!$A$5:$A$13,0))</f>
        <v>0.07</v>
      </c>
      <c r="AC143" s="32" t="n">
        <f aca="false">AA143/(1-AB143)-AA143</f>
        <v>11.5441802150538</v>
      </c>
      <c r="AD143" s="32" t="n">
        <f aca="false">ROUND(AA143+AC143,2)</f>
        <v>164.92</v>
      </c>
      <c r="AE143" s="32" t="n">
        <f aca="false">AD143-L143</f>
        <v>0.989999999999981</v>
      </c>
      <c r="AF143" s="34" t="n">
        <f aca="false">IF(L143=0,0,AE143/L143)</f>
        <v>0.00603916305740243</v>
      </c>
      <c r="AG143" s="22" t="str">
        <f aca="false">IF(AD143&lt;L143,"PASSARO","ATUAL")</f>
        <v>ATUAL</v>
      </c>
      <c r="AH143" s="22" t="str">
        <f aca="false">IF(P143&lt;&gt;A143,"Faixa cadastrada como "&amp;P143&amp;" na tabela; preço aplicado pela UF do CEP","")</f>
        <v/>
      </c>
      <c r="AI143" s="26" t="n">
        <v>184.87</v>
      </c>
      <c r="AJ143" s="22" t="str">
        <f aca="false">INDEX('Tabela Passaro'!$X$2:$X$1795,$N143)</f>
        <v>INTERIOR 1</v>
      </c>
    </row>
    <row r="144" customFormat="false" ht="15" hidden="false" customHeight="false" outlineLevel="0" collapsed="false">
      <c r="A144" s="22" t="s">
        <v>15</v>
      </c>
      <c r="B144" s="22" t="n">
        <v>4</v>
      </c>
      <c r="C144" s="22" t="s">
        <v>65</v>
      </c>
      <c r="D144" s="22" t="s">
        <v>30</v>
      </c>
      <c r="E144" s="22" t="s">
        <v>7328</v>
      </c>
      <c r="F144" s="22" t="n">
        <v>2309894</v>
      </c>
      <c r="G144" s="30" t="n">
        <v>46244</v>
      </c>
      <c r="H144" s="22" t="n">
        <v>132380</v>
      </c>
      <c r="I144" s="22" t="s">
        <v>7460</v>
      </c>
      <c r="J144" s="31" t="n">
        <v>66.4</v>
      </c>
      <c r="K144" s="26" t="n">
        <v>958.94</v>
      </c>
      <c r="L144" s="26" t="n">
        <v>210.15</v>
      </c>
      <c r="M144" s="22" t="s">
        <v>287</v>
      </c>
      <c r="N144" s="22" t="n">
        <f aca="false">MATCH(M144,'Tabela Passaro'!$A$2:$A$1795,0)</f>
        <v>2</v>
      </c>
      <c r="O144" s="22" t="str">
        <f aca="false">INDEX('Tabela Passaro'!$C$2:$C$1795,$N144)</f>
        <v>RIO LARGO</v>
      </c>
      <c r="P144" s="22" t="str">
        <f aca="false">INDEX('Tabela Passaro'!$B$2:$B$1795,$N144)</f>
        <v>AL</v>
      </c>
      <c r="Q144" s="22" t="n">
        <f aca="false">INDEX('Tabela Passaro'!$F$2:$F$1795,$N144)</f>
        <v>8</v>
      </c>
      <c r="R144" s="32" t="n">
        <f aca="false">IF(J144&lt;=10,INDEX('Tabela Passaro'!$G$2:$G$1795,$N144),IF(J144&lt;=30,INDEX('Tabela Passaro'!$H$2:$H$1795,$N144),IF(J144&lt;=50,INDEX('Tabela Passaro'!$I$2:$I$1795,$N144),IF(J144&lt;=70,INDEX('Tabela Passaro'!$J$2:$J$1795,$N144),IF(J144&lt;=100,INDEX('Tabela Passaro'!$K$2:$K$1795,$N144),INDEX('Tabela Passaro'!$K$2:$K$1795,$N144)+(J144-100)*INDEX('Tabela Passaro'!$L$2:$L$1795,$N144))))))</f>
        <v>88.98</v>
      </c>
      <c r="S144" s="32" t="n">
        <f aca="false">K144*INDEX('Tabela Passaro'!$M$2:$M$1795,$N144)</f>
        <v>4.7947</v>
      </c>
      <c r="T144" s="32" t="n">
        <f aca="false">K144*INDEX('Tabela Passaro'!$N$2:$N$1795,$N144)</f>
        <v>1.91788</v>
      </c>
      <c r="U144" s="32" t="n">
        <f aca="false">INDEX('Tabela Passaro'!$O$2:$O$1795,$N144)</f>
        <v>5</v>
      </c>
      <c r="V144" s="32" t="n">
        <f aca="false">ROUNDUP(J144/INDEX('Tabela Passaro'!$Q$2:$Q$1795,$N144),0)*INDEX('Tabela Passaro'!$P$2:$P$1795,$N144)</f>
        <v>5</v>
      </c>
      <c r="W144" s="32" t="n">
        <f aca="false">INDEX('Tabela Passaro'!$R$2:$R$1795,$N144)</f>
        <v>30</v>
      </c>
      <c r="X144" s="32" t="n">
        <f aca="false">ROUNDUP(J144/INDEX('Tabela Passaro'!$T$2:$T$1795,$N144),0)*INDEX('Tabela Passaro'!$S$2:$S$1795,$N144)</f>
        <v>0</v>
      </c>
      <c r="Y144" s="32" t="n">
        <f aca="false">INDEX('Tabela Passaro'!$U$2:$U$1795,$N144)</f>
        <v>0</v>
      </c>
      <c r="Z144" s="32" t="n">
        <f aca="false">INDEX('Tabela Passaro'!$V$2:$V$1795,$N144)</f>
        <v>0</v>
      </c>
      <c r="AA144" s="32" t="n">
        <f aca="false">SUM(R144:Z144)</f>
        <v>135.69258</v>
      </c>
      <c r="AB144" s="33" t="n">
        <f aca="false">INDEX(Premissas!$B$5:$B$13,MATCH(A144,Premissas!$A$5:$A$13,0))</f>
        <v>0.07</v>
      </c>
      <c r="AC144" s="32" t="n">
        <f aca="false">AA144/(1-AB144)-AA144</f>
        <v>10.21342</v>
      </c>
      <c r="AD144" s="32" t="n">
        <f aca="false">ROUND(AA144+AC144,2)</f>
        <v>145.91</v>
      </c>
      <c r="AE144" s="32" t="n">
        <f aca="false">AD144-L144</f>
        <v>-64.24</v>
      </c>
      <c r="AF144" s="34" t="n">
        <f aca="false">IF(L144=0,0,AE144/L144)</f>
        <v>-0.305686414465858</v>
      </c>
      <c r="AG144" s="22" t="str">
        <f aca="false">IF(AD144&lt;L144,"PASSARO","ATUAL")</f>
        <v>PASSARO</v>
      </c>
      <c r="AH144" s="22" t="str">
        <f aca="false">IF(P144&lt;&gt;A144,"Faixa cadastrada como "&amp;P144&amp;" na tabela; preço aplicado pela UF do CEP","")</f>
        <v/>
      </c>
      <c r="AI144" s="26" t="n">
        <v>191.23</v>
      </c>
      <c r="AJ144" s="22" t="str">
        <f aca="false">INDEX('Tabela Passaro'!$X$2:$X$1795,$N144)</f>
        <v>CAPITAL</v>
      </c>
    </row>
    <row r="145" customFormat="false" ht="15" hidden="false" customHeight="false" outlineLevel="0" collapsed="false">
      <c r="A145" s="22" t="s">
        <v>15</v>
      </c>
      <c r="B145" s="22" t="n">
        <v>4</v>
      </c>
      <c r="C145" s="22" t="s">
        <v>65</v>
      </c>
      <c r="D145" s="22" t="s">
        <v>30</v>
      </c>
      <c r="E145" s="22" t="s">
        <v>7328</v>
      </c>
      <c r="F145" s="22" t="n">
        <v>2314416</v>
      </c>
      <c r="G145" s="30" t="n">
        <v>46254</v>
      </c>
      <c r="H145" s="22" t="n">
        <v>134080</v>
      </c>
      <c r="I145" s="22" t="s">
        <v>7460</v>
      </c>
      <c r="J145" s="31" t="n">
        <v>36.55</v>
      </c>
      <c r="K145" s="26" t="n">
        <v>642.36</v>
      </c>
      <c r="L145" s="26" t="n">
        <v>164.39</v>
      </c>
      <c r="M145" s="22" t="s">
        <v>287</v>
      </c>
      <c r="N145" s="22" t="n">
        <f aca="false">MATCH(M145,'Tabela Passaro'!$A$2:$A$1795,0)</f>
        <v>2</v>
      </c>
      <c r="O145" s="22" t="str">
        <f aca="false">INDEX('Tabela Passaro'!$C$2:$C$1795,$N145)</f>
        <v>RIO LARGO</v>
      </c>
      <c r="P145" s="22" t="str">
        <f aca="false">INDEX('Tabela Passaro'!$B$2:$B$1795,$N145)</f>
        <v>AL</v>
      </c>
      <c r="Q145" s="22" t="n">
        <f aca="false">INDEX('Tabela Passaro'!$F$2:$F$1795,$N145)</f>
        <v>8</v>
      </c>
      <c r="R145" s="32" t="n">
        <f aca="false">IF(J145&lt;=10,INDEX('Tabela Passaro'!$G$2:$G$1795,$N145),IF(J145&lt;=30,INDEX('Tabela Passaro'!$H$2:$H$1795,$N145),IF(J145&lt;=50,INDEX('Tabela Passaro'!$I$2:$I$1795,$N145),IF(J145&lt;=70,INDEX('Tabela Passaro'!$J$2:$J$1795,$N145),IF(J145&lt;=100,INDEX('Tabela Passaro'!$K$2:$K$1795,$N145),INDEX('Tabela Passaro'!$K$2:$K$1795,$N145)+(J145-100)*INDEX('Tabela Passaro'!$L$2:$L$1795,$N145))))))</f>
        <v>77.96</v>
      </c>
      <c r="S145" s="32" t="n">
        <f aca="false">K145*INDEX('Tabela Passaro'!$M$2:$M$1795,$N145)</f>
        <v>3.2118</v>
      </c>
      <c r="T145" s="32" t="n">
        <f aca="false">K145*INDEX('Tabela Passaro'!$N$2:$N$1795,$N145)</f>
        <v>1.28472</v>
      </c>
      <c r="U145" s="32" t="n">
        <f aca="false">INDEX('Tabela Passaro'!$O$2:$O$1795,$N145)</f>
        <v>5</v>
      </c>
      <c r="V145" s="32" t="n">
        <f aca="false">ROUNDUP(J145/INDEX('Tabela Passaro'!$Q$2:$Q$1795,$N145),0)*INDEX('Tabela Passaro'!$P$2:$P$1795,$N145)</f>
        <v>5</v>
      </c>
      <c r="W145" s="32" t="n">
        <f aca="false">INDEX('Tabela Passaro'!$R$2:$R$1795,$N145)</f>
        <v>30</v>
      </c>
      <c r="X145" s="32" t="n">
        <f aca="false">ROUNDUP(J145/INDEX('Tabela Passaro'!$T$2:$T$1795,$N145),0)*INDEX('Tabela Passaro'!$S$2:$S$1795,$N145)</f>
        <v>0</v>
      </c>
      <c r="Y145" s="32" t="n">
        <f aca="false">INDEX('Tabela Passaro'!$U$2:$U$1795,$N145)</f>
        <v>0</v>
      </c>
      <c r="Z145" s="32" t="n">
        <f aca="false">INDEX('Tabela Passaro'!$V$2:$V$1795,$N145)</f>
        <v>0</v>
      </c>
      <c r="AA145" s="32" t="n">
        <f aca="false">SUM(R145:Z145)</f>
        <v>122.45652</v>
      </c>
      <c r="AB145" s="33" t="n">
        <f aca="false">INDEX(Premissas!$B$5:$B$13,MATCH(A145,Premissas!$A$5:$A$13,0))</f>
        <v>0.07</v>
      </c>
      <c r="AC145" s="32" t="n">
        <f aca="false">AA145/(1-AB145)-AA145</f>
        <v>9.21715741935485</v>
      </c>
      <c r="AD145" s="32" t="n">
        <f aca="false">ROUND(AA145+AC145,2)</f>
        <v>131.67</v>
      </c>
      <c r="AE145" s="32" t="n">
        <f aca="false">AD145-L145</f>
        <v>-32.72</v>
      </c>
      <c r="AF145" s="34" t="n">
        <f aca="false">IF(L145=0,0,AE145/L145)</f>
        <v>-0.199038870977553</v>
      </c>
      <c r="AG145" s="22" t="str">
        <f aca="false">IF(AD145&lt;L145,"PASSARO","ATUAL")</f>
        <v>PASSARO</v>
      </c>
      <c r="AH145" s="22" t="str">
        <f aca="false">IF(P145&lt;&gt;A145,"Faixa cadastrada como "&amp;P145&amp;" na tabela; preço aplicado pela UF do CEP","")</f>
        <v/>
      </c>
      <c r="AI145" s="26" t="n">
        <v>161.12</v>
      </c>
      <c r="AJ145" s="22" t="str">
        <f aca="false">INDEX('Tabela Passaro'!$X$2:$X$1795,$N145)</f>
        <v>CAPITAL</v>
      </c>
    </row>
    <row r="146" customFormat="false" ht="15" hidden="false" customHeight="false" outlineLevel="0" collapsed="false">
      <c r="A146" s="22" t="s">
        <v>15</v>
      </c>
      <c r="B146" s="22" t="n">
        <v>4</v>
      </c>
      <c r="C146" s="22" t="s">
        <v>65</v>
      </c>
      <c r="D146" s="22" t="s">
        <v>30</v>
      </c>
      <c r="E146" s="22" t="s">
        <v>7328</v>
      </c>
      <c r="F146" s="22" t="n">
        <v>2315639</v>
      </c>
      <c r="G146" s="30" t="n">
        <v>46258</v>
      </c>
      <c r="H146" s="22" t="n">
        <v>134366</v>
      </c>
      <c r="I146" s="22" t="s">
        <v>7460</v>
      </c>
      <c r="J146" s="31" t="n">
        <v>20.8</v>
      </c>
      <c r="K146" s="26" t="n">
        <v>601.01</v>
      </c>
      <c r="L146" s="26" t="n">
        <v>126.08</v>
      </c>
      <c r="M146" s="22" t="s">
        <v>287</v>
      </c>
      <c r="N146" s="22" t="n">
        <f aca="false">MATCH(M146,'Tabela Passaro'!$A$2:$A$1795,0)</f>
        <v>2</v>
      </c>
      <c r="O146" s="22" t="str">
        <f aca="false">INDEX('Tabela Passaro'!$C$2:$C$1795,$N146)</f>
        <v>RIO LARGO</v>
      </c>
      <c r="P146" s="22" t="str">
        <f aca="false">INDEX('Tabela Passaro'!$B$2:$B$1795,$N146)</f>
        <v>AL</v>
      </c>
      <c r="Q146" s="22" t="n">
        <f aca="false">INDEX('Tabela Passaro'!$F$2:$F$1795,$N146)</f>
        <v>8</v>
      </c>
      <c r="R146" s="32" t="n">
        <f aca="false">IF(J146&lt;=10,INDEX('Tabela Passaro'!$G$2:$G$1795,$N146),IF(J146&lt;=30,INDEX('Tabela Passaro'!$H$2:$H$1795,$N146),IF(J146&lt;=50,INDEX('Tabela Passaro'!$I$2:$I$1795,$N146),IF(J146&lt;=70,INDEX('Tabela Passaro'!$J$2:$J$1795,$N146),IF(J146&lt;=100,INDEX('Tabela Passaro'!$K$2:$K$1795,$N146),INDEX('Tabela Passaro'!$K$2:$K$1795,$N146)+(J146-100)*INDEX('Tabela Passaro'!$L$2:$L$1795,$N146))))))</f>
        <v>66.94</v>
      </c>
      <c r="S146" s="32" t="n">
        <f aca="false">K146*INDEX('Tabela Passaro'!$M$2:$M$1795,$N146)</f>
        <v>3.00505</v>
      </c>
      <c r="T146" s="32" t="n">
        <f aca="false">K146*INDEX('Tabela Passaro'!$N$2:$N$1795,$N146)</f>
        <v>1.20202</v>
      </c>
      <c r="U146" s="32" t="n">
        <f aca="false">INDEX('Tabela Passaro'!$O$2:$O$1795,$N146)</f>
        <v>5</v>
      </c>
      <c r="V146" s="32" t="n">
        <f aca="false">ROUNDUP(J146/INDEX('Tabela Passaro'!$Q$2:$Q$1795,$N146),0)*INDEX('Tabela Passaro'!$P$2:$P$1795,$N146)</f>
        <v>5</v>
      </c>
      <c r="W146" s="32" t="n">
        <f aca="false">INDEX('Tabela Passaro'!$R$2:$R$1795,$N146)</f>
        <v>30</v>
      </c>
      <c r="X146" s="32" t="n">
        <f aca="false">ROUNDUP(J146/INDEX('Tabela Passaro'!$T$2:$T$1795,$N146),0)*INDEX('Tabela Passaro'!$S$2:$S$1795,$N146)</f>
        <v>0</v>
      </c>
      <c r="Y146" s="32" t="n">
        <f aca="false">INDEX('Tabela Passaro'!$U$2:$U$1795,$N146)</f>
        <v>0</v>
      </c>
      <c r="Z146" s="32" t="n">
        <f aca="false">INDEX('Tabela Passaro'!$V$2:$V$1795,$N146)</f>
        <v>0</v>
      </c>
      <c r="AA146" s="32" t="n">
        <f aca="false">SUM(R146:Z146)</f>
        <v>111.14707</v>
      </c>
      <c r="AB146" s="33" t="n">
        <f aca="false">INDEX(Premissas!$B$5:$B$13,MATCH(A146,Premissas!$A$5:$A$13,0))</f>
        <v>0.07</v>
      </c>
      <c r="AC146" s="32" t="n">
        <f aca="false">AA146/(1-AB146)-AA146</f>
        <v>8.36590849462367</v>
      </c>
      <c r="AD146" s="32" t="n">
        <f aca="false">ROUND(AA146+AC146,2)</f>
        <v>119.51</v>
      </c>
      <c r="AE146" s="32" t="n">
        <f aca="false">AD146-L146</f>
        <v>-6.56999999999999</v>
      </c>
      <c r="AF146" s="34" t="n">
        <f aca="false">IF(L146=0,0,AE146/L146)</f>
        <v>-0.052109771573604</v>
      </c>
      <c r="AG146" s="22" t="str">
        <f aca="false">IF(AD146&lt;L146,"PASSARO","ATUAL")</f>
        <v>PASSARO</v>
      </c>
      <c r="AH146" s="22" t="str">
        <f aca="false">IF(P146&lt;&gt;A146,"Faixa cadastrada como "&amp;P146&amp;" na tabela; preço aplicado pela UF do CEP","")</f>
        <v/>
      </c>
      <c r="AI146" s="26" t="n">
        <v>140.45</v>
      </c>
      <c r="AJ146" s="22" t="str">
        <f aca="false">INDEX('Tabela Passaro'!$X$2:$X$1795,$N146)</f>
        <v>CAPITAL</v>
      </c>
    </row>
    <row r="147" customFormat="false" ht="15" hidden="false" customHeight="false" outlineLevel="0" collapsed="false">
      <c r="A147" s="22" t="s">
        <v>15</v>
      </c>
      <c r="B147" s="22" t="n">
        <v>4</v>
      </c>
      <c r="C147" s="22" t="s">
        <v>65</v>
      </c>
      <c r="D147" s="22" t="s">
        <v>30</v>
      </c>
      <c r="E147" s="22" t="s">
        <v>7326</v>
      </c>
      <c r="F147" s="22" t="n">
        <v>527059</v>
      </c>
      <c r="G147" s="30" t="n">
        <v>46258</v>
      </c>
      <c r="H147" s="22" t="n">
        <v>628327</v>
      </c>
      <c r="I147" s="22" t="s">
        <v>7460</v>
      </c>
      <c r="J147" s="31" t="n">
        <v>37.6</v>
      </c>
      <c r="K147" s="26" t="n">
        <v>634.5</v>
      </c>
      <c r="L147" s="26" t="n">
        <v>184.63</v>
      </c>
      <c r="M147" s="22" t="s">
        <v>287</v>
      </c>
      <c r="N147" s="22" t="n">
        <f aca="false">MATCH(M147,'Tabela Passaro'!$A$2:$A$1795,0)</f>
        <v>2</v>
      </c>
      <c r="O147" s="22" t="str">
        <f aca="false">INDEX('Tabela Passaro'!$C$2:$C$1795,$N147)</f>
        <v>RIO LARGO</v>
      </c>
      <c r="P147" s="22" t="str">
        <f aca="false">INDEX('Tabela Passaro'!$B$2:$B$1795,$N147)</f>
        <v>AL</v>
      </c>
      <c r="Q147" s="22" t="n">
        <f aca="false">INDEX('Tabela Passaro'!$F$2:$F$1795,$N147)</f>
        <v>8</v>
      </c>
      <c r="R147" s="32" t="n">
        <f aca="false">IF(J147&lt;=10,INDEX('Tabela Passaro'!$G$2:$G$1795,$N147),IF(J147&lt;=30,INDEX('Tabela Passaro'!$H$2:$H$1795,$N147),IF(J147&lt;=50,INDEX('Tabela Passaro'!$I$2:$I$1795,$N147),IF(J147&lt;=70,INDEX('Tabela Passaro'!$J$2:$J$1795,$N147),IF(J147&lt;=100,INDEX('Tabela Passaro'!$K$2:$K$1795,$N147),INDEX('Tabela Passaro'!$K$2:$K$1795,$N147)+(J147-100)*INDEX('Tabela Passaro'!$L$2:$L$1795,$N147))))))</f>
        <v>77.96</v>
      </c>
      <c r="S147" s="32" t="n">
        <f aca="false">K147*INDEX('Tabela Passaro'!$M$2:$M$1795,$N147)</f>
        <v>3.1725</v>
      </c>
      <c r="T147" s="32" t="n">
        <f aca="false">K147*INDEX('Tabela Passaro'!$N$2:$N$1795,$N147)</f>
        <v>1.269</v>
      </c>
      <c r="U147" s="32" t="n">
        <f aca="false">INDEX('Tabela Passaro'!$O$2:$O$1795,$N147)</f>
        <v>5</v>
      </c>
      <c r="V147" s="32" t="n">
        <f aca="false">ROUNDUP(J147/INDEX('Tabela Passaro'!$Q$2:$Q$1795,$N147),0)*INDEX('Tabela Passaro'!$P$2:$P$1795,$N147)</f>
        <v>5</v>
      </c>
      <c r="W147" s="32" t="n">
        <f aca="false">INDEX('Tabela Passaro'!$R$2:$R$1795,$N147)</f>
        <v>30</v>
      </c>
      <c r="X147" s="32" t="n">
        <f aca="false">ROUNDUP(J147/INDEX('Tabela Passaro'!$T$2:$T$1795,$N147),0)*INDEX('Tabela Passaro'!$S$2:$S$1795,$N147)</f>
        <v>0</v>
      </c>
      <c r="Y147" s="32" t="n">
        <f aca="false">INDEX('Tabela Passaro'!$U$2:$U$1795,$N147)</f>
        <v>0</v>
      </c>
      <c r="Z147" s="32" t="n">
        <f aca="false">INDEX('Tabela Passaro'!$V$2:$V$1795,$N147)</f>
        <v>0</v>
      </c>
      <c r="AA147" s="32" t="n">
        <f aca="false">SUM(R147:Z147)</f>
        <v>122.4015</v>
      </c>
      <c r="AB147" s="33" t="n">
        <f aca="false">INDEX(Premissas!$B$5:$B$13,MATCH(A147,Premissas!$A$5:$A$13,0))</f>
        <v>0.07</v>
      </c>
      <c r="AC147" s="32" t="n">
        <f aca="false">AA147/(1-AB147)-AA147</f>
        <v>9.21301612903227</v>
      </c>
      <c r="AD147" s="32" t="n">
        <f aca="false">ROUND(AA147+AC147,2)</f>
        <v>131.61</v>
      </c>
      <c r="AE147" s="32" t="n">
        <f aca="false">AD147-L147</f>
        <v>-53.02</v>
      </c>
      <c r="AF147" s="34" t="n">
        <f aca="false">IF(L147=0,0,AE147/L147)</f>
        <v>-0.287168932459514</v>
      </c>
      <c r="AG147" s="22" t="str">
        <f aca="false">IF(AD147&lt;L147,"PASSARO","ATUAL")</f>
        <v>PASSARO</v>
      </c>
      <c r="AH147" s="22" t="str">
        <f aca="false">IF(P147&lt;&gt;A147,"Faixa cadastrada como "&amp;P147&amp;" na tabela; preço aplicado pela UF do CEP","")</f>
        <v/>
      </c>
      <c r="AI147" s="26" t="n">
        <v>161.53</v>
      </c>
      <c r="AJ147" s="22" t="str">
        <f aca="false">INDEX('Tabela Passaro'!$X$2:$X$1795,$N147)</f>
        <v>CAPITAL</v>
      </c>
    </row>
    <row r="148" customFormat="false" ht="15" hidden="false" customHeight="false" outlineLevel="0" collapsed="false">
      <c r="A148" s="22" t="s">
        <v>15</v>
      </c>
      <c r="B148" s="22" t="n">
        <v>4</v>
      </c>
      <c r="C148" s="22" t="s">
        <v>65</v>
      </c>
      <c r="D148" s="22" t="s">
        <v>30</v>
      </c>
      <c r="E148" s="22" t="s">
        <v>20</v>
      </c>
      <c r="F148" s="22" t="n">
        <v>840007</v>
      </c>
      <c r="G148" s="30" t="n">
        <v>46259</v>
      </c>
      <c r="H148" s="22" t="n">
        <v>32654</v>
      </c>
      <c r="I148" s="22" t="s">
        <v>7460</v>
      </c>
      <c r="J148" s="31" t="n">
        <v>51.06</v>
      </c>
      <c r="K148" s="26" t="n">
        <v>840</v>
      </c>
      <c r="L148" s="26" t="n">
        <v>189.78</v>
      </c>
      <c r="M148" s="22" t="s">
        <v>287</v>
      </c>
      <c r="N148" s="22" t="n">
        <f aca="false">MATCH(M148,'Tabela Passaro'!$A$2:$A$1795,0)</f>
        <v>2</v>
      </c>
      <c r="O148" s="22" t="str">
        <f aca="false">INDEX('Tabela Passaro'!$C$2:$C$1795,$N148)</f>
        <v>RIO LARGO</v>
      </c>
      <c r="P148" s="22" t="str">
        <f aca="false">INDEX('Tabela Passaro'!$B$2:$B$1795,$N148)</f>
        <v>AL</v>
      </c>
      <c r="Q148" s="22" t="n">
        <f aca="false">INDEX('Tabela Passaro'!$F$2:$F$1795,$N148)</f>
        <v>8</v>
      </c>
      <c r="R148" s="32" t="n">
        <f aca="false">IF(J148&lt;=10,INDEX('Tabela Passaro'!$G$2:$G$1795,$N148),IF(J148&lt;=30,INDEX('Tabela Passaro'!$H$2:$H$1795,$N148),IF(J148&lt;=50,INDEX('Tabela Passaro'!$I$2:$I$1795,$N148),IF(J148&lt;=70,INDEX('Tabela Passaro'!$J$2:$J$1795,$N148),IF(J148&lt;=100,INDEX('Tabela Passaro'!$K$2:$K$1795,$N148),INDEX('Tabela Passaro'!$K$2:$K$1795,$N148)+(J148-100)*INDEX('Tabela Passaro'!$L$2:$L$1795,$N148))))))</f>
        <v>88.98</v>
      </c>
      <c r="S148" s="32" t="n">
        <f aca="false">K148*INDEX('Tabela Passaro'!$M$2:$M$1795,$N148)</f>
        <v>4.2</v>
      </c>
      <c r="T148" s="32" t="n">
        <f aca="false">K148*INDEX('Tabela Passaro'!$N$2:$N$1795,$N148)</f>
        <v>1.68</v>
      </c>
      <c r="U148" s="32" t="n">
        <f aca="false">INDEX('Tabela Passaro'!$O$2:$O$1795,$N148)</f>
        <v>5</v>
      </c>
      <c r="V148" s="32" t="n">
        <f aca="false">ROUNDUP(J148/INDEX('Tabela Passaro'!$Q$2:$Q$1795,$N148),0)*INDEX('Tabela Passaro'!$P$2:$P$1795,$N148)</f>
        <v>5</v>
      </c>
      <c r="W148" s="32" t="n">
        <f aca="false">INDEX('Tabela Passaro'!$R$2:$R$1795,$N148)</f>
        <v>30</v>
      </c>
      <c r="X148" s="32" t="n">
        <f aca="false">ROUNDUP(J148/INDEX('Tabela Passaro'!$T$2:$T$1795,$N148),0)*INDEX('Tabela Passaro'!$S$2:$S$1795,$N148)</f>
        <v>0</v>
      </c>
      <c r="Y148" s="32" t="n">
        <f aca="false">INDEX('Tabela Passaro'!$U$2:$U$1795,$N148)</f>
        <v>0</v>
      </c>
      <c r="Z148" s="32" t="n">
        <f aca="false">INDEX('Tabela Passaro'!$V$2:$V$1795,$N148)</f>
        <v>0</v>
      </c>
      <c r="AA148" s="32" t="n">
        <f aca="false">SUM(R148:Z148)</f>
        <v>134.86</v>
      </c>
      <c r="AB148" s="33" t="n">
        <f aca="false">INDEX(Premissas!$B$5:$B$13,MATCH(A148,Premissas!$A$5:$A$13,0))</f>
        <v>0.07</v>
      </c>
      <c r="AC148" s="32" t="n">
        <f aca="false">AA148/(1-AB148)-AA148</f>
        <v>10.150752688172</v>
      </c>
      <c r="AD148" s="32" t="n">
        <f aca="false">ROUND(AA148+AC148,2)</f>
        <v>145.01</v>
      </c>
      <c r="AE148" s="32" t="n">
        <f aca="false">AD148-L148</f>
        <v>-44.77</v>
      </c>
      <c r="AF148" s="34" t="n">
        <f aca="false">IF(L148=0,0,AE148/L148)</f>
        <v>-0.23590473179471</v>
      </c>
      <c r="AG148" s="22" t="str">
        <f aca="false">IF(AD148&lt;L148,"PASSARO","ATUAL")</f>
        <v>PASSARO</v>
      </c>
      <c r="AH148" s="22" t="str">
        <f aca="false">IF(P148&lt;&gt;A148,"Faixa cadastrada como "&amp;P148&amp;" na tabela; preço aplicado pela UF do CEP","")</f>
        <v/>
      </c>
      <c r="AI148" s="26" t="n">
        <v>182.82</v>
      </c>
      <c r="AJ148" s="22" t="str">
        <f aca="false">INDEX('Tabela Passaro'!$X$2:$X$1795,$N148)</f>
        <v>CAPITAL</v>
      </c>
    </row>
    <row r="149" customFormat="false" ht="15" hidden="false" customHeight="false" outlineLevel="0" collapsed="false">
      <c r="A149" s="22" t="s">
        <v>15</v>
      </c>
      <c r="B149" s="22" t="n">
        <v>4</v>
      </c>
      <c r="C149" s="22" t="s">
        <v>65</v>
      </c>
      <c r="D149" s="22" t="s">
        <v>30</v>
      </c>
      <c r="E149" s="22" t="s">
        <v>20</v>
      </c>
      <c r="F149" s="22" t="n">
        <v>840024</v>
      </c>
      <c r="G149" s="30" t="n">
        <v>46259</v>
      </c>
      <c r="H149" s="22" t="n">
        <v>32669</v>
      </c>
      <c r="I149" s="22" t="s">
        <v>7460</v>
      </c>
      <c r="J149" s="31" t="n">
        <v>65</v>
      </c>
      <c r="K149" s="26" t="n">
        <v>1157.7</v>
      </c>
      <c r="L149" s="26" t="n">
        <v>192.64</v>
      </c>
      <c r="M149" s="22" t="s">
        <v>287</v>
      </c>
      <c r="N149" s="22" t="n">
        <f aca="false">MATCH(M149,'Tabela Passaro'!$A$2:$A$1795,0)</f>
        <v>2</v>
      </c>
      <c r="O149" s="22" t="str">
        <f aca="false">INDEX('Tabela Passaro'!$C$2:$C$1795,$N149)</f>
        <v>RIO LARGO</v>
      </c>
      <c r="P149" s="22" t="str">
        <f aca="false">INDEX('Tabela Passaro'!$B$2:$B$1795,$N149)</f>
        <v>AL</v>
      </c>
      <c r="Q149" s="22" t="n">
        <f aca="false">INDEX('Tabela Passaro'!$F$2:$F$1795,$N149)</f>
        <v>8</v>
      </c>
      <c r="R149" s="32" t="n">
        <f aca="false">IF(J149&lt;=10,INDEX('Tabela Passaro'!$G$2:$G$1795,$N149),IF(J149&lt;=30,INDEX('Tabela Passaro'!$H$2:$H$1795,$N149),IF(J149&lt;=50,INDEX('Tabela Passaro'!$I$2:$I$1795,$N149),IF(J149&lt;=70,INDEX('Tabela Passaro'!$J$2:$J$1795,$N149),IF(J149&lt;=100,INDEX('Tabela Passaro'!$K$2:$K$1795,$N149),INDEX('Tabela Passaro'!$K$2:$K$1795,$N149)+(J149-100)*INDEX('Tabela Passaro'!$L$2:$L$1795,$N149))))))</f>
        <v>88.98</v>
      </c>
      <c r="S149" s="32" t="n">
        <f aca="false">K149*INDEX('Tabela Passaro'!$M$2:$M$1795,$N149)</f>
        <v>5.7885</v>
      </c>
      <c r="T149" s="32" t="n">
        <f aca="false">K149*INDEX('Tabela Passaro'!$N$2:$N$1795,$N149)</f>
        <v>2.3154</v>
      </c>
      <c r="U149" s="32" t="n">
        <f aca="false">INDEX('Tabela Passaro'!$O$2:$O$1795,$N149)</f>
        <v>5</v>
      </c>
      <c r="V149" s="32" t="n">
        <f aca="false">ROUNDUP(J149/INDEX('Tabela Passaro'!$Q$2:$Q$1795,$N149),0)*INDEX('Tabela Passaro'!$P$2:$P$1795,$N149)</f>
        <v>5</v>
      </c>
      <c r="W149" s="32" t="n">
        <f aca="false">INDEX('Tabela Passaro'!$R$2:$R$1795,$N149)</f>
        <v>30</v>
      </c>
      <c r="X149" s="32" t="n">
        <f aca="false">ROUNDUP(J149/INDEX('Tabela Passaro'!$T$2:$T$1795,$N149),0)*INDEX('Tabela Passaro'!$S$2:$S$1795,$N149)</f>
        <v>0</v>
      </c>
      <c r="Y149" s="32" t="n">
        <f aca="false">INDEX('Tabela Passaro'!$U$2:$U$1795,$N149)</f>
        <v>0</v>
      </c>
      <c r="Z149" s="32" t="n">
        <f aca="false">INDEX('Tabela Passaro'!$V$2:$V$1795,$N149)</f>
        <v>0</v>
      </c>
      <c r="AA149" s="32" t="n">
        <f aca="false">SUM(R149:Z149)</f>
        <v>137.0839</v>
      </c>
      <c r="AB149" s="33" t="n">
        <f aca="false">INDEX(Premissas!$B$5:$B$13,MATCH(A149,Premissas!$A$5:$A$13,0))</f>
        <v>0.07</v>
      </c>
      <c r="AC149" s="32" t="n">
        <f aca="false">AA149/(1-AB149)-AA149</f>
        <v>10.3181430107527</v>
      </c>
      <c r="AD149" s="32" t="n">
        <f aca="false">ROUND(AA149+AC149,2)</f>
        <v>147.4</v>
      </c>
      <c r="AE149" s="32" t="n">
        <f aca="false">AD149-L149</f>
        <v>-45.24</v>
      </c>
      <c r="AF149" s="34" t="n">
        <f aca="false">IF(L149=0,0,AE149/L149)</f>
        <v>-0.23484219269103</v>
      </c>
      <c r="AG149" s="22" t="str">
        <f aca="false">IF(AD149&lt;L149,"PASSARO","ATUAL")</f>
        <v>PASSARO</v>
      </c>
      <c r="AH149" s="22" t="str">
        <f aca="false">IF(P149&lt;&gt;A149,"Faixa cadastrada como "&amp;P149&amp;" na tabela; preço aplicado pela UF do CEP","")</f>
        <v/>
      </c>
      <c r="AI149" s="26" t="n">
        <v>192.18</v>
      </c>
      <c r="AJ149" s="22" t="str">
        <f aca="false">INDEX('Tabela Passaro'!$X$2:$X$1795,$N149)</f>
        <v>CAPITAL</v>
      </c>
    </row>
    <row r="150" customFormat="false" ht="15" hidden="false" customHeight="false" outlineLevel="0" collapsed="false">
      <c r="A150" s="22" t="s">
        <v>15</v>
      </c>
      <c r="B150" s="22" t="n">
        <v>5</v>
      </c>
      <c r="C150" s="22" t="s">
        <v>66</v>
      </c>
      <c r="D150" s="22" t="s">
        <v>30</v>
      </c>
      <c r="E150" s="22" t="s">
        <v>7328</v>
      </c>
      <c r="F150" s="22" t="n">
        <v>2309887</v>
      </c>
      <c r="G150" s="30" t="n">
        <v>46244</v>
      </c>
      <c r="H150" s="22" t="n">
        <v>132367</v>
      </c>
      <c r="I150" s="22" t="s">
        <v>7461</v>
      </c>
      <c r="J150" s="31" t="n">
        <v>66.4</v>
      </c>
      <c r="K150" s="26" t="n">
        <v>979.38</v>
      </c>
      <c r="L150" s="26" t="n">
        <v>234.58</v>
      </c>
      <c r="M150" s="22" t="s">
        <v>529</v>
      </c>
      <c r="N150" s="22" t="n">
        <f aca="false">MATCH(M150,'Tabela Passaro'!$A$2:$A$1795,0)</f>
        <v>63</v>
      </c>
      <c r="O150" s="22" t="str">
        <f aca="false">INDEX('Tabela Passaro'!$C$2:$C$1795,$N150)</f>
        <v>MARAGOGI</v>
      </c>
      <c r="P150" s="22" t="str">
        <f aca="false">INDEX('Tabela Passaro'!$B$2:$B$1795,$N150)</f>
        <v>AL</v>
      </c>
      <c r="Q150" s="22" t="n">
        <f aca="false">INDEX('Tabela Passaro'!$F$2:$F$1795,$N150)</f>
        <v>13</v>
      </c>
      <c r="R150" s="32" t="n">
        <f aca="false">IF(J150&lt;=10,INDEX('Tabela Passaro'!$G$2:$G$1795,$N150),IF(J150&lt;=30,INDEX('Tabela Passaro'!$H$2:$H$1795,$N150),IF(J150&lt;=50,INDEX('Tabela Passaro'!$I$2:$I$1795,$N150),IF(J150&lt;=70,INDEX('Tabela Passaro'!$J$2:$J$1795,$N150),IF(J150&lt;=100,INDEX('Tabela Passaro'!$K$2:$K$1795,$N150),INDEX('Tabela Passaro'!$K$2:$K$1795,$N150)+(J150-100)*INDEX('Tabela Passaro'!$L$2:$L$1795,$N150))))))</f>
        <v>145.73</v>
      </c>
      <c r="S150" s="32" t="n">
        <f aca="false">K150*INDEX('Tabela Passaro'!$M$2:$M$1795,$N150)</f>
        <v>4.8969</v>
      </c>
      <c r="T150" s="32" t="n">
        <f aca="false">K150*INDEX('Tabela Passaro'!$N$2:$N$1795,$N150)</f>
        <v>1.95876</v>
      </c>
      <c r="U150" s="32" t="n">
        <f aca="false">INDEX('Tabela Passaro'!$O$2:$O$1795,$N150)</f>
        <v>5</v>
      </c>
      <c r="V150" s="32" t="n">
        <f aca="false">ROUNDUP(J150/INDEX('Tabela Passaro'!$Q$2:$Q$1795,$N150),0)*INDEX('Tabela Passaro'!$P$2:$P$1795,$N150)</f>
        <v>5</v>
      </c>
      <c r="W150" s="32" t="n">
        <f aca="false">INDEX('Tabela Passaro'!$R$2:$R$1795,$N150)</f>
        <v>30</v>
      </c>
      <c r="X150" s="32" t="n">
        <f aca="false">ROUNDUP(J150/INDEX('Tabela Passaro'!$T$2:$T$1795,$N150),0)*INDEX('Tabela Passaro'!$S$2:$S$1795,$N150)</f>
        <v>0</v>
      </c>
      <c r="Y150" s="32" t="n">
        <f aca="false">INDEX('Tabela Passaro'!$U$2:$U$1795,$N150)</f>
        <v>0</v>
      </c>
      <c r="Z150" s="32" t="n">
        <f aca="false">INDEX('Tabela Passaro'!$V$2:$V$1795,$N150)</f>
        <v>0</v>
      </c>
      <c r="AA150" s="32" t="n">
        <f aca="false">SUM(R150:Z150)</f>
        <v>192.58566</v>
      </c>
      <c r="AB150" s="33" t="n">
        <f aca="false">INDEX(Premissas!$B$5:$B$13,MATCH(A150,Premissas!$A$5:$A$13,0))</f>
        <v>0.07</v>
      </c>
      <c r="AC150" s="32" t="n">
        <f aca="false">AA150/(1-AB150)-AA150</f>
        <v>14.4956948387097</v>
      </c>
      <c r="AD150" s="32" t="n">
        <f aca="false">ROUND(AA150+AC150,2)</f>
        <v>207.08</v>
      </c>
      <c r="AE150" s="32" t="n">
        <f aca="false">AD150-L150</f>
        <v>-27.5</v>
      </c>
      <c r="AF150" s="34" t="n">
        <f aca="false">IF(L150=0,0,AE150/L150)</f>
        <v>-0.117230795464234</v>
      </c>
      <c r="AG150" s="22" t="str">
        <f aca="false">IF(AD150&lt;L150,"PASSARO","ATUAL")</f>
        <v>PASSARO</v>
      </c>
      <c r="AH150" s="22" t="str">
        <f aca="false">IF(P150&lt;&gt;A150,"Faixa cadastrada como "&amp;P150&amp;" na tabela; preço aplicado pela UF do CEP","")</f>
        <v/>
      </c>
      <c r="AI150" s="26" t="n">
        <v>239.79</v>
      </c>
      <c r="AJ150" s="22" t="str">
        <f aca="false">INDEX('Tabela Passaro'!$X$2:$X$1795,$N150)</f>
        <v>INTERIOR 2</v>
      </c>
    </row>
    <row r="151" customFormat="false" ht="15" hidden="false" customHeight="false" outlineLevel="0" collapsed="false">
      <c r="A151" s="22" t="s">
        <v>15</v>
      </c>
      <c r="B151" s="22" t="n">
        <v>5</v>
      </c>
      <c r="C151" s="22" t="s">
        <v>66</v>
      </c>
      <c r="D151" s="22" t="s">
        <v>30</v>
      </c>
      <c r="E151" s="22" t="s">
        <v>7328</v>
      </c>
      <c r="F151" s="22" t="n">
        <v>2315876</v>
      </c>
      <c r="G151" s="30" t="n">
        <v>46258</v>
      </c>
      <c r="H151" s="22" t="n">
        <v>135336</v>
      </c>
      <c r="I151" s="22" t="s">
        <v>7461</v>
      </c>
      <c r="J151" s="31" t="n">
        <v>19.5</v>
      </c>
      <c r="K151" s="26" t="n">
        <v>449.93</v>
      </c>
      <c r="L151" s="26" t="n">
        <v>134.38</v>
      </c>
      <c r="M151" s="22" t="s">
        <v>529</v>
      </c>
      <c r="N151" s="22" t="n">
        <f aca="false">MATCH(M151,'Tabela Passaro'!$A$2:$A$1795,0)</f>
        <v>63</v>
      </c>
      <c r="O151" s="22" t="str">
        <f aca="false">INDEX('Tabela Passaro'!$C$2:$C$1795,$N151)</f>
        <v>MARAGOGI</v>
      </c>
      <c r="P151" s="22" t="str">
        <f aca="false">INDEX('Tabela Passaro'!$B$2:$B$1795,$N151)</f>
        <v>AL</v>
      </c>
      <c r="Q151" s="22" t="n">
        <f aca="false">INDEX('Tabela Passaro'!$F$2:$F$1795,$N151)</f>
        <v>13</v>
      </c>
      <c r="R151" s="32" t="n">
        <f aca="false">IF(J151&lt;=10,INDEX('Tabela Passaro'!$G$2:$G$1795,$N151),IF(J151&lt;=30,INDEX('Tabela Passaro'!$H$2:$H$1795,$N151),IF(J151&lt;=50,INDEX('Tabela Passaro'!$I$2:$I$1795,$N151),IF(J151&lt;=70,INDEX('Tabela Passaro'!$J$2:$J$1795,$N151),IF(J151&lt;=100,INDEX('Tabela Passaro'!$K$2:$K$1795,$N151),INDEX('Tabela Passaro'!$K$2:$K$1795,$N151)+(J151-100)*INDEX('Tabela Passaro'!$L$2:$L$1795,$N151))))))</f>
        <v>112.67</v>
      </c>
      <c r="S151" s="32" t="n">
        <f aca="false">K151*INDEX('Tabela Passaro'!$M$2:$M$1795,$N151)</f>
        <v>2.24965</v>
      </c>
      <c r="T151" s="32" t="n">
        <f aca="false">K151*INDEX('Tabela Passaro'!$N$2:$N$1795,$N151)</f>
        <v>0.89986</v>
      </c>
      <c r="U151" s="32" t="n">
        <f aca="false">INDEX('Tabela Passaro'!$O$2:$O$1795,$N151)</f>
        <v>5</v>
      </c>
      <c r="V151" s="32" t="n">
        <f aca="false">ROUNDUP(J151/INDEX('Tabela Passaro'!$Q$2:$Q$1795,$N151),0)*INDEX('Tabela Passaro'!$P$2:$P$1795,$N151)</f>
        <v>5</v>
      </c>
      <c r="W151" s="32" t="n">
        <f aca="false">INDEX('Tabela Passaro'!$R$2:$R$1795,$N151)</f>
        <v>30</v>
      </c>
      <c r="X151" s="32" t="n">
        <f aca="false">ROUNDUP(J151/INDEX('Tabela Passaro'!$T$2:$T$1795,$N151),0)*INDEX('Tabela Passaro'!$S$2:$S$1795,$N151)</f>
        <v>0</v>
      </c>
      <c r="Y151" s="32" t="n">
        <f aca="false">INDEX('Tabela Passaro'!$U$2:$U$1795,$N151)</f>
        <v>0</v>
      </c>
      <c r="Z151" s="32" t="n">
        <f aca="false">INDEX('Tabela Passaro'!$V$2:$V$1795,$N151)</f>
        <v>0</v>
      </c>
      <c r="AA151" s="32" t="n">
        <f aca="false">SUM(R151:Z151)</f>
        <v>155.81951</v>
      </c>
      <c r="AB151" s="33" t="n">
        <f aca="false">INDEX(Premissas!$B$5:$B$13,MATCH(A151,Premissas!$A$5:$A$13,0))</f>
        <v>0.07</v>
      </c>
      <c r="AC151" s="32" t="n">
        <f aca="false">AA151/(1-AB151)-AA151</f>
        <v>11.7283502150538</v>
      </c>
      <c r="AD151" s="32" t="n">
        <f aca="false">ROUND(AA151+AC151,2)</f>
        <v>167.55</v>
      </c>
      <c r="AE151" s="32" t="n">
        <f aca="false">AD151-L151</f>
        <v>33.17</v>
      </c>
      <c r="AF151" s="34" t="n">
        <f aca="false">IF(L151=0,0,AE151/L151)</f>
        <v>0.246837326983182</v>
      </c>
      <c r="AG151" s="22" t="str">
        <f aca="false">IF(AD151&lt;L151,"PASSARO","ATUAL")</f>
        <v>ATUAL</v>
      </c>
      <c r="AH151" s="22" t="str">
        <f aca="false">IF(P151&lt;&gt;A151,"Faixa cadastrada como "&amp;P151&amp;" na tabela; preço aplicado pela UF do CEP","")</f>
        <v/>
      </c>
      <c r="AI151" s="26" t="n">
        <v>174.35</v>
      </c>
      <c r="AJ151" s="22" t="str">
        <f aca="false">INDEX('Tabela Passaro'!$X$2:$X$1795,$N151)</f>
        <v>INTERIOR 2</v>
      </c>
    </row>
    <row r="152" customFormat="false" ht="15" hidden="false" customHeight="false" outlineLevel="0" collapsed="false">
      <c r="A152" s="22" t="s">
        <v>15</v>
      </c>
      <c r="B152" s="22" t="n">
        <v>5</v>
      </c>
      <c r="C152" s="22" t="s">
        <v>66</v>
      </c>
      <c r="D152" s="22" t="s">
        <v>30</v>
      </c>
      <c r="E152" s="22" t="s">
        <v>7326</v>
      </c>
      <c r="F152" s="22" t="n">
        <v>527422</v>
      </c>
      <c r="G152" s="30" t="n">
        <v>46259</v>
      </c>
      <c r="H152" s="22" t="n">
        <v>629274</v>
      </c>
      <c r="I152" s="22" t="s">
        <v>7461</v>
      </c>
      <c r="J152" s="31" t="n">
        <v>20.7</v>
      </c>
      <c r="K152" s="26" t="n">
        <v>1585.37</v>
      </c>
      <c r="L152" s="26" t="n">
        <v>154.15</v>
      </c>
      <c r="M152" s="22" t="s">
        <v>529</v>
      </c>
      <c r="N152" s="22" t="n">
        <f aca="false">MATCH(M152,'Tabela Passaro'!$A$2:$A$1795,0)</f>
        <v>63</v>
      </c>
      <c r="O152" s="22" t="str">
        <f aca="false">INDEX('Tabela Passaro'!$C$2:$C$1795,$N152)</f>
        <v>MARAGOGI</v>
      </c>
      <c r="P152" s="22" t="str">
        <f aca="false">INDEX('Tabela Passaro'!$B$2:$B$1795,$N152)</f>
        <v>AL</v>
      </c>
      <c r="Q152" s="22" t="n">
        <f aca="false">INDEX('Tabela Passaro'!$F$2:$F$1795,$N152)</f>
        <v>13</v>
      </c>
      <c r="R152" s="32" t="n">
        <f aca="false">IF(J152&lt;=10,INDEX('Tabela Passaro'!$G$2:$G$1795,$N152),IF(J152&lt;=30,INDEX('Tabela Passaro'!$H$2:$H$1795,$N152),IF(J152&lt;=50,INDEX('Tabela Passaro'!$I$2:$I$1795,$N152),IF(J152&lt;=70,INDEX('Tabela Passaro'!$J$2:$J$1795,$N152),IF(J152&lt;=100,INDEX('Tabela Passaro'!$K$2:$K$1795,$N152),INDEX('Tabela Passaro'!$K$2:$K$1795,$N152)+(J152-100)*INDEX('Tabela Passaro'!$L$2:$L$1795,$N152))))))</f>
        <v>112.67</v>
      </c>
      <c r="S152" s="32" t="n">
        <f aca="false">K152*INDEX('Tabela Passaro'!$M$2:$M$1795,$N152)</f>
        <v>7.92685</v>
      </c>
      <c r="T152" s="32" t="n">
        <f aca="false">K152*INDEX('Tabela Passaro'!$N$2:$N$1795,$N152)</f>
        <v>3.17074</v>
      </c>
      <c r="U152" s="32" t="n">
        <f aca="false">INDEX('Tabela Passaro'!$O$2:$O$1795,$N152)</f>
        <v>5</v>
      </c>
      <c r="V152" s="32" t="n">
        <f aca="false">ROUNDUP(J152/INDEX('Tabela Passaro'!$Q$2:$Q$1795,$N152),0)*INDEX('Tabela Passaro'!$P$2:$P$1795,$N152)</f>
        <v>5</v>
      </c>
      <c r="W152" s="32" t="n">
        <f aca="false">INDEX('Tabela Passaro'!$R$2:$R$1795,$N152)</f>
        <v>30</v>
      </c>
      <c r="X152" s="32" t="n">
        <f aca="false">ROUNDUP(J152/INDEX('Tabela Passaro'!$T$2:$T$1795,$N152),0)*INDEX('Tabela Passaro'!$S$2:$S$1795,$N152)</f>
        <v>0</v>
      </c>
      <c r="Y152" s="32" t="n">
        <f aca="false">INDEX('Tabela Passaro'!$U$2:$U$1795,$N152)</f>
        <v>0</v>
      </c>
      <c r="Z152" s="32" t="n">
        <f aca="false">INDEX('Tabela Passaro'!$V$2:$V$1795,$N152)</f>
        <v>0</v>
      </c>
      <c r="AA152" s="32" t="n">
        <f aca="false">SUM(R152:Z152)</f>
        <v>163.76759</v>
      </c>
      <c r="AB152" s="33" t="n">
        <f aca="false">INDEX(Premissas!$B$5:$B$13,MATCH(A152,Premissas!$A$5:$A$13,0))</f>
        <v>0.07</v>
      </c>
      <c r="AC152" s="32" t="n">
        <f aca="false">AA152/(1-AB152)-AA152</f>
        <v>12.3265927956989</v>
      </c>
      <c r="AD152" s="32" t="n">
        <f aca="false">ROUND(AA152+AC152,2)</f>
        <v>176.09</v>
      </c>
      <c r="AE152" s="32" t="n">
        <f aca="false">AD152-L152</f>
        <v>21.94</v>
      </c>
      <c r="AF152" s="34" t="n">
        <f aca="false">IF(L152=0,0,AE152/L152)</f>
        <v>0.142328900421667</v>
      </c>
      <c r="AG152" s="22" t="str">
        <f aca="false">IF(AD152&lt;L152,"PASSARO","ATUAL")</f>
        <v>ATUAL</v>
      </c>
      <c r="AH152" s="22" t="str">
        <f aca="false">IF(P152&lt;&gt;A152,"Faixa cadastrada como "&amp;P152&amp;" na tabela; preço aplicado pela UF do CEP","")</f>
        <v/>
      </c>
      <c r="AI152" s="26" t="n">
        <v>185.83</v>
      </c>
      <c r="AJ152" s="22" t="str">
        <f aca="false">INDEX('Tabela Passaro'!$X$2:$X$1795,$N152)</f>
        <v>INTERIOR 2</v>
      </c>
    </row>
    <row r="153" customFormat="false" ht="15" hidden="false" customHeight="false" outlineLevel="0" collapsed="false">
      <c r="A153" s="22" t="s">
        <v>15</v>
      </c>
      <c r="B153" s="22" t="n">
        <v>5</v>
      </c>
      <c r="C153" s="22" t="s">
        <v>66</v>
      </c>
      <c r="D153" s="22" t="s">
        <v>30</v>
      </c>
      <c r="E153" s="22" t="s">
        <v>20</v>
      </c>
      <c r="F153" s="22" t="n">
        <v>840442</v>
      </c>
      <c r="G153" s="30" t="n">
        <v>46261</v>
      </c>
      <c r="H153" s="22" t="n">
        <v>32738</v>
      </c>
      <c r="I153" s="22" t="s">
        <v>7461</v>
      </c>
      <c r="J153" s="31" t="n">
        <v>27.6</v>
      </c>
      <c r="K153" s="26" t="n">
        <v>749.89</v>
      </c>
      <c r="L153" s="26" t="n">
        <v>129.02</v>
      </c>
      <c r="M153" s="22" t="s">
        <v>529</v>
      </c>
      <c r="N153" s="22" t="n">
        <f aca="false">MATCH(M153,'Tabela Passaro'!$A$2:$A$1795,0)</f>
        <v>63</v>
      </c>
      <c r="O153" s="22" t="str">
        <f aca="false">INDEX('Tabela Passaro'!$C$2:$C$1795,$N153)</f>
        <v>MARAGOGI</v>
      </c>
      <c r="P153" s="22" t="str">
        <f aca="false">INDEX('Tabela Passaro'!$B$2:$B$1795,$N153)</f>
        <v>AL</v>
      </c>
      <c r="Q153" s="22" t="n">
        <f aca="false">INDEX('Tabela Passaro'!$F$2:$F$1795,$N153)</f>
        <v>13</v>
      </c>
      <c r="R153" s="32" t="n">
        <f aca="false">IF(J153&lt;=10,INDEX('Tabela Passaro'!$G$2:$G$1795,$N153),IF(J153&lt;=30,INDEX('Tabela Passaro'!$H$2:$H$1795,$N153),IF(J153&lt;=50,INDEX('Tabela Passaro'!$I$2:$I$1795,$N153),IF(J153&lt;=70,INDEX('Tabela Passaro'!$J$2:$J$1795,$N153),IF(J153&lt;=100,INDEX('Tabela Passaro'!$K$2:$K$1795,$N153),INDEX('Tabela Passaro'!$K$2:$K$1795,$N153)+(J153-100)*INDEX('Tabela Passaro'!$L$2:$L$1795,$N153))))))</f>
        <v>112.67</v>
      </c>
      <c r="S153" s="32" t="n">
        <f aca="false">K153*INDEX('Tabela Passaro'!$M$2:$M$1795,$N153)</f>
        <v>3.74945</v>
      </c>
      <c r="T153" s="32" t="n">
        <f aca="false">K153*INDEX('Tabela Passaro'!$N$2:$N$1795,$N153)</f>
        <v>1.49978</v>
      </c>
      <c r="U153" s="32" t="n">
        <f aca="false">INDEX('Tabela Passaro'!$O$2:$O$1795,$N153)</f>
        <v>5</v>
      </c>
      <c r="V153" s="32" t="n">
        <f aca="false">ROUNDUP(J153/INDEX('Tabela Passaro'!$Q$2:$Q$1795,$N153),0)*INDEX('Tabela Passaro'!$P$2:$P$1795,$N153)</f>
        <v>5</v>
      </c>
      <c r="W153" s="32" t="n">
        <f aca="false">INDEX('Tabela Passaro'!$R$2:$R$1795,$N153)</f>
        <v>30</v>
      </c>
      <c r="X153" s="32" t="n">
        <f aca="false">ROUNDUP(J153/INDEX('Tabela Passaro'!$T$2:$T$1795,$N153),0)*INDEX('Tabela Passaro'!$S$2:$S$1795,$N153)</f>
        <v>0</v>
      </c>
      <c r="Y153" s="32" t="n">
        <f aca="false">INDEX('Tabela Passaro'!$U$2:$U$1795,$N153)</f>
        <v>0</v>
      </c>
      <c r="Z153" s="32" t="n">
        <f aca="false">INDEX('Tabela Passaro'!$V$2:$V$1795,$N153)</f>
        <v>0</v>
      </c>
      <c r="AA153" s="32" t="n">
        <f aca="false">SUM(R153:Z153)</f>
        <v>157.91923</v>
      </c>
      <c r="AB153" s="33" t="n">
        <f aca="false">INDEX(Premissas!$B$5:$B$13,MATCH(A153,Premissas!$A$5:$A$13,0))</f>
        <v>0.07</v>
      </c>
      <c r="AC153" s="32" t="n">
        <f aca="false">AA153/(1-AB153)-AA153</f>
        <v>11.886393655914</v>
      </c>
      <c r="AD153" s="32" t="n">
        <f aca="false">ROUND(AA153+AC153,2)</f>
        <v>169.81</v>
      </c>
      <c r="AE153" s="32" t="n">
        <f aca="false">AD153-L153</f>
        <v>40.79</v>
      </c>
      <c r="AF153" s="34" t="n">
        <f aca="false">IF(L153=0,0,AE153/L153)</f>
        <v>0.316152534490777</v>
      </c>
      <c r="AG153" s="22" t="str">
        <f aca="false">IF(AD153&lt;L153,"PASSARO","ATUAL")</f>
        <v>ATUAL</v>
      </c>
      <c r="AH153" s="22" t="str">
        <f aca="false">IF(P153&lt;&gt;A153,"Faixa cadastrada como "&amp;P153&amp;" na tabela; preço aplicado pela UF do CEP","")</f>
        <v/>
      </c>
      <c r="AI153" s="26" t="n">
        <v>181.13</v>
      </c>
      <c r="AJ153" s="22" t="str">
        <f aca="false">INDEX('Tabela Passaro'!$X$2:$X$1795,$N153)</f>
        <v>INTERIOR 2</v>
      </c>
    </row>
    <row r="154" customFormat="false" ht="15" hidden="false" customHeight="false" outlineLevel="0" collapsed="false">
      <c r="A154" s="22" t="s">
        <v>15</v>
      </c>
      <c r="B154" s="22" t="n">
        <v>6</v>
      </c>
      <c r="C154" s="22" t="s">
        <v>68</v>
      </c>
      <c r="D154" s="22" t="s">
        <v>30</v>
      </c>
      <c r="E154" s="22" t="s">
        <v>7328</v>
      </c>
      <c r="F154" s="22" t="n">
        <v>2309806</v>
      </c>
      <c r="G154" s="30" t="n">
        <v>46244</v>
      </c>
      <c r="H154" s="22" t="n">
        <v>132127</v>
      </c>
      <c r="I154" s="22" t="s">
        <v>7462</v>
      </c>
      <c r="J154" s="31" t="n">
        <v>39.9</v>
      </c>
      <c r="K154" s="26" t="n">
        <v>848.52</v>
      </c>
      <c r="L154" s="26" t="n">
        <v>183.95</v>
      </c>
      <c r="M154" s="22" t="s">
        <v>438</v>
      </c>
      <c r="N154" s="22" t="n">
        <f aca="false">MATCH(M154,'Tabela Passaro'!$A$2:$A$1795,0)</f>
        <v>40</v>
      </c>
      <c r="O154" s="22" t="str">
        <f aca="false">INDEX('Tabela Passaro'!$C$2:$C$1795,$N154)</f>
        <v>DELMIRO GOUVEIA</v>
      </c>
      <c r="P154" s="22" t="str">
        <f aca="false">INDEX('Tabela Passaro'!$B$2:$B$1795,$N154)</f>
        <v>AL</v>
      </c>
      <c r="Q154" s="22" t="n">
        <f aca="false">INDEX('Tabela Passaro'!$F$2:$F$1795,$N154)</f>
        <v>13</v>
      </c>
      <c r="R154" s="32" t="n">
        <f aca="false">IF(J154&lt;=10,INDEX('Tabela Passaro'!$G$2:$G$1795,$N154),IF(J154&lt;=30,INDEX('Tabela Passaro'!$H$2:$H$1795,$N154),IF(J154&lt;=50,INDEX('Tabela Passaro'!$I$2:$I$1795,$N154),IF(J154&lt;=70,INDEX('Tabela Passaro'!$J$2:$J$1795,$N154),IF(J154&lt;=100,INDEX('Tabela Passaro'!$K$2:$K$1795,$N154),INDEX('Tabela Passaro'!$K$2:$K$1795,$N154)+(J154-100)*INDEX('Tabela Passaro'!$L$2:$L$1795,$N154))))))</f>
        <v>134.71</v>
      </c>
      <c r="S154" s="32" t="n">
        <f aca="false">K154*INDEX('Tabela Passaro'!$M$2:$M$1795,$N154)</f>
        <v>4.2426</v>
      </c>
      <c r="T154" s="32" t="n">
        <f aca="false">K154*INDEX('Tabela Passaro'!$N$2:$N$1795,$N154)</f>
        <v>1.69704</v>
      </c>
      <c r="U154" s="32" t="n">
        <f aca="false">INDEX('Tabela Passaro'!$O$2:$O$1795,$N154)</f>
        <v>5</v>
      </c>
      <c r="V154" s="32" t="n">
        <f aca="false">ROUNDUP(J154/INDEX('Tabela Passaro'!$Q$2:$Q$1795,$N154),0)*INDEX('Tabela Passaro'!$P$2:$P$1795,$N154)</f>
        <v>5</v>
      </c>
      <c r="W154" s="32" t="n">
        <f aca="false">INDEX('Tabela Passaro'!$R$2:$R$1795,$N154)</f>
        <v>30</v>
      </c>
      <c r="X154" s="32" t="n">
        <f aca="false">ROUNDUP(J154/INDEX('Tabela Passaro'!$T$2:$T$1795,$N154),0)*INDEX('Tabela Passaro'!$S$2:$S$1795,$N154)</f>
        <v>0</v>
      </c>
      <c r="Y154" s="32" t="n">
        <f aca="false">INDEX('Tabela Passaro'!$U$2:$U$1795,$N154)</f>
        <v>0</v>
      </c>
      <c r="Z154" s="32" t="n">
        <f aca="false">INDEX('Tabela Passaro'!$V$2:$V$1795,$N154)</f>
        <v>0</v>
      </c>
      <c r="AA154" s="32" t="n">
        <f aca="false">SUM(R154:Z154)</f>
        <v>180.64964</v>
      </c>
      <c r="AB154" s="33" t="n">
        <f aca="false">INDEX(Premissas!$B$5:$B$13,MATCH(A154,Premissas!$A$5:$A$13,0))</f>
        <v>0.07</v>
      </c>
      <c r="AC154" s="32" t="n">
        <f aca="false">AA154/(1-AB154)-AA154</f>
        <v>13.5972847311828</v>
      </c>
      <c r="AD154" s="32" t="n">
        <f aca="false">ROUND(AA154+AC154,2)</f>
        <v>194.25</v>
      </c>
      <c r="AE154" s="32" t="n">
        <f aca="false">AD154-L154</f>
        <v>10.3</v>
      </c>
      <c r="AF154" s="34" t="n">
        <f aca="false">IF(L154=0,0,AE154/L154)</f>
        <v>0.0559934764881762</v>
      </c>
      <c r="AG154" s="22" t="str">
        <f aca="false">IF(AD154&lt;L154,"PASSARO","ATUAL")</f>
        <v>ATUAL</v>
      </c>
      <c r="AH154" s="22" t="str">
        <f aca="false">IF(P154&lt;&gt;A154,"Faixa cadastrada como "&amp;P154&amp;" na tabela; preço aplicado pela UF do CEP","")</f>
        <v/>
      </c>
      <c r="AI154" s="26" t="n">
        <v>212.94</v>
      </c>
      <c r="AJ154" s="22" t="str">
        <f aca="false">INDEX('Tabela Passaro'!$X$2:$X$1795,$N154)</f>
        <v>INTERIOR 2</v>
      </c>
    </row>
    <row r="155" customFormat="false" ht="15" hidden="false" customHeight="false" outlineLevel="0" collapsed="false">
      <c r="A155" s="22" t="s">
        <v>15</v>
      </c>
      <c r="B155" s="22" t="n">
        <v>6</v>
      </c>
      <c r="C155" s="22" t="s">
        <v>68</v>
      </c>
      <c r="D155" s="22" t="s">
        <v>30</v>
      </c>
      <c r="E155" s="22" t="s">
        <v>7326</v>
      </c>
      <c r="F155" s="22" t="n">
        <v>524707</v>
      </c>
      <c r="G155" s="30" t="n">
        <v>46247</v>
      </c>
      <c r="H155" s="22" t="n">
        <v>624566</v>
      </c>
      <c r="I155" s="22" t="s">
        <v>7462</v>
      </c>
      <c r="J155" s="31" t="n">
        <v>172.8</v>
      </c>
      <c r="K155" s="26" t="n">
        <v>5410.42</v>
      </c>
      <c r="L155" s="26" t="n">
        <v>553.61</v>
      </c>
      <c r="M155" s="22" t="s">
        <v>438</v>
      </c>
      <c r="N155" s="22" t="n">
        <f aca="false">MATCH(M155,'Tabela Passaro'!$A$2:$A$1795,0)</f>
        <v>40</v>
      </c>
      <c r="O155" s="22" t="str">
        <f aca="false">INDEX('Tabela Passaro'!$C$2:$C$1795,$N155)</f>
        <v>DELMIRO GOUVEIA</v>
      </c>
      <c r="P155" s="22" t="str">
        <f aca="false">INDEX('Tabela Passaro'!$B$2:$B$1795,$N155)</f>
        <v>AL</v>
      </c>
      <c r="Q155" s="22" t="n">
        <f aca="false">INDEX('Tabela Passaro'!$F$2:$F$1795,$N155)</f>
        <v>13</v>
      </c>
      <c r="R155" s="32" t="n">
        <f aca="false">IF(J155&lt;=10,INDEX('Tabela Passaro'!$G$2:$G$1795,$N155),IF(J155&lt;=30,INDEX('Tabela Passaro'!$H$2:$H$1795,$N155),IF(J155&lt;=50,INDEX('Tabela Passaro'!$I$2:$I$1795,$N155),IF(J155&lt;=70,INDEX('Tabela Passaro'!$J$2:$J$1795,$N155),IF(J155&lt;=100,INDEX('Tabela Passaro'!$K$2:$K$1795,$N155),INDEX('Tabela Passaro'!$K$2:$K$1795,$N155)+(J155-100)*INDEX('Tabela Passaro'!$L$2:$L$1795,$N155))))))</f>
        <v>316.586</v>
      </c>
      <c r="S155" s="32" t="n">
        <f aca="false">K155*INDEX('Tabela Passaro'!$M$2:$M$1795,$N155)</f>
        <v>27.0521</v>
      </c>
      <c r="T155" s="32" t="n">
        <f aca="false">K155*INDEX('Tabela Passaro'!$N$2:$N$1795,$N155)</f>
        <v>10.82084</v>
      </c>
      <c r="U155" s="32" t="n">
        <f aca="false">INDEX('Tabela Passaro'!$O$2:$O$1795,$N155)</f>
        <v>5</v>
      </c>
      <c r="V155" s="32" t="n">
        <f aca="false">ROUNDUP(J155/INDEX('Tabela Passaro'!$Q$2:$Q$1795,$N155),0)*INDEX('Tabela Passaro'!$P$2:$P$1795,$N155)</f>
        <v>10</v>
      </c>
      <c r="W155" s="32" t="n">
        <f aca="false">INDEX('Tabela Passaro'!$R$2:$R$1795,$N155)</f>
        <v>30</v>
      </c>
      <c r="X155" s="32" t="n">
        <f aca="false">ROUNDUP(J155/INDEX('Tabela Passaro'!$T$2:$T$1795,$N155),0)*INDEX('Tabela Passaro'!$S$2:$S$1795,$N155)</f>
        <v>0</v>
      </c>
      <c r="Y155" s="32" t="n">
        <f aca="false">INDEX('Tabela Passaro'!$U$2:$U$1795,$N155)</f>
        <v>0</v>
      </c>
      <c r="Z155" s="32" t="n">
        <f aca="false">INDEX('Tabela Passaro'!$V$2:$V$1795,$N155)</f>
        <v>0</v>
      </c>
      <c r="AA155" s="32" t="n">
        <f aca="false">SUM(R155:Z155)</f>
        <v>399.45894</v>
      </c>
      <c r="AB155" s="33" t="n">
        <f aca="false">INDEX(Premissas!$B$5:$B$13,MATCH(A155,Premissas!$A$5:$A$13,0))</f>
        <v>0.07</v>
      </c>
      <c r="AC155" s="32" t="n">
        <f aca="false">AA155/(1-AB155)-AA155</f>
        <v>30.0668019354839</v>
      </c>
      <c r="AD155" s="32" t="n">
        <f aca="false">ROUND(AA155+AC155,2)</f>
        <v>429.53</v>
      </c>
      <c r="AE155" s="32" t="n">
        <f aca="false">AD155-L155</f>
        <v>-124.08</v>
      </c>
      <c r="AF155" s="34" t="n">
        <f aca="false">IF(L155=0,0,AE155/L155)</f>
        <v>-0.224128899405719</v>
      </c>
      <c r="AG155" s="22" t="str">
        <f aca="false">IF(AD155&lt;L155,"PASSARO","ATUAL")</f>
        <v>PASSARO</v>
      </c>
      <c r="AH155" s="22" t="str">
        <f aca="false">IF(P155&lt;&gt;A155,"Faixa cadastrada como "&amp;P155&amp;" na tabela; preço aplicado pela UF do CEP","")</f>
        <v/>
      </c>
      <c r="AI155" s="26" t="n">
        <v>545.22</v>
      </c>
      <c r="AJ155" s="22" t="str">
        <f aca="false">INDEX('Tabela Passaro'!$X$2:$X$1795,$N155)</f>
        <v>INTERIOR 2</v>
      </c>
    </row>
    <row r="156" customFormat="false" ht="15" hidden="false" customHeight="false" outlineLevel="0" collapsed="false">
      <c r="A156" s="22" t="s">
        <v>15</v>
      </c>
      <c r="B156" s="22" t="n">
        <v>6</v>
      </c>
      <c r="C156" s="22" t="s">
        <v>68</v>
      </c>
      <c r="D156" s="22" t="s">
        <v>30</v>
      </c>
      <c r="E156" s="22" t="s">
        <v>7328</v>
      </c>
      <c r="F156" s="22" t="n">
        <v>2312477</v>
      </c>
      <c r="G156" s="30" t="n">
        <v>46248</v>
      </c>
      <c r="H156" s="22" t="n">
        <v>133451</v>
      </c>
      <c r="I156" s="22" t="s">
        <v>7462</v>
      </c>
      <c r="J156" s="31" t="n">
        <v>137</v>
      </c>
      <c r="K156" s="26" t="n">
        <v>4989.75</v>
      </c>
      <c r="L156" s="26" t="n">
        <v>399.28</v>
      </c>
      <c r="M156" s="22" t="s">
        <v>438</v>
      </c>
      <c r="N156" s="22" t="n">
        <f aca="false">MATCH(M156,'Tabela Passaro'!$A$2:$A$1795,0)</f>
        <v>40</v>
      </c>
      <c r="O156" s="22" t="str">
        <f aca="false">INDEX('Tabela Passaro'!$C$2:$C$1795,$N156)</f>
        <v>DELMIRO GOUVEIA</v>
      </c>
      <c r="P156" s="22" t="str">
        <f aca="false">INDEX('Tabela Passaro'!$B$2:$B$1795,$N156)</f>
        <v>AL</v>
      </c>
      <c r="Q156" s="22" t="n">
        <f aca="false">INDEX('Tabela Passaro'!$F$2:$F$1795,$N156)</f>
        <v>13</v>
      </c>
      <c r="R156" s="32" t="n">
        <f aca="false">IF(J156&lt;=10,INDEX('Tabela Passaro'!$G$2:$G$1795,$N156),IF(J156&lt;=30,INDEX('Tabela Passaro'!$H$2:$H$1795,$N156),IF(J156&lt;=50,INDEX('Tabela Passaro'!$I$2:$I$1795,$N156),IF(J156&lt;=70,INDEX('Tabela Passaro'!$J$2:$J$1795,$N156),IF(J156&lt;=100,INDEX('Tabela Passaro'!$K$2:$K$1795,$N156),INDEX('Tabela Passaro'!$K$2:$K$1795,$N156)+(J156-100)*INDEX('Tabela Passaro'!$L$2:$L$1795,$N156))))))</f>
        <v>240.69</v>
      </c>
      <c r="S156" s="32" t="n">
        <f aca="false">K156*INDEX('Tabela Passaro'!$M$2:$M$1795,$N156)</f>
        <v>24.94875</v>
      </c>
      <c r="T156" s="32" t="n">
        <f aca="false">K156*INDEX('Tabela Passaro'!$N$2:$N$1795,$N156)</f>
        <v>9.9795</v>
      </c>
      <c r="U156" s="32" t="n">
        <f aca="false">INDEX('Tabela Passaro'!$O$2:$O$1795,$N156)</f>
        <v>5</v>
      </c>
      <c r="V156" s="32" t="n">
        <f aca="false">ROUNDUP(J156/INDEX('Tabela Passaro'!$Q$2:$Q$1795,$N156),0)*INDEX('Tabela Passaro'!$P$2:$P$1795,$N156)</f>
        <v>10</v>
      </c>
      <c r="W156" s="32" t="n">
        <f aca="false">INDEX('Tabela Passaro'!$R$2:$R$1795,$N156)</f>
        <v>30</v>
      </c>
      <c r="X156" s="32" t="n">
        <f aca="false">ROUNDUP(J156/INDEX('Tabela Passaro'!$T$2:$T$1795,$N156),0)*INDEX('Tabela Passaro'!$S$2:$S$1795,$N156)</f>
        <v>0</v>
      </c>
      <c r="Y156" s="32" t="n">
        <f aca="false">INDEX('Tabela Passaro'!$U$2:$U$1795,$N156)</f>
        <v>0</v>
      </c>
      <c r="Z156" s="32" t="n">
        <f aca="false">INDEX('Tabela Passaro'!$V$2:$V$1795,$N156)</f>
        <v>0</v>
      </c>
      <c r="AA156" s="32" t="n">
        <f aca="false">SUM(R156:Z156)</f>
        <v>320.61825</v>
      </c>
      <c r="AB156" s="33" t="n">
        <f aca="false">INDEX(Premissas!$B$5:$B$13,MATCH(A156,Premissas!$A$5:$A$13,0))</f>
        <v>0.07</v>
      </c>
      <c r="AC156" s="32" t="n">
        <f aca="false">AA156/(1-AB156)-AA156</f>
        <v>24.1325564516129</v>
      </c>
      <c r="AD156" s="32" t="n">
        <f aca="false">ROUND(AA156+AC156,2)</f>
        <v>344.75</v>
      </c>
      <c r="AE156" s="32" t="n">
        <f aca="false">AD156-L156</f>
        <v>-54.53</v>
      </c>
      <c r="AF156" s="34" t="n">
        <f aca="false">IF(L156=0,0,AE156/L156)</f>
        <v>-0.136570827489481</v>
      </c>
      <c r="AG156" s="22" t="str">
        <f aca="false">IF(AD156&lt;L156,"PASSARO","ATUAL")</f>
        <v>PASSARO</v>
      </c>
      <c r="AH156" s="22" t="str">
        <f aca="false">IF(P156&lt;&gt;A156,"Faixa cadastrada como "&amp;P156&amp;" na tabela; preço aplicado pela UF do CEP","")</f>
        <v/>
      </c>
      <c r="AI156" s="26" t="n">
        <v>431.73</v>
      </c>
      <c r="AJ156" s="22" t="str">
        <f aca="false">INDEX('Tabela Passaro'!$X$2:$X$1795,$N156)</f>
        <v>INTERIOR 2</v>
      </c>
    </row>
    <row r="157" customFormat="false" ht="15" hidden="false" customHeight="false" outlineLevel="0" collapsed="false">
      <c r="A157" s="22" t="s">
        <v>15</v>
      </c>
      <c r="B157" s="22" t="n">
        <v>7</v>
      </c>
      <c r="C157" s="22" t="s">
        <v>70</v>
      </c>
      <c r="D157" s="22" t="s">
        <v>30</v>
      </c>
      <c r="E157" s="22" t="s">
        <v>7326</v>
      </c>
      <c r="F157" s="22" t="n">
        <v>523710</v>
      </c>
      <c r="G157" s="30" t="n">
        <v>46244</v>
      </c>
      <c r="H157" s="22" t="n">
        <v>622494</v>
      </c>
      <c r="I157" s="22" t="s">
        <v>7463</v>
      </c>
      <c r="J157" s="31" t="n">
        <v>129.3</v>
      </c>
      <c r="K157" s="26" t="n">
        <v>1931.56</v>
      </c>
      <c r="L157" s="26" t="n">
        <v>446.05</v>
      </c>
      <c r="M157" s="22" t="s">
        <v>612</v>
      </c>
      <c r="N157" s="22" t="n">
        <f aca="false">MATCH(M157,'Tabela Passaro'!$A$2:$A$1795,0)</f>
        <v>84</v>
      </c>
      <c r="O157" s="22" t="str">
        <f aca="false">INDEX('Tabela Passaro'!$C$2:$C$1795,$N157)</f>
        <v>PIRANHAS</v>
      </c>
      <c r="P157" s="22" t="str">
        <f aca="false">INDEX('Tabela Passaro'!$B$2:$B$1795,$N157)</f>
        <v>AL</v>
      </c>
      <c r="Q157" s="22" t="n">
        <f aca="false">INDEX('Tabela Passaro'!$F$2:$F$1795,$N157)</f>
        <v>13</v>
      </c>
      <c r="R157" s="32" t="n">
        <f aca="false">IF(J157&lt;=10,INDEX('Tabela Passaro'!$G$2:$G$1795,$N157),IF(J157&lt;=30,INDEX('Tabela Passaro'!$H$2:$H$1795,$N157),IF(J157&lt;=50,INDEX('Tabela Passaro'!$I$2:$I$1795,$N157),IF(J157&lt;=70,INDEX('Tabela Passaro'!$J$2:$J$1795,$N157),IF(J157&lt;=100,INDEX('Tabela Passaro'!$K$2:$K$1795,$N157),INDEX('Tabela Passaro'!$K$2:$K$1795,$N157)+(J157-100)*INDEX('Tabela Passaro'!$L$2:$L$1795,$N157))))))</f>
        <v>224.366</v>
      </c>
      <c r="S157" s="32" t="n">
        <f aca="false">K157*INDEX('Tabela Passaro'!$M$2:$M$1795,$N157)</f>
        <v>9.6578</v>
      </c>
      <c r="T157" s="32" t="n">
        <f aca="false">K157*INDEX('Tabela Passaro'!$N$2:$N$1795,$N157)</f>
        <v>3.86312</v>
      </c>
      <c r="U157" s="32" t="n">
        <f aca="false">INDEX('Tabela Passaro'!$O$2:$O$1795,$N157)</f>
        <v>5</v>
      </c>
      <c r="V157" s="32" t="n">
        <f aca="false">ROUNDUP(J157/INDEX('Tabela Passaro'!$Q$2:$Q$1795,$N157),0)*INDEX('Tabela Passaro'!$P$2:$P$1795,$N157)</f>
        <v>10</v>
      </c>
      <c r="W157" s="32" t="n">
        <f aca="false">INDEX('Tabela Passaro'!$R$2:$R$1795,$N157)</f>
        <v>30</v>
      </c>
      <c r="X157" s="32" t="n">
        <f aca="false">ROUNDUP(J157/INDEX('Tabela Passaro'!$T$2:$T$1795,$N157),0)*INDEX('Tabela Passaro'!$S$2:$S$1795,$N157)</f>
        <v>0</v>
      </c>
      <c r="Y157" s="32" t="n">
        <f aca="false">INDEX('Tabela Passaro'!$U$2:$U$1795,$N157)</f>
        <v>0</v>
      </c>
      <c r="Z157" s="32" t="n">
        <f aca="false">INDEX('Tabela Passaro'!$V$2:$V$1795,$N157)</f>
        <v>0</v>
      </c>
      <c r="AA157" s="32" t="n">
        <f aca="false">SUM(R157:Z157)</f>
        <v>282.88692</v>
      </c>
      <c r="AB157" s="33" t="n">
        <f aca="false">INDEX(Premissas!$B$5:$B$13,MATCH(A157,Premissas!$A$5:$A$13,0))</f>
        <v>0.07</v>
      </c>
      <c r="AC157" s="32" t="n">
        <f aca="false">AA157/(1-AB157)-AA157</f>
        <v>21.2925638709677</v>
      </c>
      <c r="AD157" s="32" t="n">
        <f aca="false">ROUND(AA157+AC157,2)</f>
        <v>304.18</v>
      </c>
      <c r="AE157" s="32" t="n">
        <f aca="false">AD157-L157</f>
        <v>-141.87</v>
      </c>
      <c r="AF157" s="34" t="n">
        <f aca="false">IF(L157=0,0,AE157/L157)</f>
        <v>-0.318058513619549</v>
      </c>
      <c r="AG157" s="22" t="str">
        <f aca="false">IF(AD157&lt;L157,"PASSARO","ATUAL")</f>
        <v>PASSARO</v>
      </c>
      <c r="AH157" s="22" t="str">
        <f aca="false">IF(P157&lt;&gt;A157,"Faixa cadastrada como "&amp;P157&amp;" na tabela; preço aplicado pela UF do CEP","")</f>
        <v/>
      </c>
      <c r="AI157" s="26" t="n">
        <v>378.96</v>
      </c>
      <c r="AJ157" s="22" t="str">
        <f aca="false">INDEX('Tabela Passaro'!$X$2:$X$1795,$N157)</f>
        <v>INTERIOR 2</v>
      </c>
    </row>
    <row r="158" customFormat="false" ht="15" hidden="false" customHeight="false" outlineLevel="0" collapsed="false">
      <c r="A158" s="22" t="s">
        <v>15</v>
      </c>
      <c r="B158" s="22" t="n">
        <v>7</v>
      </c>
      <c r="C158" s="22" t="s">
        <v>70</v>
      </c>
      <c r="D158" s="22" t="s">
        <v>30</v>
      </c>
      <c r="E158" s="22" t="s">
        <v>7326</v>
      </c>
      <c r="F158" s="22" t="n">
        <v>526665</v>
      </c>
      <c r="G158" s="30" t="n">
        <v>46255</v>
      </c>
      <c r="H158" s="22" t="n">
        <v>627534</v>
      </c>
      <c r="I158" s="22" t="s">
        <v>7464</v>
      </c>
      <c r="J158" s="31" t="n">
        <v>43.5</v>
      </c>
      <c r="K158" s="26" t="n">
        <v>958.2</v>
      </c>
      <c r="L158" s="26" t="n">
        <v>207.82</v>
      </c>
      <c r="M158" s="22" t="s">
        <v>612</v>
      </c>
      <c r="N158" s="22" t="n">
        <f aca="false">MATCH(M158,'Tabela Passaro'!$A$2:$A$1795,0)</f>
        <v>84</v>
      </c>
      <c r="O158" s="22" t="str">
        <f aca="false">INDEX('Tabela Passaro'!$C$2:$C$1795,$N158)</f>
        <v>PIRANHAS</v>
      </c>
      <c r="P158" s="22" t="str">
        <f aca="false">INDEX('Tabela Passaro'!$B$2:$B$1795,$N158)</f>
        <v>AL</v>
      </c>
      <c r="Q158" s="22" t="n">
        <f aca="false">INDEX('Tabela Passaro'!$F$2:$F$1795,$N158)</f>
        <v>13</v>
      </c>
      <c r="R158" s="32" t="n">
        <f aca="false">IF(J158&lt;=10,INDEX('Tabela Passaro'!$G$2:$G$1795,$N158),IF(J158&lt;=30,INDEX('Tabela Passaro'!$H$2:$H$1795,$N158),IF(J158&lt;=50,INDEX('Tabela Passaro'!$I$2:$I$1795,$N158),IF(J158&lt;=70,INDEX('Tabela Passaro'!$J$2:$J$1795,$N158),IF(J158&lt;=100,INDEX('Tabela Passaro'!$K$2:$K$1795,$N158),INDEX('Tabela Passaro'!$K$2:$K$1795,$N158)+(J158-100)*INDEX('Tabela Passaro'!$L$2:$L$1795,$N158))))))</f>
        <v>134.71</v>
      </c>
      <c r="S158" s="32" t="n">
        <f aca="false">K158*INDEX('Tabela Passaro'!$M$2:$M$1795,$N158)</f>
        <v>4.791</v>
      </c>
      <c r="T158" s="32" t="n">
        <f aca="false">K158*INDEX('Tabela Passaro'!$N$2:$N$1795,$N158)</f>
        <v>1.9164</v>
      </c>
      <c r="U158" s="32" t="n">
        <f aca="false">INDEX('Tabela Passaro'!$O$2:$O$1795,$N158)</f>
        <v>5</v>
      </c>
      <c r="V158" s="32" t="n">
        <f aca="false">ROUNDUP(J158/INDEX('Tabela Passaro'!$Q$2:$Q$1795,$N158),0)*INDEX('Tabela Passaro'!$P$2:$P$1795,$N158)</f>
        <v>5</v>
      </c>
      <c r="W158" s="32" t="n">
        <f aca="false">INDEX('Tabela Passaro'!$R$2:$R$1795,$N158)</f>
        <v>30</v>
      </c>
      <c r="X158" s="32" t="n">
        <f aca="false">ROUNDUP(J158/INDEX('Tabela Passaro'!$T$2:$T$1795,$N158),0)*INDEX('Tabela Passaro'!$S$2:$S$1795,$N158)</f>
        <v>0</v>
      </c>
      <c r="Y158" s="32" t="n">
        <f aca="false">INDEX('Tabela Passaro'!$U$2:$U$1795,$N158)</f>
        <v>0</v>
      </c>
      <c r="Z158" s="32" t="n">
        <f aca="false">INDEX('Tabela Passaro'!$V$2:$V$1795,$N158)</f>
        <v>0</v>
      </c>
      <c r="AA158" s="32" t="n">
        <f aca="false">SUM(R158:Z158)</f>
        <v>181.4174</v>
      </c>
      <c r="AB158" s="33" t="n">
        <f aca="false">INDEX(Premissas!$B$5:$B$13,MATCH(A158,Premissas!$A$5:$A$13,0))</f>
        <v>0.07</v>
      </c>
      <c r="AC158" s="32" t="n">
        <f aca="false">AA158/(1-AB158)-AA158</f>
        <v>13.6550731182796</v>
      </c>
      <c r="AD158" s="32" t="n">
        <f aca="false">ROUND(AA158+AC158,2)</f>
        <v>195.07</v>
      </c>
      <c r="AE158" s="32" t="n">
        <f aca="false">AD158-L158</f>
        <v>-12.75</v>
      </c>
      <c r="AF158" s="34" t="n">
        <f aca="false">IF(L158=0,0,AE158/L158)</f>
        <v>-0.0613511692811087</v>
      </c>
      <c r="AG158" s="22" t="str">
        <f aca="false">IF(AD158&lt;L158,"PASSARO","ATUAL")</f>
        <v>PASSARO</v>
      </c>
      <c r="AH158" s="22" t="str">
        <f aca="false">IF(P158&lt;&gt;A158,"Faixa cadastrada como "&amp;P158&amp;" na tabela; preço aplicado pela UF do CEP","")</f>
        <v/>
      </c>
      <c r="AI158" s="26" t="n">
        <v>215.94</v>
      </c>
      <c r="AJ158" s="22" t="str">
        <f aca="false">INDEX('Tabela Passaro'!$X$2:$X$1795,$N158)</f>
        <v>INTERIOR 2</v>
      </c>
    </row>
    <row r="159" customFormat="false" ht="15" hidden="false" customHeight="false" outlineLevel="0" collapsed="false">
      <c r="A159" s="22" t="s">
        <v>15</v>
      </c>
      <c r="B159" s="22" t="n">
        <v>7</v>
      </c>
      <c r="C159" s="22" t="s">
        <v>70</v>
      </c>
      <c r="D159" s="22" t="s">
        <v>30</v>
      </c>
      <c r="E159" s="22" t="s">
        <v>7326</v>
      </c>
      <c r="F159" s="22" t="n">
        <v>527394</v>
      </c>
      <c r="G159" s="30" t="n">
        <v>46259</v>
      </c>
      <c r="H159" s="22" t="n">
        <v>629134</v>
      </c>
      <c r="I159" s="22" t="s">
        <v>7465</v>
      </c>
      <c r="J159" s="31" t="n">
        <v>30.98</v>
      </c>
      <c r="K159" s="26" t="n">
        <v>1025.19</v>
      </c>
      <c r="L159" s="26" t="n">
        <v>208.38</v>
      </c>
      <c r="M159" s="22" t="s">
        <v>612</v>
      </c>
      <c r="N159" s="22" t="n">
        <f aca="false">MATCH(M159,'Tabela Passaro'!$A$2:$A$1795,0)</f>
        <v>84</v>
      </c>
      <c r="O159" s="22" t="str">
        <f aca="false">INDEX('Tabela Passaro'!$C$2:$C$1795,$N159)</f>
        <v>PIRANHAS</v>
      </c>
      <c r="P159" s="22" t="str">
        <f aca="false">INDEX('Tabela Passaro'!$B$2:$B$1795,$N159)</f>
        <v>AL</v>
      </c>
      <c r="Q159" s="22" t="n">
        <f aca="false">INDEX('Tabela Passaro'!$F$2:$F$1795,$N159)</f>
        <v>13</v>
      </c>
      <c r="R159" s="32" t="n">
        <f aca="false">IF(J159&lt;=10,INDEX('Tabela Passaro'!$G$2:$G$1795,$N159),IF(J159&lt;=30,INDEX('Tabela Passaro'!$H$2:$H$1795,$N159),IF(J159&lt;=50,INDEX('Tabela Passaro'!$I$2:$I$1795,$N159),IF(J159&lt;=70,INDEX('Tabela Passaro'!$J$2:$J$1795,$N159),IF(J159&lt;=100,INDEX('Tabela Passaro'!$K$2:$K$1795,$N159),INDEX('Tabela Passaro'!$K$2:$K$1795,$N159)+(J159-100)*INDEX('Tabela Passaro'!$L$2:$L$1795,$N159))))))</f>
        <v>134.71</v>
      </c>
      <c r="S159" s="32" t="n">
        <f aca="false">K159*INDEX('Tabela Passaro'!$M$2:$M$1795,$N159)</f>
        <v>5.12595</v>
      </c>
      <c r="T159" s="32" t="n">
        <f aca="false">K159*INDEX('Tabela Passaro'!$N$2:$N$1795,$N159)</f>
        <v>2.05038</v>
      </c>
      <c r="U159" s="32" t="n">
        <f aca="false">INDEX('Tabela Passaro'!$O$2:$O$1795,$N159)</f>
        <v>5</v>
      </c>
      <c r="V159" s="32" t="n">
        <f aca="false">ROUNDUP(J159/INDEX('Tabela Passaro'!$Q$2:$Q$1795,$N159),0)*INDEX('Tabela Passaro'!$P$2:$P$1795,$N159)</f>
        <v>5</v>
      </c>
      <c r="W159" s="32" t="n">
        <f aca="false">INDEX('Tabela Passaro'!$R$2:$R$1795,$N159)</f>
        <v>30</v>
      </c>
      <c r="X159" s="32" t="n">
        <f aca="false">ROUNDUP(J159/INDEX('Tabela Passaro'!$T$2:$T$1795,$N159),0)*INDEX('Tabela Passaro'!$S$2:$S$1795,$N159)</f>
        <v>0</v>
      </c>
      <c r="Y159" s="32" t="n">
        <f aca="false">INDEX('Tabela Passaro'!$U$2:$U$1795,$N159)</f>
        <v>0</v>
      </c>
      <c r="Z159" s="32" t="n">
        <f aca="false">INDEX('Tabela Passaro'!$V$2:$V$1795,$N159)</f>
        <v>0</v>
      </c>
      <c r="AA159" s="32" t="n">
        <f aca="false">SUM(R159:Z159)</f>
        <v>181.88633</v>
      </c>
      <c r="AB159" s="33" t="n">
        <f aca="false">INDEX(Premissas!$B$5:$B$13,MATCH(A159,Premissas!$A$5:$A$13,0))</f>
        <v>0.07</v>
      </c>
      <c r="AC159" s="32" t="n">
        <f aca="false">AA159/(1-AB159)-AA159</f>
        <v>13.6903689247312</v>
      </c>
      <c r="AD159" s="32" t="n">
        <f aca="false">ROUND(AA159+AC159,2)</f>
        <v>195.58</v>
      </c>
      <c r="AE159" s="32" t="n">
        <f aca="false">AD159-L159</f>
        <v>-12.8</v>
      </c>
      <c r="AF159" s="34" t="n">
        <f aca="false">IF(L159=0,0,AE159/L159)</f>
        <v>-0.061426240522123</v>
      </c>
      <c r="AG159" s="22" t="str">
        <f aca="false">IF(AD159&lt;L159,"PASSARO","ATUAL")</f>
        <v>PASSARO</v>
      </c>
      <c r="AH159" s="22" t="str">
        <f aca="false">IF(P159&lt;&gt;A159,"Faixa cadastrada como "&amp;P159&amp;" na tabela; preço aplicado pela UF do CEP","")</f>
        <v/>
      </c>
      <c r="AI159" s="26" t="n">
        <v>210.3</v>
      </c>
      <c r="AJ159" s="22" t="str">
        <f aca="false">INDEX('Tabela Passaro'!$X$2:$X$1795,$N159)</f>
        <v>INTERIOR 2</v>
      </c>
    </row>
    <row r="160" customFormat="false" ht="15" hidden="false" customHeight="false" outlineLevel="0" collapsed="false">
      <c r="A160" s="22" t="s">
        <v>15</v>
      </c>
      <c r="B160" s="22" t="n">
        <v>8</v>
      </c>
      <c r="C160" s="22" t="s">
        <v>71</v>
      </c>
      <c r="D160" s="22" t="s">
        <v>30</v>
      </c>
      <c r="E160" s="22" t="s">
        <v>7328</v>
      </c>
      <c r="F160" s="22" t="n">
        <v>2311215</v>
      </c>
      <c r="G160" s="30" t="n">
        <v>46246</v>
      </c>
      <c r="H160" s="22" t="n">
        <v>132503</v>
      </c>
      <c r="I160" s="22" t="s">
        <v>7466</v>
      </c>
      <c r="J160" s="31" t="n">
        <v>27.6</v>
      </c>
      <c r="K160" s="26" t="n">
        <v>814.43</v>
      </c>
      <c r="L160" s="26" t="n">
        <v>137.27</v>
      </c>
      <c r="M160" s="22" t="s">
        <v>657</v>
      </c>
      <c r="N160" s="22" t="n">
        <f aca="false">MATCH(M160,'Tabela Passaro'!$A$2:$A$1795,0)</f>
        <v>96</v>
      </c>
      <c r="O160" s="22" t="str">
        <f aca="false">INDEX('Tabela Passaro'!$C$2:$C$1795,$N160)</f>
        <v>SAO MIGUEL DOS MILAGRES</v>
      </c>
      <c r="P160" s="22" t="str">
        <f aca="false">INDEX('Tabela Passaro'!$B$2:$B$1795,$N160)</f>
        <v>AL</v>
      </c>
      <c r="Q160" s="22" t="n">
        <f aca="false">INDEX('Tabela Passaro'!$F$2:$F$1795,$N160)</f>
        <v>13</v>
      </c>
      <c r="R160" s="32" t="n">
        <f aca="false">IF(J160&lt;=10,INDEX('Tabela Passaro'!$G$2:$G$1795,$N160),IF(J160&lt;=30,INDEX('Tabela Passaro'!$H$2:$H$1795,$N160),IF(J160&lt;=50,INDEX('Tabela Passaro'!$I$2:$I$1795,$N160),IF(J160&lt;=70,INDEX('Tabela Passaro'!$J$2:$J$1795,$N160),IF(J160&lt;=100,INDEX('Tabela Passaro'!$K$2:$K$1795,$N160),INDEX('Tabela Passaro'!$K$2:$K$1795,$N160)+(J160-100)*INDEX('Tabela Passaro'!$L$2:$L$1795,$N160))))))</f>
        <v>112.67</v>
      </c>
      <c r="S160" s="32" t="n">
        <f aca="false">K160*INDEX('Tabela Passaro'!$M$2:$M$1795,$N160)</f>
        <v>4.07215</v>
      </c>
      <c r="T160" s="32" t="n">
        <f aca="false">K160*INDEX('Tabela Passaro'!$N$2:$N$1795,$N160)</f>
        <v>1.62886</v>
      </c>
      <c r="U160" s="32" t="n">
        <f aca="false">INDEX('Tabela Passaro'!$O$2:$O$1795,$N160)</f>
        <v>5</v>
      </c>
      <c r="V160" s="32" t="n">
        <f aca="false">ROUNDUP(J160/INDEX('Tabela Passaro'!$Q$2:$Q$1795,$N160),0)*INDEX('Tabela Passaro'!$P$2:$P$1795,$N160)</f>
        <v>5</v>
      </c>
      <c r="W160" s="32" t="n">
        <f aca="false">INDEX('Tabela Passaro'!$R$2:$R$1795,$N160)</f>
        <v>30</v>
      </c>
      <c r="X160" s="32" t="n">
        <f aca="false">ROUNDUP(J160/INDEX('Tabela Passaro'!$T$2:$T$1795,$N160),0)*INDEX('Tabela Passaro'!$S$2:$S$1795,$N160)</f>
        <v>0</v>
      </c>
      <c r="Y160" s="32" t="n">
        <f aca="false">INDEX('Tabela Passaro'!$U$2:$U$1795,$N160)</f>
        <v>0</v>
      </c>
      <c r="Z160" s="32" t="n">
        <f aca="false">INDEX('Tabela Passaro'!$V$2:$V$1795,$N160)</f>
        <v>0</v>
      </c>
      <c r="AA160" s="32" t="n">
        <f aca="false">SUM(R160:Z160)</f>
        <v>158.37101</v>
      </c>
      <c r="AB160" s="33" t="n">
        <f aca="false">INDEX(Premissas!$B$5:$B$13,MATCH(A160,Premissas!$A$5:$A$13,0))</f>
        <v>0.07</v>
      </c>
      <c r="AC160" s="32" t="n">
        <f aca="false">AA160/(1-AB160)-AA160</f>
        <v>11.9203986021506</v>
      </c>
      <c r="AD160" s="32" t="n">
        <f aca="false">ROUND(AA160+AC160,2)</f>
        <v>170.29</v>
      </c>
      <c r="AE160" s="32" t="n">
        <f aca="false">AD160-L160</f>
        <v>33.02</v>
      </c>
      <c r="AF160" s="34" t="n">
        <f aca="false">IF(L160=0,0,AE160/L160)</f>
        <v>0.240547825453486</v>
      </c>
      <c r="AG160" s="22" t="str">
        <f aca="false">IF(AD160&lt;L160,"PASSARO","ATUAL")</f>
        <v>ATUAL</v>
      </c>
      <c r="AH160" s="22" t="str">
        <f aca="false">IF(P160&lt;&gt;A160,"Faixa cadastrada como "&amp;P160&amp;" na tabela; preço aplicado pela UF do CEP","")</f>
        <v/>
      </c>
      <c r="AI160" s="26" t="n">
        <v>181.75</v>
      </c>
      <c r="AJ160" s="22" t="str">
        <f aca="false">INDEX('Tabela Passaro'!$X$2:$X$1795,$N160)</f>
        <v>INTERIOR 2</v>
      </c>
    </row>
    <row r="161" customFormat="false" ht="15" hidden="false" customHeight="false" outlineLevel="0" collapsed="false">
      <c r="A161" s="22" t="s">
        <v>15</v>
      </c>
      <c r="B161" s="22" t="n">
        <v>8</v>
      </c>
      <c r="C161" s="22" t="s">
        <v>71</v>
      </c>
      <c r="D161" s="22" t="s">
        <v>30</v>
      </c>
      <c r="E161" s="22" t="s">
        <v>7326</v>
      </c>
      <c r="F161" s="22" t="n">
        <v>526093</v>
      </c>
      <c r="G161" s="30" t="n">
        <v>46253</v>
      </c>
      <c r="H161" s="22" t="n">
        <v>626778</v>
      </c>
      <c r="I161" s="22" t="s">
        <v>7466</v>
      </c>
      <c r="J161" s="31" t="n">
        <v>129.3</v>
      </c>
      <c r="K161" s="26" t="n">
        <v>1950.44</v>
      </c>
      <c r="L161" s="26" t="n">
        <v>446.2</v>
      </c>
      <c r="M161" s="22" t="s">
        <v>657</v>
      </c>
      <c r="N161" s="22" t="n">
        <f aca="false">MATCH(M161,'Tabela Passaro'!$A$2:$A$1795,0)</f>
        <v>96</v>
      </c>
      <c r="O161" s="22" t="str">
        <f aca="false">INDEX('Tabela Passaro'!$C$2:$C$1795,$N161)</f>
        <v>SAO MIGUEL DOS MILAGRES</v>
      </c>
      <c r="P161" s="22" t="str">
        <f aca="false">INDEX('Tabela Passaro'!$B$2:$B$1795,$N161)</f>
        <v>AL</v>
      </c>
      <c r="Q161" s="22" t="n">
        <f aca="false">INDEX('Tabela Passaro'!$F$2:$F$1795,$N161)</f>
        <v>13</v>
      </c>
      <c r="R161" s="32" t="n">
        <f aca="false">IF(J161&lt;=10,INDEX('Tabela Passaro'!$G$2:$G$1795,$N161),IF(J161&lt;=30,INDEX('Tabela Passaro'!$H$2:$H$1795,$N161),IF(J161&lt;=50,INDEX('Tabela Passaro'!$I$2:$I$1795,$N161),IF(J161&lt;=70,INDEX('Tabela Passaro'!$J$2:$J$1795,$N161),IF(J161&lt;=100,INDEX('Tabela Passaro'!$K$2:$K$1795,$N161),INDEX('Tabela Passaro'!$K$2:$K$1795,$N161)+(J161-100)*INDEX('Tabela Passaro'!$L$2:$L$1795,$N161))))))</f>
        <v>224.366</v>
      </c>
      <c r="S161" s="32" t="n">
        <f aca="false">K161*INDEX('Tabela Passaro'!$M$2:$M$1795,$N161)</f>
        <v>9.7522</v>
      </c>
      <c r="T161" s="32" t="n">
        <f aca="false">K161*INDEX('Tabela Passaro'!$N$2:$N$1795,$N161)</f>
        <v>3.90088</v>
      </c>
      <c r="U161" s="32" t="n">
        <f aca="false">INDEX('Tabela Passaro'!$O$2:$O$1795,$N161)</f>
        <v>5</v>
      </c>
      <c r="V161" s="32" t="n">
        <f aca="false">ROUNDUP(J161/INDEX('Tabela Passaro'!$Q$2:$Q$1795,$N161),0)*INDEX('Tabela Passaro'!$P$2:$P$1795,$N161)</f>
        <v>10</v>
      </c>
      <c r="W161" s="32" t="n">
        <f aca="false">INDEX('Tabela Passaro'!$R$2:$R$1795,$N161)</f>
        <v>30</v>
      </c>
      <c r="X161" s="32" t="n">
        <f aca="false">ROUNDUP(J161/INDEX('Tabela Passaro'!$T$2:$T$1795,$N161),0)*INDEX('Tabela Passaro'!$S$2:$S$1795,$N161)</f>
        <v>0</v>
      </c>
      <c r="Y161" s="32" t="n">
        <f aca="false">INDEX('Tabela Passaro'!$U$2:$U$1795,$N161)</f>
        <v>0</v>
      </c>
      <c r="Z161" s="32" t="n">
        <f aca="false">INDEX('Tabela Passaro'!$V$2:$V$1795,$N161)</f>
        <v>0</v>
      </c>
      <c r="AA161" s="32" t="n">
        <f aca="false">SUM(R161:Z161)</f>
        <v>283.01908</v>
      </c>
      <c r="AB161" s="33" t="n">
        <f aca="false">INDEX(Premissas!$B$5:$B$13,MATCH(A161,Premissas!$A$5:$A$13,0))</f>
        <v>0.07</v>
      </c>
      <c r="AC161" s="32" t="n">
        <f aca="false">AA161/(1-AB161)-AA161</f>
        <v>21.3025113978495</v>
      </c>
      <c r="AD161" s="32" t="n">
        <f aca="false">ROUND(AA161+AC161,2)</f>
        <v>304.32</v>
      </c>
      <c r="AE161" s="32" t="n">
        <f aca="false">AD161-L161</f>
        <v>-141.88</v>
      </c>
      <c r="AF161" s="34" t="n">
        <f aca="false">IF(L161=0,0,AE161/L161)</f>
        <v>-0.317974002689377</v>
      </c>
      <c r="AG161" s="22" t="str">
        <f aca="false">IF(AD161&lt;L161,"PASSARO","ATUAL")</f>
        <v>PASSARO</v>
      </c>
      <c r="AH161" s="22" t="str">
        <f aca="false">IF(P161&lt;&gt;A161,"Faixa cadastrada como "&amp;P161&amp;" na tabela; preço aplicado pela UF do CEP","")</f>
        <v/>
      </c>
      <c r="AI161" s="26" t="n">
        <v>379.14</v>
      </c>
      <c r="AJ161" s="22" t="str">
        <f aca="false">INDEX('Tabela Passaro'!$X$2:$X$1795,$N161)</f>
        <v>INTERIOR 2</v>
      </c>
    </row>
    <row r="162" customFormat="false" ht="15" hidden="false" customHeight="false" outlineLevel="0" collapsed="false">
      <c r="A162" s="22" t="s">
        <v>15</v>
      </c>
      <c r="B162" s="22" t="n">
        <v>8</v>
      </c>
      <c r="C162" s="22" t="s">
        <v>71</v>
      </c>
      <c r="D162" s="22" t="s">
        <v>34</v>
      </c>
      <c r="E162" s="22" t="s">
        <v>7399</v>
      </c>
      <c r="F162" s="22" t="n">
        <v>665814</v>
      </c>
      <c r="G162" s="30" t="n">
        <v>46256</v>
      </c>
      <c r="H162" s="22" t="n">
        <v>7869</v>
      </c>
      <c r="I162" s="22" t="s">
        <v>7466</v>
      </c>
      <c r="J162" s="31" t="n">
        <v>73.48</v>
      </c>
      <c r="K162" s="26" t="n">
        <v>1256.66</v>
      </c>
      <c r="L162" s="26" t="n">
        <v>266.95</v>
      </c>
      <c r="M162" s="22" t="s">
        <v>657</v>
      </c>
      <c r="N162" s="22" t="n">
        <f aca="false">MATCH(M162,'Tabela Passaro'!$A$2:$A$1795,0)</f>
        <v>96</v>
      </c>
      <c r="O162" s="22" t="str">
        <f aca="false">INDEX('Tabela Passaro'!$C$2:$C$1795,$N162)</f>
        <v>SAO MIGUEL DOS MILAGRES</v>
      </c>
      <c r="P162" s="22" t="str">
        <f aca="false">INDEX('Tabela Passaro'!$B$2:$B$1795,$N162)</f>
        <v>AL</v>
      </c>
      <c r="Q162" s="22" t="n">
        <f aca="false">INDEX('Tabela Passaro'!$F$2:$F$1795,$N162)</f>
        <v>13</v>
      </c>
      <c r="R162" s="32" t="n">
        <f aca="false">IF(J162&lt;=10,INDEX('Tabela Passaro'!$G$2:$G$1795,$N162),IF(J162&lt;=30,INDEX('Tabela Passaro'!$H$2:$H$1795,$N162),IF(J162&lt;=50,INDEX('Tabela Passaro'!$I$2:$I$1795,$N162),IF(J162&lt;=70,INDEX('Tabela Passaro'!$J$2:$J$1795,$N162),IF(J162&lt;=100,INDEX('Tabela Passaro'!$K$2:$K$1795,$N162),INDEX('Tabela Passaro'!$K$2:$K$1795,$N162)+(J162-100)*INDEX('Tabela Passaro'!$L$2:$L$1795,$N162))))))</f>
        <v>162.25</v>
      </c>
      <c r="S162" s="32" t="n">
        <f aca="false">K162*INDEX('Tabela Passaro'!$M$2:$M$1795,$N162)</f>
        <v>6.2833</v>
      </c>
      <c r="T162" s="32" t="n">
        <f aca="false">K162*INDEX('Tabela Passaro'!$N$2:$N$1795,$N162)</f>
        <v>2.51332</v>
      </c>
      <c r="U162" s="32" t="n">
        <f aca="false">INDEX('Tabela Passaro'!$O$2:$O$1795,$N162)</f>
        <v>5</v>
      </c>
      <c r="V162" s="32" t="n">
        <f aca="false">ROUNDUP(J162/INDEX('Tabela Passaro'!$Q$2:$Q$1795,$N162),0)*INDEX('Tabela Passaro'!$P$2:$P$1795,$N162)</f>
        <v>5</v>
      </c>
      <c r="W162" s="32" t="n">
        <f aca="false">INDEX('Tabela Passaro'!$R$2:$R$1795,$N162)</f>
        <v>30</v>
      </c>
      <c r="X162" s="32" t="n">
        <f aca="false">ROUNDUP(J162/INDEX('Tabela Passaro'!$T$2:$T$1795,$N162),0)*INDEX('Tabela Passaro'!$S$2:$S$1795,$N162)</f>
        <v>0</v>
      </c>
      <c r="Y162" s="32" t="n">
        <f aca="false">INDEX('Tabela Passaro'!$U$2:$U$1795,$N162)</f>
        <v>0</v>
      </c>
      <c r="Z162" s="32" t="n">
        <f aca="false">INDEX('Tabela Passaro'!$V$2:$V$1795,$N162)</f>
        <v>0</v>
      </c>
      <c r="AA162" s="32" t="n">
        <f aca="false">SUM(R162:Z162)</f>
        <v>211.04662</v>
      </c>
      <c r="AB162" s="33" t="n">
        <f aca="false">INDEX(Premissas!$B$5:$B$13,MATCH(A162,Premissas!$A$5:$A$13,0))</f>
        <v>0.07</v>
      </c>
      <c r="AC162" s="32" t="n">
        <f aca="false">AA162/(1-AB162)-AA162</f>
        <v>15.8852294623656</v>
      </c>
      <c r="AD162" s="32" t="n">
        <f aca="false">ROUND(AA162+AC162,2)</f>
        <v>226.93</v>
      </c>
      <c r="AE162" s="32" t="n">
        <f aca="false">AD162-L162</f>
        <v>-40.02</v>
      </c>
      <c r="AF162" s="34" t="n">
        <f aca="false">IF(L162=0,0,AE162/L162)</f>
        <v>-0.149915714553287</v>
      </c>
      <c r="AG162" s="22" t="str">
        <f aca="false">IF(AD162&lt;L162,"PASSARO","ATUAL")</f>
        <v>PASSARO</v>
      </c>
      <c r="AH162" s="22" t="str">
        <f aca="false">IF(P162&lt;&gt;A162,"Faixa cadastrada como "&amp;P162&amp;" na tabela; preço aplicado pela UF do CEP","")</f>
        <v/>
      </c>
      <c r="AI162" s="26" t="n">
        <v>264.66</v>
      </c>
      <c r="AJ162" s="22" t="str">
        <f aca="false">INDEX('Tabela Passaro'!$X$2:$X$1795,$N162)</f>
        <v>INTERIOR 2</v>
      </c>
    </row>
    <row r="163" customFormat="false" ht="15" hidden="false" customHeight="false" outlineLevel="0" collapsed="false">
      <c r="A163" s="22" t="s">
        <v>15</v>
      </c>
      <c r="B163" s="22" t="n">
        <v>9</v>
      </c>
      <c r="C163" s="22" t="s">
        <v>73</v>
      </c>
      <c r="D163" s="22" t="s">
        <v>30</v>
      </c>
      <c r="E163" s="22" t="s">
        <v>7328</v>
      </c>
      <c r="F163" s="22" t="n">
        <v>2307958</v>
      </c>
      <c r="G163" s="30" t="n">
        <v>46239</v>
      </c>
      <c r="H163" s="22" t="n">
        <v>131946</v>
      </c>
      <c r="I163" s="22" t="s">
        <v>7467</v>
      </c>
      <c r="J163" s="31" t="n">
        <v>48</v>
      </c>
      <c r="K163" s="26" t="n">
        <v>1725.43</v>
      </c>
      <c r="L163" s="26" t="n">
        <v>190.89</v>
      </c>
      <c r="M163" s="22" t="s">
        <v>619</v>
      </c>
      <c r="N163" s="22" t="n">
        <f aca="false">MATCH(M163,'Tabela Passaro'!$A$2:$A$1795,0)</f>
        <v>86</v>
      </c>
      <c r="O163" s="22" t="str">
        <f aca="false">INDEX('Tabela Passaro'!$C$2:$C$1795,$N163)</f>
        <v>PORTO CALVO</v>
      </c>
      <c r="P163" s="22" t="str">
        <f aca="false">INDEX('Tabela Passaro'!$B$2:$B$1795,$N163)</f>
        <v>AL</v>
      </c>
      <c r="Q163" s="22" t="n">
        <f aca="false">INDEX('Tabela Passaro'!$F$2:$F$1795,$N163)</f>
        <v>13</v>
      </c>
      <c r="R163" s="32" t="n">
        <f aca="false">IF(J163&lt;=10,INDEX('Tabela Passaro'!$G$2:$G$1795,$N163),IF(J163&lt;=30,INDEX('Tabela Passaro'!$H$2:$H$1795,$N163),IF(J163&lt;=50,INDEX('Tabela Passaro'!$I$2:$I$1795,$N163),IF(J163&lt;=70,INDEX('Tabela Passaro'!$J$2:$J$1795,$N163),IF(J163&lt;=100,INDEX('Tabela Passaro'!$K$2:$K$1795,$N163),INDEX('Tabela Passaro'!$K$2:$K$1795,$N163)+(J163-100)*INDEX('Tabela Passaro'!$L$2:$L$1795,$N163))))))</f>
        <v>134.71</v>
      </c>
      <c r="S163" s="32" t="n">
        <f aca="false">K163*INDEX('Tabela Passaro'!$M$2:$M$1795,$N163)</f>
        <v>8.62715</v>
      </c>
      <c r="T163" s="32" t="n">
        <f aca="false">K163*INDEX('Tabela Passaro'!$N$2:$N$1795,$N163)</f>
        <v>3.45086</v>
      </c>
      <c r="U163" s="32" t="n">
        <f aca="false">INDEX('Tabela Passaro'!$O$2:$O$1795,$N163)</f>
        <v>5</v>
      </c>
      <c r="V163" s="32" t="n">
        <f aca="false">ROUNDUP(J163/INDEX('Tabela Passaro'!$Q$2:$Q$1795,$N163),0)*INDEX('Tabela Passaro'!$P$2:$P$1795,$N163)</f>
        <v>5</v>
      </c>
      <c r="W163" s="32" t="n">
        <f aca="false">INDEX('Tabela Passaro'!$R$2:$R$1795,$N163)</f>
        <v>30</v>
      </c>
      <c r="X163" s="32" t="n">
        <f aca="false">ROUNDUP(J163/INDEX('Tabela Passaro'!$T$2:$T$1795,$N163),0)*INDEX('Tabela Passaro'!$S$2:$S$1795,$N163)</f>
        <v>0</v>
      </c>
      <c r="Y163" s="32" t="n">
        <f aca="false">INDEX('Tabela Passaro'!$U$2:$U$1795,$N163)</f>
        <v>0</v>
      </c>
      <c r="Z163" s="32" t="n">
        <f aca="false">INDEX('Tabela Passaro'!$V$2:$V$1795,$N163)</f>
        <v>0</v>
      </c>
      <c r="AA163" s="32" t="n">
        <f aca="false">SUM(R163:Z163)</f>
        <v>186.78801</v>
      </c>
      <c r="AB163" s="33" t="n">
        <f aca="false">INDEX(Premissas!$B$5:$B$13,MATCH(A163,Premissas!$A$5:$A$13,0))</f>
        <v>0.07</v>
      </c>
      <c r="AC163" s="32" t="n">
        <f aca="false">AA163/(1-AB163)-AA163</f>
        <v>14.0593125806452</v>
      </c>
      <c r="AD163" s="32" t="n">
        <f aca="false">ROUND(AA163+AC163,2)</f>
        <v>200.85</v>
      </c>
      <c r="AE163" s="32" t="n">
        <f aca="false">AD163-L163</f>
        <v>9.96000000000001</v>
      </c>
      <c r="AF163" s="34" t="n">
        <f aca="false">IF(L163=0,0,AE163/L163)</f>
        <v>0.0521766462360522</v>
      </c>
      <c r="AG163" s="22" t="str">
        <f aca="false">IF(AD163&lt;L163,"PASSARO","ATUAL")</f>
        <v>ATUAL</v>
      </c>
      <c r="AH163" s="22" t="str">
        <f aca="false">IF(P163&lt;&gt;A163,"Faixa cadastrada como "&amp;P163&amp;" na tabela; preço aplicado pela UF do CEP","")</f>
        <v/>
      </c>
      <c r="AI163" s="26" t="n">
        <v>225.3</v>
      </c>
      <c r="AJ163" s="22" t="str">
        <f aca="false">INDEX('Tabela Passaro'!$X$2:$X$1795,$N163)</f>
        <v>INTERIOR 2</v>
      </c>
    </row>
    <row r="164" customFormat="false" ht="15" hidden="false" customHeight="false" outlineLevel="0" collapsed="false">
      <c r="A164" s="22" t="s">
        <v>15</v>
      </c>
      <c r="B164" s="22" t="n">
        <v>9</v>
      </c>
      <c r="C164" s="22" t="s">
        <v>73</v>
      </c>
      <c r="D164" s="22" t="s">
        <v>30</v>
      </c>
      <c r="E164" s="22" t="s">
        <v>20</v>
      </c>
      <c r="F164" s="22" t="n">
        <v>838408</v>
      </c>
      <c r="G164" s="30" t="n">
        <v>46244</v>
      </c>
      <c r="H164" s="22" t="n">
        <v>32454</v>
      </c>
      <c r="I164" s="22" t="s">
        <v>7467</v>
      </c>
      <c r="J164" s="31" t="n">
        <v>72.08</v>
      </c>
      <c r="K164" s="26" t="n">
        <v>971.18</v>
      </c>
      <c r="L164" s="26" t="n">
        <v>260.5</v>
      </c>
      <c r="M164" s="22" t="s">
        <v>619</v>
      </c>
      <c r="N164" s="22" t="n">
        <f aca="false">MATCH(M164,'Tabela Passaro'!$A$2:$A$1795,0)</f>
        <v>86</v>
      </c>
      <c r="O164" s="22" t="str">
        <f aca="false">INDEX('Tabela Passaro'!$C$2:$C$1795,$N164)</f>
        <v>PORTO CALVO</v>
      </c>
      <c r="P164" s="22" t="str">
        <f aca="false">INDEX('Tabela Passaro'!$B$2:$B$1795,$N164)</f>
        <v>AL</v>
      </c>
      <c r="Q164" s="22" t="n">
        <f aca="false">INDEX('Tabela Passaro'!$F$2:$F$1795,$N164)</f>
        <v>13</v>
      </c>
      <c r="R164" s="32" t="n">
        <f aca="false">IF(J164&lt;=10,INDEX('Tabela Passaro'!$G$2:$G$1795,$N164),IF(J164&lt;=30,INDEX('Tabela Passaro'!$H$2:$H$1795,$N164),IF(J164&lt;=50,INDEX('Tabela Passaro'!$I$2:$I$1795,$N164),IF(J164&lt;=70,INDEX('Tabela Passaro'!$J$2:$J$1795,$N164),IF(J164&lt;=100,INDEX('Tabela Passaro'!$K$2:$K$1795,$N164),INDEX('Tabela Passaro'!$K$2:$K$1795,$N164)+(J164-100)*INDEX('Tabela Passaro'!$L$2:$L$1795,$N164))))))</f>
        <v>162.25</v>
      </c>
      <c r="S164" s="32" t="n">
        <f aca="false">K164*INDEX('Tabela Passaro'!$M$2:$M$1795,$N164)</f>
        <v>4.8559</v>
      </c>
      <c r="T164" s="32" t="n">
        <f aca="false">K164*INDEX('Tabela Passaro'!$N$2:$N$1795,$N164)</f>
        <v>1.94236</v>
      </c>
      <c r="U164" s="32" t="n">
        <f aca="false">INDEX('Tabela Passaro'!$O$2:$O$1795,$N164)</f>
        <v>5</v>
      </c>
      <c r="V164" s="32" t="n">
        <f aca="false">ROUNDUP(J164/INDEX('Tabela Passaro'!$Q$2:$Q$1795,$N164),0)*INDEX('Tabela Passaro'!$P$2:$P$1795,$N164)</f>
        <v>5</v>
      </c>
      <c r="W164" s="32" t="n">
        <f aca="false">INDEX('Tabela Passaro'!$R$2:$R$1795,$N164)</f>
        <v>30</v>
      </c>
      <c r="X164" s="32" t="n">
        <f aca="false">ROUNDUP(J164/INDEX('Tabela Passaro'!$T$2:$T$1795,$N164),0)*INDEX('Tabela Passaro'!$S$2:$S$1795,$N164)</f>
        <v>0</v>
      </c>
      <c r="Y164" s="32" t="n">
        <f aca="false">INDEX('Tabela Passaro'!$U$2:$U$1795,$N164)</f>
        <v>0</v>
      </c>
      <c r="Z164" s="32" t="n">
        <f aca="false">INDEX('Tabela Passaro'!$V$2:$V$1795,$N164)</f>
        <v>0</v>
      </c>
      <c r="AA164" s="32" t="n">
        <f aca="false">SUM(R164:Z164)</f>
        <v>209.04826</v>
      </c>
      <c r="AB164" s="33" t="n">
        <f aca="false">INDEX(Premissas!$B$5:$B$13,MATCH(A164,Premissas!$A$5:$A$13,0))</f>
        <v>0.07</v>
      </c>
      <c r="AC164" s="32" t="n">
        <f aca="false">AA164/(1-AB164)-AA164</f>
        <v>15.7348152688172</v>
      </c>
      <c r="AD164" s="32" t="n">
        <f aca="false">ROUND(AA164+AC164,2)</f>
        <v>224.78</v>
      </c>
      <c r="AE164" s="32" t="n">
        <f aca="false">AD164-L164</f>
        <v>-35.72</v>
      </c>
      <c r="AF164" s="34" t="n">
        <f aca="false">IF(L164=0,0,AE164/L164)</f>
        <v>-0.137120921305182</v>
      </c>
      <c r="AG164" s="22" t="str">
        <f aca="false">IF(AD164&lt;L164,"PASSARO","ATUAL")</f>
        <v>PASSARO</v>
      </c>
      <c r="AH164" s="22" t="str">
        <f aca="false">IF(P164&lt;&gt;A164,"Faixa cadastrada como "&amp;P164&amp;" na tabela; preço aplicado pela UF do CEP","")</f>
        <v/>
      </c>
      <c r="AI164" s="26" t="n">
        <v>261.41</v>
      </c>
      <c r="AJ164" s="22" t="str">
        <f aca="false">INDEX('Tabela Passaro'!$X$2:$X$1795,$N164)</f>
        <v>INTERIOR 2</v>
      </c>
    </row>
    <row r="165" customFormat="false" ht="15" hidden="false" customHeight="false" outlineLevel="0" collapsed="false">
      <c r="A165" s="22" t="s">
        <v>15</v>
      </c>
      <c r="B165" s="22" t="n">
        <v>9</v>
      </c>
      <c r="C165" s="22" t="s">
        <v>73</v>
      </c>
      <c r="D165" s="22" t="s">
        <v>30</v>
      </c>
      <c r="E165" s="22" t="s">
        <v>7328</v>
      </c>
      <c r="F165" s="22" t="n">
        <v>2316514</v>
      </c>
      <c r="G165" s="30" t="n">
        <v>46260</v>
      </c>
      <c r="H165" s="22" t="n">
        <v>135858</v>
      </c>
      <c r="I165" s="22" t="s">
        <v>7467</v>
      </c>
      <c r="J165" s="31" t="n">
        <v>66.4</v>
      </c>
      <c r="K165" s="26" t="n">
        <v>1102.25</v>
      </c>
      <c r="L165" s="26" t="n">
        <v>235.55</v>
      </c>
      <c r="M165" s="22" t="s">
        <v>619</v>
      </c>
      <c r="N165" s="22" t="n">
        <f aca="false">MATCH(M165,'Tabela Passaro'!$A$2:$A$1795,0)</f>
        <v>86</v>
      </c>
      <c r="O165" s="22" t="str">
        <f aca="false">INDEX('Tabela Passaro'!$C$2:$C$1795,$N165)</f>
        <v>PORTO CALVO</v>
      </c>
      <c r="P165" s="22" t="str">
        <f aca="false">INDEX('Tabela Passaro'!$B$2:$B$1795,$N165)</f>
        <v>AL</v>
      </c>
      <c r="Q165" s="22" t="n">
        <f aca="false">INDEX('Tabela Passaro'!$F$2:$F$1795,$N165)</f>
        <v>13</v>
      </c>
      <c r="R165" s="32" t="n">
        <f aca="false">IF(J165&lt;=10,INDEX('Tabela Passaro'!$G$2:$G$1795,$N165),IF(J165&lt;=30,INDEX('Tabela Passaro'!$H$2:$H$1795,$N165),IF(J165&lt;=50,INDEX('Tabela Passaro'!$I$2:$I$1795,$N165),IF(J165&lt;=70,INDEX('Tabela Passaro'!$J$2:$J$1795,$N165),IF(J165&lt;=100,INDEX('Tabela Passaro'!$K$2:$K$1795,$N165),INDEX('Tabela Passaro'!$K$2:$K$1795,$N165)+(J165-100)*INDEX('Tabela Passaro'!$L$2:$L$1795,$N165))))))</f>
        <v>145.73</v>
      </c>
      <c r="S165" s="32" t="n">
        <f aca="false">K165*INDEX('Tabela Passaro'!$M$2:$M$1795,$N165)</f>
        <v>5.51125</v>
      </c>
      <c r="T165" s="32" t="n">
        <f aca="false">K165*INDEX('Tabela Passaro'!$N$2:$N$1795,$N165)</f>
        <v>2.2045</v>
      </c>
      <c r="U165" s="32" t="n">
        <f aca="false">INDEX('Tabela Passaro'!$O$2:$O$1795,$N165)</f>
        <v>5</v>
      </c>
      <c r="V165" s="32" t="n">
        <f aca="false">ROUNDUP(J165/INDEX('Tabela Passaro'!$Q$2:$Q$1795,$N165),0)*INDEX('Tabela Passaro'!$P$2:$P$1795,$N165)</f>
        <v>5</v>
      </c>
      <c r="W165" s="32" t="n">
        <f aca="false">INDEX('Tabela Passaro'!$R$2:$R$1795,$N165)</f>
        <v>30</v>
      </c>
      <c r="X165" s="32" t="n">
        <f aca="false">ROUNDUP(J165/INDEX('Tabela Passaro'!$T$2:$T$1795,$N165),0)*INDEX('Tabela Passaro'!$S$2:$S$1795,$N165)</f>
        <v>0</v>
      </c>
      <c r="Y165" s="32" t="n">
        <f aca="false">INDEX('Tabela Passaro'!$U$2:$U$1795,$N165)</f>
        <v>0</v>
      </c>
      <c r="Z165" s="32" t="n">
        <f aca="false">INDEX('Tabela Passaro'!$V$2:$V$1795,$N165)</f>
        <v>0</v>
      </c>
      <c r="AA165" s="32" t="n">
        <f aca="false">SUM(R165:Z165)</f>
        <v>193.44575</v>
      </c>
      <c r="AB165" s="33" t="n">
        <f aca="false">INDEX(Premissas!$B$5:$B$13,MATCH(A165,Premissas!$A$5:$A$13,0))</f>
        <v>0.07</v>
      </c>
      <c r="AC165" s="32" t="n">
        <f aca="false">AA165/(1-AB165)-AA165</f>
        <v>14.5604327956989</v>
      </c>
      <c r="AD165" s="32" t="n">
        <f aca="false">ROUND(AA165+AC165,2)</f>
        <v>208.01</v>
      </c>
      <c r="AE165" s="32" t="n">
        <f aca="false">AD165-L165</f>
        <v>-27.54</v>
      </c>
      <c r="AF165" s="34" t="n">
        <f aca="false">IF(L165=0,0,AE165/L165)</f>
        <v>-0.116917851836128</v>
      </c>
      <c r="AG165" s="22" t="str">
        <f aca="false">IF(AD165&lt;L165,"PASSARO","ATUAL")</f>
        <v>PASSARO</v>
      </c>
      <c r="AH165" s="22" t="str">
        <f aca="false">IF(P165&lt;&gt;A165,"Faixa cadastrada como "&amp;P165&amp;" na tabela; preço aplicado pela UF do CEP","")</f>
        <v/>
      </c>
      <c r="AI165" s="26" t="n">
        <v>240.98</v>
      </c>
      <c r="AJ165" s="22" t="str">
        <f aca="false">INDEX('Tabela Passaro'!$X$2:$X$1795,$N165)</f>
        <v>INTERIOR 2</v>
      </c>
    </row>
    <row r="166" customFormat="false" ht="15" hidden="false" customHeight="false" outlineLevel="0" collapsed="false">
      <c r="A166" s="22" t="s">
        <v>15</v>
      </c>
      <c r="B166" s="22" t="n">
        <v>10</v>
      </c>
      <c r="C166" s="22" t="s">
        <v>74</v>
      </c>
      <c r="D166" s="22" t="s">
        <v>30</v>
      </c>
      <c r="E166" s="22" t="s">
        <v>7328</v>
      </c>
      <c r="F166" s="22" t="n">
        <v>2312269</v>
      </c>
      <c r="G166" s="30" t="n">
        <v>46248</v>
      </c>
      <c r="H166" s="22" t="n">
        <v>133173</v>
      </c>
      <c r="I166" s="22" t="s">
        <v>7468</v>
      </c>
      <c r="J166" s="31" t="n">
        <v>19.4</v>
      </c>
      <c r="K166" s="26" t="n">
        <v>493.1</v>
      </c>
      <c r="L166" s="26" t="n">
        <v>134.72</v>
      </c>
      <c r="M166" s="22" t="s">
        <v>654</v>
      </c>
      <c r="N166" s="22" t="n">
        <f aca="false">MATCH(M166,'Tabela Passaro'!$A$2:$A$1795,0)</f>
        <v>95</v>
      </c>
      <c r="O166" s="22" t="str">
        <f aca="false">INDEX('Tabela Passaro'!$C$2:$C$1795,$N166)</f>
        <v>SAO LUIS DO QUITUNDE</v>
      </c>
      <c r="P166" s="22" t="str">
        <f aca="false">INDEX('Tabela Passaro'!$B$2:$B$1795,$N166)</f>
        <v>AL</v>
      </c>
      <c r="Q166" s="22" t="n">
        <f aca="false">INDEX('Tabela Passaro'!$F$2:$F$1795,$N166)</f>
        <v>13</v>
      </c>
      <c r="R166" s="32" t="n">
        <f aca="false">IF(J166&lt;=10,INDEX('Tabela Passaro'!$G$2:$G$1795,$N166),IF(J166&lt;=30,INDEX('Tabela Passaro'!$H$2:$H$1795,$N166),IF(J166&lt;=50,INDEX('Tabela Passaro'!$I$2:$I$1795,$N166),IF(J166&lt;=70,INDEX('Tabela Passaro'!$J$2:$J$1795,$N166),IF(J166&lt;=100,INDEX('Tabela Passaro'!$K$2:$K$1795,$N166),INDEX('Tabela Passaro'!$K$2:$K$1795,$N166)+(J166-100)*INDEX('Tabela Passaro'!$L$2:$L$1795,$N166))))))</f>
        <v>112.67</v>
      </c>
      <c r="S166" s="32" t="n">
        <f aca="false">K166*INDEX('Tabela Passaro'!$M$2:$M$1795,$N166)</f>
        <v>2.4655</v>
      </c>
      <c r="T166" s="32" t="n">
        <f aca="false">K166*INDEX('Tabela Passaro'!$N$2:$N$1795,$N166)</f>
        <v>0.9862</v>
      </c>
      <c r="U166" s="32" t="n">
        <f aca="false">INDEX('Tabela Passaro'!$O$2:$O$1795,$N166)</f>
        <v>5</v>
      </c>
      <c r="V166" s="32" t="n">
        <f aca="false">ROUNDUP(J166/INDEX('Tabela Passaro'!$Q$2:$Q$1795,$N166),0)*INDEX('Tabela Passaro'!$P$2:$P$1795,$N166)</f>
        <v>5</v>
      </c>
      <c r="W166" s="32" t="n">
        <f aca="false">INDEX('Tabela Passaro'!$R$2:$R$1795,$N166)</f>
        <v>30</v>
      </c>
      <c r="X166" s="32" t="n">
        <f aca="false">ROUNDUP(J166/INDEX('Tabela Passaro'!$T$2:$T$1795,$N166),0)*INDEX('Tabela Passaro'!$S$2:$S$1795,$N166)</f>
        <v>0</v>
      </c>
      <c r="Y166" s="32" t="n">
        <f aca="false">INDEX('Tabela Passaro'!$U$2:$U$1795,$N166)</f>
        <v>0</v>
      </c>
      <c r="Z166" s="32" t="n">
        <f aca="false">INDEX('Tabela Passaro'!$V$2:$V$1795,$N166)</f>
        <v>0</v>
      </c>
      <c r="AA166" s="32" t="n">
        <f aca="false">SUM(R166:Z166)</f>
        <v>156.1217</v>
      </c>
      <c r="AB166" s="33" t="n">
        <f aca="false">INDEX(Premissas!$B$5:$B$13,MATCH(A166,Premissas!$A$5:$A$13,0))</f>
        <v>0.07</v>
      </c>
      <c r="AC166" s="32" t="n">
        <f aca="false">AA166/(1-AB166)-AA166</f>
        <v>11.7510956989247</v>
      </c>
      <c r="AD166" s="32" t="n">
        <f aca="false">ROUND(AA166+AC166,2)</f>
        <v>167.87</v>
      </c>
      <c r="AE166" s="32" t="n">
        <f aca="false">AD166-L166</f>
        <v>33.15</v>
      </c>
      <c r="AF166" s="34" t="n">
        <f aca="false">IF(L166=0,0,AE166/L166)</f>
        <v>0.246065914489311</v>
      </c>
      <c r="AG166" s="22" t="str">
        <f aca="false">IF(AD166&lt;L166,"PASSARO","ATUAL")</f>
        <v>ATUAL</v>
      </c>
      <c r="AH166" s="22" t="str">
        <f aca="false">IF(P166&lt;&gt;A166,"Faixa cadastrada como "&amp;P166&amp;" na tabela; preço aplicado pela UF do CEP","")</f>
        <v/>
      </c>
      <c r="AI166" s="26" t="n">
        <v>174.77</v>
      </c>
      <c r="AJ166" s="22" t="str">
        <f aca="false">INDEX('Tabela Passaro'!$X$2:$X$1795,$N166)</f>
        <v>INTERIOR 2</v>
      </c>
    </row>
    <row r="167" customFormat="false" ht="15" hidden="false" customHeight="false" outlineLevel="0" collapsed="false">
      <c r="A167" s="22" t="s">
        <v>15</v>
      </c>
      <c r="B167" s="22" t="n">
        <v>10</v>
      </c>
      <c r="C167" s="22" t="s">
        <v>74</v>
      </c>
      <c r="D167" s="22" t="s">
        <v>30</v>
      </c>
      <c r="E167" s="22" t="s">
        <v>7328</v>
      </c>
      <c r="F167" s="22" t="n">
        <v>2315617</v>
      </c>
      <c r="G167" s="30" t="n">
        <v>46258</v>
      </c>
      <c r="H167" s="22" t="n">
        <v>134432</v>
      </c>
      <c r="I167" s="22" t="s">
        <v>7468</v>
      </c>
      <c r="J167" s="31" t="n">
        <v>32.9</v>
      </c>
      <c r="K167" s="26" t="n">
        <v>633.94</v>
      </c>
      <c r="L167" s="26" t="n">
        <v>182.25</v>
      </c>
      <c r="M167" s="22" t="s">
        <v>654</v>
      </c>
      <c r="N167" s="22" t="n">
        <f aca="false">MATCH(M167,'Tabela Passaro'!$A$2:$A$1795,0)</f>
        <v>95</v>
      </c>
      <c r="O167" s="22" t="str">
        <f aca="false">INDEX('Tabela Passaro'!$C$2:$C$1795,$N167)</f>
        <v>SAO LUIS DO QUITUNDE</v>
      </c>
      <c r="P167" s="22" t="str">
        <f aca="false">INDEX('Tabela Passaro'!$B$2:$B$1795,$N167)</f>
        <v>AL</v>
      </c>
      <c r="Q167" s="22" t="n">
        <f aca="false">INDEX('Tabela Passaro'!$F$2:$F$1795,$N167)</f>
        <v>13</v>
      </c>
      <c r="R167" s="32" t="n">
        <f aca="false">IF(J167&lt;=10,INDEX('Tabela Passaro'!$G$2:$G$1795,$N167),IF(J167&lt;=30,INDEX('Tabela Passaro'!$H$2:$H$1795,$N167),IF(J167&lt;=50,INDEX('Tabela Passaro'!$I$2:$I$1795,$N167),IF(J167&lt;=70,INDEX('Tabela Passaro'!$J$2:$J$1795,$N167),IF(J167&lt;=100,INDEX('Tabela Passaro'!$K$2:$K$1795,$N167),INDEX('Tabela Passaro'!$K$2:$K$1795,$N167)+(J167-100)*INDEX('Tabela Passaro'!$L$2:$L$1795,$N167))))))</f>
        <v>134.71</v>
      </c>
      <c r="S167" s="32" t="n">
        <f aca="false">K167*INDEX('Tabela Passaro'!$M$2:$M$1795,$N167)</f>
        <v>3.1697</v>
      </c>
      <c r="T167" s="32" t="n">
        <f aca="false">K167*INDEX('Tabela Passaro'!$N$2:$N$1795,$N167)</f>
        <v>1.26788</v>
      </c>
      <c r="U167" s="32" t="n">
        <f aca="false">INDEX('Tabela Passaro'!$O$2:$O$1795,$N167)</f>
        <v>5</v>
      </c>
      <c r="V167" s="32" t="n">
        <f aca="false">ROUNDUP(J167/INDEX('Tabela Passaro'!$Q$2:$Q$1795,$N167),0)*INDEX('Tabela Passaro'!$P$2:$P$1795,$N167)</f>
        <v>5</v>
      </c>
      <c r="W167" s="32" t="n">
        <f aca="false">INDEX('Tabela Passaro'!$R$2:$R$1795,$N167)</f>
        <v>30</v>
      </c>
      <c r="X167" s="32" t="n">
        <f aca="false">ROUNDUP(J167/INDEX('Tabela Passaro'!$T$2:$T$1795,$N167),0)*INDEX('Tabela Passaro'!$S$2:$S$1795,$N167)</f>
        <v>0</v>
      </c>
      <c r="Y167" s="32" t="n">
        <f aca="false">INDEX('Tabela Passaro'!$U$2:$U$1795,$N167)</f>
        <v>0</v>
      </c>
      <c r="Z167" s="32" t="n">
        <f aca="false">INDEX('Tabela Passaro'!$V$2:$V$1795,$N167)</f>
        <v>0</v>
      </c>
      <c r="AA167" s="32" t="n">
        <f aca="false">SUM(R167:Z167)</f>
        <v>179.14758</v>
      </c>
      <c r="AB167" s="33" t="n">
        <f aca="false">INDEX(Premissas!$B$5:$B$13,MATCH(A167,Premissas!$A$5:$A$13,0))</f>
        <v>0.07</v>
      </c>
      <c r="AC167" s="32" t="n">
        <f aca="false">AA167/(1-AB167)-AA167</f>
        <v>13.4842264516129</v>
      </c>
      <c r="AD167" s="32" t="n">
        <f aca="false">ROUND(AA167+AC167,2)</f>
        <v>192.63</v>
      </c>
      <c r="AE167" s="32" t="n">
        <f aca="false">AD167-L167</f>
        <v>10.38</v>
      </c>
      <c r="AF167" s="34" t="n">
        <f aca="false">IF(L167=0,0,AE167/L167)</f>
        <v>0.056954732510288</v>
      </c>
      <c r="AG167" s="22" t="str">
        <f aca="false">IF(AD167&lt;L167,"PASSARO","ATUAL")</f>
        <v>ATUAL</v>
      </c>
      <c r="AH167" s="22" t="str">
        <f aca="false">IF(P167&lt;&gt;A167,"Faixa cadastrada como "&amp;P167&amp;" na tabela; preço aplicado pela UF do CEP","")</f>
        <v/>
      </c>
      <c r="AI167" s="26" t="n">
        <v>207.48</v>
      </c>
      <c r="AJ167" s="22" t="str">
        <f aca="false">INDEX('Tabela Passaro'!$X$2:$X$1795,$N167)</f>
        <v>INTERIOR 2</v>
      </c>
    </row>
    <row r="168" customFormat="false" ht="15" hidden="false" customHeight="false" outlineLevel="0" collapsed="false">
      <c r="A168" s="22" t="s">
        <v>15</v>
      </c>
      <c r="B168" s="22" t="n">
        <v>10</v>
      </c>
      <c r="C168" s="22" t="s">
        <v>74</v>
      </c>
      <c r="D168" s="22" t="s">
        <v>30</v>
      </c>
      <c r="E168" s="22" t="s">
        <v>7328</v>
      </c>
      <c r="F168" s="22" t="n">
        <v>2316582</v>
      </c>
      <c r="G168" s="30" t="n">
        <v>46260</v>
      </c>
      <c r="H168" s="22" t="n">
        <v>135896</v>
      </c>
      <c r="I168" s="22" t="s">
        <v>7468</v>
      </c>
      <c r="J168" s="31" t="n">
        <v>66.4</v>
      </c>
      <c r="K168" s="26" t="n">
        <v>1088.24</v>
      </c>
      <c r="L168" s="26" t="n">
        <v>235.43</v>
      </c>
      <c r="M168" s="22" t="s">
        <v>654</v>
      </c>
      <c r="N168" s="22" t="n">
        <f aca="false">MATCH(M168,'Tabela Passaro'!$A$2:$A$1795,0)</f>
        <v>95</v>
      </c>
      <c r="O168" s="22" t="str">
        <f aca="false">INDEX('Tabela Passaro'!$C$2:$C$1795,$N168)</f>
        <v>SAO LUIS DO QUITUNDE</v>
      </c>
      <c r="P168" s="22" t="str">
        <f aca="false">INDEX('Tabela Passaro'!$B$2:$B$1795,$N168)</f>
        <v>AL</v>
      </c>
      <c r="Q168" s="22" t="n">
        <f aca="false">INDEX('Tabela Passaro'!$F$2:$F$1795,$N168)</f>
        <v>13</v>
      </c>
      <c r="R168" s="32" t="n">
        <f aca="false">IF(J168&lt;=10,INDEX('Tabela Passaro'!$G$2:$G$1795,$N168),IF(J168&lt;=30,INDEX('Tabela Passaro'!$H$2:$H$1795,$N168),IF(J168&lt;=50,INDEX('Tabela Passaro'!$I$2:$I$1795,$N168),IF(J168&lt;=70,INDEX('Tabela Passaro'!$J$2:$J$1795,$N168),IF(J168&lt;=100,INDEX('Tabela Passaro'!$K$2:$K$1795,$N168),INDEX('Tabela Passaro'!$K$2:$K$1795,$N168)+(J168-100)*INDEX('Tabela Passaro'!$L$2:$L$1795,$N168))))))</f>
        <v>145.73</v>
      </c>
      <c r="S168" s="32" t="n">
        <f aca="false">K168*INDEX('Tabela Passaro'!$M$2:$M$1795,$N168)</f>
        <v>5.4412</v>
      </c>
      <c r="T168" s="32" t="n">
        <f aca="false">K168*INDEX('Tabela Passaro'!$N$2:$N$1795,$N168)</f>
        <v>2.17648</v>
      </c>
      <c r="U168" s="32" t="n">
        <f aca="false">INDEX('Tabela Passaro'!$O$2:$O$1795,$N168)</f>
        <v>5</v>
      </c>
      <c r="V168" s="32" t="n">
        <f aca="false">ROUNDUP(J168/INDEX('Tabela Passaro'!$Q$2:$Q$1795,$N168),0)*INDEX('Tabela Passaro'!$P$2:$P$1795,$N168)</f>
        <v>5</v>
      </c>
      <c r="W168" s="32" t="n">
        <f aca="false">INDEX('Tabela Passaro'!$R$2:$R$1795,$N168)</f>
        <v>30</v>
      </c>
      <c r="X168" s="32" t="n">
        <f aca="false">ROUNDUP(J168/INDEX('Tabela Passaro'!$T$2:$T$1795,$N168),0)*INDEX('Tabela Passaro'!$S$2:$S$1795,$N168)</f>
        <v>0</v>
      </c>
      <c r="Y168" s="32" t="n">
        <f aca="false">INDEX('Tabela Passaro'!$U$2:$U$1795,$N168)</f>
        <v>0</v>
      </c>
      <c r="Z168" s="32" t="n">
        <f aca="false">INDEX('Tabela Passaro'!$V$2:$V$1795,$N168)</f>
        <v>0</v>
      </c>
      <c r="AA168" s="32" t="n">
        <f aca="false">SUM(R168:Z168)</f>
        <v>193.34768</v>
      </c>
      <c r="AB168" s="33" t="n">
        <f aca="false">INDEX(Premissas!$B$5:$B$13,MATCH(A168,Premissas!$A$5:$A$13,0))</f>
        <v>0.07</v>
      </c>
      <c r="AC168" s="32" t="n">
        <f aca="false">AA168/(1-AB168)-AA168</f>
        <v>14.5530511827957</v>
      </c>
      <c r="AD168" s="32" t="n">
        <f aca="false">ROUND(AA168+AC168,2)</f>
        <v>207.9</v>
      </c>
      <c r="AE168" s="32" t="n">
        <f aca="false">AD168-L168</f>
        <v>-27.53</v>
      </c>
      <c r="AF168" s="34" t="n">
        <f aca="false">IF(L168=0,0,AE168/L168)</f>
        <v>-0.116934970054793</v>
      </c>
      <c r="AG168" s="22" t="str">
        <f aca="false">IF(AD168&lt;L168,"PASSARO","ATUAL")</f>
        <v>PASSARO</v>
      </c>
      <c r="AH168" s="22" t="str">
        <f aca="false">IF(P168&lt;&gt;A168,"Faixa cadastrada como "&amp;P168&amp;" na tabela; preço aplicado pela UF do CEP","")</f>
        <v/>
      </c>
      <c r="AI168" s="26" t="n">
        <v>240.84</v>
      </c>
      <c r="AJ168" s="22" t="str">
        <f aca="false">INDEX('Tabela Passaro'!$X$2:$X$1795,$N168)</f>
        <v>INTERIOR 2</v>
      </c>
    </row>
    <row r="169" customFormat="false" ht="15" hidden="false" customHeight="false" outlineLevel="0" collapsed="false">
      <c r="A169" s="22" t="s">
        <v>16</v>
      </c>
      <c r="B169" s="22" t="n">
        <v>1</v>
      </c>
      <c r="C169" s="22" t="s">
        <v>75</v>
      </c>
      <c r="D169" s="22" t="s">
        <v>33</v>
      </c>
      <c r="E169" s="22" t="s">
        <v>7326</v>
      </c>
      <c r="F169" s="22" t="n">
        <v>349196</v>
      </c>
      <c r="G169" s="30" t="n">
        <v>46248</v>
      </c>
      <c r="H169" s="22" t="n">
        <v>623641</v>
      </c>
      <c r="I169" s="22" t="s">
        <v>7469</v>
      </c>
      <c r="J169" s="31" t="n">
        <v>17.3</v>
      </c>
      <c r="K169" s="26" t="n">
        <v>1313.64</v>
      </c>
      <c r="L169" s="26" t="n">
        <v>132.81</v>
      </c>
      <c r="M169" s="22" t="s">
        <v>694</v>
      </c>
      <c r="N169" s="22" t="n">
        <f aca="false">MATCH(M169,'Tabela Passaro'!$A$2:$A$1795,0)</f>
        <v>106</v>
      </c>
      <c r="O169" s="22" t="str">
        <f aca="false">INDEX('Tabela Passaro'!$C$2:$C$1795,$N169)</f>
        <v>SALVADOR</v>
      </c>
      <c r="P169" s="22" t="str">
        <f aca="false">INDEX('Tabela Passaro'!$B$2:$B$1795,$N169)</f>
        <v>BA</v>
      </c>
      <c r="Q169" s="22" t="n">
        <f aca="false">INDEX('Tabela Passaro'!$F$2:$F$1795,$N169)</f>
        <v>6</v>
      </c>
      <c r="R169" s="32" t="n">
        <f aca="false">IF(J169&lt;=10,INDEX('Tabela Passaro'!$G$2:$G$1795,$N169),IF(J169&lt;=30,INDEX('Tabela Passaro'!$H$2:$H$1795,$N169),IF(J169&lt;=50,INDEX('Tabela Passaro'!$I$2:$I$1795,$N169),IF(J169&lt;=70,INDEX('Tabela Passaro'!$J$2:$J$1795,$N169),IF(J169&lt;=100,INDEX('Tabela Passaro'!$K$2:$K$1795,$N169),INDEX('Tabela Passaro'!$K$2:$K$1795,$N169)+(J169-100)*INDEX('Tabela Passaro'!$L$2:$L$1795,$N169))))))</f>
        <v>50.4</v>
      </c>
      <c r="S169" s="32" t="n">
        <f aca="false">K169*INDEX('Tabela Passaro'!$M$2:$M$1795,$N169)</f>
        <v>6.5682</v>
      </c>
      <c r="T169" s="32" t="n">
        <f aca="false">K169*INDEX('Tabela Passaro'!$N$2:$N$1795,$N169)</f>
        <v>2.62728</v>
      </c>
      <c r="U169" s="32" t="n">
        <f aca="false">INDEX('Tabela Passaro'!$O$2:$O$1795,$N169)</f>
        <v>5</v>
      </c>
      <c r="V169" s="32" t="n">
        <f aca="false">ROUNDUP(J169/INDEX('Tabela Passaro'!$Q$2:$Q$1795,$N169),0)*INDEX('Tabela Passaro'!$P$2:$P$1795,$N169)</f>
        <v>5</v>
      </c>
      <c r="W169" s="32" t="n">
        <f aca="false">INDEX('Tabela Passaro'!$R$2:$R$1795,$N169)</f>
        <v>30</v>
      </c>
      <c r="X169" s="32" t="n">
        <f aca="false">ROUNDUP(J169/INDEX('Tabela Passaro'!$T$2:$T$1795,$N169),0)*INDEX('Tabela Passaro'!$S$2:$S$1795,$N169)</f>
        <v>0</v>
      </c>
      <c r="Y169" s="32" t="n">
        <f aca="false">INDEX('Tabela Passaro'!$U$2:$U$1795,$N169)</f>
        <v>0</v>
      </c>
      <c r="Z169" s="32" t="n">
        <f aca="false">INDEX('Tabela Passaro'!$V$2:$V$1795,$N169)</f>
        <v>0</v>
      </c>
      <c r="AA169" s="32" t="n">
        <f aca="false">SUM(R169:Z169)</f>
        <v>99.59548</v>
      </c>
      <c r="AB169" s="33" t="n">
        <f aca="false">INDEX(Premissas!$B$5:$B$13,MATCH(A169,Premissas!$A$5:$A$13,0))</f>
        <v>0.07</v>
      </c>
      <c r="AC169" s="32" t="n">
        <f aca="false">AA169/(1-AB169)-AA169</f>
        <v>7.49643397849464</v>
      </c>
      <c r="AD169" s="32" t="n">
        <f aca="false">ROUND(AA169+AC169,2)</f>
        <v>107.09</v>
      </c>
      <c r="AE169" s="32" t="n">
        <f aca="false">AD169-L169</f>
        <v>-25.72</v>
      </c>
      <c r="AF169" s="34" t="n">
        <f aca="false">IF(L169=0,0,AE169/L169)</f>
        <v>-0.193660115955124</v>
      </c>
      <c r="AG169" s="22" t="str">
        <f aca="false">IF(AD169&lt;L169,"PASSARO","ATUAL")</f>
        <v>PASSARO</v>
      </c>
      <c r="AH169" s="22" t="str">
        <f aca="false">IF(P169&lt;&gt;A169,"Faixa cadastrada como "&amp;P169&amp;" na tabela; preço aplicado pela UF do CEP","")</f>
        <v/>
      </c>
      <c r="AI169" s="26" t="n">
        <v>124.61</v>
      </c>
      <c r="AJ169" s="22" t="str">
        <f aca="false">INDEX('Tabela Passaro'!$X$2:$X$1795,$N169)</f>
        <v>CAPITAL</v>
      </c>
    </row>
    <row r="170" customFormat="false" ht="15" hidden="false" customHeight="false" outlineLevel="0" collapsed="false">
      <c r="A170" s="22" t="s">
        <v>16</v>
      </c>
      <c r="B170" s="22" t="n">
        <v>1</v>
      </c>
      <c r="C170" s="22" t="s">
        <v>75</v>
      </c>
      <c r="D170" s="22" t="s">
        <v>33</v>
      </c>
      <c r="E170" s="22" t="s">
        <v>7326</v>
      </c>
      <c r="F170" s="22" t="n">
        <v>349637</v>
      </c>
      <c r="G170" s="30" t="n">
        <v>46252</v>
      </c>
      <c r="H170" s="22" t="n">
        <v>626632</v>
      </c>
      <c r="I170" s="22" t="s">
        <v>7470</v>
      </c>
      <c r="J170" s="31" t="n">
        <v>17.3</v>
      </c>
      <c r="K170" s="26" t="n">
        <v>1482.56</v>
      </c>
      <c r="L170" s="26" t="n">
        <v>133.71</v>
      </c>
      <c r="M170" s="22" t="s">
        <v>694</v>
      </c>
      <c r="N170" s="22" t="n">
        <f aca="false">MATCH(M170,'Tabela Passaro'!$A$2:$A$1795,0)</f>
        <v>106</v>
      </c>
      <c r="O170" s="22" t="str">
        <f aca="false">INDEX('Tabela Passaro'!$C$2:$C$1795,$N170)</f>
        <v>SALVADOR</v>
      </c>
      <c r="P170" s="22" t="str">
        <f aca="false">INDEX('Tabela Passaro'!$B$2:$B$1795,$N170)</f>
        <v>BA</v>
      </c>
      <c r="Q170" s="22" t="n">
        <f aca="false">INDEX('Tabela Passaro'!$F$2:$F$1795,$N170)</f>
        <v>6</v>
      </c>
      <c r="R170" s="32" t="n">
        <f aca="false">IF(J170&lt;=10,INDEX('Tabela Passaro'!$G$2:$G$1795,$N170),IF(J170&lt;=30,INDEX('Tabela Passaro'!$H$2:$H$1795,$N170),IF(J170&lt;=50,INDEX('Tabela Passaro'!$I$2:$I$1795,$N170),IF(J170&lt;=70,INDEX('Tabela Passaro'!$J$2:$J$1795,$N170),IF(J170&lt;=100,INDEX('Tabela Passaro'!$K$2:$K$1795,$N170),INDEX('Tabela Passaro'!$K$2:$K$1795,$N170)+(J170-100)*INDEX('Tabela Passaro'!$L$2:$L$1795,$N170))))))</f>
        <v>50.4</v>
      </c>
      <c r="S170" s="32" t="n">
        <f aca="false">K170*INDEX('Tabela Passaro'!$M$2:$M$1795,$N170)</f>
        <v>7.4128</v>
      </c>
      <c r="T170" s="32" t="n">
        <f aca="false">K170*INDEX('Tabela Passaro'!$N$2:$N$1795,$N170)</f>
        <v>2.96512</v>
      </c>
      <c r="U170" s="32" t="n">
        <f aca="false">INDEX('Tabela Passaro'!$O$2:$O$1795,$N170)</f>
        <v>5</v>
      </c>
      <c r="V170" s="32" t="n">
        <f aca="false">ROUNDUP(J170/INDEX('Tabela Passaro'!$Q$2:$Q$1795,$N170),0)*INDEX('Tabela Passaro'!$P$2:$P$1795,$N170)</f>
        <v>5</v>
      </c>
      <c r="W170" s="32" t="n">
        <f aca="false">INDEX('Tabela Passaro'!$R$2:$R$1795,$N170)</f>
        <v>30</v>
      </c>
      <c r="X170" s="32" t="n">
        <f aca="false">ROUNDUP(J170/INDEX('Tabela Passaro'!$T$2:$T$1795,$N170),0)*INDEX('Tabela Passaro'!$S$2:$S$1795,$N170)</f>
        <v>0</v>
      </c>
      <c r="Y170" s="32" t="n">
        <f aca="false">INDEX('Tabela Passaro'!$U$2:$U$1795,$N170)</f>
        <v>0</v>
      </c>
      <c r="Z170" s="32" t="n">
        <f aca="false">INDEX('Tabela Passaro'!$V$2:$V$1795,$N170)</f>
        <v>0</v>
      </c>
      <c r="AA170" s="32" t="n">
        <f aca="false">SUM(R170:Z170)</f>
        <v>100.77792</v>
      </c>
      <c r="AB170" s="33" t="n">
        <f aca="false">INDEX(Premissas!$B$5:$B$13,MATCH(A170,Premissas!$A$5:$A$13,0))</f>
        <v>0.07</v>
      </c>
      <c r="AC170" s="32" t="n">
        <f aca="false">AA170/(1-AB170)-AA170</f>
        <v>7.58543483870969</v>
      </c>
      <c r="AD170" s="32" t="n">
        <f aca="false">ROUND(AA170+AC170,2)</f>
        <v>108.36</v>
      </c>
      <c r="AE170" s="32" t="n">
        <f aca="false">AD170-L170</f>
        <v>-25.35</v>
      </c>
      <c r="AF170" s="34" t="n">
        <f aca="false">IF(L170=0,0,AE170/L170)</f>
        <v>-0.189589409916985</v>
      </c>
      <c r="AG170" s="22" t="str">
        <f aca="false">IF(AD170&lt;L170,"PASSARO","ATUAL")</f>
        <v>PASSARO</v>
      </c>
      <c r="AH170" s="22" t="str">
        <f aca="false">IF(P170&lt;&gt;A170,"Faixa cadastrada como "&amp;P170&amp;" na tabela; preço aplicado pela UF do CEP","")</f>
        <v/>
      </c>
      <c r="AI170" s="26" t="n">
        <v>126.24</v>
      </c>
      <c r="AJ170" s="22" t="str">
        <f aca="false">INDEX('Tabela Passaro'!$X$2:$X$1795,$N170)</f>
        <v>CAPITAL</v>
      </c>
    </row>
    <row r="171" customFormat="false" ht="15" hidden="false" customHeight="false" outlineLevel="0" collapsed="false">
      <c r="A171" s="22" t="s">
        <v>16</v>
      </c>
      <c r="B171" s="22" t="n">
        <v>1</v>
      </c>
      <c r="C171" s="22" t="s">
        <v>75</v>
      </c>
      <c r="D171" s="22" t="s">
        <v>30</v>
      </c>
      <c r="E171" s="22" t="s">
        <v>20</v>
      </c>
      <c r="F171" s="22" t="n">
        <v>837668</v>
      </c>
      <c r="G171" s="30" t="n">
        <v>46237</v>
      </c>
      <c r="H171" s="22" t="n">
        <v>32345</v>
      </c>
      <c r="I171" s="22" t="s">
        <v>7471</v>
      </c>
      <c r="J171" s="31" t="n">
        <v>31.3</v>
      </c>
      <c r="K171" s="26" t="n">
        <v>529.98</v>
      </c>
      <c r="L171" s="26" t="n">
        <v>140.23</v>
      </c>
      <c r="M171" s="22" t="s">
        <v>694</v>
      </c>
      <c r="N171" s="22" t="n">
        <f aca="false">MATCH(M171,'Tabela Passaro'!$A$2:$A$1795,0)</f>
        <v>106</v>
      </c>
      <c r="O171" s="22" t="str">
        <f aca="false">INDEX('Tabela Passaro'!$C$2:$C$1795,$N171)</f>
        <v>SALVADOR</v>
      </c>
      <c r="P171" s="22" t="str">
        <f aca="false">INDEX('Tabela Passaro'!$B$2:$B$1795,$N171)</f>
        <v>BA</v>
      </c>
      <c r="Q171" s="22" t="n">
        <f aca="false">INDEX('Tabela Passaro'!$F$2:$F$1795,$N171)</f>
        <v>6</v>
      </c>
      <c r="R171" s="32" t="n">
        <f aca="false">IF(J171&lt;=10,INDEX('Tabela Passaro'!$G$2:$G$1795,$N171),IF(J171&lt;=30,INDEX('Tabela Passaro'!$H$2:$H$1795,$N171),IF(J171&lt;=50,INDEX('Tabela Passaro'!$I$2:$I$1795,$N171),IF(J171&lt;=70,INDEX('Tabela Passaro'!$J$2:$J$1795,$N171),IF(J171&lt;=100,INDEX('Tabela Passaro'!$K$2:$K$1795,$N171),INDEX('Tabela Passaro'!$K$2:$K$1795,$N171)+(J171-100)*INDEX('Tabela Passaro'!$L$2:$L$1795,$N171))))))</f>
        <v>61.92</v>
      </c>
      <c r="S171" s="32" t="n">
        <f aca="false">K171*INDEX('Tabela Passaro'!$M$2:$M$1795,$N171)</f>
        <v>2.6499</v>
      </c>
      <c r="T171" s="32" t="n">
        <f aca="false">K171*INDEX('Tabela Passaro'!$N$2:$N$1795,$N171)</f>
        <v>1.05996</v>
      </c>
      <c r="U171" s="32" t="n">
        <f aca="false">INDEX('Tabela Passaro'!$O$2:$O$1795,$N171)</f>
        <v>5</v>
      </c>
      <c r="V171" s="32" t="n">
        <f aca="false">ROUNDUP(J171/INDEX('Tabela Passaro'!$Q$2:$Q$1795,$N171),0)*INDEX('Tabela Passaro'!$P$2:$P$1795,$N171)</f>
        <v>5</v>
      </c>
      <c r="W171" s="32" t="n">
        <f aca="false">INDEX('Tabela Passaro'!$R$2:$R$1795,$N171)</f>
        <v>30</v>
      </c>
      <c r="X171" s="32" t="n">
        <f aca="false">ROUNDUP(J171/INDEX('Tabela Passaro'!$T$2:$T$1795,$N171),0)*INDEX('Tabela Passaro'!$S$2:$S$1795,$N171)</f>
        <v>0</v>
      </c>
      <c r="Y171" s="32" t="n">
        <f aca="false">INDEX('Tabela Passaro'!$U$2:$U$1795,$N171)</f>
        <v>0</v>
      </c>
      <c r="Z171" s="32" t="n">
        <f aca="false">INDEX('Tabela Passaro'!$V$2:$V$1795,$N171)</f>
        <v>0</v>
      </c>
      <c r="AA171" s="32" t="n">
        <f aca="false">SUM(R171:Z171)</f>
        <v>105.62986</v>
      </c>
      <c r="AB171" s="33" t="n">
        <f aca="false">INDEX(Premissas!$B$5:$B$13,MATCH(A171,Premissas!$A$5:$A$13,0))</f>
        <v>0.07</v>
      </c>
      <c r="AC171" s="32" t="n">
        <f aca="false">AA171/(1-AB171)-AA171</f>
        <v>7.95063462365592</v>
      </c>
      <c r="AD171" s="32" t="n">
        <f aca="false">ROUND(AA171+AC171,2)</f>
        <v>113.58</v>
      </c>
      <c r="AE171" s="32" t="n">
        <f aca="false">AD171-L171</f>
        <v>-26.65</v>
      </c>
      <c r="AF171" s="34" t="n">
        <f aca="false">IF(L171=0,0,AE171/L171)</f>
        <v>-0.190044926192683</v>
      </c>
      <c r="AG171" s="22" t="str">
        <f aca="false">IF(AD171&lt;L171,"PASSARO","ATUAL")</f>
        <v>PASSARO</v>
      </c>
      <c r="AH171" s="22" t="str">
        <f aca="false">IF(P171&lt;&gt;A171,"Faixa cadastrada como "&amp;P171&amp;" na tabela; preço aplicado pela UF do CEP","")</f>
        <v/>
      </c>
      <c r="AI171" s="26" t="n">
        <v>136.32</v>
      </c>
      <c r="AJ171" s="22" t="str">
        <f aca="false">INDEX('Tabela Passaro'!$X$2:$X$1795,$N171)</f>
        <v>CAPITAL</v>
      </c>
    </row>
    <row r="172" customFormat="false" ht="15" hidden="false" customHeight="false" outlineLevel="0" collapsed="false">
      <c r="A172" s="22" t="s">
        <v>16</v>
      </c>
      <c r="B172" s="22" t="n">
        <v>1</v>
      </c>
      <c r="C172" s="22" t="s">
        <v>75</v>
      </c>
      <c r="D172" s="22" t="s">
        <v>30</v>
      </c>
      <c r="E172" s="22" t="s">
        <v>20</v>
      </c>
      <c r="F172" s="22" t="n">
        <v>837673</v>
      </c>
      <c r="G172" s="30" t="n">
        <v>46237</v>
      </c>
      <c r="H172" s="22" t="n">
        <v>32350</v>
      </c>
      <c r="I172" s="22" t="s">
        <v>7472</v>
      </c>
      <c r="J172" s="31" t="n">
        <v>37.2</v>
      </c>
      <c r="K172" s="26" t="n">
        <v>548.95</v>
      </c>
      <c r="L172" s="26" t="n">
        <v>140.4</v>
      </c>
      <c r="M172" s="22" t="s">
        <v>694</v>
      </c>
      <c r="N172" s="22" t="n">
        <f aca="false">MATCH(M172,'Tabela Passaro'!$A$2:$A$1795,0)</f>
        <v>106</v>
      </c>
      <c r="O172" s="22" t="str">
        <f aca="false">INDEX('Tabela Passaro'!$C$2:$C$1795,$N172)</f>
        <v>SALVADOR</v>
      </c>
      <c r="P172" s="22" t="str">
        <f aca="false">INDEX('Tabela Passaro'!$B$2:$B$1795,$N172)</f>
        <v>BA</v>
      </c>
      <c r="Q172" s="22" t="n">
        <f aca="false">INDEX('Tabela Passaro'!$F$2:$F$1795,$N172)</f>
        <v>6</v>
      </c>
      <c r="R172" s="32" t="n">
        <f aca="false">IF(J172&lt;=10,INDEX('Tabela Passaro'!$G$2:$G$1795,$N172),IF(J172&lt;=30,INDEX('Tabela Passaro'!$H$2:$H$1795,$N172),IF(J172&lt;=50,INDEX('Tabela Passaro'!$I$2:$I$1795,$N172),IF(J172&lt;=70,INDEX('Tabela Passaro'!$J$2:$J$1795,$N172),IF(J172&lt;=100,INDEX('Tabela Passaro'!$K$2:$K$1795,$N172),INDEX('Tabela Passaro'!$K$2:$K$1795,$N172)+(J172-100)*INDEX('Tabela Passaro'!$L$2:$L$1795,$N172))))))</f>
        <v>61.92</v>
      </c>
      <c r="S172" s="32" t="n">
        <f aca="false">K172*INDEX('Tabela Passaro'!$M$2:$M$1795,$N172)</f>
        <v>2.74475</v>
      </c>
      <c r="T172" s="32" t="n">
        <f aca="false">K172*INDEX('Tabela Passaro'!$N$2:$N$1795,$N172)</f>
        <v>1.0979</v>
      </c>
      <c r="U172" s="32" t="n">
        <f aca="false">INDEX('Tabela Passaro'!$O$2:$O$1795,$N172)</f>
        <v>5</v>
      </c>
      <c r="V172" s="32" t="n">
        <f aca="false">ROUNDUP(J172/INDEX('Tabela Passaro'!$Q$2:$Q$1795,$N172),0)*INDEX('Tabela Passaro'!$P$2:$P$1795,$N172)</f>
        <v>5</v>
      </c>
      <c r="W172" s="32" t="n">
        <f aca="false">INDEX('Tabela Passaro'!$R$2:$R$1795,$N172)</f>
        <v>30</v>
      </c>
      <c r="X172" s="32" t="n">
        <f aca="false">ROUNDUP(J172/INDEX('Tabela Passaro'!$T$2:$T$1795,$N172),0)*INDEX('Tabela Passaro'!$S$2:$S$1795,$N172)</f>
        <v>0</v>
      </c>
      <c r="Y172" s="32" t="n">
        <f aca="false">INDEX('Tabela Passaro'!$U$2:$U$1795,$N172)</f>
        <v>0</v>
      </c>
      <c r="Z172" s="32" t="n">
        <f aca="false">INDEX('Tabela Passaro'!$V$2:$V$1795,$N172)</f>
        <v>0</v>
      </c>
      <c r="AA172" s="32" t="n">
        <f aca="false">SUM(R172:Z172)</f>
        <v>105.76265</v>
      </c>
      <c r="AB172" s="33" t="n">
        <f aca="false">INDEX(Premissas!$B$5:$B$13,MATCH(A172,Premissas!$A$5:$A$13,0))</f>
        <v>0.07</v>
      </c>
      <c r="AC172" s="32" t="n">
        <f aca="false">AA172/(1-AB172)-AA172</f>
        <v>7.96062956989248</v>
      </c>
      <c r="AD172" s="32" t="n">
        <f aca="false">ROUND(AA172+AC172,2)</f>
        <v>113.72</v>
      </c>
      <c r="AE172" s="32" t="n">
        <f aca="false">AD172-L172</f>
        <v>-26.68</v>
      </c>
      <c r="AF172" s="34" t="n">
        <f aca="false">IF(L172=0,0,AE172/L172)</f>
        <v>-0.19002849002849</v>
      </c>
      <c r="AG172" s="22" t="str">
        <f aca="false">IF(AD172&lt;L172,"PASSARO","ATUAL")</f>
        <v>PASSARO</v>
      </c>
      <c r="AH172" s="22" t="str">
        <f aca="false">IF(P172&lt;&gt;A172,"Faixa cadastrada como "&amp;P172&amp;" na tabela; preço aplicado pela UF do CEP","")</f>
        <v/>
      </c>
      <c r="AI172" s="26" t="n">
        <v>139.41</v>
      </c>
      <c r="AJ172" s="22" t="str">
        <f aca="false">INDEX('Tabela Passaro'!$X$2:$X$1795,$N172)</f>
        <v>CAPITAL</v>
      </c>
    </row>
    <row r="173" customFormat="false" ht="15" hidden="false" customHeight="false" outlineLevel="0" collapsed="false">
      <c r="A173" s="22" t="s">
        <v>16</v>
      </c>
      <c r="B173" s="22" t="n">
        <v>1</v>
      </c>
      <c r="C173" s="22" t="s">
        <v>75</v>
      </c>
      <c r="D173" s="22" t="s">
        <v>30</v>
      </c>
      <c r="E173" s="22" t="s">
        <v>20</v>
      </c>
      <c r="F173" s="22" t="n">
        <v>837676</v>
      </c>
      <c r="G173" s="30" t="n">
        <v>46237</v>
      </c>
      <c r="H173" s="22" t="n">
        <v>32353</v>
      </c>
      <c r="I173" s="22" t="s">
        <v>7473</v>
      </c>
      <c r="J173" s="31" t="n">
        <v>45.4</v>
      </c>
      <c r="K173" s="26" t="n">
        <v>603.88</v>
      </c>
      <c r="L173" s="26" t="n">
        <v>140.9</v>
      </c>
      <c r="M173" s="22" t="s">
        <v>694</v>
      </c>
      <c r="N173" s="22" t="n">
        <f aca="false">MATCH(M173,'Tabela Passaro'!$A$2:$A$1795,0)</f>
        <v>106</v>
      </c>
      <c r="O173" s="22" t="str">
        <f aca="false">INDEX('Tabela Passaro'!$C$2:$C$1795,$N173)</f>
        <v>SALVADOR</v>
      </c>
      <c r="P173" s="22" t="str">
        <f aca="false">INDEX('Tabela Passaro'!$B$2:$B$1795,$N173)</f>
        <v>BA</v>
      </c>
      <c r="Q173" s="22" t="n">
        <f aca="false">INDEX('Tabela Passaro'!$F$2:$F$1795,$N173)</f>
        <v>6</v>
      </c>
      <c r="R173" s="32" t="n">
        <f aca="false">IF(J173&lt;=10,INDEX('Tabela Passaro'!$G$2:$G$1795,$N173),IF(J173&lt;=30,INDEX('Tabela Passaro'!$H$2:$H$1795,$N173),IF(J173&lt;=50,INDEX('Tabela Passaro'!$I$2:$I$1795,$N173),IF(J173&lt;=70,INDEX('Tabela Passaro'!$J$2:$J$1795,$N173),IF(J173&lt;=100,INDEX('Tabela Passaro'!$K$2:$K$1795,$N173),INDEX('Tabela Passaro'!$K$2:$K$1795,$N173)+(J173-100)*INDEX('Tabela Passaro'!$L$2:$L$1795,$N173))))))</f>
        <v>61.92</v>
      </c>
      <c r="S173" s="32" t="n">
        <f aca="false">K173*INDEX('Tabela Passaro'!$M$2:$M$1795,$N173)</f>
        <v>3.0194</v>
      </c>
      <c r="T173" s="32" t="n">
        <f aca="false">K173*INDEX('Tabela Passaro'!$N$2:$N$1795,$N173)</f>
        <v>1.20776</v>
      </c>
      <c r="U173" s="32" t="n">
        <f aca="false">INDEX('Tabela Passaro'!$O$2:$O$1795,$N173)</f>
        <v>5</v>
      </c>
      <c r="V173" s="32" t="n">
        <f aca="false">ROUNDUP(J173/INDEX('Tabela Passaro'!$Q$2:$Q$1795,$N173),0)*INDEX('Tabela Passaro'!$P$2:$P$1795,$N173)</f>
        <v>5</v>
      </c>
      <c r="W173" s="32" t="n">
        <f aca="false">INDEX('Tabela Passaro'!$R$2:$R$1795,$N173)</f>
        <v>30</v>
      </c>
      <c r="X173" s="32" t="n">
        <f aca="false">ROUNDUP(J173/INDEX('Tabela Passaro'!$T$2:$T$1795,$N173),0)*INDEX('Tabela Passaro'!$S$2:$S$1795,$N173)</f>
        <v>0</v>
      </c>
      <c r="Y173" s="32" t="n">
        <f aca="false">INDEX('Tabela Passaro'!$U$2:$U$1795,$N173)</f>
        <v>0</v>
      </c>
      <c r="Z173" s="32" t="n">
        <f aca="false">INDEX('Tabela Passaro'!$V$2:$V$1795,$N173)</f>
        <v>0</v>
      </c>
      <c r="AA173" s="32" t="n">
        <f aca="false">SUM(R173:Z173)</f>
        <v>106.14716</v>
      </c>
      <c r="AB173" s="33" t="n">
        <f aca="false">INDEX(Premissas!$B$5:$B$13,MATCH(A173,Premissas!$A$5:$A$13,0))</f>
        <v>0.07</v>
      </c>
      <c r="AC173" s="32" t="n">
        <f aca="false">AA173/(1-AB173)-AA173</f>
        <v>7.9895711827957</v>
      </c>
      <c r="AD173" s="32" t="n">
        <f aca="false">ROUND(AA173+AC173,2)</f>
        <v>114.14</v>
      </c>
      <c r="AE173" s="32" t="n">
        <f aca="false">AD173-L173</f>
        <v>-26.76</v>
      </c>
      <c r="AF173" s="34" t="n">
        <f aca="false">IF(L173=0,0,AE173/L173)</f>
        <v>-0.189921930447126</v>
      </c>
      <c r="AG173" s="22" t="str">
        <f aca="false">IF(AD173&lt;L173,"PASSARO","ATUAL")</f>
        <v>PASSARO</v>
      </c>
      <c r="AH173" s="22" t="str">
        <f aca="false">IF(P173&lt;&gt;A173,"Faixa cadastrada como "&amp;P173&amp;" na tabela; preço aplicado pela UF do CEP","")</f>
        <v/>
      </c>
      <c r="AI173" s="26" t="n">
        <v>143.81</v>
      </c>
      <c r="AJ173" s="22" t="str">
        <f aca="false">INDEX('Tabela Passaro'!$X$2:$X$1795,$N173)</f>
        <v>CAPITAL</v>
      </c>
    </row>
    <row r="174" customFormat="false" ht="15" hidden="false" customHeight="false" outlineLevel="0" collapsed="false">
      <c r="A174" s="22" t="s">
        <v>16</v>
      </c>
      <c r="B174" s="22" t="n">
        <v>1</v>
      </c>
      <c r="C174" s="22" t="s">
        <v>75</v>
      </c>
      <c r="D174" s="22" t="s">
        <v>30</v>
      </c>
      <c r="E174" s="22" t="s">
        <v>7326</v>
      </c>
      <c r="F174" s="22" t="n">
        <v>521725</v>
      </c>
      <c r="G174" s="30" t="n">
        <v>46237</v>
      </c>
      <c r="H174" s="22" t="n">
        <v>619004</v>
      </c>
      <c r="I174" s="22" t="s">
        <v>7474</v>
      </c>
      <c r="J174" s="31" t="n">
        <v>42.4</v>
      </c>
      <c r="K174" s="26" t="n">
        <v>849.98</v>
      </c>
      <c r="L174" s="26" t="n">
        <v>164.91</v>
      </c>
      <c r="M174" s="22" t="s">
        <v>694</v>
      </c>
      <c r="N174" s="22" t="n">
        <f aca="false">MATCH(M174,'Tabela Passaro'!$A$2:$A$1795,0)</f>
        <v>106</v>
      </c>
      <c r="O174" s="22" t="str">
        <f aca="false">INDEX('Tabela Passaro'!$C$2:$C$1795,$N174)</f>
        <v>SALVADOR</v>
      </c>
      <c r="P174" s="22" t="str">
        <f aca="false">INDEX('Tabela Passaro'!$B$2:$B$1795,$N174)</f>
        <v>BA</v>
      </c>
      <c r="Q174" s="22" t="n">
        <f aca="false">INDEX('Tabela Passaro'!$F$2:$F$1795,$N174)</f>
        <v>6</v>
      </c>
      <c r="R174" s="32" t="n">
        <f aca="false">IF(J174&lt;=10,INDEX('Tabela Passaro'!$G$2:$G$1795,$N174),IF(J174&lt;=30,INDEX('Tabela Passaro'!$H$2:$H$1795,$N174),IF(J174&lt;=50,INDEX('Tabela Passaro'!$I$2:$I$1795,$N174),IF(J174&lt;=70,INDEX('Tabela Passaro'!$J$2:$J$1795,$N174),IF(J174&lt;=100,INDEX('Tabela Passaro'!$K$2:$K$1795,$N174),INDEX('Tabela Passaro'!$K$2:$K$1795,$N174)+(J174-100)*INDEX('Tabela Passaro'!$L$2:$L$1795,$N174))))))</f>
        <v>61.92</v>
      </c>
      <c r="S174" s="32" t="n">
        <f aca="false">K174*INDEX('Tabela Passaro'!$M$2:$M$1795,$N174)</f>
        <v>4.2499</v>
      </c>
      <c r="T174" s="32" t="n">
        <f aca="false">K174*INDEX('Tabela Passaro'!$N$2:$N$1795,$N174)</f>
        <v>1.69996</v>
      </c>
      <c r="U174" s="32" t="n">
        <f aca="false">INDEX('Tabela Passaro'!$O$2:$O$1795,$N174)</f>
        <v>5</v>
      </c>
      <c r="V174" s="32" t="n">
        <f aca="false">ROUNDUP(J174/INDEX('Tabela Passaro'!$Q$2:$Q$1795,$N174),0)*INDEX('Tabela Passaro'!$P$2:$P$1795,$N174)</f>
        <v>5</v>
      </c>
      <c r="W174" s="32" t="n">
        <f aca="false">INDEX('Tabela Passaro'!$R$2:$R$1795,$N174)</f>
        <v>30</v>
      </c>
      <c r="X174" s="32" t="n">
        <f aca="false">ROUNDUP(J174/INDEX('Tabela Passaro'!$T$2:$T$1795,$N174),0)*INDEX('Tabela Passaro'!$S$2:$S$1795,$N174)</f>
        <v>0</v>
      </c>
      <c r="Y174" s="32" t="n">
        <f aca="false">INDEX('Tabela Passaro'!$U$2:$U$1795,$N174)</f>
        <v>0</v>
      </c>
      <c r="Z174" s="32" t="n">
        <f aca="false">INDEX('Tabela Passaro'!$V$2:$V$1795,$N174)</f>
        <v>0</v>
      </c>
      <c r="AA174" s="32" t="n">
        <f aca="false">SUM(R174:Z174)</f>
        <v>107.86986</v>
      </c>
      <c r="AB174" s="33" t="n">
        <f aca="false">INDEX(Premissas!$B$5:$B$13,MATCH(A174,Premissas!$A$5:$A$13,0))</f>
        <v>0.07</v>
      </c>
      <c r="AC174" s="32" t="n">
        <f aca="false">AA174/(1-AB174)-AA174</f>
        <v>8.11923677419355</v>
      </c>
      <c r="AD174" s="32" t="n">
        <f aca="false">ROUND(AA174+AC174,2)</f>
        <v>115.99</v>
      </c>
      <c r="AE174" s="32" t="n">
        <f aca="false">AD174-L174</f>
        <v>-48.92</v>
      </c>
      <c r="AF174" s="34" t="n">
        <f aca="false">IF(L174=0,0,AE174/L174)</f>
        <v>-0.296646655751622</v>
      </c>
      <c r="AG174" s="22" t="str">
        <f aca="false">IF(AD174&lt;L174,"PASSARO","ATUAL")</f>
        <v>PASSARO</v>
      </c>
      <c r="AH174" s="22" t="str">
        <f aca="false">IF(P174&lt;&gt;A174,"Faixa cadastrada como "&amp;P174&amp;" na tabela; preço aplicado pela UF do CEP","")</f>
        <v/>
      </c>
      <c r="AI174" s="26" t="n">
        <v>144.74</v>
      </c>
      <c r="AJ174" s="22" t="str">
        <f aca="false">INDEX('Tabela Passaro'!$X$2:$X$1795,$N174)</f>
        <v>CAPITAL</v>
      </c>
    </row>
    <row r="175" customFormat="false" ht="15" hidden="false" customHeight="false" outlineLevel="0" collapsed="false">
      <c r="A175" s="22" t="s">
        <v>16</v>
      </c>
      <c r="B175" s="22" t="n">
        <v>1</v>
      </c>
      <c r="C175" s="22" t="s">
        <v>75</v>
      </c>
      <c r="D175" s="22" t="s">
        <v>30</v>
      </c>
      <c r="E175" s="22" t="s">
        <v>7326</v>
      </c>
      <c r="F175" s="22" t="n">
        <v>521931</v>
      </c>
      <c r="G175" s="30" t="n">
        <v>46237</v>
      </c>
      <c r="H175" s="22" t="n">
        <v>619448</v>
      </c>
      <c r="I175" s="22" t="s">
        <v>7475</v>
      </c>
      <c r="J175" s="31" t="n">
        <v>94.8</v>
      </c>
      <c r="K175" s="26" t="n">
        <v>1371.99</v>
      </c>
      <c r="L175" s="26" t="n">
        <v>255.57</v>
      </c>
      <c r="M175" s="22" t="s">
        <v>694</v>
      </c>
      <c r="N175" s="22" t="n">
        <f aca="false">MATCH(M175,'Tabela Passaro'!$A$2:$A$1795,0)</f>
        <v>106</v>
      </c>
      <c r="O175" s="22" t="str">
        <f aca="false">INDEX('Tabela Passaro'!$C$2:$C$1795,$N175)</f>
        <v>SALVADOR</v>
      </c>
      <c r="P175" s="22" t="str">
        <f aca="false">INDEX('Tabela Passaro'!$B$2:$B$1795,$N175)</f>
        <v>BA</v>
      </c>
      <c r="Q175" s="22" t="n">
        <f aca="false">INDEX('Tabela Passaro'!$F$2:$F$1795,$N175)</f>
        <v>6</v>
      </c>
      <c r="R175" s="32" t="n">
        <f aca="false">IF(J175&lt;=10,INDEX('Tabela Passaro'!$G$2:$G$1795,$N175),IF(J175&lt;=30,INDEX('Tabela Passaro'!$H$2:$H$1795,$N175),IF(J175&lt;=50,INDEX('Tabela Passaro'!$I$2:$I$1795,$N175),IF(J175&lt;=70,INDEX('Tabela Passaro'!$J$2:$J$1795,$N175),IF(J175&lt;=100,INDEX('Tabela Passaro'!$K$2:$K$1795,$N175),INDEX('Tabela Passaro'!$K$2:$K$1795,$N175)+(J175-100)*INDEX('Tabela Passaro'!$L$2:$L$1795,$N175))))))</f>
        <v>84.96</v>
      </c>
      <c r="S175" s="32" t="n">
        <f aca="false">K175*INDEX('Tabela Passaro'!$M$2:$M$1795,$N175)</f>
        <v>6.85995</v>
      </c>
      <c r="T175" s="32" t="n">
        <f aca="false">K175*INDEX('Tabela Passaro'!$N$2:$N$1795,$N175)</f>
        <v>2.74398</v>
      </c>
      <c r="U175" s="32" t="n">
        <f aca="false">INDEX('Tabela Passaro'!$O$2:$O$1795,$N175)</f>
        <v>5</v>
      </c>
      <c r="V175" s="32" t="n">
        <f aca="false">ROUNDUP(J175/INDEX('Tabela Passaro'!$Q$2:$Q$1795,$N175),0)*INDEX('Tabela Passaro'!$P$2:$P$1795,$N175)</f>
        <v>5</v>
      </c>
      <c r="W175" s="32" t="n">
        <f aca="false">INDEX('Tabela Passaro'!$R$2:$R$1795,$N175)</f>
        <v>30</v>
      </c>
      <c r="X175" s="32" t="n">
        <f aca="false">ROUNDUP(J175/INDEX('Tabela Passaro'!$T$2:$T$1795,$N175),0)*INDEX('Tabela Passaro'!$S$2:$S$1795,$N175)</f>
        <v>0</v>
      </c>
      <c r="Y175" s="32" t="n">
        <f aca="false">INDEX('Tabela Passaro'!$U$2:$U$1795,$N175)</f>
        <v>0</v>
      </c>
      <c r="Z175" s="32" t="n">
        <f aca="false">INDEX('Tabela Passaro'!$V$2:$V$1795,$N175)</f>
        <v>0</v>
      </c>
      <c r="AA175" s="32" t="n">
        <f aca="false">SUM(R175:Z175)</f>
        <v>134.56393</v>
      </c>
      <c r="AB175" s="33" t="n">
        <f aca="false">INDEX(Premissas!$B$5:$B$13,MATCH(A175,Premissas!$A$5:$A$13,0))</f>
        <v>0.07</v>
      </c>
      <c r="AC175" s="32" t="n">
        <f aca="false">AA175/(1-AB175)-AA175</f>
        <v>10.1284678494624</v>
      </c>
      <c r="AD175" s="32" t="n">
        <f aca="false">ROUND(AA175+AC175,2)</f>
        <v>144.69</v>
      </c>
      <c r="AE175" s="32" t="n">
        <f aca="false">AD175-L175</f>
        <v>-110.88</v>
      </c>
      <c r="AF175" s="34" t="n">
        <f aca="false">IF(L175=0,0,AE175/L175)</f>
        <v>-0.433853738701726</v>
      </c>
      <c r="AG175" s="22" t="str">
        <f aca="false">IF(AD175&lt;L175,"PASSARO","ATUAL")</f>
        <v>PASSARO</v>
      </c>
      <c r="AH175" s="22" t="str">
        <f aca="false">IF(P175&lt;&gt;A175,"Faixa cadastrada como "&amp;P175&amp;" na tabela; preço aplicado pela UF do CEP","")</f>
        <v/>
      </c>
      <c r="AI175" s="26" t="n">
        <v>200</v>
      </c>
      <c r="AJ175" s="22" t="str">
        <f aca="false">INDEX('Tabela Passaro'!$X$2:$X$1795,$N175)</f>
        <v>CAPITAL</v>
      </c>
    </row>
    <row r="176" customFormat="false" ht="15" hidden="false" customHeight="false" outlineLevel="0" collapsed="false">
      <c r="A176" s="22" t="s">
        <v>16</v>
      </c>
      <c r="B176" s="22" t="n">
        <v>1</v>
      </c>
      <c r="C176" s="22" t="s">
        <v>75</v>
      </c>
      <c r="D176" s="22" t="s">
        <v>30</v>
      </c>
      <c r="E176" s="22" t="s">
        <v>7326</v>
      </c>
      <c r="F176" s="22" t="n">
        <v>521935</v>
      </c>
      <c r="G176" s="30" t="n">
        <v>46237</v>
      </c>
      <c r="H176" s="22" t="n">
        <v>619519</v>
      </c>
      <c r="I176" s="22" t="s">
        <v>7476</v>
      </c>
      <c r="J176" s="31" t="n">
        <v>27</v>
      </c>
      <c r="K176" s="26" t="n">
        <v>1131.87</v>
      </c>
      <c r="L176" s="26" t="n">
        <v>126.47</v>
      </c>
      <c r="M176" s="22" t="s">
        <v>694</v>
      </c>
      <c r="N176" s="22" t="n">
        <f aca="false">MATCH(M176,'Tabela Passaro'!$A$2:$A$1795,0)</f>
        <v>106</v>
      </c>
      <c r="O176" s="22" t="str">
        <f aca="false">INDEX('Tabela Passaro'!$C$2:$C$1795,$N176)</f>
        <v>SALVADOR</v>
      </c>
      <c r="P176" s="22" t="str">
        <f aca="false">INDEX('Tabela Passaro'!$B$2:$B$1795,$N176)</f>
        <v>BA</v>
      </c>
      <c r="Q176" s="22" t="n">
        <f aca="false">INDEX('Tabela Passaro'!$F$2:$F$1795,$N176)</f>
        <v>6</v>
      </c>
      <c r="R176" s="32" t="n">
        <f aca="false">IF(J176&lt;=10,INDEX('Tabela Passaro'!$G$2:$G$1795,$N176),IF(J176&lt;=30,INDEX('Tabela Passaro'!$H$2:$H$1795,$N176),IF(J176&lt;=50,INDEX('Tabela Passaro'!$I$2:$I$1795,$N176),IF(J176&lt;=70,INDEX('Tabela Passaro'!$J$2:$J$1795,$N176),IF(J176&lt;=100,INDEX('Tabela Passaro'!$K$2:$K$1795,$N176),INDEX('Tabela Passaro'!$K$2:$K$1795,$N176)+(J176-100)*INDEX('Tabela Passaro'!$L$2:$L$1795,$N176))))))</f>
        <v>50.4</v>
      </c>
      <c r="S176" s="32" t="n">
        <f aca="false">K176*INDEX('Tabela Passaro'!$M$2:$M$1795,$N176)</f>
        <v>5.65935</v>
      </c>
      <c r="T176" s="32" t="n">
        <f aca="false">K176*INDEX('Tabela Passaro'!$N$2:$N$1795,$N176)</f>
        <v>2.26374</v>
      </c>
      <c r="U176" s="32" t="n">
        <f aca="false">INDEX('Tabela Passaro'!$O$2:$O$1795,$N176)</f>
        <v>5</v>
      </c>
      <c r="V176" s="32" t="n">
        <f aca="false">ROUNDUP(J176/INDEX('Tabela Passaro'!$Q$2:$Q$1795,$N176),0)*INDEX('Tabela Passaro'!$P$2:$P$1795,$N176)</f>
        <v>5</v>
      </c>
      <c r="W176" s="32" t="n">
        <f aca="false">INDEX('Tabela Passaro'!$R$2:$R$1795,$N176)</f>
        <v>30</v>
      </c>
      <c r="X176" s="32" t="n">
        <f aca="false">ROUNDUP(J176/INDEX('Tabela Passaro'!$T$2:$T$1795,$N176),0)*INDEX('Tabela Passaro'!$S$2:$S$1795,$N176)</f>
        <v>0</v>
      </c>
      <c r="Y176" s="32" t="n">
        <f aca="false">INDEX('Tabela Passaro'!$U$2:$U$1795,$N176)</f>
        <v>0</v>
      </c>
      <c r="Z176" s="32" t="n">
        <f aca="false">INDEX('Tabela Passaro'!$V$2:$V$1795,$N176)</f>
        <v>0</v>
      </c>
      <c r="AA176" s="32" t="n">
        <f aca="false">SUM(R176:Z176)</f>
        <v>98.32309</v>
      </c>
      <c r="AB176" s="33" t="n">
        <f aca="false">INDEX(Premissas!$B$5:$B$13,MATCH(A176,Premissas!$A$5:$A$13,0))</f>
        <v>0.07</v>
      </c>
      <c r="AC176" s="32" t="n">
        <f aca="false">AA176/(1-AB176)-AA176</f>
        <v>7.40066268817205</v>
      </c>
      <c r="AD176" s="32" t="n">
        <f aca="false">ROUND(AA176+AC176,2)</f>
        <v>105.72</v>
      </c>
      <c r="AE176" s="32" t="n">
        <f aca="false">AD176-L176</f>
        <v>-20.75</v>
      </c>
      <c r="AF176" s="34" t="n">
        <f aca="false">IF(L176=0,0,AE176/L176)</f>
        <v>-0.164070530560607</v>
      </c>
      <c r="AG176" s="22" t="str">
        <f aca="false">IF(AD176&lt;L176,"PASSARO","ATUAL")</f>
        <v>PASSARO</v>
      </c>
      <c r="AH176" s="22" t="str">
        <f aca="false">IF(P176&lt;&gt;A176,"Faixa cadastrada como "&amp;P176&amp;" na tabela; preço aplicado pela UF do CEP","")</f>
        <v/>
      </c>
      <c r="AI176" s="26" t="n">
        <v>127.2</v>
      </c>
      <c r="AJ176" s="22" t="str">
        <f aca="false">INDEX('Tabela Passaro'!$X$2:$X$1795,$N176)</f>
        <v>CAPITAL</v>
      </c>
    </row>
    <row r="177" customFormat="false" ht="15" hidden="false" customHeight="false" outlineLevel="0" collapsed="false">
      <c r="A177" s="22" t="s">
        <v>16</v>
      </c>
      <c r="B177" s="22" t="n">
        <v>1</v>
      </c>
      <c r="C177" s="22" t="s">
        <v>75</v>
      </c>
      <c r="D177" s="22" t="s">
        <v>30</v>
      </c>
      <c r="E177" s="22" t="s">
        <v>20</v>
      </c>
      <c r="F177" s="22" t="n">
        <v>837749</v>
      </c>
      <c r="G177" s="30" t="n">
        <v>46238</v>
      </c>
      <c r="H177" s="22" t="n">
        <v>32388</v>
      </c>
      <c r="I177" s="22" t="s">
        <v>7477</v>
      </c>
      <c r="J177" s="31" t="n">
        <v>22.3</v>
      </c>
      <c r="K177" s="26" t="n">
        <v>709.98</v>
      </c>
      <c r="L177" s="26" t="n">
        <v>110.68</v>
      </c>
      <c r="M177" s="22" t="s">
        <v>694</v>
      </c>
      <c r="N177" s="22" t="n">
        <f aca="false">MATCH(M177,'Tabela Passaro'!$A$2:$A$1795,0)</f>
        <v>106</v>
      </c>
      <c r="O177" s="22" t="str">
        <f aca="false">INDEX('Tabela Passaro'!$C$2:$C$1795,$N177)</f>
        <v>SALVADOR</v>
      </c>
      <c r="P177" s="22" t="str">
        <f aca="false">INDEX('Tabela Passaro'!$B$2:$B$1795,$N177)</f>
        <v>BA</v>
      </c>
      <c r="Q177" s="22" t="n">
        <f aca="false">INDEX('Tabela Passaro'!$F$2:$F$1795,$N177)</f>
        <v>6</v>
      </c>
      <c r="R177" s="32" t="n">
        <f aca="false">IF(J177&lt;=10,INDEX('Tabela Passaro'!$G$2:$G$1795,$N177),IF(J177&lt;=30,INDEX('Tabela Passaro'!$H$2:$H$1795,$N177),IF(J177&lt;=50,INDEX('Tabela Passaro'!$I$2:$I$1795,$N177),IF(J177&lt;=70,INDEX('Tabela Passaro'!$J$2:$J$1795,$N177),IF(J177&lt;=100,INDEX('Tabela Passaro'!$K$2:$K$1795,$N177),INDEX('Tabela Passaro'!$K$2:$K$1795,$N177)+(J177-100)*INDEX('Tabela Passaro'!$L$2:$L$1795,$N177))))))</f>
        <v>50.4</v>
      </c>
      <c r="S177" s="32" t="n">
        <f aca="false">K177*INDEX('Tabela Passaro'!$M$2:$M$1795,$N177)</f>
        <v>3.5499</v>
      </c>
      <c r="T177" s="32" t="n">
        <f aca="false">K177*INDEX('Tabela Passaro'!$N$2:$N$1795,$N177)</f>
        <v>1.41996</v>
      </c>
      <c r="U177" s="32" t="n">
        <f aca="false">INDEX('Tabela Passaro'!$O$2:$O$1795,$N177)</f>
        <v>5</v>
      </c>
      <c r="V177" s="32" t="n">
        <f aca="false">ROUNDUP(J177/INDEX('Tabela Passaro'!$Q$2:$Q$1795,$N177),0)*INDEX('Tabela Passaro'!$P$2:$P$1795,$N177)</f>
        <v>5</v>
      </c>
      <c r="W177" s="32" t="n">
        <f aca="false">INDEX('Tabela Passaro'!$R$2:$R$1795,$N177)</f>
        <v>30</v>
      </c>
      <c r="X177" s="32" t="n">
        <f aca="false">ROUNDUP(J177/INDEX('Tabela Passaro'!$T$2:$T$1795,$N177),0)*INDEX('Tabela Passaro'!$S$2:$S$1795,$N177)</f>
        <v>0</v>
      </c>
      <c r="Y177" s="32" t="n">
        <f aca="false">INDEX('Tabela Passaro'!$U$2:$U$1795,$N177)</f>
        <v>0</v>
      </c>
      <c r="Z177" s="32" t="n">
        <f aca="false">INDEX('Tabela Passaro'!$V$2:$V$1795,$N177)</f>
        <v>0</v>
      </c>
      <c r="AA177" s="32" t="n">
        <f aca="false">SUM(R177:Z177)</f>
        <v>95.36986</v>
      </c>
      <c r="AB177" s="33" t="n">
        <f aca="false">INDEX(Premissas!$B$5:$B$13,MATCH(A177,Premissas!$A$5:$A$13,0))</f>
        <v>0.07</v>
      </c>
      <c r="AC177" s="32" t="n">
        <f aca="false">AA177/(1-AB177)-AA177</f>
        <v>7.17837655913979</v>
      </c>
      <c r="AD177" s="32" t="n">
        <f aca="false">ROUND(AA177+AC177,2)</f>
        <v>102.55</v>
      </c>
      <c r="AE177" s="32" t="n">
        <f aca="false">AD177-L177</f>
        <v>-8.13000000000001</v>
      </c>
      <c r="AF177" s="34" t="n">
        <f aca="false">IF(L177=0,0,AE177/L177)</f>
        <v>-0.0734550054210337</v>
      </c>
      <c r="AG177" s="22" t="str">
        <f aca="false">IF(AD177&lt;L177,"PASSARO","ATUAL")</f>
        <v>PASSARO</v>
      </c>
      <c r="AH177" s="22" t="str">
        <f aca="false">IF(P177&lt;&gt;A177,"Faixa cadastrada como "&amp;P177&amp;" na tabela; preço aplicado pela UF do CEP","")</f>
        <v/>
      </c>
      <c r="AI177" s="26" t="n">
        <v>121.18</v>
      </c>
      <c r="AJ177" s="22" t="str">
        <f aca="false">INDEX('Tabela Passaro'!$X$2:$X$1795,$N177)</f>
        <v>CAPITAL</v>
      </c>
    </row>
    <row r="178" customFormat="false" ht="15" hidden="false" customHeight="false" outlineLevel="0" collapsed="false">
      <c r="A178" s="22" t="s">
        <v>16</v>
      </c>
      <c r="B178" s="22" t="n">
        <v>1</v>
      </c>
      <c r="C178" s="22" t="s">
        <v>75</v>
      </c>
      <c r="D178" s="22" t="s">
        <v>30</v>
      </c>
      <c r="E178" s="22" t="s">
        <v>7328</v>
      </c>
      <c r="F178" s="22" t="n">
        <v>2307420</v>
      </c>
      <c r="G178" s="30" t="n">
        <v>46238</v>
      </c>
      <c r="H178" s="22" t="n">
        <v>131281</v>
      </c>
      <c r="I178" s="22" t="s">
        <v>7478</v>
      </c>
      <c r="J178" s="31" t="n">
        <v>51.06</v>
      </c>
      <c r="K178" s="26" t="n">
        <v>808.99</v>
      </c>
      <c r="L178" s="26" t="n">
        <v>165.7</v>
      </c>
      <c r="M178" s="22" t="s">
        <v>694</v>
      </c>
      <c r="N178" s="22" t="n">
        <f aca="false">MATCH(M178,'Tabela Passaro'!$A$2:$A$1795,0)</f>
        <v>106</v>
      </c>
      <c r="O178" s="22" t="str">
        <f aca="false">INDEX('Tabela Passaro'!$C$2:$C$1795,$N178)</f>
        <v>SALVADOR</v>
      </c>
      <c r="P178" s="22" t="str">
        <f aca="false">INDEX('Tabela Passaro'!$B$2:$B$1795,$N178)</f>
        <v>BA</v>
      </c>
      <c r="Q178" s="22" t="n">
        <f aca="false">INDEX('Tabela Passaro'!$F$2:$F$1795,$N178)</f>
        <v>6</v>
      </c>
      <c r="R178" s="32" t="n">
        <f aca="false">IF(J178&lt;=10,INDEX('Tabela Passaro'!$G$2:$G$1795,$N178),IF(J178&lt;=30,INDEX('Tabela Passaro'!$H$2:$H$1795,$N178),IF(J178&lt;=50,INDEX('Tabela Passaro'!$I$2:$I$1795,$N178),IF(J178&lt;=70,INDEX('Tabela Passaro'!$J$2:$J$1795,$N178),IF(J178&lt;=100,INDEX('Tabela Passaro'!$K$2:$K$1795,$N178),INDEX('Tabela Passaro'!$K$2:$K$1795,$N178)+(J178-100)*INDEX('Tabela Passaro'!$L$2:$L$1795,$N178))))))</f>
        <v>73.44</v>
      </c>
      <c r="S178" s="32" t="n">
        <f aca="false">K178*INDEX('Tabela Passaro'!$M$2:$M$1795,$N178)</f>
        <v>4.04495</v>
      </c>
      <c r="T178" s="32" t="n">
        <f aca="false">K178*INDEX('Tabela Passaro'!$N$2:$N$1795,$N178)</f>
        <v>1.61798</v>
      </c>
      <c r="U178" s="32" t="n">
        <f aca="false">INDEX('Tabela Passaro'!$O$2:$O$1795,$N178)</f>
        <v>5</v>
      </c>
      <c r="V178" s="32" t="n">
        <f aca="false">ROUNDUP(J178/INDEX('Tabela Passaro'!$Q$2:$Q$1795,$N178),0)*INDEX('Tabela Passaro'!$P$2:$P$1795,$N178)</f>
        <v>5</v>
      </c>
      <c r="W178" s="32" t="n">
        <f aca="false">INDEX('Tabela Passaro'!$R$2:$R$1795,$N178)</f>
        <v>30</v>
      </c>
      <c r="X178" s="32" t="n">
        <f aca="false">ROUNDUP(J178/INDEX('Tabela Passaro'!$T$2:$T$1795,$N178),0)*INDEX('Tabela Passaro'!$S$2:$S$1795,$N178)</f>
        <v>0</v>
      </c>
      <c r="Y178" s="32" t="n">
        <f aca="false">INDEX('Tabela Passaro'!$U$2:$U$1795,$N178)</f>
        <v>0</v>
      </c>
      <c r="Z178" s="32" t="n">
        <f aca="false">INDEX('Tabela Passaro'!$V$2:$V$1795,$N178)</f>
        <v>0</v>
      </c>
      <c r="AA178" s="32" t="n">
        <f aca="false">SUM(R178:Z178)</f>
        <v>119.10293</v>
      </c>
      <c r="AB178" s="33" t="n">
        <f aca="false">INDEX(Premissas!$B$5:$B$13,MATCH(A178,Premissas!$A$5:$A$13,0))</f>
        <v>0.07</v>
      </c>
      <c r="AC178" s="32" t="n">
        <f aca="false">AA178/(1-AB178)-AA178</f>
        <v>8.96473666666667</v>
      </c>
      <c r="AD178" s="32" t="n">
        <f aca="false">ROUND(AA178+AC178,2)</f>
        <v>128.07</v>
      </c>
      <c r="AE178" s="32" t="n">
        <f aca="false">AD178-L178</f>
        <v>-37.63</v>
      </c>
      <c r="AF178" s="34" t="n">
        <f aca="false">IF(L178=0,0,AE178/L178)</f>
        <v>-0.227097163548582</v>
      </c>
      <c r="AG178" s="22" t="str">
        <f aca="false">IF(AD178&lt;L178,"PASSARO","ATUAL")</f>
        <v>PASSARO</v>
      </c>
      <c r="AH178" s="22" t="str">
        <f aca="false">IF(P178&lt;&gt;A178,"Faixa cadastrada como "&amp;P178&amp;" na tabela; preço aplicado pela UF do CEP","")</f>
        <v/>
      </c>
      <c r="AI178" s="26" t="n">
        <v>161.23</v>
      </c>
      <c r="AJ178" s="22" t="str">
        <f aca="false">INDEX('Tabela Passaro'!$X$2:$X$1795,$N178)</f>
        <v>CAPITAL</v>
      </c>
    </row>
    <row r="179" customFormat="false" ht="15" hidden="false" customHeight="false" outlineLevel="0" collapsed="false">
      <c r="A179" s="22" t="s">
        <v>16</v>
      </c>
      <c r="B179" s="22" t="n">
        <v>1</v>
      </c>
      <c r="C179" s="22" t="s">
        <v>75</v>
      </c>
      <c r="D179" s="22" t="s">
        <v>30</v>
      </c>
      <c r="E179" s="22" t="s">
        <v>7328</v>
      </c>
      <c r="F179" s="22" t="n">
        <v>2307431</v>
      </c>
      <c r="G179" s="30" t="n">
        <v>46238</v>
      </c>
      <c r="H179" s="22" t="n">
        <v>131290</v>
      </c>
      <c r="I179" s="22" t="s">
        <v>7479</v>
      </c>
      <c r="J179" s="31" t="n">
        <v>57</v>
      </c>
      <c r="K179" s="26" t="n">
        <v>741</v>
      </c>
      <c r="L179" s="26" t="n">
        <v>165.17</v>
      </c>
      <c r="M179" s="22" t="s">
        <v>694</v>
      </c>
      <c r="N179" s="22" t="n">
        <f aca="false">MATCH(M179,'Tabela Passaro'!$A$2:$A$1795,0)</f>
        <v>106</v>
      </c>
      <c r="O179" s="22" t="str">
        <f aca="false">INDEX('Tabela Passaro'!$C$2:$C$1795,$N179)</f>
        <v>SALVADOR</v>
      </c>
      <c r="P179" s="22" t="str">
        <f aca="false">INDEX('Tabela Passaro'!$B$2:$B$1795,$N179)</f>
        <v>BA</v>
      </c>
      <c r="Q179" s="22" t="n">
        <f aca="false">INDEX('Tabela Passaro'!$F$2:$F$1795,$N179)</f>
        <v>6</v>
      </c>
      <c r="R179" s="32" t="n">
        <f aca="false">IF(J179&lt;=10,INDEX('Tabela Passaro'!$G$2:$G$1795,$N179),IF(J179&lt;=30,INDEX('Tabela Passaro'!$H$2:$H$1795,$N179),IF(J179&lt;=50,INDEX('Tabela Passaro'!$I$2:$I$1795,$N179),IF(J179&lt;=70,INDEX('Tabela Passaro'!$J$2:$J$1795,$N179),IF(J179&lt;=100,INDEX('Tabela Passaro'!$K$2:$K$1795,$N179),INDEX('Tabela Passaro'!$K$2:$K$1795,$N179)+(J179-100)*INDEX('Tabela Passaro'!$L$2:$L$1795,$N179))))))</f>
        <v>73.44</v>
      </c>
      <c r="S179" s="32" t="n">
        <f aca="false">K179*INDEX('Tabela Passaro'!$M$2:$M$1795,$N179)</f>
        <v>3.705</v>
      </c>
      <c r="T179" s="32" t="n">
        <f aca="false">K179*INDEX('Tabela Passaro'!$N$2:$N$1795,$N179)</f>
        <v>1.482</v>
      </c>
      <c r="U179" s="32" t="n">
        <f aca="false">INDEX('Tabela Passaro'!$O$2:$O$1795,$N179)</f>
        <v>5</v>
      </c>
      <c r="V179" s="32" t="n">
        <f aca="false">ROUNDUP(J179/INDEX('Tabela Passaro'!$Q$2:$Q$1795,$N179),0)*INDEX('Tabela Passaro'!$P$2:$P$1795,$N179)</f>
        <v>5</v>
      </c>
      <c r="W179" s="32" t="n">
        <f aca="false">INDEX('Tabela Passaro'!$R$2:$R$1795,$N179)</f>
        <v>30</v>
      </c>
      <c r="X179" s="32" t="n">
        <f aca="false">ROUNDUP(J179/INDEX('Tabela Passaro'!$T$2:$T$1795,$N179),0)*INDEX('Tabela Passaro'!$S$2:$S$1795,$N179)</f>
        <v>0</v>
      </c>
      <c r="Y179" s="32" t="n">
        <f aca="false">INDEX('Tabela Passaro'!$U$2:$U$1795,$N179)</f>
        <v>0</v>
      </c>
      <c r="Z179" s="32" t="n">
        <f aca="false">INDEX('Tabela Passaro'!$V$2:$V$1795,$N179)</f>
        <v>0</v>
      </c>
      <c r="AA179" s="32" t="n">
        <f aca="false">SUM(R179:Z179)</f>
        <v>118.627</v>
      </c>
      <c r="AB179" s="33" t="n">
        <f aca="false">INDEX(Premissas!$B$5:$B$13,MATCH(A179,Premissas!$A$5:$A$13,0))</f>
        <v>0.07</v>
      </c>
      <c r="AC179" s="32" t="n">
        <f aca="false">AA179/(1-AB179)-AA179</f>
        <v>8.92891397849463</v>
      </c>
      <c r="AD179" s="32" t="n">
        <f aca="false">ROUND(AA179+AC179,2)</f>
        <v>127.56</v>
      </c>
      <c r="AE179" s="32" t="n">
        <f aca="false">AD179-L179</f>
        <v>-37.61</v>
      </c>
      <c r="AF179" s="34" t="n">
        <f aca="false">IF(L179=0,0,AE179/L179)</f>
        <v>-0.227704789005267</v>
      </c>
      <c r="AG179" s="22" t="str">
        <f aca="false">IF(AD179&lt;L179,"PASSARO","ATUAL")</f>
        <v>PASSARO</v>
      </c>
      <c r="AH179" s="22" t="str">
        <f aca="false">IF(P179&lt;&gt;A179,"Faixa cadastrada como "&amp;P179&amp;" na tabela; preço aplicado pela UF do CEP","")</f>
        <v/>
      </c>
      <c r="AI179" s="26" t="n">
        <v>162.99</v>
      </c>
      <c r="AJ179" s="22" t="str">
        <f aca="false">INDEX('Tabela Passaro'!$X$2:$X$1795,$N179)</f>
        <v>CAPITAL</v>
      </c>
    </row>
    <row r="180" customFormat="false" ht="15" hidden="false" customHeight="false" outlineLevel="0" collapsed="false">
      <c r="A180" s="22" t="s">
        <v>16</v>
      </c>
      <c r="B180" s="22" t="n">
        <v>1</v>
      </c>
      <c r="C180" s="22" t="s">
        <v>75</v>
      </c>
      <c r="D180" s="22" t="s">
        <v>30</v>
      </c>
      <c r="E180" s="22" t="s">
        <v>7328</v>
      </c>
      <c r="F180" s="22" t="n">
        <v>2307432</v>
      </c>
      <c r="G180" s="30" t="n">
        <v>46238</v>
      </c>
      <c r="H180" s="22" t="n">
        <v>131291</v>
      </c>
      <c r="I180" s="22" t="s">
        <v>7480</v>
      </c>
      <c r="J180" s="31" t="n">
        <v>25.8</v>
      </c>
      <c r="K180" s="26" t="n">
        <v>481.97</v>
      </c>
      <c r="L180" s="26" t="n">
        <v>111.42</v>
      </c>
      <c r="M180" s="22" t="s">
        <v>694</v>
      </c>
      <c r="N180" s="22" t="n">
        <f aca="false">MATCH(M180,'Tabela Passaro'!$A$2:$A$1795,0)</f>
        <v>106</v>
      </c>
      <c r="O180" s="22" t="str">
        <f aca="false">INDEX('Tabela Passaro'!$C$2:$C$1795,$N180)</f>
        <v>SALVADOR</v>
      </c>
      <c r="P180" s="22" t="str">
        <f aca="false">INDEX('Tabela Passaro'!$B$2:$B$1795,$N180)</f>
        <v>BA</v>
      </c>
      <c r="Q180" s="22" t="n">
        <f aca="false">INDEX('Tabela Passaro'!$F$2:$F$1795,$N180)</f>
        <v>6</v>
      </c>
      <c r="R180" s="32" t="n">
        <f aca="false">IF(J180&lt;=10,INDEX('Tabela Passaro'!$G$2:$G$1795,$N180),IF(J180&lt;=30,INDEX('Tabela Passaro'!$H$2:$H$1795,$N180),IF(J180&lt;=50,INDEX('Tabela Passaro'!$I$2:$I$1795,$N180),IF(J180&lt;=70,INDEX('Tabela Passaro'!$J$2:$J$1795,$N180),IF(J180&lt;=100,INDEX('Tabela Passaro'!$K$2:$K$1795,$N180),INDEX('Tabela Passaro'!$K$2:$K$1795,$N180)+(J180-100)*INDEX('Tabela Passaro'!$L$2:$L$1795,$N180))))))</f>
        <v>50.4</v>
      </c>
      <c r="S180" s="32" t="n">
        <f aca="false">K180*INDEX('Tabela Passaro'!$M$2:$M$1795,$N180)</f>
        <v>2.40985</v>
      </c>
      <c r="T180" s="32" t="n">
        <f aca="false">K180*INDEX('Tabela Passaro'!$N$2:$N$1795,$N180)</f>
        <v>0.96394</v>
      </c>
      <c r="U180" s="32" t="n">
        <f aca="false">INDEX('Tabela Passaro'!$O$2:$O$1795,$N180)</f>
        <v>5</v>
      </c>
      <c r="V180" s="32" t="n">
        <f aca="false">ROUNDUP(J180/INDEX('Tabela Passaro'!$Q$2:$Q$1795,$N180),0)*INDEX('Tabela Passaro'!$P$2:$P$1795,$N180)</f>
        <v>5</v>
      </c>
      <c r="W180" s="32" t="n">
        <f aca="false">INDEX('Tabela Passaro'!$R$2:$R$1795,$N180)</f>
        <v>30</v>
      </c>
      <c r="X180" s="32" t="n">
        <f aca="false">ROUNDUP(J180/INDEX('Tabela Passaro'!$T$2:$T$1795,$N180),0)*INDEX('Tabela Passaro'!$S$2:$S$1795,$N180)</f>
        <v>0</v>
      </c>
      <c r="Y180" s="32" t="n">
        <f aca="false">INDEX('Tabela Passaro'!$U$2:$U$1795,$N180)</f>
        <v>0</v>
      </c>
      <c r="Z180" s="32" t="n">
        <f aca="false">INDEX('Tabela Passaro'!$V$2:$V$1795,$N180)</f>
        <v>0</v>
      </c>
      <c r="AA180" s="32" t="n">
        <f aca="false">SUM(R180:Z180)</f>
        <v>93.77379</v>
      </c>
      <c r="AB180" s="33" t="n">
        <f aca="false">INDEX(Premissas!$B$5:$B$13,MATCH(A180,Premissas!$A$5:$A$13,0))</f>
        <v>0.07</v>
      </c>
      <c r="AC180" s="32" t="n">
        <f aca="false">AA180/(1-AB180)-AA180</f>
        <v>7.05824225806452</v>
      </c>
      <c r="AD180" s="32" t="n">
        <f aca="false">ROUND(AA180+AC180,2)</f>
        <v>100.83</v>
      </c>
      <c r="AE180" s="32" t="n">
        <f aca="false">AD180-L180</f>
        <v>-10.59</v>
      </c>
      <c r="AF180" s="34" t="n">
        <f aca="false">IF(L180=0,0,AE180/L180)</f>
        <v>-0.0950457727517502</v>
      </c>
      <c r="AG180" s="22" t="str">
        <f aca="false">IF(AD180&lt;L180,"PASSARO","ATUAL")</f>
        <v>PASSARO</v>
      </c>
      <c r="AH180" s="22" t="str">
        <f aca="false">IF(P180&lt;&gt;A180,"Faixa cadastrada como "&amp;P180&amp;" na tabela; preço aplicado pela UF do CEP","")</f>
        <v/>
      </c>
      <c r="AI180" s="26" t="n">
        <v>120.43</v>
      </c>
      <c r="AJ180" s="22" t="str">
        <f aca="false">INDEX('Tabela Passaro'!$X$2:$X$1795,$N180)</f>
        <v>CAPITAL</v>
      </c>
    </row>
    <row r="181" customFormat="false" ht="15" hidden="false" customHeight="false" outlineLevel="0" collapsed="false">
      <c r="A181" s="22" t="s">
        <v>16</v>
      </c>
      <c r="B181" s="22" t="n">
        <v>1</v>
      </c>
      <c r="C181" s="22" t="s">
        <v>75</v>
      </c>
      <c r="D181" s="22" t="s">
        <v>30</v>
      </c>
      <c r="E181" s="22" t="s">
        <v>7328</v>
      </c>
      <c r="F181" s="22" t="n">
        <v>2307436</v>
      </c>
      <c r="G181" s="30" t="n">
        <v>46238</v>
      </c>
      <c r="H181" s="22" t="n">
        <v>131295</v>
      </c>
      <c r="I181" s="22" t="s">
        <v>7481</v>
      </c>
      <c r="J181" s="31" t="n">
        <v>38.15</v>
      </c>
      <c r="K181" s="26" t="n">
        <v>535.35</v>
      </c>
      <c r="L181" s="26" t="n">
        <v>142.45</v>
      </c>
      <c r="M181" s="22" t="s">
        <v>694</v>
      </c>
      <c r="N181" s="22" t="n">
        <f aca="false">MATCH(M181,'Tabela Passaro'!$A$2:$A$1795,0)</f>
        <v>106</v>
      </c>
      <c r="O181" s="22" t="str">
        <f aca="false">INDEX('Tabela Passaro'!$C$2:$C$1795,$N181)</f>
        <v>SALVADOR</v>
      </c>
      <c r="P181" s="22" t="str">
        <f aca="false">INDEX('Tabela Passaro'!$B$2:$B$1795,$N181)</f>
        <v>BA</v>
      </c>
      <c r="Q181" s="22" t="n">
        <f aca="false">INDEX('Tabela Passaro'!$F$2:$F$1795,$N181)</f>
        <v>6</v>
      </c>
      <c r="R181" s="32" t="n">
        <f aca="false">IF(J181&lt;=10,INDEX('Tabela Passaro'!$G$2:$G$1795,$N181),IF(J181&lt;=30,INDEX('Tabela Passaro'!$H$2:$H$1795,$N181),IF(J181&lt;=50,INDEX('Tabela Passaro'!$I$2:$I$1795,$N181),IF(J181&lt;=70,INDEX('Tabela Passaro'!$J$2:$J$1795,$N181),IF(J181&lt;=100,INDEX('Tabela Passaro'!$K$2:$K$1795,$N181),INDEX('Tabela Passaro'!$K$2:$K$1795,$N181)+(J181-100)*INDEX('Tabela Passaro'!$L$2:$L$1795,$N181))))))</f>
        <v>61.92</v>
      </c>
      <c r="S181" s="32" t="n">
        <f aca="false">K181*INDEX('Tabela Passaro'!$M$2:$M$1795,$N181)</f>
        <v>2.67675</v>
      </c>
      <c r="T181" s="32" t="n">
        <f aca="false">K181*INDEX('Tabela Passaro'!$N$2:$N$1795,$N181)</f>
        <v>1.0707</v>
      </c>
      <c r="U181" s="32" t="n">
        <f aca="false">INDEX('Tabela Passaro'!$O$2:$O$1795,$N181)</f>
        <v>5</v>
      </c>
      <c r="V181" s="32" t="n">
        <f aca="false">ROUNDUP(J181/INDEX('Tabela Passaro'!$Q$2:$Q$1795,$N181),0)*INDEX('Tabela Passaro'!$P$2:$P$1795,$N181)</f>
        <v>5</v>
      </c>
      <c r="W181" s="32" t="n">
        <f aca="false">INDEX('Tabela Passaro'!$R$2:$R$1795,$N181)</f>
        <v>30</v>
      </c>
      <c r="X181" s="32" t="n">
        <f aca="false">ROUNDUP(J181/INDEX('Tabela Passaro'!$T$2:$T$1795,$N181),0)*INDEX('Tabela Passaro'!$S$2:$S$1795,$N181)</f>
        <v>0</v>
      </c>
      <c r="Y181" s="32" t="n">
        <f aca="false">INDEX('Tabela Passaro'!$U$2:$U$1795,$N181)</f>
        <v>0</v>
      </c>
      <c r="Z181" s="32" t="n">
        <f aca="false">INDEX('Tabela Passaro'!$V$2:$V$1795,$N181)</f>
        <v>0</v>
      </c>
      <c r="AA181" s="32" t="n">
        <f aca="false">SUM(R181:Z181)</f>
        <v>105.66745</v>
      </c>
      <c r="AB181" s="33" t="n">
        <f aca="false">INDEX(Premissas!$B$5:$B$13,MATCH(A181,Premissas!$A$5:$A$13,0))</f>
        <v>0.07</v>
      </c>
      <c r="AC181" s="32" t="n">
        <f aca="false">AA181/(1-AB181)-AA181</f>
        <v>7.95346397849463</v>
      </c>
      <c r="AD181" s="32" t="n">
        <f aca="false">ROUND(AA181+AC181,2)</f>
        <v>113.62</v>
      </c>
      <c r="AE181" s="32" t="n">
        <f aca="false">AD181-L181</f>
        <v>-28.83</v>
      </c>
      <c r="AF181" s="34" t="n">
        <f aca="false">IF(L181=0,0,AE181/L181)</f>
        <v>-0.202386802386802</v>
      </c>
      <c r="AG181" s="22" t="str">
        <f aca="false">IF(AD181&lt;L181,"PASSARO","ATUAL")</f>
        <v>PASSARO</v>
      </c>
      <c r="AH181" s="22" t="str">
        <f aca="false">IF(P181&lt;&gt;A181,"Faixa cadastrada como "&amp;P181&amp;" na tabela; preço aplicado pela UF do CEP","")</f>
        <v/>
      </c>
      <c r="AI181" s="26" t="n">
        <v>139.76</v>
      </c>
      <c r="AJ181" s="22" t="str">
        <f aca="false">INDEX('Tabela Passaro'!$X$2:$X$1795,$N181)</f>
        <v>CAPITAL</v>
      </c>
    </row>
    <row r="182" customFormat="false" ht="15" hidden="false" customHeight="false" outlineLevel="0" collapsed="false">
      <c r="A182" s="22" t="s">
        <v>16</v>
      </c>
      <c r="B182" s="22" t="n">
        <v>1</v>
      </c>
      <c r="C182" s="22" t="s">
        <v>75</v>
      </c>
      <c r="D182" s="22" t="s">
        <v>30</v>
      </c>
      <c r="E182" s="22" t="s">
        <v>7328</v>
      </c>
      <c r="F182" s="22" t="n">
        <v>2307466</v>
      </c>
      <c r="G182" s="30" t="n">
        <v>46238</v>
      </c>
      <c r="H182" s="22" t="n">
        <v>131462</v>
      </c>
      <c r="I182" s="22" t="s">
        <v>7482</v>
      </c>
      <c r="J182" s="31" t="n">
        <v>102.12</v>
      </c>
      <c r="K182" s="26" t="n">
        <v>1639.97</v>
      </c>
      <c r="L182" s="26" t="n">
        <v>231.3</v>
      </c>
      <c r="M182" s="22" t="s">
        <v>694</v>
      </c>
      <c r="N182" s="22" t="n">
        <f aca="false">MATCH(M182,'Tabela Passaro'!$A$2:$A$1795,0)</f>
        <v>106</v>
      </c>
      <c r="O182" s="22" t="str">
        <f aca="false">INDEX('Tabela Passaro'!$C$2:$C$1795,$N182)</f>
        <v>SALVADOR</v>
      </c>
      <c r="P182" s="22" t="str">
        <f aca="false">INDEX('Tabela Passaro'!$B$2:$B$1795,$N182)</f>
        <v>BA</v>
      </c>
      <c r="Q182" s="22" t="n">
        <f aca="false">INDEX('Tabela Passaro'!$F$2:$F$1795,$N182)</f>
        <v>6</v>
      </c>
      <c r="R182" s="32" t="n">
        <f aca="false">IF(J182&lt;=10,INDEX('Tabela Passaro'!$G$2:$G$1795,$N182),IF(J182&lt;=30,INDEX('Tabela Passaro'!$H$2:$H$1795,$N182),IF(J182&lt;=50,INDEX('Tabela Passaro'!$I$2:$I$1795,$N182),IF(J182&lt;=70,INDEX('Tabela Passaro'!$J$2:$J$1795,$N182),IF(J182&lt;=100,INDEX('Tabela Passaro'!$K$2:$K$1795,$N182),INDEX('Tabela Passaro'!$K$2:$K$1795,$N182)+(J182-100)*INDEX('Tabela Passaro'!$L$2:$L$1795,$N182))))))</f>
        <v>87.4192</v>
      </c>
      <c r="S182" s="32" t="n">
        <f aca="false">K182*INDEX('Tabela Passaro'!$M$2:$M$1795,$N182)</f>
        <v>8.19985</v>
      </c>
      <c r="T182" s="32" t="n">
        <f aca="false">K182*INDEX('Tabela Passaro'!$N$2:$N$1795,$N182)</f>
        <v>3.27994</v>
      </c>
      <c r="U182" s="32" t="n">
        <f aca="false">INDEX('Tabela Passaro'!$O$2:$O$1795,$N182)</f>
        <v>5</v>
      </c>
      <c r="V182" s="32" t="n">
        <f aca="false">ROUNDUP(J182/INDEX('Tabela Passaro'!$Q$2:$Q$1795,$N182),0)*INDEX('Tabela Passaro'!$P$2:$P$1795,$N182)</f>
        <v>10</v>
      </c>
      <c r="W182" s="32" t="n">
        <f aca="false">INDEX('Tabela Passaro'!$R$2:$R$1795,$N182)</f>
        <v>30</v>
      </c>
      <c r="X182" s="32" t="n">
        <f aca="false">ROUNDUP(J182/INDEX('Tabela Passaro'!$T$2:$T$1795,$N182),0)*INDEX('Tabela Passaro'!$S$2:$S$1795,$N182)</f>
        <v>0</v>
      </c>
      <c r="Y182" s="32" t="n">
        <f aca="false">INDEX('Tabela Passaro'!$U$2:$U$1795,$N182)</f>
        <v>0</v>
      </c>
      <c r="Z182" s="32" t="n">
        <f aca="false">INDEX('Tabela Passaro'!$V$2:$V$1795,$N182)</f>
        <v>0</v>
      </c>
      <c r="AA182" s="32" t="n">
        <f aca="false">SUM(R182:Z182)</f>
        <v>143.89899</v>
      </c>
      <c r="AB182" s="33" t="n">
        <f aca="false">INDEX(Premissas!$B$5:$B$13,MATCH(A182,Premissas!$A$5:$A$13,0))</f>
        <v>0.07</v>
      </c>
      <c r="AC182" s="32" t="n">
        <f aca="false">AA182/(1-AB182)-AA182</f>
        <v>10.8311067741936</v>
      </c>
      <c r="AD182" s="32" t="n">
        <f aca="false">ROUND(AA182+AC182,2)</f>
        <v>154.73</v>
      </c>
      <c r="AE182" s="32" t="n">
        <f aca="false">AD182-L182</f>
        <v>-76.57</v>
      </c>
      <c r="AF182" s="34" t="n">
        <f aca="false">IF(L182=0,0,AE182/L182)</f>
        <v>-0.331041936878513</v>
      </c>
      <c r="AG182" s="22" t="str">
        <f aca="false">IF(AD182&lt;L182,"PASSARO","ATUAL")</f>
        <v>PASSARO</v>
      </c>
      <c r="AH182" s="22" t="str">
        <f aca="false">IF(P182&lt;&gt;A182,"Faixa cadastrada como "&amp;P182&amp;" na tabela; preço aplicado pela UF do CEP","")</f>
        <v/>
      </c>
      <c r="AI182" s="26" t="n">
        <v>214.82</v>
      </c>
      <c r="AJ182" s="22" t="str">
        <f aca="false">INDEX('Tabela Passaro'!$X$2:$X$1795,$N182)</f>
        <v>CAPITAL</v>
      </c>
    </row>
    <row r="183" customFormat="false" ht="15" hidden="false" customHeight="false" outlineLevel="0" collapsed="false">
      <c r="A183" s="22" t="s">
        <v>16</v>
      </c>
      <c r="B183" s="22" t="n">
        <v>1</v>
      </c>
      <c r="C183" s="22" t="s">
        <v>75</v>
      </c>
      <c r="D183" s="22" t="s">
        <v>30</v>
      </c>
      <c r="E183" s="22" t="s">
        <v>7326</v>
      </c>
      <c r="F183" s="22" t="n">
        <v>522248</v>
      </c>
      <c r="G183" s="30" t="n">
        <v>46238</v>
      </c>
      <c r="H183" s="22" t="n">
        <v>619730</v>
      </c>
      <c r="I183" s="22" t="s">
        <v>7483</v>
      </c>
      <c r="J183" s="31" t="n">
        <v>29.2</v>
      </c>
      <c r="K183" s="26" t="n">
        <v>568.31</v>
      </c>
      <c r="L183" s="26" t="n">
        <v>121.68</v>
      </c>
      <c r="M183" s="22" t="s">
        <v>694</v>
      </c>
      <c r="N183" s="22" t="n">
        <f aca="false">MATCH(M183,'Tabela Passaro'!$A$2:$A$1795,0)</f>
        <v>106</v>
      </c>
      <c r="O183" s="22" t="str">
        <f aca="false">INDEX('Tabela Passaro'!$C$2:$C$1795,$N183)</f>
        <v>SALVADOR</v>
      </c>
      <c r="P183" s="22" t="str">
        <f aca="false">INDEX('Tabela Passaro'!$B$2:$B$1795,$N183)</f>
        <v>BA</v>
      </c>
      <c r="Q183" s="22" t="n">
        <f aca="false">INDEX('Tabela Passaro'!$F$2:$F$1795,$N183)</f>
        <v>6</v>
      </c>
      <c r="R183" s="32" t="n">
        <f aca="false">IF(J183&lt;=10,INDEX('Tabela Passaro'!$G$2:$G$1795,$N183),IF(J183&lt;=30,INDEX('Tabela Passaro'!$H$2:$H$1795,$N183),IF(J183&lt;=50,INDEX('Tabela Passaro'!$I$2:$I$1795,$N183),IF(J183&lt;=70,INDEX('Tabela Passaro'!$J$2:$J$1795,$N183),IF(J183&lt;=100,INDEX('Tabela Passaro'!$K$2:$K$1795,$N183),INDEX('Tabela Passaro'!$K$2:$K$1795,$N183)+(J183-100)*INDEX('Tabela Passaro'!$L$2:$L$1795,$N183))))))</f>
        <v>50.4</v>
      </c>
      <c r="S183" s="32" t="n">
        <f aca="false">K183*INDEX('Tabela Passaro'!$M$2:$M$1795,$N183)</f>
        <v>2.84155</v>
      </c>
      <c r="T183" s="32" t="n">
        <f aca="false">K183*INDEX('Tabela Passaro'!$N$2:$N$1795,$N183)</f>
        <v>1.13662</v>
      </c>
      <c r="U183" s="32" t="n">
        <f aca="false">INDEX('Tabela Passaro'!$O$2:$O$1795,$N183)</f>
        <v>5</v>
      </c>
      <c r="V183" s="32" t="n">
        <f aca="false">ROUNDUP(J183/INDEX('Tabela Passaro'!$Q$2:$Q$1795,$N183),0)*INDEX('Tabela Passaro'!$P$2:$P$1795,$N183)</f>
        <v>5</v>
      </c>
      <c r="W183" s="32" t="n">
        <f aca="false">INDEX('Tabela Passaro'!$R$2:$R$1795,$N183)</f>
        <v>30</v>
      </c>
      <c r="X183" s="32" t="n">
        <f aca="false">ROUNDUP(J183/INDEX('Tabela Passaro'!$T$2:$T$1795,$N183),0)*INDEX('Tabela Passaro'!$S$2:$S$1795,$N183)</f>
        <v>0</v>
      </c>
      <c r="Y183" s="32" t="n">
        <f aca="false">INDEX('Tabela Passaro'!$U$2:$U$1795,$N183)</f>
        <v>0</v>
      </c>
      <c r="Z183" s="32" t="n">
        <f aca="false">INDEX('Tabela Passaro'!$V$2:$V$1795,$N183)</f>
        <v>0</v>
      </c>
      <c r="AA183" s="32" t="n">
        <f aca="false">SUM(R183:Z183)</f>
        <v>94.37817</v>
      </c>
      <c r="AB183" s="33" t="n">
        <f aca="false">INDEX(Premissas!$B$5:$B$13,MATCH(A183,Premissas!$A$5:$A$13,0))</f>
        <v>0.07</v>
      </c>
      <c r="AC183" s="32" t="n">
        <f aca="false">AA183/(1-AB183)-AA183</f>
        <v>7.10373322580647</v>
      </c>
      <c r="AD183" s="32" t="n">
        <f aca="false">ROUND(AA183+AC183,2)</f>
        <v>101.48</v>
      </c>
      <c r="AE183" s="32" t="n">
        <f aca="false">AD183-L183</f>
        <v>-20.2</v>
      </c>
      <c r="AF183" s="34" t="n">
        <f aca="false">IF(L183=0,0,AE183/L183)</f>
        <v>-0.166009204470743</v>
      </c>
      <c r="AG183" s="22" t="str">
        <f aca="false">IF(AD183&lt;L183,"PASSARO","ATUAL")</f>
        <v>PASSARO</v>
      </c>
      <c r="AH183" s="22" t="str">
        <f aca="false">IF(P183&lt;&gt;A183,"Faixa cadastrada como "&amp;P183&amp;" na tabela; preço aplicado pela UF do CEP","")</f>
        <v/>
      </c>
      <c r="AI183" s="26" t="n">
        <v>123.2</v>
      </c>
      <c r="AJ183" s="22" t="str">
        <f aca="false">INDEX('Tabela Passaro'!$X$2:$X$1795,$N183)</f>
        <v>CAPITAL</v>
      </c>
    </row>
    <row r="184" customFormat="false" ht="15" hidden="false" customHeight="false" outlineLevel="0" collapsed="false">
      <c r="A184" s="22" t="s">
        <v>16</v>
      </c>
      <c r="B184" s="22" t="n">
        <v>1</v>
      </c>
      <c r="C184" s="22" t="s">
        <v>75</v>
      </c>
      <c r="D184" s="22" t="s">
        <v>30</v>
      </c>
      <c r="E184" s="22" t="s">
        <v>7326</v>
      </c>
      <c r="F184" s="22" t="n">
        <v>522230</v>
      </c>
      <c r="G184" s="30" t="n">
        <v>46238</v>
      </c>
      <c r="H184" s="22" t="n">
        <v>619741</v>
      </c>
      <c r="I184" s="22" t="s">
        <v>7484</v>
      </c>
      <c r="J184" s="31" t="n">
        <v>33</v>
      </c>
      <c r="K184" s="26" t="n">
        <v>542.59</v>
      </c>
      <c r="L184" s="26" t="n">
        <v>162.3</v>
      </c>
      <c r="M184" s="22" t="s">
        <v>694</v>
      </c>
      <c r="N184" s="22" t="n">
        <f aca="false">MATCH(M184,'Tabela Passaro'!$A$2:$A$1795,0)</f>
        <v>106</v>
      </c>
      <c r="O184" s="22" t="str">
        <f aca="false">INDEX('Tabela Passaro'!$C$2:$C$1795,$N184)</f>
        <v>SALVADOR</v>
      </c>
      <c r="P184" s="22" t="str">
        <f aca="false">INDEX('Tabela Passaro'!$B$2:$B$1795,$N184)</f>
        <v>BA</v>
      </c>
      <c r="Q184" s="22" t="n">
        <f aca="false">INDEX('Tabela Passaro'!$F$2:$F$1795,$N184)</f>
        <v>6</v>
      </c>
      <c r="R184" s="32" t="n">
        <f aca="false">IF(J184&lt;=10,INDEX('Tabela Passaro'!$G$2:$G$1795,$N184),IF(J184&lt;=30,INDEX('Tabela Passaro'!$H$2:$H$1795,$N184),IF(J184&lt;=50,INDEX('Tabela Passaro'!$I$2:$I$1795,$N184),IF(J184&lt;=70,INDEX('Tabela Passaro'!$J$2:$J$1795,$N184),IF(J184&lt;=100,INDEX('Tabela Passaro'!$K$2:$K$1795,$N184),INDEX('Tabela Passaro'!$K$2:$K$1795,$N184)+(J184-100)*INDEX('Tabela Passaro'!$L$2:$L$1795,$N184))))))</f>
        <v>61.92</v>
      </c>
      <c r="S184" s="32" t="n">
        <f aca="false">K184*INDEX('Tabela Passaro'!$M$2:$M$1795,$N184)</f>
        <v>2.71295</v>
      </c>
      <c r="T184" s="32" t="n">
        <f aca="false">K184*INDEX('Tabela Passaro'!$N$2:$N$1795,$N184)</f>
        <v>1.08518</v>
      </c>
      <c r="U184" s="32" t="n">
        <f aca="false">INDEX('Tabela Passaro'!$O$2:$O$1795,$N184)</f>
        <v>5</v>
      </c>
      <c r="V184" s="32" t="n">
        <f aca="false">ROUNDUP(J184/INDEX('Tabela Passaro'!$Q$2:$Q$1795,$N184),0)*INDEX('Tabela Passaro'!$P$2:$P$1795,$N184)</f>
        <v>5</v>
      </c>
      <c r="W184" s="32" t="n">
        <f aca="false">INDEX('Tabela Passaro'!$R$2:$R$1795,$N184)</f>
        <v>30</v>
      </c>
      <c r="X184" s="32" t="n">
        <f aca="false">ROUNDUP(J184/INDEX('Tabela Passaro'!$T$2:$T$1795,$N184),0)*INDEX('Tabela Passaro'!$S$2:$S$1795,$N184)</f>
        <v>0</v>
      </c>
      <c r="Y184" s="32" t="n">
        <f aca="false">INDEX('Tabela Passaro'!$U$2:$U$1795,$N184)</f>
        <v>0</v>
      </c>
      <c r="Z184" s="32" t="n">
        <f aca="false">INDEX('Tabela Passaro'!$V$2:$V$1795,$N184)</f>
        <v>0</v>
      </c>
      <c r="AA184" s="32" t="n">
        <f aca="false">SUM(R184:Z184)</f>
        <v>105.71813</v>
      </c>
      <c r="AB184" s="33" t="n">
        <f aca="false">INDEX(Premissas!$B$5:$B$13,MATCH(A184,Premissas!$A$5:$A$13,0))</f>
        <v>0.07</v>
      </c>
      <c r="AC184" s="32" t="n">
        <f aca="false">AA184/(1-AB184)-AA184</f>
        <v>7.95727860215055</v>
      </c>
      <c r="AD184" s="32" t="n">
        <f aca="false">ROUND(AA184+AC184,2)</f>
        <v>113.68</v>
      </c>
      <c r="AE184" s="32" t="n">
        <f aca="false">AD184-L184</f>
        <v>-48.62</v>
      </c>
      <c r="AF184" s="34" t="n">
        <f aca="false">IF(L184=0,0,AE184/L184)</f>
        <v>-0.299568699938386</v>
      </c>
      <c r="AG184" s="22" t="str">
        <f aca="false">IF(AD184&lt;L184,"PASSARO","ATUAL")</f>
        <v>PASSARO</v>
      </c>
      <c r="AH184" s="22" t="str">
        <f aca="false">IF(P184&lt;&gt;A184,"Faixa cadastrada como "&amp;P184&amp;" na tabela; preço aplicado pela UF do CEP","")</f>
        <v/>
      </c>
      <c r="AI184" s="26" t="n">
        <v>136.93</v>
      </c>
      <c r="AJ184" s="22" t="str">
        <f aca="false">INDEX('Tabela Passaro'!$X$2:$X$1795,$N184)</f>
        <v>CAPITAL</v>
      </c>
    </row>
    <row r="185" customFormat="false" ht="15" hidden="false" customHeight="false" outlineLevel="0" collapsed="false">
      <c r="A185" s="22" t="s">
        <v>16</v>
      </c>
      <c r="B185" s="22" t="n">
        <v>1</v>
      </c>
      <c r="C185" s="22" t="s">
        <v>75</v>
      </c>
      <c r="D185" s="22" t="s">
        <v>30</v>
      </c>
      <c r="E185" s="22" t="s">
        <v>7326</v>
      </c>
      <c r="F185" s="22" t="n">
        <v>522277</v>
      </c>
      <c r="G185" s="30" t="n">
        <v>46238</v>
      </c>
      <c r="H185" s="22" t="n">
        <v>620376</v>
      </c>
      <c r="I185" s="22" t="s">
        <v>7485</v>
      </c>
      <c r="J185" s="31" t="n">
        <v>5.2</v>
      </c>
      <c r="K185" s="26" t="n">
        <v>405.92</v>
      </c>
      <c r="L185" s="26" t="n">
        <v>69.25</v>
      </c>
      <c r="M185" s="22" t="s">
        <v>694</v>
      </c>
      <c r="N185" s="22" t="n">
        <f aca="false">MATCH(M185,'Tabela Passaro'!$A$2:$A$1795,0)</f>
        <v>106</v>
      </c>
      <c r="O185" s="22" t="str">
        <f aca="false">INDEX('Tabela Passaro'!$C$2:$C$1795,$N185)</f>
        <v>SALVADOR</v>
      </c>
      <c r="P185" s="22" t="str">
        <f aca="false">INDEX('Tabela Passaro'!$B$2:$B$1795,$N185)</f>
        <v>BA</v>
      </c>
      <c r="Q185" s="22" t="n">
        <f aca="false">INDEX('Tabela Passaro'!$F$2:$F$1795,$N185)</f>
        <v>6</v>
      </c>
      <c r="R185" s="32" t="n">
        <f aca="false">IF(J185&lt;=10,INDEX('Tabela Passaro'!$G$2:$G$1795,$N185),IF(J185&lt;=30,INDEX('Tabela Passaro'!$H$2:$H$1795,$N185),IF(J185&lt;=50,INDEX('Tabela Passaro'!$I$2:$I$1795,$N185),IF(J185&lt;=70,INDEX('Tabela Passaro'!$J$2:$J$1795,$N185),IF(J185&lt;=100,INDEX('Tabela Passaro'!$K$2:$K$1795,$N185),INDEX('Tabela Passaro'!$K$2:$K$1795,$N185)+(J185-100)*INDEX('Tabela Passaro'!$L$2:$L$1795,$N185))))))</f>
        <v>38.88</v>
      </c>
      <c r="S185" s="32" t="n">
        <f aca="false">K185*INDEX('Tabela Passaro'!$M$2:$M$1795,$N185)</f>
        <v>2.0296</v>
      </c>
      <c r="T185" s="32" t="n">
        <f aca="false">K185*INDEX('Tabela Passaro'!$N$2:$N$1795,$N185)</f>
        <v>0.81184</v>
      </c>
      <c r="U185" s="32" t="n">
        <f aca="false">INDEX('Tabela Passaro'!$O$2:$O$1795,$N185)</f>
        <v>5</v>
      </c>
      <c r="V185" s="32" t="n">
        <f aca="false">ROUNDUP(J185/INDEX('Tabela Passaro'!$Q$2:$Q$1795,$N185),0)*INDEX('Tabela Passaro'!$P$2:$P$1795,$N185)</f>
        <v>5</v>
      </c>
      <c r="W185" s="32" t="n">
        <f aca="false">INDEX('Tabela Passaro'!$R$2:$R$1795,$N185)</f>
        <v>30</v>
      </c>
      <c r="X185" s="32" t="n">
        <f aca="false">ROUNDUP(J185/INDEX('Tabela Passaro'!$T$2:$T$1795,$N185),0)*INDEX('Tabela Passaro'!$S$2:$S$1795,$N185)</f>
        <v>0</v>
      </c>
      <c r="Y185" s="32" t="n">
        <f aca="false">INDEX('Tabela Passaro'!$U$2:$U$1795,$N185)</f>
        <v>0</v>
      </c>
      <c r="Z185" s="32" t="n">
        <f aca="false">INDEX('Tabela Passaro'!$V$2:$V$1795,$N185)</f>
        <v>0</v>
      </c>
      <c r="AA185" s="32" t="n">
        <f aca="false">SUM(R185:Z185)</f>
        <v>81.72144</v>
      </c>
      <c r="AB185" s="33" t="n">
        <f aca="false">INDEX(Premissas!$B$5:$B$13,MATCH(A185,Premissas!$A$5:$A$13,0))</f>
        <v>0.07</v>
      </c>
      <c r="AC185" s="32" t="n">
        <f aca="false">AA185/(1-AB185)-AA185</f>
        <v>6.15107612903226</v>
      </c>
      <c r="AD185" s="32" t="n">
        <f aca="false">ROUND(AA185+AC185,2)</f>
        <v>87.87</v>
      </c>
      <c r="AE185" s="32" t="n">
        <f aca="false">AD185-L185</f>
        <v>18.62</v>
      </c>
      <c r="AF185" s="34" t="n">
        <f aca="false">IF(L185=0,0,AE185/L185)</f>
        <v>0.268880866425993</v>
      </c>
      <c r="AG185" s="22" t="str">
        <f aca="false">IF(AD185&lt;L185,"PASSARO","ATUAL")</f>
        <v>ATUAL</v>
      </c>
      <c r="AH185" s="22" t="str">
        <f aca="false">IF(P185&lt;&gt;A185,"Faixa cadastrada como "&amp;P185&amp;" na tabela; preço aplicado pela UF do CEP","")</f>
        <v/>
      </c>
      <c r="AI185" s="26" t="n">
        <v>97.49</v>
      </c>
      <c r="AJ185" s="22" t="str">
        <f aca="false">INDEX('Tabela Passaro'!$X$2:$X$1795,$N185)</f>
        <v>CAPITAL</v>
      </c>
    </row>
    <row r="186" customFormat="false" ht="15" hidden="false" customHeight="false" outlineLevel="0" collapsed="false">
      <c r="A186" s="22" t="s">
        <v>16</v>
      </c>
      <c r="B186" s="22" t="n">
        <v>1</v>
      </c>
      <c r="C186" s="22" t="s">
        <v>75</v>
      </c>
      <c r="D186" s="22" t="s">
        <v>30</v>
      </c>
      <c r="E186" s="22" t="s">
        <v>7328</v>
      </c>
      <c r="F186" s="22" t="n">
        <v>2307881</v>
      </c>
      <c r="G186" s="30" t="n">
        <v>46239</v>
      </c>
      <c r="H186" s="22" t="n">
        <v>131867</v>
      </c>
      <c r="I186" s="22" t="s">
        <v>7486</v>
      </c>
      <c r="J186" s="31" t="n">
        <v>51.06</v>
      </c>
      <c r="K186" s="26" t="n">
        <v>841.99</v>
      </c>
      <c r="L186" s="26" t="n">
        <v>165.96</v>
      </c>
      <c r="M186" s="22" t="s">
        <v>694</v>
      </c>
      <c r="N186" s="22" t="n">
        <f aca="false">MATCH(M186,'Tabela Passaro'!$A$2:$A$1795,0)</f>
        <v>106</v>
      </c>
      <c r="O186" s="22" t="str">
        <f aca="false">INDEX('Tabela Passaro'!$C$2:$C$1795,$N186)</f>
        <v>SALVADOR</v>
      </c>
      <c r="P186" s="22" t="str">
        <f aca="false">INDEX('Tabela Passaro'!$B$2:$B$1795,$N186)</f>
        <v>BA</v>
      </c>
      <c r="Q186" s="22" t="n">
        <f aca="false">INDEX('Tabela Passaro'!$F$2:$F$1795,$N186)</f>
        <v>6</v>
      </c>
      <c r="R186" s="32" t="n">
        <f aca="false">IF(J186&lt;=10,INDEX('Tabela Passaro'!$G$2:$G$1795,$N186),IF(J186&lt;=30,INDEX('Tabela Passaro'!$H$2:$H$1795,$N186),IF(J186&lt;=50,INDEX('Tabela Passaro'!$I$2:$I$1795,$N186),IF(J186&lt;=70,INDEX('Tabela Passaro'!$J$2:$J$1795,$N186),IF(J186&lt;=100,INDEX('Tabela Passaro'!$K$2:$K$1795,$N186),INDEX('Tabela Passaro'!$K$2:$K$1795,$N186)+(J186-100)*INDEX('Tabela Passaro'!$L$2:$L$1795,$N186))))))</f>
        <v>73.44</v>
      </c>
      <c r="S186" s="32" t="n">
        <f aca="false">K186*INDEX('Tabela Passaro'!$M$2:$M$1795,$N186)</f>
        <v>4.20995</v>
      </c>
      <c r="T186" s="32" t="n">
        <f aca="false">K186*INDEX('Tabela Passaro'!$N$2:$N$1795,$N186)</f>
        <v>1.68398</v>
      </c>
      <c r="U186" s="32" t="n">
        <f aca="false">INDEX('Tabela Passaro'!$O$2:$O$1795,$N186)</f>
        <v>5</v>
      </c>
      <c r="V186" s="32" t="n">
        <f aca="false">ROUNDUP(J186/INDEX('Tabela Passaro'!$Q$2:$Q$1795,$N186),0)*INDEX('Tabela Passaro'!$P$2:$P$1795,$N186)</f>
        <v>5</v>
      </c>
      <c r="W186" s="32" t="n">
        <f aca="false">INDEX('Tabela Passaro'!$R$2:$R$1795,$N186)</f>
        <v>30</v>
      </c>
      <c r="X186" s="32" t="n">
        <f aca="false">ROUNDUP(J186/INDEX('Tabela Passaro'!$T$2:$T$1795,$N186),0)*INDEX('Tabela Passaro'!$S$2:$S$1795,$N186)</f>
        <v>0</v>
      </c>
      <c r="Y186" s="32" t="n">
        <f aca="false">INDEX('Tabela Passaro'!$U$2:$U$1795,$N186)</f>
        <v>0</v>
      </c>
      <c r="Z186" s="32" t="n">
        <f aca="false">INDEX('Tabela Passaro'!$V$2:$V$1795,$N186)</f>
        <v>0</v>
      </c>
      <c r="AA186" s="32" t="n">
        <f aca="false">SUM(R186:Z186)</f>
        <v>119.33393</v>
      </c>
      <c r="AB186" s="33" t="n">
        <f aca="false">INDEX(Premissas!$B$5:$B$13,MATCH(A186,Premissas!$A$5:$A$13,0))</f>
        <v>0.07</v>
      </c>
      <c r="AC186" s="32" t="n">
        <f aca="false">AA186/(1-AB186)-AA186</f>
        <v>8.98212376344087</v>
      </c>
      <c r="AD186" s="32" t="n">
        <f aca="false">ROUND(AA186+AC186,2)</f>
        <v>128.32</v>
      </c>
      <c r="AE186" s="32" t="n">
        <f aca="false">AD186-L186</f>
        <v>-37.64</v>
      </c>
      <c r="AF186" s="34" t="n">
        <f aca="false">IF(L186=0,0,AE186/L186)</f>
        <v>-0.226801638949144</v>
      </c>
      <c r="AG186" s="22" t="str">
        <f aca="false">IF(AD186&lt;L186,"PASSARO","ATUAL")</f>
        <v>PASSARO</v>
      </c>
      <c r="AH186" s="22" t="str">
        <f aca="false">IF(P186&lt;&gt;A186,"Faixa cadastrada como "&amp;P186&amp;" na tabela; preço aplicado pela UF do CEP","")</f>
        <v/>
      </c>
      <c r="AI186" s="26" t="n">
        <v>161.55</v>
      </c>
      <c r="AJ186" s="22" t="str">
        <f aca="false">INDEX('Tabela Passaro'!$X$2:$X$1795,$N186)</f>
        <v>CAPITAL</v>
      </c>
    </row>
    <row r="187" customFormat="false" ht="15" hidden="false" customHeight="false" outlineLevel="0" collapsed="false">
      <c r="A187" s="22" t="s">
        <v>16</v>
      </c>
      <c r="B187" s="22" t="n">
        <v>1</v>
      </c>
      <c r="C187" s="22" t="s">
        <v>75</v>
      </c>
      <c r="D187" s="22" t="s">
        <v>30</v>
      </c>
      <c r="E187" s="22" t="s">
        <v>7328</v>
      </c>
      <c r="F187" s="22" t="n">
        <v>2307910</v>
      </c>
      <c r="G187" s="30" t="n">
        <v>46239</v>
      </c>
      <c r="H187" s="22" t="n">
        <v>131884</v>
      </c>
      <c r="I187" s="22" t="s">
        <v>7487</v>
      </c>
      <c r="J187" s="31" t="n">
        <v>124.2</v>
      </c>
      <c r="K187" s="26" t="n">
        <v>1864.74</v>
      </c>
      <c r="L187" s="26" t="n">
        <v>252.64</v>
      </c>
      <c r="M187" s="22" t="s">
        <v>694</v>
      </c>
      <c r="N187" s="22" t="n">
        <f aca="false">MATCH(M187,'Tabela Passaro'!$A$2:$A$1795,0)</f>
        <v>106</v>
      </c>
      <c r="O187" s="22" t="str">
        <f aca="false">INDEX('Tabela Passaro'!$C$2:$C$1795,$N187)</f>
        <v>SALVADOR</v>
      </c>
      <c r="P187" s="22" t="str">
        <f aca="false">INDEX('Tabela Passaro'!$B$2:$B$1795,$N187)</f>
        <v>BA</v>
      </c>
      <c r="Q187" s="22" t="n">
        <f aca="false">INDEX('Tabela Passaro'!$F$2:$F$1795,$N187)</f>
        <v>6</v>
      </c>
      <c r="R187" s="32" t="n">
        <f aca="false">IF(J187&lt;=10,INDEX('Tabela Passaro'!$G$2:$G$1795,$N187),IF(J187&lt;=30,INDEX('Tabela Passaro'!$H$2:$H$1795,$N187),IF(J187&lt;=50,INDEX('Tabela Passaro'!$I$2:$I$1795,$N187),IF(J187&lt;=70,INDEX('Tabela Passaro'!$J$2:$J$1795,$N187),IF(J187&lt;=100,INDEX('Tabela Passaro'!$K$2:$K$1795,$N187),INDEX('Tabela Passaro'!$K$2:$K$1795,$N187)+(J187-100)*INDEX('Tabela Passaro'!$L$2:$L$1795,$N187))))))</f>
        <v>113.032</v>
      </c>
      <c r="S187" s="32" t="n">
        <f aca="false">K187*INDEX('Tabela Passaro'!$M$2:$M$1795,$N187)</f>
        <v>9.3237</v>
      </c>
      <c r="T187" s="32" t="n">
        <f aca="false">K187*INDEX('Tabela Passaro'!$N$2:$N$1795,$N187)</f>
        <v>3.72948</v>
      </c>
      <c r="U187" s="32" t="n">
        <f aca="false">INDEX('Tabela Passaro'!$O$2:$O$1795,$N187)</f>
        <v>5</v>
      </c>
      <c r="V187" s="32" t="n">
        <f aca="false">ROUNDUP(J187/INDEX('Tabela Passaro'!$Q$2:$Q$1795,$N187),0)*INDEX('Tabela Passaro'!$P$2:$P$1795,$N187)</f>
        <v>10</v>
      </c>
      <c r="W187" s="32" t="n">
        <f aca="false">INDEX('Tabela Passaro'!$R$2:$R$1795,$N187)</f>
        <v>30</v>
      </c>
      <c r="X187" s="32" t="n">
        <f aca="false">ROUNDUP(J187/INDEX('Tabela Passaro'!$T$2:$T$1795,$N187),0)*INDEX('Tabela Passaro'!$S$2:$S$1795,$N187)</f>
        <v>0</v>
      </c>
      <c r="Y187" s="32" t="n">
        <f aca="false">INDEX('Tabela Passaro'!$U$2:$U$1795,$N187)</f>
        <v>0</v>
      </c>
      <c r="Z187" s="32" t="n">
        <f aca="false">INDEX('Tabela Passaro'!$V$2:$V$1795,$N187)</f>
        <v>0</v>
      </c>
      <c r="AA187" s="32" t="n">
        <f aca="false">SUM(R187:Z187)</f>
        <v>171.08518</v>
      </c>
      <c r="AB187" s="33" t="n">
        <f aca="false">INDEX(Premissas!$B$5:$B$13,MATCH(A187,Premissas!$A$5:$A$13,0))</f>
        <v>0.07</v>
      </c>
      <c r="AC187" s="32" t="n">
        <f aca="false">AA187/(1-AB187)-AA187</f>
        <v>12.877379139785</v>
      </c>
      <c r="AD187" s="32" t="n">
        <f aca="false">ROUND(AA187+AC187,2)</f>
        <v>183.96</v>
      </c>
      <c r="AE187" s="32" t="n">
        <f aca="false">AD187-L187</f>
        <v>-68.68</v>
      </c>
      <c r="AF187" s="34" t="n">
        <f aca="false">IF(L187=0,0,AE187/L187)</f>
        <v>-0.271849271690944</v>
      </c>
      <c r="AG187" s="22" t="str">
        <f aca="false">IF(AD187&lt;L187,"PASSARO","ATUAL")</f>
        <v>PASSARO</v>
      </c>
      <c r="AH187" s="22" t="str">
        <f aca="false">IF(P187&lt;&gt;A187,"Faixa cadastrada como "&amp;P187&amp;" na tabela; preço aplicado pela UF do CEP","")</f>
        <v/>
      </c>
      <c r="AI187" s="26" t="n">
        <v>258.75</v>
      </c>
      <c r="AJ187" s="22" t="str">
        <f aca="false">INDEX('Tabela Passaro'!$X$2:$X$1795,$N187)</f>
        <v>CAPITAL</v>
      </c>
    </row>
    <row r="188" customFormat="false" ht="15" hidden="false" customHeight="false" outlineLevel="0" collapsed="false">
      <c r="A188" s="22" t="s">
        <v>16</v>
      </c>
      <c r="B188" s="22" t="n">
        <v>1</v>
      </c>
      <c r="C188" s="22" t="s">
        <v>75</v>
      </c>
      <c r="D188" s="22" t="s">
        <v>30</v>
      </c>
      <c r="E188" s="22" t="s">
        <v>7328</v>
      </c>
      <c r="F188" s="22" t="n">
        <v>2307923</v>
      </c>
      <c r="G188" s="30" t="n">
        <v>46239</v>
      </c>
      <c r="H188" s="22" t="n">
        <v>131896</v>
      </c>
      <c r="I188" s="22" t="s">
        <v>7488</v>
      </c>
      <c r="J188" s="31" t="n">
        <v>106.5</v>
      </c>
      <c r="K188" s="26" t="n">
        <v>1439.98</v>
      </c>
      <c r="L188" s="26" t="n">
        <v>233.6</v>
      </c>
      <c r="M188" s="22" t="s">
        <v>694</v>
      </c>
      <c r="N188" s="22" t="n">
        <f aca="false">MATCH(M188,'Tabela Passaro'!$A$2:$A$1795,0)</f>
        <v>106</v>
      </c>
      <c r="O188" s="22" t="str">
        <f aca="false">INDEX('Tabela Passaro'!$C$2:$C$1795,$N188)</f>
        <v>SALVADOR</v>
      </c>
      <c r="P188" s="22" t="str">
        <f aca="false">INDEX('Tabela Passaro'!$B$2:$B$1795,$N188)</f>
        <v>BA</v>
      </c>
      <c r="Q188" s="22" t="n">
        <f aca="false">INDEX('Tabela Passaro'!$F$2:$F$1795,$N188)</f>
        <v>6</v>
      </c>
      <c r="R188" s="32" t="n">
        <f aca="false">IF(J188&lt;=10,INDEX('Tabela Passaro'!$G$2:$G$1795,$N188),IF(J188&lt;=30,INDEX('Tabela Passaro'!$H$2:$H$1795,$N188),IF(J188&lt;=50,INDEX('Tabela Passaro'!$I$2:$I$1795,$N188),IF(J188&lt;=70,INDEX('Tabela Passaro'!$J$2:$J$1795,$N188),IF(J188&lt;=100,INDEX('Tabela Passaro'!$K$2:$K$1795,$N188),INDEX('Tabela Passaro'!$K$2:$K$1795,$N188)+(J188-100)*INDEX('Tabela Passaro'!$L$2:$L$1795,$N188))))))</f>
        <v>92.5</v>
      </c>
      <c r="S188" s="32" t="n">
        <f aca="false">K188*INDEX('Tabela Passaro'!$M$2:$M$1795,$N188)</f>
        <v>7.1999</v>
      </c>
      <c r="T188" s="32" t="n">
        <f aca="false">K188*INDEX('Tabela Passaro'!$N$2:$N$1795,$N188)</f>
        <v>2.87996</v>
      </c>
      <c r="U188" s="32" t="n">
        <f aca="false">INDEX('Tabela Passaro'!$O$2:$O$1795,$N188)</f>
        <v>5</v>
      </c>
      <c r="V188" s="32" t="n">
        <f aca="false">ROUNDUP(J188/INDEX('Tabela Passaro'!$Q$2:$Q$1795,$N188),0)*INDEX('Tabela Passaro'!$P$2:$P$1795,$N188)</f>
        <v>10</v>
      </c>
      <c r="W188" s="32" t="n">
        <f aca="false">INDEX('Tabela Passaro'!$R$2:$R$1795,$N188)</f>
        <v>30</v>
      </c>
      <c r="X188" s="32" t="n">
        <f aca="false">ROUNDUP(J188/INDEX('Tabela Passaro'!$T$2:$T$1795,$N188),0)*INDEX('Tabela Passaro'!$S$2:$S$1795,$N188)</f>
        <v>0</v>
      </c>
      <c r="Y188" s="32" t="n">
        <f aca="false">INDEX('Tabela Passaro'!$U$2:$U$1795,$N188)</f>
        <v>0</v>
      </c>
      <c r="Z188" s="32" t="n">
        <f aca="false">INDEX('Tabela Passaro'!$V$2:$V$1795,$N188)</f>
        <v>0</v>
      </c>
      <c r="AA188" s="32" t="n">
        <f aca="false">SUM(R188:Z188)</f>
        <v>147.57986</v>
      </c>
      <c r="AB188" s="33" t="n">
        <f aca="false">INDEX(Premissas!$B$5:$B$13,MATCH(A188,Premissas!$A$5:$A$13,0))</f>
        <v>0.07</v>
      </c>
      <c r="AC188" s="32" t="n">
        <f aca="false">AA188/(1-AB188)-AA188</f>
        <v>11.1081615053764</v>
      </c>
      <c r="AD188" s="32" t="n">
        <f aca="false">ROUND(AA188+AC188,2)</f>
        <v>158.69</v>
      </c>
      <c r="AE188" s="32" t="n">
        <f aca="false">AD188-L188</f>
        <v>-74.91</v>
      </c>
      <c r="AF188" s="34" t="n">
        <f aca="false">IF(L188=0,0,AE188/L188)</f>
        <v>-0.320676369863014</v>
      </c>
      <c r="AG188" s="22" t="str">
        <f aca="false">IF(AD188&lt;L188,"PASSARO","ATUAL")</f>
        <v>PASSARO</v>
      </c>
      <c r="AH188" s="22" t="str">
        <f aca="false">IF(P188&lt;&gt;A188,"Faixa cadastrada como "&amp;P188&amp;" na tabela; preço aplicado pela UF do CEP","")</f>
        <v/>
      </c>
      <c r="AI188" s="26" t="n">
        <v>220.99</v>
      </c>
      <c r="AJ188" s="22" t="str">
        <f aca="false">INDEX('Tabela Passaro'!$X$2:$X$1795,$N188)</f>
        <v>CAPITAL</v>
      </c>
    </row>
    <row r="189" customFormat="false" ht="15" hidden="false" customHeight="false" outlineLevel="0" collapsed="false">
      <c r="A189" s="22" t="s">
        <v>16</v>
      </c>
      <c r="B189" s="22" t="n">
        <v>1</v>
      </c>
      <c r="C189" s="22" t="s">
        <v>75</v>
      </c>
      <c r="D189" s="22" t="s">
        <v>30</v>
      </c>
      <c r="E189" s="22" t="s">
        <v>7328</v>
      </c>
      <c r="F189" s="22" t="n">
        <v>2307927</v>
      </c>
      <c r="G189" s="30" t="n">
        <v>46239</v>
      </c>
      <c r="H189" s="22" t="n">
        <v>131900</v>
      </c>
      <c r="I189" s="22" t="s">
        <v>7489</v>
      </c>
      <c r="J189" s="31" t="n">
        <v>58.4</v>
      </c>
      <c r="K189" s="26" t="n">
        <v>1199.98</v>
      </c>
      <c r="L189" s="26" t="n">
        <v>168.8</v>
      </c>
      <c r="M189" s="22" t="s">
        <v>694</v>
      </c>
      <c r="N189" s="22" t="n">
        <f aca="false">MATCH(M189,'Tabela Passaro'!$A$2:$A$1795,0)</f>
        <v>106</v>
      </c>
      <c r="O189" s="22" t="str">
        <f aca="false">INDEX('Tabela Passaro'!$C$2:$C$1795,$N189)</f>
        <v>SALVADOR</v>
      </c>
      <c r="P189" s="22" t="str">
        <f aca="false">INDEX('Tabela Passaro'!$B$2:$B$1795,$N189)</f>
        <v>BA</v>
      </c>
      <c r="Q189" s="22" t="n">
        <f aca="false">INDEX('Tabela Passaro'!$F$2:$F$1795,$N189)</f>
        <v>6</v>
      </c>
      <c r="R189" s="32" t="n">
        <f aca="false">IF(J189&lt;=10,INDEX('Tabela Passaro'!$G$2:$G$1795,$N189),IF(J189&lt;=30,INDEX('Tabela Passaro'!$H$2:$H$1795,$N189),IF(J189&lt;=50,INDEX('Tabela Passaro'!$I$2:$I$1795,$N189),IF(J189&lt;=70,INDEX('Tabela Passaro'!$J$2:$J$1795,$N189),IF(J189&lt;=100,INDEX('Tabela Passaro'!$K$2:$K$1795,$N189),INDEX('Tabela Passaro'!$K$2:$K$1795,$N189)+(J189-100)*INDEX('Tabela Passaro'!$L$2:$L$1795,$N189))))))</f>
        <v>73.44</v>
      </c>
      <c r="S189" s="32" t="n">
        <f aca="false">K189*INDEX('Tabela Passaro'!$M$2:$M$1795,$N189)</f>
        <v>5.9999</v>
      </c>
      <c r="T189" s="32" t="n">
        <f aca="false">K189*INDEX('Tabela Passaro'!$N$2:$N$1795,$N189)</f>
        <v>2.39996</v>
      </c>
      <c r="U189" s="32" t="n">
        <f aca="false">INDEX('Tabela Passaro'!$O$2:$O$1795,$N189)</f>
        <v>5</v>
      </c>
      <c r="V189" s="32" t="n">
        <f aca="false">ROUNDUP(J189/INDEX('Tabela Passaro'!$Q$2:$Q$1795,$N189),0)*INDEX('Tabela Passaro'!$P$2:$P$1795,$N189)</f>
        <v>5</v>
      </c>
      <c r="W189" s="32" t="n">
        <f aca="false">INDEX('Tabela Passaro'!$R$2:$R$1795,$N189)</f>
        <v>30</v>
      </c>
      <c r="X189" s="32" t="n">
        <f aca="false">ROUNDUP(J189/INDEX('Tabela Passaro'!$T$2:$T$1795,$N189),0)*INDEX('Tabela Passaro'!$S$2:$S$1795,$N189)</f>
        <v>0</v>
      </c>
      <c r="Y189" s="32" t="n">
        <f aca="false">INDEX('Tabela Passaro'!$U$2:$U$1795,$N189)</f>
        <v>0</v>
      </c>
      <c r="Z189" s="32" t="n">
        <f aca="false">INDEX('Tabela Passaro'!$V$2:$V$1795,$N189)</f>
        <v>0</v>
      </c>
      <c r="AA189" s="32" t="n">
        <f aca="false">SUM(R189:Z189)</f>
        <v>121.83986</v>
      </c>
      <c r="AB189" s="33" t="n">
        <f aca="false">INDEX(Premissas!$B$5:$B$13,MATCH(A189,Premissas!$A$5:$A$13,0))</f>
        <v>0.07</v>
      </c>
      <c r="AC189" s="32" t="n">
        <f aca="false">AA189/(1-AB189)-AA189</f>
        <v>9.17074215053764</v>
      </c>
      <c r="AD189" s="32" t="n">
        <f aca="false">ROUND(AA189+AC189,2)</f>
        <v>131.01</v>
      </c>
      <c r="AE189" s="32" t="n">
        <f aca="false">AD189-L189</f>
        <v>-37.79</v>
      </c>
      <c r="AF189" s="34" t="n">
        <f aca="false">IF(L189=0,0,AE189/L189)</f>
        <v>-0.223874407582939</v>
      </c>
      <c r="AG189" s="22" t="str">
        <f aca="false">IF(AD189&lt;L189,"PASSARO","ATUAL")</f>
        <v>PASSARO</v>
      </c>
      <c r="AH189" s="22" t="str">
        <f aca="false">IF(P189&lt;&gt;A189,"Faixa cadastrada como "&amp;P189&amp;" na tabela; preço aplicado pela UF do CEP","")</f>
        <v/>
      </c>
      <c r="AI189" s="26" t="n">
        <v>168.4</v>
      </c>
      <c r="AJ189" s="22" t="str">
        <f aca="false">INDEX('Tabela Passaro'!$X$2:$X$1795,$N189)</f>
        <v>CAPITAL</v>
      </c>
    </row>
    <row r="190" customFormat="false" ht="15" hidden="false" customHeight="false" outlineLevel="0" collapsed="false">
      <c r="A190" s="22" t="s">
        <v>16</v>
      </c>
      <c r="B190" s="22" t="n">
        <v>1</v>
      </c>
      <c r="C190" s="22" t="s">
        <v>75</v>
      </c>
      <c r="D190" s="22" t="s">
        <v>30</v>
      </c>
      <c r="E190" s="22" t="s">
        <v>7328</v>
      </c>
      <c r="F190" s="22" t="n">
        <v>2307949</v>
      </c>
      <c r="G190" s="30" t="n">
        <v>46239</v>
      </c>
      <c r="H190" s="22" t="n">
        <v>131936</v>
      </c>
      <c r="I190" s="22" t="s">
        <v>7490</v>
      </c>
      <c r="J190" s="31" t="n">
        <v>44.6</v>
      </c>
      <c r="K190" s="26" t="n">
        <v>753.44</v>
      </c>
      <c r="L190" s="26" t="n">
        <v>144.17</v>
      </c>
      <c r="M190" s="22" t="s">
        <v>694</v>
      </c>
      <c r="N190" s="22" t="n">
        <f aca="false">MATCH(M190,'Tabela Passaro'!$A$2:$A$1795,0)</f>
        <v>106</v>
      </c>
      <c r="O190" s="22" t="str">
        <f aca="false">INDEX('Tabela Passaro'!$C$2:$C$1795,$N190)</f>
        <v>SALVADOR</v>
      </c>
      <c r="P190" s="22" t="str">
        <f aca="false">INDEX('Tabela Passaro'!$B$2:$B$1795,$N190)</f>
        <v>BA</v>
      </c>
      <c r="Q190" s="22" t="n">
        <f aca="false">INDEX('Tabela Passaro'!$F$2:$F$1795,$N190)</f>
        <v>6</v>
      </c>
      <c r="R190" s="32" t="n">
        <f aca="false">IF(J190&lt;=10,INDEX('Tabela Passaro'!$G$2:$G$1795,$N190),IF(J190&lt;=30,INDEX('Tabela Passaro'!$H$2:$H$1795,$N190),IF(J190&lt;=50,INDEX('Tabela Passaro'!$I$2:$I$1795,$N190),IF(J190&lt;=70,INDEX('Tabela Passaro'!$J$2:$J$1795,$N190),IF(J190&lt;=100,INDEX('Tabela Passaro'!$K$2:$K$1795,$N190),INDEX('Tabela Passaro'!$K$2:$K$1795,$N190)+(J190-100)*INDEX('Tabela Passaro'!$L$2:$L$1795,$N190))))))</f>
        <v>61.92</v>
      </c>
      <c r="S190" s="32" t="n">
        <f aca="false">K190*INDEX('Tabela Passaro'!$M$2:$M$1795,$N190)</f>
        <v>3.7672</v>
      </c>
      <c r="T190" s="32" t="n">
        <f aca="false">K190*INDEX('Tabela Passaro'!$N$2:$N$1795,$N190)</f>
        <v>1.50688</v>
      </c>
      <c r="U190" s="32" t="n">
        <f aca="false">INDEX('Tabela Passaro'!$O$2:$O$1795,$N190)</f>
        <v>5</v>
      </c>
      <c r="V190" s="32" t="n">
        <f aca="false">ROUNDUP(J190/INDEX('Tabela Passaro'!$Q$2:$Q$1795,$N190),0)*INDEX('Tabela Passaro'!$P$2:$P$1795,$N190)</f>
        <v>5</v>
      </c>
      <c r="W190" s="32" t="n">
        <f aca="false">INDEX('Tabela Passaro'!$R$2:$R$1795,$N190)</f>
        <v>30</v>
      </c>
      <c r="X190" s="32" t="n">
        <f aca="false">ROUNDUP(J190/INDEX('Tabela Passaro'!$T$2:$T$1795,$N190),0)*INDEX('Tabela Passaro'!$S$2:$S$1795,$N190)</f>
        <v>0</v>
      </c>
      <c r="Y190" s="32" t="n">
        <f aca="false">INDEX('Tabela Passaro'!$U$2:$U$1795,$N190)</f>
        <v>0</v>
      </c>
      <c r="Z190" s="32" t="n">
        <f aca="false">INDEX('Tabela Passaro'!$V$2:$V$1795,$N190)</f>
        <v>0</v>
      </c>
      <c r="AA190" s="32" t="n">
        <f aca="false">SUM(R190:Z190)</f>
        <v>107.19408</v>
      </c>
      <c r="AB190" s="33" t="n">
        <f aca="false">INDEX(Premissas!$B$5:$B$13,MATCH(A190,Premissas!$A$5:$A$13,0))</f>
        <v>0.07</v>
      </c>
      <c r="AC190" s="32" t="n">
        <f aca="false">AA190/(1-AB190)-AA190</f>
        <v>8.06837161290324</v>
      </c>
      <c r="AD190" s="32" t="n">
        <f aca="false">ROUND(AA190+AC190,2)</f>
        <v>115.26</v>
      </c>
      <c r="AE190" s="32" t="n">
        <f aca="false">AD190-L190</f>
        <v>-28.91</v>
      </c>
      <c r="AF190" s="34" t="n">
        <f aca="false">IF(L190=0,0,AE190/L190)</f>
        <v>-0.200527155441493</v>
      </c>
      <c r="AG190" s="22" t="str">
        <f aca="false">IF(AD190&lt;L190,"PASSARO","ATUAL")</f>
        <v>PASSARO</v>
      </c>
      <c r="AH190" s="22" t="str">
        <f aca="false">IF(P190&lt;&gt;A190,"Faixa cadastrada como "&amp;P190&amp;" na tabela; preço aplicado pela UF do CEP","")</f>
        <v/>
      </c>
      <c r="AI190" s="26" t="n">
        <v>144.78</v>
      </c>
      <c r="AJ190" s="22" t="str">
        <f aca="false">INDEX('Tabela Passaro'!$X$2:$X$1795,$N190)</f>
        <v>CAPITAL</v>
      </c>
    </row>
    <row r="191" customFormat="false" ht="15" hidden="false" customHeight="false" outlineLevel="0" collapsed="false">
      <c r="A191" s="22" t="s">
        <v>16</v>
      </c>
      <c r="B191" s="22" t="n">
        <v>1</v>
      </c>
      <c r="C191" s="22" t="s">
        <v>75</v>
      </c>
      <c r="D191" s="22" t="s">
        <v>30</v>
      </c>
      <c r="E191" s="22" t="s">
        <v>7328</v>
      </c>
      <c r="F191" s="22" t="n">
        <v>2307950</v>
      </c>
      <c r="G191" s="30" t="n">
        <v>46239</v>
      </c>
      <c r="H191" s="22" t="n">
        <v>131938</v>
      </c>
      <c r="I191" s="22" t="s">
        <v>7491</v>
      </c>
      <c r="J191" s="31" t="n">
        <v>79.52</v>
      </c>
      <c r="K191" s="26" t="n">
        <v>1374.66</v>
      </c>
      <c r="L191" s="26" t="n">
        <v>209.22</v>
      </c>
      <c r="M191" s="22" t="s">
        <v>694</v>
      </c>
      <c r="N191" s="22" t="n">
        <f aca="false">MATCH(M191,'Tabela Passaro'!$A$2:$A$1795,0)</f>
        <v>106</v>
      </c>
      <c r="O191" s="22" t="str">
        <f aca="false">INDEX('Tabela Passaro'!$C$2:$C$1795,$N191)</f>
        <v>SALVADOR</v>
      </c>
      <c r="P191" s="22" t="str">
        <f aca="false">INDEX('Tabela Passaro'!$B$2:$B$1795,$N191)</f>
        <v>BA</v>
      </c>
      <c r="Q191" s="22" t="n">
        <f aca="false">INDEX('Tabela Passaro'!$F$2:$F$1795,$N191)</f>
        <v>6</v>
      </c>
      <c r="R191" s="32" t="n">
        <f aca="false">IF(J191&lt;=10,INDEX('Tabela Passaro'!$G$2:$G$1795,$N191),IF(J191&lt;=30,INDEX('Tabela Passaro'!$H$2:$H$1795,$N191),IF(J191&lt;=50,INDEX('Tabela Passaro'!$I$2:$I$1795,$N191),IF(J191&lt;=70,INDEX('Tabela Passaro'!$J$2:$J$1795,$N191),IF(J191&lt;=100,INDEX('Tabela Passaro'!$K$2:$K$1795,$N191),INDEX('Tabela Passaro'!$K$2:$K$1795,$N191)+(J191-100)*INDEX('Tabela Passaro'!$L$2:$L$1795,$N191))))))</f>
        <v>84.96</v>
      </c>
      <c r="S191" s="32" t="n">
        <f aca="false">K191*INDEX('Tabela Passaro'!$M$2:$M$1795,$N191)</f>
        <v>6.8733</v>
      </c>
      <c r="T191" s="32" t="n">
        <f aca="false">K191*INDEX('Tabela Passaro'!$N$2:$N$1795,$N191)</f>
        <v>2.74932</v>
      </c>
      <c r="U191" s="32" t="n">
        <f aca="false">INDEX('Tabela Passaro'!$O$2:$O$1795,$N191)</f>
        <v>5</v>
      </c>
      <c r="V191" s="32" t="n">
        <f aca="false">ROUNDUP(J191/INDEX('Tabela Passaro'!$Q$2:$Q$1795,$N191),0)*INDEX('Tabela Passaro'!$P$2:$P$1795,$N191)</f>
        <v>5</v>
      </c>
      <c r="W191" s="32" t="n">
        <f aca="false">INDEX('Tabela Passaro'!$R$2:$R$1795,$N191)</f>
        <v>30</v>
      </c>
      <c r="X191" s="32" t="n">
        <f aca="false">ROUNDUP(J191/INDEX('Tabela Passaro'!$T$2:$T$1795,$N191),0)*INDEX('Tabela Passaro'!$S$2:$S$1795,$N191)</f>
        <v>0</v>
      </c>
      <c r="Y191" s="32" t="n">
        <f aca="false">INDEX('Tabela Passaro'!$U$2:$U$1795,$N191)</f>
        <v>0</v>
      </c>
      <c r="Z191" s="32" t="n">
        <f aca="false">INDEX('Tabela Passaro'!$V$2:$V$1795,$N191)</f>
        <v>0</v>
      </c>
      <c r="AA191" s="32" t="n">
        <f aca="false">SUM(R191:Z191)</f>
        <v>134.58262</v>
      </c>
      <c r="AB191" s="33" t="n">
        <f aca="false">INDEX(Premissas!$B$5:$B$13,MATCH(A191,Premissas!$A$5:$A$13,0))</f>
        <v>0.07</v>
      </c>
      <c r="AC191" s="32" t="n">
        <f aca="false">AA191/(1-AB191)-AA191</f>
        <v>10.1298746236559</v>
      </c>
      <c r="AD191" s="32" t="n">
        <f aca="false">ROUND(AA191+AC191,2)</f>
        <v>144.71</v>
      </c>
      <c r="AE191" s="32" t="n">
        <f aca="false">AD191-L191</f>
        <v>-64.51</v>
      </c>
      <c r="AF191" s="34" t="n">
        <f aca="false">IF(L191=0,0,AE191/L191)</f>
        <v>-0.308335723162222</v>
      </c>
      <c r="AG191" s="22" t="str">
        <f aca="false">IF(AD191&lt;L191,"PASSARO","ATUAL")</f>
        <v>PASSARO</v>
      </c>
      <c r="AH191" s="22" t="str">
        <f aca="false">IF(P191&lt;&gt;A191,"Faixa cadastrada como "&amp;P191&amp;" na tabela; preço aplicado pela UF do CEP","")</f>
        <v/>
      </c>
      <c r="AI191" s="26" t="n">
        <v>192.77</v>
      </c>
      <c r="AJ191" s="22" t="str">
        <f aca="false">INDEX('Tabela Passaro'!$X$2:$X$1795,$N191)</f>
        <v>CAPITAL</v>
      </c>
    </row>
    <row r="192" customFormat="false" ht="15" hidden="false" customHeight="false" outlineLevel="0" collapsed="false">
      <c r="A192" s="22" t="s">
        <v>16</v>
      </c>
      <c r="B192" s="22" t="n">
        <v>1</v>
      </c>
      <c r="C192" s="22" t="s">
        <v>75</v>
      </c>
      <c r="D192" s="22" t="s">
        <v>30</v>
      </c>
      <c r="E192" s="22" t="s">
        <v>7328</v>
      </c>
      <c r="F192" s="22" t="n">
        <v>2307954</v>
      </c>
      <c r="G192" s="30" t="n">
        <v>46239</v>
      </c>
      <c r="H192" s="22" t="n">
        <v>131942</v>
      </c>
      <c r="I192" s="22" t="s">
        <v>7492</v>
      </c>
      <c r="J192" s="31" t="n">
        <v>45.4</v>
      </c>
      <c r="K192" s="26" t="n">
        <v>626.96</v>
      </c>
      <c r="L192" s="26" t="n">
        <v>143.16</v>
      </c>
      <c r="M192" s="22" t="s">
        <v>694</v>
      </c>
      <c r="N192" s="22" t="n">
        <f aca="false">MATCH(M192,'Tabela Passaro'!$A$2:$A$1795,0)</f>
        <v>106</v>
      </c>
      <c r="O192" s="22" t="str">
        <f aca="false">INDEX('Tabela Passaro'!$C$2:$C$1795,$N192)</f>
        <v>SALVADOR</v>
      </c>
      <c r="P192" s="22" t="str">
        <f aca="false">INDEX('Tabela Passaro'!$B$2:$B$1795,$N192)</f>
        <v>BA</v>
      </c>
      <c r="Q192" s="22" t="n">
        <f aca="false">INDEX('Tabela Passaro'!$F$2:$F$1795,$N192)</f>
        <v>6</v>
      </c>
      <c r="R192" s="32" t="n">
        <f aca="false">IF(J192&lt;=10,INDEX('Tabela Passaro'!$G$2:$G$1795,$N192),IF(J192&lt;=30,INDEX('Tabela Passaro'!$H$2:$H$1795,$N192),IF(J192&lt;=50,INDEX('Tabela Passaro'!$I$2:$I$1795,$N192),IF(J192&lt;=70,INDEX('Tabela Passaro'!$J$2:$J$1795,$N192),IF(J192&lt;=100,INDEX('Tabela Passaro'!$K$2:$K$1795,$N192),INDEX('Tabela Passaro'!$K$2:$K$1795,$N192)+(J192-100)*INDEX('Tabela Passaro'!$L$2:$L$1795,$N192))))))</f>
        <v>61.92</v>
      </c>
      <c r="S192" s="32" t="n">
        <f aca="false">K192*INDEX('Tabela Passaro'!$M$2:$M$1795,$N192)</f>
        <v>3.1348</v>
      </c>
      <c r="T192" s="32" t="n">
        <f aca="false">K192*INDEX('Tabela Passaro'!$N$2:$N$1795,$N192)</f>
        <v>1.25392</v>
      </c>
      <c r="U192" s="32" t="n">
        <f aca="false">INDEX('Tabela Passaro'!$O$2:$O$1795,$N192)</f>
        <v>5</v>
      </c>
      <c r="V192" s="32" t="n">
        <f aca="false">ROUNDUP(J192/INDEX('Tabela Passaro'!$Q$2:$Q$1795,$N192),0)*INDEX('Tabela Passaro'!$P$2:$P$1795,$N192)</f>
        <v>5</v>
      </c>
      <c r="W192" s="32" t="n">
        <f aca="false">INDEX('Tabela Passaro'!$R$2:$R$1795,$N192)</f>
        <v>30</v>
      </c>
      <c r="X192" s="32" t="n">
        <f aca="false">ROUNDUP(J192/INDEX('Tabela Passaro'!$T$2:$T$1795,$N192),0)*INDEX('Tabela Passaro'!$S$2:$S$1795,$N192)</f>
        <v>0</v>
      </c>
      <c r="Y192" s="32" t="n">
        <f aca="false">INDEX('Tabela Passaro'!$U$2:$U$1795,$N192)</f>
        <v>0</v>
      </c>
      <c r="Z192" s="32" t="n">
        <f aca="false">INDEX('Tabela Passaro'!$V$2:$V$1795,$N192)</f>
        <v>0</v>
      </c>
      <c r="AA192" s="32" t="n">
        <f aca="false">SUM(R192:Z192)</f>
        <v>106.30872</v>
      </c>
      <c r="AB192" s="33" t="n">
        <f aca="false">INDEX(Premissas!$B$5:$B$13,MATCH(A192,Premissas!$A$5:$A$13,0))</f>
        <v>0.07</v>
      </c>
      <c r="AC192" s="32" t="n">
        <f aca="false">AA192/(1-AB192)-AA192</f>
        <v>8.00173161290323</v>
      </c>
      <c r="AD192" s="32" t="n">
        <f aca="false">ROUND(AA192+AC192,2)</f>
        <v>114.31</v>
      </c>
      <c r="AE192" s="32" t="n">
        <f aca="false">AD192-L192</f>
        <v>-28.85</v>
      </c>
      <c r="AF192" s="34" t="n">
        <f aca="false">IF(L192=0,0,AE192/L192)</f>
        <v>-0.201522771723945</v>
      </c>
      <c r="AG192" s="22" t="str">
        <f aca="false">IF(AD192&lt;L192,"PASSARO","ATUAL")</f>
        <v>PASSARO</v>
      </c>
      <c r="AH192" s="22" t="str">
        <f aca="false">IF(P192&lt;&gt;A192,"Faixa cadastrada como "&amp;P192&amp;" na tabela; preço aplicado pela UF do CEP","")</f>
        <v/>
      </c>
      <c r="AI192" s="26" t="n">
        <v>144.04</v>
      </c>
      <c r="AJ192" s="22" t="str">
        <f aca="false">INDEX('Tabela Passaro'!$X$2:$X$1795,$N192)</f>
        <v>CAPITAL</v>
      </c>
    </row>
    <row r="193" customFormat="false" ht="15" hidden="false" customHeight="false" outlineLevel="0" collapsed="false">
      <c r="A193" s="22" t="s">
        <v>16</v>
      </c>
      <c r="B193" s="22" t="n">
        <v>1</v>
      </c>
      <c r="C193" s="22" t="s">
        <v>75</v>
      </c>
      <c r="D193" s="22" t="s">
        <v>30</v>
      </c>
      <c r="E193" s="22" t="s">
        <v>7328</v>
      </c>
      <c r="F193" s="22" t="n">
        <v>2307961</v>
      </c>
      <c r="G193" s="30" t="n">
        <v>46239</v>
      </c>
      <c r="H193" s="22" t="n">
        <v>131949</v>
      </c>
      <c r="I193" s="22" t="s">
        <v>7493</v>
      </c>
      <c r="J193" s="31" t="n">
        <v>66.4</v>
      </c>
      <c r="K193" s="26" t="n">
        <v>934.22</v>
      </c>
      <c r="L193" s="26" t="n">
        <v>166.7</v>
      </c>
      <c r="M193" s="22" t="s">
        <v>694</v>
      </c>
      <c r="N193" s="22" t="n">
        <f aca="false">MATCH(M193,'Tabela Passaro'!$A$2:$A$1795,0)</f>
        <v>106</v>
      </c>
      <c r="O193" s="22" t="str">
        <f aca="false">INDEX('Tabela Passaro'!$C$2:$C$1795,$N193)</f>
        <v>SALVADOR</v>
      </c>
      <c r="P193" s="22" t="str">
        <f aca="false">INDEX('Tabela Passaro'!$B$2:$B$1795,$N193)</f>
        <v>BA</v>
      </c>
      <c r="Q193" s="22" t="n">
        <f aca="false">INDEX('Tabela Passaro'!$F$2:$F$1795,$N193)</f>
        <v>6</v>
      </c>
      <c r="R193" s="32" t="n">
        <f aca="false">IF(J193&lt;=10,INDEX('Tabela Passaro'!$G$2:$G$1795,$N193),IF(J193&lt;=30,INDEX('Tabela Passaro'!$H$2:$H$1795,$N193),IF(J193&lt;=50,INDEX('Tabela Passaro'!$I$2:$I$1795,$N193),IF(J193&lt;=70,INDEX('Tabela Passaro'!$J$2:$J$1795,$N193),IF(J193&lt;=100,INDEX('Tabela Passaro'!$K$2:$K$1795,$N193),INDEX('Tabela Passaro'!$K$2:$K$1795,$N193)+(J193-100)*INDEX('Tabela Passaro'!$L$2:$L$1795,$N193))))))</f>
        <v>73.44</v>
      </c>
      <c r="S193" s="32" t="n">
        <f aca="false">K193*INDEX('Tabela Passaro'!$M$2:$M$1795,$N193)</f>
        <v>4.6711</v>
      </c>
      <c r="T193" s="32" t="n">
        <f aca="false">K193*INDEX('Tabela Passaro'!$N$2:$N$1795,$N193)</f>
        <v>1.86844</v>
      </c>
      <c r="U193" s="32" t="n">
        <f aca="false">INDEX('Tabela Passaro'!$O$2:$O$1795,$N193)</f>
        <v>5</v>
      </c>
      <c r="V193" s="32" t="n">
        <f aca="false">ROUNDUP(J193/INDEX('Tabela Passaro'!$Q$2:$Q$1795,$N193),0)*INDEX('Tabela Passaro'!$P$2:$P$1795,$N193)</f>
        <v>5</v>
      </c>
      <c r="W193" s="32" t="n">
        <f aca="false">INDEX('Tabela Passaro'!$R$2:$R$1795,$N193)</f>
        <v>30</v>
      </c>
      <c r="X193" s="32" t="n">
        <f aca="false">ROUNDUP(J193/INDEX('Tabela Passaro'!$T$2:$T$1795,$N193),0)*INDEX('Tabela Passaro'!$S$2:$S$1795,$N193)</f>
        <v>0</v>
      </c>
      <c r="Y193" s="32" t="n">
        <f aca="false">INDEX('Tabela Passaro'!$U$2:$U$1795,$N193)</f>
        <v>0</v>
      </c>
      <c r="Z193" s="32" t="n">
        <f aca="false">INDEX('Tabela Passaro'!$V$2:$V$1795,$N193)</f>
        <v>0</v>
      </c>
      <c r="AA193" s="32" t="n">
        <f aca="false">SUM(R193:Z193)</f>
        <v>119.97954</v>
      </c>
      <c r="AB193" s="33" t="n">
        <f aca="false">INDEX(Premissas!$B$5:$B$13,MATCH(A193,Premissas!$A$5:$A$13,0))</f>
        <v>0.07</v>
      </c>
      <c r="AC193" s="32" t="n">
        <f aca="false">AA193/(1-AB193)-AA193</f>
        <v>9.03071806451614</v>
      </c>
      <c r="AD193" s="32" t="n">
        <f aca="false">ROUND(AA193+AC193,2)</f>
        <v>129.01</v>
      </c>
      <c r="AE193" s="32" t="n">
        <f aca="false">AD193-L193</f>
        <v>-37.69</v>
      </c>
      <c r="AF193" s="34" t="n">
        <f aca="false">IF(L193=0,0,AE193/L193)</f>
        <v>-0.226094781043791</v>
      </c>
      <c r="AG193" s="22" t="str">
        <f aca="false">IF(AD193&lt;L193,"PASSARO","ATUAL")</f>
        <v>PASSARO</v>
      </c>
      <c r="AH193" s="22" t="str">
        <f aca="false">IF(P193&lt;&gt;A193,"Faixa cadastrada como "&amp;P193&amp;" na tabela; preço aplicado pela UF do CEP","")</f>
        <v/>
      </c>
      <c r="AI193" s="26" t="n">
        <v>169.7</v>
      </c>
      <c r="AJ193" s="22" t="str">
        <f aca="false">INDEX('Tabela Passaro'!$X$2:$X$1795,$N193)</f>
        <v>CAPITAL</v>
      </c>
    </row>
    <row r="194" customFormat="false" ht="15" hidden="false" customHeight="false" outlineLevel="0" collapsed="false">
      <c r="A194" s="22" t="s">
        <v>16</v>
      </c>
      <c r="B194" s="22" t="n">
        <v>1</v>
      </c>
      <c r="C194" s="22" t="s">
        <v>75</v>
      </c>
      <c r="D194" s="22" t="s">
        <v>30</v>
      </c>
      <c r="E194" s="22" t="s">
        <v>7328</v>
      </c>
      <c r="F194" s="22" t="n">
        <v>2307962</v>
      </c>
      <c r="G194" s="30" t="n">
        <v>46239</v>
      </c>
      <c r="H194" s="22" t="n">
        <v>131950</v>
      </c>
      <c r="I194" s="22" t="s">
        <v>7494</v>
      </c>
      <c r="J194" s="31" t="n">
        <v>29.2</v>
      </c>
      <c r="K194" s="26" t="n">
        <v>554.99</v>
      </c>
      <c r="L194" s="26" t="n">
        <v>112</v>
      </c>
      <c r="M194" s="22" t="s">
        <v>694</v>
      </c>
      <c r="N194" s="22" t="n">
        <f aca="false">MATCH(M194,'Tabela Passaro'!$A$2:$A$1795,0)</f>
        <v>106</v>
      </c>
      <c r="O194" s="22" t="str">
        <f aca="false">INDEX('Tabela Passaro'!$C$2:$C$1795,$N194)</f>
        <v>SALVADOR</v>
      </c>
      <c r="P194" s="22" t="str">
        <f aca="false">INDEX('Tabela Passaro'!$B$2:$B$1795,$N194)</f>
        <v>BA</v>
      </c>
      <c r="Q194" s="22" t="n">
        <f aca="false">INDEX('Tabela Passaro'!$F$2:$F$1795,$N194)</f>
        <v>6</v>
      </c>
      <c r="R194" s="32" t="n">
        <f aca="false">IF(J194&lt;=10,INDEX('Tabela Passaro'!$G$2:$G$1795,$N194),IF(J194&lt;=30,INDEX('Tabela Passaro'!$H$2:$H$1795,$N194),IF(J194&lt;=50,INDEX('Tabela Passaro'!$I$2:$I$1795,$N194),IF(J194&lt;=70,INDEX('Tabela Passaro'!$J$2:$J$1795,$N194),IF(J194&lt;=100,INDEX('Tabela Passaro'!$K$2:$K$1795,$N194),INDEX('Tabela Passaro'!$K$2:$K$1795,$N194)+(J194-100)*INDEX('Tabela Passaro'!$L$2:$L$1795,$N194))))))</f>
        <v>50.4</v>
      </c>
      <c r="S194" s="32" t="n">
        <f aca="false">K194*INDEX('Tabela Passaro'!$M$2:$M$1795,$N194)</f>
        <v>2.77495</v>
      </c>
      <c r="T194" s="32" t="n">
        <f aca="false">K194*INDEX('Tabela Passaro'!$N$2:$N$1795,$N194)</f>
        <v>1.10998</v>
      </c>
      <c r="U194" s="32" t="n">
        <f aca="false">INDEX('Tabela Passaro'!$O$2:$O$1795,$N194)</f>
        <v>5</v>
      </c>
      <c r="V194" s="32" t="n">
        <f aca="false">ROUNDUP(J194/INDEX('Tabela Passaro'!$Q$2:$Q$1795,$N194),0)*INDEX('Tabela Passaro'!$P$2:$P$1795,$N194)</f>
        <v>5</v>
      </c>
      <c r="W194" s="32" t="n">
        <f aca="false">INDEX('Tabela Passaro'!$R$2:$R$1795,$N194)</f>
        <v>30</v>
      </c>
      <c r="X194" s="32" t="n">
        <f aca="false">ROUNDUP(J194/INDEX('Tabela Passaro'!$T$2:$T$1795,$N194),0)*INDEX('Tabela Passaro'!$S$2:$S$1795,$N194)</f>
        <v>0</v>
      </c>
      <c r="Y194" s="32" t="n">
        <f aca="false">INDEX('Tabela Passaro'!$U$2:$U$1795,$N194)</f>
        <v>0</v>
      </c>
      <c r="Z194" s="32" t="n">
        <f aca="false">INDEX('Tabela Passaro'!$V$2:$V$1795,$N194)</f>
        <v>0</v>
      </c>
      <c r="AA194" s="32" t="n">
        <f aca="false">SUM(R194:Z194)</f>
        <v>94.28493</v>
      </c>
      <c r="AB194" s="33" t="n">
        <f aca="false">INDEX(Premissas!$B$5:$B$13,MATCH(A194,Premissas!$A$5:$A$13,0))</f>
        <v>0.07</v>
      </c>
      <c r="AC194" s="32" t="n">
        <f aca="false">AA194/(1-AB194)-AA194</f>
        <v>7.09671516129033</v>
      </c>
      <c r="AD194" s="32" t="n">
        <f aca="false">ROUND(AA194+AC194,2)</f>
        <v>101.38</v>
      </c>
      <c r="AE194" s="32" t="n">
        <f aca="false">AD194-L194</f>
        <v>-10.62</v>
      </c>
      <c r="AF194" s="34" t="n">
        <f aca="false">IF(L194=0,0,AE194/L194)</f>
        <v>-0.0948214285714286</v>
      </c>
      <c r="AG194" s="22" t="str">
        <f aca="false">IF(AD194&lt;L194,"PASSARO","ATUAL")</f>
        <v>PASSARO</v>
      </c>
      <c r="AH194" s="22" t="str">
        <f aca="false">IF(P194&lt;&gt;A194,"Faixa cadastrada como "&amp;P194&amp;" na tabela; preço aplicado pela UF do CEP","")</f>
        <v/>
      </c>
      <c r="AI194" s="26" t="n">
        <v>123.07</v>
      </c>
      <c r="AJ194" s="22" t="str">
        <f aca="false">INDEX('Tabela Passaro'!$X$2:$X$1795,$N194)</f>
        <v>CAPITAL</v>
      </c>
    </row>
    <row r="195" customFormat="false" ht="15" hidden="false" customHeight="false" outlineLevel="0" collapsed="false">
      <c r="A195" s="22" t="s">
        <v>16</v>
      </c>
      <c r="B195" s="22" t="n">
        <v>1</v>
      </c>
      <c r="C195" s="22" t="s">
        <v>75</v>
      </c>
      <c r="D195" s="22" t="s">
        <v>30</v>
      </c>
      <c r="E195" s="22" t="s">
        <v>7328</v>
      </c>
      <c r="F195" s="22" t="n">
        <v>2307963</v>
      </c>
      <c r="G195" s="30" t="n">
        <v>46239</v>
      </c>
      <c r="H195" s="22" t="n">
        <v>131951</v>
      </c>
      <c r="I195" s="22" t="s">
        <v>7495</v>
      </c>
      <c r="J195" s="31" t="n">
        <v>116.29</v>
      </c>
      <c r="K195" s="26" t="n">
        <v>1614.59</v>
      </c>
      <c r="L195" s="26" t="n">
        <v>243.65</v>
      </c>
      <c r="M195" s="22" t="s">
        <v>694</v>
      </c>
      <c r="N195" s="22" t="n">
        <f aca="false">MATCH(M195,'Tabela Passaro'!$A$2:$A$1795,0)</f>
        <v>106</v>
      </c>
      <c r="O195" s="22" t="str">
        <f aca="false">INDEX('Tabela Passaro'!$C$2:$C$1795,$N195)</f>
        <v>SALVADOR</v>
      </c>
      <c r="P195" s="22" t="str">
        <f aca="false">INDEX('Tabela Passaro'!$B$2:$B$1795,$N195)</f>
        <v>BA</v>
      </c>
      <c r="Q195" s="22" t="n">
        <f aca="false">INDEX('Tabela Passaro'!$F$2:$F$1795,$N195)</f>
        <v>6</v>
      </c>
      <c r="R195" s="32" t="n">
        <f aca="false">IF(J195&lt;=10,INDEX('Tabela Passaro'!$G$2:$G$1795,$N195),IF(J195&lt;=30,INDEX('Tabela Passaro'!$H$2:$H$1795,$N195),IF(J195&lt;=50,INDEX('Tabela Passaro'!$I$2:$I$1795,$N195),IF(J195&lt;=70,INDEX('Tabela Passaro'!$J$2:$J$1795,$N195),IF(J195&lt;=100,INDEX('Tabela Passaro'!$K$2:$K$1795,$N195),INDEX('Tabela Passaro'!$K$2:$K$1795,$N195)+(J195-100)*INDEX('Tabela Passaro'!$L$2:$L$1795,$N195))))))</f>
        <v>103.8564</v>
      </c>
      <c r="S195" s="32" t="n">
        <f aca="false">K195*INDEX('Tabela Passaro'!$M$2:$M$1795,$N195)</f>
        <v>8.07295</v>
      </c>
      <c r="T195" s="32" t="n">
        <f aca="false">K195*INDEX('Tabela Passaro'!$N$2:$N$1795,$N195)</f>
        <v>3.22918</v>
      </c>
      <c r="U195" s="32" t="n">
        <f aca="false">INDEX('Tabela Passaro'!$O$2:$O$1795,$N195)</f>
        <v>5</v>
      </c>
      <c r="V195" s="32" t="n">
        <f aca="false">ROUNDUP(J195/INDEX('Tabela Passaro'!$Q$2:$Q$1795,$N195),0)*INDEX('Tabela Passaro'!$P$2:$P$1795,$N195)</f>
        <v>10</v>
      </c>
      <c r="W195" s="32" t="n">
        <f aca="false">INDEX('Tabela Passaro'!$R$2:$R$1795,$N195)</f>
        <v>30</v>
      </c>
      <c r="X195" s="32" t="n">
        <f aca="false">ROUNDUP(J195/INDEX('Tabela Passaro'!$T$2:$T$1795,$N195),0)*INDEX('Tabela Passaro'!$S$2:$S$1795,$N195)</f>
        <v>0</v>
      </c>
      <c r="Y195" s="32" t="n">
        <f aca="false">INDEX('Tabela Passaro'!$U$2:$U$1795,$N195)</f>
        <v>0</v>
      </c>
      <c r="Z195" s="32" t="n">
        <f aca="false">INDEX('Tabela Passaro'!$V$2:$V$1795,$N195)</f>
        <v>0</v>
      </c>
      <c r="AA195" s="32" t="n">
        <f aca="false">SUM(R195:Z195)</f>
        <v>160.15853</v>
      </c>
      <c r="AB195" s="33" t="n">
        <f aca="false">INDEX(Premissas!$B$5:$B$13,MATCH(A195,Premissas!$A$5:$A$13,0))</f>
        <v>0.07</v>
      </c>
      <c r="AC195" s="32" t="n">
        <f aca="false">AA195/(1-AB195)-AA195</f>
        <v>12.0549431182796</v>
      </c>
      <c r="AD195" s="32" t="n">
        <f aca="false">ROUND(AA195+AC195,2)</f>
        <v>172.21</v>
      </c>
      <c r="AE195" s="32" t="n">
        <f aca="false">AD195-L195</f>
        <v>-71.44</v>
      </c>
      <c r="AF195" s="34" t="n">
        <f aca="false">IF(L195=0,0,AE195/L195)</f>
        <v>-0.293207469731172</v>
      </c>
      <c r="AG195" s="22" t="str">
        <f aca="false">IF(AD195&lt;L195,"PASSARO","ATUAL")</f>
        <v>PASSARO</v>
      </c>
      <c r="AH195" s="22" t="str">
        <f aca="false">IF(P195&lt;&gt;A195,"Faixa cadastrada como "&amp;P195&amp;" na tabela; preço aplicado pela UF do CEP","")</f>
        <v/>
      </c>
      <c r="AI195" s="26" t="n">
        <v>241.31</v>
      </c>
      <c r="AJ195" s="22" t="str">
        <f aca="false">INDEX('Tabela Passaro'!$X$2:$X$1795,$N195)</f>
        <v>CAPITAL</v>
      </c>
    </row>
    <row r="196" customFormat="false" ht="15" hidden="false" customHeight="false" outlineLevel="0" collapsed="false">
      <c r="A196" s="22" t="s">
        <v>16</v>
      </c>
      <c r="B196" s="22" t="n">
        <v>1</v>
      </c>
      <c r="C196" s="22" t="s">
        <v>75</v>
      </c>
      <c r="D196" s="22" t="s">
        <v>30</v>
      </c>
      <c r="E196" s="22" t="s">
        <v>7328</v>
      </c>
      <c r="F196" s="22" t="n">
        <v>2307974</v>
      </c>
      <c r="G196" s="30" t="n">
        <v>46239</v>
      </c>
      <c r="H196" s="22" t="n">
        <v>131962</v>
      </c>
      <c r="I196" s="22" t="s">
        <v>7496</v>
      </c>
      <c r="J196" s="31" t="n">
        <v>67.8</v>
      </c>
      <c r="K196" s="26" t="n">
        <v>988.29</v>
      </c>
      <c r="L196" s="26" t="n">
        <v>167.12</v>
      </c>
      <c r="M196" s="22" t="s">
        <v>694</v>
      </c>
      <c r="N196" s="22" t="n">
        <f aca="false">MATCH(M196,'Tabela Passaro'!$A$2:$A$1795,0)</f>
        <v>106</v>
      </c>
      <c r="O196" s="22" t="str">
        <f aca="false">INDEX('Tabela Passaro'!$C$2:$C$1795,$N196)</f>
        <v>SALVADOR</v>
      </c>
      <c r="P196" s="22" t="str">
        <f aca="false">INDEX('Tabela Passaro'!$B$2:$B$1795,$N196)</f>
        <v>BA</v>
      </c>
      <c r="Q196" s="22" t="n">
        <f aca="false">INDEX('Tabela Passaro'!$F$2:$F$1795,$N196)</f>
        <v>6</v>
      </c>
      <c r="R196" s="32" t="n">
        <f aca="false">IF(J196&lt;=10,INDEX('Tabela Passaro'!$G$2:$G$1795,$N196),IF(J196&lt;=30,INDEX('Tabela Passaro'!$H$2:$H$1795,$N196),IF(J196&lt;=50,INDEX('Tabela Passaro'!$I$2:$I$1795,$N196),IF(J196&lt;=70,INDEX('Tabela Passaro'!$J$2:$J$1795,$N196),IF(J196&lt;=100,INDEX('Tabela Passaro'!$K$2:$K$1795,$N196),INDEX('Tabela Passaro'!$K$2:$K$1795,$N196)+(J196-100)*INDEX('Tabela Passaro'!$L$2:$L$1795,$N196))))))</f>
        <v>73.44</v>
      </c>
      <c r="S196" s="32" t="n">
        <f aca="false">K196*INDEX('Tabela Passaro'!$M$2:$M$1795,$N196)</f>
        <v>4.94145</v>
      </c>
      <c r="T196" s="32" t="n">
        <f aca="false">K196*INDEX('Tabela Passaro'!$N$2:$N$1795,$N196)</f>
        <v>1.97658</v>
      </c>
      <c r="U196" s="32" t="n">
        <f aca="false">INDEX('Tabela Passaro'!$O$2:$O$1795,$N196)</f>
        <v>5</v>
      </c>
      <c r="V196" s="32" t="n">
        <f aca="false">ROUNDUP(J196/INDEX('Tabela Passaro'!$Q$2:$Q$1795,$N196),0)*INDEX('Tabela Passaro'!$P$2:$P$1795,$N196)</f>
        <v>5</v>
      </c>
      <c r="W196" s="32" t="n">
        <f aca="false">INDEX('Tabela Passaro'!$R$2:$R$1795,$N196)</f>
        <v>30</v>
      </c>
      <c r="X196" s="32" t="n">
        <f aca="false">ROUNDUP(J196/INDEX('Tabela Passaro'!$T$2:$T$1795,$N196),0)*INDEX('Tabela Passaro'!$S$2:$S$1795,$N196)</f>
        <v>0</v>
      </c>
      <c r="Y196" s="32" t="n">
        <f aca="false">INDEX('Tabela Passaro'!$U$2:$U$1795,$N196)</f>
        <v>0</v>
      </c>
      <c r="Z196" s="32" t="n">
        <f aca="false">INDEX('Tabela Passaro'!$V$2:$V$1795,$N196)</f>
        <v>0</v>
      </c>
      <c r="AA196" s="32" t="n">
        <f aca="false">SUM(R196:Z196)</f>
        <v>120.35803</v>
      </c>
      <c r="AB196" s="33" t="n">
        <f aca="false">INDEX(Premissas!$B$5:$B$13,MATCH(A196,Premissas!$A$5:$A$13,0))</f>
        <v>0.07</v>
      </c>
      <c r="AC196" s="32" t="n">
        <f aca="false">AA196/(1-AB196)-AA196</f>
        <v>9.05920655913978</v>
      </c>
      <c r="AD196" s="32" t="n">
        <f aca="false">ROUND(AA196+AC196,2)</f>
        <v>129.42</v>
      </c>
      <c r="AE196" s="32" t="n">
        <f aca="false">AD196-L196</f>
        <v>-37.7</v>
      </c>
      <c r="AF196" s="34" t="n">
        <f aca="false">IF(L196=0,0,AE196/L196)</f>
        <v>-0.225586404978459</v>
      </c>
      <c r="AG196" s="22" t="str">
        <f aca="false">IF(AD196&lt;L196,"PASSARO","ATUAL")</f>
        <v>PASSARO</v>
      </c>
      <c r="AH196" s="22" t="str">
        <f aca="false">IF(P196&lt;&gt;A196,"Faixa cadastrada como "&amp;P196&amp;" na tabela; preço aplicado pela UF do CEP","")</f>
        <v/>
      </c>
      <c r="AI196" s="26" t="n">
        <v>170.7</v>
      </c>
      <c r="AJ196" s="22" t="str">
        <f aca="false">INDEX('Tabela Passaro'!$X$2:$X$1795,$N196)</f>
        <v>CAPITAL</v>
      </c>
    </row>
    <row r="197" customFormat="false" ht="15" hidden="false" customHeight="false" outlineLevel="0" collapsed="false">
      <c r="A197" s="22" t="s">
        <v>16</v>
      </c>
      <c r="B197" s="22" t="n">
        <v>1</v>
      </c>
      <c r="C197" s="22" t="s">
        <v>75</v>
      </c>
      <c r="D197" s="22" t="s">
        <v>30</v>
      </c>
      <c r="E197" s="22" t="s">
        <v>7326</v>
      </c>
      <c r="F197" s="22" t="n">
        <v>522614</v>
      </c>
      <c r="G197" s="30" t="n">
        <v>46239</v>
      </c>
      <c r="H197" s="22" t="n">
        <v>620520</v>
      </c>
      <c r="I197" s="22" t="s">
        <v>7497</v>
      </c>
      <c r="J197" s="31" t="n">
        <v>117.4</v>
      </c>
      <c r="K197" s="26" t="n">
        <v>1669.43</v>
      </c>
      <c r="L197" s="26" t="n">
        <v>310.27</v>
      </c>
      <c r="M197" s="22" t="s">
        <v>694</v>
      </c>
      <c r="N197" s="22" t="n">
        <f aca="false">MATCH(M197,'Tabela Passaro'!$A$2:$A$1795,0)</f>
        <v>106</v>
      </c>
      <c r="O197" s="22" t="str">
        <f aca="false">INDEX('Tabela Passaro'!$C$2:$C$1795,$N197)</f>
        <v>SALVADOR</v>
      </c>
      <c r="P197" s="22" t="str">
        <f aca="false">INDEX('Tabela Passaro'!$B$2:$B$1795,$N197)</f>
        <v>BA</v>
      </c>
      <c r="Q197" s="22" t="n">
        <f aca="false">INDEX('Tabela Passaro'!$F$2:$F$1795,$N197)</f>
        <v>6</v>
      </c>
      <c r="R197" s="32" t="n">
        <f aca="false">IF(J197&lt;=10,INDEX('Tabela Passaro'!$G$2:$G$1795,$N197),IF(J197&lt;=30,INDEX('Tabela Passaro'!$H$2:$H$1795,$N197),IF(J197&lt;=50,INDEX('Tabela Passaro'!$I$2:$I$1795,$N197),IF(J197&lt;=70,INDEX('Tabela Passaro'!$J$2:$J$1795,$N197),IF(J197&lt;=100,INDEX('Tabela Passaro'!$K$2:$K$1795,$N197),INDEX('Tabela Passaro'!$K$2:$K$1795,$N197)+(J197-100)*INDEX('Tabela Passaro'!$L$2:$L$1795,$N197))))))</f>
        <v>105.144</v>
      </c>
      <c r="S197" s="32" t="n">
        <f aca="false">K197*INDEX('Tabela Passaro'!$M$2:$M$1795,$N197)</f>
        <v>8.34715</v>
      </c>
      <c r="T197" s="32" t="n">
        <f aca="false">K197*INDEX('Tabela Passaro'!$N$2:$N$1795,$N197)</f>
        <v>3.33886</v>
      </c>
      <c r="U197" s="32" t="n">
        <f aca="false">INDEX('Tabela Passaro'!$O$2:$O$1795,$N197)</f>
        <v>5</v>
      </c>
      <c r="V197" s="32" t="n">
        <f aca="false">ROUNDUP(J197/INDEX('Tabela Passaro'!$Q$2:$Q$1795,$N197),0)*INDEX('Tabela Passaro'!$P$2:$P$1795,$N197)</f>
        <v>10</v>
      </c>
      <c r="W197" s="32" t="n">
        <f aca="false">INDEX('Tabela Passaro'!$R$2:$R$1795,$N197)</f>
        <v>30</v>
      </c>
      <c r="X197" s="32" t="n">
        <f aca="false">ROUNDUP(J197/INDEX('Tabela Passaro'!$T$2:$T$1795,$N197),0)*INDEX('Tabela Passaro'!$S$2:$S$1795,$N197)</f>
        <v>0</v>
      </c>
      <c r="Y197" s="32" t="n">
        <f aca="false">INDEX('Tabela Passaro'!$U$2:$U$1795,$N197)</f>
        <v>0</v>
      </c>
      <c r="Z197" s="32" t="n">
        <f aca="false">INDEX('Tabela Passaro'!$V$2:$V$1795,$N197)</f>
        <v>0</v>
      </c>
      <c r="AA197" s="32" t="n">
        <f aca="false">SUM(R197:Z197)</f>
        <v>161.83001</v>
      </c>
      <c r="AB197" s="33" t="n">
        <f aca="false">INDEX(Premissas!$B$5:$B$13,MATCH(A197,Premissas!$A$5:$A$13,0))</f>
        <v>0.07</v>
      </c>
      <c r="AC197" s="32" t="n">
        <f aca="false">AA197/(1-AB197)-AA197</f>
        <v>12.1807534408602</v>
      </c>
      <c r="AD197" s="32" t="n">
        <f aca="false">ROUND(AA197+AC197,2)</f>
        <v>174.01</v>
      </c>
      <c r="AE197" s="32" t="n">
        <f aca="false">AD197-L197</f>
        <v>-136.26</v>
      </c>
      <c r="AF197" s="34" t="n">
        <f aca="false">IF(L197=0,0,AE197/L197)</f>
        <v>-0.439165887775164</v>
      </c>
      <c r="AG197" s="22" t="str">
        <f aca="false">IF(AD197&lt;L197,"PASSARO","ATUAL")</f>
        <v>PASSARO</v>
      </c>
      <c r="AH197" s="22" t="str">
        <f aca="false">IF(P197&lt;&gt;A197,"Faixa cadastrada como "&amp;P197&amp;" na tabela; preço aplicado pela UF do CEP","")</f>
        <v/>
      </c>
      <c r="AI197" s="26" t="n">
        <v>243.89</v>
      </c>
      <c r="AJ197" s="22" t="str">
        <f aca="false">INDEX('Tabela Passaro'!$X$2:$X$1795,$N197)</f>
        <v>CAPITAL</v>
      </c>
    </row>
    <row r="198" customFormat="false" ht="15" hidden="false" customHeight="false" outlineLevel="0" collapsed="false">
      <c r="A198" s="22" t="s">
        <v>16</v>
      </c>
      <c r="B198" s="22" t="n">
        <v>1</v>
      </c>
      <c r="C198" s="22" t="s">
        <v>75</v>
      </c>
      <c r="D198" s="22" t="s">
        <v>30</v>
      </c>
      <c r="E198" s="22" t="s">
        <v>7326</v>
      </c>
      <c r="F198" s="22" t="n">
        <v>522613</v>
      </c>
      <c r="G198" s="30" t="n">
        <v>46239</v>
      </c>
      <c r="H198" s="22" t="n">
        <v>620523</v>
      </c>
      <c r="I198" s="22" t="s">
        <v>7498</v>
      </c>
      <c r="J198" s="31" t="n">
        <v>117</v>
      </c>
      <c r="K198" s="26" t="n">
        <v>1809.98</v>
      </c>
      <c r="L198" s="26" t="n">
        <v>310.88</v>
      </c>
      <c r="M198" s="22" t="s">
        <v>694</v>
      </c>
      <c r="N198" s="22" t="n">
        <f aca="false">MATCH(M198,'Tabela Passaro'!$A$2:$A$1795,0)</f>
        <v>106</v>
      </c>
      <c r="O198" s="22" t="str">
        <f aca="false">INDEX('Tabela Passaro'!$C$2:$C$1795,$N198)</f>
        <v>SALVADOR</v>
      </c>
      <c r="P198" s="22" t="str">
        <f aca="false">INDEX('Tabela Passaro'!$B$2:$B$1795,$N198)</f>
        <v>BA</v>
      </c>
      <c r="Q198" s="22" t="n">
        <f aca="false">INDEX('Tabela Passaro'!$F$2:$F$1795,$N198)</f>
        <v>6</v>
      </c>
      <c r="R198" s="32" t="n">
        <f aca="false">IF(J198&lt;=10,INDEX('Tabela Passaro'!$G$2:$G$1795,$N198),IF(J198&lt;=30,INDEX('Tabela Passaro'!$H$2:$H$1795,$N198),IF(J198&lt;=50,INDEX('Tabela Passaro'!$I$2:$I$1795,$N198),IF(J198&lt;=70,INDEX('Tabela Passaro'!$J$2:$J$1795,$N198),IF(J198&lt;=100,INDEX('Tabela Passaro'!$K$2:$K$1795,$N198),INDEX('Tabela Passaro'!$K$2:$K$1795,$N198)+(J198-100)*INDEX('Tabela Passaro'!$L$2:$L$1795,$N198))))))</f>
        <v>104.68</v>
      </c>
      <c r="S198" s="32" t="n">
        <f aca="false">K198*INDEX('Tabela Passaro'!$M$2:$M$1795,$N198)</f>
        <v>9.0499</v>
      </c>
      <c r="T198" s="32" t="n">
        <f aca="false">K198*INDEX('Tabela Passaro'!$N$2:$N$1795,$N198)</f>
        <v>3.61996</v>
      </c>
      <c r="U198" s="32" t="n">
        <f aca="false">INDEX('Tabela Passaro'!$O$2:$O$1795,$N198)</f>
        <v>5</v>
      </c>
      <c r="V198" s="32" t="n">
        <f aca="false">ROUNDUP(J198/INDEX('Tabela Passaro'!$Q$2:$Q$1795,$N198),0)*INDEX('Tabela Passaro'!$P$2:$P$1795,$N198)</f>
        <v>10</v>
      </c>
      <c r="W198" s="32" t="n">
        <f aca="false">INDEX('Tabela Passaro'!$R$2:$R$1795,$N198)</f>
        <v>30</v>
      </c>
      <c r="X198" s="32" t="n">
        <f aca="false">ROUNDUP(J198/INDEX('Tabela Passaro'!$T$2:$T$1795,$N198),0)*INDEX('Tabela Passaro'!$S$2:$S$1795,$N198)</f>
        <v>0</v>
      </c>
      <c r="Y198" s="32" t="n">
        <f aca="false">INDEX('Tabela Passaro'!$U$2:$U$1795,$N198)</f>
        <v>0</v>
      </c>
      <c r="Z198" s="32" t="n">
        <f aca="false">INDEX('Tabela Passaro'!$V$2:$V$1795,$N198)</f>
        <v>0</v>
      </c>
      <c r="AA198" s="32" t="n">
        <f aca="false">SUM(R198:Z198)</f>
        <v>162.34986</v>
      </c>
      <c r="AB198" s="33" t="n">
        <f aca="false">INDEX(Premissas!$B$5:$B$13,MATCH(A198,Premissas!$A$5:$A$13,0))</f>
        <v>0.07</v>
      </c>
      <c r="AC198" s="32" t="n">
        <f aca="false">AA198/(1-AB198)-AA198</f>
        <v>12.2198819354839</v>
      </c>
      <c r="AD198" s="32" t="n">
        <f aca="false">ROUND(AA198+AC198,2)</f>
        <v>174.57</v>
      </c>
      <c r="AE198" s="32" t="n">
        <f aca="false">AD198-L198</f>
        <v>-136.31</v>
      </c>
      <c r="AF198" s="34" t="n">
        <f aca="false">IF(L198=0,0,AE198/L198)</f>
        <v>-0.43846500257334</v>
      </c>
      <c r="AG198" s="22" t="str">
        <f aca="false">IF(AD198&lt;L198,"PASSARO","ATUAL")</f>
        <v>PASSARO</v>
      </c>
      <c r="AH198" s="22" t="str">
        <f aca="false">IF(P198&lt;&gt;A198,"Faixa cadastrada como "&amp;P198&amp;" na tabela; preço aplicado pela UF do CEP","")</f>
        <v/>
      </c>
      <c r="AI198" s="26" t="n">
        <v>244.2</v>
      </c>
      <c r="AJ198" s="22" t="str">
        <f aca="false">INDEX('Tabela Passaro'!$X$2:$X$1795,$N198)</f>
        <v>CAPITAL</v>
      </c>
    </row>
    <row r="199" customFormat="false" ht="15" hidden="false" customHeight="false" outlineLevel="0" collapsed="false">
      <c r="A199" s="22" t="s">
        <v>16</v>
      </c>
      <c r="B199" s="22" t="n">
        <v>1</v>
      </c>
      <c r="C199" s="22" t="s">
        <v>75</v>
      </c>
      <c r="D199" s="22" t="s">
        <v>30</v>
      </c>
      <c r="E199" s="22" t="s">
        <v>7326</v>
      </c>
      <c r="F199" s="22" t="n">
        <v>522627</v>
      </c>
      <c r="G199" s="30" t="n">
        <v>46239</v>
      </c>
      <c r="H199" s="22" t="n">
        <v>620535</v>
      </c>
      <c r="I199" s="22" t="s">
        <v>7499</v>
      </c>
      <c r="J199" s="31" t="n">
        <v>41.8</v>
      </c>
      <c r="K199" s="26" t="n">
        <v>1009.98</v>
      </c>
      <c r="L199" s="26" t="n">
        <v>166.27</v>
      </c>
      <c r="M199" s="22" t="s">
        <v>694</v>
      </c>
      <c r="N199" s="22" t="n">
        <f aca="false">MATCH(M199,'Tabela Passaro'!$A$2:$A$1795,0)</f>
        <v>106</v>
      </c>
      <c r="O199" s="22" t="str">
        <f aca="false">INDEX('Tabela Passaro'!$C$2:$C$1795,$N199)</f>
        <v>SALVADOR</v>
      </c>
      <c r="P199" s="22" t="str">
        <f aca="false">INDEX('Tabela Passaro'!$B$2:$B$1795,$N199)</f>
        <v>BA</v>
      </c>
      <c r="Q199" s="22" t="n">
        <f aca="false">INDEX('Tabela Passaro'!$F$2:$F$1795,$N199)</f>
        <v>6</v>
      </c>
      <c r="R199" s="32" t="n">
        <f aca="false">IF(J199&lt;=10,INDEX('Tabela Passaro'!$G$2:$G$1795,$N199),IF(J199&lt;=30,INDEX('Tabela Passaro'!$H$2:$H$1795,$N199),IF(J199&lt;=50,INDEX('Tabela Passaro'!$I$2:$I$1795,$N199),IF(J199&lt;=70,INDEX('Tabela Passaro'!$J$2:$J$1795,$N199),IF(J199&lt;=100,INDEX('Tabela Passaro'!$K$2:$K$1795,$N199),INDEX('Tabela Passaro'!$K$2:$K$1795,$N199)+(J199-100)*INDEX('Tabela Passaro'!$L$2:$L$1795,$N199))))))</f>
        <v>61.92</v>
      </c>
      <c r="S199" s="32" t="n">
        <f aca="false">K199*INDEX('Tabela Passaro'!$M$2:$M$1795,$N199)</f>
        <v>5.0499</v>
      </c>
      <c r="T199" s="32" t="n">
        <f aca="false">K199*INDEX('Tabela Passaro'!$N$2:$N$1795,$N199)</f>
        <v>2.01996</v>
      </c>
      <c r="U199" s="32" t="n">
        <f aca="false">INDEX('Tabela Passaro'!$O$2:$O$1795,$N199)</f>
        <v>5</v>
      </c>
      <c r="V199" s="32" t="n">
        <f aca="false">ROUNDUP(J199/INDEX('Tabela Passaro'!$Q$2:$Q$1795,$N199),0)*INDEX('Tabela Passaro'!$P$2:$P$1795,$N199)</f>
        <v>5</v>
      </c>
      <c r="W199" s="32" t="n">
        <f aca="false">INDEX('Tabela Passaro'!$R$2:$R$1795,$N199)</f>
        <v>30</v>
      </c>
      <c r="X199" s="32" t="n">
        <f aca="false">ROUNDUP(J199/INDEX('Tabela Passaro'!$T$2:$T$1795,$N199),0)*INDEX('Tabela Passaro'!$S$2:$S$1795,$N199)</f>
        <v>0</v>
      </c>
      <c r="Y199" s="32" t="n">
        <f aca="false">INDEX('Tabela Passaro'!$U$2:$U$1795,$N199)</f>
        <v>0</v>
      </c>
      <c r="Z199" s="32" t="n">
        <f aca="false">INDEX('Tabela Passaro'!$V$2:$V$1795,$N199)</f>
        <v>0</v>
      </c>
      <c r="AA199" s="32" t="n">
        <f aca="false">SUM(R199:Z199)</f>
        <v>108.98986</v>
      </c>
      <c r="AB199" s="33" t="n">
        <f aca="false">INDEX(Premissas!$B$5:$B$13,MATCH(A199,Premissas!$A$5:$A$13,0))</f>
        <v>0.07</v>
      </c>
      <c r="AC199" s="32" t="n">
        <f aca="false">AA199/(1-AB199)-AA199</f>
        <v>8.20353784946238</v>
      </c>
      <c r="AD199" s="32" t="n">
        <f aca="false">ROUND(AA199+AC199,2)</f>
        <v>117.19</v>
      </c>
      <c r="AE199" s="32" t="n">
        <f aca="false">AD199-L199</f>
        <v>-49.08</v>
      </c>
      <c r="AF199" s="34" t="n">
        <f aca="false">IF(L199=0,0,AE199/L199)</f>
        <v>-0.295182534431948</v>
      </c>
      <c r="AG199" s="22" t="str">
        <f aca="false">IF(AD199&lt;L199,"PASSARO","ATUAL")</f>
        <v>PASSARO</v>
      </c>
      <c r="AH199" s="22" t="str">
        <f aca="false">IF(P199&lt;&gt;A199,"Faixa cadastrada como "&amp;P199&amp;" na tabela; preço aplicado pela UF do CEP","")</f>
        <v/>
      </c>
      <c r="AI199" s="26" t="n">
        <v>145.81</v>
      </c>
      <c r="AJ199" s="22" t="str">
        <f aca="false">INDEX('Tabela Passaro'!$X$2:$X$1795,$N199)</f>
        <v>CAPITAL</v>
      </c>
    </row>
    <row r="200" customFormat="false" ht="15" hidden="false" customHeight="false" outlineLevel="0" collapsed="false">
      <c r="A200" s="22" t="s">
        <v>16</v>
      </c>
      <c r="B200" s="22" t="n">
        <v>1</v>
      </c>
      <c r="C200" s="22" t="s">
        <v>75</v>
      </c>
      <c r="D200" s="22" t="s">
        <v>30</v>
      </c>
      <c r="E200" s="22" t="s">
        <v>20</v>
      </c>
      <c r="F200" s="22" t="n">
        <v>838072</v>
      </c>
      <c r="G200" s="30" t="n">
        <v>46240</v>
      </c>
      <c r="H200" s="22" t="n">
        <v>32416</v>
      </c>
      <c r="I200" s="22" t="s">
        <v>7500</v>
      </c>
      <c r="J200" s="31" t="n">
        <v>30.9</v>
      </c>
      <c r="K200" s="26" t="n">
        <v>447.98</v>
      </c>
      <c r="L200" s="26" t="n">
        <v>139.5</v>
      </c>
      <c r="M200" s="22" t="s">
        <v>694</v>
      </c>
      <c r="N200" s="22" t="n">
        <f aca="false">MATCH(M200,'Tabela Passaro'!$A$2:$A$1795,0)</f>
        <v>106</v>
      </c>
      <c r="O200" s="22" t="str">
        <f aca="false">INDEX('Tabela Passaro'!$C$2:$C$1795,$N200)</f>
        <v>SALVADOR</v>
      </c>
      <c r="P200" s="22" t="str">
        <f aca="false">INDEX('Tabela Passaro'!$B$2:$B$1795,$N200)</f>
        <v>BA</v>
      </c>
      <c r="Q200" s="22" t="n">
        <f aca="false">INDEX('Tabela Passaro'!$F$2:$F$1795,$N200)</f>
        <v>6</v>
      </c>
      <c r="R200" s="32" t="n">
        <f aca="false">IF(J200&lt;=10,INDEX('Tabela Passaro'!$G$2:$G$1795,$N200),IF(J200&lt;=30,INDEX('Tabela Passaro'!$H$2:$H$1795,$N200),IF(J200&lt;=50,INDEX('Tabela Passaro'!$I$2:$I$1795,$N200),IF(J200&lt;=70,INDEX('Tabela Passaro'!$J$2:$J$1795,$N200),IF(J200&lt;=100,INDEX('Tabela Passaro'!$K$2:$K$1795,$N200),INDEX('Tabela Passaro'!$K$2:$K$1795,$N200)+(J200-100)*INDEX('Tabela Passaro'!$L$2:$L$1795,$N200))))))</f>
        <v>61.92</v>
      </c>
      <c r="S200" s="32" t="n">
        <f aca="false">K200*INDEX('Tabela Passaro'!$M$2:$M$1795,$N200)</f>
        <v>2.2399</v>
      </c>
      <c r="T200" s="32" t="n">
        <f aca="false">K200*INDEX('Tabela Passaro'!$N$2:$N$1795,$N200)</f>
        <v>0.89596</v>
      </c>
      <c r="U200" s="32" t="n">
        <f aca="false">INDEX('Tabela Passaro'!$O$2:$O$1795,$N200)</f>
        <v>5</v>
      </c>
      <c r="V200" s="32" t="n">
        <f aca="false">ROUNDUP(J200/INDEX('Tabela Passaro'!$Q$2:$Q$1795,$N200),0)*INDEX('Tabela Passaro'!$P$2:$P$1795,$N200)</f>
        <v>5</v>
      </c>
      <c r="W200" s="32" t="n">
        <f aca="false">INDEX('Tabela Passaro'!$R$2:$R$1795,$N200)</f>
        <v>30</v>
      </c>
      <c r="X200" s="32" t="n">
        <f aca="false">ROUNDUP(J200/INDEX('Tabela Passaro'!$T$2:$T$1795,$N200),0)*INDEX('Tabela Passaro'!$S$2:$S$1795,$N200)</f>
        <v>0</v>
      </c>
      <c r="Y200" s="32" t="n">
        <f aca="false">INDEX('Tabela Passaro'!$U$2:$U$1795,$N200)</f>
        <v>0</v>
      </c>
      <c r="Z200" s="32" t="n">
        <f aca="false">INDEX('Tabela Passaro'!$V$2:$V$1795,$N200)</f>
        <v>0</v>
      </c>
      <c r="AA200" s="32" t="n">
        <f aca="false">SUM(R200:Z200)</f>
        <v>105.05586</v>
      </c>
      <c r="AB200" s="33" t="n">
        <f aca="false">INDEX(Premissas!$B$5:$B$13,MATCH(A200,Premissas!$A$5:$A$13,0))</f>
        <v>0.07</v>
      </c>
      <c r="AC200" s="32" t="n">
        <f aca="false">AA200/(1-AB200)-AA200</f>
        <v>7.90743032258065</v>
      </c>
      <c r="AD200" s="32" t="n">
        <f aca="false">ROUND(AA200+AC200,2)</f>
        <v>112.96</v>
      </c>
      <c r="AE200" s="32" t="n">
        <f aca="false">AD200-L200</f>
        <v>-26.54</v>
      </c>
      <c r="AF200" s="34" t="n">
        <f aca="false">IF(L200=0,0,AE200/L200)</f>
        <v>-0.190250896057348</v>
      </c>
      <c r="AG200" s="22" t="str">
        <f aca="false">IF(AD200&lt;L200,"PASSARO","ATUAL")</f>
        <v>PASSARO</v>
      </c>
      <c r="AH200" s="22" t="str">
        <f aca="false">IF(P200&lt;&gt;A200,"Faixa cadastrada como "&amp;P200&amp;" na tabela; preço aplicado pela UF do CEP","")</f>
        <v/>
      </c>
      <c r="AI200" s="26" t="n">
        <v>135.04</v>
      </c>
      <c r="AJ200" s="22" t="str">
        <f aca="false">INDEX('Tabela Passaro'!$X$2:$X$1795,$N200)</f>
        <v>CAPITAL</v>
      </c>
    </row>
    <row r="201" customFormat="false" ht="15" hidden="false" customHeight="false" outlineLevel="0" collapsed="false">
      <c r="A201" s="22" t="s">
        <v>16</v>
      </c>
      <c r="B201" s="22" t="n">
        <v>1</v>
      </c>
      <c r="C201" s="22" t="s">
        <v>75</v>
      </c>
      <c r="D201" s="22" t="s">
        <v>30</v>
      </c>
      <c r="E201" s="22" t="s">
        <v>7326</v>
      </c>
      <c r="F201" s="22" t="n">
        <v>522854</v>
      </c>
      <c r="G201" s="30" t="n">
        <v>46240</v>
      </c>
      <c r="H201" s="22" t="n">
        <v>620946</v>
      </c>
      <c r="I201" s="22" t="s">
        <v>7501</v>
      </c>
      <c r="J201" s="31" t="n">
        <v>107.7</v>
      </c>
      <c r="K201" s="26" t="n">
        <v>1704.98</v>
      </c>
      <c r="L201" s="26" t="n">
        <v>296.48</v>
      </c>
      <c r="M201" s="22" t="s">
        <v>694</v>
      </c>
      <c r="N201" s="22" t="n">
        <f aca="false">MATCH(M201,'Tabela Passaro'!$A$2:$A$1795,0)</f>
        <v>106</v>
      </c>
      <c r="O201" s="22" t="str">
        <f aca="false">INDEX('Tabela Passaro'!$C$2:$C$1795,$N201)</f>
        <v>SALVADOR</v>
      </c>
      <c r="P201" s="22" t="str">
        <f aca="false">INDEX('Tabela Passaro'!$B$2:$B$1795,$N201)</f>
        <v>BA</v>
      </c>
      <c r="Q201" s="22" t="n">
        <f aca="false">INDEX('Tabela Passaro'!$F$2:$F$1795,$N201)</f>
        <v>6</v>
      </c>
      <c r="R201" s="32" t="n">
        <f aca="false">IF(J201&lt;=10,INDEX('Tabela Passaro'!$G$2:$G$1795,$N201),IF(J201&lt;=30,INDEX('Tabela Passaro'!$H$2:$H$1795,$N201),IF(J201&lt;=50,INDEX('Tabela Passaro'!$I$2:$I$1795,$N201),IF(J201&lt;=70,INDEX('Tabela Passaro'!$J$2:$J$1795,$N201),IF(J201&lt;=100,INDEX('Tabela Passaro'!$K$2:$K$1795,$N201),INDEX('Tabela Passaro'!$K$2:$K$1795,$N201)+(J201-100)*INDEX('Tabela Passaro'!$L$2:$L$1795,$N201))))))</f>
        <v>93.892</v>
      </c>
      <c r="S201" s="32" t="n">
        <f aca="false">K201*INDEX('Tabela Passaro'!$M$2:$M$1795,$N201)</f>
        <v>8.5249</v>
      </c>
      <c r="T201" s="32" t="n">
        <f aca="false">K201*INDEX('Tabela Passaro'!$N$2:$N$1795,$N201)</f>
        <v>3.40996</v>
      </c>
      <c r="U201" s="32" t="n">
        <f aca="false">INDEX('Tabela Passaro'!$O$2:$O$1795,$N201)</f>
        <v>5</v>
      </c>
      <c r="V201" s="32" t="n">
        <f aca="false">ROUNDUP(J201/INDEX('Tabela Passaro'!$Q$2:$Q$1795,$N201),0)*INDEX('Tabela Passaro'!$P$2:$P$1795,$N201)</f>
        <v>10</v>
      </c>
      <c r="W201" s="32" t="n">
        <f aca="false">INDEX('Tabela Passaro'!$R$2:$R$1795,$N201)</f>
        <v>30</v>
      </c>
      <c r="X201" s="32" t="n">
        <f aca="false">ROUNDUP(J201/INDEX('Tabela Passaro'!$T$2:$T$1795,$N201),0)*INDEX('Tabela Passaro'!$S$2:$S$1795,$N201)</f>
        <v>0</v>
      </c>
      <c r="Y201" s="32" t="n">
        <f aca="false">INDEX('Tabela Passaro'!$U$2:$U$1795,$N201)</f>
        <v>0</v>
      </c>
      <c r="Z201" s="32" t="n">
        <f aca="false">INDEX('Tabela Passaro'!$V$2:$V$1795,$N201)</f>
        <v>0</v>
      </c>
      <c r="AA201" s="32" t="n">
        <f aca="false">SUM(R201:Z201)</f>
        <v>150.82686</v>
      </c>
      <c r="AB201" s="33" t="n">
        <f aca="false">INDEX(Premissas!$B$5:$B$13,MATCH(A201,Premissas!$A$5:$A$13,0))</f>
        <v>0.07</v>
      </c>
      <c r="AC201" s="32" t="n">
        <f aca="false">AA201/(1-AB201)-AA201</f>
        <v>11.3525593548387</v>
      </c>
      <c r="AD201" s="32" t="n">
        <f aca="false">ROUND(AA201+AC201,2)</f>
        <v>162.18</v>
      </c>
      <c r="AE201" s="32" t="n">
        <f aca="false">AD201-L201</f>
        <v>-134.3</v>
      </c>
      <c r="AF201" s="34" t="n">
        <f aca="false">IF(L201=0,0,AE201/L201)</f>
        <v>-0.452981651376147</v>
      </c>
      <c r="AG201" s="22" t="str">
        <f aca="false">IF(AD201&lt;L201,"PASSARO","ATUAL")</f>
        <v>PASSARO</v>
      </c>
      <c r="AH201" s="22" t="str">
        <f aca="false">IF(P201&lt;&gt;A201,"Faixa cadastrada como "&amp;P201&amp;" na tabela; preço aplicado pela UF do CEP","")</f>
        <v/>
      </c>
      <c r="AI201" s="26" t="n">
        <v>225.73</v>
      </c>
      <c r="AJ201" s="22" t="str">
        <f aca="false">INDEX('Tabela Passaro'!$X$2:$X$1795,$N201)</f>
        <v>CAPITAL</v>
      </c>
    </row>
    <row r="202" customFormat="false" ht="15" hidden="false" customHeight="false" outlineLevel="0" collapsed="false">
      <c r="A202" s="22" t="s">
        <v>16</v>
      </c>
      <c r="B202" s="22" t="n">
        <v>1</v>
      </c>
      <c r="C202" s="22" t="s">
        <v>75</v>
      </c>
      <c r="D202" s="22" t="s">
        <v>30</v>
      </c>
      <c r="E202" s="22" t="s">
        <v>7326</v>
      </c>
      <c r="F202" s="22" t="n">
        <v>522860</v>
      </c>
      <c r="G202" s="30" t="n">
        <v>46240</v>
      </c>
      <c r="H202" s="22" t="n">
        <v>620952</v>
      </c>
      <c r="I202" s="22" t="s">
        <v>7502</v>
      </c>
      <c r="J202" s="31" t="n">
        <v>22.3</v>
      </c>
      <c r="K202" s="26" t="n">
        <v>749.98</v>
      </c>
      <c r="L202" s="26" t="n">
        <v>123.22</v>
      </c>
      <c r="M202" s="22" t="s">
        <v>694</v>
      </c>
      <c r="N202" s="22" t="n">
        <f aca="false">MATCH(M202,'Tabela Passaro'!$A$2:$A$1795,0)</f>
        <v>106</v>
      </c>
      <c r="O202" s="22" t="str">
        <f aca="false">INDEX('Tabela Passaro'!$C$2:$C$1795,$N202)</f>
        <v>SALVADOR</v>
      </c>
      <c r="P202" s="22" t="str">
        <f aca="false">INDEX('Tabela Passaro'!$B$2:$B$1795,$N202)</f>
        <v>BA</v>
      </c>
      <c r="Q202" s="22" t="n">
        <f aca="false">INDEX('Tabela Passaro'!$F$2:$F$1795,$N202)</f>
        <v>6</v>
      </c>
      <c r="R202" s="32" t="n">
        <f aca="false">IF(J202&lt;=10,INDEX('Tabela Passaro'!$G$2:$G$1795,$N202),IF(J202&lt;=30,INDEX('Tabela Passaro'!$H$2:$H$1795,$N202),IF(J202&lt;=50,INDEX('Tabela Passaro'!$I$2:$I$1795,$N202),IF(J202&lt;=70,INDEX('Tabela Passaro'!$J$2:$J$1795,$N202),IF(J202&lt;=100,INDEX('Tabela Passaro'!$K$2:$K$1795,$N202),INDEX('Tabela Passaro'!$K$2:$K$1795,$N202)+(J202-100)*INDEX('Tabela Passaro'!$L$2:$L$1795,$N202))))))</f>
        <v>50.4</v>
      </c>
      <c r="S202" s="32" t="n">
        <f aca="false">K202*INDEX('Tabela Passaro'!$M$2:$M$1795,$N202)</f>
        <v>3.7499</v>
      </c>
      <c r="T202" s="32" t="n">
        <f aca="false">K202*INDEX('Tabela Passaro'!$N$2:$N$1795,$N202)</f>
        <v>1.49996</v>
      </c>
      <c r="U202" s="32" t="n">
        <f aca="false">INDEX('Tabela Passaro'!$O$2:$O$1795,$N202)</f>
        <v>5</v>
      </c>
      <c r="V202" s="32" t="n">
        <f aca="false">ROUNDUP(J202/INDEX('Tabela Passaro'!$Q$2:$Q$1795,$N202),0)*INDEX('Tabela Passaro'!$P$2:$P$1795,$N202)</f>
        <v>5</v>
      </c>
      <c r="W202" s="32" t="n">
        <f aca="false">INDEX('Tabela Passaro'!$R$2:$R$1795,$N202)</f>
        <v>30</v>
      </c>
      <c r="X202" s="32" t="n">
        <f aca="false">ROUNDUP(J202/INDEX('Tabela Passaro'!$T$2:$T$1795,$N202),0)*INDEX('Tabela Passaro'!$S$2:$S$1795,$N202)</f>
        <v>0</v>
      </c>
      <c r="Y202" s="32" t="n">
        <f aca="false">INDEX('Tabela Passaro'!$U$2:$U$1795,$N202)</f>
        <v>0</v>
      </c>
      <c r="Z202" s="32" t="n">
        <f aca="false">INDEX('Tabela Passaro'!$V$2:$V$1795,$N202)</f>
        <v>0</v>
      </c>
      <c r="AA202" s="32" t="n">
        <f aca="false">SUM(R202:Z202)</f>
        <v>95.64986</v>
      </c>
      <c r="AB202" s="33" t="n">
        <f aca="false">INDEX(Premissas!$B$5:$B$13,MATCH(A202,Premissas!$A$5:$A$13,0))</f>
        <v>0.07</v>
      </c>
      <c r="AC202" s="32" t="n">
        <f aca="false">AA202/(1-AB202)-AA202</f>
        <v>7.19945182795699</v>
      </c>
      <c r="AD202" s="32" t="n">
        <f aca="false">ROUND(AA202+AC202,2)</f>
        <v>102.85</v>
      </c>
      <c r="AE202" s="32" t="n">
        <f aca="false">AD202-L202</f>
        <v>-20.37</v>
      </c>
      <c r="AF202" s="34" t="n">
        <f aca="false">IF(L202=0,0,AE202/L202)</f>
        <v>-0.165314072390846</v>
      </c>
      <c r="AG202" s="22" t="str">
        <f aca="false">IF(AD202&lt;L202,"PASSARO","ATUAL")</f>
        <v>PASSARO</v>
      </c>
      <c r="AH202" s="22" t="str">
        <f aca="false">IF(P202&lt;&gt;A202,"Faixa cadastrada como "&amp;P202&amp;" na tabela; preço aplicado pela UF do CEP","")</f>
        <v/>
      </c>
      <c r="AI202" s="26" t="n">
        <v>121.57</v>
      </c>
      <c r="AJ202" s="22" t="str">
        <f aca="false">INDEX('Tabela Passaro'!$X$2:$X$1795,$N202)</f>
        <v>CAPITAL</v>
      </c>
    </row>
    <row r="203" customFormat="false" ht="15" hidden="false" customHeight="false" outlineLevel="0" collapsed="false">
      <c r="A203" s="22" t="s">
        <v>16</v>
      </c>
      <c r="B203" s="22" t="n">
        <v>1</v>
      </c>
      <c r="C203" s="22" t="s">
        <v>75</v>
      </c>
      <c r="D203" s="22" t="s">
        <v>30</v>
      </c>
      <c r="E203" s="22" t="s">
        <v>7326</v>
      </c>
      <c r="F203" s="22" t="n">
        <v>522865</v>
      </c>
      <c r="G203" s="30" t="n">
        <v>46240</v>
      </c>
      <c r="H203" s="22" t="n">
        <v>621117</v>
      </c>
      <c r="I203" s="22" t="s">
        <v>7503</v>
      </c>
      <c r="J203" s="31" t="n">
        <v>43.5</v>
      </c>
      <c r="K203" s="26" t="n">
        <v>902.91</v>
      </c>
      <c r="L203" s="26" t="n">
        <v>165.37</v>
      </c>
      <c r="M203" s="22" t="s">
        <v>694</v>
      </c>
      <c r="N203" s="22" t="n">
        <f aca="false">MATCH(M203,'Tabela Passaro'!$A$2:$A$1795,0)</f>
        <v>106</v>
      </c>
      <c r="O203" s="22" t="str">
        <f aca="false">INDEX('Tabela Passaro'!$C$2:$C$1795,$N203)</f>
        <v>SALVADOR</v>
      </c>
      <c r="P203" s="22" t="str">
        <f aca="false">INDEX('Tabela Passaro'!$B$2:$B$1795,$N203)</f>
        <v>BA</v>
      </c>
      <c r="Q203" s="22" t="n">
        <f aca="false">INDEX('Tabela Passaro'!$F$2:$F$1795,$N203)</f>
        <v>6</v>
      </c>
      <c r="R203" s="32" t="n">
        <f aca="false">IF(J203&lt;=10,INDEX('Tabela Passaro'!$G$2:$G$1795,$N203),IF(J203&lt;=30,INDEX('Tabela Passaro'!$H$2:$H$1795,$N203),IF(J203&lt;=50,INDEX('Tabela Passaro'!$I$2:$I$1795,$N203),IF(J203&lt;=70,INDEX('Tabela Passaro'!$J$2:$J$1795,$N203),IF(J203&lt;=100,INDEX('Tabela Passaro'!$K$2:$K$1795,$N203),INDEX('Tabela Passaro'!$K$2:$K$1795,$N203)+(J203-100)*INDEX('Tabela Passaro'!$L$2:$L$1795,$N203))))))</f>
        <v>61.92</v>
      </c>
      <c r="S203" s="32" t="n">
        <f aca="false">K203*INDEX('Tabela Passaro'!$M$2:$M$1795,$N203)</f>
        <v>4.51455</v>
      </c>
      <c r="T203" s="32" t="n">
        <f aca="false">K203*INDEX('Tabela Passaro'!$N$2:$N$1795,$N203)</f>
        <v>1.80582</v>
      </c>
      <c r="U203" s="32" t="n">
        <f aca="false">INDEX('Tabela Passaro'!$O$2:$O$1795,$N203)</f>
        <v>5</v>
      </c>
      <c r="V203" s="32" t="n">
        <f aca="false">ROUNDUP(J203/INDEX('Tabela Passaro'!$Q$2:$Q$1795,$N203),0)*INDEX('Tabela Passaro'!$P$2:$P$1795,$N203)</f>
        <v>5</v>
      </c>
      <c r="W203" s="32" t="n">
        <f aca="false">INDEX('Tabela Passaro'!$R$2:$R$1795,$N203)</f>
        <v>30</v>
      </c>
      <c r="X203" s="32" t="n">
        <f aca="false">ROUNDUP(J203/INDEX('Tabela Passaro'!$T$2:$T$1795,$N203),0)*INDEX('Tabela Passaro'!$S$2:$S$1795,$N203)</f>
        <v>0</v>
      </c>
      <c r="Y203" s="32" t="n">
        <f aca="false">INDEX('Tabela Passaro'!$U$2:$U$1795,$N203)</f>
        <v>0</v>
      </c>
      <c r="Z203" s="32" t="n">
        <f aca="false">INDEX('Tabela Passaro'!$V$2:$V$1795,$N203)</f>
        <v>0</v>
      </c>
      <c r="AA203" s="32" t="n">
        <f aca="false">SUM(R203:Z203)</f>
        <v>108.24037</v>
      </c>
      <c r="AB203" s="33" t="n">
        <f aca="false">INDEX(Premissas!$B$5:$B$13,MATCH(A203,Premissas!$A$5:$A$13,0))</f>
        <v>0.07</v>
      </c>
      <c r="AC203" s="32" t="n">
        <f aca="false">AA203/(1-AB203)-AA203</f>
        <v>8.14712462365593</v>
      </c>
      <c r="AD203" s="32" t="n">
        <f aca="false">ROUND(AA203+AC203,2)</f>
        <v>116.39</v>
      </c>
      <c r="AE203" s="32" t="n">
        <f aca="false">AD203-L203</f>
        <v>-48.98</v>
      </c>
      <c r="AF203" s="34" t="n">
        <f aca="false">IF(L203=0,0,AE203/L203)</f>
        <v>-0.296184313962629</v>
      </c>
      <c r="AG203" s="22" t="str">
        <f aca="false">IF(AD203&lt;L203,"PASSARO","ATUAL")</f>
        <v>PASSARO</v>
      </c>
      <c r="AH203" s="22" t="str">
        <f aca="false">IF(P203&lt;&gt;A203,"Faixa cadastrada como "&amp;P203&amp;" na tabela; preço aplicado pela UF do CEP","")</f>
        <v/>
      </c>
      <c r="AI203" s="26" t="n">
        <v>145.74</v>
      </c>
      <c r="AJ203" s="22" t="str">
        <f aca="false">INDEX('Tabela Passaro'!$X$2:$X$1795,$N203)</f>
        <v>CAPITAL</v>
      </c>
    </row>
    <row r="204" customFormat="false" ht="15" hidden="false" customHeight="false" outlineLevel="0" collapsed="false">
      <c r="A204" s="22" t="s">
        <v>16</v>
      </c>
      <c r="B204" s="22" t="n">
        <v>1</v>
      </c>
      <c r="C204" s="22" t="s">
        <v>75</v>
      </c>
      <c r="D204" s="22" t="s">
        <v>30</v>
      </c>
      <c r="E204" s="22" t="s">
        <v>7326</v>
      </c>
      <c r="F204" s="22" t="n">
        <v>522870</v>
      </c>
      <c r="G204" s="30" t="n">
        <v>46240</v>
      </c>
      <c r="H204" s="22" t="n">
        <v>621211</v>
      </c>
      <c r="I204" s="22" t="s">
        <v>7504</v>
      </c>
      <c r="J204" s="31" t="n">
        <v>57.6</v>
      </c>
      <c r="K204" s="26" t="n">
        <v>2063.66</v>
      </c>
      <c r="L204" s="26" t="n">
        <v>207.01</v>
      </c>
      <c r="M204" s="22" t="s">
        <v>694</v>
      </c>
      <c r="N204" s="22" t="n">
        <f aca="false">MATCH(M204,'Tabela Passaro'!$A$2:$A$1795,0)</f>
        <v>106</v>
      </c>
      <c r="O204" s="22" t="str">
        <f aca="false">INDEX('Tabela Passaro'!$C$2:$C$1795,$N204)</f>
        <v>SALVADOR</v>
      </c>
      <c r="P204" s="22" t="str">
        <f aca="false">INDEX('Tabela Passaro'!$B$2:$B$1795,$N204)</f>
        <v>BA</v>
      </c>
      <c r="Q204" s="22" t="n">
        <f aca="false">INDEX('Tabela Passaro'!$F$2:$F$1795,$N204)</f>
        <v>6</v>
      </c>
      <c r="R204" s="32" t="n">
        <f aca="false">IF(J204&lt;=10,INDEX('Tabela Passaro'!$G$2:$G$1795,$N204),IF(J204&lt;=30,INDEX('Tabela Passaro'!$H$2:$H$1795,$N204),IF(J204&lt;=50,INDEX('Tabela Passaro'!$I$2:$I$1795,$N204),IF(J204&lt;=70,INDEX('Tabela Passaro'!$J$2:$J$1795,$N204),IF(J204&lt;=100,INDEX('Tabela Passaro'!$K$2:$K$1795,$N204),INDEX('Tabela Passaro'!$K$2:$K$1795,$N204)+(J204-100)*INDEX('Tabela Passaro'!$L$2:$L$1795,$N204))))))</f>
        <v>73.44</v>
      </c>
      <c r="S204" s="32" t="n">
        <f aca="false">K204*INDEX('Tabela Passaro'!$M$2:$M$1795,$N204)</f>
        <v>10.3183</v>
      </c>
      <c r="T204" s="32" t="n">
        <f aca="false">K204*INDEX('Tabela Passaro'!$N$2:$N$1795,$N204)</f>
        <v>4.12732</v>
      </c>
      <c r="U204" s="32" t="n">
        <f aca="false">INDEX('Tabela Passaro'!$O$2:$O$1795,$N204)</f>
        <v>5</v>
      </c>
      <c r="V204" s="32" t="n">
        <f aca="false">ROUNDUP(J204/INDEX('Tabela Passaro'!$Q$2:$Q$1795,$N204),0)*INDEX('Tabela Passaro'!$P$2:$P$1795,$N204)</f>
        <v>5</v>
      </c>
      <c r="W204" s="32" t="n">
        <f aca="false">INDEX('Tabela Passaro'!$R$2:$R$1795,$N204)</f>
        <v>30</v>
      </c>
      <c r="X204" s="32" t="n">
        <f aca="false">ROUNDUP(J204/INDEX('Tabela Passaro'!$T$2:$T$1795,$N204),0)*INDEX('Tabela Passaro'!$S$2:$S$1795,$N204)</f>
        <v>0</v>
      </c>
      <c r="Y204" s="32" t="n">
        <f aca="false">INDEX('Tabela Passaro'!$U$2:$U$1795,$N204)</f>
        <v>0</v>
      </c>
      <c r="Z204" s="32" t="n">
        <f aca="false">INDEX('Tabela Passaro'!$V$2:$V$1795,$N204)</f>
        <v>0</v>
      </c>
      <c r="AA204" s="32" t="n">
        <f aca="false">SUM(R204:Z204)</f>
        <v>127.88562</v>
      </c>
      <c r="AB204" s="33" t="n">
        <f aca="false">INDEX(Premissas!$B$5:$B$13,MATCH(A204,Premissas!$A$5:$A$13,0))</f>
        <v>0.07</v>
      </c>
      <c r="AC204" s="32" t="n">
        <f aca="false">AA204/(1-AB204)-AA204</f>
        <v>9.62579935483872</v>
      </c>
      <c r="AD204" s="32" t="n">
        <f aca="false">ROUND(AA204+AC204,2)</f>
        <v>137.51</v>
      </c>
      <c r="AE204" s="32" t="n">
        <f aca="false">AD204-L204</f>
        <v>-69.5</v>
      </c>
      <c r="AF204" s="34" t="n">
        <f aca="false">IF(L204=0,0,AE204/L204)</f>
        <v>-0.335732573305637</v>
      </c>
      <c r="AG204" s="22" t="str">
        <f aca="false">IF(AD204&lt;L204,"PASSARO","ATUAL")</f>
        <v>PASSARO</v>
      </c>
      <c r="AH204" s="22" t="str">
        <f aca="false">IF(P204&lt;&gt;A204,"Faixa cadastrada como "&amp;P204&amp;" na tabela; preço aplicado pela UF do CEP","")</f>
        <v/>
      </c>
      <c r="AI204" s="26" t="n">
        <v>176.27</v>
      </c>
      <c r="AJ204" s="22" t="str">
        <f aca="false">INDEX('Tabela Passaro'!$X$2:$X$1795,$N204)</f>
        <v>CAPITAL</v>
      </c>
    </row>
    <row r="205" customFormat="false" ht="15" hidden="false" customHeight="false" outlineLevel="0" collapsed="false">
      <c r="A205" s="22" t="s">
        <v>16</v>
      </c>
      <c r="B205" s="22" t="n">
        <v>1</v>
      </c>
      <c r="C205" s="22" t="s">
        <v>75</v>
      </c>
      <c r="D205" s="22" t="s">
        <v>30</v>
      </c>
      <c r="E205" s="22" t="s">
        <v>7326</v>
      </c>
      <c r="F205" s="22" t="n">
        <v>522873</v>
      </c>
      <c r="G205" s="30" t="n">
        <v>46240</v>
      </c>
      <c r="H205" s="22" t="n">
        <v>621212</v>
      </c>
      <c r="I205" s="22" t="s">
        <v>7505</v>
      </c>
      <c r="J205" s="31" t="n">
        <v>52.9</v>
      </c>
      <c r="K205" s="26" t="n">
        <v>1631.44</v>
      </c>
      <c r="L205" s="26" t="n">
        <v>203.33</v>
      </c>
      <c r="M205" s="22" t="s">
        <v>694</v>
      </c>
      <c r="N205" s="22" t="n">
        <f aca="false">MATCH(M205,'Tabela Passaro'!$A$2:$A$1795,0)</f>
        <v>106</v>
      </c>
      <c r="O205" s="22" t="str">
        <f aca="false">INDEX('Tabela Passaro'!$C$2:$C$1795,$N205)</f>
        <v>SALVADOR</v>
      </c>
      <c r="P205" s="22" t="str">
        <f aca="false">INDEX('Tabela Passaro'!$B$2:$B$1795,$N205)</f>
        <v>BA</v>
      </c>
      <c r="Q205" s="22" t="n">
        <f aca="false">INDEX('Tabela Passaro'!$F$2:$F$1795,$N205)</f>
        <v>6</v>
      </c>
      <c r="R205" s="32" t="n">
        <f aca="false">IF(J205&lt;=10,INDEX('Tabela Passaro'!$G$2:$G$1795,$N205),IF(J205&lt;=30,INDEX('Tabela Passaro'!$H$2:$H$1795,$N205),IF(J205&lt;=50,INDEX('Tabela Passaro'!$I$2:$I$1795,$N205),IF(J205&lt;=70,INDEX('Tabela Passaro'!$J$2:$J$1795,$N205),IF(J205&lt;=100,INDEX('Tabela Passaro'!$K$2:$K$1795,$N205),INDEX('Tabela Passaro'!$K$2:$K$1795,$N205)+(J205-100)*INDEX('Tabela Passaro'!$L$2:$L$1795,$N205))))))</f>
        <v>73.44</v>
      </c>
      <c r="S205" s="32" t="n">
        <f aca="false">K205*INDEX('Tabela Passaro'!$M$2:$M$1795,$N205)</f>
        <v>8.1572</v>
      </c>
      <c r="T205" s="32" t="n">
        <f aca="false">K205*INDEX('Tabela Passaro'!$N$2:$N$1795,$N205)</f>
        <v>3.26288</v>
      </c>
      <c r="U205" s="32" t="n">
        <f aca="false">INDEX('Tabela Passaro'!$O$2:$O$1795,$N205)</f>
        <v>5</v>
      </c>
      <c r="V205" s="32" t="n">
        <f aca="false">ROUNDUP(J205/INDEX('Tabela Passaro'!$Q$2:$Q$1795,$N205),0)*INDEX('Tabela Passaro'!$P$2:$P$1795,$N205)</f>
        <v>5</v>
      </c>
      <c r="W205" s="32" t="n">
        <f aca="false">INDEX('Tabela Passaro'!$R$2:$R$1795,$N205)</f>
        <v>30</v>
      </c>
      <c r="X205" s="32" t="n">
        <f aca="false">ROUNDUP(J205/INDEX('Tabela Passaro'!$T$2:$T$1795,$N205),0)*INDEX('Tabela Passaro'!$S$2:$S$1795,$N205)</f>
        <v>0</v>
      </c>
      <c r="Y205" s="32" t="n">
        <f aca="false">INDEX('Tabela Passaro'!$U$2:$U$1795,$N205)</f>
        <v>0</v>
      </c>
      <c r="Z205" s="32" t="n">
        <f aca="false">INDEX('Tabela Passaro'!$V$2:$V$1795,$N205)</f>
        <v>0</v>
      </c>
      <c r="AA205" s="32" t="n">
        <f aca="false">SUM(R205:Z205)</f>
        <v>124.86008</v>
      </c>
      <c r="AB205" s="33" t="n">
        <f aca="false">INDEX(Premissas!$B$5:$B$13,MATCH(A205,Premissas!$A$5:$A$13,0))</f>
        <v>0.07</v>
      </c>
      <c r="AC205" s="32" t="n">
        <f aca="false">AA205/(1-AB205)-AA205</f>
        <v>9.39807053763441</v>
      </c>
      <c r="AD205" s="32" t="n">
        <f aca="false">ROUND(AA205+AC205,2)</f>
        <v>134.26</v>
      </c>
      <c r="AE205" s="32" t="n">
        <f aca="false">AD205-L205</f>
        <v>-69.07</v>
      </c>
      <c r="AF205" s="34" t="n">
        <f aca="false">IF(L205=0,0,AE205/L205)</f>
        <v>-0.339694093345793</v>
      </c>
      <c r="AG205" s="22" t="str">
        <f aca="false">IF(AD205&lt;L205,"PASSARO","ATUAL")</f>
        <v>PASSARO</v>
      </c>
      <c r="AH205" s="22" t="str">
        <f aca="false">IF(P205&lt;&gt;A205,"Faixa cadastrada como "&amp;P205&amp;" na tabela; preço aplicado pela UF do CEP","")</f>
        <v/>
      </c>
      <c r="AI205" s="26" t="n">
        <v>169.67</v>
      </c>
      <c r="AJ205" s="22" t="str">
        <f aca="false">INDEX('Tabela Passaro'!$X$2:$X$1795,$N205)</f>
        <v>CAPITAL</v>
      </c>
    </row>
    <row r="206" customFormat="false" ht="15" hidden="false" customHeight="false" outlineLevel="0" collapsed="false">
      <c r="A206" s="22" t="s">
        <v>16</v>
      </c>
      <c r="B206" s="22" t="n">
        <v>1</v>
      </c>
      <c r="C206" s="22" t="s">
        <v>75</v>
      </c>
      <c r="D206" s="22" t="s">
        <v>30</v>
      </c>
      <c r="E206" s="22" t="s">
        <v>7326</v>
      </c>
      <c r="F206" s="22" t="n">
        <v>522878</v>
      </c>
      <c r="G206" s="30" t="n">
        <v>46240</v>
      </c>
      <c r="H206" s="22" t="n">
        <v>621219</v>
      </c>
      <c r="I206" s="22" t="s">
        <v>7506</v>
      </c>
      <c r="J206" s="31" t="n">
        <v>147</v>
      </c>
      <c r="K206" s="26" t="n">
        <v>4647.84</v>
      </c>
      <c r="L206" s="26" t="n">
        <v>378.6</v>
      </c>
      <c r="M206" s="22" t="s">
        <v>694</v>
      </c>
      <c r="N206" s="22" t="n">
        <f aca="false">MATCH(M206,'Tabela Passaro'!$A$2:$A$1795,0)</f>
        <v>106</v>
      </c>
      <c r="O206" s="22" t="str">
        <f aca="false">INDEX('Tabela Passaro'!$C$2:$C$1795,$N206)</f>
        <v>SALVADOR</v>
      </c>
      <c r="P206" s="22" t="str">
        <f aca="false">INDEX('Tabela Passaro'!$B$2:$B$1795,$N206)</f>
        <v>BA</v>
      </c>
      <c r="Q206" s="22" t="n">
        <f aca="false">INDEX('Tabela Passaro'!$F$2:$F$1795,$N206)</f>
        <v>6</v>
      </c>
      <c r="R206" s="32" t="n">
        <f aca="false">IF(J206&lt;=10,INDEX('Tabela Passaro'!$G$2:$G$1795,$N206),IF(J206&lt;=30,INDEX('Tabela Passaro'!$H$2:$H$1795,$N206),IF(J206&lt;=50,INDEX('Tabela Passaro'!$I$2:$I$1795,$N206),IF(J206&lt;=70,INDEX('Tabela Passaro'!$J$2:$J$1795,$N206),IF(J206&lt;=100,INDEX('Tabela Passaro'!$K$2:$K$1795,$N206),INDEX('Tabela Passaro'!$K$2:$K$1795,$N206)+(J206-100)*INDEX('Tabela Passaro'!$L$2:$L$1795,$N206))))))</f>
        <v>139.48</v>
      </c>
      <c r="S206" s="32" t="n">
        <f aca="false">K206*INDEX('Tabela Passaro'!$M$2:$M$1795,$N206)</f>
        <v>23.2392</v>
      </c>
      <c r="T206" s="32" t="n">
        <f aca="false">K206*INDEX('Tabela Passaro'!$N$2:$N$1795,$N206)</f>
        <v>9.29568</v>
      </c>
      <c r="U206" s="32" t="n">
        <f aca="false">INDEX('Tabela Passaro'!$O$2:$O$1795,$N206)</f>
        <v>5</v>
      </c>
      <c r="V206" s="32" t="n">
        <f aca="false">ROUNDUP(J206/INDEX('Tabela Passaro'!$Q$2:$Q$1795,$N206),0)*INDEX('Tabela Passaro'!$P$2:$P$1795,$N206)</f>
        <v>10</v>
      </c>
      <c r="W206" s="32" t="n">
        <f aca="false">INDEX('Tabela Passaro'!$R$2:$R$1795,$N206)</f>
        <v>30</v>
      </c>
      <c r="X206" s="32" t="n">
        <f aca="false">ROUNDUP(J206/INDEX('Tabela Passaro'!$T$2:$T$1795,$N206),0)*INDEX('Tabela Passaro'!$S$2:$S$1795,$N206)</f>
        <v>0</v>
      </c>
      <c r="Y206" s="32" t="n">
        <f aca="false">INDEX('Tabela Passaro'!$U$2:$U$1795,$N206)</f>
        <v>0</v>
      </c>
      <c r="Z206" s="32" t="n">
        <f aca="false">INDEX('Tabela Passaro'!$V$2:$V$1795,$N206)</f>
        <v>0</v>
      </c>
      <c r="AA206" s="32" t="n">
        <f aca="false">SUM(R206:Z206)</f>
        <v>217.01488</v>
      </c>
      <c r="AB206" s="33" t="n">
        <f aca="false">INDEX(Premissas!$B$5:$B$13,MATCH(A206,Premissas!$A$5:$A$13,0))</f>
        <v>0.07</v>
      </c>
      <c r="AC206" s="32" t="n">
        <f aca="false">AA206/(1-AB206)-AA206</f>
        <v>16.3344533333334</v>
      </c>
      <c r="AD206" s="32" t="n">
        <f aca="false">ROUND(AA206+AC206,2)</f>
        <v>233.35</v>
      </c>
      <c r="AE206" s="32" t="n">
        <f aca="false">AD206-L206</f>
        <v>-145.25</v>
      </c>
      <c r="AF206" s="34" t="n">
        <f aca="false">IF(L206=0,0,AE206/L206)</f>
        <v>-0.38365029054411</v>
      </c>
      <c r="AG206" s="22" t="str">
        <f aca="false">IF(AD206&lt;L206,"PASSARO","ATUAL")</f>
        <v>PASSARO</v>
      </c>
      <c r="AH206" s="22" t="str">
        <f aca="false">IF(P206&lt;&gt;A206,"Faixa cadastrada como "&amp;P206&amp;" na tabela; preço aplicado pela UF do CEP","")</f>
        <v/>
      </c>
      <c r="AI206" s="26" t="n">
        <v>328.44</v>
      </c>
      <c r="AJ206" s="22" t="str">
        <f aca="false">INDEX('Tabela Passaro'!$X$2:$X$1795,$N206)</f>
        <v>CAPITAL</v>
      </c>
    </row>
    <row r="207" customFormat="false" ht="15" hidden="false" customHeight="false" outlineLevel="0" collapsed="false">
      <c r="A207" s="22" t="s">
        <v>16</v>
      </c>
      <c r="B207" s="22" t="n">
        <v>1</v>
      </c>
      <c r="C207" s="22" t="s">
        <v>75</v>
      </c>
      <c r="D207" s="22" t="s">
        <v>30</v>
      </c>
      <c r="E207" s="22" t="s">
        <v>20</v>
      </c>
      <c r="F207" s="22" t="n">
        <v>838387</v>
      </c>
      <c r="G207" s="30" t="n">
        <v>46244</v>
      </c>
      <c r="H207" s="22" t="n">
        <v>32436</v>
      </c>
      <c r="I207" s="22" t="s">
        <v>7507</v>
      </c>
      <c r="J207" s="31" t="n">
        <v>30.9</v>
      </c>
      <c r="K207" s="26" t="n">
        <v>433.49</v>
      </c>
      <c r="L207" s="26" t="n">
        <v>139.36</v>
      </c>
      <c r="M207" s="22" t="s">
        <v>694</v>
      </c>
      <c r="N207" s="22" t="n">
        <f aca="false">MATCH(M207,'Tabela Passaro'!$A$2:$A$1795,0)</f>
        <v>106</v>
      </c>
      <c r="O207" s="22" t="str">
        <f aca="false">INDEX('Tabela Passaro'!$C$2:$C$1795,$N207)</f>
        <v>SALVADOR</v>
      </c>
      <c r="P207" s="22" t="str">
        <f aca="false">INDEX('Tabela Passaro'!$B$2:$B$1795,$N207)</f>
        <v>BA</v>
      </c>
      <c r="Q207" s="22" t="n">
        <f aca="false">INDEX('Tabela Passaro'!$F$2:$F$1795,$N207)</f>
        <v>6</v>
      </c>
      <c r="R207" s="32" t="n">
        <f aca="false">IF(J207&lt;=10,INDEX('Tabela Passaro'!$G$2:$G$1795,$N207),IF(J207&lt;=30,INDEX('Tabela Passaro'!$H$2:$H$1795,$N207),IF(J207&lt;=50,INDEX('Tabela Passaro'!$I$2:$I$1795,$N207),IF(J207&lt;=70,INDEX('Tabela Passaro'!$J$2:$J$1795,$N207),IF(J207&lt;=100,INDEX('Tabela Passaro'!$K$2:$K$1795,$N207),INDEX('Tabela Passaro'!$K$2:$K$1795,$N207)+(J207-100)*INDEX('Tabela Passaro'!$L$2:$L$1795,$N207))))))</f>
        <v>61.92</v>
      </c>
      <c r="S207" s="32" t="n">
        <f aca="false">K207*INDEX('Tabela Passaro'!$M$2:$M$1795,$N207)</f>
        <v>2.16745</v>
      </c>
      <c r="T207" s="32" t="n">
        <f aca="false">K207*INDEX('Tabela Passaro'!$N$2:$N$1795,$N207)</f>
        <v>0.86698</v>
      </c>
      <c r="U207" s="32" t="n">
        <f aca="false">INDEX('Tabela Passaro'!$O$2:$O$1795,$N207)</f>
        <v>5</v>
      </c>
      <c r="V207" s="32" t="n">
        <f aca="false">ROUNDUP(J207/INDEX('Tabela Passaro'!$Q$2:$Q$1795,$N207),0)*INDEX('Tabela Passaro'!$P$2:$P$1795,$N207)</f>
        <v>5</v>
      </c>
      <c r="W207" s="32" t="n">
        <f aca="false">INDEX('Tabela Passaro'!$R$2:$R$1795,$N207)</f>
        <v>30</v>
      </c>
      <c r="X207" s="32" t="n">
        <f aca="false">ROUNDUP(J207/INDEX('Tabela Passaro'!$T$2:$T$1795,$N207),0)*INDEX('Tabela Passaro'!$S$2:$S$1795,$N207)</f>
        <v>0</v>
      </c>
      <c r="Y207" s="32" t="n">
        <f aca="false">INDEX('Tabela Passaro'!$U$2:$U$1795,$N207)</f>
        <v>0</v>
      </c>
      <c r="Z207" s="32" t="n">
        <f aca="false">INDEX('Tabela Passaro'!$V$2:$V$1795,$N207)</f>
        <v>0</v>
      </c>
      <c r="AA207" s="32" t="n">
        <f aca="false">SUM(R207:Z207)</f>
        <v>104.95443</v>
      </c>
      <c r="AB207" s="33" t="n">
        <f aca="false">INDEX(Premissas!$B$5:$B$13,MATCH(A207,Premissas!$A$5:$A$13,0))</f>
        <v>0.07</v>
      </c>
      <c r="AC207" s="32" t="n">
        <f aca="false">AA207/(1-AB207)-AA207</f>
        <v>7.89979580645162</v>
      </c>
      <c r="AD207" s="32" t="n">
        <f aca="false">ROUND(AA207+AC207,2)</f>
        <v>112.85</v>
      </c>
      <c r="AE207" s="32" t="n">
        <f aca="false">AD207-L207</f>
        <v>-26.51</v>
      </c>
      <c r="AF207" s="34" t="n">
        <f aca="false">IF(L207=0,0,AE207/L207)</f>
        <v>-0.190226750861079</v>
      </c>
      <c r="AG207" s="22" t="str">
        <f aca="false">IF(AD207&lt;L207,"PASSARO","ATUAL")</f>
        <v>PASSARO</v>
      </c>
      <c r="AH207" s="22" t="str">
        <f aca="false">IF(P207&lt;&gt;A207,"Faixa cadastrada como "&amp;P207&amp;" na tabela; preço aplicado pela UF do CEP","")</f>
        <v/>
      </c>
      <c r="AI207" s="26" t="n">
        <v>134.9</v>
      </c>
      <c r="AJ207" s="22" t="str">
        <f aca="false">INDEX('Tabela Passaro'!$X$2:$X$1795,$N207)</f>
        <v>CAPITAL</v>
      </c>
    </row>
    <row r="208" customFormat="false" ht="15" hidden="false" customHeight="false" outlineLevel="0" collapsed="false">
      <c r="A208" s="22" t="s">
        <v>16</v>
      </c>
      <c r="B208" s="22" t="n">
        <v>1</v>
      </c>
      <c r="C208" s="22" t="s">
        <v>75</v>
      </c>
      <c r="D208" s="22" t="s">
        <v>30</v>
      </c>
      <c r="E208" s="22" t="s">
        <v>20</v>
      </c>
      <c r="F208" s="22" t="n">
        <v>838391</v>
      </c>
      <c r="G208" s="30" t="n">
        <v>46244</v>
      </c>
      <c r="H208" s="22" t="n">
        <v>32438</v>
      </c>
      <c r="I208" s="22" t="s">
        <v>7508</v>
      </c>
      <c r="J208" s="31" t="n">
        <v>32.75</v>
      </c>
      <c r="K208" s="26" t="n">
        <v>359.97</v>
      </c>
      <c r="L208" s="26" t="n">
        <v>138.7</v>
      </c>
      <c r="M208" s="22" t="s">
        <v>694</v>
      </c>
      <c r="N208" s="22" t="n">
        <f aca="false">MATCH(M208,'Tabela Passaro'!$A$2:$A$1795,0)</f>
        <v>106</v>
      </c>
      <c r="O208" s="22" t="str">
        <f aca="false">INDEX('Tabela Passaro'!$C$2:$C$1795,$N208)</f>
        <v>SALVADOR</v>
      </c>
      <c r="P208" s="22" t="str">
        <f aca="false">INDEX('Tabela Passaro'!$B$2:$B$1795,$N208)</f>
        <v>BA</v>
      </c>
      <c r="Q208" s="22" t="n">
        <f aca="false">INDEX('Tabela Passaro'!$F$2:$F$1795,$N208)</f>
        <v>6</v>
      </c>
      <c r="R208" s="32" t="n">
        <f aca="false">IF(J208&lt;=10,INDEX('Tabela Passaro'!$G$2:$G$1795,$N208),IF(J208&lt;=30,INDEX('Tabela Passaro'!$H$2:$H$1795,$N208),IF(J208&lt;=50,INDEX('Tabela Passaro'!$I$2:$I$1795,$N208),IF(J208&lt;=70,INDEX('Tabela Passaro'!$J$2:$J$1795,$N208),IF(J208&lt;=100,INDEX('Tabela Passaro'!$K$2:$K$1795,$N208),INDEX('Tabela Passaro'!$K$2:$K$1795,$N208)+(J208-100)*INDEX('Tabela Passaro'!$L$2:$L$1795,$N208))))))</f>
        <v>61.92</v>
      </c>
      <c r="S208" s="32" t="n">
        <f aca="false">K208*INDEX('Tabela Passaro'!$M$2:$M$1795,$N208)</f>
        <v>1.79985</v>
      </c>
      <c r="T208" s="32" t="n">
        <f aca="false">K208*INDEX('Tabela Passaro'!$N$2:$N$1795,$N208)</f>
        <v>0.71994</v>
      </c>
      <c r="U208" s="32" t="n">
        <f aca="false">INDEX('Tabela Passaro'!$O$2:$O$1795,$N208)</f>
        <v>5</v>
      </c>
      <c r="V208" s="32" t="n">
        <f aca="false">ROUNDUP(J208/INDEX('Tabela Passaro'!$Q$2:$Q$1795,$N208),0)*INDEX('Tabela Passaro'!$P$2:$P$1795,$N208)</f>
        <v>5</v>
      </c>
      <c r="W208" s="32" t="n">
        <f aca="false">INDEX('Tabela Passaro'!$R$2:$R$1795,$N208)</f>
        <v>30</v>
      </c>
      <c r="X208" s="32" t="n">
        <f aca="false">ROUNDUP(J208/INDEX('Tabela Passaro'!$T$2:$T$1795,$N208),0)*INDEX('Tabela Passaro'!$S$2:$S$1795,$N208)</f>
        <v>0</v>
      </c>
      <c r="Y208" s="32" t="n">
        <f aca="false">INDEX('Tabela Passaro'!$U$2:$U$1795,$N208)</f>
        <v>0</v>
      </c>
      <c r="Z208" s="32" t="n">
        <f aca="false">INDEX('Tabela Passaro'!$V$2:$V$1795,$N208)</f>
        <v>0</v>
      </c>
      <c r="AA208" s="32" t="n">
        <f aca="false">SUM(R208:Z208)</f>
        <v>104.43979</v>
      </c>
      <c r="AB208" s="33" t="n">
        <f aca="false">INDEX(Premissas!$B$5:$B$13,MATCH(A208,Premissas!$A$5:$A$13,0))</f>
        <v>0.07</v>
      </c>
      <c r="AC208" s="32" t="n">
        <f aca="false">AA208/(1-AB208)-AA208</f>
        <v>7.8610594623656</v>
      </c>
      <c r="AD208" s="32" t="n">
        <f aca="false">ROUND(AA208+AC208,2)</f>
        <v>112.3</v>
      </c>
      <c r="AE208" s="32" t="n">
        <f aca="false">AD208-L208</f>
        <v>-26.4</v>
      </c>
      <c r="AF208" s="34" t="n">
        <f aca="false">IF(L208=0,0,AE208/L208)</f>
        <v>-0.190338860850757</v>
      </c>
      <c r="AG208" s="22" t="str">
        <f aca="false">IF(AD208&lt;L208,"PASSARO","ATUAL")</f>
        <v>PASSARO</v>
      </c>
      <c r="AH208" s="22" t="str">
        <f aca="false">IF(P208&lt;&gt;A208,"Faixa cadastrada como "&amp;P208&amp;" na tabela; preço aplicado pela UF do CEP","")</f>
        <v/>
      </c>
      <c r="AI208" s="26" t="n">
        <v>135.16</v>
      </c>
      <c r="AJ208" s="22" t="str">
        <f aca="false">INDEX('Tabela Passaro'!$X$2:$X$1795,$N208)</f>
        <v>CAPITAL</v>
      </c>
    </row>
    <row r="209" customFormat="false" ht="15" hidden="false" customHeight="false" outlineLevel="0" collapsed="false">
      <c r="A209" s="22" t="s">
        <v>16</v>
      </c>
      <c r="B209" s="22" t="n">
        <v>1</v>
      </c>
      <c r="C209" s="22" t="s">
        <v>75</v>
      </c>
      <c r="D209" s="22" t="s">
        <v>30</v>
      </c>
      <c r="E209" s="22" t="s">
        <v>20</v>
      </c>
      <c r="F209" s="22" t="n">
        <v>838409</v>
      </c>
      <c r="G209" s="30" t="n">
        <v>46244</v>
      </c>
      <c r="H209" s="22" t="n">
        <v>32461</v>
      </c>
      <c r="I209" s="22" t="s">
        <v>7509</v>
      </c>
      <c r="J209" s="31" t="n">
        <v>33.3</v>
      </c>
      <c r="K209" s="26" t="n">
        <v>584.98</v>
      </c>
      <c r="L209" s="26" t="n">
        <v>140.73</v>
      </c>
      <c r="M209" s="22" t="s">
        <v>694</v>
      </c>
      <c r="N209" s="22" t="n">
        <f aca="false">MATCH(M209,'Tabela Passaro'!$A$2:$A$1795,0)</f>
        <v>106</v>
      </c>
      <c r="O209" s="22" t="str">
        <f aca="false">INDEX('Tabela Passaro'!$C$2:$C$1795,$N209)</f>
        <v>SALVADOR</v>
      </c>
      <c r="P209" s="22" t="str">
        <f aca="false">INDEX('Tabela Passaro'!$B$2:$B$1795,$N209)</f>
        <v>BA</v>
      </c>
      <c r="Q209" s="22" t="n">
        <f aca="false">INDEX('Tabela Passaro'!$F$2:$F$1795,$N209)</f>
        <v>6</v>
      </c>
      <c r="R209" s="32" t="n">
        <f aca="false">IF(J209&lt;=10,INDEX('Tabela Passaro'!$G$2:$G$1795,$N209),IF(J209&lt;=30,INDEX('Tabela Passaro'!$H$2:$H$1795,$N209),IF(J209&lt;=50,INDEX('Tabela Passaro'!$I$2:$I$1795,$N209),IF(J209&lt;=70,INDEX('Tabela Passaro'!$J$2:$J$1795,$N209),IF(J209&lt;=100,INDEX('Tabela Passaro'!$K$2:$K$1795,$N209),INDEX('Tabela Passaro'!$K$2:$K$1795,$N209)+(J209-100)*INDEX('Tabela Passaro'!$L$2:$L$1795,$N209))))))</f>
        <v>61.92</v>
      </c>
      <c r="S209" s="32" t="n">
        <f aca="false">K209*INDEX('Tabela Passaro'!$M$2:$M$1795,$N209)</f>
        <v>2.9249</v>
      </c>
      <c r="T209" s="32" t="n">
        <f aca="false">K209*INDEX('Tabela Passaro'!$N$2:$N$1795,$N209)</f>
        <v>1.16996</v>
      </c>
      <c r="U209" s="32" t="n">
        <f aca="false">INDEX('Tabela Passaro'!$O$2:$O$1795,$N209)</f>
        <v>5</v>
      </c>
      <c r="V209" s="32" t="n">
        <f aca="false">ROUNDUP(J209/INDEX('Tabela Passaro'!$Q$2:$Q$1795,$N209),0)*INDEX('Tabela Passaro'!$P$2:$P$1795,$N209)</f>
        <v>5</v>
      </c>
      <c r="W209" s="32" t="n">
        <f aca="false">INDEX('Tabela Passaro'!$R$2:$R$1795,$N209)</f>
        <v>30</v>
      </c>
      <c r="X209" s="32" t="n">
        <f aca="false">ROUNDUP(J209/INDEX('Tabela Passaro'!$T$2:$T$1795,$N209),0)*INDEX('Tabela Passaro'!$S$2:$S$1795,$N209)</f>
        <v>0</v>
      </c>
      <c r="Y209" s="32" t="n">
        <f aca="false">INDEX('Tabela Passaro'!$U$2:$U$1795,$N209)</f>
        <v>0</v>
      </c>
      <c r="Z209" s="32" t="n">
        <f aca="false">INDEX('Tabela Passaro'!$V$2:$V$1795,$N209)</f>
        <v>0</v>
      </c>
      <c r="AA209" s="32" t="n">
        <f aca="false">SUM(R209:Z209)</f>
        <v>106.01486</v>
      </c>
      <c r="AB209" s="33" t="n">
        <f aca="false">INDEX(Premissas!$B$5:$B$13,MATCH(A209,Premissas!$A$5:$A$13,0))</f>
        <v>0.07</v>
      </c>
      <c r="AC209" s="32" t="n">
        <f aca="false">AA209/(1-AB209)-AA209</f>
        <v>7.97961311827957</v>
      </c>
      <c r="AD209" s="32" t="n">
        <f aca="false">ROUND(AA209+AC209,2)</f>
        <v>113.99</v>
      </c>
      <c r="AE209" s="32" t="n">
        <f aca="false">AD209-L209</f>
        <v>-26.74</v>
      </c>
      <c r="AF209" s="34" t="n">
        <f aca="false">IF(L209=0,0,AE209/L209)</f>
        <v>-0.190009237547076</v>
      </c>
      <c r="AG209" s="22" t="str">
        <f aca="false">IF(AD209&lt;L209,"PASSARO","ATUAL")</f>
        <v>PASSARO</v>
      </c>
      <c r="AH209" s="22" t="str">
        <f aca="false">IF(P209&lt;&gt;A209,"Faixa cadastrada como "&amp;P209&amp;" na tabela; preço aplicado pela UF do CEP","")</f>
        <v/>
      </c>
      <c r="AI209" s="26" t="n">
        <v>137.82</v>
      </c>
      <c r="AJ209" s="22" t="str">
        <f aca="false">INDEX('Tabela Passaro'!$X$2:$X$1795,$N209)</f>
        <v>CAPITAL</v>
      </c>
    </row>
    <row r="210" customFormat="false" ht="15" hidden="false" customHeight="false" outlineLevel="0" collapsed="false">
      <c r="A210" s="22" t="s">
        <v>16</v>
      </c>
      <c r="B210" s="22" t="n">
        <v>1</v>
      </c>
      <c r="C210" s="22" t="s">
        <v>75</v>
      </c>
      <c r="D210" s="22" t="s">
        <v>30</v>
      </c>
      <c r="E210" s="22" t="s">
        <v>20</v>
      </c>
      <c r="F210" s="22" t="n">
        <v>838418</v>
      </c>
      <c r="G210" s="30" t="n">
        <v>46244</v>
      </c>
      <c r="H210" s="22" t="n">
        <v>32464</v>
      </c>
      <c r="I210" s="22" t="s">
        <v>7479</v>
      </c>
      <c r="J210" s="31" t="n">
        <v>37.2</v>
      </c>
      <c r="K210" s="26" t="n">
        <v>480.95</v>
      </c>
      <c r="L210" s="26" t="n">
        <v>139.78</v>
      </c>
      <c r="M210" s="22" t="s">
        <v>694</v>
      </c>
      <c r="N210" s="22" t="n">
        <f aca="false">MATCH(M210,'Tabela Passaro'!$A$2:$A$1795,0)</f>
        <v>106</v>
      </c>
      <c r="O210" s="22" t="str">
        <f aca="false">INDEX('Tabela Passaro'!$C$2:$C$1795,$N210)</f>
        <v>SALVADOR</v>
      </c>
      <c r="P210" s="22" t="str">
        <f aca="false">INDEX('Tabela Passaro'!$B$2:$B$1795,$N210)</f>
        <v>BA</v>
      </c>
      <c r="Q210" s="22" t="n">
        <f aca="false">INDEX('Tabela Passaro'!$F$2:$F$1795,$N210)</f>
        <v>6</v>
      </c>
      <c r="R210" s="32" t="n">
        <f aca="false">IF(J210&lt;=10,INDEX('Tabela Passaro'!$G$2:$G$1795,$N210),IF(J210&lt;=30,INDEX('Tabela Passaro'!$H$2:$H$1795,$N210),IF(J210&lt;=50,INDEX('Tabela Passaro'!$I$2:$I$1795,$N210),IF(J210&lt;=70,INDEX('Tabela Passaro'!$J$2:$J$1795,$N210),IF(J210&lt;=100,INDEX('Tabela Passaro'!$K$2:$K$1795,$N210),INDEX('Tabela Passaro'!$K$2:$K$1795,$N210)+(J210-100)*INDEX('Tabela Passaro'!$L$2:$L$1795,$N210))))))</f>
        <v>61.92</v>
      </c>
      <c r="S210" s="32" t="n">
        <f aca="false">K210*INDEX('Tabela Passaro'!$M$2:$M$1795,$N210)</f>
        <v>2.40475</v>
      </c>
      <c r="T210" s="32" t="n">
        <f aca="false">K210*INDEX('Tabela Passaro'!$N$2:$N$1795,$N210)</f>
        <v>0.9619</v>
      </c>
      <c r="U210" s="32" t="n">
        <f aca="false">INDEX('Tabela Passaro'!$O$2:$O$1795,$N210)</f>
        <v>5</v>
      </c>
      <c r="V210" s="32" t="n">
        <f aca="false">ROUNDUP(J210/INDEX('Tabela Passaro'!$Q$2:$Q$1795,$N210),0)*INDEX('Tabela Passaro'!$P$2:$P$1795,$N210)</f>
        <v>5</v>
      </c>
      <c r="W210" s="32" t="n">
        <f aca="false">INDEX('Tabela Passaro'!$R$2:$R$1795,$N210)</f>
        <v>30</v>
      </c>
      <c r="X210" s="32" t="n">
        <f aca="false">ROUNDUP(J210/INDEX('Tabela Passaro'!$T$2:$T$1795,$N210),0)*INDEX('Tabela Passaro'!$S$2:$S$1795,$N210)</f>
        <v>0</v>
      </c>
      <c r="Y210" s="32" t="n">
        <f aca="false">INDEX('Tabela Passaro'!$U$2:$U$1795,$N210)</f>
        <v>0</v>
      </c>
      <c r="Z210" s="32" t="n">
        <f aca="false">INDEX('Tabela Passaro'!$V$2:$V$1795,$N210)</f>
        <v>0</v>
      </c>
      <c r="AA210" s="32" t="n">
        <f aca="false">SUM(R210:Z210)</f>
        <v>105.28665</v>
      </c>
      <c r="AB210" s="33" t="n">
        <f aca="false">INDEX(Premissas!$B$5:$B$13,MATCH(A210,Premissas!$A$5:$A$13,0))</f>
        <v>0.07</v>
      </c>
      <c r="AC210" s="32" t="n">
        <f aca="false">AA210/(1-AB210)-AA210</f>
        <v>7.92480161290324</v>
      </c>
      <c r="AD210" s="32" t="n">
        <f aca="false">ROUND(AA210+AC210,2)</f>
        <v>113.21</v>
      </c>
      <c r="AE210" s="32" t="n">
        <f aca="false">AD210-L210</f>
        <v>-26.57</v>
      </c>
      <c r="AF210" s="34" t="n">
        <f aca="false">IF(L210=0,0,AE210/L210)</f>
        <v>-0.190084418371727</v>
      </c>
      <c r="AG210" s="22" t="str">
        <f aca="false">IF(AD210&lt;L210,"PASSARO","ATUAL")</f>
        <v>PASSARO</v>
      </c>
      <c r="AH210" s="22" t="str">
        <f aca="false">IF(P210&lt;&gt;A210,"Faixa cadastrada como "&amp;P210&amp;" na tabela; preço aplicado pela UF do CEP","")</f>
        <v/>
      </c>
      <c r="AI210" s="26" t="n">
        <v>138.75</v>
      </c>
      <c r="AJ210" s="22" t="str">
        <f aca="false">INDEX('Tabela Passaro'!$X$2:$X$1795,$N210)</f>
        <v>CAPITAL</v>
      </c>
    </row>
    <row r="211" customFormat="false" ht="15" hidden="false" customHeight="false" outlineLevel="0" collapsed="false">
      <c r="A211" s="22" t="s">
        <v>16</v>
      </c>
      <c r="B211" s="22" t="n">
        <v>1</v>
      </c>
      <c r="C211" s="22" t="s">
        <v>75</v>
      </c>
      <c r="D211" s="22" t="s">
        <v>30</v>
      </c>
      <c r="E211" s="22" t="s">
        <v>20</v>
      </c>
      <c r="F211" s="22" t="n">
        <v>838422</v>
      </c>
      <c r="G211" s="30" t="n">
        <v>46244</v>
      </c>
      <c r="H211" s="22" t="n">
        <v>32468</v>
      </c>
      <c r="I211" s="22" t="s">
        <v>7510</v>
      </c>
      <c r="J211" s="31" t="n">
        <v>45.4</v>
      </c>
      <c r="K211" s="26" t="n">
        <v>729.98</v>
      </c>
      <c r="L211" s="26" t="n">
        <v>142.03</v>
      </c>
      <c r="M211" s="22" t="s">
        <v>694</v>
      </c>
      <c r="N211" s="22" t="n">
        <f aca="false">MATCH(M211,'Tabela Passaro'!$A$2:$A$1795,0)</f>
        <v>106</v>
      </c>
      <c r="O211" s="22" t="str">
        <f aca="false">INDEX('Tabela Passaro'!$C$2:$C$1795,$N211)</f>
        <v>SALVADOR</v>
      </c>
      <c r="P211" s="22" t="str">
        <f aca="false">INDEX('Tabela Passaro'!$B$2:$B$1795,$N211)</f>
        <v>BA</v>
      </c>
      <c r="Q211" s="22" t="n">
        <f aca="false">INDEX('Tabela Passaro'!$F$2:$F$1795,$N211)</f>
        <v>6</v>
      </c>
      <c r="R211" s="32" t="n">
        <f aca="false">IF(J211&lt;=10,INDEX('Tabela Passaro'!$G$2:$G$1795,$N211),IF(J211&lt;=30,INDEX('Tabela Passaro'!$H$2:$H$1795,$N211),IF(J211&lt;=50,INDEX('Tabela Passaro'!$I$2:$I$1795,$N211),IF(J211&lt;=70,INDEX('Tabela Passaro'!$J$2:$J$1795,$N211),IF(J211&lt;=100,INDEX('Tabela Passaro'!$K$2:$K$1795,$N211),INDEX('Tabela Passaro'!$K$2:$K$1795,$N211)+(J211-100)*INDEX('Tabela Passaro'!$L$2:$L$1795,$N211))))))</f>
        <v>61.92</v>
      </c>
      <c r="S211" s="32" t="n">
        <f aca="false">K211*INDEX('Tabela Passaro'!$M$2:$M$1795,$N211)</f>
        <v>3.6499</v>
      </c>
      <c r="T211" s="32" t="n">
        <f aca="false">K211*INDEX('Tabela Passaro'!$N$2:$N$1795,$N211)</f>
        <v>1.45996</v>
      </c>
      <c r="U211" s="32" t="n">
        <f aca="false">INDEX('Tabela Passaro'!$O$2:$O$1795,$N211)</f>
        <v>5</v>
      </c>
      <c r="V211" s="32" t="n">
        <f aca="false">ROUNDUP(J211/INDEX('Tabela Passaro'!$Q$2:$Q$1795,$N211),0)*INDEX('Tabela Passaro'!$P$2:$P$1795,$N211)</f>
        <v>5</v>
      </c>
      <c r="W211" s="32" t="n">
        <f aca="false">INDEX('Tabela Passaro'!$R$2:$R$1795,$N211)</f>
        <v>30</v>
      </c>
      <c r="X211" s="32" t="n">
        <f aca="false">ROUNDUP(J211/INDEX('Tabela Passaro'!$T$2:$T$1795,$N211),0)*INDEX('Tabela Passaro'!$S$2:$S$1795,$N211)</f>
        <v>0</v>
      </c>
      <c r="Y211" s="32" t="n">
        <f aca="false">INDEX('Tabela Passaro'!$U$2:$U$1795,$N211)</f>
        <v>0</v>
      </c>
      <c r="Z211" s="32" t="n">
        <f aca="false">INDEX('Tabela Passaro'!$V$2:$V$1795,$N211)</f>
        <v>0</v>
      </c>
      <c r="AA211" s="32" t="n">
        <f aca="false">SUM(R211:Z211)</f>
        <v>107.02986</v>
      </c>
      <c r="AB211" s="33" t="n">
        <f aca="false">INDEX(Premissas!$B$5:$B$13,MATCH(A211,Premissas!$A$5:$A$13,0))</f>
        <v>0.07</v>
      </c>
      <c r="AC211" s="32" t="n">
        <f aca="false">AA211/(1-AB211)-AA211</f>
        <v>8.05601096774194</v>
      </c>
      <c r="AD211" s="32" t="n">
        <f aca="false">ROUND(AA211+AC211,2)</f>
        <v>115.09</v>
      </c>
      <c r="AE211" s="32" t="n">
        <f aca="false">AD211-L211</f>
        <v>-26.94</v>
      </c>
      <c r="AF211" s="34" t="n">
        <f aca="false">IF(L211=0,0,AE211/L211)</f>
        <v>-0.189678236992185</v>
      </c>
      <c r="AG211" s="22" t="str">
        <f aca="false">IF(AD211&lt;L211,"PASSARO","ATUAL")</f>
        <v>PASSARO</v>
      </c>
      <c r="AH211" s="22" t="str">
        <f aca="false">IF(P211&lt;&gt;A211,"Faixa cadastrada como "&amp;P211&amp;" na tabela; preço aplicado pela UF do CEP","")</f>
        <v/>
      </c>
      <c r="AI211" s="26" t="n">
        <v>145.03</v>
      </c>
      <c r="AJ211" s="22" t="str">
        <f aca="false">INDEX('Tabela Passaro'!$X$2:$X$1795,$N211)</f>
        <v>CAPITAL</v>
      </c>
    </row>
    <row r="212" customFormat="false" ht="15" hidden="false" customHeight="false" outlineLevel="0" collapsed="false">
      <c r="A212" s="22" t="s">
        <v>16</v>
      </c>
      <c r="B212" s="22" t="n">
        <v>1</v>
      </c>
      <c r="C212" s="22" t="s">
        <v>75</v>
      </c>
      <c r="D212" s="22" t="s">
        <v>30</v>
      </c>
      <c r="E212" s="22" t="s">
        <v>20</v>
      </c>
      <c r="F212" s="22" t="n">
        <v>838427</v>
      </c>
      <c r="G212" s="30" t="n">
        <v>46244</v>
      </c>
      <c r="H212" s="22" t="n">
        <v>32474</v>
      </c>
      <c r="I212" s="22" t="s">
        <v>7511</v>
      </c>
      <c r="J212" s="31" t="n">
        <v>45.4</v>
      </c>
      <c r="K212" s="26" t="n">
        <v>603.98</v>
      </c>
      <c r="L212" s="26" t="n">
        <v>140.9</v>
      </c>
      <c r="M212" s="22" t="s">
        <v>694</v>
      </c>
      <c r="N212" s="22" t="n">
        <f aca="false">MATCH(M212,'Tabela Passaro'!$A$2:$A$1795,0)</f>
        <v>106</v>
      </c>
      <c r="O212" s="22" t="str">
        <f aca="false">INDEX('Tabela Passaro'!$C$2:$C$1795,$N212)</f>
        <v>SALVADOR</v>
      </c>
      <c r="P212" s="22" t="str">
        <f aca="false">INDEX('Tabela Passaro'!$B$2:$B$1795,$N212)</f>
        <v>BA</v>
      </c>
      <c r="Q212" s="22" t="n">
        <f aca="false">INDEX('Tabela Passaro'!$F$2:$F$1795,$N212)</f>
        <v>6</v>
      </c>
      <c r="R212" s="32" t="n">
        <f aca="false">IF(J212&lt;=10,INDEX('Tabela Passaro'!$G$2:$G$1795,$N212),IF(J212&lt;=30,INDEX('Tabela Passaro'!$H$2:$H$1795,$N212),IF(J212&lt;=50,INDEX('Tabela Passaro'!$I$2:$I$1795,$N212),IF(J212&lt;=70,INDEX('Tabela Passaro'!$J$2:$J$1795,$N212),IF(J212&lt;=100,INDEX('Tabela Passaro'!$K$2:$K$1795,$N212),INDEX('Tabela Passaro'!$K$2:$K$1795,$N212)+(J212-100)*INDEX('Tabela Passaro'!$L$2:$L$1795,$N212))))))</f>
        <v>61.92</v>
      </c>
      <c r="S212" s="32" t="n">
        <f aca="false">K212*INDEX('Tabela Passaro'!$M$2:$M$1795,$N212)</f>
        <v>3.0199</v>
      </c>
      <c r="T212" s="32" t="n">
        <f aca="false">K212*INDEX('Tabela Passaro'!$N$2:$N$1795,$N212)</f>
        <v>1.20796</v>
      </c>
      <c r="U212" s="32" t="n">
        <f aca="false">INDEX('Tabela Passaro'!$O$2:$O$1795,$N212)</f>
        <v>5</v>
      </c>
      <c r="V212" s="32" t="n">
        <f aca="false">ROUNDUP(J212/INDEX('Tabela Passaro'!$Q$2:$Q$1795,$N212),0)*INDEX('Tabela Passaro'!$P$2:$P$1795,$N212)</f>
        <v>5</v>
      </c>
      <c r="W212" s="32" t="n">
        <f aca="false">INDEX('Tabela Passaro'!$R$2:$R$1795,$N212)</f>
        <v>30</v>
      </c>
      <c r="X212" s="32" t="n">
        <f aca="false">ROUNDUP(J212/INDEX('Tabela Passaro'!$T$2:$T$1795,$N212),0)*INDEX('Tabela Passaro'!$S$2:$S$1795,$N212)</f>
        <v>0</v>
      </c>
      <c r="Y212" s="32" t="n">
        <f aca="false">INDEX('Tabela Passaro'!$U$2:$U$1795,$N212)</f>
        <v>0</v>
      </c>
      <c r="Z212" s="32" t="n">
        <f aca="false">INDEX('Tabela Passaro'!$V$2:$V$1795,$N212)</f>
        <v>0</v>
      </c>
      <c r="AA212" s="32" t="n">
        <f aca="false">SUM(R212:Z212)</f>
        <v>106.14786</v>
      </c>
      <c r="AB212" s="33" t="n">
        <f aca="false">INDEX(Premissas!$B$5:$B$13,MATCH(A212,Premissas!$A$5:$A$13,0))</f>
        <v>0.07</v>
      </c>
      <c r="AC212" s="32" t="n">
        <f aca="false">AA212/(1-AB212)-AA212</f>
        <v>7.98962387096775</v>
      </c>
      <c r="AD212" s="32" t="n">
        <f aca="false">ROUND(AA212+AC212,2)</f>
        <v>114.14</v>
      </c>
      <c r="AE212" s="32" t="n">
        <f aca="false">AD212-L212</f>
        <v>-26.76</v>
      </c>
      <c r="AF212" s="34" t="n">
        <f aca="false">IF(L212=0,0,AE212/L212)</f>
        <v>-0.189921930447126</v>
      </c>
      <c r="AG212" s="22" t="str">
        <f aca="false">IF(AD212&lt;L212,"PASSARO","ATUAL")</f>
        <v>PASSARO</v>
      </c>
      <c r="AH212" s="22" t="str">
        <f aca="false">IF(P212&lt;&gt;A212,"Faixa cadastrada como "&amp;P212&amp;" na tabela; preço aplicado pela UF do CEP","")</f>
        <v/>
      </c>
      <c r="AI212" s="26" t="n">
        <v>143.81</v>
      </c>
      <c r="AJ212" s="22" t="str">
        <f aca="false">INDEX('Tabela Passaro'!$X$2:$X$1795,$N212)</f>
        <v>CAPITAL</v>
      </c>
    </row>
    <row r="213" customFormat="false" ht="15" hidden="false" customHeight="false" outlineLevel="0" collapsed="false">
      <c r="A213" s="22" t="s">
        <v>16</v>
      </c>
      <c r="B213" s="22" t="n">
        <v>1</v>
      </c>
      <c r="C213" s="22" t="s">
        <v>75</v>
      </c>
      <c r="D213" s="22" t="s">
        <v>30</v>
      </c>
      <c r="E213" s="22" t="s">
        <v>7328</v>
      </c>
      <c r="F213" s="22" t="n">
        <v>2309808</v>
      </c>
      <c r="G213" s="30" t="n">
        <v>46244</v>
      </c>
      <c r="H213" s="22" t="n">
        <v>132129</v>
      </c>
      <c r="I213" s="22" t="s">
        <v>7512</v>
      </c>
      <c r="J213" s="31" t="n">
        <v>46.8</v>
      </c>
      <c r="K213" s="26" t="n">
        <v>763.98</v>
      </c>
      <c r="L213" s="26" t="n">
        <v>144.25</v>
      </c>
      <c r="M213" s="22" t="s">
        <v>694</v>
      </c>
      <c r="N213" s="22" t="n">
        <f aca="false">MATCH(M213,'Tabela Passaro'!$A$2:$A$1795,0)</f>
        <v>106</v>
      </c>
      <c r="O213" s="22" t="str">
        <f aca="false">INDEX('Tabela Passaro'!$C$2:$C$1795,$N213)</f>
        <v>SALVADOR</v>
      </c>
      <c r="P213" s="22" t="str">
        <f aca="false">INDEX('Tabela Passaro'!$B$2:$B$1795,$N213)</f>
        <v>BA</v>
      </c>
      <c r="Q213" s="22" t="n">
        <f aca="false">INDEX('Tabela Passaro'!$F$2:$F$1795,$N213)</f>
        <v>6</v>
      </c>
      <c r="R213" s="32" t="n">
        <f aca="false">IF(J213&lt;=10,INDEX('Tabela Passaro'!$G$2:$G$1795,$N213),IF(J213&lt;=30,INDEX('Tabela Passaro'!$H$2:$H$1795,$N213),IF(J213&lt;=50,INDEX('Tabela Passaro'!$I$2:$I$1795,$N213),IF(J213&lt;=70,INDEX('Tabela Passaro'!$J$2:$J$1795,$N213),IF(J213&lt;=100,INDEX('Tabela Passaro'!$K$2:$K$1795,$N213),INDEX('Tabela Passaro'!$K$2:$K$1795,$N213)+(J213-100)*INDEX('Tabela Passaro'!$L$2:$L$1795,$N213))))))</f>
        <v>61.92</v>
      </c>
      <c r="S213" s="32" t="n">
        <f aca="false">K213*INDEX('Tabela Passaro'!$M$2:$M$1795,$N213)</f>
        <v>3.8199</v>
      </c>
      <c r="T213" s="32" t="n">
        <f aca="false">K213*INDEX('Tabela Passaro'!$N$2:$N$1795,$N213)</f>
        <v>1.52796</v>
      </c>
      <c r="U213" s="32" t="n">
        <f aca="false">INDEX('Tabela Passaro'!$O$2:$O$1795,$N213)</f>
        <v>5</v>
      </c>
      <c r="V213" s="32" t="n">
        <f aca="false">ROUNDUP(J213/INDEX('Tabela Passaro'!$Q$2:$Q$1795,$N213),0)*INDEX('Tabela Passaro'!$P$2:$P$1795,$N213)</f>
        <v>5</v>
      </c>
      <c r="W213" s="32" t="n">
        <f aca="false">INDEX('Tabela Passaro'!$R$2:$R$1795,$N213)</f>
        <v>30</v>
      </c>
      <c r="X213" s="32" t="n">
        <f aca="false">ROUNDUP(J213/INDEX('Tabela Passaro'!$T$2:$T$1795,$N213),0)*INDEX('Tabela Passaro'!$S$2:$S$1795,$N213)</f>
        <v>0</v>
      </c>
      <c r="Y213" s="32" t="n">
        <f aca="false">INDEX('Tabela Passaro'!$U$2:$U$1795,$N213)</f>
        <v>0</v>
      </c>
      <c r="Z213" s="32" t="n">
        <f aca="false">INDEX('Tabela Passaro'!$V$2:$V$1795,$N213)</f>
        <v>0</v>
      </c>
      <c r="AA213" s="32" t="n">
        <f aca="false">SUM(R213:Z213)</f>
        <v>107.26786</v>
      </c>
      <c r="AB213" s="33" t="n">
        <f aca="false">INDEX(Premissas!$B$5:$B$13,MATCH(A213,Premissas!$A$5:$A$13,0))</f>
        <v>0.07</v>
      </c>
      <c r="AC213" s="32" t="n">
        <f aca="false">AA213/(1-AB213)-AA213</f>
        <v>8.07392494623657</v>
      </c>
      <c r="AD213" s="32" t="n">
        <f aca="false">ROUND(AA213+AC213,2)</f>
        <v>115.34</v>
      </c>
      <c r="AE213" s="32" t="n">
        <f aca="false">AD213-L213</f>
        <v>-28.91</v>
      </c>
      <c r="AF213" s="34" t="n">
        <f aca="false">IF(L213=0,0,AE213/L213)</f>
        <v>-0.200415944540728</v>
      </c>
      <c r="AG213" s="22" t="str">
        <f aca="false">IF(AD213&lt;L213,"PASSARO","ATUAL")</f>
        <v>PASSARO</v>
      </c>
      <c r="AH213" s="22" t="str">
        <f aca="false">IF(P213&lt;&gt;A213,"Faixa cadastrada como "&amp;P213&amp;" na tabela; preço aplicado pela UF do CEP","")</f>
        <v/>
      </c>
      <c r="AI213" s="26" t="n">
        <v>145.84</v>
      </c>
      <c r="AJ213" s="22" t="str">
        <f aca="false">INDEX('Tabela Passaro'!$X$2:$X$1795,$N213)</f>
        <v>CAPITAL</v>
      </c>
    </row>
    <row r="214" customFormat="false" ht="15" hidden="false" customHeight="false" outlineLevel="0" collapsed="false">
      <c r="A214" s="22" t="s">
        <v>16</v>
      </c>
      <c r="B214" s="22" t="n">
        <v>1</v>
      </c>
      <c r="C214" s="22" t="s">
        <v>75</v>
      </c>
      <c r="D214" s="22" t="s">
        <v>30</v>
      </c>
      <c r="E214" s="22" t="s">
        <v>7328</v>
      </c>
      <c r="F214" s="22" t="n">
        <v>2309815</v>
      </c>
      <c r="G214" s="30" t="n">
        <v>46244</v>
      </c>
      <c r="H214" s="22" t="n">
        <v>132135</v>
      </c>
      <c r="I214" s="22" t="s">
        <v>7513</v>
      </c>
      <c r="J214" s="31" t="n">
        <v>66.4</v>
      </c>
      <c r="K214" s="26" t="n">
        <v>840.83</v>
      </c>
      <c r="L214" s="26" t="n">
        <v>165.95</v>
      </c>
      <c r="M214" s="22" t="s">
        <v>694</v>
      </c>
      <c r="N214" s="22" t="n">
        <f aca="false">MATCH(M214,'Tabela Passaro'!$A$2:$A$1795,0)</f>
        <v>106</v>
      </c>
      <c r="O214" s="22" t="str">
        <f aca="false">INDEX('Tabela Passaro'!$C$2:$C$1795,$N214)</f>
        <v>SALVADOR</v>
      </c>
      <c r="P214" s="22" t="str">
        <f aca="false">INDEX('Tabela Passaro'!$B$2:$B$1795,$N214)</f>
        <v>BA</v>
      </c>
      <c r="Q214" s="22" t="n">
        <f aca="false">INDEX('Tabela Passaro'!$F$2:$F$1795,$N214)</f>
        <v>6</v>
      </c>
      <c r="R214" s="32" t="n">
        <f aca="false">IF(J214&lt;=10,INDEX('Tabela Passaro'!$G$2:$G$1795,$N214),IF(J214&lt;=30,INDEX('Tabela Passaro'!$H$2:$H$1795,$N214),IF(J214&lt;=50,INDEX('Tabela Passaro'!$I$2:$I$1795,$N214),IF(J214&lt;=70,INDEX('Tabela Passaro'!$J$2:$J$1795,$N214),IF(J214&lt;=100,INDEX('Tabela Passaro'!$K$2:$K$1795,$N214),INDEX('Tabela Passaro'!$K$2:$K$1795,$N214)+(J214-100)*INDEX('Tabela Passaro'!$L$2:$L$1795,$N214))))))</f>
        <v>73.44</v>
      </c>
      <c r="S214" s="32" t="n">
        <f aca="false">K214*INDEX('Tabela Passaro'!$M$2:$M$1795,$N214)</f>
        <v>4.20415</v>
      </c>
      <c r="T214" s="32" t="n">
        <f aca="false">K214*INDEX('Tabela Passaro'!$N$2:$N$1795,$N214)</f>
        <v>1.68166</v>
      </c>
      <c r="U214" s="32" t="n">
        <f aca="false">INDEX('Tabela Passaro'!$O$2:$O$1795,$N214)</f>
        <v>5</v>
      </c>
      <c r="V214" s="32" t="n">
        <f aca="false">ROUNDUP(J214/INDEX('Tabela Passaro'!$Q$2:$Q$1795,$N214),0)*INDEX('Tabela Passaro'!$P$2:$P$1795,$N214)</f>
        <v>5</v>
      </c>
      <c r="W214" s="32" t="n">
        <f aca="false">INDEX('Tabela Passaro'!$R$2:$R$1795,$N214)</f>
        <v>30</v>
      </c>
      <c r="X214" s="32" t="n">
        <f aca="false">ROUNDUP(J214/INDEX('Tabela Passaro'!$T$2:$T$1795,$N214),0)*INDEX('Tabela Passaro'!$S$2:$S$1795,$N214)</f>
        <v>0</v>
      </c>
      <c r="Y214" s="32" t="n">
        <f aca="false">INDEX('Tabela Passaro'!$U$2:$U$1795,$N214)</f>
        <v>0</v>
      </c>
      <c r="Z214" s="32" t="n">
        <f aca="false">INDEX('Tabela Passaro'!$V$2:$V$1795,$N214)</f>
        <v>0</v>
      </c>
      <c r="AA214" s="32" t="n">
        <f aca="false">SUM(R214:Z214)</f>
        <v>119.32581</v>
      </c>
      <c r="AB214" s="33" t="n">
        <f aca="false">INDEX(Premissas!$B$5:$B$13,MATCH(A214,Premissas!$A$5:$A$13,0))</f>
        <v>0.07</v>
      </c>
      <c r="AC214" s="32" t="n">
        <f aca="false">AA214/(1-AB214)-AA214</f>
        <v>8.98151258064517</v>
      </c>
      <c r="AD214" s="32" t="n">
        <f aca="false">ROUND(AA214+AC214,2)</f>
        <v>128.31</v>
      </c>
      <c r="AE214" s="32" t="n">
        <f aca="false">AD214-L214</f>
        <v>-37.64</v>
      </c>
      <c r="AF214" s="34" t="n">
        <f aca="false">IF(L214=0,0,AE214/L214)</f>
        <v>-0.226815305815004</v>
      </c>
      <c r="AG214" s="22" t="str">
        <f aca="false">IF(AD214&lt;L214,"PASSARO","ATUAL")</f>
        <v>PASSARO</v>
      </c>
      <c r="AH214" s="22" t="str">
        <f aca="false">IF(P214&lt;&gt;A214,"Faixa cadastrada como "&amp;P214&amp;" na tabela; preço aplicado pela UF do CEP","")</f>
        <v/>
      </c>
      <c r="AI214" s="26" t="n">
        <v>168.79</v>
      </c>
      <c r="AJ214" s="22" t="str">
        <f aca="false">INDEX('Tabela Passaro'!$X$2:$X$1795,$N214)</f>
        <v>CAPITAL</v>
      </c>
    </row>
    <row r="215" customFormat="false" ht="15" hidden="false" customHeight="false" outlineLevel="0" collapsed="false">
      <c r="A215" s="22" t="s">
        <v>16</v>
      </c>
      <c r="B215" s="22" t="n">
        <v>1</v>
      </c>
      <c r="C215" s="22" t="s">
        <v>75</v>
      </c>
      <c r="D215" s="22" t="s">
        <v>30</v>
      </c>
      <c r="E215" s="22" t="s">
        <v>7328</v>
      </c>
      <c r="F215" s="22" t="n">
        <v>2309818</v>
      </c>
      <c r="G215" s="30" t="n">
        <v>46244</v>
      </c>
      <c r="H215" s="22" t="n">
        <v>132139</v>
      </c>
      <c r="I215" s="22" t="s">
        <v>7514</v>
      </c>
      <c r="J215" s="31" t="n">
        <v>59.8</v>
      </c>
      <c r="K215" s="26" t="n">
        <v>1029.98</v>
      </c>
      <c r="L215" s="26" t="n">
        <v>167.45</v>
      </c>
      <c r="M215" s="22" t="s">
        <v>694</v>
      </c>
      <c r="N215" s="22" t="n">
        <f aca="false">MATCH(M215,'Tabela Passaro'!$A$2:$A$1795,0)</f>
        <v>106</v>
      </c>
      <c r="O215" s="22" t="str">
        <f aca="false">INDEX('Tabela Passaro'!$C$2:$C$1795,$N215)</f>
        <v>SALVADOR</v>
      </c>
      <c r="P215" s="22" t="str">
        <f aca="false">INDEX('Tabela Passaro'!$B$2:$B$1795,$N215)</f>
        <v>BA</v>
      </c>
      <c r="Q215" s="22" t="n">
        <f aca="false">INDEX('Tabela Passaro'!$F$2:$F$1795,$N215)</f>
        <v>6</v>
      </c>
      <c r="R215" s="32" t="n">
        <f aca="false">IF(J215&lt;=10,INDEX('Tabela Passaro'!$G$2:$G$1795,$N215),IF(J215&lt;=30,INDEX('Tabela Passaro'!$H$2:$H$1795,$N215),IF(J215&lt;=50,INDEX('Tabela Passaro'!$I$2:$I$1795,$N215),IF(J215&lt;=70,INDEX('Tabela Passaro'!$J$2:$J$1795,$N215),IF(J215&lt;=100,INDEX('Tabela Passaro'!$K$2:$K$1795,$N215),INDEX('Tabela Passaro'!$K$2:$K$1795,$N215)+(J215-100)*INDEX('Tabela Passaro'!$L$2:$L$1795,$N215))))))</f>
        <v>73.44</v>
      </c>
      <c r="S215" s="32" t="n">
        <f aca="false">K215*INDEX('Tabela Passaro'!$M$2:$M$1795,$N215)</f>
        <v>5.1499</v>
      </c>
      <c r="T215" s="32" t="n">
        <f aca="false">K215*INDEX('Tabela Passaro'!$N$2:$N$1795,$N215)</f>
        <v>2.05996</v>
      </c>
      <c r="U215" s="32" t="n">
        <f aca="false">INDEX('Tabela Passaro'!$O$2:$O$1795,$N215)</f>
        <v>5</v>
      </c>
      <c r="V215" s="32" t="n">
        <f aca="false">ROUNDUP(J215/INDEX('Tabela Passaro'!$Q$2:$Q$1795,$N215),0)*INDEX('Tabela Passaro'!$P$2:$P$1795,$N215)</f>
        <v>5</v>
      </c>
      <c r="W215" s="32" t="n">
        <f aca="false">INDEX('Tabela Passaro'!$R$2:$R$1795,$N215)</f>
        <v>30</v>
      </c>
      <c r="X215" s="32" t="n">
        <f aca="false">ROUNDUP(J215/INDEX('Tabela Passaro'!$T$2:$T$1795,$N215),0)*INDEX('Tabela Passaro'!$S$2:$S$1795,$N215)</f>
        <v>0</v>
      </c>
      <c r="Y215" s="32" t="n">
        <f aca="false">INDEX('Tabela Passaro'!$U$2:$U$1795,$N215)</f>
        <v>0</v>
      </c>
      <c r="Z215" s="32" t="n">
        <f aca="false">INDEX('Tabela Passaro'!$V$2:$V$1795,$N215)</f>
        <v>0</v>
      </c>
      <c r="AA215" s="32" t="n">
        <f aca="false">SUM(R215:Z215)</f>
        <v>120.64986</v>
      </c>
      <c r="AB215" s="33" t="n">
        <f aca="false">INDEX(Premissas!$B$5:$B$13,MATCH(A215,Premissas!$A$5:$A$13,0))</f>
        <v>0.07</v>
      </c>
      <c r="AC215" s="32" t="n">
        <f aca="false">AA215/(1-AB215)-AA215</f>
        <v>9.08117225806451</v>
      </c>
      <c r="AD215" s="32" t="n">
        <f aca="false">ROUND(AA215+AC215,2)</f>
        <v>129.73</v>
      </c>
      <c r="AE215" s="32" t="n">
        <f aca="false">AD215-L215</f>
        <v>-37.72</v>
      </c>
      <c r="AF215" s="34" t="n">
        <f aca="false">IF(L215=0,0,AE215/L215)</f>
        <v>-0.225261272021499</v>
      </c>
      <c r="AG215" s="22" t="str">
        <f aca="false">IF(AD215&lt;L215,"PASSARO","ATUAL")</f>
        <v>PASSARO</v>
      </c>
      <c r="AH215" s="22" t="str">
        <f aca="false">IF(P215&lt;&gt;A215,"Faixa cadastrada como "&amp;P215&amp;" na tabela; preço aplicado pela UF do CEP","")</f>
        <v/>
      </c>
      <c r="AI215" s="26" t="n">
        <v>167.24</v>
      </c>
      <c r="AJ215" s="22" t="str">
        <f aca="false">INDEX('Tabela Passaro'!$X$2:$X$1795,$N215)</f>
        <v>CAPITAL</v>
      </c>
    </row>
    <row r="216" customFormat="false" ht="15" hidden="false" customHeight="false" outlineLevel="0" collapsed="false">
      <c r="A216" s="22" t="s">
        <v>16</v>
      </c>
      <c r="B216" s="22" t="n">
        <v>1</v>
      </c>
      <c r="C216" s="22" t="s">
        <v>75</v>
      </c>
      <c r="D216" s="22" t="s">
        <v>30</v>
      </c>
      <c r="E216" s="22" t="s">
        <v>7328</v>
      </c>
      <c r="F216" s="22" t="n">
        <v>2309789</v>
      </c>
      <c r="G216" s="30" t="n">
        <v>46244</v>
      </c>
      <c r="H216" s="22" t="n">
        <v>132154</v>
      </c>
      <c r="I216" s="22" t="s">
        <v>7515</v>
      </c>
      <c r="J216" s="31" t="n">
        <v>82.78</v>
      </c>
      <c r="K216" s="26" t="n">
        <v>1154.97</v>
      </c>
      <c r="L216" s="26" t="n">
        <v>207.48</v>
      </c>
      <c r="M216" s="22" t="s">
        <v>694</v>
      </c>
      <c r="N216" s="22" t="n">
        <f aca="false">MATCH(M216,'Tabela Passaro'!$A$2:$A$1795,0)</f>
        <v>106</v>
      </c>
      <c r="O216" s="22" t="str">
        <f aca="false">INDEX('Tabela Passaro'!$C$2:$C$1795,$N216)</f>
        <v>SALVADOR</v>
      </c>
      <c r="P216" s="22" t="str">
        <f aca="false">INDEX('Tabela Passaro'!$B$2:$B$1795,$N216)</f>
        <v>BA</v>
      </c>
      <c r="Q216" s="22" t="n">
        <f aca="false">INDEX('Tabela Passaro'!$F$2:$F$1795,$N216)</f>
        <v>6</v>
      </c>
      <c r="R216" s="32" t="n">
        <f aca="false">IF(J216&lt;=10,INDEX('Tabela Passaro'!$G$2:$G$1795,$N216),IF(J216&lt;=30,INDEX('Tabela Passaro'!$H$2:$H$1795,$N216),IF(J216&lt;=50,INDEX('Tabela Passaro'!$I$2:$I$1795,$N216),IF(J216&lt;=70,INDEX('Tabela Passaro'!$J$2:$J$1795,$N216),IF(J216&lt;=100,INDEX('Tabela Passaro'!$K$2:$K$1795,$N216),INDEX('Tabela Passaro'!$K$2:$K$1795,$N216)+(J216-100)*INDEX('Tabela Passaro'!$L$2:$L$1795,$N216))))))</f>
        <v>84.96</v>
      </c>
      <c r="S216" s="32" t="n">
        <f aca="false">K216*INDEX('Tabela Passaro'!$M$2:$M$1795,$N216)</f>
        <v>5.77485</v>
      </c>
      <c r="T216" s="32" t="n">
        <f aca="false">K216*INDEX('Tabela Passaro'!$N$2:$N$1795,$N216)</f>
        <v>2.30994</v>
      </c>
      <c r="U216" s="32" t="n">
        <f aca="false">INDEX('Tabela Passaro'!$O$2:$O$1795,$N216)</f>
        <v>5</v>
      </c>
      <c r="V216" s="32" t="n">
        <f aca="false">ROUNDUP(J216/INDEX('Tabela Passaro'!$Q$2:$Q$1795,$N216),0)*INDEX('Tabela Passaro'!$P$2:$P$1795,$N216)</f>
        <v>5</v>
      </c>
      <c r="W216" s="32" t="n">
        <f aca="false">INDEX('Tabela Passaro'!$R$2:$R$1795,$N216)</f>
        <v>30</v>
      </c>
      <c r="X216" s="32" t="n">
        <f aca="false">ROUNDUP(J216/INDEX('Tabela Passaro'!$T$2:$T$1795,$N216),0)*INDEX('Tabela Passaro'!$S$2:$S$1795,$N216)</f>
        <v>0</v>
      </c>
      <c r="Y216" s="32" t="n">
        <f aca="false">INDEX('Tabela Passaro'!$U$2:$U$1795,$N216)</f>
        <v>0</v>
      </c>
      <c r="Z216" s="32" t="n">
        <f aca="false">INDEX('Tabela Passaro'!$V$2:$V$1795,$N216)</f>
        <v>0</v>
      </c>
      <c r="AA216" s="32" t="n">
        <f aca="false">SUM(R216:Z216)</f>
        <v>133.04479</v>
      </c>
      <c r="AB216" s="33" t="n">
        <f aca="false">INDEX(Premissas!$B$5:$B$13,MATCH(A216,Premissas!$A$5:$A$13,0))</f>
        <v>0.07</v>
      </c>
      <c r="AC216" s="32" t="n">
        <f aca="false">AA216/(1-AB216)-AA216</f>
        <v>10.0141239784946</v>
      </c>
      <c r="AD216" s="32" t="n">
        <f aca="false">ROUND(AA216+AC216,2)</f>
        <v>143.06</v>
      </c>
      <c r="AE216" s="32" t="n">
        <f aca="false">AD216-L216</f>
        <v>-64.42</v>
      </c>
      <c r="AF216" s="34" t="n">
        <f aca="false">IF(L216=0,0,AE216/L216)</f>
        <v>-0.310487757856179</v>
      </c>
      <c r="AG216" s="22" t="str">
        <f aca="false">IF(AD216&lt;L216,"PASSARO","ATUAL")</f>
        <v>PASSARO</v>
      </c>
      <c r="AH216" s="22" t="str">
        <f aca="false">IF(P216&lt;&gt;A216,"Faixa cadastrada como "&amp;P216&amp;" na tabela; preço aplicado pela UF do CEP","")</f>
        <v/>
      </c>
      <c r="AI216" s="26" t="n">
        <v>192.09</v>
      </c>
      <c r="AJ216" s="22" t="str">
        <f aca="false">INDEX('Tabela Passaro'!$X$2:$X$1795,$N216)</f>
        <v>CAPITAL</v>
      </c>
    </row>
    <row r="217" customFormat="false" ht="15" hidden="false" customHeight="false" outlineLevel="0" collapsed="false">
      <c r="A217" s="22" t="s">
        <v>16</v>
      </c>
      <c r="B217" s="22" t="n">
        <v>1</v>
      </c>
      <c r="C217" s="22" t="s">
        <v>75</v>
      </c>
      <c r="D217" s="22" t="s">
        <v>30</v>
      </c>
      <c r="E217" s="22" t="s">
        <v>7328</v>
      </c>
      <c r="F217" s="22" t="n">
        <v>2309800</v>
      </c>
      <c r="G217" s="30" t="n">
        <v>46244</v>
      </c>
      <c r="H217" s="22" t="n">
        <v>132169</v>
      </c>
      <c r="I217" s="22" t="s">
        <v>7482</v>
      </c>
      <c r="J217" s="31" t="n">
        <v>27.6</v>
      </c>
      <c r="K217" s="26" t="n">
        <v>675.2</v>
      </c>
      <c r="L217" s="26" t="n">
        <v>112.96</v>
      </c>
      <c r="M217" s="22" t="s">
        <v>694</v>
      </c>
      <c r="N217" s="22" t="n">
        <f aca="false">MATCH(M217,'Tabela Passaro'!$A$2:$A$1795,0)</f>
        <v>106</v>
      </c>
      <c r="O217" s="22" t="str">
        <f aca="false">INDEX('Tabela Passaro'!$C$2:$C$1795,$N217)</f>
        <v>SALVADOR</v>
      </c>
      <c r="P217" s="22" t="str">
        <f aca="false">INDEX('Tabela Passaro'!$B$2:$B$1795,$N217)</f>
        <v>BA</v>
      </c>
      <c r="Q217" s="22" t="n">
        <f aca="false">INDEX('Tabela Passaro'!$F$2:$F$1795,$N217)</f>
        <v>6</v>
      </c>
      <c r="R217" s="32" t="n">
        <f aca="false">IF(J217&lt;=10,INDEX('Tabela Passaro'!$G$2:$G$1795,$N217),IF(J217&lt;=30,INDEX('Tabela Passaro'!$H$2:$H$1795,$N217),IF(J217&lt;=50,INDEX('Tabela Passaro'!$I$2:$I$1795,$N217),IF(J217&lt;=70,INDEX('Tabela Passaro'!$J$2:$J$1795,$N217),IF(J217&lt;=100,INDEX('Tabela Passaro'!$K$2:$K$1795,$N217),INDEX('Tabela Passaro'!$K$2:$K$1795,$N217)+(J217-100)*INDEX('Tabela Passaro'!$L$2:$L$1795,$N217))))))</f>
        <v>50.4</v>
      </c>
      <c r="S217" s="32" t="n">
        <f aca="false">K217*INDEX('Tabela Passaro'!$M$2:$M$1795,$N217)</f>
        <v>3.376</v>
      </c>
      <c r="T217" s="32" t="n">
        <f aca="false">K217*INDEX('Tabela Passaro'!$N$2:$N$1795,$N217)</f>
        <v>1.3504</v>
      </c>
      <c r="U217" s="32" t="n">
        <f aca="false">INDEX('Tabela Passaro'!$O$2:$O$1795,$N217)</f>
        <v>5</v>
      </c>
      <c r="V217" s="32" t="n">
        <f aca="false">ROUNDUP(J217/INDEX('Tabela Passaro'!$Q$2:$Q$1795,$N217),0)*INDEX('Tabela Passaro'!$P$2:$P$1795,$N217)</f>
        <v>5</v>
      </c>
      <c r="W217" s="32" t="n">
        <f aca="false">INDEX('Tabela Passaro'!$R$2:$R$1795,$N217)</f>
        <v>30</v>
      </c>
      <c r="X217" s="32" t="n">
        <f aca="false">ROUNDUP(J217/INDEX('Tabela Passaro'!$T$2:$T$1795,$N217),0)*INDEX('Tabela Passaro'!$S$2:$S$1795,$N217)</f>
        <v>0</v>
      </c>
      <c r="Y217" s="32" t="n">
        <f aca="false">INDEX('Tabela Passaro'!$U$2:$U$1795,$N217)</f>
        <v>0</v>
      </c>
      <c r="Z217" s="32" t="n">
        <f aca="false">INDEX('Tabela Passaro'!$V$2:$V$1795,$N217)</f>
        <v>0</v>
      </c>
      <c r="AA217" s="32" t="n">
        <f aca="false">SUM(R217:Z217)</f>
        <v>95.1264</v>
      </c>
      <c r="AB217" s="33" t="n">
        <f aca="false">INDEX(Premissas!$B$5:$B$13,MATCH(A217,Premissas!$A$5:$A$13,0))</f>
        <v>0.07</v>
      </c>
      <c r="AC217" s="32" t="n">
        <f aca="false">AA217/(1-AB217)-AA217</f>
        <v>7.16005161290323</v>
      </c>
      <c r="AD217" s="32" t="n">
        <f aca="false">ROUND(AA217+AC217,2)</f>
        <v>102.29</v>
      </c>
      <c r="AE217" s="32" t="n">
        <f aca="false">AD217-L217</f>
        <v>-10.67</v>
      </c>
      <c r="AF217" s="34" t="n">
        <f aca="false">IF(L217=0,0,AE217/L217)</f>
        <v>-0.0944582152974503</v>
      </c>
      <c r="AG217" s="22" t="str">
        <f aca="false">IF(AD217&lt;L217,"PASSARO","ATUAL")</f>
        <v>PASSARO</v>
      </c>
      <c r="AH217" s="22" t="str">
        <f aca="false">IF(P217&lt;&gt;A217,"Faixa cadastrada como "&amp;P217&amp;" na tabela; preço aplicado pela UF do CEP","")</f>
        <v/>
      </c>
      <c r="AI217" s="26" t="n">
        <v>123.27</v>
      </c>
      <c r="AJ217" s="22" t="str">
        <f aca="false">INDEX('Tabela Passaro'!$X$2:$X$1795,$N217)</f>
        <v>CAPITAL</v>
      </c>
    </row>
    <row r="218" customFormat="false" ht="15" hidden="false" customHeight="false" outlineLevel="0" collapsed="false">
      <c r="A218" s="22" t="s">
        <v>16</v>
      </c>
      <c r="B218" s="22" t="n">
        <v>1</v>
      </c>
      <c r="C218" s="22" t="s">
        <v>75</v>
      </c>
      <c r="D218" s="22" t="s">
        <v>30</v>
      </c>
      <c r="E218" s="22" t="s">
        <v>7328</v>
      </c>
      <c r="F218" s="22" t="n">
        <v>2309803</v>
      </c>
      <c r="G218" s="30" t="n">
        <v>46244</v>
      </c>
      <c r="H218" s="22" t="n">
        <v>132170</v>
      </c>
      <c r="I218" s="22" t="s">
        <v>7516</v>
      </c>
      <c r="J218" s="31" t="n">
        <v>51.06</v>
      </c>
      <c r="K218" s="26" t="n">
        <v>818.98</v>
      </c>
      <c r="L218" s="26" t="n">
        <v>165.78</v>
      </c>
      <c r="M218" s="22" t="s">
        <v>694</v>
      </c>
      <c r="N218" s="22" t="n">
        <f aca="false">MATCH(M218,'Tabela Passaro'!$A$2:$A$1795,0)</f>
        <v>106</v>
      </c>
      <c r="O218" s="22" t="str">
        <f aca="false">INDEX('Tabela Passaro'!$C$2:$C$1795,$N218)</f>
        <v>SALVADOR</v>
      </c>
      <c r="P218" s="22" t="str">
        <f aca="false">INDEX('Tabela Passaro'!$B$2:$B$1795,$N218)</f>
        <v>BA</v>
      </c>
      <c r="Q218" s="22" t="n">
        <f aca="false">INDEX('Tabela Passaro'!$F$2:$F$1795,$N218)</f>
        <v>6</v>
      </c>
      <c r="R218" s="32" t="n">
        <f aca="false">IF(J218&lt;=10,INDEX('Tabela Passaro'!$G$2:$G$1795,$N218),IF(J218&lt;=30,INDEX('Tabela Passaro'!$H$2:$H$1795,$N218),IF(J218&lt;=50,INDEX('Tabela Passaro'!$I$2:$I$1795,$N218),IF(J218&lt;=70,INDEX('Tabela Passaro'!$J$2:$J$1795,$N218),IF(J218&lt;=100,INDEX('Tabela Passaro'!$K$2:$K$1795,$N218),INDEX('Tabela Passaro'!$K$2:$K$1795,$N218)+(J218-100)*INDEX('Tabela Passaro'!$L$2:$L$1795,$N218))))))</f>
        <v>73.44</v>
      </c>
      <c r="S218" s="32" t="n">
        <f aca="false">K218*INDEX('Tabela Passaro'!$M$2:$M$1795,$N218)</f>
        <v>4.0949</v>
      </c>
      <c r="T218" s="32" t="n">
        <f aca="false">K218*INDEX('Tabela Passaro'!$N$2:$N$1795,$N218)</f>
        <v>1.63796</v>
      </c>
      <c r="U218" s="32" t="n">
        <f aca="false">INDEX('Tabela Passaro'!$O$2:$O$1795,$N218)</f>
        <v>5</v>
      </c>
      <c r="V218" s="32" t="n">
        <f aca="false">ROUNDUP(J218/INDEX('Tabela Passaro'!$Q$2:$Q$1795,$N218),0)*INDEX('Tabela Passaro'!$P$2:$P$1795,$N218)</f>
        <v>5</v>
      </c>
      <c r="W218" s="32" t="n">
        <f aca="false">INDEX('Tabela Passaro'!$R$2:$R$1795,$N218)</f>
        <v>30</v>
      </c>
      <c r="X218" s="32" t="n">
        <f aca="false">ROUNDUP(J218/INDEX('Tabela Passaro'!$T$2:$T$1795,$N218),0)*INDEX('Tabela Passaro'!$S$2:$S$1795,$N218)</f>
        <v>0</v>
      </c>
      <c r="Y218" s="32" t="n">
        <f aca="false">INDEX('Tabela Passaro'!$U$2:$U$1795,$N218)</f>
        <v>0</v>
      </c>
      <c r="Z218" s="32" t="n">
        <f aca="false">INDEX('Tabela Passaro'!$V$2:$V$1795,$N218)</f>
        <v>0</v>
      </c>
      <c r="AA218" s="32" t="n">
        <f aca="false">SUM(R218:Z218)</f>
        <v>119.17286</v>
      </c>
      <c r="AB218" s="33" t="n">
        <f aca="false">INDEX(Premissas!$B$5:$B$13,MATCH(A218,Premissas!$A$5:$A$13,0))</f>
        <v>0.07</v>
      </c>
      <c r="AC218" s="32" t="n">
        <f aca="false">AA218/(1-AB218)-AA218</f>
        <v>8.97000021505376</v>
      </c>
      <c r="AD218" s="32" t="n">
        <f aca="false">ROUND(AA218+AC218,2)</f>
        <v>128.14</v>
      </c>
      <c r="AE218" s="32" t="n">
        <f aca="false">AD218-L218</f>
        <v>-37.64</v>
      </c>
      <c r="AF218" s="34" t="n">
        <f aca="false">IF(L218=0,0,AE218/L218)</f>
        <v>-0.227047894800338</v>
      </c>
      <c r="AG218" s="22" t="str">
        <f aca="false">IF(AD218&lt;L218,"PASSARO","ATUAL")</f>
        <v>PASSARO</v>
      </c>
      <c r="AH218" s="22" t="str">
        <f aca="false">IF(P218&lt;&gt;A218,"Faixa cadastrada como "&amp;P218&amp;" na tabela; preço aplicado pela UF do CEP","")</f>
        <v/>
      </c>
      <c r="AI218" s="26" t="n">
        <v>161.32</v>
      </c>
      <c r="AJ218" s="22" t="str">
        <f aca="false">INDEX('Tabela Passaro'!$X$2:$X$1795,$N218)</f>
        <v>CAPITAL</v>
      </c>
    </row>
    <row r="219" customFormat="false" ht="15" hidden="false" customHeight="false" outlineLevel="0" collapsed="false">
      <c r="A219" s="22" t="s">
        <v>16</v>
      </c>
      <c r="B219" s="22" t="n">
        <v>1</v>
      </c>
      <c r="C219" s="22" t="s">
        <v>75</v>
      </c>
      <c r="D219" s="22" t="s">
        <v>30</v>
      </c>
      <c r="E219" s="22" t="s">
        <v>7328</v>
      </c>
      <c r="F219" s="22" t="n">
        <v>2309843</v>
      </c>
      <c r="G219" s="30" t="n">
        <v>46244</v>
      </c>
      <c r="H219" s="22" t="n">
        <v>132182</v>
      </c>
      <c r="I219" s="22" t="s">
        <v>7517</v>
      </c>
      <c r="J219" s="31" t="n">
        <v>38.15</v>
      </c>
      <c r="K219" s="26" t="n">
        <v>569.04</v>
      </c>
      <c r="L219" s="26" t="n">
        <v>142.71</v>
      </c>
      <c r="M219" s="22" t="s">
        <v>694</v>
      </c>
      <c r="N219" s="22" t="n">
        <f aca="false">MATCH(M219,'Tabela Passaro'!$A$2:$A$1795,0)</f>
        <v>106</v>
      </c>
      <c r="O219" s="22" t="str">
        <f aca="false">INDEX('Tabela Passaro'!$C$2:$C$1795,$N219)</f>
        <v>SALVADOR</v>
      </c>
      <c r="P219" s="22" t="str">
        <f aca="false">INDEX('Tabela Passaro'!$B$2:$B$1795,$N219)</f>
        <v>BA</v>
      </c>
      <c r="Q219" s="22" t="n">
        <f aca="false">INDEX('Tabela Passaro'!$F$2:$F$1795,$N219)</f>
        <v>6</v>
      </c>
      <c r="R219" s="32" t="n">
        <f aca="false">IF(J219&lt;=10,INDEX('Tabela Passaro'!$G$2:$G$1795,$N219),IF(J219&lt;=30,INDEX('Tabela Passaro'!$H$2:$H$1795,$N219),IF(J219&lt;=50,INDEX('Tabela Passaro'!$I$2:$I$1795,$N219),IF(J219&lt;=70,INDEX('Tabela Passaro'!$J$2:$J$1795,$N219),IF(J219&lt;=100,INDEX('Tabela Passaro'!$K$2:$K$1795,$N219),INDEX('Tabela Passaro'!$K$2:$K$1795,$N219)+(J219-100)*INDEX('Tabela Passaro'!$L$2:$L$1795,$N219))))))</f>
        <v>61.92</v>
      </c>
      <c r="S219" s="32" t="n">
        <f aca="false">K219*INDEX('Tabela Passaro'!$M$2:$M$1795,$N219)</f>
        <v>2.8452</v>
      </c>
      <c r="T219" s="32" t="n">
        <f aca="false">K219*INDEX('Tabela Passaro'!$N$2:$N$1795,$N219)</f>
        <v>1.13808</v>
      </c>
      <c r="U219" s="32" t="n">
        <f aca="false">INDEX('Tabela Passaro'!$O$2:$O$1795,$N219)</f>
        <v>5</v>
      </c>
      <c r="V219" s="32" t="n">
        <f aca="false">ROUNDUP(J219/INDEX('Tabela Passaro'!$Q$2:$Q$1795,$N219),0)*INDEX('Tabela Passaro'!$P$2:$P$1795,$N219)</f>
        <v>5</v>
      </c>
      <c r="W219" s="32" t="n">
        <f aca="false">INDEX('Tabela Passaro'!$R$2:$R$1795,$N219)</f>
        <v>30</v>
      </c>
      <c r="X219" s="32" t="n">
        <f aca="false">ROUNDUP(J219/INDEX('Tabela Passaro'!$T$2:$T$1795,$N219),0)*INDEX('Tabela Passaro'!$S$2:$S$1795,$N219)</f>
        <v>0</v>
      </c>
      <c r="Y219" s="32" t="n">
        <f aca="false">INDEX('Tabela Passaro'!$U$2:$U$1795,$N219)</f>
        <v>0</v>
      </c>
      <c r="Z219" s="32" t="n">
        <f aca="false">INDEX('Tabela Passaro'!$V$2:$V$1795,$N219)</f>
        <v>0</v>
      </c>
      <c r="AA219" s="32" t="n">
        <f aca="false">SUM(R219:Z219)</f>
        <v>105.90328</v>
      </c>
      <c r="AB219" s="33" t="n">
        <f aca="false">INDEX(Premissas!$B$5:$B$13,MATCH(A219,Premissas!$A$5:$A$13,0))</f>
        <v>0.07</v>
      </c>
      <c r="AC219" s="32" t="n">
        <f aca="false">AA219/(1-AB219)-AA219</f>
        <v>7.97121462365593</v>
      </c>
      <c r="AD219" s="32" t="n">
        <f aca="false">ROUND(AA219+AC219,2)</f>
        <v>113.87</v>
      </c>
      <c r="AE219" s="32" t="n">
        <f aca="false">AD219-L219</f>
        <v>-28.84</v>
      </c>
      <c r="AF219" s="34" t="n">
        <f aca="false">IF(L219=0,0,AE219/L219)</f>
        <v>-0.202088150795319</v>
      </c>
      <c r="AG219" s="22" t="str">
        <f aca="false">IF(AD219&lt;L219,"PASSARO","ATUAL")</f>
        <v>PASSARO</v>
      </c>
      <c r="AH219" s="22" t="str">
        <f aca="false">IF(P219&lt;&gt;A219,"Faixa cadastrada como "&amp;P219&amp;" na tabela; preço aplicado pela UF do CEP","")</f>
        <v/>
      </c>
      <c r="AI219" s="26" t="n">
        <v>140.09</v>
      </c>
      <c r="AJ219" s="22" t="str">
        <f aca="false">INDEX('Tabela Passaro'!$X$2:$X$1795,$N219)</f>
        <v>CAPITAL</v>
      </c>
    </row>
    <row r="220" customFormat="false" ht="15" hidden="false" customHeight="false" outlineLevel="0" collapsed="false">
      <c r="A220" s="22" t="s">
        <v>16</v>
      </c>
      <c r="B220" s="22" t="n">
        <v>1</v>
      </c>
      <c r="C220" s="22" t="s">
        <v>75</v>
      </c>
      <c r="D220" s="22" t="s">
        <v>30</v>
      </c>
      <c r="E220" s="22" t="s">
        <v>7328</v>
      </c>
      <c r="F220" s="22" t="n">
        <v>2309844</v>
      </c>
      <c r="G220" s="30" t="n">
        <v>46244</v>
      </c>
      <c r="H220" s="22" t="n">
        <v>132330</v>
      </c>
      <c r="I220" s="22" t="s">
        <v>7518</v>
      </c>
      <c r="J220" s="31" t="n">
        <v>29.2</v>
      </c>
      <c r="K220" s="26" t="n">
        <v>476.77</v>
      </c>
      <c r="L220" s="26" t="n">
        <v>111.38</v>
      </c>
      <c r="M220" s="22" t="s">
        <v>694</v>
      </c>
      <c r="N220" s="22" t="n">
        <f aca="false">MATCH(M220,'Tabela Passaro'!$A$2:$A$1795,0)</f>
        <v>106</v>
      </c>
      <c r="O220" s="22" t="str">
        <f aca="false">INDEX('Tabela Passaro'!$C$2:$C$1795,$N220)</f>
        <v>SALVADOR</v>
      </c>
      <c r="P220" s="22" t="str">
        <f aca="false">INDEX('Tabela Passaro'!$B$2:$B$1795,$N220)</f>
        <v>BA</v>
      </c>
      <c r="Q220" s="22" t="n">
        <f aca="false">INDEX('Tabela Passaro'!$F$2:$F$1795,$N220)</f>
        <v>6</v>
      </c>
      <c r="R220" s="32" t="n">
        <f aca="false">IF(J220&lt;=10,INDEX('Tabela Passaro'!$G$2:$G$1795,$N220),IF(J220&lt;=30,INDEX('Tabela Passaro'!$H$2:$H$1795,$N220),IF(J220&lt;=50,INDEX('Tabela Passaro'!$I$2:$I$1795,$N220),IF(J220&lt;=70,INDEX('Tabela Passaro'!$J$2:$J$1795,$N220),IF(J220&lt;=100,INDEX('Tabela Passaro'!$K$2:$K$1795,$N220),INDEX('Tabela Passaro'!$K$2:$K$1795,$N220)+(J220-100)*INDEX('Tabela Passaro'!$L$2:$L$1795,$N220))))))</f>
        <v>50.4</v>
      </c>
      <c r="S220" s="32" t="n">
        <f aca="false">K220*INDEX('Tabela Passaro'!$M$2:$M$1795,$N220)</f>
        <v>2.38385</v>
      </c>
      <c r="T220" s="32" t="n">
        <f aca="false">K220*INDEX('Tabela Passaro'!$N$2:$N$1795,$N220)</f>
        <v>0.95354</v>
      </c>
      <c r="U220" s="32" t="n">
        <f aca="false">INDEX('Tabela Passaro'!$O$2:$O$1795,$N220)</f>
        <v>5</v>
      </c>
      <c r="V220" s="32" t="n">
        <f aca="false">ROUNDUP(J220/INDEX('Tabela Passaro'!$Q$2:$Q$1795,$N220),0)*INDEX('Tabela Passaro'!$P$2:$P$1795,$N220)</f>
        <v>5</v>
      </c>
      <c r="W220" s="32" t="n">
        <f aca="false">INDEX('Tabela Passaro'!$R$2:$R$1795,$N220)</f>
        <v>30</v>
      </c>
      <c r="X220" s="32" t="n">
        <f aca="false">ROUNDUP(J220/INDEX('Tabela Passaro'!$T$2:$T$1795,$N220),0)*INDEX('Tabela Passaro'!$S$2:$S$1795,$N220)</f>
        <v>0</v>
      </c>
      <c r="Y220" s="32" t="n">
        <f aca="false">INDEX('Tabela Passaro'!$U$2:$U$1795,$N220)</f>
        <v>0</v>
      </c>
      <c r="Z220" s="32" t="n">
        <f aca="false">INDEX('Tabela Passaro'!$V$2:$V$1795,$N220)</f>
        <v>0</v>
      </c>
      <c r="AA220" s="32" t="n">
        <f aca="false">SUM(R220:Z220)</f>
        <v>93.73739</v>
      </c>
      <c r="AB220" s="33" t="n">
        <f aca="false">INDEX(Premissas!$B$5:$B$13,MATCH(A220,Premissas!$A$5:$A$13,0))</f>
        <v>0.07</v>
      </c>
      <c r="AC220" s="32" t="n">
        <f aca="false">AA220/(1-AB220)-AA220</f>
        <v>7.05550247311828</v>
      </c>
      <c r="AD220" s="32" t="n">
        <f aca="false">ROUND(AA220+AC220,2)</f>
        <v>100.79</v>
      </c>
      <c r="AE220" s="32" t="n">
        <f aca="false">AD220-L220</f>
        <v>-10.59</v>
      </c>
      <c r="AF220" s="34" t="n">
        <f aca="false">IF(L220=0,0,AE220/L220)</f>
        <v>-0.0950799066259651</v>
      </c>
      <c r="AG220" s="22" t="str">
        <f aca="false">IF(AD220&lt;L220,"PASSARO","ATUAL")</f>
        <v>PASSARO</v>
      </c>
      <c r="AH220" s="22" t="str">
        <f aca="false">IF(P220&lt;&gt;A220,"Faixa cadastrada como "&amp;P220&amp;" na tabela; preço aplicado pela UF do CEP","")</f>
        <v/>
      </c>
      <c r="AI220" s="26" t="n">
        <v>122.31</v>
      </c>
      <c r="AJ220" s="22" t="str">
        <f aca="false">INDEX('Tabela Passaro'!$X$2:$X$1795,$N220)</f>
        <v>CAPITAL</v>
      </c>
    </row>
    <row r="221" customFormat="false" ht="15" hidden="false" customHeight="false" outlineLevel="0" collapsed="false">
      <c r="A221" s="22" t="s">
        <v>16</v>
      </c>
      <c r="B221" s="22" t="n">
        <v>1</v>
      </c>
      <c r="C221" s="22" t="s">
        <v>75</v>
      </c>
      <c r="D221" s="22" t="s">
        <v>30</v>
      </c>
      <c r="E221" s="22" t="s">
        <v>7328</v>
      </c>
      <c r="F221" s="22" t="n">
        <v>2309857</v>
      </c>
      <c r="G221" s="30" t="n">
        <v>46244</v>
      </c>
      <c r="H221" s="22" t="n">
        <v>132336</v>
      </c>
      <c r="I221" s="22" t="s">
        <v>7519</v>
      </c>
      <c r="J221" s="31" t="n">
        <v>43.5</v>
      </c>
      <c r="K221" s="26" t="n">
        <v>834.98</v>
      </c>
      <c r="L221" s="26" t="n">
        <v>144.81</v>
      </c>
      <c r="M221" s="22" t="s">
        <v>694</v>
      </c>
      <c r="N221" s="22" t="n">
        <f aca="false">MATCH(M221,'Tabela Passaro'!$A$2:$A$1795,0)</f>
        <v>106</v>
      </c>
      <c r="O221" s="22" t="str">
        <f aca="false">INDEX('Tabela Passaro'!$C$2:$C$1795,$N221)</f>
        <v>SALVADOR</v>
      </c>
      <c r="P221" s="22" t="str">
        <f aca="false">INDEX('Tabela Passaro'!$B$2:$B$1795,$N221)</f>
        <v>BA</v>
      </c>
      <c r="Q221" s="22" t="n">
        <f aca="false">INDEX('Tabela Passaro'!$F$2:$F$1795,$N221)</f>
        <v>6</v>
      </c>
      <c r="R221" s="32" t="n">
        <f aca="false">IF(J221&lt;=10,INDEX('Tabela Passaro'!$G$2:$G$1795,$N221),IF(J221&lt;=30,INDEX('Tabela Passaro'!$H$2:$H$1795,$N221),IF(J221&lt;=50,INDEX('Tabela Passaro'!$I$2:$I$1795,$N221),IF(J221&lt;=70,INDEX('Tabela Passaro'!$J$2:$J$1795,$N221),IF(J221&lt;=100,INDEX('Tabela Passaro'!$K$2:$K$1795,$N221),INDEX('Tabela Passaro'!$K$2:$K$1795,$N221)+(J221-100)*INDEX('Tabela Passaro'!$L$2:$L$1795,$N221))))))</f>
        <v>61.92</v>
      </c>
      <c r="S221" s="32" t="n">
        <f aca="false">K221*INDEX('Tabela Passaro'!$M$2:$M$1795,$N221)</f>
        <v>4.1749</v>
      </c>
      <c r="T221" s="32" t="n">
        <f aca="false">K221*INDEX('Tabela Passaro'!$N$2:$N$1795,$N221)</f>
        <v>1.66996</v>
      </c>
      <c r="U221" s="32" t="n">
        <f aca="false">INDEX('Tabela Passaro'!$O$2:$O$1795,$N221)</f>
        <v>5</v>
      </c>
      <c r="V221" s="32" t="n">
        <f aca="false">ROUNDUP(J221/INDEX('Tabela Passaro'!$Q$2:$Q$1795,$N221),0)*INDEX('Tabela Passaro'!$P$2:$P$1795,$N221)</f>
        <v>5</v>
      </c>
      <c r="W221" s="32" t="n">
        <f aca="false">INDEX('Tabela Passaro'!$R$2:$R$1795,$N221)</f>
        <v>30</v>
      </c>
      <c r="X221" s="32" t="n">
        <f aca="false">ROUNDUP(J221/INDEX('Tabela Passaro'!$T$2:$T$1795,$N221),0)*INDEX('Tabela Passaro'!$S$2:$S$1795,$N221)</f>
        <v>0</v>
      </c>
      <c r="Y221" s="32" t="n">
        <f aca="false">INDEX('Tabela Passaro'!$U$2:$U$1795,$N221)</f>
        <v>0</v>
      </c>
      <c r="Z221" s="32" t="n">
        <f aca="false">INDEX('Tabela Passaro'!$V$2:$V$1795,$N221)</f>
        <v>0</v>
      </c>
      <c r="AA221" s="32" t="n">
        <f aca="false">SUM(R221:Z221)</f>
        <v>107.76486</v>
      </c>
      <c r="AB221" s="33" t="n">
        <f aca="false">INDEX(Premissas!$B$5:$B$13,MATCH(A221,Premissas!$A$5:$A$13,0))</f>
        <v>0.07</v>
      </c>
      <c r="AC221" s="32" t="n">
        <f aca="false">AA221/(1-AB221)-AA221</f>
        <v>8.11133354838711</v>
      </c>
      <c r="AD221" s="32" t="n">
        <f aca="false">ROUND(AA221+AC221,2)</f>
        <v>115.88</v>
      </c>
      <c r="AE221" s="32" t="n">
        <f aca="false">AD221-L221</f>
        <v>-28.93</v>
      </c>
      <c r="AF221" s="34" t="n">
        <f aca="false">IF(L221=0,0,AE221/L221)</f>
        <v>-0.199779020785857</v>
      </c>
      <c r="AG221" s="22" t="str">
        <f aca="false">IF(AD221&lt;L221,"PASSARO","ATUAL")</f>
        <v>PASSARO</v>
      </c>
      <c r="AH221" s="22" t="str">
        <f aca="false">IF(P221&lt;&gt;A221,"Faixa cadastrada como "&amp;P221&amp;" na tabela; preço aplicado pela UF do CEP","")</f>
        <v/>
      </c>
      <c r="AI221" s="26" t="n">
        <v>145.08</v>
      </c>
      <c r="AJ221" s="22" t="str">
        <f aca="false">INDEX('Tabela Passaro'!$X$2:$X$1795,$N221)</f>
        <v>CAPITAL</v>
      </c>
    </row>
    <row r="222" customFormat="false" ht="15" hidden="false" customHeight="false" outlineLevel="0" collapsed="false">
      <c r="A222" s="22" t="s">
        <v>16</v>
      </c>
      <c r="B222" s="22" t="n">
        <v>1</v>
      </c>
      <c r="C222" s="22" t="s">
        <v>75</v>
      </c>
      <c r="D222" s="22" t="s">
        <v>30</v>
      </c>
      <c r="E222" s="22" t="s">
        <v>7328</v>
      </c>
      <c r="F222" s="22" t="n">
        <v>2309854</v>
      </c>
      <c r="G222" s="30" t="n">
        <v>46244</v>
      </c>
      <c r="H222" s="22" t="n">
        <v>132343</v>
      </c>
      <c r="I222" s="22" t="s">
        <v>7520</v>
      </c>
      <c r="J222" s="31" t="n">
        <v>66.8</v>
      </c>
      <c r="K222" s="26" t="n">
        <v>894.98</v>
      </c>
      <c r="L222" s="26" t="n">
        <v>166.38</v>
      </c>
      <c r="M222" s="22" t="s">
        <v>694</v>
      </c>
      <c r="N222" s="22" t="n">
        <f aca="false">MATCH(M222,'Tabela Passaro'!$A$2:$A$1795,0)</f>
        <v>106</v>
      </c>
      <c r="O222" s="22" t="str">
        <f aca="false">INDEX('Tabela Passaro'!$C$2:$C$1795,$N222)</f>
        <v>SALVADOR</v>
      </c>
      <c r="P222" s="22" t="str">
        <f aca="false">INDEX('Tabela Passaro'!$B$2:$B$1795,$N222)</f>
        <v>BA</v>
      </c>
      <c r="Q222" s="22" t="n">
        <f aca="false">INDEX('Tabela Passaro'!$F$2:$F$1795,$N222)</f>
        <v>6</v>
      </c>
      <c r="R222" s="32" t="n">
        <f aca="false">IF(J222&lt;=10,INDEX('Tabela Passaro'!$G$2:$G$1795,$N222),IF(J222&lt;=30,INDEX('Tabela Passaro'!$H$2:$H$1795,$N222),IF(J222&lt;=50,INDEX('Tabela Passaro'!$I$2:$I$1795,$N222),IF(J222&lt;=70,INDEX('Tabela Passaro'!$J$2:$J$1795,$N222),IF(J222&lt;=100,INDEX('Tabela Passaro'!$K$2:$K$1795,$N222),INDEX('Tabela Passaro'!$K$2:$K$1795,$N222)+(J222-100)*INDEX('Tabela Passaro'!$L$2:$L$1795,$N222))))))</f>
        <v>73.44</v>
      </c>
      <c r="S222" s="32" t="n">
        <f aca="false">K222*INDEX('Tabela Passaro'!$M$2:$M$1795,$N222)</f>
        <v>4.4749</v>
      </c>
      <c r="T222" s="32" t="n">
        <f aca="false">K222*INDEX('Tabela Passaro'!$N$2:$N$1795,$N222)</f>
        <v>1.78996</v>
      </c>
      <c r="U222" s="32" t="n">
        <f aca="false">INDEX('Tabela Passaro'!$O$2:$O$1795,$N222)</f>
        <v>5</v>
      </c>
      <c r="V222" s="32" t="n">
        <f aca="false">ROUNDUP(J222/INDEX('Tabela Passaro'!$Q$2:$Q$1795,$N222),0)*INDEX('Tabela Passaro'!$P$2:$P$1795,$N222)</f>
        <v>5</v>
      </c>
      <c r="W222" s="32" t="n">
        <f aca="false">INDEX('Tabela Passaro'!$R$2:$R$1795,$N222)</f>
        <v>30</v>
      </c>
      <c r="X222" s="32" t="n">
        <f aca="false">ROUNDUP(J222/INDEX('Tabela Passaro'!$T$2:$T$1795,$N222),0)*INDEX('Tabela Passaro'!$S$2:$S$1795,$N222)</f>
        <v>0</v>
      </c>
      <c r="Y222" s="32" t="n">
        <f aca="false">INDEX('Tabela Passaro'!$U$2:$U$1795,$N222)</f>
        <v>0</v>
      </c>
      <c r="Z222" s="32" t="n">
        <f aca="false">INDEX('Tabela Passaro'!$V$2:$V$1795,$N222)</f>
        <v>0</v>
      </c>
      <c r="AA222" s="32" t="n">
        <f aca="false">SUM(R222:Z222)</f>
        <v>119.70486</v>
      </c>
      <c r="AB222" s="33" t="n">
        <f aca="false">INDEX(Premissas!$B$5:$B$13,MATCH(A222,Premissas!$A$5:$A$13,0))</f>
        <v>0.07</v>
      </c>
      <c r="AC222" s="32" t="n">
        <f aca="false">AA222/(1-AB222)-AA222</f>
        <v>9.01004322580647</v>
      </c>
      <c r="AD222" s="32" t="n">
        <f aca="false">ROUND(AA222+AC222,2)</f>
        <v>128.71</v>
      </c>
      <c r="AE222" s="32" t="n">
        <f aca="false">AD222-L222</f>
        <v>-37.67</v>
      </c>
      <c r="AF222" s="34" t="n">
        <f aca="false">IF(L222=0,0,AE222/L222)</f>
        <v>-0.226409424209641</v>
      </c>
      <c r="AG222" s="22" t="str">
        <f aca="false">IF(AD222&lt;L222,"PASSARO","ATUAL")</f>
        <v>PASSARO</v>
      </c>
      <c r="AH222" s="22" t="str">
        <f aca="false">IF(P222&lt;&gt;A222,"Faixa cadastrada como "&amp;P222&amp;" na tabela; preço aplicado pela UF do CEP","")</f>
        <v/>
      </c>
      <c r="AI222" s="26" t="n">
        <v>169.32</v>
      </c>
      <c r="AJ222" s="22" t="str">
        <f aca="false">INDEX('Tabela Passaro'!$X$2:$X$1795,$N222)</f>
        <v>CAPITAL</v>
      </c>
    </row>
    <row r="223" customFormat="false" ht="15" hidden="false" customHeight="false" outlineLevel="0" collapsed="false">
      <c r="A223" s="22" t="s">
        <v>16</v>
      </c>
      <c r="B223" s="22" t="n">
        <v>1</v>
      </c>
      <c r="C223" s="22" t="s">
        <v>75</v>
      </c>
      <c r="D223" s="22" t="s">
        <v>30</v>
      </c>
      <c r="E223" s="22" t="s">
        <v>7328</v>
      </c>
      <c r="F223" s="22" t="n">
        <v>2309884</v>
      </c>
      <c r="G223" s="30" t="n">
        <v>46244</v>
      </c>
      <c r="H223" s="22" t="n">
        <v>132371</v>
      </c>
      <c r="I223" s="22" t="s">
        <v>7521</v>
      </c>
      <c r="J223" s="31" t="n">
        <v>79.26</v>
      </c>
      <c r="K223" s="26" t="n">
        <v>889.99</v>
      </c>
      <c r="L223" s="26" t="n">
        <v>205.38</v>
      </c>
      <c r="M223" s="22" t="s">
        <v>694</v>
      </c>
      <c r="N223" s="22" t="n">
        <f aca="false">MATCH(M223,'Tabela Passaro'!$A$2:$A$1795,0)</f>
        <v>106</v>
      </c>
      <c r="O223" s="22" t="str">
        <f aca="false">INDEX('Tabela Passaro'!$C$2:$C$1795,$N223)</f>
        <v>SALVADOR</v>
      </c>
      <c r="P223" s="22" t="str">
        <f aca="false">INDEX('Tabela Passaro'!$B$2:$B$1795,$N223)</f>
        <v>BA</v>
      </c>
      <c r="Q223" s="22" t="n">
        <f aca="false">INDEX('Tabela Passaro'!$F$2:$F$1795,$N223)</f>
        <v>6</v>
      </c>
      <c r="R223" s="32" t="n">
        <f aca="false">IF(J223&lt;=10,INDEX('Tabela Passaro'!$G$2:$G$1795,$N223),IF(J223&lt;=30,INDEX('Tabela Passaro'!$H$2:$H$1795,$N223),IF(J223&lt;=50,INDEX('Tabela Passaro'!$I$2:$I$1795,$N223),IF(J223&lt;=70,INDEX('Tabela Passaro'!$J$2:$J$1795,$N223),IF(J223&lt;=100,INDEX('Tabela Passaro'!$K$2:$K$1795,$N223),INDEX('Tabela Passaro'!$K$2:$K$1795,$N223)+(J223-100)*INDEX('Tabela Passaro'!$L$2:$L$1795,$N223))))))</f>
        <v>84.96</v>
      </c>
      <c r="S223" s="32" t="n">
        <f aca="false">K223*INDEX('Tabela Passaro'!$M$2:$M$1795,$N223)</f>
        <v>4.44995</v>
      </c>
      <c r="T223" s="32" t="n">
        <f aca="false">K223*INDEX('Tabela Passaro'!$N$2:$N$1795,$N223)</f>
        <v>1.77998</v>
      </c>
      <c r="U223" s="32" t="n">
        <f aca="false">INDEX('Tabela Passaro'!$O$2:$O$1795,$N223)</f>
        <v>5</v>
      </c>
      <c r="V223" s="32" t="n">
        <f aca="false">ROUNDUP(J223/INDEX('Tabela Passaro'!$Q$2:$Q$1795,$N223),0)*INDEX('Tabela Passaro'!$P$2:$P$1795,$N223)</f>
        <v>5</v>
      </c>
      <c r="W223" s="32" t="n">
        <f aca="false">INDEX('Tabela Passaro'!$R$2:$R$1795,$N223)</f>
        <v>30</v>
      </c>
      <c r="X223" s="32" t="n">
        <f aca="false">ROUNDUP(J223/INDEX('Tabela Passaro'!$T$2:$T$1795,$N223),0)*INDEX('Tabela Passaro'!$S$2:$S$1795,$N223)</f>
        <v>0</v>
      </c>
      <c r="Y223" s="32" t="n">
        <f aca="false">INDEX('Tabela Passaro'!$U$2:$U$1795,$N223)</f>
        <v>0</v>
      </c>
      <c r="Z223" s="32" t="n">
        <f aca="false">INDEX('Tabela Passaro'!$V$2:$V$1795,$N223)</f>
        <v>0</v>
      </c>
      <c r="AA223" s="32" t="n">
        <f aca="false">SUM(R223:Z223)</f>
        <v>131.18993</v>
      </c>
      <c r="AB223" s="33" t="n">
        <f aca="false">INDEX(Premissas!$B$5:$B$13,MATCH(A223,Premissas!$A$5:$A$13,0))</f>
        <v>0.07</v>
      </c>
      <c r="AC223" s="32" t="n">
        <f aca="false">AA223/(1-AB223)-AA223</f>
        <v>9.87451086021505</v>
      </c>
      <c r="AD223" s="32" t="n">
        <f aca="false">ROUND(AA223+AC223,2)</f>
        <v>141.06</v>
      </c>
      <c r="AE223" s="32" t="n">
        <f aca="false">AD223-L223</f>
        <v>-64.32</v>
      </c>
      <c r="AF223" s="34" t="n">
        <f aca="false">IF(L223=0,0,AE223/L223)</f>
        <v>-0.313175576979258</v>
      </c>
      <c r="AG223" s="22" t="str">
        <f aca="false">IF(AD223&lt;L223,"PASSARO","ATUAL")</f>
        <v>PASSARO</v>
      </c>
      <c r="AH223" s="22" t="str">
        <f aca="false">IF(P223&lt;&gt;A223,"Faixa cadastrada como "&amp;P223&amp;" na tabela; preço aplicado pela UF do CEP","")</f>
        <v/>
      </c>
      <c r="AI223" s="26" t="n">
        <v>188.08</v>
      </c>
      <c r="AJ223" s="22" t="str">
        <f aca="false">INDEX('Tabela Passaro'!$X$2:$X$1795,$N223)</f>
        <v>CAPITAL</v>
      </c>
    </row>
    <row r="224" customFormat="false" ht="15" hidden="false" customHeight="false" outlineLevel="0" collapsed="false">
      <c r="A224" s="22" t="s">
        <v>16</v>
      </c>
      <c r="B224" s="22" t="n">
        <v>1</v>
      </c>
      <c r="C224" s="22" t="s">
        <v>75</v>
      </c>
      <c r="D224" s="22" t="s">
        <v>30</v>
      </c>
      <c r="E224" s="22" t="s">
        <v>7328</v>
      </c>
      <c r="F224" s="22" t="n">
        <v>2309888</v>
      </c>
      <c r="G224" s="30" t="n">
        <v>46244</v>
      </c>
      <c r="H224" s="22" t="n">
        <v>132374</v>
      </c>
      <c r="I224" s="22" t="s">
        <v>7522</v>
      </c>
      <c r="J224" s="31" t="n">
        <v>61.3</v>
      </c>
      <c r="K224" s="26" t="n">
        <v>1041.39</v>
      </c>
      <c r="L224" s="26" t="n">
        <v>167.54</v>
      </c>
      <c r="M224" s="22" t="s">
        <v>694</v>
      </c>
      <c r="N224" s="22" t="n">
        <f aca="false">MATCH(M224,'Tabela Passaro'!$A$2:$A$1795,0)</f>
        <v>106</v>
      </c>
      <c r="O224" s="22" t="str">
        <f aca="false">INDEX('Tabela Passaro'!$C$2:$C$1795,$N224)</f>
        <v>SALVADOR</v>
      </c>
      <c r="P224" s="22" t="str">
        <f aca="false">INDEX('Tabela Passaro'!$B$2:$B$1795,$N224)</f>
        <v>BA</v>
      </c>
      <c r="Q224" s="22" t="n">
        <f aca="false">INDEX('Tabela Passaro'!$F$2:$F$1795,$N224)</f>
        <v>6</v>
      </c>
      <c r="R224" s="32" t="n">
        <f aca="false">IF(J224&lt;=10,INDEX('Tabela Passaro'!$G$2:$G$1795,$N224),IF(J224&lt;=30,INDEX('Tabela Passaro'!$H$2:$H$1795,$N224),IF(J224&lt;=50,INDEX('Tabela Passaro'!$I$2:$I$1795,$N224),IF(J224&lt;=70,INDEX('Tabela Passaro'!$J$2:$J$1795,$N224),IF(J224&lt;=100,INDEX('Tabela Passaro'!$K$2:$K$1795,$N224),INDEX('Tabela Passaro'!$K$2:$K$1795,$N224)+(J224-100)*INDEX('Tabela Passaro'!$L$2:$L$1795,$N224))))))</f>
        <v>73.44</v>
      </c>
      <c r="S224" s="32" t="n">
        <f aca="false">K224*INDEX('Tabela Passaro'!$M$2:$M$1795,$N224)</f>
        <v>5.20695</v>
      </c>
      <c r="T224" s="32" t="n">
        <f aca="false">K224*INDEX('Tabela Passaro'!$N$2:$N$1795,$N224)</f>
        <v>2.08278</v>
      </c>
      <c r="U224" s="32" t="n">
        <f aca="false">INDEX('Tabela Passaro'!$O$2:$O$1795,$N224)</f>
        <v>5</v>
      </c>
      <c r="V224" s="32" t="n">
        <f aca="false">ROUNDUP(J224/INDEX('Tabela Passaro'!$Q$2:$Q$1795,$N224),0)*INDEX('Tabela Passaro'!$P$2:$P$1795,$N224)</f>
        <v>5</v>
      </c>
      <c r="W224" s="32" t="n">
        <f aca="false">INDEX('Tabela Passaro'!$R$2:$R$1795,$N224)</f>
        <v>30</v>
      </c>
      <c r="X224" s="32" t="n">
        <f aca="false">ROUNDUP(J224/INDEX('Tabela Passaro'!$T$2:$T$1795,$N224),0)*INDEX('Tabela Passaro'!$S$2:$S$1795,$N224)</f>
        <v>0</v>
      </c>
      <c r="Y224" s="32" t="n">
        <f aca="false">INDEX('Tabela Passaro'!$U$2:$U$1795,$N224)</f>
        <v>0</v>
      </c>
      <c r="Z224" s="32" t="n">
        <f aca="false">INDEX('Tabela Passaro'!$V$2:$V$1795,$N224)</f>
        <v>0</v>
      </c>
      <c r="AA224" s="32" t="n">
        <f aca="false">SUM(R224:Z224)</f>
        <v>120.72973</v>
      </c>
      <c r="AB224" s="33" t="n">
        <f aca="false">INDEX(Premissas!$B$5:$B$13,MATCH(A224,Premissas!$A$5:$A$13,0))</f>
        <v>0.07</v>
      </c>
      <c r="AC224" s="32" t="n">
        <f aca="false">AA224/(1-AB224)-AA224</f>
        <v>9.08718397849462</v>
      </c>
      <c r="AD224" s="32" t="n">
        <f aca="false">ROUND(AA224+AC224,2)</f>
        <v>129.82</v>
      </c>
      <c r="AE224" s="32" t="n">
        <f aca="false">AD224-L224</f>
        <v>-37.72</v>
      </c>
      <c r="AF224" s="34" t="n">
        <f aca="false">IF(L224=0,0,AE224/L224)</f>
        <v>-0.225140265011341</v>
      </c>
      <c r="AG224" s="22" t="str">
        <f aca="false">IF(AD224&lt;L224,"PASSARO","ATUAL")</f>
        <v>PASSARO</v>
      </c>
      <c r="AH224" s="22" t="str">
        <f aca="false">IF(P224&lt;&gt;A224,"Faixa cadastrada como "&amp;P224&amp;" na tabela; preço aplicado pela UF do CEP","")</f>
        <v/>
      </c>
      <c r="AI224" s="26" t="n">
        <v>168.31</v>
      </c>
      <c r="AJ224" s="22" t="str">
        <f aca="false">INDEX('Tabela Passaro'!$X$2:$X$1795,$N224)</f>
        <v>CAPITAL</v>
      </c>
    </row>
    <row r="225" customFormat="false" ht="15" hidden="false" customHeight="false" outlineLevel="0" collapsed="false">
      <c r="A225" s="22" t="s">
        <v>16</v>
      </c>
      <c r="B225" s="22" t="n">
        <v>1</v>
      </c>
      <c r="C225" s="22" t="s">
        <v>75</v>
      </c>
      <c r="D225" s="22" t="s">
        <v>30</v>
      </c>
      <c r="E225" s="22" t="s">
        <v>7328</v>
      </c>
      <c r="F225" s="22" t="n">
        <v>2309895</v>
      </c>
      <c r="G225" s="30" t="n">
        <v>46244</v>
      </c>
      <c r="H225" s="22" t="n">
        <v>132375</v>
      </c>
      <c r="I225" s="22" t="s">
        <v>7523</v>
      </c>
      <c r="J225" s="31" t="n">
        <v>79.26</v>
      </c>
      <c r="K225" s="26" t="n">
        <v>889.99</v>
      </c>
      <c r="L225" s="26" t="n">
        <v>205.38</v>
      </c>
      <c r="M225" s="22" t="s">
        <v>694</v>
      </c>
      <c r="N225" s="22" t="n">
        <f aca="false">MATCH(M225,'Tabela Passaro'!$A$2:$A$1795,0)</f>
        <v>106</v>
      </c>
      <c r="O225" s="22" t="str">
        <f aca="false">INDEX('Tabela Passaro'!$C$2:$C$1795,$N225)</f>
        <v>SALVADOR</v>
      </c>
      <c r="P225" s="22" t="str">
        <f aca="false">INDEX('Tabela Passaro'!$B$2:$B$1795,$N225)</f>
        <v>BA</v>
      </c>
      <c r="Q225" s="22" t="n">
        <f aca="false">INDEX('Tabela Passaro'!$F$2:$F$1795,$N225)</f>
        <v>6</v>
      </c>
      <c r="R225" s="32" t="n">
        <f aca="false">IF(J225&lt;=10,INDEX('Tabela Passaro'!$G$2:$G$1795,$N225),IF(J225&lt;=30,INDEX('Tabela Passaro'!$H$2:$H$1795,$N225),IF(J225&lt;=50,INDEX('Tabela Passaro'!$I$2:$I$1795,$N225),IF(J225&lt;=70,INDEX('Tabela Passaro'!$J$2:$J$1795,$N225),IF(J225&lt;=100,INDEX('Tabela Passaro'!$K$2:$K$1795,$N225),INDEX('Tabela Passaro'!$K$2:$K$1795,$N225)+(J225-100)*INDEX('Tabela Passaro'!$L$2:$L$1795,$N225))))))</f>
        <v>84.96</v>
      </c>
      <c r="S225" s="32" t="n">
        <f aca="false">K225*INDEX('Tabela Passaro'!$M$2:$M$1795,$N225)</f>
        <v>4.44995</v>
      </c>
      <c r="T225" s="32" t="n">
        <f aca="false">K225*INDEX('Tabela Passaro'!$N$2:$N$1795,$N225)</f>
        <v>1.77998</v>
      </c>
      <c r="U225" s="32" t="n">
        <f aca="false">INDEX('Tabela Passaro'!$O$2:$O$1795,$N225)</f>
        <v>5</v>
      </c>
      <c r="V225" s="32" t="n">
        <f aca="false">ROUNDUP(J225/INDEX('Tabela Passaro'!$Q$2:$Q$1795,$N225),0)*INDEX('Tabela Passaro'!$P$2:$P$1795,$N225)</f>
        <v>5</v>
      </c>
      <c r="W225" s="32" t="n">
        <f aca="false">INDEX('Tabela Passaro'!$R$2:$R$1795,$N225)</f>
        <v>30</v>
      </c>
      <c r="X225" s="32" t="n">
        <f aca="false">ROUNDUP(J225/INDEX('Tabela Passaro'!$T$2:$T$1795,$N225),0)*INDEX('Tabela Passaro'!$S$2:$S$1795,$N225)</f>
        <v>0</v>
      </c>
      <c r="Y225" s="32" t="n">
        <f aca="false">INDEX('Tabela Passaro'!$U$2:$U$1795,$N225)</f>
        <v>0</v>
      </c>
      <c r="Z225" s="32" t="n">
        <f aca="false">INDEX('Tabela Passaro'!$V$2:$V$1795,$N225)</f>
        <v>0</v>
      </c>
      <c r="AA225" s="32" t="n">
        <f aca="false">SUM(R225:Z225)</f>
        <v>131.18993</v>
      </c>
      <c r="AB225" s="33" t="n">
        <f aca="false">INDEX(Premissas!$B$5:$B$13,MATCH(A225,Premissas!$A$5:$A$13,0))</f>
        <v>0.07</v>
      </c>
      <c r="AC225" s="32" t="n">
        <f aca="false">AA225/(1-AB225)-AA225</f>
        <v>9.87451086021505</v>
      </c>
      <c r="AD225" s="32" t="n">
        <f aca="false">ROUND(AA225+AC225,2)</f>
        <v>141.06</v>
      </c>
      <c r="AE225" s="32" t="n">
        <f aca="false">AD225-L225</f>
        <v>-64.32</v>
      </c>
      <c r="AF225" s="34" t="n">
        <f aca="false">IF(L225=0,0,AE225/L225)</f>
        <v>-0.313175576979258</v>
      </c>
      <c r="AG225" s="22" t="str">
        <f aca="false">IF(AD225&lt;L225,"PASSARO","ATUAL")</f>
        <v>PASSARO</v>
      </c>
      <c r="AH225" s="22" t="str">
        <f aca="false">IF(P225&lt;&gt;A225,"Faixa cadastrada como "&amp;P225&amp;" na tabela; preço aplicado pela UF do CEP","")</f>
        <v/>
      </c>
      <c r="AI225" s="26" t="n">
        <v>188.08</v>
      </c>
      <c r="AJ225" s="22" t="str">
        <f aca="false">INDEX('Tabela Passaro'!$X$2:$X$1795,$N225)</f>
        <v>CAPITAL</v>
      </c>
    </row>
    <row r="226" customFormat="false" ht="15" hidden="false" customHeight="false" outlineLevel="0" collapsed="false">
      <c r="A226" s="22" t="s">
        <v>16</v>
      </c>
      <c r="B226" s="22" t="n">
        <v>1</v>
      </c>
      <c r="C226" s="22" t="s">
        <v>75</v>
      </c>
      <c r="D226" s="22" t="s">
        <v>30</v>
      </c>
      <c r="E226" s="22" t="s">
        <v>7328</v>
      </c>
      <c r="F226" s="22" t="n">
        <v>2309892</v>
      </c>
      <c r="G226" s="30" t="n">
        <v>46244</v>
      </c>
      <c r="H226" s="22" t="n">
        <v>132378</v>
      </c>
      <c r="I226" s="22" t="s">
        <v>7524</v>
      </c>
      <c r="J226" s="31" t="n">
        <v>69</v>
      </c>
      <c r="K226" s="26" t="n">
        <v>861.07</v>
      </c>
      <c r="L226" s="26" t="n">
        <v>166.12</v>
      </c>
      <c r="M226" s="22" t="s">
        <v>694</v>
      </c>
      <c r="N226" s="22" t="n">
        <f aca="false">MATCH(M226,'Tabela Passaro'!$A$2:$A$1795,0)</f>
        <v>106</v>
      </c>
      <c r="O226" s="22" t="str">
        <f aca="false">INDEX('Tabela Passaro'!$C$2:$C$1795,$N226)</f>
        <v>SALVADOR</v>
      </c>
      <c r="P226" s="22" t="str">
        <f aca="false">INDEX('Tabela Passaro'!$B$2:$B$1795,$N226)</f>
        <v>BA</v>
      </c>
      <c r="Q226" s="22" t="n">
        <f aca="false">INDEX('Tabela Passaro'!$F$2:$F$1795,$N226)</f>
        <v>6</v>
      </c>
      <c r="R226" s="32" t="n">
        <f aca="false">IF(J226&lt;=10,INDEX('Tabela Passaro'!$G$2:$G$1795,$N226),IF(J226&lt;=30,INDEX('Tabela Passaro'!$H$2:$H$1795,$N226),IF(J226&lt;=50,INDEX('Tabela Passaro'!$I$2:$I$1795,$N226),IF(J226&lt;=70,INDEX('Tabela Passaro'!$J$2:$J$1795,$N226),IF(J226&lt;=100,INDEX('Tabela Passaro'!$K$2:$K$1795,$N226),INDEX('Tabela Passaro'!$K$2:$K$1795,$N226)+(J226-100)*INDEX('Tabela Passaro'!$L$2:$L$1795,$N226))))))</f>
        <v>73.44</v>
      </c>
      <c r="S226" s="32" t="n">
        <f aca="false">K226*INDEX('Tabela Passaro'!$M$2:$M$1795,$N226)</f>
        <v>4.30535</v>
      </c>
      <c r="T226" s="32" t="n">
        <f aca="false">K226*INDEX('Tabela Passaro'!$N$2:$N$1795,$N226)</f>
        <v>1.72214</v>
      </c>
      <c r="U226" s="32" t="n">
        <f aca="false">INDEX('Tabela Passaro'!$O$2:$O$1795,$N226)</f>
        <v>5</v>
      </c>
      <c r="V226" s="32" t="n">
        <f aca="false">ROUNDUP(J226/INDEX('Tabela Passaro'!$Q$2:$Q$1795,$N226),0)*INDEX('Tabela Passaro'!$P$2:$P$1795,$N226)</f>
        <v>5</v>
      </c>
      <c r="W226" s="32" t="n">
        <f aca="false">INDEX('Tabela Passaro'!$R$2:$R$1795,$N226)</f>
        <v>30</v>
      </c>
      <c r="X226" s="32" t="n">
        <f aca="false">ROUNDUP(J226/INDEX('Tabela Passaro'!$T$2:$T$1795,$N226),0)*INDEX('Tabela Passaro'!$S$2:$S$1795,$N226)</f>
        <v>0</v>
      </c>
      <c r="Y226" s="32" t="n">
        <f aca="false">INDEX('Tabela Passaro'!$U$2:$U$1795,$N226)</f>
        <v>0</v>
      </c>
      <c r="Z226" s="32" t="n">
        <f aca="false">INDEX('Tabela Passaro'!$V$2:$V$1795,$N226)</f>
        <v>0</v>
      </c>
      <c r="AA226" s="32" t="n">
        <f aca="false">SUM(R226:Z226)</f>
        <v>119.46749</v>
      </c>
      <c r="AB226" s="33" t="n">
        <f aca="false">INDEX(Premissas!$B$5:$B$13,MATCH(A226,Premissas!$A$5:$A$13,0))</f>
        <v>0.07</v>
      </c>
      <c r="AC226" s="32" t="n">
        <f aca="false">AA226/(1-AB226)-AA226</f>
        <v>8.99217666666667</v>
      </c>
      <c r="AD226" s="32" t="n">
        <f aca="false">ROUND(AA226+AC226,2)</f>
        <v>128.46</v>
      </c>
      <c r="AE226" s="32" t="n">
        <f aca="false">AD226-L226</f>
        <v>-37.66</v>
      </c>
      <c r="AF226" s="34" t="n">
        <f aca="false">IF(L226=0,0,AE226/L226)</f>
        <v>-0.226703587767879</v>
      </c>
      <c r="AG226" s="22" t="str">
        <f aca="false">IF(AD226&lt;L226,"PASSARO","ATUAL")</f>
        <v>PASSARO</v>
      </c>
      <c r="AH226" s="22" t="str">
        <f aca="false">IF(P226&lt;&gt;A226,"Faixa cadastrada como "&amp;P226&amp;" na tabela; preço aplicado pela UF do CEP","")</f>
        <v/>
      </c>
      <c r="AI226" s="26" t="n">
        <v>169.96</v>
      </c>
      <c r="AJ226" s="22" t="str">
        <f aca="false">INDEX('Tabela Passaro'!$X$2:$X$1795,$N226)</f>
        <v>CAPITAL</v>
      </c>
    </row>
    <row r="227" customFormat="false" ht="15" hidden="false" customHeight="false" outlineLevel="0" collapsed="false">
      <c r="A227" s="22" t="s">
        <v>16</v>
      </c>
      <c r="B227" s="22" t="n">
        <v>1</v>
      </c>
      <c r="C227" s="22" t="s">
        <v>75</v>
      </c>
      <c r="D227" s="22" t="s">
        <v>30</v>
      </c>
      <c r="E227" s="22" t="s">
        <v>7328</v>
      </c>
      <c r="F227" s="22" t="n">
        <v>2309907</v>
      </c>
      <c r="G227" s="30" t="n">
        <v>46244</v>
      </c>
      <c r="H227" s="22" t="n">
        <v>132387</v>
      </c>
      <c r="I227" s="22" t="s">
        <v>7525</v>
      </c>
      <c r="J227" s="31" t="n">
        <v>46.8</v>
      </c>
      <c r="K227" s="26" t="n">
        <v>724.98</v>
      </c>
      <c r="L227" s="26" t="n">
        <v>143.93</v>
      </c>
      <c r="M227" s="22" t="s">
        <v>694</v>
      </c>
      <c r="N227" s="22" t="n">
        <f aca="false">MATCH(M227,'Tabela Passaro'!$A$2:$A$1795,0)</f>
        <v>106</v>
      </c>
      <c r="O227" s="22" t="str">
        <f aca="false">INDEX('Tabela Passaro'!$C$2:$C$1795,$N227)</f>
        <v>SALVADOR</v>
      </c>
      <c r="P227" s="22" t="str">
        <f aca="false">INDEX('Tabela Passaro'!$B$2:$B$1795,$N227)</f>
        <v>BA</v>
      </c>
      <c r="Q227" s="22" t="n">
        <f aca="false">INDEX('Tabela Passaro'!$F$2:$F$1795,$N227)</f>
        <v>6</v>
      </c>
      <c r="R227" s="32" t="n">
        <f aca="false">IF(J227&lt;=10,INDEX('Tabela Passaro'!$G$2:$G$1795,$N227),IF(J227&lt;=30,INDEX('Tabela Passaro'!$H$2:$H$1795,$N227),IF(J227&lt;=50,INDEX('Tabela Passaro'!$I$2:$I$1795,$N227),IF(J227&lt;=70,INDEX('Tabela Passaro'!$J$2:$J$1795,$N227),IF(J227&lt;=100,INDEX('Tabela Passaro'!$K$2:$K$1795,$N227),INDEX('Tabela Passaro'!$K$2:$K$1795,$N227)+(J227-100)*INDEX('Tabela Passaro'!$L$2:$L$1795,$N227))))))</f>
        <v>61.92</v>
      </c>
      <c r="S227" s="32" t="n">
        <f aca="false">K227*INDEX('Tabela Passaro'!$M$2:$M$1795,$N227)</f>
        <v>3.6249</v>
      </c>
      <c r="T227" s="32" t="n">
        <f aca="false">K227*INDEX('Tabela Passaro'!$N$2:$N$1795,$N227)</f>
        <v>1.44996</v>
      </c>
      <c r="U227" s="32" t="n">
        <f aca="false">INDEX('Tabela Passaro'!$O$2:$O$1795,$N227)</f>
        <v>5</v>
      </c>
      <c r="V227" s="32" t="n">
        <f aca="false">ROUNDUP(J227/INDEX('Tabela Passaro'!$Q$2:$Q$1795,$N227),0)*INDEX('Tabela Passaro'!$P$2:$P$1795,$N227)</f>
        <v>5</v>
      </c>
      <c r="W227" s="32" t="n">
        <f aca="false">INDEX('Tabela Passaro'!$R$2:$R$1795,$N227)</f>
        <v>30</v>
      </c>
      <c r="X227" s="32" t="n">
        <f aca="false">ROUNDUP(J227/INDEX('Tabela Passaro'!$T$2:$T$1795,$N227),0)*INDEX('Tabela Passaro'!$S$2:$S$1795,$N227)</f>
        <v>0</v>
      </c>
      <c r="Y227" s="32" t="n">
        <f aca="false">INDEX('Tabela Passaro'!$U$2:$U$1795,$N227)</f>
        <v>0</v>
      </c>
      <c r="Z227" s="32" t="n">
        <f aca="false">INDEX('Tabela Passaro'!$V$2:$V$1795,$N227)</f>
        <v>0</v>
      </c>
      <c r="AA227" s="32" t="n">
        <f aca="false">SUM(R227:Z227)</f>
        <v>106.99486</v>
      </c>
      <c r="AB227" s="33" t="n">
        <f aca="false">INDEX(Premissas!$B$5:$B$13,MATCH(A227,Premissas!$A$5:$A$13,0))</f>
        <v>0.07</v>
      </c>
      <c r="AC227" s="32" t="n">
        <f aca="false">AA227/(1-AB227)-AA227</f>
        <v>8.05337655913979</v>
      </c>
      <c r="AD227" s="32" t="n">
        <f aca="false">ROUND(AA227+AC227,2)</f>
        <v>115.05</v>
      </c>
      <c r="AE227" s="32" t="n">
        <f aca="false">AD227-L227</f>
        <v>-28.88</v>
      </c>
      <c r="AF227" s="34" t="n">
        <f aca="false">IF(L227=0,0,AE227/L227)</f>
        <v>-0.200653095254638</v>
      </c>
      <c r="AG227" s="22" t="str">
        <f aca="false">IF(AD227&lt;L227,"PASSARO","ATUAL")</f>
        <v>PASSARO</v>
      </c>
      <c r="AH227" s="22" t="str">
        <f aca="false">IF(P227&lt;&gt;A227,"Faixa cadastrada como "&amp;P227&amp;" na tabela; preço aplicado pela UF do CEP","")</f>
        <v/>
      </c>
      <c r="AI227" s="26" t="n">
        <v>145.47</v>
      </c>
      <c r="AJ227" s="22" t="str">
        <f aca="false">INDEX('Tabela Passaro'!$X$2:$X$1795,$N227)</f>
        <v>CAPITAL</v>
      </c>
    </row>
    <row r="228" customFormat="false" ht="15" hidden="false" customHeight="false" outlineLevel="0" collapsed="false">
      <c r="A228" s="22" t="s">
        <v>16</v>
      </c>
      <c r="B228" s="22" t="n">
        <v>1</v>
      </c>
      <c r="C228" s="22" t="s">
        <v>75</v>
      </c>
      <c r="D228" s="22" t="s">
        <v>30</v>
      </c>
      <c r="E228" s="22" t="s">
        <v>7328</v>
      </c>
      <c r="F228" s="22" t="n">
        <v>2309911</v>
      </c>
      <c r="G228" s="30" t="n">
        <v>46244</v>
      </c>
      <c r="H228" s="22" t="n">
        <v>132393</v>
      </c>
      <c r="I228" s="22" t="s">
        <v>7526</v>
      </c>
      <c r="J228" s="31" t="n">
        <v>51.06</v>
      </c>
      <c r="K228" s="26" t="n">
        <v>872.06</v>
      </c>
      <c r="L228" s="26" t="n">
        <v>166.2</v>
      </c>
      <c r="M228" s="22" t="s">
        <v>694</v>
      </c>
      <c r="N228" s="22" t="n">
        <f aca="false">MATCH(M228,'Tabela Passaro'!$A$2:$A$1795,0)</f>
        <v>106</v>
      </c>
      <c r="O228" s="22" t="str">
        <f aca="false">INDEX('Tabela Passaro'!$C$2:$C$1795,$N228)</f>
        <v>SALVADOR</v>
      </c>
      <c r="P228" s="22" t="str">
        <f aca="false">INDEX('Tabela Passaro'!$B$2:$B$1795,$N228)</f>
        <v>BA</v>
      </c>
      <c r="Q228" s="22" t="n">
        <f aca="false">INDEX('Tabela Passaro'!$F$2:$F$1795,$N228)</f>
        <v>6</v>
      </c>
      <c r="R228" s="32" t="n">
        <f aca="false">IF(J228&lt;=10,INDEX('Tabela Passaro'!$G$2:$G$1795,$N228),IF(J228&lt;=30,INDEX('Tabela Passaro'!$H$2:$H$1795,$N228),IF(J228&lt;=50,INDEX('Tabela Passaro'!$I$2:$I$1795,$N228),IF(J228&lt;=70,INDEX('Tabela Passaro'!$J$2:$J$1795,$N228),IF(J228&lt;=100,INDEX('Tabela Passaro'!$K$2:$K$1795,$N228),INDEX('Tabela Passaro'!$K$2:$K$1795,$N228)+(J228-100)*INDEX('Tabela Passaro'!$L$2:$L$1795,$N228))))))</f>
        <v>73.44</v>
      </c>
      <c r="S228" s="32" t="n">
        <f aca="false">K228*INDEX('Tabela Passaro'!$M$2:$M$1795,$N228)</f>
        <v>4.3603</v>
      </c>
      <c r="T228" s="32" t="n">
        <f aca="false">K228*INDEX('Tabela Passaro'!$N$2:$N$1795,$N228)</f>
        <v>1.74412</v>
      </c>
      <c r="U228" s="32" t="n">
        <f aca="false">INDEX('Tabela Passaro'!$O$2:$O$1795,$N228)</f>
        <v>5</v>
      </c>
      <c r="V228" s="32" t="n">
        <f aca="false">ROUNDUP(J228/INDEX('Tabela Passaro'!$Q$2:$Q$1795,$N228),0)*INDEX('Tabela Passaro'!$P$2:$P$1795,$N228)</f>
        <v>5</v>
      </c>
      <c r="W228" s="32" t="n">
        <f aca="false">INDEX('Tabela Passaro'!$R$2:$R$1795,$N228)</f>
        <v>30</v>
      </c>
      <c r="X228" s="32" t="n">
        <f aca="false">ROUNDUP(J228/INDEX('Tabela Passaro'!$T$2:$T$1795,$N228),0)*INDEX('Tabela Passaro'!$S$2:$S$1795,$N228)</f>
        <v>0</v>
      </c>
      <c r="Y228" s="32" t="n">
        <f aca="false">INDEX('Tabela Passaro'!$U$2:$U$1795,$N228)</f>
        <v>0</v>
      </c>
      <c r="Z228" s="32" t="n">
        <f aca="false">INDEX('Tabela Passaro'!$V$2:$V$1795,$N228)</f>
        <v>0</v>
      </c>
      <c r="AA228" s="32" t="n">
        <f aca="false">SUM(R228:Z228)</f>
        <v>119.54442</v>
      </c>
      <c r="AB228" s="33" t="n">
        <f aca="false">INDEX(Premissas!$B$5:$B$13,MATCH(A228,Premissas!$A$5:$A$13,0))</f>
        <v>0.07</v>
      </c>
      <c r="AC228" s="32" t="n">
        <f aca="false">AA228/(1-AB228)-AA228</f>
        <v>8.9979670967742</v>
      </c>
      <c r="AD228" s="32" t="n">
        <f aca="false">ROUND(AA228+AC228,2)</f>
        <v>128.54</v>
      </c>
      <c r="AE228" s="32" t="n">
        <f aca="false">AD228-L228</f>
        <v>-37.66</v>
      </c>
      <c r="AF228" s="34" t="n">
        <f aca="false">IF(L228=0,0,AE228/L228)</f>
        <v>-0.226594464500602</v>
      </c>
      <c r="AG228" s="22" t="str">
        <f aca="false">IF(AD228&lt;L228,"PASSARO","ATUAL")</f>
        <v>PASSARO</v>
      </c>
      <c r="AH228" s="22" t="str">
        <f aca="false">IF(P228&lt;&gt;A228,"Faixa cadastrada como "&amp;P228&amp;" na tabela; preço aplicado pela UF do CEP","")</f>
        <v/>
      </c>
      <c r="AI228" s="26" t="n">
        <v>161.84</v>
      </c>
      <c r="AJ228" s="22" t="str">
        <f aca="false">INDEX('Tabela Passaro'!$X$2:$X$1795,$N228)</f>
        <v>CAPITAL</v>
      </c>
    </row>
    <row r="229" customFormat="false" ht="15" hidden="false" customHeight="false" outlineLevel="0" collapsed="false">
      <c r="A229" s="22" t="s">
        <v>16</v>
      </c>
      <c r="B229" s="22" t="n">
        <v>1</v>
      </c>
      <c r="C229" s="22" t="s">
        <v>75</v>
      </c>
      <c r="D229" s="22" t="s">
        <v>30</v>
      </c>
      <c r="E229" s="22" t="s">
        <v>7326</v>
      </c>
      <c r="F229" s="22" t="n">
        <v>523665</v>
      </c>
      <c r="G229" s="30" t="n">
        <v>46244</v>
      </c>
      <c r="H229" s="22" t="n">
        <v>621819</v>
      </c>
      <c r="I229" s="22" t="s">
        <v>7527</v>
      </c>
      <c r="J229" s="31" t="n">
        <v>149.8</v>
      </c>
      <c r="K229" s="26" t="n">
        <v>1404.98</v>
      </c>
      <c r="L229" s="26" t="n">
        <v>355.05</v>
      </c>
      <c r="M229" s="22" t="s">
        <v>694</v>
      </c>
      <c r="N229" s="22" t="n">
        <f aca="false">MATCH(M229,'Tabela Passaro'!$A$2:$A$1795,0)</f>
        <v>106</v>
      </c>
      <c r="O229" s="22" t="str">
        <f aca="false">INDEX('Tabela Passaro'!$C$2:$C$1795,$N229)</f>
        <v>SALVADOR</v>
      </c>
      <c r="P229" s="22" t="str">
        <f aca="false">INDEX('Tabela Passaro'!$B$2:$B$1795,$N229)</f>
        <v>BA</v>
      </c>
      <c r="Q229" s="22" t="n">
        <f aca="false">INDEX('Tabela Passaro'!$F$2:$F$1795,$N229)</f>
        <v>6</v>
      </c>
      <c r="R229" s="32" t="n">
        <f aca="false">IF(J229&lt;=10,INDEX('Tabela Passaro'!$G$2:$G$1795,$N229),IF(J229&lt;=30,INDEX('Tabela Passaro'!$H$2:$H$1795,$N229),IF(J229&lt;=50,INDEX('Tabela Passaro'!$I$2:$I$1795,$N229),IF(J229&lt;=70,INDEX('Tabela Passaro'!$J$2:$J$1795,$N229),IF(J229&lt;=100,INDEX('Tabela Passaro'!$K$2:$K$1795,$N229),INDEX('Tabela Passaro'!$K$2:$K$1795,$N229)+(J229-100)*INDEX('Tabela Passaro'!$L$2:$L$1795,$N229))))))</f>
        <v>142.728</v>
      </c>
      <c r="S229" s="32" t="n">
        <f aca="false">K229*INDEX('Tabela Passaro'!$M$2:$M$1795,$N229)</f>
        <v>7.0249</v>
      </c>
      <c r="T229" s="32" t="n">
        <f aca="false">K229*INDEX('Tabela Passaro'!$N$2:$N$1795,$N229)</f>
        <v>2.80996</v>
      </c>
      <c r="U229" s="32" t="n">
        <f aca="false">INDEX('Tabela Passaro'!$O$2:$O$1795,$N229)</f>
        <v>5</v>
      </c>
      <c r="V229" s="32" t="n">
        <f aca="false">ROUNDUP(J229/INDEX('Tabela Passaro'!$Q$2:$Q$1795,$N229),0)*INDEX('Tabela Passaro'!$P$2:$P$1795,$N229)</f>
        <v>10</v>
      </c>
      <c r="W229" s="32" t="n">
        <f aca="false">INDEX('Tabela Passaro'!$R$2:$R$1795,$N229)</f>
        <v>30</v>
      </c>
      <c r="X229" s="32" t="n">
        <f aca="false">ROUNDUP(J229/INDEX('Tabela Passaro'!$T$2:$T$1795,$N229),0)*INDEX('Tabela Passaro'!$S$2:$S$1795,$N229)</f>
        <v>0</v>
      </c>
      <c r="Y229" s="32" t="n">
        <f aca="false">INDEX('Tabela Passaro'!$U$2:$U$1795,$N229)</f>
        <v>0</v>
      </c>
      <c r="Z229" s="32" t="n">
        <f aca="false">INDEX('Tabela Passaro'!$V$2:$V$1795,$N229)</f>
        <v>0</v>
      </c>
      <c r="AA229" s="32" t="n">
        <f aca="false">SUM(R229:Z229)</f>
        <v>197.56286</v>
      </c>
      <c r="AB229" s="33" t="n">
        <f aca="false">INDEX(Premissas!$B$5:$B$13,MATCH(A229,Premissas!$A$5:$A$13,0))</f>
        <v>0.07</v>
      </c>
      <c r="AC229" s="32" t="n">
        <f aca="false">AA229/(1-AB229)-AA229</f>
        <v>14.8703227956989</v>
      </c>
      <c r="AD229" s="32" t="n">
        <f aca="false">ROUND(AA229+AC229,2)</f>
        <v>212.43</v>
      </c>
      <c r="AE229" s="32" t="n">
        <f aca="false">AD229-L229</f>
        <v>-142.62</v>
      </c>
      <c r="AF229" s="34" t="n">
        <f aca="false">IF(L229=0,0,AE229/L229)</f>
        <v>-0.401689902830587</v>
      </c>
      <c r="AG229" s="22" t="str">
        <f aca="false">IF(AD229&lt;L229,"PASSARO","ATUAL")</f>
        <v>PASSARO</v>
      </c>
      <c r="AH229" s="22" t="str">
        <f aca="false">IF(P229&lt;&gt;A229,"Faixa cadastrada como "&amp;P229&amp;" na tabela; preço aplicado pela UF do CEP","")</f>
        <v/>
      </c>
      <c r="AI229" s="26" t="n">
        <v>302.45</v>
      </c>
      <c r="AJ229" s="22" t="str">
        <f aca="false">INDEX('Tabela Passaro'!$X$2:$X$1795,$N229)</f>
        <v>CAPITAL</v>
      </c>
    </row>
    <row r="230" customFormat="false" ht="15" hidden="false" customHeight="false" outlineLevel="0" collapsed="false">
      <c r="A230" s="22" t="s">
        <v>16</v>
      </c>
      <c r="B230" s="22" t="n">
        <v>1</v>
      </c>
      <c r="C230" s="22" t="s">
        <v>75</v>
      </c>
      <c r="D230" s="22" t="s">
        <v>30</v>
      </c>
      <c r="E230" s="22" t="s">
        <v>7326</v>
      </c>
      <c r="F230" s="22" t="n">
        <v>523682</v>
      </c>
      <c r="G230" s="30" t="n">
        <v>46244</v>
      </c>
      <c r="H230" s="22" t="n">
        <v>622112</v>
      </c>
      <c r="I230" s="22" t="s">
        <v>7528</v>
      </c>
      <c r="J230" s="31" t="n">
        <v>22</v>
      </c>
      <c r="K230" s="26" t="n">
        <v>899.27</v>
      </c>
      <c r="L230" s="26" t="n">
        <v>124.51</v>
      </c>
      <c r="M230" s="22" t="s">
        <v>694</v>
      </c>
      <c r="N230" s="22" t="n">
        <f aca="false">MATCH(M230,'Tabela Passaro'!$A$2:$A$1795,0)</f>
        <v>106</v>
      </c>
      <c r="O230" s="22" t="str">
        <f aca="false">INDEX('Tabela Passaro'!$C$2:$C$1795,$N230)</f>
        <v>SALVADOR</v>
      </c>
      <c r="P230" s="22" t="str">
        <f aca="false">INDEX('Tabela Passaro'!$B$2:$B$1795,$N230)</f>
        <v>BA</v>
      </c>
      <c r="Q230" s="22" t="n">
        <f aca="false">INDEX('Tabela Passaro'!$F$2:$F$1795,$N230)</f>
        <v>6</v>
      </c>
      <c r="R230" s="32" t="n">
        <f aca="false">IF(J230&lt;=10,INDEX('Tabela Passaro'!$G$2:$G$1795,$N230),IF(J230&lt;=30,INDEX('Tabela Passaro'!$H$2:$H$1795,$N230),IF(J230&lt;=50,INDEX('Tabela Passaro'!$I$2:$I$1795,$N230),IF(J230&lt;=70,INDEX('Tabela Passaro'!$J$2:$J$1795,$N230),IF(J230&lt;=100,INDEX('Tabela Passaro'!$K$2:$K$1795,$N230),INDEX('Tabela Passaro'!$K$2:$K$1795,$N230)+(J230-100)*INDEX('Tabela Passaro'!$L$2:$L$1795,$N230))))))</f>
        <v>50.4</v>
      </c>
      <c r="S230" s="32" t="n">
        <f aca="false">K230*INDEX('Tabela Passaro'!$M$2:$M$1795,$N230)</f>
        <v>4.49635</v>
      </c>
      <c r="T230" s="32" t="n">
        <f aca="false">K230*INDEX('Tabela Passaro'!$N$2:$N$1795,$N230)</f>
        <v>1.79854</v>
      </c>
      <c r="U230" s="32" t="n">
        <f aca="false">INDEX('Tabela Passaro'!$O$2:$O$1795,$N230)</f>
        <v>5</v>
      </c>
      <c r="V230" s="32" t="n">
        <f aca="false">ROUNDUP(J230/INDEX('Tabela Passaro'!$Q$2:$Q$1795,$N230),0)*INDEX('Tabela Passaro'!$P$2:$P$1795,$N230)</f>
        <v>5</v>
      </c>
      <c r="W230" s="32" t="n">
        <f aca="false">INDEX('Tabela Passaro'!$R$2:$R$1795,$N230)</f>
        <v>30</v>
      </c>
      <c r="X230" s="32" t="n">
        <f aca="false">ROUNDUP(J230/INDEX('Tabela Passaro'!$T$2:$T$1795,$N230),0)*INDEX('Tabela Passaro'!$S$2:$S$1795,$N230)</f>
        <v>0</v>
      </c>
      <c r="Y230" s="32" t="n">
        <f aca="false">INDEX('Tabela Passaro'!$U$2:$U$1795,$N230)</f>
        <v>0</v>
      </c>
      <c r="Z230" s="32" t="n">
        <f aca="false">INDEX('Tabela Passaro'!$V$2:$V$1795,$N230)</f>
        <v>0</v>
      </c>
      <c r="AA230" s="32" t="n">
        <f aca="false">SUM(R230:Z230)</f>
        <v>96.69489</v>
      </c>
      <c r="AB230" s="33" t="n">
        <f aca="false">INDEX(Premissas!$B$5:$B$13,MATCH(A230,Premissas!$A$5:$A$13,0))</f>
        <v>0.07</v>
      </c>
      <c r="AC230" s="32" t="n">
        <f aca="false">AA230/(1-AB230)-AA230</f>
        <v>7.27811000000001</v>
      </c>
      <c r="AD230" s="32" t="n">
        <f aca="false">ROUND(AA230+AC230,2)</f>
        <v>103.97</v>
      </c>
      <c r="AE230" s="32" t="n">
        <f aca="false">AD230-L230</f>
        <v>-20.54</v>
      </c>
      <c r="AF230" s="34" t="n">
        <f aca="false">IF(L230=0,0,AE230/L230)</f>
        <v>-0.164966669343828</v>
      </c>
      <c r="AG230" s="22" t="str">
        <f aca="false">IF(AD230&lt;L230,"PASSARO","ATUAL")</f>
        <v>PASSARO</v>
      </c>
      <c r="AH230" s="22" t="str">
        <f aca="false">IF(P230&lt;&gt;A230,"Faixa cadastrada como "&amp;P230&amp;" na tabela; preço aplicado pela UF do CEP","")</f>
        <v/>
      </c>
      <c r="AI230" s="26" t="n">
        <v>122.53</v>
      </c>
      <c r="AJ230" s="22" t="str">
        <f aca="false">INDEX('Tabela Passaro'!$X$2:$X$1795,$N230)</f>
        <v>CAPITAL</v>
      </c>
    </row>
    <row r="231" customFormat="false" ht="15" hidden="false" customHeight="false" outlineLevel="0" collapsed="false">
      <c r="A231" s="22" t="s">
        <v>16</v>
      </c>
      <c r="B231" s="22" t="n">
        <v>1</v>
      </c>
      <c r="C231" s="22" t="s">
        <v>75</v>
      </c>
      <c r="D231" s="22" t="s">
        <v>30</v>
      </c>
      <c r="E231" s="22" t="s">
        <v>7326</v>
      </c>
      <c r="F231" s="22" t="n">
        <v>523652</v>
      </c>
      <c r="G231" s="30" t="n">
        <v>46244</v>
      </c>
      <c r="H231" s="22" t="n">
        <v>622495</v>
      </c>
      <c r="I231" s="22" t="s">
        <v>7529</v>
      </c>
      <c r="J231" s="31" t="n">
        <v>36.9</v>
      </c>
      <c r="K231" s="26" t="n">
        <v>619.98</v>
      </c>
      <c r="L231" s="26" t="n">
        <v>162.96</v>
      </c>
      <c r="M231" s="22" t="s">
        <v>694</v>
      </c>
      <c r="N231" s="22" t="n">
        <f aca="false">MATCH(M231,'Tabela Passaro'!$A$2:$A$1795,0)</f>
        <v>106</v>
      </c>
      <c r="O231" s="22" t="str">
        <f aca="false">INDEX('Tabela Passaro'!$C$2:$C$1795,$N231)</f>
        <v>SALVADOR</v>
      </c>
      <c r="P231" s="22" t="str">
        <f aca="false">INDEX('Tabela Passaro'!$B$2:$B$1795,$N231)</f>
        <v>BA</v>
      </c>
      <c r="Q231" s="22" t="n">
        <f aca="false">INDEX('Tabela Passaro'!$F$2:$F$1795,$N231)</f>
        <v>6</v>
      </c>
      <c r="R231" s="32" t="n">
        <f aca="false">IF(J231&lt;=10,INDEX('Tabela Passaro'!$G$2:$G$1795,$N231),IF(J231&lt;=30,INDEX('Tabela Passaro'!$H$2:$H$1795,$N231),IF(J231&lt;=50,INDEX('Tabela Passaro'!$I$2:$I$1795,$N231),IF(J231&lt;=70,INDEX('Tabela Passaro'!$J$2:$J$1795,$N231),IF(J231&lt;=100,INDEX('Tabela Passaro'!$K$2:$K$1795,$N231),INDEX('Tabela Passaro'!$K$2:$K$1795,$N231)+(J231-100)*INDEX('Tabela Passaro'!$L$2:$L$1795,$N231))))))</f>
        <v>61.92</v>
      </c>
      <c r="S231" s="32" t="n">
        <f aca="false">K231*INDEX('Tabela Passaro'!$M$2:$M$1795,$N231)</f>
        <v>3.0999</v>
      </c>
      <c r="T231" s="32" t="n">
        <f aca="false">K231*INDEX('Tabela Passaro'!$N$2:$N$1795,$N231)</f>
        <v>1.23996</v>
      </c>
      <c r="U231" s="32" t="n">
        <f aca="false">INDEX('Tabela Passaro'!$O$2:$O$1795,$N231)</f>
        <v>5</v>
      </c>
      <c r="V231" s="32" t="n">
        <f aca="false">ROUNDUP(J231/INDEX('Tabela Passaro'!$Q$2:$Q$1795,$N231),0)*INDEX('Tabela Passaro'!$P$2:$P$1795,$N231)</f>
        <v>5</v>
      </c>
      <c r="W231" s="32" t="n">
        <f aca="false">INDEX('Tabela Passaro'!$R$2:$R$1795,$N231)</f>
        <v>30</v>
      </c>
      <c r="X231" s="32" t="n">
        <f aca="false">ROUNDUP(J231/INDEX('Tabela Passaro'!$T$2:$T$1795,$N231),0)*INDEX('Tabela Passaro'!$S$2:$S$1795,$N231)</f>
        <v>0</v>
      </c>
      <c r="Y231" s="32" t="n">
        <f aca="false">INDEX('Tabela Passaro'!$U$2:$U$1795,$N231)</f>
        <v>0</v>
      </c>
      <c r="Z231" s="32" t="n">
        <f aca="false">INDEX('Tabela Passaro'!$V$2:$V$1795,$N231)</f>
        <v>0</v>
      </c>
      <c r="AA231" s="32" t="n">
        <f aca="false">SUM(R231:Z231)</f>
        <v>106.25986</v>
      </c>
      <c r="AB231" s="33" t="n">
        <f aca="false">INDEX(Premissas!$B$5:$B$13,MATCH(A231,Premissas!$A$5:$A$13,0))</f>
        <v>0.07</v>
      </c>
      <c r="AC231" s="32" t="n">
        <f aca="false">AA231/(1-AB231)-AA231</f>
        <v>7.99805397849462</v>
      </c>
      <c r="AD231" s="32" t="n">
        <f aca="false">ROUND(AA231+AC231,2)</f>
        <v>114.26</v>
      </c>
      <c r="AE231" s="32" t="n">
        <f aca="false">AD231-L231</f>
        <v>-48.7</v>
      </c>
      <c r="AF231" s="34" t="n">
        <f aca="false">IF(L231=0,0,AE231/L231)</f>
        <v>-0.298846342660776</v>
      </c>
      <c r="AG231" s="22" t="str">
        <f aca="false">IF(AD231&lt;L231,"PASSARO","ATUAL")</f>
        <v>PASSARO</v>
      </c>
      <c r="AH231" s="22" t="str">
        <f aca="false">IF(P231&lt;&gt;A231,"Faixa cadastrada como "&amp;P231&amp;" na tabela; preço aplicado pela UF do CEP","")</f>
        <v/>
      </c>
      <c r="AI231" s="26" t="n">
        <v>139.61</v>
      </c>
      <c r="AJ231" s="22" t="str">
        <f aca="false">INDEX('Tabela Passaro'!$X$2:$X$1795,$N231)</f>
        <v>CAPITAL</v>
      </c>
    </row>
    <row r="232" customFormat="false" ht="15" hidden="false" customHeight="false" outlineLevel="0" collapsed="false">
      <c r="A232" s="22" t="s">
        <v>16</v>
      </c>
      <c r="B232" s="22" t="n">
        <v>1</v>
      </c>
      <c r="C232" s="22" t="s">
        <v>75</v>
      </c>
      <c r="D232" s="22" t="s">
        <v>30</v>
      </c>
      <c r="E232" s="22" t="s">
        <v>7326</v>
      </c>
      <c r="F232" s="22" t="n">
        <v>523654</v>
      </c>
      <c r="G232" s="30" t="n">
        <v>46244</v>
      </c>
      <c r="H232" s="22" t="n">
        <v>622498</v>
      </c>
      <c r="I232" s="22" t="s">
        <v>7530</v>
      </c>
      <c r="J232" s="31" t="n">
        <v>25.75</v>
      </c>
      <c r="K232" s="26" t="n">
        <v>483.74</v>
      </c>
      <c r="L232" s="26" t="n">
        <v>120.96</v>
      </c>
      <c r="M232" s="22" t="s">
        <v>694</v>
      </c>
      <c r="N232" s="22" t="n">
        <f aca="false">MATCH(M232,'Tabela Passaro'!$A$2:$A$1795,0)</f>
        <v>106</v>
      </c>
      <c r="O232" s="22" t="str">
        <f aca="false">INDEX('Tabela Passaro'!$C$2:$C$1795,$N232)</f>
        <v>SALVADOR</v>
      </c>
      <c r="P232" s="22" t="str">
        <f aca="false">INDEX('Tabela Passaro'!$B$2:$B$1795,$N232)</f>
        <v>BA</v>
      </c>
      <c r="Q232" s="22" t="n">
        <f aca="false">INDEX('Tabela Passaro'!$F$2:$F$1795,$N232)</f>
        <v>6</v>
      </c>
      <c r="R232" s="32" t="n">
        <f aca="false">IF(J232&lt;=10,INDEX('Tabela Passaro'!$G$2:$G$1795,$N232),IF(J232&lt;=30,INDEX('Tabela Passaro'!$H$2:$H$1795,$N232),IF(J232&lt;=50,INDEX('Tabela Passaro'!$I$2:$I$1795,$N232),IF(J232&lt;=70,INDEX('Tabela Passaro'!$J$2:$J$1795,$N232),IF(J232&lt;=100,INDEX('Tabela Passaro'!$K$2:$K$1795,$N232),INDEX('Tabela Passaro'!$K$2:$K$1795,$N232)+(J232-100)*INDEX('Tabela Passaro'!$L$2:$L$1795,$N232))))))</f>
        <v>50.4</v>
      </c>
      <c r="S232" s="32" t="n">
        <f aca="false">K232*INDEX('Tabela Passaro'!$M$2:$M$1795,$N232)</f>
        <v>2.4187</v>
      </c>
      <c r="T232" s="32" t="n">
        <f aca="false">K232*INDEX('Tabela Passaro'!$N$2:$N$1795,$N232)</f>
        <v>0.96748</v>
      </c>
      <c r="U232" s="32" t="n">
        <f aca="false">INDEX('Tabela Passaro'!$O$2:$O$1795,$N232)</f>
        <v>5</v>
      </c>
      <c r="V232" s="32" t="n">
        <f aca="false">ROUNDUP(J232/INDEX('Tabela Passaro'!$Q$2:$Q$1795,$N232),0)*INDEX('Tabela Passaro'!$P$2:$P$1795,$N232)</f>
        <v>5</v>
      </c>
      <c r="W232" s="32" t="n">
        <f aca="false">INDEX('Tabela Passaro'!$R$2:$R$1795,$N232)</f>
        <v>30</v>
      </c>
      <c r="X232" s="32" t="n">
        <f aca="false">ROUNDUP(J232/INDEX('Tabela Passaro'!$T$2:$T$1795,$N232),0)*INDEX('Tabela Passaro'!$S$2:$S$1795,$N232)</f>
        <v>0</v>
      </c>
      <c r="Y232" s="32" t="n">
        <f aca="false">INDEX('Tabela Passaro'!$U$2:$U$1795,$N232)</f>
        <v>0</v>
      </c>
      <c r="Z232" s="32" t="n">
        <f aca="false">INDEX('Tabela Passaro'!$V$2:$V$1795,$N232)</f>
        <v>0</v>
      </c>
      <c r="AA232" s="32" t="n">
        <f aca="false">SUM(R232:Z232)</f>
        <v>93.78618</v>
      </c>
      <c r="AB232" s="33" t="n">
        <f aca="false">INDEX(Premissas!$B$5:$B$13,MATCH(A232,Premissas!$A$5:$A$13,0))</f>
        <v>0.07</v>
      </c>
      <c r="AC232" s="32" t="n">
        <f aca="false">AA232/(1-AB232)-AA232</f>
        <v>7.05917483870968</v>
      </c>
      <c r="AD232" s="32" t="n">
        <f aca="false">ROUND(AA232+AC232,2)</f>
        <v>100.85</v>
      </c>
      <c r="AE232" s="32" t="n">
        <f aca="false">AD232-L232</f>
        <v>-20.11</v>
      </c>
      <c r="AF232" s="34" t="n">
        <f aca="false">IF(L232=0,0,AE232/L232)</f>
        <v>-0.166253306878307</v>
      </c>
      <c r="AG232" s="22" t="str">
        <f aca="false">IF(AD232&lt;L232,"PASSARO","ATUAL")</f>
        <v>PASSARO</v>
      </c>
      <c r="AH232" s="22" t="str">
        <f aca="false">IF(P232&lt;&gt;A232,"Faixa cadastrada como "&amp;P232&amp;" na tabela; preço aplicado pela UF do CEP","")</f>
        <v/>
      </c>
      <c r="AI232" s="26" t="n">
        <v>120.44</v>
      </c>
      <c r="AJ232" s="22" t="str">
        <f aca="false">INDEX('Tabela Passaro'!$X$2:$X$1795,$N232)</f>
        <v>CAPITAL</v>
      </c>
    </row>
    <row r="233" customFormat="false" ht="15" hidden="false" customHeight="false" outlineLevel="0" collapsed="false">
      <c r="A233" s="22" t="s">
        <v>16</v>
      </c>
      <c r="B233" s="22" t="n">
        <v>1</v>
      </c>
      <c r="C233" s="22" t="s">
        <v>75</v>
      </c>
      <c r="D233" s="22" t="s">
        <v>30</v>
      </c>
      <c r="E233" s="22" t="s">
        <v>7326</v>
      </c>
      <c r="F233" s="22" t="n">
        <v>523657</v>
      </c>
      <c r="G233" s="30" t="n">
        <v>46244</v>
      </c>
      <c r="H233" s="22" t="n">
        <v>622499</v>
      </c>
      <c r="I233" s="22" t="s">
        <v>7531</v>
      </c>
      <c r="J233" s="31" t="n">
        <v>39.28</v>
      </c>
      <c r="K233" s="26" t="n">
        <v>575.99</v>
      </c>
      <c r="L233" s="26" t="n">
        <v>162.58</v>
      </c>
      <c r="M233" s="22" t="s">
        <v>694</v>
      </c>
      <c r="N233" s="22" t="n">
        <f aca="false">MATCH(M233,'Tabela Passaro'!$A$2:$A$1795,0)</f>
        <v>106</v>
      </c>
      <c r="O233" s="22" t="str">
        <f aca="false">INDEX('Tabela Passaro'!$C$2:$C$1795,$N233)</f>
        <v>SALVADOR</v>
      </c>
      <c r="P233" s="22" t="str">
        <f aca="false">INDEX('Tabela Passaro'!$B$2:$B$1795,$N233)</f>
        <v>BA</v>
      </c>
      <c r="Q233" s="22" t="n">
        <f aca="false">INDEX('Tabela Passaro'!$F$2:$F$1795,$N233)</f>
        <v>6</v>
      </c>
      <c r="R233" s="32" t="n">
        <f aca="false">IF(J233&lt;=10,INDEX('Tabela Passaro'!$G$2:$G$1795,$N233),IF(J233&lt;=30,INDEX('Tabela Passaro'!$H$2:$H$1795,$N233),IF(J233&lt;=50,INDEX('Tabela Passaro'!$I$2:$I$1795,$N233),IF(J233&lt;=70,INDEX('Tabela Passaro'!$J$2:$J$1795,$N233),IF(J233&lt;=100,INDEX('Tabela Passaro'!$K$2:$K$1795,$N233),INDEX('Tabela Passaro'!$K$2:$K$1795,$N233)+(J233-100)*INDEX('Tabela Passaro'!$L$2:$L$1795,$N233))))))</f>
        <v>61.92</v>
      </c>
      <c r="S233" s="32" t="n">
        <f aca="false">K233*INDEX('Tabela Passaro'!$M$2:$M$1795,$N233)</f>
        <v>2.87995</v>
      </c>
      <c r="T233" s="32" t="n">
        <f aca="false">K233*INDEX('Tabela Passaro'!$N$2:$N$1795,$N233)</f>
        <v>1.15198</v>
      </c>
      <c r="U233" s="32" t="n">
        <f aca="false">INDEX('Tabela Passaro'!$O$2:$O$1795,$N233)</f>
        <v>5</v>
      </c>
      <c r="V233" s="32" t="n">
        <f aca="false">ROUNDUP(J233/INDEX('Tabela Passaro'!$Q$2:$Q$1795,$N233),0)*INDEX('Tabela Passaro'!$P$2:$P$1795,$N233)</f>
        <v>5</v>
      </c>
      <c r="W233" s="32" t="n">
        <f aca="false">INDEX('Tabela Passaro'!$R$2:$R$1795,$N233)</f>
        <v>30</v>
      </c>
      <c r="X233" s="32" t="n">
        <f aca="false">ROUNDUP(J233/INDEX('Tabela Passaro'!$T$2:$T$1795,$N233),0)*INDEX('Tabela Passaro'!$S$2:$S$1795,$N233)</f>
        <v>0</v>
      </c>
      <c r="Y233" s="32" t="n">
        <f aca="false">INDEX('Tabela Passaro'!$U$2:$U$1795,$N233)</f>
        <v>0</v>
      </c>
      <c r="Z233" s="32" t="n">
        <f aca="false">INDEX('Tabela Passaro'!$V$2:$V$1795,$N233)</f>
        <v>0</v>
      </c>
      <c r="AA233" s="32" t="n">
        <f aca="false">SUM(R233:Z233)</f>
        <v>105.95193</v>
      </c>
      <c r="AB233" s="33" t="n">
        <f aca="false">INDEX(Premissas!$B$5:$B$13,MATCH(A233,Premissas!$A$5:$A$13,0))</f>
        <v>0.07</v>
      </c>
      <c r="AC233" s="32" t="n">
        <f aca="false">AA233/(1-AB233)-AA233</f>
        <v>7.97487645161291</v>
      </c>
      <c r="AD233" s="32" t="n">
        <f aca="false">ROUND(AA233+AC233,2)</f>
        <v>113.93</v>
      </c>
      <c r="AE233" s="32" t="n">
        <f aca="false">AD233-L233</f>
        <v>-48.65</v>
      </c>
      <c r="AF233" s="34" t="n">
        <f aca="false">IF(L233=0,0,AE233/L233)</f>
        <v>-0.299237298560709</v>
      </c>
      <c r="AG233" s="22" t="str">
        <f aca="false">IF(AD233&lt;L233,"PASSARO","ATUAL")</f>
        <v>PASSARO</v>
      </c>
      <c r="AH233" s="22" t="str">
        <f aca="false">IF(P233&lt;&gt;A233,"Faixa cadastrada como "&amp;P233&amp;" na tabela; preço aplicado pela UF do CEP","")</f>
        <v/>
      </c>
      <c r="AI233" s="26" t="n">
        <v>140.64</v>
      </c>
      <c r="AJ233" s="22" t="str">
        <f aca="false">INDEX('Tabela Passaro'!$X$2:$X$1795,$N233)</f>
        <v>CAPITAL</v>
      </c>
    </row>
    <row r="234" customFormat="false" ht="15" hidden="false" customHeight="false" outlineLevel="0" collapsed="false">
      <c r="A234" s="22" t="s">
        <v>16</v>
      </c>
      <c r="B234" s="22" t="n">
        <v>1</v>
      </c>
      <c r="C234" s="22" t="s">
        <v>75</v>
      </c>
      <c r="D234" s="22" t="s">
        <v>30</v>
      </c>
      <c r="E234" s="22" t="s">
        <v>7326</v>
      </c>
      <c r="F234" s="22" t="n">
        <v>523678</v>
      </c>
      <c r="G234" s="30" t="n">
        <v>46244</v>
      </c>
      <c r="H234" s="22" t="n">
        <v>622502</v>
      </c>
      <c r="I234" s="22" t="s">
        <v>7500</v>
      </c>
      <c r="J234" s="31" t="n">
        <v>117.4</v>
      </c>
      <c r="K234" s="26" t="n">
        <v>1540.98</v>
      </c>
      <c r="L234" s="26" t="n">
        <v>309.17</v>
      </c>
      <c r="M234" s="22" t="s">
        <v>694</v>
      </c>
      <c r="N234" s="22" t="n">
        <f aca="false">MATCH(M234,'Tabela Passaro'!$A$2:$A$1795,0)</f>
        <v>106</v>
      </c>
      <c r="O234" s="22" t="str">
        <f aca="false">INDEX('Tabela Passaro'!$C$2:$C$1795,$N234)</f>
        <v>SALVADOR</v>
      </c>
      <c r="P234" s="22" t="str">
        <f aca="false">INDEX('Tabela Passaro'!$B$2:$B$1795,$N234)</f>
        <v>BA</v>
      </c>
      <c r="Q234" s="22" t="n">
        <f aca="false">INDEX('Tabela Passaro'!$F$2:$F$1795,$N234)</f>
        <v>6</v>
      </c>
      <c r="R234" s="32" t="n">
        <f aca="false">IF(J234&lt;=10,INDEX('Tabela Passaro'!$G$2:$G$1795,$N234),IF(J234&lt;=30,INDEX('Tabela Passaro'!$H$2:$H$1795,$N234),IF(J234&lt;=50,INDEX('Tabela Passaro'!$I$2:$I$1795,$N234),IF(J234&lt;=70,INDEX('Tabela Passaro'!$J$2:$J$1795,$N234),IF(J234&lt;=100,INDEX('Tabela Passaro'!$K$2:$K$1795,$N234),INDEX('Tabela Passaro'!$K$2:$K$1795,$N234)+(J234-100)*INDEX('Tabela Passaro'!$L$2:$L$1795,$N234))))))</f>
        <v>105.144</v>
      </c>
      <c r="S234" s="32" t="n">
        <f aca="false">K234*INDEX('Tabela Passaro'!$M$2:$M$1795,$N234)</f>
        <v>7.7049</v>
      </c>
      <c r="T234" s="32" t="n">
        <f aca="false">K234*INDEX('Tabela Passaro'!$N$2:$N$1795,$N234)</f>
        <v>3.08196</v>
      </c>
      <c r="U234" s="32" t="n">
        <f aca="false">INDEX('Tabela Passaro'!$O$2:$O$1795,$N234)</f>
        <v>5</v>
      </c>
      <c r="V234" s="32" t="n">
        <f aca="false">ROUNDUP(J234/INDEX('Tabela Passaro'!$Q$2:$Q$1795,$N234),0)*INDEX('Tabela Passaro'!$P$2:$P$1795,$N234)</f>
        <v>10</v>
      </c>
      <c r="W234" s="32" t="n">
        <f aca="false">INDEX('Tabela Passaro'!$R$2:$R$1795,$N234)</f>
        <v>30</v>
      </c>
      <c r="X234" s="32" t="n">
        <f aca="false">ROUNDUP(J234/INDEX('Tabela Passaro'!$T$2:$T$1795,$N234),0)*INDEX('Tabela Passaro'!$S$2:$S$1795,$N234)</f>
        <v>0</v>
      </c>
      <c r="Y234" s="32" t="n">
        <f aca="false">INDEX('Tabela Passaro'!$U$2:$U$1795,$N234)</f>
        <v>0</v>
      </c>
      <c r="Z234" s="32" t="n">
        <f aca="false">INDEX('Tabela Passaro'!$V$2:$V$1795,$N234)</f>
        <v>0</v>
      </c>
      <c r="AA234" s="32" t="n">
        <f aca="false">SUM(R234:Z234)</f>
        <v>160.93086</v>
      </c>
      <c r="AB234" s="33" t="n">
        <f aca="false">INDEX(Premissas!$B$5:$B$13,MATCH(A234,Premissas!$A$5:$A$13,0))</f>
        <v>0.07</v>
      </c>
      <c r="AC234" s="32" t="n">
        <f aca="false">AA234/(1-AB234)-AA234</f>
        <v>12.113075483871</v>
      </c>
      <c r="AD234" s="32" t="n">
        <f aca="false">ROUND(AA234+AC234,2)</f>
        <v>173.04</v>
      </c>
      <c r="AE234" s="32" t="n">
        <f aca="false">AD234-L234</f>
        <v>-136.13</v>
      </c>
      <c r="AF234" s="34" t="n">
        <f aca="false">IF(L234=0,0,AE234/L234)</f>
        <v>-0.440307921208397</v>
      </c>
      <c r="AG234" s="22" t="str">
        <f aca="false">IF(AD234&lt;L234,"PASSARO","ATUAL")</f>
        <v>PASSARO</v>
      </c>
      <c r="AH234" s="22" t="str">
        <f aca="false">IF(P234&lt;&gt;A234,"Faixa cadastrada como "&amp;P234&amp;" na tabela; preço aplicado pela UF do CEP","")</f>
        <v/>
      </c>
      <c r="AI234" s="26" t="n">
        <v>242.65</v>
      </c>
      <c r="AJ234" s="22" t="str">
        <f aca="false">INDEX('Tabela Passaro'!$X$2:$X$1795,$N234)</f>
        <v>CAPITAL</v>
      </c>
    </row>
    <row r="235" customFormat="false" ht="15" hidden="false" customHeight="false" outlineLevel="0" collapsed="false">
      <c r="A235" s="22" t="s">
        <v>16</v>
      </c>
      <c r="B235" s="22" t="n">
        <v>1</v>
      </c>
      <c r="C235" s="22" t="s">
        <v>75</v>
      </c>
      <c r="D235" s="22" t="s">
        <v>30</v>
      </c>
      <c r="E235" s="22" t="s">
        <v>16</v>
      </c>
      <c r="F235" s="22" t="n">
        <v>206179</v>
      </c>
      <c r="G235" s="30" t="n">
        <v>46245</v>
      </c>
      <c r="H235" s="22" t="n">
        <v>128440</v>
      </c>
      <c r="I235" s="22" t="s">
        <v>7532</v>
      </c>
      <c r="J235" s="31" t="n">
        <v>59.88</v>
      </c>
      <c r="K235" s="26" t="n">
        <v>954.11</v>
      </c>
      <c r="L235" s="26" t="n">
        <v>189.61</v>
      </c>
      <c r="M235" s="22" t="s">
        <v>694</v>
      </c>
      <c r="N235" s="22" t="n">
        <f aca="false">MATCH(M235,'Tabela Passaro'!$A$2:$A$1795,0)</f>
        <v>106</v>
      </c>
      <c r="O235" s="22" t="str">
        <f aca="false">INDEX('Tabela Passaro'!$C$2:$C$1795,$N235)</f>
        <v>SALVADOR</v>
      </c>
      <c r="P235" s="22" t="str">
        <f aca="false">INDEX('Tabela Passaro'!$B$2:$B$1795,$N235)</f>
        <v>BA</v>
      </c>
      <c r="Q235" s="22" t="n">
        <f aca="false">INDEX('Tabela Passaro'!$F$2:$F$1795,$N235)</f>
        <v>6</v>
      </c>
      <c r="R235" s="32" t="n">
        <f aca="false">IF(J235&lt;=10,INDEX('Tabela Passaro'!$G$2:$G$1795,$N235),IF(J235&lt;=30,INDEX('Tabela Passaro'!$H$2:$H$1795,$N235),IF(J235&lt;=50,INDEX('Tabela Passaro'!$I$2:$I$1795,$N235),IF(J235&lt;=70,INDEX('Tabela Passaro'!$J$2:$J$1795,$N235),IF(J235&lt;=100,INDEX('Tabela Passaro'!$K$2:$K$1795,$N235),INDEX('Tabela Passaro'!$K$2:$K$1795,$N235)+(J235-100)*INDEX('Tabela Passaro'!$L$2:$L$1795,$N235))))))</f>
        <v>73.44</v>
      </c>
      <c r="S235" s="32" t="n">
        <f aca="false">K235*INDEX('Tabela Passaro'!$M$2:$M$1795,$N235)</f>
        <v>4.77055</v>
      </c>
      <c r="T235" s="32" t="n">
        <f aca="false">K235*INDEX('Tabela Passaro'!$N$2:$N$1795,$N235)</f>
        <v>1.90822</v>
      </c>
      <c r="U235" s="32" t="n">
        <f aca="false">INDEX('Tabela Passaro'!$O$2:$O$1795,$N235)</f>
        <v>5</v>
      </c>
      <c r="V235" s="32" t="n">
        <f aca="false">ROUNDUP(J235/INDEX('Tabela Passaro'!$Q$2:$Q$1795,$N235),0)*INDEX('Tabela Passaro'!$P$2:$P$1795,$N235)</f>
        <v>5</v>
      </c>
      <c r="W235" s="32" t="n">
        <f aca="false">INDEX('Tabela Passaro'!$R$2:$R$1795,$N235)</f>
        <v>30</v>
      </c>
      <c r="X235" s="32" t="n">
        <f aca="false">ROUNDUP(J235/INDEX('Tabela Passaro'!$T$2:$T$1795,$N235),0)*INDEX('Tabela Passaro'!$S$2:$S$1795,$N235)</f>
        <v>0</v>
      </c>
      <c r="Y235" s="32" t="n">
        <f aca="false">INDEX('Tabela Passaro'!$U$2:$U$1795,$N235)</f>
        <v>0</v>
      </c>
      <c r="Z235" s="32" t="n">
        <f aca="false">INDEX('Tabela Passaro'!$V$2:$V$1795,$N235)</f>
        <v>0</v>
      </c>
      <c r="AA235" s="32" t="n">
        <f aca="false">SUM(R235:Z235)</f>
        <v>120.11877</v>
      </c>
      <c r="AB235" s="33" t="n">
        <f aca="false">INDEX(Premissas!$B$5:$B$13,MATCH(A235,Premissas!$A$5:$A$13,0))</f>
        <v>0.07</v>
      </c>
      <c r="AC235" s="32" t="n">
        <f aca="false">AA235/(1-AB235)-AA235</f>
        <v>9.04119774193551</v>
      </c>
      <c r="AD235" s="32" t="n">
        <f aca="false">ROUND(AA235+AC235,2)</f>
        <v>129.16</v>
      </c>
      <c r="AE235" s="32" t="n">
        <f aca="false">AD235-L235</f>
        <v>-60.45</v>
      </c>
      <c r="AF235" s="34" t="n">
        <f aca="false">IF(L235=0,0,AE235/L235)</f>
        <v>-0.318812298929381</v>
      </c>
      <c r="AG235" s="22" t="str">
        <f aca="false">IF(AD235&lt;L235,"PASSARO","ATUAL")</f>
        <v>PASSARO</v>
      </c>
      <c r="AH235" s="22" t="str">
        <f aca="false">IF(P235&lt;&gt;A235,"Faixa cadastrada como "&amp;P235&amp;" na tabela; preço aplicado pela UF do CEP","")</f>
        <v/>
      </c>
      <c r="AI235" s="26" t="n">
        <v>166.5</v>
      </c>
      <c r="AJ235" s="22" t="str">
        <f aca="false">INDEX('Tabela Passaro'!$X$2:$X$1795,$N235)</f>
        <v>CAPITAL</v>
      </c>
    </row>
    <row r="236" customFormat="false" ht="15" hidden="false" customHeight="false" outlineLevel="0" collapsed="false">
      <c r="A236" s="22" t="s">
        <v>16</v>
      </c>
      <c r="B236" s="22" t="n">
        <v>1</v>
      </c>
      <c r="C236" s="22" t="s">
        <v>75</v>
      </c>
      <c r="D236" s="22" t="s">
        <v>30</v>
      </c>
      <c r="E236" s="22" t="s">
        <v>7326</v>
      </c>
      <c r="F236" s="22" t="n">
        <v>523839</v>
      </c>
      <c r="G236" s="30" t="n">
        <v>46245</v>
      </c>
      <c r="H236" s="22" t="n">
        <v>623263</v>
      </c>
      <c r="I236" s="22" t="s">
        <v>7533</v>
      </c>
      <c r="J236" s="31" t="n">
        <v>34.9</v>
      </c>
      <c r="K236" s="26" t="n">
        <v>709.98</v>
      </c>
      <c r="L236" s="26" t="n">
        <v>163.72</v>
      </c>
      <c r="M236" s="22" t="s">
        <v>694</v>
      </c>
      <c r="N236" s="22" t="n">
        <f aca="false">MATCH(M236,'Tabela Passaro'!$A$2:$A$1795,0)</f>
        <v>106</v>
      </c>
      <c r="O236" s="22" t="str">
        <f aca="false">INDEX('Tabela Passaro'!$C$2:$C$1795,$N236)</f>
        <v>SALVADOR</v>
      </c>
      <c r="P236" s="22" t="str">
        <f aca="false">INDEX('Tabela Passaro'!$B$2:$B$1795,$N236)</f>
        <v>BA</v>
      </c>
      <c r="Q236" s="22" t="n">
        <f aca="false">INDEX('Tabela Passaro'!$F$2:$F$1795,$N236)</f>
        <v>6</v>
      </c>
      <c r="R236" s="32" t="n">
        <f aca="false">IF(J236&lt;=10,INDEX('Tabela Passaro'!$G$2:$G$1795,$N236),IF(J236&lt;=30,INDEX('Tabela Passaro'!$H$2:$H$1795,$N236),IF(J236&lt;=50,INDEX('Tabela Passaro'!$I$2:$I$1795,$N236),IF(J236&lt;=70,INDEX('Tabela Passaro'!$J$2:$J$1795,$N236),IF(J236&lt;=100,INDEX('Tabela Passaro'!$K$2:$K$1795,$N236),INDEX('Tabela Passaro'!$K$2:$K$1795,$N236)+(J236-100)*INDEX('Tabela Passaro'!$L$2:$L$1795,$N236))))))</f>
        <v>61.92</v>
      </c>
      <c r="S236" s="32" t="n">
        <f aca="false">K236*INDEX('Tabela Passaro'!$M$2:$M$1795,$N236)</f>
        <v>3.5499</v>
      </c>
      <c r="T236" s="32" t="n">
        <f aca="false">K236*INDEX('Tabela Passaro'!$N$2:$N$1795,$N236)</f>
        <v>1.41996</v>
      </c>
      <c r="U236" s="32" t="n">
        <f aca="false">INDEX('Tabela Passaro'!$O$2:$O$1795,$N236)</f>
        <v>5</v>
      </c>
      <c r="V236" s="32" t="n">
        <f aca="false">ROUNDUP(J236/INDEX('Tabela Passaro'!$Q$2:$Q$1795,$N236),0)*INDEX('Tabela Passaro'!$P$2:$P$1795,$N236)</f>
        <v>5</v>
      </c>
      <c r="W236" s="32" t="n">
        <f aca="false">INDEX('Tabela Passaro'!$R$2:$R$1795,$N236)</f>
        <v>30</v>
      </c>
      <c r="X236" s="32" t="n">
        <f aca="false">ROUNDUP(J236/INDEX('Tabela Passaro'!$T$2:$T$1795,$N236),0)*INDEX('Tabela Passaro'!$S$2:$S$1795,$N236)</f>
        <v>0</v>
      </c>
      <c r="Y236" s="32" t="n">
        <f aca="false">INDEX('Tabela Passaro'!$U$2:$U$1795,$N236)</f>
        <v>0</v>
      </c>
      <c r="Z236" s="32" t="n">
        <f aca="false">INDEX('Tabela Passaro'!$V$2:$V$1795,$N236)</f>
        <v>0</v>
      </c>
      <c r="AA236" s="32" t="n">
        <f aca="false">SUM(R236:Z236)</f>
        <v>106.88986</v>
      </c>
      <c r="AB236" s="33" t="n">
        <f aca="false">INDEX(Premissas!$B$5:$B$13,MATCH(A236,Premissas!$A$5:$A$13,0))</f>
        <v>0.07</v>
      </c>
      <c r="AC236" s="32" t="n">
        <f aca="false">AA236/(1-AB236)-AA236</f>
        <v>8.04547333333335</v>
      </c>
      <c r="AD236" s="32" t="n">
        <f aca="false">ROUND(AA236+AC236,2)</f>
        <v>114.94</v>
      </c>
      <c r="AE236" s="32" t="n">
        <f aca="false">AD236-L236</f>
        <v>-48.78</v>
      </c>
      <c r="AF236" s="34" t="n">
        <f aca="false">IF(L236=0,0,AE236/L236)</f>
        <v>-0.297947715612021</v>
      </c>
      <c r="AG236" s="22" t="str">
        <f aca="false">IF(AD236&lt;L236,"PASSARO","ATUAL")</f>
        <v>PASSARO</v>
      </c>
      <c r="AH236" s="22" t="str">
        <f aca="false">IF(P236&lt;&gt;A236,"Faixa cadastrada como "&amp;P236&amp;" na tabela; preço aplicado pela UF do CEP","")</f>
        <v/>
      </c>
      <c r="AI236" s="26" t="n">
        <v>139.52</v>
      </c>
      <c r="AJ236" s="22" t="str">
        <f aca="false">INDEX('Tabela Passaro'!$X$2:$X$1795,$N236)</f>
        <v>CAPITAL</v>
      </c>
    </row>
    <row r="237" customFormat="false" ht="15" hidden="false" customHeight="false" outlineLevel="0" collapsed="false">
      <c r="A237" s="22" t="s">
        <v>16</v>
      </c>
      <c r="B237" s="22" t="n">
        <v>1</v>
      </c>
      <c r="C237" s="22" t="s">
        <v>75</v>
      </c>
      <c r="D237" s="22" t="s">
        <v>30</v>
      </c>
      <c r="E237" s="22" t="s">
        <v>7326</v>
      </c>
      <c r="F237" s="22" t="n">
        <v>523860</v>
      </c>
      <c r="G237" s="30" t="n">
        <v>46245</v>
      </c>
      <c r="H237" s="22" t="n">
        <v>623703</v>
      </c>
      <c r="I237" s="22" t="s">
        <v>7534</v>
      </c>
      <c r="J237" s="31" t="n">
        <v>28.8</v>
      </c>
      <c r="K237" s="26" t="n">
        <v>943.25</v>
      </c>
      <c r="L237" s="26" t="n">
        <v>124.87</v>
      </c>
      <c r="M237" s="22" t="s">
        <v>694</v>
      </c>
      <c r="N237" s="22" t="n">
        <f aca="false">MATCH(M237,'Tabela Passaro'!$A$2:$A$1795,0)</f>
        <v>106</v>
      </c>
      <c r="O237" s="22" t="str">
        <f aca="false">INDEX('Tabela Passaro'!$C$2:$C$1795,$N237)</f>
        <v>SALVADOR</v>
      </c>
      <c r="P237" s="22" t="str">
        <f aca="false">INDEX('Tabela Passaro'!$B$2:$B$1795,$N237)</f>
        <v>BA</v>
      </c>
      <c r="Q237" s="22" t="n">
        <f aca="false">INDEX('Tabela Passaro'!$F$2:$F$1795,$N237)</f>
        <v>6</v>
      </c>
      <c r="R237" s="32" t="n">
        <f aca="false">IF(J237&lt;=10,INDEX('Tabela Passaro'!$G$2:$G$1795,$N237),IF(J237&lt;=30,INDEX('Tabela Passaro'!$H$2:$H$1795,$N237),IF(J237&lt;=50,INDEX('Tabela Passaro'!$I$2:$I$1795,$N237),IF(J237&lt;=70,INDEX('Tabela Passaro'!$J$2:$J$1795,$N237),IF(J237&lt;=100,INDEX('Tabela Passaro'!$K$2:$K$1795,$N237),INDEX('Tabela Passaro'!$K$2:$K$1795,$N237)+(J237-100)*INDEX('Tabela Passaro'!$L$2:$L$1795,$N237))))))</f>
        <v>50.4</v>
      </c>
      <c r="S237" s="32" t="n">
        <f aca="false">K237*INDEX('Tabela Passaro'!$M$2:$M$1795,$N237)</f>
        <v>4.71625</v>
      </c>
      <c r="T237" s="32" t="n">
        <f aca="false">K237*INDEX('Tabela Passaro'!$N$2:$N$1795,$N237)</f>
        <v>1.8865</v>
      </c>
      <c r="U237" s="32" t="n">
        <f aca="false">INDEX('Tabela Passaro'!$O$2:$O$1795,$N237)</f>
        <v>5</v>
      </c>
      <c r="V237" s="32" t="n">
        <f aca="false">ROUNDUP(J237/INDEX('Tabela Passaro'!$Q$2:$Q$1795,$N237),0)*INDEX('Tabela Passaro'!$P$2:$P$1795,$N237)</f>
        <v>5</v>
      </c>
      <c r="W237" s="32" t="n">
        <f aca="false">INDEX('Tabela Passaro'!$R$2:$R$1795,$N237)</f>
        <v>30</v>
      </c>
      <c r="X237" s="32" t="n">
        <f aca="false">ROUNDUP(J237/INDEX('Tabela Passaro'!$T$2:$T$1795,$N237),0)*INDEX('Tabela Passaro'!$S$2:$S$1795,$N237)</f>
        <v>0</v>
      </c>
      <c r="Y237" s="32" t="n">
        <f aca="false">INDEX('Tabela Passaro'!$U$2:$U$1795,$N237)</f>
        <v>0</v>
      </c>
      <c r="Z237" s="32" t="n">
        <f aca="false">INDEX('Tabela Passaro'!$V$2:$V$1795,$N237)</f>
        <v>0</v>
      </c>
      <c r="AA237" s="32" t="n">
        <f aca="false">SUM(R237:Z237)</f>
        <v>97.00275</v>
      </c>
      <c r="AB237" s="33" t="n">
        <f aca="false">INDEX(Premissas!$B$5:$B$13,MATCH(A237,Premissas!$A$5:$A$13,0))</f>
        <v>0.07</v>
      </c>
      <c r="AC237" s="32" t="n">
        <f aca="false">AA237/(1-AB237)-AA237</f>
        <v>7.30128225806452</v>
      </c>
      <c r="AD237" s="32" t="n">
        <f aca="false">ROUND(AA237+AC237,2)</f>
        <v>104.3</v>
      </c>
      <c r="AE237" s="32" t="n">
        <f aca="false">AD237-L237</f>
        <v>-20.57</v>
      </c>
      <c r="AF237" s="34" t="n">
        <f aca="false">IF(L237=0,0,AE237/L237)</f>
        <v>-0.164731320573396</v>
      </c>
      <c r="AG237" s="22" t="str">
        <f aca="false">IF(AD237&lt;L237,"PASSARO","ATUAL")</f>
        <v>PASSARO</v>
      </c>
      <c r="AH237" s="22" t="str">
        <f aca="false">IF(P237&lt;&gt;A237,"Faixa cadastrada como "&amp;P237&amp;" na tabela; preço aplicado pela UF do CEP","")</f>
        <v/>
      </c>
      <c r="AI237" s="26" t="n">
        <v>126.34</v>
      </c>
      <c r="AJ237" s="22" t="str">
        <f aca="false">INDEX('Tabela Passaro'!$X$2:$X$1795,$N237)</f>
        <v>CAPITAL</v>
      </c>
    </row>
    <row r="238" customFormat="false" ht="15" hidden="false" customHeight="false" outlineLevel="0" collapsed="false">
      <c r="A238" s="22" t="s">
        <v>16</v>
      </c>
      <c r="B238" s="22" t="n">
        <v>1</v>
      </c>
      <c r="C238" s="22" t="s">
        <v>75</v>
      </c>
      <c r="D238" s="22" t="s">
        <v>30</v>
      </c>
      <c r="E238" s="22" t="s">
        <v>7326</v>
      </c>
      <c r="F238" s="22" t="n">
        <v>523821</v>
      </c>
      <c r="G238" s="30" t="n">
        <v>46245</v>
      </c>
      <c r="H238" s="22" t="n">
        <v>623720</v>
      </c>
      <c r="I238" s="22" t="s">
        <v>7535</v>
      </c>
      <c r="J238" s="31" t="n">
        <v>58.6</v>
      </c>
      <c r="K238" s="26" t="n">
        <v>6401.25</v>
      </c>
      <c r="L238" s="26" t="n">
        <v>243.91</v>
      </c>
      <c r="M238" s="22" t="s">
        <v>694</v>
      </c>
      <c r="N238" s="22" t="n">
        <f aca="false">MATCH(M238,'Tabela Passaro'!$A$2:$A$1795,0)</f>
        <v>106</v>
      </c>
      <c r="O238" s="22" t="str">
        <f aca="false">INDEX('Tabela Passaro'!$C$2:$C$1795,$N238)</f>
        <v>SALVADOR</v>
      </c>
      <c r="P238" s="22" t="str">
        <f aca="false">INDEX('Tabela Passaro'!$B$2:$B$1795,$N238)</f>
        <v>BA</v>
      </c>
      <c r="Q238" s="22" t="n">
        <f aca="false">INDEX('Tabela Passaro'!$F$2:$F$1795,$N238)</f>
        <v>6</v>
      </c>
      <c r="R238" s="32" t="n">
        <f aca="false">IF(J238&lt;=10,INDEX('Tabela Passaro'!$G$2:$G$1795,$N238),IF(J238&lt;=30,INDEX('Tabela Passaro'!$H$2:$H$1795,$N238),IF(J238&lt;=50,INDEX('Tabela Passaro'!$I$2:$I$1795,$N238),IF(J238&lt;=70,INDEX('Tabela Passaro'!$J$2:$J$1795,$N238),IF(J238&lt;=100,INDEX('Tabela Passaro'!$K$2:$K$1795,$N238),INDEX('Tabela Passaro'!$K$2:$K$1795,$N238)+(J238-100)*INDEX('Tabela Passaro'!$L$2:$L$1795,$N238))))))</f>
        <v>73.44</v>
      </c>
      <c r="S238" s="32" t="n">
        <f aca="false">K238*INDEX('Tabela Passaro'!$M$2:$M$1795,$N238)</f>
        <v>32.00625</v>
      </c>
      <c r="T238" s="32" t="n">
        <f aca="false">K238*INDEX('Tabela Passaro'!$N$2:$N$1795,$N238)</f>
        <v>12.8025</v>
      </c>
      <c r="U238" s="32" t="n">
        <f aca="false">INDEX('Tabela Passaro'!$O$2:$O$1795,$N238)</f>
        <v>5</v>
      </c>
      <c r="V238" s="32" t="n">
        <f aca="false">ROUNDUP(J238/INDEX('Tabela Passaro'!$Q$2:$Q$1795,$N238),0)*INDEX('Tabela Passaro'!$P$2:$P$1795,$N238)</f>
        <v>5</v>
      </c>
      <c r="W238" s="32" t="n">
        <f aca="false">INDEX('Tabela Passaro'!$R$2:$R$1795,$N238)</f>
        <v>30</v>
      </c>
      <c r="X238" s="32" t="n">
        <f aca="false">ROUNDUP(J238/INDEX('Tabela Passaro'!$T$2:$T$1795,$N238),0)*INDEX('Tabela Passaro'!$S$2:$S$1795,$N238)</f>
        <v>0</v>
      </c>
      <c r="Y238" s="32" t="n">
        <f aca="false">INDEX('Tabela Passaro'!$U$2:$U$1795,$N238)</f>
        <v>0</v>
      </c>
      <c r="Z238" s="32" t="n">
        <f aca="false">INDEX('Tabela Passaro'!$V$2:$V$1795,$N238)</f>
        <v>0</v>
      </c>
      <c r="AA238" s="32" t="n">
        <f aca="false">SUM(R238:Z238)</f>
        <v>158.24875</v>
      </c>
      <c r="AB238" s="33" t="n">
        <f aca="false">INDEX(Premissas!$B$5:$B$13,MATCH(A238,Premissas!$A$5:$A$13,0))</f>
        <v>0.07</v>
      </c>
      <c r="AC238" s="32" t="n">
        <f aca="false">AA238/(1-AB238)-AA238</f>
        <v>11.9111962365592</v>
      </c>
      <c r="AD238" s="32" t="n">
        <f aca="false">ROUND(AA238+AC238,2)</f>
        <v>170.16</v>
      </c>
      <c r="AE238" s="32" t="n">
        <f aca="false">AD238-L238</f>
        <v>-73.75</v>
      </c>
      <c r="AF238" s="34" t="n">
        <f aca="false">IF(L238=0,0,AE238/L238)</f>
        <v>-0.302365626665573</v>
      </c>
      <c r="AG238" s="22" t="str">
        <f aca="false">IF(AD238&lt;L238,"PASSARO","ATUAL")</f>
        <v>PASSARO</v>
      </c>
      <c r="AH238" s="22" t="str">
        <f aca="false">IF(P238&lt;&gt;A238,"Faixa cadastrada como "&amp;P238&amp;" na tabela; preço aplicado pela UF do CEP","")</f>
        <v/>
      </c>
      <c r="AI238" s="26" t="n">
        <v>218.73</v>
      </c>
      <c r="AJ238" s="22" t="str">
        <f aca="false">INDEX('Tabela Passaro'!$X$2:$X$1795,$N238)</f>
        <v>CAPITAL</v>
      </c>
    </row>
    <row r="239" customFormat="false" ht="15" hidden="false" customHeight="false" outlineLevel="0" collapsed="false">
      <c r="A239" s="22" t="s">
        <v>16</v>
      </c>
      <c r="B239" s="22" t="n">
        <v>1</v>
      </c>
      <c r="C239" s="22" t="s">
        <v>75</v>
      </c>
      <c r="D239" s="22" t="s">
        <v>30</v>
      </c>
      <c r="E239" s="22" t="s">
        <v>20</v>
      </c>
      <c r="F239" s="22" t="n">
        <v>838722</v>
      </c>
      <c r="G239" s="30" t="n">
        <v>46246</v>
      </c>
      <c r="H239" s="22" t="n">
        <v>32489</v>
      </c>
      <c r="I239" s="22" t="s">
        <v>7536</v>
      </c>
      <c r="J239" s="31" t="n">
        <v>66.8</v>
      </c>
      <c r="K239" s="26" t="n">
        <v>1059.98</v>
      </c>
      <c r="L239" s="26" t="n">
        <v>164.18</v>
      </c>
      <c r="M239" s="22" t="s">
        <v>694</v>
      </c>
      <c r="N239" s="22" t="n">
        <f aca="false">MATCH(M239,'Tabela Passaro'!$A$2:$A$1795,0)</f>
        <v>106</v>
      </c>
      <c r="O239" s="22" t="str">
        <f aca="false">INDEX('Tabela Passaro'!$C$2:$C$1795,$N239)</f>
        <v>SALVADOR</v>
      </c>
      <c r="P239" s="22" t="str">
        <f aca="false">INDEX('Tabela Passaro'!$B$2:$B$1795,$N239)</f>
        <v>BA</v>
      </c>
      <c r="Q239" s="22" t="n">
        <f aca="false">INDEX('Tabela Passaro'!$F$2:$F$1795,$N239)</f>
        <v>6</v>
      </c>
      <c r="R239" s="32" t="n">
        <f aca="false">IF(J239&lt;=10,INDEX('Tabela Passaro'!$G$2:$G$1795,$N239),IF(J239&lt;=30,INDEX('Tabela Passaro'!$H$2:$H$1795,$N239),IF(J239&lt;=50,INDEX('Tabela Passaro'!$I$2:$I$1795,$N239),IF(J239&lt;=70,INDEX('Tabela Passaro'!$J$2:$J$1795,$N239),IF(J239&lt;=100,INDEX('Tabela Passaro'!$K$2:$K$1795,$N239),INDEX('Tabela Passaro'!$K$2:$K$1795,$N239)+(J239-100)*INDEX('Tabela Passaro'!$L$2:$L$1795,$N239))))))</f>
        <v>73.44</v>
      </c>
      <c r="S239" s="32" t="n">
        <f aca="false">K239*INDEX('Tabela Passaro'!$M$2:$M$1795,$N239)</f>
        <v>5.2999</v>
      </c>
      <c r="T239" s="32" t="n">
        <f aca="false">K239*INDEX('Tabela Passaro'!$N$2:$N$1795,$N239)</f>
        <v>2.11996</v>
      </c>
      <c r="U239" s="32" t="n">
        <f aca="false">INDEX('Tabela Passaro'!$O$2:$O$1795,$N239)</f>
        <v>5</v>
      </c>
      <c r="V239" s="32" t="n">
        <f aca="false">ROUNDUP(J239/INDEX('Tabela Passaro'!$Q$2:$Q$1795,$N239),0)*INDEX('Tabela Passaro'!$P$2:$P$1795,$N239)</f>
        <v>5</v>
      </c>
      <c r="W239" s="32" t="n">
        <f aca="false">INDEX('Tabela Passaro'!$R$2:$R$1795,$N239)</f>
        <v>30</v>
      </c>
      <c r="X239" s="32" t="n">
        <f aca="false">ROUNDUP(J239/INDEX('Tabela Passaro'!$T$2:$T$1795,$N239),0)*INDEX('Tabela Passaro'!$S$2:$S$1795,$N239)</f>
        <v>0</v>
      </c>
      <c r="Y239" s="32" t="n">
        <f aca="false">INDEX('Tabela Passaro'!$U$2:$U$1795,$N239)</f>
        <v>0</v>
      </c>
      <c r="Z239" s="32" t="n">
        <f aca="false">INDEX('Tabela Passaro'!$V$2:$V$1795,$N239)</f>
        <v>0</v>
      </c>
      <c r="AA239" s="32" t="n">
        <f aca="false">SUM(R239:Z239)</f>
        <v>120.85986</v>
      </c>
      <c r="AB239" s="33" t="n">
        <f aca="false">INDEX(Premissas!$B$5:$B$13,MATCH(A239,Premissas!$A$5:$A$13,0))</f>
        <v>0.07</v>
      </c>
      <c r="AC239" s="32" t="n">
        <f aca="false">AA239/(1-AB239)-AA239</f>
        <v>9.09697870967742</v>
      </c>
      <c r="AD239" s="32" t="n">
        <f aca="false">ROUND(AA239+AC239,2)</f>
        <v>129.96</v>
      </c>
      <c r="AE239" s="32" t="n">
        <f aca="false">AD239-L239</f>
        <v>-34.22</v>
      </c>
      <c r="AF239" s="34" t="n">
        <f aca="false">IF(L239=0,0,AE239/L239)</f>
        <v>-0.208429772201243</v>
      </c>
      <c r="AG239" s="22" t="str">
        <f aca="false">IF(AD239&lt;L239,"PASSARO","ATUAL")</f>
        <v>PASSARO</v>
      </c>
      <c r="AH239" s="22" t="str">
        <f aca="false">IF(P239&lt;&gt;A239,"Faixa cadastrada como "&amp;P239&amp;" na tabela; preço aplicado pela UF do CEP","")</f>
        <v/>
      </c>
      <c r="AI239" s="26" t="n">
        <v>170.91</v>
      </c>
      <c r="AJ239" s="22" t="str">
        <f aca="false">INDEX('Tabela Passaro'!$X$2:$X$1795,$N239)</f>
        <v>CAPITAL</v>
      </c>
    </row>
    <row r="240" customFormat="false" ht="15" hidden="false" customHeight="false" outlineLevel="0" collapsed="false">
      <c r="A240" s="22" t="s">
        <v>16</v>
      </c>
      <c r="B240" s="22" t="n">
        <v>1</v>
      </c>
      <c r="C240" s="22" t="s">
        <v>75</v>
      </c>
      <c r="D240" s="22" t="s">
        <v>30</v>
      </c>
      <c r="E240" s="22" t="s">
        <v>20</v>
      </c>
      <c r="F240" s="22" t="n">
        <v>838723</v>
      </c>
      <c r="G240" s="30" t="n">
        <v>46246</v>
      </c>
      <c r="H240" s="22" t="n">
        <v>32490</v>
      </c>
      <c r="I240" s="22" t="s">
        <v>7537</v>
      </c>
      <c r="J240" s="31" t="n">
        <v>45.4</v>
      </c>
      <c r="K240" s="26" t="n">
        <v>572.54</v>
      </c>
      <c r="L240" s="26" t="n">
        <v>140.61</v>
      </c>
      <c r="M240" s="22" t="s">
        <v>694</v>
      </c>
      <c r="N240" s="22" t="n">
        <f aca="false">MATCH(M240,'Tabela Passaro'!$A$2:$A$1795,0)</f>
        <v>106</v>
      </c>
      <c r="O240" s="22" t="str">
        <f aca="false">INDEX('Tabela Passaro'!$C$2:$C$1795,$N240)</f>
        <v>SALVADOR</v>
      </c>
      <c r="P240" s="22" t="str">
        <f aca="false">INDEX('Tabela Passaro'!$B$2:$B$1795,$N240)</f>
        <v>BA</v>
      </c>
      <c r="Q240" s="22" t="n">
        <f aca="false">INDEX('Tabela Passaro'!$F$2:$F$1795,$N240)</f>
        <v>6</v>
      </c>
      <c r="R240" s="32" t="n">
        <f aca="false">IF(J240&lt;=10,INDEX('Tabela Passaro'!$G$2:$G$1795,$N240),IF(J240&lt;=30,INDEX('Tabela Passaro'!$H$2:$H$1795,$N240),IF(J240&lt;=50,INDEX('Tabela Passaro'!$I$2:$I$1795,$N240),IF(J240&lt;=70,INDEX('Tabela Passaro'!$J$2:$J$1795,$N240),IF(J240&lt;=100,INDEX('Tabela Passaro'!$K$2:$K$1795,$N240),INDEX('Tabela Passaro'!$K$2:$K$1795,$N240)+(J240-100)*INDEX('Tabela Passaro'!$L$2:$L$1795,$N240))))))</f>
        <v>61.92</v>
      </c>
      <c r="S240" s="32" t="n">
        <f aca="false">K240*INDEX('Tabela Passaro'!$M$2:$M$1795,$N240)</f>
        <v>2.8627</v>
      </c>
      <c r="T240" s="32" t="n">
        <f aca="false">K240*INDEX('Tabela Passaro'!$N$2:$N$1795,$N240)</f>
        <v>1.14508</v>
      </c>
      <c r="U240" s="32" t="n">
        <f aca="false">INDEX('Tabela Passaro'!$O$2:$O$1795,$N240)</f>
        <v>5</v>
      </c>
      <c r="V240" s="32" t="n">
        <f aca="false">ROUNDUP(J240/INDEX('Tabela Passaro'!$Q$2:$Q$1795,$N240),0)*INDEX('Tabela Passaro'!$P$2:$P$1795,$N240)</f>
        <v>5</v>
      </c>
      <c r="W240" s="32" t="n">
        <f aca="false">INDEX('Tabela Passaro'!$R$2:$R$1795,$N240)</f>
        <v>30</v>
      </c>
      <c r="X240" s="32" t="n">
        <f aca="false">ROUNDUP(J240/INDEX('Tabela Passaro'!$T$2:$T$1795,$N240),0)*INDEX('Tabela Passaro'!$S$2:$S$1795,$N240)</f>
        <v>0</v>
      </c>
      <c r="Y240" s="32" t="n">
        <f aca="false">INDEX('Tabela Passaro'!$U$2:$U$1795,$N240)</f>
        <v>0</v>
      </c>
      <c r="Z240" s="32" t="n">
        <f aca="false">INDEX('Tabela Passaro'!$V$2:$V$1795,$N240)</f>
        <v>0</v>
      </c>
      <c r="AA240" s="32" t="n">
        <f aca="false">SUM(R240:Z240)</f>
        <v>105.92778</v>
      </c>
      <c r="AB240" s="33" t="n">
        <f aca="false">INDEX(Premissas!$B$5:$B$13,MATCH(A240,Premissas!$A$5:$A$13,0))</f>
        <v>0.07</v>
      </c>
      <c r="AC240" s="32" t="n">
        <f aca="false">AA240/(1-AB240)-AA240</f>
        <v>7.97305870967743</v>
      </c>
      <c r="AD240" s="32" t="n">
        <f aca="false">ROUND(AA240+AC240,2)</f>
        <v>113.9</v>
      </c>
      <c r="AE240" s="32" t="n">
        <f aca="false">AD240-L240</f>
        <v>-26.71</v>
      </c>
      <c r="AF240" s="34" t="n">
        <f aca="false">IF(L240=0,0,AE240/L240)</f>
        <v>-0.189958039968708</v>
      </c>
      <c r="AG240" s="22" t="str">
        <f aca="false">IF(AD240&lt;L240,"PASSARO","ATUAL")</f>
        <v>PASSARO</v>
      </c>
      <c r="AH240" s="22" t="str">
        <f aca="false">IF(P240&lt;&gt;A240,"Faixa cadastrada como "&amp;P240&amp;" na tabela; preço aplicado pela UF do CEP","")</f>
        <v/>
      </c>
      <c r="AI240" s="26" t="n">
        <v>143.51</v>
      </c>
      <c r="AJ240" s="22" t="str">
        <f aca="false">INDEX('Tabela Passaro'!$X$2:$X$1795,$N240)</f>
        <v>CAPITAL</v>
      </c>
    </row>
    <row r="241" customFormat="false" ht="15" hidden="false" customHeight="false" outlineLevel="0" collapsed="false">
      <c r="A241" s="22" t="s">
        <v>16</v>
      </c>
      <c r="B241" s="22" t="n">
        <v>1</v>
      </c>
      <c r="C241" s="22" t="s">
        <v>75</v>
      </c>
      <c r="D241" s="22" t="s">
        <v>30</v>
      </c>
      <c r="E241" s="22" t="s">
        <v>20</v>
      </c>
      <c r="F241" s="22" t="n">
        <v>838724</v>
      </c>
      <c r="G241" s="30" t="n">
        <v>46246</v>
      </c>
      <c r="H241" s="22" t="n">
        <v>32491</v>
      </c>
      <c r="I241" s="22" t="s">
        <v>7538</v>
      </c>
      <c r="J241" s="31" t="n">
        <v>66.8</v>
      </c>
      <c r="K241" s="26" t="n">
        <v>841.99</v>
      </c>
      <c r="L241" s="26" t="n">
        <v>162.22</v>
      </c>
      <c r="M241" s="22" t="s">
        <v>694</v>
      </c>
      <c r="N241" s="22" t="n">
        <f aca="false">MATCH(M241,'Tabela Passaro'!$A$2:$A$1795,0)</f>
        <v>106</v>
      </c>
      <c r="O241" s="22" t="str">
        <f aca="false">INDEX('Tabela Passaro'!$C$2:$C$1795,$N241)</f>
        <v>SALVADOR</v>
      </c>
      <c r="P241" s="22" t="str">
        <f aca="false">INDEX('Tabela Passaro'!$B$2:$B$1795,$N241)</f>
        <v>BA</v>
      </c>
      <c r="Q241" s="22" t="n">
        <f aca="false">INDEX('Tabela Passaro'!$F$2:$F$1795,$N241)</f>
        <v>6</v>
      </c>
      <c r="R241" s="32" t="n">
        <f aca="false">IF(J241&lt;=10,INDEX('Tabela Passaro'!$G$2:$G$1795,$N241),IF(J241&lt;=30,INDEX('Tabela Passaro'!$H$2:$H$1795,$N241),IF(J241&lt;=50,INDEX('Tabela Passaro'!$I$2:$I$1795,$N241),IF(J241&lt;=70,INDEX('Tabela Passaro'!$J$2:$J$1795,$N241),IF(J241&lt;=100,INDEX('Tabela Passaro'!$K$2:$K$1795,$N241),INDEX('Tabela Passaro'!$K$2:$K$1795,$N241)+(J241-100)*INDEX('Tabela Passaro'!$L$2:$L$1795,$N241))))))</f>
        <v>73.44</v>
      </c>
      <c r="S241" s="32" t="n">
        <f aca="false">K241*INDEX('Tabela Passaro'!$M$2:$M$1795,$N241)</f>
        <v>4.20995</v>
      </c>
      <c r="T241" s="32" t="n">
        <f aca="false">K241*INDEX('Tabela Passaro'!$N$2:$N$1795,$N241)</f>
        <v>1.68398</v>
      </c>
      <c r="U241" s="32" t="n">
        <f aca="false">INDEX('Tabela Passaro'!$O$2:$O$1795,$N241)</f>
        <v>5</v>
      </c>
      <c r="V241" s="32" t="n">
        <f aca="false">ROUNDUP(J241/INDEX('Tabela Passaro'!$Q$2:$Q$1795,$N241),0)*INDEX('Tabela Passaro'!$P$2:$P$1795,$N241)</f>
        <v>5</v>
      </c>
      <c r="W241" s="32" t="n">
        <f aca="false">INDEX('Tabela Passaro'!$R$2:$R$1795,$N241)</f>
        <v>30</v>
      </c>
      <c r="X241" s="32" t="n">
        <f aca="false">ROUNDUP(J241/INDEX('Tabela Passaro'!$T$2:$T$1795,$N241),0)*INDEX('Tabela Passaro'!$S$2:$S$1795,$N241)</f>
        <v>0</v>
      </c>
      <c r="Y241" s="32" t="n">
        <f aca="false">INDEX('Tabela Passaro'!$U$2:$U$1795,$N241)</f>
        <v>0</v>
      </c>
      <c r="Z241" s="32" t="n">
        <f aca="false">INDEX('Tabela Passaro'!$V$2:$V$1795,$N241)</f>
        <v>0</v>
      </c>
      <c r="AA241" s="32" t="n">
        <f aca="false">SUM(R241:Z241)</f>
        <v>119.33393</v>
      </c>
      <c r="AB241" s="33" t="n">
        <f aca="false">INDEX(Premissas!$B$5:$B$13,MATCH(A241,Premissas!$A$5:$A$13,0))</f>
        <v>0.07</v>
      </c>
      <c r="AC241" s="32" t="n">
        <f aca="false">AA241/(1-AB241)-AA241</f>
        <v>8.98212376344087</v>
      </c>
      <c r="AD241" s="32" t="n">
        <f aca="false">ROUND(AA241+AC241,2)</f>
        <v>128.32</v>
      </c>
      <c r="AE241" s="32" t="n">
        <f aca="false">AD241-L241</f>
        <v>-33.9</v>
      </c>
      <c r="AF241" s="34" t="n">
        <f aca="false">IF(L241=0,0,AE241/L241)</f>
        <v>-0.208975465417335</v>
      </c>
      <c r="AG241" s="22" t="str">
        <f aca="false">IF(AD241&lt;L241,"PASSARO","ATUAL")</f>
        <v>PASSARO</v>
      </c>
      <c r="AH241" s="22" t="str">
        <f aca="false">IF(P241&lt;&gt;A241,"Faixa cadastrada como "&amp;P241&amp;" na tabela; preço aplicado pela UF do CEP","")</f>
        <v/>
      </c>
      <c r="AI241" s="26" t="n">
        <v>168.8</v>
      </c>
      <c r="AJ241" s="22" t="str">
        <f aca="false">INDEX('Tabela Passaro'!$X$2:$X$1795,$N241)</f>
        <v>CAPITAL</v>
      </c>
    </row>
    <row r="242" customFormat="false" ht="15" hidden="false" customHeight="false" outlineLevel="0" collapsed="false">
      <c r="A242" s="22" t="s">
        <v>16</v>
      </c>
      <c r="B242" s="22" t="n">
        <v>1</v>
      </c>
      <c r="C242" s="22" t="s">
        <v>75</v>
      </c>
      <c r="D242" s="22" t="s">
        <v>30</v>
      </c>
      <c r="E242" s="22" t="s">
        <v>7328</v>
      </c>
      <c r="F242" s="22" t="n">
        <v>2311216</v>
      </c>
      <c r="G242" s="30" t="n">
        <v>46246</v>
      </c>
      <c r="H242" s="22" t="n">
        <v>132502</v>
      </c>
      <c r="I242" s="22" t="s">
        <v>7539</v>
      </c>
      <c r="J242" s="31" t="n">
        <v>46.8</v>
      </c>
      <c r="K242" s="26" t="n">
        <v>764.95</v>
      </c>
      <c r="L242" s="26" t="n">
        <v>144.25</v>
      </c>
      <c r="M242" s="22" t="s">
        <v>694</v>
      </c>
      <c r="N242" s="22" t="n">
        <f aca="false">MATCH(M242,'Tabela Passaro'!$A$2:$A$1795,0)</f>
        <v>106</v>
      </c>
      <c r="O242" s="22" t="str">
        <f aca="false">INDEX('Tabela Passaro'!$C$2:$C$1795,$N242)</f>
        <v>SALVADOR</v>
      </c>
      <c r="P242" s="22" t="str">
        <f aca="false">INDEX('Tabela Passaro'!$B$2:$B$1795,$N242)</f>
        <v>BA</v>
      </c>
      <c r="Q242" s="22" t="n">
        <f aca="false">INDEX('Tabela Passaro'!$F$2:$F$1795,$N242)</f>
        <v>6</v>
      </c>
      <c r="R242" s="32" t="n">
        <f aca="false">IF(J242&lt;=10,INDEX('Tabela Passaro'!$G$2:$G$1795,$N242),IF(J242&lt;=30,INDEX('Tabela Passaro'!$H$2:$H$1795,$N242),IF(J242&lt;=50,INDEX('Tabela Passaro'!$I$2:$I$1795,$N242),IF(J242&lt;=70,INDEX('Tabela Passaro'!$J$2:$J$1795,$N242),IF(J242&lt;=100,INDEX('Tabela Passaro'!$K$2:$K$1795,$N242),INDEX('Tabela Passaro'!$K$2:$K$1795,$N242)+(J242-100)*INDEX('Tabela Passaro'!$L$2:$L$1795,$N242))))))</f>
        <v>61.92</v>
      </c>
      <c r="S242" s="32" t="n">
        <f aca="false">K242*INDEX('Tabela Passaro'!$M$2:$M$1795,$N242)</f>
        <v>3.82475</v>
      </c>
      <c r="T242" s="32" t="n">
        <f aca="false">K242*INDEX('Tabela Passaro'!$N$2:$N$1795,$N242)</f>
        <v>1.5299</v>
      </c>
      <c r="U242" s="32" t="n">
        <f aca="false">INDEX('Tabela Passaro'!$O$2:$O$1795,$N242)</f>
        <v>5</v>
      </c>
      <c r="V242" s="32" t="n">
        <f aca="false">ROUNDUP(J242/INDEX('Tabela Passaro'!$Q$2:$Q$1795,$N242),0)*INDEX('Tabela Passaro'!$P$2:$P$1795,$N242)</f>
        <v>5</v>
      </c>
      <c r="W242" s="32" t="n">
        <f aca="false">INDEX('Tabela Passaro'!$R$2:$R$1795,$N242)</f>
        <v>30</v>
      </c>
      <c r="X242" s="32" t="n">
        <f aca="false">ROUNDUP(J242/INDEX('Tabela Passaro'!$T$2:$T$1795,$N242),0)*INDEX('Tabela Passaro'!$S$2:$S$1795,$N242)</f>
        <v>0</v>
      </c>
      <c r="Y242" s="32" t="n">
        <f aca="false">INDEX('Tabela Passaro'!$U$2:$U$1795,$N242)</f>
        <v>0</v>
      </c>
      <c r="Z242" s="32" t="n">
        <f aca="false">INDEX('Tabela Passaro'!$V$2:$V$1795,$N242)</f>
        <v>0</v>
      </c>
      <c r="AA242" s="32" t="n">
        <f aca="false">SUM(R242:Z242)</f>
        <v>107.27465</v>
      </c>
      <c r="AB242" s="33" t="n">
        <f aca="false">INDEX(Premissas!$B$5:$B$13,MATCH(A242,Premissas!$A$5:$A$13,0))</f>
        <v>0.07</v>
      </c>
      <c r="AC242" s="32" t="n">
        <f aca="false">AA242/(1-AB242)-AA242</f>
        <v>8.07443602150539</v>
      </c>
      <c r="AD242" s="32" t="n">
        <f aca="false">ROUND(AA242+AC242,2)</f>
        <v>115.35</v>
      </c>
      <c r="AE242" s="32" t="n">
        <f aca="false">AD242-L242</f>
        <v>-28.9</v>
      </c>
      <c r="AF242" s="34" t="n">
        <f aca="false">IF(L242=0,0,AE242/L242)</f>
        <v>-0.200346620450607</v>
      </c>
      <c r="AG242" s="22" t="str">
        <f aca="false">IF(AD242&lt;L242,"PASSARO","ATUAL")</f>
        <v>PASSARO</v>
      </c>
      <c r="AH242" s="22" t="str">
        <f aca="false">IF(P242&lt;&gt;A242,"Faixa cadastrada como "&amp;P242&amp;" na tabela; preço aplicado pela UF do CEP","")</f>
        <v/>
      </c>
      <c r="AI242" s="26" t="n">
        <v>145.85</v>
      </c>
      <c r="AJ242" s="22" t="str">
        <f aca="false">INDEX('Tabela Passaro'!$X$2:$X$1795,$N242)</f>
        <v>CAPITAL</v>
      </c>
    </row>
    <row r="243" customFormat="false" ht="15" hidden="false" customHeight="false" outlineLevel="0" collapsed="false">
      <c r="A243" s="22" t="s">
        <v>16</v>
      </c>
      <c r="B243" s="22" t="n">
        <v>1</v>
      </c>
      <c r="C243" s="22" t="s">
        <v>75</v>
      </c>
      <c r="D243" s="22" t="s">
        <v>30</v>
      </c>
      <c r="E243" s="22" t="s">
        <v>7328</v>
      </c>
      <c r="F243" s="22" t="n">
        <v>2311226</v>
      </c>
      <c r="G243" s="30" t="n">
        <v>46246</v>
      </c>
      <c r="H243" s="22" t="n">
        <v>132506</v>
      </c>
      <c r="I243" s="22" t="s">
        <v>7540</v>
      </c>
      <c r="J243" s="31" t="n">
        <v>79.26</v>
      </c>
      <c r="K243" s="26" t="n">
        <v>889.99</v>
      </c>
      <c r="L243" s="26" t="n">
        <v>205.38</v>
      </c>
      <c r="M243" s="22" t="s">
        <v>694</v>
      </c>
      <c r="N243" s="22" t="n">
        <f aca="false">MATCH(M243,'Tabela Passaro'!$A$2:$A$1795,0)</f>
        <v>106</v>
      </c>
      <c r="O243" s="22" t="str">
        <f aca="false">INDEX('Tabela Passaro'!$C$2:$C$1795,$N243)</f>
        <v>SALVADOR</v>
      </c>
      <c r="P243" s="22" t="str">
        <f aca="false">INDEX('Tabela Passaro'!$B$2:$B$1795,$N243)</f>
        <v>BA</v>
      </c>
      <c r="Q243" s="22" t="n">
        <f aca="false">INDEX('Tabela Passaro'!$F$2:$F$1795,$N243)</f>
        <v>6</v>
      </c>
      <c r="R243" s="32" t="n">
        <f aca="false">IF(J243&lt;=10,INDEX('Tabela Passaro'!$G$2:$G$1795,$N243),IF(J243&lt;=30,INDEX('Tabela Passaro'!$H$2:$H$1795,$N243),IF(J243&lt;=50,INDEX('Tabela Passaro'!$I$2:$I$1795,$N243),IF(J243&lt;=70,INDEX('Tabela Passaro'!$J$2:$J$1795,$N243),IF(J243&lt;=100,INDEX('Tabela Passaro'!$K$2:$K$1795,$N243),INDEX('Tabela Passaro'!$K$2:$K$1795,$N243)+(J243-100)*INDEX('Tabela Passaro'!$L$2:$L$1795,$N243))))))</f>
        <v>84.96</v>
      </c>
      <c r="S243" s="32" t="n">
        <f aca="false">K243*INDEX('Tabela Passaro'!$M$2:$M$1795,$N243)</f>
        <v>4.44995</v>
      </c>
      <c r="T243" s="32" t="n">
        <f aca="false">K243*INDEX('Tabela Passaro'!$N$2:$N$1795,$N243)</f>
        <v>1.77998</v>
      </c>
      <c r="U243" s="32" t="n">
        <f aca="false">INDEX('Tabela Passaro'!$O$2:$O$1795,$N243)</f>
        <v>5</v>
      </c>
      <c r="V243" s="32" t="n">
        <f aca="false">ROUNDUP(J243/INDEX('Tabela Passaro'!$Q$2:$Q$1795,$N243),0)*INDEX('Tabela Passaro'!$P$2:$P$1795,$N243)</f>
        <v>5</v>
      </c>
      <c r="W243" s="32" t="n">
        <f aca="false">INDEX('Tabela Passaro'!$R$2:$R$1795,$N243)</f>
        <v>30</v>
      </c>
      <c r="X243" s="32" t="n">
        <f aca="false">ROUNDUP(J243/INDEX('Tabela Passaro'!$T$2:$T$1795,$N243),0)*INDEX('Tabela Passaro'!$S$2:$S$1795,$N243)</f>
        <v>0</v>
      </c>
      <c r="Y243" s="32" t="n">
        <f aca="false">INDEX('Tabela Passaro'!$U$2:$U$1795,$N243)</f>
        <v>0</v>
      </c>
      <c r="Z243" s="32" t="n">
        <f aca="false">INDEX('Tabela Passaro'!$V$2:$V$1795,$N243)</f>
        <v>0</v>
      </c>
      <c r="AA243" s="32" t="n">
        <f aca="false">SUM(R243:Z243)</f>
        <v>131.18993</v>
      </c>
      <c r="AB243" s="33" t="n">
        <f aca="false">INDEX(Premissas!$B$5:$B$13,MATCH(A243,Premissas!$A$5:$A$13,0))</f>
        <v>0.07</v>
      </c>
      <c r="AC243" s="32" t="n">
        <f aca="false">AA243/(1-AB243)-AA243</f>
        <v>9.87451086021505</v>
      </c>
      <c r="AD243" s="32" t="n">
        <f aca="false">ROUND(AA243+AC243,2)</f>
        <v>141.06</v>
      </c>
      <c r="AE243" s="32" t="n">
        <f aca="false">AD243-L243</f>
        <v>-64.32</v>
      </c>
      <c r="AF243" s="34" t="n">
        <f aca="false">IF(L243=0,0,AE243/L243)</f>
        <v>-0.313175576979258</v>
      </c>
      <c r="AG243" s="22" t="str">
        <f aca="false">IF(AD243&lt;L243,"PASSARO","ATUAL")</f>
        <v>PASSARO</v>
      </c>
      <c r="AH243" s="22" t="str">
        <f aca="false">IF(P243&lt;&gt;A243,"Faixa cadastrada como "&amp;P243&amp;" na tabela; preço aplicado pela UF do CEP","")</f>
        <v/>
      </c>
      <c r="AI243" s="26" t="n">
        <v>188.08</v>
      </c>
      <c r="AJ243" s="22" t="str">
        <f aca="false">INDEX('Tabela Passaro'!$X$2:$X$1795,$N243)</f>
        <v>CAPITAL</v>
      </c>
    </row>
    <row r="244" customFormat="false" ht="15" hidden="false" customHeight="false" outlineLevel="0" collapsed="false">
      <c r="A244" s="22" t="s">
        <v>16</v>
      </c>
      <c r="B244" s="22" t="n">
        <v>1</v>
      </c>
      <c r="C244" s="22" t="s">
        <v>75</v>
      </c>
      <c r="D244" s="22" t="s">
        <v>30</v>
      </c>
      <c r="E244" s="22" t="s">
        <v>7328</v>
      </c>
      <c r="F244" s="22" t="n">
        <v>2311236</v>
      </c>
      <c r="G244" s="30" t="n">
        <v>46246</v>
      </c>
      <c r="H244" s="22" t="n">
        <v>132524</v>
      </c>
      <c r="I244" s="22" t="s">
        <v>7541</v>
      </c>
      <c r="J244" s="31" t="n">
        <v>67.3</v>
      </c>
      <c r="K244" s="26" t="n">
        <v>990.6</v>
      </c>
      <c r="L244" s="26" t="n">
        <v>167.14</v>
      </c>
      <c r="M244" s="22" t="s">
        <v>694</v>
      </c>
      <c r="N244" s="22" t="n">
        <f aca="false">MATCH(M244,'Tabela Passaro'!$A$2:$A$1795,0)</f>
        <v>106</v>
      </c>
      <c r="O244" s="22" t="str">
        <f aca="false">INDEX('Tabela Passaro'!$C$2:$C$1795,$N244)</f>
        <v>SALVADOR</v>
      </c>
      <c r="P244" s="22" t="str">
        <f aca="false">INDEX('Tabela Passaro'!$B$2:$B$1795,$N244)</f>
        <v>BA</v>
      </c>
      <c r="Q244" s="22" t="n">
        <f aca="false">INDEX('Tabela Passaro'!$F$2:$F$1795,$N244)</f>
        <v>6</v>
      </c>
      <c r="R244" s="32" t="n">
        <f aca="false">IF(J244&lt;=10,INDEX('Tabela Passaro'!$G$2:$G$1795,$N244),IF(J244&lt;=30,INDEX('Tabela Passaro'!$H$2:$H$1795,$N244),IF(J244&lt;=50,INDEX('Tabela Passaro'!$I$2:$I$1795,$N244),IF(J244&lt;=70,INDEX('Tabela Passaro'!$J$2:$J$1795,$N244),IF(J244&lt;=100,INDEX('Tabela Passaro'!$K$2:$K$1795,$N244),INDEX('Tabela Passaro'!$K$2:$K$1795,$N244)+(J244-100)*INDEX('Tabela Passaro'!$L$2:$L$1795,$N244))))))</f>
        <v>73.44</v>
      </c>
      <c r="S244" s="32" t="n">
        <f aca="false">K244*INDEX('Tabela Passaro'!$M$2:$M$1795,$N244)</f>
        <v>4.953</v>
      </c>
      <c r="T244" s="32" t="n">
        <f aca="false">K244*INDEX('Tabela Passaro'!$N$2:$N$1795,$N244)</f>
        <v>1.9812</v>
      </c>
      <c r="U244" s="32" t="n">
        <f aca="false">INDEX('Tabela Passaro'!$O$2:$O$1795,$N244)</f>
        <v>5</v>
      </c>
      <c r="V244" s="32" t="n">
        <f aca="false">ROUNDUP(J244/INDEX('Tabela Passaro'!$Q$2:$Q$1795,$N244),0)*INDEX('Tabela Passaro'!$P$2:$P$1795,$N244)</f>
        <v>5</v>
      </c>
      <c r="W244" s="32" t="n">
        <f aca="false">INDEX('Tabela Passaro'!$R$2:$R$1795,$N244)</f>
        <v>30</v>
      </c>
      <c r="X244" s="32" t="n">
        <f aca="false">ROUNDUP(J244/INDEX('Tabela Passaro'!$T$2:$T$1795,$N244),0)*INDEX('Tabela Passaro'!$S$2:$S$1795,$N244)</f>
        <v>0</v>
      </c>
      <c r="Y244" s="32" t="n">
        <f aca="false">INDEX('Tabela Passaro'!$U$2:$U$1795,$N244)</f>
        <v>0</v>
      </c>
      <c r="Z244" s="32" t="n">
        <f aca="false">INDEX('Tabela Passaro'!$V$2:$V$1795,$N244)</f>
        <v>0</v>
      </c>
      <c r="AA244" s="32" t="n">
        <f aca="false">SUM(R244:Z244)</f>
        <v>120.3742</v>
      </c>
      <c r="AB244" s="33" t="n">
        <f aca="false">INDEX(Premissas!$B$5:$B$13,MATCH(A244,Premissas!$A$5:$A$13,0))</f>
        <v>0.07</v>
      </c>
      <c r="AC244" s="32" t="n">
        <f aca="false">AA244/(1-AB244)-AA244</f>
        <v>9.06042365591398</v>
      </c>
      <c r="AD244" s="32" t="n">
        <f aca="false">ROUND(AA244+AC244,2)</f>
        <v>129.43</v>
      </c>
      <c r="AE244" s="32" t="n">
        <f aca="false">AD244-L244</f>
        <v>-37.71</v>
      </c>
      <c r="AF244" s="34" t="n">
        <f aca="false">IF(L244=0,0,AE244/L244)</f>
        <v>-0.225619241354553</v>
      </c>
      <c r="AG244" s="22" t="str">
        <f aca="false">IF(AD244&lt;L244,"PASSARO","ATUAL")</f>
        <v>PASSARO</v>
      </c>
      <c r="AH244" s="22" t="str">
        <f aca="false">IF(P244&lt;&gt;A244,"Faixa cadastrada como "&amp;P244&amp;" na tabela; preço aplicado pela UF do CEP","")</f>
        <v/>
      </c>
      <c r="AI244" s="26" t="n">
        <v>170.73</v>
      </c>
      <c r="AJ244" s="22" t="str">
        <f aca="false">INDEX('Tabela Passaro'!$X$2:$X$1795,$N244)</f>
        <v>CAPITAL</v>
      </c>
    </row>
    <row r="245" customFormat="false" ht="15" hidden="false" customHeight="false" outlineLevel="0" collapsed="false">
      <c r="A245" s="22" t="s">
        <v>16</v>
      </c>
      <c r="B245" s="22" t="n">
        <v>1</v>
      </c>
      <c r="C245" s="22" t="s">
        <v>75</v>
      </c>
      <c r="D245" s="22" t="s">
        <v>30</v>
      </c>
      <c r="E245" s="22" t="s">
        <v>7328</v>
      </c>
      <c r="F245" s="22" t="n">
        <v>2311241</v>
      </c>
      <c r="G245" s="30" t="n">
        <v>46246</v>
      </c>
      <c r="H245" s="22" t="n">
        <v>132529</v>
      </c>
      <c r="I245" s="22" t="s">
        <v>7542</v>
      </c>
      <c r="J245" s="31" t="n">
        <v>51.06</v>
      </c>
      <c r="K245" s="26" t="n">
        <v>842.56</v>
      </c>
      <c r="L245" s="26" t="n">
        <v>165.97</v>
      </c>
      <c r="M245" s="22" t="s">
        <v>694</v>
      </c>
      <c r="N245" s="22" t="n">
        <f aca="false">MATCH(M245,'Tabela Passaro'!$A$2:$A$1795,0)</f>
        <v>106</v>
      </c>
      <c r="O245" s="22" t="str">
        <f aca="false">INDEX('Tabela Passaro'!$C$2:$C$1795,$N245)</f>
        <v>SALVADOR</v>
      </c>
      <c r="P245" s="22" t="str">
        <f aca="false">INDEX('Tabela Passaro'!$B$2:$B$1795,$N245)</f>
        <v>BA</v>
      </c>
      <c r="Q245" s="22" t="n">
        <f aca="false">INDEX('Tabela Passaro'!$F$2:$F$1795,$N245)</f>
        <v>6</v>
      </c>
      <c r="R245" s="32" t="n">
        <f aca="false">IF(J245&lt;=10,INDEX('Tabela Passaro'!$G$2:$G$1795,$N245),IF(J245&lt;=30,INDEX('Tabela Passaro'!$H$2:$H$1795,$N245),IF(J245&lt;=50,INDEX('Tabela Passaro'!$I$2:$I$1795,$N245),IF(J245&lt;=70,INDEX('Tabela Passaro'!$J$2:$J$1795,$N245),IF(J245&lt;=100,INDEX('Tabela Passaro'!$K$2:$K$1795,$N245),INDEX('Tabela Passaro'!$K$2:$K$1795,$N245)+(J245-100)*INDEX('Tabela Passaro'!$L$2:$L$1795,$N245))))))</f>
        <v>73.44</v>
      </c>
      <c r="S245" s="32" t="n">
        <f aca="false">K245*INDEX('Tabela Passaro'!$M$2:$M$1795,$N245)</f>
        <v>4.2128</v>
      </c>
      <c r="T245" s="32" t="n">
        <f aca="false">K245*INDEX('Tabela Passaro'!$N$2:$N$1795,$N245)</f>
        <v>1.68512</v>
      </c>
      <c r="U245" s="32" t="n">
        <f aca="false">INDEX('Tabela Passaro'!$O$2:$O$1795,$N245)</f>
        <v>5</v>
      </c>
      <c r="V245" s="32" t="n">
        <f aca="false">ROUNDUP(J245/INDEX('Tabela Passaro'!$Q$2:$Q$1795,$N245),0)*INDEX('Tabela Passaro'!$P$2:$P$1795,$N245)</f>
        <v>5</v>
      </c>
      <c r="W245" s="32" t="n">
        <f aca="false">INDEX('Tabela Passaro'!$R$2:$R$1795,$N245)</f>
        <v>30</v>
      </c>
      <c r="X245" s="32" t="n">
        <f aca="false">ROUNDUP(J245/INDEX('Tabela Passaro'!$T$2:$T$1795,$N245),0)*INDEX('Tabela Passaro'!$S$2:$S$1795,$N245)</f>
        <v>0</v>
      </c>
      <c r="Y245" s="32" t="n">
        <f aca="false">INDEX('Tabela Passaro'!$U$2:$U$1795,$N245)</f>
        <v>0</v>
      </c>
      <c r="Z245" s="32" t="n">
        <f aca="false">INDEX('Tabela Passaro'!$V$2:$V$1795,$N245)</f>
        <v>0</v>
      </c>
      <c r="AA245" s="32" t="n">
        <f aca="false">SUM(R245:Z245)</f>
        <v>119.33792</v>
      </c>
      <c r="AB245" s="33" t="n">
        <f aca="false">INDEX(Premissas!$B$5:$B$13,MATCH(A245,Premissas!$A$5:$A$13,0))</f>
        <v>0.07</v>
      </c>
      <c r="AC245" s="32" t="n">
        <f aca="false">AA245/(1-AB245)-AA245</f>
        <v>8.98242408602152</v>
      </c>
      <c r="AD245" s="32" t="n">
        <f aca="false">ROUND(AA245+AC245,2)</f>
        <v>128.32</v>
      </c>
      <c r="AE245" s="32" t="n">
        <f aca="false">AD245-L245</f>
        <v>-37.65</v>
      </c>
      <c r="AF245" s="34" t="n">
        <f aca="false">IF(L245=0,0,AE245/L245)</f>
        <v>-0.226848225582937</v>
      </c>
      <c r="AG245" s="22" t="str">
        <f aca="false">IF(AD245&lt;L245,"PASSARO","ATUAL")</f>
        <v>PASSARO</v>
      </c>
      <c r="AH245" s="22" t="str">
        <f aca="false">IF(P245&lt;&gt;A245,"Faixa cadastrada como "&amp;P245&amp;" na tabela; preço aplicado pela UF do CEP","")</f>
        <v/>
      </c>
      <c r="AI245" s="26" t="n">
        <v>161.55</v>
      </c>
      <c r="AJ245" s="22" t="str">
        <f aca="false">INDEX('Tabela Passaro'!$X$2:$X$1795,$N245)</f>
        <v>CAPITAL</v>
      </c>
    </row>
    <row r="246" customFormat="false" ht="15" hidden="false" customHeight="false" outlineLevel="0" collapsed="false">
      <c r="A246" s="22" t="s">
        <v>16</v>
      </c>
      <c r="B246" s="22" t="n">
        <v>1</v>
      </c>
      <c r="C246" s="22" t="s">
        <v>75</v>
      </c>
      <c r="D246" s="22" t="s">
        <v>30</v>
      </c>
      <c r="E246" s="22" t="s">
        <v>7328</v>
      </c>
      <c r="F246" s="22" t="n">
        <v>2311264</v>
      </c>
      <c r="G246" s="30" t="n">
        <v>46246</v>
      </c>
      <c r="H246" s="22" t="n">
        <v>132717</v>
      </c>
      <c r="I246" s="22" t="s">
        <v>7543</v>
      </c>
      <c r="J246" s="31" t="n">
        <v>39</v>
      </c>
      <c r="K246" s="26" t="n">
        <v>674.48</v>
      </c>
      <c r="L246" s="26" t="n">
        <v>143.54</v>
      </c>
      <c r="M246" s="22" t="s">
        <v>694</v>
      </c>
      <c r="N246" s="22" t="n">
        <f aca="false">MATCH(M246,'Tabela Passaro'!$A$2:$A$1795,0)</f>
        <v>106</v>
      </c>
      <c r="O246" s="22" t="str">
        <f aca="false">INDEX('Tabela Passaro'!$C$2:$C$1795,$N246)</f>
        <v>SALVADOR</v>
      </c>
      <c r="P246" s="22" t="str">
        <f aca="false">INDEX('Tabela Passaro'!$B$2:$B$1795,$N246)</f>
        <v>BA</v>
      </c>
      <c r="Q246" s="22" t="n">
        <f aca="false">INDEX('Tabela Passaro'!$F$2:$F$1795,$N246)</f>
        <v>6</v>
      </c>
      <c r="R246" s="32" t="n">
        <f aca="false">IF(J246&lt;=10,INDEX('Tabela Passaro'!$G$2:$G$1795,$N246),IF(J246&lt;=30,INDEX('Tabela Passaro'!$H$2:$H$1795,$N246),IF(J246&lt;=50,INDEX('Tabela Passaro'!$I$2:$I$1795,$N246),IF(J246&lt;=70,INDEX('Tabela Passaro'!$J$2:$J$1795,$N246),IF(J246&lt;=100,INDEX('Tabela Passaro'!$K$2:$K$1795,$N246),INDEX('Tabela Passaro'!$K$2:$K$1795,$N246)+(J246-100)*INDEX('Tabela Passaro'!$L$2:$L$1795,$N246))))))</f>
        <v>61.92</v>
      </c>
      <c r="S246" s="32" t="n">
        <f aca="false">K246*INDEX('Tabela Passaro'!$M$2:$M$1795,$N246)</f>
        <v>3.3724</v>
      </c>
      <c r="T246" s="32" t="n">
        <f aca="false">K246*INDEX('Tabela Passaro'!$N$2:$N$1795,$N246)</f>
        <v>1.34896</v>
      </c>
      <c r="U246" s="32" t="n">
        <f aca="false">INDEX('Tabela Passaro'!$O$2:$O$1795,$N246)</f>
        <v>5</v>
      </c>
      <c r="V246" s="32" t="n">
        <f aca="false">ROUNDUP(J246/INDEX('Tabela Passaro'!$Q$2:$Q$1795,$N246),0)*INDEX('Tabela Passaro'!$P$2:$P$1795,$N246)</f>
        <v>5</v>
      </c>
      <c r="W246" s="32" t="n">
        <f aca="false">INDEX('Tabela Passaro'!$R$2:$R$1795,$N246)</f>
        <v>30</v>
      </c>
      <c r="X246" s="32" t="n">
        <f aca="false">ROUNDUP(J246/INDEX('Tabela Passaro'!$T$2:$T$1795,$N246),0)*INDEX('Tabela Passaro'!$S$2:$S$1795,$N246)</f>
        <v>0</v>
      </c>
      <c r="Y246" s="32" t="n">
        <f aca="false">INDEX('Tabela Passaro'!$U$2:$U$1795,$N246)</f>
        <v>0</v>
      </c>
      <c r="Z246" s="32" t="n">
        <f aca="false">INDEX('Tabela Passaro'!$V$2:$V$1795,$N246)</f>
        <v>0</v>
      </c>
      <c r="AA246" s="32" t="n">
        <f aca="false">SUM(R246:Z246)</f>
        <v>106.64136</v>
      </c>
      <c r="AB246" s="33" t="n">
        <f aca="false">INDEX(Premissas!$B$5:$B$13,MATCH(A246,Premissas!$A$5:$A$13,0))</f>
        <v>0.07</v>
      </c>
      <c r="AC246" s="32" t="n">
        <f aca="false">AA246/(1-AB246)-AA246</f>
        <v>8.02676903225807</v>
      </c>
      <c r="AD246" s="32" t="n">
        <f aca="false">ROUND(AA246+AC246,2)</f>
        <v>114.67</v>
      </c>
      <c r="AE246" s="32" t="n">
        <f aca="false">AD246-L246</f>
        <v>-28.87</v>
      </c>
      <c r="AF246" s="34" t="n">
        <f aca="false">IF(L246=0,0,AE246/L246)</f>
        <v>-0.201128605266825</v>
      </c>
      <c r="AG246" s="22" t="str">
        <f aca="false">IF(AD246&lt;L246,"PASSARO","ATUAL")</f>
        <v>PASSARO</v>
      </c>
      <c r="AH246" s="22" t="str">
        <f aca="false">IF(P246&lt;&gt;A246,"Faixa cadastrada como "&amp;P246&amp;" na tabela; preço aplicado pela UF do CEP","")</f>
        <v/>
      </c>
      <c r="AI246" s="26" t="n">
        <v>141.11</v>
      </c>
      <c r="AJ246" s="22" t="str">
        <f aca="false">INDEX('Tabela Passaro'!$X$2:$X$1795,$N246)</f>
        <v>CAPITAL</v>
      </c>
    </row>
    <row r="247" customFormat="false" ht="15" hidden="false" customHeight="false" outlineLevel="0" collapsed="false">
      <c r="A247" s="22" t="s">
        <v>16</v>
      </c>
      <c r="B247" s="22" t="n">
        <v>1</v>
      </c>
      <c r="C247" s="22" t="s">
        <v>75</v>
      </c>
      <c r="D247" s="22" t="s">
        <v>30</v>
      </c>
      <c r="E247" s="22" t="s">
        <v>7328</v>
      </c>
      <c r="F247" s="22" t="n">
        <v>2311291</v>
      </c>
      <c r="G247" s="30" t="n">
        <v>46246</v>
      </c>
      <c r="H247" s="22" t="n">
        <v>132744</v>
      </c>
      <c r="I247" s="22" t="s">
        <v>7544</v>
      </c>
      <c r="J247" s="31" t="n">
        <v>37.59</v>
      </c>
      <c r="K247" s="26" t="n">
        <v>581.99</v>
      </c>
      <c r="L247" s="26" t="n">
        <v>142.8</v>
      </c>
      <c r="M247" s="22" t="s">
        <v>694</v>
      </c>
      <c r="N247" s="22" t="n">
        <f aca="false">MATCH(M247,'Tabela Passaro'!$A$2:$A$1795,0)</f>
        <v>106</v>
      </c>
      <c r="O247" s="22" t="str">
        <f aca="false">INDEX('Tabela Passaro'!$C$2:$C$1795,$N247)</f>
        <v>SALVADOR</v>
      </c>
      <c r="P247" s="22" t="str">
        <f aca="false">INDEX('Tabela Passaro'!$B$2:$B$1795,$N247)</f>
        <v>BA</v>
      </c>
      <c r="Q247" s="22" t="n">
        <f aca="false">INDEX('Tabela Passaro'!$F$2:$F$1795,$N247)</f>
        <v>6</v>
      </c>
      <c r="R247" s="32" t="n">
        <f aca="false">IF(J247&lt;=10,INDEX('Tabela Passaro'!$G$2:$G$1795,$N247),IF(J247&lt;=30,INDEX('Tabela Passaro'!$H$2:$H$1795,$N247),IF(J247&lt;=50,INDEX('Tabela Passaro'!$I$2:$I$1795,$N247),IF(J247&lt;=70,INDEX('Tabela Passaro'!$J$2:$J$1795,$N247),IF(J247&lt;=100,INDEX('Tabela Passaro'!$K$2:$K$1795,$N247),INDEX('Tabela Passaro'!$K$2:$K$1795,$N247)+(J247-100)*INDEX('Tabela Passaro'!$L$2:$L$1795,$N247))))))</f>
        <v>61.92</v>
      </c>
      <c r="S247" s="32" t="n">
        <f aca="false">K247*INDEX('Tabela Passaro'!$M$2:$M$1795,$N247)</f>
        <v>2.90995</v>
      </c>
      <c r="T247" s="32" t="n">
        <f aca="false">K247*INDEX('Tabela Passaro'!$N$2:$N$1795,$N247)</f>
        <v>1.16398</v>
      </c>
      <c r="U247" s="32" t="n">
        <f aca="false">INDEX('Tabela Passaro'!$O$2:$O$1795,$N247)</f>
        <v>5</v>
      </c>
      <c r="V247" s="32" t="n">
        <f aca="false">ROUNDUP(J247/INDEX('Tabela Passaro'!$Q$2:$Q$1795,$N247),0)*INDEX('Tabela Passaro'!$P$2:$P$1795,$N247)</f>
        <v>5</v>
      </c>
      <c r="W247" s="32" t="n">
        <f aca="false">INDEX('Tabela Passaro'!$R$2:$R$1795,$N247)</f>
        <v>30</v>
      </c>
      <c r="X247" s="32" t="n">
        <f aca="false">ROUNDUP(J247/INDEX('Tabela Passaro'!$T$2:$T$1795,$N247),0)*INDEX('Tabela Passaro'!$S$2:$S$1795,$N247)</f>
        <v>0</v>
      </c>
      <c r="Y247" s="32" t="n">
        <f aca="false">INDEX('Tabela Passaro'!$U$2:$U$1795,$N247)</f>
        <v>0</v>
      </c>
      <c r="Z247" s="32" t="n">
        <f aca="false">INDEX('Tabela Passaro'!$V$2:$V$1795,$N247)</f>
        <v>0</v>
      </c>
      <c r="AA247" s="32" t="n">
        <f aca="false">SUM(R247:Z247)</f>
        <v>105.99393</v>
      </c>
      <c r="AB247" s="33" t="n">
        <f aca="false">INDEX(Premissas!$B$5:$B$13,MATCH(A247,Premissas!$A$5:$A$13,0))</f>
        <v>0.07</v>
      </c>
      <c r="AC247" s="32" t="n">
        <f aca="false">AA247/(1-AB247)-AA247</f>
        <v>7.9780377419355</v>
      </c>
      <c r="AD247" s="32" t="n">
        <f aca="false">ROUND(AA247+AC247,2)</f>
        <v>113.97</v>
      </c>
      <c r="AE247" s="32" t="n">
        <f aca="false">AD247-L247</f>
        <v>-28.83</v>
      </c>
      <c r="AF247" s="34" t="n">
        <f aca="false">IF(L247=0,0,AE247/L247)</f>
        <v>-0.201890756302521</v>
      </c>
      <c r="AG247" s="22" t="str">
        <f aca="false">IF(AD247&lt;L247,"PASSARO","ATUAL")</f>
        <v>PASSARO</v>
      </c>
      <c r="AH247" s="22" t="str">
        <f aca="false">IF(P247&lt;&gt;A247,"Faixa cadastrada como "&amp;P247&amp;" na tabela; preço aplicado pela UF do CEP","")</f>
        <v/>
      </c>
      <c r="AI247" s="26" t="n">
        <v>139.73</v>
      </c>
      <c r="AJ247" s="22" t="str">
        <f aca="false">INDEX('Tabela Passaro'!$X$2:$X$1795,$N247)</f>
        <v>CAPITAL</v>
      </c>
    </row>
    <row r="248" customFormat="false" ht="15" hidden="false" customHeight="false" outlineLevel="0" collapsed="false">
      <c r="A248" s="22" t="s">
        <v>16</v>
      </c>
      <c r="B248" s="22" t="n">
        <v>1</v>
      </c>
      <c r="C248" s="22" t="s">
        <v>75</v>
      </c>
      <c r="D248" s="22" t="s">
        <v>30</v>
      </c>
      <c r="E248" s="22" t="s">
        <v>7328</v>
      </c>
      <c r="F248" s="22" t="n">
        <v>2311301</v>
      </c>
      <c r="G248" s="30" t="n">
        <v>46246</v>
      </c>
      <c r="H248" s="22" t="n">
        <v>132754</v>
      </c>
      <c r="I248" s="22" t="s">
        <v>7545</v>
      </c>
      <c r="J248" s="31" t="n">
        <v>66.4</v>
      </c>
      <c r="K248" s="26" t="n">
        <v>872.11</v>
      </c>
      <c r="L248" s="26" t="n">
        <v>166.2</v>
      </c>
      <c r="M248" s="22" t="s">
        <v>694</v>
      </c>
      <c r="N248" s="22" t="n">
        <f aca="false">MATCH(M248,'Tabela Passaro'!$A$2:$A$1795,0)</f>
        <v>106</v>
      </c>
      <c r="O248" s="22" t="str">
        <f aca="false">INDEX('Tabela Passaro'!$C$2:$C$1795,$N248)</f>
        <v>SALVADOR</v>
      </c>
      <c r="P248" s="22" t="str">
        <f aca="false">INDEX('Tabela Passaro'!$B$2:$B$1795,$N248)</f>
        <v>BA</v>
      </c>
      <c r="Q248" s="22" t="n">
        <f aca="false">INDEX('Tabela Passaro'!$F$2:$F$1795,$N248)</f>
        <v>6</v>
      </c>
      <c r="R248" s="32" t="n">
        <f aca="false">IF(J248&lt;=10,INDEX('Tabela Passaro'!$G$2:$G$1795,$N248),IF(J248&lt;=30,INDEX('Tabela Passaro'!$H$2:$H$1795,$N248),IF(J248&lt;=50,INDEX('Tabela Passaro'!$I$2:$I$1795,$N248),IF(J248&lt;=70,INDEX('Tabela Passaro'!$J$2:$J$1795,$N248),IF(J248&lt;=100,INDEX('Tabela Passaro'!$K$2:$K$1795,$N248),INDEX('Tabela Passaro'!$K$2:$K$1795,$N248)+(J248-100)*INDEX('Tabela Passaro'!$L$2:$L$1795,$N248))))))</f>
        <v>73.44</v>
      </c>
      <c r="S248" s="32" t="n">
        <f aca="false">K248*INDEX('Tabela Passaro'!$M$2:$M$1795,$N248)</f>
        <v>4.36055</v>
      </c>
      <c r="T248" s="32" t="n">
        <f aca="false">K248*INDEX('Tabela Passaro'!$N$2:$N$1795,$N248)</f>
        <v>1.74422</v>
      </c>
      <c r="U248" s="32" t="n">
        <f aca="false">INDEX('Tabela Passaro'!$O$2:$O$1795,$N248)</f>
        <v>5</v>
      </c>
      <c r="V248" s="32" t="n">
        <f aca="false">ROUNDUP(J248/INDEX('Tabela Passaro'!$Q$2:$Q$1795,$N248),0)*INDEX('Tabela Passaro'!$P$2:$P$1795,$N248)</f>
        <v>5</v>
      </c>
      <c r="W248" s="32" t="n">
        <f aca="false">INDEX('Tabela Passaro'!$R$2:$R$1795,$N248)</f>
        <v>30</v>
      </c>
      <c r="X248" s="32" t="n">
        <f aca="false">ROUNDUP(J248/INDEX('Tabela Passaro'!$T$2:$T$1795,$N248),0)*INDEX('Tabela Passaro'!$S$2:$S$1795,$N248)</f>
        <v>0</v>
      </c>
      <c r="Y248" s="32" t="n">
        <f aca="false">INDEX('Tabela Passaro'!$U$2:$U$1795,$N248)</f>
        <v>0</v>
      </c>
      <c r="Z248" s="32" t="n">
        <f aca="false">INDEX('Tabela Passaro'!$V$2:$V$1795,$N248)</f>
        <v>0</v>
      </c>
      <c r="AA248" s="32" t="n">
        <f aca="false">SUM(R248:Z248)</f>
        <v>119.54477</v>
      </c>
      <c r="AB248" s="33" t="n">
        <f aca="false">INDEX(Premissas!$B$5:$B$13,MATCH(A248,Premissas!$A$5:$A$13,0))</f>
        <v>0.07</v>
      </c>
      <c r="AC248" s="32" t="n">
        <f aca="false">AA248/(1-AB248)-AA248</f>
        <v>8.99799344086023</v>
      </c>
      <c r="AD248" s="32" t="n">
        <f aca="false">ROUND(AA248+AC248,2)</f>
        <v>128.54</v>
      </c>
      <c r="AE248" s="32" t="n">
        <f aca="false">AD248-L248</f>
        <v>-37.66</v>
      </c>
      <c r="AF248" s="34" t="n">
        <f aca="false">IF(L248=0,0,AE248/L248)</f>
        <v>-0.226594464500602</v>
      </c>
      <c r="AG248" s="22" t="str">
        <f aca="false">IF(AD248&lt;L248,"PASSARO","ATUAL")</f>
        <v>PASSARO</v>
      </c>
      <c r="AH248" s="22" t="str">
        <f aca="false">IF(P248&lt;&gt;A248,"Faixa cadastrada como "&amp;P248&amp;" na tabela; preço aplicado pela UF do CEP","")</f>
        <v/>
      </c>
      <c r="AI248" s="26" t="n">
        <v>169.1</v>
      </c>
      <c r="AJ248" s="22" t="str">
        <f aca="false">INDEX('Tabela Passaro'!$X$2:$X$1795,$N248)</f>
        <v>CAPITAL</v>
      </c>
    </row>
    <row r="249" customFormat="false" ht="15" hidden="false" customHeight="false" outlineLevel="0" collapsed="false">
      <c r="A249" s="22" t="s">
        <v>16</v>
      </c>
      <c r="B249" s="22" t="n">
        <v>1</v>
      </c>
      <c r="C249" s="22" t="s">
        <v>75</v>
      </c>
      <c r="D249" s="22" t="s">
        <v>30</v>
      </c>
      <c r="E249" s="22" t="s">
        <v>7326</v>
      </c>
      <c r="F249" s="22" t="n">
        <v>524464</v>
      </c>
      <c r="G249" s="30" t="n">
        <v>46246</v>
      </c>
      <c r="H249" s="22" t="n">
        <v>623912</v>
      </c>
      <c r="I249" s="22" t="s">
        <v>7546</v>
      </c>
      <c r="J249" s="31" t="n">
        <v>79.26</v>
      </c>
      <c r="K249" s="26" t="n">
        <v>889.99</v>
      </c>
      <c r="L249" s="26" t="n">
        <v>251.46</v>
      </c>
      <c r="M249" s="22" t="s">
        <v>694</v>
      </c>
      <c r="N249" s="22" t="n">
        <f aca="false">MATCH(M249,'Tabela Passaro'!$A$2:$A$1795,0)</f>
        <v>106</v>
      </c>
      <c r="O249" s="22" t="str">
        <f aca="false">INDEX('Tabela Passaro'!$C$2:$C$1795,$N249)</f>
        <v>SALVADOR</v>
      </c>
      <c r="P249" s="22" t="str">
        <f aca="false">INDEX('Tabela Passaro'!$B$2:$B$1795,$N249)</f>
        <v>BA</v>
      </c>
      <c r="Q249" s="22" t="n">
        <f aca="false">INDEX('Tabela Passaro'!$F$2:$F$1795,$N249)</f>
        <v>6</v>
      </c>
      <c r="R249" s="32" t="n">
        <f aca="false">IF(J249&lt;=10,INDEX('Tabela Passaro'!$G$2:$G$1795,$N249),IF(J249&lt;=30,INDEX('Tabela Passaro'!$H$2:$H$1795,$N249),IF(J249&lt;=50,INDEX('Tabela Passaro'!$I$2:$I$1795,$N249),IF(J249&lt;=70,INDEX('Tabela Passaro'!$J$2:$J$1795,$N249),IF(J249&lt;=100,INDEX('Tabela Passaro'!$K$2:$K$1795,$N249),INDEX('Tabela Passaro'!$K$2:$K$1795,$N249)+(J249-100)*INDEX('Tabela Passaro'!$L$2:$L$1795,$N249))))))</f>
        <v>84.96</v>
      </c>
      <c r="S249" s="32" t="n">
        <f aca="false">K249*INDEX('Tabela Passaro'!$M$2:$M$1795,$N249)</f>
        <v>4.44995</v>
      </c>
      <c r="T249" s="32" t="n">
        <f aca="false">K249*INDEX('Tabela Passaro'!$N$2:$N$1795,$N249)</f>
        <v>1.77998</v>
      </c>
      <c r="U249" s="32" t="n">
        <f aca="false">INDEX('Tabela Passaro'!$O$2:$O$1795,$N249)</f>
        <v>5</v>
      </c>
      <c r="V249" s="32" t="n">
        <f aca="false">ROUNDUP(J249/INDEX('Tabela Passaro'!$Q$2:$Q$1795,$N249),0)*INDEX('Tabela Passaro'!$P$2:$P$1795,$N249)</f>
        <v>5</v>
      </c>
      <c r="W249" s="32" t="n">
        <f aca="false">INDEX('Tabela Passaro'!$R$2:$R$1795,$N249)</f>
        <v>30</v>
      </c>
      <c r="X249" s="32" t="n">
        <f aca="false">ROUNDUP(J249/INDEX('Tabela Passaro'!$T$2:$T$1795,$N249),0)*INDEX('Tabela Passaro'!$S$2:$S$1795,$N249)</f>
        <v>0</v>
      </c>
      <c r="Y249" s="32" t="n">
        <f aca="false">INDEX('Tabela Passaro'!$U$2:$U$1795,$N249)</f>
        <v>0</v>
      </c>
      <c r="Z249" s="32" t="n">
        <f aca="false">INDEX('Tabela Passaro'!$V$2:$V$1795,$N249)</f>
        <v>0</v>
      </c>
      <c r="AA249" s="32" t="n">
        <f aca="false">SUM(R249:Z249)</f>
        <v>131.18993</v>
      </c>
      <c r="AB249" s="33" t="n">
        <f aca="false">INDEX(Premissas!$B$5:$B$13,MATCH(A249,Premissas!$A$5:$A$13,0))</f>
        <v>0.07</v>
      </c>
      <c r="AC249" s="32" t="n">
        <f aca="false">AA249/(1-AB249)-AA249</f>
        <v>9.87451086021505</v>
      </c>
      <c r="AD249" s="32" t="n">
        <f aca="false">ROUND(AA249+AC249,2)</f>
        <v>141.06</v>
      </c>
      <c r="AE249" s="32" t="n">
        <f aca="false">AD249-L249</f>
        <v>-110.4</v>
      </c>
      <c r="AF249" s="34" t="n">
        <f aca="false">IF(L249=0,0,AE249/L249)</f>
        <v>-0.439036029587211</v>
      </c>
      <c r="AG249" s="22" t="str">
        <f aca="false">IF(AD249&lt;L249,"PASSARO","ATUAL")</f>
        <v>PASSARO</v>
      </c>
      <c r="AH249" s="22" t="str">
        <f aca="false">IF(P249&lt;&gt;A249,"Faixa cadastrada como "&amp;P249&amp;" na tabela; preço aplicado pela UF do CEP","")</f>
        <v/>
      </c>
      <c r="AI249" s="26" t="n">
        <v>188.08</v>
      </c>
      <c r="AJ249" s="22" t="str">
        <f aca="false">INDEX('Tabela Passaro'!$X$2:$X$1795,$N249)</f>
        <v>CAPITAL</v>
      </c>
    </row>
    <row r="250" customFormat="false" ht="15" hidden="false" customHeight="false" outlineLevel="0" collapsed="false">
      <c r="A250" s="22" t="s">
        <v>16</v>
      </c>
      <c r="B250" s="22" t="n">
        <v>1</v>
      </c>
      <c r="C250" s="22" t="s">
        <v>75</v>
      </c>
      <c r="D250" s="22" t="s">
        <v>30</v>
      </c>
      <c r="E250" s="22" t="s">
        <v>7326</v>
      </c>
      <c r="F250" s="22" t="n">
        <v>524468</v>
      </c>
      <c r="G250" s="30" t="n">
        <v>46246</v>
      </c>
      <c r="H250" s="22" t="n">
        <v>623916</v>
      </c>
      <c r="I250" s="22" t="s">
        <v>7547</v>
      </c>
      <c r="J250" s="31" t="n">
        <v>149.8</v>
      </c>
      <c r="K250" s="26" t="n">
        <v>1364.98</v>
      </c>
      <c r="L250" s="26" t="n">
        <v>354.72</v>
      </c>
      <c r="M250" s="22" t="s">
        <v>694</v>
      </c>
      <c r="N250" s="22" t="n">
        <f aca="false">MATCH(M250,'Tabela Passaro'!$A$2:$A$1795,0)</f>
        <v>106</v>
      </c>
      <c r="O250" s="22" t="str">
        <f aca="false">INDEX('Tabela Passaro'!$C$2:$C$1795,$N250)</f>
        <v>SALVADOR</v>
      </c>
      <c r="P250" s="22" t="str">
        <f aca="false">INDEX('Tabela Passaro'!$B$2:$B$1795,$N250)</f>
        <v>BA</v>
      </c>
      <c r="Q250" s="22" t="n">
        <f aca="false">INDEX('Tabela Passaro'!$F$2:$F$1795,$N250)</f>
        <v>6</v>
      </c>
      <c r="R250" s="32" t="n">
        <f aca="false">IF(J250&lt;=10,INDEX('Tabela Passaro'!$G$2:$G$1795,$N250),IF(J250&lt;=30,INDEX('Tabela Passaro'!$H$2:$H$1795,$N250),IF(J250&lt;=50,INDEX('Tabela Passaro'!$I$2:$I$1795,$N250),IF(J250&lt;=70,INDEX('Tabela Passaro'!$J$2:$J$1795,$N250),IF(J250&lt;=100,INDEX('Tabela Passaro'!$K$2:$K$1795,$N250),INDEX('Tabela Passaro'!$K$2:$K$1795,$N250)+(J250-100)*INDEX('Tabela Passaro'!$L$2:$L$1795,$N250))))))</f>
        <v>142.728</v>
      </c>
      <c r="S250" s="32" t="n">
        <f aca="false">K250*INDEX('Tabela Passaro'!$M$2:$M$1795,$N250)</f>
        <v>6.8249</v>
      </c>
      <c r="T250" s="32" t="n">
        <f aca="false">K250*INDEX('Tabela Passaro'!$N$2:$N$1795,$N250)</f>
        <v>2.72996</v>
      </c>
      <c r="U250" s="32" t="n">
        <f aca="false">INDEX('Tabela Passaro'!$O$2:$O$1795,$N250)</f>
        <v>5</v>
      </c>
      <c r="V250" s="32" t="n">
        <f aca="false">ROUNDUP(J250/INDEX('Tabela Passaro'!$Q$2:$Q$1795,$N250),0)*INDEX('Tabela Passaro'!$P$2:$P$1795,$N250)</f>
        <v>10</v>
      </c>
      <c r="W250" s="32" t="n">
        <f aca="false">INDEX('Tabela Passaro'!$R$2:$R$1795,$N250)</f>
        <v>30</v>
      </c>
      <c r="X250" s="32" t="n">
        <f aca="false">ROUNDUP(J250/INDEX('Tabela Passaro'!$T$2:$T$1795,$N250),0)*INDEX('Tabela Passaro'!$S$2:$S$1795,$N250)</f>
        <v>0</v>
      </c>
      <c r="Y250" s="32" t="n">
        <f aca="false">INDEX('Tabela Passaro'!$U$2:$U$1795,$N250)</f>
        <v>0</v>
      </c>
      <c r="Z250" s="32" t="n">
        <f aca="false">INDEX('Tabela Passaro'!$V$2:$V$1795,$N250)</f>
        <v>0</v>
      </c>
      <c r="AA250" s="32" t="n">
        <f aca="false">SUM(R250:Z250)</f>
        <v>197.28286</v>
      </c>
      <c r="AB250" s="33" t="n">
        <f aca="false">INDEX(Premissas!$B$5:$B$13,MATCH(A250,Premissas!$A$5:$A$13,0))</f>
        <v>0.07</v>
      </c>
      <c r="AC250" s="32" t="n">
        <f aca="false">AA250/(1-AB250)-AA250</f>
        <v>14.8492475268817</v>
      </c>
      <c r="AD250" s="32" t="n">
        <f aca="false">ROUND(AA250+AC250,2)</f>
        <v>212.13</v>
      </c>
      <c r="AE250" s="32" t="n">
        <f aca="false">AD250-L250</f>
        <v>-142.59</v>
      </c>
      <c r="AF250" s="34" t="n">
        <f aca="false">IF(L250=0,0,AE250/L250)</f>
        <v>-0.40197902571042</v>
      </c>
      <c r="AG250" s="22" t="str">
        <f aca="false">IF(AD250&lt;L250,"PASSARO","ATUAL")</f>
        <v>PASSARO</v>
      </c>
      <c r="AH250" s="22" t="str">
        <f aca="false">IF(P250&lt;&gt;A250,"Faixa cadastrada como "&amp;P250&amp;" na tabela; preço aplicado pela UF do CEP","")</f>
        <v/>
      </c>
      <c r="AI250" s="26" t="n">
        <v>302.07</v>
      </c>
      <c r="AJ250" s="22" t="str">
        <f aca="false">INDEX('Tabela Passaro'!$X$2:$X$1795,$N250)</f>
        <v>CAPITAL</v>
      </c>
    </row>
    <row r="251" customFormat="false" ht="15" hidden="false" customHeight="false" outlineLevel="0" collapsed="false">
      <c r="A251" s="22" t="s">
        <v>16</v>
      </c>
      <c r="B251" s="22" t="n">
        <v>1</v>
      </c>
      <c r="C251" s="22" t="s">
        <v>75</v>
      </c>
      <c r="D251" s="22" t="s">
        <v>30</v>
      </c>
      <c r="E251" s="22" t="s">
        <v>7326</v>
      </c>
      <c r="F251" s="22" t="n">
        <v>524470</v>
      </c>
      <c r="G251" s="30" t="n">
        <v>46246</v>
      </c>
      <c r="H251" s="22" t="n">
        <v>623918</v>
      </c>
      <c r="I251" s="22" t="s">
        <v>7548</v>
      </c>
      <c r="J251" s="31" t="n">
        <v>69.59</v>
      </c>
      <c r="K251" s="26" t="n">
        <v>1335.98</v>
      </c>
      <c r="L251" s="26" t="n">
        <v>200.82</v>
      </c>
      <c r="M251" s="22" t="s">
        <v>694</v>
      </c>
      <c r="N251" s="22" t="n">
        <f aca="false">MATCH(M251,'Tabela Passaro'!$A$2:$A$1795,0)</f>
        <v>106</v>
      </c>
      <c r="O251" s="22" t="str">
        <f aca="false">INDEX('Tabela Passaro'!$C$2:$C$1795,$N251)</f>
        <v>SALVADOR</v>
      </c>
      <c r="P251" s="22" t="str">
        <f aca="false">INDEX('Tabela Passaro'!$B$2:$B$1795,$N251)</f>
        <v>BA</v>
      </c>
      <c r="Q251" s="22" t="n">
        <f aca="false">INDEX('Tabela Passaro'!$F$2:$F$1795,$N251)</f>
        <v>6</v>
      </c>
      <c r="R251" s="32" t="n">
        <f aca="false">IF(J251&lt;=10,INDEX('Tabela Passaro'!$G$2:$G$1795,$N251),IF(J251&lt;=30,INDEX('Tabela Passaro'!$H$2:$H$1795,$N251),IF(J251&lt;=50,INDEX('Tabela Passaro'!$I$2:$I$1795,$N251),IF(J251&lt;=70,INDEX('Tabela Passaro'!$J$2:$J$1795,$N251),IF(J251&lt;=100,INDEX('Tabela Passaro'!$K$2:$K$1795,$N251),INDEX('Tabela Passaro'!$K$2:$K$1795,$N251)+(J251-100)*INDEX('Tabela Passaro'!$L$2:$L$1795,$N251))))))</f>
        <v>73.44</v>
      </c>
      <c r="S251" s="32" t="n">
        <f aca="false">K251*INDEX('Tabela Passaro'!$M$2:$M$1795,$N251)</f>
        <v>6.6799</v>
      </c>
      <c r="T251" s="32" t="n">
        <f aca="false">K251*INDEX('Tabela Passaro'!$N$2:$N$1795,$N251)</f>
        <v>2.67196</v>
      </c>
      <c r="U251" s="32" t="n">
        <f aca="false">INDEX('Tabela Passaro'!$O$2:$O$1795,$N251)</f>
        <v>5</v>
      </c>
      <c r="V251" s="32" t="n">
        <f aca="false">ROUNDUP(J251/INDEX('Tabela Passaro'!$Q$2:$Q$1795,$N251),0)*INDEX('Tabela Passaro'!$P$2:$P$1795,$N251)</f>
        <v>5</v>
      </c>
      <c r="W251" s="32" t="n">
        <f aca="false">INDEX('Tabela Passaro'!$R$2:$R$1795,$N251)</f>
        <v>30</v>
      </c>
      <c r="X251" s="32" t="n">
        <f aca="false">ROUNDUP(J251/INDEX('Tabela Passaro'!$T$2:$T$1795,$N251),0)*INDEX('Tabela Passaro'!$S$2:$S$1795,$N251)</f>
        <v>0</v>
      </c>
      <c r="Y251" s="32" t="n">
        <f aca="false">INDEX('Tabela Passaro'!$U$2:$U$1795,$N251)</f>
        <v>0</v>
      </c>
      <c r="Z251" s="32" t="n">
        <f aca="false">INDEX('Tabela Passaro'!$V$2:$V$1795,$N251)</f>
        <v>0</v>
      </c>
      <c r="AA251" s="32" t="n">
        <f aca="false">SUM(R251:Z251)</f>
        <v>122.79186</v>
      </c>
      <c r="AB251" s="33" t="n">
        <f aca="false">INDEX(Premissas!$B$5:$B$13,MATCH(A251,Premissas!$A$5:$A$13,0))</f>
        <v>0.07</v>
      </c>
      <c r="AC251" s="32" t="n">
        <f aca="false">AA251/(1-AB251)-AA251</f>
        <v>9.24239806451614</v>
      </c>
      <c r="AD251" s="32" t="n">
        <f aca="false">ROUND(AA251+AC251,2)</f>
        <v>132.03</v>
      </c>
      <c r="AE251" s="32" t="n">
        <f aca="false">AD251-L251</f>
        <v>-68.79</v>
      </c>
      <c r="AF251" s="34" t="n">
        <f aca="false">IF(L251=0,0,AE251/L251)</f>
        <v>-0.342545563190917</v>
      </c>
      <c r="AG251" s="22" t="str">
        <f aca="false">IF(AD251&lt;L251,"PASSARO","ATUAL")</f>
        <v>PASSARO</v>
      </c>
      <c r="AH251" s="22" t="str">
        <f aca="false">IF(P251&lt;&gt;A251,"Faixa cadastrada como "&amp;P251&amp;" na tabela; preço aplicado pela UF do CEP","")</f>
        <v/>
      </c>
      <c r="AI251" s="26" t="n">
        <v>175.04</v>
      </c>
      <c r="AJ251" s="22" t="str">
        <f aca="false">INDEX('Tabela Passaro'!$X$2:$X$1795,$N251)</f>
        <v>CAPITAL</v>
      </c>
    </row>
    <row r="252" customFormat="false" ht="15" hidden="false" customHeight="false" outlineLevel="0" collapsed="false">
      <c r="A252" s="22" t="s">
        <v>16</v>
      </c>
      <c r="B252" s="22" t="n">
        <v>1</v>
      </c>
      <c r="C252" s="22" t="s">
        <v>75</v>
      </c>
      <c r="D252" s="22" t="s">
        <v>30</v>
      </c>
      <c r="E252" s="22" t="s">
        <v>7326</v>
      </c>
      <c r="F252" s="22" t="n">
        <v>524495</v>
      </c>
      <c r="G252" s="30" t="n">
        <v>46246</v>
      </c>
      <c r="H252" s="22" t="n">
        <v>624149</v>
      </c>
      <c r="I252" s="22" t="s">
        <v>7549</v>
      </c>
      <c r="J252" s="31" t="n">
        <v>37.2</v>
      </c>
      <c r="K252" s="26" t="n">
        <v>492.67</v>
      </c>
      <c r="L252" s="26" t="n">
        <v>161.87</v>
      </c>
      <c r="M252" s="22" t="s">
        <v>694</v>
      </c>
      <c r="N252" s="22" t="n">
        <f aca="false">MATCH(M252,'Tabela Passaro'!$A$2:$A$1795,0)</f>
        <v>106</v>
      </c>
      <c r="O252" s="22" t="str">
        <f aca="false">INDEX('Tabela Passaro'!$C$2:$C$1795,$N252)</f>
        <v>SALVADOR</v>
      </c>
      <c r="P252" s="22" t="str">
        <f aca="false">INDEX('Tabela Passaro'!$B$2:$B$1795,$N252)</f>
        <v>BA</v>
      </c>
      <c r="Q252" s="22" t="n">
        <f aca="false">INDEX('Tabela Passaro'!$F$2:$F$1795,$N252)</f>
        <v>6</v>
      </c>
      <c r="R252" s="32" t="n">
        <f aca="false">IF(J252&lt;=10,INDEX('Tabela Passaro'!$G$2:$G$1795,$N252),IF(J252&lt;=30,INDEX('Tabela Passaro'!$H$2:$H$1795,$N252),IF(J252&lt;=50,INDEX('Tabela Passaro'!$I$2:$I$1795,$N252),IF(J252&lt;=70,INDEX('Tabela Passaro'!$J$2:$J$1795,$N252),IF(J252&lt;=100,INDEX('Tabela Passaro'!$K$2:$K$1795,$N252),INDEX('Tabela Passaro'!$K$2:$K$1795,$N252)+(J252-100)*INDEX('Tabela Passaro'!$L$2:$L$1795,$N252))))))</f>
        <v>61.92</v>
      </c>
      <c r="S252" s="32" t="n">
        <f aca="false">K252*INDEX('Tabela Passaro'!$M$2:$M$1795,$N252)</f>
        <v>2.46335</v>
      </c>
      <c r="T252" s="32" t="n">
        <f aca="false">K252*INDEX('Tabela Passaro'!$N$2:$N$1795,$N252)</f>
        <v>0.98534</v>
      </c>
      <c r="U252" s="32" t="n">
        <f aca="false">INDEX('Tabela Passaro'!$O$2:$O$1795,$N252)</f>
        <v>5</v>
      </c>
      <c r="V252" s="32" t="n">
        <f aca="false">ROUNDUP(J252/INDEX('Tabela Passaro'!$Q$2:$Q$1795,$N252),0)*INDEX('Tabela Passaro'!$P$2:$P$1795,$N252)</f>
        <v>5</v>
      </c>
      <c r="W252" s="32" t="n">
        <f aca="false">INDEX('Tabela Passaro'!$R$2:$R$1795,$N252)</f>
        <v>30</v>
      </c>
      <c r="X252" s="32" t="n">
        <f aca="false">ROUNDUP(J252/INDEX('Tabela Passaro'!$T$2:$T$1795,$N252),0)*INDEX('Tabela Passaro'!$S$2:$S$1795,$N252)</f>
        <v>0</v>
      </c>
      <c r="Y252" s="32" t="n">
        <f aca="false">INDEX('Tabela Passaro'!$U$2:$U$1795,$N252)</f>
        <v>0</v>
      </c>
      <c r="Z252" s="32" t="n">
        <f aca="false">INDEX('Tabela Passaro'!$V$2:$V$1795,$N252)</f>
        <v>0</v>
      </c>
      <c r="AA252" s="32" t="n">
        <f aca="false">SUM(R252:Z252)</f>
        <v>105.36869</v>
      </c>
      <c r="AB252" s="33" t="n">
        <f aca="false">INDEX(Premissas!$B$5:$B$13,MATCH(A252,Premissas!$A$5:$A$13,0))</f>
        <v>0.07</v>
      </c>
      <c r="AC252" s="32" t="n">
        <f aca="false">AA252/(1-AB252)-AA252</f>
        <v>7.93097666666668</v>
      </c>
      <c r="AD252" s="32" t="n">
        <f aca="false">ROUND(AA252+AC252,2)</f>
        <v>113.3</v>
      </c>
      <c r="AE252" s="32" t="n">
        <f aca="false">AD252-L252</f>
        <v>-48.57</v>
      </c>
      <c r="AF252" s="34" t="n">
        <f aca="false">IF(L252=0,0,AE252/L252)</f>
        <v>-0.300055600172978</v>
      </c>
      <c r="AG252" s="22" t="str">
        <f aca="false">IF(AD252&lt;L252,"PASSARO","ATUAL")</f>
        <v>PASSARO</v>
      </c>
      <c r="AH252" s="22" t="str">
        <f aca="false">IF(P252&lt;&gt;A252,"Faixa cadastrada como "&amp;P252&amp;" na tabela; preço aplicado pela UF do CEP","")</f>
        <v/>
      </c>
      <c r="AI252" s="26" t="n">
        <v>138.86</v>
      </c>
      <c r="AJ252" s="22" t="str">
        <f aca="false">INDEX('Tabela Passaro'!$X$2:$X$1795,$N252)</f>
        <v>CAPITAL</v>
      </c>
    </row>
    <row r="253" customFormat="false" ht="15" hidden="false" customHeight="false" outlineLevel="0" collapsed="false">
      <c r="A253" s="22" t="s">
        <v>16</v>
      </c>
      <c r="B253" s="22" t="n">
        <v>1</v>
      </c>
      <c r="C253" s="22" t="s">
        <v>75</v>
      </c>
      <c r="D253" s="22" t="s">
        <v>30</v>
      </c>
      <c r="E253" s="22" t="s">
        <v>16</v>
      </c>
      <c r="F253" s="22" t="n">
        <v>206504</v>
      </c>
      <c r="G253" s="30" t="n">
        <v>46247</v>
      </c>
      <c r="H253" s="22" t="n">
        <v>31610</v>
      </c>
      <c r="I253" s="22" t="s">
        <v>7550</v>
      </c>
      <c r="J253" s="31" t="n">
        <v>22.4</v>
      </c>
      <c r="K253" s="26" t="n">
        <v>659.98</v>
      </c>
      <c r="L253" s="26" t="n">
        <v>110.24</v>
      </c>
      <c r="M253" s="22" t="s">
        <v>694</v>
      </c>
      <c r="N253" s="22" t="n">
        <f aca="false">MATCH(M253,'Tabela Passaro'!$A$2:$A$1795,0)</f>
        <v>106</v>
      </c>
      <c r="O253" s="22" t="str">
        <f aca="false">INDEX('Tabela Passaro'!$C$2:$C$1795,$N253)</f>
        <v>SALVADOR</v>
      </c>
      <c r="P253" s="22" t="str">
        <f aca="false">INDEX('Tabela Passaro'!$B$2:$B$1795,$N253)</f>
        <v>BA</v>
      </c>
      <c r="Q253" s="22" t="n">
        <f aca="false">INDEX('Tabela Passaro'!$F$2:$F$1795,$N253)</f>
        <v>6</v>
      </c>
      <c r="R253" s="32" t="n">
        <f aca="false">IF(J253&lt;=10,INDEX('Tabela Passaro'!$G$2:$G$1795,$N253),IF(J253&lt;=30,INDEX('Tabela Passaro'!$H$2:$H$1795,$N253),IF(J253&lt;=50,INDEX('Tabela Passaro'!$I$2:$I$1795,$N253),IF(J253&lt;=70,INDEX('Tabela Passaro'!$J$2:$J$1795,$N253),IF(J253&lt;=100,INDEX('Tabela Passaro'!$K$2:$K$1795,$N253),INDEX('Tabela Passaro'!$K$2:$K$1795,$N253)+(J253-100)*INDEX('Tabela Passaro'!$L$2:$L$1795,$N253))))))</f>
        <v>50.4</v>
      </c>
      <c r="S253" s="32" t="n">
        <f aca="false">K253*INDEX('Tabela Passaro'!$M$2:$M$1795,$N253)</f>
        <v>3.2999</v>
      </c>
      <c r="T253" s="32" t="n">
        <f aca="false">K253*INDEX('Tabela Passaro'!$N$2:$N$1795,$N253)</f>
        <v>1.31996</v>
      </c>
      <c r="U253" s="32" t="n">
        <f aca="false">INDEX('Tabela Passaro'!$O$2:$O$1795,$N253)</f>
        <v>5</v>
      </c>
      <c r="V253" s="32" t="n">
        <f aca="false">ROUNDUP(J253/INDEX('Tabela Passaro'!$Q$2:$Q$1795,$N253),0)*INDEX('Tabela Passaro'!$P$2:$P$1795,$N253)</f>
        <v>5</v>
      </c>
      <c r="W253" s="32" t="n">
        <f aca="false">INDEX('Tabela Passaro'!$R$2:$R$1795,$N253)</f>
        <v>30</v>
      </c>
      <c r="X253" s="32" t="n">
        <f aca="false">ROUNDUP(J253/INDEX('Tabela Passaro'!$T$2:$T$1795,$N253),0)*INDEX('Tabela Passaro'!$S$2:$S$1795,$N253)</f>
        <v>0</v>
      </c>
      <c r="Y253" s="32" t="n">
        <f aca="false">INDEX('Tabela Passaro'!$U$2:$U$1795,$N253)</f>
        <v>0</v>
      </c>
      <c r="Z253" s="32" t="n">
        <f aca="false">INDEX('Tabela Passaro'!$V$2:$V$1795,$N253)</f>
        <v>0</v>
      </c>
      <c r="AA253" s="32" t="n">
        <f aca="false">SUM(R253:Z253)</f>
        <v>95.01986</v>
      </c>
      <c r="AB253" s="33" t="n">
        <f aca="false">INDEX(Premissas!$B$5:$B$13,MATCH(A253,Premissas!$A$5:$A$13,0))</f>
        <v>0.07</v>
      </c>
      <c r="AC253" s="32" t="n">
        <f aca="false">AA253/(1-AB253)-AA253</f>
        <v>7.15203247311828</v>
      </c>
      <c r="AD253" s="32" t="n">
        <f aca="false">ROUND(AA253+AC253,2)</f>
        <v>102.17</v>
      </c>
      <c r="AE253" s="32" t="n">
        <f aca="false">AD253-L253</f>
        <v>-8.06999999999999</v>
      </c>
      <c r="AF253" s="34" t="n">
        <f aca="false">IF(L253=0,0,AE253/L253)</f>
        <v>-0.0732039187227866</v>
      </c>
      <c r="AG253" s="22" t="str">
        <f aca="false">IF(AD253&lt;L253,"PASSARO","ATUAL")</f>
        <v>PASSARO</v>
      </c>
      <c r="AH253" s="22" t="str">
        <f aca="false">IF(P253&lt;&gt;A253,"Faixa cadastrada como "&amp;P253&amp;" na tabela; preço aplicado pela UF do CEP","")</f>
        <v/>
      </c>
      <c r="AI253" s="26" t="n">
        <v>120.7</v>
      </c>
      <c r="AJ253" s="22" t="str">
        <f aca="false">INDEX('Tabela Passaro'!$X$2:$X$1795,$N253)</f>
        <v>CAPITAL</v>
      </c>
    </row>
    <row r="254" customFormat="false" ht="15" hidden="false" customHeight="false" outlineLevel="0" collapsed="false">
      <c r="A254" s="22" t="s">
        <v>16</v>
      </c>
      <c r="B254" s="22" t="n">
        <v>1</v>
      </c>
      <c r="C254" s="22" t="s">
        <v>75</v>
      </c>
      <c r="D254" s="22" t="s">
        <v>30</v>
      </c>
      <c r="E254" s="22" t="s">
        <v>20</v>
      </c>
      <c r="F254" s="22" t="n">
        <v>838977</v>
      </c>
      <c r="G254" s="30" t="n">
        <v>46247</v>
      </c>
      <c r="H254" s="22" t="n">
        <v>32506</v>
      </c>
      <c r="I254" s="22" t="s">
        <v>7551</v>
      </c>
      <c r="J254" s="31" t="n">
        <v>36</v>
      </c>
      <c r="K254" s="26" t="n">
        <v>571.97</v>
      </c>
      <c r="L254" s="26" t="n">
        <v>140.61</v>
      </c>
      <c r="M254" s="22" t="s">
        <v>694</v>
      </c>
      <c r="N254" s="22" t="n">
        <f aca="false">MATCH(M254,'Tabela Passaro'!$A$2:$A$1795,0)</f>
        <v>106</v>
      </c>
      <c r="O254" s="22" t="str">
        <f aca="false">INDEX('Tabela Passaro'!$C$2:$C$1795,$N254)</f>
        <v>SALVADOR</v>
      </c>
      <c r="P254" s="22" t="str">
        <f aca="false">INDEX('Tabela Passaro'!$B$2:$B$1795,$N254)</f>
        <v>BA</v>
      </c>
      <c r="Q254" s="22" t="n">
        <f aca="false">INDEX('Tabela Passaro'!$F$2:$F$1795,$N254)</f>
        <v>6</v>
      </c>
      <c r="R254" s="32" t="n">
        <f aca="false">IF(J254&lt;=10,INDEX('Tabela Passaro'!$G$2:$G$1795,$N254),IF(J254&lt;=30,INDEX('Tabela Passaro'!$H$2:$H$1795,$N254),IF(J254&lt;=50,INDEX('Tabela Passaro'!$I$2:$I$1795,$N254),IF(J254&lt;=70,INDEX('Tabela Passaro'!$J$2:$J$1795,$N254),IF(J254&lt;=100,INDEX('Tabela Passaro'!$K$2:$K$1795,$N254),INDEX('Tabela Passaro'!$K$2:$K$1795,$N254)+(J254-100)*INDEX('Tabela Passaro'!$L$2:$L$1795,$N254))))))</f>
        <v>61.92</v>
      </c>
      <c r="S254" s="32" t="n">
        <f aca="false">K254*INDEX('Tabela Passaro'!$M$2:$M$1795,$N254)</f>
        <v>2.85985</v>
      </c>
      <c r="T254" s="32" t="n">
        <f aca="false">K254*INDEX('Tabela Passaro'!$N$2:$N$1795,$N254)</f>
        <v>1.14394</v>
      </c>
      <c r="U254" s="32" t="n">
        <f aca="false">INDEX('Tabela Passaro'!$O$2:$O$1795,$N254)</f>
        <v>5</v>
      </c>
      <c r="V254" s="32" t="n">
        <f aca="false">ROUNDUP(J254/INDEX('Tabela Passaro'!$Q$2:$Q$1795,$N254),0)*INDEX('Tabela Passaro'!$P$2:$P$1795,$N254)</f>
        <v>5</v>
      </c>
      <c r="W254" s="32" t="n">
        <f aca="false">INDEX('Tabela Passaro'!$R$2:$R$1795,$N254)</f>
        <v>30</v>
      </c>
      <c r="X254" s="32" t="n">
        <f aca="false">ROUNDUP(J254/INDEX('Tabela Passaro'!$T$2:$T$1795,$N254),0)*INDEX('Tabela Passaro'!$S$2:$S$1795,$N254)</f>
        <v>0</v>
      </c>
      <c r="Y254" s="32" t="n">
        <f aca="false">INDEX('Tabela Passaro'!$U$2:$U$1795,$N254)</f>
        <v>0</v>
      </c>
      <c r="Z254" s="32" t="n">
        <f aca="false">INDEX('Tabela Passaro'!$V$2:$V$1795,$N254)</f>
        <v>0</v>
      </c>
      <c r="AA254" s="32" t="n">
        <f aca="false">SUM(R254:Z254)</f>
        <v>105.92379</v>
      </c>
      <c r="AB254" s="33" t="n">
        <f aca="false">INDEX(Premissas!$B$5:$B$13,MATCH(A254,Premissas!$A$5:$A$13,0))</f>
        <v>0.07</v>
      </c>
      <c r="AC254" s="32" t="n">
        <f aca="false">AA254/(1-AB254)-AA254</f>
        <v>7.97275838709678</v>
      </c>
      <c r="AD254" s="32" t="n">
        <f aca="false">ROUND(AA254+AC254,2)</f>
        <v>113.9</v>
      </c>
      <c r="AE254" s="32" t="n">
        <f aca="false">AD254-L254</f>
        <v>-26.71</v>
      </c>
      <c r="AF254" s="34" t="n">
        <f aca="false">IF(L254=0,0,AE254/L254)</f>
        <v>-0.189958039968708</v>
      </c>
      <c r="AG254" s="22" t="str">
        <f aca="false">IF(AD254&lt;L254,"PASSARO","ATUAL")</f>
        <v>PASSARO</v>
      </c>
      <c r="AH254" s="22" t="str">
        <f aca="false">IF(P254&lt;&gt;A254,"Faixa cadastrada como "&amp;P254&amp;" na tabela; preço aplicado pela UF do CEP","")</f>
        <v/>
      </c>
      <c r="AI254" s="26" t="n">
        <v>138.66</v>
      </c>
      <c r="AJ254" s="22" t="str">
        <f aca="false">INDEX('Tabela Passaro'!$X$2:$X$1795,$N254)</f>
        <v>CAPITAL</v>
      </c>
    </row>
    <row r="255" customFormat="false" ht="15" hidden="false" customHeight="false" outlineLevel="0" collapsed="false">
      <c r="A255" s="22" t="s">
        <v>16</v>
      </c>
      <c r="B255" s="22" t="n">
        <v>1</v>
      </c>
      <c r="C255" s="22" t="s">
        <v>75</v>
      </c>
      <c r="D255" s="22" t="s">
        <v>30</v>
      </c>
      <c r="E255" s="22" t="s">
        <v>7326</v>
      </c>
      <c r="F255" s="22" t="n">
        <v>524666</v>
      </c>
      <c r="G255" s="30" t="n">
        <v>46247</v>
      </c>
      <c r="H255" s="22" t="n">
        <v>624335</v>
      </c>
      <c r="I255" s="22" t="s">
        <v>7552</v>
      </c>
      <c r="J255" s="31" t="n">
        <v>45.4</v>
      </c>
      <c r="K255" s="26" t="n">
        <v>657.48</v>
      </c>
      <c r="L255" s="26" t="n">
        <v>163.28</v>
      </c>
      <c r="M255" s="22" t="s">
        <v>694</v>
      </c>
      <c r="N255" s="22" t="n">
        <f aca="false">MATCH(M255,'Tabela Passaro'!$A$2:$A$1795,0)</f>
        <v>106</v>
      </c>
      <c r="O255" s="22" t="str">
        <f aca="false">INDEX('Tabela Passaro'!$C$2:$C$1795,$N255)</f>
        <v>SALVADOR</v>
      </c>
      <c r="P255" s="22" t="str">
        <f aca="false">INDEX('Tabela Passaro'!$B$2:$B$1795,$N255)</f>
        <v>BA</v>
      </c>
      <c r="Q255" s="22" t="n">
        <f aca="false">INDEX('Tabela Passaro'!$F$2:$F$1795,$N255)</f>
        <v>6</v>
      </c>
      <c r="R255" s="32" t="n">
        <f aca="false">IF(J255&lt;=10,INDEX('Tabela Passaro'!$G$2:$G$1795,$N255),IF(J255&lt;=30,INDEX('Tabela Passaro'!$H$2:$H$1795,$N255),IF(J255&lt;=50,INDEX('Tabela Passaro'!$I$2:$I$1795,$N255),IF(J255&lt;=70,INDEX('Tabela Passaro'!$J$2:$J$1795,$N255),IF(J255&lt;=100,INDEX('Tabela Passaro'!$K$2:$K$1795,$N255),INDEX('Tabela Passaro'!$K$2:$K$1795,$N255)+(J255-100)*INDEX('Tabela Passaro'!$L$2:$L$1795,$N255))))))</f>
        <v>61.92</v>
      </c>
      <c r="S255" s="32" t="n">
        <f aca="false">K255*INDEX('Tabela Passaro'!$M$2:$M$1795,$N255)</f>
        <v>3.2874</v>
      </c>
      <c r="T255" s="32" t="n">
        <f aca="false">K255*INDEX('Tabela Passaro'!$N$2:$N$1795,$N255)</f>
        <v>1.31496</v>
      </c>
      <c r="U255" s="32" t="n">
        <f aca="false">INDEX('Tabela Passaro'!$O$2:$O$1795,$N255)</f>
        <v>5</v>
      </c>
      <c r="V255" s="32" t="n">
        <f aca="false">ROUNDUP(J255/INDEX('Tabela Passaro'!$Q$2:$Q$1795,$N255),0)*INDEX('Tabela Passaro'!$P$2:$P$1795,$N255)</f>
        <v>5</v>
      </c>
      <c r="W255" s="32" t="n">
        <f aca="false">INDEX('Tabela Passaro'!$R$2:$R$1795,$N255)</f>
        <v>30</v>
      </c>
      <c r="X255" s="32" t="n">
        <f aca="false">ROUNDUP(J255/INDEX('Tabela Passaro'!$T$2:$T$1795,$N255),0)*INDEX('Tabela Passaro'!$S$2:$S$1795,$N255)</f>
        <v>0</v>
      </c>
      <c r="Y255" s="32" t="n">
        <f aca="false">INDEX('Tabela Passaro'!$U$2:$U$1795,$N255)</f>
        <v>0</v>
      </c>
      <c r="Z255" s="32" t="n">
        <f aca="false">INDEX('Tabela Passaro'!$V$2:$V$1795,$N255)</f>
        <v>0</v>
      </c>
      <c r="AA255" s="32" t="n">
        <f aca="false">SUM(R255:Z255)</f>
        <v>106.52236</v>
      </c>
      <c r="AB255" s="33" t="n">
        <f aca="false">INDEX(Premissas!$B$5:$B$13,MATCH(A255,Premissas!$A$5:$A$13,0))</f>
        <v>0.07</v>
      </c>
      <c r="AC255" s="32" t="n">
        <f aca="false">AA255/(1-AB255)-AA255</f>
        <v>8.01781204301076</v>
      </c>
      <c r="AD255" s="32" t="n">
        <f aca="false">ROUND(AA255+AC255,2)</f>
        <v>114.54</v>
      </c>
      <c r="AE255" s="32" t="n">
        <f aca="false">AD255-L255</f>
        <v>-48.74</v>
      </c>
      <c r="AF255" s="34" t="n">
        <f aca="false">IF(L255=0,0,AE255/L255)</f>
        <v>-0.298505634492896</v>
      </c>
      <c r="AG255" s="22" t="str">
        <f aca="false">IF(AD255&lt;L255,"PASSARO","ATUAL")</f>
        <v>PASSARO</v>
      </c>
      <c r="AH255" s="22" t="str">
        <f aca="false">IF(P255&lt;&gt;A255,"Faixa cadastrada como "&amp;P255&amp;" na tabela; preço aplicado pela UF do CEP","")</f>
        <v/>
      </c>
      <c r="AI255" s="26" t="n">
        <v>144.33</v>
      </c>
      <c r="AJ255" s="22" t="str">
        <f aca="false">INDEX('Tabela Passaro'!$X$2:$X$1795,$N255)</f>
        <v>CAPITAL</v>
      </c>
    </row>
    <row r="256" customFormat="false" ht="15" hidden="false" customHeight="false" outlineLevel="0" collapsed="false">
      <c r="A256" s="22" t="s">
        <v>16</v>
      </c>
      <c r="B256" s="22" t="n">
        <v>1</v>
      </c>
      <c r="C256" s="22" t="s">
        <v>75</v>
      </c>
      <c r="D256" s="22" t="s">
        <v>30</v>
      </c>
      <c r="E256" s="22" t="s">
        <v>7326</v>
      </c>
      <c r="F256" s="22" t="n">
        <v>524665</v>
      </c>
      <c r="G256" s="30" t="n">
        <v>46247</v>
      </c>
      <c r="H256" s="22" t="n">
        <v>624338</v>
      </c>
      <c r="I256" s="22" t="s">
        <v>7553</v>
      </c>
      <c r="J256" s="31" t="n">
        <v>75.6</v>
      </c>
      <c r="K256" s="26" t="n">
        <v>1326.38</v>
      </c>
      <c r="L256" s="26" t="n">
        <v>255.18</v>
      </c>
      <c r="M256" s="22" t="s">
        <v>694</v>
      </c>
      <c r="N256" s="22" t="n">
        <f aca="false">MATCH(M256,'Tabela Passaro'!$A$2:$A$1795,0)</f>
        <v>106</v>
      </c>
      <c r="O256" s="22" t="str">
        <f aca="false">INDEX('Tabela Passaro'!$C$2:$C$1795,$N256)</f>
        <v>SALVADOR</v>
      </c>
      <c r="P256" s="22" t="str">
        <f aca="false">INDEX('Tabela Passaro'!$B$2:$B$1795,$N256)</f>
        <v>BA</v>
      </c>
      <c r="Q256" s="22" t="n">
        <f aca="false">INDEX('Tabela Passaro'!$F$2:$F$1795,$N256)</f>
        <v>6</v>
      </c>
      <c r="R256" s="32" t="n">
        <f aca="false">IF(J256&lt;=10,INDEX('Tabela Passaro'!$G$2:$G$1795,$N256),IF(J256&lt;=30,INDEX('Tabela Passaro'!$H$2:$H$1795,$N256),IF(J256&lt;=50,INDEX('Tabela Passaro'!$I$2:$I$1795,$N256),IF(J256&lt;=70,INDEX('Tabela Passaro'!$J$2:$J$1795,$N256),IF(J256&lt;=100,INDEX('Tabela Passaro'!$K$2:$K$1795,$N256),INDEX('Tabela Passaro'!$K$2:$K$1795,$N256)+(J256-100)*INDEX('Tabela Passaro'!$L$2:$L$1795,$N256))))))</f>
        <v>84.96</v>
      </c>
      <c r="S256" s="32" t="n">
        <f aca="false">K256*INDEX('Tabela Passaro'!$M$2:$M$1795,$N256)</f>
        <v>6.6319</v>
      </c>
      <c r="T256" s="32" t="n">
        <f aca="false">K256*INDEX('Tabela Passaro'!$N$2:$N$1795,$N256)</f>
        <v>2.65276</v>
      </c>
      <c r="U256" s="32" t="n">
        <f aca="false">INDEX('Tabela Passaro'!$O$2:$O$1795,$N256)</f>
        <v>5</v>
      </c>
      <c r="V256" s="32" t="n">
        <f aca="false">ROUNDUP(J256/INDEX('Tabela Passaro'!$Q$2:$Q$1795,$N256),0)*INDEX('Tabela Passaro'!$P$2:$P$1795,$N256)</f>
        <v>5</v>
      </c>
      <c r="W256" s="32" t="n">
        <f aca="false">INDEX('Tabela Passaro'!$R$2:$R$1795,$N256)</f>
        <v>30</v>
      </c>
      <c r="X256" s="32" t="n">
        <f aca="false">ROUNDUP(J256/INDEX('Tabela Passaro'!$T$2:$T$1795,$N256),0)*INDEX('Tabela Passaro'!$S$2:$S$1795,$N256)</f>
        <v>0</v>
      </c>
      <c r="Y256" s="32" t="n">
        <f aca="false">INDEX('Tabela Passaro'!$U$2:$U$1795,$N256)</f>
        <v>0</v>
      </c>
      <c r="Z256" s="32" t="n">
        <f aca="false">INDEX('Tabela Passaro'!$V$2:$V$1795,$N256)</f>
        <v>0</v>
      </c>
      <c r="AA256" s="32" t="n">
        <f aca="false">SUM(R256:Z256)</f>
        <v>134.24466</v>
      </c>
      <c r="AB256" s="33" t="n">
        <f aca="false">INDEX(Premissas!$B$5:$B$13,MATCH(A256,Premissas!$A$5:$A$13,0))</f>
        <v>0.07</v>
      </c>
      <c r="AC256" s="32" t="n">
        <f aca="false">AA256/(1-AB256)-AA256</f>
        <v>10.1044367741936</v>
      </c>
      <c r="AD256" s="32" t="n">
        <f aca="false">ROUND(AA256+AC256,2)</f>
        <v>144.35</v>
      </c>
      <c r="AE256" s="32" t="n">
        <f aca="false">AD256-L256</f>
        <v>-110.83</v>
      </c>
      <c r="AF256" s="34" t="n">
        <f aca="false">IF(L256=0,0,AE256/L256)</f>
        <v>-0.434320871541657</v>
      </c>
      <c r="AG256" s="22" t="str">
        <f aca="false">IF(AD256&lt;L256,"PASSARO","ATUAL")</f>
        <v>PASSARO</v>
      </c>
      <c r="AH256" s="22" t="str">
        <f aca="false">IF(P256&lt;&gt;A256,"Faixa cadastrada como "&amp;P256&amp;" na tabela; preço aplicado pela UF do CEP","")</f>
        <v/>
      </c>
      <c r="AI256" s="26" t="n">
        <v>190.36</v>
      </c>
      <c r="AJ256" s="22" t="str">
        <f aca="false">INDEX('Tabela Passaro'!$X$2:$X$1795,$N256)</f>
        <v>CAPITAL</v>
      </c>
    </row>
    <row r="257" customFormat="false" ht="15" hidden="false" customHeight="false" outlineLevel="0" collapsed="false">
      <c r="A257" s="22" t="s">
        <v>16</v>
      </c>
      <c r="B257" s="22" t="n">
        <v>1</v>
      </c>
      <c r="C257" s="22" t="s">
        <v>75</v>
      </c>
      <c r="D257" s="22" t="s">
        <v>30</v>
      </c>
      <c r="E257" s="22" t="s">
        <v>7326</v>
      </c>
      <c r="F257" s="22" t="n">
        <v>524680</v>
      </c>
      <c r="G257" s="30" t="n">
        <v>46247</v>
      </c>
      <c r="H257" s="22" t="n">
        <v>624350</v>
      </c>
      <c r="I257" s="22" t="s">
        <v>7554</v>
      </c>
      <c r="J257" s="31" t="n">
        <v>59.8</v>
      </c>
      <c r="K257" s="26" t="n">
        <v>1149.98</v>
      </c>
      <c r="L257" s="26" t="n">
        <v>199.23</v>
      </c>
      <c r="M257" s="22" t="s">
        <v>694</v>
      </c>
      <c r="N257" s="22" t="n">
        <f aca="false">MATCH(M257,'Tabela Passaro'!$A$2:$A$1795,0)</f>
        <v>106</v>
      </c>
      <c r="O257" s="22" t="str">
        <f aca="false">INDEX('Tabela Passaro'!$C$2:$C$1795,$N257)</f>
        <v>SALVADOR</v>
      </c>
      <c r="P257" s="22" t="str">
        <f aca="false">INDEX('Tabela Passaro'!$B$2:$B$1795,$N257)</f>
        <v>BA</v>
      </c>
      <c r="Q257" s="22" t="n">
        <f aca="false">INDEX('Tabela Passaro'!$F$2:$F$1795,$N257)</f>
        <v>6</v>
      </c>
      <c r="R257" s="32" t="n">
        <f aca="false">IF(J257&lt;=10,INDEX('Tabela Passaro'!$G$2:$G$1795,$N257),IF(J257&lt;=30,INDEX('Tabela Passaro'!$H$2:$H$1795,$N257),IF(J257&lt;=50,INDEX('Tabela Passaro'!$I$2:$I$1795,$N257),IF(J257&lt;=70,INDEX('Tabela Passaro'!$J$2:$J$1795,$N257),IF(J257&lt;=100,INDEX('Tabela Passaro'!$K$2:$K$1795,$N257),INDEX('Tabela Passaro'!$K$2:$K$1795,$N257)+(J257-100)*INDEX('Tabela Passaro'!$L$2:$L$1795,$N257))))))</f>
        <v>73.44</v>
      </c>
      <c r="S257" s="32" t="n">
        <f aca="false">K257*INDEX('Tabela Passaro'!$M$2:$M$1795,$N257)</f>
        <v>5.7499</v>
      </c>
      <c r="T257" s="32" t="n">
        <f aca="false">K257*INDEX('Tabela Passaro'!$N$2:$N$1795,$N257)</f>
        <v>2.29996</v>
      </c>
      <c r="U257" s="32" t="n">
        <f aca="false">INDEX('Tabela Passaro'!$O$2:$O$1795,$N257)</f>
        <v>5</v>
      </c>
      <c r="V257" s="32" t="n">
        <f aca="false">ROUNDUP(J257/INDEX('Tabela Passaro'!$Q$2:$Q$1795,$N257),0)*INDEX('Tabela Passaro'!$P$2:$P$1795,$N257)</f>
        <v>5</v>
      </c>
      <c r="W257" s="32" t="n">
        <f aca="false">INDEX('Tabela Passaro'!$R$2:$R$1795,$N257)</f>
        <v>30</v>
      </c>
      <c r="X257" s="32" t="n">
        <f aca="false">ROUNDUP(J257/INDEX('Tabela Passaro'!$T$2:$T$1795,$N257),0)*INDEX('Tabela Passaro'!$S$2:$S$1795,$N257)</f>
        <v>0</v>
      </c>
      <c r="Y257" s="32" t="n">
        <f aca="false">INDEX('Tabela Passaro'!$U$2:$U$1795,$N257)</f>
        <v>0</v>
      </c>
      <c r="Z257" s="32" t="n">
        <f aca="false">INDEX('Tabela Passaro'!$V$2:$V$1795,$N257)</f>
        <v>0</v>
      </c>
      <c r="AA257" s="32" t="n">
        <f aca="false">SUM(R257:Z257)</f>
        <v>121.48986</v>
      </c>
      <c r="AB257" s="33" t="n">
        <f aca="false">INDEX(Premissas!$B$5:$B$13,MATCH(A257,Premissas!$A$5:$A$13,0))</f>
        <v>0.07</v>
      </c>
      <c r="AC257" s="32" t="n">
        <f aca="false">AA257/(1-AB257)-AA257</f>
        <v>9.14439806451614</v>
      </c>
      <c r="AD257" s="32" t="n">
        <f aca="false">ROUND(AA257+AC257,2)</f>
        <v>130.63</v>
      </c>
      <c r="AE257" s="32" t="n">
        <f aca="false">AD257-L257</f>
        <v>-68.6</v>
      </c>
      <c r="AF257" s="34" t="n">
        <f aca="false">IF(L257=0,0,AE257/L257)</f>
        <v>-0.344325653767003</v>
      </c>
      <c r="AG257" s="22" t="str">
        <f aca="false">IF(AD257&lt;L257,"PASSARO","ATUAL")</f>
        <v>PASSARO</v>
      </c>
      <c r="AH257" s="22" t="str">
        <f aca="false">IF(P257&lt;&gt;A257,"Faixa cadastrada como "&amp;P257&amp;" na tabela; preço aplicado pela UF do CEP","")</f>
        <v/>
      </c>
      <c r="AI257" s="26" t="n">
        <v>168.4</v>
      </c>
      <c r="AJ257" s="22" t="str">
        <f aca="false">INDEX('Tabela Passaro'!$X$2:$X$1795,$N257)</f>
        <v>CAPITAL</v>
      </c>
    </row>
    <row r="258" customFormat="false" ht="15" hidden="false" customHeight="false" outlineLevel="0" collapsed="false">
      <c r="A258" s="22" t="s">
        <v>16</v>
      </c>
      <c r="B258" s="22" t="n">
        <v>1</v>
      </c>
      <c r="C258" s="22" t="s">
        <v>75</v>
      </c>
      <c r="D258" s="22" t="s">
        <v>30</v>
      </c>
      <c r="E258" s="22" t="s">
        <v>7326</v>
      </c>
      <c r="F258" s="22" t="n">
        <v>524679</v>
      </c>
      <c r="G258" s="30" t="n">
        <v>46247</v>
      </c>
      <c r="H258" s="22" t="n">
        <v>624351</v>
      </c>
      <c r="I258" s="22" t="s">
        <v>7555</v>
      </c>
      <c r="J258" s="31" t="n">
        <v>67.8</v>
      </c>
      <c r="K258" s="26" t="n">
        <v>1134.98</v>
      </c>
      <c r="L258" s="26" t="n">
        <v>199.1</v>
      </c>
      <c r="M258" s="22" t="s">
        <v>694</v>
      </c>
      <c r="N258" s="22" t="n">
        <f aca="false">MATCH(M258,'Tabela Passaro'!$A$2:$A$1795,0)</f>
        <v>106</v>
      </c>
      <c r="O258" s="22" t="str">
        <f aca="false">INDEX('Tabela Passaro'!$C$2:$C$1795,$N258)</f>
        <v>SALVADOR</v>
      </c>
      <c r="P258" s="22" t="str">
        <f aca="false">INDEX('Tabela Passaro'!$B$2:$B$1795,$N258)</f>
        <v>BA</v>
      </c>
      <c r="Q258" s="22" t="n">
        <f aca="false">INDEX('Tabela Passaro'!$F$2:$F$1795,$N258)</f>
        <v>6</v>
      </c>
      <c r="R258" s="32" t="n">
        <f aca="false">IF(J258&lt;=10,INDEX('Tabela Passaro'!$G$2:$G$1795,$N258),IF(J258&lt;=30,INDEX('Tabela Passaro'!$H$2:$H$1795,$N258),IF(J258&lt;=50,INDEX('Tabela Passaro'!$I$2:$I$1795,$N258),IF(J258&lt;=70,INDEX('Tabela Passaro'!$J$2:$J$1795,$N258),IF(J258&lt;=100,INDEX('Tabela Passaro'!$K$2:$K$1795,$N258),INDEX('Tabela Passaro'!$K$2:$K$1795,$N258)+(J258-100)*INDEX('Tabela Passaro'!$L$2:$L$1795,$N258))))))</f>
        <v>73.44</v>
      </c>
      <c r="S258" s="32" t="n">
        <f aca="false">K258*INDEX('Tabela Passaro'!$M$2:$M$1795,$N258)</f>
        <v>5.6749</v>
      </c>
      <c r="T258" s="32" t="n">
        <f aca="false">K258*INDEX('Tabela Passaro'!$N$2:$N$1795,$N258)</f>
        <v>2.26996</v>
      </c>
      <c r="U258" s="32" t="n">
        <f aca="false">INDEX('Tabela Passaro'!$O$2:$O$1795,$N258)</f>
        <v>5</v>
      </c>
      <c r="V258" s="32" t="n">
        <f aca="false">ROUNDUP(J258/INDEX('Tabela Passaro'!$Q$2:$Q$1795,$N258),0)*INDEX('Tabela Passaro'!$P$2:$P$1795,$N258)</f>
        <v>5</v>
      </c>
      <c r="W258" s="32" t="n">
        <f aca="false">INDEX('Tabela Passaro'!$R$2:$R$1795,$N258)</f>
        <v>30</v>
      </c>
      <c r="X258" s="32" t="n">
        <f aca="false">ROUNDUP(J258/INDEX('Tabela Passaro'!$T$2:$T$1795,$N258),0)*INDEX('Tabela Passaro'!$S$2:$S$1795,$N258)</f>
        <v>0</v>
      </c>
      <c r="Y258" s="32" t="n">
        <f aca="false">INDEX('Tabela Passaro'!$U$2:$U$1795,$N258)</f>
        <v>0</v>
      </c>
      <c r="Z258" s="32" t="n">
        <f aca="false">INDEX('Tabela Passaro'!$V$2:$V$1795,$N258)</f>
        <v>0</v>
      </c>
      <c r="AA258" s="32" t="n">
        <f aca="false">SUM(R258:Z258)</f>
        <v>121.38486</v>
      </c>
      <c r="AB258" s="33" t="n">
        <f aca="false">INDEX(Premissas!$B$5:$B$13,MATCH(A258,Premissas!$A$5:$A$13,0))</f>
        <v>0.07</v>
      </c>
      <c r="AC258" s="32" t="n">
        <f aca="false">AA258/(1-AB258)-AA258</f>
        <v>9.13649483870969</v>
      </c>
      <c r="AD258" s="32" t="n">
        <f aca="false">ROUND(AA258+AC258,2)</f>
        <v>130.52</v>
      </c>
      <c r="AE258" s="32" t="n">
        <f aca="false">AD258-L258</f>
        <v>-68.58</v>
      </c>
      <c r="AF258" s="34" t="n">
        <f aca="false">IF(L258=0,0,AE258/L258)</f>
        <v>-0.344450025113009</v>
      </c>
      <c r="AG258" s="22" t="str">
        <f aca="false">IF(AD258&lt;L258,"PASSARO","ATUAL")</f>
        <v>PASSARO</v>
      </c>
      <c r="AH258" s="22" t="str">
        <f aca="false">IF(P258&lt;&gt;A258,"Faixa cadastrada como "&amp;P258&amp;" na tabela; preço aplicado pela UF do CEP","")</f>
        <v/>
      </c>
      <c r="AI258" s="26" t="n">
        <v>172.12</v>
      </c>
      <c r="AJ258" s="22" t="str">
        <f aca="false">INDEX('Tabela Passaro'!$X$2:$X$1795,$N258)</f>
        <v>CAPITAL</v>
      </c>
    </row>
    <row r="259" customFormat="false" ht="15" hidden="false" customHeight="false" outlineLevel="0" collapsed="false">
      <c r="A259" s="22" t="s">
        <v>16</v>
      </c>
      <c r="B259" s="22" t="n">
        <v>1</v>
      </c>
      <c r="C259" s="22" t="s">
        <v>75</v>
      </c>
      <c r="D259" s="22" t="s">
        <v>30</v>
      </c>
      <c r="E259" s="22" t="s">
        <v>7326</v>
      </c>
      <c r="F259" s="22" t="n">
        <v>524696</v>
      </c>
      <c r="G259" s="30" t="n">
        <v>46247</v>
      </c>
      <c r="H259" s="22" t="n">
        <v>624555</v>
      </c>
      <c r="I259" s="22" t="s">
        <v>7556</v>
      </c>
      <c r="J259" s="31" t="n">
        <v>73.3</v>
      </c>
      <c r="K259" s="26" t="n">
        <v>2450.16</v>
      </c>
      <c r="L259" s="26" t="n">
        <v>264.75</v>
      </c>
      <c r="M259" s="22" t="s">
        <v>694</v>
      </c>
      <c r="N259" s="22" t="n">
        <f aca="false">MATCH(M259,'Tabela Passaro'!$A$2:$A$1795,0)</f>
        <v>106</v>
      </c>
      <c r="O259" s="22" t="str">
        <f aca="false">INDEX('Tabela Passaro'!$C$2:$C$1795,$N259)</f>
        <v>SALVADOR</v>
      </c>
      <c r="P259" s="22" t="str">
        <f aca="false">INDEX('Tabela Passaro'!$B$2:$B$1795,$N259)</f>
        <v>BA</v>
      </c>
      <c r="Q259" s="22" t="n">
        <f aca="false">INDEX('Tabela Passaro'!$F$2:$F$1795,$N259)</f>
        <v>6</v>
      </c>
      <c r="R259" s="32" t="n">
        <f aca="false">IF(J259&lt;=10,INDEX('Tabela Passaro'!$G$2:$G$1795,$N259),IF(J259&lt;=30,INDEX('Tabela Passaro'!$H$2:$H$1795,$N259),IF(J259&lt;=50,INDEX('Tabela Passaro'!$I$2:$I$1795,$N259),IF(J259&lt;=70,INDEX('Tabela Passaro'!$J$2:$J$1795,$N259),IF(J259&lt;=100,INDEX('Tabela Passaro'!$K$2:$K$1795,$N259),INDEX('Tabela Passaro'!$K$2:$K$1795,$N259)+(J259-100)*INDEX('Tabela Passaro'!$L$2:$L$1795,$N259))))))</f>
        <v>84.96</v>
      </c>
      <c r="S259" s="32" t="n">
        <f aca="false">K259*INDEX('Tabela Passaro'!$M$2:$M$1795,$N259)</f>
        <v>12.2508</v>
      </c>
      <c r="T259" s="32" t="n">
        <f aca="false">K259*INDEX('Tabela Passaro'!$N$2:$N$1795,$N259)</f>
        <v>4.90032</v>
      </c>
      <c r="U259" s="32" t="n">
        <f aca="false">INDEX('Tabela Passaro'!$O$2:$O$1795,$N259)</f>
        <v>5</v>
      </c>
      <c r="V259" s="32" t="n">
        <f aca="false">ROUNDUP(J259/INDEX('Tabela Passaro'!$Q$2:$Q$1795,$N259),0)*INDEX('Tabela Passaro'!$P$2:$P$1795,$N259)</f>
        <v>5</v>
      </c>
      <c r="W259" s="32" t="n">
        <f aca="false">INDEX('Tabela Passaro'!$R$2:$R$1795,$N259)</f>
        <v>30</v>
      </c>
      <c r="X259" s="32" t="n">
        <f aca="false">ROUNDUP(J259/INDEX('Tabela Passaro'!$T$2:$T$1795,$N259),0)*INDEX('Tabela Passaro'!$S$2:$S$1795,$N259)</f>
        <v>0</v>
      </c>
      <c r="Y259" s="32" t="n">
        <f aca="false">INDEX('Tabela Passaro'!$U$2:$U$1795,$N259)</f>
        <v>0</v>
      </c>
      <c r="Z259" s="32" t="n">
        <f aca="false">INDEX('Tabela Passaro'!$V$2:$V$1795,$N259)</f>
        <v>0</v>
      </c>
      <c r="AA259" s="32" t="n">
        <f aca="false">SUM(R259:Z259)</f>
        <v>142.11112</v>
      </c>
      <c r="AB259" s="33" t="n">
        <f aca="false">INDEX(Premissas!$B$5:$B$13,MATCH(A259,Premissas!$A$5:$A$13,0))</f>
        <v>0.07</v>
      </c>
      <c r="AC259" s="32" t="n">
        <f aca="false">AA259/(1-AB259)-AA259</f>
        <v>10.6965359139785</v>
      </c>
      <c r="AD259" s="32" t="n">
        <f aca="false">ROUND(AA259+AC259,2)</f>
        <v>152.81</v>
      </c>
      <c r="AE259" s="32" t="n">
        <f aca="false">AD259-L259</f>
        <v>-111.94</v>
      </c>
      <c r="AF259" s="34" t="n">
        <f aca="false">IF(L259=0,0,AE259/L259)</f>
        <v>-0.422813975448536</v>
      </c>
      <c r="AG259" s="22" t="str">
        <f aca="false">IF(AD259&lt;L259,"PASSARO","ATUAL")</f>
        <v>PASSARO</v>
      </c>
      <c r="AH259" s="22" t="str">
        <f aca="false">IF(P259&lt;&gt;A259,"Faixa cadastrada como "&amp;P259&amp;" na tabela; preço aplicado pela UF do CEP","")</f>
        <v/>
      </c>
      <c r="AI259" s="26" t="n">
        <v>200.27</v>
      </c>
      <c r="AJ259" s="22" t="str">
        <f aca="false">INDEX('Tabela Passaro'!$X$2:$X$1795,$N259)</f>
        <v>CAPITAL</v>
      </c>
    </row>
    <row r="260" customFormat="false" ht="15" hidden="false" customHeight="false" outlineLevel="0" collapsed="false">
      <c r="A260" s="22" t="s">
        <v>16</v>
      </c>
      <c r="B260" s="22" t="n">
        <v>1</v>
      </c>
      <c r="C260" s="22" t="s">
        <v>75</v>
      </c>
      <c r="D260" s="22" t="s">
        <v>30</v>
      </c>
      <c r="E260" s="22" t="s">
        <v>7326</v>
      </c>
      <c r="F260" s="22" t="n">
        <v>524700</v>
      </c>
      <c r="G260" s="30" t="n">
        <v>46247</v>
      </c>
      <c r="H260" s="22" t="n">
        <v>624559</v>
      </c>
      <c r="I260" s="22" t="s">
        <v>7557</v>
      </c>
      <c r="J260" s="31" t="n">
        <v>56.2</v>
      </c>
      <c r="K260" s="26" t="n">
        <v>1932.44</v>
      </c>
      <c r="L260" s="26" t="n">
        <v>205.88</v>
      </c>
      <c r="M260" s="22" t="s">
        <v>694</v>
      </c>
      <c r="N260" s="22" t="n">
        <f aca="false">MATCH(M260,'Tabela Passaro'!$A$2:$A$1795,0)</f>
        <v>106</v>
      </c>
      <c r="O260" s="22" t="str">
        <f aca="false">INDEX('Tabela Passaro'!$C$2:$C$1795,$N260)</f>
        <v>SALVADOR</v>
      </c>
      <c r="P260" s="22" t="str">
        <f aca="false">INDEX('Tabela Passaro'!$B$2:$B$1795,$N260)</f>
        <v>BA</v>
      </c>
      <c r="Q260" s="22" t="n">
        <f aca="false">INDEX('Tabela Passaro'!$F$2:$F$1795,$N260)</f>
        <v>6</v>
      </c>
      <c r="R260" s="32" t="n">
        <f aca="false">IF(J260&lt;=10,INDEX('Tabela Passaro'!$G$2:$G$1795,$N260),IF(J260&lt;=30,INDEX('Tabela Passaro'!$H$2:$H$1795,$N260),IF(J260&lt;=50,INDEX('Tabela Passaro'!$I$2:$I$1795,$N260),IF(J260&lt;=70,INDEX('Tabela Passaro'!$J$2:$J$1795,$N260),IF(J260&lt;=100,INDEX('Tabela Passaro'!$K$2:$K$1795,$N260),INDEX('Tabela Passaro'!$K$2:$K$1795,$N260)+(J260-100)*INDEX('Tabela Passaro'!$L$2:$L$1795,$N260))))))</f>
        <v>73.44</v>
      </c>
      <c r="S260" s="32" t="n">
        <f aca="false">K260*INDEX('Tabela Passaro'!$M$2:$M$1795,$N260)</f>
        <v>9.6622</v>
      </c>
      <c r="T260" s="32" t="n">
        <f aca="false">K260*INDEX('Tabela Passaro'!$N$2:$N$1795,$N260)</f>
        <v>3.86488</v>
      </c>
      <c r="U260" s="32" t="n">
        <f aca="false">INDEX('Tabela Passaro'!$O$2:$O$1795,$N260)</f>
        <v>5</v>
      </c>
      <c r="V260" s="32" t="n">
        <f aca="false">ROUNDUP(J260/INDEX('Tabela Passaro'!$Q$2:$Q$1795,$N260),0)*INDEX('Tabela Passaro'!$P$2:$P$1795,$N260)</f>
        <v>5</v>
      </c>
      <c r="W260" s="32" t="n">
        <f aca="false">INDEX('Tabela Passaro'!$R$2:$R$1795,$N260)</f>
        <v>30</v>
      </c>
      <c r="X260" s="32" t="n">
        <f aca="false">ROUNDUP(J260/INDEX('Tabela Passaro'!$T$2:$T$1795,$N260),0)*INDEX('Tabela Passaro'!$S$2:$S$1795,$N260)</f>
        <v>0</v>
      </c>
      <c r="Y260" s="32" t="n">
        <f aca="false">INDEX('Tabela Passaro'!$U$2:$U$1795,$N260)</f>
        <v>0</v>
      </c>
      <c r="Z260" s="32" t="n">
        <f aca="false">INDEX('Tabela Passaro'!$V$2:$V$1795,$N260)</f>
        <v>0</v>
      </c>
      <c r="AA260" s="32" t="n">
        <f aca="false">SUM(R260:Z260)</f>
        <v>126.96708</v>
      </c>
      <c r="AB260" s="33" t="n">
        <f aca="false">INDEX(Premissas!$B$5:$B$13,MATCH(A260,Premissas!$A$5:$A$13,0))</f>
        <v>0.07</v>
      </c>
      <c r="AC260" s="32" t="n">
        <f aca="false">AA260/(1-AB260)-AA260</f>
        <v>9.55666193548389</v>
      </c>
      <c r="AD260" s="32" t="n">
        <f aca="false">ROUND(AA260+AC260,2)</f>
        <v>136.52</v>
      </c>
      <c r="AE260" s="32" t="n">
        <f aca="false">AD260-L260</f>
        <v>-69.36</v>
      </c>
      <c r="AF260" s="34" t="n">
        <f aca="false">IF(L260=0,0,AE260/L260)</f>
        <v>-0.336895278803186</v>
      </c>
      <c r="AG260" s="22" t="str">
        <f aca="false">IF(AD260&lt;L260,"PASSARO","ATUAL")</f>
        <v>PASSARO</v>
      </c>
      <c r="AH260" s="22" t="str">
        <f aca="false">IF(P260&lt;&gt;A260,"Faixa cadastrada como "&amp;P260&amp;" na tabela; preço aplicado pela UF do CEP","")</f>
        <v/>
      </c>
      <c r="AI260" s="26" t="n">
        <v>174.52</v>
      </c>
      <c r="AJ260" s="22" t="str">
        <f aca="false">INDEX('Tabela Passaro'!$X$2:$X$1795,$N260)</f>
        <v>CAPITAL</v>
      </c>
    </row>
    <row r="261" customFormat="false" ht="15" hidden="false" customHeight="false" outlineLevel="0" collapsed="false">
      <c r="A261" s="22" t="s">
        <v>16</v>
      </c>
      <c r="B261" s="22" t="n">
        <v>1</v>
      </c>
      <c r="C261" s="22" t="s">
        <v>75</v>
      </c>
      <c r="D261" s="22" t="s">
        <v>30</v>
      </c>
      <c r="E261" s="22" t="s">
        <v>7328</v>
      </c>
      <c r="F261" s="22" t="n">
        <v>2312272</v>
      </c>
      <c r="G261" s="30" t="n">
        <v>46248</v>
      </c>
      <c r="H261" s="22" t="n">
        <v>133179</v>
      </c>
      <c r="I261" s="22" t="s">
        <v>7558</v>
      </c>
      <c r="J261" s="31" t="n">
        <v>29.2</v>
      </c>
      <c r="K261" s="26" t="n">
        <v>577.48</v>
      </c>
      <c r="L261" s="26" t="n">
        <v>112.18</v>
      </c>
      <c r="M261" s="22" t="s">
        <v>694</v>
      </c>
      <c r="N261" s="22" t="n">
        <f aca="false">MATCH(M261,'Tabela Passaro'!$A$2:$A$1795,0)</f>
        <v>106</v>
      </c>
      <c r="O261" s="22" t="str">
        <f aca="false">INDEX('Tabela Passaro'!$C$2:$C$1795,$N261)</f>
        <v>SALVADOR</v>
      </c>
      <c r="P261" s="22" t="str">
        <f aca="false">INDEX('Tabela Passaro'!$B$2:$B$1795,$N261)</f>
        <v>BA</v>
      </c>
      <c r="Q261" s="22" t="n">
        <f aca="false">INDEX('Tabela Passaro'!$F$2:$F$1795,$N261)</f>
        <v>6</v>
      </c>
      <c r="R261" s="32" t="n">
        <f aca="false">IF(J261&lt;=10,INDEX('Tabela Passaro'!$G$2:$G$1795,$N261),IF(J261&lt;=30,INDEX('Tabela Passaro'!$H$2:$H$1795,$N261),IF(J261&lt;=50,INDEX('Tabela Passaro'!$I$2:$I$1795,$N261),IF(J261&lt;=70,INDEX('Tabela Passaro'!$J$2:$J$1795,$N261),IF(J261&lt;=100,INDEX('Tabela Passaro'!$K$2:$K$1795,$N261),INDEX('Tabela Passaro'!$K$2:$K$1795,$N261)+(J261-100)*INDEX('Tabela Passaro'!$L$2:$L$1795,$N261))))))</f>
        <v>50.4</v>
      </c>
      <c r="S261" s="32" t="n">
        <f aca="false">K261*INDEX('Tabela Passaro'!$M$2:$M$1795,$N261)</f>
        <v>2.8874</v>
      </c>
      <c r="T261" s="32" t="n">
        <f aca="false">K261*INDEX('Tabela Passaro'!$N$2:$N$1795,$N261)</f>
        <v>1.15496</v>
      </c>
      <c r="U261" s="32" t="n">
        <f aca="false">INDEX('Tabela Passaro'!$O$2:$O$1795,$N261)</f>
        <v>5</v>
      </c>
      <c r="V261" s="32" t="n">
        <f aca="false">ROUNDUP(J261/INDEX('Tabela Passaro'!$Q$2:$Q$1795,$N261),0)*INDEX('Tabela Passaro'!$P$2:$P$1795,$N261)</f>
        <v>5</v>
      </c>
      <c r="W261" s="32" t="n">
        <f aca="false">INDEX('Tabela Passaro'!$R$2:$R$1795,$N261)</f>
        <v>30</v>
      </c>
      <c r="X261" s="32" t="n">
        <f aca="false">ROUNDUP(J261/INDEX('Tabela Passaro'!$T$2:$T$1795,$N261),0)*INDEX('Tabela Passaro'!$S$2:$S$1795,$N261)</f>
        <v>0</v>
      </c>
      <c r="Y261" s="32" t="n">
        <f aca="false">INDEX('Tabela Passaro'!$U$2:$U$1795,$N261)</f>
        <v>0</v>
      </c>
      <c r="Z261" s="32" t="n">
        <f aca="false">INDEX('Tabela Passaro'!$V$2:$V$1795,$N261)</f>
        <v>0</v>
      </c>
      <c r="AA261" s="32" t="n">
        <f aca="false">SUM(R261:Z261)</f>
        <v>94.44236</v>
      </c>
      <c r="AB261" s="33" t="n">
        <f aca="false">INDEX(Premissas!$B$5:$B$13,MATCH(A261,Premissas!$A$5:$A$13,0))</f>
        <v>0.07</v>
      </c>
      <c r="AC261" s="32" t="n">
        <f aca="false">AA261/(1-AB261)-AA261</f>
        <v>7.1085647311828</v>
      </c>
      <c r="AD261" s="32" t="n">
        <f aca="false">ROUND(AA261+AC261,2)</f>
        <v>101.55</v>
      </c>
      <c r="AE261" s="32" t="n">
        <f aca="false">AD261-L261</f>
        <v>-10.63</v>
      </c>
      <c r="AF261" s="34" t="n">
        <f aca="false">IF(L261=0,0,AE261/L261)</f>
        <v>-0.0947584239614906</v>
      </c>
      <c r="AG261" s="22" t="str">
        <f aca="false">IF(AD261&lt;L261,"PASSARO","ATUAL")</f>
        <v>PASSARO</v>
      </c>
      <c r="AH261" s="22" t="str">
        <f aca="false">IF(P261&lt;&gt;A261,"Faixa cadastrada como "&amp;P261&amp;" na tabela; preço aplicado pela UF do CEP","")</f>
        <v/>
      </c>
      <c r="AI261" s="26" t="n">
        <v>123.29</v>
      </c>
      <c r="AJ261" s="22" t="str">
        <f aca="false">INDEX('Tabela Passaro'!$X$2:$X$1795,$N261)</f>
        <v>CAPITAL</v>
      </c>
    </row>
    <row r="262" customFormat="false" ht="15" hidden="false" customHeight="false" outlineLevel="0" collapsed="false">
      <c r="A262" s="22" t="s">
        <v>16</v>
      </c>
      <c r="B262" s="22" t="n">
        <v>1</v>
      </c>
      <c r="C262" s="22" t="s">
        <v>75</v>
      </c>
      <c r="D262" s="22" t="s">
        <v>30</v>
      </c>
      <c r="E262" s="22" t="s">
        <v>7328</v>
      </c>
      <c r="F262" s="22" t="n">
        <v>2312271</v>
      </c>
      <c r="G262" s="30" t="n">
        <v>46248</v>
      </c>
      <c r="H262" s="22" t="n">
        <v>133185</v>
      </c>
      <c r="I262" s="22" t="s">
        <v>7559</v>
      </c>
      <c r="J262" s="31" t="n">
        <v>39</v>
      </c>
      <c r="K262" s="26" t="n">
        <v>621.94</v>
      </c>
      <c r="L262" s="26" t="n">
        <v>143.12</v>
      </c>
      <c r="M262" s="22" t="s">
        <v>694</v>
      </c>
      <c r="N262" s="22" t="n">
        <f aca="false">MATCH(M262,'Tabela Passaro'!$A$2:$A$1795,0)</f>
        <v>106</v>
      </c>
      <c r="O262" s="22" t="str">
        <f aca="false">INDEX('Tabela Passaro'!$C$2:$C$1795,$N262)</f>
        <v>SALVADOR</v>
      </c>
      <c r="P262" s="22" t="str">
        <f aca="false">INDEX('Tabela Passaro'!$B$2:$B$1795,$N262)</f>
        <v>BA</v>
      </c>
      <c r="Q262" s="22" t="n">
        <f aca="false">INDEX('Tabela Passaro'!$F$2:$F$1795,$N262)</f>
        <v>6</v>
      </c>
      <c r="R262" s="32" t="n">
        <f aca="false">IF(J262&lt;=10,INDEX('Tabela Passaro'!$G$2:$G$1795,$N262),IF(J262&lt;=30,INDEX('Tabela Passaro'!$H$2:$H$1795,$N262),IF(J262&lt;=50,INDEX('Tabela Passaro'!$I$2:$I$1795,$N262),IF(J262&lt;=70,INDEX('Tabela Passaro'!$J$2:$J$1795,$N262),IF(J262&lt;=100,INDEX('Tabela Passaro'!$K$2:$K$1795,$N262),INDEX('Tabela Passaro'!$K$2:$K$1795,$N262)+(J262-100)*INDEX('Tabela Passaro'!$L$2:$L$1795,$N262))))))</f>
        <v>61.92</v>
      </c>
      <c r="S262" s="32" t="n">
        <f aca="false">K262*INDEX('Tabela Passaro'!$M$2:$M$1795,$N262)</f>
        <v>3.1097</v>
      </c>
      <c r="T262" s="32" t="n">
        <f aca="false">K262*INDEX('Tabela Passaro'!$N$2:$N$1795,$N262)</f>
        <v>1.24388</v>
      </c>
      <c r="U262" s="32" t="n">
        <f aca="false">INDEX('Tabela Passaro'!$O$2:$O$1795,$N262)</f>
        <v>5</v>
      </c>
      <c r="V262" s="32" t="n">
        <f aca="false">ROUNDUP(J262/INDEX('Tabela Passaro'!$Q$2:$Q$1795,$N262),0)*INDEX('Tabela Passaro'!$P$2:$P$1795,$N262)</f>
        <v>5</v>
      </c>
      <c r="W262" s="32" t="n">
        <f aca="false">INDEX('Tabela Passaro'!$R$2:$R$1795,$N262)</f>
        <v>30</v>
      </c>
      <c r="X262" s="32" t="n">
        <f aca="false">ROUNDUP(J262/INDEX('Tabela Passaro'!$T$2:$T$1795,$N262),0)*INDEX('Tabela Passaro'!$S$2:$S$1795,$N262)</f>
        <v>0</v>
      </c>
      <c r="Y262" s="32" t="n">
        <f aca="false">INDEX('Tabela Passaro'!$U$2:$U$1795,$N262)</f>
        <v>0</v>
      </c>
      <c r="Z262" s="32" t="n">
        <f aca="false">INDEX('Tabela Passaro'!$V$2:$V$1795,$N262)</f>
        <v>0</v>
      </c>
      <c r="AA262" s="32" t="n">
        <f aca="false">SUM(R262:Z262)</f>
        <v>106.27358</v>
      </c>
      <c r="AB262" s="33" t="n">
        <f aca="false">INDEX(Premissas!$B$5:$B$13,MATCH(A262,Premissas!$A$5:$A$13,0))</f>
        <v>0.07</v>
      </c>
      <c r="AC262" s="32" t="n">
        <f aca="false">AA262/(1-AB262)-AA262</f>
        <v>7.99908666666667</v>
      </c>
      <c r="AD262" s="32" t="n">
        <f aca="false">ROUND(AA262+AC262,2)</f>
        <v>114.27</v>
      </c>
      <c r="AE262" s="32" t="n">
        <f aca="false">AD262-L262</f>
        <v>-28.85</v>
      </c>
      <c r="AF262" s="34" t="n">
        <f aca="false">IF(L262=0,0,AE262/L262)</f>
        <v>-0.201579094466182</v>
      </c>
      <c r="AG262" s="22" t="str">
        <f aca="false">IF(AD262&lt;L262,"PASSARO","ATUAL")</f>
        <v>PASSARO</v>
      </c>
      <c r="AH262" s="22" t="str">
        <f aca="false">IF(P262&lt;&gt;A262,"Faixa cadastrada como "&amp;P262&amp;" na tabela; preço aplicado pela UF do CEP","")</f>
        <v/>
      </c>
      <c r="AI262" s="26" t="n">
        <v>140.6</v>
      </c>
      <c r="AJ262" s="22" t="str">
        <f aca="false">INDEX('Tabela Passaro'!$X$2:$X$1795,$N262)</f>
        <v>CAPITAL</v>
      </c>
    </row>
    <row r="263" customFormat="false" ht="15" hidden="false" customHeight="false" outlineLevel="0" collapsed="false">
      <c r="A263" s="22" t="s">
        <v>16</v>
      </c>
      <c r="B263" s="22" t="n">
        <v>1</v>
      </c>
      <c r="C263" s="22" t="s">
        <v>75</v>
      </c>
      <c r="D263" s="22" t="s">
        <v>30</v>
      </c>
      <c r="E263" s="22" t="s">
        <v>7328</v>
      </c>
      <c r="F263" s="22" t="n">
        <v>2312291</v>
      </c>
      <c r="G263" s="30" t="n">
        <v>46248</v>
      </c>
      <c r="H263" s="22" t="n">
        <v>133190</v>
      </c>
      <c r="I263" s="22" t="s">
        <v>7560</v>
      </c>
      <c r="J263" s="31" t="n">
        <v>46.8</v>
      </c>
      <c r="K263" s="26" t="n">
        <v>789.98</v>
      </c>
      <c r="L263" s="26" t="n">
        <v>144.45</v>
      </c>
      <c r="M263" s="22" t="s">
        <v>694</v>
      </c>
      <c r="N263" s="22" t="n">
        <f aca="false">MATCH(M263,'Tabela Passaro'!$A$2:$A$1795,0)</f>
        <v>106</v>
      </c>
      <c r="O263" s="22" t="str">
        <f aca="false">INDEX('Tabela Passaro'!$C$2:$C$1795,$N263)</f>
        <v>SALVADOR</v>
      </c>
      <c r="P263" s="22" t="str">
        <f aca="false">INDEX('Tabela Passaro'!$B$2:$B$1795,$N263)</f>
        <v>BA</v>
      </c>
      <c r="Q263" s="22" t="n">
        <f aca="false">INDEX('Tabela Passaro'!$F$2:$F$1795,$N263)</f>
        <v>6</v>
      </c>
      <c r="R263" s="32" t="n">
        <f aca="false">IF(J263&lt;=10,INDEX('Tabela Passaro'!$G$2:$G$1795,$N263),IF(J263&lt;=30,INDEX('Tabela Passaro'!$H$2:$H$1795,$N263),IF(J263&lt;=50,INDEX('Tabela Passaro'!$I$2:$I$1795,$N263),IF(J263&lt;=70,INDEX('Tabela Passaro'!$J$2:$J$1795,$N263),IF(J263&lt;=100,INDEX('Tabela Passaro'!$K$2:$K$1795,$N263),INDEX('Tabela Passaro'!$K$2:$K$1795,$N263)+(J263-100)*INDEX('Tabela Passaro'!$L$2:$L$1795,$N263))))))</f>
        <v>61.92</v>
      </c>
      <c r="S263" s="32" t="n">
        <f aca="false">K263*INDEX('Tabela Passaro'!$M$2:$M$1795,$N263)</f>
        <v>3.9499</v>
      </c>
      <c r="T263" s="32" t="n">
        <f aca="false">K263*INDEX('Tabela Passaro'!$N$2:$N$1795,$N263)</f>
        <v>1.57996</v>
      </c>
      <c r="U263" s="32" t="n">
        <f aca="false">INDEX('Tabela Passaro'!$O$2:$O$1795,$N263)</f>
        <v>5</v>
      </c>
      <c r="V263" s="32" t="n">
        <f aca="false">ROUNDUP(J263/INDEX('Tabela Passaro'!$Q$2:$Q$1795,$N263),0)*INDEX('Tabela Passaro'!$P$2:$P$1795,$N263)</f>
        <v>5</v>
      </c>
      <c r="W263" s="32" t="n">
        <f aca="false">INDEX('Tabela Passaro'!$R$2:$R$1795,$N263)</f>
        <v>30</v>
      </c>
      <c r="X263" s="32" t="n">
        <f aca="false">ROUNDUP(J263/INDEX('Tabela Passaro'!$T$2:$T$1795,$N263),0)*INDEX('Tabela Passaro'!$S$2:$S$1795,$N263)</f>
        <v>0</v>
      </c>
      <c r="Y263" s="32" t="n">
        <f aca="false">INDEX('Tabela Passaro'!$U$2:$U$1795,$N263)</f>
        <v>0</v>
      </c>
      <c r="Z263" s="32" t="n">
        <f aca="false">INDEX('Tabela Passaro'!$V$2:$V$1795,$N263)</f>
        <v>0</v>
      </c>
      <c r="AA263" s="32" t="n">
        <f aca="false">SUM(R263:Z263)</f>
        <v>107.44986</v>
      </c>
      <c r="AB263" s="33" t="n">
        <f aca="false">INDEX(Premissas!$B$5:$B$13,MATCH(A263,Premissas!$A$5:$A$13,0))</f>
        <v>0.07</v>
      </c>
      <c r="AC263" s="32" t="n">
        <f aca="false">AA263/(1-AB263)-AA263</f>
        <v>8.08762387096775</v>
      </c>
      <c r="AD263" s="32" t="n">
        <f aca="false">ROUND(AA263+AC263,2)</f>
        <v>115.54</v>
      </c>
      <c r="AE263" s="32" t="n">
        <f aca="false">AD263-L263</f>
        <v>-28.91</v>
      </c>
      <c r="AF263" s="34" t="n">
        <f aca="false">IF(L263=0,0,AE263/L263)</f>
        <v>-0.200138456213222</v>
      </c>
      <c r="AG263" s="22" t="str">
        <f aca="false">IF(AD263&lt;L263,"PASSARO","ATUAL")</f>
        <v>PASSARO</v>
      </c>
      <c r="AH263" s="22" t="str">
        <f aca="false">IF(P263&lt;&gt;A263,"Faixa cadastrada como "&amp;P263&amp;" na tabela; preço aplicado pela UF do CEP","")</f>
        <v/>
      </c>
      <c r="AI263" s="26" t="n">
        <v>146.1</v>
      </c>
      <c r="AJ263" s="22" t="str">
        <f aca="false">INDEX('Tabela Passaro'!$X$2:$X$1795,$N263)</f>
        <v>CAPITAL</v>
      </c>
    </row>
    <row r="264" customFormat="false" ht="15" hidden="false" customHeight="false" outlineLevel="0" collapsed="false">
      <c r="A264" s="22" t="s">
        <v>16</v>
      </c>
      <c r="B264" s="22" t="n">
        <v>1</v>
      </c>
      <c r="C264" s="22" t="s">
        <v>75</v>
      </c>
      <c r="D264" s="22" t="s">
        <v>30</v>
      </c>
      <c r="E264" s="22" t="s">
        <v>7328</v>
      </c>
      <c r="F264" s="22" t="n">
        <v>2312300</v>
      </c>
      <c r="G264" s="30" t="n">
        <v>46248</v>
      </c>
      <c r="H264" s="22" t="n">
        <v>133211</v>
      </c>
      <c r="I264" s="22" t="s">
        <v>7561</v>
      </c>
      <c r="J264" s="31" t="n">
        <v>34.4</v>
      </c>
      <c r="K264" s="26" t="n">
        <v>595.95</v>
      </c>
      <c r="L264" s="26" t="n">
        <v>142.92</v>
      </c>
      <c r="M264" s="22" t="s">
        <v>694</v>
      </c>
      <c r="N264" s="22" t="n">
        <f aca="false">MATCH(M264,'Tabela Passaro'!$A$2:$A$1795,0)</f>
        <v>106</v>
      </c>
      <c r="O264" s="22" t="str">
        <f aca="false">INDEX('Tabela Passaro'!$C$2:$C$1795,$N264)</f>
        <v>SALVADOR</v>
      </c>
      <c r="P264" s="22" t="str">
        <f aca="false">INDEX('Tabela Passaro'!$B$2:$B$1795,$N264)</f>
        <v>BA</v>
      </c>
      <c r="Q264" s="22" t="n">
        <f aca="false">INDEX('Tabela Passaro'!$F$2:$F$1795,$N264)</f>
        <v>6</v>
      </c>
      <c r="R264" s="32" t="n">
        <f aca="false">IF(J264&lt;=10,INDEX('Tabela Passaro'!$G$2:$G$1795,$N264),IF(J264&lt;=30,INDEX('Tabela Passaro'!$H$2:$H$1795,$N264),IF(J264&lt;=50,INDEX('Tabela Passaro'!$I$2:$I$1795,$N264),IF(J264&lt;=70,INDEX('Tabela Passaro'!$J$2:$J$1795,$N264),IF(J264&lt;=100,INDEX('Tabela Passaro'!$K$2:$K$1795,$N264),INDEX('Tabela Passaro'!$K$2:$K$1795,$N264)+(J264-100)*INDEX('Tabela Passaro'!$L$2:$L$1795,$N264))))))</f>
        <v>61.92</v>
      </c>
      <c r="S264" s="32" t="n">
        <f aca="false">K264*INDEX('Tabela Passaro'!$M$2:$M$1795,$N264)</f>
        <v>2.97975</v>
      </c>
      <c r="T264" s="32" t="n">
        <f aca="false">K264*INDEX('Tabela Passaro'!$N$2:$N$1795,$N264)</f>
        <v>1.1919</v>
      </c>
      <c r="U264" s="32" t="n">
        <f aca="false">INDEX('Tabela Passaro'!$O$2:$O$1795,$N264)</f>
        <v>5</v>
      </c>
      <c r="V264" s="32" t="n">
        <f aca="false">ROUNDUP(J264/INDEX('Tabela Passaro'!$Q$2:$Q$1795,$N264),0)*INDEX('Tabela Passaro'!$P$2:$P$1795,$N264)</f>
        <v>5</v>
      </c>
      <c r="W264" s="32" t="n">
        <f aca="false">INDEX('Tabela Passaro'!$R$2:$R$1795,$N264)</f>
        <v>30</v>
      </c>
      <c r="X264" s="32" t="n">
        <f aca="false">ROUNDUP(J264/INDEX('Tabela Passaro'!$T$2:$T$1795,$N264),0)*INDEX('Tabela Passaro'!$S$2:$S$1795,$N264)</f>
        <v>0</v>
      </c>
      <c r="Y264" s="32" t="n">
        <f aca="false">INDEX('Tabela Passaro'!$U$2:$U$1795,$N264)</f>
        <v>0</v>
      </c>
      <c r="Z264" s="32" t="n">
        <f aca="false">INDEX('Tabela Passaro'!$V$2:$V$1795,$N264)</f>
        <v>0</v>
      </c>
      <c r="AA264" s="32" t="n">
        <f aca="false">SUM(R264:Z264)</f>
        <v>106.09165</v>
      </c>
      <c r="AB264" s="33" t="n">
        <f aca="false">INDEX(Premissas!$B$5:$B$13,MATCH(A264,Premissas!$A$5:$A$13,0))</f>
        <v>0.07</v>
      </c>
      <c r="AC264" s="32" t="n">
        <f aca="false">AA264/(1-AB264)-AA264</f>
        <v>7.9853930107527</v>
      </c>
      <c r="AD264" s="32" t="n">
        <f aca="false">ROUND(AA264+AC264,2)</f>
        <v>114.08</v>
      </c>
      <c r="AE264" s="32" t="n">
        <f aca="false">AD264-L264</f>
        <v>-28.84</v>
      </c>
      <c r="AF264" s="34" t="n">
        <f aca="false">IF(L264=0,0,AE264/L264)</f>
        <v>-0.201791211866779</v>
      </c>
      <c r="AG264" s="22" t="str">
        <f aca="false">IF(AD264&lt;L264,"PASSARO","ATUAL")</f>
        <v>PASSARO</v>
      </c>
      <c r="AH264" s="22" t="str">
        <f aca="false">IF(P264&lt;&gt;A264,"Faixa cadastrada como "&amp;P264&amp;" na tabela; preço aplicado pela UF do CEP","")</f>
        <v/>
      </c>
      <c r="AI264" s="26" t="n">
        <v>138.41</v>
      </c>
      <c r="AJ264" s="22" t="str">
        <f aca="false">INDEX('Tabela Passaro'!$X$2:$X$1795,$N264)</f>
        <v>CAPITAL</v>
      </c>
    </row>
    <row r="265" customFormat="false" ht="15" hidden="false" customHeight="false" outlineLevel="0" collapsed="false">
      <c r="A265" s="22" t="s">
        <v>16</v>
      </c>
      <c r="B265" s="22" t="n">
        <v>1</v>
      </c>
      <c r="C265" s="22" t="s">
        <v>75</v>
      </c>
      <c r="D265" s="22" t="s">
        <v>30</v>
      </c>
      <c r="E265" s="22" t="s">
        <v>7328</v>
      </c>
      <c r="F265" s="22" t="n">
        <v>2312302</v>
      </c>
      <c r="G265" s="30" t="n">
        <v>46248</v>
      </c>
      <c r="H265" s="22" t="n">
        <v>133212</v>
      </c>
      <c r="I265" s="22" t="s">
        <v>7562</v>
      </c>
      <c r="J265" s="31" t="n">
        <v>41</v>
      </c>
      <c r="K265" s="26" t="n">
        <v>549.98</v>
      </c>
      <c r="L265" s="26" t="n">
        <v>142.55</v>
      </c>
      <c r="M265" s="22" t="s">
        <v>694</v>
      </c>
      <c r="N265" s="22" t="n">
        <f aca="false">MATCH(M265,'Tabela Passaro'!$A$2:$A$1795,0)</f>
        <v>106</v>
      </c>
      <c r="O265" s="22" t="str">
        <f aca="false">INDEX('Tabela Passaro'!$C$2:$C$1795,$N265)</f>
        <v>SALVADOR</v>
      </c>
      <c r="P265" s="22" t="str">
        <f aca="false">INDEX('Tabela Passaro'!$B$2:$B$1795,$N265)</f>
        <v>BA</v>
      </c>
      <c r="Q265" s="22" t="n">
        <f aca="false">INDEX('Tabela Passaro'!$F$2:$F$1795,$N265)</f>
        <v>6</v>
      </c>
      <c r="R265" s="32" t="n">
        <f aca="false">IF(J265&lt;=10,INDEX('Tabela Passaro'!$G$2:$G$1795,$N265),IF(J265&lt;=30,INDEX('Tabela Passaro'!$H$2:$H$1795,$N265),IF(J265&lt;=50,INDEX('Tabela Passaro'!$I$2:$I$1795,$N265),IF(J265&lt;=70,INDEX('Tabela Passaro'!$J$2:$J$1795,$N265),IF(J265&lt;=100,INDEX('Tabela Passaro'!$K$2:$K$1795,$N265),INDEX('Tabela Passaro'!$K$2:$K$1795,$N265)+(J265-100)*INDEX('Tabela Passaro'!$L$2:$L$1795,$N265))))))</f>
        <v>61.92</v>
      </c>
      <c r="S265" s="32" t="n">
        <f aca="false">K265*INDEX('Tabela Passaro'!$M$2:$M$1795,$N265)</f>
        <v>2.7499</v>
      </c>
      <c r="T265" s="32" t="n">
        <f aca="false">K265*INDEX('Tabela Passaro'!$N$2:$N$1795,$N265)</f>
        <v>1.09996</v>
      </c>
      <c r="U265" s="32" t="n">
        <f aca="false">INDEX('Tabela Passaro'!$O$2:$O$1795,$N265)</f>
        <v>5</v>
      </c>
      <c r="V265" s="32" t="n">
        <f aca="false">ROUNDUP(J265/INDEX('Tabela Passaro'!$Q$2:$Q$1795,$N265),0)*INDEX('Tabela Passaro'!$P$2:$P$1795,$N265)</f>
        <v>5</v>
      </c>
      <c r="W265" s="32" t="n">
        <f aca="false">INDEX('Tabela Passaro'!$R$2:$R$1795,$N265)</f>
        <v>30</v>
      </c>
      <c r="X265" s="32" t="n">
        <f aca="false">ROUNDUP(J265/INDEX('Tabela Passaro'!$T$2:$T$1795,$N265),0)*INDEX('Tabela Passaro'!$S$2:$S$1795,$N265)</f>
        <v>0</v>
      </c>
      <c r="Y265" s="32" t="n">
        <f aca="false">INDEX('Tabela Passaro'!$U$2:$U$1795,$N265)</f>
        <v>0</v>
      </c>
      <c r="Z265" s="32" t="n">
        <f aca="false">INDEX('Tabela Passaro'!$V$2:$V$1795,$N265)</f>
        <v>0</v>
      </c>
      <c r="AA265" s="32" t="n">
        <f aca="false">SUM(R265:Z265)</f>
        <v>105.76986</v>
      </c>
      <c r="AB265" s="33" t="n">
        <f aca="false">INDEX(Premissas!$B$5:$B$13,MATCH(A265,Premissas!$A$5:$A$13,0))</f>
        <v>0.07</v>
      </c>
      <c r="AC265" s="32" t="n">
        <f aca="false">AA265/(1-AB265)-AA265</f>
        <v>7.96117225806452</v>
      </c>
      <c r="AD265" s="32" t="n">
        <f aca="false">ROUND(AA265+AC265,2)</f>
        <v>113.73</v>
      </c>
      <c r="AE265" s="32" t="n">
        <f aca="false">AD265-L265</f>
        <v>-28.82</v>
      </c>
      <c r="AF265" s="34" t="n">
        <f aca="false">IF(L265=0,0,AE265/L265)</f>
        <v>-0.202174675552438</v>
      </c>
      <c r="AG265" s="22" t="str">
        <f aca="false">IF(AD265&lt;L265,"PASSARO","ATUAL")</f>
        <v>PASSARO</v>
      </c>
      <c r="AH265" s="22" t="str">
        <f aca="false">IF(P265&lt;&gt;A265,"Faixa cadastrada como "&amp;P265&amp;" na tabela; preço aplicado pela UF do CEP","")</f>
        <v/>
      </c>
      <c r="AI265" s="26" t="n">
        <v>140.87</v>
      </c>
      <c r="AJ265" s="22" t="str">
        <f aca="false">INDEX('Tabela Passaro'!$X$2:$X$1795,$N265)</f>
        <v>CAPITAL</v>
      </c>
    </row>
    <row r="266" customFormat="false" ht="15" hidden="false" customHeight="false" outlineLevel="0" collapsed="false">
      <c r="A266" s="22" t="s">
        <v>16</v>
      </c>
      <c r="B266" s="22" t="n">
        <v>1</v>
      </c>
      <c r="C266" s="22" t="s">
        <v>75</v>
      </c>
      <c r="D266" s="22" t="s">
        <v>30</v>
      </c>
      <c r="E266" s="22" t="s">
        <v>7328</v>
      </c>
      <c r="F266" s="22" t="n">
        <v>2312310</v>
      </c>
      <c r="G266" s="30" t="n">
        <v>46248</v>
      </c>
      <c r="H266" s="22" t="n">
        <v>133216</v>
      </c>
      <c r="I266" s="22" t="s">
        <v>7563</v>
      </c>
      <c r="J266" s="31" t="n">
        <v>27.6</v>
      </c>
      <c r="K266" s="26" t="n">
        <v>676.99</v>
      </c>
      <c r="L266" s="26" t="n">
        <v>112.96</v>
      </c>
      <c r="M266" s="22" t="s">
        <v>694</v>
      </c>
      <c r="N266" s="22" t="n">
        <f aca="false">MATCH(M266,'Tabela Passaro'!$A$2:$A$1795,0)</f>
        <v>106</v>
      </c>
      <c r="O266" s="22" t="str">
        <f aca="false">INDEX('Tabela Passaro'!$C$2:$C$1795,$N266)</f>
        <v>SALVADOR</v>
      </c>
      <c r="P266" s="22" t="str">
        <f aca="false">INDEX('Tabela Passaro'!$B$2:$B$1795,$N266)</f>
        <v>BA</v>
      </c>
      <c r="Q266" s="22" t="n">
        <f aca="false">INDEX('Tabela Passaro'!$F$2:$F$1795,$N266)</f>
        <v>6</v>
      </c>
      <c r="R266" s="32" t="n">
        <f aca="false">IF(J266&lt;=10,INDEX('Tabela Passaro'!$G$2:$G$1795,$N266),IF(J266&lt;=30,INDEX('Tabela Passaro'!$H$2:$H$1795,$N266),IF(J266&lt;=50,INDEX('Tabela Passaro'!$I$2:$I$1795,$N266),IF(J266&lt;=70,INDEX('Tabela Passaro'!$J$2:$J$1795,$N266),IF(J266&lt;=100,INDEX('Tabela Passaro'!$K$2:$K$1795,$N266),INDEX('Tabela Passaro'!$K$2:$K$1795,$N266)+(J266-100)*INDEX('Tabela Passaro'!$L$2:$L$1795,$N266))))))</f>
        <v>50.4</v>
      </c>
      <c r="S266" s="32" t="n">
        <f aca="false">K266*INDEX('Tabela Passaro'!$M$2:$M$1795,$N266)</f>
        <v>3.38495</v>
      </c>
      <c r="T266" s="32" t="n">
        <f aca="false">K266*INDEX('Tabela Passaro'!$N$2:$N$1795,$N266)</f>
        <v>1.35398</v>
      </c>
      <c r="U266" s="32" t="n">
        <f aca="false">INDEX('Tabela Passaro'!$O$2:$O$1795,$N266)</f>
        <v>5</v>
      </c>
      <c r="V266" s="32" t="n">
        <f aca="false">ROUNDUP(J266/INDEX('Tabela Passaro'!$Q$2:$Q$1795,$N266),0)*INDEX('Tabela Passaro'!$P$2:$P$1795,$N266)</f>
        <v>5</v>
      </c>
      <c r="W266" s="32" t="n">
        <f aca="false">INDEX('Tabela Passaro'!$R$2:$R$1795,$N266)</f>
        <v>30</v>
      </c>
      <c r="X266" s="32" t="n">
        <f aca="false">ROUNDUP(J266/INDEX('Tabela Passaro'!$T$2:$T$1795,$N266),0)*INDEX('Tabela Passaro'!$S$2:$S$1795,$N266)</f>
        <v>0</v>
      </c>
      <c r="Y266" s="32" t="n">
        <f aca="false">INDEX('Tabela Passaro'!$U$2:$U$1795,$N266)</f>
        <v>0</v>
      </c>
      <c r="Z266" s="32" t="n">
        <f aca="false">INDEX('Tabela Passaro'!$V$2:$V$1795,$N266)</f>
        <v>0</v>
      </c>
      <c r="AA266" s="32" t="n">
        <f aca="false">SUM(R266:Z266)</f>
        <v>95.13893</v>
      </c>
      <c r="AB266" s="33" t="n">
        <f aca="false">INDEX(Premissas!$B$5:$B$13,MATCH(A266,Premissas!$A$5:$A$13,0))</f>
        <v>0.07</v>
      </c>
      <c r="AC266" s="32" t="n">
        <f aca="false">AA266/(1-AB266)-AA266</f>
        <v>7.1609947311828</v>
      </c>
      <c r="AD266" s="32" t="n">
        <f aca="false">ROUND(AA266+AC266,2)</f>
        <v>102.3</v>
      </c>
      <c r="AE266" s="32" t="n">
        <f aca="false">AD266-L266</f>
        <v>-10.66</v>
      </c>
      <c r="AF266" s="34" t="n">
        <f aca="false">IF(L266=0,0,AE266/L266)</f>
        <v>-0.0943696883852691</v>
      </c>
      <c r="AG266" s="22" t="str">
        <f aca="false">IF(AD266&lt;L266,"PASSARO","ATUAL")</f>
        <v>PASSARO</v>
      </c>
      <c r="AH266" s="22" t="str">
        <f aca="false">IF(P266&lt;&gt;A266,"Faixa cadastrada como "&amp;P266&amp;" na tabela; preço aplicado pela UF do CEP","")</f>
        <v/>
      </c>
      <c r="AI266" s="26" t="n">
        <v>123.28</v>
      </c>
      <c r="AJ266" s="22" t="str">
        <f aca="false">INDEX('Tabela Passaro'!$X$2:$X$1795,$N266)</f>
        <v>CAPITAL</v>
      </c>
    </row>
    <row r="267" customFormat="false" ht="15" hidden="false" customHeight="false" outlineLevel="0" collapsed="false">
      <c r="A267" s="22" t="s">
        <v>16</v>
      </c>
      <c r="B267" s="22" t="n">
        <v>1</v>
      </c>
      <c r="C267" s="22" t="s">
        <v>75</v>
      </c>
      <c r="D267" s="22" t="s">
        <v>30</v>
      </c>
      <c r="E267" s="22" t="s">
        <v>7328</v>
      </c>
      <c r="F267" s="22" t="n">
        <v>2312332</v>
      </c>
      <c r="G267" s="30" t="n">
        <v>46248</v>
      </c>
      <c r="H267" s="22" t="n">
        <v>133241</v>
      </c>
      <c r="I267" s="22" t="s">
        <v>7564</v>
      </c>
      <c r="J267" s="31" t="n">
        <v>106.5</v>
      </c>
      <c r="K267" s="26" t="n">
        <v>1488.98</v>
      </c>
      <c r="L267" s="26" t="n">
        <v>233.98</v>
      </c>
      <c r="M267" s="22" t="s">
        <v>694</v>
      </c>
      <c r="N267" s="22" t="n">
        <f aca="false">MATCH(M267,'Tabela Passaro'!$A$2:$A$1795,0)</f>
        <v>106</v>
      </c>
      <c r="O267" s="22" t="str">
        <f aca="false">INDEX('Tabela Passaro'!$C$2:$C$1795,$N267)</f>
        <v>SALVADOR</v>
      </c>
      <c r="P267" s="22" t="str">
        <f aca="false">INDEX('Tabela Passaro'!$B$2:$B$1795,$N267)</f>
        <v>BA</v>
      </c>
      <c r="Q267" s="22" t="n">
        <f aca="false">INDEX('Tabela Passaro'!$F$2:$F$1795,$N267)</f>
        <v>6</v>
      </c>
      <c r="R267" s="32" t="n">
        <f aca="false">IF(J267&lt;=10,INDEX('Tabela Passaro'!$G$2:$G$1795,$N267),IF(J267&lt;=30,INDEX('Tabela Passaro'!$H$2:$H$1795,$N267),IF(J267&lt;=50,INDEX('Tabela Passaro'!$I$2:$I$1795,$N267),IF(J267&lt;=70,INDEX('Tabela Passaro'!$J$2:$J$1795,$N267),IF(J267&lt;=100,INDEX('Tabela Passaro'!$K$2:$K$1795,$N267),INDEX('Tabela Passaro'!$K$2:$K$1795,$N267)+(J267-100)*INDEX('Tabela Passaro'!$L$2:$L$1795,$N267))))))</f>
        <v>92.5</v>
      </c>
      <c r="S267" s="32" t="n">
        <f aca="false">K267*INDEX('Tabela Passaro'!$M$2:$M$1795,$N267)</f>
        <v>7.4449</v>
      </c>
      <c r="T267" s="32" t="n">
        <f aca="false">K267*INDEX('Tabela Passaro'!$N$2:$N$1795,$N267)</f>
        <v>2.97796</v>
      </c>
      <c r="U267" s="32" t="n">
        <f aca="false">INDEX('Tabela Passaro'!$O$2:$O$1795,$N267)</f>
        <v>5</v>
      </c>
      <c r="V267" s="32" t="n">
        <f aca="false">ROUNDUP(J267/INDEX('Tabela Passaro'!$Q$2:$Q$1795,$N267),0)*INDEX('Tabela Passaro'!$P$2:$P$1795,$N267)</f>
        <v>10</v>
      </c>
      <c r="W267" s="32" t="n">
        <f aca="false">INDEX('Tabela Passaro'!$R$2:$R$1795,$N267)</f>
        <v>30</v>
      </c>
      <c r="X267" s="32" t="n">
        <f aca="false">ROUNDUP(J267/INDEX('Tabela Passaro'!$T$2:$T$1795,$N267),0)*INDEX('Tabela Passaro'!$S$2:$S$1795,$N267)</f>
        <v>0</v>
      </c>
      <c r="Y267" s="32" t="n">
        <f aca="false">INDEX('Tabela Passaro'!$U$2:$U$1795,$N267)</f>
        <v>0</v>
      </c>
      <c r="Z267" s="32" t="n">
        <f aca="false">INDEX('Tabela Passaro'!$V$2:$V$1795,$N267)</f>
        <v>0</v>
      </c>
      <c r="AA267" s="32" t="n">
        <f aca="false">SUM(R267:Z267)</f>
        <v>147.92286</v>
      </c>
      <c r="AB267" s="33" t="n">
        <f aca="false">INDEX(Premissas!$B$5:$B$13,MATCH(A267,Premissas!$A$5:$A$13,0))</f>
        <v>0.07</v>
      </c>
      <c r="AC267" s="32" t="n">
        <f aca="false">AA267/(1-AB267)-AA267</f>
        <v>11.1339787096774</v>
      </c>
      <c r="AD267" s="32" t="n">
        <f aca="false">ROUND(AA267+AC267,2)</f>
        <v>159.06</v>
      </c>
      <c r="AE267" s="32" t="n">
        <f aca="false">AD267-L267</f>
        <v>-74.92</v>
      </c>
      <c r="AF267" s="34" t="n">
        <f aca="false">IF(L267=0,0,AE267/L267)</f>
        <v>-0.320198307547654</v>
      </c>
      <c r="AG267" s="22" t="str">
        <f aca="false">IF(AD267&lt;L267,"PASSARO","ATUAL")</f>
        <v>PASSARO</v>
      </c>
      <c r="AH267" s="22" t="str">
        <f aca="false">IF(P267&lt;&gt;A267,"Faixa cadastrada como "&amp;P267&amp;" na tabela; preço aplicado pela UF do CEP","")</f>
        <v/>
      </c>
      <c r="AI267" s="26" t="n">
        <v>221.47</v>
      </c>
      <c r="AJ267" s="22" t="str">
        <f aca="false">INDEX('Tabela Passaro'!$X$2:$X$1795,$N267)</f>
        <v>CAPITAL</v>
      </c>
    </row>
    <row r="268" customFormat="false" ht="15" hidden="false" customHeight="false" outlineLevel="0" collapsed="false">
      <c r="A268" s="22" t="s">
        <v>16</v>
      </c>
      <c r="B268" s="22" t="n">
        <v>1</v>
      </c>
      <c r="C268" s="22" t="s">
        <v>75</v>
      </c>
      <c r="D268" s="22" t="s">
        <v>30</v>
      </c>
      <c r="E268" s="22" t="s">
        <v>7328</v>
      </c>
      <c r="F268" s="22" t="n">
        <v>2312336</v>
      </c>
      <c r="G268" s="30" t="n">
        <v>46248</v>
      </c>
      <c r="H268" s="22" t="n">
        <v>133243</v>
      </c>
      <c r="I268" s="22" t="s">
        <v>7565</v>
      </c>
      <c r="J268" s="31" t="n">
        <v>59.8</v>
      </c>
      <c r="K268" s="26" t="n">
        <v>981.07</v>
      </c>
      <c r="L268" s="26" t="n">
        <v>167.07</v>
      </c>
      <c r="M268" s="22" t="s">
        <v>694</v>
      </c>
      <c r="N268" s="22" t="n">
        <f aca="false">MATCH(M268,'Tabela Passaro'!$A$2:$A$1795,0)</f>
        <v>106</v>
      </c>
      <c r="O268" s="22" t="str">
        <f aca="false">INDEX('Tabela Passaro'!$C$2:$C$1795,$N268)</f>
        <v>SALVADOR</v>
      </c>
      <c r="P268" s="22" t="str">
        <f aca="false">INDEX('Tabela Passaro'!$B$2:$B$1795,$N268)</f>
        <v>BA</v>
      </c>
      <c r="Q268" s="22" t="n">
        <f aca="false">INDEX('Tabela Passaro'!$F$2:$F$1795,$N268)</f>
        <v>6</v>
      </c>
      <c r="R268" s="32" t="n">
        <f aca="false">IF(J268&lt;=10,INDEX('Tabela Passaro'!$G$2:$G$1795,$N268),IF(J268&lt;=30,INDEX('Tabela Passaro'!$H$2:$H$1795,$N268),IF(J268&lt;=50,INDEX('Tabela Passaro'!$I$2:$I$1795,$N268),IF(J268&lt;=70,INDEX('Tabela Passaro'!$J$2:$J$1795,$N268),IF(J268&lt;=100,INDEX('Tabela Passaro'!$K$2:$K$1795,$N268),INDEX('Tabela Passaro'!$K$2:$K$1795,$N268)+(J268-100)*INDEX('Tabela Passaro'!$L$2:$L$1795,$N268))))))</f>
        <v>73.44</v>
      </c>
      <c r="S268" s="32" t="n">
        <f aca="false">K268*INDEX('Tabela Passaro'!$M$2:$M$1795,$N268)</f>
        <v>4.90535</v>
      </c>
      <c r="T268" s="32" t="n">
        <f aca="false">K268*INDEX('Tabela Passaro'!$N$2:$N$1795,$N268)</f>
        <v>1.96214</v>
      </c>
      <c r="U268" s="32" t="n">
        <f aca="false">INDEX('Tabela Passaro'!$O$2:$O$1795,$N268)</f>
        <v>5</v>
      </c>
      <c r="V268" s="32" t="n">
        <f aca="false">ROUNDUP(J268/INDEX('Tabela Passaro'!$Q$2:$Q$1795,$N268),0)*INDEX('Tabela Passaro'!$P$2:$P$1795,$N268)</f>
        <v>5</v>
      </c>
      <c r="W268" s="32" t="n">
        <f aca="false">INDEX('Tabela Passaro'!$R$2:$R$1795,$N268)</f>
        <v>30</v>
      </c>
      <c r="X268" s="32" t="n">
        <f aca="false">ROUNDUP(J268/INDEX('Tabela Passaro'!$T$2:$T$1795,$N268),0)*INDEX('Tabela Passaro'!$S$2:$S$1795,$N268)</f>
        <v>0</v>
      </c>
      <c r="Y268" s="32" t="n">
        <f aca="false">INDEX('Tabela Passaro'!$U$2:$U$1795,$N268)</f>
        <v>0</v>
      </c>
      <c r="Z268" s="32" t="n">
        <f aca="false">INDEX('Tabela Passaro'!$V$2:$V$1795,$N268)</f>
        <v>0</v>
      </c>
      <c r="AA268" s="32" t="n">
        <f aca="false">SUM(R268:Z268)</f>
        <v>120.30749</v>
      </c>
      <c r="AB268" s="33" t="n">
        <f aca="false">INDEX(Premissas!$B$5:$B$13,MATCH(A268,Premissas!$A$5:$A$13,0))</f>
        <v>0.07</v>
      </c>
      <c r="AC268" s="32" t="n">
        <f aca="false">AA268/(1-AB268)-AA268</f>
        <v>9.05540247311828</v>
      </c>
      <c r="AD268" s="32" t="n">
        <f aca="false">ROUND(AA268+AC268,2)</f>
        <v>129.36</v>
      </c>
      <c r="AE268" s="32" t="n">
        <f aca="false">AD268-L268</f>
        <v>-37.71</v>
      </c>
      <c r="AF268" s="34" t="n">
        <f aca="false">IF(L268=0,0,AE268/L268)</f>
        <v>-0.225713772670138</v>
      </c>
      <c r="AG268" s="22" t="str">
        <f aca="false">IF(AD268&lt;L268,"PASSARO","ATUAL")</f>
        <v>PASSARO</v>
      </c>
      <c r="AH268" s="22" t="str">
        <f aca="false">IF(P268&lt;&gt;A268,"Faixa cadastrada como "&amp;P268&amp;" na tabela; preço aplicado pela UF do CEP","")</f>
        <v/>
      </c>
      <c r="AI268" s="26" t="n">
        <v>166.76</v>
      </c>
      <c r="AJ268" s="22" t="str">
        <f aca="false">INDEX('Tabela Passaro'!$X$2:$X$1795,$N268)</f>
        <v>CAPITAL</v>
      </c>
    </row>
    <row r="269" customFormat="false" ht="15" hidden="false" customHeight="false" outlineLevel="0" collapsed="false">
      <c r="A269" s="22" t="s">
        <v>16</v>
      </c>
      <c r="B269" s="22" t="n">
        <v>1</v>
      </c>
      <c r="C269" s="22" t="s">
        <v>75</v>
      </c>
      <c r="D269" s="22" t="s">
        <v>30</v>
      </c>
      <c r="E269" s="22" t="s">
        <v>7328</v>
      </c>
      <c r="F269" s="22" t="n">
        <v>2312348</v>
      </c>
      <c r="G269" s="30" t="n">
        <v>46248</v>
      </c>
      <c r="H269" s="22" t="n">
        <v>133249</v>
      </c>
      <c r="I269" s="22" t="s">
        <v>7566</v>
      </c>
      <c r="J269" s="31" t="n">
        <v>27.4</v>
      </c>
      <c r="K269" s="26" t="n">
        <v>469.83</v>
      </c>
      <c r="L269" s="26" t="n">
        <v>111.32</v>
      </c>
      <c r="M269" s="22" t="s">
        <v>694</v>
      </c>
      <c r="N269" s="22" t="n">
        <f aca="false">MATCH(M269,'Tabela Passaro'!$A$2:$A$1795,0)</f>
        <v>106</v>
      </c>
      <c r="O269" s="22" t="str">
        <f aca="false">INDEX('Tabela Passaro'!$C$2:$C$1795,$N269)</f>
        <v>SALVADOR</v>
      </c>
      <c r="P269" s="22" t="str">
        <f aca="false">INDEX('Tabela Passaro'!$B$2:$B$1795,$N269)</f>
        <v>BA</v>
      </c>
      <c r="Q269" s="22" t="n">
        <f aca="false">INDEX('Tabela Passaro'!$F$2:$F$1795,$N269)</f>
        <v>6</v>
      </c>
      <c r="R269" s="32" t="n">
        <f aca="false">IF(J269&lt;=10,INDEX('Tabela Passaro'!$G$2:$G$1795,$N269),IF(J269&lt;=30,INDEX('Tabela Passaro'!$H$2:$H$1795,$N269),IF(J269&lt;=50,INDEX('Tabela Passaro'!$I$2:$I$1795,$N269),IF(J269&lt;=70,INDEX('Tabela Passaro'!$J$2:$J$1795,$N269),IF(J269&lt;=100,INDEX('Tabela Passaro'!$K$2:$K$1795,$N269),INDEX('Tabela Passaro'!$K$2:$K$1795,$N269)+(J269-100)*INDEX('Tabela Passaro'!$L$2:$L$1795,$N269))))))</f>
        <v>50.4</v>
      </c>
      <c r="S269" s="32" t="n">
        <f aca="false">K269*INDEX('Tabela Passaro'!$M$2:$M$1795,$N269)</f>
        <v>2.34915</v>
      </c>
      <c r="T269" s="32" t="n">
        <f aca="false">K269*INDEX('Tabela Passaro'!$N$2:$N$1795,$N269)</f>
        <v>0.93966</v>
      </c>
      <c r="U269" s="32" t="n">
        <f aca="false">INDEX('Tabela Passaro'!$O$2:$O$1795,$N269)</f>
        <v>5</v>
      </c>
      <c r="V269" s="32" t="n">
        <f aca="false">ROUNDUP(J269/INDEX('Tabela Passaro'!$Q$2:$Q$1795,$N269),0)*INDEX('Tabela Passaro'!$P$2:$P$1795,$N269)</f>
        <v>5</v>
      </c>
      <c r="W269" s="32" t="n">
        <f aca="false">INDEX('Tabela Passaro'!$R$2:$R$1795,$N269)</f>
        <v>30</v>
      </c>
      <c r="X269" s="32" t="n">
        <f aca="false">ROUNDUP(J269/INDEX('Tabela Passaro'!$T$2:$T$1795,$N269),0)*INDEX('Tabela Passaro'!$S$2:$S$1795,$N269)</f>
        <v>0</v>
      </c>
      <c r="Y269" s="32" t="n">
        <f aca="false">INDEX('Tabela Passaro'!$U$2:$U$1795,$N269)</f>
        <v>0</v>
      </c>
      <c r="Z269" s="32" t="n">
        <f aca="false">INDEX('Tabela Passaro'!$V$2:$V$1795,$N269)</f>
        <v>0</v>
      </c>
      <c r="AA269" s="32" t="n">
        <f aca="false">SUM(R269:Z269)</f>
        <v>93.68881</v>
      </c>
      <c r="AB269" s="33" t="n">
        <f aca="false">INDEX(Premissas!$B$5:$B$13,MATCH(A269,Premissas!$A$5:$A$13,0))</f>
        <v>0.07</v>
      </c>
      <c r="AC269" s="32" t="n">
        <f aca="false">AA269/(1-AB269)-AA269</f>
        <v>7.0518459139785</v>
      </c>
      <c r="AD269" s="32" t="n">
        <f aca="false">ROUND(AA269+AC269,2)</f>
        <v>100.74</v>
      </c>
      <c r="AE269" s="32" t="n">
        <f aca="false">AD269-L269</f>
        <v>-10.58</v>
      </c>
      <c r="AF269" s="34" t="n">
        <f aca="false">IF(L269=0,0,AE269/L269)</f>
        <v>-0.0950413223140496</v>
      </c>
      <c r="AG269" s="22" t="str">
        <f aca="false">IF(AD269&lt;L269,"PASSARO","ATUAL")</f>
        <v>PASSARO</v>
      </c>
      <c r="AH269" s="22" t="str">
        <f aca="false">IF(P269&lt;&gt;A269,"Faixa cadastrada como "&amp;P269&amp;" na tabela; preço aplicado pela UF do CEP","")</f>
        <v/>
      </c>
      <c r="AI269" s="26" t="n">
        <v>121.28</v>
      </c>
      <c r="AJ269" s="22" t="str">
        <f aca="false">INDEX('Tabela Passaro'!$X$2:$X$1795,$N269)</f>
        <v>CAPITAL</v>
      </c>
    </row>
    <row r="270" customFormat="false" ht="15" hidden="false" customHeight="false" outlineLevel="0" collapsed="false">
      <c r="A270" s="22" t="s">
        <v>16</v>
      </c>
      <c r="B270" s="22" t="n">
        <v>1</v>
      </c>
      <c r="C270" s="22" t="s">
        <v>75</v>
      </c>
      <c r="D270" s="22" t="s">
        <v>30</v>
      </c>
      <c r="E270" s="22" t="s">
        <v>7328</v>
      </c>
      <c r="F270" s="22" t="n">
        <v>2312351</v>
      </c>
      <c r="G270" s="30" t="n">
        <v>46248</v>
      </c>
      <c r="H270" s="22" t="n">
        <v>133258</v>
      </c>
      <c r="I270" s="22" t="s">
        <v>7567</v>
      </c>
      <c r="J270" s="31" t="n">
        <v>40</v>
      </c>
      <c r="K270" s="26" t="n">
        <v>668.2</v>
      </c>
      <c r="L270" s="26" t="n">
        <v>143.49</v>
      </c>
      <c r="M270" s="22" t="s">
        <v>694</v>
      </c>
      <c r="N270" s="22" t="n">
        <f aca="false">MATCH(M270,'Tabela Passaro'!$A$2:$A$1795,0)</f>
        <v>106</v>
      </c>
      <c r="O270" s="22" t="str">
        <f aca="false">INDEX('Tabela Passaro'!$C$2:$C$1795,$N270)</f>
        <v>SALVADOR</v>
      </c>
      <c r="P270" s="22" t="str">
        <f aca="false">INDEX('Tabela Passaro'!$B$2:$B$1795,$N270)</f>
        <v>BA</v>
      </c>
      <c r="Q270" s="22" t="n">
        <f aca="false">INDEX('Tabela Passaro'!$F$2:$F$1795,$N270)</f>
        <v>6</v>
      </c>
      <c r="R270" s="32" t="n">
        <f aca="false">IF(J270&lt;=10,INDEX('Tabela Passaro'!$G$2:$G$1795,$N270),IF(J270&lt;=30,INDEX('Tabela Passaro'!$H$2:$H$1795,$N270),IF(J270&lt;=50,INDEX('Tabela Passaro'!$I$2:$I$1795,$N270),IF(J270&lt;=70,INDEX('Tabela Passaro'!$J$2:$J$1795,$N270),IF(J270&lt;=100,INDEX('Tabela Passaro'!$K$2:$K$1795,$N270),INDEX('Tabela Passaro'!$K$2:$K$1795,$N270)+(J270-100)*INDEX('Tabela Passaro'!$L$2:$L$1795,$N270))))))</f>
        <v>61.92</v>
      </c>
      <c r="S270" s="32" t="n">
        <f aca="false">K270*INDEX('Tabela Passaro'!$M$2:$M$1795,$N270)</f>
        <v>3.341</v>
      </c>
      <c r="T270" s="32" t="n">
        <f aca="false">K270*INDEX('Tabela Passaro'!$N$2:$N$1795,$N270)</f>
        <v>1.3364</v>
      </c>
      <c r="U270" s="32" t="n">
        <f aca="false">INDEX('Tabela Passaro'!$O$2:$O$1795,$N270)</f>
        <v>5</v>
      </c>
      <c r="V270" s="32" t="n">
        <f aca="false">ROUNDUP(J270/INDEX('Tabela Passaro'!$Q$2:$Q$1795,$N270),0)*INDEX('Tabela Passaro'!$P$2:$P$1795,$N270)</f>
        <v>5</v>
      </c>
      <c r="W270" s="32" t="n">
        <f aca="false">INDEX('Tabela Passaro'!$R$2:$R$1795,$N270)</f>
        <v>30</v>
      </c>
      <c r="X270" s="32" t="n">
        <f aca="false">ROUNDUP(J270/INDEX('Tabela Passaro'!$T$2:$T$1795,$N270),0)*INDEX('Tabela Passaro'!$S$2:$S$1795,$N270)</f>
        <v>0</v>
      </c>
      <c r="Y270" s="32" t="n">
        <f aca="false">INDEX('Tabela Passaro'!$U$2:$U$1795,$N270)</f>
        <v>0</v>
      </c>
      <c r="Z270" s="32" t="n">
        <f aca="false">INDEX('Tabela Passaro'!$V$2:$V$1795,$N270)</f>
        <v>0</v>
      </c>
      <c r="AA270" s="32" t="n">
        <f aca="false">SUM(R270:Z270)</f>
        <v>106.5974</v>
      </c>
      <c r="AB270" s="33" t="n">
        <f aca="false">INDEX(Premissas!$B$5:$B$13,MATCH(A270,Premissas!$A$5:$A$13,0))</f>
        <v>0.07</v>
      </c>
      <c r="AC270" s="32" t="n">
        <f aca="false">AA270/(1-AB270)-AA270</f>
        <v>8.02346021505377</v>
      </c>
      <c r="AD270" s="32" t="n">
        <f aca="false">ROUND(AA270+AC270,2)</f>
        <v>114.62</v>
      </c>
      <c r="AE270" s="32" t="n">
        <f aca="false">AD270-L270</f>
        <v>-28.87</v>
      </c>
      <c r="AF270" s="34" t="n">
        <f aca="false">IF(L270=0,0,AE270/L270)</f>
        <v>-0.201198689804168</v>
      </c>
      <c r="AG270" s="22" t="str">
        <f aca="false">IF(AD270&lt;L270,"PASSARO","ATUAL")</f>
        <v>PASSARO</v>
      </c>
      <c r="AH270" s="22" t="str">
        <f aca="false">IF(P270&lt;&gt;A270,"Faixa cadastrada como "&amp;P270&amp;" na tabela; preço aplicado pela UF do CEP","")</f>
        <v/>
      </c>
      <c r="AI270" s="26" t="n">
        <v>141.53</v>
      </c>
      <c r="AJ270" s="22" t="str">
        <f aca="false">INDEX('Tabela Passaro'!$X$2:$X$1795,$N270)</f>
        <v>CAPITAL</v>
      </c>
    </row>
    <row r="271" customFormat="false" ht="15" hidden="false" customHeight="false" outlineLevel="0" collapsed="false">
      <c r="A271" s="22" t="s">
        <v>16</v>
      </c>
      <c r="B271" s="22" t="n">
        <v>1</v>
      </c>
      <c r="C271" s="22" t="s">
        <v>75</v>
      </c>
      <c r="D271" s="22" t="s">
        <v>30</v>
      </c>
      <c r="E271" s="22" t="s">
        <v>7328</v>
      </c>
      <c r="F271" s="22" t="n">
        <v>2312341</v>
      </c>
      <c r="G271" s="30" t="n">
        <v>46248</v>
      </c>
      <c r="H271" s="22" t="n">
        <v>133260</v>
      </c>
      <c r="I271" s="22" t="s">
        <v>7568</v>
      </c>
      <c r="J271" s="31" t="n">
        <v>39</v>
      </c>
      <c r="K271" s="26" t="n">
        <v>759.98</v>
      </c>
      <c r="L271" s="26" t="n">
        <v>144.22</v>
      </c>
      <c r="M271" s="22" t="s">
        <v>694</v>
      </c>
      <c r="N271" s="22" t="n">
        <f aca="false">MATCH(M271,'Tabela Passaro'!$A$2:$A$1795,0)</f>
        <v>106</v>
      </c>
      <c r="O271" s="22" t="str">
        <f aca="false">INDEX('Tabela Passaro'!$C$2:$C$1795,$N271)</f>
        <v>SALVADOR</v>
      </c>
      <c r="P271" s="22" t="str">
        <f aca="false">INDEX('Tabela Passaro'!$B$2:$B$1795,$N271)</f>
        <v>BA</v>
      </c>
      <c r="Q271" s="22" t="n">
        <f aca="false">INDEX('Tabela Passaro'!$F$2:$F$1795,$N271)</f>
        <v>6</v>
      </c>
      <c r="R271" s="32" t="n">
        <f aca="false">IF(J271&lt;=10,INDEX('Tabela Passaro'!$G$2:$G$1795,$N271),IF(J271&lt;=30,INDEX('Tabela Passaro'!$H$2:$H$1795,$N271),IF(J271&lt;=50,INDEX('Tabela Passaro'!$I$2:$I$1795,$N271),IF(J271&lt;=70,INDEX('Tabela Passaro'!$J$2:$J$1795,$N271),IF(J271&lt;=100,INDEX('Tabela Passaro'!$K$2:$K$1795,$N271),INDEX('Tabela Passaro'!$K$2:$K$1795,$N271)+(J271-100)*INDEX('Tabela Passaro'!$L$2:$L$1795,$N271))))))</f>
        <v>61.92</v>
      </c>
      <c r="S271" s="32" t="n">
        <f aca="false">K271*INDEX('Tabela Passaro'!$M$2:$M$1795,$N271)</f>
        <v>3.7999</v>
      </c>
      <c r="T271" s="32" t="n">
        <f aca="false">K271*INDEX('Tabela Passaro'!$N$2:$N$1795,$N271)</f>
        <v>1.51996</v>
      </c>
      <c r="U271" s="32" t="n">
        <f aca="false">INDEX('Tabela Passaro'!$O$2:$O$1795,$N271)</f>
        <v>5</v>
      </c>
      <c r="V271" s="32" t="n">
        <f aca="false">ROUNDUP(J271/INDEX('Tabela Passaro'!$Q$2:$Q$1795,$N271),0)*INDEX('Tabela Passaro'!$P$2:$P$1795,$N271)</f>
        <v>5</v>
      </c>
      <c r="W271" s="32" t="n">
        <f aca="false">INDEX('Tabela Passaro'!$R$2:$R$1795,$N271)</f>
        <v>30</v>
      </c>
      <c r="X271" s="32" t="n">
        <f aca="false">ROUNDUP(J271/INDEX('Tabela Passaro'!$T$2:$T$1795,$N271),0)*INDEX('Tabela Passaro'!$S$2:$S$1795,$N271)</f>
        <v>0</v>
      </c>
      <c r="Y271" s="32" t="n">
        <f aca="false">INDEX('Tabela Passaro'!$U$2:$U$1795,$N271)</f>
        <v>0</v>
      </c>
      <c r="Z271" s="32" t="n">
        <f aca="false">INDEX('Tabela Passaro'!$V$2:$V$1795,$N271)</f>
        <v>0</v>
      </c>
      <c r="AA271" s="32" t="n">
        <f aca="false">SUM(R271:Z271)</f>
        <v>107.23986</v>
      </c>
      <c r="AB271" s="33" t="n">
        <f aca="false">INDEX(Premissas!$B$5:$B$13,MATCH(A271,Premissas!$A$5:$A$13,0))</f>
        <v>0.07</v>
      </c>
      <c r="AC271" s="32" t="n">
        <f aca="false">AA271/(1-AB271)-AA271</f>
        <v>8.07181741935484</v>
      </c>
      <c r="AD271" s="32" t="n">
        <f aca="false">ROUND(AA271+AC271,2)</f>
        <v>115.31</v>
      </c>
      <c r="AE271" s="32" t="n">
        <f aca="false">AD271-L271</f>
        <v>-28.91</v>
      </c>
      <c r="AF271" s="34" t="n">
        <f aca="false">IF(L271=0,0,AE271/L271)</f>
        <v>-0.200457634170018</v>
      </c>
      <c r="AG271" s="22" t="str">
        <f aca="false">IF(AD271&lt;L271,"PASSARO","ATUAL")</f>
        <v>PASSARO</v>
      </c>
      <c r="AH271" s="22" t="str">
        <f aca="false">IF(P271&lt;&gt;A271,"Faixa cadastrada como "&amp;P271&amp;" na tabela; preço aplicado pela UF do CEP","")</f>
        <v/>
      </c>
      <c r="AI271" s="26" t="n">
        <v>141.94</v>
      </c>
      <c r="AJ271" s="22" t="str">
        <f aca="false">INDEX('Tabela Passaro'!$X$2:$X$1795,$N271)</f>
        <v>CAPITAL</v>
      </c>
    </row>
    <row r="272" customFormat="false" ht="15" hidden="false" customHeight="false" outlineLevel="0" collapsed="false">
      <c r="A272" s="22" t="s">
        <v>16</v>
      </c>
      <c r="B272" s="22" t="n">
        <v>1</v>
      </c>
      <c r="C272" s="22" t="s">
        <v>75</v>
      </c>
      <c r="D272" s="22" t="s">
        <v>30</v>
      </c>
      <c r="E272" s="22" t="s">
        <v>7328</v>
      </c>
      <c r="F272" s="22" t="n">
        <v>2312384</v>
      </c>
      <c r="G272" s="30" t="n">
        <v>46248</v>
      </c>
      <c r="H272" s="22" t="n">
        <v>133281</v>
      </c>
      <c r="I272" s="22" t="s">
        <v>7569</v>
      </c>
      <c r="J272" s="31" t="n">
        <v>134.4</v>
      </c>
      <c r="K272" s="26" t="n">
        <v>1987.98</v>
      </c>
      <c r="L272" s="26" t="n">
        <v>262.66</v>
      </c>
      <c r="M272" s="22" t="s">
        <v>694</v>
      </c>
      <c r="N272" s="22" t="n">
        <f aca="false">MATCH(M272,'Tabela Passaro'!$A$2:$A$1795,0)</f>
        <v>106</v>
      </c>
      <c r="O272" s="22" t="str">
        <f aca="false">INDEX('Tabela Passaro'!$C$2:$C$1795,$N272)</f>
        <v>SALVADOR</v>
      </c>
      <c r="P272" s="22" t="str">
        <f aca="false">INDEX('Tabela Passaro'!$B$2:$B$1795,$N272)</f>
        <v>BA</v>
      </c>
      <c r="Q272" s="22" t="n">
        <f aca="false">INDEX('Tabela Passaro'!$F$2:$F$1795,$N272)</f>
        <v>6</v>
      </c>
      <c r="R272" s="32" t="n">
        <f aca="false">IF(J272&lt;=10,INDEX('Tabela Passaro'!$G$2:$G$1795,$N272),IF(J272&lt;=30,INDEX('Tabela Passaro'!$H$2:$H$1795,$N272),IF(J272&lt;=50,INDEX('Tabela Passaro'!$I$2:$I$1795,$N272),IF(J272&lt;=70,INDEX('Tabela Passaro'!$J$2:$J$1795,$N272),IF(J272&lt;=100,INDEX('Tabela Passaro'!$K$2:$K$1795,$N272),INDEX('Tabela Passaro'!$K$2:$K$1795,$N272)+(J272-100)*INDEX('Tabela Passaro'!$L$2:$L$1795,$N272))))))</f>
        <v>124.864</v>
      </c>
      <c r="S272" s="32" t="n">
        <f aca="false">K272*INDEX('Tabela Passaro'!$M$2:$M$1795,$N272)</f>
        <v>9.9399</v>
      </c>
      <c r="T272" s="32" t="n">
        <f aca="false">K272*INDEX('Tabela Passaro'!$N$2:$N$1795,$N272)</f>
        <v>3.97596</v>
      </c>
      <c r="U272" s="32" t="n">
        <f aca="false">INDEX('Tabela Passaro'!$O$2:$O$1795,$N272)</f>
        <v>5</v>
      </c>
      <c r="V272" s="32" t="n">
        <f aca="false">ROUNDUP(J272/INDEX('Tabela Passaro'!$Q$2:$Q$1795,$N272),0)*INDEX('Tabela Passaro'!$P$2:$P$1795,$N272)</f>
        <v>10</v>
      </c>
      <c r="W272" s="32" t="n">
        <f aca="false">INDEX('Tabela Passaro'!$R$2:$R$1795,$N272)</f>
        <v>30</v>
      </c>
      <c r="X272" s="32" t="n">
        <f aca="false">ROUNDUP(J272/INDEX('Tabela Passaro'!$T$2:$T$1795,$N272),0)*INDEX('Tabela Passaro'!$S$2:$S$1795,$N272)</f>
        <v>0</v>
      </c>
      <c r="Y272" s="32" t="n">
        <f aca="false">INDEX('Tabela Passaro'!$U$2:$U$1795,$N272)</f>
        <v>0</v>
      </c>
      <c r="Z272" s="32" t="n">
        <f aca="false">INDEX('Tabela Passaro'!$V$2:$V$1795,$N272)</f>
        <v>0</v>
      </c>
      <c r="AA272" s="32" t="n">
        <f aca="false">SUM(R272:Z272)</f>
        <v>183.77986</v>
      </c>
      <c r="AB272" s="33" t="n">
        <f aca="false">INDEX(Premissas!$B$5:$B$13,MATCH(A272,Premissas!$A$5:$A$13,0))</f>
        <v>0.07</v>
      </c>
      <c r="AC272" s="32" t="n">
        <f aca="false">AA272/(1-AB272)-AA272</f>
        <v>13.8328926881721</v>
      </c>
      <c r="AD272" s="32" t="n">
        <f aca="false">ROUND(AA272+AC272,2)</f>
        <v>197.61</v>
      </c>
      <c r="AE272" s="32" t="n">
        <f aca="false">AD272-L272</f>
        <v>-65.05</v>
      </c>
      <c r="AF272" s="34" t="n">
        <f aca="false">IF(L272=0,0,AE272/L272)</f>
        <v>-0.247658570014467</v>
      </c>
      <c r="AG272" s="22" t="str">
        <f aca="false">IF(AD272&lt;L272,"PASSARO","ATUAL")</f>
        <v>PASSARO</v>
      </c>
      <c r="AH272" s="22" t="str">
        <f aca="false">IF(P272&lt;&gt;A272,"Faixa cadastrada como "&amp;P272&amp;" na tabela; preço aplicado pela UF do CEP","")</f>
        <v/>
      </c>
      <c r="AI272" s="26" t="n">
        <v>279.15</v>
      </c>
      <c r="AJ272" s="22" t="str">
        <f aca="false">INDEX('Tabela Passaro'!$X$2:$X$1795,$N272)</f>
        <v>CAPITAL</v>
      </c>
    </row>
    <row r="273" customFormat="false" ht="15" hidden="false" customHeight="false" outlineLevel="0" collapsed="false">
      <c r="A273" s="22" t="s">
        <v>16</v>
      </c>
      <c r="B273" s="22" t="n">
        <v>1</v>
      </c>
      <c r="C273" s="22" t="s">
        <v>75</v>
      </c>
      <c r="D273" s="22" t="s">
        <v>30</v>
      </c>
      <c r="E273" s="22" t="s">
        <v>7328</v>
      </c>
      <c r="F273" s="22" t="n">
        <v>2312374</v>
      </c>
      <c r="G273" s="30" t="n">
        <v>46248</v>
      </c>
      <c r="H273" s="22" t="n">
        <v>133309</v>
      </c>
      <c r="I273" s="22" t="s">
        <v>7570</v>
      </c>
      <c r="J273" s="31" t="n">
        <v>67.3</v>
      </c>
      <c r="K273" s="26" t="n">
        <v>881.29</v>
      </c>
      <c r="L273" s="26" t="n">
        <v>166.28</v>
      </c>
      <c r="M273" s="22" t="s">
        <v>694</v>
      </c>
      <c r="N273" s="22" t="n">
        <f aca="false">MATCH(M273,'Tabela Passaro'!$A$2:$A$1795,0)</f>
        <v>106</v>
      </c>
      <c r="O273" s="22" t="str">
        <f aca="false">INDEX('Tabela Passaro'!$C$2:$C$1795,$N273)</f>
        <v>SALVADOR</v>
      </c>
      <c r="P273" s="22" t="str">
        <f aca="false">INDEX('Tabela Passaro'!$B$2:$B$1795,$N273)</f>
        <v>BA</v>
      </c>
      <c r="Q273" s="22" t="n">
        <f aca="false">INDEX('Tabela Passaro'!$F$2:$F$1795,$N273)</f>
        <v>6</v>
      </c>
      <c r="R273" s="32" t="n">
        <f aca="false">IF(J273&lt;=10,INDEX('Tabela Passaro'!$G$2:$G$1795,$N273),IF(J273&lt;=30,INDEX('Tabela Passaro'!$H$2:$H$1795,$N273),IF(J273&lt;=50,INDEX('Tabela Passaro'!$I$2:$I$1795,$N273),IF(J273&lt;=70,INDEX('Tabela Passaro'!$J$2:$J$1795,$N273),IF(J273&lt;=100,INDEX('Tabela Passaro'!$K$2:$K$1795,$N273),INDEX('Tabela Passaro'!$K$2:$K$1795,$N273)+(J273-100)*INDEX('Tabela Passaro'!$L$2:$L$1795,$N273))))))</f>
        <v>73.44</v>
      </c>
      <c r="S273" s="32" t="n">
        <f aca="false">K273*INDEX('Tabela Passaro'!$M$2:$M$1795,$N273)</f>
        <v>4.40645</v>
      </c>
      <c r="T273" s="32" t="n">
        <f aca="false">K273*INDEX('Tabela Passaro'!$N$2:$N$1795,$N273)</f>
        <v>1.76258</v>
      </c>
      <c r="U273" s="32" t="n">
        <f aca="false">INDEX('Tabela Passaro'!$O$2:$O$1795,$N273)</f>
        <v>5</v>
      </c>
      <c r="V273" s="32" t="n">
        <f aca="false">ROUNDUP(J273/INDEX('Tabela Passaro'!$Q$2:$Q$1795,$N273),0)*INDEX('Tabela Passaro'!$P$2:$P$1795,$N273)</f>
        <v>5</v>
      </c>
      <c r="W273" s="32" t="n">
        <f aca="false">INDEX('Tabela Passaro'!$R$2:$R$1795,$N273)</f>
        <v>30</v>
      </c>
      <c r="X273" s="32" t="n">
        <f aca="false">ROUNDUP(J273/INDEX('Tabela Passaro'!$T$2:$T$1795,$N273),0)*INDEX('Tabela Passaro'!$S$2:$S$1795,$N273)</f>
        <v>0</v>
      </c>
      <c r="Y273" s="32" t="n">
        <f aca="false">INDEX('Tabela Passaro'!$U$2:$U$1795,$N273)</f>
        <v>0</v>
      </c>
      <c r="Z273" s="32" t="n">
        <f aca="false">INDEX('Tabela Passaro'!$V$2:$V$1795,$N273)</f>
        <v>0</v>
      </c>
      <c r="AA273" s="32" t="n">
        <f aca="false">SUM(R273:Z273)</f>
        <v>119.60903</v>
      </c>
      <c r="AB273" s="33" t="n">
        <f aca="false">INDEX(Premissas!$B$5:$B$13,MATCH(A273,Premissas!$A$5:$A$13,0))</f>
        <v>0.07</v>
      </c>
      <c r="AC273" s="32" t="n">
        <f aca="false">AA273/(1-AB273)-AA273</f>
        <v>9.00283021505378</v>
      </c>
      <c r="AD273" s="32" t="n">
        <f aca="false">ROUND(AA273+AC273,2)</f>
        <v>128.61</v>
      </c>
      <c r="AE273" s="32" t="n">
        <f aca="false">AD273-L273</f>
        <v>-37.67</v>
      </c>
      <c r="AF273" s="34" t="n">
        <f aca="false">IF(L273=0,0,AE273/L273)</f>
        <v>-0.226545585758961</v>
      </c>
      <c r="AG273" s="22" t="str">
        <f aca="false">IF(AD273&lt;L273,"PASSARO","ATUAL")</f>
        <v>PASSARO</v>
      </c>
      <c r="AH273" s="22" t="str">
        <f aca="false">IF(P273&lt;&gt;A273,"Faixa cadastrada como "&amp;P273&amp;" na tabela; preço aplicado pela UF do CEP","")</f>
        <v/>
      </c>
      <c r="AI273" s="26" t="n">
        <v>169.67</v>
      </c>
      <c r="AJ273" s="22" t="str">
        <f aca="false">INDEX('Tabela Passaro'!$X$2:$X$1795,$N273)</f>
        <v>CAPITAL</v>
      </c>
    </row>
    <row r="274" customFormat="false" ht="15" hidden="false" customHeight="false" outlineLevel="0" collapsed="false">
      <c r="A274" s="22" t="s">
        <v>16</v>
      </c>
      <c r="B274" s="22" t="n">
        <v>1</v>
      </c>
      <c r="C274" s="22" t="s">
        <v>75</v>
      </c>
      <c r="D274" s="22" t="s">
        <v>30</v>
      </c>
      <c r="E274" s="22" t="s">
        <v>7328</v>
      </c>
      <c r="F274" s="22" t="n">
        <v>2312408</v>
      </c>
      <c r="G274" s="30" t="n">
        <v>46248</v>
      </c>
      <c r="H274" s="22" t="n">
        <v>133324</v>
      </c>
      <c r="I274" s="22" t="s">
        <v>7571</v>
      </c>
      <c r="J274" s="31" t="n">
        <v>67.3</v>
      </c>
      <c r="K274" s="26" t="n">
        <v>814.98</v>
      </c>
      <c r="L274" s="26" t="n">
        <v>165.75</v>
      </c>
      <c r="M274" s="22" t="s">
        <v>694</v>
      </c>
      <c r="N274" s="22" t="n">
        <f aca="false">MATCH(M274,'Tabela Passaro'!$A$2:$A$1795,0)</f>
        <v>106</v>
      </c>
      <c r="O274" s="22" t="str">
        <f aca="false">INDEX('Tabela Passaro'!$C$2:$C$1795,$N274)</f>
        <v>SALVADOR</v>
      </c>
      <c r="P274" s="22" t="str">
        <f aca="false">INDEX('Tabela Passaro'!$B$2:$B$1795,$N274)</f>
        <v>BA</v>
      </c>
      <c r="Q274" s="22" t="n">
        <f aca="false">INDEX('Tabela Passaro'!$F$2:$F$1795,$N274)</f>
        <v>6</v>
      </c>
      <c r="R274" s="32" t="n">
        <f aca="false">IF(J274&lt;=10,INDEX('Tabela Passaro'!$G$2:$G$1795,$N274),IF(J274&lt;=30,INDEX('Tabela Passaro'!$H$2:$H$1795,$N274),IF(J274&lt;=50,INDEX('Tabela Passaro'!$I$2:$I$1795,$N274),IF(J274&lt;=70,INDEX('Tabela Passaro'!$J$2:$J$1795,$N274),IF(J274&lt;=100,INDEX('Tabela Passaro'!$K$2:$K$1795,$N274),INDEX('Tabela Passaro'!$K$2:$K$1795,$N274)+(J274-100)*INDEX('Tabela Passaro'!$L$2:$L$1795,$N274))))))</f>
        <v>73.44</v>
      </c>
      <c r="S274" s="32" t="n">
        <f aca="false">K274*INDEX('Tabela Passaro'!$M$2:$M$1795,$N274)</f>
        <v>4.0749</v>
      </c>
      <c r="T274" s="32" t="n">
        <f aca="false">K274*INDEX('Tabela Passaro'!$N$2:$N$1795,$N274)</f>
        <v>1.62996</v>
      </c>
      <c r="U274" s="32" t="n">
        <f aca="false">INDEX('Tabela Passaro'!$O$2:$O$1795,$N274)</f>
        <v>5</v>
      </c>
      <c r="V274" s="32" t="n">
        <f aca="false">ROUNDUP(J274/INDEX('Tabela Passaro'!$Q$2:$Q$1795,$N274),0)*INDEX('Tabela Passaro'!$P$2:$P$1795,$N274)</f>
        <v>5</v>
      </c>
      <c r="W274" s="32" t="n">
        <f aca="false">INDEX('Tabela Passaro'!$R$2:$R$1795,$N274)</f>
        <v>30</v>
      </c>
      <c r="X274" s="32" t="n">
        <f aca="false">ROUNDUP(J274/INDEX('Tabela Passaro'!$T$2:$T$1795,$N274),0)*INDEX('Tabela Passaro'!$S$2:$S$1795,$N274)</f>
        <v>0</v>
      </c>
      <c r="Y274" s="32" t="n">
        <f aca="false">INDEX('Tabela Passaro'!$U$2:$U$1795,$N274)</f>
        <v>0</v>
      </c>
      <c r="Z274" s="32" t="n">
        <f aca="false">INDEX('Tabela Passaro'!$V$2:$V$1795,$N274)</f>
        <v>0</v>
      </c>
      <c r="AA274" s="32" t="n">
        <f aca="false">SUM(R274:Z274)</f>
        <v>119.14486</v>
      </c>
      <c r="AB274" s="33" t="n">
        <f aca="false">INDEX(Premissas!$B$5:$B$13,MATCH(A274,Premissas!$A$5:$A$13,0))</f>
        <v>0.07</v>
      </c>
      <c r="AC274" s="32" t="n">
        <f aca="false">AA274/(1-AB274)-AA274</f>
        <v>8.96789268817204</v>
      </c>
      <c r="AD274" s="32" t="n">
        <f aca="false">ROUND(AA274+AC274,2)</f>
        <v>128.11</v>
      </c>
      <c r="AE274" s="32" t="n">
        <f aca="false">AD274-L274</f>
        <v>-37.64</v>
      </c>
      <c r="AF274" s="34" t="n">
        <f aca="false">IF(L274=0,0,AE274/L274)</f>
        <v>-0.227088989441931</v>
      </c>
      <c r="AG274" s="22" t="str">
        <f aca="false">IF(AD274&lt;L274,"PASSARO","ATUAL")</f>
        <v>PASSARO</v>
      </c>
      <c r="AH274" s="22" t="str">
        <f aca="false">IF(P274&lt;&gt;A274,"Faixa cadastrada como "&amp;P274&amp;" na tabela; preço aplicado pela UF do CEP","")</f>
        <v/>
      </c>
      <c r="AI274" s="26" t="n">
        <v>169.03</v>
      </c>
      <c r="AJ274" s="22" t="str">
        <f aca="false">INDEX('Tabela Passaro'!$X$2:$X$1795,$N274)</f>
        <v>CAPITAL</v>
      </c>
    </row>
    <row r="275" customFormat="false" ht="15" hidden="false" customHeight="false" outlineLevel="0" collapsed="false">
      <c r="A275" s="22" t="s">
        <v>16</v>
      </c>
      <c r="B275" s="22" t="n">
        <v>1</v>
      </c>
      <c r="C275" s="22" t="s">
        <v>75</v>
      </c>
      <c r="D275" s="22" t="s">
        <v>30</v>
      </c>
      <c r="E275" s="22" t="s">
        <v>7328</v>
      </c>
      <c r="F275" s="22" t="n">
        <v>2312416</v>
      </c>
      <c r="G275" s="30" t="n">
        <v>46248</v>
      </c>
      <c r="H275" s="22" t="n">
        <v>133330</v>
      </c>
      <c r="I275" s="22" t="s">
        <v>7572</v>
      </c>
      <c r="J275" s="31" t="n">
        <v>27.6</v>
      </c>
      <c r="K275" s="26" t="n">
        <v>621.99</v>
      </c>
      <c r="L275" s="26" t="n">
        <v>112.53</v>
      </c>
      <c r="M275" s="22" t="s">
        <v>694</v>
      </c>
      <c r="N275" s="22" t="n">
        <f aca="false">MATCH(M275,'Tabela Passaro'!$A$2:$A$1795,0)</f>
        <v>106</v>
      </c>
      <c r="O275" s="22" t="str">
        <f aca="false">INDEX('Tabela Passaro'!$C$2:$C$1795,$N275)</f>
        <v>SALVADOR</v>
      </c>
      <c r="P275" s="22" t="str">
        <f aca="false">INDEX('Tabela Passaro'!$B$2:$B$1795,$N275)</f>
        <v>BA</v>
      </c>
      <c r="Q275" s="22" t="n">
        <f aca="false">INDEX('Tabela Passaro'!$F$2:$F$1795,$N275)</f>
        <v>6</v>
      </c>
      <c r="R275" s="32" t="n">
        <f aca="false">IF(J275&lt;=10,INDEX('Tabela Passaro'!$G$2:$G$1795,$N275),IF(J275&lt;=30,INDEX('Tabela Passaro'!$H$2:$H$1795,$N275),IF(J275&lt;=50,INDEX('Tabela Passaro'!$I$2:$I$1795,$N275),IF(J275&lt;=70,INDEX('Tabela Passaro'!$J$2:$J$1795,$N275),IF(J275&lt;=100,INDEX('Tabela Passaro'!$K$2:$K$1795,$N275),INDEX('Tabela Passaro'!$K$2:$K$1795,$N275)+(J275-100)*INDEX('Tabela Passaro'!$L$2:$L$1795,$N275))))))</f>
        <v>50.4</v>
      </c>
      <c r="S275" s="32" t="n">
        <f aca="false">K275*INDEX('Tabela Passaro'!$M$2:$M$1795,$N275)</f>
        <v>3.10995</v>
      </c>
      <c r="T275" s="32" t="n">
        <f aca="false">K275*INDEX('Tabela Passaro'!$N$2:$N$1795,$N275)</f>
        <v>1.24398</v>
      </c>
      <c r="U275" s="32" t="n">
        <f aca="false">INDEX('Tabela Passaro'!$O$2:$O$1795,$N275)</f>
        <v>5</v>
      </c>
      <c r="V275" s="32" t="n">
        <f aca="false">ROUNDUP(J275/INDEX('Tabela Passaro'!$Q$2:$Q$1795,$N275),0)*INDEX('Tabela Passaro'!$P$2:$P$1795,$N275)</f>
        <v>5</v>
      </c>
      <c r="W275" s="32" t="n">
        <f aca="false">INDEX('Tabela Passaro'!$R$2:$R$1795,$N275)</f>
        <v>30</v>
      </c>
      <c r="X275" s="32" t="n">
        <f aca="false">ROUNDUP(J275/INDEX('Tabela Passaro'!$T$2:$T$1795,$N275),0)*INDEX('Tabela Passaro'!$S$2:$S$1795,$N275)</f>
        <v>0</v>
      </c>
      <c r="Y275" s="32" t="n">
        <f aca="false">INDEX('Tabela Passaro'!$U$2:$U$1795,$N275)</f>
        <v>0</v>
      </c>
      <c r="Z275" s="32" t="n">
        <f aca="false">INDEX('Tabela Passaro'!$V$2:$V$1795,$N275)</f>
        <v>0</v>
      </c>
      <c r="AA275" s="32" t="n">
        <f aca="false">SUM(R275:Z275)</f>
        <v>94.75393</v>
      </c>
      <c r="AB275" s="33" t="n">
        <f aca="false">INDEX(Premissas!$B$5:$B$13,MATCH(A275,Premissas!$A$5:$A$13,0))</f>
        <v>0.07</v>
      </c>
      <c r="AC275" s="32" t="n">
        <f aca="false">AA275/(1-AB275)-AA275</f>
        <v>7.13201623655915</v>
      </c>
      <c r="AD275" s="32" t="n">
        <f aca="false">ROUND(AA275+AC275,2)</f>
        <v>101.89</v>
      </c>
      <c r="AE275" s="32" t="n">
        <f aca="false">AD275-L275</f>
        <v>-10.64</v>
      </c>
      <c r="AF275" s="34" t="n">
        <f aca="false">IF(L275=0,0,AE275/L275)</f>
        <v>-0.0945525637607749</v>
      </c>
      <c r="AG275" s="22" t="str">
        <f aca="false">IF(AD275&lt;L275,"PASSARO","ATUAL")</f>
        <v>PASSARO</v>
      </c>
      <c r="AH275" s="22" t="str">
        <f aca="false">IF(P275&lt;&gt;A275,"Faixa cadastrada como "&amp;P275&amp;" na tabela; preço aplicado pela UF do CEP","")</f>
        <v/>
      </c>
      <c r="AI275" s="26" t="n">
        <v>122.75</v>
      </c>
      <c r="AJ275" s="22" t="str">
        <f aca="false">INDEX('Tabela Passaro'!$X$2:$X$1795,$N275)</f>
        <v>CAPITAL</v>
      </c>
    </row>
    <row r="276" customFormat="false" ht="15" hidden="false" customHeight="false" outlineLevel="0" collapsed="false">
      <c r="A276" s="22" t="s">
        <v>16</v>
      </c>
      <c r="B276" s="22" t="n">
        <v>1</v>
      </c>
      <c r="C276" s="22" t="s">
        <v>75</v>
      </c>
      <c r="D276" s="22" t="s">
        <v>30</v>
      </c>
      <c r="E276" s="22" t="s">
        <v>7328</v>
      </c>
      <c r="F276" s="22" t="n">
        <v>2312424</v>
      </c>
      <c r="G276" s="30" t="n">
        <v>46248</v>
      </c>
      <c r="H276" s="22" t="n">
        <v>133334</v>
      </c>
      <c r="I276" s="22" t="s">
        <v>7573</v>
      </c>
      <c r="J276" s="31" t="n">
        <v>41.5</v>
      </c>
      <c r="K276" s="26" t="n">
        <v>819.98</v>
      </c>
      <c r="L276" s="26" t="n">
        <v>144.69</v>
      </c>
      <c r="M276" s="22" t="s">
        <v>694</v>
      </c>
      <c r="N276" s="22" t="n">
        <f aca="false">MATCH(M276,'Tabela Passaro'!$A$2:$A$1795,0)</f>
        <v>106</v>
      </c>
      <c r="O276" s="22" t="str">
        <f aca="false">INDEX('Tabela Passaro'!$C$2:$C$1795,$N276)</f>
        <v>SALVADOR</v>
      </c>
      <c r="P276" s="22" t="str">
        <f aca="false">INDEX('Tabela Passaro'!$B$2:$B$1795,$N276)</f>
        <v>BA</v>
      </c>
      <c r="Q276" s="22" t="n">
        <f aca="false">INDEX('Tabela Passaro'!$F$2:$F$1795,$N276)</f>
        <v>6</v>
      </c>
      <c r="R276" s="32" t="n">
        <f aca="false">IF(J276&lt;=10,INDEX('Tabela Passaro'!$G$2:$G$1795,$N276),IF(J276&lt;=30,INDEX('Tabela Passaro'!$H$2:$H$1795,$N276),IF(J276&lt;=50,INDEX('Tabela Passaro'!$I$2:$I$1795,$N276),IF(J276&lt;=70,INDEX('Tabela Passaro'!$J$2:$J$1795,$N276),IF(J276&lt;=100,INDEX('Tabela Passaro'!$K$2:$K$1795,$N276),INDEX('Tabela Passaro'!$K$2:$K$1795,$N276)+(J276-100)*INDEX('Tabela Passaro'!$L$2:$L$1795,$N276))))))</f>
        <v>61.92</v>
      </c>
      <c r="S276" s="32" t="n">
        <f aca="false">K276*INDEX('Tabela Passaro'!$M$2:$M$1795,$N276)</f>
        <v>4.0999</v>
      </c>
      <c r="T276" s="32" t="n">
        <f aca="false">K276*INDEX('Tabela Passaro'!$N$2:$N$1795,$N276)</f>
        <v>1.63996</v>
      </c>
      <c r="U276" s="32" t="n">
        <f aca="false">INDEX('Tabela Passaro'!$O$2:$O$1795,$N276)</f>
        <v>5</v>
      </c>
      <c r="V276" s="32" t="n">
        <f aca="false">ROUNDUP(J276/INDEX('Tabela Passaro'!$Q$2:$Q$1795,$N276),0)*INDEX('Tabela Passaro'!$P$2:$P$1795,$N276)</f>
        <v>5</v>
      </c>
      <c r="W276" s="32" t="n">
        <f aca="false">INDEX('Tabela Passaro'!$R$2:$R$1795,$N276)</f>
        <v>30</v>
      </c>
      <c r="X276" s="32" t="n">
        <f aca="false">ROUNDUP(J276/INDEX('Tabela Passaro'!$T$2:$T$1795,$N276),0)*INDEX('Tabela Passaro'!$S$2:$S$1795,$N276)</f>
        <v>0</v>
      </c>
      <c r="Y276" s="32" t="n">
        <f aca="false">INDEX('Tabela Passaro'!$U$2:$U$1795,$N276)</f>
        <v>0</v>
      </c>
      <c r="Z276" s="32" t="n">
        <f aca="false">INDEX('Tabela Passaro'!$V$2:$V$1795,$N276)</f>
        <v>0</v>
      </c>
      <c r="AA276" s="32" t="n">
        <f aca="false">SUM(R276:Z276)</f>
        <v>107.65986</v>
      </c>
      <c r="AB276" s="33" t="n">
        <f aca="false">INDEX(Premissas!$B$5:$B$13,MATCH(A276,Premissas!$A$5:$A$13,0))</f>
        <v>0.07</v>
      </c>
      <c r="AC276" s="32" t="n">
        <f aca="false">AA276/(1-AB276)-AA276</f>
        <v>8.10343032258065</v>
      </c>
      <c r="AD276" s="32" t="n">
        <f aca="false">ROUND(AA276+AC276,2)</f>
        <v>115.76</v>
      </c>
      <c r="AE276" s="32" t="n">
        <f aca="false">AD276-L276</f>
        <v>-28.93</v>
      </c>
      <c r="AF276" s="34" t="n">
        <f aca="false">IF(L276=0,0,AE276/L276)</f>
        <v>-0.199944709378672</v>
      </c>
      <c r="AG276" s="22" t="str">
        <f aca="false">IF(AD276&lt;L276,"PASSARO","ATUAL")</f>
        <v>PASSARO</v>
      </c>
      <c r="AH276" s="22" t="str">
        <f aca="false">IF(P276&lt;&gt;A276,"Faixa cadastrada como "&amp;P276&amp;" na tabela; preço aplicado pela UF do CEP","")</f>
        <v/>
      </c>
      <c r="AI276" s="26" t="n">
        <v>143.97</v>
      </c>
      <c r="AJ276" s="22" t="str">
        <f aca="false">INDEX('Tabela Passaro'!$X$2:$X$1795,$N276)</f>
        <v>CAPITAL</v>
      </c>
    </row>
    <row r="277" customFormat="false" ht="15" hidden="false" customHeight="false" outlineLevel="0" collapsed="false">
      <c r="A277" s="22" t="s">
        <v>16</v>
      </c>
      <c r="B277" s="22" t="n">
        <v>1</v>
      </c>
      <c r="C277" s="22" t="s">
        <v>75</v>
      </c>
      <c r="D277" s="22" t="s">
        <v>30</v>
      </c>
      <c r="E277" s="22" t="s">
        <v>7328</v>
      </c>
      <c r="F277" s="22" t="n">
        <v>2312426</v>
      </c>
      <c r="G277" s="30" t="n">
        <v>46248</v>
      </c>
      <c r="H277" s="22" t="n">
        <v>133335</v>
      </c>
      <c r="I277" s="22" t="s">
        <v>7574</v>
      </c>
      <c r="J277" s="31" t="n">
        <v>38.15</v>
      </c>
      <c r="K277" s="26" t="n">
        <v>491.48</v>
      </c>
      <c r="L277" s="26" t="n">
        <v>142.1</v>
      </c>
      <c r="M277" s="22" t="s">
        <v>694</v>
      </c>
      <c r="N277" s="22" t="n">
        <f aca="false">MATCH(M277,'Tabela Passaro'!$A$2:$A$1795,0)</f>
        <v>106</v>
      </c>
      <c r="O277" s="22" t="str">
        <f aca="false">INDEX('Tabela Passaro'!$C$2:$C$1795,$N277)</f>
        <v>SALVADOR</v>
      </c>
      <c r="P277" s="22" t="str">
        <f aca="false">INDEX('Tabela Passaro'!$B$2:$B$1795,$N277)</f>
        <v>BA</v>
      </c>
      <c r="Q277" s="22" t="n">
        <f aca="false">INDEX('Tabela Passaro'!$F$2:$F$1795,$N277)</f>
        <v>6</v>
      </c>
      <c r="R277" s="32" t="n">
        <f aca="false">IF(J277&lt;=10,INDEX('Tabela Passaro'!$G$2:$G$1795,$N277),IF(J277&lt;=30,INDEX('Tabela Passaro'!$H$2:$H$1795,$N277),IF(J277&lt;=50,INDEX('Tabela Passaro'!$I$2:$I$1795,$N277),IF(J277&lt;=70,INDEX('Tabela Passaro'!$J$2:$J$1795,$N277),IF(J277&lt;=100,INDEX('Tabela Passaro'!$K$2:$K$1795,$N277),INDEX('Tabela Passaro'!$K$2:$K$1795,$N277)+(J277-100)*INDEX('Tabela Passaro'!$L$2:$L$1795,$N277))))))</f>
        <v>61.92</v>
      </c>
      <c r="S277" s="32" t="n">
        <f aca="false">K277*INDEX('Tabela Passaro'!$M$2:$M$1795,$N277)</f>
        <v>2.4574</v>
      </c>
      <c r="T277" s="32" t="n">
        <f aca="false">K277*INDEX('Tabela Passaro'!$N$2:$N$1795,$N277)</f>
        <v>0.98296</v>
      </c>
      <c r="U277" s="32" t="n">
        <f aca="false">INDEX('Tabela Passaro'!$O$2:$O$1795,$N277)</f>
        <v>5</v>
      </c>
      <c r="V277" s="32" t="n">
        <f aca="false">ROUNDUP(J277/INDEX('Tabela Passaro'!$Q$2:$Q$1795,$N277),0)*INDEX('Tabela Passaro'!$P$2:$P$1795,$N277)</f>
        <v>5</v>
      </c>
      <c r="W277" s="32" t="n">
        <f aca="false">INDEX('Tabela Passaro'!$R$2:$R$1795,$N277)</f>
        <v>30</v>
      </c>
      <c r="X277" s="32" t="n">
        <f aca="false">ROUNDUP(J277/INDEX('Tabela Passaro'!$T$2:$T$1795,$N277),0)*INDEX('Tabela Passaro'!$S$2:$S$1795,$N277)</f>
        <v>0</v>
      </c>
      <c r="Y277" s="32" t="n">
        <f aca="false">INDEX('Tabela Passaro'!$U$2:$U$1795,$N277)</f>
        <v>0</v>
      </c>
      <c r="Z277" s="32" t="n">
        <f aca="false">INDEX('Tabela Passaro'!$V$2:$V$1795,$N277)</f>
        <v>0</v>
      </c>
      <c r="AA277" s="32" t="n">
        <f aca="false">SUM(R277:Z277)</f>
        <v>105.36036</v>
      </c>
      <c r="AB277" s="33" t="n">
        <f aca="false">INDEX(Premissas!$B$5:$B$13,MATCH(A277,Premissas!$A$5:$A$13,0))</f>
        <v>0.07</v>
      </c>
      <c r="AC277" s="32" t="n">
        <f aca="false">AA277/(1-AB277)-AA277</f>
        <v>7.93034967741936</v>
      </c>
      <c r="AD277" s="32" t="n">
        <f aca="false">ROUND(AA277+AC277,2)</f>
        <v>113.29</v>
      </c>
      <c r="AE277" s="32" t="n">
        <f aca="false">AD277-L277</f>
        <v>-28.81</v>
      </c>
      <c r="AF277" s="34" t="n">
        <f aca="false">IF(L277=0,0,AE277/L277)</f>
        <v>-0.2027445460943</v>
      </c>
      <c r="AG277" s="22" t="str">
        <f aca="false">IF(AD277&lt;L277,"PASSARO","ATUAL")</f>
        <v>PASSARO</v>
      </c>
      <c r="AH277" s="22" t="str">
        <f aca="false">IF(P277&lt;&gt;A277,"Faixa cadastrada como "&amp;P277&amp;" na tabela; preço aplicado pela UF do CEP","")</f>
        <v/>
      </c>
      <c r="AI277" s="26" t="n">
        <v>139.34</v>
      </c>
      <c r="AJ277" s="22" t="str">
        <f aca="false">INDEX('Tabela Passaro'!$X$2:$X$1795,$N277)</f>
        <v>CAPITAL</v>
      </c>
    </row>
    <row r="278" customFormat="false" ht="15" hidden="false" customHeight="false" outlineLevel="0" collapsed="false">
      <c r="A278" s="22" t="s">
        <v>16</v>
      </c>
      <c r="B278" s="22" t="n">
        <v>1</v>
      </c>
      <c r="C278" s="22" t="s">
        <v>75</v>
      </c>
      <c r="D278" s="22" t="s">
        <v>30</v>
      </c>
      <c r="E278" s="22" t="s">
        <v>7328</v>
      </c>
      <c r="F278" s="22" t="n">
        <v>2312440</v>
      </c>
      <c r="G278" s="30" t="n">
        <v>46248</v>
      </c>
      <c r="H278" s="22" t="n">
        <v>133339</v>
      </c>
      <c r="I278" s="22" t="s">
        <v>7564</v>
      </c>
      <c r="J278" s="31" t="n">
        <v>32.9</v>
      </c>
      <c r="K278" s="26" t="n">
        <v>486.99</v>
      </c>
      <c r="L278" s="26" t="n">
        <v>142.06</v>
      </c>
      <c r="M278" s="22" t="s">
        <v>694</v>
      </c>
      <c r="N278" s="22" t="n">
        <f aca="false">MATCH(M278,'Tabela Passaro'!$A$2:$A$1795,0)</f>
        <v>106</v>
      </c>
      <c r="O278" s="22" t="str">
        <f aca="false">INDEX('Tabela Passaro'!$C$2:$C$1795,$N278)</f>
        <v>SALVADOR</v>
      </c>
      <c r="P278" s="22" t="str">
        <f aca="false">INDEX('Tabela Passaro'!$B$2:$B$1795,$N278)</f>
        <v>BA</v>
      </c>
      <c r="Q278" s="22" t="n">
        <f aca="false">INDEX('Tabela Passaro'!$F$2:$F$1795,$N278)</f>
        <v>6</v>
      </c>
      <c r="R278" s="32" t="n">
        <f aca="false">IF(J278&lt;=10,INDEX('Tabela Passaro'!$G$2:$G$1795,$N278),IF(J278&lt;=30,INDEX('Tabela Passaro'!$H$2:$H$1795,$N278),IF(J278&lt;=50,INDEX('Tabela Passaro'!$I$2:$I$1795,$N278),IF(J278&lt;=70,INDEX('Tabela Passaro'!$J$2:$J$1795,$N278),IF(J278&lt;=100,INDEX('Tabela Passaro'!$K$2:$K$1795,$N278),INDEX('Tabela Passaro'!$K$2:$K$1795,$N278)+(J278-100)*INDEX('Tabela Passaro'!$L$2:$L$1795,$N278))))))</f>
        <v>61.92</v>
      </c>
      <c r="S278" s="32" t="n">
        <f aca="false">K278*INDEX('Tabela Passaro'!$M$2:$M$1795,$N278)</f>
        <v>2.43495</v>
      </c>
      <c r="T278" s="32" t="n">
        <f aca="false">K278*INDEX('Tabela Passaro'!$N$2:$N$1795,$N278)</f>
        <v>0.97398</v>
      </c>
      <c r="U278" s="32" t="n">
        <f aca="false">INDEX('Tabela Passaro'!$O$2:$O$1795,$N278)</f>
        <v>5</v>
      </c>
      <c r="V278" s="32" t="n">
        <f aca="false">ROUNDUP(J278/INDEX('Tabela Passaro'!$Q$2:$Q$1795,$N278),0)*INDEX('Tabela Passaro'!$P$2:$P$1795,$N278)</f>
        <v>5</v>
      </c>
      <c r="W278" s="32" t="n">
        <f aca="false">INDEX('Tabela Passaro'!$R$2:$R$1795,$N278)</f>
        <v>30</v>
      </c>
      <c r="X278" s="32" t="n">
        <f aca="false">ROUNDUP(J278/INDEX('Tabela Passaro'!$T$2:$T$1795,$N278),0)*INDEX('Tabela Passaro'!$S$2:$S$1795,$N278)</f>
        <v>0</v>
      </c>
      <c r="Y278" s="32" t="n">
        <f aca="false">INDEX('Tabela Passaro'!$U$2:$U$1795,$N278)</f>
        <v>0</v>
      </c>
      <c r="Z278" s="32" t="n">
        <f aca="false">INDEX('Tabela Passaro'!$V$2:$V$1795,$N278)</f>
        <v>0</v>
      </c>
      <c r="AA278" s="32" t="n">
        <f aca="false">SUM(R278:Z278)</f>
        <v>105.32893</v>
      </c>
      <c r="AB278" s="33" t="n">
        <f aca="false">INDEX(Premissas!$B$5:$B$13,MATCH(A278,Premissas!$A$5:$A$13,0))</f>
        <v>0.07</v>
      </c>
      <c r="AC278" s="32" t="n">
        <f aca="false">AA278/(1-AB278)-AA278</f>
        <v>7.92798397849464</v>
      </c>
      <c r="AD278" s="32" t="n">
        <f aca="false">ROUND(AA278+AC278,2)</f>
        <v>113.26</v>
      </c>
      <c r="AE278" s="32" t="n">
        <f aca="false">AD278-L278</f>
        <v>-28.8</v>
      </c>
      <c r="AF278" s="34" t="n">
        <f aca="false">IF(L278=0,0,AE278/L278)</f>
        <v>-0.202731240320991</v>
      </c>
      <c r="AG278" s="22" t="str">
        <f aca="false">IF(AD278&lt;L278,"PASSARO","ATUAL")</f>
        <v>PASSARO</v>
      </c>
      <c r="AH278" s="22" t="str">
        <f aca="false">IF(P278&lt;&gt;A278,"Faixa cadastrada como "&amp;P278&amp;" na tabela; preço aplicado pela UF do CEP","")</f>
        <v/>
      </c>
      <c r="AI278" s="26" t="n">
        <v>136.39</v>
      </c>
      <c r="AJ278" s="22" t="str">
        <f aca="false">INDEX('Tabela Passaro'!$X$2:$X$1795,$N278)</f>
        <v>CAPITAL</v>
      </c>
    </row>
    <row r="279" customFormat="false" ht="15" hidden="false" customHeight="false" outlineLevel="0" collapsed="false">
      <c r="A279" s="22" t="s">
        <v>16</v>
      </c>
      <c r="B279" s="22" t="n">
        <v>1</v>
      </c>
      <c r="C279" s="22" t="s">
        <v>75</v>
      </c>
      <c r="D279" s="22" t="s">
        <v>30</v>
      </c>
      <c r="E279" s="22" t="s">
        <v>7328</v>
      </c>
      <c r="F279" s="22" t="n">
        <v>2312449</v>
      </c>
      <c r="G279" s="30" t="n">
        <v>46248</v>
      </c>
      <c r="H279" s="22" t="n">
        <v>133344</v>
      </c>
      <c r="I279" s="22" t="s">
        <v>7575</v>
      </c>
      <c r="J279" s="31" t="n">
        <v>51.06</v>
      </c>
      <c r="K279" s="26" t="n">
        <v>820.87</v>
      </c>
      <c r="L279" s="26" t="n">
        <v>165.79</v>
      </c>
      <c r="M279" s="22" t="s">
        <v>694</v>
      </c>
      <c r="N279" s="22" t="n">
        <f aca="false">MATCH(M279,'Tabela Passaro'!$A$2:$A$1795,0)</f>
        <v>106</v>
      </c>
      <c r="O279" s="22" t="str">
        <f aca="false">INDEX('Tabela Passaro'!$C$2:$C$1795,$N279)</f>
        <v>SALVADOR</v>
      </c>
      <c r="P279" s="22" t="str">
        <f aca="false">INDEX('Tabela Passaro'!$B$2:$B$1795,$N279)</f>
        <v>BA</v>
      </c>
      <c r="Q279" s="22" t="n">
        <f aca="false">INDEX('Tabela Passaro'!$F$2:$F$1795,$N279)</f>
        <v>6</v>
      </c>
      <c r="R279" s="32" t="n">
        <f aca="false">IF(J279&lt;=10,INDEX('Tabela Passaro'!$G$2:$G$1795,$N279),IF(J279&lt;=30,INDEX('Tabela Passaro'!$H$2:$H$1795,$N279),IF(J279&lt;=50,INDEX('Tabela Passaro'!$I$2:$I$1795,$N279),IF(J279&lt;=70,INDEX('Tabela Passaro'!$J$2:$J$1795,$N279),IF(J279&lt;=100,INDEX('Tabela Passaro'!$K$2:$K$1795,$N279),INDEX('Tabela Passaro'!$K$2:$K$1795,$N279)+(J279-100)*INDEX('Tabela Passaro'!$L$2:$L$1795,$N279))))))</f>
        <v>73.44</v>
      </c>
      <c r="S279" s="32" t="n">
        <f aca="false">K279*INDEX('Tabela Passaro'!$M$2:$M$1795,$N279)</f>
        <v>4.10435</v>
      </c>
      <c r="T279" s="32" t="n">
        <f aca="false">K279*INDEX('Tabela Passaro'!$N$2:$N$1795,$N279)</f>
        <v>1.64174</v>
      </c>
      <c r="U279" s="32" t="n">
        <f aca="false">INDEX('Tabela Passaro'!$O$2:$O$1795,$N279)</f>
        <v>5</v>
      </c>
      <c r="V279" s="32" t="n">
        <f aca="false">ROUNDUP(J279/INDEX('Tabela Passaro'!$Q$2:$Q$1795,$N279),0)*INDEX('Tabela Passaro'!$P$2:$P$1795,$N279)</f>
        <v>5</v>
      </c>
      <c r="W279" s="32" t="n">
        <f aca="false">INDEX('Tabela Passaro'!$R$2:$R$1795,$N279)</f>
        <v>30</v>
      </c>
      <c r="X279" s="32" t="n">
        <f aca="false">ROUNDUP(J279/INDEX('Tabela Passaro'!$T$2:$T$1795,$N279),0)*INDEX('Tabela Passaro'!$S$2:$S$1795,$N279)</f>
        <v>0</v>
      </c>
      <c r="Y279" s="32" t="n">
        <f aca="false">INDEX('Tabela Passaro'!$U$2:$U$1795,$N279)</f>
        <v>0</v>
      </c>
      <c r="Z279" s="32" t="n">
        <f aca="false">INDEX('Tabela Passaro'!$V$2:$V$1795,$N279)</f>
        <v>0</v>
      </c>
      <c r="AA279" s="32" t="n">
        <f aca="false">SUM(R279:Z279)</f>
        <v>119.18609</v>
      </c>
      <c r="AB279" s="33" t="n">
        <f aca="false">INDEX(Premissas!$B$5:$B$13,MATCH(A279,Premissas!$A$5:$A$13,0))</f>
        <v>0.07</v>
      </c>
      <c r="AC279" s="32" t="n">
        <f aca="false">AA279/(1-AB279)-AA279</f>
        <v>8.97099602150537</v>
      </c>
      <c r="AD279" s="32" t="n">
        <f aca="false">ROUND(AA279+AC279,2)</f>
        <v>128.16</v>
      </c>
      <c r="AE279" s="32" t="n">
        <f aca="false">AD279-L279</f>
        <v>-37.63</v>
      </c>
      <c r="AF279" s="34" t="n">
        <f aca="false">IF(L279=0,0,AE279/L279)</f>
        <v>-0.226973882622595</v>
      </c>
      <c r="AG279" s="22" t="str">
        <f aca="false">IF(AD279&lt;L279,"PASSARO","ATUAL")</f>
        <v>PASSARO</v>
      </c>
      <c r="AH279" s="22" t="str">
        <f aca="false">IF(P279&lt;&gt;A279,"Faixa cadastrada como "&amp;P279&amp;" na tabela; preço aplicado pela UF do CEP","")</f>
        <v/>
      </c>
      <c r="AI279" s="26" t="n">
        <v>161.34</v>
      </c>
      <c r="AJ279" s="22" t="str">
        <f aca="false">INDEX('Tabela Passaro'!$X$2:$X$1795,$N279)</f>
        <v>CAPITAL</v>
      </c>
    </row>
    <row r="280" customFormat="false" ht="15" hidden="false" customHeight="false" outlineLevel="0" collapsed="false">
      <c r="A280" s="22" t="s">
        <v>16</v>
      </c>
      <c r="B280" s="22" t="n">
        <v>1</v>
      </c>
      <c r="C280" s="22" t="s">
        <v>75</v>
      </c>
      <c r="D280" s="22" t="s">
        <v>30</v>
      </c>
      <c r="E280" s="22" t="s">
        <v>7328</v>
      </c>
      <c r="F280" s="22" t="n">
        <v>2312468</v>
      </c>
      <c r="G280" s="30" t="n">
        <v>46248</v>
      </c>
      <c r="H280" s="22" t="n">
        <v>133370</v>
      </c>
      <c r="I280" s="22" t="s">
        <v>7576</v>
      </c>
      <c r="J280" s="31" t="n">
        <v>36.9</v>
      </c>
      <c r="K280" s="26" t="n">
        <v>521.88</v>
      </c>
      <c r="L280" s="26" t="n">
        <v>142.33</v>
      </c>
      <c r="M280" s="22" t="s">
        <v>694</v>
      </c>
      <c r="N280" s="22" t="n">
        <f aca="false">MATCH(M280,'Tabela Passaro'!$A$2:$A$1795,0)</f>
        <v>106</v>
      </c>
      <c r="O280" s="22" t="str">
        <f aca="false">INDEX('Tabela Passaro'!$C$2:$C$1795,$N280)</f>
        <v>SALVADOR</v>
      </c>
      <c r="P280" s="22" t="str">
        <f aca="false">INDEX('Tabela Passaro'!$B$2:$B$1795,$N280)</f>
        <v>BA</v>
      </c>
      <c r="Q280" s="22" t="n">
        <f aca="false">INDEX('Tabela Passaro'!$F$2:$F$1795,$N280)</f>
        <v>6</v>
      </c>
      <c r="R280" s="32" t="n">
        <f aca="false">IF(J280&lt;=10,INDEX('Tabela Passaro'!$G$2:$G$1795,$N280),IF(J280&lt;=30,INDEX('Tabela Passaro'!$H$2:$H$1795,$N280),IF(J280&lt;=50,INDEX('Tabela Passaro'!$I$2:$I$1795,$N280),IF(J280&lt;=70,INDEX('Tabela Passaro'!$J$2:$J$1795,$N280),IF(J280&lt;=100,INDEX('Tabela Passaro'!$K$2:$K$1795,$N280),INDEX('Tabela Passaro'!$K$2:$K$1795,$N280)+(J280-100)*INDEX('Tabela Passaro'!$L$2:$L$1795,$N280))))))</f>
        <v>61.92</v>
      </c>
      <c r="S280" s="32" t="n">
        <f aca="false">K280*INDEX('Tabela Passaro'!$M$2:$M$1795,$N280)</f>
        <v>2.6094</v>
      </c>
      <c r="T280" s="32" t="n">
        <f aca="false">K280*INDEX('Tabela Passaro'!$N$2:$N$1795,$N280)</f>
        <v>1.04376</v>
      </c>
      <c r="U280" s="32" t="n">
        <f aca="false">INDEX('Tabela Passaro'!$O$2:$O$1795,$N280)</f>
        <v>5</v>
      </c>
      <c r="V280" s="32" t="n">
        <f aca="false">ROUNDUP(J280/INDEX('Tabela Passaro'!$Q$2:$Q$1795,$N280),0)*INDEX('Tabela Passaro'!$P$2:$P$1795,$N280)</f>
        <v>5</v>
      </c>
      <c r="W280" s="32" t="n">
        <f aca="false">INDEX('Tabela Passaro'!$R$2:$R$1795,$N280)</f>
        <v>30</v>
      </c>
      <c r="X280" s="32" t="n">
        <f aca="false">ROUNDUP(J280/INDEX('Tabela Passaro'!$T$2:$T$1795,$N280),0)*INDEX('Tabela Passaro'!$S$2:$S$1795,$N280)</f>
        <v>0</v>
      </c>
      <c r="Y280" s="32" t="n">
        <f aca="false">INDEX('Tabela Passaro'!$U$2:$U$1795,$N280)</f>
        <v>0</v>
      </c>
      <c r="Z280" s="32" t="n">
        <f aca="false">INDEX('Tabela Passaro'!$V$2:$V$1795,$N280)</f>
        <v>0</v>
      </c>
      <c r="AA280" s="32" t="n">
        <f aca="false">SUM(R280:Z280)</f>
        <v>105.57316</v>
      </c>
      <c r="AB280" s="33" t="n">
        <f aca="false">INDEX(Premissas!$B$5:$B$13,MATCH(A280,Premissas!$A$5:$A$13,0))</f>
        <v>0.07</v>
      </c>
      <c r="AC280" s="32" t="n">
        <f aca="false">AA280/(1-AB280)-AA280</f>
        <v>7.94636688172044</v>
      </c>
      <c r="AD280" s="32" t="n">
        <f aca="false">ROUND(AA280+AC280,2)</f>
        <v>113.52</v>
      </c>
      <c r="AE280" s="32" t="n">
        <f aca="false">AD280-L280</f>
        <v>-28.81</v>
      </c>
      <c r="AF280" s="34" t="n">
        <f aca="false">IF(L280=0,0,AE280/L280)</f>
        <v>-0.202416918429003</v>
      </c>
      <c r="AG280" s="22" t="str">
        <f aca="false">IF(AD280&lt;L280,"PASSARO","ATUAL")</f>
        <v>PASSARO</v>
      </c>
      <c r="AH280" s="22" t="str">
        <f aca="false">IF(P280&lt;&gt;A280,"Faixa cadastrada como "&amp;P280&amp;" na tabela; preço aplicado pela UF do CEP","")</f>
        <v/>
      </c>
      <c r="AI280" s="26" t="n">
        <v>138.66</v>
      </c>
      <c r="AJ280" s="22" t="str">
        <f aca="false">INDEX('Tabela Passaro'!$X$2:$X$1795,$N280)</f>
        <v>CAPITAL</v>
      </c>
    </row>
    <row r="281" customFormat="false" ht="15" hidden="false" customHeight="false" outlineLevel="0" collapsed="false">
      <c r="A281" s="22" t="s">
        <v>16</v>
      </c>
      <c r="B281" s="22" t="n">
        <v>1</v>
      </c>
      <c r="C281" s="22" t="s">
        <v>75</v>
      </c>
      <c r="D281" s="22" t="s">
        <v>30</v>
      </c>
      <c r="E281" s="22" t="s">
        <v>7328</v>
      </c>
      <c r="F281" s="22" t="n">
        <v>2312463</v>
      </c>
      <c r="G281" s="30" t="n">
        <v>46248</v>
      </c>
      <c r="H281" s="22" t="n">
        <v>133373</v>
      </c>
      <c r="I281" s="22" t="s">
        <v>7577</v>
      </c>
      <c r="J281" s="31" t="n">
        <v>37.59</v>
      </c>
      <c r="K281" s="26" t="n">
        <v>593.73</v>
      </c>
      <c r="L281" s="26" t="n">
        <v>142.9</v>
      </c>
      <c r="M281" s="22" t="s">
        <v>694</v>
      </c>
      <c r="N281" s="22" t="n">
        <f aca="false">MATCH(M281,'Tabela Passaro'!$A$2:$A$1795,0)</f>
        <v>106</v>
      </c>
      <c r="O281" s="22" t="str">
        <f aca="false">INDEX('Tabela Passaro'!$C$2:$C$1795,$N281)</f>
        <v>SALVADOR</v>
      </c>
      <c r="P281" s="22" t="str">
        <f aca="false">INDEX('Tabela Passaro'!$B$2:$B$1795,$N281)</f>
        <v>BA</v>
      </c>
      <c r="Q281" s="22" t="n">
        <f aca="false">INDEX('Tabela Passaro'!$F$2:$F$1795,$N281)</f>
        <v>6</v>
      </c>
      <c r="R281" s="32" t="n">
        <f aca="false">IF(J281&lt;=10,INDEX('Tabela Passaro'!$G$2:$G$1795,$N281),IF(J281&lt;=30,INDEX('Tabela Passaro'!$H$2:$H$1795,$N281),IF(J281&lt;=50,INDEX('Tabela Passaro'!$I$2:$I$1795,$N281),IF(J281&lt;=70,INDEX('Tabela Passaro'!$J$2:$J$1795,$N281),IF(J281&lt;=100,INDEX('Tabela Passaro'!$K$2:$K$1795,$N281),INDEX('Tabela Passaro'!$K$2:$K$1795,$N281)+(J281-100)*INDEX('Tabela Passaro'!$L$2:$L$1795,$N281))))))</f>
        <v>61.92</v>
      </c>
      <c r="S281" s="32" t="n">
        <f aca="false">K281*INDEX('Tabela Passaro'!$M$2:$M$1795,$N281)</f>
        <v>2.96865</v>
      </c>
      <c r="T281" s="32" t="n">
        <f aca="false">K281*INDEX('Tabela Passaro'!$N$2:$N$1795,$N281)</f>
        <v>1.18746</v>
      </c>
      <c r="U281" s="32" t="n">
        <f aca="false">INDEX('Tabela Passaro'!$O$2:$O$1795,$N281)</f>
        <v>5</v>
      </c>
      <c r="V281" s="32" t="n">
        <f aca="false">ROUNDUP(J281/INDEX('Tabela Passaro'!$Q$2:$Q$1795,$N281),0)*INDEX('Tabela Passaro'!$P$2:$P$1795,$N281)</f>
        <v>5</v>
      </c>
      <c r="W281" s="32" t="n">
        <f aca="false">INDEX('Tabela Passaro'!$R$2:$R$1795,$N281)</f>
        <v>30</v>
      </c>
      <c r="X281" s="32" t="n">
        <f aca="false">ROUNDUP(J281/INDEX('Tabela Passaro'!$T$2:$T$1795,$N281),0)*INDEX('Tabela Passaro'!$S$2:$S$1795,$N281)</f>
        <v>0</v>
      </c>
      <c r="Y281" s="32" t="n">
        <f aca="false">INDEX('Tabela Passaro'!$U$2:$U$1795,$N281)</f>
        <v>0</v>
      </c>
      <c r="Z281" s="32" t="n">
        <f aca="false">INDEX('Tabela Passaro'!$V$2:$V$1795,$N281)</f>
        <v>0</v>
      </c>
      <c r="AA281" s="32" t="n">
        <f aca="false">SUM(R281:Z281)</f>
        <v>106.07611</v>
      </c>
      <c r="AB281" s="33" t="n">
        <f aca="false">INDEX(Premissas!$B$5:$B$13,MATCH(A281,Premissas!$A$5:$A$13,0))</f>
        <v>0.07</v>
      </c>
      <c r="AC281" s="32" t="n">
        <f aca="false">AA281/(1-AB281)-AA281</f>
        <v>7.98422333333335</v>
      </c>
      <c r="AD281" s="32" t="n">
        <f aca="false">ROUND(AA281+AC281,2)</f>
        <v>114.06</v>
      </c>
      <c r="AE281" s="32" t="n">
        <f aca="false">AD281-L281</f>
        <v>-28.84</v>
      </c>
      <c r="AF281" s="34" t="n">
        <f aca="false">IF(L281=0,0,AE281/L281)</f>
        <v>-0.201819454163751</v>
      </c>
      <c r="AG281" s="22" t="str">
        <f aca="false">IF(AD281&lt;L281,"PASSARO","ATUAL")</f>
        <v>PASSARO</v>
      </c>
      <c r="AH281" s="22" t="str">
        <f aca="false">IF(P281&lt;&gt;A281,"Faixa cadastrada como "&amp;P281&amp;" na tabela; preço aplicado pela UF do CEP","")</f>
        <v/>
      </c>
      <c r="AI281" s="26" t="n">
        <v>139.84</v>
      </c>
      <c r="AJ281" s="22" t="str">
        <f aca="false">INDEX('Tabela Passaro'!$X$2:$X$1795,$N281)</f>
        <v>CAPITAL</v>
      </c>
    </row>
    <row r="282" customFormat="false" ht="15" hidden="false" customHeight="false" outlineLevel="0" collapsed="false">
      <c r="A282" s="22" t="s">
        <v>16</v>
      </c>
      <c r="B282" s="22" t="n">
        <v>1</v>
      </c>
      <c r="C282" s="22" t="s">
        <v>75</v>
      </c>
      <c r="D282" s="22" t="s">
        <v>30</v>
      </c>
      <c r="E282" s="22" t="s">
        <v>7328</v>
      </c>
      <c r="F282" s="22" t="n">
        <v>2312474</v>
      </c>
      <c r="G282" s="30" t="n">
        <v>46248</v>
      </c>
      <c r="H282" s="22" t="n">
        <v>133445</v>
      </c>
      <c r="I282" s="22" t="s">
        <v>7578</v>
      </c>
      <c r="J282" s="31" t="n">
        <v>48</v>
      </c>
      <c r="K282" s="26" t="n">
        <v>961.79</v>
      </c>
      <c r="L282" s="26" t="n">
        <v>145.81</v>
      </c>
      <c r="M282" s="22" t="s">
        <v>694</v>
      </c>
      <c r="N282" s="22" t="n">
        <f aca="false">MATCH(M282,'Tabela Passaro'!$A$2:$A$1795,0)</f>
        <v>106</v>
      </c>
      <c r="O282" s="22" t="str">
        <f aca="false">INDEX('Tabela Passaro'!$C$2:$C$1795,$N282)</f>
        <v>SALVADOR</v>
      </c>
      <c r="P282" s="22" t="str">
        <f aca="false">INDEX('Tabela Passaro'!$B$2:$B$1795,$N282)</f>
        <v>BA</v>
      </c>
      <c r="Q282" s="22" t="n">
        <f aca="false">INDEX('Tabela Passaro'!$F$2:$F$1795,$N282)</f>
        <v>6</v>
      </c>
      <c r="R282" s="32" t="n">
        <f aca="false">IF(J282&lt;=10,INDEX('Tabela Passaro'!$G$2:$G$1795,$N282),IF(J282&lt;=30,INDEX('Tabela Passaro'!$H$2:$H$1795,$N282),IF(J282&lt;=50,INDEX('Tabela Passaro'!$I$2:$I$1795,$N282),IF(J282&lt;=70,INDEX('Tabela Passaro'!$J$2:$J$1795,$N282),IF(J282&lt;=100,INDEX('Tabela Passaro'!$K$2:$K$1795,$N282),INDEX('Tabela Passaro'!$K$2:$K$1795,$N282)+(J282-100)*INDEX('Tabela Passaro'!$L$2:$L$1795,$N282))))))</f>
        <v>61.92</v>
      </c>
      <c r="S282" s="32" t="n">
        <f aca="false">K282*INDEX('Tabela Passaro'!$M$2:$M$1795,$N282)</f>
        <v>4.80895</v>
      </c>
      <c r="T282" s="32" t="n">
        <f aca="false">K282*INDEX('Tabela Passaro'!$N$2:$N$1795,$N282)</f>
        <v>1.92358</v>
      </c>
      <c r="U282" s="32" t="n">
        <f aca="false">INDEX('Tabela Passaro'!$O$2:$O$1795,$N282)</f>
        <v>5</v>
      </c>
      <c r="V282" s="32" t="n">
        <f aca="false">ROUNDUP(J282/INDEX('Tabela Passaro'!$Q$2:$Q$1795,$N282),0)*INDEX('Tabela Passaro'!$P$2:$P$1795,$N282)</f>
        <v>5</v>
      </c>
      <c r="W282" s="32" t="n">
        <f aca="false">INDEX('Tabela Passaro'!$R$2:$R$1795,$N282)</f>
        <v>30</v>
      </c>
      <c r="X282" s="32" t="n">
        <f aca="false">ROUNDUP(J282/INDEX('Tabela Passaro'!$T$2:$T$1795,$N282),0)*INDEX('Tabela Passaro'!$S$2:$S$1795,$N282)</f>
        <v>0</v>
      </c>
      <c r="Y282" s="32" t="n">
        <f aca="false">INDEX('Tabela Passaro'!$U$2:$U$1795,$N282)</f>
        <v>0</v>
      </c>
      <c r="Z282" s="32" t="n">
        <f aca="false">INDEX('Tabela Passaro'!$V$2:$V$1795,$N282)</f>
        <v>0</v>
      </c>
      <c r="AA282" s="32" t="n">
        <f aca="false">SUM(R282:Z282)</f>
        <v>108.65253</v>
      </c>
      <c r="AB282" s="33" t="n">
        <f aca="false">INDEX(Premissas!$B$5:$B$13,MATCH(A282,Premissas!$A$5:$A$13,0))</f>
        <v>0.07</v>
      </c>
      <c r="AC282" s="32" t="n">
        <f aca="false">AA282/(1-AB282)-AA282</f>
        <v>8.17814741935484</v>
      </c>
      <c r="AD282" s="32" t="n">
        <f aca="false">ROUND(AA282+AC282,2)</f>
        <v>116.83</v>
      </c>
      <c r="AE282" s="32" t="n">
        <f aca="false">AD282-L282</f>
        <v>-28.98</v>
      </c>
      <c r="AF282" s="34" t="n">
        <f aca="false">IF(L282=0,0,AE282/L282)</f>
        <v>-0.198751800288046</v>
      </c>
      <c r="AG282" s="22" t="str">
        <f aca="false">IF(AD282&lt;L282,"PASSARO","ATUAL")</f>
        <v>PASSARO</v>
      </c>
      <c r="AH282" s="22" t="str">
        <f aca="false">IF(P282&lt;&gt;A282,"Faixa cadastrada como "&amp;P282&amp;" na tabela; preço aplicado pela UF do CEP","")</f>
        <v/>
      </c>
      <c r="AI282" s="26" t="n">
        <v>148.24</v>
      </c>
      <c r="AJ282" s="22" t="str">
        <f aca="false">INDEX('Tabela Passaro'!$X$2:$X$1795,$N282)</f>
        <v>CAPITAL</v>
      </c>
    </row>
    <row r="283" customFormat="false" ht="15" hidden="false" customHeight="false" outlineLevel="0" collapsed="false">
      <c r="A283" s="22" t="s">
        <v>16</v>
      </c>
      <c r="B283" s="22" t="n">
        <v>1</v>
      </c>
      <c r="C283" s="22" t="s">
        <v>75</v>
      </c>
      <c r="D283" s="22" t="s">
        <v>30</v>
      </c>
      <c r="E283" s="22" t="s">
        <v>7326</v>
      </c>
      <c r="F283" s="22" t="n">
        <v>525022</v>
      </c>
      <c r="G283" s="30" t="n">
        <v>46248</v>
      </c>
      <c r="H283" s="22" t="n">
        <v>624793</v>
      </c>
      <c r="I283" s="22" t="s">
        <v>7579</v>
      </c>
      <c r="J283" s="31" t="n">
        <v>31</v>
      </c>
      <c r="K283" s="26" t="n">
        <v>514.24</v>
      </c>
      <c r="L283" s="26" t="n">
        <v>162.06</v>
      </c>
      <c r="M283" s="22" t="s">
        <v>694</v>
      </c>
      <c r="N283" s="22" t="n">
        <f aca="false">MATCH(M283,'Tabela Passaro'!$A$2:$A$1795,0)</f>
        <v>106</v>
      </c>
      <c r="O283" s="22" t="str">
        <f aca="false">INDEX('Tabela Passaro'!$C$2:$C$1795,$N283)</f>
        <v>SALVADOR</v>
      </c>
      <c r="P283" s="22" t="str">
        <f aca="false">INDEX('Tabela Passaro'!$B$2:$B$1795,$N283)</f>
        <v>BA</v>
      </c>
      <c r="Q283" s="22" t="n">
        <f aca="false">INDEX('Tabela Passaro'!$F$2:$F$1795,$N283)</f>
        <v>6</v>
      </c>
      <c r="R283" s="32" t="n">
        <f aca="false">IF(J283&lt;=10,INDEX('Tabela Passaro'!$G$2:$G$1795,$N283),IF(J283&lt;=30,INDEX('Tabela Passaro'!$H$2:$H$1795,$N283),IF(J283&lt;=50,INDEX('Tabela Passaro'!$I$2:$I$1795,$N283),IF(J283&lt;=70,INDEX('Tabela Passaro'!$J$2:$J$1795,$N283),IF(J283&lt;=100,INDEX('Tabela Passaro'!$K$2:$K$1795,$N283),INDEX('Tabela Passaro'!$K$2:$K$1795,$N283)+(J283-100)*INDEX('Tabela Passaro'!$L$2:$L$1795,$N283))))))</f>
        <v>61.92</v>
      </c>
      <c r="S283" s="32" t="n">
        <f aca="false">K283*INDEX('Tabela Passaro'!$M$2:$M$1795,$N283)</f>
        <v>2.5712</v>
      </c>
      <c r="T283" s="32" t="n">
        <f aca="false">K283*INDEX('Tabela Passaro'!$N$2:$N$1795,$N283)</f>
        <v>1.02848</v>
      </c>
      <c r="U283" s="32" t="n">
        <f aca="false">INDEX('Tabela Passaro'!$O$2:$O$1795,$N283)</f>
        <v>5</v>
      </c>
      <c r="V283" s="32" t="n">
        <f aca="false">ROUNDUP(J283/INDEX('Tabela Passaro'!$Q$2:$Q$1795,$N283),0)*INDEX('Tabela Passaro'!$P$2:$P$1795,$N283)</f>
        <v>5</v>
      </c>
      <c r="W283" s="32" t="n">
        <f aca="false">INDEX('Tabela Passaro'!$R$2:$R$1795,$N283)</f>
        <v>30</v>
      </c>
      <c r="X283" s="32" t="n">
        <f aca="false">ROUNDUP(J283/INDEX('Tabela Passaro'!$T$2:$T$1795,$N283),0)*INDEX('Tabela Passaro'!$S$2:$S$1795,$N283)</f>
        <v>0</v>
      </c>
      <c r="Y283" s="32" t="n">
        <f aca="false">INDEX('Tabela Passaro'!$U$2:$U$1795,$N283)</f>
        <v>0</v>
      </c>
      <c r="Z283" s="32" t="n">
        <f aca="false">INDEX('Tabela Passaro'!$V$2:$V$1795,$N283)</f>
        <v>0</v>
      </c>
      <c r="AA283" s="32" t="n">
        <f aca="false">SUM(R283:Z283)</f>
        <v>105.51968</v>
      </c>
      <c r="AB283" s="33" t="n">
        <f aca="false">INDEX(Premissas!$B$5:$B$13,MATCH(A283,Premissas!$A$5:$A$13,0))</f>
        <v>0.07</v>
      </c>
      <c r="AC283" s="32" t="n">
        <f aca="false">AA283/(1-AB283)-AA283</f>
        <v>7.94234150537635</v>
      </c>
      <c r="AD283" s="32" t="n">
        <f aca="false">ROUND(AA283+AC283,2)</f>
        <v>113.46</v>
      </c>
      <c r="AE283" s="32" t="n">
        <f aca="false">AD283-L283</f>
        <v>-48.6</v>
      </c>
      <c r="AF283" s="34" t="n">
        <f aca="false">IF(L283=0,0,AE283/L283)</f>
        <v>-0.299888930025916</v>
      </c>
      <c r="AG283" s="22" t="str">
        <f aca="false">IF(AD283&lt;L283,"PASSARO","ATUAL")</f>
        <v>PASSARO</v>
      </c>
      <c r="AH283" s="22" t="str">
        <f aca="false">IF(P283&lt;&gt;A283,"Faixa cadastrada como "&amp;P283&amp;" na tabela; preço aplicado pela UF do CEP","")</f>
        <v/>
      </c>
      <c r="AI283" s="26" t="n">
        <v>135.69</v>
      </c>
      <c r="AJ283" s="22" t="str">
        <f aca="false">INDEX('Tabela Passaro'!$X$2:$X$1795,$N283)</f>
        <v>CAPITAL</v>
      </c>
    </row>
    <row r="284" customFormat="false" ht="15" hidden="false" customHeight="false" outlineLevel="0" collapsed="false">
      <c r="A284" s="22" t="s">
        <v>16</v>
      </c>
      <c r="B284" s="22" t="n">
        <v>1</v>
      </c>
      <c r="C284" s="22" t="s">
        <v>75</v>
      </c>
      <c r="D284" s="22" t="s">
        <v>30</v>
      </c>
      <c r="E284" s="22" t="s">
        <v>7326</v>
      </c>
      <c r="F284" s="22" t="n">
        <v>525049</v>
      </c>
      <c r="G284" s="30" t="n">
        <v>46248</v>
      </c>
      <c r="H284" s="22" t="n">
        <v>624822</v>
      </c>
      <c r="I284" s="22" t="s">
        <v>7580</v>
      </c>
      <c r="J284" s="31" t="n">
        <v>107.8</v>
      </c>
      <c r="K284" s="26" t="n">
        <v>1633.98</v>
      </c>
      <c r="L284" s="26" t="n">
        <v>296.02</v>
      </c>
      <c r="M284" s="22" t="s">
        <v>694</v>
      </c>
      <c r="N284" s="22" t="n">
        <f aca="false">MATCH(M284,'Tabela Passaro'!$A$2:$A$1795,0)</f>
        <v>106</v>
      </c>
      <c r="O284" s="22" t="str">
        <f aca="false">INDEX('Tabela Passaro'!$C$2:$C$1795,$N284)</f>
        <v>SALVADOR</v>
      </c>
      <c r="P284" s="22" t="str">
        <f aca="false">INDEX('Tabela Passaro'!$B$2:$B$1795,$N284)</f>
        <v>BA</v>
      </c>
      <c r="Q284" s="22" t="n">
        <f aca="false">INDEX('Tabela Passaro'!$F$2:$F$1795,$N284)</f>
        <v>6</v>
      </c>
      <c r="R284" s="32" t="n">
        <f aca="false">IF(J284&lt;=10,INDEX('Tabela Passaro'!$G$2:$G$1795,$N284),IF(J284&lt;=30,INDEX('Tabela Passaro'!$H$2:$H$1795,$N284),IF(J284&lt;=50,INDEX('Tabela Passaro'!$I$2:$I$1795,$N284),IF(J284&lt;=70,INDEX('Tabela Passaro'!$J$2:$J$1795,$N284),IF(J284&lt;=100,INDEX('Tabela Passaro'!$K$2:$K$1795,$N284),INDEX('Tabela Passaro'!$K$2:$K$1795,$N284)+(J284-100)*INDEX('Tabela Passaro'!$L$2:$L$1795,$N284))))))</f>
        <v>94.008</v>
      </c>
      <c r="S284" s="32" t="n">
        <f aca="false">K284*INDEX('Tabela Passaro'!$M$2:$M$1795,$N284)</f>
        <v>8.1699</v>
      </c>
      <c r="T284" s="32" t="n">
        <f aca="false">K284*INDEX('Tabela Passaro'!$N$2:$N$1795,$N284)</f>
        <v>3.26796</v>
      </c>
      <c r="U284" s="32" t="n">
        <f aca="false">INDEX('Tabela Passaro'!$O$2:$O$1795,$N284)</f>
        <v>5</v>
      </c>
      <c r="V284" s="32" t="n">
        <f aca="false">ROUNDUP(J284/INDEX('Tabela Passaro'!$Q$2:$Q$1795,$N284),0)*INDEX('Tabela Passaro'!$P$2:$P$1795,$N284)</f>
        <v>10</v>
      </c>
      <c r="W284" s="32" t="n">
        <f aca="false">INDEX('Tabela Passaro'!$R$2:$R$1795,$N284)</f>
        <v>30</v>
      </c>
      <c r="X284" s="32" t="n">
        <f aca="false">ROUNDUP(J284/INDEX('Tabela Passaro'!$T$2:$T$1795,$N284),0)*INDEX('Tabela Passaro'!$S$2:$S$1795,$N284)</f>
        <v>0</v>
      </c>
      <c r="Y284" s="32" t="n">
        <f aca="false">INDEX('Tabela Passaro'!$U$2:$U$1795,$N284)</f>
        <v>0</v>
      </c>
      <c r="Z284" s="32" t="n">
        <f aca="false">INDEX('Tabela Passaro'!$V$2:$V$1795,$N284)</f>
        <v>0</v>
      </c>
      <c r="AA284" s="32" t="n">
        <f aca="false">SUM(R284:Z284)</f>
        <v>150.44586</v>
      </c>
      <c r="AB284" s="33" t="n">
        <f aca="false">INDEX(Premissas!$B$5:$B$13,MATCH(A284,Premissas!$A$5:$A$13,0))</f>
        <v>0.07</v>
      </c>
      <c r="AC284" s="32" t="n">
        <f aca="false">AA284/(1-AB284)-AA284</f>
        <v>11.3238819354839</v>
      </c>
      <c r="AD284" s="32" t="n">
        <f aca="false">ROUND(AA284+AC284,2)</f>
        <v>161.77</v>
      </c>
      <c r="AE284" s="32" t="n">
        <f aca="false">AD284-L284</f>
        <v>-134.25</v>
      </c>
      <c r="AF284" s="34" t="n">
        <f aca="false">IF(L284=0,0,AE284/L284)</f>
        <v>-0.453516654280116</v>
      </c>
      <c r="AG284" s="22" t="str">
        <f aca="false">IF(AD284&lt;L284,"PASSARO","ATUAL")</f>
        <v>PASSARO</v>
      </c>
      <c r="AH284" s="22" t="str">
        <f aca="false">IF(P284&lt;&gt;A284,"Faixa cadastrada como "&amp;P284&amp;" na tabela; preço aplicado pela UF do CEP","")</f>
        <v/>
      </c>
      <c r="AI284" s="26" t="n">
        <v>225.19</v>
      </c>
      <c r="AJ284" s="22" t="str">
        <f aca="false">INDEX('Tabela Passaro'!$X$2:$X$1795,$N284)</f>
        <v>CAPITAL</v>
      </c>
    </row>
    <row r="285" customFormat="false" ht="15" hidden="false" customHeight="false" outlineLevel="0" collapsed="false">
      <c r="A285" s="22" t="s">
        <v>16</v>
      </c>
      <c r="B285" s="22" t="n">
        <v>1</v>
      </c>
      <c r="C285" s="22" t="s">
        <v>75</v>
      </c>
      <c r="D285" s="22" t="s">
        <v>30</v>
      </c>
      <c r="E285" s="22" t="s">
        <v>7326</v>
      </c>
      <c r="F285" s="22" t="n">
        <v>525052</v>
      </c>
      <c r="G285" s="30" t="n">
        <v>46248</v>
      </c>
      <c r="H285" s="22" t="n">
        <v>624823</v>
      </c>
      <c r="I285" s="22" t="s">
        <v>7581</v>
      </c>
      <c r="J285" s="31" t="n">
        <v>51.06</v>
      </c>
      <c r="K285" s="26" t="n">
        <v>786.14</v>
      </c>
      <c r="L285" s="26" t="n">
        <v>196.14</v>
      </c>
      <c r="M285" s="22" t="s">
        <v>694</v>
      </c>
      <c r="N285" s="22" t="n">
        <f aca="false">MATCH(M285,'Tabela Passaro'!$A$2:$A$1795,0)</f>
        <v>106</v>
      </c>
      <c r="O285" s="22" t="str">
        <f aca="false">INDEX('Tabela Passaro'!$C$2:$C$1795,$N285)</f>
        <v>SALVADOR</v>
      </c>
      <c r="P285" s="22" t="str">
        <f aca="false">INDEX('Tabela Passaro'!$B$2:$B$1795,$N285)</f>
        <v>BA</v>
      </c>
      <c r="Q285" s="22" t="n">
        <f aca="false">INDEX('Tabela Passaro'!$F$2:$F$1795,$N285)</f>
        <v>6</v>
      </c>
      <c r="R285" s="32" t="n">
        <f aca="false">IF(J285&lt;=10,INDEX('Tabela Passaro'!$G$2:$G$1795,$N285),IF(J285&lt;=30,INDEX('Tabela Passaro'!$H$2:$H$1795,$N285),IF(J285&lt;=50,INDEX('Tabela Passaro'!$I$2:$I$1795,$N285),IF(J285&lt;=70,INDEX('Tabela Passaro'!$J$2:$J$1795,$N285),IF(J285&lt;=100,INDEX('Tabela Passaro'!$K$2:$K$1795,$N285),INDEX('Tabela Passaro'!$K$2:$K$1795,$N285)+(J285-100)*INDEX('Tabela Passaro'!$L$2:$L$1795,$N285))))))</f>
        <v>73.44</v>
      </c>
      <c r="S285" s="32" t="n">
        <f aca="false">K285*INDEX('Tabela Passaro'!$M$2:$M$1795,$N285)</f>
        <v>3.9307</v>
      </c>
      <c r="T285" s="32" t="n">
        <f aca="false">K285*INDEX('Tabela Passaro'!$N$2:$N$1795,$N285)</f>
        <v>1.57228</v>
      </c>
      <c r="U285" s="32" t="n">
        <f aca="false">INDEX('Tabela Passaro'!$O$2:$O$1795,$N285)</f>
        <v>5</v>
      </c>
      <c r="V285" s="32" t="n">
        <f aca="false">ROUNDUP(J285/INDEX('Tabela Passaro'!$Q$2:$Q$1795,$N285),0)*INDEX('Tabela Passaro'!$P$2:$P$1795,$N285)</f>
        <v>5</v>
      </c>
      <c r="W285" s="32" t="n">
        <f aca="false">INDEX('Tabela Passaro'!$R$2:$R$1795,$N285)</f>
        <v>30</v>
      </c>
      <c r="X285" s="32" t="n">
        <f aca="false">ROUNDUP(J285/INDEX('Tabela Passaro'!$T$2:$T$1795,$N285),0)*INDEX('Tabela Passaro'!$S$2:$S$1795,$N285)</f>
        <v>0</v>
      </c>
      <c r="Y285" s="32" t="n">
        <f aca="false">INDEX('Tabela Passaro'!$U$2:$U$1795,$N285)</f>
        <v>0</v>
      </c>
      <c r="Z285" s="32" t="n">
        <f aca="false">INDEX('Tabela Passaro'!$V$2:$V$1795,$N285)</f>
        <v>0</v>
      </c>
      <c r="AA285" s="32" t="n">
        <f aca="false">SUM(R285:Z285)</f>
        <v>118.94298</v>
      </c>
      <c r="AB285" s="33" t="n">
        <f aca="false">INDEX(Premissas!$B$5:$B$13,MATCH(A285,Premissas!$A$5:$A$13,0))</f>
        <v>0.07</v>
      </c>
      <c r="AC285" s="32" t="n">
        <f aca="false">AA285/(1-AB285)-AA285</f>
        <v>8.95269741935485</v>
      </c>
      <c r="AD285" s="32" t="n">
        <f aca="false">ROUND(AA285+AC285,2)</f>
        <v>127.9</v>
      </c>
      <c r="AE285" s="32" t="n">
        <f aca="false">AD285-L285</f>
        <v>-68.24</v>
      </c>
      <c r="AF285" s="34" t="n">
        <f aca="false">IF(L285=0,0,AE285/L285)</f>
        <v>-0.347914754767003</v>
      </c>
      <c r="AG285" s="22" t="str">
        <f aca="false">IF(AD285&lt;L285,"PASSARO","ATUAL")</f>
        <v>PASSARO</v>
      </c>
      <c r="AH285" s="22" t="str">
        <f aca="false">IF(P285&lt;&gt;A285,"Faixa cadastrada como "&amp;P285&amp;" na tabela; preço aplicado pela UF do CEP","")</f>
        <v/>
      </c>
      <c r="AI285" s="26" t="n">
        <v>161.01</v>
      </c>
      <c r="AJ285" s="22" t="str">
        <f aca="false">INDEX('Tabela Passaro'!$X$2:$X$1795,$N285)</f>
        <v>CAPITAL</v>
      </c>
    </row>
    <row r="286" customFormat="false" ht="15" hidden="false" customHeight="false" outlineLevel="0" collapsed="false">
      <c r="A286" s="22" t="s">
        <v>16</v>
      </c>
      <c r="B286" s="22" t="n">
        <v>1</v>
      </c>
      <c r="C286" s="22" t="s">
        <v>75</v>
      </c>
      <c r="D286" s="22" t="s">
        <v>30</v>
      </c>
      <c r="E286" s="22" t="s">
        <v>7326</v>
      </c>
      <c r="F286" s="22" t="n">
        <v>525051</v>
      </c>
      <c r="G286" s="30" t="n">
        <v>46248</v>
      </c>
      <c r="H286" s="22" t="n">
        <v>624824</v>
      </c>
      <c r="I286" s="22" t="s">
        <v>7582</v>
      </c>
      <c r="J286" s="31" t="n">
        <v>51.06</v>
      </c>
      <c r="K286" s="26" t="n">
        <v>742.63</v>
      </c>
      <c r="L286" s="26" t="n">
        <v>195.76</v>
      </c>
      <c r="M286" s="22" t="s">
        <v>694</v>
      </c>
      <c r="N286" s="22" t="n">
        <f aca="false">MATCH(M286,'Tabela Passaro'!$A$2:$A$1795,0)</f>
        <v>106</v>
      </c>
      <c r="O286" s="22" t="str">
        <f aca="false">INDEX('Tabela Passaro'!$C$2:$C$1795,$N286)</f>
        <v>SALVADOR</v>
      </c>
      <c r="P286" s="22" t="str">
        <f aca="false">INDEX('Tabela Passaro'!$B$2:$B$1795,$N286)</f>
        <v>BA</v>
      </c>
      <c r="Q286" s="22" t="n">
        <f aca="false">INDEX('Tabela Passaro'!$F$2:$F$1795,$N286)</f>
        <v>6</v>
      </c>
      <c r="R286" s="32" t="n">
        <f aca="false">IF(J286&lt;=10,INDEX('Tabela Passaro'!$G$2:$G$1795,$N286),IF(J286&lt;=30,INDEX('Tabela Passaro'!$H$2:$H$1795,$N286),IF(J286&lt;=50,INDEX('Tabela Passaro'!$I$2:$I$1795,$N286),IF(J286&lt;=70,INDEX('Tabela Passaro'!$J$2:$J$1795,$N286),IF(J286&lt;=100,INDEX('Tabela Passaro'!$K$2:$K$1795,$N286),INDEX('Tabela Passaro'!$K$2:$K$1795,$N286)+(J286-100)*INDEX('Tabela Passaro'!$L$2:$L$1795,$N286))))))</f>
        <v>73.44</v>
      </c>
      <c r="S286" s="32" t="n">
        <f aca="false">K286*INDEX('Tabela Passaro'!$M$2:$M$1795,$N286)</f>
        <v>3.71315</v>
      </c>
      <c r="T286" s="32" t="n">
        <f aca="false">K286*INDEX('Tabela Passaro'!$N$2:$N$1795,$N286)</f>
        <v>1.48526</v>
      </c>
      <c r="U286" s="32" t="n">
        <f aca="false">INDEX('Tabela Passaro'!$O$2:$O$1795,$N286)</f>
        <v>5</v>
      </c>
      <c r="V286" s="32" t="n">
        <f aca="false">ROUNDUP(J286/INDEX('Tabela Passaro'!$Q$2:$Q$1795,$N286),0)*INDEX('Tabela Passaro'!$P$2:$P$1795,$N286)</f>
        <v>5</v>
      </c>
      <c r="W286" s="32" t="n">
        <f aca="false">INDEX('Tabela Passaro'!$R$2:$R$1795,$N286)</f>
        <v>30</v>
      </c>
      <c r="X286" s="32" t="n">
        <f aca="false">ROUNDUP(J286/INDEX('Tabela Passaro'!$T$2:$T$1795,$N286),0)*INDEX('Tabela Passaro'!$S$2:$S$1795,$N286)</f>
        <v>0</v>
      </c>
      <c r="Y286" s="32" t="n">
        <f aca="false">INDEX('Tabela Passaro'!$U$2:$U$1795,$N286)</f>
        <v>0</v>
      </c>
      <c r="Z286" s="32" t="n">
        <f aca="false">INDEX('Tabela Passaro'!$V$2:$V$1795,$N286)</f>
        <v>0</v>
      </c>
      <c r="AA286" s="32" t="n">
        <f aca="false">SUM(R286:Z286)</f>
        <v>118.63841</v>
      </c>
      <c r="AB286" s="33" t="n">
        <f aca="false">INDEX(Premissas!$B$5:$B$13,MATCH(A286,Premissas!$A$5:$A$13,0))</f>
        <v>0.07</v>
      </c>
      <c r="AC286" s="32" t="n">
        <f aca="false">AA286/(1-AB286)-AA286</f>
        <v>8.92977279569894</v>
      </c>
      <c r="AD286" s="32" t="n">
        <f aca="false">ROUND(AA286+AC286,2)</f>
        <v>127.57</v>
      </c>
      <c r="AE286" s="32" t="n">
        <f aca="false">AD286-L286</f>
        <v>-68.19</v>
      </c>
      <c r="AF286" s="34" t="n">
        <f aca="false">IF(L286=0,0,AE286/L286)</f>
        <v>-0.348334695545566</v>
      </c>
      <c r="AG286" s="22" t="str">
        <f aca="false">IF(AD286&lt;L286,"PASSARO","ATUAL")</f>
        <v>PASSARO</v>
      </c>
      <c r="AH286" s="22" t="str">
        <f aca="false">IF(P286&lt;&gt;A286,"Faixa cadastrada como "&amp;P286&amp;" na tabela; preço aplicado pela UF do CEP","")</f>
        <v/>
      </c>
      <c r="AI286" s="26" t="n">
        <v>160.58</v>
      </c>
      <c r="AJ286" s="22" t="str">
        <f aca="false">INDEX('Tabela Passaro'!$X$2:$X$1795,$N286)</f>
        <v>CAPITAL</v>
      </c>
    </row>
    <row r="287" customFormat="false" ht="15" hidden="false" customHeight="false" outlineLevel="0" collapsed="false">
      <c r="A287" s="22" t="s">
        <v>16</v>
      </c>
      <c r="B287" s="22" t="n">
        <v>1</v>
      </c>
      <c r="C287" s="22" t="s">
        <v>75</v>
      </c>
      <c r="D287" s="22" t="s">
        <v>30</v>
      </c>
      <c r="E287" s="22" t="s">
        <v>7326</v>
      </c>
      <c r="F287" s="22" t="n">
        <v>524989</v>
      </c>
      <c r="G287" s="30" t="n">
        <v>46248</v>
      </c>
      <c r="H287" s="22" t="n">
        <v>625112</v>
      </c>
      <c r="I287" s="22" t="s">
        <v>7583</v>
      </c>
      <c r="J287" s="31" t="n">
        <v>51.06</v>
      </c>
      <c r="K287" s="26" t="n">
        <v>663.54</v>
      </c>
      <c r="L287" s="26" t="n">
        <v>195.1</v>
      </c>
      <c r="M287" s="22" t="s">
        <v>694</v>
      </c>
      <c r="N287" s="22" t="n">
        <f aca="false">MATCH(M287,'Tabela Passaro'!$A$2:$A$1795,0)</f>
        <v>106</v>
      </c>
      <c r="O287" s="22" t="str">
        <f aca="false">INDEX('Tabela Passaro'!$C$2:$C$1795,$N287)</f>
        <v>SALVADOR</v>
      </c>
      <c r="P287" s="22" t="str">
        <f aca="false">INDEX('Tabela Passaro'!$B$2:$B$1795,$N287)</f>
        <v>BA</v>
      </c>
      <c r="Q287" s="22" t="n">
        <f aca="false">INDEX('Tabela Passaro'!$F$2:$F$1795,$N287)</f>
        <v>6</v>
      </c>
      <c r="R287" s="32" t="n">
        <f aca="false">IF(J287&lt;=10,INDEX('Tabela Passaro'!$G$2:$G$1795,$N287),IF(J287&lt;=30,INDEX('Tabela Passaro'!$H$2:$H$1795,$N287),IF(J287&lt;=50,INDEX('Tabela Passaro'!$I$2:$I$1795,$N287),IF(J287&lt;=70,INDEX('Tabela Passaro'!$J$2:$J$1795,$N287),IF(J287&lt;=100,INDEX('Tabela Passaro'!$K$2:$K$1795,$N287),INDEX('Tabela Passaro'!$K$2:$K$1795,$N287)+(J287-100)*INDEX('Tabela Passaro'!$L$2:$L$1795,$N287))))))</f>
        <v>73.44</v>
      </c>
      <c r="S287" s="32" t="n">
        <f aca="false">K287*INDEX('Tabela Passaro'!$M$2:$M$1795,$N287)</f>
        <v>3.3177</v>
      </c>
      <c r="T287" s="32" t="n">
        <f aca="false">K287*INDEX('Tabela Passaro'!$N$2:$N$1795,$N287)</f>
        <v>1.32708</v>
      </c>
      <c r="U287" s="32" t="n">
        <f aca="false">INDEX('Tabela Passaro'!$O$2:$O$1795,$N287)</f>
        <v>5</v>
      </c>
      <c r="V287" s="32" t="n">
        <f aca="false">ROUNDUP(J287/INDEX('Tabela Passaro'!$Q$2:$Q$1795,$N287),0)*INDEX('Tabela Passaro'!$P$2:$P$1795,$N287)</f>
        <v>5</v>
      </c>
      <c r="W287" s="32" t="n">
        <f aca="false">INDEX('Tabela Passaro'!$R$2:$R$1795,$N287)</f>
        <v>30</v>
      </c>
      <c r="X287" s="32" t="n">
        <f aca="false">ROUNDUP(J287/INDEX('Tabela Passaro'!$T$2:$T$1795,$N287),0)*INDEX('Tabela Passaro'!$S$2:$S$1795,$N287)</f>
        <v>0</v>
      </c>
      <c r="Y287" s="32" t="n">
        <f aca="false">INDEX('Tabela Passaro'!$U$2:$U$1795,$N287)</f>
        <v>0</v>
      </c>
      <c r="Z287" s="32" t="n">
        <f aca="false">INDEX('Tabela Passaro'!$V$2:$V$1795,$N287)</f>
        <v>0</v>
      </c>
      <c r="AA287" s="32" t="n">
        <f aca="false">SUM(R287:Z287)</f>
        <v>118.08478</v>
      </c>
      <c r="AB287" s="33" t="n">
        <f aca="false">INDEX(Premissas!$B$5:$B$13,MATCH(A287,Premissas!$A$5:$A$13,0))</f>
        <v>0.07</v>
      </c>
      <c r="AC287" s="32" t="n">
        <f aca="false">AA287/(1-AB287)-AA287</f>
        <v>8.88810172043011</v>
      </c>
      <c r="AD287" s="32" t="n">
        <f aca="false">ROUND(AA287+AC287,2)</f>
        <v>126.97</v>
      </c>
      <c r="AE287" s="32" t="n">
        <f aca="false">AD287-L287</f>
        <v>-68.13</v>
      </c>
      <c r="AF287" s="34" t="n">
        <f aca="false">IF(L287=0,0,AE287/L287)</f>
        <v>-0.349205535622758</v>
      </c>
      <c r="AG287" s="22" t="str">
        <f aca="false">IF(AD287&lt;L287,"PASSARO","ATUAL")</f>
        <v>PASSARO</v>
      </c>
      <c r="AH287" s="22" t="str">
        <f aca="false">IF(P287&lt;&gt;A287,"Faixa cadastrada como "&amp;P287&amp;" na tabela; preço aplicado pela UF do CEP","")</f>
        <v/>
      </c>
      <c r="AI287" s="26" t="n">
        <v>159.82</v>
      </c>
      <c r="AJ287" s="22" t="str">
        <f aca="false">INDEX('Tabela Passaro'!$X$2:$X$1795,$N287)</f>
        <v>CAPITAL</v>
      </c>
    </row>
    <row r="288" customFormat="false" ht="15" hidden="false" customHeight="false" outlineLevel="0" collapsed="false">
      <c r="A288" s="22" t="s">
        <v>16</v>
      </c>
      <c r="B288" s="22" t="n">
        <v>1</v>
      </c>
      <c r="C288" s="22" t="s">
        <v>75</v>
      </c>
      <c r="D288" s="22" t="s">
        <v>30</v>
      </c>
      <c r="E288" s="22" t="s">
        <v>7326</v>
      </c>
      <c r="F288" s="22" t="n">
        <v>524997</v>
      </c>
      <c r="G288" s="30" t="n">
        <v>46248</v>
      </c>
      <c r="H288" s="22" t="n">
        <v>625207</v>
      </c>
      <c r="I288" s="22" t="s">
        <v>7584</v>
      </c>
      <c r="J288" s="31" t="n">
        <v>60.9</v>
      </c>
      <c r="K288" s="26" t="n">
        <v>949.17</v>
      </c>
      <c r="L288" s="26" t="n">
        <v>197.53</v>
      </c>
      <c r="M288" s="22" t="s">
        <v>694</v>
      </c>
      <c r="N288" s="22" t="n">
        <f aca="false">MATCH(M288,'Tabela Passaro'!$A$2:$A$1795,0)</f>
        <v>106</v>
      </c>
      <c r="O288" s="22" t="str">
        <f aca="false">INDEX('Tabela Passaro'!$C$2:$C$1795,$N288)</f>
        <v>SALVADOR</v>
      </c>
      <c r="P288" s="22" t="str">
        <f aca="false">INDEX('Tabela Passaro'!$B$2:$B$1795,$N288)</f>
        <v>BA</v>
      </c>
      <c r="Q288" s="22" t="n">
        <f aca="false">INDEX('Tabela Passaro'!$F$2:$F$1795,$N288)</f>
        <v>6</v>
      </c>
      <c r="R288" s="32" t="n">
        <f aca="false">IF(J288&lt;=10,INDEX('Tabela Passaro'!$G$2:$G$1795,$N288),IF(J288&lt;=30,INDEX('Tabela Passaro'!$H$2:$H$1795,$N288),IF(J288&lt;=50,INDEX('Tabela Passaro'!$I$2:$I$1795,$N288),IF(J288&lt;=70,INDEX('Tabela Passaro'!$J$2:$J$1795,$N288),IF(J288&lt;=100,INDEX('Tabela Passaro'!$K$2:$K$1795,$N288),INDEX('Tabela Passaro'!$K$2:$K$1795,$N288)+(J288-100)*INDEX('Tabela Passaro'!$L$2:$L$1795,$N288))))))</f>
        <v>73.44</v>
      </c>
      <c r="S288" s="32" t="n">
        <f aca="false">K288*INDEX('Tabela Passaro'!$M$2:$M$1795,$N288)</f>
        <v>4.74585</v>
      </c>
      <c r="T288" s="32" t="n">
        <f aca="false">K288*INDEX('Tabela Passaro'!$N$2:$N$1795,$N288)</f>
        <v>1.89834</v>
      </c>
      <c r="U288" s="32" t="n">
        <f aca="false">INDEX('Tabela Passaro'!$O$2:$O$1795,$N288)</f>
        <v>5</v>
      </c>
      <c r="V288" s="32" t="n">
        <f aca="false">ROUNDUP(J288/INDEX('Tabela Passaro'!$Q$2:$Q$1795,$N288),0)*INDEX('Tabela Passaro'!$P$2:$P$1795,$N288)</f>
        <v>5</v>
      </c>
      <c r="W288" s="32" t="n">
        <f aca="false">INDEX('Tabela Passaro'!$R$2:$R$1795,$N288)</f>
        <v>30</v>
      </c>
      <c r="X288" s="32" t="n">
        <f aca="false">ROUNDUP(J288/INDEX('Tabela Passaro'!$T$2:$T$1795,$N288),0)*INDEX('Tabela Passaro'!$S$2:$S$1795,$N288)</f>
        <v>0</v>
      </c>
      <c r="Y288" s="32" t="n">
        <f aca="false">INDEX('Tabela Passaro'!$U$2:$U$1795,$N288)</f>
        <v>0</v>
      </c>
      <c r="Z288" s="32" t="n">
        <f aca="false">INDEX('Tabela Passaro'!$V$2:$V$1795,$N288)</f>
        <v>0</v>
      </c>
      <c r="AA288" s="32" t="n">
        <f aca="false">SUM(R288:Z288)</f>
        <v>120.08419</v>
      </c>
      <c r="AB288" s="33" t="n">
        <f aca="false">INDEX(Premissas!$B$5:$B$13,MATCH(A288,Premissas!$A$5:$A$13,0))</f>
        <v>0.07</v>
      </c>
      <c r="AC288" s="32" t="n">
        <f aca="false">AA288/(1-AB288)-AA288</f>
        <v>9.03859494623656</v>
      </c>
      <c r="AD288" s="32" t="n">
        <f aca="false">ROUND(AA288+AC288,2)</f>
        <v>129.12</v>
      </c>
      <c r="AE288" s="32" t="n">
        <f aca="false">AD288-L288</f>
        <v>-68.41</v>
      </c>
      <c r="AF288" s="34" t="n">
        <f aca="false">IF(L288=0,0,AE288/L288)</f>
        <v>-0.346327140181238</v>
      </c>
      <c r="AG288" s="22" t="str">
        <f aca="false">IF(AD288&lt;L288,"PASSARO","ATUAL")</f>
        <v>PASSARO</v>
      </c>
      <c r="AH288" s="22" t="str">
        <f aca="false">IF(P288&lt;&gt;A288,"Faixa cadastrada como "&amp;P288&amp;" na tabela; preço aplicado pela UF do CEP","")</f>
        <v/>
      </c>
      <c r="AI288" s="26" t="n">
        <v>166.94</v>
      </c>
      <c r="AJ288" s="22" t="str">
        <f aca="false">INDEX('Tabela Passaro'!$X$2:$X$1795,$N288)</f>
        <v>CAPITAL</v>
      </c>
    </row>
    <row r="289" customFormat="false" ht="15" hidden="false" customHeight="false" outlineLevel="0" collapsed="false">
      <c r="A289" s="22" t="s">
        <v>16</v>
      </c>
      <c r="B289" s="22" t="n">
        <v>1</v>
      </c>
      <c r="C289" s="22" t="s">
        <v>75</v>
      </c>
      <c r="D289" s="22" t="s">
        <v>30</v>
      </c>
      <c r="E289" s="22" t="s">
        <v>16</v>
      </c>
      <c r="F289" s="22" t="n">
        <v>206589</v>
      </c>
      <c r="G289" s="30" t="n">
        <v>46249</v>
      </c>
      <c r="H289" s="22" t="n">
        <v>615120</v>
      </c>
      <c r="I289" s="22" t="s">
        <v>7585</v>
      </c>
      <c r="J289" s="31" t="n">
        <v>69.11</v>
      </c>
      <c r="K289" s="26" t="n">
        <v>995.43</v>
      </c>
      <c r="L289" s="26" t="n">
        <v>209.17</v>
      </c>
      <c r="M289" s="22" t="s">
        <v>694</v>
      </c>
      <c r="N289" s="22" t="n">
        <f aca="false">MATCH(M289,'Tabela Passaro'!$A$2:$A$1795,0)</f>
        <v>106</v>
      </c>
      <c r="O289" s="22" t="str">
        <f aca="false">INDEX('Tabela Passaro'!$C$2:$C$1795,$N289)</f>
        <v>SALVADOR</v>
      </c>
      <c r="P289" s="22" t="str">
        <f aca="false">INDEX('Tabela Passaro'!$B$2:$B$1795,$N289)</f>
        <v>BA</v>
      </c>
      <c r="Q289" s="22" t="n">
        <f aca="false">INDEX('Tabela Passaro'!$F$2:$F$1795,$N289)</f>
        <v>6</v>
      </c>
      <c r="R289" s="32" t="n">
        <f aca="false">IF(J289&lt;=10,INDEX('Tabela Passaro'!$G$2:$G$1795,$N289),IF(J289&lt;=30,INDEX('Tabela Passaro'!$H$2:$H$1795,$N289),IF(J289&lt;=50,INDEX('Tabela Passaro'!$I$2:$I$1795,$N289),IF(J289&lt;=70,INDEX('Tabela Passaro'!$J$2:$J$1795,$N289),IF(J289&lt;=100,INDEX('Tabela Passaro'!$K$2:$K$1795,$N289),INDEX('Tabela Passaro'!$K$2:$K$1795,$N289)+(J289-100)*INDEX('Tabela Passaro'!$L$2:$L$1795,$N289))))))</f>
        <v>73.44</v>
      </c>
      <c r="S289" s="32" t="n">
        <f aca="false">K289*INDEX('Tabela Passaro'!$M$2:$M$1795,$N289)</f>
        <v>4.97715</v>
      </c>
      <c r="T289" s="32" t="n">
        <f aca="false">K289*INDEX('Tabela Passaro'!$N$2:$N$1795,$N289)</f>
        <v>1.99086</v>
      </c>
      <c r="U289" s="32" t="n">
        <f aca="false">INDEX('Tabela Passaro'!$O$2:$O$1795,$N289)</f>
        <v>5</v>
      </c>
      <c r="V289" s="32" t="n">
        <f aca="false">ROUNDUP(J289/INDEX('Tabela Passaro'!$Q$2:$Q$1795,$N289),0)*INDEX('Tabela Passaro'!$P$2:$P$1795,$N289)</f>
        <v>5</v>
      </c>
      <c r="W289" s="32" t="n">
        <f aca="false">INDEX('Tabela Passaro'!$R$2:$R$1795,$N289)</f>
        <v>30</v>
      </c>
      <c r="X289" s="32" t="n">
        <f aca="false">ROUNDUP(J289/INDEX('Tabela Passaro'!$T$2:$T$1795,$N289),0)*INDEX('Tabela Passaro'!$S$2:$S$1795,$N289)</f>
        <v>0</v>
      </c>
      <c r="Y289" s="32" t="n">
        <f aca="false">INDEX('Tabela Passaro'!$U$2:$U$1795,$N289)</f>
        <v>0</v>
      </c>
      <c r="Z289" s="32" t="n">
        <f aca="false">INDEX('Tabela Passaro'!$V$2:$V$1795,$N289)</f>
        <v>0</v>
      </c>
      <c r="AA289" s="32" t="n">
        <f aca="false">SUM(R289:Z289)</f>
        <v>120.40801</v>
      </c>
      <c r="AB289" s="33" t="n">
        <f aca="false">INDEX(Premissas!$B$5:$B$13,MATCH(A289,Premissas!$A$5:$A$13,0))</f>
        <v>0.07</v>
      </c>
      <c r="AC289" s="32" t="n">
        <f aca="false">AA289/(1-AB289)-AA289</f>
        <v>9.06296849462366</v>
      </c>
      <c r="AD289" s="32" t="n">
        <f aca="false">ROUND(AA289+AC289,2)</f>
        <v>129.47</v>
      </c>
      <c r="AE289" s="32" t="n">
        <f aca="false">AD289-L289</f>
        <v>-79.7</v>
      </c>
      <c r="AF289" s="34" t="n">
        <f aca="false">IF(L289=0,0,AE289/L289)</f>
        <v>-0.381029784385906</v>
      </c>
      <c r="AG289" s="22" t="str">
        <f aca="false">IF(AD289&lt;L289,"PASSARO","ATUAL")</f>
        <v>PASSARO</v>
      </c>
      <c r="AH289" s="22" t="str">
        <f aca="false">IF(P289&lt;&gt;A289,"Faixa cadastrada como "&amp;P289&amp;" na tabela; preço aplicado pela UF do CEP","")</f>
        <v/>
      </c>
      <c r="AI289" s="26" t="n">
        <v>171.74</v>
      </c>
      <c r="AJ289" s="22" t="str">
        <f aca="false">INDEX('Tabela Passaro'!$X$2:$X$1795,$N289)</f>
        <v>CAPITAL</v>
      </c>
    </row>
    <row r="290" customFormat="false" ht="15" hidden="false" customHeight="false" outlineLevel="0" collapsed="false">
      <c r="A290" s="22" t="s">
        <v>16</v>
      </c>
      <c r="B290" s="22" t="n">
        <v>1</v>
      </c>
      <c r="C290" s="22" t="s">
        <v>75</v>
      </c>
      <c r="D290" s="22" t="s">
        <v>30</v>
      </c>
      <c r="E290" s="22" t="s">
        <v>16</v>
      </c>
      <c r="F290" s="22" t="n">
        <v>206590</v>
      </c>
      <c r="G290" s="30" t="n">
        <v>46249</v>
      </c>
      <c r="H290" s="22" t="n">
        <v>616377</v>
      </c>
      <c r="I290" s="22" t="s">
        <v>7586</v>
      </c>
      <c r="J290" s="31" t="n">
        <v>66</v>
      </c>
      <c r="K290" s="26" t="n">
        <v>1655.48</v>
      </c>
      <c r="L290" s="26" t="n">
        <v>215.1</v>
      </c>
      <c r="M290" s="22" t="s">
        <v>694</v>
      </c>
      <c r="N290" s="22" t="n">
        <f aca="false">MATCH(M290,'Tabela Passaro'!$A$2:$A$1795,0)</f>
        <v>106</v>
      </c>
      <c r="O290" s="22" t="str">
        <f aca="false">INDEX('Tabela Passaro'!$C$2:$C$1795,$N290)</f>
        <v>SALVADOR</v>
      </c>
      <c r="P290" s="22" t="str">
        <f aca="false">INDEX('Tabela Passaro'!$B$2:$B$1795,$N290)</f>
        <v>BA</v>
      </c>
      <c r="Q290" s="22" t="n">
        <f aca="false">INDEX('Tabela Passaro'!$F$2:$F$1795,$N290)</f>
        <v>6</v>
      </c>
      <c r="R290" s="32" t="n">
        <f aca="false">IF(J290&lt;=10,INDEX('Tabela Passaro'!$G$2:$G$1795,$N290),IF(J290&lt;=30,INDEX('Tabela Passaro'!$H$2:$H$1795,$N290),IF(J290&lt;=50,INDEX('Tabela Passaro'!$I$2:$I$1795,$N290),IF(J290&lt;=70,INDEX('Tabela Passaro'!$J$2:$J$1795,$N290),IF(J290&lt;=100,INDEX('Tabela Passaro'!$K$2:$K$1795,$N290),INDEX('Tabela Passaro'!$K$2:$K$1795,$N290)+(J290-100)*INDEX('Tabela Passaro'!$L$2:$L$1795,$N290))))))</f>
        <v>73.44</v>
      </c>
      <c r="S290" s="32" t="n">
        <f aca="false">K290*INDEX('Tabela Passaro'!$M$2:$M$1795,$N290)</f>
        <v>8.2774</v>
      </c>
      <c r="T290" s="32" t="n">
        <f aca="false">K290*INDEX('Tabela Passaro'!$N$2:$N$1795,$N290)</f>
        <v>3.31096</v>
      </c>
      <c r="U290" s="32" t="n">
        <f aca="false">INDEX('Tabela Passaro'!$O$2:$O$1795,$N290)</f>
        <v>5</v>
      </c>
      <c r="V290" s="32" t="n">
        <f aca="false">ROUNDUP(J290/INDEX('Tabela Passaro'!$Q$2:$Q$1795,$N290),0)*INDEX('Tabela Passaro'!$P$2:$P$1795,$N290)</f>
        <v>5</v>
      </c>
      <c r="W290" s="32" t="n">
        <f aca="false">INDEX('Tabela Passaro'!$R$2:$R$1795,$N290)</f>
        <v>30</v>
      </c>
      <c r="X290" s="32" t="n">
        <f aca="false">ROUNDUP(J290/INDEX('Tabela Passaro'!$T$2:$T$1795,$N290),0)*INDEX('Tabela Passaro'!$S$2:$S$1795,$N290)</f>
        <v>0</v>
      </c>
      <c r="Y290" s="32" t="n">
        <f aca="false">INDEX('Tabela Passaro'!$U$2:$U$1795,$N290)</f>
        <v>0</v>
      </c>
      <c r="Z290" s="32" t="n">
        <f aca="false">INDEX('Tabela Passaro'!$V$2:$V$1795,$N290)</f>
        <v>0</v>
      </c>
      <c r="AA290" s="32" t="n">
        <f aca="false">SUM(R290:Z290)</f>
        <v>125.02836</v>
      </c>
      <c r="AB290" s="33" t="n">
        <f aca="false">INDEX(Premissas!$B$5:$B$13,MATCH(A290,Premissas!$A$5:$A$13,0))</f>
        <v>0.07</v>
      </c>
      <c r="AC290" s="32" t="n">
        <f aca="false">AA290/(1-AB290)-AA290</f>
        <v>9.41073677419357</v>
      </c>
      <c r="AD290" s="32" t="n">
        <f aca="false">ROUND(AA290+AC290,2)</f>
        <v>134.44</v>
      </c>
      <c r="AE290" s="32" t="n">
        <f aca="false">AD290-L290</f>
        <v>-80.66</v>
      </c>
      <c r="AF290" s="34" t="n">
        <f aca="false">IF(L290=0,0,AE290/L290)</f>
        <v>-0.374988377498838</v>
      </c>
      <c r="AG290" s="22" t="str">
        <f aca="false">IF(AD290&lt;L290,"PASSARO","ATUAL")</f>
        <v>PASSARO</v>
      </c>
      <c r="AH290" s="22" t="str">
        <f aca="false">IF(P290&lt;&gt;A290,"Faixa cadastrada como "&amp;P290&amp;" na tabela; preço aplicado pela UF do CEP","")</f>
        <v/>
      </c>
      <c r="AI290" s="26" t="n">
        <v>176.19</v>
      </c>
      <c r="AJ290" s="22" t="str">
        <f aca="false">INDEX('Tabela Passaro'!$X$2:$X$1795,$N290)</f>
        <v>CAPITAL</v>
      </c>
    </row>
    <row r="291" customFormat="false" ht="15" hidden="false" customHeight="false" outlineLevel="0" collapsed="false">
      <c r="A291" s="22" t="s">
        <v>16</v>
      </c>
      <c r="B291" s="22" t="n">
        <v>1</v>
      </c>
      <c r="C291" s="22" t="s">
        <v>75</v>
      </c>
      <c r="D291" s="22" t="s">
        <v>30</v>
      </c>
      <c r="E291" s="22" t="s">
        <v>20</v>
      </c>
      <c r="F291" s="22" t="n">
        <v>839334</v>
      </c>
      <c r="G291" s="30" t="n">
        <v>46251</v>
      </c>
      <c r="H291" s="22" t="n">
        <v>32521</v>
      </c>
      <c r="I291" s="22" t="s">
        <v>7587</v>
      </c>
      <c r="J291" s="31" t="n">
        <v>63</v>
      </c>
      <c r="K291" s="26" t="n">
        <v>1109.98</v>
      </c>
      <c r="L291" s="26" t="n">
        <v>164.63</v>
      </c>
      <c r="M291" s="22" t="s">
        <v>694</v>
      </c>
      <c r="N291" s="22" t="n">
        <f aca="false">MATCH(M291,'Tabela Passaro'!$A$2:$A$1795,0)</f>
        <v>106</v>
      </c>
      <c r="O291" s="22" t="str">
        <f aca="false">INDEX('Tabela Passaro'!$C$2:$C$1795,$N291)</f>
        <v>SALVADOR</v>
      </c>
      <c r="P291" s="22" t="str">
        <f aca="false">INDEX('Tabela Passaro'!$B$2:$B$1795,$N291)</f>
        <v>BA</v>
      </c>
      <c r="Q291" s="22" t="n">
        <f aca="false">INDEX('Tabela Passaro'!$F$2:$F$1795,$N291)</f>
        <v>6</v>
      </c>
      <c r="R291" s="32" t="n">
        <f aca="false">IF(J291&lt;=10,INDEX('Tabela Passaro'!$G$2:$G$1795,$N291),IF(J291&lt;=30,INDEX('Tabela Passaro'!$H$2:$H$1795,$N291),IF(J291&lt;=50,INDEX('Tabela Passaro'!$I$2:$I$1795,$N291),IF(J291&lt;=70,INDEX('Tabela Passaro'!$J$2:$J$1795,$N291),IF(J291&lt;=100,INDEX('Tabela Passaro'!$K$2:$K$1795,$N291),INDEX('Tabela Passaro'!$K$2:$K$1795,$N291)+(J291-100)*INDEX('Tabela Passaro'!$L$2:$L$1795,$N291))))))</f>
        <v>73.44</v>
      </c>
      <c r="S291" s="32" t="n">
        <f aca="false">K291*INDEX('Tabela Passaro'!$M$2:$M$1795,$N291)</f>
        <v>5.5499</v>
      </c>
      <c r="T291" s="32" t="n">
        <f aca="false">K291*INDEX('Tabela Passaro'!$N$2:$N$1795,$N291)</f>
        <v>2.21996</v>
      </c>
      <c r="U291" s="32" t="n">
        <f aca="false">INDEX('Tabela Passaro'!$O$2:$O$1795,$N291)</f>
        <v>5</v>
      </c>
      <c r="V291" s="32" t="n">
        <f aca="false">ROUNDUP(J291/INDEX('Tabela Passaro'!$Q$2:$Q$1795,$N291),0)*INDEX('Tabela Passaro'!$P$2:$P$1795,$N291)</f>
        <v>5</v>
      </c>
      <c r="W291" s="32" t="n">
        <f aca="false">INDEX('Tabela Passaro'!$R$2:$R$1795,$N291)</f>
        <v>30</v>
      </c>
      <c r="X291" s="32" t="n">
        <f aca="false">ROUNDUP(J291/INDEX('Tabela Passaro'!$T$2:$T$1795,$N291),0)*INDEX('Tabela Passaro'!$S$2:$S$1795,$N291)</f>
        <v>0</v>
      </c>
      <c r="Y291" s="32" t="n">
        <f aca="false">INDEX('Tabela Passaro'!$U$2:$U$1795,$N291)</f>
        <v>0</v>
      </c>
      <c r="Z291" s="32" t="n">
        <f aca="false">INDEX('Tabela Passaro'!$V$2:$V$1795,$N291)</f>
        <v>0</v>
      </c>
      <c r="AA291" s="32" t="n">
        <f aca="false">SUM(R291:Z291)</f>
        <v>121.20986</v>
      </c>
      <c r="AB291" s="33" t="n">
        <f aca="false">INDEX(Premissas!$B$5:$B$13,MATCH(A291,Premissas!$A$5:$A$13,0))</f>
        <v>0.07</v>
      </c>
      <c r="AC291" s="32" t="n">
        <f aca="false">AA291/(1-AB291)-AA291</f>
        <v>9.12332279569893</v>
      </c>
      <c r="AD291" s="32" t="n">
        <f aca="false">ROUND(AA291+AC291,2)</f>
        <v>130.33</v>
      </c>
      <c r="AE291" s="32" t="n">
        <f aca="false">AD291-L291</f>
        <v>-34.3</v>
      </c>
      <c r="AF291" s="34" t="n">
        <f aca="false">IF(L291=0,0,AE291/L291)</f>
        <v>-0.20834598797303</v>
      </c>
      <c r="AG291" s="22" t="str">
        <f aca="false">IF(AD291&lt;L291,"PASSARO","ATUAL")</f>
        <v>PASSARO</v>
      </c>
      <c r="AH291" s="22" t="str">
        <f aca="false">IF(P291&lt;&gt;A291,"Faixa cadastrada como "&amp;P291&amp;" na tabela; preço aplicado pela UF do CEP","")</f>
        <v/>
      </c>
      <c r="AI291" s="26" t="n">
        <v>169.46</v>
      </c>
      <c r="AJ291" s="22" t="str">
        <f aca="false">INDEX('Tabela Passaro'!$X$2:$X$1795,$N291)</f>
        <v>CAPITAL</v>
      </c>
    </row>
    <row r="292" customFormat="false" ht="15" hidden="false" customHeight="false" outlineLevel="0" collapsed="false">
      <c r="A292" s="22" t="s">
        <v>16</v>
      </c>
      <c r="B292" s="22" t="n">
        <v>1</v>
      </c>
      <c r="C292" s="22" t="s">
        <v>75</v>
      </c>
      <c r="D292" s="22" t="s">
        <v>30</v>
      </c>
      <c r="E292" s="22" t="s">
        <v>20</v>
      </c>
      <c r="F292" s="22" t="n">
        <v>839335</v>
      </c>
      <c r="G292" s="30" t="n">
        <v>46251</v>
      </c>
      <c r="H292" s="22" t="n">
        <v>32524</v>
      </c>
      <c r="I292" s="22" t="s">
        <v>7539</v>
      </c>
      <c r="J292" s="31" t="n">
        <v>66.8</v>
      </c>
      <c r="K292" s="26" t="n">
        <v>806.39</v>
      </c>
      <c r="L292" s="26" t="n">
        <v>161.91</v>
      </c>
      <c r="M292" s="22" t="s">
        <v>694</v>
      </c>
      <c r="N292" s="22" t="n">
        <f aca="false">MATCH(M292,'Tabela Passaro'!$A$2:$A$1795,0)</f>
        <v>106</v>
      </c>
      <c r="O292" s="22" t="str">
        <f aca="false">INDEX('Tabela Passaro'!$C$2:$C$1795,$N292)</f>
        <v>SALVADOR</v>
      </c>
      <c r="P292" s="22" t="str">
        <f aca="false">INDEX('Tabela Passaro'!$B$2:$B$1795,$N292)</f>
        <v>BA</v>
      </c>
      <c r="Q292" s="22" t="n">
        <f aca="false">INDEX('Tabela Passaro'!$F$2:$F$1795,$N292)</f>
        <v>6</v>
      </c>
      <c r="R292" s="32" t="n">
        <f aca="false">IF(J292&lt;=10,INDEX('Tabela Passaro'!$G$2:$G$1795,$N292),IF(J292&lt;=30,INDEX('Tabela Passaro'!$H$2:$H$1795,$N292),IF(J292&lt;=50,INDEX('Tabela Passaro'!$I$2:$I$1795,$N292),IF(J292&lt;=70,INDEX('Tabela Passaro'!$J$2:$J$1795,$N292),IF(J292&lt;=100,INDEX('Tabela Passaro'!$K$2:$K$1795,$N292),INDEX('Tabela Passaro'!$K$2:$K$1795,$N292)+(J292-100)*INDEX('Tabela Passaro'!$L$2:$L$1795,$N292))))))</f>
        <v>73.44</v>
      </c>
      <c r="S292" s="32" t="n">
        <f aca="false">K292*INDEX('Tabela Passaro'!$M$2:$M$1795,$N292)</f>
        <v>4.03195</v>
      </c>
      <c r="T292" s="32" t="n">
        <f aca="false">K292*INDEX('Tabela Passaro'!$N$2:$N$1795,$N292)</f>
        <v>1.61278</v>
      </c>
      <c r="U292" s="32" t="n">
        <f aca="false">INDEX('Tabela Passaro'!$O$2:$O$1795,$N292)</f>
        <v>5</v>
      </c>
      <c r="V292" s="32" t="n">
        <f aca="false">ROUNDUP(J292/INDEX('Tabela Passaro'!$Q$2:$Q$1795,$N292),0)*INDEX('Tabela Passaro'!$P$2:$P$1795,$N292)</f>
        <v>5</v>
      </c>
      <c r="W292" s="32" t="n">
        <f aca="false">INDEX('Tabela Passaro'!$R$2:$R$1795,$N292)</f>
        <v>30</v>
      </c>
      <c r="X292" s="32" t="n">
        <f aca="false">ROUNDUP(J292/INDEX('Tabela Passaro'!$T$2:$T$1795,$N292),0)*INDEX('Tabela Passaro'!$S$2:$S$1795,$N292)</f>
        <v>0</v>
      </c>
      <c r="Y292" s="32" t="n">
        <f aca="false">INDEX('Tabela Passaro'!$U$2:$U$1795,$N292)</f>
        <v>0</v>
      </c>
      <c r="Z292" s="32" t="n">
        <f aca="false">INDEX('Tabela Passaro'!$V$2:$V$1795,$N292)</f>
        <v>0</v>
      </c>
      <c r="AA292" s="32" t="n">
        <f aca="false">SUM(R292:Z292)</f>
        <v>119.08473</v>
      </c>
      <c r="AB292" s="33" t="n">
        <f aca="false">INDEX(Premissas!$B$5:$B$13,MATCH(A292,Premissas!$A$5:$A$13,0))</f>
        <v>0.07</v>
      </c>
      <c r="AC292" s="32" t="n">
        <f aca="false">AA292/(1-AB292)-AA292</f>
        <v>8.96336677419355</v>
      </c>
      <c r="AD292" s="32" t="n">
        <f aca="false">ROUND(AA292+AC292,2)</f>
        <v>128.05</v>
      </c>
      <c r="AE292" s="32" t="n">
        <f aca="false">AD292-L292</f>
        <v>-33.86</v>
      </c>
      <c r="AF292" s="34" t="n">
        <f aca="false">IF(L292=0,0,AE292/L292)</f>
        <v>-0.209128528194676</v>
      </c>
      <c r="AG292" s="22" t="str">
        <f aca="false">IF(AD292&lt;L292,"PASSARO","ATUAL")</f>
        <v>PASSARO</v>
      </c>
      <c r="AH292" s="22" t="str">
        <f aca="false">IF(P292&lt;&gt;A292,"Faixa cadastrada como "&amp;P292&amp;" na tabela; preço aplicado pela UF do CEP","")</f>
        <v/>
      </c>
      <c r="AI292" s="26" t="n">
        <v>168.46</v>
      </c>
      <c r="AJ292" s="22" t="str">
        <f aca="false">INDEX('Tabela Passaro'!$X$2:$X$1795,$N292)</f>
        <v>CAPITAL</v>
      </c>
    </row>
    <row r="293" customFormat="false" ht="15" hidden="false" customHeight="false" outlineLevel="0" collapsed="false">
      <c r="A293" s="22" t="s">
        <v>16</v>
      </c>
      <c r="B293" s="22" t="n">
        <v>1</v>
      </c>
      <c r="C293" s="22" t="s">
        <v>75</v>
      </c>
      <c r="D293" s="22" t="s">
        <v>30</v>
      </c>
      <c r="E293" s="22" t="s">
        <v>7328</v>
      </c>
      <c r="F293" s="22" t="n">
        <v>2312953</v>
      </c>
      <c r="G293" s="30" t="n">
        <v>46251</v>
      </c>
      <c r="H293" s="22" t="n">
        <v>132143</v>
      </c>
      <c r="I293" s="22" t="s">
        <v>7588</v>
      </c>
      <c r="J293" s="31" t="n">
        <v>33</v>
      </c>
      <c r="K293" s="26" t="n">
        <v>624.98</v>
      </c>
      <c r="L293" s="26" t="n">
        <v>143.14</v>
      </c>
      <c r="M293" s="22" t="s">
        <v>694</v>
      </c>
      <c r="N293" s="22" t="n">
        <f aca="false">MATCH(M293,'Tabela Passaro'!$A$2:$A$1795,0)</f>
        <v>106</v>
      </c>
      <c r="O293" s="22" t="str">
        <f aca="false">INDEX('Tabela Passaro'!$C$2:$C$1795,$N293)</f>
        <v>SALVADOR</v>
      </c>
      <c r="P293" s="22" t="str">
        <f aca="false">INDEX('Tabela Passaro'!$B$2:$B$1795,$N293)</f>
        <v>BA</v>
      </c>
      <c r="Q293" s="22" t="n">
        <f aca="false">INDEX('Tabela Passaro'!$F$2:$F$1795,$N293)</f>
        <v>6</v>
      </c>
      <c r="R293" s="32" t="n">
        <f aca="false">IF(J293&lt;=10,INDEX('Tabela Passaro'!$G$2:$G$1795,$N293),IF(J293&lt;=30,INDEX('Tabela Passaro'!$H$2:$H$1795,$N293),IF(J293&lt;=50,INDEX('Tabela Passaro'!$I$2:$I$1795,$N293),IF(J293&lt;=70,INDEX('Tabela Passaro'!$J$2:$J$1795,$N293),IF(J293&lt;=100,INDEX('Tabela Passaro'!$K$2:$K$1795,$N293),INDEX('Tabela Passaro'!$K$2:$K$1795,$N293)+(J293-100)*INDEX('Tabela Passaro'!$L$2:$L$1795,$N293))))))</f>
        <v>61.92</v>
      </c>
      <c r="S293" s="32" t="n">
        <f aca="false">K293*INDEX('Tabela Passaro'!$M$2:$M$1795,$N293)</f>
        <v>3.1249</v>
      </c>
      <c r="T293" s="32" t="n">
        <f aca="false">K293*INDEX('Tabela Passaro'!$N$2:$N$1795,$N293)</f>
        <v>1.24996</v>
      </c>
      <c r="U293" s="32" t="n">
        <f aca="false">INDEX('Tabela Passaro'!$O$2:$O$1795,$N293)</f>
        <v>5</v>
      </c>
      <c r="V293" s="32" t="n">
        <f aca="false">ROUNDUP(J293/INDEX('Tabela Passaro'!$Q$2:$Q$1795,$N293),0)*INDEX('Tabela Passaro'!$P$2:$P$1795,$N293)</f>
        <v>5</v>
      </c>
      <c r="W293" s="32" t="n">
        <f aca="false">INDEX('Tabela Passaro'!$R$2:$R$1795,$N293)</f>
        <v>30</v>
      </c>
      <c r="X293" s="32" t="n">
        <f aca="false">ROUNDUP(J293/INDEX('Tabela Passaro'!$T$2:$T$1795,$N293),0)*INDEX('Tabela Passaro'!$S$2:$S$1795,$N293)</f>
        <v>0</v>
      </c>
      <c r="Y293" s="32" t="n">
        <f aca="false">INDEX('Tabela Passaro'!$U$2:$U$1795,$N293)</f>
        <v>0</v>
      </c>
      <c r="Z293" s="32" t="n">
        <f aca="false">INDEX('Tabela Passaro'!$V$2:$V$1795,$N293)</f>
        <v>0</v>
      </c>
      <c r="AA293" s="32" t="n">
        <f aca="false">SUM(R293:Z293)</f>
        <v>106.29486</v>
      </c>
      <c r="AB293" s="33" t="n">
        <f aca="false">INDEX(Premissas!$B$5:$B$13,MATCH(A293,Premissas!$A$5:$A$13,0))</f>
        <v>0.07</v>
      </c>
      <c r="AC293" s="32" t="n">
        <f aca="false">AA293/(1-AB293)-AA293</f>
        <v>8.00068838709679</v>
      </c>
      <c r="AD293" s="32" t="n">
        <f aca="false">ROUND(AA293+AC293,2)</f>
        <v>114.3</v>
      </c>
      <c r="AE293" s="32" t="n">
        <f aca="false">AD293-L293</f>
        <v>-28.84</v>
      </c>
      <c r="AF293" s="34" t="n">
        <f aca="false">IF(L293=0,0,AE293/L293)</f>
        <v>-0.201481067486377</v>
      </c>
      <c r="AG293" s="22" t="str">
        <f aca="false">IF(AD293&lt;L293,"PASSARO","ATUAL")</f>
        <v>PASSARO</v>
      </c>
      <c r="AH293" s="22" t="str">
        <f aca="false">IF(P293&lt;&gt;A293,"Faixa cadastrada como "&amp;P293&amp;" na tabela; preço aplicado pela UF do CEP","")</f>
        <v/>
      </c>
      <c r="AI293" s="26" t="n">
        <v>137.73</v>
      </c>
      <c r="AJ293" s="22" t="str">
        <f aca="false">INDEX('Tabela Passaro'!$X$2:$X$1795,$N293)</f>
        <v>CAPITAL</v>
      </c>
    </row>
    <row r="294" customFormat="false" ht="15" hidden="false" customHeight="false" outlineLevel="0" collapsed="false">
      <c r="A294" s="22" t="s">
        <v>16</v>
      </c>
      <c r="B294" s="22" t="n">
        <v>1</v>
      </c>
      <c r="C294" s="22" t="s">
        <v>75</v>
      </c>
      <c r="D294" s="22" t="s">
        <v>30</v>
      </c>
      <c r="E294" s="22" t="s">
        <v>7328</v>
      </c>
      <c r="F294" s="22" t="n">
        <v>2313216</v>
      </c>
      <c r="G294" s="30" t="n">
        <v>46251</v>
      </c>
      <c r="H294" s="22" t="n">
        <v>133637</v>
      </c>
      <c r="I294" s="22" t="s">
        <v>7589</v>
      </c>
      <c r="J294" s="31" t="n">
        <v>37.59</v>
      </c>
      <c r="K294" s="26" t="n">
        <v>559.98</v>
      </c>
      <c r="L294" s="26" t="n">
        <v>142.64</v>
      </c>
      <c r="M294" s="22" t="s">
        <v>694</v>
      </c>
      <c r="N294" s="22" t="n">
        <f aca="false">MATCH(M294,'Tabela Passaro'!$A$2:$A$1795,0)</f>
        <v>106</v>
      </c>
      <c r="O294" s="22" t="str">
        <f aca="false">INDEX('Tabela Passaro'!$C$2:$C$1795,$N294)</f>
        <v>SALVADOR</v>
      </c>
      <c r="P294" s="22" t="str">
        <f aca="false">INDEX('Tabela Passaro'!$B$2:$B$1795,$N294)</f>
        <v>BA</v>
      </c>
      <c r="Q294" s="22" t="n">
        <f aca="false">INDEX('Tabela Passaro'!$F$2:$F$1795,$N294)</f>
        <v>6</v>
      </c>
      <c r="R294" s="32" t="n">
        <f aca="false">IF(J294&lt;=10,INDEX('Tabela Passaro'!$G$2:$G$1795,$N294),IF(J294&lt;=30,INDEX('Tabela Passaro'!$H$2:$H$1795,$N294),IF(J294&lt;=50,INDEX('Tabela Passaro'!$I$2:$I$1795,$N294),IF(J294&lt;=70,INDEX('Tabela Passaro'!$J$2:$J$1795,$N294),IF(J294&lt;=100,INDEX('Tabela Passaro'!$K$2:$K$1795,$N294),INDEX('Tabela Passaro'!$K$2:$K$1795,$N294)+(J294-100)*INDEX('Tabela Passaro'!$L$2:$L$1795,$N294))))))</f>
        <v>61.92</v>
      </c>
      <c r="S294" s="32" t="n">
        <f aca="false">K294*INDEX('Tabela Passaro'!$M$2:$M$1795,$N294)</f>
        <v>2.7999</v>
      </c>
      <c r="T294" s="32" t="n">
        <f aca="false">K294*INDEX('Tabela Passaro'!$N$2:$N$1795,$N294)</f>
        <v>1.11996</v>
      </c>
      <c r="U294" s="32" t="n">
        <f aca="false">INDEX('Tabela Passaro'!$O$2:$O$1795,$N294)</f>
        <v>5</v>
      </c>
      <c r="V294" s="32" t="n">
        <f aca="false">ROUNDUP(J294/INDEX('Tabela Passaro'!$Q$2:$Q$1795,$N294),0)*INDEX('Tabela Passaro'!$P$2:$P$1795,$N294)</f>
        <v>5</v>
      </c>
      <c r="W294" s="32" t="n">
        <f aca="false">INDEX('Tabela Passaro'!$R$2:$R$1795,$N294)</f>
        <v>30</v>
      </c>
      <c r="X294" s="32" t="n">
        <f aca="false">ROUNDUP(J294/INDEX('Tabela Passaro'!$T$2:$T$1795,$N294),0)*INDEX('Tabela Passaro'!$S$2:$S$1795,$N294)</f>
        <v>0</v>
      </c>
      <c r="Y294" s="32" t="n">
        <f aca="false">INDEX('Tabela Passaro'!$U$2:$U$1795,$N294)</f>
        <v>0</v>
      </c>
      <c r="Z294" s="32" t="n">
        <f aca="false">INDEX('Tabela Passaro'!$V$2:$V$1795,$N294)</f>
        <v>0</v>
      </c>
      <c r="AA294" s="32" t="n">
        <f aca="false">SUM(R294:Z294)</f>
        <v>105.83986</v>
      </c>
      <c r="AB294" s="33" t="n">
        <f aca="false">INDEX(Premissas!$B$5:$B$13,MATCH(A294,Premissas!$A$5:$A$13,0))</f>
        <v>0.07</v>
      </c>
      <c r="AC294" s="32" t="n">
        <f aca="false">AA294/(1-AB294)-AA294</f>
        <v>7.96644107526882</v>
      </c>
      <c r="AD294" s="32" t="n">
        <f aca="false">ROUND(AA294+AC294,2)</f>
        <v>113.81</v>
      </c>
      <c r="AE294" s="32" t="n">
        <f aca="false">AD294-L294</f>
        <v>-28.83</v>
      </c>
      <c r="AF294" s="34" t="n">
        <f aca="false">IF(L294=0,0,AE294/L294)</f>
        <v>-0.202117218171621</v>
      </c>
      <c r="AG294" s="22" t="str">
        <f aca="false">IF(AD294&lt;L294,"PASSARO","ATUAL")</f>
        <v>PASSARO</v>
      </c>
      <c r="AH294" s="22" t="str">
        <f aca="false">IF(P294&lt;&gt;A294,"Faixa cadastrada como "&amp;P294&amp;" na tabela; preço aplicado pela UF do CEP","")</f>
        <v/>
      </c>
      <c r="AI294" s="26" t="n">
        <v>139.52</v>
      </c>
      <c r="AJ294" s="22" t="str">
        <f aca="false">INDEX('Tabela Passaro'!$X$2:$X$1795,$N294)</f>
        <v>CAPITAL</v>
      </c>
    </row>
    <row r="295" customFormat="false" ht="15" hidden="false" customHeight="false" outlineLevel="0" collapsed="false">
      <c r="A295" s="22" t="s">
        <v>16</v>
      </c>
      <c r="B295" s="22" t="n">
        <v>1</v>
      </c>
      <c r="C295" s="22" t="s">
        <v>75</v>
      </c>
      <c r="D295" s="22" t="s">
        <v>30</v>
      </c>
      <c r="E295" s="22" t="s">
        <v>7328</v>
      </c>
      <c r="F295" s="22" t="n">
        <v>2313220</v>
      </c>
      <c r="G295" s="30" t="n">
        <v>46251</v>
      </c>
      <c r="H295" s="22" t="n">
        <v>133641</v>
      </c>
      <c r="I295" s="22" t="s">
        <v>7590</v>
      </c>
      <c r="J295" s="31" t="n">
        <v>124.2</v>
      </c>
      <c r="K295" s="26" t="n">
        <v>1964.98</v>
      </c>
      <c r="L295" s="26" t="n">
        <v>253.43</v>
      </c>
      <c r="M295" s="22" t="s">
        <v>694</v>
      </c>
      <c r="N295" s="22" t="n">
        <f aca="false">MATCH(M295,'Tabela Passaro'!$A$2:$A$1795,0)</f>
        <v>106</v>
      </c>
      <c r="O295" s="22" t="str">
        <f aca="false">INDEX('Tabela Passaro'!$C$2:$C$1795,$N295)</f>
        <v>SALVADOR</v>
      </c>
      <c r="P295" s="22" t="str">
        <f aca="false">INDEX('Tabela Passaro'!$B$2:$B$1795,$N295)</f>
        <v>BA</v>
      </c>
      <c r="Q295" s="22" t="n">
        <f aca="false">INDEX('Tabela Passaro'!$F$2:$F$1795,$N295)</f>
        <v>6</v>
      </c>
      <c r="R295" s="32" t="n">
        <f aca="false">IF(J295&lt;=10,INDEX('Tabela Passaro'!$G$2:$G$1795,$N295),IF(J295&lt;=30,INDEX('Tabela Passaro'!$H$2:$H$1795,$N295),IF(J295&lt;=50,INDEX('Tabela Passaro'!$I$2:$I$1795,$N295),IF(J295&lt;=70,INDEX('Tabela Passaro'!$J$2:$J$1795,$N295),IF(J295&lt;=100,INDEX('Tabela Passaro'!$K$2:$K$1795,$N295),INDEX('Tabela Passaro'!$K$2:$K$1795,$N295)+(J295-100)*INDEX('Tabela Passaro'!$L$2:$L$1795,$N295))))))</f>
        <v>113.032</v>
      </c>
      <c r="S295" s="32" t="n">
        <f aca="false">K295*INDEX('Tabela Passaro'!$M$2:$M$1795,$N295)</f>
        <v>9.8249</v>
      </c>
      <c r="T295" s="32" t="n">
        <f aca="false">K295*INDEX('Tabela Passaro'!$N$2:$N$1795,$N295)</f>
        <v>3.92996</v>
      </c>
      <c r="U295" s="32" t="n">
        <f aca="false">INDEX('Tabela Passaro'!$O$2:$O$1795,$N295)</f>
        <v>5</v>
      </c>
      <c r="V295" s="32" t="n">
        <f aca="false">ROUNDUP(J295/INDEX('Tabela Passaro'!$Q$2:$Q$1795,$N295),0)*INDEX('Tabela Passaro'!$P$2:$P$1795,$N295)</f>
        <v>10</v>
      </c>
      <c r="W295" s="32" t="n">
        <f aca="false">INDEX('Tabela Passaro'!$R$2:$R$1795,$N295)</f>
        <v>30</v>
      </c>
      <c r="X295" s="32" t="n">
        <f aca="false">ROUNDUP(J295/INDEX('Tabela Passaro'!$T$2:$T$1795,$N295),0)*INDEX('Tabela Passaro'!$S$2:$S$1795,$N295)</f>
        <v>0</v>
      </c>
      <c r="Y295" s="32" t="n">
        <f aca="false">INDEX('Tabela Passaro'!$U$2:$U$1795,$N295)</f>
        <v>0</v>
      </c>
      <c r="Z295" s="32" t="n">
        <f aca="false">INDEX('Tabela Passaro'!$V$2:$V$1795,$N295)</f>
        <v>0</v>
      </c>
      <c r="AA295" s="32" t="n">
        <f aca="false">SUM(R295:Z295)</f>
        <v>171.78686</v>
      </c>
      <c r="AB295" s="33" t="n">
        <f aca="false">INDEX(Premissas!$B$5:$B$13,MATCH(A295,Premissas!$A$5:$A$13,0))</f>
        <v>0.07</v>
      </c>
      <c r="AC295" s="32" t="n">
        <f aca="false">AA295/(1-AB295)-AA295</f>
        <v>12.9301937634409</v>
      </c>
      <c r="AD295" s="32" t="n">
        <f aca="false">ROUND(AA295+AC295,2)</f>
        <v>184.72</v>
      </c>
      <c r="AE295" s="32" t="n">
        <f aca="false">AD295-L295</f>
        <v>-68.71</v>
      </c>
      <c r="AF295" s="34" t="n">
        <f aca="false">IF(L295=0,0,AE295/L295)</f>
        <v>-0.271120230438385</v>
      </c>
      <c r="AG295" s="22" t="str">
        <f aca="false">IF(AD295&lt;L295,"PASSARO","ATUAL")</f>
        <v>PASSARO</v>
      </c>
      <c r="AH295" s="22" t="str">
        <f aca="false">IF(P295&lt;&gt;A295,"Faixa cadastrada como "&amp;P295&amp;" na tabela; preço aplicado pela UF do CEP","")</f>
        <v/>
      </c>
      <c r="AI295" s="26" t="n">
        <v>259.72</v>
      </c>
      <c r="AJ295" s="22" t="str">
        <f aca="false">INDEX('Tabela Passaro'!$X$2:$X$1795,$N295)</f>
        <v>CAPITAL</v>
      </c>
    </row>
    <row r="296" customFormat="false" ht="15" hidden="false" customHeight="false" outlineLevel="0" collapsed="false">
      <c r="A296" s="22" t="s">
        <v>16</v>
      </c>
      <c r="B296" s="22" t="n">
        <v>1</v>
      </c>
      <c r="C296" s="22" t="s">
        <v>75</v>
      </c>
      <c r="D296" s="22" t="s">
        <v>30</v>
      </c>
      <c r="E296" s="22" t="s">
        <v>7328</v>
      </c>
      <c r="F296" s="22" t="n">
        <v>2313228</v>
      </c>
      <c r="G296" s="30" t="n">
        <v>46251</v>
      </c>
      <c r="H296" s="22" t="n">
        <v>133649</v>
      </c>
      <c r="I296" s="22" t="s">
        <v>7591</v>
      </c>
      <c r="J296" s="31" t="n">
        <v>79.26</v>
      </c>
      <c r="K296" s="26" t="n">
        <v>889.99</v>
      </c>
      <c r="L296" s="26" t="n">
        <v>205.38</v>
      </c>
      <c r="M296" s="22" t="s">
        <v>694</v>
      </c>
      <c r="N296" s="22" t="n">
        <f aca="false">MATCH(M296,'Tabela Passaro'!$A$2:$A$1795,0)</f>
        <v>106</v>
      </c>
      <c r="O296" s="22" t="str">
        <f aca="false">INDEX('Tabela Passaro'!$C$2:$C$1795,$N296)</f>
        <v>SALVADOR</v>
      </c>
      <c r="P296" s="22" t="str">
        <f aca="false">INDEX('Tabela Passaro'!$B$2:$B$1795,$N296)</f>
        <v>BA</v>
      </c>
      <c r="Q296" s="22" t="n">
        <f aca="false">INDEX('Tabela Passaro'!$F$2:$F$1795,$N296)</f>
        <v>6</v>
      </c>
      <c r="R296" s="32" t="n">
        <f aca="false">IF(J296&lt;=10,INDEX('Tabela Passaro'!$G$2:$G$1795,$N296),IF(J296&lt;=30,INDEX('Tabela Passaro'!$H$2:$H$1795,$N296),IF(J296&lt;=50,INDEX('Tabela Passaro'!$I$2:$I$1795,$N296),IF(J296&lt;=70,INDEX('Tabela Passaro'!$J$2:$J$1795,$N296),IF(J296&lt;=100,INDEX('Tabela Passaro'!$K$2:$K$1795,$N296),INDEX('Tabela Passaro'!$K$2:$K$1795,$N296)+(J296-100)*INDEX('Tabela Passaro'!$L$2:$L$1795,$N296))))))</f>
        <v>84.96</v>
      </c>
      <c r="S296" s="32" t="n">
        <f aca="false">K296*INDEX('Tabela Passaro'!$M$2:$M$1795,$N296)</f>
        <v>4.44995</v>
      </c>
      <c r="T296" s="32" t="n">
        <f aca="false">K296*INDEX('Tabela Passaro'!$N$2:$N$1795,$N296)</f>
        <v>1.77998</v>
      </c>
      <c r="U296" s="32" t="n">
        <f aca="false">INDEX('Tabela Passaro'!$O$2:$O$1795,$N296)</f>
        <v>5</v>
      </c>
      <c r="V296" s="32" t="n">
        <f aca="false">ROUNDUP(J296/INDEX('Tabela Passaro'!$Q$2:$Q$1795,$N296),0)*INDEX('Tabela Passaro'!$P$2:$P$1795,$N296)</f>
        <v>5</v>
      </c>
      <c r="W296" s="32" t="n">
        <f aca="false">INDEX('Tabela Passaro'!$R$2:$R$1795,$N296)</f>
        <v>30</v>
      </c>
      <c r="X296" s="32" t="n">
        <f aca="false">ROUNDUP(J296/INDEX('Tabela Passaro'!$T$2:$T$1795,$N296),0)*INDEX('Tabela Passaro'!$S$2:$S$1795,$N296)</f>
        <v>0</v>
      </c>
      <c r="Y296" s="32" t="n">
        <f aca="false">INDEX('Tabela Passaro'!$U$2:$U$1795,$N296)</f>
        <v>0</v>
      </c>
      <c r="Z296" s="32" t="n">
        <f aca="false">INDEX('Tabela Passaro'!$V$2:$V$1795,$N296)</f>
        <v>0</v>
      </c>
      <c r="AA296" s="32" t="n">
        <f aca="false">SUM(R296:Z296)</f>
        <v>131.18993</v>
      </c>
      <c r="AB296" s="33" t="n">
        <f aca="false">INDEX(Premissas!$B$5:$B$13,MATCH(A296,Premissas!$A$5:$A$13,0))</f>
        <v>0.07</v>
      </c>
      <c r="AC296" s="32" t="n">
        <f aca="false">AA296/(1-AB296)-AA296</f>
        <v>9.87451086021505</v>
      </c>
      <c r="AD296" s="32" t="n">
        <f aca="false">ROUND(AA296+AC296,2)</f>
        <v>141.06</v>
      </c>
      <c r="AE296" s="32" t="n">
        <f aca="false">AD296-L296</f>
        <v>-64.32</v>
      </c>
      <c r="AF296" s="34" t="n">
        <f aca="false">IF(L296=0,0,AE296/L296)</f>
        <v>-0.313175576979258</v>
      </c>
      <c r="AG296" s="22" t="str">
        <f aca="false">IF(AD296&lt;L296,"PASSARO","ATUAL")</f>
        <v>PASSARO</v>
      </c>
      <c r="AH296" s="22" t="str">
        <f aca="false">IF(P296&lt;&gt;A296,"Faixa cadastrada como "&amp;P296&amp;" na tabela; preço aplicado pela UF do CEP","")</f>
        <v/>
      </c>
      <c r="AI296" s="26" t="n">
        <v>188.08</v>
      </c>
      <c r="AJ296" s="22" t="str">
        <f aca="false">INDEX('Tabela Passaro'!$X$2:$X$1795,$N296)</f>
        <v>CAPITAL</v>
      </c>
    </row>
    <row r="297" customFormat="false" ht="15" hidden="false" customHeight="false" outlineLevel="0" collapsed="false">
      <c r="A297" s="22" t="s">
        <v>16</v>
      </c>
      <c r="B297" s="22" t="n">
        <v>1</v>
      </c>
      <c r="C297" s="22" t="s">
        <v>75</v>
      </c>
      <c r="D297" s="22" t="s">
        <v>30</v>
      </c>
      <c r="E297" s="22" t="s">
        <v>7328</v>
      </c>
      <c r="F297" s="22" t="n">
        <v>2313240</v>
      </c>
      <c r="G297" s="30" t="n">
        <v>46251</v>
      </c>
      <c r="H297" s="22" t="n">
        <v>133661</v>
      </c>
      <c r="I297" s="22" t="s">
        <v>7592</v>
      </c>
      <c r="J297" s="31" t="n">
        <v>51.06</v>
      </c>
      <c r="K297" s="26" t="n">
        <v>821.98</v>
      </c>
      <c r="L297" s="26" t="n">
        <v>165.8</v>
      </c>
      <c r="M297" s="22" t="s">
        <v>694</v>
      </c>
      <c r="N297" s="22" t="n">
        <f aca="false">MATCH(M297,'Tabela Passaro'!$A$2:$A$1795,0)</f>
        <v>106</v>
      </c>
      <c r="O297" s="22" t="str">
        <f aca="false">INDEX('Tabela Passaro'!$C$2:$C$1795,$N297)</f>
        <v>SALVADOR</v>
      </c>
      <c r="P297" s="22" t="str">
        <f aca="false">INDEX('Tabela Passaro'!$B$2:$B$1795,$N297)</f>
        <v>BA</v>
      </c>
      <c r="Q297" s="22" t="n">
        <f aca="false">INDEX('Tabela Passaro'!$F$2:$F$1795,$N297)</f>
        <v>6</v>
      </c>
      <c r="R297" s="32" t="n">
        <f aca="false">IF(J297&lt;=10,INDEX('Tabela Passaro'!$G$2:$G$1795,$N297),IF(J297&lt;=30,INDEX('Tabela Passaro'!$H$2:$H$1795,$N297),IF(J297&lt;=50,INDEX('Tabela Passaro'!$I$2:$I$1795,$N297),IF(J297&lt;=70,INDEX('Tabela Passaro'!$J$2:$J$1795,$N297),IF(J297&lt;=100,INDEX('Tabela Passaro'!$K$2:$K$1795,$N297),INDEX('Tabela Passaro'!$K$2:$K$1795,$N297)+(J297-100)*INDEX('Tabela Passaro'!$L$2:$L$1795,$N297))))))</f>
        <v>73.44</v>
      </c>
      <c r="S297" s="32" t="n">
        <f aca="false">K297*INDEX('Tabela Passaro'!$M$2:$M$1795,$N297)</f>
        <v>4.1099</v>
      </c>
      <c r="T297" s="32" t="n">
        <f aca="false">K297*INDEX('Tabela Passaro'!$N$2:$N$1795,$N297)</f>
        <v>1.64396</v>
      </c>
      <c r="U297" s="32" t="n">
        <f aca="false">INDEX('Tabela Passaro'!$O$2:$O$1795,$N297)</f>
        <v>5</v>
      </c>
      <c r="V297" s="32" t="n">
        <f aca="false">ROUNDUP(J297/INDEX('Tabela Passaro'!$Q$2:$Q$1795,$N297),0)*INDEX('Tabela Passaro'!$P$2:$P$1795,$N297)</f>
        <v>5</v>
      </c>
      <c r="W297" s="32" t="n">
        <f aca="false">INDEX('Tabela Passaro'!$R$2:$R$1795,$N297)</f>
        <v>30</v>
      </c>
      <c r="X297" s="32" t="n">
        <f aca="false">ROUNDUP(J297/INDEX('Tabela Passaro'!$T$2:$T$1795,$N297),0)*INDEX('Tabela Passaro'!$S$2:$S$1795,$N297)</f>
        <v>0</v>
      </c>
      <c r="Y297" s="32" t="n">
        <f aca="false">INDEX('Tabela Passaro'!$U$2:$U$1795,$N297)</f>
        <v>0</v>
      </c>
      <c r="Z297" s="32" t="n">
        <f aca="false">INDEX('Tabela Passaro'!$V$2:$V$1795,$N297)</f>
        <v>0</v>
      </c>
      <c r="AA297" s="32" t="n">
        <f aca="false">SUM(R297:Z297)</f>
        <v>119.19386</v>
      </c>
      <c r="AB297" s="33" t="n">
        <f aca="false">INDEX(Premissas!$B$5:$B$13,MATCH(A297,Premissas!$A$5:$A$13,0))</f>
        <v>0.07</v>
      </c>
      <c r="AC297" s="32" t="n">
        <f aca="false">AA297/(1-AB297)-AA297</f>
        <v>8.97158086021506</v>
      </c>
      <c r="AD297" s="32" t="n">
        <f aca="false">ROUND(AA297+AC297,2)</f>
        <v>128.17</v>
      </c>
      <c r="AE297" s="32" t="n">
        <f aca="false">AD297-L297</f>
        <v>-37.63</v>
      </c>
      <c r="AF297" s="34" t="n">
        <f aca="false">IF(L297=0,0,AE297/L297)</f>
        <v>-0.226960193003619</v>
      </c>
      <c r="AG297" s="22" t="str">
        <f aca="false">IF(AD297&lt;L297,"PASSARO","ATUAL")</f>
        <v>PASSARO</v>
      </c>
      <c r="AH297" s="22" t="str">
        <f aca="false">IF(P297&lt;&gt;A297,"Faixa cadastrada como "&amp;P297&amp;" na tabela; preço aplicado pela UF do CEP","")</f>
        <v/>
      </c>
      <c r="AI297" s="26" t="n">
        <v>161.35</v>
      </c>
      <c r="AJ297" s="22" t="str">
        <f aca="false">INDEX('Tabela Passaro'!$X$2:$X$1795,$N297)</f>
        <v>CAPITAL</v>
      </c>
    </row>
    <row r="298" customFormat="false" ht="15" hidden="false" customHeight="false" outlineLevel="0" collapsed="false">
      <c r="A298" s="22" t="s">
        <v>16</v>
      </c>
      <c r="B298" s="22" t="n">
        <v>1</v>
      </c>
      <c r="C298" s="22" t="s">
        <v>75</v>
      </c>
      <c r="D298" s="22" t="s">
        <v>30</v>
      </c>
      <c r="E298" s="22" t="s">
        <v>7328</v>
      </c>
      <c r="F298" s="22" t="n">
        <v>2313242</v>
      </c>
      <c r="G298" s="30" t="n">
        <v>46251</v>
      </c>
      <c r="H298" s="22" t="n">
        <v>133663</v>
      </c>
      <c r="I298" s="22" t="s">
        <v>7593</v>
      </c>
      <c r="J298" s="31" t="n">
        <v>46.8</v>
      </c>
      <c r="K298" s="26" t="n">
        <v>778.11</v>
      </c>
      <c r="L298" s="26" t="n">
        <v>144.37</v>
      </c>
      <c r="M298" s="22" t="s">
        <v>694</v>
      </c>
      <c r="N298" s="22" t="n">
        <f aca="false">MATCH(M298,'Tabela Passaro'!$A$2:$A$1795,0)</f>
        <v>106</v>
      </c>
      <c r="O298" s="22" t="str">
        <f aca="false">INDEX('Tabela Passaro'!$C$2:$C$1795,$N298)</f>
        <v>SALVADOR</v>
      </c>
      <c r="P298" s="22" t="str">
        <f aca="false">INDEX('Tabela Passaro'!$B$2:$B$1795,$N298)</f>
        <v>BA</v>
      </c>
      <c r="Q298" s="22" t="n">
        <f aca="false">INDEX('Tabela Passaro'!$F$2:$F$1795,$N298)</f>
        <v>6</v>
      </c>
      <c r="R298" s="32" t="n">
        <f aca="false">IF(J298&lt;=10,INDEX('Tabela Passaro'!$G$2:$G$1795,$N298),IF(J298&lt;=30,INDEX('Tabela Passaro'!$H$2:$H$1795,$N298),IF(J298&lt;=50,INDEX('Tabela Passaro'!$I$2:$I$1795,$N298),IF(J298&lt;=70,INDEX('Tabela Passaro'!$J$2:$J$1795,$N298),IF(J298&lt;=100,INDEX('Tabela Passaro'!$K$2:$K$1795,$N298),INDEX('Tabela Passaro'!$K$2:$K$1795,$N298)+(J298-100)*INDEX('Tabela Passaro'!$L$2:$L$1795,$N298))))))</f>
        <v>61.92</v>
      </c>
      <c r="S298" s="32" t="n">
        <f aca="false">K298*INDEX('Tabela Passaro'!$M$2:$M$1795,$N298)</f>
        <v>3.89055</v>
      </c>
      <c r="T298" s="32" t="n">
        <f aca="false">K298*INDEX('Tabela Passaro'!$N$2:$N$1795,$N298)</f>
        <v>1.55622</v>
      </c>
      <c r="U298" s="32" t="n">
        <f aca="false">INDEX('Tabela Passaro'!$O$2:$O$1795,$N298)</f>
        <v>5</v>
      </c>
      <c r="V298" s="32" t="n">
        <f aca="false">ROUNDUP(J298/INDEX('Tabela Passaro'!$Q$2:$Q$1795,$N298),0)*INDEX('Tabela Passaro'!$P$2:$P$1795,$N298)</f>
        <v>5</v>
      </c>
      <c r="W298" s="32" t="n">
        <f aca="false">INDEX('Tabela Passaro'!$R$2:$R$1795,$N298)</f>
        <v>30</v>
      </c>
      <c r="X298" s="32" t="n">
        <f aca="false">ROUNDUP(J298/INDEX('Tabela Passaro'!$T$2:$T$1795,$N298),0)*INDEX('Tabela Passaro'!$S$2:$S$1795,$N298)</f>
        <v>0</v>
      </c>
      <c r="Y298" s="32" t="n">
        <f aca="false">INDEX('Tabela Passaro'!$U$2:$U$1795,$N298)</f>
        <v>0</v>
      </c>
      <c r="Z298" s="32" t="n">
        <f aca="false">INDEX('Tabela Passaro'!$V$2:$V$1795,$N298)</f>
        <v>0</v>
      </c>
      <c r="AA298" s="32" t="n">
        <f aca="false">SUM(R298:Z298)</f>
        <v>107.36677</v>
      </c>
      <c r="AB298" s="33" t="n">
        <f aca="false">INDEX(Premissas!$B$5:$B$13,MATCH(A298,Premissas!$A$5:$A$13,0))</f>
        <v>0.07</v>
      </c>
      <c r="AC298" s="32" t="n">
        <f aca="false">AA298/(1-AB298)-AA298</f>
        <v>8.08136978494625</v>
      </c>
      <c r="AD298" s="32" t="n">
        <f aca="false">ROUND(AA298+AC298,2)</f>
        <v>115.45</v>
      </c>
      <c r="AE298" s="32" t="n">
        <f aca="false">AD298-L298</f>
        <v>-28.92</v>
      </c>
      <c r="AF298" s="34" t="n">
        <f aca="false">IF(L298=0,0,AE298/L298)</f>
        <v>-0.200318625753273</v>
      </c>
      <c r="AG298" s="22" t="str">
        <f aca="false">IF(AD298&lt;L298,"PASSARO","ATUAL")</f>
        <v>PASSARO</v>
      </c>
      <c r="AH298" s="22" t="str">
        <f aca="false">IF(P298&lt;&gt;A298,"Faixa cadastrada como "&amp;P298&amp;" na tabela; preço aplicado pela UF do CEP","")</f>
        <v/>
      </c>
      <c r="AI298" s="26" t="n">
        <v>145.98</v>
      </c>
      <c r="AJ298" s="22" t="str">
        <f aca="false">INDEX('Tabela Passaro'!$X$2:$X$1795,$N298)</f>
        <v>CAPITAL</v>
      </c>
    </row>
    <row r="299" customFormat="false" ht="15" hidden="false" customHeight="false" outlineLevel="0" collapsed="false">
      <c r="A299" s="22" t="s">
        <v>16</v>
      </c>
      <c r="B299" s="22" t="n">
        <v>1</v>
      </c>
      <c r="C299" s="22" t="s">
        <v>75</v>
      </c>
      <c r="D299" s="22" t="s">
        <v>30</v>
      </c>
      <c r="E299" s="22" t="s">
        <v>7328</v>
      </c>
      <c r="F299" s="22" t="n">
        <v>2313250</v>
      </c>
      <c r="G299" s="30" t="n">
        <v>46251</v>
      </c>
      <c r="H299" s="22" t="n">
        <v>133671</v>
      </c>
      <c r="I299" s="22" t="s">
        <v>7594</v>
      </c>
      <c r="J299" s="31" t="n">
        <v>29.2</v>
      </c>
      <c r="K299" s="26" t="n">
        <v>554.99</v>
      </c>
      <c r="L299" s="26" t="n">
        <v>112</v>
      </c>
      <c r="M299" s="22" t="s">
        <v>694</v>
      </c>
      <c r="N299" s="22" t="n">
        <f aca="false">MATCH(M299,'Tabela Passaro'!$A$2:$A$1795,0)</f>
        <v>106</v>
      </c>
      <c r="O299" s="22" t="str">
        <f aca="false">INDEX('Tabela Passaro'!$C$2:$C$1795,$N299)</f>
        <v>SALVADOR</v>
      </c>
      <c r="P299" s="22" t="str">
        <f aca="false">INDEX('Tabela Passaro'!$B$2:$B$1795,$N299)</f>
        <v>BA</v>
      </c>
      <c r="Q299" s="22" t="n">
        <f aca="false">INDEX('Tabela Passaro'!$F$2:$F$1795,$N299)</f>
        <v>6</v>
      </c>
      <c r="R299" s="32" t="n">
        <f aca="false">IF(J299&lt;=10,INDEX('Tabela Passaro'!$G$2:$G$1795,$N299),IF(J299&lt;=30,INDEX('Tabela Passaro'!$H$2:$H$1795,$N299),IF(J299&lt;=50,INDEX('Tabela Passaro'!$I$2:$I$1795,$N299),IF(J299&lt;=70,INDEX('Tabela Passaro'!$J$2:$J$1795,$N299),IF(J299&lt;=100,INDEX('Tabela Passaro'!$K$2:$K$1795,$N299),INDEX('Tabela Passaro'!$K$2:$K$1795,$N299)+(J299-100)*INDEX('Tabela Passaro'!$L$2:$L$1795,$N299))))))</f>
        <v>50.4</v>
      </c>
      <c r="S299" s="32" t="n">
        <f aca="false">K299*INDEX('Tabela Passaro'!$M$2:$M$1795,$N299)</f>
        <v>2.77495</v>
      </c>
      <c r="T299" s="32" t="n">
        <f aca="false">K299*INDEX('Tabela Passaro'!$N$2:$N$1795,$N299)</f>
        <v>1.10998</v>
      </c>
      <c r="U299" s="32" t="n">
        <f aca="false">INDEX('Tabela Passaro'!$O$2:$O$1795,$N299)</f>
        <v>5</v>
      </c>
      <c r="V299" s="32" t="n">
        <f aca="false">ROUNDUP(J299/INDEX('Tabela Passaro'!$Q$2:$Q$1795,$N299),0)*INDEX('Tabela Passaro'!$P$2:$P$1795,$N299)</f>
        <v>5</v>
      </c>
      <c r="W299" s="32" t="n">
        <f aca="false">INDEX('Tabela Passaro'!$R$2:$R$1795,$N299)</f>
        <v>30</v>
      </c>
      <c r="X299" s="32" t="n">
        <f aca="false">ROUNDUP(J299/INDEX('Tabela Passaro'!$T$2:$T$1795,$N299),0)*INDEX('Tabela Passaro'!$S$2:$S$1795,$N299)</f>
        <v>0</v>
      </c>
      <c r="Y299" s="32" t="n">
        <f aca="false">INDEX('Tabela Passaro'!$U$2:$U$1795,$N299)</f>
        <v>0</v>
      </c>
      <c r="Z299" s="32" t="n">
        <f aca="false">INDEX('Tabela Passaro'!$V$2:$V$1795,$N299)</f>
        <v>0</v>
      </c>
      <c r="AA299" s="32" t="n">
        <f aca="false">SUM(R299:Z299)</f>
        <v>94.28493</v>
      </c>
      <c r="AB299" s="33" t="n">
        <f aca="false">INDEX(Premissas!$B$5:$B$13,MATCH(A299,Premissas!$A$5:$A$13,0))</f>
        <v>0.07</v>
      </c>
      <c r="AC299" s="32" t="n">
        <f aca="false">AA299/(1-AB299)-AA299</f>
        <v>7.09671516129033</v>
      </c>
      <c r="AD299" s="32" t="n">
        <f aca="false">ROUND(AA299+AC299,2)</f>
        <v>101.38</v>
      </c>
      <c r="AE299" s="32" t="n">
        <f aca="false">AD299-L299</f>
        <v>-10.62</v>
      </c>
      <c r="AF299" s="34" t="n">
        <f aca="false">IF(L299=0,0,AE299/L299)</f>
        <v>-0.0948214285714286</v>
      </c>
      <c r="AG299" s="22" t="str">
        <f aca="false">IF(AD299&lt;L299,"PASSARO","ATUAL")</f>
        <v>PASSARO</v>
      </c>
      <c r="AH299" s="22" t="str">
        <f aca="false">IF(P299&lt;&gt;A299,"Faixa cadastrada como "&amp;P299&amp;" na tabela; preço aplicado pela UF do CEP","")</f>
        <v/>
      </c>
      <c r="AI299" s="26" t="n">
        <v>123.07</v>
      </c>
      <c r="AJ299" s="22" t="str">
        <f aca="false">INDEX('Tabela Passaro'!$X$2:$X$1795,$N299)</f>
        <v>CAPITAL</v>
      </c>
    </row>
    <row r="300" customFormat="false" ht="15" hidden="false" customHeight="false" outlineLevel="0" collapsed="false">
      <c r="A300" s="22" t="s">
        <v>16</v>
      </c>
      <c r="B300" s="22" t="n">
        <v>1</v>
      </c>
      <c r="C300" s="22" t="s">
        <v>75</v>
      </c>
      <c r="D300" s="22" t="s">
        <v>30</v>
      </c>
      <c r="E300" s="22" t="s">
        <v>7326</v>
      </c>
      <c r="F300" s="22" t="n">
        <v>525319</v>
      </c>
      <c r="G300" s="30" t="n">
        <v>46251</v>
      </c>
      <c r="H300" s="22" t="n">
        <v>621235</v>
      </c>
      <c r="I300" s="22" t="s">
        <v>7595</v>
      </c>
      <c r="J300" s="31" t="n">
        <v>22</v>
      </c>
      <c r="K300" s="26" t="n">
        <v>1112.56</v>
      </c>
      <c r="L300" s="26" t="n">
        <v>126.3</v>
      </c>
      <c r="M300" s="22" t="s">
        <v>694</v>
      </c>
      <c r="N300" s="22" t="n">
        <f aca="false">MATCH(M300,'Tabela Passaro'!$A$2:$A$1795,0)</f>
        <v>106</v>
      </c>
      <c r="O300" s="22" t="str">
        <f aca="false">INDEX('Tabela Passaro'!$C$2:$C$1795,$N300)</f>
        <v>SALVADOR</v>
      </c>
      <c r="P300" s="22" t="str">
        <f aca="false">INDEX('Tabela Passaro'!$B$2:$B$1795,$N300)</f>
        <v>BA</v>
      </c>
      <c r="Q300" s="22" t="n">
        <f aca="false">INDEX('Tabela Passaro'!$F$2:$F$1795,$N300)</f>
        <v>6</v>
      </c>
      <c r="R300" s="32" t="n">
        <f aca="false">IF(J300&lt;=10,INDEX('Tabela Passaro'!$G$2:$G$1795,$N300),IF(J300&lt;=30,INDEX('Tabela Passaro'!$H$2:$H$1795,$N300),IF(J300&lt;=50,INDEX('Tabela Passaro'!$I$2:$I$1795,$N300),IF(J300&lt;=70,INDEX('Tabela Passaro'!$J$2:$J$1795,$N300),IF(J300&lt;=100,INDEX('Tabela Passaro'!$K$2:$K$1795,$N300),INDEX('Tabela Passaro'!$K$2:$K$1795,$N300)+(J300-100)*INDEX('Tabela Passaro'!$L$2:$L$1795,$N300))))))</f>
        <v>50.4</v>
      </c>
      <c r="S300" s="32" t="n">
        <f aca="false">K300*INDEX('Tabela Passaro'!$M$2:$M$1795,$N300)</f>
        <v>5.5628</v>
      </c>
      <c r="T300" s="32" t="n">
        <f aca="false">K300*INDEX('Tabela Passaro'!$N$2:$N$1795,$N300)</f>
        <v>2.22512</v>
      </c>
      <c r="U300" s="32" t="n">
        <f aca="false">INDEX('Tabela Passaro'!$O$2:$O$1795,$N300)</f>
        <v>5</v>
      </c>
      <c r="V300" s="32" t="n">
        <f aca="false">ROUNDUP(J300/INDEX('Tabela Passaro'!$Q$2:$Q$1795,$N300),0)*INDEX('Tabela Passaro'!$P$2:$P$1795,$N300)</f>
        <v>5</v>
      </c>
      <c r="W300" s="32" t="n">
        <f aca="false">INDEX('Tabela Passaro'!$R$2:$R$1795,$N300)</f>
        <v>30</v>
      </c>
      <c r="X300" s="32" t="n">
        <f aca="false">ROUNDUP(J300/INDEX('Tabela Passaro'!$T$2:$T$1795,$N300),0)*INDEX('Tabela Passaro'!$S$2:$S$1795,$N300)</f>
        <v>0</v>
      </c>
      <c r="Y300" s="32" t="n">
        <f aca="false">INDEX('Tabela Passaro'!$U$2:$U$1795,$N300)</f>
        <v>0</v>
      </c>
      <c r="Z300" s="32" t="n">
        <f aca="false">INDEX('Tabela Passaro'!$V$2:$V$1795,$N300)</f>
        <v>0</v>
      </c>
      <c r="AA300" s="32" t="n">
        <f aca="false">SUM(R300:Z300)</f>
        <v>98.18792</v>
      </c>
      <c r="AB300" s="33" t="n">
        <f aca="false">INDEX(Premissas!$B$5:$B$13,MATCH(A300,Premissas!$A$5:$A$13,0))</f>
        <v>0.07</v>
      </c>
      <c r="AC300" s="32" t="n">
        <f aca="false">AA300/(1-AB300)-AA300</f>
        <v>7.39048860215054</v>
      </c>
      <c r="AD300" s="32" t="n">
        <f aca="false">ROUND(AA300+AC300,2)</f>
        <v>105.58</v>
      </c>
      <c r="AE300" s="32" t="n">
        <f aca="false">AD300-L300</f>
        <v>-20.72</v>
      </c>
      <c r="AF300" s="34" t="n">
        <f aca="false">IF(L300=0,0,AE300/L300)</f>
        <v>-0.164053840063341</v>
      </c>
      <c r="AG300" s="22" t="str">
        <f aca="false">IF(AD300&lt;L300,"PASSARO","ATUAL")</f>
        <v>PASSARO</v>
      </c>
      <c r="AH300" s="22" t="str">
        <f aca="false">IF(P300&lt;&gt;A300,"Faixa cadastrada como "&amp;P300&amp;" na tabela; preço aplicado pela UF do CEP","")</f>
        <v/>
      </c>
      <c r="AI300" s="26" t="n">
        <v>124.59</v>
      </c>
      <c r="AJ300" s="22" t="str">
        <f aca="false">INDEX('Tabela Passaro'!$X$2:$X$1795,$N300)</f>
        <v>CAPITAL</v>
      </c>
    </row>
    <row r="301" customFormat="false" ht="15" hidden="false" customHeight="false" outlineLevel="0" collapsed="false">
      <c r="A301" s="22" t="s">
        <v>16</v>
      </c>
      <c r="B301" s="22" t="n">
        <v>1</v>
      </c>
      <c r="C301" s="22" t="s">
        <v>75</v>
      </c>
      <c r="D301" s="22" t="s">
        <v>30</v>
      </c>
      <c r="E301" s="22" t="s">
        <v>7326</v>
      </c>
      <c r="F301" s="22" t="n">
        <v>525364</v>
      </c>
      <c r="G301" s="30" t="n">
        <v>46251</v>
      </c>
      <c r="H301" s="22" t="n">
        <v>625354</v>
      </c>
      <c r="I301" s="22" t="s">
        <v>7596</v>
      </c>
      <c r="J301" s="31" t="n">
        <v>51.06</v>
      </c>
      <c r="K301" s="26" t="n">
        <v>848.98</v>
      </c>
      <c r="L301" s="26" t="n">
        <v>196.66</v>
      </c>
      <c r="M301" s="22" t="s">
        <v>694</v>
      </c>
      <c r="N301" s="22" t="n">
        <f aca="false">MATCH(M301,'Tabela Passaro'!$A$2:$A$1795,0)</f>
        <v>106</v>
      </c>
      <c r="O301" s="22" t="str">
        <f aca="false">INDEX('Tabela Passaro'!$C$2:$C$1795,$N301)</f>
        <v>SALVADOR</v>
      </c>
      <c r="P301" s="22" t="str">
        <f aca="false">INDEX('Tabela Passaro'!$B$2:$B$1795,$N301)</f>
        <v>BA</v>
      </c>
      <c r="Q301" s="22" t="n">
        <f aca="false">INDEX('Tabela Passaro'!$F$2:$F$1795,$N301)</f>
        <v>6</v>
      </c>
      <c r="R301" s="32" t="n">
        <f aca="false">IF(J301&lt;=10,INDEX('Tabela Passaro'!$G$2:$G$1795,$N301),IF(J301&lt;=30,INDEX('Tabela Passaro'!$H$2:$H$1795,$N301),IF(J301&lt;=50,INDEX('Tabela Passaro'!$I$2:$I$1795,$N301),IF(J301&lt;=70,INDEX('Tabela Passaro'!$J$2:$J$1795,$N301),IF(J301&lt;=100,INDEX('Tabela Passaro'!$K$2:$K$1795,$N301),INDEX('Tabela Passaro'!$K$2:$K$1795,$N301)+(J301-100)*INDEX('Tabela Passaro'!$L$2:$L$1795,$N301))))))</f>
        <v>73.44</v>
      </c>
      <c r="S301" s="32" t="n">
        <f aca="false">K301*INDEX('Tabela Passaro'!$M$2:$M$1795,$N301)</f>
        <v>4.2449</v>
      </c>
      <c r="T301" s="32" t="n">
        <f aca="false">K301*INDEX('Tabela Passaro'!$N$2:$N$1795,$N301)</f>
        <v>1.69796</v>
      </c>
      <c r="U301" s="32" t="n">
        <f aca="false">INDEX('Tabela Passaro'!$O$2:$O$1795,$N301)</f>
        <v>5</v>
      </c>
      <c r="V301" s="32" t="n">
        <f aca="false">ROUNDUP(J301/INDEX('Tabela Passaro'!$Q$2:$Q$1795,$N301),0)*INDEX('Tabela Passaro'!$P$2:$P$1795,$N301)</f>
        <v>5</v>
      </c>
      <c r="W301" s="32" t="n">
        <f aca="false">INDEX('Tabela Passaro'!$R$2:$R$1795,$N301)</f>
        <v>30</v>
      </c>
      <c r="X301" s="32" t="n">
        <f aca="false">ROUNDUP(J301/INDEX('Tabela Passaro'!$T$2:$T$1795,$N301),0)*INDEX('Tabela Passaro'!$S$2:$S$1795,$N301)</f>
        <v>0</v>
      </c>
      <c r="Y301" s="32" t="n">
        <f aca="false">INDEX('Tabela Passaro'!$U$2:$U$1795,$N301)</f>
        <v>0</v>
      </c>
      <c r="Z301" s="32" t="n">
        <f aca="false">INDEX('Tabela Passaro'!$V$2:$V$1795,$N301)</f>
        <v>0</v>
      </c>
      <c r="AA301" s="32" t="n">
        <f aca="false">SUM(R301:Z301)</f>
        <v>119.38286</v>
      </c>
      <c r="AB301" s="33" t="n">
        <f aca="false">INDEX(Premissas!$B$5:$B$13,MATCH(A301,Premissas!$A$5:$A$13,0))</f>
        <v>0.07</v>
      </c>
      <c r="AC301" s="32" t="n">
        <f aca="false">AA301/(1-AB301)-AA301</f>
        <v>8.98580666666666</v>
      </c>
      <c r="AD301" s="32" t="n">
        <f aca="false">ROUND(AA301+AC301,2)</f>
        <v>128.37</v>
      </c>
      <c r="AE301" s="32" t="n">
        <f aca="false">AD301-L301</f>
        <v>-68.29</v>
      </c>
      <c r="AF301" s="34" t="n">
        <f aca="false">IF(L301=0,0,AE301/L301)</f>
        <v>-0.347249059290145</v>
      </c>
      <c r="AG301" s="22" t="str">
        <f aca="false">IF(AD301&lt;L301,"PASSARO","ATUAL")</f>
        <v>PASSARO</v>
      </c>
      <c r="AH301" s="22" t="str">
        <f aca="false">IF(P301&lt;&gt;A301,"Faixa cadastrada como "&amp;P301&amp;" na tabela; preço aplicado pela UF do CEP","")</f>
        <v/>
      </c>
      <c r="AI301" s="26" t="n">
        <v>161.61</v>
      </c>
      <c r="AJ301" s="22" t="str">
        <f aca="false">INDEX('Tabela Passaro'!$X$2:$X$1795,$N301)</f>
        <v>CAPITAL</v>
      </c>
    </row>
    <row r="302" customFormat="false" ht="15" hidden="false" customHeight="false" outlineLevel="0" collapsed="false">
      <c r="A302" s="22" t="s">
        <v>16</v>
      </c>
      <c r="B302" s="22" t="n">
        <v>1</v>
      </c>
      <c r="C302" s="22" t="s">
        <v>75</v>
      </c>
      <c r="D302" s="22" t="s">
        <v>30</v>
      </c>
      <c r="E302" s="22" t="s">
        <v>7326</v>
      </c>
      <c r="F302" s="22" t="n">
        <v>525374</v>
      </c>
      <c r="G302" s="30" t="n">
        <v>46251</v>
      </c>
      <c r="H302" s="22" t="n">
        <v>625364</v>
      </c>
      <c r="I302" s="22" t="s">
        <v>7597</v>
      </c>
      <c r="J302" s="31" t="n">
        <v>125.8</v>
      </c>
      <c r="K302" s="26" t="n">
        <v>2299.98</v>
      </c>
      <c r="L302" s="26" t="n">
        <v>327.83</v>
      </c>
      <c r="M302" s="22" t="s">
        <v>694</v>
      </c>
      <c r="N302" s="22" t="n">
        <f aca="false">MATCH(M302,'Tabela Passaro'!$A$2:$A$1795,0)</f>
        <v>106</v>
      </c>
      <c r="O302" s="22" t="str">
        <f aca="false">INDEX('Tabela Passaro'!$C$2:$C$1795,$N302)</f>
        <v>SALVADOR</v>
      </c>
      <c r="P302" s="22" t="str">
        <f aca="false">INDEX('Tabela Passaro'!$B$2:$B$1795,$N302)</f>
        <v>BA</v>
      </c>
      <c r="Q302" s="22" t="n">
        <f aca="false">INDEX('Tabela Passaro'!$F$2:$F$1795,$N302)</f>
        <v>6</v>
      </c>
      <c r="R302" s="32" t="n">
        <f aca="false">IF(J302&lt;=10,INDEX('Tabela Passaro'!$G$2:$G$1795,$N302),IF(J302&lt;=30,INDEX('Tabela Passaro'!$H$2:$H$1795,$N302),IF(J302&lt;=50,INDEX('Tabela Passaro'!$I$2:$I$1795,$N302),IF(J302&lt;=70,INDEX('Tabela Passaro'!$J$2:$J$1795,$N302),IF(J302&lt;=100,INDEX('Tabela Passaro'!$K$2:$K$1795,$N302),INDEX('Tabela Passaro'!$K$2:$K$1795,$N302)+(J302-100)*INDEX('Tabela Passaro'!$L$2:$L$1795,$N302))))))</f>
        <v>114.888</v>
      </c>
      <c r="S302" s="32" t="n">
        <f aca="false">K302*INDEX('Tabela Passaro'!$M$2:$M$1795,$N302)</f>
        <v>11.4999</v>
      </c>
      <c r="T302" s="32" t="n">
        <f aca="false">K302*INDEX('Tabela Passaro'!$N$2:$N$1795,$N302)</f>
        <v>4.59996</v>
      </c>
      <c r="U302" s="32" t="n">
        <f aca="false">INDEX('Tabela Passaro'!$O$2:$O$1795,$N302)</f>
        <v>5</v>
      </c>
      <c r="V302" s="32" t="n">
        <f aca="false">ROUNDUP(J302/INDEX('Tabela Passaro'!$Q$2:$Q$1795,$N302),0)*INDEX('Tabela Passaro'!$P$2:$P$1795,$N302)</f>
        <v>10</v>
      </c>
      <c r="W302" s="32" t="n">
        <f aca="false">INDEX('Tabela Passaro'!$R$2:$R$1795,$N302)</f>
        <v>30</v>
      </c>
      <c r="X302" s="32" t="n">
        <f aca="false">ROUNDUP(J302/INDEX('Tabela Passaro'!$T$2:$T$1795,$N302),0)*INDEX('Tabela Passaro'!$S$2:$S$1795,$N302)</f>
        <v>0</v>
      </c>
      <c r="Y302" s="32" t="n">
        <f aca="false">INDEX('Tabela Passaro'!$U$2:$U$1795,$N302)</f>
        <v>0</v>
      </c>
      <c r="Z302" s="32" t="n">
        <f aca="false">INDEX('Tabela Passaro'!$V$2:$V$1795,$N302)</f>
        <v>0</v>
      </c>
      <c r="AA302" s="32" t="n">
        <f aca="false">SUM(R302:Z302)</f>
        <v>175.98786</v>
      </c>
      <c r="AB302" s="33" t="n">
        <f aca="false">INDEX(Premissas!$B$5:$B$13,MATCH(A302,Premissas!$A$5:$A$13,0))</f>
        <v>0.07</v>
      </c>
      <c r="AC302" s="32" t="n">
        <f aca="false">AA302/(1-AB302)-AA302</f>
        <v>13.2463980645161</v>
      </c>
      <c r="AD302" s="32" t="n">
        <f aca="false">ROUND(AA302+AC302,2)</f>
        <v>189.23</v>
      </c>
      <c r="AE302" s="32" t="n">
        <f aca="false">AD302-L302</f>
        <v>-138.6</v>
      </c>
      <c r="AF302" s="34" t="n">
        <f aca="false">IF(L302=0,0,AE302/L302)</f>
        <v>-0.422780099441784</v>
      </c>
      <c r="AG302" s="22" t="str">
        <f aca="false">IF(AD302&lt;L302,"PASSARO","ATUAL")</f>
        <v>PASSARO</v>
      </c>
      <c r="AH302" s="22" t="str">
        <f aca="false">IF(P302&lt;&gt;A302,"Faixa cadastrada como "&amp;P302&amp;" na tabela; preço aplicado pela UF do CEP","")</f>
        <v/>
      </c>
      <c r="AI302" s="26" t="n">
        <v>265.7</v>
      </c>
      <c r="AJ302" s="22" t="str">
        <f aca="false">INDEX('Tabela Passaro'!$X$2:$X$1795,$N302)</f>
        <v>CAPITAL</v>
      </c>
    </row>
    <row r="303" customFormat="false" ht="15" hidden="false" customHeight="false" outlineLevel="0" collapsed="false">
      <c r="A303" s="22" t="s">
        <v>16</v>
      </c>
      <c r="B303" s="22" t="n">
        <v>1</v>
      </c>
      <c r="C303" s="22" t="s">
        <v>75</v>
      </c>
      <c r="D303" s="22" t="s">
        <v>30</v>
      </c>
      <c r="E303" s="22" t="s">
        <v>7326</v>
      </c>
      <c r="F303" s="22" t="n">
        <v>525357</v>
      </c>
      <c r="G303" s="30" t="n">
        <v>46251</v>
      </c>
      <c r="H303" s="22" t="n">
        <v>625641</v>
      </c>
      <c r="I303" s="22" t="s">
        <v>7598</v>
      </c>
      <c r="J303" s="31" t="n">
        <v>13.1</v>
      </c>
      <c r="K303" s="26" t="n">
        <v>411.98</v>
      </c>
      <c r="L303" s="26" t="n">
        <v>69.3</v>
      </c>
      <c r="M303" s="22" t="s">
        <v>694</v>
      </c>
      <c r="N303" s="22" t="n">
        <f aca="false">MATCH(M303,'Tabela Passaro'!$A$2:$A$1795,0)</f>
        <v>106</v>
      </c>
      <c r="O303" s="22" t="str">
        <f aca="false">INDEX('Tabela Passaro'!$C$2:$C$1795,$N303)</f>
        <v>SALVADOR</v>
      </c>
      <c r="P303" s="22" t="str">
        <f aca="false">INDEX('Tabela Passaro'!$B$2:$B$1795,$N303)</f>
        <v>BA</v>
      </c>
      <c r="Q303" s="22" t="n">
        <f aca="false">INDEX('Tabela Passaro'!$F$2:$F$1795,$N303)</f>
        <v>6</v>
      </c>
      <c r="R303" s="32" t="n">
        <f aca="false">IF(J303&lt;=10,INDEX('Tabela Passaro'!$G$2:$G$1795,$N303),IF(J303&lt;=30,INDEX('Tabela Passaro'!$H$2:$H$1795,$N303),IF(J303&lt;=50,INDEX('Tabela Passaro'!$I$2:$I$1795,$N303),IF(J303&lt;=70,INDEX('Tabela Passaro'!$J$2:$J$1795,$N303),IF(J303&lt;=100,INDEX('Tabela Passaro'!$K$2:$K$1795,$N303),INDEX('Tabela Passaro'!$K$2:$K$1795,$N303)+(J303-100)*INDEX('Tabela Passaro'!$L$2:$L$1795,$N303))))))</f>
        <v>50.4</v>
      </c>
      <c r="S303" s="32" t="n">
        <f aca="false">K303*INDEX('Tabela Passaro'!$M$2:$M$1795,$N303)</f>
        <v>2.0599</v>
      </c>
      <c r="T303" s="32" t="n">
        <f aca="false">K303*INDEX('Tabela Passaro'!$N$2:$N$1795,$N303)</f>
        <v>0.82396</v>
      </c>
      <c r="U303" s="32" t="n">
        <f aca="false">INDEX('Tabela Passaro'!$O$2:$O$1795,$N303)</f>
        <v>5</v>
      </c>
      <c r="V303" s="32" t="n">
        <f aca="false">ROUNDUP(J303/INDEX('Tabela Passaro'!$Q$2:$Q$1795,$N303),0)*INDEX('Tabela Passaro'!$P$2:$P$1795,$N303)</f>
        <v>5</v>
      </c>
      <c r="W303" s="32" t="n">
        <f aca="false">INDEX('Tabela Passaro'!$R$2:$R$1795,$N303)</f>
        <v>30</v>
      </c>
      <c r="X303" s="32" t="n">
        <f aca="false">ROUNDUP(J303/INDEX('Tabela Passaro'!$T$2:$T$1795,$N303),0)*INDEX('Tabela Passaro'!$S$2:$S$1795,$N303)</f>
        <v>0</v>
      </c>
      <c r="Y303" s="32" t="n">
        <f aca="false">INDEX('Tabela Passaro'!$U$2:$U$1795,$N303)</f>
        <v>0</v>
      </c>
      <c r="Z303" s="32" t="n">
        <f aca="false">INDEX('Tabela Passaro'!$V$2:$V$1795,$N303)</f>
        <v>0</v>
      </c>
      <c r="AA303" s="32" t="n">
        <f aca="false">SUM(R303:Z303)</f>
        <v>93.28386</v>
      </c>
      <c r="AB303" s="33" t="n">
        <f aca="false">INDEX(Premissas!$B$5:$B$13,MATCH(A303,Premissas!$A$5:$A$13,0))</f>
        <v>0.07</v>
      </c>
      <c r="AC303" s="32" t="n">
        <f aca="false">AA303/(1-AB303)-AA303</f>
        <v>7.02136580645163</v>
      </c>
      <c r="AD303" s="32" t="n">
        <f aca="false">ROUND(AA303+AC303,2)</f>
        <v>100.31</v>
      </c>
      <c r="AE303" s="32" t="n">
        <f aca="false">AD303-L303</f>
        <v>31.01</v>
      </c>
      <c r="AF303" s="34" t="n">
        <f aca="false">IF(L303=0,0,AE303/L303)</f>
        <v>0.447474747474748</v>
      </c>
      <c r="AG303" s="22" t="str">
        <f aca="false">IF(AD303&lt;L303,"PASSARO","ATUAL")</f>
        <v>ATUAL</v>
      </c>
      <c r="AH303" s="22" t="str">
        <f aca="false">IF(P303&lt;&gt;A303,"Faixa cadastrada como "&amp;P303&amp;" na tabela; preço aplicado pela UF do CEP","")</f>
        <v/>
      </c>
      <c r="AI303" s="26" t="n">
        <v>113.94</v>
      </c>
      <c r="AJ303" s="22" t="str">
        <f aca="false">INDEX('Tabela Passaro'!$X$2:$X$1795,$N303)</f>
        <v>CAPITAL</v>
      </c>
    </row>
    <row r="304" customFormat="false" ht="15" hidden="false" customHeight="false" outlineLevel="0" collapsed="false">
      <c r="A304" s="22" t="s">
        <v>16</v>
      </c>
      <c r="B304" s="22" t="n">
        <v>1</v>
      </c>
      <c r="C304" s="22" t="s">
        <v>75</v>
      </c>
      <c r="D304" s="22" t="s">
        <v>30</v>
      </c>
      <c r="E304" s="22" t="s">
        <v>20</v>
      </c>
      <c r="F304" s="22" t="n">
        <v>839399</v>
      </c>
      <c r="G304" s="30" t="n">
        <v>46252</v>
      </c>
      <c r="H304" s="22" t="n">
        <v>32537</v>
      </c>
      <c r="I304" s="22" t="s">
        <v>7599</v>
      </c>
      <c r="J304" s="31" t="n">
        <v>66.8</v>
      </c>
      <c r="K304" s="26" t="n">
        <v>846.99</v>
      </c>
      <c r="L304" s="26" t="n">
        <v>162.26</v>
      </c>
      <c r="M304" s="22" t="s">
        <v>694</v>
      </c>
      <c r="N304" s="22" t="n">
        <f aca="false">MATCH(M304,'Tabela Passaro'!$A$2:$A$1795,0)</f>
        <v>106</v>
      </c>
      <c r="O304" s="22" t="str">
        <f aca="false">INDEX('Tabela Passaro'!$C$2:$C$1795,$N304)</f>
        <v>SALVADOR</v>
      </c>
      <c r="P304" s="22" t="str">
        <f aca="false">INDEX('Tabela Passaro'!$B$2:$B$1795,$N304)</f>
        <v>BA</v>
      </c>
      <c r="Q304" s="22" t="n">
        <f aca="false">INDEX('Tabela Passaro'!$F$2:$F$1795,$N304)</f>
        <v>6</v>
      </c>
      <c r="R304" s="32" t="n">
        <f aca="false">IF(J304&lt;=10,INDEX('Tabela Passaro'!$G$2:$G$1795,$N304),IF(J304&lt;=30,INDEX('Tabela Passaro'!$H$2:$H$1795,$N304),IF(J304&lt;=50,INDEX('Tabela Passaro'!$I$2:$I$1795,$N304),IF(J304&lt;=70,INDEX('Tabela Passaro'!$J$2:$J$1795,$N304),IF(J304&lt;=100,INDEX('Tabela Passaro'!$K$2:$K$1795,$N304),INDEX('Tabela Passaro'!$K$2:$K$1795,$N304)+(J304-100)*INDEX('Tabela Passaro'!$L$2:$L$1795,$N304))))))</f>
        <v>73.44</v>
      </c>
      <c r="S304" s="32" t="n">
        <f aca="false">K304*INDEX('Tabela Passaro'!$M$2:$M$1795,$N304)</f>
        <v>4.23495</v>
      </c>
      <c r="T304" s="32" t="n">
        <f aca="false">K304*INDEX('Tabela Passaro'!$N$2:$N$1795,$N304)</f>
        <v>1.69398</v>
      </c>
      <c r="U304" s="32" t="n">
        <f aca="false">INDEX('Tabela Passaro'!$O$2:$O$1795,$N304)</f>
        <v>5</v>
      </c>
      <c r="V304" s="32" t="n">
        <f aca="false">ROUNDUP(J304/INDEX('Tabela Passaro'!$Q$2:$Q$1795,$N304),0)*INDEX('Tabela Passaro'!$P$2:$P$1795,$N304)</f>
        <v>5</v>
      </c>
      <c r="W304" s="32" t="n">
        <f aca="false">INDEX('Tabela Passaro'!$R$2:$R$1795,$N304)</f>
        <v>30</v>
      </c>
      <c r="X304" s="32" t="n">
        <f aca="false">ROUNDUP(J304/INDEX('Tabela Passaro'!$T$2:$T$1795,$N304),0)*INDEX('Tabela Passaro'!$S$2:$S$1795,$N304)</f>
        <v>0</v>
      </c>
      <c r="Y304" s="32" t="n">
        <f aca="false">INDEX('Tabela Passaro'!$U$2:$U$1795,$N304)</f>
        <v>0</v>
      </c>
      <c r="Z304" s="32" t="n">
        <f aca="false">INDEX('Tabela Passaro'!$V$2:$V$1795,$N304)</f>
        <v>0</v>
      </c>
      <c r="AA304" s="32" t="n">
        <f aca="false">SUM(R304:Z304)</f>
        <v>119.36893</v>
      </c>
      <c r="AB304" s="33" t="n">
        <f aca="false">INDEX(Premissas!$B$5:$B$13,MATCH(A304,Premissas!$A$5:$A$13,0))</f>
        <v>0.07</v>
      </c>
      <c r="AC304" s="32" t="n">
        <f aca="false">AA304/(1-AB304)-AA304</f>
        <v>8.98475817204302</v>
      </c>
      <c r="AD304" s="32" t="n">
        <f aca="false">ROUND(AA304+AC304,2)</f>
        <v>128.35</v>
      </c>
      <c r="AE304" s="32" t="n">
        <f aca="false">AD304-L304</f>
        <v>-33.91</v>
      </c>
      <c r="AF304" s="34" t="n">
        <f aca="false">IF(L304=0,0,AE304/L304)</f>
        <v>-0.20898557870085</v>
      </c>
      <c r="AG304" s="22" t="str">
        <f aca="false">IF(AD304&lt;L304,"PASSARO","ATUAL")</f>
        <v>PASSARO</v>
      </c>
      <c r="AH304" s="22" t="str">
        <f aca="false">IF(P304&lt;&gt;A304,"Faixa cadastrada como "&amp;P304&amp;" na tabela; preço aplicado pela UF do CEP","")</f>
        <v/>
      </c>
      <c r="AI304" s="26" t="n">
        <v>168.85</v>
      </c>
      <c r="AJ304" s="22" t="str">
        <f aca="false">INDEX('Tabela Passaro'!$X$2:$X$1795,$N304)</f>
        <v>CAPITAL</v>
      </c>
    </row>
    <row r="305" customFormat="false" ht="15" hidden="false" customHeight="false" outlineLevel="0" collapsed="false">
      <c r="A305" s="22" t="s">
        <v>16</v>
      </c>
      <c r="B305" s="22" t="n">
        <v>1</v>
      </c>
      <c r="C305" s="22" t="s">
        <v>75</v>
      </c>
      <c r="D305" s="22" t="s">
        <v>30</v>
      </c>
      <c r="E305" s="22" t="s">
        <v>7328</v>
      </c>
      <c r="F305" s="22" t="n">
        <v>2313785</v>
      </c>
      <c r="G305" s="30" t="n">
        <v>46253</v>
      </c>
      <c r="H305" s="22" t="n">
        <v>133869</v>
      </c>
      <c r="I305" s="22" t="s">
        <v>7600</v>
      </c>
      <c r="J305" s="31" t="n">
        <v>30.99</v>
      </c>
      <c r="K305" s="26" t="n">
        <v>767.47</v>
      </c>
      <c r="L305" s="26" t="n">
        <v>144.28</v>
      </c>
      <c r="M305" s="22" t="s">
        <v>694</v>
      </c>
      <c r="N305" s="22" t="n">
        <f aca="false">MATCH(M305,'Tabela Passaro'!$A$2:$A$1795,0)</f>
        <v>106</v>
      </c>
      <c r="O305" s="22" t="str">
        <f aca="false">INDEX('Tabela Passaro'!$C$2:$C$1795,$N305)</f>
        <v>SALVADOR</v>
      </c>
      <c r="P305" s="22" t="str">
        <f aca="false">INDEX('Tabela Passaro'!$B$2:$B$1795,$N305)</f>
        <v>BA</v>
      </c>
      <c r="Q305" s="22" t="n">
        <f aca="false">INDEX('Tabela Passaro'!$F$2:$F$1795,$N305)</f>
        <v>6</v>
      </c>
      <c r="R305" s="32" t="n">
        <f aca="false">IF(J305&lt;=10,INDEX('Tabela Passaro'!$G$2:$G$1795,$N305),IF(J305&lt;=30,INDEX('Tabela Passaro'!$H$2:$H$1795,$N305),IF(J305&lt;=50,INDEX('Tabela Passaro'!$I$2:$I$1795,$N305),IF(J305&lt;=70,INDEX('Tabela Passaro'!$J$2:$J$1795,$N305),IF(J305&lt;=100,INDEX('Tabela Passaro'!$K$2:$K$1795,$N305),INDEX('Tabela Passaro'!$K$2:$K$1795,$N305)+(J305-100)*INDEX('Tabela Passaro'!$L$2:$L$1795,$N305))))))</f>
        <v>61.92</v>
      </c>
      <c r="S305" s="32" t="n">
        <f aca="false">K305*INDEX('Tabela Passaro'!$M$2:$M$1795,$N305)</f>
        <v>3.83735</v>
      </c>
      <c r="T305" s="32" t="n">
        <f aca="false">K305*INDEX('Tabela Passaro'!$N$2:$N$1795,$N305)</f>
        <v>1.53494</v>
      </c>
      <c r="U305" s="32" t="n">
        <f aca="false">INDEX('Tabela Passaro'!$O$2:$O$1795,$N305)</f>
        <v>5</v>
      </c>
      <c r="V305" s="32" t="n">
        <f aca="false">ROUNDUP(J305/INDEX('Tabela Passaro'!$Q$2:$Q$1795,$N305),0)*INDEX('Tabela Passaro'!$P$2:$P$1795,$N305)</f>
        <v>5</v>
      </c>
      <c r="W305" s="32" t="n">
        <f aca="false">INDEX('Tabela Passaro'!$R$2:$R$1795,$N305)</f>
        <v>30</v>
      </c>
      <c r="X305" s="32" t="n">
        <f aca="false">ROUNDUP(J305/INDEX('Tabela Passaro'!$T$2:$T$1795,$N305),0)*INDEX('Tabela Passaro'!$S$2:$S$1795,$N305)</f>
        <v>0</v>
      </c>
      <c r="Y305" s="32" t="n">
        <f aca="false">INDEX('Tabela Passaro'!$U$2:$U$1795,$N305)</f>
        <v>0</v>
      </c>
      <c r="Z305" s="32" t="n">
        <f aca="false">INDEX('Tabela Passaro'!$V$2:$V$1795,$N305)</f>
        <v>0</v>
      </c>
      <c r="AA305" s="32" t="n">
        <f aca="false">SUM(R305:Z305)</f>
        <v>107.29229</v>
      </c>
      <c r="AB305" s="33" t="n">
        <f aca="false">INDEX(Premissas!$B$5:$B$13,MATCH(A305,Premissas!$A$5:$A$13,0))</f>
        <v>0.07</v>
      </c>
      <c r="AC305" s="32" t="n">
        <f aca="false">AA305/(1-AB305)-AA305</f>
        <v>8.07576376344088</v>
      </c>
      <c r="AD305" s="32" t="n">
        <f aca="false">ROUND(AA305+AC305,2)</f>
        <v>115.37</v>
      </c>
      <c r="AE305" s="32" t="n">
        <f aca="false">AD305-L305</f>
        <v>-28.91</v>
      </c>
      <c r="AF305" s="34" t="n">
        <f aca="false">IF(L305=0,0,AE305/L305)</f>
        <v>-0.200374272248406</v>
      </c>
      <c r="AG305" s="22" t="str">
        <f aca="false">IF(AD305&lt;L305,"PASSARO","ATUAL")</f>
        <v>PASSARO</v>
      </c>
      <c r="AH305" s="22" t="str">
        <f aca="false">IF(P305&lt;&gt;A305,"Faixa cadastrada como "&amp;P305&amp;" na tabela; preço aplicado pela UF do CEP","")</f>
        <v/>
      </c>
      <c r="AI305" s="26" t="n">
        <v>138.14</v>
      </c>
      <c r="AJ305" s="22" t="str">
        <f aca="false">INDEX('Tabela Passaro'!$X$2:$X$1795,$N305)</f>
        <v>CAPITAL</v>
      </c>
    </row>
    <row r="306" customFormat="false" ht="15" hidden="false" customHeight="false" outlineLevel="0" collapsed="false">
      <c r="A306" s="22" t="s">
        <v>16</v>
      </c>
      <c r="B306" s="22" t="n">
        <v>1</v>
      </c>
      <c r="C306" s="22" t="s">
        <v>75</v>
      </c>
      <c r="D306" s="22" t="s">
        <v>30</v>
      </c>
      <c r="E306" s="22" t="s">
        <v>7328</v>
      </c>
      <c r="F306" s="22" t="n">
        <v>2313806</v>
      </c>
      <c r="G306" s="30" t="n">
        <v>46253</v>
      </c>
      <c r="H306" s="22" t="n">
        <v>133898</v>
      </c>
      <c r="I306" s="22" t="s">
        <v>7601</v>
      </c>
      <c r="J306" s="31" t="n">
        <v>51.06</v>
      </c>
      <c r="K306" s="26" t="n">
        <v>791.98</v>
      </c>
      <c r="L306" s="26" t="n">
        <v>165.57</v>
      </c>
      <c r="M306" s="22" t="s">
        <v>694</v>
      </c>
      <c r="N306" s="22" t="n">
        <f aca="false">MATCH(M306,'Tabela Passaro'!$A$2:$A$1795,0)</f>
        <v>106</v>
      </c>
      <c r="O306" s="22" t="str">
        <f aca="false">INDEX('Tabela Passaro'!$C$2:$C$1795,$N306)</f>
        <v>SALVADOR</v>
      </c>
      <c r="P306" s="22" t="str">
        <f aca="false">INDEX('Tabela Passaro'!$B$2:$B$1795,$N306)</f>
        <v>BA</v>
      </c>
      <c r="Q306" s="22" t="n">
        <f aca="false">INDEX('Tabela Passaro'!$F$2:$F$1795,$N306)</f>
        <v>6</v>
      </c>
      <c r="R306" s="32" t="n">
        <f aca="false">IF(J306&lt;=10,INDEX('Tabela Passaro'!$G$2:$G$1795,$N306),IF(J306&lt;=30,INDEX('Tabela Passaro'!$H$2:$H$1795,$N306),IF(J306&lt;=50,INDEX('Tabela Passaro'!$I$2:$I$1795,$N306),IF(J306&lt;=70,INDEX('Tabela Passaro'!$J$2:$J$1795,$N306),IF(J306&lt;=100,INDEX('Tabela Passaro'!$K$2:$K$1795,$N306),INDEX('Tabela Passaro'!$K$2:$K$1795,$N306)+(J306-100)*INDEX('Tabela Passaro'!$L$2:$L$1795,$N306))))))</f>
        <v>73.44</v>
      </c>
      <c r="S306" s="32" t="n">
        <f aca="false">K306*INDEX('Tabela Passaro'!$M$2:$M$1795,$N306)</f>
        <v>3.9599</v>
      </c>
      <c r="T306" s="32" t="n">
        <f aca="false">K306*INDEX('Tabela Passaro'!$N$2:$N$1795,$N306)</f>
        <v>1.58396</v>
      </c>
      <c r="U306" s="32" t="n">
        <f aca="false">INDEX('Tabela Passaro'!$O$2:$O$1795,$N306)</f>
        <v>5</v>
      </c>
      <c r="V306" s="32" t="n">
        <f aca="false">ROUNDUP(J306/INDEX('Tabela Passaro'!$Q$2:$Q$1795,$N306),0)*INDEX('Tabela Passaro'!$P$2:$P$1795,$N306)</f>
        <v>5</v>
      </c>
      <c r="W306" s="32" t="n">
        <f aca="false">INDEX('Tabela Passaro'!$R$2:$R$1795,$N306)</f>
        <v>30</v>
      </c>
      <c r="X306" s="32" t="n">
        <f aca="false">ROUNDUP(J306/INDEX('Tabela Passaro'!$T$2:$T$1795,$N306),0)*INDEX('Tabela Passaro'!$S$2:$S$1795,$N306)</f>
        <v>0</v>
      </c>
      <c r="Y306" s="32" t="n">
        <f aca="false">INDEX('Tabela Passaro'!$U$2:$U$1795,$N306)</f>
        <v>0</v>
      </c>
      <c r="Z306" s="32" t="n">
        <f aca="false">INDEX('Tabela Passaro'!$V$2:$V$1795,$N306)</f>
        <v>0</v>
      </c>
      <c r="AA306" s="32" t="n">
        <f aca="false">SUM(R306:Z306)</f>
        <v>118.98386</v>
      </c>
      <c r="AB306" s="33" t="n">
        <f aca="false">INDEX(Premissas!$B$5:$B$13,MATCH(A306,Premissas!$A$5:$A$13,0))</f>
        <v>0.07</v>
      </c>
      <c r="AC306" s="32" t="n">
        <f aca="false">AA306/(1-AB306)-AA306</f>
        <v>8.95577440860215</v>
      </c>
      <c r="AD306" s="32" t="n">
        <f aca="false">ROUND(AA306+AC306,2)</f>
        <v>127.94</v>
      </c>
      <c r="AE306" s="32" t="n">
        <f aca="false">AD306-L306</f>
        <v>-37.63</v>
      </c>
      <c r="AF306" s="34" t="n">
        <f aca="false">IF(L306=0,0,AE306/L306)</f>
        <v>-0.227275472609772</v>
      </c>
      <c r="AG306" s="22" t="str">
        <f aca="false">IF(AD306&lt;L306,"PASSARO","ATUAL")</f>
        <v>PASSARO</v>
      </c>
      <c r="AH306" s="22" t="str">
        <f aca="false">IF(P306&lt;&gt;A306,"Faixa cadastrada como "&amp;P306&amp;" na tabela; preço aplicado pela UF do CEP","")</f>
        <v/>
      </c>
      <c r="AI306" s="26" t="n">
        <v>161.06</v>
      </c>
      <c r="AJ306" s="22" t="str">
        <f aca="false">INDEX('Tabela Passaro'!$X$2:$X$1795,$N306)</f>
        <v>CAPITAL</v>
      </c>
    </row>
    <row r="307" customFormat="false" ht="15" hidden="false" customHeight="false" outlineLevel="0" collapsed="false">
      <c r="A307" s="22" t="s">
        <v>16</v>
      </c>
      <c r="B307" s="22" t="n">
        <v>1</v>
      </c>
      <c r="C307" s="22" t="s">
        <v>75</v>
      </c>
      <c r="D307" s="22" t="s">
        <v>30</v>
      </c>
      <c r="E307" s="22" t="s">
        <v>7328</v>
      </c>
      <c r="F307" s="22" t="n">
        <v>2313813</v>
      </c>
      <c r="G307" s="30" t="n">
        <v>46253</v>
      </c>
      <c r="H307" s="22" t="n">
        <v>133903</v>
      </c>
      <c r="I307" s="22" t="s">
        <v>7602</v>
      </c>
      <c r="J307" s="31" t="n">
        <v>36.9</v>
      </c>
      <c r="K307" s="26" t="n">
        <v>492.89</v>
      </c>
      <c r="L307" s="26" t="n">
        <v>142.1</v>
      </c>
      <c r="M307" s="22" t="s">
        <v>694</v>
      </c>
      <c r="N307" s="22" t="n">
        <f aca="false">MATCH(M307,'Tabela Passaro'!$A$2:$A$1795,0)</f>
        <v>106</v>
      </c>
      <c r="O307" s="22" t="str">
        <f aca="false">INDEX('Tabela Passaro'!$C$2:$C$1795,$N307)</f>
        <v>SALVADOR</v>
      </c>
      <c r="P307" s="22" t="str">
        <f aca="false">INDEX('Tabela Passaro'!$B$2:$B$1795,$N307)</f>
        <v>BA</v>
      </c>
      <c r="Q307" s="22" t="n">
        <f aca="false">INDEX('Tabela Passaro'!$F$2:$F$1795,$N307)</f>
        <v>6</v>
      </c>
      <c r="R307" s="32" t="n">
        <f aca="false">IF(J307&lt;=10,INDEX('Tabela Passaro'!$G$2:$G$1795,$N307),IF(J307&lt;=30,INDEX('Tabela Passaro'!$H$2:$H$1795,$N307),IF(J307&lt;=50,INDEX('Tabela Passaro'!$I$2:$I$1795,$N307),IF(J307&lt;=70,INDEX('Tabela Passaro'!$J$2:$J$1795,$N307),IF(J307&lt;=100,INDEX('Tabela Passaro'!$K$2:$K$1795,$N307),INDEX('Tabela Passaro'!$K$2:$K$1795,$N307)+(J307-100)*INDEX('Tabela Passaro'!$L$2:$L$1795,$N307))))))</f>
        <v>61.92</v>
      </c>
      <c r="S307" s="32" t="n">
        <f aca="false">K307*INDEX('Tabela Passaro'!$M$2:$M$1795,$N307)</f>
        <v>2.46445</v>
      </c>
      <c r="T307" s="32" t="n">
        <f aca="false">K307*INDEX('Tabela Passaro'!$N$2:$N$1795,$N307)</f>
        <v>0.98578</v>
      </c>
      <c r="U307" s="32" t="n">
        <f aca="false">INDEX('Tabela Passaro'!$O$2:$O$1795,$N307)</f>
        <v>5</v>
      </c>
      <c r="V307" s="32" t="n">
        <f aca="false">ROUNDUP(J307/INDEX('Tabela Passaro'!$Q$2:$Q$1795,$N307),0)*INDEX('Tabela Passaro'!$P$2:$P$1795,$N307)</f>
        <v>5</v>
      </c>
      <c r="W307" s="32" t="n">
        <f aca="false">INDEX('Tabela Passaro'!$R$2:$R$1795,$N307)</f>
        <v>30</v>
      </c>
      <c r="X307" s="32" t="n">
        <f aca="false">ROUNDUP(J307/INDEX('Tabela Passaro'!$T$2:$T$1795,$N307),0)*INDEX('Tabela Passaro'!$S$2:$S$1795,$N307)</f>
        <v>0</v>
      </c>
      <c r="Y307" s="32" t="n">
        <f aca="false">INDEX('Tabela Passaro'!$U$2:$U$1795,$N307)</f>
        <v>0</v>
      </c>
      <c r="Z307" s="32" t="n">
        <f aca="false">INDEX('Tabela Passaro'!$V$2:$V$1795,$N307)</f>
        <v>0</v>
      </c>
      <c r="AA307" s="32" t="n">
        <f aca="false">SUM(R307:Z307)</f>
        <v>105.37023</v>
      </c>
      <c r="AB307" s="33" t="n">
        <f aca="false">INDEX(Premissas!$B$5:$B$13,MATCH(A307,Premissas!$A$5:$A$13,0))</f>
        <v>0.07</v>
      </c>
      <c r="AC307" s="32" t="n">
        <f aca="false">AA307/(1-AB307)-AA307</f>
        <v>7.93109258064517</v>
      </c>
      <c r="AD307" s="32" t="n">
        <f aca="false">ROUND(AA307+AC307,2)</f>
        <v>113.3</v>
      </c>
      <c r="AE307" s="32" t="n">
        <f aca="false">AD307-L307</f>
        <v>-28.8</v>
      </c>
      <c r="AF307" s="34" t="n">
        <f aca="false">IF(L307=0,0,AE307/L307)</f>
        <v>-0.202674173117523</v>
      </c>
      <c r="AG307" s="22" t="str">
        <f aca="false">IF(AD307&lt;L307,"PASSARO","ATUAL")</f>
        <v>PASSARO</v>
      </c>
      <c r="AH307" s="22" t="str">
        <f aca="false">IF(P307&lt;&gt;A307,"Faixa cadastrada como "&amp;P307&amp;" na tabela; preço aplicado pela UF do CEP","")</f>
        <v/>
      </c>
      <c r="AI307" s="26" t="n">
        <v>138.38</v>
      </c>
      <c r="AJ307" s="22" t="str">
        <f aca="false">INDEX('Tabela Passaro'!$X$2:$X$1795,$N307)</f>
        <v>CAPITAL</v>
      </c>
    </row>
    <row r="308" customFormat="false" ht="15" hidden="false" customHeight="false" outlineLevel="0" collapsed="false">
      <c r="A308" s="22" t="s">
        <v>16</v>
      </c>
      <c r="B308" s="22" t="n">
        <v>1</v>
      </c>
      <c r="C308" s="22" t="s">
        <v>75</v>
      </c>
      <c r="D308" s="22" t="s">
        <v>30</v>
      </c>
      <c r="E308" s="22" t="s">
        <v>7328</v>
      </c>
      <c r="F308" s="22" t="n">
        <v>2313817</v>
      </c>
      <c r="G308" s="30" t="n">
        <v>46253</v>
      </c>
      <c r="H308" s="22" t="n">
        <v>133907</v>
      </c>
      <c r="I308" s="22" t="s">
        <v>7603</v>
      </c>
      <c r="J308" s="31" t="n">
        <v>39.76</v>
      </c>
      <c r="K308" s="26" t="n">
        <v>663.26</v>
      </c>
      <c r="L308" s="26" t="n">
        <v>143.46</v>
      </c>
      <c r="M308" s="22" t="s">
        <v>694</v>
      </c>
      <c r="N308" s="22" t="n">
        <f aca="false">MATCH(M308,'Tabela Passaro'!$A$2:$A$1795,0)</f>
        <v>106</v>
      </c>
      <c r="O308" s="22" t="str">
        <f aca="false">INDEX('Tabela Passaro'!$C$2:$C$1795,$N308)</f>
        <v>SALVADOR</v>
      </c>
      <c r="P308" s="22" t="str">
        <f aca="false">INDEX('Tabela Passaro'!$B$2:$B$1795,$N308)</f>
        <v>BA</v>
      </c>
      <c r="Q308" s="22" t="n">
        <f aca="false">INDEX('Tabela Passaro'!$F$2:$F$1795,$N308)</f>
        <v>6</v>
      </c>
      <c r="R308" s="32" t="n">
        <f aca="false">IF(J308&lt;=10,INDEX('Tabela Passaro'!$G$2:$G$1795,$N308),IF(J308&lt;=30,INDEX('Tabela Passaro'!$H$2:$H$1795,$N308),IF(J308&lt;=50,INDEX('Tabela Passaro'!$I$2:$I$1795,$N308),IF(J308&lt;=70,INDEX('Tabela Passaro'!$J$2:$J$1795,$N308),IF(J308&lt;=100,INDEX('Tabela Passaro'!$K$2:$K$1795,$N308),INDEX('Tabela Passaro'!$K$2:$K$1795,$N308)+(J308-100)*INDEX('Tabela Passaro'!$L$2:$L$1795,$N308))))))</f>
        <v>61.92</v>
      </c>
      <c r="S308" s="32" t="n">
        <f aca="false">K308*INDEX('Tabela Passaro'!$M$2:$M$1795,$N308)</f>
        <v>3.3163</v>
      </c>
      <c r="T308" s="32" t="n">
        <f aca="false">K308*INDEX('Tabela Passaro'!$N$2:$N$1795,$N308)</f>
        <v>1.32652</v>
      </c>
      <c r="U308" s="32" t="n">
        <f aca="false">INDEX('Tabela Passaro'!$O$2:$O$1795,$N308)</f>
        <v>5</v>
      </c>
      <c r="V308" s="32" t="n">
        <f aca="false">ROUNDUP(J308/INDEX('Tabela Passaro'!$Q$2:$Q$1795,$N308),0)*INDEX('Tabela Passaro'!$P$2:$P$1795,$N308)</f>
        <v>5</v>
      </c>
      <c r="W308" s="32" t="n">
        <f aca="false">INDEX('Tabela Passaro'!$R$2:$R$1795,$N308)</f>
        <v>30</v>
      </c>
      <c r="X308" s="32" t="n">
        <f aca="false">ROUNDUP(J308/INDEX('Tabela Passaro'!$T$2:$T$1795,$N308),0)*INDEX('Tabela Passaro'!$S$2:$S$1795,$N308)</f>
        <v>0</v>
      </c>
      <c r="Y308" s="32" t="n">
        <f aca="false">INDEX('Tabela Passaro'!$U$2:$U$1795,$N308)</f>
        <v>0</v>
      </c>
      <c r="Z308" s="32" t="n">
        <f aca="false">INDEX('Tabela Passaro'!$V$2:$V$1795,$N308)</f>
        <v>0</v>
      </c>
      <c r="AA308" s="32" t="n">
        <f aca="false">SUM(R308:Z308)</f>
        <v>106.56282</v>
      </c>
      <c r="AB308" s="33" t="n">
        <f aca="false">INDEX(Premissas!$B$5:$B$13,MATCH(A308,Premissas!$A$5:$A$13,0))</f>
        <v>0.07</v>
      </c>
      <c r="AC308" s="32" t="n">
        <f aca="false">AA308/(1-AB308)-AA308</f>
        <v>8.02085741935484</v>
      </c>
      <c r="AD308" s="32" t="n">
        <f aca="false">ROUND(AA308+AC308,2)</f>
        <v>114.58</v>
      </c>
      <c r="AE308" s="32" t="n">
        <f aca="false">AD308-L308</f>
        <v>-28.88</v>
      </c>
      <c r="AF308" s="34" t="n">
        <f aca="false">IF(L308=0,0,AE308/L308)</f>
        <v>-0.201310469817371</v>
      </c>
      <c r="AG308" s="22" t="str">
        <f aca="false">IF(AD308&lt;L308,"PASSARO","ATUAL")</f>
        <v>PASSARO</v>
      </c>
      <c r="AH308" s="22" t="str">
        <f aca="false">IF(P308&lt;&gt;A308,"Faixa cadastrada como "&amp;P308&amp;" na tabela; preço aplicado pela UF do CEP","")</f>
        <v/>
      </c>
      <c r="AI308" s="26" t="n">
        <v>141.48</v>
      </c>
      <c r="AJ308" s="22" t="str">
        <f aca="false">INDEX('Tabela Passaro'!$X$2:$X$1795,$N308)</f>
        <v>CAPITAL</v>
      </c>
    </row>
    <row r="309" customFormat="false" ht="15" hidden="false" customHeight="false" outlineLevel="0" collapsed="false">
      <c r="A309" s="22" t="s">
        <v>16</v>
      </c>
      <c r="B309" s="22" t="n">
        <v>1</v>
      </c>
      <c r="C309" s="22" t="s">
        <v>75</v>
      </c>
      <c r="D309" s="22" t="s">
        <v>30</v>
      </c>
      <c r="E309" s="22" t="s">
        <v>7328</v>
      </c>
      <c r="F309" s="22" t="n">
        <v>2313828</v>
      </c>
      <c r="G309" s="30" t="n">
        <v>46253</v>
      </c>
      <c r="H309" s="22" t="n">
        <v>133924</v>
      </c>
      <c r="I309" s="22" t="s">
        <v>7604</v>
      </c>
      <c r="J309" s="31" t="n">
        <v>48</v>
      </c>
      <c r="K309" s="26" t="n">
        <v>964.53</v>
      </c>
      <c r="L309" s="26" t="n">
        <v>145.83</v>
      </c>
      <c r="M309" s="22" t="s">
        <v>694</v>
      </c>
      <c r="N309" s="22" t="n">
        <f aca="false">MATCH(M309,'Tabela Passaro'!$A$2:$A$1795,0)</f>
        <v>106</v>
      </c>
      <c r="O309" s="22" t="str">
        <f aca="false">INDEX('Tabela Passaro'!$C$2:$C$1795,$N309)</f>
        <v>SALVADOR</v>
      </c>
      <c r="P309" s="22" t="str">
        <f aca="false">INDEX('Tabela Passaro'!$B$2:$B$1795,$N309)</f>
        <v>BA</v>
      </c>
      <c r="Q309" s="22" t="n">
        <f aca="false">INDEX('Tabela Passaro'!$F$2:$F$1795,$N309)</f>
        <v>6</v>
      </c>
      <c r="R309" s="32" t="n">
        <f aca="false">IF(J309&lt;=10,INDEX('Tabela Passaro'!$G$2:$G$1795,$N309),IF(J309&lt;=30,INDEX('Tabela Passaro'!$H$2:$H$1795,$N309),IF(J309&lt;=50,INDEX('Tabela Passaro'!$I$2:$I$1795,$N309),IF(J309&lt;=70,INDEX('Tabela Passaro'!$J$2:$J$1795,$N309),IF(J309&lt;=100,INDEX('Tabela Passaro'!$K$2:$K$1795,$N309),INDEX('Tabela Passaro'!$K$2:$K$1795,$N309)+(J309-100)*INDEX('Tabela Passaro'!$L$2:$L$1795,$N309))))))</f>
        <v>61.92</v>
      </c>
      <c r="S309" s="32" t="n">
        <f aca="false">K309*INDEX('Tabela Passaro'!$M$2:$M$1795,$N309)</f>
        <v>4.82265</v>
      </c>
      <c r="T309" s="32" t="n">
        <f aca="false">K309*INDEX('Tabela Passaro'!$N$2:$N$1795,$N309)</f>
        <v>1.92906</v>
      </c>
      <c r="U309" s="32" t="n">
        <f aca="false">INDEX('Tabela Passaro'!$O$2:$O$1795,$N309)</f>
        <v>5</v>
      </c>
      <c r="V309" s="32" t="n">
        <f aca="false">ROUNDUP(J309/INDEX('Tabela Passaro'!$Q$2:$Q$1795,$N309),0)*INDEX('Tabela Passaro'!$P$2:$P$1795,$N309)</f>
        <v>5</v>
      </c>
      <c r="W309" s="32" t="n">
        <f aca="false">INDEX('Tabela Passaro'!$R$2:$R$1795,$N309)</f>
        <v>30</v>
      </c>
      <c r="X309" s="32" t="n">
        <f aca="false">ROUNDUP(J309/INDEX('Tabela Passaro'!$T$2:$T$1795,$N309),0)*INDEX('Tabela Passaro'!$S$2:$S$1795,$N309)</f>
        <v>0</v>
      </c>
      <c r="Y309" s="32" t="n">
        <f aca="false">INDEX('Tabela Passaro'!$U$2:$U$1795,$N309)</f>
        <v>0</v>
      </c>
      <c r="Z309" s="32" t="n">
        <f aca="false">INDEX('Tabela Passaro'!$V$2:$V$1795,$N309)</f>
        <v>0</v>
      </c>
      <c r="AA309" s="32" t="n">
        <f aca="false">SUM(R309:Z309)</f>
        <v>108.67171</v>
      </c>
      <c r="AB309" s="33" t="n">
        <f aca="false">INDEX(Premissas!$B$5:$B$13,MATCH(A309,Premissas!$A$5:$A$13,0))</f>
        <v>0.07</v>
      </c>
      <c r="AC309" s="32" t="n">
        <f aca="false">AA309/(1-AB309)-AA309</f>
        <v>8.17959107526883</v>
      </c>
      <c r="AD309" s="32" t="n">
        <f aca="false">ROUND(AA309+AC309,2)</f>
        <v>116.85</v>
      </c>
      <c r="AE309" s="32" t="n">
        <f aca="false">AD309-L309</f>
        <v>-28.98</v>
      </c>
      <c r="AF309" s="34" t="n">
        <f aca="false">IF(L309=0,0,AE309/L309)</f>
        <v>-0.198724542275252</v>
      </c>
      <c r="AG309" s="22" t="str">
        <f aca="false">IF(AD309&lt;L309,"PASSARO","ATUAL")</f>
        <v>PASSARO</v>
      </c>
      <c r="AH309" s="22" t="str">
        <f aca="false">IF(P309&lt;&gt;A309,"Faixa cadastrada como "&amp;P309&amp;" na tabela; preço aplicado pela UF do CEP","")</f>
        <v/>
      </c>
      <c r="AI309" s="26" t="n">
        <v>148.27</v>
      </c>
      <c r="AJ309" s="22" t="str">
        <f aca="false">INDEX('Tabela Passaro'!$X$2:$X$1795,$N309)</f>
        <v>CAPITAL</v>
      </c>
    </row>
    <row r="310" customFormat="false" ht="15" hidden="false" customHeight="false" outlineLevel="0" collapsed="false">
      <c r="A310" s="22" t="s">
        <v>16</v>
      </c>
      <c r="B310" s="22" t="n">
        <v>1</v>
      </c>
      <c r="C310" s="22" t="s">
        <v>75</v>
      </c>
      <c r="D310" s="22" t="s">
        <v>30</v>
      </c>
      <c r="E310" s="22" t="s">
        <v>7326</v>
      </c>
      <c r="F310" s="22" t="n">
        <v>526063</v>
      </c>
      <c r="G310" s="30" t="n">
        <v>46253</v>
      </c>
      <c r="H310" s="22" t="n">
        <v>625912</v>
      </c>
      <c r="I310" s="22" t="s">
        <v>7605</v>
      </c>
      <c r="J310" s="31" t="n">
        <v>33</v>
      </c>
      <c r="K310" s="26" t="n">
        <v>518.85</v>
      </c>
      <c r="L310" s="26" t="n">
        <v>162.1</v>
      </c>
      <c r="M310" s="22" t="s">
        <v>694</v>
      </c>
      <c r="N310" s="22" t="n">
        <f aca="false">MATCH(M310,'Tabela Passaro'!$A$2:$A$1795,0)</f>
        <v>106</v>
      </c>
      <c r="O310" s="22" t="str">
        <f aca="false">INDEX('Tabela Passaro'!$C$2:$C$1795,$N310)</f>
        <v>SALVADOR</v>
      </c>
      <c r="P310" s="22" t="str">
        <f aca="false">INDEX('Tabela Passaro'!$B$2:$B$1795,$N310)</f>
        <v>BA</v>
      </c>
      <c r="Q310" s="22" t="n">
        <f aca="false">INDEX('Tabela Passaro'!$F$2:$F$1795,$N310)</f>
        <v>6</v>
      </c>
      <c r="R310" s="32" t="n">
        <f aca="false">IF(J310&lt;=10,INDEX('Tabela Passaro'!$G$2:$G$1795,$N310),IF(J310&lt;=30,INDEX('Tabela Passaro'!$H$2:$H$1795,$N310),IF(J310&lt;=50,INDEX('Tabela Passaro'!$I$2:$I$1795,$N310),IF(J310&lt;=70,INDEX('Tabela Passaro'!$J$2:$J$1795,$N310),IF(J310&lt;=100,INDEX('Tabela Passaro'!$K$2:$K$1795,$N310),INDEX('Tabela Passaro'!$K$2:$K$1795,$N310)+(J310-100)*INDEX('Tabela Passaro'!$L$2:$L$1795,$N310))))))</f>
        <v>61.92</v>
      </c>
      <c r="S310" s="32" t="n">
        <f aca="false">K310*INDEX('Tabela Passaro'!$M$2:$M$1795,$N310)</f>
        <v>2.59425</v>
      </c>
      <c r="T310" s="32" t="n">
        <f aca="false">K310*INDEX('Tabela Passaro'!$N$2:$N$1795,$N310)</f>
        <v>1.0377</v>
      </c>
      <c r="U310" s="32" t="n">
        <f aca="false">INDEX('Tabela Passaro'!$O$2:$O$1795,$N310)</f>
        <v>5</v>
      </c>
      <c r="V310" s="32" t="n">
        <f aca="false">ROUNDUP(J310/INDEX('Tabela Passaro'!$Q$2:$Q$1795,$N310),0)*INDEX('Tabela Passaro'!$P$2:$P$1795,$N310)</f>
        <v>5</v>
      </c>
      <c r="W310" s="32" t="n">
        <f aca="false">INDEX('Tabela Passaro'!$R$2:$R$1795,$N310)</f>
        <v>30</v>
      </c>
      <c r="X310" s="32" t="n">
        <f aca="false">ROUNDUP(J310/INDEX('Tabela Passaro'!$T$2:$T$1795,$N310),0)*INDEX('Tabela Passaro'!$S$2:$S$1795,$N310)</f>
        <v>0</v>
      </c>
      <c r="Y310" s="32" t="n">
        <f aca="false">INDEX('Tabela Passaro'!$U$2:$U$1795,$N310)</f>
        <v>0</v>
      </c>
      <c r="Z310" s="32" t="n">
        <f aca="false">INDEX('Tabela Passaro'!$V$2:$V$1795,$N310)</f>
        <v>0</v>
      </c>
      <c r="AA310" s="32" t="n">
        <f aca="false">SUM(R310:Z310)</f>
        <v>105.55195</v>
      </c>
      <c r="AB310" s="33" t="n">
        <f aca="false">INDEX(Premissas!$B$5:$B$13,MATCH(A310,Premissas!$A$5:$A$13,0))</f>
        <v>0.07</v>
      </c>
      <c r="AC310" s="32" t="n">
        <f aca="false">AA310/(1-AB310)-AA310</f>
        <v>7.94477043010754</v>
      </c>
      <c r="AD310" s="32" t="n">
        <f aca="false">ROUND(AA310+AC310,2)</f>
        <v>113.5</v>
      </c>
      <c r="AE310" s="32" t="n">
        <f aca="false">AD310-L310</f>
        <v>-48.6</v>
      </c>
      <c r="AF310" s="34" t="n">
        <f aca="false">IF(L310=0,0,AE310/L310)</f>
        <v>-0.299814929056138</v>
      </c>
      <c r="AG310" s="22" t="str">
        <f aca="false">IF(AD310&lt;L310,"PASSARO","ATUAL")</f>
        <v>PASSARO</v>
      </c>
      <c r="AH310" s="22" t="str">
        <f aca="false">IF(P310&lt;&gt;A310,"Faixa cadastrada como "&amp;P310&amp;" na tabela; preço aplicado pela UF do CEP","")</f>
        <v/>
      </c>
      <c r="AI310" s="26" t="n">
        <v>136.7</v>
      </c>
      <c r="AJ310" s="22" t="str">
        <f aca="false">INDEX('Tabela Passaro'!$X$2:$X$1795,$N310)</f>
        <v>CAPITAL</v>
      </c>
    </row>
    <row r="311" customFormat="false" ht="15" hidden="false" customHeight="false" outlineLevel="0" collapsed="false">
      <c r="A311" s="22" t="s">
        <v>16</v>
      </c>
      <c r="B311" s="22" t="n">
        <v>1</v>
      </c>
      <c r="C311" s="22" t="s">
        <v>75</v>
      </c>
      <c r="D311" s="22" t="s">
        <v>30</v>
      </c>
      <c r="E311" s="22" t="s">
        <v>7326</v>
      </c>
      <c r="F311" s="22" t="n">
        <v>526062</v>
      </c>
      <c r="G311" s="30" t="n">
        <v>46253</v>
      </c>
      <c r="H311" s="22" t="n">
        <v>625915</v>
      </c>
      <c r="I311" s="22" t="s">
        <v>7606</v>
      </c>
      <c r="J311" s="31" t="n">
        <v>52.26</v>
      </c>
      <c r="K311" s="26" t="n">
        <v>820.81</v>
      </c>
      <c r="L311" s="26" t="n">
        <v>196.42</v>
      </c>
      <c r="M311" s="22" t="s">
        <v>694</v>
      </c>
      <c r="N311" s="22" t="n">
        <f aca="false">MATCH(M311,'Tabela Passaro'!$A$2:$A$1795,0)</f>
        <v>106</v>
      </c>
      <c r="O311" s="22" t="str">
        <f aca="false">INDEX('Tabela Passaro'!$C$2:$C$1795,$N311)</f>
        <v>SALVADOR</v>
      </c>
      <c r="P311" s="22" t="str">
        <f aca="false">INDEX('Tabela Passaro'!$B$2:$B$1795,$N311)</f>
        <v>BA</v>
      </c>
      <c r="Q311" s="22" t="n">
        <f aca="false">INDEX('Tabela Passaro'!$F$2:$F$1795,$N311)</f>
        <v>6</v>
      </c>
      <c r="R311" s="32" t="n">
        <f aca="false">IF(J311&lt;=10,INDEX('Tabela Passaro'!$G$2:$G$1795,$N311),IF(J311&lt;=30,INDEX('Tabela Passaro'!$H$2:$H$1795,$N311),IF(J311&lt;=50,INDEX('Tabela Passaro'!$I$2:$I$1795,$N311),IF(J311&lt;=70,INDEX('Tabela Passaro'!$J$2:$J$1795,$N311),IF(J311&lt;=100,INDEX('Tabela Passaro'!$K$2:$K$1795,$N311),INDEX('Tabela Passaro'!$K$2:$K$1795,$N311)+(J311-100)*INDEX('Tabela Passaro'!$L$2:$L$1795,$N311))))))</f>
        <v>73.44</v>
      </c>
      <c r="S311" s="32" t="n">
        <f aca="false">K311*INDEX('Tabela Passaro'!$M$2:$M$1795,$N311)</f>
        <v>4.10405</v>
      </c>
      <c r="T311" s="32" t="n">
        <f aca="false">K311*INDEX('Tabela Passaro'!$N$2:$N$1795,$N311)</f>
        <v>1.64162</v>
      </c>
      <c r="U311" s="32" t="n">
        <f aca="false">INDEX('Tabela Passaro'!$O$2:$O$1795,$N311)</f>
        <v>5</v>
      </c>
      <c r="V311" s="32" t="n">
        <f aca="false">ROUNDUP(J311/INDEX('Tabela Passaro'!$Q$2:$Q$1795,$N311),0)*INDEX('Tabela Passaro'!$P$2:$P$1795,$N311)</f>
        <v>5</v>
      </c>
      <c r="W311" s="32" t="n">
        <f aca="false">INDEX('Tabela Passaro'!$R$2:$R$1795,$N311)</f>
        <v>30</v>
      </c>
      <c r="X311" s="32" t="n">
        <f aca="false">ROUNDUP(J311/INDEX('Tabela Passaro'!$T$2:$T$1795,$N311),0)*INDEX('Tabela Passaro'!$S$2:$S$1795,$N311)</f>
        <v>0</v>
      </c>
      <c r="Y311" s="32" t="n">
        <f aca="false">INDEX('Tabela Passaro'!$U$2:$U$1795,$N311)</f>
        <v>0</v>
      </c>
      <c r="Z311" s="32" t="n">
        <f aca="false">INDEX('Tabela Passaro'!$V$2:$V$1795,$N311)</f>
        <v>0</v>
      </c>
      <c r="AA311" s="32" t="n">
        <f aca="false">SUM(R311:Z311)</f>
        <v>119.18567</v>
      </c>
      <c r="AB311" s="33" t="n">
        <f aca="false">INDEX(Premissas!$B$5:$B$13,MATCH(A311,Premissas!$A$5:$A$13,0))</f>
        <v>0.07</v>
      </c>
      <c r="AC311" s="32" t="n">
        <f aca="false">AA311/(1-AB311)-AA311</f>
        <v>8.97096440860217</v>
      </c>
      <c r="AD311" s="32" t="n">
        <f aca="false">ROUND(AA311+AC311,2)</f>
        <v>128.16</v>
      </c>
      <c r="AE311" s="32" t="n">
        <f aca="false">AD311-L311</f>
        <v>-68.26</v>
      </c>
      <c r="AF311" s="34" t="n">
        <f aca="false">IF(L311=0,0,AE311/L311)</f>
        <v>-0.34752061908156</v>
      </c>
      <c r="AG311" s="22" t="str">
        <f aca="false">IF(AD311&lt;L311,"PASSARO","ATUAL")</f>
        <v>PASSARO</v>
      </c>
      <c r="AH311" s="22" t="str">
        <f aca="false">IF(P311&lt;&gt;A311,"Faixa cadastrada como "&amp;P311&amp;" na tabela; preço aplicado pela UF do CEP","")</f>
        <v/>
      </c>
      <c r="AI311" s="26" t="n">
        <v>161.83</v>
      </c>
      <c r="AJ311" s="22" t="str">
        <f aca="false">INDEX('Tabela Passaro'!$X$2:$X$1795,$N311)</f>
        <v>CAPITAL</v>
      </c>
    </row>
    <row r="312" customFormat="false" ht="15" hidden="false" customHeight="false" outlineLevel="0" collapsed="false">
      <c r="A312" s="22" t="s">
        <v>16</v>
      </c>
      <c r="B312" s="22" t="n">
        <v>1</v>
      </c>
      <c r="C312" s="22" t="s">
        <v>75</v>
      </c>
      <c r="D312" s="22" t="s">
        <v>30</v>
      </c>
      <c r="E312" s="22" t="s">
        <v>7326</v>
      </c>
      <c r="F312" s="22" t="n">
        <v>526069</v>
      </c>
      <c r="G312" s="30" t="n">
        <v>46253</v>
      </c>
      <c r="H312" s="22" t="n">
        <v>625917</v>
      </c>
      <c r="I312" s="22" t="s">
        <v>7607</v>
      </c>
      <c r="J312" s="31" t="n">
        <v>29</v>
      </c>
      <c r="K312" s="26" t="n">
        <v>482.48</v>
      </c>
      <c r="L312" s="26" t="n">
        <v>120.95</v>
      </c>
      <c r="M312" s="22" t="s">
        <v>694</v>
      </c>
      <c r="N312" s="22" t="n">
        <f aca="false">MATCH(M312,'Tabela Passaro'!$A$2:$A$1795,0)</f>
        <v>106</v>
      </c>
      <c r="O312" s="22" t="str">
        <f aca="false">INDEX('Tabela Passaro'!$C$2:$C$1795,$N312)</f>
        <v>SALVADOR</v>
      </c>
      <c r="P312" s="22" t="str">
        <f aca="false">INDEX('Tabela Passaro'!$B$2:$B$1795,$N312)</f>
        <v>BA</v>
      </c>
      <c r="Q312" s="22" t="n">
        <f aca="false">INDEX('Tabela Passaro'!$F$2:$F$1795,$N312)</f>
        <v>6</v>
      </c>
      <c r="R312" s="32" t="n">
        <f aca="false">IF(J312&lt;=10,INDEX('Tabela Passaro'!$G$2:$G$1795,$N312),IF(J312&lt;=30,INDEX('Tabela Passaro'!$H$2:$H$1795,$N312),IF(J312&lt;=50,INDEX('Tabela Passaro'!$I$2:$I$1795,$N312),IF(J312&lt;=70,INDEX('Tabela Passaro'!$J$2:$J$1795,$N312),IF(J312&lt;=100,INDEX('Tabela Passaro'!$K$2:$K$1795,$N312),INDEX('Tabela Passaro'!$K$2:$K$1795,$N312)+(J312-100)*INDEX('Tabela Passaro'!$L$2:$L$1795,$N312))))))</f>
        <v>50.4</v>
      </c>
      <c r="S312" s="32" t="n">
        <f aca="false">K312*INDEX('Tabela Passaro'!$M$2:$M$1795,$N312)</f>
        <v>2.4124</v>
      </c>
      <c r="T312" s="32" t="n">
        <f aca="false">K312*INDEX('Tabela Passaro'!$N$2:$N$1795,$N312)</f>
        <v>0.96496</v>
      </c>
      <c r="U312" s="32" t="n">
        <f aca="false">INDEX('Tabela Passaro'!$O$2:$O$1795,$N312)</f>
        <v>5</v>
      </c>
      <c r="V312" s="32" t="n">
        <f aca="false">ROUNDUP(J312/INDEX('Tabela Passaro'!$Q$2:$Q$1795,$N312),0)*INDEX('Tabela Passaro'!$P$2:$P$1795,$N312)</f>
        <v>5</v>
      </c>
      <c r="W312" s="32" t="n">
        <f aca="false">INDEX('Tabela Passaro'!$R$2:$R$1795,$N312)</f>
        <v>30</v>
      </c>
      <c r="X312" s="32" t="n">
        <f aca="false">ROUNDUP(J312/INDEX('Tabela Passaro'!$T$2:$T$1795,$N312),0)*INDEX('Tabela Passaro'!$S$2:$S$1795,$N312)</f>
        <v>0</v>
      </c>
      <c r="Y312" s="32" t="n">
        <f aca="false">INDEX('Tabela Passaro'!$U$2:$U$1795,$N312)</f>
        <v>0</v>
      </c>
      <c r="Z312" s="32" t="n">
        <f aca="false">INDEX('Tabela Passaro'!$V$2:$V$1795,$N312)</f>
        <v>0</v>
      </c>
      <c r="AA312" s="32" t="n">
        <f aca="false">SUM(R312:Z312)</f>
        <v>93.77736</v>
      </c>
      <c r="AB312" s="33" t="n">
        <f aca="false">INDEX(Premissas!$B$5:$B$13,MATCH(A312,Premissas!$A$5:$A$13,0))</f>
        <v>0.07</v>
      </c>
      <c r="AC312" s="32" t="n">
        <f aca="false">AA312/(1-AB312)-AA312</f>
        <v>7.05851096774194</v>
      </c>
      <c r="AD312" s="32" t="n">
        <f aca="false">ROUND(AA312+AC312,2)</f>
        <v>100.84</v>
      </c>
      <c r="AE312" s="32" t="n">
        <f aca="false">AD312-L312</f>
        <v>-20.11</v>
      </c>
      <c r="AF312" s="34" t="n">
        <f aca="false">IF(L312=0,0,AE312/L312)</f>
        <v>-0.166267052501033</v>
      </c>
      <c r="AG312" s="22" t="str">
        <f aca="false">IF(AD312&lt;L312,"PASSARO","ATUAL")</f>
        <v>PASSARO</v>
      </c>
      <c r="AH312" s="22" t="str">
        <f aca="false">IF(P312&lt;&gt;A312,"Faixa cadastrada como "&amp;P312&amp;" na tabela; preço aplicado pela UF do CEP","")</f>
        <v/>
      </c>
      <c r="AI312" s="26" t="n">
        <v>121.88</v>
      </c>
      <c r="AJ312" s="22" t="str">
        <f aca="false">INDEX('Tabela Passaro'!$X$2:$X$1795,$N312)</f>
        <v>CAPITAL</v>
      </c>
    </row>
    <row r="313" customFormat="false" ht="15" hidden="false" customHeight="false" outlineLevel="0" collapsed="false">
      <c r="A313" s="22" t="s">
        <v>16</v>
      </c>
      <c r="B313" s="22" t="n">
        <v>1</v>
      </c>
      <c r="C313" s="22" t="s">
        <v>75</v>
      </c>
      <c r="D313" s="22" t="s">
        <v>30</v>
      </c>
      <c r="E313" s="22" t="s">
        <v>7326</v>
      </c>
      <c r="F313" s="22" t="n">
        <v>526044</v>
      </c>
      <c r="G313" s="30" t="n">
        <v>46253</v>
      </c>
      <c r="H313" s="22" t="n">
        <v>625931</v>
      </c>
      <c r="I313" s="22" t="s">
        <v>7608</v>
      </c>
      <c r="J313" s="31" t="n">
        <v>40</v>
      </c>
      <c r="K313" s="26" t="n">
        <v>694</v>
      </c>
      <c r="L313" s="26" t="n">
        <v>163.59</v>
      </c>
      <c r="M313" s="22" t="s">
        <v>694</v>
      </c>
      <c r="N313" s="22" t="n">
        <f aca="false">MATCH(M313,'Tabela Passaro'!$A$2:$A$1795,0)</f>
        <v>106</v>
      </c>
      <c r="O313" s="22" t="str">
        <f aca="false">INDEX('Tabela Passaro'!$C$2:$C$1795,$N313)</f>
        <v>SALVADOR</v>
      </c>
      <c r="P313" s="22" t="str">
        <f aca="false">INDEX('Tabela Passaro'!$B$2:$B$1795,$N313)</f>
        <v>BA</v>
      </c>
      <c r="Q313" s="22" t="n">
        <f aca="false">INDEX('Tabela Passaro'!$F$2:$F$1795,$N313)</f>
        <v>6</v>
      </c>
      <c r="R313" s="32" t="n">
        <f aca="false">IF(J313&lt;=10,INDEX('Tabela Passaro'!$G$2:$G$1795,$N313),IF(J313&lt;=30,INDEX('Tabela Passaro'!$H$2:$H$1795,$N313),IF(J313&lt;=50,INDEX('Tabela Passaro'!$I$2:$I$1795,$N313),IF(J313&lt;=70,INDEX('Tabela Passaro'!$J$2:$J$1795,$N313),IF(J313&lt;=100,INDEX('Tabela Passaro'!$K$2:$K$1795,$N313),INDEX('Tabela Passaro'!$K$2:$K$1795,$N313)+(J313-100)*INDEX('Tabela Passaro'!$L$2:$L$1795,$N313))))))</f>
        <v>61.92</v>
      </c>
      <c r="S313" s="32" t="n">
        <f aca="false">K313*INDEX('Tabela Passaro'!$M$2:$M$1795,$N313)</f>
        <v>3.47</v>
      </c>
      <c r="T313" s="32" t="n">
        <f aca="false">K313*INDEX('Tabela Passaro'!$N$2:$N$1795,$N313)</f>
        <v>1.388</v>
      </c>
      <c r="U313" s="32" t="n">
        <f aca="false">INDEX('Tabela Passaro'!$O$2:$O$1795,$N313)</f>
        <v>5</v>
      </c>
      <c r="V313" s="32" t="n">
        <f aca="false">ROUNDUP(J313/INDEX('Tabela Passaro'!$Q$2:$Q$1795,$N313),0)*INDEX('Tabela Passaro'!$P$2:$P$1795,$N313)</f>
        <v>5</v>
      </c>
      <c r="W313" s="32" t="n">
        <f aca="false">INDEX('Tabela Passaro'!$R$2:$R$1795,$N313)</f>
        <v>30</v>
      </c>
      <c r="X313" s="32" t="n">
        <f aca="false">ROUNDUP(J313/INDEX('Tabela Passaro'!$T$2:$T$1795,$N313),0)*INDEX('Tabela Passaro'!$S$2:$S$1795,$N313)</f>
        <v>0</v>
      </c>
      <c r="Y313" s="32" t="n">
        <f aca="false">INDEX('Tabela Passaro'!$U$2:$U$1795,$N313)</f>
        <v>0</v>
      </c>
      <c r="Z313" s="32" t="n">
        <f aca="false">INDEX('Tabela Passaro'!$V$2:$V$1795,$N313)</f>
        <v>0</v>
      </c>
      <c r="AA313" s="32" t="n">
        <f aca="false">SUM(R313:Z313)</f>
        <v>106.778</v>
      </c>
      <c r="AB313" s="33" t="n">
        <f aca="false">INDEX(Premissas!$B$5:$B$13,MATCH(A313,Premissas!$A$5:$A$13,0))</f>
        <v>0.07</v>
      </c>
      <c r="AC313" s="32" t="n">
        <f aca="false">AA313/(1-AB313)-AA313</f>
        <v>8.03705376344087</v>
      </c>
      <c r="AD313" s="32" t="n">
        <f aca="false">ROUND(AA313+AC313,2)</f>
        <v>114.82</v>
      </c>
      <c r="AE313" s="32" t="n">
        <f aca="false">AD313-L313</f>
        <v>-48.77</v>
      </c>
      <c r="AF313" s="34" t="n">
        <f aca="false">IF(L313=0,0,AE313/L313)</f>
        <v>-0.298123357173421</v>
      </c>
      <c r="AG313" s="22" t="str">
        <f aca="false">IF(AD313&lt;L313,"PASSARO","ATUAL")</f>
        <v>PASSARO</v>
      </c>
      <c r="AH313" s="22" t="str">
        <f aca="false">IF(P313&lt;&gt;A313,"Faixa cadastrada como "&amp;P313&amp;" na tabela; preço aplicado pela UF do CEP","")</f>
        <v/>
      </c>
      <c r="AI313" s="26" t="n">
        <v>141.78</v>
      </c>
      <c r="AJ313" s="22" t="str">
        <f aca="false">INDEX('Tabela Passaro'!$X$2:$X$1795,$N313)</f>
        <v>CAPITAL</v>
      </c>
    </row>
    <row r="314" customFormat="false" ht="15" hidden="false" customHeight="false" outlineLevel="0" collapsed="false">
      <c r="A314" s="22" t="s">
        <v>16</v>
      </c>
      <c r="B314" s="22" t="n">
        <v>1</v>
      </c>
      <c r="C314" s="22" t="s">
        <v>75</v>
      </c>
      <c r="D314" s="22" t="s">
        <v>30</v>
      </c>
      <c r="E314" s="22" t="s">
        <v>7326</v>
      </c>
      <c r="F314" s="22" t="n">
        <v>526085</v>
      </c>
      <c r="G314" s="30" t="n">
        <v>46253</v>
      </c>
      <c r="H314" s="22" t="n">
        <v>626770</v>
      </c>
      <c r="I314" s="22" t="s">
        <v>7609</v>
      </c>
      <c r="J314" s="31" t="n">
        <v>77.8</v>
      </c>
      <c r="K314" s="26" t="n">
        <v>1174.93</v>
      </c>
      <c r="L314" s="26" t="n">
        <v>253.89</v>
      </c>
      <c r="M314" s="22" t="s">
        <v>694</v>
      </c>
      <c r="N314" s="22" t="n">
        <f aca="false">MATCH(M314,'Tabela Passaro'!$A$2:$A$1795,0)</f>
        <v>106</v>
      </c>
      <c r="O314" s="22" t="str">
        <f aca="false">INDEX('Tabela Passaro'!$C$2:$C$1795,$N314)</f>
        <v>SALVADOR</v>
      </c>
      <c r="P314" s="22" t="str">
        <f aca="false">INDEX('Tabela Passaro'!$B$2:$B$1795,$N314)</f>
        <v>BA</v>
      </c>
      <c r="Q314" s="22" t="n">
        <f aca="false">INDEX('Tabela Passaro'!$F$2:$F$1795,$N314)</f>
        <v>6</v>
      </c>
      <c r="R314" s="32" t="n">
        <f aca="false">IF(J314&lt;=10,INDEX('Tabela Passaro'!$G$2:$G$1795,$N314),IF(J314&lt;=30,INDEX('Tabela Passaro'!$H$2:$H$1795,$N314),IF(J314&lt;=50,INDEX('Tabela Passaro'!$I$2:$I$1795,$N314),IF(J314&lt;=70,INDEX('Tabela Passaro'!$J$2:$J$1795,$N314),IF(J314&lt;=100,INDEX('Tabela Passaro'!$K$2:$K$1795,$N314),INDEX('Tabela Passaro'!$K$2:$K$1795,$N314)+(J314-100)*INDEX('Tabela Passaro'!$L$2:$L$1795,$N314))))))</f>
        <v>84.96</v>
      </c>
      <c r="S314" s="32" t="n">
        <f aca="false">K314*INDEX('Tabela Passaro'!$M$2:$M$1795,$N314)</f>
        <v>5.87465</v>
      </c>
      <c r="T314" s="32" t="n">
        <f aca="false">K314*INDEX('Tabela Passaro'!$N$2:$N$1795,$N314)</f>
        <v>2.34986</v>
      </c>
      <c r="U314" s="32" t="n">
        <f aca="false">INDEX('Tabela Passaro'!$O$2:$O$1795,$N314)</f>
        <v>5</v>
      </c>
      <c r="V314" s="32" t="n">
        <f aca="false">ROUNDUP(J314/INDEX('Tabela Passaro'!$Q$2:$Q$1795,$N314),0)*INDEX('Tabela Passaro'!$P$2:$P$1795,$N314)</f>
        <v>5</v>
      </c>
      <c r="W314" s="32" t="n">
        <f aca="false">INDEX('Tabela Passaro'!$R$2:$R$1795,$N314)</f>
        <v>30</v>
      </c>
      <c r="X314" s="32" t="n">
        <f aca="false">ROUNDUP(J314/INDEX('Tabela Passaro'!$T$2:$T$1795,$N314),0)*INDEX('Tabela Passaro'!$S$2:$S$1795,$N314)</f>
        <v>0</v>
      </c>
      <c r="Y314" s="32" t="n">
        <f aca="false">INDEX('Tabela Passaro'!$U$2:$U$1795,$N314)</f>
        <v>0</v>
      </c>
      <c r="Z314" s="32" t="n">
        <f aca="false">INDEX('Tabela Passaro'!$V$2:$V$1795,$N314)</f>
        <v>0</v>
      </c>
      <c r="AA314" s="32" t="n">
        <f aca="false">SUM(R314:Z314)</f>
        <v>133.18451</v>
      </c>
      <c r="AB314" s="33" t="n">
        <f aca="false">INDEX(Premissas!$B$5:$B$13,MATCH(A314,Premissas!$A$5:$A$13,0))</f>
        <v>0.07</v>
      </c>
      <c r="AC314" s="32" t="n">
        <f aca="false">AA314/(1-AB314)-AA314</f>
        <v>10.0246405376344</v>
      </c>
      <c r="AD314" s="32" t="n">
        <f aca="false">ROUND(AA314+AC314,2)</f>
        <v>143.21</v>
      </c>
      <c r="AE314" s="32" t="n">
        <f aca="false">AD314-L314</f>
        <v>-110.68</v>
      </c>
      <c r="AF314" s="34" t="n">
        <f aca="false">IF(L314=0,0,AE314/L314)</f>
        <v>-0.435936823033597</v>
      </c>
      <c r="AG314" s="22" t="str">
        <f aca="false">IF(AD314&lt;L314,"PASSARO","ATUAL")</f>
        <v>PASSARO</v>
      </c>
      <c r="AH314" s="22" t="str">
        <f aca="false">IF(P314&lt;&gt;A314,"Faixa cadastrada como "&amp;P314&amp;" na tabela; preço aplicado pela UF do CEP","")</f>
        <v/>
      </c>
      <c r="AI314" s="26" t="n">
        <v>189.86</v>
      </c>
      <c r="AJ314" s="22" t="str">
        <f aca="false">INDEX('Tabela Passaro'!$X$2:$X$1795,$N314)</f>
        <v>CAPITAL</v>
      </c>
    </row>
    <row r="315" customFormat="false" ht="15" hidden="false" customHeight="false" outlineLevel="0" collapsed="false">
      <c r="A315" s="22" t="s">
        <v>16</v>
      </c>
      <c r="B315" s="22" t="n">
        <v>1</v>
      </c>
      <c r="C315" s="22" t="s">
        <v>75</v>
      </c>
      <c r="D315" s="22" t="s">
        <v>30</v>
      </c>
      <c r="E315" s="22" t="s">
        <v>7326</v>
      </c>
      <c r="F315" s="22" t="n">
        <v>526092</v>
      </c>
      <c r="G315" s="30" t="n">
        <v>46253</v>
      </c>
      <c r="H315" s="22" t="n">
        <v>626777</v>
      </c>
      <c r="I315" s="22" t="s">
        <v>7610</v>
      </c>
      <c r="J315" s="31" t="n">
        <v>33.98</v>
      </c>
      <c r="K315" s="26" t="n">
        <v>869.98</v>
      </c>
      <c r="L315" s="26" t="n">
        <v>165.08</v>
      </c>
      <c r="M315" s="22" t="s">
        <v>694</v>
      </c>
      <c r="N315" s="22" t="n">
        <f aca="false">MATCH(M315,'Tabela Passaro'!$A$2:$A$1795,0)</f>
        <v>106</v>
      </c>
      <c r="O315" s="22" t="str">
        <f aca="false">INDEX('Tabela Passaro'!$C$2:$C$1795,$N315)</f>
        <v>SALVADOR</v>
      </c>
      <c r="P315" s="22" t="str">
        <f aca="false">INDEX('Tabela Passaro'!$B$2:$B$1795,$N315)</f>
        <v>BA</v>
      </c>
      <c r="Q315" s="22" t="n">
        <f aca="false">INDEX('Tabela Passaro'!$F$2:$F$1795,$N315)</f>
        <v>6</v>
      </c>
      <c r="R315" s="32" t="n">
        <f aca="false">IF(J315&lt;=10,INDEX('Tabela Passaro'!$G$2:$G$1795,$N315),IF(J315&lt;=30,INDEX('Tabela Passaro'!$H$2:$H$1795,$N315),IF(J315&lt;=50,INDEX('Tabela Passaro'!$I$2:$I$1795,$N315),IF(J315&lt;=70,INDEX('Tabela Passaro'!$J$2:$J$1795,$N315),IF(J315&lt;=100,INDEX('Tabela Passaro'!$K$2:$K$1795,$N315),INDEX('Tabela Passaro'!$K$2:$K$1795,$N315)+(J315-100)*INDEX('Tabela Passaro'!$L$2:$L$1795,$N315))))))</f>
        <v>61.92</v>
      </c>
      <c r="S315" s="32" t="n">
        <f aca="false">K315*INDEX('Tabela Passaro'!$M$2:$M$1795,$N315)</f>
        <v>4.3499</v>
      </c>
      <c r="T315" s="32" t="n">
        <f aca="false">K315*INDEX('Tabela Passaro'!$N$2:$N$1795,$N315)</f>
        <v>1.73996</v>
      </c>
      <c r="U315" s="32" t="n">
        <f aca="false">INDEX('Tabela Passaro'!$O$2:$O$1795,$N315)</f>
        <v>5</v>
      </c>
      <c r="V315" s="32" t="n">
        <f aca="false">ROUNDUP(J315/INDEX('Tabela Passaro'!$Q$2:$Q$1795,$N315),0)*INDEX('Tabela Passaro'!$P$2:$P$1795,$N315)</f>
        <v>5</v>
      </c>
      <c r="W315" s="32" t="n">
        <f aca="false">INDEX('Tabela Passaro'!$R$2:$R$1795,$N315)</f>
        <v>30</v>
      </c>
      <c r="X315" s="32" t="n">
        <f aca="false">ROUNDUP(J315/INDEX('Tabela Passaro'!$T$2:$T$1795,$N315),0)*INDEX('Tabela Passaro'!$S$2:$S$1795,$N315)</f>
        <v>0</v>
      </c>
      <c r="Y315" s="32" t="n">
        <f aca="false">INDEX('Tabela Passaro'!$U$2:$U$1795,$N315)</f>
        <v>0</v>
      </c>
      <c r="Z315" s="32" t="n">
        <f aca="false">INDEX('Tabela Passaro'!$V$2:$V$1795,$N315)</f>
        <v>0</v>
      </c>
      <c r="AA315" s="32" t="n">
        <f aca="false">SUM(R315:Z315)</f>
        <v>108.00986</v>
      </c>
      <c r="AB315" s="33" t="n">
        <f aca="false">INDEX(Premissas!$B$5:$B$13,MATCH(A315,Premissas!$A$5:$A$13,0))</f>
        <v>0.07</v>
      </c>
      <c r="AC315" s="32" t="n">
        <f aca="false">AA315/(1-AB315)-AA315</f>
        <v>8.12977440860216</v>
      </c>
      <c r="AD315" s="32" t="n">
        <f aca="false">ROUND(AA315+AC315,2)</f>
        <v>116.14</v>
      </c>
      <c r="AE315" s="32" t="n">
        <f aca="false">AD315-L315</f>
        <v>-48.94</v>
      </c>
      <c r="AF315" s="34" t="n">
        <f aca="false">IF(L315=0,0,AE315/L315)</f>
        <v>-0.296462321298764</v>
      </c>
      <c r="AG315" s="22" t="str">
        <f aca="false">IF(AD315&lt;L315,"PASSARO","ATUAL")</f>
        <v>PASSARO</v>
      </c>
      <c r="AH315" s="22" t="str">
        <f aca="false">IF(P315&lt;&gt;A315,"Faixa cadastrada como "&amp;P315&amp;" na tabela; preço aplicado pela UF do CEP","")</f>
        <v/>
      </c>
      <c r="AI315" s="26" t="n">
        <v>140.58</v>
      </c>
      <c r="AJ315" s="22" t="str">
        <f aca="false">INDEX('Tabela Passaro'!$X$2:$X$1795,$N315)</f>
        <v>CAPITAL</v>
      </c>
    </row>
    <row r="316" customFormat="false" ht="15" hidden="false" customHeight="false" outlineLevel="0" collapsed="false">
      <c r="A316" s="22" t="s">
        <v>16</v>
      </c>
      <c r="B316" s="22" t="n">
        <v>1</v>
      </c>
      <c r="C316" s="22" t="s">
        <v>75</v>
      </c>
      <c r="D316" s="22" t="s">
        <v>30</v>
      </c>
      <c r="E316" s="22" t="s">
        <v>7326</v>
      </c>
      <c r="F316" s="22" t="n">
        <v>526107</v>
      </c>
      <c r="G316" s="30" t="n">
        <v>46253</v>
      </c>
      <c r="H316" s="22" t="n">
        <v>627005</v>
      </c>
      <c r="I316" s="22" t="s">
        <v>7611</v>
      </c>
      <c r="J316" s="31" t="n">
        <v>65.7</v>
      </c>
      <c r="K316" s="26" t="n">
        <v>919.39</v>
      </c>
      <c r="L316" s="26" t="n">
        <v>197.27</v>
      </c>
      <c r="M316" s="22" t="s">
        <v>694</v>
      </c>
      <c r="N316" s="22" t="n">
        <f aca="false">MATCH(M316,'Tabela Passaro'!$A$2:$A$1795,0)</f>
        <v>106</v>
      </c>
      <c r="O316" s="22" t="str">
        <f aca="false">INDEX('Tabela Passaro'!$C$2:$C$1795,$N316)</f>
        <v>SALVADOR</v>
      </c>
      <c r="P316" s="22" t="str">
        <f aca="false">INDEX('Tabela Passaro'!$B$2:$B$1795,$N316)</f>
        <v>BA</v>
      </c>
      <c r="Q316" s="22" t="n">
        <f aca="false">INDEX('Tabela Passaro'!$F$2:$F$1795,$N316)</f>
        <v>6</v>
      </c>
      <c r="R316" s="32" t="n">
        <f aca="false">IF(J316&lt;=10,INDEX('Tabela Passaro'!$G$2:$G$1795,$N316),IF(J316&lt;=30,INDEX('Tabela Passaro'!$H$2:$H$1795,$N316),IF(J316&lt;=50,INDEX('Tabela Passaro'!$I$2:$I$1795,$N316),IF(J316&lt;=70,INDEX('Tabela Passaro'!$J$2:$J$1795,$N316),IF(J316&lt;=100,INDEX('Tabela Passaro'!$K$2:$K$1795,$N316),INDEX('Tabela Passaro'!$K$2:$K$1795,$N316)+(J316-100)*INDEX('Tabela Passaro'!$L$2:$L$1795,$N316))))))</f>
        <v>73.44</v>
      </c>
      <c r="S316" s="32" t="n">
        <f aca="false">K316*INDEX('Tabela Passaro'!$M$2:$M$1795,$N316)</f>
        <v>4.59695</v>
      </c>
      <c r="T316" s="32" t="n">
        <f aca="false">K316*INDEX('Tabela Passaro'!$N$2:$N$1795,$N316)</f>
        <v>1.83878</v>
      </c>
      <c r="U316" s="32" t="n">
        <f aca="false">INDEX('Tabela Passaro'!$O$2:$O$1795,$N316)</f>
        <v>5</v>
      </c>
      <c r="V316" s="32" t="n">
        <f aca="false">ROUNDUP(J316/INDEX('Tabela Passaro'!$Q$2:$Q$1795,$N316),0)*INDEX('Tabela Passaro'!$P$2:$P$1795,$N316)</f>
        <v>5</v>
      </c>
      <c r="W316" s="32" t="n">
        <f aca="false">INDEX('Tabela Passaro'!$R$2:$R$1795,$N316)</f>
        <v>30</v>
      </c>
      <c r="X316" s="32" t="n">
        <f aca="false">ROUNDUP(J316/INDEX('Tabela Passaro'!$T$2:$T$1795,$N316),0)*INDEX('Tabela Passaro'!$S$2:$S$1795,$N316)</f>
        <v>0</v>
      </c>
      <c r="Y316" s="32" t="n">
        <f aca="false">INDEX('Tabela Passaro'!$U$2:$U$1795,$N316)</f>
        <v>0</v>
      </c>
      <c r="Z316" s="32" t="n">
        <f aca="false">INDEX('Tabela Passaro'!$V$2:$V$1795,$N316)</f>
        <v>0</v>
      </c>
      <c r="AA316" s="32" t="n">
        <f aca="false">SUM(R316:Z316)</f>
        <v>119.87573</v>
      </c>
      <c r="AB316" s="33" t="n">
        <f aca="false">INDEX(Premissas!$B$5:$B$13,MATCH(A316,Premissas!$A$5:$A$13,0))</f>
        <v>0.07</v>
      </c>
      <c r="AC316" s="32" t="n">
        <f aca="false">AA316/(1-AB316)-AA316</f>
        <v>9.02290440860216</v>
      </c>
      <c r="AD316" s="32" t="n">
        <f aca="false">ROUND(AA316+AC316,2)</f>
        <v>128.9</v>
      </c>
      <c r="AE316" s="32" t="n">
        <f aca="false">AD316-L316</f>
        <v>-68.37</v>
      </c>
      <c r="AF316" s="34" t="n">
        <f aca="false">IF(L316=0,0,AE316/L316)</f>
        <v>-0.346580828306382</v>
      </c>
      <c r="AG316" s="22" t="str">
        <f aca="false">IF(AD316&lt;L316,"PASSARO","ATUAL")</f>
        <v>PASSARO</v>
      </c>
      <c r="AH316" s="22" t="str">
        <f aca="false">IF(P316&lt;&gt;A316,"Faixa cadastrada como "&amp;P316&amp;" na tabela; preço aplicado pela UF do CEP","")</f>
        <v/>
      </c>
      <c r="AI316" s="26" t="n">
        <v>169.07</v>
      </c>
      <c r="AJ316" s="22" t="str">
        <f aca="false">INDEX('Tabela Passaro'!$X$2:$X$1795,$N316)</f>
        <v>CAPITAL</v>
      </c>
    </row>
    <row r="317" customFormat="false" ht="15" hidden="false" customHeight="false" outlineLevel="0" collapsed="false">
      <c r="A317" s="22" t="s">
        <v>16</v>
      </c>
      <c r="B317" s="22" t="n">
        <v>1</v>
      </c>
      <c r="C317" s="22" t="s">
        <v>75</v>
      </c>
      <c r="D317" s="22" t="s">
        <v>30</v>
      </c>
      <c r="E317" s="22" t="s">
        <v>7326</v>
      </c>
      <c r="F317" s="22" t="n">
        <v>526137</v>
      </c>
      <c r="G317" s="30" t="n">
        <v>46253</v>
      </c>
      <c r="H317" s="22" t="n">
        <v>627149</v>
      </c>
      <c r="I317" s="22" t="s">
        <v>7612</v>
      </c>
      <c r="J317" s="31" t="n">
        <v>69.11</v>
      </c>
      <c r="K317" s="26" t="n">
        <v>1089.98</v>
      </c>
      <c r="L317" s="26" t="n">
        <v>198.71</v>
      </c>
      <c r="M317" s="22" t="s">
        <v>694</v>
      </c>
      <c r="N317" s="22" t="n">
        <f aca="false">MATCH(M317,'Tabela Passaro'!$A$2:$A$1795,0)</f>
        <v>106</v>
      </c>
      <c r="O317" s="22" t="str">
        <f aca="false">INDEX('Tabela Passaro'!$C$2:$C$1795,$N317)</f>
        <v>SALVADOR</v>
      </c>
      <c r="P317" s="22" t="str">
        <f aca="false">INDEX('Tabela Passaro'!$B$2:$B$1795,$N317)</f>
        <v>BA</v>
      </c>
      <c r="Q317" s="22" t="n">
        <f aca="false">INDEX('Tabela Passaro'!$F$2:$F$1795,$N317)</f>
        <v>6</v>
      </c>
      <c r="R317" s="32" t="n">
        <f aca="false">IF(J317&lt;=10,INDEX('Tabela Passaro'!$G$2:$G$1795,$N317),IF(J317&lt;=30,INDEX('Tabela Passaro'!$H$2:$H$1795,$N317),IF(J317&lt;=50,INDEX('Tabela Passaro'!$I$2:$I$1795,$N317),IF(J317&lt;=70,INDEX('Tabela Passaro'!$J$2:$J$1795,$N317),IF(J317&lt;=100,INDEX('Tabela Passaro'!$K$2:$K$1795,$N317),INDEX('Tabela Passaro'!$K$2:$K$1795,$N317)+(J317-100)*INDEX('Tabela Passaro'!$L$2:$L$1795,$N317))))))</f>
        <v>73.44</v>
      </c>
      <c r="S317" s="32" t="n">
        <f aca="false">K317*INDEX('Tabela Passaro'!$M$2:$M$1795,$N317)</f>
        <v>5.4499</v>
      </c>
      <c r="T317" s="32" t="n">
        <f aca="false">K317*INDEX('Tabela Passaro'!$N$2:$N$1795,$N317)</f>
        <v>2.17996</v>
      </c>
      <c r="U317" s="32" t="n">
        <f aca="false">INDEX('Tabela Passaro'!$O$2:$O$1795,$N317)</f>
        <v>5</v>
      </c>
      <c r="V317" s="32" t="n">
        <f aca="false">ROUNDUP(J317/INDEX('Tabela Passaro'!$Q$2:$Q$1795,$N317),0)*INDEX('Tabela Passaro'!$P$2:$P$1795,$N317)</f>
        <v>5</v>
      </c>
      <c r="W317" s="32" t="n">
        <f aca="false">INDEX('Tabela Passaro'!$R$2:$R$1795,$N317)</f>
        <v>30</v>
      </c>
      <c r="X317" s="32" t="n">
        <f aca="false">ROUNDUP(J317/INDEX('Tabela Passaro'!$T$2:$T$1795,$N317),0)*INDEX('Tabela Passaro'!$S$2:$S$1795,$N317)</f>
        <v>0</v>
      </c>
      <c r="Y317" s="32" t="n">
        <f aca="false">INDEX('Tabela Passaro'!$U$2:$U$1795,$N317)</f>
        <v>0</v>
      </c>
      <c r="Z317" s="32" t="n">
        <f aca="false">INDEX('Tabela Passaro'!$V$2:$V$1795,$N317)</f>
        <v>0</v>
      </c>
      <c r="AA317" s="32" t="n">
        <f aca="false">SUM(R317:Z317)</f>
        <v>121.06986</v>
      </c>
      <c r="AB317" s="33" t="n">
        <f aca="false">INDEX(Premissas!$B$5:$B$13,MATCH(A317,Premissas!$A$5:$A$13,0))</f>
        <v>0.07</v>
      </c>
      <c r="AC317" s="32" t="n">
        <f aca="false">AA317/(1-AB317)-AA317</f>
        <v>9.11278516129032</v>
      </c>
      <c r="AD317" s="32" t="n">
        <f aca="false">ROUND(AA317+AC317,2)</f>
        <v>130.18</v>
      </c>
      <c r="AE317" s="32" t="n">
        <f aca="false">AD317-L317</f>
        <v>-68.53</v>
      </c>
      <c r="AF317" s="34" t="n">
        <f aca="false">IF(L317=0,0,AE317/L317)</f>
        <v>-0.344874440138896</v>
      </c>
      <c r="AG317" s="22" t="str">
        <f aca="false">IF(AD317&lt;L317,"PASSARO","ATUAL")</f>
        <v>PASSARO</v>
      </c>
      <c r="AH317" s="22" t="str">
        <f aca="false">IF(P317&lt;&gt;A317,"Faixa cadastrada como "&amp;P317&amp;" na tabela; preço aplicado pela UF do CEP","")</f>
        <v/>
      </c>
      <c r="AI317" s="26" t="n">
        <v>172.66</v>
      </c>
      <c r="AJ317" s="22" t="str">
        <f aca="false">INDEX('Tabela Passaro'!$X$2:$X$1795,$N317)</f>
        <v>CAPITAL</v>
      </c>
    </row>
    <row r="318" customFormat="false" ht="15" hidden="false" customHeight="false" outlineLevel="0" collapsed="false">
      <c r="A318" s="22" t="s">
        <v>16</v>
      </c>
      <c r="B318" s="22" t="n">
        <v>1</v>
      </c>
      <c r="C318" s="22" t="s">
        <v>75</v>
      </c>
      <c r="D318" s="22" t="s">
        <v>30</v>
      </c>
      <c r="E318" s="22" t="s">
        <v>7326</v>
      </c>
      <c r="F318" s="22" t="n">
        <v>526149</v>
      </c>
      <c r="G318" s="30" t="n">
        <v>46253</v>
      </c>
      <c r="H318" s="22" t="n">
        <v>627161</v>
      </c>
      <c r="I318" s="22" t="s">
        <v>7613</v>
      </c>
      <c r="J318" s="31" t="n">
        <v>151</v>
      </c>
      <c r="K318" s="26" t="n">
        <v>2307.99</v>
      </c>
      <c r="L318" s="26" t="n">
        <v>364.49</v>
      </c>
      <c r="M318" s="22" t="s">
        <v>694</v>
      </c>
      <c r="N318" s="22" t="n">
        <f aca="false">MATCH(M318,'Tabela Passaro'!$A$2:$A$1795,0)</f>
        <v>106</v>
      </c>
      <c r="O318" s="22" t="str">
        <f aca="false">INDEX('Tabela Passaro'!$C$2:$C$1795,$N318)</f>
        <v>SALVADOR</v>
      </c>
      <c r="P318" s="22" t="str">
        <f aca="false">INDEX('Tabela Passaro'!$B$2:$B$1795,$N318)</f>
        <v>BA</v>
      </c>
      <c r="Q318" s="22" t="n">
        <f aca="false">INDEX('Tabela Passaro'!$F$2:$F$1795,$N318)</f>
        <v>6</v>
      </c>
      <c r="R318" s="32" t="n">
        <f aca="false">IF(J318&lt;=10,INDEX('Tabela Passaro'!$G$2:$G$1795,$N318),IF(J318&lt;=30,INDEX('Tabela Passaro'!$H$2:$H$1795,$N318),IF(J318&lt;=50,INDEX('Tabela Passaro'!$I$2:$I$1795,$N318),IF(J318&lt;=70,INDEX('Tabela Passaro'!$J$2:$J$1795,$N318),IF(J318&lt;=100,INDEX('Tabela Passaro'!$K$2:$K$1795,$N318),INDEX('Tabela Passaro'!$K$2:$K$1795,$N318)+(J318-100)*INDEX('Tabela Passaro'!$L$2:$L$1795,$N318))))))</f>
        <v>144.12</v>
      </c>
      <c r="S318" s="32" t="n">
        <f aca="false">K318*INDEX('Tabela Passaro'!$M$2:$M$1795,$N318)</f>
        <v>11.53995</v>
      </c>
      <c r="T318" s="32" t="n">
        <f aca="false">K318*INDEX('Tabela Passaro'!$N$2:$N$1795,$N318)</f>
        <v>4.61598</v>
      </c>
      <c r="U318" s="32" t="n">
        <f aca="false">INDEX('Tabela Passaro'!$O$2:$O$1795,$N318)</f>
        <v>5</v>
      </c>
      <c r="V318" s="32" t="n">
        <f aca="false">ROUNDUP(J318/INDEX('Tabela Passaro'!$Q$2:$Q$1795,$N318),0)*INDEX('Tabela Passaro'!$P$2:$P$1795,$N318)</f>
        <v>10</v>
      </c>
      <c r="W318" s="32" t="n">
        <f aca="false">INDEX('Tabela Passaro'!$R$2:$R$1795,$N318)</f>
        <v>30</v>
      </c>
      <c r="X318" s="32" t="n">
        <f aca="false">ROUNDUP(J318/INDEX('Tabela Passaro'!$T$2:$T$1795,$N318),0)*INDEX('Tabela Passaro'!$S$2:$S$1795,$N318)</f>
        <v>0</v>
      </c>
      <c r="Y318" s="32" t="n">
        <f aca="false">INDEX('Tabela Passaro'!$U$2:$U$1795,$N318)</f>
        <v>0</v>
      </c>
      <c r="Z318" s="32" t="n">
        <f aca="false">INDEX('Tabela Passaro'!$V$2:$V$1795,$N318)</f>
        <v>0</v>
      </c>
      <c r="AA318" s="32" t="n">
        <f aca="false">SUM(R318:Z318)</f>
        <v>205.27593</v>
      </c>
      <c r="AB318" s="33" t="n">
        <f aca="false">INDEX(Premissas!$B$5:$B$13,MATCH(A318,Premissas!$A$5:$A$13,0))</f>
        <v>0.07</v>
      </c>
      <c r="AC318" s="32" t="n">
        <f aca="false">AA318/(1-AB318)-AA318</f>
        <v>15.4508764516129</v>
      </c>
      <c r="AD318" s="32" t="n">
        <f aca="false">ROUND(AA318+AC318,2)</f>
        <v>220.73</v>
      </c>
      <c r="AE318" s="32" t="n">
        <f aca="false">AD318-L318</f>
        <v>-143.76</v>
      </c>
      <c r="AF318" s="34" t="n">
        <f aca="false">IF(L318=0,0,AE318/L318)</f>
        <v>-0.394414112870038</v>
      </c>
      <c r="AG318" s="22" t="str">
        <f aca="false">IF(AD318&lt;L318,"PASSARO","ATUAL")</f>
        <v>PASSARO</v>
      </c>
      <c r="AH318" s="22" t="str">
        <f aca="false">IF(P318&lt;&gt;A318,"Faixa cadastrada como "&amp;P318&amp;" na tabela; preço aplicado pela UF do CEP","")</f>
        <v/>
      </c>
      <c r="AI318" s="26" t="n">
        <v>313.37</v>
      </c>
      <c r="AJ318" s="22" t="str">
        <f aca="false">INDEX('Tabela Passaro'!$X$2:$X$1795,$N318)</f>
        <v>CAPITAL</v>
      </c>
    </row>
    <row r="319" customFormat="false" ht="15" hidden="false" customHeight="false" outlineLevel="0" collapsed="false">
      <c r="A319" s="22" t="s">
        <v>16</v>
      </c>
      <c r="B319" s="22" t="n">
        <v>1</v>
      </c>
      <c r="C319" s="22" t="s">
        <v>75</v>
      </c>
      <c r="D319" s="22" t="s">
        <v>30</v>
      </c>
      <c r="E319" s="22" t="s">
        <v>7326</v>
      </c>
      <c r="F319" s="22" t="n">
        <v>526157</v>
      </c>
      <c r="G319" s="30" t="n">
        <v>46253</v>
      </c>
      <c r="H319" s="22" t="n">
        <v>627342</v>
      </c>
      <c r="I319" s="22" t="s">
        <v>7614</v>
      </c>
      <c r="J319" s="31" t="n">
        <v>73.1</v>
      </c>
      <c r="K319" s="26" t="n">
        <v>1196.91</v>
      </c>
      <c r="L319" s="26" t="n">
        <v>254.08</v>
      </c>
      <c r="M319" s="22" t="s">
        <v>694</v>
      </c>
      <c r="N319" s="22" t="n">
        <f aca="false">MATCH(M319,'Tabela Passaro'!$A$2:$A$1795,0)</f>
        <v>106</v>
      </c>
      <c r="O319" s="22" t="str">
        <f aca="false">INDEX('Tabela Passaro'!$C$2:$C$1795,$N319)</f>
        <v>SALVADOR</v>
      </c>
      <c r="P319" s="22" t="str">
        <f aca="false">INDEX('Tabela Passaro'!$B$2:$B$1795,$N319)</f>
        <v>BA</v>
      </c>
      <c r="Q319" s="22" t="n">
        <f aca="false">INDEX('Tabela Passaro'!$F$2:$F$1795,$N319)</f>
        <v>6</v>
      </c>
      <c r="R319" s="32" t="n">
        <f aca="false">IF(J319&lt;=10,INDEX('Tabela Passaro'!$G$2:$G$1795,$N319),IF(J319&lt;=30,INDEX('Tabela Passaro'!$H$2:$H$1795,$N319),IF(J319&lt;=50,INDEX('Tabela Passaro'!$I$2:$I$1795,$N319),IF(J319&lt;=70,INDEX('Tabela Passaro'!$J$2:$J$1795,$N319),IF(J319&lt;=100,INDEX('Tabela Passaro'!$K$2:$K$1795,$N319),INDEX('Tabela Passaro'!$K$2:$K$1795,$N319)+(J319-100)*INDEX('Tabela Passaro'!$L$2:$L$1795,$N319))))))</f>
        <v>84.96</v>
      </c>
      <c r="S319" s="32" t="n">
        <f aca="false">K319*INDEX('Tabela Passaro'!$M$2:$M$1795,$N319)</f>
        <v>5.98455</v>
      </c>
      <c r="T319" s="32" t="n">
        <f aca="false">K319*INDEX('Tabela Passaro'!$N$2:$N$1795,$N319)</f>
        <v>2.39382</v>
      </c>
      <c r="U319" s="32" t="n">
        <f aca="false">INDEX('Tabela Passaro'!$O$2:$O$1795,$N319)</f>
        <v>5</v>
      </c>
      <c r="V319" s="32" t="n">
        <f aca="false">ROUNDUP(J319/INDEX('Tabela Passaro'!$Q$2:$Q$1795,$N319),0)*INDEX('Tabela Passaro'!$P$2:$P$1795,$N319)</f>
        <v>5</v>
      </c>
      <c r="W319" s="32" t="n">
        <f aca="false">INDEX('Tabela Passaro'!$R$2:$R$1795,$N319)</f>
        <v>30</v>
      </c>
      <c r="X319" s="32" t="n">
        <f aca="false">ROUNDUP(J319/INDEX('Tabela Passaro'!$T$2:$T$1795,$N319),0)*INDEX('Tabela Passaro'!$S$2:$S$1795,$N319)</f>
        <v>0</v>
      </c>
      <c r="Y319" s="32" t="n">
        <f aca="false">INDEX('Tabela Passaro'!$U$2:$U$1795,$N319)</f>
        <v>0</v>
      </c>
      <c r="Z319" s="32" t="n">
        <f aca="false">INDEX('Tabela Passaro'!$V$2:$V$1795,$N319)</f>
        <v>0</v>
      </c>
      <c r="AA319" s="32" t="n">
        <f aca="false">SUM(R319:Z319)</f>
        <v>133.33837</v>
      </c>
      <c r="AB319" s="33" t="n">
        <f aca="false">INDEX(Premissas!$B$5:$B$13,MATCH(A319,Premissas!$A$5:$A$13,0))</f>
        <v>0.07</v>
      </c>
      <c r="AC319" s="32" t="n">
        <f aca="false">AA319/(1-AB319)-AA319</f>
        <v>10.0362213978495</v>
      </c>
      <c r="AD319" s="32" t="n">
        <f aca="false">ROUND(AA319+AC319,2)</f>
        <v>143.37</v>
      </c>
      <c r="AE319" s="32" t="n">
        <f aca="false">AD319-L319</f>
        <v>-110.71</v>
      </c>
      <c r="AF319" s="34" t="n">
        <f aca="false">IF(L319=0,0,AE319/L319)</f>
        <v>-0.435728904282116</v>
      </c>
      <c r="AG319" s="22" t="str">
        <f aca="false">IF(AD319&lt;L319,"PASSARO","ATUAL")</f>
        <v>PASSARO</v>
      </c>
      <c r="AH319" s="22" t="str">
        <f aca="false">IF(P319&lt;&gt;A319,"Faixa cadastrada como "&amp;P319&amp;" na tabela; preço aplicado pela UF do CEP","")</f>
        <v/>
      </c>
      <c r="AI319" s="26" t="n">
        <v>188.14</v>
      </c>
      <c r="AJ319" s="22" t="str">
        <f aca="false">INDEX('Tabela Passaro'!$X$2:$X$1795,$N319)</f>
        <v>CAPITAL</v>
      </c>
    </row>
    <row r="320" customFormat="false" ht="15" hidden="false" customHeight="false" outlineLevel="0" collapsed="false">
      <c r="A320" s="22" t="s">
        <v>16</v>
      </c>
      <c r="B320" s="22" t="n">
        <v>1</v>
      </c>
      <c r="C320" s="22" t="s">
        <v>75</v>
      </c>
      <c r="D320" s="22" t="s">
        <v>30</v>
      </c>
      <c r="E320" s="22" t="s">
        <v>7326</v>
      </c>
      <c r="F320" s="22" t="n">
        <v>526161</v>
      </c>
      <c r="G320" s="30" t="n">
        <v>46253</v>
      </c>
      <c r="H320" s="22" t="n">
        <v>627346</v>
      </c>
      <c r="I320" s="22" t="s">
        <v>7615</v>
      </c>
      <c r="J320" s="31" t="n">
        <v>73.1</v>
      </c>
      <c r="K320" s="26" t="n">
        <v>1273.93</v>
      </c>
      <c r="L320" s="26" t="n">
        <v>254.73</v>
      </c>
      <c r="M320" s="22" t="s">
        <v>694</v>
      </c>
      <c r="N320" s="22" t="n">
        <f aca="false">MATCH(M320,'Tabela Passaro'!$A$2:$A$1795,0)</f>
        <v>106</v>
      </c>
      <c r="O320" s="22" t="str">
        <f aca="false">INDEX('Tabela Passaro'!$C$2:$C$1795,$N320)</f>
        <v>SALVADOR</v>
      </c>
      <c r="P320" s="22" t="str">
        <f aca="false">INDEX('Tabela Passaro'!$B$2:$B$1795,$N320)</f>
        <v>BA</v>
      </c>
      <c r="Q320" s="22" t="n">
        <f aca="false">INDEX('Tabela Passaro'!$F$2:$F$1795,$N320)</f>
        <v>6</v>
      </c>
      <c r="R320" s="32" t="n">
        <f aca="false">IF(J320&lt;=10,INDEX('Tabela Passaro'!$G$2:$G$1795,$N320),IF(J320&lt;=30,INDEX('Tabela Passaro'!$H$2:$H$1795,$N320),IF(J320&lt;=50,INDEX('Tabela Passaro'!$I$2:$I$1795,$N320),IF(J320&lt;=70,INDEX('Tabela Passaro'!$J$2:$J$1795,$N320),IF(J320&lt;=100,INDEX('Tabela Passaro'!$K$2:$K$1795,$N320),INDEX('Tabela Passaro'!$K$2:$K$1795,$N320)+(J320-100)*INDEX('Tabela Passaro'!$L$2:$L$1795,$N320))))))</f>
        <v>84.96</v>
      </c>
      <c r="S320" s="32" t="n">
        <f aca="false">K320*INDEX('Tabela Passaro'!$M$2:$M$1795,$N320)</f>
        <v>6.36965</v>
      </c>
      <c r="T320" s="32" t="n">
        <f aca="false">K320*INDEX('Tabela Passaro'!$N$2:$N$1795,$N320)</f>
        <v>2.54786</v>
      </c>
      <c r="U320" s="32" t="n">
        <f aca="false">INDEX('Tabela Passaro'!$O$2:$O$1795,$N320)</f>
        <v>5</v>
      </c>
      <c r="V320" s="32" t="n">
        <f aca="false">ROUNDUP(J320/INDEX('Tabela Passaro'!$Q$2:$Q$1795,$N320),0)*INDEX('Tabela Passaro'!$P$2:$P$1795,$N320)</f>
        <v>5</v>
      </c>
      <c r="W320" s="32" t="n">
        <f aca="false">INDEX('Tabela Passaro'!$R$2:$R$1795,$N320)</f>
        <v>30</v>
      </c>
      <c r="X320" s="32" t="n">
        <f aca="false">ROUNDUP(J320/INDEX('Tabela Passaro'!$T$2:$T$1795,$N320),0)*INDEX('Tabela Passaro'!$S$2:$S$1795,$N320)</f>
        <v>0</v>
      </c>
      <c r="Y320" s="32" t="n">
        <f aca="false">INDEX('Tabela Passaro'!$U$2:$U$1795,$N320)</f>
        <v>0</v>
      </c>
      <c r="Z320" s="32" t="n">
        <f aca="false">INDEX('Tabela Passaro'!$V$2:$V$1795,$N320)</f>
        <v>0</v>
      </c>
      <c r="AA320" s="32" t="n">
        <f aca="false">SUM(R320:Z320)</f>
        <v>133.87751</v>
      </c>
      <c r="AB320" s="33" t="n">
        <f aca="false">INDEX(Premissas!$B$5:$B$13,MATCH(A320,Premissas!$A$5:$A$13,0))</f>
        <v>0.07</v>
      </c>
      <c r="AC320" s="32" t="n">
        <f aca="false">AA320/(1-AB320)-AA320</f>
        <v>10.076801827957</v>
      </c>
      <c r="AD320" s="32" t="n">
        <f aca="false">ROUND(AA320+AC320,2)</f>
        <v>143.95</v>
      </c>
      <c r="AE320" s="32" t="n">
        <f aca="false">AD320-L320</f>
        <v>-110.78</v>
      </c>
      <c r="AF320" s="34" t="n">
        <f aca="false">IF(L320=0,0,AE320/L320)</f>
        <v>-0.434891846268598</v>
      </c>
      <c r="AG320" s="22" t="str">
        <f aca="false">IF(AD320&lt;L320,"PASSARO","ATUAL")</f>
        <v>PASSARO</v>
      </c>
      <c r="AH320" s="22" t="str">
        <f aca="false">IF(P320&lt;&gt;A320,"Faixa cadastrada como "&amp;P320&amp;" na tabela; preço aplicado pela UF do CEP","")</f>
        <v/>
      </c>
      <c r="AI320" s="26" t="n">
        <v>188.89</v>
      </c>
      <c r="AJ320" s="22" t="str">
        <f aca="false">INDEX('Tabela Passaro'!$X$2:$X$1795,$N320)</f>
        <v>CAPITAL</v>
      </c>
    </row>
    <row r="321" customFormat="false" ht="15" hidden="false" customHeight="false" outlineLevel="0" collapsed="false">
      <c r="A321" s="22" t="s">
        <v>16</v>
      </c>
      <c r="B321" s="22" t="n">
        <v>1</v>
      </c>
      <c r="C321" s="22" t="s">
        <v>75</v>
      </c>
      <c r="D321" s="22" t="s">
        <v>30</v>
      </c>
      <c r="E321" s="22" t="s">
        <v>7326</v>
      </c>
      <c r="F321" s="22" t="n">
        <v>526162</v>
      </c>
      <c r="G321" s="30" t="n">
        <v>46253</v>
      </c>
      <c r="H321" s="22" t="n">
        <v>627347</v>
      </c>
      <c r="I321" s="22" t="s">
        <v>7616</v>
      </c>
      <c r="J321" s="31" t="n">
        <v>39.76</v>
      </c>
      <c r="K321" s="26" t="n">
        <v>659.59</v>
      </c>
      <c r="L321" s="26" t="n">
        <v>163.3</v>
      </c>
      <c r="M321" s="22" t="s">
        <v>694</v>
      </c>
      <c r="N321" s="22" t="n">
        <f aca="false">MATCH(M321,'Tabela Passaro'!$A$2:$A$1795,0)</f>
        <v>106</v>
      </c>
      <c r="O321" s="22" t="str">
        <f aca="false">INDEX('Tabela Passaro'!$C$2:$C$1795,$N321)</f>
        <v>SALVADOR</v>
      </c>
      <c r="P321" s="22" t="str">
        <f aca="false">INDEX('Tabela Passaro'!$B$2:$B$1795,$N321)</f>
        <v>BA</v>
      </c>
      <c r="Q321" s="22" t="n">
        <f aca="false">INDEX('Tabela Passaro'!$F$2:$F$1795,$N321)</f>
        <v>6</v>
      </c>
      <c r="R321" s="32" t="n">
        <f aca="false">IF(J321&lt;=10,INDEX('Tabela Passaro'!$G$2:$G$1795,$N321),IF(J321&lt;=30,INDEX('Tabela Passaro'!$H$2:$H$1795,$N321),IF(J321&lt;=50,INDEX('Tabela Passaro'!$I$2:$I$1795,$N321),IF(J321&lt;=70,INDEX('Tabela Passaro'!$J$2:$J$1795,$N321),IF(J321&lt;=100,INDEX('Tabela Passaro'!$K$2:$K$1795,$N321),INDEX('Tabela Passaro'!$K$2:$K$1795,$N321)+(J321-100)*INDEX('Tabela Passaro'!$L$2:$L$1795,$N321))))))</f>
        <v>61.92</v>
      </c>
      <c r="S321" s="32" t="n">
        <f aca="false">K321*INDEX('Tabela Passaro'!$M$2:$M$1795,$N321)</f>
        <v>3.29795</v>
      </c>
      <c r="T321" s="32" t="n">
        <f aca="false">K321*INDEX('Tabela Passaro'!$N$2:$N$1795,$N321)</f>
        <v>1.31918</v>
      </c>
      <c r="U321" s="32" t="n">
        <f aca="false">INDEX('Tabela Passaro'!$O$2:$O$1795,$N321)</f>
        <v>5</v>
      </c>
      <c r="V321" s="32" t="n">
        <f aca="false">ROUNDUP(J321/INDEX('Tabela Passaro'!$Q$2:$Q$1795,$N321),0)*INDEX('Tabela Passaro'!$P$2:$P$1795,$N321)</f>
        <v>5</v>
      </c>
      <c r="W321" s="32" t="n">
        <f aca="false">INDEX('Tabela Passaro'!$R$2:$R$1795,$N321)</f>
        <v>30</v>
      </c>
      <c r="X321" s="32" t="n">
        <f aca="false">ROUNDUP(J321/INDEX('Tabela Passaro'!$T$2:$T$1795,$N321),0)*INDEX('Tabela Passaro'!$S$2:$S$1795,$N321)</f>
        <v>0</v>
      </c>
      <c r="Y321" s="32" t="n">
        <f aca="false">INDEX('Tabela Passaro'!$U$2:$U$1795,$N321)</f>
        <v>0</v>
      </c>
      <c r="Z321" s="32" t="n">
        <f aca="false">INDEX('Tabela Passaro'!$V$2:$V$1795,$N321)</f>
        <v>0</v>
      </c>
      <c r="AA321" s="32" t="n">
        <f aca="false">SUM(R321:Z321)</f>
        <v>106.53713</v>
      </c>
      <c r="AB321" s="33" t="n">
        <f aca="false">INDEX(Premissas!$B$5:$B$13,MATCH(A321,Premissas!$A$5:$A$13,0))</f>
        <v>0.07</v>
      </c>
      <c r="AC321" s="32" t="n">
        <f aca="false">AA321/(1-AB321)-AA321</f>
        <v>8.01892376344087</v>
      </c>
      <c r="AD321" s="32" t="n">
        <f aca="false">ROUND(AA321+AC321,2)</f>
        <v>114.56</v>
      </c>
      <c r="AE321" s="32" t="n">
        <f aca="false">AD321-L321</f>
        <v>-48.74</v>
      </c>
      <c r="AF321" s="34" t="n">
        <f aca="false">IF(L321=0,0,AE321/L321)</f>
        <v>-0.298469075321494</v>
      </c>
      <c r="AG321" s="22" t="str">
        <f aca="false">IF(AD321&lt;L321,"PASSARO","ATUAL")</f>
        <v>PASSARO</v>
      </c>
      <c r="AH321" s="22" t="str">
        <f aca="false">IF(P321&lt;&gt;A321,"Faixa cadastrada como "&amp;P321&amp;" na tabela; preço aplicado pela UF do CEP","")</f>
        <v/>
      </c>
      <c r="AI321" s="26" t="n">
        <v>141.45</v>
      </c>
      <c r="AJ321" s="22" t="str">
        <f aca="false">INDEX('Tabela Passaro'!$X$2:$X$1795,$N321)</f>
        <v>CAPITAL</v>
      </c>
    </row>
    <row r="322" customFormat="false" ht="15" hidden="false" customHeight="false" outlineLevel="0" collapsed="false">
      <c r="A322" s="22" t="s">
        <v>16</v>
      </c>
      <c r="B322" s="22" t="n">
        <v>1</v>
      </c>
      <c r="C322" s="22" t="s">
        <v>75</v>
      </c>
      <c r="D322" s="22" t="s">
        <v>30</v>
      </c>
      <c r="E322" s="22" t="s">
        <v>7326</v>
      </c>
      <c r="F322" s="22" t="n">
        <v>526166</v>
      </c>
      <c r="G322" s="30" t="n">
        <v>46253</v>
      </c>
      <c r="H322" s="22" t="n">
        <v>627351</v>
      </c>
      <c r="I322" s="22" t="s">
        <v>7617</v>
      </c>
      <c r="J322" s="31" t="n">
        <v>43.6</v>
      </c>
      <c r="K322" s="26" t="n">
        <v>711.62</v>
      </c>
      <c r="L322" s="26" t="n">
        <v>163.74</v>
      </c>
      <c r="M322" s="22" t="s">
        <v>694</v>
      </c>
      <c r="N322" s="22" t="n">
        <f aca="false">MATCH(M322,'Tabela Passaro'!$A$2:$A$1795,0)</f>
        <v>106</v>
      </c>
      <c r="O322" s="22" t="str">
        <f aca="false">INDEX('Tabela Passaro'!$C$2:$C$1795,$N322)</f>
        <v>SALVADOR</v>
      </c>
      <c r="P322" s="22" t="str">
        <f aca="false">INDEX('Tabela Passaro'!$B$2:$B$1795,$N322)</f>
        <v>BA</v>
      </c>
      <c r="Q322" s="22" t="n">
        <f aca="false">INDEX('Tabela Passaro'!$F$2:$F$1795,$N322)</f>
        <v>6</v>
      </c>
      <c r="R322" s="32" t="n">
        <f aca="false">IF(J322&lt;=10,INDEX('Tabela Passaro'!$G$2:$G$1795,$N322),IF(J322&lt;=30,INDEX('Tabela Passaro'!$H$2:$H$1795,$N322),IF(J322&lt;=50,INDEX('Tabela Passaro'!$I$2:$I$1795,$N322),IF(J322&lt;=70,INDEX('Tabela Passaro'!$J$2:$J$1795,$N322),IF(J322&lt;=100,INDEX('Tabela Passaro'!$K$2:$K$1795,$N322),INDEX('Tabela Passaro'!$K$2:$K$1795,$N322)+(J322-100)*INDEX('Tabela Passaro'!$L$2:$L$1795,$N322))))))</f>
        <v>61.92</v>
      </c>
      <c r="S322" s="32" t="n">
        <f aca="false">K322*INDEX('Tabela Passaro'!$M$2:$M$1795,$N322)</f>
        <v>3.5581</v>
      </c>
      <c r="T322" s="32" t="n">
        <f aca="false">K322*INDEX('Tabela Passaro'!$N$2:$N$1795,$N322)</f>
        <v>1.42324</v>
      </c>
      <c r="U322" s="32" t="n">
        <f aca="false">INDEX('Tabela Passaro'!$O$2:$O$1795,$N322)</f>
        <v>5</v>
      </c>
      <c r="V322" s="32" t="n">
        <f aca="false">ROUNDUP(J322/INDEX('Tabela Passaro'!$Q$2:$Q$1795,$N322),0)*INDEX('Tabela Passaro'!$P$2:$P$1795,$N322)</f>
        <v>5</v>
      </c>
      <c r="W322" s="32" t="n">
        <f aca="false">INDEX('Tabela Passaro'!$R$2:$R$1795,$N322)</f>
        <v>30</v>
      </c>
      <c r="X322" s="32" t="n">
        <f aca="false">ROUNDUP(J322/INDEX('Tabela Passaro'!$T$2:$T$1795,$N322),0)*INDEX('Tabela Passaro'!$S$2:$S$1795,$N322)</f>
        <v>0</v>
      </c>
      <c r="Y322" s="32" t="n">
        <f aca="false">INDEX('Tabela Passaro'!$U$2:$U$1795,$N322)</f>
        <v>0</v>
      </c>
      <c r="Z322" s="32" t="n">
        <f aca="false">INDEX('Tabela Passaro'!$V$2:$V$1795,$N322)</f>
        <v>0</v>
      </c>
      <c r="AA322" s="32" t="n">
        <f aca="false">SUM(R322:Z322)</f>
        <v>106.90134</v>
      </c>
      <c r="AB322" s="33" t="n">
        <f aca="false">INDEX(Premissas!$B$5:$B$13,MATCH(A322,Premissas!$A$5:$A$13,0))</f>
        <v>0.07</v>
      </c>
      <c r="AC322" s="32" t="n">
        <f aca="false">AA322/(1-AB322)-AA322</f>
        <v>8.04633741935484</v>
      </c>
      <c r="AD322" s="32" t="n">
        <f aca="false">ROUND(AA322+AC322,2)</f>
        <v>114.95</v>
      </c>
      <c r="AE322" s="32" t="n">
        <f aca="false">AD322-L322</f>
        <v>-48.79</v>
      </c>
      <c r="AF322" s="34" t="n">
        <f aca="false">IF(L322=0,0,AE322/L322)</f>
        <v>-0.297972395260779</v>
      </c>
      <c r="AG322" s="22" t="str">
        <f aca="false">IF(AD322&lt;L322,"PASSARO","ATUAL")</f>
        <v>PASSARO</v>
      </c>
      <c r="AH322" s="22" t="str">
        <f aca="false">IF(P322&lt;&gt;A322,"Faixa cadastrada como "&amp;P322&amp;" na tabela; preço aplicado pela UF do CEP","")</f>
        <v/>
      </c>
      <c r="AI322" s="26" t="n">
        <v>143.89</v>
      </c>
      <c r="AJ322" s="22" t="str">
        <f aca="false">INDEX('Tabela Passaro'!$X$2:$X$1795,$N322)</f>
        <v>CAPITAL</v>
      </c>
    </row>
    <row r="323" customFormat="false" ht="15" hidden="false" customHeight="false" outlineLevel="0" collapsed="false">
      <c r="A323" s="22" t="s">
        <v>16</v>
      </c>
      <c r="B323" s="22" t="n">
        <v>1</v>
      </c>
      <c r="C323" s="22" t="s">
        <v>75</v>
      </c>
      <c r="D323" s="22" t="s">
        <v>30</v>
      </c>
      <c r="E323" s="22" t="s">
        <v>7326</v>
      </c>
      <c r="F323" s="22" t="n">
        <v>526175</v>
      </c>
      <c r="G323" s="30" t="n">
        <v>46253</v>
      </c>
      <c r="H323" s="22" t="n">
        <v>627360</v>
      </c>
      <c r="I323" s="22" t="s">
        <v>7618</v>
      </c>
      <c r="J323" s="31" t="n">
        <v>34.7</v>
      </c>
      <c r="K323" s="26" t="n">
        <v>612.99</v>
      </c>
      <c r="L323" s="26" t="n">
        <v>162.89</v>
      </c>
      <c r="M323" s="22" t="s">
        <v>694</v>
      </c>
      <c r="N323" s="22" t="n">
        <f aca="false">MATCH(M323,'Tabela Passaro'!$A$2:$A$1795,0)</f>
        <v>106</v>
      </c>
      <c r="O323" s="22" t="str">
        <f aca="false">INDEX('Tabela Passaro'!$C$2:$C$1795,$N323)</f>
        <v>SALVADOR</v>
      </c>
      <c r="P323" s="22" t="str">
        <f aca="false">INDEX('Tabela Passaro'!$B$2:$B$1795,$N323)</f>
        <v>BA</v>
      </c>
      <c r="Q323" s="22" t="n">
        <f aca="false">INDEX('Tabela Passaro'!$F$2:$F$1795,$N323)</f>
        <v>6</v>
      </c>
      <c r="R323" s="32" t="n">
        <f aca="false">IF(J323&lt;=10,INDEX('Tabela Passaro'!$G$2:$G$1795,$N323),IF(J323&lt;=30,INDEX('Tabela Passaro'!$H$2:$H$1795,$N323),IF(J323&lt;=50,INDEX('Tabela Passaro'!$I$2:$I$1795,$N323),IF(J323&lt;=70,INDEX('Tabela Passaro'!$J$2:$J$1795,$N323),IF(J323&lt;=100,INDEX('Tabela Passaro'!$K$2:$K$1795,$N323),INDEX('Tabela Passaro'!$K$2:$K$1795,$N323)+(J323-100)*INDEX('Tabela Passaro'!$L$2:$L$1795,$N323))))))</f>
        <v>61.92</v>
      </c>
      <c r="S323" s="32" t="n">
        <f aca="false">K323*INDEX('Tabela Passaro'!$M$2:$M$1795,$N323)</f>
        <v>3.06495</v>
      </c>
      <c r="T323" s="32" t="n">
        <f aca="false">K323*INDEX('Tabela Passaro'!$N$2:$N$1795,$N323)</f>
        <v>1.22598</v>
      </c>
      <c r="U323" s="32" t="n">
        <f aca="false">INDEX('Tabela Passaro'!$O$2:$O$1795,$N323)</f>
        <v>5</v>
      </c>
      <c r="V323" s="32" t="n">
        <f aca="false">ROUNDUP(J323/INDEX('Tabela Passaro'!$Q$2:$Q$1795,$N323),0)*INDEX('Tabela Passaro'!$P$2:$P$1795,$N323)</f>
        <v>5</v>
      </c>
      <c r="W323" s="32" t="n">
        <f aca="false">INDEX('Tabela Passaro'!$R$2:$R$1795,$N323)</f>
        <v>30</v>
      </c>
      <c r="X323" s="32" t="n">
        <f aca="false">ROUNDUP(J323/INDEX('Tabela Passaro'!$T$2:$T$1795,$N323),0)*INDEX('Tabela Passaro'!$S$2:$S$1795,$N323)</f>
        <v>0</v>
      </c>
      <c r="Y323" s="32" t="n">
        <f aca="false">INDEX('Tabela Passaro'!$U$2:$U$1795,$N323)</f>
        <v>0</v>
      </c>
      <c r="Z323" s="32" t="n">
        <f aca="false">INDEX('Tabela Passaro'!$V$2:$V$1795,$N323)</f>
        <v>0</v>
      </c>
      <c r="AA323" s="32" t="n">
        <f aca="false">SUM(R323:Z323)</f>
        <v>106.21093</v>
      </c>
      <c r="AB323" s="33" t="n">
        <f aca="false">INDEX(Premissas!$B$5:$B$13,MATCH(A323,Premissas!$A$5:$A$13,0))</f>
        <v>0.07</v>
      </c>
      <c r="AC323" s="32" t="n">
        <f aca="false">AA323/(1-AB323)-AA323</f>
        <v>7.99437107526883</v>
      </c>
      <c r="AD323" s="32" t="n">
        <f aca="false">ROUND(AA323+AC323,2)</f>
        <v>114.21</v>
      </c>
      <c r="AE323" s="32" t="n">
        <f aca="false">AD323-L323</f>
        <v>-48.68</v>
      </c>
      <c r="AF323" s="34" t="n">
        <f aca="false">IF(L323=0,0,AE323/L323)</f>
        <v>-0.298851986002824</v>
      </c>
      <c r="AG323" s="22" t="str">
        <f aca="false">IF(AD323&lt;L323,"PASSARO","ATUAL")</f>
        <v>PASSARO</v>
      </c>
      <c r="AH323" s="22" t="str">
        <f aca="false">IF(P323&lt;&gt;A323,"Faixa cadastrada como "&amp;P323&amp;" na tabela; preço aplicado pela UF do CEP","")</f>
        <v/>
      </c>
      <c r="AI323" s="26" t="n">
        <v>138.58</v>
      </c>
      <c r="AJ323" s="22" t="str">
        <f aca="false">INDEX('Tabela Passaro'!$X$2:$X$1795,$N323)</f>
        <v>CAPITAL</v>
      </c>
    </row>
    <row r="324" customFormat="false" ht="15" hidden="false" customHeight="false" outlineLevel="0" collapsed="false">
      <c r="A324" s="22" t="s">
        <v>16</v>
      </c>
      <c r="B324" s="22" t="n">
        <v>1</v>
      </c>
      <c r="C324" s="22" t="s">
        <v>75</v>
      </c>
      <c r="D324" s="22" t="s">
        <v>30</v>
      </c>
      <c r="E324" s="22" t="s">
        <v>7326</v>
      </c>
      <c r="F324" s="22" t="n">
        <v>526179</v>
      </c>
      <c r="G324" s="30" t="n">
        <v>46253</v>
      </c>
      <c r="H324" s="22" t="n">
        <v>627363</v>
      </c>
      <c r="I324" s="22" t="s">
        <v>7619</v>
      </c>
      <c r="J324" s="31" t="n">
        <v>124.2</v>
      </c>
      <c r="K324" s="26" t="n">
        <v>1906.09</v>
      </c>
      <c r="L324" s="26" t="n">
        <v>322.17</v>
      </c>
      <c r="M324" s="22" t="s">
        <v>694</v>
      </c>
      <c r="N324" s="22" t="n">
        <f aca="false">MATCH(M324,'Tabela Passaro'!$A$2:$A$1795,0)</f>
        <v>106</v>
      </c>
      <c r="O324" s="22" t="str">
        <f aca="false">INDEX('Tabela Passaro'!$C$2:$C$1795,$N324)</f>
        <v>SALVADOR</v>
      </c>
      <c r="P324" s="22" t="str">
        <f aca="false">INDEX('Tabela Passaro'!$B$2:$B$1795,$N324)</f>
        <v>BA</v>
      </c>
      <c r="Q324" s="22" t="n">
        <f aca="false">INDEX('Tabela Passaro'!$F$2:$F$1795,$N324)</f>
        <v>6</v>
      </c>
      <c r="R324" s="32" t="n">
        <f aca="false">IF(J324&lt;=10,INDEX('Tabela Passaro'!$G$2:$G$1795,$N324),IF(J324&lt;=30,INDEX('Tabela Passaro'!$H$2:$H$1795,$N324),IF(J324&lt;=50,INDEX('Tabela Passaro'!$I$2:$I$1795,$N324),IF(J324&lt;=70,INDEX('Tabela Passaro'!$J$2:$J$1795,$N324),IF(J324&lt;=100,INDEX('Tabela Passaro'!$K$2:$K$1795,$N324),INDEX('Tabela Passaro'!$K$2:$K$1795,$N324)+(J324-100)*INDEX('Tabela Passaro'!$L$2:$L$1795,$N324))))))</f>
        <v>113.032</v>
      </c>
      <c r="S324" s="32" t="n">
        <f aca="false">K324*INDEX('Tabela Passaro'!$M$2:$M$1795,$N324)</f>
        <v>9.53045</v>
      </c>
      <c r="T324" s="32" t="n">
        <f aca="false">K324*INDEX('Tabela Passaro'!$N$2:$N$1795,$N324)</f>
        <v>3.81218</v>
      </c>
      <c r="U324" s="32" t="n">
        <f aca="false">INDEX('Tabela Passaro'!$O$2:$O$1795,$N324)</f>
        <v>5</v>
      </c>
      <c r="V324" s="32" t="n">
        <f aca="false">ROUNDUP(J324/INDEX('Tabela Passaro'!$Q$2:$Q$1795,$N324),0)*INDEX('Tabela Passaro'!$P$2:$P$1795,$N324)</f>
        <v>10</v>
      </c>
      <c r="W324" s="32" t="n">
        <f aca="false">INDEX('Tabela Passaro'!$R$2:$R$1795,$N324)</f>
        <v>30</v>
      </c>
      <c r="X324" s="32" t="n">
        <f aca="false">ROUNDUP(J324/INDEX('Tabela Passaro'!$T$2:$T$1795,$N324),0)*INDEX('Tabela Passaro'!$S$2:$S$1795,$N324)</f>
        <v>0</v>
      </c>
      <c r="Y324" s="32" t="n">
        <f aca="false">INDEX('Tabela Passaro'!$U$2:$U$1795,$N324)</f>
        <v>0</v>
      </c>
      <c r="Z324" s="32" t="n">
        <f aca="false">INDEX('Tabela Passaro'!$V$2:$V$1795,$N324)</f>
        <v>0</v>
      </c>
      <c r="AA324" s="32" t="n">
        <f aca="false">SUM(R324:Z324)</f>
        <v>171.37463</v>
      </c>
      <c r="AB324" s="33" t="n">
        <f aca="false">INDEX(Premissas!$B$5:$B$13,MATCH(A324,Premissas!$A$5:$A$13,0))</f>
        <v>0.07</v>
      </c>
      <c r="AC324" s="32" t="n">
        <f aca="false">AA324/(1-AB324)-AA324</f>
        <v>12.8991656989247</v>
      </c>
      <c r="AD324" s="32" t="n">
        <f aca="false">ROUND(AA324+AC324,2)</f>
        <v>184.27</v>
      </c>
      <c r="AE324" s="32" t="n">
        <f aca="false">AD324-L324</f>
        <v>-137.9</v>
      </c>
      <c r="AF324" s="34" t="n">
        <f aca="false">IF(L324=0,0,AE324/L324)</f>
        <v>-0.42803488841295</v>
      </c>
      <c r="AG324" s="22" t="str">
        <f aca="false">IF(AD324&lt;L324,"PASSARO","ATUAL")</f>
        <v>PASSARO</v>
      </c>
      <c r="AH324" s="22" t="str">
        <f aca="false">IF(P324&lt;&gt;A324,"Faixa cadastrada como "&amp;P324&amp;" na tabela; preço aplicado pela UF do CEP","")</f>
        <v/>
      </c>
      <c r="AI324" s="26" t="n">
        <v>259.15</v>
      </c>
      <c r="AJ324" s="22" t="str">
        <f aca="false">INDEX('Tabela Passaro'!$X$2:$X$1795,$N324)</f>
        <v>CAPITAL</v>
      </c>
    </row>
    <row r="325" customFormat="false" ht="15" hidden="false" customHeight="false" outlineLevel="0" collapsed="false">
      <c r="A325" s="22" t="s">
        <v>16</v>
      </c>
      <c r="B325" s="22" t="n">
        <v>1</v>
      </c>
      <c r="C325" s="22" t="s">
        <v>75</v>
      </c>
      <c r="D325" s="22" t="s">
        <v>30</v>
      </c>
      <c r="E325" s="22" t="s">
        <v>20</v>
      </c>
      <c r="F325" s="22" t="n">
        <v>839626</v>
      </c>
      <c r="G325" s="30" t="n">
        <v>46254</v>
      </c>
      <c r="H325" s="22" t="n">
        <v>32555</v>
      </c>
      <c r="I325" s="22" t="s">
        <v>7620</v>
      </c>
      <c r="J325" s="31" t="n">
        <v>27.6</v>
      </c>
      <c r="K325" s="26" t="n">
        <v>638.38</v>
      </c>
      <c r="L325" s="26" t="n">
        <v>110.05</v>
      </c>
      <c r="M325" s="22" t="s">
        <v>694</v>
      </c>
      <c r="N325" s="22" t="n">
        <f aca="false">MATCH(M325,'Tabela Passaro'!$A$2:$A$1795,0)</f>
        <v>106</v>
      </c>
      <c r="O325" s="22" t="str">
        <f aca="false">INDEX('Tabela Passaro'!$C$2:$C$1795,$N325)</f>
        <v>SALVADOR</v>
      </c>
      <c r="P325" s="22" t="str">
        <f aca="false">INDEX('Tabela Passaro'!$B$2:$B$1795,$N325)</f>
        <v>BA</v>
      </c>
      <c r="Q325" s="22" t="n">
        <f aca="false">INDEX('Tabela Passaro'!$F$2:$F$1795,$N325)</f>
        <v>6</v>
      </c>
      <c r="R325" s="32" t="n">
        <f aca="false">IF(J325&lt;=10,INDEX('Tabela Passaro'!$G$2:$G$1795,$N325),IF(J325&lt;=30,INDEX('Tabela Passaro'!$H$2:$H$1795,$N325),IF(J325&lt;=50,INDEX('Tabela Passaro'!$I$2:$I$1795,$N325),IF(J325&lt;=70,INDEX('Tabela Passaro'!$J$2:$J$1795,$N325),IF(J325&lt;=100,INDEX('Tabela Passaro'!$K$2:$K$1795,$N325),INDEX('Tabela Passaro'!$K$2:$K$1795,$N325)+(J325-100)*INDEX('Tabela Passaro'!$L$2:$L$1795,$N325))))))</f>
        <v>50.4</v>
      </c>
      <c r="S325" s="32" t="n">
        <f aca="false">K325*INDEX('Tabela Passaro'!$M$2:$M$1795,$N325)</f>
        <v>3.1919</v>
      </c>
      <c r="T325" s="32" t="n">
        <f aca="false">K325*INDEX('Tabela Passaro'!$N$2:$N$1795,$N325)</f>
        <v>1.27676</v>
      </c>
      <c r="U325" s="32" t="n">
        <f aca="false">INDEX('Tabela Passaro'!$O$2:$O$1795,$N325)</f>
        <v>5</v>
      </c>
      <c r="V325" s="32" t="n">
        <f aca="false">ROUNDUP(J325/INDEX('Tabela Passaro'!$Q$2:$Q$1795,$N325),0)*INDEX('Tabela Passaro'!$P$2:$P$1795,$N325)</f>
        <v>5</v>
      </c>
      <c r="W325" s="32" t="n">
        <f aca="false">INDEX('Tabela Passaro'!$R$2:$R$1795,$N325)</f>
        <v>30</v>
      </c>
      <c r="X325" s="32" t="n">
        <f aca="false">ROUNDUP(J325/INDEX('Tabela Passaro'!$T$2:$T$1795,$N325),0)*INDEX('Tabela Passaro'!$S$2:$S$1795,$N325)</f>
        <v>0</v>
      </c>
      <c r="Y325" s="32" t="n">
        <f aca="false">INDEX('Tabela Passaro'!$U$2:$U$1795,$N325)</f>
        <v>0</v>
      </c>
      <c r="Z325" s="32" t="n">
        <f aca="false">INDEX('Tabela Passaro'!$V$2:$V$1795,$N325)</f>
        <v>0</v>
      </c>
      <c r="AA325" s="32" t="n">
        <f aca="false">SUM(R325:Z325)</f>
        <v>94.86866</v>
      </c>
      <c r="AB325" s="33" t="n">
        <f aca="false">INDEX(Premissas!$B$5:$B$13,MATCH(A325,Premissas!$A$5:$A$13,0))</f>
        <v>0.07</v>
      </c>
      <c r="AC325" s="32" t="n">
        <f aca="false">AA325/(1-AB325)-AA325</f>
        <v>7.140651827957</v>
      </c>
      <c r="AD325" s="32" t="n">
        <f aca="false">ROUND(AA325+AC325,2)</f>
        <v>102.01</v>
      </c>
      <c r="AE325" s="32" t="n">
        <f aca="false">AD325-L325</f>
        <v>-8.03999999999999</v>
      </c>
      <c r="AF325" s="34" t="n">
        <f aca="false">IF(L325=0,0,AE325/L325)</f>
        <v>-0.0730577010449795</v>
      </c>
      <c r="AG325" s="22" t="str">
        <f aca="false">IF(AD325&lt;L325,"PASSARO","ATUAL")</f>
        <v>PASSARO</v>
      </c>
      <c r="AH325" s="22" t="str">
        <f aca="false">IF(P325&lt;&gt;A325,"Faixa cadastrada como "&amp;P325&amp;" na tabela; preço aplicado pela UF do CEP","")</f>
        <v/>
      </c>
      <c r="AI325" s="26" t="n">
        <v>122.91</v>
      </c>
      <c r="AJ325" s="22" t="str">
        <f aca="false">INDEX('Tabela Passaro'!$X$2:$X$1795,$N325)</f>
        <v>CAPITAL</v>
      </c>
    </row>
    <row r="326" customFormat="false" ht="15" hidden="false" customHeight="false" outlineLevel="0" collapsed="false">
      <c r="A326" s="22" t="s">
        <v>16</v>
      </c>
      <c r="B326" s="22" t="n">
        <v>1</v>
      </c>
      <c r="C326" s="22" t="s">
        <v>75</v>
      </c>
      <c r="D326" s="22" t="s">
        <v>30</v>
      </c>
      <c r="E326" s="22" t="s">
        <v>20</v>
      </c>
      <c r="F326" s="22" t="n">
        <v>839642</v>
      </c>
      <c r="G326" s="30" t="n">
        <v>46254</v>
      </c>
      <c r="H326" s="22" t="n">
        <v>32571</v>
      </c>
      <c r="I326" s="22" t="s">
        <v>7621</v>
      </c>
      <c r="J326" s="31" t="n">
        <v>19.4</v>
      </c>
      <c r="K326" s="26" t="n">
        <v>465.99</v>
      </c>
      <c r="L326" s="26" t="n">
        <v>108.49</v>
      </c>
      <c r="M326" s="22" t="s">
        <v>694</v>
      </c>
      <c r="N326" s="22" t="n">
        <f aca="false">MATCH(M326,'Tabela Passaro'!$A$2:$A$1795,0)</f>
        <v>106</v>
      </c>
      <c r="O326" s="22" t="str">
        <f aca="false">INDEX('Tabela Passaro'!$C$2:$C$1795,$N326)</f>
        <v>SALVADOR</v>
      </c>
      <c r="P326" s="22" t="str">
        <f aca="false">INDEX('Tabela Passaro'!$B$2:$B$1795,$N326)</f>
        <v>BA</v>
      </c>
      <c r="Q326" s="22" t="n">
        <f aca="false">INDEX('Tabela Passaro'!$F$2:$F$1795,$N326)</f>
        <v>6</v>
      </c>
      <c r="R326" s="32" t="n">
        <f aca="false">IF(J326&lt;=10,INDEX('Tabela Passaro'!$G$2:$G$1795,$N326),IF(J326&lt;=30,INDEX('Tabela Passaro'!$H$2:$H$1795,$N326),IF(J326&lt;=50,INDEX('Tabela Passaro'!$I$2:$I$1795,$N326),IF(J326&lt;=70,INDEX('Tabela Passaro'!$J$2:$J$1795,$N326),IF(J326&lt;=100,INDEX('Tabela Passaro'!$K$2:$K$1795,$N326),INDEX('Tabela Passaro'!$K$2:$K$1795,$N326)+(J326-100)*INDEX('Tabela Passaro'!$L$2:$L$1795,$N326))))))</f>
        <v>50.4</v>
      </c>
      <c r="S326" s="32" t="n">
        <f aca="false">K326*INDEX('Tabela Passaro'!$M$2:$M$1795,$N326)</f>
        <v>2.32995</v>
      </c>
      <c r="T326" s="32" t="n">
        <f aca="false">K326*INDEX('Tabela Passaro'!$N$2:$N$1795,$N326)</f>
        <v>0.93198</v>
      </c>
      <c r="U326" s="32" t="n">
        <f aca="false">INDEX('Tabela Passaro'!$O$2:$O$1795,$N326)</f>
        <v>5</v>
      </c>
      <c r="V326" s="32" t="n">
        <f aca="false">ROUNDUP(J326/INDEX('Tabela Passaro'!$Q$2:$Q$1795,$N326),0)*INDEX('Tabela Passaro'!$P$2:$P$1795,$N326)</f>
        <v>5</v>
      </c>
      <c r="W326" s="32" t="n">
        <f aca="false">INDEX('Tabela Passaro'!$R$2:$R$1795,$N326)</f>
        <v>30</v>
      </c>
      <c r="X326" s="32" t="n">
        <f aca="false">ROUNDUP(J326/INDEX('Tabela Passaro'!$T$2:$T$1795,$N326),0)*INDEX('Tabela Passaro'!$S$2:$S$1795,$N326)</f>
        <v>0</v>
      </c>
      <c r="Y326" s="32" t="n">
        <f aca="false">INDEX('Tabela Passaro'!$U$2:$U$1795,$N326)</f>
        <v>0</v>
      </c>
      <c r="Z326" s="32" t="n">
        <f aca="false">INDEX('Tabela Passaro'!$V$2:$V$1795,$N326)</f>
        <v>0</v>
      </c>
      <c r="AA326" s="32" t="n">
        <f aca="false">SUM(R326:Z326)</f>
        <v>93.66193</v>
      </c>
      <c r="AB326" s="33" t="n">
        <f aca="false">INDEX(Premissas!$B$5:$B$13,MATCH(A326,Premissas!$A$5:$A$13,0))</f>
        <v>0.07</v>
      </c>
      <c r="AC326" s="32" t="n">
        <f aca="false">AA326/(1-AB326)-AA326</f>
        <v>7.04982268817204</v>
      </c>
      <c r="AD326" s="32" t="n">
        <f aca="false">ROUND(AA326+AC326,2)</f>
        <v>100.71</v>
      </c>
      <c r="AE326" s="32" t="n">
        <f aca="false">AD326-L326</f>
        <v>-7.78</v>
      </c>
      <c r="AF326" s="34" t="n">
        <f aca="false">IF(L326=0,0,AE326/L326)</f>
        <v>-0.0717116784957139</v>
      </c>
      <c r="AG326" s="22" t="str">
        <f aca="false">IF(AD326&lt;L326,"PASSARO","ATUAL")</f>
        <v>PASSARO</v>
      </c>
      <c r="AH326" s="22" t="str">
        <f aca="false">IF(P326&lt;&gt;A326,"Faixa cadastrada como "&amp;P326&amp;" na tabela; preço aplicado pela UF do CEP","")</f>
        <v/>
      </c>
      <c r="AI326" s="26" t="n">
        <v>117.37</v>
      </c>
      <c r="AJ326" s="22" t="str">
        <f aca="false">INDEX('Tabela Passaro'!$X$2:$X$1795,$N326)</f>
        <v>CAPITAL</v>
      </c>
    </row>
    <row r="327" customFormat="false" ht="15" hidden="false" customHeight="false" outlineLevel="0" collapsed="false">
      <c r="A327" s="22" t="s">
        <v>16</v>
      </c>
      <c r="B327" s="22" t="n">
        <v>1</v>
      </c>
      <c r="C327" s="22" t="s">
        <v>75</v>
      </c>
      <c r="D327" s="22" t="s">
        <v>30</v>
      </c>
      <c r="E327" s="22" t="s">
        <v>20</v>
      </c>
      <c r="F327" s="22" t="n">
        <v>839644</v>
      </c>
      <c r="G327" s="30" t="n">
        <v>46254</v>
      </c>
      <c r="H327" s="22" t="n">
        <v>32573</v>
      </c>
      <c r="I327" s="22" t="s">
        <v>7622</v>
      </c>
      <c r="J327" s="31" t="n">
        <v>39</v>
      </c>
      <c r="K327" s="26" t="n">
        <v>769.98</v>
      </c>
      <c r="L327" s="26" t="n">
        <v>142.39</v>
      </c>
      <c r="M327" s="22" t="s">
        <v>694</v>
      </c>
      <c r="N327" s="22" t="n">
        <f aca="false">MATCH(M327,'Tabela Passaro'!$A$2:$A$1795,0)</f>
        <v>106</v>
      </c>
      <c r="O327" s="22" t="str">
        <f aca="false">INDEX('Tabela Passaro'!$C$2:$C$1795,$N327)</f>
        <v>SALVADOR</v>
      </c>
      <c r="P327" s="22" t="str">
        <f aca="false">INDEX('Tabela Passaro'!$B$2:$B$1795,$N327)</f>
        <v>BA</v>
      </c>
      <c r="Q327" s="22" t="n">
        <f aca="false">INDEX('Tabela Passaro'!$F$2:$F$1795,$N327)</f>
        <v>6</v>
      </c>
      <c r="R327" s="32" t="n">
        <f aca="false">IF(J327&lt;=10,INDEX('Tabela Passaro'!$G$2:$G$1795,$N327),IF(J327&lt;=30,INDEX('Tabela Passaro'!$H$2:$H$1795,$N327),IF(J327&lt;=50,INDEX('Tabela Passaro'!$I$2:$I$1795,$N327),IF(J327&lt;=70,INDEX('Tabela Passaro'!$J$2:$J$1795,$N327),IF(J327&lt;=100,INDEX('Tabela Passaro'!$K$2:$K$1795,$N327),INDEX('Tabela Passaro'!$K$2:$K$1795,$N327)+(J327-100)*INDEX('Tabela Passaro'!$L$2:$L$1795,$N327))))))</f>
        <v>61.92</v>
      </c>
      <c r="S327" s="32" t="n">
        <f aca="false">K327*INDEX('Tabela Passaro'!$M$2:$M$1795,$N327)</f>
        <v>3.8499</v>
      </c>
      <c r="T327" s="32" t="n">
        <f aca="false">K327*INDEX('Tabela Passaro'!$N$2:$N$1795,$N327)</f>
        <v>1.53996</v>
      </c>
      <c r="U327" s="32" t="n">
        <f aca="false">INDEX('Tabela Passaro'!$O$2:$O$1795,$N327)</f>
        <v>5</v>
      </c>
      <c r="V327" s="32" t="n">
        <f aca="false">ROUNDUP(J327/INDEX('Tabela Passaro'!$Q$2:$Q$1795,$N327),0)*INDEX('Tabela Passaro'!$P$2:$P$1795,$N327)</f>
        <v>5</v>
      </c>
      <c r="W327" s="32" t="n">
        <f aca="false">INDEX('Tabela Passaro'!$R$2:$R$1795,$N327)</f>
        <v>30</v>
      </c>
      <c r="X327" s="32" t="n">
        <f aca="false">ROUNDUP(J327/INDEX('Tabela Passaro'!$T$2:$T$1795,$N327),0)*INDEX('Tabela Passaro'!$S$2:$S$1795,$N327)</f>
        <v>0</v>
      </c>
      <c r="Y327" s="32" t="n">
        <f aca="false">INDEX('Tabela Passaro'!$U$2:$U$1795,$N327)</f>
        <v>0</v>
      </c>
      <c r="Z327" s="32" t="n">
        <f aca="false">INDEX('Tabela Passaro'!$V$2:$V$1795,$N327)</f>
        <v>0</v>
      </c>
      <c r="AA327" s="32" t="n">
        <f aca="false">SUM(R327:Z327)</f>
        <v>107.30986</v>
      </c>
      <c r="AB327" s="33" t="n">
        <f aca="false">INDEX(Premissas!$B$5:$B$13,MATCH(A327,Premissas!$A$5:$A$13,0))</f>
        <v>0.07</v>
      </c>
      <c r="AC327" s="32" t="n">
        <f aca="false">AA327/(1-AB327)-AA327</f>
        <v>8.07708623655915</v>
      </c>
      <c r="AD327" s="32" t="n">
        <f aca="false">ROUND(AA327+AC327,2)</f>
        <v>115.39</v>
      </c>
      <c r="AE327" s="32" t="n">
        <f aca="false">AD327-L327</f>
        <v>-27</v>
      </c>
      <c r="AF327" s="34" t="n">
        <f aca="false">IF(L327=0,0,AE327/L327)</f>
        <v>-0.189620057588314</v>
      </c>
      <c r="AG327" s="22" t="str">
        <f aca="false">IF(AD327&lt;L327,"PASSARO","ATUAL")</f>
        <v>PASSARO</v>
      </c>
      <c r="AH327" s="22" t="str">
        <f aca="false">IF(P327&lt;&gt;A327,"Faixa cadastrada como "&amp;P327&amp;" na tabela; preço aplicado pela UF do CEP","")</f>
        <v/>
      </c>
      <c r="AI327" s="26" t="n">
        <v>142.03</v>
      </c>
      <c r="AJ327" s="22" t="str">
        <f aca="false">INDEX('Tabela Passaro'!$X$2:$X$1795,$N327)</f>
        <v>CAPITAL</v>
      </c>
    </row>
    <row r="328" customFormat="false" ht="15" hidden="false" customHeight="false" outlineLevel="0" collapsed="false">
      <c r="A328" s="22" t="s">
        <v>16</v>
      </c>
      <c r="B328" s="22" t="n">
        <v>1</v>
      </c>
      <c r="C328" s="22" t="s">
        <v>75</v>
      </c>
      <c r="D328" s="22" t="s">
        <v>30</v>
      </c>
      <c r="E328" s="22" t="s">
        <v>20</v>
      </c>
      <c r="F328" s="22" t="n">
        <v>839646</v>
      </c>
      <c r="G328" s="30" t="n">
        <v>46254</v>
      </c>
      <c r="H328" s="22" t="n">
        <v>32575</v>
      </c>
      <c r="I328" s="22" t="s">
        <v>7509</v>
      </c>
      <c r="J328" s="31" t="n">
        <v>27.6</v>
      </c>
      <c r="K328" s="26" t="n">
        <v>726.98</v>
      </c>
      <c r="L328" s="26" t="n">
        <v>110.83</v>
      </c>
      <c r="M328" s="22" t="s">
        <v>694</v>
      </c>
      <c r="N328" s="22" t="n">
        <f aca="false">MATCH(M328,'Tabela Passaro'!$A$2:$A$1795,0)</f>
        <v>106</v>
      </c>
      <c r="O328" s="22" t="str">
        <f aca="false">INDEX('Tabela Passaro'!$C$2:$C$1795,$N328)</f>
        <v>SALVADOR</v>
      </c>
      <c r="P328" s="22" t="str">
        <f aca="false">INDEX('Tabela Passaro'!$B$2:$B$1795,$N328)</f>
        <v>BA</v>
      </c>
      <c r="Q328" s="22" t="n">
        <f aca="false">INDEX('Tabela Passaro'!$F$2:$F$1795,$N328)</f>
        <v>6</v>
      </c>
      <c r="R328" s="32" t="n">
        <f aca="false">IF(J328&lt;=10,INDEX('Tabela Passaro'!$G$2:$G$1795,$N328),IF(J328&lt;=30,INDEX('Tabela Passaro'!$H$2:$H$1795,$N328),IF(J328&lt;=50,INDEX('Tabela Passaro'!$I$2:$I$1795,$N328),IF(J328&lt;=70,INDEX('Tabela Passaro'!$J$2:$J$1795,$N328),IF(J328&lt;=100,INDEX('Tabela Passaro'!$K$2:$K$1795,$N328),INDEX('Tabela Passaro'!$K$2:$K$1795,$N328)+(J328-100)*INDEX('Tabela Passaro'!$L$2:$L$1795,$N328))))))</f>
        <v>50.4</v>
      </c>
      <c r="S328" s="32" t="n">
        <f aca="false">K328*INDEX('Tabela Passaro'!$M$2:$M$1795,$N328)</f>
        <v>3.6349</v>
      </c>
      <c r="T328" s="32" t="n">
        <f aca="false">K328*INDEX('Tabela Passaro'!$N$2:$N$1795,$N328)</f>
        <v>1.45396</v>
      </c>
      <c r="U328" s="32" t="n">
        <f aca="false">INDEX('Tabela Passaro'!$O$2:$O$1795,$N328)</f>
        <v>5</v>
      </c>
      <c r="V328" s="32" t="n">
        <f aca="false">ROUNDUP(J328/INDEX('Tabela Passaro'!$Q$2:$Q$1795,$N328),0)*INDEX('Tabela Passaro'!$P$2:$P$1795,$N328)</f>
        <v>5</v>
      </c>
      <c r="W328" s="32" t="n">
        <f aca="false">INDEX('Tabela Passaro'!$R$2:$R$1795,$N328)</f>
        <v>30</v>
      </c>
      <c r="X328" s="32" t="n">
        <f aca="false">ROUNDUP(J328/INDEX('Tabela Passaro'!$T$2:$T$1795,$N328),0)*INDEX('Tabela Passaro'!$S$2:$S$1795,$N328)</f>
        <v>0</v>
      </c>
      <c r="Y328" s="32" t="n">
        <f aca="false">INDEX('Tabela Passaro'!$U$2:$U$1795,$N328)</f>
        <v>0</v>
      </c>
      <c r="Z328" s="32" t="n">
        <f aca="false">INDEX('Tabela Passaro'!$V$2:$V$1795,$N328)</f>
        <v>0</v>
      </c>
      <c r="AA328" s="32" t="n">
        <f aca="false">SUM(R328:Z328)</f>
        <v>95.48886</v>
      </c>
      <c r="AB328" s="33" t="n">
        <f aca="false">INDEX(Premissas!$B$5:$B$13,MATCH(A328,Premissas!$A$5:$A$13,0))</f>
        <v>0.07</v>
      </c>
      <c r="AC328" s="32" t="n">
        <f aca="false">AA328/(1-AB328)-AA328</f>
        <v>7.1873335483871</v>
      </c>
      <c r="AD328" s="32" t="n">
        <f aca="false">ROUND(AA328+AC328,2)</f>
        <v>102.68</v>
      </c>
      <c r="AE328" s="32" t="n">
        <f aca="false">AD328-L328</f>
        <v>-8.14999999999999</v>
      </c>
      <c r="AF328" s="34" t="n">
        <f aca="false">IF(L328=0,0,AE328/L328)</f>
        <v>-0.073536046196878</v>
      </c>
      <c r="AG328" s="22" t="str">
        <f aca="false">IF(AD328&lt;L328,"PASSARO","ATUAL")</f>
        <v>PASSARO</v>
      </c>
      <c r="AH328" s="22" t="str">
        <f aca="false">IF(P328&lt;&gt;A328,"Faixa cadastrada como "&amp;P328&amp;" na tabela; preço aplicado pela UF do CEP","")</f>
        <v/>
      </c>
      <c r="AI328" s="26" t="n">
        <v>123.77</v>
      </c>
      <c r="AJ328" s="22" t="str">
        <f aca="false">INDEX('Tabela Passaro'!$X$2:$X$1795,$N328)</f>
        <v>CAPITAL</v>
      </c>
    </row>
    <row r="329" customFormat="false" ht="15" hidden="false" customHeight="false" outlineLevel="0" collapsed="false">
      <c r="A329" s="22" t="s">
        <v>16</v>
      </c>
      <c r="B329" s="22" t="n">
        <v>1</v>
      </c>
      <c r="C329" s="22" t="s">
        <v>75</v>
      </c>
      <c r="D329" s="22" t="s">
        <v>30</v>
      </c>
      <c r="E329" s="22" t="s">
        <v>7328</v>
      </c>
      <c r="F329" s="22" t="n">
        <v>2314414</v>
      </c>
      <c r="G329" s="30" t="n">
        <v>46254</v>
      </c>
      <c r="H329" s="22" t="n">
        <v>134078</v>
      </c>
      <c r="I329" s="22" t="s">
        <v>7482</v>
      </c>
      <c r="J329" s="31" t="n">
        <v>53.8</v>
      </c>
      <c r="K329" s="26" t="n">
        <v>829.99</v>
      </c>
      <c r="L329" s="26" t="n">
        <v>165.87</v>
      </c>
      <c r="M329" s="22" t="s">
        <v>694</v>
      </c>
      <c r="N329" s="22" t="n">
        <f aca="false">MATCH(M329,'Tabela Passaro'!$A$2:$A$1795,0)</f>
        <v>106</v>
      </c>
      <c r="O329" s="22" t="str">
        <f aca="false">INDEX('Tabela Passaro'!$C$2:$C$1795,$N329)</f>
        <v>SALVADOR</v>
      </c>
      <c r="P329" s="22" t="str">
        <f aca="false">INDEX('Tabela Passaro'!$B$2:$B$1795,$N329)</f>
        <v>BA</v>
      </c>
      <c r="Q329" s="22" t="n">
        <f aca="false">INDEX('Tabela Passaro'!$F$2:$F$1795,$N329)</f>
        <v>6</v>
      </c>
      <c r="R329" s="32" t="n">
        <f aca="false">IF(J329&lt;=10,INDEX('Tabela Passaro'!$G$2:$G$1795,$N329),IF(J329&lt;=30,INDEX('Tabela Passaro'!$H$2:$H$1795,$N329),IF(J329&lt;=50,INDEX('Tabela Passaro'!$I$2:$I$1795,$N329),IF(J329&lt;=70,INDEX('Tabela Passaro'!$J$2:$J$1795,$N329),IF(J329&lt;=100,INDEX('Tabela Passaro'!$K$2:$K$1795,$N329),INDEX('Tabela Passaro'!$K$2:$K$1795,$N329)+(J329-100)*INDEX('Tabela Passaro'!$L$2:$L$1795,$N329))))))</f>
        <v>73.44</v>
      </c>
      <c r="S329" s="32" t="n">
        <f aca="false">K329*INDEX('Tabela Passaro'!$M$2:$M$1795,$N329)</f>
        <v>4.14995</v>
      </c>
      <c r="T329" s="32" t="n">
        <f aca="false">K329*INDEX('Tabela Passaro'!$N$2:$N$1795,$N329)</f>
        <v>1.65998</v>
      </c>
      <c r="U329" s="32" t="n">
        <f aca="false">INDEX('Tabela Passaro'!$O$2:$O$1795,$N329)</f>
        <v>5</v>
      </c>
      <c r="V329" s="32" t="n">
        <f aca="false">ROUNDUP(J329/INDEX('Tabela Passaro'!$Q$2:$Q$1795,$N329),0)*INDEX('Tabela Passaro'!$P$2:$P$1795,$N329)</f>
        <v>5</v>
      </c>
      <c r="W329" s="32" t="n">
        <f aca="false">INDEX('Tabela Passaro'!$R$2:$R$1795,$N329)</f>
        <v>30</v>
      </c>
      <c r="X329" s="32" t="n">
        <f aca="false">ROUNDUP(J329/INDEX('Tabela Passaro'!$T$2:$T$1795,$N329),0)*INDEX('Tabela Passaro'!$S$2:$S$1795,$N329)</f>
        <v>0</v>
      </c>
      <c r="Y329" s="32" t="n">
        <f aca="false">INDEX('Tabela Passaro'!$U$2:$U$1795,$N329)</f>
        <v>0</v>
      </c>
      <c r="Z329" s="32" t="n">
        <f aca="false">INDEX('Tabela Passaro'!$V$2:$V$1795,$N329)</f>
        <v>0</v>
      </c>
      <c r="AA329" s="32" t="n">
        <f aca="false">SUM(R329:Z329)</f>
        <v>119.24993</v>
      </c>
      <c r="AB329" s="33" t="n">
        <f aca="false">INDEX(Premissas!$B$5:$B$13,MATCH(A329,Premissas!$A$5:$A$13,0))</f>
        <v>0.07</v>
      </c>
      <c r="AC329" s="32" t="n">
        <f aca="false">AA329/(1-AB329)-AA329</f>
        <v>8.97580118279571</v>
      </c>
      <c r="AD329" s="32" t="n">
        <f aca="false">ROUND(AA329+AC329,2)</f>
        <v>128.23</v>
      </c>
      <c r="AE329" s="32" t="n">
        <f aca="false">AD329-L329</f>
        <v>-37.64</v>
      </c>
      <c r="AF329" s="34" t="n">
        <f aca="false">IF(L329=0,0,AE329/L329)</f>
        <v>-0.226924700066317</v>
      </c>
      <c r="AG329" s="22" t="str">
        <f aca="false">IF(AD329&lt;L329,"PASSARO","ATUAL")</f>
        <v>PASSARO</v>
      </c>
      <c r="AH329" s="22" t="str">
        <f aca="false">IF(P329&lt;&gt;A329,"Faixa cadastrada como "&amp;P329&amp;" na tabela; preço aplicado pela UF do CEP","")</f>
        <v/>
      </c>
      <c r="AI329" s="26" t="n">
        <v>162.4</v>
      </c>
      <c r="AJ329" s="22" t="str">
        <f aca="false">INDEX('Tabela Passaro'!$X$2:$X$1795,$N329)</f>
        <v>CAPITAL</v>
      </c>
    </row>
    <row r="330" customFormat="false" ht="15" hidden="false" customHeight="false" outlineLevel="0" collapsed="false">
      <c r="A330" s="22" t="s">
        <v>16</v>
      </c>
      <c r="B330" s="22" t="n">
        <v>1</v>
      </c>
      <c r="C330" s="22" t="s">
        <v>75</v>
      </c>
      <c r="D330" s="22" t="s">
        <v>30</v>
      </c>
      <c r="E330" s="22" t="s">
        <v>7328</v>
      </c>
      <c r="F330" s="22" t="n">
        <v>2314421</v>
      </c>
      <c r="G330" s="30" t="n">
        <v>46254</v>
      </c>
      <c r="H330" s="22" t="n">
        <v>134083</v>
      </c>
      <c r="I330" s="22" t="s">
        <v>7623</v>
      </c>
      <c r="J330" s="31" t="n">
        <v>36.8</v>
      </c>
      <c r="K330" s="26" t="n">
        <v>659.98</v>
      </c>
      <c r="L330" s="26" t="n">
        <v>143.43</v>
      </c>
      <c r="M330" s="22" t="s">
        <v>694</v>
      </c>
      <c r="N330" s="22" t="n">
        <f aca="false">MATCH(M330,'Tabela Passaro'!$A$2:$A$1795,0)</f>
        <v>106</v>
      </c>
      <c r="O330" s="22" t="str">
        <f aca="false">INDEX('Tabela Passaro'!$C$2:$C$1795,$N330)</f>
        <v>SALVADOR</v>
      </c>
      <c r="P330" s="22" t="str">
        <f aca="false">INDEX('Tabela Passaro'!$B$2:$B$1795,$N330)</f>
        <v>BA</v>
      </c>
      <c r="Q330" s="22" t="n">
        <f aca="false">INDEX('Tabela Passaro'!$F$2:$F$1795,$N330)</f>
        <v>6</v>
      </c>
      <c r="R330" s="32" t="n">
        <f aca="false">IF(J330&lt;=10,INDEX('Tabela Passaro'!$G$2:$G$1795,$N330),IF(J330&lt;=30,INDEX('Tabela Passaro'!$H$2:$H$1795,$N330),IF(J330&lt;=50,INDEX('Tabela Passaro'!$I$2:$I$1795,$N330),IF(J330&lt;=70,INDEX('Tabela Passaro'!$J$2:$J$1795,$N330),IF(J330&lt;=100,INDEX('Tabela Passaro'!$K$2:$K$1795,$N330),INDEX('Tabela Passaro'!$K$2:$K$1795,$N330)+(J330-100)*INDEX('Tabela Passaro'!$L$2:$L$1795,$N330))))))</f>
        <v>61.92</v>
      </c>
      <c r="S330" s="32" t="n">
        <f aca="false">K330*INDEX('Tabela Passaro'!$M$2:$M$1795,$N330)</f>
        <v>3.2999</v>
      </c>
      <c r="T330" s="32" t="n">
        <f aca="false">K330*INDEX('Tabela Passaro'!$N$2:$N$1795,$N330)</f>
        <v>1.31996</v>
      </c>
      <c r="U330" s="32" t="n">
        <f aca="false">INDEX('Tabela Passaro'!$O$2:$O$1795,$N330)</f>
        <v>5</v>
      </c>
      <c r="V330" s="32" t="n">
        <f aca="false">ROUNDUP(J330/INDEX('Tabela Passaro'!$Q$2:$Q$1795,$N330),0)*INDEX('Tabela Passaro'!$P$2:$P$1795,$N330)</f>
        <v>5</v>
      </c>
      <c r="W330" s="32" t="n">
        <f aca="false">INDEX('Tabela Passaro'!$R$2:$R$1795,$N330)</f>
        <v>30</v>
      </c>
      <c r="X330" s="32" t="n">
        <f aca="false">ROUNDUP(J330/INDEX('Tabela Passaro'!$T$2:$T$1795,$N330),0)*INDEX('Tabela Passaro'!$S$2:$S$1795,$N330)</f>
        <v>0</v>
      </c>
      <c r="Y330" s="32" t="n">
        <f aca="false">INDEX('Tabela Passaro'!$U$2:$U$1795,$N330)</f>
        <v>0</v>
      </c>
      <c r="Z330" s="32" t="n">
        <f aca="false">INDEX('Tabela Passaro'!$V$2:$V$1795,$N330)</f>
        <v>0</v>
      </c>
      <c r="AA330" s="32" t="n">
        <f aca="false">SUM(R330:Z330)</f>
        <v>106.53986</v>
      </c>
      <c r="AB330" s="33" t="n">
        <f aca="false">INDEX(Premissas!$B$5:$B$13,MATCH(A330,Premissas!$A$5:$A$13,0))</f>
        <v>0.07</v>
      </c>
      <c r="AC330" s="32" t="n">
        <f aca="false">AA330/(1-AB330)-AA330</f>
        <v>8.01912924731184</v>
      </c>
      <c r="AD330" s="32" t="n">
        <f aca="false">ROUND(AA330+AC330,2)</f>
        <v>114.56</v>
      </c>
      <c r="AE330" s="32" t="n">
        <f aca="false">AD330-L330</f>
        <v>-28.87</v>
      </c>
      <c r="AF330" s="34" t="n">
        <f aca="false">IF(L330=0,0,AE330/L330)</f>
        <v>-0.201282855748449</v>
      </c>
      <c r="AG330" s="22" t="str">
        <f aca="false">IF(AD330&lt;L330,"PASSARO","ATUAL")</f>
        <v>PASSARO</v>
      </c>
      <c r="AH330" s="22" t="str">
        <f aca="false">IF(P330&lt;&gt;A330,"Faixa cadastrada como "&amp;P330&amp;" na tabela; preço aplicado pela UF do CEP","")</f>
        <v/>
      </c>
      <c r="AI330" s="26" t="n">
        <v>140</v>
      </c>
      <c r="AJ330" s="22" t="str">
        <f aca="false">INDEX('Tabela Passaro'!$X$2:$X$1795,$N330)</f>
        <v>CAPITAL</v>
      </c>
    </row>
    <row r="331" customFormat="false" ht="15" hidden="false" customHeight="false" outlineLevel="0" collapsed="false">
      <c r="A331" s="22" t="s">
        <v>16</v>
      </c>
      <c r="B331" s="22" t="n">
        <v>1</v>
      </c>
      <c r="C331" s="22" t="s">
        <v>75</v>
      </c>
      <c r="D331" s="22" t="s">
        <v>30</v>
      </c>
      <c r="E331" s="22" t="s">
        <v>7328</v>
      </c>
      <c r="F331" s="22" t="n">
        <v>2314425</v>
      </c>
      <c r="G331" s="30" t="n">
        <v>46254</v>
      </c>
      <c r="H331" s="22" t="n">
        <v>134087</v>
      </c>
      <c r="I331" s="22" t="s">
        <v>7624</v>
      </c>
      <c r="J331" s="31" t="n">
        <v>66.8</v>
      </c>
      <c r="K331" s="26" t="n">
        <v>894.98</v>
      </c>
      <c r="L331" s="26" t="n">
        <v>166.38</v>
      </c>
      <c r="M331" s="22" t="s">
        <v>694</v>
      </c>
      <c r="N331" s="22" t="n">
        <f aca="false">MATCH(M331,'Tabela Passaro'!$A$2:$A$1795,0)</f>
        <v>106</v>
      </c>
      <c r="O331" s="22" t="str">
        <f aca="false">INDEX('Tabela Passaro'!$C$2:$C$1795,$N331)</f>
        <v>SALVADOR</v>
      </c>
      <c r="P331" s="22" t="str">
        <f aca="false">INDEX('Tabela Passaro'!$B$2:$B$1795,$N331)</f>
        <v>BA</v>
      </c>
      <c r="Q331" s="22" t="n">
        <f aca="false">INDEX('Tabela Passaro'!$F$2:$F$1795,$N331)</f>
        <v>6</v>
      </c>
      <c r="R331" s="32" t="n">
        <f aca="false">IF(J331&lt;=10,INDEX('Tabela Passaro'!$G$2:$G$1795,$N331),IF(J331&lt;=30,INDEX('Tabela Passaro'!$H$2:$H$1795,$N331),IF(J331&lt;=50,INDEX('Tabela Passaro'!$I$2:$I$1795,$N331),IF(J331&lt;=70,INDEX('Tabela Passaro'!$J$2:$J$1795,$N331),IF(J331&lt;=100,INDEX('Tabela Passaro'!$K$2:$K$1795,$N331),INDEX('Tabela Passaro'!$K$2:$K$1795,$N331)+(J331-100)*INDEX('Tabela Passaro'!$L$2:$L$1795,$N331))))))</f>
        <v>73.44</v>
      </c>
      <c r="S331" s="32" t="n">
        <f aca="false">K331*INDEX('Tabela Passaro'!$M$2:$M$1795,$N331)</f>
        <v>4.4749</v>
      </c>
      <c r="T331" s="32" t="n">
        <f aca="false">K331*INDEX('Tabela Passaro'!$N$2:$N$1795,$N331)</f>
        <v>1.78996</v>
      </c>
      <c r="U331" s="32" t="n">
        <f aca="false">INDEX('Tabela Passaro'!$O$2:$O$1795,$N331)</f>
        <v>5</v>
      </c>
      <c r="V331" s="32" t="n">
        <f aca="false">ROUNDUP(J331/INDEX('Tabela Passaro'!$Q$2:$Q$1795,$N331),0)*INDEX('Tabela Passaro'!$P$2:$P$1795,$N331)</f>
        <v>5</v>
      </c>
      <c r="W331" s="32" t="n">
        <f aca="false">INDEX('Tabela Passaro'!$R$2:$R$1795,$N331)</f>
        <v>30</v>
      </c>
      <c r="X331" s="32" t="n">
        <f aca="false">ROUNDUP(J331/INDEX('Tabela Passaro'!$T$2:$T$1795,$N331),0)*INDEX('Tabela Passaro'!$S$2:$S$1795,$N331)</f>
        <v>0</v>
      </c>
      <c r="Y331" s="32" t="n">
        <f aca="false">INDEX('Tabela Passaro'!$U$2:$U$1795,$N331)</f>
        <v>0</v>
      </c>
      <c r="Z331" s="32" t="n">
        <f aca="false">INDEX('Tabela Passaro'!$V$2:$V$1795,$N331)</f>
        <v>0</v>
      </c>
      <c r="AA331" s="32" t="n">
        <f aca="false">SUM(R331:Z331)</f>
        <v>119.70486</v>
      </c>
      <c r="AB331" s="33" t="n">
        <f aca="false">INDEX(Premissas!$B$5:$B$13,MATCH(A331,Premissas!$A$5:$A$13,0))</f>
        <v>0.07</v>
      </c>
      <c r="AC331" s="32" t="n">
        <f aca="false">AA331/(1-AB331)-AA331</f>
        <v>9.01004322580647</v>
      </c>
      <c r="AD331" s="32" t="n">
        <f aca="false">ROUND(AA331+AC331,2)</f>
        <v>128.71</v>
      </c>
      <c r="AE331" s="32" t="n">
        <f aca="false">AD331-L331</f>
        <v>-37.67</v>
      </c>
      <c r="AF331" s="34" t="n">
        <f aca="false">IF(L331=0,0,AE331/L331)</f>
        <v>-0.226409424209641</v>
      </c>
      <c r="AG331" s="22" t="str">
        <f aca="false">IF(AD331&lt;L331,"PASSARO","ATUAL")</f>
        <v>PASSARO</v>
      </c>
      <c r="AH331" s="22" t="str">
        <f aca="false">IF(P331&lt;&gt;A331,"Faixa cadastrada como "&amp;P331&amp;" na tabela; preço aplicado pela UF do CEP","")</f>
        <v/>
      </c>
      <c r="AI331" s="26" t="n">
        <v>169.32</v>
      </c>
      <c r="AJ331" s="22" t="str">
        <f aca="false">INDEX('Tabela Passaro'!$X$2:$X$1795,$N331)</f>
        <v>CAPITAL</v>
      </c>
    </row>
    <row r="332" customFormat="false" ht="15" hidden="false" customHeight="false" outlineLevel="0" collapsed="false">
      <c r="A332" s="22" t="s">
        <v>16</v>
      </c>
      <c r="B332" s="22" t="n">
        <v>1</v>
      </c>
      <c r="C332" s="22" t="s">
        <v>75</v>
      </c>
      <c r="D332" s="22" t="s">
        <v>30</v>
      </c>
      <c r="E332" s="22" t="s">
        <v>7328</v>
      </c>
      <c r="F332" s="22" t="n">
        <v>2314426</v>
      </c>
      <c r="G332" s="30" t="n">
        <v>46254</v>
      </c>
      <c r="H332" s="22" t="n">
        <v>134090</v>
      </c>
      <c r="I332" s="22" t="s">
        <v>7625</v>
      </c>
      <c r="J332" s="31" t="n">
        <v>66.4</v>
      </c>
      <c r="K332" s="26" t="n">
        <v>985.98</v>
      </c>
      <c r="L332" s="26" t="n">
        <v>167.1</v>
      </c>
      <c r="M332" s="22" t="s">
        <v>694</v>
      </c>
      <c r="N332" s="22" t="n">
        <f aca="false">MATCH(M332,'Tabela Passaro'!$A$2:$A$1795,0)</f>
        <v>106</v>
      </c>
      <c r="O332" s="22" t="str">
        <f aca="false">INDEX('Tabela Passaro'!$C$2:$C$1795,$N332)</f>
        <v>SALVADOR</v>
      </c>
      <c r="P332" s="22" t="str">
        <f aca="false">INDEX('Tabela Passaro'!$B$2:$B$1795,$N332)</f>
        <v>BA</v>
      </c>
      <c r="Q332" s="22" t="n">
        <f aca="false">INDEX('Tabela Passaro'!$F$2:$F$1795,$N332)</f>
        <v>6</v>
      </c>
      <c r="R332" s="32" t="n">
        <f aca="false">IF(J332&lt;=10,INDEX('Tabela Passaro'!$G$2:$G$1795,$N332),IF(J332&lt;=30,INDEX('Tabela Passaro'!$H$2:$H$1795,$N332),IF(J332&lt;=50,INDEX('Tabela Passaro'!$I$2:$I$1795,$N332),IF(J332&lt;=70,INDEX('Tabela Passaro'!$J$2:$J$1795,$N332),IF(J332&lt;=100,INDEX('Tabela Passaro'!$K$2:$K$1795,$N332),INDEX('Tabela Passaro'!$K$2:$K$1795,$N332)+(J332-100)*INDEX('Tabela Passaro'!$L$2:$L$1795,$N332))))))</f>
        <v>73.44</v>
      </c>
      <c r="S332" s="32" t="n">
        <f aca="false">K332*INDEX('Tabela Passaro'!$M$2:$M$1795,$N332)</f>
        <v>4.9299</v>
      </c>
      <c r="T332" s="32" t="n">
        <f aca="false">K332*INDEX('Tabela Passaro'!$N$2:$N$1795,$N332)</f>
        <v>1.97196</v>
      </c>
      <c r="U332" s="32" t="n">
        <f aca="false">INDEX('Tabela Passaro'!$O$2:$O$1795,$N332)</f>
        <v>5</v>
      </c>
      <c r="V332" s="32" t="n">
        <f aca="false">ROUNDUP(J332/INDEX('Tabela Passaro'!$Q$2:$Q$1795,$N332),0)*INDEX('Tabela Passaro'!$P$2:$P$1795,$N332)</f>
        <v>5</v>
      </c>
      <c r="W332" s="32" t="n">
        <f aca="false">INDEX('Tabela Passaro'!$R$2:$R$1795,$N332)</f>
        <v>30</v>
      </c>
      <c r="X332" s="32" t="n">
        <f aca="false">ROUNDUP(J332/INDEX('Tabela Passaro'!$T$2:$T$1795,$N332),0)*INDEX('Tabela Passaro'!$S$2:$S$1795,$N332)</f>
        <v>0</v>
      </c>
      <c r="Y332" s="32" t="n">
        <f aca="false">INDEX('Tabela Passaro'!$U$2:$U$1795,$N332)</f>
        <v>0</v>
      </c>
      <c r="Z332" s="32" t="n">
        <f aca="false">INDEX('Tabela Passaro'!$V$2:$V$1795,$N332)</f>
        <v>0</v>
      </c>
      <c r="AA332" s="32" t="n">
        <f aca="false">SUM(R332:Z332)</f>
        <v>120.34186</v>
      </c>
      <c r="AB332" s="33" t="n">
        <f aca="false">INDEX(Premissas!$B$5:$B$13,MATCH(A332,Premissas!$A$5:$A$13,0))</f>
        <v>0.07</v>
      </c>
      <c r="AC332" s="32" t="n">
        <f aca="false">AA332/(1-AB332)-AA332</f>
        <v>9.05798946236561</v>
      </c>
      <c r="AD332" s="32" t="n">
        <f aca="false">ROUND(AA332+AC332,2)</f>
        <v>129.4</v>
      </c>
      <c r="AE332" s="32" t="n">
        <f aca="false">AD332-L332</f>
        <v>-37.7</v>
      </c>
      <c r="AF332" s="34" t="n">
        <f aca="false">IF(L332=0,0,AE332/L332)</f>
        <v>-0.225613405146619</v>
      </c>
      <c r="AG332" s="22" t="str">
        <f aca="false">IF(AD332&lt;L332,"PASSARO","ATUAL")</f>
        <v>PASSARO</v>
      </c>
      <c r="AH332" s="22" t="str">
        <f aca="false">IF(P332&lt;&gt;A332,"Faixa cadastrada como "&amp;P332&amp;" na tabela; preço aplicado pela UF do CEP","")</f>
        <v/>
      </c>
      <c r="AI332" s="26" t="n">
        <v>170.2</v>
      </c>
      <c r="AJ332" s="22" t="str">
        <f aca="false">INDEX('Tabela Passaro'!$X$2:$X$1795,$N332)</f>
        <v>CAPITAL</v>
      </c>
    </row>
    <row r="333" customFormat="false" ht="15" hidden="false" customHeight="false" outlineLevel="0" collapsed="false">
      <c r="A333" s="22" t="s">
        <v>16</v>
      </c>
      <c r="B333" s="22" t="n">
        <v>1</v>
      </c>
      <c r="C333" s="22" t="s">
        <v>75</v>
      </c>
      <c r="D333" s="22" t="s">
        <v>30</v>
      </c>
      <c r="E333" s="22" t="s">
        <v>7328</v>
      </c>
      <c r="F333" s="22" t="n">
        <v>2314429</v>
      </c>
      <c r="G333" s="30" t="n">
        <v>46254</v>
      </c>
      <c r="H333" s="22" t="n">
        <v>134091</v>
      </c>
      <c r="I333" s="22" t="s">
        <v>7626</v>
      </c>
      <c r="J333" s="31" t="n">
        <v>36.9</v>
      </c>
      <c r="K333" s="26" t="n">
        <v>503.66</v>
      </c>
      <c r="L333" s="26" t="n">
        <v>142.19</v>
      </c>
      <c r="M333" s="22" t="s">
        <v>694</v>
      </c>
      <c r="N333" s="22" t="n">
        <f aca="false">MATCH(M333,'Tabela Passaro'!$A$2:$A$1795,0)</f>
        <v>106</v>
      </c>
      <c r="O333" s="22" t="str">
        <f aca="false">INDEX('Tabela Passaro'!$C$2:$C$1795,$N333)</f>
        <v>SALVADOR</v>
      </c>
      <c r="P333" s="22" t="str">
        <f aca="false">INDEX('Tabela Passaro'!$B$2:$B$1795,$N333)</f>
        <v>BA</v>
      </c>
      <c r="Q333" s="22" t="n">
        <f aca="false">INDEX('Tabela Passaro'!$F$2:$F$1795,$N333)</f>
        <v>6</v>
      </c>
      <c r="R333" s="32" t="n">
        <f aca="false">IF(J333&lt;=10,INDEX('Tabela Passaro'!$G$2:$G$1795,$N333),IF(J333&lt;=30,INDEX('Tabela Passaro'!$H$2:$H$1795,$N333),IF(J333&lt;=50,INDEX('Tabela Passaro'!$I$2:$I$1795,$N333),IF(J333&lt;=70,INDEX('Tabela Passaro'!$J$2:$J$1795,$N333),IF(J333&lt;=100,INDEX('Tabela Passaro'!$K$2:$K$1795,$N333),INDEX('Tabela Passaro'!$K$2:$K$1795,$N333)+(J333-100)*INDEX('Tabela Passaro'!$L$2:$L$1795,$N333))))))</f>
        <v>61.92</v>
      </c>
      <c r="S333" s="32" t="n">
        <f aca="false">K333*INDEX('Tabela Passaro'!$M$2:$M$1795,$N333)</f>
        <v>2.5183</v>
      </c>
      <c r="T333" s="32" t="n">
        <f aca="false">K333*INDEX('Tabela Passaro'!$N$2:$N$1795,$N333)</f>
        <v>1.00732</v>
      </c>
      <c r="U333" s="32" t="n">
        <f aca="false">INDEX('Tabela Passaro'!$O$2:$O$1795,$N333)</f>
        <v>5</v>
      </c>
      <c r="V333" s="32" t="n">
        <f aca="false">ROUNDUP(J333/INDEX('Tabela Passaro'!$Q$2:$Q$1795,$N333),0)*INDEX('Tabela Passaro'!$P$2:$P$1795,$N333)</f>
        <v>5</v>
      </c>
      <c r="W333" s="32" t="n">
        <f aca="false">INDEX('Tabela Passaro'!$R$2:$R$1795,$N333)</f>
        <v>30</v>
      </c>
      <c r="X333" s="32" t="n">
        <f aca="false">ROUNDUP(J333/INDEX('Tabela Passaro'!$T$2:$T$1795,$N333),0)*INDEX('Tabela Passaro'!$S$2:$S$1795,$N333)</f>
        <v>0</v>
      </c>
      <c r="Y333" s="32" t="n">
        <f aca="false">INDEX('Tabela Passaro'!$U$2:$U$1795,$N333)</f>
        <v>0</v>
      </c>
      <c r="Z333" s="32" t="n">
        <f aca="false">INDEX('Tabela Passaro'!$V$2:$V$1795,$N333)</f>
        <v>0</v>
      </c>
      <c r="AA333" s="32" t="n">
        <f aca="false">SUM(R333:Z333)</f>
        <v>105.44562</v>
      </c>
      <c r="AB333" s="33" t="n">
        <f aca="false">INDEX(Premissas!$B$5:$B$13,MATCH(A333,Premissas!$A$5:$A$13,0))</f>
        <v>0.07</v>
      </c>
      <c r="AC333" s="32" t="n">
        <f aca="false">AA333/(1-AB333)-AA333</f>
        <v>7.9367670967742</v>
      </c>
      <c r="AD333" s="32" t="n">
        <f aca="false">ROUND(AA333+AC333,2)</f>
        <v>113.38</v>
      </c>
      <c r="AE333" s="32" t="n">
        <f aca="false">AD333-L333</f>
        <v>-28.81</v>
      </c>
      <c r="AF333" s="34" t="n">
        <f aca="false">IF(L333=0,0,AE333/L333)</f>
        <v>-0.202616217736831</v>
      </c>
      <c r="AG333" s="22" t="str">
        <f aca="false">IF(AD333&lt;L333,"PASSARO","ATUAL")</f>
        <v>PASSARO</v>
      </c>
      <c r="AH333" s="22" t="str">
        <f aca="false">IF(P333&lt;&gt;A333,"Faixa cadastrada como "&amp;P333&amp;" na tabela; preço aplicado pela UF do CEP","")</f>
        <v/>
      </c>
      <c r="AI333" s="26" t="n">
        <v>138.49</v>
      </c>
      <c r="AJ333" s="22" t="str">
        <f aca="false">INDEX('Tabela Passaro'!$X$2:$X$1795,$N333)</f>
        <v>CAPITAL</v>
      </c>
    </row>
    <row r="334" customFormat="false" ht="15" hidden="false" customHeight="false" outlineLevel="0" collapsed="false">
      <c r="A334" s="22" t="s">
        <v>16</v>
      </c>
      <c r="B334" s="22" t="n">
        <v>1</v>
      </c>
      <c r="C334" s="22" t="s">
        <v>75</v>
      </c>
      <c r="D334" s="22" t="s">
        <v>30</v>
      </c>
      <c r="E334" s="22" t="s">
        <v>7328</v>
      </c>
      <c r="F334" s="22" t="n">
        <v>2314449</v>
      </c>
      <c r="G334" s="30" t="n">
        <v>46254</v>
      </c>
      <c r="H334" s="22" t="n">
        <v>134277</v>
      </c>
      <c r="I334" s="22" t="s">
        <v>7627</v>
      </c>
      <c r="J334" s="31" t="n">
        <v>29.97</v>
      </c>
      <c r="K334" s="26" t="n">
        <v>451.92</v>
      </c>
      <c r="L334" s="26" t="n">
        <v>111.19</v>
      </c>
      <c r="M334" s="22" t="s">
        <v>694</v>
      </c>
      <c r="N334" s="22" t="n">
        <f aca="false">MATCH(M334,'Tabela Passaro'!$A$2:$A$1795,0)</f>
        <v>106</v>
      </c>
      <c r="O334" s="22" t="str">
        <f aca="false">INDEX('Tabela Passaro'!$C$2:$C$1795,$N334)</f>
        <v>SALVADOR</v>
      </c>
      <c r="P334" s="22" t="str">
        <f aca="false">INDEX('Tabela Passaro'!$B$2:$B$1795,$N334)</f>
        <v>BA</v>
      </c>
      <c r="Q334" s="22" t="n">
        <f aca="false">INDEX('Tabela Passaro'!$F$2:$F$1795,$N334)</f>
        <v>6</v>
      </c>
      <c r="R334" s="32" t="n">
        <f aca="false">IF(J334&lt;=10,INDEX('Tabela Passaro'!$G$2:$G$1795,$N334),IF(J334&lt;=30,INDEX('Tabela Passaro'!$H$2:$H$1795,$N334),IF(J334&lt;=50,INDEX('Tabela Passaro'!$I$2:$I$1795,$N334),IF(J334&lt;=70,INDEX('Tabela Passaro'!$J$2:$J$1795,$N334),IF(J334&lt;=100,INDEX('Tabela Passaro'!$K$2:$K$1795,$N334),INDEX('Tabela Passaro'!$K$2:$K$1795,$N334)+(J334-100)*INDEX('Tabela Passaro'!$L$2:$L$1795,$N334))))))</f>
        <v>50.4</v>
      </c>
      <c r="S334" s="32" t="n">
        <f aca="false">K334*INDEX('Tabela Passaro'!$M$2:$M$1795,$N334)</f>
        <v>2.2596</v>
      </c>
      <c r="T334" s="32" t="n">
        <f aca="false">K334*INDEX('Tabela Passaro'!$N$2:$N$1795,$N334)</f>
        <v>0.90384</v>
      </c>
      <c r="U334" s="32" t="n">
        <f aca="false">INDEX('Tabela Passaro'!$O$2:$O$1795,$N334)</f>
        <v>5</v>
      </c>
      <c r="V334" s="32" t="n">
        <f aca="false">ROUNDUP(J334/INDEX('Tabela Passaro'!$Q$2:$Q$1795,$N334),0)*INDEX('Tabela Passaro'!$P$2:$P$1795,$N334)</f>
        <v>5</v>
      </c>
      <c r="W334" s="32" t="n">
        <f aca="false">INDEX('Tabela Passaro'!$R$2:$R$1795,$N334)</f>
        <v>30</v>
      </c>
      <c r="X334" s="32" t="n">
        <f aca="false">ROUNDUP(J334/INDEX('Tabela Passaro'!$T$2:$T$1795,$N334),0)*INDEX('Tabela Passaro'!$S$2:$S$1795,$N334)</f>
        <v>0</v>
      </c>
      <c r="Y334" s="32" t="n">
        <f aca="false">INDEX('Tabela Passaro'!$U$2:$U$1795,$N334)</f>
        <v>0</v>
      </c>
      <c r="Z334" s="32" t="n">
        <f aca="false">INDEX('Tabela Passaro'!$V$2:$V$1795,$N334)</f>
        <v>0</v>
      </c>
      <c r="AA334" s="32" t="n">
        <f aca="false">SUM(R334:Z334)</f>
        <v>93.56344</v>
      </c>
      <c r="AB334" s="33" t="n">
        <f aca="false">INDEX(Premissas!$B$5:$B$13,MATCH(A334,Premissas!$A$5:$A$13,0))</f>
        <v>0.07</v>
      </c>
      <c r="AC334" s="32" t="n">
        <f aca="false">AA334/(1-AB334)-AA334</f>
        <v>7.0424094623656</v>
      </c>
      <c r="AD334" s="32" t="n">
        <f aca="false">ROUND(AA334+AC334,2)</f>
        <v>100.61</v>
      </c>
      <c r="AE334" s="32" t="n">
        <f aca="false">AD334-L334</f>
        <v>-10.58</v>
      </c>
      <c r="AF334" s="34" t="n">
        <f aca="false">IF(L334=0,0,AE334/L334)</f>
        <v>-0.0951524417663459</v>
      </c>
      <c r="AG334" s="22" t="str">
        <f aca="false">IF(AD334&lt;L334,"PASSARO","ATUAL")</f>
        <v>PASSARO</v>
      </c>
      <c r="AH334" s="22" t="str">
        <f aca="false">IF(P334&lt;&gt;A334,"Faixa cadastrada como "&amp;P334&amp;" na tabela; preço aplicado pela UF do CEP","")</f>
        <v/>
      </c>
      <c r="AI334" s="26" t="n">
        <v>122.07</v>
      </c>
      <c r="AJ334" s="22" t="str">
        <f aca="false">INDEX('Tabela Passaro'!$X$2:$X$1795,$N334)</f>
        <v>CAPITAL</v>
      </c>
    </row>
    <row r="335" customFormat="false" ht="15" hidden="false" customHeight="false" outlineLevel="0" collapsed="false">
      <c r="A335" s="22" t="s">
        <v>16</v>
      </c>
      <c r="B335" s="22" t="n">
        <v>1</v>
      </c>
      <c r="C335" s="22" t="s">
        <v>75</v>
      </c>
      <c r="D335" s="22" t="s">
        <v>30</v>
      </c>
      <c r="E335" s="22" t="s">
        <v>7328</v>
      </c>
      <c r="F335" s="22" t="n">
        <v>2314450</v>
      </c>
      <c r="G335" s="30" t="n">
        <v>46254</v>
      </c>
      <c r="H335" s="22" t="n">
        <v>134278</v>
      </c>
      <c r="I335" s="22" t="s">
        <v>7628</v>
      </c>
      <c r="J335" s="31" t="n">
        <v>69.11</v>
      </c>
      <c r="K335" s="26" t="n">
        <v>997.91</v>
      </c>
      <c r="L335" s="26" t="n">
        <v>167.2</v>
      </c>
      <c r="M335" s="22" t="s">
        <v>694</v>
      </c>
      <c r="N335" s="22" t="n">
        <f aca="false">MATCH(M335,'Tabela Passaro'!$A$2:$A$1795,0)</f>
        <v>106</v>
      </c>
      <c r="O335" s="22" t="str">
        <f aca="false">INDEX('Tabela Passaro'!$C$2:$C$1795,$N335)</f>
        <v>SALVADOR</v>
      </c>
      <c r="P335" s="22" t="str">
        <f aca="false">INDEX('Tabela Passaro'!$B$2:$B$1795,$N335)</f>
        <v>BA</v>
      </c>
      <c r="Q335" s="22" t="n">
        <f aca="false">INDEX('Tabela Passaro'!$F$2:$F$1795,$N335)</f>
        <v>6</v>
      </c>
      <c r="R335" s="32" t="n">
        <f aca="false">IF(J335&lt;=10,INDEX('Tabela Passaro'!$G$2:$G$1795,$N335),IF(J335&lt;=30,INDEX('Tabela Passaro'!$H$2:$H$1795,$N335),IF(J335&lt;=50,INDEX('Tabela Passaro'!$I$2:$I$1795,$N335),IF(J335&lt;=70,INDEX('Tabela Passaro'!$J$2:$J$1795,$N335),IF(J335&lt;=100,INDEX('Tabela Passaro'!$K$2:$K$1795,$N335),INDEX('Tabela Passaro'!$K$2:$K$1795,$N335)+(J335-100)*INDEX('Tabela Passaro'!$L$2:$L$1795,$N335))))))</f>
        <v>73.44</v>
      </c>
      <c r="S335" s="32" t="n">
        <f aca="false">K335*INDEX('Tabela Passaro'!$M$2:$M$1795,$N335)</f>
        <v>4.98955</v>
      </c>
      <c r="T335" s="32" t="n">
        <f aca="false">K335*INDEX('Tabela Passaro'!$N$2:$N$1795,$N335)</f>
        <v>1.99582</v>
      </c>
      <c r="U335" s="32" t="n">
        <f aca="false">INDEX('Tabela Passaro'!$O$2:$O$1795,$N335)</f>
        <v>5</v>
      </c>
      <c r="V335" s="32" t="n">
        <f aca="false">ROUNDUP(J335/INDEX('Tabela Passaro'!$Q$2:$Q$1795,$N335),0)*INDEX('Tabela Passaro'!$P$2:$P$1795,$N335)</f>
        <v>5</v>
      </c>
      <c r="W335" s="32" t="n">
        <f aca="false">INDEX('Tabela Passaro'!$R$2:$R$1795,$N335)</f>
        <v>30</v>
      </c>
      <c r="X335" s="32" t="n">
        <f aca="false">ROUNDUP(J335/INDEX('Tabela Passaro'!$T$2:$T$1795,$N335),0)*INDEX('Tabela Passaro'!$S$2:$S$1795,$N335)</f>
        <v>0</v>
      </c>
      <c r="Y335" s="32" t="n">
        <f aca="false">INDEX('Tabela Passaro'!$U$2:$U$1795,$N335)</f>
        <v>0</v>
      </c>
      <c r="Z335" s="32" t="n">
        <f aca="false">INDEX('Tabela Passaro'!$V$2:$V$1795,$N335)</f>
        <v>0</v>
      </c>
      <c r="AA335" s="32" t="n">
        <f aca="false">SUM(R335:Z335)</f>
        <v>120.42537</v>
      </c>
      <c r="AB335" s="33" t="n">
        <f aca="false">INDEX(Premissas!$B$5:$B$13,MATCH(A335,Premissas!$A$5:$A$13,0))</f>
        <v>0.07</v>
      </c>
      <c r="AC335" s="32" t="n">
        <f aca="false">AA335/(1-AB335)-AA335</f>
        <v>9.06427516129033</v>
      </c>
      <c r="AD335" s="32" t="n">
        <f aca="false">ROUND(AA335+AC335,2)</f>
        <v>129.49</v>
      </c>
      <c r="AE335" s="32" t="n">
        <f aca="false">AD335-L335</f>
        <v>-37.71</v>
      </c>
      <c r="AF335" s="34" t="n">
        <f aca="false">IF(L335=0,0,AE335/L335)</f>
        <v>-0.225538277511962</v>
      </c>
      <c r="AG335" s="22" t="str">
        <f aca="false">IF(AD335&lt;L335,"PASSARO","ATUAL")</f>
        <v>PASSARO</v>
      </c>
      <c r="AH335" s="22" t="str">
        <f aca="false">IF(P335&lt;&gt;A335,"Faixa cadastrada como "&amp;P335&amp;" na tabela; preço aplicado pela UF do CEP","")</f>
        <v/>
      </c>
      <c r="AI335" s="26" t="n">
        <v>171.76</v>
      </c>
      <c r="AJ335" s="22" t="str">
        <f aca="false">INDEX('Tabela Passaro'!$X$2:$X$1795,$N335)</f>
        <v>CAPITAL</v>
      </c>
    </row>
    <row r="336" customFormat="false" ht="15" hidden="false" customHeight="false" outlineLevel="0" collapsed="false">
      <c r="A336" s="22" t="s">
        <v>16</v>
      </c>
      <c r="B336" s="22" t="n">
        <v>1</v>
      </c>
      <c r="C336" s="22" t="s">
        <v>75</v>
      </c>
      <c r="D336" s="22" t="s">
        <v>30</v>
      </c>
      <c r="E336" s="22" t="s">
        <v>7328</v>
      </c>
      <c r="F336" s="22" t="n">
        <v>2314448</v>
      </c>
      <c r="G336" s="30" t="n">
        <v>46254</v>
      </c>
      <c r="H336" s="22" t="n">
        <v>134292</v>
      </c>
      <c r="I336" s="22" t="s">
        <v>7629</v>
      </c>
      <c r="J336" s="31" t="n">
        <v>27.4</v>
      </c>
      <c r="K336" s="26" t="n">
        <v>501.48</v>
      </c>
      <c r="L336" s="26" t="n">
        <v>111.58</v>
      </c>
      <c r="M336" s="22" t="s">
        <v>694</v>
      </c>
      <c r="N336" s="22" t="n">
        <f aca="false">MATCH(M336,'Tabela Passaro'!$A$2:$A$1795,0)</f>
        <v>106</v>
      </c>
      <c r="O336" s="22" t="str">
        <f aca="false">INDEX('Tabela Passaro'!$C$2:$C$1795,$N336)</f>
        <v>SALVADOR</v>
      </c>
      <c r="P336" s="22" t="str">
        <f aca="false">INDEX('Tabela Passaro'!$B$2:$B$1795,$N336)</f>
        <v>BA</v>
      </c>
      <c r="Q336" s="22" t="n">
        <f aca="false">INDEX('Tabela Passaro'!$F$2:$F$1795,$N336)</f>
        <v>6</v>
      </c>
      <c r="R336" s="32" t="n">
        <f aca="false">IF(J336&lt;=10,INDEX('Tabela Passaro'!$G$2:$G$1795,$N336),IF(J336&lt;=30,INDEX('Tabela Passaro'!$H$2:$H$1795,$N336),IF(J336&lt;=50,INDEX('Tabela Passaro'!$I$2:$I$1795,$N336),IF(J336&lt;=70,INDEX('Tabela Passaro'!$J$2:$J$1795,$N336),IF(J336&lt;=100,INDEX('Tabela Passaro'!$K$2:$K$1795,$N336),INDEX('Tabela Passaro'!$K$2:$K$1795,$N336)+(J336-100)*INDEX('Tabela Passaro'!$L$2:$L$1795,$N336))))))</f>
        <v>50.4</v>
      </c>
      <c r="S336" s="32" t="n">
        <f aca="false">K336*INDEX('Tabela Passaro'!$M$2:$M$1795,$N336)</f>
        <v>2.5074</v>
      </c>
      <c r="T336" s="32" t="n">
        <f aca="false">K336*INDEX('Tabela Passaro'!$N$2:$N$1795,$N336)</f>
        <v>1.00296</v>
      </c>
      <c r="U336" s="32" t="n">
        <f aca="false">INDEX('Tabela Passaro'!$O$2:$O$1795,$N336)</f>
        <v>5</v>
      </c>
      <c r="V336" s="32" t="n">
        <f aca="false">ROUNDUP(J336/INDEX('Tabela Passaro'!$Q$2:$Q$1795,$N336),0)*INDEX('Tabela Passaro'!$P$2:$P$1795,$N336)</f>
        <v>5</v>
      </c>
      <c r="W336" s="32" t="n">
        <f aca="false">INDEX('Tabela Passaro'!$R$2:$R$1795,$N336)</f>
        <v>30</v>
      </c>
      <c r="X336" s="32" t="n">
        <f aca="false">ROUNDUP(J336/INDEX('Tabela Passaro'!$T$2:$T$1795,$N336),0)*INDEX('Tabela Passaro'!$S$2:$S$1795,$N336)</f>
        <v>0</v>
      </c>
      <c r="Y336" s="32" t="n">
        <f aca="false">INDEX('Tabela Passaro'!$U$2:$U$1795,$N336)</f>
        <v>0</v>
      </c>
      <c r="Z336" s="32" t="n">
        <f aca="false">INDEX('Tabela Passaro'!$V$2:$V$1795,$N336)</f>
        <v>0</v>
      </c>
      <c r="AA336" s="32" t="n">
        <f aca="false">SUM(R336:Z336)</f>
        <v>93.91036</v>
      </c>
      <c r="AB336" s="33" t="n">
        <f aca="false">INDEX(Premissas!$B$5:$B$13,MATCH(A336,Premissas!$A$5:$A$13,0))</f>
        <v>0.07</v>
      </c>
      <c r="AC336" s="32" t="n">
        <f aca="false">AA336/(1-AB336)-AA336</f>
        <v>7.06852172043011</v>
      </c>
      <c r="AD336" s="32" t="n">
        <f aca="false">ROUND(AA336+AC336,2)</f>
        <v>100.98</v>
      </c>
      <c r="AE336" s="32" t="n">
        <f aca="false">AD336-L336</f>
        <v>-10.6</v>
      </c>
      <c r="AF336" s="34" t="n">
        <f aca="false">IF(L336=0,0,AE336/L336)</f>
        <v>-0.0949991037820397</v>
      </c>
      <c r="AG336" s="22" t="str">
        <f aca="false">IF(AD336&lt;L336,"PASSARO","ATUAL")</f>
        <v>PASSARO</v>
      </c>
      <c r="AH336" s="22" t="str">
        <f aca="false">IF(P336&lt;&gt;A336,"Faixa cadastrada como "&amp;P336&amp;" na tabela; preço aplicado pela UF do CEP","")</f>
        <v/>
      </c>
      <c r="AI336" s="26" t="n">
        <v>121.58</v>
      </c>
      <c r="AJ336" s="22" t="str">
        <f aca="false">INDEX('Tabela Passaro'!$X$2:$X$1795,$N336)</f>
        <v>CAPITAL</v>
      </c>
    </row>
    <row r="337" customFormat="false" ht="15" hidden="false" customHeight="false" outlineLevel="0" collapsed="false">
      <c r="A337" s="22" t="s">
        <v>16</v>
      </c>
      <c r="B337" s="22" t="n">
        <v>1</v>
      </c>
      <c r="C337" s="22" t="s">
        <v>75</v>
      </c>
      <c r="D337" s="22" t="s">
        <v>30</v>
      </c>
      <c r="E337" s="22" t="s">
        <v>7328</v>
      </c>
      <c r="F337" s="22" t="n">
        <v>2314457</v>
      </c>
      <c r="G337" s="30" t="n">
        <v>46254</v>
      </c>
      <c r="H337" s="22" t="n">
        <v>134295</v>
      </c>
      <c r="I337" s="22" t="s">
        <v>7481</v>
      </c>
      <c r="J337" s="31" t="n">
        <v>66.4</v>
      </c>
      <c r="K337" s="26" t="n">
        <v>914.52</v>
      </c>
      <c r="L337" s="26" t="n">
        <v>166.54</v>
      </c>
      <c r="M337" s="22" t="s">
        <v>694</v>
      </c>
      <c r="N337" s="22" t="n">
        <f aca="false">MATCH(M337,'Tabela Passaro'!$A$2:$A$1795,0)</f>
        <v>106</v>
      </c>
      <c r="O337" s="22" t="str">
        <f aca="false">INDEX('Tabela Passaro'!$C$2:$C$1795,$N337)</f>
        <v>SALVADOR</v>
      </c>
      <c r="P337" s="22" t="str">
        <f aca="false">INDEX('Tabela Passaro'!$B$2:$B$1795,$N337)</f>
        <v>BA</v>
      </c>
      <c r="Q337" s="22" t="n">
        <f aca="false">INDEX('Tabela Passaro'!$F$2:$F$1795,$N337)</f>
        <v>6</v>
      </c>
      <c r="R337" s="32" t="n">
        <f aca="false">IF(J337&lt;=10,INDEX('Tabela Passaro'!$G$2:$G$1795,$N337),IF(J337&lt;=30,INDEX('Tabela Passaro'!$H$2:$H$1795,$N337),IF(J337&lt;=50,INDEX('Tabela Passaro'!$I$2:$I$1795,$N337),IF(J337&lt;=70,INDEX('Tabela Passaro'!$J$2:$J$1795,$N337),IF(J337&lt;=100,INDEX('Tabela Passaro'!$K$2:$K$1795,$N337),INDEX('Tabela Passaro'!$K$2:$K$1795,$N337)+(J337-100)*INDEX('Tabela Passaro'!$L$2:$L$1795,$N337))))))</f>
        <v>73.44</v>
      </c>
      <c r="S337" s="32" t="n">
        <f aca="false">K337*INDEX('Tabela Passaro'!$M$2:$M$1795,$N337)</f>
        <v>4.5726</v>
      </c>
      <c r="T337" s="32" t="n">
        <f aca="false">K337*INDEX('Tabela Passaro'!$N$2:$N$1795,$N337)</f>
        <v>1.82904</v>
      </c>
      <c r="U337" s="32" t="n">
        <f aca="false">INDEX('Tabela Passaro'!$O$2:$O$1795,$N337)</f>
        <v>5</v>
      </c>
      <c r="V337" s="32" t="n">
        <f aca="false">ROUNDUP(J337/INDEX('Tabela Passaro'!$Q$2:$Q$1795,$N337),0)*INDEX('Tabela Passaro'!$P$2:$P$1795,$N337)</f>
        <v>5</v>
      </c>
      <c r="W337" s="32" t="n">
        <f aca="false">INDEX('Tabela Passaro'!$R$2:$R$1795,$N337)</f>
        <v>30</v>
      </c>
      <c r="X337" s="32" t="n">
        <f aca="false">ROUNDUP(J337/INDEX('Tabela Passaro'!$T$2:$T$1795,$N337),0)*INDEX('Tabela Passaro'!$S$2:$S$1795,$N337)</f>
        <v>0</v>
      </c>
      <c r="Y337" s="32" t="n">
        <f aca="false">INDEX('Tabela Passaro'!$U$2:$U$1795,$N337)</f>
        <v>0</v>
      </c>
      <c r="Z337" s="32" t="n">
        <f aca="false">INDEX('Tabela Passaro'!$V$2:$V$1795,$N337)</f>
        <v>0</v>
      </c>
      <c r="AA337" s="32" t="n">
        <f aca="false">SUM(R337:Z337)</f>
        <v>119.84164</v>
      </c>
      <c r="AB337" s="33" t="n">
        <f aca="false">INDEX(Premissas!$B$5:$B$13,MATCH(A337,Premissas!$A$5:$A$13,0))</f>
        <v>0.07</v>
      </c>
      <c r="AC337" s="32" t="n">
        <f aca="false">AA337/(1-AB337)-AA337</f>
        <v>9.02033849462366</v>
      </c>
      <c r="AD337" s="32" t="n">
        <f aca="false">ROUND(AA337+AC337,2)</f>
        <v>128.86</v>
      </c>
      <c r="AE337" s="32" t="n">
        <f aca="false">AD337-L337</f>
        <v>-37.68</v>
      </c>
      <c r="AF337" s="34" t="n">
        <f aca="false">IF(L337=0,0,AE337/L337)</f>
        <v>-0.226251951483127</v>
      </c>
      <c r="AG337" s="22" t="str">
        <f aca="false">IF(AD337&lt;L337,"PASSARO","ATUAL")</f>
        <v>PASSARO</v>
      </c>
      <c r="AH337" s="22" t="str">
        <f aca="false">IF(P337&lt;&gt;A337,"Faixa cadastrada como "&amp;P337&amp;" na tabela; preço aplicado pela UF do CEP","")</f>
        <v/>
      </c>
      <c r="AI337" s="26" t="n">
        <v>169.51</v>
      </c>
      <c r="AJ337" s="22" t="str">
        <f aca="false">INDEX('Tabela Passaro'!$X$2:$X$1795,$N337)</f>
        <v>CAPITAL</v>
      </c>
    </row>
    <row r="338" customFormat="false" ht="15" hidden="false" customHeight="false" outlineLevel="0" collapsed="false">
      <c r="A338" s="22" t="s">
        <v>16</v>
      </c>
      <c r="B338" s="22" t="n">
        <v>1</v>
      </c>
      <c r="C338" s="22" t="s">
        <v>75</v>
      </c>
      <c r="D338" s="22" t="s">
        <v>30</v>
      </c>
      <c r="E338" s="22" t="s">
        <v>7328</v>
      </c>
      <c r="F338" s="22" t="n">
        <v>2314459</v>
      </c>
      <c r="G338" s="30" t="n">
        <v>46254</v>
      </c>
      <c r="H338" s="22" t="n">
        <v>134297</v>
      </c>
      <c r="I338" s="22" t="s">
        <v>7630</v>
      </c>
      <c r="J338" s="31" t="n">
        <v>37.2</v>
      </c>
      <c r="K338" s="26" t="n">
        <v>442.56</v>
      </c>
      <c r="L338" s="26" t="n">
        <v>141.71</v>
      </c>
      <c r="M338" s="22" t="s">
        <v>694</v>
      </c>
      <c r="N338" s="22" t="n">
        <f aca="false">MATCH(M338,'Tabela Passaro'!$A$2:$A$1795,0)</f>
        <v>106</v>
      </c>
      <c r="O338" s="22" t="str">
        <f aca="false">INDEX('Tabela Passaro'!$C$2:$C$1795,$N338)</f>
        <v>SALVADOR</v>
      </c>
      <c r="P338" s="22" t="str">
        <f aca="false">INDEX('Tabela Passaro'!$B$2:$B$1795,$N338)</f>
        <v>BA</v>
      </c>
      <c r="Q338" s="22" t="n">
        <f aca="false">INDEX('Tabela Passaro'!$F$2:$F$1795,$N338)</f>
        <v>6</v>
      </c>
      <c r="R338" s="32" t="n">
        <f aca="false">IF(J338&lt;=10,INDEX('Tabela Passaro'!$G$2:$G$1795,$N338),IF(J338&lt;=30,INDEX('Tabela Passaro'!$H$2:$H$1795,$N338),IF(J338&lt;=50,INDEX('Tabela Passaro'!$I$2:$I$1795,$N338),IF(J338&lt;=70,INDEX('Tabela Passaro'!$J$2:$J$1795,$N338),IF(J338&lt;=100,INDEX('Tabela Passaro'!$K$2:$K$1795,$N338),INDEX('Tabela Passaro'!$K$2:$K$1795,$N338)+(J338-100)*INDEX('Tabela Passaro'!$L$2:$L$1795,$N338))))))</f>
        <v>61.92</v>
      </c>
      <c r="S338" s="32" t="n">
        <f aca="false">K338*INDEX('Tabela Passaro'!$M$2:$M$1795,$N338)</f>
        <v>2.2128</v>
      </c>
      <c r="T338" s="32" t="n">
        <f aca="false">K338*INDEX('Tabela Passaro'!$N$2:$N$1795,$N338)</f>
        <v>0.88512</v>
      </c>
      <c r="U338" s="32" t="n">
        <f aca="false">INDEX('Tabela Passaro'!$O$2:$O$1795,$N338)</f>
        <v>5</v>
      </c>
      <c r="V338" s="32" t="n">
        <f aca="false">ROUNDUP(J338/INDEX('Tabela Passaro'!$Q$2:$Q$1795,$N338),0)*INDEX('Tabela Passaro'!$P$2:$P$1795,$N338)</f>
        <v>5</v>
      </c>
      <c r="W338" s="32" t="n">
        <f aca="false">INDEX('Tabela Passaro'!$R$2:$R$1795,$N338)</f>
        <v>30</v>
      </c>
      <c r="X338" s="32" t="n">
        <f aca="false">ROUNDUP(J338/INDEX('Tabela Passaro'!$T$2:$T$1795,$N338),0)*INDEX('Tabela Passaro'!$S$2:$S$1795,$N338)</f>
        <v>0</v>
      </c>
      <c r="Y338" s="32" t="n">
        <f aca="false">INDEX('Tabela Passaro'!$U$2:$U$1795,$N338)</f>
        <v>0</v>
      </c>
      <c r="Z338" s="32" t="n">
        <f aca="false">INDEX('Tabela Passaro'!$V$2:$V$1795,$N338)</f>
        <v>0</v>
      </c>
      <c r="AA338" s="32" t="n">
        <f aca="false">SUM(R338:Z338)</f>
        <v>105.01792</v>
      </c>
      <c r="AB338" s="33" t="n">
        <f aca="false">INDEX(Premissas!$B$5:$B$13,MATCH(A338,Premissas!$A$5:$A$13,0))</f>
        <v>0.07</v>
      </c>
      <c r="AC338" s="32" t="n">
        <f aca="false">AA338/(1-AB338)-AA338</f>
        <v>7.90457462365592</v>
      </c>
      <c r="AD338" s="32" t="n">
        <f aca="false">ROUND(AA338+AC338,2)</f>
        <v>112.92</v>
      </c>
      <c r="AE338" s="32" t="n">
        <f aca="false">AD338-L338</f>
        <v>-28.79</v>
      </c>
      <c r="AF338" s="34" t="n">
        <f aca="false">IF(L338=0,0,AE338/L338)</f>
        <v>-0.20316138592901</v>
      </c>
      <c r="AG338" s="22" t="str">
        <f aca="false">IF(AD338&lt;L338,"PASSARO","ATUAL")</f>
        <v>PASSARO</v>
      </c>
      <c r="AH338" s="22" t="str">
        <f aca="false">IF(P338&lt;&gt;A338,"Faixa cadastrada como "&amp;P338&amp;" na tabela; preço aplicado pela UF do CEP","")</f>
        <v/>
      </c>
      <c r="AI338" s="26" t="n">
        <v>138.38</v>
      </c>
      <c r="AJ338" s="22" t="str">
        <f aca="false">INDEX('Tabela Passaro'!$X$2:$X$1795,$N338)</f>
        <v>CAPITAL</v>
      </c>
    </row>
    <row r="339" customFormat="false" ht="15" hidden="false" customHeight="false" outlineLevel="0" collapsed="false">
      <c r="A339" s="22" t="s">
        <v>16</v>
      </c>
      <c r="B339" s="22" t="n">
        <v>1</v>
      </c>
      <c r="C339" s="22" t="s">
        <v>75</v>
      </c>
      <c r="D339" s="22" t="s">
        <v>30</v>
      </c>
      <c r="E339" s="22" t="s">
        <v>16</v>
      </c>
      <c r="F339" s="22" t="n">
        <v>207065</v>
      </c>
      <c r="G339" s="30" t="n">
        <v>46255</v>
      </c>
      <c r="H339" s="22" t="n">
        <v>129276</v>
      </c>
      <c r="I339" s="22" t="s">
        <v>7631</v>
      </c>
      <c r="J339" s="31" t="n">
        <v>189</v>
      </c>
      <c r="K339" s="26" t="n">
        <v>2593.92</v>
      </c>
      <c r="L339" s="26" t="n">
        <v>358.91</v>
      </c>
      <c r="M339" s="22" t="s">
        <v>694</v>
      </c>
      <c r="N339" s="22" t="n">
        <f aca="false">MATCH(M339,'Tabela Passaro'!$A$2:$A$1795,0)</f>
        <v>106</v>
      </c>
      <c r="O339" s="22" t="str">
        <f aca="false">INDEX('Tabela Passaro'!$C$2:$C$1795,$N339)</f>
        <v>SALVADOR</v>
      </c>
      <c r="P339" s="22" t="str">
        <f aca="false">INDEX('Tabela Passaro'!$B$2:$B$1795,$N339)</f>
        <v>BA</v>
      </c>
      <c r="Q339" s="22" t="n">
        <f aca="false">INDEX('Tabela Passaro'!$F$2:$F$1795,$N339)</f>
        <v>6</v>
      </c>
      <c r="R339" s="32" t="n">
        <f aca="false">IF(J339&lt;=10,INDEX('Tabela Passaro'!$G$2:$G$1795,$N339),IF(J339&lt;=30,INDEX('Tabela Passaro'!$H$2:$H$1795,$N339),IF(J339&lt;=50,INDEX('Tabela Passaro'!$I$2:$I$1795,$N339),IF(J339&lt;=70,INDEX('Tabela Passaro'!$J$2:$J$1795,$N339),IF(J339&lt;=100,INDEX('Tabela Passaro'!$K$2:$K$1795,$N339),INDEX('Tabela Passaro'!$K$2:$K$1795,$N339)+(J339-100)*INDEX('Tabela Passaro'!$L$2:$L$1795,$N339))))))</f>
        <v>188.2</v>
      </c>
      <c r="S339" s="32" t="n">
        <f aca="false">K339*INDEX('Tabela Passaro'!$M$2:$M$1795,$N339)</f>
        <v>12.9696</v>
      </c>
      <c r="T339" s="32" t="n">
        <f aca="false">K339*INDEX('Tabela Passaro'!$N$2:$N$1795,$N339)</f>
        <v>5.18784</v>
      </c>
      <c r="U339" s="32" t="n">
        <f aca="false">INDEX('Tabela Passaro'!$O$2:$O$1795,$N339)</f>
        <v>5</v>
      </c>
      <c r="V339" s="32" t="n">
        <f aca="false">ROUNDUP(J339/INDEX('Tabela Passaro'!$Q$2:$Q$1795,$N339),0)*INDEX('Tabela Passaro'!$P$2:$P$1795,$N339)</f>
        <v>10</v>
      </c>
      <c r="W339" s="32" t="n">
        <f aca="false">INDEX('Tabela Passaro'!$R$2:$R$1795,$N339)</f>
        <v>30</v>
      </c>
      <c r="X339" s="32" t="n">
        <f aca="false">ROUNDUP(J339/INDEX('Tabela Passaro'!$T$2:$T$1795,$N339),0)*INDEX('Tabela Passaro'!$S$2:$S$1795,$N339)</f>
        <v>0</v>
      </c>
      <c r="Y339" s="32" t="n">
        <f aca="false">INDEX('Tabela Passaro'!$U$2:$U$1795,$N339)</f>
        <v>0</v>
      </c>
      <c r="Z339" s="32" t="n">
        <f aca="false">INDEX('Tabela Passaro'!$V$2:$V$1795,$N339)</f>
        <v>0</v>
      </c>
      <c r="AA339" s="32" t="n">
        <f aca="false">SUM(R339:Z339)</f>
        <v>251.35744</v>
      </c>
      <c r="AB339" s="33" t="n">
        <f aca="false">INDEX(Premissas!$B$5:$B$13,MATCH(A339,Premissas!$A$5:$A$13,0))</f>
        <v>0.07</v>
      </c>
      <c r="AC339" s="32" t="n">
        <f aca="false">AA339/(1-AB339)-AA339</f>
        <v>18.9193772043011</v>
      </c>
      <c r="AD339" s="32" t="n">
        <f aca="false">ROUND(AA339+AC339,2)</f>
        <v>270.28</v>
      </c>
      <c r="AE339" s="32" t="n">
        <f aca="false">AD339-L339</f>
        <v>-88.6300000000001</v>
      </c>
      <c r="AF339" s="34" t="n">
        <f aca="false">IF(L339=0,0,AE339/L339)</f>
        <v>-0.246942130339082</v>
      </c>
      <c r="AG339" s="22" t="str">
        <f aca="false">IF(AD339&lt;L339,"PASSARO","ATUAL")</f>
        <v>PASSARO</v>
      </c>
      <c r="AH339" s="22" t="str">
        <f aca="false">IF(P339&lt;&gt;A339,"Faixa cadastrada como "&amp;P339&amp;" na tabela; preço aplicado pela UF do CEP","")</f>
        <v/>
      </c>
      <c r="AI339" s="26" t="n">
        <v>388.05</v>
      </c>
      <c r="AJ339" s="22" t="str">
        <f aca="false">INDEX('Tabela Passaro'!$X$2:$X$1795,$N339)</f>
        <v>CAPITAL</v>
      </c>
    </row>
    <row r="340" customFormat="false" ht="15" hidden="false" customHeight="false" outlineLevel="0" collapsed="false">
      <c r="A340" s="22" t="s">
        <v>16</v>
      </c>
      <c r="B340" s="22" t="n">
        <v>1</v>
      </c>
      <c r="C340" s="22" t="s">
        <v>75</v>
      </c>
      <c r="D340" s="22" t="s">
        <v>30</v>
      </c>
      <c r="E340" s="22" t="s">
        <v>7326</v>
      </c>
      <c r="F340" s="22" t="n">
        <v>526660</v>
      </c>
      <c r="G340" s="30" t="n">
        <v>46255</v>
      </c>
      <c r="H340" s="22" t="n">
        <v>627533</v>
      </c>
      <c r="I340" s="22" t="s">
        <v>7632</v>
      </c>
      <c r="J340" s="31" t="n">
        <v>33.21</v>
      </c>
      <c r="K340" s="26" t="n">
        <v>634.98</v>
      </c>
      <c r="L340" s="26" t="n">
        <v>163.09</v>
      </c>
      <c r="M340" s="22" t="s">
        <v>694</v>
      </c>
      <c r="N340" s="22" t="n">
        <f aca="false">MATCH(M340,'Tabela Passaro'!$A$2:$A$1795,0)</f>
        <v>106</v>
      </c>
      <c r="O340" s="22" t="str">
        <f aca="false">INDEX('Tabela Passaro'!$C$2:$C$1795,$N340)</f>
        <v>SALVADOR</v>
      </c>
      <c r="P340" s="22" t="str">
        <f aca="false">INDEX('Tabela Passaro'!$B$2:$B$1795,$N340)</f>
        <v>BA</v>
      </c>
      <c r="Q340" s="22" t="n">
        <f aca="false">INDEX('Tabela Passaro'!$F$2:$F$1795,$N340)</f>
        <v>6</v>
      </c>
      <c r="R340" s="32" t="n">
        <f aca="false">IF(J340&lt;=10,INDEX('Tabela Passaro'!$G$2:$G$1795,$N340),IF(J340&lt;=30,INDEX('Tabela Passaro'!$H$2:$H$1795,$N340),IF(J340&lt;=50,INDEX('Tabela Passaro'!$I$2:$I$1795,$N340),IF(J340&lt;=70,INDEX('Tabela Passaro'!$J$2:$J$1795,$N340),IF(J340&lt;=100,INDEX('Tabela Passaro'!$K$2:$K$1795,$N340),INDEX('Tabela Passaro'!$K$2:$K$1795,$N340)+(J340-100)*INDEX('Tabela Passaro'!$L$2:$L$1795,$N340))))))</f>
        <v>61.92</v>
      </c>
      <c r="S340" s="32" t="n">
        <f aca="false">K340*INDEX('Tabela Passaro'!$M$2:$M$1795,$N340)</f>
        <v>3.1749</v>
      </c>
      <c r="T340" s="32" t="n">
        <f aca="false">K340*INDEX('Tabela Passaro'!$N$2:$N$1795,$N340)</f>
        <v>1.26996</v>
      </c>
      <c r="U340" s="32" t="n">
        <f aca="false">INDEX('Tabela Passaro'!$O$2:$O$1795,$N340)</f>
        <v>5</v>
      </c>
      <c r="V340" s="32" t="n">
        <f aca="false">ROUNDUP(J340/INDEX('Tabela Passaro'!$Q$2:$Q$1795,$N340),0)*INDEX('Tabela Passaro'!$P$2:$P$1795,$N340)</f>
        <v>5</v>
      </c>
      <c r="W340" s="32" t="n">
        <f aca="false">INDEX('Tabela Passaro'!$R$2:$R$1795,$N340)</f>
        <v>30</v>
      </c>
      <c r="X340" s="32" t="n">
        <f aca="false">ROUNDUP(J340/INDEX('Tabela Passaro'!$T$2:$T$1795,$N340),0)*INDEX('Tabela Passaro'!$S$2:$S$1795,$N340)</f>
        <v>0</v>
      </c>
      <c r="Y340" s="32" t="n">
        <f aca="false">INDEX('Tabela Passaro'!$U$2:$U$1795,$N340)</f>
        <v>0</v>
      </c>
      <c r="Z340" s="32" t="n">
        <f aca="false">INDEX('Tabela Passaro'!$V$2:$V$1795,$N340)</f>
        <v>0</v>
      </c>
      <c r="AA340" s="32" t="n">
        <f aca="false">SUM(R340:Z340)</f>
        <v>106.36486</v>
      </c>
      <c r="AB340" s="33" t="n">
        <f aca="false">INDEX(Premissas!$B$5:$B$13,MATCH(A340,Premissas!$A$5:$A$13,0))</f>
        <v>0.07</v>
      </c>
      <c r="AC340" s="32" t="n">
        <f aca="false">AA340/(1-AB340)-AA340</f>
        <v>8.00595720430108</v>
      </c>
      <c r="AD340" s="32" t="n">
        <f aca="false">ROUND(AA340+AC340,2)</f>
        <v>114.37</v>
      </c>
      <c r="AE340" s="32" t="n">
        <f aca="false">AD340-L340</f>
        <v>-48.72</v>
      </c>
      <c r="AF340" s="34" t="n">
        <f aca="false">IF(L340=0,0,AE340/L340)</f>
        <v>-0.298730762155865</v>
      </c>
      <c r="AG340" s="22" t="str">
        <f aca="false">IF(AD340&lt;L340,"PASSARO","ATUAL")</f>
        <v>PASSARO</v>
      </c>
      <c r="AH340" s="22" t="str">
        <f aca="false">IF(P340&lt;&gt;A340,"Faixa cadastrada como "&amp;P340&amp;" na tabela; preço aplicado pela UF do CEP","")</f>
        <v/>
      </c>
      <c r="AI340" s="26" t="n">
        <v>138.31</v>
      </c>
      <c r="AJ340" s="22" t="str">
        <f aca="false">INDEX('Tabela Passaro'!$X$2:$X$1795,$N340)</f>
        <v>CAPITAL</v>
      </c>
    </row>
    <row r="341" customFormat="false" ht="15" hidden="false" customHeight="false" outlineLevel="0" collapsed="false">
      <c r="A341" s="22" t="s">
        <v>16</v>
      </c>
      <c r="B341" s="22" t="n">
        <v>1</v>
      </c>
      <c r="C341" s="22" t="s">
        <v>75</v>
      </c>
      <c r="D341" s="22" t="s">
        <v>30</v>
      </c>
      <c r="E341" s="22" t="s">
        <v>7326</v>
      </c>
      <c r="F341" s="22" t="n">
        <v>526683</v>
      </c>
      <c r="G341" s="30" t="n">
        <v>46255</v>
      </c>
      <c r="H341" s="22" t="n">
        <v>627731</v>
      </c>
      <c r="I341" s="22" t="s">
        <v>7633</v>
      </c>
      <c r="J341" s="31" t="n">
        <v>124.2</v>
      </c>
      <c r="K341" s="26" t="n">
        <v>1975.48</v>
      </c>
      <c r="L341" s="26" t="n">
        <v>322.76</v>
      </c>
      <c r="M341" s="22" t="s">
        <v>694</v>
      </c>
      <c r="N341" s="22" t="n">
        <f aca="false">MATCH(M341,'Tabela Passaro'!$A$2:$A$1795,0)</f>
        <v>106</v>
      </c>
      <c r="O341" s="22" t="str">
        <f aca="false">INDEX('Tabela Passaro'!$C$2:$C$1795,$N341)</f>
        <v>SALVADOR</v>
      </c>
      <c r="P341" s="22" t="str">
        <f aca="false">INDEX('Tabela Passaro'!$B$2:$B$1795,$N341)</f>
        <v>BA</v>
      </c>
      <c r="Q341" s="22" t="n">
        <f aca="false">INDEX('Tabela Passaro'!$F$2:$F$1795,$N341)</f>
        <v>6</v>
      </c>
      <c r="R341" s="32" t="n">
        <f aca="false">IF(J341&lt;=10,INDEX('Tabela Passaro'!$G$2:$G$1795,$N341),IF(J341&lt;=30,INDEX('Tabela Passaro'!$H$2:$H$1795,$N341),IF(J341&lt;=50,INDEX('Tabela Passaro'!$I$2:$I$1795,$N341),IF(J341&lt;=70,INDEX('Tabela Passaro'!$J$2:$J$1795,$N341),IF(J341&lt;=100,INDEX('Tabela Passaro'!$K$2:$K$1795,$N341),INDEX('Tabela Passaro'!$K$2:$K$1795,$N341)+(J341-100)*INDEX('Tabela Passaro'!$L$2:$L$1795,$N341))))))</f>
        <v>113.032</v>
      </c>
      <c r="S341" s="32" t="n">
        <f aca="false">K341*INDEX('Tabela Passaro'!$M$2:$M$1795,$N341)</f>
        <v>9.8774</v>
      </c>
      <c r="T341" s="32" t="n">
        <f aca="false">K341*INDEX('Tabela Passaro'!$N$2:$N$1795,$N341)</f>
        <v>3.95096</v>
      </c>
      <c r="U341" s="32" t="n">
        <f aca="false">INDEX('Tabela Passaro'!$O$2:$O$1795,$N341)</f>
        <v>5</v>
      </c>
      <c r="V341" s="32" t="n">
        <f aca="false">ROUNDUP(J341/INDEX('Tabela Passaro'!$Q$2:$Q$1795,$N341),0)*INDEX('Tabela Passaro'!$P$2:$P$1795,$N341)</f>
        <v>10</v>
      </c>
      <c r="W341" s="32" t="n">
        <f aca="false">INDEX('Tabela Passaro'!$R$2:$R$1795,$N341)</f>
        <v>30</v>
      </c>
      <c r="X341" s="32" t="n">
        <f aca="false">ROUNDUP(J341/INDEX('Tabela Passaro'!$T$2:$T$1795,$N341),0)*INDEX('Tabela Passaro'!$S$2:$S$1795,$N341)</f>
        <v>0</v>
      </c>
      <c r="Y341" s="32" t="n">
        <f aca="false">INDEX('Tabela Passaro'!$U$2:$U$1795,$N341)</f>
        <v>0</v>
      </c>
      <c r="Z341" s="32" t="n">
        <f aca="false">INDEX('Tabela Passaro'!$V$2:$V$1795,$N341)</f>
        <v>0</v>
      </c>
      <c r="AA341" s="32" t="n">
        <f aca="false">SUM(R341:Z341)</f>
        <v>171.86036</v>
      </c>
      <c r="AB341" s="33" t="n">
        <f aca="false">INDEX(Premissas!$B$5:$B$13,MATCH(A341,Premissas!$A$5:$A$13,0))</f>
        <v>0.07</v>
      </c>
      <c r="AC341" s="32" t="n">
        <f aca="false">AA341/(1-AB341)-AA341</f>
        <v>12.9357260215054</v>
      </c>
      <c r="AD341" s="32" t="n">
        <f aca="false">ROUND(AA341+AC341,2)</f>
        <v>184.8</v>
      </c>
      <c r="AE341" s="32" t="n">
        <f aca="false">AD341-L341</f>
        <v>-137.96</v>
      </c>
      <c r="AF341" s="34" t="n">
        <f aca="false">IF(L341=0,0,AE341/L341)</f>
        <v>-0.42743834428058</v>
      </c>
      <c r="AG341" s="22" t="str">
        <f aca="false">IF(AD341&lt;L341,"PASSARO","ATUAL")</f>
        <v>PASSARO</v>
      </c>
      <c r="AH341" s="22" t="str">
        <f aca="false">IF(P341&lt;&gt;A341,"Faixa cadastrada como "&amp;P341&amp;" na tabela; preço aplicado pela UF do CEP","")</f>
        <v/>
      </c>
      <c r="AI341" s="26" t="n">
        <v>259.82</v>
      </c>
      <c r="AJ341" s="22" t="str">
        <f aca="false">INDEX('Tabela Passaro'!$X$2:$X$1795,$N341)</f>
        <v>CAPITAL</v>
      </c>
    </row>
    <row r="342" customFormat="false" ht="15" hidden="false" customHeight="false" outlineLevel="0" collapsed="false">
      <c r="A342" s="22" t="s">
        <v>16</v>
      </c>
      <c r="B342" s="22" t="n">
        <v>1</v>
      </c>
      <c r="C342" s="22" t="s">
        <v>75</v>
      </c>
      <c r="D342" s="22" t="s">
        <v>30</v>
      </c>
      <c r="E342" s="22" t="s">
        <v>7326</v>
      </c>
      <c r="F342" s="22" t="n">
        <v>526629</v>
      </c>
      <c r="G342" s="30" t="n">
        <v>46255</v>
      </c>
      <c r="H342" s="22" t="n">
        <v>627735</v>
      </c>
      <c r="I342" s="22" t="s">
        <v>7634</v>
      </c>
      <c r="J342" s="31" t="n">
        <v>106.5</v>
      </c>
      <c r="K342" s="26" t="n">
        <v>1400.66</v>
      </c>
      <c r="L342" s="26" t="n">
        <v>292.15</v>
      </c>
      <c r="M342" s="22" t="s">
        <v>694</v>
      </c>
      <c r="N342" s="22" t="n">
        <f aca="false">MATCH(M342,'Tabela Passaro'!$A$2:$A$1795,0)</f>
        <v>106</v>
      </c>
      <c r="O342" s="22" t="str">
        <f aca="false">INDEX('Tabela Passaro'!$C$2:$C$1795,$N342)</f>
        <v>SALVADOR</v>
      </c>
      <c r="P342" s="22" t="str">
        <f aca="false">INDEX('Tabela Passaro'!$B$2:$B$1795,$N342)</f>
        <v>BA</v>
      </c>
      <c r="Q342" s="22" t="n">
        <f aca="false">INDEX('Tabela Passaro'!$F$2:$F$1795,$N342)</f>
        <v>6</v>
      </c>
      <c r="R342" s="32" t="n">
        <f aca="false">IF(J342&lt;=10,INDEX('Tabela Passaro'!$G$2:$G$1795,$N342),IF(J342&lt;=30,INDEX('Tabela Passaro'!$H$2:$H$1795,$N342),IF(J342&lt;=50,INDEX('Tabela Passaro'!$I$2:$I$1795,$N342),IF(J342&lt;=70,INDEX('Tabela Passaro'!$J$2:$J$1795,$N342),IF(J342&lt;=100,INDEX('Tabela Passaro'!$K$2:$K$1795,$N342),INDEX('Tabela Passaro'!$K$2:$K$1795,$N342)+(J342-100)*INDEX('Tabela Passaro'!$L$2:$L$1795,$N342))))))</f>
        <v>92.5</v>
      </c>
      <c r="S342" s="32" t="n">
        <f aca="false">K342*INDEX('Tabela Passaro'!$M$2:$M$1795,$N342)</f>
        <v>7.0033</v>
      </c>
      <c r="T342" s="32" t="n">
        <f aca="false">K342*INDEX('Tabela Passaro'!$N$2:$N$1795,$N342)</f>
        <v>2.80132</v>
      </c>
      <c r="U342" s="32" t="n">
        <f aca="false">INDEX('Tabela Passaro'!$O$2:$O$1795,$N342)</f>
        <v>5</v>
      </c>
      <c r="V342" s="32" t="n">
        <f aca="false">ROUNDUP(J342/INDEX('Tabela Passaro'!$Q$2:$Q$1795,$N342),0)*INDEX('Tabela Passaro'!$P$2:$P$1795,$N342)</f>
        <v>10</v>
      </c>
      <c r="W342" s="32" t="n">
        <f aca="false">INDEX('Tabela Passaro'!$R$2:$R$1795,$N342)</f>
        <v>30</v>
      </c>
      <c r="X342" s="32" t="n">
        <f aca="false">ROUNDUP(J342/INDEX('Tabela Passaro'!$T$2:$T$1795,$N342),0)*INDEX('Tabela Passaro'!$S$2:$S$1795,$N342)</f>
        <v>0</v>
      </c>
      <c r="Y342" s="32" t="n">
        <f aca="false">INDEX('Tabela Passaro'!$U$2:$U$1795,$N342)</f>
        <v>0</v>
      </c>
      <c r="Z342" s="32" t="n">
        <f aca="false">INDEX('Tabela Passaro'!$V$2:$V$1795,$N342)</f>
        <v>0</v>
      </c>
      <c r="AA342" s="32" t="n">
        <f aca="false">SUM(R342:Z342)</f>
        <v>147.30462</v>
      </c>
      <c r="AB342" s="33" t="n">
        <f aca="false">INDEX(Premissas!$B$5:$B$13,MATCH(A342,Premissas!$A$5:$A$13,0))</f>
        <v>0.07</v>
      </c>
      <c r="AC342" s="32" t="n">
        <f aca="false">AA342/(1-AB342)-AA342</f>
        <v>11.087444516129</v>
      </c>
      <c r="AD342" s="32" t="n">
        <f aca="false">ROUND(AA342+AC342,2)</f>
        <v>158.39</v>
      </c>
      <c r="AE342" s="32" t="n">
        <f aca="false">AD342-L342</f>
        <v>-133.76</v>
      </c>
      <c r="AF342" s="34" t="n">
        <f aca="false">IF(L342=0,0,AE342/L342)</f>
        <v>-0.457846996405956</v>
      </c>
      <c r="AG342" s="22" t="str">
        <f aca="false">IF(AD342&lt;L342,"PASSARO","ATUAL")</f>
        <v>PASSARO</v>
      </c>
      <c r="AH342" s="22" t="str">
        <f aca="false">IF(P342&lt;&gt;A342,"Faixa cadastrada como "&amp;P342&amp;" na tabela; preço aplicado pela UF do CEP","")</f>
        <v/>
      </c>
      <c r="AI342" s="26" t="n">
        <v>220.61</v>
      </c>
      <c r="AJ342" s="22" t="str">
        <f aca="false">INDEX('Tabela Passaro'!$X$2:$X$1795,$N342)</f>
        <v>CAPITAL</v>
      </c>
    </row>
    <row r="343" customFormat="false" ht="15" hidden="false" customHeight="false" outlineLevel="0" collapsed="false">
      <c r="A343" s="22" t="s">
        <v>16</v>
      </c>
      <c r="B343" s="22" t="n">
        <v>1</v>
      </c>
      <c r="C343" s="22" t="s">
        <v>75</v>
      </c>
      <c r="D343" s="22" t="s">
        <v>30</v>
      </c>
      <c r="E343" s="22" t="s">
        <v>7326</v>
      </c>
      <c r="F343" s="22" t="n">
        <v>526643</v>
      </c>
      <c r="G343" s="30" t="n">
        <v>46255</v>
      </c>
      <c r="H343" s="22" t="n">
        <v>628027</v>
      </c>
      <c r="I343" s="22" t="s">
        <v>7635</v>
      </c>
      <c r="J343" s="31" t="n">
        <v>59.8</v>
      </c>
      <c r="K343" s="26" t="n">
        <v>1329.98</v>
      </c>
      <c r="L343" s="26" t="n">
        <v>200.75</v>
      </c>
      <c r="M343" s="22" t="s">
        <v>694</v>
      </c>
      <c r="N343" s="22" t="n">
        <f aca="false">MATCH(M343,'Tabela Passaro'!$A$2:$A$1795,0)</f>
        <v>106</v>
      </c>
      <c r="O343" s="22" t="str">
        <f aca="false">INDEX('Tabela Passaro'!$C$2:$C$1795,$N343)</f>
        <v>SALVADOR</v>
      </c>
      <c r="P343" s="22" t="str">
        <f aca="false">INDEX('Tabela Passaro'!$B$2:$B$1795,$N343)</f>
        <v>BA</v>
      </c>
      <c r="Q343" s="22" t="n">
        <f aca="false">INDEX('Tabela Passaro'!$F$2:$F$1795,$N343)</f>
        <v>6</v>
      </c>
      <c r="R343" s="32" t="n">
        <f aca="false">IF(J343&lt;=10,INDEX('Tabela Passaro'!$G$2:$G$1795,$N343),IF(J343&lt;=30,INDEX('Tabela Passaro'!$H$2:$H$1795,$N343),IF(J343&lt;=50,INDEX('Tabela Passaro'!$I$2:$I$1795,$N343),IF(J343&lt;=70,INDEX('Tabela Passaro'!$J$2:$J$1795,$N343),IF(J343&lt;=100,INDEX('Tabela Passaro'!$K$2:$K$1795,$N343),INDEX('Tabela Passaro'!$K$2:$K$1795,$N343)+(J343-100)*INDEX('Tabela Passaro'!$L$2:$L$1795,$N343))))))</f>
        <v>73.44</v>
      </c>
      <c r="S343" s="32" t="n">
        <f aca="false">K343*INDEX('Tabela Passaro'!$M$2:$M$1795,$N343)</f>
        <v>6.6499</v>
      </c>
      <c r="T343" s="32" t="n">
        <f aca="false">K343*INDEX('Tabela Passaro'!$N$2:$N$1795,$N343)</f>
        <v>2.65996</v>
      </c>
      <c r="U343" s="32" t="n">
        <f aca="false">INDEX('Tabela Passaro'!$O$2:$O$1795,$N343)</f>
        <v>5</v>
      </c>
      <c r="V343" s="32" t="n">
        <f aca="false">ROUNDUP(J343/INDEX('Tabela Passaro'!$Q$2:$Q$1795,$N343),0)*INDEX('Tabela Passaro'!$P$2:$P$1795,$N343)</f>
        <v>5</v>
      </c>
      <c r="W343" s="32" t="n">
        <f aca="false">INDEX('Tabela Passaro'!$R$2:$R$1795,$N343)</f>
        <v>30</v>
      </c>
      <c r="X343" s="32" t="n">
        <f aca="false">ROUNDUP(J343/INDEX('Tabela Passaro'!$T$2:$T$1795,$N343),0)*INDEX('Tabela Passaro'!$S$2:$S$1795,$N343)</f>
        <v>0</v>
      </c>
      <c r="Y343" s="32" t="n">
        <f aca="false">INDEX('Tabela Passaro'!$U$2:$U$1795,$N343)</f>
        <v>0</v>
      </c>
      <c r="Z343" s="32" t="n">
        <f aca="false">INDEX('Tabela Passaro'!$V$2:$V$1795,$N343)</f>
        <v>0</v>
      </c>
      <c r="AA343" s="32" t="n">
        <f aca="false">SUM(R343:Z343)</f>
        <v>122.74986</v>
      </c>
      <c r="AB343" s="33" t="n">
        <f aca="false">INDEX(Premissas!$B$5:$B$13,MATCH(A343,Premissas!$A$5:$A$13,0))</f>
        <v>0.07</v>
      </c>
      <c r="AC343" s="32" t="n">
        <f aca="false">AA343/(1-AB343)-AA343</f>
        <v>9.23923677419354</v>
      </c>
      <c r="AD343" s="32" t="n">
        <f aca="false">ROUND(AA343+AC343,2)</f>
        <v>131.99</v>
      </c>
      <c r="AE343" s="32" t="n">
        <f aca="false">AD343-L343</f>
        <v>-68.76</v>
      </c>
      <c r="AF343" s="34" t="n">
        <f aca="false">IF(L343=0,0,AE343/L343)</f>
        <v>-0.342515566625156</v>
      </c>
      <c r="AG343" s="22" t="str">
        <f aca="false">IF(AD343&lt;L343,"PASSARO","ATUAL")</f>
        <v>PASSARO</v>
      </c>
      <c r="AH343" s="22" t="str">
        <f aca="false">IF(P343&lt;&gt;A343,"Faixa cadastrada como "&amp;P343&amp;" na tabela; preço aplicado pela UF do CEP","")</f>
        <v/>
      </c>
      <c r="AI343" s="26" t="n">
        <v>170.14</v>
      </c>
      <c r="AJ343" s="22" t="str">
        <f aca="false">INDEX('Tabela Passaro'!$X$2:$X$1795,$N343)</f>
        <v>CAPITAL</v>
      </c>
    </row>
    <row r="344" customFormat="false" ht="15" hidden="false" customHeight="false" outlineLevel="0" collapsed="false">
      <c r="A344" s="22" t="s">
        <v>16</v>
      </c>
      <c r="B344" s="22" t="n">
        <v>1</v>
      </c>
      <c r="C344" s="22" t="s">
        <v>75</v>
      </c>
      <c r="D344" s="22" t="s">
        <v>30</v>
      </c>
      <c r="E344" s="22" t="s">
        <v>20</v>
      </c>
      <c r="F344" s="22" t="n">
        <v>839924</v>
      </c>
      <c r="G344" s="30" t="n">
        <v>46258</v>
      </c>
      <c r="H344" s="22" t="n">
        <v>32602</v>
      </c>
      <c r="I344" s="22" t="s">
        <v>7636</v>
      </c>
      <c r="J344" s="31" t="n">
        <v>51.06</v>
      </c>
      <c r="K344" s="26" t="n">
        <v>787.63</v>
      </c>
      <c r="L344" s="26" t="n">
        <v>161.74</v>
      </c>
      <c r="M344" s="22" t="s">
        <v>694</v>
      </c>
      <c r="N344" s="22" t="n">
        <f aca="false">MATCH(M344,'Tabela Passaro'!$A$2:$A$1795,0)</f>
        <v>106</v>
      </c>
      <c r="O344" s="22" t="str">
        <f aca="false">INDEX('Tabela Passaro'!$C$2:$C$1795,$N344)</f>
        <v>SALVADOR</v>
      </c>
      <c r="P344" s="22" t="str">
        <f aca="false">INDEX('Tabela Passaro'!$B$2:$B$1795,$N344)</f>
        <v>BA</v>
      </c>
      <c r="Q344" s="22" t="n">
        <f aca="false">INDEX('Tabela Passaro'!$F$2:$F$1795,$N344)</f>
        <v>6</v>
      </c>
      <c r="R344" s="32" t="n">
        <f aca="false">IF(J344&lt;=10,INDEX('Tabela Passaro'!$G$2:$G$1795,$N344),IF(J344&lt;=30,INDEX('Tabela Passaro'!$H$2:$H$1795,$N344),IF(J344&lt;=50,INDEX('Tabela Passaro'!$I$2:$I$1795,$N344),IF(J344&lt;=70,INDEX('Tabela Passaro'!$J$2:$J$1795,$N344),IF(J344&lt;=100,INDEX('Tabela Passaro'!$K$2:$K$1795,$N344),INDEX('Tabela Passaro'!$K$2:$K$1795,$N344)+(J344-100)*INDEX('Tabela Passaro'!$L$2:$L$1795,$N344))))))</f>
        <v>73.44</v>
      </c>
      <c r="S344" s="32" t="n">
        <f aca="false">K344*INDEX('Tabela Passaro'!$M$2:$M$1795,$N344)</f>
        <v>3.93815</v>
      </c>
      <c r="T344" s="32" t="n">
        <f aca="false">K344*INDEX('Tabela Passaro'!$N$2:$N$1795,$N344)</f>
        <v>1.57526</v>
      </c>
      <c r="U344" s="32" t="n">
        <f aca="false">INDEX('Tabela Passaro'!$O$2:$O$1795,$N344)</f>
        <v>5</v>
      </c>
      <c r="V344" s="32" t="n">
        <f aca="false">ROUNDUP(J344/INDEX('Tabela Passaro'!$Q$2:$Q$1795,$N344),0)*INDEX('Tabela Passaro'!$P$2:$P$1795,$N344)</f>
        <v>5</v>
      </c>
      <c r="W344" s="32" t="n">
        <f aca="false">INDEX('Tabela Passaro'!$R$2:$R$1795,$N344)</f>
        <v>30</v>
      </c>
      <c r="X344" s="32" t="n">
        <f aca="false">ROUNDUP(J344/INDEX('Tabela Passaro'!$T$2:$T$1795,$N344),0)*INDEX('Tabela Passaro'!$S$2:$S$1795,$N344)</f>
        <v>0</v>
      </c>
      <c r="Y344" s="32" t="n">
        <f aca="false">INDEX('Tabela Passaro'!$U$2:$U$1795,$N344)</f>
        <v>0</v>
      </c>
      <c r="Z344" s="32" t="n">
        <f aca="false">INDEX('Tabela Passaro'!$V$2:$V$1795,$N344)</f>
        <v>0</v>
      </c>
      <c r="AA344" s="32" t="n">
        <f aca="false">SUM(R344:Z344)</f>
        <v>118.95341</v>
      </c>
      <c r="AB344" s="33" t="n">
        <f aca="false">INDEX(Premissas!$B$5:$B$13,MATCH(A344,Premissas!$A$5:$A$13,0))</f>
        <v>0.07</v>
      </c>
      <c r="AC344" s="32" t="n">
        <f aca="false">AA344/(1-AB344)-AA344</f>
        <v>8.95348247311829</v>
      </c>
      <c r="AD344" s="32" t="n">
        <f aca="false">ROUND(AA344+AC344,2)</f>
        <v>127.91</v>
      </c>
      <c r="AE344" s="32" t="n">
        <f aca="false">AD344-L344</f>
        <v>-33.83</v>
      </c>
      <c r="AF344" s="34" t="n">
        <f aca="false">IF(L344=0,0,AE344/L344)</f>
        <v>-0.209162853963151</v>
      </c>
      <c r="AG344" s="22" t="str">
        <f aca="false">IF(AD344&lt;L344,"PASSARO","ATUAL")</f>
        <v>PASSARO</v>
      </c>
      <c r="AH344" s="22" t="str">
        <f aca="false">IF(P344&lt;&gt;A344,"Faixa cadastrada como "&amp;P344&amp;" na tabela; preço aplicado pela UF do CEP","")</f>
        <v/>
      </c>
      <c r="AI344" s="26" t="n">
        <v>161.02</v>
      </c>
      <c r="AJ344" s="22" t="str">
        <f aca="false">INDEX('Tabela Passaro'!$X$2:$X$1795,$N344)</f>
        <v>CAPITAL</v>
      </c>
    </row>
    <row r="345" customFormat="false" ht="15" hidden="false" customHeight="false" outlineLevel="0" collapsed="false">
      <c r="A345" s="22" t="s">
        <v>16</v>
      </c>
      <c r="B345" s="22" t="n">
        <v>1</v>
      </c>
      <c r="C345" s="22" t="s">
        <v>75</v>
      </c>
      <c r="D345" s="22" t="s">
        <v>30</v>
      </c>
      <c r="E345" s="22" t="s">
        <v>20</v>
      </c>
      <c r="F345" s="22" t="n">
        <v>839941</v>
      </c>
      <c r="G345" s="30" t="n">
        <v>46258</v>
      </c>
      <c r="H345" s="22" t="n">
        <v>32605</v>
      </c>
      <c r="I345" s="22" t="s">
        <v>7637</v>
      </c>
      <c r="J345" s="31" t="n">
        <v>27.6</v>
      </c>
      <c r="K345" s="26" t="n">
        <v>703.61</v>
      </c>
      <c r="L345" s="26" t="n">
        <v>110.64</v>
      </c>
      <c r="M345" s="22" t="s">
        <v>694</v>
      </c>
      <c r="N345" s="22" t="n">
        <f aca="false">MATCH(M345,'Tabela Passaro'!$A$2:$A$1795,0)</f>
        <v>106</v>
      </c>
      <c r="O345" s="22" t="str">
        <f aca="false">INDEX('Tabela Passaro'!$C$2:$C$1795,$N345)</f>
        <v>SALVADOR</v>
      </c>
      <c r="P345" s="22" t="str">
        <f aca="false">INDEX('Tabela Passaro'!$B$2:$B$1795,$N345)</f>
        <v>BA</v>
      </c>
      <c r="Q345" s="22" t="n">
        <f aca="false">INDEX('Tabela Passaro'!$F$2:$F$1795,$N345)</f>
        <v>6</v>
      </c>
      <c r="R345" s="32" t="n">
        <f aca="false">IF(J345&lt;=10,INDEX('Tabela Passaro'!$G$2:$G$1795,$N345),IF(J345&lt;=30,INDEX('Tabela Passaro'!$H$2:$H$1795,$N345),IF(J345&lt;=50,INDEX('Tabela Passaro'!$I$2:$I$1795,$N345),IF(J345&lt;=70,INDEX('Tabela Passaro'!$J$2:$J$1795,$N345),IF(J345&lt;=100,INDEX('Tabela Passaro'!$K$2:$K$1795,$N345),INDEX('Tabela Passaro'!$K$2:$K$1795,$N345)+(J345-100)*INDEX('Tabela Passaro'!$L$2:$L$1795,$N345))))))</f>
        <v>50.4</v>
      </c>
      <c r="S345" s="32" t="n">
        <f aca="false">K345*INDEX('Tabela Passaro'!$M$2:$M$1795,$N345)</f>
        <v>3.51805</v>
      </c>
      <c r="T345" s="32" t="n">
        <f aca="false">K345*INDEX('Tabela Passaro'!$N$2:$N$1795,$N345)</f>
        <v>1.40722</v>
      </c>
      <c r="U345" s="32" t="n">
        <f aca="false">INDEX('Tabela Passaro'!$O$2:$O$1795,$N345)</f>
        <v>5</v>
      </c>
      <c r="V345" s="32" t="n">
        <f aca="false">ROUNDUP(J345/INDEX('Tabela Passaro'!$Q$2:$Q$1795,$N345),0)*INDEX('Tabela Passaro'!$P$2:$P$1795,$N345)</f>
        <v>5</v>
      </c>
      <c r="W345" s="32" t="n">
        <f aca="false">INDEX('Tabela Passaro'!$R$2:$R$1795,$N345)</f>
        <v>30</v>
      </c>
      <c r="X345" s="32" t="n">
        <f aca="false">ROUNDUP(J345/INDEX('Tabela Passaro'!$T$2:$T$1795,$N345),0)*INDEX('Tabela Passaro'!$S$2:$S$1795,$N345)</f>
        <v>0</v>
      </c>
      <c r="Y345" s="32" t="n">
        <f aca="false">INDEX('Tabela Passaro'!$U$2:$U$1795,$N345)</f>
        <v>0</v>
      </c>
      <c r="Z345" s="32" t="n">
        <f aca="false">INDEX('Tabela Passaro'!$V$2:$V$1795,$N345)</f>
        <v>0</v>
      </c>
      <c r="AA345" s="32" t="n">
        <f aca="false">SUM(R345:Z345)</f>
        <v>95.32527</v>
      </c>
      <c r="AB345" s="33" t="n">
        <f aca="false">INDEX(Premissas!$B$5:$B$13,MATCH(A345,Premissas!$A$5:$A$13,0))</f>
        <v>0.07</v>
      </c>
      <c r="AC345" s="32" t="n">
        <f aca="false">AA345/(1-AB345)-AA345</f>
        <v>7.17502032258065</v>
      </c>
      <c r="AD345" s="32" t="n">
        <f aca="false">ROUND(AA345+AC345,2)</f>
        <v>102.5</v>
      </c>
      <c r="AE345" s="32" t="n">
        <f aca="false">AD345-L345</f>
        <v>-8.14</v>
      </c>
      <c r="AF345" s="34" t="n">
        <f aca="false">IF(L345=0,0,AE345/L345)</f>
        <v>-0.0735719450469993</v>
      </c>
      <c r="AG345" s="22" t="str">
        <f aca="false">IF(AD345&lt;L345,"PASSARO","ATUAL")</f>
        <v>PASSARO</v>
      </c>
      <c r="AH345" s="22" t="str">
        <f aca="false">IF(P345&lt;&gt;A345,"Faixa cadastrada como "&amp;P345&amp;" na tabela; preço aplicado pela UF do CEP","")</f>
        <v/>
      </c>
      <c r="AI345" s="26" t="n">
        <v>123.54</v>
      </c>
      <c r="AJ345" s="22" t="str">
        <f aca="false">INDEX('Tabela Passaro'!$X$2:$X$1795,$N345)</f>
        <v>CAPITAL</v>
      </c>
    </row>
    <row r="346" customFormat="false" ht="15" hidden="false" customHeight="false" outlineLevel="0" collapsed="false">
      <c r="A346" s="22" t="s">
        <v>16</v>
      </c>
      <c r="B346" s="22" t="n">
        <v>1</v>
      </c>
      <c r="C346" s="22" t="s">
        <v>75</v>
      </c>
      <c r="D346" s="22" t="s">
        <v>30</v>
      </c>
      <c r="E346" s="22" t="s">
        <v>20</v>
      </c>
      <c r="F346" s="22" t="n">
        <v>839932</v>
      </c>
      <c r="G346" s="30" t="n">
        <v>46258</v>
      </c>
      <c r="H346" s="22" t="n">
        <v>32619</v>
      </c>
      <c r="I346" s="22" t="s">
        <v>7638</v>
      </c>
      <c r="J346" s="31" t="n">
        <v>34.4</v>
      </c>
      <c r="K346" s="26" t="n">
        <v>654.97</v>
      </c>
      <c r="L346" s="26" t="n">
        <v>141.36</v>
      </c>
      <c r="M346" s="22" t="s">
        <v>694</v>
      </c>
      <c r="N346" s="22" t="n">
        <f aca="false">MATCH(M346,'Tabela Passaro'!$A$2:$A$1795,0)</f>
        <v>106</v>
      </c>
      <c r="O346" s="22" t="str">
        <f aca="false">INDEX('Tabela Passaro'!$C$2:$C$1795,$N346)</f>
        <v>SALVADOR</v>
      </c>
      <c r="P346" s="22" t="str">
        <f aca="false">INDEX('Tabela Passaro'!$B$2:$B$1795,$N346)</f>
        <v>BA</v>
      </c>
      <c r="Q346" s="22" t="n">
        <f aca="false">INDEX('Tabela Passaro'!$F$2:$F$1795,$N346)</f>
        <v>6</v>
      </c>
      <c r="R346" s="32" t="n">
        <f aca="false">IF(J346&lt;=10,INDEX('Tabela Passaro'!$G$2:$G$1795,$N346),IF(J346&lt;=30,INDEX('Tabela Passaro'!$H$2:$H$1795,$N346),IF(J346&lt;=50,INDEX('Tabela Passaro'!$I$2:$I$1795,$N346),IF(J346&lt;=70,INDEX('Tabela Passaro'!$J$2:$J$1795,$N346),IF(J346&lt;=100,INDEX('Tabela Passaro'!$K$2:$K$1795,$N346),INDEX('Tabela Passaro'!$K$2:$K$1795,$N346)+(J346-100)*INDEX('Tabela Passaro'!$L$2:$L$1795,$N346))))))</f>
        <v>61.92</v>
      </c>
      <c r="S346" s="32" t="n">
        <f aca="false">K346*INDEX('Tabela Passaro'!$M$2:$M$1795,$N346)</f>
        <v>3.27485</v>
      </c>
      <c r="T346" s="32" t="n">
        <f aca="false">K346*INDEX('Tabela Passaro'!$N$2:$N$1795,$N346)</f>
        <v>1.30994</v>
      </c>
      <c r="U346" s="32" t="n">
        <f aca="false">INDEX('Tabela Passaro'!$O$2:$O$1795,$N346)</f>
        <v>5</v>
      </c>
      <c r="V346" s="32" t="n">
        <f aca="false">ROUNDUP(J346/INDEX('Tabela Passaro'!$Q$2:$Q$1795,$N346),0)*INDEX('Tabela Passaro'!$P$2:$P$1795,$N346)</f>
        <v>5</v>
      </c>
      <c r="W346" s="32" t="n">
        <f aca="false">INDEX('Tabela Passaro'!$R$2:$R$1795,$N346)</f>
        <v>30</v>
      </c>
      <c r="X346" s="32" t="n">
        <f aca="false">ROUNDUP(J346/INDEX('Tabela Passaro'!$T$2:$T$1795,$N346),0)*INDEX('Tabela Passaro'!$S$2:$S$1795,$N346)</f>
        <v>0</v>
      </c>
      <c r="Y346" s="32" t="n">
        <f aca="false">INDEX('Tabela Passaro'!$U$2:$U$1795,$N346)</f>
        <v>0</v>
      </c>
      <c r="Z346" s="32" t="n">
        <f aca="false">INDEX('Tabela Passaro'!$V$2:$V$1795,$N346)</f>
        <v>0</v>
      </c>
      <c r="AA346" s="32" t="n">
        <f aca="false">SUM(R346:Z346)</f>
        <v>106.50479</v>
      </c>
      <c r="AB346" s="33" t="n">
        <f aca="false">INDEX(Premissas!$B$5:$B$13,MATCH(A346,Premissas!$A$5:$A$13,0))</f>
        <v>0.07</v>
      </c>
      <c r="AC346" s="32" t="n">
        <f aca="false">AA346/(1-AB346)-AA346</f>
        <v>8.01648956989249</v>
      </c>
      <c r="AD346" s="32" t="n">
        <f aca="false">ROUND(AA346+AC346,2)</f>
        <v>114.52</v>
      </c>
      <c r="AE346" s="32" t="n">
        <f aca="false">AD346-L346</f>
        <v>-26.84</v>
      </c>
      <c r="AF346" s="34" t="n">
        <f aca="false">IF(L346=0,0,AE346/L346)</f>
        <v>-0.189869835880023</v>
      </c>
      <c r="AG346" s="22" t="str">
        <f aca="false">IF(AD346&lt;L346,"PASSARO","ATUAL")</f>
        <v>PASSARO</v>
      </c>
      <c r="AH346" s="22" t="str">
        <f aca="false">IF(P346&lt;&gt;A346,"Faixa cadastrada como "&amp;P346&amp;" na tabela; preço aplicado pela UF do CEP","")</f>
        <v/>
      </c>
      <c r="AI346" s="26" t="n">
        <v>138.98</v>
      </c>
      <c r="AJ346" s="22" t="str">
        <f aca="false">INDEX('Tabela Passaro'!$X$2:$X$1795,$N346)</f>
        <v>CAPITAL</v>
      </c>
    </row>
    <row r="347" customFormat="false" ht="15" hidden="false" customHeight="false" outlineLevel="0" collapsed="false">
      <c r="A347" s="22" t="s">
        <v>16</v>
      </c>
      <c r="B347" s="22" t="n">
        <v>1</v>
      </c>
      <c r="C347" s="22" t="s">
        <v>75</v>
      </c>
      <c r="D347" s="22" t="s">
        <v>30</v>
      </c>
      <c r="E347" s="22" t="s">
        <v>20</v>
      </c>
      <c r="F347" s="22" t="n">
        <v>839950</v>
      </c>
      <c r="G347" s="30" t="n">
        <v>46258</v>
      </c>
      <c r="H347" s="22" t="n">
        <v>32623</v>
      </c>
      <c r="I347" s="22" t="s">
        <v>7639</v>
      </c>
      <c r="J347" s="31" t="n">
        <v>34.4</v>
      </c>
      <c r="K347" s="26" t="n">
        <v>629.98</v>
      </c>
      <c r="L347" s="26" t="n">
        <v>141.13</v>
      </c>
      <c r="M347" s="22" t="s">
        <v>694</v>
      </c>
      <c r="N347" s="22" t="n">
        <f aca="false">MATCH(M347,'Tabela Passaro'!$A$2:$A$1795,0)</f>
        <v>106</v>
      </c>
      <c r="O347" s="22" t="str">
        <f aca="false">INDEX('Tabela Passaro'!$C$2:$C$1795,$N347)</f>
        <v>SALVADOR</v>
      </c>
      <c r="P347" s="22" t="str">
        <f aca="false">INDEX('Tabela Passaro'!$B$2:$B$1795,$N347)</f>
        <v>BA</v>
      </c>
      <c r="Q347" s="22" t="n">
        <f aca="false">INDEX('Tabela Passaro'!$F$2:$F$1795,$N347)</f>
        <v>6</v>
      </c>
      <c r="R347" s="32" t="n">
        <f aca="false">IF(J347&lt;=10,INDEX('Tabela Passaro'!$G$2:$G$1795,$N347),IF(J347&lt;=30,INDEX('Tabela Passaro'!$H$2:$H$1795,$N347),IF(J347&lt;=50,INDEX('Tabela Passaro'!$I$2:$I$1795,$N347),IF(J347&lt;=70,INDEX('Tabela Passaro'!$J$2:$J$1795,$N347),IF(J347&lt;=100,INDEX('Tabela Passaro'!$K$2:$K$1795,$N347),INDEX('Tabela Passaro'!$K$2:$K$1795,$N347)+(J347-100)*INDEX('Tabela Passaro'!$L$2:$L$1795,$N347))))))</f>
        <v>61.92</v>
      </c>
      <c r="S347" s="32" t="n">
        <f aca="false">K347*INDEX('Tabela Passaro'!$M$2:$M$1795,$N347)</f>
        <v>3.1499</v>
      </c>
      <c r="T347" s="32" t="n">
        <f aca="false">K347*INDEX('Tabela Passaro'!$N$2:$N$1795,$N347)</f>
        <v>1.25996</v>
      </c>
      <c r="U347" s="32" t="n">
        <f aca="false">INDEX('Tabela Passaro'!$O$2:$O$1795,$N347)</f>
        <v>5</v>
      </c>
      <c r="V347" s="32" t="n">
        <f aca="false">ROUNDUP(J347/INDEX('Tabela Passaro'!$Q$2:$Q$1795,$N347),0)*INDEX('Tabela Passaro'!$P$2:$P$1795,$N347)</f>
        <v>5</v>
      </c>
      <c r="W347" s="32" t="n">
        <f aca="false">INDEX('Tabela Passaro'!$R$2:$R$1795,$N347)</f>
        <v>30</v>
      </c>
      <c r="X347" s="32" t="n">
        <f aca="false">ROUNDUP(J347/INDEX('Tabela Passaro'!$T$2:$T$1795,$N347),0)*INDEX('Tabela Passaro'!$S$2:$S$1795,$N347)</f>
        <v>0</v>
      </c>
      <c r="Y347" s="32" t="n">
        <f aca="false">INDEX('Tabela Passaro'!$U$2:$U$1795,$N347)</f>
        <v>0</v>
      </c>
      <c r="Z347" s="32" t="n">
        <f aca="false">INDEX('Tabela Passaro'!$V$2:$V$1795,$N347)</f>
        <v>0</v>
      </c>
      <c r="AA347" s="32" t="n">
        <f aca="false">SUM(R347:Z347)</f>
        <v>106.32986</v>
      </c>
      <c r="AB347" s="33" t="n">
        <f aca="false">INDEX(Premissas!$B$5:$B$13,MATCH(A347,Premissas!$A$5:$A$13,0))</f>
        <v>0.07</v>
      </c>
      <c r="AC347" s="32" t="n">
        <f aca="false">AA347/(1-AB347)-AA347</f>
        <v>8.00332279569894</v>
      </c>
      <c r="AD347" s="32" t="n">
        <f aca="false">ROUND(AA347+AC347,2)</f>
        <v>114.33</v>
      </c>
      <c r="AE347" s="32" t="n">
        <f aca="false">AD347-L347</f>
        <v>-26.8</v>
      </c>
      <c r="AF347" s="34" t="n">
        <f aca="false">IF(L347=0,0,AE347/L347)</f>
        <v>-0.189895840714235</v>
      </c>
      <c r="AG347" s="22" t="str">
        <f aca="false">IF(AD347&lt;L347,"PASSARO","ATUAL")</f>
        <v>PASSARO</v>
      </c>
      <c r="AH347" s="22" t="str">
        <f aca="false">IF(P347&lt;&gt;A347,"Faixa cadastrada como "&amp;P347&amp;" na tabela; preço aplicado pela UF do CEP","")</f>
        <v/>
      </c>
      <c r="AI347" s="26" t="n">
        <v>138.74</v>
      </c>
      <c r="AJ347" s="22" t="str">
        <f aca="false">INDEX('Tabela Passaro'!$X$2:$X$1795,$N347)</f>
        <v>CAPITAL</v>
      </c>
    </row>
    <row r="348" customFormat="false" ht="15" hidden="false" customHeight="false" outlineLevel="0" collapsed="false">
      <c r="A348" s="22" t="s">
        <v>16</v>
      </c>
      <c r="B348" s="22" t="n">
        <v>1</v>
      </c>
      <c r="C348" s="22" t="s">
        <v>75</v>
      </c>
      <c r="D348" s="22" t="s">
        <v>30</v>
      </c>
      <c r="E348" s="22" t="s">
        <v>20</v>
      </c>
      <c r="F348" s="22" t="n">
        <v>839936</v>
      </c>
      <c r="G348" s="30" t="n">
        <v>46258</v>
      </c>
      <c r="H348" s="22" t="n">
        <v>32627</v>
      </c>
      <c r="I348" s="22" t="s">
        <v>7640</v>
      </c>
      <c r="J348" s="31" t="n">
        <v>79.26</v>
      </c>
      <c r="K348" s="26" t="n">
        <v>981.98</v>
      </c>
      <c r="L348" s="26" t="n">
        <v>203.03</v>
      </c>
      <c r="M348" s="22" t="s">
        <v>694</v>
      </c>
      <c r="N348" s="22" t="n">
        <f aca="false">MATCH(M348,'Tabela Passaro'!$A$2:$A$1795,0)</f>
        <v>106</v>
      </c>
      <c r="O348" s="22" t="str">
        <f aca="false">INDEX('Tabela Passaro'!$C$2:$C$1795,$N348)</f>
        <v>SALVADOR</v>
      </c>
      <c r="P348" s="22" t="str">
        <f aca="false">INDEX('Tabela Passaro'!$B$2:$B$1795,$N348)</f>
        <v>BA</v>
      </c>
      <c r="Q348" s="22" t="n">
        <f aca="false">INDEX('Tabela Passaro'!$F$2:$F$1795,$N348)</f>
        <v>6</v>
      </c>
      <c r="R348" s="32" t="n">
        <f aca="false">IF(J348&lt;=10,INDEX('Tabela Passaro'!$G$2:$G$1795,$N348),IF(J348&lt;=30,INDEX('Tabela Passaro'!$H$2:$H$1795,$N348),IF(J348&lt;=50,INDEX('Tabela Passaro'!$I$2:$I$1795,$N348),IF(J348&lt;=70,INDEX('Tabela Passaro'!$J$2:$J$1795,$N348),IF(J348&lt;=100,INDEX('Tabela Passaro'!$K$2:$K$1795,$N348),INDEX('Tabela Passaro'!$K$2:$K$1795,$N348)+(J348-100)*INDEX('Tabela Passaro'!$L$2:$L$1795,$N348))))))</f>
        <v>84.96</v>
      </c>
      <c r="S348" s="32" t="n">
        <f aca="false">K348*INDEX('Tabela Passaro'!$M$2:$M$1795,$N348)</f>
        <v>4.9099</v>
      </c>
      <c r="T348" s="32" t="n">
        <f aca="false">K348*INDEX('Tabela Passaro'!$N$2:$N$1795,$N348)</f>
        <v>1.96396</v>
      </c>
      <c r="U348" s="32" t="n">
        <f aca="false">INDEX('Tabela Passaro'!$O$2:$O$1795,$N348)</f>
        <v>5</v>
      </c>
      <c r="V348" s="32" t="n">
        <f aca="false">ROUNDUP(J348/INDEX('Tabela Passaro'!$Q$2:$Q$1795,$N348),0)*INDEX('Tabela Passaro'!$P$2:$P$1795,$N348)</f>
        <v>5</v>
      </c>
      <c r="W348" s="32" t="n">
        <f aca="false">INDEX('Tabela Passaro'!$R$2:$R$1795,$N348)</f>
        <v>30</v>
      </c>
      <c r="X348" s="32" t="n">
        <f aca="false">ROUNDUP(J348/INDEX('Tabela Passaro'!$T$2:$T$1795,$N348),0)*INDEX('Tabela Passaro'!$S$2:$S$1795,$N348)</f>
        <v>0</v>
      </c>
      <c r="Y348" s="32" t="n">
        <f aca="false">INDEX('Tabela Passaro'!$U$2:$U$1795,$N348)</f>
        <v>0</v>
      </c>
      <c r="Z348" s="32" t="n">
        <f aca="false">INDEX('Tabela Passaro'!$V$2:$V$1795,$N348)</f>
        <v>0</v>
      </c>
      <c r="AA348" s="32" t="n">
        <f aca="false">SUM(R348:Z348)</f>
        <v>131.83386</v>
      </c>
      <c r="AB348" s="33" t="n">
        <f aca="false">INDEX(Premissas!$B$5:$B$13,MATCH(A348,Premissas!$A$5:$A$13,0))</f>
        <v>0.07</v>
      </c>
      <c r="AC348" s="32" t="n">
        <f aca="false">AA348/(1-AB348)-AA348</f>
        <v>9.92297870967744</v>
      </c>
      <c r="AD348" s="32" t="n">
        <f aca="false">ROUND(AA348+AC348,2)</f>
        <v>141.76</v>
      </c>
      <c r="AE348" s="32" t="n">
        <f aca="false">AD348-L348</f>
        <v>-61.27</v>
      </c>
      <c r="AF348" s="34" t="n">
        <f aca="false">IF(L348=0,0,AE348/L348)</f>
        <v>-0.301778062355317</v>
      </c>
      <c r="AG348" s="22" t="str">
        <f aca="false">IF(AD348&lt;L348,"PASSARO","ATUAL")</f>
        <v>PASSARO</v>
      </c>
      <c r="AH348" s="22" t="str">
        <f aca="false">IF(P348&lt;&gt;A348,"Faixa cadastrada como "&amp;P348&amp;" na tabela; preço aplicado pela UF do CEP","")</f>
        <v/>
      </c>
      <c r="AI348" s="26" t="n">
        <v>188.97</v>
      </c>
      <c r="AJ348" s="22" t="str">
        <f aca="false">INDEX('Tabela Passaro'!$X$2:$X$1795,$N348)</f>
        <v>CAPITAL</v>
      </c>
    </row>
    <row r="349" customFormat="false" ht="15" hidden="false" customHeight="false" outlineLevel="0" collapsed="false">
      <c r="A349" s="22" t="s">
        <v>16</v>
      </c>
      <c r="B349" s="22" t="n">
        <v>1</v>
      </c>
      <c r="C349" s="22" t="s">
        <v>75</v>
      </c>
      <c r="D349" s="22" t="s">
        <v>30</v>
      </c>
      <c r="E349" s="22" t="s">
        <v>20</v>
      </c>
      <c r="F349" s="22" t="n">
        <v>839942</v>
      </c>
      <c r="G349" s="30" t="n">
        <v>46258</v>
      </c>
      <c r="H349" s="22" t="n">
        <v>32628</v>
      </c>
      <c r="I349" s="22" t="s">
        <v>7641</v>
      </c>
      <c r="J349" s="31" t="n">
        <v>37.2</v>
      </c>
      <c r="K349" s="26" t="n">
        <v>508.14</v>
      </c>
      <c r="L349" s="26" t="n">
        <v>140.03</v>
      </c>
      <c r="M349" s="22" t="s">
        <v>694</v>
      </c>
      <c r="N349" s="22" t="n">
        <f aca="false">MATCH(M349,'Tabela Passaro'!$A$2:$A$1795,0)</f>
        <v>106</v>
      </c>
      <c r="O349" s="22" t="str">
        <f aca="false">INDEX('Tabela Passaro'!$C$2:$C$1795,$N349)</f>
        <v>SALVADOR</v>
      </c>
      <c r="P349" s="22" t="str">
        <f aca="false">INDEX('Tabela Passaro'!$B$2:$B$1795,$N349)</f>
        <v>BA</v>
      </c>
      <c r="Q349" s="22" t="n">
        <f aca="false">INDEX('Tabela Passaro'!$F$2:$F$1795,$N349)</f>
        <v>6</v>
      </c>
      <c r="R349" s="32" t="n">
        <f aca="false">IF(J349&lt;=10,INDEX('Tabela Passaro'!$G$2:$G$1795,$N349),IF(J349&lt;=30,INDEX('Tabela Passaro'!$H$2:$H$1795,$N349),IF(J349&lt;=50,INDEX('Tabela Passaro'!$I$2:$I$1795,$N349),IF(J349&lt;=70,INDEX('Tabela Passaro'!$J$2:$J$1795,$N349),IF(J349&lt;=100,INDEX('Tabela Passaro'!$K$2:$K$1795,$N349),INDEX('Tabela Passaro'!$K$2:$K$1795,$N349)+(J349-100)*INDEX('Tabela Passaro'!$L$2:$L$1795,$N349))))))</f>
        <v>61.92</v>
      </c>
      <c r="S349" s="32" t="n">
        <f aca="false">K349*INDEX('Tabela Passaro'!$M$2:$M$1795,$N349)</f>
        <v>2.5407</v>
      </c>
      <c r="T349" s="32" t="n">
        <f aca="false">K349*INDEX('Tabela Passaro'!$N$2:$N$1795,$N349)</f>
        <v>1.01628</v>
      </c>
      <c r="U349" s="32" t="n">
        <f aca="false">INDEX('Tabela Passaro'!$O$2:$O$1795,$N349)</f>
        <v>5</v>
      </c>
      <c r="V349" s="32" t="n">
        <f aca="false">ROUNDUP(J349/INDEX('Tabela Passaro'!$Q$2:$Q$1795,$N349),0)*INDEX('Tabela Passaro'!$P$2:$P$1795,$N349)</f>
        <v>5</v>
      </c>
      <c r="W349" s="32" t="n">
        <f aca="false">INDEX('Tabela Passaro'!$R$2:$R$1795,$N349)</f>
        <v>30</v>
      </c>
      <c r="X349" s="32" t="n">
        <f aca="false">ROUNDUP(J349/INDEX('Tabela Passaro'!$T$2:$T$1795,$N349),0)*INDEX('Tabela Passaro'!$S$2:$S$1795,$N349)</f>
        <v>0</v>
      </c>
      <c r="Y349" s="32" t="n">
        <f aca="false">INDEX('Tabela Passaro'!$U$2:$U$1795,$N349)</f>
        <v>0</v>
      </c>
      <c r="Z349" s="32" t="n">
        <f aca="false">INDEX('Tabela Passaro'!$V$2:$V$1795,$N349)</f>
        <v>0</v>
      </c>
      <c r="AA349" s="32" t="n">
        <f aca="false">SUM(R349:Z349)</f>
        <v>105.47698</v>
      </c>
      <c r="AB349" s="33" t="n">
        <f aca="false">INDEX(Premissas!$B$5:$B$13,MATCH(A349,Premissas!$A$5:$A$13,0))</f>
        <v>0.07</v>
      </c>
      <c r="AC349" s="32" t="n">
        <f aca="false">AA349/(1-AB349)-AA349</f>
        <v>7.93912752688173</v>
      </c>
      <c r="AD349" s="32" t="n">
        <f aca="false">ROUND(AA349+AC349,2)</f>
        <v>113.42</v>
      </c>
      <c r="AE349" s="32" t="n">
        <f aca="false">AD349-L349</f>
        <v>-26.61</v>
      </c>
      <c r="AF349" s="34" t="n">
        <f aca="false">IF(L349=0,0,AE349/L349)</f>
        <v>-0.190030707705492</v>
      </c>
      <c r="AG349" s="22" t="str">
        <f aca="false">IF(AD349&lt;L349,"PASSARO","ATUAL")</f>
        <v>PASSARO</v>
      </c>
      <c r="AH349" s="22" t="str">
        <f aca="false">IF(P349&lt;&gt;A349,"Faixa cadastrada como "&amp;P349&amp;" na tabela; preço aplicado pela UF do CEP","")</f>
        <v/>
      </c>
      <c r="AI349" s="26" t="n">
        <v>139.01</v>
      </c>
      <c r="AJ349" s="22" t="str">
        <f aca="false">INDEX('Tabela Passaro'!$X$2:$X$1795,$N349)</f>
        <v>CAPITAL</v>
      </c>
    </row>
    <row r="350" customFormat="false" ht="15" hidden="false" customHeight="false" outlineLevel="0" collapsed="false">
      <c r="A350" s="22" t="s">
        <v>16</v>
      </c>
      <c r="B350" s="22" t="n">
        <v>1</v>
      </c>
      <c r="C350" s="22" t="s">
        <v>75</v>
      </c>
      <c r="D350" s="22" t="s">
        <v>30</v>
      </c>
      <c r="E350" s="22" t="s">
        <v>20</v>
      </c>
      <c r="F350" s="22" t="n">
        <v>839957</v>
      </c>
      <c r="G350" s="30" t="n">
        <v>46258</v>
      </c>
      <c r="H350" s="22" t="n">
        <v>32636</v>
      </c>
      <c r="I350" s="22" t="s">
        <v>7642</v>
      </c>
      <c r="J350" s="31" t="n">
        <v>66.8</v>
      </c>
      <c r="K350" s="26" t="n">
        <v>914.98</v>
      </c>
      <c r="L350" s="26" t="n">
        <v>162.88</v>
      </c>
      <c r="M350" s="22" t="s">
        <v>694</v>
      </c>
      <c r="N350" s="22" t="n">
        <f aca="false">MATCH(M350,'Tabela Passaro'!$A$2:$A$1795,0)</f>
        <v>106</v>
      </c>
      <c r="O350" s="22" t="str">
        <f aca="false">INDEX('Tabela Passaro'!$C$2:$C$1795,$N350)</f>
        <v>SALVADOR</v>
      </c>
      <c r="P350" s="22" t="str">
        <f aca="false">INDEX('Tabela Passaro'!$B$2:$B$1795,$N350)</f>
        <v>BA</v>
      </c>
      <c r="Q350" s="22" t="n">
        <f aca="false">INDEX('Tabela Passaro'!$F$2:$F$1795,$N350)</f>
        <v>6</v>
      </c>
      <c r="R350" s="32" t="n">
        <f aca="false">IF(J350&lt;=10,INDEX('Tabela Passaro'!$G$2:$G$1795,$N350),IF(J350&lt;=30,INDEX('Tabela Passaro'!$H$2:$H$1795,$N350),IF(J350&lt;=50,INDEX('Tabela Passaro'!$I$2:$I$1795,$N350),IF(J350&lt;=70,INDEX('Tabela Passaro'!$J$2:$J$1795,$N350),IF(J350&lt;=100,INDEX('Tabela Passaro'!$K$2:$K$1795,$N350),INDEX('Tabela Passaro'!$K$2:$K$1795,$N350)+(J350-100)*INDEX('Tabela Passaro'!$L$2:$L$1795,$N350))))))</f>
        <v>73.44</v>
      </c>
      <c r="S350" s="32" t="n">
        <f aca="false">K350*INDEX('Tabela Passaro'!$M$2:$M$1795,$N350)</f>
        <v>4.5749</v>
      </c>
      <c r="T350" s="32" t="n">
        <f aca="false">K350*INDEX('Tabela Passaro'!$N$2:$N$1795,$N350)</f>
        <v>1.82996</v>
      </c>
      <c r="U350" s="32" t="n">
        <f aca="false">INDEX('Tabela Passaro'!$O$2:$O$1795,$N350)</f>
        <v>5</v>
      </c>
      <c r="V350" s="32" t="n">
        <f aca="false">ROUNDUP(J350/INDEX('Tabela Passaro'!$Q$2:$Q$1795,$N350),0)*INDEX('Tabela Passaro'!$P$2:$P$1795,$N350)</f>
        <v>5</v>
      </c>
      <c r="W350" s="32" t="n">
        <f aca="false">INDEX('Tabela Passaro'!$R$2:$R$1795,$N350)</f>
        <v>30</v>
      </c>
      <c r="X350" s="32" t="n">
        <f aca="false">ROUNDUP(J350/INDEX('Tabela Passaro'!$T$2:$T$1795,$N350),0)*INDEX('Tabela Passaro'!$S$2:$S$1795,$N350)</f>
        <v>0</v>
      </c>
      <c r="Y350" s="32" t="n">
        <f aca="false">INDEX('Tabela Passaro'!$U$2:$U$1795,$N350)</f>
        <v>0</v>
      </c>
      <c r="Z350" s="32" t="n">
        <f aca="false">INDEX('Tabela Passaro'!$V$2:$V$1795,$N350)</f>
        <v>0</v>
      </c>
      <c r="AA350" s="32" t="n">
        <f aca="false">SUM(R350:Z350)</f>
        <v>119.84486</v>
      </c>
      <c r="AB350" s="33" t="n">
        <f aca="false">INDEX(Premissas!$B$5:$B$13,MATCH(A350,Premissas!$A$5:$A$13,0))</f>
        <v>0.07</v>
      </c>
      <c r="AC350" s="32" t="n">
        <f aca="false">AA350/(1-AB350)-AA350</f>
        <v>9.02058086021505</v>
      </c>
      <c r="AD350" s="32" t="n">
        <f aca="false">ROUND(AA350+AC350,2)</f>
        <v>128.87</v>
      </c>
      <c r="AE350" s="32" t="n">
        <f aca="false">AD350-L350</f>
        <v>-34.01</v>
      </c>
      <c r="AF350" s="34" t="n">
        <f aca="false">IF(L350=0,0,AE350/L350)</f>
        <v>-0.208804027504912</v>
      </c>
      <c r="AG350" s="22" t="str">
        <f aca="false">IF(AD350&lt;L350,"PASSARO","ATUAL")</f>
        <v>PASSARO</v>
      </c>
      <c r="AH350" s="22" t="str">
        <f aca="false">IF(P350&lt;&gt;A350,"Faixa cadastrada como "&amp;P350&amp;" na tabela; preço aplicado pela UF do CEP","")</f>
        <v/>
      </c>
      <c r="AI350" s="26" t="n">
        <v>169.51</v>
      </c>
      <c r="AJ350" s="22" t="str">
        <f aca="false">INDEX('Tabela Passaro'!$X$2:$X$1795,$N350)</f>
        <v>CAPITAL</v>
      </c>
    </row>
    <row r="351" customFormat="false" ht="15" hidden="false" customHeight="false" outlineLevel="0" collapsed="false">
      <c r="A351" s="22" t="s">
        <v>16</v>
      </c>
      <c r="B351" s="22" t="n">
        <v>1</v>
      </c>
      <c r="C351" s="22" t="s">
        <v>75</v>
      </c>
      <c r="D351" s="22" t="s">
        <v>30</v>
      </c>
      <c r="E351" s="22" t="s">
        <v>20</v>
      </c>
      <c r="F351" s="22" t="n">
        <v>839962</v>
      </c>
      <c r="G351" s="30" t="n">
        <v>46258</v>
      </c>
      <c r="H351" s="22" t="n">
        <v>32641</v>
      </c>
      <c r="I351" s="22" t="s">
        <v>7643</v>
      </c>
      <c r="J351" s="31" t="n">
        <v>69.11</v>
      </c>
      <c r="K351" s="26" t="n">
        <v>999.98</v>
      </c>
      <c r="L351" s="26" t="n">
        <v>163.65</v>
      </c>
      <c r="M351" s="22" t="s">
        <v>694</v>
      </c>
      <c r="N351" s="22" t="n">
        <f aca="false">MATCH(M351,'Tabela Passaro'!$A$2:$A$1795,0)</f>
        <v>106</v>
      </c>
      <c r="O351" s="22" t="str">
        <f aca="false">INDEX('Tabela Passaro'!$C$2:$C$1795,$N351)</f>
        <v>SALVADOR</v>
      </c>
      <c r="P351" s="22" t="str">
        <f aca="false">INDEX('Tabela Passaro'!$B$2:$B$1795,$N351)</f>
        <v>BA</v>
      </c>
      <c r="Q351" s="22" t="n">
        <f aca="false">INDEX('Tabela Passaro'!$F$2:$F$1795,$N351)</f>
        <v>6</v>
      </c>
      <c r="R351" s="32" t="n">
        <f aca="false">IF(J351&lt;=10,INDEX('Tabela Passaro'!$G$2:$G$1795,$N351),IF(J351&lt;=30,INDEX('Tabela Passaro'!$H$2:$H$1795,$N351),IF(J351&lt;=50,INDEX('Tabela Passaro'!$I$2:$I$1795,$N351),IF(J351&lt;=70,INDEX('Tabela Passaro'!$J$2:$J$1795,$N351),IF(J351&lt;=100,INDEX('Tabela Passaro'!$K$2:$K$1795,$N351),INDEX('Tabela Passaro'!$K$2:$K$1795,$N351)+(J351-100)*INDEX('Tabela Passaro'!$L$2:$L$1795,$N351))))))</f>
        <v>73.44</v>
      </c>
      <c r="S351" s="32" t="n">
        <f aca="false">K351*INDEX('Tabela Passaro'!$M$2:$M$1795,$N351)</f>
        <v>4.9999</v>
      </c>
      <c r="T351" s="32" t="n">
        <f aca="false">K351*INDEX('Tabela Passaro'!$N$2:$N$1795,$N351)</f>
        <v>1.99996</v>
      </c>
      <c r="U351" s="32" t="n">
        <f aca="false">INDEX('Tabela Passaro'!$O$2:$O$1795,$N351)</f>
        <v>5</v>
      </c>
      <c r="V351" s="32" t="n">
        <f aca="false">ROUNDUP(J351/INDEX('Tabela Passaro'!$Q$2:$Q$1795,$N351),0)*INDEX('Tabela Passaro'!$P$2:$P$1795,$N351)</f>
        <v>5</v>
      </c>
      <c r="W351" s="32" t="n">
        <f aca="false">INDEX('Tabela Passaro'!$R$2:$R$1795,$N351)</f>
        <v>30</v>
      </c>
      <c r="X351" s="32" t="n">
        <f aca="false">ROUNDUP(J351/INDEX('Tabela Passaro'!$T$2:$T$1795,$N351),0)*INDEX('Tabela Passaro'!$S$2:$S$1795,$N351)</f>
        <v>0</v>
      </c>
      <c r="Y351" s="32" t="n">
        <f aca="false">INDEX('Tabela Passaro'!$U$2:$U$1795,$N351)</f>
        <v>0</v>
      </c>
      <c r="Z351" s="32" t="n">
        <f aca="false">INDEX('Tabela Passaro'!$V$2:$V$1795,$N351)</f>
        <v>0</v>
      </c>
      <c r="AA351" s="32" t="n">
        <f aca="false">SUM(R351:Z351)</f>
        <v>120.43986</v>
      </c>
      <c r="AB351" s="33" t="n">
        <f aca="false">INDEX(Premissas!$B$5:$B$13,MATCH(A351,Premissas!$A$5:$A$13,0))</f>
        <v>0.07</v>
      </c>
      <c r="AC351" s="32" t="n">
        <f aca="false">AA351/(1-AB351)-AA351</f>
        <v>9.06536580645162</v>
      </c>
      <c r="AD351" s="32" t="n">
        <f aca="false">ROUND(AA351+AC351,2)</f>
        <v>129.51</v>
      </c>
      <c r="AE351" s="32" t="n">
        <f aca="false">AD351-L351</f>
        <v>-34.14</v>
      </c>
      <c r="AF351" s="34" t="n">
        <f aca="false">IF(L351=0,0,AE351/L351)</f>
        <v>-0.208615948670944</v>
      </c>
      <c r="AG351" s="22" t="str">
        <f aca="false">IF(AD351&lt;L351,"PASSARO","ATUAL")</f>
        <v>PASSARO</v>
      </c>
      <c r="AH351" s="22" t="str">
        <f aca="false">IF(P351&lt;&gt;A351,"Faixa cadastrada como "&amp;P351&amp;" na tabela; preço aplicado pela UF do CEP","")</f>
        <v/>
      </c>
      <c r="AI351" s="26" t="n">
        <v>171.78</v>
      </c>
      <c r="AJ351" s="22" t="str">
        <f aca="false">INDEX('Tabela Passaro'!$X$2:$X$1795,$N351)</f>
        <v>CAPITAL</v>
      </c>
    </row>
    <row r="352" customFormat="false" ht="15" hidden="false" customHeight="false" outlineLevel="0" collapsed="false">
      <c r="A352" s="22" t="s">
        <v>16</v>
      </c>
      <c r="B352" s="22" t="n">
        <v>1</v>
      </c>
      <c r="C352" s="22" t="s">
        <v>75</v>
      </c>
      <c r="D352" s="22" t="s">
        <v>30</v>
      </c>
      <c r="E352" s="22" t="s">
        <v>7328</v>
      </c>
      <c r="F352" s="22" t="n">
        <v>2315641</v>
      </c>
      <c r="G352" s="30" t="n">
        <v>46258</v>
      </c>
      <c r="H352" s="22" t="n">
        <v>134368</v>
      </c>
      <c r="I352" s="22" t="s">
        <v>7644</v>
      </c>
      <c r="J352" s="31" t="n">
        <v>66.4</v>
      </c>
      <c r="K352" s="26" t="n">
        <v>803.98</v>
      </c>
      <c r="L352" s="26" t="n">
        <v>165.67</v>
      </c>
      <c r="M352" s="22" t="s">
        <v>694</v>
      </c>
      <c r="N352" s="22" t="n">
        <f aca="false">MATCH(M352,'Tabela Passaro'!$A$2:$A$1795,0)</f>
        <v>106</v>
      </c>
      <c r="O352" s="22" t="str">
        <f aca="false">INDEX('Tabela Passaro'!$C$2:$C$1795,$N352)</f>
        <v>SALVADOR</v>
      </c>
      <c r="P352" s="22" t="str">
        <f aca="false">INDEX('Tabela Passaro'!$B$2:$B$1795,$N352)</f>
        <v>BA</v>
      </c>
      <c r="Q352" s="22" t="n">
        <f aca="false">INDEX('Tabela Passaro'!$F$2:$F$1795,$N352)</f>
        <v>6</v>
      </c>
      <c r="R352" s="32" t="n">
        <f aca="false">IF(J352&lt;=10,INDEX('Tabela Passaro'!$G$2:$G$1795,$N352),IF(J352&lt;=30,INDEX('Tabela Passaro'!$H$2:$H$1795,$N352),IF(J352&lt;=50,INDEX('Tabela Passaro'!$I$2:$I$1795,$N352),IF(J352&lt;=70,INDEX('Tabela Passaro'!$J$2:$J$1795,$N352),IF(J352&lt;=100,INDEX('Tabela Passaro'!$K$2:$K$1795,$N352),INDEX('Tabela Passaro'!$K$2:$K$1795,$N352)+(J352-100)*INDEX('Tabela Passaro'!$L$2:$L$1795,$N352))))))</f>
        <v>73.44</v>
      </c>
      <c r="S352" s="32" t="n">
        <f aca="false">K352*INDEX('Tabela Passaro'!$M$2:$M$1795,$N352)</f>
        <v>4.0199</v>
      </c>
      <c r="T352" s="32" t="n">
        <f aca="false">K352*INDEX('Tabela Passaro'!$N$2:$N$1795,$N352)</f>
        <v>1.60796</v>
      </c>
      <c r="U352" s="32" t="n">
        <f aca="false">INDEX('Tabela Passaro'!$O$2:$O$1795,$N352)</f>
        <v>5</v>
      </c>
      <c r="V352" s="32" t="n">
        <f aca="false">ROUNDUP(J352/INDEX('Tabela Passaro'!$Q$2:$Q$1795,$N352),0)*INDEX('Tabela Passaro'!$P$2:$P$1795,$N352)</f>
        <v>5</v>
      </c>
      <c r="W352" s="32" t="n">
        <f aca="false">INDEX('Tabela Passaro'!$R$2:$R$1795,$N352)</f>
        <v>30</v>
      </c>
      <c r="X352" s="32" t="n">
        <f aca="false">ROUNDUP(J352/INDEX('Tabela Passaro'!$T$2:$T$1795,$N352),0)*INDEX('Tabela Passaro'!$S$2:$S$1795,$N352)</f>
        <v>0</v>
      </c>
      <c r="Y352" s="32" t="n">
        <f aca="false">INDEX('Tabela Passaro'!$U$2:$U$1795,$N352)</f>
        <v>0</v>
      </c>
      <c r="Z352" s="32" t="n">
        <f aca="false">INDEX('Tabela Passaro'!$V$2:$V$1795,$N352)</f>
        <v>0</v>
      </c>
      <c r="AA352" s="32" t="n">
        <f aca="false">SUM(R352:Z352)</f>
        <v>119.06786</v>
      </c>
      <c r="AB352" s="33" t="n">
        <f aca="false">INDEX(Premissas!$B$5:$B$13,MATCH(A352,Premissas!$A$5:$A$13,0))</f>
        <v>0.07</v>
      </c>
      <c r="AC352" s="32" t="n">
        <f aca="false">AA352/(1-AB352)-AA352</f>
        <v>8.96209698924733</v>
      </c>
      <c r="AD352" s="32" t="n">
        <f aca="false">ROUND(AA352+AC352,2)</f>
        <v>128.03</v>
      </c>
      <c r="AE352" s="32" t="n">
        <f aca="false">AD352-L352</f>
        <v>-37.64</v>
      </c>
      <c r="AF352" s="34" t="n">
        <f aca="false">IF(L352=0,0,AE352/L352)</f>
        <v>-0.227198647914529</v>
      </c>
      <c r="AG352" s="22" t="str">
        <f aca="false">IF(AD352&lt;L352,"PASSARO","ATUAL")</f>
        <v>PASSARO</v>
      </c>
      <c r="AH352" s="22" t="str">
        <f aca="false">IF(P352&lt;&gt;A352,"Faixa cadastrada como "&amp;P352&amp;" na tabela; preço aplicado pela UF do CEP","")</f>
        <v/>
      </c>
      <c r="AI352" s="26" t="n">
        <v>168.44</v>
      </c>
      <c r="AJ352" s="22" t="str">
        <f aca="false">INDEX('Tabela Passaro'!$X$2:$X$1795,$N352)</f>
        <v>CAPITAL</v>
      </c>
    </row>
    <row r="353" customFormat="false" ht="15" hidden="false" customHeight="false" outlineLevel="0" collapsed="false">
      <c r="A353" s="22" t="s">
        <v>16</v>
      </c>
      <c r="B353" s="22" t="n">
        <v>1</v>
      </c>
      <c r="C353" s="22" t="s">
        <v>75</v>
      </c>
      <c r="D353" s="22" t="s">
        <v>30</v>
      </c>
      <c r="E353" s="22" t="s">
        <v>7328</v>
      </c>
      <c r="F353" s="22" t="n">
        <v>2315644</v>
      </c>
      <c r="G353" s="30" t="n">
        <v>46258</v>
      </c>
      <c r="H353" s="22" t="n">
        <v>134369</v>
      </c>
      <c r="I353" s="22" t="s">
        <v>7645</v>
      </c>
      <c r="J353" s="31" t="n">
        <v>51.06</v>
      </c>
      <c r="K353" s="26" t="n">
        <v>895.87</v>
      </c>
      <c r="L353" s="26" t="n">
        <v>166.39</v>
      </c>
      <c r="M353" s="22" t="s">
        <v>694</v>
      </c>
      <c r="N353" s="22" t="n">
        <f aca="false">MATCH(M353,'Tabela Passaro'!$A$2:$A$1795,0)</f>
        <v>106</v>
      </c>
      <c r="O353" s="22" t="str">
        <f aca="false">INDEX('Tabela Passaro'!$C$2:$C$1795,$N353)</f>
        <v>SALVADOR</v>
      </c>
      <c r="P353" s="22" t="str">
        <f aca="false">INDEX('Tabela Passaro'!$B$2:$B$1795,$N353)</f>
        <v>BA</v>
      </c>
      <c r="Q353" s="22" t="n">
        <f aca="false">INDEX('Tabela Passaro'!$F$2:$F$1795,$N353)</f>
        <v>6</v>
      </c>
      <c r="R353" s="32" t="n">
        <f aca="false">IF(J353&lt;=10,INDEX('Tabela Passaro'!$G$2:$G$1795,$N353),IF(J353&lt;=30,INDEX('Tabela Passaro'!$H$2:$H$1795,$N353),IF(J353&lt;=50,INDEX('Tabela Passaro'!$I$2:$I$1795,$N353),IF(J353&lt;=70,INDEX('Tabela Passaro'!$J$2:$J$1795,$N353),IF(J353&lt;=100,INDEX('Tabela Passaro'!$K$2:$K$1795,$N353),INDEX('Tabela Passaro'!$K$2:$K$1795,$N353)+(J353-100)*INDEX('Tabela Passaro'!$L$2:$L$1795,$N353))))))</f>
        <v>73.44</v>
      </c>
      <c r="S353" s="32" t="n">
        <f aca="false">K353*INDEX('Tabela Passaro'!$M$2:$M$1795,$N353)</f>
        <v>4.47935</v>
      </c>
      <c r="T353" s="32" t="n">
        <f aca="false">K353*INDEX('Tabela Passaro'!$N$2:$N$1795,$N353)</f>
        <v>1.79174</v>
      </c>
      <c r="U353" s="32" t="n">
        <f aca="false">INDEX('Tabela Passaro'!$O$2:$O$1795,$N353)</f>
        <v>5</v>
      </c>
      <c r="V353" s="32" t="n">
        <f aca="false">ROUNDUP(J353/INDEX('Tabela Passaro'!$Q$2:$Q$1795,$N353),0)*INDEX('Tabela Passaro'!$P$2:$P$1795,$N353)</f>
        <v>5</v>
      </c>
      <c r="W353" s="32" t="n">
        <f aca="false">INDEX('Tabela Passaro'!$R$2:$R$1795,$N353)</f>
        <v>30</v>
      </c>
      <c r="X353" s="32" t="n">
        <f aca="false">ROUNDUP(J353/INDEX('Tabela Passaro'!$T$2:$T$1795,$N353),0)*INDEX('Tabela Passaro'!$S$2:$S$1795,$N353)</f>
        <v>0</v>
      </c>
      <c r="Y353" s="32" t="n">
        <f aca="false">INDEX('Tabela Passaro'!$U$2:$U$1795,$N353)</f>
        <v>0</v>
      </c>
      <c r="Z353" s="32" t="n">
        <f aca="false">INDEX('Tabela Passaro'!$V$2:$V$1795,$N353)</f>
        <v>0</v>
      </c>
      <c r="AA353" s="32" t="n">
        <f aca="false">SUM(R353:Z353)</f>
        <v>119.71109</v>
      </c>
      <c r="AB353" s="33" t="n">
        <f aca="false">INDEX(Premissas!$B$5:$B$13,MATCH(A353,Premissas!$A$5:$A$13,0))</f>
        <v>0.07</v>
      </c>
      <c r="AC353" s="32" t="n">
        <f aca="false">AA353/(1-AB353)-AA353</f>
        <v>9.01051215053765</v>
      </c>
      <c r="AD353" s="32" t="n">
        <f aca="false">ROUND(AA353+AC353,2)</f>
        <v>128.72</v>
      </c>
      <c r="AE353" s="32" t="n">
        <f aca="false">AD353-L353</f>
        <v>-37.67</v>
      </c>
      <c r="AF353" s="34" t="n">
        <f aca="false">IF(L353=0,0,AE353/L353)</f>
        <v>-0.226395817056313</v>
      </c>
      <c r="AG353" s="22" t="str">
        <f aca="false">IF(AD353&lt;L353,"PASSARO","ATUAL")</f>
        <v>PASSARO</v>
      </c>
      <c r="AH353" s="22" t="str">
        <f aca="false">IF(P353&lt;&gt;A353,"Faixa cadastrada como "&amp;P353&amp;" na tabela; preço aplicado pela UF do CEP","")</f>
        <v/>
      </c>
      <c r="AI353" s="26" t="n">
        <v>162.07</v>
      </c>
      <c r="AJ353" s="22" t="str">
        <f aca="false">INDEX('Tabela Passaro'!$X$2:$X$1795,$N353)</f>
        <v>CAPITAL</v>
      </c>
    </row>
    <row r="354" customFormat="false" ht="15" hidden="false" customHeight="false" outlineLevel="0" collapsed="false">
      <c r="A354" s="22" t="s">
        <v>16</v>
      </c>
      <c r="B354" s="22" t="n">
        <v>1</v>
      </c>
      <c r="C354" s="22" t="s">
        <v>75</v>
      </c>
      <c r="D354" s="22" t="s">
        <v>30</v>
      </c>
      <c r="E354" s="22" t="s">
        <v>7328</v>
      </c>
      <c r="F354" s="22" t="n">
        <v>2315653</v>
      </c>
      <c r="G354" s="30" t="n">
        <v>46258</v>
      </c>
      <c r="H354" s="22" t="n">
        <v>134378</v>
      </c>
      <c r="I354" s="22" t="s">
        <v>7646</v>
      </c>
      <c r="J354" s="31" t="n">
        <v>29.59</v>
      </c>
      <c r="K354" s="26" t="n">
        <v>542.86</v>
      </c>
      <c r="L354" s="26" t="n">
        <v>111.9</v>
      </c>
      <c r="M354" s="22" t="s">
        <v>694</v>
      </c>
      <c r="N354" s="22" t="n">
        <f aca="false">MATCH(M354,'Tabela Passaro'!$A$2:$A$1795,0)</f>
        <v>106</v>
      </c>
      <c r="O354" s="22" t="str">
        <f aca="false">INDEX('Tabela Passaro'!$C$2:$C$1795,$N354)</f>
        <v>SALVADOR</v>
      </c>
      <c r="P354" s="22" t="str">
        <f aca="false">INDEX('Tabela Passaro'!$B$2:$B$1795,$N354)</f>
        <v>BA</v>
      </c>
      <c r="Q354" s="22" t="n">
        <f aca="false">INDEX('Tabela Passaro'!$F$2:$F$1795,$N354)</f>
        <v>6</v>
      </c>
      <c r="R354" s="32" t="n">
        <f aca="false">IF(J354&lt;=10,INDEX('Tabela Passaro'!$G$2:$G$1795,$N354),IF(J354&lt;=30,INDEX('Tabela Passaro'!$H$2:$H$1795,$N354),IF(J354&lt;=50,INDEX('Tabela Passaro'!$I$2:$I$1795,$N354),IF(J354&lt;=70,INDEX('Tabela Passaro'!$J$2:$J$1795,$N354),IF(J354&lt;=100,INDEX('Tabela Passaro'!$K$2:$K$1795,$N354),INDEX('Tabela Passaro'!$K$2:$K$1795,$N354)+(J354-100)*INDEX('Tabela Passaro'!$L$2:$L$1795,$N354))))))</f>
        <v>50.4</v>
      </c>
      <c r="S354" s="32" t="n">
        <f aca="false">K354*INDEX('Tabela Passaro'!$M$2:$M$1795,$N354)</f>
        <v>2.7143</v>
      </c>
      <c r="T354" s="32" t="n">
        <f aca="false">K354*INDEX('Tabela Passaro'!$N$2:$N$1795,$N354)</f>
        <v>1.08572</v>
      </c>
      <c r="U354" s="32" t="n">
        <f aca="false">INDEX('Tabela Passaro'!$O$2:$O$1795,$N354)</f>
        <v>5</v>
      </c>
      <c r="V354" s="32" t="n">
        <f aca="false">ROUNDUP(J354/INDEX('Tabela Passaro'!$Q$2:$Q$1795,$N354),0)*INDEX('Tabela Passaro'!$P$2:$P$1795,$N354)</f>
        <v>5</v>
      </c>
      <c r="W354" s="32" t="n">
        <f aca="false">INDEX('Tabela Passaro'!$R$2:$R$1795,$N354)</f>
        <v>30</v>
      </c>
      <c r="X354" s="32" t="n">
        <f aca="false">ROUNDUP(J354/INDEX('Tabela Passaro'!$T$2:$T$1795,$N354),0)*INDEX('Tabela Passaro'!$S$2:$S$1795,$N354)</f>
        <v>0</v>
      </c>
      <c r="Y354" s="32" t="n">
        <f aca="false">INDEX('Tabela Passaro'!$U$2:$U$1795,$N354)</f>
        <v>0</v>
      </c>
      <c r="Z354" s="32" t="n">
        <f aca="false">INDEX('Tabela Passaro'!$V$2:$V$1795,$N354)</f>
        <v>0</v>
      </c>
      <c r="AA354" s="32" t="n">
        <f aca="false">SUM(R354:Z354)</f>
        <v>94.20002</v>
      </c>
      <c r="AB354" s="33" t="n">
        <f aca="false">INDEX(Premissas!$B$5:$B$13,MATCH(A354,Premissas!$A$5:$A$13,0))</f>
        <v>0.07</v>
      </c>
      <c r="AC354" s="32" t="n">
        <f aca="false">AA354/(1-AB354)-AA354</f>
        <v>7.09032408602151</v>
      </c>
      <c r="AD354" s="32" t="n">
        <f aca="false">ROUND(AA354+AC354,2)</f>
        <v>101.29</v>
      </c>
      <c r="AE354" s="32" t="n">
        <f aca="false">AD354-L354</f>
        <v>-10.61</v>
      </c>
      <c r="AF354" s="34" t="n">
        <f aca="false">IF(L354=0,0,AE354/L354)</f>
        <v>-0.094816800714924</v>
      </c>
      <c r="AG354" s="22" t="str">
        <f aca="false">IF(AD354&lt;L354,"PASSARO","ATUAL")</f>
        <v>PASSARO</v>
      </c>
      <c r="AH354" s="22" t="str">
        <f aca="false">IF(P354&lt;&gt;A354,"Faixa cadastrada como "&amp;P354&amp;" na tabela; preço aplicado pela UF do CEP","")</f>
        <v/>
      </c>
      <c r="AI354" s="26" t="n">
        <v>122.95</v>
      </c>
      <c r="AJ354" s="22" t="str">
        <f aca="false">INDEX('Tabela Passaro'!$X$2:$X$1795,$N354)</f>
        <v>CAPITAL</v>
      </c>
    </row>
    <row r="355" customFormat="false" ht="15" hidden="false" customHeight="false" outlineLevel="0" collapsed="false">
      <c r="A355" s="22" t="s">
        <v>16</v>
      </c>
      <c r="B355" s="22" t="n">
        <v>1</v>
      </c>
      <c r="C355" s="22" t="s">
        <v>75</v>
      </c>
      <c r="D355" s="22" t="s">
        <v>30</v>
      </c>
      <c r="E355" s="22" t="s">
        <v>7328</v>
      </c>
      <c r="F355" s="22" t="n">
        <v>2315660</v>
      </c>
      <c r="G355" s="30" t="n">
        <v>46258</v>
      </c>
      <c r="H355" s="22" t="n">
        <v>134385</v>
      </c>
      <c r="I355" s="22" t="s">
        <v>7647</v>
      </c>
      <c r="J355" s="31" t="n">
        <v>51.06</v>
      </c>
      <c r="K355" s="26" t="n">
        <v>824.31</v>
      </c>
      <c r="L355" s="26" t="n">
        <v>165.82</v>
      </c>
      <c r="M355" s="22" t="s">
        <v>694</v>
      </c>
      <c r="N355" s="22" t="n">
        <f aca="false">MATCH(M355,'Tabela Passaro'!$A$2:$A$1795,0)</f>
        <v>106</v>
      </c>
      <c r="O355" s="22" t="str">
        <f aca="false">INDEX('Tabela Passaro'!$C$2:$C$1795,$N355)</f>
        <v>SALVADOR</v>
      </c>
      <c r="P355" s="22" t="str">
        <f aca="false">INDEX('Tabela Passaro'!$B$2:$B$1795,$N355)</f>
        <v>BA</v>
      </c>
      <c r="Q355" s="22" t="n">
        <f aca="false">INDEX('Tabela Passaro'!$F$2:$F$1795,$N355)</f>
        <v>6</v>
      </c>
      <c r="R355" s="32" t="n">
        <f aca="false">IF(J355&lt;=10,INDEX('Tabela Passaro'!$G$2:$G$1795,$N355),IF(J355&lt;=30,INDEX('Tabela Passaro'!$H$2:$H$1795,$N355),IF(J355&lt;=50,INDEX('Tabela Passaro'!$I$2:$I$1795,$N355),IF(J355&lt;=70,INDEX('Tabela Passaro'!$J$2:$J$1795,$N355),IF(J355&lt;=100,INDEX('Tabela Passaro'!$K$2:$K$1795,$N355),INDEX('Tabela Passaro'!$K$2:$K$1795,$N355)+(J355-100)*INDEX('Tabela Passaro'!$L$2:$L$1795,$N355))))))</f>
        <v>73.44</v>
      </c>
      <c r="S355" s="32" t="n">
        <f aca="false">K355*INDEX('Tabela Passaro'!$M$2:$M$1795,$N355)</f>
        <v>4.12155</v>
      </c>
      <c r="T355" s="32" t="n">
        <f aca="false">K355*INDEX('Tabela Passaro'!$N$2:$N$1795,$N355)</f>
        <v>1.64862</v>
      </c>
      <c r="U355" s="32" t="n">
        <f aca="false">INDEX('Tabela Passaro'!$O$2:$O$1795,$N355)</f>
        <v>5</v>
      </c>
      <c r="V355" s="32" t="n">
        <f aca="false">ROUNDUP(J355/INDEX('Tabela Passaro'!$Q$2:$Q$1795,$N355),0)*INDEX('Tabela Passaro'!$P$2:$P$1795,$N355)</f>
        <v>5</v>
      </c>
      <c r="W355" s="32" t="n">
        <f aca="false">INDEX('Tabela Passaro'!$R$2:$R$1795,$N355)</f>
        <v>30</v>
      </c>
      <c r="X355" s="32" t="n">
        <f aca="false">ROUNDUP(J355/INDEX('Tabela Passaro'!$T$2:$T$1795,$N355),0)*INDEX('Tabela Passaro'!$S$2:$S$1795,$N355)</f>
        <v>0</v>
      </c>
      <c r="Y355" s="32" t="n">
        <f aca="false">INDEX('Tabela Passaro'!$U$2:$U$1795,$N355)</f>
        <v>0</v>
      </c>
      <c r="Z355" s="32" t="n">
        <f aca="false">INDEX('Tabela Passaro'!$V$2:$V$1795,$N355)</f>
        <v>0</v>
      </c>
      <c r="AA355" s="32" t="n">
        <f aca="false">SUM(R355:Z355)</f>
        <v>119.21017</v>
      </c>
      <c r="AB355" s="33" t="n">
        <f aca="false">INDEX(Premissas!$B$5:$B$13,MATCH(A355,Premissas!$A$5:$A$13,0))</f>
        <v>0.07</v>
      </c>
      <c r="AC355" s="32" t="n">
        <f aca="false">AA355/(1-AB355)-AA355</f>
        <v>8.97280849462366</v>
      </c>
      <c r="AD355" s="32" t="n">
        <f aca="false">ROUND(AA355+AC355,2)</f>
        <v>128.18</v>
      </c>
      <c r="AE355" s="32" t="n">
        <f aca="false">AD355-L355</f>
        <v>-37.64</v>
      </c>
      <c r="AF355" s="34" t="n">
        <f aca="false">IF(L355=0,0,AE355/L355)</f>
        <v>-0.226993125075383</v>
      </c>
      <c r="AG355" s="22" t="str">
        <f aca="false">IF(AD355&lt;L355,"PASSARO","ATUAL")</f>
        <v>PASSARO</v>
      </c>
      <c r="AH355" s="22" t="str">
        <f aca="false">IF(P355&lt;&gt;A355,"Faixa cadastrada como "&amp;P355&amp;" na tabela; preço aplicado pela UF do CEP","")</f>
        <v/>
      </c>
      <c r="AI355" s="26" t="n">
        <v>161.38</v>
      </c>
      <c r="AJ355" s="22" t="str">
        <f aca="false">INDEX('Tabela Passaro'!$X$2:$X$1795,$N355)</f>
        <v>CAPITAL</v>
      </c>
    </row>
    <row r="356" customFormat="false" ht="15" hidden="false" customHeight="false" outlineLevel="0" collapsed="false">
      <c r="A356" s="22" t="s">
        <v>16</v>
      </c>
      <c r="B356" s="22" t="n">
        <v>1</v>
      </c>
      <c r="C356" s="22" t="s">
        <v>75</v>
      </c>
      <c r="D356" s="22" t="s">
        <v>30</v>
      </c>
      <c r="E356" s="22" t="s">
        <v>7328</v>
      </c>
      <c r="F356" s="22" t="n">
        <v>2315662</v>
      </c>
      <c r="G356" s="30" t="n">
        <v>46258</v>
      </c>
      <c r="H356" s="22" t="n">
        <v>134388</v>
      </c>
      <c r="I356" s="22" t="s">
        <v>7648</v>
      </c>
      <c r="J356" s="31" t="n">
        <v>67.3</v>
      </c>
      <c r="K356" s="26" t="n">
        <v>979.98</v>
      </c>
      <c r="L356" s="26" t="n">
        <v>167.06</v>
      </c>
      <c r="M356" s="22" t="s">
        <v>694</v>
      </c>
      <c r="N356" s="22" t="n">
        <f aca="false">MATCH(M356,'Tabela Passaro'!$A$2:$A$1795,0)</f>
        <v>106</v>
      </c>
      <c r="O356" s="22" t="str">
        <f aca="false">INDEX('Tabela Passaro'!$C$2:$C$1795,$N356)</f>
        <v>SALVADOR</v>
      </c>
      <c r="P356" s="22" t="str">
        <f aca="false">INDEX('Tabela Passaro'!$B$2:$B$1795,$N356)</f>
        <v>BA</v>
      </c>
      <c r="Q356" s="22" t="n">
        <f aca="false">INDEX('Tabela Passaro'!$F$2:$F$1795,$N356)</f>
        <v>6</v>
      </c>
      <c r="R356" s="32" t="n">
        <f aca="false">IF(J356&lt;=10,INDEX('Tabela Passaro'!$G$2:$G$1795,$N356),IF(J356&lt;=30,INDEX('Tabela Passaro'!$H$2:$H$1795,$N356),IF(J356&lt;=50,INDEX('Tabela Passaro'!$I$2:$I$1795,$N356),IF(J356&lt;=70,INDEX('Tabela Passaro'!$J$2:$J$1795,$N356),IF(J356&lt;=100,INDEX('Tabela Passaro'!$K$2:$K$1795,$N356),INDEX('Tabela Passaro'!$K$2:$K$1795,$N356)+(J356-100)*INDEX('Tabela Passaro'!$L$2:$L$1795,$N356))))))</f>
        <v>73.44</v>
      </c>
      <c r="S356" s="32" t="n">
        <f aca="false">K356*INDEX('Tabela Passaro'!$M$2:$M$1795,$N356)</f>
        <v>4.8999</v>
      </c>
      <c r="T356" s="32" t="n">
        <f aca="false">K356*INDEX('Tabela Passaro'!$N$2:$N$1795,$N356)</f>
        <v>1.95996</v>
      </c>
      <c r="U356" s="32" t="n">
        <f aca="false">INDEX('Tabela Passaro'!$O$2:$O$1795,$N356)</f>
        <v>5</v>
      </c>
      <c r="V356" s="32" t="n">
        <f aca="false">ROUNDUP(J356/INDEX('Tabela Passaro'!$Q$2:$Q$1795,$N356),0)*INDEX('Tabela Passaro'!$P$2:$P$1795,$N356)</f>
        <v>5</v>
      </c>
      <c r="W356" s="32" t="n">
        <f aca="false">INDEX('Tabela Passaro'!$R$2:$R$1795,$N356)</f>
        <v>30</v>
      </c>
      <c r="X356" s="32" t="n">
        <f aca="false">ROUNDUP(J356/INDEX('Tabela Passaro'!$T$2:$T$1795,$N356),0)*INDEX('Tabela Passaro'!$S$2:$S$1795,$N356)</f>
        <v>0</v>
      </c>
      <c r="Y356" s="32" t="n">
        <f aca="false">INDEX('Tabela Passaro'!$U$2:$U$1795,$N356)</f>
        <v>0</v>
      </c>
      <c r="Z356" s="32" t="n">
        <f aca="false">INDEX('Tabela Passaro'!$V$2:$V$1795,$N356)</f>
        <v>0</v>
      </c>
      <c r="AA356" s="32" t="n">
        <f aca="false">SUM(R356:Z356)</f>
        <v>120.29986</v>
      </c>
      <c r="AB356" s="33" t="n">
        <f aca="false">INDEX(Premissas!$B$5:$B$13,MATCH(A356,Premissas!$A$5:$A$13,0))</f>
        <v>0.07</v>
      </c>
      <c r="AC356" s="32" t="n">
        <f aca="false">AA356/(1-AB356)-AA356</f>
        <v>9.05482817204302</v>
      </c>
      <c r="AD356" s="32" t="n">
        <f aca="false">ROUND(AA356+AC356,2)</f>
        <v>129.35</v>
      </c>
      <c r="AE356" s="32" t="n">
        <f aca="false">AD356-L356</f>
        <v>-37.71</v>
      </c>
      <c r="AF356" s="34" t="n">
        <f aca="false">IF(L356=0,0,AE356/L356)</f>
        <v>-0.225727283610679</v>
      </c>
      <c r="AG356" s="22" t="str">
        <f aca="false">IF(AD356&lt;L356,"PASSARO","ATUAL")</f>
        <v>PASSARO</v>
      </c>
      <c r="AH356" s="22" t="str">
        <f aca="false">IF(P356&lt;&gt;A356,"Faixa cadastrada como "&amp;P356&amp;" na tabela; preço aplicado pela UF do CEP","")</f>
        <v/>
      </c>
      <c r="AI356" s="26" t="n">
        <v>170.62</v>
      </c>
      <c r="AJ356" s="22" t="str">
        <f aca="false">INDEX('Tabela Passaro'!$X$2:$X$1795,$N356)</f>
        <v>CAPITAL</v>
      </c>
    </row>
    <row r="357" customFormat="false" ht="15" hidden="false" customHeight="false" outlineLevel="0" collapsed="false">
      <c r="A357" s="22" t="s">
        <v>16</v>
      </c>
      <c r="B357" s="22" t="n">
        <v>1</v>
      </c>
      <c r="C357" s="22" t="s">
        <v>75</v>
      </c>
      <c r="D357" s="22" t="s">
        <v>30</v>
      </c>
      <c r="E357" s="22" t="s">
        <v>7328</v>
      </c>
      <c r="F357" s="22" t="n">
        <v>2315678</v>
      </c>
      <c r="G357" s="30" t="n">
        <v>46258</v>
      </c>
      <c r="H357" s="22" t="n">
        <v>134406</v>
      </c>
      <c r="I357" s="22" t="s">
        <v>7649</v>
      </c>
      <c r="J357" s="31" t="n">
        <v>69.11</v>
      </c>
      <c r="K357" s="26" t="n">
        <v>933.99</v>
      </c>
      <c r="L357" s="26" t="n">
        <v>166.69</v>
      </c>
      <c r="M357" s="22" t="s">
        <v>694</v>
      </c>
      <c r="N357" s="22" t="n">
        <f aca="false">MATCH(M357,'Tabela Passaro'!$A$2:$A$1795,0)</f>
        <v>106</v>
      </c>
      <c r="O357" s="22" t="str">
        <f aca="false">INDEX('Tabela Passaro'!$C$2:$C$1795,$N357)</f>
        <v>SALVADOR</v>
      </c>
      <c r="P357" s="22" t="str">
        <f aca="false">INDEX('Tabela Passaro'!$B$2:$B$1795,$N357)</f>
        <v>BA</v>
      </c>
      <c r="Q357" s="22" t="n">
        <f aca="false">INDEX('Tabela Passaro'!$F$2:$F$1795,$N357)</f>
        <v>6</v>
      </c>
      <c r="R357" s="32" t="n">
        <f aca="false">IF(J357&lt;=10,INDEX('Tabela Passaro'!$G$2:$G$1795,$N357),IF(J357&lt;=30,INDEX('Tabela Passaro'!$H$2:$H$1795,$N357),IF(J357&lt;=50,INDEX('Tabela Passaro'!$I$2:$I$1795,$N357),IF(J357&lt;=70,INDEX('Tabela Passaro'!$J$2:$J$1795,$N357),IF(J357&lt;=100,INDEX('Tabela Passaro'!$K$2:$K$1795,$N357),INDEX('Tabela Passaro'!$K$2:$K$1795,$N357)+(J357-100)*INDEX('Tabela Passaro'!$L$2:$L$1795,$N357))))))</f>
        <v>73.44</v>
      </c>
      <c r="S357" s="32" t="n">
        <f aca="false">K357*INDEX('Tabela Passaro'!$M$2:$M$1795,$N357)</f>
        <v>4.66995</v>
      </c>
      <c r="T357" s="32" t="n">
        <f aca="false">K357*INDEX('Tabela Passaro'!$N$2:$N$1795,$N357)</f>
        <v>1.86798</v>
      </c>
      <c r="U357" s="32" t="n">
        <f aca="false">INDEX('Tabela Passaro'!$O$2:$O$1795,$N357)</f>
        <v>5</v>
      </c>
      <c r="V357" s="32" t="n">
        <f aca="false">ROUNDUP(J357/INDEX('Tabela Passaro'!$Q$2:$Q$1795,$N357),0)*INDEX('Tabela Passaro'!$P$2:$P$1795,$N357)</f>
        <v>5</v>
      </c>
      <c r="W357" s="32" t="n">
        <f aca="false">INDEX('Tabela Passaro'!$R$2:$R$1795,$N357)</f>
        <v>30</v>
      </c>
      <c r="X357" s="32" t="n">
        <f aca="false">ROUNDUP(J357/INDEX('Tabela Passaro'!$T$2:$T$1795,$N357),0)*INDEX('Tabela Passaro'!$S$2:$S$1795,$N357)</f>
        <v>0</v>
      </c>
      <c r="Y357" s="32" t="n">
        <f aca="false">INDEX('Tabela Passaro'!$U$2:$U$1795,$N357)</f>
        <v>0</v>
      </c>
      <c r="Z357" s="32" t="n">
        <f aca="false">INDEX('Tabela Passaro'!$V$2:$V$1795,$N357)</f>
        <v>0</v>
      </c>
      <c r="AA357" s="32" t="n">
        <f aca="false">SUM(R357:Z357)</f>
        <v>119.97793</v>
      </c>
      <c r="AB357" s="33" t="n">
        <f aca="false">INDEX(Premissas!$B$5:$B$13,MATCH(A357,Premissas!$A$5:$A$13,0))</f>
        <v>0.07</v>
      </c>
      <c r="AC357" s="32" t="n">
        <f aca="false">AA357/(1-AB357)-AA357</f>
        <v>9.03059688172043</v>
      </c>
      <c r="AD357" s="32" t="n">
        <f aca="false">ROUND(AA357+AC357,2)</f>
        <v>129.01</v>
      </c>
      <c r="AE357" s="32" t="n">
        <f aca="false">AD357-L357</f>
        <v>-37.68</v>
      </c>
      <c r="AF357" s="34" t="n">
        <f aca="false">IF(L357=0,0,AE357/L357)</f>
        <v>-0.226048353230548</v>
      </c>
      <c r="AG357" s="22" t="str">
        <f aca="false">IF(AD357&lt;L357,"PASSARO","ATUAL")</f>
        <v>PASSARO</v>
      </c>
      <c r="AH357" s="22" t="str">
        <f aca="false">IF(P357&lt;&gt;A357,"Faixa cadastrada como "&amp;P357&amp;" na tabela; preço aplicado pela UF do CEP","")</f>
        <v/>
      </c>
      <c r="AI357" s="26" t="n">
        <v>171.15</v>
      </c>
      <c r="AJ357" s="22" t="str">
        <f aca="false">INDEX('Tabela Passaro'!$X$2:$X$1795,$N357)</f>
        <v>CAPITAL</v>
      </c>
    </row>
    <row r="358" customFormat="false" ht="15" hidden="false" customHeight="false" outlineLevel="0" collapsed="false">
      <c r="A358" s="22" t="s">
        <v>16</v>
      </c>
      <c r="B358" s="22" t="n">
        <v>1</v>
      </c>
      <c r="C358" s="22" t="s">
        <v>75</v>
      </c>
      <c r="D358" s="22" t="s">
        <v>30</v>
      </c>
      <c r="E358" s="22" t="s">
        <v>7328</v>
      </c>
      <c r="F358" s="22" t="n">
        <v>2315698</v>
      </c>
      <c r="G358" s="30" t="n">
        <v>46258</v>
      </c>
      <c r="H358" s="22" t="n">
        <v>134423</v>
      </c>
      <c r="I358" s="22" t="s">
        <v>7650</v>
      </c>
      <c r="J358" s="31" t="n">
        <v>51.06</v>
      </c>
      <c r="K358" s="26" t="n">
        <v>879.98</v>
      </c>
      <c r="L358" s="26" t="n">
        <v>166.27</v>
      </c>
      <c r="M358" s="22" t="s">
        <v>694</v>
      </c>
      <c r="N358" s="22" t="n">
        <f aca="false">MATCH(M358,'Tabela Passaro'!$A$2:$A$1795,0)</f>
        <v>106</v>
      </c>
      <c r="O358" s="22" t="str">
        <f aca="false">INDEX('Tabela Passaro'!$C$2:$C$1795,$N358)</f>
        <v>SALVADOR</v>
      </c>
      <c r="P358" s="22" t="str">
        <f aca="false">INDEX('Tabela Passaro'!$B$2:$B$1795,$N358)</f>
        <v>BA</v>
      </c>
      <c r="Q358" s="22" t="n">
        <f aca="false">INDEX('Tabela Passaro'!$F$2:$F$1795,$N358)</f>
        <v>6</v>
      </c>
      <c r="R358" s="32" t="n">
        <f aca="false">IF(J358&lt;=10,INDEX('Tabela Passaro'!$G$2:$G$1795,$N358),IF(J358&lt;=30,INDEX('Tabela Passaro'!$H$2:$H$1795,$N358),IF(J358&lt;=50,INDEX('Tabela Passaro'!$I$2:$I$1795,$N358),IF(J358&lt;=70,INDEX('Tabela Passaro'!$J$2:$J$1795,$N358),IF(J358&lt;=100,INDEX('Tabela Passaro'!$K$2:$K$1795,$N358),INDEX('Tabela Passaro'!$K$2:$K$1795,$N358)+(J358-100)*INDEX('Tabela Passaro'!$L$2:$L$1795,$N358))))))</f>
        <v>73.44</v>
      </c>
      <c r="S358" s="32" t="n">
        <f aca="false">K358*INDEX('Tabela Passaro'!$M$2:$M$1795,$N358)</f>
        <v>4.3999</v>
      </c>
      <c r="T358" s="32" t="n">
        <f aca="false">K358*INDEX('Tabela Passaro'!$N$2:$N$1795,$N358)</f>
        <v>1.75996</v>
      </c>
      <c r="U358" s="32" t="n">
        <f aca="false">INDEX('Tabela Passaro'!$O$2:$O$1795,$N358)</f>
        <v>5</v>
      </c>
      <c r="V358" s="32" t="n">
        <f aca="false">ROUNDUP(J358/INDEX('Tabela Passaro'!$Q$2:$Q$1795,$N358),0)*INDEX('Tabela Passaro'!$P$2:$P$1795,$N358)</f>
        <v>5</v>
      </c>
      <c r="W358" s="32" t="n">
        <f aca="false">INDEX('Tabela Passaro'!$R$2:$R$1795,$N358)</f>
        <v>30</v>
      </c>
      <c r="X358" s="32" t="n">
        <f aca="false">ROUNDUP(J358/INDEX('Tabela Passaro'!$T$2:$T$1795,$N358),0)*INDEX('Tabela Passaro'!$S$2:$S$1795,$N358)</f>
        <v>0</v>
      </c>
      <c r="Y358" s="32" t="n">
        <f aca="false">INDEX('Tabela Passaro'!$U$2:$U$1795,$N358)</f>
        <v>0</v>
      </c>
      <c r="Z358" s="32" t="n">
        <f aca="false">INDEX('Tabela Passaro'!$V$2:$V$1795,$N358)</f>
        <v>0</v>
      </c>
      <c r="AA358" s="32" t="n">
        <f aca="false">SUM(R358:Z358)</f>
        <v>119.59986</v>
      </c>
      <c r="AB358" s="33" t="n">
        <f aca="false">INDEX(Premissas!$B$5:$B$13,MATCH(A358,Premissas!$A$5:$A$13,0))</f>
        <v>0.07</v>
      </c>
      <c r="AC358" s="32" t="n">
        <f aca="false">AA358/(1-AB358)-AA358</f>
        <v>9.00214000000001</v>
      </c>
      <c r="AD358" s="32" t="n">
        <f aca="false">ROUND(AA358+AC358,2)</f>
        <v>128.6</v>
      </c>
      <c r="AE358" s="32" t="n">
        <f aca="false">AD358-L358</f>
        <v>-37.67</v>
      </c>
      <c r="AF358" s="34" t="n">
        <f aca="false">IF(L358=0,0,AE358/L358)</f>
        <v>-0.226559210921994</v>
      </c>
      <c r="AG358" s="22" t="str">
        <f aca="false">IF(AD358&lt;L358,"PASSARO","ATUAL")</f>
        <v>PASSARO</v>
      </c>
      <c r="AH358" s="22" t="str">
        <f aca="false">IF(P358&lt;&gt;A358,"Faixa cadastrada como "&amp;P358&amp;" na tabela; preço aplicado pela UF do CEP","")</f>
        <v/>
      </c>
      <c r="AI358" s="26" t="n">
        <v>161.91</v>
      </c>
      <c r="AJ358" s="22" t="str">
        <f aca="false">INDEX('Tabela Passaro'!$X$2:$X$1795,$N358)</f>
        <v>CAPITAL</v>
      </c>
    </row>
    <row r="359" customFormat="false" ht="15" hidden="false" customHeight="false" outlineLevel="0" collapsed="false">
      <c r="A359" s="22" t="s">
        <v>16</v>
      </c>
      <c r="B359" s="22" t="n">
        <v>1</v>
      </c>
      <c r="C359" s="22" t="s">
        <v>75</v>
      </c>
      <c r="D359" s="22" t="s">
        <v>30</v>
      </c>
      <c r="E359" s="22" t="s">
        <v>7328</v>
      </c>
      <c r="F359" s="22" t="n">
        <v>2315700</v>
      </c>
      <c r="G359" s="30" t="n">
        <v>46258</v>
      </c>
      <c r="H359" s="22" t="n">
        <v>134425</v>
      </c>
      <c r="I359" s="22" t="s">
        <v>7651</v>
      </c>
      <c r="J359" s="31" t="n">
        <v>125.8</v>
      </c>
      <c r="K359" s="26" t="n">
        <v>1949.98</v>
      </c>
      <c r="L359" s="26" t="n">
        <v>254.73</v>
      </c>
      <c r="M359" s="22" t="s">
        <v>694</v>
      </c>
      <c r="N359" s="22" t="n">
        <f aca="false">MATCH(M359,'Tabela Passaro'!$A$2:$A$1795,0)</f>
        <v>106</v>
      </c>
      <c r="O359" s="22" t="str">
        <f aca="false">INDEX('Tabela Passaro'!$C$2:$C$1795,$N359)</f>
        <v>SALVADOR</v>
      </c>
      <c r="P359" s="22" t="str">
        <f aca="false">INDEX('Tabela Passaro'!$B$2:$B$1795,$N359)</f>
        <v>BA</v>
      </c>
      <c r="Q359" s="22" t="n">
        <f aca="false">INDEX('Tabela Passaro'!$F$2:$F$1795,$N359)</f>
        <v>6</v>
      </c>
      <c r="R359" s="32" t="n">
        <f aca="false">IF(J359&lt;=10,INDEX('Tabela Passaro'!$G$2:$G$1795,$N359),IF(J359&lt;=30,INDEX('Tabela Passaro'!$H$2:$H$1795,$N359),IF(J359&lt;=50,INDEX('Tabela Passaro'!$I$2:$I$1795,$N359),IF(J359&lt;=70,INDEX('Tabela Passaro'!$J$2:$J$1795,$N359),IF(J359&lt;=100,INDEX('Tabela Passaro'!$K$2:$K$1795,$N359),INDEX('Tabela Passaro'!$K$2:$K$1795,$N359)+(J359-100)*INDEX('Tabela Passaro'!$L$2:$L$1795,$N359))))))</f>
        <v>114.888</v>
      </c>
      <c r="S359" s="32" t="n">
        <f aca="false">K359*INDEX('Tabela Passaro'!$M$2:$M$1795,$N359)</f>
        <v>9.7499</v>
      </c>
      <c r="T359" s="32" t="n">
        <f aca="false">K359*INDEX('Tabela Passaro'!$N$2:$N$1795,$N359)</f>
        <v>3.89996</v>
      </c>
      <c r="U359" s="32" t="n">
        <f aca="false">INDEX('Tabela Passaro'!$O$2:$O$1795,$N359)</f>
        <v>5</v>
      </c>
      <c r="V359" s="32" t="n">
        <f aca="false">ROUNDUP(J359/INDEX('Tabela Passaro'!$Q$2:$Q$1795,$N359),0)*INDEX('Tabela Passaro'!$P$2:$P$1795,$N359)</f>
        <v>10</v>
      </c>
      <c r="W359" s="32" t="n">
        <f aca="false">INDEX('Tabela Passaro'!$R$2:$R$1795,$N359)</f>
        <v>30</v>
      </c>
      <c r="X359" s="32" t="n">
        <f aca="false">ROUNDUP(J359/INDEX('Tabela Passaro'!$T$2:$T$1795,$N359),0)*INDEX('Tabela Passaro'!$S$2:$S$1795,$N359)</f>
        <v>0</v>
      </c>
      <c r="Y359" s="32" t="n">
        <f aca="false">INDEX('Tabela Passaro'!$U$2:$U$1795,$N359)</f>
        <v>0</v>
      </c>
      <c r="Z359" s="32" t="n">
        <f aca="false">INDEX('Tabela Passaro'!$V$2:$V$1795,$N359)</f>
        <v>0</v>
      </c>
      <c r="AA359" s="32" t="n">
        <f aca="false">SUM(R359:Z359)</f>
        <v>173.53786</v>
      </c>
      <c r="AB359" s="33" t="n">
        <f aca="false">INDEX(Premissas!$B$5:$B$13,MATCH(A359,Premissas!$A$5:$A$13,0))</f>
        <v>0.07</v>
      </c>
      <c r="AC359" s="32" t="n">
        <f aca="false">AA359/(1-AB359)-AA359</f>
        <v>13.0619894623656</v>
      </c>
      <c r="AD359" s="32" t="n">
        <f aca="false">ROUND(AA359+AC359,2)</f>
        <v>186.6</v>
      </c>
      <c r="AE359" s="32" t="n">
        <f aca="false">AD359-L359</f>
        <v>-68.13</v>
      </c>
      <c r="AF359" s="34" t="n">
        <f aca="false">IF(L359=0,0,AE359/L359)</f>
        <v>-0.267459663172771</v>
      </c>
      <c r="AG359" s="22" t="str">
        <f aca="false">IF(AD359&lt;L359,"PASSARO","ATUAL")</f>
        <v>PASSARO</v>
      </c>
      <c r="AH359" s="22" t="str">
        <f aca="false">IF(P359&lt;&gt;A359,"Faixa cadastrada como "&amp;P359&amp;" na tabela; preço aplicado pela UF do CEP","")</f>
        <v/>
      </c>
      <c r="AI359" s="26" t="n">
        <v>262.31</v>
      </c>
      <c r="AJ359" s="22" t="str">
        <f aca="false">INDEX('Tabela Passaro'!$X$2:$X$1795,$N359)</f>
        <v>CAPITAL</v>
      </c>
    </row>
    <row r="360" customFormat="false" ht="15" hidden="false" customHeight="false" outlineLevel="0" collapsed="false">
      <c r="A360" s="22" t="s">
        <v>16</v>
      </c>
      <c r="B360" s="22" t="n">
        <v>1</v>
      </c>
      <c r="C360" s="22" t="s">
        <v>75</v>
      </c>
      <c r="D360" s="22" t="s">
        <v>30</v>
      </c>
      <c r="E360" s="22" t="s">
        <v>7328</v>
      </c>
      <c r="F360" s="22" t="n">
        <v>2315702</v>
      </c>
      <c r="G360" s="30" t="n">
        <v>46258</v>
      </c>
      <c r="H360" s="22" t="n">
        <v>134430</v>
      </c>
      <c r="I360" s="22" t="s">
        <v>7652</v>
      </c>
      <c r="J360" s="31" t="n">
        <v>45</v>
      </c>
      <c r="K360" s="26" t="n">
        <v>649.44</v>
      </c>
      <c r="L360" s="26" t="n">
        <v>143.34</v>
      </c>
      <c r="M360" s="22" t="s">
        <v>694</v>
      </c>
      <c r="N360" s="22" t="n">
        <f aca="false">MATCH(M360,'Tabela Passaro'!$A$2:$A$1795,0)</f>
        <v>106</v>
      </c>
      <c r="O360" s="22" t="str">
        <f aca="false">INDEX('Tabela Passaro'!$C$2:$C$1795,$N360)</f>
        <v>SALVADOR</v>
      </c>
      <c r="P360" s="22" t="str">
        <f aca="false">INDEX('Tabela Passaro'!$B$2:$B$1795,$N360)</f>
        <v>BA</v>
      </c>
      <c r="Q360" s="22" t="n">
        <f aca="false">INDEX('Tabela Passaro'!$F$2:$F$1795,$N360)</f>
        <v>6</v>
      </c>
      <c r="R360" s="32" t="n">
        <f aca="false">IF(J360&lt;=10,INDEX('Tabela Passaro'!$G$2:$G$1795,$N360),IF(J360&lt;=30,INDEX('Tabela Passaro'!$H$2:$H$1795,$N360),IF(J360&lt;=50,INDEX('Tabela Passaro'!$I$2:$I$1795,$N360),IF(J360&lt;=70,INDEX('Tabela Passaro'!$J$2:$J$1795,$N360),IF(J360&lt;=100,INDEX('Tabela Passaro'!$K$2:$K$1795,$N360),INDEX('Tabela Passaro'!$K$2:$K$1795,$N360)+(J360-100)*INDEX('Tabela Passaro'!$L$2:$L$1795,$N360))))))</f>
        <v>61.92</v>
      </c>
      <c r="S360" s="32" t="n">
        <f aca="false">K360*INDEX('Tabela Passaro'!$M$2:$M$1795,$N360)</f>
        <v>3.2472</v>
      </c>
      <c r="T360" s="32" t="n">
        <f aca="false">K360*INDEX('Tabela Passaro'!$N$2:$N$1795,$N360)</f>
        <v>1.29888</v>
      </c>
      <c r="U360" s="32" t="n">
        <f aca="false">INDEX('Tabela Passaro'!$O$2:$O$1795,$N360)</f>
        <v>5</v>
      </c>
      <c r="V360" s="32" t="n">
        <f aca="false">ROUNDUP(J360/INDEX('Tabela Passaro'!$Q$2:$Q$1795,$N360),0)*INDEX('Tabela Passaro'!$P$2:$P$1795,$N360)</f>
        <v>5</v>
      </c>
      <c r="W360" s="32" t="n">
        <f aca="false">INDEX('Tabela Passaro'!$R$2:$R$1795,$N360)</f>
        <v>30</v>
      </c>
      <c r="X360" s="32" t="n">
        <f aca="false">ROUNDUP(J360/INDEX('Tabela Passaro'!$T$2:$T$1795,$N360),0)*INDEX('Tabela Passaro'!$S$2:$S$1795,$N360)</f>
        <v>0</v>
      </c>
      <c r="Y360" s="32" t="n">
        <f aca="false">INDEX('Tabela Passaro'!$U$2:$U$1795,$N360)</f>
        <v>0</v>
      </c>
      <c r="Z360" s="32" t="n">
        <f aca="false">INDEX('Tabela Passaro'!$V$2:$V$1795,$N360)</f>
        <v>0</v>
      </c>
      <c r="AA360" s="32" t="n">
        <f aca="false">SUM(R360:Z360)</f>
        <v>106.46608</v>
      </c>
      <c r="AB360" s="33" t="n">
        <f aca="false">INDEX(Premissas!$B$5:$B$13,MATCH(A360,Premissas!$A$5:$A$13,0))</f>
        <v>0.07</v>
      </c>
      <c r="AC360" s="32" t="n">
        <f aca="false">AA360/(1-AB360)-AA360</f>
        <v>8.0135759139785</v>
      </c>
      <c r="AD360" s="32" t="n">
        <f aca="false">ROUND(AA360+AC360,2)</f>
        <v>114.48</v>
      </c>
      <c r="AE360" s="32" t="n">
        <f aca="false">AD360-L360</f>
        <v>-28.86</v>
      </c>
      <c r="AF360" s="34" t="n">
        <f aca="false">IF(L360=0,0,AE360/L360)</f>
        <v>-0.201339472582671</v>
      </c>
      <c r="AG360" s="22" t="str">
        <f aca="false">IF(AD360&lt;L360,"PASSARO","ATUAL")</f>
        <v>PASSARO</v>
      </c>
      <c r="AH360" s="22" t="str">
        <f aca="false">IF(P360&lt;&gt;A360,"Faixa cadastrada como "&amp;P360&amp;" na tabela; preço aplicado pela UF do CEP","")</f>
        <v/>
      </c>
      <c r="AI360" s="26" t="n">
        <v>143.77</v>
      </c>
      <c r="AJ360" s="22" t="str">
        <f aca="false">INDEX('Tabela Passaro'!$X$2:$X$1795,$N360)</f>
        <v>CAPITAL</v>
      </c>
    </row>
    <row r="361" customFormat="false" ht="15" hidden="false" customHeight="false" outlineLevel="0" collapsed="false">
      <c r="A361" s="22" t="s">
        <v>16</v>
      </c>
      <c r="B361" s="22" t="n">
        <v>1</v>
      </c>
      <c r="C361" s="22" t="s">
        <v>75</v>
      </c>
      <c r="D361" s="22" t="s">
        <v>30</v>
      </c>
      <c r="E361" s="22" t="s">
        <v>7328</v>
      </c>
      <c r="F361" s="22" t="n">
        <v>2315707</v>
      </c>
      <c r="G361" s="30" t="n">
        <v>46258</v>
      </c>
      <c r="H361" s="22" t="n">
        <v>134433</v>
      </c>
      <c r="I361" s="22" t="s">
        <v>7653</v>
      </c>
      <c r="J361" s="31" t="n">
        <v>69.11</v>
      </c>
      <c r="K361" s="26" t="n">
        <v>956.99</v>
      </c>
      <c r="L361" s="26" t="n">
        <v>166.87</v>
      </c>
      <c r="M361" s="22" t="s">
        <v>694</v>
      </c>
      <c r="N361" s="22" t="n">
        <f aca="false">MATCH(M361,'Tabela Passaro'!$A$2:$A$1795,0)</f>
        <v>106</v>
      </c>
      <c r="O361" s="22" t="str">
        <f aca="false">INDEX('Tabela Passaro'!$C$2:$C$1795,$N361)</f>
        <v>SALVADOR</v>
      </c>
      <c r="P361" s="22" t="str">
        <f aca="false">INDEX('Tabela Passaro'!$B$2:$B$1795,$N361)</f>
        <v>BA</v>
      </c>
      <c r="Q361" s="22" t="n">
        <f aca="false">INDEX('Tabela Passaro'!$F$2:$F$1795,$N361)</f>
        <v>6</v>
      </c>
      <c r="R361" s="32" t="n">
        <f aca="false">IF(J361&lt;=10,INDEX('Tabela Passaro'!$G$2:$G$1795,$N361),IF(J361&lt;=30,INDEX('Tabela Passaro'!$H$2:$H$1795,$N361),IF(J361&lt;=50,INDEX('Tabela Passaro'!$I$2:$I$1795,$N361),IF(J361&lt;=70,INDEX('Tabela Passaro'!$J$2:$J$1795,$N361),IF(J361&lt;=100,INDEX('Tabela Passaro'!$K$2:$K$1795,$N361),INDEX('Tabela Passaro'!$K$2:$K$1795,$N361)+(J361-100)*INDEX('Tabela Passaro'!$L$2:$L$1795,$N361))))))</f>
        <v>73.44</v>
      </c>
      <c r="S361" s="32" t="n">
        <f aca="false">K361*INDEX('Tabela Passaro'!$M$2:$M$1795,$N361)</f>
        <v>4.78495</v>
      </c>
      <c r="T361" s="32" t="n">
        <f aca="false">K361*INDEX('Tabela Passaro'!$N$2:$N$1795,$N361)</f>
        <v>1.91398</v>
      </c>
      <c r="U361" s="32" t="n">
        <f aca="false">INDEX('Tabela Passaro'!$O$2:$O$1795,$N361)</f>
        <v>5</v>
      </c>
      <c r="V361" s="32" t="n">
        <f aca="false">ROUNDUP(J361/INDEX('Tabela Passaro'!$Q$2:$Q$1795,$N361),0)*INDEX('Tabela Passaro'!$P$2:$P$1795,$N361)</f>
        <v>5</v>
      </c>
      <c r="W361" s="32" t="n">
        <f aca="false">INDEX('Tabela Passaro'!$R$2:$R$1795,$N361)</f>
        <v>30</v>
      </c>
      <c r="X361" s="32" t="n">
        <f aca="false">ROUNDUP(J361/INDEX('Tabela Passaro'!$T$2:$T$1795,$N361),0)*INDEX('Tabela Passaro'!$S$2:$S$1795,$N361)</f>
        <v>0</v>
      </c>
      <c r="Y361" s="32" t="n">
        <f aca="false">INDEX('Tabela Passaro'!$U$2:$U$1795,$N361)</f>
        <v>0</v>
      </c>
      <c r="Z361" s="32" t="n">
        <f aca="false">INDEX('Tabela Passaro'!$V$2:$V$1795,$N361)</f>
        <v>0</v>
      </c>
      <c r="AA361" s="32" t="n">
        <f aca="false">SUM(R361:Z361)</f>
        <v>120.13893</v>
      </c>
      <c r="AB361" s="33" t="n">
        <f aca="false">INDEX(Premissas!$B$5:$B$13,MATCH(A361,Premissas!$A$5:$A$13,0))</f>
        <v>0.07</v>
      </c>
      <c r="AC361" s="32" t="n">
        <f aca="false">AA361/(1-AB361)-AA361</f>
        <v>9.04271516129033</v>
      </c>
      <c r="AD361" s="32" t="n">
        <f aca="false">ROUND(AA361+AC361,2)</f>
        <v>129.18</v>
      </c>
      <c r="AE361" s="32" t="n">
        <f aca="false">AD361-L361</f>
        <v>-37.69</v>
      </c>
      <c r="AF361" s="34" t="n">
        <f aca="false">IF(L361=0,0,AE361/L361)</f>
        <v>-0.22586444537664</v>
      </c>
      <c r="AG361" s="22" t="str">
        <f aca="false">IF(AD361&lt;L361,"PASSARO","ATUAL")</f>
        <v>PASSARO</v>
      </c>
      <c r="AH361" s="22" t="str">
        <f aca="false">IF(P361&lt;&gt;A361,"Faixa cadastrada como "&amp;P361&amp;" na tabela; preço aplicado pela UF do CEP","")</f>
        <v/>
      </c>
      <c r="AI361" s="26" t="n">
        <v>171.37</v>
      </c>
      <c r="AJ361" s="22" t="str">
        <f aca="false">INDEX('Tabela Passaro'!$X$2:$X$1795,$N361)</f>
        <v>CAPITAL</v>
      </c>
    </row>
    <row r="362" customFormat="false" ht="15" hidden="false" customHeight="false" outlineLevel="0" collapsed="false">
      <c r="A362" s="22" t="s">
        <v>16</v>
      </c>
      <c r="B362" s="22" t="n">
        <v>1</v>
      </c>
      <c r="C362" s="22" t="s">
        <v>75</v>
      </c>
      <c r="D362" s="22" t="s">
        <v>30</v>
      </c>
      <c r="E362" s="22" t="s">
        <v>7328</v>
      </c>
      <c r="F362" s="22" t="n">
        <v>2315714</v>
      </c>
      <c r="G362" s="30" t="n">
        <v>46258</v>
      </c>
      <c r="H362" s="22" t="n">
        <v>134440</v>
      </c>
      <c r="I362" s="22" t="s">
        <v>7654</v>
      </c>
      <c r="J362" s="31" t="n">
        <v>67.3</v>
      </c>
      <c r="K362" s="26" t="n">
        <v>958.98</v>
      </c>
      <c r="L362" s="26" t="n">
        <v>166.89</v>
      </c>
      <c r="M362" s="22" t="s">
        <v>694</v>
      </c>
      <c r="N362" s="22" t="n">
        <f aca="false">MATCH(M362,'Tabela Passaro'!$A$2:$A$1795,0)</f>
        <v>106</v>
      </c>
      <c r="O362" s="22" t="str">
        <f aca="false">INDEX('Tabela Passaro'!$C$2:$C$1795,$N362)</f>
        <v>SALVADOR</v>
      </c>
      <c r="P362" s="22" t="str">
        <f aca="false">INDEX('Tabela Passaro'!$B$2:$B$1795,$N362)</f>
        <v>BA</v>
      </c>
      <c r="Q362" s="22" t="n">
        <f aca="false">INDEX('Tabela Passaro'!$F$2:$F$1795,$N362)</f>
        <v>6</v>
      </c>
      <c r="R362" s="32" t="n">
        <f aca="false">IF(J362&lt;=10,INDEX('Tabela Passaro'!$G$2:$G$1795,$N362),IF(J362&lt;=30,INDEX('Tabela Passaro'!$H$2:$H$1795,$N362),IF(J362&lt;=50,INDEX('Tabela Passaro'!$I$2:$I$1795,$N362),IF(J362&lt;=70,INDEX('Tabela Passaro'!$J$2:$J$1795,$N362),IF(J362&lt;=100,INDEX('Tabela Passaro'!$K$2:$K$1795,$N362),INDEX('Tabela Passaro'!$K$2:$K$1795,$N362)+(J362-100)*INDEX('Tabela Passaro'!$L$2:$L$1795,$N362))))))</f>
        <v>73.44</v>
      </c>
      <c r="S362" s="32" t="n">
        <f aca="false">K362*INDEX('Tabela Passaro'!$M$2:$M$1795,$N362)</f>
        <v>4.7949</v>
      </c>
      <c r="T362" s="32" t="n">
        <f aca="false">K362*INDEX('Tabela Passaro'!$N$2:$N$1795,$N362)</f>
        <v>1.91796</v>
      </c>
      <c r="U362" s="32" t="n">
        <f aca="false">INDEX('Tabela Passaro'!$O$2:$O$1795,$N362)</f>
        <v>5</v>
      </c>
      <c r="V362" s="32" t="n">
        <f aca="false">ROUNDUP(J362/INDEX('Tabela Passaro'!$Q$2:$Q$1795,$N362),0)*INDEX('Tabela Passaro'!$P$2:$P$1795,$N362)</f>
        <v>5</v>
      </c>
      <c r="W362" s="32" t="n">
        <f aca="false">INDEX('Tabela Passaro'!$R$2:$R$1795,$N362)</f>
        <v>30</v>
      </c>
      <c r="X362" s="32" t="n">
        <f aca="false">ROUNDUP(J362/INDEX('Tabela Passaro'!$T$2:$T$1795,$N362),0)*INDEX('Tabela Passaro'!$S$2:$S$1795,$N362)</f>
        <v>0</v>
      </c>
      <c r="Y362" s="32" t="n">
        <f aca="false">INDEX('Tabela Passaro'!$U$2:$U$1795,$N362)</f>
        <v>0</v>
      </c>
      <c r="Z362" s="32" t="n">
        <f aca="false">INDEX('Tabela Passaro'!$V$2:$V$1795,$N362)</f>
        <v>0</v>
      </c>
      <c r="AA362" s="32" t="n">
        <f aca="false">SUM(R362:Z362)</f>
        <v>120.15286</v>
      </c>
      <c r="AB362" s="33" t="n">
        <f aca="false">INDEX(Premissas!$B$5:$B$13,MATCH(A362,Premissas!$A$5:$A$13,0))</f>
        <v>0.07</v>
      </c>
      <c r="AC362" s="32" t="n">
        <f aca="false">AA362/(1-AB362)-AA362</f>
        <v>9.04376365591398</v>
      </c>
      <c r="AD362" s="32" t="n">
        <f aca="false">ROUND(AA362+AC362,2)</f>
        <v>129.2</v>
      </c>
      <c r="AE362" s="32" t="n">
        <f aca="false">AD362-L362</f>
        <v>-37.69</v>
      </c>
      <c r="AF362" s="34" t="n">
        <f aca="false">IF(L362=0,0,AE362/L362)</f>
        <v>-0.225837377913596</v>
      </c>
      <c r="AG362" s="22" t="str">
        <f aca="false">IF(AD362&lt;L362,"PASSARO","ATUAL")</f>
        <v>PASSARO</v>
      </c>
      <c r="AH362" s="22" t="str">
        <f aca="false">IF(P362&lt;&gt;A362,"Faixa cadastrada como "&amp;P362&amp;" na tabela; preço aplicado pela UF do CEP","")</f>
        <v/>
      </c>
      <c r="AI362" s="26" t="n">
        <v>170.42</v>
      </c>
      <c r="AJ362" s="22" t="str">
        <f aca="false">INDEX('Tabela Passaro'!$X$2:$X$1795,$N362)</f>
        <v>CAPITAL</v>
      </c>
    </row>
    <row r="363" customFormat="false" ht="15" hidden="false" customHeight="false" outlineLevel="0" collapsed="false">
      <c r="A363" s="22" t="s">
        <v>16</v>
      </c>
      <c r="B363" s="22" t="n">
        <v>1</v>
      </c>
      <c r="C363" s="22" t="s">
        <v>75</v>
      </c>
      <c r="D363" s="22" t="s">
        <v>30</v>
      </c>
      <c r="E363" s="22" t="s">
        <v>7328</v>
      </c>
      <c r="F363" s="22" t="n">
        <v>2315737</v>
      </c>
      <c r="G363" s="30" t="n">
        <v>46258</v>
      </c>
      <c r="H363" s="22" t="n">
        <v>134457</v>
      </c>
      <c r="I363" s="22" t="s">
        <v>7655</v>
      </c>
      <c r="J363" s="31" t="n">
        <v>35</v>
      </c>
      <c r="K363" s="26" t="n">
        <v>632.11</v>
      </c>
      <c r="L363" s="26" t="n">
        <v>143.21</v>
      </c>
      <c r="M363" s="22" t="s">
        <v>694</v>
      </c>
      <c r="N363" s="22" t="n">
        <f aca="false">MATCH(M363,'Tabela Passaro'!$A$2:$A$1795,0)</f>
        <v>106</v>
      </c>
      <c r="O363" s="22" t="str">
        <f aca="false">INDEX('Tabela Passaro'!$C$2:$C$1795,$N363)</f>
        <v>SALVADOR</v>
      </c>
      <c r="P363" s="22" t="str">
        <f aca="false">INDEX('Tabela Passaro'!$B$2:$B$1795,$N363)</f>
        <v>BA</v>
      </c>
      <c r="Q363" s="22" t="n">
        <f aca="false">INDEX('Tabela Passaro'!$F$2:$F$1795,$N363)</f>
        <v>6</v>
      </c>
      <c r="R363" s="32" t="n">
        <f aca="false">IF(J363&lt;=10,INDEX('Tabela Passaro'!$G$2:$G$1795,$N363),IF(J363&lt;=30,INDEX('Tabela Passaro'!$H$2:$H$1795,$N363),IF(J363&lt;=50,INDEX('Tabela Passaro'!$I$2:$I$1795,$N363),IF(J363&lt;=70,INDEX('Tabela Passaro'!$J$2:$J$1795,$N363),IF(J363&lt;=100,INDEX('Tabela Passaro'!$K$2:$K$1795,$N363),INDEX('Tabela Passaro'!$K$2:$K$1795,$N363)+(J363-100)*INDEX('Tabela Passaro'!$L$2:$L$1795,$N363))))))</f>
        <v>61.92</v>
      </c>
      <c r="S363" s="32" t="n">
        <f aca="false">K363*INDEX('Tabela Passaro'!$M$2:$M$1795,$N363)</f>
        <v>3.16055</v>
      </c>
      <c r="T363" s="32" t="n">
        <f aca="false">K363*INDEX('Tabela Passaro'!$N$2:$N$1795,$N363)</f>
        <v>1.26422</v>
      </c>
      <c r="U363" s="32" t="n">
        <f aca="false">INDEX('Tabela Passaro'!$O$2:$O$1795,$N363)</f>
        <v>5</v>
      </c>
      <c r="V363" s="32" t="n">
        <f aca="false">ROUNDUP(J363/INDEX('Tabela Passaro'!$Q$2:$Q$1795,$N363),0)*INDEX('Tabela Passaro'!$P$2:$P$1795,$N363)</f>
        <v>5</v>
      </c>
      <c r="W363" s="32" t="n">
        <f aca="false">INDEX('Tabela Passaro'!$R$2:$R$1795,$N363)</f>
        <v>30</v>
      </c>
      <c r="X363" s="32" t="n">
        <f aca="false">ROUNDUP(J363/INDEX('Tabela Passaro'!$T$2:$T$1795,$N363),0)*INDEX('Tabela Passaro'!$S$2:$S$1795,$N363)</f>
        <v>0</v>
      </c>
      <c r="Y363" s="32" t="n">
        <f aca="false">INDEX('Tabela Passaro'!$U$2:$U$1795,$N363)</f>
        <v>0</v>
      </c>
      <c r="Z363" s="32" t="n">
        <f aca="false">INDEX('Tabela Passaro'!$V$2:$V$1795,$N363)</f>
        <v>0</v>
      </c>
      <c r="AA363" s="32" t="n">
        <f aca="false">SUM(R363:Z363)</f>
        <v>106.34477</v>
      </c>
      <c r="AB363" s="33" t="n">
        <f aca="false">INDEX(Premissas!$B$5:$B$13,MATCH(A363,Premissas!$A$5:$A$13,0))</f>
        <v>0.07</v>
      </c>
      <c r="AC363" s="32" t="n">
        <f aca="false">AA363/(1-AB363)-AA363</f>
        <v>8.00444505376345</v>
      </c>
      <c r="AD363" s="32" t="n">
        <f aca="false">ROUND(AA363+AC363,2)</f>
        <v>114.35</v>
      </c>
      <c r="AE363" s="32" t="n">
        <f aca="false">AD363-L363</f>
        <v>-28.86</v>
      </c>
      <c r="AF363" s="34" t="n">
        <f aca="false">IF(L363=0,0,AE363/L363)</f>
        <v>-0.201522240067035</v>
      </c>
      <c r="AG363" s="22" t="str">
        <f aca="false">IF(AD363&lt;L363,"PASSARO","ATUAL")</f>
        <v>PASSARO</v>
      </c>
      <c r="AH363" s="22" t="str">
        <f aca="false">IF(P363&lt;&gt;A363,"Faixa cadastrada como "&amp;P363&amp;" na tabela; preço aplicado pela UF do CEP","")</f>
        <v/>
      </c>
      <c r="AI363" s="26" t="n">
        <v>138.76</v>
      </c>
      <c r="AJ363" s="22" t="str">
        <f aca="false">INDEX('Tabela Passaro'!$X$2:$X$1795,$N363)</f>
        <v>CAPITAL</v>
      </c>
    </row>
    <row r="364" customFormat="false" ht="15" hidden="false" customHeight="false" outlineLevel="0" collapsed="false">
      <c r="A364" s="22" t="s">
        <v>16</v>
      </c>
      <c r="B364" s="22" t="n">
        <v>1</v>
      </c>
      <c r="C364" s="22" t="s">
        <v>75</v>
      </c>
      <c r="D364" s="22" t="s">
        <v>30</v>
      </c>
      <c r="E364" s="22" t="s">
        <v>7328</v>
      </c>
      <c r="F364" s="22" t="n">
        <v>2315744</v>
      </c>
      <c r="G364" s="30" t="n">
        <v>46258</v>
      </c>
      <c r="H364" s="22" t="n">
        <v>134466</v>
      </c>
      <c r="I364" s="22" t="s">
        <v>7656</v>
      </c>
      <c r="J364" s="31" t="n">
        <v>51.06</v>
      </c>
      <c r="K364" s="26" t="n">
        <v>762.11</v>
      </c>
      <c r="L364" s="26" t="n">
        <v>165.34</v>
      </c>
      <c r="M364" s="22" t="s">
        <v>694</v>
      </c>
      <c r="N364" s="22" t="n">
        <f aca="false">MATCH(M364,'Tabela Passaro'!$A$2:$A$1795,0)</f>
        <v>106</v>
      </c>
      <c r="O364" s="22" t="str">
        <f aca="false">INDEX('Tabela Passaro'!$C$2:$C$1795,$N364)</f>
        <v>SALVADOR</v>
      </c>
      <c r="P364" s="22" t="str">
        <f aca="false">INDEX('Tabela Passaro'!$B$2:$B$1795,$N364)</f>
        <v>BA</v>
      </c>
      <c r="Q364" s="22" t="n">
        <f aca="false">INDEX('Tabela Passaro'!$F$2:$F$1795,$N364)</f>
        <v>6</v>
      </c>
      <c r="R364" s="32" t="n">
        <f aca="false">IF(J364&lt;=10,INDEX('Tabela Passaro'!$G$2:$G$1795,$N364),IF(J364&lt;=30,INDEX('Tabela Passaro'!$H$2:$H$1795,$N364),IF(J364&lt;=50,INDEX('Tabela Passaro'!$I$2:$I$1795,$N364),IF(J364&lt;=70,INDEX('Tabela Passaro'!$J$2:$J$1795,$N364),IF(J364&lt;=100,INDEX('Tabela Passaro'!$K$2:$K$1795,$N364),INDEX('Tabela Passaro'!$K$2:$K$1795,$N364)+(J364-100)*INDEX('Tabela Passaro'!$L$2:$L$1795,$N364))))))</f>
        <v>73.44</v>
      </c>
      <c r="S364" s="32" t="n">
        <f aca="false">K364*INDEX('Tabela Passaro'!$M$2:$M$1795,$N364)</f>
        <v>3.81055</v>
      </c>
      <c r="T364" s="32" t="n">
        <f aca="false">K364*INDEX('Tabela Passaro'!$N$2:$N$1795,$N364)</f>
        <v>1.52422</v>
      </c>
      <c r="U364" s="32" t="n">
        <f aca="false">INDEX('Tabela Passaro'!$O$2:$O$1795,$N364)</f>
        <v>5</v>
      </c>
      <c r="V364" s="32" t="n">
        <f aca="false">ROUNDUP(J364/INDEX('Tabela Passaro'!$Q$2:$Q$1795,$N364),0)*INDEX('Tabela Passaro'!$P$2:$P$1795,$N364)</f>
        <v>5</v>
      </c>
      <c r="W364" s="32" t="n">
        <f aca="false">INDEX('Tabela Passaro'!$R$2:$R$1795,$N364)</f>
        <v>30</v>
      </c>
      <c r="X364" s="32" t="n">
        <f aca="false">ROUNDUP(J364/INDEX('Tabela Passaro'!$T$2:$T$1795,$N364),0)*INDEX('Tabela Passaro'!$S$2:$S$1795,$N364)</f>
        <v>0</v>
      </c>
      <c r="Y364" s="32" t="n">
        <f aca="false">INDEX('Tabela Passaro'!$U$2:$U$1795,$N364)</f>
        <v>0</v>
      </c>
      <c r="Z364" s="32" t="n">
        <f aca="false">INDEX('Tabela Passaro'!$V$2:$V$1795,$N364)</f>
        <v>0</v>
      </c>
      <c r="AA364" s="32" t="n">
        <f aca="false">SUM(R364:Z364)</f>
        <v>118.77477</v>
      </c>
      <c r="AB364" s="33" t="n">
        <f aca="false">INDEX(Premissas!$B$5:$B$13,MATCH(A364,Premissas!$A$5:$A$13,0))</f>
        <v>0.07</v>
      </c>
      <c r="AC364" s="32" t="n">
        <f aca="false">AA364/(1-AB364)-AA364</f>
        <v>8.94003645161291</v>
      </c>
      <c r="AD364" s="32" t="n">
        <f aca="false">ROUND(AA364+AC364,2)</f>
        <v>127.71</v>
      </c>
      <c r="AE364" s="32" t="n">
        <f aca="false">AD364-L364</f>
        <v>-37.63</v>
      </c>
      <c r="AF364" s="34" t="n">
        <f aca="false">IF(L364=0,0,AE364/L364)</f>
        <v>-0.227591629369784</v>
      </c>
      <c r="AG364" s="22" t="str">
        <f aca="false">IF(AD364&lt;L364,"PASSARO","ATUAL")</f>
        <v>PASSARO</v>
      </c>
      <c r="AH364" s="22" t="str">
        <f aca="false">IF(P364&lt;&gt;A364,"Faixa cadastrada como "&amp;P364&amp;" na tabela; preço aplicado pela UF do CEP","")</f>
        <v/>
      </c>
      <c r="AI364" s="26" t="n">
        <v>160.77</v>
      </c>
      <c r="AJ364" s="22" t="str">
        <f aca="false">INDEX('Tabela Passaro'!$X$2:$X$1795,$N364)</f>
        <v>CAPITAL</v>
      </c>
    </row>
    <row r="365" customFormat="false" ht="15" hidden="false" customHeight="false" outlineLevel="0" collapsed="false">
      <c r="A365" s="22" t="s">
        <v>16</v>
      </c>
      <c r="B365" s="22" t="n">
        <v>1</v>
      </c>
      <c r="C365" s="22" t="s">
        <v>75</v>
      </c>
      <c r="D365" s="22" t="s">
        <v>30</v>
      </c>
      <c r="E365" s="22" t="s">
        <v>7328</v>
      </c>
      <c r="F365" s="22" t="n">
        <v>2315755</v>
      </c>
      <c r="G365" s="30" t="n">
        <v>46258</v>
      </c>
      <c r="H365" s="22" t="n">
        <v>134911</v>
      </c>
      <c r="I365" s="22" t="s">
        <v>7657</v>
      </c>
      <c r="J365" s="31" t="n">
        <v>29.2</v>
      </c>
      <c r="K365" s="26" t="n">
        <v>519.97</v>
      </c>
      <c r="L365" s="26" t="n">
        <v>111.72</v>
      </c>
      <c r="M365" s="22" t="s">
        <v>694</v>
      </c>
      <c r="N365" s="22" t="n">
        <f aca="false">MATCH(M365,'Tabela Passaro'!$A$2:$A$1795,0)</f>
        <v>106</v>
      </c>
      <c r="O365" s="22" t="str">
        <f aca="false">INDEX('Tabela Passaro'!$C$2:$C$1795,$N365)</f>
        <v>SALVADOR</v>
      </c>
      <c r="P365" s="22" t="str">
        <f aca="false">INDEX('Tabela Passaro'!$B$2:$B$1795,$N365)</f>
        <v>BA</v>
      </c>
      <c r="Q365" s="22" t="n">
        <f aca="false">INDEX('Tabela Passaro'!$F$2:$F$1795,$N365)</f>
        <v>6</v>
      </c>
      <c r="R365" s="32" t="n">
        <f aca="false">IF(J365&lt;=10,INDEX('Tabela Passaro'!$G$2:$G$1795,$N365),IF(J365&lt;=30,INDEX('Tabela Passaro'!$H$2:$H$1795,$N365),IF(J365&lt;=50,INDEX('Tabela Passaro'!$I$2:$I$1795,$N365),IF(J365&lt;=70,INDEX('Tabela Passaro'!$J$2:$J$1795,$N365),IF(J365&lt;=100,INDEX('Tabela Passaro'!$K$2:$K$1795,$N365),INDEX('Tabela Passaro'!$K$2:$K$1795,$N365)+(J365-100)*INDEX('Tabela Passaro'!$L$2:$L$1795,$N365))))))</f>
        <v>50.4</v>
      </c>
      <c r="S365" s="32" t="n">
        <f aca="false">K365*INDEX('Tabela Passaro'!$M$2:$M$1795,$N365)</f>
        <v>2.59985</v>
      </c>
      <c r="T365" s="32" t="n">
        <f aca="false">K365*INDEX('Tabela Passaro'!$N$2:$N$1795,$N365)</f>
        <v>1.03994</v>
      </c>
      <c r="U365" s="32" t="n">
        <f aca="false">INDEX('Tabela Passaro'!$O$2:$O$1795,$N365)</f>
        <v>5</v>
      </c>
      <c r="V365" s="32" t="n">
        <f aca="false">ROUNDUP(J365/INDEX('Tabela Passaro'!$Q$2:$Q$1795,$N365),0)*INDEX('Tabela Passaro'!$P$2:$P$1795,$N365)</f>
        <v>5</v>
      </c>
      <c r="W365" s="32" t="n">
        <f aca="false">INDEX('Tabela Passaro'!$R$2:$R$1795,$N365)</f>
        <v>30</v>
      </c>
      <c r="X365" s="32" t="n">
        <f aca="false">ROUNDUP(J365/INDEX('Tabela Passaro'!$T$2:$T$1795,$N365),0)*INDEX('Tabela Passaro'!$S$2:$S$1795,$N365)</f>
        <v>0</v>
      </c>
      <c r="Y365" s="32" t="n">
        <f aca="false">INDEX('Tabela Passaro'!$U$2:$U$1795,$N365)</f>
        <v>0</v>
      </c>
      <c r="Z365" s="32" t="n">
        <f aca="false">INDEX('Tabela Passaro'!$V$2:$V$1795,$N365)</f>
        <v>0</v>
      </c>
      <c r="AA365" s="32" t="n">
        <f aca="false">SUM(R365:Z365)</f>
        <v>94.03979</v>
      </c>
      <c r="AB365" s="33" t="n">
        <f aca="false">INDEX(Premissas!$B$5:$B$13,MATCH(A365,Premissas!$A$5:$A$13,0))</f>
        <v>0.07</v>
      </c>
      <c r="AC365" s="32" t="n">
        <f aca="false">AA365/(1-AB365)-AA365</f>
        <v>7.07826376344087</v>
      </c>
      <c r="AD365" s="32" t="n">
        <f aca="false">ROUND(AA365+AC365,2)</f>
        <v>101.12</v>
      </c>
      <c r="AE365" s="32" t="n">
        <f aca="false">AD365-L365</f>
        <v>-10.6</v>
      </c>
      <c r="AF365" s="34" t="n">
        <f aca="false">IF(L365=0,0,AE365/L365)</f>
        <v>-0.0948800572860723</v>
      </c>
      <c r="AG365" s="22" t="str">
        <f aca="false">IF(AD365&lt;L365,"PASSARO","ATUAL")</f>
        <v>PASSARO</v>
      </c>
      <c r="AH365" s="22" t="str">
        <f aca="false">IF(P365&lt;&gt;A365,"Faixa cadastrada como "&amp;P365&amp;" na tabela; preço aplicado pela UF do CEP","")</f>
        <v/>
      </c>
      <c r="AI365" s="26" t="n">
        <v>122.73</v>
      </c>
      <c r="AJ365" s="22" t="str">
        <f aca="false">INDEX('Tabela Passaro'!$X$2:$X$1795,$N365)</f>
        <v>CAPITAL</v>
      </c>
    </row>
    <row r="366" customFormat="false" ht="15" hidden="false" customHeight="false" outlineLevel="0" collapsed="false">
      <c r="A366" s="22" t="s">
        <v>16</v>
      </c>
      <c r="B366" s="22" t="n">
        <v>1</v>
      </c>
      <c r="C366" s="22" t="s">
        <v>75</v>
      </c>
      <c r="D366" s="22" t="s">
        <v>30</v>
      </c>
      <c r="E366" s="22" t="s">
        <v>7328</v>
      </c>
      <c r="F366" s="22" t="n">
        <v>2315760</v>
      </c>
      <c r="G366" s="30" t="n">
        <v>46258</v>
      </c>
      <c r="H366" s="22" t="n">
        <v>134920</v>
      </c>
      <c r="I366" s="22" t="s">
        <v>7658</v>
      </c>
      <c r="J366" s="31" t="n">
        <v>124.2</v>
      </c>
      <c r="K366" s="26" t="n">
        <v>1879.57</v>
      </c>
      <c r="L366" s="26" t="n">
        <v>252.77</v>
      </c>
      <c r="M366" s="22" t="s">
        <v>694</v>
      </c>
      <c r="N366" s="22" t="n">
        <f aca="false">MATCH(M366,'Tabela Passaro'!$A$2:$A$1795,0)</f>
        <v>106</v>
      </c>
      <c r="O366" s="22" t="str">
        <f aca="false">INDEX('Tabela Passaro'!$C$2:$C$1795,$N366)</f>
        <v>SALVADOR</v>
      </c>
      <c r="P366" s="22" t="str">
        <f aca="false">INDEX('Tabela Passaro'!$B$2:$B$1795,$N366)</f>
        <v>BA</v>
      </c>
      <c r="Q366" s="22" t="n">
        <f aca="false">INDEX('Tabela Passaro'!$F$2:$F$1795,$N366)</f>
        <v>6</v>
      </c>
      <c r="R366" s="32" t="n">
        <f aca="false">IF(J366&lt;=10,INDEX('Tabela Passaro'!$G$2:$G$1795,$N366),IF(J366&lt;=30,INDEX('Tabela Passaro'!$H$2:$H$1795,$N366),IF(J366&lt;=50,INDEX('Tabela Passaro'!$I$2:$I$1795,$N366),IF(J366&lt;=70,INDEX('Tabela Passaro'!$J$2:$J$1795,$N366),IF(J366&lt;=100,INDEX('Tabela Passaro'!$K$2:$K$1795,$N366),INDEX('Tabela Passaro'!$K$2:$K$1795,$N366)+(J366-100)*INDEX('Tabela Passaro'!$L$2:$L$1795,$N366))))))</f>
        <v>113.032</v>
      </c>
      <c r="S366" s="32" t="n">
        <f aca="false">K366*INDEX('Tabela Passaro'!$M$2:$M$1795,$N366)</f>
        <v>9.39785</v>
      </c>
      <c r="T366" s="32" t="n">
        <f aca="false">K366*INDEX('Tabela Passaro'!$N$2:$N$1795,$N366)</f>
        <v>3.75914</v>
      </c>
      <c r="U366" s="32" t="n">
        <f aca="false">INDEX('Tabela Passaro'!$O$2:$O$1795,$N366)</f>
        <v>5</v>
      </c>
      <c r="V366" s="32" t="n">
        <f aca="false">ROUNDUP(J366/INDEX('Tabela Passaro'!$Q$2:$Q$1795,$N366),0)*INDEX('Tabela Passaro'!$P$2:$P$1795,$N366)</f>
        <v>10</v>
      </c>
      <c r="W366" s="32" t="n">
        <f aca="false">INDEX('Tabela Passaro'!$R$2:$R$1795,$N366)</f>
        <v>30</v>
      </c>
      <c r="X366" s="32" t="n">
        <f aca="false">ROUNDUP(J366/INDEX('Tabela Passaro'!$T$2:$T$1795,$N366),0)*INDEX('Tabela Passaro'!$S$2:$S$1795,$N366)</f>
        <v>0</v>
      </c>
      <c r="Y366" s="32" t="n">
        <f aca="false">INDEX('Tabela Passaro'!$U$2:$U$1795,$N366)</f>
        <v>0</v>
      </c>
      <c r="Z366" s="32" t="n">
        <f aca="false">INDEX('Tabela Passaro'!$V$2:$V$1795,$N366)</f>
        <v>0</v>
      </c>
      <c r="AA366" s="32" t="n">
        <f aca="false">SUM(R366:Z366)</f>
        <v>171.18899</v>
      </c>
      <c r="AB366" s="33" t="n">
        <f aca="false">INDEX(Premissas!$B$5:$B$13,MATCH(A366,Premissas!$A$5:$A$13,0))</f>
        <v>0.07</v>
      </c>
      <c r="AC366" s="32" t="n">
        <f aca="false">AA366/(1-AB366)-AA366</f>
        <v>12.8851927956989</v>
      </c>
      <c r="AD366" s="32" t="n">
        <f aca="false">ROUND(AA366+AC366,2)</f>
        <v>184.07</v>
      </c>
      <c r="AE366" s="32" t="n">
        <f aca="false">AD366-L366</f>
        <v>-68.7</v>
      </c>
      <c r="AF366" s="34" t="n">
        <f aca="false">IF(L366=0,0,AE366/L366)</f>
        <v>-0.271788582505835</v>
      </c>
      <c r="AG366" s="22" t="str">
        <f aca="false">IF(AD366&lt;L366,"PASSARO","ATUAL")</f>
        <v>PASSARO</v>
      </c>
      <c r="AH366" s="22" t="str">
        <f aca="false">IF(P366&lt;&gt;A366,"Faixa cadastrada como "&amp;P366&amp;" na tabela; preço aplicado pela UF do CEP","")</f>
        <v/>
      </c>
      <c r="AI366" s="26" t="n">
        <v>258.89</v>
      </c>
      <c r="AJ366" s="22" t="str">
        <f aca="false">INDEX('Tabela Passaro'!$X$2:$X$1795,$N366)</f>
        <v>CAPITAL</v>
      </c>
    </row>
    <row r="367" customFormat="false" ht="15" hidden="false" customHeight="false" outlineLevel="0" collapsed="false">
      <c r="A367" s="22" t="s">
        <v>16</v>
      </c>
      <c r="B367" s="22" t="n">
        <v>1</v>
      </c>
      <c r="C367" s="22" t="s">
        <v>75</v>
      </c>
      <c r="D367" s="22" t="s">
        <v>30</v>
      </c>
      <c r="E367" s="22" t="s">
        <v>7328</v>
      </c>
      <c r="F367" s="22" t="n">
        <v>2315766</v>
      </c>
      <c r="G367" s="30" t="n">
        <v>46258</v>
      </c>
      <c r="H367" s="22" t="n">
        <v>134926</v>
      </c>
      <c r="I367" s="22" t="s">
        <v>7659</v>
      </c>
      <c r="J367" s="31" t="n">
        <v>69.11</v>
      </c>
      <c r="K367" s="26" t="n">
        <v>1054.98</v>
      </c>
      <c r="L367" s="26" t="n">
        <v>167.65</v>
      </c>
      <c r="M367" s="22" t="s">
        <v>694</v>
      </c>
      <c r="N367" s="22" t="n">
        <f aca="false">MATCH(M367,'Tabela Passaro'!$A$2:$A$1795,0)</f>
        <v>106</v>
      </c>
      <c r="O367" s="22" t="str">
        <f aca="false">INDEX('Tabela Passaro'!$C$2:$C$1795,$N367)</f>
        <v>SALVADOR</v>
      </c>
      <c r="P367" s="22" t="str">
        <f aca="false">INDEX('Tabela Passaro'!$B$2:$B$1795,$N367)</f>
        <v>BA</v>
      </c>
      <c r="Q367" s="22" t="n">
        <f aca="false">INDEX('Tabela Passaro'!$F$2:$F$1795,$N367)</f>
        <v>6</v>
      </c>
      <c r="R367" s="32" t="n">
        <f aca="false">IF(J367&lt;=10,INDEX('Tabela Passaro'!$G$2:$G$1795,$N367),IF(J367&lt;=30,INDEX('Tabela Passaro'!$H$2:$H$1795,$N367),IF(J367&lt;=50,INDEX('Tabela Passaro'!$I$2:$I$1795,$N367),IF(J367&lt;=70,INDEX('Tabela Passaro'!$J$2:$J$1795,$N367),IF(J367&lt;=100,INDEX('Tabela Passaro'!$K$2:$K$1795,$N367),INDEX('Tabela Passaro'!$K$2:$K$1795,$N367)+(J367-100)*INDEX('Tabela Passaro'!$L$2:$L$1795,$N367))))))</f>
        <v>73.44</v>
      </c>
      <c r="S367" s="32" t="n">
        <f aca="false">K367*INDEX('Tabela Passaro'!$M$2:$M$1795,$N367)</f>
        <v>5.2749</v>
      </c>
      <c r="T367" s="32" t="n">
        <f aca="false">K367*INDEX('Tabela Passaro'!$N$2:$N$1795,$N367)</f>
        <v>2.10996</v>
      </c>
      <c r="U367" s="32" t="n">
        <f aca="false">INDEX('Tabela Passaro'!$O$2:$O$1795,$N367)</f>
        <v>5</v>
      </c>
      <c r="V367" s="32" t="n">
        <f aca="false">ROUNDUP(J367/INDEX('Tabela Passaro'!$Q$2:$Q$1795,$N367),0)*INDEX('Tabela Passaro'!$P$2:$P$1795,$N367)</f>
        <v>5</v>
      </c>
      <c r="W367" s="32" t="n">
        <f aca="false">INDEX('Tabela Passaro'!$R$2:$R$1795,$N367)</f>
        <v>30</v>
      </c>
      <c r="X367" s="32" t="n">
        <f aca="false">ROUNDUP(J367/INDEX('Tabela Passaro'!$T$2:$T$1795,$N367),0)*INDEX('Tabela Passaro'!$S$2:$S$1795,$N367)</f>
        <v>0</v>
      </c>
      <c r="Y367" s="32" t="n">
        <f aca="false">INDEX('Tabela Passaro'!$U$2:$U$1795,$N367)</f>
        <v>0</v>
      </c>
      <c r="Z367" s="32" t="n">
        <f aca="false">INDEX('Tabela Passaro'!$V$2:$V$1795,$N367)</f>
        <v>0</v>
      </c>
      <c r="AA367" s="32" t="n">
        <f aca="false">SUM(R367:Z367)</f>
        <v>120.82486</v>
      </c>
      <c r="AB367" s="33" t="n">
        <f aca="false">INDEX(Premissas!$B$5:$B$13,MATCH(A367,Premissas!$A$5:$A$13,0))</f>
        <v>0.07</v>
      </c>
      <c r="AC367" s="32" t="n">
        <f aca="false">AA367/(1-AB367)-AA367</f>
        <v>9.09434430107527</v>
      </c>
      <c r="AD367" s="32" t="n">
        <f aca="false">ROUND(AA367+AC367,2)</f>
        <v>129.92</v>
      </c>
      <c r="AE367" s="32" t="n">
        <f aca="false">AD367-L367</f>
        <v>-37.73</v>
      </c>
      <c r="AF367" s="34" t="n">
        <f aca="false">IF(L367=0,0,AE367/L367)</f>
        <v>-0.225052192066806</v>
      </c>
      <c r="AG367" s="22" t="str">
        <f aca="false">IF(AD367&lt;L367,"PASSARO","ATUAL")</f>
        <v>PASSARO</v>
      </c>
      <c r="AH367" s="22" t="str">
        <f aca="false">IF(P367&lt;&gt;A367,"Faixa cadastrada como "&amp;P367&amp;" na tabela; preço aplicado pela UF do CEP","")</f>
        <v/>
      </c>
      <c r="AI367" s="26" t="n">
        <v>172.32</v>
      </c>
      <c r="AJ367" s="22" t="str">
        <f aca="false">INDEX('Tabela Passaro'!$X$2:$X$1795,$N367)</f>
        <v>CAPITAL</v>
      </c>
    </row>
    <row r="368" customFormat="false" ht="15" hidden="false" customHeight="false" outlineLevel="0" collapsed="false">
      <c r="A368" s="22" t="s">
        <v>16</v>
      </c>
      <c r="B368" s="22" t="n">
        <v>1</v>
      </c>
      <c r="C368" s="22" t="s">
        <v>75</v>
      </c>
      <c r="D368" s="22" t="s">
        <v>30</v>
      </c>
      <c r="E368" s="22" t="s">
        <v>7328</v>
      </c>
      <c r="F368" s="22" t="n">
        <v>2315771</v>
      </c>
      <c r="G368" s="30" t="n">
        <v>46258</v>
      </c>
      <c r="H368" s="22" t="n">
        <v>134927</v>
      </c>
      <c r="I368" s="22" t="s">
        <v>7660</v>
      </c>
      <c r="J368" s="31" t="n">
        <v>27.4</v>
      </c>
      <c r="K368" s="26" t="n">
        <v>510.98</v>
      </c>
      <c r="L368" s="26" t="n">
        <v>111.65</v>
      </c>
      <c r="M368" s="22" t="s">
        <v>694</v>
      </c>
      <c r="N368" s="22" t="n">
        <f aca="false">MATCH(M368,'Tabela Passaro'!$A$2:$A$1795,0)</f>
        <v>106</v>
      </c>
      <c r="O368" s="22" t="str">
        <f aca="false">INDEX('Tabela Passaro'!$C$2:$C$1795,$N368)</f>
        <v>SALVADOR</v>
      </c>
      <c r="P368" s="22" t="str">
        <f aca="false">INDEX('Tabela Passaro'!$B$2:$B$1795,$N368)</f>
        <v>BA</v>
      </c>
      <c r="Q368" s="22" t="n">
        <f aca="false">INDEX('Tabela Passaro'!$F$2:$F$1795,$N368)</f>
        <v>6</v>
      </c>
      <c r="R368" s="32" t="n">
        <f aca="false">IF(J368&lt;=10,INDEX('Tabela Passaro'!$G$2:$G$1795,$N368),IF(J368&lt;=30,INDEX('Tabela Passaro'!$H$2:$H$1795,$N368),IF(J368&lt;=50,INDEX('Tabela Passaro'!$I$2:$I$1795,$N368),IF(J368&lt;=70,INDEX('Tabela Passaro'!$J$2:$J$1795,$N368),IF(J368&lt;=100,INDEX('Tabela Passaro'!$K$2:$K$1795,$N368),INDEX('Tabela Passaro'!$K$2:$K$1795,$N368)+(J368-100)*INDEX('Tabela Passaro'!$L$2:$L$1795,$N368))))))</f>
        <v>50.4</v>
      </c>
      <c r="S368" s="32" t="n">
        <f aca="false">K368*INDEX('Tabela Passaro'!$M$2:$M$1795,$N368)</f>
        <v>2.5549</v>
      </c>
      <c r="T368" s="32" t="n">
        <f aca="false">K368*INDEX('Tabela Passaro'!$N$2:$N$1795,$N368)</f>
        <v>1.02196</v>
      </c>
      <c r="U368" s="32" t="n">
        <f aca="false">INDEX('Tabela Passaro'!$O$2:$O$1795,$N368)</f>
        <v>5</v>
      </c>
      <c r="V368" s="32" t="n">
        <f aca="false">ROUNDUP(J368/INDEX('Tabela Passaro'!$Q$2:$Q$1795,$N368),0)*INDEX('Tabela Passaro'!$P$2:$P$1795,$N368)</f>
        <v>5</v>
      </c>
      <c r="W368" s="32" t="n">
        <f aca="false">INDEX('Tabela Passaro'!$R$2:$R$1795,$N368)</f>
        <v>30</v>
      </c>
      <c r="X368" s="32" t="n">
        <f aca="false">ROUNDUP(J368/INDEX('Tabela Passaro'!$T$2:$T$1795,$N368),0)*INDEX('Tabela Passaro'!$S$2:$S$1795,$N368)</f>
        <v>0</v>
      </c>
      <c r="Y368" s="32" t="n">
        <f aca="false">INDEX('Tabela Passaro'!$U$2:$U$1795,$N368)</f>
        <v>0</v>
      </c>
      <c r="Z368" s="32" t="n">
        <f aca="false">INDEX('Tabela Passaro'!$V$2:$V$1795,$N368)</f>
        <v>0</v>
      </c>
      <c r="AA368" s="32" t="n">
        <f aca="false">SUM(R368:Z368)</f>
        <v>93.97686</v>
      </c>
      <c r="AB368" s="33" t="n">
        <f aca="false">INDEX(Premissas!$B$5:$B$13,MATCH(A368,Premissas!$A$5:$A$13,0))</f>
        <v>0.07</v>
      </c>
      <c r="AC368" s="32" t="n">
        <f aca="false">AA368/(1-AB368)-AA368</f>
        <v>7.0735270967742</v>
      </c>
      <c r="AD368" s="32" t="n">
        <f aca="false">ROUND(AA368+AC368,2)</f>
        <v>101.05</v>
      </c>
      <c r="AE368" s="32" t="n">
        <f aca="false">AD368-L368</f>
        <v>-10.6</v>
      </c>
      <c r="AF368" s="34" t="n">
        <f aca="false">IF(L368=0,0,AE368/L368)</f>
        <v>-0.0949395432154054</v>
      </c>
      <c r="AG368" s="22" t="str">
        <f aca="false">IF(AD368&lt;L368,"PASSARO","ATUAL")</f>
        <v>PASSARO</v>
      </c>
      <c r="AH368" s="22" t="str">
        <f aca="false">IF(P368&lt;&gt;A368,"Faixa cadastrada como "&amp;P368&amp;" na tabela; preço aplicado pela UF do CEP","")</f>
        <v/>
      </c>
      <c r="AI368" s="26" t="n">
        <v>121.68</v>
      </c>
      <c r="AJ368" s="22" t="str">
        <f aca="false">INDEX('Tabela Passaro'!$X$2:$X$1795,$N368)</f>
        <v>CAPITAL</v>
      </c>
    </row>
    <row r="369" customFormat="false" ht="15" hidden="false" customHeight="false" outlineLevel="0" collapsed="false">
      <c r="A369" s="22" t="s">
        <v>16</v>
      </c>
      <c r="B369" s="22" t="n">
        <v>1</v>
      </c>
      <c r="C369" s="22" t="s">
        <v>75</v>
      </c>
      <c r="D369" s="22" t="s">
        <v>30</v>
      </c>
      <c r="E369" s="22" t="s">
        <v>7328</v>
      </c>
      <c r="F369" s="22" t="n">
        <v>2315784</v>
      </c>
      <c r="G369" s="30" t="n">
        <v>46258</v>
      </c>
      <c r="H369" s="22" t="n">
        <v>134944</v>
      </c>
      <c r="I369" s="22" t="s">
        <v>7661</v>
      </c>
      <c r="J369" s="31" t="n">
        <v>45.4</v>
      </c>
      <c r="K369" s="26" t="n">
        <v>646.17</v>
      </c>
      <c r="L369" s="26" t="n">
        <v>143.32</v>
      </c>
      <c r="M369" s="22" t="s">
        <v>694</v>
      </c>
      <c r="N369" s="22" t="n">
        <f aca="false">MATCH(M369,'Tabela Passaro'!$A$2:$A$1795,0)</f>
        <v>106</v>
      </c>
      <c r="O369" s="22" t="str">
        <f aca="false">INDEX('Tabela Passaro'!$C$2:$C$1795,$N369)</f>
        <v>SALVADOR</v>
      </c>
      <c r="P369" s="22" t="str">
        <f aca="false">INDEX('Tabela Passaro'!$B$2:$B$1795,$N369)</f>
        <v>BA</v>
      </c>
      <c r="Q369" s="22" t="n">
        <f aca="false">INDEX('Tabela Passaro'!$F$2:$F$1795,$N369)</f>
        <v>6</v>
      </c>
      <c r="R369" s="32" t="n">
        <f aca="false">IF(J369&lt;=10,INDEX('Tabela Passaro'!$G$2:$G$1795,$N369),IF(J369&lt;=30,INDEX('Tabela Passaro'!$H$2:$H$1795,$N369),IF(J369&lt;=50,INDEX('Tabela Passaro'!$I$2:$I$1795,$N369),IF(J369&lt;=70,INDEX('Tabela Passaro'!$J$2:$J$1795,$N369),IF(J369&lt;=100,INDEX('Tabela Passaro'!$K$2:$K$1795,$N369),INDEX('Tabela Passaro'!$K$2:$K$1795,$N369)+(J369-100)*INDEX('Tabela Passaro'!$L$2:$L$1795,$N369))))))</f>
        <v>61.92</v>
      </c>
      <c r="S369" s="32" t="n">
        <f aca="false">K369*INDEX('Tabela Passaro'!$M$2:$M$1795,$N369)</f>
        <v>3.23085</v>
      </c>
      <c r="T369" s="32" t="n">
        <f aca="false">K369*INDEX('Tabela Passaro'!$N$2:$N$1795,$N369)</f>
        <v>1.29234</v>
      </c>
      <c r="U369" s="32" t="n">
        <f aca="false">INDEX('Tabela Passaro'!$O$2:$O$1795,$N369)</f>
        <v>5</v>
      </c>
      <c r="V369" s="32" t="n">
        <f aca="false">ROUNDUP(J369/INDEX('Tabela Passaro'!$Q$2:$Q$1795,$N369),0)*INDEX('Tabela Passaro'!$P$2:$P$1795,$N369)</f>
        <v>5</v>
      </c>
      <c r="W369" s="32" t="n">
        <f aca="false">INDEX('Tabela Passaro'!$R$2:$R$1795,$N369)</f>
        <v>30</v>
      </c>
      <c r="X369" s="32" t="n">
        <f aca="false">ROUNDUP(J369/INDEX('Tabela Passaro'!$T$2:$T$1795,$N369),0)*INDEX('Tabela Passaro'!$S$2:$S$1795,$N369)</f>
        <v>0</v>
      </c>
      <c r="Y369" s="32" t="n">
        <f aca="false">INDEX('Tabela Passaro'!$U$2:$U$1795,$N369)</f>
        <v>0</v>
      </c>
      <c r="Z369" s="32" t="n">
        <f aca="false">INDEX('Tabela Passaro'!$V$2:$V$1795,$N369)</f>
        <v>0</v>
      </c>
      <c r="AA369" s="32" t="n">
        <f aca="false">SUM(R369:Z369)</f>
        <v>106.44319</v>
      </c>
      <c r="AB369" s="33" t="n">
        <f aca="false">INDEX(Premissas!$B$5:$B$13,MATCH(A369,Premissas!$A$5:$A$13,0))</f>
        <v>0.07</v>
      </c>
      <c r="AC369" s="32" t="n">
        <f aca="false">AA369/(1-AB369)-AA369</f>
        <v>8.0118530107527</v>
      </c>
      <c r="AD369" s="32" t="n">
        <f aca="false">ROUND(AA369+AC369,2)</f>
        <v>114.46</v>
      </c>
      <c r="AE369" s="32" t="n">
        <f aca="false">AD369-L369</f>
        <v>-28.86</v>
      </c>
      <c r="AF369" s="34" t="n">
        <f aca="false">IF(L369=0,0,AE369/L369)</f>
        <v>-0.201367569076193</v>
      </c>
      <c r="AG369" s="22" t="str">
        <f aca="false">IF(AD369&lt;L369,"PASSARO","ATUAL")</f>
        <v>PASSARO</v>
      </c>
      <c r="AH369" s="22" t="str">
        <f aca="false">IF(P369&lt;&gt;A369,"Faixa cadastrada como "&amp;P369&amp;" na tabela; preço aplicado pela UF do CEP","")</f>
        <v/>
      </c>
      <c r="AI369" s="26" t="n">
        <v>144.22</v>
      </c>
      <c r="AJ369" s="22" t="str">
        <f aca="false">INDEX('Tabela Passaro'!$X$2:$X$1795,$N369)</f>
        <v>CAPITAL</v>
      </c>
    </row>
    <row r="370" customFormat="false" ht="15" hidden="false" customHeight="false" outlineLevel="0" collapsed="false">
      <c r="A370" s="22" t="s">
        <v>16</v>
      </c>
      <c r="B370" s="22" t="n">
        <v>1</v>
      </c>
      <c r="C370" s="22" t="s">
        <v>75</v>
      </c>
      <c r="D370" s="22" t="s">
        <v>30</v>
      </c>
      <c r="E370" s="22" t="s">
        <v>7328</v>
      </c>
      <c r="F370" s="22" t="n">
        <v>2315828</v>
      </c>
      <c r="G370" s="30" t="n">
        <v>46258</v>
      </c>
      <c r="H370" s="22" t="n">
        <v>134987</v>
      </c>
      <c r="I370" s="22" t="s">
        <v>7662</v>
      </c>
      <c r="J370" s="31" t="n">
        <v>48</v>
      </c>
      <c r="K370" s="26" t="n">
        <v>1059.98</v>
      </c>
      <c r="L370" s="26" t="n">
        <v>146.59</v>
      </c>
      <c r="M370" s="22" t="s">
        <v>694</v>
      </c>
      <c r="N370" s="22" t="n">
        <f aca="false">MATCH(M370,'Tabela Passaro'!$A$2:$A$1795,0)</f>
        <v>106</v>
      </c>
      <c r="O370" s="22" t="str">
        <f aca="false">INDEX('Tabela Passaro'!$C$2:$C$1795,$N370)</f>
        <v>SALVADOR</v>
      </c>
      <c r="P370" s="22" t="str">
        <f aca="false">INDEX('Tabela Passaro'!$B$2:$B$1795,$N370)</f>
        <v>BA</v>
      </c>
      <c r="Q370" s="22" t="n">
        <f aca="false">INDEX('Tabela Passaro'!$F$2:$F$1795,$N370)</f>
        <v>6</v>
      </c>
      <c r="R370" s="32" t="n">
        <f aca="false">IF(J370&lt;=10,INDEX('Tabela Passaro'!$G$2:$G$1795,$N370),IF(J370&lt;=30,INDEX('Tabela Passaro'!$H$2:$H$1795,$N370),IF(J370&lt;=50,INDEX('Tabela Passaro'!$I$2:$I$1795,$N370),IF(J370&lt;=70,INDEX('Tabela Passaro'!$J$2:$J$1795,$N370),IF(J370&lt;=100,INDEX('Tabela Passaro'!$K$2:$K$1795,$N370),INDEX('Tabela Passaro'!$K$2:$K$1795,$N370)+(J370-100)*INDEX('Tabela Passaro'!$L$2:$L$1795,$N370))))))</f>
        <v>61.92</v>
      </c>
      <c r="S370" s="32" t="n">
        <f aca="false">K370*INDEX('Tabela Passaro'!$M$2:$M$1795,$N370)</f>
        <v>5.2999</v>
      </c>
      <c r="T370" s="32" t="n">
        <f aca="false">K370*INDEX('Tabela Passaro'!$N$2:$N$1795,$N370)</f>
        <v>2.11996</v>
      </c>
      <c r="U370" s="32" t="n">
        <f aca="false">INDEX('Tabela Passaro'!$O$2:$O$1795,$N370)</f>
        <v>5</v>
      </c>
      <c r="V370" s="32" t="n">
        <f aca="false">ROUNDUP(J370/INDEX('Tabela Passaro'!$Q$2:$Q$1795,$N370),0)*INDEX('Tabela Passaro'!$P$2:$P$1795,$N370)</f>
        <v>5</v>
      </c>
      <c r="W370" s="32" t="n">
        <f aca="false">INDEX('Tabela Passaro'!$R$2:$R$1795,$N370)</f>
        <v>30</v>
      </c>
      <c r="X370" s="32" t="n">
        <f aca="false">ROUNDUP(J370/INDEX('Tabela Passaro'!$T$2:$T$1795,$N370),0)*INDEX('Tabela Passaro'!$S$2:$S$1795,$N370)</f>
        <v>0</v>
      </c>
      <c r="Y370" s="32" t="n">
        <f aca="false">INDEX('Tabela Passaro'!$U$2:$U$1795,$N370)</f>
        <v>0</v>
      </c>
      <c r="Z370" s="32" t="n">
        <f aca="false">INDEX('Tabela Passaro'!$V$2:$V$1795,$N370)</f>
        <v>0</v>
      </c>
      <c r="AA370" s="32" t="n">
        <f aca="false">SUM(R370:Z370)</f>
        <v>109.33986</v>
      </c>
      <c r="AB370" s="33" t="n">
        <f aca="false">INDEX(Premissas!$B$5:$B$13,MATCH(A370,Premissas!$A$5:$A$13,0))</f>
        <v>0.07</v>
      </c>
      <c r="AC370" s="32" t="n">
        <f aca="false">AA370/(1-AB370)-AA370</f>
        <v>8.22988193548387</v>
      </c>
      <c r="AD370" s="32" t="n">
        <f aca="false">ROUND(AA370+AC370,2)</f>
        <v>117.57</v>
      </c>
      <c r="AE370" s="32" t="n">
        <f aca="false">AD370-L370</f>
        <v>-29.02</v>
      </c>
      <c r="AF370" s="34" t="n">
        <f aca="false">IF(L370=0,0,AE370/L370)</f>
        <v>-0.197967119175933</v>
      </c>
      <c r="AG370" s="22" t="str">
        <f aca="false">IF(AD370&lt;L370,"PASSARO","ATUAL")</f>
        <v>PASSARO</v>
      </c>
      <c r="AH370" s="22" t="str">
        <f aca="false">IF(P370&lt;&gt;A370,"Faixa cadastrada como "&amp;P370&amp;" na tabela; preço aplicado pela UF do CEP","")</f>
        <v/>
      </c>
      <c r="AI370" s="26" t="n">
        <v>149.19</v>
      </c>
      <c r="AJ370" s="22" t="str">
        <f aca="false">INDEX('Tabela Passaro'!$X$2:$X$1795,$N370)</f>
        <v>CAPITAL</v>
      </c>
    </row>
    <row r="371" customFormat="false" ht="15" hidden="false" customHeight="false" outlineLevel="0" collapsed="false">
      <c r="A371" s="22" t="s">
        <v>16</v>
      </c>
      <c r="B371" s="22" t="n">
        <v>1</v>
      </c>
      <c r="C371" s="22" t="s">
        <v>75</v>
      </c>
      <c r="D371" s="22" t="s">
        <v>30</v>
      </c>
      <c r="E371" s="22" t="s">
        <v>7328</v>
      </c>
      <c r="F371" s="22" t="n">
        <v>2315850</v>
      </c>
      <c r="G371" s="30" t="n">
        <v>46258</v>
      </c>
      <c r="H371" s="22" t="n">
        <v>135116</v>
      </c>
      <c r="I371" s="22" t="s">
        <v>7663</v>
      </c>
      <c r="J371" s="31" t="n">
        <v>66.8</v>
      </c>
      <c r="K371" s="26" t="n">
        <v>709.79</v>
      </c>
      <c r="L371" s="26" t="n">
        <v>164.92</v>
      </c>
      <c r="M371" s="22" t="s">
        <v>694</v>
      </c>
      <c r="N371" s="22" t="n">
        <f aca="false">MATCH(M371,'Tabela Passaro'!$A$2:$A$1795,0)</f>
        <v>106</v>
      </c>
      <c r="O371" s="22" t="str">
        <f aca="false">INDEX('Tabela Passaro'!$C$2:$C$1795,$N371)</f>
        <v>SALVADOR</v>
      </c>
      <c r="P371" s="22" t="str">
        <f aca="false">INDEX('Tabela Passaro'!$B$2:$B$1795,$N371)</f>
        <v>BA</v>
      </c>
      <c r="Q371" s="22" t="n">
        <f aca="false">INDEX('Tabela Passaro'!$F$2:$F$1795,$N371)</f>
        <v>6</v>
      </c>
      <c r="R371" s="32" t="n">
        <f aca="false">IF(J371&lt;=10,INDEX('Tabela Passaro'!$G$2:$G$1795,$N371),IF(J371&lt;=30,INDEX('Tabela Passaro'!$H$2:$H$1795,$N371),IF(J371&lt;=50,INDEX('Tabela Passaro'!$I$2:$I$1795,$N371),IF(J371&lt;=70,INDEX('Tabela Passaro'!$J$2:$J$1795,$N371),IF(J371&lt;=100,INDEX('Tabela Passaro'!$K$2:$K$1795,$N371),INDEX('Tabela Passaro'!$K$2:$K$1795,$N371)+(J371-100)*INDEX('Tabela Passaro'!$L$2:$L$1795,$N371))))))</f>
        <v>73.44</v>
      </c>
      <c r="S371" s="32" t="n">
        <f aca="false">K371*INDEX('Tabela Passaro'!$M$2:$M$1795,$N371)</f>
        <v>3.54895</v>
      </c>
      <c r="T371" s="32" t="n">
        <f aca="false">K371*INDEX('Tabela Passaro'!$N$2:$N$1795,$N371)</f>
        <v>1.41958</v>
      </c>
      <c r="U371" s="32" t="n">
        <f aca="false">INDEX('Tabela Passaro'!$O$2:$O$1795,$N371)</f>
        <v>5</v>
      </c>
      <c r="V371" s="32" t="n">
        <f aca="false">ROUNDUP(J371/INDEX('Tabela Passaro'!$Q$2:$Q$1795,$N371),0)*INDEX('Tabela Passaro'!$P$2:$P$1795,$N371)</f>
        <v>5</v>
      </c>
      <c r="W371" s="32" t="n">
        <f aca="false">INDEX('Tabela Passaro'!$R$2:$R$1795,$N371)</f>
        <v>30</v>
      </c>
      <c r="X371" s="32" t="n">
        <f aca="false">ROUNDUP(J371/INDEX('Tabela Passaro'!$T$2:$T$1795,$N371),0)*INDEX('Tabela Passaro'!$S$2:$S$1795,$N371)</f>
        <v>0</v>
      </c>
      <c r="Y371" s="32" t="n">
        <f aca="false">INDEX('Tabela Passaro'!$U$2:$U$1795,$N371)</f>
        <v>0</v>
      </c>
      <c r="Z371" s="32" t="n">
        <f aca="false">INDEX('Tabela Passaro'!$V$2:$V$1795,$N371)</f>
        <v>0</v>
      </c>
      <c r="AA371" s="32" t="n">
        <f aca="false">SUM(R371:Z371)</f>
        <v>118.40853</v>
      </c>
      <c r="AB371" s="33" t="n">
        <f aca="false">INDEX(Premissas!$B$5:$B$13,MATCH(A371,Premissas!$A$5:$A$13,0))</f>
        <v>0.07</v>
      </c>
      <c r="AC371" s="32" t="n">
        <f aca="false">AA371/(1-AB371)-AA371</f>
        <v>8.91247000000001</v>
      </c>
      <c r="AD371" s="32" t="n">
        <f aca="false">ROUND(AA371+AC371,2)</f>
        <v>127.32</v>
      </c>
      <c r="AE371" s="32" t="n">
        <f aca="false">AD371-L371</f>
        <v>-37.6</v>
      </c>
      <c r="AF371" s="34" t="n">
        <f aca="false">IF(L371=0,0,AE371/L371)</f>
        <v>-0.227989328159107</v>
      </c>
      <c r="AG371" s="22" t="str">
        <f aca="false">IF(AD371&lt;L371,"PASSARO","ATUAL")</f>
        <v>PASSARO</v>
      </c>
      <c r="AH371" s="22" t="str">
        <f aca="false">IF(P371&lt;&gt;A371,"Faixa cadastrada como "&amp;P371&amp;" na tabela; preço aplicado pela UF do CEP","")</f>
        <v/>
      </c>
      <c r="AI371" s="26" t="n">
        <v>167.52</v>
      </c>
      <c r="AJ371" s="22" t="str">
        <f aca="false">INDEX('Tabela Passaro'!$X$2:$X$1795,$N371)</f>
        <v>CAPITAL</v>
      </c>
    </row>
    <row r="372" customFormat="false" ht="15" hidden="false" customHeight="false" outlineLevel="0" collapsed="false">
      <c r="A372" s="22" t="s">
        <v>16</v>
      </c>
      <c r="B372" s="22" t="n">
        <v>1</v>
      </c>
      <c r="C372" s="22" t="s">
        <v>75</v>
      </c>
      <c r="D372" s="22" t="s">
        <v>30</v>
      </c>
      <c r="E372" s="22" t="s">
        <v>7328</v>
      </c>
      <c r="F372" s="22" t="n">
        <v>2315851</v>
      </c>
      <c r="G372" s="30" t="n">
        <v>46258</v>
      </c>
      <c r="H372" s="22" t="n">
        <v>135121</v>
      </c>
      <c r="I372" s="22" t="s">
        <v>7664</v>
      </c>
      <c r="J372" s="31" t="n">
        <v>38.6</v>
      </c>
      <c r="K372" s="26" t="n">
        <v>737.29</v>
      </c>
      <c r="L372" s="26" t="n">
        <v>144.04</v>
      </c>
      <c r="M372" s="22" t="s">
        <v>694</v>
      </c>
      <c r="N372" s="22" t="n">
        <f aca="false">MATCH(M372,'Tabela Passaro'!$A$2:$A$1795,0)</f>
        <v>106</v>
      </c>
      <c r="O372" s="22" t="str">
        <f aca="false">INDEX('Tabela Passaro'!$C$2:$C$1795,$N372)</f>
        <v>SALVADOR</v>
      </c>
      <c r="P372" s="22" t="str">
        <f aca="false">INDEX('Tabela Passaro'!$B$2:$B$1795,$N372)</f>
        <v>BA</v>
      </c>
      <c r="Q372" s="22" t="n">
        <f aca="false">INDEX('Tabela Passaro'!$F$2:$F$1795,$N372)</f>
        <v>6</v>
      </c>
      <c r="R372" s="32" t="n">
        <f aca="false">IF(J372&lt;=10,INDEX('Tabela Passaro'!$G$2:$G$1795,$N372),IF(J372&lt;=30,INDEX('Tabela Passaro'!$H$2:$H$1795,$N372),IF(J372&lt;=50,INDEX('Tabela Passaro'!$I$2:$I$1795,$N372),IF(J372&lt;=70,INDEX('Tabela Passaro'!$J$2:$J$1795,$N372),IF(J372&lt;=100,INDEX('Tabela Passaro'!$K$2:$K$1795,$N372),INDEX('Tabela Passaro'!$K$2:$K$1795,$N372)+(J372-100)*INDEX('Tabela Passaro'!$L$2:$L$1795,$N372))))))</f>
        <v>61.92</v>
      </c>
      <c r="S372" s="32" t="n">
        <f aca="false">K372*INDEX('Tabela Passaro'!$M$2:$M$1795,$N372)</f>
        <v>3.68645</v>
      </c>
      <c r="T372" s="32" t="n">
        <f aca="false">K372*INDEX('Tabela Passaro'!$N$2:$N$1795,$N372)</f>
        <v>1.47458</v>
      </c>
      <c r="U372" s="32" t="n">
        <f aca="false">INDEX('Tabela Passaro'!$O$2:$O$1795,$N372)</f>
        <v>5</v>
      </c>
      <c r="V372" s="32" t="n">
        <f aca="false">ROUNDUP(J372/INDEX('Tabela Passaro'!$Q$2:$Q$1795,$N372),0)*INDEX('Tabela Passaro'!$P$2:$P$1795,$N372)</f>
        <v>5</v>
      </c>
      <c r="W372" s="32" t="n">
        <f aca="false">INDEX('Tabela Passaro'!$R$2:$R$1795,$N372)</f>
        <v>30</v>
      </c>
      <c r="X372" s="32" t="n">
        <f aca="false">ROUNDUP(J372/INDEX('Tabela Passaro'!$T$2:$T$1795,$N372),0)*INDEX('Tabela Passaro'!$S$2:$S$1795,$N372)</f>
        <v>0</v>
      </c>
      <c r="Y372" s="32" t="n">
        <f aca="false">INDEX('Tabela Passaro'!$U$2:$U$1795,$N372)</f>
        <v>0</v>
      </c>
      <c r="Z372" s="32" t="n">
        <f aca="false">INDEX('Tabela Passaro'!$V$2:$V$1795,$N372)</f>
        <v>0</v>
      </c>
      <c r="AA372" s="32" t="n">
        <f aca="false">SUM(R372:Z372)</f>
        <v>107.08103</v>
      </c>
      <c r="AB372" s="33" t="n">
        <f aca="false">INDEX(Premissas!$B$5:$B$13,MATCH(A372,Premissas!$A$5:$A$13,0))</f>
        <v>0.07</v>
      </c>
      <c r="AC372" s="32" t="n">
        <f aca="false">AA372/(1-AB372)-AA372</f>
        <v>8.05986247311829</v>
      </c>
      <c r="AD372" s="32" t="n">
        <f aca="false">ROUND(AA372+AC372,2)</f>
        <v>115.14</v>
      </c>
      <c r="AE372" s="32" t="n">
        <f aca="false">AD372-L372</f>
        <v>-28.9</v>
      </c>
      <c r="AF372" s="34" t="n">
        <f aca="false">IF(L372=0,0,AE372/L372)</f>
        <v>-0.200638711469036</v>
      </c>
      <c r="AG372" s="22" t="str">
        <f aca="false">IF(AD372&lt;L372,"PASSARO","ATUAL")</f>
        <v>PASSARO</v>
      </c>
      <c r="AH372" s="22" t="str">
        <f aca="false">IF(P372&lt;&gt;A372,"Faixa cadastrada como "&amp;P372&amp;" na tabela; preço aplicado pela UF do CEP","")</f>
        <v/>
      </c>
      <c r="AI372" s="26" t="n">
        <v>141.72</v>
      </c>
      <c r="AJ372" s="22" t="str">
        <f aca="false">INDEX('Tabela Passaro'!$X$2:$X$1795,$N372)</f>
        <v>CAPITAL</v>
      </c>
    </row>
    <row r="373" customFormat="false" ht="15" hidden="false" customHeight="false" outlineLevel="0" collapsed="false">
      <c r="A373" s="22" t="s">
        <v>16</v>
      </c>
      <c r="B373" s="22" t="n">
        <v>1</v>
      </c>
      <c r="C373" s="22" t="s">
        <v>75</v>
      </c>
      <c r="D373" s="22" t="s">
        <v>30</v>
      </c>
      <c r="E373" s="22" t="s">
        <v>7328</v>
      </c>
      <c r="F373" s="22" t="n">
        <v>2315853</v>
      </c>
      <c r="G373" s="30" t="n">
        <v>46258</v>
      </c>
      <c r="H373" s="22" t="n">
        <v>135123</v>
      </c>
      <c r="I373" s="22" t="s">
        <v>7665</v>
      </c>
      <c r="J373" s="31" t="n">
        <v>46.8</v>
      </c>
      <c r="K373" s="26" t="n">
        <v>532.79</v>
      </c>
      <c r="L373" s="26" t="n">
        <v>142.41</v>
      </c>
      <c r="M373" s="22" t="s">
        <v>694</v>
      </c>
      <c r="N373" s="22" t="n">
        <f aca="false">MATCH(M373,'Tabela Passaro'!$A$2:$A$1795,0)</f>
        <v>106</v>
      </c>
      <c r="O373" s="22" t="str">
        <f aca="false">INDEX('Tabela Passaro'!$C$2:$C$1795,$N373)</f>
        <v>SALVADOR</v>
      </c>
      <c r="P373" s="22" t="str">
        <f aca="false">INDEX('Tabela Passaro'!$B$2:$B$1795,$N373)</f>
        <v>BA</v>
      </c>
      <c r="Q373" s="22" t="n">
        <f aca="false">INDEX('Tabela Passaro'!$F$2:$F$1795,$N373)</f>
        <v>6</v>
      </c>
      <c r="R373" s="32" t="n">
        <f aca="false">IF(J373&lt;=10,INDEX('Tabela Passaro'!$G$2:$G$1795,$N373),IF(J373&lt;=30,INDEX('Tabela Passaro'!$H$2:$H$1795,$N373),IF(J373&lt;=50,INDEX('Tabela Passaro'!$I$2:$I$1795,$N373),IF(J373&lt;=70,INDEX('Tabela Passaro'!$J$2:$J$1795,$N373),IF(J373&lt;=100,INDEX('Tabela Passaro'!$K$2:$K$1795,$N373),INDEX('Tabela Passaro'!$K$2:$K$1795,$N373)+(J373-100)*INDEX('Tabela Passaro'!$L$2:$L$1795,$N373))))))</f>
        <v>61.92</v>
      </c>
      <c r="S373" s="32" t="n">
        <f aca="false">K373*INDEX('Tabela Passaro'!$M$2:$M$1795,$N373)</f>
        <v>2.66395</v>
      </c>
      <c r="T373" s="32" t="n">
        <f aca="false">K373*INDEX('Tabela Passaro'!$N$2:$N$1795,$N373)</f>
        <v>1.06558</v>
      </c>
      <c r="U373" s="32" t="n">
        <f aca="false">INDEX('Tabela Passaro'!$O$2:$O$1795,$N373)</f>
        <v>5</v>
      </c>
      <c r="V373" s="32" t="n">
        <f aca="false">ROUNDUP(J373/INDEX('Tabela Passaro'!$Q$2:$Q$1795,$N373),0)*INDEX('Tabela Passaro'!$P$2:$P$1795,$N373)</f>
        <v>5</v>
      </c>
      <c r="W373" s="32" t="n">
        <f aca="false">INDEX('Tabela Passaro'!$R$2:$R$1795,$N373)</f>
        <v>30</v>
      </c>
      <c r="X373" s="32" t="n">
        <f aca="false">ROUNDUP(J373/INDEX('Tabela Passaro'!$T$2:$T$1795,$N373),0)*INDEX('Tabela Passaro'!$S$2:$S$1795,$N373)</f>
        <v>0</v>
      </c>
      <c r="Y373" s="32" t="n">
        <f aca="false">INDEX('Tabela Passaro'!$U$2:$U$1795,$N373)</f>
        <v>0</v>
      </c>
      <c r="Z373" s="32" t="n">
        <f aca="false">INDEX('Tabela Passaro'!$V$2:$V$1795,$N373)</f>
        <v>0</v>
      </c>
      <c r="AA373" s="32" t="n">
        <f aca="false">SUM(R373:Z373)</f>
        <v>105.64953</v>
      </c>
      <c r="AB373" s="33" t="n">
        <f aca="false">INDEX(Premissas!$B$5:$B$13,MATCH(A373,Premissas!$A$5:$A$13,0))</f>
        <v>0.07</v>
      </c>
      <c r="AC373" s="32" t="n">
        <f aca="false">AA373/(1-AB373)-AA373</f>
        <v>7.95211516129034</v>
      </c>
      <c r="AD373" s="32" t="n">
        <f aca="false">ROUND(AA373+AC373,2)</f>
        <v>113.6</v>
      </c>
      <c r="AE373" s="32" t="n">
        <f aca="false">AD373-L373</f>
        <v>-28.81</v>
      </c>
      <c r="AF373" s="34" t="n">
        <f aca="false">IF(L373=0,0,AE373/L373)</f>
        <v>-0.202303209044309</v>
      </c>
      <c r="AG373" s="22" t="str">
        <f aca="false">IF(AD373&lt;L373,"PASSARO","ATUAL")</f>
        <v>PASSARO</v>
      </c>
      <c r="AH373" s="22" t="str">
        <f aca="false">IF(P373&lt;&gt;A373,"Faixa cadastrada como "&amp;P373&amp;" na tabela; preço aplicado pela UF do CEP","")</f>
        <v/>
      </c>
      <c r="AI373" s="26" t="n">
        <v>143.61</v>
      </c>
      <c r="AJ373" s="22" t="str">
        <f aca="false">INDEX('Tabela Passaro'!$X$2:$X$1795,$N373)</f>
        <v>CAPITAL</v>
      </c>
    </row>
    <row r="374" customFormat="false" ht="15" hidden="false" customHeight="false" outlineLevel="0" collapsed="false">
      <c r="A374" s="22" t="s">
        <v>16</v>
      </c>
      <c r="B374" s="22" t="n">
        <v>1</v>
      </c>
      <c r="C374" s="22" t="s">
        <v>75</v>
      </c>
      <c r="D374" s="22" t="s">
        <v>30</v>
      </c>
      <c r="E374" s="22" t="s">
        <v>7328</v>
      </c>
      <c r="F374" s="22" t="n">
        <v>2315864</v>
      </c>
      <c r="G374" s="30" t="n">
        <v>46258</v>
      </c>
      <c r="H374" s="22" t="n">
        <v>135130</v>
      </c>
      <c r="I374" s="22" t="s">
        <v>7666</v>
      </c>
      <c r="J374" s="31" t="n">
        <v>37.2</v>
      </c>
      <c r="K374" s="26" t="n">
        <v>572.98</v>
      </c>
      <c r="L374" s="26" t="n">
        <v>142.73</v>
      </c>
      <c r="M374" s="22" t="s">
        <v>694</v>
      </c>
      <c r="N374" s="22" t="n">
        <f aca="false">MATCH(M374,'Tabela Passaro'!$A$2:$A$1795,0)</f>
        <v>106</v>
      </c>
      <c r="O374" s="22" t="str">
        <f aca="false">INDEX('Tabela Passaro'!$C$2:$C$1795,$N374)</f>
        <v>SALVADOR</v>
      </c>
      <c r="P374" s="22" t="str">
        <f aca="false">INDEX('Tabela Passaro'!$B$2:$B$1795,$N374)</f>
        <v>BA</v>
      </c>
      <c r="Q374" s="22" t="n">
        <f aca="false">INDEX('Tabela Passaro'!$F$2:$F$1795,$N374)</f>
        <v>6</v>
      </c>
      <c r="R374" s="32" t="n">
        <f aca="false">IF(J374&lt;=10,INDEX('Tabela Passaro'!$G$2:$G$1795,$N374),IF(J374&lt;=30,INDEX('Tabela Passaro'!$H$2:$H$1795,$N374),IF(J374&lt;=50,INDEX('Tabela Passaro'!$I$2:$I$1795,$N374),IF(J374&lt;=70,INDEX('Tabela Passaro'!$J$2:$J$1795,$N374),IF(J374&lt;=100,INDEX('Tabela Passaro'!$K$2:$K$1795,$N374),INDEX('Tabela Passaro'!$K$2:$K$1795,$N374)+(J374-100)*INDEX('Tabela Passaro'!$L$2:$L$1795,$N374))))))</f>
        <v>61.92</v>
      </c>
      <c r="S374" s="32" t="n">
        <f aca="false">K374*INDEX('Tabela Passaro'!$M$2:$M$1795,$N374)</f>
        <v>2.8649</v>
      </c>
      <c r="T374" s="32" t="n">
        <f aca="false">K374*INDEX('Tabela Passaro'!$N$2:$N$1795,$N374)</f>
        <v>1.14596</v>
      </c>
      <c r="U374" s="32" t="n">
        <f aca="false">INDEX('Tabela Passaro'!$O$2:$O$1795,$N374)</f>
        <v>5</v>
      </c>
      <c r="V374" s="32" t="n">
        <f aca="false">ROUNDUP(J374/INDEX('Tabela Passaro'!$Q$2:$Q$1795,$N374),0)*INDEX('Tabela Passaro'!$P$2:$P$1795,$N374)</f>
        <v>5</v>
      </c>
      <c r="W374" s="32" t="n">
        <f aca="false">INDEX('Tabela Passaro'!$R$2:$R$1795,$N374)</f>
        <v>30</v>
      </c>
      <c r="X374" s="32" t="n">
        <f aca="false">ROUNDUP(J374/INDEX('Tabela Passaro'!$T$2:$T$1795,$N374),0)*INDEX('Tabela Passaro'!$S$2:$S$1795,$N374)</f>
        <v>0</v>
      </c>
      <c r="Y374" s="32" t="n">
        <f aca="false">INDEX('Tabela Passaro'!$U$2:$U$1795,$N374)</f>
        <v>0</v>
      </c>
      <c r="Z374" s="32" t="n">
        <f aca="false">INDEX('Tabela Passaro'!$V$2:$V$1795,$N374)</f>
        <v>0</v>
      </c>
      <c r="AA374" s="32" t="n">
        <f aca="false">SUM(R374:Z374)</f>
        <v>105.93086</v>
      </c>
      <c r="AB374" s="33" t="n">
        <f aca="false">INDEX(Premissas!$B$5:$B$13,MATCH(A374,Premissas!$A$5:$A$13,0))</f>
        <v>0.07</v>
      </c>
      <c r="AC374" s="32" t="n">
        <f aca="false">AA374/(1-AB374)-AA374</f>
        <v>7.97329053763441</v>
      </c>
      <c r="AD374" s="32" t="n">
        <f aca="false">ROUND(AA374+AC374,2)</f>
        <v>113.9</v>
      </c>
      <c r="AE374" s="32" t="n">
        <f aca="false">AD374-L374</f>
        <v>-28.83</v>
      </c>
      <c r="AF374" s="34" t="n">
        <f aca="false">IF(L374=0,0,AE374/L374)</f>
        <v>-0.201989770896097</v>
      </c>
      <c r="AG374" s="22" t="str">
        <f aca="false">IF(AD374&lt;L374,"PASSARO","ATUAL")</f>
        <v>PASSARO</v>
      </c>
      <c r="AH374" s="22" t="str">
        <f aca="false">IF(P374&lt;&gt;A374,"Faixa cadastrada como "&amp;P374&amp;" na tabela; preço aplicado pela UF do CEP","")</f>
        <v/>
      </c>
      <c r="AI374" s="26" t="n">
        <v>139.64</v>
      </c>
      <c r="AJ374" s="22" t="str">
        <f aca="false">INDEX('Tabela Passaro'!$X$2:$X$1795,$N374)</f>
        <v>CAPITAL</v>
      </c>
    </row>
    <row r="375" customFormat="false" ht="15" hidden="false" customHeight="false" outlineLevel="0" collapsed="false">
      <c r="A375" s="22" t="s">
        <v>16</v>
      </c>
      <c r="B375" s="22" t="n">
        <v>1</v>
      </c>
      <c r="C375" s="22" t="s">
        <v>75</v>
      </c>
      <c r="D375" s="22" t="s">
        <v>30</v>
      </c>
      <c r="E375" s="22" t="s">
        <v>7328</v>
      </c>
      <c r="F375" s="22" t="n">
        <v>2315865</v>
      </c>
      <c r="G375" s="30" t="n">
        <v>46258</v>
      </c>
      <c r="H375" s="22" t="n">
        <v>135131</v>
      </c>
      <c r="I375" s="22" t="s">
        <v>7617</v>
      </c>
      <c r="J375" s="31" t="n">
        <v>147.49</v>
      </c>
      <c r="K375" s="26" t="n">
        <v>1998.34</v>
      </c>
      <c r="L375" s="26" t="n">
        <v>274.34</v>
      </c>
      <c r="M375" s="22" t="s">
        <v>694</v>
      </c>
      <c r="N375" s="22" t="n">
        <f aca="false">MATCH(M375,'Tabela Passaro'!$A$2:$A$1795,0)</f>
        <v>106</v>
      </c>
      <c r="O375" s="22" t="str">
        <f aca="false">INDEX('Tabela Passaro'!$C$2:$C$1795,$N375)</f>
        <v>SALVADOR</v>
      </c>
      <c r="P375" s="22" t="str">
        <f aca="false">INDEX('Tabela Passaro'!$B$2:$B$1795,$N375)</f>
        <v>BA</v>
      </c>
      <c r="Q375" s="22" t="n">
        <f aca="false">INDEX('Tabela Passaro'!$F$2:$F$1795,$N375)</f>
        <v>6</v>
      </c>
      <c r="R375" s="32" t="n">
        <f aca="false">IF(J375&lt;=10,INDEX('Tabela Passaro'!$G$2:$G$1795,$N375),IF(J375&lt;=30,INDEX('Tabela Passaro'!$H$2:$H$1795,$N375),IF(J375&lt;=50,INDEX('Tabela Passaro'!$I$2:$I$1795,$N375),IF(J375&lt;=70,INDEX('Tabela Passaro'!$J$2:$J$1795,$N375),IF(J375&lt;=100,INDEX('Tabela Passaro'!$K$2:$K$1795,$N375),INDEX('Tabela Passaro'!$K$2:$K$1795,$N375)+(J375-100)*INDEX('Tabela Passaro'!$L$2:$L$1795,$N375))))))</f>
        <v>140.0484</v>
      </c>
      <c r="S375" s="32" t="n">
        <f aca="false">K375*INDEX('Tabela Passaro'!$M$2:$M$1795,$N375)</f>
        <v>9.9917</v>
      </c>
      <c r="T375" s="32" t="n">
        <f aca="false">K375*INDEX('Tabela Passaro'!$N$2:$N$1795,$N375)</f>
        <v>3.99668</v>
      </c>
      <c r="U375" s="32" t="n">
        <f aca="false">INDEX('Tabela Passaro'!$O$2:$O$1795,$N375)</f>
        <v>5</v>
      </c>
      <c r="V375" s="32" t="n">
        <f aca="false">ROUNDUP(J375/INDEX('Tabela Passaro'!$Q$2:$Q$1795,$N375),0)*INDEX('Tabela Passaro'!$P$2:$P$1795,$N375)</f>
        <v>10</v>
      </c>
      <c r="W375" s="32" t="n">
        <f aca="false">INDEX('Tabela Passaro'!$R$2:$R$1795,$N375)</f>
        <v>30</v>
      </c>
      <c r="X375" s="32" t="n">
        <f aca="false">ROUNDUP(J375/INDEX('Tabela Passaro'!$T$2:$T$1795,$N375),0)*INDEX('Tabela Passaro'!$S$2:$S$1795,$N375)</f>
        <v>0</v>
      </c>
      <c r="Y375" s="32" t="n">
        <f aca="false">INDEX('Tabela Passaro'!$U$2:$U$1795,$N375)</f>
        <v>0</v>
      </c>
      <c r="Z375" s="32" t="n">
        <f aca="false">INDEX('Tabela Passaro'!$V$2:$V$1795,$N375)</f>
        <v>0</v>
      </c>
      <c r="AA375" s="32" t="n">
        <f aca="false">SUM(R375:Z375)</f>
        <v>199.03678</v>
      </c>
      <c r="AB375" s="33" t="n">
        <f aca="false">INDEX(Premissas!$B$5:$B$13,MATCH(A375,Premissas!$A$5:$A$13,0))</f>
        <v>0.07</v>
      </c>
      <c r="AC375" s="32" t="n">
        <f aca="false">AA375/(1-AB375)-AA375</f>
        <v>14.9812630107527</v>
      </c>
      <c r="AD375" s="32" t="n">
        <f aca="false">ROUND(AA375+AC375,2)</f>
        <v>214.02</v>
      </c>
      <c r="AE375" s="32" t="n">
        <f aca="false">AD375-L375</f>
        <v>-60.32</v>
      </c>
      <c r="AF375" s="34" t="n">
        <f aca="false">IF(L375=0,0,AE375/L375)</f>
        <v>-0.219873150105708</v>
      </c>
      <c r="AG375" s="22" t="str">
        <f aca="false">IF(AD375&lt;L375,"PASSARO","ATUAL")</f>
        <v>PASSARO</v>
      </c>
      <c r="AH375" s="22" t="str">
        <f aca="false">IF(P375&lt;&gt;A375,"Faixa cadastrada como "&amp;P375&amp;" na tabela; preço aplicado pela UF do CEP","")</f>
        <v/>
      </c>
      <c r="AI375" s="26" t="n">
        <v>303.98</v>
      </c>
      <c r="AJ375" s="22" t="str">
        <f aca="false">INDEX('Tabela Passaro'!$X$2:$X$1795,$N375)</f>
        <v>CAPITAL</v>
      </c>
    </row>
    <row r="376" customFormat="false" ht="15" hidden="false" customHeight="false" outlineLevel="0" collapsed="false">
      <c r="A376" s="22" t="s">
        <v>16</v>
      </c>
      <c r="B376" s="22" t="n">
        <v>1</v>
      </c>
      <c r="C376" s="22" t="s">
        <v>75</v>
      </c>
      <c r="D376" s="22" t="s">
        <v>30</v>
      </c>
      <c r="E376" s="22" t="s">
        <v>7328</v>
      </c>
      <c r="F376" s="22" t="n">
        <v>2315789</v>
      </c>
      <c r="G376" s="30" t="n">
        <v>46258</v>
      </c>
      <c r="H376" s="22" t="n">
        <v>135137</v>
      </c>
      <c r="I376" s="22" t="s">
        <v>7667</v>
      </c>
      <c r="J376" s="31" t="n">
        <v>53.4</v>
      </c>
      <c r="K376" s="26" t="n">
        <v>813.4</v>
      </c>
      <c r="L376" s="26" t="n">
        <v>165.74</v>
      </c>
      <c r="M376" s="22" t="s">
        <v>694</v>
      </c>
      <c r="N376" s="22" t="n">
        <f aca="false">MATCH(M376,'Tabela Passaro'!$A$2:$A$1795,0)</f>
        <v>106</v>
      </c>
      <c r="O376" s="22" t="str">
        <f aca="false">INDEX('Tabela Passaro'!$C$2:$C$1795,$N376)</f>
        <v>SALVADOR</v>
      </c>
      <c r="P376" s="22" t="str">
        <f aca="false">INDEX('Tabela Passaro'!$B$2:$B$1795,$N376)</f>
        <v>BA</v>
      </c>
      <c r="Q376" s="22" t="n">
        <f aca="false">INDEX('Tabela Passaro'!$F$2:$F$1795,$N376)</f>
        <v>6</v>
      </c>
      <c r="R376" s="32" t="n">
        <f aca="false">IF(J376&lt;=10,INDEX('Tabela Passaro'!$G$2:$G$1795,$N376),IF(J376&lt;=30,INDEX('Tabela Passaro'!$H$2:$H$1795,$N376),IF(J376&lt;=50,INDEX('Tabela Passaro'!$I$2:$I$1795,$N376),IF(J376&lt;=70,INDEX('Tabela Passaro'!$J$2:$J$1795,$N376),IF(J376&lt;=100,INDEX('Tabela Passaro'!$K$2:$K$1795,$N376),INDEX('Tabela Passaro'!$K$2:$K$1795,$N376)+(J376-100)*INDEX('Tabela Passaro'!$L$2:$L$1795,$N376))))))</f>
        <v>73.44</v>
      </c>
      <c r="S376" s="32" t="n">
        <f aca="false">K376*INDEX('Tabela Passaro'!$M$2:$M$1795,$N376)</f>
        <v>4.067</v>
      </c>
      <c r="T376" s="32" t="n">
        <f aca="false">K376*INDEX('Tabela Passaro'!$N$2:$N$1795,$N376)</f>
        <v>1.6268</v>
      </c>
      <c r="U376" s="32" t="n">
        <f aca="false">INDEX('Tabela Passaro'!$O$2:$O$1795,$N376)</f>
        <v>5</v>
      </c>
      <c r="V376" s="32" t="n">
        <f aca="false">ROUNDUP(J376/INDEX('Tabela Passaro'!$Q$2:$Q$1795,$N376),0)*INDEX('Tabela Passaro'!$P$2:$P$1795,$N376)</f>
        <v>5</v>
      </c>
      <c r="W376" s="32" t="n">
        <f aca="false">INDEX('Tabela Passaro'!$R$2:$R$1795,$N376)</f>
        <v>30</v>
      </c>
      <c r="X376" s="32" t="n">
        <f aca="false">ROUNDUP(J376/INDEX('Tabela Passaro'!$T$2:$T$1795,$N376),0)*INDEX('Tabela Passaro'!$S$2:$S$1795,$N376)</f>
        <v>0</v>
      </c>
      <c r="Y376" s="32" t="n">
        <f aca="false">INDEX('Tabela Passaro'!$U$2:$U$1795,$N376)</f>
        <v>0</v>
      </c>
      <c r="Z376" s="32" t="n">
        <f aca="false">INDEX('Tabela Passaro'!$V$2:$V$1795,$N376)</f>
        <v>0</v>
      </c>
      <c r="AA376" s="32" t="n">
        <f aca="false">SUM(R376:Z376)</f>
        <v>119.1338</v>
      </c>
      <c r="AB376" s="33" t="n">
        <f aca="false">INDEX(Premissas!$B$5:$B$13,MATCH(A376,Premissas!$A$5:$A$13,0))</f>
        <v>0.07</v>
      </c>
      <c r="AC376" s="32" t="n">
        <f aca="false">AA376/(1-AB376)-AA376</f>
        <v>8.96706021505376</v>
      </c>
      <c r="AD376" s="32" t="n">
        <f aca="false">ROUND(AA376+AC376,2)</f>
        <v>128.1</v>
      </c>
      <c r="AE376" s="32" t="n">
        <f aca="false">AD376-L376</f>
        <v>-37.64</v>
      </c>
      <c r="AF376" s="34" t="n">
        <f aca="false">IF(L376=0,0,AE376/L376)</f>
        <v>-0.227102690961747</v>
      </c>
      <c r="AG376" s="22" t="str">
        <f aca="false">IF(AD376&lt;L376,"PASSARO","ATUAL")</f>
        <v>PASSARO</v>
      </c>
      <c r="AH376" s="22" t="str">
        <f aca="false">IF(P376&lt;&gt;A376,"Faixa cadastrada como "&amp;P376&amp;" na tabela; preço aplicado pela UF do CEP","")</f>
        <v/>
      </c>
      <c r="AI376" s="26" t="n">
        <v>162.24</v>
      </c>
      <c r="AJ376" s="22" t="str">
        <f aca="false">INDEX('Tabela Passaro'!$X$2:$X$1795,$N376)</f>
        <v>CAPITAL</v>
      </c>
    </row>
    <row r="377" customFormat="false" ht="15" hidden="false" customHeight="false" outlineLevel="0" collapsed="false">
      <c r="A377" s="22" t="s">
        <v>16</v>
      </c>
      <c r="B377" s="22" t="n">
        <v>1</v>
      </c>
      <c r="C377" s="22" t="s">
        <v>75</v>
      </c>
      <c r="D377" s="22" t="s">
        <v>30</v>
      </c>
      <c r="E377" s="22" t="s">
        <v>7328</v>
      </c>
      <c r="F377" s="22" t="n">
        <v>2315874</v>
      </c>
      <c r="G377" s="30" t="n">
        <v>46258</v>
      </c>
      <c r="H377" s="22" t="n">
        <v>135334</v>
      </c>
      <c r="I377" s="22" t="s">
        <v>7472</v>
      </c>
      <c r="J377" s="31" t="n">
        <v>46.8</v>
      </c>
      <c r="K377" s="26" t="n">
        <v>552.19</v>
      </c>
      <c r="L377" s="26" t="n">
        <v>142.57</v>
      </c>
      <c r="M377" s="22" t="s">
        <v>694</v>
      </c>
      <c r="N377" s="22" t="n">
        <f aca="false">MATCH(M377,'Tabela Passaro'!$A$2:$A$1795,0)</f>
        <v>106</v>
      </c>
      <c r="O377" s="22" t="str">
        <f aca="false">INDEX('Tabela Passaro'!$C$2:$C$1795,$N377)</f>
        <v>SALVADOR</v>
      </c>
      <c r="P377" s="22" t="str">
        <f aca="false">INDEX('Tabela Passaro'!$B$2:$B$1795,$N377)</f>
        <v>BA</v>
      </c>
      <c r="Q377" s="22" t="n">
        <f aca="false">INDEX('Tabela Passaro'!$F$2:$F$1795,$N377)</f>
        <v>6</v>
      </c>
      <c r="R377" s="32" t="n">
        <f aca="false">IF(J377&lt;=10,INDEX('Tabela Passaro'!$G$2:$G$1795,$N377),IF(J377&lt;=30,INDEX('Tabela Passaro'!$H$2:$H$1795,$N377),IF(J377&lt;=50,INDEX('Tabela Passaro'!$I$2:$I$1795,$N377),IF(J377&lt;=70,INDEX('Tabela Passaro'!$J$2:$J$1795,$N377),IF(J377&lt;=100,INDEX('Tabela Passaro'!$K$2:$K$1795,$N377),INDEX('Tabela Passaro'!$K$2:$K$1795,$N377)+(J377-100)*INDEX('Tabela Passaro'!$L$2:$L$1795,$N377))))))</f>
        <v>61.92</v>
      </c>
      <c r="S377" s="32" t="n">
        <f aca="false">K377*INDEX('Tabela Passaro'!$M$2:$M$1795,$N377)</f>
        <v>2.76095</v>
      </c>
      <c r="T377" s="32" t="n">
        <f aca="false">K377*INDEX('Tabela Passaro'!$N$2:$N$1795,$N377)</f>
        <v>1.10438</v>
      </c>
      <c r="U377" s="32" t="n">
        <f aca="false">INDEX('Tabela Passaro'!$O$2:$O$1795,$N377)</f>
        <v>5</v>
      </c>
      <c r="V377" s="32" t="n">
        <f aca="false">ROUNDUP(J377/INDEX('Tabela Passaro'!$Q$2:$Q$1795,$N377),0)*INDEX('Tabela Passaro'!$P$2:$P$1795,$N377)</f>
        <v>5</v>
      </c>
      <c r="W377" s="32" t="n">
        <f aca="false">INDEX('Tabela Passaro'!$R$2:$R$1795,$N377)</f>
        <v>30</v>
      </c>
      <c r="X377" s="32" t="n">
        <f aca="false">ROUNDUP(J377/INDEX('Tabela Passaro'!$T$2:$T$1795,$N377),0)*INDEX('Tabela Passaro'!$S$2:$S$1795,$N377)</f>
        <v>0</v>
      </c>
      <c r="Y377" s="32" t="n">
        <f aca="false">INDEX('Tabela Passaro'!$U$2:$U$1795,$N377)</f>
        <v>0</v>
      </c>
      <c r="Z377" s="32" t="n">
        <f aca="false">INDEX('Tabela Passaro'!$V$2:$V$1795,$N377)</f>
        <v>0</v>
      </c>
      <c r="AA377" s="32" t="n">
        <f aca="false">SUM(R377:Z377)</f>
        <v>105.78533</v>
      </c>
      <c r="AB377" s="33" t="n">
        <f aca="false">INDEX(Premissas!$B$5:$B$13,MATCH(A377,Premissas!$A$5:$A$13,0))</f>
        <v>0.07</v>
      </c>
      <c r="AC377" s="32" t="n">
        <f aca="false">AA377/(1-AB377)-AA377</f>
        <v>7.96233666666667</v>
      </c>
      <c r="AD377" s="32" t="n">
        <f aca="false">ROUND(AA377+AC377,2)</f>
        <v>113.75</v>
      </c>
      <c r="AE377" s="32" t="n">
        <f aca="false">AD377-L377</f>
        <v>-28.82</v>
      </c>
      <c r="AF377" s="34" t="n">
        <f aca="false">IF(L377=0,0,AE377/L377)</f>
        <v>-0.202146314091324</v>
      </c>
      <c r="AG377" s="22" t="str">
        <f aca="false">IF(AD377&lt;L377,"PASSARO","ATUAL")</f>
        <v>PASSARO</v>
      </c>
      <c r="AH377" s="22" t="str">
        <f aca="false">IF(P377&lt;&gt;A377,"Faixa cadastrada como "&amp;P377&amp;" na tabela; preço aplicado pela UF do CEP","")</f>
        <v/>
      </c>
      <c r="AI377" s="26" t="n">
        <v>143.8</v>
      </c>
      <c r="AJ377" s="22" t="str">
        <f aca="false">INDEX('Tabela Passaro'!$X$2:$X$1795,$N377)</f>
        <v>CAPITAL</v>
      </c>
    </row>
    <row r="378" customFormat="false" ht="15" hidden="false" customHeight="false" outlineLevel="0" collapsed="false">
      <c r="A378" s="22" t="s">
        <v>16</v>
      </c>
      <c r="B378" s="22" t="n">
        <v>1</v>
      </c>
      <c r="C378" s="22" t="s">
        <v>75</v>
      </c>
      <c r="D378" s="22" t="s">
        <v>30</v>
      </c>
      <c r="E378" s="22" t="s">
        <v>7326</v>
      </c>
      <c r="F378" s="22" t="n">
        <v>527044</v>
      </c>
      <c r="G378" s="30" t="n">
        <v>46258</v>
      </c>
      <c r="H378" s="22" t="n">
        <v>628174</v>
      </c>
      <c r="I378" s="22" t="s">
        <v>7668</v>
      </c>
      <c r="J378" s="31" t="n">
        <v>124.2</v>
      </c>
      <c r="K378" s="26" t="n">
        <v>1971.02</v>
      </c>
      <c r="L378" s="26" t="n">
        <v>322.73</v>
      </c>
      <c r="M378" s="22" t="s">
        <v>694</v>
      </c>
      <c r="N378" s="22" t="n">
        <f aca="false">MATCH(M378,'Tabela Passaro'!$A$2:$A$1795,0)</f>
        <v>106</v>
      </c>
      <c r="O378" s="22" t="str">
        <f aca="false">INDEX('Tabela Passaro'!$C$2:$C$1795,$N378)</f>
        <v>SALVADOR</v>
      </c>
      <c r="P378" s="22" t="str">
        <f aca="false">INDEX('Tabela Passaro'!$B$2:$B$1795,$N378)</f>
        <v>BA</v>
      </c>
      <c r="Q378" s="22" t="n">
        <f aca="false">INDEX('Tabela Passaro'!$F$2:$F$1795,$N378)</f>
        <v>6</v>
      </c>
      <c r="R378" s="32" t="n">
        <f aca="false">IF(J378&lt;=10,INDEX('Tabela Passaro'!$G$2:$G$1795,$N378),IF(J378&lt;=30,INDEX('Tabela Passaro'!$H$2:$H$1795,$N378),IF(J378&lt;=50,INDEX('Tabela Passaro'!$I$2:$I$1795,$N378),IF(J378&lt;=70,INDEX('Tabela Passaro'!$J$2:$J$1795,$N378),IF(J378&lt;=100,INDEX('Tabela Passaro'!$K$2:$K$1795,$N378),INDEX('Tabela Passaro'!$K$2:$K$1795,$N378)+(J378-100)*INDEX('Tabela Passaro'!$L$2:$L$1795,$N378))))))</f>
        <v>113.032</v>
      </c>
      <c r="S378" s="32" t="n">
        <f aca="false">K378*INDEX('Tabela Passaro'!$M$2:$M$1795,$N378)</f>
        <v>9.8551</v>
      </c>
      <c r="T378" s="32" t="n">
        <f aca="false">K378*INDEX('Tabela Passaro'!$N$2:$N$1795,$N378)</f>
        <v>3.94204</v>
      </c>
      <c r="U378" s="32" t="n">
        <f aca="false">INDEX('Tabela Passaro'!$O$2:$O$1795,$N378)</f>
        <v>5</v>
      </c>
      <c r="V378" s="32" t="n">
        <f aca="false">ROUNDUP(J378/INDEX('Tabela Passaro'!$Q$2:$Q$1795,$N378),0)*INDEX('Tabela Passaro'!$P$2:$P$1795,$N378)</f>
        <v>10</v>
      </c>
      <c r="W378" s="32" t="n">
        <f aca="false">INDEX('Tabela Passaro'!$R$2:$R$1795,$N378)</f>
        <v>30</v>
      </c>
      <c r="X378" s="32" t="n">
        <f aca="false">ROUNDUP(J378/INDEX('Tabela Passaro'!$T$2:$T$1795,$N378),0)*INDEX('Tabela Passaro'!$S$2:$S$1795,$N378)</f>
        <v>0</v>
      </c>
      <c r="Y378" s="32" t="n">
        <f aca="false">INDEX('Tabela Passaro'!$U$2:$U$1795,$N378)</f>
        <v>0</v>
      </c>
      <c r="Z378" s="32" t="n">
        <f aca="false">INDEX('Tabela Passaro'!$V$2:$V$1795,$N378)</f>
        <v>0</v>
      </c>
      <c r="AA378" s="32" t="n">
        <f aca="false">SUM(R378:Z378)</f>
        <v>171.82914</v>
      </c>
      <c r="AB378" s="33" t="n">
        <f aca="false">INDEX(Premissas!$B$5:$B$13,MATCH(A378,Premissas!$A$5:$A$13,0))</f>
        <v>0.07</v>
      </c>
      <c r="AC378" s="32" t="n">
        <f aca="false">AA378/(1-AB378)-AA378</f>
        <v>12.9333761290323</v>
      </c>
      <c r="AD378" s="32" t="n">
        <f aca="false">ROUND(AA378+AC378,2)</f>
        <v>184.76</v>
      </c>
      <c r="AE378" s="32" t="n">
        <f aca="false">AD378-L378</f>
        <v>-137.97</v>
      </c>
      <c r="AF378" s="34" t="n">
        <f aca="false">IF(L378=0,0,AE378/L378)</f>
        <v>-0.42750906330369</v>
      </c>
      <c r="AG378" s="22" t="str">
        <f aca="false">IF(AD378&lt;L378,"PASSARO","ATUAL")</f>
        <v>PASSARO</v>
      </c>
      <c r="AH378" s="22" t="str">
        <f aca="false">IF(P378&lt;&gt;A378,"Faixa cadastrada como "&amp;P378&amp;" na tabela; preço aplicado pela UF do CEP","")</f>
        <v/>
      </c>
      <c r="AI378" s="26" t="n">
        <v>259.78</v>
      </c>
      <c r="AJ378" s="22" t="str">
        <f aca="false">INDEX('Tabela Passaro'!$X$2:$X$1795,$N378)</f>
        <v>CAPITAL</v>
      </c>
    </row>
    <row r="379" customFormat="false" ht="15" hidden="false" customHeight="false" outlineLevel="0" collapsed="false">
      <c r="A379" s="22" t="s">
        <v>16</v>
      </c>
      <c r="B379" s="22" t="n">
        <v>1</v>
      </c>
      <c r="C379" s="22" t="s">
        <v>75</v>
      </c>
      <c r="D379" s="22" t="s">
        <v>30</v>
      </c>
      <c r="E379" s="22" t="s">
        <v>7326</v>
      </c>
      <c r="F379" s="22" t="n">
        <v>527051</v>
      </c>
      <c r="G379" s="30" t="n">
        <v>46258</v>
      </c>
      <c r="H379" s="22" t="n">
        <v>628319</v>
      </c>
      <c r="I379" s="22" t="s">
        <v>7669</v>
      </c>
      <c r="J379" s="31" t="n">
        <v>33</v>
      </c>
      <c r="K379" s="26" t="n">
        <v>569.55</v>
      </c>
      <c r="L379" s="26" t="n">
        <v>162.53</v>
      </c>
      <c r="M379" s="22" t="s">
        <v>694</v>
      </c>
      <c r="N379" s="22" t="n">
        <f aca="false">MATCH(M379,'Tabela Passaro'!$A$2:$A$1795,0)</f>
        <v>106</v>
      </c>
      <c r="O379" s="22" t="str">
        <f aca="false">INDEX('Tabela Passaro'!$C$2:$C$1795,$N379)</f>
        <v>SALVADOR</v>
      </c>
      <c r="P379" s="22" t="str">
        <f aca="false">INDEX('Tabela Passaro'!$B$2:$B$1795,$N379)</f>
        <v>BA</v>
      </c>
      <c r="Q379" s="22" t="n">
        <f aca="false">INDEX('Tabela Passaro'!$F$2:$F$1795,$N379)</f>
        <v>6</v>
      </c>
      <c r="R379" s="32" t="n">
        <f aca="false">IF(J379&lt;=10,INDEX('Tabela Passaro'!$G$2:$G$1795,$N379),IF(J379&lt;=30,INDEX('Tabela Passaro'!$H$2:$H$1795,$N379),IF(J379&lt;=50,INDEX('Tabela Passaro'!$I$2:$I$1795,$N379),IF(J379&lt;=70,INDEX('Tabela Passaro'!$J$2:$J$1795,$N379),IF(J379&lt;=100,INDEX('Tabela Passaro'!$K$2:$K$1795,$N379),INDEX('Tabela Passaro'!$K$2:$K$1795,$N379)+(J379-100)*INDEX('Tabela Passaro'!$L$2:$L$1795,$N379))))))</f>
        <v>61.92</v>
      </c>
      <c r="S379" s="32" t="n">
        <f aca="false">K379*INDEX('Tabela Passaro'!$M$2:$M$1795,$N379)</f>
        <v>2.84775</v>
      </c>
      <c r="T379" s="32" t="n">
        <f aca="false">K379*INDEX('Tabela Passaro'!$N$2:$N$1795,$N379)</f>
        <v>1.1391</v>
      </c>
      <c r="U379" s="32" t="n">
        <f aca="false">INDEX('Tabela Passaro'!$O$2:$O$1795,$N379)</f>
        <v>5</v>
      </c>
      <c r="V379" s="32" t="n">
        <f aca="false">ROUNDUP(J379/INDEX('Tabela Passaro'!$Q$2:$Q$1795,$N379),0)*INDEX('Tabela Passaro'!$P$2:$P$1795,$N379)</f>
        <v>5</v>
      </c>
      <c r="W379" s="32" t="n">
        <f aca="false">INDEX('Tabela Passaro'!$R$2:$R$1795,$N379)</f>
        <v>30</v>
      </c>
      <c r="X379" s="32" t="n">
        <f aca="false">ROUNDUP(J379/INDEX('Tabela Passaro'!$T$2:$T$1795,$N379),0)*INDEX('Tabela Passaro'!$S$2:$S$1795,$N379)</f>
        <v>0</v>
      </c>
      <c r="Y379" s="32" t="n">
        <f aca="false">INDEX('Tabela Passaro'!$U$2:$U$1795,$N379)</f>
        <v>0</v>
      </c>
      <c r="Z379" s="32" t="n">
        <f aca="false">INDEX('Tabela Passaro'!$V$2:$V$1795,$N379)</f>
        <v>0</v>
      </c>
      <c r="AA379" s="32" t="n">
        <f aca="false">SUM(R379:Z379)</f>
        <v>105.90685</v>
      </c>
      <c r="AB379" s="33" t="n">
        <f aca="false">INDEX(Premissas!$B$5:$B$13,MATCH(A379,Premissas!$A$5:$A$13,0))</f>
        <v>0.07</v>
      </c>
      <c r="AC379" s="32" t="n">
        <f aca="false">AA379/(1-AB379)-AA379</f>
        <v>7.97148333333334</v>
      </c>
      <c r="AD379" s="32" t="n">
        <f aca="false">ROUND(AA379+AC379,2)</f>
        <v>113.88</v>
      </c>
      <c r="AE379" s="32" t="n">
        <f aca="false">AD379-L379</f>
        <v>-48.65</v>
      </c>
      <c r="AF379" s="34" t="n">
        <f aca="false">IF(L379=0,0,AE379/L379)</f>
        <v>-0.299329354580693</v>
      </c>
      <c r="AG379" s="22" t="str">
        <f aca="false">IF(AD379&lt;L379,"PASSARO","ATUAL")</f>
        <v>PASSARO</v>
      </c>
      <c r="AH379" s="22" t="str">
        <f aca="false">IF(P379&lt;&gt;A379,"Faixa cadastrada como "&amp;P379&amp;" na tabela; preço aplicado pela UF do CEP","")</f>
        <v/>
      </c>
      <c r="AI379" s="26" t="n">
        <v>137.19</v>
      </c>
      <c r="AJ379" s="22" t="str">
        <f aca="false">INDEX('Tabela Passaro'!$X$2:$X$1795,$N379)</f>
        <v>CAPITAL</v>
      </c>
    </row>
    <row r="380" customFormat="false" ht="15" hidden="false" customHeight="false" outlineLevel="0" collapsed="false">
      <c r="A380" s="22" t="s">
        <v>16</v>
      </c>
      <c r="B380" s="22" t="n">
        <v>1</v>
      </c>
      <c r="C380" s="22" t="s">
        <v>75</v>
      </c>
      <c r="D380" s="22" t="s">
        <v>30</v>
      </c>
      <c r="E380" s="22" t="s">
        <v>7326</v>
      </c>
      <c r="F380" s="22" t="n">
        <v>527063</v>
      </c>
      <c r="G380" s="30" t="n">
        <v>46258</v>
      </c>
      <c r="H380" s="22" t="n">
        <v>628331</v>
      </c>
      <c r="I380" s="22" t="s">
        <v>7670</v>
      </c>
      <c r="J380" s="31" t="n">
        <v>33</v>
      </c>
      <c r="K380" s="26" t="n">
        <v>644.98</v>
      </c>
      <c r="L380" s="26" t="n">
        <v>163.16</v>
      </c>
      <c r="M380" s="22" t="s">
        <v>694</v>
      </c>
      <c r="N380" s="22" t="n">
        <f aca="false">MATCH(M380,'Tabela Passaro'!$A$2:$A$1795,0)</f>
        <v>106</v>
      </c>
      <c r="O380" s="22" t="str">
        <f aca="false">INDEX('Tabela Passaro'!$C$2:$C$1795,$N380)</f>
        <v>SALVADOR</v>
      </c>
      <c r="P380" s="22" t="str">
        <f aca="false">INDEX('Tabela Passaro'!$B$2:$B$1795,$N380)</f>
        <v>BA</v>
      </c>
      <c r="Q380" s="22" t="n">
        <f aca="false">INDEX('Tabela Passaro'!$F$2:$F$1795,$N380)</f>
        <v>6</v>
      </c>
      <c r="R380" s="32" t="n">
        <f aca="false">IF(J380&lt;=10,INDEX('Tabela Passaro'!$G$2:$G$1795,$N380),IF(J380&lt;=30,INDEX('Tabela Passaro'!$H$2:$H$1795,$N380),IF(J380&lt;=50,INDEX('Tabela Passaro'!$I$2:$I$1795,$N380),IF(J380&lt;=70,INDEX('Tabela Passaro'!$J$2:$J$1795,$N380),IF(J380&lt;=100,INDEX('Tabela Passaro'!$K$2:$K$1795,$N380),INDEX('Tabela Passaro'!$K$2:$K$1795,$N380)+(J380-100)*INDEX('Tabela Passaro'!$L$2:$L$1795,$N380))))))</f>
        <v>61.92</v>
      </c>
      <c r="S380" s="32" t="n">
        <f aca="false">K380*INDEX('Tabela Passaro'!$M$2:$M$1795,$N380)</f>
        <v>3.2249</v>
      </c>
      <c r="T380" s="32" t="n">
        <f aca="false">K380*INDEX('Tabela Passaro'!$N$2:$N$1795,$N380)</f>
        <v>1.28996</v>
      </c>
      <c r="U380" s="32" t="n">
        <f aca="false">INDEX('Tabela Passaro'!$O$2:$O$1795,$N380)</f>
        <v>5</v>
      </c>
      <c r="V380" s="32" t="n">
        <f aca="false">ROUNDUP(J380/INDEX('Tabela Passaro'!$Q$2:$Q$1795,$N380),0)*INDEX('Tabela Passaro'!$P$2:$P$1795,$N380)</f>
        <v>5</v>
      </c>
      <c r="W380" s="32" t="n">
        <f aca="false">INDEX('Tabela Passaro'!$R$2:$R$1795,$N380)</f>
        <v>30</v>
      </c>
      <c r="X380" s="32" t="n">
        <f aca="false">ROUNDUP(J380/INDEX('Tabela Passaro'!$T$2:$T$1795,$N380),0)*INDEX('Tabela Passaro'!$S$2:$S$1795,$N380)</f>
        <v>0</v>
      </c>
      <c r="Y380" s="32" t="n">
        <f aca="false">INDEX('Tabela Passaro'!$U$2:$U$1795,$N380)</f>
        <v>0</v>
      </c>
      <c r="Z380" s="32" t="n">
        <f aca="false">INDEX('Tabela Passaro'!$V$2:$V$1795,$N380)</f>
        <v>0</v>
      </c>
      <c r="AA380" s="32" t="n">
        <f aca="false">SUM(R380:Z380)</f>
        <v>106.43486</v>
      </c>
      <c r="AB380" s="33" t="n">
        <f aca="false">INDEX(Premissas!$B$5:$B$13,MATCH(A380,Premissas!$A$5:$A$13,0))</f>
        <v>0.07</v>
      </c>
      <c r="AC380" s="32" t="n">
        <f aca="false">AA380/(1-AB380)-AA380</f>
        <v>8.01122602150538</v>
      </c>
      <c r="AD380" s="32" t="n">
        <f aca="false">ROUND(AA380+AC380,2)</f>
        <v>114.45</v>
      </c>
      <c r="AE380" s="32" t="n">
        <f aca="false">AD380-L380</f>
        <v>-48.71</v>
      </c>
      <c r="AF380" s="34" t="n">
        <f aca="false">IF(L380=0,0,AE380/L380)</f>
        <v>-0.298541309144398</v>
      </c>
      <c r="AG380" s="22" t="str">
        <f aca="false">IF(AD380&lt;L380,"PASSARO","ATUAL")</f>
        <v>PASSARO</v>
      </c>
      <c r="AH380" s="22" t="str">
        <f aca="false">IF(P380&lt;&gt;A380,"Faixa cadastrada como "&amp;P380&amp;" na tabela; preço aplicado pela UF do CEP","")</f>
        <v/>
      </c>
      <c r="AI380" s="26" t="n">
        <v>137.92</v>
      </c>
      <c r="AJ380" s="22" t="str">
        <f aca="false">INDEX('Tabela Passaro'!$X$2:$X$1795,$N380)</f>
        <v>CAPITAL</v>
      </c>
    </row>
    <row r="381" customFormat="false" ht="15" hidden="false" customHeight="false" outlineLevel="0" collapsed="false">
      <c r="A381" s="22" t="s">
        <v>16</v>
      </c>
      <c r="B381" s="22" t="n">
        <v>1</v>
      </c>
      <c r="C381" s="22" t="s">
        <v>75</v>
      </c>
      <c r="D381" s="22" t="s">
        <v>30</v>
      </c>
      <c r="E381" s="22" t="s">
        <v>7326</v>
      </c>
      <c r="F381" s="22" t="n">
        <v>527068</v>
      </c>
      <c r="G381" s="30" t="n">
        <v>46258</v>
      </c>
      <c r="H381" s="22" t="n">
        <v>628479</v>
      </c>
      <c r="I381" s="22" t="s">
        <v>7671</v>
      </c>
      <c r="J381" s="31" t="n">
        <v>34.8</v>
      </c>
      <c r="K381" s="26" t="n">
        <v>586.42</v>
      </c>
      <c r="L381" s="26" t="n">
        <v>162.68</v>
      </c>
      <c r="M381" s="22" t="s">
        <v>694</v>
      </c>
      <c r="N381" s="22" t="n">
        <f aca="false">MATCH(M381,'Tabela Passaro'!$A$2:$A$1795,0)</f>
        <v>106</v>
      </c>
      <c r="O381" s="22" t="str">
        <f aca="false">INDEX('Tabela Passaro'!$C$2:$C$1795,$N381)</f>
        <v>SALVADOR</v>
      </c>
      <c r="P381" s="22" t="str">
        <f aca="false">INDEX('Tabela Passaro'!$B$2:$B$1795,$N381)</f>
        <v>BA</v>
      </c>
      <c r="Q381" s="22" t="n">
        <f aca="false">INDEX('Tabela Passaro'!$F$2:$F$1795,$N381)</f>
        <v>6</v>
      </c>
      <c r="R381" s="32" t="n">
        <f aca="false">IF(J381&lt;=10,INDEX('Tabela Passaro'!$G$2:$G$1795,$N381),IF(J381&lt;=30,INDEX('Tabela Passaro'!$H$2:$H$1795,$N381),IF(J381&lt;=50,INDEX('Tabela Passaro'!$I$2:$I$1795,$N381),IF(J381&lt;=70,INDEX('Tabela Passaro'!$J$2:$J$1795,$N381),IF(J381&lt;=100,INDEX('Tabela Passaro'!$K$2:$K$1795,$N381),INDEX('Tabela Passaro'!$K$2:$K$1795,$N381)+(J381-100)*INDEX('Tabela Passaro'!$L$2:$L$1795,$N381))))))</f>
        <v>61.92</v>
      </c>
      <c r="S381" s="32" t="n">
        <f aca="false">K381*INDEX('Tabela Passaro'!$M$2:$M$1795,$N381)</f>
        <v>2.9321</v>
      </c>
      <c r="T381" s="32" t="n">
        <f aca="false">K381*INDEX('Tabela Passaro'!$N$2:$N$1795,$N381)</f>
        <v>1.17284</v>
      </c>
      <c r="U381" s="32" t="n">
        <f aca="false">INDEX('Tabela Passaro'!$O$2:$O$1795,$N381)</f>
        <v>5</v>
      </c>
      <c r="V381" s="32" t="n">
        <f aca="false">ROUNDUP(J381/INDEX('Tabela Passaro'!$Q$2:$Q$1795,$N381),0)*INDEX('Tabela Passaro'!$P$2:$P$1795,$N381)</f>
        <v>5</v>
      </c>
      <c r="W381" s="32" t="n">
        <f aca="false">INDEX('Tabela Passaro'!$R$2:$R$1795,$N381)</f>
        <v>30</v>
      </c>
      <c r="X381" s="32" t="n">
        <f aca="false">ROUNDUP(J381/INDEX('Tabela Passaro'!$T$2:$T$1795,$N381),0)*INDEX('Tabela Passaro'!$S$2:$S$1795,$N381)</f>
        <v>0</v>
      </c>
      <c r="Y381" s="32" t="n">
        <f aca="false">INDEX('Tabela Passaro'!$U$2:$U$1795,$N381)</f>
        <v>0</v>
      </c>
      <c r="Z381" s="32" t="n">
        <f aca="false">INDEX('Tabela Passaro'!$V$2:$V$1795,$N381)</f>
        <v>0</v>
      </c>
      <c r="AA381" s="32" t="n">
        <f aca="false">SUM(R381:Z381)</f>
        <v>106.02494</v>
      </c>
      <c r="AB381" s="33" t="n">
        <f aca="false">INDEX(Premissas!$B$5:$B$13,MATCH(A381,Premissas!$A$5:$A$13,0))</f>
        <v>0.07</v>
      </c>
      <c r="AC381" s="32" t="n">
        <f aca="false">AA381/(1-AB381)-AA381</f>
        <v>7.980371827957</v>
      </c>
      <c r="AD381" s="32" t="n">
        <f aca="false">ROUND(AA381+AC381,2)</f>
        <v>114.01</v>
      </c>
      <c r="AE381" s="32" t="n">
        <f aca="false">AD381-L381</f>
        <v>-48.67</v>
      </c>
      <c r="AF381" s="34" t="n">
        <f aca="false">IF(L381=0,0,AE381/L381)</f>
        <v>-0.299176297024834</v>
      </c>
      <c r="AG381" s="22" t="str">
        <f aca="false">IF(AD381&lt;L381,"PASSARO","ATUAL")</f>
        <v>PASSARO</v>
      </c>
      <c r="AH381" s="22" t="str">
        <f aca="false">IF(P381&lt;&gt;A381,"Faixa cadastrada como "&amp;P381&amp;" na tabela; preço aplicado pela UF do CEP","")</f>
        <v/>
      </c>
      <c r="AI381" s="26" t="n">
        <v>138.32</v>
      </c>
      <c r="AJ381" s="22" t="str">
        <f aca="false">INDEX('Tabela Passaro'!$X$2:$X$1795,$N381)</f>
        <v>CAPITAL</v>
      </c>
    </row>
    <row r="382" customFormat="false" ht="15" hidden="false" customHeight="false" outlineLevel="0" collapsed="false">
      <c r="A382" s="22" t="s">
        <v>16</v>
      </c>
      <c r="B382" s="22" t="n">
        <v>1</v>
      </c>
      <c r="C382" s="22" t="s">
        <v>75</v>
      </c>
      <c r="D382" s="22" t="s">
        <v>30</v>
      </c>
      <c r="E382" s="22" t="s">
        <v>20</v>
      </c>
      <c r="F382" s="22" t="n">
        <v>839998</v>
      </c>
      <c r="G382" s="30" t="n">
        <v>46259</v>
      </c>
      <c r="H382" s="22" t="n">
        <v>32645</v>
      </c>
      <c r="I382" s="22" t="s">
        <v>7672</v>
      </c>
      <c r="J382" s="31" t="n">
        <v>21.4</v>
      </c>
      <c r="K382" s="26" t="n">
        <v>440.71</v>
      </c>
      <c r="L382" s="26" t="n">
        <v>108.26</v>
      </c>
      <c r="M382" s="22" t="s">
        <v>694</v>
      </c>
      <c r="N382" s="22" t="n">
        <f aca="false">MATCH(M382,'Tabela Passaro'!$A$2:$A$1795,0)</f>
        <v>106</v>
      </c>
      <c r="O382" s="22" t="str">
        <f aca="false">INDEX('Tabela Passaro'!$C$2:$C$1795,$N382)</f>
        <v>SALVADOR</v>
      </c>
      <c r="P382" s="22" t="str">
        <f aca="false">INDEX('Tabela Passaro'!$B$2:$B$1795,$N382)</f>
        <v>BA</v>
      </c>
      <c r="Q382" s="22" t="n">
        <f aca="false">INDEX('Tabela Passaro'!$F$2:$F$1795,$N382)</f>
        <v>6</v>
      </c>
      <c r="R382" s="32" t="n">
        <f aca="false">IF(J382&lt;=10,INDEX('Tabela Passaro'!$G$2:$G$1795,$N382),IF(J382&lt;=30,INDEX('Tabela Passaro'!$H$2:$H$1795,$N382),IF(J382&lt;=50,INDEX('Tabela Passaro'!$I$2:$I$1795,$N382),IF(J382&lt;=70,INDEX('Tabela Passaro'!$J$2:$J$1795,$N382),IF(J382&lt;=100,INDEX('Tabela Passaro'!$K$2:$K$1795,$N382),INDEX('Tabela Passaro'!$K$2:$K$1795,$N382)+(J382-100)*INDEX('Tabela Passaro'!$L$2:$L$1795,$N382))))))</f>
        <v>50.4</v>
      </c>
      <c r="S382" s="32" t="n">
        <f aca="false">K382*INDEX('Tabela Passaro'!$M$2:$M$1795,$N382)</f>
        <v>2.20355</v>
      </c>
      <c r="T382" s="32" t="n">
        <f aca="false">K382*INDEX('Tabela Passaro'!$N$2:$N$1795,$N382)</f>
        <v>0.88142</v>
      </c>
      <c r="U382" s="32" t="n">
        <f aca="false">INDEX('Tabela Passaro'!$O$2:$O$1795,$N382)</f>
        <v>5</v>
      </c>
      <c r="V382" s="32" t="n">
        <f aca="false">ROUNDUP(J382/INDEX('Tabela Passaro'!$Q$2:$Q$1795,$N382),0)*INDEX('Tabela Passaro'!$P$2:$P$1795,$N382)</f>
        <v>5</v>
      </c>
      <c r="W382" s="32" t="n">
        <f aca="false">INDEX('Tabela Passaro'!$R$2:$R$1795,$N382)</f>
        <v>30</v>
      </c>
      <c r="X382" s="32" t="n">
        <f aca="false">ROUNDUP(J382/INDEX('Tabela Passaro'!$T$2:$T$1795,$N382),0)*INDEX('Tabela Passaro'!$S$2:$S$1795,$N382)</f>
        <v>0</v>
      </c>
      <c r="Y382" s="32" t="n">
        <f aca="false">INDEX('Tabela Passaro'!$U$2:$U$1795,$N382)</f>
        <v>0</v>
      </c>
      <c r="Z382" s="32" t="n">
        <f aca="false">INDEX('Tabela Passaro'!$V$2:$V$1795,$N382)</f>
        <v>0</v>
      </c>
      <c r="AA382" s="32" t="n">
        <f aca="false">SUM(R382:Z382)</f>
        <v>93.48497</v>
      </c>
      <c r="AB382" s="33" t="n">
        <f aca="false">INDEX(Premissas!$B$5:$B$13,MATCH(A382,Premissas!$A$5:$A$13,0))</f>
        <v>0.07</v>
      </c>
      <c r="AC382" s="32" t="n">
        <f aca="false">AA382/(1-AB382)-AA382</f>
        <v>7.03650311827958</v>
      </c>
      <c r="AD382" s="32" t="n">
        <f aca="false">ROUND(AA382+AC382,2)</f>
        <v>100.52</v>
      </c>
      <c r="AE382" s="32" t="n">
        <f aca="false">AD382-L382</f>
        <v>-7.74000000000001</v>
      </c>
      <c r="AF382" s="34" t="n">
        <f aca="false">IF(L382=0,0,AE382/L382)</f>
        <v>-0.0714945501570295</v>
      </c>
      <c r="AG382" s="22" t="str">
        <f aca="false">IF(AD382&lt;L382,"PASSARO","ATUAL")</f>
        <v>PASSARO</v>
      </c>
      <c r="AH382" s="22" t="str">
        <f aca="false">IF(P382&lt;&gt;A382,"Faixa cadastrada como "&amp;P382&amp;" na tabela; preço aplicado pela UF do CEP","")</f>
        <v/>
      </c>
      <c r="AI382" s="26" t="n">
        <v>118.09</v>
      </c>
      <c r="AJ382" s="22" t="str">
        <f aca="false">INDEX('Tabela Passaro'!$X$2:$X$1795,$N382)</f>
        <v>CAPITAL</v>
      </c>
    </row>
    <row r="383" customFormat="false" ht="15" hidden="false" customHeight="false" outlineLevel="0" collapsed="false">
      <c r="A383" s="22" t="s">
        <v>16</v>
      </c>
      <c r="B383" s="22" t="n">
        <v>1</v>
      </c>
      <c r="C383" s="22" t="s">
        <v>75</v>
      </c>
      <c r="D383" s="22" t="s">
        <v>30</v>
      </c>
      <c r="E383" s="22" t="s">
        <v>20</v>
      </c>
      <c r="F383" s="22" t="n">
        <v>840021</v>
      </c>
      <c r="G383" s="30" t="n">
        <v>46259</v>
      </c>
      <c r="H383" s="22" t="n">
        <v>32667</v>
      </c>
      <c r="I383" s="22" t="s">
        <v>7673</v>
      </c>
      <c r="J383" s="31" t="n">
        <v>51.06</v>
      </c>
      <c r="K383" s="26" t="n">
        <v>855.58</v>
      </c>
      <c r="L383" s="26" t="n">
        <v>162.35</v>
      </c>
      <c r="M383" s="22" t="s">
        <v>694</v>
      </c>
      <c r="N383" s="22" t="n">
        <f aca="false">MATCH(M383,'Tabela Passaro'!$A$2:$A$1795,0)</f>
        <v>106</v>
      </c>
      <c r="O383" s="22" t="str">
        <f aca="false">INDEX('Tabela Passaro'!$C$2:$C$1795,$N383)</f>
        <v>SALVADOR</v>
      </c>
      <c r="P383" s="22" t="str">
        <f aca="false">INDEX('Tabela Passaro'!$B$2:$B$1795,$N383)</f>
        <v>BA</v>
      </c>
      <c r="Q383" s="22" t="n">
        <f aca="false">INDEX('Tabela Passaro'!$F$2:$F$1795,$N383)</f>
        <v>6</v>
      </c>
      <c r="R383" s="32" t="n">
        <f aca="false">IF(J383&lt;=10,INDEX('Tabela Passaro'!$G$2:$G$1795,$N383),IF(J383&lt;=30,INDEX('Tabela Passaro'!$H$2:$H$1795,$N383),IF(J383&lt;=50,INDEX('Tabela Passaro'!$I$2:$I$1795,$N383),IF(J383&lt;=70,INDEX('Tabela Passaro'!$J$2:$J$1795,$N383),IF(J383&lt;=100,INDEX('Tabela Passaro'!$K$2:$K$1795,$N383),INDEX('Tabela Passaro'!$K$2:$K$1795,$N383)+(J383-100)*INDEX('Tabela Passaro'!$L$2:$L$1795,$N383))))))</f>
        <v>73.44</v>
      </c>
      <c r="S383" s="32" t="n">
        <f aca="false">K383*INDEX('Tabela Passaro'!$M$2:$M$1795,$N383)</f>
        <v>4.2779</v>
      </c>
      <c r="T383" s="32" t="n">
        <f aca="false">K383*INDEX('Tabela Passaro'!$N$2:$N$1795,$N383)</f>
        <v>1.71116</v>
      </c>
      <c r="U383" s="32" t="n">
        <f aca="false">INDEX('Tabela Passaro'!$O$2:$O$1795,$N383)</f>
        <v>5</v>
      </c>
      <c r="V383" s="32" t="n">
        <f aca="false">ROUNDUP(J383/INDEX('Tabela Passaro'!$Q$2:$Q$1795,$N383),0)*INDEX('Tabela Passaro'!$P$2:$P$1795,$N383)</f>
        <v>5</v>
      </c>
      <c r="W383" s="32" t="n">
        <f aca="false">INDEX('Tabela Passaro'!$R$2:$R$1795,$N383)</f>
        <v>30</v>
      </c>
      <c r="X383" s="32" t="n">
        <f aca="false">ROUNDUP(J383/INDEX('Tabela Passaro'!$T$2:$T$1795,$N383),0)*INDEX('Tabela Passaro'!$S$2:$S$1795,$N383)</f>
        <v>0</v>
      </c>
      <c r="Y383" s="32" t="n">
        <f aca="false">INDEX('Tabela Passaro'!$U$2:$U$1795,$N383)</f>
        <v>0</v>
      </c>
      <c r="Z383" s="32" t="n">
        <f aca="false">INDEX('Tabela Passaro'!$V$2:$V$1795,$N383)</f>
        <v>0</v>
      </c>
      <c r="AA383" s="32" t="n">
        <f aca="false">SUM(R383:Z383)</f>
        <v>119.42906</v>
      </c>
      <c r="AB383" s="33" t="n">
        <f aca="false">INDEX(Premissas!$B$5:$B$13,MATCH(A383,Premissas!$A$5:$A$13,0))</f>
        <v>0.07</v>
      </c>
      <c r="AC383" s="32" t="n">
        <f aca="false">AA383/(1-AB383)-AA383</f>
        <v>8.98928408602151</v>
      </c>
      <c r="AD383" s="32" t="n">
        <f aca="false">ROUND(AA383+AC383,2)</f>
        <v>128.42</v>
      </c>
      <c r="AE383" s="32" t="n">
        <f aca="false">AD383-L383</f>
        <v>-33.93</v>
      </c>
      <c r="AF383" s="34" t="n">
        <f aca="false">IF(L383=0,0,AE383/L383)</f>
        <v>-0.208992916538343</v>
      </c>
      <c r="AG383" s="22" t="str">
        <f aca="false">IF(AD383&lt;L383,"PASSARO","ATUAL")</f>
        <v>PASSARO</v>
      </c>
      <c r="AH383" s="22" t="str">
        <f aca="false">IF(P383&lt;&gt;A383,"Faixa cadastrada como "&amp;P383&amp;" na tabela; preço aplicado pela UF do CEP","")</f>
        <v/>
      </c>
      <c r="AI383" s="26" t="n">
        <v>161.68</v>
      </c>
      <c r="AJ383" s="22" t="str">
        <f aca="false">INDEX('Tabela Passaro'!$X$2:$X$1795,$N383)</f>
        <v>CAPITAL</v>
      </c>
    </row>
    <row r="384" customFormat="false" ht="15" hidden="false" customHeight="false" outlineLevel="0" collapsed="false">
      <c r="A384" s="22" t="s">
        <v>16</v>
      </c>
      <c r="B384" s="22" t="n">
        <v>1</v>
      </c>
      <c r="C384" s="22" t="s">
        <v>75</v>
      </c>
      <c r="D384" s="22" t="s">
        <v>30</v>
      </c>
      <c r="E384" s="22" t="s">
        <v>7326</v>
      </c>
      <c r="F384" s="22" t="n">
        <v>527090</v>
      </c>
      <c r="G384" s="30" t="n">
        <v>46259</v>
      </c>
      <c r="H384" s="22" t="n">
        <v>627918</v>
      </c>
      <c r="I384" s="22" t="s">
        <v>7674</v>
      </c>
      <c r="J384" s="31" t="n">
        <v>25.8</v>
      </c>
      <c r="K384" s="26" t="n">
        <v>699.98</v>
      </c>
      <c r="L384" s="26" t="n">
        <v>122.8</v>
      </c>
      <c r="M384" s="22" t="s">
        <v>694</v>
      </c>
      <c r="N384" s="22" t="n">
        <f aca="false">MATCH(M384,'Tabela Passaro'!$A$2:$A$1795,0)</f>
        <v>106</v>
      </c>
      <c r="O384" s="22" t="str">
        <f aca="false">INDEX('Tabela Passaro'!$C$2:$C$1795,$N384)</f>
        <v>SALVADOR</v>
      </c>
      <c r="P384" s="22" t="str">
        <f aca="false">INDEX('Tabela Passaro'!$B$2:$B$1795,$N384)</f>
        <v>BA</v>
      </c>
      <c r="Q384" s="22" t="n">
        <f aca="false">INDEX('Tabela Passaro'!$F$2:$F$1795,$N384)</f>
        <v>6</v>
      </c>
      <c r="R384" s="32" t="n">
        <f aca="false">IF(J384&lt;=10,INDEX('Tabela Passaro'!$G$2:$G$1795,$N384),IF(J384&lt;=30,INDEX('Tabela Passaro'!$H$2:$H$1795,$N384),IF(J384&lt;=50,INDEX('Tabela Passaro'!$I$2:$I$1795,$N384),IF(J384&lt;=70,INDEX('Tabela Passaro'!$J$2:$J$1795,$N384),IF(J384&lt;=100,INDEX('Tabela Passaro'!$K$2:$K$1795,$N384),INDEX('Tabela Passaro'!$K$2:$K$1795,$N384)+(J384-100)*INDEX('Tabela Passaro'!$L$2:$L$1795,$N384))))))</f>
        <v>50.4</v>
      </c>
      <c r="S384" s="32" t="n">
        <f aca="false">K384*INDEX('Tabela Passaro'!$M$2:$M$1795,$N384)</f>
        <v>3.4999</v>
      </c>
      <c r="T384" s="32" t="n">
        <f aca="false">K384*INDEX('Tabela Passaro'!$N$2:$N$1795,$N384)</f>
        <v>1.39996</v>
      </c>
      <c r="U384" s="32" t="n">
        <f aca="false">INDEX('Tabela Passaro'!$O$2:$O$1795,$N384)</f>
        <v>5</v>
      </c>
      <c r="V384" s="32" t="n">
        <f aca="false">ROUNDUP(J384/INDEX('Tabela Passaro'!$Q$2:$Q$1795,$N384),0)*INDEX('Tabela Passaro'!$P$2:$P$1795,$N384)</f>
        <v>5</v>
      </c>
      <c r="W384" s="32" t="n">
        <f aca="false">INDEX('Tabela Passaro'!$R$2:$R$1795,$N384)</f>
        <v>30</v>
      </c>
      <c r="X384" s="32" t="n">
        <f aca="false">ROUNDUP(J384/INDEX('Tabela Passaro'!$T$2:$T$1795,$N384),0)*INDEX('Tabela Passaro'!$S$2:$S$1795,$N384)</f>
        <v>0</v>
      </c>
      <c r="Y384" s="32" t="n">
        <f aca="false">INDEX('Tabela Passaro'!$U$2:$U$1795,$N384)</f>
        <v>0</v>
      </c>
      <c r="Z384" s="32" t="n">
        <f aca="false">INDEX('Tabela Passaro'!$V$2:$V$1795,$N384)</f>
        <v>0</v>
      </c>
      <c r="AA384" s="32" t="n">
        <f aca="false">SUM(R384:Z384)</f>
        <v>95.29986</v>
      </c>
      <c r="AB384" s="33" t="n">
        <f aca="false">INDEX(Premissas!$B$5:$B$13,MATCH(A384,Premissas!$A$5:$A$13,0))</f>
        <v>0.07</v>
      </c>
      <c r="AC384" s="32" t="n">
        <f aca="false">AA384/(1-AB384)-AA384</f>
        <v>7.1731077419355</v>
      </c>
      <c r="AD384" s="32" t="n">
        <f aca="false">ROUND(AA384+AC384,2)</f>
        <v>102.47</v>
      </c>
      <c r="AE384" s="32" t="n">
        <f aca="false">AD384-L384</f>
        <v>-20.33</v>
      </c>
      <c r="AF384" s="34" t="n">
        <f aca="false">IF(L384=0,0,AE384/L384)</f>
        <v>-0.165553745928339</v>
      </c>
      <c r="AG384" s="22" t="str">
        <f aca="false">IF(AD384&lt;L384,"PASSARO","ATUAL")</f>
        <v>PASSARO</v>
      </c>
      <c r="AH384" s="22" t="str">
        <f aca="false">IF(P384&lt;&gt;A384,"Faixa cadastrada como "&amp;P384&amp;" na tabela; preço aplicado pela UF do CEP","")</f>
        <v/>
      </c>
      <c r="AI384" s="26" t="n">
        <v>122.54</v>
      </c>
      <c r="AJ384" s="22" t="str">
        <f aca="false">INDEX('Tabela Passaro'!$X$2:$X$1795,$N384)</f>
        <v>CAPITAL</v>
      </c>
    </row>
    <row r="385" customFormat="false" ht="15" hidden="false" customHeight="false" outlineLevel="0" collapsed="false">
      <c r="A385" s="22" t="s">
        <v>16</v>
      </c>
      <c r="B385" s="22" t="n">
        <v>1</v>
      </c>
      <c r="C385" s="22" t="s">
        <v>75</v>
      </c>
      <c r="D385" s="22" t="s">
        <v>30</v>
      </c>
      <c r="E385" s="22" t="s">
        <v>7326</v>
      </c>
      <c r="F385" s="22" t="n">
        <v>527332</v>
      </c>
      <c r="G385" s="30" t="n">
        <v>46259</v>
      </c>
      <c r="H385" s="22" t="n">
        <v>628258</v>
      </c>
      <c r="I385" s="22" t="s">
        <v>7675</v>
      </c>
      <c r="J385" s="31" t="n">
        <v>85</v>
      </c>
      <c r="K385" s="26" t="n">
        <v>1473.57</v>
      </c>
      <c r="L385" s="26" t="n">
        <v>256.43</v>
      </c>
      <c r="M385" s="22" t="s">
        <v>694</v>
      </c>
      <c r="N385" s="22" t="n">
        <f aca="false">MATCH(M385,'Tabela Passaro'!$A$2:$A$1795,0)</f>
        <v>106</v>
      </c>
      <c r="O385" s="22" t="str">
        <f aca="false">INDEX('Tabela Passaro'!$C$2:$C$1795,$N385)</f>
        <v>SALVADOR</v>
      </c>
      <c r="P385" s="22" t="str">
        <f aca="false">INDEX('Tabela Passaro'!$B$2:$B$1795,$N385)</f>
        <v>BA</v>
      </c>
      <c r="Q385" s="22" t="n">
        <f aca="false">INDEX('Tabela Passaro'!$F$2:$F$1795,$N385)</f>
        <v>6</v>
      </c>
      <c r="R385" s="32" t="n">
        <f aca="false">IF(J385&lt;=10,INDEX('Tabela Passaro'!$G$2:$G$1795,$N385),IF(J385&lt;=30,INDEX('Tabela Passaro'!$H$2:$H$1795,$N385),IF(J385&lt;=50,INDEX('Tabela Passaro'!$I$2:$I$1795,$N385),IF(J385&lt;=70,INDEX('Tabela Passaro'!$J$2:$J$1795,$N385),IF(J385&lt;=100,INDEX('Tabela Passaro'!$K$2:$K$1795,$N385),INDEX('Tabela Passaro'!$K$2:$K$1795,$N385)+(J385-100)*INDEX('Tabela Passaro'!$L$2:$L$1795,$N385))))))</f>
        <v>84.96</v>
      </c>
      <c r="S385" s="32" t="n">
        <f aca="false">K385*INDEX('Tabela Passaro'!$M$2:$M$1795,$N385)</f>
        <v>7.36785</v>
      </c>
      <c r="T385" s="32" t="n">
        <f aca="false">K385*INDEX('Tabela Passaro'!$N$2:$N$1795,$N385)</f>
        <v>2.94714</v>
      </c>
      <c r="U385" s="32" t="n">
        <f aca="false">INDEX('Tabela Passaro'!$O$2:$O$1795,$N385)</f>
        <v>5</v>
      </c>
      <c r="V385" s="32" t="n">
        <f aca="false">ROUNDUP(J385/INDEX('Tabela Passaro'!$Q$2:$Q$1795,$N385),0)*INDEX('Tabela Passaro'!$P$2:$P$1795,$N385)</f>
        <v>5</v>
      </c>
      <c r="W385" s="32" t="n">
        <f aca="false">INDEX('Tabela Passaro'!$R$2:$R$1795,$N385)</f>
        <v>30</v>
      </c>
      <c r="X385" s="32" t="n">
        <f aca="false">ROUNDUP(J385/INDEX('Tabela Passaro'!$T$2:$T$1795,$N385),0)*INDEX('Tabela Passaro'!$S$2:$S$1795,$N385)</f>
        <v>0</v>
      </c>
      <c r="Y385" s="32" t="n">
        <f aca="false">INDEX('Tabela Passaro'!$U$2:$U$1795,$N385)</f>
        <v>0</v>
      </c>
      <c r="Z385" s="32" t="n">
        <f aca="false">INDEX('Tabela Passaro'!$V$2:$V$1795,$N385)</f>
        <v>0</v>
      </c>
      <c r="AA385" s="32" t="n">
        <f aca="false">SUM(R385:Z385)</f>
        <v>135.27499</v>
      </c>
      <c r="AB385" s="33" t="n">
        <f aca="false">INDEX(Premissas!$B$5:$B$13,MATCH(A385,Premissas!$A$5:$A$13,0))</f>
        <v>0.07</v>
      </c>
      <c r="AC385" s="32" t="n">
        <f aca="false">AA385/(1-AB385)-AA385</f>
        <v>10.1819884946237</v>
      </c>
      <c r="AD385" s="32" t="n">
        <f aca="false">ROUND(AA385+AC385,2)</f>
        <v>145.46</v>
      </c>
      <c r="AE385" s="32" t="n">
        <f aca="false">AD385-L385</f>
        <v>-110.97</v>
      </c>
      <c r="AF385" s="34" t="n">
        <f aca="false">IF(L385=0,0,AE385/L385)</f>
        <v>-0.432749678274773</v>
      </c>
      <c r="AG385" s="22" t="str">
        <f aca="false">IF(AD385&lt;L385,"PASSARO","ATUAL")</f>
        <v>PASSARO</v>
      </c>
      <c r="AH385" s="22" t="str">
        <f aca="false">IF(P385&lt;&gt;A385,"Faixa cadastrada como "&amp;P385&amp;" na tabela; preço aplicado pela UF do CEP","")</f>
        <v/>
      </c>
      <c r="AI385" s="26" t="n">
        <v>196.14</v>
      </c>
      <c r="AJ385" s="22" t="str">
        <f aca="false">INDEX('Tabela Passaro'!$X$2:$X$1795,$N385)</f>
        <v>CAPITAL</v>
      </c>
    </row>
    <row r="386" customFormat="false" ht="15" hidden="false" customHeight="false" outlineLevel="0" collapsed="false">
      <c r="A386" s="22" t="s">
        <v>16</v>
      </c>
      <c r="B386" s="22" t="n">
        <v>1</v>
      </c>
      <c r="C386" s="22" t="s">
        <v>75</v>
      </c>
      <c r="D386" s="22" t="s">
        <v>30</v>
      </c>
      <c r="E386" s="22" t="s">
        <v>7326</v>
      </c>
      <c r="F386" s="22" t="n">
        <v>527345</v>
      </c>
      <c r="G386" s="30" t="n">
        <v>46259</v>
      </c>
      <c r="H386" s="22" t="n">
        <v>628798</v>
      </c>
      <c r="I386" s="22" t="s">
        <v>7553</v>
      </c>
      <c r="J386" s="31" t="n">
        <v>25.65</v>
      </c>
      <c r="K386" s="26" t="n">
        <v>532.87</v>
      </c>
      <c r="L386" s="26" t="n">
        <v>121.37</v>
      </c>
      <c r="M386" s="22" t="s">
        <v>694</v>
      </c>
      <c r="N386" s="22" t="n">
        <f aca="false">MATCH(M386,'Tabela Passaro'!$A$2:$A$1795,0)</f>
        <v>106</v>
      </c>
      <c r="O386" s="22" t="str">
        <f aca="false">INDEX('Tabela Passaro'!$C$2:$C$1795,$N386)</f>
        <v>SALVADOR</v>
      </c>
      <c r="P386" s="22" t="str">
        <f aca="false">INDEX('Tabela Passaro'!$B$2:$B$1795,$N386)</f>
        <v>BA</v>
      </c>
      <c r="Q386" s="22" t="n">
        <f aca="false">INDEX('Tabela Passaro'!$F$2:$F$1795,$N386)</f>
        <v>6</v>
      </c>
      <c r="R386" s="32" t="n">
        <f aca="false">IF(J386&lt;=10,INDEX('Tabela Passaro'!$G$2:$G$1795,$N386),IF(J386&lt;=30,INDEX('Tabela Passaro'!$H$2:$H$1795,$N386),IF(J386&lt;=50,INDEX('Tabela Passaro'!$I$2:$I$1795,$N386),IF(J386&lt;=70,INDEX('Tabela Passaro'!$J$2:$J$1795,$N386),IF(J386&lt;=100,INDEX('Tabela Passaro'!$K$2:$K$1795,$N386),INDEX('Tabela Passaro'!$K$2:$K$1795,$N386)+(J386-100)*INDEX('Tabela Passaro'!$L$2:$L$1795,$N386))))))</f>
        <v>50.4</v>
      </c>
      <c r="S386" s="32" t="n">
        <f aca="false">K386*INDEX('Tabela Passaro'!$M$2:$M$1795,$N386)</f>
        <v>2.66435</v>
      </c>
      <c r="T386" s="32" t="n">
        <f aca="false">K386*INDEX('Tabela Passaro'!$N$2:$N$1795,$N386)</f>
        <v>1.06574</v>
      </c>
      <c r="U386" s="32" t="n">
        <f aca="false">INDEX('Tabela Passaro'!$O$2:$O$1795,$N386)</f>
        <v>5</v>
      </c>
      <c r="V386" s="32" t="n">
        <f aca="false">ROUNDUP(J386/INDEX('Tabela Passaro'!$Q$2:$Q$1795,$N386),0)*INDEX('Tabela Passaro'!$P$2:$P$1795,$N386)</f>
        <v>5</v>
      </c>
      <c r="W386" s="32" t="n">
        <f aca="false">INDEX('Tabela Passaro'!$R$2:$R$1795,$N386)</f>
        <v>30</v>
      </c>
      <c r="X386" s="32" t="n">
        <f aca="false">ROUNDUP(J386/INDEX('Tabela Passaro'!$T$2:$T$1795,$N386),0)*INDEX('Tabela Passaro'!$S$2:$S$1795,$N386)</f>
        <v>0</v>
      </c>
      <c r="Y386" s="32" t="n">
        <f aca="false">INDEX('Tabela Passaro'!$U$2:$U$1795,$N386)</f>
        <v>0</v>
      </c>
      <c r="Z386" s="32" t="n">
        <f aca="false">INDEX('Tabela Passaro'!$V$2:$V$1795,$N386)</f>
        <v>0</v>
      </c>
      <c r="AA386" s="32" t="n">
        <f aca="false">SUM(R386:Z386)</f>
        <v>94.13009</v>
      </c>
      <c r="AB386" s="33" t="n">
        <f aca="false">INDEX(Premissas!$B$5:$B$13,MATCH(A386,Premissas!$A$5:$A$13,0))</f>
        <v>0.07</v>
      </c>
      <c r="AC386" s="32" t="n">
        <f aca="false">AA386/(1-AB386)-AA386</f>
        <v>7.08506053763442</v>
      </c>
      <c r="AD386" s="32" t="n">
        <f aca="false">ROUND(AA386+AC386,2)</f>
        <v>101.22</v>
      </c>
      <c r="AE386" s="32" t="n">
        <f aca="false">AD386-L386</f>
        <v>-20.15</v>
      </c>
      <c r="AF386" s="34" t="n">
        <f aca="false">IF(L386=0,0,AE386/L386)</f>
        <v>-0.166021257312351</v>
      </c>
      <c r="AG386" s="22" t="str">
        <f aca="false">IF(AD386&lt;L386,"PASSARO","ATUAL")</f>
        <v>PASSARO</v>
      </c>
      <c r="AH386" s="22" t="str">
        <f aca="false">IF(P386&lt;&gt;A386,"Faixa cadastrada como "&amp;P386&amp;" na tabela; preço aplicado pela UF do CEP","")</f>
        <v/>
      </c>
      <c r="AI386" s="26" t="n">
        <v>120.92</v>
      </c>
      <c r="AJ386" s="22" t="str">
        <f aca="false">INDEX('Tabela Passaro'!$X$2:$X$1795,$N386)</f>
        <v>CAPITAL</v>
      </c>
    </row>
    <row r="387" customFormat="false" ht="15" hidden="false" customHeight="false" outlineLevel="0" collapsed="false">
      <c r="A387" s="22" t="s">
        <v>16</v>
      </c>
      <c r="B387" s="22" t="n">
        <v>1</v>
      </c>
      <c r="C387" s="22" t="s">
        <v>75</v>
      </c>
      <c r="D387" s="22" t="s">
        <v>30</v>
      </c>
      <c r="E387" s="22" t="s">
        <v>7326</v>
      </c>
      <c r="F387" s="22" t="n">
        <v>527349</v>
      </c>
      <c r="G387" s="30" t="n">
        <v>46259</v>
      </c>
      <c r="H387" s="22" t="n">
        <v>628802</v>
      </c>
      <c r="I387" s="22" t="s">
        <v>7676</v>
      </c>
      <c r="J387" s="31" t="n">
        <v>45.4</v>
      </c>
      <c r="K387" s="26" t="n">
        <v>664.16</v>
      </c>
      <c r="L387" s="26" t="n">
        <v>163.33</v>
      </c>
      <c r="M387" s="22" t="s">
        <v>694</v>
      </c>
      <c r="N387" s="22" t="n">
        <f aca="false">MATCH(M387,'Tabela Passaro'!$A$2:$A$1795,0)</f>
        <v>106</v>
      </c>
      <c r="O387" s="22" t="str">
        <f aca="false">INDEX('Tabela Passaro'!$C$2:$C$1795,$N387)</f>
        <v>SALVADOR</v>
      </c>
      <c r="P387" s="22" t="str">
        <f aca="false">INDEX('Tabela Passaro'!$B$2:$B$1795,$N387)</f>
        <v>BA</v>
      </c>
      <c r="Q387" s="22" t="n">
        <f aca="false">INDEX('Tabela Passaro'!$F$2:$F$1795,$N387)</f>
        <v>6</v>
      </c>
      <c r="R387" s="32" t="n">
        <f aca="false">IF(J387&lt;=10,INDEX('Tabela Passaro'!$G$2:$G$1795,$N387),IF(J387&lt;=30,INDEX('Tabela Passaro'!$H$2:$H$1795,$N387),IF(J387&lt;=50,INDEX('Tabela Passaro'!$I$2:$I$1795,$N387),IF(J387&lt;=70,INDEX('Tabela Passaro'!$J$2:$J$1795,$N387),IF(J387&lt;=100,INDEX('Tabela Passaro'!$K$2:$K$1795,$N387),INDEX('Tabela Passaro'!$K$2:$K$1795,$N387)+(J387-100)*INDEX('Tabela Passaro'!$L$2:$L$1795,$N387))))))</f>
        <v>61.92</v>
      </c>
      <c r="S387" s="32" t="n">
        <f aca="false">K387*INDEX('Tabela Passaro'!$M$2:$M$1795,$N387)</f>
        <v>3.3208</v>
      </c>
      <c r="T387" s="32" t="n">
        <f aca="false">K387*INDEX('Tabela Passaro'!$N$2:$N$1795,$N387)</f>
        <v>1.32832</v>
      </c>
      <c r="U387" s="32" t="n">
        <f aca="false">INDEX('Tabela Passaro'!$O$2:$O$1795,$N387)</f>
        <v>5</v>
      </c>
      <c r="V387" s="32" t="n">
        <f aca="false">ROUNDUP(J387/INDEX('Tabela Passaro'!$Q$2:$Q$1795,$N387),0)*INDEX('Tabela Passaro'!$P$2:$P$1795,$N387)</f>
        <v>5</v>
      </c>
      <c r="W387" s="32" t="n">
        <f aca="false">INDEX('Tabela Passaro'!$R$2:$R$1795,$N387)</f>
        <v>30</v>
      </c>
      <c r="X387" s="32" t="n">
        <f aca="false">ROUNDUP(J387/INDEX('Tabela Passaro'!$T$2:$T$1795,$N387),0)*INDEX('Tabela Passaro'!$S$2:$S$1795,$N387)</f>
        <v>0</v>
      </c>
      <c r="Y387" s="32" t="n">
        <f aca="false">INDEX('Tabela Passaro'!$U$2:$U$1795,$N387)</f>
        <v>0</v>
      </c>
      <c r="Z387" s="32" t="n">
        <f aca="false">INDEX('Tabela Passaro'!$V$2:$V$1795,$N387)</f>
        <v>0</v>
      </c>
      <c r="AA387" s="32" t="n">
        <f aca="false">SUM(R387:Z387)</f>
        <v>106.56912</v>
      </c>
      <c r="AB387" s="33" t="n">
        <f aca="false">INDEX(Premissas!$B$5:$B$13,MATCH(A387,Premissas!$A$5:$A$13,0))</f>
        <v>0.07</v>
      </c>
      <c r="AC387" s="32" t="n">
        <f aca="false">AA387/(1-AB387)-AA387</f>
        <v>8.02133161290324</v>
      </c>
      <c r="AD387" s="32" t="n">
        <f aca="false">ROUND(AA387+AC387,2)</f>
        <v>114.59</v>
      </c>
      <c r="AE387" s="32" t="n">
        <f aca="false">AD387-L387</f>
        <v>-48.74</v>
      </c>
      <c r="AF387" s="34" t="n">
        <f aca="false">IF(L387=0,0,AE387/L387)</f>
        <v>-0.298414253352109</v>
      </c>
      <c r="AG387" s="22" t="str">
        <f aca="false">IF(AD387&lt;L387,"PASSARO","ATUAL")</f>
        <v>PASSARO</v>
      </c>
      <c r="AH387" s="22" t="str">
        <f aca="false">IF(P387&lt;&gt;A387,"Faixa cadastrada como "&amp;P387&amp;" na tabela; preço aplicado pela UF do CEP","")</f>
        <v/>
      </c>
      <c r="AI387" s="26" t="n">
        <v>144.4</v>
      </c>
      <c r="AJ387" s="22" t="str">
        <f aca="false">INDEX('Tabela Passaro'!$X$2:$X$1795,$N387)</f>
        <v>CAPITAL</v>
      </c>
    </row>
    <row r="388" customFormat="false" ht="15" hidden="false" customHeight="false" outlineLevel="0" collapsed="false">
      <c r="A388" s="22" t="s">
        <v>16</v>
      </c>
      <c r="B388" s="22" t="n">
        <v>1</v>
      </c>
      <c r="C388" s="22" t="s">
        <v>75</v>
      </c>
      <c r="D388" s="22" t="s">
        <v>30</v>
      </c>
      <c r="E388" s="22" t="s">
        <v>7326</v>
      </c>
      <c r="F388" s="22" t="n">
        <v>527352</v>
      </c>
      <c r="G388" s="30" t="n">
        <v>46259</v>
      </c>
      <c r="H388" s="22" t="n">
        <v>628807</v>
      </c>
      <c r="I388" s="22" t="s">
        <v>7677</v>
      </c>
      <c r="J388" s="31" t="n">
        <v>38.15</v>
      </c>
      <c r="K388" s="26" t="n">
        <v>608.87</v>
      </c>
      <c r="L388" s="26" t="n">
        <v>162.86</v>
      </c>
      <c r="M388" s="22" t="s">
        <v>694</v>
      </c>
      <c r="N388" s="22" t="n">
        <f aca="false">MATCH(M388,'Tabela Passaro'!$A$2:$A$1795,0)</f>
        <v>106</v>
      </c>
      <c r="O388" s="22" t="str">
        <f aca="false">INDEX('Tabela Passaro'!$C$2:$C$1795,$N388)</f>
        <v>SALVADOR</v>
      </c>
      <c r="P388" s="22" t="str">
        <f aca="false">INDEX('Tabela Passaro'!$B$2:$B$1795,$N388)</f>
        <v>BA</v>
      </c>
      <c r="Q388" s="22" t="n">
        <f aca="false">INDEX('Tabela Passaro'!$F$2:$F$1795,$N388)</f>
        <v>6</v>
      </c>
      <c r="R388" s="32" t="n">
        <f aca="false">IF(J388&lt;=10,INDEX('Tabela Passaro'!$G$2:$G$1795,$N388),IF(J388&lt;=30,INDEX('Tabela Passaro'!$H$2:$H$1795,$N388),IF(J388&lt;=50,INDEX('Tabela Passaro'!$I$2:$I$1795,$N388),IF(J388&lt;=70,INDEX('Tabela Passaro'!$J$2:$J$1795,$N388),IF(J388&lt;=100,INDEX('Tabela Passaro'!$K$2:$K$1795,$N388),INDEX('Tabela Passaro'!$K$2:$K$1795,$N388)+(J388-100)*INDEX('Tabela Passaro'!$L$2:$L$1795,$N388))))))</f>
        <v>61.92</v>
      </c>
      <c r="S388" s="32" t="n">
        <f aca="false">K388*INDEX('Tabela Passaro'!$M$2:$M$1795,$N388)</f>
        <v>3.04435</v>
      </c>
      <c r="T388" s="32" t="n">
        <f aca="false">K388*INDEX('Tabela Passaro'!$N$2:$N$1795,$N388)</f>
        <v>1.21774</v>
      </c>
      <c r="U388" s="32" t="n">
        <f aca="false">INDEX('Tabela Passaro'!$O$2:$O$1795,$N388)</f>
        <v>5</v>
      </c>
      <c r="V388" s="32" t="n">
        <f aca="false">ROUNDUP(J388/INDEX('Tabela Passaro'!$Q$2:$Q$1795,$N388),0)*INDEX('Tabela Passaro'!$P$2:$P$1795,$N388)</f>
        <v>5</v>
      </c>
      <c r="W388" s="32" t="n">
        <f aca="false">INDEX('Tabela Passaro'!$R$2:$R$1795,$N388)</f>
        <v>30</v>
      </c>
      <c r="X388" s="32" t="n">
        <f aca="false">ROUNDUP(J388/INDEX('Tabela Passaro'!$T$2:$T$1795,$N388),0)*INDEX('Tabela Passaro'!$S$2:$S$1795,$N388)</f>
        <v>0</v>
      </c>
      <c r="Y388" s="32" t="n">
        <f aca="false">INDEX('Tabela Passaro'!$U$2:$U$1795,$N388)</f>
        <v>0</v>
      </c>
      <c r="Z388" s="32" t="n">
        <f aca="false">INDEX('Tabela Passaro'!$V$2:$V$1795,$N388)</f>
        <v>0</v>
      </c>
      <c r="AA388" s="32" t="n">
        <f aca="false">SUM(R388:Z388)</f>
        <v>106.18209</v>
      </c>
      <c r="AB388" s="33" t="n">
        <f aca="false">INDEX(Premissas!$B$5:$B$13,MATCH(A388,Premissas!$A$5:$A$13,0))</f>
        <v>0.07</v>
      </c>
      <c r="AC388" s="32" t="n">
        <f aca="false">AA388/(1-AB388)-AA388</f>
        <v>7.99220032258066</v>
      </c>
      <c r="AD388" s="32" t="n">
        <f aca="false">ROUND(AA388+AC388,2)</f>
        <v>114.17</v>
      </c>
      <c r="AE388" s="32" t="n">
        <f aca="false">AD388-L388</f>
        <v>-48.69</v>
      </c>
      <c r="AF388" s="34" t="n">
        <f aca="false">IF(L388=0,0,AE388/L388)</f>
        <v>-0.29896843915019</v>
      </c>
      <c r="AG388" s="22" t="str">
        <f aca="false">IF(AD388&lt;L388,"PASSARO","ATUAL")</f>
        <v>PASSARO</v>
      </c>
      <c r="AH388" s="22" t="str">
        <f aca="false">IF(P388&lt;&gt;A388,"Faixa cadastrada como "&amp;P388&amp;" na tabela; preço aplicado pela UF do CEP","")</f>
        <v/>
      </c>
      <c r="AI388" s="26" t="n">
        <v>140.47</v>
      </c>
      <c r="AJ388" s="22" t="str">
        <f aca="false">INDEX('Tabela Passaro'!$X$2:$X$1795,$N388)</f>
        <v>CAPITAL</v>
      </c>
    </row>
    <row r="389" customFormat="false" ht="15" hidden="false" customHeight="false" outlineLevel="0" collapsed="false">
      <c r="A389" s="22" t="s">
        <v>16</v>
      </c>
      <c r="B389" s="22" t="n">
        <v>1</v>
      </c>
      <c r="C389" s="22" t="s">
        <v>75</v>
      </c>
      <c r="D389" s="22" t="s">
        <v>30</v>
      </c>
      <c r="E389" s="22" t="s">
        <v>20</v>
      </c>
      <c r="F389" s="22" t="n">
        <v>840178</v>
      </c>
      <c r="G389" s="30" t="n">
        <v>46260</v>
      </c>
      <c r="H389" s="22" t="n">
        <v>32693</v>
      </c>
      <c r="I389" s="22" t="s">
        <v>7678</v>
      </c>
      <c r="J389" s="31" t="n">
        <v>19.4</v>
      </c>
      <c r="K389" s="26" t="n">
        <v>408.31</v>
      </c>
      <c r="L389" s="26" t="n">
        <v>107.97</v>
      </c>
      <c r="M389" s="22" t="s">
        <v>694</v>
      </c>
      <c r="N389" s="22" t="n">
        <f aca="false">MATCH(M389,'Tabela Passaro'!$A$2:$A$1795,0)</f>
        <v>106</v>
      </c>
      <c r="O389" s="22" t="str">
        <f aca="false">INDEX('Tabela Passaro'!$C$2:$C$1795,$N389)</f>
        <v>SALVADOR</v>
      </c>
      <c r="P389" s="22" t="str">
        <f aca="false">INDEX('Tabela Passaro'!$B$2:$B$1795,$N389)</f>
        <v>BA</v>
      </c>
      <c r="Q389" s="22" t="n">
        <f aca="false">INDEX('Tabela Passaro'!$F$2:$F$1795,$N389)</f>
        <v>6</v>
      </c>
      <c r="R389" s="32" t="n">
        <f aca="false">IF(J389&lt;=10,INDEX('Tabela Passaro'!$G$2:$G$1795,$N389),IF(J389&lt;=30,INDEX('Tabela Passaro'!$H$2:$H$1795,$N389),IF(J389&lt;=50,INDEX('Tabela Passaro'!$I$2:$I$1795,$N389),IF(J389&lt;=70,INDEX('Tabela Passaro'!$J$2:$J$1795,$N389),IF(J389&lt;=100,INDEX('Tabela Passaro'!$K$2:$K$1795,$N389),INDEX('Tabela Passaro'!$K$2:$K$1795,$N389)+(J389-100)*INDEX('Tabela Passaro'!$L$2:$L$1795,$N389))))))</f>
        <v>50.4</v>
      </c>
      <c r="S389" s="32" t="n">
        <f aca="false">K389*INDEX('Tabela Passaro'!$M$2:$M$1795,$N389)</f>
        <v>2.04155</v>
      </c>
      <c r="T389" s="32" t="n">
        <f aca="false">K389*INDEX('Tabela Passaro'!$N$2:$N$1795,$N389)</f>
        <v>0.81662</v>
      </c>
      <c r="U389" s="32" t="n">
        <f aca="false">INDEX('Tabela Passaro'!$O$2:$O$1795,$N389)</f>
        <v>5</v>
      </c>
      <c r="V389" s="32" t="n">
        <f aca="false">ROUNDUP(J389/INDEX('Tabela Passaro'!$Q$2:$Q$1795,$N389),0)*INDEX('Tabela Passaro'!$P$2:$P$1795,$N389)</f>
        <v>5</v>
      </c>
      <c r="W389" s="32" t="n">
        <f aca="false">INDEX('Tabela Passaro'!$R$2:$R$1795,$N389)</f>
        <v>30</v>
      </c>
      <c r="X389" s="32" t="n">
        <f aca="false">ROUNDUP(J389/INDEX('Tabela Passaro'!$T$2:$T$1795,$N389),0)*INDEX('Tabela Passaro'!$S$2:$S$1795,$N389)</f>
        <v>0</v>
      </c>
      <c r="Y389" s="32" t="n">
        <f aca="false">INDEX('Tabela Passaro'!$U$2:$U$1795,$N389)</f>
        <v>0</v>
      </c>
      <c r="Z389" s="32" t="n">
        <f aca="false">INDEX('Tabela Passaro'!$V$2:$V$1795,$N389)</f>
        <v>0</v>
      </c>
      <c r="AA389" s="32" t="n">
        <f aca="false">SUM(R389:Z389)</f>
        <v>93.25817</v>
      </c>
      <c r="AB389" s="33" t="n">
        <f aca="false">INDEX(Premissas!$B$5:$B$13,MATCH(A389,Premissas!$A$5:$A$13,0))</f>
        <v>0.07</v>
      </c>
      <c r="AC389" s="32" t="n">
        <f aca="false">AA389/(1-AB389)-AA389</f>
        <v>7.01943215053764</v>
      </c>
      <c r="AD389" s="32" t="n">
        <f aca="false">ROUND(AA389+AC389,2)</f>
        <v>100.28</v>
      </c>
      <c r="AE389" s="32" t="n">
        <f aca="false">AD389-L389</f>
        <v>-7.69</v>
      </c>
      <c r="AF389" s="34" t="n">
        <f aca="false">IF(L389=0,0,AE389/L389)</f>
        <v>-0.0712234880059276</v>
      </c>
      <c r="AG389" s="22" t="str">
        <f aca="false">IF(AD389&lt;L389,"PASSARO","ATUAL")</f>
        <v>PASSARO</v>
      </c>
      <c r="AH389" s="22" t="str">
        <f aca="false">IF(P389&lt;&gt;A389,"Faixa cadastrada como "&amp;P389&amp;" na tabela; preço aplicado pela UF do CEP","")</f>
        <v/>
      </c>
      <c r="AI389" s="26" t="n">
        <v>116.81</v>
      </c>
      <c r="AJ389" s="22" t="str">
        <f aca="false">INDEX('Tabela Passaro'!$X$2:$X$1795,$N389)</f>
        <v>CAPITAL</v>
      </c>
    </row>
    <row r="390" customFormat="false" ht="15" hidden="false" customHeight="false" outlineLevel="0" collapsed="false">
      <c r="A390" s="22" t="s">
        <v>16</v>
      </c>
      <c r="B390" s="22" t="n">
        <v>1</v>
      </c>
      <c r="C390" s="22" t="s">
        <v>75</v>
      </c>
      <c r="D390" s="22" t="s">
        <v>30</v>
      </c>
      <c r="E390" s="22" t="s">
        <v>20</v>
      </c>
      <c r="F390" s="22" t="n">
        <v>840179</v>
      </c>
      <c r="G390" s="30" t="n">
        <v>46260</v>
      </c>
      <c r="H390" s="22" t="n">
        <v>32696</v>
      </c>
      <c r="I390" s="22" t="s">
        <v>7679</v>
      </c>
      <c r="J390" s="31" t="n">
        <v>61.3</v>
      </c>
      <c r="K390" s="26" t="n">
        <v>857.94</v>
      </c>
      <c r="L390" s="26" t="n">
        <v>162.36</v>
      </c>
      <c r="M390" s="22" t="s">
        <v>694</v>
      </c>
      <c r="N390" s="22" t="n">
        <f aca="false">MATCH(M390,'Tabela Passaro'!$A$2:$A$1795,0)</f>
        <v>106</v>
      </c>
      <c r="O390" s="22" t="str">
        <f aca="false">INDEX('Tabela Passaro'!$C$2:$C$1795,$N390)</f>
        <v>SALVADOR</v>
      </c>
      <c r="P390" s="22" t="str">
        <f aca="false">INDEX('Tabela Passaro'!$B$2:$B$1795,$N390)</f>
        <v>BA</v>
      </c>
      <c r="Q390" s="22" t="n">
        <f aca="false">INDEX('Tabela Passaro'!$F$2:$F$1795,$N390)</f>
        <v>6</v>
      </c>
      <c r="R390" s="32" t="n">
        <f aca="false">IF(J390&lt;=10,INDEX('Tabela Passaro'!$G$2:$G$1795,$N390),IF(J390&lt;=30,INDEX('Tabela Passaro'!$H$2:$H$1795,$N390),IF(J390&lt;=50,INDEX('Tabela Passaro'!$I$2:$I$1795,$N390),IF(J390&lt;=70,INDEX('Tabela Passaro'!$J$2:$J$1795,$N390),IF(J390&lt;=100,INDEX('Tabela Passaro'!$K$2:$K$1795,$N390),INDEX('Tabela Passaro'!$K$2:$K$1795,$N390)+(J390-100)*INDEX('Tabela Passaro'!$L$2:$L$1795,$N390))))))</f>
        <v>73.44</v>
      </c>
      <c r="S390" s="32" t="n">
        <f aca="false">K390*INDEX('Tabela Passaro'!$M$2:$M$1795,$N390)</f>
        <v>4.2897</v>
      </c>
      <c r="T390" s="32" t="n">
        <f aca="false">K390*INDEX('Tabela Passaro'!$N$2:$N$1795,$N390)</f>
        <v>1.71588</v>
      </c>
      <c r="U390" s="32" t="n">
        <f aca="false">INDEX('Tabela Passaro'!$O$2:$O$1795,$N390)</f>
        <v>5</v>
      </c>
      <c r="V390" s="32" t="n">
        <f aca="false">ROUNDUP(J390/INDEX('Tabela Passaro'!$Q$2:$Q$1795,$N390),0)*INDEX('Tabela Passaro'!$P$2:$P$1795,$N390)</f>
        <v>5</v>
      </c>
      <c r="W390" s="32" t="n">
        <f aca="false">INDEX('Tabela Passaro'!$R$2:$R$1795,$N390)</f>
        <v>30</v>
      </c>
      <c r="X390" s="32" t="n">
        <f aca="false">ROUNDUP(J390/INDEX('Tabela Passaro'!$T$2:$T$1795,$N390),0)*INDEX('Tabela Passaro'!$S$2:$S$1795,$N390)</f>
        <v>0</v>
      </c>
      <c r="Y390" s="32" t="n">
        <f aca="false">INDEX('Tabela Passaro'!$U$2:$U$1795,$N390)</f>
        <v>0</v>
      </c>
      <c r="Z390" s="32" t="n">
        <f aca="false">INDEX('Tabela Passaro'!$V$2:$V$1795,$N390)</f>
        <v>0</v>
      </c>
      <c r="AA390" s="32" t="n">
        <f aca="false">SUM(R390:Z390)</f>
        <v>119.44558</v>
      </c>
      <c r="AB390" s="33" t="n">
        <f aca="false">INDEX(Premissas!$B$5:$B$13,MATCH(A390,Premissas!$A$5:$A$13,0))</f>
        <v>0.07</v>
      </c>
      <c r="AC390" s="32" t="n">
        <f aca="false">AA390/(1-AB390)-AA390</f>
        <v>8.99052752688174</v>
      </c>
      <c r="AD390" s="32" t="n">
        <f aca="false">ROUND(AA390+AC390,2)</f>
        <v>128.44</v>
      </c>
      <c r="AE390" s="32" t="n">
        <f aca="false">AD390-L390</f>
        <v>-33.92</v>
      </c>
      <c r="AF390" s="34" t="n">
        <f aca="false">IF(L390=0,0,AE390/L390)</f>
        <v>-0.208918452820892</v>
      </c>
      <c r="AG390" s="22" t="str">
        <f aca="false">IF(AD390&lt;L390,"PASSARO","ATUAL")</f>
        <v>PASSARO</v>
      </c>
      <c r="AH390" s="22" t="str">
        <f aca="false">IF(P390&lt;&gt;A390,"Faixa cadastrada como "&amp;P390&amp;" na tabela; preço aplicado pela UF do CEP","")</f>
        <v/>
      </c>
      <c r="AI390" s="26" t="n">
        <v>166.54</v>
      </c>
      <c r="AJ390" s="22" t="str">
        <f aca="false">INDEX('Tabela Passaro'!$X$2:$X$1795,$N390)</f>
        <v>CAPITAL</v>
      </c>
    </row>
    <row r="391" customFormat="false" ht="15" hidden="false" customHeight="false" outlineLevel="0" collapsed="false">
      <c r="A391" s="22" t="s">
        <v>16</v>
      </c>
      <c r="B391" s="22" t="n">
        <v>1</v>
      </c>
      <c r="C391" s="22" t="s">
        <v>75</v>
      </c>
      <c r="D391" s="22" t="s">
        <v>30</v>
      </c>
      <c r="E391" s="22" t="s">
        <v>20</v>
      </c>
      <c r="F391" s="22" t="n">
        <v>840185</v>
      </c>
      <c r="G391" s="30" t="n">
        <v>46260</v>
      </c>
      <c r="H391" s="22" t="n">
        <v>32702</v>
      </c>
      <c r="I391" s="22" t="s">
        <v>7680</v>
      </c>
      <c r="J391" s="31" t="n">
        <v>51.06</v>
      </c>
      <c r="K391" s="26" t="n">
        <v>682.48</v>
      </c>
      <c r="L391" s="26" t="n">
        <v>160.8</v>
      </c>
      <c r="M391" s="22" t="s">
        <v>694</v>
      </c>
      <c r="N391" s="22" t="n">
        <f aca="false">MATCH(M391,'Tabela Passaro'!$A$2:$A$1795,0)</f>
        <v>106</v>
      </c>
      <c r="O391" s="22" t="str">
        <f aca="false">INDEX('Tabela Passaro'!$C$2:$C$1795,$N391)</f>
        <v>SALVADOR</v>
      </c>
      <c r="P391" s="22" t="str">
        <f aca="false">INDEX('Tabela Passaro'!$B$2:$B$1795,$N391)</f>
        <v>BA</v>
      </c>
      <c r="Q391" s="22" t="n">
        <f aca="false">INDEX('Tabela Passaro'!$F$2:$F$1795,$N391)</f>
        <v>6</v>
      </c>
      <c r="R391" s="32" t="n">
        <f aca="false">IF(J391&lt;=10,INDEX('Tabela Passaro'!$G$2:$G$1795,$N391),IF(J391&lt;=30,INDEX('Tabela Passaro'!$H$2:$H$1795,$N391),IF(J391&lt;=50,INDEX('Tabela Passaro'!$I$2:$I$1795,$N391),IF(J391&lt;=70,INDEX('Tabela Passaro'!$J$2:$J$1795,$N391),IF(J391&lt;=100,INDEX('Tabela Passaro'!$K$2:$K$1795,$N391),INDEX('Tabela Passaro'!$K$2:$K$1795,$N391)+(J391-100)*INDEX('Tabela Passaro'!$L$2:$L$1795,$N391))))))</f>
        <v>73.44</v>
      </c>
      <c r="S391" s="32" t="n">
        <f aca="false">K391*INDEX('Tabela Passaro'!$M$2:$M$1795,$N391)</f>
        <v>3.4124</v>
      </c>
      <c r="T391" s="32" t="n">
        <f aca="false">K391*INDEX('Tabela Passaro'!$N$2:$N$1795,$N391)</f>
        <v>1.36496</v>
      </c>
      <c r="U391" s="32" t="n">
        <f aca="false">INDEX('Tabela Passaro'!$O$2:$O$1795,$N391)</f>
        <v>5</v>
      </c>
      <c r="V391" s="32" t="n">
        <f aca="false">ROUNDUP(J391/INDEX('Tabela Passaro'!$Q$2:$Q$1795,$N391),0)*INDEX('Tabela Passaro'!$P$2:$P$1795,$N391)</f>
        <v>5</v>
      </c>
      <c r="W391" s="32" t="n">
        <f aca="false">INDEX('Tabela Passaro'!$R$2:$R$1795,$N391)</f>
        <v>30</v>
      </c>
      <c r="X391" s="32" t="n">
        <f aca="false">ROUNDUP(J391/INDEX('Tabela Passaro'!$T$2:$T$1795,$N391),0)*INDEX('Tabela Passaro'!$S$2:$S$1795,$N391)</f>
        <v>0</v>
      </c>
      <c r="Y391" s="32" t="n">
        <f aca="false">INDEX('Tabela Passaro'!$U$2:$U$1795,$N391)</f>
        <v>0</v>
      </c>
      <c r="Z391" s="32" t="n">
        <f aca="false">INDEX('Tabela Passaro'!$V$2:$V$1795,$N391)</f>
        <v>0</v>
      </c>
      <c r="AA391" s="32" t="n">
        <f aca="false">SUM(R391:Z391)</f>
        <v>118.21736</v>
      </c>
      <c r="AB391" s="33" t="n">
        <f aca="false">INDEX(Premissas!$B$5:$B$13,MATCH(A391,Premissas!$A$5:$A$13,0))</f>
        <v>0.07</v>
      </c>
      <c r="AC391" s="32" t="n">
        <f aca="false">AA391/(1-AB391)-AA391</f>
        <v>8.89808086021506</v>
      </c>
      <c r="AD391" s="32" t="n">
        <f aca="false">ROUND(AA391+AC391,2)</f>
        <v>127.12</v>
      </c>
      <c r="AE391" s="32" t="n">
        <f aca="false">AD391-L391</f>
        <v>-33.68</v>
      </c>
      <c r="AF391" s="34" t="n">
        <f aca="false">IF(L391=0,0,AE391/L391)</f>
        <v>-0.209452736318408</v>
      </c>
      <c r="AG391" s="22" t="str">
        <f aca="false">IF(AD391&lt;L391,"PASSARO","ATUAL")</f>
        <v>PASSARO</v>
      </c>
      <c r="AH391" s="22" t="str">
        <f aca="false">IF(P391&lt;&gt;A391,"Faixa cadastrada como "&amp;P391&amp;" na tabela; preço aplicado pela UF do CEP","")</f>
        <v/>
      </c>
      <c r="AI391" s="26" t="n">
        <v>160</v>
      </c>
      <c r="AJ391" s="22" t="str">
        <f aca="false">INDEX('Tabela Passaro'!$X$2:$X$1795,$N391)</f>
        <v>CAPITAL</v>
      </c>
    </row>
    <row r="392" customFormat="false" ht="15" hidden="false" customHeight="false" outlineLevel="0" collapsed="false">
      <c r="A392" s="22" t="s">
        <v>16</v>
      </c>
      <c r="B392" s="22" t="n">
        <v>1</v>
      </c>
      <c r="C392" s="22" t="s">
        <v>75</v>
      </c>
      <c r="D392" s="22" t="s">
        <v>30</v>
      </c>
      <c r="E392" s="22" t="s">
        <v>20</v>
      </c>
      <c r="F392" s="22" t="n">
        <v>840187</v>
      </c>
      <c r="G392" s="30" t="n">
        <v>46260</v>
      </c>
      <c r="H392" s="22" t="n">
        <v>32718</v>
      </c>
      <c r="I392" s="22" t="s">
        <v>7681</v>
      </c>
      <c r="J392" s="31" t="n">
        <v>19.4</v>
      </c>
      <c r="K392" s="26" t="n">
        <v>510.98</v>
      </c>
      <c r="L392" s="26" t="n">
        <v>108.9</v>
      </c>
      <c r="M392" s="22" t="s">
        <v>694</v>
      </c>
      <c r="N392" s="22" t="n">
        <f aca="false">MATCH(M392,'Tabela Passaro'!$A$2:$A$1795,0)</f>
        <v>106</v>
      </c>
      <c r="O392" s="22" t="str">
        <f aca="false">INDEX('Tabela Passaro'!$C$2:$C$1795,$N392)</f>
        <v>SALVADOR</v>
      </c>
      <c r="P392" s="22" t="str">
        <f aca="false">INDEX('Tabela Passaro'!$B$2:$B$1795,$N392)</f>
        <v>BA</v>
      </c>
      <c r="Q392" s="22" t="n">
        <f aca="false">INDEX('Tabela Passaro'!$F$2:$F$1795,$N392)</f>
        <v>6</v>
      </c>
      <c r="R392" s="32" t="n">
        <f aca="false">IF(J392&lt;=10,INDEX('Tabela Passaro'!$G$2:$G$1795,$N392),IF(J392&lt;=30,INDEX('Tabela Passaro'!$H$2:$H$1795,$N392),IF(J392&lt;=50,INDEX('Tabela Passaro'!$I$2:$I$1795,$N392),IF(J392&lt;=70,INDEX('Tabela Passaro'!$J$2:$J$1795,$N392),IF(J392&lt;=100,INDEX('Tabela Passaro'!$K$2:$K$1795,$N392),INDEX('Tabela Passaro'!$K$2:$K$1795,$N392)+(J392-100)*INDEX('Tabela Passaro'!$L$2:$L$1795,$N392))))))</f>
        <v>50.4</v>
      </c>
      <c r="S392" s="32" t="n">
        <f aca="false">K392*INDEX('Tabela Passaro'!$M$2:$M$1795,$N392)</f>
        <v>2.5549</v>
      </c>
      <c r="T392" s="32" t="n">
        <f aca="false">K392*INDEX('Tabela Passaro'!$N$2:$N$1795,$N392)</f>
        <v>1.02196</v>
      </c>
      <c r="U392" s="32" t="n">
        <f aca="false">INDEX('Tabela Passaro'!$O$2:$O$1795,$N392)</f>
        <v>5</v>
      </c>
      <c r="V392" s="32" t="n">
        <f aca="false">ROUNDUP(J392/INDEX('Tabela Passaro'!$Q$2:$Q$1795,$N392),0)*INDEX('Tabela Passaro'!$P$2:$P$1795,$N392)</f>
        <v>5</v>
      </c>
      <c r="W392" s="32" t="n">
        <f aca="false">INDEX('Tabela Passaro'!$R$2:$R$1795,$N392)</f>
        <v>30</v>
      </c>
      <c r="X392" s="32" t="n">
        <f aca="false">ROUNDUP(J392/INDEX('Tabela Passaro'!$T$2:$T$1795,$N392),0)*INDEX('Tabela Passaro'!$S$2:$S$1795,$N392)</f>
        <v>0</v>
      </c>
      <c r="Y392" s="32" t="n">
        <f aca="false">INDEX('Tabela Passaro'!$U$2:$U$1795,$N392)</f>
        <v>0</v>
      </c>
      <c r="Z392" s="32" t="n">
        <f aca="false">INDEX('Tabela Passaro'!$V$2:$V$1795,$N392)</f>
        <v>0</v>
      </c>
      <c r="AA392" s="32" t="n">
        <f aca="false">SUM(R392:Z392)</f>
        <v>93.97686</v>
      </c>
      <c r="AB392" s="33" t="n">
        <f aca="false">INDEX(Premissas!$B$5:$B$13,MATCH(A392,Premissas!$A$5:$A$13,0))</f>
        <v>0.07</v>
      </c>
      <c r="AC392" s="32" t="n">
        <f aca="false">AA392/(1-AB392)-AA392</f>
        <v>7.0735270967742</v>
      </c>
      <c r="AD392" s="32" t="n">
        <f aca="false">ROUND(AA392+AC392,2)</f>
        <v>101.05</v>
      </c>
      <c r="AE392" s="32" t="n">
        <f aca="false">AD392-L392</f>
        <v>-7.85000000000001</v>
      </c>
      <c r="AF392" s="34" t="n">
        <f aca="false">IF(L392=0,0,AE392/L392)</f>
        <v>-0.0720844811753904</v>
      </c>
      <c r="AG392" s="22" t="str">
        <f aca="false">IF(AD392&lt;L392,"PASSARO","ATUAL")</f>
        <v>PASSARO</v>
      </c>
      <c r="AH392" s="22" t="str">
        <f aca="false">IF(P392&lt;&gt;A392,"Faixa cadastrada como "&amp;P392&amp;" na tabela; preço aplicado pela UF do CEP","")</f>
        <v/>
      </c>
      <c r="AI392" s="26" t="n">
        <v>117.81</v>
      </c>
      <c r="AJ392" s="22" t="str">
        <f aca="false">INDEX('Tabela Passaro'!$X$2:$X$1795,$N392)</f>
        <v>CAPITAL</v>
      </c>
    </row>
    <row r="393" customFormat="false" ht="15" hidden="false" customHeight="false" outlineLevel="0" collapsed="false">
      <c r="A393" s="22" t="s">
        <v>16</v>
      </c>
      <c r="B393" s="22" t="n">
        <v>1</v>
      </c>
      <c r="C393" s="22" t="s">
        <v>75</v>
      </c>
      <c r="D393" s="22" t="s">
        <v>30</v>
      </c>
      <c r="E393" s="22" t="s">
        <v>20</v>
      </c>
      <c r="F393" s="22" t="n">
        <v>840197</v>
      </c>
      <c r="G393" s="30" t="n">
        <v>46260</v>
      </c>
      <c r="H393" s="22" t="n">
        <v>32722</v>
      </c>
      <c r="I393" s="22" t="s">
        <v>7682</v>
      </c>
      <c r="J393" s="31" t="n">
        <v>39</v>
      </c>
      <c r="K393" s="26" t="n">
        <v>684.08</v>
      </c>
      <c r="L393" s="26" t="n">
        <v>141.63</v>
      </c>
      <c r="M393" s="22" t="s">
        <v>694</v>
      </c>
      <c r="N393" s="22" t="n">
        <f aca="false">MATCH(M393,'Tabela Passaro'!$A$2:$A$1795,0)</f>
        <v>106</v>
      </c>
      <c r="O393" s="22" t="str">
        <f aca="false">INDEX('Tabela Passaro'!$C$2:$C$1795,$N393)</f>
        <v>SALVADOR</v>
      </c>
      <c r="P393" s="22" t="str">
        <f aca="false">INDEX('Tabela Passaro'!$B$2:$B$1795,$N393)</f>
        <v>BA</v>
      </c>
      <c r="Q393" s="22" t="n">
        <f aca="false">INDEX('Tabela Passaro'!$F$2:$F$1795,$N393)</f>
        <v>6</v>
      </c>
      <c r="R393" s="32" t="n">
        <f aca="false">IF(J393&lt;=10,INDEX('Tabela Passaro'!$G$2:$G$1795,$N393),IF(J393&lt;=30,INDEX('Tabela Passaro'!$H$2:$H$1795,$N393),IF(J393&lt;=50,INDEX('Tabela Passaro'!$I$2:$I$1795,$N393),IF(J393&lt;=70,INDEX('Tabela Passaro'!$J$2:$J$1795,$N393),IF(J393&lt;=100,INDEX('Tabela Passaro'!$K$2:$K$1795,$N393),INDEX('Tabela Passaro'!$K$2:$K$1795,$N393)+(J393-100)*INDEX('Tabela Passaro'!$L$2:$L$1795,$N393))))))</f>
        <v>61.92</v>
      </c>
      <c r="S393" s="32" t="n">
        <f aca="false">K393*INDEX('Tabela Passaro'!$M$2:$M$1795,$N393)</f>
        <v>3.4204</v>
      </c>
      <c r="T393" s="32" t="n">
        <f aca="false">K393*INDEX('Tabela Passaro'!$N$2:$N$1795,$N393)</f>
        <v>1.36816</v>
      </c>
      <c r="U393" s="32" t="n">
        <f aca="false">INDEX('Tabela Passaro'!$O$2:$O$1795,$N393)</f>
        <v>5</v>
      </c>
      <c r="V393" s="32" t="n">
        <f aca="false">ROUNDUP(J393/INDEX('Tabela Passaro'!$Q$2:$Q$1795,$N393),0)*INDEX('Tabela Passaro'!$P$2:$P$1795,$N393)</f>
        <v>5</v>
      </c>
      <c r="W393" s="32" t="n">
        <f aca="false">INDEX('Tabela Passaro'!$R$2:$R$1795,$N393)</f>
        <v>30</v>
      </c>
      <c r="X393" s="32" t="n">
        <f aca="false">ROUNDUP(J393/INDEX('Tabela Passaro'!$T$2:$T$1795,$N393),0)*INDEX('Tabela Passaro'!$S$2:$S$1795,$N393)</f>
        <v>0</v>
      </c>
      <c r="Y393" s="32" t="n">
        <f aca="false">INDEX('Tabela Passaro'!$U$2:$U$1795,$N393)</f>
        <v>0</v>
      </c>
      <c r="Z393" s="32" t="n">
        <f aca="false">INDEX('Tabela Passaro'!$V$2:$V$1795,$N393)</f>
        <v>0</v>
      </c>
      <c r="AA393" s="32" t="n">
        <f aca="false">SUM(R393:Z393)</f>
        <v>106.70856</v>
      </c>
      <c r="AB393" s="33" t="n">
        <f aca="false">INDEX(Premissas!$B$5:$B$13,MATCH(A393,Premissas!$A$5:$A$13,0))</f>
        <v>0.07</v>
      </c>
      <c r="AC393" s="32" t="n">
        <f aca="false">AA393/(1-AB393)-AA393</f>
        <v>8.03182709677421</v>
      </c>
      <c r="AD393" s="32" t="n">
        <f aca="false">ROUND(AA393+AC393,2)</f>
        <v>114.74</v>
      </c>
      <c r="AE393" s="32" t="n">
        <f aca="false">AD393-L393</f>
        <v>-26.89</v>
      </c>
      <c r="AF393" s="34" t="n">
        <f aca="false">IF(L393=0,0,AE393/L393)</f>
        <v>-0.189860905175457</v>
      </c>
      <c r="AG393" s="22" t="str">
        <f aca="false">IF(AD393&lt;L393,"PASSARO","ATUAL")</f>
        <v>PASSARO</v>
      </c>
      <c r="AH393" s="22" t="str">
        <f aca="false">IF(P393&lt;&gt;A393,"Faixa cadastrada como "&amp;P393&amp;" na tabela; preço aplicado pela UF do CEP","")</f>
        <v/>
      </c>
      <c r="AI393" s="26" t="n">
        <v>141.2</v>
      </c>
      <c r="AJ393" s="22" t="str">
        <f aca="false">INDEX('Tabela Passaro'!$X$2:$X$1795,$N393)</f>
        <v>CAPITAL</v>
      </c>
    </row>
    <row r="394" customFormat="false" ht="15" hidden="false" customHeight="false" outlineLevel="0" collapsed="false">
      <c r="A394" s="22" t="s">
        <v>16</v>
      </c>
      <c r="B394" s="22" t="n">
        <v>1</v>
      </c>
      <c r="C394" s="22" t="s">
        <v>75</v>
      </c>
      <c r="D394" s="22" t="s">
        <v>30</v>
      </c>
      <c r="E394" s="22" t="s">
        <v>7328</v>
      </c>
      <c r="F394" s="22" t="n">
        <v>2316532</v>
      </c>
      <c r="G394" s="30" t="n">
        <v>46260</v>
      </c>
      <c r="H394" s="22" t="n">
        <v>135539</v>
      </c>
      <c r="I394" s="22" t="s">
        <v>7683</v>
      </c>
      <c r="J394" s="31" t="n">
        <v>39.9</v>
      </c>
      <c r="K394" s="26" t="n">
        <v>633.48</v>
      </c>
      <c r="L394" s="26" t="n">
        <v>143.22</v>
      </c>
      <c r="M394" s="22" t="s">
        <v>694</v>
      </c>
      <c r="N394" s="22" t="n">
        <f aca="false">MATCH(M394,'Tabela Passaro'!$A$2:$A$1795,0)</f>
        <v>106</v>
      </c>
      <c r="O394" s="22" t="str">
        <f aca="false">INDEX('Tabela Passaro'!$C$2:$C$1795,$N394)</f>
        <v>SALVADOR</v>
      </c>
      <c r="P394" s="22" t="str">
        <f aca="false">INDEX('Tabela Passaro'!$B$2:$B$1795,$N394)</f>
        <v>BA</v>
      </c>
      <c r="Q394" s="22" t="n">
        <f aca="false">INDEX('Tabela Passaro'!$F$2:$F$1795,$N394)</f>
        <v>6</v>
      </c>
      <c r="R394" s="32" t="n">
        <f aca="false">IF(J394&lt;=10,INDEX('Tabela Passaro'!$G$2:$G$1795,$N394),IF(J394&lt;=30,INDEX('Tabela Passaro'!$H$2:$H$1795,$N394),IF(J394&lt;=50,INDEX('Tabela Passaro'!$I$2:$I$1795,$N394),IF(J394&lt;=70,INDEX('Tabela Passaro'!$J$2:$J$1795,$N394),IF(J394&lt;=100,INDEX('Tabela Passaro'!$K$2:$K$1795,$N394),INDEX('Tabela Passaro'!$K$2:$K$1795,$N394)+(J394-100)*INDEX('Tabela Passaro'!$L$2:$L$1795,$N394))))))</f>
        <v>61.92</v>
      </c>
      <c r="S394" s="32" t="n">
        <f aca="false">K394*INDEX('Tabela Passaro'!$M$2:$M$1795,$N394)</f>
        <v>3.1674</v>
      </c>
      <c r="T394" s="32" t="n">
        <f aca="false">K394*INDEX('Tabela Passaro'!$N$2:$N$1795,$N394)</f>
        <v>1.26696</v>
      </c>
      <c r="U394" s="32" t="n">
        <f aca="false">INDEX('Tabela Passaro'!$O$2:$O$1795,$N394)</f>
        <v>5</v>
      </c>
      <c r="V394" s="32" t="n">
        <f aca="false">ROUNDUP(J394/INDEX('Tabela Passaro'!$Q$2:$Q$1795,$N394),0)*INDEX('Tabela Passaro'!$P$2:$P$1795,$N394)</f>
        <v>5</v>
      </c>
      <c r="W394" s="32" t="n">
        <f aca="false">INDEX('Tabela Passaro'!$R$2:$R$1795,$N394)</f>
        <v>30</v>
      </c>
      <c r="X394" s="32" t="n">
        <f aca="false">ROUNDUP(J394/INDEX('Tabela Passaro'!$T$2:$T$1795,$N394),0)*INDEX('Tabela Passaro'!$S$2:$S$1795,$N394)</f>
        <v>0</v>
      </c>
      <c r="Y394" s="32" t="n">
        <f aca="false">INDEX('Tabela Passaro'!$U$2:$U$1795,$N394)</f>
        <v>0</v>
      </c>
      <c r="Z394" s="32" t="n">
        <f aca="false">INDEX('Tabela Passaro'!$V$2:$V$1795,$N394)</f>
        <v>0</v>
      </c>
      <c r="AA394" s="32" t="n">
        <f aca="false">SUM(R394:Z394)</f>
        <v>106.35436</v>
      </c>
      <c r="AB394" s="33" t="n">
        <f aca="false">INDEX(Premissas!$B$5:$B$13,MATCH(A394,Premissas!$A$5:$A$13,0))</f>
        <v>0.07</v>
      </c>
      <c r="AC394" s="32" t="n">
        <f aca="false">AA394/(1-AB394)-AA394</f>
        <v>8.00516688172044</v>
      </c>
      <c r="AD394" s="32" t="n">
        <f aca="false">ROUND(AA394+AC394,2)</f>
        <v>114.36</v>
      </c>
      <c r="AE394" s="32" t="n">
        <f aca="false">AD394-L394</f>
        <v>-28.86</v>
      </c>
      <c r="AF394" s="34" t="n">
        <f aca="false">IF(L394=0,0,AE394/L394)</f>
        <v>-0.201508169250105</v>
      </c>
      <c r="AG394" s="22" t="str">
        <f aca="false">IF(AD394&lt;L394,"PASSARO","ATUAL")</f>
        <v>PASSARO</v>
      </c>
      <c r="AH394" s="22" t="str">
        <f aca="false">IF(P394&lt;&gt;A394,"Faixa cadastrada como "&amp;P394&amp;" na tabela; preço aplicado pela UF do CEP","")</f>
        <v/>
      </c>
      <c r="AI394" s="26" t="n">
        <v>141.19</v>
      </c>
      <c r="AJ394" s="22" t="str">
        <f aca="false">INDEX('Tabela Passaro'!$X$2:$X$1795,$N394)</f>
        <v>CAPITAL</v>
      </c>
    </row>
    <row r="395" customFormat="false" ht="15" hidden="false" customHeight="false" outlineLevel="0" collapsed="false">
      <c r="A395" s="22" t="s">
        <v>16</v>
      </c>
      <c r="B395" s="22" t="n">
        <v>1</v>
      </c>
      <c r="C395" s="22" t="s">
        <v>75</v>
      </c>
      <c r="D395" s="22" t="s">
        <v>30</v>
      </c>
      <c r="E395" s="22" t="s">
        <v>7328</v>
      </c>
      <c r="F395" s="22" t="n">
        <v>2316533</v>
      </c>
      <c r="G395" s="30" t="n">
        <v>46260</v>
      </c>
      <c r="H395" s="22" t="n">
        <v>135542</v>
      </c>
      <c r="I395" s="22" t="s">
        <v>7684</v>
      </c>
      <c r="J395" s="31" t="n">
        <v>35.2</v>
      </c>
      <c r="K395" s="26" t="n">
        <v>562.92</v>
      </c>
      <c r="L395" s="26" t="n">
        <v>142.66</v>
      </c>
      <c r="M395" s="22" t="s">
        <v>694</v>
      </c>
      <c r="N395" s="22" t="n">
        <f aca="false">MATCH(M395,'Tabela Passaro'!$A$2:$A$1795,0)</f>
        <v>106</v>
      </c>
      <c r="O395" s="22" t="str">
        <f aca="false">INDEX('Tabela Passaro'!$C$2:$C$1795,$N395)</f>
        <v>SALVADOR</v>
      </c>
      <c r="P395" s="22" t="str">
        <f aca="false">INDEX('Tabela Passaro'!$B$2:$B$1795,$N395)</f>
        <v>BA</v>
      </c>
      <c r="Q395" s="22" t="n">
        <f aca="false">INDEX('Tabela Passaro'!$F$2:$F$1795,$N395)</f>
        <v>6</v>
      </c>
      <c r="R395" s="32" t="n">
        <f aca="false">IF(J395&lt;=10,INDEX('Tabela Passaro'!$G$2:$G$1795,$N395),IF(J395&lt;=30,INDEX('Tabela Passaro'!$H$2:$H$1795,$N395),IF(J395&lt;=50,INDEX('Tabela Passaro'!$I$2:$I$1795,$N395),IF(J395&lt;=70,INDEX('Tabela Passaro'!$J$2:$J$1795,$N395),IF(J395&lt;=100,INDEX('Tabela Passaro'!$K$2:$K$1795,$N395),INDEX('Tabela Passaro'!$K$2:$K$1795,$N395)+(J395-100)*INDEX('Tabela Passaro'!$L$2:$L$1795,$N395))))))</f>
        <v>61.92</v>
      </c>
      <c r="S395" s="32" t="n">
        <f aca="false">K395*INDEX('Tabela Passaro'!$M$2:$M$1795,$N395)</f>
        <v>2.8146</v>
      </c>
      <c r="T395" s="32" t="n">
        <f aca="false">K395*INDEX('Tabela Passaro'!$N$2:$N$1795,$N395)</f>
        <v>1.12584</v>
      </c>
      <c r="U395" s="32" t="n">
        <f aca="false">INDEX('Tabela Passaro'!$O$2:$O$1795,$N395)</f>
        <v>5</v>
      </c>
      <c r="V395" s="32" t="n">
        <f aca="false">ROUNDUP(J395/INDEX('Tabela Passaro'!$Q$2:$Q$1795,$N395),0)*INDEX('Tabela Passaro'!$P$2:$P$1795,$N395)</f>
        <v>5</v>
      </c>
      <c r="W395" s="32" t="n">
        <f aca="false">INDEX('Tabela Passaro'!$R$2:$R$1795,$N395)</f>
        <v>30</v>
      </c>
      <c r="X395" s="32" t="n">
        <f aca="false">ROUNDUP(J395/INDEX('Tabela Passaro'!$T$2:$T$1795,$N395),0)*INDEX('Tabela Passaro'!$S$2:$S$1795,$N395)</f>
        <v>0</v>
      </c>
      <c r="Y395" s="32" t="n">
        <f aca="false">INDEX('Tabela Passaro'!$U$2:$U$1795,$N395)</f>
        <v>0</v>
      </c>
      <c r="Z395" s="32" t="n">
        <f aca="false">INDEX('Tabela Passaro'!$V$2:$V$1795,$N395)</f>
        <v>0</v>
      </c>
      <c r="AA395" s="32" t="n">
        <f aca="false">SUM(R395:Z395)</f>
        <v>105.86044</v>
      </c>
      <c r="AB395" s="33" t="n">
        <f aca="false">INDEX(Premissas!$B$5:$B$13,MATCH(A395,Premissas!$A$5:$A$13,0))</f>
        <v>0.07</v>
      </c>
      <c r="AC395" s="32" t="n">
        <f aca="false">AA395/(1-AB395)-AA395</f>
        <v>7.96799010752689</v>
      </c>
      <c r="AD395" s="32" t="n">
        <f aca="false">ROUND(AA395+AC395,2)</f>
        <v>113.83</v>
      </c>
      <c r="AE395" s="32" t="n">
        <f aca="false">AD395-L395</f>
        <v>-28.83</v>
      </c>
      <c r="AF395" s="34" t="n">
        <f aca="false">IF(L395=0,0,AE395/L395)</f>
        <v>-0.202088882658068</v>
      </c>
      <c r="AG395" s="22" t="str">
        <f aca="false">IF(AD395&lt;L395,"PASSARO","ATUAL")</f>
        <v>PASSARO</v>
      </c>
      <c r="AH395" s="22" t="str">
        <f aca="false">IF(P395&lt;&gt;A395,"Faixa cadastrada como "&amp;P395&amp;" na tabela; preço aplicado pela UF do CEP","")</f>
        <v/>
      </c>
      <c r="AI395" s="26" t="n">
        <v>138.58</v>
      </c>
      <c r="AJ395" s="22" t="str">
        <f aca="false">INDEX('Tabela Passaro'!$X$2:$X$1795,$N395)</f>
        <v>CAPITAL</v>
      </c>
    </row>
    <row r="396" customFormat="false" ht="15" hidden="false" customHeight="false" outlineLevel="0" collapsed="false">
      <c r="A396" s="22" t="s">
        <v>16</v>
      </c>
      <c r="B396" s="22" t="n">
        <v>1</v>
      </c>
      <c r="C396" s="22" t="s">
        <v>75</v>
      </c>
      <c r="D396" s="22" t="s">
        <v>30</v>
      </c>
      <c r="E396" s="22" t="s">
        <v>7328</v>
      </c>
      <c r="F396" s="22" t="n">
        <v>2316539</v>
      </c>
      <c r="G396" s="30" t="n">
        <v>46260</v>
      </c>
      <c r="H396" s="22" t="n">
        <v>135545</v>
      </c>
      <c r="I396" s="22" t="s">
        <v>7685</v>
      </c>
      <c r="J396" s="31" t="n">
        <v>46.8</v>
      </c>
      <c r="K396" s="26" t="n">
        <v>526.03</v>
      </c>
      <c r="L396" s="26" t="n">
        <v>142.37</v>
      </c>
      <c r="M396" s="22" t="s">
        <v>694</v>
      </c>
      <c r="N396" s="22" t="n">
        <f aca="false">MATCH(M396,'Tabela Passaro'!$A$2:$A$1795,0)</f>
        <v>106</v>
      </c>
      <c r="O396" s="22" t="str">
        <f aca="false">INDEX('Tabela Passaro'!$C$2:$C$1795,$N396)</f>
        <v>SALVADOR</v>
      </c>
      <c r="P396" s="22" t="str">
        <f aca="false">INDEX('Tabela Passaro'!$B$2:$B$1795,$N396)</f>
        <v>BA</v>
      </c>
      <c r="Q396" s="22" t="n">
        <f aca="false">INDEX('Tabela Passaro'!$F$2:$F$1795,$N396)</f>
        <v>6</v>
      </c>
      <c r="R396" s="32" t="n">
        <f aca="false">IF(J396&lt;=10,INDEX('Tabela Passaro'!$G$2:$G$1795,$N396),IF(J396&lt;=30,INDEX('Tabela Passaro'!$H$2:$H$1795,$N396),IF(J396&lt;=50,INDEX('Tabela Passaro'!$I$2:$I$1795,$N396),IF(J396&lt;=70,INDEX('Tabela Passaro'!$J$2:$J$1795,$N396),IF(J396&lt;=100,INDEX('Tabela Passaro'!$K$2:$K$1795,$N396),INDEX('Tabela Passaro'!$K$2:$K$1795,$N396)+(J396-100)*INDEX('Tabela Passaro'!$L$2:$L$1795,$N396))))))</f>
        <v>61.92</v>
      </c>
      <c r="S396" s="32" t="n">
        <f aca="false">K396*INDEX('Tabela Passaro'!$M$2:$M$1795,$N396)</f>
        <v>2.63015</v>
      </c>
      <c r="T396" s="32" t="n">
        <f aca="false">K396*INDEX('Tabela Passaro'!$N$2:$N$1795,$N396)</f>
        <v>1.05206</v>
      </c>
      <c r="U396" s="32" t="n">
        <f aca="false">INDEX('Tabela Passaro'!$O$2:$O$1795,$N396)</f>
        <v>5</v>
      </c>
      <c r="V396" s="32" t="n">
        <f aca="false">ROUNDUP(J396/INDEX('Tabela Passaro'!$Q$2:$Q$1795,$N396),0)*INDEX('Tabela Passaro'!$P$2:$P$1795,$N396)</f>
        <v>5</v>
      </c>
      <c r="W396" s="32" t="n">
        <f aca="false">INDEX('Tabela Passaro'!$R$2:$R$1795,$N396)</f>
        <v>30</v>
      </c>
      <c r="X396" s="32" t="n">
        <f aca="false">ROUNDUP(J396/INDEX('Tabela Passaro'!$T$2:$T$1795,$N396),0)*INDEX('Tabela Passaro'!$S$2:$S$1795,$N396)</f>
        <v>0</v>
      </c>
      <c r="Y396" s="32" t="n">
        <f aca="false">INDEX('Tabela Passaro'!$U$2:$U$1795,$N396)</f>
        <v>0</v>
      </c>
      <c r="Z396" s="32" t="n">
        <f aca="false">INDEX('Tabela Passaro'!$V$2:$V$1795,$N396)</f>
        <v>0</v>
      </c>
      <c r="AA396" s="32" t="n">
        <f aca="false">SUM(R396:Z396)</f>
        <v>105.60221</v>
      </c>
      <c r="AB396" s="33" t="n">
        <f aca="false">INDEX(Premissas!$B$5:$B$13,MATCH(A396,Premissas!$A$5:$A$13,0))</f>
        <v>0.07</v>
      </c>
      <c r="AC396" s="32" t="n">
        <f aca="false">AA396/(1-AB396)-AA396</f>
        <v>7.94855344086022</v>
      </c>
      <c r="AD396" s="32" t="n">
        <f aca="false">ROUND(AA396+AC396,2)</f>
        <v>113.55</v>
      </c>
      <c r="AE396" s="32" t="n">
        <f aca="false">AD396-L396</f>
        <v>-28.82</v>
      </c>
      <c r="AF396" s="34" t="n">
        <f aca="false">IF(L396=0,0,AE396/L396)</f>
        <v>-0.202430287279624</v>
      </c>
      <c r="AG396" s="22" t="str">
        <f aca="false">IF(AD396&lt;L396,"PASSARO","ATUAL")</f>
        <v>PASSARO</v>
      </c>
      <c r="AH396" s="22" t="str">
        <f aca="false">IF(P396&lt;&gt;A396,"Faixa cadastrada como "&amp;P396&amp;" na tabela; preço aplicado pela UF do CEP","")</f>
        <v/>
      </c>
      <c r="AI396" s="26" t="n">
        <v>143.54</v>
      </c>
      <c r="AJ396" s="22" t="str">
        <f aca="false">INDEX('Tabela Passaro'!$X$2:$X$1795,$N396)</f>
        <v>CAPITAL</v>
      </c>
    </row>
    <row r="397" customFormat="false" ht="15" hidden="false" customHeight="false" outlineLevel="0" collapsed="false">
      <c r="A397" s="22" t="s">
        <v>16</v>
      </c>
      <c r="B397" s="22" t="n">
        <v>1</v>
      </c>
      <c r="C397" s="22" t="s">
        <v>75</v>
      </c>
      <c r="D397" s="22" t="s">
        <v>30</v>
      </c>
      <c r="E397" s="22" t="s">
        <v>7328</v>
      </c>
      <c r="F397" s="22" t="n">
        <v>2316596</v>
      </c>
      <c r="G397" s="30" t="n">
        <v>46260</v>
      </c>
      <c r="H397" s="22" t="n">
        <v>135861</v>
      </c>
      <c r="I397" s="22" t="s">
        <v>7686</v>
      </c>
      <c r="J397" s="31" t="n">
        <v>23.4</v>
      </c>
      <c r="K397" s="26" t="n">
        <v>515.96</v>
      </c>
      <c r="L397" s="26" t="n">
        <v>111.69</v>
      </c>
      <c r="M397" s="22" t="s">
        <v>694</v>
      </c>
      <c r="N397" s="22" t="n">
        <f aca="false">MATCH(M397,'Tabela Passaro'!$A$2:$A$1795,0)</f>
        <v>106</v>
      </c>
      <c r="O397" s="22" t="str">
        <f aca="false">INDEX('Tabela Passaro'!$C$2:$C$1795,$N397)</f>
        <v>SALVADOR</v>
      </c>
      <c r="P397" s="22" t="str">
        <f aca="false">INDEX('Tabela Passaro'!$B$2:$B$1795,$N397)</f>
        <v>BA</v>
      </c>
      <c r="Q397" s="22" t="n">
        <f aca="false">INDEX('Tabela Passaro'!$F$2:$F$1795,$N397)</f>
        <v>6</v>
      </c>
      <c r="R397" s="32" t="n">
        <f aca="false">IF(J397&lt;=10,INDEX('Tabela Passaro'!$G$2:$G$1795,$N397),IF(J397&lt;=30,INDEX('Tabela Passaro'!$H$2:$H$1795,$N397),IF(J397&lt;=50,INDEX('Tabela Passaro'!$I$2:$I$1795,$N397),IF(J397&lt;=70,INDEX('Tabela Passaro'!$J$2:$J$1795,$N397),IF(J397&lt;=100,INDEX('Tabela Passaro'!$K$2:$K$1795,$N397),INDEX('Tabela Passaro'!$K$2:$K$1795,$N397)+(J397-100)*INDEX('Tabela Passaro'!$L$2:$L$1795,$N397))))))</f>
        <v>50.4</v>
      </c>
      <c r="S397" s="32" t="n">
        <f aca="false">K397*INDEX('Tabela Passaro'!$M$2:$M$1795,$N397)</f>
        <v>2.5798</v>
      </c>
      <c r="T397" s="32" t="n">
        <f aca="false">K397*INDEX('Tabela Passaro'!$N$2:$N$1795,$N397)</f>
        <v>1.03192</v>
      </c>
      <c r="U397" s="32" t="n">
        <f aca="false">INDEX('Tabela Passaro'!$O$2:$O$1795,$N397)</f>
        <v>5</v>
      </c>
      <c r="V397" s="32" t="n">
        <f aca="false">ROUNDUP(J397/INDEX('Tabela Passaro'!$Q$2:$Q$1795,$N397),0)*INDEX('Tabela Passaro'!$P$2:$P$1795,$N397)</f>
        <v>5</v>
      </c>
      <c r="W397" s="32" t="n">
        <f aca="false">INDEX('Tabela Passaro'!$R$2:$R$1795,$N397)</f>
        <v>30</v>
      </c>
      <c r="X397" s="32" t="n">
        <f aca="false">ROUNDUP(J397/INDEX('Tabela Passaro'!$T$2:$T$1795,$N397),0)*INDEX('Tabela Passaro'!$S$2:$S$1795,$N397)</f>
        <v>0</v>
      </c>
      <c r="Y397" s="32" t="n">
        <f aca="false">INDEX('Tabela Passaro'!$U$2:$U$1795,$N397)</f>
        <v>0</v>
      </c>
      <c r="Z397" s="32" t="n">
        <f aca="false">INDEX('Tabela Passaro'!$V$2:$V$1795,$N397)</f>
        <v>0</v>
      </c>
      <c r="AA397" s="32" t="n">
        <f aca="false">SUM(R397:Z397)</f>
        <v>94.01172</v>
      </c>
      <c r="AB397" s="33" t="n">
        <f aca="false">INDEX(Premissas!$B$5:$B$13,MATCH(A397,Premissas!$A$5:$A$13,0))</f>
        <v>0.07</v>
      </c>
      <c r="AC397" s="32" t="n">
        <f aca="false">AA397/(1-AB397)-AA397</f>
        <v>7.07615096774194</v>
      </c>
      <c r="AD397" s="32" t="n">
        <f aca="false">ROUND(AA397+AC397,2)</f>
        <v>101.09</v>
      </c>
      <c r="AE397" s="32" t="n">
        <f aca="false">AD397-L397</f>
        <v>-10.6</v>
      </c>
      <c r="AF397" s="34" t="n">
        <f aca="false">IF(L397=0,0,AE397/L397)</f>
        <v>-0.094905542125526</v>
      </c>
      <c r="AG397" s="22" t="str">
        <f aca="false">IF(AD397&lt;L397,"PASSARO","ATUAL")</f>
        <v>PASSARO</v>
      </c>
      <c r="AH397" s="22" t="str">
        <f aca="false">IF(P397&lt;&gt;A397,"Faixa cadastrada como "&amp;P397&amp;" na tabela; preço aplicado pela UF do CEP","")</f>
        <v/>
      </c>
      <c r="AI397" s="26" t="n">
        <v>119.79</v>
      </c>
      <c r="AJ397" s="22" t="str">
        <f aca="false">INDEX('Tabela Passaro'!$X$2:$X$1795,$N397)</f>
        <v>CAPITAL</v>
      </c>
    </row>
    <row r="398" customFormat="false" ht="15" hidden="false" customHeight="false" outlineLevel="0" collapsed="false">
      <c r="A398" s="22" t="s">
        <v>16</v>
      </c>
      <c r="B398" s="22" t="n">
        <v>1</v>
      </c>
      <c r="C398" s="22" t="s">
        <v>75</v>
      </c>
      <c r="D398" s="22" t="s">
        <v>30</v>
      </c>
      <c r="E398" s="22" t="s">
        <v>7328</v>
      </c>
      <c r="F398" s="22" t="n">
        <v>2316562</v>
      </c>
      <c r="G398" s="30" t="n">
        <v>46260</v>
      </c>
      <c r="H398" s="22" t="n">
        <v>135875</v>
      </c>
      <c r="I398" s="22" t="s">
        <v>7687</v>
      </c>
      <c r="J398" s="31" t="n">
        <v>69.11</v>
      </c>
      <c r="K398" s="26" t="n">
        <v>966.99</v>
      </c>
      <c r="L398" s="26" t="n">
        <v>166.95</v>
      </c>
      <c r="M398" s="22" t="s">
        <v>694</v>
      </c>
      <c r="N398" s="22" t="n">
        <f aca="false">MATCH(M398,'Tabela Passaro'!$A$2:$A$1795,0)</f>
        <v>106</v>
      </c>
      <c r="O398" s="22" t="str">
        <f aca="false">INDEX('Tabela Passaro'!$C$2:$C$1795,$N398)</f>
        <v>SALVADOR</v>
      </c>
      <c r="P398" s="22" t="str">
        <f aca="false">INDEX('Tabela Passaro'!$B$2:$B$1795,$N398)</f>
        <v>BA</v>
      </c>
      <c r="Q398" s="22" t="n">
        <f aca="false">INDEX('Tabela Passaro'!$F$2:$F$1795,$N398)</f>
        <v>6</v>
      </c>
      <c r="R398" s="32" t="n">
        <f aca="false">IF(J398&lt;=10,INDEX('Tabela Passaro'!$G$2:$G$1795,$N398),IF(J398&lt;=30,INDEX('Tabela Passaro'!$H$2:$H$1795,$N398),IF(J398&lt;=50,INDEX('Tabela Passaro'!$I$2:$I$1795,$N398),IF(J398&lt;=70,INDEX('Tabela Passaro'!$J$2:$J$1795,$N398),IF(J398&lt;=100,INDEX('Tabela Passaro'!$K$2:$K$1795,$N398),INDEX('Tabela Passaro'!$K$2:$K$1795,$N398)+(J398-100)*INDEX('Tabela Passaro'!$L$2:$L$1795,$N398))))))</f>
        <v>73.44</v>
      </c>
      <c r="S398" s="32" t="n">
        <f aca="false">K398*INDEX('Tabela Passaro'!$M$2:$M$1795,$N398)</f>
        <v>4.83495</v>
      </c>
      <c r="T398" s="32" t="n">
        <f aca="false">K398*INDEX('Tabela Passaro'!$N$2:$N$1795,$N398)</f>
        <v>1.93398</v>
      </c>
      <c r="U398" s="32" t="n">
        <f aca="false">INDEX('Tabela Passaro'!$O$2:$O$1795,$N398)</f>
        <v>5</v>
      </c>
      <c r="V398" s="32" t="n">
        <f aca="false">ROUNDUP(J398/INDEX('Tabela Passaro'!$Q$2:$Q$1795,$N398),0)*INDEX('Tabela Passaro'!$P$2:$P$1795,$N398)</f>
        <v>5</v>
      </c>
      <c r="W398" s="32" t="n">
        <f aca="false">INDEX('Tabela Passaro'!$R$2:$R$1795,$N398)</f>
        <v>30</v>
      </c>
      <c r="X398" s="32" t="n">
        <f aca="false">ROUNDUP(J398/INDEX('Tabela Passaro'!$T$2:$T$1795,$N398),0)*INDEX('Tabela Passaro'!$S$2:$S$1795,$N398)</f>
        <v>0</v>
      </c>
      <c r="Y398" s="32" t="n">
        <f aca="false">INDEX('Tabela Passaro'!$U$2:$U$1795,$N398)</f>
        <v>0</v>
      </c>
      <c r="Z398" s="32" t="n">
        <f aca="false">INDEX('Tabela Passaro'!$V$2:$V$1795,$N398)</f>
        <v>0</v>
      </c>
      <c r="AA398" s="32" t="n">
        <f aca="false">SUM(R398:Z398)</f>
        <v>120.20893</v>
      </c>
      <c r="AB398" s="33" t="n">
        <f aca="false">INDEX(Premissas!$B$5:$B$13,MATCH(A398,Premissas!$A$5:$A$13,0))</f>
        <v>0.07</v>
      </c>
      <c r="AC398" s="32" t="n">
        <f aca="false">AA398/(1-AB398)-AA398</f>
        <v>9.04798397849463</v>
      </c>
      <c r="AD398" s="32" t="n">
        <f aca="false">ROUND(AA398+AC398,2)</f>
        <v>129.26</v>
      </c>
      <c r="AE398" s="32" t="n">
        <f aca="false">AD398-L398</f>
        <v>-37.69</v>
      </c>
      <c r="AF398" s="34" t="n">
        <f aca="false">IF(L398=0,0,AE398/L398)</f>
        <v>-0.22575621443546</v>
      </c>
      <c r="AG398" s="22" t="str">
        <f aca="false">IF(AD398&lt;L398,"PASSARO","ATUAL")</f>
        <v>PASSARO</v>
      </c>
      <c r="AH398" s="22" t="str">
        <f aca="false">IF(P398&lt;&gt;A398,"Faixa cadastrada como "&amp;P398&amp;" na tabela; preço aplicado pela UF do CEP","")</f>
        <v/>
      </c>
      <c r="AI398" s="26" t="n">
        <v>171.47</v>
      </c>
      <c r="AJ398" s="22" t="str">
        <f aca="false">INDEX('Tabela Passaro'!$X$2:$X$1795,$N398)</f>
        <v>CAPITAL</v>
      </c>
    </row>
    <row r="399" customFormat="false" ht="15" hidden="false" customHeight="false" outlineLevel="0" collapsed="false">
      <c r="A399" s="22" t="s">
        <v>16</v>
      </c>
      <c r="B399" s="22" t="n">
        <v>1</v>
      </c>
      <c r="C399" s="22" t="s">
        <v>75</v>
      </c>
      <c r="D399" s="22" t="s">
        <v>30</v>
      </c>
      <c r="E399" s="22" t="s">
        <v>7328</v>
      </c>
      <c r="F399" s="22" t="n">
        <v>2316564</v>
      </c>
      <c r="G399" s="30" t="n">
        <v>46260</v>
      </c>
      <c r="H399" s="22" t="n">
        <v>135877</v>
      </c>
      <c r="I399" s="22" t="s">
        <v>7688</v>
      </c>
      <c r="J399" s="31" t="n">
        <v>35.2</v>
      </c>
      <c r="K399" s="26" t="n">
        <v>634.98</v>
      </c>
      <c r="L399" s="26" t="n">
        <v>143.23</v>
      </c>
      <c r="M399" s="22" t="s">
        <v>694</v>
      </c>
      <c r="N399" s="22" t="n">
        <f aca="false">MATCH(M399,'Tabela Passaro'!$A$2:$A$1795,0)</f>
        <v>106</v>
      </c>
      <c r="O399" s="22" t="str">
        <f aca="false">INDEX('Tabela Passaro'!$C$2:$C$1795,$N399)</f>
        <v>SALVADOR</v>
      </c>
      <c r="P399" s="22" t="str">
        <f aca="false">INDEX('Tabela Passaro'!$B$2:$B$1795,$N399)</f>
        <v>BA</v>
      </c>
      <c r="Q399" s="22" t="n">
        <f aca="false">INDEX('Tabela Passaro'!$F$2:$F$1795,$N399)</f>
        <v>6</v>
      </c>
      <c r="R399" s="32" t="n">
        <f aca="false">IF(J399&lt;=10,INDEX('Tabela Passaro'!$G$2:$G$1795,$N399),IF(J399&lt;=30,INDEX('Tabela Passaro'!$H$2:$H$1795,$N399),IF(J399&lt;=50,INDEX('Tabela Passaro'!$I$2:$I$1795,$N399),IF(J399&lt;=70,INDEX('Tabela Passaro'!$J$2:$J$1795,$N399),IF(J399&lt;=100,INDEX('Tabela Passaro'!$K$2:$K$1795,$N399),INDEX('Tabela Passaro'!$K$2:$K$1795,$N399)+(J399-100)*INDEX('Tabela Passaro'!$L$2:$L$1795,$N399))))))</f>
        <v>61.92</v>
      </c>
      <c r="S399" s="32" t="n">
        <f aca="false">K399*INDEX('Tabela Passaro'!$M$2:$M$1795,$N399)</f>
        <v>3.1749</v>
      </c>
      <c r="T399" s="32" t="n">
        <f aca="false">K399*INDEX('Tabela Passaro'!$N$2:$N$1795,$N399)</f>
        <v>1.26996</v>
      </c>
      <c r="U399" s="32" t="n">
        <f aca="false">INDEX('Tabela Passaro'!$O$2:$O$1795,$N399)</f>
        <v>5</v>
      </c>
      <c r="V399" s="32" t="n">
        <f aca="false">ROUNDUP(J399/INDEX('Tabela Passaro'!$Q$2:$Q$1795,$N399),0)*INDEX('Tabela Passaro'!$P$2:$P$1795,$N399)</f>
        <v>5</v>
      </c>
      <c r="W399" s="32" t="n">
        <f aca="false">INDEX('Tabela Passaro'!$R$2:$R$1795,$N399)</f>
        <v>30</v>
      </c>
      <c r="X399" s="32" t="n">
        <f aca="false">ROUNDUP(J399/INDEX('Tabela Passaro'!$T$2:$T$1795,$N399),0)*INDEX('Tabela Passaro'!$S$2:$S$1795,$N399)</f>
        <v>0</v>
      </c>
      <c r="Y399" s="32" t="n">
        <f aca="false">INDEX('Tabela Passaro'!$U$2:$U$1795,$N399)</f>
        <v>0</v>
      </c>
      <c r="Z399" s="32" t="n">
        <f aca="false">INDEX('Tabela Passaro'!$V$2:$V$1795,$N399)</f>
        <v>0</v>
      </c>
      <c r="AA399" s="32" t="n">
        <f aca="false">SUM(R399:Z399)</f>
        <v>106.36486</v>
      </c>
      <c r="AB399" s="33" t="n">
        <f aca="false">INDEX(Premissas!$B$5:$B$13,MATCH(A399,Premissas!$A$5:$A$13,0))</f>
        <v>0.07</v>
      </c>
      <c r="AC399" s="32" t="n">
        <f aca="false">AA399/(1-AB399)-AA399</f>
        <v>8.00595720430108</v>
      </c>
      <c r="AD399" s="32" t="n">
        <f aca="false">ROUND(AA399+AC399,2)</f>
        <v>114.37</v>
      </c>
      <c r="AE399" s="32" t="n">
        <f aca="false">AD399-L399</f>
        <v>-28.86</v>
      </c>
      <c r="AF399" s="34" t="n">
        <f aca="false">IF(L399=0,0,AE399/L399)</f>
        <v>-0.201494100397961</v>
      </c>
      <c r="AG399" s="22" t="str">
        <f aca="false">IF(AD399&lt;L399,"PASSARO","ATUAL")</f>
        <v>PASSARO</v>
      </c>
      <c r="AH399" s="22" t="str">
        <f aca="false">IF(P399&lt;&gt;A399,"Faixa cadastrada como "&amp;P399&amp;" na tabela; preço aplicado pela UF do CEP","")</f>
        <v/>
      </c>
      <c r="AI399" s="26" t="n">
        <v>139.27</v>
      </c>
      <c r="AJ399" s="22" t="str">
        <f aca="false">INDEX('Tabela Passaro'!$X$2:$X$1795,$N399)</f>
        <v>CAPITAL</v>
      </c>
    </row>
    <row r="400" customFormat="false" ht="15" hidden="false" customHeight="false" outlineLevel="0" collapsed="false">
      <c r="A400" s="22" t="s">
        <v>16</v>
      </c>
      <c r="B400" s="22" t="n">
        <v>1</v>
      </c>
      <c r="C400" s="22" t="s">
        <v>75</v>
      </c>
      <c r="D400" s="22" t="s">
        <v>30</v>
      </c>
      <c r="E400" s="22" t="s">
        <v>7326</v>
      </c>
      <c r="F400" s="22" t="n">
        <v>527766</v>
      </c>
      <c r="G400" s="30" t="n">
        <v>46260</v>
      </c>
      <c r="H400" s="22" t="n">
        <v>629464</v>
      </c>
      <c r="I400" s="22" t="s">
        <v>7689</v>
      </c>
      <c r="J400" s="31" t="n">
        <v>46.8</v>
      </c>
      <c r="K400" s="26" t="n">
        <v>515.94</v>
      </c>
      <c r="L400" s="26" t="n">
        <v>162.08</v>
      </c>
      <c r="M400" s="22" t="s">
        <v>694</v>
      </c>
      <c r="N400" s="22" t="n">
        <f aca="false">MATCH(M400,'Tabela Passaro'!$A$2:$A$1795,0)</f>
        <v>106</v>
      </c>
      <c r="O400" s="22" t="str">
        <f aca="false">INDEX('Tabela Passaro'!$C$2:$C$1795,$N400)</f>
        <v>SALVADOR</v>
      </c>
      <c r="P400" s="22" t="str">
        <f aca="false">INDEX('Tabela Passaro'!$B$2:$B$1795,$N400)</f>
        <v>BA</v>
      </c>
      <c r="Q400" s="22" t="n">
        <f aca="false">INDEX('Tabela Passaro'!$F$2:$F$1795,$N400)</f>
        <v>6</v>
      </c>
      <c r="R400" s="32" t="n">
        <f aca="false">IF(J400&lt;=10,INDEX('Tabela Passaro'!$G$2:$G$1795,$N400),IF(J400&lt;=30,INDEX('Tabela Passaro'!$H$2:$H$1795,$N400),IF(J400&lt;=50,INDEX('Tabela Passaro'!$I$2:$I$1795,$N400),IF(J400&lt;=70,INDEX('Tabela Passaro'!$J$2:$J$1795,$N400),IF(J400&lt;=100,INDEX('Tabela Passaro'!$K$2:$K$1795,$N400),INDEX('Tabela Passaro'!$K$2:$K$1795,$N400)+(J400-100)*INDEX('Tabela Passaro'!$L$2:$L$1795,$N400))))))</f>
        <v>61.92</v>
      </c>
      <c r="S400" s="32" t="n">
        <f aca="false">K400*INDEX('Tabela Passaro'!$M$2:$M$1795,$N400)</f>
        <v>2.5797</v>
      </c>
      <c r="T400" s="32" t="n">
        <f aca="false">K400*INDEX('Tabela Passaro'!$N$2:$N$1795,$N400)</f>
        <v>1.03188</v>
      </c>
      <c r="U400" s="32" t="n">
        <f aca="false">INDEX('Tabela Passaro'!$O$2:$O$1795,$N400)</f>
        <v>5</v>
      </c>
      <c r="V400" s="32" t="n">
        <f aca="false">ROUNDUP(J400/INDEX('Tabela Passaro'!$Q$2:$Q$1795,$N400),0)*INDEX('Tabela Passaro'!$P$2:$P$1795,$N400)</f>
        <v>5</v>
      </c>
      <c r="W400" s="32" t="n">
        <f aca="false">INDEX('Tabela Passaro'!$R$2:$R$1795,$N400)</f>
        <v>30</v>
      </c>
      <c r="X400" s="32" t="n">
        <f aca="false">ROUNDUP(J400/INDEX('Tabela Passaro'!$T$2:$T$1795,$N400),0)*INDEX('Tabela Passaro'!$S$2:$S$1795,$N400)</f>
        <v>0</v>
      </c>
      <c r="Y400" s="32" t="n">
        <f aca="false">INDEX('Tabela Passaro'!$U$2:$U$1795,$N400)</f>
        <v>0</v>
      </c>
      <c r="Z400" s="32" t="n">
        <f aca="false">INDEX('Tabela Passaro'!$V$2:$V$1795,$N400)</f>
        <v>0</v>
      </c>
      <c r="AA400" s="32" t="n">
        <f aca="false">SUM(R400:Z400)</f>
        <v>105.53158</v>
      </c>
      <c r="AB400" s="33" t="n">
        <f aca="false">INDEX(Premissas!$B$5:$B$13,MATCH(A400,Premissas!$A$5:$A$13,0))</f>
        <v>0.07</v>
      </c>
      <c r="AC400" s="32" t="n">
        <f aca="false">AA400/(1-AB400)-AA400</f>
        <v>7.94323720430108</v>
      </c>
      <c r="AD400" s="32" t="n">
        <f aca="false">ROUND(AA400+AC400,2)</f>
        <v>113.47</v>
      </c>
      <c r="AE400" s="32" t="n">
        <f aca="false">AD400-L400</f>
        <v>-48.61</v>
      </c>
      <c r="AF400" s="34" t="n">
        <f aca="false">IF(L400=0,0,AE400/L400)</f>
        <v>-0.299913622902271</v>
      </c>
      <c r="AG400" s="22" t="str">
        <f aca="false">IF(AD400&lt;L400,"PASSARO","ATUAL")</f>
        <v>PASSARO</v>
      </c>
      <c r="AH400" s="22" t="str">
        <f aca="false">IF(P400&lt;&gt;A400,"Faixa cadastrada como "&amp;P400&amp;" na tabela; preço aplicado pela UF do CEP","")</f>
        <v/>
      </c>
      <c r="AI400" s="26" t="n">
        <v>143.44</v>
      </c>
      <c r="AJ400" s="22" t="str">
        <f aca="false">INDEX('Tabela Passaro'!$X$2:$X$1795,$N400)</f>
        <v>CAPITAL</v>
      </c>
    </row>
    <row r="401" customFormat="false" ht="15" hidden="false" customHeight="false" outlineLevel="0" collapsed="false">
      <c r="A401" s="22" t="s">
        <v>16</v>
      </c>
      <c r="B401" s="22" t="n">
        <v>1</v>
      </c>
      <c r="C401" s="22" t="s">
        <v>75</v>
      </c>
      <c r="D401" s="22" t="s">
        <v>30</v>
      </c>
      <c r="E401" s="22" t="s">
        <v>7326</v>
      </c>
      <c r="F401" s="22" t="n">
        <v>527769</v>
      </c>
      <c r="G401" s="30" t="n">
        <v>46260</v>
      </c>
      <c r="H401" s="22" t="n">
        <v>629467</v>
      </c>
      <c r="I401" s="22" t="s">
        <v>7690</v>
      </c>
      <c r="J401" s="31" t="n">
        <v>24.4</v>
      </c>
      <c r="K401" s="26" t="n">
        <v>427.48</v>
      </c>
      <c r="L401" s="26" t="n">
        <v>120.48</v>
      </c>
      <c r="M401" s="22" t="s">
        <v>694</v>
      </c>
      <c r="N401" s="22" t="n">
        <f aca="false">MATCH(M401,'Tabela Passaro'!$A$2:$A$1795,0)</f>
        <v>106</v>
      </c>
      <c r="O401" s="22" t="str">
        <f aca="false">INDEX('Tabela Passaro'!$C$2:$C$1795,$N401)</f>
        <v>SALVADOR</v>
      </c>
      <c r="P401" s="22" t="str">
        <f aca="false">INDEX('Tabela Passaro'!$B$2:$B$1795,$N401)</f>
        <v>BA</v>
      </c>
      <c r="Q401" s="22" t="n">
        <f aca="false">INDEX('Tabela Passaro'!$F$2:$F$1795,$N401)</f>
        <v>6</v>
      </c>
      <c r="R401" s="32" t="n">
        <f aca="false">IF(J401&lt;=10,INDEX('Tabela Passaro'!$G$2:$G$1795,$N401),IF(J401&lt;=30,INDEX('Tabela Passaro'!$H$2:$H$1795,$N401),IF(J401&lt;=50,INDEX('Tabela Passaro'!$I$2:$I$1795,$N401),IF(J401&lt;=70,INDEX('Tabela Passaro'!$J$2:$J$1795,$N401),IF(J401&lt;=100,INDEX('Tabela Passaro'!$K$2:$K$1795,$N401),INDEX('Tabela Passaro'!$K$2:$K$1795,$N401)+(J401-100)*INDEX('Tabela Passaro'!$L$2:$L$1795,$N401))))))</f>
        <v>50.4</v>
      </c>
      <c r="S401" s="32" t="n">
        <f aca="false">K401*INDEX('Tabela Passaro'!$M$2:$M$1795,$N401)</f>
        <v>2.1374</v>
      </c>
      <c r="T401" s="32" t="n">
        <f aca="false">K401*INDEX('Tabela Passaro'!$N$2:$N$1795,$N401)</f>
        <v>0.85496</v>
      </c>
      <c r="U401" s="32" t="n">
        <f aca="false">INDEX('Tabela Passaro'!$O$2:$O$1795,$N401)</f>
        <v>5</v>
      </c>
      <c r="V401" s="32" t="n">
        <f aca="false">ROUNDUP(J401/INDEX('Tabela Passaro'!$Q$2:$Q$1795,$N401),0)*INDEX('Tabela Passaro'!$P$2:$P$1795,$N401)</f>
        <v>5</v>
      </c>
      <c r="W401" s="32" t="n">
        <f aca="false">INDEX('Tabela Passaro'!$R$2:$R$1795,$N401)</f>
        <v>30</v>
      </c>
      <c r="X401" s="32" t="n">
        <f aca="false">ROUNDUP(J401/INDEX('Tabela Passaro'!$T$2:$T$1795,$N401),0)*INDEX('Tabela Passaro'!$S$2:$S$1795,$N401)</f>
        <v>0</v>
      </c>
      <c r="Y401" s="32" t="n">
        <f aca="false">INDEX('Tabela Passaro'!$U$2:$U$1795,$N401)</f>
        <v>0</v>
      </c>
      <c r="Z401" s="32" t="n">
        <f aca="false">INDEX('Tabela Passaro'!$V$2:$V$1795,$N401)</f>
        <v>0</v>
      </c>
      <c r="AA401" s="32" t="n">
        <f aca="false">SUM(R401:Z401)</f>
        <v>93.39236</v>
      </c>
      <c r="AB401" s="33" t="n">
        <f aca="false">INDEX(Premissas!$B$5:$B$13,MATCH(A401,Premissas!$A$5:$A$13,0))</f>
        <v>0.07</v>
      </c>
      <c r="AC401" s="32" t="n">
        <f aca="false">AA401/(1-AB401)-AA401</f>
        <v>7.02953247311828</v>
      </c>
      <c r="AD401" s="32" t="n">
        <f aca="false">ROUND(AA401+AC401,2)</f>
        <v>100.42</v>
      </c>
      <c r="AE401" s="32" t="n">
        <f aca="false">AD401-L401</f>
        <v>-20.06</v>
      </c>
      <c r="AF401" s="34" t="n">
        <f aca="false">IF(L401=0,0,AE401/L401)</f>
        <v>-0.166500664010624</v>
      </c>
      <c r="AG401" s="22" t="str">
        <f aca="false">IF(AD401&lt;L401,"PASSARO","ATUAL")</f>
        <v>PASSARO</v>
      </c>
      <c r="AH401" s="22" t="str">
        <f aca="false">IF(P401&lt;&gt;A401,"Faixa cadastrada como "&amp;P401&amp;" na tabela; preço aplicado pela UF do CEP","")</f>
        <v/>
      </c>
      <c r="AI401" s="26" t="n">
        <v>119.42</v>
      </c>
      <c r="AJ401" s="22" t="str">
        <f aca="false">INDEX('Tabela Passaro'!$X$2:$X$1795,$N401)</f>
        <v>CAPITAL</v>
      </c>
    </row>
    <row r="402" customFormat="false" ht="15" hidden="false" customHeight="false" outlineLevel="0" collapsed="false">
      <c r="A402" s="22" t="s">
        <v>16</v>
      </c>
      <c r="B402" s="22" t="n">
        <v>1</v>
      </c>
      <c r="C402" s="22" t="s">
        <v>75</v>
      </c>
      <c r="D402" s="22" t="s">
        <v>30</v>
      </c>
      <c r="E402" s="22" t="s">
        <v>7326</v>
      </c>
      <c r="F402" s="22" t="n">
        <v>527773</v>
      </c>
      <c r="G402" s="30" t="n">
        <v>46260</v>
      </c>
      <c r="H402" s="22" t="n">
        <v>629471</v>
      </c>
      <c r="I402" s="22" t="s">
        <v>7691</v>
      </c>
      <c r="J402" s="31" t="n">
        <v>109.6</v>
      </c>
      <c r="K402" s="26" t="n">
        <v>1740.84</v>
      </c>
      <c r="L402" s="26" t="n">
        <v>299.55</v>
      </c>
      <c r="M402" s="22" t="s">
        <v>694</v>
      </c>
      <c r="N402" s="22" t="n">
        <f aca="false">MATCH(M402,'Tabela Passaro'!$A$2:$A$1795,0)</f>
        <v>106</v>
      </c>
      <c r="O402" s="22" t="str">
        <f aca="false">INDEX('Tabela Passaro'!$C$2:$C$1795,$N402)</f>
        <v>SALVADOR</v>
      </c>
      <c r="P402" s="22" t="str">
        <f aca="false">INDEX('Tabela Passaro'!$B$2:$B$1795,$N402)</f>
        <v>BA</v>
      </c>
      <c r="Q402" s="22" t="n">
        <f aca="false">INDEX('Tabela Passaro'!$F$2:$F$1795,$N402)</f>
        <v>6</v>
      </c>
      <c r="R402" s="32" t="n">
        <f aca="false">IF(J402&lt;=10,INDEX('Tabela Passaro'!$G$2:$G$1795,$N402),IF(J402&lt;=30,INDEX('Tabela Passaro'!$H$2:$H$1795,$N402),IF(J402&lt;=50,INDEX('Tabela Passaro'!$I$2:$I$1795,$N402),IF(J402&lt;=70,INDEX('Tabela Passaro'!$J$2:$J$1795,$N402),IF(J402&lt;=100,INDEX('Tabela Passaro'!$K$2:$K$1795,$N402),INDEX('Tabela Passaro'!$K$2:$K$1795,$N402)+(J402-100)*INDEX('Tabela Passaro'!$L$2:$L$1795,$N402))))))</f>
        <v>96.096</v>
      </c>
      <c r="S402" s="32" t="n">
        <f aca="false">K402*INDEX('Tabela Passaro'!$M$2:$M$1795,$N402)</f>
        <v>8.7042</v>
      </c>
      <c r="T402" s="32" t="n">
        <f aca="false">K402*INDEX('Tabela Passaro'!$N$2:$N$1795,$N402)</f>
        <v>3.48168</v>
      </c>
      <c r="U402" s="32" t="n">
        <f aca="false">INDEX('Tabela Passaro'!$O$2:$O$1795,$N402)</f>
        <v>5</v>
      </c>
      <c r="V402" s="32" t="n">
        <f aca="false">ROUNDUP(J402/INDEX('Tabela Passaro'!$Q$2:$Q$1795,$N402),0)*INDEX('Tabela Passaro'!$P$2:$P$1795,$N402)</f>
        <v>10</v>
      </c>
      <c r="W402" s="32" t="n">
        <f aca="false">INDEX('Tabela Passaro'!$R$2:$R$1795,$N402)</f>
        <v>30</v>
      </c>
      <c r="X402" s="32" t="n">
        <f aca="false">ROUNDUP(J402/INDEX('Tabela Passaro'!$T$2:$T$1795,$N402),0)*INDEX('Tabela Passaro'!$S$2:$S$1795,$N402)</f>
        <v>0</v>
      </c>
      <c r="Y402" s="32" t="n">
        <f aca="false">INDEX('Tabela Passaro'!$U$2:$U$1795,$N402)</f>
        <v>0</v>
      </c>
      <c r="Z402" s="32" t="n">
        <f aca="false">INDEX('Tabela Passaro'!$V$2:$V$1795,$N402)</f>
        <v>0</v>
      </c>
      <c r="AA402" s="32" t="n">
        <f aca="false">SUM(R402:Z402)</f>
        <v>153.28188</v>
      </c>
      <c r="AB402" s="33" t="n">
        <f aca="false">INDEX(Premissas!$B$5:$B$13,MATCH(A402,Premissas!$A$5:$A$13,0))</f>
        <v>0.07</v>
      </c>
      <c r="AC402" s="32" t="n">
        <f aca="false">AA402/(1-AB402)-AA402</f>
        <v>11.5373458064516</v>
      </c>
      <c r="AD402" s="32" t="n">
        <f aca="false">ROUND(AA402+AC402,2)</f>
        <v>164.82</v>
      </c>
      <c r="AE402" s="32" t="n">
        <f aca="false">AD402-L402</f>
        <v>-134.73</v>
      </c>
      <c r="AF402" s="34" t="n">
        <f aca="false">IF(L402=0,0,AE402/L402)</f>
        <v>-0.44977466199299</v>
      </c>
      <c r="AG402" s="22" t="str">
        <f aca="false">IF(AD402&lt;L402,"PASSARO","ATUAL")</f>
        <v>PASSARO</v>
      </c>
      <c r="AH402" s="22" t="str">
        <f aca="false">IF(P402&lt;&gt;A402,"Faixa cadastrada como "&amp;P402&amp;" na tabela; preço aplicado pela UF do CEP","")</f>
        <v/>
      </c>
      <c r="AI402" s="26" t="n">
        <v>229.72</v>
      </c>
      <c r="AJ402" s="22" t="str">
        <f aca="false">INDEX('Tabela Passaro'!$X$2:$X$1795,$N402)</f>
        <v>CAPITAL</v>
      </c>
    </row>
    <row r="403" customFormat="false" ht="15" hidden="false" customHeight="false" outlineLevel="0" collapsed="false">
      <c r="A403" s="22" t="s">
        <v>16</v>
      </c>
      <c r="B403" s="22" t="n">
        <v>1</v>
      </c>
      <c r="C403" s="22" t="s">
        <v>75</v>
      </c>
      <c r="D403" s="22" t="s">
        <v>30</v>
      </c>
      <c r="E403" s="22" t="s">
        <v>7326</v>
      </c>
      <c r="F403" s="22" t="n">
        <v>527774</v>
      </c>
      <c r="G403" s="30" t="n">
        <v>46260</v>
      </c>
      <c r="H403" s="22" t="n">
        <v>629472</v>
      </c>
      <c r="I403" s="22" t="s">
        <v>7691</v>
      </c>
      <c r="J403" s="31" t="n">
        <v>46.7</v>
      </c>
      <c r="K403" s="26" t="n">
        <v>711.21</v>
      </c>
      <c r="L403" s="26" t="n">
        <v>163.74</v>
      </c>
      <c r="M403" s="22" t="s">
        <v>694</v>
      </c>
      <c r="N403" s="22" t="n">
        <f aca="false">MATCH(M403,'Tabela Passaro'!$A$2:$A$1795,0)</f>
        <v>106</v>
      </c>
      <c r="O403" s="22" t="str">
        <f aca="false">INDEX('Tabela Passaro'!$C$2:$C$1795,$N403)</f>
        <v>SALVADOR</v>
      </c>
      <c r="P403" s="22" t="str">
        <f aca="false">INDEX('Tabela Passaro'!$B$2:$B$1795,$N403)</f>
        <v>BA</v>
      </c>
      <c r="Q403" s="22" t="n">
        <f aca="false">INDEX('Tabela Passaro'!$F$2:$F$1795,$N403)</f>
        <v>6</v>
      </c>
      <c r="R403" s="32" t="n">
        <f aca="false">IF(J403&lt;=10,INDEX('Tabela Passaro'!$G$2:$G$1795,$N403),IF(J403&lt;=30,INDEX('Tabela Passaro'!$H$2:$H$1795,$N403),IF(J403&lt;=50,INDEX('Tabela Passaro'!$I$2:$I$1795,$N403),IF(J403&lt;=70,INDEX('Tabela Passaro'!$J$2:$J$1795,$N403),IF(J403&lt;=100,INDEX('Tabela Passaro'!$K$2:$K$1795,$N403),INDEX('Tabela Passaro'!$K$2:$K$1795,$N403)+(J403-100)*INDEX('Tabela Passaro'!$L$2:$L$1795,$N403))))))</f>
        <v>61.92</v>
      </c>
      <c r="S403" s="32" t="n">
        <f aca="false">K403*INDEX('Tabela Passaro'!$M$2:$M$1795,$N403)</f>
        <v>3.55605</v>
      </c>
      <c r="T403" s="32" t="n">
        <f aca="false">K403*INDEX('Tabela Passaro'!$N$2:$N$1795,$N403)</f>
        <v>1.42242</v>
      </c>
      <c r="U403" s="32" t="n">
        <f aca="false">INDEX('Tabela Passaro'!$O$2:$O$1795,$N403)</f>
        <v>5</v>
      </c>
      <c r="V403" s="32" t="n">
        <f aca="false">ROUNDUP(J403/INDEX('Tabela Passaro'!$Q$2:$Q$1795,$N403),0)*INDEX('Tabela Passaro'!$P$2:$P$1795,$N403)</f>
        <v>5</v>
      </c>
      <c r="W403" s="32" t="n">
        <f aca="false">INDEX('Tabela Passaro'!$R$2:$R$1795,$N403)</f>
        <v>30</v>
      </c>
      <c r="X403" s="32" t="n">
        <f aca="false">ROUNDUP(J403/INDEX('Tabela Passaro'!$T$2:$T$1795,$N403),0)*INDEX('Tabela Passaro'!$S$2:$S$1795,$N403)</f>
        <v>0</v>
      </c>
      <c r="Y403" s="32" t="n">
        <f aca="false">INDEX('Tabela Passaro'!$U$2:$U$1795,$N403)</f>
        <v>0</v>
      </c>
      <c r="Z403" s="32" t="n">
        <f aca="false">INDEX('Tabela Passaro'!$V$2:$V$1795,$N403)</f>
        <v>0</v>
      </c>
      <c r="AA403" s="32" t="n">
        <f aca="false">SUM(R403:Z403)</f>
        <v>106.89847</v>
      </c>
      <c r="AB403" s="33" t="n">
        <f aca="false">INDEX(Premissas!$B$5:$B$13,MATCH(A403,Premissas!$A$5:$A$13,0))</f>
        <v>0.07</v>
      </c>
      <c r="AC403" s="32" t="n">
        <f aca="false">AA403/(1-AB403)-AA403</f>
        <v>8.04612139784948</v>
      </c>
      <c r="AD403" s="32" t="n">
        <f aca="false">ROUND(AA403+AC403,2)</f>
        <v>114.94</v>
      </c>
      <c r="AE403" s="32" t="n">
        <f aca="false">AD403-L403</f>
        <v>-48.8</v>
      </c>
      <c r="AF403" s="34" t="n">
        <f aca="false">IF(L403=0,0,AE403/L403)</f>
        <v>-0.298033467692684</v>
      </c>
      <c r="AG403" s="22" t="str">
        <f aca="false">IF(AD403&lt;L403,"PASSARO","ATUAL")</f>
        <v>PASSARO</v>
      </c>
      <c r="AH403" s="22" t="str">
        <f aca="false">IF(P403&lt;&gt;A403,"Faixa cadastrada como "&amp;P403&amp;" na tabela; preço aplicado pela UF do CEP","")</f>
        <v/>
      </c>
      <c r="AI403" s="26" t="n">
        <v>145.33</v>
      </c>
      <c r="AJ403" s="22" t="str">
        <f aca="false">INDEX('Tabela Passaro'!$X$2:$X$1795,$N403)</f>
        <v>CAPITAL</v>
      </c>
    </row>
    <row r="404" customFormat="false" ht="15" hidden="false" customHeight="false" outlineLevel="0" collapsed="false">
      <c r="A404" s="22" t="s">
        <v>16</v>
      </c>
      <c r="B404" s="22" t="n">
        <v>1</v>
      </c>
      <c r="C404" s="22" t="s">
        <v>75</v>
      </c>
      <c r="D404" s="22" t="s">
        <v>30</v>
      </c>
      <c r="E404" s="22" t="s">
        <v>7326</v>
      </c>
      <c r="F404" s="22" t="n">
        <v>527775</v>
      </c>
      <c r="G404" s="30" t="n">
        <v>46260</v>
      </c>
      <c r="H404" s="22" t="n">
        <v>629473</v>
      </c>
      <c r="I404" s="22" t="s">
        <v>7692</v>
      </c>
      <c r="J404" s="31" t="n">
        <v>31</v>
      </c>
      <c r="K404" s="26" t="n">
        <v>474.98</v>
      </c>
      <c r="L404" s="26" t="n">
        <v>161.72</v>
      </c>
      <c r="M404" s="22" t="s">
        <v>694</v>
      </c>
      <c r="N404" s="22" t="n">
        <f aca="false">MATCH(M404,'Tabela Passaro'!$A$2:$A$1795,0)</f>
        <v>106</v>
      </c>
      <c r="O404" s="22" t="str">
        <f aca="false">INDEX('Tabela Passaro'!$C$2:$C$1795,$N404)</f>
        <v>SALVADOR</v>
      </c>
      <c r="P404" s="22" t="str">
        <f aca="false">INDEX('Tabela Passaro'!$B$2:$B$1795,$N404)</f>
        <v>BA</v>
      </c>
      <c r="Q404" s="22" t="n">
        <f aca="false">INDEX('Tabela Passaro'!$F$2:$F$1795,$N404)</f>
        <v>6</v>
      </c>
      <c r="R404" s="32" t="n">
        <f aca="false">IF(J404&lt;=10,INDEX('Tabela Passaro'!$G$2:$G$1795,$N404),IF(J404&lt;=30,INDEX('Tabela Passaro'!$H$2:$H$1795,$N404),IF(J404&lt;=50,INDEX('Tabela Passaro'!$I$2:$I$1795,$N404),IF(J404&lt;=70,INDEX('Tabela Passaro'!$J$2:$J$1795,$N404),IF(J404&lt;=100,INDEX('Tabela Passaro'!$K$2:$K$1795,$N404),INDEX('Tabela Passaro'!$K$2:$K$1795,$N404)+(J404-100)*INDEX('Tabela Passaro'!$L$2:$L$1795,$N404))))))</f>
        <v>61.92</v>
      </c>
      <c r="S404" s="32" t="n">
        <f aca="false">K404*INDEX('Tabela Passaro'!$M$2:$M$1795,$N404)</f>
        <v>2.3749</v>
      </c>
      <c r="T404" s="32" t="n">
        <f aca="false">K404*INDEX('Tabela Passaro'!$N$2:$N$1795,$N404)</f>
        <v>0.94996</v>
      </c>
      <c r="U404" s="32" t="n">
        <f aca="false">INDEX('Tabela Passaro'!$O$2:$O$1795,$N404)</f>
        <v>5</v>
      </c>
      <c r="V404" s="32" t="n">
        <f aca="false">ROUNDUP(J404/INDEX('Tabela Passaro'!$Q$2:$Q$1795,$N404),0)*INDEX('Tabela Passaro'!$P$2:$P$1795,$N404)</f>
        <v>5</v>
      </c>
      <c r="W404" s="32" t="n">
        <f aca="false">INDEX('Tabela Passaro'!$R$2:$R$1795,$N404)</f>
        <v>30</v>
      </c>
      <c r="X404" s="32" t="n">
        <f aca="false">ROUNDUP(J404/INDEX('Tabela Passaro'!$T$2:$T$1795,$N404),0)*INDEX('Tabela Passaro'!$S$2:$S$1795,$N404)</f>
        <v>0</v>
      </c>
      <c r="Y404" s="32" t="n">
        <f aca="false">INDEX('Tabela Passaro'!$U$2:$U$1795,$N404)</f>
        <v>0</v>
      </c>
      <c r="Z404" s="32" t="n">
        <f aca="false">INDEX('Tabela Passaro'!$V$2:$V$1795,$N404)</f>
        <v>0</v>
      </c>
      <c r="AA404" s="32" t="n">
        <f aca="false">SUM(R404:Z404)</f>
        <v>105.24486</v>
      </c>
      <c r="AB404" s="33" t="n">
        <f aca="false">INDEX(Premissas!$B$5:$B$13,MATCH(A404,Premissas!$A$5:$A$13,0))</f>
        <v>0.07</v>
      </c>
      <c r="AC404" s="32" t="n">
        <f aca="false">AA404/(1-AB404)-AA404</f>
        <v>7.92165612903227</v>
      </c>
      <c r="AD404" s="32" t="n">
        <f aca="false">ROUND(AA404+AC404,2)</f>
        <v>113.17</v>
      </c>
      <c r="AE404" s="32" t="n">
        <f aca="false">AD404-L404</f>
        <v>-48.55</v>
      </c>
      <c r="AF404" s="34" t="n">
        <f aca="false">IF(L404=0,0,AE404/L404)</f>
        <v>-0.300210239920851</v>
      </c>
      <c r="AG404" s="22" t="str">
        <f aca="false">IF(AD404&lt;L404,"PASSARO","ATUAL")</f>
        <v>PASSARO</v>
      </c>
      <c r="AH404" s="22" t="str">
        <f aca="false">IF(P404&lt;&gt;A404,"Faixa cadastrada como "&amp;P404&amp;" na tabela; preço aplicado pela UF do CEP","")</f>
        <v/>
      </c>
      <c r="AI404" s="26" t="n">
        <v>135.31</v>
      </c>
      <c r="AJ404" s="22" t="str">
        <f aca="false">INDEX('Tabela Passaro'!$X$2:$X$1795,$N404)</f>
        <v>CAPITAL</v>
      </c>
    </row>
    <row r="405" customFormat="false" ht="15" hidden="false" customHeight="false" outlineLevel="0" collapsed="false">
      <c r="A405" s="22" t="s">
        <v>16</v>
      </c>
      <c r="B405" s="22" t="n">
        <v>1</v>
      </c>
      <c r="C405" s="22" t="s">
        <v>75</v>
      </c>
      <c r="D405" s="22" t="s">
        <v>30</v>
      </c>
      <c r="E405" s="22" t="s">
        <v>7326</v>
      </c>
      <c r="F405" s="22" t="n">
        <v>527788</v>
      </c>
      <c r="G405" s="30" t="n">
        <v>46260</v>
      </c>
      <c r="H405" s="22" t="n">
        <v>629671</v>
      </c>
      <c r="I405" s="22" t="s">
        <v>7693</v>
      </c>
      <c r="J405" s="31" t="n">
        <v>59.8</v>
      </c>
      <c r="K405" s="26" t="n">
        <v>881.16</v>
      </c>
      <c r="L405" s="26" t="n">
        <v>196.95</v>
      </c>
      <c r="M405" s="22" t="s">
        <v>694</v>
      </c>
      <c r="N405" s="22" t="n">
        <f aca="false">MATCH(M405,'Tabela Passaro'!$A$2:$A$1795,0)</f>
        <v>106</v>
      </c>
      <c r="O405" s="22" t="str">
        <f aca="false">INDEX('Tabela Passaro'!$C$2:$C$1795,$N405)</f>
        <v>SALVADOR</v>
      </c>
      <c r="P405" s="22" t="str">
        <f aca="false">INDEX('Tabela Passaro'!$B$2:$B$1795,$N405)</f>
        <v>BA</v>
      </c>
      <c r="Q405" s="22" t="n">
        <f aca="false">INDEX('Tabela Passaro'!$F$2:$F$1795,$N405)</f>
        <v>6</v>
      </c>
      <c r="R405" s="32" t="n">
        <f aca="false">IF(J405&lt;=10,INDEX('Tabela Passaro'!$G$2:$G$1795,$N405),IF(J405&lt;=30,INDEX('Tabela Passaro'!$H$2:$H$1795,$N405),IF(J405&lt;=50,INDEX('Tabela Passaro'!$I$2:$I$1795,$N405),IF(J405&lt;=70,INDEX('Tabela Passaro'!$J$2:$J$1795,$N405),IF(J405&lt;=100,INDEX('Tabela Passaro'!$K$2:$K$1795,$N405),INDEX('Tabela Passaro'!$K$2:$K$1795,$N405)+(J405-100)*INDEX('Tabela Passaro'!$L$2:$L$1795,$N405))))))</f>
        <v>73.44</v>
      </c>
      <c r="S405" s="32" t="n">
        <f aca="false">K405*INDEX('Tabela Passaro'!$M$2:$M$1795,$N405)</f>
        <v>4.4058</v>
      </c>
      <c r="T405" s="32" t="n">
        <f aca="false">K405*INDEX('Tabela Passaro'!$N$2:$N$1795,$N405)</f>
        <v>1.76232</v>
      </c>
      <c r="U405" s="32" t="n">
        <f aca="false">INDEX('Tabela Passaro'!$O$2:$O$1795,$N405)</f>
        <v>5</v>
      </c>
      <c r="V405" s="32" t="n">
        <f aca="false">ROUNDUP(J405/INDEX('Tabela Passaro'!$Q$2:$Q$1795,$N405),0)*INDEX('Tabela Passaro'!$P$2:$P$1795,$N405)</f>
        <v>5</v>
      </c>
      <c r="W405" s="32" t="n">
        <f aca="false">INDEX('Tabela Passaro'!$R$2:$R$1795,$N405)</f>
        <v>30</v>
      </c>
      <c r="X405" s="32" t="n">
        <f aca="false">ROUNDUP(J405/INDEX('Tabela Passaro'!$T$2:$T$1795,$N405),0)*INDEX('Tabela Passaro'!$S$2:$S$1795,$N405)</f>
        <v>0</v>
      </c>
      <c r="Y405" s="32" t="n">
        <f aca="false">INDEX('Tabela Passaro'!$U$2:$U$1795,$N405)</f>
        <v>0</v>
      </c>
      <c r="Z405" s="32" t="n">
        <f aca="false">INDEX('Tabela Passaro'!$V$2:$V$1795,$N405)</f>
        <v>0</v>
      </c>
      <c r="AA405" s="32" t="n">
        <f aca="false">SUM(R405:Z405)</f>
        <v>119.60812</v>
      </c>
      <c r="AB405" s="33" t="n">
        <f aca="false">INDEX(Premissas!$B$5:$B$13,MATCH(A405,Premissas!$A$5:$A$13,0))</f>
        <v>0.07</v>
      </c>
      <c r="AC405" s="32" t="n">
        <f aca="false">AA405/(1-AB405)-AA405</f>
        <v>9.00276172043012</v>
      </c>
      <c r="AD405" s="32" t="n">
        <f aca="false">ROUND(AA405+AC405,2)</f>
        <v>128.61</v>
      </c>
      <c r="AE405" s="32" t="n">
        <f aca="false">AD405-L405</f>
        <v>-68.34</v>
      </c>
      <c r="AF405" s="34" t="n">
        <f aca="false">IF(L405=0,0,AE405/L405)</f>
        <v>-0.346991622239147</v>
      </c>
      <c r="AG405" s="22" t="str">
        <f aca="false">IF(AD405&lt;L405,"PASSARO","ATUAL")</f>
        <v>PASSARO</v>
      </c>
      <c r="AH405" s="22" t="str">
        <f aca="false">IF(P405&lt;&gt;A405,"Faixa cadastrada como "&amp;P405&amp;" na tabela; preço aplicado pela UF do CEP","")</f>
        <v/>
      </c>
      <c r="AI405" s="26" t="n">
        <v>165.8</v>
      </c>
      <c r="AJ405" s="22" t="str">
        <f aca="false">INDEX('Tabela Passaro'!$X$2:$X$1795,$N405)</f>
        <v>CAPITAL</v>
      </c>
    </row>
    <row r="406" customFormat="false" ht="15" hidden="false" customHeight="false" outlineLevel="0" collapsed="false">
      <c r="A406" s="22" t="s">
        <v>16</v>
      </c>
      <c r="B406" s="22" t="n">
        <v>1</v>
      </c>
      <c r="C406" s="22" t="s">
        <v>75</v>
      </c>
      <c r="D406" s="22" t="s">
        <v>30</v>
      </c>
      <c r="E406" s="22" t="s">
        <v>7326</v>
      </c>
      <c r="F406" s="22" t="n">
        <v>527792</v>
      </c>
      <c r="G406" s="30" t="n">
        <v>46260</v>
      </c>
      <c r="H406" s="22" t="n">
        <v>629675</v>
      </c>
      <c r="I406" s="22" t="s">
        <v>7694</v>
      </c>
      <c r="J406" s="31" t="n">
        <v>27.4</v>
      </c>
      <c r="K406" s="26" t="n">
        <v>517.31</v>
      </c>
      <c r="L406" s="26" t="n">
        <v>121.25</v>
      </c>
      <c r="M406" s="22" t="s">
        <v>694</v>
      </c>
      <c r="N406" s="22" t="n">
        <f aca="false">MATCH(M406,'Tabela Passaro'!$A$2:$A$1795,0)</f>
        <v>106</v>
      </c>
      <c r="O406" s="22" t="str">
        <f aca="false">INDEX('Tabela Passaro'!$C$2:$C$1795,$N406)</f>
        <v>SALVADOR</v>
      </c>
      <c r="P406" s="22" t="str">
        <f aca="false">INDEX('Tabela Passaro'!$B$2:$B$1795,$N406)</f>
        <v>BA</v>
      </c>
      <c r="Q406" s="22" t="n">
        <f aca="false">INDEX('Tabela Passaro'!$F$2:$F$1795,$N406)</f>
        <v>6</v>
      </c>
      <c r="R406" s="32" t="n">
        <f aca="false">IF(J406&lt;=10,INDEX('Tabela Passaro'!$G$2:$G$1795,$N406),IF(J406&lt;=30,INDEX('Tabela Passaro'!$H$2:$H$1795,$N406),IF(J406&lt;=50,INDEX('Tabela Passaro'!$I$2:$I$1795,$N406),IF(J406&lt;=70,INDEX('Tabela Passaro'!$J$2:$J$1795,$N406),IF(J406&lt;=100,INDEX('Tabela Passaro'!$K$2:$K$1795,$N406),INDEX('Tabela Passaro'!$K$2:$K$1795,$N406)+(J406-100)*INDEX('Tabela Passaro'!$L$2:$L$1795,$N406))))))</f>
        <v>50.4</v>
      </c>
      <c r="S406" s="32" t="n">
        <f aca="false">K406*INDEX('Tabela Passaro'!$M$2:$M$1795,$N406)</f>
        <v>2.58655</v>
      </c>
      <c r="T406" s="32" t="n">
        <f aca="false">K406*INDEX('Tabela Passaro'!$N$2:$N$1795,$N406)</f>
        <v>1.03462</v>
      </c>
      <c r="U406" s="32" t="n">
        <f aca="false">INDEX('Tabela Passaro'!$O$2:$O$1795,$N406)</f>
        <v>5</v>
      </c>
      <c r="V406" s="32" t="n">
        <f aca="false">ROUNDUP(J406/INDEX('Tabela Passaro'!$Q$2:$Q$1795,$N406),0)*INDEX('Tabela Passaro'!$P$2:$P$1795,$N406)</f>
        <v>5</v>
      </c>
      <c r="W406" s="32" t="n">
        <f aca="false">INDEX('Tabela Passaro'!$R$2:$R$1795,$N406)</f>
        <v>30</v>
      </c>
      <c r="X406" s="32" t="n">
        <f aca="false">ROUNDUP(J406/INDEX('Tabela Passaro'!$T$2:$T$1795,$N406),0)*INDEX('Tabela Passaro'!$S$2:$S$1795,$N406)</f>
        <v>0</v>
      </c>
      <c r="Y406" s="32" t="n">
        <f aca="false">INDEX('Tabela Passaro'!$U$2:$U$1795,$N406)</f>
        <v>0</v>
      </c>
      <c r="Z406" s="32" t="n">
        <f aca="false">INDEX('Tabela Passaro'!$V$2:$V$1795,$N406)</f>
        <v>0</v>
      </c>
      <c r="AA406" s="32" t="n">
        <f aca="false">SUM(R406:Z406)</f>
        <v>94.02117</v>
      </c>
      <c r="AB406" s="33" t="n">
        <f aca="false">INDEX(Premissas!$B$5:$B$13,MATCH(A406,Premissas!$A$5:$A$13,0))</f>
        <v>0.07</v>
      </c>
      <c r="AC406" s="32" t="n">
        <f aca="false">AA406/(1-AB406)-AA406</f>
        <v>7.07686225806452</v>
      </c>
      <c r="AD406" s="32" t="n">
        <f aca="false">ROUND(AA406+AC406,2)</f>
        <v>101.1</v>
      </c>
      <c r="AE406" s="32" t="n">
        <f aca="false">AD406-L406</f>
        <v>-20.15</v>
      </c>
      <c r="AF406" s="34" t="n">
        <f aca="false">IF(L406=0,0,AE406/L406)</f>
        <v>-0.166185567010309</v>
      </c>
      <c r="AG406" s="22" t="str">
        <f aca="false">IF(AD406&lt;L406,"PASSARO","ATUAL")</f>
        <v>PASSARO</v>
      </c>
      <c r="AH406" s="22" t="str">
        <f aca="false">IF(P406&lt;&gt;A406,"Faixa cadastrada como "&amp;P406&amp;" na tabela; preço aplicado pela UF do CEP","")</f>
        <v/>
      </c>
      <c r="AI406" s="26" t="n">
        <v>121.74</v>
      </c>
      <c r="AJ406" s="22" t="str">
        <f aca="false">INDEX('Tabela Passaro'!$X$2:$X$1795,$N406)</f>
        <v>CAPITAL</v>
      </c>
    </row>
    <row r="407" customFormat="false" ht="15" hidden="false" customHeight="false" outlineLevel="0" collapsed="false">
      <c r="A407" s="22" t="s">
        <v>16</v>
      </c>
      <c r="B407" s="22" t="n">
        <v>1</v>
      </c>
      <c r="C407" s="22" t="s">
        <v>75</v>
      </c>
      <c r="D407" s="22" t="s">
        <v>30</v>
      </c>
      <c r="E407" s="22" t="s">
        <v>20</v>
      </c>
      <c r="F407" s="22" t="n">
        <v>840444</v>
      </c>
      <c r="G407" s="30" t="n">
        <v>46261</v>
      </c>
      <c r="H407" s="22" t="n">
        <v>32740</v>
      </c>
      <c r="I407" s="22" t="s">
        <v>7695</v>
      </c>
      <c r="J407" s="31" t="n">
        <v>51.06</v>
      </c>
      <c r="K407" s="26" t="n">
        <v>847.16</v>
      </c>
      <c r="L407" s="26" t="n">
        <v>162.27</v>
      </c>
      <c r="M407" s="22" t="s">
        <v>694</v>
      </c>
      <c r="N407" s="22" t="n">
        <f aca="false">MATCH(M407,'Tabela Passaro'!$A$2:$A$1795,0)</f>
        <v>106</v>
      </c>
      <c r="O407" s="22" t="str">
        <f aca="false">INDEX('Tabela Passaro'!$C$2:$C$1795,$N407)</f>
        <v>SALVADOR</v>
      </c>
      <c r="P407" s="22" t="str">
        <f aca="false">INDEX('Tabela Passaro'!$B$2:$B$1795,$N407)</f>
        <v>BA</v>
      </c>
      <c r="Q407" s="22" t="n">
        <f aca="false">INDEX('Tabela Passaro'!$F$2:$F$1795,$N407)</f>
        <v>6</v>
      </c>
      <c r="R407" s="32" t="n">
        <f aca="false">IF(J407&lt;=10,INDEX('Tabela Passaro'!$G$2:$G$1795,$N407),IF(J407&lt;=30,INDEX('Tabela Passaro'!$H$2:$H$1795,$N407),IF(J407&lt;=50,INDEX('Tabela Passaro'!$I$2:$I$1795,$N407),IF(J407&lt;=70,INDEX('Tabela Passaro'!$J$2:$J$1795,$N407),IF(J407&lt;=100,INDEX('Tabela Passaro'!$K$2:$K$1795,$N407),INDEX('Tabela Passaro'!$K$2:$K$1795,$N407)+(J407-100)*INDEX('Tabela Passaro'!$L$2:$L$1795,$N407))))))</f>
        <v>73.44</v>
      </c>
      <c r="S407" s="32" t="n">
        <f aca="false">K407*INDEX('Tabela Passaro'!$M$2:$M$1795,$N407)</f>
        <v>4.2358</v>
      </c>
      <c r="T407" s="32" t="n">
        <f aca="false">K407*INDEX('Tabela Passaro'!$N$2:$N$1795,$N407)</f>
        <v>1.69432</v>
      </c>
      <c r="U407" s="32" t="n">
        <f aca="false">INDEX('Tabela Passaro'!$O$2:$O$1795,$N407)</f>
        <v>5</v>
      </c>
      <c r="V407" s="32" t="n">
        <f aca="false">ROUNDUP(J407/INDEX('Tabela Passaro'!$Q$2:$Q$1795,$N407),0)*INDEX('Tabela Passaro'!$P$2:$P$1795,$N407)</f>
        <v>5</v>
      </c>
      <c r="W407" s="32" t="n">
        <f aca="false">INDEX('Tabela Passaro'!$R$2:$R$1795,$N407)</f>
        <v>30</v>
      </c>
      <c r="X407" s="32" t="n">
        <f aca="false">ROUNDUP(J407/INDEX('Tabela Passaro'!$T$2:$T$1795,$N407),0)*INDEX('Tabela Passaro'!$S$2:$S$1795,$N407)</f>
        <v>0</v>
      </c>
      <c r="Y407" s="32" t="n">
        <f aca="false">INDEX('Tabela Passaro'!$U$2:$U$1795,$N407)</f>
        <v>0</v>
      </c>
      <c r="Z407" s="32" t="n">
        <f aca="false">INDEX('Tabela Passaro'!$V$2:$V$1795,$N407)</f>
        <v>0</v>
      </c>
      <c r="AA407" s="32" t="n">
        <f aca="false">SUM(R407:Z407)</f>
        <v>119.37012</v>
      </c>
      <c r="AB407" s="33" t="n">
        <f aca="false">INDEX(Premissas!$B$5:$B$13,MATCH(A407,Premissas!$A$5:$A$13,0))</f>
        <v>0.07</v>
      </c>
      <c r="AC407" s="32" t="n">
        <f aca="false">AA407/(1-AB407)-AA407</f>
        <v>8.9848477419355</v>
      </c>
      <c r="AD407" s="32" t="n">
        <f aca="false">ROUND(AA407+AC407,2)</f>
        <v>128.35</v>
      </c>
      <c r="AE407" s="32" t="n">
        <f aca="false">AD407-L407</f>
        <v>-33.92</v>
      </c>
      <c r="AF407" s="34" t="n">
        <f aca="false">IF(L407=0,0,AE407/L407)</f>
        <v>-0.209034325506871</v>
      </c>
      <c r="AG407" s="22" t="str">
        <f aca="false">IF(AD407&lt;L407,"PASSARO","ATUAL")</f>
        <v>PASSARO</v>
      </c>
      <c r="AH407" s="22" t="str">
        <f aca="false">IF(P407&lt;&gt;A407,"Faixa cadastrada como "&amp;P407&amp;" na tabela; preço aplicado pela UF do CEP","")</f>
        <v/>
      </c>
      <c r="AI407" s="26" t="n">
        <v>161.6</v>
      </c>
      <c r="AJ407" s="22" t="str">
        <f aca="false">INDEX('Tabela Passaro'!$X$2:$X$1795,$N407)</f>
        <v>CAPITAL</v>
      </c>
    </row>
    <row r="408" customFormat="false" ht="15" hidden="false" customHeight="false" outlineLevel="0" collapsed="false">
      <c r="A408" s="22" t="s">
        <v>16</v>
      </c>
      <c r="B408" s="22" t="n">
        <v>1</v>
      </c>
      <c r="C408" s="22" t="s">
        <v>75</v>
      </c>
      <c r="D408" s="22" t="s">
        <v>30</v>
      </c>
      <c r="E408" s="22" t="s">
        <v>16</v>
      </c>
      <c r="F408" s="22" t="n">
        <v>207672</v>
      </c>
      <c r="G408" s="30" t="n">
        <v>46261</v>
      </c>
      <c r="H408" s="22" t="n">
        <v>130025</v>
      </c>
      <c r="I408" s="22" t="s">
        <v>7696</v>
      </c>
      <c r="J408" s="31" t="n">
        <v>44.5</v>
      </c>
      <c r="K408" s="26" t="n">
        <v>928.48</v>
      </c>
      <c r="L408" s="26" t="n">
        <v>165.4</v>
      </c>
      <c r="M408" s="22" t="s">
        <v>694</v>
      </c>
      <c r="N408" s="22" t="n">
        <f aca="false">MATCH(M408,'Tabela Passaro'!$A$2:$A$1795,0)</f>
        <v>106</v>
      </c>
      <c r="O408" s="22" t="str">
        <f aca="false">INDEX('Tabela Passaro'!$C$2:$C$1795,$N408)</f>
        <v>SALVADOR</v>
      </c>
      <c r="P408" s="22" t="str">
        <f aca="false">INDEX('Tabela Passaro'!$B$2:$B$1795,$N408)</f>
        <v>BA</v>
      </c>
      <c r="Q408" s="22" t="n">
        <f aca="false">INDEX('Tabela Passaro'!$F$2:$F$1795,$N408)</f>
        <v>6</v>
      </c>
      <c r="R408" s="32" t="n">
        <f aca="false">IF(J408&lt;=10,INDEX('Tabela Passaro'!$G$2:$G$1795,$N408),IF(J408&lt;=30,INDEX('Tabela Passaro'!$H$2:$H$1795,$N408),IF(J408&lt;=50,INDEX('Tabela Passaro'!$I$2:$I$1795,$N408),IF(J408&lt;=70,INDEX('Tabela Passaro'!$J$2:$J$1795,$N408),IF(J408&lt;=100,INDEX('Tabela Passaro'!$K$2:$K$1795,$N408),INDEX('Tabela Passaro'!$K$2:$K$1795,$N408)+(J408-100)*INDEX('Tabela Passaro'!$L$2:$L$1795,$N408))))))</f>
        <v>61.92</v>
      </c>
      <c r="S408" s="32" t="n">
        <f aca="false">K408*INDEX('Tabela Passaro'!$M$2:$M$1795,$N408)</f>
        <v>4.6424</v>
      </c>
      <c r="T408" s="32" t="n">
        <f aca="false">K408*INDEX('Tabela Passaro'!$N$2:$N$1795,$N408)</f>
        <v>1.85696</v>
      </c>
      <c r="U408" s="32" t="n">
        <f aca="false">INDEX('Tabela Passaro'!$O$2:$O$1795,$N408)</f>
        <v>5</v>
      </c>
      <c r="V408" s="32" t="n">
        <f aca="false">ROUNDUP(J408/INDEX('Tabela Passaro'!$Q$2:$Q$1795,$N408),0)*INDEX('Tabela Passaro'!$P$2:$P$1795,$N408)</f>
        <v>5</v>
      </c>
      <c r="W408" s="32" t="n">
        <f aca="false">INDEX('Tabela Passaro'!$R$2:$R$1795,$N408)</f>
        <v>30</v>
      </c>
      <c r="X408" s="32" t="n">
        <f aca="false">ROUNDUP(J408/INDEX('Tabela Passaro'!$T$2:$T$1795,$N408),0)*INDEX('Tabela Passaro'!$S$2:$S$1795,$N408)</f>
        <v>0</v>
      </c>
      <c r="Y408" s="32" t="n">
        <f aca="false">INDEX('Tabela Passaro'!$U$2:$U$1795,$N408)</f>
        <v>0</v>
      </c>
      <c r="Z408" s="32" t="n">
        <f aca="false">INDEX('Tabela Passaro'!$V$2:$V$1795,$N408)</f>
        <v>0</v>
      </c>
      <c r="AA408" s="32" t="n">
        <f aca="false">SUM(R408:Z408)</f>
        <v>108.41936</v>
      </c>
      <c r="AB408" s="33" t="n">
        <f aca="false">INDEX(Premissas!$B$5:$B$13,MATCH(A408,Premissas!$A$5:$A$13,0))</f>
        <v>0.07</v>
      </c>
      <c r="AC408" s="32" t="n">
        <f aca="false">AA408/(1-AB408)-AA408</f>
        <v>8.16059698924732</v>
      </c>
      <c r="AD408" s="32" t="n">
        <f aca="false">ROUND(AA408+AC408,2)</f>
        <v>116.58</v>
      </c>
      <c r="AE408" s="32" t="n">
        <f aca="false">AD408-L408</f>
        <v>-48.82</v>
      </c>
      <c r="AF408" s="34" t="n">
        <f aca="false">IF(L408=0,0,AE408/L408)</f>
        <v>-0.295163240628779</v>
      </c>
      <c r="AG408" s="22" t="str">
        <f aca="false">IF(AD408&lt;L408,"PASSARO","ATUAL")</f>
        <v>PASSARO</v>
      </c>
      <c r="AH408" s="22" t="str">
        <f aca="false">IF(P408&lt;&gt;A408,"Faixa cadastrada como "&amp;P408&amp;" na tabela; preço aplicado pela UF do CEP","")</f>
        <v/>
      </c>
      <c r="AI408" s="26" t="n">
        <v>146.47</v>
      </c>
      <c r="AJ408" s="22" t="str">
        <f aca="false">INDEX('Tabela Passaro'!$X$2:$X$1795,$N408)</f>
        <v>CAPITAL</v>
      </c>
    </row>
    <row r="409" customFormat="false" ht="15" hidden="false" customHeight="false" outlineLevel="0" collapsed="false">
      <c r="A409" s="22" t="s">
        <v>16</v>
      </c>
      <c r="B409" s="22" t="n">
        <v>1</v>
      </c>
      <c r="C409" s="22" t="s">
        <v>75</v>
      </c>
      <c r="D409" s="22" t="s">
        <v>30</v>
      </c>
      <c r="E409" s="22" t="s">
        <v>16</v>
      </c>
      <c r="F409" s="22" t="n">
        <v>207667</v>
      </c>
      <c r="G409" s="30" t="n">
        <v>46261</v>
      </c>
      <c r="H409" s="22" t="n">
        <v>615124</v>
      </c>
      <c r="I409" s="22" t="s">
        <v>7697</v>
      </c>
      <c r="J409" s="31" t="n">
        <v>37.2</v>
      </c>
      <c r="K409" s="26" t="n">
        <v>527.4</v>
      </c>
      <c r="L409" s="26" t="n">
        <v>171.39</v>
      </c>
      <c r="M409" s="22" t="s">
        <v>694</v>
      </c>
      <c r="N409" s="22" t="n">
        <f aca="false">MATCH(M409,'Tabela Passaro'!$A$2:$A$1795,0)</f>
        <v>106</v>
      </c>
      <c r="O409" s="22" t="str">
        <f aca="false">INDEX('Tabela Passaro'!$C$2:$C$1795,$N409)</f>
        <v>SALVADOR</v>
      </c>
      <c r="P409" s="22" t="str">
        <f aca="false">INDEX('Tabela Passaro'!$B$2:$B$1795,$N409)</f>
        <v>BA</v>
      </c>
      <c r="Q409" s="22" t="n">
        <f aca="false">INDEX('Tabela Passaro'!$F$2:$F$1795,$N409)</f>
        <v>6</v>
      </c>
      <c r="R409" s="32" t="n">
        <f aca="false">IF(J409&lt;=10,INDEX('Tabela Passaro'!$G$2:$G$1795,$N409),IF(J409&lt;=30,INDEX('Tabela Passaro'!$H$2:$H$1795,$N409),IF(J409&lt;=50,INDEX('Tabela Passaro'!$I$2:$I$1795,$N409),IF(J409&lt;=70,INDEX('Tabela Passaro'!$J$2:$J$1795,$N409),IF(J409&lt;=100,INDEX('Tabela Passaro'!$K$2:$K$1795,$N409),INDEX('Tabela Passaro'!$K$2:$K$1795,$N409)+(J409-100)*INDEX('Tabela Passaro'!$L$2:$L$1795,$N409))))))</f>
        <v>61.92</v>
      </c>
      <c r="S409" s="32" t="n">
        <f aca="false">K409*INDEX('Tabela Passaro'!$M$2:$M$1795,$N409)</f>
        <v>2.637</v>
      </c>
      <c r="T409" s="32" t="n">
        <f aca="false">K409*INDEX('Tabela Passaro'!$N$2:$N$1795,$N409)</f>
        <v>1.0548</v>
      </c>
      <c r="U409" s="32" t="n">
        <f aca="false">INDEX('Tabela Passaro'!$O$2:$O$1795,$N409)</f>
        <v>5</v>
      </c>
      <c r="V409" s="32" t="n">
        <f aca="false">ROUNDUP(J409/INDEX('Tabela Passaro'!$Q$2:$Q$1795,$N409),0)*INDEX('Tabela Passaro'!$P$2:$P$1795,$N409)</f>
        <v>5</v>
      </c>
      <c r="W409" s="32" t="n">
        <f aca="false">INDEX('Tabela Passaro'!$R$2:$R$1795,$N409)</f>
        <v>30</v>
      </c>
      <c r="X409" s="32" t="n">
        <f aca="false">ROUNDUP(J409/INDEX('Tabela Passaro'!$T$2:$T$1795,$N409),0)*INDEX('Tabela Passaro'!$S$2:$S$1795,$N409)</f>
        <v>0</v>
      </c>
      <c r="Y409" s="32" t="n">
        <f aca="false">INDEX('Tabela Passaro'!$U$2:$U$1795,$N409)</f>
        <v>0</v>
      </c>
      <c r="Z409" s="32" t="n">
        <f aca="false">INDEX('Tabela Passaro'!$V$2:$V$1795,$N409)</f>
        <v>0</v>
      </c>
      <c r="AA409" s="32" t="n">
        <f aca="false">SUM(R409:Z409)</f>
        <v>105.6118</v>
      </c>
      <c r="AB409" s="33" t="n">
        <f aca="false">INDEX(Premissas!$B$5:$B$13,MATCH(A409,Premissas!$A$5:$A$13,0))</f>
        <v>0.07</v>
      </c>
      <c r="AC409" s="32" t="n">
        <f aca="false">AA409/(1-AB409)-AA409</f>
        <v>7.94927526881722</v>
      </c>
      <c r="AD409" s="32" t="n">
        <f aca="false">ROUND(AA409+AC409,2)</f>
        <v>113.56</v>
      </c>
      <c r="AE409" s="32" t="n">
        <f aca="false">AD409-L409</f>
        <v>-57.83</v>
      </c>
      <c r="AF409" s="34" t="n">
        <f aca="false">IF(L409=0,0,AE409/L409)</f>
        <v>-0.337417585623432</v>
      </c>
      <c r="AG409" s="22" t="str">
        <f aca="false">IF(AD409&lt;L409,"PASSARO","ATUAL")</f>
        <v>PASSARO</v>
      </c>
      <c r="AH409" s="22" t="str">
        <f aca="false">IF(P409&lt;&gt;A409,"Faixa cadastrada como "&amp;P409&amp;" na tabela; preço aplicado pela UF do CEP","")</f>
        <v/>
      </c>
      <c r="AI409" s="26" t="n">
        <v>139.2</v>
      </c>
      <c r="AJ409" s="22" t="str">
        <f aca="false">INDEX('Tabela Passaro'!$X$2:$X$1795,$N409)</f>
        <v>CAPITAL</v>
      </c>
    </row>
    <row r="410" customFormat="false" ht="15" hidden="false" customHeight="false" outlineLevel="0" collapsed="false">
      <c r="A410" s="22" t="s">
        <v>16</v>
      </c>
      <c r="B410" s="22" t="n">
        <v>1</v>
      </c>
      <c r="C410" s="22" t="s">
        <v>75</v>
      </c>
      <c r="D410" s="22" t="s">
        <v>30</v>
      </c>
      <c r="E410" s="22" t="s">
        <v>20</v>
      </c>
      <c r="F410" s="22" t="n">
        <v>840502</v>
      </c>
      <c r="G410" s="30" t="n">
        <v>46262</v>
      </c>
      <c r="H410" s="22" t="n">
        <v>32789</v>
      </c>
      <c r="I410" s="22" t="s">
        <v>7698</v>
      </c>
      <c r="J410" s="31" t="n">
        <v>26.9</v>
      </c>
      <c r="K410" s="26" t="n">
        <v>473.48</v>
      </c>
      <c r="L410" s="26" t="n">
        <v>108.56</v>
      </c>
      <c r="M410" s="22" t="s">
        <v>694</v>
      </c>
      <c r="N410" s="22" t="n">
        <f aca="false">MATCH(M410,'Tabela Passaro'!$A$2:$A$1795,0)</f>
        <v>106</v>
      </c>
      <c r="O410" s="22" t="str">
        <f aca="false">INDEX('Tabela Passaro'!$C$2:$C$1795,$N410)</f>
        <v>SALVADOR</v>
      </c>
      <c r="P410" s="22" t="str">
        <f aca="false">INDEX('Tabela Passaro'!$B$2:$B$1795,$N410)</f>
        <v>BA</v>
      </c>
      <c r="Q410" s="22" t="n">
        <f aca="false">INDEX('Tabela Passaro'!$F$2:$F$1795,$N410)</f>
        <v>6</v>
      </c>
      <c r="R410" s="32" t="n">
        <f aca="false">IF(J410&lt;=10,INDEX('Tabela Passaro'!$G$2:$G$1795,$N410),IF(J410&lt;=30,INDEX('Tabela Passaro'!$H$2:$H$1795,$N410),IF(J410&lt;=50,INDEX('Tabela Passaro'!$I$2:$I$1795,$N410),IF(J410&lt;=70,INDEX('Tabela Passaro'!$J$2:$J$1795,$N410),IF(J410&lt;=100,INDEX('Tabela Passaro'!$K$2:$K$1795,$N410),INDEX('Tabela Passaro'!$K$2:$K$1795,$N410)+(J410-100)*INDEX('Tabela Passaro'!$L$2:$L$1795,$N410))))))</f>
        <v>50.4</v>
      </c>
      <c r="S410" s="32" t="n">
        <f aca="false">K410*INDEX('Tabela Passaro'!$M$2:$M$1795,$N410)</f>
        <v>2.3674</v>
      </c>
      <c r="T410" s="32" t="n">
        <f aca="false">K410*INDEX('Tabela Passaro'!$N$2:$N$1795,$N410)</f>
        <v>0.94696</v>
      </c>
      <c r="U410" s="32" t="n">
        <f aca="false">INDEX('Tabela Passaro'!$O$2:$O$1795,$N410)</f>
        <v>5</v>
      </c>
      <c r="V410" s="32" t="n">
        <f aca="false">ROUNDUP(J410/INDEX('Tabela Passaro'!$Q$2:$Q$1795,$N410),0)*INDEX('Tabela Passaro'!$P$2:$P$1795,$N410)</f>
        <v>5</v>
      </c>
      <c r="W410" s="32" t="n">
        <f aca="false">INDEX('Tabela Passaro'!$R$2:$R$1795,$N410)</f>
        <v>30</v>
      </c>
      <c r="X410" s="32" t="n">
        <f aca="false">ROUNDUP(J410/INDEX('Tabela Passaro'!$T$2:$T$1795,$N410),0)*INDEX('Tabela Passaro'!$S$2:$S$1795,$N410)</f>
        <v>0</v>
      </c>
      <c r="Y410" s="32" t="n">
        <f aca="false">INDEX('Tabela Passaro'!$U$2:$U$1795,$N410)</f>
        <v>0</v>
      </c>
      <c r="Z410" s="32" t="n">
        <f aca="false">INDEX('Tabela Passaro'!$V$2:$V$1795,$N410)</f>
        <v>0</v>
      </c>
      <c r="AA410" s="32" t="n">
        <f aca="false">SUM(R410:Z410)</f>
        <v>93.71436</v>
      </c>
      <c r="AB410" s="33" t="n">
        <f aca="false">INDEX(Premissas!$B$5:$B$13,MATCH(A410,Premissas!$A$5:$A$13,0))</f>
        <v>0.07</v>
      </c>
      <c r="AC410" s="32" t="n">
        <f aca="false">AA410/(1-AB410)-AA410</f>
        <v>7.05376903225807</v>
      </c>
      <c r="AD410" s="32" t="n">
        <f aca="false">ROUND(AA410+AC410,2)</f>
        <v>100.77</v>
      </c>
      <c r="AE410" s="32" t="n">
        <f aca="false">AD410-L410</f>
        <v>-7.79000000000001</v>
      </c>
      <c r="AF410" s="34" t="n">
        <f aca="false">IF(L410=0,0,AE410/L410)</f>
        <v>-0.0717575534266765</v>
      </c>
      <c r="AG410" s="22" t="str">
        <f aca="false">IF(AD410&lt;L410,"PASSARO","ATUAL")</f>
        <v>PASSARO</v>
      </c>
      <c r="AH410" s="22" t="str">
        <f aca="false">IF(P410&lt;&gt;A410,"Faixa cadastrada como "&amp;P410&amp;" na tabela; preço aplicado pela UF do CEP","")</f>
        <v/>
      </c>
      <c r="AI410" s="26" t="n">
        <v>120.83</v>
      </c>
      <c r="AJ410" s="22" t="str">
        <f aca="false">INDEX('Tabela Passaro'!$X$2:$X$1795,$N410)</f>
        <v>CAPITAL</v>
      </c>
    </row>
    <row r="411" customFormat="false" ht="15" hidden="false" customHeight="false" outlineLevel="0" collapsed="false">
      <c r="A411" s="22" t="s">
        <v>16</v>
      </c>
      <c r="B411" s="22" t="n">
        <v>1</v>
      </c>
      <c r="C411" s="22" t="s">
        <v>75</v>
      </c>
      <c r="D411" s="22" t="s">
        <v>30</v>
      </c>
      <c r="E411" s="22" t="s">
        <v>7326</v>
      </c>
      <c r="F411" s="22" t="n">
        <v>528135</v>
      </c>
      <c r="G411" s="30" t="n">
        <v>46262</v>
      </c>
      <c r="H411" s="22" t="n">
        <v>629608</v>
      </c>
      <c r="I411" s="22" t="s">
        <v>7564</v>
      </c>
      <c r="J411" s="31" t="n">
        <v>22</v>
      </c>
      <c r="K411" s="26" t="n">
        <v>920.18</v>
      </c>
      <c r="L411" s="26" t="n">
        <v>124.67</v>
      </c>
      <c r="M411" s="22" t="s">
        <v>694</v>
      </c>
      <c r="N411" s="22" t="n">
        <f aca="false">MATCH(M411,'Tabela Passaro'!$A$2:$A$1795,0)</f>
        <v>106</v>
      </c>
      <c r="O411" s="22" t="str">
        <f aca="false">INDEX('Tabela Passaro'!$C$2:$C$1795,$N411)</f>
        <v>SALVADOR</v>
      </c>
      <c r="P411" s="22" t="str">
        <f aca="false">INDEX('Tabela Passaro'!$B$2:$B$1795,$N411)</f>
        <v>BA</v>
      </c>
      <c r="Q411" s="22" t="n">
        <f aca="false">INDEX('Tabela Passaro'!$F$2:$F$1795,$N411)</f>
        <v>6</v>
      </c>
      <c r="R411" s="32" t="n">
        <f aca="false">IF(J411&lt;=10,INDEX('Tabela Passaro'!$G$2:$G$1795,$N411),IF(J411&lt;=30,INDEX('Tabela Passaro'!$H$2:$H$1795,$N411),IF(J411&lt;=50,INDEX('Tabela Passaro'!$I$2:$I$1795,$N411),IF(J411&lt;=70,INDEX('Tabela Passaro'!$J$2:$J$1795,$N411),IF(J411&lt;=100,INDEX('Tabela Passaro'!$K$2:$K$1795,$N411),INDEX('Tabela Passaro'!$K$2:$K$1795,$N411)+(J411-100)*INDEX('Tabela Passaro'!$L$2:$L$1795,$N411))))))</f>
        <v>50.4</v>
      </c>
      <c r="S411" s="32" t="n">
        <f aca="false">K411*INDEX('Tabela Passaro'!$M$2:$M$1795,$N411)</f>
        <v>4.6009</v>
      </c>
      <c r="T411" s="32" t="n">
        <f aca="false">K411*INDEX('Tabela Passaro'!$N$2:$N$1795,$N411)</f>
        <v>1.84036</v>
      </c>
      <c r="U411" s="32" t="n">
        <f aca="false">INDEX('Tabela Passaro'!$O$2:$O$1795,$N411)</f>
        <v>5</v>
      </c>
      <c r="V411" s="32" t="n">
        <f aca="false">ROUNDUP(J411/INDEX('Tabela Passaro'!$Q$2:$Q$1795,$N411),0)*INDEX('Tabela Passaro'!$P$2:$P$1795,$N411)</f>
        <v>5</v>
      </c>
      <c r="W411" s="32" t="n">
        <f aca="false">INDEX('Tabela Passaro'!$R$2:$R$1795,$N411)</f>
        <v>30</v>
      </c>
      <c r="X411" s="32" t="n">
        <f aca="false">ROUNDUP(J411/INDEX('Tabela Passaro'!$T$2:$T$1795,$N411),0)*INDEX('Tabela Passaro'!$S$2:$S$1795,$N411)</f>
        <v>0</v>
      </c>
      <c r="Y411" s="32" t="n">
        <f aca="false">INDEX('Tabela Passaro'!$U$2:$U$1795,$N411)</f>
        <v>0</v>
      </c>
      <c r="Z411" s="32" t="n">
        <f aca="false">INDEX('Tabela Passaro'!$V$2:$V$1795,$N411)</f>
        <v>0</v>
      </c>
      <c r="AA411" s="32" t="n">
        <f aca="false">SUM(R411:Z411)</f>
        <v>96.84126</v>
      </c>
      <c r="AB411" s="33" t="n">
        <f aca="false">INDEX(Premissas!$B$5:$B$13,MATCH(A411,Premissas!$A$5:$A$13,0))</f>
        <v>0.07</v>
      </c>
      <c r="AC411" s="32" t="n">
        <f aca="false">AA411/(1-AB411)-AA411</f>
        <v>7.2891270967742</v>
      </c>
      <c r="AD411" s="32" t="n">
        <f aca="false">ROUND(AA411+AC411,2)</f>
        <v>104.13</v>
      </c>
      <c r="AE411" s="32" t="n">
        <f aca="false">AD411-L411</f>
        <v>-20.54</v>
      </c>
      <c r="AF411" s="34" t="n">
        <f aca="false">IF(L411=0,0,AE411/L411)</f>
        <v>-0.164754953076121</v>
      </c>
      <c r="AG411" s="22" t="str">
        <f aca="false">IF(AD411&lt;L411,"PASSARO","ATUAL")</f>
        <v>PASSARO</v>
      </c>
      <c r="AH411" s="22" t="str">
        <f aca="false">IF(P411&lt;&gt;A411,"Faixa cadastrada como "&amp;P411&amp;" na tabela; preço aplicado pela UF do CEP","")</f>
        <v/>
      </c>
      <c r="AI411" s="26" t="n">
        <v>122.73</v>
      </c>
      <c r="AJ411" s="22" t="str">
        <f aca="false">INDEX('Tabela Passaro'!$X$2:$X$1795,$N411)</f>
        <v>CAPITAL</v>
      </c>
    </row>
    <row r="412" customFormat="false" ht="15" hidden="false" customHeight="false" outlineLevel="0" collapsed="false">
      <c r="A412" s="22" t="s">
        <v>16</v>
      </c>
      <c r="B412" s="22" t="n">
        <v>1</v>
      </c>
      <c r="C412" s="22" t="s">
        <v>75</v>
      </c>
      <c r="D412" s="22" t="s">
        <v>30</v>
      </c>
      <c r="E412" s="22" t="s">
        <v>7326</v>
      </c>
      <c r="F412" s="22" t="n">
        <v>528282</v>
      </c>
      <c r="G412" s="30" t="n">
        <v>46262</v>
      </c>
      <c r="H412" s="22" t="n">
        <v>629820</v>
      </c>
      <c r="I412" s="22" t="s">
        <v>7581</v>
      </c>
      <c r="J412" s="31" t="n">
        <v>124.2</v>
      </c>
      <c r="K412" s="26" t="n">
        <v>2269.98</v>
      </c>
      <c r="L412" s="26" t="n">
        <v>325.26</v>
      </c>
      <c r="M412" s="22" t="s">
        <v>694</v>
      </c>
      <c r="N412" s="22" t="n">
        <f aca="false">MATCH(M412,'Tabela Passaro'!$A$2:$A$1795,0)</f>
        <v>106</v>
      </c>
      <c r="O412" s="22" t="str">
        <f aca="false">INDEX('Tabela Passaro'!$C$2:$C$1795,$N412)</f>
        <v>SALVADOR</v>
      </c>
      <c r="P412" s="22" t="str">
        <f aca="false">INDEX('Tabela Passaro'!$B$2:$B$1795,$N412)</f>
        <v>BA</v>
      </c>
      <c r="Q412" s="22" t="n">
        <f aca="false">INDEX('Tabela Passaro'!$F$2:$F$1795,$N412)</f>
        <v>6</v>
      </c>
      <c r="R412" s="32" t="n">
        <f aca="false">IF(J412&lt;=10,INDEX('Tabela Passaro'!$G$2:$G$1795,$N412),IF(J412&lt;=30,INDEX('Tabela Passaro'!$H$2:$H$1795,$N412),IF(J412&lt;=50,INDEX('Tabela Passaro'!$I$2:$I$1795,$N412),IF(J412&lt;=70,INDEX('Tabela Passaro'!$J$2:$J$1795,$N412),IF(J412&lt;=100,INDEX('Tabela Passaro'!$K$2:$K$1795,$N412),INDEX('Tabela Passaro'!$K$2:$K$1795,$N412)+(J412-100)*INDEX('Tabela Passaro'!$L$2:$L$1795,$N412))))))</f>
        <v>113.032</v>
      </c>
      <c r="S412" s="32" t="n">
        <f aca="false">K412*INDEX('Tabela Passaro'!$M$2:$M$1795,$N412)</f>
        <v>11.3499</v>
      </c>
      <c r="T412" s="32" t="n">
        <f aca="false">K412*INDEX('Tabela Passaro'!$N$2:$N$1795,$N412)</f>
        <v>4.53996</v>
      </c>
      <c r="U412" s="32" t="n">
        <f aca="false">INDEX('Tabela Passaro'!$O$2:$O$1795,$N412)</f>
        <v>5</v>
      </c>
      <c r="V412" s="32" t="n">
        <f aca="false">ROUNDUP(J412/INDEX('Tabela Passaro'!$Q$2:$Q$1795,$N412),0)*INDEX('Tabela Passaro'!$P$2:$P$1795,$N412)</f>
        <v>10</v>
      </c>
      <c r="W412" s="32" t="n">
        <f aca="false">INDEX('Tabela Passaro'!$R$2:$R$1795,$N412)</f>
        <v>30</v>
      </c>
      <c r="X412" s="32" t="n">
        <f aca="false">ROUNDUP(J412/INDEX('Tabela Passaro'!$T$2:$T$1795,$N412),0)*INDEX('Tabela Passaro'!$S$2:$S$1795,$N412)</f>
        <v>0</v>
      </c>
      <c r="Y412" s="32" t="n">
        <f aca="false">INDEX('Tabela Passaro'!$U$2:$U$1795,$N412)</f>
        <v>0</v>
      </c>
      <c r="Z412" s="32" t="n">
        <f aca="false">INDEX('Tabela Passaro'!$V$2:$V$1795,$N412)</f>
        <v>0</v>
      </c>
      <c r="AA412" s="32" t="n">
        <f aca="false">SUM(R412:Z412)</f>
        <v>173.92186</v>
      </c>
      <c r="AB412" s="33" t="n">
        <f aca="false">INDEX(Premissas!$B$5:$B$13,MATCH(A412,Premissas!$A$5:$A$13,0))</f>
        <v>0.07</v>
      </c>
      <c r="AC412" s="32" t="n">
        <f aca="false">AA412/(1-AB412)-AA412</f>
        <v>13.0908926881721</v>
      </c>
      <c r="AD412" s="32" t="n">
        <f aca="false">ROUND(AA412+AC412,2)</f>
        <v>187.01</v>
      </c>
      <c r="AE412" s="32" t="n">
        <f aca="false">AD412-L412</f>
        <v>-138.25</v>
      </c>
      <c r="AF412" s="34" t="n">
        <f aca="false">IF(L412=0,0,AE412/L412)</f>
        <v>-0.425044579720839</v>
      </c>
      <c r="AG412" s="22" t="str">
        <f aca="false">IF(AD412&lt;L412,"PASSARO","ATUAL")</f>
        <v>PASSARO</v>
      </c>
      <c r="AH412" s="22" t="str">
        <f aca="false">IF(P412&lt;&gt;A412,"Faixa cadastrada como "&amp;P412&amp;" na tabela; preço aplicado pela UF do CEP","")</f>
        <v/>
      </c>
      <c r="AI412" s="26" t="n">
        <v>262.67</v>
      </c>
      <c r="AJ412" s="22" t="str">
        <f aca="false">INDEX('Tabela Passaro'!$X$2:$X$1795,$N412)</f>
        <v>CAPITAL</v>
      </c>
    </row>
    <row r="413" customFormat="false" ht="15" hidden="false" customHeight="false" outlineLevel="0" collapsed="false">
      <c r="A413" s="22" t="s">
        <v>16</v>
      </c>
      <c r="B413" s="22" t="n">
        <v>1</v>
      </c>
      <c r="C413" s="22" t="s">
        <v>75</v>
      </c>
      <c r="D413" s="22" t="s">
        <v>30</v>
      </c>
      <c r="E413" s="22" t="s">
        <v>7326</v>
      </c>
      <c r="F413" s="22" t="n">
        <v>528264</v>
      </c>
      <c r="G413" s="30" t="n">
        <v>46262</v>
      </c>
      <c r="H413" s="22" t="n">
        <v>630019</v>
      </c>
      <c r="I413" s="22" t="s">
        <v>7699</v>
      </c>
      <c r="J413" s="31" t="n">
        <v>61.95</v>
      </c>
      <c r="K413" s="26" t="n">
        <v>879.98</v>
      </c>
      <c r="L413" s="26" t="n">
        <v>196.94</v>
      </c>
      <c r="M413" s="22" t="s">
        <v>694</v>
      </c>
      <c r="N413" s="22" t="n">
        <f aca="false">MATCH(M413,'Tabela Passaro'!$A$2:$A$1795,0)</f>
        <v>106</v>
      </c>
      <c r="O413" s="22" t="str">
        <f aca="false">INDEX('Tabela Passaro'!$C$2:$C$1795,$N413)</f>
        <v>SALVADOR</v>
      </c>
      <c r="P413" s="22" t="str">
        <f aca="false">INDEX('Tabela Passaro'!$B$2:$B$1795,$N413)</f>
        <v>BA</v>
      </c>
      <c r="Q413" s="22" t="n">
        <f aca="false">INDEX('Tabela Passaro'!$F$2:$F$1795,$N413)</f>
        <v>6</v>
      </c>
      <c r="R413" s="32" t="n">
        <f aca="false">IF(J413&lt;=10,INDEX('Tabela Passaro'!$G$2:$G$1795,$N413),IF(J413&lt;=30,INDEX('Tabela Passaro'!$H$2:$H$1795,$N413),IF(J413&lt;=50,INDEX('Tabela Passaro'!$I$2:$I$1795,$N413),IF(J413&lt;=70,INDEX('Tabela Passaro'!$J$2:$J$1795,$N413),IF(J413&lt;=100,INDEX('Tabela Passaro'!$K$2:$K$1795,$N413),INDEX('Tabela Passaro'!$K$2:$K$1795,$N413)+(J413-100)*INDEX('Tabela Passaro'!$L$2:$L$1795,$N413))))))</f>
        <v>73.44</v>
      </c>
      <c r="S413" s="32" t="n">
        <f aca="false">K413*INDEX('Tabela Passaro'!$M$2:$M$1795,$N413)</f>
        <v>4.3999</v>
      </c>
      <c r="T413" s="32" t="n">
        <f aca="false">K413*INDEX('Tabela Passaro'!$N$2:$N$1795,$N413)</f>
        <v>1.75996</v>
      </c>
      <c r="U413" s="32" t="n">
        <f aca="false">INDEX('Tabela Passaro'!$O$2:$O$1795,$N413)</f>
        <v>5</v>
      </c>
      <c r="V413" s="32" t="n">
        <f aca="false">ROUNDUP(J413/INDEX('Tabela Passaro'!$Q$2:$Q$1795,$N413),0)*INDEX('Tabela Passaro'!$P$2:$P$1795,$N413)</f>
        <v>5</v>
      </c>
      <c r="W413" s="32" t="n">
        <f aca="false">INDEX('Tabela Passaro'!$R$2:$R$1795,$N413)</f>
        <v>30</v>
      </c>
      <c r="X413" s="32" t="n">
        <f aca="false">ROUNDUP(J413/INDEX('Tabela Passaro'!$T$2:$T$1795,$N413),0)*INDEX('Tabela Passaro'!$S$2:$S$1795,$N413)</f>
        <v>0</v>
      </c>
      <c r="Y413" s="32" t="n">
        <f aca="false">INDEX('Tabela Passaro'!$U$2:$U$1795,$N413)</f>
        <v>0</v>
      </c>
      <c r="Z413" s="32" t="n">
        <f aca="false">INDEX('Tabela Passaro'!$V$2:$V$1795,$N413)</f>
        <v>0</v>
      </c>
      <c r="AA413" s="32" t="n">
        <f aca="false">SUM(R413:Z413)</f>
        <v>119.59986</v>
      </c>
      <c r="AB413" s="33" t="n">
        <f aca="false">INDEX(Premissas!$B$5:$B$13,MATCH(A413,Premissas!$A$5:$A$13,0))</f>
        <v>0.07</v>
      </c>
      <c r="AC413" s="32" t="n">
        <f aca="false">AA413/(1-AB413)-AA413</f>
        <v>9.00214000000001</v>
      </c>
      <c r="AD413" s="32" t="n">
        <f aca="false">ROUND(AA413+AC413,2)</f>
        <v>128.6</v>
      </c>
      <c r="AE413" s="32" t="n">
        <f aca="false">AD413-L413</f>
        <v>-68.34</v>
      </c>
      <c r="AF413" s="34" t="n">
        <f aca="false">IF(L413=0,0,AE413/L413)</f>
        <v>-0.347009241393318</v>
      </c>
      <c r="AG413" s="22" t="str">
        <f aca="false">IF(AD413&lt;L413,"PASSARO","ATUAL")</f>
        <v>PASSARO</v>
      </c>
      <c r="AH413" s="22" t="str">
        <f aca="false">IF(P413&lt;&gt;A413,"Faixa cadastrada como "&amp;P413&amp;" na tabela; preço aplicado pela UF do CEP","")</f>
        <v/>
      </c>
      <c r="AI413" s="26" t="n">
        <v>166.75</v>
      </c>
      <c r="AJ413" s="22" t="str">
        <f aca="false">INDEX('Tabela Passaro'!$X$2:$X$1795,$N413)</f>
        <v>CAPITAL</v>
      </c>
    </row>
    <row r="414" customFormat="false" ht="15" hidden="false" customHeight="false" outlineLevel="0" collapsed="false">
      <c r="A414" s="22" t="s">
        <v>16</v>
      </c>
      <c r="B414" s="22" t="n">
        <v>1</v>
      </c>
      <c r="C414" s="22" t="s">
        <v>75</v>
      </c>
      <c r="D414" s="22" t="s">
        <v>30</v>
      </c>
      <c r="E414" s="22" t="s">
        <v>7326</v>
      </c>
      <c r="F414" s="22" t="n">
        <v>528266</v>
      </c>
      <c r="G414" s="30" t="n">
        <v>46262</v>
      </c>
      <c r="H414" s="22" t="n">
        <v>630021</v>
      </c>
      <c r="I414" s="22" t="s">
        <v>7700</v>
      </c>
      <c r="J414" s="31" t="n">
        <v>61.95</v>
      </c>
      <c r="K414" s="26" t="n">
        <v>919.98</v>
      </c>
      <c r="L414" s="26" t="n">
        <v>197.27</v>
      </c>
      <c r="M414" s="22" t="s">
        <v>694</v>
      </c>
      <c r="N414" s="22" t="n">
        <f aca="false">MATCH(M414,'Tabela Passaro'!$A$2:$A$1795,0)</f>
        <v>106</v>
      </c>
      <c r="O414" s="22" t="str">
        <f aca="false">INDEX('Tabela Passaro'!$C$2:$C$1795,$N414)</f>
        <v>SALVADOR</v>
      </c>
      <c r="P414" s="22" t="str">
        <f aca="false">INDEX('Tabela Passaro'!$B$2:$B$1795,$N414)</f>
        <v>BA</v>
      </c>
      <c r="Q414" s="22" t="n">
        <f aca="false">INDEX('Tabela Passaro'!$F$2:$F$1795,$N414)</f>
        <v>6</v>
      </c>
      <c r="R414" s="32" t="n">
        <f aca="false">IF(J414&lt;=10,INDEX('Tabela Passaro'!$G$2:$G$1795,$N414),IF(J414&lt;=30,INDEX('Tabela Passaro'!$H$2:$H$1795,$N414),IF(J414&lt;=50,INDEX('Tabela Passaro'!$I$2:$I$1795,$N414),IF(J414&lt;=70,INDEX('Tabela Passaro'!$J$2:$J$1795,$N414),IF(J414&lt;=100,INDEX('Tabela Passaro'!$K$2:$K$1795,$N414),INDEX('Tabela Passaro'!$K$2:$K$1795,$N414)+(J414-100)*INDEX('Tabela Passaro'!$L$2:$L$1795,$N414))))))</f>
        <v>73.44</v>
      </c>
      <c r="S414" s="32" t="n">
        <f aca="false">K414*INDEX('Tabela Passaro'!$M$2:$M$1795,$N414)</f>
        <v>4.5999</v>
      </c>
      <c r="T414" s="32" t="n">
        <f aca="false">K414*INDEX('Tabela Passaro'!$N$2:$N$1795,$N414)</f>
        <v>1.83996</v>
      </c>
      <c r="U414" s="32" t="n">
        <f aca="false">INDEX('Tabela Passaro'!$O$2:$O$1795,$N414)</f>
        <v>5</v>
      </c>
      <c r="V414" s="32" t="n">
        <f aca="false">ROUNDUP(J414/INDEX('Tabela Passaro'!$Q$2:$Q$1795,$N414),0)*INDEX('Tabela Passaro'!$P$2:$P$1795,$N414)</f>
        <v>5</v>
      </c>
      <c r="W414" s="32" t="n">
        <f aca="false">INDEX('Tabela Passaro'!$R$2:$R$1795,$N414)</f>
        <v>30</v>
      </c>
      <c r="X414" s="32" t="n">
        <f aca="false">ROUNDUP(J414/INDEX('Tabela Passaro'!$T$2:$T$1795,$N414),0)*INDEX('Tabela Passaro'!$S$2:$S$1795,$N414)</f>
        <v>0</v>
      </c>
      <c r="Y414" s="32" t="n">
        <f aca="false">INDEX('Tabela Passaro'!$U$2:$U$1795,$N414)</f>
        <v>0</v>
      </c>
      <c r="Z414" s="32" t="n">
        <f aca="false">INDEX('Tabela Passaro'!$V$2:$V$1795,$N414)</f>
        <v>0</v>
      </c>
      <c r="AA414" s="32" t="n">
        <f aca="false">SUM(R414:Z414)</f>
        <v>119.87986</v>
      </c>
      <c r="AB414" s="33" t="n">
        <f aca="false">INDEX(Premissas!$B$5:$B$13,MATCH(A414,Premissas!$A$5:$A$13,0))</f>
        <v>0.07</v>
      </c>
      <c r="AC414" s="32" t="n">
        <f aca="false">AA414/(1-AB414)-AA414</f>
        <v>9.02321526881723</v>
      </c>
      <c r="AD414" s="32" t="n">
        <f aca="false">ROUND(AA414+AC414,2)</f>
        <v>128.9</v>
      </c>
      <c r="AE414" s="32" t="n">
        <f aca="false">AD414-L414</f>
        <v>-68.37</v>
      </c>
      <c r="AF414" s="34" t="n">
        <f aca="false">IF(L414=0,0,AE414/L414)</f>
        <v>-0.346580828306382</v>
      </c>
      <c r="AG414" s="22" t="str">
        <f aca="false">IF(AD414&lt;L414,"PASSARO","ATUAL")</f>
        <v>PASSARO</v>
      </c>
      <c r="AH414" s="22" t="str">
        <f aca="false">IF(P414&lt;&gt;A414,"Faixa cadastrada como "&amp;P414&amp;" na tabela; preço aplicado pela UF do CEP","")</f>
        <v/>
      </c>
      <c r="AI414" s="26" t="n">
        <v>167.14</v>
      </c>
      <c r="AJ414" s="22" t="str">
        <f aca="false">INDEX('Tabela Passaro'!$X$2:$X$1795,$N414)</f>
        <v>CAPITAL</v>
      </c>
    </row>
    <row r="415" customFormat="false" ht="15" hidden="false" customHeight="false" outlineLevel="0" collapsed="false">
      <c r="A415" s="22" t="s">
        <v>16</v>
      </c>
      <c r="B415" s="22" t="n">
        <v>1</v>
      </c>
      <c r="C415" s="22" t="s">
        <v>75</v>
      </c>
      <c r="D415" s="22" t="s">
        <v>30</v>
      </c>
      <c r="E415" s="22" t="s">
        <v>7326</v>
      </c>
      <c r="F415" s="22" t="n">
        <v>528268</v>
      </c>
      <c r="G415" s="30" t="n">
        <v>46262</v>
      </c>
      <c r="H415" s="22" t="n">
        <v>630023</v>
      </c>
      <c r="I415" s="22" t="s">
        <v>7701</v>
      </c>
      <c r="J415" s="31" t="n">
        <v>50</v>
      </c>
      <c r="K415" s="26" t="n">
        <v>726.28</v>
      </c>
      <c r="L415" s="26" t="n">
        <v>163.86</v>
      </c>
      <c r="M415" s="22" t="s">
        <v>694</v>
      </c>
      <c r="N415" s="22" t="n">
        <f aca="false">MATCH(M415,'Tabela Passaro'!$A$2:$A$1795,0)</f>
        <v>106</v>
      </c>
      <c r="O415" s="22" t="str">
        <f aca="false">INDEX('Tabela Passaro'!$C$2:$C$1795,$N415)</f>
        <v>SALVADOR</v>
      </c>
      <c r="P415" s="22" t="str">
        <f aca="false">INDEX('Tabela Passaro'!$B$2:$B$1795,$N415)</f>
        <v>BA</v>
      </c>
      <c r="Q415" s="22" t="n">
        <f aca="false">INDEX('Tabela Passaro'!$F$2:$F$1795,$N415)</f>
        <v>6</v>
      </c>
      <c r="R415" s="32" t="n">
        <f aca="false">IF(J415&lt;=10,INDEX('Tabela Passaro'!$G$2:$G$1795,$N415),IF(J415&lt;=30,INDEX('Tabela Passaro'!$H$2:$H$1795,$N415),IF(J415&lt;=50,INDEX('Tabela Passaro'!$I$2:$I$1795,$N415),IF(J415&lt;=70,INDEX('Tabela Passaro'!$J$2:$J$1795,$N415),IF(J415&lt;=100,INDEX('Tabela Passaro'!$K$2:$K$1795,$N415),INDEX('Tabela Passaro'!$K$2:$K$1795,$N415)+(J415-100)*INDEX('Tabela Passaro'!$L$2:$L$1795,$N415))))))</f>
        <v>61.92</v>
      </c>
      <c r="S415" s="32" t="n">
        <f aca="false">K415*INDEX('Tabela Passaro'!$M$2:$M$1795,$N415)</f>
        <v>3.6314</v>
      </c>
      <c r="T415" s="32" t="n">
        <f aca="false">K415*INDEX('Tabela Passaro'!$N$2:$N$1795,$N415)</f>
        <v>1.45256</v>
      </c>
      <c r="U415" s="32" t="n">
        <f aca="false">INDEX('Tabela Passaro'!$O$2:$O$1795,$N415)</f>
        <v>5</v>
      </c>
      <c r="V415" s="32" t="n">
        <f aca="false">ROUNDUP(J415/INDEX('Tabela Passaro'!$Q$2:$Q$1795,$N415),0)*INDEX('Tabela Passaro'!$P$2:$P$1795,$N415)</f>
        <v>5</v>
      </c>
      <c r="W415" s="32" t="n">
        <f aca="false">INDEX('Tabela Passaro'!$R$2:$R$1795,$N415)</f>
        <v>30</v>
      </c>
      <c r="X415" s="32" t="n">
        <f aca="false">ROUNDUP(J415/INDEX('Tabela Passaro'!$T$2:$T$1795,$N415),0)*INDEX('Tabela Passaro'!$S$2:$S$1795,$N415)</f>
        <v>0</v>
      </c>
      <c r="Y415" s="32" t="n">
        <f aca="false">INDEX('Tabela Passaro'!$U$2:$U$1795,$N415)</f>
        <v>0</v>
      </c>
      <c r="Z415" s="32" t="n">
        <f aca="false">INDEX('Tabela Passaro'!$V$2:$V$1795,$N415)</f>
        <v>0</v>
      </c>
      <c r="AA415" s="32" t="n">
        <f aca="false">SUM(R415:Z415)</f>
        <v>107.00396</v>
      </c>
      <c r="AB415" s="33" t="n">
        <f aca="false">INDEX(Premissas!$B$5:$B$13,MATCH(A415,Premissas!$A$5:$A$13,0))</f>
        <v>0.07</v>
      </c>
      <c r="AC415" s="32" t="n">
        <f aca="false">AA415/(1-AB415)-AA415</f>
        <v>8.05406150537635</v>
      </c>
      <c r="AD415" s="32" t="n">
        <f aca="false">ROUND(AA415+AC415,2)</f>
        <v>115.06</v>
      </c>
      <c r="AE415" s="32" t="n">
        <f aca="false">AD415-L415</f>
        <v>-48.8</v>
      </c>
      <c r="AF415" s="34" t="n">
        <f aca="false">IF(L415=0,0,AE415/L415)</f>
        <v>-0.29781520810448</v>
      </c>
      <c r="AG415" s="22" t="str">
        <f aca="false">IF(AD415&lt;L415,"PASSARO","ATUAL")</f>
        <v>PASSARO</v>
      </c>
      <c r="AH415" s="22" t="str">
        <f aca="false">IF(P415&lt;&gt;A415,"Faixa cadastrada como "&amp;P415&amp;" na tabela; preço aplicado pela UF do CEP","")</f>
        <v/>
      </c>
      <c r="AI415" s="26" t="n">
        <v>146.93</v>
      </c>
      <c r="AJ415" s="22" t="str">
        <f aca="false">INDEX('Tabela Passaro'!$X$2:$X$1795,$N415)</f>
        <v>CAPITAL</v>
      </c>
    </row>
    <row r="416" customFormat="false" ht="15" hidden="false" customHeight="false" outlineLevel="0" collapsed="false">
      <c r="A416" s="22" t="s">
        <v>16</v>
      </c>
      <c r="B416" s="22" t="n">
        <v>1</v>
      </c>
      <c r="C416" s="22" t="s">
        <v>75</v>
      </c>
      <c r="D416" s="22" t="s">
        <v>30</v>
      </c>
      <c r="E416" s="22" t="s">
        <v>7326</v>
      </c>
      <c r="F416" s="22" t="n">
        <v>528269</v>
      </c>
      <c r="G416" s="30" t="n">
        <v>46262</v>
      </c>
      <c r="H416" s="22" t="n">
        <v>630024</v>
      </c>
      <c r="I416" s="22" t="s">
        <v>7702</v>
      </c>
      <c r="J416" s="31" t="n">
        <v>63.1</v>
      </c>
      <c r="K416" s="26" t="n">
        <v>2018.81</v>
      </c>
      <c r="L416" s="26" t="n">
        <v>206.62</v>
      </c>
      <c r="M416" s="22" t="s">
        <v>694</v>
      </c>
      <c r="N416" s="22" t="n">
        <f aca="false">MATCH(M416,'Tabela Passaro'!$A$2:$A$1795,0)</f>
        <v>106</v>
      </c>
      <c r="O416" s="22" t="str">
        <f aca="false">INDEX('Tabela Passaro'!$C$2:$C$1795,$N416)</f>
        <v>SALVADOR</v>
      </c>
      <c r="P416" s="22" t="str">
        <f aca="false">INDEX('Tabela Passaro'!$B$2:$B$1795,$N416)</f>
        <v>BA</v>
      </c>
      <c r="Q416" s="22" t="n">
        <f aca="false">INDEX('Tabela Passaro'!$F$2:$F$1795,$N416)</f>
        <v>6</v>
      </c>
      <c r="R416" s="32" t="n">
        <f aca="false">IF(J416&lt;=10,INDEX('Tabela Passaro'!$G$2:$G$1795,$N416),IF(J416&lt;=30,INDEX('Tabela Passaro'!$H$2:$H$1795,$N416),IF(J416&lt;=50,INDEX('Tabela Passaro'!$I$2:$I$1795,$N416),IF(J416&lt;=70,INDEX('Tabela Passaro'!$J$2:$J$1795,$N416),IF(J416&lt;=100,INDEX('Tabela Passaro'!$K$2:$K$1795,$N416),INDEX('Tabela Passaro'!$K$2:$K$1795,$N416)+(J416-100)*INDEX('Tabela Passaro'!$L$2:$L$1795,$N416))))))</f>
        <v>73.44</v>
      </c>
      <c r="S416" s="32" t="n">
        <f aca="false">K416*INDEX('Tabela Passaro'!$M$2:$M$1795,$N416)</f>
        <v>10.09405</v>
      </c>
      <c r="T416" s="32" t="n">
        <f aca="false">K416*INDEX('Tabela Passaro'!$N$2:$N$1795,$N416)</f>
        <v>4.03762</v>
      </c>
      <c r="U416" s="32" t="n">
        <f aca="false">INDEX('Tabela Passaro'!$O$2:$O$1795,$N416)</f>
        <v>5</v>
      </c>
      <c r="V416" s="32" t="n">
        <f aca="false">ROUNDUP(J416/INDEX('Tabela Passaro'!$Q$2:$Q$1795,$N416),0)*INDEX('Tabela Passaro'!$P$2:$P$1795,$N416)</f>
        <v>5</v>
      </c>
      <c r="W416" s="32" t="n">
        <f aca="false">INDEX('Tabela Passaro'!$R$2:$R$1795,$N416)</f>
        <v>30</v>
      </c>
      <c r="X416" s="32" t="n">
        <f aca="false">ROUNDUP(J416/INDEX('Tabela Passaro'!$T$2:$T$1795,$N416),0)*INDEX('Tabela Passaro'!$S$2:$S$1795,$N416)</f>
        <v>0</v>
      </c>
      <c r="Y416" s="32" t="n">
        <f aca="false">INDEX('Tabela Passaro'!$U$2:$U$1795,$N416)</f>
        <v>0</v>
      </c>
      <c r="Z416" s="32" t="n">
        <f aca="false">INDEX('Tabela Passaro'!$V$2:$V$1795,$N416)</f>
        <v>0</v>
      </c>
      <c r="AA416" s="32" t="n">
        <f aca="false">SUM(R416:Z416)</f>
        <v>127.57167</v>
      </c>
      <c r="AB416" s="33" t="n">
        <f aca="false">INDEX(Premissas!$B$5:$B$13,MATCH(A416,Premissas!$A$5:$A$13,0))</f>
        <v>0.07</v>
      </c>
      <c r="AC416" s="32" t="n">
        <f aca="false">AA416/(1-AB416)-AA416</f>
        <v>9.60216870967743</v>
      </c>
      <c r="AD416" s="32" t="n">
        <f aca="false">ROUND(AA416+AC416,2)</f>
        <v>137.17</v>
      </c>
      <c r="AE416" s="32" t="n">
        <f aca="false">AD416-L416</f>
        <v>-69.45</v>
      </c>
      <c r="AF416" s="34" t="n">
        <f aca="false">IF(L416=0,0,AE416/L416)</f>
        <v>-0.336124286129126</v>
      </c>
      <c r="AG416" s="22" t="str">
        <f aca="false">IF(AD416&lt;L416,"PASSARO","ATUAL")</f>
        <v>PASSARO</v>
      </c>
      <c r="AH416" s="22" t="str">
        <f aca="false">IF(P416&lt;&gt;A416,"Faixa cadastrada como "&amp;P416&amp;" na tabela; preço aplicado pela UF do CEP","")</f>
        <v/>
      </c>
      <c r="AI416" s="26" t="n">
        <v>178.74</v>
      </c>
      <c r="AJ416" s="22" t="str">
        <f aca="false">INDEX('Tabela Passaro'!$X$2:$X$1795,$N416)</f>
        <v>CAPITAL</v>
      </c>
    </row>
    <row r="417" customFormat="false" ht="15" hidden="false" customHeight="false" outlineLevel="0" collapsed="false">
      <c r="A417" s="22" t="s">
        <v>16</v>
      </c>
      <c r="B417" s="22" t="n">
        <v>1</v>
      </c>
      <c r="C417" s="22" t="s">
        <v>75</v>
      </c>
      <c r="D417" s="22" t="s">
        <v>30</v>
      </c>
      <c r="E417" s="22" t="s">
        <v>7326</v>
      </c>
      <c r="F417" s="22" t="n">
        <v>528300</v>
      </c>
      <c r="G417" s="30" t="n">
        <v>46262</v>
      </c>
      <c r="H417" s="22" t="n">
        <v>630142</v>
      </c>
      <c r="I417" s="22" t="s">
        <v>7703</v>
      </c>
      <c r="J417" s="31" t="n">
        <v>45.4</v>
      </c>
      <c r="K417" s="26" t="n">
        <v>739.98</v>
      </c>
      <c r="L417" s="26" t="n">
        <v>163.98</v>
      </c>
      <c r="M417" s="22" t="s">
        <v>694</v>
      </c>
      <c r="N417" s="22" t="n">
        <f aca="false">MATCH(M417,'Tabela Passaro'!$A$2:$A$1795,0)</f>
        <v>106</v>
      </c>
      <c r="O417" s="22" t="str">
        <f aca="false">INDEX('Tabela Passaro'!$C$2:$C$1795,$N417)</f>
        <v>SALVADOR</v>
      </c>
      <c r="P417" s="22" t="str">
        <f aca="false">INDEX('Tabela Passaro'!$B$2:$B$1795,$N417)</f>
        <v>BA</v>
      </c>
      <c r="Q417" s="22" t="n">
        <f aca="false">INDEX('Tabela Passaro'!$F$2:$F$1795,$N417)</f>
        <v>6</v>
      </c>
      <c r="R417" s="32" t="n">
        <f aca="false">IF(J417&lt;=10,INDEX('Tabela Passaro'!$G$2:$G$1795,$N417),IF(J417&lt;=30,INDEX('Tabela Passaro'!$H$2:$H$1795,$N417),IF(J417&lt;=50,INDEX('Tabela Passaro'!$I$2:$I$1795,$N417),IF(J417&lt;=70,INDEX('Tabela Passaro'!$J$2:$J$1795,$N417),IF(J417&lt;=100,INDEX('Tabela Passaro'!$K$2:$K$1795,$N417),INDEX('Tabela Passaro'!$K$2:$K$1795,$N417)+(J417-100)*INDEX('Tabela Passaro'!$L$2:$L$1795,$N417))))))</f>
        <v>61.92</v>
      </c>
      <c r="S417" s="32" t="n">
        <f aca="false">K417*INDEX('Tabela Passaro'!$M$2:$M$1795,$N417)</f>
        <v>3.6999</v>
      </c>
      <c r="T417" s="32" t="n">
        <f aca="false">K417*INDEX('Tabela Passaro'!$N$2:$N$1795,$N417)</f>
        <v>1.47996</v>
      </c>
      <c r="U417" s="32" t="n">
        <f aca="false">INDEX('Tabela Passaro'!$O$2:$O$1795,$N417)</f>
        <v>5</v>
      </c>
      <c r="V417" s="32" t="n">
        <f aca="false">ROUNDUP(J417/INDEX('Tabela Passaro'!$Q$2:$Q$1795,$N417),0)*INDEX('Tabela Passaro'!$P$2:$P$1795,$N417)</f>
        <v>5</v>
      </c>
      <c r="W417" s="32" t="n">
        <f aca="false">INDEX('Tabela Passaro'!$R$2:$R$1795,$N417)</f>
        <v>30</v>
      </c>
      <c r="X417" s="32" t="n">
        <f aca="false">ROUNDUP(J417/INDEX('Tabela Passaro'!$T$2:$T$1795,$N417),0)*INDEX('Tabela Passaro'!$S$2:$S$1795,$N417)</f>
        <v>0</v>
      </c>
      <c r="Y417" s="32" t="n">
        <f aca="false">INDEX('Tabela Passaro'!$U$2:$U$1795,$N417)</f>
        <v>0</v>
      </c>
      <c r="Z417" s="32" t="n">
        <f aca="false">INDEX('Tabela Passaro'!$V$2:$V$1795,$N417)</f>
        <v>0</v>
      </c>
      <c r="AA417" s="32" t="n">
        <f aca="false">SUM(R417:Z417)</f>
        <v>107.09986</v>
      </c>
      <c r="AB417" s="33" t="n">
        <f aca="false">INDEX(Premissas!$B$5:$B$13,MATCH(A417,Premissas!$A$5:$A$13,0))</f>
        <v>0.07</v>
      </c>
      <c r="AC417" s="32" t="n">
        <f aca="false">AA417/(1-AB417)-AA417</f>
        <v>8.06127978494625</v>
      </c>
      <c r="AD417" s="32" t="n">
        <f aca="false">ROUND(AA417+AC417,2)</f>
        <v>115.16</v>
      </c>
      <c r="AE417" s="32" t="n">
        <f aca="false">AD417-L417</f>
        <v>-48.82</v>
      </c>
      <c r="AF417" s="34" t="n">
        <f aca="false">IF(L417=0,0,AE417/L417)</f>
        <v>-0.297719234052933</v>
      </c>
      <c r="AG417" s="22" t="str">
        <f aca="false">IF(AD417&lt;L417,"PASSARO","ATUAL")</f>
        <v>PASSARO</v>
      </c>
      <c r="AH417" s="22" t="str">
        <f aca="false">IF(P417&lt;&gt;A417,"Faixa cadastrada como "&amp;P417&amp;" na tabela; preço aplicado pela UF do CEP","")</f>
        <v/>
      </c>
      <c r="AI417" s="26" t="n">
        <v>145.13</v>
      </c>
      <c r="AJ417" s="22" t="str">
        <f aca="false">INDEX('Tabela Passaro'!$X$2:$X$1795,$N417)</f>
        <v>CAPITAL</v>
      </c>
    </row>
    <row r="418" customFormat="false" ht="15" hidden="false" customHeight="false" outlineLevel="0" collapsed="false">
      <c r="A418" s="22" t="s">
        <v>16</v>
      </c>
      <c r="B418" s="22" t="n">
        <v>1</v>
      </c>
      <c r="C418" s="22" t="s">
        <v>75</v>
      </c>
      <c r="D418" s="22" t="s">
        <v>30</v>
      </c>
      <c r="E418" s="22" t="s">
        <v>7326</v>
      </c>
      <c r="F418" s="22" t="n">
        <v>528303</v>
      </c>
      <c r="G418" s="30" t="n">
        <v>46262</v>
      </c>
      <c r="H418" s="22" t="n">
        <v>630143</v>
      </c>
      <c r="I418" s="22" t="s">
        <v>7704</v>
      </c>
      <c r="J418" s="31" t="n">
        <v>34.8</v>
      </c>
      <c r="K418" s="26" t="n">
        <v>575.14</v>
      </c>
      <c r="L418" s="26" t="n">
        <v>162.58</v>
      </c>
      <c r="M418" s="22" t="s">
        <v>694</v>
      </c>
      <c r="N418" s="22" t="n">
        <f aca="false">MATCH(M418,'Tabela Passaro'!$A$2:$A$1795,0)</f>
        <v>106</v>
      </c>
      <c r="O418" s="22" t="str">
        <f aca="false">INDEX('Tabela Passaro'!$C$2:$C$1795,$N418)</f>
        <v>SALVADOR</v>
      </c>
      <c r="P418" s="22" t="str">
        <f aca="false">INDEX('Tabela Passaro'!$B$2:$B$1795,$N418)</f>
        <v>BA</v>
      </c>
      <c r="Q418" s="22" t="n">
        <f aca="false">INDEX('Tabela Passaro'!$F$2:$F$1795,$N418)</f>
        <v>6</v>
      </c>
      <c r="R418" s="32" t="n">
        <f aca="false">IF(J418&lt;=10,INDEX('Tabela Passaro'!$G$2:$G$1795,$N418),IF(J418&lt;=30,INDEX('Tabela Passaro'!$H$2:$H$1795,$N418),IF(J418&lt;=50,INDEX('Tabela Passaro'!$I$2:$I$1795,$N418),IF(J418&lt;=70,INDEX('Tabela Passaro'!$J$2:$J$1795,$N418),IF(J418&lt;=100,INDEX('Tabela Passaro'!$K$2:$K$1795,$N418),INDEX('Tabela Passaro'!$K$2:$K$1795,$N418)+(J418-100)*INDEX('Tabela Passaro'!$L$2:$L$1795,$N418))))))</f>
        <v>61.92</v>
      </c>
      <c r="S418" s="32" t="n">
        <f aca="false">K418*INDEX('Tabela Passaro'!$M$2:$M$1795,$N418)</f>
        <v>2.8757</v>
      </c>
      <c r="T418" s="32" t="n">
        <f aca="false">K418*INDEX('Tabela Passaro'!$N$2:$N$1795,$N418)</f>
        <v>1.15028</v>
      </c>
      <c r="U418" s="32" t="n">
        <f aca="false">INDEX('Tabela Passaro'!$O$2:$O$1795,$N418)</f>
        <v>5</v>
      </c>
      <c r="V418" s="32" t="n">
        <f aca="false">ROUNDUP(J418/INDEX('Tabela Passaro'!$Q$2:$Q$1795,$N418),0)*INDEX('Tabela Passaro'!$P$2:$P$1795,$N418)</f>
        <v>5</v>
      </c>
      <c r="W418" s="32" t="n">
        <f aca="false">INDEX('Tabela Passaro'!$R$2:$R$1795,$N418)</f>
        <v>30</v>
      </c>
      <c r="X418" s="32" t="n">
        <f aca="false">ROUNDUP(J418/INDEX('Tabela Passaro'!$T$2:$T$1795,$N418),0)*INDEX('Tabela Passaro'!$S$2:$S$1795,$N418)</f>
        <v>0</v>
      </c>
      <c r="Y418" s="32" t="n">
        <f aca="false">INDEX('Tabela Passaro'!$U$2:$U$1795,$N418)</f>
        <v>0</v>
      </c>
      <c r="Z418" s="32" t="n">
        <f aca="false">INDEX('Tabela Passaro'!$V$2:$V$1795,$N418)</f>
        <v>0</v>
      </c>
      <c r="AA418" s="32" t="n">
        <f aca="false">SUM(R418:Z418)</f>
        <v>105.94598</v>
      </c>
      <c r="AB418" s="33" t="n">
        <f aca="false">INDEX(Premissas!$B$5:$B$13,MATCH(A418,Premissas!$A$5:$A$13,0))</f>
        <v>0.07</v>
      </c>
      <c r="AC418" s="32" t="n">
        <f aca="false">AA418/(1-AB418)-AA418</f>
        <v>7.97442860215054</v>
      </c>
      <c r="AD418" s="32" t="n">
        <f aca="false">ROUND(AA418+AC418,2)</f>
        <v>113.92</v>
      </c>
      <c r="AE418" s="32" t="n">
        <f aca="false">AD418-L418</f>
        <v>-48.66</v>
      </c>
      <c r="AF418" s="34" t="n">
        <f aca="false">IF(L418=0,0,AE418/L418)</f>
        <v>-0.299298806741297</v>
      </c>
      <c r="AG418" s="22" t="str">
        <f aca="false">IF(AD418&lt;L418,"PASSARO","ATUAL")</f>
        <v>PASSARO</v>
      </c>
      <c r="AH418" s="22" t="str">
        <f aca="false">IF(P418&lt;&gt;A418,"Faixa cadastrada como "&amp;P418&amp;" na tabela; preço aplicado pela UF do CEP","")</f>
        <v/>
      </c>
      <c r="AI418" s="26" t="n">
        <v>138.21</v>
      </c>
      <c r="AJ418" s="22" t="str">
        <f aca="false">INDEX('Tabela Passaro'!$X$2:$X$1795,$N418)</f>
        <v>CAPITAL</v>
      </c>
    </row>
    <row r="419" customFormat="false" ht="15" hidden="false" customHeight="false" outlineLevel="0" collapsed="false">
      <c r="A419" s="22" t="s">
        <v>16</v>
      </c>
      <c r="B419" s="22" t="n">
        <v>1</v>
      </c>
      <c r="C419" s="22" t="s">
        <v>75</v>
      </c>
      <c r="D419" s="22" t="s">
        <v>30</v>
      </c>
      <c r="E419" s="22" t="s">
        <v>7326</v>
      </c>
      <c r="F419" s="22" t="n">
        <v>528305</v>
      </c>
      <c r="G419" s="30" t="n">
        <v>46262</v>
      </c>
      <c r="H419" s="22" t="n">
        <v>630145</v>
      </c>
      <c r="I419" s="22" t="s">
        <v>7705</v>
      </c>
      <c r="J419" s="31" t="n">
        <v>73.1</v>
      </c>
      <c r="K419" s="26" t="n">
        <v>1049.98</v>
      </c>
      <c r="L419" s="26" t="n">
        <v>252.83</v>
      </c>
      <c r="M419" s="22" t="s">
        <v>694</v>
      </c>
      <c r="N419" s="22" t="n">
        <f aca="false">MATCH(M419,'Tabela Passaro'!$A$2:$A$1795,0)</f>
        <v>106</v>
      </c>
      <c r="O419" s="22" t="str">
        <f aca="false">INDEX('Tabela Passaro'!$C$2:$C$1795,$N419)</f>
        <v>SALVADOR</v>
      </c>
      <c r="P419" s="22" t="str">
        <f aca="false">INDEX('Tabela Passaro'!$B$2:$B$1795,$N419)</f>
        <v>BA</v>
      </c>
      <c r="Q419" s="22" t="n">
        <f aca="false">INDEX('Tabela Passaro'!$F$2:$F$1795,$N419)</f>
        <v>6</v>
      </c>
      <c r="R419" s="32" t="n">
        <f aca="false">IF(J419&lt;=10,INDEX('Tabela Passaro'!$G$2:$G$1795,$N419),IF(J419&lt;=30,INDEX('Tabela Passaro'!$H$2:$H$1795,$N419),IF(J419&lt;=50,INDEX('Tabela Passaro'!$I$2:$I$1795,$N419),IF(J419&lt;=70,INDEX('Tabela Passaro'!$J$2:$J$1795,$N419),IF(J419&lt;=100,INDEX('Tabela Passaro'!$K$2:$K$1795,$N419),INDEX('Tabela Passaro'!$K$2:$K$1795,$N419)+(J419-100)*INDEX('Tabela Passaro'!$L$2:$L$1795,$N419))))))</f>
        <v>84.96</v>
      </c>
      <c r="S419" s="32" t="n">
        <f aca="false">K419*INDEX('Tabela Passaro'!$M$2:$M$1795,$N419)</f>
        <v>5.2499</v>
      </c>
      <c r="T419" s="32" t="n">
        <f aca="false">K419*INDEX('Tabela Passaro'!$N$2:$N$1795,$N419)</f>
        <v>2.09996</v>
      </c>
      <c r="U419" s="32" t="n">
        <f aca="false">INDEX('Tabela Passaro'!$O$2:$O$1795,$N419)</f>
        <v>5</v>
      </c>
      <c r="V419" s="32" t="n">
        <f aca="false">ROUNDUP(J419/INDEX('Tabela Passaro'!$Q$2:$Q$1795,$N419),0)*INDEX('Tabela Passaro'!$P$2:$P$1795,$N419)</f>
        <v>5</v>
      </c>
      <c r="W419" s="32" t="n">
        <f aca="false">INDEX('Tabela Passaro'!$R$2:$R$1795,$N419)</f>
        <v>30</v>
      </c>
      <c r="X419" s="32" t="n">
        <f aca="false">ROUNDUP(J419/INDEX('Tabela Passaro'!$T$2:$T$1795,$N419),0)*INDEX('Tabela Passaro'!$S$2:$S$1795,$N419)</f>
        <v>0</v>
      </c>
      <c r="Y419" s="32" t="n">
        <f aca="false">INDEX('Tabela Passaro'!$U$2:$U$1795,$N419)</f>
        <v>0</v>
      </c>
      <c r="Z419" s="32" t="n">
        <f aca="false">INDEX('Tabela Passaro'!$V$2:$V$1795,$N419)</f>
        <v>0</v>
      </c>
      <c r="AA419" s="32" t="n">
        <f aca="false">SUM(R419:Z419)</f>
        <v>132.30986</v>
      </c>
      <c r="AB419" s="33" t="n">
        <f aca="false">INDEX(Premissas!$B$5:$B$13,MATCH(A419,Premissas!$A$5:$A$13,0))</f>
        <v>0.07</v>
      </c>
      <c r="AC419" s="32" t="n">
        <f aca="false">AA419/(1-AB419)-AA419</f>
        <v>9.95880666666668</v>
      </c>
      <c r="AD419" s="32" t="n">
        <f aca="false">ROUND(AA419+AC419,2)</f>
        <v>142.27</v>
      </c>
      <c r="AE419" s="32" t="n">
        <f aca="false">AD419-L419</f>
        <v>-110.56</v>
      </c>
      <c r="AF419" s="34" t="n">
        <f aca="false">IF(L419=0,0,AE419/L419)</f>
        <v>-0.437289878574536</v>
      </c>
      <c r="AG419" s="22" t="str">
        <f aca="false">IF(AD419&lt;L419,"PASSARO","ATUAL")</f>
        <v>PASSARO</v>
      </c>
      <c r="AH419" s="22" t="str">
        <f aca="false">IF(P419&lt;&gt;A419,"Faixa cadastrada como "&amp;P419&amp;" na tabela; preço aplicado pela UF do CEP","")</f>
        <v/>
      </c>
      <c r="AI419" s="26" t="n">
        <v>186.72</v>
      </c>
      <c r="AJ419" s="22" t="str">
        <f aca="false">INDEX('Tabela Passaro'!$X$2:$X$1795,$N419)</f>
        <v>CAPITAL</v>
      </c>
    </row>
    <row r="420" customFormat="false" ht="15" hidden="false" customHeight="false" outlineLevel="0" collapsed="false">
      <c r="A420" s="22" t="s">
        <v>16</v>
      </c>
      <c r="B420" s="22" t="n">
        <v>1</v>
      </c>
      <c r="C420" s="22" t="s">
        <v>75</v>
      </c>
      <c r="D420" s="22" t="s">
        <v>30</v>
      </c>
      <c r="E420" s="22" t="s">
        <v>7326</v>
      </c>
      <c r="F420" s="22" t="n">
        <v>528345</v>
      </c>
      <c r="G420" s="30" t="n">
        <v>46262</v>
      </c>
      <c r="H420" s="22" t="n">
        <v>630432</v>
      </c>
      <c r="I420" s="22" t="s">
        <v>7706</v>
      </c>
      <c r="J420" s="31" t="n">
        <v>46.8</v>
      </c>
      <c r="K420" s="26" t="n">
        <v>599.78</v>
      </c>
      <c r="L420" s="26" t="n">
        <v>162.78</v>
      </c>
      <c r="M420" s="22" t="s">
        <v>694</v>
      </c>
      <c r="N420" s="22" t="n">
        <f aca="false">MATCH(M420,'Tabela Passaro'!$A$2:$A$1795,0)</f>
        <v>106</v>
      </c>
      <c r="O420" s="22" t="str">
        <f aca="false">INDEX('Tabela Passaro'!$C$2:$C$1795,$N420)</f>
        <v>SALVADOR</v>
      </c>
      <c r="P420" s="22" t="str">
        <f aca="false">INDEX('Tabela Passaro'!$B$2:$B$1795,$N420)</f>
        <v>BA</v>
      </c>
      <c r="Q420" s="22" t="n">
        <f aca="false">INDEX('Tabela Passaro'!$F$2:$F$1795,$N420)</f>
        <v>6</v>
      </c>
      <c r="R420" s="32" t="n">
        <f aca="false">IF(J420&lt;=10,INDEX('Tabela Passaro'!$G$2:$G$1795,$N420),IF(J420&lt;=30,INDEX('Tabela Passaro'!$H$2:$H$1795,$N420),IF(J420&lt;=50,INDEX('Tabela Passaro'!$I$2:$I$1795,$N420),IF(J420&lt;=70,INDEX('Tabela Passaro'!$J$2:$J$1795,$N420),IF(J420&lt;=100,INDEX('Tabela Passaro'!$K$2:$K$1795,$N420),INDEX('Tabela Passaro'!$K$2:$K$1795,$N420)+(J420-100)*INDEX('Tabela Passaro'!$L$2:$L$1795,$N420))))))</f>
        <v>61.92</v>
      </c>
      <c r="S420" s="32" t="n">
        <f aca="false">K420*INDEX('Tabela Passaro'!$M$2:$M$1795,$N420)</f>
        <v>2.9989</v>
      </c>
      <c r="T420" s="32" t="n">
        <f aca="false">K420*INDEX('Tabela Passaro'!$N$2:$N$1795,$N420)</f>
        <v>1.19956</v>
      </c>
      <c r="U420" s="32" t="n">
        <f aca="false">INDEX('Tabela Passaro'!$O$2:$O$1795,$N420)</f>
        <v>5</v>
      </c>
      <c r="V420" s="32" t="n">
        <f aca="false">ROUNDUP(J420/INDEX('Tabela Passaro'!$Q$2:$Q$1795,$N420),0)*INDEX('Tabela Passaro'!$P$2:$P$1795,$N420)</f>
        <v>5</v>
      </c>
      <c r="W420" s="32" t="n">
        <f aca="false">INDEX('Tabela Passaro'!$R$2:$R$1795,$N420)</f>
        <v>30</v>
      </c>
      <c r="X420" s="32" t="n">
        <f aca="false">ROUNDUP(J420/INDEX('Tabela Passaro'!$T$2:$T$1795,$N420),0)*INDEX('Tabela Passaro'!$S$2:$S$1795,$N420)</f>
        <v>0</v>
      </c>
      <c r="Y420" s="32" t="n">
        <f aca="false">INDEX('Tabela Passaro'!$U$2:$U$1795,$N420)</f>
        <v>0</v>
      </c>
      <c r="Z420" s="32" t="n">
        <f aca="false">INDEX('Tabela Passaro'!$V$2:$V$1795,$N420)</f>
        <v>0</v>
      </c>
      <c r="AA420" s="32" t="n">
        <f aca="false">SUM(R420:Z420)</f>
        <v>106.11846</v>
      </c>
      <c r="AB420" s="33" t="n">
        <f aca="false">INDEX(Premissas!$B$5:$B$13,MATCH(A420,Premissas!$A$5:$A$13,0))</f>
        <v>0.07</v>
      </c>
      <c r="AC420" s="32" t="n">
        <f aca="false">AA420/(1-AB420)-AA420</f>
        <v>7.98741096774194</v>
      </c>
      <c r="AD420" s="32" t="n">
        <f aca="false">ROUND(AA420+AC420,2)</f>
        <v>114.11</v>
      </c>
      <c r="AE420" s="32" t="n">
        <f aca="false">AD420-L420</f>
        <v>-48.67</v>
      </c>
      <c r="AF420" s="34" t="n">
        <f aca="false">IF(L420=0,0,AE420/L420)</f>
        <v>-0.298992505221772</v>
      </c>
      <c r="AG420" s="22" t="str">
        <f aca="false">IF(AD420&lt;L420,"PASSARO","ATUAL")</f>
        <v>PASSARO</v>
      </c>
      <c r="AH420" s="22" t="str">
        <f aca="false">IF(P420&lt;&gt;A420,"Faixa cadastrada como "&amp;P420&amp;" na tabela; preço aplicado pela UF do CEP","")</f>
        <v/>
      </c>
      <c r="AI420" s="26" t="n">
        <v>144.26</v>
      </c>
      <c r="AJ420" s="22" t="str">
        <f aca="false">INDEX('Tabela Passaro'!$X$2:$X$1795,$N420)</f>
        <v>CAPITAL</v>
      </c>
    </row>
    <row r="421" customFormat="false" ht="15" hidden="false" customHeight="false" outlineLevel="0" collapsed="false">
      <c r="A421" s="22" t="s">
        <v>16</v>
      </c>
      <c r="B421" s="22" t="n">
        <v>1</v>
      </c>
      <c r="C421" s="22" t="s">
        <v>75</v>
      </c>
      <c r="D421" s="22" t="s">
        <v>30</v>
      </c>
      <c r="E421" s="22" t="s">
        <v>7326</v>
      </c>
      <c r="F421" s="22" t="n">
        <v>528351</v>
      </c>
      <c r="G421" s="30" t="n">
        <v>46262</v>
      </c>
      <c r="H421" s="22" t="n">
        <v>630438</v>
      </c>
      <c r="I421" s="22" t="s">
        <v>7707</v>
      </c>
      <c r="J421" s="31" t="n">
        <v>33</v>
      </c>
      <c r="K421" s="26" t="n">
        <v>647.98</v>
      </c>
      <c r="L421" s="26" t="n">
        <v>163.19</v>
      </c>
      <c r="M421" s="22" t="s">
        <v>694</v>
      </c>
      <c r="N421" s="22" t="n">
        <f aca="false">MATCH(M421,'Tabela Passaro'!$A$2:$A$1795,0)</f>
        <v>106</v>
      </c>
      <c r="O421" s="22" t="str">
        <f aca="false">INDEX('Tabela Passaro'!$C$2:$C$1795,$N421)</f>
        <v>SALVADOR</v>
      </c>
      <c r="P421" s="22" t="str">
        <f aca="false">INDEX('Tabela Passaro'!$B$2:$B$1795,$N421)</f>
        <v>BA</v>
      </c>
      <c r="Q421" s="22" t="n">
        <f aca="false">INDEX('Tabela Passaro'!$F$2:$F$1795,$N421)</f>
        <v>6</v>
      </c>
      <c r="R421" s="32" t="n">
        <f aca="false">IF(J421&lt;=10,INDEX('Tabela Passaro'!$G$2:$G$1795,$N421),IF(J421&lt;=30,INDEX('Tabela Passaro'!$H$2:$H$1795,$N421),IF(J421&lt;=50,INDEX('Tabela Passaro'!$I$2:$I$1795,$N421),IF(J421&lt;=70,INDEX('Tabela Passaro'!$J$2:$J$1795,$N421),IF(J421&lt;=100,INDEX('Tabela Passaro'!$K$2:$K$1795,$N421),INDEX('Tabela Passaro'!$K$2:$K$1795,$N421)+(J421-100)*INDEX('Tabela Passaro'!$L$2:$L$1795,$N421))))))</f>
        <v>61.92</v>
      </c>
      <c r="S421" s="32" t="n">
        <f aca="false">K421*INDEX('Tabela Passaro'!$M$2:$M$1795,$N421)</f>
        <v>3.2399</v>
      </c>
      <c r="T421" s="32" t="n">
        <f aca="false">K421*INDEX('Tabela Passaro'!$N$2:$N$1795,$N421)</f>
        <v>1.29596</v>
      </c>
      <c r="U421" s="32" t="n">
        <f aca="false">INDEX('Tabela Passaro'!$O$2:$O$1795,$N421)</f>
        <v>5</v>
      </c>
      <c r="V421" s="32" t="n">
        <f aca="false">ROUNDUP(J421/INDEX('Tabela Passaro'!$Q$2:$Q$1795,$N421),0)*INDEX('Tabela Passaro'!$P$2:$P$1795,$N421)</f>
        <v>5</v>
      </c>
      <c r="W421" s="32" t="n">
        <f aca="false">INDEX('Tabela Passaro'!$R$2:$R$1795,$N421)</f>
        <v>30</v>
      </c>
      <c r="X421" s="32" t="n">
        <f aca="false">ROUNDUP(J421/INDEX('Tabela Passaro'!$T$2:$T$1795,$N421),0)*INDEX('Tabela Passaro'!$S$2:$S$1795,$N421)</f>
        <v>0</v>
      </c>
      <c r="Y421" s="32" t="n">
        <f aca="false">INDEX('Tabela Passaro'!$U$2:$U$1795,$N421)</f>
        <v>0</v>
      </c>
      <c r="Z421" s="32" t="n">
        <f aca="false">INDEX('Tabela Passaro'!$V$2:$V$1795,$N421)</f>
        <v>0</v>
      </c>
      <c r="AA421" s="32" t="n">
        <f aca="false">SUM(R421:Z421)</f>
        <v>106.45586</v>
      </c>
      <c r="AB421" s="33" t="n">
        <f aca="false">INDEX(Premissas!$B$5:$B$13,MATCH(A421,Premissas!$A$5:$A$13,0))</f>
        <v>0.07</v>
      </c>
      <c r="AC421" s="32" t="n">
        <f aca="false">AA421/(1-AB421)-AA421</f>
        <v>8.01280666666668</v>
      </c>
      <c r="AD421" s="32" t="n">
        <f aca="false">ROUND(AA421+AC421,2)</f>
        <v>114.47</v>
      </c>
      <c r="AE421" s="32" t="n">
        <f aca="false">AD421-L421</f>
        <v>-48.72</v>
      </c>
      <c r="AF421" s="34" t="n">
        <f aca="false">IF(L421=0,0,AE421/L421)</f>
        <v>-0.298547705128991</v>
      </c>
      <c r="AG421" s="22" t="str">
        <f aca="false">IF(AD421&lt;L421,"PASSARO","ATUAL")</f>
        <v>PASSARO</v>
      </c>
      <c r="AH421" s="22" t="str">
        <f aca="false">IF(P421&lt;&gt;A421,"Faixa cadastrada como "&amp;P421&amp;" na tabela; preço aplicado pela UF do CEP","")</f>
        <v/>
      </c>
      <c r="AI421" s="26" t="n">
        <v>137.95</v>
      </c>
      <c r="AJ421" s="22" t="str">
        <f aca="false">INDEX('Tabela Passaro'!$X$2:$X$1795,$N421)</f>
        <v>CAPITAL</v>
      </c>
    </row>
    <row r="422" customFormat="false" ht="15" hidden="false" customHeight="false" outlineLevel="0" collapsed="false">
      <c r="A422" s="22" t="s">
        <v>16</v>
      </c>
      <c r="B422" s="22" t="n">
        <v>1</v>
      </c>
      <c r="C422" s="22" t="s">
        <v>75</v>
      </c>
      <c r="D422" s="22" t="s">
        <v>30</v>
      </c>
      <c r="E422" s="22" t="s">
        <v>16</v>
      </c>
      <c r="F422" s="22" t="n">
        <v>207790</v>
      </c>
      <c r="G422" s="30" t="n">
        <v>46263</v>
      </c>
      <c r="H422" s="22" t="n">
        <v>613626</v>
      </c>
      <c r="I422" s="22" t="s">
        <v>7708</v>
      </c>
      <c r="J422" s="31" t="n">
        <v>106.3</v>
      </c>
      <c r="K422" s="26" t="n">
        <v>1761.98</v>
      </c>
      <c r="L422" s="26" t="n">
        <v>311.69</v>
      </c>
      <c r="M422" s="22" t="s">
        <v>694</v>
      </c>
      <c r="N422" s="22" t="n">
        <f aca="false">MATCH(M422,'Tabela Passaro'!$A$2:$A$1795,0)</f>
        <v>106</v>
      </c>
      <c r="O422" s="22" t="str">
        <f aca="false">INDEX('Tabela Passaro'!$C$2:$C$1795,$N422)</f>
        <v>SALVADOR</v>
      </c>
      <c r="P422" s="22" t="str">
        <f aca="false">INDEX('Tabela Passaro'!$B$2:$B$1795,$N422)</f>
        <v>BA</v>
      </c>
      <c r="Q422" s="22" t="n">
        <f aca="false">INDEX('Tabela Passaro'!$F$2:$F$1795,$N422)</f>
        <v>6</v>
      </c>
      <c r="R422" s="32" t="n">
        <f aca="false">IF(J422&lt;=10,INDEX('Tabela Passaro'!$G$2:$G$1795,$N422),IF(J422&lt;=30,INDEX('Tabela Passaro'!$H$2:$H$1795,$N422),IF(J422&lt;=50,INDEX('Tabela Passaro'!$I$2:$I$1795,$N422),IF(J422&lt;=70,INDEX('Tabela Passaro'!$J$2:$J$1795,$N422),IF(J422&lt;=100,INDEX('Tabela Passaro'!$K$2:$K$1795,$N422),INDEX('Tabela Passaro'!$K$2:$K$1795,$N422)+(J422-100)*INDEX('Tabela Passaro'!$L$2:$L$1795,$N422))))))</f>
        <v>92.268</v>
      </c>
      <c r="S422" s="32" t="n">
        <f aca="false">K422*INDEX('Tabela Passaro'!$M$2:$M$1795,$N422)</f>
        <v>8.8099</v>
      </c>
      <c r="T422" s="32" t="n">
        <f aca="false">K422*INDEX('Tabela Passaro'!$N$2:$N$1795,$N422)</f>
        <v>3.52396</v>
      </c>
      <c r="U422" s="32" t="n">
        <f aca="false">INDEX('Tabela Passaro'!$O$2:$O$1795,$N422)</f>
        <v>5</v>
      </c>
      <c r="V422" s="32" t="n">
        <f aca="false">ROUNDUP(J422/INDEX('Tabela Passaro'!$Q$2:$Q$1795,$N422),0)*INDEX('Tabela Passaro'!$P$2:$P$1795,$N422)</f>
        <v>10</v>
      </c>
      <c r="W422" s="32" t="n">
        <f aca="false">INDEX('Tabela Passaro'!$R$2:$R$1795,$N422)</f>
        <v>30</v>
      </c>
      <c r="X422" s="32" t="n">
        <f aca="false">ROUNDUP(J422/INDEX('Tabela Passaro'!$T$2:$T$1795,$N422),0)*INDEX('Tabela Passaro'!$S$2:$S$1795,$N422)</f>
        <v>0</v>
      </c>
      <c r="Y422" s="32" t="n">
        <f aca="false">INDEX('Tabela Passaro'!$U$2:$U$1795,$N422)</f>
        <v>0</v>
      </c>
      <c r="Z422" s="32" t="n">
        <f aca="false">INDEX('Tabela Passaro'!$V$2:$V$1795,$N422)</f>
        <v>0</v>
      </c>
      <c r="AA422" s="32" t="n">
        <f aca="false">SUM(R422:Z422)</f>
        <v>149.60186</v>
      </c>
      <c r="AB422" s="33" t="n">
        <f aca="false">INDEX(Premissas!$B$5:$B$13,MATCH(A422,Premissas!$A$5:$A$13,0))</f>
        <v>0.07</v>
      </c>
      <c r="AC422" s="32" t="n">
        <f aca="false">AA422/(1-AB422)-AA422</f>
        <v>11.2603550537634</v>
      </c>
      <c r="AD422" s="32" t="n">
        <f aca="false">ROUND(AA422+AC422,2)</f>
        <v>160.86</v>
      </c>
      <c r="AE422" s="32" t="n">
        <f aca="false">AD422-L422</f>
        <v>-150.83</v>
      </c>
      <c r="AF422" s="34" t="n">
        <f aca="false">IF(L422=0,0,AE422/L422)</f>
        <v>-0.483910295485899</v>
      </c>
      <c r="AG422" s="22" t="str">
        <f aca="false">IF(AD422&lt;L422,"PASSARO","ATUAL")</f>
        <v>PASSARO</v>
      </c>
      <c r="AH422" s="22" t="str">
        <f aca="false">IF(P422&lt;&gt;A422,"Faixa cadastrada como "&amp;P422&amp;" na tabela; preço aplicado pela UF do CEP","")</f>
        <v/>
      </c>
      <c r="AI422" s="26" t="n">
        <v>223.83</v>
      </c>
      <c r="AJ422" s="22" t="str">
        <f aca="false">INDEX('Tabela Passaro'!$X$2:$X$1795,$N422)</f>
        <v>CAPITAL</v>
      </c>
    </row>
    <row r="423" customFormat="false" ht="15" hidden="false" customHeight="false" outlineLevel="0" collapsed="false">
      <c r="A423" s="22" t="s">
        <v>16</v>
      </c>
      <c r="B423" s="22" t="n">
        <v>1</v>
      </c>
      <c r="C423" s="22" t="s">
        <v>75</v>
      </c>
      <c r="D423" s="22" t="s">
        <v>30</v>
      </c>
      <c r="E423" s="22" t="s">
        <v>20</v>
      </c>
      <c r="F423" s="22" t="n">
        <v>840612</v>
      </c>
      <c r="G423" s="30" t="n">
        <v>46265</v>
      </c>
      <c r="H423" s="22" t="n">
        <v>32812</v>
      </c>
      <c r="I423" s="22" t="s">
        <v>7709</v>
      </c>
      <c r="J423" s="31" t="n">
        <v>134.4</v>
      </c>
      <c r="K423" s="26" t="n">
        <v>2185.98</v>
      </c>
      <c r="L423" s="26" t="n">
        <v>257.88</v>
      </c>
      <c r="M423" s="22" t="s">
        <v>694</v>
      </c>
      <c r="N423" s="22" t="n">
        <f aca="false">MATCH(M423,'Tabela Passaro'!$A$2:$A$1795,0)</f>
        <v>106</v>
      </c>
      <c r="O423" s="22" t="str">
        <f aca="false">INDEX('Tabela Passaro'!$C$2:$C$1795,$N423)</f>
        <v>SALVADOR</v>
      </c>
      <c r="P423" s="22" t="str">
        <f aca="false">INDEX('Tabela Passaro'!$B$2:$B$1795,$N423)</f>
        <v>BA</v>
      </c>
      <c r="Q423" s="22" t="n">
        <f aca="false">INDEX('Tabela Passaro'!$F$2:$F$1795,$N423)</f>
        <v>6</v>
      </c>
      <c r="R423" s="32" t="n">
        <f aca="false">IF(J423&lt;=10,INDEX('Tabela Passaro'!$G$2:$G$1795,$N423),IF(J423&lt;=30,INDEX('Tabela Passaro'!$H$2:$H$1795,$N423),IF(J423&lt;=50,INDEX('Tabela Passaro'!$I$2:$I$1795,$N423),IF(J423&lt;=70,INDEX('Tabela Passaro'!$J$2:$J$1795,$N423),IF(J423&lt;=100,INDEX('Tabela Passaro'!$K$2:$K$1795,$N423),INDEX('Tabela Passaro'!$K$2:$K$1795,$N423)+(J423-100)*INDEX('Tabela Passaro'!$L$2:$L$1795,$N423))))))</f>
        <v>124.864</v>
      </c>
      <c r="S423" s="32" t="n">
        <f aca="false">K423*INDEX('Tabela Passaro'!$M$2:$M$1795,$N423)</f>
        <v>10.9299</v>
      </c>
      <c r="T423" s="32" t="n">
        <f aca="false">K423*INDEX('Tabela Passaro'!$N$2:$N$1795,$N423)</f>
        <v>4.37196</v>
      </c>
      <c r="U423" s="32" t="n">
        <f aca="false">INDEX('Tabela Passaro'!$O$2:$O$1795,$N423)</f>
        <v>5</v>
      </c>
      <c r="V423" s="32" t="n">
        <f aca="false">ROUNDUP(J423/INDEX('Tabela Passaro'!$Q$2:$Q$1795,$N423),0)*INDEX('Tabela Passaro'!$P$2:$P$1795,$N423)</f>
        <v>10</v>
      </c>
      <c r="W423" s="32" t="n">
        <f aca="false">INDEX('Tabela Passaro'!$R$2:$R$1795,$N423)</f>
        <v>30</v>
      </c>
      <c r="X423" s="32" t="n">
        <f aca="false">ROUNDUP(J423/INDEX('Tabela Passaro'!$T$2:$T$1795,$N423),0)*INDEX('Tabela Passaro'!$S$2:$S$1795,$N423)</f>
        <v>0</v>
      </c>
      <c r="Y423" s="32" t="n">
        <f aca="false">INDEX('Tabela Passaro'!$U$2:$U$1795,$N423)</f>
        <v>0</v>
      </c>
      <c r="Z423" s="32" t="n">
        <f aca="false">INDEX('Tabela Passaro'!$V$2:$V$1795,$N423)</f>
        <v>0</v>
      </c>
      <c r="AA423" s="32" t="n">
        <f aca="false">SUM(R423:Z423)</f>
        <v>185.16586</v>
      </c>
      <c r="AB423" s="33" t="n">
        <f aca="false">INDEX(Premissas!$B$5:$B$13,MATCH(A423,Premissas!$A$5:$A$13,0))</f>
        <v>0.07</v>
      </c>
      <c r="AC423" s="32" t="n">
        <f aca="false">AA423/(1-AB423)-AA423</f>
        <v>13.9372152688172</v>
      </c>
      <c r="AD423" s="32" t="n">
        <f aca="false">ROUND(AA423+AC423,2)</f>
        <v>199.1</v>
      </c>
      <c r="AE423" s="32" t="n">
        <f aca="false">AD423-L423</f>
        <v>-58.78</v>
      </c>
      <c r="AF423" s="34" t="n">
        <f aca="false">IF(L423=0,0,AE423/L423)</f>
        <v>-0.227935473863813</v>
      </c>
      <c r="AG423" s="22" t="str">
        <f aca="false">IF(AD423&lt;L423,"PASSARO","ATUAL")</f>
        <v>PASSARO</v>
      </c>
      <c r="AH423" s="22" t="str">
        <f aca="false">IF(P423&lt;&gt;A423,"Faixa cadastrada como "&amp;P423&amp;" na tabela; preço aplicado pela UF do CEP","")</f>
        <v/>
      </c>
      <c r="AI423" s="26" t="n">
        <v>281.06</v>
      </c>
      <c r="AJ423" s="22" t="str">
        <f aca="false">INDEX('Tabela Passaro'!$X$2:$X$1795,$N423)</f>
        <v>CAPITAL</v>
      </c>
    </row>
    <row r="424" customFormat="false" ht="15" hidden="false" customHeight="false" outlineLevel="0" collapsed="false">
      <c r="A424" s="22" t="s">
        <v>16</v>
      </c>
      <c r="B424" s="22" t="n">
        <v>1</v>
      </c>
      <c r="C424" s="22" t="s">
        <v>75</v>
      </c>
      <c r="D424" s="22" t="s">
        <v>30</v>
      </c>
      <c r="E424" s="22" t="s">
        <v>20</v>
      </c>
      <c r="F424" s="22" t="n">
        <v>840613</v>
      </c>
      <c r="G424" s="30" t="n">
        <v>46265</v>
      </c>
      <c r="H424" s="22" t="n">
        <v>32813</v>
      </c>
      <c r="I424" s="22" t="s">
        <v>7710</v>
      </c>
      <c r="J424" s="31" t="n">
        <v>21.4</v>
      </c>
      <c r="K424" s="26" t="n">
        <v>479.98</v>
      </c>
      <c r="L424" s="26" t="n">
        <v>108.61</v>
      </c>
      <c r="M424" s="22" t="s">
        <v>694</v>
      </c>
      <c r="N424" s="22" t="n">
        <f aca="false">MATCH(M424,'Tabela Passaro'!$A$2:$A$1795,0)</f>
        <v>106</v>
      </c>
      <c r="O424" s="22" t="str">
        <f aca="false">INDEX('Tabela Passaro'!$C$2:$C$1795,$N424)</f>
        <v>SALVADOR</v>
      </c>
      <c r="P424" s="22" t="str">
        <f aca="false">INDEX('Tabela Passaro'!$B$2:$B$1795,$N424)</f>
        <v>BA</v>
      </c>
      <c r="Q424" s="22" t="n">
        <f aca="false">INDEX('Tabela Passaro'!$F$2:$F$1795,$N424)</f>
        <v>6</v>
      </c>
      <c r="R424" s="32" t="n">
        <f aca="false">IF(J424&lt;=10,INDEX('Tabela Passaro'!$G$2:$G$1795,$N424),IF(J424&lt;=30,INDEX('Tabela Passaro'!$H$2:$H$1795,$N424),IF(J424&lt;=50,INDEX('Tabela Passaro'!$I$2:$I$1795,$N424),IF(J424&lt;=70,INDEX('Tabela Passaro'!$J$2:$J$1795,$N424),IF(J424&lt;=100,INDEX('Tabela Passaro'!$K$2:$K$1795,$N424),INDEX('Tabela Passaro'!$K$2:$K$1795,$N424)+(J424-100)*INDEX('Tabela Passaro'!$L$2:$L$1795,$N424))))))</f>
        <v>50.4</v>
      </c>
      <c r="S424" s="32" t="n">
        <f aca="false">K424*INDEX('Tabela Passaro'!$M$2:$M$1795,$N424)</f>
        <v>2.3999</v>
      </c>
      <c r="T424" s="32" t="n">
        <f aca="false">K424*INDEX('Tabela Passaro'!$N$2:$N$1795,$N424)</f>
        <v>0.95996</v>
      </c>
      <c r="U424" s="32" t="n">
        <f aca="false">INDEX('Tabela Passaro'!$O$2:$O$1795,$N424)</f>
        <v>5</v>
      </c>
      <c r="V424" s="32" t="n">
        <f aca="false">ROUNDUP(J424/INDEX('Tabela Passaro'!$Q$2:$Q$1795,$N424),0)*INDEX('Tabela Passaro'!$P$2:$P$1795,$N424)</f>
        <v>5</v>
      </c>
      <c r="W424" s="32" t="n">
        <f aca="false">INDEX('Tabela Passaro'!$R$2:$R$1795,$N424)</f>
        <v>30</v>
      </c>
      <c r="X424" s="32" t="n">
        <f aca="false">ROUNDUP(J424/INDEX('Tabela Passaro'!$T$2:$T$1795,$N424),0)*INDEX('Tabela Passaro'!$S$2:$S$1795,$N424)</f>
        <v>0</v>
      </c>
      <c r="Y424" s="32" t="n">
        <f aca="false">INDEX('Tabela Passaro'!$U$2:$U$1795,$N424)</f>
        <v>0</v>
      </c>
      <c r="Z424" s="32" t="n">
        <f aca="false">INDEX('Tabela Passaro'!$V$2:$V$1795,$N424)</f>
        <v>0</v>
      </c>
      <c r="AA424" s="32" t="n">
        <f aca="false">SUM(R424:Z424)</f>
        <v>93.75986</v>
      </c>
      <c r="AB424" s="33" t="n">
        <f aca="false">INDEX(Premissas!$B$5:$B$13,MATCH(A424,Premissas!$A$5:$A$13,0))</f>
        <v>0.07</v>
      </c>
      <c r="AC424" s="32" t="n">
        <f aca="false">AA424/(1-AB424)-AA424</f>
        <v>7.05719376344086</v>
      </c>
      <c r="AD424" s="32" t="n">
        <f aca="false">ROUND(AA424+AC424,2)</f>
        <v>100.82</v>
      </c>
      <c r="AE424" s="32" t="n">
        <f aca="false">AD424-L424</f>
        <v>-7.79000000000001</v>
      </c>
      <c r="AF424" s="34" t="n">
        <f aca="false">IF(L424=0,0,AE424/L424)</f>
        <v>-0.0717245189209097</v>
      </c>
      <c r="AG424" s="22" t="str">
        <f aca="false">IF(AD424&lt;L424,"PASSARO","ATUAL")</f>
        <v>PASSARO</v>
      </c>
      <c r="AH424" s="22" t="str">
        <f aca="false">IF(P424&lt;&gt;A424,"Faixa cadastrada como "&amp;P424&amp;" na tabela; preço aplicado pela UF do CEP","")</f>
        <v/>
      </c>
      <c r="AI424" s="26" t="n">
        <v>118.47</v>
      </c>
      <c r="AJ424" s="22" t="str">
        <f aca="false">INDEX('Tabela Passaro'!$X$2:$X$1795,$N424)</f>
        <v>CAPITAL</v>
      </c>
    </row>
    <row r="425" customFormat="false" ht="15" hidden="false" customHeight="false" outlineLevel="0" collapsed="false">
      <c r="A425" s="22" t="s">
        <v>16</v>
      </c>
      <c r="B425" s="22" t="n">
        <v>1</v>
      </c>
      <c r="C425" s="22" t="s">
        <v>75</v>
      </c>
      <c r="D425" s="22" t="s">
        <v>30</v>
      </c>
      <c r="E425" s="22" t="s">
        <v>20</v>
      </c>
      <c r="F425" s="22" t="n">
        <v>840623</v>
      </c>
      <c r="G425" s="30" t="n">
        <v>46265</v>
      </c>
      <c r="H425" s="22" t="n">
        <v>32822</v>
      </c>
      <c r="I425" s="22" t="s">
        <v>7711</v>
      </c>
      <c r="J425" s="31" t="n">
        <v>37.6</v>
      </c>
      <c r="K425" s="26" t="n">
        <v>526.38</v>
      </c>
      <c r="L425" s="26" t="n">
        <v>140.2</v>
      </c>
      <c r="M425" s="22" t="s">
        <v>694</v>
      </c>
      <c r="N425" s="22" t="n">
        <f aca="false">MATCH(M425,'Tabela Passaro'!$A$2:$A$1795,0)</f>
        <v>106</v>
      </c>
      <c r="O425" s="22" t="str">
        <f aca="false">INDEX('Tabela Passaro'!$C$2:$C$1795,$N425)</f>
        <v>SALVADOR</v>
      </c>
      <c r="P425" s="22" t="str">
        <f aca="false">INDEX('Tabela Passaro'!$B$2:$B$1795,$N425)</f>
        <v>BA</v>
      </c>
      <c r="Q425" s="22" t="n">
        <f aca="false">INDEX('Tabela Passaro'!$F$2:$F$1795,$N425)</f>
        <v>6</v>
      </c>
      <c r="R425" s="32" t="n">
        <f aca="false">IF(J425&lt;=10,INDEX('Tabela Passaro'!$G$2:$G$1795,$N425),IF(J425&lt;=30,INDEX('Tabela Passaro'!$H$2:$H$1795,$N425),IF(J425&lt;=50,INDEX('Tabela Passaro'!$I$2:$I$1795,$N425),IF(J425&lt;=70,INDEX('Tabela Passaro'!$J$2:$J$1795,$N425),IF(J425&lt;=100,INDEX('Tabela Passaro'!$K$2:$K$1795,$N425),INDEX('Tabela Passaro'!$K$2:$K$1795,$N425)+(J425-100)*INDEX('Tabela Passaro'!$L$2:$L$1795,$N425))))))</f>
        <v>61.92</v>
      </c>
      <c r="S425" s="32" t="n">
        <f aca="false">K425*INDEX('Tabela Passaro'!$M$2:$M$1795,$N425)</f>
        <v>2.6319</v>
      </c>
      <c r="T425" s="32" t="n">
        <f aca="false">K425*INDEX('Tabela Passaro'!$N$2:$N$1795,$N425)</f>
        <v>1.05276</v>
      </c>
      <c r="U425" s="32" t="n">
        <f aca="false">INDEX('Tabela Passaro'!$O$2:$O$1795,$N425)</f>
        <v>5</v>
      </c>
      <c r="V425" s="32" t="n">
        <f aca="false">ROUNDUP(J425/INDEX('Tabela Passaro'!$Q$2:$Q$1795,$N425),0)*INDEX('Tabela Passaro'!$P$2:$P$1795,$N425)</f>
        <v>5</v>
      </c>
      <c r="W425" s="32" t="n">
        <f aca="false">INDEX('Tabela Passaro'!$R$2:$R$1795,$N425)</f>
        <v>30</v>
      </c>
      <c r="X425" s="32" t="n">
        <f aca="false">ROUNDUP(J425/INDEX('Tabela Passaro'!$T$2:$T$1795,$N425),0)*INDEX('Tabela Passaro'!$S$2:$S$1795,$N425)</f>
        <v>0</v>
      </c>
      <c r="Y425" s="32" t="n">
        <f aca="false">INDEX('Tabela Passaro'!$U$2:$U$1795,$N425)</f>
        <v>0</v>
      </c>
      <c r="Z425" s="32" t="n">
        <f aca="false">INDEX('Tabela Passaro'!$V$2:$V$1795,$N425)</f>
        <v>0</v>
      </c>
      <c r="AA425" s="32" t="n">
        <f aca="false">SUM(R425:Z425)</f>
        <v>105.60466</v>
      </c>
      <c r="AB425" s="33" t="n">
        <f aca="false">INDEX(Premissas!$B$5:$B$13,MATCH(A425,Premissas!$A$5:$A$13,0))</f>
        <v>0.07</v>
      </c>
      <c r="AC425" s="32" t="n">
        <f aca="false">AA425/(1-AB425)-AA425</f>
        <v>7.94873784946238</v>
      </c>
      <c r="AD425" s="32" t="n">
        <f aca="false">ROUND(AA425+AC425,2)</f>
        <v>113.55</v>
      </c>
      <c r="AE425" s="32" t="n">
        <f aca="false">AD425-L425</f>
        <v>-26.65</v>
      </c>
      <c r="AF425" s="34" t="n">
        <f aca="false">IF(L425=0,0,AE425/L425)</f>
        <v>-0.190085592011412</v>
      </c>
      <c r="AG425" s="22" t="str">
        <f aca="false">IF(AD425&lt;L425,"PASSARO","ATUAL")</f>
        <v>PASSARO</v>
      </c>
      <c r="AH425" s="22" t="str">
        <f aca="false">IF(P425&lt;&gt;A425,"Faixa cadastrada como "&amp;P425&amp;" na tabela; preço aplicado pela UF do CEP","")</f>
        <v/>
      </c>
      <c r="AI425" s="26" t="n">
        <v>139.19</v>
      </c>
      <c r="AJ425" s="22" t="str">
        <f aca="false">INDEX('Tabela Passaro'!$X$2:$X$1795,$N425)</f>
        <v>CAPITAL</v>
      </c>
    </row>
    <row r="426" customFormat="false" ht="15" hidden="false" customHeight="false" outlineLevel="0" collapsed="false">
      <c r="A426" s="22" t="s">
        <v>16</v>
      </c>
      <c r="B426" s="22" t="n">
        <v>1</v>
      </c>
      <c r="C426" s="22" t="s">
        <v>75</v>
      </c>
      <c r="D426" s="22" t="s">
        <v>30</v>
      </c>
      <c r="E426" s="22" t="s">
        <v>20</v>
      </c>
      <c r="F426" s="22" t="n">
        <v>840620</v>
      </c>
      <c r="G426" s="30" t="n">
        <v>46265</v>
      </c>
      <c r="H426" s="22" t="n">
        <v>32823</v>
      </c>
      <c r="I426" s="22" t="s">
        <v>7711</v>
      </c>
      <c r="J426" s="31" t="n">
        <v>36</v>
      </c>
      <c r="K426" s="26" t="n">
        <v>581.39</v>
      </c>
      <c r="L426" s="26" t="n">
        <v>140.69</v>
      </c>
      <c r="M426" s="22" t="s">
        <v>694</v>
      </c>
      <c r="N426" s="22" t="n">
        <f aca="false">MATCH(M426,'Tabela Passaro'!$A$2:$A$1795,0)</f>
        <v>106</v>
      </c>
      <c r="O426" s="22" t="str">
        <f aca="false">INDEX('Tabela Passaro'!$C$2:$C$1795,$N426)</f>
        <v>SALVADOR</v>
      </c>
      <c r="P426" s="22" t="str">
        <f aca="false">INDEX('Tabela Passaro'!$B$2:$B$1795,$N426)</f>
        <v>BA</v>
      </c>
      <c r="Q426" s="22" t="n">
        <f aca="false">INDEX('Tabela Passaro'!$F$2:$F$1795,$N426)</f>
        <v>6</v>
      </c>
      <c r="R426" s="32" t="n">
        <f aca="false">IF(J426&lt;=10,INDEX('Tabela Passaro'!$G$2:$G$1795,$N426),IF(J426&lt;=30,INDEX('Tabela Passaro'!$H$2:$H$1795,$N426),IF(J426&lt;=50,INDEX('Tabela Passaro'!$I$2:$I$1795,$N426),IF(J426&lt;=70,INDEX('Tabela Passaro'!$J$2:$J$1795,$N426),IF(J426&lt;=100,INDEX('Tabela Passaro'!$K$2:$K$1795,$N426),INDEX('Tabela Passaro'!$K$2:$K$1795,$N426)+(J426-100)*INDEX('Tabela Passaro'!$L$2:$L$1795,$N426))))))</f>
        <v>61.92</v>
      </c>
      <c r="S426" s="32" t="n">
        <f aca="false">K426*INDEX('Tabela Passaro'!$M$2:$M$1795,$N426)</f>
        <v>2.90695</v>
      </c>
      <c r="T426" s="32" t="n">
        <f aca="false">K426*INDEX('Tabela Passaro'!$N$2:$N$1795,$N426)</f>
        <v>1.16278</v>
      </c>
      <c r="U426" s="32" t="n">
        <f aca="false">INDEX('Tabela Passaro'!$O$2:$O$1795,$N426)</f>
        <v>5</v>
      </c>
      <c r="V426" s="32" t="n">
        <f aca="false">ROUNDUP(J426/INDEX('Tabela Passaro'!$Q$2:$Q$1795,$N426),0)*INDEX('Tabela Passaro'!$P$2:$P$1795,$N426)</f>
        <v>5</v>
      </c>
      <c r="W426" s="32" t="n">
        <f aca="false">INDEX('Tabela Passaro'!$R$2:$R$1795,$N426)</f>
        <v>30</v>
      </c>
      <c r="X426" s="32" t="n">
        <f aca="false">ROUNDUP(J426/INDEX('Tabela Passaro'!$T$2:$T$1795,$N426),0)*INDEX('Tabela Passaro'!$S$2:$S$1795,$N426)</f>
        <v>0</v>
      </c>
      <c r="Y426" s="32" t="n">
        <f aca="false">INDEX('Tabela Passaro'!$U$2:$U$1795,$N426)</f>
        <v>0</v>
      </c>
      <c r="Z426" s="32" t="n">
        <f aca="false">INDEX('Tabela Passaro'!$V$2:$V$1795,$N426)</f>
        <v>0</v>
      </c>
      <c r="AA426" s="32" t="n">
        <f aca="false">SUM(R426:Z426)</f>
        <v>105.98973</v>
      </c>
      <c r="AB426" s="33" t="n">
        <f aca="false">INDEX(Premissas!$B$5:$B$13,MATCH(A426,Premissas!$A$5:$A$13,0))</f>
        <v>0.07</v>
      </c>
      <c r="AC426" s="32" t="n">
        <f aca="false">AA426/(1-AB426)-AA426</f>
        <v>7.97772161290324</v>
      </c>
      <c r="AD426" s="32" t="n">
        <f aca="false">ROUND(AA426+AC426,2)</f>
        <v>113.97</v>
      </c>
      <c r="AE426" s="32" t="n">
        <f aca="false">AD426-L426</f>
        <v>-26.72</v>
      </c>
      <c r="AF426" s="34" t="n">
        <f aca="false">IF(L426=0,0,AE426/L426)</f>
        <v>-0.189921103134551</v>
      </c>
      <c r="AG426" s="22" t="str">
        <f aca="false">IF(AD426&lt;L426,"PASSARO","ATUAL")</f>
        <v>PASSARO</v>
      </c>
      <c r="AH426" s="22" t="str">
        <f aca="false">IF(P426&lt;&gt;A426,"Faixa cadastrada como "&amp;P426&amp;" na tabela; preço aplicado pela UF do CEP","")</f>
        <v/>
      </c>
      <c r="AI426" s="26" t="n">
        <v>138.76</v>
      </c>
      <c r="AJ426" s="22" t="str">
        <f aca="false">INDEX('Tabela Passaro'!$X$2:$X$1795,$N426)</f>
        <v>CAPITAL</v>
      </c>
    </row>
    <row r="427" customFormat="false" ht="15" hidden="false" customHeight="false" outlineLevel="0" collapsed="false">
      <c r="A427" s="22" t="s">
        <v>16</v>
      </c>
      <c r="B427" s="22" t="n">
        <v>1</v>
      </c>
      <c r="C427" s="22" t="s">
        <v>75</v>
      </c>
      <c r="D427" s="22" t="s">
        <v>30</v>
      </c>
      <c r="E427" s="22" t="s">
        <v>20</v>
      </c>
      <c r="F427" s="22" t="n">
        <v>840622</v>
      </c>
      <c r="G427" s="30" t="n">
        <v>46265</v>
      </c>
      <c r="H427" s="22" t="n">
        <v>32825</v>
      </c>
      <c r="I427" s="22" t="s">
        <v>7712</v>
      </c>
      <c r="J427" s="31" t="n">
        <v>37.2</v>
      </c>
      <c r="K427" s="26" t="n">
        <v>490.76</v>
      </c>
      <c r="L427" s="26" t="n">
        <v>139.89</v>
      </c>
      <c r="M427" s="22" t="s">
        <v>694</v>
      </c>
      <c r="N427" s="22" t="n">
        <f aca="false">MATCH(M427,'Tabela Passaro'!$A$2:$A$1795,0)</f>
        <v>106</v>
      </c>
      <c r="O427" s="22" t="str">
        <f aca="false">INDEX('Tabela Passaro'!$C$2:$C$1795,$N427)</f>
        <v>SALVADOR</v>
      </c>
      <c r="P427" s="22" t="str">
        <f aca="false">INDEX('Tabela Passaro'!$B$2:$B$1795,$N427)</f>
        <v>BA</v>
      </c>
      <c r="Q427" s="22" t="n">
        <f aca="false">INDEX('Tabela Passaro'!$F$2:$F$1795,$N427)</f>
        <v>6</v>
      </c>
      <c r="R427" s="32" t="n">
        <f aca="false">IF(J427&lt;=10,INDEX('Tabela Passaro'!$G$2:$G$1795,$N427),IF(J427&lt;=30,INDEX('Tabela Passaro'!$H$2:$H$1795,$N427),IF(J427&lt;=50,INDEX('Tabela Passaro'!$I$2:$I$1795,$N427),IF(J427&lt;=70,INDEX('Tabela Passaro'!$J$2:$J$1795,$N427),IF(J427&lt;=100,INDEX('Tabela Passaro'!$K$2:$K$1795,$N427),INDEX('Tabela Passaro'!$K$2:$K$1795,$N427)+(J427-100)*INDEX('Tabela Passaro'!$L$2:$L$1795,$N427))))))</f>
        <v>61.92</v>
      </c>
      <c r="S427" s="32" t="n">
        <f aca="false">K427*INDEX('Tabela Passaro'!$M$2:$M$1795,$N427)</f>
        <v>2.4538</v>
      </c>
      <c r="T427" s="32" t="n">
        <f aca="false">K427*INDEX('Tabela Passaro'!$N$2:$N$1795,$N427)</f>
        <v>0.98152</v>
      </c>
      <c r="U427" s="32" t="n">
        <f aca="false">INDEX('Tabela Passaro'!$O$2:$O$1795,$N427)</f>
        <v>5</v>
      </c>
      <c r="V427" s="32" t="n">
        <f aca="false">ROUNDUP(J427/INDEX('Tabela Passaro'!$Q$2:$Q$1795,$N427),0)*INDEX('Tabela Passaro'!$P$2:$P$1795,$N427)</f>
        <v>5</v>
      </c>
      <c r="W427" s="32" t="n">
        <f aca="false">INDEX('Tabela Passaro'!$R$2:$R$1795,$N427)</f>
        <v>30</v>
      </c>
      <c r="X427" s="32" t="n">
        <f aca="false">ROUNDUP(J427/INDEX('Tabela Passaro'!$T$2:$T$1795,$N427),0)*INDEX('Tabela Passaro'!$S$2:$S$1795,$N427)</f>
        <v>0</v>
      </c>
      <c r="Y427" s="32" t="n">
        <f aca="false">INDEX('Tabela Passaro'!$U$2:$U$1795,$N427)</f>
        <v>0</v>
      </c>
      <c r="Z427" s="32" t="n">
        <f aca="false">INDEX('Tabela Passaro'!$V$2:$V$1795,$N427)</f>
        <v>0</v>
      </c>
      <c r="AA427" s="32" t="n">
        <f aca="false">SUM(R427:Z427)</f>
        <v>105.35532</v>
      </c>
      <c r="AB427" s="33" t="n">
        <f aca="false">INDEX(Premissas!$B$5:$B$13,MATCH(A427,Premissas!$A$5:$A$13,0))</f>
        <v>0.07</v>
      </c>
      <c r="AC427" s="32" t="n">
        <f aca="false">AA427/(1-AB427)-AA427</f>
        <v>7.92997032258066</v>
      </c>
      <c r="AD427" s="32" t="n">
        <f aca="false">ROUND(AA427+AC427,2)</f>
        <v>113.29</v>
      </c>
      <c r="AE427" s="32" t="n">
        <f aca="false">AD427-L427</f>
        <v>-26.6</v>
      </c>
      <c r="AF427" s="34" t="n">
        <f aca="false">IF(L427=0,0,AE427/L427)</f>
        <v>-0.190149403102438</v>
      </c>
      <c r="AG427" s="22" t="str">
        <f aca="false">IF(AD427&lt;L427,"PASSARO","ATUAL")</f>
        <v>PASSARO</v>
      </c>
      <c r="AH427" s="22" t="str">
        <f aca="false">IF(P427&lt;&gt;A427,"Faixa cadastrada como "&amp;P427&amp;" na tabela; preço aplicado pela UF do CEP","")</f>
        <v/>
      </c>
      <c r="AI427" s="26" t="n">
        <v>138.85</v>
      </c>
      <c r="AJ427" s="22" t="str">
        <f aca="false">INDEX('Tabela Passaro'!$X$2:$X$1795,$N427)</f>
        <v>CAPITAL</v>
      </c>
    </row>
    <row r="428" customFormat="false" ht="15" hidden="false" customHeight="false" outlineLevel="0" collapsed="false">
      <c r="A428" s="22" t="s">
        <v>16</v>
      </c>
      <c r="B428" s="22" t="n">
        <v>1</v>
      </c>
      <c r="C428" s="22" t="s">
        <v>75</v>
      </c>
      <c r="D428" s="22" t="s">
        <v>30</v>
      </c>
      <c r="E428" s="22" t="s">
        <v>20</v>
      </c>
      <c r="F428" s="22" t="n">
        <v>840632</v>
      </c>
      <c r="G428" s="30" t="n">
        <v>46265</v>
      </c>
      <c r="H428" s="22" t="n">
        <v>32832</v>
      </c>
      <c r="I428" s="22" t="s">
        <v>7713</v>
      </c>
      <c r="J428" s="31" t="n">
        <v>37.5</v>
      </c>
      <c r="K428" s="26" t="n">
        <v>530.48</v>
      </c>
      <c r="L428" s="26" t="n">
        <v>140.24</v>
      </c>
      <c r="M428" s="22" t="s">
        <v>694</v>
      </c>
      <c r="N428" s="22" t="n">
        <f aca="false">MATCH(M428,'Tabela Passaro'!$A$2:$A$1795,0)</f>
        <v>106</v>
      </c>
      <c r="O428" s="22" t="str">
        <f aca="false">INDEX('Tabela Passaro'!$C$2:$C$1795,$N428)</f>
        <v>SALVADOR</v>
      </c>
      <c r="P428" s="22" t="str">
        <f aca="false">INDEX('Tabela Passaro'!$B$2:$B$1795,$N428)</f>
        <v>BA</v>
      </c>
      <c r="Q428" s="22" t="n">
        <f aca="false">INDEX('Tabela Passaro'!$F$2:$F$1795,$N428)</f>
        <v>6</v>
      </c>
      <c r="R428" s="32" t="n">
        <f aca="false">IF(J428&lt;=10,INDEX('Tabela Passaro'!$G$2:$G$1795,$N428),IF(J428&lt;=30,INDEX('Tabela Passaro'!$H$2:$H$1795,$N428),IF(J428&lt;=50,INDEX('Tabela Passaro'!$I$2:$I$1795,$N428),IF(J428&lt;=70,INDEX('Tabela Passaro'!$J$2:$J$1795,$N428),IF(J428&lt;=100,INDEX('Tabela Passaro'!$K$2:$K$1795,$N428),INDEX('Tabela Passaro'!$K$2:$K$1795,$N428)+(J428-100)*INDEX('Tabela Passaro'!$L$2:$L$1795,$N428))))))</f>
        <v>61.92</v>
      </c>
      <c r="S428" s="32" t="n">
        <f aca="false">K428*INDEX('Tabela Passaro'!$M$2:$M$1795,$N428)</f>
        <v>2.6524</v>
      </c>
      <c r="T428" s="32" t="n">
        <f aca="false">K428*INDEX('Tabela Passaro'!$N$2:$N$1795,$N428)</f>
        <v>1.06096</v>
      </c>
      <c r="U428" s="32" t="n">
        <f aca="false">INDEX('Tabela Passaro'!$O$2:$O$1795,$N428)</f>
        <v>5</v>
      </c>
      <c r="V428" s="32" t="n">
        <f aca="false">ROUNDUP(J428/INDEX('Tabela Passaro'!$Q$2:$Q$1795,$N428),0)*INDEX('Tabela Passaro'!$P$2:$P$1795,$N428)</f>
        <v>5</v>
      </c>
      <c r="W428" s="32" t="n">
        <f aca="false">INDEX('Tabela Passaro'!$R$2:$R$1795,$N428)</f>
        <v>30</v>
      </c>
      <c r="X428" s="32" t="n">
        <f aca="false">ROUNDUP(J428/INDEX('Tabela Passaro'!$T$2:$T$1795,$N428),0)*INDEX('Tabela Passaro'!$S$2:$S$1795,$N428)</f>
        <v>0</v>
      </c>
      <c r="Y428" s="32" t="n">
        <f aca="false">INDEX('Tabela Passaro'!$U$2:$U$1795,$N428)</f>
        <v>0</v>
      </c>
      <c r="Z428" s="32" t="n">
        <f aca="false">INDEX('Tabela Passaro'!$V$2:$V$1795,$N428)</f>
        <v>0</v>
      </c>
      <c r="AA428" s="32" t="n">
        <f aca="false">SUM(R428:Z428)</f>
        <v>105.63336</v>
      </c>
      <c r="AB428" s="33" t="n">
        <f aca="false">INDEX(Premissas!$B$5:$B$13,MATCH(A428,Premissas!$A$5:$A$13,0))</f>
        <v>0.07</v>
      </c>
      <c r="AC428" s="32" t="n">
        <f aca="false">AA428/(1-AB428)-AA428</f>
        <v>7.95089806451614</v>
      </c>
      <c r="AD428" s="32" t="n">
        <f aca="false">ROUND(AA428+AC428,2)</f>
        <v>113.58</v>
      </c>
      <c r="AE428" s="32" t="n">
        <f aca="false">AD428-L428</f>
        <v>-26.66</v>
      </c>
      <c r="AF428" s="34" t="n">
        <f aca="false">IF(L428=0,0,AE428/L428)</f>
        <v>-0.190102681118083</v>
      </c>
      <c r="AG428" s="22" t="str">
        <f aca="false">IF(AD428&lt;L428,"PASSARO","ATUAL")</f>
        <v>PASSARO</v>
      </c>
      <c r="AH428" s="22" t="str">
        <f aca="false">IF(P428&lt;&gt;A428,"Faixa cadastrada como "&amp;P428&amp;" na tabela; preço aplicado pela UF do CEP","")</f>
        <v/>
      </c>
      <c r="AI428" s="26" t="n">
        <v>139.23</v>
      </c>
      <c r="AJ428" s="22" t="str">
        <f aca="false">INDEX('Tabela Passaro'!$X$2:$X$1795,$N428)</f>
        <v>CAPITAL</v>
      </c>
    </row>
    <row r="429" customFormat="false" ht="15" hidden="false" customHeight="false" outlineLevel="0" collapsed="false">
      <c r="A429" s="22" t="s">
        <v>16</v>
      </c>
      <c r="B429" s="22" t="n">
        <v>1</v>
      </c>
      <c r="C429" s="22" t="s">
        <v>75</v>
      </c>
      <c r="D429" s="22" t="s">
        <v>30</v>
      </c>
      <c r="E429" s="22" t="s">
        <v>20</v>
      </c>
      <c r="F429" s="22" t="n">
        <v>840664</v>
      </c>
      <c r="G429" s="30" t="n">
        <v>46265</v>
      </c>
      <c r="H429" s="22" t="n">
        <v>32864</v>
      </c>
      <c r="I429" s="22" t="s">
        <v>7714</v>
      </c>
      <c r="J429" s="31" t="n">
        <v>31.3</v>
      </c>
      <c r="K429" s="26" t="n">
        <v>520.99</v>
      </c>
      <c r="L429" s="26" t="n">
        <v>140.15</v>
      </c>
      <c r="M429" s="22" t="s">
        <v>694</v>
      </c>
      <c r="N429" s="22" t="n">
        <f aca="false">MATCH(M429,'Tabela Passaro'!$A$2:$A$1795,0)</f>
        <v>106</v>
      </c>
      <c r="O429" s="22" t="str">
        <f aca="false">INDEX('Tabela Passaro'!$C$2:$C$1795,$N429)</f>
        <v>SALVADOR</v>
      </c>
      <c r="P429" s="22" t="str">
        <f aca="false">INDEX('Tabela Passaro'!$B$2:$B$1795,$N429)</f>
        <v>BA</v>
      </c>
      <c r="Q429" s="22" t="n">
        <f aca="false">INDEX('Tabela Passaro'!$F$2:$F$1795,$N429)</f>
        <v>6</v>
      </c>
      <c r="R429" s="32" t="n">
        <f aca="false">IF(J429&lt;=10,INDEX('Tabela Passaro'!$G$2:$G$1795,$N429),IF(J429&lt;=30,INDEX('Tabela Passaro'!$H$2:$H$1795,$N429),IF(J429&lt;=50,INDEX('Tabela Passaro'!$I$2:$I$1795,$N429),IF(J429&lt;=70,INDEX('Tabela Passaro'!$J$2:$J$1795,$N429),IF(J429&lt;=100,INDEX('Tabela Passaro'!$K$2:$K$1795,$N429),INDEX('Tabela Passaro'!$K$2:$K$1795,$N429)+(J429-100)*INDEX('Tabela Passaro'!$L$2:$L$1795,$N429))))))</f>
        <v>61.92</v>
      </c>
      <c r="S429" s="32" t="n">
        <f aca="false">K429*INDEX('Tabela Passaro'!$M$2:$M$1795,$N429)</f>
        <v>2.60495</v>
      </c>
      <c r="T429" s="32" t="n">
        <f aca="false">K429*INDEX('Tabela Passaro'!$N$2:$N$1795,$N429)</f>
        <v>1.04198</v>
      </c>
      <c r="U429" s="32" t="n">
        <f aca="false">INDEX('Tabela Passaro'!$O$2:$O$1795,$N429)</f>
        <v>5</v>
      </c>
      <c r="V429" s="32" t="n">
        <f aca="false">ROUNDUP(J429/INDEX('Tabela Passaro'!$Q$2:$Q$1795,$N429),0)*INDEX('Tabela Passaro'!$P$2:$P$1795,$N429)</f>
        <v>5</v>
      </c>
      <c r="W429" s="32" t="n">
        <f aca="false">INDEX('Tabela Passaro'!$R$2:$R$1795,$N429)</f>
        <v>30</v>
      </c>
      <c r="X429" s="32" t="n">
        <f aca="false">ROUNDUP(J429/INDEX('Tabela Passaro'!$T$2:$T$1795,$N429),0)*INDEX('Tabela Passaro'!$S$2:$S$1795,$N429)</f>
        <v>0</v>
      </c>
      <c r="Y429" s="32" t="n">
        <f aca="false">INDEX('Tabela Passaro'!$U$2:$U$1795,$N429)</f>
        <v>0</v>
      </c>
      <c r="Z429" s="32" t="n">
        <f aca="false">INDEX('Tabela Passaro'!$V$2:$V$1795,$N429)</f>
        <v>0</v>
      </c>
      <c r="AA429" s="32" t="n">
        <f aca="false">SUM(R429:Z429)</f>
        <v>105.56693</v>
      </c>
      <c r="AB429" s="33" t="n">
        <f aca="false">INDEX(Premissas!$B$5:$B$13,MATCH(A429,Premissas!$A$5:$A$13,0))</f>
        <v>0.07</v>
      </c>
      <c r="AC429" s="32" t="n">
        <f aca="false">AA429/(1-AB429)-AA429</f>
        <v>7.94589795698926</v>
      </c>
      <c r="AD429" s="32" t="n">
        <f aca="false">ROUND(AA429+AC429,2)</f>
        <v>113.51</v>
      </c>
      <c r="AE429" s="32" t="n">
        <f aca="false">AD429-L429</f>
        <v>-26.64</v>
      </c>
      <c r="AF429" s="34" t="n">
        <f aca="false">IF(L429=0,0,AE429/L429)</f>
        <v>-0.190082054941135</v>
      </c>
      <c r="AG429" s="22" t="str">
        <f aca="false">IF(AD429&lt;L429,"PASSARO","ATUAL")</f>
        <v>PASSARO</v>
      </c>
      <c r="AH429" s="22" t="str">
        <f aca="false">IF(P429&lt;&gt;A429,"Faixa cadastrada como "&amp;P429&amp;" na tabela; preço aplicado pela UF do CEP","")</f>
        <v/>
      </c>
      <c r="AI429" s="26" t="n">
        <v>136.24</v>
      </c>
      <c r="AJ429" s="22" t="str">
        <f aca="false">INDEX('Tabela Passaro'!$X$2:$X$1795,$N429)</f>
        <v>CAPITAL</v>
      </c>
    </row>
    <row r="430" customFormat="false" ht="15" hidden="false" customHeight="false" outlineLevel="0" collapsed="false">
      <c r="A430" s="22" t="s">
        <v>16</v>
      </c>
      <c r="B430" s="22" t="n">
        <v>1</v>
      </c>
      <c r="C430" s="22" t="s">
        <v>75</v>
      </c>
      <c r="D430" s="22" t="s">
        <v>30</v>
      </c>
      <c r="E430" s="22" t="s">
        <v>20</v>
      </c>
      <c r="F430" s="22" t="n">
        <v>840666</v>
      </c>
      <c r="G430" s="30" t="n">
        <v>46265</v>
      </c>
      <c r="H430" s="22" t="n">
        <v>32866</v>
      </c>
      <c r="I430" s="22" t="s">
        <v>7714</v>
      </c>
      <c r="J430" s="31" t="n">
        <v>87.79</v>
      </c>
      <c r="K430" s="26" t="n">
        <v>1155.59</v>
      </c>
      <c r="L430" s="26" t="n">
        <v>204.61</v>
      </c>
      <c r="M430" s="22" t="s">
        <v>694</v>
      </c>
      <c r="N430" s="22" t="n">
        <f aca="false">MATCH(M430,'Tabela Passaro'!$A$2:$A$1795,0)</f>
        <v>106</v>
      </c>
      <c r="O430" s="22" t="str">
        <f aca="false">INDEX('Tabela Passaro'!$C$2:$C$1795,$N430)</f>
        <v>SALVADOR</v>
      </c>
      <c r="P430" s="22" t="str">
        <f aca="false">INDEX('Tabela Passaro'!$B$2:$B$1795,$N430)</f>
        <v>BA</v>
      </c>
      <c r="Q430" s="22" t="n">
        <f aca="false">INDEX('Tabela Passaro'!$F$2:$F$1795,$N430)</f>
        <v>6</v>
      </c>
      <c r="R430" s="32" t="n">
        <f aca="false">IF(J430&lt;=10,INDEX('Tabela Passaro'!$G$2:$G$1795,$N430),IF(J430&lt;=30,INDEX('Tabela Passaro'!$H$2:$H$1795,$N430),IF(J430&lt;=50,INDEX('Tabela Passaro'!$I$2:$I$1795,$N430),IF(J430&lt;=70,INDEX('Tabela Passaro'!$J$2:$J$1795,$N430),IF(J430&lt;=100,INDEX('Tabela Passaro'!$K$2:$K$1795,$N430),INDEX('Tabela Passaro'!$K$2:$K$1795,$N430)+(J430-100)*INDEX('Tabela Passaro'!$L$2:$L$1795,$N430))))))</f>
        <v>84.96</v>
      </c>
      <c r="S430" s="32" t="n">
        <f aca="false">K430*INDEX('Tabela Passaro'!$M$2:$M$1795,$N430)</f>
        <v>5.77795</v>
      </c>
      <c r="T430" s="32" t="n">
        <f aca="false">K430*INDEX('Tabela Passaro'!$N$2:$N$1795,$N430)</f>
        <v>2.31118</v>
      </c>
      <c r="U430" s="32" t="n">
        <f aca="false">INDEX('Tabela Passaro'!$O$2:$O$1795,$N430)</f>
        <v>5</v>
      </c>
      <c r="V430" s="32" t="n">
        <f aca="false">ROUNDUP(J430/INDEX('Tabela Passaro'!$Q$2:$Q$1795,$N430),0)*INDEX('Tabela Passaro'!$P$2:$P$1795,$N430)</f>
        <v>5</v>
      </c>
      <c r="W430" s="32" t="n">
        <f aca="false">INDEX('Tabela Passaro'!$R$2:$R$1795,$N430)</f>
        <v>30</v>
      </c>
      <c r="X430" s="32" t="n">
        <f aca="false">ROUNDUP(J430/INDEX('Tabela Passaro'!$T$2:$T$1795,$N430),0)*INDEX('Tabela Passaro'!$S$2:$S$1795,$N430)</f>
        <v>0</v>
      </c>
      <c r="Y430" s="32" t="n">
        <f aca="false">INDEX('Tabela Passaro'!$U$2:$U$1795,$N430)</f>
        <v>0</v>
      </c>
      <c r="Z430" s="32" t="n">
        <f aca="false">INDEX('Tabela Passaro'!$V$2:$V$1795,$N430)</f>
        <v>0</v>
      </c>
      <c r="AA430" s="32" t="n">
        <f aca="false">SUM(R430:Z430)</f>
        <v>133.04913</v>
      </c>
      <c r="AB430" s="33" t="n">
        <f aca="false">INDEX(Premissas!$B$5:$B$13,MATCH(A430,Premissas!$A$5:$A$13,0))</f>
        <v>0.07</v>
      </c>
      <c r="AC430" s="32" t="n">
        <f aca="false">AA430/(1-AB430)-AA430</f>
        <v>10.0144506451613</v>
      </c>
      <c r="AD430" s="32" t="n">
        <f aca="false">ROUND(AA430+AC430,2)</f>
        <v>143.06</v>
      </c>
      <c r="AE430" s="32" t="n">
        <f aca="false">AD430-L430</f>
        <v>-61.55</v>
      </c>
      <c r="AF430" s="34" t="n">
        <f aca="false">IF(L430=0,0,AE430/L430)</f>
        <v>-0.300816186892136</v>
      </c>
      <c r="AG430" s="22" t="str">
        <f aca="false">IF(AD430&lt;L430,"PASSARO","ATUAL")</f>
        <v>PASSARO</v>
      </c>
      <c r="AH430" s="22" t="str">
        <f aca="false">IF(P430&lt;&gt;A430,"Faixa cadastrada como "&amp;P430&amp;" na tabela; preço aplicado pela UF do CEP","")</f>
        <v/>
      </c>
      <c r="AI430" s="26" t="n">
        <v>194.52</v>
      </c>
      <c r="AJ430" s="22" t="str">
        <f aca="false">INDEX('Tabela Passaro'!$X$2:$X$1795,$N430)</f>
        <v>CAPITAL</v>
      </c>
    </row>
    <row r="431" customFormat="false" ht="15" hidden="false" customHeight="false" outlineLevel="0" collapsed="false">
      <c r="A431" s="22" t="s">
        <v>16</v>
      </c>
      <c r="B431" s="22" t="n">
        <v>1</v>
      </c>
      <c r="C431" s="22" t="s">
        <v>75</v>
      </c>
      <c r="D431" s="22" t="s">
        <v>30</v>
      </c>
      <c r="E431" s="22" t="s">
        <v>20</v>
      </c>
      <c r="F431" s="22" t="n">
        <v>840669</v>
      </c>
      <c r="G431" s="30" t="n">
        <v>46265</v>
      </c>
      <c r="H431" s="22" t="n">
        <v>32873</v>
      </c>
      <c r="I431" s="22" t="s">
        <v>7715</v>
      </c>
      <c r="J431" s="31" t="n">
        <v>38.15</v>
      </c>
      <c r="K431" s="26" t="n">
        <v>582.73</v>
      </c>
      <c r="L431" s="26" t="n">
        <v>140.72</v>
      </c>
      <c r="M431" s="22" t="s">
        <v>694</v>
      </c>
      <c r="N431" s="22" t="n">
        <f aca="false">MATCH(M431,'Tabela Passaro'!$A$2:$A$1795,0)</f>
        <v>106</v>
      </c>
      <c r="O431" s="22" t="str">
        <f aca="false">INDEX('Tabela Passaro'!$C$2:$C$1795,$N431)</f>
        <v>SALVADOR</v>
      </c>
      <c r="P431" s="22" t="str">
        <f aca="false">INDEX('Tabela Passaro'!$B$2:$B$1795,$N431)</f>
        <v>BA</v>
      </c>
      <c r="Q431" s="22" t="n">
        <f aca="false">INDEX('Tabela Passaro'!$F$2:$F$1795,$N431)</f>
        <v>6</v>
      </c>
      <c r="R431" s="32" t="n">
        <f aca="false">IF(J431&lt;=10,INDEX('Tabela Passaro'!$G$2:$G$1795,$N431),IF(J431&lt;=30,INDEX('Tabela Passaro'!$H$2:$H$1795,$N431),IF(J431&lt;=50,INDEX('Tabela Passaro'!$I$2:$I$1795,$N431),IF(J431&lt;=70,INDEX('Tabela Passaro'!$J$2:$J$1795,$N431),IF(J431&lt;=100,INDEX('Tabela Passaro'!$K$2:$K$1795,$N431),INDEX('Tabela Passaro'!$K$2:$K$1795,$N431)+(J431-100)*INDEX('Tabela Passaro'!$L$2:$L$1795,$N431))))))</f>
        <v>61.92</v>
      </c>
      <c r="S431" s="32" t="n">
        <f aca="false">K431*INDEX('Tabela Passaro'!$M$2:$M$1795,$N431)</f>
        <v>2.91365</v>
      </c>
      <c r="T431" s="32" t="n">
        <f aca="false">K431*INDEX('Tabela Passaro'!$N$2:$N$1795,$N431)</f>
        <v>1.16546</v>
      </c>
      <c r="U431" s="32" t="n">
        <f aca="false">INDEX('Tabela Passaro'!$O$2:$O$1795,$N431)</f>
        <v>5</v>
      </c>
      <c r="V431" s="32" t="n">
        <f aca="false">ROUNDUP(J431/INDEX('Tabela Passaro'!$Q$2:$Q$1795,$N431),0)*INDEX('Tabela Passaro'!$P$2:$P$1795,$N431)</f>
        <v>5</v>
      </c>
      <c r="W431" s="32" t="n">
        <f aca="false">INDEX('Tabela Passaro'!$R$2:$R$1795,$N431)</f>
        <v>30</v>
      </c>
      <c r="X431" s="32" t="n">
        <f aca="false">ROUNDUP(J431/INDEX('Tabela Passaro'!$T$2:$T$1795,$N431),0)*INDEX('Tabela Passaro'!$S$2:$S$1795,$N431)</f>
        <v>0</v>
      </c>
      <c r="Y431" s="32" t="n">
        <f aca="false">INDEX('Tabela Passaro'!$U$2:$U$1795,$N431)</f>
        <v>0</v>
      </c>
      <c r="Z431" s="32" t="n">
        <f aca="false">INDEX('Tabela Passaro'!$V$2:$V$1795,$N431)</f>
        <v>0</v>
      </c>
      <c r="AA431" s="32" t="n">
        <f aca="false">SUM(R431:Z431)</f>
        <v>105.99911</v>
      </c>
      <c r="AB431" s="33" t="n">
        <f aca="false">INDEX(Premissas!$B$5:$B$13,MATCH(A431,Premissas!$A$5:$A$13,0))</f>
        <v>0.07</v>
      </c>
      <c r="AC431" s="32" t="n">
        <f aca="false">AA431/(1-AB431)-AA431</f>
        <v>7.9784276344086</v>
      </c>
      <c r="AD431" s="32" t="n">
        <f aca="false">ROUND(AA431+AC431,2)</f>
        <v>113.98</v>
      </c>
      <c r="AE431" s="32" t="n">
        <f aca="false">AD431-L431</f>
        <v>-26.74</v>
      </c>
      <c r="AF431" s="34" t="n">
        <f aca="false">IF(L431=0,0,AE431/L431)</f>
        <v>-0.190022740193292</v>
      </c>
      <c r="AG431" s="22" t="str">
        <f aca="false">IF(AD431&lt;L431,"PASSARO","ATUAL")</f>
        <v>PASSARO</v>
      </c>
      <c r="AH431" s="22" t="str">
        <f aca="false">IF(P431&lt;&gt;A431,"Faixa cadastrada como "&amp;P431&amp;" na tabela; preço aplicado pela UF do CEP","")</f>
        <v/>
      </c>
      <c r="AI431" s="26" t="n">
        <v>140.22</v>
      </c>
      <c r="AJ431" s="22" t="str">
        <f aca="false">INDEX('Tabela Passaro'!$X$2:$X$1795,$N431)</f>
        <v>CAPITAL</v>
      </c>
    </row>
    <row r="432" customFormat="false" ht="15" hidden="false" customHeight="false" outlineLevel="0" collapsed="false">
      <c r="A432" s="22" t="s">
        <v>16</v>
      </c>
      <c r="B432" s="22" t="n">
        <v>1</v>
      </c>
      <c r="C432" s="22" t="s">
        <v>75</v>
      </c>
      <c r="D432" s="22" t="s">
        <v>31</v>
      </c>
      <c r="E432" s="22" t="s">
        <v>7326</v>
      </c>
      <c r="F432" s="22" t="n">
        <v>12721690</v>
      </c>
      <c r="G432" s="30" t="n">
        <v>46237</v>
      </c>
      <c r="H432" s="22" t="n">
        <v>619373</v>
      </c>
      <c r="I432" s="22" t="s">
        <v>7716</v>
      </c>
      <c r="J432" s="31" t="n">
        <v>19.4</v>
      </c>
      <c r="K432" s="26" t="n">
        <v>406.33</v>
      </c>
      <c r="L432" s="26" t="n">
        <v>66.35</v>
      </c>
      <c r="M432" s="22" t="s">
        <v>694</v>
      </c>
      <c r="N432" s="22" t="n">
        <f aca="false">MATCH(M432,'Tabela Passaro'!$A$2:$A$1795,0)</f>
        <v>106</v>
      </c>
      <c r="O432" s="22" t="str">
        <f aca="false">INDEX('Tabela Passaro'!$C$2:$C$1795,$N432)</f>
        <v>SALVADOR</v>
      </c>
      <c r="P432" s="22" t="str">
        <f aca="false">INDEX('Tabela Passaro'!$B$2:$B$1795,$N432)</f>
        <v>BA</v>
      </c>
      <c r="Q432" s="22" t="n">
        <f aca="false">INDEX('Tabela Passaro'!$F$2:$F$1795,$N432)</f>
        <v>6</v>
      </c>
      <c r="R432" s="32" t="n">
        <f aca="false">IF(J432&lt;=10,INDEX('Tabela Passaro'!$G$2:$G$1795,$N432),IF(J432&lt;=30,INDEX('Tabela Passaro'!$H$2:$H$1795,$N432),IF(J432&lt;=50,INDEX('Tabela Passaro'!$I$2:$I$1795,$N432),IF(J432&lt;=70,INDEX('Tabela Passaro'!$J$2:$J$1795,$N432),IF(J432&lt;=100,INDEX('Tabela Passaro'!$K$2:$K$1795,$N432),INDEX('Tabela Passaro'!$K$2:$K$1795,$N432)+(J432-100)*INDEX('Tabela Passaro'!$L$2:$L$1795,$N432))))))</f>
        <v>50.4</v>
      </c>
      <c r="S432" s="32" t="n">
        <f aca="false">K432*INDEX('Tabela Passaro'!$M$2:$M$1795,$N432)</f>
        <v>2.03165</v>
      </c>
      <c r="T432" s="32" t="n">
        <f aca="false">K432*INDEX('Tabela Passaro'!$N$2:$N$1795,$N432)</f>
        <v>0.81266</v>
      </c>
      <c r="U432" s="32" t="n">
        <f aca="false">INDEX('Tabela Passaro'!$O$2:$O$1795,$N432)</f>
        <v>5</v>
      </c>
      <c r="V432" s="32" t="n">
        <f aca="false">ROUNDUP(J432/INDEX('Tabela Passaro'!$Q$2:$Q$1795,$N432),0)*INDEX('Tabela Passaro'!$P$2:$P$1795,$N432)</f>
        <v>5</v>
      </c>
      <c r="W432" s="32" t="n">
        <f aca="false">INDEX('Tabela Passaro'!$R$2:$R$1795,$N432)</f>
        <v>30</v>
      </c>
      <c r="X432" s="32" t="n">
        <f aca="false">ROUNDUP(J432/INDEX('Tabela Passaro'!$T$2:$T$1795,$N432),0)*INDEX('Tabela Passaro'!$S$2:$S$1795,$N432)</f>
        <v>0</v>
      </c>
      <c r="Y432" s="32" t="n">
        <f aca="false">INDEX('Tabela Passaro'!$U$2:$U$1795,$N432)</f>
        <v>0</v>
      </c>
      <c r="Z432" s="32" t="n">
        <f aca="false">INDEX('Tabela Passaro'!$V$2:$V$1795,$N432)</f>
        <v>0</v>
      </c>
      <c r="AA432" s="32" t="n">
        <f aca="false">SUM(R432:Z432)</f>
        <v>93.24431</v>
      </c>
      <c r="AB432" s="33" t="n">
        <f aca="false">INDEX(Premissas!$B$5:$B$13,MATCH(A432,Premissas!$A$5:$A$13,0))</f>
        <v>0.07</v>
      </c>
      <c r="AC432" s="32" t="n">
        <f aca="false">AA432/(1-AB432)-AA432</f>
        <v>7.01838892473118</v>
      </c>
      <c r="AD432" s="32" t="n">
        <f aca="false">ROUND(AA432+AC432,2)</f>
        <v>100.26</v>
      </c>
      <c r="AE432" s="32" t="n">
        <f aca="false">AD432-L432</f>
        <v>33.91</v>
      </c>
      <c r="AF432" s="34" t="n">
        <f aca="false">IF(L432=0,0,AE432/L432)</f>
        <v>0.511077618688772</v>
      </c>
      <c r="AG432" s="22" t="str">
        <f aca="false">IF(AD432&lt;L432,"PASSARO","ATUAL")</f>
        <v>ATUAL</v>
      </c>
      <c r="AH432" s="22" t="str">
        <f aca="false">IF(P432&lt;&gt;A432,"Faixa cadastrada como "&amp;P432&amp;" na tabela; preço aplicado pela UF do CEP","")</f>
        <v/>
      </c>
      <c r="AI432" s="26" t="n">
        <v>116.79</v>
      </c>
      <c r="AJ432" s="22" t="str">
        <f aca="false">INDEX('Tabela Passaro'!$X$2:$X$1795,$N432)</f>
        <v>CAPITAL</v>
      </c>
    </row>
    <row r="433" customFormat="false" ht="15" hidden="false" customHeight="false" outlineLevel="0" collapsed="false">
      <c r="A433" s="22" t="s">
        <v>16</v>
      </c>
      <c r="B433" s="22" t="n">
        <v>1</v>
      </c>
      <c r="C433" s="22" t="s">
        <v>75</v>
      </c>
      <c r="D433" s="22" t="s">
        <v>31</v>
      </c>
      <c r="E433" s="22" t="s">
        <v>7326</v>
      </c>
      <c r="F433" s="22" t="n">
        <v>12721710</v>
      </c>
      <c r="G433" s="30" t="n">
        <v>46237</v>
      </c>
      <c r="H433" s="22" t="n">
        <v>619378</v>
      </c>
      <c r="I433" s="22" t="s">
        <v>7717</v>
      </c>
      <c r="J433" s="31" t="n">
        <v>19.4</v>
      </c>
      <c r="K433" s="26" t="n">
        <v>390.52</v>
      </c>
      <c r="L433" s="26" t="n">
        <v>66.35</v>
      </c>
      <c r="M433" s="22" t="s">
        <v>694</v>
      </c>
      <c r="N433" s="22" t="n">
        <f aca="false">MATCH(M433,'Tabela Passaro'!$A$2:$A$1795,0)</f>
        <v>106</v>
      </c>
      <c r="O433" s="22" t="str">
        <f aca="false">INDEX('Tabela Passaro'!$C$2:$C$1795,$N433)</f>
        <v>SALVADOR</v>
      </c>
      <c r="P433" s="22" t="str">
        <f aca="false">INDEX('Tabela Passaro'!$B$2:$B$1795,$N433)</f>
        <v>BA</v>
      </c>
      <c r="Q433" s="22" t="n">
        <f aca="false">INDEX('Tabela Passaro'!$F$2:$F$1795,$N433)</f>
        <v>6</v>
      </c>
      <c r="R433" s="32" t="n">
        <f aca="false">IF(J433&lt;=10,INDEX('Tabela Passaro'!$G$2:$G$1795,$N433),IF(J433&lt;=30,INDEX('Tabela Passaro'!$H$2:$H$1795,$N433),IF(J433&lt;=50,INDEX('Tabela Passaro'!$I$2:$I$1795,$N433),IF(J433&lt;=70,INDEX('Tabela Passaro'!$J$2:$J$1795,$N433),IF(J433&lt;=100,INDEX('Tabela Passaro'!$K$2:$K$1795,$N433),INDEX('Tabela Passaro'!$K$2:$K$1795,$N433)+(J433-100)*INDEX('Tabela Passaro'!$L$2:$L$1795,$N433))))))</f>
        <v>50.4</v>
      </c>
      <c r="S433" s="32" t="n">
        <f aca="false">K433*INDEX('Tabela Passaro'!$M$2:$M$1795,$N433)</f>
        <v>1.9526</v>
      </c>
      <c r="T433" s="32" t="n">
        <f aca="false">K433*INDEX('Tabela Passaro'!$N$2:$N$1795,$N433)</f>
        <v>0.78104</v>
      </c>
      <c r="U433" s="32" t="n">
        <f aca="false">INDEX('Tabela Passaro'!$O$2:$O$1795,$N433)</f>
        <v>5</v>
      </c>
      <c r="V433" s="32" t="n">
        <f aca="false">ROUNDUP(J433/INDEX('Tabela Passaro'!$Q$2:$Q$1795,$N433),0)*INDEX('Tabela Passaro'!$P$2:$P$1795,$N433)</f>
        <v>5</v>
      </c>
      <c r="W433" s="32" t="n">
        <f aca="false">INDEX('Tabela Passaro'!$R$2:$R$1795,$N433)</f>
        <v>30</v>
      </c>
      <c r="X433" s="32" t="n">
        <f aca="false">ROUNDUP(J433/INDEX('Tabela Passaro'!$T$2:$T$1795,$N433),0)*INDEX('Tabela Passaro'!$S$2:$S$1795,$N433)</f>
        <v>0</v>
      </c>
      <c r="Y433" s="32" t="n">
        <f aca="false">INDEX('Tabela Passaro'!$U$2:$U$1795,$N433)</f>
        <v>0</v>
      </c>
      <c r="Z433" s="32" t="n">
        <f aca="false">INDEX('Tabela Passaro'!$V$2:$V$1795,$N433)</f>
        <v>0</v>
      </c>
      <c r="AA433" s="32" t="n">
        <f aca="false">SUM(R433:Z433)</f>
        <v>93.13364</v>
      </c>
      <c r="AB433" s="33" t="n">
        <f aca="false">INDEX(Premissas!$B$5:$B$13,MATCH(A433,Premissas!$A$5:$A$13,0))</f>
        <v>0.07</v>
      </c>
      <c r="AC433" s="32" t="n">
        <f aca="false">AA433/(1-AB433)-AA433</f>
        <v>7.01005892473118</v>
      </c>
      <c r="AD433" s="32" t="n">
        <f aca="false">ROUND(AA433+AC433,2)</f>
        <v>100.14</v>
      </c>
      <c r="AE433" s="32" t="n">
        <f aca="false">AD433-L433</f>
        <v>33.79</v>
      </c>
      <c r="AF433" s="34" t="n">
        <f aca="false">IF(L433=0,0,AE433/L433)</f>
        <v>0.509269027882442</v>
      </c>
      <c r="AG433" s="22" t="str">
        <f aca="false">IF(AD433&lt;L433,"PASSARO","ATUAL")</f>
        <v>ATUAL</v>
      </c>
      <c r="AH433" s="22" t="str">
        <f aca="false">IF(P433&lt;&gt;A433,"Faixa cadastrada como "&amp;P433&amp;" na tabela; preço aplicado pela UF do CEP","")</f>
        <v/>
      </c>
      <c r="AI433" s="26" t="n">
        <v>116.64</v>
      </c>
      <c r="AJ433" s="22" t="str">
        <f aca="false">INDEX('Tabela Passaro'!$X$2:$X$1795,$N433)</f>
        <v>CAPITAL</v>
      </c>
    </row>
    <row r="434" customFormat="false" ht="15" hidden="false" customHeight="false" outlineLevel="0" collapsed="false">
      <c r="A434" s="22" t="s">
        <v>16</v>
      </c>
      <c r="B434" s="22" t="n">
        <v>1</v>
      </c>
      <c r="C434" s="22" t="s">
        <v>75</v>
      </c>
      <c r="D434" s="22" t="s">
        <v>31</v>
      </c>
      <c r="E434" s="22" t="s">
        <v>7326</v>
      </c>
      <c r="F434" s="22" t="n">
        <v>12729690</v>
      </c>
      <c r="G434" s="30" t="n">
        <v>46238</v>
      </c>
      <c r="H434" s="22" t="n">
        <v>619848</v>
      </c>
      <c r="I434" s="22" t="s">
        <v>7490</v>
      </c>
      <c r="J434" s="31" t="n">
        <v>17.2</v>
      </c>
      <c r="K434" s="26" t="n">
        <v>362.28</v>
      </c>
      <c r="L434" s="26" t="n">
        <v>53.91</v>
      </c>
      <c r="M434" s="22" t="s">
        <v>694</v>
      </c>
      <c r="N434" s="22" t="n">
        <f aca="false">MATCH(M434,'Tabela Passaro'!$A$2:$A$1795,0)</f>
        <v>106</v>
      </c>
      <c r="O434" s="22" t="str">
        <f aca="false">INDEX('Tabela Passaro'!$C$2:$C$1795,$N434)</f>
        <v>SALVADOR</v>
      </c>
      <c r="P434" s="22" t="str">
        <f aca="false">INDEX('Tabela Passaro'!$B$2:$B$1795,$N434)</f>
        <v>BA</v>
      </c>
      <c r="Q434" s="22" t="n">
        <f aca="false">INDEX('Tabela Passaro'!$F$2:$F$1795,$N434)</f>
        <v>6</v>
      </c>
      <c r="R434" s="32" t="n">
        <f aca="false">IF(J434&lt;=10,INDEX('Tabela Passaro'!$G$2:$G$1795,$N434),IF(J434&lt;=30,INDEX('Tabela Passaro'!$H$2:$H$1795,$N434),IF(J434&lt;=50,INDEX('Tabela Passaro'!$I$2:$I$1795,$N434),IF(J434&lt;=70,INDEX('Tabela Passaro'!$J$2:$J$1795,$N434),IF(J434&lt;=100,INDEX('Tabela Passaro'!$K$2:$K$1795,$N434),INDEX('Tabela Passaro'!$K$2:$K$1795,$N434)+(J434-100)*INDEX('Tabela Passaro'!$L$2:$L$1795,$N434))))))</f>
        <v>50.4</v>
      </c>
      <c r="S434" s="32" t="n">
        <f aca="false">K434*INDEX('Tabela Passaro'!$M$2:$M$1795,$N434)</f>
        <v>1.8114</v>
      </c>
      <c r="T434" s="32" t="n">
        <f aca="false">K434*INDEX('Tabela Passaro'!$N$2:$N$1795,$N434)</f>
        <v>0.72456</v>
      </c>
      <c r="U434" s="32" t="n">
        <f aca="false">INDEX('Tabela Passaro'!$O$2:$O$1795,$N434)</f>
        <v>5</v>
      </c>
      <c r="V434" s="32" t="n">
        <f aca="false">ROUNDUP(J434/INDEX('Tabela Passaro'!$Q$2:$Q$1795,$N434),0)*INDEX('Tabela Passaro'!$P$2:$P$1795,$N434)</f>
        <v>5</v>
      </c>
      <c r="W434" s="32" t="n">
        <f aca="false">INDEX('Tabela Passaro'!$R$2:$R$1795,$N434)</f>
        <v>30</v>
      </c>
      <c r="X434" s="32" t="n">
        <f aca="false">ROUNDUP(J434/INDEX('Tabela Passaro'!$T$2:$T$1795,$N434),0)*INDEX('Tabela Passaro'!$S$2:$S$1795,$N434)</f>
        <v>0</v>
      </c>
      <c r="Y434" s="32" t="n">
        <f aca="false">INDEX('Tabela Passaro'!$U$2:$U$1795,$N434)</f>
        <v>0</v>
      </c>
      <c r="Z434" s="32" t="n">
        <f aca="false">INDEX('Tabela Passaro'!$V$2:$V$1795,$N434)</f>
        <v>0</v>
      </c>
      <c r="AA434" s="32" t="n">
        <f aca="false">SUM(R434:Z434)</f>
        <v>92.93596</v>
      </c>
      <c r="AB434" s="33" t="n">
        <f aca="false">INDEX(Premissas!$B$5:$B$13,MATCH(A434,Premissas!$A$5:$A$13,0))</f>
        <v>0.07</v>
      </c>
      <c r="AC434" s="32" t="n">
        <f aca="false">AA434/(1-AB434)-AA434</f>
        <v>6.99517978494625</v>
      </c>
      <c r="AD434" s="32" t="n">
        <f aca="false">ROUND(AA434+AC434,2)</f>
        <v>99.93</v>
      </c>
      <c r="AE434" s="32" t="n">
        <f aca="false">AD434-L434</f>
        <v>46.02</v>
      </c>
      <c r="AF434" s="34" t="n">
        <f aca="false">IF(L434=0,0,AE434/L434)</f>
        <v>0.853644963828603</v>
      </c>
      <c r="AG434" s="22" t="str">
        <f aca="false">IF(AD434&lt;L434,"PASSARO","ATUAL")</f>
        <v>ATUAL</v>
      </c>
      <c r="AH434" s="22" t="str">
        <f aca="false">IF(P434&lt;&gt;A434,"Faixa cadastrada como "&amp;P434&amp;" na tabela; preço aplicado pela UF do CEP","")</f>
        <v/>
      </c>
      <c r="AI434" s="26" t="n">
        <v>115.4</v>
      </c>
      <c r="AJ434" s="22" t="str">
        <f aca="false">INDEX('Tabela Passaro'!$X$2:$X$1795,$N434)</f>
        <v>CAPITAL</v>
      </c>
    </row>
    <row r="435" customFormat="false" ht="15" hidden="false" customHeight="false" outlineLevel="0" collapsed="false">
      <c r="A435" s="22" t="s">
        <v>16</v>
      </c>
      <c r="B435" s="22" t="n">
        <v>1</v>
      </c>
      <c r="C435" s="22" t="s">
        <v>75</v>
      </c>
      <c r="D435" s="22" t="s">
        <v>31</v>
      </c>
      <c r="E435" s="22" t="s">
        <v>7326</v>
      </c>
      <c r="F435" s="22" t="n">
        <v>12729710</v>
      </c>
      <c r="G435" s="30" t="n">
        <v>46238</v>
      </c>
      <c r="H435" s="22" t="n">
        <v>619866</v>
      </c>
      <c r="I435" s="22" t="s">
        <v>7718</v>
      </c>
      <c r="J435" s="31" t="n">
        <v>19.4</v>
      </c>
      <c r="K435" s="26" t="n">
        <v>431.98</v>
      </c>
      <c r="L435" s="26" t="n">
        <v>66.54</v>
      </c>
      <c r="M435" s="22" t="s">
        <v>694</v>
      </c>
      <c r="N435" s="22" t="n">
        <f aca="false">MATCH(M435,'Tabela Passaro'!$A$2:$A$1795,0)</f>
        <v>106</v>
      </c>
      <c r="O435" s="22" t="str">
        <f aca="false">INDEX('Tabela Passaro'!$C$2:$C$1795,$N435)</f>
        <v>SALVADOR</v>
      </c>
      <c r="P435" s="22" t="str">
        <f aca="false">INDEX('Tabela Passaro'!$B$2:$B$1795,$N435)</f>
        <v>BA</v>
      </c>
      <c r="Q435" s="22" t="n">
        <f aca="false">INDEX('Tabela Passaro'!$F$2:$F$1795,$N435)</f>
        <v>6</v>
      </c>
      <c r="R435" s="32" t="n">
        <f aca="false">IF(J435&lt;=10,INDEX('Tabela Passaro'!$G$2:$G$1795,$N435),IF(J435&lt;=30,INDEX('Tabela Passaro'!$H$2:$H$1795,$N435),IF(J435&lt;=50,INDEX('Tabela Passaro'!$I$2:$I$1795,$N435),IF(J435&lt;=70,INDEX('Tabela Passaro'!$J$2:$J$1795,$N435),IF(J435&lt;=100,INDEX('Tabela Passaro'!$K$2:$K$1795,$N435),INDEX('Tabela Passaro'!$K$2:$K$1795,$N435)+(J435-100)*INDEX('Tabela Passaro'!$L$2:$L$1795,$N435))))))</f>
        <v>50.4</v>
      </c>
      <c r="S435" s="32" t="n">
        <f aca="false">K435*INDEX('Tabela Passaro'!$M$2:$M$1795,$N435)</f>
        <v>2.1599</v>
      </c>
      <c r="T435" s="32" t="n">
        <f aca="false">K435*INDEX('Tabela Passaro'!$N$2:$N$1795,$N435)</f>
        <v>0.86396</v>
      </c>
      <c r="U435" s="32" t="n">
        <f aca="false">INDEX('Tabela Passaro'!$O$2:$O$1795,$N435)</f>
        <v>5</v>
      </c>
      <c r="V435" s="32" t="n">
        <f aca="false">ROUNDUP(J435/INDEX('Tabela Passaro'!$Q$2:$Q$1795,$N435),0)*INDEX('Tabela Passaro'!$P$2:$P$1795,$N435)</f>
        <v>5</v>
      </c>
      <c r="W435" s="32" t="n">
        <f aca="false">INDEX('Tabela Passaro'!$R$2:$R$1795,$N435)</f>
        <v>30</v>
      </c>
      <c r="X435" s="32" t="n">
        <f aca="false">ROUNDUP(J435/INDEX('Tabela Passaro'!$T$2:$T$1795,$N435),0)*INDEX('Tabela Passaro'!$S$2:$S$1795,$N435)</f>
        <v>0</v>
      </c>
      <c r="Y435" s="32" t="n">
        <f aca="false">INDEX('Tabela Passaro'!$U$2:$U$1795,$N435)</f>
        <v>0</v>
      </c>
      <c r="Z435" s="32" t="n">
        <f aca="false">INDEX('Tabela Passaro'!$V$2:$V$1795,$N435)</f>
        <v>0</v>
      </c>
      <c r="AA435" s="32" t="n">
        <f aca="false">SUM(R435:Z435)</f>
        <v>93.42386</v>
      </c>
      <c r="AB435" s="33" t="n">
        <f aca="false">INDEX(Premissas!$B$5:$B$13,MATCH(A435,Premissas!$A$5:$A$13,0))</f>
        <v>0.07</v>
      </c>
      <c r="AC435" s="32" t="n">
        <f aca="false">AA435/(1-AB435)-AA435</f>
        <v>7.03190344086022</v>
      </c>
      <c r="AD435" s="32" t="n">
        <f aca="false">ROUND(AA435+AC435,2)</f>
        <v>100.46</v>
      </c>
      <c r="AE435" s="32" t="n">
        <f aca="false">AD435-L435</f>
        <v>33.92</v>
      </c>
      <c r="AF435" s="34" t="n">
        <f aca="false">IF(L435=0,0,AE435/L435)</f>
        <v>0.509768560264502</v>
      </c>
      <c r="AG435" s="22" t="str">
        <f aca="false">IF(AD435&lt;L435,"PASSARO","ATUAL")</f>
        <v>ATUAL</v>
      </c>
      <c r="AH435" s="22" t="str">
        <f aca="false">IF(P435&lt;&gt;A435,"Faixa cadastrada como "&amp;P435&amp;" na tabela; preço aplicado pela UF do CEP","")</f>
        <v/>
      </c>
      <c r="AI435" s="26" t="n">
        <v>117.04</v>
      </c>
      <c r="AJ435" s="22" t="str">
        <f aca="false">INDEX('Tabela Passaro'!$X$2:$X$1795,$N435)</f>
        <v>CAPITAL</v>
      </c>
    </row>
    <row r="436" customFormat="false" ht="15" hidden="false" customHeight="false" outlineLevel="0" collapsed="false">
      <c r="A436" s="22" t="s">
        <v>16</v>
      </c>
      <c r="B436" s="22" t="n">
        <v>1</v>
      </c>
      <c r="C436" s="22" t="s">
        <v>75</v>
      </c>
      <c r="D436" s="22" t="s">
        <v>31</v>
      </c>
      <c r="E436" s="22" t="s">
        <v>7326</v>
      </c>
      <c r="F436" s="22" t="n">
        <v>12729556</v>
      </c>
      <c r="G436" s="30" t="n">
        <v>46238</v>
      </c>
      <c r="H436" s="22" t="n">
        <v>619876</v>
      </c>
      <c r="I436" s="22" t="s">
        <v>7683</v>
      </c>
      <c r="J436" s="31" t="n">
        <v>18.5</v>
      </c>
      <c r="K436" s="26" t="n">
        <v>298.97</v>
      </c>
      <c r="L436" s="26" t="n">
        <v>65.65</v>
      </c>
      <c r="M436" s="22" t="s">
        <v>694</v>
      </c>
      <c r="N436" s="22" t="n">
        <f aca="false">MATCH(M436,'Tabela Passaro'!$A$2:$A$1795,0)</f>
        <v>106</v>
      </c>
      <c r="O436" s="22" t="str">
        <f aca="false">INDEX('Tabela Passaro'!$C$2:$C$1795,$N436)</f>
        <v>SALVADOR</v>
      </c>
      <c r="P436" s="22" t="str">
        <f aca="false">INDEX('Tabela Passaro'!$B$2:$B$1795,$N436)</f>
        <v>BA</v>
      </c>
      <c r="Q436" s="22" t="n">
        <f aca="false">INDEX('Tabela Passaro'!$F$2:$F$1795,$N436)</f>
        <v>6</v>
      </c>
      <c r="R436" s="32" t="n">
        <f aca="false">IF(J436&lt;=10,INDEX('Tabela Passaro'!$G$2:$G$1795,$N436),IF(J436&lt;=30,INDEX('Tabela Passaro'!$H$2:$H$1795,$N436),IF(J436&lt;=50,INDEX('Tabela Passaro'!$I$2:$I$1795,$N436),IF(J436&lt;=70,INDEX('Tabela Passaro'!$J$2:$J$1795,$N436),IF(J436&lt;=100,INDEX('Tabela Passaro'!$K$2:$K$1795,$N436),INDEX('Tabela Passaro'!$K$2:$K$1795,$N436)+(J436-100)*INDEX('Tabela Passaro'!$L$2:$L$1795,$N436))))))</f>
        <v>50.4</v>
      </c>
      <c r="S436" s="32" t="n">
        <f aca="false">K436*INDEX('Tabela Passaro'!$M$2:$M$1795,$N436)</f>
        <v>1.49485</v>
      </c>
      <c r="T436" s="32" t="n">
        <f aca="false">K436*INDEX('Tabela Passaro'!$N$2:$N$1795,$N436)</f>
        <v>0.59794</v>
      </c>
      <c r="U436" s="32" t="n">
        <f aca="false">INDEX('Tabela Passaro'!$O$2:$O$1795,$N436)</f>
        <v>5</v>
      </c>
      <c r="V436" s="32" t="n">
        <f aca="false">ROUNDUP(J436/INDEX('Tabela Passaro'!$Q$2:$Q$1795,$N436),0)*INDEX('Tabela Passaro'!$P$2:$P$1795,$N436)</f>
        <v>5</v>
      </c>
      <c r="W436" s="32" t="n">
        <f aca="false">INDEX('Tabela Passaro'!$R$2:$R$1795,$N436)</f>
        <v>30</v>
      </c>
      <c r="X436" s="32" t="n">
        <f aca="false">ROUNDUP(J436/INDEX('Tabela Passaro'!$T$2:$T$1795,$N436),0)*INDEX('Tabela Passaro'!$S$2:$S$1795,$N436)</f>
        <v>0</v>
      </c>
      <c r="Y436" s="32" t="n">
        <f aca="false">INDEX('Tabela Passaro'!$U$2:$U$1795,$N436)</f>
        <v>0</v>
      </c>
      <c r="Z436" s="32" t="n">
        <f aca="false">INDEX('Tabela Passaro'!$V$2:$V$1795,$N436)</f>
        <v>0</v>
      </c>
      <c r="AA436" s="32" t="n">
        <f aca="false">SUM(R436:Z436)</f>
        <v>92.49279</v>
      </c>
      <c r="AB436" s="33" t="n">
        <f aca="false">INDEX(Premissas!$B$5:$B$13,MATCH(A436,Premissas!$A$5:$A$13,0))</f>
        <v>0.07</v>
      </c>
      <c r="AC436" s="32" t="n">
        <f aca="false">AA436/(1-AB436)-AA436</f>
        <v>6.96182290322581</v>
      </c>
      <c r="AD436" s="32" t="n">
        <f aca="false">ROUND(AA436+AC436,2)</f>
        <v>99.45</v>
      </c>
      <c r="AE436" s="32" t="n">
        <f aca="false">AD436-L436</f>
        <v>33.8</v>
      </c>
      <c r="AF436" s="34" t="n">
        <f aca="false">IF(L436=0,0,AE436/L436)</f>
        <v>0.514851485148515</v>
      </c>
      <c r="AG436" s="22" t="str">
        <f aca="false">IF(AD436&lt;L436,"PASSARO","ATUAL")</f>
        <v>ATUAL</v>
      </c>
      <c r="AH436" s="22" t="str">
        <f aca="false">IF(P436&lt;&gt;A436,"Faixa cadastrada como "&amp;P436&amp;" na tabela; preço aplicado pela UF do CEP","")</f>
        <v/>
      </c>
      <c r="AI436" s="26" t="n">
        <v>115.27</v>
      </c>
      <c r="AJ436" s="22" t="str">
        <f aca="false">INDEX('Tabela Passaro'!$X$2:$X$1795,$N436)</f>
        <v>CAPITAL</v>
      </c>
    </row>
    <row r="437" customFormat="false" ht="15" hidden="false" customHeight="false" outlineLevel="0" collapsed="false">
      <c r="A437" s="22" t="s">
        <v>16</v>
      </c>
      <c r="B437" s="22" t="n">
        <v>1</v>
      </c>
      <c r="C437" s="22" t="s">
        <v>75</v>
      </c>
      <c r="D437" s="22" t="s">
        <v>31</v>
      </c>
      <c r="E437" s="22" t="s">
        <v>7326</v>
      </c>
      <c r="F437" s="22" t="n">
        <v>12729524</v>
      </c>
      <c r="G437" s="30" t="n">
        <v>46238</v>
      </c>
      <c r="H437" s="22" t="n">
        <v>619920</v>
      </c>
      <c r="I437" s="22" t="s">
        <v>7719</v>
      </c>
      <c r="J437" s="31" t="n">
        <v>19.4</v>
      </c>
      <c r="K437" s="26" t="n">
        <v>403.94</v>
      </c>
      <c r="L437" s="26" t="n">
        <v>66.35</v>
      </c>
      <c r="M437" s="22" t="s">
        <v>694</v>
      </c>
      <c r="N437" s="22" t="n">
        <f aca="false">MATCH(M437,'Tabela Passaro'!$A$2:$A$1795,0)</f>
        <v>106</v>
      </c>
      <c r="O437" s="22" t="str">
        <f aca="false">INDEX('Tabela Passaro'!$C$2:$C$1795,$N437)</f>
        <v>SALVADOR</v>
      </c>
      <c r="P437" s="22" t="str">
        <f aca="false">INDEX('Tabela Passaro'!$B$2:$B$1795,$N437)</f>
        <v>BA</v>
      </c>
      <c r="Q437" s="22" t="n">
        <f aca="false">INDEX('Tabela Passaro'!$F$2:$F$1795,$N437)</f>
        <v>6</v>
      </c>
      <c r="R437" s="32" t="n">
        <f aca="false">IF(J437&lt;=10,INDEX('Tabela Passaro'!$G$2:$G$1795,$N437),IF(J437&lt;=30,INDEX('Tabela Passaro'!$H$2:$H$1795,$N437),IF(J437&lt;=50,INDEX('Tabela Passaro'!$I$2:$I$1795,$N437),IF(J437&lt;=70,INDEX('Tabela Passaro'!$J$2:$J$1795,$N437),IF(J437&lt;=100,INDEX('Tabela Passaro'!$K$2:$K$1795,$N437),INDEX('Tabela Passaro'!$K$2:$K$1795,$N437)+(J437-100)*INDEX('Tabela Passaro'!$L$2:$L$1795,$N437))))))</f>
        <v>50.4</v>
      </c>
      <c r="S437" s="32" t="n">
        <f aca="false">K437*INDEX('Tabela Passaro'!$M$2:$M$1795,$N437)</f>
        <v>2.0197</v>
      </c>
      <c r="T437" s="32" t="n">
        <f aca="false">K437*INDEX('Tabela Passaro'!$N$2:$N$1795,$N437)</f>
        <v>0.80788</v>
      </c>
      <c r="U437" s="32" t="n">
        <f aca="false">INDEX('Tabela Passaro'!$O$2:$O$1795,$N437)</f>
        <v>5</v>
      </c>
      <c r="V437" s="32" t="n">
        <f aca="false">ROUNDUP(J437/INDEX('Tabela Passaro'!$Q$2:$Q$1795,$N437),0)*INDEX('Tabela Passaro'!$P$2:$P$1795,$N437)</f>
        <v>5</v>
      </c>
      <c r="W437" s="32" t="n">
        <f aca="false">INDEX('Tabela Passaro'!$R$2:$R$1795,$N437)</f>
        <v>30</v>
      </c>
      <c r="X437" s="32" t="n">
        <f aca="false">ROUNDUP(J437/INDEX('Tabela Passaro'!$T$2:$T$1795,$N437),0)*INDEX('Tabela Passaro'!$S$2:$S$1795,$N437)</f>
        <v>0</v>
      </c>
      <c r="Y437" s="32" t="n">
        <f aca="false">INDEX('Tabela Passaro'!$U$2:$U$1795,$N437)</f>
        <v>0</v>
      </c>
      <c r="Z437" s="32" t="n">
        <f aca="false">INDEX('Tabela Passaro'!$V$2:$V$1795,$N437)</f>
        <v>0</v>
      </c>
      <c r="AA437" s="32" t="n">
        <f aca="false">SUM(R437:Z437)</f>
        <v>93.22758</v>
      </c>
      <c r="AB437" s="33" t="n">
        <f aca="false">INDEX(Premissas!$B$5:$B$13,MATCH(A437,Premissas!$A$5:$A$13,0))</f>
        <v>0.07</v>
      </c>
      <c r="AC437" s="32" t="n">
        <f aca="false">AA437/(1-AB437)-AA437</f>
        <v>7.01712967741936</v>
      </c>
      <c r="AD437" s="32" t="n">
        <f aca="false">ROUND(AA437+AC437,2)</f>
        <v>100.24</v>
      </c>
      <c r="AE437" s="32" t="n">
        <f aca="false">AD437-L437</f>
        <v>33.89</v>
      </c>
      <c r="AF437" s="34" t="n">
        <f aca="false">IF(L437=0,0,AE437/L437)</f>
        <v>0.510776186887717</v>
      </c>
      <c r="AG437" s="22" t="str">
        <f aca="false">IF(AD437&lt;L437,"PASSARO","ATUAL")</f>
        <v>ATUAL</v>
      </c>
      <c r="AH437" s="22" t="str">
        <f aca="false">IF(P437&lt;&gt;A437,"Faixa cadastrada como "&amp;P437&amp;" na tabela; preço aplicado pela UF do CEP","")</f>
        <v/>
      </c>
      <c r="AI437" s="26" t="n">
        <v>116.77</v>
      </c>
      <c r="AJ437" s="22" t="str">
        <f aca="false">INDEX('Tabela Passaro'!$X$2:$X$1795,$N437)</f>
        <v>CAPITAL</v>
      </c>
    </row>
    <row r="438" customFormat="false" ht="15" hidden="false" customHeight="false" outlineLevel="0" collapsed="false">
      <c r="A438" s="22" t="s">
        <v>16</v>
      </c>
      <c r="B438" s="22" t="n">
        <v>1</v>
      </c>
      <c r="C438" s="22" t="s">
        <v>75</v>
      </c>
      <c r="D438" s="22" t="s">
        <v>31</v>
      </c>
      <c r="E438" s="22" t="s">
        <v>7326</v>
      </c>
      <c r="F438" s="22" t="n">
        <v>112482</v>
      </c>
      <c r="G438" s="30" t="n">
        <v>46239</v>
      </c>
      <c r="H438" s="22" t="n">
        <v>613239</v>
      </c>
      <c r="I438" s="22" t="s">
        <v>7720</v>
      </c>
      <c r="J438" s="31" t="n">
        <v>22.3</v>
      </c>
      <c r="K438" s="26" t="n">
        <v>669.97</v>
      </c>
      <c r="L438" s="26" t="n">
        <v>78</v>
      </c>
      <c r="M438" s="22" t="s">
        <v>694</v>
      </c>
      <c r="N438" s="22" t="n">
        <f aca="false">MATCH(M438,'Tabela Passaro'!$A$2:$A$1795,0)</f>
        <v>106</v>
      </c>
      <c r="O438" s="22" t="str">
        <f aca="false">INDEX('Tabela Passaro'!$C$2:$C$1795,$N438)</f>
        <v>SALVADOR</v>
      </c>
      <c r="P438" s="22" t="str">
        <f aca="false">INDEX('Tabela Passaro'!$B$2:$B$1795,$N438)</f>
        <v>BA</v>
      </c>
      <c r="Q438" s="22" t="n">
        <f aca="false">INDEX('Tabela Passaro'!$F$2:$F$1795,$N438)</f>
        <v>6</v>
      </c>
      <c r="R438" s="32" t="n">
        <f aca="false">IF(J438&lt;=10,INDEX('Tabela Passaro'!$G$2:$G$1795,$N438),IF(J438&lt;=30,INDEX('Tabela Passaro'!$H$2:$H$1795,$N438),IF(J438&lt;=50,INDEX('Tabela Passaro'!$I$2:$I$1795,$N438),IF(J438&lt;=70,INDEX('Tabela Passaro'!$J$2:$J$1795,$N438),IF(J438&lt;=100,INDEX('Tabela Passaro'!$K$2:$K$1795,$N438),INDEX('Tabela Passaro'!$K$2:$K$1795,$N438)+(J438-100)*INDEX('Tabela Passaro'!$L$2:$L$1795,$N438))))))</f>
        <v>50.4</v>
      </c>
      <c r="S438" s="32" t="n">
        <f aca="false">K438*INDEX('Tabela Passaro'!$M$2:$M$1795,$N438)</f>
        <v>3.34985</v>
      </c>
      <c r="T438" s="32" t="n">
        <f aca="false">K438*INDEX('Tabela Passaro'!$N$2:$N$1795,$N438)</f>
        <v>1.33994</v>
      </c>
      <c r="U438" s="32" t="n">
        <f aca="false">INDEX('Tabela Passaro'!$O$2:$O$1795,$N438)</f>
        <v>5</v>
      </c>
      <c r="V438" s="32" t="n">
        <f aca="false">ROUNDUP(J438/INDEX('Tabela Passaro'!$Q$2:$Q$1795,$N438),0)*INDEX('Tabela Passaro'!$P$2:$P$1795,$N438)</f>
        <v>5</v>
      </c>
      <c r="W438" s="32" t="n">
        <f aca="false">INDEX('Tabela Passaro'!$R$2:$R$1795,$N438)</f>
        <v>30</v>
      </c>
      <c r="X438" s="32" t="n">
        <f aca="false">ROUNDUP(J438/INDEX('Tabela Passaro'!$T$2:$T$1795,$N438),0)*INDEX('Tabela Passaro'!$S$2:$S$1795,$N438)</f>
        <v>0</v>
      </c>
      <c r="Y438" s="32" t="n">
        <f aca="false">INDEX('Tabela Passaro'!$U$2:$U$1795,$N438)</f>
        <v>0</v>
      </c>
      <c r="Z438" s="32" t="n">
        <f aca="false">INDEX('Tabela Passaro'!$V$2:$V$1795,$N438)</f>
        <v>0</v>
      </c>
      <c r="AA438" s="32" t="n">
        <f aca="false">SUM(R438:Z438)</f>
        <v>95.08979</v>
      </c>
      <c r="AB438" s="33" t="n">
        <f aca="false">INDEX(Premissas!$B$5:$B$13,MATCH(A438,Premissas!$A$5:$A$13,0))</f>
        <v>0.07</v>
      </c>
      <c r="AC438" s="32" t="n">
        <f aca="false">AA438/(1-AB438)-AA438</f>
        <v>7.15729602150539</v>
      </c>
      <c r="AD438" s="32" t="n">
        <f aca="false">ROUND(AA438+AC438,2)</f>
        <v>102.25</v>
      </c>
      <c r="AE438" s="32" t="n">
        <f aca="false">AD438-L438</f>
        <v>24.25</v>
      </c>
      <c r="AF438" s="34" t="n">
        <f aca="false">IF(L438=0,0,AE438/L438)</f>
        <v>0.310897435897436</v>
      </c>
      <c r="AG438" s="22" t="str">
        <f aca="false">IF(AD438&lt;L438,"PASSARO","ATUAL")</f>
        <v>ATUAL</v>
      </c>
      <c r="AH438" s="22" t="str">
        <f aca="false">IF(P438&lt;&gt;A438,"Faixa cadastrada como "&amp;P438&amp;" na tabela; preço aplicado pela UF do CEP","")</f>
        <v/>
      </c>
      <c r="AI438" s="26" t="n">
        <v>120.8</v>
      </c>
      <c r="AJ438" s="22" t="str">
        <f aca="false">INDEX('Tabela Passaro'!$X$2:$X$1795,$N438)</f>
        <v>CAPITAL</v>
      </c>
    </row>
    <row r="439" customFormat="false" ht="15" hidden="false" customHeight="false" outlineLevel="0" collapsed="false">
      <c r="A439" s="22" t="s">
        <v>16</v>
      </c>
      <c r="B439" s="22" t="n">
        <v>1</v>
      </c>
      <c r="C439" s="22" t="s">
        <v>75</v>
      </c>
      <c r="D439" s="22" t="s">
        <v>31</v>
      </c>
      <c r="E439" s="22" t="s">
        <v>7326</v>
      </c>
      <c r="F439" s="22" t="n">
        <v>12736920</v>
      </c>
      <c r="G439" s="30" t="n">
        <v>46239</v>
      </c>
      <c r="H439" s="22" t="n">
        <v>620584</v>
      </c>
      <c r="I439" s="22" t="s">
        <v>7721</v>
      </c>
      <c r="J439" s="31" t="n">
        <v>22.4</v>
      </c>
      <c r="K439" s="26" t="n">
        <v>568.93</v>
      </c>
      <c r="L439" s="26" t="n">
        <v>77.38</v>
      </c>
      <c r="M439" s="22" t="s">
        <v>694</v>
      </c>
      <c r="N439" s="22" t="n">
        <f aca="false">MATCH(M439,'Tabela Passaro'!$A$2:$A$1795,0)</f>
        <v>106</v>
      </c>
      <c r="O439" s="22" t="str">
        <f aca="false">INDEX('Tabela Passaro'!$C$2:$C$1795,$N439)</f>
        <v>SALVADOR</v>
      </c>
      <c r="P439" s="22" t="str">
        <f aca="false">INDEX('Tabela Passaro'!$B$2:$B$1795,$N439)</f>
        <v>BA</v>
      </c>
      <c r="Q439" s="22" t="n">
        <f aca="false">INDEX('Tabela Passaro'!$F$2:$F$1795,$N439)</f>
        <v>6</v>
      </c>
      <c r="R439" s="32" t="n">
        <f aca="false">IF(J439&lt;=10,INDEX('Tabela Passaro'!$G$2:$G$1795,$N439),IF(J439&lt;=30,INDEX('Tabela Passaro'!$H$2:$H$1795,$N439),IF(J439&lt;=50,INDEX('Tabela Passaro'!$I$2:$I$1795,$N439),IF(J439&lt;=70,INDEX('Tabela Passaro'!$J$2:$J$1795,$N439),IF(J439&lt;=100,INDEX('Tabela Passaro'!$K$2:$K$1795,$N439),INDEX('Tabela Passaro'!$K$2:$K$1795,$N439)+(J439-100)*INDEX('Tabela Passaro'!$L$2:$L$1795,$N439))))))</f>
        <v>50.4</v>
      </c>
      <c r="S439" s="32" t="n">
        <f aca="false">K439*INDEX('Tabela Passaro'!$M$2:$M$1795,$N439)</f>
        <v>2.84465</v>
      </c>
      <c r="T439" s="32" t="n">
        <f aca="false">K439*INDEX('Tabela Passaro'!$N$2:$N$1795,$N439)</f>
        <v>1.13786</v>
      </c>
      <c r="U439" s="32" t="n">
        <f aca="false">INDEX('Tabela Passaro'!$O$2:$O$1795,$N439)</f>
        <v>5</v>
      </c>
      <c r="V439" s="32" t="n">
        <f aca="false">ROUNDUP(J439/INDEX('Tabela Passaro'!$Q$2:$Q$1795,$N439),0)*INDEX('Tabela Passaro'!$P$2:$P$1795,$N439)</f>
        <v>5</v>
      </c>
      <c r="W439" s="32" t="n">
        <f aca="false">INDEX('Tabela Passaro'!$R$2:$R$1795,$N439)</f>
        <v>30</v>
      </c>
      <c r="X439" s="32" t="n">
        <f aca="false">ROUNDUP(J439/INDEX('Tabela Passaro'!$T$2:$T$1795,$N439),0)*INDEX('Tabela Passaro'!$S$2:$S$1795,$N439)</f>
        <v>0</v>
      </c>
      <c r="Y439" s="32" t="n">
        <f aca="false">INDEX('Tabela Passaro'!$U$2:$U$1795,$N439)</f>
        <v>0</v>
      </c>
      <c r="Z439" s="32" t="n">
        <f aca="false">INDEX('Tabela Passaro'!$V$2:$V$1795,$N439)</f>
        <v>0</v>
      </c>
      <c r="AA439" s="32" t="n">
        <f aca="false">SUM(R439:Z439)</f>
        <v>94.38251</v>
      </c>
      <c r="AB439" s="33" t="n">
        <f aca="false">INDEX(Premissas!$B$5:$B$13,MATCH(A439,Premissas!$A$5:$A$13,0))</f>
        <v>0.07</v>
      </c>
      <c r="AC439" s="32" t="n">
        <f aca="false">AA439/(1-AB439)-AA439</f>
        <v>7.10405989247313</v>
      </c>
      <c r="AD439" s="32" t="n">
        <f aca="false">ROUND(AA439+AC439,2)</f>
        <v>101.49</v>
      </c>
      <c r="AE439" s="32" t="n">
        <f aca="false">AD439-L439</f>
        <v>24.11</v>
      </c>
      <c r="AF439" s="34" t="n">
        <f aca="false">IF(L439=0,0,AE439/L439)</f>
        <v>0.311579219436547</v>
      </c>
      <c r="AG439" s="22" t="str">
        <f aca="false">IF(AD439&lt;L439,"PASSARO","ATUAL")</f>
        <v>ATUAL</v>
      </c>
      <c r="AH439" s="22" t="str">
        <f aca="false">IF(P439&lt;&gt;A439,"Faixa cadastrada como "&amp;P439&amp;" na tabela; preço aplicado pela UF do CEP","")</f>
        <v/>
      </c>
      <c r="AI439" s="26" t="n">
        <v>119.82</v>
      </c>
      <c r="AJ439" s="22" t="str">
        <f aca="false">INDEX('Tabela Passaro'!$X$2:$X$1795,$N439)</f>
        <v>CAPITAL</v>
      </c>
    </row>
    <row r="440" customFormat="false" ht="15" hidden="false" customHeight="false" outlineLevel="0" collapsed="false">
      <c r="A440" s="22" t="s">
        <v>16</v>
      </c>
      <c r="B440" s="22" t="n">
        <v>1</v>
      </c>
      <c r="C440" s="22" t="s">
        <v>75</v>
      </c>
      <c r="D440" s="22" t="s">
        <v>31</v>
      </c>
      <c r="E440" s="22" t="s">
        <v>7326</v>
      </c>
      <c r="F440" s="22" t="n">
        <v>12736694</v>
      </c>
      <c r="G440" s="30" t="n">
        <v>46239</v>
      </c>
      <c r="H440" s="22" t="n">
        <v>620788</v>
      </c>
      <c r="I440" s="22" t="s">
        <v>7722</v>
      </c>
      <c r="J440" s="31" t="n">
        <v>22.4</v>
      </c>
      <c r="K440" s="26" t="n">
        <v>547.88</v>
      </c>
      <c r="L440" s="26" t="n">
        <v>75.82</v>
      </c>
      <c r="M440" s="22" t="s">
        <v>694</v>
      </c>
      <c r="N440" s="22" t="n">
        <f aca="false">MATCH(M440,'Tabela Passaro'!$A$2:$A$1795,0)</f>
        <v>106</v>
      </c>
      <c r="O440" s="22" t="str">
        <f aca="false">INDEX('Tabela Passaro'!$C$2:$C$1795,$N440)</f>
        <v>SALVADOR</v>
      </c>
      <c r="P440" s="22" t="str">
        <f aca="false">INDEX('Tabela Passaro'!$B$2:$B$1795,$N440)</f>
        <v>BA</v>
      </c>
      <c r="Q440" s="22" t="n">
        <f aca="false">INDEX('Tabela Passaro'!$F$2:$F$1795,$N440)</f>
        <v>6</v>
      </c>
      <c r="R440" s="32" t="n">
        <f aca="false">IF(J440&lt;=10,INDEX('Tabela Passaro'!$G$2:$G$1795,$N440),IF(J440&lt;=30,INDEX('Tabela Passaro'!$H$2:$H$1795,$N440),IF(J440&lt;=50,INDEX('Tabela Passaro'!$I$2:$I$1795,$N440),IF(J440&lt;=70,INDEX('Tabela Passaro'!$J$2:$J$1795,$N440),IF(J440&lt;=100,INDEX('Tabela Passaro'!$K$2:$K$1795,$N440),INDEX('Tabela Passaro'!$K$2:$K$1795,$N440)+(J440-100)*INDEX('Tabela Passaro'!$L$2:$L$1795,$N440))))))</f>
        <v>50.4</v>
      </c>
      <c r="S440" s="32" t="n">
        <f aca="false">K440*INDEX('Tabela Passaro'!$M$2:$M$1795,$N440)</f>
        <v>2.7394</v>
      </c>
      <c r="T440" s="32" t="n">
        <f aca="false">K440*INDEX('Tabela Passaro'!$N$2:$N$1795,$N440)</f>
        <v>1.09576</v>
      </c>
      <c r="U440" s="32" t="n">
        <f aca="false">INDEX('Tabela Passaro'!$O$2:$O$1795,$N440)</f>
        <v>5</v>
      </c>
      <c r="V440" s="32" t="n">
        <f aca="false">ROUNDUP(J440/INDEX('Tabela Passaro'!$Q$2:$Q$1795,$N440),0)*INDEX('Tabela Passaro'!$P$2:$P$1795,$N440)</f>
        <v>5</v>
      </c>
      <c r="W440" s="32" t="n">
        <f aca="false">INDEX('Tabela Passaro'!$R$2:$R$1795,$N440)</f>
        <v>30</v>
      </c>
      <c r="X440" s="32" t="n">
        <f aca="false">ROUNDUP(J440/INDEX('Tabela Passaro'!$T$2:$T$1795,$N440),0)*INDEX('Tabela Passaro'!$S$2:$S$1795,$N440)</f>
        <v>0</v>
      </c>
      <c r="Y440" s="32" t="n">
        <f aca="false">INDEX('Tabela Passaro'!$U$2:$U$1795,$N440)</f>
        <v>0</v>
      </c>
      <c r="Z440" s="32" t="n">
        <f aca="false">INDEX('Tabela Passaro'!$V$2:$V$1795,$N440)</f>
        <v>0</v>
      </c>
      <c r="AA440" s="32" t="n">
        <f aca="false">SUM(R440:Z440)</f>
        <v>94.23516</v>
      </c>
      <c r="AB440" s="33" t="n">
        <f aca="false">INDEX(Premissas!$B$5:$B$13,MATCH(A440,Premissas!$A$5:$A$13,0))</f>
        <v>0.07</v>
      </c>
      <c r="AC440" s="32" t="n">
        <f aca="false">AA440/(1-AB440)-AA440</f>
        <v>7.09296903225807</v>
      </c>
      <c r="AD440" s="32" t="n">
        <f aca="false">ROUND(AA440+AC440,2)</f>
        <v>101.33</v>
      </c>
      <c r="AE440" s="32" t="n">
        <f aca="false">AD440-L440</f>
        <v>25.51</v>
      </c>
      <c r="AF440" s="34" t="n">
        <f aca="false">IF(L440=0,0,AE440/L440)</f>
        <v>0.336454761276708</v>
      </c>
      <c r="AG440" s="22" t="str">
        <f aca="false">IF(AD440&lt;L440,"PASSARO","ATUAL")</f>
        <v>ATUAL</v>
      </c>
      <c r="AH440" s="22" t="str">
        <f aca="false">IF(P440&lt;&gt;A440,"Faixa cadastrada como "&amp;P440&amp;" na tabela; preço aplicado pela UF do CEP","")</f>
        <v/>
      </c>
      <c r="AI440" s="26" t="n">
        <v>119.61</v>
      </c>
      <c r="AJ440" s="22" t="str">
        <f aca="false">INDEX('Tabela Passaro'!$X$2:$X$1795,$N440)</f>
        <v>CAPITAL</v>
      </c>
    </row>
    <row r="441" customFormat="false" ht="15" hidden="false" customHeight="false" outlineLevel="0" collapsed="false">
      <c r="A441" s="22" t="s">
        <v>16</v>
      </c>
      <c r="B441" s="22" t="n">
        <v>1</v>
      </c>
      <c r="C441" s="22" t="s">
        <v>75</v>
      </c>
      <c r="D441" s="22" t="s">
        <v>31</v>
      </c>
      <c r="E441" s="22" t="s">
        <v>7326</v>
      </c>
      <c r="F441" s="22" t="n">
        <v>12749552</v>
      </c>
      <c r="G441" s="30" t="n">
        <v>46241</v>
      </c>
      <c r="H441" s="22" t="n">
        <v>621602</v>
      </c>
      <c r="I441" s="22" t="s">
        <v>7723</v>
      </c>
      <c r="J441" s="31" t="n">
        <v>17.2</v>
      </c>
      <c r="K441" s="26" t="n">
        <v>314.68</v>
      </c>
      <c r="L441" s="26" t="n">
        <v>53.6</v>
      </c>
      <c r="M441" s="22" t="s">
        <v>694</v>
      </c>
      <c r="N441" s="22" t="n">
        <f aca="false">MATCH(M441,'Tabela Passaro'!$A$2:$A$1795,0)</f>
        <v>106</v>
      </c>
      <c r="O441" s="22" t="str">
        <f aca="false">INDEX('Tabela Passaro'!$C$2:$C$1795,$N441)</f>
        <v>SALVADOR</v>
      </c>
      <c r="P441" s="22" t="str">
        <f aca="false">INDEX('Tabela Passaro'!$B$2:$B$1795,$N441)</f>
        <v>BA</v>
      </c>
      <c r="Q441" s="22" t="n">
        <f aca="false">INDEX('Tabela Passaro'!$F$2:$F$1795,$N441)</f>
        <v>6</v>
      </c>
      <c r="R441" s="32" t="n">
        <f aca="false">IF(J441&lt;=10,INDEX('Tabela Passaro'!$G$2:$G$1795,$N441),IF(J441&lt;=30,INDEX('Tabela Passaro'!$H$2:$H$1795,$N441),IF(J441&lt;=50,INDEX('Tabela Passaro'!$I$2:$I$1795,$N441),IF(J441&lt;=70,INDEX('Tabela Passaro'!$J$2:$J$1795,$N441),IF(J441&lt;=100,INDEX('Tabela Passaro'!$K$2:$K$1795,$N441),INDEX('Tabela Passaro'!$K$2:$K$1795,$N441)+(J441-100)*INDEX('Tabela Passaro'!$L$2:$L$1795,$N441))))))</f>
        <v>50.4</v>
      </c>
      <c r="S441" s="32" t="n">
        <f aca="false">K441*INDEX('Tabela Passaro'!$M$2:$M$1795,$N441)</f>
        <v>1.5734</v>
      </c>
      <c r="T441" s="32" t="n">
        <f aca="false">K441*INDEX('Tabela Passaro'!$N$2:$N$1795,$N441)</f>
        <v>0.62936</v>
      </c>
      <c r="U441" s="32" t="n">
        <f aca="false">INDEX('Tabela Passaro'!$O$2:$O$1795,$N441)</f>
        <v>5</v>
      </c>
      <c r="V441" s="32" t="n">
        <f aca="false">ROUNDUP(J441/INDEX('Tabela Passaro'!$Q$2:$Q$1795,$N441),0)*INDEX('Tabela Passaro'!$P$2:$P$1795,$N441)</f>
        <v>5</v>
      </c>
      <c r="W441" s="32" t="n">
        <f aca="false">INDEX('Tabela Passaro'!$R$2:$R$1795,$N441)</f>
        <v>30</v>
      </c>
      <c r="X441" s="32" t="n">
        <f aca="false">ROUNDUP(J441/INDEX('Tabela Passaro'!$T$2:$T$1795,$N441),0)*INDEX('Tabela Passaro'!$S$2:$S$1795,$N441)</f>
        <v>0</v>
      </c>
      <c r="Y441" s="32" t="n">
        <f aca="false">INDEX('Tabela Passaro'!$U$2:$U$1795,$N441)</f>
        <v>0</v>
      </c>
      <c r="Z441" s="32" t="n">
        <f aca="false">INDEX('Tabela Passaro'!$V$2:$V$1795,$N441)</f>
        <v>0</v>
      </c>
      <c r="AA441" s="32" t="n">
        <f aca="false">SUM(R441:Z441)</f>
        <v>92.60276</v>
      </c>
      <c r="AB441" s="33" t="n">
        <f aca="false">INDEX(Premissas!$B$5:$B$13,MATCH(A441,Premissas!$A$5:$A$13,0))</f>
        <v>0.07</v>
      </c>
      <c r="AC441" s="32" t="n">
        <f aca="false">AA441/(1-AB441)-AA441</f>
        <v>6.97010021505378</v>
      </c>
      <c r="AD441" s="32" t="n">
        <f aca="false">ROUND(AA441+AC441,2)</f>
        <v>99.57</v>
      </c>
      <c r="AE441" s="32" t="n">
        <f aca="false">AD441-L441</f>
        <v>45.97</v>
      </c>
      <c r="AF441" s="34" t="n">
        <f aca="false">IF(L441=0,0,AE441/L441)</f>
        <v>0.857649253731343</v>
      </c>
      <c r="AG441" s="22" t="str">
        <f aca="false">IF(AD441&lt;L441,"PASSARO","ATUAL")</f>
        <v>ATUAL</v>
      </c>
      <c r="AH441" s="22" t="str">
        <f aca="false">IF(P441&lt;&gt;A441,"Faixa cadastrada como "&amp;P441&amp;" na tabela; preço aplicado pela UF do CEP","")</f>
        <v/>
      </c>
      <c r="AI441" s="26" t="n">
        <v>114.94</v>
      </c>
      <c r="AJ441" s="22" t="str">
        <f aca="false">INDEX('Tabela Passaro'!$X$2:$X$1795,$N441)</f>
        <v>CAPITAL</v>
      </c>
    </row>
    <row r="442" customFormat="false" ht="15" hidden="false" customHeight="false" outlineLevel="0" collapsed="false">
      <c r="A442" s="22" t="s">
        <v>16</v>
      </c>
      <c r="B442" s="22" t="n">
        <v>1</v>
      </c>
      <c r="C442" s="22" t="s">
        <v>75</v>
      </c>
      <c r="D442" s="22" t="s">
        <v>31</v>
      </c>
      <c r="E442" s="22" t="s">
        <v>7326</v>
      </c>
      <c r="F442" s="22" t="n">
        <v>12756045</v>
      </c>
      <c r="G442" s="30" t="n">
        <v>46244</v>
      </c>
      <c r="H442" s="22" t="n">
        <v>621891</v>
      </c>
      <c r="I442" s="22" t="s">
        <v>7724</v>
      </c>
      <c r="J442" s="31" t="n">
        <v>19.4</v>
      </c>
      <c r="K442" s="26" t="n">
        <v>460.95</v>
      </c>
      <c r="L442" s="26" t="n">
        <v>66.68</v>
      </c>
      <c r="M442" s="22" t="s">
        <v>694</v>
      </c>
      <c r="N442" s="22" t="n">
        <f aca="false">MATCH(M442,'Tabela Passaro'!$A$2:$A$1795,0)</f>
        <v>106</v>
      </c>
      <c r="O442" s="22" t="str">
        <f aca="false">INDEX('Tabela Passaro'!$C$2:$C$1795,$N442)</f>
        <v>SALVADOR</v>
      </c>
      <c r="P442" s="22" t="str">
        <f aca="false">INDEX('Tabela Passaro'!$B$2:$B$1795,$N442)</f>
        <v>BA</v>
      </c>
      <c r="Q442" s="22" t="n">
        <f aca="false">INDEX('Tabela Passaro'!$F$2:$F$1795,$N442)</f>
        <v>6</v>
      </c>
      <c r="R442" s="32" t="n">
        <f aca="false">IF(J442&lt;=10,INDEX('Tabela Passaro'!$G$2:$G$1795,$N442),IF(J442&lt;=30,INDEX('Tabela Passaro'!$H$2:$H$1795,$N442),IF(J442&lt;=50,INDEX('Tabela Passaro'!$I$2:$I$1795,$N442),IF(J442&lt;=70,INDEX('Tabela Passaro'!$J$2:$J$1795,$N442),IF(J442&lt;=100,INDEX('Tabela Passaro'!$K$2:$K$1795,$N442),INDEX('Tabela Passaro'!$K$2:$K$1795,$N442)+(J442-100)*INDEX('Tabela Passaro'!$L$2:$L$1795,$N442))))))</f>
        <v>50.4</v>
      </c>
      <c r="S442" s="32" t="n">
        <f aca="false">K442*INDEX('Tabela Passaro'!$M$2:$M$1795,$N442)</f>
        <v>2.30475</v>
      </c>
      <c r="T442" s="32" t="n">
        <f aca="false">K442*INDEX('Tabela Passaro'!$N$2:$N$1795,$N442)</f>
        <v>0.9219</v>
      </c>
      <c r="U442" s="32" t="n">
        <f aca="false">INDEX('Tabela Passaro'!$O$2:$O$1795,$N442)</f>
        <v>5</v>
      </c>
      <c r="V442" s="32" t="n">
        <f aca="false">ROUNDUP(J442/INDEX('Tabela Passaro'!$Q$2:$Q$1795,$N442),0)*INDEX('Tabela Passaro'!$P$2:$P$1795,$N442)</f>
        <v>5</v>
      </c>
      <c r="W442" s="32" t="n">
        <f aca="false">INDEX('Tabela Passaro'!$R$2:$R$1795,$N442)</f>
        <v>30</v>
      </c>
      <c r="X442" s="32" t="n">
        <f aca="false">ROUNDUP(J442/INDEX('Tabela Passaro'!$T$2:$T$1795,$N442),0)*INDEX('Tabela Passaro'!$S$2:$S$1795,$N442)</f>
        <v>0</v>
      </c>
      <c r="Y442" s="32" t="n">
        <f aca="false">INDEX('Tabela Passaro'!$U$2:$U$1795,$N442)</f>
        <v>0</v>
      </c>
      <c r="Z442" s="32" t="n">
        <f aca="false">INDEX('Tabela Passaro'!$V$2:$V$1795,$N442)</f>
        <v>0</v>
      </c>
      <c r="AA442" s="32" t="n">
        <f aca="false">SUM(R442:Z442)</f>
        <v>93.62665</v>
      </c>
      <c r="AB442" s="33" t="n">
        <f aca="false">INDEX(Premissas!$B$5:$B$13,MATCH(A442,Premissas!$A$5:$A$13,0))</f>
        <v>0.07</v>
      </c>
      <c r="AC442" s="32" t="n">
        <f aca="false">AA442/(1-AB442)-AA442</f>
        <v>7.04716720430108</v>
      </c>
      <c r="AD442" s="32" t="n">
        <f aca="false">ROUND(AA442+AC442,2)</f>
        <v>100.67</v>
      </c>
      <c r="AE442" s="32" t="n">
        <f aca="false">AD442-L442</f>
        <v>33.99</v>
      </c>
      <c r="AF442" s="34" t="n">
        <f aca="false">IF(L442=0,0,AE442/L442)</f>
        <v>0.509748050389922</v>
      </c>
      <c r="AG442" s="22" t="str">
        <f aca="false">IF(AD442&lt;L442,"PASSARO","ATUAL")</f>
        <v>ATUAL</v>
      </c>
      <c r="AH442" s="22" t="str">
        <f aca="false">IF(P442&lt;&gt;A442,"Faixa cadastrada como "&amp;P442&amp;" na tabela; preço aplicado pela UF do CEP","")</f>
        <v/>
      </c>
      <c r="AI442" s="26" t="n">
        <v>117.32</v>
      </c>
      <c r="AJ442" s="22" t="str">
        <f aca="false">INDEX('Tabela Passaro'!$X$2:$X$1795,$N442)</f>
        <v>CAPITAL</v>
      </c>
    </row>
    <row r="443" customFormat="false" ht="15" hidden="false" customHeight="false" outlineLevel="0" collapsed="false">
      <c r="A443" s="22" t="s">
        <v>16</v>
      </c>
      <c r="B443" s="22" t="n">
        <v>1</v>
      </c>
      <c r="C443" s="22" t="s">
        <v>75</v>
      </c>
      <c r="D443" s="22" t="s">
        <v>31</v>
      </c>
      <c r="E443" s="22" t="s">
        <v>7326</v>
      </c>
      <c r="F443" s="22" t="n">
        <v>12766482</v>
      </c>
      <c r="G443" s="30" t="n">
        <v>46245</v>
      </c>
      <c r="H443" s="22" t="n">
        <v>622234</v>
      </c>
      <c r="I443" s="22" t="s">
        <v>7561</v>
      </c>
      <c r="J443" s="31" t="n">
        <v>20.9</v>
      </c>
      <c r="K443" s="26" t="n">
        <v>499.01</v>
      </c>
      <c r="L443" s="26" t="n">
        <v>67.82</v>
      </c>
      <c r="M443" s="22" t="s">
        <v>694</v>
      </c>
      <c r="N443" s="22" t="n">
        <f aca="false">MATCH(M443,'Tabela Passaro'!$A$2:$A$1795,0)</f>
        <v>106</v>
      </c>
      <c r="O443" s="22" t="str">
        <f aca="false">INDEX('Tabela Passaro'!$C$2:$C$1795,$N443)</f>
        <v>SALVADOR</v>
      </c>
      <c r="P443" s="22" t="str">
        <f aca="false">INDEX('Tabela Passaro'!$B$2:$B$1795,$N443)</f>
        <v>BA</v>
      </c>
      <c r="Q443" s="22" t="n">
        <f aca="false">INDEX('Tabela Passaro'!$F$2:$F$1795,$N443)</f>
        <v>6</v>
      </c>
      <c r="R443" s="32" t="n">
        <f aca="false">IF(J443&lt;=10,INDEX('Tabela Passaro'!$G$2:$G$1795,$N443),IF(J443&lt;=30,INDEX('Tabela Passaro'!$H$2:$H$1795,$N443),IF(J443&lt;=50,INDEX('Tabela Passaro'!$I$2:$I$1795,$N443),IF(J443&lt;=70,INDEX('Tabela Passaro'!$J$2:$J$1795,$N443),IF(J443&lt;=100,INDEX('Tabela Passaro'!$K$2:$K$1795,$N443),INDEX('Tabela Passaro'!$K$2:$K$1795,$N443)+(J443-100)*INDEX('Tabela Passaro'!$L$2:$L$1795,$N443))))))</f>
        <v>50.4</v>
      </c>
      <c r="S443" s="32" t="n">
        <f aca="false">K443*INDEX('Tabela Passaro'!$M$2:$M$1795,$N443)</f>
        <v>2.49505</v>
      </c>
      <c r="T443" s="32" t="n">
        <f aca="false">K443*INDEX('Tabela Passaro'!$N$2:$N$1795,$N443)</f>
        <v>0.99802</v>
      </c>
      <c r="U443" s="32" t="n">
        <f aca="false">INDEX('Tabela Passaro'!$O$2:$O$1795,$N443)</f>
        <v>5</v>
      </c>
      <c r="V443" s="32" t="n">
        <f aca="false">ROUNDUP(J443/INDEX('Tabela Passaro'!$Q$2:$Q$1795,$N443),0)*INDEX('Tabela Passaro'!$P$2:$P$1795,$N443)</f>
        <v>5</v>
      </c>
      <c r="W443" s="32" t="n">
        <f aca="false">INDEX('Tabela Passaro'!$R$2:$R$1795,$N443)</f>
        <v>30</v>
      </c>
      <c r="X443" s="32" t="n">
        <f aca="false">ROUNDUP(J443/INDEX('Tabela Passaro'!$T$2:$T$1795,$N443),0)*INDEX('Tabela Passaro'!$S$2:$S$1795,$N443)</f>
        <v>0</v>
      </c>
      <c r="Y443" s="32" t="n">
        <f aca="false">INDEX('Tabela Passaro'!$U$2:$U$1795,$N443)</f>
        <v>0</v>
      </c>
      <c r="Z443" s="32" t="n">
        <f aca="false">INDEX('Tabela Passaro'!$V$2:$V$1795,$N443)</f>
        <v>0</v>
      </c>
      <c r="AA443" s="32" t="n">
        <f aca="false">SUM(R443:Z443)</f>
        <v>93.89307</v>
      </c>
      <c r="AB443" s="33" t="n">
        <f aca="false">INDEX(Premissas!$B$5:$B$13,MATCH(A443,Premissas!$A$5:$A$13,0))</f>
        <v>0.07</v>
      </c>
      <c r="AC443" s="32" t="n">
        <f aca="false">AA443/(1-AB443)-AA443</f>
        <v>7.06722032258065</v>
      </c>
      <c r="AD443" s="32" t="n">
        <f aca="false">ROUND(AA443+AC443,2)</f>
        <v>100.96</v>
      </c>
      <c r="AE443" s="32" t="n">
        <f aca="false">AD443-L443</f>
        <v>33.14</v>
      </c>
      <c r="AF443" s="34" t="n">
        <f aca="false">IF(L443=0,0,AE443/L443)</f>
        <v>0.48864641698614</v>
      </c>
      <c r="AG443" s="22" t="str">
        <f aca="false">IF(AD443&lt;L443,"PASSARO","ATUAL")</f>
        <v>ATUAL</v>
      </c>
      <c r="AH443" s="22" t="str">
        <f aca="false">IF(P443&lt;&gt;A443,"Faixa cadastrada como "&amp;P443&amp;" na tabela; preço aplicado pela UF do CEP","")</f>
        <v/>
      </c>
      <c r="AI443" s="26" t="n">
        <v>118.17</v>
      </c>
      <c r="AJ443" s="22" t="str">
        <f aca="false">INDEX('Tabela Passaro'!$X$2:$X$1795,$N443)</f>
        <v>CAPITAL</v>
      </c>
    </row>
    <row r="444" customFormat="false" ht="15" hidden="false" customHeight="false" outlineLevel="0" collapsed="false">
      <c r="A444" s="22" t="s">
        <v>16</v>
      </c>
      <c r="B444" s="22" t="n">
        <v>1</v>
      </c>
      <c r="C444" s="22" t="s">
        <v>75</v>
      </c>
      <c r="D444" s="22" t="s">
        <v>31</v>
      </c>
      <c r="E444" s="22" t="s">
        <v>7326</v>
      </c>
      <c r="F444" s="22" t="n">
        <v>12766497</v>
      </c>
      <c r="G444" s="30" t="n">
        <v>46245</v>
      </c>
      <c r="H444" s="22" t="n">
        <v>622240</v>
      </c>
      <c r="I444" s="22" t="s">
        <v>7725</v>
      </c>
      <c r="J444" s="31" t="n">
        <v>19.4</v>
      </c>
      <c r="K444" s="26" t="n">
        <v>439.42</v>
      </c>
      <c r="L444" s="26" t="n">
        <v>66.35</v>
      </c>
      <c r="M444" s="22" t="s">
        <v>694</v>
      </c>
      <c r="N444" s="22" t="n">
        <f aca="false">MATCH(M444,'Tabela Passaro'!$A$2:$A$1795,0)</f>
        <v>106</v>
      </c>
      <c r="O444" s="22" t="str">
        <f aca="false">INDEX('Tabela Passaro'!$C$2:$C$1795,$N444)</f>
        <v>SALVADOR</v>
      </c>
      <c r="P444" s="22" t="str">
        <f aca="false">INDEX('Tabela Passaro'!$B$2:$B$1795,$N444)</f>
        <v>BA</v>
      </c>
      <c r="Q444" s="22" t="n">
        <f aca="false">INDEX('Tabela Passaro'!$F$2:$F$1795,$N444)</f>
        <v>6</v>
      </c>
      <c r="R444" s="32" t="n">
        <f aca="false">IF(J444&lt;=10,INDEX('Tabela Passaro'!$G$2:$G$1795,$N444),IF(J444&lt;=30,INDEX('Tabela Passaro'!$H$2:$H$1795,$N444),IF(J444&lt;=50,INDEX('Tabela Passaro'!$I$2:$I$1795,$N444),IF(J444&lt;=70,INDEX('Tabela Passaro'!$J$2:$J$1795,$N444),IF(J444&lt;=100,INDEX('Tabela Passaro'!$K$2:$K$1795,$N444),INDEX('Tabela Passaro'!$K$2:$K$1795,$N444)+(J444-100)*INDEX('Tabela Passaro'!$L$2:$L$1795,$N444))))))</f>
        <v>50.4</v>
      </c>
      <c r="S444" s="32" t="n">
        <f aca="false">K444*INDEX('Tabela Passaro'!$M$2:$M$1795,$N444)</f>
        <v>2.1971</v>
      </c>
      <c r="T444" s="32" t="n">
        <f aca="false">K444*INDEX('Tabela Passaro'!$N$2:$N$1795,$N444)</f>
        <v>0.87884</v>
      </c>
      <c r="U444" s="32" t="n">
        <f aca="false">INDEX('Tabela Passaro'!$O$2:$O$1795,$N444)</f>
        <v>5</v>
      </c>
      <c r="V444" s="32" t="n">
        <f aca="false">ROUNDUP(J444/INDEX('Tabela Passaro'!$Q$2:$Q$1795,$N444),0)*INDEX('Tabela Passaro'!$P$2:$P$1795,$N444)</f>
        <v>5</v>
      </c>
      <c r="W444" s="32" t="n">
        <f aca="false">INDEX('Tabela Passaro'!$R$2:$R$1795,$N444)</f>
        <v>30</v>
      </c>
      <c r="X444" s="32" t="n">
        <f aca="false">ROUNDUP(J444/INDEX('Tabela Passaro'!$T$2:$T$1795,$N444),0)*INDEX('Tabela Passaro'!$S$2:$S$1795,$N444)</f>
        <v>0</v>
      </c>
      <c r="Y444" s="32" t="n">
        <f aca="false">INDEX('Tabela Passaro'!$U$2:$U$1795,$N444)</f>
        <v>0</v>
      </c>
      <c r="Z444" s="32" t="n">
        <f aca="false">INDEX('Tabela Passaro'!$V$2:$V$1795,$N444)</f>
        <v>0</v>
      </c>
      <c r="AA444" s="32" t="n">
        <f aca="false">SUM(R444:Z444)</f>
        <v>93.47594</v>
      </c>
      <c r="AB444" s="33" t="n">
        <f aca="false">INDEX(Premissas!$B$5:$B$13,MATCH(A444,Premissas!$A$5:$A$13,0))</f>
        <v>0.07</v>
      </c>
      <c r="AC444" s="32" t="n">
        <f aca="false">AA444/(1-AB444)-AA444</f>
        <v>7.03582344086023</v>
      </c>
      <c r="AD444" s="32" t="n">
        <f aca="false">ROUND(AA444+AC444,2)</f>
        <v>100.51</v>
      </c>
      <c r="AE444" s="32" t="n">
        <f aca="false">AD444-L444</f>
        <v>34.16</v>
      </c>
      <c r="AF444" s="34" t="n">
        <f aca="false">IF(L444=0,0,AE444/L444)</f>
        <v>0.51484551620196</v>
      </c>
      <c r="AG444" s="22" t="str">
        <f aca="false">IF(AD444&lt;L444,"PASSARO","ATUAL")</f>
        <v>ATUAL</v>
      </c>
      <c r="AH444" s="22" t="str">
        <f aca="false">IF(P444&lt;&gt;A444,"Faixa cadastrada como "&amp;P444&amp;" na tabela; preço aplicado pela UF do CEP","")</f>
        <v/>
      </c>
      <c r="AI444" s="26" t="n">
        <v>117.11</v>
      </c>
      <c r="AJ444" s="22" t="str">
        <f aca="false">INDEX('Tabela Passaro'!$X$2:$X$1795,$N444)</f>
        <v>CAPITAL</v>
      </c>
    </row>
    <row r="445" customFormat="false" ht="15" hidden="false" customHeight="false" outlineLevel="0" collapsed="false">
      <c r="A445" s="22" t="s">
        <v>16</v>
      </c>
      <c r="B445" s="22" t="n">
        <v>1</v>
      </c>
      <c r="C445" s="22" t="s">
        <v>75</v>
      </c>
      <c r="D445" s="22" t="s">
        <v>31</v>
      </c>
      <c r="E445" s="22" t="s">
        <v>7326</v>
      </c>
      <c r="F445" s="22" t="n">
        <v>12765819</v>
      </c>
      <c r="G445" s="30" t="n">
        <v>46245</v>
      </c>
      <c r="H445" s="22" t="n">
        <v>622609</v>
      </c>
      <c r="I445" s="22" t="s">
        <v>7726</v>
      </c>
      <c r="J445" s="31" t="n">
        <v>17.2</v>
      </c>
      <c r="K445" s="26" t="n">
        <v>284.63</v>
      </c>
      <c r="L445" s="26" t="n">
        <v>53.6</v>
      </c>
      <c r="M445" s="22" t="s">
        <v>694</v>
      </c>
      <c r="N445" s="22" t="n">
        <f aca="false">MATCH(M445,'Tabela Passaro'!$A$2:$A$1795,0)</f>
        <v>106</v>
      </c>
      <c r="O445" s="22" t="str">
        <f aca="false">INDEX('Tabela Passaro'!$C$2:$C$1795,$N445)</f>
        <v>SALVADOR</v>
      </c>
      <c r="P445" s="22" t="str">
        <f aca="false">INDEX('Tabela Passaro'!$B$2:$B$1795,$N445)</f>
        <v>BA</v>
      </c>
      <c r="Q445" s="22" t="n">
        <f aca="false">INDEX('Tabela Passaro'!$F$2:$F$1795,$N445)</f>
        <v>6</v>
      </c>
      <c r="R445" s="32" t="n">
        <f aca="false">IF(J445&lt;=10,INDEX('Tabela Passaro'!$G$2:$G$1795,$N445),IF(J445&lt;=30,INDEX('Tabela Passaro'!$H$2:$H$1795,$N445),IF(J445&lt;=50,INDEX('Tabela Passaro'!$I$2:$I$1795,$N445),IF(J445&lt;=70,INDEX('Tabela Passaro'!$J$2:$J$1795,$N445),IF(J445&lt;=100,INDEX('Tabela Passaro'!$K$2:$K$1795,$N445),INDEX('Tabela Passaro'!$K$2:$K$1795,$N445)+(J445-100)*INDEX('Tabela Passaro'!$L$2:$L$1795,$N445))))))</f>
        <v>50.4</v>
      </c>
      <c r="S445" s="32" t="n">
        <f aca="false">K445*INDEX('Tabela Passaro'!$M$2:$M$1795,$N445)</f>
        <v>1.42315</v>
      </c>
      <c r="T445" s="32" t="n">
        <f aca="false">K445*INDEX('Tabela Passaro'!$N$2:$N$1795,$N445)</f>
        <v>0.56926</v>
      </c>
      <c r="U445" s="32" t="n">
        <f aca="false">INDEX('Tabela Passaro'!$O$2:$O$1795,$N445)</f>
        <v>5</v>
      </c>
      <c r="V445" s="32" t="n">
        <f aca="false">ROUNDUP(J445/INDEX('Tabela Passaro'!$Q$2:$Q$1795,$N445),0)*INDEX('Tabela Passaro'!$P$2:$P$1795,$N445)</f>
        <v>5</v>
      </c>
      <c r="W445" s="32" t="n">
        <f aca="false">INDEX('Tabela Passaro'!$R$2:$R$1795,$N445)</f>
        <v>30</v>
      </c>
      <c r="X445" s="32" t="n">
        <f aca="false">ROUNDUP(J445/INDEX('Tabela Passaro'!$T$2:$T$1795,$N445),0)*INDEX('Tabela Passaro'!$S$2:$S$1795,$N445)</f>
        <v>0</v>
      </c>
      <c r="Y445" s="32" t="n">
        <f aca="false">INDEX('Tabela Passaro'!$U$2:$U$1795,$N445)</f>
        <v>0</v>
      </c>
      <c r="Z445" s="32" t="n">
        <f aca="false">INDEX('Tabela Passaro'!$V$2:$V$1795,$N445)</f>
        <v>0</v>
      </c>
      <c r="AA445" s="32" t="n">
        <f aca="false">SUM(R445:Z445)</f>
        <v>92.39241</v>
      </c>
      <c r="AB445" s="33" t="n">
        <f aca="false">INDEX(Premissas!$B$5:$B$13,MATCH(A445,Premissas!$A$5:$A$13,0))</f>
        <v>0.07</v>
      </c>
      <c r="AC445" s="32" t="n">
        <f aca="false">AA445/(1-AB445)-AA445</f>
        <v>6.95426741935485</v>
      </c>
      <c r="AD445" s="32" t="n">
        <f aca="false">ROUND(AA445+AC445,2)</f>
        <v>99.35</v>
      </c>
      <c r="AE445" s="32" t="n">
        <f aca="false">AD445-L445</f>
        <v>45.75</v>
      </c>
      <c r="AF445" s="34" t="n">
        <f aca="false">IF(L445=0,0,AE445/L445)</f>
        <v>0.853544776119403</v>
      </c>
      <c r="AG445" s="22" t="str">
        <f aca="false">IF(AD445&lt;L445,"PASSARO","ATUAL")</f>
        <v>ATUAL</v>
      </c>
      <c r="AH445" s="22" t="str">
        <f aca="false">IF(P445&lt;&gt;A445,"Faixa cadastrada como "&amp;P445&amp;" na tabela; preço aplicado pela UF do CEP","")</f>
        <v/>
      </c>
      <c r="AI445" s="26" t="n">
        <v>114.65</v>
      </c>
      <c r="AJ445" s="22" t="str">
        <f aca="false">INDEX('Tabela Passaro'!$X$2:$X$1795,$N445)</f>
        <v>CAPITAL</v>
      </c>
    </row>
    <row r="446" customFormat="false" ht="15" hidden="false" customHeight="false" outlineLevel="0" collapsed="false">
      <c r="A446" s="22" t="s">
        <v>16</v>
      </c>
      <c r="B446" s="22" t="n">
        <v>1</v>
      </c>
      <c r="C446" s="22" t="s">
        <v>75</v>
      </c>
      <c r="D446" s="22" t="s">
        <v>31</v>
      </c>
      <c r="E446" s="22" t="s">
        <v>7326</v>
      </c>
      <c r="F446" s="22" t="n">
        <v>12768028</v>
      </c>
      <c r="G446" s="30" t="n">
        <v>46245</v>
      </c>
      <c r="H446" s="22" t="n">
        <v>622613</v>
      </c>
      <c r="I446" s="22" t="s">
        <v>7727</v>
      </c>
      <c r="J446" s="31" t="n">
        <v>18.51</v>
      </c>
      <c r="K446" s="26" t="n">
        <v>354.98</v>
      </c>
      <c r="L446" s="26" t="n">
        <v>67.29</v>
      </c>
      <c r="M446" s="22" t="s">
        <v>694</v>
      </c>
      <c r="N446" s="22" t="n">
        <f aca="false">MATCH(M446,'Tabela Passaro'!$A$2:$A$1795,0)</f>
        <v>106</v>
      </c>
      <c r="O446" s="22" t="str">
        <f aca="false">INDEX('Tabela Passaro'!$C$2:$C$1795,$N446)</f>
        <v>SALVADOR</v>
      </c>
      <c r="P446" s="22" t="str">
        <f aca="false">INDEX('Tabela Passaro'!$B$2:$B$1795,$N446)</f>
        <v>BA</v>
      </c>
      <c r="Q446" s="22" t="n">
        <f aca="false">INDEX('Tabela Passaro'!$F$2:$F$1795,$N446)</f>
        <v>6</v>
      </c>
      <c r="R446" s="32" t="n">
        <f aca="false">IF(J446&lt;=10,INDEX('Tabela Passaro'!$G$2:$G$1795,$N446),IF(J446&lt;=30,INDEX('Tabela Passaro'!$H$2:$H$1795,$N446),IF(J446&lt;=50,INDEX('Tabela Passaro'!$I$2:$I$1795,$N446),IF(J446&lt;=70,INDEX('Tabela Passaro'!$J$2:$J$1795,$N446),IF(J446&lt;=100,INDEX('Tabela Passaro'!$K$2:$K$1795,$N446),INDEX('Tabela Passaro'!$K$2:$K$1795,$N446)+(J446-100)*INDEX('Tabela Passaro'!$L$2:$L$1795,$N446))))))</f>
        <v>50.4</v>
      </c>
      <c r="S446" s="32" t="n">
        <f aca="false">K446*INDEX('Tabela Passaro'!$M$2:$M$1795,$N446)</f>
        <v>1.7749</v>
      </c>
      <c r="T446" s="32" t="n">
        <f aca="false">K446*INDEX('Tabela Passaro'!$N$2:$N$1795,$N446)</f>
        <v>0.70996</v>
      </c>
      <c r="U446" s="32" t="n">
        <f aca="false">INDEX('Tabela Passaro'!$O$2:$O$1795,$N446)</f>
        <v>5</v>
      </c>
      <c r="V446" s="32" t="n">
        <f aca="false">ROUNDUP(J446/INDEX('Tabela Passaro'!$Q$2:$Q$1795,$N446),0)*INDEX('Tabela Passaro'!$P$2:$P$1795,$N446)</f>
        <v>5</v>
      </c>
      <c r="W446" s="32" t="n">
        <f aca="false">INDEX('Tabela Passaro'!$R$2:$R$1795,$N446)</f>
        <v>30</v>
      </c>
      <c r="X446" s="32" t="n">
        <f aca="false">ROUNDUP(J446/INDEX('Tabela Passaro'!$T$2:$T$1795,$N446),0)*INDEX('Tabela Passaro'!$S$2:$S$1795,$N446)</f>
        <v>0</v>
      </c>
      <c r="Y446" s="32" t="n">
        <f aca="false">INDEX('Tabela Passaro'!$U$2:$U$1795,$N446)</f>
        <v>0</v>
      </c>
      <c r="Z446" s="32" t="n">
        <f aca="false">INDEX('Tabela Passaro'!$V$2:$V$1795,$N446)</f>
        <v>0</v>
      </c>
      <c r="AA446" s="32" t="n">
        <f aca="false">SUM(R446:Z446)</f>
        <v>92.88486</v>
      </c>
      <c r="AB446" s="33" t="n">
        <f aca="false">INDEX(Premissas!$B$5:$B$13,MATCH(A446,Premissas!$A$5:$A$13,0))</f>
        <v>0.07</v>
      </c>
      <c r="AC446" s="32" t="n">
        <f aca="false">AA446/(1-AB446)-AA446</f>
        <v>6.9913335483871</v>
      </c>
      <c r="AD446" s="32" t="n">
        <f aca="false">ROUND(AA446+AC446,2)</f>
        <v>99.88</v>
      </c>
      <c r="AE446" s="32" t="n">
        <f aca="false">AD446-L446</f>
        <v>32.59</v>
      </c>
      <c r="AF446" s="34" t="n">
        <f aca="false">IF(L446=0,0,AE446/L446)</f>
        <v>0.484321593104473</v>
      </c>
      <c r="AG446" s="22" t="str">
        <f aca="false">IF(AD446&lt;L446,"PASSARO","ATUAL")</f>
        <v>ATUAL</v>
      </c>
      <c r="AH446" s="22" t="str">
        <f aca="false">IF(P446&lt;&gt;A446,"Faixa cadastrada como "&amp;P446&amp;" na tabela; preço aplicado pela UF do CEP","")</f>
        <v/>
      </c>
      <c r="AI446" s="26" t="n">
        <v>115.81</v>
      </c>
      <c r="AJ446" s="22" t="str">
        <f aca="false">INDEX('Tabela Passaro'!$X$2:$X$1795,$N446)</f>
        <v>CAPITAL</v>
      </c>
    </row>
    <row r="447" customFormat="false" ht="15" hidden="false" customHeight="false" outlineLevel="0" collapsed="false">
      <c r="A447" s="22" t="s">
        <v>16</v>
      </c>
      <c r="B447" s="22" t="n">
        <v>1</v>
      </c>
      <c r="C447" s="22" t="s">
        <v>75</v>
      </c>
      <c r="D447" s="22" t="s">
        <v>31</v>
      </c>
      <c r="E447" s="22" t="s">
        <v>7326</v>
      </c>
      <c r="F447" s="22" t="n">
        <v>12773179</v>
      </c>
      <c r="G447" s="30" t="n">
        <v>46246</v>
      </c>
      <c r="H447" s="22" t="n">
        <v>623426</v>
      </c>
      <c r="I447" s="22" t="s">
        <v>7728</v>
      </c>
      <c r="J447" s="31" t="n">
        <v>22.4</v>
      </c>
      <c r="K447" s="26" t="n">
        <v>666.27</v>
      </c>
      <c r="L447" s="26" t="n">
        <v>81.87</v>
      </c>
      <c r="M447" s="22" t="s">
        <v>694</v>
      </c>
      <c r="N447" s="22" t="n">
        <f aca="false">MATCH(M447,'Tabela Passaro'!$A$2:$A$1795,0)</f>
        <v>106</v>
      </c>
      <c r="O447" s="22" t="str">
        <f aca="false">INDEX('Tabela Passaro'!$C$2:$C$1795,$N447)</f>
        <v>SALVADOR</v>
      </c>
      <c r="P447" s="22" t="str">
        <f aca="false">INDEX('Tabela Passaro'!$B$2:$B$1795,$N447)</f>
        <v>BA</v>
      </c>
      <c r="Q447" s="22" t="n">
        <f aca="false">INDEX('Tabela Passaro'!$F$2:$F$1795,$N447)</f>
        <v>6</v>
      </c>
      <c r="R447" s="32" t="n">
        <f aca="false">IF(J447&lt;=10,INDEX('Tabela Passaro'!$G$2:$G$1795,$N447),IF(J447&lt;=30,INDEX('Tabela Passaro'!$H$2:$H$1795,$N447),IF(J447&lt;=50,INDEX('Tabela Passaro'!$I$2:$I$1795,$N447),IF(J447&lt;=70,INDEX('Tabela Passaro'!$J$2:$J$1795,$N447),IF(J447&lt;=100,INDEX('Tabela Passaro'!$K$2:$K$1795,$N447),INDEX('Tabela Passaro'!$K$2:$K$1795,$N447)+(J447-100)*INDEX('Tabela Passaro'!$L$2:$L$1795,$N447))))))</f>
        <v>50.4</v>
      </c>
      <c r="S447" s="32" t="n">
        <f aca="false">K447*INDEX('Tabela Passaro'!$M$2:$M$1795,$N447)</f>
        <v>3.33135</v>
      </c>
      <c r="T447" s="32" t="n">
        <f aca="false">K447*INDEX('Tabela Passaro'!$N$2:$N$1795,$N447)</f>
        <v>1.33254</v>
      </c>
      <c r="U447" s="32" t="n">
        <f aca="false">INDEX('Tabela Passaro'!$O$2:$O$1795,$N447)</f>
        <v>5</v>
      </c>
      <c r="V447" s="32" t="n">
        <f aca="false">ROUNDUP(J447/INDEX('Tabela Passaro'!$Q$2:$Q$1795,$N447),0)*INDEX('Tabela Passaro'!$P$2:$P$1795,$N447)</f>
        <v>5</v>
      </c>
      <c r="W447" s="32" t="n">
        <f aca="false">INDEX('Tabela Passaro'!$R$2:$R$1795,$N447)</f>
        <v>30</v>
      </c>
      <c r="X447" s="32" t="n">
        <f aca="false">ROUNDUP(J447/INDEX('Tabela Passaro'!$T$2:$T$1795,$N447),0)*INDEX('Tabela Passaro'!$S$2:$S$1795,$N447)</f>
        <v>0</v>
      </c>
      <c r="Y447" s="32" t="n">
        <f aca="false">INDEX('Tabela Passaro'!$U$2:$U$1795,$N447)</f>
        <v>0</v>
      </c>
      <c r="Z447" s="32" t="n">
        <f aca="false">INDEX('Tabela Passaro'!$V$2:$V$1795,$N447)</f>
        <v>0</v>
      </c>
      <c r="AA447" s="32" t="n">
        <f aca="false">SUM(R447:Z447)</f>
        <v>95.06389</v>
      </c>
      <c r="AB447" s="33" t="n">
        <f aca="false">INDEX(Premissas!$B$5:$B$13,MATCH(A447,Premissas!$A$5:$A$13,0))</f>
        <v>0.07</v>
      </c>
      <c r="AC447" s="32" t="n">
        <f aca="false">AA447/(1-AB447)-AA447</f>
        <v>7.15534655913979</v>
      </c>
      <c r="AD447" s="32" t="n">
        <f aca="false">ROUND(AA447+AC447,2)</f>
        <v>102.22</v>
      </c>
      <c r="AE447" s="32" t="n">
        <f aca="false">AD447-L447</f>
        <v>20.35</v>
      </c>
      <c r="AF447" s="34" t="n">
        <f aca="false">IF(L447=0,0,AE447/L447)</f>
        <v>0.24856479785025</v>
      </c>
      <c r="AG447" s="22" t="str">
        <f aca="false">IF(AD447&lt;L447,"PASSARO","ATUAL")</f>
        <v>ATUAL</v>
      </c>
      <c r="AH447" s="22" t="str">
        <f aca="false">IF(P447&lt;&gt;A447,"Faixa cadastrada como "&amp;P447&amp;" na tabela; preço aplicado pela UF do CEP","")</f>
        <v/>
      </c>
      <c r="AI447" s="26" t="n">
        <v>120.76</v>
      </c>
      <c r="AJ447" s="22" t="str">
        <f aca="false">INDEX('Tabela Passaro'!$X$2:$X$1795,$N447)</f>
        <v>CAPITAL</v>
      </c>
    </row>
    <row r="448" customFormat="false" ht="15" hidden="false" customHeight="false" outlineLevel="0" collapsed="false">
      <c r="A448" s="22" t="s">
        <v>16</v>
      </c>
      <c r="B448" s="22" t="n">
        <v>1</v>
      </c>
      <c r="C448" s="22" t="s">
        <v>75</v>
      </c>
      <c r="D448" s="22" t="s">
        <v>31</v>
      </c>
      <c r="E448" s="22" t="s">
        <v>7326</v>
      </c>
      <c r="F448" s="22" t="n">
        <v>12773216</v>
      </c>
      <c r="G448" s="30" t="n">
        <v>46246</v>
      </c>
      <c r="H448" s="22" t="n">
        <v>623599</v>
      </c>
      <c r="I448" s="22" t="s">
        <v>7728</v>
      </c>
      <c r="J448" s="31" t="n">
        <v>22.4</v>
      </c>
      <c r="K448" s="26" t="n">
        <v>639.97</v>
      </c>
      <c r="L448" s="26" t="n">
        <v>76.35</v>
      </c>
      <c r="M448" s="22" t="s">
        <v>694</v>
      </c>
      <c r="N448" s="22" t="n">
        <f aca="false">MATCH(M448,'Tabela Passaro'!$A$2:$A$1795,0)</f>
        <v>106</v>
      </c>
      <c r="O448" s="22" t="str">
        <f aca="false">INDEX('Tabela Passaro'!$C$2:$C$1795,$N448)</f>
        <v>SALVADOR</v>
      </c>
      <c r="P448" s="22" t="str">
        <f aca="false">INDEX('Tabela Passaro'!$B$2:$B$1795,$N448)</f>
        <v>BA</v>
      </c>
      <c r="Q448" s="22" t="n">
        <f aca="false">INDEX('Tabela Passaro'!$F$2:$F$1795,$N448)</f>
        <v>6</v>
      </c>
      <c r="R448" s="32" t="n">
        <f aca="false">IF(J448&lt;=10,INDEX('Tabela Passaro'!$G$2:$G$1795,$N448),IF(J448&lt;=30,INDEX('Tabela Passaro'!$H$2:$H$1795,$N448),IF(J448&lt;=50,INDEX('Tabela Passaro'!$I$2:$I$1795,$N448),IF(J448&lt;=70,INDEX('Tabela Passaro'!$J$2:$J$1795,$N448),IF(J448&lt;=100,INDEX('Tabela Passaro'!$K$2:$K$1795,$N448),INDEX('Tabela Passaro'!$K$2:$K$1795,$N448)+(J448-100)*INDEX('Tabela Passaro'!$L$2:$L$1795,$N448))))))</f>
        <v>50.4</v>
      </c>
      <c r="S448" s="32" t="n">
        <f aca="false">K448*INDEX('Tabela Passaro'!$M$2:$M$1795,$N448)</f>
        <v>3.19985</v>
      </c>
      <c r="T448" s="32" t="n">
        <f aca="false">K448*INDEX('Tabela Passaro'!$N$2:$N$1795,$N448)</f>
        <v>1.27994</v>
      </c>
      <c r="U448" s="32" t="n">
        <f aca="false">INDEX('Tabela Passaro'!$O$2:$O$1795,$N448)</f>
        <v>5</v>
      </c>
      <c r="V448" s="32" t="n">
        <f aca="false">ROUNDUP(J448/INDEX('Tabela Passaro'!$Q$2:$Q$1795,$N448),0)*INDEX('Tabela Passaro'!$P$2:$P$1795,$N448)</f>
        <v>5</v>
      </c>
      <c r="W448" s="32" t="n">
        <f aca="false">INDEX('Tabela Passaro'!$R$2:$R$1795,$N448)</f>
        <v>30</v>
      </c>
      <c r="X448" s="32" t="n">
        <f aca="false">ROUNDUP(J448/INDEX('Tabela Passaro'!$T$2:$T$1795,$N448),0)*INDEX('Tabela Passaro'!$S$2:$S$1795,$N448)</f>
        <v>0</v>
      </c>
      <c r="Y448" s="32" t="n">
        <f aca="false">INDEX('Tabela Passaro'!$U$2:$U$1795,$N448)</f>
        <v>0</v>
      </c>
      <c r="Z448" s="32" t="n">
        <f aca="false">INDEX('Tabela Passaro'!$V$2:$V$1795,$N448)</f>
        <v>0</v>
      </c>
      <c r="AA448" s="32" t="n">
        <f aca="false">SUM(R448:Z448)</f>
        <v>94.87979</v>
      </c>
      <c r="AB448" s="33" t="n">
        <f aca="false">INDEX(Premissas!$B$5:$B$13,MATCH(A448,Premissas!$A$5:$A$13,0))</f>
        <v>0.07</v>
      </c>
      <c r="AC448" s="32" t="n">
        <f aca="false">AA448/(1-AB448)-AA448</f>
        <v>7.14148956989249</v>
      </c>
      <c r="AD448" s="32" t="n">
        <f aca="false">ROUND(AA448+AC448,2)</f>
        <v>102.02</v>
      </c>
      <c r="AE448" s="32" t="n">
        <f aca="false">AD448-L448</f>
        <v>25.67</v>
      </c>
      <c r="AF448" s="34" t="n">
        <f aca="false">IF(L448=0,0,AE448/L448)</f>
        <v>0.336214800261952</v>
      </c>
      <c r="AG448" s="22" t="str">
        <f aca="false">IF(AD448&lt;L448,"PASSARO","ATUAL")</f>
        <v>ATUAL</v>
      </c>
      <c r="AH448" s="22" t="str">
        <f aca="false">IF(P448&lt;&gt;A448,"Faixa cadastrada como "&amp;P448&amp;" na tabela; preço aplicado pela UF do CEP","")</f>
        <v/>
      </c>
      <c r="AI448" s="26" t="n">
        <v>120.51</v>
      </c>
      <c r="AJ448" s="22" t="str">
        <f aca="false">INDEX('Tabela Passaro'!$X$2:$X$1795,$N448)</f>
        <v>CAPITAL</v>
      </c>
    </row>
    <row r="449" customFormat="false" ht="15" hidden="false" customHeight="false" outlineLevel="0" collapsed="false">
      <c r="A449" s="22" t="s">
        <v>16</v>
      </c>
      <c r="B449" s="22" t="n">
        <v>1</v>
      </c>
      <c r="C449" s="22" t="s">
        <v>75</v>
      </c>
      <c r="D449" s="22" t="s">
        <v>31</v>
      </c>
      <c r="E449" s="22" t="s">
        <v>7326</v>
      </c>
      <c r="F449" s="22" t="n">
        <v>12773676</v>
      </c>
      <c r="G449" s="30" t="n">
        <v>46246</v>
      </c>
      <c r="H449" s="22" t="n">
        <v>624027</v>
      </c>
      <c r="I449" s="22" t="s">
        <v>7729</v>
      </c>
      <c r="J449" s="31" t="n">
        <v>19.4</v>
      </c>
      <c r="K449" s="26" t="n">
        <v>464.1</v>
      </c>
      <c r="L449" s="26" t="n">
        <v>68.02</v>
      </c>
      <c r="M449" s="22" t="s">
        <v>694</v>
      </c>
      <c r="N449" s="22" t="n">
        <f aca="false">MATCH(M449,'Tabela Passaro'!$A$2:$A$1795,0)</f>
        <v>106</v>
      </c>
      <c r="O449" s="22" t="str">
        <f aca="false">INDEX('Tabela Passaro'!$C$2:$C$1795,$N449)</f>
        <v>SALVADOR</v>
      </c>
      <c r="P449" s="22" t="str">
        <f aca="false">INDEX('Tabela Passaro'!$B$2:$B$1795,$N449)</f>
        <v>BA</v>
      </c>
      <c r="Q449" s="22" t="n">
        <f aca="false">INDEX('Tabela Passaro'!$F$2:$F$1795,$N449)</f>
        <v>6</v>
      </c>
      <c r="R449" s="32" t="n">
        <f aca="false">IF(J449&lt;=10,INDEX('Tabela Passaro'!$G$2:$G$1795,$N449),IF(J449&lt;=30,INDEX('Tabela Passaro'!$H$2:$H$1795,$N449),IF(J449&lt;=50,INDEX('Tabela Passaro'!$I$2:$I$1795,$N449),IF(J449&lt;=70,INDEX('Tabela Passaro'!$J$2:$J$1795,$N449),IF(J449&lt;=100,INDEX('Tabela Passaro'!$K$2:$K$1795,$N449),INDEX('Tabela Passaro'!$K$2:$K$1795,$N449)+(J449-100)*INDEX('Tabela Passaro'!$L$2:$L$1795,$N449))))))</f>
        <v>50.4</v>
      </c>
      <c r="S449" s="32" t="n">
        <f aca="false">K449*INDEX('Tabela Passaro'!$M$2:$M$1795,$N449)</f>
        <v>2.3205</v>
      </c>
      <c r="T449" s="32" t="n">
        <f aca="false">K449*INDEX('Tabela Passaro'!$N$2:$N$1795,$N449)</f>
        <v>0.9282</v>
      </c>
      <c r="U449" s="32" t="n">
        <f aca="false">INDEX('Tabela Passaro'!$O$2:$O$1795,$N449)</f>
        <v>5</v>
      </c>
      <c r="V449" s="32" t="n">
        <f aca="false">ROUNDUP(J449/INDEX('Tabela Passaro'!$Q$2:$Q$1795,$N449),0)*INDEX('Tabela Passaro'!$P$2:$P$1795,$N449)</f>
        <v>5</v>
      </c>
      <c r="W449" s="32" t="n">
        <f aca="false">INDEX('Tabela Passaro'!$R$2:$R$1795,$N449)</f>
        <v>30</v>
      </c>
      <c r="X449" s="32" t="n">
        <f aca="false">ROUNDUP(J449/INDEX('Tabela Passaro'!$T$2:$T$1795,$N449),0)*INDEX('Tabela Passaro'!$S$2:$S$1795,$N449)</f>
        <v>0</v>
      </c>
      <c r="Y449" s="32" t="n">
        <f aca="false">INDEX('Tabela Passaro'!$U$2:$U$1795,$N449)</f>
        <v>0</v>
      </c>
      <c r="Z449" s="32" t="n">
        <f aca="false">INDEX('Tabela Passaro'!$V$2:$V$1795,$N449)</f>
        <v>0</v>
      </c>
      <c r="AA449" s="32" t="n">
        <f aca="false">SUM(R449:Z449)</f>
        <v>93.6487</v>
      </c>
      <c r="AB449" s="33" t="n">
        <f aca="false">INDEX(Premissas!$B$5:$B$13,MATCH(A449,Premissas!$A$5:$A$13,0))</f>
        <v>0.07</v>
      </c>
      <c r="AC449" s="32" t="n">
        <f aca="false">AA449/(1-AB449)-AA449</f>
        <v>7.04882688172043</v>
      </c>
      <c r="AD449" s="32" t="n">
        <f aca="false">ROUND(AA449+AC449,2)</f>
        <v>100.7</v>
      </c>
      <c r="AE449" s="32" t="n">
        <f aca="false">AD449-L449</f>
        <v>32.68</v>
      </c>
      <c r="AF449" s="34" t="n">
        <f aca="false">IF(L449=0,0,AE449/L449)</f>
        <v>0.480446927374302</v>
      </c>
      <c r="AG449" s="22" t="str">
        <f aca="false">IF(AD449&lt;L449,"PASSARO","ATUAL")</f>
        <v>ATUAL</v>
      </c>
      <c r="AH449" s="22" t="str">
        <f aca="false">IF(P449&lt;&gt;A449,"Faixa cadastrada como "&amp;P449&amp;" na tabela; preço aplicado pela UF do CEP","")</f>
        <v/>
      </c>
      <c r="AI449" s="26" t="n">
        <v>117.35</v>
      </c>
      <c r="AJ449" s="22" t="str">
        <f aca="false">INDEX('Tabela Passaro'!$X$2:$X$1795,$N449)</f>
        <v>CAPITAL</v>
      </c>
    </row>
    <row r="450" customFormat="false" ht="15" hidden="false" customHeight="false" outlineLevel="0" collapsed="false">
      <c r="A450" s="22" t="s">
        <v>16</v>
      </c>
      <c r="B450" s="22" t="n">
        <v>1</v>
      </c>
      <c r="C450" s="22" t="s">
        <v>75</v>
      </c>
      <c r="D450" s="22" t="s">
        <v>31</v>
      </c>
      <c r="E450" s="22" t="s">
        <v>7326</v>
      </c>
      <c r="F450" s="22" t="n">
        <v>12773682</v>
      </c>
      <c r="G450" s="30" t="n">
        <v>46246</v>
      </c>
      <c r="H450" s="22" t="n">
        <v>624029</v>
      </c>
      <c r="I450" s="22" t="s">
        <v>7730</v>
      </c>
      <c r="J450" s="31" t="n">
        <v>19.4</v>
      </c>
      <c r="K450" s="26" t="n">
        <v>460.98</v>
      </c>
      <c r="L450" s="26" t="n">
        <v>66.68</v>
      </c>
      <c r="M450" s="22" t="s">
        <v>694</v>
      </c>
      <c r="N450" s="22" t="n">
        <f aca="false">MATCH(M450,'Tabela Passaro'!$A$2:$A$1795,0)</f>
        <v>106</v>
      </c>
      <c r="O450" s="22" t="str">
        <f aca="false">INDEX('Tabela Passaro'!$C$2:$C$1795,$N450)</f>
        <v>SALVADOR</v>
      </c>
      <c r="P450" s="22" t="str">
        <f aca="false">INDEX('Tabela Passaro'!$B$2:$B$1795,$N450)</f>
        <v>BA</v>
      </c>
      <c r="Q450" s="22" t="n">
        <f aca="false">INDEX('Tabela Passaro'!$F$2:$F$1795,$N450)</f>
        <v>6</v>
      </c>
      <c r="R450" s="32" t="n">
        <f aca="false">IF(J450&lt;=10,INDEX('Tabela Passaro'!$G$2:$G$1795,$N450),IF(J450&lt;=30,INDEX('Tabela Passaro'!$H$2:$H$1795,$N450),IF(J450&lt;=50,INDEX('Tabela Passaro'!$I$2:$I$1795,$N450),IF(J450&lt;=70,INDEX('Tabela Passaro'!$J$2:$J$1795,$N450),IF(J450&lt;=100,INDEX('Tabela Passaro'!$K$2:$K$1795,$N450),INDEX('Tabela Passaro'!$K$2:$K$1795,$N450)+(J450-100)*INDEX('Tabela Passaro'!$L$2:$L$1795,$N450))))))</f>
        <v>50.4</v>
      </c>
      <c r="S450" s="32" t="n">
        <f aca="false">K450*INDEX('Tabela Passaro'!$M$2:$M$1795,$N450)</f>
        <v>2.3049</v>
      </c>
      <c r="T450" s="32" t="n">
        <f aca="false">K450*INDEX('Tabela Passaro'!$N$2:$N$1795,$N450)</f>
        <v>0.92196</v>
      </c>
      <c r="U450" s="32" t="n">
        <f aca="false">INDEX('Tabela Passaro'!$O$2:$O$1795,$N450)</f>
        <v>5</v>
      </c>
      <c r="V450" s="32" t="n">
        <f aca="false">ROUNDUP(J450/INDEX('Tabela Passaro'!$Q$2:$Q$1795,$N450),0)*INDEX('Tabela Passaro'!$P$2:$P$1795,$N450)</f>
        <v>5</v>
      </c>
      <c r="W450" s="32" t="n">
        <f aca="false">INDEX('Tabela Passaro'!$R$2:$R$1795,$N450)</f>
        <v>30</v>
      </c>
      <c r="X450" s="32" t="n">
        <f aca="false">ROUNDUP(J450/INDEX('Tabela Passaro'!$T$2:$T$1795,$N450),0)*INDEX('Tabela Passaro'!$S$2:$S$1795,$N450)</f>
        <v>0</v>
      </c>
      <c r="Y450" s="32" t="n">
        <f aca="false">INDEX('Tabela Passaro'!$U$2:$U$1795,$N450)</f>
        <v>0</v>
      </c>
      <c r="Z450" s="32" t="n">
        <f aca="false">INDEX('Tabela Passaro'!$V$2:$V$1795,$N450)</f>
        <v>0</v>
      </c>
      <c r="AA450" s="32" t="n">
        <f aca="false">SUM(R450:Z450)</f>
        <v>93.62686</v>
      </c>
      <c r="AB450" s="33" t="n">
        <f aca="false">INDEX(Premissas!$B$5:$B$13,MATCH(A450,Premissas!$A$5:$A$13,0))</f>
        <v>0.07</v>
      </c>
      <c r="AC450" s="32" t="n">
        <f aca="false">AA450/(1-AB450)-AA450</f>
        <v>7.04718301075269</v>
      </c>
      <c r="AD450" s="32" t="n">
        <f aca="false">ROUND(AA450+AC450,2)</f>
        <v>100.67</v>
      </c>
      <c r="AE450" s="32" t="n">
        <f aca="false">AD450-L450</f>
        <v>33.99</v>
      </c>
      <c r="AF450" s="34" t="n">
        <f aca="false">IF(L450=0,0,AE450/L450)</f>
        <v>0.509748050389922</v>
      </c>
      <c r="AG450" s="22" t="str">
        <f aca="false">IF(AD450&lt;L450,"PASSARO","ATUAL")</f>
        <v>ATUAL</v>
      </c>
      <c r="AH450" s="22" t="str">
        <f aca="false">IF(P450&lt;&gt;A450,"Faixa cadastrada como "&amp;P450&amp;" na tabela; preço aplicado pela UF do CEP","")</f>
        <v/>
      </c>
      <c r="AI450" s="26" t="n">
        <v>117.32</v>
      </c>
      <c r="AJ450" s="22" t="str">
        <f aca="false">INDEX('Tabela Passaro'!$X$2:$X$1795,$N450)</f>
        <v>CAPITAL</v>
      </c>
    </row>
    <row r="451" customFormat="false" ht="15" hidden="false" customHeight="false" outlineLevel="0" collapsed="false">
      <c r="A451" s="22" t="s">
        <v>16</v>
      </c>
      <c r="B451" s="22" t="n">
        <v>1</v>
      </c>
      <c r="C451" s="22" t="s">
        <v>75</v>
      </c>
      <c r="D451" s="22" t="s">
        <v>31</v>
      </c>
      <c r="E451" s="22" t="s">
        <v>7326</v>
      </c>
      <c r="F451" s="22" t="n">
        <v>12773506</v>
      </c>
      <c r="G451" s="30" t="n">
        <v>46246</v>
      </c>
      <c r="H451" s="22" t="n">
        <v>624181</v>
      </c>
      <c r="I451" s="22" t="s">
        <v>7731</v>
      </c>
      <c r="J451" s="31" t="n">
        <v>20.8</v>
      </c>
      <c r="K451" s="26" t="n">
        <v>472.98</v>
      </c>
      <c r="L451" s="26" t="n">
        <v>75.12</v>
      </c>
      <c r="M451" s="22" t="s">
        <v>694</v>
      </c>
      <c r="N451" s="22" t="n">
        <f aca="false">MATCH(M451,'Tabela Passaro'!$A$2:$A$1795,0)</f>
        <v>106</v>
      </c>
      <c r="O451" s="22" t="str">
        <f aca="false">INDEX('Tabela Passaro'!$C$2:$C$1795,$N451)</f>
        <v>SALVADOR</v>
      </c>
      <c r="P451" s="22" t="str">
        <f aca="false">INDEX('Tabela Passaro'!$B$2:$B$1795,$N451)</f>
        <v>BA</v>
      </c>
      <c r="Q451" s="22" t="n">
        <f aca="false">INDEX('Tabela Passaro'!$F$2:$F$1795,$N451)</f>
        <v>6</v>
      </c>
      <c r="R451" s="32" t="n">
        <f aca="false">IF(J451&lt;=10,INDEX('Tabela Passaro'!$G$2:$G$1795,$N451),IF(J451&lt;=30,INDEX('Tabela Passaro'!$H$2:$H$1795,$N451),IF(J451&lt;=50,INDEX('Tabela Passaro'!$I$2:$I$1795,$N451),IF(J451&lt;=70,INDEX('Tabela Passaro'!$J$2:$J$1795,$N451),IF(J451&lt;=100,INDEX('Tabela Passaro'!$K$2:$K$1795,$N451),INDEX('Tabela Passaro'!$K$2:$K$1795,$N451)+(J451-100)*INDEX('Tabela Passaro'!$L$2:$L$1795,$N451))))))</f>
        <v>50.4</v>
      </c>
      <c r="S451" s="32" t="n">
        <f aca="false">K451*INDEX('Tabela Passaro'!$M$2:$M$1795,$N451)</f>
        <v>2.3649</v>
      </c>
      <c r="T451" s="32" t="n">
        <f aca="false">K451*INDEX('Tabela Passaro'!$N$2:$N$1795,$N451)</f>
        <v>0.94596</v>
      </c>
      <c r="U451" s="32" t="n">
        <f aca="false">INDEX('Tabela Passaro'!$O$2:$O$1795,$N451)</f>
        <v>5</v>
      </c>
      <c r="V451" s="32" t="n">
        <f aca="false">ROUNDUP(J451/INDEX('Tabela Passaro'!$Q$2:$Q$1795,$N451),0)*INDEX('Tabela Passaro'!$P$2:$P$1795,$N451)</f>
        <v>5</v>
      </c>
      <c r="W451" s="32" t="n">
        <f aca="false">INDEX('Tabela Passaro'!$R$2:$R$1795,$N451)</f>
        <v>30</v>
      </c>
      <c r="X451" s="32" t="n">
        <f aca="false">ROUNDUP(J451/INDEX('Tabela Passaro'!$T$2:$T$1795,$N451),0)*INDEX('Tabela Passaro'!$S$2:$S$1795,$N451)</f>
        <v>0</v>
      </c>
      <c r="Y451" s="32" t="n">
        <f aca="false">INDEX('Tabela Passaro'!$U$2:$U$1795,$N451)</f>
        <v>0</v>
      </c>
      <c r="Z451" s="32" t="n">
        <f aca="false">INDEX('Tabela Passaro'!$V$2:$V$1795,$N451)</f>
        <v>0</v>
      </c>
      <c r="AA451" s="32" t="n">
        <f aca="false">SUM(R451:Z451)</f>
        <v>93.71086</v>
      </c>
      <c r="AB451" s="33" t="n">
        <f aca="false">INDEX(Premissas!$B$5:$B$13,MATCH(A451,Premissas!$A$5:$A$13,0))</f>
        <v>0.07</v>
      </c>
      <c r="AC451" s="32" t="n">
        <f aca="false">AA451/(1-AB451)-AA451</f>
        <v>7.05350559139785</v>
      </c>
      <c r="AD451" s="32" t="n">
        <f aca="false">ROUND(AA451+AC451,2)</f>
        <v>100.76</v>
      </c>
      <c r="AE451" s="32" t="n">
        <f aca="false">AD451-L451</f>
        <v>25.64</v>
      </c>
      <c r="AF451" s="34" t="n">
        <f aca="false">IF(L451=0,0,AE451/L451)</f>
        <v>0.341320553780618</v>
      </c>
      <c r="AG451" s="22" t="str">
        <f aca="false">IF(AD451&lt;L451,"PASSARO","ATUAL")</f>
        <v>ATUAL</v>
      </c>
      <c r="AH451" s="22" t="str">
        <f aca="false">IF(P451&lt;&gt;A451,"Faixa cadastrada como "&amp;P451&amp;" na tabela; preço aplicado pela UF do CEP","")</f>
        <v/>
      </c>
      <c r="AI451" s="26" t="n">
        <v>117.92</v>
      </c>
      <c r="AJ451" s="22" t="str">
        <f aca="false">INDEX('Tabela Passaro'!$X$2:$X$1795,$N451)</f>
        <v>CAPITAL</v>
      </c>
    </row>
    <row r="452" customFormat="false" ht="15" hidden="false" customHeight="false" outlineLevel="0" collapsed="false">
      <c r="A452" s="22" t="s">
        <v>16</v>
      </c>
      <c r="B452" s="22" t="n">
        <v>1</v>
      </c>
      <c r="C452" s="22" t="s">
        <v>75</v>
      </c>
      <c r="D452" s="22" t="s">
        <v>31</v>
      </c>
      <c r="E452" s="22" t="s">
        <v>7326</v>
      </c>
      <c r="F452" s="22" t="n">
        <v>12782105</v>
      </c>
      <c r="G452" s="30" t="n">
        <v>46247</v>
      </c>
      <c r="H452" s="22" t="n">
        <v>624430</v>
      </c>
      <c r="I452" s="22" t="s">
        <v>7732</v>
      </c>
      <c r="J452" s="31" t="n">
        <v>20.8</v>
      </c>
      <c r="K452" s="26" t="n">
        <v>463.48</v>
      </c>
      <c r="L452" s="26" t="n">
        <v>75.12</v>
      </c>
      <c r="M452" s="22" t="s">
        <v>694</v>
      </c>
      <c r="N452" s="22" t="n">
        <f aca="false">MATCH(M452,'Tabela Passaro'!$A$2:$A$1795,0)</f>
        <v>106</v>
      </c>
      <c r="O452" s="22" t="str">
        <f aca="false">INDEX('Tabela Passaro'!$C$2:$C$1795,$N452)</f>
        <v>SALVADOR</v>
      </c>
      <c r="P452" s="22" t="str">
        <f aca="false">INDEX('Tabela Passaro'!$B$2:$B$1795,$N452)</f>
        <v>BA</v>
      </c>
      <c r="Q452" s="22" t="n">
        <f aca="false">INDEX('Tabela Passaro'!$F$2:$F$1795,$N452)</f>
        <v>6</v>
      </c>
      <c r="R452" s="32" t="n">
        <f aca="false">IF(J452&lt;=10,INDEX('Tabela Passaro'!$G$2:$G$1795,$N452),IF(J452&lt;=30,INDEX('Tabela Passaro'!$H$2:$H$1795,$N452),IF(J452&lt;=50,INDEX('Tabela Passaro'!$I$2:$I$1795,$N452),IF(J452&lt;=70,INDEX('Tabela Passaro'!$J$2:$J$1795,$N452),IF(J452&lt;=100,INDEX('Tabela Passaro'!$K$2:$K$1795,$N452),INDEX('Tabela Passaro'!$K$2:$K$1795,$N452)+(J452-100)*INDEX('Tabela Passaro'!$L$2:$L$1795,$N452))))))</f>
        <v>50.4</v>
      </c>
      <c r="S452" s="32" t="n">
        <f aca="false">K452*INDEX('Tabela Passaro'!$M$2:$M$1795,$N452)</f>
        <v>2.3174</v>
      </c>
      <c r="T452" s="32" t="n">
        <f aca="false">K452*INDEX('Tabela Passaro'!$N$2:$N$1795,$N452)</f>
        <v>0.92696</v>
      </c>
      <c r="U452" s="32" t="n">
        <f aca="false">INDEX('Tabela Passaro'!$O$2:$O$1795,$N452)</f>
        <v>5</v>
      </c>
      <c r="V452" s="32" t="n">
        <f aca="false">ROUNDUP(J452/INDEX('Tabela Passaro'!$Q$2:$Q$1795,$N452),0)*INDEX('Tabela Passaro'!$P$2:$P$1795,$N452)</f>
        <v>5</v>
      </c>
      <c r="W452" s="32" t="n">
        <f aca="false">INDEX('Tabela Passaro'!$R$2:$R$1795,$N452)</f>
        <v>30</v>
      </c>
      <c r="X452" s="32" t="n">
        <f aca="false">ROUNDUP(J452/INDEX('Tabela Passaro'!$T$2:$T$1795,$N452),0)*INDEX('Tabela Passaro'!$S$2:$S$1795,$N452)</f>
        <v>0</v>
      </c>
      <c r="Y452" s="32" t="n">
        <f aca="false">INDEX('Tabela Passaro'!$U$2:$U$1795,$N452)</f>
        <v>0</v>
      </c>
      <c r="Z452" s="32" t="n">
        <f aca="false">INDEX('Tabela Passaro'!$V$2:$V$1795,$N452)</f>
        <v>0</v>
      </c>
      <c r="AA452" s="32" t="n">
        <f aca="false">SUM(R452:Z452)</f>
        <v>93.64436</v>
      </c>
      <c r="AB452" s="33" t="n">
        <f aca="false">INDEX(Premissas!$B$5:$B$13,MATCH(A452,Premissas!$A$5:$A$13,0))</f>
        <v>0.07</v>
      </c>
      <c r="AC452" s="32" t="n">
        <f aca="false">AA452/(1-AB452)-AA452</f>
        <v>7.04850021505376</v>
      </c>
      <c r="AD452" s="32" t="n">
        <f aca="false">ROUND(AA452+AC452,2)</f>
        <v>100.69</v>
      </c>
      <c r="AE452" s="32" t="n">
        <f aca="false">AD452-L452</f>
        <v>25.57</v>
      </c>
      <c r="AF452" s="34" t="n">
        <f aca="false">IF(L452=0,0,AE452/L452)</f>
        <v>0.340388711395101</v>
      </c>
      <c r="AG452" s="22" t="str">
        <f aca="false">IF(AD452&lt;L452,"PASSARO","ATUAL")</f>
        <v>ATUAL</v>
      </c>
      <c r="AH452" s="22" t="str">
        <f aca="false">IF(P452&lt;&gt;A452,"Faixa cadastrada como "&amp;P452&amp;" na tabela; preço aplicado pela UF do CEP","")</f>
        <v/>
      </c>
      <c r="AI452" s="26" t="n">
        <v>117.83</v>
      </c>
      <c r="AJ452" s="22" t="str">
        <f aca="false">INDEX('Tabela Passaro'!$X$2:$X$1795,$N452)</f>
        <v>CAPITAL</v>
      </c>
    </row>
    <row r="453" customFormat="false" ht="15" hidden="false" customHeight="false" outlineLevel="0" collapsed="false">
      <c r="A453" s="22" t="s">
        <v>16</v>
      </c>
      <c r="B453" s="22" t="n">
        <v>1</v>
      </c>
      <c r="C453" s="22" t="s">
        <v>75</v>
      </c>
      <c r="D453" s="22" t="s">
        <v>31</v>
      </c>
      <c r="E453" s="22" t="s">
        <v>7326</v>
      </c>
      <c r="F453" s="22" t="n">
        <v>12782156</v>
      </c>
      <c r="G453" s="30" t="n">
        <v>46247</v>
      </c>
      <c r="H453" s="22" t="n">
        <v>624586</v>
      </c>
      <c r="I453" s="22" t="s">
        <v>7733</v>
      </c>
      <c r="J453" s="31" t="n">
        <v>3.2</v>
      </c>
      <c r="K453" s="26" t="n">
        <v>399.98</v>
      </c>
      <c r="L453" s="26" t="n">
        <v>20.39</v>
      </c>
      <c r="M453" s="22" t="s">
        <v>694</v>
      </c>
      <c r="N453" s="22" t="n">
        <f aca="false">MATCH(M453,'Tabela Passaro'!$A$2:$A$1795,0)</f>
        <v>106</v>
      </c>
      <c r="O453" s="22" t="str">
        <f aca="false">INDEX('Tabela Passaro'!$C$2:$C$1795,$N453)</f>
        <v>SALVADOR</v>
      </c>
      <c r="P453" s="22" t="str">
        <f aca="false">INDEX('Tabela Passaro'!$B$2:$B$1795,$N453)</f>
        <v>BA</v>
      </c>
      <c r="Q453" s="22" t="n">
        <f aca="false">INDEX('Tabela Passaro'!$F$2:$F$1795,$N453)</f>
        <v>6</v>
      </c>
      <c r="R453" s="32" t="n">
        <f aca="false">IF(J453&lt;=10,INDEX('Tabela Passaro'!$G$2:$G$1795,$N453),IF(J453&lt;=30,INDEX('Tabela Passaro'!$H$2:$H$1795,$N453),IF(J453&lt;=50,INDEX('Tabela Passaro'!$I$2:$I$1795,$N453),IF(J453&lt;=70,INDEX('Tabela Passaro'!$J$2:$J$1795,$N453),IF(J453&lt;=100,INDEX('Tabela Passaro'!$K$2:$K$1795,$N453),INDEX('Tabela Passaro'!$K$2:$K$1795,$N453)+(J453-100)*INDEX('Tabela Passaro'!$L$2:$L$1795,$N453))))))</f>
        <v>38.88</v>
      </c>
      <c r="S453" s="32" t="n">
        <f aca="false">K453*INDEX('Tabela Passaro'!$M$2:$M$1795,$N453)</f>
        <v>1.9999</v>
      </c>
      <c r="T453" s="32" t="n">
        <f aca="false">K453*INDEX('Tabela Passaro'!$N$2:$N$1795,$N453)</f>
        <v>0.79996</v>
      </c>
      <c r="U453" s="32" t="n">
        <f aca="false">INDEX('Tabela Passaro'!$O$2:$O$1795,$N453)</f>
        <v>5</v>
      </c>
      <c r="V453" s="32" t="n">
        <f aca="false">ROUNDUP(J453/INDEX('Tabela Passaro'!$Q$2:$Q$1795,$N453),0)*INDEX('Tabela Passaro'!$P$2:$P$1795,$N453)</f>
        <v>5</v>
      </c>
      <c r="W453" s="32" t="n">
        <f aca="false">INDEX('Tabela Passaro'!$R$2:$R$1795,$N453)</f>
        <v>30</v>
      </c>
      <c r="X453" s="32" t="n">
        <f aca="false">ROUNDUP(J453/INDEX('Tabela Passaro'!$T$2:$T$1795,$N453),0)*INDEX('Tabela Passaro'!$S$2:$S$1795,$N453)</f>
        <v>0</v>
      </c>
      <c r="Y453" s="32" t="n">
        <f aca="false">INDEX('Tabela Passaro'!$U$2:$U$1795,$N453)</f>
        <v>0</v>
      </c>
      <c r="Z453" s="32" t="n">
        <f aca="false">INDEX('Tabela Passaro'!$V$2:$V$1795,$N453)</f>
        <v>0</v>
      </c>
      <c r="AA453" s="32" t="n">
        <f aca="false">SUM(R453:Z453)</f>
        <v>81.67986</v>
      </c>
      <c r="AB453" s="33" t="n">
        <f aca="false">INDEX(Premissas!$B$5:$B$13,MATCH(A453,Premissas!$A$5:$A$13,0))</f>
        <v>0.07</v>
      </c>
      <c r="AC453" s="32" t="n">
        <f aca="false">AA453/(1-AB453)-AA453</f>
        <v>6.14794645161291</v>
      </c>
      <c r="AD453" s="32" t="n">
        <f aca="false">ROUND(AA453+AC453,2)</f>
        <v>87.83</v>
      </c>
      <c r="AE453" s="32" t="n">
        <f aca="false">AD453-L453</f>
        <v>67.44</v>
      </c>
      <c r="AF453" s="34" t="n">
        <f aca="false">IF(L453=0,0,AE453/L453)</f>
        <v>3.30750367827366</v>
      </c>
      <c r="AG453" s="22" t="str">
        <f aca="false">IF(AD453&lt;L453,"PASSARO","ATUAL")</f>
        <v>ATUAL</v>
      </c>
      <c r="AH453" s="22" t="str">
        <f aca="false">IF(P453&lt;&gt;A453,"Faixa cadastrada como "&amp;P453&amp;" na tabela; preço aplicado pela UF do CEP","")</f>
        <v/>
      </c>
      <c r="AI453" s="26" t="n">
        <v>96.46</v>
      </c>
      <c r="AJ453" s="22" t="str">
        <f aca="false">INDEX('Tabela Passaro'!$X$2:$X$1795,$N453)</f>
        <v>CAPITAL</v>
      </c>
    </row>
    <row r="454" customFormat="false" ht="15" hidden="false" customHeight="false" outlineLevel="0" collapsed="false">
      <c r="A454" s="22" t="s">
        <v>16</v>
      </c>
      <c r="B454" s="22" t="n">
        <v>1</v>
      </c>
      <c r="C454" s="22" t="s">
        <v>75</v>
      </c>
      <c r="D454" s="22" t="s">
        <v>31</v>
      </c>
      <c r="E454" s="22" t="s">
        <v>7326</v>
      </c>
      <c r="F454" s="22" t="n">
        <v>12790529</v>
      </c>
      <c r="G454" s="30" t="n">
        <v>46248</v>
      </c>
      <c r="H454" s="22" t="n">
        <v>624919</v>
      </c>
      <c r="I454" s="22" t="s">
        <v>7734</v>
      </c>
      <c r="J454" s="31" t="n">
        <v>22.4</v>
      </c>
      <c r="K454" s="26" t="n">
        <v>615.47</v>
      </c>
      <c r="L454" s="26" t="n">
        <v>76.15</v>
      </c>
      <c r="M454" s="22" t="s">
        <v>694</v>
      </c>
      <c r="N454" s="22" t="n">
        <f aca="false">MATCH(M454,'Tabela Passaro'!$A$2:$A$1795,0)</f>
        <v>106</v>
      </c>
      <c r="O454" s="22" t="str">
        <f aca="false">INDEX('Tabela Passaro'!$C$2:$C$1795,$N454)</f>
        <v>SALVADOR</v>
      </c>
      <c r="P454" s="22" t="str">
        <f aca="false">INDEX('Tabela Passaro'!$B$2:$B$1795,$N454)</f>
        <v>BA</v>
      </c>
      <c r="Q454" s="22" t="n">
        <f aca="false">INDEX('Tabela Passaro'!$F$2:$F$1795,$N454)</f>
        <v>6</v>
      </c>
      <c r="R454" s="32" t="n">
        <f aca="false">IF(J454&lt;=10,INDEX('Tabela Passaro'!$G$2:$G$1795,$N454),IF(J454&lt;=30,INDEX('Tabela Passaro'!$H$2:$H$1795,$N454),IF(J454&lt;=50,INDEX('Tabela Passaro'!$I$2:$I$1795,$N454),IF(J454&lt;=70,INDEX('Tabela Passaro'!$J$2:$J$1795,$N454),IF(J454&lt;=100,INDEX('Tabela Passaro'!$K$2:$K$1795,$N454),INDEX('Tabela Passaro'!$K$2:$K$1795,$N454)+(J454-100)*INDEX('Tabela Passaro'!$L$2:$L$1795,$N454))))))</f>
        <v>50.4</v>
      </c>
      <c r="S454" s="32" t="n">
        <f aca="false">K454*INDEX('Tabela Passaro'!$M$2:$M$1795,$N454)</f>
        <v>3.07735</v>
      </c>
      <c r="T454" s="32" t="n">
        <f aca="false">K454*INDEX('Tabela Passaro'!$N$2:$N$1795,$N454)</f>
        <v>1.23094</v>
      </c>
      <c r="U454" s="32" t="n">
        <f aca="false">INDEX('Tabela Passaro'!$O$2:$O$1795,$N454)</f>
        <v>5</v>
      </c>
      <c r="V454" s="32" t="n">
        <f aca="false">ROUNDUP(J454/INDEX('Tabela Passaro'!$Q$2:$Q$1795,$N454),0)*INDEX('Tabela Passaro'!$P$2:$P$1795,$N454)</f>
        <v>5</v>
      </c>
      <c r="W454" s="32" t="n">
        <f aca="false">INDEX('Tabela Passaro'!$R$2:$R$1795,$N454)</f>
        <v>30</v>
      </c>
      <c r="X454" s="32" t="n">
        <f aca="false">ROUNDUP(J454/INDEX('Tabela Passaro'!$T$2:$T$1795,$N454),0)*INDEX('Tabela Passaro'!$S$2:$S$1795,$N454)</f>
        <v>0</v>
      </c>
      <c r="Y454" s="32" t="n">
        <f aca="false">INDEX('Tabela Passaro'!$U$2:$U$1795,$N454)</f>
        <v>0</v>
      </c>
      <c r="Z454" s="32" t="n">
        <f aca="false">INDEX('Tabela Passaro'!$V$2:$V$1795,$N454)</f>
        <v>0</v>
      </c>
      <c r="AA454" s="32" t="n">
        <f aca="false">SUM(R454:Z454)</f>
        <v>94.70829</v>
      </c>
      <c r="AB454" s="33" t="n">
        <f aca="false">INDEX(Premissas!$B$5:$B$13,MATCH(A454,Premissas!$A$5:$A$13,0))</f>
        <v>0.07</v>
      </c>
      <c r="AC454" s="32" t="n">
        <f aca="false">AA454/(1-AB454)-AA454</f>
        <v>7.12858096774194</v>
      </c>
      <c r="AD454" s="32" t="n">
        <f aca="false">ROUND(AA454+AC454,2)</f>
        <v>101.84</v>
      </c>
      <c r="AE454" s="32" t="n">
        <f aca="false">AD454-L454</f>
        <v>25.69</v>
      </c>
      <c r="AF454" s="34" t="n">
        <f aca="false">IF(L454=0,0,AE454/L454)</f>
        <v>0.337360472751149</v>
      </c>
      <c r="AG454" s="22" t="str">
        <f aca="false">IF(AD454&lt;L454,"PASSARO","ATUAL")</f>
        <v>ATUAL</v>
      </c>
      <c r="AH454" s="22" t="str">
        <f aca="false">IF(P454&lt;&gt;A454,"Faixa cadastrada como "&amp;P454&amp;" na tabela; preço aplicado pela UF do CEP","")</f>
        <v/>
      </c>
      <c r="AI454" s="26" t="n">
        <v>120.27</v>
      </c>
      <c r="AJ454" s="22" t="str">
        <f aca="false">INDEX('Tabela Passaro'!$X$2:$X$1795,$N454)</f>
        <v>CAPITAL</v>
      </c>
    </row>
    <row r="455" customFormat="false" ht="15" hidden="false" customHeight="false" outlineLevel="0" collapsed="false">
      <c r="A455" s="22" t="s">
        <v>16</v>
      </c>
      <c r="B455" s="22" t="n">
        <v>1</v>
      </c>
      <c r="C455" s="22" t="s">
        <v>75</v>
      </c>
      <c r="D455" s="22" t="s">
        <v>31</v>
      </c>
      <c r="E455" s="22" t="s">
        <v>7326</v>
      </c>
      <c r="F455" s="22" t="n">
        <v>12790348</v>
      </c>
      <c r="G455" s="30" t="n">
        <v>46248</v>
      </c>
      <c r="H455" s="22" t="n">
        <v>624947</v>
      </c>
      <c r="I455" s="22" t="s">
        <v>7735</v>
      </c>
      <c r="J455" s="31" t="n">
        <v>19.4</v>
      </c>
      <c r="K455" s="26" t="n">
        <v>469.94</v>
      </c>
      <c r="L455" s="26" t="n">
        <v>66.68</v>
      </c>
      <c r="M455" s="22" t="s">
        <v>694</v>
      </c>
      <c r="N455" s="22" t="n">
        <f aca="false">MATCH(M455,'Tabela Passaro'!$A$2:$A$1795,0)</f>
        <v>106</v>
      </c>
      <c r="O455" s="22" t="str">
        <f aca="false">INDEX('Tabela Passaro'!$C$2:$C$1795,$N455)</f>
        <v>SALVADOR</v>
      </c>
      <c r="P455" s="22" t="str">
        <f aca="false">INDEX('Tabela Passaro'!$B$2:$B$1795,$N455)</f>
        <v>BA</v>
      </c>
      <c r="Q455" s="22" t="n">
        <f aca="false">INDEX('Tabela Passaro'!$F$2:$F$1795,$N455)</f>
        <v>6</v>
      </c>
      <c r="R455" s="32" t="n">
        <f aca="false">IF(J455&lt;=10,INDEX('Tabela Passaro'!$G$2:$G$1795,$N455),IF(J455&lt;=30,INDEX('Tabela Passaro'!$H$2:$H$1795,$N455),IF(J455&lt;=50,INDEX('Tabela Passaro'!$I$2:$I$1795,$N455),IF(J455&lt;=70,INDEX('Tabela Passaro'!$J$2:$J$1795,$N455),IF(J455&lt;=100,INDEX('Tabela Passaro'!$K$2:$K$1795,$N455),INDEX('Tabela Passaro'!$K$2:$K$1795,$N455)+(J455-100)*INDEX('Tabela Passaro'!$L$2:$L$1795,$N455))))))</f>
        <v>50.4</v>
      </c>
      <c r="S455" s="32" t="n">
        <f aca="false">K455*INDEX('Tabela Passaro'!$M$2:$M$1795,$N455)</f>
        <v>2.3497</v>
      </c>
      <c r="T455" s="32" t="n">
        <f aca="false">K455*INDEX('Tabela Passaro'!$N$2:$N$1795,$N455)</f>
        <v>0.93988</v>
      </c>
      <c r="U455" s="32" t="n">
        <f aca="false">INDEX('Tabela Passaro'!$O$2:$O$1795,$N455)</f>
        <v>5</v>
      </c>
      <c r="V455" s="32" t="n">
        <f aca="false">ROUNDUP(J455/INDEX('Tabela Passaro'!$Q$2:$Q$1795,$N455),0)*INDEX('Tabela Passaro'!$P$2:$P$1795,$N455)</f>
        <v>5</v>
      </c>
      <c r="W455" s="32" t="n">
        <f aca="false">INDEX('Tabela Passaro'!$R$2:$R$1795,$N455)</f>
        <v>30</v>
      </c>
      <c r="X455" s="32" t="n">
        <f aca="false">ROUNDUP(J455/INDEX('Tabela Passaro'!$T$2:$T$1795,$N455),0)*INDEX('Tabela Passaro'!$S$2:$S$1795,$N455)</f>
        <v>0</v>
      </c>
      <c r="Y455" s="32" t="n">
        <f aca="false">INDEX('Tabela Passaro'!$U$2:$U$1795,$N455)</f>
        <v>0</v>
      </c>
      <c r="Z455" s="32" t="n">
        <f aca="false">INDEX('Tabela Passaro'!$V$2:$V$1795,$N455)</f>
        <v>0</v>
      </c>
      <c r="AA455" s="32" t="n">
        <f aca="false">SUM(R455:Z455)</f>
        <v>93.68958</v>
      </c>
      <c r="AB455" s="33" t="n">
        <f aca="false">INDEX(Premissas!$B$5:$B$13,MATCH(A455,Premissas!$A$5:$A$13,0))</f>
        <v>0.07</v>
      </c>
      <c r="AC455" s="32" t="n">
        <f aca="false">AA455/(1-AB455)-AA455</f>
        <v>7.05190387096775</v>
      </c>
      <c r="AD455" s="32" t="n">
        <f aca="false">ROUND(AA455+AC455,2)</f>
        <v>100.74</v>
      </c>
      <c r="AE455" s="32" t="n">
        <f aca="false">AD455-L455</f>
        <v>34.06</v>
      </c>
      <c r="AF455" s="34" t="n">
        <f aca="false">IF(L455=0,0,AE455/L455)</f>
        <v>0.510797840431913</v>
      </c>
      <c r="AG455" s="22" t="str">
        <f aca="false">IF(AD455&lt;L455,"PASSARO","ATUAL")</f>
        <v>ATUAL</v>
      </c>
      <c r="AH455" s="22" t="str">
        <f aca="false">IF(P455&lt;&gt;A455,"Faixa cadastrada como "&amp;P455&amp;" na tabela; preço aplicado pela UF do CEP","")</f>
        <v/>
      </c>
      <c r="AI455" s="26" t="n">
        <v>117.41</v>
      </c>
      <c r="AJ455" s="22" t="str">
        <f aca="false">INDEX('Tabela Passaro'!$X$2:$X$1795,$N455)</f>
        <v>CAPITAL</v>
      </c>
    </row>
    <row r="456" customFormat="false" ht="15" hidden="false" customHeight="false" outlineLevel="0" collapsed="false">
      <c r="A456" s="22" t="s">
        <v>16</v>
      </c>
      <c r="B456" s="22" t="n">
        <v>1</v>
      </c>
      <c r="C456" s="22" t="s">
        <v>75</v>
      </c>
      <c r="D456" s="22" t="s">
        <v>31</v>
      </c>
      <c r="E456" s="22" t="s">
        <v>7326</v>
      </c>
      <c r="F456" s="22" t="n">
        <v>12790408</v>
      </c>
      <c r="G456" s="30" t="n">
        <v>46248</v>
      </c>
      <c r="H456" s="22" t="n">
        <v>624953</v>
      </c>
      <c r="I456" s="22" t="s">
        <v>7736</v>
      </c>
      <c r="J456" s="31" t="n">
        <v>19.4</v>
      </c>
      <c r="K456" s="26" t="n">
        <v>442.88</v>
      </c>
      <c r="L456" s="26" t="n">
        <v>68.02</v>
      </c>
      <c r="M456" s="22" t="s">
        <v>694</v>
      </c>
      <c r="N456" s="22" t="n">
        <f aca="false">MATCH(M456,'Tabela Passaro'!$A$2:$A$1795,0)</f>
        <v>106</v>
      </c>
      <c r="O456" s="22" t="str">
        <f aca="false">INDEX('Tabela Passaro'!$C$2:$C$1795,$N456)</f>
        <v>SALVADOR</v>
      </c>
      <c r="P456" s="22" t="str">
        <f aca="false">INDEX('Tabela Passaro'!$B$2:$B$1795,$N456)</f>
        <v>BA</v>
      </c>
      <c r="Q456" s="22" t="n">
        <f aca="false">INDEX('Tabela Passaro'!$F$2:$F$1795,$N456)</f>
        <v>6</v>
      </c>
      <c r="R456" s="32" t="n">
        <f aca="false">IF(J456&lt;=10,INDEX('Tabela Passaro'!$G$2:$G$1795,$N456),IF(J456&lt;=30,INDEX('Tabela Passaro'!$H$2:$H$1795,$N456),IF(J456&lt;=50,INDEX('Tabela Passaro'!$I$2:$I$1795,$N456),IF(J456&lt;=70,INDEX('Tabela Passaro'!$J$2:$J$1795,$N456),IF(J456&lt;=100,INDEX('Tabela Passaro'!$K$2:$K$1795,$N456),INDEX('Tabela Passaro'!$K$2:$K$1795,$N456)+(J456-100)*INDEX('Tabela Passaro'!$L$2:$L$1795,$N456))))))</f>
        <v>50.4</v>
      </c>
      <c r="S456" s="32" t="n">
        <f aca="false">K456*INDEX('Tabela Passaro'!$M$2:$M$1795,$N456)</f>
        <v>2.2144</v>
      </c>
      <c r="T456" s="32" t="n">
        <f aca="false">K456*INDEX('Tabela Passaro'!$N$2:$N$1795,$N456)</f>
        <v>0.88576</v>
      </c>
      <c r="U456" s="32" t="n">
        <f aca="false">INDEX('Tabela Passaro'!$O$2:$O$1795,$N456)</f>
        <v>5</v>
      </c>
      <c r="V456" s="32" t="n">
        <f aca="false">ROUNDUP(J456/INDEX('Tabela Passaro'!$Q$2:$Q$1795,$N456),0)*INDEX('Tabela Passaro'!$P$2:$P$1795,$N456)</f>
        <v>5</v>
      </c>
      <c r="W456" s="32" t="n">
        <f aca="false">INDEX('Tabela Passaro'!$R$2:$R$1795,$N456)</f>
        <v>30</v>
      </c>
      <c r="X456" s="32" t="n">
        <f aca="false">ROUNDUP(J456/INDEX('Tabela Passaro'!$T$2:$T$1795,$N456),0)*INDEX('Tabela Passaro'!$S$2:$S$1795,$N456)</f>
        <v>0</v>
      </c>
      <c r="Y456" s="32" t="n">
        <f aca="false">INDEX('Tabela Passaro'!$U$2:$U$1795,$N456)</f>
        <v>0</v>
      </c>
      <c r="Z456" s="32" t="n">
        <f aca="false">INDEX('Tabela Passaro'!$V$2:$V$1795,$N456)</f>
        <v>0</v>
      </c>
      <c r="AA456" s="32" t="n">
        <f aca="false">SUM(R456:Z456)</f>
        <v>93.50016</v>
      </c>
      <c r="AB456" s="33" t="n">
        <f aca="false">INDEX(Premissas!$B$5:$B$13,MATCH(A456,Premissas!$A$5:$A$13,0))</f>
        <v>0.07</v>
      </c>
      <c r="AC456" s="32" t="n">
        <f aca="false">AA456/(1-AB456)-AA456</f>
        <v>7.03764645161292</v>
      </c>
      <c r="AD456" s="32" t="n">
        <f aca="false">ROUND(AA456+AC456,2)</f>
        <v>100.54</v>
      </c>
      <c r="AE456" s="32" t="n">
        <f aca="false">AD456-L456</f>
        <v>32.52</v>
      </c>
      <c r="AF456" s="34" t="n">
        <f aca="false">IF(L456=0,0,AE456/L456)</f>
        <v>0.478094678035872</v>
      </c>
      <c r="AG456" s="22" t="str">
        <f aca="false">IF(AD456&lt;L456,"PASSARO","ATUAL")</f>
        <v>ATUAL</v>
      </c>
      <c r="AH456" s="22" t="str">
        <f aca="false">IF(P456&lt;&gt;A456,"Faixa cadastrada como "&amp;P456&amp;" na tabela; preço aplicado pela UF do CEP","")</f>
        <v/>
      </c>
      <c r="AI456" s="26" t="n">
        <v>117.15</v>
      </c>
      <c r="AJ456" s="22" t="str">
        <f aca="false">INDEX('Tabela Passaro'!$X$2:$X$1795,$N456)</f>
        <v>CAPITAL</v>
      </c>
    </row>
    <row r="457" customFormat="false" ht="15" hidden="false" customHeight="false" outlineLevel="0" collapsed="false">
      <c r="A457" s="22" t="s">
        <v>16</v>
      </c>
      <c r="B457" s="22" t="n">
        <v>1</v>
      </c>
      <c r="C457" s="22" t="s">
        <v>75</v>
      </c>
      <c r="D457" s="22" t="s">
        <v>31</v>
      </c>
      <c r="E457" s="22" t="s">
        <v>7326</v>
      </c>
      <c r="F457" s="22" t="n">
        <v>12798317</v>
      </c>
      <c r="G457" s="30" t="n">
        <v>46251</v>
      </c>
      <c r="H457" s="22" t="n">
        <v>625458</v>
      </c>
      <c r="I457" s="22" t="s">
        <v>7596</v>
      </c>
      <c r="J457" s="31" t="n">
        <v>22.4</v>
      </c>
      <c r="K457" s="26" t="n">
        <v>590.99</v>
      </c>
      <c r="L457" s="26" t="n">
        <v>77.69</v>
      </c>
      <c r="M457" s="22" t="s">
        <v>694</v>
      </c>
      <c r="N457" s="22" t="n">
        <f aca="false">MATCH(M457,'Tabela Passaro'!$A$2:$A$1795,0)</f>
        <v>106</v>
      </c>
      <c r="O457" s="22" t="str">
        <f aca="false">INDEX('Tabela Passaro'!$C$2:$C$1795,$N457)</f>
        <v>SALVADOR</v>
      </c>
      <c r="P457" s="22" t="str">
        <f aca="false">INDEX('Tabela Passaro'!$B$2:$B$1795,$N457)</f>
        <v>BA</v>
      </c>
      <c r="Q457" s="22" t="n">
        <f aca="false">INDEX('Tabela Passaro'!$F$2:$F$1795,$N457)</f>
        <v>6</v>
      </c>
      <c r="R457" s="32" t="n">
        <f aca="false">IF(J457&lt;=10,INDEX('Tabela Passaro'!$G$2:$G$1795,$N457),IF(J457&lt;=30,INDEX('Tabela Passaro'!$H$2:$H$1795,$N457),IF(J457&lt;=50,INDEX('Tabela Passaro'!$I$2:$I$1795,$N457),IF(J457&lt;=70,INDEX('Tabela Passaro'!$J$2:$J$1795,$N457),IF(J457&lt;=100,INDEX('Tabela Passaro'!$K$2:$K$1795,$N457),INDEX('Tabela Passaro'!$K$2:$K$1795,$N457)+(J457-100)*INDEX('Tabela Passaro'!$L$2:$L$1795,$N457))))))</f>
        <v>50.4</v>
      </c>
      <c r="S457" s="32" t="n">
        <f aca="false">K457*INDEX('Tabela Passaro'!$M$2:$M$1795,$N457)</f>
        <v>2.95495</v>
      </c>
      <c r="T457" s="32" t="n">
        <f aca="false">K457*INDEX('Tabela Passaro'!$N$2:$N$1795,$N457)</f>
        <v>1.18198</v>
      </c>
      <c r="U457" s="32" t="n">
        <f aca="false">INDEX('Tabela Passaro'!$O$2:$O$1795,$N457)</f>
        <v>5</v>
      </c>
      <c r="V457" s="32" t="n">
        <f aca="false">ROUNDUP(J457/INDEX('Tabela Passaro'!$Q$2:$Q$1795,$N457),0)*INDEX('Tabela Passaro'!$P$2:$P$1795,$N457)</f>
        <v>5</v>
      </c>
      <c r="W457" s="32" t="n">
        <f aca="false">INDEX('Tabela Passaro'!$R$2:$R$1795,$N457)</f>
        <v>30</v>
      </c>
      <c r="X457" s="32" t="n">
        <f aca="false">ROUNDUP(J457/INDEX('Tabela Passaro'!$T$2:$T$1795,$N457),0)*INDEX('Tabela Passaro'!$S$2:$S$1795,$N457)</f>
        <v>0</v>
      </c>
      <c r="Y457" s="32" t="n">
        <f aca="false">INDEX('Tabela Passaro'!$U$2:$U$1795,$N457)</f>
        <v>0</v>
      </c>
      <c r="Z457" s="32" t="n">
        <f aca="false">INDEX('Tabela Passaro'!$V$2:$V$1795,$N457)</f>
        <v>0</v>
      </c>
      <c r="AA457" s="32" t="n">
        <f aca="false">SUM(R457:Z457)</f>
        <v>94.53693</v>
      </c>
      <c r="AB457" s="33" t="n">
        <f aca="false">INDEX(Premissas!$B$5:$B$13,MATCH(A457,Premissas!$A$5:$A$13,0))</f>
        <v>0.07</v>
      </c>
      <c r="AC457" s="32" t="n">
        <f aca="false">AA457/(1-AB457)-AA457</f>
        <v>7.11568290322582</v>
      </c>
      <c r="AD457" s="32" t="n">
        <f aca="false">ROUND(AA457+AC457,2)</f>
        <v>101.65</v>
      </c>
      <c r="AE457" s="32" t="n">
        <f aca="false">AD457-L457</f>
        <v>23.96</v>
      </c>
      <c r="AF457" s="34" t="n">
        <f aca="false">IF(L457=0,0,AE457/L457)</f>
        <v>0.30840520015446</v>
      </c>
      <c r="AG457" s="22" t="str">
        <f aca="false">IF(AD457&lt;L457,"PASSARO","ATUAL")</f>
        <v>ATUAL</v>
      </c>
      <c r="AH457" s="22" t="str">
        <f aca="false">IF(P457&lt;&gt;A457,"Faixa cadastrada como "&amp;P457&amp;" na tabela; preço aplicado pela UF do CEP","")</f>
        <v/>
      </c>
      <c r="AI457" s="26" t="n">
        <v>120.03</v>
      </c>
      <c r="AJ457" s="22" t="str">
        <f aca="false">INDEX('Tabela Passaro'!$X$2:$X$1795,$N457)</f>
        <v>CAPITAL</v>
      </c>
    </row>
    <row r="458" customFormat="false" ht="15" hidden="false" customHeight="false" outlineLevel="0" collapsed="false">
      <c r="A458" s="22" t="s">
        <v>16</v>
      </c>
      <c r="B458" s="22" t="n">
        <v>1</v>
      </c>
      <c r="C458" s="22" t="s">
        <v>75</v>
      </c>
      <c r="D458" s="22" t="s">
        <v>31</v>
      </c>
      <c r="E458" s="22" t="s">
        <v>7326</v>
      </c>
      <c r="F458" s="22" t="n">
        <v>12798170</v>
      </c>
      <c r="G458" s="30" t="n">
        <v>46251</v>
      </c>
      <c r="H458" s="22" t="n">
        <v>625482</v>
      </c>
      <c r="I458" s="22" t="s">
        <v>7737</v>
      </c>
      <c r="J458" s="31" t="n">
        <v>17.2</v>
      </c>
      <c r="K458" s="26" t="n">
        <v>324.45</v>
      </c>
      <c r="L458" s="26" t="n">
        <v>54.38</v>
      </c>
      <c r="M458" s="22" t="s">
        <v>694</v>
      </c>
      <c r="N458" s="22" t="n">
        <f aca="false">MATCH(M458,'Tabela Passaro'!$A$2:$A$1795,0)</f>
        <v>106</v>
      </c>
      <c r="O458" s="22" t="str">
        <f aca="false">INDEX('Tabela Passaro'!$C$2:$C$1795,$N458)</f>
        <v>SALVADOR</v>
      </c>
      <c r="P458" s="22" t="str">
        <f aca="false">INDEX('Tabela Passaro'!$B$2:$B$1795,$N458)</f>
        <v>BA</v>
      </c>
      <c r="Q458" s="22" t="n">
        <f aca="false">INDEX('Tabela Passaro'!$F$2:$F$1795,$N458)</f>
        <v>6</v>
      </c>
      <c r="R458" s="32" t="n">
        <f aca="false">IF(J458&lt;=10,INDEX('Tabela Passaro'!$G$2:$G$1795,$N458),IF(J458&lt;=30,INDEX('Tabela Passaro'!$H$2:$H$1795,$N458),IF(J458&lt;=50,INDEX('Tabela Passaro'!$I$2:$I$1795,$N458),IF(J458&lt;=70,INDEX('Tabela Passaro'!$J$2:$J$1795,$N458),IF(J458&lt;=100,INDEX('Tabela Passaro'!$K$2:$K$1795,$N458),INDEX('Tabela Passaro'!$K$2:$K$1795,$N458)+(J458-100)*INDEX('Tabela Passaro'!$L$2:$L$1795,$N458))))))</f>
        <v>50.4</v>
      </c>
      <c r="S458" s="32" t="n">
        <f aca="false">K458*INDEX('Tabela Passaro'!$M$2:$M$1795,$N458)</f>
        <v>1.62225</v>
      </c>
      <c r="T458" s="32" t="n">
        <f aca="false">K458*INDEX('Tabela Passaro'!$N$2:$N$1795,$N458)</f>
        <v>0.6489</v>
      </c>
      <c r="U458" s="32" t="n">
        <f aca="false">INDEX('Tabela Passaro'!$O$2:$O$1795,$N458)</f>
        <v>5</v>
      </c>
      <c r="V458" s="32" t="n">
        <f aca="false">ROUNDUP(J458/INDEX('Tabela Passaro'!$Q$2:$Q$1795,$N458),0)*INDEX('Tabela Passaro'!$P$2:$P$1795,$N458)</f>
        <v>5</v>
      </c>
      <c r="W458" s="32" t="n">
        <f aca="false">INDEX('Tabela Passaro'!$R$2:$R$1795,$N458)</f>
        <v>30</v>
      </c>
      <c r="X458" s="32" t="n">
        <f aca="false">ROUNDUP(J458/INDEX('Tabela Passaro'!$T$2:$T$1795,$N458),0)*INDEX('Tabela Passaro'!$S$2:$S$1795,$N458)</f>
        <v>0</v>
      </c>
      <c r="Y458" s="32" t="n">
        <f aca="false">INDEX('Tabela Passaro'!$U$2:$U$1795,$N458)</f>
        <v>0</v>
      </c>
      <c r="Z458" s="32" t="n">
        <f aca="false">INDEX('Tabela Passaro'!$V$2:$V$1795,$N458)</f>
        <v>0</v>
      </c>
      <c r="AA458" s="32" t="n">
        <f aca="false">SUM(R458:Z458)</f>
        <v>92.67115</v>
      </c>
      <c r="AB458" s="33" t="n">
        <f aca="false">INDEX(Premissas!$B$5:$B$13,MATCH(A458,Premissas!$A$5:$A$13,0))</f>
        <v>0.07</v>
      </c>
      <c r="AC458" s="32" t="n">
        <f aca="false">AA458/(1-AB458)-AA458</f>
        <v>6.97524784946238</v>
      </c>
      <c r="AD458" s="32" t="n">
        <f aca="false">ROUND(AA458+AC458,2)</f>
        <v>99.65</v>
      </c>
      <c r="AE458" s="32" t="n">
        <f aca="false">AD458-L458</f>
        <v>45.27</v>
      </c>
      <c r="AF458" s="34" t="n">
        <f aca="false">IF(L458=0,0,AE458/L458)</f>
        <v>0.83247517469658</v>
      </c>
      <c r="AG458" s="22" t="str">
        <f aca="false">IF(AD458&lt;L458,"PASSARO","ATUAL")</f>
        <v>ATUAL</v>
      </c>
      <c r="AH458" s="22" t="str">
        <f aca="false">IF(P458&lt;&gt;A458,"Faixa cadastrada como "&amp;P458&amp;" na tabela; preço aplicado pela UF do CEP","")</f>
        <v/>
      </c>
      <c r="AI458" s="26" t="n">
        <v>115.03</v>
      </c>
      <c r="AJ458" s="22" t="str">
        <f aca="false">INDEX('Tabela Passaro'!$X$2:$X$1795,$N458)</f>
        <v>CAPITAL</v>
      </c>
    </row>
    <row r="459" customFormat="false" ht="15" hidden="false" customHeight="false" outlineLevel="0" collapsed="false">
      <c r="A459" s="22" t="s">
        <v>16</v>
      </c>
      <c r="B459" s="22" t="n">
        <v>1</v>
      </c>
      <c r="C459" s="22" t="s">
        <v>75</v>
      </c>
      <c r="D459" s="22" t="s">
        <v>31</v>
      </c>
      <c r="E459" s="22" t="s">
        <v>7326</v>
      </c>
      <c r="F459" s="22" t="n">
        <v>12809414</v>
      </c>
      <c r="G459" s="30" t="n">
        <v>46252</v>
      </c>
      <c r="H459" s="22" t="n">
        <v>626063</v>
      </c>
      <c r="I459" s="22" t="s">
        <v>7738</v>
      </c>
      <c r="J459" s="31" t="n">
        <v>22.9</v>
      </c>
      <c r="K459" s="26" t="n">
        <v>465.98</v>
      </c>
      <c r="L459" s="26" t="n">
        <v>74.56</v>
      </c>
      <c r="M459" s="22" t="s">
        <v>694</v>
      </c>
      <c r="N459" s="22" t="n">
        <f aca="false">MATCH(M459,'Tabela Passaro'!$A$2:$A$1795,0)</f>
        <v>106</v>
      </c>
      <c r="O459" s="22" t="str">
        <f aca="false">INDEX('Tabela Passaro'!$C$2:$C$1795,$N459)</f>
        <v>SALVADOR</v>
      </c>
      <c r="P459" s="22" t="str">
        <f aca="false">INDEX('Tabela Passaro'!$B$2:$B$1795,$N459)</f>
        <v>BA</v>
      </c>
      <c r="Q459" s="22" t="n">
        <f aca="false">INDEX('Tabela Passaro'!$F$2:$F$1795,$N459)</f>
        <v>6</v>
      </c>
      <c r="R459" s="32" t="n">
        <f aca="false">IF(J459&lt;=10,INDEX('Tabela Passaro'!$G$2:$G$1795,$N459),IF(J459&lt;=30,INDEX('Tabela Passaro'!$H$2:$H$1795,$N459),IF(J459&lt;=50,INDEX('Tabela Passaro'!$I$2:$I$1795,$N459),IF(J459&lt;=70,INDEX('Tabela Passaro'!$J$2:$J$1795,$N459),IF(J459&lt;=100,INDEX('Tabela Passaro'!$K$2:$K$1795,$N459),INDEX('Tabela Passaro'!$K$2:$K$1795,$N459)+(J459-100)*INDEX('Tabela Passaro'!$L$2:$L$1795,$N459))))))</f>
        <v>50.4</v>
      </c>
      <c r="S459" s="32" t="n">
        <f aca="false">K459*INDEX('Tabela Passaro'!$M$2:$M$1795,$N459)</f>
        <v>2.3299</v>
      </c>
      <c r="T459" s="32" t="n">
        <f aca="false">K459*INDEX('Tabela Passaro'!$N$2:$N$1795,$N459)</f>
        <v>0.93196</v>
      </c>
      <c r="U459" s="32" t="n">
        <f aca="false">INDEX('Tabela Passaro'!$O$2:$O$1795,$N459)</f>
        <v>5</v>
      </c>
      <c r="V459" s="32" t="n">
        <f aca="false">ROUNDUP(J459/INDEX('Tabela Passaro'!$Q$2:$Q$1795,$N459),0)*INDEX('Tabela Passaro'!$P$2:$P$1795,$N459)</f>
        <v>5</v>
      </c>
      <c r="W459" s="32" t="n">
        <f aca="false">INDEX('Tabela Passaro'!$R$2:$R$1795,$N459)</f>
        <v>30</v>
      </c>
      <c r="X459" s="32" t="n">
        <f aca="false">ROUNDUP(J459/INDEX('Tabela Passaro'!$T$2:$T$1795,$N459),0)*INDEX('Tabela Passaro'!$S$2:$S$1795,$N459)</f>
        <v>0</v>
      </c>
      <c r="Y459" s="32" t="n">
        <f aca="false">INDEX('Tabela Passaro'!$U$2:$U$1795,$N459)</f>
        <v>0</v>
      </c>
      <c r="Z459" s="32" t="n">
        <f aca="false">INDEX('Tabela Passaro'!$V$2:$V$1795,$N459)</f>
        <v>0</v>
      </c>
      <c r="AA459" s="32" t="n">
        <f aca="false">SUM(R459:Z459)</f>
        <v>93.66186</v>
      </c>
      <c r="AB459" s="33" t="n">
        <f aca="false">INDEX(Premissas!$B$5:$B$13,MATCH(A459,Premissas!$A$5:$A$13,0))</f>
        <v>0.07</v>
      </c>
      <c r="AC459" s="32" t="n">
        <f aca="false">AA459/(1-AB459)-AA459</f>
        <v>7.04981741935484</v>
      </c>
      <c r="AD459" s="32" t="n">
        <f aca="false">ROUND(AA459+AC459,2)</f>
        <v>100.71</v>
      </c>
      <c r="AE459" s="32" t="n">
        <f aca="false">AD459-L459</f>
        <v>26.15</v>
      </c>
      <c r="AF459" s="34" t="n">
        <f aca="false">IF(L459=0,0,AE459/L459)</f>
        <v>0.350724248927039</v>
      </c>
      <c r="AG459" s="22" t="str">
        <f aca="false">IF(AD459&lt;L459,"PASSARO","ATUAL")</f>
        <v>ATUAL</v>
      </c>
      <c r="AH459" s="22" t="str">
        <f aca="false">IF(P459&lt;&gt;A459,"Faixa cadastrada como "&amp;P459&amp;" na tabela; preço aplicado pela UF do CEP","")</f>
        <v/>
      </c>
      <c r="AI459" s="26" t="n">
        <v>118.82</v>
      </c>
      <c r="AJ459" s="22" t="str">
        <f aca="false">INDEX('Tabela Passaro'!$X$2:$X$1795,$N459)</f>
        <v>CAPITAL</v>
      </c>
    </row>
    <row r="460" customFormat="false" ht="15" hidden="false" customHeight="false" outlineLevel="0" collapsed="false">
      <c r="A460" s="22" t="s">
        <v>16</v>
      </c>
      <c r="B460" s="22" t="n">
        <v>1</v>
      </c>
      <c r="C460" s="22" t="s">
        <v>75</v>
      </c>
      <c r="D460" s="22" t="s">
        <v>31</v>
      </c>
      <c r="E460" s="22" t="s">
        <v>7326</v>
      </c>
      <c r="F460" s="22" t="n">
        <v>12808387</v>
      </c>
      <c r="G460" s="30" t="n">
        <v>46252</v>
      </c>
      <c r="H460" s="22" t="n">
        <v>626086</v>
      </c>
      <c r="I460" s="22" t="s">
        <v>7739</v>
      </c>
      <c r="J460" s="31" t="n">
        <v>19.4</v>
      </c>
      <c r="K460" s="26" t="n">
        <v>500.19</v>
      </c>
      <c r="L460" s="26" t="n">
        <v>66.52</v>
      </c>
      <c r="M460" s="22" t="s">
        <v>694</v>
      </c>
      <c r="N460" s="22" t="n">
        <f aca="false">MATCH(M460,'Tabela Passaro'!$A$2:$A$1795,0)</f>
        <v>106</v>
      </c>
      <c r="O460" s="22" t="str">
        <f aca="false">INDEX('Tabela Passaro'!$C$2:$C$1795,$N460)</f>
        <v>SALVADOR</v>
      </c>
      <c r="P460" s="22" t="str">
        <f aca="false">INDEX('Tabela Passaro'!$B$2:$B$1795,$N460)</f>
        <v>BA</v>
      </c>
      <c r="Q460" s="22" t="n">
        <f aca="false">INDEX('Tabela Passaro'!$F$2:$F$1795,$N460)</f>
        <v>6</v>
      </c>
      <c r="R460" s="32" t="n">
        <f aca="false">IF(J460&lt;=10,INDEX('Tabela Passaro'!$G$2:$G$1795,$N460),IF(J460&lt;=30,INDEX('Tabela Passaro'!$H$2:$H$1795,$N460),IF(J460&lt;=50,INDEX('Tabela Passaro'!$I$2:$I$1795,$N460),IF(J460&lt;=70,INDEX('Tabela Passaro'!$J$2:$J$1795,$N460),IF(J460&lt;=100,INDEX('Tabela Passaro'!$K$2:$K$1795,$N460),INDEX('Tabela Passaro'!$K$2:$K$1795,$N460)+(J460-100)*INDEX('Tabela Passaro'!$L$2:$L$1795,$N460))))))</f>
        <v>50.4</v>
      </c>
      <c r="S460" s="32" t="n">
        <f aca="false">K460*INDEX('Tabela Passaro'!$M$2:$M$1795,$N460)</f>
        <v>2.50095</v>
      </c>
      <c r="T460" s="32" t="n">
        <f aca="false">K460*INDEX('Tabela Passaro'!$N$2:$N$1795,$N460)</f>
        <v>1.00038</v>
      </c>
      <c r="U460" s="32" t="n">
        <f aca="false">INDEX('Tabela Passaro'!$O$2:$O$1795,$N460)</f>
        <v>5</v>
      </c>
      <c r="V460" s="32" t="n">
        <f aca="false">ROUNDUP(J460/INDEX('Tabela Passaro'!$Q$2:$Q$1795,$N460),0)*INDEX('Tabela Passaro'!$P$2:$P$1795,$N460)</f>
        <v>5</v>
      </c>
      <c r="W460" s="32" t="n">
        <f aca="false">INDEX('Tabela Passaro'!$R$2:$R$1795,$N460)</f>
        <v>30</v>
      </c>
      <c r="X460" s="32" t="n">
        <f aca="false">ROUNDUP(J460/INDEX('Tabela Passaro'!$T$2:$T$1795,$N460),0)*INDEX('Tabela Passaro'!$S$2:$S$1795,$N460)</f>
        <v>0</v>
      </c>
      <c r="Y460" s="32" t="n">
        <f aca="false">INDEX('Tabela Passaro'!$U$2:$U$1795,$N460)</f>
        <v>0</v>
      </c>
      <c r="Z460" s="32" t="n">
        <f aca="false">INDEX('Tabela Passaro'!$V$2:$V$1795,$N460)</f>
        <v>0</v>
      </c>
      <c r="AA460" s="32" t="n">
        <f aca="false">SUM(R460:Z460)</f>
        <v>93.90133</v>
      </c>
      <c r="AB460" s="33" t="n">
        <f aca="false">INDEX(Premissas!$B$5:$B$13,MATCH(A460,Premissas!$A$5:$A$13,0))</f>
        <v>0.07</v>
      </c>
      <c r="AC460" s="32" t="n">
        <f aca="false">AA460/(1-AB460)-AA460</f>
        <v>7.06784204301076</v>
      </c>
      <c r="AD460" s="32" t="n">
        <f aca="false">ROUND(AA460+AC460,2)</f>
        <v>100.97</v>
      </c>
      <c r="AE460" s="32" t="n">
        <f aca="false">AD460-L460</f>
        <v>34.45</v>
      </c>
      <c r="AF460" s="34" t="n">
        <f aca="false">IF(L460=0,0,AE460/L460)</f>
        <v>0.517889356584486</v>
      </c>
      <c r="AG460" s="22" t="str">
        <f aca="false">IF(AD460&lt;L460,"PASSARO","ATUAL")</f>
        <v>ATUAL</v>
      </c>
      <c r="AH460" s="22" t="str">
        <f aca="false">IF(P460&lt;&gt;A460,"Faixa cadastrada como "&amp;P460&amp;" na tabela; preço aplicado pela UF do CEP","")</f>
        <v/>
      </c>
      <c r="AI460" s="26" t="n">
        <v>117.7</v>
      </c>
      <c r="AJ460" s="22" t="str">
        <f aca="false">INDEX('Tabela Passaro'!$X$2:$X$1795,$N460)</f>
        <v>CAPITAL</v>
      </c>
    </row>
    <row r="461" customFormat="false" ht="15" hidden="false" customHeight="false" outlineLevel="0" collapsed="false">
      <c r="A461" s="22" t="s">
        <v>16</v>
      </c>
      <c r="B461" s="22" t="n">
        <v>1</v>
      </c>
      <c r="C461" s="22" t="s">
        <v>75</v>
      </c>
      <c r="D461" s="22" t="s">
        <v>31</v>
      </c>
      <c r="E461" s="22" t="s">
        <v>7326</v>
      </c>
      <c r="F461" s="22" t="n">
        <v>12808768</v>
      </c>
      <c r="G461" s="30" t="n">
        <v>46252</v>
      </c>
      <c r="H461" s="22" t="n">
        <v>626469</v>
      </c>
      <c r="I461" s="22" t="s">
        <v>7740</v>
      </c>
      <c r="J461" s="31" t="n">
        <v>17.2</v>
      </c>
      <c r="K461" s="26" t="n">
        <v>355.99</v>
      </c>
      <c r="L461" s="26" t="n">
        <v>54.73</v>
      </c>
      <c r="M461" s="22" t="s">
        <v>694</v>
      </c>
      <c r="N461" s="22" t="n">
        <f aca="false">MATCH(M461,'Tabela Passaro'!$A$2:$A$1795,0)</f>
        <v>106</v>
      </c>
      <c r="O461" s="22" t="str">
        <f aca="false">INDEX('Tabela Passaro'!$C$2:$C$1795,$N461)</f>
        <v>SALVADOR</v>
      </c>
      <c r="P461" s="22" t="str">
        <f aca="false">INDEX('Tabela Passaro'!$B$2:$B$1795,$N461)</f>
        <v>BA</v>
      </c>
      <c r="Q461" s="22" t="n">
        <f aca="false">INDEX('Tabela Passaro'!$F$2:$F$1795,$N461)</f>
        <v>6</v>
      </c>
      <c r="R461" s="32" t="n">
        <f aca="false">IF(J461&lt;=10,INDEX('Tabela Passaro'!$G$2:$G$1795,$N461),IF(J461&lt;=30,INDEX('Tabela Passaro'!$H$2:$H$1795,$N461),IF(J461&lt;=50,INDEX('Tabela Passaro'!$I$2:$I$1795,$N461),IF(J461&lt;=70,INDEX('Tabela Passaro'!$J$2:$J$1795,$N461),IF(J461&lt;=100,INDEX('Tabela Passaro'!$K$2:$K$1795,$N461),INDEX('Tabela Passaro'!$K$2:$K$1795,$N461)+(J461-100)*INDEX('Tabela Passaro'!$L$2:$L$1795,$N461))))))</f>
        <v>50.4</v>
      </c>
      <c r="S461" s="32" t="n">
        <f aca="false">K461*INDEX('Tabela Passaro'!$M$2:$M$1795,$N461)</f>
        <v>1.77995</v>
      </c>
      <c r="T461" s="32" t="n">
        <f aca="false">K461*INDEX('Tabela Passaro'!$N$2:$N$1795,$N461)</f>
        <v>0.71198</v>
      </c>
      <c r="U461" s="32" t="n">
        <f aca="false">INDEX('Tabela Passaro'!$O$2:$O$1795,$N461)</f>
        <v>5</v>
      </c>
      <c r="V461" s="32" t="n">
        <f aca="false">ROUNDUP(J461/INDEX('Tabela Passaro'!$Q$2:$Q$1795,$N461),0)*INDEX('Tabela Passaro'!$P$2:$P$1795,$N461)</f>
        <v>5</v>
      </c>
      <c r="W461" s="32" t="n">
        <f aca="false">INDEX('Tabela Passaro'!$R$2:$R$1795,$N461)</f>
        <v>30</v>
      </c>
      <c r="X461" s="32" t="n">
        <f aca="false">ROUNDUP(J461/INDEX('Tabela Passaro'!$T$2:$T$1795,$N461),0)*INDEX('Tabela Passaro'!$S$2:$S$1795,$N461)</f>
        <v>0</v>
      </c>
      <c r="Y461" s="32" t="n">
        <f aca="false">INDEX('Tabela Passaro'!$U$2:$U$1795,$N461)</f>
        <v>0</v>
      </c>
      <c r="Z461" s="32" t="n">
        <f aca="false">INDEX('Tabela Passaro'!$V$2:$V$1795,$N461)</f>
        <v>0</v>
      </c>
      <c r="AA461" s="32" t="n">
        <f aca="false">SUM(R461:Z461)</f>
        <v>92.89193</v>
      </c>
      <c r="AB461" s="33" t="n">
        <f aca="false">INDEX(Premissas!$B$5:$B$13,MATCH(A461,Premissas!$A$5:$A$13,0))</f>
        <v>0.07</v>
      </c>
      <c r="AC461" s="32" t="n">
        <f aca="false">AA461/(1-AB461)-AA461</f>
        <v>6.99186569892474</v>
      </c>
      <c r="AD461" s="32" t="n">
        <f aca="false">ROUND(AA461+AC461,2)</f>
        <v>99.88</v>
      </c>
      <c r="AE461" s="32" t="n">
        <f aca="false">AD461-L461</f>
        <v>45.15</v>
      </c>
      <c r="AF461" s="34" t="n">
        <f aca="false">IF(L461=0,0,AE461/L461)</f>
        <v>0.824958889091906</v>
      </c>
      <c r="AG461" s="22" t="str">
        <f aca="false">IF(AD461&lt;L461,"PASSARO","ATUAL")</f>
        <v>ATUAL</v>
      </c>
      <c r="AH461" s="22" t="str">
        <f aca="false">IF(P461&lt;&gt;A461,"Faixa cadastrada como "&amp;P461&amp;" na tabela; preço aplicado pela UF do CEP","")</f>
        <v/>
      </c>
      <c r="AI461" s="26" t="n">
        <v>115.34</v>
      </c>
      <c r="AJ461" s="22" t="str">
        <f aca="false">INDEX('Tabela Passaro'!$X$2:$X$1795,$N461)</f>
        <v>CAPITAL</v>
      </c>
    </row>
    <row r="462" customFormat="false" ht="15" hidden="false" customHeight="false" outlineLevel="0" collapsed="false">
      <c r="A462" s="22" t="s">
        <v>16</v>
      </c>
      <c r="B462" s="22" t="n">
        <v>1</v>
      </c>
      <c r="C462" s="22" t="s">
        <v>75</v>
      </c>
      <c r="D462" s="22" t="s">
        <v>31</v>
      </c>
      <c r="E462" s="22" t="s">
        <v>7326</v>
      </c>
      <c r="F462" s="22" t="n">
        <v>12843991</v>
      </c>
      <c r="G462" s="30" t="n">
        <v>46259</v>
      </c>
      <c r="H462" s="22" t="n">
        <v>628442</v>
      </c>
      <c r="I462" s="22" t="s">
        <v>7741</v>
      </c>
      <c r="J462" s="31" t="n">
        <v>18.7</v>
      </c>
      <c r="K462" s="26" t="n">
        <v>364.98</v>
      </c>
      <c r="L462" s="26" t="n">
        <v>66.46</v>
      </c>
      <c r="M462" s="22" t="s">
        <v>694</v>
      </c>
      <c r="N462" s="22" t="n">
        <f aca="false">MATCH(M462,'Tabela Passaro'!$A$2:$A$1795,0)</f>
        <v>106</v>
      </c>
      <c r="O462" s="22" t="str">
        <f aca="false">INDEX('Tabela Passaro'!$C$2:$C$1795,$N462)</f>
        <v>SALVADOR</v>
      </c>
      <c r="P462" s="22" t="str">
        <f aca="false">INDEX('Tabela Passaro'!$B$2:$B$1795,$N462)</f>
        <v>BA</v>
      </c>
      <c r="Q462" s="22" t="n">
        <f aca="false">INDEX('Tabela Passaro'!$F$2:$F$1795,$N462)</f>
        <v>6</v>
      </c>
      <c r="R462" s="32" t="n">
        <f aca="false">IF(J462&lt;=10,INDEX('Tabela Passaro'!$G$2:$G$1795,$N462),IF(J462&lt;=30,INDEX('Tabela Passaro'!$H$2:$H$1795,$N462),IF(J462&lt;=50,INDEX('Tabela Passaro'!$I$2:$I$1795,$N462),IF(J462&lt;=70,INDEX('Tabela Passaro'!$J$2:$J$1795,$N462),IF(J462&lt;=100,INDEX('Tabela Passaro'!$K$2:$K$1795,$N462),INDEX('Tabela Passaro'!$K$2:$K$1795,$N462)+(J462-100)*INDEX('Tabela Passaro'!$L$2:$L$1795,$N462))))))</f>
        <v>50.4</v>
      </c>
      <c r="S462" s="32" t="n">
        <f aca="false">K462*INDEX('Tabela Passaro'!$M$2:$M$1795,$N462)</f>
        <v>1.8249</v>
      </c>
      <c r="T462" s="32" t="n">
        <f aca="false">K462*INDEX('Tabela Passaro'!$N$2:$N$1795,$N462)</f>
        <v>0.72996</v>
      </c>
      <c r="U462" s="32" t="n">
        <f aca="false">INDEX('Tabela Passaro'!$O$2:$O$1795,$N462)</f>
        <v>5</v>
      </c>
      <c r="V462" s="32" t="n">
        <f aca="false">ROUNDUP(J462/INDEX('Tabela Passaro'!$Q$2:$Q$1795,$N462),0)*INDEX('Tabela Passaro'!$P$2:$P$1795,$N462)</f>
        <v>5</v>
      </c>
      <c r="W462" s="32" t="n">
        <f aca="false">INDEX('Tabela Passaro'!$R$2:$R$1795,$N462)</f>
        <v>30</v>
      </c>
      <c r="X462" s="32" t="n">
        <f aca="false">ROUNDUP(J462/INDEX('Tabela Passaro'!$T$2:$T$1795,$N462),0)*INDEX('Tabela Passaro'!$S$2:$S$1795,$N462)</f>
        <v>0</v>
      </c>
      <c r="Y462" s="32" t="n">
        <f aca="false">INDEX('Tabela Passaro'!$U$2:$U$1795,$N462)</f>
        <v>0</v>
      </c>
      <c r="Z462" s="32" t="n">
        <f aca="false">INDEX('Tabela Passaro'!$V$2:$V$1795,$N462)</f>
        <v>0</v>
      </c>
      <c r="AA462" s="32" t="n">
        <f aca="false">SUM(R462:Z462)</f>
        <v>92.95486</v>
      </c>
      <c r="AB462" s="33" t="n">
        <f aca="false">INDEX(Premissas!$B$5:$B$13,MATCH(A462,Premissas!$A$5:$A$13,0))</f>
        <v>0.07</v>
      </c>
      <c r="AC462" s="32" t="n">
        <f aca="false">AA462/(1-AB462)-AA462</f>
        <v>6.9966023655914</v>
      </c>
      <c r="AD462" s="32" t="n">
        <f aca="false">ROUND(AA462+AC462,2)</f>
        <v>99.95</v>
      </c>
      <c r="AE462" s="32" t="n">
        <f aca="false">AD462-L462</f>
        <v>33.49</v>
      </c>
      <c r="AF462" s="34" t="n">
        <f aca="false">IF(L462=0,0,AE462/L462)</f>
        <v>0.503912127595546</v>
      </c>
      <c r="AG462" s="22" t="str">
        <f aca="false">IF(AD462&lt;L462,"PASSARO","ATUAL")</f>
        <v>ATUAL</v>
      </c>
      <c r="AH462" s="22" t="str">
        <f aca="false">IF(P462&lt;&gt;A462,"Faixa cadastrada como "&amp;P462&amp;" na tabela; preço aplicado pela UF do CEP","")</f>
        <v/>
      </c>
      <c r="AI462" s="26" t="n">
        <v>115.91</v>
      </c>
      <c r="AJ462" s="22" t="str">
        <f aca="false">INDEX('Tabela Passaro'!$X$2:$X$1795,$N462)</f>
        <v>CAPITAL</v>
      </c>
    </row>
    <row r="463" customFormat="false" ht="15" hidden="false" customHeight="false" outlineLevel="0" collapsed="false">
      <c r="A463" s="22" t="s">
        <v>16</v>
      </c>
      <c r="B463" s="22" t="n">
        <v>1</v>
      </c>
      <c r="C463" s="22" t="s">
        <v>75</v>
      </c>
      <c r="D463" s="22" t="s">
        <v>31</v>
      </c>
      <c r="E463" s="22" t="s">
        <v>7326</v>
      </c>
      <c r="F463" s="22" t="n">
        <v>12845063</v>
      </c>
      <c r="G463" s="30" t="n">
        <v>46259</v>
      </c>
      <c r="H463" s="22" t="n">
        <v>628928</v>
      </c>
      <c r="I463" s="22" t="s">
        <v>7504</v>
      </c>
      <c r="J463" s="31" t="n">
        <v>21.75</v>
      </c>
      <c r="K463" s="26" t="n">
        <v>489.98</v>
      </c>
      <c r="L463" s="26" t="n">
        <v>76.03</v>
      </c>
      <c r="M463" s="22" t="s">
        <v>694</v>
      </c>
      <c r="N463" s="22" t="n">
        <f aca="false">MATCH(M463,'Tabela Passaro'!$A$2:$A$1795,0)</f>
        <v>106</v>
      </c>
      <c r="O463" s="22" t="str">
        <f aca="false">INDEX('Tabela Passaro'!$C$2:$C$1795,$N463)</f>
        <v>SALVADOR</v>
      </c>
      <c r="P463" s="22" t="str">
        <f aca="false">INDEX('Tabela Passaro'!$B$2:$B$1795,$N463)</f>
        <v>BA</v>
      </c>
      <c r="Q463" s="22" t="n">
        <f aca="false">INDEX('Tabela Passaro'!$F$2:$F$1795,$N463)</f>
        <v>6</v>
      </c>
      <c r="R463" s="32" t="n">
        <f aca="false">IF(J463&lt;=10,INDEX('Tabela Passaro'!$G$2:$G$1795,$N463),IF(J463&lt;=30,INDEX('Tabela Passaro'!$H$2:$H$1795,$N463),IF(J463&lt;=50,INDEX('Tabela Passaro'!$I$2:$I$1795,$N463),IF(J463&lt;=70,INDEX('Tabela Passaro'!$J$2:$J$1795,$N463),IF(J463&lt;=100,INDEX('Tabela Passaro'!$K$2:$K$1795,$N463),INDEX('Tabela Passaro'!$K$2:$K$1795,$N463)+(J463-100)*INDEX('Tabela Passaro'!$L$2:$L$1795,$N463))))))</f>
        <v>50.4</v>
      </c>
      <c r="S463" s="32" t="n">
        <f aca="false">K463*INDEX('Tabela Passaro'!$M$2:$M$1795,$N463)</f>
        <v>2.4499</v>
      </c>
      <c r="T463" s="32" t="n">
        <f aca="false">K463*INDEX('Tabela Passaro'!$N$2:$N$1795,$N463)</f>
        <v>0.97996</v>
      </c>
      <c r="U463" s="32" t="n">
        <f aca="false">INDEX('Tabela Passaro'!$O$2:$O$1795,$N463)</f>
        <v>5</v>
      </c>
      <c r="V463" s="32" t="n">
        <f aca="false">ROUNDUP(J463/INDEX('Tabela Passaro'!$Q$2:$Q$1795,$N463),0)*INDEX('Tabela Passaro'!$P$2:$P$1795,$N463)</f>
        <v>5</v>
      </c>
      <c r="W463" s="32" t="n">
        <f aca="false">INDEX('Tabela Passaro'!$R$2:$R$1795,$N463)</f>
        <v>30</v>
      </c>
      <c r="X463" s="32" t="n">
        <f aca="false">ROUNDUP(J463/INDEX('Tabela Passaro'!$T$2:$T$1795,$N463),0)*INDEX('Tabela Passaro'!$S$2:$S$1795,$N463)</f>
        <v>0</v>
      </c>
      <c r="Y463" s="32" t="n">
        <f aca="false">INDEX('Tabela Passaro'!$U$2:$U$1795,$N463)</f>
        <v>0</v>
      </c>
      <c r="Z463" s="32" t="n">
        <f aca="false">INDEX('Tabela Passaro'!$V$2:$V$1795,$N463)</f>
        <v>0</v>
      </c>
      <c r="AA463" s="32" t="n">
        <f aca="false">SUM(R463:Z463)</f>
        <v>93.82986</v>
      </c>
      <c r="AB463" s="33" t="n">
        <f aca="false">INDEX(Premissas!$B$5:$B$13,MATCH(A463,Premissas!$A$5:$A$13,0))</f>
        <v>0.07</v>
      </c>
      <c r="AC463" s="32" t="n">
        <f aca="false">AA463/(1-AB463)-AA463</f>
        <v>7.06246258064518</v>
      </c>
      <c r="AD463" s="32" t="n">
        <f aca="false">ROUND(AA463+AC463,2)</f>
        <v>100.89</v>
      </c>
      <c r="AE463" s="32" t="n">
        <f aca="false">AD463-L463</f>
        <v>24.86</v>
      </c>
      <c r="AF463" s="34" t="n">
        <f aca="false">IF(L463=0,0,AE463/L463)</f>
        <v>0.326976193607786</v>
      </c>
      <c r="AG463" s="22" t="str">
        <f aca="false">IF(AD463&lt;L463,"PASSARO","ATUAL")</f>
        <v>ATUAL</v>
      </c>
      <c r="AH463" s="22" t="str">
        <f aca="false">IF(P463&lt;&gt;A463,"Faixa cadastrada como "&amp;P463&amp;" na tabela; preço aplicado pela UF do CEP","")</f>
        <v/>
      </c>
      <c r="AI463" s="26" t="n">
        <v>118.57</v>
      </c>
      <c r="AJ463" s="22" t="str">
        <f aca="false">INDEX('Tabela Passaro'!$X$2:$X$1795,$N463)</f>
        <v>CAPITAL</v>
      </c>
    </row>
    <row r="464" customFormat="false" ht="15" hidden="false" customHeight="false" outlineLevel="0" collapsed="false">
      <c r="A464" s="22" t="s">
        <v>16</v>
      </c>
      <c r="B464" s="22" t="n">
        <v>1</v>
      </c>
      <c r="C464" s="22" t="s">
        <v>75</v>
      </c>
      <c r="D464" s="22" t="s">
        <v>31</v>
      </c>
      <c r="E464" s="22" t="s">
        <v>7326</v>
      </c>
      <c r="F464" s="22" t="n">
        <v>12844465</v>
      </c>
      <c r="G464" s="30" t="n">
        <v>46259</v>
      </c>
      <c r="H464" s="22" t="n">
        <v>628952</v>
      </c>
      <c r="I464" s="22" t="s">
        <v>7742</v>
      </c>
      <c r="J464" s="31" t="n">
        <v>19.8</v>
      </c>
      <c r="K464" s="26" t="n">
        <v>399.98</v>
      </c>
      <c r="L464" s="26" t="n">
        <v>66.91</v>
      </c>
      <c r="M464" s="22" t="s">
        <v>694</v>
      </c>
      <c r="N464" s="22" t="n">
        <f aca="false">MATCH(M464,'Tabela Passaro'!$A$2:$A$1795,0)</f>
        <v>106</v>
      </c>
      <c r="O464" s="22" t="str">
        <f aca="false">INDEX('Tabela Passaro'!$C$2:$C$1795,$N464)</f>
        <v>SALVADOR</v>
      </c>
      <c r="P464" s="22" t="str">
        <f aca="false">INDEX('Tabela Passaro'!$B$2:$B$1795,$N464)</f>
        <v>BA</v>
      </c>
      <c r="Q464" s="22" t="n">
        <f aca="false">INDEX('Tabela Passaro'!$F$2:$F$1795,$N464)</f>
        <v>6</v>
      </c>
      <c r="R464" s="32" t="n">
        <f aca="false">IF(J464&lt;=10,INDEX('Tabela Passaro'!$G$2:$G$1795,$N464),IF(J464&lt;=30,INDEX('Tabela Passaro'!$H$2:$H$1795,$N464),IF(J464&lt;=50,INDEX('Tabela Passaro'!$I$2:$I$1795,$N464),IF(J464&lt;=70,INDEX('Tabela Passaro'!$J$2:$J$1795,$N464),IF(J464&lt;=100,INDEX('Tabela Passaro'!$K$2:$K$1795,$N464),INDEX('Tabela Passaro'!$K$2:$K$1795,$N464)+(J464-100)*INDEX('Tabela Passaro'!$L$2:$L$1795,$N464))))))</f>
        <v>50.4</v>
      </c>
      <c r="S464" s="32" t="n">
        <f aca="false">K464*INDEX('Tabela Passaro'!$M$2:$M$1795,$N464)</f>
        <v>1.9999</v>
      </c>
      <c r="T464" s="32" t="n">
        <f aca="false">K464*INDEX('Tabela Passaro'!$N$2:$N$1795,$N464)</f>
        <v>0.79996</v>
      </c>
      <c r="U464" s="32" t="n">
        <f aca="false">INDEX('Tabela Passaro'!$O$2:$O$1795,$N464)</f>
        <v>5</v>
      </c>
      <c r="V464" s="32" t="n">
        <f aca="false">ROUNDUP(J464/INDEX('Tabela Passaro'!$Q$2:$Q$1795,$N464),0)*INDEX('Tabela Passaro'!$P$2:$P$1795,$N464)</f>
        <v>5</v>
      </c>
      <c r="W464" s="32" t="n">
        <f aca="false">INDEX('Tabela Passaro'!$R$2:$R$1795,$N464)</f>
        <v>30</v>
      </c>
      <c r="X464" s="32" t="n">
        <f aca="false">ROUNDUP(J464/INDEX('Tabela Passaro'!$T$2:$T$1795,$N464),0)*INDEX('Tabela Passaro'!$S$2:$S$1795,$N464)</f>
        <v>0</v>
      </c>
      <c r="Y464" s="32" t="n">
        <f aca="false">INDEX('Tabela Passaro'!$U$2:$U$1795,$N464)</f>
        <v>0</v>
      </c>
      <c r="Z464" s="32" t="n">
        <f aca="false">INDEX('Tabela Passaro'!$V$2:$V$1795,$N464)</f>
        <v>0</v>
      </c>
      <c r="AA464" s="32" t="n">
        <f aca="false">SUM(R464:Z464)</f>
        <v>93.19986</v>
      </c>
      <c r="AB464" s="33" t="n">
        <f aca="false">INDEX(Premissas!$B$5:$B$13,MATCH(A464,Premissas!$A$5:$A$13,0))</f>
        <v>0.07</v>
      </c>
      <c r="AC464" s="32" t="n">
        <f aca="false">AA464/(1-AB464)-AA464</f>
        <v>7.01504322580647</v>
      </c>
      <c r="AD464" s="32" t="n">
        <f aca="false">ROUND(AA464+AC464,2)</f>
        <v>100.21</v>
      </c>
      <c r="AE464" s="32" t="n">
        <f aca="false">AD464-L464</f>
        <v>33.3</v>
      </c>
      <c r="AF464" s="34" t="n">
        <f aca="false">IF(L464=0,0,AE464/L464)</f>
        <v>0.497683455387834</v>
      </c>
      <c r="AG464" s="22" t="str">
        <f aca="false">IF(AD464&lt;L464,"PASSARO","ATUAL")</f>
        <v>ATUAL</v>
      </c>
      <c r="AH464" s="22" t="str">
        <f aca="false">IF(P464&lt;&gt;A464,"Faixa cadastrada como "&amp;P464&amp;" na tabela; preço aplicado pela UF do CEP","")</f>
        <v/>
      </c>
      <c r="AI464" s="26" t="n">
        <v>116.73</v>
      </c>
      <c r="AJ464" s="22" t="str">
        <f aca="false">INDEX('Tabela Passaro'!$X$2:$X$1795,$N464)</f>
        <v>CAPITAL</v>
      </c>
    </row>
    <row r="465" customFormat="false" ht="15" hidden="false" customHeight="false" outlineLevel="0" collapsed="false">
      <c r="A465" s="22" t="s">
        <v>16</v>
      </c>
      <c r="B465" s="22" t="n">
        <v>2</v>
      </c>
      <c r="C465" s="22" t="s">
        <v>77</v>
      </c>
      <c r="D465" s="22" t="s">
        <v>30</v>
      </c>
      <c r="E465" s="22" t="s">
        <v>7328</v>
      </c>
      <c r="F465" s="22" t="n">
        <v>2307446</v>
      </c>
      <c r="G465" s="30" t="n">
        <v>46238</v>
      </c>
      <c r="H465" s="22" t="n">
        <v>131305</v>
      </c>
      <c r="I465" s="22" t="s">
        <v>7743</v>
      </c>
      <c r="J465" s="31" t="n">
        <v>69</v>
      </c>
      <c r="K465" s="26" t="n">
        <v>960.99</v>
      </c>
      <c r="L465" s="26" t="n">
        <v>190.11</v>
      </c>
      <c r="M465" s="22" t="s">
        <v>700</v>
      </c>
      <c r="N465" s="22" t="n">
        <f aca="false">MATCH(M465,'Tabela Passaro'!$A$2:$A$1795,0)</f>
        <v>108</v>
      </c>
      <c r="O465" s="22" t="str">
        <f aca="false">INDEX('Tabela Passaro'!$C$2:$C$1795,$N465)</f>
        <v>FEIRA DE SANTANA</v>
      </c>
      <c r="P465" s="22" t="str">
        <f aca="false">INDEX('Tabela Passaro'!$B$2:$B$1795,$N465)</f>
        <v>BA</v>
      </c>
      <c r="Q465" s="22" t="n">
        <f aca="false">INDEX('Tabela Passaro'!$F$2:$F$1795,$N465)</f>
        <v>5</v>
      </c>
      <c r="R465" s="32" t="n">
        <f aca="false">IF(J465&lt;=10,INDEX('Tabela Passaro'!$G$2:$G$1795,$N465),IF(J465&lt;=30,INDEX('Tabela Passaro'!$H$2:$H$1795,$N465),IF(J465&lt;=50,INDEX('Tabela Passaro'!$I$2:$I$1795,$N465),IF(J465&lt;=70,INDEX('Tabela Passaro'!$J$2:$J$1795,$N465),IF(J465&lt;=100,INDEX('Tabela Passaro'!$K$2:$K$1795,$N465),INDEX('Tabela Passaro'!$K$2:$K$1795,$N465)+(J465-100)*INDEX('Tabela Passaro'!$L$2:$L$1795,$N465))))))</f>
        <v>72.14</v>
      </c>
      <c r="S465" s="32" t="n">
        <f aca="false">K465*INDEX('Tabela Passaro'!$M$2:$M$1795,$N465)</f>
        <v>4.80495</v>
      </c>
      <c r="T465" s="32" t="n">
        <f aca="false">K465*INDEX('Tabela Passaro'!$N$2:$N$1795,$N465)</f>
        <v>1.92198</v>
      </c>
      <c r="U465" s="32" t="n">
        <f aca="false">INDEX('Tabela Passaro'!$O$2:$O$1795,$N465)</f>
        <v>5</v>
      </c>
      <c r="V465" s="32" t="n">
        <f aca="false">ROUNDUP(J465/INDEX('Tabela Passaro'!$Q$2:$Q$1795,$N465),0)*INDEX('Tabela Passaro'!$P$2:$P$1795,$N465)</f>
        <v>5</v>
      </c>
      <c r="W465" s="32" t="n">
        <f aca="false">INDEX('Tabela Passaro'!$R$2:$R$1795,$N465)</f>
        <v>30</v>
      </c>
      <c r="X465" s="32" t="n">
        <f aca="false">ROUNDUP(J465/INDEX('Tabela Passaro'!$T$2:$T$1795,$N465),0)*INDEX('Tabela Passaro'!$S$2:$S$1795,$N465)</f>
        <v>0</v>
      </c>
      <c r="Y465" s="32" t="n">
        <f aca="false">INDEX('Tabela Passaro'!$U$2:$U$1795,$N465)</f>
        <v>0</v>
      </c>
      <c r="Z465" s="32" t="n">
        <f aca="false">INDEX('Tabela Passaro'!$V$2:$V$1795,$N465)</f>
        <v>0</v>
      </c>
      <c r="AA465" s="32" t="n">
        <f aca="false">SUM(R465:Z465)</f>
        <v>118.86693</v>
      </c>
      <c r="AB465" s="33" t="n">
        <f aca="false">INDEX(Premissas!$B$5:$B$13,MATCH(A465,Premissas!$A$5:$A$13,0))</f>
        <v>0.07</v>
      </c>
      <c r="AC465" s="32" t="n">
        <f aca="false">AA465/(1-AB465)-AA465</f>
        <v>8.94697322580646</v>
      </c>
      <c r="AD465" s="32" t="n">
        <f aca="false">ROUND(AA465+AC465,2)</f>
        <v>127.81</v>
      </c>
      <c r="AE465" s="32" t="n">
        <f aca="false">AD465-L465</f>
        <v>-62.3</v>
      </c>
      <c r="AF465" s="34" t="n">
        <f aca="false">IF(L465=0,0,AE465/L465)</f>
        <v>-0.327705012887276</v>
      </c>
      <c r="AG465" s="22" t="str">
        <f aca="false">IF(AD465&lt;L465,"PASSARO","ATUAL")</f>
        <v>PASSARO</v>
      </c>
      <c r="AH465" s="22" t="str">
        <f aca="false">IF(P465&lt;&gt;A465,"Faixa cadastrada como "&amp;P465&amp;" na tabela; preço aplicado pela UF do CEP","")</f>
        <v/>
      </c>
      <c r="AI465" s="26" t="n">
        <v>153.39</v>
      </c>
      <c r="AJ465" s="22" t="str">
        <f aca="false">INDEX('Tabela Passaro'!$X$2:$X$1795,$N465)</f>
        <v>FEIRA DE SANTANA</v>
      </c>
    </row>
    <row r="466" customFormat="false" ht="15" hidden="false" customHeight="false" outlineLevel="0" collapsed="false">
      <c r="A466" s="22" t="s">
        <v>16</v>
      </c>
      <c r="B466" s="22" t="n">
        <v>2</v>
      </c>
      <c r="C466" s="22" t="s">
        <v>77</v>
      </c>
      <c r="D466" s="22" t="s">
        <v>30</v>
      </c>
      <c r="E466" s="22" t="s">
        <v>7328</v>
      </c>
      <c r="F466" s="22" t="n">
        <v>2307488</v>
      </c>
      <c r="G466" s="30" t="n">
        <v>46238</v>
      </c>
      <c r="H466" s="22" t="n">
        <v>131485</v>
      </c>
      <c r="I466" s="22" t="s">
        <v>7744</v>
      </c>
      <c r="J466" s="31" t="n">
        <v>27.6</v>
      </c>
      <c r="K466" s="26" t="n">
        <v>789.98</v>
      </c>
      <c r="L466" s="26" t="n">
        <v>119.13</v>
      </c>
      <c r="M466" s="22" t="s">
        <v>700</v>
      </c>
      <c r="N466" s="22" t="n">
        <f aca="false">MATCH(M466,'Tabela Passaro'!$A$2:$A$1795,0)</f>
        <v>108</v>
      </c>
      <c r="O466" s="22" t="str">
        <f aca="false">INDEX('Tabela Passaro'!$C$2:$C$1795,$N466)</f>
        <v>FEIRA DE SANTANA</v>
      </c>
      <c r="P466" s="22" t="str">
        <f aca="false">INDEX('Tabela Passaro'!$B$2:$B$1795,$N466)</f>
        <v>BA</v>
      </c>
      <c r="Q466" s="22" t="n">
        <f aca="false">INDEX('Tabela Passaro'!$F$2:$F$1795,$N466)</f>
        <v>5</v>
      </c>
      <c r="R466" s="32" t="n">
        <f aca="false">IF(J466&lt;=10,INDEX('Tabela Passaro'!$G$2:$G$1795,$N466),IF(J466&lt;=30,INDEX('Tabela Passaro'!$H$2:$H$1795,$N466),IF(J466&lt;=50,INDEX('Tabela Passaro'!$I$2:$I$1795,$N466),IF(J466&lt;=70,INDEX('Tabela Passaro'!$J$2:$J$1795,$N466),IF(J466&lt;=100,INDEX('Tabela Passaro'!$K$2:$K$1795,$N466),INDEX('Tabela Passaro'!$K$2:$K$1795,$N466)+(J466-100)*INDEX('Tabela Passaro'!$L$2:$L$1795,$N466))))))</f>
        <v>49.1</v>
      </c>
      <c r="S466" s="32" t="n">
        <f aca="false">K466*INDEX('Tabela Passaro'!$M$2:$M$1795,$N466)</f>
        <v>3.9499</v>
      </c>
      <c r="T466" s="32" t="n">
        <f aca="false">K466*INDEX('Tabela Passaro'!$N$2:$N$1795,$N466)</f>
        <v>1.57996</v>
      </c>
      <c r="U466" s="32" t="n">
        <f aca="false">INDEX('Tabela Passaro'!$O$2:$O$1795,$N466)</f>
        <v>5</v>
      </c>
      <c r="V466" s="32" t="n">
        <f aca="false">ROUNDUP(J466/INDEX('Tabela Passaro'!$Q$2:$Q$1795,$N466),0)*INDEX('Tabela Passaro'!$P$2:$P$1795,$N466)</f>
        <v>5</v>
      </c>
      <c r="W466" s="32" t="n">
        <f aca="false">INDEX('Tabela Passaro'!$R$2:$R$1795,$N466)</f>
        <v>30</v>
      </c>
      <c r="X466" s="32" t="n">
        <f aca="false">ROUNDUP(J466/INDEX('Tabela Passaro'!$T$2:$T$1795,$N466),0)*INDEX('Tabela Passaro'!$S$2:$S$1795,$N466)</f>
        <v>0</v>
      </c>
      <c r="Y466" s="32" t="n">
        <f aca="false">INDEX('Tabela Passaro'!$U$2:$U$1795,$N466)</f>
        <v>0</v>
      </c>
      <c r="Z466" s="32" t="n">
        <f aca="false">INDEX('Tabela Passaro'!$V$2:$V$1795,$N466)</f>
        <v>0</v>
      </c>
      <c r="AA466" s="32" t="n">
        <f aca="false">SUM(R466:Z466)</f>
        <v>94.62986</v>
      </c>
      <c r="AB466" s="33" t="n">
        <f aca="false">INDEX(Premissas!$B$5:$B$13,MATCH(A466,Premissas!$A$5:$A$13,0))</f>
        <v>0.07</v>
      </c>
      <c r="AC466" s="32" t="n">
        <f aca="false">AA466/(1-AB466)-AA466</f>
        <v>7.1226776344086</v>
      </c>
      <c r="AD466" s="32" t="n">
        <f aca="false">ROUND(AA466+AC466,2)</f>
        <v>101.75</v>
      </c>
      <c r="AE466" s="32" t="n">
        <f aca="false">AD466-L466</f>
        <v>-17.38</v>
      </c>
      <c r="AF466" s="34" t="n">
        <f aca="false">IF(L466=0,0,AE466/L466)</f>
        <v>-0.145891043397969</v>
      </c>
      <c r="AG466" s="22" t="str">
        <f aca="false">IF(AD466&lt;L466,"PASSARO","ATUAL")</f>
        <v>PASSARO</v>
      </c>
      <c r="AH466" s="22" t="str">
        <f aca="false">IF(P466&lt;&gt;A466,"Faixa cadastrada como "&amp;P466&amp;" na tabela; preço aplicado pela UF do CEP","")</f>
        <v/>
      </c>
      <c r="AI466" s="26" t="n">
        <v>106.84</v>
      </c>
      <c r="AJ466" s="22" t="str">
        <f aca="false">INDEX('Tabela Passaro'!$X$2:$X$1795,$N466)</f>
        <v>FEIRA DE SANTANA</v>
      </c>
    </row>
    <row r="467" customFormat="false" ht="15" hidden="false" customHeight="false" outlineLevel="0" collapsed="false">
      <c r="A467" s="22" t="s">
        <v>16</v>
      </c>
      <c r="B467" s="22" t="n">
        <v>2</v>
      </c>
      <c r="C467" s="22" t="s">
        <v>77</v>
      </c>
      <c r="D467" s="22" t="s">
        <v>30</v>
      </c>
      <c r="E467" s="22" t="s">
        <v>7328</v>
      </c>
      <c r="F467" s="22" t="n">
        <v>2307490</v>
      </c>
      <c r="G467" s="30" t="n">
        <v>46238</v>
      </c>
      <c r="H467" s="22" t="n">
        <v>131504</v>
      </c>
      <c r="I467" s="22" t="s">
        <v>7745</v>
      </c>
      <c r="J467" s="31" t="n">
        <v>48</v>
      </c>
      <c r="K467" s="26" t="n">
        <v>1065.5</v>
      </c>
      <c r="L467" s="26" t="n">
        <v>155.07</v>
      </c>
      <c r="M467" s="22" t="s">
        <v>700</v>
      </c>
      <c r="N467" s="22" t="n">
        <f aca="false">MATCH(M467,'Tabela Passaro'!$A$2:$A$1795,0)</f>
        <v>108</v>
      </c>
      <c r="O467" s="22" t="str">
        <f aca="false">INDEX('Tabela Passaro'!$C$2:$C$1795,$N467)</f>
        <v>FEIRA DE SANTANA</v>
      </c>
      <c r="P467" s="22" t="str">
        <f aca="false">INDEX('Tabela Passaro'!$B$2:$B$1795,$N467)</f>
        <v>BA</v>
      </c>
      <c r="Q467" s="22" t="n">
        <f aca="false">INDEX('Tabela Passaro'!$F$2:$F$1795,$N467)</f>
        <v>5</v>
      </c>
      <c r="R467" s="32" t="n">
        <f aca="false">IF(J467&lt;=10,INDEX('Tabela Passaro'!$G$2:$G$1795,$N467),IF(J467&lt;=30,INDEX('Tabela Passaro'!$H$2:$H$1795,$N467),IF(J467&lt;=50,INDEX('Tabela Passaro'!$I$2:$I$1795,$N467),IF(J467&lt;=70,INDEX('Tabela Passaro'!$J$2:$J$1795,$N467),IF(J467&lt;=100,INDEX('Tabela Passaro'!$K$2:$K$1795,$N467),INDEX('Tabela Passaro'!$K$2:$K$1795,$N467)+(J467-100)*INDEX('Tabela Passaro'!$L$2:$L$1795,$N467))))))</f>
        <v>60.62</v>
      </c>
      <c r="S467" s="32" t="n">
        <f aca="false">K467*INDEX('Tabela Passaro'!$M$2:$M$1795,$N467)</f>
        <v>5.3275</v>
      </c>
      <c r="T467" s="32" t="n">
        <f aca="false">K467*INDEX('Tabela Passaro'!$N$2:$N$1795,$N467)</f>
        <v>2.131</v>
      </c>
      <c r="U467" s="32" t="n">
        <f aca="false">INDEX('Tabela Passaro'!$O$2:$O$1795,$N467)</f>
        <v>5</v>
      </c>
      <c r="V467" s="32" t="n">
        <f aca="false">ROUNDUP(J467/INDEX('Tabela Passaro'!$Q$2:$Q$1795,$N467),0)*INDEX('Tabela Passaro'!$P$2:$P$1795,$N467)</f>
        <v>5</v>
      </c>
      <c r="W467" s="32" t="n">
        <f aca="false">INDEX('Tabela Passaro'!$R$2:$R$1795,$N467)</f>
        <v>30</v>
      </c>
      <c r="X467" s="32" t="n">
        <f aca="false">ROUNDUP(J467/INDEX('Tabela Passaro'!$T$2:$T$1795,$N467),0)*INDEX('Tabela Passaro'!$S$2:$S$1795,$N467)</f>
        <v>0</v>
      </c>
      <c r="Y467" s="32" t="n">
        <f aca="false">INDEX('Tabela Passaro'!$U$2:$U$1795,$N467)</f>
        <v>0</v>
      </c>
      <c r="Z467" s="32" t="n">
        <f aca="false">INDEX('Tabela Passaro'!$V$2:$V$1795,$N467)</f>
        <v>0</v>
      </c>
      <c r="AA467" s="32" t="n">
        <f aca="false">SUM(R467:Z467)</f>
        <v>108.0785</v>
      </c>
      <c r="AB467" s="33" t="n">
        <f aca="false">INDEX(Premissas!$B$5:$B$13,MATCH(A467,Premissas!$A$5:$A$13,0))</f>
        <v>0.07</v>
      </c>
      <c r="AC467" s="32" t="n">
        <f aca="false">AA467/(1-AB467)-AA467</f>
        <v>8.13494086021507</v>
      </c>
      <c r="AD467" s="32" t="n">
        <f aca="false">ROUND(AA467+AC467,2)</f>
        <v>116.21</v>
      </c>
      <c r="AE467" s="32" t="n">
        <f aca="false">AD467-L467</f>
        <v>-38.86</v>
      </c>
      <c r="AF467" s="34" t="n">
        <f aca="false">IF(L467=0,0,AE467/L467)</f>
        <v>-0.250596504804282</v>
      </c>
      <c r="AG467" s="22" t="str">
        <f aca="false">IF(AD467&lt;L467,"PASSARO","ATUAL")</f>
        <v>PASSARO</v>
      </c>
      <c r="AH467" s="22" t="str">
        <f aca="false">IF(P467&lt;&gt;A467,"Faixa cadastrada como "&amp;P467&amp;" na tabela; preço aplicado pela UF do CEP","")</f>
        <v/>
      </c>
      <c r="AI467" s="26" t="n">
        <v>131.71</v>
      </c>
      <c r="AJ467" s="22" t="str">
        <f aca="false">INDEX('Tabela Passaro'!$X$2:$X$1795,$N467)</f>
        <v>FEIRA DE SANTANA</v>
      </c>
    </row>
    <row r="468" customFormat="false" ht="15" hidden="false" customHeight="false" outlineLevel="0" collapsed="false">
      <c r="A468" s="22" t="s">
        <v>16</v>
      </c>
      <c r="B468" s="22" t="n">
        <v>2</v>
      </c>
      <c r="C468" s="22" t="s">
        <v>77</v>
      </c>
      <c r="D468" s="22" t="s">
        <v>30</v>
      </c>
      <c r="E468" s="22" t="s">
        <v>7326</v>
      </c>
      <c r="F468" s="22" t="n">
        <v>522266</v>
      </c>
      <c r="G468" s="30" t="n">
        <v>46238</v>
      </c>
      <c r="H468" s="22" t="n">
        <v>620123</v>
      </c>
      <c r="I468" s="22" t="s">
        <v>7746</v>
      </c>
      <c r="J468" s="31" t="n">
        <v>124.2</v>
      </c>
      <c r="K468" s="26" t="n">
        <v>2122.99</v>
      </c>
      <c r="L468" s="26" t="n">
        <v>342.16</v>
      </c>
      <c r="M468" s="22" t="s">
        <v>700</v>
      </c>
      <c r="N468" s="22" t="n">
        <f aca="false">MATCH(M468,'Tabela Passaro'!$A$2:$A$1795,0)</f>
        <v>108</v>
      </c>
      <c r="O468" s="22" t="str">
        <f aca="false">INDEX('Tabela Passaro'!$C$2:$C$1795,$N468)</f>
        <v>FEIRA DE SANTANA</v>
      </c>
      <c r="P468" s="22" t="str">
        <f aca="false">INDEX('Tabela Passaro'!$B$2:$B$1795,$N468)</f>
        <v>BA</v>
      </c>
      <c r="Q468" s="22" t="n">
        <f aca="false">INDEX('Tabela Passaro'!$F$2:$F$1795,$N468)</f>
        <v>5</v>
      </c>
      <c r="R468" s="32" t="n">
        <f aca="false">IF(J468&lt;=10,INDEX('Tabela Passaro'!$G$2:$G$1795,$N468),IF(J468&lt;=30,INDEX('Tabela Passaro'!$H$2:$H$1795,$N468),IF(J468&lt;=50,INDEX('Tabela Passaro'!$I$2:$I$1795,$N468),IF(J468&lt;=70,INDEX('Tabela Passaro'!$J$2:$J$1795,$N468),IF(J468&lt;=100,INDEX('Tabela Passaro'!$K$2:$K$1795,$N468),INDEX('Tabela Passaro'!$K$2:$K$1795,$N468)+(J468-100)*INDEX('Tabela Passaro'!$L$2:$L$1795,$N468))))))</f>
        <v>111.006</v>
      </c>
      <c r="S468" s="32" t="n">
        <f aca="false">K468*INDEX('Tabela Passaro'!$M$2:$M$1795,$N468)</f>
        <v>10.61495</v>
      </c>
      <c r="T468" s="32" t="n">
        <f aca="false">K468*INDEX('Tabela Passaro'!$N$2:$N$1795,$N468)</f>
        <v>4.24598</v>
      </c>
      <c r="U468" s="32" t="n">
        <f aca="false">INDEX('Tabela Passaro'!$O$2:$O$1795,$N468)</f>
        <v>5</v>
      </c>
      <c r="V468" s="32" t="n">
        <f aca="false">ROUNDUP(J468/INDEX('Tabela Passaro'!$Q$2:$Q$1795,$N468),0)*INDEX('Tabela Passaro'!$P$2:$P$1795,$N468)</f>
        <v>10</v>
      </c>
      <c r="W468" s="32" t="n">
        <f aca="false">INDEX('Tabela Passaro'!$R$2:$R$1795,$N468)</f>
        <v>30</v>
      </c>
      <c r="X468" s="32" t="n">
        <f aca="false">ROUNDUP(J468/INDEX('Tabela Passaro'!$T$2:$T$1795,$N468),0)*INDEX('Tabela Passaro'!$S$2:$S$1795,$N468)</f>
        <v>0</v>
      </c>
      <c r="Y468" s="32" t="n">
        <f aca="false">INDEX('Tabela Passaro'!$U$2:$U$1795,$N468)</f>
        <v>0</v>
      </c>
      <c r="Z468" s="32" t="n">
        <f aca="false">INDEX('Tabela Passaro'!$V$2:$V$1795,$N468)</f>
        <v>0</v>
      </c>
      <c r="AA468" s="32" t="n">
        <f aca="false">SUM(R468:Z468)</f>
        <v>170.86693</v>
      </c>
      <c r="AB468" s="33" t="n">
        <f aca="false">INDEX(Premissas!$B$5:$B$13,MATCH(A468,Premissas!$A$5:$A$13,0))</f>
        <v>0.07</v>
      </c>
      <c r="AC468" s="32" t="n">
        <f aca="false">AA468/(1-AB468)-AA468</f>
        <v>12.8609517204301</v>
      </c>
      <c r="AD468" s="32" t="n">
        <f aca="false">ROUND(AA468+AC468,2)</f>
        <v>183.73</v>
      </c>
      <c r="AE468" s="32" t="n">
        <f aca="false">AD468-L468</f>
        <v>-158.43</v>
      </c>
      <c r="AF468" s="34" t="n">
        <f aca="false">IF(L468=0,0,AE468/L468)</f>
        <v>-0.463028992284312</v>
      </c>
      <c r="AG468" s="22" t="str">
        <f aca="false">IF(AD468&lt;L468,"PASSARO","ATUAL")</f>
        <v>PASSARO</v>
      </c>
      <c r="AH468" s="22" t="str">
        <f aca="false">IF(P468&lt;&gt;A468,"Faixa cadastrada como "&amp;P468&amp;" na tabela; preço aplicado pela UF do CEP","")</f>
        <v/>
      </c>
      <c r="AI468" s="26" t="n">
        <v>242.67</v>
      </c>
      <c r="AJ468" s="22" t="str">
        <f aca="false">INDEX('Tabela Passaro'!$X$2:$X$1795,$N468)</f>
        <v>FEIRA DE SANTANA</v>
      </c>
    </row>
    <row r="469" customFormat="false" ht="15" hidden="false" customHeight="false" outlineLevel="0" collapsed="false">
      <c r="A469" s="22" t="s">
        <v>16</v>
      </c>
      <c r="B469" s="22" t="n">
        <v>2</v>
      </c>
      <c r="C469" s="22" t="s">
        <v>77</v>
      </c>
      <c r="D469" s="22" t="s">
        <v>30</v>
      </c>
      <c r="E469" s="22" t="s">
        <v>20</v>
      </c>
      <c r="F469" s="22" t="n">
        <v>837952</v>
      </c>
      <c r="G469" s="30" t="n">
        <v>46239</v>
      </c>
      <c r="H469" s="22" t="n">
        <v>32398</v>
      </c>
      <c r="I469" s="22" t="s">
        <v>7747</v>
      </c>
      <c r="J469" s="31" t="n">
        <v>20.9</v>
      </c>
      <c r="K469" s="26" t="n">
        <v>518.61</v>
      </c>
      <c r="L469" s="26" t="n">
        <v>114.95</v>
      </c>
      <c r="M469" s="22" t="s">
        <v>700</v>
      </c>
      <c r="N469" s="22" t="n">
        <f aca="false">MATCH(M469,'Tabela Passaro'!$A$2:$A$1795,0)</f>
        <v>108</v>
      </c>
      <c r="O469" s="22" t="str">
        <f aca="false">INDEX('Tabela Passaro'!$C$2:$C$1795,$N469)</f>
        <v>FEIRA DE SANTANA</v>
      </c>
      <c r="P469" s="22" t="str">
        <f aca="false">INDEX('Tabela Passaro'!$B$2:$B$1795,$N469)</f>
        <v>BA</v>
      </c>
      <c r="Q469" s="22" t="n">
        <f aca="false">INDEX('Tabela Passaro'!$F$2:$F$1795,$N469)</f>
        <v>5</v>
      </c>
      <c r="R469" s="32" t="n">
        <f aca="false">IF(J469&lt;=10,INDEX('Tabela Passaro'!$G$2:$G$1795,$N469),IF(J469&lt;=30,INDEX('Tabela Passaro'!$H$2:$H$1795,$N469),IF(J469&lt;=50,INDEX('Tabela Passaro'!$I$2:$I$1795,$N469),IF(J469&lt;=70,INDEX('Tabela Passaro'!$J$2:$J$1795,$N469),IF(J469&lt;=100,INDEX('Tabela Passaro'!$K$2:$K$1795,$N469),INDEX('Tabela Passaro'!$K$2:$K$1795,$N469)+(J469-100)*INDEX('Tabela Passaro'!$L$2:$L$1795,$N469))))))</f>
        <v>49.1</v>
      </c>
      <c r="S469" s="32" t="n">
        <f aca="false">K469*INDEX('Tabela Passaro'!$M$2:$M$1795,$N469)</f>
        <v>2.59305</v>
      </c>
      <c r="T469" s="32" t="n">
        <f aca="false">K469*INDEX('Tabela Passaro'!$N$2:$N$1795,$N469)</f>
        <v>1.03722</v>
      </c>
      <c r="U469" s="32" t="n">
        <f aca="false">INDEX('Tabela Passaro'!$O$2:$O$1795,$N469)</f>
        <v>5</v>
      </c>
      <c r="V469" s="32" t="n">
        <f aca="false">ROUNDUP(J469/INDEX('Tabela Passaro'!$Q$2:$Q$1795,$N469),0)*INDEX('Tabela Passaro'!$P$2:$P$1795,$N469)</f>
        <v>5</v>
      </c>
      <c r="W469" s="32" t="n">
        <f aca="false">INDEX('Tabela Passaro'!$R$2:$R$1795,$N469)</f>
        <v>30</v>
      </c>
      <c r="X469" s="32" t="n">
        <f aca="false">ROUNDUP(J469/INDEX('Tabela Passaro'!$T$2:$T$1795,$N469),0)*INDEX('Tabela Passaro'!$S$2:$S$1795,$N469)</f>
        <v>0</v>
      </c>
      <c r="Y469" s="32" t="n">
        <f aca="false">INDEX('Tabela Passaro'!$U$2:$U$1795,$N469)</f>
        <v>0</v>
      </c>
      <c r="Z469" s="32" t="n">
        <f aca="false">INDEX('Tabela Passaro'!$V$2:$V$1795,$N469)</f>
        <v>0</v>
      </c>
      <c r="AA469" s="32" t="n">
        <f aca="false">SUM(R469:Z469)</f>
        <v>92.73027</v>
      </c>
      <c r="AB469" s="33" t="n">
        <f aca="false">INDEX(Premissas!$B$5:$B$13,MATCH(A469,Premissas!$A$5:$A$13,0))</f>
        <v>0.07</v>
      </c>
      <c r="AC469" s="32" t="n">
        <f aca="false">AA469/(1-AB469)-AA469</f>
        <v>6.9796977419355</v>
      </c>
      <c r="AD469" s="32" t="n">
        <f aca="false">ROUND(AA469+AC469,2)</f>
        <v>99.71</v>
      </c>
      <c r="AE469" s="32" t="n">
        <f aca="false">AD469-L469</f>
        <v>-15.24</v>
      </c>
      <c r="AF469" s="34" t="n">
        <f aca="false">IF(L469=0,0,AE469/L469)</f>
        <v>-0.132579382340148</v>
      </c>
      <c r="AG469" s="22" t="str">
        <f aca="false">IF(AD469&lt;L469,"PASSARO","ATUAL")</f>
        <v>PASSARO</v>
      </c>
      <c r="AH469" s="22" t="str">
        <f aca="false">IF(P469&lt;&gt;A469,"Faixa cadastrada como "&amp;P469&amp;" na tabela; preço aplicado pela UF do CEP","")</f>
        <v/>
      </c>
      <c r="AI469" s="26" t="n">
        <v>100.83</v>
      </c>
      <c r="AJ469" s="22" t="str">
        <f aca="false">INDEX('Tabela Passaro'!$X$2:$X$1795,$N469)</f>
        <v>FEIRA DE SANTANA</v>
      </c>
    </row>
    <row r="470" customFormat="false" ht="15" hidden="false" customHeight="false" outlineLevel="0" collapsed="false">
      <c r="A470" s="22" t="s">
        <v>16</v>
      </c>
      <c r="B470" s="22" t="n">
        <v>2</v>
      </c>
      <c r="C470" s="22" t="s">
        <v>77</v>
      </c>
      <c r="D470" s="22" t="s">
        <v>30</v>
      </c>
      <c r="E470" s="22" t="s">
        <v>7326</v>
      </c>
      <c r="F470" s="22" t="n">
        <v>522628</v>
      </c>
      <c r="G470" s="30" t="n">
        <v>46239</v>
      </c>
      <c r="H470" s="22" t="n">
        <v>620530</v>
      </c>
      <c r="I470" s="22" t="s">
        <v>7748</v>
      </c>
      <c r="J470" s="31" t="n">
        <v>41</v>
      </c>
      <c r="K470" s="26" t="n">
        <v>709.98</v>
      </c>
      <c r="L470" s="26" t="n">
        <v>171.66</v>
      </c>
      <c r="M470" s="22" t="s">
        <v>700</v>
      </c>
      <c r="N470" s="22" t="n">
        <f aca="false">MATCH(M470,'Tabela Passaro'!$A$2:$A$1795,0)</f>
        <v>108</v>
      </c>
      <c r="O470" s="22" t="str">
        <f aca="false">INDEX('Tabela Passaro'!$C$2:$C$1795,$N470)</f>
        <v>FEIRA DE SANTANA</v>
      </c>
      <c r="P470" s="22" t="str">
        <f aca="false">INDEX('Tabela Passaro'!$B$2:$B$1795,$N470)</f>
        <v>BA</v>
      </c>
      <c r="Q470" s="22" t="n">
        <f aca="false">INDEX('Tabela Passaro'!$F$2:$F$1795,$N470)</f>
        <v>5</v>
      </c>
      <c r="R470" s="32" t="n">
        <f aca="false">IF(J470&lt;=10,INDEX('Tabela Passaro'!$G$2:$G$1795,$N470),IF(J470&lt;=30,INDEX('Tabela Passaro'!$H$2:$H$1795,$N470),IF(J470&lt;=50,INDEX('Tabela Passaro'!$I$2:$I$1795,$N470),IF(J470&lt;=70,INDEX('Tabela Passaro'!$J$2:$J$1795,$N470),IF(J470&lt;=100,INDEX('Tabela Passaro'!$K$2:$K$1795,$N470),INDEX('Tabela Passaro'!$K$2:$K$1795,$N470)+(J470-100)*INDEX('Tabela Passaro'!$L$2:$L$1795,$N470))))))</f>
        <v>60.62</v>
      </c>
      <c r="S470" s="32" t="n">
        <f aca="false">K470*INDEX('Tabela Passaro'!$M$2:$M$1795,$N470)</f>
        <v>3.5499</v>
      </c>
      <c r="T470" s="32" t="n">
        <f aca="false">K470*INDEX('Tabela Passaro'!$N$2:$N$1795,$N470)</f>
        <v>1.41996</v>
      </c>
      <c r="U470" s="32" t="n">
        <f aca="false">INDEX('Tabela Passaro'!$O$2:$O$1795,$N470)</f>
        <v>5</v>
      </c>
      <c r="V470" s="32" t="n">
        <f aca="false">ROUNDUP(J470/INDEX('Tabela Passaro'!$Q$2:$Q$1795,$N470),0)*INDEX('Tabela Passaro'!$P$2:$P$1795,$N470)</f>
        <v>5</v>
      </c>
      <c r="W470" s="32" t="n">
        <f aca="false">INDEX('Tabela Passaro'!$R$2:$R$1795,$N470)</f>
        <v>30</v>
      </c>
      <c r="X470" s="32" t="n">
        <f aca="false">ROUNDUP(J470/INDEX('Tabela Passaro'!$T$2:$T$1795,$N470),0)*INDEX('Tabela Passaro'!$S$2:$S$1795,$N470)</f>
        <v>0</v>
      </c>
      <c r="Y470" s="32" t="n">
        <f aca="false">INDEX('Tabela Passaro'!$U$2:$U$1795,$N470)</f>
        <v>0</v>
      </c>
      <c r="Z470" s="32" t="n">
        <f aca="false">INDEX('Tabela Passaro'!$V$2:$V$1795,$N470)</f>
        <v>0</v>
      </c>
      <c r="AA470" s="32" t="n">
        <f aca="false">SUM(R470:Z470)</f>
        <v>105.58986</v>
      </c>
      <c r="AB470" s="33" t="n">
        <f aca="false">INDEX(Premissas!$B$5:$B$13,MATCH(A470,Premissas!$A$5:$A$13,0))</f>
        <v>0.07</v>
      </c>
      <c r="AC470" s="32" t="n">
        <f aca="false">AA470/(1-AB470)-AA470</f>
        <v>7.94762387096775</v>
      </c>
      <c r="AD470" s="32" t="n">
        <f aca="false">ROUND(AA470+AC470,2)</f>
        <v>113.54</v>
      </c>
      <c r="AE470" s="32" t="n">
        <f aca="false">AD470-L470</f>
        <v>-58.12</v>
      </c>
      <c r="AF470" s="34" t="n">
        <f aca="false">IF(L470=0,0,AE470/L470)</f>
        <v>-0.338576255388559</v>
      </c>
      <c r="AG470" s="22" t="str">
        <f aca="false">IF(AD470&lt;L470,"PASSARO","ATUAL")</f>
        <v>PASSARO</v>
      </c>
      <c r="AH470" s="22" t="str">
        <f aca="false">IF(P470&lt;&gt;A470,"Faixa cadastrada como "&amp;P470&amp;" na tabela; preço aplicado pela UF do CEP","")</f>
        <v/>
      </c>
      <c r="AI470" s="26" t="n">
        <v>124.88</v>
      </c>
      <c r="AJ470" s="22" t="str">
        <f aca="false">INDEX('Tabela Passaro'!$X$2:$X$1795,$N470)</f>
        <v>FEIRA DE SANTANA</v>
      </c>
    </row>
    <row r="471" customFormat="false" ht="15" hidden="false" customHeight="false" outlineLevel="0" collapsed="false">
      <c r="A471" s="22" t="s">
        <v>16</v>
      </c>
      <c r="B471" s="22" t="n">
        <v>2</v>
      </c>
      <c r="C471" s="22" t="s">
        <v>77</v>
      </c>
      <c r="D471" s="22" t="s">
        <v>30</v>
      </c>
      <c r="E471" s="22" t="s">
        <v>7326</v>
      </c>
      <c r="F471" s="22" t="n">
        <v>522630</v>
      </c>
      <c r="G471" s="30" t="n">
        <v>46239</v>
      </c>
      <c r="H471" s="22" t="n">
        <v>620532</v>
      </c>
      <c r="I471" s="22" t="s">
        <v>7749</v>
      </c>
      <c r="J471" s="31" t="n">
        <v>36.6</v>
      </c>
      <c r="K471" s="26" t="n">
        <v>916.24</v>
      </c>
      <c r="L471" s="26" t="n">
        <v>173.42</v>
      </c>
      <c r="M471" s="22" t="s">
        <v>700</v>
      </c>
      <c r="N471" s="22" t="n">
        <f aca="false">MATCH(M471,'Tabela Passaro'!$A$2:$A$1795,0)</f>
        <v>108</v>
      </c>
      <c r="O471" s="22" t="str">
        <f aca="false">INDEX('Tabela Passaro'!$C$2:$C$1795,$N471)</f>
        <v>FEIRA DE SANTANA</v>
      </c>
      <c r="P471" s="22" t="str">
        <f aca="false">INDEX('Tabela Passaro'!$B$2:$B$1795,$N471)</f>
        <v>BA</v>
      </c>
      <c r="Q471" s="22" t="n">
        <f aca="false">INDEX('Tabela Passaro'!$F$2:$F$1795,$N471)</f>
        <v>5</v>
      </c>
      <c r="R471" s="32" t="n">
        <f aca="false">IF(J471&lt;=10,INDEX('Tabela Passaro'!$G$2:$G$1795,$N471),IF(J471&lt;=30,INDEX('Tabela Passaro'!$H$2:$H$1795,$N471),IF(J471&lt;=50,INDEX('Tabela Passaro'!$I$2:$I$1795,$N471),IF(J471&lt;=70,INDEX('Tabela Passaro'!$J$2:$J$1795,$N471),IF(J471&lt;=100,INDEX('Tabela Passaro'!$K$2:$K$1795,$N471),INDEX('Tabela Passaro'!$K$2:$K$1795,$N471)+(J471-100)*INDEX('Tabela Passaro'!$L$2:$L$1795,$N471))))))</f>
        <v>60.62</v>
      </c>
      <c r="S471" s="32" t="n">
        <f aca="false">K471*INDEX('Tabela Passaro'!$M$2:$M$1795,$N471)</f>
        <v>4.5812</v>
      </c>
      <c r="T471" s="32" t="n">
        <f aca="false">K471*INDEX('Tabela Passaro'!$N$2:$N$1795,$N471)</f>
        <v>1.83248</v>
      </c>
      <c r="U471" s="32" t="n">
        <f aca="false">INDEX('Tabela Passaro'!$O$2:$O$1795,$N471)</f>
        <v>5</v>
      </c>
      <c r="V471" s="32" t="n">
        <f aca="false">ROUNDUP(J471/INDEX('Tabela Passaro'!$Q$2:$Q$1795,$N471),0)*INDEX('Tabela Passaro'!$P$2:$P$1795,$N471)</f>
        <v>5</v>
      </c>
      <c r="W471" s="32" t="n">
        <f aca="false">INDEX('Tabela Passaro'!$R$2:$R$1795,$N471)</f>
        <v>30</v>
      </c>
      <c r="X471" s="32" t="n">
        <f aca="false">ROUNDUP(J471/INDEX('Tabela Passaro'!$T$2:$T$1795,$N471),0)*INDEX('Tabela Passaro'!$S$2:$S$1795,$N471)</f>
        <v>0</v>
      </c>
      <c r="Y471" s="32" t="n">
        <f aca="false">INDEX('Tabela Passaro'!$U$2:$U$1795,$N471)</f>
        <v>0</v>
      </c>
      <c r="Z471" s="32" t="n">
        <f aca="false">INDEX('Tabela Passaro'!$V$2:$V$1795,$N471)</f>
        <v>0</v>
      </c>
      <c r="AA471" s="32" t="n">
        <f aca="false">SUM(R471:Z471)</f>
        <v>107.03368</v>
      </c>
      <c r="AB471" s="33" t="n">
        <f aca="false">INDEX(Premissas!$B$5:$B$13,MATCH(A471,Premissas!$A$5:$A$13,0))</f>
        <v>0.07</v>
      </c>
      <c r="AC471" s="32" t="n">
        <f aca="false">AA471/(1-AB471)-AA471</f>
        <v>8.05629849462366</v>
      </c>
      <c r="AD471" s="32" t="n">
        <f aca="false">ROUND(AA471+AC471,2)</f>
        <v>115.09</v>
      </c>
      <c r="AE471" s="32" t="n">
        <f aca="false">AD471-L471</f>
        <v>-58.33</v>
      </c>
      <c r="AF471" s="34" t="n">
        <f aca="false">IF(L471=0,0,AE471/L471)</f>
        <v>-0.33635105524161</v>
      </c>
      <c r="AG471" s="22" t="str">
        <f aca="false">IF(AD471&lt;L471,"PASSARO","ATUAL")</f>
        <v>PASSARO</v>
      </c>
      <c r="AH471" s="22" t="str">
        <f aca="false">IF(P471&lt;&gt;A471,"Faixa cadastrada como "&amp;P471&amp;" na tabela; preço aplicado pela UF do CEP","")</f>
        <v/>
      </c>
      <c r="AI471" s="26" t="n">
        <v>124.94</v>
      </c>
      <c r="AJ471" s="22" t="str">
        <f aca="false">INDEX('Tabela Passaro'!$X$2:$X$1795,$N471)</f>
        <v>FEIRA DE SANTANA</v>
      </c>
    </row>
    <row r="472" customFormat="false" ht="15" hidden="false" customHeight="false" outlineLevel="0" collapsed="false">
      <c r="A472" s="22" t="s">
        <v>16</v>
      </c>
      <c r="B472" s="22" t="n">
        <v>2</v>
      </c>
      <c r="C472" s="22" t="s">
        <v>77</v>
      </c>
      <c r="D472" s="22" t="s">
        <v>30</v>
      </c>
      <c r="E472" s="22" t="s">
        <v>7326</v>
      </c>
      <c r="F472" s="22" t="n">
        <v>522859</v>
      </c>
      <c r="G472" s="30" t="n">
        <v>46240</v>
      </c>
      <c r="H472" s="22" t="n">
        <v>620949</v>
      </c>
      <c r="I472" s="22" t="s">
        <v>7750</v>
      </c>
      <c r="J472" s="31" t="n">
        <v>101.2</v>
      </c>
      <c r="K472" s="26" t="n">
        <v>1999.97</v>
      </c>
      <c r="L472" s="26" t="n">
        <v>307.72</v>
      </c>
      <c r="M472" s="22" t="s">
        <v>700</v>
      </c>
      <c r="N472" s="22" t="n">
        <f aca="false">MATCH(M472,'Tabela Passaro'!$A$2:$A$1795,0)</f>
        <v>108</v>
      </c>
      <c r="O472" s="22" t="str">
        <f aca="false">INDEX('Tabela Passaro'!$C$2:$C$1795,$N472)</f>
        <v>FEIRA DE SANTANA</v>
      </c>
      <c r="P472" s="22" t="str">
        <f aca="false">INDEX('Tabela Passaro'!$B$2:$B$1795,$N472)</f>
        <v>BA</v>
      </c>
      <c r="Q472" s="22" t="n">
        <f aca="false">INDEX('Tabela Passaro'!$F$2:$F$1795,$N472)</f>
        <v>5</v>
      </c>
      <c r="R472" s="32" t="n">
        <f aca="false">IF(J472&lt;=10,INDEX('Tabela Passaro'!$G$2:$G$1795,$N472),IF(J472&lt;=30,INDEX('Tabela Passaro'!$H$2:$H$1795,$N472),IF(J472&lt;=50,INDEX('Tabela Passaro'!$I$2:$I$1795,$N472),IF(J472&lt;=70,INDEX('Tabela Passaro'!$J$2:$J$1795,$N472),IF(J472&lt;=100,INDEX('Tabela Passaro'!$K$2:$K$1795,$N472),INDEX('Tabela Passaro'!$K$2:$K$1795,$N472)+(J472-100)*INDEX('Tabela Passaro'!$L$2:$L$1795,$N472))))))</f>
        <v>85.016</v>
      </c>
      <c r="S472" s="32" t="n">
        <f aca="false">K472*INDEX('Tabela Passaro'!$M$2:$M$1795,$N472)</f>
        <v>9.99985</v>
      </c>
      <c r="T472" s="32" t="n">
        <f aca="false">K472*INDEX('Tabela Passaro'!$N$2:$N$1795,$N472)</f>
        <v>3.99994</v>
      </c>
      <c r="U472" s="32" t="n">
        <f aca="false">INDEX('Tabela Passaro'!$O$2:$O$1795,$N472)</f>
        <v>5</v>
      </c>
      <c r="V472" s="32" t="n">
        <f aca="false">ROUNDUP(J472/INDEX('Tabela Passaro'!$Q$2:$Q$1795,$N472),0)*INDEX('Tabela Passaro'!$P$2:$P$1795,$N472)</f>
        <v>10</v>
      </c>
      <c r="W472" s="32" t="n">
        <f aca="false">INDEX('Tabela Passaro'!$R$2:$R$1795,$N472)</f>
        <v>30</v>
      </c>
      <c r="X472" s="32" t="n">
        <f aca="false">ROUNDUP(J472/INDEX('Tabela Passaro'!$T$2:$T$1795,$N472),0)*INDEX('Tabela Passaro'!$S$2:$S$1795,$N472)</f>
        <v>0</v>
      </c>
      <c r="Y472" s="32" t="n">
        <f aca="false">INDEX('Tabela Passaro'!$U$2:$U$1795,$N472)</f>
        <v>0</v>
      </c>
      <c r="Z472" s="32" t="n">
        <f aca="false">INDEX('Tabela Passaro'!$V$2:$V$1795,$N472)</f>
        <v>0</v>
      </c>
      <c r="AA472" s="32" t="n">
        <f aca="false">SUM(R472:Z472)</f>
        <v>144.01579</v>
      </c>
      <c r="AB472" s="33" t="n">
        <f aca="false">INDEX(Premissas!$B$5:$B$13,MATCH(A472,Premissas!$A$5:$A$13,0))</f>
        <v>0.07</v>
      </c>
      <c r="AC472" s="32" t="n">
        <f aca="false">AA472/(1-AB472)-AA472</f>
        <v>10.839898172043</v>
      </c>
      <c r="AD472" s="32" t="n">
        <f aca="false">ROUND(AA472+AC472,2)</f>
        <v>154.86</v>
      </c>
      <c r="AE472" s="32" t="n">
        <f aca="false">AD472-L472</f>
        <v>-152.86</v>
      </c>
      <c r="AF472" s="34" t="n">
        <f aca="false">IF(L472=0,0,AE472/L472)</f>
        <v>-0.496750292473677</v>
      </c>
      <c r="AG472" s="22" t="str">
        <f aca="false">IF(AD472&lt;L472,"PASSARO","ATUAL")</f>
        <v>PASSARO</v>
      </c>
      <c r="AH472" s="22" t="str">
        <f aca="false">IF(P472&lt;&gt;A472,"Faixa cadastrada como "&amp;P472&amp;" na tabela; preço aplicado pela UF do CEP","")</f>
        <v/>
      </c>
      <c r="AI472" s="26" t="n">
        <v>198.94</v>
      </c>
      <c r="AJ472" s="22" t="str">
        <f aca="false">INDEX('Tabela Passaro'!$X$2:$X$1795,$N472)</f>
        <v>FEIRA DE SANTANA</v>
      </c>
    </row>
    <row r="473" customFormat="false" ht="15" hidden="false" customHeight="false" outlineLevel="0" collapsed="false">
      <c r="A473" s="22" t="s">
        <v>16</v>
      </c>
      <c r="B473" s="22" t="n">
        <v>2</v>
      </c>
      <c r="C473" s="22" t="s">
        <v>77</v>
      </c>
      <c r="D473" s="22" t="s">
        <v>30</v>
      </c>
      <c r="E473" s="22" t="s">
        <v>20</v>
      </c>
      <c r="F473" s="22" t="n">
        <v>838395</v>
      </c>
      <c r="G473" s="30" t="n">
        <v>46244</v>
      </c>
      <c r="H473" s="22" t="n">
        <v>32444</v>
      </c>
      <c r="I473" s="22" t="s">
        <v>7751</v>
      </c>
      <c r="J473" s="31" t="n">
        <v>27.4</v>
      </c>
      <c r="K473" s="26" t="n">
        <v>521.97</v>
      </c>
      <c r="L473" s="26" t="n">
        <v>114.99</v>
      </c>
      <c r="M473" s="22" t="s">
        <v>700</v>
      </c>
      <c r="N473" s="22" t="n">
        <f aca="false">MATCH(M473,'Tabela Passaro'!$A$2:$A$1795,0)</f>
        <v>108</v>
      </c>
      <c r="O473" s="22" t="str">
        <f aca="false">INDEX('Tabela Passaro'!$C$2:$C$1795,$N473)</f>
        <v>FEIRA DE SANTANA</v>
      </c>
      <c r="P473" s="22" t="str">
        <f aca="false">INDEX('Tabela Passaro'!$B$2:$B$1795,$N473)</f>
        <v>BA</v>
      </c>
      <c r="Q473" s="22" t="n">
        <f aca="false">INDEX('Tabela Passaro'!$F$2:$F$1795,$N473)</f>
        <v>5</v>
      </c>
      <c r="R473" s="32" t="n">
        <f aca="false">IF(J473&lt;=10,INDEX('Tabela Passaro'!$G$2:$G$1795,$N473),IF(J473&lt;=30,INDEX('Tabela Passaro'!$H$2:$H$1795,$N473),IF(J473&lt;=50,INDEX('Tabela Passaro'!$I$2:$I$1795,$N473),IF(J473&lt;=70,INDEX('Tabela Passaro'!$J$2:$J$1795,$N473),IF(J473&lt;=100,INDEX('Tabela Passaro'!$K$2:$K$1795,$N473),INDEX('Tabela Passaro'!$K$2:$K$1795,$N473)+(J473-100)*INDEX('Tabela Passaro'!$L$2:$L$1795,$N473))))))</f>
        <v>49.1</v>
      </c>
      <c r="S473" s="32" t="n">
        <f aca="false">K473*INDEX('Tabela Passaro'!$M$2:$M$1795,$N473)</f>
        <v>2.60985</v>
      </c>
      <c r="T473" s="32" t="n">
        <f aca="false">K473*INDEX('Tabela Passaro'!$N$2:$N$1795,$N473)</f>
        <v>1.04394</v>
      </c>
      <c r="U473" s="32" t="n">
        <f aca="false">INDEX('Tabela Passaro'!$O$2:$O$1795,$N473)</f>
        <v>5</v>
      </c>
      <c r="V473" s="32" t="n">
        <f aca="false">ROUNDUP(J473/INDEX('Tabela Passaro'!$Q$2:$Q$1795,$N473),0)*INDEX('Tabela Passaro'!$P$2:$P$1795,$N473)</f>
        <v>5</v>
      </c>
      <c r="W473" s="32" t="n">
        <f aca="false">INDEX('Tabela Passaro'!$R$2:$R$1795,$N473)</f>
        <v>30</v>
      </c>
      <c r="X473" s="32" t="n">
        <f aca="false">ROUNDUP(J473/INDEX('Tabela Passaro'!$T$2:$T$1795,$N473),0)*INDEX('Tabela Passaro'!$S$2:$S$1795,$N473)</f>
        <v>0</v>
      </c>
      <c r="Y473" s="32" t="n">
        <f aca="false">INDEX('Tabela Passaro'!$U$2:$U$1795,$N473)</f>
        <v>0</v>
      </c>
      <c r="Z473" s="32" t="n">
        <f aca="false">INDEX('Tabela Passaro'!$V$2:$V$1795,$N473)</f>
        <v>0</v>
      </c>
      <c r="AA473" s="32" t="n">
        <f aca="false">SUM(R473:Z473)</f>
        <v>92.75379</v>
      </c>
      <c r="AB473" s="33" t="n">
        <f aca="false">INDEX(Premissas!$B$5:$B$13,MATCH(A473,Premissas!$A$5:$A$13,0))</f>
        <v>0.07</v>
      </c>
      <c r="AC473" s="32" t="n">
        <f aca="false">AA473/(1-AB473)-AA473</f>
        <v>6.98146806451614</v>
      </c>
      <c r="AD473" s="32" t="n">
        <f aca="false">ROUND(AA473+AC473,2)</f>
        <v>99.74</v>
      </c>
      <c r="AE473" s="32" t="n">
        <f aca="false">AD473-L473</f>
        <v>-15.25</v>
      </c>
      <c r="AF473" s="34" t="n">
        <f aca="false">IF(L473=0,0,AE473/L473)</f>
        <v>-0.1326202278459</v>
      </c>
      <c r="AG473" s="22" t="str">
        <f aca="false">IF(AD473&lt;L473,"PASSARO","ATUAL")</f>
        <v>PASSARO</v>
      </c>
      <c r="AH473" s="22" t="str">
        <f aca="false">IF(P473&lt;&gt;A473,"Faixa cadastrada como "&amp;P473&amp;" na tabela; preço aplicado pela UF do CEP","")</f>
        <v/>
      </c>
      <c r="AI473" s="26" t="n">
        <v>104.24</v>
      </c>
      <c r="AJ473" s="22" t="str">
        <f aca="false">INDEX('Tabela Passaro'!$X$2:$X$1795,$N473)</f>
        <v>FEIRA DE SANTANA</v>
      </c>
    </row>
    <row r="474" customFormat="false" ht="15" hidden="false" customHeight="false" outlineLevel="0" collapsed="false">
      <c r="A474" s="22" t="s">
        <v>16</v>
      </c>
      <c r="B474" s="22" t="n">
        <v>2</v>
      </c>
      <c r="C474" s="22" t="s">
        <v>77</v>
      </c>
      <c r="D474" s="22" t="s">
        <v>30</v>
      </c>
      <c r="E474" s="22" t="s">
        <v>20</v>
      </c>
      <c r="F474" s="22" t="n">
        <v>838417</v>
      </c>
      <c r="G474" s="30" t="n">
        <v>46244</v>
      </c>
      <c r="H474" s="22" t="n">
        <v>32469</v>
      </c>
      <c r="I474" s="22" t="s">
        <v>7752</v>
      </c>
      <c r="J474" s="31" t="n">
        <v>15</v>
      </c>
      <c r="K474" s="26" t="n">
        <v>357.48</v>
      </c>
      <c r="L474" s="26" t="n">
        <v>79.94</v>
      </c>
      <c r="M474" s="22" t="s">
        <v>700</v>
      </c>
      <c r="N474" s="22" t="n">
        <f aca="false">MATCH(M474,'Tabela Passaro'!$A$2:$A$1795,0)</f>
        <v>108</v>
      </c>
      <c r="O474" s="22" t="str">
        <f aca="false">INDEX('Tabela Passaro'!$C$2:$C$1795,$N474)</f>
        <v>FEIRA DE SANTANA</v>
      </c>
      <c r="P474" s="22" t="str">
        <f aca="false">INDEX('Tabela Passaro'!$B$2:$B$1795,$N474)</f>
        <v>BA</v>
      </c>
      <c r="Q474" s="22" t="n">
        <f aca="false">INDEX('Tabela Passaro'!$F$2:$F$1795,$N474)</f>
        <v>5</v>
      </c>
      <c r="R474" s="32" t="n">
        <f aca="false">IF(J474&lt;=10,INDEX('Tabela Passaro'!$G$2:$G$1795,$N474),IF(J474&lt;=30,INDEX('Tabela Passaro'!$H$2:$H$1795,$N474),IF(J474&lt;=50,INDEX('Tabela Passaro'!$I$2:$I$1795,$N474),IF(J474&lt;=70,INDEX('Tabela Passaro'!$J$2:$J$1795,$N474),IF(J474&lt;=100,INDEX('Tabela Passaro'!$K$2:$K$1795,$N474),INDEX('Tabela Passaro'!$K$2:$K$1795,$N474)+(J474-100)*INDEX('Tabela Passaro'!$L$2:$L$1795,$N474))))))</f>
        <v>49.1</v>
      </c>
      <c r="S474" s="32" t="n">
        <f aca="false">K474*INDEX('Tabela Passaro'!$M$2:$M$1795,$N474)</f>
        <v>1.7874</v>
      </c>
      <c r="T474" s="32" t="n">
        <f aca="false">K474*INDEX('Tabela Passaro'!$N$2:$N$1795,$N474)</f>
        <v>0.71496</v>
      </c>
      <c r="U474" s="32" t="n">
        <f aca="false">INDEX('Tabela Passaro'!$O$2:$O$1795,$N474)</f>
        <v>5</v>
      </c>
      <c r="V474" s="32" t="n">
        <f aca="false">ROUNDUP(J474/INDEX('Tabela Passaro'!$Q$2:$Q$1795,$N474),0)*INDEX('Tabela Passaro'!$P$2:$P$1795,$N474)</f>
        <v>5</v>
      </c>
      <c r="W474" s="32" t="n">
        <f aca="false">INDEX('Tabela Passaro'!$R$2:$R$1795,$N474)</f>
        <v>30</v>
      </c>
      <c r="X474" s="32" t="n">
        <f aca="false">ROUNDUP(J474/INDEX('Tabela Passaro'!$T$2:$T$1795,$N474),0)*INDEX('Tabela Passaro'!$S$2:$S$1795,$N474)</f>
        <v>0</v>
      </c>
      <c r="Y474" s="32" t="n">
        <f aca="false">INDEX('Tabela Passaro'!$U$2:$U$1795,$N474)</f>
        <v>0</v>
      </c>
      <c r="Z474" s="32" t="n">
        <f aca="false">INDEX('Tabela Passaro'!$V$2:$V$1795,$N474)</f>
        <v>0</v>
      </c>
      <c r="AA474" s="32" t="n">
        <f aca="false">SUM(R474:Z474)</f>
        <v>91.60236</v>
      </c>
      <c r="AB474" s="33" t="n">
        <f aca="false">INDEX(Premissas!$B$5:$B$13,MATCH(A474,Premissas!$A$5:$A$13,0))</f>
        <v>0.07</v>
      </c>
      <c r="AC474" s="32" t="n">
        <f aca="false">AA474/(1-AB474)-AA474</f>
        <v>6.89480129032259</v>
      </c>
      <c r="AD474" s="32" t="n">
        <f aca="false">ROUND(AA474+AC474,2)</f>
        <v>98.5</v>
      </c>
      <c r="AE474" s="32" t="n">
        <f aca="false">AD474-L474</f>
        <v>18.56</v>
      </c>
      <c r="AF474" s="34" t="n">
        <f aca="false">IF(L474=0,0,AE474/L474)</f>
        <v>0.232174130597949</v>
      </c>
      <c r="AG474" s="22" t="str">
        <f aca="false">IF(AD474&lt;L474,"PASSARO","ATUAL")</f>
        <v>ATUAL</v>
      </c>
      <c r="AH474" s="22" t="str">
        <f aca="false">IF(P474&lt;&gt;A474,"Faixa cadastrada como "&amp;P474&amp;" na tabela; preço aplicado pela UF do CEP","")</f>
        <v/>
      </c>
      <c r="AI474" s="26" t="n">
        <v>96.36</v>
      </c>
      <c r="AJ474" s="22" t="str">
        <f aca="false">INDEX('Tabela Passaro'!$X$2:$X$1795,$N474)</f>
        <v>FEIRA DE SANTANA</v>
      </c>
    </row>
    <row r="475" customFormat="false" ht="15" hidden="false" customHeight="false" outlineLevel="0" collapsed="false">
      <c r="A475" s="22" t="s">
        <v>16</v>
      </c>
      <c r="B475" s="22" t="n">
        <v>2</v>
      </c>
      <c r="C475" s="22" t="s">
        <v>77</v>
      </c>
      <c r="D475" s="22" t="s">
        <v>30</v>
      </c>
      <c r="E475" s="22" t="s">
        <v>20</v>
      </c>
      <c r="F475" s="22" t="n">
        <v>838497</v>
      </c>
      <c r="G475" s="30" t="n">
        <v>46245</v>
      </c>
      <c r="H475" s="22" t="n">
        <v>32485</v>
      </c>
      <c r="I475" s="22" t="s">
        <v>7753</v>
      </c>
      <c r="J475" s="31" t="n">
        <v>26.9</v>
      </c>
      <c r="K475" s="26" t="n">
        <v>542.99</v>
      </c>
      <c r="L475" s="26" t="n">
        <v>115.17</v>
      </c>
      <c r="M475" s="22" t="s">
        <v>700</v>
      </c>
      <c r="N475" s="22" t="n">
        <f aca="false">MATCH(M475,'Tabela Passaro'!$A$2:$A$1795,0)</f>
        <v>108</v>
      </c>
      <c r="O475" s="22" t="str">
        <f aca="false">INDEX('Tabela Passaro'!$C$2:$C$1795,$N475)</f>
        <v>FEIRA DE SANTANA</v>
      </c>
      <c r="P475" s="22" t="str">
        <f aca="false">INDEX('Tabela Passaro'!$B$2:$B$1795,$N475)</f>
        <v>BA</v>
      </c>
      <c r="Q475" s="22" t="n">
        <f aca="false">INDEX('Tabela Passaro'!$F$2:$F$1795,$N475)</f>
        <v>5</v>
      </c>
      <c r="R475" s="32" t="n">
        <f aca="false">IF(J475&lt;=10,INDEX('Tabela Passaro'!$G$2:$G$1795,$N475),IF(J475&lt;=30,INDEX('Tabela Passaro'!$H$2:$H$1795,$N475),IF(J475&lt;=50,INDEX('Tabela Passaro'!$I$2:$I$1795,$N475),IF(J475&lt;=70,INDEX('Tabela Passaro'!$J$2:$J$1795,$N475),IF(J475&lt;=100,INDEX('Tabela Passaro'!$K$2:$K$1795,$N475),INDEX('Tabela Passaro'!$K$2:$K$1795,$N475)+(J475-100)*INDEX('Tabela Passaro'!$L$2:$L$1795,$N475))))))</f>
        <v>49.1</v>
      </c>
      <c r="S475" s="32" t="n">
        <f aca="false">K475*INDEX('Tabela Passaro'!$M$2:$M$1795,$N475)</f>
        <v>2.71495</v>
      </c>
      <c r="T475" s="32" t="n">
        <f aca="false">K475*INDEX('Tabela Passaro'!$N$2:$N$1795,$N475)</f>
        <v>1.08598</v>
      </c>
      <c r="U475" s="32" t="n">
        <f aca="false">INDEX('Tabela Passaro'!$O$2:$O$1795,$N475)</f>
        <v>5</v>
      </c>
      <c r="V475" s="32" t="n">
        <f aca="false">ROUNDUP(J475/INDEX('Tabela Passaro'!$Q$2:$Q$1795,$N475),0)*INDEX('Tabela Passaro'!$P$2:$P$1795,$N475)</f>
        <v>5</v>
      </c>
      <c r="W475" s="32" t="n">
        <f aca="false">INDEX('Tabela Passaro'!$R$2:$R$1795,$N475)</f>
        <v>30</v>
      </c>
      <c r="X475" s="32" t="n">
        <f aca="false">ROUNDUP(J475/INDEX('Tabela Passaro'!$T$2:$T$1795,$N475),0)*INDEX('Tabela Passaro'!$S$2:$S$1795,$N475)</f>
        <v>0</v>
      </c>
      <c r="Y475" s="32" t="n">
        <f aca="false">INDEX('Tabela Passaro'!$U$2:$U$1795,$N475)</f>
        <v>0</v>
      </c>
      <c r="Z475" s="32" t="n">
        <f aca="false">INDEX('Tabela Passaro'!$V$2:$V$1795,$N475)</f>
        <v>0</v>
      </c>
      <c r="AA475" s="32" t="n">
        <f aca="false">SUM(R475:Z475)</f>
        <v>92.90093</v>
      </c>
      <c r="AB475" s="33" t="n">
        <f aca="false">INDEX(Premissas!$B$5:$B$13,MATCH(A475,Premissas!$A$5:$A$13,0))</f>
        <v>0.07</v>
      </c>
      <c r="AC475" s="32" t="n">
        <f aca="false">AA475/(1-AB475)-AA475</f>
        <v>6.99254311827957</v>
      </c>
      <c r="AD475" s="32" t="n">
        <f aca="false">ROUND(AA475+AC475,2)</f>
        <v>99.89</v>
      </c>
      <c r="AE475" s="32" t="n">
        <f aca="false">AD475-L475</f>
        <v>-15.28</v>
      </c>
      <c r="AF475" s="34" t="n">
        <f aca="false">IF(L475=0,0,AE475/L475)</f>
        <v>-0.132673439263697</v>
      </c>
      <c r="AG475" s="22" t="str">
        <f aca="false">IF(AD475&lt;L475,"PASSARO","ATUAL")</f>
        <v>PASSARO</v>
      </c>
      <c r="AH475" s="22" t="str">
        <f aca="false">IF(P475&lt;&gt;A475,"Faixa cadastrada como "&amp;P475&amp;" na tabela; preço aplicado pela UF do CEP","")</f>
        <v/>
      </c>
      <c r="AI475" s="26" t="n">
        <v>103.96</v>
      </c>
      <c r="AJ475" s="22" t="str">
        <f aca="false">INDEX('Tabela Passaro'!$X$2:$X$1795,$N475)</f>
        <v>FEIRA DE SANTANA</v>
      </c>
    </row>
    <row r="476" customFormat="false" ht="15" hidden="false" customHeight="false" outlineLevel="0" collapsed="false">
      <c r="A476" s="22" t="s">
        <v>16</v>
      </c>
      <c r="B476" s="22" t="n">
        <v>2</v>
      </c>
      <c r="C476" s="22" t="s">
        <v>77</v>
      </c>
      <c r="D476" s="22" t="s">
        <v>30</v>
      </c>
      <c r="E476" s="22" t="s">
        <v>20</v>
      </c>
      <c r="F476" s="22" t="n">
        <v>838500</v>
      </c>
      <c r="G476" s="30" t="n">
        <v>46245</v>
      </c>
      <c r="H476" s="22" t="n">
        <v>32488</v>
      </c>
      <c r="I476" s="22" t="s">
        <v>7754</v>
      </c>
      <c r="J476" s="31" t="n">
        <v>33.3</v>
      </c>
      <c r="K476" s="26" t="n">
        <v>669.98</v>
      </c>
      <c r="L476" s="26" t="n">
        <v>152.28</v>
      </c>
      <c r="M476" s="22" t="s">
        <v>700</v>
      </c>
      <c r="N476" s="22" t="n">
        <f aca="false">MATCH(M476,'Tabela Passaro'!$A$2:$A$1795,0)</f>
        <v>108</v>
      </c>
      <c r="O476" s="22" t="str">
        <f aca="false">INDEX('Tabela Passaro'!$C$2:$C$1795,$N476)</f>
        <v>FEIRA DE SANTANA</v>
      </c>
      <c r="P476" s="22" t="str">
        <f aca="false">INDEX('Tabela Passaro'!$B$2:$B$1795,$N476)</f>
        <v>BA</v>
      </c>
      <c r="Q476" s="22" t="n">
        <f aca="false">INDEX('Tabela Passaro'!$F$2:$F$1795,$N476)</f>
        <v>5</v>
      </c>
      <c r="R476" s="32" t="n">
        <f aca="false">IF(J476&lt;=10,INDEX('Tabela Passaro'!$G$2:$G$1795,$N476),IF(J476&lt;=30,INDEX('Tabela Passaro'!$H$2:$H$1795,$N476),IF(J476&lt;=50,INDEX('Tabela Passaro'!$I$2:$I$1795,$N476),IF(J476&lt;=70,INDEX('Tabela Passaro'!$J$2:$J$1795,$N476),IF(J476&lt;=100,INDEX('Tabela Passaro'!$K$2:$K$1795,$N476),INDEX('Tabela Passaro'!$K$2:$K$1795,$N476)+(J476-100)*INDEX('Tabela Passaro'!$L$2:$L$1795,$N476))))))</f>
        <v>60.62</v>
      </c>
      <c r="S476" s="32" t="n">
        <f aca="false">K476*INDEX('Tabela Passaro'!$M$2:$M$1795,$N476)</f>
        <v>3.3499</v>
      </c>
      <c r="T476" s="32" t="n">
        <f aca="false">K476*INDEX('Tabela Passaro'!$N$2:$N$1795,$N476)</f>
        <v>1.33996</v>
      </c>
      <c r="U476" s="32" t="n">
        <f aca="false">INDEX('Tabela Passaro'!$O$2:$O$1795,$N476)</f>
        <v>5</v>
      </c>
      <c r="V476" s="32" t="n">
        <f aca="false">ROUNDUP(J476/INDEX('Tabela Passaro'!$Q$2:$Q$1795,$N476),0)*INDEX('Tabela Passaro'!$P$2:$P$1795,$N476)</f>
        <v>5</v>
      </c>
      <c r="W476" s="32" t="n">
        <f aca="false">INDEX('Tabela Passaro'!$R$2:$R$1795,$N476)</f>
        <v>30</v>
      </c>
      <c r="X476" s="32" t="n">
        <f aca="false">ROUNDUP(J476/INDEX('Tabela Passaro'!$T$2:$T$1795,$N476),0)*INDEX('Tabela Passaro'!$S$2:$S$1795,$N476)</f>
        <v>0</v>
      </c>
      <c r="Y476" s="32" t="n">
        <f aca="false">INDEX('Tabela Passaro'!$U$2:$U$1795,$N476)</f>
        <v>0</v>
      </c>
      <c r="Z476" s="32" t="n">
        <f aca="false">INDEX('Tabela Passaro'!$V$2:$V$1795,$N476)</f>
        <v>0</v>
      </c>
      <c r="AA476" s="32" t="n">
        <f aca="false">SUM(R476:Z476)</f>
        <v>105.30986</v>
      </c>
      <c r="AB476" s="33" t="n">
        <f aca="false">INDEX(Premissas!$B$5:$B$13,MATCH(A476,Premissas!$A$5:$A$13,0))</f>
        <v>0.07</v>
      </c>
      <c r="AC476" s="32" t="n">
        <f aca="false">AA476/(1-AB476)-AA476</f>
        <v>7.92654860215055</v>
      </c>
      <c r="AD476" s="32" t="n">
        <f aca="false">ROUND(AA476+AC476,2)</f>
        <v>113.24</v>
      </c>
      <c r="AE476" s="32" t="n">
        <f aca="false">AD476-L476</f>
        <v>-39.04</v>
      </c>
      <c r="AF476" s="34" t="n">
        <f aca="false">IF(L476=0,0,AE476/L476)</f>
        <v>-0.256369845022327</v>
      </c>
      <c r="AG476" s="22" t="str">
        <f aca="false">IF(AD476&lt;L476,"PASSARO","ATUAL")</f>
        <v>PASSARO</v>
      </c>
      <c r="AH476" s="22" t="str">
        <f aca="false">IF(P476&lt;&gt;A476,"Faixa cadastrada como "&amp;P476&amp;" na tabela; preço aplicado pela UF do CEP","")</f>
        <v/>
      </c>
      <c r="AI476" s="26" t="n">
        <v>121.11</v>
      </c>
      <c r="AJ476" s="22" t="str">
        <f aca="false">INDEX('Tabela Passaro'!$X$2:$X$1795,$N476)</f>
        <v>FEIRA DE SANTANA</v>
      </c>
    </row>
    <row r="477" customFormat="false" ht="15" hidden="false" customHeight="false" outlineLevel="0" collapsed="false">
      <c r="A477" s="22" t="s">
        <v>16</v>
      </c>
      <c r="B477" s="22" t="n">
        <v>2</v>
      </c>
      <c r="C477" s="22" t="s">
        <v>77</v>
      </c>
      <c r="D477" s="22" t="s">
        <v>30</v>
      </c>
      <c r="E477" s="22" t="s">
        <v>7326</v>
      </c>
      <c r="F477" s="22" t="n">
        <v>523801</v>
      </c>
      <c r="G477" s="30" t="n">
        <v>46245</v>
      </c>
      <c r="H477" s="22" t="n">
        <v>622312</v>
      </c>
      <c r="I477" s="22" t="s">
        <v>7753</v>
      </c>
      <c r="J477" s="31" t="n">
        <v>73.1</v>
      </c>
      <c r="K477" s="26" t="n">
        <v>1234.98</v>
      </c>
      <c r="L477" s="26" t="n">
        <v>272.55</v>
      </c>
      <c r="M477" s="22" t="s">
        <v>700</v>
      </c>
      <c r="N477" s="22" t="n">
        <f aca="false">MATCH(M477,'Tabela Passaro'!$A$2:$A$1795,0)</f>
        <v>108</v>
      </c>
      <c r="O477" s="22" t="str">
        <f aca="false">INDEX('Tabela Passaro'!$C$2:$C$1795,$N477)</f>
        <v>FEIRA DE SANTANA</v>
      </c>
      <c r="P477" s="22" t="str">
        <f aca="false">INDEX('Tabela Passaro'!$B$2:$B$1795,$N477)</f>
        <v>BA</v>
      </c>
      <c r="Q477" s="22" t="n">
        <f aca="false">INDEX('Tabela Passaro'!$F$2:$F$1795,$N477)</f>
        <v>5</v>
      </c>
      <c r="R477" s="32" t="n">
        <f aca="false">IF(J477&lt;=10,INDEX('Tabela Passaro'!$G$2:$G$1795,$N477),IF(J477&lt;=30,INDEX('Tabela Passaro'!$H$2:$H$1795,$N477),IF(J477&lt;=50,INDEX('Tabela Passaro'!$I$2:$I$1795,$N477),IF(J477&lt;=70,INDEX('Tabela Passaro'!$J$2:$J$1795,$N477),IF(J477&lt;=100,INDEX('Tabela Passaro'!$K$2:$K$1795,$N477),INDEX('Tabela Passaro'!$K$2:$K$1795,$N477)+(J477-100)*INDEX('Tabela Passaro'!$L$2:$L$1795,$N477))))))</f>
        <v>83.66</v>
      </c>
      <c r="S477" s="32" t="n">
        <f aca="false">K477*INDEX('Tabela Passaro'!$M$2:$M$1795,$N477)</f>
        <v>6.1749</v>
      </c>
      <c r="T477" s="32" t="n">
        <f aca="false">K477*INDEX('Tabela Passaro'!$N$2:$N$1795,$N477)</f>
        <v>2.46996</v>
      </c>
      <c r="U477" s="32" t="n">
        <f aca="false">INDEX('Tabela Passaro'!$O$2:$O$1795,$N477)</f>
        <v>5</v>
      </c>
      <c r="V477" s="32" t="n">
        <f aca="false">ROUNDUP(J477/INDEX('Tabela Passaro'!$Q$2:$Q$1795,$N477),0)*INDEX('Tabela Passaro'!$P$2:$P$1795,$N477)</f>
        <v>5</v>
      </c>
      <c r="W477" s="32" t="n">
        <f aca="false">INDEX('Tabela Passaro'!$R$2:$R$1795,$N477)</f>
        <v>30</v>
      </c>
      <c r="X477" s="32" t="n">
        <f aca="false">ROUNDUP(J477/INDEX('Tabela Passaro'!$T$2:$T$1795,$N477),0)*INDEX('Tabela Passaro'!$S$2:$S$1795,$N477)</f>
        <v>0</v>
      </c>
      <c r="Y477" s="32" t="n">
        <f aca="false">INDEX('Tabela Passaro'!$U$2:$U$1795,$N477)</f>
        <v>0</v>
      </c>
      <c r="Z477" s="32" t="n">
        <f aca="false">INDEX('Tabela Passaro'!$V$2:$V$1795,$N477)</f>
        <v>0</v>
      </c>
      <c r="AA477" s="32" t="n">
        <f aca="false">SUM(R477:Z477)</f>
        <v>132.30486</v>
      </c>
      <c r="AB477" s="33" t="n">
        <f aca="false">INDEX(Premissas!$B$5:$B$13,MATCH(A477,Premissas!$A$5:$A$13,0))</f>
        <v>0.07</v>
      </c>
      <c r="AC477" s="32" t="n">
        <f aca="false">AA477/(1-AB477)-AA477</f>
        <v>9.95843032258065</v>
      </c>
      <c r="AD477" s="32" t="n">
        <f aca="false">ROUND(AA477+AC477,2)</f>
        <v>142.26</v>
      </c>
      <c r="AE477" s="32" t="n">
        <f aca="false">AD477-L477</f>
        <v>-130.29</v>
      </c>
      <c r="AF477" s="34" t="n">
        <f aca="false">IF(L477=0,0,AE477/L477)</f>
        <v>-0.478040726472207</v>
      </c>
      <c r="AG477" s="22" t="str">
        <f aca="false">IF(AD477&lt;L477,"PASSARO","ATUAL")</f>
        <v>PASSARO</v>
      </c>
      <c r="AH477" s="22" t="str">
        <f aca="false">IF(P477&lt;&gt;A477,"Faixa cadastrada como "&amp;P477&amp;" na tabela; preço aplicado pela UF do CEP","")</f>
        <v/>
      </c>
      <c r="AI477" s="26" t="n">
        <v>170.97</v>
      </c>
      <c r="AJ477" s="22" t="str">
        <f aca="false">INDEX('Tabela Passaro'!$X$2:$X$1795,$N477)</f>
        <v>FEIRA DE SANTANA</v>
      </c>
    </row>
    <row r="478" customFormat="false" ht="15" hidden="false" customHeight="false" outlineLevel="0" collapsed="false">
      <c r="A478" s="22" t="s">
        <v>16</v>
      </c>
      <c r="B478" s="22" t="n">
        <v>2</v>
      </c>
      <c r="C478" s="22" t="s">
        <v>77</v>
      </c>
      <c r="D478" s="22" t="s">
        <v>30</v>
      </c>
      <c r="E478" s="22" t="s">
        <v>7326</v>
      </c>
      <c r="F478" s="22" t="n">
        <v>523858</v>
      </c>
      <c r="G478" s="30" t="n">
        <v>46245</v>
      </c>
      <c r="H478" s="22" t="n">
        <v>623701</v>
      </c>
      <c r="I478" s="22" t="s">
        <v>7755</v>
      </c>
      <c r="J478" s="31" t="n">
        <v>56.2</v>
      </c>
      <c r="K478" s="26" t="n">
        <v>1758.96</v>
      </c>
      <c r="L478" s="26" t="n">
        <v>229.37</v>
      </c>
      <c r="M478" s="22" t="s">
        <v>700</v>
      </c>
      <c r="N478" s="22" t="n">
        <f aca="false">MATCH(M478,'Tabela Passaro'!$A$2:$A$1795,0)</f>
        <v>108</v>
      </c>
      <c r="O478" s="22" t="str">
        <f aca="false">INDEX('Tabela Passaro'!$C$2:$C$1795,$N478)</f>
        <v>FEIRA DE SANTANA</v>
      </c>
      <c r="P478" s="22" t="str">
        <f aca="false">INDEX('Tabela Passaro'!$B$2:$B$1795,$N478)</f>
        <v>BA</v>
      </c>
      <c r="Q478" s="22" t="n">
        <f aca="false">INDEX('Tabela Passaro'!$F$2:$F$1795,$N478)</f>
        <v>5</v>
      </c>
      <c r="R478" s="32" t="n">
        <f aca="false">IF(J478&lt;=10,INDEX('Tabela Passaro'!$G$2:$G$1795,$N478),IF(J478&lt;=30,INDEX('Tabela Passaro'!$H$2:$H$1795,$N478),IF(J478&lt;=50,INDEX('Tabela Passaro'!$I$2:$I$1795,$N478),IF(J478&lt;=70,INDEX('Tabela Passaro'!$J$2:$J$1795,$N478),IF(J478&lt;=100,INDEX('Tabela Passaro'!$K$2:$K$1795,$N478),INDEX('Tabela Passaro'!$K$2:$K$1795,$N478)+(J478-100)*INDEX('Tabela Passaro'!$L$2:$L$1795,$N478))))))</f>
        <v>72.14</v>
      </c>
      <c r="S478" s="32" t="n">
        <f aca="false">K478*INDEX('Tabela Passaro'!$M$2:$M$1795,$N478)</f>
        <v>8.7948</v>
      </c>
      <c r="T478" s="32" t="n">
        <f aca="false">K478*INDEX('Tabela Passaro'!$N$2:$N$1795,$N478)</f>
        <v>3.51792</v>
      </c>
      <c r="U478" s="32" t="n">
        <f aca="false">INDEX('Tabela Passaro'!$O$2:$O$1795,$N478)</f>
        <v>5</v>
      </c>
      <c r="V478" s="32" t="n">
        <f aca="false">ROUNDUP(J478/INDEX('Tabela Passaro'!$Q$2:$Q$1795,$N478),0)*INDEX('Tabela Passaro'!$P$2:$P$1795,$N478)</f>
        <v>5</v>
      </c>
      <c r="W478" s="32" t="n">
        <f aca="false">INDEX('Tabela Passaro'!$R$2:$R$1795,$N478)</f>
        <v>30</v>
      </c>
      <c r="X478" s="32" t="n">
        <f aca="false">ROUNDUP(J478/INDEX('Tabela Passaro'!$T$2:$T$1795,$N478),0)*INDEX('Tabela Passaro'!$S$2:$S$1795,$N478)</f>
        <v>0</v>
      </c>
      <c r="Y478" s="32" t="n">
        <f aca="false">INDEX('Tabela Passaro'!$U$2:$U$1795,$N478)</f>
        <v>0</v>
      </c>
      <c r="Z478" s="32" t="n">
        <f aca="false">INDEX('Tabela Passaro'!$V$2:$V$1795,$N478)</f>
        <v>0</v>
      </c>
      <c r="AA478" s="32" t="n">
        <f aca="false">SUM(R478:Z478)</f>
        <v>124.45272</v>
      </c>
      <c r="AB478" s="33" t="n">
        <f aca="false">INDEX(Premissas!$B$5:$B$13,MATCH(A478,Premissas!$A$5:$A$13,0))</f>
        <v>0.07</v>
      </c>
      <c r="AC478" s="32" t="n">
        <f aca="false">AA478/(1-AB478)-AA478</f>
        <v>9.36740903225808</v>
      </c>
      <c r="AD478" s="32" t="n">
        <f aca="false">ROUND(AA478+AC478,2)</f>
        <v>133.82</v>
      </c>
      <c r="AE478" s="32" t="n">
        <f aca="false">AD478-L478</f>
        <v>-95.55</v>
      </c>
      <c r="AF478" s="34" t="n">
        <f aca="false">IF(L478=0,0,AE478/L478)</f>
        <v>-0.41657583816541</v>
      </c>
      <c r="AG478" s="22" t="str">
        <f aca="false">IF(AD478&lt;L478,"PASSARO","ATUAL")</f>
        <v>PASSARO</v>
      </c>
      <c r="AH478" s="22" t="str">
        <f aca="false">IF(P478&lt;&gt;A478,"Faixa cadastrada como "&amp;P478&amp;" na tabela; preço aplicado pela UF do CEP","")</f>
        <v/>
      </c>
      <c r="AI478" s="26" t="n">
        <v>155.3</v>
      </c>
      <c r="AJ478" s="22" t="str">
        <f aca="false">INDEX('Tabela Passaro'!$X$2:$X$1795,$N478)</f>
        <v>FEIRA DE SANTANA</v>
      </c>
    </row>
    <row r="479" customFormat="false" ht="15" hidden="false" customHeight="false" outlineLevel="0" collapsed="false">
      <c r="A479" s="22" t="s">
        <v>16</v>
      </c>
      <c r="B479" s="22" t="n">
        <v>2</v>
      </c>
      <c r="C479" s="22" t="s">
        <v>77</v>
      </c>
      <c r="D479" s="22" t="s">
        <v>30</v>
      </c>
      <c r="E479" s="22" t="s">
        <v>7328</v>
      </c>
      <c r="F479" s="22" t="n">
        <v>2311213</v>
      </c>
      <c r="G479" s="30" t="n">
        <v>46246</v>
      </c>
      <c r="H479" s="22" t="n">
        <v>132515</v>
      </c>
      <c r="I479" s="22" t="s">
        <v>7756</v>
      </c>
      <c r="J479" s="31" t="n">
        <v>79.26</v>
      </c>
      <c r="K479" s="26" t="n">
        <v>919.99</v>
      </c>
      <c r="L479" s="26" t="n">
        <v>222.5</v>
      </c>
      <c r="M479" s="22" t="s">
        <v>700</v>
      </c>
      <c r="N479" s="22" t="n">
        <f aca="false">MATCH(M479,'Tabela Passaro'!$A$2:$A$1795,0)</f>
        <v>108</v>
      </c>
      <c r="O479" s="22" t="str">
        <f aca="false">INDEX('Tabela Passaro'!$C$2:$C$1795,$N479)</f>
        <v>FEIRA DE SANTANA</v>
      </c>
      <c r="P479" s="22" t="str">
        <f aca="false">INDEX('Tabela Passaro'!$B$2:$B$1795,$N479)</f>
        <v>BA</v>
      </c>
      <c r="Q479" s="22" t="n">
        <f aca="false">INDEX('Tabela Passaro'!$F$2:$F$1795,$N479)</f>
        <v>5</v>
      </c>
      <c r="R479" s="32" t="n">
        <f aca="false">IF(J479&lt;=10,INDEX('Tabela Passaro'!$G$2:$G$1795,$N479),IF(J479&lt;=30,INDEX('Tabela Passaro'!$H$2:$H$1795,$N479),IF(J479&lt;=50,INDEX('Tabela Passaro'!$I$2:$I$1795,$N479),IF(J479&lt;=70,INDEX('Tabela Passaro'!$J$2:$J$1795,$N479),IF(J479&lt;=100,INDEX('Tabela Passaro'!$K$2:$K$1795,$N479),INDEX('Tabela Passaro'!$K$2:$K$1795,$N479)+(J479-100)*INDEX('Tabela Passaro'!$L$2:$L$1795,$N479))))))</f>
        <v>83.66</v>
      </c>
      <c r="S479" s="32" t="n">
        <f aca="false">K479*INDEX('Tabela Passaro'!$M$2:$M$1795,$N479)</f>
        <v>4.59995</v>
      </c>
      <c r="T479" s="32" t="n">
        <f aca="false">K479*INDEX('Tabela Passaro'!$N$2:$N$1795,$N479)</f>
        <v>1.83998</v>
      </c>
      <c r="U479" s="32" t="n">
        <f aca="false">INDEX('Tabela Passaro'!$O$2:$O$1795,$N479)</f>
        <v>5</v>
      </c>
      <c r="V479" s="32" t="n">
        <f aca="false">ROUNDUP(J479/INDEX('Tabela Passaro'!$Q$2:$Q$1795,$N479),0)*INDEX('Tabela Passaro'!$P$2:$P$1795,$N479)</f>
        <v>5</v>
      </c>
      <c r="W479" s="32" t="n">
        <f aca="false">INDEX('Tabela Passaro'!$R$2:$R$1795,$N479)</f>
        <v>30</v>
      </c>
      <c r="X479" s="32" t="n">
        <f aca="false">ROUNDUP(J479/INDEX('Tabela Passaro'!$T$2:$T$1795,$N479),0)*INDEX('Tabela Passaro'!$S$2:$S$1795,$N479)</f>
        <v>0</v>
      </c>
      <c r="Y479" s="32" t="n">
        <f aca="false">INDEX('Tabela Passaro'!$U$2:$U$1795,$N479)</f>
        <v>0</v>
      </c>
      <c r="Z479" s="32" t="n">
        <f aca="false">INDEX('Tabela Passaro'!$V$2:$V$1795,$N479)</f>
        <v>0</v>
      </c>
      <c r="AA479" s="32" t="n">
        <f aca="false">SUM(R479:Z479)</f>
        <v>130.09993</v>
      </c>
      <c r="AB479" s="33" t="n">
        <f aca="false">INDEX(Premissas!$B$5:$B$13,MATCH(A479,Premissas!$A$5:$A$13,0))</f>
        <v>0.07</v>
      </c>
      <c r="AC479" s="32" t="n">
        <f aca="false">AA479/(1-AB479)-AA479</f>
        <v>9.79246784946238</v>
      </c>
      <c r="AD479" s="32" t="n">
        <f aca="false">ROUND(AA479+AC479,2)</f>
        <v>139.89</v>
      </c>
      <c r="AE479" s="32" t="n">
        <f aca="false">AD479-L479</f>
        <v>-82.61</v>
      </c>
      <c r="AF479" s="34" t="n">
        <f aca="false">IF(L479=0,0,AE479/L479)</f>
        <v>-0.371280898876405</v>
      </c>
      <c r="AG479" s="22" t="str">
        <f aca="false">IF(AD479&lt;L479,"PASSARO","ATUAL")</f>
        <v>PASSARO</v>
      </c>
      <c r="AH479" s="22" t="str">
        <f aca="false">IF(P479&lt;&gt;A479,"Faixa cadastrada como "&amp;P479&amp;" na tabela; preço aplicado pela UF do CEP","")</f>
        <v/>
      </c>
      <c r="AI479" s="26" t="n">
        <v>170.83</v>
      </c>
      <c r="AJ479" s="22" t="str">
        <f aca="false">INDEX('Tabela Passaro'!$X$2:$X$1795,$N479)</f>
        <v>FEIRA DE SANTANA</v>
      </c>
    </row>
    <row r="480" customFormat="false" ht="15" hidden="false" customHeight="false" outlineLevel="0" collapsed="false">
      <c r="A480" s="22" t="s">
        <v>16</v>
      </c>
      <c r="B480" s="22" t="n">
        <v>2</v>
      </c>
      <c r="C480" s="22" t="s">
        <v>77</v>
      </c>
      <c r="D480" s="22" t="s">
        <v>30</v>
      </c>
      <c r="E480" s="22" t="s">
        <v>7328</v>
      </c>
      <c r="F480" s="22" t="n">
        <v>2311288</v>
      </c>
      <c r="G480" s="30" t="n">
        <v>46246</v>
      </c>
      <c r="H480" s="22" t="n">
        <v>132739</v>
      </c>
      <c r="I480" s="22" t="s">
        <v>7757</v>
      </c>
      <c r="J480" s="31" t="n">
        <v>59.9</v>
      </c>
      <c r="K480" s="26" t="n">
        <v>1109.98</v>
      </c>
      <c r="L480" s="26" t="n">
        <v>191.29</v>
      </c>
      <c r="M480" s="22" t="s">
        <v>700</v>
      </c>
      <c r="N480" s="22" t="n">
        <f aca="false">MATCH(M480,'Tabela Passaro'!$A$2:$A$1795,0)</f>
        <v>108</v>
      </c>
      <c r="O480" s="22" t="str">
        <f aca="false">INDEX('Tabela Passaro'!$C$2:$C$1795,$N480)</f>
        <v>FEIRA DE SANTANA</v>
      </c>
      <c r="P480" s="22" t="str">
        <f aca="false">INDEX('Tabela Passaro'!$B$2:$B$1795,$N480)</f>
        <v>BA</v>
      </c>
      <c r="Q480" s="22" t="n">
        <f aca="false">INDEX('Tabela Passaro'!$F$2:$F$1795,$N480)</f>
        <v>5</v>
      </c>
      <c r="R480" s="32" t="n">
        <f aca="false">IF(J480&lt;=10,INDEX('Tabela Passaro'!$G$2:$G$1795,$N480),IF(J480&lt;=30,INDEX('Tabela Passaro'!$H$2:$H$1795,$N480),IF(J480&lt;=50,INDEX('Tabela Passaro'!$I$2:$I$1795,$N480),IF(J480&lt;=70,INDEX('Tabela Passaro'!$J$2:$J$1795,$N480),IF(J480&lt;=100,INDEX('Tabela Passaro'!$K$2:$K$1795,$N480),INDEX('Tabela Passaro'!$K$2:$K$1795,$N480)+(J480-100)*INDEX('Tabela Passaro'!$L$2:$L$1795,$N480))))))</f>
        <v>72.14</v>
      </c>
      <c r="S480" s="32" t="n">
        <f aca="false">K480*INDEX('Tabela Passaro'!$M$2:$M$1795,$N480)</f>
        <v>5.5499</v>
      </c>
      <c r="T480" s="32" t="n">
        <f aca="false">K480*INDEX('Tabela Passaro'!$N$2:$N$1795,$N480)</f>
        <v>2.21996</v>
      </c>
      <c r="U480" s="32" t="n">
        <f aca="false">INDEX('Tabela Passaro'!$O$2:$O$1795,$N480)</f>
        <v>5</v>
      </c>
      <c r="V480" s="32" t="n">
        <f aca="false">ROUNDUP(J480/INDEX('Tabela Passaro'!$Q$2:$Q$1795,$N480),0)*INDEX('Tabela Passaro'!$P$2:$P$1795,$N480)</f>
        <v>5</v>
      </c>
      <c r="W480" s="32" t="n">
        <f aca="false">INDEX('Tabela Passaro'!$R$2:$R$1795,$N480)</f>
        <v>30</v>
      </c>
      <c r="X480" s="32" t="n">
        <f aca="false">ROUNDUP(J480/INDEX('Tabela Passaro'!$T$2:$T$1795,$N480),0)*INDEX('Tabela Passaro'!$S$2:$S$1795,$N480)</f>
        <v>0</v>
      </c>
      <c r="Y480" s="32" t="n">
        <f aca="false">INDEX('Tabela Passaro'!$U$2:$U$1795,$N480)</f>
        <v>0</v>
      </c>
      <c r="Z480" s="32" t="n">
        <f aca="false">INDEX('Tabela Passaro'!$V$2:$V$1795,$N480)</f>
        <v>0</v>
      </c>
      <c r="AA480" s="32" t="n">
        <f aca="false">SUM(R480:Z480)</f>
        <v>119.90986</v>
      </c>
      <c r="AB480" s="33" t="n">
        <f aca="false">INDEX(Premissas!$B$5:$B$13,MATCH(A480,Premissas!$A$5:$A$13,0))</f>
        <v>0.07</v>
      </c>
      <c r="AC480" s="32" t="n">
        <f aca="false">AA480/(1-AB480)-AA480</f>
        <v>9.02547333333335</v>
      </c>
      <c r="AD480" s="32" t="n">
        <f aca="false">ROUND(AA480+AC480,2)</f>
        <v>128.94</v>
      </c>
      <c r="AE480" s="32" t="n">
        <f aca="false">AD480-L480</f>
        <v>-62.35</v>
      </c>
      <c r="AF480" s="34" t="n">
        <f aca="false">IF(L480=0,0,AE480/L480)</f>
        <v>-0.325944900412986</v>
      </c>
      <c r="AG480" s="22" t="str">
        <f aca="false">IF(AD480&lt;L480,"PASSARO","ATUAL")</f>
        <v>PASSARO</v>
      </c>
      <c r="AH480" s="22" t="str">
        <f aca="false">IF(P480&lt;&gt;A480,"Faixa cadastrada como "&amp;P480&amp;" na tabela; preço aplicado pela UF do CEP","")</f>
        <v/>
      </c>
      <c r="AI480" s="26" t="n">
        <v>150.47</v>
      </c>
      <c r="AJ480" s="22" t="str">
        <f aca="false">INDEX('Tabela Passaro'!$X$2:$X$1795,$N480)</f>
        <v>FEIRA DE SANTANA</v>
      </c>
    </row>
    <row r="481" customFormat="false" ht="15" hidden="false" customHeight="false" outlineLevel="0" collapsed="false">
      <c r="A481" s="22" t="s">
        <v>16</v>
      </c>
      <c r="B481" s="22" t="n">
        <v>2</v>
      </c>
      <c r="C481" s="22" t="s">
        <v>77</v>
      </c>
      <c r="D481" s="22" t="s">
        <v>30</v>
      </c>
      <c r="E481" s="22" t="s">
        <v>7326</v>
      </c>
      <c r="F481" s="22" t="n">
        <v>524490</v>
      </c>
      <c r="G481" s="30" t="n">
        <v>46246</v>
      </c>
      <c r="H481" s="22" t="n">
        <v>624150</v>
      </c>
      <c r="I481" s="22" t="s">
        <v>7758</v>
      </c>
      <c r="J481" s="31" t="n">
        <v>149.8</v>
      </c>
      <c r="K481" s="26" t="n">
        <v>1379.13</v>
      </c>
      <c r="L481" s="26" t="n">
        <v>373</v>
      </c>
      <c r="M481" s="22" t="s">
        <v>700</v>
      </c>
      <c r="N481" s="22" t="n">
        <f aca="false">MATCH(M481,'Tabela Passaro'!$A$2:$A$1795,0)</f>
        <v>108</v>
      </c>
      <c r="O481" s="22" t="str">
        <f aca="false">INDEX('Tabela Passaro'!$C$2:$C$1795,$N481)</f>
        <v>FEIRA DE SANTANA</v>
      </c>
      <c r="P481" s="22" t="str">
        <f aca="false">INDEX('Tabela Passaro'!$B$2:$B$1795,$N481)</f>
        <v>BA</v>
      </c>
      <c r="Q481" s="22" t="n">
        <f aca="false">INDEX('Tabela Passaro'!$F$2:$F$1795,$N481)</f>
        <v>5</v>
      </c>
      <c r="R481" s="32" t="n">
        <f aca="false">IF(J481&lt;=10,INDEX('Tabela Passaro'!$G$2:$G$1795,$N481),IF(J481&lt;=30,INDEX('Tabela Passaro'!$H$2:$H$1795,$N481),IF(J481&lt;=50,INDEX('Tabela Passaro'!$I$2:$I$1795,$N481),IF(J481&lt;=70,INDEX('Tabela Passaro'!$J$2:$J$1795,$N481),IF(J481&lt;=100,INDEX('Tabela Passaro'!$K$2:$K$1795,$N481),INDEX('Tabela Passaro'!$K$2:$K$1795,$N481)+(J481-100)*INDEX('Tabela Passaro'!$L$2:$L$1795,$N481))))))</f>
        <v>139.934</v>
      </c>
      <c r="S481" s="32" t="n">
        <f aca="false">K481*INDEX('Tabela Passaro'!$M$2:$M$1795,$N481)</f>
        <v>6.89565</v>
      </c>
      <c r="T481" s="32" t="n">
        <f aca="false">K481*INDEX('Tabela Passaro'!$N$2:$N$1795,$N481)</f>
        <v>2.75826</v>
      </c>
      <c r="U481" s="32" t="n">
        <f aca="false">INDEX('Tabela Passaro'!$O$2:$O$1795,$N481)</f>
        <v>5</v>
      </c>
      <c r="V481" s="32" t="n">
        <f aca="false">ROUNDUP(J481/INDEX('Tabela Passaro'!$Q$2:$Q$1795,$N481),0)*INDEX('Tabela Passaro'!$P$2:$P$1795,$N481)</f>
        <v>10</v>
      </c>
      <c r="W481" s="32" t="n">
        <f aca="false">INDEX('Tabela Passaro'!$R$2:$R$1795,$N481)</f>
        <v>30</v>
      </c>
      <c r="X481" s="32" t="n">
        <f aca="false">ROUNDUP(J481/INDEX('Tabela Passaro'!$T$2:$T$1795,$N481),0)*INDEX('Tabela Passaro'!$S$2:$S$1795,$N481)</f>
        <v>0</v>
      </c>
      <c r="Y481" s="32" t="n">
        <f aca="false">INDEX('Tabela Passaro'!$U$2:$U$1795,$N481)</f>
        <v>0</v>
      </c>
      <c r="Z481" s="32" t="n">
        <f aca="false">INDEX('Tabela Passaro'!$V$2:$V$1795,$N481)</f>
        <v>0</v>
      </c>
      <c r="AA481" s="32" t="n">
        <f aca="false">SUM(R481:Z481)</f>
        <v>194.58791</v>
      </c>
      <c r="AB481" s="33" t="n">
        <f aca="false">INDEX(Premissas!$B$5:$B$13,MATCH(A481,Premissas!$A$5:$A$13,0))</f>
        <v>0.07</v>
      </c>
      <c r="AC481" s="32" t="n">
        <f aca="false">AA481/(1-AB481)-AA481</f>
        <v>14.646401827957</v>
      </c>
      <c r="AD481" s="32" t="n">
        <f aca="false">ROUND(AA481+AC481,2)</f>
        <v>209.23</v>
      </c>
      <c r="AE481" s="32" t="n">
        <f aca="false">AD481-L481</f>
        <v>-163.77</v>
      </c>
      <c r="AF481" s="34" t="n">
        <f aca="false">IF(L481=0,0,AE481/L481)</f>
        <v>-0.439061662198391</v>
      </c>
      <c r="AG481" s="22" t="str">
        <f aca="false">IF(AD481&lt;L481,"PASSARO","ATUAL")</f>
        <v>PASSARO</v>
      </c>
      <c r="AH481" s="22" t="str">
        <f aca="false">IF(P481&lt;&gt;A481,"Faixa cadastrada como "&amp;P481&amp;" na tabela; preço aplicado pela UF do CEP","")</f>
        <v/>
      </c>
      <c r="AI481" s="26" t="n">
        <v>282.52</v>
      </c>
      <c r="AJ481" s="22" t="str">
        <f aca="false">INDEX('Tabela Passaro'!$X$2:$X$1795,$N481)</f>
        <v>FEIRA DE SANTANA</v>
      </c>
    </row>
    <row r="482" customFormat="false" ht="15" hidden="false" customHeight="false" outlineLevel="0" collapsed="false">
      <c r="A482" s="22" t="s">
        <v>16</v>
      </c>
      <c r="B482" s="22" t="n">
        <v>2</v>
      </c>
      <c r="C482" s="22" t="s">
        <v>77</v>
      </c>
      <c r="D482" s="22" t="s">
        <v>30</v>
      </c>
      <c r="E482" s="22" t="s">
        <v>7326</v>
      </c>
      <c r="F482" s="22" t="n">
        <v>524498</v>
      </c>
      <c r="G482" s="30" t="n">
        <v>46246</v>
      </c>
      <c r="H482" s="22" t="n">
        <v>624153</v>
      </c>
      <c r="I482" s="22" t="s">
        <v>7759</v>
      </c>
      <c r="J482" s="31" t="n">
        <v>117.4</v>
      </c>
      <c r="K482" s="26" t="n">
        <v>1652.65</v>
      </c>
      <c r="L482" s="26" t="n">
        <v>328.28</v>
      </c>
      <c r="M482" s="22" t="s">
        <v>700</v>
      </c>
      <c r="N482" s="22" t="n">
        <f aca="false">MATCH(M482,'Tabela Passaro'!$A$2:$A$1795,0)</f>
        <v>108</v>
      </c>
      <c r="O482" s="22" t="str">
        <f aca="false">INDEX('Tabela Passaro'!$C$2:$C$1795,$N482)</f>
        <v>FEIRA DE SANTANA</v>
      </c>
      <c r="P482" s="22" t="str">
        <f aca="false">INDEX('Tabela Passaro'!$B$2:$B$1795,$N482)</f>
        <v>BA</v>
      </c>
      <c r="Q482" s="22" t="n">
        <f aca="false">INDEX('Tabela Passaro'!$F$2:$F$1795,$N482)</f>
        <v>5</v>
      </c>
      <c r="R482" s="32" t="n">
        <f aca="false">IF(J482&lt;=10,INDEX('Tabela Passaro'!$G$2:$G$1795,$N482),IF(J482&lt;=30,INDEX('Tabela Passaro'!$H$2:$H$1795,$N482),IF(J482&lt;=50,INDEX('Tabela Passaro'!$I$2:$I$1795,$N482),IF(J482&lt;=70,INDEX('Tabela Passaro'!$J$2:$J$1795,$N482),IF(J482&lt;=100,INDEX('Tabela Passaro'!$K$2:$K$1795,$N482),INDEX('Tabela Passaro'!$K$2:$K$1795,$N482)+(J482-100)*INDEX('Tabela Passaro'!$L$2:$L$1795,$N482))))))</f>
        <v>103.322</v>
      </c>
      <c r="S482" s="32" t="n">
        <f aca="false">K482*INDEX('Tabela Passaro'!$M$2:$M$1795,$N482)</f>
        <v>8.26325</v>
      </c>
      <c r="T482" s="32" t="n">
        <f aca="false">K482*INDEX('Tabela Passaro'!$N$2:$N$1795,$N482)</f>
        <v>3.3053</v>
      </c>
      <c r="U482" s="32" t="n">
        <f aca="false">INDEX('Tabela Passaro'!$O$2:$O$1795,$N482)</f>
        <v>5</v>
      </c>
      <c r="V482" s="32" t="n">
        <f aca="false">ROUNDUP(J482/INDEX('Tabela Passaro'!$Q$2:$Q$1795,$N482),0)*INDEX('Tabela Passaro'!$P$2:$P$1795,$N482)</f>
        <v>10</v>
      </c>
      <c r="W482" s="32" t="n">
        <f aca="false">INDEX('Tabela Passaro'!$R$2:$R$1795,$N482)</f>
        <v>30</v>
      </c>
      <c r="X482" s="32" t="n">
        <f aca="false">ROUNDUP(J482/INDEX('Tabela Passaro'!$T$2:$T$1795,$N482),0)*INDEX('Tabela Passaro'!$S$2:$S$1795,$N482)</f>
        <v>0</v>
      </c>
      <c r="Y482" s="32" t="n">
        <f aca="false">INDEX('Tabela Passaro'!$U$2:$U$1795,$N482)</f>
        <v>0</v>
      </c>
      <c r="Z482" s="32" t="n">
        <f aca="false">INDEX('Tabela Passaro'!$V$2:$V$1795,$N482)</f>
        <v>0</v>
      </c>
      <c r="AA482" s="32" t="n">
        <f aca="false">SUM(R482:Z482)</f>
        <v>159.89055</v>
      </c>
      <c r="AB482" s="33" t="n">
        <f aca="false">INDEX(Premissas!$B$5:$B$13,MATCH(A482,Premissas!$A$5:$A$13,0))</f>
        <v>0.07</v>
      </c>
      <c r="AC482" s="32" t="n">
        <f aca="false">AA482/(1-AB482)-AA482</f>
        <v>12.0347725806452</v>
      </c>
      <c r="AD482" s="32" t="n">
        <f aca="false">ROUND(AA482+AC482,2)</f>
        <v>171.93</v>
      </c>
      <c r="AE482" s="32" t="n">
        <f aca="false">AD482-L482</f>
        <v>-156.35</v>
      </c>
      <c r="AF482" s="34" t="n">
        <f aca="false">IF(L482=0,0,AE482/L482)</f>
        <v>-0.4762702570976</v>
      </c>
      <c r="AG482" s="22" t="str">
        <f aca="false">IF(AD482&lt;L482,"PASSARO","ATUAL")</f>
        <v>PASSARO</v>
      </c>
      <c r="AH482" s="22" t="str">
        <f aca="false">IF(P482&lt;&gt;A482,"Faixa cadastrada como "&amp;P482&amp;" na tabela; preço aplicado pela UF do CEP","")</f>
        <v/>
      </c>
      <c r="AI482" s="26" t="n">
        <v>225.44</v>
      </c>
      <c r="AJ482" s="22" t="str">
        <f aca="false">INDEX('Tabela Passaro'!$X$2:$X$1795,$N482)</f>
        <v>FEIRA DE SANTANA</v>
      </c>
    </row>
    <row r="483" customFormat="false" ht="15" hidden="false" customHeight="false" outlineLevel="0" collapsed="false">
      <c r="A483" s="22" t="s">
        <v>16</v>
      </c>
      <c r="B483" s="22" t="n">
        <v>2</v>
      </c>
      <c r="C483" s="22" t="s">
        <v>77</v>
      </c>
      <c r="D483" s="22" t="s">
        <v>30</v>
      </c>
      <c r="E483" s="22" t="s">
        <v>20</v>
      </c>
      <c r="F483" s="22" t="n">
        <v>837118</v>
      </c>
      <c r="G483" s="30" t="n">
        <v>46247</v>
      </c>
      <c r="H483" s="22" t="n">
        <v>32500</v>
      </c>
      <c r="I483" s="22" t="s">
        <v>7760</v>
      </c>
      <c r="J483" s="31" t="n">
        <v>45</v>
      </c>
      <c r="K483" s="26" t="n">
        <v>726.41</v>
      </c>
      <c r="L483" s="26" t="n">
        <v>152.8</v>
      </c>
      <c r="M483" s="22" t="s">
        <v>700</v>
      </c>
      <c r="N483" s="22" t="n">
        <f aca="false">MATCH(M483,'Tabela Passaro'!$A$2:$A$1795,0)</f>
        <v>108</v>
      </c>
      <c r="O483" s="22" t="str">
        <f aca="false">INDEX('Tabela Passaro'!$C$2:$C$1795,$N483)</f>
        <v>FEIRA DE SANTANA</v>
      </c>
      <c r="P483" s="22" t="str">
        <f aca="false">INDEX('Tabela Passaro'!$B$2:$B$1795,$N483)</f>
        <v>BA</v>
      </c>
      <c r="Q483" s="22" t="n">
        <f aca="false">INDEX('Tabela Passaro'!$F$2:$F$1795,$N483)</f>
        <v>5</v>
      </c>
      <c r="R483" s="32" t="n">
        <f aca="false">IF(J483&lt;=10,INDEX('Tabela Passaro'!$G$2:$G$1795,$N483),IF(J483&lt;=30,INDEX('Tabela Passaro'!$H$2:$H$1795,$N483),IF(J483&lt;=50,INDEX('Tabela Passaro'!$I$2:$I$1795,$N483),IF(J483&lt;=70,INDEX('Tabela Passaro'!$J$2:$J$1795,$N483),IF(J483&lt;=100,INDEX('Tabela Passaro'!$K$2:$K$1795,$N483),INDEX('Tabela Passaro'!$K$2:$K$1795,$N483)+(J483-100)*INDEX('Tabela Passaro'!$L$2:$L$1795,$N483))))))</f>
        <v>60.62</v>
      </c>
      <c r="S483" s="32" t="n">
        <f aca="false">K483*INDEX('Tabela Passaro'!$M$2:$M$1795,$N483)</f>
        <v>3.63205</v>
      </c>
      <c r="T483" s="32" t="n">
        <f aca="false">K483*INDEX('Tabela Passaro'!$N$2:$N$1795,$N483)</f>
        <v>1.45282</v>
      </c>
      <c r="U483" s="32" t="n">
        <f aca="false">INDEX('Tabela Passaro'!$O$2:$O$1795,$N483)</f>
        <v>5</v>
      </c>
      <c r="V483" s="32" t="n">
        <f aca="false">ROUNDUP(J483/INDEX('Tabela Passaro'!$Q$2:$Q$1795,$N483),0)*INDEX('Tabela Passaro'!$P$2:$P$1795,$N483)</f>
        <v>5</v>
      </c>
      <c r="W483" s="32" t="n">
        <f aca="false">INDEX('Tabela Passaro'!$R$2:$R$1795,$N483)</f>
        <v>30</v>
      </c>
      <c r="X483" s="32" t="n">
        <f aca="false">ROUNDUP(J483/INDEX('Tabela Passaro'!$T$2:$T$1795,$N483),0)*INDEX('Tabela Passaro'!$S$2:$S$1795,$N483)</f>
        <v>0</v>
      </c>
      <c r="Y483" s="32" t="n">
        <f aca="false">INDEX('Tabela Passaro'!$U$2:$U$1795,$N483)</f>
        <v>0</v>
      </c>
      <c r="Z483" s="32" t="n">
        <f aca="false">INDEX('Tabela Passaro'!$V$2:$V$1795,$N483)</f>
        <v>0</v>
      </c>
      <c r="AA483" s="32" t="n">
        <f aca="false">SUM(R483:Z483)</f>
        <v>105.70487</v>
      </c>
      <c r="AB483" s="33" t="n">
        <f aca="false">INDEX(Premissas!$B$5:$B$13,MATCH(A483,Premissas!$A$5:$A$13,0))</f>
        <v>0.07</v>
      </c>
      <c r="AC483" s="32" t="n">
        <f aca="false">AA483/(1-AB483)-AA483</f>
        <v>7.95628053763441</v>
      </c>
      <c r="AD483" s="32" t="n">
        <f aca="false">ROUND(AA483+AC483,2)</f>
        <v>113.66</v>
      </c>
      <c r="AE483" s="32" t="n">
        <f aca="false">AD483-L483</f>
        <v>-39.14</v>
      </c>
      <c r="AF483" s="34" t="n">
        <f aca="false">IF(L483=0,0,AE483/L483)</f>
        <v>-0.256151832460733</v>
      </c>
      <c r="AG483" s="22" t="str">
        <f aca="false">IF(AD483&lt;L483,"PASSARO","ATUAL")</f>
        <v>PASSARO</v>
      </c>
      <c r="AH483" s="22" t="str">
        <f aca="false">IF(P483&lt;&gt;A483,"Faixa cadastrada como "&amp;P483&amp;" na tabela; preço aplicado pela UF do CEP","")</f>
        <v/>
      </c>
      <c r="AI483" s="26" t="n">
        <v>126.98</v>
      </c>
      <c r="AJ483" s="22" t="str">
        <f aca="false">INDEX('Tabela Passaro'!$X$2:$X$1795,$N483)</f>
        <v>FEIRA DE SANTANA</v>
      </c>
    </row>
    <row r="484" customFormat="false" ht="15" hidden="false" customHeight="false" outlineLevel="0" collapsed="false">
      <c r="A484" s="22" t="s">
        <v>16</v>
      </c>
      <c r="B484" s="22" t="n">
        <v>2</v>
      </c>
      <c r="C484" s="22" t="s">
        <v>77</v>
      </c>
      <c r="D484" s="22" t="s">
        <v>30</v>
      </c>
      <c r="E484" s="22" t="s">
        <v>7326</v>
      </c>
      <c r="F484" s="22" t="n">
        <v>524667</v>
      </c>
      <c r="G484" s="30" t="n">
        <v>46247</v>
      </c>
      <c r="H484" s="22" t="n">
        <v>624340</v>
      </c>
      <c r="I484" s="22" t="s">
        <v>7761</v>
      </c>
      <c r="J484" s="31" t="n">
        <v>149.8</v>
      </c>
      <c r="K484" s="26" t="n">
        <v>1329.72</v>
      </c>
      <c r="L484" s="26" t="n">
        <v>372.57</v>
      </c>
      <c r="M484" s="22" t="s">
        <v>700</v>
      </c>
      <c r="N484" s="22" t="n">
        <f aca="false">MATCH(M484,'Tabela Passaro'!$A$2:$A$1795,0)</f>
        <v>108</v>
      </c>
      <c r="O484" s="22" t="str">
        <f aca="false">INDEX('Tabela Passaro'!$C$2:$C$1795,$N484)</f>
        <v>FEIRA DE SANTANA</v>
      </c>
      <c r="P484" s="22" t="str">
        <f aca="false">INDEX('Tabela Passaro'!$B$2:$B$1795,$N484)</f>
        <v>BA</v>
      </c>
      <c r="Q484" s="22" t="n">
        <f aca="false">INDEX('Tabela Passaro'!$F$2:$F$1795,$N484)</f>
        <v>5</v>
      </c>
      <c r="R484" s="32" t="n">
        <f aca="false">IF(J484&lt;=10,INDEX('Tabela Passaro'!$G$2:$G$1795,$N484),IF(J484&lt;=30,INDEX('Tabela Passaro'!$H$2:$H$1795,$N484),IF(J484&lt;=50,INDEX('Tabela Passaro'!$I$2:$I$1795,$N484),IF(J484&lt;=70,INDEX('Tabela Passaro'!$J$2:$J$1795,$N484),IF(J484&lt;=100,INDEX('Tabela Passaro'!$K$2:$K$1795,$N484),INDEX('Tabela Passaro'!$K$2:$K$1795,$N484)+(J484-100)*INDEX('Tabela Passaro'!$L$2:$L$1795,$N484))))))</f>
        <v>139.934</v>
      </c>
      <c r="S484" s="32" t="n">
        <f aca="false">K484*INDEX('Tabela Passaro'!$M$2:$M$1795,$N484)</f>
        <v>6.6486</v>
      </c>
      <c r="T484" s="32" t="n">
        <f aca="false">K484*INDEX('Tabela Passaro'!$N$2:$N$1795,$N484)</f>
        <v>2.65944</v>
      </c>
      <c r="U484" s="32" t="n">
        <f aca="false">INDEX('Tabela Passaro'!$O$2:$O$1795,$N484)</f>
        <v>5</v>
      </c>
      <c r="V484" s="32" t="n">
        <f aca="false">ROUNDUP(J484/INDEX('Tabela Passaro'!$Q$2:$Q$1795,$N484),0)*INDEX('Tabela Passaro'!$P$2:$P$1795,$N484)</f>
        <v>10</v>
      </c>
      <c r="W484" s="32" t="n">
        <f aca="false">INDEX('Tabela Passaro'!$R$2:$R$1795,$N484)</f>
        <v>30</v>
      </c>
      <c r="X484" s="32" t="n">
        <f aca="false">ROUNDUP(J484/INDEX('Tabela Passaro'!$T$2:$T$1795,$N484),0)*INDEX('Tabela Passaro'!$S$2:$S$1795,$N484)</f>
        <v>0</v>
      </c>
      <c r="Y484" s="32" t="n">
        <f aca="false">INDEX('Tabela Passaro'!$U$2:$U$1795,$N484)</f>
        <v>0</v>
      </c>
      <c r="Z484" s="32" t="n">
        <f aca="false">INDEX('Tabela Passaro'!$V$2:$V$1795,$N484)</f>
        <v>0</v>
      </c>
      <c r="AA484" s="32" t="n">
        <f aca="false">SUM(R484:Z484)</f>
        <v>194.24204</v>
      </c>
      <c r="AB484" s="33" t="n">
        <f aca="false">INDEX(Premissas!$B$5:$B$13,MATCH(A484,Premissas!$A$5:$A$13,0))</f>
        <v>0.07</v>
      </c>
      <c r="AC484" s="32" t="n">
        <f aca="false">AA484/(1-AB484)-AA484</f>
        <v>14.6203686021506</v>
      </c>
      <c r="AD484" s="32" t="n">
        <f aca="false">ROUND(AA484+AC484,2)</f>
        <v>208.86</v>
      </c>
      <c r="AE484" s="32" t="n">
        <f aca="false">AD484-L484</f>
        <v>-163.71</v>
      </c>
      <c r="AF484" s="34" t="n">
        <f aca="false">IF(L484=0,0,AE484/L484)</f>
        <v>-0.439407359690796</v>
      </c>
      <c r="AG484" s="22" t="str">
        <f aca="false">IF(AD484&lt;L484,"PASSARO","ATUAL")</f>
        <v>PASSARO</v>
      </c>
      <c r="AH484" s="22" t="str">
        <f aca="false">IF(P484&lt;&gt;A484,"Faixa cadastrada como "&amp;P484&amp;" na tabela; preço aplicado pela UF do CEP","")</f>
        <v/>
      </c>
      <c r="AI484" s="26" t="n">
        <v>282.05</v>
      </c>
      <c r="AJ484" s="22" t="str">
        <f aca="false">INDEX('Tabela Passaro'!$X$2:$X$1795,$N484)</f>
        <v>FEIRA DE SANTANA</v>
      </c>
    </row>
    <row r="485" customFormat="false" ht="15" hidden="false" customHeight="false" outlineLevel="0" collapsed="false">
      <c r="A485" s="22" t="s">
        <v>16</v>
      </c>
      <c r="B485" s="22" t="n">
        <v>2</v>
      </c>
      <c r="C485" s="22" t="s">
        <v>77</v>
      </c>
      <c r="D485" s="22" t="s">
        <v>30</v>
      </c>
      <c r="E485" s="22" t="s">
        <v>7328</v>
      </c>
      <c r="F485" s="22" t="n">
        <v>2312406</v>
      </c>
      <c r="G485" s="30" t="n">
        <v>46248</v>
      </c>
      <c r="H485" s="22" t="n">
        <v>133323</v>
      </c>
      <c r="I485" s="22" t="s">
        <v>7762</v>
      </c>
      <c r="J485" s="31" t="n">
        <v>79.26</v>
      </c>
      <c r="K485" s="26" t="n">
        <v>936.15</v>
      </c>
      <c r="L485" s="26" t="n">
        <v>222.63</v>
      </c>
      <c r="M485" s="22" t="s">
        <v>700</v>
      </c>
      <c r="N485" s="22" t="n">
        <f aca="false">MATCH(M485,'Tabela Passaro'!$A$2:$A$1795,0)</f>
        <v>108</v>
      </c>
      <c r="O485" s="22" t="str">
        <f aca="false">INDEX('Tabela Passaro'!$C$2:$C$1795,$N485)</f>
        <v>FEIRA DE SANTANA</v>
      </c>
      <c r="P485" s="22" t="str">
        <f aca="false">INDEX('Tabela Passaro'!$B$2:$B$1795,$N485)</f>
        <v>BA</v>
      </c>
      <c r="Q485" s="22" t="n">
        <f aca="false">INDEX('Tabela Passaro'!$F$2:$F$1795,$N485)</f>
        <v>5</v>
      </c>
      <c r="R485" s="32" t="n">
        <f aca="false">IF(J485&lt;=10,INDEX('Tabela Passaro'!$G$2:$G$1795,$N485),IF(J485&lt;=30,INDEX('Tabela Passaro'!$H$2:$H$1795,$N485),IF(J485&lt;=50,INDEX('Tabela Passaro'!$I$2:$I$1795,$N485),IF(J485&lt;=70,INDEX('Tabela Passaro'!$J$2:$J$1795,$N485),IF(J485&lt;=100,INDEX('Tabela Passaro'!$K$2:$K$1795,$N485),INDEX('Tabela Passaro'!$K$2:$K$1795,$N485)+(J485-100)*INDEX('Tabela Passaro'!$L$2:$L$1795,$N485))))))</f>
        <v>83.66</v>
      </c>
      <c r="S485" s="32" t="n">
        <f aca="false">K485*INDEX('Tabela Passaro'!$M$2:$M$1795,$N485)</f>
        <v>4.68075</v>
      </c>
      <c r="T485" s="32" t="n">
        <f aca="false">K485*INDEX('Tabela Passaro'!$N$2:$N$1795,$N485)</f>
        <v>1.8723</v>
      </c>
      <c r="U485" s="32" t="n">
        <f aca="false">INDEX('Tabela Passaro'!$O$2:$O$1795,$N485)</f>
        <v>5</v>
      </c>
      <c r="V485" s="32" t="n">
        <f aca="false">ROUNDUP(J485/INDEX('Tabela Passaro'!$Q$2:$Q$1795,$N485),0)*INDEX('Tabela Passaro'!$P$2:$P$1795,$N485)</f>
        <v>5</v>
      </c>
      <c r="W485" s="32" t="n">
        <f aca="false">INDEX('Tabela Passaro'!$R$2:$R$1795,$N485)</f>
        <v>30</v>
      </c>
      <c r="X485" s="32" t="n">
        <f aca="false">ROUNDUP(J485/INDEX('Tabela Passaro'!$T$2:$T$1795,$N485),0)*INDEX('Tabela Passaro'!$S$2:$S$1795,$N485)</f>
        <v>0</v>
      </c>
      <c r="Y485" s="32" t="n">
        <f aca="false">INDEX('Tabela Passaro'!$U$2:$U$1795,$N485)</f>
        <v>0</v>
      </c>
      <c r="Z485" s="32" t="n">
        <f aca="false">INDEX('Tabela Passaro'!$V$2:$V$1795,$N485)</f>
        <v>0</v>
      </c>
      <c r="AA485" s="32" t="n">
        <f aca="false">SUM(R485:Z485)</f>
        <v>130.21305</v>
      </c>
      <c r="AB485" s="33" t="n">
        <f aca="false">INDEX(Premissas!$B$5:$B$13,MATCH(A485,Premissas!$A$5:$A$13,0))</f>
        <v>0.07</v>
      </c>
      <c r="AC485" s="32" t="n">
        <f aca="false">AA485/(1-AB485)-AA485</f>
        <v>9.80098225806452</v>
      </c>
      <c r="AD485" s="32" t="n">
        <f aca="false">ROUND(AA485+AC485,2)</f>
        <v>140.01</v>
      </c>
      <c r="AE485" s="32" t="n">
        <f aca="false">AD485-L485</f>
        <v>-82.62</v>
      </c>
      <c r="AF485" s="34" t="n">
        <f aca="false">IF(L485=0,0,AE485/L485)</f>
        <v>-0.371109014957553</v>
      </c>
      <c r="AG485" s="22" t="str">
        <f aca="false">IF(AD485&lt;L485,"PASSARO","ATUAL")</f>
        <v>PASSARO</v>
      </c>
      <c r="AH485" s="22" t="str">
        <f aca="false">IF(P485&lt;&gt;A485,"Faixa cadastrada como "&amp;P485&amp;" na tabela; preço aplicado pela UF do CEP","")</f>
        <v/>
      </c>
      <c r="AI485" s="26" t="n">
        <v>170.98</v>
      </c>
      <c r="AJ485" s="22" t="str">
        <f aca="false">INDEX('Tabela Passaro'!$X$2:$X$1795,$N485)</f>
        <v>FEIRA DE SANTANA</v>
      </c>
    </row>
    <row r="486" customFormat="false" ht="15" hidden="false" customHeight="false" outlineLevel="0" collapsed="false">
      <c r="A486" s="22" t="s">
        <v>16</v>
      </c>
      <c r="B486" s="22" t="n">
        <v>2</v>
      </c>
      <c r="C486" s="22" t="s">
        <v>77</v>
      </c>
      <c r="D486" s="22" t="s">
        <v>30</v>
      </c>
      <c r="E486" s="22" t="s">
        <v>7328</v>
      </c>
      <c r="F486" s="22" t="n">
        <v>2312462</v>
      </c>
      <c r="G486" s="30" t="n">
        <v>46248</v>
      </c>
      <c r="H486" s="22" t="n">
        <v>133367</v>
      </c>
      <c r="I486" s="22" t="s">
        <v>7763</v>
      </c>
      <c r="J486" s="31" t="n">
        <v>51.06</v>
      </c>
      <c r="K486" s="26" t="n">
        <v>867.64</v>
      </c>
      <c r="L486" s="26" t="n">
        <v>189.38</v>
      </c>
      <c r="M486" s="22" t="s">
        <v>700</v>
      </c>
      <c r="N486" s="22" t="n">
        <f aca="false">MATCH(M486,'Tabela Passaro'!$A$2:$A$1795,0)</f>
        <v>108</v>
      </c>
      <c r="O486" s="22" t="str">
        <f aca="false">INDEX('Tabela Passaro'!$C$2:$C$1795,$N486)</f>
        <v>FEIRA DE SANTANA</v>
      </c>
      <c r="P486" s="22" t="str">
        <f aca="false">INDEX('Tabela Passaro'!$B$2:$B$1795,$N486)</f>
        <v>BA</v>
      </c>
      <c r="Q486" s="22" t="n">
        <f aca="false">INDEX('Tabela Passaro'!$F$2:$F$1795,$N486)</f>
        <v>5</v>
      </c>
      <c r="R486" s="32" t="n">
        <f aca="false">IF(J486&lt;=10,INDEX('Tabela Passaro'!$G$2:$G$1795,$N486),IF(J486&lt;=30,INDEX('Tabela Passaro'!$H$2:$H$1795,$N486),IF(J486&lt;=50,INDEX('Tabela Passaro'!$I$2:$I$1795,$N486),IF(J486&lt;=70,INDEX('Tabela Passaro'!$J$2:$J$1795,$N486),IF(J486&lt;=100,INDEX('Tabela Passaro'!$K$2:$K$1795,$N486),INDEX('Tabela Passaro'!$K$2:$K$1795,$N486)+(J486-100)*INDEX('Tabela Passaro'!$L$2:$L$1795,$N486))))))</f>
        <v>72.14</v>
      </c>
      <c r="S486" s="32" t="n">
        <f aca="false">K486*INDEX('Tabela Passaro'!$M$2:$M$1795,$N486)</f>
        <v>4.3382</v>
      </c>
      <c r="T486" s="32" t="n">
        <f aca="false">K486*INDEX('Tabela Passaro'!$N$2:$N$1795,$N486)</f>
        <v>1.73528</v>
      </c>
      <c r="U486" s="32" t="n">
        <f aca="false">INDEX('Tabela Passaro'!$O$2:$O$1795,$N486)</f>
        <v>5</v>
      </c>
      <c r="V486" s="32" t="n">
        <f aca="false">ROUNDUP(J486/INDEX('Tabela Passaro'!$Q$2:$Q$1795,$N486),0)*INDEX('Tabela Passaro'!$P$2:$P$1795,$N486)</f>
        <v>5</v>
      </c>
      <c r="W486" s="32" t="n">
        <f aca="false">INDEX('Tabela Passaro'!$R$2:$R$1795,$N486)</f>
        <v>30</v>
      </c>
      <c r="X486" s="32" t="n">
        <f aca="false">ROUNDUP(J486/INDEX('Tabela Passaro'!$T$2:$T$1795,$N486),0)*INDEX('Tabela Passaro'!$S$2:$S$1795,$N486)</f>
        <v>0</v>
      </c>
      <c r="Y486" s="32" t="n">
        <f aca="false">INDEX('Tabela Passaro'!$U$2:$U$1795,$N486)</f>
        <v>0</v>
      </c>
      <c r="Z486" s="32" t="n">
        <f aca="false">INDEX('Tabela Passaro'!$V$2:$V$1795,$N486)</f>
        <v>0</v>
      </c>
      <c r="AA486" s="32" t="n">
        <f aca="false">SUM(R486:Z486)</f>
        <v>118.21348</v>
      </c>
      <c r="AB486" s="33" t="n">
        <f aca="false">INDEX(Premissas!$B$5:$B$13,MATCH(A486,Premissas!$A$5:$A$13,0))</f>
        <v>0.07</v>
      </c>
      <c r="AC486" s="32" t="n">
        <f aca="false">AA486/(1-AB486)-AA486</f>
        <v>8.89778881720432</v>
      </c>
      <c r="AD486" s="32" t="n">
        <f aca="false">ROUND(AA486+AC486,2)</f>
        <v>127.11</v>
      </c>
      <c r="AE486" s="32" t="n">
        <f aca="false">AD486-L486</f>
        <v>-62.27</v>
      </c>
      <c r="AF486" s="34" t="n">
        <f aca="false">IF(L486=0,0,AE486/L486)</f>
        <v>-0.32880980040131</v>
      </c>
      <c r="AG486" s="22" t="str">
        <f aca="false">IF(AD486&lt;L486,"PASSARO","ATUAL")</f>
        <v>PASSARO</v>
      </c>
      <c r="AH486" s="22" t="str">
        <f aca="false">IF(P486&lt;&gt;A486,"Faixa cadastrada como "&amp;P486&amp;" na tabela; preço aplicado pela UF do CEP","")</f>
        <v/>
      </c>
      <c r="AI486" s="26" t="n">
        <v>144.26</v>
      </c>
      <c r="AJ486" s="22" t="str">
        <f aca="false">INDEX('Tabela Passaro'!$X$2:$X$1795,$N486)</f>
        <v>FEIRA DE SANTANA</v>
      </c>
    </row>
    <row r="487" customFormat="false" ht="15" hidden="false" customHeight="false" outlineLevel="0" collapsed="false">
      <c r="A487" s="22" t="s">
        <v>16</v>
      </c>
      <c r="B487" s="22" t="n">
        <v>2</v>
      </c>
      <c r="C487" s="22" t="s">
        <v>77</v>
      </c>
      <c r="D487" s="22" t="s">
        <v>30</v>
      </c>
      <c r="E487" s="22" t="s">
        <v>7326</v>
      </c>
      <c r="F487" s="22" t="n">
        <v>525368</v>
      </c>
      <c r="G487" s="30" t="n">
        <v>46251</v>
      </c>
      <c r="H487" s="22" t="n">
        <v>625358</v>
      </c>
      <c r="I487" s="22" t="s">
        <v>7764</v>
      </c>
      <c r="J487" s="31" t="n">
        <v>73.1</v>
      </c>
      <c r="K487" s="26" t="n">
        <v>1224.34</v>
      </c>
      <c r="L487" s="26" t="n">
        <v>272.46</v>
      </c>
      <c r="M487" s="22" t="s">
        <v>700</v>
      </c>
      <c r="N487" s="22" t="n">
        <f aca="false">MATCH(M487,'Tabela Passaro'!$A$2:$A$1795,0)</f>
        <v>108</v>
      </c>
      <c r="O487" s="22" t="str">
        <f aca="false">INDEX('Tabela Passaro'!$C$2:$C$1795,$N487)</f>
        <v>FEIRA DE SANTANA</v>
      </c>
      <c r="P487" s="22" t="str">
        <f aca="false">INDEX('Tabela Passaro'!$B$2:$B$1795,$N487)</f>
        <v>BA</v>
      </c>
      <c r="Q487" s="22" t="n">
        <f aca="false">INDEX('Tabela Passaro'!$F$2:$F$1795,$N487)</f>
        <v>5</v>
      </c>
      <c r="R487" s="32" t="n">
        <f aca="false">IF(J487&lt;=10,INDEX('Tabela Passaro'!$G$2:$G$1795,$N487),IF(J487&lt;=30,INDEX('Tabela Passaro'!$H$2:$H$1795,$N487),IF(J487&lt;=50,INDEX('Tabela Passaro'!$I$2:$I$1795,$N487),IF(J487&lt;=70,INDEX('Tabela Passaro'!$J$2:$J$1795,$N487),IF(J487&lt;=100,INDEX('Tabela Passaro'!$K$2:$K$1795,$N487),INDEX('Tabela Passaro'!$K$2:$K$1795,$N487)+(J487-100)*INDEX('Tabela Passaro'!$L$2:$L$1795,$N487))))))</f>
        <v>83.66</v>
      </c>
      <c r="S487" s="32" t="n">
        <f aca="false">K487*INDEX('Tabela Passaro'!$M$2:$M$1795,$N487)</f>
        <v>6.1217</v>
      </c>
      <c r="T487" s="32" t="n">
        <f aca="false">K487*INDEX('Tabela Passaro'!$N$2:$N$1795,$N487)</f>
        <v>2.44868</v>
      </c>
      <c r="U487" s="32" t="n">
        <f aca="false">INDEX('Tabela Passaro'!$O$2:$O$1795,$N487)</f>
        <v>5</v>
      </c>
      <c r="V487" s="32" t="n">
        <f aca="false">ROUNDUP(J487/INDEX('Tabela Passaro'!$Q$2:$Q$1795,$N487),0)*INDEX('Tabela Passaro'!$P$2:$P$1795,$N487)</f>
        <v>5</v>
      </c>
      <c r="W487" s="32" t="n">
        <f aca="false">INDEX('Tabela Passaro'!$R$2:$R$1795,$N487)</f>
        <v>30</v>
      </c>
      <c r="X487" s="32" t="n">
        <f aca="false">ROUNDUP(J487/INDEX('Tabela Passaro'!$T$2:$T$1795,$N487),0)*INDEX('Tabela Passaro'!$S$2:$S$1795,$N487)</f>
        <v>0</v>
      </c>
      <c r="Y487" s="32" t="n">
        <f aca="false">INDEX('Tabela Passaro'!$U$2:$U$1795,$N487)</f>
        <v>0</v>
      </c>
      <c r="Z487" s="32" t="n">
        <f aca="false">INDEX('Tabela Passaro'!$V$2:$V$1795,$N487)</f>
        <v>0</v>
      </c>
      <c r="AA487" s="32" t="n">
        <f aca="false">SUM(R487:Z487)</f>
        <v>132.23038</v>
      </c>
      <c r="AB487" s="33" t="n">
        <f aca="false">INDEX(Premissas!$B$5:$B$13,MATCH(A487,Premissas!$A$5:$A$13,0))</f>
        <v>0.07</v>
      </c>
      <c r="AC487" s="32" t="n">
        <f aca="false">AA487/(1-AB487)-AA487</f>
        <v>9.95282430107528</v>
      </c>
      <c r="AD487" s="32" t="n">
        <f aca="false">ROUND(AA487+AC487,2)</f>
        <v>142.18</v>
      </c>
      <c r="AE487" s="32" t="n">
        <f aca="false">AD487-L487</f>
        <v>-130.28</v>
      </c>
      <c r="AF487" s="34" t="n">
        <f aca="false">IF(L487=0,0,AE487/L487)</f>
        <v>-0.478161932026719</v>
      </c>
      <c r="AG487" s="22" t="str">
        <f aca="false">IF(AD487&lt;L487,"PASSARO","ATUAL")</f>
        <v>PASSARO</v>
      </c>
      <c r="AH487" s="22" t="str">
        <f aca="false">IF(P487&lt;&gt;A487,"Faixa cadastrada como "&amp;P487&amp;" na tabela; preço aplicado pela UF do CEP","")</f>
        <v/>
      </c>
      <c r="AI487" s="26" t="n">
        <v>170.87</v>
      </c>
      <c r="AJ487" s="22" t="str">
        <f aca="false">INDEX('Tabela Passaro'!$X$2:$X$1795,$N487)</f>
        <v>FEIRA DE SANTANA</v>
      </c>
    </row>
    <row r="488" customFormat="false" ht="15" hidden="false" customHeight="false" outlineLevel="0" collapsed="false">
      <c r="A488" s="22" t="s">
        <v>16</v>
      </c>
      <c r="B488" s="22" t="n">
        <v>2</v>
      </c>
      <c r="C488" s="22" t="s">
        <v>77</v>
      </c>
      <c r="D488" s="22" t="s">
        <v>30</v>
      </c>
      <c r="E488" s="22" t="s">
        <v>7326</v>
      </c>
      <c r="F488" s="22" t="n">
        <v>525725</v>
      </c>
      <c r="G488" s="30" t="n">
        <v>46252</v>
      </c>
      <c r="H488" s="22" t="n">
        <v>626343</v>
      </c>
      <c r="I488" s="22" t="s">
        <v>7765</v>
      </c>
      <c r="J488" s="31" t="n">
        <v>107.7</v>
      </c>
      <c r="K488" s="26" t="n">
        <v>1724.58</v>
      </c>
      <c r="L488" s="26" t="n">
        <v>314.81</v>
      </c>
      <c r="M488" s="22" t="s">
        <v>700</v>
      </c>
      <c r="N488" s="22" t="n">
        <f aca="false">MATCH(M488,'Tabela Passaro'!$A$2:$A$1795,0)</f>
        <v>108</v>
      </c>
      <c r="O488" s="22" t="str">
        <f aca="false">INDEX('Tabela Passaro'!$C$2:$C$1795,$N488)</f>
        <v>FEIRA DE SANTANA</v>
      </c>
      <c r="P488" s="22" t="str">
        <f aca="false">INDEX('Tabela Passaro'!$B$2:$B$1795,$N488)</f>
        <v>BA</v>
      </c>
      <c r="Q488" s="22" t="n">
        <f aca="false">INDEX('Tabela Passaro'!$F$2:$F$1795,$N488)</f>
        <v>5</v>
      </c>
      <c r="R488" s="32" t="n">
        <f aca="false">IF(J488&lt;=10,INDEX('Tabela Passaro'!$G$2:$G$1795,$N488),IF(J488&lt;=30,INDEX('Tabela Passaro'!$H$2:$H$1795,$N488),IF(J488&lt;=50,INDEX('Tabela Passaro'!$I$2:$I$1795,$N488),IF(J488&lt;=70,INDEX('Tabela Passaro'!$J$2:$J$1795,$N488),IF(J488&lt;=100,INDEX('Tabela Passaro'!$K$2:$K$1795,$N488),INDEX('Tabela Passaro'!$K$2:$K$1795,$N488)+(J488-100)*INDEX('Tabela Passaro'!$L$2:$L$1795,$N488))))))</f>
        <v>92.361</v>
      </c>
      <c r="S488" s="32" t="n">
        <f aca="false">K488*INDEX('Tabela Passaro'!$M$2:$M$1795,$N488)</f>
        <v>8.6229</v>
      </c>
      <c r="T488" s="32" t="n">
        <f aca="false">K488*INDEX('Tabela Passaro'!$N$2:$N$1795,$N488)</f>
        <v>3.44916</v>
      </c>
      <c r="U488" s="32" t="n">
        <f aca="false">INDEX('Tabela Passaro'!$O$2:$O$1795,$N488)</f>
        <v>5</v>
      </c>
      <c r="V488" s="32" t="n">
        <f aca="false">ROUNDUP(J488/INDEX('Tabela Passaro'!$Q$2:$Q$1795,$N488),0)*INDEX('Tabela Passaro'!$P$2:$P$1795,$N488)</f>
        <v>10</v>
      </c>
      <c r="W488" s="32" t="n">
        <f aca="false">INDEX('Tabela Passaro'!$R$2:$R$1795,$N488)</f>
        <v>30</v>
      </c>
      <c r="X488" s="32" t="n">
        <f aca="false">ROUNDUP(J488/INDEX('Tabela Passaro'!$T$2:$T$1795,$N488),0)*INDEX('Tabela Passaro'!$S$2:$S$1795,$N488)</f>
        <v>0</v>
      </c>
      <c r="Y488" s="32" t="n">
        <f aca="false">INDEX('Tabela Passaro'!$U$2:$U$1795,$N488)</f>
        <v>0</v>
      </c>
      <c r="Z488" s="32" t="n">
        <f aca="false">INDEX('Tabela Passaro'!$V$2:$V$1795,$N488)</f>
        <v>0</v>
      </c>
      <c r="AA488" s="32" t="n">
        <f aca="false">SUM(R488:Z488)</f>
        <v>149.43306</v>
      </c>
      <c r="AB488" s="33" t="n">
        <f aca="false">INDEX(Premissas!$B$5:$B$13,MATCH(A488,Premissas!$A$5:$A$13,0))</f>
        <v>0.07</v>
      </c>
      <c r="AC488" s="32" t="n">
        <f aca="false">AA488/(1-AB488)-AA488</f>
        <v>11.2476496774194</v>
      </c>
      <c r="AD488" s="32" t="n">
        <f aca="false">ROUND(AA488+AC488,2)</f>
        <v>160.68</v>
      </c>
      <c r="AE488" s="32" t="n">
        <f aca="false">AD488-L488</f>
        <v>-154.13</v>
      </c>
      <c r="AF488" s="34" t="n">
        <f aca="false">IF(L488=0,0,AE488/L488)</f>
        <v>-0.48959689971729</v>
      </c>
      <c r="AG488" s="22" t="str">
        <f aca="false">IF(AD488&lt;L488,"PASSARO","ATUAL")</f>
        <v>PASSARO</v>
      </c>
      <c r="AH488" s="22" t="str">
        <f aca="false">IF(P488&lt;&gt;A488,"Faixa cadastrada como "&amp;P488&amp;" na tabela; preço aplicado pela UF do CEP","")</f>
        <v/>
      </c>
      <c r="AI488" s="26" t="n">
        <v>208.05</v>
      </c>
      <c r="AJ488" s="22" t="str">
        <f aca="false">INDEX('Tabela Passaro'!$X$2:$X$1795,$N488)</f>
        <v>FEIRA DE SANTANA</v>
      </c>
    </row>
    <row r="489" customFormat="false" ht="15" hidden="false" customHeight="false" outlineLevel="0" collapsed="false">
      <c r="A489" s="22" t="s">
        <v>16</v>
      </c>
      <c r="B489" s="22" t="n">
        <v>2</v>
      </c>
      <c r="C489" s="22" t="s">
        <v>77</v>
      </c>
      <c r="D489" s="22" t="s">
        <v>30</v>
      </c>
      <c r="E489" s="22" t="s">
        <v>7326</v>
      </c>
      <c r="F489" s="22" t="n">
        <v>526672</v>
      </c>
      <c r="G489" s="30" t="n">
        <v>46255</v>
      </c>
      <c r="H489" s="22" t="n">
        <v>627722</v>
      </c>
      <c r="I489" s="22" t="s">
        <v>7766</v>
      </c>
      <c r="J489" s="31" t="n">
        <v>45.4</v>
      </c>
      <c r="K489" s="26" t="n">
        <v>652.48</v>
      </c>
      <c r="L489" s="26" t="n">
        <v>171.17</v>
      </c>
      <c r="M489" s="22" t="s">
        <v>700</v>
      </c>
      <c r="N489" s="22" t="n">
        <f aca="false">MATCH(M489,'Tabela Passaro'!$A$2:$A$1795,0)</f>
        <v>108</v>
      </c>
      <c r="O489" s="22" t="str">
        <f aca="false">INDEX('Tabela Passaro'!$C$2:$C$1795,$N489)</f>
        <v>FEIRA DE SANTANA</v>
      </c>
      <c r="P489" s="22" t="str">
        <f aca="false">INDEX('Tabela Passaro'!$B$2:$B$1795,$N489)</f>
        <v>BA</v>
      </c>
      <c r="Q489" s="22" t="n">
        <f aca="false">INDEX('Tabela Passaro'!$F$2:$F$1795,$N489)</f>
        <v>5</v>
      </c>
      <c r="R489" s="32" t="n">
        <f aca="false">IF(J489&lt;=10,INDEX('Tabela Passaro'!$G$2:$G$1795,$N489),IF(J489&lt;=30,INDEX('Tabela Passaro'!$H$2:$H$1795,$N489),IF(J489&lt;=50,INDEX('Tabela Passaro'!$I$2:$I$1795,$N489),IF(J489&lt;=70,INDEX('Tabela Passaro'!$J$2:$J$1795,$N489),IF(J489&lt;=100,INDEX('Tabela Passaro'!$K$2:$K$1795,$N489),INDEX('Tabela Passaro'!$K$2:$K$1795,$N489)+(J489-100)*INDEX('Tabela Passaro'!$L$2:$L$1795,$N489))))))</f>
        <v>60.62</v>
      </c>
      <c r="S489" s="32" t="n">
        <f aca="false">K489*INDEX('Tabela Passaro'!$M$2:$M$1795,$N489)</f>
        <v>3.2624</v>
      </c>
      <c r="T489" s="32" t="n">
        <f aca="false">K489*INDEX('Tabela Passaro'!$N$2:$N$1795,$N489)</f>
        <v>1.30496</v>
      </c>
      <c r="U489" s="32" t="n">
        <f aca="false">INDEX('Tabela Passaro'!$O$2:$O$1795,$N489)</f>
        <v>5</v>
      </c>
      <c r="V489" s="32" t="n">
        <f aca="false">ROUNDUP(J489/INDEX('Tabela Passaro'!$Q$2:$Q$1795,$N489),0)*INDEX('Tabela Passaro'!$P$2:$P$1795,$N489)</f>
        <v>5</v>
      </c>
      <c r="W489" s="32" t="n">
        <f aca="false">INDEX('Tabela Passaro'!$R$2:$R$1795,$N489)</f>
        <v>30</v>
      </c>
      <c r="X489" s="32" t="n">
        <f aca="false">ROUNDUP(J489/INDEX('Tabela Passaro'!$T$2:$T$1795,$N489),0)*INDEX('Tabela Passaro'!$S$2:$S$1795,$N489)</f>
        <v>0</v>
      </c>
      <c r="Y489" s="32" t="n">
        <f aca="false">INDEX('Tabela Passaro'!$U$2:$U$1795,$N489)</f>
        <v>0</v>
      </c>
      <c r="Z489" s="32" t="n">
        <f aca="false">INDEX('Tabela Passaro'!$V$2:$V$1795,$N489)</f>
        <v>0</v>
      </c>
      <c r="AA489" s="32" t="n">
        <f aca="false">SUM(R489:Z489)</f>
        <v>105.18736</v>
      </c>
      <c r="AB489" s="33" t="n">
        <f aca="false">INDEX(Premissas!$B$5:$B$13,MATCH(A489,Premissas!$A$5:$A$13,0))</f>
        <v>0.07</v>
      </c>
      <c r="AC489" s="32" t="n">
        <f aca="false">AA489/(1-AB489)-AA489</f>
        <v>7.91732817204301</v>
      </c>
      <c r="AD489" s="32" t="n">
        <f aca="false">ROUND(AA489+AC489,2)</f>
        <v>113.1</v>
      </c>
      <c r="AE489" s="32" t="n">
        <f aca="false">AD489-L489</f>
        <v>-58.07</v>
      </c>
      <c r="AF489" s="34" t="n">
        <f aca="false">IF(L489=0,0,AE489/L489)</f>
        <v>-0.339253373838874</v>
      </c>
      <c r="AG489" s="22" t="str">
        <f aca="false">IF(AD489&lt;L489,"PASSARO","ATUAL")</f>
        <v>PASSARO</v>
      </c>
      <c r="AH489" s="22" t="str">
        <f aca="false">IF(P489&lt;&gt;A489,"Faixa cadastrada como "&amp;P489&amp;" na tabela; preço aplicado pela UF do CEP","")</f>
        <v/>
      </c>
      <c r="AI489" s="26" t="n">
        <v>126.74</v>
      </c>
      <c r="AJ489" s="22" t="str">
        <f aca="false">INDEX('Tabela Passaro'!$X$2:$X$1795,$N489)</f>
        <v>FEIRA DE SANTANA</v>
      </c>
    </row>
    <row r="490" customFormat="false" ht="15" hidden="false" customHeight="false" outlineLevel="0" collapsed="false">
      <c r="A490" s="22" t="s">
        <v>16</v>
      </c>
      <c r="B490" s="22" t="n">
        <v>2</v>
      </c>
      <c r="C490" s="22" t="s">
        <v>77</v>
      </c>
      <c r="D490" s="22" t="s">
        <v>30</v>
      </c>
      <c r="E490" s="22" t="s">
        <v>7326</v>
      </c>
      <c r="F490" s="22" t="n">
        <v>526638</v>
      </c>
      <c r="G490" s="30" t="n">
        <v>46255</v>
      </c>
      <c r="H490" s="22" t="n">
        <v>628022</v>
      </c>
      <c r="I490" s="22" t="s">
        <v>7767</v>
      </c>
      <c r="J490" s="31" t="n">
        <v>43.5</v>
      </c>
      <c r="K490" s="26" t="n">
        <v>840.98</v>
      </c>
      <c r="L490" s="26" t="n">
        <v>172.77</v>
      </c>
      <c r="M490" s="22" t="s">
        <v>700</v>
      </c>
      <c r="N490" s="22" t="n">
        <f aca="false">MATCH(M490,'Tabela Passaro'!$A$2:$A$1795,0)</f>
        <v>108</v>
      </c>
      <c r="O490" s="22" t="str">
        <f aca="false">INDEX('Tabela Passaro'!$C$2:$C$1795,$N490)</f>
        <v>FEIRA DE SANTANA</v>
      </c>
      <c r="P490" s="22" t="str">
        <f aca="false">INDEX('Tabela Passaro'!$B$2:$B$1795,$N490)</f>
        <v>BA</v>
      </c>
      <c r="Q490" s="22" t="n">
        <f aca="false">INDEX('Tabela Passaro'!$F$2:$F$1795,$N490)</f>
        <v>5</v>
      </c>
      <c r="R490" s="32" t="n">
        <f aca="false">IF(J490&lt;=10,INDEX('Tabela Passaro'!$G$2:$G$1795,$N490),IF(J490&lt;=30,INDEX('Tabela Passaro'!$H$2:$H$1795,$N490),IF(J490&lt;=50,INDEX('Tabela Passaro'!$I$2:$I$1795,$N490),IF(J490&lt;=70,INDEX('Tabela Passaro'!$J$2:$J$1795,$N490),IF(J490&lt;=100,INDEX('Tabela Passaro'!$K$2:$K$1795,$N490),INDEX('Tabela Passaro'!$K$2:$K$1795,$N490)+(J490-100)*INDEX('Tabela Passaro'!$L$2:$L$1795,$N490))))))</f>
        <v>60.62</v>
      </c>
      <c r="S490" s="32" t="n">
        <f aca="false">K490*INDEX('Tabela Passaro'!$M$2:$M$1795,$N490)</f>
        <v>4.2049</v>
      </c>
      <c r="T490" s="32" t="n">
        <f aca="false">K490*INDEX('Tabela Passaro'!$N$2:$N$1795,$N490)</f>
        <v>1.68196</v>
      </c>
      <c r="U490" s="32" t="n">
        <f aca="false">INDEX('Tabela Passaro'!$O$2:$O$1795,$N490)</f>
        <v>5</v>
      </c>
      <c r="V490" s="32" t="n">
        <f aca="false">ROUNDUP(J490/INDEX('Tabela Passaro'!$Q$2:$Q$1795,$N490),0)*INDEX('Tabela Passaro'!$P$2:$P$1795,$N490)</f>
        <v>5</v>
      </c>
      <c r="W490" s="32" t="n">
        <f aca="false">INDEX('Tabela Passaro'!$R$2:$R$1795,$N490)</f>
        <v>30</v>
      </c>
      <c r="X490" s="32" t="n">
        <f aca="false">ROUNDUP(J490/INDEX('Tabela Passaro'!$T$2:$T$1795,$N490),0)*INDEX('Tabela Passaro'!$S$2:$S$1795,$N490)</f>
        <v>0</v>
      </c>
      <c r="Y490" s="32" t="n">
        <f aca="false">INDEX('Tabela Passaro'!$U$2:$U$1795,$N490)</f>
        <v>0</v>
      </c>
      <c r="Z490" s="32" t="n">
        <f aca="false">INDEX('Tabela Passaro'!$V$2:$V$1795,$N490)</f>
        <v>0</v>
      </c>
      <c r="AA490" s="32" t="n">
        <f aca="false">SUM(R490:Z490)</f>
        <v>106.50686</v>
      </c>
      <c r="AB490" s="33" t="n">
        <f aca="false">INDEX(Premissas!$B$5:$B$13,MATCH(A490,Premissas!$A$5:$A$13,0))</f>
        <v>0.07</v>
      </c>
      <c r="AC490" s="32" t="n">
        <f aca="false">AA490/(1-AB490)-AA490</f>
        <v>8.01664537634409</v>
      </c>
      <c r="AD490" s="32" t="n">
        <f aca="false">ROUND(AA490+AC490,2)</f>
        <v>114.52</v>
      </c>
      <c r="AE490" s="32" t="n">
        <f aca="false">AD490-L490</f>
        <v>-58.25</v>
      </c>
      <c r="AF490" s="34" t="n">
        <f aca="false">IF(L490=0,0,AE490/L490)</f>
        <v>-0.337153440990913</v>
      </c>
      <c r="AG490" s="22" t="str">
        <f aca="false">IF(AD490&lt;L490,"PASSARO","ATUAL")</f>
        <v>PASSARO</v>
      </c>
      <c r="AH490" s="22" t="str">
        <f aca="false">IF(P490&lt;&gt;A490,"Faixa cadastrada como "&amp;P490&amp;" na tabela; preço aplicado pela UF do CEP","")</f>
        <v/>
      </c>
      <c r="AI490" s="26" t="n">
        <v>127.6</v>
      </c>
      <c r="AJ490" s="22" t="str">
        <f aca="false">INDEX('Tabela Passaro'!$X$2:$X$1795,$N490)</f>
        <v>FEIRA DE SANTANA</v>
      </c>
    </row>
    <row r="491" customFormat="false" ht="15" hidden="false" customHeight="false" outlineLevel="0" collapsed="false">
      <c r="A491" s="22" t="s">
        <v>16</v>
      </c>
      <c r="B491" s="22" t="n">
        <v>2</v>
      </c>
      <c r="C491" s="22" t="s">
        <v>77</v>
      </c>
      <c r="D491" s="22" t="s">
        <v>30</v>
      </c>
      <c r="E491" s="22" t="s">
        <v>7328</v>
      </c>
      <c r="F491" s="22" t="n">
        <v>2315665</v>
      </c>
      <c r="G491" s="30" t="n">
        <v>46258</v>
      </c>
      <c r="H491" s="22" t="n">
        <v>134391</v>
      </c>
      <c r="I491" s="22" t="s">
        <v>7768</v>
      </c>
      <c r="J491" s="31" t="n">
        <v>106.5</v>
      </c>
      <c r="K491" s="26" t="n">
        <v>1435.66</v>
      </c>
      <c r="L491" s="26" t="n">
        <v>250.45</v>
      </c>
      <c r="M491" s="22" t="s">
        <v>700</v>
      </c>
      <c r="N491" s="22" t="n">
        <f aca="false">MATCH(M491,'Tabela Passaro'!$A$2:$A$1795,0)</f>
        <v>108</v>
      </c>
      <c r="O491" s="22" t="str">
        <f aca="false">INDEX('Tabela Passaro'!$C$2:$C$1795,$N491)</f>
        <v>FEIRA DE SANTANA</v>
      </c>
      <c r="P491" s="22" t="str">
        <f aca="false">INDEX('Tabela Passaro'!$B$2:$B$1795,$N491)</f>
        <v>BA</v>
      </c>
      <c r="Q491" s="22" t="n">
        <f aca="false">INDEX('Tabela Passaro'!$F$2:$F$1795,$N491)</f>
        <v>5</v>
      </c>
      <c r="R491" s="32" t="n">
        <f aca="false">IF(J491&lt;=10,INDEX('Tabela Passaro'!$G$2:$G$1795,$N491),IF(J491&lt;=30,INDEX('Tabela Passaro'!$H$2:$H$1795,$N491),IF(J491&lt;=50,INDEX('Tabela Passaro'!$I$2:$I$1795,$N491),IF(J491&lt;=70,INDEX('Tabela Passaro'!$J$2:$J$1795,$N491),IF(J491&lt;=100,INDEX('Tabela Passaro'!$K$2:$K$1795,$N491),INDEX('Tabela Passaro'!$K$2:$K$1795,$N491)+(J491-100)*INDEX('Tabela Passaro'!$L$2:$L$1795,$N491))))))</f>
        <v>91.005</v>
      </c>
      <c r="S491" s="32" t="n">
        <f aca="false">K491*INDEX('Tabela Passaro'!$M$2:$M$1795,$N491)</f>
        <v>7.1783</v>
      </c>
      <c r="T491" s="32" t="n">
        <f aca="false">K491*INDEX('Tabela Passaro'!$N$2:$N$1795,$N491)</f>
        <v>2.87132</v>
      </c>
      <c r="U491" s="32" t="n">
        <f aca="false">INDEX('Tabela Passaro'!$O$2:$O$1795,$N491)</f>
        <v>5</v>
      </c>
      <c r="V491" s="32" t="n">
        <f aca="false">ROUNDUP(J491/INDEX('Tabela Passaro'!$Q$2:$Q$1795,$N491),0)*INDEX('Tabela Passaro'!$P$2:$P$1795,$N491)</f>
        <v>10</v>
      </c>
      <c r="W491" s="32" t="n">
        <f aca="false">INDEX('Tabela Passaro'!$R$2:$R$1795,$N491)</f>
        <v>30</v>
      </c>
      <c r="X491" s="32" t="n">
        <f aca="false">ROUNDUP(J491/INDEX('Tabela Passaro'!$T$2:$T$1795,$N491),0)*INDEX('Tabela Passaro'!$S$2:$S$1795,$N491)</f>
        <v>0</v>
      </c>
      <c r="Y491" s="32" t="n">
        <f aca="false">INDEX('Tabela Passaro'!$U$2:$U$1795,$N491)</f>
        <v>0</v>
      </c>
      <c r="Z491" s="32" t="n">
        <f aca="false">INDEX('Tabela Passaro'!$V$2:$V$1795,$N491)</f>
        <v>0</v>
      </c>
      <c r="AA491" s="32" t="n">
        <f aca="false">SUM(R491:Z491)</f>
        <v>146.05462</v>
      </c>
      <c r="AB491" s="33" t="n">
        <f aca="false">INDEX(Premissas!$B$5:$B$13,MATCH(A491,Premissas!$A$5:$A$13,0))</f>
        <v>0.07</v>
      </c>
      <c r="AC491" s="32" t="n">
        <f aca="false">AA491/(1-AB491)-AA491</f>
        <v>10.9933584946237</v>
      </c>
      <c r="AD491" s="32" t="n">
        <f aca="false">ROUND(AA491+AC491,2)</f>
        <v>157.05</v>
      </c>
      <c r="AE491" s="32" t="n">
        <f aca="false">AD491-L491</f>
        <v>-93.4</v>
      </c>
      <c r="AF491" s="34" t="n">
        <f aca="false">IF(L491=0,0,AE491/L491)</f>
        <v>-0.37292872828908</v>
      </c>
      <c r="AG491" s="22" t="str">
        <f aca="false">IF(AD491&lt;L491,"PASSARO","ATUAL")</f>
        <v>PASSARO</v>
      </c>
      <c r="AH491" s="22" t="str">
        <f aca="false">IF(P491&lt;&gt;A491,"Faixa cadastrada como "&amp;P491&amp;" na tabela; preço aplicado pela UF do CEP","")</f>
        <v/>
      </c>
      <c r="AI491" s="26" t="n">
        <v>203.14</v>
      </c>
      <c r="AJ491" s="22" t="str">
        <f aca="false">INDEX('Tabela Passaro'!$X$2:$X$1795,$N491)</f>
        <v>FEIRA DE SANTANA</v>
      </c>
    </row>
    <row r="492" customFormat="false" ht="15" hidden="false" customHeight="false" outlineLevel="0" collapsed="false">
      <c r="A492" s="22" t="s">
        <v>16</v>
      </c>
      <c r="B492" s="22" t="n">
        <v>2</v>
      </c>
      <c r="C492" s="22" t="s">
        <v>77</v>
      </c>
      <c r="D492" s="22" t="s">
        <v>30</v>
      </c>
      <c r="E492" s="22" t="s">
        <v>7328</v>
      </c>
      <c r="F492" s="22" t="n">
        <v>2315681</v>
      </c>
      <c r="G492" s="30" t="n">
        <v>46258</v>
      </c>
      <c r="H492" s="22" t="n">
        <v>134407</v>
      </c>
      <c r="I492" s="22" t="s">
        <v>7769</v>
      </c>
      <c r="J492" s="31" t="n">
        <v>67.3</v>
      </c>
      <c r="K492" s="26" t="n">
        <v>998.98</v>
      </c>
      <c r="L492" s="26" t="n">
        <v>190.42</v>
      </c>
      <c r="M492" s="22" t="s">
        <v>700</v>
      </c>
      <c r="N492" s="22" t="n">
        <f aca="false">MATCH(M492,'Tabela Passaro'!$A$2:$A$1795,0)</f>
        <v>108</v>
      </c>
      <c r="O492" s="22" t="str">
        <f aca="false">INDEX('Tabela Passaro'!$C$2:$C$1795,$N492)</f>
        <v>FEIRA DE SANTANA</v>
      </c>
      <c r="P492" s="22" t="str">
        <f aca="false">INDEX('Tabela Passaro'!$B$2:$B$1795,$N492)</f>
        <v>BA</v>
      </c>
      <c r="Q492" s="22" t="n">
        <f aca="false">INDEX('Tabela Passaro'!$F$2:$F$1795,$N492)</f>
        <v>5</v>
      </c>
      <c r="R492" s="32" t="n">
        <f aca="false">IF(J492&lt;=10,INDEX('Tabela Passaro'!$G$2:$G$1795,$N492),IF(J492&lt;=30,INDEX('Tabela Passaro'!$H$2:$H$1795,$N492),IF(J492&lt;=50,INDEX('Tabela Passaro'!$I$2:$I$1795,$N492),IF(J492&lt;=70,INDEX('Tabela Passaro'!$J$2:$J$1795,$N492),IF(J492&lt;=100,INDEX('Tabela Passaro'!$K$2:$K$1795,$N492),INDEX('Tabela Passaro'!$K$2:$K$1795,$N492)+(J492-100)*INDEX('Tabela Passaro'!$L$2:$L$1795,$N492))))))</f>
        <v>72.14</v>
      </c>
      <c r="S492" s="32" t="n">
        <f aca="false">K492*INDEX('Tabela Passaro'!$M$2:$M$1795,$N492)</f>
        <v>4.9949</v>
      </c>
      <c r="T492" s="32" t="n">
        <f aca="false">K492*INDEX('Tabela Passaro'!$N$2:$N$1795,$N492)</f>
        <v>1.99796</v>
      </c>
      <c r="U492" s="32" t="n">
        <f aca="false">INDEX('Tabela Passaro'!$O$2:$O$1795,$N492)</f>
        <v>5</v>
      </c>
      <c r="V492" s="32" t="n">
        <f aca="false">ROUNDUP(J492/INDEX('Tabela Passaro'!$Q$2:$Q$1795,$N492),0)*INDEX('Tabela Passaro'!$P$2:$P$1795,$N492)</f>
        <v>5</v>
      </c>
      <c r="W492" s="32" t="n">
        <f aca="false">INDEX('Tabela Passaro'!$R$2:$R$1795,$N492)</f>
        <v>30</v>
      </c>
      <c r="X492" s="32" t="n">
        <f aca="false">ROUNDUP(J492/INDEX('Tabela Passaro'!$T$2:$T$1795,$N492),0)*INDEX('Tabela Passaro'!$S$2:$S$1795,$N492)</f>
        <v>0</v>
      </c>
      <c r="Y492" s="32" t="n">
        <f aca="false">INDEX('Tabela Passaro'!$U$2:$U$1795,$N492)</f>
        <v>0</v>
      </c>
      <c r="Z492" s="32" t="n">
        <f aca="false">INDEX('Tabela Passaro'!$V$2:$V$1795,$N492)</f>
        <v>0</v>
      </c>
      <c r="AA492" s="32" t="n">
        <f aca="false">SUM(R492:Z492)</f>
        <v>119.13286</v>
      </c>
      <c r="AB492" s="33" t="n">
        <f aca="false">INDEX(Premissas!$B$5:$B$13,MATCH(A492,Premissas!$A$5:$A$13,0))</f>
        <v>0.07</v>
      </c>
      <c r="AC492" s="32" t="n">
        <f aca="false">AA492/(1-AB492)-AA492</f>
        <v>8.96698946236559</v>
      </c>
      <c r="AD492" s="32" t="n">
        <f aca="false">ROUND(AA492+AC492,2)</f>
        <v>128.1</v>
      </c>
      <c r="AE492" s="32" t="n">
        <f aca="false">AD492-L492</f>
        <v>-62.32</v>
      </c>
      <c r="AF492" s="34" t="n">
        <f aca="false">IF(L492=0,0,AE492/L492)</f>
        <v>-0.327276546581241</v>
      </c>
      <c r="AG492" s="22" t="str">
        <f aca="false">IF(AD492&lt;L492,"PASSARO","ATUAL")</f>
        <v>PASSARO</v>
      </c>
      <c r="AH492" s="22" t="str">
        <f aca="false">IF(P492&lt;&gt;A492,"Faixa cadastrada como "&amp;P492&amp;" na tabela; preço aplicado pela UF do CEP","")</f>
        <v/>
      </c>
      <c r="AI492" s="26" t="n">
        <v>153.27</v>
      </c>
      <c r="AJ492" s="22" t="str">
        <f aca="false">INDEX('Tabela Passaro'!$X$2:$X$1795,$N492)</f>
        <v>FEIRA DE SANTANA</v>
      </c>
    </row>
    <row r="493" customFormat="false" ht="15" hidden="false" customHeight="false" outlineLevel="0" collapsed="false">
      <c r="A493" s="22" t="s">
        <v>16</v>
      </c>
      <c r="B493" s="22" t="n">
        <v>2</v>
      </c>
      <c r="C493" s="22" t="s">
        <v>77</v>
      </c>
      <c r="D493" s="22" t="s">
        <v>30</v>
      </c>
      <c r="E493" s="22" t="s">
        <v>7328</v>
      </c>
      <c r="F493" s="22" t="n">
        <v>2315693</v>
      </c>
      <c r="G493" s="30" t="n">
        <v>46258</v>
      </c>
      <c r="H493" s="22" t="n">
        <v>134422</v>
      </c>
      <c r="I493" s="22" t="s">
        <v>7770</v>
      </c>
      <c r="J493" s="31" t="n">
        <v>67.8</v>
      </c>
      <c r="K493" s="26" t="n">
        <v>1219.99</v>
      </c>
      <c r="L493" s="26" t="n">
        <v>192.17</v>
      </c>
      <c r="M493" s="22" t="s">
        <v>700</v>
      </c>
      <c r="N493" s="22" t="n">
        <f aca="false">MATCH(M493,'Tabela Passaro'!$A$2:$A$1795,0)</f>
        <v>108</v>
      </c>
      <c r="O493" s="22" t="str">
        <f aca="false">INDEX('Tabela Passaro'!$C$2:$C$1795,$N493)</f>
        <v>FEIRA DE SANTANA</v>
      </c>
      <c r="P493" s="22" t="str">
        <f aca="false">INDEX('Tabela Passaro'!$B$2:$B$1795,$N493)</f>
        <v>BA</v>
      </c>
      <c r="Q493" s="22" t="n">
        <f aca="false">INDEX('Tabela Passaro'!$F$2:$F$1795,$N493)</f>
        <v>5</v>
      </c>
      <c r="R493" s="32" t="n">
        <f aca="false">IF(J493&lt;=10,INDEX('Tabela Passaro'!$G$2:$G$1795,$N493),IF(J493&lt;=30,INDEX('Tabela Passaro'!$H$2:$H$1795,$N493),IF(J493&lt;=50,INDEX('Tabela Passaro'!$I$2:$I$1795,$N493),IF(J493&lt;=70,INDEX('Tabela Passaro'!$J$2:$J$1795,$N493),IF(J493&lt;=100,INDEX('Tabela Passaro'!$K$2:$K$1795,$N493),INDEX('Tabela Passaro'!$K$2:$K$1795,$N493)+(J493-100)*INDEX('Tabela Passaro'!$L$2:$L$1795,$N493))))))</f>
        <v>72.14</v>
      </c>
      <c r="S493" s="32" t="n">
        <f aca="false">K493*INDEX('Tabela Passaro'!$M$2:$M$1795,$N493)</f>
        <v>6.09995</v>
      </c>
      <c r="T493" s="32" t="n">
        <f aca="false">K493*INDEX('Tabela Passaro'!$N$2:$N$1795,$N493)</f>
        <v>2.43998</v>
      </c>
      <c r="U493" s="32" t="n">
        <f aca="false">INDEX('Tabela Passaro'!$O$2:$O$1795,$N493)</f>
        <v>5</v>
      </c>
      <c r="V493" s="32" t="n">
        <f aca="false">ROUNDUP(J493/INDEX('Tabela Passaro'!$Q$2:$Q$1795,$N493),0)*INDEX('Tabela Passaro'!$P$2:$P$1795,$N493)</f>
        <v>5</v>
      </c>
      <c r="W493" s="32" t="n">
        <f aca="false">INDEX('Tabela Passaro'!$R$2:$R$1795,$N493)</f>
        <v>30</v>
      </c>
      <c r="X493" s="32" t="n">
        <f aca="false">ROUNDUP(J493/INDEX('Tabela Passaro'!$T$2:$T$1795,$N493),0)*INDEX('Tabela Passaro'!$S$2:$S$1795,$N493)</f>
        <v>0</v>
      </c>
      <c r="Y493" s="32" t="n">
        <f aca="false">INDEX('Tabela Passaro'!$U$2:$U$1795,$N493)</f>
        <v>0</v>
      </c>
      <c r="Z493" s="32" t="n">
        <f aca="false">INDEX('Tabela Passaro'!$V$2:$V$1795,$N493)</f>
        <v>0</v>
      </c>
      <c r="AA493" s="32" t="n">
        <f aca="false">SUM(R493:Z493)</f>
        <v>120.67993</v>
      </c>
      <c r="AB493" s="33" t="n">
        <f aca="false">INDEX(Premissas!$B$5:$B$13,MATCH(A493,Premissas!$A$5:$A$13,0))</f>
        <v>0.07</v>
      </c>
      <c r="AC493" s="32" t="n">
        <f aca="false">AA493/(1-AB493)-AA493</f>
        <v>9.08343559139784</v>
      </c>
      <c r="AD493" s="32" t="n">
        <f aca="false">ROUND(AA493+AC493,2)</f>
        <v>129.76</v>
      </c>
      <c r="AE493" s="32" t="n">
        <f aca="false">AD493-L493</f>
        <v>-62.41</v>
      </c>
      <c r="AF493" s="34" t="n">
        <f aca="false">IF(L493=0,0,AE493/L493)</f>
        <v>-0.324764531404486</v>
      </c>
      <c r="AG493" s="22" t="str">
        <f aca="false">IF(AD493&lt;L493,"PASSARO","ATUAL")</f>
        <v>PASSARO</v>
      </c>
      <c r="AH493" s="22" t="str">
        <f aca="false">IF(P493&lt;&gt;A493,"Faixa cadastrada como "&amp;P493&amp;" na tabela; preço aplicado pela UF do CEP","")</f>
        <v/>
      </c>
      <c r="AI493" s="26" t="n">
        <v>155.41</v>
      </c>
      <c r="AJ493" s="22" t="str">
        <f aca="false">INDEX('Tabela Passaro'!$X$2:$X$1795,$N493)</f>
        <v>FEIRA DE SANTANA</v>
      </c>
    </row>
    <row r="494" customFormat="false" ht="15" hidden="false" customHeight="false" outlineLevel="0" collapsed="false">
      <c r="A494" s="22" t="s">
        <v>16</v>
      </c>
      <c r="B494" s="22" t="n">
        <v>2</v>
      </c>
      <c r="C494" s="22" t="s">
        <v>77</v>
      </c>
      <c r="D494" s="22" t="s">
        <v>30</v>
      </c>
      <c r="E494" s="22" t="s">
        <v>7328</v>
      </c>
      <c r="F494" s="22" t="n">
        <v>2315618</v>
      </c>
      <c r="G494" s="30" t="n">
        <v>46258</v>
      </c>
      <c r="H494" s="22" t="n">
        <v>134943</v>
      </c>
      <c r="I494" s="22" t="s">
        <v>7771</v>
      </c>
      <c r="J494" s="31" t="n">
        <v>32.9</v>
      </c>
      <c r="K494" s="26" t="n">
        <v>570.43</v>
      </c>
      <c r="L494" s="26" t="n">
        <v>151.16</v>
      </c>
      <c r="M494" s="22" t="s">
        <v>700</v>
      </c>
      <c r="N494" s="22" t="n">
        <f aca="false">MATCH(M494,'Tabela Passaro'!$A$2:$A$1795,0)</f>
        <v>108</v>
      </c>
      <c r="O494" s="22" t="str">
        <f aca="false">INDEX('Tabela Passaro'!$C$2:$C$1795,$N494)</f>
        <v>FEIRA DE SANTANA</v>
      </c>
      <c r="P494" s="22" t="str">
        <f aca="false">INDEX('Tabela Passaro'!$B$2:$B$1795,$N494)</f>
        <v>BA</v>
      </c>
      <c r="Q494" s="22" t="n">
        <f aca="false">INDEX('Tabela Passaro'!$F$2:$F$1795,$N494)</f>
        <v>5</v>
      </c>
      <c r="R494" s="32" t="n">
        <f aca="false">IF(J494&lt;=10,INDEX('Tabela Passaro'!$G$2:$G$1795,$N494),IF(J494&lt;=30,INDEX('Tabela Passaro'!$H$2:$H$1795,$N494),IF(J494&lt;=50,INDEX('Tabela Passaro'!$I$2:$I$1795,$N494),IF(J494&lt;=70,INDEX('Tabela Passaro'!$J$2:$J$1795,$N494),IF(J494&lt;=100,INDEX('Tabela Passaro'!$K$2:$K$1795,$N494),INDEX('Tabela Passaro'!$K$2:$K$1795,$N494)+(J494-100)*INDEX('Tabela Passaro'!$L$2:$L$1795,$N494))))))</f>
        <v>60.62</v>
      </c>
      <c r="S494" s="32" t="n">
        <f aca="false">K494*INDEX('Tabela Passaro'!$M$2:$M$1795,$N494)</f>
        <v>2.85215</v>
      </c>
      <c r="T494" s="32" t="n">
        <f aca="false">K494*INDEX('Tabela Passaro'!$N$2:$N$1795,$N494)</f>
        <v>1.14086</v>
      </c>
      <c r="U494" s="32" t="n">
        <f aca="false">INDEX('Tabela Passaro'!$O$2:$O$1795,$N494)</f>
        <v>5</v>
      </c>
      <c r="V494" s="32" t="n">
        <f aca="false">ROUNDUP(J494/INDEX('Tabela Passaro'!$Q$2:$Q$1795,$N494),0)*INDEX('Tabela Passaro'!$P$2:$P$1795,$N494)</f>
        <v>5</v>
      </c>
      <c r="W494" s="32" t="n">
        <f aca="false">INDEX('Tabela Passaro'!$R$2:$R$1795,$N494)</f>
        <v>30</v>
      </c>
      <c r="X494" s="32" t="n">
        <f aca="false">ROUNDUP(J494/INDEX('Tabela Passaro'!$T$2:$T$1795,$N494),0)*INDEX('Tabela Passaro'!$S$2:$S$1795,$N494)</f>
        <v>0</v>
      </c>
      <c r="Y494" s="32" t="n">
        <f aca="false">INDEX('Tabela Passaro'!$U$2:$U$1795,$N494)</f>
        <v>0</v>
      </c>
      <c r="Z494" s="32" t="n">
        <f aca="false">INDEX('Tabela Passaro'!$V$2:$V$1795,$N494)</f>
        <v>0</v>
      </c>
      <c r="AA494" s="32" t="n">
        <f aca="false">SUM(R494:Z494)</f>
        <v>104.61301</v>
      </c>
      <c r="AB494" s="33" t="n">
        <f aca="false">INDEX(Premissas!$B$5:$B$13,MATCH(A494,Premissas!$A$5:$A$13,0))</f>
        <v>0.07</v>
      </c>
      <c r="AC494" s="32" t="n">
        <f aca="false">AA494/(1-AB494)-AA494</f>
        <v>7.87409752688173</v>
      </c>
      <c r="AD494" s="32" t="n">
        <f aca="false">ROUND(AA494+AC494,2)</f>
        <v>112.49</v>
      </c>
      <c r="AE494" s="32" t="n">
        <f aca="false">AD494-L494</f>
        <v>-38.67</v>
      </c>
      <c r="AF494" s="34" t="n">
        <f aca="false">IF(L494=0,0,AE494/L494)</f>
        <v>-0.255821645938079</v>
      </c>
      <c r="AG494" s="22" t="str">
        <f aca="false">IF(AD494&lt;L494,"PASSARO","ATUAL")</f>
        <v>PASSARO</v>
      </c>
      <c r="AH494" s="22" t="str">
        <f aca="false">IF(P494&lt;&gt;A494,"Faixa cadastrada como "&amp;P494&amp;" na tabela; preço aplicado pela UF do CEP","")</f>
        <v/>
      </c>
      <c r="AI494" s="26" t="n">
        <v>119.66</v>
      </c>
      <c r="AJ494" s="22" t="str">
        <f aca="false">INDEX('Tabela Passaro'!$X$2:$X$1795,$N494)</f>
        <v>FEIRA DE SANTANA</v>
      </c>
    </row>
    <row r="495" customFormat="false" ht="15" hidden="false" customHeight="false" outlineLevel="0" collapsed="false">
      <c r="A495" s="22" t="s">
        <v>16</v>
      </c>
      <c r="B495" s="22" t="n">
        <v>2</v>
      </c>
      <c r="C495" s="22" t="s">
        <v>77</v>
      </c>
      <c r="D495" s="22" t="s">
        <v>30</v>
      </c>
      <c r="E495" s="22" t="s">
        <v>7328</v>
      </c>
      <c r="F495" s="22" t="n">
        <v>2315835</v>
      </c>
      <c r="G495" s="30" t="n">
        <v>46258</v>
      </c>
      <c r="H495" s="22" t="n">
        <v>135106</v>
      </c>
      <c r="I495" s="22" t="s">
        <v>7772</v>
      </c>
      <c r="J495" s="31" t="n">
        <v>79.26</v>
      </c>
      <c r="K495" s="26" t="n">
        <v>984.75</v>
      </c>
      <c r="L495" s="26" t="n">
        <v>223.01</v>
      </c>
      <c r="M495" s="22" t="s">
        <v>700</v>
      </c>
      <c r="N495" s="22" t="n">
        <f aca="false">MATCH(M495,'Tabela Passaro'!$A$2:$A$1795,0)</f>
        <v>108</v>
      </c>
      <c r="O495" s="22" t="str">
        <f aca="false">INDEX('Tabela Passaro'!$C$2:$C$1795,$N495)</f>
        <v>FEIRA DE SANTANA</v>
      </c>
      <c r="P495" s="22" t="str">
        <f aca="false">INDEX('Tabela Passaro'!$B$2:$B$1795,$N495)</f>
        <v>BA</v>
      </c>
      <c r="Q495" s="22" t="n">
        <f aca="false">INDEX('Tabela Passaro'!$F$2:$F$1795,$N495)</f>
        <v>5</v>
      </c>
      <c r="R495" s="32" t="n">
        <f aca="false">IF(J495&lt;=10,INDEX('Tabela Passaro'!$G$2:$G$1795,$N495),IF(J495&lt;=30,INDEX('Tabela Passaro'!$H$2:$H$1795,$N495),IF(J495&lt;=50,INDEX('Tabela Passaro'!$I$2:$I$1795,$N495),IF(J495&lt;=70,INDEX('Tabela Passaro'!$J$2:$J$1795,$N495),IF(J495&lt;=100,INDEX('Tabela Passaro'!$K$2:$K$1795,$N495),INDEX('Tabela Passaro'!$K$2:$K$1795,$N495)+(J495-100)*INDEX('Tabela Passaro'!$L$2:$L$1795,$N495))))))</f>
        <v>83.66</v>
      </c>
      <c r="S495" s="32" t="n">
        <f aca="false">K495*INDEX('Tabela Passaro'!$M$2:$M$1795,$N495)</f>
        <v>4.92375</v>
      </c>
      <c r="T495" s="32" t="n">
        <f aca="false">K495*INDEX('Tabela Passaro'!$N$2:$N$1795,$N495)</f>
        <v>1.9695</v>
      </c>
      <c r="U495" s="32" t="n">
        <f aca="false">INDEX('Tabela Passaro'!$O$2:$O$1795,$N495)</f>
        <v>5</v>
      </c>
      <c r="V495" s="32" t="n">
        <f aca="false">ROUNDUP(J495/INDEX('Tabela Passaro'!$Q$2:$Q$1795,$N495),0)*INDEX('Tabela Passaro'!$P$2:$P$1795,$N495)</f>
        <v>5</v>
      </c>
      <c r="W495" s="32" t="n">
        <f aca="false">INDEX('Tabela Passaro'!$R$2:$R$1795,$N495)</f>
        <v>30</v>
      </c>
      <c r="X495" s="32" t="n">
        <f aca="false">ROUNDUP(J495/INDEX('Tabela Passaro'!$T$2:$T$1795,$N495),0)*INDEX('Tabela Passaro'!$S$2:$S$1795,$N495)</f>
        <v>0</v>
      </c>
      <c r="Y495" s="32" t="n">
        <f aca="false">INDEX('Tabela Passaro'!$U$2:$U$1795,$N495)</f>
        <v>0</v>
      </c>
      <c r="Z495" s="32" t="n">
        <f aca="false">INDEX('Tabela Passaro'!$V$2:$V$1795,$N495)</f>
        <v>0</v>
      </c>
      <c r="AA495" s="32" t="n">
        <f aca="false">SUM(R495:Z495)</f>
        <v>130.55325</v>
      </c>
      <c r="AB495" s="33" t="n">
        <f aca="false">INDEX(Premissas!$B$5:$B$13,MATCH(A495,Premissas!$A$5:$A$13,0))</f>
        <v>0.07</v>
      </c>
      <c r="AC495" s="32" t="n">
        <f aca="false">AA495/(1-AB495)-AA495</f>
        <v>9.82658870967742</v>
      </c>
      <c r="AD495" s="32" t="n">
        <f aca="false">ROUND(AA495+AC495,2)</f>
        <v>140.38</v>
      </c>
      <c r="AE495" s="32" t="n">
        <f aca="false">AD495-L495</f>
        <v>-82.63</v>
      </c>
      <c r="AF495" s="34" t="n">
        <f aca="false">IF(L495=0,0,AE495/L495)</f>
        <v>-0.37052150127797</v>
      </c>
      <c r="AG495" s="22" t="str">
        <f aca="false">IF(AD495&lt;L495,"PASSARO","ATUAL")</f>
        <v>PASSARO</v>
      </c>
      <c r="AH495" s="22" t="str">
        <f aca="false">IF(P495&lt;&gt;A495,"Faixa cadastrada como "&amp;P495&amp;" na tabela; preço aplicado pela UF do CEP","")</f>
        <v/>
      </c>
      <c r="AI495" s="26" t="n">
        <v>171.45</v>
      </c>
      <c r="AJ495" s="22" t="str">
        <f aca="false">INDEX('Tabela Passaro'!$X$2:$X$1795,$N495)</f>
        <v>FEIRA DE SANTANA</v>
      </c>
    </row>
    <row r="496" customFormat="false" ht="15" hidden="false" customHeight="false" outlineLevel="0" collapsed="false">
      <c r="A496" s="22" t="s">
        <v>16</v>
      </c>
      <c r="B496" s="22" t="n">
        <v>2</v>
      </c>
      <c r="C496" s="22" t="s">
        <v>77</v>
      </c>
      <c r="D496" s="22" t="s">
        <v>30</v>
      </c>
      <c r="E496" s="22" t="s">
        <v>7328</v>
      </c>
      <c r="F496" s="22" t="n">
        <v>2315800</v>
      </c>
      <c r="G496" s="30" t="n">
        <v>46258</v>
      </c>
      <c r="H496" s="22" t="n">
        <v>135330</v>
      </c>
      <c r="I496" s="22" t="s">
        <v>7773</v>
      </c>
      <c r="J496" s="31" t="n">
        <v>51.06</v>
      </c>
      <c r="K496" s="26" t="n">
        <v>731.05</v>
      </c>
      <c r="L496" s="26" t="n">
        <v>188.31</v>
      </c>
      <c r="M496" s="22" t="s">
        <v>700</v>
      </c>
      <c r="N496" s="22" t="n">
        <f aca="false">MATCH(M496,'Tabela Passaro'!$A$2:$A$1795,0)</f>
        <v>108</v>
      </c>
      <c r="O496" s="22" t="str">
        <f aca="false">INDEX('Tabela Passaro'!$C$2:$C$1795,$N496)</f>
        <v>FEIRA DE SANTANA</v>
      </c>
      <c r="P496" s="22" t="str">
        <f aca="false">INDEX('Tabela Passaro'!$B$2:$B$1795,$N496)</f>
        <v>BA</v>
      </c>
      <c r="Q496" s="22" t="n">
        <f aca="false">INDEX('Tabela Passaro'!$F$2:$F$1795,$N496)</f>
        <v>5</v>
      </c>
      <c r="R496" s="32" t="n">
        <f aca="false">IF(J496&lt;=10,INDEX('Tabela Passaro'!$G$2:$G$1795,$N496),IF(J496&lt;=30,INDEX('Tabela Passaro'!$H$2:$H$1795,$N496),IF(J496&lt;=50,INDEX('Tabela Passaro'!$I$2:$I$1795,$N496),IF(J496&lt;=70,INDEX('Tabela Passaro'!$J$2:$J$1795,$N496),IF(J496&lt;=100,INDEX('Tabela Passaro'!$K$2:$K$1795,$N496),INDEX('Tabela Passaro'!$K$2:$K$1795,$N496)+(J496-100)*INDEX('Tabela Passaro'!$L$2:$L$1795,$N496))))))</f>
        <v>72.14</v>
      </c>
      <c r="S496" s="32" t="n">
        <f aca="false">K496*INDEX('Tabela Passaro'!$M$2:$M$1795,$N496)</f>
        <v>3.65525</v>
      </c>
      <c r="T496" s="32" t="n">
        <f aca="false">K496*INDEX('Tabela Passaro'!$N$2:$N$1795,$N496)</f>
        <v>1.4621</v>
      </c>
      <c r="U496" s="32" t="n">
        <f aca="false">INDEX('Tabela Passaro'!$O$2:$O$1795,$N496)</f>
        <v>5</v>
      </c>
      <c r="V496" s="32" t="n">
        <f aca="false">ROUNDUP(J496/INDEX('Tabela Passaro'!$Q$2:$Q$1795,$N496),0)*INDEX('Tabela Passaro'!$P$2:$P$1795,$N496)</f>
        <v>5</v>
      </c>
      <c r="W496" s="32" t="n">
        <f aca="false">INDEX('Tabela Passaro'!$R$2:$R$1795,$N496)</f>
        <v>30</v>
      </c>
      <c r="X496" s="32" t="n">
        <f aca="false">ROUNDUP(J496/INDEX('Tabela Passaro'!$T$2:$T$1795,$N496),0)*INDEX('Tabela Passaro'!$S$2:$S$1795,$N496)</f>
        <v>0</v>
      </c>
      <c r="Y496" s="32" t="n">
        <f aca="false">INDEX('Tabela Passaro'!$U$2:$U$1795,$N496)</f>
        <v>0</v>
      </c>
      <c r="Z496" s="32" t="n">
        <f aca="false">INDEX('Tabela Passaro'!$V$2:$V$1795,$N496)</f>
        <v>0</v>
      </c>
      <c r="AA496" s="32" t="n">
        <f aca="false">SUM(R496:Z496)</f>
        <v>117.25735</v>
      </c>
      <c r="AB496" s="33" t="n">
        <f aca="false">INDEX(Premissas!$B$5:$B$13,MATCH(A496,Premissas!$A$5:$A$13,0))</f>
        <v>0.07</v>
      </c>
      <c r="AC496" s="32" t="n">
        <f aca="false">AA496/(1-AB496)-AA496</f>
        <v>8.82582204301076</v>
      </c>
      <c r="AD496" s="32" t="n">
        <f aca="false">ROUND(AA496+AC496,2)</f>
        <v>126.08</v>
      </c>
      <c r="AE496" s="32" t="n">
        <f aca="false">AD496-L496</f>
        <v>-62.23</v>
      </c>
      <c r="AF496" s="34" t="n">
        <f aca="false">IF(L496=0,0,AE496/L496)</f>
        <v>-0.330465721416813</v>
      </c>
      <c r="AG496" s="22" t="str">
        <f aca="false">IF(AD496&lt;L496,"PASSARO","ATUAL")</f>
        <v>PASSARO</v>
      </c>
      <c r="AH496" s="22" t="str">
        <f aca="false">IF(P496&lt;&gt;A496,"Faixa cadastrada como "&amp;P496&amp;" na tabela; preço aplicado pela UF do CEP","")</f>
        <v/>
      </c>
      <c r="AI496" s="26" t="n">
        <v>142.93</v>
      </c>
      <c r="AJ496" s="22" t="str">
        <f aca="false">INDEX('Tabela Passaro'!$X$2:$X$1795,$N496)</f>
        <v>FEIRA DE SANTANA</v>
      </c>
    </row>
    <row r="497" customFormat="false" ht="15" hidden="false" customHeight="false" outlineLevel="0" collapsed="false">
      <c r="A497" s="22" t="s">
        <v>16</v>
      </c>
      <c r="B497" s="22" t="n">
        <v>2</v>
      </c>
      <c r="C497" s="22" t="s">
        <v>77</v>
      </c>
      <c r="D497" s="22" t="s">
        <v>30</v>
      </c>
      <c r="E497" s="22" t="s">
        <v>7326</v>
      </c>
      <c r="F497" s="22" t="n">
        <v>527062</v>
      </c>
      <c r="G497" s="30" t="n">
        <v>46258</v>
      </c>
      <c r="H497" s="22" t="n">
        <v>628330</v>
      </c>
      <c r="I497" s="22" t="s">
        <v>7774</v>
      </c>
      <c r="J497" s="31" t="n">
        <v>33</v>
      </c>
      <c r="K497" s="26" t="n">
        <v>567.9</v>
      </c>
      <c r="L497" s="26" t="n">
        <v>170.45</v>
      </c>
      <c r="M497" s="22" t="s">
        <v>700</v>
      </c>
      <c r="N497" s="22" t="n">
        <f aca="false">MATCH(M497,'Tabela Passaro'!$A$2:$A$1795,0)</f>
        <v>108</v>
      </c>
      <c r="O497" s="22" t="str">
        <f aca="false">INDEX('Tabela Passaro'!$C$2:$C$1795,$N497)</f>
        <v>FEIRA DE SANTANA</v>
      </c>
      <c r="P497" s="22" t="str">
        <f aca="false">INDEX('Tabela Passaro'!$B$2:$B$1795,$N497)</f>
        <v>BA</v>
      </c>
      <c r="Q497" s="22" t="n">
        <f aca="false">INDEX('Tabela Passaro'!$F$2:$F$1795,$N497)</f>
        <v>5</v>
      </c>
      <c r="R497" s="32" t="n">
        <f aca="false">IF(J497&lt;=10,INDEX('Tabela Passaro'!$G$2:$G$1795,$N497),IF(J497&lt;=30,INDEX('Tabela Passaro'!$H$2:$H$1795,$N497),IF(J497&lt;=50,INDEX('Tabela Passaro'!$I$2:$I$1795,$N497),IF(J497&lt;=70,INDEX('Tabela Passaro'!$J$2:$J$1795,$N497),IF(J497&lt;=100,INDEX('Tabela Passaro'!$K$2:$K$1795,$N497),INDEX('Tabela Passaro'!$K$2:$K$1795,$N497)+(J497-100)*INDEX('Tabela Passaro'!$L$2:$L$1795,$N497))))))</f>
        <v>60.62</v>
      </c>
      <c r="S497" s="32" t="n">
        <f aca="false">K497*INDEX('Tabela Passaro'!$M$2:$M$1795,$N497)</f>
        <v>2.8395</v>
      </c>
      <c r="T497" s="32" t="n">
        <f aca="false">K497*INDEX('Tabela Passaro'!$N$2:$N$1795,$N497)</f>
        <v>1.1358</v>
      </c>
      <c r="U497" s="32" t="n">
        <f aca="false">INDEX('Tabela Passaro'!$O$2:$O$1795,$N497)</f>
        <v>5</v>
      </c>
      <c r="V497" s="32" t="n">
        <f aca="false">ROUNDUP(J497/INDEX('Tabela Passaro'!$Q$2:$Q$1795,$N497),0)*INDEX('Tabela Passaro'!$P$2:$P$1795,$N497)</f>
        <v>5</v>
      </c>
      <c r="W497" s="32" t="n">
        <f aca="false">INDEX('Tabela Passaro'!$R$2:$R$1795,$N497)</f>
        <v>30</v>
      </c>
      <c r="X497" s="32" t="n">
        <f aca="false">ROUNDUP(J497/INDEX('Tabela Passaro'!$T$2:$T$1795,$N497),0)*INDEX('Tabela Passaro'!$S$2:$S$1795,$N497)</f>
        <v>0</v>
      </c>
      <c r="Y497" s="32" t="n">
        <f aca="false">INDEX('Tabela Passaro'!$U$2:$U$1795,$N497)</f>
        <v>0</v>
      </c>
      <c r="Z497" s="32" t="n">
        <f aca="false">INDEX('Tabela Passaro'!$V$2:$V$1795,$N497)</f>
        <v>0</v>
      </c>
      <c r="AA497" s="32" t="n">
        <f aca="false">SUM(R497:Z497)</f>
        <v>104.5953</v>
      </c>
      <c r="AB497" s="33" t="n">
        <f aca="false">INDEX(Premissas!$B$5:$B$13,MATCH(A497,Premissas!$A$5:$A$13,0))</f>
        <v>0.07</v>
      </c>
      <c r="AC497" s="32" t="n">
        <f aca="false">AA497/(1-AB497)-AA497</f>
        <v>7.87276451612904</v>
      </c>
      <c r="AD497" s="32" t="n">
        <f aca="false">ROUND(AA497+AC497,2)</f>
        <v>112.47</v>
      </c>
      <c r="AE497" s="32" t="n">
        <f aca="false">AD497-L497</f>
        <v>-57.98</v>
      </c>
      <c r="AF497" s="34" t="n">
        <f aca="false">IF(L497=0,0,AE497/L497)</f>
        <v>-0.340158404224113</v>
      </c>
      <c r="AG497" s="22" t="str">
        <f aca="false">IF(AD497&lt;L497,"PASSARO","ATUAL")</f>
        <v>PASSARO</v>
      </c>
      <c r="AH497" s="22" t="str">
        <f aca="false">IF(P497&lt;&gt;A497,"Faixa cadastrada como "&amp;P497&amp;" na tabela; preço aplicado pela UF do CEP","")</f>
        <v/>
      </c>
      <c r="AI497" s="26" t="n">
        <v>119.64</v>
      </c>
      <c r="AJ497" s="22" t="str">
        <f aca="false">INDEX('Tabela Passaro'!$X$2:$X$1795,$N497)</f>
        <v>FEIRA DE SANTANA</v>
      </c>
    </row>
    <row r="498" customFormat="false" ht="15" hidden="false" customHeight="false" outlineLevel="0" collapsed="false">
      <c r="A498" s="22" t="s">
        <v>16</v>
      </c>
      <c r="B498" s="22" t="n">
        <v>2</v>
      </c>
      <c r="C498" s="22" t="s">
        <v>77</v>
      </c>
      <c r="D498" s="22" t="s">
        <v>30</v>
      </c>
      <c r="E498" s="22" t="s">
        <v>20</v>
      </c>
      <c r="F498" s="22" t="n">
        <v>840012</v>
      </c>
      <c r="G498" s="30" t="n">
        <v>46259</v>
      </c>
      <c r="H498" s="22" t="n">
        <v>32659</v>
      </c>
      <c r="I498" s="22" t="s">
        <v>7775</v>
      </c>
      <c r="J498" s="31" t="n">
        <v>51.06</v>
      </c>
      <c r="K498" s="26" t="n">
        <v>878.58</v>
      </c>
      <c r="L498" s="26" t="n">
        <v>190.13</v>
      </c>
      <c r="M498" s="22" t="s">
        <v>700</v>
      </c>
      <c r="N498" s="22" t="n">
        <f aca="false">MATCH(M498,'Tabela Passaro'!$A$2:$A$1795,0)</f>
        <v>108</v>
      </c>
      <c r="O498" s="22" t="str">
        <f aca="false">INDEX('Tabela Passaro'!$C$2:$C$1795,$N498)</f>
        <v>FEIRA DE SANTANA</v>
      </c>
      <c r="P498" s="22" t="str">
        <f aca="false">INDEX('Tabela Passaro'!$B$2:$B$1795,$N498)</f>
        <v>BA</v>
      </c>
      <c r="Q498" s="22" t="n">
        <f aca="false">INDEX('Tabela Passaro'!$F$2:$F$1795,$N498)</f>
        <v>5</v>
      </c>
      <c r="R498" s="32" t="n">
        <f aca="false">IF(J498&lt;=10,INDEX('Tabela Passaro'!$G$2:$G$1795,$N498),IF(J498&lt;=30,INDEX('Tabela Passaro'!$H$2:$H$1795,$N498),IF(J498&lt;=50,INDEX('Tabela Passaro'!$I$2:$I$1795,$N498),IF(J498&lt;=70,INDEX('Tabela Passaro'!$J$2:$J$1795,$N498),IF(J498&lt;=100,INDEX('Tabela Passaro'!$K$2:$K$1795,$N498),INDEX('Tabela Passaro'!$K$2:$K$1795,$N498)+(J498-100)*INDEX('Tabela Passaro'!$L$2:$L$1795,$N498))))))</f>
        <v>72.14</v>
      </c>
      <c r="S498" s="32" t="n">
        <f aca="false">K498*INDEX('Tabela Passaro'!$M$2:$M$1795,$N498)</f>
        <v>4.3929</v>
      </c>
      <c r="T498" s="32" t="n">
        <f aca="false">K498*INDEX('Tabela Passaro'!$N$2:$N$1795,$N498)</f>
        <v>1.75716</v>
      </c>
      <c r="U498" s="32" t="n">
        <f aca="false">INDEX('Tabela Passaro'!$O$2:$O$1795,$N498)</f>
        <v>5</v>
      </c>
      <c r="V498" s="32" t="n">
        <f aca="false">ROUNDUP(J498/INDEX('Tabela Passaro'!$Q$2:$Q$1795,$N498),0)*INDEX('Tabela Passaro'!$P$2:$P$1795,$N498)</f>
        <v>5</v>
      </c>
      <c r="W498" s="32" t="n">
        <f aca="false">INDEX('Tabela Passaro'!$R$2:$R$1795,$N498)</f>
        <v>30</v>
      </c>
      <c r="X498" s="32" t="n">
        <f aca="false">ROUNDUP(J498/INDEX('Tabela Passaro'!$T$2:$T$1795,$N498),0)*INDEX('Tabela Passaro'!$S$2:$S$1795,$N498)</f>
        <v>0</v>
      </c>
      <c r="Y498" s="32" t="n">
        <f aca="false">INDEX('Tabela Passaro'!$U$2:$U$1795,$N498)</f>
        <v>0</v>
      </c>
      <c r="Z498" s="32" t="n">
        <f aca="false">INDEX('Tabela Passaro'!$V$2:$V$1795,$N498)</f>
        <v>0</v>
      </c>
      <c r="AA498" s="32" t="n">
        <f aca="false">SUM(R498:Z498)</f>
        <v>118.29006</v>
      </c>
      <c r="AB498" s="33" t="n">
        <f aca="false">INDEX(Premissas!$B$5:$B$13,MATCH(A498,Premissas!$A$5:$A$13,0))</f>
        <v>0.07</v>
      </c>
      <c r="AC498" s="32" t="n">
        <f aca="false">AA498/(1-AB498)-AA498</f>
        <v>8.90355290322582</v>
      </c>
      <c r="AD498" s="32" t="n">
        <f aca="false">ROUND(AA498+AC498,2)</f>
        <v>127.19</v>
      </c>
      <c r="AE498" s="32" t="n">
        <f aca="false">AD498-L498</f>
        <v>-62.94</v>
      </c>
      <c r="AF498" s="34" t="n">
        <f aca="false">IF(L498=0,0,AE498/L498)</f>
        <v>-0.331036659127965</v>
      </c>
      <c r="AG498" s="22" t="str">
        <f aca="false">IF(AD498&lt;L498,"PASSARO","ATUAL")</f>
        <v>PASSARO</v>
      </c>
      <c r="AH498" s="22" t="str">
        <f aca="false">IF(P498&lt;&gt;A498,"Faixa cadastrada como "&amp;P498&amp;" na tabela; preço aplicado pela UF do CEP","")</f>
        <v/>
      </c>
      <c r="AI498" s="26" t="n">
        <v>144.36</v>
      </c>
      <c r="AJ498" s="22" t="str">
        <f aca="false">INDEX('Tabela Passaro'!$X$2:$X$1795,$N498)</f>
        <v>FEIRA DE SANTANA</v>
      </c>
    </row>
    <row r="499" customFormat="false" ht="15" hidden="false" customHeight="false" outlineLevel="0" collapsed="false">
      <c r="A499" s="22" t="s">
        <v>16</v>
      </c>
      <c r="B499" s="22" t="n">
        <v>2</v>
      </c>
      <c r="C499" s="22" t="s">
        <v>77</v>
      </c>
      <c r="D499" s="22" t="s">
        <v>30</v>
      </c>
      <c r="E499" s="22" t="s">
        <v>7326</v>
      </c>
      <c r="F499" s="22" t="n">
        <v>527363</v>
      </c>
      <c r="G499" s="30" t="n">
        <v>46259</v>
      </c>
      <c r="H499" s="22" t="n">
        <v>628816</v>
      </c>
      <c r="I499" s="22" t="s">
        <v>7776</v>
      </c>
      <c r="J499" s="31" t="n">
        <v>73.1</v>
      </c>
      <c r="K499" s="26" t="n">
        <v>1063.38</v>
      </c>
      <c r="L499" s="26" t="n">
        <v>271.1</v>
      </c>
      <c r="M499" s="22" t="s">
        <v>700</v>
      </c>
      <c r="N499" s="22" t="n">
        <f aca="false">MATCH(M499,'Tabela Passaro'!$A$2:$A$1795,0)</f>
        <v>108</v>
      </c>
      <c r="O499" s="22" t="str">
        <f aca="false">INDEX('Tabela Passaro'!$C$2:$C$1795,$N499)</f>
        <v>FEIRA DE SANTANA</v>
      </c>
      <c r="P499" s="22" t="str">
        <f aca="false">INDEX('Tabela Passaro'!$B$2:$B$1795,$N499)</f>
        <v>BA</v>
      </c>
      <c r="Q499" s="22" t="n">
        <f aca="false">INDEX('Tabela Passaro'!$F$2:$F$1795,$N499)</f>
        <v>5</v>
      </c>
      <c r="R499" s="32" t="n">
        <f aca="false">IF(J499&lt;=10,INDEX('Tabela Passaro'!$G$2:$G$1795,$N499),IF(J499&lt;=30,INDEX('Tabela Passaro'!$H$2:$H$1795,$N499),IF(J499&lt;=50,INDEX('Tabela Passaro'!$I$2:$I$1795,$N499),IF(J499&lt;=70,INDEX('Tabela Passaro'!$J$2:$J$1795,$N499),IF(J499&lt;=100,INDEX('Tabela Passaro'!$K$2:$K$1795,$N499),INDEX('Tabela Passaro'!$K$2:$K$1795,$N499)+(J499-100)*INDEX('Tabela Passaro'!$L$2:$L$1795,$N499))))))</f>
        <v>83.66</v>
      </c>
      <c r="S499" s="32" t="n">
        <f aca="false">K499*INDEX('Tabela Passaro'!$M$2:$M$1795,$N499)</f>
        <v>5.3169</v>
      </c>
      <c r="T499" s="32" t="n">
        <f aca="false">K499*INDEX('Tabela Passaro'!$N$2:$N$1795,$N499)</f>
        <v>2.12676</v>
      </c>
      <c r="U499" s="32" t="n">
        <f aca="false">INDEX('Tabela Passaro'!$O$2:$O$1795,$N499)</f>
        <v>5</v>
      </c>
      <c r="V499" s="32" t="n">
        <f aca="false">ROUNDUP(J499/INDEX('Tabela Passaro'!$Q$2:$Q$1795,$N499),0)*INDEX('Tabela Passaro'!$P$2:$P$1795,$N499)</f>
        <v>5</v>
      </c>
      <c r="W499" s="32" t="n">
        <f aca="false">INDEX('Tabela Passaro'!$R$2:$R$1795,$N499)</f>
        <v>30</v>
      </c>
      <c r="X499" s="32" t="n">
        <f aca="false">ROUNDUP(J499/INDEX('Tabela Passaro'!$T$2:$T$1795,$N499),0)*INDEX('Tabela Passaro'!$S$2:$S$1795,$N499)</f>
        <v>0</v>
      </c>
      <c r="Y499" s="32" t="n">
        <f aca="false">INDEX('Tabela Passaro'!$U$2:$U$1795,$N499)</f>
        <v>0</v>
      </c>
      <c r="Z499" s="32" t="n">
        <f aca="false">INDEX('Tabela Passaro'!$V$2:$V$1795,$N499)</f>
        <v>0</v>
      </c>
      <c r="AA499" s="32" t="n">
        <f aca="false">SUM(R499:Z499)</f>
        <v>131.10366</v>
      </c>
      <c r="AB499" s="33" t="n">
        <f aca="false">INDEX(Premissas!$B$5:$B$13,MATCH(A499,Premissas!$A$5:$A$13,0))</f>
        <v>0.07</v>
      </c>
      <c r="AC499" s="32" t="n">
        <f aca="false">AA499/(1-AB499)-AA499</f>
        <v>9.86801741935486</v>
      </c>
      <c r="AD499" s="32" t="n">
        <f aca="false">ROUND(AA499+AC499,2)</f>
        <v>140.97</v>
      </c>
      <c r="AE499" s="32" t="n">
        <f aca="false">AD499-L499</f>
        <v>-130.13</v>
      </c>
      <c r="AF499" s="34" t="n">
        <f aca="false">IF(L499=0,0,AE499/L499)</f>
        <v>-0.480007377351531</v>
      </c>
      <c r="AG499" s="22" t="str">
        <f aca="false">IF(AD499&lt;L499,"PASSARO","ATUAL")</f>
        <v>PASSARO</v>
      </c>
      <c r="AH499" s="22" t="str">
        <f aca="false">IF(P499&lt;&gt;A499,"Faixa cadastrada como "&amp;P499&amp;" na tabela; preço aplicado pela UF do CEP","")</f>
        <v/>
      </c>
      <c r="AI499" s="26" t="n">
        <v>169.31</v>
      </c>
      <c r="AJ499" s="22" t="str">
        <f aca="false">INDEX('Tabela Passaro'!$X$2:$X$1795,$N499)</f>
        <v>FEIRA DE SANTANA</v>
      </c>
    </row>
    <row r="500" customFormat="false" ht="15" hidden="false" customHeight="false" outlineLevel="0" collapsed="false">
      <c r="A500" s="22" t="s">
        <v>16</v>
      </c>
      <c r="B500" s="22" t="n">
        <v>2</v>
      </c>
      <c r="C500" s="22" t="s">
        <v>77</v>
      </c>
      <c r="D500" s="22" t="s">
        <v>30</v>
      </c>
      <c r="E500" s="22" t="s">
        <v>7328</v>
      </c>
      <c r="F500" s="22" t="n">
        <v>2316571</v>
      </c>
      <c r="G500" s="30" t="n">
        <v>46260</v>
      </c>
      <c r="H500" s="22" t="n">
        <v>135885</v>
      </c>
      <c r="I500" s="22" t="s">
        <v>7776</v>
      </c>
      <c r="J500" s="31" t="n">
        <v>50.99</v>
      </c>
      <c r="K500" s="26" t="n">
        <v>754.39</v>
      </c>
      <c r="L500" s="26" t="n">
        <v>188.49</v>
      </c>
      <c r="M500" s="22" t="s">
        <v>700</v>
      </c>
      <c r="N500" s="22" t="n">
        <f aca="false">MATCH(M500,'Tabela Passaro'!$A$2:$A$1795,0)</f>
        <v>108</v>
      </c>
      <c r="O500" s="22" t="str">
        <f aca="false">INDEX('Tabela Passaro'!$C$2:$C$1795,$N500)</f>
        <v>FEIRA DE SANTANA</v>
      </c>
      <c r="P500" s="22" t="str">
        <f aca="false">INDEX('Tabela Passaro'!$B$2:$B$1795,$N500)</f>
        <v>BA</v>
      </c>
      <c r="Q500" s="22" t="n">
        <f aca="false">INDEX('Tabela Passaro'!$F$2:$F$1795,$N500)</f>
        <v>5</v>
      </c>
      <c r="R500" s="32" t="n">
        <f aca="false">IF(J500&lt;=10,INDEX('Tabela Passaro'!$G$2:$G$1795,$N500),IF(J500&lt;=30,INDEX('Tabela Passaro'!$H$2:$H$1795,$N500),IF(J500&lt;=50,INDEX('Tabela Passaro'!$I$2:$I$1795,$N500),IF(J500&lt;=70,INDEX('Tabela Passaro'!$J$2:$J$1795,$N500),IF(J500&lt;=100,INDEX('Tabela Passaro'!$K$2:$K$1795,$N500),INDEX('Tabela Passaro'!$K$2:$K$1795,$N500)+(J500-100)*INDEX('Tabela Passaro'!$L$2:$L$1795,$N500))))))</f>
        <v>72.14</v>
      </c>
      <c r="S500" s="32" t="n">
        <f aca="false">K500*INDEX('Tabela Passaro'!$M$2:$M$1795,$N500)</f>
        <v>3.77195</v>
      </c>
      <c r="T500" s="32" t="n">
        <f aca="false">K500*INDEX('Tabela Passaro'!$N$2:$N$1795,$N500)</f>
        <v>1.50878</v>
      </c>
      <c r="U500" s="32" t="n">
        <f aca="false">INDEX('Tabela Passaro'!$O$2:$O$1795,$N500)</f>
        <v>5</v>
      </c>
      <c r="V500" s="32" t="n">
        <f aca="false">ROUNDUP(J500/INDEX('Tabela Passaro'!$Q$2:$Q$1795,$N500),0)*INDEX('Tabela Passaro'!$P$2:$P$1795,$N500)</f>
        <v>5</v>
      </c>
      <c r="W500" s="32" t="n">
        <f aca="false">INDEX('Tabela Passaro'!$R$2:$R$1795,$N500)</f>
        <v>30</v>
      </c>
      <c r="X500" s="32" t="n">
        <f aca="false">ROUNDUP(J500/INDEX('Tabela Passaro'!$T$2:$T$1795,$N500),0)*INDEX('Tabela Passaro'!$S$2:$S$1795,$N500)</f>
        <v>0</v>
      </c>
      <c r="Y500" s="32" t="n">
        <f aca="false">INDEX('Tabela Passaro'!$U$2:$U$1795,$N500)</f>
        <v>0</v>
      </c>
      <c r="Z500" s="32" t="n">
        <f aca="false">INDEX('Tabela Passaro'!$V$2:$V$1795,$N500)</f>
        <v>0</v>
      </c>
      <c r="AA500" s="32" t="n">
        <f aca="false">SUM(R500:Z500)</f>
        <v>117.42073</v>
      </c>
      <c r="AB500" s="33" t="n">
        <f aca="false">INDEX(Premissas!$B$5:$B$13,MATCH(A500,Premissas!$A$5:$A$13,0))</f>
        <v>0.07</v>
      </c>
      <c r="AC500" s="32" t="n">
        <f aca="false">AA500/(1-AB500)-AA500</f>
        <v>8.8381194623656</v>
      </c>
      <c r="AD500" s="32" t="n">
        <f aca="false">ROUND(AA500+AC500,2)</f>
        <v>126.26</v>
      </c>
      <c r="AE500" s="32" t="n">
        <f aca="false">AD500-L500</f>
        <v>-62.23</v>
      </c>
      <c r="AF500" s="34" t="n">
        <f aca="false">IF(L500=0,0,AE500/L500)</f>
        <v>-0.330150140591013</v>
      </c>
      <c r="AG500" s="22" t="str">
        <f aca="false">IF(AD500&lt;L500,"PASSARO","ATUAL")</f>
        <v>PASSARO</v>
      </c>
      <c r="AH500" s="22" t="str">
        <f aca="false">IF(P500&lt;&gt;A500,"Faixa cadastrada como "&amp;P500&amp;" na tabela; preço aplicado pela UF do CEP","")</f>
        <v/>
      </c>
      <c r="AI500" s="26" t="n">
        <v>142.68</v>
      </c>
      <c r="AJ500" s="22" t="str">
        <f aca="false">INDEX('Tabela Passaro'!$X$2:$X$1795,$N500)</f>
        <v>FEIRA DE SANTANA</v>
      </c>
    </row>
    <row r="501" customFormat="false" ht="15" hidden="false" customHeight="false" outlineLevel="0" collapsed="false">
      <c r="A501" s="22" t="s">
        <v>16</v>
      </c>
      <c r="B501" s="22" t="n">
        <v>2</v>
      </c>
      <c r="C501" s="22" t="s">
        <v>77</v>
      </c>
      <c r="D501" s="22" t="s">
        <v>30</v>
      </c>
      <c r="E501" s="22" t="s">
        <v>7328</v>
      </c>
      <c r="F501" s="22" t="n">
        <v>2316574</v>
      </c>
      <c r="G501" s="30" t="n">
        <v>46260</v>
      </c>
      <c r="H501" s="22" t="n">
        <v>135888</v>
      </c>
      <c r="I501" s="22" t="s">
        <v>7777</v>
      </c>
      <c r="J501" s="31" t="n">
        <v>66.4</v>
      </c>
      <c r="K501" s="26" t="n">
        <v>1034.92</v>
      </c>
      <c r="L501" s="26" t="n">
        <v>190.7</v>
      </c>
      <c r="M501" s="22" t="s">
        <v>700</v>
      </c>
      <c r="N501" s="22" t="n">
        <f aca="false">MATCH(M501,'Tabela Passaro'!$A$2:$A$1795,0)</f>
        <v>108</v>
      </c>
      <c r="O501" s="22" t="str">
        <f aca="false">INDEX('Tabela Passaro'!$C$2:$C$1795,$N501)</f>
        <v>FEIRA DE SANTANA</v>
      </c>
      <c r="P501" s="22" t="str">
        <f aca="false">INDEX('Tabela Passaro'!$B$2:$B$1795,$N501)</f>
        <v>BA</v>
      </c>
      <c r="Q501" s="22" t="n">
        <f aca="false">INDEX('Tabela Passaro'!$F$2:$F$1795,$N501)</f>
        <v>5</v>
      </c>
      <c r="R501" s="32" t="n">
        <f aca="false">IF(J501&lt;=10,INDEX('Tabela Passaro'!$G$2:$G$1795,$N501),IF(J501&lt;=30,INDEX('Tabela Passaro'!$H$2:$H$1795,$N501),IF(J501&lt;=50,INDEX('Tabela Passaro'!$I$2:$I$1795,$N501),IF(J501&lt;=70,INDEX('Tabela Passaro'!$J$2:$J$1795,$N501),IF(J501&lt;=100,INDEX('Tabela Passaro'!$K$2:$K$1795,$N501),INDEX('Tabela Passaro'!$K$2:$K$1795,$N501)+(J501-100)*INDEX('Tabela Passaro'!$L$2:$L$1795,$N501))))))</f>
        <v>72.14</v>
      </c>
      <c r="S501" s="32" t="n">
        <f aca="false">K501*INDEX('Tabela Passaro'!$M$2:$M$1795,$N501)</f>
        <v>5.1746</v>
      </c>
      <c r="T501" s="32" t="n">
        <f aca="false">K501*INDEX('Tabela Passaro'!$N$2:$N$1795,$N501)</f>
        <v>2.06984</v>
      </c>
      <c r="U501" s="32" t="n">
        <f aca="false">INDEX('Tabela Passaro'!$O$2:$O$1795,$N501)</f>
        <v>5</v>
      </c>
      <c r="V501" s="32" t="n">
        <f aca="false">ROUNDUP(J501/INDEX('Tabela Passaro'!$Q$2:$Q$1795,$N501),0)*INDEX('Tabela Passaro'!$P$2:$P$1795,$N501)</f>
        <v>5</v>
      </c>
      <c r="W501" s="32" t="n">
        <f aca="false">INDEX('Tabela Passaro'!$R$2:$R$1795,$N501)</f>
        <v>30</v>
      </c>
      <c r="X501" s="32" t="n">
        <f aca="false">ROUNDUP(J501/INDEX('Tabela Passaro'!$T$2:$T$1795,$N501),0)*INDEX('Tabela Passaro'!$S$2:$S$1795,$N501)</f>
        <v>0</v>
      </c>
      <c r="Y501" s="32" t="n">
        <f aca="false">INDEX('Tabela Passaro'!$U$2:$U$1795,$N501)</f>
        <v>0</v>
      </c>
      <c r="Z501" s="32" t="n">
        <f aca="false">INDEX('Tabela Passaro'!$V$2:$V$1795,$N501)</f>
        <v>0</v>
      </c>
      <c r="AA501" s="32" t="n">
        <f aca="false">SUM(R501:Z501)</f>
        <v>119.38444</v>
      </c>
      <c r="AB501" s="33" t="n">
        <f aca="false">INDEX(Premissas!$B$5:$B$13,MATCH(A501,Premissas!$A$5:$A$13,0))</f>
        <v>0.07</v>
      </c>
      <c r="AC501" s="32" t="n">
        <f aca="false">AA501/(1-AB501)-AA501</f>
        <v>8.98592559139784</v>
      </c>
      <c r="AD501" s="32" t="n">
        <f aca="false">ROUND(AA501+AC501,2)</f>
        <v>128.37</v>
      </c>
      <c r="AE501" s="32" t="n">
        <f aca="false">AD501-L501</f>
        <v>-62.33</v>
      </c>
      <c r="AF501" s="34" t="n">
        <f aca="false">IF(L501=0,0,AE501/L501)</f>
        <v>-0.326848453067645</v>
      </c>
      <c r="AG501" s="22" t="str">
        <f aca="false">IF(AD501&lt;L501,"PASSARO","ATUAL")</f>
        <v>PASSARO</v>
      </c>
      <c r="AH501" s="22" t="str">
        <f aca="false">IF(P501&lt;&gt;A501,"Faixa cadastrada como "&amp;P501&amp;" na tabela; preço aplicado pela UF do CEP","")</f>
        <v/>
      </c>
      <c r="AI501" s="26" t="n">
        <v>153.13</v>
      </c>
      <c r="AJ501" s="22" t="str">
        <f aca="false">INDEX('Tabela Passaro'!$X$2:$X$1795,$N501)</f>
        <v>FEIRA DE SANTANA</v>
      </c>
    </row>
    <row r="502" customFormat="false" ht="15" hidden="false" customHeight="false" outlineLevel="0" collapsed="false">
      <c r="A502" s="22" t="s">
        <v>16</v>
      </c>
      <c r="B502" s="22" t="n">
        <v>2</v>
      </c>
      <c r="C502" s="22" t="s">
        <v>77</v>
      </c>
      <c r="D502" s="22" t="s">
        <v>30</v>
      </c>
      <c r="E502" s="22" t="s">
        <v>7326</v>
      </c>
      <c r="F502" s="22" t="n">
        <v>527945</v>
      </c>
      <c r="G502" s="30" t="n">
        <v>46261</v>
      </c>
      <c r="H502" s="22" t="n">
        <v>628257</v>
      </c>
      <c r="I502" s="22" t="s">
        <v>7778</v>
      </c>
      <c r="J502" s="31" t="n">
        <v>61.95</v>
      </c>
      <c r="K502" s="26" t="n">
        <v>1029.98</v>
      </c>
      <c r="L502" s="26" t="n">
        <v>223.16</v>
      </c>
      <c r="M502" s="22" t="s">
        <v>700</v>
      </c>
      <c r="N502" s="22" t="n">
        <f aca="false">MATCH(M502,'Tabela Passaro'!$A$2:$A$1795,0)</f>
        <v>108</v>
      </c>
      <c r="O502" s="22" t="str">
        <f aca="false">INDEX('Tabela Passaro'!$C$2:$C$1795,$N502)</f>
        <v>FEIRA DE SANTANA</v>
      </c>
      <c r="P502" s="22" t="str">
        <f aca="false">INDEX('Tabela Passaro'!$B$2:$B$1795,$N502)</f>
        <v>BA</v>
      </c>
      <c r="Q502" s="22" t="n">
        <f aca="false">INDEX('Tabela Passaro'!$F$2:$F$1795,$N502)</f>
        <v>5</v>
      </c>
      <c r="R502" s="32" t="n">
        <f aca="false">IF(J502&lt;=10,INDEX('Tabela Passaro'!$G$2:$G$1795,$N502),IF(J502&lt;=30,INDEX('Tabela Passaro'!$H$2:$H$1795,$N502),IF(J502&lt;=50,INDEX('Tabela Passaro'!$I$2:$I$1795,$N502),IF(J502&lt;=70,INDEX('Tabela Passaro'!$J$2:$J$1795,$N502),IF(J502&lt;=100,INDEX('Tabela Passaro'!$K$2:$K$1795,$N502),INDEX('Tabela Passaro'!$K$2:$K$1795,$N502)+(J502-100)*INDEX('Tabela Passaro'!$L$2:$L$1795,$N502))))))</f>
        <v>72.14</v>
      </c>
      <c r="S502" s="32" t="n">
        <f aca="false">K502*INDEX('Tabela Passaro'!$M$2:$M$1795,$N502)</f>
        <v>5.1499</v>
      </c>
      <c r="T502" s="32" t="n">
        <f aca="false">K502*INDEX('Tabela Passaro'!$N$2:$N$1795,$N502)</f>
        <v>2.05996</v>
      </c>
      <c r="U502" s="32" t="n">
        <f aca="false">INDEX('Tabela Passaro'!$O$2:$O$1795,$N502)</f>
        <v>5</v>
      </c>
      <c r="V502" s="32" t="n">
        <f aca="false">ROUNDUP(J502/INDEX('Tabela Passaro'!$Q$2:$Q$1795,$N502),0)*INDEX('Tabela Passaro'!$P$2:$P$1795,$N502)</f>
        <v>5</v>
      </c>
      <c r="W502" s="32" t="n">
        <f aca="false">INDEX('Tabela Passaro'!$R$2:$R$1795,$N502)</f>
        <v>30</v>
      </c>
      <c r="X502" s="32" t="n">
        <f aca="false">ROUNDUP(J502/INDEX('Tabela Passaro'!$T$2:$T$1795,$N502),0)*INDEX('Tabela Passaro'!$S$2:$S$1795,$N502)</f>
        <v>0</v>
      </c>
      <c r="Y502" s="32" t="n">
        <f aca="false">INDEX('Tabela Passaro'!$U$2:$U$1795,$N502)</f>
        <v>0</v>
      </c>
      <c r="Z502" s="32" t="n">
        <f aca="false">INDEX('Tabela Passaro'!$V$2:$V$1795,$N502)</f>
        <v>0</v>
      </c>
      <c r="AA502" s="32" t="n">
        <f aca="false">SUM(R502:Z502)</f>
        <v>119.34986</v>
      </c>
      <c r="AB502" s="33" t="n">
        <f aca="false">INDEX(Premissas!$B$5:$B$13,MATCH(A502,Premissas!$A$5:$A$13,0))</f>
        <v>0.07</v>
      </c>
      <c r="AC502" s="32" t="n">
        <f aca="false">AA502/(1-AB502)-AA502</f>
        <v>8.98332279569894</v>
      </c>
      <c r="AD502" s="32" t="n">
        <f aca="false">ROUND(AA502+AC502,2)</f>
        <v>128.33</v>
      </c>
      <c r="AE502" s="32" t="n">
        <f aca="false">AD502-L502</f>
        <v>-94.83</v>
      </c>
      <c r="AF502" s="34" t="n">
        <f aca="false">IF(L502=0,0,AE502/L502)</f>
        <v>-0.424941745832586</v>
      </c>
      <c r="AG502" s="22" t="str">
        <f aca="false">IF(AD502&lt;L502,"PASSARO","ATUAL")</f>
        <v>PASSARO</v>
      </c>
      <c r="AH502" s="22" t="str">
        <f aca="false">IF(P502&lt;&gt;A502,"Faixa cadastrada como "&amp;P502&amp;" na tabela; preço aplicado pela UF do CEP","")</f>
        <v/>
      </c>
      <c r="AI502" s="26" t="n">
        <v>150.67</v>
      </c>
      <c r="AJ502" s="22" t="str">
        <f aca="false">INDEX('Tabela Passaro'!$X$2:$X$1795,$N502)</f>
        <v>FEIRA DE SANTANA</v>
      </c>
    </row>
    <row r="503" customFormat="false" ht="15" hidden="false" customHeight="false" outlineLevel="0" collapsed="false">
      <c r="A503" s="22" t="s">
        <v>16</v>
      </c>
      <c r="B503" s="22" t="n">
        <v>2</v>
      </c>
      <c r="C503" s="22" t="s">
        <v>77</v>
      </c>
      <c r="D503" s="22" t="s">
        <v>30</v>
      </c>
      <c r="E503" s="22" t="s">
        <v>20</v>
      </c>
      <c r="F503" s="22" t="n">
        <v>840641</v>
      </c>
      <c r="G503" s="30" t="n">
        <v>46265</v>
      </c>
      <c r="H503" s="22" t="n">
        <v>32843</v>
      </c>
      <c r="I503" s="22" t="s">
        <v>7779</v>
      </c>
      <c r="J503" s="31" t="n">
        <v>51.06</v>
      </c>
      <c r="K503" s="26" t="n">
        <v>924.98</v>
      </c>
      <c r="L503" s="26" t="n">
        <v>190.53</v>
      </c>
      <c r="M503" s="22" t="s">
        <v>700</v>
      </c>
      <c r="N503" s="22" t="n">
        <f aca="false">MATCH(M503,'Tabela Passaro'!$A$2:$A$1795,0)</f>
        <v>108</v>
      </c>
      <c r="O503" s="22" t="str">
        <f aca="false">INDEX('Tabela Passaro'!$C$2:$C$1795,$N503)</f>
        <v>FEIRA DE SANTANA</v>
      </c>
      <c r="P503" s="22" t="str">
        <f aca="false">INDEX('Tabela Passaro'!$B$2:$B$1795,$N503)</f>
        <v>BA</v>
      </c>
      <c r="Q503" s="22" t="n">
        <f aca="false">INDEX('Tabela Passaro'!$F$2:$F$1795,$N503)</f>
        <v>5</v>
      </c>
      <c r="R503" s="32" t="n">
        <f aca="false">IF(J503&lt;=10,INDEX('Tabela Passaro'!$G$2:$G$1795,$N503),IF(J503&lt;=30,INDEX('Tabela Passaro'!$H$2:$H$1795,$N503),IF(J503&lt;=50,INDEX('Tabela Passaro'!$I$2:$I$1795,$N503),IF(J503&lt;=70,INDEX('Tabela Passaro'!$J$2:$J$1795,$N503),IF(J503&lt;=100,INDEX('Tabela Passaro'!$K$2:$K$1795,$N503),INDEX('Tabela Passaro'!$K$2:$K$1795,$N503)+(J503-100)*INDEX('Tabela Passaro'!$L$2:$L$1795,$N503))))))</f>
        <v>72.14</v>
      </c>
      <c r="S503" s="32" t="n">
        <f aca="false">K503*INDEX('Tabela Passaro'!$M$2:$M$1795,$N503)</f>
        <v>4.6249</v>
      </c>
      <c r="T503" s="32" t="n">
        <f aca="false">K503*INDEX('Tabela Passaro'!$N$2:$N$1795,$N503)</f>
        <v>1.84996</v>
      </c>
      <c r="U503" s="32" t="n">
        <f aca="false">INDEX('Tabela Passaro'!$O$2:$O$1795,$N503)</f>
        <v>5</v>
      </c>
      <c r="V503" s="32" t="n">
        <f aca="false">ROUNDUP(J503/INDEX('Tabela Passaro'!$Q$2:$Q$1795,$N503),0)*INDEX('Tabela Passaro'!$P$2:$P$1795,$N503)</f>
        <v>5</v>
      </c>
      <c r="W503" s="32" t="n">
        <f aca="false">INDEX('Tabela Passaro'!$R$2:$R$1795,$N503)</f>
        <v>30</v>
      </c>
      <c r="X503" s="32" t="n">
        <f aca="false">ROUNDUP(J503/INDEX('Tabela Passaro'!$T$2:$T$1795,$N503),0)*INDEX('Tabela Passaro'!$S$2:$S$1795,$N503)</f>
        <v>0</v>
      </c>
      <c r="Y503" s="32" t="n">
        <f aca="false">INDEX('Tabela Passaro'!$U$2:$U$1795,$N503)</f>
        <v>0</v>
      </c>
      <c r="Z503" s="32" t="n">
        <f aca="false">INDEX('Tabela Passaro'!$V$2:$V$1795,$N503)</f>
        <v>0</v>
      </c>
      <c r="AA503" s="32" t="n">
        <f aca="false">SUM(R503:Z503)</f>
        <v>118.61486</v>
      </c>
      <c r="AB503" s="33" t="n">
        <f aca="false">INDEX(Premissas!$B$5:$B$13,MATCH(A503,Premissas!$A$5:$A$13,0))</f>
        <v>0.07</v>
      </c>
      <c r="AC503" s="32" t="n">
        <f aca="false">AA503/(1-AB503)-AA503</f>
        <v>8.92800021505377</v>
      </c>
      <c r="AD503" s="32" t="n">
        <f aca="false">ROUND(AA503+AC503,2)</f>
        <v>127.54</v>
      </c>
      <c r="AE503" s="32" t="n">
        <f aca="false">AD503-L503</f>
        <v>-62.99</v>
      </c>
      <c r="AF503" s="34" t="n">
        <f aca="false">IF(L503=0,0,AE503/L503)</f>
        <v>-0.330604104340524</v>
      </c>
      <c r="AG503" s="22" t="str">
        <f aca="false">IF(AD503&lt;L503,"PASSARO","ATUAL")</f>
        <v>PASSARO</v>
      </c>
      <c r="AH503" s="22" t="str">
        <f aca="false">IF(P503&lt;&gt;A503,"Faixa cadastrada como "&amp;P503&amp;" na tabela; preço aplicado pela UF do CEP","")</f>
        <v/>
      </c>
      <c r="AI503" s="26" t="n">
        <v>144.81</v>
      </c>
      <c r="AJ503" s="22" t="str">
        <f aca="false">INDEX('Tabela Passaro'!$X$2:$X$1795,$N503)</f>
        <v>FEIRA DE SANTANA</v>
      </c>
    </row>
    <row r="504" customFormat="false" ht="15" hidden="false" customHeight="false" outlineLevel="0" collapsed="false">
      <c r="A504" s="22" t="s">
        <v>16</v>
      </c>
      <c r="B504" s="22" t="n">
        <v>2</v>
      </c>
      <c r="C504" s="22" t="s">
        <v>77</v>
      </c>
      <c r="D504" s="22" t="s">
        <v>31</v>
      </c>
      <c r="E504" s="22" t="s">
        <v>7326</v>
      </c>
      <c r="F504" s="22" t="n">
        <v>12729563</v>
      </c>
      <c r="G504" s="30" t="n">
        <v>46238</v>
      </c>
      <c r="H504" s="22" t="n">
        <v>619878</v>
      </c>
      <c r="I504" s="22" t="s">
        <v>7780</v>
      </c>
      <c r="J504" s="31" t="n">
        <v>19.4</v>
      </c>
      <c r="K504" s="26" t="n">
        <v>529.98</v>
      </c>
      <c r="L504" s="26" t="n">
        <v>69.83</v>
      </c>
      <c r="M504" s="22" t="s">
        <v>700</v>
      </c>
      <c r="N504" s="22" t="n">
        <f aca="false">MATCH(M504,'Tabela Passaro'!$A$2:$A$1795,0)</f>
        <v>108</v>
      </c>
      <c r="O504" s="22" t="str">
        <f aca="false">INDEX('Tabela Passaro'!$C$2:$C$1795,$N504)</f>
        <v>FEIRA DE SANTANA</v>
      </c>
      <c r="P504" s="22" t="str">
        <f aca="false">INDEX('Tabela Passaro'!$B$2:$B$1795,$N504)</f>
        <v>BA</v>
      </c>
      <c r="Q504" s="22" t="n">
        <f aca="false">INDEX('Tabela Passaro'!$F$2:$F$1795,$N504)</f>
        <v>5</v>
      </c>
      <c r="R504" s="32" t="n">
        <f aca="false">IF(J504&lt;=10,INDEX('Tabela Passaro'!$G$2:$G$1795,$N504),IF(J504&lt;=30,INDEX('Tabela Passaro'!$H$2:$H$1795,$N504),IF(J504&lt;=50,INDEX('Tabela Passaro'!$I$2:$I$1795,$N504),IF(J504&lt;=70,INDEX('Tabela Passaro'!$J$2:$J$1795,$N504),IF(J504&lt;=100,INDEX('Tabela Passaro'!$K$2:$K$1795,$N504),INDEX('Tabela Passaro'!$K$2:$K$1795,$N504)+(J504-100)*INDEX('Tabela Passaro'!$L$2:$L$1795,$N504))))))</f>
        <v>49.1</v>
      </c>
      <c r="S504" s="32" t="n">
        <f aca="false">K504*INDEX('Tabela Passaro'!$M$2:$M$1795,$N504)</f>
        <v>2.6499</v>
      </c>
      <c r="T504" s="32" t="n">
        <f aca="false">K504*INDEX('Tabela Passaro'!$N$2:$N$1795,$N504)</f>
        <v>1.05996</v>
      </c>
      <c r="U504" s="32" t="n">
        <f aca="false">INDEX('Tabela Passaro'!$O$2:$O$1795,$N504)</f>
        <v>5</v>
      </c>
      <c r="V504" s="32" t="n">
        <f aca="false">ROUNDUP(J504/INDEX('Tabela Passaro'!$Q$2:$Q$1795,$N504),0)*INDEX('Tabela Passaro'!$P$2:$P$1795,$N504)</f>
        <v>5</v>
      </c>
      <c r="W504" s="32" t="n">
        <f aca="false">INDEX('Tabela Passaro'!$R$2:$R$1795,$N504)</f>
        <v>30</v>
      </c>
      <c r="X504" s="32" t="n">
        <f aca="false">ROUNDUP(J504/INDEX('Tabela Passaro'!$T$2:$T$1795,$N504),0)*INDEX('Tabela Passaro'!$S$2:$S$1795,$N504)</f>
        <v>0</v>
      </c>
      <c r="Y504" s="32" t="n">
        <f aca="false">INDEX('Tabela Passaro'!$U$2:$U$1795,$N504)</f>
        <v>0</v>
      </c>
      <c r="Z504" s="32" t="n">
        <f aca="false">INDEX('Tabela Passaro'!$V$2:$V$1795,$N504)</f>
        <v>0</v>
      </c>
      <c r="AA504" s="32" t="n">
        <f aca="false">SUM(R504:Z504)</f>
        <v>92.80986</v>
      </c>
      <c r="AB504" s="33" t="n">
        <f aca="false">INDEX(Premissas!$B$5:$B$13,MATCH(A504,Premissas!$A$5:$A$13,0))</f>
        <v>0.07</v>
      </c>
      <c r="AC504" s="32" t="n">
        <f aca="false">AA504/(1-AB504)-AA504</f>
        <v>6.98568838709679</v>
      </c>
      <c r="AD504" s="32" t="n">
        <f aca="false">ROUND(AA504+AC504,2)</f>
        <v>99.8</v>
      </c>
      <c r="AE504" s="32" t="n">
        <f aca="false">AD504-L504</f>
        <v>29.97</v>
      </c>
      <c r="AF504" s="34" t="n">
        <f aca="false">IF(L504=0,0,AE504/L504)</f>
        <v>0.429185163969641</v>
      </c>
      <c r="AG504" s="22" t="str">
        <f aca="false">IF(AD504&lt;L504,"PASSARO","ATUAL")</f>
        <v>ATUAL</v>
      </c>
      <c r="AH504" s="22" t="str">
        <f aca="false">IF(P504&lt;&gt;A504,"Faixa cadastrada como "&amp;P504&amp;" na tabela; preço aplicado pela UF do CEP","")</f>
        <v/>
      </c>
      <c r="AI504" s="26" t="n">
        <v>100.45</v>
      </c>
      <c r="AJ504" s="22" t="str">
        <f aca="false">INDEX('Tabela Passaro'!$X$2:$X$1795,$N504)</f>
        <v>FEIRA DE SANTANA</v>
      </c>
    </row>
    <row r="505" customFormat="false" ht="15" hidden="false" customHeight="false" outlineLevel="0" collapsed="false">
      <c r="A505" s="22" t="s">
        <v>16</v>
      </c>
      <c r="B505" s="22" t="n">
        <v>2</v>
      </c>
      <c r="C505" s="22" t="s">
        <v>77</v>
      </c>
      <c r="D505" s="22" t="s">
        <v>31</v>
      </c>
      <c r="E505" s="22" t="s">
        <v>7326</v>
      </c>
      <c r="F505" s="22" t="n">
        <v>12749565</v>
      </c>
      <c r="G505" s="30" t="n">
        <v>46241</v>
      </c>
      <c r="H505" s="22" t="n">
        <v>621597</v>
      </c>
      <c r="I505" s="22" t="s">
        <v>7781</v>
      </c>
      <c r="J505" s="31" t="n">
        <v>22.4</v>
      </c>
      <c r="K505" s="26" t="n">
        <v>580.98</v>
      </c>
      <c r="L505" s="26" t="n">
        <v>79.26</v>
      </c>
      <c r="M505" s="22" t="s">
        <v>700</v>
      </c>
      <c r="N505" s="22" t="n">
        <f aca="false">MATCH(M505,'Tabela Passaro'!$A$2:$A$1795,0)</f>
        <v>108</v>
      </c>
      <c r="O505" s="22" t="str">
        <f aca="false">INDEX('Tabela Passaro'!$C$2:$C$1795,$N505)</f>
        <v>FEIRA DE SANTANA</v>
      </c>
      <c r="P505" s="22" t="str">
        <f aca="false">INDEX('Tabela Passaro'!$B$2:$B$1795,$N505)</f>
        <v>BA</v>
      </c>
      <c r="Q505" s="22" t="n">
        <f aca="false">INDEX('Tabela Passaro'!$F$2:$F$1795,$N505)</f>
        <v>5</v>
      </c>
      <c r="R505" s="32" t="n">
        <f aca="false">IF(J505&lt;=10,INDEX('Tabela Passaro'!$G$2:$G$1795,$N505),IF(J505&lt;=30,INDEX('Tabela Passaro'!$H$2:$H$1795,$N505),IF(J505&lt;=50,INDEX('Tabela Passaro'!$I$2:$I$1795,$N505),IF(J505&lt;=70,INDEX('Tabela Passaro'!$J$2:$J$1795,$N505),IF(J505&lt;=100,INDEX('Tabela Passaro'!$K$2:$K$1795,$N505),INDEX('Tabela Passaro'!$K$2:$K$1795,$N505)+(J505-100)*INDEX('Tabela Passaro'!$L$2:$L$1795,$N505))))))</f>
        <v>49.1</v>
      </c>
      <c r="S505" s="32" t="n">
        <f aca="false">K505*INDEX('Tabela Passaro'!$M$2:$M$1795,$N505)</f>
        <v>2.9049</v>
      </c>
      <c r="T505" s="32" t="n">
        <f aca="false">K505*INDEX('Tabela Passaro'!$N$2:$N$1795,$N505)</f>
        <v>1.16196</v>
      </c>
      <c r="U505" s="32" t="n">
        <f aca="false">INDEX('Tabela Passaro'!$O$2:$O$1795,$N505)</f>
        <v>5</v>
      </c>
      <c r="V505" s="32" t="n">
        <f aca="false">ROUNDUP(J505/INDEX('Tabela Passaro'!$Q$2:$Q$1795,$N505),0)*INDEX('Tabela Passaro'!$P$2:$P$1795,$N505)</f>
        <v>5</v>
      </c>
      <c r="W505" s="32" t="n">
        <f aca="false">INDEX('Tabela Passaro'!$R$2:$R$1795,$N505)</f>
        <v>30</v>
      </c>
      <c r="X505" s="32" t="n">
        <f aca="false">ROUNDUP(J505/INDEX('Tabela Passaro'!$T$2:$T$1795,$N505),0)*INDEX('Tabela Passaro'!$S$2:$S$1795,$N505)</f>
        <v>0</v>
      </c>
      <c r="Y505" s="32" t="n">
        <f aca="false">INDEX('Tabela Passaro'!$U$2:$U$1795,$N505)</f>
        <v>0</v>
      </c>
      <c r="Z505" s="32" t="n">
        <f aca="false">INDEX('Tabela Passaro'!$V$2:$V$1795,$N505)</f>
        <v>0</v>
      </c>
      <c r="AA505" s="32" t="n">
        <f aca="false">SUM(R505:Z505)</f>
        <v>93.16686</v>
      </c>
      <c r="AB505" s="33" t="n">
        <f aca="false">INDEX(Premissas!$B$5:$B$13,MATCH(A505,Premissas!$A$5:$A$13,0))</f>
        <v>0.07</v>
      </c>
      <c r="AC505" s="32" t="n">
        <f aca="false">AA505/(1-AB505)-AA505</f>
        <v>7.01255935483871</v>
      </c>
      <c r="AD505" s="32" t="n">
        <f aca="false">ROUND(AA505+AC505,2)</f>
        <v>100.18</v>
      </c>
      <c r="AE505" s="32" t="n">
        <f aca="false">AD505-L505</f>
        <v>20.92</v>
      </c>
      <c r="AF505" s="34" t="n">
        <f aca="false">IF(L505=0,0,AE505/L505)</f>
        <v>0.263941458491042</v>
      </c>
      <c r="AG505" s="22" t="str">
        <f aca="false">IF(AD505&lt;L505,"PASSARO","ATUAL")</f>
        <v>ATUAL</v>
      </c>
      <c r="AH505" s="22" t="str">
        <f aca="false">IF(P505&lt;&gt;A505,"Faixa cadastrada como "&amp;P505&amp;" na tabela; preço aplicado pela UF do CEP","")</f>
        <v/>
      </c>
      <c r="AI505" s="26" t="n">
        <v>102.4</v>
      </c>
      <c r="AJ505" s="22" t="str">
        <f aca="false">INDEX('Tabela Passaro'!$X$2:$X$1795,$N505)</f>
        <v>FEIRA DE SANTANA</v>
      </c>
    </row>
    <row r="506" customFormat="false" ht="15" hidden="false" customHeight="false" outlineLevel="0" collapsed="false">
      <c r="A506" s="22" t="s">
        <v>16</v>
      </c>
      <c r="B506" s="22" t="n">
        <v>2</v>
      </c>
      <c r="C506" s="22" t="s">
        <v>77</v>
      </c>
      <c r="D506" s="22" t="s">
        <v>31</v>
      </c>
      <c r="E506" s="22" t="s">
        <v>7326</v>
      </c>
      <c r="F506" s="22" t="n">
        <v>12766453</v>
      </c>
      <c r="G506" s="30" t="n">
        <v>46245</v>
      </c>
      <c r="H506" s="22" t="n">
        <v>622228</v>
      </c>
      <c r="I506" s="22" t="s">
        <v>7782</v>
      </c>
      <c r="J506" s="31" t="n">
        <v>17.2</v>
      </c>
      <c r="K506" s="26" t="n">
        <v>376.4</v>
      </c>
      <c r="L506" s="26" t="n">
        <v>56.33</v>
      </c>
      <c r="M506" s="22" t="s">
        <v>700</v>
      </c>
      <c r="N506" s="22" t="n">
        <f aca="false">MATCH(M506,'Tabela Passaro'!$A$2:$A$1795,0)</f>
        <v>108</v>
      </c>
      <c r="O506" s="22" t="str">
        <f aca="false">INDEX('Tabela Passaro'!$C$2:$C$1795,$N506)</f>
        <v>FEIRA DE SANTANA</v>
      </c>
      <c r="P506" s="22" t="str">
        <f aca="false">INDEX('Tabela Passaro'!$B$2:$B$1795,$N506)</f>
        <v>BA</v>
      </c>
      <c r="Q506" s="22" t="n">
        <f aca="false">INDEX('Tabela Passaro'!$F$2:$F$1795,$N506)</f>
        <v>5</v>
      </c>
      <c r="R506" s="32" t="n">
        <f aca="false">IF(J506&lt;=10,INDEX('Tabela Passaro'!$G$2:$G$1795,$N506),IF(J506&lt;=30,INDEX('Tabela Passaro'!$H$2:$H$1795,$N506),IF(J506&lt;=50,INDEX('Tabela Passaro'!$I$2:$I$1795,$N506),IF(J506&lt;=70,INDEX('Tabela Passaro'!$J$2:$J$1795,$N506),IF(J506&lt;=100,INDEX('Tabela Passaro'!$K$2:$K$1795,$N506),INDEX('Tabela Passaro'!$K$2:$K$1795,$N506)+(J506-100)*INDEX('Tabela Passaro'!$L$2:$L$1795,$N506))))))</f>
        <v>49.1</v>
      </c>
      <c r="S506" s="32" t="n">
        <f aca="false">K506*INDEX('Tabela Passaro'!$M$2:$M$1795,$N506)</f>
        <v>1.882</v>
      </c>
      <c r="T506" s="32" t="n">
        <f aca="false">K506*INDEX('Tabela Passaro'!$N$2:$N$1795,$N506)</f>
        <v>0.7528</v>
      </c>
      <c r="U506" s="32" t="n">
        <f aca="false">INDEX('Tabela Passaro'!$O$2:$O$1795,$N506)</f>
        <v>5</v>
      </c>
      <c r="V506" s="32" t="n">
        <f aca="false">ROUNDUP(J506/INDEX('Tabela Passaro'!$Q$2:$Q$1795,$N506),0)*INDEX('Tabela Passaro'!$P$2:$P$1795,$N506)</f>
        <v>5</v>
      </c>
      <c r="W506" s="32" t="n">
        <f aca="false">INDEX('Tabela Passaro'!$R$2:$R$1795,$N506)</f>
        <v>30</v>
      </c>
      <c r="X506" s="32" t="n">
        <f aca="false">ROUNDUP(J506/INDEX('Tabela Passaro'!$T$2:$T$1795,$N506),0)*INDEX('Tabela Passaro'!$S$2:$S$1795,$N506)</f>
        <v>0</v>
      </c>
      <c r="Y506" s="32" t="n">
        <f aca="false">INDEX('Tabela Passaro'!$U$2:$U$1795,$N506)</f>
        <v>0</v>
      </c>
      <c r="Z506" s="32" t="n">
        <f aca="false">INDEX('Tabela Passaro'!$V$2:$V$1795,$N506)</f>
        <v>0</v>
      </c>
      <c r="AA506" s="32" t="n">
        <f aca="false">SUM(R506:Z506)</f>
        <v>91.7348</v>
      </c>
      <c r="AB506" s="33" t="n">
        <f aca="false">INDEX(Premissas!$B$5:$B$13,MATCH(A506,Premissas!$A$5:$A$13,0))</f>
        <v>0.07</v>
      </c>
      <c r="AC506" s="32" t="n">
        <f aca="false">AA506/(1-AB506)-AA506</f>
        <v>6.90476989247313</v>
      </c>
      <c r="AD506" s="32" t="n">
        <f aca="false">ROUND(AA506+AC506,2)</f>
        <v>98.64</v>
      </c>
      <c r="AE506" s="32" t="n">
        <f aca="false">AD506-L506</f>
        <v>42.31</v>
      </c>
      <c r="AF506" s="34" t="n">
        <f aca="false">IF(L506=0,0,AE506/L506)</f>
        <v>0.751109533108468</v>
      </c>
      <c r="AG506" s="22" t="str">
        <f aca="false">IF(AD506&lt;L506,"PASSARO","ATUAL")</f>
        <v>ATUAL</v>
      </c>
      <c r="AH506" s="22" t="str">
        <f aca="false">IF(P506&lt;&gt;A506,"Faixa cadastrada como "&amp;P506&amp;" na tabela; preço aplicado pela UF do CEP","")</f>
        <v/>
      </c>
      <c r="AI506" s="26" t="n">
        <v>98</v>
      </c>
      <c r="AJ506" s="22" t="str">
        <f aca="false">INDEX('Tabela Passaro'!$X$2:$X$1795,$N506)</f>
        <v>FEIRA DE SANTANA</v>
      </c>
    </row>
    <row r="507" customFormat="false" ht="15" hidden="false" customHeight="false" outlineLevel="0" collapsed="false">
      <c r="A507" s="22" t="s">
        <v>16</v>
      </c>
      <c r="B507" s="22" t="n">
        <v>3</v>
      </c>
      <c r="C507" s="22" t="s">
        <v>79</v>
      </c>
      <c r="D507" s="22" t="s">
        <v>33</v>
      </c>
      <c r="E507" s="22" t="s">
        <v>7399</v>
      </c>
      <c r="F507" s="22" t="n">
        <v>1845641</v>
      </c>
      <c r="G507" s="30" t="n">
        <v>46239</v>
      </c>
      <c r="H507" s="22" t="n">
        <v>131833</v>
      </c>
      <c r="I507" s="22" t="s">
        <v>7783</v>
      </c>
      <c r="J507" s="31" t="n">
        <v>66.8</v>
      </c>
      <c r="K507" s="26" t="n">
        <v>829.09</v>
      </c>
      <c r="L507" s="26" t="n">
        <v>213.22</v>
      </c>
      <c r="M507" s="22" t="s">
        <v>684</v>
      </c>
      <c r="N507" s="22" t="n">
        <f aca="false">MATCH(M507,'Tabela Passaro'!$A$2:$A$1795,0)</f>
        <v>103</v>
      </c>
      <c r="O507" s="22" t="str">
        <f aca="false">INDEX('Tabela Passaro'!$C$2:$C$1795,$N507)</f>
        <v>CAMACARI</v>
      </c>
      <c r="P507" s="22" t="str">
        <f aca="false">INDEX('Tabela Passaro'!$B$2:$B$1795,$N507)</f>
        <v>BA</v>
      </c>
      <c r="Q507" s="22" t="n">
        <f aca="false">INDEX('Tabela Passaro'!$F$2:$F$1795,$N507)</f>
        <v>6</v>
      </c>
      <c r="R507" s="32" t="n">
        <f aca="false">IF(J507&lt;=10,INDEX('Tabela Passaro'!$G$2:$G$1795,$N507),IF(J507&lt;=30,INDEX('Tabela Passaro'!$H$2:$H$1795,$N507),IF(J507&lt;=50,INDEX('Tabela Passaro'!$I$2:$I$1795,$N507),IF(J507&lt;=70,INDEX('Tabela Passaro'!$J$2:$J$1795,$N507),IF(J507&lt;=100,INDEX('Tabela Passaro'!$K$2:$K$1795,$N507),INDEX('Tabela Passaro'!$K$2:$K$1795,$N507)+(J507-100)*INDEX('Tabela Passaro'!$L$2:$L$1795,$N507))))))</f>
        <v>73.44</v>
      </c>
      <c r="S507" s="32" t="n">
        <f aca="false">K507*INDEX('Tabela Passaro'!$M$2:$M$1795,$N507)</f>
        <v>4.14545</v>
      </c>
      <c r="T507" s="32" t="n">
        <f aca="false">K507*INDEX('Tabela Passaro'!$N$2:$N$1795,$N507)</f>
        <v>1.65818</v>
      </c>
      <c r="U507" s="32" t="n">
        <f aca="false">INDEX('Tabela Passaro'!$O$2:$O$1795,$N507)</f>
        <v>5</v>
      </c>
      <c r="V507" s="32" t="n">
        <f aca="false">ROUNDUP(J507/INDEX('Tabela Passaro'!$Q$2:$Q$1795,$N507),0)*INDEX('Tabela Passaro'!$P$2:$P$1795,$N507)</f>
        <v>5</v>
      </c>
      <c r="W507" s="32" t="n">
        <f aca="false">INDEX('Tabela Passaro'!$R$2:$R$1795,$N507)</f>
        <v>30</v>
      </c>
      <c r="X507" s="32" t="n">
        <f aca="false">ROUNDUP(J507/INDEX('Tabela Passaro'!$T$2:$T$1795,$N507),0)*INDEX('Tabela Passaro'!$S$2:$S$1795,$N507)</f>
        <v>0</v>
      </c>
      <c r="Y507" s="32" t="n">
        <f aca="false">INDEX('Tabela Passaro'!$U$2:$U$1795,$N507)</f>
        <v>0</v>
      </c>
      <c r="Z507" s="32" t="n">
        <f aca="false">INDEX('Tabela Passaro'!$V$2:$V$1795,$N507)</f>
        <v>0</v>
      </c>
      <c r="AA507" s="32" t="n">
        <f aca="false">SUM(R507:Z507)</f>
        <v>119.24363</v>
      </c>
      <c r="AB507" s="33" t="n">
        <f aca="false">INDEX(Premissas!$B$5:$B$13,MATCH(A507,Premissas!$A$5:$A$13,0))</f>
        <v>0.07</v>
      </c>
      <c r="AC507" s="32" t="n">
        <f aca="false">AA507/(1-AB507)-AA507</f>
        <v>8.97532698924732</v>
      </c>
      <c r="AD507" s="32" t="n">
        <f aca="false">ROUND(AA507+AC507,2)</f>
        <v>128.22</v>
      </c>
      <c r="AE507" s="32" t="n">
        <f aca="false">AD507-L507</f>
        <v>-85</v>
      </c>
      <c r="AF507" s="34" t="n">
        <f aca="false">IF(L507=0,0,AE507/L507)</f>
        <v>-0.398649282431292</v>
      </c>
      <c r="AG507" s="22" t="str">
        <f aca="false">IF(AD507&lt;L507,"PASSARO","ATUAL")</f>
        <v>PASSARO</v>
      </c>
      <c r="AH507" s="22" t="str">
        <f aca="false">IF(P507&lt;&gt;A507,"Faixa cadastrada como "&amp;P507&amp;" na tabela; preço aplicado pela UF do CEP","")</f>
        <v/>
      </c>
      <c r="AI507" s="26" t="n">
        <v>168.68</v>
      </c>
      <c r="AJ507" s="22" t="str">
        <f aca="false">INDEX('Tabela Passaro'!$X$2:$X$1795,$N507)</f>
        <v>CAPITAL</v>
      </c>
    </row>
    <row r="508" customFormat="false" ht="15" hidden="false" customHeight="false" outlineLevel="0" collapsed="false">
      <c r="A508" s="22" t="s">
        <v>16</v>
      </c>
      <c r="B508" s="22" t="n">
        <v>3</v>
      </c>
      <c r="C508" s="22" t="s">
        <v>79</v>
      </c>
      <c r="D508" s="22" t="s">
        <v>33</v>
      </c>
      <c r="E508" s="22" t="s">
        <v>7399</v>
      </c>
      <c r="F508" s="22" t="n">
        <v>1851807</v>
      </c>
      <c r="G508" s="30" t="n">
        <v>46247</v>
      </c>
      <c r="H508" s="22" t="n">
        <v>133406</v>
      </c>
      <c r="I508" s="22" t="s">
        <v>7784</v>
      </c>
      <c r="J508" s="31" t="n">
        <v>69</v>
      </c>
      <c r="K508" s="26" t="n">
        <v>906.16</v>
      </c>
      <c r="L508" s="26" t="n">
        <v>213.62</v>
      </c>
      <c r="M508" s="22" t="s">
        <v>684</v>
      </c>
      <c r="N508" s="22" t="n">
        <f aca="false">MATCH(M508,'Tabela Passaro'!$A$2:$A$1795,0)</f>
        <v>103</v>
      </c>
      <c r="O508" s="22" t="str">
        <f aca="false">INDEX('Tabela Passaro'!$C$2:$C$1795,$N508)</f>
        <v>CAMACARI</v>
      </c>
      <c r="P508" s="22" t="str">
        <f aca="false">INDEX('Tabela Passaro'!$B$2:$B$1795,$N508)</f>
        <v>BA</v>
      </c>
      <c r="Q508" s="22" t="n">
        <f aca="false">INDEX('Tabela Passaro'!$F$2:$F$1795,$N508)</f>
        <v>6</v>
      </c>
      <c r="R508" s="32" t="n">
        <f aca="false">IF(J508&lt;=10,INDEX('Tabela Passaro'!$G$2:$G$1795,$N508),IF(J508&lt;=30,INDEX('Tabela Passaro'!$H$2:$H$1795,$N508),IF(J508&lt;=50,INDEX('Tabela Passaro'!$I$2:$I$1795,$N508),IF(J508&lt;=70,INDEX('Tabela Passaro'!$J$2:$J$1795,$N508),IF(J508&lt;=100,INDEX('Tabela Passaro'!$K$2:$K$1795,$N508),INDEX('Tabela Passaro'!$K$2:$K$1795,$N508)+(J508-100)*INDEX('Tabela Passaro'!$L$2:$L$1795,$N508))))))</f>
        <v>73.44</v>
      </c>
      <c r="S508" s="32" t="n">
        <f aca="false">K508*INDEX('Tabela Passaro'!$M$2:$M$1795,$N508)</f>
        <v>4.5308</v>
      </c>
      <c r="T508" s="32" t="n">
        <f aca="false">K508*INDEX('Tabela Passaro'!$N$2:$N$1795,$N508)</f>
        <v>1.81232</v>
      </c>
      <c r="U508" s="32" t="n">
        <f aca="false">INDEX('Tabela Passaro'!$O$2:$O$1795,$N508)</f>
        <v>5</v>
      </c>
      <c r="V508" s="32" t="n">
        <f aca="false">ROUNDUP(J508/INDEX('Tabela Passaro'!$Q$2:$Q$1795,$N508),0)*INDEX('Tabela Passaro'!$P$2:$P$1795,$N508)</f>
        <v>5</v>
      </c>
      <c r="W508" s="32" t="n">
        <f aca="false">INDEX('Tabela Passaro'!$R$2:$R$1795,$N508)</f>
        <v>30</v>
      </c>
      <c r="X508" s="32" t="n">
        <f aca="false">ROUNDUP(J508/INDEX('Tabela Passaro'!$T$2:$T$1795,$N508),0)*INDEX('Tabela Passaro'!$S$2:$S$1795,$N508)</f>
        <v>0</v>
      </c>
      <c r="Y508" s="32" t="n">
        <f aca="false">INDEX('Tabela Passaro'!$U$2:$U$1795,$N508)</f>
        <v>0</v>
      </c>
      <c r="Z508" s="32" t="n">
        <f aca="false">INDEX('Tabela Passaro'!$V$2:$V$1795,$N508)</f>
        <v>0</v>
      </c>
      <c r="AA508" s="32" t="n">
        <f aca="false">SUM(R508:Z508)</f>
        <v>119.78312</v>
      </c>
      <c r="AB508" s="33" t="n">
        <f aca="false">INDEX(Premissas!$B$5:$B$13,MATCH(A508,Premissas!$A$5:$A$13,0))</f>
        <v>0.07</v>
      </c>
      <c r="AC508" s="32" t="n">
        <f aca="false">AA508/(1-AB508)-AA508</f>
        <v>9.01593376344087</v>
      </c>
      <c r="AD508" s="32" t="n">
        <f aca="false">ROUND(AA508+AC508,2)</f>
        <v>128.8</v>
      </c>
      <c r="AE508" s="32" t="n">
        <f aca="false">AD508-L508</f>
        <v>-84.82</v>
      </c>
      <c r="AF508" s="34" t="n">
        <f aca="false">IF(L508=0,0,AE508/L508)</f>
        <v>-0.397060200355772</v>
      </c>
      <c r="AG508" s="22" t="str">
        <f aca="false">IF(AD508&lt;L508,"PASSARO","ATUAL")</f>
        <v>PASSARO</v>
      </c>
      <c r="AH508" s="22" t="str">
        <f aca="false">IF(P508&lt;&gt;A508,"Faixa cadastrada como "&amp;P508&amp;" na tabela; preço aplicado pela UF do CEP","")</f>
        <v/>
      </c>
      <c r="AI508" s="26" t="n">
        <v>170.39</v>
      </c>
      <c r="AJ508" s="22" t="str">
        <f aca="false">INDEX('Tabela Passaro'!$X$2:$X$1795,$N508)</f>
        <v>CAPITAL</v>
      </c>
    </row>
    <row r="509" customFormat="false" ht="15" hidden="false" customHeight="false" outlineLevel="0" collapsed="false">
      <c r="A509" s="22" t="s">
        <v>16</v>
      </c>
      <c r="B509" s="22" t="n">
        <v>3</v>
      </c>
      <c r="C509" s="22" t="s">
        <v>79</v>
      </c>
      <c r="D509" s="22" t="s">
        <v>33</v>
      </c>
      <c r="E509" s="22" t="s">
        <v>7399</v>
      </c>
      <c r="F509" s="22" t="n">
        <v>1851790</v>
      </c>
      <c r="G509" s="30" t="n">
        <v>46247</v>
      </c>
      <c r="H509" s="22" t="n">
        <v>133421</v>
      </c>
      <c r="I509" s="22" t="s">
        <v>7785</v>
      </c>
      <c r="J509" s="31" t="n">
        <v>67.3</v>
      </c>
      <c r="K509" s="26" t="n">
        <v>902.63</v>
      </c>
      <c r="L509" s="26" t="n">
        <v>213.6</v>
      </c>
      <c r="M509" s="22" t="s">
        <v>684</v>
      </c>
      <c r="N509" s="22" t="n">
        <f aca="false">MATCH(M509,'Tabela Passaro'!$A$2:$A$1795,0)</f>
        <v>103</v>
      </c>
      <c r="O509" s="22" t="str">
        <f aca="false">INDEX('Tabela Passaro'!$C$2:$C$1795,$N509)</f>
        <v>CAMACARI</v>
      </c>
      <c r="P509" s="22" t="str">
        <f aca="false">INDEX('Tabela Passaro'!$B$2:$B$1795,$N509)</f>
        <v>BA</v>
      </c>
      <c r="Q509" s="22" t="n">
        <f aca="false">INDEX('Tabela Passaro'!$F$2:$F$1795,$N509)</f>
        <v>6</v>
      </c>
      <c r="R509" s="32" t="n">
        <f aca="false">IF(J509&lt;=10,INDEX('Tabela Passaro'!$G$2:$G$1795,$N509),IF(J509&lt;=30,INDEX('Tabela Passaro'!$H$2:$H$1795,$N509),IF(J509&lt;=50,INDEX('Tabela Passaro'!$I$2:$I$1795,$N509),IF(J509&lt;=70,INDEX('Tabela Passaro'!$J$2:$J$1795,$N509),IF(J509&lt;=100,INDEX('Tabela Passaro'!$K$2:$K$1795,$N509),INDEX('Tabela Passaro'!$K$2:$K$1795,$N509)+(J509-100)*INDEX('Tabela Passaro'!$L$2:$L$1795,$N509))))))</f>
        <v>73.44</v>
      </c>
      <c r="S509" s="32" t="n">
        <f aca="false">K509*INDEX('Tabela Passaro'!$M$2:$M$1795,$N509)</f>
        <v>4.51315</v>
      </c>
      <c r="T509" s="32" t="n">
        <f aca="false">K509*INDEX('Tabela Passaro'!$N$2:$N$1795,$N509)</f>
        <v>1.80526</v>
      </c>
      <c r="U509" s="32" t="n">
        <f aca="false">INDEX('Tabela Passaro'!$O$2:$O$1795,$N509)</f>
        <v>5</v>
      </c>
      <c r="V509" s="32" t="n">
        <f aca="false">ROUNDUP(J509/INDEX('Tabela Passaro'!$Q$2:$Q$1795,$N509),0)*INDEX('Tabela Passaro'!$P$2:$P$1795,$N509)</f>
        <v>5</v>
      </c>
      <c r="W509" s="32" t="n">
        <f aca="false">INDEX('Tabela Passaro'!$R$2:$R$1795,$N509)</f>
        <v>30</v>
      </c>
      <c r="X509" s="32" t="n">
        <f aca="false">ROUNDUP(J509/INDEX('Tabela Passaro'!$T$2:$T$1795,$N509),0)*INDEX('Tabela Passaro'!$S$2:$S$1795,$N509)</f>
        <v>0</v>
      </c>
      <c r="Y509" s="32" t="n">
        <f aca="false">INDEX('Tabela Passaro'!$U$2:$U$1795,$N509)</f>
        <v>0</v>
      </c>
      <c r="Z509" s="32" t="n">
        <f aca="false">INDEX('Tabela Passaro'!$V$2:$V$1795,$N509)</f>
        <v>0</v>
      </c>
      <c r="AA509" s="32" t="n">
        <f aca="false">SUM(R509:Z509)</f>
        <v>119.75841</v>
      </c>
      <c r="AB509" s="33" t="n">
        <f aca="false">INDEX(Premissas!$B$5:$B$13,MATCH(A509,Premissas!$A$5:$A$13,0))</f>
        <v>0.07</v>
      </c>
      <c r="AC509" s="32" t="n">
        <f aca="false">AA509/(1-AB509)-AA509</f>
        <v>9.01407387096776</v>
      </c>
      <c r="AD509" s="32" t="n">
        <f aca="false">ROUND(AA509+AC509,2)</f>
        <v>128.77</v>
      </c>
      <c r="AE509" s="32" t="n">
        <f aca="false">AD509-L509</f>
        <v>-84.83</v>
      </c>
      <c r="AF509" s="34" t="n">
        <f aca="false">IF(L509=0,0,AE509/L509)</f>
        <v>-0.397144194756554</v>
      </c>
      <c r="AG509" s="22" t="str">
        <f aca="false">IF(AD509&lt;L509,"PASSARO","ATUAL")</f>
        <v>PASSARO</v>
      </c>
      <c r="AH509" s="22" t="str">
        <f aca="false">IF(P509&lt;&gt;A509,"Faixa cadastrada como "&amp;P509&amp;" na tabela; preço aplicado pela UF do CEP","")</f>
        <v/>
      </c>
      <c r="AI509" s="26" t="n">
        <v>169.87</v>
      </c>
      <c r="AJ509" s="22" t="str">
        <f aca="false">INDEX('Tabela Passaro'!$X$2:$X$1795,$N509)</f>
        <v>CAPITAL</v>
      </c>
    </row>
    <row r="510" customFormat="false" ht="15" hidden="false" customHeight="false" outlineLevel="0" collapsed="false">
      <c r="A510" s="22" t="s">
        <v>16</v>
      </c>
      <c r="B510" s="22" t="n">
        <v>3</v>
      </c>
      <c r="C510" s="22" t="s">
        <v>79</v>
      </c>
      <c r="D510" s="22" t="s">
        <v>33</v>
      </c>
      <c r="E510" s="22" t="s">
        <v>7399</v>
      </c>
      <c r="F510" s="22" t="n">
        <v>1858859</v>
      </c>
      <c r="G510" s="30" t="n">
        <v>46258</v>
      </c>
      <c r="H510" s="22" t="n">
        <v>135356</v>
      </c>
      <c r="I510" s="22" t="s">
        <v>7786</v>
      </c>
      <c r="J510" s="31" t="n">
        <v>69.11</v>
      </c>
      <c r="K510" s="26" t="n">
        <v>1139.98</v>
      </c>
      <c r="L510" s="26" t="n">
        <v>214.88</v>
      </c>
      <c r="M510" s="22" t="s">
        <v>684</v>
      </c>
      <c r="N510" s="22" t="n">
        <f aca="false">MATCH(M510,'Tabela Passaro'!$A$2:$A$1795,0)</f>
        <v>103</v>
      </c>
      <c r="O510" s="22" t="str">
        <f aca="false">INDEX('Tabela Passaro'!$C$2:$C$1795,$N510)</f>
        <v>CAMACARI</v>
      </c>
      <c r="P510" s="22" t="str">
        <f aca="false">INDEX('Tabela Passaro'!$B$2:$B$1795,$N510)</f>
        <v>BA</v>
      </c>
      <c r="Q510" s="22" t="n">
        <f aca="false">INDEX('Tabela Passaro'!$F$2:$F$1795,$N510)</f>
        <v>6</v>
      </c>
      <c r="R510" s="32" t="n">
        <f aca="false">IF(J510&lt;=10,INDEX('Tabela Passaro'!$G$2:$G$1795,$N510),IF(J510&lt;=30,INDEX('Tabela Passaro'!$H$2:$H$1795,$N510),IF(J510&lt;=50,INDEX('Tabela Passaro'!$I$2:$I$1795,$N510),IF(J510&lt;=70,INDEX('Tabela Passaro'!$J$2:$J$1795,$N510),IF(J510&lt;=100,INDEX('Tabela Passaro'!$K$2:$K$1795,$N510),INDEX('Tabela Passaro'!$K$2:$K$1795,$N510)+(J510-100)*INDEX('Tabela Passaro'!$L$2:$L$1795,$N510))))))</f>
        <v>73.44</v>
      </c>
      <c r="S510" s="32" t="n">
        <f aca="false">K510*INDEX('Tabela Passaro'!$M$2:$M$1795,$N510)</f>
        <v>5.6999</v>
      </c>
      <c r="T510" s="32" t="n">
        <f aca="false">K510*INDEX('Tabela Passaro'!$N$2:$N$1795,$N510)</f>
        <v>2.27996</v>
      </c>
      <c r="U510" s="32" t="n">
        <f aca="false">INDEX('Tabela Passaro'!$O$2:$O$1795,$N510)</f>
        <v>5</v>
      </c>
      <c r="V510" s="32" t="n">
        <f aca="false">ROUNDUP(J510/INDEX('Tabela Passaro'!$Q$2:$Q$1795,$N510),0)*INDEX('Tabela Passaro'!$P$2:$P$1795,$N510)</f>
        <v>5</v>
      </c>
      <c r="W510" s="32" t="n">
        <f aca="false">INDEX('Tabela Passaro'!$R$2:$R$1795,$N510)</f>
        <v>30</v>
      </c>
      <c r="X510" s="32" t="n">
        <f aca="false">ROUNDUP(J510/INDEX('Tabela Passaro'!$T$2:$T$1795,$N510),0)*INDEX('Tabela Passaro'!$S$2:$S$1795,$N510)</f>
        <v>0</v>
      </c>
      <c r="Y510" s="32" t="n">
        <f aca="false">INDEX('Tabela Passaro'!$U$2:$U$1795,$N510)</f>
        <v>0</v>
      </c>
      <c r="Z510" s="32" t="n">
        <f aca="false">INDEX('Tabela Passaro'!$V$2:$V$1795,$N510)</f>
        <v>0</v>
      </c>
      <c r="AA510" s="32" t="n">
        <f aca="false">SUM(R510:Z510)</f>
        <v>121.41986</v>
      </c>
      <c r="AB510" s="33" t="n">
        <f aca="false">INDEX(Premissas!$B$5:$B$13,MATCH(A510,Premissas!$A$5:$A$13,0))</f>
        <v>0.07</v>
      </c>
      <c r="AC510" s="32" t="n">
        <f aca="false">AA510/(1-AB510)-AA510</f>
        <v>9.13912924731184</v>
      </c>
      <c r="AD510" s="32" t="n">
        <f aca="false">ROUND(AA510+AC510,2)</f>
        <v>130.56</v>
      </c>
      <c r="AE510" s="32" t="n">
        <f aca="false">AD510-L510</f>
        <v>-84.32</v>
      </c>
      <c r="AF510" s="34" t="n">
        <f aca="false">IF(L510=0,0,AE510/L510)</f>
        <v>-0.392405063291139</v>
      </c>
      <c r="AG510" s="22" t="str">
        <f aca="false">IF(AD510&lt;L510,"PASSARO","ATUAL")</f>
        <v>PASSARO</v>
      </c>
      <c r="AH510" s="22" t="str">
        <f aca="false">IF(P510&lt;&gt;A510,"Faixa cadastrada como "&amp;P510&amp;" na tabela; preço aplicado pela UF do CEP","")</f>
        <v/>
      </c>
      <c r="AI510" s="26" t="n">
        <v>173.14</v>
      </c>
      <c r="AJ510" s="22" t="str">
        <f aca="false">INDEX('Tabela Passaro'!$X$2:$X$1795,$N510)</f>
        <v>CAPITAL</v>
      </c>
    </row>
    <row r="511" customFormat="false" ht="15" hidden="false" customHeight="false" outlineLevel="0" collapsed="false">
      <c r="A511" s="22" t="s">
        <v>16</v>
      </c>
      <c r="B511" s="22" t="n">
        <v>3</v>
      </c>
      <c r="C511" s="22" t="s">
        <v>79</v>
      </c>
      <c r="D511" s="22" t="s">
        <v>30</v>
      </c>
      <c r="E511" s="22" t="s">
        <v>20</v>
      </c>
      <c r="F511" s="22" t="n">
        <v>837654</v>
      </c>
      <c r="G511" s="30" t="n">
        <v>46237</v>
      </c>
      <c r="H511" s="22" t="n">
        <v>32331</v>
      </c>
      <c r="I511" s="22" t="s">
        <v>7787</v>
      </c>
      <c r="J511" s="31" t="n">
        <v>37.59</v>
      </c>
      <c r="K511" s="26" t="n">
        <v>649.98</v>
      </c>
      <c r="L511" s="26" t="n">
        <v>152.1</v>
      </c>
      <c r="M511" s="22" t="s">
        <v>684</v>
      </c>
      <c r="N511" s="22" t="n">
        <f aca="false">MATCH(M511,'Tabela Passaro'!$A$2:$A$1795,0)</f>
        <v>103</v>
      </c>
      <c r="O511" s="22" t="str">
        <f aca="false">INDEX('Tabela Passaro'!$C$2:$C$1795,$N511)</f>
        <v>CAMACARI</v>
      </c>
      <c r="P511" s="22" t="str">
        <f aca="false">INDEX('Tabela Passaro'!$B$2:$B$1795,$N511)</f>
        <v>BA</v>
      </c>
      <c r="Q511" s="22" t="n">
        <f aca="false">INDEX('Tabela Passaro'!$F$2:$F$1795,$N511)</f>
        <v>6</v>
      </c>
      <c r="R511" s="32" t="n">
        <f aca="false">IF(J511&lt;=10,INDEX('Tabela Passaro'!$G$2:$G$1795,$N511),IF(J511&lt;=30,INDEX('Tabela Passaro'!$H$2:$H$1795,$N511),IF(J511&lt;=50,INDEX('Tabela Passaro'!$I$2:$I$1795,$N511),IF(J511&lt;=70,INDEX('Tabela Passaro'!$J$2:$J$1795,$N511),IF(J511&lt;=100,INDEX('Tabela Passaro'!$K$2:$K$1795,$N511),INDEX('Tabela Passaro'!$K$2:$K$1795,$N511)+(J511-100)*INDEX('Tabela Passaro'!$L$2:$L$1795,$N511))))))</f>
        <v>61.92</v>
      </c>
      <c r="S511" s="32" t="n">
        <f aca="false">K511*INDEX('Tabela Passaro'!$M$2:$M$1795,$N511)</f>
        <v>3.2499</v>
      </c>
      <c r="T511" s="32" t="n">
        <f aca="false">K511*INDEX('Tabela Passaro'!$N$2:$N$1795,$N511)</f>
        <v>1.29996</v>
      </c>
      <c r="U511" s="32" t="n">
        <f aca="false">INDEX('Tabela Passaro'!$O$2:$O$1795,$N511)</f>
        <v>5</v>
      </c>
      <c r="V511" s="32" t="n">
        <f aca="false">ROUNDUP(J511/INDEX('Tabela Passaro'!$Q$2:$Q$1795,$N511),0)*INDEX('Tabela Passaro'!$P$2:$P$1795,$N511)</f>
        <v>5</v>
      </c>
      <c r="W511" s="32" t="n">
        <f aca="false">INDEX('Tabela Passaro'!$R$2:$R$1795,$N511)</f>
        <v>30</v>
      </c>
      <c r="X511" s="32" t="n">
        <f aca="false">ROUNDUP(J511/INDEX('Tabela Passaro'!$T$2:$T$1795,$N511),0)*INDEX('Tabela Passaro'!$S$2:$S$1795,$N511)</f>
        <v>0</v>
      </c>
      <c r="Y511" s="32" t="n">
        <f aca="false">INDEX('Tabela Passaro'!$U$2:$U$1795,$N511)</f>
        <v>0</v>
      </c>
      <c r="Z511" s="32" t="n">
        <f aca="false">INDEX('Tabela Passaro'!$V$2:$V$1795,$N511)</f>
        <v>0</v>
      </c>
      <c r="AA511" s="32" t="n">
        <f aca="false">SUM(R511:Z511)</f>
        <v>106.46986</v>
      </c>
      <c r="AB511" s="33" t="n">
        <f aca="false">INDEX(Premissas!$B$5:$B$13,MATCH(A511,Premissas!$A$5:$A$13,0))</f>
        <v>0.07</v>
      </c>
      <c r="AC511" s="32" t="n">
        <f aca="false">AA511/(1-AB511)-AA511</f>
        <v>8.01386043010753</v>
      </c>
      <c r="AD511" s="32" t="n">
        <f aca="false">ROUND(AA511+AC511,2)</f>
        <v>114.48</v>
      </c>
      <c r="AE511" s="32" t="n">
        <f aca="false">AD511-L511</f>
        <v>-37.62</v>
      </c>
      <c r="AF511" s="34" t="n">
        <f aca="false">IF(L511=0,0,AE511/L511)</f>
        <v>-0.247337278106509</v>
      </c>
      <c r="AG511" s="22" t="str">
        <f aca="false">IF(AD511&lt;L511,"PASSARO","ATUAL")</f>
        <v>PASSARO</v>
      </c>
      <c r="AH511" s="22" t="str">
        <f aca="false">IF(P511&lt;&gt;A511,"Faixa cadastrada como "&amp;P511&amp;" na tabela; preço aplicado pela UF do CEP","")</f>
        <v/>
      </c>
      <c r="AI511" s="26" t="n">
        <v>140.39</v>
      </c>
      <c r="AJ511" s="22" t="str">
        <f aca="false">INDEX('Tabela Passaro'!$X$2:$X$1795,$N511)</f>
        <v>CAPITAL</v>
      </c>
    </row>
    <row r="512" customFormat="false" ht="15" hidden="false" customHeight="false" outlineLevel="0" collapsed="false">
      <c r="A512" s="22" t="s">
        <v>16</v>
      </c>
      <c r="B512" s="22" t="n">
        <v>3</v>
      </c>
      <c r="C512" s="22" t="s">
        <v>79</v>
      </c>
      <c r="D512" s="22" t="s">
        <v>30</v>
      </c>
      <c r="E512" s="22" t="s">
        <v>20</v>
      </c>
      <c r="F512" s="22" t="n">
        <v>837662</v>
      </c>
      <c r="G512" s="30" t="n">
        <v>46237</v>
      </c>
      <c r="H512" s="22" t="n">
        <v>32339</v>
      </c>
      <c r="I512" s="22" t="s">
        <v>7788</v>
      </c>
      <c r="J512" s="31" t="n">
        <v>66.5</v>
      </c>
      <c r="K512" s="26" t="n">
        <v>960.98</v>
      </c>
      <c r="L512" s="26" t="n">
        <v>190.86</v>
      </c>
      <c r="M512" s="22" t="s">
        <v>684</v>
      </c>
      <c r="N512" s="22" t="n">
        <f aca="false">MATCH(M512,'Tabela Passaro'!$A$2:$A$1795,0)</f>
        <v>103</v>
      </c>
      <c r="O512" s="22" t="str">
        <f aca="false">INDEX('Tabela Passaro'!$C$2:$C$1795,$N512)</f>
        <v>CAMACARI</v>
      </c>
      <c r="P512" s="22" t="str">
        <f aca="false">INDEX('Tabela Passaro'!$B$2:$B$1795,$N512)</f>
        <v>BA</v>
      </c>
      <c r="Q512" s="22" t="n">
        <f aca="false">INDEX('Tabela Passaro'!$F$2:$F$1795,$N512)</f>
        <v>6</v>
      </c>
      <c r="R512" s="32" t="n">
        <f aca="false">IF(J512&lt;=10,INDEX('Tabela Passaro'!$G$2:$G$1795,$N512),IF(J512&lt;=30,INDEX('Tabela Passaro'!$H$2:$H$1795,$N512),IF(J512&lt;=50,INDEX('Tabela Passaro'!$I$2:$I$1795,$N512),IF(J512&lt;=70,INDEX('Tabela Passaro'!$J$2:$J$1795,$N512),IF(J512&lt;=100,INDEX('Tabela Passaro'!$K$2:$K$1795,$N512),INDEX('Tabela Passaro'!$K$2:$K$1795,$N512)+(J512-100)*INDEX('Tabela Passaro'!$L$2:$L$1795,$N512))))))</f>
        <v>73.44</v>
      </c>
      <c r="S512" s="32" t="n">
        <f aca="false">K512*INDEX('Tabela Passaro'!$M$2:$M$1795,$N512)</f>
        <v>4.8049</v>
      </c>
      <c r="T512" s="32" t="n">
        <f aca="false">K512*INDEX('Tabela Passaro'!$N$2:$N$1795,$N512)</f>
        <v>1.92196</v>
      </c>
      <c r="U512" s="32" t="n">
        <f aca="false">INDEX('Tabela Passaro'!$O$2:$O$1795,$N512)</f>
        <v>5</v>
      </c>
      <c r="V512" s="32" t="n">
        <f aca="false">ROUNDUP(J512/INDEX('Tabela Passaro'!$Q$2:$Q$1795,$N512),0)*INDEX('Tabela Passaro'!$P$2:$P$1795,$N512)</f>
        <v>5</v>
      </c>
      <c r="W512" s="32" t="n">
        <f aca="false">INDEX('Tabela Passaro'!$R$2:$R$1795,$N512)</f>
        <v>30</v>
      </c>
      <c r="X512" s="32" t="n">
        <f aca="false">ROUNDUP(J512/INDEX('Tabela Passaro'!$T$2:$T$1795,$N512),0)*INDEX('Tabela Passaro'!$S$2:$S$1795,$N512)</f>
        <v>0</v>
      </c>
      <c r="Y512" s="32" t="n">
        <f aca="false">INDEX('Tabela Passaro'!$U$2:$U$1795,$N512)</f>
        <v>0</v>
      </c>
      <c r="Z512" s="32" t="n">
        <f aca="false">INDEX('Tabela Passaro'!$V$2:$V$1795,$N512)</f>
        <v>0</v>
      </c>
      <c r="AA512" s="32" t="n">
        <f aca="false">SUM(R512:Z512)</f>
        <v>120.16686</v>
      </c>
      <c r="AB512" s="33" t="n">
        <f aca="false">INDEX(Premissas!$B$5:$B$13,MATCH(A512,Premissas!$A$5:$A$13,0))</f>
        <v>0.07</v>
      </c>
      <c r="AC512" s="32" t="n">
        <f aca="false">AA512/(1-AB512)-AA512</f>
        <v>9.04481741935486</v>
      </c>
      <c r="AD512" s="32" t="n">
        <f aca="false">ROUND(AA512+AC512,2)</f>
        <v>129.21</v>
      </c>
      <c r="AE512" s="32" t="n">
        <f aca="false">AD512-L512</f>
        <v>-61.65</v>
      </c>
      <c r="AF512" s="34" t="n">
        <f aca="false">IF(L512=0,0,AE512/L512)</f>
        <v>-0.323011631562402</v>
      </c>
      <c r="AG512" s="22" t="str">
        <f aca="false">IF(AD512&lt;L512,"PASSARO","ATUAL")</f>
        <v>PASSARO</v>
      </c>
      <c r="AH512" s="22" t="str">
        <f aca="false">IF(P512&lt;&gt;A512,"Faixa cadastrada como "&amp;P512&amp;" na tabela; preço aplicado pela UF do CEP","")</f>
        <v/>
      </c>
      <c r="AI512" s="26" t="n">
        <v>169.96</v>
      </c>
      <c r="AJ512" s="22" t="str">
        <f aca="false">INDEX('Tabela Passaro'!$X$2:$X$1795,$N512)</f>
        <v>CAPITAL</v>
      </c>
    </row>
    <row r="513" customFormat="false" ht="15" hidden="false" customHeight="false" outlineLevel="0" collapsed="false">
      <c r="A513" s="22" t="s">
        <v>16</v>
      </c>
      <c r="B513" s="22" t="n">
        <v>3</v>
      </c>
      <c r="C513" s="22" t="s">
        <v>79</v>
      </c>
      <c r="D513" s="22" t="s">
        <v>30</v>
      </c>
      <c r="E513" s="22" t="s">
        <v>20</v>
      </c>
      <c r="F513" s="22" t="n">
        <v>837664</v>
      </c>
      <c r="G513" s="30" t="n">
        <v>46237</v>
      </c>
      <c r="H513" s="22" t="n">
        <v>32341</v>
      </c>
      <c r="I513" s="22" t="s">
        <v>7789</v>
      </c>
      <c r="J513" s="31" t="n">
        <v>79.26</v>
      </c>
      <c r="K513" s="26" t="n">
        <v>863.59</v>
      </c>
      <c r="L513" s="26" t="n">
        <v>221.17</v>
      </c>
      <c r="M513" s="22" t="s">
        <v>684</v>
      </c>
      <c r="N513" s="22" t="n">
        <f aca="false">MATCH(M513,'Tabela Passaro'!$A$2:$A$1795,0)</f>
        <v>103</v>
      </c>
      <c r="O513" s="22" t="str">
        <f aca="false">INDEX('Tabela Passaro'!$C$2:$C$1795,$N513)</f>
        <v>CAMACARI</v>
      </c>
      <c r="P513" s="22" t="str">
        <f aca="false">INDEX('Tabela Passaro'!$B$2:$B$1795,$N513)</f>
        <v>BA</v>
      </c>
      <c r="Q513" s="22" t="n">
        <f aca="false">INDEX('Tabela Passaro'!$F$2:$F$1795,$N513)</f>
        <v>6</v>
      </c>
      <c r="R513" s="32" t="n">
        <f aca="false">IF(J513&lt;=10,INDEX('Tabela Passaro'!$G$2:$G$1795,$N513),IF(J513&lt;=30,INDEX('Tabela Passaro'!$H$2:$H$1795,$N513),IF(J513&lt;=50,INDEX('Tabela Passaro'!$I$2:$I$1795,$N513),IF(J513&lt;=70,INDEX('Tabela Passaro'!$J$2:$J$1795,$N513),IF(J513&lt;=100,INDEX('Tabela Passaro'!$K$2:$K$1795,$N513),INDEX('Tabela Passaro'!$K$2:$K$1795,$N513)+(J513-100)*INDEX('Tabela Passaro'!$L$2:$L$1795,$N513))))))</f>
        <v>84.96</v>
      </c>
      <c r="S513" s="32" t="n">
        <f aca="false">K513*INDEX('Tabela Passaro'!$M$2:$M$1795,$N513)</f>
        <v>4.31795</v>
      </c>
      <c r="T513" s="32" t="n">
        <f aca="false">K513*INDEX('Tabela Passaro'!$N$2:$N$1795,$N513)</f>
        <v>1.72718</v>
      </c>
      <c r="U513" s="32" t="n">
        <f aca="false">INDEX('Tabela Passaro'!$O$2:$O$1795,$N513)</f>
        <v>5</v>
      </c>
      <c r="V513" s="32" t="n">
        <f aca="false">ROUNDUP(J513/INDEX('Tabela Passaro'!$Q$2:$Q$1795,$N513),0)*INDEX('Tabela Passaro'!$P$2:$P$1795,$N513)</f>
        <v>5</v>
      </c>
      <c r="W513" s="32" t="n">
        <f aca="false">INDEX('Tabela Passaro'!$R$2:$R$1795,$N513)</f>
        <v>30</v>
      </c>
      <c r="X513" s="32" t="n">
        <f aca="false">ROUNDUP(J513/INDEX('Tabela Passaro'!$T$2:$T$1795,$N513),0)*INDEX('Tabela Passaro'!$S$2:$S$1795,$N513)</f>
        <v>0</v>
      </c>
      <c r="Y513" s="32" t="n">
        <f aca="false">INDEX('Tabela Passaro'!$U$2:$U$1795,$N513)</f>
        <v>0</v>
      </c>
      <c r="Z513" s="32" t="n">
        <f aca="false">INDEX('Tabela Passaro'!$V$2:$V$1795,$N513)</f>
        <v>0</v>
      </c>
      <c r="AA513" s="32" t="n">
        <f aca="false">SUM(R513:Z513)</f>
        <v>131.00513</v>
      </c>
      <c r="AB513" s="33" t="n">
        <f aca="false">INDEX(Premissas!$B$5:$B$13,MATCH(A513,Premissas!$A$5:$A$13,0))</f>
        <v>0.07</v>
      </c>
      <c r="AC513" s="32" t="n">
        <f aca="false">AA513/(1-AB513)-AA513</f>
        <v>9.86060118279571</v>
      </c>
      <c r="AD513" s="32" t="n">
        <f aca="false">ROUND(AA513+AC513,2)</f>
        <v>140.87</v>
      </c>
      <c r="AE513" s="32" t="n">
        <f aca="false">AD513-L513</f>
        <v>-80.3</v>
      </c>
      <c r="AF513" s="34" t="n">
        <f aca="false">IF(L513=0,0,AE513/L513)</f>
        <v>-0.363069132341638</v>
      </c>
      <c r="AG513" s="22" t="str">
        <f aca="false">IF(AD513&lt;L513,"PASSARO","ATUAL")</f>
        <v>PASSARO</v>
      </c>
      <c r="AH513" s="22" t="str">
        <f aca="false">IF(P513&lt;&gt;A513,"Faixa cadastrada como "&amp;P513&amp;" na tabela; preço aplicado pela UF do CEP","")</f>
        <v/>
      </c>
      <c r="AI513" s="26" t="n">
        <v>187.82</v>
      </c>
      <c r="AJ513" s="22" t="str">
        <f aca="false">INDEX('Tabela Passaro'!$X$2:$X$1795,$N513)</f>
        <v>CAPITAL</v>
      </c>
    </row>
    <row r="514" customFormat="false" ht="15" hidden="false" customHeight="false" outlineLevel="0" collapsed="false">
      <c r="A514" s="22" t="s">
        <v>16</v>
      </c>
      <c r="B514" s="22" t="n">
        <v>3</v>
      </c>
      <c r="C514" s="22" t="s">
        <v>79</v>
      </c>
      <c r="D514" s="22" t="s">
        <v>30</v>
      </c>
      <c r="E514" s="22" t="s">
        <v>7326</v>
      </c>
      <c r="F514" s="22" t="n">
        <v>521727</v>
      </c>
      <c r="G514" s="30" t="n">
        <v>46237</v>
      </c>
      <c r="H514" s="22" t="n">
        <v>619012</v>
      </c>
      <c r="I514" s="22" t="s">
        <v>7790</v>
      </c>
      <c r="J514" s="31" t="n">
        <v>41</v>
      </c>
      <c r="K514" s="26" t="n">
        <v>619.98</v>
      </c>
      <c r="L514" s="26" t="n">
        <v>170.9</v>
      </c>
      <c r="M514" s="22" t="s">
        <v>684</v>
      </c>
      <c r="N514" s="22" t="n">
        <f aca="false">MATCH(M514,'Tabela Passaro'!$A$2:$A$1795,0)</f>
        <v>103</v>
      </c>
      <c r="O514" s="22" t="str">
        <f aca="false">INDEX('Tabela Passaro'!$C$2:$C$1795,$N514)</f>
        <v>CAMACARI</v>
      </c>
      <c r="P514" s="22" t="str">
        <f aca="false">INDEX('Tabela Passaro'!$B$2:$B$1795,$N514)</f>
        <v>BA</v>
      </c>
      <c r="Q514" s="22" t="n">
        <f aca="false">INDEX('Tabela Passaro'!$F$2:$F$1795,$N514)</f>
        <v>6</v>
      </c>
      <c r="R514" s="32" t="n">
        <f aca="false">IF(J514&lt;=10,INDEX('Tabela Passaro'!$G$2:$G$1795,$N514),IF(J514&lt;=30,INDEX('Tabela Passaro'!$H$2:$H$1795,$N514),IF(J514&lt;=50,INDEX('Tabela Passaro'!$I$2:$I$1795,$N514),IF(J514&lt;=70,INDEX('Tabela Passaro'!$J$2:$J$1795,$N514),IF(J514&lt;=100,INDEX('Tabela Passaro'!$K$2:$K$1795,$N514),INDEX('Tabela Passaro'!$K$2:$K$1795,$N514)+(J514-100)*INDEX('Tabela Passaro'!$L$2:$L$1795,$N514))))))</f>
        <v>61.92</v>
      </c>
      <c r="S514" s="32" t="n">
        <f aca="false">K514*INDEX('Tabela Passaro'!$M$2:$M$1795,$N514)</f>
        <v>3.0999</v>
      </c>
      <c r="T514" s="32" t="n">
        <f aca="false">K514*INDEX('Tabela Passaro'!$N$2:$N$1795,$N514)</f>
        <v>1.23996</v>
      </c>
      <c r="U514" s="32" t="n">
        <f aca="false">INDEX('Tabela Passaro'!$O$2:$O$1795,$N514)</f>
        <v>5</v>
      </c>
      <c r="V514" s="32" t="n">
        <f aca="false">ROUNDUP(J514/INDEX('Tabela Passaro'!$Q$2:$Q$1795,$N514),0)*INDEX('Tabela Passaro'!$P$2:$P$1795,$N514)</f>
        <v>5</v>
      </c>
      <c r="W514" s="32" t="n">
        <f aca="false">INDEX('Tabela Passaro'!$R$2:$R$1795,$N514)</f>
        <v>30</v>
      </c>
      <c r="X514" s="32" t="n">
        <f aca="false">ROUNDUP(J514/INDEX('Tabela Passaro'!$T$2:$T$1795,$N514),0)*INDEX('Tabela Passaro'!$S$2:$S$1795,$N514)</f>
        <v>0</v>
      </c>
      <c r="Y514" s="32" t="n">
        <f aca="false">INDEX('Tabela Passaro'!$U$2:$U$1795,$N514)</f>
        <v>0</v>
      </c>
      <c r="Z514" s="32" t="n">
        <f aca="false">INDEX('Tabela Passaro'!$V$2:$V$1795,$N514)</f>
        <v>0</v>
      </c>
      <c r="AA514" s="32" t="n">
        <f aca="false">SUM(R514:Z514)</f>
        <v>106.25986</v>
      </c>
      <c r="AB514" s="33" t="n">
        <f aca="false">INDEX(Premissas!$B$5:$B$13,MATCH(A514,Premissas!$A$5:$A$13,0))</f>
        <v>0.07</v>
      </c>
      <c r="AC514" s="32" t="n">
        <f aca="false">AA514/(1-AB514)-AA514</f>
        <v>7.99805397849462</v>
      </c>
      <c r="AD514" s="32" t="n">
        <f aca="false">ROUND(AA514+AC514,2)</f>
        <v>114.26</v>
      </c>
      <c r="AE514" s="32" t="n">
        <f aca="false">AD514-L514</f>
        <v>-56.64</v>
      </c>
      <c r="AF514" s="34" t="n">
        <f aca="false">IF(L514=0,0,AE514/L514)</f>
        <v>-0.331421884142774</v>
      </c>
      <c r="AG514" s="22" t="str">
        <f aca="false">IF(AD514&lt;L514,"PASSARO","ATUAL")</f>
        <v>PASSARO</v>
      </c>
      <c r="AH514" s="22" t="str">
        <f aca="false">IF(P514&lt;&gt;A514,"Faixa cadastrada como "&amp;P514&amp;" na tabela; preço aplicado pela UF do CEP","")</f>
        <v/>
      </c>
      <c r="AI514" s="26" t="n">
        <v>141.55</v>
      </c>
      <c r="AJ514" s="22" t="str">
        <f aca="false">INDEX('Tabela Passaro'!$X$2:$X$1795,$N514)</f>
        <v>CAPITAL</v>
      </c>
    </row>
    <row r="515" customFormat="false" ht="15" hidden="false" customHeight="false" outlineLevel="0" collapsed="false">
      <c r="A515" s="22" t="s">
        <v>16</v>
      </c>
      <c r="B515" s="22" t="n">
        <v>3</v>
      </c>
      <c r="C515" s="22" t="s">
        <v>79</v>
      </c>
      <c r="D515" s="22" t="s">
        <v>30</v>
      </c>
      <c r="E515" s="22" t="s">
        <v>7328</v>
      </c>
      <c r="F515" s="22" t="n">
        <v>2307887</v>
      </c>
      <c r="G515" s="30" t="n">
        <v>46239</v>
      </c>
      <c r="H515" s="22" t="n">
        <v>131873</v>
      </c>
      <c r="I515" s="22" t="s">
        <v>7791</v>
      </c>
      <c r="J515" s="31" t="n">
        <v>27.6</v>
      </c>
      <c r="K515" s="26" t="n">
        <v>721.98</v>
      </c>
      <c r="L515" s="26" t="n">
        <v>118.59</v>
      </c>
      <c r="M515" s="22" t="s">
        <v>684</v>
      </c>
      <c r="N515" s="22" t="n">
        <f aca="false">MATCH(M515,'Tabela Passaro'!$A$2:$A$1795,0)</f>
        <v>103</v>
      </c>
      <c r="O515" s="22" t="str">
        <f aca="false">INDEX('Tabela Passaro'!$C$2:$C$1795,$N515)</f>
        <v>CAMACARI</v>
      </c>
      <c r="P515" s="22" t="str">
        <f aca="false">INDEX('Tabela Passaro'!$B$2:$B$1795,$N515)</f>
        <v>BA</v>
      </c>
      <c r="Q515" s="22" t="n">
        <f aca="false">INDEX('Tabela Passaro'!$F$2:$F$1795,$N515)</f>
        <v>6</v>
      </c>
      <c r="R515" s="32" t="n">
        <f aca="false">IF(J515&lt;=10,INDEX('Tabela Passaro'!$G$2:$G$1795,$N515),IF(J515&lt;=30,INDEX('Tabela Passaro'!$H$2:$H$1795,$N515),IF(J515&lt;=50,INDEX('Tabela Passaro'!$I$2:$I$1795,$N515),IF(J515&lt;=70,INDEX('Tabela Passaro'!$J$2:$J$1795,$N515),IF(J515&lt;=100,INDEX('Tabela Passaro'!$K$2:$K$1795,$N515),INDEX('Tabela Passaro'!$K$2:$K$1795,$N515)+(J515-100)*INDEX('Tabela Passaro'!$L$2:$L$1795,$N515))))))</f>
        <v>50.4</v>
      </c>
      <c r="S515" s="32" t="n">
        <f aca="false">K515*INDEX('Tabela Passaro'!$M$2:$M$1795,$N515)</f>
        <v>3.6099</v>
      </c>
      <c r="T515" s="32" t="n">
        <f aca="false">K515*INDEX('Tabela Passaro'!$N$2:$N$1795,$N515)</f>
        <v>1.44396</v>
      </c>
      <c r="U515" s="32" t="n">
        <f aca="false">INDEX('Tabela Passaro'!$O$2:$O$1795,$N515)</f>
        <v>5</v>
      </c>
      <c r="V515" s="32" t="n">
        <f aca="false">ROUNDUP(J515/INDEX('Tabela Passaro'!$Q$2:$Q$1795,$N515),0)*INDEX('Tabela Passaro'!$P$2:$P$1795,$N515)</f>
        <v>5</v>
      </c>
      <c r="W515" s="32" t="n">
        <f aca="false">INDEX('Tabela Passaro'!$R$2:$R$1795,$N515)</f>
        <v>30</v>
      </c>
      <c r="X515" s="32" t="n">
        <f aca="false">ROUNDUP(J515/INDEX('Tabela Passaro'!$T$2:$T$1795,$N515),0)*INDEX('Tabela Passaro'!$S$2:$S$1795,$N515)</f>
        <v>0</v>
      </c>
      <c r="Y515" s="32" t="n">
        <f aca="false">INDEX('Tabela Passaro'!$U$2:$U$1795,$N515)</f>
        <v>0</v>
      </c>
      <c r="Z515" s="32" t="n">
        <f aca="false">INDEX('Tabela Passaro'!$V$2:$V$1795,$N515)</f>
        <v>0</v>
      </c>
      <c r="AA515" s="32" t="n">
        <f aca="false">SUM(R515:Z515)</f>
        <v>95.45386</v>
      </c>
      <c r="AB515" s="33" t="n">
        <f aca="false">INDEX(Premissas!$B$5:$B$13,MATCH(A515,Premissas!$A$5:$A$13,0))</f>
        <v>0.07</v>
      </c>
      <c r="AC515" s="32" t="n">
        <f aca="false">AA515/(1-AB515)-AA515</f>
        <v>7.18469913978495</v>
      </c>
      <c r="AD515" s="32" t="n">
        <f aca="false">ROUND(AA515+AC515,2)</f>
        <v>102.64</v>
      </c>
      <c r="AE515" s="32" t="n">
        <f aca="false">AD515-L515</f>
        <v>-15.95</v>
      </c>
      <c r="AF515" s="34" t="n">
        <f aca="false">IF(L515=0,0,AE515/L515)</f>
        <v>-0.134497006492959</v>
      </c>
      <c r="AG515" s="22" t="str">
        <f aca="false">IF(AD515&lt;L515,"PASSARO","ATUAL")</f>
        <v>PASSARO</v>
      </c>
      <c r="AH515" s="22" t="str">
        <f aca="false">IF(P515&lt;&gt;A515,"Faixa cadastrada como "&amp;P515&amp;" na tabela; preço aplicado pela UF do CEP","")</f>
        <v/>
      </c>
      <c r="AI515" s="26" t="n">
        <v>123.72</v>
      </c>
      <c r="AJ515" s="22" t="str">
        <f aca="false">INDEX('Tabela Passaro'!$X$2:$X$1795,$N515)</f>
        <v>CAPITAL</v>
      </c>
    </row>
    <row r="516" customFormat="false" ht="15" hidden="false" customHeight="false" outlineLevel="0" collapsed="false">
      <c r="A516" s="22" t="s">
        <v>16</v>
      </c>
      <c r="B516" s="22" t="n">
        <v>3</v>
      </c>
      <c r="C516" s="22" t="s">
        <v>79</v>
      </c>
      <c r="D516" s="22" t="s">
        <v>30</v>
      </c>
      <c r="E516" s="22" t="s">
        <v>7328</v>
      </c>
      <c r="F516" s="22" t="n">
        <v>2307898</v>
      </c>
      <c r="G516" s="30" t="n">
        <v>46239</v>
      </c>
      <c r="H516" s="22" t="n">
        <v>131932</v>
      </c>
      <c r="I516" s="22" t="s">
        <v>7792</v>
      </c>
      <c r="J516" s="31" t="n">
        <v>45.4</v>
      </c>
      <c r="K516" s="26" t="n">
        <v>591.74</v>
      </c>
      <c r="L516" s="26" t="n">
        <v>151.33</v>
      </c>
      <c r="M516" s="22" t="s">
        <v>684</v>
      </c>
      <c r="N516" s="22" t="n">
        <f aca="false">MATCH(M516,'Tabela Passaro'!$A$2:$A$1795,0)</f>
        <v>103</v>
      </c>
      <c r="O516" s="22" t="str">
        <f aca="false">INDEX('Tabela Passaro'!$C$2:$C$1795,$N516)</f>
        <v>CAMACARI</v>
      </c>
      <c r="P516" s="22" t="str">
        <f aca="false">INDEX('Tabela Passaro'!$B$2:$B$1795,$N516)</f>
        <v>BA</v>
      </c>
      <c r="Q516" s="22" t="n">
        <f aca="false">INDEX('Tabela Passaro'!$F$2:$F$1795,$N516)</f>
        <v>6</v>
      </c>
      <c r="R516" s="32" t="n">
        <f aca="false">IF(J516&lt;=10,INDEX('Tabela Passaro'!$G$2:$G$1795,$N516),IF(J516&lt;=30,INDEX('Tabela Passaro'!$H$2:$H$1795,$N516),IF(J516&lt;=50,INDEX('Tabela Passaro'!$I$2:$I$1795,$N516),IF(J516&lt;=70,INDEX('Tabela Passaro'!$J$2:$J$1795,$N516),IF(J516&lt;=100,INDEX('Tabela Passaro'!$K$2:$K$1795,$N516),INDEX('Tabela Passaro'!$K$2:$K$1795,$N516)+(J516-100)*INDEX('Tabela Passaro'!$L$2:$L$1795,$N516))))))</f>
        <v>61.92</v>
      </c>
      <c r="S516" s="32" t="n">
        <f aca="false">K516*INDEX('Tabela Passaro'!$M$2:$M$1795,$N516)</f>
        <v>2.9587</v>
      </c>
      <c r="T516" s="32" t="n">
        <f aca="false">K516*INDEX('Tabela Passaro'!$N$2:$N$1795,$N516)</f>
        <v>1.18348</v>
      </c>
      <c r="U516" s="32" t="n">
        <f aca="false">INDEX('Tabela Passaro'!$O$2:$O$1795,$N516)</f>
        <v>5</v>
      </c>
      <c r="V516" s="32" t="n">
        <f aca="false">ROUNDUP(J516/INDEX('Tabela Passaro'!$Q$2:$Q$1795,$N516),0)*INDEX('Tabela Passaro'!$P$2:$P$1795,$N516)</f>
        <v>5</v>
      </c>
      <c r="W516" s="32" t="n">
        <f aca="false">INDEX('Tabela Passaro'!$R$2:$R$1795,$N516)</f>
        <v>30</v>
      </c>
      <c r="X516" s="32" t="n">
        <f aca="false">ROUNDUP(J516/INDEX('Tabela Passaro'!$T$2:$T$1795,$N516),0)*INDEX('Tabela Passaro'!$S$2:$S$1795,$N516)</f>
        <v>0</v>
      </c>
      <c r="Y516" s="32" t="n">
        <f aca="false">INDEX('Tabela Passaro'!$U$2:$U$1795,$N516)</f>
        <v>0</v>
      </c>
      <c r="Z516" s="32" t="n">
        <f aca="false">INDEX('Tabela Passaro'!$V$2:$V$1795,$N516)</f>
        <v>0</v>
      </c>
      <c r="AA516" s="32" t="n">
        <f aca="false">SUM(R516:Z516)</f>
        <v>106.06218</v>
      </c>
      <c r="AB516" s="33" t="n">
        <f aca="false">INDEX(Premissas!$B$5:$B$13,MATCH(A516,Premissas!$A$5:$A$13,0))</f>
        <v>0.07</v>
      </c>
      <c r="AC516" s="32" t="n">
        <f aca="false">AA516/(1-AB516)-AA516</f>
        <v>7.98317483870969</v>
      </c>
      <c r="AD516" s="32" t="n">
        <f aca="false">ROUND(AA516+AC516,2)</f>
        <v>114.05</v>
      </c>
      <c r="AE516" s="32" t="n">
        <f aca="false">AD516-L516</f>
        <v>-37.28</v>
      </c>
      <c r="AF516" s="34" t="n">
        <f aca="false">IF(L516=0,0,AE516/L516)</f>
        <v>-0.246349038525078</v>
      </c>
      <c r="AG516" s="22" t="str">
        <f aca="false">IF(AD516&lt;L516,"PASSARO","ATUAL")</f>
        <v>PASSARO</v>
      </c>
      <c r="AH516" s="22" t="str">
        <f aca="false">IF(P516&lt;&gt;A516,"Faixa cadastrada como "&amp;P516&amp;" na tabela; preço aplicado pela UF do CEP","")</f>
        <v/>
      </c>
      <c r="AI516" s="26" t="n">
        <v>143.69</v>
      </c>
      <c r="AJ516" s="22" t="str">
        <f aca="false">INDEX('Tabela Passaro'!$X$2:$X$1795,$N516)</f>
        <v>CAPITAL</v>
      </c>
    </row>
    <row r="517" customFormat="false" ht="15" hidden="false" customHeight="false" outlineLevel="0" collapsed="false">
      <c r="A517" s="22" t="s">
        <v>16</v>
      </c>
      <c r="B517" s="22" t="n">
        <v>3</v>
      </c>
      <c r="C517" s="22" t="s">
        <v>79</v>
      </c>
      <c r="D517" s="22" t="s">
        <v>30</v>
      </c>
      <c r="E517" s="22" t="s">
        <v>7326</v>
      </c>
      <c r="F517" s="22" t="n">
        <v>523719</v>
      </c>
      <c r="G517" s="30" t="n">
        <v>46244</v>
      </c>
      <c r="H517" s="22" t="n">
        <v>622514</v>
      </c>
      <c r="I517" s="22" t="s">
        <v>7793</v>
      </c>
      <c r="J517" s="31" t="n">
        <v>33</v>
      </c>
      <c r="K517" s="26" t="n">
        <v>640.23</v>
      </c>
      <c r="L517" s="26" t="n">
        <v>171.06</v>
      </c>
      <c r="M517" s="22" t="s">
        <v>684</v>
      </c>
      <c r="N517" s="22" t="n">
        <f aca="false">MATCH(M517,'Tabela Passaro'!$A$2:$A$1795,0)</f>
        <v>103</v>
      </c>
      <c r="O517" s="22" t="str">
        <f aca="false">INDEX('Tabela Passaro'!$C$2:$C$1795,$N517)</f>
        <v>CAMACARI</v>
      </c>
      <c r="P517" s="22" t="str">
        <f aca="false">INDEX('Tabela Passaro'!$B$2:$B$1795,$N517)</f>
        <v>BA</v>
      </c>
      <c r="Q517" s="22" t="n">
        <f aca="false">INDEX('Tabela Passaro'!$F$2:$F$1795,$N517)</f>
        <v>6</v>
      </c>
      <c r="R517" s="32" t="n">
        <f aca="false">IF(J517&lt;=10,INDEX('Tabela Passaro'!$G$2:$G$1795,$N517),IF(J517&lt;=30,INDEX('Tabela Passaro'!$H$2:$H$1795,$N517),IF(J517&lt;=50,INDEX('Tabela Passaro'!$I$2:$I$1795,$N517),IF(J517&lt;=70,INDEX('Tabela Passaro'!$J$2:$J$1795,$N517),IF(J517&lt;=100,INDEX('Tabela Passaro'!$K$2:$K$1795,$N517),INDEX('Tabela Passaro'!$K$2:$K$1795,$N517)+(J517-100)*INDEX('Tabela Passaro'!$L$2:$L$1795,$N517))))))</f>
        <v>61.92</v>
      </c>
      <c r="S517" s="32" t="n">
        <f aca="false">K517*INDEX('Tabela Passaro'!$M$2:$M$1795,$N517)</f>
        <v>3.20115</v>
      </c>
      <c r="T517" s="32" t="n">
        <f aca="false">K517*INDEX('Tabela Passaro'!$N$2:$N$1795,$N517)</f>
        <v>1.28046</v>
      </c>
      <c r="U517" s="32" t="n">
        <f aca="false">INDEX('Tabela Passaro'!$O$2:$O$1795,$N517)</f>
        <v>5</v>
      </c>
      <c r="V517" s="32" t="n">
        <f aca="false">ROUNDUP(J517/INDEX('Tabela Passaro'!$Q$2:$Q$1795,$N517),0)*INDEX('Tabela Passaro'!$P$2:$P$1795,$N517)</f>
        <v>5</v>
      </c>
      <c r="W517" s="32" t="n">
        <f aca="false">INDEX('Tabela Passaro'!$R$2:$R$1795,$N517)</f>
        <v>30</v>
      </c>
      <c r="X517" s="32" t="n">
        <f aca="false">ROUNDUP(J517/INDEX('Tabela Passaro'!$T$2:$T$1795,$N517),0)*INDEX('Tabela Passaro'!$S$2:$S$1795,$N517)</f>
        <v>0</v>
      </c>
      <c r="Y517" s="32" t="n">
        <f aca="false">INDEX('Tabela Passaro'!$U$2:$U$1795,$N517)</f>
        <v>0</v>
      </c>
      <c r="Z517" s="32" t="n">
        <f aca="false">INDEX('Tabela Passaro'!$V$2:$V$1795,$N517)</f>
        <v>0</v>
      </c>
      <c r="AA517" s="32" t="n">
        <f aca="false">SUM(R517:Z517)</f>
        <v>106.40161</v>
      </c>
      <c r="AB517" s="33" t="n">
        <f aca="false">INDEX(Premissas!$B$5:$B$13,MATCH(A517,Premissas!$A$5:$A$13,0))</f>
        <v>0.07</v>
      </c>
      <c r="AC517" s="32" t="n">
        <f aca="false">AA517/(1-AB517)-AA517</f>
        <v>8.00872333333334</v>
      </c>
      <c r="AD517" s="32" t="n">
        <f aca="false">ROUND(AA517+AC517,2)</f>
        <v>114.41</v>
      </c>
      <c r="AE517" s="32" t="n">
        <f aca="false">AD517-L517</f>
        <v>-56.65</v>
      </c>
      <c r="AF517" s="34" t="n">
        <f aca="false">IF(L517=0,0,AE517/L517)</f>
        <v>-0.331170349584941</v>
      </c>
      <c r="AG517" s="22" t="str">
        <f aca="false">IF(AD517&lt;L517,"PASSARO","ATUAL")</f>
        <v>PASSARO</v>
      </c>
      <c r="AH517" s="22" t="str">
        <f aca="false">IF(P517&lt;&gt;A517,"Faixa cadastrada como "&amp;P517&amp;" na tabela; preço aplicado pela UF do CEP","")</f>
        <v/>
      </c>
      <c r="AI517" s="26" t="n">
        <v>137.87</v>
      </c>
      <c r="AJ517" s="22" t="str">
        <f aca="false">INDEX('Tabela Passaro'!$X$2:$X$1795,$N517)</f>
        <v>CAPITAL</v>
      </c>
    </row>
    <row r="518" customFormat="false" ht="15" hidden="false" customHeight="false" outlineLevel="0" collapsed="false">
      <c r="A518" s="22" t="s">
        <v>16</v>
      </c>
      <c r="B518" s="22" t="n">
        <v>3</v>
      </c>
      <c r="C518" s="22" t="s">
        <v>79</v>
      </c>
      <c r="D518" s="22" t="s">
        <v>30</v>
      </c>
      <c r="E518" s="22" t="s">
        <v>7326</v>
      </c>
      <c r="F518" s="22" t="n">
        <v>523739</v>
      </c>
      <c r="G518" s="30" t="n">
        <v>46244</v>
      </c>
      <c r="H518" s="22" t="n">
        <v>622534</v>
      </c>
      <c r="I518" s="22" t="s">
        <v>7794</v>
      </c>
      <c r="J518" s="31" t="n">
        <v>23.1</v>
      </c>
      <c r="K518" s="26" t="n">
        <v>532.74</v>
      </c>
      <c r="L518" s="26" t="n">
        <v>127.04</v>
      </c>
      <c r="M518" s="22" t="s">
        <v>684</v>
      </c>
      <c r="N518" s="22" t="n">
        <f aca="false">MATCH(M518,'Tabela Passaro'!$A$2:$A$1795,0)</f>
        <v>103</v>
      </c>
      <c r="O518" s="22" t="str">
        <f aca="false">INDEX('Tabela Passaro'!$C$2:$C$1795,$N518)</f>
        <v>CAMACARI</v>
      </c>
      <c r="P518" s="22" t="str">
        <f aca="false">INDEX('Tabela Passaro'!$B$2:$B$1795,$N518)</f>
        <v>BA</v>
      </c>
      <c r="Q518" s="22" t="n">
        <f aca="false">INDEX('Tabela Passaro'!$F$2:$F$1795,$N518)</f>
        <v>6</v>
      </c>
      <c r="R518" s="32" t="n">
        <f aca="false">IF(J518&lt;=10,INDEX('Tabela Passaro'!$G$2:$G$1795,$N518),IF(J518&lt;=30,INDEX('Tabela Passaro'!$H$2:$H$1795,$N518),IF(J518&lt;=50,INDEX('Tabela Passaro'!$I$2:$I$1795,$N518),IF(J518&lt;=70,INDEX('Tabela Passaro'!$J$2:$J$1795,$N518),IF(J518&lt;=100,INDEX('Tabela Passaro'!$K$2:$K$1795,$N518),INDEX('Tabela Passaro'!$K$2:$K$1795,$N518)+(J518-100)*INDEX('Tabela Passaro'!$L$2:$L$1795,$N518))))))</f>
        <v>50.4</v>
      </c>
      <c r="S518" s="32" t="n">
        <f aca="false">K518*INDEX('Tabela Passaro'!$M$2:$M$1795,$N518)</f>
        <v>2.6637</v>
      </c>
      <c r="T518" s="32" t="n">
        <f aca="false">K518*INDEX('Tabela Passaro'!$N$2:$N$1795,$N518)</f>
        <v>1.06548</v>
      </c>
      <c r="U518" s="32" t="n">
        <f aca="false">INDEX('Tabela Passaro'!$O$2:$O$1795,$N518)</f>
        <v>5</v>
      </c>
      <c r="V518" s="32" t="n">
        <f aca="false">ROUNDUP(J518/INDEX('Tabela Passaro'!$Q$2:$Q$1795,$N518),0)*INDEX('Tabela Passaro'!$P$2:$P$1795,$N518)</f>
        <v>5</v>
      </c>
      <c r="W518" s="32" t="n">
        <f aca="false">INDEX('Tabela Passaro'!$R$2:$R$1795,$N518)</f>
        <v>30</v>
      </c>
      <c r="X518" s="32" t="n">
        <f aca="false">ROUNDUP(J518/INDEX('Tabela Passaro'!$T$2:$T$1795,$N518),0)*INDEX('Tabela Passaro'!$S$2:$S$1795,$N518)</f>
        <v>0</v>
      </c>
      <c r="Y518" s="32" t="n">
        <f aca="false">INDEX('Tabela Passaro'!$U$2:$U$1795,$N518)</f>
        <v>0</v>
      </c>
      <c r="Z518" s="32" t="n">
        <f aca="false">INDEX('Tabela Passaro'!$V$2:$V$1795,$N518)</f>
        <v>0</v>
      </c>
      <c r="AA518" s="32" t="n">
        <f aca="false">SUM(R518:Z518)</f>
        <v>94.12918</v>
      </c>
      <c r="AB518" s="33" t="n">
        <f aca="false">INDEX(Premissas!$B$5:$B$13,MATCH(A518,Premissas!$A$5:$A$13,0))</f>
        <v>0.07</v>
      </c>
      <c r="AC518" s="32" t="n">
        <f aca="false">AA518/(1-AB518)-AA518</f>
        <v>7.08499204301076</v>
      </c>
      <c r="AD518" s="32" t="n">
        <f aca="false">ROUND(AA518+AC518,2)</f>
        <v>101.21</v>
      </c>
      <c r="AE518" s="32" t="n">
        <f aca="false">AD518-L518</f>
        <v>-25.83</v>
      </c>
      <c r="AF518" s="34" t="n">
        <f aca="false">IF(L518=0,0,AE518/L518)</f>
        <v>-0.203321788413098</v>
      </c>
      <c r="AG518" s="22" t="str">
        <f aca="false">IF(AD518&lt;L518,"PASSARO","ATUAL")</f>
        <v>PASSARO</v>
      </c>
      <c r="AH518" s="22" t="str">
        <f aca="false">IF(P518&lt;&gt;A518,"Faixa cadastrada como "&amp;P518&amp;" na tabela; preço aplicado pela UF do CEP","")</f>
        <v/>
      </c>
      <c r="AI518" s="26" t="n">
        <v>119.95</v>
      </c>
      <c r="AJ518" s="22" t="str">
        <f aca="false">INDEX('Tabela Passaro'!$X$2:$X$1795,$N518)</f>
        <v>CAPITAL</v>
      </c>
    </row>
    <row r="519" customFormat="false" ht="15" hidden="false" customHeight="false" outlineLevel="0" collapsed="false">
      <c r="A519" s="22" t="s">
        <v>16</v>
      </c>
      <c r="B519" s="22" t="n">
        <v>3</v>
      </c>
      <c r="C519" s="22" t="s">
        <v>79</v>
      </c>
      <c r="D519" s="22" t="s">
        <v>30</v>
      </c>
      <c r="E519" s="22" t="s">
        <v>7326</v>
      </c>
      <c r="F519" s="22" t="n">
        <v>523828</v>
      </c>
      <c r="G519" s="30" t="n">
        <v>46245</v>
      </c>
      <c r="H519" s="22" t="n">
        <v>623250</v>
      </c>
      <c r="I519" s="22" t="s">
        <v>7795</v>
      </c>
      <c r="J519" s="31" t="n">
        <v>73.1</v>
      </c>
      <c r="K519" s="26" t="n">
        <v>1219.98</v>
      </c>
      <c r="L519" s="26" t="n">
        <v>272.43</v>
      </c>
      <c r="M519" s="22" t="s">
        <v>684</v>
      </c>
      <c r="N519" s="22" t="n">
        <f aca="false">MATCH(M519,'Tabela Passaro'!$A$2:$A$1795,0)</f>
        <v>103</v>
      </c>
      <c r="O519" s="22" t="str">
        <f aca="false">INDEX('Tabela Passaro'!$C$2:$C$1795,$N519)</f>
        <v>CAMACARI</v>
      </c>
      <c r="P519" s="22" t="str">
        <f aca="false">INDEX('Tabela Passaro'!$B$2:$B$1795,$N519)</f>
        <v>BA</v>
      </c>
      <c r="Q519" s="22" t="n">
        <f aca="false">INDEX('Tabela Passaro'!$F$2:$F$1795,$N519)</f>
        <v>6</v>
      </c>
      <c r="R519" s="32" t="n">
        <f aca="false">IF(J519&lt;=10,INDEX('Tabela Passaro'!$G$2:$G$1795,$N519),IF(J519&lt;=30,INDEX('Tabela Passaro'!$H$2:$H$1795,$N519),IF(J519&lt;=50,INDEX('Tabela Passaro'!$I$2:$I$1795,$N519),IF(J519&lt;=70,INDEX('Tabela Passaro'!$J$2:$J$1795,$N519),IF(J519&lt;=100,INDEX('Tabela Passaro'!$K$2:$K$1795,$N519),INDEX('Tabela Passaro'!$K$2:$K$1795,$N519)+(J519-100)*INDEX('Tabela Passaro'!$L$2:$L$1795,$N519))))))</f>
        <v>84.96</v>
      </c>
      <c r="S519" s="32" t="n">
        <f aca="false">K519*INDEX('Tabela Passaro'!$M$2:$M$1795,$N519)</f>
        <v>6.0999</v>
      </c>
      <c r="T519" s="32" t="n">
        <f aca="false">K519*INDEX('Tabela Passaro'!$N$2:$N$1795,$N519)</f>
        <v>2.43996</v>
      </c>
      <c r="U519" s="32" t="n">
        <f aca="false">INDEX('Tabela Passaro'!$O$2:$O$1795,$N519)</f>
        <v>5</v>
      </c>
      <c r="V519" s="32" t="n">
        <f aca="false">ROUNDUP(J519/INDEX('Tabela Passaro'!$Q$2:$Q$1795,$N519),0)*INDEX('Tabela Passaro'!$P$2:$P$1795,$N519)</f>
        <v>5</v>
      </c>
      <c r="W519" s="32" t="n">
        <f aca="false">INDEX('Tabela Passaro'!$R$2:$R$1795,$N519)</f>
        <v>30</v>
      </c>
      <c r="X519" s="32" t="n">
        <f aca="false">ROUNDUP(J519/INDEX('Tabela Passaro'!$T$2:$T$1795,$N519),0)*INDEX('Tabela Passaro'!$S$2:$S$1795,$N519)</f>
        <v>0</v>
      </c>
      <c r="Y519" s="32" t="n">
        <f aca="false">INDEX('Tabela Passaro'!$U$2:$U$1795,$N519)</f>
        <v>0</v>
      </c>
      <c r="Z519" s="32" t="n">
        <f aca="false">INDEX('Tabela Passaro'!$V$2:$V$1795,$N519)</f>
        <v>0</v>
      </c>
      <c r="AA519" s="32" t="n">
        <f aca="false">SUM(R519:Z519)</f>
        <v>133.49986</v>
      </c>
      <c r="AB519" s="33" t="n">
        <f aca="false">INDEX(Premissas!$B$5:$B$13,MATCH(A519,Premissas!$A$5:$A$13,0))</f>
        <v>0.07</v>
      </c>
      <c r="AC519" s="32" t="n">
        <f aca="false">AA519/(1-AB519)-AA519</f>
        <v>10.0483765591398</v>
      </c>
      <c r="AD519" s="32" t="n">
        <f aca="false">ROUND(AA519+AC519,2)</f>
        <v>143.55</v>
      </c>
      <c r="AE519" s="32" t="n">
        <f aca="false">AD519-L519</f>
        <v>-128.88</v>
      </c>
      <c r="AF519" s="34" t="n">
        <f aca="false">IF(L519=0,0,AE519/L519)</f>
        <v>-0.473075652461183</v>
      </c>
      <c r="AG519" s="22" t="str">
        <f aca="false">IF(AD519&lt;L519,"PASSARO","ATUAL")</f>
        <v>PASSARO</v>
      </c>
      <c r="AH519" s="22" t="str">
        <f aca="false">IF(P519&lt;&gt;A519,"Faixa cadastrada como "&amp;P519&amp;" na tabela; preço aplicado pela UF do CEP","")</f>
        <v/>
      </c>
      <c r="AI519" s="26" t="n">
        <v>188.37</v>
      </c>
      <c r="AJ519" s="22" t="str">
        <f aca="false">INDEX('Tabela Passaro'!$X$2:$X$1795,$N519)</f>
        <v>CAPITAL</v>
      </c>
    </row>
    <row r="520" customFormat="false" ht="15" hidden="false" customHeight="false" outlineLevel="0" collapsed="false">
      <c r="A520" s="22" t="s">
        <v>16</v>
      </c>
      <c r="B520" s="22" t="n">
        <v>3</v>
      </c>
      <c r="C520" s="22" t="s">
        <v>79</v>
      </c>
      <c r="D520" s="22" t="s">
        <v>30</v>
      </c>
      <c r="E520" s="22" t="s">
        <v>7328</v>
      </c>
      <c r="F520" s="22" t="n">
        <v>2311229</v>
      </c>
      <c r="G520" s="30" t="n">
        <v>46246</v>
      </c>
      <c r="H520" s="22" t="n">
        <v>132499</v>
      </c>
      <c r="I520" s="22" t="s">
        <v>7796</v>
      </c>
      <c r="J520" s="31" t="n">
        <v>106.5</v>
      </c>
      <c r="K520" s="26" t="n">
        <v>1329.98</v>
      </c>
      <c r="L520" s="26" t="n">
        <v>249.6</v>
      </c>
      <c r="M520" s="22" t="s">
        <v>684</v>
      </c>
      <c r="N520" s="22" t="n">
        <f aca="false">MATCH(M520,'Tabela Passaro'!$A$2:$A$1795,0)</f>
        <v>103</v>
      </c>
      <c r="O520" s="22" t="str">
        <f aca="false">INDEX('Tabela Passaro'!$C$2:$C$1795,$N520)</f>
        <v>CAMACARI</v>
      </c>
      <c r="P520" s="22" t="str">
        <f aca="false">INDEX('Tabela Passaro'!$B$2:$B$1795,$N520)</f>
        <v>BA</v>
      </c>
      <c r="Q520" s="22" t="n">
        <f aca="false">INDEX('Tabela Passaro'!$F$2:$F$1795,$N520)</f>
        <v>6</v>
      </c>
      <c r="R520" s="32" t="n">
        <f aca="false">IF(J520&lt;=10,INDEX('Tabela Passaro'!$G$2:$G$1795,$N520),IF(J520&lt;=30,INDEX('Tabela Passaro'!$H$2:$H$1795,$N520),IF(J520&lt;=50,INDEX('Tabela Passaro'!$I$2:$I$1795,$N520),IF(J520&lt;=70,INDEX('Tabela Passaro'!$J$2:$J$1795,$N520),IF(J520&lt;=100,INDEX('Tabela Passaro'!$K$2:$K$1795,$N520),INDEX('Tabela Passaro'!$K$2:$K$1795,$N520)+(J520-100)*INDEX('Tabela Passaro'!$L$2:$L$1795,$N520))))))</f>
        <v>92.5</v>
      </c>
      <c r="S520" s="32" t="n">
        <f aca="false">K520*INDEX('Tabela Passaro'!$M$2:$M$1795,$N520)</f>
        <v>6.6499</v>
      </c>
      <c r="T520" s="32" t="n">
        <f aca="false">K520*INDEX('Tabela Passaro'!$N$2:$N$1795,$N520)</f>
        <v>2.65996</v>
      </c>
      <c r="U520" s="32" t="n">
        <f aca="false">INDEX('Tabela Passaro'!$O$2:$O$1795,$N520)</f>
        <v>5</v>
      </c>
      <c r="V520" s="32" t="n">
        <f aca="false">ROUNDUP(J520/INDEX('Tabela Passaro'!$Q$2:$Q$1795,$N520),0)*INDEX('Tabela Passaro'!$P$2:$P$1795,$N520)</f>
        <v>10</v>
      </c>
      <c r="W520" s="32" t="n">
        <f aca="false">INDEX('Tabela Passaro'!$R$2:$R$1795,$N520)</f>
        <v>30</v>
      </c>
      <c r="X520" s="32" t="n">
        <f aca="false">ROUNDUP(J520/INDEX('Tabela Passaro'!$T$2:$T$1795,$N520),0)*INDEX('Tabela Passaro'!$S$2:$S$1795,$N520)</f>
        <v>0</v>
      </c>
      <c r="Y520" s="32" t="n">
        <f aca="false">INDEX('Tabela Passaro'!$U$2:$U$1795,$N520)</f>
        <v>0</v>
      </c>
      <c r="Z520" s="32" t="n">
        <f aca="false">INDEX('Tabela Passaro'!$V$2:$V$1795,$N520)</f>
        <v>0</v>
      </c>
      <c r="AA520" s="32" t="n">
        <f aca="false">SUM(R520:Z520)</f>
        <v>146.80986</v>
      </c>
      <c r="AB520" s="33" t="n">
        <f aca="false">INDEX(Premissas!$B$5:$B$13,MATCH(A520,Premissas!$A$5:$A$13,0))</f>
        <v>0.07</v>
      </c>
      <c r="AC520" s="32" t="n">
        <f aca="false">AA520/(1-AB520)-AA520</f>
        <v>11.050204516129</v>
      </c>
      <c r="AD520" s="32" t="n">
        <f aca="false">ROUND(AA520+AC520,2)</f>
        <v>157.86</v>
      </c>
      <c r="AE520" s="32" t="n">
        <f aca="false">AD520-L520</f>
        <v>-91.74</v>
      </c>
      <c r="AF520" s="34" t="n">
        <f aca="false">IF(L520=0,0,AE520/L520)</f>
        <v>-0.367548076923077</v>
      </c>
      <c r="AG520" s="22" t="str">
        <f aca="false">IF(AD520&lt;L520,"PASSARO","ATUAL")</f>
        <v>PASSARO</v>
      </c>
      <c r="AH520" s="22" t="str">
        <f aca="false">IF(P520&lt;&gt;A520,"Faixa cadastrada como "&amp;P520&amp;" na tabela; preço aplicado pela UF do CEP","")</f>
        <v/>
      </c>
      <c r="AI520" s="26" t="n">
        <v>219.93</v>
      </c>
      <c r="AJ520" s="22" t="str">
        <f aca="false">INDEX('Tabela Passaro'!$X$2:$X$1795,$N520)</f>
        <v>CAPITAL</v>
      </c>
    </row>
    <row r="521" customFormat="false" ht="15" hidden="false" customHeight="false" outlineLevel="0" collapsed="false">
      <c r="A521" s="22" t="s">
        <v>16</v>
      </c>
      <c r="B521" s="22" t="n">
        <v>3</v>
      </c>
      <c r="C521" s="22" t="s">
        <v>79</v>
      </c>
      <c r="D521" s="22" t="s">
        <v>30</v>
      </c>
      <c r="E521" s="22" t="s">
        <v>7328</v>
      </c>
      <c r="F521" s="22" t="n">
        <v>2311237</v>
      </c>
      <c r="G521" s="30" t="n">
        <v>46246</v>
      </c>
      <c r="H521" s="22" t="n">
        <v>132525</v>
      </c>
      <c r="I521" s="22" t="s">
        <v>7797</v>
      </c>
      <c r="J521" s="31" t="n">
        <v>73.3</v>
      </c>
      <c r="K521" s="26" t="n">
        <v>1163.03</v>
      </c>
      <c r="L521" s="26" t="n">
        <v>224.43</v>
      </c>
      <c r="M521" s="22" t="s">
        <v>684</v>
      </c>
      <c r="N521" s="22" t="n">
        <f aca="false">MATCH(M521,'Tabela Passaro'!$A$2:$A$1795,0)</f>
        <v>103</v>
      </c>
      <c r="O521" s="22" t="str">
        <f aca="false">INDEX('Tabela Passaro'!$C$2:$C$1795,$N521)</f>
        <v>CAMACARI</v>
      </c>
      <c r="P521" s="22" t="str">
        <f aca="false">INDEX('Tabela Passaro'!$B$2:$B$1795,$N521)</f>
        <v>BA</v>
      </c>
      <c r="Q521" s="22" t="n">
        <f aca="false">INDEX('Tabela Passaro'!$F$2:$F$1795,$N521)</f>
        <v>6</v>
      </c>
      <c r="R521" s="32" t="n">
        <f aca="false">IF(J521&lt;=10,INDEX('Tabela Passaro'!$G$2:$G$1795,$N521),IF(J521&lt;=30,INDEX('Tabela Passaro'!$H$2:$H$1795,$N521),IF(J521&lt;=50,INDEX('Tabela Passaro'!$I$2:$I$1795,$N521),IF(J521&lt;=70,INDEX('Tabela Passaro'!$J$2:$J$1795,$N521),IF(J521&lt;=100,INDEX('Tabela Passaro'!$K$2:$K$1795,$N521),INDEX('Tabela Passaro'!$K$2:$K$1795,$N521)+(J521-100)*INDEX('Tabela Passaro'!$L$2:$L$1795,$N521))))))</f>
        <v>84.96</v>
      </c>
      <c r="S521" s="32" t="n">
        <f aca="false">K521*INDEX('Tabela Passaro'!$M$2:$M$1795,$N521)</f>
        <v>5.81515</v>
      </c>
      <c r="T521" s="32" t="n">
        <f aca="false">K521*INDEX('Tabela Passaro'!$N$2:$N$1795,$N521)</f>
        <v>2.32606</v>
      </c>
      <c r="U521" s="32" t="n">
        <f aca="false">INDEX('Tabela Passaro'!$O$2:$O$1795,$N521)</f>
        <v>5</v>
      </c>
      <c r="V521" s="32" t="n">
        <f aca="false">ROUNDUP(J521/INDEX('Tabela Passaro'!$Q$2:$Q$1795,$N521),0)*INDEX('Tabela Passaro'!$P$2:$P$1795,$N521)</f>
        <v>5</v>
      </c>
      <c r="W521" s="32" t="n">
        <f aca="false">INDEX('Tabela Passaro'!$R$2:$R$1795,$N521)</f>
        <v>30</v>
      </c>
      <c r="X521" s="32" t="n">
        <f aca="false">ROUNDUP(J521/INDEX('Tabela Passaro'!$T$2:$T$1795,$N521),0)*INDEX('Tabela Passaro'!$S$2:$S$1795,$N521)</f>
        <v>0</v>
      </c>
      <c r="Y521" s="32" t="n">
        <f aca="false">INDEX('Tabela Passaro'!$U$2:$U$1795,$N521)</f>
        <v>0</v>
      </c>
      <c r="Z521" s="32" t="n">
        <f aca="false">INDEX('Tabela Passaro'!$V$2:$V$1795,$N521)</f>
        <v>0</v>
      </c>
      <c r="AA521" s="32" t="n">
        <f aca="false">SUM(R521:Z521)</f>
        <v>133.10121</v>
      </c>
      <c r="AB521" s="33" t="n">
        <f aca="false">INDEX(Premissas!$B$5:$B$13,MATCH(A521,Premissas!$A$5:$A$13,0))</f>
        <v>0.07</v>
      </c>
      <c r="AC521" s="32" t="n">
        <f aca="false">AA521/(1-AB521)-AA521</f>
        <v>10.0183706451613</v>
      </c>
      <c r="AD521" s="32" t="n">
        <f aca="false">ROUND(AA521+AC521,2)</f>
        <v>143.12</v>
      </c>
      <c r="AE521" s="32" t="n">
        <f aca="false">AD521-L521</f>
        <v>-81.31</v>
      </c>
      <c r="AF521" s="34" t="n">
        <f aca="false">IF(L521=0,0,AE521/L521)</f>
        <v>-0.362295593280756</v>
      </c>
      <c r="AG521" s="22" t="str">
        <f aca="false">IF(AD521&lt;L521,"PASSARO","ATUAL")</f>
        <v>PASSARO</v>
      </c>
      <c r="AH521" s="22" t="str">
        <f aca="false">IF(P521&lt;&gt;A521,"Faixa cadastrada como "&amp;P521&amp;" na tabela; preço aplicado pela UF do CEP","")</f>
        <v/>
      </c>
      <c r="AI521" s="26" t="n">
        <v>187.81</v>
      </c>
      <c r="AJ521" s="22" t="str">
        <f aca="false">INDEX('Tabela Passaro'!$X$2:$X$1795,$N521)</f>
        <v>CAPITAL</v>
      </c>
    </row>
    <row r="522" customFormat="false" ht="15" hidden="false" customHeight="false" outlineLevel="0" collapsed="false">
      <c r="A522" s="22" t="s">
        <v>16</v>
      </c>
      <c r="B522" s="22" t="n">
        <v>3</v>
      </c>
      <c r="C522" s="22" t="s">
        <v>79</v>
      </c>
      <c r="D522" s="22" t="s">
        <v>30</v>
      </c>
      <c r="E522" s="22" t="s">
        <v>7328</v>
      </c>
      <c r="F522" s="22" t="n">
        <v>2311311</v>
      </c>
      <c r="G522" s="30" t="n">
        <v>46246</v>
      </c>
      <c r="H522" s="22" t="n">
        <v>132762</v>
      </c>
      <c r="I522" s="22" t="s">
        <v>7798</v>
      </c>
      <c r="J522" s="31" t="n">
        <v>79.26</v>
      </c>
      <c r="K522" s="26" t="n">
        <v>892.99</v>
      </c>
      <c r="L522" s="26" t="n">
        <v>222.28</v>
      </c>
      <c r="M522" s="22" t="s">
        <v>684</v>
      </c>
      <c r="N522" s="22" t="n">
        <f aca="false">MATCH(M522,'Tabela Passaro'!$A$2:$A$1795,0)</f>
        <v>103</v>
      </c>
      <c r="O522" s="22" t="str">
        <f aca="false">INDEX('Tabela Passaro'!$C$2:$C$1795,$N522)</f>
        <v>CAMACARI</v>
      </c>
      <c r="P522" s="22" t="str">
        <f aca="false">INDEX('Tabela Passaro'!$B$2:$B$1795,$N522)</f>
        <v>BA</v>
      </c>
      <c r="Q522" s="22" t="n">
        <f aca="false">INDEX('Tabela Passaro'!$F$2:$F$1795,$N522)</f>
        <v>6</v>
      </c>
      <c r="R522" s="32" t="n">
        <f aca="false">IF(J522&lt;=10,INDEX('Tabela Passaro'!$G$2:$G$1795,$N522),IF(J522&lt;=30,INDEX('Tabela Passaro'!$H$2:$H$1795,$N522),IF(J522&lt;=50,INDEX('Tabela Passaro'!$I$2:$I$1795,$N522),IF(J522&lt;=70,INDEX('Tabela Passaro'!$J$2:$J$1795,$N522),IF(J522&lt;=100,INDEX('Tabela Passaro'!$K$2:$K$1795,$N522),INDEX('Tabela Passaro'!$K$2:$K$1795,$N522)+(J522-100)*INDEX('Tabela Passaro'!$L$2:$L$1795,$N522))))))</f>
        <v>84.96</v>
      </c>
      <c r="S522" s="32" t="n">
        <f aca="false">K522*INDEX('Tabela Passaro'!$M$2:$M$1795,$N522)</f>
        <v>4.46495</v>
      </c>
      <c r="T522" s="32" t="n">
        <f aca="false">K522*INDEX('Tabela Passaro'!$N$2:$N$1795,$N522)</f>
        <v>1.78598</v>
      </c>
      <c r="U522" s="32" t="n">
        <f aca="false">INDEX('Tabela Passaro'!$O$2:$O$1795,$N522)</f>
        <v>5</v>
      </c>
      <c r="V522" s="32" t="n">
        <f aca="false">ROUNDUP(J522/INDEX('Tabela Passaro'!$Q$2:$Q$1795,$N522),0)*INDEX('Tabela Passaro'!$P$2:$P$1795,$N522)</f>
        <v>5</v>
      </c>
      <c r="W522" s="32" t="n">
        <f aca="false">INDEX('Tabela Passaro'!$R$2:$R$1795,$N522)</f>
        <v>30</v>
      </c>
      <c r="X522" s="32" t="n">
        <f aca="false">ROUNDUP(J522/INDEX('Tabela Passaro'!$T$2:$T$1795,$N522),0)*INDEX('Tabela Passaro'!$S$2:$S$1795,$N522)</f>
        <v>0</v>
      </c>
      <c r="Y522" s="32" t="n">
        <f aca="false">INDEX('Tabela Passaro'!$U$2:$U$1795,$N522)</f>
        <v>0</v>
      </c>
      <c r="Z522" s="32" t="n">
        <f aca="false">INDEX('Tabela Passaro'!$V$2:$V$1795,$N522)</f>
        <v>0</v>
      </c>
      <c r="AA522" s="32" t="n">
        <f aca="false">SUM(R522:Z522)</f>
        <v>131.21093</v>
      </c>
      <c r="AB522" s="33" t="n">
        <f aca="false">INDEX(Premissas!$B$5:$B$13,MATCH(A522,Premissas!$A$5:$A$13,0))</f>
        <v>0.07</v>
      </c>
      <c r="AC522" s="32" t="n">
        <f aca="false">AA522/(1-AB522)-AA522</f>
        <v>9.87609150537637</v>
      </c>
      <c r="AD522" s="32" t="n">
        <f aca="false">ROUND(AA522+AC522,2)</f>
        <v>141.09</v>
      </c>
      <c r="AE522" s="32" t="n">
        <f aca="false">AD522-L522</f>
        <v>-81.19</v>
      </c>
      <c r="AF522" s="34" t="n">
        <f aca="false">IF(L522=0,0,AE522/L522)</f>
        <v>-0.365260032391578</v>
      </c>
      <c r="AG522" s="22" t="str">
        <f aca="false">IF(AD522&lt;L522,"PASSARO","ATUAL")</f>
        <v>PASSARO</v>
      </c>
      <c r="AH522" s="22" t="str">
        <f aca="false">IF(P522&lt;&gt;A522,"Faixa cadastrada como "&amp;P522&amp;" na tabela; preço aplicado pela UF do CEP","")</f>
        <v/>
      </c>
      <c r="AI522" s="26" t="n">
        <v>188.1</v>
      </c>
      <c r="AJ522" s="22" t="str">
        <f aca="false">INDEX('Tabela Passaro'!$X$2:$X$1795,$N522)</f>
        <v>CAPITAL</v>
      </c>
    </row>
    <row r="523" customFormat="false" ht="15" hidden="false" customHeight="false" outlineLevel="0" collapsed="false">
      <c r="A523" s="22" t="s">
        <v>16</v>
      </c>
      <c r="B523" s="22" t="n">
        <v>3</v>
      </c>
      <c r="C523" s="22" t="s">
        <v>79</v>
      </c>
      <c r="D523" s="22" t="s">
        <v>30</v>
      </c>
      <c r="E523" s="22" t="s">
        <v>7326</v>
      </c>
      <c r="F523" s="22" t="n">
        <v>524462</v>
      </c>
      <c r="G523" s="30" t="n">
        <v>46246</v>
      </c>
      <c r="H523" s="22" t="n">
        <v>623910</v>
      </c>
      <c r="I523" s="22" t="s">
        <v>7799</v>
      </c>
      <c r="J523" s="31" t="n">
        <v>34.4</v>
      </c>
      <c r="K523" s="26" t="n">
        <v>653.99</v>
      </c>
      <c r="L523" s="26" t="n">
        <v>171.18</v>
      </c>
      <c r="M523" s="22" t="s">
        <v>684</v>
      </c>
      <c r="N523" s="22" t="n">
        <f aca="false">MATCH(M523,'Tabela Passaro'!$A$2:$A$1795,0)</f>
        <v>103</v>
      </c>
      <c r="O523" s="22" t="str">
        <f aca="false">INDEX('Tabela Passaro'!$C$2:$C$1795,$N523)</f>
        <v>CAMACARI</v>
      </c>
      <c r="P523" s="22" t="str">
        <f aca="false">INDEX('Tabela Passaro'!$B$2:$B$1795,$N523)</f>
        <v>BA</v>
      </c>
      <c r="Q523" s="22" t="n">
        <f aca="false">INDEX('Tabela Passaro'!$F$2:$F$1795,$N523)</f>
        <v>6</v>
      </c>
      <c r="R523" s="32" t="n">
        <f aca="false">IF(J523&lt;=10,INDEX('Tabela Passaro'!$G$2:$G$1795,$N523),IF(J523&lt;=30,INDEX('Tabela Passaro'!$H$2:$H$1795,$N523),IF(J523&lt;=50,INDEX('Tabela Passaro'!$I$2:$I$1795,$N523),IF(J523&lt;=70,INDEX('Tabela Passaro'!$J$2:$J$1795,$N523),IF(J523&lt;=100,INDEX('Tabela Passaro'!$K$2:$K$1795,$N523),INDEX('Tabela Passaro'!$K$2:$K$1795,$N523)+(J523-100)*INDEX('Tabela Passaro'!$L$2:$L$1795,$N523))))))</f>
        <v>61.92</v>
      </c>
      <c r="S523" s="32" t="n">
        <f aca="false">K523*INDEX('Tabela Passaro'!$M$2:$M$1795,$N523)</f>
        <v>3.26995</v>
      </c>
      <c r="T523" s="32" t="n">
        <f aca="false">K523*INDEX('Tabela Passaro'!$N$2:$N$1795,$N523)</f>
        <v>1.30798</v>
      </c>
      <c r="U523" s="32" t="n">
        <f aca="false">INDEX('Tabela Passaro'!$O$2:$O$1795,$N523)</f>
        <v>5</v>
      </c>
      <c r="V523" s="32" t="n">
        <f aca="false">ROUNDUP(J523/INDEX('Tabela Passaro'!$Q$2:$Q$1795,$N523),0)*INDEX('Tabela Passaro'!$P$2:$P$1795,$N523)</f>
        <v>5</v>
      </c>
      <c r="W523" s="32" t="n">
        <f aca="false">INDEX('Tabela Passaro'!$R$2:$R$1795,$N523)</f>
        <v>30</v>
      </c>
      <c r="X523" s="32" t="n">
        <f aca="false">ROUNDUP(J523/INDEX('Tabela Passaro'!$T$2:$T$1795,$N523),0)*INDEX('Tabela Passaro'!$S$2:$S$1795,$N523)</f>
        <v>0</v>
      </c>
      <c r="Y523" s="32" t="n">
        <f aca="false">INDEX('Tabela Passaro'!$U$2:$U$1795,$N523)</f>
        <v>0</v>
      </c>
      <c r="Z523" s="32" t="n">
        <f aca="false">INDEX('Tabela Passaro'!$V$2:$V$1795,$N523)</f>
        <v>0</v>
      </c>
      <c r="AA523" s="32" t="n">
        <f aca="false">SUM(R523:Z523)</f>
        <v>106.49793</v>
      </c>
      <c r="AB523" s="33" t="n">
        <f aca="false">INDEX(Premissas!$B$5:$B$13,MATCH(A523,Premissas!$A$5:$A$13,0))</f>
        <v>0.07</v>
      </c>
      <c r="AC523" s="32" t="n">
        <f aca="false">AA523/(1-AB523)-AA523</f>
        <v>8.01597322580646</v>
      </c>
      <c r="AD523" s="32" t="n">
        <f aca="false">ROUND(AA523+AC523,2)</f>
        <v>114.51</v>
      </c>
      <c r="AE523" s="32" t="n">
        <f aca="false">AD523-L523</f>
        <v>-56.67</v>
      </c>
      <c r="AF523" s="34" t="n">
        <f aca="false">IF(L523=0,0,AE523/L523)</f>
        <v>-0.3310550297932</v>
      </c>
      <c r="AG523" s="22" t="str">
        <f aca="false">IF(AD523&lt;L523,"PASSARO","ATUAL")</f>
        <v>PASSARO</v>
      </c>
      <c r="AH523" s="22" t="str">
        <f aca="false">IF(P523&lt;&gt;A523,"Faixa cadastrada como "&amp;P523&amp;" na tabela; preço aplicado pela UF do CEP","")</f>
        <v/>
      </c>
      <c r="AI523" s="26" t="n">
        <v>138.97</v>
      </c>
      <c r="AJ523" s="22" t="str">
        <f aca="false">INDEX('Tabela Passaro'!$X$2:$X$1795,$N523)</f>
        <v>CAPITAL</v>
      </c>
    </row>
    <row r="524" customFormat="false" ht="15" hidden="false" customHeight="false" outlineLevel="0" collapsed="false">
      <c r="A524" s="22" t="s">
        <v>16</v>
      </c>
      <c r="B524" s="22" t="n">
        <v>3</v>
      </c>
      <c r="C524" s="22" t="s">
        <v>79</v>
      </c>
      <c r="D524" s="22" t="s">
        <v>30</v>
      </c>
      <c r="E524" s="22" t="s">
        <v>7328</v>
      </c>
      <c r="F524" s="22" t="n">
        <v>2312293</v>
      </c>
      <c r="G524" s="30" t="n">
        <v>46248</v>
      </c>
      <c r="H524" s="22" t="n">
        <v>133191</v>
      </c>
      <c r="I524" s="22" t="s">
        <v>7800</v>
      </c>
      <c r="J524" s="31" t="n">
        <v>38.6</v>
      </c>
      <c r="K524" s="26" t="n">
        <v>668.59</v>
      </c>
      <c r="L524" s="26" t="n">
        <v>151.93</v>
      </c>
      <c r="M524" s="22" t="s">
        <v>684</v>
      </c>
      <c r="N524" s="22" t="n">
        <f aca="false">MATCH(M524,'Tabela Passaro'!$A$2:$A$1795,0)</f>
        <v>103</v>
      </c>
      <c r="O524" s="22" t="str">
        <f aca="false">INDEX('Tabela Passaro'!$C$2:$C$1795,$N524)</f>
        <v>CAMACARI</v>
      </c>
      <c r="P524" s="22" t="str">
        <f aca="false">INDEX('Tabela Passaro'!$B$2:$B$1795,$N524)</f>
        <v>BA</v>
      </c>
      <c r="Q524" s="22" t="n">
        <f aca="false">INDEX('Tabela Passaro'!$F$2:$F$1795,$N524)</f>
        <v>6</v>
      </c>
      <c r="R524" s="32" t="n">
        <f aca="false">IF(J524&lt;=10,INDEX('Tabela Passaro'!$G$2:$G$1795,$N524),IF(J524&lt;=30,INDEX('Tabela Passaro'!$H$2:$H$1795,$N524),IF(J524&lt;=50,INDEX('Tabela Passaro'!$I$2:$I$1795,$N524),IF(J524&lt;=70,INDEX('Tabela Passaro'!$J$2:$J$1795,$N524),IF(J524&lt;=100,INDEX('Tabela Passaro'!$K$2:$K$1795,$N524),INDEX('Tabela Passaro'!$K$2:$K$1795,$N524)+(J524-100)*INDEX('Tabela Passaro'!$L$2:$L$1795,$N524))))))</f>
        <v>61.92</v>
      </c>
      <c r="S524" s="32" t="n">
        <f aca="false">K524*INDEX('Tabela Passaro'!$M$2:$M$1795,$N524)</f>
        <v>3.34295</v>
      </c>
      <c r="T524" s="32" t="n">
        <f aca="false">K524*INDEX('Tabela Passaro'!$N$2:$N$1795,$N524)</f>
        <v>1.33718</v>
      </c>
      <c r="U524" s="32" t="n">
        <f aca="false">INDEX('Tabela Passaro'!$O$2:$O$1795,$N524)</f>
        <v>5</v>
      </c>
      <c r="V524" s="32" t="n">
        <f aca="false">ROUNDUP(J524/INDEX('Tabela Passaro'!$Q$2:$Q$1795,$N524),0)*INDEX('Tabela Passaro'!$P$2:$P$1795,$N524)</f>
        <v>5</v>
      </c>
      <c r="W524" s="32" t="n">
        <f aca="false">INDEX('Tabela Passaro'!$R$2:$R$1795,$N524)</f>
        <v>30</v>
      </c>
      <c r="X524" s="32" t="n">
        <f aca="false">ROUNDUP(J524/INDEX('Tabela Passaro'!$T$2:$T$1795,$N524),0)*INDEX('Tabela Passaro'!$S$2:$S$1795,$N524)</f>
        <v>0</v>
      </c>
      <c r="Y524" s="32" t="n">
        <f aca="false">INDEX('Tabela Passaro'!$U$2:$U$1795,$N524)</f>
        <v>0</v>
      </c>
      <c r="Z524" s="32" t="n">
        <f aca="false">INDEX('Tabela Passaro'!$V$2:$V$1795,$N524)</f>
        <v>0</v>
      </c>
      <c r="AA524" s="32" t="n">
        <f aca="false">SUM(R524:Z524)</f>
        <v>106.60013</v>
      </c>
      <c r="AB524" s="33" t="n">
        <f aca="false">INDEX(Premissas!$B$5:$B$13,MATCH(A524,Premissas!$A$5:$A$13,0))</f>
        <v>0.07</v>
      </c>
      <c r="AC524" s="32" t="n">
        <f aca="false">AA524/(1-AB524)-AA524</f>
        <v>8.02366569892475</v>
      </c>
      <c r="AD524" s="32" t="n">
        <f aca="false">ROUND(AA524+AC524,2)</f>
        <v>114.62</v>
      </c>
      <c r="AE524" s="32" t="n">
        <f aca="false">AD524-L524</f>
        <v>-37.31</v>
      </c>
      <c r="AF524" s="34" t="n">
        <f aca="false">IF(L524=0,0,AE524/L524)</f>
        <v>-0.245573619430001</v>
      </c>
      <c r="AG524" s="22" t="str">
        <f aca="false">IF(AD524&lt;L524,"PASSARO","ATUAL")</f>
        <v>PASSARO</v>
      </c>
      <c r="AH524" s="22" t="str">
        <f aca="false">IF(P524&lt;&gt;A524,"Faixa cadastrada como "&amp;P524&amp;" na tabela; preço aplicado pela UF do CEP","")</f>
        <v/>
      </c>
      <c r="AI524" s="26" t="n">
        <v>141.05</v>
      </c>
      <c r="AJ524" s="22" t="str">
        <f aca="false">INDEX('Tabela Passaro'!$X$2:$X$1795,$N524)</f>
        <v>CAPITAL</v>
      </c>
    </row>
    <row r="525" customFormat="false" ht="15" hidden="false" customHeight="false" outlineLevel="0" collapsed="false">
      <c r="A525" s="22" t="s">
        <v>16</v>
      </c>
      <c r="B525" s="22" t="n">
        <v>3</v>
      </c>
      <c r="C525" s="22" t="s">
        <v>79</v>
      </c>
      <c r="D525" s="22" t="s">
        <v>30</v>
      </c>
      <c r="E525" s="22" t="s">
        <v>7328</v>
      </c>
      <c r="F525" s="22" t="n">
        <v>2312343</v>
      </c>
      <c r="G525" s="30" t="n">
        <v>46248</v>
      </c>
      <c r="H525" s="22" t="n">
        <v>133253</v>
      </c>
      <c r="I525" s="22" t="s">
        <v>7801</v>
      </c>
      <c r="J525" s="31" t="n">
        <v>43.5</v>
      </c>
      <c r="K525" s="26" t="n">
        <v>875.98</v>
      </c>
      <c r="L525" s="26" t="n">
        <v>153.58</v>
      </c>
      <c r="M525" s="22" t="s">
        <v>684</v>
      </c>
      <c r="N525" s="22" t="n">
        <f aca="false">MATCH(M525,'Tabela Passaro'!$A$2:$A$1795,0)</f>
        <v>103</v>
      </c>
      <c r="O525" s="22" t="str">
        <f aca="false">INDEX('Tabela Passaro'!$C$2:$C$1795,$N525)</f>
        <v>CAMACARI</v>
      </c>
      <c r="P525" s="22" t="str">
        <f aca="false">INDEX('Tabela Passaro'!$B$2:$B$1795,$N525)</f>
        <v>BA</v>
      </c>
      <c r="Q525" s="22" t="n">
        <f aca="false">INDEX('Tabela Passaro'!$F$2:$F$1795,$N525)</f>
        <v>6</v>
      </c>
      <c r="R525" s="32" t="n">
        <f aca="false">IF(J525&lt;=10,INDEX('Tabela Passaro'!$G$2:$G$1795,$N525),IF(J525&lt;=30,INDEX('Tabela Passaro'!$H$2:$H$1795,$N525),IF(J525&lt;=50,INDEX('Tabela Passaro'!$I$2:$I$1795,$N525),IF(J525&lt;=70,INDEX('Tabela Passaro'!$J$2:$J$1795,$N525),IF(J525&lt;=100,INDEX('Tabela Passaro'!$K$2:$K$1795,$N525),INDEX('Tabela Passaro'!$K$2:$K$1795,$N525)+(J525-100)*INDEX('Tabela Passaro'!$L$2:$L$1795,$N525))))))</f>
        <v>61.92</v>
      </c>
      <c r="S525" s="32" t="n">
        <f aca="false">K525*INDEX('Tabela Passaro'!$M$2:$M$1795,$N525)</f>
        <v>4.3799</v>
      </c>
      <c r="T525" s="32" t="n">
        <f aca="false">K525*INDEX('Tabela Passaro'!$N$2:$N$1795,$N525)</f>
        <v>1.75196</v>
      </c>
      <c r="U525" s="32" t="n">
        <f aca="false">INDEX('Tabela Passaro'!$O$2:$O$1795,$N525)</f>
        <v>5</v>
      </c>
      <c r="V525" s="32" t="n">
        <f aca="false">ROUNDUP(J525/INDEX('Tabela Passaro'!$Q$2:$Q$1795,$N525),0)*INDEX('Tabela Passaro'!$P$2:$P$1795,$N525)</f>
        <v>5</v>
      </c>
      <c r="W525" s="32" t="n">
        <f aca="false">INDEX('Tabela Passaro'!$R$2:$R$1795,$N525)</f>
        <v>30</v>
      </c>
      <c r="X525" s="32" t="n">
        <f aca="false">ROUNDUP(J525/INDEX('Tabela Passaro'!$T$2:$T$1795,$N525),0)*INDEX('Tabela Passaro'!$S$2:$S$1795,$N525)</f>
        <v>0</v>
      </c>
      <c r="Y525" s="32" t="n">
        <f aca="false">INDEX('Tabela Passaro'!$U$2:$U$1795,$N525)</f>
        <v>0</v>
      </c>
      <c r="Z525" s="32" t="n">
        <f aca="false">INDEX('Tabela Passaro'!$V$2:$V$1795,$N525)</f>
        <v>0</v>
      </c>
      <c r="AA525" s="32" t="n">
        <f aca="false">SUM(R525:Z525)</f>
        <v>108.05186</v>
      </c>
      <c r="AB525" s="33" t="n">
        <f aca="false">INDEX(Premissas!$B$5:$B$13,MATCH(A525,Premissas!$A$5:$A$13,0))</f>
        <v>0.07</v>
      </c>
      <c r="AC525" s="32" t="n">
        <f aca="false">AA525/(1-AB525)-AA525</f>
        <v>8.13293569892474</v>
      </c>
      <c r="AD525" s="32" t="n">
        <f aca="false">ROUND(AA525+AC525,2)</f>
        <v>116.18</v>
      </c>
      <c r="AE525" s="32" t="n">
        <f aca="false">AD525-L525</f>
        <v>-37.4</v>
      </c>
      <c r="AF525" s="34" t="n">
        <f aca="false">IF(L525=0,0,AE525/L525)</f>
        <v>-0.243521291834874</v>
      </c>
      <c r="AG525" s="22" t="str">
        <f aca="false">IF(AD525&lt;L525,"PASSARO","ATUAL")</f>
        <v>PASSARO</v>
      </c>
      <c r="AH525" s="22" t="str">
        <f aca="false">IF(P525&lt;&gt;A525,"Faixa cadastrada como "&amp;P525&amp;" na tabela; preço aplicado pela UF do CEP","")</f>
        <v/>
      </c>
      <c r="AI525" s="26" t="n">
        <v>145.48</v>
      </c>
      <c r="AJ525" s="22" t="str">
        <f aca="false">INDEX('Tabela Passaro'!$X$2:$X$1795,$N525)</f>
        <v>CAPITAL</v>
      </c>
    </row>
    <row r="526" customFormat="false" ht="15" hidden="false" customHeight="false" outlineLevel="0" collapsed="false">
      <c r="A526" s="22" t="s">
        <v>16</v>
      </c>
      <c r="B526" s="22" t="n">
        <v>3</v>
      </c>
      <c r="C526" s="22" t="s">
        <v>79</v>
      </c>
      <c r="D526" s="22" t="s">
        <v>30</v>
      </c>
      <c r="E526" s="22" t="s">
        <v>7326</v>
      </c>
      <c r="F526" s="22" t="n">
        <v>525036</v>
      </c>
      <c r="G526" s="30" t="n">
        <v>46248</v>
      </c>
      <c r="H526" s="22" t="n">
        <v>624807</v>
      </c>
      <c r="I526" s="22" t="s">
        <v>7802</v>
      </c>
      <c r="J526" s="31" t="n">
        <v>33</v>
      </c>
      <c r="K526" s="26" t="n">
        <v>668.44</v>
      </c>
      <c r="L526" s="26" t="n">
        <v>171.31</v>
      </c>
      <c r="M526" s="22" t="s">
        <v>684</v>
      </c>
      <c r="N526" s="22" t="n">
        <f aca="false">MATCH(M526,'Tabela Passaro'!$A$2:$A$1795,0)</f>
        <v>103</v>
      </c>
      <c r="O526" s="22" t="str">
        <f aca="false">INDEX('Tabela Passaro'!$C$2:$C$1795,$N526)</f>
        <v>CAMACARI</v>
      </c>
      <c r="P526" s="22" t="str">
        <f aca="false">INDEX('Tabela Passaro'!$B$2:$B$1795,$N526)</f>
        <v>BA</v>
      </c>
      <c r="Q526" s="22" t="n">
        <f aca="false">INDEX('Tabela Passaro'!$F$2:$F$1795,$N526)</f>
        <v>6</v>
      </c>
      <c r="R526" s="32" t="n">
        <f aca="false">IF(J526&lt;=10,INDEX('Tabela Passaro'!$G$2:$G$1795,$N526),IF(J526&lt;=30,INDEX('Tabela Passaro'!$H$2:$H$1795,$N526),IF(J526&lt;=50,INDEX('Tabela Passaro'!$I$2:$I$1795,$N526),IF(J526&lt;=70,INDEX('Tabela Passaro'!$J$2:$J$1795,$N526),IF(J526&lt;=100,INDEX('Tabela Passaro'!$K$2:$K$1795,$N526),INDEX('Tabela Passaro'!$K$2:$K$1795,$N526)+(J526-100)*INDEX('Tabela Passaro'!$L$2:$L$1795,$N526))))))</f>
        <v>61.92</v>
      </c>
      <c r="S526" s="32" t="n">
        <f aca="false">K526*INDEX('Tabela Passaro'!$M$2:$M$1795,$N526)</f>
        <v>3.3422</v>
      </c>
      <c r="T526" s="32" t="n">
        <f aca="false">K526*INDEX('Tabela Passaro'!$N$2:$N$1795,$N526)</f>
        <v>1.33688</v>
      </c>
      <c r="U526" s="32" t="n">
        <f aca="false">INDEX('Tabela Passaro'!$O$2:$O$1795,$N526)</f>
        <v>5</v>
      </c>
      <c r="V526" s="32" t="n">
        <f aca="false">ROUNDUP(J526/INDEX('Tabela Passaro'!$Q$2:$Q$1795,$N526),0)*INDEX('Tabela Passaro'!$P$2:$P$1795,$N526)</f>
        <v>5</v>
      </c>
      <c r="W526" s="32" t="n">
        <f aca="false">INDEX('Tabela Passaro'!$R$2:$R$1795,$N526)</f>
        <v>30</v>
      </c>
      <c r="X526" s="32" t="n">
        <f aca="false">ROUNDUP(J526/INDEX('Tabela Passaro'!$T$2:$T$1795,$N526),0)*INDEX('Tabela Passaro'!$S$2:$S$1795,$N526)</f>
        <v>0</v>
      </c>
      <c r="Y526" s="32" t="n">
        <f aca="false">INDEX('Tabela Passaro'!$U$2:$U$1795,$N526)</f>
        <v>0</v>
      </c>
      <c r="Z526" s="32" t="n">
        <f aca="false">INDEX('Tabela Passaro'!$V$2:$V$1795,$N526)</f>
        <v>0</v>
      </c>
      <c r="AA526" s="32" t="n">
        <f aca="false">SUM(R526:Z526)</f>
        <v>106.59908</v>
      </c>
      <c r="AB526" s="33" t="n">
        <f aca="false">INDEX(Premissas!$B$5:$B$13,MATCH(A526,Premissas!$A$5:$A$13,0))</f>
        <v>0.07</v>
      </c>
      <c r="AC526" s="32" t="n">
        <f aca="false">AA526/(1-AB526)-AA526</f>
        <v>8.02358666666667</v>
      </c>
      <c r="AD526" s="32" t="n">
        <f aca="false">ROUND(AA526+AC526,2)</f>
        <v>114.62</v>
      </c>
      <c r="AE526" s="32" t="n">
        <f aca="false">AD526-L526</f>
        <v>-56.69</v>
      </c>
      <c r="AF526" s="34" t="n">
        <f aca="false">IF(L526=0,0,AE526/L526)</f>
        <v>-0.330920553382756</v>
      </c>
      <c r="AG526" s="22" t="str">
        <f aca="false">IF(AD526&lt;L526,"PASSARO","ATUAL")</f>
        <v>PASSARO</v>
      </c>
      <c r="AH526" s="22" t="str">
        <f aca="false">IF(P526&lt;&gt;A526,"Faixa cadastrada como "&amp;P526&amp;" na tabela; preço aplicado pela UF do CEP","")</f>
        <v/>
      </c>
      <c r="AI526" s="26" t="n">
        <v>138.15</v>
      </c>
      <c r="AJ526" s="22" t="str">
        <f aca="false">INDEX('Tabela Passaro'!$X$2:$X$1795,$N526)</f>
        <v>CAPITAL</v>
      </c>
    </row>
    <row r="527" customFormat="false" ht="15" hidden="false" customHeight="false" outlineLevel="0" collapsed="false">
      <c r="A527" s="22" t="s">
        <v>16</v>
      </c>
      <c r="B527" s="22" t="n">
        <v>3</v>
      </c>
      <c r="C527" s="22" t="s">
        <v>79</v>
      </c>
      <c r="D527" s="22" t="s">
        <v>30</v>
      </c>
      <c r="E527" s="22" t="s">
        <v>7328</v>
      </c>
      <c r="F527" s="22" t="n">
        <v>2313231</v>
      </c>
      <c r="G527" s="30" t="n">
        <v>46251</v>
      </c>
      <c r="H527" s="22" t="n">
        <v>133648</v>
      </c>
      <c r="I527" s="22" t="s">
        <v>7803</v>
      </c>
      <c r="J527" s="31" t="n">
        <v>37.5</v>
      </c>
      <c r="K527" s="26" t="n">
        <v>603.73</v>
      </c>
      <c r="L527" s="26" t="n">
        <v>151.42</v>
      </c>
      <c r="M527" s="22" t="s">
        <v>684</v>
      </c>
      <c r="N527" s="22" t="n">
        <f aca="false">MATCH(M527,'Tabela Passaro'!$A$2:$A$1795,0)</f>
        <v>103</v>
      </c>
      <c r="O527" s="22" t="str">
        <f aca="false">INDEX('Tabela Passaro'!$C$2:$C$1795,$N527)</f>
        <v>CAMACARI</v>
      </c>
      <c r="P527" s="22" t="str">
        <f aca="false">INDEX('Tabela Passaro'!$B$2:$B$1795,$N527)</f>
        <v>BA</v>
      </c>
      <c r="Q527" s="22" t="n">
        <f aca="false">INDEX('Tabela Passaro'!$F$2:$F$1795,$N527)</f>
        <v>6</v>
      </c>
      <c r="R527" s="32" t="n">
        <f aca="false">IF(J527&lt;=10,INDEX('Tabela Passaro'!$G$2:$G$1795,$N527),IF(J527&lt;=30,INDEX('Tabela Passaro'!$H$2:$H$1795,$N527),IF(J527&lt;=50,INDEX('Tabela Passaro'!$I$2:$I$1795,$N527),IF(J527&lt;=70,INDEX('Tabela Passaro'!$J$2:$J$1795,$N527),IF(J527&lt;=100,INDEX('Tabela Passaro'!$K$2:$K$1795,$N527),INDEX('Tabela Passaro'!$K$2:$K$1795,$N527)+(J527-100)*INDEX('Tabela Passaro'!$L$2:$L$1795,$N527))))))</f>
        <v>61.92</v>
      </c>
      <c r="S527" s="32" t="n">
        <f aca="false">K527*INDEX('Tabela Passaro'!$M$2:$M$1795,$N527)</f>
        <v>3.01865</v>
      </c>
      <c r="T527" s="32" t="n">
        <f aca="false">K527*INDEX('Tabela Passaro'!$N$2:$N$1795,$N527)</f>
        <v>1.20746</v>
      </c>
      <c r="U527" s="32" t="n">
        <f aca="false">INDEX('Tabela Passaro'!$O$2:$O$1795,$N527)</f>
        <v>5</v>
      </c>
      <c r="V527" s="32" t="n">
        <f aca="false">ROUNDUP(J527/INDEX('Tabela Passaro'!$Q$2:$Q$1795,$N527),0)*INDEX('Tabela Passaro'!$P$2:$P$1795,$N527)</f>
        <v>5</v>
      </c>
      <c r="W527" s="32" t="n">
        <f aca="false">INDEX('Tabela Passaro'!$R$2:$R$1795,$N527)</f>
        <v>30</v>
      </c>
      <c r="X527" s="32" t="n">
        <f aca="false">ROUNDUP(J527/INDEX('Tabela Passaro'!$T$2:$T$1795,$N527),0)*INDEX('Tabela Passaro'!$S$2:$S$1795,$N527)</f>
        <v>0</v>
      </c>
      <c r="Y527" s="32" t="n">
        <f aca="false">INDEX('Tabela Passaro'!$U$2:$U$1795,$N527)</f>
        <v>0</v>
      </c>
      <c r="Z527" s="32" t="n">
        <f aca="false">INDEX('Tabela Passaro'!$V$2:$V$1795,$N527)</f>
        <v>0</v>
      </c>
      <c r="AA527" s="32" t="n">
        <f aca="false">SUM(R527:Z527)</f>
        <v>106.14611</v>
      </c>
      <c r="AB527" s="33" t="n">
        <f aca="false">INDEX(Premissas!$B$5:$B$13,MATCH(A527,Premissas!$A$5:$A$13,0))</f>
        <v>0.07</v>
      </c>
      <c r="AC527" s="32" t="n">
        <f aca="false">AA527/(1-AB527)-AA527</f>
        <v>7.98949215053764</v>
      </c>
      <c r="AD527" s="32" t="n">
        <f aca="false">ROUND(AA527+AC527,2)</f>
        <v>114.14</v>
      </c>
      <c r="AE527" s="32" t="n">
        <f aca="false">AD527-L527</f>
        <v>-37.28</v>
      </c>
      <c r="AF527" s="34" t="n">
        <f aca="false">IF(L527=0,0,AE527/L527)</f>
        <v>-0.246202615242372</v>
      </c>
      <c r="AG527" s="22" t="str">
        <f aca="false">IF(AD527&lt;L527,"PASSARO","ATUAL")</f>
        <v>PASSARO</v>
      </c>
      <c r="AH527" s="22" t="str">
        <f aca="false">IF(P527&lt;&gt;A527,"Faixa cadastrada como "&amp;P527&amp;" na tabela; preço aplicado pela UF do CEP","")</f>
        <v/>
      </c>
      <c r="AI527" s="26" t="n">
        <v>139.94</v>
      </c>
      <c r="AJ527" s="22" t="str">
        <f aca="false">INDEX('Tabela Passaro'!$X$2:$X$1795,$N527)</f>
        <v>CAPITAL</v>
      </c>
    </row>
    <row r="528" customFormat="false" ht="15" hidden="false" customHeight="false" outlineLevel="0" collapsed="false">
      <c r="A528" s="22" t="s">
        <v>16</v>
      </c>
      <c r="B528" s="22" t="n">
        <v>3</v>
      </c>
      <c r="C528" s="22" t="s">
        <v>79</v>
      </c>
      <c r="D528" s="22" t="s">
        <v>30</v>
      </c>
      <c r="E528" s="22" t="s">
        <v>7326</v>
      </c>
      <c r="F528" s="22" t="n">
        <v>525338</v>
      </c>
      <c r="G528" s="30" t="n">
        <v>46251</v>
      </c>
      <c r="H528" s="22" t="n">
        <v>625369</v>
      </c>
      <c r="I528" s="22" t="s">
        <v>7804</v>
      </c>
      <c r="J528" s="31" t="n">
        <v>29.2</v>
      </c>
      <c r="K528" s="26" t="n">
        <v>502.93</v>
      </c>
      <c r="L528" s="26" t="n">
        <v>126.8</v>
      </c>
      <c r="M528" s="22" t="s">
        <v>684</v>
      </c>
      <c r="N528" s="22" t="n">
        <f aca="false">MATCH(M528,'Tabela Passaro'!$A$2:$A$1795,0)</f>
        <v>103</v>
      </c>
      <c r="O528" s="22" t="str">
        <f aca="false">INDEX('Tabela Passaro'!$C$2:$C$1795,$N528)</f>
        <v>CAMACARI</v>
      </c>
      <c r="P528" s="22" t="str">
        <f aca="false">INDEX('Tabela Passaro'!$B$2:$B$1795,$N528)</f>
        <v>BA</v>
      </c>
      <c r="Q528" s="22" t="n">
        <f aca="false">INDEX('Tabela Passaro'!$F$2:$F$1795,$N528)</f>
        <v>6</v>
      </c>
      <c r="R528" s="32" t="n">
        <f aca="false">IF(J528&lt;=10,INDEX('Tabela Passaro'!$G$2:$G$1795,$N528),IF(J528&lt;=30,INDEX('Tabela Passaro'!$H$2:$H$1795,$N528),IF(J528&lt;=50,INDEX('Tabela Passaro'!$I$2:$I$1795,$N528),IF(J528&lt;=70,INDEX('Tabela Passaro'!$J$2:$J$1795,$N528),IF(J528&lt;=100,INDEX('Tabela Passaro'!$K$2:$K$1795,$N528),INDEX('Tabela Passaro'!$K$2:$K$1795,$N528)+(J528-100)*INDEX('Tabela Passaro'!$L$2:$L$1795,$N528))))))</f>
        <v>50.4</v>
      </c>
      <c r="S528" s="32" t="n">
        <f aca="false">K528*INDEX('Tabela Passaro'!$M$2:$M$1795,$N528)</f>
        <v>2.51465</v>
      </c>
      <c r="T528" s="32" t="n">
        <f aca="false">K528*INDEX('Tabela Passaro'!$N$2:$N$1795,$N528)</f>
        <v>1.00586</v>
      </c>
      <c r="U528" s="32" t="n">
        <f aca="false">INDEX('Tabela Passaro'!$O$2:$O$1795,$N528)</f>
        <v>5</v>
      </c>
      <c r="V528" s="32" t="n">
        <f aca="false">ROUNDUP(J528/INDEX('Tabela Passaro'!$Q$2:$Q$1795,$N528),0)*INDEX('Tabela Passaro'!$P$2:$P$1795,$N528)</f>
        <v>5</v>
      </c>
      <c r="W528" s="32" t="n">
        <f aca="false">INDEX('Tabela Passaro'!$R$2:$R$1795,$N528)</f>
        <v>30</v>
      </c>
      <c r="X528" s="32" t="n">
        <f aca="false">ROUNDUP(J528/INDEX('Tabela Passaro'!$T$2:$T$1795,$N528),0)*INDEX('Tabela Passaro'!$S$2:$S$1795,$N528)</f>
        <v>0</v>
      </c>
      <c r="Y528" s="32" t="n">
        <f aca="false">INDEX('Tabela Passaro'!$U$2:$U$1795,$N528)</f>
        <v>0</v>
      </c>
      <c r="Z528" s="32" t="n">
        <f aca="false">INDEX('Tabela Passaro'!$V$2:$V$1795,$N528)</f>
        <v>0</v>
      </c>
      <c r="AA528" s="32" t="n">
        <f aca="false">SUM(R528:Z528)</f>
        <v>93.92051</v>
      </c>
      <c r="AB528" s="33" t="n">
        <f aca="false">INDEX(Premissas!$B$5:$B$13,MATCH(A528,Premissas!$A$5:$A$13,0))</f>
        <v>0.07</v>
      </c>
      <c r="AC528" s="32" t="n">
        <f aca="false">AA528/(1-AB528)-AA528</f>
        <v>7.06928569892475</v>
      </c>
      <c r="AD528" s="32" t="n">
        <f aca="false">ROUND(AA528+AC528,2)</f>
        <v>100.99</v>
      </c>
      <c r="AE528" s="32" t="n">
        <f aca="false">AD528-L528</f>
        <v>-25.81</v>
      </c>
      <c r="AF528" s="34" t="n">
        <f aca="false">IF(L528=0,0,AE528/L528)</f>
        <v>-0.203548895899054</v>
      </c>
      <c r="AG528" s="22" t="str">
        <f aca="false">IF(AD528&lt;L528,"PASSARO","ATUAL")</f>
        <v>PASSARO</v>
      </c>
      <c r="AH528" s="22" t="str">
        <f aca="false">IF(P528&lt;&gt;A528,"Faixa cadastrada como "&amp;P528&amp;" na tabela; preço aplicado pela UF do CEP","")</f>
        <v/>
      </c>
      <c r="AI528" s="26" t="n">
        <v>122.57</v>
      </c>
      <c r="AJ528" s="22" t="str">
        <f aca="false">INDEX('Tabela Passaro'!$X$2:$X$1795,$N528)</f>
        <v>CAPITAL</v>
      </c>
    </row>
    <row r="529" customFormat="false" ht="15" hidden="false" customHeight="false" outlineLevel="0" collapsed="false">
      <c r="A529" s="22" t="s">
        <v>16</v>
      </c>
      <c r="B529" s="22" t="n">
        <v>3</v>
      </c>
      <c r="C529" s="22" t="s">
        <v>79</v>
      </c>
      <c r="D529" s="22" t="s">
        <v>30</v>
      </c>
      <c r="E529" s="22" t="s">
        <v>7326</v>
      </c>
      <c r="F529" s="22" t="n">
        <v>526081</v>
      </c>
      <c r="G529" s="30" t="n">
        <v>46253</v>
      </c>
      <c r="H529" s="22" t="n">
        <v>626766</v>
      </c>
      <c r="I529" s="22" t="s">
        <v>7805</v>
      </c>
      <c r="J529" s="31" t="n">
        <v>94.8</v>
      </c>
      <c r="K529" s="26" t="n">
        <v>1384.99</v>
      </c>
      <c r="L529" s="26" t="n">
        <v>273.83</v>
      </c>
      <c r="M529" s="22" t="s">
        <v>684</v>
      </c>
      <c r="N529" s="22" t="n">
        <f aca="false">MATCH(M529,'Tabela Passaro'!$A$2:$A$1795,0)</f>
        <v>103</v>
      </c>
      <c r="O529" s="22" t="str">
        <f aca="false">INDEX('Tabela Passaro'!$C$2:$C$1795,$N529)</f>
        <v>CAMACARI</v>
      </c>
      <c r="P529" s="22" t="str">
        <f aca="false">INDEX('Tabela Passaro'!$B$2:$B$1795,$N529)</f>
        <v>BA</v>
      </c>
      <c r="Q529" s="22" t="n">
        <f aca="false">INDEX('Tabela Passaro'!$F$2:$F$1795,$N529)</f>
        <v>6</v>
      </c>
      <c r="R529" s="32" t="n">
        <f aca="false">IF(J529&lt;=10,INDEX('Tabela Passaro'!$G$2:$G$1795,$N529),IF(J529&lt;=30,INDEX('Tabela Passaro'!$H$2:$H$1795,$N529),IF(J529&lt;=50,INDEX('Tabela Passaro'!$I$2:$I$1795,$N529),IF(J529&lt;=70,INDEX('Tabela Passaro'!$J$2:$J$1795,$N529),IF(J529&lt;=100,INDEX('Tabela Passaro'!$K$2:$K$1795,$N529),INDEX('Tabela Passaro'!$K$2:$K$1795,$N529)+(J529-100)*INDEX('Tabela Passaro'!$L$2:$L$1795,$N529))))))</f>
        <v>84.96</v>
      </c>
      <c r="S529" s="32" t="n">
        <f aca="false">K529*INDEX('Tabela Passaro'!$M$2:$M$1795,$N529)</f>
        <v>6.92495</v>
      </c>
      <c r="T529" s="32" t="n">
        <f aca="false">K529*INDEX('Tabela Passaro'!$N$2:$N$1795,$N529)</f>
        <v>2.76998</v>
      </c>
      <c r="U529" s="32" t="n">
        <f aca="false">INDEX('Tabela Passaro'!$O$2:$O$1795,$N529)</f>
        <v>5</v>
      </c>
      <c r="V529" s="32" t="n">
        <f aca="false">ROUNDUP(J529/INDEX('Tabela Passaro'!$Q$2:$Q$1795,$N529),0)*INDEX('Tabela Passaro'!$P$2:$P$1795,$N529)</f>
        <v>5</v>
      </c>
      <c r="W529" s="32" t="n">
        <f aca="false">INDEX('Tabela Passaro'!$R$2:$R$1795,$N529)</f>
        <v>30</v>
      </c>
      <c r="X529" s="32" t="n">
        <f aca="false">ROUNDUP(J529/INDEX('Tabela Passaro'!$T$2:$T$1795,$N529),0)*INDEX('Tabela Passaro'!$S$2:$S$1795,$N529)</f>
        <v>0</v>
      </c>
      <c r="Y529" s="32" t="n">
        <f aca="false">INDEX('Tabela Passaro'!$U$2:$U$1795,$N529)</f>
        <v>0</v>
      </c>
      <c r="Z529" s="32" t="n">
        <f aca="false">INDEX('Tabela Passaro'!$V$2:$V$1795,$N529)</f>
        <v>0</v>
      </c>
      <c r="AA529" s="32" t="n">
        <f aca="false">SUM(R529:Z529)</f>
        <v>134.65493</v>
      </c>
      <c r="AB529" s="33" t="n">
        <f aca="false">INDEX(Premissas!$B$5:$B$13,MATCH(A529,Premissas!$A$5:$A$13,0))</f>
        <v>0.07</v>
      </c>
      <c r="AC529" s="32" t="n">
        <f aca="false">AA529/(1-AB529)-AA529</f>
        <v>10.135317311828</v>
      </c>
      <c r="AD529" s="32" t="n">
        <f aca="false">ROUND(AA529+AC529,2)</f>
        <v>144.79</v>
      </c>
      <c r="AE529" s="32" t="n">
        <f aca="false">AD529-L529</f>
        <v>-129.04</v>
      </c>
      <c r="AF529" s="34" t="n">
        <f aca="false">IF(L529=0,0,AE529/L529)</f>
        <v>-0.471241281086806</v>
      </c>
      <c r="AG529" s="22" t="str">
        <f aca="false">IF(AD529&lt;L529,"PASSARO","ATUAL")</f>
        <v>PASSARO</v>
      </c>
      <c r="AH529" s="22" t="str">
        <f aca="false">IF(P529&lt;&gt;A529,"Faixa cadastrada como "&amp;P529&amp;" na tabela; preço aplicado pela UF do CEP","")</f>
        <v/>
      </c>
      <c r="AI529" s="26" t="n">
        <v>200.12</v>
      </c>
      <c r="AJ529" s="22" t="str">
        <f aca="false">INDEX('Tabela Passaro'!$X$2:$X$1795,$N529)</f>
        <v>CAPITAL</v>
      </c>
    </row>
    <row r="530" customFormat="false" ht="15" hidden="false" customHeight="false" outlineLevel="0" collapsed="false">
      <c r="A530" s="22" t="s">
        <v>16</v>
      </c>
      <c r="B530" s="22" t="n">
        <v>3</v>
      </c>
      <c r="C530" s="22" t="s">
        <v>79</v>
      </c>
      <c r="D530" s="22" t="s">
        <v>30</v>
      </c>
      <c r="E530" s="22" t="s">
        <v>7326</v>
      </c>
      <c r="F530" s="22" t="n">
        <v>526173</v>
      </c>
      <c r="G530" s="30" t="n">
        <v>46253</v>
      </c>
      <c r="H530" s="22" t="n">
        <v>627358</v>
      </c>
      <c r="I530" s="22" t="s">
        <v>7806</v>
      </c>
      <c r="J530" s="31" t="n">
        <v>80.26</v>
      </c>
      <c r="K530" s="26" t="n">
        <v>1303.47</v>
      </c>
      <c r="L530" s="26" t="n">
        <v>273.14</v>
      </c>
      <c r="M530" s="22" t="s">
        <v>684</v>
      </c>
      <c r="N530" s="22" t="n">
        <f aca="false">MATCH(M530,'Tabela Passaro'!$A$2:$A$1795,0)</f>
        <v>103</v>
      </c>
      <c r="O530" s="22" t="str">
        <f aca="false">INDEX('Tabela Passaro'!$C$2:$C$1795,$N530)</f>
        <v>CAMACARI</v>
      </c>
      <c r="P530" s="22" t="str">
        <f aca="false">INDEX('Tabela Passaro'!$B$2:$B$1795,$N530)</f>
        <v>BA</v>
      </c>
      <c r="Q530" s="22" t="n">
        <f aca="false">INDEX('Tabela Passaro'!$F$2:$F$1795,$N530)</f>
        <v>6</v>
      </c>
      <c r="R530" s="32" t="n">
        <f aca="false">IF(J530&lt;=10,INDEX('Tabela Passaro'!$G$2:$G$1795,$N530),IF(J530&lt;=30,INDEX('Tabela Passaro'!$H$2:$H$1795,$N530),IF(J530&lt;=50,INDEX('Tabela Passaro'!$I$2:$I$1795,$N530),IF(J530&lt;=70,INDEX('Tabela Passaro'!$J$2:$J$1795,$N530),IF(J530&lt;=100,INDEX('Tabela Passaro'!$K$2:$K$1795,$N530),INDEX('Tabela Passaro'!$K$2:$K$1795,$N530)+(J530-100)*INDEX('Tabela Passaro'!$L$2:$L$1795,$N530))))))</f>
        <v>84.96</v>
      </c>
      <c r="S530" s="32" t="n">
        <f aca="false">K530*INDEX('Tabela Passaro'!$M$2:$M$1795,$N530)</f>
        <v>6.51735</v>
      </c>
      <c r="T530" s="32" t="n">
        <f aca="false">K530*INDEX('Tabela Passaro'!$N$2:$N$1795,$N530)</f>
        <v>2.60694</v>
      </c>
      <c r="U530" s="32" t="n">
        <f aca="false">INDEX('Tabela Passaro'!$O$2:$O$1795,$N530)</f>
        <v>5</v>
      </c>
      <c r="V530" s="32" t="n">
        <f aca="false">ROUNDUP(J530/INDEX('Tabela Passaro'!$Q$2:$Q$1795,$N530),0)*INDEX('Tabela Passaro'!$P$2:$P$1795,$N530)</f>
        <v>5</v>
      </c>
      <c r="W530" s="32" t="n">
        <f aca="false">INDEX('Tabela Passaro'!$R$2:$R$1795,$N530)</f>
        <v>30</v>
      </c>
      <c r="X530" s="32" t="n">
        <f aca="false">ROUNDUP(J530/INDEX('Tabela Passaro'!$T$2:$T$1795,$N530),0)*INDEX('Tabela Passaro'!$S$2:$S$1795,$N530)</f>
        <v>0</v>
      </c>
      <c r="Y530" s="32" t="n">
        <f aca="false">INDEX('Tabela Passaro'!$U$2:$U$1795,$N530)</f>
        <v>0</v>
      </c>
      <c r="Z530" s="32" t="n">
        <f aca="false">INDEX('Tabela Passaro'!$V$2:$V$1795,$N530)</f>
        <v>0</v>
      </c>
      <c r="AA530" s="32" t="n">
        <f aca="false">SUM(R530:Z530)</f>
        <v>134.08429</v>
      </c>
      <c r="AB530" s="33" t="n">
        <f aca="false">INDEX(Premissas!$B$5:$B$13,MATCH(A530,Premissas!$A$5:$A$13,0))</f>
        <v>0.07</v>
      </c>
      <c r="AC530" s="32" t="n">
        <f aca="false">AA530/(1-AB530)-AA530</f>
        <v>10.0923659139785</v>
      </c>
      <c r="AD530" s="32" t="n">
        <f aca="false">ROUND(AA530+AC530,2)</f>
        <v>144.18</v>
      </c>
      <c r="AE530" s="32" t="n">
        <f aca="false">AD530-L530</f>
        <v>-128.96</v>
      </c>
      <c r="AF530" s="34" t="n">
        <f aca="false">IF(L530=0,0,AE530/L530)</f>
        <v>-0.472138829904078</v>
      </c>
      <c r="AG530" s="22" t="str">
        <f aca="false">IF(AD530&lt;L530,"PASSARO","ATUAL")</f>
        <v>PASSARO</v>
      </c>
      <c r="AH530" s="22" t="str">
        <f aca="false">IF(P530&lt;&gt;A530,"Faixa cadastrada como "&amp;P530&amp;" na tabela; preço aplicado pela UF do CEP","")</f>
        <v/>
      </c>
      <c r="AI530" s="26" t="n">
        <v>192.56</v>
      </c>
      <c r="AJ530" s="22" t="str">
        <f aca="false">INDEX('Tabela Passaro'!$X$2:$X$1795,$N530)</f>
        <v>CAPITAL</v>
      </c>
    </row>
    <row r="531" customFormat="false" ht="15" hidden="false" customHeight="false" outlineLevel="0" collapsed="false">
      <c r="A531" s="22" t="s">
        <v>16</v>
      </c>
      <c r="B531" s="22" t="n">
        <v>3</v>
      </c>
      <c r="C531" s="22" t="s">
        <v>79</v>
      </c>
      <c r="D531" s="22" t="s">
        <v>30</v>
      </c>
      <c r="E531" s="22" t="s">
        <v>7326</v>
      </c>
      <c r="F531" s="22" t="n">
        <v>526176</v>
      </c>
      <c r="G531" s="30" t="n">
        <v>46253</v>
      </c>
      <c r="H531" s="22" t="n">
        <v>627362</v>
      </c>
      <c r="I531" s="22" t="s">
        <v>7807</v>
      </c>
      <c r="J531" s="31" t="n">
        <v>106.5</v>
      </c>
      <c r="K531" s="26" t="n">
        <v>1452.01</v>
      </c>
      <c r="L531" s="26" t="n">
        <v>310.75</v>
      </c>
      <c r="M531" s="22" t="s">
        <v>684</v>
      </c>
      <c r="N531" s="22" t="n">
        <f aca="false">MATCH(M531,'Tabela Passaro'!$A$2:$A$1795,0)</f>
        <v>103</v>
      </c>
      <c r="O531" s="22" t="str">
        <f aca="false">INDEX('Tabela Passaro'!$C$2:$C$1795,$N531)</f>
        <v>CAMACARI</v>
      </c>
      <c r="P531" s="22" t="str">
        <f aca="false">INDEX('Tabela Passaro'!$B$2:$B$1795,$N531)</f>
        <v>BA</v>
      </c>
      <c r="Q531" s="22" t="n">
        <f aca="false">INDEX('Tabela Passaro'!$F$2:$F$1795,$N531)</f>
        <v>6</v>
      </c>
      <c r="R531" s="32" t="n">
        <f aca="false">IF(J531&lt;=10,INDEX('Tabela Passaro'!$G$2:$G$1795,$N531),IF(J531&lt;=30,INDEX('Tabela Passaro'!$H$2:$H$1795,$N531),IF(J531&lt;=50,INDEX('Tabela Passaro'!$I$2:$I$1795,$N531),IF(J531&lt;=70,INDEX('Tabela Passaro'!$J$2:$J$1795,$N531),IF(J531&lt;=100,INDEX('Tabela Passaro'!$K$2:$K$1795,$N531),INDEX('Tabela Passaro'!$K$2:$K$1795,$N531)+(J531-100)*INDEX('Tabela Passaro'!$L$2:$L$1795,$N531))))))</f>
        <v>92.5</v>
      </c>
      <c r="S531" s="32" t="n">
        <f aca="false">K531*INDEX('Tabela Passaro'!$M$2:$M$1795,$N531)</f>
        <v>7.26005</v>
      </c>
      <c r="T531" s="32" t="n">
        <f aca="false">K531*INDEX('Tabela Passaro'!$N$2:$N$1795,$N531)</f>
        <v>2.90402</v>
      </c>
      <c r="U531" s="32" t="n">
        <f aca="false">INDEX('Tabela Passaro'!$O$2:$O$1795,$N531)</f>
        <v>5</v>
      </c>
      <c r="V531" s="32" t="n">
        <f aca="false">ROUNDUP(J531/INDEX('Tabela Passaro'!$Q$2:$Q$1795,$N531),0)*INDEX('Tabela Passaro'!$P$2:$P$1795,$N531)</f>
        <v>10</v>
      </c>
      <c r="W531" s="32" t="n">
        <f aca="false">INDEX('Tabela Passaro'!$R$2:$R$1795,$N531)</f>
        <v>30</v>
      </c>
      <c r="X531" s="32" t="n">
        <f aca="false">ROUNDUP(J531/INDEX('Tabela Passaro'!$T$2:$T$1795,$N531),0)*INDEX('Tabela Passaro'!$S$2:$S$1795,$N531)</f>
        <v>0</v>
      </c>
      <c r="Y531" s="32" t="n">
        <f aca="false">INDEX('Tabela Passaro'!$U$2:$U$1795,$N531)</f>
        <v>0</v>
      </c>
      <c r="Z531" s="32" t="n">
        <f aca="false">INDEX('Tabela Passaro'!$V$2:$V$1795,$N531)</f>
        <v>0</v>
      </c>
      <c r="AA531" s="32" t="n">
        <f aca="false">SUM(R531:Z531)</f>
        <v>147.66407</v>
      </c>
      <c r="AB531" s="33" t="n">
        <f aca="false">INDEX(Premissas!$B$5:$B$13,MATCH(A531,Premissas!$A$5:$A$13,0))</f>
        <v>0.07</v>
      </c>
      <c r="AC531" s="32" t="n">
        <f aca="false">AA531/(1-AB531)-AA531</f>
        <v>11.1144998924731</v>
      </c>
      <c r="AD531" s="32" t="n">
        <f aca="false">ROUND(AA531+AC531,2)</f>
        <v>158.78</v>
      </c>
      <c r="AE531" s="32" t="n">
        <f aca="false">AD531-L531</f>
        <v>-151.97</v>
      </c>
      <c r="AF531" s="34" t="n">
        <f aca="false">IF(L531=0,0,AE531/L531)</f>
        <v>-0.489042638777152</v>
      </c>
      <c r="AG531" s="22" t="str">
        <f aca="false">IF(AD531&lt;L531,"PASSARO","ATUAL")</f>
        <v>PASSARO</v>
      </c>
      <c r="AH531" s="22" t="str">
        <f aca="false">IF(P531&lt;&gt;A531,"Faixa cadastrada como "&amp;P531&amp;" na tabela; preço aplicado pela UF do CEP","")</f>
        <v/>
      </c>
      <c r="AI531" s="26" t="n">
        <v>221.11</v>
      </c>
      <c r="AJ531" s="22" t="str">
        <f aca="false">INDEX('Tabela Passaro'!$X$2:$X$1795,$N531)</f>
        <v>CAPITAL</v>
      </c>
    </row>
    <row r="532" customFormat="false" ht="15" hidden="false" customHeight="false" outlineLevel="0" collapsed="false">
      <c r="A532" s="22" t="s">
        <v>16</v>
      </c>
      <c r="B532" s="22" t="n">
        <v>3</v>
      </c>
      <c r="C532" s="22" t="s">
        <v>79</v>
      </c>
      <c r="D532" s="22" t="s">
        <v>30</v>
      </c>
      <c r="E532" s="22" t="s">
        <v>7326</v>
      </c>
      <c r="F532" s="22" t="n">
        <v>526178</v>
      </c>
      <c r="G532" s="30" t="n">
        <v>46253</v>
      </c>
      <c r="H532" s="22" t="n">
        <v>627364</v>
      </c>
      <c r="I532" s="22" t="s">
        <v>7808</v>
      </c>
      <c r="J532" s="31" t="n">
        <v>114.8</v>
      </c>
      <c r="K532" s="26" t="n">
        <v>1720.98</v>
      </c>
      <c r="L532" s="26" t="n">
        <v>325.08</v>
      </c>
      <c r="M532" s="22" t="s">
        <v>684</v>
      </c>
      <c r="N532" s="22" t="n">
        <f aca="false">MATCH(M532,'Tabela Passaro'!$A$2:$A$1795,0)</f>
        <v>103</v>
      </c>
      <c r="O532" s="22" t="str">
        <f aca="false">INDEX('Tabela Passaro'!$C$2:$C$1795,$N532)</f>
        <v>CAMACARI</v>
      </c>
      <c r="P532" s="22" t="str">
        <f aca="false">INDEX('Tabela Passaro'!$B$2:$B$1795,$N532)</f>
        <v>BA</v>
      </c>
      <c r="Q532" s="22" t="n">
        <f aca="false">INDEX('Tabela Passaro'!$F$2:$F$1795,$N532)</f>
        <v>6</v>
      </c>
      <c r="R532" s="32" t="n">
        <f aca="false">IF(J532&lt;=10,INDEX('Tabela Passaro'!$G$2:$G$1795,$N532),IF(J532&lt;=30,INDEX('Tabela Passaro'!$H$2:$H$1795,$N532),IF(J532&lt;=50,INDEX('Tabela Passaro'!$I$2:$I$1795,$N532),IF(J532&lt;=70,INDEX('Tabela Passaro'!$J$2:$J$1795,$N532),IF(J532&lt;=100,INDEX('Tabela Passaro'!$K$2:$K$1795,$N532),INDEX('Tabela Passaro'!$K$2:$K$1795,$N532)+(J532-100)*INDEX('Tabela Passaro'!$L$2:$L$1795,$N532))))))</f>
        <v>102.128</v>
      </c>
      <c r="S532" s="32" t="n">
        <f aca="false">K532*INDEX('Tabela Passaro'!$M$2:$M$1795,$N532)</f>
        <v>8.6049</v>
      </c>
      <c r="T532" s="32" t="n">
        <f aca="false">K532*INDEX('Tabela Passaro'!$N$2:$N$1795,$N532)</f>
        <v>3.44196</v>
      </c>
      <c r="U532" s="32" t="n">
        <f aca="false">INDEX('Tabela Passaro'!$O$2:$O$1795,$N532)</f>
        <v>5</v>
      </c>
      <c r="V532" s="32" t="n">
        <f aca="false">ROUNDUP(J532/INDEX('Tabela Passaro'!$Q$2:$Q$1795,$N532),0)*INDEX('Tabela Passaro'!$P$2:$P$1795,$N532)</f>
        <v>10</v>
      </c>
      <c r="W532" s="32" t="n">
        <f aca="false">INDEX('Tabela Passaro'!$R$2:$R$1795,$N532)</f>
        <v>30</v>
      </c>
      <c r="X532" s="32" t="n">
        <f aca="false">ROUNDUP(J532/INDEX('Tabela Passaro'!$T$2:$T$1795,$N532),0)*INDEX('Tabela Passaro'!$S$2:$S$1795,$N532)</f>
        <v>0</v>
      </c>
      <c r="Y532" s="32" t="n">
        <f aca="false">INDEX('Tabela Passaro'!$U$2:$U$1795,$N532)</f>
        <v>0</v>
      </c>
      <c r="Z532" s="32" t="n">
        <f aca="false">INDEX('Tabela Passaro'!$V$2:$V$1795,$N532)</f>
        <v>0</v>
      </c>
      <c r="AA532" s="32" t="n">
        <f aca="false">SUM(R532:Z532)</f>
        <v>159.17486</v>
      </c>
      <c r="AB532" s="33" t="n">
        <f aca="false">INDEX(Premissas!$B$5:$B$13,MATCH(A532,Premissas!$A$5:$A$13,0))</f>
        <v>0.07</v>
      </c>
      <c r="AC532" s="32" t="n">
        <f aca="false">AA532/(1-AB532)-AA532</f>
        <v>11.9809034408602</v>
      </c>
      <c r="AD532" s="32" t="n">
        <f aca="false">ROUND(AA532+AC532,2)</f>
        <v>171.16</v>
      </c>
      <c r="AE532" s="32" t="n">
        <f aca="false">AD532-L532</f>
        <v>-153.92</v>
      </c>
      <c r="AF532" s="34" t="n">
        <f aca="false">IF(L532=0,0,AE532/L532)</f>
        <v>-0.473483450227636</v>
      </c>
      <c r="AG532" s="22" t="str">
        <f aca="false">IF(AD532&lt;L532,"PASSARO","ATUAL")</f>
        <v>PASSARO</v>
      </c>
      <c r="AH532" s="22" t="str">
        <f aca="false">IF(P532&lt;&gt;A532,"Faixa cadastrada como "&amp;P532&amp;" na tabela; preço aplicado pela UF do CEP","")</f>
        <v/>
      </c>
      <c r="AI532" s="26" t="n">
        <v>239.28</v>
      </c>
      <c r="AJ532" s="22" t="str">
        <f aca="false">INDEX('Tabela Passaro'!$X$2:$X$1795,$N532)</f>
        <v>CAPITAL</v>
      </c>
    </row>
    <row r="533" customFormat="false" ht="15" hidden="false" customHeight="false" outlineLevel="0" collapsed="false">
      <c r="A533" s="22" t="s">
        <v>16</v>
      </c>
      <c r="B533" s="22" t="n">
        <v>3</v>
      </c>
      <c r="C533" s="22" t="s">
        <v>79</v>
      </c>
      <c r="D533" s="22" t="s">
        <v>30</v>
      </c>
      <c r="E533" s="22" t="s">
        <v>7328</v>
      </c>
      <c r="F533" s="22" t="n">
        <v>2314454</v>
      </c>
      <c r="G533" s="30" t="n">
        <v>46254</v>
      </c>
      <c r="H533" s="22" t="n">
        <v>134280</v>
      </c>
      <c r="I533" s="22" t="s">
        <v>7809</v>
      </c>
      <c r="J533" s="31" t="n">
        <v>46.8</v>
      </c>
      <c r="K533" s="26" t="n">
        <v>700.98</v>
      </c>
      <c r="L533" s="26" t="n">
        <v>152.18</v>
      </c>
      <c r="M533" s="22" t="s">
        <v>684</v>
      </c>
      <c r="N533" s="22" t="n">
        <f aca="false">MATCH(M533,'Tabela Passaro'!$A$2:$A$1795,0)</f>
        <v>103</v>
      </c>
      <c r="O533" s="22" t="str">
        <f aca="false">INDEX('Tabela Passaro'!$C$2:$C$1795,$N533)</f>
        <v>CAMACARI</v>
      </c>
      <c r="P533" s="22" t="str">
        <f aca="false">INDEX('Tabela Passaro'!$B$2:$B$1795,$N533)</f>
        <v>BA</v>
      </c>
      <c r="Q533" s="22" t="n">
        <f aca="false">INDEX('Tabela Passaro'!$F$2:$F$1795,$N533)</f>
        <v>6</v>
      </c>
      <c r="R533" s="32" t="n">
        <f aca="false">IF(J533&lt;=10,INDEX('Tabela Passaro'!$G$2:$G$1795,$N533),IF(J533&lt;=30,INDEX('Tabela Passaro'!$H$2:$H$1795,$N533),IF(J533&lt;=50,INDEX('Tabela Passaro'!$I$2:$I$1795,$N533),IF(J533&lt;=70,INDEX('Tabela Passaro'!$J$2:$J$1795,$N533),IF(J533&lt;=100,INDEX('Tabela Passaro'!$K$2:$K$1795,$N533),INDEX('Tabela Passaro'!$K$2:$K$1795,$N533)+(J533-100)*INDEX('Tabela Passaro'!$L$2:$L$1795,$N533))))))</f>
        <v>61.92</v>
      </c>
      <c r="S533" s="32" t="n">
        <f aca="false">K533*INDEX('Tabela Passaro'!$M$2:$M$1795,$N533)</f>
        <v>3.5049</v>
      </c>
      <c r="T533" s="32" t="n">
        <f aca="false">K533*INDEX('Tabela Passaro'!$N$2:$N$1795,$N533)</f>
        <v>1.40196</v>
      </c>
      <c r="U533" s="32" t="n">
        <f aca="false">INDEX('Tabela Passaro'!$O$2:$O$1795,$N533)</f>
        <v>5</v>
      </c>
      <c r="V533" s="32" t="n">
        <f aca="false">ROUNDUP(J533/INDEX('Tabela Passaro'!$Q$2:$Q$1795,$N533),0)*INDEX('Tabela Passaro'!$P$2:$P$1795,$N533)</f>
        <v>5</v>
      </c>
      <c r="W533" s="32" t="n">
        <f aca="false">INDEX('Tabela Passaro'!$R$2:$R$1795,$N533)</f>
        <v>30</v>
      </c>
      <c r="X533" s="32" t="n">
        <f aca="false">ROUNDUP(J533/INDEX('Tabela Passaro'!$T$2:$T$1795,$N533),0)*INDEX('Tabela Passaro'!$S$2:$S$1795,$N533)</f>
        <v>0</v>
      </c>
      <c r="Y533" s="32" t="n">
        <f aca="false">INDEX('Tabela Passaro'!$U$2:$U$1795,$N533)</f>
        <v>0</v>
      </c>
      <c r="Z533" s="32" t="n">
        <f aca="false">INDEX('Tabela Passaro'!$V$2:$V$1795,$N533)</f>
        <v>0</v>
      </c>
      <c r="AA533" s="32" t="n">
        <f aca="false">SUM(R533:Z533)</f>
        <v>106.82686</v>
      </c>
      <c r="AB533" s="33" t="n">
        <f aca="false">INDEX(Premissas!$B$5:$B$13,MATCH(A533,Premissas!$A$5:$A$13,0))</f>
        <v>0.07</v>
      </c>
      <c r="AC533" s="32" t="n">
        <f aca="false">AA533/(1-AB533)-AA533</f>
        <v>8.04073139784947</v>
      </c>
      <c r="AD533" s="32" t="n">
        <f aca="false">ROUND(AA533+AC533,2)</f>
        <v>114.87</v>
      </c>
      <c r="AE533" s="32" t="n">
        <f aca="false">AD533-L533</f>
        <v>-37.31</v>
      </c>
      <c r="AF533" s="34" t="n">
        <f aca="false">IF(L533=0,0,AE533/L533)</f>
        <v>-0.245170193192272</v>
      </c>
      <c r="AG533" s="22" t="str">
        <f aca="false">IF(AD533&lt;L533,"PASSARO","ATUAL")</f>
        <v>PASSARO</v>
      </c>
      <c r="AH533" s="22" t="str">
        <f aca="false">IF(P533&lt;&gt;A533,"Faixa cadastrada como "&amp;P533&amp;" na tabela; preço aplicado pela UF do CEP","")</f>
        <v/>
      </c>
      <c r="AI533" s="26" t="n">
        <v>145.24</v>
      </c>
      <c r="AJ533" s="22" t="str">
        <f aca="false">INDEX('Tabela Passaro'!$X$2:$X$1795,$N533)</f>
        <v>CAPITAL</v>
      </c>
    </row>
    <row r="534" customFormat="false" ht="15" hidden="false" customHeight="false" outlineLevel="0" collapsed="false">
      <c r="A534" s="22" t="s">
        <v>16</v>
      </c>
      <c r="B534" s="22" t="n">
        <v>3</v>
      </c>
      <c r="C534" s="22" t="s">
        <v>79</v>
      </c>
      <c r="D534" s="22" t="s">
        <v>30</v>
      </c>
      <c r="E534" s="22" t="s">
        <v>7326</v>
      </c>
      <c r="F534" s="22" t="n">
        <v>526662</v>
      </c>
      <c r="G534" s="30" t="n">
        <v>46255</v>
      </c>
      <c r="H534" s="22" t="n">
        <v>627535</v>
      </c>
      <c r="I534" s="22" t="s">
        <v>7810</v>
      </c>
      <c r="J534" s="31" t="n">
        <v>67.3</v>
      </c>
      <c r="K534" s="26" t="n">
        <v>1039.98</v>
      </c>
      <c r="L534" s="26" t="n">
        <v>223.25</v>
      </c>
      <c r="M534" s="22" t="s">
        <v>684</v>
      </c>
      <c r="N534" s="22" t="n">
        <f aca="false">MATCH(M534,'Tabela Passaro'!$A$2:$A$1795,0)</f>
        <v>103</v>
      </c>
      <c r="O534" s="22" t="str">
        <f aca="false">INDEX('Tabela Passaro'!$C$2:$C$1795,$N534)</f>
        <v>CAMACARI</v>
      </c>
      <c r="P534" s="22" t="str">
        <f aca="false">INDEX('Tabela Passaro'!$B$2:$B$1795,$N534)</f>
        <v>BA</v>
      </c>
      <c r="Q534" s="22" t="n">
        <f aca="false">INDEX('Tabela Passaro'!$F$2:$F$1795,$N534)</f>
        <v>6</v>
      </c>
      <c r="R534" s="32" t="n">
        <f aca="false">IF(J534&lt;=10,INDEX('Tabela Passaro'!$G$2:$G$1795,$N534),IF(J534&lt;=30,INDEX('Tabela Passaro'!$H$2:$H$1795,$N534),IF(J534&lt;=50,INDEX('Tabela Passaro'!$I$2:$I$1795,$N534),IF(J534&lt;=70,INDEX('Tabela Passaro'!$J$2:$J$1795,$N534),IF(J534&lt;=100,INDEX('Tabela Passaro'!$K$2:$K$1795,$N534),INDEX('Tabela Passaro'!$K$2:$K$1795,$N534)+(J534-100)*INDEX('Tabela Passaro'!$L$2:$L$1795,$N534))))))</f>
        <v>73.44</v>
      </c>
      <c r="S534" s="32" t="n">
        <f aca="false">K534*INDEX('Tabela Passaro'!$M$2:$M$1795,$N534)</f>
        <v>5.1999</v>
      </c>
      <c r="T534" s="32" t="n">
        <f aca="false">K534*INDEX('Tabela Passaro'!$N$2:$N$1795,$N534)</f>
        <v>2.07996</v>
      </c>
      <c r="U534" s="32" t="n">
        <f aca="false">INDEX('Tabela Passaro'!$O$2:$O$1795,$N534)</f>
        <v>5</v>
      </c>
      <c r="V534" s="32" t="n">
        <f aca="false">ROUNDUP(J534/INDEX('Tabela Passaro'!$Q$2:$Q$1795,$N534),0)*INDEX('Tabela Passaro'!$P$2:$P$1795,$N534)</f>
        <v>5</v>
      </c>
      <c r="W534" s="32" t="n">
        <f aca="false">INDEX('Tabela Passaro'!$R$2:$R$1795,$N534)</f>
        <v>30</v>
      </c>
      <c r="X534" s="32" t="n">
        <f aca="false">ROUNDUP(J534/INDEX('Tabela Passaro'!$T$2:$T$1795,$N534),0)*INDEX('Tabela Passaro'!$S$2:$S$1795,$N534)</f>
        <v>0</v>
      </c>
      <c r="Y534" s="32" t="n">
        <f aca="false">INDEX('Tabela Passaro'!$U$2:$U$1795,$N534)</f>
        <v>0</v>
      </c>
      <c r="Z534" s="32" t="n">
        <f aca="false">INDEX('Tabela Passaro'!$V$2:$V$1795,$N534)</f>
        <v>0</v>
      </c>
      <c r="AA534" s="32" t="n">
        <f aca="false">SUM(R534:Z534)</f>
        <v>120.71986</v>
      </c>
      <c r="AB534" s="33" t="n">
        <f aca="false">INDEX(Premissas!$B$5:$B$13,MATCH(A534,Premissas!$A$5:$A$13,0))</f>
        <v>0.07</v>
      </c>
      <c r="AC534" s="32" t="n">
        <f aca="false">AA534/(1-AB534)-AA534</f>
        <v>9.08644107526884</v>
      </c>
      <c r="AD534" s="32" t="n">
        <f aca="false">ROUND(AA534+AC534,2)</f>
        <v>129.81</v>
      </c>
      <c r="AE534" s="32" t="n">
        <f aca="false">AD534-L534</f>
        <v>-93.44</v>
      </c>
      <c r="AF534" s="34" t="n">
        <f aca="false">IF(L534=0,0,AE534/L534)</f>
        <v>-0.418544232922732</v>
      </c>
      <c r="AG534" s="22" t="str">
        <f aca="false">IF(AD534&lt;L534,"PASSARO","ATUAL")</f>
        <v>PASSARO</v>
      </c>
      <c r="AH534" s="22" t="str">
        <f aca="false">IF(P534&lt;&gt;A534,"Faixa cadastrada como "&amp;P534&amp;" na tabela; preço aplicado pela UF do CEP","")</f>
        <v/>
      </c>
      <c r="AI534" s="26" t="n">
        <v>171.2</v>
      </c>
      <c r="AJ534" s="22" t="str">
        <f aca="false">INDEX('Tabela Passaro'!$X$2:$X$1795,$N534)</f>
        <v>CAPITAL</v>
      </c>
    </row>
    <row r="535" customFormat="false" ht="15" hidden="false" customHeight="false" outlineLevel="0" collapsed="false">
      <c r="A535" s="22" t="s">
        <v>16</v>
      </c>
      <c r="B535" s="22" t="n">
        <v>3</v>
      </c>
      <c r="C535" s="22" t="s">
        <v>79</v>
      </c>
      <c r="D535" s="22" t="s">
        <v>30</v>
      </c>
      <c r="E535" s="22" t="s">
        <v>7326</v>
      </c>
      <c r="F535" s="22" t="n">
        <v>526680</v>
      </c>
      <c r="G535" s="30" t="n">
        <v>46255</v>
      </c>
      <c r="H535" s="22" t="n">
        <v>627730</v>
      </c>
      <c r="I535" s="22" t="s">
        <v>7791</v>
      </c>
      <c r="J535" s="31" t="n">
        <v>107.7</v>
      </c>
      <c r="K535" s="26" t="n">
        <v>1718.98</v>
      </c>
      <c r="L535" s="26" t="n">
        <v>314.76</v>
      </c>
      <c r="M535" s="22" t="s">
        <v>684</v>
      </c>
      <c r="N535" s="22" t="n">
        <f aca="false">MATCH(M535,'Tabela Passaro'!$A$2:$A$1795,0)</f>
        <v>103</v>
      </c>
      <c r="O535" s="22" t="str">
        <f aca="false">INDEX('Tabela Passaro'!$C$2:$C$1795,$N535)</f>
        <v>CAMACARI</v>
      </c>
      <c r="P535" s="22" t="str">
        <f aca="false">INDEX('Tabela Passaro'!$B$2:$B$1795,$N535)</f>
        <v>BA</v>
      </c>
      <c r="Q535" s="22" t="n">
        <f aca="false">INDEX('Tabela Passaro'!$F$2:$F$1795,$N535)</f>
        <v>6</v>
      </c>
      <c r="R535" s="32" t="n">
        <f aca="false">IF(J535&lt;=10,INDEX('Tabela Passaro'!$G$2:$G$1795,$N535),IF(J535&lt;=30,INDEX('Tabela Passaro'!$H$2:$H$1795,$N535),IF(J535&lt;=50,INDEX('Tabela Passaro'!$I$2:$I$1795,$N535),IF(J535&lt;=70,INDEX('Tabela Passaro'!$J$2:$J$1795,$N535),IF(J535&lt;=100,INDEX('Tabela Passaro'!$K$2:$K$1795,$N535),INDEX('Tabela Passaro'!$K$2:$K$1795,$N535)+(J535-100)*INDEX('Tabela Passaro'!$L$2:$L$1795,$N535))))))</f>
        <v>93.892</v>
      </c>
      <c r="S535" s="32" t="n">
        <f aca="false">K535*INDEX('Tabela Passaro'!$M$2:$M$1795,$N535)</f>
        <v>8.5949</v>
      </c>
      <c r="T535" s="32" t="n">
        <f aca="false">K535*INDEX('Tabela Passaro'!$N$2:$N$1795,$N535)</f>
        <v>3.43796</v>
      </c>
      <c r="U535" s="32" t="n">
        <f aca="false">INDEX('Tabela Passaro'!$O$2:$O$1795,$N535)</f>
        <v>5</v>
      </c>
      <c r="V535" s="32" t="n">
        <f aca="false">ROUNDUP(J535/INDEX('Tabela Passaro'!$Q$2:$Q$1795,$N535),0)*INDEX('Tabela Passaro'!$P$2:$P$1795,$N535)</f>
        <v>10</v>
      </c>
      <c r="W535" s="32" t="n">
        <f aca="false">INDEX('Tabela Passaro'!$R$2:$R$1795,$N535)</f>
        <v>30</v>
      </c>
      <c r="X535" s="32" t="n">
        <f aca="false">ROUNDUP(J535/INDEX('Tabela Passaro'!$T$2:$T$1795,$N535),0)*INDEX('Tabela Passaro'!$S$2:$S$1795,$N535)</f>
        <v>0</v>
      </c>
      <c r="Y535" s="32" t="n">
        <f aca="false">INDEX('Tabela Passaro'!$U$2:$U$1795,$N535)</f>
        <v>0</v>
      </c>
      <c r="Z535" s="32" t="n">
        <f aca="false">INDEX('Tabela Passaro'!$V$2:$V$1795,$N535)</f>
        <v>0</v>
      </c>
      <c r="AA535" s="32" t="n">
        <f aca="false">SUM(R535:Z535)</f>
        <v>150.92486</v>
      </c>
      <c r="AB535" s="33" t="n">
        <f aca="false">INDEX(Premissas!$B$5:$B$13,MATCH(A535,Premissas!$A$5:$A$13,0))</f>
        <v>0.07</v>
      </c>
      <c r="AC535" s="32" t="n">
        <f aca="false">AA535/(1-AB535)-AA535</f>
        <v>11.3599356989247</v>
      </c>
      <c r="AD535" s="32" t="n">
        <f aca="false">ROUND(AA535+AC535,2)</f>
        <v>162.28</v>
      </c>
      <c r="AE535" s="32" t="n">
        <f aca="false">AD535-L535</f>
        <v>-152.48</v>
      </c>
      <c r="AF535" s="34" t="n">
        <f aca="false">IF(L535=0,0,AE535/L535)</f>
        <v>-0.484432583555725</v>
      </c>
      <c r="AG535" s="22" t="str">
        <f aca="false">IF(AD535&lt;L535,"PASSARO","ATUAL")</f>
        <v>PASSARO</v>
      </c>
      <c r="AH535" s="22" t="str">
        <f aca="false">IF(P535&lt;&gt;A535,"Faixa cadastrada como "&amp;P535&amp;" na tabela; preço aplicado pela UF do CEP","")</f>
        <v/>
      </c>
      <c r="AI535" s="26" t="n">
        <v>225.87</v>
      </c>
      <c r="AJ535" s="22" t="str">
        <f aca="false">INDEX('Tabela Passaro'!$X$2:$X$1795,$N535)</f>
        <v>CAPITAL</v>
      </c>
    </row>
    <row r="536" customFormat="false" ht="15" hidden="false" customHeight="false" outlineLevel="0" collapsed="false">
      <c r="A536" s="22" t="s">
        <v>16</v>
      </c>
      <c r="B536" s="22" t="n">
        <v>3</v>
      </c>
      <c r="C536" s="22" t="s">
        <v>79</v>
      </c>
      <c r="D536" s="22" t="s">
        <v>30</v>
      </c>
      <c r="E536" s="22" t="s">
        <v>7328</v>
      </c>
      <c r="F536" s="22" t="n">
        <v>2315635</v>
      </c>
      <c r="G536" s="30" t="n">
        <v>46258</v>
      </c>
      <c r="H536" s="22" t="n">
        <v>134362</v>
      </c>
      <c r="I536" s="22" t="s">
        <v>7811</v>
      </c>
      <c r="J536" s="31" t="n">
        <v>38.15</v>
      </c>
      <c r="K536" s="26" t="n">
        <v>622.73</v>
      </c>
      <c r="L536" s="26" t="n">
        <v>151.57</v>
      </c>
      <c r="M536" s="22" t="s">
        <v>684</v>
      </c>
      <c r="N536" s="22" t="n">
        <f aca="false">MATCH(M536,'Tabela Passaro'!$A$2:$A$1795,0)</f>
        <v>103</v>
      </c>
      <c r="O536" s="22" t="str">
        <f aca="false">INDEX('Tabela Passaro'!$C$2:$C$1795,$N536)</f>
        <v>CAMACARI</v>
      </c>
      <c r="P536" s="22" t="str">
        <f aca="false">INDEX('Tabela Passaro'!$B$2:$B$1795,$N536)</f>
        <v>BA</v>
      </c>
      <c r="Q536" s="22" t="n">
        <f aca="false">INDEX('Tabela Passaro'!$F$2:$F$1795,$N536)</f>
        <v>6</v>
      </c>
      <c r="R536" s="32" t="n">
        <f aca="false">IF(J536&lt;=10,INDEX('Tabela Passaro'!$G$2:$G$1795,$N536),IF(J536&lt;=30,INDEX('Tabela Passaro'!$H$2:$H$1795,$N536),IF(J536&lt;=50,INDEX('Tabela Passaro'!$I$2:$I$1795,$N536),IF(J536&lt;=70,INDEX('Tabela Passaro'!$J$2:$J$1795,$N536),IF(J536&lt;=100,INDEX('Tabela Passaro'!$K$2:$K$1795,$N536),INDEX('Tabela Passaro'!$K$2:$K$1795,$N536)+(J536-100)*INDEX('Tabela Passaro'!$L$2:$L$1795,$N536))))))</f>
        <v>61.92</v>
      </c>
      <c r="S536" s="32" t="n">
        <f aca="false">K536*INDEX('Tabela Passaro'!$M$2:$M$1795,$N536)</f>
        <v>3.11365</v>
      </c>
      <c r="T536" s="32" t="n">
        <f aca="false">K536*INDEX('Tabela Passaro'!$N$2:$N$1795,$N536)</f>
        <v>1.24546</v>
      </c>
      <c r="U536" s="32" t="n">
        <f aca="false">INDEX('Tabela Passaro'!$O$2:$O$1795,$N536)</f>
        <v>5</v>
      </c>
      <c r="V536" s="32" t="n">
        <f aca="false">ROUNDUP(J536/INDEX('Tabela Passaro'!$Q$2:$Q$1795,$N536),0)*INDEX('Tabela Passaro'!$P$2:$P$1795,$N536)</f>
        <v>5</v>
      </c>
      <c r="W536" s="32" t="n">
        <f aca="false">INDEX('Tabela Passaro'!$R$2:$R$1795,$N536)</f>
        <v>30</v>
      </c>
      <c r="X536" s="32" t="n">
        <f aca="false">ROUNDUP(J536/INDEX('Tabela Passaro'!$T$2:$T$1795,$N536),0)*INDEX('Tabela Passaro'!$S$2:$S$1795,$N536)</f>
        <v>0</v>
      </c>
      <c r="Y536" s="32" t="n">
        <f aca="false">INDEX('Tabela Passaro'!$U$2:$U$1795,$N536)</f>
        <v>0</v>
      </c>
      <c r="Z536" s="32" t="n">
        <f aca="false">INDEX('Tabela Passaro'!$V$2:$V$1795,$N536)</f>
        <v>0</v>
      </c>
      <c r="AA536" s="32" t="n">
        <f aca="false">SUM(R536:Z536)</f>
        <v>106.27911</v>
      </c>
      <c r="AB536" s="33" t="n">
        <f aca="false">INDEX(Premissas!$B$5:$B$13,MATCH(A536,Premissas!$A$5:$A$13,0))</f>
        <v>0.07</v>
      </c>
      <c r="AC536" s="32" t="n">
        <f aca="false">AA536/(1-AB536)-AA536</f>
        <v>7.99950290322582</v>
      </c>
      <c r="AD536" s="32" t="n">
        <f aca="false">ROUND(AA536+AC536,2)</f>
        <v>114.28</v>
      </c>
      <c r="AE536" s="32" t="n">
        <f aca="false">AD536-L536</f>
        <v>-37.29</v>
      </c>
      <c r="AF536" s="34" t="n">
        <f aca="false">IF(L536=0,0,AE536/L536)</f>
        <v>-0.246024938972092</v>
      </c>
      <c r="AG536" s="22" t="str">
        <f aca="false">IF(AD536&lt;L536,"PASSARO","ATUAL")</f>
        <v>PASSARO</v>
      </c>
      <c r="AH536" s="22" t="str">
        <f aca="false">IF(P536&lt;&gt;A536,"Faixa cadastrada como "&amp;P536&amp;" na tabela; preço aplicado pela UF do CEP","")</f>
        <v/>
      </c>
      <c r="AI536" s="26" t="n">
        <v>140.61</v>
      </c>
      <c r="AJ536" s="22" t="str">
        <f aca="false">INDEX('Tabela Passaro'!$X$2:$X$1795,$N536)</f>
        <v>CAPITAL</v>
      </c>
    </row>
    <row r="537" customFormat="false" ht="15" hidden="false" customHeight="false" outlineLevel="0" collapsed="false">
      <c r="A537" s="22" t="s">
        <v>16</v>
      </c>
      <c r="B537" s="22" t="n">
        <v>3</v>
      </c>
      <c r="C537" s="22" t="s">
        <v>79</v>
      </c>
      <c r="D537" s="22" t="s">
        <v>30</v>
      </c>
      <c r="E537" s="22" t="s">
        <v>7328</v>
      </c>
      <c r="F537" s="22" t="n">
        <v>2315806</v>
      </c>
      <c r="G537" s="30" t="n">
        <v>46258</v>
      </c>
      <c r="H537" s="22" t="n">
        <v>134950</v>
      </c>
      <c r="I537" s="22" t="s">
        <v>7812</v>
      </c>
      <c r="J537" s="31" t="n">
        <v>46.8</v>
      </c>
      <c r="K537" s="26" t="n">
        <v>619.36</v>
      </c>
      <c r="L537" s="26" t="n">
        <v>151.55</v>
      </c>
      <c r="M537" s="22" t="s">
        <v>684</v>
      </c>
      <c r="N537" s="22" t="n">
        <f aca="false">MATCH(M537,'Tabela Passaro'!$A$2:$A$1795,0)</f>
        <v>103</v>
      </c>
      <c r="O537" s="22" t="str">
        <f aca="false">INDEX('Tabela Passaro'!$C$2:$C$1795,$N537)</f>
        <v>CAMACARI</v>
      </c>
      <c r="P537" s="22" t="str">
        <f aca="false">INDEX('Tabela Passaro'!$B$2:$B$1795,$N537)</f>
        <v>BA</v>
      </c>
      <c r="Q537" s="22" t="n">
        <f aca="false">INDEX('Tabela Passaro'!$F$2:$F$1795,$N537)</f>
        <v>6</v>
      </c>
      <c r="R537" s="32" t="n">
        <f aca="false">IF(J537&lt;=10,INDEX('Tabela Passaro'!$G$2:$G$1795,$N537),IF(J537&lt;=30,INDEX('Tabela Passaro'!$H$2:$H$1795,$N537),IF(J537&lt;=50,INDEX('Tabela Passaro'!$I$2:$I$1795,$N537),IF(J537&lt;=70,INDEX('Tabela Passaro'!$J$2:$J$1795,$N537),IF(J537&lt;=100,INDEX('Tabela Passaro'!$K$2:$K$1795,$N537),INDEX('Tabela Passaro'!$K$2:$K$1795,$N537)+(J537-100)*INDEX('Tabela Passaro'!$L$2:$L$1795,$N537))))))</f>
        <v>61.92</v>
      </c>
      <c r="S537" s="32" t="n">
        <f aca="false">K537*INDEX('Tabela Passaro'!$M$2:$M$1795,$N537)</f>
        <v>3.0968</v>
      </c>
      <c r="T537" s="32" t="n">
        <f aca="false">K537*INDEX('Tabela Passaro'!$N$2:$N$1795,$N537)</f>
        <v>1.23872</v>
      </c>
      <c r="U537" s="32" t="n">
        <f aca="false">INDEX('Tabela Passaro'!$O$2:$O$1795,$N537)</f>
        <v>5</v>
      </c>
      <c r="V537" s="32" t="n">
        <f aca="false">ROUNDUP(J537/INDEX('Tabela Passaro'!$Q$2:$Q$1795,$N537),0)*INDEX('Tabela Passaro'!$P$2:$P$1795,$N537)</f>
        <v>5</v>
      </c>
      <c r="W537" s="32" t="n">
        <f aca="false">INDEX('Tabela Passaro'!$R$2:$R$1795,$N537)</f>
        <v>30</v>
      </c>
      <c r="X537" s="32" t="n">
        <f aca="false">ROUNDUP(J537/INDEX('Tabela Passaro'!$T$2:$T$1795,$N537),0)*INDEX('Tabela Passaro'!$S$2:$S$1795,$N537)</f>
        <v>0</v>
      </c>
      <c r="Y537" s="32" t="n">
        <f aca="false">INDEX('Tabela Passaro'!$U$2:$U$1795,$N537)</f>
        <v>0</v>
      </c>
      <c r="Z537" s="32" t="n">
        <f aca="false">INDEX('Tabela Passaro'!$V$2:$V$1795,$N537)</f>
        <v>0</v>
      </c>
      <c r="AA537" s="32" t="n">
        <f aca="false">SUM(R537:Z537)</f>
        <v>106.25552</v>
      </c>
      <c r="AB537" s="33" t="n">
        <f aca="false">INDEX(Premissas!$B$5:$B$13,MATCH(A537,Premissas!$A$5:$A$13,0))</f>
        <v>0.07</v>
      </c>
      <c r="AC537" s="32" t="n">
        <f aca="false">AA537/(1-AB537)-AA537</f>
        <v>7.99772731182796</v>
      </c>
      <c r="AD537" s="32" t="n">
        <f aca="false">ROUND(AA537+AC537,2)</f>
        <v>114.25</v>
      </c>
      <c r="AE537" s="32" t="n">
        <f aca="false">AD537-L537</f>
        <v>-37.3</v>
      </c>
      <c r="AF537" s="34" t="n">
        <f aca="false">IF(L537=0,0,AE537/L537)</f>
        <v>-0.246123391619927</v>
      </c>
      <c r="AG537" s="22" t="str">
        <f aca="false">IF(AD537&lt;L537,"PASSARO","ATUAL")</f>
        <v>PASSARO</v>
      </c>
      <c r="AH537" s="22" t="str">
        <f aca="false">IF(P537&lt;&gt;A537,"Faixa cadastrada como "&amp;P537&amp;" na tabela; preço aplicado pela UF do CEP","")</f>
        <v/>
      </c>
      <c r="AI537" s="26" t="n">
        <v>144.45</v>
      </c>
      <c r="AJ537" s="22" t="str">
        <f aca="false">INDEX('Tabela Passaro'!$X$2:$X$1795,$N537)</f>
        <v>CAPITAL</v>
      </c>
    </row>
    <row r="538" customFormat="false" ht="15" hidden="false" customHeight="false" outlineLevel="0" collapsed="false">
      <c r="A538" s="22" t="s">
        <v>16</v>
      </c>
      <c r="B538" s="22" t="n">
        <v>3</v>
      </c>
      <c r="C538" s="22" t="s">
        <v>79</v>
      </c>
      <c r="D538" s="22" t="s">
        <v>30</v>
      </c>
      <c r="E538" s="22" t="s">
        <v>7328</v>
      </c>
      <c r="F538" s="22" t="n">
        <v>2315836</v>
      </c>
      <c r="G538" s="30" t="n">
        <v>46258</v>
      </c>
      <c r="H538" s="22" t="n">
        <v>135103</v>
      </c>
      <c r="I538" s="22" t="s">
        <v>7813</v>
      </c>
      <c r="J538" s="31" t="n">
        <v>72.08</v>
      </c>
      <c r="K538" s="26" t="n">
        <v>1119.99</v>
      </c>
      <c r="L538" s="26" t="n">
        <v>224.08</v>
      </c>
      <c r="M538" s="22" t="s">
        <v>684</v>
      </c>
      <c r="N538" s="22" t="n">
        <f aca="false">MATCH(M538,'Tabela Passaro'!$A$2:$A$1795,0)</f>
        <v>103</v>
      </c>
      <c r="O538" s="22" t="str">
        <f aca="false">INDEX('Tabela Passaro'!$C$2:$C$1795,$N538)</f>
        <v>CAMACARI</v>
      </c>
      <c r="P538" s="22" t="str">
        <f aca="false">INDEX('Tabela Passaro'!$B$2:$B$1795,$N538)</f>
        <v>BA</v>
      </c>
      <c r="Q538" s="22" t="n">
        <f aca="false">INDEX('Tabela Passaro'!$F$2:$F$1795,$N538)</f>
        <v>6</v>
      </c>
      <c r="R538" s="32" t="n">
        <f aca="false">IF(J538&lt;=10,INDEX('Tabela Passaro'!$G$2:$G$1795,$N538),IF(J538&lt;=30,INDEX('Tabela Passaro'!$H$2:$H$1795,$N538),IF(J538&lt;=50,INDEX('Tabela Passaro'!$I$2:$I$1795,$N538),IF(J538&lt;=70,INDEX('Tabela Passaro'!$J$2:$J$1795,$N538),IF(J538&lt;=100,INDEX('Tabela Passaro'!$K$2:$K$1795,$N538),INDEX('Tabela Passaro'!$K$2:$K$1795,$N538)+(J538-100)*INDEX('Tabela Passaro'!$L$2:$L$1795,$N538))))))</f>
        <v>84.96</v>
      </c>
      <c r="S538" s="32" t="n">
        <f aca="false">K538*INDEX('Tabela Passaro'!$M$2:$M$1795,$N538)</f>
        <v>5.59995</v>
      </c>
      <c r="T538" s="32" t="n">
        <f aca="false">K538*INDEX('Tabela Passaro'!$N$2:$N$1795,$N538)</f>
        <v>2.23998</v>
      </c>
      <c r="U538" s="32" t="n">
        <f aca="false">INDEX('Tabela Passaro'!$O$2:$O$1795,$N538)</f>
        <v>5</v>
      </c>
      <c r="V538" s="32" t="n">
        <f aca="false">ROUNDUP(J538/INDEX('Tabela Passaro'!$Q$2:$Q$1795,$N538),0)*INDEX('Tabela Passaro'!$P$2:$P$1795,$N538)</f>
        <v>5</v>
      </c>
      <c r="W538" s="32" t="n">
        <f aca="false">INDEX('Tabela Passaro'!$R$2:$R$1795,$N538)</f>
        <v>30</v>
      </c>
      <c r="X538" s="32" t="n">
        <f aca="false">ROUNDUP(J538/INDEX('Tabela Passaro'!$T$2:$T$1795,$N538),0)*INDEX('Tabela Passaro'!$S$2:$S$1795,$N538)</f>
        <v>0</v>
      </c>
      <c r="Y538" s="32" t="n">
        <f aca="false">INDEX('Tabela Passaro'!$U$2:$U$1795,$N538)</f>
        <v>0</v>
      </c>
      <c r="Z538" s="32" t="n">
        <f aca="false">INDEX('Tabela Passaro'!$V$2:$V$1795,$N538)</f>
        <v>0</v>
      </c>
      <c r="AA538" s="32" t="n">
        <f aca="false">SUM(R538:Z538)</f>
        <v>132.79993</v>
      </c>
      <c r="AB538" s="33" t="n">
        <f aca="false">INDEX(Premissas!$B$5:$B$13,MATCH(A538,Premissas!$A$5:$A$13,0))</f>
        <v>0.07</v>
      </c>
      <c r="AC538" s="32" t="n">
        <f aca="false">AA538/(1-AB538)-AA538</f>
        <v>9.99569365591398</v>
      </c>
      <c r="AD538" s="32" t="n">
        <f aca="false">ROUND(AA538+AC538,2)</f>
        <v>142.8</v>
      </c>
      <c r="AE538" s="32" t="n">
        <f aca="false">AD538-L538</f>
        <v>-81.28</v>
      </c>
      <c r="AF538" s="34" t="n">
        <f aca="false">IF(L538=0,0,AE538/L538)</f>
        <v>-0.362727597286683</v>
      </c>
      <c r="AG538" s="22" t="str">
        <f aca="false">IF(AD538&lt;L538,"PASSARO","ATUAL")</f>
        <v>PASSARO</v>
      </c>
      <c r="AH538" s="22" t="str">
        <f aca="false">IF(P538&lt;&gt;A538,"Faixa cadastrada como "&amp;P538&amp;" na tabela; preço aplicado pela UF do CEP","")</f>
        <v/>
      </c>
      <c r="AI538" s="26" t="n">
        <v>186.91</v>
      </c>
      <c r="AJ538" s="22" t="str">
        <f aca="false">INDEX('Tabela Passaro'!$X$2:$X$1795,$N538)</f>
        <v>CAPITAL</v>
      </c>
    </row>
    <row r="539" customFormat="false" ht="15" hidden="false" customHeight="false" outlineLevel="0" collapsed="false">
      <c r="A539" s="22" t="s">
        <v>16</v>
      </c>
      <c r="B539" s="22" t="n">
        <v>3</v>
      </c>
      <c r="C539" s="22" t="s">
        <v>79</v>
      </c>
      <c r="D539" s="22" t="s">
        <v>30</v>
      </c>
      <c r="E539" s="22" t="s">
        <v>7328</v>
      </c>
      <c r="F539" s="22" t="n">
        <v>2315844</v>
      </c>
      <c r="G539" s="30" t="n">
        <v>46258</v>
      </c>
      <c r="H539" s="22" t="n">
        <v>135111</v>
      </c>
      <c r="I539" s="22" t="s">
        <v>7814</v>
      </c>
      <c r="J539" s="31" t="n">
        <v>25.8</v>
      </c>
      <c r="K539" s="26" t="n">
        <v>487.97</v>
      </c>
      <c r="L539" s="26" t="n">
        <v>116.75</v>
      </c>
      <c r="M539" s="22" t="s">
        <v>684</v>
      </c>
      <c r="N539" s="22" t="n">
        <f aca="false">MATCH(M539,'Tabela Passaro'!$A$2:$A$1795,0)</f>
        <v>103</v>
      </c>
      <c r="O539" s="22" t="str">
        <f aca="false">INDEX('Tabela Passaro'!$C$2:$C$1795,$N539)</f>
        <v>CAMACARI</v>
      </c>
      <c r="P539" s="22" t="str">
        <f aca="false">INDEX('Tabela Passaro'!$B$2:$B$1795,$N539)</f>
        <v>BA</v>
      </c>
      <c r="Q539" s="22" t="n">
        <f aca="false">INDEX('Tabela Passaro'!$F$2:$F$1795,$N539)</f>
        <v>6</v>
      </c>
      <c r="R539" s="32" t="n">
        <f aca="false">IF(J539&lt;=10,INDEX('Tabela Passaro'!$G$2:$G$1795,$N539),IF(J539&lt;=30,INDEX('Tabela Passaro'!$H$2:$H$1795,$N539),IF(J539&lt;=50,INDEX('Tabela Passaro'!$I$2:$I$1795,$N539),IF(J539&lt;=70,INDEX('Tabela Passaro'!$J$2:$J$1795,$N539),IF(J539&lt;=100,INDEX('Tabela Passaro'!$K$2:$K$1795,$N539),INDEX('Tabela Passaro'!$K$2:$K$1795,$N539)+(J539-100)*INDEX('Tabela Passaro'!$L$2:$L$1795,$N539))))))</f>
        <v>50.4</v>
      </c>
      <c r="S539" s="32" t="n">
        <f aca="false">K539*INDEX('Tabela Passaro'!$M$2:$M$1795,$N539)</f>
        <v>2.43985</v>
      </c>
      <c r="T539" s="32" t="n">
        <f aca="false">K539*INDEX('Tabela Passaro'!$N$2:$N$1795,$N539)</f>
        <v>0.97594</v>
      </c>
      <c r="U539" s="32" t="n">
        <f aca="false">INDEX('Tabela Passaro'!$O$2:$O$1795,$N539)</f>
        <v>5</v>
      </c>
      <c r="V539" s="32" t="n">
        <f aca="false">ROUNDUP(J539/INDEX('Tabela Passaro'!$Q$2:$Q$1795,$N539),0)*INDEX('Tabela Passaro'!$P$2:$P$1795,$N539)</f>
        <v>5</v>
      </c>
      <c r="W539" s="32" t="n">
        <f aca="false">INDEX('Tabela Passaro'!$R$2:$R$1795,$N539)</f>
        <v>30</v>
      </c>
      <c r="X539" s="32" t="n">
        <f aca="false">ROUNDUP(J539/INDEX('Tabela Passaro'!$T$2:$T$1795,$N539),0)*INDEX('Tabela Passaro'!$S$2:$S$1795,$N539)</f>
        <v>0</v>
      </c>
      <c r="Y539" s="32" t="n">
        <f aca="false">INDEX('Tabela Passaro'!$U$2:$U$1795,$N539)</f>
        <v>0</v>
      </c>
      <c r="Z539" s="32" t="n">
        <f aca="false">INDEX('Tabela Passaro'!$V$2:$V$1795,$N539)</f>
        <v>0</v>
      </c>
      <c r="AA539" s="32" t="n">
        <f aca="false">SUM(R539:Z539)</f>
        <v>93.81579</v>
      </c>
      <c r="AB539" s="33" t="n">
        <f aca="false">INDEX(Premissas!$B$5:$B$13,MATCH(A539,Premissas!$A$5:$A$13,0))</f>
        <v>0.07</v>
      </c>
      <c r="AC539" s="32" t="n">
        <f aca="false">AA539/(1-AB539)-AA539</f>
        <v>7.06140354838711</v>
      </c>
      <c r="AD539" s="32" t="n">
        <f aca="false">ROUND(AA539+AC539,2)</f>
        <v>100.88</v>
      </c>
      <c r="AE539" s="32" t="n">
        <f aca="false">AD539-L539</f>
        <v>-15.87</v>
      </c>
      <c r="AF539" s="34" t="n">
        <f aca="false">IF(L539=0,0,AE539/L539)</f>
        <v>-0.13593147751606</v>
      </c>
      <c r="AG539" s="22" t="str">
        <f aca="false">IF(AD539&lt;L539,"PASSARO","ATUAL")</f>
        <v>PASSARO</v>
      </c>
      <c r="AH539" s="22" t="str">
        <f aca="false">IF(P539&lt;&gt;A539,"Faixa cadastrada como "&amp;P539&amp;" na tabela; preço aplicado pela UF do CEP","")</f>
        <v/>
      </c>
      <c r="AI539" s="26" t="n">
        <v>120.49</v>
      </c>
      <c r="AJ539" s="22" t="str">
        <f aca="false">INDEX('Tabela Passaro'!$X$2:$X$1795,$N539)</f>
        <v>CAPITAL</v>
      </c>
    </row>
    <row r="540" customFormat="false" ht="15" hidden="false" customHeight="false" outlineLevel="0" collapsed="false">
      <c r="A540" s="22" t="s">
        <v>16</v>
      </c>
      <c r="B540" s="22" t="n">
        <v>3</v>
      </c>
      <c r="C540" s="22" t="s">
        <v>79</v>
      </c>
      <c r="D540" s="22" t="s">
        <v>30</v>
      </c>
      <c r="E540" s="22" t="s">
        <v>7326</v>
      </c>
      <c r="F540" s="22" t="n">
        <v>527415</v>
      </c>
      <c r="G540" s="30" t="n">
        <v>46259</v>
      </c>
      <c r="H540" s="22" t="n">
        <v>629266</v>
      </c>
      <c r="I540" s="22" t="s">
        <v>7815</v>
      </c>
      <c r="J540" s="31" t="n">
        <v>44.5</v>
      </c>
      <c r="K540" s="26" t="n">
        <v>985.19</v>
      </c>
      <c r="L540" s="26" t="n">
        <v>174.01</v>
      </c>
      <c r="M540" s="22" t="s">
        <v>684</v>
      </c>
      <c r="N540" s="22" t="n">
        <f aca="false">MATCH(M540,'Tabela Passaro'!$A$2:$A$1795,0)</f>
        <v>103</v>
      </c>
      <c r="O540" s="22" t="str">
        <f aca="false">INDEX('Tabela Passaro'!$C$2:$C$1795,$N540)</f>
        <v>CAMACARI</v>
      </c>
      <c r="P540" s="22" t="str">
        <f aca="false">INDEX('Tabela Passaro'!$B$2:$B$1795,$N540)</f>
        <v>BA</v>
      </c>
      <c r="Q540" s="22" t="n">
        <f aca="false">INDEX('Tabela Passaro'!$F$2:$F$1795,$N540)</f>
        <v>6</v>
      </c>
      <c r="R540" s="32" t="n">
        <f aca="false">IF(J540&lt;=10,INDEX('Tabela Passaro'!$G$2:$G$1795,$N540),IF(J540&lt;=30,INDEX('Tabela Passaro'!$H$2:$H$1795,$N540),IF(J540&lt;=50,INDEX('Tabela Passaro'!$I$2:$I$1795,$N540),IF(J540&lt;=70,INDEX('Tabela Passaro'!$J$2:$J$1795,$N540),IF(J540&lt;=100,INDEX('Tabela Passaro'!$K$2:$K$1795,$N540),INDEX('Tabela Passaro'!$K$2:$K$1795,$N540)+(J540-100)*INDEX('Tabela Passaro'!$L$2:$L$1795,$N540))))))</f>
        <v>61.92</v>
      </c>
      <c r="S540" s="32" t="n">
        <f aca="false">K540*INDEX('Tabela Passaro'!$M$2:$M$1795,$N540)</f>
        <v>4.92595</v>
      </c>
      <c r="T540" s="32" t="n">
        <f aca="false">K540*INDEX('Tabela Passaro'!$N$2:$N$1795,$N540)</f>
        <v>1.97038</v>
      </c>
      <c r="U540" s="32" t="n">
        <f aca="false">INDEX('Tabela Passaro'!$O$2:$O$1795,$N540)</f>
        <v>5</v>
      </c>
      <c r="V540" s="32" t="n">
        <f aca="false">ROUNDUP(J540/INDEX('Tabela Passaro'!$Q$2:$Q$1795,$N540),0)*INDEX('Tabela Passaro'!$P$2:$P$1795,$N540)</f>
        <v>5</v>
      </c>
      <c r="W540" s="32" t="n">
        <f aca="false">INDEX('Tabela Passaro'!$R$2:$R$1795,$N540)</f>
        <v>30</v>
      </c>
      <c r="X540" s="32" t="n">
        <f aca="false">ROUNDUP(J540/INDEX('Tabela Passaro'!$T$2:$T$1795,$N540),0)*INDEX('Tabela Passaro'!$S$2:$S$1795,$N540)</f>
        <v>0</v>
      </c>
      <c r="Y540" s="32" t="n">
        <f aca="false">INDEX('Tabela Passaro'!$U$2:$U$1795,$N540)</f>
        <v>0</v>
      </c>
      <c r="Z540" s="32" t="n">
        <f aca="false">INDEX('Tabela Passaro'!$V$2:$V$1795,$N540)</f>
        <v>0</v>
      </c>
      <c r="AA540" s="32" t="n">
        <f aca="false">SUM(R540:Z540)</f>
        <v>108.81633</v>
      </c>
      <c r="AB540" s="33" t="n">
        <f aca="false">INDEX(Premissas!$B$5:$B$13,MATCH(A540,Premissas!$A$5:$A$13,0))</f>
        <v>0.07</v>
      </c>
      <c r="AC540" s="32" t="n">
        <f aca="false">AA540/(1-AB540)-AA540</f>
        <v>8.19047645161291</v>
      </c>
      <c r="AD540" s="32" t="n">
        <f aca="false">ROUND(AA540+AC540,2)</f>
        <v>117.01</v>
      </c>
      <c r="AE540" s="32" t="n">
        <f aca="false">AD540-L540</f>
        <v>-57</v>
      </c>
      <c r="AF540" s="34" t="n">
        <f aca="false">IF(L540=0,0,AE540/L540)</f>
        <v>-0.327567381184989</v>
      </c>
      <c r="AG540" s="22" t="str">
        <f aca="false">IF(AD540&lt;L540,"PASSARO","ATUAL")</f>
        <v>PASSARO</v>
      </c>
      <c r="AH540" s="22" t="str">
        <f aca="false">IF(P540&lt;&gt;A540,"Faixa cadastrada como "&amp;P540&amp;" na tabela; preço aplicado pela UF do CEP","")</f>
        <v/>
      </c>
      <c r="AI540" s="26" t="n">
        <v>147.02</v>
      </c>
      <c r="AJ540" s="22" t="str">
        <f aca="false">INDEX('Tabela Passaro'!$X$2:$X$1795,$N540)</f>
        <v>CAPITAL</v>
      </c>
    </row>
    <row r="541" customFormat="false" ht="15" hidden="false" customHeight="false" outlineLevel="0" collapsed="false">
      <c r="A541" s="22" t="s">
        <v>16</v>
      </c>
      <c r="B541" s="22" t="n">
        <v>3</v>
      </c>
      <c r="C541" s="22" t="s">
        <v>79</v>
      </c>
      <c r="D541" s="22" t="s">
        <v>30</v>
      </c>
      <c r="E541" s="22" t="s">
        <v>7328</v>
      </c>
      <c r="F541" s="22" t="n">
        <v>2316568</v>
      </c>
      <c r="G541" s="30" t="n">
        <v>46260</v>
      </c>
      <c r="H541" s="22" t="n">
        <v>135881</v>
      </c>
      <c r="I541" s="22" t="s">
        <v>7814</v>
      </c>
      <c r="J541" s="31" t="n">
        <v>51.2</v>
      </c>
      <c r="K541" s="26" t="n">
        <v>837.12</v>
      </c>
      <c r="L541" s="26" t="n">
        <v>189.14</v>
      </c>
      <c r="M541" s="22" t="s">
        <v>684</v>
      </c>
      <c r="N541" s="22" t="n">
        <f aca="false">MATCH(M541,'Tabela Passaro'!$A$2:$A$1795,0)</f>
        <v>103</v>
      </c>
      <c r="O541" s="22" t="str">
        <f aca="false">INDEX('Tabela Passaro'!$C$2:$C$1795,$N541)</f>
        <v>CAMACARI</v>
      </c>
      <c r="P541" s="22" t="str">
        <f aca="false">INDEX('Tabela Passaro'!$B$2:$B$1795,$N541)</f>
        <v>BA</v>
      </c>
      <c r="Q541" s="22" t="n">
        <f aca="false">INDEX('Tabela Passaro'!$F$2:$F$1795,$N541)</f>
        <v>6</v>
      </c>
      <c r="R541" s="32" t="n">
        <f aca="false">IF(J541&lt;=10,INDEX('Tabela Passaro'!$G$2:$G$1795,$N541),IF(J541&lt;=30,INDEX('Tabela Passaro'!$H$2:$H$1795,$N541),IF(J541&lt;=50,INDEX('Tabela Passaro'!$I$2:$I$1795,$N541),IF(J541&lt;=70,INDEX('Tabela Passaro'!$J$2:$J$1795,$N541),IF(J541&lt;=100,INDEX('Tabela Passaro'!$K$2:$K$1795,$N541),INDEX('Tabela Passaro'!$K$2:$K$1795,$N541)+(J541-100)*INDEX('Tabela Passaro'!$L$2:$L$1795,$N541))))))</f>
        <v>73.44</v>
      </c>
      <c r="S541" s="32" t="n">
        <f aca="false">K541*INDEX('Tabela Passaro'!$M$2:$M$1795,$N541)</f>
        <v>4.1856</v>
      </c>
      <c r="T541" s="32" t="n">
        <f aca="false">K541*INDEX('Tabela Passaro'!$N$2:$N$1795,$N541)</f>
        <v>1.67424</v>
      </c>
      <c r="U541" s="32" t="n">
        <f aca="false">INDEX('Tabela Passaro'!$O$2:$O$1795,$N541)</f>
        <v>5</v>
      </c>
      <c r="V541" s="32" t="n">
        <f aca="false">ROUNDUP(J541/INDEX('Tabela Passaro'!$Q$2:$Q$1795,$N541),0)*INDEX('Tabela Passaro'!$P$2:$P$1795,$N541)</f>
        <v>5</v>
      </c>
      <c r="W541" s="32" t="n">
        <f aca="false">INDEX('Tabela Passaro'!$R$2:$R$1795,$N541)</f>
        <v>30</v>
      </c>
      <c r="X541" s="32" t="n">
        <f aca="false">ROUNDUP(J541/INDEX('Tabela Passaro'!$T$2:$T$1795,$N541),0)*INDEX('Tabela Passaro'!$S$2:$S$1795,$N541)</f>
        <v>0</v>
      </c>
      <c r="Y541" s="32" t="n">
        <f aca="false">INDEX('Tabela Passaro'!$U$2:$U$1795,$N541)</f>
        <v>0</v>
      </c>
      <c r="Z541" s="32" t="n">
        <f aca="false">INDEX('Tabela Passaro'!$V$2:$V$1795,$N541)</f>
        <v>0</v>
      </c>
      <c r="AA541" s="32" t="n">
        <f aca="false">SUM(R541:Z541)</f>
        <v>119.29984</v>
      </c>
      <c r="AB541" s="33" t="n">
        <f aca="false">INDEX(Premissas!$B$5:$B$13,MATCH(A541,Premissas!$A$5:$A$13,0))</f>
        <v>0.07</v>
      </c>
      <c r="AC541" s="32" t="n">
        <f aca="false">AA541/(1-AB541)-AA541</f>
        <v>8.97955784946238</v>
      </c>
      <c r="AD541" s="32" t="n">
        <f aca="false">ROUND(AA541+AC541,2)</f>
        <v>128.28</v>
      </c>
      <c r="AE541" s="32" t="n">
        <f aca="false">AD541-L541</f>
        <v>-60.86</v>
      </c>
      <c r="AF541" s="34" t="n">
        <f aca="false">IF(L541=0,0,AE541/L541)</f>
        <v>-0.321772232208946</v>
      </c>
      <c r="AG541" s="22" t="str">
        <f aca="false">IF(AD541&lt;L541,"PASSARO","ATUAL")</f>
        <v>PASSARO</v>
      </c>
      <c r="AH541" s="22" t="str">
        <f aca="false">IF(P541&lt;&gt;A541,"Faixa cadastrada como "&amp;P541&amp;" na tabela; preço aplicado pela UF do CEP","")</f>
        <v/>
      </c>
      <c r="AI541" s="26" t="n">
        <v>161.5</v>
      </c>
      <c r="AJ541" s="22" t="str">
        <f aca="false">INDEX('Tabela Passaro'!$X$2:$X$1795,$N541)</f>
        <v>CAPITAL</v>
      </c>
    </row>
    <row r="542" customFormat="false" ht="15" hidden="false" customHeight="false" outlineLevel="0" collapsed="false">
      <c r="A542" s="22" t="s">
        <v>16</v>
      </c>
      <c r="B542" s="22" t="n">
        <v>3</v>
      </c>
      <c r="C542" s="22" t="s">
        <v>79</v>
      </c>
      <c r="D542" s="22" t="s">
        <v>30</v>
      </c>
      <c r="E542" s="22" t="s">
        <v>7328</v>
      </c>
      <c r="F542" s="22" t="n">
        <v>2316595</v>
      </c>
      <c r="G542" s="30" t="n">
        <v>46260</v>
      </c>
      <c r="H542" s="22" t="n">
        <v>135906</v>
      </c>
      <c r="I542" s="22" t="s">
        <v>7816</v>
      </c>
      <c r="J542" s="31" t="n">
        <v>33</v>
      </c>
      <c r="K542" s="26" t="n">
        <v>663.99</v>
      </c>
      <c r="L542" s="26" t="n">
        <v>151.9</v>
      </c>
      <c r="M542" s="22" t="s">
        <v>684</v>
      </c>
      <c r="N542" s="22" t="n">
        <f aca="false">MATCH(M542,'Tabela Passaro'!$A$2:$A$1795,0)</f>
        <v>103</v>
      </c>
      <c r="O542" s="22" t="str">
        <f aca="false">INDEX('Tabela Passaro'!$C$2:$C$1795,$N542)</f>
        <v>CAMACARI</v>
      </c>
      <c r="P542" s="22" t="str">
        <f aca="false">INDEX('Tabela Passaro'!$B$2:$B$1795,$N542)</f>
        <v>BA</v>
      </c>
      <c r="Q542" s="22" t="n">
        <f aca="false">INDEX('Tabela Passaro'!$F$2:$F$1795,$N542)</f>
        <v>6</v>
      </c>
      <c r="R542" s="32" t="n">
        <f aca="false">IF(J542&lt;=10,INDEX('Tabela Passaro'!$G$2:$G$1795,$N542),IF(J542&lt;=30,INDEX('Tabela Passaro'!$H$2:$H$1795,$N542),IF(J542&lt;=50,INDEX('Tabela Passaro'!$I$2:$I$1795,$N542),IF(J542&lt;=70,INDEX('Tabela Passaro'!$J$2:$J$1795,$N542),IF(J542&lt;=100,INDEX('Tabela Passaro'!$K$2:$K$1795,$N542),INDEX('Tabela Passaro'!$K$2:$K$1795,$N542)+(J542-100)*INDEX('Tabela Passaro'!$L$2:$L$1795,$N542))))))</f>
        <v>61.92</v>
      </c>
      <c r="S542" s="32" t="n">
        <f aca="false">K542*INDEX('Tabela Passaro'!$M$2:$M$1795,$N542)</f>
        <v>3.31995</v>
      </c>
      <c r="T542" s="32" t="n">
        <f aca="false">K542*INDEX('Tabela Passaro'!$N$2:$N$1795,$N542)</f>
        <v>1.32798</v>
      </c>
      <c r="U542" s="32" t="n">
        <f aca="false">INDEX('Tabela Passaro'!$O$2:$O$1795,$N542)</f>
        <v>5</v>
      </c>
      <c r="V542" s="32" t="n">
        <f aca="false">ROUNDUP(J542/INDEX('Tabela Passaro'!$Q$2:$Q$1795,$N542),0)*INDEX('Tabela Passaro'!$P$2:$P$1795,$N542)</f>
        <v>5</v>
      </c>
      <c r="W542" s="32" t="n">
        <f aca="false">INDEX('Tabela Passaro'!$R$2:$R$1795,$N542)</f>
        <v>30</v>
      </c>
      <c r="X542" s="32" t="n">
        <f aca="false">ROUNDUP(J542/INDEX('Tabela Passaro'!$T$2:$T$1795,$N542),0)*INDEX('Tabela Passaro'!$S$2:$S$1795,$N542)</f>
        <v>0</v>
      </c>
      <c r="Y542" s="32" t="n">
        <f aca="false">INDEX('Tabela Passaro'!$U$2:$U$1795,$N542)</f>
        <v>0</v>
      </c>
      <c r="Z542" s="32" t="n">
        <f aca="false">INDEX('Tabela Passaro'!$V$2:$V$1795,$N542)</f>
        <v>0</v>
      </c>
      <c r="AA542" s="32" t="n">
        <f aca="false">SUM(R542:Z542)</f>
        <v>106.56793</v>
      </c>
      <c r="AB542" s="33" t="n">
        <f aca="false">INDEX(Premissas!$B$5:$B$13,MATCH(A542,Premissas!$A$5:$A$13,0))</f>
        <v>0.07</v>
      </c>
      <c r="AC542" s="32" t="n">
        <f aca="false">AA542/(1-AB542)-AA542</f>
        <v>8.02124204301076</v>
      </c>
      <c r="AD542" s="32" t="n">
        <f aca="false">ROUND(AA542+AC542,2)</f>
        <v>114.59</v>
      </c>
      <c r="AE542" s="32" t="n">
        <f aca="false">AD542-L542</f>
        <v>-37.31</v>
      </c>
      <c r="AF542" s="34" t="n">
        <f aca="false">IF(L542=0,0,AE542/L542)</f>
        <v>-0.245622119815668</v>
      </c>
      <c r="AG542" s="22" t="str">
        <f aca="false">IF(AD542&lt;L542,"PASSARO","ATUAL")</f>
        <v>PASSARO</v>
      </c>
      <c r="AH542" s="22" t="str">
        <f aca="false">IF(P542&lt;&gt;A542,"Faixa cadastrada como "&amp;P542&amp;" na tabela; preço aplicado pela UF do CEP","")</f>
        <v/>
      </c>
      <c r="AI542" s="26" t="n">
        <v>138.1</v>
      </c>
      <c r="AJ542" s="22" t="str">
        <f aca="false">INDEX('Tabela Passaro'!$X$2:$X$1795,$N542)</f>
        <v>CAPITAL</v>
      </c>
    </row>
    <row r="543" customFormat="false" ht="15" hidden="false" customHeight="false" outlineLevel="0" collapsed="false">
      <c r="A543" s="22" t="s">
        <v>16</v>
      </c>
      <c r="B543" s="22" t="n">
        <v>3</v>
      </c>
      <c r="C543" s="22" t="s">
        <v>79</v>
      </c>
      <c r="D543" s="22" t="s">
        <v>30</v>
      </c>
      <c r="E543" s="22" t="s">
        <v>7326</v>
      </c>
      <c r="F543" s="22" t="n">
        <v>527761</v>
      </c>
      <c r="G543" s="30" t="n">
        <v>46260</v>
      </c>
      <c r="H543" s="22" t="n">
        <v>629459</v>
      </c>
      <c r="I543" s="22" t="s">
        <v>7817</v>
      </c>
      <c r="J543" s="31" t="n">
        <v>29</v>
      </c>
      <c r="K543" s="26" t="n">
        <v>450.43</v>
      </c>
      <c r="L543" s="26" t="n">
        <v>126.35</v>
      </c>
      <c r="M543" s="22" t="s">
        <v>684</v>
      </c>
      <c r="N543" s="22" t="n">
        <f aca="false">MATCH(M543,'Tabela Passaro'!$A$2:$A$1795,0)</f>
        <v>103</v>
      </c>
      <c r="O543" s="22" t="str">
        <f aca="false">INDEX('Tabela Passaro'!$C$2:$C$1795,$N543)</f>
        <v>CAMACARI</v>
      </c>
      <c r="P543" s="22" t="str">
        <f aca="false">INDEX('Tabela Passaro'!$B$2:$B$1795,$N543)</f>
        <v>BA</v>
      </c>
      <c r="Q543" s="22" t="n">
        <f aca="false">INDEX('Tabela Passaro'!$F$2:$F$1795,$N543)</f>
        <v>6</v>
      </c>
      <c r="R543" s="32" t="n">
        <f aca="false">IF(J543&lt;=10,INDEX('Tabela Passaro'!$G$2:$G$1795,$N543),IF(J543&lt;=30,INDEX('Tabela Passaro'!$H$2:$H$1795,$N543),IF(J543&lt;=50,INDEX('Tabela Passaro'!$I$2:$I$1795,$N543),IF(J543&lt;=70,INDEX('Tabela Passaro'!$J$2:$J$1795,$N543),IF(J543&lt;=100,INDEX('Tabela Passaro'!$K$2:$K$1795,$N543),INDEX('Tabela Passaro'!$K$2:$K$1795,$N543)+(J543-100)*INDEX('Tabela Passaro'!$L$2:$L$1795,$N543))))))</f>
        <v>50.4</v>
      </c>
      <c r="S543" s="32" t="n">
        <f aca="false">K543*INDEX('Tabela Passaro'!$M$2:$M$1795,$N543)</f>
        <v>2.25215</v>
      </c>
      <c r="T543" s="32" t="n">
        <f aca="false">K543*INDEX('Tabela Passaro'!$N$2:$N$1795,$N543)</f>
        <v>0.90086</v>
      </c>
      <c r="U543" s="32" t="n">
        <f aca="false">INDEX('Tabela Passaro'!$O$2:$O$1795,$N543)</f>
        <v>5</v>
      </c>
      <c r="V543" s="32" t="n">
        <f aca="false">ROUNDUP(J543/INDEX('Tabela Passaro'!$Q$2:$Q$1795,$N543),0)*INDEX('Tabela Passaro'!$P$2:$P$1795,$N543)</f>
        <v>5</v>
      </c>
      <c r="W543" s="32" t="n">
        <f aca="false">INDEX('Tabela Passaro'!$R$2:$R$1795,$N543)</f>
        <v>30</v>
      </c>
      <c r="X543" s="32" t="n">
        <f aca="false">ROUNDUP(J543/INDEX('Tabela Passaro'!$T$2:$T$1795,$N543),0)*INDEX('Tabela Passaro'!$S$2:$S$1795,$N543)</f>
        <v>0</v>
      </c>
      <c r="Y543" s="32" t="n">
        <f aca="false">INDEX('Tabela Passaro'!$U$2:$U$1795,$N543)</f>
        <v>0</v>
      </c>
      <c r="Z543" s="32" t="n">
        <f aca="false">INDEX('Tabela Passaro'!$V$2:$V$1795,$N543)</f>
        <v>0</v>
      </c>
      <c r="AA543" s="32" t="n">
        <f aca="false">SUM(R543:Z543)</f>
        <v>93.55301</v>
      </c>
      <c r="AB543" s="33" t="n">
        <f aca="false">INDEX(Premissas!$B$5:$B$13,MATCH(A543,Premissas!$A$5:$A$13,0))</f>
        <v>0.07</v>
      </c>
      <c r="AC543" s="32" t="n">
        <f aca="false">AA543/(1-AB543)-AA543</f>
        <v>7.04162440860216</v>
      </c>
      <c r="AD543" s="32" t="n">
        <f aca="false">ROUND(AA543+AC543,2)</f>
        <v>100.59</v>
      </c>
      <c r="AE543" s="32" t="n">
        <f aca="false">AD543-L543</f>
        <v>-25.76</v>
      </c>
      <c r="AF543" s="34" t="n">
        <f aca="false">IF(L543=0,0,AE543/L543)</f>
        <v>-0.20387811634349</v>
      </c>
      <c r="AG543" s="22" t="str">
        <f aca="false">IF(AD543&lt;L543,"PASSARO","ATUAL")</f>
        <v>PASSARO</v>
      </c>
      <c r="AH543" s="22" t="str">
        <f aca="false">IF(P543&lt;&gt;A543,"Faixa cadastrada como "&amp;P543&amp;" na tabela; preço aplicado pela UF do CEP","")</f>
        <v/>
      </c>
      <c r="AI543" s="26" t="n">
        <v>121.57</v>
      </c>
      <c r="AJ543" s="22" t="str">
        <f aca="false">INDEX('Tabela Passaro'!$X$2:$X$1795,$N543)</f>
        <v>CAPITAL</v>
      </c>
    </row>
    <row r="544" customFormat="false" ht="15" hidden="false" customHeight="false" outlineLevel="0" collapsed="false">
      <c r="A544" s="22" t="s">
        <v>16</v>
      </c>
      <c r="B544" s="22" t="n">
        <v>3</v>
      </c>
      <c r="C544" s="22" t="s">
        <v>79</v>
      </c>
      <c r="D544" s="22" t="s">
        <v>30</v>
      </c>
      <c r="E544" s="22" t="s">
        <v>20</v>
      </c>
      <c r="F544" s="22" t="n">
        <v>840668</v>
      </c>
      <c r="G544" s="30" t="n">
        <v>46265</v>
      </c>
      <c r="H544" s="22" t="n">
        <v>32868</v>
      </c>
      <c r="I544" s="22" t="s">
        <v>7818</v>
      </c>
      <c r="J544" s="31" t="n">
        <v>51.06</v>
      </c>
      <c r="K544" s="26" t="n">
        <v>909.88</v>
      </c>
      <c r="L544" s="26" t="n">
        <v>190.41</v>
      </c>
      <c r="M544" s="22" t="s">
        <v>684</v>
      </c>
      <c r="N544" s="22" t="n">
        <f aca="false">MATCH(M544,'Tabela Passaro'!$A$2:$A$1795,0)</f>
        <v>103</v>
      </c>
      <c r="O544" s="22" t="str">
        <f aca="false">INDEX('Tabela Passaro'!$C$2:$C$1795,$N544)</f>
        <v>CAMACARI</v>
      </c>
      <c r="P544" s="22" t="str">
        <f aca="false">INDEX('Tabela Passaro'!$B$2:$B$1795,$N544)</f>
        <v>BA</v>
      </c>
      <c r="Q544" s="22" t="n">
        <f aca="false">INDEX('Tabela Passaro'!$F$2:$F$1795,$N544)</f>
        <v>6</v>
      </c>
      <c r="R544" s="32" t="n">
        <f aca="false">IF(J544&lt;=10,INDEX('Tabela Passaro'!$G$2:$G$1795,$N544),IF(J544&lt;=30,INDEX('Tabela Passaro'!$H$2:$H$1795,$N544),IF(J544&lt;=50,INDEX('Tabela Passaro'!$I$2:$I$1795,$N544),IF(J544&lt;=70,INDEX('Tabela Passaro'!$J$2:$J$1795,$N544),IF(J544&lt;=100,INDEX('Tabela Passaro'!$K$2:$K$1795,$N544),INDEX('Tabela Passaro'!$K$2:$K$1795,$N544)+(J544-100)*INDEX('Tabela Passaro'!$L$2:$L$1795,$N544))))))</f>
        <v>73.44</v>
      </c>
      <c r="S544" s="32" t="n">
        <f aca="false">K544*INDEX('Tabela Passaro'!$M$2:$M$1795,$N544)</f>
        <v>4.5494</v>
      </c>
      <c r="T544" s="32" t="n">
        <f aca="false">K544*INDEX('Tabela Passaro'!$N$2:$N$1795,$N544)</f>
        <v>1.81976</v>
      </c>
      <c r="U544" s="32" t="n">
        <f aca="false">INDEX('Tabela Passaro'!$O$2:$O$1795,$N544)</f>
        <v>5</v>
      </c>
      <c r="V544" s="32" t="n">
        <f aca="false">ROUNDUP(J544/INDEX('Tabela Passaro'!$Q$2:$Q$1795,$N544),0)*INDEX('Tabela Passaro'!$P$2:$P$1795,$N544)</f>
        <v>5</v>
      </c>
      <c r="W544" s="32" t="n">
        <f aca="false">INDEX('Tabela Passaro'!$R$2:$R$1795,$N544)</f>
        <v>30</v>
      </c>
      <c r="X544" s="32" t="n">
        <f aca="false">ROUNDUP(J544/INDEX('Tabela Passaro'!$T$2:$T$1795,$N544),0)*INDEX('Tabela Passaro'!$S$2:$S$1795,$N544)</f>
        <v>0</v>
      </c>
      <c r="Y544" s="32" t="n">
        <f aca="false">INDEX('Tabela Passaro'!$U$2:$U$1795,$N544)</f>
        <v>0</v>
      </c>
      <c r="Z544" s="32" t="n">
        <f aca="false">INDEX('Tabela Passaro'!$V$2:$V$1795,$N544)</f>
        <v>0</v>
      </c>
      <c r="AA544" s="32" t="n">
        <f aca="false">SUM(R544:Z544)</f>
        <v>119.80916</v>
      </c>
      <c r="AB544" s="33" t="n">
        <f aca="false">INDEX(Premissas!$B$5:$B$13,MATCH(A544,Premissas!$A$5:$A$13,0))</f>
        <v>0.07</v>
      </c>
      <c r="AC544" s="32" t="n">
        <f aca="false">AA544/(1-AB544)-AA544</f>
        <v>9.01789376344087</v>
      </c>
      <c r="AD544" s="32" t="n">
        <f aca="false">ROUND(AA544+AC544,2)</f>
        <v>128.83</v>
      </c>
      <c r="AE544" s="32" t="n">
        <f aca="false">AD544-L544</f>
        <v>-61.58</v>
      </c>
      <c r="AF544" s="34" t="n">
        <f aca="false">IF(L544=0,0,AE544/L544)</f>
        <v>-0.323407384065963</v>
      </c>
      <c r="AG544" s="22" t="str">
        <f aca="false">IF(AD544&lt;L544,"PASSARO","ATUAL")</f>
        <v>PASSARO</v>
      </c>
      <c r="AH544" s="22" t="str">
        <f aca="false">IF(P544&lt;&gt;A544,"Faixa cadastrada como "&amp;P544&amp;" na tabela; preço aplicado pela UF do CEP","")</f>
        <v/>
      </c>
      <c r="AI544" s="26" t="n">
        <v>162.2</v>
      </c>
      <c r="AJ544" s="22" t="str">
        <f aca="false">INDEX('Tabela Passaro'!$X$2:$X$1795,$N544)</f>
        <v>CAPITAL</v>
      </c>
    </row>
    <row r="545" customFormat="false" ht="15" hidden="false" customHeight="false" outlineLevel="0" collapsed="false">
      <c r="A545" s="22" t="s">
        <v>16</v>
      </c>
      <c r="B545" s="22" t="n">
        <v>3</v>
      </c>
      <c r="C545" s="22" t="s">
        <v>79</v>
      </c>
      <c r="D545" s="22" t="s">
        <v>31</v>
      </c>
      <c r="E545" s="22" t="s">
        <v>7326</v>
      </c>
      <c r="F545" s="22" t="n">
        <v>12767577</v>
      </c>
      <c r="G545" s="30" t="n">
        <v>46245</v>
      </c>
      <c r="H545" s="22" t="n">
        <v>622568</v>
      </c>
      <c r="I545" s="22" t="s">
        <v>7819</v>
      </c>
      <c r="J545" s="31" t="n">
        <v>15.15</v>
      </c>
      <c r="K545" s="26" t="n">
        <v>308.48</v>
      </c>
      <c r="L545" s="26" t="n">
        <v>41.89</v>
      </c>
      <c r="M545" s="22" t="s">
        <v>684</v>
      </c>
      <c r="N545" s="22" t="n">
        <f aca="false">MATCH(M545,'Tabela Passaro'!$A$2:$A$1795,0)</f>
        <v>103</v>
      </c>
      <c r="O545" s="22" t="str">
        <f aca="false">INDEX('Tabela Passaro'!$C$2:$C$1795,$N545)</f>
        <v>CAMACARI</v>
      </c>
      <c r="P545" s="22" t="str">
        <f aca="false">INDEX('Tabela Passaro'!$B$2:$B$1795,$N545)</f>
        <v>BA</v>
      </c>
      <c r="Q545" s="22" t="n">
        <f aca="false">INDEX('Tabela Passaro'!$F$2:$F$1795,$N545)</f>
        <v>6</v>
      </c>
      <c r="R545" s="32" t="n">
        <f aca="false">IF(J545&lt;=10,INDEX('Tabela Passaro'!$G$2:$G$1795,$N545),IF(J545&lt;=30,INDEX('Tabela Passaro'!$H$2:$H$1795,$N545),IF(J545&lt;=50,INDEX('Tabela Passaro'!$I$2:$I$1795,$N545),IF(J545&lt;=70,INDEX('Tabela Passaro'!$J$2:$J$1795,$N545),IF(J545&lt;=100,INDEX('Tabela Passaro'!$K$2:$K$1795,$N545),INDEX('Tabela Passaro'!$K$2:$K$1795,$N545)+(J545-100)*INDEX('Tabela Passaro'!$L$2:$L$1795,$N545))))))</f>
        <v>50.4</v>
      </c>
      <c r="S545" s="32" t="n">
        <f aca="false">K545*INDEX('Tabela Passaro'!$M$2:$M$1795,$N545)</f>
        <v>1.5424</v>
      </c>
      <c r="T545" s="32" t="n">
        <f aca="false">K545*INDEX('Tabela Passaro'!$N$2:$N$1795,$N545)</f>
        <v>0.61696</v>
      </c>
      <c r="U545" s="32" t="n">
        <f aca="false">INDEX('Tabela Passaro'!$O$2:$O$1795,$N545)</f>
        <v>5</v>
      </c>
      <c r="V545" s="32" t="n">
        <f aca="false">ROUNDUP(J545/INDEX('Tabela Passaro'!$Q$2:$Q$1795,$N545),0)*INDEX('Tabela Passaro'!$P$2:$P$1795,$N545)</f>
        <v>5</v>
      </c>
      <c r="W545" s="32" t="n">
        <f aca="false">INDEX('Tabela Passaro'!$R$2:$R$1795,$N545)</f>
        <v>30</v>
      </c>
      <c r="X545" s="32" t="n">
        <f aca="false">ROUNDUP(J545/INDEX('Tabela Passaro'!$T$2:$T$1795,$N545),0)*INDEX('Tabela Passaro'!$S$2:$S$1795,$N545)</f>
        <v>0</v>
      </c>
      <c r="Y545" s="32" t="n">
        <f aca="false">INDEX('Tabela Passaro'!$U$2:$U$1795,$N545)</f>
        <v>0</v>
      </c>
      <c r="Z545" s="32" t="n">
        <f aca="false">INDEX('Tabela Passaro'!$V$2:$V$1795,$N545)</f>
        <v>0</v>
      </c>
      <c r="AA545" s="32" t="n">
        <f aca="false">SUM(R545:Z545)</f>
        <v>92.55936</v>
      </c>
      <c r="AB545" s="33" t="n">
        <f aca="false">INDEX(Premissas!$B$5:$B$13,MATCH(A545,Premissas!$A$5:$A$13,0))</f>
        <v>0.07</v>
      </c>
      <c r="AC545" s="32" t="n">
        <f aca="false">AA545/(1-AB545)-AA545</f>
        <v>6.9668335483871</v>
      </c>
      <c r="AD545" s="32" t="n">
        <f aca="false">ROUND(AA545+AC545,2)</f>
        <v>99.53</v>
      </c>
      <c r="AE545" s="32" t="n">
        <f aca="false">AD545-L545</f>
        <v>57.64</v>
      </c>
      <c r="AF545" s="34" t="n">
        <f aca="false">IF(L545=0,0,AE545/L545)</f>
        <v>1.37598472189067</v>
      </c>
      <c r="AG545" s="22" t="str">
        <f aca="false">IF(AD545&lt;L545,"PASSARO","ATUAL")</f>
        <v>ATUAL</v>
      </c>
      <c r="AH545" s="22" t="str">
        <f aca="false">IF(P545&lt;&gt;A545,"Faixa cadastrada como "&amp;P545&amp;" na tabela; preço aplicado pela UF do CEP","")</f>
        <v/>
      </c>
      <c r="AI545" s="26" t="n">
        <v>113.91</v>
      </c>
      <c r="AJ545" s="22" t="str">
        <f aca="false">INDEX('Tabela Passaro'!$X$2:$X$1795,$N545)</f>
        <v>CAPITAL</v>
      </c>
    </row>
    <row r="546" customFormat="false" ht="15" hidden="false" customHeight="false" outlineLevel="0" collapsed="false">
      <c r="A546" s="22" t="s">
        <v>16</v>
      </c>
      <c r="B546" s="22" t="n">
        <v>4</v>
      </c>
      <c r="C546" s="22" t="s">
        <v>81</v>
      </c>
      <c r="D546" s="22" t="s">
        <v>30</v>
      </c>
      <c r="E546" s="22" t="s">
        <v>20</v>
      </c>
      <c r="F546" s="22" t="n">
        <v>837744</v>
      </c>
      <c r="G546" s="30" t="n">
        <v>46238</v>
      </c>
      <c r="H546" s="22" t="n">
        <v>32383</v>
      </c>
      <c r="I546" s="22" t="s">
        <v>7820</v>
      </c>
      <c r="J546" s="31" t="n">
        <v>45</v>
      </c>
      <c r="K546" s="26" t="n">
        <v>683.9</v>
      </c>
      <c r="L546" s="26" t="n">
        <v>152.41</v>
      </c>
      <c r="M546" s="22" t="s">
        <v>2091</v>
      </c>
      <c r="N546" s="22" t="n">
        <f aca="false">MATCH(M546,'Tabela Passaro'!$A$2:$A$1795,0)</f>
        <v>457</v>
      </c>
      <c r="O546" s="22" t="str">
        <f aca="false">INDEX('Tabela Passaro'!$C$2:$C$1795,$N546)</f>
        <v>VITORIA DA CONQUISTA</v>
      </c>
      <c r="P546" s="22" t="str">
        <f aca="false">INDEX('Tabela Passaro'!$B$2:$B$1795,$N546)</f>
        <v>BA</v>
      </c>
      <c r="Q546" s="22" t="n">
        <f aca="false">INDEX('Tabela Passaro'!$F$2:$F$1795,$N546)</f>
        <v>9</v>
      </c>
      <c r="R546" s="32" t="n">
        <f aca="false">IF(J546&lt;=10,INDEX('Tabela Passaro'!$G$2:$G$1795,$N546),IF(J546&lt;=30,INDEX('Tabela Passaro'!$H$2:$H$1795,$N546),IF(J546&lt;=50,INDEX('Tabela Passaro'!$I$2:$I$1795,$N546),IF(J546&lt;=70,INDEX('Tabela Passaro'!$J$2:$J$1795,$N546),IF(J546&lt;=100,INDEX('Tabela Passaro'!$K$2:$K$1795,$N546),INDEX('Tabela Passaro'!$K$2:$K$1795,$N546)+(J546-100)*INDEX('Tabela Passaro'!$L$2:$L$1795,$N546))))))</f>
        <v>89.14</v>
      </c>
      <c r="S546" s="32" t="n">
        <f aca="false">K546*INDEX('Tabela Passaro'!$M$2:$M$1795,$N546)</f>
        <v>3.4195</v>
      </c>
      <c r="T546" s="32" t="n">
        <f aca="false">K546*INDEX('Tabela Passaro'!$N$2:$N$1795,$N546)</f>
        <v>1.3678</v>
      </c>
      <c r="U546" s="32" t="n">
        <f aca="false">INDEX('Tabela Passaro'!$O$2:$O$1795,$N546)</f>
        <v>5</v>
      </c>
      <c r="V546" s="32" t="n">
        <f aca="false">ROUNDUP(J546/INDEX('Tabela Passaro'!$Q$2:$Q$1795,$N546),0)*INDEX('Tabela Passaro'!$P$2:$P$1795,$N546)</f>
        <v>5</v>
      </c>
      <c r="W546" s="32" t="n">
        <f aca="false">INDEX('Tabela Passaro'!$R$2:$R$1795,$N546)</f>
        <v>30</v>
      </c>
      <c r="X546" s="32" t="n">
        <f aca="false">ROUNDUP(J546/INDEX('Tabela Passaro'!$T$2:$T$1795,$N546),0)*INDEX('Tabela Passaro'!$S$2:$S$1795,$N546)</f>
        <v>0</v>
      </c>
      <c r="Y546" s="32" t="n">
        <f aca="false">INDEX('Tabela Passaro'!$U$2:$U$1795,$N546)</f>
        <v>0</v>
      </c>
      <c r="Z546" s="32" t="n">
        <f aca="false">INDEX('Tabela Passaro'!$V$2:$V$1795,$N546)</f>
        <v>0</v>
      </c>
      <c r="AA546" s="32" t="n">
        <f aca="false">SUM(R546:Z546)</f>
        <v>133.9273</v>
      </c>
      <c r="AB546" s="33" t="n">
        <f aca="false">INDEX(Premissas!$B$5:$B$13,MATCH(A546,Premissas!$A$5:$A$13,0))</f>
        <v>0.07</v>
      </c>
      <c r="AC546" s="32" t="n">
        <f aca="false">AA546/(1-AB546)-AA546</f>
        <v>10.0805494623656</v>
      </c>
      <c r="AD546" s="32" t="n">
        <f aca="false">ROUND(AA546+AC546,2)</f>
        <v>144.01</v>
      </c>
      <c r="AE546" s="32" t="n">
        <f aca="false">AD546-L546</f>
        <v>-8.40000000000001</v>
      </c>
      <c r="AF546" s="34" t="n">
        <f aca="false">IF(L546=0,0,AE546/L546)</f>
        <v>-0.0551144937996195</v>
      </c>
      <c r="AG546" s="22" t="str">
        <f aca="false">IF(AD546&lt;L546,"PASSARO","ATUAL")</f>
        <v>PASSARO</v>
      </c>
      <c r="AH546" s="22" t="str">
        <f aca="false">IF(P546&lt;&gt;A546,"Faixa cadastrada como "&amp;P546&amp;" na tabela; preço aplicado pela UF do CEP","")</f>
        <v/>
      </c>
      <c r="AI546" s="26" t="n">
        <v>157.56</v>
      </c>
      <c r="AJ546" s="22" t="str">
        <f aca="false">INDEX('Tabela Passaro'!$X$2:$X$1795,$N546)</f>
        <v>INTERIOR 2</v>
      </c>
    </row>
    <row r="547" customFormat="false" ht="15" hidden="false" customHeight="false" outlineLevel="0" collapsed="false">
      <c r="A547" s="22" t="s">
        <v>16</v>
      </c>
      <c r="B547" s="22" t="n">
        <v>4</v>
      </c>
      <c r="C547" s="22" t="s">
        <v>81</v>
      </c>
      <c r="D547" s="22" t="s">
        <v>30</v>
      </c>
      <c r="E547" s="22" t="s">
        <v>7326</v>
      </c>
      <c r="F547" s="22" t="n">
        <v>522254</v>
      </c>
      <c r="G547" s="30" t="n">
        <v>46238</v>
      </c>
      <c r="H547" s="22" t="n">
        <v>619736</v>
      </c>
      <c r="I547" s="22" t="s">
        <v>7821</v>
      </c>
      <c r="J547" s="31" t="n">
        <v>181.89</v>
      </c>
      <c r="K547" s="26" t="n">
        <v>2746.99</v>
      </c>
      <c r="L547" s="26" t="n">
        <v>431.24</v>
      </c>
      <c r="M547" s="22" t="s">
        <v>2091</v>
      </c>
      <c r="N547" s="22" t="n">
        <f aca="false">MATCH(M547,'Tabela Passaro'!$A$2:$A$1795,0)</f>
        <v>457</v>
      </c>
      <c r="O547" s="22" t="str">
        <f aca="false">INDEX('Tabela Passaro'!$C$2:$C$1795,$N547)</f>
        <v>VITORIA DA CONQUISTA</v>
      </c>
      <c r="P547" s="22" t="str">
        <f aca="false">INDEX('Tabela Passaro'!$B$2:$B$1795,$N547)</f>
        <v>BA</v>
      </c>
      <c r="Q547" s="22" t="n">
        <f aca="false">INDEX('Tabela Passaro'!$F$2:$F$1795,$N547)</f>
        <v>9</v>
      </c>
      <c r="R547" s="32" t="n">
        <f aca="false">IF(J547&lt;=10,INDEX('Tabela Passaro'!$G$2:$G$1795,$N547),IF(J547&lt;=30,INDEX('Tabela Passaro'!$H$2:$H$1795,$N547),IF(J547&lt;=50,INDEX('Tabela Passaro'!$I$2:$I$1795,$N547),IF(J547&lt;=70,INDEX('Tabela Passaro'!$J$2:$J$1795,$N547),IF(J547&lt;=100,INDEX('Tabela Passaro'!$K$2:$K$1795,$N547),INDEX('Tabela Passaro'!$K$2:$K$1795,$N547)+(J547-100)*INDEX('Tabela Passaro'!$L$2:$L$1795,$N547))))))</f>
        <v>274.3122</v>
      </c>
      <c r="S547" s="32" t="n">
        <f aca="false">K547*INDEX('Tabela Passaro'!$M$2:$M$1795,$N547)</f>
        <v>13.73495</v>
      </c>
      <c r="T547" s="32" t="n">
        <f aca="false">K547*INDEX('Tabela Passaro'!$N$2:$N$1795,$N547)</f>
        <v>5.49398</v>
      </c>
      <c r="U547" s="32" t="n">
        <f aca="false">INDEX('Tabela Passaro'!$O$2:$O$1795,$N547)</f>
        <v>5</v>
      </c>
      <c r="V547" s="32" t="n">
        <f aca="false">ROUNDUP(J547/INDEX('Tabela Passaro'!$Q$2:$Q$1795,$N547),0)*INDEX('Tabela Passaro'!$P$2:$P$1795,$N547)</f>
        <v>10</v>
      </c>
      <c r="W547" s="32" t="n">
        <f aca="false">INDEX('Tabela Passaro'!$R$2:$R$1795,$N547)</f>
        <v>30</v>
      </c>
      <c r="X547" s="32" t="n">
        <f aca="false">ROUNDUP(J547/INDEX('Tabela Passaro'!$T$2:$T$1795,$N547),0)*INDEX('Tabela Passaro'!$S$2:$S$1795,$N547)</f>
        <v>0</v>
      </c>
      <c r="Y547" s="32" t="n">
        <f aca="false">INDEX('Tabela Passaro'!$U$2:$U$1795,$N547)</f>
        <v>0</v>
      </c>
      <c r="Z547" s="32" t="n">
        <f aca="false">INDEX('Tabela Passaro'!$V$2:$V$1795,$N547)</f>
        <v>0</v>
      </c>
      <c r="AA547" s="32" t="n">
        <f aca="false">SUM(R547:Z547)</f>
        <v>338.54113</v>
      </c>
      <c r="AB547" s="33" t="n">
        <f aca="false">INDEX(Premissas!$B$5:$B$13,MATCH(A547,Premissas!$A$5:$A$13,0))</f>
        <v>0.07</v>
      </c>
      <c r="AC547" s="32" t="n">
        <f aca="false">AA547/(1-AB547)-AA547</f>
        <v>25.4815904301075</v>
      </c>
      <c r="AD547" s="32" t="n">
        <f aca="false">ROUND(AA547+AC547,2)</f>
        <v>364.02</v>
      </c>
      <c r="AE547" s="32" t="n">
        <f aca="false">AD547-L547</f>
        <v>-67.22</v>
      </c>
      <c r="AF547" s="34" t="n">
        <f aca="false">IF(L547=0,0,AE547/L547)</f>
        <v>-0.155876078285873</v>
      </c>
      <c r="AG547" s="22" t="str">
        <f aca="false">IF(AD547&lt;L547,"PASSARO","ATUAL")</f>
        <v>PASSARO</v>
      </c>
      <c r="AH547" s="22" t="str">
        <f aca="false">IF(P547&lt;&gt;A547,"Faixa cadastrada como "&amp;P547&amp;" na tabela; preço aplicado pela UF do CEP","")</f>
        <v/>
      </c>
      <c r="AI547" s="26" t="n">
        <v>470.6</v>
      </c>
      <c r="AJ547" s="22" t="str">
        <f aca="false">INDEX('Tabela Passaro'!$X$2:$X$1795,$N547)</f>
        <v>INTERIOR 2</v>
      </c>
    </row>
    <row r="548" customFormat="false" ht="15" hidden="false" customHeight="false" outlineLevel="0" collapsed="false">
      <c r="A548" s="22" t="s">
        <v>16</v>
      </c>
      <c r="B548" s="22" t="n">
        <v>4</v>
      </c>
      <c r="C548" s="22" t="s">
        <v>81</v>
      </c>
      <c r="D548" s="22" t="s">
        <v>30</v>
      </c>
      <c r="E548" s="22" t="s">
        <v>7328</v>
      </c>
      <c r="F548" s="22" t="n">
        <v>2307971</v>
      </c>
      <c r="G548" s="30" t="n">
        <v>46239</v>
      </c>
      <c r="H548" s="22" t="n">
        <v>131959</v>
      </c>
      <c r="I548" s="22" t="s">
        <v>7822</v>
      </c>
      <c r="J548" s="31" t="n">
        <v>39.9</v>
      </c>
      <c r="K548" s="26" t="n">
        <v>754.96</v>
      </c>
      <c r="L548" s="26" t="n">
        <v>152.62</v>
      </c>
      <c r="M548" s="22" t="s">
        <v>2091</v>
      </c>
      <c r="N548" s="22" t="n">
        <f aca="false">MATCH(M548,'Tabela Passaro'!$A$2:$A$1795,0)</f>
        <v>457</v>
      </c>
      <c r="O548" s="22" t="str">
        <f aca="false">INDEX('Tabela Passaro'!$C$2:$C$1795,$N548)</f>
        <v>VITORIA DA CONQUISTA</v>
      </c>
      <c r="P548" s="22" t="str">
        <f aca="false">INDEX('Tabela Passaro'!$B$2:$B$1795,$N548)</f>
        <v>BA</v>
      </c>
      <c r="Q548" s="22" t="n">
        <f aca="false">INDEX('Tabela Passaro'!$F$2:$F$1795,$N548)</f>
        <v>9</v>
      </c>
      <c r="R548" s="32" t="n">
        <f aca="false">IF(J548&lt;=10,INDEX('Tabela Passaro'!$G$2:$G$1795,$N548),IF(J548&lt;=30,INDEX('Tabela Passaro'!$H$2:$H$1795,$N548),IF(J548&lt;=50,INDEX('Tabela Passaro'!$I$2:$I$1795,$N548),IF(J548&lt;=70,INDEX('Tabela Passaro'!$J$2:$J$1795,$N548),IF(J548&lt;=100,INDEX('Tabela Passaro'!$K$2:$K$1795,$N548),INDEX('Tabela Passaro'!$K$2:$K$1795,$N548)+(J548-100)*INDEX('Tabela Passaro'!$L$2:$L$1795,$N548))))))</f>
        <v>89.14</v>
      </c>
      <c r="S548" s="32" t="n">
        <f aca="false">K548*INDEX('Tabela Passaro'!$M$2:$M$1795,$N548)</f>
        <v>3.7748</v>
      </c>
      <c r="T548" s="32" t="n">
        <f aca="false">K548*INDEX('Tabela Passaro'!$N$2:$N$1795,$N548)</f>
        <v>1.50992</v>
      </c>
      <c r="U548" s="32" t="n">
        <f aca="false">INDEX('Tabela Passaro'!$O$2:$O$1795,$N548)</f>
        <v>5</v>
      </c>
      <c r="V548" s="32" t="n">
        <f aca="false">ROUNDUP(J548/INDEX('Tabela Passaro'!$Q$2:$Q$1795,$N548),0)*INDEX('Tabela Passaro'!$P$2:$P$1795,$N548)</f>
        <v>5</v>
      </c>
      <c r="W548" s="32" t="n">
        <f aca="false">INDEX('Tabela Passaro'!$R$2:$R$1795,$N548)</f>
        <v>30</v>
      </c>
      <c r="X548" s="32" t="n">
        <f aca="false">ROUNDUP(J548/INDEX('Tabela Passaro'!$T$2:$T$1795,$N548),0)*INDEX('Tabela Passaro'!$S$2:$S$1795,$N548)</f>
        <v>0</v>
      </c>
      <c r="Y548" s="32" t="n">
        <f aca="false">INDEX('Tabela Passaro'!$U$2:$U$1795,$N548)</f>
        <v>0</v>
      </c>
      <c r="Z548" s="32" t="n">
        <f aca="false">INDEX('Tabela Passaro'!$V$2:$V$1795,$N548)</f>
        <v>0</v>
      </c>
      <c r="AA548" s="32" t="n">
        <f aca="false">SUM(R548:Z548)</f>
        <v>134.42472</v>
      </c>
      <c r="AB548" s="33" t="n">
        <f aca="false">INDEX(Premissas!$B$5:$B$13,MATCH(A548,Premissas!$A$5:$A$13,0))</f>
        <v>0.07</v>
      </c>
      <c r="AC548" s="32" t="n">
        <f aca="false">AA548/(1-AB548)-AA548</f>
        <v>10.1179896774194</v>
      </c>
      <c r="AD548" s="32" t="n">
        <f aca="false">ROUND(AA548+AC548,2)</f>
        <v>144.54</v>
      </c>
      <c r="AE548" s="32" t="n">
        <f aca="false">AD548-L548</f>
        <v>-8.08000000000001</v>
      </c>
      <c r="AF548" s="34" t="n">
        <f aca="false">IF(L548=0,0,AE548/L548)</f>
        <v>-0.0529419473201416</v>
      </c>
      <c r="AG548" s="22" t="str">
        <f aca="false">IF(AD548&lt;L548,"PASSARO","ATUAL")</f>
        <v>PASSARO</v>
      </c>
      <c r="AH548" s="22" t="str">
        <f aca="false">IF(P548&lt;&gt;A548,"Faixa cadastrada como "&amp;P548&amp;" na tabela; preço aplicado pela UF do CEP","")</f>
        <v/>
      </c>
      <c r="AI548" s="26" t="n">
        <v>155.83</v>
      </c>
      <c r="AJ548" s="22" t="str">
        <f aca="false">INDEX('Tabela Passaro'!$X$2:$X$1795,$N548)</f>
        <v>INTERIOR 2</v>
      </c>
    </row>
    <row r="549" customFormat="false" ht="15" hidden="false" customHeight="false" outlineLevel="0" collapsed="false">
      <c r="A549" s="22" t="s">
        <v>16</v>
      </c>
      <c r="B549" s="22" t="n">
        <v>4</v>
      </c>
      <c r="C549" s="22" t="s">
        <v>81</v>
      </c>
      <c r="D549" s="22" t="s">
        <v>30</v>
      </c>
      <c r="E549" s="22" t="s">
        <v>7326</v>
      </c>
      <c r="F549" s="22" t="n">
        <v>522635</v>
      </c>
      <c r="G549" s="30" t="n">
        <v>46239</v>
      </c>
      <c r="H549" s="22" t="n">
        <v>620746</v>
      </c>
      <c r="I549" s="22" t="s">
        <v>7823</v>
      </c>
      <c r="J549" s="31" t="n">
        <v>34.8</v>
      </c>
      <c r="K549" s="26" t="n">
        <v>592.73</v>
      </c>
      <c r="L549" s="26" t="n">
        <v>170.66</v>
      </c>
      <c r="M549" s="22" t="s">
        <v>2091</v>
      </c>
      <c r="N549" s="22" t="n">
        <f aca="false">MATCH(M549,'Tabela Passaro'!$A$2:$A$1795,0)</f>
        <v>457</v>
      </c>
      <c r="O549" s="22" t="str">
        <f aca="false">INDEX('Tabela Passaro'!$C$2:$C$1795,$N549)</f>
        <v>VITORIA DA CONQUISTA</v>
      </c>
      <c r="P549" s="22" t="str">
        <f aca="false">INDEX('Tabela Passaro'!$B$2:$B$1795,$N549)</f>
        <v>BA</v>
      </c>
      <c r="Q549" s="22" t="n">
        <f aca="false">INDEX('Tabela Passaro'!$F$2:$F$1795,$N549)</f>
        <v>9</v>
      </c>
      <c r="R549" s="32" t="n">
        <f aca="false">IF(J549&lt;=10,INDEX('Tabela Passaro'!$G$2:$G$1795,$N549),IF(J549&lt;=30,INDEX('Tabela Passaro'!$H$2:$H$1795,$N549),IF(J549&lt;=50,INDEX('Tabela Passaro'!$I$2:$I$1795,$N549),IF(J549&lt;=70,INDEX('Tabela Passaro'!$J$2:$J$1795,$N549),IF(J549&lt;=100,INDEX('Tabela Passaro'!$K$2:$K$1795,$N549),INDEX('Tabela Passaro'!$K$2:$K$1795,$N549)+(J549-100)*INDEX('Tabela Passaro'!$L$2:$L$1795,$N549))))))</f>
        <v>89.14</v>
      </c>
      <c r="S549" s="32" t="n">
        <f aca="false">K549*INDEX('Tabela Passaro'!$M$2:$M$1795,$N549)</f>
        <v>2.96365</v>
      </c>
      <c r="T549" s="32" t="n">
        <f aca="false">K549*INDEX('Tabela Passaro'!$N$2:$N$1795,$N549)</f>
        <v>1.18546</v>
      </c>
      <c r="U549" s="32" t="n">
        <f aca="false">INDEX('Tabela Passaro'!$O$2:$O$1795,$N549)</f>
        <v>5</v>
      </c>
      <c r="V549" s="32" t="n">
        <f aca="false">ROUNDUP(J549/INDEX('Tabela Passaro'!$Q$2:$Q$1795,$N549),0)*INDEX('Tabela Passaro'!$P$2:$P$1795,$N549)</f>
        <v>5</v>
      </c>
      <c r="W549" s="32" t="n">
        <f aca="false">INDEX('Tabela Passaro'!$R$2:$R$1795,$N549)</f>
        <v>30</v>
      </c>
      <c r="X549" s="32" t="n">
        <f aca="false">ROUNDUP(J549/INDEX('Tabela Passaro'!$T$2:$T$1795,$N549),0)*INDEX('Tabela Passaro'!$S$2:$S$1795,$N549)</f>
        <v>0</v>
      </c>
      <c r="Y549" s="32" t="n">
        <f aca="false">INDEX('Tabela Passaro'!$U$2:$U$1795,$N549)</f>
        <v>0</v>
      </c>
      <c r="Z549" s="32" t="n">
        <f aca="false">INDEX('Tabela Passaro'!$V$2:$V$1795,$N549)</f>
        <v>0</v>
      </c>
      <c r="AA549" s="32" t="n">
        <f aca="false">SUM(R549:Z549)</f>
        <v>133.28911</v>
      </c>
      <c r="AB549" s="33" t="n">
        <f aca="false">INDEX(Premissas!$B$5:$B$13,MATCH(A549,Premissas!$A$5:$A$13,0))</f>
        <v>0.07</v>
      </c>
      <c r="AC549" s="32" t="n">
        <f aca="false">AA549/(1-AB549)-AA549</f>
        <v>10.032513655914</v>
      </c>
      <c r="AD549" s="32" t="n">
        <f aca="false">ROUND(AA549+AC549,2)</f>
        <v>143.32</v>
      </c>
      <c r="AE549" s="32" t="n">
        <f aca="false">AD549-L549</f>
        <v>-27.34</v>
      </c>
      <c r="AF549" s="34" t="n">
        <f aca="false">IF(L549=0,0,AE549/L549)</f>
        <v>-0.160201570373843</v>
      </c>
      <c r="AG549" s="22" t="str">
        <f aca="false">IF(AD549&lt;L549,"PASSARO","ATUAL")</f>
        <v>PASSARO</v>
      </c>
      <c r="AH549" s="22" t="str">
        <f aca="false">IF(P549&lt;&gt;A549,"Faixa cadastrada como "&amp;P549&amp;" na tabela; preço aplicado pela UF do CEP","")</f>
        <v/>
      </c>
      <c r="AI549" s="26" t="n">
        <v>151.84</v>
      </c>
      <c r="AJ549" s="22" t="str">
        <f aca="false">INDEX('Tabela Passaro'!$X$2:$X$1795,$N549)</f>
        <v>INTERIOR 2</v>
      </c>
    </row>
    <row r="550" customFormat="false" ht="15" hidden="false" customHeight="false" outlineLevel="0" collapsed="false">
      <c r="A550" s="22" t="s">
        <v>16</v>
      </c>
      <c r="B550" s="22" t="n">
        <v>4</v>
      </c>
      <c r="C550" s="22" t="s">
        <v>81</v>
      </c>
      <c r="D550" s="22" t="s">
        <v>30</v>
      </c>
      <c r="E550" s="22" t="s">
        <v>20</v>
      </c>
      <c r="F550" s="22" t="n">
        <v>838403</v>
      </c>
      <c r="G550" s="30" t="n">
        <v>46244</v>
      </c>
      <c r="H550" s="22" t="n">
        <v>32455</v>
      </c>
      <c r="I550" s="22" t="s">
        <v>7824</v>
      </c>
      <c r="J550" s="31" t="n">
        <v>33</v>
      </c>
      <c r="K550" s="26" t="n">
        <v>519.92</v>
      </c>
      <c r="L550" s="26" t="n">
        <v>150.93</v>
      </c>
      <c r="M550" s="22" t="s">
        <v>2091</v>
      </c>
      <c r="N550" s="22" t="n">
        <f aca="false">MATCH(M550,'Tabela Passaro'!$A$2:$A$1795,0)</f>
        <v>457</v>
      </c>
      <c r="O550" s="22" t="str">
        <f aca="false">INDEX('Tabela Passaro'!$C$2:$C$1795,$N550)</f>
        <v>VITORIA DA CONQUISTA</v>
      </c>
      <c r="P550" s="22" t="str">
        <f aca="false">INDEX('Tabela Passaro'!$B$2:$B$1795,$N550)</f>
        <v>BA</v>
      </c>
      <c r="Q550" s="22" t="n">
        <f aca="false">INDEX('Tabela Passaro'!$F$2:$F$1795,$N550)</f>
        <v>9</v>
      </c>
      <c r="R550" s="32" t="n">
        <f aca="false">IF(J550&lt;=10,INDEX('Tabela Passaro'!$G$2:$G$1795,$N550),IF(J550&lt;=30,INDEX('Tabela Passaro'!$H$2:$H$1795,$N550),IF(J550&lt;=50,INDEX('Tabela Passaro'!$I$2:$I$1795,$N550),IF(J550&lt;=70,INDEX('Tabela Passaro'!$J$2:$J$1795,$N550),IF(J550&lt;=100,INDEX('Tabela Passaro'!$K$2:$K$1795,$N550),INDEX('Tabela Passaro'!$K$2:$K$1795,$N550)+(J550-100)*INDEX('Tabela Passaro'!$L$2:$L$1795,$N550))))))</f>
        <v>89.14</v>
      </c>
      <c r="S550" s="32" t="n">
        <f aca="false">K550*INDEX('Tabela Passaro'!$M$2:$M$1795,$N550)</f>
        <v>2.5996</v>
      </c>
      <c r="T550" s="32" t="n">
        <f aca="false">K550*INDEX('Tabela Passaro'!$N$2:$N$1795,$N550)</f>
        <v>1.03984</v>
      </c>
      <c r="U550" s="32" t="n">
        <f aca="false">INDEX('Tabela Passaro'!$O$2:$O$1795,$N550)</f>
        <v>5</v>
      </c>
      <c r="V550" s="32" t="n">
        <f aca="false">ROUNDUP(J550/INDEX('Tabela Passaro'!$Q$2:$Q$1795,$N550),0)*INDEX('Tabela Passaro'!$P$2:$P$1795,$N550)</f>
        <v>5</v>
      </c>
      <c r="W550" s="32" t="n">
        <f aca="false">INDEX('Tabela Passaro'!$R$2:$R$1795,$N550)</f>
        <v>30</v>
      </c>
      <c r="X550" s="32" t="n">
        <f aca="false">ROUNDUP(J550/INDEX('Tabela Passaro'!$T$2:$T$1795,$N550),0)*INDEX('Tabela Passaro'!$S$2:$S$1795,$N550)</f>
        <v>0</v>
      </c>
      <c r="Y550" s="32" t="n">
        <f aca="false">INDEX('Tabela Passaro'!$U$2:$U$1795,$N550)</f>
        <v>0</v>
      </c>
      <c r="Z550" s="32" t="n">
        <f aca="false">INDEX('Tabela Passaro'!$V$2:$V$1795,$N550)</f>
        <v>0</v>
      </c>
      <c r="AA550" s="32" t="n">
        <f aca="false">SUM(R550:Z550)</f>
        <v>132.77944</v>
      </c>
      <c r="AB550" s="33" t="n">
        <f aca="false">INDEX(Premissas!$B$5:$B$13,MATCH(A550,Premissas!$A$5:$A$13,0))</f>
        <v>0.07</v>
      </c>
      <c r="AC550" s="32" t="n">
        <f aca="false">AA550/(1-AB550)-AA550</f>
        <v>9.99415139784946</v>
      </c>
      <c r="AD550" s="32" t="n">
        <f aca="false">ROUND(AA550+AC550,2)</f>
        <v>142.77</v>
      </c>
      <c r="AE550" s="32" t="n">
        <f aca="false">AD550-L550</f>
        <v>-8.16</v>
      </c>
      <c r="AF550" s="34" t="n">
        <f aca="false">IF(L550=0,0,AE550/L550)</f>
        <v>-0.0540647982508447</v>
      </c>
      <c r="AG550" s="22" t="str">
        <f aca="false">IF(AD550&lt;L550,"PASSARO","ATUAL")</f>
        <v>PASSARO</v>
      </c>
      <c r="AH550" s="22" t="str">
        <f aca="false">IF(P550&lt;&gt;A550,"Faixa cadastrada como "&amp;P550&amp;" na tabela; preço aplicado pela UF do CEP","")</f>
        <v/>
      </c>
      <c r="AI550" s="26" t="n">
        <v>150.17</v>
      </c>
      <c r="AJ550" s="22" t="str">
        <f aca="false">INDEX('Tabela Passaro'!$X$2:$X$1795,$N550)</f>
        <v>INTERIOR 2</v>
      </c>
    </row>
    <row r="551" customFormat="false" ht="15" hidden="false" customHeight="false" outlineLevel="0" collapsed="false">
      <c r="A551" s="22" t="s">
        <v>16</v>
      </c>
      <c r="B551" s="22" t="n">
        <v>4</v>
      </c>
      <c r="C551" s="22" t="s">
        <v>81</v>
      </c>
      <c r="D551" s="22" t="s">
        <v>30</v>
      </c>
      <c r="E551" s="22" t="s">
        <v>7328</v>
      </c>
      <c r="F551" s="22" t="n">
        <v>2309855</v>
      </c>
      <c r="G551" s="30" t="n">
        <v>46244</v>
      </c>
      <c r="H551" s="22" t="n">
        <v>132335</v>
      </c>
      <c r="I551" s="22" t="s">
        <v>7825</v>
      </c>
      <c r="J551" s="31" t="n">
        <v>39.9</v>
      </c>
      <c r="K551" s="26" t="n">
        <v>671.39</v>
      </c>
      <c r="L551" s="26" t="n">
        <v>151.96</v>
      </c>
      <c r="M551" s="22" t="s">
        <v>2091</v>
      </c>
      <c r="N551" s="22" t="n">
        <f aca="false">MATCH(M551,'Tabela Passaro'!$A$2:$A$1795,0)</f>
        <v>457</v>
      </c>
      <c r="O551" s="22" t="str">
        <f aca="false">INDEX('Tabela Passaro'!$C$2:$C$1795,$N551)</f>
        <v>VITORIA DA CONQUISTA</v>
      </c>
      <c r="P551" s="22" t="str">
        <f aca="false">INDEX('Tabela Passaro'!$B$2:$B$1795,$N551)</f>
        <v>BA</v>
      </c>
      <c r="Q551" s="22" t="n">
        <f aca="false">INDEX('Tabela Passaro'!$F$2:$F$1795,$N551)</f>
        <v>9</v>
      </c>
      <c r="R551" s="32" t="n">
        <f aca="false">IF(J551&lt;=10,INDEX('Tabela Passaro'!$G$2:$G$1795,$N551),IF(J551&lt;=30,INDEX('Tabela Passaro'!$H$2:$H$1795,$N551),IF(J551&lt;=50,INDEX('Tabela Passaro'!$I$2:$I$1795,$N551),IF(J551&lt;=70,INDEX('Tabela Passaro'!$J$2:$J$1795,$N551),IF(J551&lt;=100,INDEX('Tabela Passaro'!$K$2:$K$1795,$N551),INDEX('Tabela Passaro'!$K$2:$K$1795,$N551)+(J551-100)*INDEX('Tabela Passaro'!$L$2:$L$1795,$N551))))))</f>
        <v>89.14</v>
      </c>
      <c r="S551" s="32" t="n">
        <f aca="false">K551*INDEX('Tabela Passaro'!$M$2:$M$1795,$N551)</f>
        <v>3.35695</v>
      </c>
      <c r="T551" s="32" t="n">
        <f aca="false">K551*INDEX('Tabela Passaro'!$N$2:$N$1795,$N551)</f>
        <v>1.34278</v>
      </c>
      <c r="U551" s="32" t="n">
        <f aca="false">INDEX('Tabela Passaro'!$O$2:$O$1795,$N551)</f>
        <v>5</v>
      </c>
      <c r="V551" s="32" t="n">
        <f aca="false">ROUNDUP(J551/INDEX('Tabela Passaro'!$Q$2:$Q$1795,$N551),0)*INDEX('Tabela Passaro'!$P$2:$P$1795,$N551)</f>
        <v>5</v>
      </c>
      <c r="W551" s="32" t="n">
        <f aca="false">INDEX('Tabela Passaro'!$R$2:$R$1795,$N551)</f>
        <v>30</v>
      </c>
      <c r="X551" s="32" t="n">
        <f aca="false">ROUNDUP(J551/INDEX('Tabela Passaro'!$T$2:$T$1795,$N551),0)*INDEX('Tabela Passaro'!$S$2:$S$1795,$N551)</f>
        <v>0</v>
      </c>
      <c r="Y551" s="32" t="n">
        <f aca="false">INDEX('Tabela Passaro'!$U$2:$U$1795,$N551)</f>
        <v>0</v>
      </c>
      <c r="Z551" s="32" t="n">
        <f aca="false">INDEX('Tabela Passaro'!$V$2:$V$1795,$N551)</f>
        <v>0</v>
      </c>
      <c r="AA551" s="32" t="n">
        <f aca="false">SUM(R551:Z551)</f>
        <v>133.83973</v>
      </c>
      <c r="AB551" s="33" t="n">
        <f aca="false">INDEX(Premissas!$B$5:$B$13,MATCH(A551,Premissas!$A$5:$A$13,0))</f>
        <v>0.07</v>
      </c>
      <c r="AC551" s="32" t="n">
        <f aca="false">AA551/(1-AB551)-AA551</f>
        <v>10.073958172043</v>
      </c>
      <c r="AD551" s="32" t="n">
        <f aca="false">ROUND(AA551+AC551,2)</f>
        <v>143.91</v>
      </c>
      <c r="AE551" s="32" t="n">
        <f aca="false">AD551-L551</f>
        <v>-8.05000000000001</v>
      </c>
      <c r="AF551" s="34" t="n">
        <f aca="false">IF(L551=0,0,AE551/L551)</f>
        <v>-0.0529744669649909</v>
      </c>
      <c r="AG551" s="22" t="str">
        <f aca="false">IF(AD551&lt;L551,"PASSARO","ATUAL")</f>
        <v>PASSARO</v>
      </c>
      <c r="AH551" s="22" t="str">
        <f aca="false">IF(P551&lt;&gt;A551,"Faixa cadastrada como "&amp;P551&amp;" na tabela; preço aplicado pela UF do CEP","")</f>
        <v/>
      </c>
      <c r="AI551" s="26" t="n">
        <v>155.02</v>
      </c>
      <c r="AJ551" s="22" t="str">
        <f aca="false">INDEX('Tabela Passaro'!$X$2:$X$1795,$N551)</f>
        <v>INTERIOR 2</v>
      </c>
    </row>
    <row r="552" customFormat="false" ht="15" hidden="false" customHeight="false" outlineLevel="0" collapsed="false">
      <c r="A552" s="22" t="s">
        <v>16</v>
      </c>
      <c r="B552" s="22" t="n">
        <v>4</v>
      </c>
      <c r="C552" s="22" t="s">
        <v>81</v>
      </c>
      <c r="D552" s="22" t="s">
        <v>30</v>
      </c>
      <c r="E552" s="22" t="s">
        <v>7328</v>
      </c>
      <c r="F552" s="22" t="n">
        <v>2309868</v>
      </c>
      <c r="G552" s="30" t="n">
        <v>46244</v>
      </c>
      <c r="H552" s="22" t="n">
        <v>132357</v>
      </c>
      <c r="I552" s="22" t="s">
        <v>7826</v>
      </c>
      <c r="J552" s="31" t="n">
        <v>51.06</v>
      </c>
      <c r="K552" s="26" t="n">
        <v>821.39</v>
      </c>
      <c r="L552" s="26" t="n">
        <v>189.01</v>
      </c>
      <c r="M552" s="22" t="s">
        <v>2091</v>
      </c>
      <c r="N552" s="22" t="n">
        <f aca="false">MATCH(M552,'Tabela Passaro'!$A$2:$A$1795,0)</f>
        <v>457</v>
      </c>
      <c r="O552" s="22" t="str">
        <f aca="false">INDEX('Tabela Passaro'!$C$2:$C$1795,$N552)</f>
        <v>VITORIA DA CONQUISTA</v>
      </c>
      <c r="P552" s="22" t="str">
        <f aca="false">INDEX('Tabela Passaro'!$B$2:$B$1795,$N552)</f>
        <v>BA</v>
      </c>
      <c r="Q552" s="22" t="n">
        <f aca="false">INDEX('Tabela Passaro'!$F$2:$F$1795,$N552)</f>
        <v>9</v>
      </c>
      <c r="R552" s="32" t="n">
        <f aca="false">IF(J552&lt;=10,INDEX('Tabela Passaro'!$G$2:$G$1795,$N552),IF(J552&lt;=30,INDEX('Tabela Passaro'!$H$2:$H$1795,$N552),IF(J552&lt;=50,INDEX('Tabela Passaro'!$I$2:$I$1795,$N552),IF(J552&lt;=70,INDEX('Tabela Passaro'!$J$2:$J$1795,$N552),IF(J552&lt;=100,INDEX('Tabela Passaro'!$K$2:$K$1795,$N552),INDEX('Tabela Passaro'!$K$2:$K$1795,$N552)+(J552-100)*INDEX('Tabela Passaro'!$L$2:$L$1795,$N552))))))</f>
        <v>100.65</v>
      </c>
      <c r="S552" s="32" t="n">
        <f aca="false">K552*INDEX('Tabela Passaro'!$M$2:$M$1795,$N552)</f>
        <v>4.10695</v>
      </c>
      <c r="T552" s="32" t="n">
        <f aca="false">K552*INDEX('Tabela Passaro'!$N$2:$N$1795,$N552)</f>
        <v>1.64278</v>
      </c>
      <c r="U552" s="32" t="n">
        <f aca="false">INDEX('Tabela Passaro'!$O$2:$O$1795,$N552)</f>
        <v>5</v>
      </c>
      <c r="V552" s="32" t="n">
        <f aca="false">ROUNDUP(J552/INDEX('Tabela Passaro'!$Q$2:$Q$1795,$N552),0)*INDEX('Tabela Passaro'!$P$2:$P$1795,$N552)</f>
        <v>5</v>
      </c>
      <c r="W552" s="32" t="n">
        <f aca="false">INDEX('Tabela Passaro'!$R$2:$R$1795,$N552)</f>
        <v>30</v>
      </c>
      <c r="X552" s="32" t="n">
        <f aca="false">ROUNDUP(J552/INDEX('Tabela Passaro'!$T$2:$T$1795,$N552),0)*INDEX('Tabela Passaro'!$S$2:$S$1795,$N552)</f>
        <v>0</v>
      </c>
      <c r="Y552" s="32" t="n">
        <f aca="false">INDEX('Tabela Passaro'!$U$2:$U$1795,$N552)</f>
        <v>0</v>
      </c>
      <c r="Z552" s="32" t="n">
        <f aca="false">INDEX('Tabela Passaro'!$V$2:$V$1795,$N552)</f>
        <v>0</v>
      </c>
      <c r="AA552" s="32" t="n">
        <f aca="false">SUM(R552:Z552)</f>
        <v>146.39973</v>
      </c>
      <c r="AB552" s="33" t="n">
        <f aca="false">INDEX(Premissas!$B$5:$B$13,MATCH(A552,Premissas!$A$5:$A$13,0))</f>
        <v>0.07</v>
      </c>
      <c r="AC552" s="32" t="n">
        <f aca="false">AA552/(1-AB552)-AA552</f>
        <v>11.0193345161291</v>
      </c>
      <c r="AD552" s="32" t="n">
        <f aca="false">ROUND(AA552+AC552,2)</f>
        <v>157.42</v>
      </c>
      <c r="AE552" s="32" t="n">
        <f aca="false">AD552-L552</f>
        <v>-31.59</v>
      </c>
      <c r="AF552" s="34" t="n">
        <f aca="false">IF(L552=0,0,AE552/L552)</f>
        <v>-0.167134014073329</v>
      </c>
      <c r="AG552" s="22" t="str">
        <f aca="false">IF(AD552&lt;L552,"PASSARO","ATUAL")</f>
        <v>PASSARO</v>
      </c>
      <c r="AH552" s="22" t="str">
        <f aca="false">IF(P552&lt;&gt;A552,"Faixa cadastrada como "&amp;P552&amp;" na tabela; preço aplicado pela UF do CEP","")</f>
        <v/>
      </c>
      <c r="AI552" s="26" t="n">
        <v>174.8</v>
      </c>
      <c r="AJ552" s="22" t="str">
        <f aca="false">INDEX('Tabela Passaro'!$X$2:$X$1795,$N552)</f>
        <v>INTERIOR 2</v>
      </c>
    </row>
    <row r="553" customFormat="false" ht="15" hidden="false" customHeight="false" outlineLevel="0" collapsed="false">
      <c r="A553" s="22" t="s">
        <v>16</v>
      </c>
      <c r="B553" s="22" t="n">
        <v>4</v>
      </c>
      <c r="C553" s="22" t="s">
        <v>81</v>
      </c>
      <c r="D553" s="22" t="s">
        <v>30</v>
      </c>
      <c r="E553" s="22" t="s">
        <v>7326</v>
      </c>
      <c r="F553" s="22" t="n">
        <v>523662</v>
      </c>
      <c r="G553" s="30" t="n">
        <v>46244</v>
      </c>
      <c r="H553" s="22" t="n">
        <v>621818</v>
      </c>
      <c r="I553" s="22" t="s">
        <v>7827</v>
      </c>
      <c r="J553" s="31" t="n">
        <v>107.7</v>
      </c>
      <c r="K553" s="26" t="n">
        <v>1784.98</v>
      </c>
      <c r="L553" s="26" t="n">
        <v>315.32</v>
      </c>
      <c r="M553" s="22" t="s">
        <v>2091</v>
      </c>
      <c r="N553" s="22" t="n">
        <f aca="false">MATCH(M553,'Tabela Passaro'!$A$2:$A$1795,0)</f>
        <v>457</v>
      </c>
      <c r="O553" s="22" t="str">
        <f aca="false">INDEX('Tabela Passaro'!$C$2:$C$1795,$N553)</f>
        <v>VITORIA DA CONQUISTA</v>
      </c>
      <c r="P553" s="22" t="str">
        <f aca="false">INDEX('Tabela Passaro'!$B$2:$B$1795,$N553)</f>
        <v>BA</v>
      </c>
      <c r="Q553" s="22" t="n">
        <f aca="false">INDEX('Tabela Passaro'!$F$2:$F$1795,$N553)</f>
        <v>9</v>
      </c>
      <c r="R553" s="32" t="n">
        <f aca="false">IF(J553&lt;=10,INDEX('Tabela Passaro'!$G$2:$G$1795,$N553),IF(J553&lt;=30,INDEX('Tabela Passaro'!$H$2:$H$1795,$N553),IF(J553&lt;=50,INDEX('Tabela Passaro'!$I$2:$I$1795,$N553),IF(J553&lt;=70,INDEX('Tabela Passaro'!$J$2:$J$1795,$N553),IF(J553&lt;=100,INDEX('Tabela Passaro'!$K$2:$K$1795,$N553),INDEX('Tabela Passaro'!$K$2:$K$1795,$N553)+(J553-100)*INDEX('Tabela Passaro'!$L$2:$L$1795,$N553))))))</f>
        <v>127.416</v>
      </c>
      <c r="S553" s="32" t="n">
        <f aca="false">K553*INDEX('Tabela Passaro'!$M$2:$M$1795,$N553)</f>
        <v>8.9249</v>
      </c>
      <c r="T553" s="32" t="n">
        <f aca="false">K553*INDEX('Tabela Passaro'!$N$2:$N$1795,$N553)</f>
        <v>3.56996</v>
      </c>
      <c r="U553" s="32" t="n">
        <f aca="false">INDEX('Tabela Passaro'!$O$2:$O$1795,$N553)</f>
        <v>5</v>
      </c>
      <c r="V553" s="32" t="n">
        <f aca="false">ROUNDUP(J553/INDEX('Tabela Passaro'!$Q$2:$Q$1795,$N553),0)*INDEX('Tabela Passaro'!$P$2:$P$1795,$N553)</f>
        <v>10</v>
      </c>
      <c r="W553" s="32" t="n">
        <f aca="false">INDEX('Tabela Passaro'!$R$2:$R$1795,$N553)</f>
        <v>30</v>
      </c>
      <c r="X553" s="32" t="n">
        <f aca="false">ROUNDUP(J553/INDEX('Tabela Passaro'!$T$2:$T$1795,$N553),0)*INDEX('Tabela Passaro'!$S$2:$S$1795,$N553)</f>
        <v>0</v>
      </c>
      <c r="Y553" s="32" t="n">
        <f aca="false">INDEX('Tabela Passaro'!$U$2:$U$1795,$N553)</f>
        <v>0</v>
      </c>
      <c r="Z553" s="32" t="n">
        <f aca="false">INDEX('Tabela Passaro'!$V$2:$V$1795,$N553)</f>
        <v>0</v>
      </c>
      <c r="AA553" s="32" t="n">
        <f aca="false">SUM(R553:Z553)</f>
        <v>184.91086</v>
      </c>
      <c r="AB553" s="33" t="n">
        <f aca="false">INDEX(Premissas!$B$5:$B$13,MATCH(A553,Premissas!$A$5:$A$13,0))</f>
        <v>0.07</v>
      </c>
      <c r="AC553" s="32" t="n">
        <f aca="false">AA553/(1-AB553)-AA553</f>
        <v>13.9180217204301</v>
      </c>
      <c r="AD553" s="32" t="n">
        <f aca="false">ROUND(AA553+AC553,2)</f>
        <v>198.83</v>
      </c>
      <c r="AE553" s="32" t="n">
        <f aca="false">AD553-L553</f>
        <v>-116.49</v>
      </c>
      <c r="AF553" s="34" t="n">
        <f aca="false">IF(L553=0,0,AE553/L553)</f>
        <v>-0.369434225548649</v>
      </c>
      <c r="AG553" s="22" t="str">
        <f aca="false">IF(AD553&lt;L553,"PASSARO","ATUAL")</f>
        <v>PASSARO</v>
      </c>
      <c r="AH553" s="22" t="str">
        <f aca="false">IF(P553&lt;&gt;A553,"Faixa cadastrada como "&amp;P553&amp;" na tabela; preço aplicado pela UF do CEP","")</f>
        <v/>
      </c>
      <c r="AI553" s="26" t="n">
        <v>247.59</v>
      </c>
      <c r="AJ553" s="22" t="str">
        <f aca="false">INDEX('Tabela Passaro'!$X$2:$X$1795,$N553)</f>
        <v>INTERIOR 2</v>
      </c>
    </row>
    <row r="554" customFormat="false" ht="15" hidden="false" customHeight="false" outlineLevel="0" collapsed="false">
      <c r="A554" s="22" t="s">
        <v>16</v>
      </c>
      <c r="B554" s="22" t="n">
        <v>4</v>
      </c>
      <c r="C554" s="22" t="s">
        <v>81</v>
      </c>
      <c r="D554" s="22" t="s">
        <v>30</v>
      </c>
      <c r="E554" s="22" t="s">
        <v>7326</v>
      </c>
      <c r="F554" s="22" t="n">
        <v>523670</v>
      </c>
      <c r="G554" s="30" t="n">
        <v>46244</v>
      </c>
      <c r="H554" s="22" t="n">
        <v>621824</v>
      </c>
      <c r="I554" s="22" t="s">
        <v>7828</v>
      </c>
      <c r="J554" s="31" t="n">
        <v>107.8</v>
      </c>
      <c r="K554" s="26" t="n">
        <v>1673.98</v>
      </c>
      <c r="L554" s="26" t="n">
        <v>314.52</v>
      </c>
      <c r="M554" s="22" t="s">
        <v>2091</v>
      </c>
      <c r="N554" s="22" t="n">
        <f aca="false">MATCH(M554,'Tabela Passaro'!$A$2:$A$1795,0)</f>
        <v>457</v>
      </c>
      <c r="O554" s="22" t="str">
        <f aca="false">INDEX('Tabela Passaro'!$C$2:$C$1795,$N554)</f>
        <v>VITORIA DA CONQUISTA</v>
      </c>
      <c r="P554" s="22" t="str">
        <f aca="false">INDEX('Tabela Passaro'!$B$2:$B$1795,$N554)</f>
        <v>BA</v>
      </c>
      <c r="Q554" s="22" t="n">
        <f aca="false">INDEX('Tabela Passaro'!$F$2:$F$1795,$N554)</f>
        <v>9</v>
      </c>
      <c r="R554" s="32" t="n">
        <f aca="false">IF(J554&lt;=10,INDEX('Tabela Passaro'!$G$2:$G$1795,$N554),IF(J554&lt;=30,INDEX('Tabela Passaro'!$H$2:$H$1795,$N554),IF(J554&lt;=50,INDEX('Tabela Passaro'!$I$2:$I$1795,$N554),IF(J554&lt;=70,INDEX('Tabela Passaro'!$J$2:$J$1795,$N554),IF(J554&lt;=100,INDEX('Tabela Passaro'!$K$2:$K$1795,$N554),INDEX('Tabela Passaro'!$K$2:$K$1795,$N554)+(J554-100)*INDEX('Tabela Passaro'!$L$2:$L$1795,$N554))))))</f>
        <v>127.614</v>
      </c>
      <c r="S554" s="32" t="n">
        <f aca="false">K554*INDEX('Tabela Passaro'!$M$2:$M$1795,$N554)</f>
        <v>8.3699</v>
      </c>
      <c r="T554" s="32" t="n">
        <f aca="false">K554*INDEX('Tabela Passaro'!$N$2:$N$1795,$N554)</f>
        <v>3.34796</v>
      </c>
      <c r="U554" s="32" t="n">
        <f aca="false">INDEX('Tabela Passaro'!$O$2:$O$1795,$N554)</f>
        <v>5</v>
      </c>
      <c r="V554" s="32" t="n">
        <f aca="false">ROUNDUP(J554/INDEX('Tabela Passaro'!$Q$2:$Q$1795,$N554),0)*INDEX('Tabela Passaro'!$P$2:$P$1795,$N554)</f>
        <v>10</v>
      </c>
      <c r="W554" s="32" t="n">
        <f aca="false">INDEX('Tabela Passaro'!$R$2:$R$1795,$N554)</f>
        <v>30</v>
      </c>
      <c r="X554" s="32" t="n">
        <f aca="false">ROUNDUP(J554/INDEX('Tabela Passaro'!$T$2:$T$1795,$N554),0)*INDEX('Tabela Passaro'!$S$2:$S$1795,$N554)</f>
        <v>0</v>
      </c>
      <c r="Y554" s="32" t="n">
        <f aca="false">INDEX('Tabela Passaro'!$U$2:$U$1795,$N554)</f>
        <v>0</v>
      </c>
      <c r="Z554" s="32" t="n">
        <f aca="false">INDEX('Tabela Passaro'!$V$2:$V$1795,$N554)</f>
        <v>0</v>
      </c>
      <c r="AA554" s="32" t="n">
        <f aca="false">SUM(R554:Z554)</f>
        <v>184.33186</v>
      </c>
      <c r="AB554" s="33" t="n">
        <f aca="false">INDEX(Premissas!$B$5:$B$13,MATCH(A554,Premissas!$A$5:$A$13,0))</f>
        <v>0.07</v>
      </c>
      <c r="AC554" s="32" t="n">
        <f aca="false">AA554/(1-AB554)-AA554</f>
        <v>13.8744410752688</v>
      </c>
      <c r="AD554" s="32" t="n">
        <f aca="false">ROUND(AA554+AC554,2)</f>
        <v>198.21</v>
      </c>
      <c r="AE554" s="32" t="n">
        <f aca="false">AD554-L554</f>
        <v>-116.31</v>
      </c>
      <c r="AF554" s="34" t="n">
        <f aca="false">IF(L554=0,0,AE554/L554)</f>
        <v>-0.369801602441816</v>
      </c>
      <c r="AG554" s="22" t="str">
        <f aca="false">IF(AD554&lt;L554,"PASSARO","ATUAL")</f>
        <v>PASSARO</v>
      </c>
      <c r="AH554" s="22" t="str">
        <f aca="false">IF(P554&lt;&gt;A554,"Faixa cadastrada como "&amp;P554&amp;" na tabela; preço aplicado pela UF do CEP","")</f>
        <v/>
      </c>
      <c r="AI554" s="26" t="n">
        <v>246.75</v>
      </c>
      <c r="AJ554" s="22" t="str">
        <f aca="false">INDEX('Tabela Passaro'!$X$2:$X$1795,$N554)</f>
        <v>INTERIOR 2</v>
      </c>
    </row>
    <row r="555" customFormat="false" ht="15" hidden="false" customHeight="false" outlineLevel="0" collapsed="false">
      <c r="A555" s="22" t="s">
        <v>16</v>
      </c>
      <c r="B555" s="22" t="n">
        <v>4</v>
      </c>
      <c r="C555" s="22" t="s">
        <v>81</v>
      </c>
      <c r="D555" s="22" t="s">
        <v>30</v>
      </c>
      <c r="E555" s="22" t="s">
        <v>7326</v>
      </c>
      <c r="F555" s="22" t="n">
        <v>523664</v>
      </c>
      <c r="G555" s="30" t="n">
        <v>46244</v>
      </c>
      <c r="H555" s="22" t="n">
        <v>622500</v>
      </c>
      <c r="I555" s="22" t="s">
        <v>7829</v>
      </c>
      <c r="J555" s="31" t="n">
        <v>36</v>
      </c>
      <c r="K555" s="26" t="n">
        <v>774.97</v>
      </c>
      <c r="L555" s="26" t="n">
        <v>172.22</v>
      </c>
      <c r="M555" s="22" t="s">
        <v>2091</v>
      </c>
      <c r="N555" s="22" t="n">
        <f aca="false">MATCH(M555,'Tabela Passaro'!$A$2:$A$1795,0)</f>
        <v>457</v>
      </c>
      <c r="O555" s="22" t="str">
        <f aca="false">INDEX('Tabela Passaro'!$C$2:$C$1795,$N555)</f>
        <v>VITORIA DA CONQUISTA</v>
      </c>
      <c r="P555" s="22" t="str">
        <f aca="false">INDEX('Tabela Passaro'!$B$2:$B$1795,$N555)</f>
        <v>BA</v>
      </c>
      <c r="Q555" s="22" t="n">
        <f aca="false">INDEX('Tabela Passaro'!$F$2:$F$1795,$N555)</f>
        <v>9</v>
      </c>
      <c r="R555" s="32" t="n">
        <f aca="false">IF(J555&lt;=10,INDEX('Tabela Passaro'!$G$2:$G$1795,$N555),IF(J555&lt;=30,INDEX('Tabela Passaro'!$H$2:$H$1795,$N555),IF(J555&lt;=50,INDEX('Tabela Passaro'!$I$2:$I$1795,$N555),IF(J555&lt;=70,INDEX('Tabela Passaro'!$J$2:$J$1795,$N555),IF(J555&lt;=100,INDEX('Tabela Passaro'!$K$2:$K$1795,$N555),INDEX('Tabela Passaro'!$K$2:$K$1795,$N555)+(J555-100)*INDEX('Tabela Passaro'!$L$2:$L$1795,$N555))))))</f>
        <v>89.14</v>
      </c>
      <c r="S555" s="32" t="n">
        <f aca="false">K555*INDEX('Tabela Passaro'!$M$2:$M$1795,$N555)</f>
        <v>3.87485</v>
      </c>
      <c r="T555" s="32" t="n">
        <f aca="false">K555*INDEX('Tabela Passaro'!$N$2:$N$1795,$N555)</f>
        <v>1.54994</v>
      </c>
      <c r="U555" s="32" t="n">
        <f aca="false">INDEX('Tabela Passaro'!$O$2:$O$1795,$N555)</f>
        <v>5</v>
      </c>
      <c r="V555" s="32" t="n">
        <f aca="false">ROUNDUP(J555/INDEX('Tabela Passaro'!$Q$2:$Q$1795,$N555),0)*INDEX('Tabela Passaro'!$P$2:$P$1795,$N555)</f>
        <v>5</v>
      </c>
      <c r="W555" s="32" t="n">
        <f aca="false">INDEX('Tabela Passaro'!$R$2:$R$1795,$N555)</f>
        <v>30</v>
      </c>
      <c r="X555" s="32" t="n">
        <f aca="false">ROUNDUP(J555/INDEX('Tabela Passaro'!$T$2:$T$1795,$N555),0)*INDEX('Tabela Passaro'!$S$2:$S$1795,$N555)</f>
        <v>0</v>
      </c>
      <c r="Y555" s="32" t="n">
        <f aca="false">INDEX('Tabela Passaro'!$U$2:$U$1795,$N555)</f>
        <v>0</v>
      </c>
      <c r="Z555" s="32" t="n">
        <f aca="false">INDEX('Tabela Passaro'!$V$2:$V$1795,$N555)</f>
        <v>0</v>
      </c>
      <c r="AA555" s="32" t="n">
        <f aca="false">SUM(R555:Z555)</f>
        <v>134.56479</v>
      </c>
      <c r="AB555" s="33" t="n">
        <f aca="false">INDEX(Premissas!$B$5:$B$13,MATCH(A555,Premissas!$A$5:$A$13,0))</f>
        <v>0.07</v>
      </c>
      <c r="AC555" s="32" t="n">
        <f aca="false">AA555/(1-AB555)-AA555</f>
        <v>10.1285325806452</v>
      </c>
      <c r="AD555" s="32" t="n">
        <f aca="false">ROUND(AA555+AC555,2)</f>
        <v>144.69</v>
      </c>
      <c r="AE555" s="32" t="n">
        <f aca="false">AD555-L555</f>
        <v>-27.53</v>
      </c>
      <c r="AF555" s="34" t="n">
        <f aca="false">IF(L555=0,0,AE555/L555)</f>
        <v>-0.159853675531297</v>
      </c>
      <c r="AG555" s="22" t="str">
        <f aca="false">IF(AD555&lt;L555,"PASSARO","ATUAL")</f>
        <v>PASSARO</v>
      </c>
      <c r="AH555" s="22" t="str">
        <f aca="false">IF(P555&lt;&gt;A555,"Faixa cadastrada como "&amp;P555&amp;" na tabela; preço aplicado pela UF do CEP","")</f>
        <v/>
      </c>
      <c r="AI555" s="26" t="n">
        <v>154.09</v>
      </c>
      <c r="AJ555" s="22" t="str">
        <f aca="false">INDEX('Tabela Passaro'!$X$2:$X$1795,$N555)</f>
        <v>INTERIOR 2</v>
      </c>
    </row>
    <row r="556" customFormat="false" ht="15" hidden="false" customHeight="false" outlineLevel="0" collapsed="false">
      <c r="A556" s="22" t="s">
        <v>16</v>
      </c>
      <c r="B556" s="22" t="n">
        <v>4</v>
      </c>
      <c r="C556" s="22" t="s">
        <v>81</v>
      </c>
      <c r="D556" s="22" t="s">
        <v>30</v>
      </c>
      <c r="E556" s="22" t="s">
        <v>7326</v>
      </c>
      <c r="F556" s="22" t="n">
        <v>523863</v>
      </c>
      <c r="G556" s="30" t="n">
        <v>46245</v>
      </c>
      <c r="H556" s="22" t="n">
        <v>623708</v>
      </c>
      <c r="I556" s="22" t="s">
        <v>7830</v>
      </c>
      <c r="J556" s="31" t="n">
        <v>28.9</v>
      </c>
      <c r="K556" s="26" t="n">
        <v>1167.55</v>
      </c>
      <c r="L556" s="26" t="n">
        <v>132.45</v>
      </c>
      <c r="M556" s="22" t="s">
        <v>2091</v>
      </c>
      <c r="N556" s="22" t="n">
        <f aca="false">MATCH(M556,'Tabela Passaro'!$A$2:$A$1795,0)</f>
        <v>457</v>
      </c>
      <c r="O556" s="22" t="str">
        <f aca="false">INDEX('Tabela Passaro'!$C$2:$C$1795,$N556)</f>
        <v>VITORIA DA CONQUISTA</v>
      </c>
      <c r="P556" s="22" t="str">
        <f aca="false">INDEX('Tabela Passaro'!$B$2:$B$1795,$N556)</f>
        <v>BA</v>
      </c>
      <c r="Q556" s="22" t="n">
        <f aca="false">INDEX('Tabela Passaro'!$F$2:$F$1795,$N556)</f>
        <v>9</v>
      </c>
      <c r="R556" s="32" t="n">
        <f aca="false">IF(J556&lt;=10,INDEX('Tabela Passaro'!$G$2:$G$1795,$N556),IF(J556&lt;=30,INDEX('Tabela Passaro'!$H$2:$H$1795,$N556),IF(J556&lt;=50,INDEX('Tabela Passaro'!$I$2:$I$1795,$N556),IF(J556&lt;=70,INDEX('Tabela Passaro'!$J$2:$J$1795,$N556),IF(J556&lt;=100,INDEX('Tabela Passaro'!$K$2:$K$1795,$N556),INDEX('Tabela Passaro'!$K$2:$K$1795,$N556)+(J556-100)*INDEX('Tabela Passaro'!$L$2:$L$1795,$N556))))))</f>
        <v>77.62</v>
      </c>
      <c r="S556" s="32" t="n">
        <f aca="false">K556*INDEX('Tabela Passaro'!$M$2:$M$1795,$N556)</f>
        <v>5.83775</v>
      </c>
      <c r="T556" s="32" t="n">
        <f aca="false">K556*INDEX('Tabela Passaro'!$N$2:$N$1795,$N556)</f>
        <v>2.3351</v>
      </c>
      <c r="U556" s="32" t="n">
        <f aca="false">INDEX('Tabela Passaro'!$O$2:$O$1795,$N556)</f>
        <v>5</v>
      </c>
      <c r="V556" s="32" t="n">
        <f aca="false">ROUNDUP(J556/INDEX('Tabela Passaro'!$Q$2:$Q$1795,$N556),0)*INDEX('Tabela Passaro'!$P$2:$P$1795,$N556)</f>
        <v>5</v>
      </c>
      <c r="W556" s="32" t="n">
        <f aca="false">INDEX('Tabela Passaro'!$R$2:$R$1795,$N556)</f>
        <v>30</v>
      </c>
      <c r="X556" s="32" t="n">
        <f aca="false">ROUNDUP(J556/INDEX('Tabela Passaro'!$T$2:$T$1795,$N556),0)*INDEX('Tabela Passaro'!$S$2:$S$1795,$N556)</f>
        <v>0</v>
      </c>
      <c r="Y556" s="32" t="n">
        <f aca="false">INDEX('Tabela Passaro'!$U$2:$U$1795,$N556)</f>
        <v>0</v>
      </c>
      <c r="Z556" s="32" t="n">
        <f aca="false">INDEX('Tabela Passaro'!$V$2:$V$1795,$N556)</f>
        <v>0</v>
      </c>
      <c r="AA556" s="32" t="n">
        <f aca="false">SUM(R556:Z556)</f>
        <v>125.79285</v>
      </c>
      <c r="AB556" s="33" t="n">
        <f aca="false">INDEX(Premissas!$B$5:$B$13,MATCH(A556,Premissas!$A$5:$A$13,0))</f>
        <v>0.07</v>
      </c>
      <c r="AC556" s="32" t="n">
        <f aca="false">AA556/(1-AB556)-AA556</f>
        <v>9.46827903225808</v>
      </c>
      <c r="AD556" s="32" t="n">
        <f aca="false">ROUND(AA556+AC556,2)</f>
        <v>135.26</v>
      </c>
      <c r="AE556" s="32" t="n">
        <f aca="false">AD556-L556</f>
        <v>2.81</v>
      </c>
      <c r="AF556" s="34" t="n">
        <f aca="false">IF(L556=0,0,AE556/L556)</f>
        <v>0.0212155530388826</v>
      </c>
      <c r="AG556" s="22" t="str">
        <f aca="false">IF(AD556&lt;L556,"PASSARO","ATUAL")</f>
        <v>ATUAL</v>
      </c>
      <c r="AH556" s="22" t="str">
        <f aca="false">IF(P556&lt;&gt;A556,"Faixa cadastrada como "&amp;P556&amp;" na tabela; preço aplicado pela UF do CEP","")</f>
        <v/>
      </c>
      <c r="AI556" s="26" t="n">
        <v>141.98</v>
      </c>
      <c r="AJ556" s="22" t="str">
        <f aca="false">INDEX('Tabela Passaro'!$X$2:$X$1795,$N556)</f>
        <v>INTERIOR 2</v>
      </c>
    </row>
    <row r="557" customFormat="false" ht="15" hidden="false" customHeight="false" outlineLevel="0" collapsed="false">
      <c r="A557" s="22" t="s">
        <v>16</v>
      </c>
      <c r="B557" s="22" t="n">
        <v>4</v>
      </c>
      <c r="C557" s="22" t="s">
        <v>81</v>
      </c>
      <c r="D557" s="22" t="s">
        <v>30</v>
      </c>
      <c r="E557" s="22" t="s">
        <v>7328</v>
      </c>
      <c r="F557" s="22" t="n">
        <v>2311299</v>
      </c>
      <c r="G557" s="30" t="n">
        <v>46246</v>
      </c>
      <c r="H557" s="22" t="n">
        <v>132750</v>
      </c>
      <c r="I557" s="22" t="s">
        <v>7831</v>
      </c>
      <c r="J557" s="31" t="n">
        <v>58.5</v>
      </c>
      <c r="K557" s="26" t="n">
        <v>1109.9</v>
      </c>
      <c r="L557" s="26" t="n">
        <v>191.29</v>
      </c>
      <c r="M557" s="22" t="s">
        <v>2091</v>
      </c>
      <c r="N557" s="22" t="n">
        <f aca="false">MATCH(M557,'Tabela Passaro'!$A$2:$A$1795,0)</f>
        <v>457</v>
      </c>
      <c r="O557" s="22" t="str">
        <f aca="false">INDEX('Tabela Passaro'!$C$2:$C$1795,$N557)</f>
        <v>VITORIA DA CONQUISTA</v>
      </c>
      <c r="P557" s="22" t="str">
        <f aca="false">INDEX('Tabela Passaro'!$B$2:$B$1795,$N557)</f>
        <v>BA</v>
      </c>
      <c r="Q557" s="22" t="n">
        <f aca="false">INDEX('Tabela Passaro'!$F$2:$F$1795,$N557)</f>
        <v>9</v>
      </c>
      <c r="R557" s="32" t="n">
        <f aca="false">IF(J557&lt;=10,INDEX('Tabela Passaro'!$G$2:$G$1795,$N557),IF(J557&lt;=30,INDEX('Tabela Passaro'!$H$2:$H$1795,$N557),IF(J557&lt;=50,INDEX('Tabela Passaro'!$I$2:$I$1795,$N557),IF(J557&lt;=70,INDEX('Tabela Passaro'!$J$2:$J$1795,$N557),IF(J557&lt;=100,INDEX('Tabela Passaro'!$K$2:$K$1795,$N557),INDEX('Tabela Passaro'!$K$2:$K$1795,$N557)+(J557-100)*INDEX('Tabela Passaro'!$L$2:$L$1795,$N557))))))</f>
        <v>100.65</v>
      </c>
      <c r="S557" s="32" t="n">
        <f aca="false">K557*INDEX('Tabela Passaro'!$M$2:$M$1795,$N557)</f>
        <v>5.5495</v>
      </c>
      <c r="T557" s="32" t="n">
        <f aca="false">K557*INDEX('Tabela Passaro'!$N$2:$N$1795,$N557)</f>
        <v>2.2198</v>
      </c>
      <c r="U557" s="32" t="n">
        <f aca="false">INDEX('Tabela Passaro'!$O$2:$O$1795,$N557)</f>
        <v>5</v>
      </c>
      <c r="V557" s="32" t="n">
        <f aca="false">ROUNDUP(J557/INDEX('Tabela Passaro'!$Q$2:$Q$1795,$N557),0)*INDEX('Tabela Passaro'!$P$2:$P$1795,$N557)</f>
        <v>5</v>
      </c>
      <c r="W557" s="32" t="n">
        <f aca="false">INDEX('Tabela Passaro'!$R$2:$R$1795,$N557)</f>
        <v>30</v>
      </c>
      <c r="X557" s="32" t="n">
        <f aca="false">ROUNDUP(J557/INDEX('Tabela Passaro'!$T$2:$T$1795,$N557),0)*INDEX('Tabela Passaro'!$S$2:$S$1795,$N557)</f>
        <v>0</v>
      </c>
      <c r="Y557" s="32" t="n">
        <f aca="false">INDEX('Tabela Passaro'!$U$2:$U$1795,$N557)</f>
        <v>0</v>
      </c>
      <c r="Z557" s="32" t="n">
        <f aca="false">INDEX('Tabela Passaro'!$V$2:$V$1795,$N557)</f>
        <v>0</v>
      </c>
      <c r="AA557" s="32" t="n">
        <f aca="false">SUM(R557:Z557)</f>
        <v>148.4193</v>
      </c>
      <c r="AB557" s="33" t="n">
        <f aca="false">INDEX(Premissas!$B$5:$B$13,MATCH(A557,Premissas!$A$5:$A$13,0))</f>
        <v>0.07</v>
      </c>
      <c r="AC557" s="32" t="n">
        <f aca="false">AA557/(1-AB557)-AA557</f>
        <v>11.1713451612903</v>
      </c>
      <c r="AD557" s="32" t="n">
        <f aca="false">ROUND(AA557+AC557,2)</f>
        <v>159.59</v>
      </c>
      <c r="AE557" s="32" t="n">
        <f aca="false">AD557-L557</f>
        <v>-31.7</v>
      </c>
      <c r="AF557" s="34" t="n">
        <f aca="false">IF(L557=0,0,AE557/L557)</f>
        <v>-0.165716974227612</v>
      </c>
      <c r="AG557" s="22" t="str">
        <f aca="false">IF(AD557&lt;L557,"PASSARO","ATUAL")</f>
        <v>PASSARO</v>
      </c>
      <c r="AH557" s="22" t="str">
        <f aca="false">IF(P557&lt;&gt;A557,"Faixa cadastrada como "&amp;P557&amp;" na tabela; preço aplicado pela UF do CEP","")</f>
        <v/>
      </c>
      <c r="AI557" s="26" t="n">
        <v>180.98</v>
      </c>
      <c r="AJ557" s="22" t="str">
        <f aca="false">INDEX('Tabela Passaro'!$X$2:$X$1795,$N557)</f>
        <v>INTERIOR 2</v>
      </c>
    </row>
    <row r="558" customFormat="false" ht="15" hidden="false" customHeight="false" outlineLevel="0" collapsed="false">
      <c r="A558" s="22" t="s">
        <v>16</v>
      </c>
      <c r="B558" s="22" t="n">
        <v>4</v>
      </c>
      <c r="C558" s="22" t="s">
        <v>81</v>
      </c>
      <c r="D558" s="22" t="s">
        <v>30</v>
      </c>
      <c r="E558" s="22" t="s">
        <v>7328</v>
      </c>
      <c r="F558" s="22" t="n">
        <v>2311309</v>
      </c>
      <c r="G558" s="30" t="n">
        <v>46246</v>
      </c>
      <c r="H558" s="22" t="n">
        <v>132760</v>
      </c>
      <c r="I558" s="22" t="s">
        <v>7832</v>
      </c>
      <c r="J558" s="31" t="n">
        <v>124.2</v>
      </c>
      <c r="K558" s="26" t="n">
        <v>1988.08</v>
      </c>
      <c r="L558" s="26" t="n">
        <v>270.5</v>
      </c>
      <c r="M558" s="22" t="s">
        <v>2091</v>
      </c>
      <c r="N558" s="22" t="n">
        <f aca="false">MATCH(M558,'Tabela Passaro'!$A$2:$A$1795,0)</f>
        <v>457</v>
      </c>
      <c r="O558" s="22" t="str">
        <f aca="false">INDEX('Tabela Passaro'!$C$2:$C$1795,$N558)</f>
        <v>VITORIA DA CONQUISTA</v>
      </c>
      <c r="P558" s="22" t="str">
        <f aca="false">INDEX('Tabela Passaro'!$B$2:$B$1795,$N558)</f>
        <v>BA</v>
      </c>
      <c r="Q558" s="22" t="n">
        <f aca="false">INDEX('Tabela Passaro'!$F$2:$F$1795,$N558)</f>
        <v>9</v>
      </c>
      <c r="R558" s="32" t="n">
        <f aca="false">IF(J558&lt;=10,INDEX('Tabela Passaro'!$G$2:$G$1795,$N558),IF(J558&lt;=30,INDEX('Tabela Passaro'!$H$2:$H$1795,$N558),IF(J558&lt;=50,INDEX('Tabela Passaro'!$I$2:$I$1795,$N558),IF(J558&lt;=70,INDEX('Tabela Passaro'!$J$2:$J$1795,$N558),IF(J558&lt;=100,INDEX('Tabela Passaro'!$K$2:$K$1795,$N558),INDEX('Tabela Passaro'!$K$2:$K$1795,$N558)+(J558-100)*INDEX('Tabela Passaro'!$L$2:$L$1795,$N558))))))</f>
        <v>160.086</v>
      </c>
      <c r="S558" s="32" t="n">
        <f aca="false">K558*INDEX('Tabela Passaro'!$M$2:$M$1795,$N558)</f>
        <v>9.9404</v>
      </c>
      <c r="T558" s="32" t="n">
        <f aca="false">K558*INDEX('Tabela Passaro'!$N$2:$N$1795,$N558)</f>
        <v>3.97616</v>
      </c>
      <c r="U558" s="32" t="n">
        <f aca="false">INDEX('Tabela Passaro'!$O$2:$O$1795,$N558)</f>
        <v>5</v>
      </c>
      <c r="V558" s="32" t="n">
        <f aca="false">ROUNDUP(J558/INDEX('Tabela Passaro'!$Q$2:$Q$1795,$N558),0)*INDEX('Tabela Passaro'!$P$2:$P$1795,$N558)</f>
        <v>10</v>
      </c>
      <c r="W558" s="32" t="n">
        <f aca="false">INDEX('Tabela Passaro'!$R$2:$R$1795,$N558)</f>
        <v>30</v>
      </c>
      <c r="X558" s="32" t="n">
        <f aca="false">ROUNDUP(J558/INDEX('Tabela Passaro'!$T$2:$T$1795,$N558),0)*INDEX('Tabela Passaro'!$S$2:$S$1795,$N558)</f>
        <v>0</v>
      </c>
      <c r="Y558" s="32" t="n">
        <f aca="false">INDEX('Tabela Passaro'!$U$2:$U$1795,$N558)</f>
        <v>0</v>
      </c>
      <c r="Z558" s="32" t="n">
        <f aca="false">INDEX('Tabela Passaro'!$V$2:$V$1795,$N558)</f>
        <v>0</v>
      </c>
      <c r="AA558" s="32" t="n">
        <f aca="false">SUM(R558:Z558)</f>
        <v>219.00256</v>
      </c>
      <c r="AB558" s="33" t="n">
        <f aca="false">INDEX(Premissas!$B$5:$B$13,MATCH(A558,Premissas!$A$5:$A$13,0))</f>
        <v>0.07</v>
      </c>
      <c r="AC558" s="32" t="n">
        <f aca="false">AA558/(1-AB558)-AA558</f>
        <v>16.484063655914</v>
      </c>
      <c r="AD558" s="32" t="n">
        <f aca="false">ROUND(AA558+AC558,2)</f>
        <v>235.49</v>
      </c>
      <c r="AE558" s="32" t="n">
        <f aca="false">AD558-L558</f>
        <v>-35.01</v>
      </c>
      <c r="AF558" s="34" t="n">
        <f aca="false">IF(L558=0,0,AE558/L558)</f>
        <v>-0.129426987060998</v>
      </c>
      <c r="AG558" s="22" t="str">
        <f aca="false">IF(AD558&lt;L558,"PASSARO","ATUAL")</f>
        <v>PASSARO</v>
      </c>
      <c r="AH558" s="22" t="str">
        <f aca="false">IF(P558&lt;&gt;A558,"Faixa cadastrada como "&amp;P558&amp;" na tabela; preço aplicado pela UF do CEP","")</f>
        <v/>
      </c>
      <c r="AI558" s="26" t="n">
        <v>297.34</v>
      </c>
      <c r="AJ558" s="22" t="str">
        <f aca="false">INDEX('Tabela Passaro'!$X$2:$X$1795,$N558)</f>
        <v>INTERIOR 2</v>
      </c>
    </row>
    <row r="559" customFormat="false" ht="15" hidden="false" customHeight="false" outlineLevel="0" collapsed="false">
      <c r="A559" s="22" t="s">
        <v>16</v>
      </c>
      <c r="B559" s="22" t="n">
        <v>4</v>
      </c>
      <c r="C559" s="22" t="s">
        <v>81</v>
      </c>
      <c r="D559" s="22" t="s">
        <v>30</v>
      </c>
      <c r="E559" s="22" t="s">
        <v>7328</v>
      </c>
      <c r="F559" s="22" t="n">
        <v>2312330</v>
      </c>
      <c r="G559" s="30" t="n">
        <v>46248</v>
      </c>
      <c r="H559" s="22" t="n">
        <v>133231</v>
      </c>
      <c r="I559" s="22" t="s">
        <v>7833</v>
      </c>
      <c r="J559" s="31" t="n">
        <v>30.99</v>
      </c>
      <c r="K559" s="26" t="n">
        <v>727.2</v>
      </c>
      <c r="L559" s="26" t="n">
        <v>152.41</v>
      </c>
      <c r="M559" s="22" t="s">
        <v>2091</v>
      </c>
      <c r="N559" s="22" t="n">
        <f aca="false">MATCH(M559,'Tabela Passaro'!$A$2:$A$1795,0)</f>
        <v>457</v>
      </c>
      <c r="O559" s="22" t="str">
        <f aca="false">INDEX('Tabela Passaro'!$C$2:$C$1795,$N559)</f>
        <v>VITORIA DA CONQUISTA</v>
      </c>
      <c r="P559" s="22" t="str">
        <f aca="false">INDEX('Tabela Passaro'!$B$2:$B$1795,$N559)</f>
        <v>BA</v>
      </c>
      <c r="Q559" s="22" t="n">
        <f aca="false">INDEX('Tabela Passaro'!$F$2:$F$1795,$N559)</f>
        <v>9</v>
      </c>
      <c r="R559" s="32" t="n">
        <f aca="false">IF(J559&lt;=10,INDEX('Tabela Passaro'!$G$2:$G$1795,$N559),IF(J559&lt;=30,INDEX('Tabela Passaro'!$H$2:$H$1795,$N559),IF(J559&lt;=50,INDEX('Tabela Passaro'!$I$2:$I$1795,$N559),IF(J559&lt;=70,INDEX('Tabela Passaro'!$J$2:$J$1795,$N559),IF(J559&lt;=100,INDEX('Tabela Passaro'!$K$2:$K$1795,$N559),INDEX('Tabela Passaro'!$K$2:$K$1795,$N559)+(J559-100)*INDEX('Tabela Passaro'!$L$2:$L$1795,$N559))))))</f>
        <v>89.14</v>
      </c>
      <c r="S559" s="32" t="n">
        <f aca="false">K559*INDEX('Tabela Passaro'!$M$2:$M$1795,$N559)</f>
        <v>3.636</v>
      </c>
      <c r="T559" s="32" t="n">
        <f aca="false">K559*INDEX('Tabela Passaro'!$N$2:$N$1795,$N559)</f>
        <v>1.4544</v>
      </c>
      <c r="U559" s="32" t="n">
        <f aca="false">INDEX('Tabela Passaro'!$O$2:$O$1795,$N559)</f>
        <v>5</v>
      </c>
      <c r="V559" s="32" t="n">
        <f aca="false">ROUNDUP(J559/INDEX('Tabela Passaro'!$Q$2:$Q$1795,$N559),0)*INDEX('Tabela Passaro'!$P$2:$P$1795,$N559)</f>
        <v>5</v>
      </c>
      <c r="W559" s="32" t="n">
        <f aca="false">INDEX('Tabela Passaro'!$R$2:$R$1795,$N559)</f>
        <v>30</v>
      </c>
      <c r="X559" s="32" t="n">
        <f aca="false">ROUNDUP(J559/INDEX('Tabela Passaro'!$T$2:$T$1795,$N559),0)*INDEX('Tabela Passaro'!$S$2:$S$1795,$N559)</f>
        <v>0</v>
      </c>
      <c r="Y559" s="32" t="n">
        <f aca="false">INDEX('Tabela Passaro'!$U$2:$U$1795,$N559)</f>
        <v>0</v>
      </c>
      <c r="Z559" s="32" t="n">
        <f aca="false">INDEX('Tabela Passaro'!$V$2:$V$1795,$N559)</f>
        <v>0</v>
      </c>
      <c r="AA559" s="32" t="n">
        <f aca="false">SUM(R559:Z559)</f>
        <v>134.2304</v>
      </c>
      <c r="AB559" s="33" t="n">
        <f aca="false">INDEX(Premissas!$B$5:$B$13,MATCH(A559,Premissas!$A$5:$A$13,0))</f>
        <v>0.07</v>
      </c>
      <c r="AC559" s="32" t="n">
        <f aca="false">AA559/(1-AB559)-AA559</f>
        <v>10.1033634408602</v>
      </c>
      <c r="AD559" s="32" t="n">
        <f aca="false">ROUND(AA559+AC559,2)</f>
        <v>144.33</v>
      </c>
      <c r="AE559" s="32" t="n">
        <f aca="false">AD559-L559</f>
        <v>-8.07999999999998</v>
      </c>
      <c r="AF559" s="34" t="n">
        <f aca="false">IF(L559=0,0,AE559/L559)</f>
        <v>-0.0530148940358243</v>
      </c>
      <c r="AG559" s="22" t="str">
        <f aca="false">IF(AD559&lt;L559,"PASSARO","ATUAL")</f>
        <v>PASSARO</v>
      </c>
      <c r="AH559" s="22" t="str">
        <f aca="false">IF(P559&lt;&gt;A559,"Faixa cadastrada como "&amp;P559&amp;" na tabela; preço aplicado pela UF do CEP","")</f>
        <v/>
      </c>
      <c r="AI559" s="26" t="n">
        <v>151.21</v>
      </c>
      <c r="AJ559" s="22" t="str">
        <f aca="false">INDEX('Tabela Passaro'!$X$2:$X$1795,$N559)</f>
        <v>INTERIOR 2</v>
      </c>
    </row>
    <row r="560" customFormat="false" ht="15" hidden="false" customHeight="false" outlineLevel="0" collapsed="false">
      <c r="A560" s="22" t="s">
        <v>16</v>
      </c>
      <c r="B560" s="22" t="n">
        <v>4</v>
      </c>
      <c r="C560" s="22" t="s">
        <v>81</v>
      </c>
      <c r="D560" s="22" t="s">
        <v>30</v>
      </c>
      <c r="E560" s="22" t="s">
        <v>7328</v>
      </c>
      <c r="F560" s="22" t="n">
        <v>2312417</v>
      </c>
      <c r="G560" s="30" t="n">
        <v>46248</v>
      </c>
      <c r="H560" s="22" t="n">
        <v>133316</v>
      </c>
      <c r="I560" s="22" t="s">
        <v>7834</v>
      </c>
      <c r="J560" s="31" t="n">
        <v>45.3</v>
      </c>
      <c r="K560" s="26" t="n">
        <v>700.25</v>
      </c>
      <c r="L560" s="26" t="n">
        <v>152.18</v>
      </c>
      <c r="M560" s="22" t="s">
        <v>2091</v>
      </c>
      <c r="N560" s="22" t="n">
        <f aca="false">MATCH(M560,'Tabela Passaro'!$A$2:$A$1795,0)</f>
        <v>457</v>
      </c>
      <c r="O560" s="22" t="str">
        <f aca="false">INDEX('Tabela Passaro'!$C$2:$C$1795,$N560)</f>
        <v>VITORIA DA CONQUISTA</v>
      </c>
      <c r="P560" s="22" t="str">
        <f aca="false">INDEX('Tabela Passaro'!$B$2:$B$1795,$N560)</f>
        <v>BA</v>
      </c>
      <c r="Q560" s="22" t="n">
        <f aca="false">INDEX('Tabela Passaro'!$F$2:$F$1795,$N560)</f>
        <v>9</v>
      </c>
      <c r="R560" s="32" t="n">
        <f aca="false">IF(J560&lt;=10,INDEX('Tabela Passaro'!$G$2:$G$1795,$N560),IF(J560&lt;=30,INDEX('Tabela Passaro'!$H$2:$H$1795,$N560),IF(J560&lt;=50,INDEX('Tabela Passaro'!$I$2:$I$1795,$N560),IF(J560&lt;=70,INDEX('Tabela Passaro'!$J$2:$J$1795,$N560),IF(J560&lt;=100,INDEX('Tabela Passaro'!$K$2:$K$1795,$N560),INDEX('Tabela Passaro'!$K$2:$K$1795,$N560)+(J560-100)*INDEX('Tabela Passaro'!$L$2:$L$1795,$N560))))))</f>
        <v>89.14</v>
      </c>
      <c r="S560" s="32" t="n">
        <f aca="false">K560*INDEX('Tabela Passaro'!$M$2:$M$1795,$N560)</f>
        <v>3.50125</v>
      </c>
      <c r="T560" s="32" t="n">
        <f aca="false">K560*INDEX('Tabela Passaro'!$N$2:$N$1795,$N560)</f>
        <v>1.4005</v>
      </c>
      <c r="U560" s="32" t="n">
        <f aca="false">INDEX('Tabela Passaro'!$O$2:$O$1795,$N560)</f>
        <v>5</v>
      </c>
      <c r="V560" s="32" t="n">
        <f aca="false">ROUNDUP(J560/INDEX('Tabela Passaro'!$Q$2:$Q$1795,$N560),0)*INDEX('Tabela Passaro'!$P$2:$P$1795,$N560)</f>
        <v>5</v>
      </c>
      <c r="W560" s="32" t="n">
        <f aca="false">INDEX('Tabela Passaro'!$R$2:$R$1795,$N560)</f>
        <v>30</v>
      </c>
      <c r="X560" s="32" t="n">
        <f aca="false">ROUNDUP(J560/INDEX('Tabela Passaro'!$T$2:$T$1795,$N560),0)*INDEX('Tabela Passaro'!$S$2:$S$1795,$N560)</f>
        <v>0</v>
      </c>
      <c r="Y560" s="32" t="n">
        <f aca="false">INDEX('Tabela Passaro'!$U$2:$U$1795,$N560)</f>
        <v>0</v>
      </c>
      <c r="Z560" s="32" t="n">
        <f aca="false">INDEX('Tabela Passaro'!$V$2:$V$1795,$N560)</f>
        <v>0</v>
      </c>
      <c r="AA560" s="32" t="n">
        <f aca="false">SUM(R560:Z560)</f>
        <v>134.04175</v>
      </c>
      <c r="AB560" s="33" t="n">
        <f aca="false">INDEX(Premissas!$B$5:$B$13,MATCH(A560,Premissas!$A$5:$A$13,0))</f>
        <v>0.07</v>
      </c>
      <c r="AC560" s="32" t="n">
        <f aca="false">AA560/(1-AB560)-AA560</f>
        <v>10.0891639784946</v>
      </c>
      <c r="AD560" s="32" t="n">
        <f aca="false">ROUND(AA560+AC560,2)</f>
        <v>144.13</v>
      </c>
      <c r="AE560" s="32" t="n">
        <f aca="false">AD560-L560</f>
        <v>-8.05000000000001</v>
      </c>
      <c r="AF560" s="34" t="n">
        <f aca="false">IF(L560=0,0,AE560/L560)</f>
        <v>-0.0528978840846367</v>
      </c>
      <c r="AG560" s="22" t="str">
        <f aca="false">IF(AD560&lt;L560,"PASSARO","ATUAL")</f>
        <v>PASSARO</v>
      </c>
      <c r="AH560" s="22" t="str">
        <f aca="false">IF(P560&lt;&gt;A560,"Faixa cadastrada como "&amp;P560&amp;" na tabela; preço aplicado pela UF do CEP","")</f>
        <v/>
      </c>
      <c r="AI560" s="26" t="n">
        <v>158.21</v>
      </c>
      <c r="AJ560" s="22" t="str">
        <f aca="false">INDEX('Tabela Passaro'!$X$2:$X$1795,$N560)</f>
        <v>INTERIOR 2</v>
      </c>
    </row>
    <row r="561" customFormat="false" ht="15" hidden="false" customHeight="false" outlineLevel="0" collapsed="false">
      <c r="A561" s="22" t="s">
        <v>16</v>
      </c>
      <c r="B561" s="22" t="n">
        <v>4</v>
      </c>
      <c r="C561" s="22" t="s">
        <v>81</v>
      </c>
      <c r="D561" s="22" t="s">
        <v>30</v>
      </c>
      <c r="E561" s="22" t="s">
        <v>7326</v>
      </c>
      <c r="F561" s="22" t="n">
        <v>526144</v>
      </c>
      <c r="G561" s="30" t="n">
        <v>46253</v>
      </c>
      <c r="H561" s="22" t="n">
        <v>627156</v>
      </c>
      <c r="I561" s="22" t="s">
        <v>7835</v>
      </c>
      <c r="J561" s="31" t="n">
        <v>59.05</v>
      </c>
      <c r="K561" s="26" t="n">
        <v>893.09</v>
      </c>
      <c r="L561" s="26" t="n">
        <v>222</v>
      </c>
      <c r="M561" s="22" t="s">
        <v>2091</v>
      </c>
      <c r="N561" s="22" t="n">
        <f aca="false">MATCH(M561,'Tabela Passaro'!$A$2:$A$1795,0)</f>
        <v>457</v>
      </c>
      <c r="O561" s="22" t="str">
        <f aca="false">INDEX('Tabela Passaro'!$C$2:$C$1795,$N561)</f>
        <v>VITORIA DA CONQUISTA</v>
      </c>
      <c r="P561" s="22" t="str">
        <f aca="false">INDEX('Tabela Passaro'!$B$2:$B$1795,$N561)</f>
        <v>BA</v>
      </c>
      <c r="Q561" s="22" t="n">
        <f aca="false">INDEX('Tabela Passaro'!$F$2:$F$1795,$N561)</f>
        <v>9</v>
      </c>
      <c r="R561" s="32" t="n">
        <f aca="false">IF(J561&lt;=10,INDEX('Tabela Passaro'!$G$2:$G$1795,$N561),IF(J561&lt;=30,INDEX('Tabela Passaro'!$H$2:$H$1795,$N561),IF(J561&lt;=50,INDEX('Tabela Passaro'!$I$2:$I$1795,$N561),IF(J561&lt;=70,INDEX('Tabela Passaro'!$J$2:$J$1795,$N561),IF(J561&lt;=100,INDEX('Tabela Passaro'!$K$2:$K$1795,$N561),INDEX('Tabela Passaro'!$K$2:$K$1795,$N561)+(J561-100)*INDEX('Tabela Passaro'!$L$2:$L$1795,$N561))))))</f>
        <v>100.65</v>
      </c>
      <c r="S561" s="32" t="n">
        <f aca="false">K561*INDEX('Tabela Passaro'!$M$2:$M$1795,$N561)</f>
        <v>4.46545</v>
      </c>
      <c r="T561" s="32" t="n">
        <f aca="false">K561*INDEX('Tabela Passaro'!$N$2:$N$1795,$N561)</f>
        <v>1.78618</v>
      </c>
      <c r="U561" s="32" t="n">
        <f aca="false">INDEX('Tabela Passaro'!$O$2:$O$1795,$N561)</f>
        <v>5</v>
      </c>
      <c r="V561" s="32" t="n">
        <f aca="false">ROUNDUP(J561/INDEX('Tabela Passaro'!$Q$2:$Q$1795,$N561),0)*INDEX('Tabela Passaro'!$P$2:$P$1795,$N561)</f>
        <v>5</v>
      </c>
      <c r="W561" s="32" t="n">
        <f aca="false">INDEX('Tabela Passaro'!$R$2:$R$1795,$N561)</f>
        <v>30</v>
      </c>
      <c r="X561" s="32" t="n">
        <f aca="false">ROUNDUP(J561/INDEX('Tabela Passaro'!$T$2:$T$1795,$N561),0)*INDEX('Tabela Passaro'!$S$2:$S$1795,$N561)</f>
        <v>0</v>
      </c>
      <c r="Y561" s="32" t="n">
        <f aca="false">INDEX('Tabela Passaro'!$U$2:$U$1795,$N561)</f>
        <v>0</v>
      </c>
      <c r="Z561" s="32" t="n">
        <f aca="false">INDEX('Tabela Passaro'!$V$2:$V$1795,$N561)</f>
        <v>0</v>
      </c>
      <c r="AA561" s="32" t="n">
        <f aca="false">SUM(R561:Z561)</f>
        <v>146.90163</v>
      </c>
      <c r="AB561" s="33" t="n">
        <f aca="false">INDEX(Premissas!$B$5:$B$13,MATCH(A561,Premissas!$A$5:$A$13,0))</f>
        <v>0.07</v>
      </c>
      <c r="AC561" s="32" t="n">
        <f aca="false">AA561/(1-AB561)-AA561</f>
        <v>11.0571119354839</v>
      </c>
      <c r="AD561" s="32" t="n">
        <f aca="false">ROUND(AA561+AC561,2)</f>
        <v>157.96</v>
      </c>
      <c r="AE561" s="32" t="n">
        <f aca="false">AD561-L561</f>
        <v>-64.04</v>
      </c>
      <c r="AF561" s="34" t="n">
        <f aca="false">IF(L561=0,0,AE561/L561)</f>
        <v>-0.288468468468468</v>
      </c>
      <c r="AG561" s="22" t="str">
        <f aca="false">IF(AD561&lt;L561,"PASSARO","ATUAL")</f>
        <v>PASSARO</v>
      </c>
      <c r="AH561" s="22" t="str">
        <f aca="false">IF(P561&lt;&gt;A561,"Faixa cadastrada como "&amp;P561&amp;" na tabela; preço aplicado pela UF do CEP","")</f>
        <v/>
      </c>
      <c r="AI561" s="26" t="n">
        <v>179.36</v>
      </c>
      <c r="AJ561" s="22" t="str">
        <f aca="false">INDEX('Tabela Passaro'!$X$2:$X$1795,$N561)</f>
        <v>INTERIOR 2</v>
      </c>
    </row>
    <row r="562" customFormat="false" ht="15" hidden="false" customHeight="false" outlineLevel="0" collapsed="false">
      <c r="A562" s="22" t="s">
        <v>16</v>
      </c>
      <c r="B562" s="22" t="n">
        <v>4</v>
      </c>
      <c r="C562" s="22" t="s">
        <v>81</v>
      </c>
      <c r="D562" s="22" t="s">
        <v>30</v>
      </c>
      <c r="E562" s="22" t="s">
        <v>7328</v>
      </c>
      <c r="F562" s="22" t="n">
        <v>2314423</v>
      </c>
      <c r="G562" s="30" t="n">
        <v>46254</v>
      </c>
      <c r="H562" s="22" t="n">
        <v>134085</v>
      </c>
      <c r="I562" s="22" t="s">
        <v>7836</v>
      </c>
      <c r="J562" s="31" t="n">
        <v>19.4</v>
      </c>
      <c r="K562" s="26" t="n">
        <v>462.94</v>
      </c>
      <c r="L562" s="26" t="n">
        <v>116.55</v>
      </c>
      <c r="M562" s="22" t="s">
        <v>2091</v>
      </c>
      <c r="N562" s="22" t="n">
        <f aca="false">MATCH(M562,'Tabela Passaro'!$A$2:$A$1795,0)</f>
        <v>457</v>
      </c>
      <c r="O562" s="22" t="str">
        <f aca="false">INDEX('Tabela Passaro'!$C$2:$C$1795,$N562)</f>
        <v>VITORIA DA CONQUISTA</v>
      </c>
      <c r="P562" s="22" t="str">
        <f aca="false">INDEX('Tabela Passaro'!$B$2:$B$1795,$N562)</f>
        <v>BA</v>
      </c>
      <c r="Q562" s="22" t="n">
        <f aca="false">INDEX('Tabela Passaro'!$F$2:$F$1795,$N562)</f>
        <v>9</v>
      </c>
      <c r="R562" s="32" t="n">
        <f aca="false">IF(J562&lt;=10,INDEX('Tabela Passaro'!$G$2:$G$1795,$N562),IF(J562&lt;=30,INDEX('Tabela Passaro'!$H$2:$H$1795,$N562),IF(J562&lt;=50,INDEX('Tabela Passaro'!$I$2:$I$1795,$N562),IF(J562&lt;=70,INDEX('Tabela Passaro'!$J$2:$J$1795,$N562),IF(J562&lt;=100,INDEX('Tabela Passaro'!$K$2:$K$1795,$N562),INDEX('Tabela Passaro'!$K$2:$K$1795,$N562)+(J562-100)*INDEX('Tabela Passaro'!$L$2:$L$1795,$N562))))))</f>
        <v>77.62</v>
      </c>
      <c r="S562" s="32" t="n">
        <f aca="false">K562*INDEX('Tabela Passaro'!$M$2:$M$1795,$N562)</f>
        <v>2.3147</v>
      </c>
      <c r="T562" s="32" t="n">
        <f aca="false">K562*INDEX('Tabela Passaro'!$N$2:$N$1795,$N562)</f>
        <v>0.92588</v>
      </c>
      <c r="U562" s="32" t="n">
        <f aca="false">INDEX('Tabela Passaro'!$O$2:$O$1795,$N562)</f>
        <v>5</v>
      </c>
      <c r="V562" s="32" t="n">
        <f aca="false">ROUNDUP(J562/INDEX('Tabela Passaro'!$Q$2:$Q$1795,$N562),0)*INDEX('Tabela Passaro'!$P$2:$P$1795,$N562)</f>
        <v>5</v>
      </c>
      <c r="W562" s="32" t="n">
        <f aca="false">INDEX('Tabela Passaro'!$R$2:$R$1795,$N562)</f>
        <v>30</v>
      </c>
      <c r="X562" s="32" t="n">
        <f aca="false">ROUNDUP(J562/INDEX('Tabela Passaro'!$T$2:$T$1795,$N562),0)*INDEX('Tabela Passaro'!$S$2:$S$1795,$N562)</f>
        <v>0</v>
      </c>
      <c r="Y562" s="32" t="n">
        <f aca="false">INDEX('Tabela Passaro'!$U$2:$U$1795,$N562)</f>
        <v>0</v>
      </c>
      <c r="Z562" s="32" t="n">
        <f aca="false">INDEX('Tabela Passaro'!$V$2:$V$1795,$N562)</f>
        <v>0</v>
      </c>
      <c r="AA562" s="32" t="n">
        <f aca="false">SUM(R562:Z562)</f>
        <v>120.86058</v>
      </c>
      <c r="AB562" s="33" t="n">
        <f aca="false">INDEX(Premissas!$B$5:$B$13,MATCH(A562,Premissas!$A$5:$A$13,0))</f>
        <v>0.07</v>
      </c>
      <c r="AC562" s="32" t="n">
        <f aca="false">AA562/(1-AB562)-AA562</f>
        <v>9.09703290322582</v>
      </c>
      <c r="AD562" s="32" t="n">
        <f aca="false">ROUND(AA562+AC562,2)</f>
        <v>129.96</v>
      </c>
      <c r="AE562" s="32" t="n">
        <f aca="false">AD562-L562</f>
        <v>13.41</v>
      </c>
      <c r="AF562" s="34" t="n">
        <f aca="false">IF(L562=0,0,AE562/L562)</f>
        <v>0.115057915057915</v>
      </c>
      <c r="AG562" s="22" t="str">
        <f aca="false">IF(AD562&lt;L562,"PASSARO","ATUAL")</f>
        <v>ATUAL</v>
      </c>
      <c r="AH562" s="22" t="str">
        <f aca="false">IF(P562&lt;&gt;A562,"Faixa cadastrada como "&amp;P562&amp;" na tabela; preço aplicado pela UF do CEP","")</f>
        <v/>
      </c>
      <c r="AI562" s="26" t="n">
        <v>130.8</v>
      </c>
      <c r="AJ562" s="22" t="str">
        <f aca="false">INDEX('Tabela Passaro'!$X$2:$X$1795,$N562)</f>
        <v>INTERIOR 2</v>
      </c>
    </row>
    <row r="563" customFormat="false" ht="15" hidden="false" customHeight="false" outlineLevel="0" collapsed="false">
      <c r="A563" s="22" t="s">
        <v>16</v>
      </c>
      <c r="B563" s="22" t="n">
        <v>4</v>
      </c>
      <c r="C563" s="22" t="s">
        <v>81</v>
      </c>
      <c r="D563" s="22" t="s">
        <v>30</v>
      </c>
      <c r="E563" s="22" t="s">
        <v>7328</v>
      </c>
      <c r="F563" s="22" t="n">
        <v>2314393</v>
      </c>
      <c r="G563" s="30" t="n">
        <v>46254</v>
      </c>
      <c r="H563" s="22" t="n">
        <v>134287</v>
      </c>
      <c r="I563" s="22" t="s">
        <v>7837</v>
      </c>
      <c r="J563" s="31" t="n">
        <v>39.9</v>
      </c>
      <c r="K563" s="26" t="n">
        <v>681.28</v>
      </c>
      <c r="L563" s="26" t="n">
        <v>152.04</v>
      </c>
      <c r="M563" s="22" t="s">
        <v>2091</v>
      </c>
      <c r="N563" s="22" t="n">
        <f aca="false">MATCH(M563,'Tabela Passaro'!$A$2:$A$1795,0)</f>
        <v>457</v>
      </c>
      <c r="O563" s="22" t="str">
        <f aca="false">INDEX('Tabela Passaro'!$C$2:$C$1795,$N563)</f>
        <v>VITORIA DA CONQUISTA</v>
      </c>
      <c r="P563" s="22" t="str">
        <f aca="false">INDEX('Tabela Passaro'!$B$2:$B$1795,$N563)</f>
        <v>BA</v>
      </c>
      <c r="Q563" s="22" t="n">
        <f aca="false">INDEX('Tabela Passaro'!$F$2:$F$1795,$N563)</f>
        <v>9</v>
      </c>
      <c r="R563" s="32" t="n">
        <f aca="false">IF(J563&lt;=10,INDEX('Tabela Passaro'!$G$2:$G$1795,$N563),IF(J563&lt;=30,INDEX('Tabela Passaro'!$H$2:$H$1795,$N563),IF(J563&lt;=50,INDEX('Tabela Passaro'!$I$2:$I$1795,$N563),IF(J563&lt;=70,INDEX('Tabela Passaro'!$J$2:$J$1795,$N563),IF(J563&lt;=100,INDEX('Tabela Passaro'!$K$2:$K$1795,$N563),INDEX('Tabela Passaro'!$K$2:$K$1795,$N563)+(J563-100)*INDEX('Tabela Passaro'!$L$2:$L$1795,$N563))))))</f>
        <v>89.14</v>
      </c>
      <c r="S563" s="32" t="n">
        <f aca="false">K563*INDEX('Tabela Passaro'!$M$2:$M$1795,$N563)</f>
        <v>3.4064</v>
      </c>
      <c r="T563" s="32" t="n">
        <f aca="false">K563*INDEX('Tabela Passaro'!$N$2:$N$1795,$N563)</f>
        <v>1.36256</v>
      </c>
      <c r="U563" s="32" t="n">
        <f aca="false">INDEX('Tabela Passaro'!$O$2:$O$1795,$N563)</f>
        <v>5</v>
      </c>
      <c r="V563" s="32" t="n">
        <f aca="false">ROUNDUP(J563/INDEX('Tabela Passaro'!$Q$2:$Q$1795,$N563),0)*INDEX('Tabela Passaro'!$P$2:$P$1795,$N563)</f>
        <v>5</v>
      </c>
      <c r="W563" s="32" t="n">
        <f aca="false">INDEX('Tabela Passaro'!$R$2:$R$1795,$N563)</f>
        <v>30</v>
      </c>
      <c r="X563" s="32" t="n">
        <f aca="false">ROUNDUP(J563/INDEX('Tabela Passaro'!$T$2:$T$1795,$N563),0)*INDEX('Tabela Passaro'!$S$2:$S$1795,$N563)</f>
        <v>0</v>
      </c>
      <c r="Y563" s="32" t="n">
        <f aca="false">INDEX('Tabela Passaro'!$U$2:$U$1795,$N563)</f>
        <v>0</v>
      </c>
      <c r="Z563" s="32" t="n">
        <f aca="false">INDEX('Tabela Passaro'!$V$2:$V$1795,$N563)</f>
        <v>0</v>
      </c>
      <c r="AA563" s="32" t="n">
        <f aca="false">SUM(R563:Z563)</f>
        <v>133.90896</v>
      </c>
      <c r="AB563" s="33" t="n">
        <f aca="false">INDEX(Premissas!$B$5:$B$13,MATCH(A563,Premissas!$A$5:$A$13,0))</f>
        <v>0.07</v>
      </c>
      <c r="AC563" s="32" t="n">
        <f aca="false">AA563/(1-AB563)-AA563</f>
        <v>10.0791690322581</v>
      </c>
      <c r="AD563" s="32" t="n">
        <f aca="false">ROUND(AA563+AC563,2)</f>
        <v>143.99</v>
      </c>
      <c r="AE563" s="32" t="n">
        <f aca="false">AD563-L563</f>
        <v>-8.04999999999998</v>
      </c>
      <c r="AF563" s="34" t="n">
        <f aca="false">IF(L563=0,0,AE563/L563)</f>
        <v>-0.0529465930018415</v>
      </c>
      <c r="AG563" s="22" t="str">
        <f aca="false">IF(AD563&lt;L563,"PASSARO","ATUAL")</f>
        <v>PASSARO</v>
      </c>
      <c r="AH563" s="22" t="str">
        <f aca="false">IF(P563&lt;&gt;A563,"Faixa cadastrada como "&amp;P563&amp;" na tabela; preço aplicado pela UF do CEP","")</f>
        <v/>
      </c>
      <c r="AI563" s="26" t="n">
        <v>155.12</v>
      </c>
      <c r="AJ563" s="22" t="str">
        <f aca="false">INDEX('Tabela Passaro'!$X$2:$X$1795,$N563)</f>
        <v>INTERIOR 2</v>
      </c>
    </row>
    <row r="564" customFormat="false" ht="15" hidden="false" customHeight="false" outlineLevel="0" collapsed="false">
      <c r="A564" s="22" t="s">
        <v>16</v>
      </c>
      <c r="B564" s="22" t="n">
        <v>4</v>
      </c>
      <c r="C564" s="22" t="s">
        <v>81</v>
      </c>
      <c r="D564" s="22" t="s">
        <v>30</v>
      </c>
      <c r="E564" s="22" t="s">
        <v>7326</v>
      </c>
      <c r="F564" s="22" t="n">
        <v>526655</v>
      </c>
      <c r="G564" s="30" t="n">
        <v>46255</v>
      </c>
      <c r="H564" s="22" t="n">
        <v>627524</v>
      </c>
      <c r="I564" s="22" t="s">
        <v>7838</v>
      </c>
      <c r="J564" s="31" t="n">
        <v>107.7</v>
      </c>
      <c r="K564" s="26" t="n">
        <v>1679.53</v>
      </c>
      <c r="L564" s="26" t="n">
        <v>314.43</v>
      </c>
      <c r="M564" s="22" t="s">
        <v>2091</v>
      </c>
      <c r="N564" s="22" t="n">
        <f aca="false">MATCH(M564,'Tabela Passaro'!$A$2:$A$1795,0)</f>
        <v>457</v>
      </c>
      <c r="O564" s="22" t="str">
        <f aca="false">INDEX('Tabela Passaro'!$C$2:$C$1795,$N564)</f>
        <v>VITORIA DA CONQUISTA</v>
      </c>
      <c r="P564" s="22" t="str">
        <f aca="false">INDEX('Tabela Passaro'!$B$2:$B$1795,$N564)</f>
        <v>BA</v>
      </c>
      <c r="Q564" s="22" t="n">
        <f aca="false">INDEX('Tabela Passaro'!$F$2:$F$1795,$N564)</f>
        <v>9</v>
      </c>
      <c r="R564" s="32" t="n">
        <f aca="false">IF(J564&lt;=10,INDEX('Tabela Passaro'!$G$2:$G$1795,$N564),IF(J564&lt;=30,INDEX('Tabela Passaro'!$H$2:$H$1795,$N564),IF(J564&lt;=50,INDEX('Tabela Passaro'!$I$2:$I$1795,$N564),IF(J564&lt;=70,INDEX('Tabela Passaro'!$J$2:$J$1795,$N564),IF(J564&lt;=100,INDEX('Tabela Passaro'!$K$2:$K$1795,$N564),INDEX('Tabela Passaro'!$K$2:$K$1795,$N564)+(J564-100)*INDEX('Tabela Passaro'!$L$2:$L$1795,$N564))))))</f>
        <v>127.416</v>
      </c>
      <c r="S564" s="32" t="n">
        <f aca="false">K564*INDEX('Tabela Passaro'!$M$2:$M$1795,$N564)</f>
        <v>8.39765</v>
      </c>
      <c r="T564" s="32" t="n">
        <f aca="false">K564*INDEX('Tabela Passaro'!$N$2:$N$1795,$N564)</f>
        <v>3.35906</v>
      </c>
      <c r="U564" s="32" t="n">
        <f aca="false">INDEX('Tabela Passaro'!$O$2:$O$1795,$N564)</f>
        <v>5</v>
      </c>
      <c r="V564" s="32" t="n">
        <f aca="false">ROUNDUP(J564/INDEX('Tabela Passaro'!$Q$2:$Q$1795,$N564),0)*INDEX('Tabela Passaro'!$P$2:$P$1795,$N564)</f>
        <v>10</v>
      </c>
      <c r="W564" s="32" t="n">
        <f aca="false">INDEX('Tabela Passaro'!$R$2:$R$1795,$N564)</f>
        <v>30</v>
      </c>
      <c r="X564" s="32" t="n">
        <f aca="false">ROUNDUP(J564/INDEX('Tabela Passaro'!$T$2:$T$1795,$N564),0)*INDEX('Tabela Passaro'!$S$2:$S$1795,$N564)</f>
        <v>0</v>
      </c>
      <c r="Y564" s="32" t="n">
        <f aca="false">INDEX('Tabela Passaro'!$U$2:$U$1795,$N564)</f>
        <v>0</v>
      </c>
      <c r="Z564" s="32" t="n">
        <f aca="false">INDEX('Tabela Passaro'!$V$2:$V$1795,$N564)</f>
        <v>0</v>
      </c>
      <c r="AA564" s="32" t="n">
        <f aca="false">SUM(R564:Z564)</f>
        <v>184.17271</v>
      </c>
      <c r="AB564" s="33" t="n">
        <f aca="false">INDEX(Premissas!$B$5:$B$13,MATCH(A564,Premissas!$A$5:$A$13,0))</f>
        <v>0.07</v>
      </c>
      <c r="AC564" s="32" t="n">
        <f aca="false">AA564/(1-AB564)-AA564</f>
        <v>13.8624620430108</v>
      </c>
      <c r="AD564" s="32" t="n">
        <f aca="false">ROUND(AA564+AC564,2)</f>
        <v>198.04</v>
      </c>
      <c r="AE564" s="32" t="n">
        <f aca="false">AD564-L564</f>
        <v>-116.39</v>
      </c>
      <c r="AF564" s="34" t="n">
        <f aca="false">IF(L564=0,0,AE564/L564)</f>
        <v>-0.370161880227714</v>
      </c>
      <c r="AG564" s="22" t="str">
        <f aca="false">IF(AD564&lt;L564,"PASSARO","ATUAL")</f>
        <v>PASSARO</v>
      </c>
      <c r="AH564" s="22" t="str">
        <f aca="false">IF(P564&lt;&gt;A564,"Faixa cadastrada como "&amp;P564&amp;" na tabela; preço aplicado pela UF do CEP","")</f>
        <v/>
      </c>
      <c r="AI564" s="26" t="n">
        <v>246.57</v>
      </c>
      <c r="AJ564" s="22" t="str">
        <f aca="false">INDEX('Tabela Passaro'!$X$2:$X$1795,$N564)</f>
        <v>INTERIOR 2</v>
      </c>
    </row>
    <row r="565" customFormat="false" ht="15" hidden="false" customHeight="false" outlineLevel="0" collapsed="false">
      <c r="A565" s="22" t="s">
        <v>16</v>
      </c>
      <c r="B565" s="22" t="n">
        <v>4</v>
      </c>
      <c r="C565" s="22" t="s">
        <v>81</v>
      </c>
      <c r="D565" s="22" t="s">
        <v>30</v>
      </c>
      <c r="E565" s="22" t="s">
        <v>20</v>
      </c>
      <c r="F565" s="22" t="n">
        <v>839926</v>
      </c>
      <c r="G565" s="30" t="n">
        <v>46258</v>
      </c>
      <c r="H565" s="22" t="n">
        <v>32611</v>
      </c>
      <c r="I565" s="22" t="s">
        <v>7839</v>
      </c>
      <c r="J565" s="31" t="n">
        <v>45.4</v>
      </c>
      <c r="K565" s="26" t="n">
        <v>785.27</v>
      </c>
      <c r="L565" s="26" t="n">
        <v>153.32</v>
      </c>
      <c r="M565" s="22" t="s">
        <v>2091</v>
      </c>
      <c r="N565" s="22" t="n">
        <f aca="false">MATCH(M565,'Tabela Passaro'!$A$2:$A$1795,0)</f>
        <v>457</v>
      </c>
      <c r="O565" s="22" t="str">
        <f aca="false">INDEX('Tabela Passaro'!$C$2:$C$1795,$N565)</f>
        <v>VITORIA DA CONQUISTA</v>
      </c>
      <c r="P565" s="22" t="str">
        <f aca="false">INDEX('Tabela Passaro'!$B$2:$B$1795,$N565)</f>
        <v>BA</v>
      </c>
      <c r="Q565" s="22" t="n">
        <f aca="false">INDEX('Tabela Passaro'!$F$2:$F$1795,$N565)</f>
        <v>9</v>
      </c>
      <c r="R565" s="32" t="n">
        <f aca="false">IF(J565&lt;=10,INDEX('Tabela Passaro'!$G$2:$G$1795,$N565),IF(J565&lt;=30,INDEX('Tabela Passaro'!$H$2:$H$1795,$N565),IF(J565&lt;=50,INDEX('Tabela Passaro'!$I$2:$I$1795,$N565),IF(J565&lt;=70,INDEX('Tabela Passaro'!$J$2:$J$1795,$N565),IF(J565&lt;=100,INDEX('Tabela Passaro'!$K$2:$K$1795,$N565),INDEX('Tabela Passaro'!$K$2:$K$1795,$N565)+(J565-100)*INDEX('Tabela Passaro'!$L$2:$L$1795,$N565))))))</f>
        <v>89.14</v>
      </c>
      <c r="S565" s="32" t="n">
        <f aca="false">K565*INDEX('Tabela Passaro'!$M$2:$M$1795,$N565)</f>
        <v>3.92635</v>
      </c>
      <c r="T565" s="32" t="n">
        <f aca="false">K565*INDEX('Tabela Passaro'!$N$2:$N$1795,$N565)</f>
        <v>1.57054</v>
      </c>
      <c r="U565" s="32" t="n">
        <f aca="false">INDEX('Tabela Passaro'!$O$2:$O$1795,$N565)</f>
        <v>5</v>
      </c>
      <c r="V565" s="32" t="n">
        <f aca="false">ROUNDUP(J565/INDEX('Tabela Passaro'!$Q$2:$Q$1795,$N565),0)*INDEX('Tabela Passaro'!$P$2:$P$1795,$N565)</f>
        <v>5</v>
      </c>
      <c r="W565" s="32" t="n">
        <f aca="false">INDEX('Tabela Passaro'!$R$2:$R$1795,$N565)</f>
        <v>30</v>
      </c>
      <c r="X565" s="32" t="n">
        <f aca="false">ROUNDUP(J565/INDEX('Tabela Passaro'!$T$2:$T$1795,$N565),0)*INDEX('Tabela Passaro'!$S$2:$S$1795,$N565)</f>
        <v>0</v>
      </c>
      <c r="Y565" s="32" t="n">
        <f aca="false">INDEX('Tabela Passaro'!$U$2:$U$1795,$N565)</f>
        <v>0</v>
      </c>
      <c r="Z565" s="32" t="n">
        <f aca="false">INDEX('Tabela Passaro'!$V$2:$V$1795,$N565)</f>
        <v>0</v>
      </c>
      <c r="AA565" s="32" t="n">
        <f aca="false">SUM(R565:Z565)</f>
        <v>134.63689</v>
      </c>
      <c r="AB565" s="33" t="n">
        <f aca="false">INDEX(Premissas!$B$5:$B$13,MATCH(A565,Premissas!$A$5:$A$13,0))</f>
        <v>0.07</v>
      </c>
      <c r="AC565" s="32" t="n">
        <f aca="false">AA565/(1-AB565)-AA565</f>
        <v>10.1339594623656</v>
      </c>
      <c r="AD565" s="32" t="n">
        <f aca="false">ROUND(AA565+AC565,2)</f>
        <v>144.77</v>
      </c>
      <c r="AE565" s="32" t="n">
        <f aca="false">AD565-L565</f>
        <v>-8.54999999999998</v>
      </c>
      <c r="AF565" s="34" t="n">
        <f aca="false">IF(L565=0,0,AE565/L565)</f>
        <v>-0.0557657187581528</v>
      </c>
      <c r="AG565" s="22" t="str">
        <f aca="false">IF(AD565&lt;L565,"PASSARO","ATUAL")</f>
        <v>PASSARO</v>
      </c>
      <c r="AH565" s="22" t="str">
        <f aca="false">IF(P565&lt;&gt;A565,"Faixa cadastrada como "&amp;P565&amp;" na tabela; preço aplicado pela UF do CEP","")</f>
        <v/>
      </c>
      <c r="AI565" s="26" t="n">
        <v>159.03</v>
      </c>
      <c r="AJ565" s="22" t="str">
        <f aca="false">INDEX('Tabela Passaro'!$X$2:$X$1795,$N565)</f>
        <v>INTERIOR 2</v>
      </c>
    </row>
    <row r="566" customFormat="false" ht="15" hidden="false" customHeight="false" outlineLevel="0" collapsed="false">
      <c r="A566" s="22" t="s">
        <v>16</v>
      </c>
      <c r="B566" s="22" t="n">
        <v>4</v>
      </c>
      <c r="C566" s="22" t="s">
        <v>81</v>
      </c>
      <c r="D566" s="22" t="s">
        <v>30</v>
      </c>
      <c r="E566" s="22" t="s">
        <v>7328</v>
      </c>
      <c r="F566" s="22" t="n">
        <v>2315691</v>
      </c>
      <c r="G566" s="30" t="n">
        <v>46258</v>
      </c>
      <c r="H566" s="22" t="n">
        <v>134417</v>
      </c>
      <c r="I566" s="22" t="s">
        <v>7840</v>
      </c>
      <c r="J566" s="31" t="n">
        <v>61.3</v>
      </c>
      <c r="K566" s="26" t="n">
        <v>1030.99</v>
      </c>
      <c r="L566" s="26" t="n">
        <v>190.67</v>
      </c>
      <c r="M566" s="22" t="s">
        <v>2091</v>
      </c>
      <c r="N566" s="22" t="n">
        <f aca="false">MATCH(M566,'Tabela Passaro'!$A$2:$A$1795,0)</f>
        <v>457</v>
      </c>
      <c r="O566" s="22" t="str">
        <f aca="false">INDEX('Tabela Passaro'!$C$2:$C$1795,$N566)</f>
        <v>VITORIA DA CONQUISTA</v>
      </c>
      <c r="P566" s="22" t="str">
        <f aca="false">INDEX('Tabela Passaro'!$B$2:$B$1795,$N566)</f>
        <v>BA</v>
      </c>
      <c r="Q566" s="22" t="n">
        <f aca="false">INDEX('Tabela Passaro'!$F$2:$F$1795,$N566)</f>
        <v>9</v>
      </c>
      <c r="R566" s="32" t="n">
        <f aca="false">IF(J566&lt;=10,INDEX('Tabela Passaro'!$G$2:$G$1795,$N566),IF(J566&lt;=30,INDEX('Tabela Passaro'!$H$2:$H$1795,$N566),IF(J566&lt;=50,INDEX('Tabela Passaro'!$I$2:$I$1795,$N566),IF(J566&lt;=70,INDEX('Tabela Passaro'!$J$2:$J$1795,$N566),IF(J566&lt;=100,INDEX('Tabela Passaro'!$K$2:$K$1795,$N566),INDEX('Tabela Passaro'!$K$2:$K$1795,$N566)+(J566-100)*INDEX('Tabela Passaro'!$L$2:$L$1795,$N566))))))</f>
        <v>100.65</v>
      </c>
      <c r="S566" s="32" t="n">
        <f aca="false">K566*INDEX('Tabela Passaro'!$M$2:$M$1795,$N566)</f>
        <v>5.15495</v>
      </c>
      <c r="T566" s="32" t="n">
        <f aca="false">K566*INDEX('Tabela Passaro'!$N$2:$N$1795,$N566)</f>
        <v>2.06198</v>
      </c>
      <c r="U566" s="32" t="n">
        <f aca="false">INDEX('Tabela Passaro'!$O$2:$O$1795,$N566)</f>
        <v>5</v>
      </c>
      <c r="V566" s="32" t="n">
        <f aca="false">ROUNDUP(J566/INDEX('Tabela Passaro'!$Q$2:$Q$1795,$N566),0)*INDEX('Tabela Passaro'!$P$2:$P$1795,$N566)</f>
        <v>5</v>
      </c>
      <c r="W566" s="32" t="n">
        <f aca="false">INDEX('Tabela Passaro'!$R$2:$R$1795,$N566)</f>
        <v>30</v>
      </c>
      <c r="X566" s="32" t="n">
        <f aca="false">ROUNDUP(J566/INDEX('Tabela Passaro'!$T$2:$T$1795,$N566),0)*INDEX('Tabela Passaro'!$S$2:$S$1795,$N566)</f>
        <v>0</v>
      </c>
      <c r="Y566" s="32" t="n">
        <f aca="false">INDEX('Tabela Passaro'!$U$2:$U$1795,$N566)</f>
        <v>0</v>
      </c>
      <c r="Z566" s="32" t="n">
        <f aca="false">INDEX('Tabela Passaro'!$V$2:$V$1795,$N566)</f>
        <v>0</v>
      </c>
      <c r="AA566" s="32" t="n">
        <f aca="false">SUM(R566:Z566)</f>
        <v>147.86693</v>
      </c>
      <c r="AB566" s="33" t="n">
        <f aca="false">INDEX(Premissas!$B$5:$B$13,MATCH(A566,Premissas!$A$5:$A$13,0))</f>
        <v>0.07</v>
      </c>
      <c r="AC566" s="32" t="n">
        <f aca="false">AA566/(1-AB566)-AA566</f>
        <v>11.1297689247312</v>
      </c>
      <c r="AD566" s="32" t="n">
        <f aca="false">ROUND(AA566+AC566,2)</f>
        <v>159</v>
      </c>
      <c r="AE566" s="32" t="n">
        <f aca="false">AD566-L566</f>
        <v>-31.67</v>
      </c>
      <c r="AF566" s="34" t="n">
        <f aca="false">IF(L566=0,0,AE566/L566)</f>
        <v>-0.16609849478156</v>
      </c>
      <c r="AG566" s="22" t="str">
        <f aca="false">IF(AD566&lt;L566,"PASSARO","ATUAL")</f>
        <v>PASSARO</v>
      </c>
      <c r="AH566" s="22" t="str">
        <f aca="false">IF(P566&lt;&gt;A566,"Faixa cadastrada como "&amp;P566&amp;" na tabela; preço aplicado pela UF do CEP","")</f>
        <v/>
      </c>
      <c r="AI566" s="26" t="n">
        <v>181.67</v>
      </c>
      <c r="AJ566" s="22" t="str">
        <f aca="false">INDEX('Tabela Passaro'!$X$2:$X$1795,$N566)</f>
        <v>INTERIOR 2</v>
      </c>
    </row>
    <row r="567" customFormat="false" ht="15" hidden="false" customHeight="false" outlineLevel="0" collapsed="false">
      <c r="A567" s="22" t="s">
        <v>16</v>
      </c>
      <c r="B567" s="22" t="n">
        <v>4</v>
      </c>
      <c r="C567" s="22" t="s">
        <v>81</v>
      </c>
      <c r="D567" s="22" t="s">
        <v>30</v>
      </c>
      <c r="E567" s="22" t="s">
        <v>7328</v>
      </c>
      <c r="F567" s="22" t="n">
        <v>2315768</v>
      </c>
      <c r="G567" s="30" t="n">
        <v>46258</v>
      </c>
      <c r="H567" s="22" t="n">
        <v>134928</v>
      </c>
      <c r="I567" s="22" t="s">
        <v>7841</v>
      </c>
      <c r="J567" s="31" t="n">
        <v>145.1</v>
      </c>
      <c r="K567" s="26" t="n">
        <v>3169.98</v>
      </c>
      <c r="L567" s="26" t="n">
        <v>298.36</v>
      </c>
      <c r="M567" s="22" t="s">
        <v>2091</v>
      </c>
      <c r="N567" s="22" t="n">
        <f aca="false">MATCH(M567,'Tabela Passaro'!$A$2:$A$1795,0)</f>
        <v>457</v>
      </c>
      <c r="O567" s="22" t="str">
        <f aca="false">INDEX('Tabela Passaro'!$C$2:$C$1795,$N567)</f>
        <v>VITORIA DA CONQUISTA</v>
      </c>
      <c r="P567" s="22" t="str">
        <f aca="false">INDEX('Tabela Passaro'!$B$2:$B$1795,$N567)</f>
        <v>BA</v>
      </c>
      <c r="Q567" s="22" t="n">
        <f aca="false">INDEX('Tabela Passaro'!$F$2:$F$1795,$N567)</f>
        <v>9</v>
      </c>
      <c r="R567" s="32" t="n">
        <f aca="false">IF(J567&lt;=10,INDEX('Tabela Passaro'!$G$2:$G$1795,$N567),IF(J567&lt;=30,INDEX('Tabela Passaro'!$H$2:$H$1795,$N567),IF(J567&lt;=50,INDEX('Tabela Passaro'!$I$2:$I$1795,$N567),IF(J567&lt;=70,INDEX('Tabela Passaro'!$J$2:$J$1795,$N567),IF(J567&lt;=100,INDEX('Tabela Passaro'!$K$2:$K$1795,$N567),INDEX('Tabela Passaro'!$K$2:$K$1795,$N567)+(J567-100)*INDEX('Tabela Passaro'!$L$2:$L$1795,$N567))))))</f>
        <v>201.468</v>
      </c>
      <c r="S567" s="32" t="n">
        <f aca="false">K567*INDEX('Tabela Passaro'!$M$2:$M$1795,$N567)</f>
        <v>15.8499</v>
      </c>
      <c r="T567" s="32" t="n">
        <f aca="false">K567*INDEX('Tabela Passaro'!$N$2:$N$1795,$N567)</f>
        <v>6.33996</v>
      </c>
      <c r="U567" s="32" t="n">
        <f aca="false">INDEX('Tabela Passaro'!$O$2:$O$1795,$N567)</f>
        <v>5</v>
      </c>
      <c r="V567" s="32" t="n">
        <f aca="false">ROUNDUP(J567/INDEX('Tabela Passaro'!$Q$2:$Q$1795,$N567),0)*INDEX('Tabela Passaro'!$P$2:$P$1795,$N567)</f>
        <v>10</v>
      </c>
      <c r="W567" s="32" t="n">
        <f aca="false">INDEX('Tabela Passaro'!$R$2:$R$1795,$N567)</f>
        <v>30</v>
      </c>
      <c r="X567" s="32" t="n">
        <f aca="false">ROUNDUP(J567/INDEX('Tabela Passaro'!$T$2:$T$1795,$N567),0)*INDEX('Tabela Passaro'!$S$2:$S$1795,$N567)</f>
        <v>0</v>
      </c>
      <c r="Y567" s="32" t="n">
        <f aca="false">INDEX('Tabela Passaro'!$U$2:$U$1795,$N567)</f>
        <v>0</v>
      </c>
      <c r="Z567" s="32" t="n">
        <f aca="false">INDEX('Tabela Passaro'!$V$2:$V$1795,$N567)</f>
        <v>0</v>
      </c>
      <c r="AA567" s="32" t="n">
        <f aca="false">SUM(R567:Z567)</f>
        <v>268.65786</v>
      </c>
      <c r="AB567" s="33" t="n">
        <f aca="false">INDEX(Premissas!$B$5:$B$13,MATCH(A567,Premissas!$A$5:$A$13,0))</f>
        <v>0.07</v>
      </c>
      <c r="AC567" s="32" t="n">
        <f aca="false">AA567/(1-AB567)-AA567</f>
        <v>20.2215593548387</v>
      </c>
      <c r="AD567" s="32" t="n">
        <f aca="false">ROUND(AA567+AC567,2)</f>
        <v>288.88</v>
      </c>
      <c r="AE567" s="32" t="n">
        <f aca="false">AD567-L567</f>
        <v>-9.48000000000002</v>
      </c>
      <c r="AF567" s="34" t="n">
        <f aca="false">IF(L567=0,0,AE567/L567)</f>
        <v>-0.0317736962059258</v>
      </c>
      <c r="AG567" s="22" t="str">
        <f aca="false">IF(AD567&lt;L567,"PASSARO","ATUAL")</f>
        <v>PASSARO</v>
      </c>
      <c r="AH567" s="22" t="str">
        <f aca="false">IF(P567&lt;&gt;A567,"Faixa cadastrada como "&amp;P567&amp;" na tabela; preço aplicado pela UF do CEP","")</f>
        <v/>
      </c>
      <c r="AI567" s="26" t="n">
        <v>369.06</v>
      </c>
      <c r="AJ567" s="22" t="str">
        <f aca="false">INDEX('Tabela Passaro'!$X$2:$X$1795,$N567)</f>
        <v>INTERIOR 2</v>
      </c>
    </row>
    <row r="568" customFormat="false" ht="15" hidden="false" customHeight="false" outlineLevel="0" collapsed="false">
      <c r="A568" s="22" t="s">
        <v>16</v>
      </c>
      <c r="B568" s="22" t="n">
        <v>4</v>
      </c>
      <c r="C568" s="22" t="s">
        <v>81</v>
      </c>
      <c r="D568" s="22" t="s">
        <v>30</v>
      </c>
      <c r="E568" s="22" t="s">
        <v>7328</v>
      </c>
      <c r="F568" s="22" t="n">
        <v>2315809</v>
      </c>
      <c r="G568" s="30" t="n">
        <v>46258</v>
      </c>
      <c r="H568" s="22" t="n">
        <v>134955</v>
      </c>
      <c r="I568" s="22" t="s">
        <v>7842</v>
      </c>
      <c r="J568" s="31" t="n">
        <v>60.9</v>
      </c>
      <c r="K568" s="26" t="n">
        <v>1264.98</v>
      </c>
      <c r="L568" s="26" t="n">
        <v>192.52</v>
      </c>
      <c r="M568" s="22" t="s">
        <v>2091</v>
      </c>
      <c r="N568" s="22" t="n">
        <f aca="false">MATCH(M568,'Tabela Passaro'!$A$2:$A$1795,0)</f>
        <v>457</v>
      </c>
      <c r="O568" s="22" t="str">
        <f aca="false">INDEX('Tabela Passaro'!$C$2:$C$1795,$N568)</f>
        <v>VITORIA DA CONQUISTA</v>
      </c>
      <c r="P568" s="22" t="str">
        <f aca="false">INDEX('Tabela Passaro'!$B$2:$B$1795,$N568)</f>
        <v>BA</v>
      </c>
      <c r="Q568" s="22" t="n">
        <f aca="false">INDEX('Tabela Passaro'!$F$2:$F$1795,$N568)</f>
        <v>9</v>
      </c>
      <c r="R568" s="32" t="n">
        <f aca="false">IF(J568&lt;=10,INDEX('Tabela Passaro'!$G$2:$G$1795,$N568),IF(J568&lt;=30,INDEX('Tabela Passaro'!$H$2:$H$1795,$N568),IF(J568&lt;=50,INDEX('Tabela Passaro'!$I$2:$I$1795,$N568),IF(J568&lt;=70,INDEX('Tabela Passaro'!$J$2:$J$1795,$N568),IF(J568&lt;=100,INDEX('Tabela Passaro'!$K$2:$K$1795,$N568),INDEX('Tabela Passaro'!$K$2:$K$1795,$N568)+(J568-100)*INDEX('Tabela Passaro'!$L$2:$L$1795,$N568))))))</f>
        <v>100.65</v>
      </c>
      <c r="S568" s="32" t="n">
        <f aca="false">K568*INDEX('Tabela Passaro'!$M$2:$M$1795,$N568)</f>
        <v>6.3249</v>
      </c>
      <c r="T568" s="32" t="n">
        <f aca="false">K568*INDEX('Tabela Passaro'!$N$2:$N$1795,$N568)</f>
        <v>2.52996</v>
      </c>
      <c r="U568" s="32" t="n">
        <f aca="false">INDEX('Tabela Passaro'!$O$2:$O$1795,$N568)</f>
        <v>5</v>
      </c>
      <c r="V568" s="32" t="n">
        <f aca="false">ROUNDUP(J568/INDEX('Tabela Passaro'!$Q$2:$Q$1795,$N568),0)*INDEX('Tabela Passaro'!$P$2:$P$1795,$N568)</f>
        <v>5</v>
      </c>
      <c r="W568" s="32" t="n">
        <f aca="false">INDEX('Tabela Passaro'!$R$2:$R$1795,$N568)</f>
        <v>30</v>
      </c>
      <c r="X568" s="32" t="n">
        <f aca="false">ROUNDUP(J568/INDEX('Tabela Passaro'!$T$2:$T$1795,$N568),0)*INDEX('Tabela Passaro'!$S$2:$S$1795,$N568)</f>
        <v>0</v>
      </c>
      <c r="Y568" s="32" t="n">
        <f aca="false">INDEX('Tabela Passaro'!$U$2:$U$1795,$N568)</f>
        <v>0</v>
      </c>
      <c r="Z568" s="32" t="n">
        <f aca="false">INDEX('Tabela Passaro'!$V$2:$V$1795,$N568)</f>
        <v>0</v>
      </c>
      <c r="AA568" s="32" t="n">
        <f aca="false">SUM(R568:Z568)</f>
        <v>149.50486</v>
      </c>
      <c r="AB568" s="33" t="n">
        <f aca="false">INDEX(Premissas!$B$5:$B$13,MATCH(A568,Premissas!$A$5:$A$13,0))</f>
        <v>0.07</v>
      </c>
      <c r="AC568" s="32" t="n">
        <f aca="false">AA568/(1-AB568)-AA568</f>
        <v>11.2530539784946</v>
      </c>
      <c r="AD568" s="32" t="n">
        <f aca="false">ROUND(AA568+AC568,2)</f>
        <v>160.76</v>
      </c>
      <c r="AE568" s="32" t="n">
        <f aca="false">AD568-L568</f>
        <v>-31.76</v>
      </c>
      <c r="AF568" s="34" t="n">
        <f aca="false">IF(L568=0,0,AE568/L568)</f>
        <v>-0.164969873259921</v>
      </c>
      <c r="AG568" s="22" t="str">
        <f aca="false">IF(AD568&lt;L568,"PASSARO","ATUAL")</f>
        <v>PASSARO</v>
      </c>
      <c r="AH568" s="22" t="str">
        <f aca="false">IF(P568&lt;&gt;A568,"Faixa cadastrada como "&amp;P568&amp;" na tabela; preço aplicado pela UF do CEP","")</f>
        <v/>
      </c>
      <c r="AI568" s="26" t="n">
        <v>183.45</v>
      </c>
      <c r="AJ568" s="22" t="str">
        <f aca="false">INDEX('Tabela Passaro'!$X$2:$X$1795,$N568)</f>
        <v>INTERIOR 2</v>
      </c>
    </row>
    <row r="569" customFormat="false" ht="15" hidden="false" customHeight="false" outlineLevel="0" collapsed="false">
      <c r="A569" s="22" t="s">
        <v>16</v>
      </c>
      <c r="B569" s="22" t="n">
        <v>4</v>
      </c>
      <c r="C569" s="22" t="s">
        <v>81</v>
      </c>
      <c r="D569" s="22" t="s">
        <v>30</v>
      </c>
      <c r="E569" s="22" t="s">
        <v>7328</v>
      </c>
      <c r="F569" s="22" t="n">
        <v>2315841</v>
      </c>
      <c r="G569" s="30" t="n">
        <v>46258</v>
      </c>
      <c r="H569" s="22" t="n">
        <v>135112</v>
      </c>
      <c r="I569" s="22" t="s">
        <v>7843</v>
      </c>
      <c r="J569" s="31" t="n">
        <v>27.6</v>
      </c>
      <c r="K569" s="26" t="n">
        <v>814.98</v>
      </c>
      <c r="L569" s="26" t="n">
        <v>119.33</v>
      </c>
      <c r="M569" s="22" t="s">
        <v>2091</v>
      </c>
      <c r="N569" s="22" t="n">
        <f aca="false">MATCH(M569,'Tabela Passaro'!$A$2:$A$1795,0)</f>
        <v>457</v>
      </c>
      <c r="O569" s="22" t="str">
        <f aca="false">INDEX('Tabela Passaro'!$C$2:$C$1795,$N569)</f>
        <v>VITORIA DA CONQUISTA</v>
      </c>
      <c r="P569" s="22" t="str">
        <f aca="false">INDEX('Tabela Passaro'!$B$2:$B$1795,$N569)</f>
        <v>BA</v>
      </c>
      <c r="Q569" s="22" t="n">
        <f aca="false">INDEX('Tabela Passaro'!$F$2:$F$1795,$N569)</f>
        <v>9</v>
      </c>
      <c r="R569" s="32" t="n">
        <f aca="false">IF(J569&lt;=10,INDEX('Tabela Passaro'!$G$2:$G$1795,$N569),IF(J569&lt;=30,INDEX('Tabela Passaro'!$H$2:$H$1795,$N569),IF(J569&lt;=50,INDEX('Tabela Passaro'!$I$2:$I$1795,$N569),IF(J569&lt;=70,INDEX('Tabela Passaro'!$J$2:$J$1795,$N569),IF(J569&lt;=100,INDEX('Tabela Passaro'!$K$2:$K$1795,$N569),INDEX('Tabela Passaro'!$K$2:$K$1795,$N569)+(J569-100)*INDEX('Tabela Passaro'!$L$2:$L$1795,$N569))))))</f>
        <v>77.62</v>
      </c>
      <c r="S569" s="32" t="n">
        <f aca="false">K569*INDEX('Tabela Passaro'!$M$2:$M$1795,$N569)</f>
        <v>4.0749</v>
      </c>
      <c r="T569" s="32" t="n">
        <f aca="false">K569*INDEX('Tabela Passaro'!$N$2:$N$1795,$N569)</f>
        <v>1.62996</v>
      </c>
      <c r="U569" s="32" t="n">
        <f aca="false">INDEX('Tabela Passaro'!$O$2:$O$1795,$N569)</f>
        <v>5</v>
      </c>
      <c r="V569" s="32" t="n">
        <f aca="false">ROUNDUP(J569/INDEX('Tabela Passaro'!$Q$2:$Q$1795,$N569),0)*INDEX('Tabela Passaro'!$P$2:$P$1795,$N569)</f>
        <v>5</v>
      </c>
      <c r="W569" s="32" t="n">
        <f aca="false">INDEX('Tabela Passaro'!$R$2:$R$1795,$N569)</f>
        <v>30</v>
      </c>
      <c r="X569" s="32" t="n">
        <f aca="false">ROUNDUP(J569/INDEX('Tabela Passaro'!$T$2:$T$1795,$N569),0)*INDEX('Tabela Passaro'!$S$2:$S$1795,$N569)</f>
        <v>0</v>
      </c>
      <c r="Y569" s="32" t="n">
        <f aca="false">INDEX('Tabela Passaro'!$U$2:$U$1795,$N569)</f>
        <v>0</v>
      </c>
      <c r="Z569" s="32" t="n">
        <f aca="false">INDEX('Tabela Passaro'!$V$2:$V$1795,$N569)</f>
        <v>0</v>
      </c>
      <c r="AA569" s="32" t="n">
        <f aca="false">SUM(R569:Z569)</f>
        <v>123.32486</v>
      </c>
      <c r="AB569" s="33" t="n">
        <f aca="false">INDEX(Premissas!$B$5:$B$13,MATCH(A569,Premissas!$A$5:$A$13,0))</f>
        <v>0.07</v>
      </c>
      <c r="AC569" s="32" t="n">
        <f aca="false">AA569/(1-AB569)-AA569</f>
        <v>9.28251634408602</v>
      </c>
      <c r="AD569" s="32" t="n">
        <f aca="false">ROUND(AA569+AC569,2)</f>
        <v>132.61</v>
      </c>
      <c r="AE569" s="32" t="n">
        <f aca="false">AD569-L569</f>
        <v>13.28</v>
      </c>
      <c r="AF569" s="34" t="n">
        <f aca="false">IF(L569=0,0,AE569/L569)</f>
        <v>0.111288024805162</v>
      </c>
      <c r="AG569" s="22" t="str">
        <f aca="false">IF(AD569&lt;L569,"PASSARO","ATUAL")</f>
        <v>ATUAL</v>
      </c>
      <c r="AH569" s="22" t="str">
        <f aca="false">IF(P569&lt;&gt;A569,"Faixa cadastrada como "&amp;P569&amp;" na tabela; preço aplicado pela UF do CEP","")</f>
        <v/>
      </c>
      <c r="AI569" s="26" t="n">
        <v>138.08</v>
      </c>
      <c r="AJ569" s="22" t="str">
        <f aca="false">INDEX('Tabela Passaro'!$X$2:$X$1795,$N569)</f>
        <v>INTERIOR 2</v>
      </c>
    </row>
    <row r="570" customFormat="false" ht="15" hidden="false" customHeight="false" outlineLevel="0" collapsed="false">
      <c r="A570" s="22" t="s">
        <v>16</v>
      </c>
      <c r="B570" s="22" t="n">
        <v>4</v>
      </c>
      <c r="C570" s="22" t="s">
        <v>81</v>
      </c>
      <c r="D570" s="22" t="s">
        <v>30</v>
      </c>
      <c r="E570" s="22" t="s">
        <v>7326</v>
      </c>
      <c r="F570" s="22" t="n">
        <v>527055</v>
      </c>
      <c r="G570" s="30" t="n">
        <v>46258</v>
      </c>
      <c r="H570" s="22" t="n">
        <v>628323</v>
      </c>
      <c r="I570" s="22" t="s">
        <v>7844</v>
      </c>
      <c r="J570" s="31" t="n">
        <v>36</v>
      </c>
      <c r="K570" s="26" t="n">
        <v>639.33</v>
      </c>
      <c r="L570" s="26" t="n">
        <v>171.06</v>
      </c>
      <c r="M570" s="22" t="s">
        <v>2091</v>
      </c>
      <c r="N570" s="22" t="n">
        <f aca="false">MATCH(M570,'Tabela Passaro'!$A$2:$A$1795,0)</f>
        <v>457</v>
      </c>
      <c r="O570" s="22" t="str">
        <f aca="false">INDEX('Tabela Passaro'!$C$2:$C$1795,$N570)</f>
        <v>VITORIA DA CONQUISTA</v>
      </c>
      <c r="P570" s="22" t="str">
        <f aca="false">INDEX('Tabela Passaro'!$B$2:$B$1795,$N570)</f>
        <v>BA</v>
      </c>
      <c r="Q570" s="22" t="n">
        <f aca="false">INDEX('Tabela Passaro'!$F$2:$F$1795,$N570)</f>
        <v>9</v>
      </c>
      <c r="R570" s="32" t="n">
        <f aca="false">IF(J570&lt;=10,INDEX('Tabela Passaro'!$G$2:$G$1795,$N570),IF(J570&lt;=30,INDEX('Tabela Passaro'!$H$2:$H$1795,$N570),IF(J570&lt;=50,INDEX('Tabela Passaro'!$I$2:$I$1795,$N570),IF(J570&lt;=70,INDEX('Tabela Passaro'!$J$2:$J$1795,$N570),IF(J570&lt;=100,INDEX('Tabela Passaro'!$K$2:$K$1795,$N570),INDEX('Tabela Passaro'!$K$2:$K$1795,$N570)+(J570-100)*INDEX('Tabela Passaro'!$L$2:$L$1795,$N570))))))</f>
        <v>89.14</v>
      </c>
      <c r="S570" s="32" t="n">
        <f aca="false">K570*INDEX('Tabela Passaro'!$M$2:$M$1795,$N570)</f>
        <v>3.19665</v>
      </c>
      <c r="T570" s="32" t="n">
        <f aca="false">K570*INDEX('Tabela Passaro'!$N$2:$N$1795,$N570)</f>
        <v>1.27866</v>
      </c>
      <c r="U570" s="32" t="n">
        <f aca="false">INDEX('Tabela Passaro'!$O$2:$O$1795,$N570)</f>
        <v>5</v>
      </c>
      <c r="V570" s="32" t="n">
        <f aca="false">ROUNDUP(J570/INDEX('Tabela Passaro'!$Q$2:$Q$1795,$N570),0)*INDEX('Tabela Passaro'!$P$2:$P$1795,$N570)</f>
        <v>5</v>
      </c>
      <c r="W570" s="32" t="n">
        <f aca="false">INDEX('Tabela Passaro'!$R$2:$R$1795,$N570)</f>
        <v>30</v>
      </c>
      <c r="X570" s="32" t="n">
        <f aca="false">ROUNDUP(J570/INDEX('Tabela Passaro'!$T$2:$T$1795,$N570),0)*INDEX('Tabela Passaro'!$S$2:$S$1795,$N570)</f>
        <v>0</v>
      </c>
      <c r="Y570" s="32" t="n">
        <f aca="false">INDEX('Tabela Passaro'!$U$2:$U$1795,$N570)</f>
        <v>0</v>
      </c>
      <c r="Z570" s="32" t="n">
        <f aca="false">INDEX('Tabela Passaro'!$V$2:$V$1795,$N570)</f>
        <v>0</v>
      </c>
      <c r="AA570" s="32" t="n">
        <f aca="false">SUM(R570:Z570)</f>
        <v>133.61531</v>
      </c>
      <c r="AB570" s="33" t="n">
        <f aca="false">INDEX(Premissas!$B$5:$B$13,MATCH(A570,Premissas!$A$5:$A$13,0))</f>
        <v>0.07</v>
      </c>
      <c r="AC570" s="32" t="n">
        <f aca="false">AA570/(1-AB570)-AA570</f>
        <v>10.057066344086</v>
      </c>
      <c r="AD570" s="32" t="n">
        <f aca="false">ROUND(AA570+AC570,2)</f>
        <v>143.67</v>
      </c>
      <c r="AE570" s="32" t="n">
        <f aca="false">AD570-L570</f>
        <v>-27.39</v>
      </c>
      <c r="AF570" s="34" t="n">
        <f aca="false">IF(L570=0,0,AE570/L570)</f>
        <v>-0.160119256401263</v>
      </c>
      <c r="AG570" s="22" t="str">
        <f aca="false">IF(AD570&lt;L570,"PASSARO","ATUAL")</f>
        <v>PASSARO</v>
      </c>
      <c r="AH570" s="22" t="str">
        <f aca="false">IF(P570&lt;&gt;A570,"Faixa cadastrada como "&amp;P570&amp;" na tabela; preço aplicado pela UF do CEP","")</f>
        <v/>
      </c>
      <c r="AI570" s="26" t="n">
        <v>152.78</v>
      </c>
      <c r="AJ570" s="22" t="str">
        <f aca="false">INDEX('Tabela Passaro'!$X$2:$X$1795,$N570)</f>
        <v>INTERIOR 2</v>
      </c>
    </row>
    <row r="571" customFormat="false" ht="15" hidden="false" customHeight="false" outlineLevel="0" collapsed="false">
      <c r="A571" s="22" t="s">
        <v>16</v>
      </c>
      <c r="B571" s="22" t="n">
        <v>4</v>
      </c>
      <c r="C571" s="22" t="s">
        <v>81</v>
      </c>
      <c r="D571" s="22" t="s">
        <v>30</v>
      </c>
      <c r="E571" s="22" t="s">
        <v>20</v>
      </c>
      <c r="F571" s="22" t="n">
        <v>840030</v>
      </c>
      <c r="G571" s="30" t="n">
        <v>46259</v>
      </c>
      <c r="H571" s="22" t="n">
        <v>32675</v>
      </c>
      <c r="I571" s="22" t="s">
        <v>7845</v>
      </c>
      <c r="J571" s="31" t="n">
        <v>117.4</v>
      </c>
      <c r="K571" s="26" t="n">
        <v>1662.89</v>
      </c>
      <c r="L571" s="26" t="n">
        <v>260.31</v>
      </c>
      <c r="M571" s="22" t="s">
        <v>2091</v>
      </c>
      <c r="N571" s="22" t="n">
        <f aca="false">MATCH(M571,'Tabela Passaro'!$A$2:$A$1795,0)</f>
        <v>457</v>
      </c>
      <c r="O571" s="22" t="str">
        <f aca="false">INDEX('Tabela Passaro'!$C$2:$C$1795,$N571)</f>
        <v>VITORIA DA CONQUISTA</v>
      </c>
      <c r="P571" s="22" t="str">
        <f aca="false">INDEX('Tabela Passaro'!$B$2:$B$1795,$N571)</f>
        <v>BA</v>
      </c>
      <c r="Q571" s="22" t="n">
        <f aca="false">INDEX('Tabela Passaro'!$F$2:$F$1795,$N571)</f>
        <v>9</v>
      </c>
      <c r="R571" s="32" t="n">
        <f aca="false">IF(J571&lt;=10,INDEX('Tabela Passaro'!$G$2:$G$1795,$N571),IF(J571&lt;=30,INDEX('Tabela Passaro'!$H$2:$H$1795,$N571),IF(J571&lt;=50,INDEX('Tabela Passaro'!$I$2:$I$1795,$N571),IF(J571&lt;=70,INDEX('Tabela Passaro'!$J$2:$J$1795,$N571),IF(J571&lt;=100,INDEX('Tabela Passaro'!$K$2:$K$1795,$N571),INDEX('Tabela Passaro'!$K$2:$K$1795,$N571)+(J571-100)*INDEX('Tabela Passaro'!$L$2:$L$1795,$N571))))))</f>
        <v>146.622</v>
      </c>
      <c r="S571" s="32" t="n">
        <f aca="false">K571*INDEX('Tabela Passaro'!$M$2:$M$1795,$N571)</f>
        <v>8.31445</v>
      </c>
      <c r="T571" s="32" t="n">
        <f aca="false">K571*INDEX('Tabela Passaro'!$N$2:$N$1795,$N571)</f>
        <v>3.32578</v>
      </c>
      <c r="U571" s="32" t="n">
        <f aca="false">INDEX('Tabela Passaro'!$O$2:$O$1795,$N571)</f>
        <v>5</v>
      </c>
      <c r="V571" s="32" t="n">
        <f aca="false">ROUNDUP(J571/INDEX('Tabela Passaro'!$Q$2:$Q$1795,$N571),0)*INDEX('Tabela Passaro'!$P$2:$P$1795,$N571)</f>
        <v>10</v>
      </c>
      <c r="W571" s="32" t="n">
        <f aca="false">INDEX('Tabela Passaro'!$R$2:$R$1795,$N571)</f>
        <v>30</v>
      </c>
      <c r="X571" s="32" t="n">
        <f aca="false">ROUNDUP(J571/INDEX('Tabela Passaro'!$T$2:$T$1795,$N571),0)*INDEX('Tabela Passaro'!$S$2:$S$1795,$N571)</f>
        <v>0</v>
      </c>
      <c r="Y571" s="32" t="n">
        <f aca="false">INDEX('Tabela Passaro'!$U$2:$U$1795,$N571)</f>
        <v>0</v>
      </c>
      <c r="Z571" s="32" t="n">
        <f aca="false">INDEX('Tabela Passaro'!$V$2:$V$1795,$N571)</f>
        <v>0</v>
      </c>
      <c r="AA571" s="32" t="n">
        <f aca="false">SUM(R571:Z571)</f>
        <v>203.26223</v>
      </c>
      <c r="AB571" s="33" t="n">
        <f aca="false">INDEX(Premissas!$B$5:$B$13,MATCH(A571,Premissas!$A$5:$A$13,0))</f>
        <v>0.07</v>
      </c>
      <c r="AC571" s="32" t="n">
        <f aca="false">AA571/(1-AB571)-AA571</f>
        <v>15.2993076344086</v>
      </c>
      <c r="AD571" s="32" t="n">
        <f aca="false">ROUND(AA571+AC571,2)</f>
        <v>218.56</v>
      </c>
      <c r="AE571" s="32" t="n">
        <f aca="false">AD571-L571</f>
        <v>-41.75</v>
      </c>
      <c r="AF571" s="34" t="n">
        <f aca="false">IF(L571=0,0,AE571/L571)</f>
        <v>-0.160385693980254</v>
      </c>
      <c r="AG571" s="22" t="str">
        <f aca="false">IF(AD571&lt;L571,"PASSARO","ATUAL")</f>
        <v>PASSARO</v>
      </c>
      <c r="AH571" s="22" t="str">
        <f aca="false">IF(P571&lt;&gt;A571,"Faixa cadastrada como "&amp;P571&amp;" na tabela; preço aplicado pela UF do CEP","")</f>
        <v/>
      </c>
      <c r="AI571" s="26" t="n">
        <v>274.5</v>
      </c>
      <c r="AJ571" s="22" t="str">
        <f aca="false">INDEX('Tabela Passaro'!$X$2:$X$1795,$N571)</f>
        <v>INTERIOR 2</v>
      </c>
    </row>
    <row r="572" customFormat="false" ht="15" hidden="false" customHeight="false" outlineLevel="0" collapsed="false">
      <c r="A572" s="22" t="s">
        <v>16</v>
      </c>
      <c r="B572" s="22" t="n">
        <v>4</v>
      </c>
      <c r="C572" s="22" t="s">
        <v>81</v>
      </c>
      <c r="D572" s="22" t="s">
        <v>30</v>
      </c>
      <c r="E572" s="22" t="s">
        <v>7328</v>
      </c>
      <c r="F572" s="22" t="n">
        <v>2316538</v>
      </c>
      <c r="G572" s="30" t="n">
        <v>46260</v>
      </c>
      <c r="H572" s="22" t="n">
        <v>135548</v>
      </c>
      <c r="I572" s="22" t="s">
        <v>7846</v>
      </c>
      <c r="J572" s="31" t="n">
        <v>46.8</v>
      </c>
      <c r="K572" s="26" t="n">
        <v>645.19</v>
      </c>
      <c r="L572" s="26" t="n">
        <v>151.75</v>
      </c>
      <c r="M572" s="22" t="s">
        <v>2091</v>
      </c>
      <c r="N572" s="22" t="n">
        <f aca="false">MATCH(M572,'Tabela Passaro'!$A$2:$A$1795,0)</f>
        <v>457</v>
      </c>
      <c r="O572" s="22" t="str">
        <f aca="false">INDEX('Tabela Passaro'!$C$2:$C$1795,$N572)</f>
        <v>VITORIA DA CONQUISTA</v>
      </c>
      <c r="P572" s="22" t="str">
        <f aca="false">INDEX('Tabela Passaro'!$B$2:$B$1795,$N572)</f>
        <v>BA</v>
      </c>
      <c r="Q572" s="22" t="n">
        <f aca="false">INDEX('Tabela Passaro'!$F$2:$F$1795,$N572)</f>
        <v>9</v>
      </c>
      <c r="R572" s="32" t="n">
        <f aca="false">IF(J572&lt;=10,INDEX('Tabela Passaro'!$G$2:$G$1795,$N572),IF(J572&lt;=30,INDEX('Tabela Passaro'!$H$2:$H$1795,$N572),IF(J572&lt;=50,INDEX('Tabela Passaro'!$I$2:$I$1795,$N572),IF(J572&lt;=70,INDEX('Tabela Passaro'!$J$2:$J$1795,$N572),IF(J572&lt;=100,INDEX('Tabela Passaro'!$K$2:$K$1795,$N572),INDEX('Tabela Passaro'!$K$2:$K$1795,$N572)+(J572-100)*INDEX('Tabela Passaro'!$L$2:$L$1795,$N572))))))</f>
        <v>89.14</v>
      </c>
      <c r="S572" s="32" t="n">
        <f aca="false">K572*INDEX('Tabela Passaro'!$M$2:$M$1795,$N572)</f>
        <v>3.22595</v>
      </c>
      <c r="T572" s="32" t="n">
        <f aca="false">K572*INDEX('Tabela Passaro'!$N$2:$N$1795,$N572)</f>
        <v>1.29038</v>
      </c>
      <c r="U572" s="32" t="n">
        <f aca="false">INDEX('Tabela Passaro'!$O$2:$O$1795,$N572)</f>
        <v>5</v>
      </c>
      <c r="V572" s="32" t="n">
        <f aca="false">ROUNDUP(J572/INDEX('Tabela Passaro'!$Q$2:$Q$1795,$N572),0)*INDEX('Tabela Passaro'!$P$2:$P$1795,$N572)</f>
        <v>5</v>
      </c>
      <c r="W572" s="32" t="n">
        <f aca="false">INDEX('Tabela Passaro'!$R$2:$R$1795,$N572)</f>
        <v>30</v>
      </c>
      <c r="X572" s="32" t="n">
        <f aca="false">ROUNDUP(J572/INDEX('Tabela Passaro'!$T$2:$T$1795,$N572),0)*INDEX('Tabela Passaro'!$S$2:$S$1795,$N572)</f>
        <v>0</v>
      </c>
      <c r="Y572" s="32" t="n">
        <f aca="false">INDEX('Tabela Passaro'!$U$2:$U$1795,$N572)</f>
        <v>0</v>
      </c>
      <c r="Z572" s="32" t="n">
        <f aca="false">INDEX('Tabela Passaro'!$V$2:$V$1795,$N572)</f>
        <v>0</v>
      </c>
      <c r="AA572" s="32" t="n">
        <f aca="false">SUM(R572:Z572)</f>
        <v>133.65633</v>
      </c>
      <c r="AB572" s="33" t="n">
        <f aca="false">INDEX(Premissas!$B$5:$B$13,MATCH(A572,Premissas!$A$5:$A$13,0))</f>
        <v>0.07</v>
      </c>
      <c r="AC572" s="32" t="n">
        <f aca="false">AA572/(1-AB572)-AA572</f>
        <v>10.0601538709678</v>
      </c>
      <c r="AD572" s="32" t="n">
        <f aca="false">ROUND(AA572+AC572,2)</f>
        <v>143.72</v>
      </c>
      <c r="AE572" s="32" t="n">
        <f aca="false">AD572-L572</f>
        <v>-8.03</v>
      </c>
      <c r="AF572" s="34" t="n">
        <f aca="false">IF(L572=0,0,AE572/L572)</f>
        <v>-0.0529159802306425</v>
      </c>
      <c r="AG572" s="22" t="str">
        <f aca="false">IF(AD572&lt;L572,"PASSARO","ATUAL")</f>
        <v>PASSARO</v>
      </c>
      <c r="AH572" s="22" t="str">
        <f aca="false">IF(P572&lt;&gt;A572,"Faixa cadastrada como "&amp;P572&amp;" na tabela; preço aplicado pela UF do CEP","")</f>
        <v/>
      </c>
      <c r="AI572" s="26" t="n">
        <v>158.16</v>
      </c>
      <c r="AJ572" s="22" t="str">
        <f aca="false">INDEX('Tabela Passaro'!$X$2:$X$1795,$N572)</f>
        <v>INTERIOR 2</v>
      </c>
    </row>
    <row r="573" customFormat="false" ht="15" hidden="false" customHeight="false" outlineLevel="0" collapsed="false">
      <c r="A573" s="22" t="s">
        <v>16</v>
      </c>
      <c r="B573" s="22" t="n">
        <v>4</v>
      </c>
      <c r="C573" s="22" t="s">
        <v>81</v>
      </c>
      <c r="D573" s="22" t="s">
        <v>31</v>
      </c>
      <c r="E573" s="22" t="s">
        <v>7326</v>
      </c>
      <c r="F573" s="22" t="n">
        <v>12721738</v>
      </c>
      <c r="G573" s="30" t="n">
        <v>46237</v>
      </c>
      <c r="H573" s="22" t="n">
        <v>619481</v>
      </c>
      <c r="I573" s="22" t="s">
        <v>7847</v>
      </c>
      <c r="J573" s="31" t="n">
        <v>20.8</v>
      </c>
      <c r="K573" s="26" t="n">
        <v>564.99</v>
      </c>
      <c r="L573" s="26" t="n">
        <v>79.32</v>
      </c>
      <c r="M573" s="22" t="s">
        <v>2091</v>
      </c>
      <c r="N573" s="22" t="n">
        <f aca="false">MATCH(M573,'Tabela Passaro'!$A$2:$A$1795,0)</f>
        <v>457</v>
      </c>
      <c r="O573" s="22" t="str">
        <f aca="false">INDEX('Tabela Passaro'!$C$2:$C$1795,$N573)</f>
        <v>VITORIA DA CONQUISTA</v>
      </c>
      <c r="P573" s="22" t="str">
        <f aca="false">INDEX('Tabela Passaro'!$B$2:$B$1795,$N573)</f>
        <v>BA</v>
      </c>
      <c r="Q573" s="22" t="n">
        <f aca="false">INDEX('Tabela Passaro'!$F$2:$F$1795,$N573)</f>
        <v>9</v>
      </c>
      <c r="R573" s="32" t="n">
        <f aca="false">IF(J573&lt;=10,INDEX('Tabela Passaro'!$G$2:$G$1795,$N573),IF(J573&lt;=30,INDEX('Tabela Passaro'!$H$2:$H$1795,$N573),IF(J573&lt;=50,INDEX('Tabela Passaro'!$I$2:$I$1795,$N573),IF(J573&lt;=70,INDEX('Tabela Passaro'!$J$2:$J$1795,$N573),IF(J573&lt;=100,INDEX('Tabela Passaro'!$K$2:$K$1795,$N573),INDEX('Tabela Passaro'!$K$2:$K$1795,$N573)+(J573-100)*INDEX('Tabela Passaro'!$L$2:$L$1795,$N573))))))</f>
        <v>77.62</v>
      </c>
      <c r="S573" s="32" t="n">
        <f aca="false">K573*INDEX('Tabela Passaro'!$M$2:$M$1795,$N573)</f>
        <v>2.82495</v>
      </c>
      <c r="T573" s="32" t="n">
        <f aca="false">K573*INDEX('Tabela Passaro'!$N$2:$N$1795,$N573)</f>
        <v>1.12998</v>
      </c>
      <c r="U573" s="32" t="n">
        <f aca="false">INDEX('Tabela Passaro'!$O$2:$O$1795,$N573)</f>
        <v>5</v>
      </c>
      <c r="V573" s="32" t="n">
        <f aca="false">ROUNDUP(J573/INDEX('Tabela Passaro'!$Q$2:$Q$1795,$N573),0)*INDEX('Tabela Passaro'!$P$2:$P$1795,$N573)</f>
        <v>5</v>
      </c>
      <c r="W573" s="32" t="n">
        <f aca="false">INDEX('Tabela Passaro'!$R$2:$R$1795,$N573)</f>
        <v>30</v>
      </c>
      <c r="X573" s="32" t="n">
        <f aca="false">ROUNDUP(J573/INDEX('Tabela Passaro'!$T$2:$T$1795,$N573),0)*INDEX('Tabela Passaro'!$S$2:$S$1795,$N573)</f>
        <v>0</v>
      </c>
      <c r="Y573" s="32" t="n">
        <f aca="false">INDEX('Tabela Passaro'!$U$2:$U$1795,$N573)</f>
        <v>0</v>
      </c>
      <c r="Z573" s="32" t="n">
        <f aca="false">INDEX('Tabela Passaro'!$V$2:$V$1795,$N573)</f>
        <v>0</v>
      </c>
      <c r="AA573" s="32" t="n">
        <f aca="false">SUM(R573:Z573)</f>
        <v>121.57493</v>
      </c>
      <c r="AB573" s="33" t="n">
        <f aca="false">INDEX(Premissas!$B$5:$B$13,MATCH(A573,Premissas!$A$5:$A$13,0))</f>
        <v>0.07</v>
      </c>
      <c r="AC573" s="32" t="n">
        <f aca="false">AA573/(1-AB573)-AA573</f>
        <v>9.15080118279572</v>
      </c>
      <c r="AD573" s="32" t="n">
        <f aca="false">ROUND(AA573+AC573,2)</f>
        <v>130.73</v>
      </c>
      <c r="AE573" s="32" t="n">
        <f aca="false">AD573-L573</f>
        <v>51.41</v>
      </c>
      <c r="AF573" s="34" t="n">
        <f aca="false">IF(L573=0,0,AE573/L573)</f>
        <v>0.648134140191629</v>
      </c>
      <c r="AG573" s="22" t="str">
        <f aca="false">IF(AD573&lt;L573,"PASSARO","ATUAL")</f>
        <v>ATUAL</v>
      </c>
      <c r="AH573" s="22" t="str">
        <f aca="false">IF(P573&lt;&gt;A573,"Faixa cadastrada como "&amp;P573&amp;" na tabela; preço aplicado pela UF do CEP","")</f>
        <v/>
      </c>
      <c r="AI573" s="26" t="n">
        <v>132.27</v>
      </c>
      <c r="AJ573" s="22" t="str">
        <f aca="false">INDEX('Tabela Passaro'!$X$2:$X$1795,$N573)</f>
        <v>INTERIOR 2</v>
      </c>
    </row>
    <row r="574" customFormat="false" ht="15" hidden="false" customHeight="false" outlineLevel="0" collapsed="false">
      <c r="A574" s="22" t="s">
        <v>16</v>
      </c>
      <c r="B574" s="22" t="n">
        <v>4</v>
      </c>
      <c r="C574" s="22" t="s">
        <v>81</v>
      </c>
      <c r="D574" s="22" t="s">
        <v>31</v>
      </c>
      <c r="E574" s="22" t="s">
        <v>7326</v>
      </c>
      <c r="F574" s="22" t="n">
        <v>12773651</v>
      </c>
      <c r="G574" s="30" t="n">
        <v>46246</v>
      </c>
      <c r="H574" s="22" t="n">
        <v>624013</v>
      </c>
      <c r="I574" s="22" t="s">
        <v>7848</v>
      </c>
      <c r="J574" s="31" t="n">
        <v>20.9</v>
      </c>
      <c r="K574" s="26" t="n">
        <v>546.18</v>
      </c>
      <c r="L574" s="26" t="n">
        <v>78.95</v>
      </c>
      <c r="M574" s="22" t="s">
        <v>2091</v>
      </c>
      <c r="N574" s="22" t="n">
        <f aca="false">MATCH(M574,'Tabela Passaro'!$A$2:$A$1795,0)</f>
        <v>457</v>
      </c>
      <c r="O574" s="22" t="str">
        <f aca="false">INDEX('Tabela Passaro'!$C$2:$C$1795,$N574)</f>
        <v>VITORIA DA CONQUISTA</v>
      </c>
      <c r="P574" s="22" t="str">
        <f aca="false">INDEX('Tabela Passaro'!$B$2:$B$1795,$N574)</f>
        <v>BA</v>
      </c>
      <c r="Q574" s="22" t="n">
        <f aca="false">INDEX('Tabela Passaro'!$F$2:$F$1795,$N574)</f>
        <v>9</v>
      </c>
      <c r="R574" s="32" t="n">
        <f aca="false">IF(J574&lt;=10,INDEX('Tabela Passaro'!$G$2:$G$1795,$N574),IF(J574&lt;=30,INDEX('Tabela Passaro'!$H$2:$H$1795,$N574),IF(J574&lt;=50,INDEX('Tabela Passaro'!$I$2:$I$1795,$N574),IF(J574&lt;=70,INDEX('Tabela Passaro'!$J$2:$J$1795,$N574),IF(J574&lt;=100,INDEX('Tabela Passaro'!$K$2:$K$1795,$N574),INDEX('Tabela Passaro'!$K$2:$K$1795,$N574)+(J574-100)*INDEX('Tabela Passaro'!$L$2:$L$1795,$N574))))))</f>
        <v>77.62</v>
      </c>
      <c r="S574" s="32" t="n">
        <f aca="false">K574*INDEX('Tabela Passaro'!$M$2:$M$1795,$N574)</f>
        <v>2.7309</v>
      </c>
      <c r="T574" s="32" t="n">
        <f aca="false">K574*INDEX('Tabela Passaro'!$N$2:$N$1795,$N574)</f>
        <v>1.09236</v>
      </c>
      <c r="U574" s="32" t="n">
        <f aca="false">INDEX('Tabela Passaro'!$O$2:$O$1795,$N574)</f>
        <v>5</v>
      </c>
      <c r="V574" s="32" t="n">
        <f aca="false">ROUNDUP(J574/INDEX('Tabela Passaro'!$Q$2:$Q$1795,$N574),0)*INDEX('Tabela Passaro'!$P$2:$P$1795,$N574)</f>
        <v>5</v>
      </c>
      <c r="W574" s="32" t="n">
        <f aca="false">INDEX('Tabela Passaro'!$R$2:$R$1795,$N574)</f>
        <v>30</v>
      </c>
      <c r="X574" s="32" t="n">
        <f aca="false">ROUNDUP(J574/INDEX('Tabela Passaro'!$T$2:$T$1795,$N574),0)*INDEX('Tabela Passaro'!$S$2:$S$1795,$N574)</f>
        <v>0</v>
      </c>
      <c r="Y574" s="32" t="n">
        <f aca="false">INDEX('Tabela Passaro'!$U$2:$U$1795,$N574)</f>
        <v>0</v>
      </c>
      <c r="Z574" s="32" t="n">
        <f aca="false">INDEX('Tabela Passaro'!$V$2:$V$1795,$N574)</f>
        <v>0</v>
      </c>
      <c r="AA574" s="32" t="n">
        <f aca="false">SUM(R574:Z574)</f>
        <v>121.44326</v>
      </c>
      <c r="AB574" s="33" t="n">
        <f aca="false">INDEX(Premissas!$B$5:$B$13,MATCH(A574,Premissas!$A$5:$A$13,0))</f>
        <v>0.07</v>
      </c>
      <c r="AC574" s="32" t="n">
        <f aca="false">AA574/(1-AB574)-AA574</f>
        <v>9.14089053763442</v>
      </c>
      <c r="AD574" s="32" t="n">
        <f aca="false">ROUND(AA574+AC574,2)</f>
        <v>130.58</v>
      </c>
      <c r="AE574" s="32" t="n">
        <f aca="false">AD574-L574</f>
        <v>51.63</v>
      </c>
      <c r="AF574" s="34" t="n">
        <f aca="false">IF(L574=0,0,AE574/L574)</f>
        <v>0.653958201393287</v>
      </c>
      <c r="AG574" s="22" t="str">
        <f aca="false">IF(AD574&lt;L574,"PASSARO","ATUAL")</f>
        <v>ATUAL</v>
      </c>
      <c r="AH574" s="22" t="str">
        <f aca="false">IF(P574&lt;&gt;A574,"Faixa cadastrada como "&amp;P574&amp;" na tabela; preço aplicado pela UF do CEP","")</f>
        <v/>
      </c>
      <c r="AI574" s="26" t="n">
        <v>132.09</v>
      </c>
      <c r="AJ574" s="22" t="str">
        <f aca="false">INDEX('Tabela Passaro'!$X$2:$X$1795,$N574)</f>
        <v>INTERIOR 2</v>
      </c>
    </row>
    <row r="575" customFormat="false" ht="15" hidden="false" customHeight="false" outlineLevel="0" collapsed="false">
      <c r="A575" s="22" t="s">
        <v>16</v>
      </c>
      <c r="B575" s="22" t="n">
        <v>5</v>
      </c>
      <c r="C575" s="22" t="s">
        <v>83</v>
      </c>
      <c r="D575" s="22" t="s">
        <v>30</v>
      </c>
      <c r="E575" s="22" t="s">
        <v>7328</v>
      </c>
      <c r="F575" s="22" t="n">
        <v>2307434</v>
      </c>
      <c r="G575" s="30" t="n">
        <v>46238</v>
      </c>
      <c r="H575" s="22" t="n">
        <v>131293</v>
      </c>
      <c r="I575" s="22" t="s">
        <v>7849</v>
      </c>
      <c r="J575" s="31" t="n">
        <v>37.2</v>
      </c>
      <c r="K575" s="26" t="n">
        <v>508.64</v>
      </c>
      <c r="L575" s="26" t="n">
        <v>142.22</v>
      </c>
      <c r="M575" s="22" t="s">
        <v>691</v>
      </c>
      <c r="N575" s="22" t="n">
        <f aca="false">MATCH(M575,'Tabela Passaro'!$A$2:$A$1795,0)</f>
        <v>105</v>
      </c>
      <c r="O575" s="22" t="str">
        <f aca="false">INDEX('Tabela Passaro'!$C$2:$C$1795,$N575)</f>
        <v>LAURO DE FREITAS</v>
      </c>
      <c r="P575" s="22" t="str">
        <f aca="false">INDEX('Tabela Passaro'!$B$2:$B$1795,$N575)</f>
        <v>BA</v>
      </c>
      <c r="Q575" s="22" t="n">
        <f aca="false">INDEX('Tabela Passaro'!$F$2:$F$1795,$N575)</f>
        <v>6</v>
      </c>
      <c r="R575" s="32" t="n">
        <f aca="false">IF(J575&lt;=10,INDEX('Tabela Passaro'!$G$2:$G$1795,$N575),IF(J575&lt;=30,INDEX('Tabela Passaro'!$H$2:$H$1795,$N575),IF(J575&lt;=50,INDEX('Tabela Passaro'!$I$2:$I$1795,$N575),IF(J575&lt;=70,INDEX('Tabela Passaro'!$J$2:$J$1795,$N575),IF(J575&lt;=100,INDEX('Tabela Passaro'!$K$2:$K$1795,$N575),INDEX('Tabela Passaro'!$K$2:$K$1795,$N575)+(J575-100)*INDEX('Tabela Passaro'!$L$2:$L$1795,$N575))))))</f>
        <v>61.92</v>
      </c>
      <c r="S575" s="32" t="n">
        <f aca="false">K575*INDEX('Tabela Passaro'!$M$2:$M$1795,$N575)</f>
        <v>2.5432</v>
      </c>
      <c r="T575" s="32" t="n">
        <f aca="false">K575*INDEX('Tabela Passaro'!$N$2:$N$1795,$N575)</f>
        <v>1.01728</v>
      </c>
      <c r="U575" s="32" t="n">
        <f aca="false">INDEX('Tabela Passaro'!$O$2:$O$1795,$N575)</f>
        <v>5</v>
      </c>
      <c r="V575" s="32" t="n">
        <f aca="false">ROUNDUP(J575/INDEX('Tabela Passaro'!$Q$2:$Q$1795,$N575),0)*INDEX('Tabela Passaro'!$P$2:$P$1795,$N575)</f>
        <v>5</v>
      </c>
      <c r="W575" s="32" t="n">
        <f aca="false">INDEX('Tabela Passaro'!$R$2:$R$1795,$N575)</f>
        <v>30</v>
      </c>
      <c r="X575" s="32" t="n">
        <f aca="false">ROUNDUP(J575/INDEX('Tabela Passaro'!$T$2:$T$1795,$N575),0)*INDEX('Tabela Passaro'!$S$2:$S$1795,$N575)</f>
        <v>0</v>
      </c>
      <c r="Y575" s="32" t="n">
        <f aca="false">INDEX('Tabela Passaro'!$U$2:$U$1795,$N575)</f>
        <v>0</v>
      </c>
      <c r="Z575" s="32" t="n">
        <f aca="false">INDEX('Tabela Passaro'!$V$2:$V$1795,$N575)</f>
        <v>0</v>
      </c>
      <c r="AA575" s="32" t="n">
        <f aca="false">SUM(R575:Z575)</f>
        <v>105.48048</v>
      </c>
      <c r="AB575" s="33" t="n">
        <f aca="false">INDEX(Premissas!$B$5:$B$13,MATCH(A575,Premissas!$A$5:$A$13,0))</f>
        <v>0.07</v>
      </c>
      <c r="AC575" s="32" t="n">
        <f aca="false">AA575/(1-AB575)-AA575</f>
        <v>7.93939096774194</v>
      </c>
      <c r="AD575" s="32" t="n">
        <f aca="false">ROUND(AA575+AC575,2)</f>
        <v>113.42</v>
      </c>
      <c r="AE575" s="32" t="n">
        <f aca="false">AD575-L575</f>
        <v>-28.8</v>
      </c>
      <c r="AF575" s="34" t="n">
        <f aca="false">IF(L575=0,0,AE575/L575)</f>
        <v>-0.202503164111939</v>
      </c>
      <c r="AG575" s="22" t="str">
        <f aca="false">IF(AD575&lt;L575,"PASSARO","ATUAL")</f>
        <v>PASSARO</v>
      </c>
      <c r="AH575" s="22" t="str">
        <f aca="false">IF(P575&lt;&gt;A575,"Faixa cadastrada como "&amp;P575&amp;" na tabela; preço aplicado pela UF do CEP","")</f>
        <v/>
      </c>
      <c r="AI575" s="26" t="n">
        <v>139.02</v>
      </c>
      <c r="AJ575" s="22" t="str">
        <f aca="false">INDEX('Tabela Passaro'!$X$2:$X$1795,$N575)</f>
        <v>CAPITAL</v>
      </c>
    </row>
    <row r="576" customFormat="false" ht="15" hidden="false" customHeight="false" outlineLevel="0" collapsed="false">
      <c r="A576" s="22" t="s">
        <v>16</v>
      </c>
      <c r="B576" s="22" t="n">
        <v>5</v>
      </c>
      <c r="C576" s="22" t="s">
        <v>83</v>
      </c>
      <c r="D576" s="22" t="s">
        <v>30</v>
      </c>
      <c r="E576" s="22" t="s">
        <v>7326</v>
      </c>
      <c r="F576" s="22" t="n">
        <v>523815</v>
      </c>
      <c r="G576" s="30" t="n">
        <v>46245</v>
      </c>
      <c r="H576" s="22" t="n">
        <v>622320</v>
      </c>
      <c r="I576" s="22" t="s">
        <v>7850</v>
      </c>
      <c r="J576" s="31" t="n">
        <v>35.2</v>
      </c>
      <c r="K576" s="26" t="n">
        <v>610.19</v>
      </c>
      <c r="L576" s="26" t="n">
        <v>162.88</v>
      </c>
      <c r="M576" s="22" t="s">
        <v>691</v>
      </c>
      <c r="N576" s="22" t="n">
        <f aca="false">MATCH(M576,'Tabela Passaro'!$A$2:$A$1795,0)</f>
        <v>105</v>
      </c>
      <c r="O576" s="22" t="str">
        <f aca="false">INDEX('Tabela Passaro'!$C$2:$C$1795,$N576)</f>
        <v>LAURO DE FREITAS</v>
      </c>
      <c r="P576" s="22" t="str">
        <f aca="false">INDEX('Tabela Passaro'!$B$2:$B$1795,$N576)</f>
        <v>BA</v>
      </c>
      <c r="Q576" s="22" t="n">
        <f aca="false">INDEX('Tabela Passaro'!$F$2:$F$1795,$N576)</f>
        <v>6</v>
      </c>
      <c r="R576" s="32" t="n">
        <f aca="false">IF(J576&lt;=10,INDEX('Tabela Passaro'!$G$2:$G$1795,$N576),IF(J576&lt;=30,INDEX('Tabela Passaro'!$H$2:$H$1795,$N576),IF(J576&lt;=50,INDEX('Tabela Passaro'!$I$2:$I$1795,$N576),IF(J576&lt;=70,INDEX('Tabela Passaro'!$J$2:$J$1795,$N576),IF(J576&lt;=100,INDEX('Tabela Passaro'!$K$2:$K$1795,$N576),INDEX('Tabela Passaro'!$K$2:$K$1795,$N576)+(J576-100)*INDEX('Tabela Passaro'!$L$2:$L$1795,$N576))))))</f>
        <v>61.92</v>
      </c>
      <c r="S576" s="32" t="n">
        <f aca="false">K576*INDEX('Tabela Passaro'!$M$2:$M$1795,$N576)</f>
        <v>3.05095</v>
      </c>
      <c r="T576" s="32" t="n">
        <f aca="false">K576*INDEX('Tabela Passaro'!$N$2:$N$1795,$N576)</f>
        <v>1.22038</v>
      </c>
      <c r="U576" s="32" t="n">
        <f aca="false">INDEX('Tabela Passaro'!$O$2:$O$1795,$N576)</f>
        <v>5</v>
      </c>
      <c r="V576" s="32" t="n">
        <f aca="false">ROUNDUP(J576/INDEX('Tabela Passaro'!$Q$2:$Q$1795,$N576),0)*INDEX('Tabela Passaro'!$P$2:$P$1795,$N576)</f>
        <v>5</v>
      </c>
      <c r="W576" s="32" t="n">
        <f aca="false">INDEX('Tabela Passaro'!$R$2:$R$1795,$N576)</f>
        <v>30</v>
      </c>
      <c r="X576" s="32" t="n">
        <f aca="false">ROUNDUP(J576/INDEX('Tabela Passaro'!$T$2:$T$1795,$N576),0)*INDEX('Tabela Passaro'!$S$2:$S$1795,$N576)</f>
        <v>0</v>
      </c>
      <c r="Y576" s="32" t="n">
        <f aca="false">INDEX('Tabela Passaro'!$U$2:$U$1795,$N576)</f>
        <v>0</v>
      </c>
      <c r="Z576" s="32" t="n">
        <f aca="false">INDEX('Tabela Passaro'!$V$2:$V$1795,$N576)</f>
        <v>0</v>
      </c>
      <c r="AA576" s="32" t="n">
        <f aca="false">SUM(R576:Z576)</f>
        <v>106.19133</v>
      </c>
      <c r="AB576" s="33" t="n">
        <f aca="false">INDEX(Premissas!$B$5:$B$13,MATCH(A576,Premissas!$A$5:$A$13,0))</f>
        <v>0.07</v>
      </c>
      <c r="AC576" s="32" t="n">
        <f aca="false">AA576/(1-AB576)-AA576</f>
        <v>7.99289580645163</v>
      </c>
      <c r="AD576" s="32" t="n">
        <f aca="false">ROUND(AA576+AC576,2)</f>
        <v>114.18</v>
      </c>
      <c r="AE576" s="32" t="n">
        <f aca="false">AD576-L576</f>
        <v>-48.7</v>
      </c>
      <c r="AF576" s="34" t="n">
        <f aca="false">IF(L576=0,0,AE576/L576)</f>
        <v>-0.298993123772102</v>
      </c>
      <c r="AG576" s="22" t="str">
        <f aca="false">IF(AD576&lt;L576,"PASSARO","ATUAL")</f>
        <v>PASSARO</v>
      </c>
      <c r="AH576" s="22" t="str">
        <f aca="false">IF(P576&lt;&gt;A576,"Faixa cadastrada como "&amp;P576&amp;" na tabela; preço aplicado pela UF do CEP","")</f>
        <v/>
      </c>
      <c r="AI576" s="26" t="n">
        <v>139.03</v>
      </c>
      <c r="AJ576" s="22" t="str">
        <f aca="false">INDEX('Tabela Passaro'!$X$2:$X$1795,$N576)</f>
        <v>CAPITAL</v>
      </c>
    </row>
    <row r="577" customFormat="false" ht="15" hidden="false" customHeight="false" outlineLevel="0" collapsed="false">
      <c r="A577" s="22" t="s">
        <v>16</v>
      </c>
      <c r="B577" s="22" t="n">
        <v>5</v>
      </c>
      <c r="C577" s="22" t="s">
        <v>83</v>
      </c>
      <c r="D577" s="22" t="s">
        <v>30</v>
      </c>
      <c r="E577" s="22" t="s">
        <v>7326</v>
      </c>
      <c r="F577" s="22" t="n">
        <v>523820</v>
      </c>
      <c r="G577" s="30" t="n">
        <v>46245</v>
      </c>
      <c r="H577" s="22" t="n">
        <v>622325</v>
      </c>
      <c r="I577" s="22" t="s">
        <v>7851</v>
      </c>
      <c r="J577" s="31" t="n">
        <v>56.5</v>
      </c>
      <c r="K577" s="26" t="n">
        <v>743.27</v>
      </c>
      <c r="L577" s="26" t="n">
        <v>195.77</v>
      </c>
      <c r="M577" s="22" t="s">
        <v>691</v>
      </c>
      <c r="N577" s="22" t="n">
        <f aca="false">MATCH(M577,'Tabela Passaro'!$A$2:$A$1795,0)</f>
        <v>105</v>
      </c>
      <c r="O577" s="22" t="str">
        <f aca="false">INDEX('Tabela Passaro'!$C$2:$C$1795,$N577)</f>
        <v>LAURO DE FREITAS</v>
      </c>
      <c r="P577" s="22" t="str">
        <f aca="false">INDEX('Tabela Passaro'!$B$2:$B$1795,$N577)</f>
        <v>BA</v>
      </c>
      <c r="Q577" s="22" t="n">
        <f aca="false">INDEX('Tabela Passaro'!$F$2:$F$1795,$N577)</f>
        <v>6</v>
      </c>
      <c r="R577" s="32" t="n">
        <f aca="false">IF(J577&lt;=10,INDEX('Tabela Passaro'!$G$2:$G$1795,$N577),IF(J577&lt;=30,INDEX('Tabela Passaro'!$H$2:$H$1795,$N577),IF(J577&lt;=50,INDEX('Tabela Passaro'!$I$2:$I$1795,$N577),IF(J577&lt;=70,INDEX('Tabela Passaro'!$J$2:$J$1795,$N577),IF(J577&lt;=100,INDEX('Tabela Passaro'!$K$2:$K$1795,$N577),INDEX('Tabela Passaro'!$K$2:$K$1795,$N577)+(J577-100)*INDEX('Tabela Passaro'!$L$2:$L$1795,$N577))))))</f>
        <v>73.44</v>
      </c>
      <c r="S577" s="32" t="n">
        <f aca="false">K577*INDEX('Tabela Passaro'!$M$2:$M$1795,$N577)</f>
        <v>3.71635</v>
      </c>
      <c r="T577" s="32" t="n">
        <f aca="false">K577*INDEX('Tabela Passaro'!$N$2:$N$1795,$N577)</f>
        <v>1.48654</v>
      </c>
      <c r="U577" s="32" t="n">
        <f aca="false">INDEX('Tabela Passaro'!$O$2:$O$1795,$N577)</f>
        <v>5</v>
      </c>
      <c r="V577" s="32" t="n">
        <f aca="false">ROUNDUP(J577/INDEX('Tabela Passaro'!$Q$2:$Q$1795,$N577),0)*INDEX('Tabela Passaro'!$P$2:$P$1795,$N577)</f>
        <v>5</v>
      </c>
      <c r="W577" s="32" t="n">
        <f aca="false">INDEX('Tabela Passaro'!$R$2:$R$1795,$N577)</f>
        <v>30</v>
      </c>
      <c r="X577" s="32" t="n">
        <f aca="false">ROUNDUP(J577/INDEX('Tabela Passaro'!$T$2:$T$1795,$N577),0)*INDEX('Tabela Passaro'!$S$2:$S$1795,$N577)</f>
        <v>0</v>
      </c>
      <c r="Y577" s="32" t="n">
        <f aca="false">INDEX('Tabela Passaro'!$U$2:$U$1795,$N577)</f>
        <v>0</v>
      </c>
      <c r="Z577" s="32" t="n">
        <f aca="false">INDEX('Tabela Passaro'!$V$2:$V$1795,$N577)</f>
        <v>0</v>
      </c>
      <c r="AA577" s="32" t="n">
        <f aca="false">SUM(R577:Z577)</f>
        <v>118.64289</v>
      </c>
      <c r="AB577" s="33" t="n">
        <f aca="false">INDEX(Premissas!$B$5:$B$13,MATCH(A577,Premissas!$A$5:$A$13,0))</f>
        <v>0.07</v>
      </c>
      <c r="AC577" s="32" t="n">
        <f aca="false">AA577/(1-AB577)-AA577</f>
        <v>8.93011000000001</v>
      </c>
      <c r="AD577" s="32" t="n">
        <f aca="false">ROUND(AA577+AC577,2)</f>
        <v>127.57</v>
      </c>
      <c r="AE577" s="32" t="n">
        <f aca="false">AD577-L577</f>
        <v>-68.2</v>
      </c>
      <c r="AF577" s="34" t="n">
        <f aca="false">IF(L577=0,0,AE577/L577)</f>
        <v>-0.348367982837003</v>
      </c>
      <c r="AG577" s="22" t="str">
        <f aca="false">IF(AD577&lt;L577,"PASSARO","ATUAL")</f>
        <v>PASSARO</v>
      </c>
      <c r="AH577" s="22" t="str">
        <f aca="false">IF(P577&lt;&gt;A577,"Faixa cadastrada como "&amp;P577&amp;" na tabela; preço aplicado pela UF do CEP","")</f>
        <v/>
      </c>
      <c r="AI577" s="26" t="n">
        <v>163.01</v>
      </c>
      <c r="AJ577" s="22" t="str">
        <f aca="false">INDEX('Tabela Passaro'!$X$2:$X$1795,$N577)</f>
        <v>CAPITAL</v>
      </c>
    </row>
    <row r="578" customFormat="false" ht="15" hidden="false" customHeight="false" outlineLevel="0" collapsed="false">
      <c r="A578" s="22" t="s">
        <v>16</v>
      </c>
      <c r="B578" s="22" t="n">
        <v>5</v>
      </c>
      <c r="C578" s="22" t="s">
        <v>83</v>
      </c>
      <c r="D578" s="22" t="s">
        <v>30</v>
      </c>
      <c r="E578" s="22" t="s">
        <v>7326</v>
      </c>
      <c r="F578" s="22" t="n">
        <v>524477</v>
      </c>
      <c r="G578" s="30" t="n">
        <v>46246</v>
      </c>
      <c r="H578" s="22" t="n">
        <v>623919</v>
      </c>
      <c r="I578" s="22" t="s">
        <v>7852</v>
      </c>
      <c r="J578" s="31" t="n">
        <v>41.5</v>
      </c>
      <c r="K578" s="26" t="n">
        <v>738.74</v>
      </c>
      <c r="L578" s="26" t="n">
        <v>163.97</v>
      </c>
      <c r="M578" s="22" t="s">
        <v>691</v>
      </c>
      <c r="N578" s="22" t="n">
        <f aca="false">MATCH(M578,'Tabela Passaro'!$A$2:$A$1795,0)</f>
        <v>105</v>
      </c>
      <c r="O578" s="22" t="str">
        <f aca="false">INDEX('Tabela Passaro'!$C$2:$C$1795,$N578)</f>
        <v>LAURO DE FREITAS</v>
      </c>
      <c r="P578" s="22" t="str">
        <f aca="false">INDEX('Tabela Passaro'!$B$2:$B$1795,$N578)</f>
        <v>BA</v>
      </c>
      <c r="Q578" s="22" t="n">
        <f aca="false">INDEX('Tabela Passaro'!$F$2:$F$1795,$N578)</f>
        <v>6</v>
      </c>
      <c r="R578" s="32" t="n">
        <f aca="false">IF(J578&lt;=10,INDEX('Tabela Passaro'!$G$2:$G$1795,$N578),IF(J578&lt;=30,INDEX('Tabela Passaro'!$H$2:$H$1795,$N578),IF(J578&lt;=50,INDEX('Tabela Passaro'!$I$2:$I$1795,$N578),IF(J578&lt;=70,INDEX('Tabela Passaro'!$J$2:$J$1795,$N578),IF(J578&lt;=100,INDEX('Tabela Passaro'!$K$2:$K$1795,$N578),INDEX('Tabela Passaro'!$K$2:$K$1795,$N578)+(J578-100)*INDEX('Tabela Passaro'!$L$2:$L$1795,$N578))))))</f>
        <v>61.92</v>
      </c>
      <c r="S578" s="32" t="n">
        <f aca="false">K578*INDEX('Tabela Passaro'!$M$2:$M$1795,$N578)</f>
        <v>3.6937</v>
      </c>
      <c r="T578" s="32" t="n">
        <f aca="false">K578*INDEX('Tabela Passaro'!$N$2:$N$1795,$N578)</f>
        <v>1.47748</v>
      </c>
      <c r="U578" s="32" t="n">
        <f aca="false">INDEX('Tabela Passaro'!$O$2:$O$1795,$N578)</f>
        <v>5</v>
      </c>
      <c r="V578" s="32" t="n">
        <f aca="false">ROUNDUP(J578/INDEX('Tabela Passaro'!$Q$2:$Q$1795,$N578),0)*INDEX('Tabela Passaro'!$P$2:$P$1795,$N578)</f>
        <v>5</v>
      </c>
      <c r="W578" s="32" t="n">
        <f aca="false">INDEX('Tabela Passaro'!$R$2:$R$1795,$N578)</f>
        <v>30</v>
      </c>
      <c r="X578" s="32" t="n">
        <f aca="false">ROUNDUP(J578/INDEX('Tabela Passaro'!$T$2:$T$1795,$N578),0)*INDEX('Tabela Passaro'!$S$2:$S$1795,$N578)</f>
        <v>0</v>
      </c>
      <c r="Y578" s="32" t="n">
        <f aca="false">INDEX('Tabela Passaro'!$U$2:$U$1795,$N578)</f>
        <v>0</v>
      </c>
      <c r="Z578" s="32" t="n">
        <f aca="false">INDEX('Tabela Passaro'!$V$2:$V$1795,$N578)</f>
        <v>0</v>
      </c>
      <c r="AA578" s="32" t="n">
        <f aca="false">SUM(R578:Z578)</f>
        <v>107.09118</v>
      </c>
      <c r="AB578" s="33" t="n">
        <f aca="false">INDEX(Premissas!$B$5:$B$13,MATCH(A578,Premissas!$A$5:$A$13,0))</f>
        <v>0.07</v>
      </c>
      <c r="AC578" s="32" t="n">
        <f aca="false">AA578/(1-AB578)-AA578</f>
        <v>8.0606264516129</v>
      </c>
      <c r="AD578" s="32" t="n">
        <f aca="false">ROUND(AA578+AC578,2)</f>
        <v>115.15</v>
      </c>
      <c r="AE578" s="32" t="n">
        <f aca="false">AD578-L578</f>
        <v>-48.82</v>
      </c>
      <c r="AF578" s="34" t="n">
        <f aca="false">IF(L578=0,0,AE578/L578)</f>
        <v>-0.297737390986156</v>
      </c>
      <c r="AG578" s="22" t="str">
        <f aca="false">IF(AD578&lt;L578,"PASSARO","ATUAL")</f>
        <v>PASSARO</v>
      </c>
      <c r="AH578" s="22" t="str">
        <f aca="false">IF(P578&lt;&gt;A578,"Faixa cadastrada como "&amp;P578&amp;" na tabela; preço aplicado pela UF do CEP","")</f>
        <v/>
      </c>
      <c r="AI578" s="26" t="n">
        <v>143.18</v>
      </c>
      <c r="AJ578" s="22" t="str">
        <f aca="false">INDEX('Tabela Passaro'!$X$2:$X$1795,$N578)</f>
        <v>CAPITAL</v>
      </c>
    </row>
    <row r="579" customFormat="false" ht="15" hidden="false" customHeight="false" outlineLevel="0" collapsed="false">
      <c r="A579" s="22" t="s">
        <v>16</v>
      </c>
      <c r="B579" s="22" t="n">
        <v>5</v>
      </c>
      <c r="C579" s="22" t="s">
        <v>83</v>
      </c>
      <c r="D579" s="22" t="s">
        <v>30</v>
      </c>
      <c r="E579" s="22" t="s">
        <v>7326</v>
      </c>
      <c r="F579" s="22" t="n">
        <v>524476</v>
      </c>
      <c r="G579" s="30" t="n">
        <v>46246</v>
      </c>
      <c r="H579" s="22" t="n">
        <v>623924</v>
      </c>
      <c r="I579" s="22" t="s">
        <v>7853</v>
      </c>
      <c r="J579" s="31" t="n">
        <v>36.9</v>
      </c>
      <c r="K579" s="26" t="n">
        <v>603.73</v>
      </c>
      <c r="L579" s="26" t="n">
        <v>162.82</v>
      </c>
      <c r="M579" s="22" t="s">
        <v>691</v>
      </c>
      <c r="N579" s="22" t="n">
        <f aca="false">MATCH(M579,'Tabela Passaro'!$A$2:$A$1795,0)</f>
        <v>105</v>
      </c>
      <c r="O579" s="22" t="str">
        <f aca="false">INDEX('Tabela Passaro'!$C$2:$C$1795,$N579)</f>
        <v>LAURO DE FREITAS</v>
      </c>
      <c r="P579" s="22" t="str">
        <f aca="false">INDEX('Tabela Passaro'!$B$2:$B$1795,$N579)</f>
        <v>BA</v>
      </c>
      <c r="Q579" s="22" t="n">
        <f aca="false">INDEX('Tabela Passaro'!$F$2:$F$1795,$N579)</f>
        <v>6</v>
      </c>
      <c r="R579" s="32" t="n">
        <f aca="false">IF(J579&lt;=10,INDEX('Tabela Passaro'!$G$2:$G$1795,$N579),IF(J579&lt;=30,INDEX('Tabela Passaro'!$H$2:$H$1795,$N579),IF(J579&lt;=50,INDEX('Tabela Passaro'!$I$2:$I$1795,$N579),IF(J579&lt;=70,INDEX('Tabela Passaro'!$J$2:$J$1795,$N579),IF(J579&lt;=100,INDEX('Tabela Passaro'!$K$2:$K$1795,$N579),INDEX('Tabela Passaro'!$K$2:$K$1795,$N579)+(J579-100)*INDEX('Tabela Passaro'!$L$2:$L$1795,$N579))))))</f>
        <v>61.92</v>
      </c>
      <c r="S579" s="32" t="n">
        <f aca="false">K579*INDEX('Tabela Passaro'!$M$2:$M$1795,$N579)</f>
        <v>3.01865</v>
      </c>
      <c r="T579" s="32" t="n">
        <f aca="false">K579*INDEX('Tabela Passaro'!$N$2:$N$1795,$N579)</f>
        <v>1.20746</v>
      </c>
      <c r="U579" s="32" t="n">
        <f aca="false">INDEX('Tabela Passaro'!$O$2:$O$1795,$N579)</f>
        <v>5</v>
      </c>
      <c r="V579" s="32" t="n">
        <f aca="false">ROUNDUP(J579/INDEX('Tabela Passaro'!$Q$2:$Q$1795,$N579),0)*INDEX('Tabela Passaro'!$P$2:$P$1795,$N579)</f>
        <v>5</v>
      </c>
      <c r="W579" s="32" t="n">
        <f aca="false">INDEX('Tabela Passaro'!$R$2:$R$1795,$N579)</f>
        <v>30</v>
      </c>
      <c r="X579" s="32" t="n">
        <f aca="false">ROUNDUP(J579/INDEX('Tabela Passaro'!$T$2:$T$1795,$N579),0)*INDEX('Tabela Passaro'!$S$2:$S$1795,$N579)</f>
        <v>0</v>
      </c>
      <c r="Y579" s="32" t="n">
        <f aca="false">INDEX('Tabela Passaro'!$U$2:$U$1795,$N579)</f>
        <v>0</v>
      </c>
      <c r="Z579" s="32" t="n">
        <f aca="false">INDEX('Tabela Passaro'!$V$2:$V$1795,$N579)</f>
        <v>0</v>
      </c>
      <c r="AA579" s="32" t="n">
        <f aca="false">SUM(R579:Z579)</f>
        <v>106.14611</v>
      </c>
      <c r="AB579" s="33" t="n">
        <f aca="false">INDEX(Premissas!$B$5:$B$13,MATCH(A579,Premissas!$A$5:$A$13,0))</f>
        <v>0.07</v>
      </c>
      <c r="AC579" s="32" t="n">
        <f aca="false">AA579/(1-AB579)-AA579</f>
        <v>7.98949215053764</v>
      </c>
      <c r="AD579" s="32" t="n">
        <f aca="false">ROUND(AA579+AC579,2)</f>
        <v>114.14</v>
      </c>
      <c r="AE579" s="32" t="n">
        <f aca="false">AD579-L579</f>
        <v>-48.68</v>
      </c>
      <c r="AF579" s="34" t="n">
        <f aca="false">IF(L579=0,0,AE579/L579)</f>
        <v>-0.298980469229824</v>
      </c>
      <c r="AG579" s="22" t="str">
        <f aca="false">IF(AD579&lt;L579,"PASSARO","ATUAL")</f>
        <v>PASSARO</v>
      </c>
      <c r="AH579" s="22" t="str">
        <f aca="false">IF(P579&lt;&gt;A579,"Faixa cadastrada como "&amp;P579&amp;" na tabela; preço aplicado pela UF do CEP","")</f>
        <v/>
      </c>
      <c r="AI579" s="26" t="n">
        <v>139.46</v>
      </c>
      <c r="AJ579" s="22" t="str">
        <f aca="false">INDEX('Tabela Passaro'!$X$2:$X$1795,$N579)</f>
        <v>CAPITAL</v>
      </c>
    </row>
    <row r="580" customFormat="false" ht="15" hidden="false" customHeight="false" outlineLevel="0" collapsed="false">
      <c r="A580" s="22" t="s">
        <v>16</v>
      </c>
      <c r="B580" s="22" t="n">
        <v>5</v>
      </c>
      <c r="C580" s="22" t="s">
        <v>83</v>
      </c>
      <c r="D580" s="22" t="s">
        <v>30</v>
      </c>
      <c r="E580" s="22" t="s">
        <v>7326</v>
      </c>
      <c r="F580" s="22" t="n">
        <v>524494</v>
      </c>
      <c r="G580" s="30" t="n">
        <v>46246</v>
      </c>
      <c r="H580" s="22" t="n">
        <v>624154</v>
      </c>
      <c r="I580" s="22" t="s">
        <v>7854</v>
      </c>
      <c r="J580" s="31" t="n">
        <v>97.99</v>
      </c>
      <c r="K580" s="26" t="n">
        <v>1554.21</v>
      </c>
      <c r="L580" s="26" t="n">
        <v>257.13</v>
      </c>
      <c r="M580" s="22" t="s">
        <v>691</v>
      </c>
      <c r="N580" s="22" t="n">
        <f aca="false">MATCH(M580,'Tabela Passaro'!$A$2:$A$1795,0)</f>
        <v>105</v>
      </c>
      <c r="O580" s="22" t="str">
        <f aca="false">INDEX('Tabela Passaro'!$C$2:$C$1795,$N580)</f>
        <v>LAURO DE FREITAS</v>
      </c>
      <c r="P580" s="22" t="str">
        <f aca="false">INDEX('Tabela Passaro'!$B$2:$B$1795,$N580)</f>
        <v>BA</v>
      </c>
      <c r="Q580" s="22" t="n">
        <f aca="false">INDEX('Tabela Passaro'!$F$2:$F$1795,$N580)</f>
        <v>6</v>
      </c>
      <c r="R580" s="32" t="n">
        <f aca="false">IF(J580&lt;=10,INDEX('Tabela Passaro'!$G$2:$G$1795,$N580),IF(J580&lt;=30,INDEX('Tabela Passaro'!$H$2:$H$1795,$N580),IF(J580&lt;=50,INDEX('Tabela Passaro'!$I$2:$I$1795,$N580),IF(J580&lt;=70,INDEX('Tabela Passaro'!$J$2:$J$1795,$N580),IF(J580&lt;=100,INDEX('Tabela Passaro'!$K$2:$K$1795,$N580),INDEX('Tabela Passaro'!$K$2:$K$1795,$N580)+(J580-100)*INDEX('Tabela Passaro'!$L$2:$L$1795,$N580))))))</f>
        <v>84.96</v>
      </c>
      <c r="S580" s="32" t="n">
        <f aca="false">K580*INDEX('Tabela Passaro'!$M$2:$M$1795,$N580)</f>
        <v>7.77105</v>
      </c>
      <c r="T580" s="32" t="n">
        <f aca="false">K580*INDEX('Tabela Passaro'!$N$2:$N$1795,$N580)</f>
        <v>3.10842</v>
      </c>
      <c r="U580" s="32" t="n">
        <f aca="false">INDEX('Tabela Passaro'!$O$2:$O$1795,$N580)</f>
        <v>5</v>
      </c>
      <c r="V580" s="32" t="n">
        <f aca="false">ROUNDUP(J580/INDEX('Tabela Passaro'!$Q$2:$Q$1795,$N580),0)*INDEX('Tabela Passaro'!$P$2:$P$1795,$N580)</f>
        <v>5</v>
      </c>
      <c r="W580" s="32" t="n">
        <f aca="false">INDEX('Tabela Passaro'!$R$2:$R$1795,$N580)</f>
        <v>30</v>
      </c>
      <c r="X580" s="32" t="n">
        <f aca="false">ROUNDUP(J580/INDEX('Tabela Passaro'!$T$2:$T$1795,$N580),0)*INDEX('Tabela Passaro'!$S$2:$S$1795,$N580)</f>
        <v>0</v>
      </c>
      <c r="Y580" s="32" t="n">
        <f aca="false">INDEX('Tabela Passaro'!$U$2:$U$1795,$N580)</f>
        <v>0</v>
      </c>
      <c r="Z580" s="32" t="n">
        <f aca="false">INDEX('Tabela Passaro'!$V$2:$V$1795,$N580)</f>
        <v>0</v>
      </c>
      <c r="AA580" s="32" t="n">
        <f aca="false">SUM(R580:Z580)</f>
        <v>135.83947</v>
      </c>
      <c r="AB580" s="33" t="n">
        <f aca="false">INDEX(Premissas!$B$5:$B$13,MATCH(A580,Premissas!$A$5:$A$13,0))</f>
        <v>0.07</v>
      </c>
      <c r="AC580" s="32" t="n">
        <f aca="false">AA580/(1-AB580)-AA580</f>
        <v>10.2244762365592</v>
      </c>
      <c r="AD580" s="32" t="n">
        <f aca="false">ROUND(AA580+AC580,2)</f>
        <v>146.06</v>
      </c>
      <c r="AE580" s="32" t="n">
        <f aca="false">AD580-L580</f>
        <v>-111.07</v>
      </c>
      <c r="AF580" s="34" t="n">
        <f aca="false">IF(L580=0,0,AE580/L580)</f>
        <v>-0.431960486913235</v>
      </c>
      <c r="AG580" s="22" t="str">
        <f aca="false">IF(AD580&lt;L580,"PASSARO","ATUAL")</f>
        <v>PASSARO</v>
      </c>
      <c r="AH580" s="22" t="str">
        <f aca="false">IF(P580&lt;&gt;A580,"Faixa cadastrada como "&amp;P580&amp;" na tabela; preço aplicado pela UF do CEP","")</f>
        <v/>
      </c>
      <c r="AI580" s="26" t="n">
        <v>203.21</v>
      </c>
      <c r="AJ580" s="22" t="str">
        <f aca="false">INDEX('Tabela Passaro'!$X$2:$X$1795,$N580)</f>
        <v>CAPITAL</v>
      </c>
    </row>
    <row r="581" customFormat="false" ht="15" hidden="false" customHeight="false" outlineLevel="0" collapsed="false">
      <c r="A581" s="22" t="s">
        <v>16</v>
      </c>
      <c r="B581" s="22" t="n">
        <v>5</v>
      </c>
      <c r="C581" s="22" t="s">
        <v>83</v>
      </c>
      <c r="D581" s="22" t="s">
        <v>30</v>
      </c>
      <c r="E581" s="22" t="s">
        <v>7328</v>
      </c>
      <c r="F581" s="22" t="n">
        <v>2312355</v>
      </c>
      <c r="G581" s="30" t="n">
        <v>46248</v>
      </c>
      <c r="H581" s="22" t="n">
        <v>133257</v>
      </c>
      <c r="I581" s="22" t="s">
        <v>7855</v>
      </c>
      <c r="J581" s="31" t="n">
        <v>134.4</v>
      </c>
      <c r="K581" s="26" t="n">
        <v>1992.98</v>
      </c>
      <c r="L581" s="26" t="n">
        <v>262.7</v>
      </c>
      <c r="M581" s="22" t="s">
        <v>691</v>
      </c>
      <c r="N581" s="22" t="n">
        <f aca="false">MATCH(M581,'Tabela Passaro'!$A$2:$A$1795,0)</f>
        <v>105</v>
      </c>
      <c r="O581" s="22" t="str">
        <f aca="false">INDEX('Tabela Passaro'!$C$2:$C$1795,$N581)</f>
        <v>LAURO DE FREITAS</v>
      </c>
      <c r="P581" s="22" t="str">
        <f aca="false">INDEX('Tabela Passaro'!$B$2:$B$1795,$N581)</f>
        <v>BA</v>
      </c>
      <c r="Q581" s="22" t="n">
        <f aca="false">INDEX('Tabela Passaro'!$F$2:$F$1795,$N581)</f>
        <v>6</v>
      </c>
      <c r="R581" s="32" t="n">
        <f aca="false">IF(J581&lt;=10,INDEX('Tabela Passaro'!$G$2:$G$1795,$N581),IF(J581&lt;=30,INDEX('Tabela Passaro'!$H$2:$H$1795,$N581),IF(J581&lt;=50,INDEX('Tabela Passaro'!$I$2:$I$1795,$N581),IF(J581&lt;=70,INDEX('Tabela Passaro'!$J$2:$J$1795,$N581),IF(J581&lt;=100,INDEX('Tabela Passaro'!$K$2:$K$1795,$N581),INDEX('Tabela Passaro'!$K$2:$K$1795,$N581)+(J581-100)*INDEX('Tabela Passaro'!$L$2:$L$1795,$N581))))))</f>
        <v>124.864</v>
      </c>
      <c r="S581" s="32" t="n">
        <f aca="false">K581*INDEX('Tabela Passaro'!$M$2:$M$1795,$N581)</f>
        <v>9.9649</v>
      </c>
      <c r="T581" s="32" t="n">
        <f aca="false">K581*INDEX('Tabela Passaro'!$N$2:$N$1795,$N581)</f>
        <v>3.98596</v>
      </c>
      <c r="U581" s="32" t="n">
        <f aca="false">INDEX('Tabela Passaro'!$O$2:$O$1795,$N581)</f>
        <v>5</v>
      </c>
      <c r="V581" s="32" t="n">
        <f aca="false">ROUNDUP(J581/INDEX('Tabela Passaro'!$Q$2:$Q$1795,$N581),0)*INDEX('Tabela Passaro'!$P$2:$P$1795,$N581)</f>
        <v>10</v>
      </c>
      <c r="W581" s="32" t="n">
        <f aca="false">INDEX('Tabela Passaro'!$R$2:$R$1795,$N581)</f>
        <v>30</v>
      </c>
      <c r="X581" s="32" t="n">
        <f aca="false">ROUNDUP(J581/INDEX('Tabela Passaro'!$T$2:$T$1795,$N581),0)*INDEX('Tabela Passaro'!$S$2:$S$1795,$N581)</f>
        <v>0</v>
      </c>
      <c r="Y581" s="32" t="n">
        <f aca="false">INDEX('Tabela Passaro'!$U$2:$U$1795,$N581)</f>
        <v>0</v>
      </c>
      <c r="Z581" s="32" t="n">
        <f aca="false">INDEX('Tabela Passaro'!$V$2:$V$1795,$N581)</f>
        <v>0</v>
      </c>
      <c r="AA581" s="32" t="n">
        <f aca="false">SUM(R581:Z581)</f>
        <v>183.81486</v>
      </c>
      <c r="AB581" s="33" t="n">
        <f aca="false">INDEX(Premissas!$B$5:$B$13,MATCH(A581,Premissas!$A$5:$A$13,0))</f>
        <v>0.07</v>
      </c>
      <c r="AC581" s="32" t="n">
        <f aca="false">AA581/(1-AB581)-AA581</f>
        <v>13.8355270967742</v>
      </c>
      <c r="AD581" s="32" t="n">
        <f aca="false">ROUND(AA581+AC581,2)</f>
        <v>197.65</v>
      </c>
      <c r="AE581" s="32" t="n">
        <f aca="false">AD581-L581</f>
        <v>-65.05</v>
      </c>
      <c r="AF581" s="34" t="n">
        <f aca="false">IF(L581=0,0,AE581/L581)</f>
        <v>-0.247620860296917</v>
      </c>
      <c r="AG581" s="22" t="str">
        <f aca="false">IF(AD581&lt;L581,"PASSARO","ATUAL")</f>
        <v>PASSARO</v>
      </c>
      <c r="AH581" s="22" t="str">
        <f aca="false">IF(P581&lt;&gt;A581,"Faixa cadastrada como "&amp;P581&amp;" na tabela; preço aplicado pela UF do CEP","")</f>
        <v/>
      </c>
      <c r="AI581" s="26" t="n">
        <v>279.19</v>
      </c>
      <c r="AJ581" s="22" t="str">
        <f aca="false">INDEX('Tabela Passaro'!$X$2:$X$1795,$N581)</f>
        <v>CAPITAL</v>
      </c>
    </row>
    <row r="582" customFormat="false" ht="15" hidden="false" customHeight="false" outlineLevel="0" collapsed="false">
      <c r="A582" s="22" t="s">
        <v>16</v>
      </c>
      <c r="B582" s="22" t="n">
        <v>5</v>
      </c>
      <c r="C582" s="22" t="s">
        <v>83</v>
      </c>
      <c r="D582" s="22" t="s">
        <v>30</v>
      </c>
      <c r="E582" s="22" t="s">
        <v>7328</v>
      </c>
      <c r="F582" s="22" t="n">
        <v>2312382</v>
      </c>
      <c r="G582" s="30" t="n">
        <v>46248</v>
      </c>
      <c r="H582" s="22" t="n">
        <v>133280</v>
      </c>
      <c r="I582" s="22" t="s">
        <v>7856</v>
      </c>
      <c r="J582" s="31" t="n">
        <v>43.5</v>
      </c>
      <c r="K582" s="26" t="n">
        <v>769.63</v>
      </c>
      <c r="L582" s="26" t="n">
        <v>144.29</v>
      </c>
      <c r="M582" s="22" t="s">
        <v>691</v>
      </c>
      <c r="N582" s="22" t="n">
        <f aca="false">MATCH(M582,'Tabela Passaro'!$A$2:$A$1795,0)</f>
        <v>105</v>
      </c>
      <c r="O582" s="22" t="str">
        <f aca="false">INDEX('Tabela Passaro'!$C$2:$C$1795,$N582)</f>
        <v>LAURO DE FREITAS</v>
      </c>
      <c r="P582" s="22" t="str">
        <f aca="false">INDEX('Tabela Passaro'!$B$2:$B$1795,$N582)</f>
        <v>BA</v>
      </c>
      <c r="Q582" s="22" t="n">
        <f aca="false">INDEX('Tabela Passaro'!$F$2:$F$1795,$N582)</f>
        <v>6</v>
      </c>
      <c r="R582" s="32" t="n">
        <f aca="false">IF(J582&lt;=10,INDEX('Tabela Passaro'!$G$2:$G$1795,$N582),IF(J582&lt;=30,INDEX('Tabela Passaro'!$H$2:$H$1795,$N582),IF(J582&lt;=50,INDEX('Tabela Passaro'!$I$2:$I$1795,$N582),IF(J582&lt;=70,INDEX('Tabela Passaro'!$J$2:$J$1795,$N582),IF(J582&lt;=100,INDEX('Tabela Passaro'!$K$2:$K$1795,$N582),INDEX('Tabela Passaro'!$K$2:$K$1795,$N582)+(J582-100)*INDEX('Tabela Passaro'!$L$2:$L$1795,$N582))))))</f>
        <v>61.92</v>
      </c>
      <c r="S582" s="32" t="n">
        <f aca="false">K582*INDEX('Tabela Passaro'!$M$2:$M$1795,$N582)</f>
        <v>3.84815</v>
      </c>
      <c r="T582" s="32" t="n">
        <f aca="false">K582*INDEX('Tabela Passaro'!$N$2:$N$1795,$N582)</f>
        <v>1.53926</v>
      </c>
      <c r="U582" s="32" t="n">
        <f aca="false">INDEX('Tabela Passaro'!$O$2:$O$1795,$N582)</f>
        <v>5</v>
      </c>
      <c r="V582" s="32" t="n">
        <f aca="false">ROUNDUP(J582/INDEX('Tabela Passaro'!$Q$2:$Q$1795,$N582),0)*INDEX('Tabela Passaro'!$P$2:$P$1795,$N582)</f>
        <v>5</v>
      </c>
      <c r="W582" s="32" t="n">
        <f aca="false">INDEX('Tabela Passaro'!$R$2:$R$1795,$N582)</f>
        <v>30</v>
      </c>
      <c r="X582" s="32" t="n">
        <f aca="false">ROUNDUP(J582/INDEX('Tabela Passaro'!$T$2:$T$1795,$N582),0)*INDEX('Tabela Passaro'!$S$2:$S$1795,$N582)</f>
        <v>0</v>
      </c>
      <c r="Y582" s="32" t="n">
        <f aca="false">INDEX('Tabela Passaro'!$U$2:$U$1795,$N582)</f>
        <v>0</v>
      </c>
      <c r="Z582" s="32" t="n">
        <f aca="false">INDEX('Tabela Passaro'!$V$2:$V$1795,$N582)</f>
        <v>0</v>
      </c>
      <c r="AA582" s="32" t="n">
        <f aca="false">SUM(R582:Z582)</f>
        <v>107.30741</v>
      </c>
      <c r="AB582" s="33" t="n">
        <f aca="false">INDEX(Premissas!$B$5:$B$13,MATCH(A582,Premissas!$A$5:$A$13,0))</f>
        <v>0.07</v>
      </c>
      <c r="AC582" s="32" t="n">
        <f aca="false">AA582/(1-AB582)-AA582</f>
        <v>8.076901827957</v>
      </c>
      <c r="AD582" s="32" t="n">
        <f aca="false">ROUND(AA582+AC582,2)</f>
        <v>115.38</v>
      </c>
      <c r="AE582" s="32" t="n">
        <f aca="false">AD582-L582</f>
        <v>-28.91</v>
      </c>
      <c r="AF582" s="34" t="n">
        <f aca="false">IF(L582=0,0,AE582/L582)</f>
        <v>-0.200360385335089</v>
      </c>
      <c r="AG582" s="22" t="str">
        <f aca="false">IF(AD582&lt;L582,"PASSARO","ATUAL")</f>
        <v>PASSARO</v>
      </c>
      <c r="AH582" s="22" t="str">
        <f aca="false">IF(P582&lt;&gt;A582,"Faixa cadastrada como "&amp;P582&amp;" na tabela; preço aplicado pela UF do CEP","")</f>
        <v/>
      </c>
      <c r="AI582" s="26" t="n">
        <v>144.45</v>
      </c>
      <c r="AJ582" s="22" t="str">
        <f aca="false">INDEX('Tabela Passaro'!$X$2:$X$1795,$N582)</f>
        <v>CAPITAL</v>
      </c>
    </row>
    <row r="583" customFormat="false" ht="15" hidden="false" customHeight="false" outlineLevel="0" collapsed="false">
      <c r="A583" s="22" t="s">
        <v>16</v>
      </c>
      <c r="B583" s="22" t="n">
        <v>5</v>
      </c>
      <c r="C583" s="22" t="s">
        <v>83</v>
      </c>
      <c r="D583" s="22" t="s">
        <v>30</v>
      </c>
      <c r="E583" s="22" t="s">
        <v>7326</v>
      </c>
      <c r="F583" s="22" t="n">
        <v>525047</v>
      </c>
      <c r="G583" s="30" t="n">
        <v>46248</v>
      </c>
      <c r="H583" s="22" t="n">
        <v>624820</v>
      </c>
      <c r="I583" s="22" t="s">
        <v>7857</v>
      </c>
      <c r="J583" s="31" t="n">
        <v>124.2</v>
      </c>
      <c r="K583" s="26" t="n">
        <v>2139.98</v>
      </c>
      <c r="L583" s="26" t="n">
        <v>324.16</v>
      </c>
      <c r="M583" s="22" t="s">
        <v>691</v>
      </c>
      <c r="N583" s="22" t="n">
        <f aca="false">MATCH(M583,'Tabela Passaro'!$A$2:$A$1795,0)</f>
        <v>105</v>
      </c>
      <c r="O583" s="22" t="str">
        <f aca="false">INDEX('Tabela Passaro'!$C$2:$C$1795,$N583)</f>
        <v>LAURO DE FREITAS</v>
      </c>
      <c r="P583" s="22" t="str">
        <f aca="false">INDEX('Tabela Passaro'!$B$2:$B$1795,$N583)</f>
        <v>BA</v>
      </c>
      <c r="Q583" s="22" t="n">
        <f aca="false">INDEX('Tabela Passaro'!$F$2:$F$1795,$N583)</f>
        <v>6</v>
      </c>
      <c r="R583" s="32" t="n">
        <f aca="false">IF(J583&lt;=10,INDEX('Tabela Passaro'!$G$2:$G$1795,$N583),IF(J583&lt;=30,INDEX('Tabela Passaro'!$H$2:$H$1795,$N583),IF(J583&lt;=50,INDEX('Tabela Passaro'!$I$2:$I$1795,$N583),IF(J583&lt;=70,INDEX('Tabela Passaro'!$J$2:$J$1795,$N583),IF(J583&lt;=100,INDEX('Tabela Passaro'!$K$2:$K$1795,$N583),INDEX('Tabela Passaro'!$K$2:$K$1795,$N583)+(J583-100)*INDEX('Tabela Passaro'!$L$2:$L$1795,$N583))))))</f>
        <v>113.032</v>
      </c>
      <c r="S583" s="32" t="n">
        <f aca="false">K583*INDEX('Tabela Passaro'!$M$2:$M$1795,$N583)</f>
        <v>10.6999</v>
      </c>
      <c r="T583" s="32" t="n">
        <f aca="false">K583*INDEX('Tabela Passaro'!$N$2:$N$1795,$N583)</f>
        <v>4.27996</v>
      </c>
      <c r="U583" s="32" t="n">
        <f aca="false">INDEX('Tabela Passaro'!$O$2:$O$1795,$N583)</f>
        <v>5</v>
      </c>
      <c r="V583" s="32" t="n">
        <f aca="false">ROUNDUP(J583/INDEX('Tabela Passaro'!$Q$2:$Q$1795,$N583),0)*INDEX('Tabela Passaro'!$P$2:$P$1795,$N583)</f>
        <v>10</v>
      </c>
      <c r="W583" s="32" t="n">
        <f aca="false">INDEX('Tabela Passaro'!$R$2:$R$1795,$N583)</f>
        <v>30</v>
      </c>
      <c r="X583" s="32" t="n">
        <f aca="false">ROUNDUP(J583/INDEX('Tabela Passaro'!$T$2:$T$1795,$N583),0)*INDEX('Tabela Passaro'!$S$2:$S$1795,$N583)</f>
        <v>0</v>
      </c>
      <c r="Y583" s="32" t="n">
        <f aca="false">INDEX('Tabela Passaro'!$U$2:$U$1795,$N583)</f>
        <v>0</v>
      </c>
      <c r="Z583" s="32" t="n">
        <f aca="false">INDEX('Tabela Passaro'!$V$2:$V$1795,$N583)</f>
        <v>0</v>
      </c>
      <c r="AA583" s="32" t="n">
        <f aca="false">SUM(R583:Z583)</f>
        <v>173.01186</v>
      </c>
      <c r="AB583" s="33" t="n">
        <f aca="false">INDEX(Premissas!$B$5:$B$13,MATCH(A583,Premissas!$A$5:$A$13,0))</f>
        <v>0.07</v>
      </c>
      <c r="AC583" s="32" t="n">
        <f aca="false">AA583/(1-AB583)-AA583</f>
        <v>13.0223980645162</v>
      </c>
      <c r="AD583" s="32" t="n">
        <f aca="false">ROUND(AA583+AC583,2)</f>
        <v>186.03</v>
      </c>
      <c r="AE583" s="32" t="n">
        <f aca="false">AD583-L583</f>
        <v>-138.13</v>
      </c>
      <c r="AF583" s="34" t="n">
        <f aca="false">IF(L583=0,0,AE583/L583)</f>
        <v>-0.426116732477789</v>
      </c>
      <c r="AG583" s="22" t="str">
        <f aca="false">IF(AD583&lt;L583,"PASSARO","ATUAL")</f>
        <v>PASSARO</v>
      </c>
      <c r="AH583" s="22" t="str">
        <f aca="false">IF(P583&lt;&gt;A583,"Faixa cadastrada como "&amp;P583&amp;" na tabela; preço aplicado pela UF do CEP","")</f>
        <v/>
      </c>
      <c r="AI583" s="26" t="n">
        <v>261.41</v>
      </c>
      <c r="AJ583" s="22" t="str">
        <f aca="false">INDEX('Tabela Passaro'!$X$2:$X$1795,$N583)</f>
        <v>CAPITAL</v>
      </c>
    </row>
    <row r="584" customFormat="false" ht="15" hidden="false" customHeight="false" outlineLevel="0" collapsed="false">
      <c r="A584" s="22" t="s">
        <v>16</v>
      </c>
      <c r="B584" s="22" t="n">
        <v>5</v>
      </c>
      <c r="C584" s="22" t="s">
        <v>83</v>
      </c>
      <c r="D584" s="22" t="s">
        <v>30</v>
      </c>
      <c r="E584" s="22" t="s">
        <v>7326</v>
      </c>
      <c r="F584" s="22" t="n">
        <v>525058</v>
      </c>
      <c r="G584" s="30" t="n">
        <v>46248</v>
      </c>
      <c r="H584" s="22" t="n">
        <v>624829</v>
      </c>
      <c r="I584" s="22" t="s">
        <v>7858</v>
      </c>
      <c r="J584" s="31" t="n">
        <v>43.5</v>
      </c>
      <c r="K584" s="26" t="n">
        <v>854.98</v>
      </c>
      <c r="L584" s="26" t="n">
        <v>164.96</v>
      </c>
      <c r="M584" s="22" t="s">
        <v>691</v>
      </c>
      <c r="N584" s="22" t="n">
        <f aca="false">MATCH(M584,'Tabela Passaro'!$A$2:$A$1795,0)</f>
        <v>105</v>
      </c>
      <c r="O584" s="22" t="str">
        <f aca="false">INDEX('Tabela Passaro'!$C$2:$C$1795,$N584)</f>
        <v>LAURO DE FREITAS</v>
      </c>
      <c r="P584" s="22" t="str">
        <f aca="false">INDEX('Tabela Passaro'!$B$2:$B$1795,$N584)</f>
        <v>BA</v>
      </c>
      <c r="Q584" s="22" t="n">
        <f aca="false">INDEX('Tabela Passaro'!$F$2:$F$1795,$N584)</f>
        <v>6</v>
      </c>
      <c r="R584" s="32" t="n">
        <f aca="false">IF(J584&lt;=10,INDEX('Tabela Passaro'!$G$2:$G$1795,$N584),IF(J584&lt;=30,INDEX('Tabela Passaro'!$H$2:$H$1795,$N584),IF(J584&lt;=50,INDEX('Tabela Passaro'!$I$2:$I$1795,$N584),IF(J584&lt;=70,INDEX('Tabela Passaro'!$J$2:$J$1795,$N584),IF(J584&lt;=100,INDEX('Tabela Passaro'!$K$2:$K$1795,$N584),INDEX('Tabela Passaro'!$K$2:$K$1795,$N584)+(J584-100)*INDEX('Tabela Passaro'!$L$2:$L$1795,$N584))))))</f>
        <v>61.92</v>
      </c>
      <c r="S584" s="32" t="n">
        <f aca="false">K584*INDEX('Tabela Passaro'!$M$2:$M$1795,$N584)</f>
        <v>4.2749</v>
      </c>
      <c r="T584" s="32" t="n">
        <f aca="false">K584*INDEX('Tabela Passaro'!$N$2:$N$1795,$N584)</f>
        <v>1.70996</v>
      </c>
      <c r="U584" s="32" t="n">
        <f aca="false">INDEX('Tabela Passaro'!$O$2:$O$1795,$N584)</f>
        <v>5</v>
      </c>
      <c r="V584" s="32" t="n">
        <f aca="false">ROUNDUP(J584/INDEX('Tabela Passaro'!$Q$2:$Q$1795,$N584),0)*INDEX('Tabela Passaro'!$P$2:$P$1795,$N584)</f>
        <v>5</v>
      </c>
      <c r="W584" s="32" t="n">
        <f aca="false">INDEX('Tabela Passaro'!$R$2:$R$1795,$N584)</f>
        <v>30</v>
      </c>
      <c r="X584" s="32" t="n">
        <f aca="false">ROUNDUP(J584/INDEX('Tabela Passaro'!$T$2:$T$1795,$N584),0)*INDEX('Tabela Passaro'!$S$2:$S$1795,$N584)</f>
        <v>0</v>
      </c>
      <c r="Y584" s="32" t="n">
        <f aca="false">INDEX('Tabela Passaro'!$U$2:$U$1795,$N584)</f>
        <v>0</v>
      </c>
      <c r="Z584" s="32" t="n">
        <f aca="false">INDEX('Tabela Passaro'!$V$2:$V$1795,$N584)</f>
        <v>0</v>
      </c>
      <c r="AA584" s="32" t="n">
        <f aca="false">SUM(R584:Z584)</f>
        <v>107.90486</v>
      </c>
      <c r="AB584" s="33" t="n">
        <f aca="false">INDEX(Premissas!$B$5:$B$13,MATCH(A584,Premissas!$A$5:$A$13,0))</f>
        <v>0.07</v>
      </c>
      <c r="AC584" s="32" t="n">
        <f aca="false">AA584/(1-AB584)-AA584</f>
        <v>8.1218711827957</v>
      </c>
      <c r="AD584" s="32" t="n">
        <f aca="false">ROUND(AA584+AC584,2)</f>
        <v>116.03</v>
      </c>
      <c r="AE584" s="32" t="n">
        <f aca="false">AD584-L584</f>
        <v>-48.93</v>
      </c>
      <c r="AF584" s="34" t="n">
        <f aca="false">IF(L584=0,0,AE584/L584)</f>
        <v>-0.296617361784675</v>
      </c>
      <c r="AG584" s="22" t="str">
        <f aca="false">IF(AD584&lt;L584,"PASSARO","ATUAL")</f>
        <v>PASSARO</v>
      </c>
      <c r="AH584" s="22" t="str">
        <f aca="false">IF(P584&lt;&gt;A584,"Faixa cadastrada como "&amp;P584&amp;" na tabela; preço aplicado pela UF do CEP","")</f>
        <v/>
      </c>
      <c r="AI584" s="26" t="n">
        <v>145.27</v>
      </c>
      <c r="AJ584" s="22" t="str">
        <f aca="false">INDEX('Tabela Passaro'!$X$2:$X$1795,$N584)</f>
        <v>CAPITAL</v>
      </c>
    </row>
    <row r="585" customFormat="false" ht="15" hidden="false" customHeight="false" outlineLevel="0" collapsed="false">
      <c r="A585" s="22" t="s">
        <v>16</v>
      </c>
      <c r="B585" s="22" t="n">
        <v>5</v>
      </c>
      <c r="C585" s="22" t="s">
        <v>83</v>
      </c>
      <c r="D585" s="22" t="s">
        <v>30</v>
      </c>
      <c r="E585" s="22" t="s">
        <v>7326</v>
      </c>
      <c r="F585" s="22" t="n">
        <v>526118</v>
      </c>
      <c r="G585" s="30" t="n">
        <v>46253</v>
      </c>
      <c r="H585" s="22" t="n">
        <v>627016</v>
      </c>
      <c r="I585" s="22" t="s">
        <v>7859</v>
      </c>
      <c r="J585" s="31" t="n">
        <v>66</v>
      </c>
      <c r="K585" s="26" t="n">
        <v>1718.98</v>
      </c>
      <c r="L585" s="26" t="n">
        <v>204.06</v>
      </c>
      <c r="M585" s="22" t="s">
        <v>691</v>
      </c>
      <c r="N585" s="22" t="n">
        <f aca="false">MATCH(M585,'Tabela Passaro'!$A$2:$A$1795,0)</f>
        <v>105</v>
      </c>
      <c r="O585" s="22" t="str">
        <f aca="false">INDEX('Tabela Passaro'!$C$2:$C$1795,$N585)</f>
        <v>LAURO DE FREITAS</v>
      </c>
      <c r="P585" s="22" t="str">
        <f aca="false">INDEX('Tabela Passaro'!$B$2:$B$1795,$N585)</f>
        <v>BA</v>
      </c>
      <c r="Q585" s="22" t="n">
        <f aca="false">INDEX('Tabela Passaro'!$F$2:$F$1795,$N585)</f>
        <v>6</v>
      </c>
      <c r="R585" s="32" t="n">
        <f aca="false">IF(J585&lt;=10,INDEX('Tabela Passaro'!$G$2:$G$1795,$N585),IF(J585&lt;=30,INDEX('Tabela Passaro'!$H$2:$H$1795,$N585),IF(J585&lt;=50,INDEX('Tabela Passaro'!$I$2:$I$1795,$N585),IF(J585&lt;=70,INDEX('Tabela Passaro'!$J$2:$J$1795,$N585),IF(J585&lt;=100,INDEX('Tabela Passaro'!$K$2:$K$1795,$N585),INDEX('Tabela Passaro'!$K$2:$K$1795,$N585)+(J585-100)*INDEX('Tabela Passaro'!$L$2:$L$1795,$N585))))))</f>
        <v>73.44</v>
      </c>
      <c r="S585" s="32" t="n">
        <f aca="false">K585*INDEX('Tabela Passaro'!$M$2:$M$1795,$N585)</f>
        <v>8.5949</v>
      </c>
      <c r="T585" s="32" t="n">
        <f aca="false">K585*INDEX('Tabela Passaro'!$N$2:$N$1795,$N585)</f>
        <v>3.43796</v>
      </c>
      <c r="U585" s="32" t="n">
        <f aca="false">INDEX('Tabela Passaro'!$O$2:$O$1795,$N585)</f>
        <v>5</v>
      </c>
      <c r="V585" s="32" t="n">
        <f aca="false">ROUNDUP(J585/INDEX('Tabela Passaro'!$Q$2:$Q$1795,$N585),0)*INDEX('Tabela Passaro'!$P$2:$P$1795,$N585)</f>
        <v>5</v>
      </c>
      <c r="W585" s="32" t="n">
        <f aca="false">INDEX('Tabela Passaro'!$R$2:$R$1795,$N585)</f>
        <v>30</v>
      </c>
      <c r="X585" s="32" t="n">
        <f aca="false">ROUNDUP(J585/INDEX('Tabela Passaro'!$T$2:$T$1795,$N585),0)*INDEX('Tabela Passaro'!$S$2:$S$1795,$N585)</f>
        <v>0</v>
      </c>
      <c r="Y585" s="32" t="n">
        <f aca="false">INDEX('Tabela Passaro'!$U$2:$U$1795,$N585)</f>
        <v>0</v>
      </c>
      <c r="Z585" s="32" t="n">
        <f aca="false">INDEX('Tabela Passaro'!$V$2:$V$1795,$N585)</f>
        <v>0</v>
      </c>
      <c r="AA585" s="32" t="n">
        <f aca="false">SUM(R585:Z585)</f>
        <v>125.47286</v>
      </c>
      <c r="AB585" s="33" t="n">
        <f aca="false">INDEX(Premissas!$B$5:$B$13,MATCH(A585,Premissas!$A$5:$A$13,0))</f>
        <v>0.07</v>
      </c>
      <c r="AC585" s="32" t="n">
        <f aca="false">AA585/(1-AB585)-AA585</f>
        <v>9.44419376344087</v>
      </c>
      <c r="AD585" s="32" t="n">
        <f aca="false">ROUND(AA585+AC585,2)</f>
        <v>134.92</v>
      </c>
      <c r="AE585" s="32" t="n">
        <f aca="false">AD585-L585</f>
        <v>-69.14</v>
      </c>
      <c r="AF585" s="34" t="n">
        <f aca="false">IF(L585=0,0,AE585/L585)</f>
        <v>-0.338821915123003</v>
      </c>
      <c r="AG585" s="22" t="str">
        <f aca="false">IF(AD585&lt;L585,"PASSARO","ATUAL")</f>
        <v>PASSARO</v>
      </c>
      <c r="AH585" s="22" t="str">
        <f aca="false">IF(P585&lt;&gt;A585,"Faixa cadastrada como "&amp;P585&amp;" na tabela; preço aplicado pela UF do CEP","")</f>
        <v/>
      </c>
      <c r="AI585" s="26" t="n">
        <v>176.81</v>
      </c>
      <c r="AJ585" s="22" t="str">
        <f aca="false">INDEX('Tabela Passaro'!$X$2:$X$1795,$N585)</f>
        <v>CAPITAL</v>
      </c>
    </row>
    <row r="586" customFormat="false" ht="15" hidden="false" customHeight="false" outlineLevel="0" collapsed="false">
      <c r="A586" s="22" t="s">
        <v>16</v>
      </c>
      <c r="B586" s="22" t="n">
        <v>5</v>
      </c>
      <c r="C586" s="22" t="s">
        <v>83</v>
      </c>
      <c r="D586" s="22" t="s">
        <v>30</v>
      </c>
      <c r="E586" s="22" t="s">
        <v>20</v>
      </c>
      <c r="F586" s="22" t="n">
        <v>839954</v>
      </c>
      <c r="G586" s="30" t="n">
        <v>46258</v>
      </c>
      <c r="H586" s="22" t="n">
        <v>32633</v>
      </c>
      <c r="I586" s="22" t="s">
        <v>7856</v>
      </c>
      <c r="J586" s="31" t="n">
        <v>61.3</v>
      </c>
      <c r="K586" s="26" t="n">
        <v>866.86</v>
      </c>
      <c r="L586" s="26" t="n">
        <v>162.44</v>
      </c>
      <c r="M586" s="22" t="s">
        <v>691</v>
      </c>
      <c r="N586" s="22" t="n">
        <f aca="false">MATCH(M586,'Tabela Passaro'!$A$2:$A$1795,0)</f>
        <v>105</v>
      </c>
      <c r="O586" s="22" t="str">
        <f aca="false">INDEX('Tabela Passaro'!$C$2:$C$1795,$N586)</f>
        <v>LAURO DE FREITAS</v>
      </c>
      <c r="P586" s="22" t="str">
        <f aca="false">INDEX('Tabela Passaro'!$B$2:$B$1795,$N586)</f>
        <v>BA</v>
      </c>
      <c r="Q586" s="22" t="n">
        <f aca="false">INDEX('Tabela Passaro'!$F$2:$F$1795,$N586)</f>
        <v>6</v>
      </c>
      <c r="R586" s="32" t="n">
        <f aca="false">IF(J586&lt;=10,INDEX('Tabela Passaro'!$G$2:$G$1795,$N586),IF(J586&lt;=30,INDEX('Tabela Passaro'!$H$2:$H$1795,$N586),IF(J586&lt;=50,INDEX('Tabela Passaro'!$I$2:$I$1795,$N586),IF(J586&lt;=70,INDEX('Tabela Passaro'!$J$2:$J$1795,$N586),IF(J586&lt;=100,INDEX('Tabela Passaro'!$K$2:$K$1795,$N586),INDEX('Tabela Passaro'!$K$2:$K$1795,$N586)+(J586-100)*INDEX('Tabela Passaro'!$L$2:$L$1795,$N586))))))</f>
        <v>73.44</v>
      </c>
      <c r="S586" s="32" t="n">
        <f aca="false">K586*INDEX('Tabela Passaro'!$M$2:$M$1795,$N586)</f>
        <v>4.3343</v>
      </c>
      <c r="T586" s="32" t="n">
        <f aca="false">K586*INDEX('Tabela Passaro'!$N$2:$N$1795,$N586)</f>
        <v>1.73372</v>
      </c>
      <c r="U586" s="32" t="n">
        <f aca="false">INDEX('Tabela Passaro'!$O$2:$O$1795,$N586)</f>
        <v>5</v>
      </c>
      <c r="V586" s="32" t="n">
        <f aca="false">ROUNDUP(J586/INDEX('Tabela Passaro'!$Q$2:$Q$1795,$N586),0)*INDEX('Tabela Passaro'!$P$2:$P$1795,$N586)</f>
        <v>5</v>
      </c>
      <c r="W586" s="32" t="n">
        <f aca="false">INDEX('Tabela Passaro'!$R$2:$R$1795,$N586)</f>
        <v>30</v>
      </c>
      <c r="X586" s="32" t="n">
        <f aca="false">ROUNDUP(J586/INDEX('Tabela Passaro'!$T$2:$T$1795,$N586),0)*INDEX('Tabela Passaro'!$S$2:$S$1795,$N586)</f>
        <v>0</v>
      </c>
      <c r="Y586" s="32" t="n">
        <f aca="false">INDEX('Tabela Passaro'!$U$2:$U$1795,$N586)</f>
        <v>0</v>
      </c>
      <c r="Z586" s="32" t="n">
        <f aca="false">INDEX('Tabela Passaro'!$V$2:$V$1795,$N586)</f>
        <v>0</v>
      </c>
      <c r="AA586" s="32" t="n">
        <f aca="false">SUM(R586:Z586)</f>
        <v>119.50802</v>
      </c>
      <c r="AB586" s="33" t="n">
        <f aca="false">INDEX(Premissas!$B$5:$B$13,MATCH(A586,Premissas!$A$5:$A$13,0))</f>
        <v>0.07</v>
      </c>
      <c r="AC586" s="32" t="n">
        <f aca="false">AA586/(1-AB586)-AA586</f>
        <v>8.99522731182798</v>
      </c>
      <c r="AD586" s="32" t="n">
        <f aca="false">ROUND(AA586+AC586,2)</f>
        <v>128.5</v>
      </c>
      <c r="AE586" s="32" t="n">
        <f aca="false">AD586-L586</f>
        <v>-33.94</v>
      </c>
      <c r="AF586" s="34" t="n">
        <f aca="false">IF(L586=0,0,AE586/L586)</f>
        <v>-0.208938685052943</v>
      </c>
      <c r="AG586" s="22" t="str">
        <f aca="false">IF(AD586&lt;L586,"PASSARO","ATUAL")</f>
        <v>PASSARO</v>
      </c>
      <c r="AH586" s="22" t="str">
        <f aca="false">IF(P586&lt;&gt;A586,"Faixa cadastrada como "&amp;P586&amp;" na tabela; preço aplicado pela UF do CEP","")</f>
        <v/>
      </c>
      <c r="AI586" s="26" t="n">
        <v>166.63</v>
      </c>
      <c r="AJ586" s="22" t="str">
        <f aca="false">INDEX('Tabela Passaro'!$X$2:$X$1795,$N586)</f>
        <v>CAPITAL</v>
      </c>
    </row>
    <row r="587" customFormat="false" ht="15" hidden="false" customHeight="false" outlineLevel="0" collapsed="false">
      <c r="A587" s="22" t="s">
        <v>16</v>
      </c>
      <c r="B587" s="22" t="n">
        <v>5</v>
      </c>
      <c r="C587" s="22" t="s">
        <v>83</v>
      </c>
      <c r="D587" s="22" t="s">
        <v>30</v>
      </c>
      <c r="E587" s="22" t="s">
        <v>7328</v>
      </c>
      <c r="F587" s="22" t="n">
        <v>2315705</v>
      </c>
      <c r="G587" s="30" t="n">
        <v>46258</v>
      </c>
      <c r="H587" s="22" t="n">
        <v>134431</v>
      </c>
      <c r="I587" s="22" t="s">
        <v>7860</v>
      </c>
      <c r="J587" s="31" t="n">
        <v>46.8</v>
      </c>
      <c r="K587" s="26" t="n">
        <v>527.48</v>
      </c>
      <c r="L587" s="26" t="n">
        <v>142.38</v>
      </c>
      <c r="M587" s="22" t="s">
        <v>691</v>
      </c>
      <c r="N587" s="22" t="n">
        <f aca="false">MATCH(M587,'Tabela Passaro'!$A$2:$A$1795,0)</f>
        <v>105</v>
      </c>
      <c r="O587" s="22" t="str">
        <f aca="false">INDEX('Tabela Passaro'!$C$2:$C$1795,$N587)</f>
        <v>LAURO DE FREITAS</v>
      </c>
      <c r="P587" s="22" t="str">
        <f aca="false">INDEX('Tabela Passaro'!$B$2:$B$1795,$N587)</f>
        <v>BA</v>
      </c>
      <c r="Q587" s="22" t="n">
        <f aca="false">INDEX('Tabela Passaro'!$F$2:$F$1795,$N587)</f>
        <v>6</v>
      </c>
      <c r="R587" s="32" t="n">
        <f aca="false">IF(J587&lt;=10,INDEX('Tabela Passaro'!$G$2:$G$1795,$N587),IF(J587&lt;=30,INDEX('Tabela Passaro'!$H$2:$H$1795,$N587),IF(J587&lt;=50,INDEX('Tabela Passaro'!$I$2:$I$1795,$N587),IF(J587&lt;=70,INDEX('Tabela Passaro'!$J$2:$J$1795,$N587),IF(J587&lt;=100,INDEX('Tabela Passaro'!$K$2:$K$1795,$N587),INDEX('Tabela Passaro'!$K$2:$K$1795,$N587)+(J587-100)*INDEX('Tabela Passaro'!$L$2:$L$1795,$N587))))))</f>
        <v>61.92</v>
      </c>
      <c r="S587" s="32" t="n">
        <f aca="false">K587*INDEX('Tabela Passaro'!$M$2:$M$1795,$N587)</f>
        <v>2.6374</v>
      </c>
      <c r="T587" s="32" t="n">
        <f aca="false">K587*INDEX('Tabela Passaro'!$N$2:$N$1795,$N587)</f>
        <v>1.05496</v>
      </c>
      <c r="U587" s="32" t="n">
        <f aca="false">INDEX('Tabela Passaro'!$O$2:$O$1795,$N587)</f>
        <v>5</v>
      </c>
      <c r="V587" s="32" t="n">
        <f aca="false">ROUNDUP(J587/INDEX('Tabela Passaro'!$Q$2:$Q$1795,$N587),0)*INDEX('Tabela Passaro'!$P$2:$P$1795,$N587)</f>
        <v>5</v>
      </c>
      <c r="W587" s="32" t="n">
        <f aca="false">INDEX('Tabela Passaro'!$R$2:$R$1795,$N587)</f>
        <v>30</v>
      </c>
      <c r="X587" s="32" t="n">
        <f aca="false">ROUNDUP(J587/INDEX('Tabela Passaro'!$T$2:$T$1795,$N587),0)*INDEX('Tabela Passaro'!$S$2:$S$1795,$N587)</f>
        <v>0</v>
      </c>
      <c r="Y587" s="32" t="n">
        <f aca="false">INDEX('Tabela Passaro'!$U$2:$U$1795,$N587)</f>
        <v>0</v>
      </c>
      <c r="Z587" s="32" t="n">
        <f aca="false">INDEX('Tabela Passaro'!$V$2:$V$1795,$N587)</f>
        <v>0</v>
      </c>
      <c r="AA587" s="32" t="n">
        <f aca="false">SUM(R587:Z587)</f>
        <v>105.61236</v>
      </c>
      <c r="AB587" s="33" t="n">
        <f aca="false">INDEX(Premissas!$B$5:$B$13,MATCH(A587,Premissas!$A$5:$A$13,0))</f>
        <v>0.07</v>
      </c>
      <c r="AC587" s="32" t="n">
        <f aca="false">AA587/(1-AB587)-AA587</f>
        <v>7.94931741935484</v>
      </c>
      <c r="AD587" s="32" t="n">
        <f aca="false">ROUND(AA587+AC587,2)</f>
        <v>113.56</v>
      </c>
      <c r="AE587" s="32" t="n">
        <f aca="false">AD587-L587</f>
        <v>-28.82</v>
      </c>
      <c r="AF587" s="34" t="n">
        <f aca="false">IF(L587=0,0,AE587/L587)</f>
        <v>-0.202416069672707</v>
      </c>
      <c r="AG587" s="22" t="str">
        <f aca="false">IF(AD587&lt;L587,"PASSARO","ATUAL")</f>
        <v>PASSARO</v>
      </c>
      <c r="AH587" s="22" t="str">
        <f aca="false">IF(P587&lt;&gt;A587,"Faixa cadastrada como "&amp;P587&amp;" na tabela; preço aplicado pela UF do CEP","")</f>
        <v/>
      </c>
      <c r="AI587" s="26" t="n">
        <v>143.56</v>
      </c>
      <c r="AJ587" s="22" t="str">
        <f aca="false">INDEX('Tabela Passaro'!$X$2:$X$1795,$N587)</f>
        <v>CAPITAL</v>
      </c>
    </row>
    <row r="588" customFormat="false" ht="15" hidden="false" customHeight="false" outlineLevel="0" collapsed="false">
      <c r="A588" s="22" t="s">
        <v>16</v>
      </c>
      <c r="B588" s="22" t="n">
        <v>5</v>
      </c>
      <c r="C588" s="22" t="s">
        <v>83</v>
      </c>
      <c r="D588" s="22" t="s">
        <v>30</v>
      </c>
      <c r="E588" s="22" t="s">
        <v>7328</v>
      </c>
      <c r="F588" s="22" t="n">
        <v>2315733</v>
      </c>
      <c r="G588" s="30" t="n">
        <v>46258</v>
      </c>
      <c r="H588" s="22" t="n">
        <v>134453</v>
      </c>
      <c r="I588" s="22" t="s">
        <v>7861</v>
      </c>
      <c r="J588" s="31" t="n">
        <v>44.5</v>
      </c>
      <c r="K588" s="26" t="n">
        <v>697.48</v>
      </c>
      <c r="L588" s="26" t="n">
        <v>143.72</v>
      </c>
      <c r="M588" s="22" t="s">
        <v>691</v>
      </c>
      <c r="N588" s="22" t="n">
        <f aca="false">MATCH(M588,'Tabela Passaro'!$A$2:$A$1795,0)</f>
        <v>105</v>
      </c>
      <c r="O588" s="22" t="str">
        <f aca="false">INDEX('Tabela Passaro'!$C$2:$C$1795,$N588)</f>
        <v>LAURO DE FREITAS</v>
      </c>
      <c r="P588" s="22" t="str">
        <f aca="false">INDEX('Tabela Passaro'!$B$2:$B$1795,$N588)</f>
        <v>BA</v>
      </c>
      <c r="Q588" s="22" t="n">
        <f aca="false">INDEX('Tabela Passaro'!$F$2:$F$1795,$N588)</f>
        <v>6</v>
      </c>
      <c r="R588" s="32" t="n">
        <f aca="false">IF(J588&lt;=10,INDEX('Tabela Passaro'!$G$2:$G$1795,$N588),IF(J588&lt;=30,INDEX('Tabela Passaro'!$H$2:$H$1795,$N588),IF(J588&lt;=50,INDEX('Tabela Passaro'!$I$2:$I$1795,$N588),IF(J588&lt;=70,INDEX('Tabela Passaro'!$J$2:$J$1795,$N588),IF(J588&lt;=100,INDEX('Tabela Passaro'!$K$2:$K$1795,$N588),INDEX('Tabela Passaro'!$K$2:$K$1795,$N588)+(J588-100)*INDEX('Tabela Passaro'!$L$2:$L$1795,$N588))))))</f>
        <v>61.92</v>
      </c>
      <c r="S588" s="32" t="n">
        <f aca="false">K588*INDEX('Tabela Passaro'!$M$2:$M$1795,$N588)</f>
        <v>3.4874</v>
      </c>
      <c r="T588" s="32" t="n">
        <f aca="false">K588*INDEX('Tabela Passaro'!$N$2:$N$1795,$N588)</f>
        <v>1.39496</v>
      </c>
      <c r="U588" s="32" t="n">
        <f aca="false">INDEX('Tabela Passaro'!$O$2:$O$1795,$N588)</f>
        <v>5</v>
      </c>
      <c r="V588" s="32" t="n">
        <f aca="false">ROUNDUP(J588/INDEX('Tabela Passaro'!$Q$2:$Q$1795,$N588),0)*INDEX('Tabela Passaro'!$P$2:$P$1795,$N588)</f>
        <v>5</v>
      </c>
      <c r="W588" s="32" t="n">
        <f aca="false">INDEX('Tabela Passaro'!$R$2:$R$1795,$N588)</f>
        <v>30</v>
      </c>
      <c r="X588" s="32" t="n">
        <f aca="false">ROUNDUP(J588/INDEX('Tabela Passaro'!$T$2:$T$1795,$N588),0)*INDEX('Tabela Passaro'!$S$2:$S$1795,$N588)</f>
        <v>0</v>
      </c>
      <c r="Y588" s="32" t="n">
        <f aca="false">INDEX('Tabela Passaro'!$U$2:$U$1795,$N588)</f>
        <v>0</v>
      </c>
      <c r="Z588" s="32" t="n">
        <f aca="false">INDEX('Tabela Passaro'!$V$2:$V$1795,$N588)</f>
        <v>0</v>
      </c>
      <c r="AA588" s="32" t="n">
        <f aca="false">SUM(R588:Z588)</f>
        <v>106.80236</v>
      </c>
      <c r="AB588" s="33" t="n">
        <f aca="false">INDEX(Premissas!$B$5:$B$13,MATCH(A588,Premissas!$A$5:$A$13,0))</f>
        <v>0.07</v>
      </c>
      <c r="AC588" s="32" t="n">
        <f aca="false">AA588/(1-AB588)-AA588</f>
        <v>8.03888731182796</v>
      </c>
      <c r="AD588" s="32" t="n">
        <f aca="false">ROUND(AA588+AC588,2)</f>
        <v>114.84</v>
      </c>
      <c r="AE588" s="32" t="n">
        <f aca="false">AD588-L588</f>
        <v>-28.88</v>
      </c>
      <c r="AF588" s="34" t="n">
        <f aca="false">IF(L588=0,0,AE588/L588)</f>
        <v>-0.20094628444197</v>
      </c>
      <c r="AG588" s="22" t="str">
        <f aca="false">IF(AD588&lt;L588,"PASSARO","ATUAL")</f>
        <v>PASSARO</v>
      </c>
      <c r="AH588" s="22" t="str">
        <f aca="false">IF(P588&lt;&gt;A588,"Faixa cadastrada como "&amp;P588&amp;" na tabela; preço aplicado pela UF do CEP","")</f>
        <v/>
      </c>
      <c r="AI588" s="26" t="n">
        <v>144.23</v>
      </c>
      <c r="AJ588" s="22" t="str">
        <f aca="false">INDEX('Tabela Passaro'!$X$2:$X$1795,$N588)</f>
        <v>CAPITAL</v>
      </c>
    </row>
    <row r="589" customFormat="false" ht="15" hidden="false" customHeight="false" outlineLevel="0" collapsed="false">
      <c r="A589" s="22" t="s">
        <v>16</v>
      </c>
      <c r="B589" s="22" t="n">
        <v>5</v>
      </c>
      <c r="C589" s="22" t="s">
        <v>83</v>
      </c>
      <c r="D589" s="22" t="s">
        <v>30</v>
      </c>
      <c r="E589" s="22" t="s">
        <v>7328</v>
      </c>
      <c r="F589" s="22" t="n">
        <v>2315781</v>
      </c>
      <c r="G589" s="30" t="n">
        <v>46258</v>
      </c>
      <c r="H589" s="22" t="n">
        <v>134939</v>
      </c>
      <c r="I589" s="22" t="s">
        <v>7862</v>
      </c>
      <c r="J589" s="31" t="n">
        <v>79.26</v>
      </c>
      <c r="K589" s="26" t="n">
        <v>984.98</v>
      </c>
      <c r="L589" s="26" t="n">
        <v>206.13</v>
      </c>
      <c r="M589" s="22" t="s">
        <v>691</v>
      </c>
      <c r="N589" s="22" t="n">
        <f aca="false">MATCH(M589,'Tabela Passaro'!$A$2:$A$1795,0)</f>
        <v>105</v>
      </c>
      <c r="O589" s="22" t="str">
        <f aca="false">INDEX('Tabela Passaro'!$C$2:$C$1795,$N589)</f>
        <v>LAURO DE FREITAS</v>
      </c>
      <c r="P589" s="22" t="str">
        <f aca="false">INDEX('Tabela Passaro'!$B$2:$B$1795,$N589)</f>
        <v>BA</v>
      </c>
      <c r="Q589" s="22" t="n">
        <f aca="false">INDEX('Tabela Passaro'!$F$2:$F$1795,$N589)</f>
        <v>6</v>
      </c>
      <c r="R589" s="32" t="n">
        <f aca="false">IF(J589&lt;=10,INDEX('Tabela Passaro'!$G$2:$G$1795,$N589),IF(J589&lt;=30,INDEX('Tabela Passaro'!$H$2:$H$1795,$N589),IF(J589&lt;=50,INDEX('Tabela Passaro'!$I$2:$I$1795,$N589),IF(J589&lt;=70,INDEX('Tabela Passaro'!$J$2:$J$1795,$N589),IF(J589&lt;=100,INDEX('Tabela Passaro'!$K$2:$K$1795,$N589),INDEX('Tabela Passaro'!$K$2:$K$1795,$N589)+(J589-100)*INDEX('Tabela Passaro'!$L$2:$L$1795,$N589))))))</f>
        <v>84.96</v>
      </c>
      <c r="S589" s="32" t="n">
        <f aca="false">K589*INDEX('Tabela Passaro'!$M$2:$M$1795,$N589)</f>
        <v>4.9249</v>
      </c>
      <c r="T589" s="32" t="n">
        <f aca="false">K589*INDEX('Tabela Passaro'!$N$2:$N$1795,$N589)</f>
        <v>1.96996</v>
      </c>
      <c r="U589" s="32" t="n">
        <f aca="false">INDEX('Tabela Passaro'!$O$2:$O$1795,$N589)</f>
        <v>5</v>
      </c>
      <c r="V589" s="32" t="n">
        <f aca="false">ROUNDUP(J589/INDEX('Tabela Passaro'!$Q$2:$Q$1795,$N589),0)*INDEX('Tabela Passaro'!$P$2:$P$1795,$N589)</f>
        <v>5</v>
      </c>
      <c r="W589" s="32" t="n">
        <f aca="false">INDEX('Tabela Passaro'!$R$2:$R$1795,$N589)</f>
        <v>30</v>
      </c>
      <c r="X589" s="32" t="n">
        <f aca="false">ROUNDUP(J589/INDEX('Tabela Passaro'!$T$2:$T$1795,$N589),0)*INDEX('Tabela Passaro'!$S$2:$S$1795,$N589)</f>
        <v>0</v>
      </c>
      <c r="Y589" s="32" t="n">
        <f aca="false">INDEX('Tabela Passaro'!$U$2:$U$1795,$N589)</f>
        <v>0</v>
      </c>
      <c r="Z589" s="32" t="n">
        <f aca="false">INDEX('Tabela Passaro'!$V$2:$V$1795,$N589)</f>
        <v>0</v>
      </c>
      <c r="AA589" s="32" t="n">
        <f aca="false">SUM(R589:Z589)</f>
        <v>131.85486</v>
      </c>
      <c r="AB589" s="33" t="n">
        <f aca="false">INDEX(Premissas!$B$5:$B$13,MATCH(A589,Premissas!$A$5:$A$13,0))</f>
        <v>0.07</v>
      </c>
      <c r="AC589" s="32" t="n">
        <f aca="false">AA589/(1-AB589)-AA589</f>
        <v>9.92455935483872</v>
      </c>
      <c r="AD589" s="32" t="n">
        <f aca="false">ROUND(AA589+AC589,2)</f>
        <v>141.78</v>
      </c>
      <c r="AE589" s="32" t="n">
        <f aca="false">AD589-L589</f>
        <v>-64.35</v>
      </c>
      <c r="AF589" s="34" t="n">
        <f aca="false">IF(L589=0,0,AE589/L589)</f>
        <v>-0.31218163295008</v>
      </c>
      <c r="AG589" s="22" t="str">
        <f aca="false">IF(AD589&lt;L589,"PASSARO","ATUAL")</f>
        <v>PASSARO</v>
      </c>
      <c r="AH589" s="22" t="str">
        <f aca="false">IF(P589&lt;&gt;A589,"Faixa cadastrada como "&amp;P589&amp;" na tabela; preço aplicado pela UF do CEP","")</f>
        <v/>
      </c>
      <c r="AI589" s="26" t="n">
        <v>188.99</v>
      </c>
      <c r="AJ589" s="22" t="str">
        <f aca="false">INDEX('Tabela Passaro'!$X$2:$X$1795,$N589)</f>
        <v>CAPITAL</v>
      </c>
    </row>
    <row r="590" customFormat="false" ht="15" hidden="false" customHeight="false" outlineLevel="0" collapsed="false">
      <c r="A590" s="22" t="s">
        <v>16</v>
      </c>
      <c r="B590" s="22" t="n">
        <v>5</v>
      </c>
      <c r="C590" s="22" t="s">
        <v>83</v>
      </c>
      <c r="D590" s="22" t="s">
        <v>30</v>
      </c>
      <c r="E590" s="22" t="s">
        <v>7328</v>
      </c>
      <c r="F590" s="22" t="n">
        <v>2315794</v>
      </c>
      <c r="G590" s="30" t="n">
        <v>46258</v>
      </c>
      <c r="H590" s="22" t="n">
        <v>135141</v>
      </c>
      <c r="I590" s="22" t="s">
        <v>7863</v>
      </c>
      <c r="J590" s="31" t="n">
        <v>46.8</v>
      </c>
      <c r="K590" s="26" t="n">
        <v>570.94</v>
      </c>
      <c r="L590" s="26" t="n">
        <v>142.72</v>
      </c>
      <c r="M590" s="22" t="s">
        <v>691</v>
      </c>
      <c r="N590" s="22" t="n">
        <f aca="false">MATCH(M590,'Tabela Passaro'!$A$2:$A$1795,0)</f>
        <v>105</v>
      </c>
      <c r="O590" s="22" t="str">
        <f aca="false">INDEX('Tabela Passaro'!$C$2:$C$1795,$N590)</f>
        <v>LAURO DE FREITAS</v>
      </c>
      <c r="P590" s="22" t="str">
        <f aca="false">INDEX('Tabela Passaro'!$B$2:$B$1795,$N590)</f>
        <v>BA</v>
      </c>
      <c r="Q590" s="22" t="n">
        <f aca="false">INDEX('Tabela Passaro'!$F$2:$F$1795,$N590)</f>
        <v>6</v>
      </c>
      <c r="R590" s="32" t="n">
        <f aca="false">IF(J590&lt;=10,INDEX('Tabela Passaro'!$G$2:$G$1795,$N590),IF(J590&lt;=30,INDEX('Tabela Passaro'!$H$2:$H$1795,$N590),IF(J590&lt;=50,INDEX('Tabela Passaro'!$I$2:$I$1795,$N590),IF(J590&lt;=70,INDEX('Tabela Passaro'!$J$2:$J$1795,$N590),IF(J590&lt;=100,INDEX('Tabela Passaro'!$K$2:$K$1795,$N590),INDEX('Tabela Passaro'!$K$2:$K$1795,$N590)+(J590-100)*INDEX('Tabela Passaro'!$L$2:$L$1795,$N590))))))</f>
        <v>61.92</v>
      </c>
      <c r="S590" s="32" t="n">
        <f aca="false">K590*INDEX('Tabela Passaro'!$M$2:$M$1795,$N590)</f>
        <v>2.8547</v>
      </c>
      <c r="T590" s="32" t="n">
        <f aca="false">K590*INDEX('Tabela Passaro'!$N$2:$N$1795,$N590)</f>
        <v>1.14188</v>
      </c>
      <c r="U590" s="32" t="n">
        <f aca="false">INDEX('Tabela Passaro'!$O$2:$O$1795,$N590)</f>
        <v>5</v>
      </c>
      <c r="V590" s="32" t="n">
        <f aca="false">ROUNDUP(J590/INDEX('Tabela Passaro'!$Q$2:$Q$1795,$N590),0)*INDEX('Tabela Passaro'!$P$2:$P$1795,$N590)</f>
        <v>5</v>
      </c>
      <c r="W590" s="32" t="n">
        <f aca="false">INDEX('Tabela Passaro'!$R$2:$R$1795,$N590)</f>
        <v>30</v>
      </c>
      <c r="X590" s="32" t="n">
        <f aca="false">ROUNDUP(J590/INDEX('Tabela Passaro'!$T$2:$T$1795,$N590),0)*INDEX('Tabela Passaro'!$S$2:$S$1795,$N590)</f>
        <v>0</v>
      </c>
      <c r="Y590" s="32" t="n">
        <f aca="false">INDEX('Tabela Passaro'!$U$2:$U$1795,$N590)</f>
        <v>0</v>
      </c>
      <c r="Z590" s="32" t="n">
        <f aca="false">INDEX('Tabela Passaro'!$V$2:$V$1795,$N590)</f>
        <v>0</v>
      </c>
      <c r="AA590" s="32" t="n">
        <f aca="false">SUM(R590:Z590)</f>
        <v>105.91658</v>
      </c>
      <c r="AB590" s="33" t="n">
        <f aca="false">INDEX(Premissas!$B$5:$B$13,MATCH(A590,Premissas!$A$5:$A$13,0))</f>
        <v>0.07</v>
      </c>
      <c r="AC590" s="32" t="n">
        <f aca="false">AA590/(1-AB590)-AA590</f>
        <v>7.97221569892474</v>
      </c>
      <c r="AD590" s="32" t="n">
        <f aca="false">ROUND(AA590+AC590,2)</f>
        <v>113.89</v>
      </c>
      <c r="AE590" s="32" t="n">
        <f aca="false">AD590-L590</f>
        <v>-28.83</v>
      </c>
      <c r="AF590" s="34" t="n">
        <f aca="false">IF(L590=0,0,AE590/L590)</f>
        <v>-0.202003923766816</v>
      </c>
      <c r="AG590" s="22" t="str">
        <f aca="false">IF(AD590&lt;L590,"PASSARO","ATUAL")</f>
        <v>PASSARO</v>
      </c>
      <c r="AH590" s="22" t="str">
        <f aca="false">IF(P590&lt;&gt;A590,"Faixa cadastrada como "&amp;P590&amp;" na tabela; preço aplicado pela UF do CEP","")</f>
        <v/>
      </c>
      <c r="AI590" s="26" t="n">
        <v>143.98</v>
      </c>
      <c r="AJ590" s="22" t="str">
        <f aca="false">INDEX('Tabela Passaro'!$X$2:$X$1795,$N590)</f>
        <v>CAPITAL</v>
      </c>
    </row>
    <row r="591" customFormat="false" ht="15" hidden="false" customHeight="false" outlineLevel="0" collapsed="false">
      <c r="A591" s="22" t="s">
        <v>16</v>
      </c>
      <c r="B591" s="22" t="n">
        <v>5</v>
      </c>
      <c r="C591" s="22" t="s">
        <v>83</v>
      </c>
      <c r="D591" s="22" t="s">
        <v>30</v>
      </c>
      <c r="E591" s="22" t="s">
        <v>7328</v>
      </c>
      <c r="F591" s="22" t="n">
        <v>2316590</v>
      </c>
      <c r="G591" s="30" t="n">
        <v>46260</v>
      </c>
      <c r="H591" s="22" t="n">
        <v>135905</v>
      </c>
      <c r="I591" s="22" t="s">
        <v>7864</v>
      </c>
      <c r="J591" s="31" t="n">
        <v>44.5</v>
      </c>
      <c r="K591" s="26" t="n">
        <v>934.21</v>
      </c>
      <c r="L591" s="26" t="n">
        <v>145.6</v>
      </c>
      <c r="M591" s="22" t="s">
        <v>691</v>
      </c>
      <c r="N591" s="22" t="n">
        <f aca="false">MATCH(M591,'Tabela Passaro'!$A$2:$A$1795,0)</f>
        <v>105</v>
      </c>
      <c r="O591" s="22" t="str">
        <f aca="false">INDEX('Tabela Passaro'!$C$2:$C$1795,$N591)</f>
        <v>LAURO DE FREITAS</v>
      </c>
      <c r="P591" s="22" t="str">
        <f aca="false">INDEX('Tabela Passaro'!$B$2:$B$1795,$N591)</f>
        <v>BA</v>
      </c>
      <c r="Q591" s="22" t="n">
        <f aca="false">INDEX('Tabela Passaro'!$F$2:$F$1795,$N591)</f>
        <v>6</v>
      </c>
      <c r="R591" s="32" t="n">
        <f aca="false">IF(J591&lt;=10,INDEX('Tabela Passaro'!$G$2:$G$1795,$N591),IF(J591&lt;=30,INDEX('Tabela Passaro'!$H$2:$H$1795,$N591),IF(J591&lt;=50,INDEX('Tabela Passaro'!$I$2:$I$1795,$N591),IF(J591&lt;=70,INDEX('Tabela Passaro'!$J$2:$J$1795,$N591),IF(J591&lt;=100,INDEX('Tabela Passaro'!$K$2:$K$1795,$N591),INDEX('Tabela Passaro'!$K$2:$K$1795,$N591)+(J591-100)*INDEX('Tabela Passaro'!$L$2:$L$1795,$N591))))))</f>
        <v>61.92</v>
      </c>
      <c r="S591" s="32" t="n">
        <f aca="false">K591*INDEX('Tabela Passaro'!$M$2:$M$1795,$N591)</f>
        <v>4.67105</v>
      </c>
      <c r="T591" s="32" t="n">
        <f aca="false">K591*INDEX('Tabela Passaro'!$N$2:$N$1795,$N591)</f>
        <v>1.86842</v>
      </c>
      <c r="U591" s="32" t="n">
        <f aca="false">INDEX('Tabela Passaro'!$O$2:$O$1795,$N591)</f>
        <v>5</v>
      </c>
      <c r="V591" s="32" t="n">
        <f aca="false">ROUNDUP(J591/INDEX('Tabela Passaro'!$Q$2:$Q$1795,$N591),0)*INDEX('Tabela Passaro'!$P$2:$P$1795,$N591)</f>
        <v>5</v>
      </c>
      <c r="W591" s="32" t="n">
        <f aca="false">INDEX('Tabela Passaro'!$R$2:$R$1795,$N591)</f>
        <v>30</v>
      </c>
      <c r="X591" s="32" t="n">
        <f aca="false">ROUNDUP(J591/INDEX('Tabela Passaro'!$T$2:$T$1795,$N591),0)*INDEX('Tabela Passaro'!$S$2:$S$1795,$N591)</f>
        <v>0</v>
      </c>
      <c r="Y591" s="32" t="n">
        <f aca="false">INDEX('Tabela Passaro'!$U$2:$U$1795,$N591)</f>
        <v>0</v>
      </c>
      <c r="Z591" s="32" t="n">
        <f aca="false">INDEX('Tabela Passaro'!$V$2:$V$1795,$N591)</f>
        <v>0</v>
      </c>
      <c r="AA591" s="32" t="n">
        <f aca="false">SUM(R591:Z591)</f>
        <v>108.45947</v>
      </c>
      <c r="AB591" s="33" t="n">
        <f aca="false">INDEX(Premissas!$B$5:$B$13,MATCH(A591,Premissas!$A$5:$A$13,0))</f>
        <v>0.07</v>
      </c>
      <c r="AC591" s="32" t="n">
        <f aca="false">AA591/(1-AB591)-AA591</f>
        <v>8.16361602150539</v>
      </c>
      <c r="AD591" s="32" t="n">
        <f aca="false">ROUND(AA591+AC591,2)</f>
        <v>116.62</v>
      </c>
      <c r="AE591" s="32" t="n">
        <f aca="false">AD591-L591</f>
        <v>-28.98</v>
      </c>
      <c r="AF591" s="34" t="n">
        <f aca="false">IF(L591=0,0,AE591/L591)</f>
        <v>-0.199038461538461</v>
      </c>
      <c r="AG591" s="22" t="str">
        <f aca="false">IF(AD591&lt;L591,"PASSARO","ATUAL")</f>
        <v>PASSARO</v>
      </c>
      <c r="AH591" s="22" t="str">
        <f aca="false">IF(P591&lt;&gt;A591,"Faixa cadastrada como "&amp;P591&amp;" na tabela; preço aplicado pela UF do CEP","")</f>
        <v/>
      </c>
      <c r="AI591" s="26" t="n">
        <v>146.52</v>
      </c>
      <c r="AJ591" s="22" t="str">
        <f aca="false">INDEX('Tabela Passaro'!$X$2:$X$1795,$N591)</f>
        <v>CAPITAL</v>
      </c>
    </row>
    <row r="592" customFormat="false" ht="15" hidden="false" customHeight="false" outlineLevel="0" collapsed="false">
      <c r="A592" s="22" t="s">
        <v>16</v>
      </c>
      <c r="B592" s="22" t="n">
        <v>5</v>
      </c>
      <c r="C592" s="22" t="s">
        <v>83</v>
      </c>
      <c r="D592" s="22" t="s">
        <v>30</v>
      </c>
      <c r="E592" s="22" t="s">
        <v>20</v>
      </c>
      <c r="F592" s="22" t="n">
        <v>840495</v>
      </c>
      <c r="G592" s="30" t="n">
        <v>46262</v>
      </c>
      <c r="H592" s="22" t="n">
        <v>32780</v>
      </c>
      <c r="I592" s="22" t="s">
        <v>7865</v>
      </c>
      <c r="J592" s="31" t="n">
        <v>27.4</v>
      </c>
      <c r="K592" s="26" t="n">
        <v>521.48</v>
      </c>
      <c r="L592" s="26" t="n">
        <v>108.99</v>
      </c>
      <c r="M592" s="22" t="s">
        <v>691</v>
      </c>
      <c r="N592" s="22" t="n">
        <f aca="false">MATCH(M592,'Tabela Passaro'!$A$2:$A$1795,0)</f>
        <v>105</v>
      </c>
      <c r="O592" s="22" t="str">
        <f aca="false">INDEX('Tabela Passaro'!$C$2:$C$1795,$N592)</f>
        <v>LAURO DE FREITAS</v>
      </c>
      <c r="P592" s="22" t="str">
        <f aca="false">INDEX('Tabela Passaro'!$B$2:$B$1795,$N592)</f>
        <v>BA</v>
      </c>
      <c r="Q592" s="22" t="n">
        <f aca="false">INDEX('Tabela Passaro'!$F$2:$F$1795,$N592)</f>
        <v>6</v>
      </c>
      <c r="R592" s="32" t="n">
        <f aca="false">IF(J592&lt;=10,INDEX('Tabela Passaro'!$G$2:$G$1795,$N592),IF(J592&lt;=30,INDEX('Tabela Passaro'!$H$2:$H$1795,$N592),IF(J592&lt;=50,INDEX('Tabela Passaro'!$I$2:$I$1795,$N592),IF(J592&lt;=70,INDEX('Tabela Passaro'!$J$2:$J$1795,$N592),IF(J592&lt;=100,INDEX('Tabela Passaro'!$K$2:$K$1795,$N592),INDEX('Tabela Passaro'!$K$2:$K$1795,$N592)+(J592-100)*INDEX('Tabela Passaro'!$L$2:$L$1795,$N592))))))</f>
        <v>50.4</v>
      </c>
      <c r="S592" s="32" t="n">
        <f aca="false">K592*INDEX('Tabela Passaro'!$M$2:$M$1795,$N592)</f>
        <v>2.6074</v>
      </c>
      <c r="T592" s="32" t="n">
        <f aca="false">K592*INDEX('Tabela Passaro'!$N$2:$N$1795,$N592)</f>
        <v>1.04296</v>
      </c>
      <c r="U592" s="32" t="n">
        <f aca="false">INDEX('Tabela Passaro'!$O$2:$O$1795,$N592)</f>
        <v>5</v>
      </c>
      <c r="V592" s="32" t="n">
        <f aca="false">ROUNDUP(J592/INDEX('Tabela Passaro'!$Q$2:$Q$1795,$N592),0)*INDEX('Tabela Passaro'!$P$2:$P$1795,$N592)</f>
        <v>5</v>
      </c>
      <c r="W592" s="32" t="n">
        <f aca="false">INDEX('Tabela Passaro'!$R$2:$R$1795,$N592)</f>
        <v>30</v>
      </c>
      <c r="X592" s="32" t="n">
        <f aca="false">ROUNDUP(J592/INDEX('Tabela Passaro'!$T$2:$T$1795,$N592),0)*INDEX('Tabela Passaro'!$S$2:$S$1795,$N592)</f>
        <v>0</v>
      </c>
      <c r="Y592" s="32" t="n">
        <f aca="false">INDEX('Tabela Passaro'!$U$2:$U$1795,$N592)</f>
        <v>0</v>
      </c>
      <c r="Z592" s="32" t="n">
        <f aca="false">INDEX('Tabela Passaro'!$V$2:$V$1795,$N592)</f>
        <v>0</v>
      </c>
      <c r="AA592" s="32" t="n">
        <f aca="false">SUM(R592:Z592)</f>
        <v>94.05036</v>
      </c>
      <c r="AB592" s="33" t="n">
        <f aca="false">INDEX(Premissas!$B$5:$B$13,MATCH(A592,Premissas!$A$5:$A$13,0))</f>
        <v>0.07</v>
      </c>
      <c r="AC592" s="32" t="n">
        <f aca="false">AA592/(1-AB592)-AA592</f>
        <v>7.07905935483872</v>
      </c>
      <c r="AD592" s="32" t="n">
        <f aca="false">ROUND(AA592+AC592,2)</f>
        <v>101.13</v>
      </c>
      <c r="AE592" s="32" t="n">
        <f aca="false">AD592-L592</f>
        <v>-7.86</v>
      </c>
      <c r="AF592" s="34" t="n">
        <f aca="false">IF(L592=0,0,AE592/L592)</f>
        <v>-0.0721167079548582</v>
      </c>
      <c r="AG592" s="22" t="str">
        <f aca="false">IF(AD592&lt;L592,"PASSARO","ATUAL")</f>
        <v>PASSARO</v>
      </c>
      <c r="AH592" s="22" t="str">
        <f aca="false">IF(P592&lt;&gt;A592,"Faixa cadastrada como "&amp;P592&amp;" na tabela; preço aplicado pela UF do CEP","")</f>
        <v/>
      </c>
      <c r="AI592" s="26" t="n">
        <v>121.78</v>
      </c>
      <c r="AJ592" s="22" t="str">
        <f aca="false">INDEX('Tabela Passaro'!$X$2:$X$1795,$N592)</f>
        <v>CAPITAL</v>
      </c>
    </row>
    <row r="593" customFormat="false" ht="15" hidden="false" customHeight="false" outlineLevel="0" collapsed="false">
      <c r="A593" s="22" t="s">
        <v>16</v>
      </c>
      <c r="B593" s="22" t="n">
        <v>5</v>
      </c>
      <c r="C593" s="22" t="s">
        <v>83</v>
      </c>
      <c r="D593" s="22" t="s">
        <v>30</v>
      </c>
      <c r="E593" s="22" t="s">
        <v>20</v>
      </c>
      <c r="F593" s="22" t="n">
        <v>840631</v>
      </c>
      <c r="G593" s="30" t="n">
        <v>46265</v>
      </c>
      <c r="H593" s="22" t="n">
        <v>32830</v>
      </c>
      <c r="I593" s="22" t="s">
        <v>7866</v>
      </c>
      <c r="J593" s="31" t="n">
        <v>19.4</v>
      </c>
      <c r="K593" s="26" t="n">
        <v>480.71</v>
      </c>
      <c r="L593" s="26" t="n">
        <v>108.61</v>
      </c>
      <c r="M593" s="22" t="s">
        <v>691</v>
      </c>
      <c r="N593" s="22" t="n">
        <f aca="false">MATCH(M593,'Tabela Passaro'!$A$2:$A$1795,0)</f>
        <v>105</v>
      </c>
      <c r="O593" s="22" t="str">
        <f aca="false">INDEX('Tabela Passaro'!$C$2:$C$1795,$N593)</f>
        <v>LAURO DE FREITAS</v>
      </c>
      <c r="P593" s="22" t="str">
        <f aca="false">INDEX('Tabela Passaro'!$B$2:$B$1795,$N593)</f>
        <v>BA</v>
      </c>
      <c r="Q593" s="22" t="n">
        <f aca="false">INDEX('Tabela Passaro'!$F$2:$F$1795,$N593)</f>
        <v>6</v>
      </c>
      <c r="R593" s="32" t="n">
        <f aca="false">IF(J593&lt;=10,INDEX('Tabela Passaro'!$G$2:$G$1795,$N593),IF(J593&lt;=30,INDEX('Tabela Passaro'!$H$2:$H$1795,$N593),IF(J593&lt;=50,INDEX('Tabela Passaro'!$I$2:$I$1795,$N593),IF(J593&lt;=70,INDEX('Tabela Passaro'!$J$2:$J$1795,$N593),IF(J593&lt;=100,INDEX('Tabela Passaro'!$K$2:$K$1795,$N593),INDEX('Tabela Passaro'!$K$2:$K$1795,$N593)+(J593-100)*INDEX('Tabela Passaro'!$L$2:$L$1795,$N593))))))</f>
        <v>50.4</v>
      </c>
      <c r="S593" s="32" t="n">
        <f aca="false">K593*INDEX('Tabela Passaro'!$M$2:$M$1795,$N593)</f>
        <v>2.40355</v>
      </c>
      <c r="T593" s="32" t="n">
        <f aca="false">K593*INDEX('Tabela Passaro'!$N$2:$N$1795,$N593)</f>
        <v>0.96142</v>
      </c>
      <c r="U593" s="32" t="n">
        <f aca="false">INDEX('Tabela Passaro'!$O$2:$O$1795,$N593)</f>
        <v>5</v>
      </c>
      <c r="V593" s="32" t="n">
        <f aca="false">ROUNDUP(J593/INDEX('Tabela Passaro'!$Q$2:$Q$1795,$N593),0)*INDEX('Tabela Passaro'!$P$2:$P$1795,$N593)</f>
        <v>5</v>
      </c>
      <c r="W593" s="32" t="n">
        <f aca="false">INDEX('Tabela Passaro'!$R$2:$R$1795,$N593)</f>
        <v>30</v>
      </c>
      <c r="X593" s="32" t="n">
        <f aca="false">ROUNDUP(J593/INDEX('Tabela Passaro'!$T$2:$T$1795,$N593),0)*INDEX('Tabela Passaro'!$S$2:$S$1795,$N593)</f>
        <v>0</v>
      </c>
      <c r="Y593" s="32" t="n">
        <f aca="false">INDEX('Tabela Passaro'!$U$2:$U$1795,$N593)</f>
        <v>0</v>
      </c>
      <c r="Z593" s="32" t="n">
        <f aca="false">INDEX('Tabela Passaro'!$V$2:$V$1795,$N593)</f>
        <v>0</v>
      </c>
      <c r="AA593" s="32" t="n">
        <f aca="false">SUM(R593:Z593)</f>
        <v>93.76497</v>
      </c>
      <c r="AB593" s="33" t="n">
        <f aca="false">INDEX(Premissas!$B$5:$B$13,MATCH(A593,Premissas!$A$5:$A$13,0))</f>
        <v>0.07</v>
      </c>
      <c r="AC593" s="32" t="n">
        <f aca="false">AA593/(1-AB593)-AA593</f>
        <v>7.05757838709678</v>
      </c>
      <c r="AD593" s="32" t="n">
        <f aca="false">ROUND(AA593+AC593,2)</f>
        <v>100.82</v>
      </c>
      <c r="AE593" s="32" t="n">
        <f aca="false">AD593-L593</f>
        <v>-7.79000000000001</v>
      </c>
      <c r="AF593" s="34" t="n">
        <f aca="false">IF(L593=0,0,AE593/L593)</f>
        <v>-0.0717245189209097</v>
      </c>
      <c r="AG593" s="22" t="str">
        <f aca="false">IF(AD593&lt;L593,"PASSARO","ATUAL")</f>
        <v>PASSARO</v>
      </c>
      <c r="AH593" s="22" t="str">
        <f aca="false">IF(P593&lt;&gt;A593,"Faixa cadastrada como "&amp;P593&amp;" na tabela; preço aplicado pela UF do CEP","")</f>
        <v/>
      </c>
      <c r="AI593" s="26" t="n">
        <v>117.51</v>
      </c>
      <c r="AJ593" s="22" t="str">
        <f aca="false">INDEX('Tabela Passaro'!$X$2:$X$1795,$N593)</f>
        <v>CAPITAL</v>
      </c>
    </row>
    <row r="594" customFormat="false" ht="15" hidden="false" customHeight="false" outlineLevel="0" collapsed="false">
      <c r="A594" s="22" t="s">
        <v>16</v>
      </c>
      <c r="B594" s="22" t="n">
        <v>5</v>
      </c>
      <c r="C594" s="22" t="s">
        <v>83</v>
      </c>
      <c r="D594" s="22" t="s">
        <v>31</v>
      </c>
      <c r="E594" s="22" t="s">
        <v>7326</v>
      </c>
      <c r="F594" s="22" t="n">
        <v>12773502</v>
      </c>
      <c r="G594" s="30" t="n">
        <v>46246</v>
      </c>
      <c r="H594" s="22" t="n">
        <v>624180</v>
      </c>
      <c r="I594" s="22" t="s">
        <v>7867</v>
      </c>
      <c r="J594" s="31" t="n">
        <v>20.8</v>
      </c>
      <c r="K594" s="26" t="n">
        <v>633.66</v>
      </c>
      <c r="L594" s="26" t="n">
        <v>83.2</v>
      </c>
      <c r="M594" s="22" t="s">
        <v>691</v>
      </c>
      <c r="N594" s="22" t="n">
        <f aca="false">MATCH(M594,'Tabela Passaro'!$A$2:$A$1795,0)</f>
        <v>105</v>
      </c>
      <c r="O594" s="22" t="str">
        <f aca="false">INDEX('Tabela Passaro'!$C$2:$C$1795,$N594)</f>
        <v>LAURO DE FREITAS</v>
      </c>
      <c r="P594" s="22" t="str">
        <f aca="false">INDEX('Tabela Passaro'!$B$2:$B$1795,$N594)</f>
        <v>BA</v>
      </c>
      <c r="Q594" s="22" t="n">
        <f aca="false">INDEX('Tabela Passaro'!$F$2:$F$1795,$N594)</f>
        <v>6</v>
      </c>
      <c r="R594" s="32" t="n">
        <f aca="false">IF(J594&lt;=10,INDEX('Tabela Passaro'!$G$2:$G$1795,$N594),IF(J594&lt;=30,INDEX('Tabela Passaro'!$H$2:$H$1795,$N594),IF(J594&lt;=50,INDEX('Tabela Passaro'!$I$2:$I$1795,$N594),IF(J594&lt;=70,INDEX('Tabela Passaro'!$J$2:$J$1795,$N594),IF(J594&lt;=100,INDEX('Tabela Passaro'!$K$2:$K$1795,$N594),INDEX('Tabela Passaro'!$K$2:$K$1795,$N594)+(J594-100)*INDEX('Tabela Passaro'!$L$2:$L$1795,$N594))))))</f>
        <v>50.4</v>
      </c>
      <c r="S594" s="32" t="n">
        <f aca="false">K594*INDEX('Tabela Passaro'!$M$2:$M$1795,$N594)</f>
        <v>3.1683</v>
      </c>
      <c r="T594" s="32" t="n">
        <f aca="false">K594*INDEX('Tabela Passaro'!$N$2:$N$1795,$N594)</f>
        <v>1.26732</v>
      </c>
      <c r="U594" s="32" t="n">
        <f aca="false">INDEX('Tabela Passaro'!$O$2:$O$1795,$N594)</f>
        <v>5</v>
      </c>
      <c r="V594" s="32" t="n">
        <f aca="false">ROUNDUP(J594/INDEX('Tabela Passaro'!$Q$2:$Q$1795,$N594),0)*INDEX('Tabela Passaro'!$P$2:$P$1795,$N594)</f>
        <v>5</v>
      </c>
      <c r="W594" s="32" t="n">
        <f aca="false">INDEX('Tabela Passaro'!$R$2:$R$1795,$N594)</f>
        <v>30</v>
      </c>
      <c r="X594" s="32" t="n">
        <f aca="false">ROUNDUP(J594/INDEX('Tabela Passaro'!$T$2:$T$1795,$N594),0)*INDEX('Tabela Passaro'!$S$2:$S$1795,$N594)</f>
        <v>0</v>
      </c>
      <c r="Y594" s="32" t="n">
        <f aca="false">INDEX('Tabela Passaro'!$U$2:$U$1795,$N594)</f>
        <v>0</v>
      </c>
      <c r="Z594" s="32" t="n">
        <f aca="false">INDEX('Tabela Passaro'!$V$2:$V$1795,$N594)</f>
        <v>0</v>
      </c>
      <c r="AA594" s="32" t="n">
        <f aca="false">SUM(R594:Z594)</f>
        <v>94.83562</v>
      </c>
      <c r="AB594" s="33" t="n">
        <f aca="false">INDEX(Premissas!$B$5:$B$13,MATCH(A594,Premissas!$A$5:$A$13,0))</f>
        <v>0.07</v>
      </c>
      <c r="AC594" s="32" t="n">
        <f aca="false">AA594/(1-AB594)-AA594</f>
        <v>7.13816494623657</v>
      </c>
      <c r="AD594" s="32" t="n">
        <f aca="false">ROUND(AA594+AC594,2)</f>
        <v>101.97</v>
      </c>
      <c r="AE594" s="32" t="n">
        <f aca="false">AD594-L594</f>
        <v>18.77</v>
      </c>
      <c r="AF594" s="34" t="n">
        <f aca="false">IF(L594=0,0,AE594/L594)</f>
        <v>0.225600961538462</v>
      </c>
      <c r="AG594" s="22" t="str">
        <f aca="false">IF(AD594&lt;L594,"PASSARO","ATUAL")</f>
        <v>ATUAL</v>
      </c>
      <c r="AH594" s="22" t="str">
        <f aca="false">IF(P594&lt;&gt;A594,"Faixa cadastrada como "&amp;P594&amp;" na tabela; preço aplicado pela UF do CEP","")</f>
        <v/>
      </c>
      <c r="AI594" s="26" t="n">
        <v>119.48</v>
      </c>
      <c r="AJ594" s="22" t="str">
        <f aca="false">INDEX('Tabela Passaro'!$X$2:$X$1795,$N594)</f>
        <v>CAPITAL</v>
      </c>
    </row>
    <row r="595" customFormat="false" ht="15" hidden="false" customHeight="false" outlineLevel="0" collapsed="false">
      <c r="A595" s="22" t="s">
        <v>16</v>
      </c>
      <c r="B595" s="22" t="n">
        <v>5</v>
      </c>
      <c r="C595" s="22" t="s">
        <v>83</v>
      </c>
      <c r="D595" s="22" t="s">
        <v>31</v>
      </c>
      <c r="E595" s="22" t="s">
        <v>7326</v>
      </c>
      <c r="F595" s="22" t="n">
        <v>115578</v>
      </c>
      <c r="G595" s="30" t="n">
        <v>46252</v>
      </c>
      <c r="H595" s="22" t="n">
        <v>610012</v>
      </c>
      <c r="I595" s="22" t="s">
        <v>7863</v>
      </c>
      <c r="J595" s="31" t="n">
        <v>23</v>
      </c>
      <c r="K595" s="26" t="n">
        <v>472.48</v>
      </c>
      <c r="L595" s="26" t="n">
        <v>84.43</v>
      </c>
      <c r="M595" s="22" t="s">
        <v>691</v>
      </c>
      <c r="N595" s="22" t="n">
        <f aca="false">MATCH(M595,'Tabela Passaro'!$A$2:$A$1795,0)</f>
        <v>105</v>
      </c>
      <c r="O595" s="22" t="str">
        <f aca="false">INDEX('Tabela Passaro'!$C$2:$C$1795,$N595)</f>
        <v>LAURO DE FREITAS</v>
      </c>
      <c r="P595" s="22" t="str">
        <f aca="false">INDEX('Tabela Passaro'!$B$2:$B$1795,$N595)</f>
        <v>BA</v>
      </c>
      <c r="Q595" s="22" t="n">
        <f aca="false">INDEX('Tabela Passaro'!$F$2:$F$1795,$N595)</f>
        <v>6</v>
      </c>
      <c r="R595" s="32" t="n">
        <f aca="false">IF(J595&lt;=10,INDEX('Tabela Passaro'!$G$2:$G$1795,$N595),IF(J595&lt;=30,INDEX('Tabela Passaro'!$H$2:$H$1795,$N595),IF(J595&lt;=50,INDEX('Tabela Passaro'!$I$2:$I$1795,$N595),IF(J595&lt;=70,INDEX('Tabela Passaro'!$J$2:$J$1795,$N595),IF(J595&lt;=100,INDEX('Tabela Passaro'!$K$2:$K$1795,$N595),INDEX('Tabela Passaro'!$K$2:$K$1795,$N595)+(J595-100)*INDEX('Tabela Passaro'!$L$2:$L$1795,$N595))))))</f>
        <v>50.4</v>
      </c>
      <c r="S595" s="32" t="n">
        <f aca="false">K595*INDEX('Tabela Passaro'!$M$2:$M$1795,$N595)</f>
        <v>2.3624</v>
      </c>
      <c r="T595" s="32" t="n">
        <f aca="false">K595*INDEX('Tabela Passaro'!$N$2:$N$1795,$N595)</f>
        <v>0.94496</v>
      </c>
      <c r="U595" s="32" t="n">
        <f aca="false">INDEX('Tabela Passaro'!$O$2:$O$1795,$N595)</f>
        <v>5</v>
      </c>
      <c r="V595" s="32" t="n">
        <f aca="false">ROUNDUP(J595/INDEX('Tabela Passaro'!$Q$2:$Q$1795,$N595),0)*INDEX('Tabela Passaro'!$P$2:$P$1795,$N595)</f>
        <v>5</v>
      </c>
      <c r="W595" s="32" t="n">
        <f aca="false">INDEX('Tabela Passaro'!$R$2:$R$1795,$N595)</f>
        <v>30</v>
      </c>
      <c r="X595" s="32" t="n">
        <f aca="false">ROUNDUP(J595/INDEX('Tabela Passaro'!$T$2:$T$1795,$N595),0)*INDEX('Tabela Passaro'!$S$2:$S$1795,$N595)</f>
        <v>0</v>
      </c>
      <c r="Y595" s="32" t="n">
        <f aca="false">INDEX('Tabela Passaro'!$U$2:$U$1795,$N595)</f>
        <v>0</v>
      </c>
      <c r="Z595" s="32" t="n">
        <f aca="false">INDEX('Tabela Passaro'!$V$2:$V$1795,$N595)</f>
        <v>0</v>
      </c>
      <c r="AA595" s="32" t="n">
        <f aca="false">SUM(R595:Z595)</f>
        <v>93.70736</v>
      </c>
      <c r="AB595" s="33" t="n">
        <f aca="false">INDEX(Premissas!$B$5:$B$13,MATCH(A595,Premissas!$A$5:$A$13,0))</f>
        <v>0.07</v>
      </c>
      <c r="AC595" s="32" t="n">
        <f aca="false">AA595/(1-AB595)-AA595</f>
        <v>7.05324215053764</v>
      </c>
      <c r="AD595" s="32" t="n">
        <f aca="false">ROUND(AA595+AC595,2)</f>
        <v>100.76</v>
      </c>
      <c r="AE595" s="32" t="n">
        <f aca="false">AD595-L595</f>
        <v>16.33</v>
      </c>
      <c r="AF595" s="34" t="n">
        <f aca="false">IF(L595=0,0,AE595/L595)</f>
        <v>0.193414663034466</v>
      </c>
      <c r="AG595" s="22" t="str">
        <f aca="false">IF(AD595&lt;L595,"PASSARO","ATUAL")</f>
        <v>ATUAL</v>
      </c>
      <c r="AH595" s="22" t="str">
        <f aca="false">IF(P595&lt;&gt;A595,"Faixa cadastrada como "&amp;P595&amp;" na tabela; preço aplicado pela UF do CEP","")</f>
        <v/>
      </c>
      <c r="AI595" s="26" t="n">
        <v>118.88</v>
      </c>
      <c r="AJ595" s="22" t="str">
        <f aca="false">INDEX('Tabela Passaro'!$X$2:$X$1795,$N595)</f>
        <v>CAPITAL</v>
      </c>
    </row>
    <row r="596" customFormat="false" ht="15" hidden="false" customHeight="false" outlineLevel="0" collapsed="false">
      <c r="A596" s="22" t="s">
        <v>16</v>
      </c>
      <c r="B596" s="22" t="n">
        <v>5</v>
      </c>
      <c r="C596" s="22" t="s">
        <v>83</v>
      </c>
      <c r="D596" s="22" t="s">
        <v>31</v>
      </c>
      <c r="E596" s="22" t="s">
        <v>7326</v>
      </c>
      <c r="F596" s="22" t="n">
        <v>12851111</v>
      </c>
      <c r="G596" s="30" t="n">
        <v>46260</v>
      </c>
      <c r="H596" s="22" t="n">
        <v>629713</v>
      </c>
      <c r="I596" s="22" t="s">
        <v>7868</v>
      </c>
      <c r="J596" s="31" t="n">
        <v>19.05</v>
      </c>
      <c r="K596" s="26" t="n">
        <v>399.76</v>
      </c>
      <c r="L596" s="26" t="n">
        <v>70.57</v>
      </c>
      <c r="M596" s="22" t="s">
        <v>691</v>
      </c>
      <c r="N596" s="22" t="n">
        <f aca="false">MATCH(M596,'Tabela Passaro'!$A$2:$A$1795,0)</f>
        <v>105</v>
      </c>
      <c r="O596" s="22" t="str">
        <f aca="false">INDEX('Tabela Passaro'!$C$2:$C$1795,$N596)</f>
        <v>LAURO DE FREITAS</v>
      </c>
      <c r="P596" s="22" t="str">
        <f aca="false">INDEX('Tabela Passaro'!$B$2:$B$1795,$N596)</f>
        <v>BA</v>
      </c>
      <c r="Q596" s="22" t="n">
        <f aca="false">INDEX('Tabela Passaro'!$F$2:$F$1795,$N596)</f>
        <v>6</v>
      </c>
      <c r="R596" s="32" t="n">
        <f aca="false">IF(J596&lt;=10,INDEX('Tabela Passaro'!$G$2:$G$1795,$N596),IF(J596&lt;=30,INDEX('Tabela Passaro'!$H$2:$H$1795,$N596),IF(J596&lt;=50,INDEX('Tabela Passaro'!$I$2:$I$1795,$N596),IF(J596&lt;=70,INDEX('Tabela Passaro'!$J$2:$J$1795,$N596),IF(J596&lt;=100,INDEX('Tabela Passaro'!$K$2:$K$1795,$N596),INDEX('Tabela Passaro'!$K$2:$K$1795,$N596)+(J596-100)*INDEX('Tabela Passaro'!$L$2:$L$1795,$N596))))))</f>
        <v>50.4</v>
      </c>
      <c r="S596" s="32" t="n">
        <f aca="false">K596*INDEX('Tabela Passaro'!$M$2:$M$1795,$N596)</f>
        <v>1.9988</v>
      </c>
      <c r="T596" s="32" t="n">
        <f aca="false">K596*INDEX('Tabela Passaro'!$N$2:$N$1795,$N596)</f>
        <v>0.79952</v>
      </c>
      <c r="U596" s="32" t="n">
        <f aca="false">INDEX('Tabela Passaro'!$O$2:$O$1795,$N596)</f>
        <v>5</v>
      </c>
      <c r="V596" s="32" t="n">
        <f aca="false">ROUNDUP(J596/INDEX('Tabela Passaro'!$Q$2:$Q$1795,$N596),0)*INDEX('Tabela Passaro'!$P$2:$P$1795,$N596)</f>
        <v>5</v>
      </c>
      <c r="W596" s="32" t="n">
        <f aca="false">INDEX('Tabela Passaro'!$R$2:$R$1795,$N596)</f>
        <v>30</v>
      </c>
      <c r="X596" s="32" t="n">
        <f aca="false">ROUNDUP(J596/INDEX('Tabela Passaro'!$T$2:$T$1795,$N596),0)*INDEX('Tabela Passaro'!$S$2:$S$1795,$N596)</f>
        <v>0</v>
      </c>
      <c r="Y596" s="32" t="n">
        <f aca="false">INDEX('Tabela Passaro'!$U$2:$U$1795,$N596)</f>
        <v>0</v>
      </c>
      <c r="Z596" s="32" t="n">
        <f aca="false">INDEX('Tabela Passaro'!$V$2:$V$1795,$N596)</f>
        <v>0</v>
      </c>
      <c r="AA596" s="32" t="n">
        <f aca="false">SUM(R596:Z596)</f>
        <v>93.19832</v>
      </c>
      <c r="AB596" s="33" t="n">
        <f aca="false">INDEX(Premissas!$B$5:$B$13,MATCH(A596,Premissas!$A$5:$A$13,0))</f>
        <v>0.07</v>
      </c>
      <c r="AC596" s="32" t="n">
        <f aca="false">AA596/(1-AB596)-AA596</f>
        <v>7.01492731182796</v>
      </c>
      <c r="AD596" s="32" t="n">
        <f aca="false">ROUND(AA596+AC596,2)</f>
        <v>100.21</v>
      </c>
      <c r="AE596" s="32" t="n">
        <f aca="false">AD596-L596</f>
        <v>29.64</v>
      </c>
      <c r="AF596" s="34" t="n">
        <f aca="false">IF(L596=0,0,AE596/L596)</f>
        <v>0.420008502196401</v>
      </c>
      <c r="AG596" s="22" t="str">
        <f aca="false">IF(AD596&lt;L596,"PASSARO","ATUAL")</f>
        <v>ATUAL</v>
      </c>
      <c r="AH596" s="22" t="str">
        <f aca="false">IF(P596&lt;&gt;A596,"Faixa cadastrada como "&amp;P596&amp;" na tabela; preço aplicado pela UF do CEP","")</f>
        <v/>
      </c>
      <c r="AI596" s="26" t="n">
        <v>116.73</v>
      </c>
      <c r="AJ596" s="22" t="str">
        <f aca="false">INDEX('Tabela Passaro'!$X$2:$X$1795,$N596)</f>
        <v>CAPITAL</v>
      </c>
    </row>
    <row r="597" customFormat="false" ht="15" hidden="false" customHeight="false" outlineLevel="0" collapsed="false">
      <c r="A597" s="22" t="s">
        <v>16</v>
      </c>
      <c r="B597" s="22" t="n">
        <v>6</v>
      </c>
      <c r="C597" s="22" t="s">
        <v>85</v>
      </c>
      <c r="D597" s="22" t="s">
        <v>30</v>
      </c>
      <c r="E597" s="22" t="s">
        <v>7326</v>
      </c>
      <c r="F597" s="22" t="n">
        <v>522232</v>
      </c>
      <c r="G597" s="30" t="n">
        <v>46238</v>
      </c>
      <c r="H597" s="22" t="n">
        <v>619744</v>
      </c>
      <c r="I597" s="22" t="s">
        <v>7869</v>
      </c>
      <c r="J597" s="31" t="n">
        <v>152.7</v>
      </c>
      <c r="K597" s="26" t="n">
        <v>2623.99</v>
      </c>
      <c r="L597" s="26" t="n">
        <v>441.13</v>
      </c>
      <c r="M597" s="22" t="s">
        <v>1656</v>
      </c>
      <c r="N597" s="22" t="n">
        <f aca="false">MATCH(M597,'Tabela Passaro'!$A$2:$A$1795,0)</f>
        <v>348</v>
      </c>
      <c r="O597" s="22" t="str">
        <f aca="false">INDEX('Tabela Passaro'!$C$2:$C$1795,$N597)</f>
        <v>JUAZEIRO</v>
      </c>
      <c r="P597" s="22" t="str">
        <f aca="false">INDEX('Tabela Passaro'!$B$2:$B$1795,$N597)</f>
        <v>BA</v>
      </c>
      <c r="Q597" s="22" t="n">
        <f aca="false">INDEX('Tabela Passaro'!$F$2:$F$1795,$N597)</f>
        <v>9</v>
      </c>
      <c r="R597" s="32" t="n">
        <f aca="false">IF(J597&lt;=10,INDEX('Tabela Passaro'!$G$2:$G$1795,$N597),IF(J597&lt;=30,INDEX('Tabela Passaro'!$H$2:$H$1795,$N597),IF(J597&lt;=50,INDEX('Tabela Passaro'!$I$2:$I$1795,$N597),IF(J597&lt;=70,INDEX('Tabela Passaro'!$J$2:$J$1795,$N597),IF(J597&lt;=100,INDEX('Tabela Passaro'!$K$2:$K$1795,$N597),INDEX('Tabela Passaro'!$K$2:$K$1795,$N597)+(J597-100)*INDEX('Tabela Passaro'!$L$2:$L$1795,$N597))))))</f>
        <v>216.516</v>
      </c>
      <c r="S597" s="32" t="n">
        <f aca="false">K597*INDEX('Tabela Passaro'!$M$2:$M$1795,$N597)</f>
        <v>13.11995</v>
      </c>
      <c r="T597" s="32" t="n">
        <f aca="false">K597*INDEX('Tabela Passaro'!$N$2:$N$1795,$N597)</f>
        <v>5.24798</v>
      </c>
      <c r="U597" s="32" t="n">
        <f aca="false">INDEX('Tabela Passaro'!$O$2:$O$1795,$N597)</f>
        <v>5</v>
      </c>
      <c r="V597" s="32" t="n">
        <f aca="false">ROUNDUP(J597/INDEX('Tabela Passaro'!$Q$2:$Q$1795,$N597),0)*INDEX('Tabela Passaro'!$P$2:$P$1795,$N597)</f>
        <v>10</v>
      </c>
      <c r="W597" s="32" t="n">
        <f aca="false">INDEX('Tabela Passaro'!$R$2:$R$1795,$N597)</f>
        <v>30</v>
      </c>
      <c r="X597" s="32" t="n">
        <f aca="false">ROUNDUP(J597/INDEX('Tabela Passaro'!$T$2:$T$1795,$N597),0)*INDEX('Tabela Passaro'!$S$2:$S$1795,$N597)</f>
        <v>0</v>
      </c>
      <c r="Y597" s="32" t="n">
        <f aca="false">INDEX('Tabela Passaro'!$U$2:$U$1795,$N597)</f>
        <v>0</v>
      </c>
      <c r="Z597" s="32" t="n">
        <f aca="false">INDEX('Tabela Passaro'!$V$2:$V$1795,$N597)</f>
        <v>0</v>
      </c>
      <c r="AA597" s="32" t="n">
        <f aca="false">SUM(R597:Z597)</f>
        <v>279.88393</v>
      </c>
      <c r="AB597" s="33" t="n">
        <f aca="false">INDEX(Premissas!$B$5:$B$13,MATCH(A597,Premissas!$A$5:$A$13,0))</f>
        <v>0.07</v>
      </c>
      <c r="AC597" s="32" t="n">
        <f aca="false">AA597/(1-AB597)-AA597</f>
        <v>21.0665323655914</v>
      </c>
      <c r="AD597" s="32" t="n">
        <f aca="false">ROUND(AA597+AC597,2)</f>
        <v>300.95</v>
      </c>
      <c r="AE597" s="32" t="n">
        <f aca="false">AD597-L597</f>
        <v>-140.18</v>
      </c>
      <c r="AF597" s="34" t="n">
        <f aca="false">IF(L597=0,0,AE597/L597)</f>
        <v>-0.317774805612858</v>
      </c>
      <c r="AG597" s="22" t="str">
        <f aca="false">IF(AD597&lt;L597,"PASSARO","ATUAL")</f>
        <v>PASSARO</v>
      </c>
      <c r="AH597" s="22" t="str">
        <f aca="false">IF(P597&lt;&gt;A597,"Faixa cadastrada como "&amp;P597&amp;" na tabela; preço aplicado pela UF do CEP","")</f>
        <v/>
      </c>
      <c r="AI597" s="26" t="n">
        <v>385.38</v>
      </c>
      <c r="AJ597" s="22" t="str">
        <f aca="false">INDEX('Tabela Passaro'!$X$2:$X$1795,$N597)</f>
        <v>INTERIOR 2</v>
      </c>
    </row>
    <row r="598" customFormat="false" ht="15" hidden="false" customHeight="false" outlineLevel="0" collapsed="false">
      <c r="A598" s="22" t="s">
        <v>16</v>
      </c>
      <c r="B598" s="22" t="n">
        <v>6</v>
      </c>
      <c r="C598" s="22" t="s">
        <v>85</v>
      </c>
      <c r="D598" s="22" t="s">
        <v>30</v>
      </c>
      <c r="E598" s="22" t="s">
        <v>7326</v>
      </c>
      <c r="F598" s="22" t="n">
        <v>522271</v>
      </c>
      <c r="G598" s="30" t="n">
        <v>46238</v>
      </c>
      <c r="H598" s="22" t="n">
        <v>620122</v>
      </c>
      <c r="I598" s="22" t="s">
        <v>7870</v>
      </c>
      <c r="J598" s="31" t="n">
        <v>43.5</v>
      </c>
      <c r="K598" s="26" t="n">
        <v>879.54</v>
      </c>
      <c r="L598" s="26" t="n">
        <v>193.53</v>
      </c>
      <c r="M598" s="22" t="s">
        <v>1656</v>
      </c>
      <c r="N598" s="22" t="n">
        <f aca="false">MATCH(M598,'Tabela Passaro'!$A$2:$A$1795,0)</f>
        <v>348</v>
      </c>
      <c r="O598" s="22" t="str">
        <f aca="false">INDEX('Tabela Passaro'!$C$2:$C$1795,$N598)</f>
        <v>JUAZEIRO</v>
      </c>
      <c r="P598" s="22" t="str">
        <f aca="false">INDEX('Tabela Passaro'!$B$2:$B$1795,$N598)</f>
        <v>BA</v>
      </c>
      <c r="Q598" s="22" t="n">
        <f aca="false">INDEX('Tabela Passaro'!$F$2:$F$1795,$N598)</f>
        <v>9</v>
      </c>
      <c r="R598" s="32" t="n">
        <f aca="false">IF(J598&lt;=10,INDEX('Tabela Passaro'!$G$2:$G$1795,$N598),IF(J598&lt;=30,INDEX('Tabela Passaro'!$H$2:$H$1795,$N598),IF(J598&lt;=50,INDEX('Tabela Passaro'!$I$2:$I$1795,$N598),IF(J598&lt;=70,INDEX('Tabela Passaro'!$J$2:$J$1795,$N598),IF(J598&lt;=100,INDEX('Tabela Passaro'!$K$2:$K$1795,$N598),INDEX('Tabela Passaro'!$K$2:$K$1795,$N598)+(J598-100)*INDEX('Tabela Passaro'!$L$2:$L$1795,$N598))))))</f>
        <v>89.14</v>
      </c>
      <c r="S598" s="32" t="n">
        <f aca="false">K598*INDEX('Tabela Passaro'!$M$2:$M$1795,$N598)</f>
        <v>4.3977</v>
      </c>
      <c r="T598" s="32" t="n">
        <f aca="false">K598*INDEX('Tabela Passaro'!$N$2:$N$1795,$N598)</f>
        <v>1.75908</v>
      </c>
      <c r="U598" s="32" t="n">
        <f aca="false">INDEX('Tabela Passaro'!$O$2:$O$1795,$N598)</f>
        <v>5</v>
      </c>
      <c r="V598" s="32" t="n">
        <f aca="false">ROUNDUP(J598/INDEX('Tabela Passaro'!$Q$2:$Q$1795,$N598),0)*INDEX('Tabela Passaro'!$P$2:$P$1795,$N598)</f>
        <v>5</v>
      </c>
      <c r="W598" s="32" t="n">
        <f aca="false">INDEX('Tabela Passaro'!$R$2:$R$1795,$N598)</f>
        <v>30</v>
      </c>
      <c r="X598" s="32" t="n">
        <f aca="false">ROUNDUP(J598/INDEX('Tabela Passaro'!$T$2:$T$1795,$N598),0)*INDEX('Tabela Passaro'!$S$2:$S$1795,$N598)</f>
        <v>0</v>
      </c>
      <c r="Y598" s="32" t="n">
        <f aca="false">INDEX('Tabela Passaro'!$U$2:$U$1795,$N598)</f>
        <v>0</v>
      </c>
      <c r="Z598" s="32" t="n">
        <f aca="false">INDEX('Tabela Passaro'!$V$2:$V$1795,$N598)</f>
        <v>0</v>
      </c>
      <c r="AA598" s="32" t="n">
        <f aca="false">SUM(R598:Z598)</f>
        <v>135.29678</v>
      </c>
      <c r="AB598" s="33" t="n">
        <f aca="false">INDEX(Premissas!$B$5:$B$13,MATCH(A598,Premissas!$A$5:$A$13,0))</f>
        <v>0.07</v>
      </c>
      <c r="AC598" s="32" t="n">
        <f aca="false">AA598/(1-AB598)-AA598</f>
        <v>10.1836286021505</v>
      </c>
      <c r="AD598" s="32" t="n">
        <f aca="false">ROUND(AA598+AC598,2)</f>
        <v>145.48</v>
      </c>
      <c r="AE598" s="32" t="n">
        <f aca="false">AD598-L598</f>
        <v>-48.05</v>
      </c>
      <c r="AF598" s="34" t="n">
        <f aca="false">IF(L598=0,0,AE598/L598)</f>
        <v>-0.248281920115744</v>
      </c>
      <c r="AG598" s="22" t="str">
        <f aca="false">IF(AD598&lt;L598,"PASSARO","ATUAL")</f>
        <v>PASSARO</v>
      </c>
      <c r="AH598" s="22" t="str">
        <f aca="false">IF(P598&lt;&gt;A598,"Faixa cadastrada como "&amp;P598&amp;" na tabela; preço aplicado pela UF do CEP","")</f>
        <v/>
      </c>
      <c r="AI598" s="26" t="n">
        <v>158.97</v>
      </c>
      <c r="AJ598" s="22" t="str">
        <f aca="false">INDEX('Tabela Passaro'!$X$2:$X$1795,$N598)</f>
        <v>INTERIOR 2</v>
      </c>
    </row>
    <row r="599" customFormat="false" ht="15" hidden="false" customHeight="false" outlineLevel="0" collapsed="false">
      <c r="A599" s="22" t="s">
        <v>16</v>
      </c>
      <c r="B599" s="22" t="n">
        <v>6</v>
      </c>
      <c r="C599" s="22" t="s">
        <v>85</v>
      </c>
      <c r="D599" s="22" t="s">
        <v>30</v>
      </c>
      <c r="E599" s="22" t="s">
        <v>7328</v>
      </c>
      <c r="F599" s="22" t="n">
        <v>2307888</v>
      </c>
      <c r="G599" s="30" t="n">
        <v>46239</v>
      </c>
      <c r="H599" s="22" t="n">
        <v>131872</v>
      </c>
      <c r="I599" s="22" t="s">
        <v>7871</v>
      </c>
      <c r="J599" s="31" t="n">
        <v>27.6</v>
      </c>
      <c r="K599" s="26" t="n">
        <v>706.98</v>
      </c>
      <c r="L599" s="26" t="n">
        <v>129.03</v>
      </c>
      <c r="M599" s="22" t="s">
        <v>1656</v>
      </c>
      <c r="N599" s="22" t="n">
        <f aca="false">MATCH(M599,'Tabela Passaro'!$A$2:$A$1795,0)</f>
        <v>348</v>
      </c>
      <c r="O599" s="22" t="str">
        <f aca="false">INDEX('Tabela Passaro'!$C$2:$C$1795,$N599)</f>
        <v>JUAZEIRO</v>
      </c>
      <c r="P599" s="22" t="str">
        <f aca="false">INDEX('Tabela Passaro'!$B$2:$B$1795,$N599)</f>
        <v>BA</v>
      </c>
      <c r="Q599" s="22" t="n">
        <f aca="false">INDEX('Tabela Passaro'!$F$2:$F$1795,$N599)</f>
        <v>9</v>
      </c>
      <c r="R599" s="32" t="n">
        <f aca="false">IF(J599&lt;=10,INDEX('Tabela Passaro'!$G$2:$G$1795,$N599),IF(J599&lt;=30,INDEX('Tabela Passaro'!$H$2:$H$1795,$N599),IF(J599&lt;=50,INDEX('Tabela Passaro'!$I$2:$I$1795,$N599),IF(J599&lt;=70,INDEX('Tabela Passaro'!$J$2:$J$1795,$N599),IF(J599&lt;=100,INDEX('Tabela Passaro'!$K$2:$K$1795,$N599),INDEX('Tabela Passaro'!$K$2:$K$1795,$N599)+(J599-100)*INDEX('Tabela Passaro'!$L$2:$L$1795,$N599))))))</f>
        <v>77.62</v>
      </c>
      <c r="S599" s="32" t="n">
        <f aca="false">K599*INDEX('Tabela Passaro'!$M$2:$M$1795,$N599)</f>
        <v>3.5349</v>
      </c>
      <c r="T599" s="32" t="n">
        <f aca="false">K599*INDEX('Tabela Passaro'!$N$2:$N$1795,$N599)</f>
        <v>1.41396</v>
      </c>
      <c r="U599" s="32" t="n">
        <f aca="false">INDEX('Tabela Passaro'!$O$2:$O$1795,$N599)</f>
        <v>5</v>
      </c>
      <c r="V599" s="32" t="n">
        <f aca="false">ROUNDUP(J599/INDEX('Tabela Passaro'!$Q$2:$Q$1795,$N599),0)*INDEX('Tabela Passaro'!$P$2:$P$1795,$N599)</f>
        <v>5</v>
      </c>
      <c r="W599" s="32" t="n">
        <f aca="false">INDEX('Tabela Passaro'!$R$2:$R$1795,$N599)</f>
        <v>30</v>
      </c>
      <c r="X599" s="32" t="n">
        <f aca="false">ROUNDUP(J599/INDEX('Tabela Passaro'!$T$2:$T$1795,$N599),0)*INDEX('Tabela Passaro'!$S$2:$S$1795,$N599)</f>
        <v>0</v>
      </c>
      <c r="Y599" s="32" t="n">
        <f aca="false">INDEX('Tabela Passaro'!$U$2:$U$1795,$N599)</f>
        <v>0</v>
      </c>
      <c r="Z599" s="32" t="n">
        <f aca="false">INDEX('Tabela Passaro'!$V$2:$V$1795,$N599)</f>
        <v>0</v>
      </c>
      <c r="AA599" s="32" t="n">
        <f aca="false">SUM(R599:Z599)</f>
        <v>122.56886</v>
      </c>
      <c r="AB599" s="33" t="n">
        <f aca="false">INDEX(Premissas!$B$5:$B$13,MATCH(A599,Premissas!$A$5:$A$13,0))</f>
        <v>0.07</v>
      </c>
      <c r="AC599" s="32" t="n">
        <f aca="false">AA599/(1-AB599)-AA599</f>
        <v>9.22561311827957</v>
      </c>
      <c r="AD599" s="32" t="n">
        <f aca="false">ROUND(AA599+AC599,2)</f>
        <v>131.79</v>
      </c>
      <c r="AE599" s="32" t="n">
        <f aca="false">AD599-L599</f>
        <v>2.75999999999999</v>
      </c>
      <c r="AF599" s="34" t="n">
        <f aca="false">IF(L599=0,0,AE599/L599)</f>
        <v>0.0213903743315507</v>
      </c>
      <c r="AG599" s="22" t="str">
        <f aca="false">IF(AD599&lt;L599,"PASSARO","ATUAL")</f>
        <v>ATUAL</v>
      </c>
      <c r="AH599" s="22" t="str">
        <f aca="false">IF(P599&lt;&gt;A599,"Faixa cadastrada como "&amp;P599&amp;" na tabela; preço aplicado pela UF do CEP","")</f>
        <v/>
      </c>
      <c r="AI599" s="26" t="n">
        <v>137.04</v>
      </c>
      <c r="AJ599" s="22" t="str">
        <f aca="false">INDEX('Tabela Passaro'!$X$2:$X$1795,$N599)</f>
        <v>INTERIOR 2</v>
      </c>
    </row>
    <row r="600" customFormat="false" ht="15" hidden="false" customHeight="false" outlineLevel="0" collapsed="false">
      <c r="A600" s="22" t="s">
        <v>16</v>
      </c>
      <c r="B600" s="22" t="n">
        <v>6</v>
      </c>
      <c r="C600" s="22" t="s">
        <v>85</v>
      </c>
      <c r="D600" s="22" t="s">
        <v>30</v>
      </c>
      <c r="E600" s="22" t="s">
        <v>7326</v>
      </c>
      <c r="F600" s="22" t="n">
        <v>522642</v>
      </c>
      <c r="G600" s="30" t="n">
        <v>46239</v>
      </c>
      <c r="H600" s="22" t="n">
        <v>620749</v>
      </c>
      <c r="I600" s="22" t="s">
        <v>7872</v>
      </c>
      <c r="J600" s="31" t="n">
        <v>107.7</v>
      </c>
      <c r="K600" s="26" t="n">
        <v>2039.98</v>
      </c>
      <c r="L600" s="26" t="n">
        <v>370.82</v>
      </c>
      <c r="M600" s="22" t="s">
        <v>1656</v>
      </c>
      <c r="N600" s="22" t="n">
        <f aca="false">MATCH(M600,'Tabela Passaro'!$A$2:$A$1795,0)</f>
        <v>348</v>
      </c>
      <c r="O600" s="22" t="str">
        <f aca="false">INDEX('Tabela Passaro'!$C$2:$C$1795,$N600)</f>
        <v>JUAZEIRO</v>
      </c>
      <c r="P600" s="22" t="str">
        <f aca="false">INDEX('Tabela Passaro'!$B$2:$B$1795,$N600)</f>
        <v>BA</v>
      </c>
      <c r="Q600" s="22" t="n">
        <f aca="false">INDEX('Tabela Passaro'!$F$2:$F$1795,$N600)</f>
        <v>9</v>
      </c>
      <c r="R600" s="32" t="n">
        <f aca="false">IF(J600&lt;=10,INDEX('Tabela Passaro'!$G$2:$G$1795,$N600),IF(J600&lt;=30,INDEX('Tabela Passaro'!$H$2:$H$1795,$N600),IF(J600&lt;=50,INDEX('Tabela Passaro'!$I$2:$I$1795,$N600),IF(J600&lt;=70,INDEX('Tabela Passaro'!$J$2:$J$1795,$N600),IF(J600&lt;=100,INDEX('Tabela Passaro'!$K$2:$K$1795,$N600),INDEX('Tabela Passaro'!$K$2:$K$1795,$N600)+(J600-100)*INDEX('Tabela Passaro'!$L$2:$L$1795,$N600))))))</f>
        <v>127.416</v>
      </c>
      <c r="S600" s="32" t="n">
        <f aca="false">K600*INDEX('Tabela Passaro'!$M$2:$M$1795,$N600)</f>
        <v>10.1999</v>
      </c>
      <c r="T600" s="32" t="n">
        <f aca="false">K600*INDEX('Tabela Passaro'!$N$2:$N$1795,$N600)</f>
        <v>4.07996</v>
      </c>
      <c r="U600" s="32" t="n">
        <f aca="false">INDEX('Tabela Passaro'!$O$2:$O$1795,$N600)</f>
        <v>5</v>
      </c>
      <c r="V600" s="32" t="n">
        <f aca="false">ROUNDUP(J600/INDEX('Tabela Passaro'!$Q$2:$Q$1795,$N600),0)*INDEX('Tabela Passaro'!$P$2:$P$1795,$N600)</f>
        <v>10</v>
      </c>
      <c r="W600" s="32" t="n">
        <f aca="false">INDEX('Tabela Passaro'!$R$2:$R$1795,$N600)</f>
        <v>30</v>
      </c>
      <c r="X600" s="32" t="n">
        <f aca="false">ROUNDUP(J600/INDEX('Tabela Passaro'!$T$2:$T$1795,$N600),0)*INDEX('Tabela Passaro'!$S$2:$S$1795,$N600)</f>
        <v>0</v>
      </c>
      <c r="Y600" s="32" t="n">
        <f aca="false">INDEX('Tabela Passaro'!$U$2:$U$1795,$N600)</f>
        <v>0</v>
      </c>
      <c r="Z600" s="32" t="n">
        <f aca="false">INDEX('Tabela Passaro'!$V$2:$V$1795,$N600)</f>
        <v>0</v>
      </c>
      <c r="AA600" s="32" t="n">
        <f aca="false">SUM(R600:Z600)</f>
        <v>186.69586</v>
      </c>
      <c r="AB600" s="33" t="n">
        <f aca="false">INDEX(Premissas!$B$5:$B$13,MATCH(A600,Premissas!$A$5:$A$13,0))</f>
        <v>0.07</v>
      </c>
      <c r="AC600" s="32" t="n">
        <f aca="false">AA600/(1-AB600)-AA600</f>
        <v>14.0523765591398</v>
      </c>
      <c r="AD600" s="32" t="n">
        <f aca="false">ROUND(AA600+AC600,2)</f>
        <v>200.75</v>
      </c>
      <c r="AE600" s="32" t="n">
        <f aca="false">AD600-L600</f>
        <v>-170.07</v>
      </c>
      <c r="AF600" s="34" t="n">
        <f aca="false">IF(L600=0,0,AE600/L600)</f>
        <v>-0.458632220484332</v>
      </c>
      <c r="AG600" s="22" t="str">
        <f aca="false">IF(AD600&lt;L600,"PASSARO","ATUAL")</f>
        <v>PASSARO</v>
      </c>
      <c r="AH600" s="22" t="str">
        <f aca="false">IF(P600&lt;&gt;A600,"Faixa cadastrada como "&amp;P600&amp;" na tabela; preço aplicado pela UF do CEP","")</f>
        <v/>
      </c>
      <c r="AI600" s="26" t="n">
        <v>250.05</v>
      </c>
      <c r="AJ600" s="22" t="str">
        <f aca="false">INDEX('Tabela Passaro'!$X$2:$X$1795,$N600)</f>
        <v>INTERIOR 2</v>
      </c>
    </row>
    <row r="601" customFormat="false" ht="15" hidden="false" customHeight="false" outlineLevel="0" collapsed="false">
      <c r="A601" s="22" t="s">
        <v>16</v>
      </c>
      <c r="B601" s="22" t="n">
        <v>6</v>
      </c>
      <c r="C601" s="22" t="s">
        <v>85</v>
      </c>
      <c r="D601" s="22" t="s">
        <v>30</v>
      </c>
      <c r="E601" s="22" t="s">
        <v>20</v>
      </c>
      <c r="F601" s="22" t="n">
        <v>838175</v>
      </c>
      <c r="G601" s="30" t="n">
        <v>46241</v>
      </c>
      <c r="H601" s="22" t="n">
        <v>32435</v>
      </c>
      <c r="I601" s="22" t="s">
        <v>7873</v>
      </c>
      <c r="J601" s="31" t="n">
        <v>82.2</v>
      </c>
      <c r="K601" s="26" t="n">
        <v>1404.46</v>
      </c>
      <c r="L601" s="26" t="n">
        <v>265.58</v>
      </c>
      <c r="M601" s="22" t="s">
        <v>1656</v>
      </c>
      <c r="N601" s="22" t="n">
        <f aca="false">MATCH(M601,'Tabela Passaro'!$A$2:$A$1795,0)</f>
        <v>348</v>
      </c>
      <c r="O601" s="22" t="str">
        <f aca="false">INDEX('Tabela Passaro'!$C$2:$C$1795,$N601)</f>
        <v>JUAZEIRO</v>
      </c>
      <c r="P601" s="22" t="str">
        <f aca="false">INDEX('Tabela Passaro'!$B$2:$B$1795,$N601)</f>
        <v>BA</v>
      </c>
      <c r="Q601" s="22" t="n">
        <f aca="false">INDEX('Tabela Passaro'!$F$2:$F$1795,$N601)</f>
        <v>9</v>
      </c>
      <c r="R601" s="32" t="n">
        <f aca="false">IF(J601&lt;=10,INDEX('Tabela Passaro'!$G$2:$G$1795,$N601),IF(J601&lt;=30,INDEX('Tabela Passaro'!$H$2:$H$1795,$N601),IF(J601&lt;=50,INDEX('Tabela Passaro'!$I$2:$I$1795,$N601),IF(J601&lt;=70,INDEX('Tabela Passaro'!$J$2:$J$1795,$N601),IF(J601&lt;=100,INDEX('Tabela Passaro'!$K$2:$K$1795,$N601),INDEX('Tabela Passaro'!$K$2:$K$1795,$N601)+(J601-100)*INDEX('Tabela Passaro'!$L$2:$L$1795,$N601))))))</f>
        <v>112.17</v>
      </c>
      <c r="S601" s="32" t="n">
        <f aca="false">K601*INDEX('Tabela Passaro'!$M$2:$M$1795,$N601)</f>
        <v>7.0223</v>
      </c>
      <c r="T601" s="32" t="n">
        <f aca="false">K601*INDEX('Tabela Passaro'!$N$2:$N$1795,$N601)</f>
        <v>2.80892</v>
      </c>
      <c r="U601" s="32" t="n">
        <f aca="false">INDEX('Tabela Passaro'!$O$2:$O$1795,$N601)</f>
        <v>5</v>
      </c>
      <c r="V601" s="32" t="n">
        <f aca="false">ROUNDUP(J601/INDEX('Tabela Passaro'!$Q$2:$Q$1795,$N601),0)*INDEX('Tabela Passaro'!$P$2:$P$1795,$N601)</f>
        <v>5</v>
      </c>
      <c r="W601" s="32" t="n">
        <f aca="false">INDEX('Tabela Passaro'!$R$2:$R$1795,$N601)</f>
        <v>30</v>
      </c>
      <c r="X601" s="32" t="n">
        <f aca="false">ROUNDUP(J601/INDEX('Tabela Passaro'!$T$2:$T$1795,$N601),0)*INDEX('Tabela Passaro'!$S$2:$S$1795,$N601)</f>
        <v>0</v>
      </c>
      <c r="Y601" s="32" t="n">
        <f aca="false">INDEX('Tabela Passaro'!$U$2:$U$1795,$N601)</f>
        <v>0</v>
      </c>
      <c r="Z601" s="32" t="n">
        <f aca="false">INDEX('Tabela Passaro'!$V$2:$V$1795,$N601)</f>
        <v>0</v>
      </c>
      <c r="AA601" s="32" t="n">
        <f aca="false">SUM(R601:Z601)</f>
        <v>162.00122</v>
      </c>
      <c r="AB601" s="33" t="n">
        <f aca="false">INDEX(Premissas!$B$5:$B$13,MATCH(A601,Premissas!$A$5:$A$13,0))</f>
        <v>0.07</v>
      </c>
      <c r="AC601" s="32" t="n">
        <f aca="false">AA601/(1-AB601)-AA601</f>
        <v>12.1936402150538</v>
      </c>
      <c r="AD601" s="32" t="n">
        <f aca="false">ROUND(AA601+AC601,2)</f>
        <v>174.19</v>
      </c>
      <c r="AE601" s="32" t="n">
        <f aca="false">AD601-L601</f>
        <v>-91.39</v>
      </c>
      <c r="AF601" s="34" t="n">
        <f aca="false">IF(L601=0,0,AE601/L601)</f>
        <v>-0.344114767678289</v>
      </c>
      <c r="AG601" s="22" t="str">
        <f aca="false">IF(AD601&lt;L601,"PASSARO","ATUAL")</f>
        <v>PASSARO</v>
      </c>
      <c r="AH601" s="22" t="str">
        <f aca="false">IF(P601&lt;&gt;A601,"Faixa cadastrada como "&amp;P601&amp;" na tabela; preço aplicado pela UF do CEP","")</f>
        <v/>
      </c>
      <c r="AI601" s="26" t="n">
        <v>207.97</v>
      </c>
      <c r="AJ601" s="22" t="str">
        <f aca="false">INDEX('Tabela Passaro'!$X$2:$X$1795,$N601)</f>
        <v>INTERIOR 2</v>
      </c>
    </row>
    <row r="602" customFormat="false" ht="15" hidden="false" customHeight="false" outlineLevel="0" collapsed="false">
      <c r="A602" s="22" t="s">
        <v>16</v>
      </c>
      <c r="B602" s="22" t="n">
        <v>6</v>
      </c>
      <c r="C602" s="22" t="s">
        <v>85</v>
      </c>
      <c r="D602" s="22" t="s">
        <v>30</v>
      </c>
      <c r="E602" s="22" t="s">
        <v>7326</v>
      </c>
      <c r="F602" s="22" t="n">
        <v>523807</v>
      </c>
      <c r="G602" s="30" t="n">
        <v>46245</v>
      </c>
      <c r="H602" s="22" t="n">
        <v>621999</v>
      </c>
      <c r="I602" s="22" t="s">
        <v>7874</v>
      </c>
      <c r="J602" s="31" t="n">
        <v>37.5</v>
      </c>
      <c r="K602" s="26" t="n">
        <v>642.73</v>
      </c>
      <c r="L602" s="26" t="n">
        <v>191.52</v>
      </c>
      <c r="M602" s="22" t="s">
        <v>1656</v>
      </c>
      <c r="N602" s="22" t="n">
        <f aca="false">MATCH(M602,'Tabela Passaro'!$A$2:$A$1795,0)</f>
        <v>348</v>
      </c>
      <c r="O602" s="22" t="str">
        <f aca="false">INDEX('Tabela Passaro'!$C$2:$C$1795,$N602)</f>
        <v>JUAZEIRO</v>
      </c>
      <c r="P602" s="22" t="str">
        <f aca="false">INDEX('Tabela Passaro'!$B$2:$B$1795,$N602)</f>
        <v>BA</v>
      </c>
      <c r="Q602" s="22" t="n">
        <f aca="false">INDEX('Tabela Passaro'!$F$2:$F$1795,$N602)</f>
        <v>9</v>
      </c>
      <c r="R602" s="32" t="n">
        <f aca="false">IF(J602&lt;=10,INDEX('Tabela Passaro'!$G$2:$G$1795,$N602),IF(J602&lt;=30,INDEX('Tabela Passaro'!$H$2:$H$1795,$N602),IF(J602&lt;=50,INDEX('Tabela Passaro'!$I$2:$I$1795,$N602),IF(J602&lt;=70,INDEX('Tabela Passaro'!$J$2:$J$1795,$N602),IF(J602&lt;=100,INDEX('Tabela Passaro'!$K$2:$K$1795,$N602),INDEX('Tabela Passaro'!$K$2:$K$1795,$N602)+(J602-100)*INDEX('Tabela Passaro'!$L$2:$L$1795,$N602))))))</f>
        <v>89.14</v>
      </c>
      <c r="S602" s="32" t="n">
        <f aca="false">K602*INDEX('Tabela Passaro'!$M$2:$M$1795,$N602)</f>
        <v>3.21365</v>
      </c>
      <c r="T602" s="32" t="n">
        <f aca="false">K602*INDEX('Tabela Passaro'!$N$2:$N$1795,$N602)</f>
        <v>1.28546</v>
      </c>
      <c r="U602" s="32" t="n">
        <f aca="false">INDEX('Tabela Passaro'!$O$2:$O$1795,$N602)</f>
        <v>5</v>
      </c>
      <c r="V602" s="32" t="n">
        <f aca="false">ROUNDUP(J602/INDEX('Tabela Passaro'!$Q$2:$Q$1795,$N602),0)*INDEX('Tabela Passaro'!$P$2:$P$1795,$N602)</f>
        <v>5</v>
      </c>
      <c r="W602" s="32" t="n">
        <f aca="false">INDEX('Tabela Passaro'!$R$2:$R$1795,$N602)</f>
        <v>30</v>
      </c>
      <c r="X602" s="32" t="n">
        <f aca="false">ROUNDUP(J602/INDEX('Tabela Passaro'!$T$2:$T$1795,$N602),0)*INDEX('Tabela Passaro'!$S$2:$S$1795,$N602)</f>
        <v>0</v>
      </c>
      <c r="Y602" s="32" t="n">
        <f aca="false">INDEX('Tabela Passaro'!$U$2:$U$1795,$N602)</f>
        <v>0</v>
      </c>
      <c r="Z602" s="32" t="n">
        <f aca="false">INDEX('Tabela Passaro'!$V$2:$V$1795,$N602)</f>
        <v>0</v>
      </c>
      <c r="AA602" s="32" t="n">
        <f aca="false">SUM(R602:Z602)</f>
        <v>133.63911</v>
      </c>
      <c r="AB602" s="33" t="n">
        <f aca="false">INDEX(Premissas!$B$5:$B$13,MATCH(A602,Premissas!$A$5:$A$13,0))</f>
        <v>0.07</v>
      </c>
      <c r="AC602" s="32" t="n">
        <f aca="false">AA602/(1-AB602)-AA602</f>
        <v>10.0588577419355</v>
      </c>
      <c r="AD602" s="32" t="n">
        <f aca="false">ROUND(AA602+AC602,2)</f>
        <v>143.7</v>
      </c>
      <c r="AE602" s="32" t="n">
        <f aca="false">AD602-L602</f>
        <v>-47.82</v>
      </c>
      <c r="AF602" s="34" t="n">
        <f aca="false">IF(L602=0,0,AE602/L602)</f>
        <v>-0.24968671679198</v>
      </c>
      <c r="AG602" s="22" t="str">
        <f aca="false">IF(AD602&lt;L602,"PASSARO","ATUAL")</f>
        <v>PASSARO</v>
      </c>
      <c r="AH602" s="22" t="str">
        <f aca="false">IF(P602&lt;&gt;A602,"Faixa cadastrada como "&amp;P602&amp;" na tabela; preço aplicado pela UF do CEP","")</f>
        <v/>
      </c>
      <c r="AI602" s="26" t="n">
        <v>153.78</v>
      </c>
      <c r="AJ602" s="22" t="str">
        <f aca="false">INDEX('Tabela Passaro'!$X$2:$X$1795,$N602)</f>
        <v>INTERIOR 2</v>
      </c>
    </row>
    <row r="603" customFormat="false" ht="15" hidden="false" customHeight="false" outlineLevel="0" collapsed="false">
      <c r="A603" s="22" t="s">
        <v>16</v>
      </c>
      <c r="B603" s="22" t="n">
        <v>6</v>
      </c>
      <c r="C603" s="22" t="s">
        <v>85</v>
      </c>
      <c r="D603" s="22" t="s">
        <v>30</v>
      </c>
      <c r="E603" s="22" t="s">
        <v>7326</v>
      </c>
      <c r="F603" s="22" t="n">
        <v>524672</v>
      </c>
      <c r="G603" s="30" t="n">
        <v>46247</v>
      </c>
      <c r="H603" s="22" t="n">
        <v>624341</v>
      </c>
      <c r="I603" s="22" t="s">
        <v>7875</v>
      </c>
      <c r="J603" s="31" t="n">
        <v>33</v>
      </c>
      <c r="K603" s="26" t="n">
        <v>694.98</v>
      </c>
      <c r="L603" s="26" t="n">
        <v>191.96</v>
      </c>
      <c r="M603" s="22" t="s">
        <v>1656</v>
      </c>
      <c r="N603" s="22" t="n">
        <f aca="false">MATCH(M603,'Tabela Passaro'!$A$2:$A$1795,0)</f>
        <v>348</v>
      </c>
      <c r="O603" s="22" t="str">
        <f aca="false">INDEX('Tabela Passaro'!$C$2:$C$1795,$N603)</f>
        <v>JUAZEIRO</v>
      </c>
      <c r="P603" s="22" t="str">
        <f aca="false">INDEX('Tabela Passaro'!$B$2:$B$1795,$N603)</f>
        <v>BA</v>
      </c>
      <c r="Q603" s="22" t="n">
        <f aca="false">INDEX('Tabela Passaro'!$F$2:$F$1795,$N603)</f>
        <v>9</v>
      </c>
      <c r="R603" s="32" t="n">
        <f aca="false">IF(J603&lt;=10,INDEX('Tabela Passaro'!$G$2:$G$1795,$N603),IF(J603&lt;=30,INDEX('Tabela Passaro'!$H$2:$H$1795,$N603),IF(J603&lt;=50,INDEX('Tabela Passaro'!$I$2:$I$1795,$N603),IF(J603&lt;=70,INDEX('Tabela Passaro'!$J$2:$J$1795,$N603),IF(J603&lt;=100,INDEX('Tabela Passaro'!$K$2:$K$1795,$N603),INDEX('Tabela Passaro'!$K$2:$K$1795,$N603)+(J603-100)*INDEX('Tabela Passaro'!$L$2:$L$1795,$N603))))))</f>
        <v>89.14</v>
      </c>
      <c r="S603" s="32" t="n">
        <f aca="false">K603*INDEX('Tabela Passaro'!$M$2:$M$1795,$N603)</f>
        <v>3.4749</v>
      </c>
      <c r="T603" s="32" t="n">
        <f aca="false">K603*INDEX('Tabela Passaro'!$N$2:$N$1795,$N603)</f>
        <v>1.38996</v>
      </c>
      <c r="U603" s="32" t="n">
        <f aca="false">INDEX('Tabela Passaro'!$O$2:$O$1795,$N603)</f>
        <v>5</v>
      </c>
      <c r="V603" s="32" t="n">
        <f aca="false">ROUNDUP(J603/INDEX('Tabela Passaro'!$Q$2:$Q$1795,$N603),0)*INDEX('Tabela Passaro'!$P$2:$P$1795,$N603)</f>
        <v>5</v>
      </c>
      <c r="W603" s="32" t="n">
        <f aca="false">INDEX('Tabela Passaro'!$R$2:$R$1795,$N603)</f>
        <v>30</v>
      </c>
      <c r="X603" s="32" t="n">
        <f aca="false">ROUNDUP(J603/INDEX('Tabela Passaro'!$T$2:$T$1795,$N603),0)*INDEX('Tabela Passaro'!$S$2:$S$1795,$N603)</f>
        <v>0</v>
      </c>
      <c r="Y603" s="32" t="n">
        <f aca="false">INDEX('Tabela Passaro'!$U$2:$U$1795,$N603)</f>
        <v>0</v>
      </c>
      <c r="Z603" s="32" t="n">
        <f aca="false">INDEX('Tabela Passaro'!$V$2:$V$1795,$N603)</f>
        <v>0</v>
      </c>
      <c r="AA603" s="32" t="n">
        <f aca="false">SUM(R603:Z603)</f>
        <v>134.00486</v>
      </c>
      <c r="AB603" s="33" t="n">
        <f aca="false">INDEX(Premissas!$B$5:$B$13,MATCH(A603,Premissas!$A$5:$A$13,0))</f>
        <v>0.07</v>
      </c>
      <c r="AC603" s="32" t="n">
        <f aca="false">AA603/(1-AB603)-AA603</f>
        <v>10.086387311828</v>
      </c>
      <c r="AD603" s="32" t="n">
        <f aca="false">ROUND(AA603+AC603,2)</f>
        <v>144.09</v>
      </c>
      <c r="AE603" s="32" t="n">
        <f aca="false">AD603-L603</f>
        <v>-47.87</v>
      </c>
      <c r="AF603" s="34" t="n">
        <f aca="false">IF(L603=0,0,AE603/L603)</f>
        <v>-0.249374869764534</v>
      </c>
      <c r="AG603" s="22" t="str">
        <f aca="false">IF(AD603&lt;L603,"PASSARO","ATUAL")</f>
        <v>PASSARO</v>
      </c>
      <c r="AH603" s="22" t="str">
        <f aca="false">IF(P603&lt;&gt;A603,"Faixa cadastrada como "&amp;P603&amp;" na tabela; preço aplicado pela UF do CEP","")</f>
        <v/>
      </c>
      <c r="AI603" s="26" t="n">
        <v>151.87</v>
      </c>
      <c r="AJ603" s="22" t="str">
        <f aca="false">INDEX('Tabela Passaro'!$X$2:$X$1795,$N603)</f>
        <v>INTERIOR 2</v>
      </c>
    </row>
    <row r="604" customFormat="false" ht="15" hidden="false" customHeight="false" outlineLevel="0" collapsed="false">
      <c r="A604" s="22" t="s">
        <v>16</v>
      </c>
      <c r="B604" s="22" t="n">
        <v>6</v>
      </c>
      <c r="C604" s="22" t="s">
        <v>85</v>
      </c>
      <c r="D604" s="22" t="s">
        <v>30</v>
      </c>
      <c r="E604" s="22" t="s">
        <v>20</v>
      </c>
      <c r="F604" s="22" t="n">
        <v>839402</v>
      </c>
      <c r="G604" s="30" t="n">
        <v>46252</v>
      </c>
      <c r="H604" s="22" t="n">
        <v>32540</v>
      </c>
      <c r="I604" s="22" t="s">
        <v>7876</v>
      </c>
      <c r="J604" s="31" t="n">
        <v>42.5</v>
      </c>
      <c r="K604" s="26" t="n">
        <v>698.39</v>
      </c>
      <c r="L604" s="26" t="n">
        <v>171.73</v>
      </c>
      <c r="M604" s="22" t="s">
        <v>1656</v>
      </c>
      <c r="N604" s="22" t="n">
        <f aca="false">MATCH(M604,'Tabela Passaro'!$A$2:$A$1795,0)</f>
        <v>348</v>
      </c>
      <c r="O604" s="22" t="str">
        <f aca="false">INDEX('Tabela Passaro'!$C$2:$C$1795,$N604)</f>
        <v>JUAZEIRO</v>
      </c>
      <c r="P604" s="22" t="str">
        <f aca="false">INDEX('Tabela Passaro'!$B$2:$B$1795,$N604)</f>
        <v>BA</v>
      </c>
      <c r="Q604" s="22" t="n">
        <f aca="false">INDEX('Tabela Passaro'!$F$2:$F$1795,$N604)</f>
        <v>9</v>
      </c>
      <c r="R604" s="32" t="n">
        <f aca="false">IF(J604&lt;=10,INDEX('Tabela Passaro'!$G$2:$G$1795,$N604),IF(J604&lt;=30,INDEX('Tabela Passaro'!$H$2:$H$1795,$N604),IF(J604&lt;=50,INDEX('Tabela Passaro'!$I$2:$I$1795,$N604),IF(J604&lt;=70,INDEX('Tabela Passaro'!$J$2:$J$1795,$N604),IF(J604&lt;=100,INDEX('Tabela Passaro'!$K$2:$K$1795,$N604),INDEX('Tabela Passaro'!$K$2:$K$1795,$N604)+(J604-100)*INDEX('Tabela Passaro'!$L$2:$L$1795,$N604))))))</f>
        <v>89.14</v>
      </c>
      <c r="S604" s="32" t="n">
        <f aca="false">K604*INDEX('Tabela Passaro'!$M$2:$M$1795,$N604)</f>
        <v>3.49195</v>
      </c>
      <c r="T604" s="32" t="n">
        <f aca="false">K604*INDEX('Tabela Passaro'!$N$2:$N$1795,$N604)</f>
        <v>1.39678</v>
      </c>
      <c r="U604" s="32" t="n">
        <f aca="false">INDEX('Tabela Passaro'!$O$2:$O$1795,$N604)</f>
        <v>5</v>
      </c>
      <c r="V604" s="32" t="n">
        <f aca="false">ROUNDUP(J604/INDEX('Tabela Passaro'!$Q$2:$Q$1795,$N604),0)*INDEX('Tabela Passaro'!$P$2:$P$1795,$N604)</f>
        <v>5</v>
      </c>
      <c r="W604" s="32" t="n">
        <f aca="false">INDEX('Tabela Passaro'!$R$2:$R$1795,$N604)</f>
        <v>30</v>
      </c>
      <c r="X604" s="32" t="n">
        <f aca="false">ROUNDUP(J604/INDEX('Tabela Passaro'!$T$2:$T$1795,$N604),0)*INDEX('Tabela Passaro'!$S$2:$S$1795,$N604)</f>
        <v>0</v>
      </c>
      <c r="Y604" s="32" t="n">
        <f aca="false">INDEX('Tabela Passaro'!$U$2:$U$1795,$N604)</f>
        <v>0</v>
      </c>
      <c r="Z604" s="32" t="n">
        <f aca="false">INDEX('Tabela Passaro'!$V$2:$V$1795,$N604)</f>
        <v>0</v>
      </c>
      <c r="AA604" s="32" t="n">
        <f aca="false">SUM(R604:Z604)</f>
        <v>134.02873</v>
      </c>
      <c r="AB604" s="33" t="n">
        <f aca="false">INDEX(Premissas!$B$5:$B$13,MATCH(A604,Premissas!$A$5:$A$13,0))</f>
        <v>0.07</v>
      </c>
      <c r="AC604" s="32" t="n">
        <f aca="false">AA604/(1-AB604)-AA604</f>
        <v>10.0881839784946</v>
      </c>
      <c r="AD604" s="32" t="n">
        <f aca="false">ROUND(AA604+AC604,2)</f>
        <v>144.12</v>
      </c>
      <c r="AE604" s="32" t="n">
        <f aca="false">AD604-L604</f>
        <v>-27.61</v>
      </c>
      <c r="AF604" s="34" t="n">
        <f aca="false">IF(L604=0,0,AE604/L604)</f>
        <v>-0.160775636173062</v>
      </c>
      <c r="AG604" s="22" t="str">
        <f aca="false">IF(AD604&lt;L604,"PASSARO","ATUAL")</f>
        <v>PASSARO</v>
      </c>
      <c r="AH604" s="22" t="str">
        <f aca="false">IF(P604&lt;&gt;A604,"Faixa cadastrada como "&amp;P604&amp;" na tabela; preço aplicado pela UF do CEP","")</f>
        <v/>
      </c>
      <c r="AI604" s="26" t="n">
        <v>156.74</v>
      </c>
      <c r="AJ604" s="22" t="str">
        <f aca="false">INDEX('Tabela Passaro'!$X$2:$X$1795,$N604)</f>
        <v>INTERIOR 2</v>
      </c>
    </row>
    <row r="605" customFormat="false" ht="15" hidden="false" customHeight="false" outlineLevel="0" collapsed="false">
      <c r="A605" s="22" t="s">
        <v>16</v>
      </c>
      <c r="B605" s="22" t="n">
        <v>6</v>
      </c>
      <c r="C605" s="22" t="s">
        <v>85</v>
      </c>
      <c r="D605" s="22" t="s">
        <v>30</v>
      </c>
      <c r="E605" s="22" t="s">
        <v>7328</v>
      </c>
      <c r="F605" s="22" t="n">
        <v>2313796</v>
      </c>
      <c r="G605" s="30" t="n">
        <v>46253</v>
      </c>
      <c r="H605" s="22" t="n">
        <v>133888</v>
      </c>
      <c r="I605" s="22" t="s">
        <v>7877</v>
      </c>
      <c r="J605" s="31" t="n">
        <v>36.9</v>
      </c>
      <c r="K605" s="26" t="n">
        <v>679.98</v>
      </c>
      <c r="L605" s="26" t="n">
        <v>169.96</v>
      </c>
      <c r="M605" s="22" t="s">
        <v>1656</v>
      </c>
      <c r="N605" s="22" t="n">
        <f aca="false">MATCH(M605,'Tabela Passaro'!$A$2:$A$1795,0)</f>
        <v>348</v>
      </c>
      <c r="O605" s="22" t="str">
        <f aca="false">INDEX('Tabela Passaro'!$C$2:$C$1795,$N605)</f>
        <v>JUAZEIRO</v>
      </c>
      <c r="P605" s="22" t="str">
        <f aca="false">INDEX('Tabela Passaro'!$B$2:$B$1795,$N605)</f>
        <v>BA</v>
      </c>
      <c r="Q605" s="22" t="n">
        <f aca="false">INDEX('Tabela Passaro'!$F$2:$F$1795,$N605)</f>
        <v>9</v>
      </c>
      <c r="R605" s="32" t="n">
        <f aca="false">IF(J605&lt;=10,INDEX('Tabela Passaro'!$G$2:$G$1795,$N605),IF(J605&lt;=30,INDEX('Tabela Passaro'!$H$2:$H$1795,$N605),IF(J605&lt;=50,INDEX('Tabela Passaro'!$I$2:$I$1795,$N605),IF(J605&lt;=70,INDEX('Tabela Passaro'!$J$2:$J$1795,$N605),IF(J605&lt;=100,INDEX('Tabela Passaro'!$K$2:$K$1795,$N605),INDEX('Tabela Passaro'!$K$2:$K$1795,$N605)+(J605-100)*INDEX('Tabela Passaro'!$L$2:$L$1795,$N605))))))</f>
        <v>89.14</v>
      </c>
      <c r="S605" s="32" t="n">
        <f aca="false">K605*INDEX('Tabela Passaro'!$M$2:$M$1795,$N605)</f>
        <v>3.3999</v>
      </c>
      <c r="T605" s="32" t="n">
        <f aca="false">K605*INDEX('Tabela Passaro'!$N$2:$N$1795,$N605)</f>
        <v>1.35996</v>
      </c>
      <c r="U605" s="32" t="n">
        <f aca="false">INDEX('Tabela Passaro'!$O$2:$O$1795,$N605)</f>
        <v>5</v>
      </c>
      <c r="V605" s="32" t="n">
        <f aca="false">ROUNDUP(J605/INDEX('Tabela Passaro'!$Q$2:$Q$1795,$N605),0)*INDEX('Tabela Passaro'!$P$2:$P$1795,$N605)</f>
        <v>5</v>
      </c>
      <c r="W605" s="32" t="n">
        <f aca="false">INDEX('Tabela Passaro'!$R$2:$R$1795,$N605)</f>
        <v>30</v>
      </c>
      <c r="X605" s="32" t="n">
        <f aca="false">ROUNDUP(J605/INDEX('Tabela Passaro'!$T$2:$T$1795,$N605),0)*INDEX('Tabela Passaro'!$S$2:$S$1795,$N605)</f>
        <v>0</v>
      </c>
      <c r="Y605" s="32" t="n">
        <f aca="false">INDEX('Tabela Passaro'!$U$2:$U$1795,$N605)</f>
        <v>0</v>
      </c>
      <c r="Z605" s="32" t="n">
        <f aca="false">INDEX('Tabela Passaro'!$V$2:$V$1795,$N605)</f>
        <v>0</v>
      </c>
      <c r="AA605" s="32" t="n">
        <f aca="false">SUM(R605:Z605)</f>
        <v>133.89986</v>
      </c>
      <c r="AB605" s="33" t="n">
        <f aca="false">INDEX(Premissas!$B$5:$B$13,MATCH(A605,Premissas!$A$5:$A$13,0))</f>
        <v>0.07</v>
      </c>
      <c r="AC605" s="32" t="n">
        <f aca="false">AA605/(1-AB605)-AA605</f>
        <v>10.0784840860215</v>
      </c>
      <c r="AD605" s="32" t="n">
        <f aca="false">ROUND(AA605+AC605,2)</f>
        <v>143.98</v>
      </c>
      <c r="AE605" s="32" t="n">
        <f aca="false">AD605-L605</f>
        <v>-25.98</v>
      </c>
      <c r="AF605" s="34" t="n">
        <f aca="false">IF(L605=0,0,AE605/L605)</f>
        <v>-0.152859496352083</v>
      </c>
      <c r="AG605" s="22" t="str">
        <f aca="false">IF(AD605&lt;L605,"PASSARO","ATUAL")</f>
        <v>PASSARO</v>
      </c>
      <c r="AH605" s="22" t="str">
        <f aca="false">IF(P605&lt;&gt;A605,"Faixa cadastrada como "&amp;P605&amp;" na tabela; preço aplicado pela UF do CEP","")</f>
        <v/>
      </c>
      <c r="AI605" s="26" t="n">
        <v>153.66</v>
      </c>
      <c r="AJ605" s="22" t="str">
        <f aca="false">INDEX('Tabela Passaro'!$X$2:$X$1795,$N605)</f>
        <v>INTERIOR 2</v>
      </c>
    </row>
    <row r="606" customFormat="false" ht="15" hidden="false" customHeight="false" outlineLevel="0" collapsed="false">
      <c r="A606" s="22" t="s">
        <v>16</v>
      </c>
      <c r="B606" s="22" t="n">
        <v>6</v>
      </c>
      <c r="C606" s="22" t="s">
        <v>85</v>
      </c>
      <c r="D606" s="22" t="s">
        <v>30</v>
      </c>
      <c r="E606" s="22" t="s">
        <v>7328</v>
      </c>
      <c r="F606" s="22" t="n">
        <v>2315643</v>
      </c>
      <c r="G606" s="30" t="n">
        <v>46258</v>
      </c>
      <c r="H606" s="22" t="n">
        <v>134370</v>
      </c>
      <c r="I606" s="22" t="s">
        <v>7878</v>
      </c>
      <c r="J606" s="31" t="n">
        <v>30.99</v>
      </c>
      <c r="K606" s="26" t="n">
        <v>799.98</v>
      </c>
      <c r="L606" s="26" t="n">
        <v>170.91</v>
      </c>
      <c r="M606" s="22" t="s">
        <v>1656</v>
      </c>
      <c r="N606" s="22" t="n">
        <f aca="false">MATCH(M606,'Tabela Passaro'!$A$2:$A$1795,0)</f>
        <v>348</v>
      </c>
      <c r="O606" s="22" t="str">
        <f aca="false">INDEX('Tabela Passaro'!$C$2:$C$1795,$N606)</f>
        <v>JUAZEIRO</v>
      </c>
      <c r="P606" s="22" t="str">
        <f aca="false">INDEX('Tabela Passaro'!$B$2:$B$1795,$N606)</f>
        <v>BA</v>
      </c>
      <c r="Q606" s="22" t="n">
        <f aca="false">INDEX('Tabela Passaro'!$F$2:$F$1795,$N606)</f>
        <v>9</v>
      </c>
      <c r="R606" s="32" t="n">
        <f aca="false">IF(J606&lt;=10,INDEX('Tabela Passaro'!$G$2:$G$1795,$N606),IF(J606&lt;=30,INDEX('Tabela Passaro'!$H$2:$H$1795,$N606),IF(J606&lt;=50,INDEX('Tabela Passaro'!$I$2:$I$1795,$N606),IF(J606&lt;=70,INDEX('Tabela Passaro'!$J$2:$J$1795,$N606),IF(J606&lt;=100,INDEX('Tabela Passaro'!$K$2:$K$1795,$N606),INDEX('Tabela Passaro'!$K$2:$K$1795,$N606)+(J606-100)*INDEX('Tabela Passaro'!$L$2:$L$1795,$N606))))))</f>
        <v>89.14</v>
      </c>
      <c r="S606" s="32" t="n">
        <f aca="false">K606*INDEX('Tabela Passaro'!$M$2:$M$1795,$N606)</f>
        <v>3.9999</v>
      </c>
      <c r="T606" s="32" t="n">
        <f aca="false">K606*INDEX('Tabela Passaro'!$N$2:$N$1795,$N606)</f>
        <v>1.59996</v>
      </c>
      <c r="U606" s="32" t="n">
        <f aca="false">INDEX('Tabela Passaro'!$O$2:$O$1795,$N606)</f>
        <v>5</v>
      </c>
      <c r="V606" s="32" t="n">
        <f aca="false">ROUNDUP(J606/INDEX('Tabela Passaro'!$Q$2:$Q$1795,$N606),0)*INDEX('Tabela Passaro'!$P$2:$P$1795,$N606)</f>
        <v>5</v>
      </c>
      <c r="W606" s="32" t="n">
        <f aca="false">INDEX('Tabela Passaro'!$R$2:$R$1795,$N606)</f>
        <v>30</v>
      </c>
      <c r="X606" s="32" t="n">
        <f aca="false">ROUNDUP(J606/INDEX('Tabela Passaro'!$T$2:$T$1795,$N606),0)*INDEX('Tabela Passaro'!$S$2:$S$1795,$N606)</f>
        <v>0</v>
      </c>
      <c r="Y606" s="32" t="n">
        <f aca="false">INDEX('Tabela Passaro'!$U$2:$U$1795,$N606)</f>
        <v>0</v>
      </c>
      <c r="Z606" s="32" t="n">
        <f aca="false">INDEX('Tabela Passaro'!$V$2:$V$1795,$N606)</f>
        <v>0</v>
      </c>
      <c r="AA606" s="32" t="n">
        <f aca="false">SUM(R606:Z606)</f>
        <v>134.73986</v>
      </c>
      <c r="AB606" s="33" t="n">
        <f aca="false">INDEX(Premissas!$B$5:$B$13,MATCH(A606,Premissas!$A$5:$A$13,0))</f>
        <v>0.07</v>
      </c>
      <c r="AC606" s="32" t="n">
        <f aca="false">AA606/(1-AB606)-AA606</f>
        <v>10.1417098924731</v>
      </c>
      <c r="AD606" s="32" t="n">
        <f aca="false">ROUND(AA606+AC606,2)</f>
        <v>144.88</v>
      </c>
      <c r="AE606" s="32" t="n">
        <f aca="false">AD606-L606</f>
        <v>-26.03</v>
      </c>
      <c r="AF606" s="34" t="n">
        <f aca="false">IF(L606=0,0,AE606/L606)</f>
        <v>-0.152302381370312</v>
      </c>
      <c r="AG606" s="22" t="str">
        <f aca="false">IF(AD606&lt;L606,"PASSARO","ATUAL")</f>
        <v>PASSARO</v>
      </c>
      <c r="AH606" s="22" t="str">
        <f aca="false">IF(P606&lt;&gt;A606,"Faixa cadastrada como "&amp;P606&amp;" na tabela; preço aplicado pela UF do CEP","")</f>
        <v/>
      </c>
      <c r="AI606" s="26" t="n">
        <v>151.91</v>
      </c>
      <c r="AJ606" s="22" t="str">
        <f aca="false">INDEX('Tabela Passaro'!$X$2:$X$1795,$N606)</f>
        <v>INTERIOR 2</v>
      </c>
    </row>
    <row r="607" customFormat="false" ht="15" hidden="false" customHeight="false" outlineLevel="0" collapsed="false">
      <c r="A607" s="22" t="s">
        <v>16</v>
      </c>
      <c r="B607" s="22" t="n">
        <v>6</v>
      </c>
      <c r="C607" s="22" t="s">
        <v>85</v>
      </c>
      <c r="D607" s="22" t="s">
        <v>30</v>
      </c>
      <c r="E607" s="22" t="s">
        <v>7328</v>
      </c>
      <c r="F607" s="22" t="n">
        <v>2315772</v>
      </c>
      <c r="G607" s="30" t="n">
        <v>46258</v>
      </c>
      <c r="H607" s="22" t="n">
        <v>134932</v>
      </c>
      <c r="I607" s="22" t="s">
        <v>7879</v>
      </c>
      <c r="J607" s="31" t="n">
        <v>27.6</v>
      </c>
      <c r="K607" s="26" t="n">
        <v>711.98</v>
      </c>
      <c r="L607" s="26" t="n">
        <v>129.07</v>
      </c>
      <c r="M607" s="22" t="s">
        <v>1656</v>
      </c>
      <c r="N607" s="22" t="n">
        <f aca="false">MATCH(M607,'Tabela Passaro'!$A$2:$A$1795,0)</f>
        <v>348</v>
      </c>
      <c r="O607" s="22" t="str">
        <f aca="false">INDEX('Tabela Passaro'!$C$2:$C$1795,$N607)</f>
        <v>JUAZEIRO</v>
      </c>
      <c r="P607" s="22" t="str">
        <f aca="false">INDEX('Tabela Passaro'!$B$2:$B$1795,$N607)</f>
        <v>BA</v>
      </c>
      <c r="Q607" s="22" t="n">
        <f aca="false">INDEX('Tabela Passaro'!$F$2:$F$1795,$N607)</f>
        <v>9</v>
      </c>
      <c r="R607" s="32" t="n">
        <f aca="false">IF(J607&lt;=10,INDEX('Tabela Passaro'!$G$2:$G$1795,$N607),IF(J607&lt;=30,INDEX('Tabela Passaro'!$H$2:$H$1795,$N607),IF(J607&lt;=50,INDEX('Tabela Passaro'!$I$2:$I$1795,$N607),IF(J607&lt;=70,INDEX('Tabela Passaro'!$J$2:$J$1795,$N607),IF(J607&lt;=100,INDEX('Tabela Passaro'!$K$2:$K$1795,$N607),INDEX('Tabela Passaro'!$K$2:$K$1795,$N607)+(J607-100)*INDEX('Tabela Passaro'!$L$2:$L$1795,$N607))))))</f>
        <v>77.62</v>
      </c>
      <c r="S607" s="32" t="n">
        <f aca="false">K607*INDEX('Tabela Passaro'!$M$2:$M$1795,$N607)</f>
        <v>3.5599</v>
      </c>
      <c r="T607" s="32" t="n">
        <f aca="false">K607*INDEX('Tabela Passaro'!$N$2:$N$1795,$N607)</f>
        <v>1.42396</v>
      </c>
      <c r="U607" s="32" t="n">
        <f aca="false">INDEX('Tabela Passaro'!$O$2:$O$1795,$N607)</f>
        <v>5</v>
      </c>
      <c r="V607" s="32" t="n">
        <f aca="false">ROUNDUP(J607/INDEX('Tabela Passaro'!$Q$2:$Q$1795,$N607),0)*INDEX('Tabela Passaro'!$P$2:$P$1795,$N607)</f>
        <v>5</v>
      </c>
      <c r="W607" s="32" t="n">
        <f aca="false">INDEX('Tabela Passaro'!$R$2:$R$1795,$N607)</f>
        <v>30</v>
      </c>
      <c r="X607" s="32" t="n">
        <f aca="false">ROUNDUP(J607/INDEX('Tabela Passaro'!$T$2:$T$1795,$N607),0)*INDEX('Tabela Passaro'!$S$2:$S$1795,$N607)</f>
        <v>0</v>
      </c>
      <c r="Y607" s="32" t="n">
        <f aca="false">INDEX('Tabela Passaro'!$U$2:$U$1795,$N607)</f>
        <v>0</v>
      </c>
      <c r="Z607" s="32" t="n">
        <f aca="false">INDEX('Tabela Passaro'!$V$2:$V$1795,$N607)</f>
        <v>0</v>
      </c>
      <c r="AA607" s="32" t="n">
        <f aca="false">SUM(R607:Z607)</f>
        <v>122.60386</v>
      </c>
      <c r="AB607" s="33" t="n">
        <f aca="false">INDEX(Premissas!$B$5:$B$13,MATCH(A607,Premissas!$A$5:$A$13,0))</f>
        <v>0.07</v>
      </c>
      <c r="AC607" s="32" t="n">
        <f aca="false">AA607/(1-AB607)-AA607</f>
        <v>9.22824752688173</v>
      </c>
      <c r="AD607" s="32" t="n">
        <f aca="false">ROUND(AA607+AC607,2)</f>
        <v>131.83</v>
      </c>
      <c r="AE607" s="32" t="n">
        <f aca="false">AD607-L607</f>
        <v>2.76000000000002</v>
      </c>
      <c r="AF607" s="34" t="n">
        <f aca="false">IF(L607=0,0,AE607/L607)</f>
        <v>0.0213837452545132</v>
      </c>
      <c r="AG607" s="22" t="str">
        <f aca="false">IF(AD607&lt;L607,"PASSARO","ATUAL")</f>
        <v>ATUAL</v>
      </c>
      <c r="AH607" s="22" t="str">
        <f aca="false">IF(P607&lt;&gt;A607,"Faixa cadastrada como "&amp;P607&amp;" na tabela; preço aplicado pela UF do CEP","")</f>
        <v/>
      </c>
      <c r="AI607" s="26" t="n">
        <v>137.08</v>
      </c>
      <c r="AJ607" s="22" t="str">
        <f aca="false">INDEX('Tabela Passaro'!$X$2:$X$1795,$N607)</f>
        <v>INTERIOR 2</v>
      </c>
    </row>
    <row r="608" customFormat="false" ht="15" hidden="false" customHeight="false" outlineLevel="0" collapsed="false">
      <c r="A608" s="22" t="s">
        <v>16</v>
      </c>
      <c r="B608" s="22" t="n">
        <v>6</v>
      </c>
      <c r="C608" s="22" t="s">
        <v>85</v>
      </c>
      <c r="D608" s="22" t="s">
        <v>30</v>
      </c>
      <c r="E608" s="22" t="s">
        <v>7328</v>
      </c>
      <c r="F608" s="22" t="n">
        <v>2315826</v>
      </c>
      <c r="G608" s="30" t="n">
        <v>46258</v>
      </c>
      <c r="H608" s="22" t="n">
        <v>134966</v>
      </c>
      <c r="I608" s="22" t="s">
        <v>7880</v>
      </c>
      <c r="J608" s="31" t="n">
        <v>59.8</v>
      </c>
      <c r="K608" s="26" t="n">
        <v>1206.57</v>
      </c>
      <c r="L608" s="26" t="n">
        <v>216.33</v>
      </c>
      <c r="M608" s="22" t="s">
        <v>1656</v>
      </c>
      <c r="N608" s="22" t="n">
        <f aca="false">MATCH(M608,'Tabela Passaro'!$A$2:$A$1795,0)</f>
        <v>348</v>
      </c>
      <c r="O608" s="22" t="str">
        <f aca="false">INDEX('Tabela Passaro'!$C$2:$C$1795,$N608)</f>
        <v>JUAZEIRO</v>
      </c>
      <c r="P608" s="22" t="str">
        <f aca="false">INDEX('Tabela Passaro'!$B$2:$B$1795,$N608)</f>
        <v>BA</v>
      </c>
      <c r="Q608" s="22" t="n">
        <f aca="false">INDEX('Tabela Passaro'!$F$2:$F$1795,$N608)</f>
        <v>9</v>
      </c>
      <c r="R608" s="32" t="n">
        <f aca="false">IF(J608&lt;=10,INDEX('Tabela Passaro'!$G$2:$G$1795,$N608),IF(J608&lt;=30,INDEX('Tabela Passaro'!$H$2:$H$1795,$N608),IF(J608&lt;=50,INDEX('Tabela Passaro'!$I$2:$I$1795,$N608),IF(J608&lt;=70,INDEX('Tabela Passaro'!$J$2:$J$1795,$N608),IF(J608&lt;=100,INDEX('Tabela Passaro'!$K$2:$K$1795,$N608),INDEX('Tabela Passaro'!$K$2:$K$1795,$N608)+(J608-100)*INDEX('Tabela Passaro'!$L$2:$L$1795,$N608))))))</f>
        <v>100.65</v>
      </c>
      <c r="S608" s="32" t="n">
        <f aca="false">K608*INDEX('Tabela Passaro'!$M$2:$M$1795,$N608)</f>
        <v>6.03285</v>
      </c>
      <c r="T608" s="32" t="n">
        <f aca="false">K608*INDEX('Tabela Passaro'!$N$2:$N$1795,$N608)</f>
        <v>2.41314</v>
      </c>
      <c r="U608" s="32" t="n">
        <f aca="false">INDEX('Tabela Passaro'!$O$2:$O$1795,$N608)</f>
        <v>5</v>
      </c>
      <c r="V608" s="32" t="n">
        <f aca="false">ROUNDUP(J608/INDEX('Tabela Passaro'!$Q$2:$Q$1795,$N608),0)*INDEX('Tabela Passaro'!$P$2:$P$1795,$N608)</f>
        <v>5</v>
      </c>
      <c r="W608" s="32" t="n">
        <f aca="false">INDEX('Tabela Passaro'!$R$2:$R$1795,$N608)</f>
        <v>30</v>
      </c>
      <c r="X608" s="32" t="n">
        <f aca="false">ROUNDUP(J608/INDEX('Tabela Passaro'!$T$2:$T$1795,$N608),0)*INDEX('Tabela Passaro'!$S$2:$S$1795,$N608)</f>
        <v>0</v>
      </c>
      <c r="Y608" s="32" t="n">
        <f aca="false">INDEX('Tabela Passaro'!$U$2:$U$1795,$N608)</f>
        <v>0</v>
      </c>
      <c r="Z608" s="32" t="n">
        <f aca="false">INDEX('Tabela Passaro'!$V$2:$V$1795,$N608)</f>
        <v>0</v>
      </c>
      <c r="AA608" s="32" t="n">
        <f aca="false">SUM(R608:Z608)</f>
        <v>149.09599</v>
      </c>
      <c r="AB608" s="33" t="n">
        <f aca="false">INDEX(Premissas!$B$5:$B$13,MATCH(A608,Premissas!$A$5:$A$13,0))</f>
        <v>0.07</v>
      </c>
      <c r="AC608" s="32" t="n">
        <f aca="false">AA608/(1-AB608)-AA608</f>
        <v>11.2222788172043</v>
      </c>
      <c r="AD608" s="32" t="n">
        <f aca="false">ROUND(AA608+AC608,2)</f>
        <v>160.32</v>
      </c>
      <c r="AE608" s="32" t="n">
        <f aca="false">AD608-L608</f>
        <v>-56.01</v>
      </c>
      <c r="AF608" s="34" t="n">
        <f aca="false">IF(L608=0,0,AE608/L608)</f>
        <v>-0.25890999861323</v>
      </c>
      <c r="AG608" s="22" t="str">
        <f aca="false">IF(AD608&lt;L608,"PASSARO","ATUAL")</f>
        <v>PASSARO</v>
      </c>
      <c r="AH608" s="22" t="str">
        <f aca="false">IF(P608&lt;&gt;A608,"Faixa cadastrada como "&amp;P608&amp;" na tabela; preço aplicado pela UF do CEP","")</f>
        <v/>
      </c>
      <c r="AI608" s="26" t="n">
        <v>182.4</v>
      </c>
      <c r="AJ608" s="22" t="str">
        <f aca="false">INDEX('Tabela Passaro'!$X$2:$X$1795,$N608)</f>
        <v>INTERIOR 2</v>
      </c>
    </row>
    <row r="609" customFormat="false" ht="15" hidden="false" customHeight="false" outlineLevel="0" collapsed="false">
      <c r="A609" s="22" t="s">
        <v>16</v>
      </c>
      <c r="B609" s="22" t="n">
        <v>6</v>
      </c>
      <c r="C609" s="22" t="s">
        <v>85</v>
      </c>
      <c r="D609" s="22" t="s">
        <v>30</v>
      </c>
      <c r="E609" s="22" t="s">
        <v>7326</v>
      </c>
      <c r="F609" s="22" t="n">
        <v>527035</v>
      </c>
      <c r="G609" s="30" t="n">
        <v>46258</v>
      </c>
      <c r="H609" s="22" t="n">
        <v>628165</v>
      </c>
      <c r="I609" s="22" t="s">
        <v>7881</v>
      </c>
      <c r="J609" s="31" t="n">
        <v>66.4</v>
      </c>
      <c r="K609" s="26" t="n">
        <v>1059.98</v>
      </c>
      <c r="L609" s="26" t="n">
        <v>249.52</v>
      </c>
      <c r="M609" s="22" t="s">
        <v>1656</v>
      </c>
      <c r="N609" s="22" t="n">
        <f aca="false">MATCH(M609,'Tabela Passaro'!$A$2:$A$1795,0)</f>
        <v>348</v>
      </c>
      <c r="O609" s="22" t="str">
        <f aca="false">INDEX('Tabela Passaro'!$C$2:$C$1795,$N609)</f>
        <v>JUAZEIRO</v>
      </c>
      <c r="P609" s="22" t="str">
        <f aca="false">INDEX('Tabela Passaro'!$B$2:$B$1795,$N609)</f>
        <v>BA</v>
      </c>
      <c r="Q609" s="22" t="n">
        <f aca="false">INDEX('Tabela Passaro'!$F$2:$F$1795,$N609)</f>
        <v>9</v>
      </c>
      <c r="R609" s="32" t="n">
        <f aca="false">IF(J609&lt;=10,INDEX('Tabela Passaro'!$G$2:$G$1795,$N609),IF(J609&lt;=30,INDEX('Tabela Passaro'!$H$2:$H$1795,$N609),IF(J609&lt;=50,INDEX('Tabela Passaro'!$I$2:$I$1795,$N609),IF(J609&lt;=70,INDEX('Tabela Passaro'!$J$2:$J$1795,$N609),IF(J609&lt;=100,INDEX('Tabela Passaro'!$K$2:$K$1795,$N609),INDEX('Tabela Passaro'!$K$2:$K$1795,$N609)+(J609-100)*INDEX('Tabela Passaro'!$L$2:$L$1795,$N609))))))</f>
        <v>100.65</v>
      </c>
      <c r="S609" s="32" t="n">
        <f aca="false">K609*INDEX('Tabela Passaro'!$M$2:$M$1795,$N609)</f>
        <v>5.2999</v>
      </c>
      <c r="T609" s="32" t="n">
        <f aca="false">K609*INDEX('Tabela Passaro'!$N$2:$N$1795,$N609)</f>
        <v>2.11996</v>
      </c>
      <c r="U609" s="32" t="n">
        <f aca="false">INDEX('Tabela Passaro'!$O$2:$O$1795,$N609)</f>
        <v>5</v>
      </c>
      <c r="V609" s="32" t="n">
        <f aca="false">ROUNDUP(J609/INDEX('Tabela Passaro'!$Q$2:$Q$1795,$N609),0)*INDEX('Tabela Passaro'!$P$2:$P$1795,$N609)</f>
        <v>5</v>
      </c>
      <c r="W609" s="32" t="n">
        <f aca="false">INDEX('Tabela Passaro'!$R$2:$R$1795,$N609)</f>
        <v>30</v>
      </c>
      <c r="X609" s="32" t="n">
        <f aca="false">ROUNDUP(J609/INDEX('Tabela Passaro'!$T$2:$T$1795,$N609),0)*INDEX('Tabela Passaro'!$S$2:$S$1795,$N609)</f>
        <v>0</v>
      </c>
      <c r="Y609" s="32" t="n">
        <f aca="false">INDEX('Tabela Passaro'!$U$2:$U$1795,$N609)</f>
        <v>0</v>
      </c>
      <c r="Z609" s="32" t="n">
        <f aca="false">INDEX('Tabela Passaro'!$V$2:$V$1795,$N609)</f>
        <v>0</v>
      </c>
      <c r="AA609" s="32" t="n">
        <f aca="false">SUM(R609:Z609)</f>
        <v>148.06986</v>
      </c>
      <c r="AB609" s="33" t="n">
        <f aca="false">INDEX(Premissas!$B$5:$B$13,MATCH(A609,Premissas!$A$5:$A$13,0))</f>
        <v>0.07</v>
      </c>
      <c r="AC609" s="32" t="n">
        <f aca="false">AA609/(1-AB609)-AA609</f>
        <v>11.1450432258065</v>
      </c>
      <c r="AD609" s="32" t="n">
        <f aca="false">ROUND(AA609+AC609,2)</f>
        <v>159.21</v>
      </c>
      <c r="AE609" s="32" t="n">
        <f aca="false">AD609-L609</f>
        <v>-90.31</v>
      </c>
      <c r="AF609" s="34" t="n">
        <f aca="false">IF(L609=0,0,AE609/L609)</f>
        <v>-0.361934915036871</v>
      </c>
      <c r="AG609" s="22" t="str">
        <f aca="false">IF(AD609&lt;L609,"PASSARO","ATUAL")</f>
        <v>PASSARO</v>
      </c>
      <c r="AH609" s="22" t="str">
        <f aca="false">IF(P609&lt;&gt;A609,"Faixa cadastrada como "&amp;P609&amp;" na tabela; preço aplicado pela UF do CEP","")</f>
        <v/>
      </c>
      <c r="AI609" s="26" t="n">
        <v>184.37</v>
      </c>
      <c r="AJ609" s="22" t="str">
        <f aca="false">INDEX('Tabela Passaro'!$X$2:$X$1795,$N609)</f>
        <v>INTERIOR 2</v>
      </c>
    </row>
    <row r="610" customFormat="false" ht="15" hidden="false" customHeight="false" outlineLevel="0" collapsed="false">
      <c r="A610" s="22" t="s">
        <v>16</v>
      </c>
      <c r="B610" s="22" t="n">
        <v>6</v>
      </c>
      <c r="C610" s="22" t="s">
        <v>85</v>
      </c>
      <c r="D610" s="22" t="s">
        <v>30</v>
      </c>
      <c r="E610" s="22" t="s">
        <v>7326</v>
      </c>
      <c r="F610" s="22" t="n">
        <v>527071</v>
      </c>
      <c r="G610" s="30" t="n">
        <v>46258</v>
      </c>
      <c r="H610" s="22" t="n">
        <v>628482</v>
      </c>
      <c r="I610" s="22" t="s">
        <v>7882</v>
      </c>
      <c r="J610" s="31" t="n">
        <v>68.61</v>
      </c>
      <c r="K610" s="26" t="n">
        <v>1259.98</v>
      </c>
      <c r="L610" s="26" t="n">
        <v>251.22</v>
      </c>
      <c r="M610" s="22" t="s">
        <v>1656</v>
      </c>
      <c r="N610" s="22" t="n">
        <f aca="false">MATCH(M610,'Tabela Passaro'!$A$2:$A$1795,0)</f>
        <v>348</v>
      </c>
      <c r="O610" s="22" t="str">
        <f aca="false">INDEX('Tabela Passaro'!$C$2:$C$1795,$N610)</f>
        <v>JUAZEIRO</v>
      </c>
      <c r="P610" s="22" t="str">
        <f aca="false">INDEX('Tabela Passaro'!$B$2:$B$1795,$N610)</f>
        <v>BA</v>
      </c>
      <c r="Q610" s="22" t="n">
        <f aca="false">INDEX('Tabela Passaro'!$F$2:$F$1795,$N610)</f>
        <v>9</v>
      </c>
      <c r="R610" s="32" t="n">
        <f aca="false">IF(J610&lt;=10,INDEX('Tabela Passaro'!$G$2:$G$1795,$N610),IF(J610&lt;=30,INDEX('Tabela Passaro'!$H$2:$H$1795,$N610),IF(J610&lt;=50,INDEX('Tabela Passaro'!$I$2:$I$1795,$N610),IF(J610&lt;=70,INDEX('Tabela Passaro'!$J$2:$J$1795,$N610),IF(J610&lt;=100,INDEX('Tabela Passaro'!$K$2:$K$1795,$N610),INDEX('Tabela Passaro'!$K$2:$K$1795,$N610)+(J610-100)*INDEX('Tabela Passaro'!$L$2:$L$1795,$N610))))))</f>
        <v>100.65</v>
      </c>
      <c r="S610" s="32" t="n">
        <f aca="false">K610*INDEX('Tabela Passaro'!$M$2:$M$1795,$N610)</f>
        <v>6.2999</v>
      </c>
      <c r="T610" s="32" t="n">
        <f aca="false">K610*INDEX('Tabela Passaro'!$N$2:$N$1795,$N610)</f>
        <v>2.51996</v>
      </c>
      <c r="U610" s="32" t="n">
        <f aca="false">INDEX('Tabela Passaro'!$O$2:$O$1795,$N610)</f>
        <v>5</v>
      </c>
      <c r="V610" s="32" t="n">
        <f aca="false">ROUNDUP(J610/INDEX('Tabela Passaro'!$Q$2:$Q$1795,$N610),0)*INDEX('Tabela Passaro'!$P$2:$P$1795,$N610)</f>
        <v>5</v>
      </c>
      <c r="W610" s="32" t="n">
        <f aca="false">INDEX('Tabela Passaro'!$R$2:$R$1795,$N610)</f>
        <v>30</v>
      </c>
      <c r="X610" s="32" t="n">
        <f aca="false">ROUNDUP(J610/INDEX('Tabela Passaro'!$T$2:$T$1795,$N610),0)*INDEX('Tabela Passaro'!$S$2:$S$1795,$N610)</f>
        <v>0</v>
      </c>
      <c r="Y610" s="32" t="n">
        <f aca="false">INDEX('Tabela Passaro'!$U$2:$U$1795,$N610)</f>
        <v>0</v>
      </c>
      <c r="Z610" s="32" t="n">
        <f aca="false">INDEX('Tabela Passaro'!$V$2:$V$1795,$N610)</f>
        <v>0</v>
      </c>
      <c r="AA610" s="32" t="n">
        <f aca="false">SUM(R610:Z610)</f>
        <v>149.46986</v>
      </c>
      <c r="AB610" s="33" t="n">
        <f aca="false">INDEX(Premissas!$B$5:$B$13,MATCH(A610,Premissas!$A$5:$A$13,0))</f>
        <v>0.07</v>
      </c>
      <c r="AC610" s="32" t="n">
        <f aca="false">AA610/(1-AB610)-AA610</f>
        <v>11.2504195698925</v>
      </c>
      <c r="AD610" s="32" t="n">
        <f aca="false">ROUND(AA610+AC610,2)</f>
        <v>160.72</v>
      </c>
      <c r="AE610" s="32" t="n">
        <f aca="false">AD610-L610</f>
        <v>-90.5</v>
      </c>
      <c r="AF610" s="34" t="n">
        <f aca="false">IF(L610=0,0,AE610/L610)</f>
        <v>-0.360242018947536</v>
      </c>
      <c r="AG610" s="22" t="str">
        <f aca="false">IF(AD610&lt;L610,"PASSARO","ATUAL")</f>
        <v>PASSARO</v>
      </c>
      <c r="AH610" s="22" t="str">
        <f aca="false">IF(P610&lt;&gt;A610,"Faixa cadastrada como "&amp;P610&amp;" na tabela; preço aplicado pela UF do CEP","")</f>
        <v/>
      </c>
      <c r="AI610" s="26" t="n">
        <v>187.27</v>
      </c>
      <c r="AJ610" s="22" t="str">
        <f aca="false">INDEX('Tabela Passaro'!$X$2:$X$1795,$N610)</f>
        <v>INTERIOR 2</v>
      </c>
    </row>
    <row r="611" customFormat="false" ht="15" hidden="false" customHeight="false" outlineLevel="0" collapsed="false">
      <c r="A611" s="22" t="s">
        <v>16</v>
      </c>
      <c r="B611" s="22" t="n">
        <v>6</v>
      </c>
      <c r="C611" s="22" t="s">
        <v>85</v>
      </c>
      <c r="D611" s="22" t="s">
        <v>30</v>
      </c>
      <c r="E611" s="22" t="s">
        <v>7328</v>
      </c>
      <c r="F611" s="22" t="n">
        <v>2316543</v>
      </c>
      <c r="G611" s="30" t="n">
        <v>46260</v>
      </c>
      <c r="H611" s="22" t="n">
        <v>135547</v>
      </c>
      <c r="I611" s="22" t="s">
        <v>7883</v>
      </c>
      <c r="J611" s="31" t="n">
        <v>34.4</v>
      </c>
      <c r="K611" s="26" t="n">
        <v>702.96</v>
      </c>
      <c r="L611" s="26" t="n">
        <v>170.14</v>
      </c>
      <c r="M611" s="22" t="s">
        <v>1656</v>
      </c>
      <c r="N611" s="22" t="n">
        <f aca="false">MATCH(M611,'Tabela Passaro'!$A$2:$A$1795,0)</f>
        <v>348</v>
      </c>
      <c r="O611" s="22" t="str">
        <f aca="false">INDEX('Tabela Passaro'!$C$2:$C$1795,$N611)</f>
        <v>JUAZEIRO</v>
      </c>
      <c r="P611" s="22" t="str">
        <f aca="false">INDEX('Tabela Passaro'!$B$2:$B$1795,$N611)</f>
        <v>BA</v>
      </c>
      <c r="Q611" s="22" t="n">
        <f aca="false">INDEX('Tabela Passaro'!$F$2:$F$1795,$N611)</f>
        <v>9</v>
      </c>
      <c r="R611" s="32" t="n">
        <f aca="false">IF(J611&lt;=10,INDEX('Tabela Passaro'!$G$2:$G$1795,$N611),IF(J611&lt;=30,INDEX('Tabela Passaro'!$H$2:$H$1795,$N611),IF(J611&lt;=50,INDEX('Tabela Passaro'!$I$2:$I$1795,$N611),IF(J611&lt;=70,INDEX('Tabela Passaro'!$J$2:$J$1795,$N611),IF(J611&lt;=100,INDEX('Tabela Passaro'!$K$2:$K$1795,$N611),INDEX('Tabela Passaro'!$K$2:$K$1795,$N611)+(J611-100)*INDEX('Tabela Passaro'!$L$2:$L$1795,$N611))))))</f>
        <v>89.14</v>
      </c>
      <c r="S611" s="32" t="n">
        <f aca="false">K611*INDEX('Tabela Passaro'!$M$2:$M$1795,$N611)</f>
        <v>3.5148</v>
      </c>
      <c r="T611" s="32" t="n">
        <f aca="false">K611*INDEX('Tabela Passaro'!$N$2:$N$1795,$N611)</f>
        <v>1.40592</v>
      </c>
      <c r="U611" s="32" t="n">
        <f aca="false">INDEX('Tabela Passaro'!$O$2:$O$1795,$N611)</f>
        <v>5</v>
      </c>
      <c r="V611" s="32" t="n">
        <f aca="false">ROUNDUP(J611/INDEX('Tabela Passaro'!$Q$2:$Q$1795,$N611),0)*INDEX('Tabela Passaro'!$P$2:$P$1795,$N611)</f>
        <v>5</v>
      </c>
      <c r="W611" s="32" t="n">
        <f aca="false">INDEX('Tabela Passaro'!$R$2:$R$1795,$N611)</f>
        <v>30</v>
      </c>
      <c r="X611" s="32" t="n">
        <f aca="false">ROUNDUP(J611/INDEX('Tabela Passaro'!$T$2:$T$1795,$N611),0)*INDEX('Tabela Passaro'!$S$2:$S$1795,$N611)</f>
        <v>0</v>
      </c>
      <c r="Y611" s="32" t="n">
        <f aca="false">INDEX('Tabela Passaro'!$U$2:$U$1795,$N611)</f>
        <v>0</v>
      </c>
      <c r="Z611" s="32" t="n">
        <f aca="false">INDEX('Tabela Passaro'!$V$2:$V$1795,$N611)</f>
        <v>0</v>
      </c>
      <c r="AA611" s="32" t="n">
        <f aca="false">SUM(R611:Z611)</f>
        <v>134.06072</v>
      </c>
      <c r="AB611" s="33" t="n">
        <f aca="false">INDEX(Premissas!$B$5:$B$13,MATCH(A611,Premissas!$A$5:$A$13,0))</f>
        <v>0.07</v>
      </c>
      <c r="AC611" s="32" t="n">
        <f aca="false">AA611/(1-AB611)-AA611</f>
        <v>10.090591827957</v>
      </c>
      <c r="AD611" s="32" t="n">
        <f aca="false">ROUND(AA611+AC611,2)</f>
        <v>144.15</v>
      </c>
      <c r="AE611" s="32" t="n">
        <f aca="false">AD611-L611</f>
        <v>-25.99</v>
      </c>
      <c r="AF611" s="34" t="n">
        <f aca="false">IF(L611=0,0,AE611/L611)</f>
        <v>-0.15275655342659</v>
      </c>
      <c r="AG611" s="22" t="str">
        <f aca="false">IF(AD611&lt;L611,"PASSARO","ATUAL")</f>
        <v>PASSARO</v>
      </c>
      <c r="AH611" s="22" t="str">
        <f aca="false">IF(P611&lt;&gt;A611,"Faixa cadastrada como "&amp;P611&amp;" na tabela; preço aplicado pela UF do CEP","")</f>
        <v/>
      </c>
      <c r="AI611" s="26" t="n">
        <v>152.91</v>
      </c>
      <c r="AJ611" s="22" t="str">
        <f aca="false">INDEX('Tabela Passaro'!$X$2:$X$1795,$N611)</f>
        <v>INTERIOR 2</v>
      </c>
    </row>
    <row r="612" customFormat="false" ht="15" hidden="false" customHeight="false" outlineLevel="0" collapsed="false">
      <c r="A612" s="22" t="s">
        <v>16</v>
      </c>
      <c r="B612" s="22" t="n">
        <v>6</v>
      </c>
      <c r="C612" s="22" t="s">
        <v>85</v>
      </c>
      <c r="D612" s="22" t="s">
        <v>30</v>
      </c>
      <c r="E612" s="22" t="s">
        <v>7326</v>
      </c>
      <c r="F612" s="22" t="n">
        <v>527777</v>
      </c>
      <c r="G612" s="30" t="n">
        <v>46260</v>
      </c>
      <c r="H612" s="22" t="n">
        <v>629475</v>
      </c>
      <c r="I612" s="22" t="s">
        <v>7884</v>
      </c>
      <c r="J612" s="31" t="n">
        <v>45.4</v>
      </c>
      <c r="K612" s="26" t="n">
        <v>726.98</v>
      </c>
      <c r="L612" s="26" t="n">
        <v>192.23</v>
      </c>
      <c r="M612" s="22" t="s">
        <v>1656</v>
      </c>
      <c r="N612" s="22" t="n">
        <f aca="false">MATCH(M612,'Tabela Passaro'!$A$2:$A$1795,0)</f>
        <v>348</v>
      </c>
      <c r="O612" s="22" t="str">
        <f aca="false">INDEX('Tabela Passaro'!$C$2:$C$1795,$N612)</f>
        <v>JUAZEIRO</v>
      </c>
      <c r="P612" s="22" t="str">
        <f aca="false">INDEX('Tabela Passaro'!$B$2:$B$1795,$N612)</f>
        <v>BA</v>
      </c>
      <c r="Q612" s="22" t="n">
        <f aca="false">INDEX('Tabela Passaro'!$F$2:$F$1795,$N612)</f>
        <v>9</v>
      </c>
      <c r="R612" s="32" t="n">
        <f aca="false">IF(J612&lt;=10,INDEX('Tabela Passaro'!$G$2:$G$1795,$N612),IF(J612&lt;=30,INDEX('Tabela Passaro'!$H$2:$H$1795,$N612),IF(J612&lt;=50,INDEX('Tabela Passaro'!$I$2:$I$1795,$N612),IF(J612&lt;=70,INDEX('Tabela Passaro'!$J$2:$J$1795,$N612),IF(J612&lt;=100,INDEX('Tabela Passaro'!$K$2:$K$1795,$N612),INDEX('Tabela Passaro'!$K$2:$K$1795,$N612)+(J612-100)*INDEX('Tabela Passaro'!$L$2:$L$1795,$N612))))))</f>
        <v>89.14</v>
      </c>
      <c r="S612" s="32" t="n">
        <f aca="false">K612*INDEX('Tabela Passaro'!$M$2:$M$1795,$N612)</f>
        <v>3.6349</v>
      </c>
      <c r="T612" s="32" t="n">
        <f aca="false">K612*INDEX('Tabela Passaro'!$N$2:$N$1795,$N612)</f>
        <v>1.45396</v>
      </c>
      <c r="U612" s="32" t="n">
        <f aca="false">INDEX('Tabela Passaro'!$O$2:$O$1795,$N612)</f>
        <v>5</v>
      </c>
      <c r="V612" s="32" t="n">
        <f aca="false">ROUNDUP(J612/INDEX('Tabela Passaro'!$Q$2:$Q$1795,$N612),0)*INDEX('Tabela Passaro'!$P$2:$P$1795,$N612)</f>
        <v>5</v>
      </c>
      <c r="W612" s="32" t="n">
        <f aca="false">INDEX('Tabela Passaro'!$R$2:$R$1795,$N612)</f>
        <v>30</v>
      </c>
      <c r="X612" s="32" t="n">
        <f aca="false">ROUNDUP(J612/INDEX('Tabela Passaro'!$T$2:$T$1795,$N612),0)*INDEX('Tabela Passaro'!$S$2:$S$1795,$N612)</f>
        <v>0</v>
      </c>
      <c r="Y612" s="32" t="n">
        <f aca="false">INDEX('Tabela Passaro'!$U$2:$U$1795,$N612)</f>
        <v>0</v>
      </c>
      <c r="Z612" s="32" t="n">
        <f aca="false">INDEX('Tabela Passaro'!$V$2:$V$1795,$N612)</f>
        <v>0</v>
      </c>
      <c r="AA612" s="32" t="n">
        <f aca="false">SUM(R612:Z612)</f>
        <v>134.22886</v>
      </c>
      <c r="AB612" s="33" t="n">
        <f aca="false">INDEX(Premissas!$B$5:$B$13,MATCH(A612,Premissas!$A$5:$A$13,0))</f>
        <v>0.07</v>
      </c>
      <c r="AC612" s="32" t="n">
        <f aca="false">AA612/(1-AB612)-AA612</f>
        <v>10.1032475268817</v>
      </c>
      <c r="AD612" s="32" t="n">
        <f aca="false">ROUND(AA612+AC612,2)</f>
        <v>144.33</v>
      </c>
      <c r="AE612" s="32" t="n">
        <f aca="false">AD612-L612</f>
        <v>-47.9</v>
      </c>
      <c r="AF612" s="34" t="n">
        <f aca="false">IF(L612=0,0,AE612/L612)</f>
        <v>-0.249180668990272</v>
      </c>
      <c r="AG612" s="22" t="str">
        <f aca="false">IF(AD612&lt;L612,"PASSARO","ATUAL")</f>
        <v>PASSARO</v>
      </c>
      <c r="AH612" s="22" t="str">
        <f aca="false">IF(P612&lt;&gt;A612,"Faixa cadastrada como "&amp;P612&amp;" na tabela; preço aplicado pela UF do CEP","")</f>
        <v/>
      </c>
      <c r="AI612" s="26" t="n">
        <v>158.47</v>
      </c>
      <c r="AJ612" s="22" t="str">
        <f aca="false">INDEX('Tabela Passaro'!$X$2:$X$1795,$N612)</f>
        <v>INTERIOR 2</v>
      </c>
    </row>
    <row r="613" customFormat="false" ht="15" hidden="false" customHeight="false" outlineLevel="0" collapsed="false">
      <c r="A613" s="22" t="s">
        <v>16</v>
      </c>
      <c r="B613" s="22" t="n">
        <v>6</v>
      </c>
      <c r="C613" s="22" t="s">
        <v>85</v>
      </c>
      <c r="D613" s="22" t="s">
        <v>31</v>
      </c>
      <c r="E613" s="22" t="s">
        <v>7326</v>
      </c>
      <c r="F613" s="22" t="n">
        <v>12743739</v>
      </c>
      <c r="G613" s="30" t="n">
        <v>46240</v>
      </c>
      <c r="H613" s="22" t="n">
        <v>621031</v>
      </c>
      <c r="I613" s="22" t="s">
        <v>7885</v>
      </c>
      <c r="J613" s="31" t="n">
        <v>14</v>
      </c>
      <c r="K613" s="26" t="n">
        <v>369.98</v>
      </c>
      <c r="L613" s="26" t="n">
        <v>45.71</v>
      </c>
      <c r="M613" s="22" t="s">
        <v>1656</v>
      </c>
      <c r="N613" s="22" t="n">
        <f aca="false">MATCH(M613,'Tabela Passaro'!$A$2:$A$1795,0)</f>
        <v>348</v>
      </c>
      <c r="O613" s="22" t="str">
        <f aca="false">INDEX('Tabela Passaro'!$C$2:$C$1795,$N613)</f>
        <v>JUAZEIRO</v>
      </c>
      <c r="P613" s="22" t="str">
        <f aca="false">INDEX('Tabela Passaro'!$B$2:$B$1795,$N613)</f>
        <v>BA</v>
      </c>
      <c r="Q613" s="22" t="n">
        <f aca="false">INDEX('Tabela Passaro'!$F$2:$F$1795,$N613)</f>
        <v>9</v>
      </c>
      <c r="R613" s="32" t="n">
        <f aca="false">IF(J613&lt;=10,INDEX('Tabela Passaro'!$G$2:$G$1795,$N613),IF(J613&lt;=30,INDEX('Tabela Passaro'!$H$2:$H$1795,$N613),IF(J613&lt;=50,INDEX('Tabela Passaro'!$I$2:$I$1795,$N613),IF(J613&lt;=70,INDEX('Tabela Passaro'!$J$2:$J$1795,$N613),IF(J613&lt;=100,INDEX('Tabela Passaro'!$K$2:$K$1795,$N613),INDEX('Tabela Passaro'!$K$2:$K$1795,$N613)+(J613-100)*INDEX('Tabela Passaro'!$L$2:$L$1795,$N613))))))</f>
        <v>77.62</v>
      </c>
      <c r="S613" s="32" t="n">
        <f aca="false">K613*INDEX('Tabela Passaro'!$M$2:$M$1795,$N613)</f>
        <v>1.8499</v>
      </c>
      <c r="T613" s="32" t="n">
        <f aca="false">K613*INDEX('Tabela Passaro'!$N$2:$N$1795,$N613)</f>
        <v>0.73996</v>
      </c>
      <c r="U613" s="32" t="n">
        <f aca="false">INDEX('Tabela Passaro'!$O$2:$O$1795,$N613)</f>
        <v>5</v>
      </c>
      <c r="V613" s="32" t="n">
        <f aca="false">ROUNDUP(J613/INDEX('Tabela Passaro'!$Q$2:$Q$1795,$N613),0)*INDEX('Tabela Passaro'!$P$2:$P$1795,$N613)</f>
        <v>5</v>
      </c>
      <c r="W613" s="32" t="n">
        <f aca="false">INDEX('Tabela Passaro'!$R$2:$R$1795,$N613)</f>
        <v>30</v>
      </c>
      <c r="X613" s="32" t="n">
        <f aca="false">ROUNDUP(J613/INDEX('Tabela Passaro'!$T$2:$T$1795,$N613),0)*INDEX('Tabela Passaro'!$S$2:$S$1795,$N613)</f>
        <v>0</v>
      </c>
      <c r="Y613" s="32" t="n">
        <f aca="false">INDEX('Tabela Passaro'!$U$2:$U$1795,$N613)</f>
        <v>0</v>
      </c>
      <c r="Z613" s="32" t="n">
        <f aca="false">INDEX('Tabela Passaro'!$V$2:$V$1795,$N613)</f>
        <v>0</v>
      </c>
      <c r="AA613" s="32" t="n">
        <f aca="false">SUM(R613:Z613)</f>
        <v>120.20986</v>
      </c>
      <c r="AB613" s="33" t="n">
        <f aca="false">INDEX(Premissas!$B$5:$B$13,MATCH(A613,Premissas!$A$5:$A$13,0))</f>
        <v>0.07</v>
      </c>
      <c r="AC613" s="32" t="n">
        <f aca="false">AA613/(1-AB613)-AA613</f>
        <v>9.04805397849462</v>
      </c>
      <c r="AD613" s="32" t="n">
        <f aca="false">ROUND(AA613+AC613,2)</f>
        <v>129.26</v>
      </c>
      <c r="AE613" s="32" t="n">
        <f aca="false">AD613-L613</f>
        <v>83.55</v>
      </c>
      <c r="AF613" s="34" t="n">
        <f aca="false">IF(L613=0,0,AE613/L613)</f>
        <v>1.82782760883833</v>
      </c>
      <c r="AG613" s="22" t="str">
        <f aca="false">IF(AD613&lt;L613,"PASSARO","ATUAL")</f>
        <v>ATUAL</v>
      </c>
      <c r="AH613" s="22" t="str">
        <f aca="false">IF(P613&lt;&gt;A613,"Faixa cadastrada como "&amp;P613&amp;" na tabela; preço aplicado pela UF do CEP","")</f>
        <v/>
      </c>
      <c r="AI613" s="26" t="n">
        <v>127</v>
      </c>
      <c r="AJ613" s="22" t="str">
        <f aca="false">INDEX('Tabela Passaro'!$X$2:$X$1795,$N613)</f>
        <v>INTERIOR 2</v>
      </c>
    </row>
    <row r="614" customFormat="false" ht="15" hidden="false" customHeight="false" outlineLevel="0" collapsed="false">
      <c r="A614" s="22" t="s">
        <v>16</v>
      </c>
      <c r="B614" s="22" t="n">
        <v>6</v>
      </c>
      <c r="C614" s="22" t="s">
        <v>85</v>
      </c>
      <c r="D614" s="22" t="s">
        <v>31</v>
      </c>
      <c r="E614" s="22" t="s">
        <v>7326</v>
      </c>
      <c r="F614" s="22" t="n">
        <v>12749594</v>
      </c>
      <c r="G614" s="30" t="n">
        <v>46241</v>
      </c>
      <c r="H614" s="22" t="n">
        <v>621459</v>
      </c>
      <c r="I614" s="22" t="s">
        <v>7886</v>
      </c>
      <c r="J614" s="31" t="n">
        <v>20.8</v>
      </c>
      <c r="K614" s="26" t="n">
        <v>607.35</v>
      </c>
      <c r="L614" s="26" t="n">
        <v>86.82</v>
      </c>
      <c r="M614" s="22" t="s">
        <v>1656</v>
      </c>
      <c r="N614" s="22" t="n">
        <f aca="false">MATCH(M614,'Tabela Passaro'!$A$2:$A$1795,0)</f>
        <v>348</v>
      </c>
      <c r="O614" s="22" t="str">
        <f aca="false">INDEX('Tabela Passaro'!$C$2:$C$1795,$N614)</f>
        <v>JUAZEIRO</v>
      </c>
      <c r="P614" s="22" t="str">
        <f aca="false">INDEX('Tabela Passaro'!$B$2:$B$1795,$N614)</f>
        <v>BA</v>
      </c>
      <c r="Q614" s="22" t="n">
        <f aca="false">INDEX('Tabela Passaro'!$F$2:$F$1795,$N614)</f>
        <v>9</v>
      </c>
      <c r="R614" s="32" t="n">
        <f aca="false">IF(J614&lt;=10,INDEX('Tabela Passaro'!$G$2:$G$1795,$N614),IF(J614&lt;=30,INDEX('Tabela Passaro'!$H$2:$H$1795,$N614),IF(J614&lt;=50,INDEX('Tabela Passaro'!$I$2:$I$1795,$N614),IF(J614&lt;=70,INDEX('Tabela Passaro'!$J$2:$J$1795,$N614),IF(J614&lt;=100,INDEX('Tabela Passaro'!$K$2:$K$1795,$N614),INDEX('Tabela Passaro'!$K$2:$K$1795,$N614)+(J614-100)*INDEX('Tabela Passaro'!$L$2:$L$1795,$N614))))))</f>
        <v>77.62</v>
      </c>
      <c r="S614" s="32" t="n">
        <f aca="false">K614*INDEX('Tabela Passaro'!$M$2:$M$1795,$N614)</f>
        <v>3.03675</v>
      </c>
      <c r="T614" s="32" t="n">
        <f aca="false">K614*INDEX('Tabela Passaro'!$N$2:$N$1795,$N614)</f>
        <v>1.2147</v>
      </c>
      <c r="U614" s="32" t="n">
        <f aca="false">INDEX('Tabela Passaro'!$O$2:$O$1795,$N614)</f>
        <v>5</v>
      </c>
      <c r="V614" s="32" t="n">
        <f aca="false">ROUNDUP(J614/INDEX('Tabela Passaro'!$Q$2:$Q$1795,$N614),0)*INDEX('Tabela Passaro'!$P$2:$P$1795,$N614)</f>
        <v>5</v>
      </c>
      <c r="W614" s="32" t="n">
        <f aca="false">INDEX('Tabela Passaro'!$R$2:$R$1795,$N614)</f>
        <v>30</v>
      </c>
      <c r="X614" s="32" t="n">
        <f aca="false">ROUNDUP(J614/INDEX('Tabela Passaro'!$T$2:$T$1795,$N614),0)*INDEX('Tabela Passaro'!$S$2:$S$1795,$N614)</f>
        <v>0</v>
      </c>
      <c r="Y614" s="32" t="n">
        <f aca="false">INDEX('Tabela Passaro'!$U$2:$U$1795,$N614)</f>
        <v>0</v>
      </c>
      <c r="Z614" s="32" t="n">
        <f aca="false">INDEX('Tabela Passaro'!$V$2:$V$1795,$N614)</f>
        <v>0</v>
      </c>
      <c r="AA614" s="32" t="n">
        <f aca="false">SUM(R614:Z614)</f>
        <v>121.87145</v>
      </c>
      <c r="AB614" s="33" t="n">
        <f aca="false">INDEX(Premissas!$B$5:$B$13,MATCH(A614,Premissas!$A$5:$A$13,0))</f>
        <v>0.07</v>
      </c>
      <c r="AC614" s="32" t="n">
        <f aca="false">AA614/(1-AB614)-AA614</f>
        <v>9.17311989247313</v>
      </c>
      <c r="AD614" s="32" t="n">
        <f aca="false">ROUND(AA614+AC614,2)</f>
        <v>131.04</v>
      </c>
      <c r="AE614" s="32" t="n">
        <f aca="false">AD614-L614</f>
        <v>44.22</v>
      </c>
      <c r="AF614" s="34" t="n">
        <f aca="false">IF(L614=0,0,AE614/L614)</f>
        <v>0.509329647546648</v>
      </c>
      <c r="AG614" s="22" t="str">
        <f aca="false">IF(AD614&lt;L614,"PASSARO","ATUAL")</f>
        <v>ATUAL</v>
      </c>
      <c r="AH614" s="22" t="str">
        <f aca="false">IF(P614&lt;&gt;A614,"Faixa cadastrada como "&amp;P614&amp;" na tabela; preço aplicado pela UF do CEP","")</f>
        <v/>
      </c>
      <c r="AI614" s="26" t="n">
        <v>132.68</v>
      </c>
      <c r="AJ614" s="22" t="str">
        <f aca="false">INDEX('Tabela Passaro'!$X$2:$X$1795,$N614)</f>
        <v>INTERIOR 2</v>
      </c>
    </row>
    <row r="615" customFormat="false" ht="15" hidden="false" customHeight="false" outlineLevel="0" collapsed="false">
      <c r="A615" s="22" t="s">
        <v>16</v>
      </c>
      <c r="B615" s="22" t="n">
        <v>6</v>
      </c>
      <c r="C615" s="22" t="s">
        <v>85</v>
      </c>
      <c r="D615" s="22" t="s">
        <v>31</v>
      </c>
      <c r="E615" s="22" t="s">
        <v>7326</v>
      </c>
      <c r="F615" s="22" t="n">
        <v>12808573</v>
      </c>
      <c r="G615" s="30" t="n">
        <v>46252</v>
      </c>
      <c r="H615" s="22" t="n">
        <v>626071</v>
      </c>
      <c r="I615" s="22" t="s">
        <v>7887</v>
      </c>
      <c r="J615" s="31" t="n">
        <v>19.4</v>
      </c>
      <c r="K615" s="26" t="n">
        <v>451.25</v>
      </c>
      <c r="L615" s="26" t="n">
        <v>76.67</v>
      </c>
      <c r="M615" s="22" t="s">
        <v>1656</v>
      </c>
      <c r="N615" s="22" t="n">
        <f aca="false">MATCH(M615,'Tabela Passaro'!$A$2:$A$1795,0)</f>
        <v>348</v>
      </c>
      <c r="O615" s="22" t="str">
        <f aca="false">INDEX('Tabela Passaro'!$C$2:$C$1795,$N615)</f>
        <v>JUAZEIRO</v>
      </c>
      <c r="P615" s="22" t="str">
        <f aca="false">INDEX('Tabela Passaro'!$B$2:$B$1795,$N615)</f>
        <v>BA</v>
      </c>
      <c r="Q615" s="22" t="n">
        <f aca="false">INDEX('Tabela Passaro'!$F$2:$F$1795,$N615)</f>
        <v>9</v>
      </c>
      <c r="R615" s="32" t="n">
        <f aca="false">IF(J615&lt;=10,INDEX('Tabela Passaro'!$G$2:$G$1795,$N615),IF(J615&lt;=30,INDEX('Tabela Passaro'!$H$2:$H$1795,$N615),IF(J615&lt;=50,INDEX('Tabela Passaro'!$I$2:$I$1795,$N615),IF(J615&lt;=70,INDEX('Tabela Passaro'!$J$2:$J$1795,$N615),IF(J615&lt;=100,INDEX('Tabela Passaro'!$K$2:$K$1795,$N615),INDEX('Tabela Passaro'!$K$2:$K$1795,$N615)+(J615-100)*INDEX('Tabela Passaro'!$L$2:$L$1795,$N615))))))</f>
        <v>77.62</v>
      </c>
      <c r="S615" s="32" t="n">
        <f aca="false">K615*INDEX('Tabela Passaro'!$M$2:$M$1795,$N615)</f>
        <v>2.25625</v>
      </c>
      <c r="T615" s="32" t="n">
        <f aca="false">K615*INDEX('Tabela Passaro'!$N$2:$N$1795,$N615)</f>
        <v>0.9025</v>
      </c>
      <c r="U615" s="32" t="n">
        <f aca="false">INDEX('Tabela Passaro'!$O$2:$O$1795,$N615)</f>
        <v>5</v>
      </c>
      <c r="V615" s="32" t="n">
        <f aca="false">ROUNDUP(J615/INDEX('Tabela Passaro'!$Q$2:$Q$1795,$N615),0)*INDEX('Tabela Passaro'!$P$2:$P$1795,$N615)</f>
        <v>5</v>
      </c>
      <c r="W615" s="32" t="n">
        <f aca="false">INDEX('Tabela Passaro'!$R$2:$R$1795,$N615)</f>
        <v>30</v>
      </c>
      <c r="X615" s="32" t="n">
        <f aca="false">ROUNDUP(J615/INDEX('Tabela Passaro'!$T$2:$T$1795,$N615),0)*INDEX('Tabela Passaro'!$S$2:$S$1795,$N615)</f>
        <v>0</v>
      </c>
      <c r="Y615" s="32" t="n">
        <f aca="false">INDEX('Tabela Passaro'!$U$2:$U$1795,$N615)</f>
        <v>0</v>
      </c>
      <c r="Z615" s="32" t="n">
        <f aca="false">INDEX('Tabela Passaro'!$V$2:$V$1795,$N615)</f>
        <v>0</v>
      </c>
      <c r="AA615" s="32" t="n">
        <f aca="false">SUM(R615:Z615)</f>
        <v>120.77875</v>
      </c>
      <c r="AB615" s="33" t="n">
        <f aca="false">INDEX(Premissas!$B$5:$B$13,MATCH(A615,Premissas!$A$5:$A$13,0))</f>
        <v>0.07</v>
      </c>
      <c r="AC615" s="32" t="n">
        <f aca="false">AA615/(1-AB615)-AA615</f>
        <v>9.09087365591398</v>
      </c>
      <c r="AD615" s="32" t="n">
        <f aca="false">ROUND(AA615+AC615,2)</f>
        <v>129.87</v>
      </c>
      <c r="AE615" s="32" t="n">
        <f aca="false">AD615-L615</f>
        <v>53.2</v>
      </c>
      <c r="AF615" s="34" t="n">
        <f aca="false">IF(L615=0,0,AE615/L615)</f>
        <v>0.693882874657624</v>
      </c>
      <c r="AG615" s="22" t="str">
        <f aca="false">IF(AD615&lt;L615,"PASSARO","ATUAL")</f>
        <v>ATUAL</v>
      </c>
      <c r="AH615" s="22" t="str">
        <f aca="false">IF(P615&lt;&gt;A615,"Faixa cadastrada como "&amp;P615&amp;" na tabela; preço aplicado pela UF do CEP","")</f>
        <v/>
      </c>
      <c r="AI615" s="26" t="n">
        <v>130.69</v>
      </c>
      <c r="AJ615" s="22" t="str">
        <f aca="false">INDEX('Tabela Passaro'!$X$2:$X$1795,$N615)</f>
        <v>INTERIOR 2</v>
      </c>
    </row>
    <row r="616" customFormat="false" ht="15" hidden="false" customHeight="false" outlineLevel="0" collapsed="false">
      <c r="A616" s="22" t="s">
        <v>16</v>
      </c>
      <c r="B616" s="22" t="n">
        <v>7</v>
      </c>
      <c r="C616" s="22" t="s">
        <v>87</v>
      </c>
      <c r="D616" s="22" t="s">
        <v>33</v>
      </c>
      <c r="E616" s="22" t="s">
        <v>7399</v>
      </c>
      <c r="F616" s="22" t="n">
        <v>1851825</v>
      </c>
      <c r="G616" s="30" t="n">
        <v>46247</v>
      </c>
      <c r="H616" s="22" t="n">
        <v>133387</v>
      </c>
      <c r="I616" s="22" t="s">
        <v>7888</v>
      </c>
      <c r="J616" s="31" t="n">
        <v>67.3</v>
      </c>
      <c r="K616" s="26" t="n">
        <v>1014.95</v>
      </c>
      <c r="L616" s="26" t="n">
        <v>214.2</v>
      </c>
      <c r="M616" s="22" t="s">
        <v>697</v>
      </c>
      <c r="N616" s="22" t="n">
        <f aca="false">MATCH(M616,'Tabela Passaro'!$A$2:$A$1795,0)</f>
        <v>107</v>
      </c>
      <c r="O616" s="22" t="str">
        <f aca="false">INDEX('Tabela Passaro'!$C$2:$C$1795,$N616)</f>
        <v>SIMOES FILHO</v>
      </c>
      <c r="P616" s="22" t="str">
        <f aca="false">INDEX('Tabela Passaro'!$B$2:$B$1795,$N616)</f>
        <v>BA</v>
      </c>
      <c r="Q616" s="22" t="n">
        <f aca="false">INDEX('Tabela Passaro'!$F$2:$F$1795,$N616)</f>
        <v>6</v>
      </c>
      <c r="R616" s="32" t="n">
        <f aca="false">IF(J616&lt;=10,INDEX('Tabela Passaro'!$G$2:$G$1795,$N616),IF(J616&lt;=30,INDEX('Tabela Passaro'!$H$2:$H$1795,$N616),IF(J616&lt;=50,INDEX('Tabela Passaro'!$I$2:$I$1795,$N616),IF(J616&lt;=70,INDEX('Tabela Passaro'!$J$2:$J$1795,$N616),IF(J616&lt;=100,INDEX('Tabela Passaro'!$K$2:$K$1795,$N616),INDEX('Tabela Passaro'!$K$2:$K$1795,$N616)+(J616-100)*INDEX('Tabela Passaro'!$L$2:$L$1795,$N616))))))</f>
        <v>73.44</v>
      </c>
      <c r="S616" s="32" t="n">
        <f aca="false">K616*INDEX('Tabela Passaro'!$M$2:$M$1795,$N616)</f>
        <v>5.07475</v>
      </c>
      <c r="T616" s="32" t="n">
        <f aca="false">K616*INDEX('Tabela Passaro'!$N$2:$N$1795,$N616)</f>
        <v>2.0299</v>
      </c>
      <c r="U616" s="32" t="n">
        <f aca="false">INDEX('Tabela Passaro'!$O$2:$O$1795,$N616)</f>
        <v>5</v>
      </c>
      <c r="V616" s="32" t="n">
        <f aca="false">ROUNDUP(J616/INDEX('Tabela Passaro'!$Q$2:$Q$1795,$N616),0)*INDEX('Tabela Passaro'!$P$2:$P$1795,$N616)</f>
        <v>5</v>
      </c>
      <c r="W616" s="32" t="n">
        <f aca="false">INDEX('Tabela Passaro'!$R$2:$R$1795,$N616)</f>
        <v>30</v>
      </c>
      <c r="X616" s="32" t="n">
        <f aca="false">ROUNDUP(J616/INDEX('Tabela Passaro'!$T$2:$T$1795,$N616),0)*INDEX('Tabela Passaro'!$S$2:$S$1795,$N616)</f>
        <v>0</v>
      </c>
      <c r="Y616" s="32" t="n">
        <f aca="false">INDEX('Tabela Passaro'!$U$2:$U$1795,$N616)</f>
        <v>0</v>
      </c>
      <c r="Z616" s="32" t="n">
        <f aca="false">INDEX('Tabela Passaro'!$V$2:$V$1795,$N616)</f>
        <v>0</v>
      </c>
      <c r="AA616" s="32" t="n">
        <f aca="false">SUM(R616:Z616)</f>
        <v>120.54465</v>
      </c>
      <c r="AB616" s="33" t="n">
        <f aca="false">INDEX(Premissas!$B$5:$B$13,MATCH(A616,Premissas!$A$5:$A$13,0))</f>
        <v>0.07</v>
      </c>
      <c r="AC616" s="32" t="n">
        <f aca="false">AA616/(1-AB616)-AA616</f>
        <v>9.07325322580645</v>
      </c>
      <c r="AD616" s="32" t="n">
        <f aca="false">ROUND(AA616+AC616,2)</f>
        <v>129.62</v>
      </c>
      <c r="AE616" s="32" t="n">
        <f aca="false">AD616-L616</f>
        <v>-84.58</v>
      </c>
      <c r="AF616" s="34" t="n">
        <f aca="false">IF(L616=0,0,AE616/L616)</f>
        <v>-0.394864612511671</v>
      </c>
      <c r="AG616" s="22" t="str">
        <f aca="false">IF(AD616&lt;L616,"PASSARO","ATUAL")</f>
        <v>PASSARO</v>
      </c>
      <c r="AH616" s="22" t="str">
        <f aca="false">IF(P616&lt;&gt;A616,"Faixa cadastrada como "&amp;P616&amp;" na tabela; preço aplicado pela UF do CEP","")</f>
        <v/>
      </c>
      <c r="AI616" s="26" t="n">
        <v>170.96</v>
      </c>
      <c r="AJ616" s="22" t="str">
        <f aca="false">INDEX('Tabela Passaro'!$X$2:$X$1795,$N616)</f>
        <v>CAPITAL</v>
      </c>
    </row>
    <row r="617" customFormat="false" ht="15" hidden="false" customHeight="false" outlineLevel="0" collapsed="false">
      <c r="A617" s="22" t="s">
        <v>16</v>
      </c>
      <c r="B617" s="22" t="n">
        <v>7</v>
      </c>
      <c r="C617" s="22" t="s">
        <v>87</v>
      </c>
      <c r="D617" s="22" t="s">
        <v>30</v>
      </c>
      <c r="E617" s="22" t="s">
        <v>20</v>
      </c>
      <c r="F617" s="22" t="n">
        <v>837704</v>
      </c>
      <c r="G617" s="30" t="n">
        <v>46237</v>
      </c>
      <c r="H617" s="22" t="n">
        <v>32381</v>
      </c>
      <c r="I617" s="22" t="s">
        <v>7889</v>
      </c>
      <c r="J617" s="31" t="n">
        <v>38.6</v>
      </c>
      <c r="K617" s="26" t="n">
        <v>694.58</v>
      </c>
      <c r="L617" s="26" t="n">
        <v>152.51</v>
      </c>
      <c r="M617" s="22" t="s">
        <v>697</v>
      </c>
      <c r="N617" s="22" t="n">
        <f aca="false">MATCH(M617,'Tabela Passaro'!$A$2:$A$1795,0)</f>
        <v>107</v>
      </c>
      <c r="O617" s="22" t="str">
        <f aca="false">INDEX('Tabela Passaro'!$C$2:$C$1795,$N617)</f>
        <v>SIMOES FILHO</v>
      </c>
      <c r="P617" s="22" t="str">
        <f aca="false">INDEX('Tabela Passaro'!$B$2:$B$1795,$N617)</f>
        <v>BA</v>
      </c>
      <c r="Q617" s="22" t="n">
        <f aca="false">INDEX('Tabela Passaro'!$F$2:$F$1795,$N617)</f>
        <v>6</v>
      </c>
      <c r="R617" s="32" t="n">
        <f aca="false">IF(J617&lt;=10,INDEX('Tabela Passaro'!$G$2:$G$1795,$N617),IF(J617&lt;=30,INDEX('Tabela Passaro'!$H$2:$H$1795,$N617),IF(J617&lt;=50,INDEX('Tabela Passaro'!$I$2:$I$1795,$N617),IF(J617&lt;=70,INDEX('Tabela Passaro'!$J$2:$J$1795,$N617),IF(J617&lt;=100,INDEX('Tabela Passaro'!$K$2:$K$1795,$N617),INDEX('Tabela Passaro'!$K$2:$K$1795,$N617)+(J617-100)*INDEX('Tabela Passaro'!$L$2:$L$1795,$N617))))))</f>
        <v>61.92</v>
      </c>
      <c r="S617" s="32" t="n">
        <f aca="false">K617*INDEX('Tabela Passaro'!$M$2:$M$1795,$N617)</f>
        <v>3.4729</v>
      </c>
      <c r="T617" s="32" t="n">
        <f aca="false">K617*INDEX('Tabela Passaro'!$N$2:$N$1795,$N617)</f>
        <v>1.38916</v>
      </c>
      <c r="U617" s="32" t="n">
        <f aca="false">INDEX('Tabela Passaro'!$O$2:$O$1795,$N617)</f>
        <v>5</v>
      </c>
      <c r="V617" s="32" t="n">
        <f aca="false">ROUNDUP(J617/INDEX('Tabela Passaro'!$Q$2:$Q$1795,$N617),0)*INDEX('Tabela Passaro'!$P$2:$P$1795,$N617)</f>
        <v>5</v>
      </c>
      <c r="W617" s="32" t="n">
        <f aca="false">INDEX('Tabela Passaro'!$R$2:$R$1795,$N617)</f>
        <v>30</v>
      </c>
      <c r="X617" s="32" t="n">
        <f aca="false">ROUNDUP(J617/INDEX('Tabela Passaro'!$T$2:$T$1795,$N617),0)*INDEX('Tabela Passaro'!$S$2:$S$1795,$N617)</f>
        <v>0</v>
      </c>
      <c r="Y617" s="32" t="n">
        <f aca="false">INDEX('Tabela Passaro'!$U$2:$U$1795,$N617)</f>
        <v>0</v>
      </c>
      <c r="Z617" s="32" t="n">
        <f aca="false">INDEX('Tabela Passaro'!$V$2:$V$1795,$N617)</f>
        <v>0</v>
      </c>
      <c r="AA617" s="32" t="n">
        <f aca="false">SUM(R617:Z617)</f>
        <v>106.78206</v>
      </c>
      <c r="AB617" s="33" t="n">
        <f aca="false">INDEX(Premissas!$B$5:$B$13,MATCH(A617,Premissas!$A$5:$A$13,0))</f>
        <v>0.07</v>
      </c>
      <c r="AC617" s="32" t="n">
        <f aca="false">AA617/(1-AB617)-AA617</f>
        <v>8.03735935483871</v>
      </c>
      <c r="AD617" s="32" t="n">
        <f aca="false">ROUND(AA617+AC617,2)</f>
        <v>114.82</v>
      </c>
      <c r="AE617" s="32" t="n">
        <f aca="false">AD617-L617</f>
        <v>-37.69</v>
      </c>
      <c r="AF617" s="34" t="n">
        <f aca="false">IF(L617=0,0,AE617/L617)</f>
        <v>-0.247131335650121</v>
      </c>
      <c r="AG617" s="22" t="str">
        <f aca="false">IF(AD617&lt;L617,"PASSARO","ATUAL")</f>
        <v>PASSARO</v>
      </c>
      <c r="AH617" s="22" t="str">
        <f aca="false">IF(P617&lt;&gt;A617,"Faixa cadastrada como "&amp;P617&amp;" na tabela; preço aplicado pela UF do CEP","")</f>
        <v/>
      </c>
      <c r="AI617" s="26" t="n">
        <v>141.3</v>
      </c>
      <c r="AJ617" s="22" t="str">
        <f aca="false">INDEX('Tabela Passaro'!$X$2:$X$1795,$N617)</f>
        <v>CAPITAL</v>
      </c>
    </row>
    <row r="618" customFormat="false" ht="15" hidden="false" customHeight="false" outlineLevel="0" collapsed="false">
      <c r="A618" s="22" t="s">
        <v>16</v>
      </c>
      <c r="B618" s="22" t="n">
        <v>7</v>
      </c>
      <c r="C618" s="22" t="s">
        <v>87</v>
      </c>
      <c r="D618" s="22" t="s">
        <v>30</v>
      </c>
      <c r="E618" s="22" t="s">
        <v>7328</v>
      </c>
      <c r="F618" s="22" t="n">
        <v>2307867</v>
      </c>
      <c r="G618" s="30" t="n">
        <v>46239</v>
      </c>
      <c r="H618" s="22" t="n">
        <v>131850</v>
      </c>
      <c r="I618" s="22" t="s">
        <v>7889</v>
      </c>
      <c r="J618" s="31" t="n">
        <v>29.2</v>
      </c>
      <c r="K618" s="26" t="n">
        <v>594.98</v>
      </c>
      <c r="L618" s="26" t="n">
        <v>117.59</v>
      </c>
      <c r="M618" s="22" t="s">
        <v>697</v>
      </c>
      <c r="N618" s="22" t="n">
        <f aca="false">MATCH(M618,'Tabela Passaro'!$A$2:$A$1795,0)</f>
        <v>107</v>
      </c>
      <c r="O618" s="22" t="str">
        <f aca="false">INDEX('Tabela Passaro'!$C$2:$C$1795,$N618)</f>
        <v>SIMOES FILHO</v>
      </c>
      <c r="P618" s="22" t="str">
        <f aca="false">INDEX('Tabela Passaro'!$B$2:$B$1795,$N618)</f>
        <v>BA</v>
      </c>
      <c r="Q618" s="22" t="n">
        <f aca="false">INDEX('Tabela Passaro'!$F$2:$F$1795,$N618)</f>
        <v>6</v>
      </c>
      <c r="R618" s="32" t="n">
        <f aca="false">IF(J618&lt;=10,INDEX('Tabela Passaro'!$G$2:$G$1795,$N618),IF(J618&lt;=30,INDEX('Tabela Passaro'!$H$2:$H$1795,$N618),IF(J618&lt;=50,INDEX('Tabela Passaro'!$I$2:$I$1795,$N618),IF(J618&lt;=70,INDEX('Tabela Passaro'!$J$2:$J$1795,$N618),IF(J618&lt;=100,INDEX('Tabela Passaro'!$K$2:$K$1795,$N618),INDEX('Tabela Passaro'!$K$2:$K$1795,$N618)+(J618-100)*INDEX('Tabela Passaro'!$L$2:$L$1795,$N618))))))</f>
        <v>50.4</v>
      </c>
      <c r="S618" s="32" t="n">
        <f aca="false">K618*INDEX('Tabela Passaro'!$M$2:$M$1795,$N618)</f>
        <v>2.9749</v>
      </c>
      <c r="T618" s="32" t="n">
        <f aca="false">K618*INDEX('Tabela Passaro'!$N$2:$N$1795,$N618)</f>
        <v>1.18996</v>
      </c>
      <c r="U618" s="32" t="n">
        <f aca="false">INDEX('Tabela Passaro'!$O$2:$O$1795,$N618)</f>
        <v>5</v>
      </c>
      <c r="V618" s="32" t="n">
        <f aca="false">ROUNDUP(J618/INDEX('Tabela Passaro'!$Q$2:$Q$1795,$N618),0)*INDEX('Tabela Passaro'!$P$2:$P$1795,$N618)</f>
        <v>5</v>
      </c>
      <c r="W618" s="32" t="n">
        <f aca="false">INDEX('Tabela Passaro'!$R$2:$R$1795,$N618)</f>
        <v>30</v>
      </c>
      <c r="X618" s="32" t="n">
        <f aca="false">ROUNDUP(J618/INDEX('Tabela Passaro'!$T$2:$T$1795,$N618),0)*INDEX('Tabela Passaro'!$S$2:$S$1795,$N618)</f>
        <v>0</v>
      </c>
      <c r="Y618" s="32" t="n">
        <f aca="false">INDEX('Tabela Passaro'!$U$2:$U$1795,$N618)</f>
        <v>0</v>
      </c>
      <c r="Z618" s="32" t="n">
        <f aca="false">INDEX('Tabela Passaro'!$V$2:$V$1795,$N618)</f>
        <v>0</v>
      </c>
      <c r="AA618" s="32" t="n">
        <f aca="false">SUM(R618:Z618)</f>
        <v>94.56486</v>
      </c>
      <c r="AB618" s="33" t="n">
        <f aca="false">INDEX(Premissas!$B$5:$B$13,MATCH(A618,Premissas!$A$5:$A$13,0))</f>
        <v>0.07</v>
      </c>
      <c r="AC618" s="32" t="n">
        <f aca="false">AA618/(1-AB618)-AA618</f>
        <v>7.11778516129033</v>
      </c>
      <c r="AD618" s="32" t="n">
        <f aca="false">ROUND(AA618+AC618,2)</f>
        <v>101.68</v>
      </c>
      <c r="AE618" s="32" t="n">
        <f aca="false">AD618-L618</f>
        <v>-15.91</v>
      </c>
      <c r="AF618" s="34" t="n">
        <f aca="false">IF(L618=0,0,AE618/L618)</f>
        <v>-0.135300620801088</v>
      </c>
      <c r="AG618" s="22" t="str">
        <f aca="false">IF(AD618&lt;L618,"PASSARO","ATUAL")</f>
        <v>PASSARO</v>
      </c>
      <c r="AH618" s="22" t="str">
        <f aca="false">IF(P618&lt;&gt;A618,"Faixa cadastrada como "&amp;P618&amp;" na tabela; preço aplicado pela UF do CEP","")</f>
        <v/>
      </c>
      <c r="AI618" s="26" t="n">
        <v>123.46</v>
      </c>
      <c r="AJ618" s="22" t="str">
        <f aca="false">INDEX('Tabela Passaro'!$X$2:$X$1795,$N618)</f>
        <v>CAPITAL</v>
      </c>
    </row>
    <row r="619" customFormat="false" ht="15" hidden="false" customHeight="false" outlineLevel="0" collapsed="false">
      <c r="A619" s="22" t="s">
        <v>16</v>
      </c>
      <c r="B619" s="22" t="n">
        <v>7</v>
      </c>
      <c r="C619" s="22" t="s">
        <v>87</v>
      </c>
      <c r="D619" s="22" t="s">
        <v>30</v>
      </c>
      <c r="E619" s="22" t="s">
        <v>7326</v>
      </c>
      <c r="F619" s="22" t="n">
        <v>522625</v>
      </c>
      <c r="G619" s="30" t="n">
        <v>46239</v>
      </c>
      <c r="H619" s="22" t="n">
        <v>620533</v>
      </c>
      <c r="I619" s="22" t="s">
        <v>7890</v>
      </c>
      <c r="J619" s="31" t="n">
        <v>107.7</v>
      </c>
      <c r="K619" s="26" t="n">
        <v>1597.36</v>
      </c>
      <c r="L619" s="26" t="n">
        <v>313.73</v>
      </c>
      <c r="M619" s="22" t="s">
        <v>697</v>
      </c>
      <c r="N619" s="22" t="n">
        <f aca="false">MATCH(M619,'Tabela Passaro'!$A$2:$A$1795,0)</f>
        <v>107</v>
      </c>
      <c r="O619" s="22" t="str">
        <f aca="false">INDEX('Tabela Passaro'!$C$2:$C$1795,$N619)</f>
        <v>SIMOES FILHO</v>
      </c>
      <c r="P619" s="22" t="str">
        <f aca="false">INDEX('Tabela Passaro'!$B$2:$B$1795,$N619)</f>
        <v>BA</v>
      </c>
      <c r="Q619" s="22" t="n">
        <f aca="false">INDEX('Tabela Passaro'!$F$2:$F$1795,$N619)</f>
        <v>6</v>
      </c>
      <c r="R619" s="32" t="n">
        <f aca="false">IF(J619&lt;=10,INDEX('Tabela Passaro'!$G$2:$G$1795,$N619),IF(J619&lt;=30,INDEX('Tabela Passaro'!$H$2:$H$1795,$N619),IF(J619&lt;=50,INDEX('Tabela Passaro'!$I$2:$I$1795,$N619),IF(J619&lt;=70,INDEX('Tabela Passaro'!$J$2:$J$1795,$N619),IF(J619&lt;=100,INDEX('Tabela Passaro'!$K$2:$K$1795,$N619),INDEX('Tabela Passaro'!$K$2:$K$1795,$N619)+(J619-100)*INDEX('Tabela Passaro'!$L$2:$L$1795,$N619))))))</f>
        <v>93.892</v>
      </c>
      <c r="S619" s="32" t="n">
        <f aca="false">K619*INDEX('Tabela Passaro'!$M$2:$M$1795,$N619)</f>
        <v>7.9868</v>
      </c>
      <c r="T619" s="32" t="n">
        <f aca="false">K619*INDEX('Tabela Passaro'!$N$2:$N$1795,$N619)</f>
        <v>3.19472</v>
      </c>
      <c r="U619" s="32" t="n">
        <f aca="false">INDEX('Tabela Passaro'!$O$2:$O$1795,$N619)</f>
        <v>5</v>
      </c>
      <c r="V619" s="32" t="n">
        <f aca="false">ROUNDUP(J619/INDEX('Tabela Passaro'!$Q$2:$Q$1795,$N619),0)*INDEX('Tabela Passaro'!$P$2:$P$1795,$N619)</f>
        <v>10</v>
      </c>
      <c r="W619" s="32" t="n">
        <f aca="false">INDEX('Tabela Passaro'!$R$2:$R$1795,$N619)</f>
        <v>30</v>
      </c>
      <c r="X619" s="32" t="n">
        <f aca="false">ROUNDUP(J619/INDEX('Tabela Passaro'!$T$2:$T$1795,$N619),0)*INDEX('Tabela Passaro'!$S$2:$S$1795,$N619)</f>
        <v>0</v>
      </c>
      <c r="Y619" s="32" t="n">
        <f aca="false">INDEX('Tabela Passaro'!$U$2:$U$1795,$N619)</f>
        <v>0</v>
      </c>
      <c r="Z619" s="32" t="n">
        <f aca="false">INDEX('Tabela Passaro'!$V$2:$V$1795,$N619)</f>
        <v>0</v>
      </c>
      <c r="AA619" s="32" t="n">
        <f aca="false">SUM(R619:Z619)</f>
        <v>150.07352</v>
      </c>
      <c r="AB619" s="33" t="n">
        <f aca="false">INDEX(Premissas!$B$5:$B$13,MATCH(A619,Premissas!$A$5:$A$13,0))</f>
        <v>0.07</v>
      </c>
      <c r="AC619" s="32" t="n">
        <f aca="false">AA619/(1-AB619)-AA619</f>
        <v>11.295856344086</v>
      </c>
      <c r="AD619" s="32" t="n">
        <f aca="false">ROUND(AA619+AC619,2)</f>
        <v>161.37</v>
      </c>
      <c r="AE619" s="32" t="n">
        <f aca="false">AD619-L619</f>
        <v>-152.36</v>
      </c>
      <c r="AF619" s="34" t="n">
        <f aca="false">IF(L619=0,0,AE619/L619)</f>
        <v>-0.485640518917541</v>
      </c>
      <c r="AG619" s="22" t="str">
        <f aca="false">IF(AD619&lt;L619,"PASSARO","ATUAL")</f>
        <v>PASSARO</v>
      </c>
      <c r="AH619" s="22" t="str">
        <f aca="false">IF(P619&lt;&gt;A619,"Faixa cadastrada como "&amp;P619&amp;" na tabela; preço aplicado pela UF do CEP","")</f>
        <v/>
      </c>
      <c r="AI619" s="26" t="n">
        <v>224.69</v>
      </c>
      <c r="AJ619" s="22" t="str">
        <f aca="false">INDEX('Tabela Passaro'!$X$2:$X$1795,$N619)</f>
        <v>CAPITAL</v>
      </c>
    </row>
    <row r="620" customFormat="false" ht="15" hidden="false" customHeight="false" outlineLevel="0" collapsed="false">
      <c r="A620" s="22" t="s">
        <v>16</v>
      </c>
      <c r="B620" s="22" t="n">
        <v>7</v>
      </c>
      <c r="C620" s="22" t="s">
        <v>87</v>
      </c>
      <c r="D620" s="22" t="s">
        <v>30</v>
      </c>
      <c r="E620" s="22" t="s">
        <v>16</v>
      </c>
      <c r="F620" s="22" t="n">
        <v>206139</v>
      </c>
      <c r="G620" s="30" t="n">
        <v>46244</v>
      </c>
      <c r="H620" s="22" t="n">
        <v>611419</v>
      </c>
      <c r="I620" s="22" t="s">
        <v>7891</v>
      </c>
      <c r="J620" s="31" t="n">
        <v>39.4</v>
      </c>
      <c r="K620" s="26" t="n">
        <v>829.98</v>
      </c>
      <c r="L620" s="26" t="n">
        <v>182.49</v>
      </c>
      <c r="M620" s="22" t="s">
        <v>697</v>
      </c>
      <c r="N620" s="22" t="n">
        <f aca="false">MATCH(M620,'Tabela Passaro'!$A$2:$A$1795,0)</f>
        <v>107</v>
      </c>
      <c r="O620" s="22" t="str">
        <f aca="false">INDEX('Tabela Passaro'!$C$2:$C$1795,$N620)</f>
        <v>SIMOES FILHO</v>
      </c>
      <c r="P620" s="22" t="str">
        <f aca="false">INDEX('Tabela Passaro'!$B$2:$B$1795,$N620)</f>
        <v>BA</v>
      </c>
      <c r="Q620" s="22" t="n">
        <f aca="false">INDEX('Tabela Passaro'!$F$2:$F$1795,$N620)</f>
        <v>6</v>
      </c>
      <c r="R620" s="32" t="n">
        <f aca="false">IF(J620&lt;=10,INDEX('Tabela Passaro'!$G$2:$G$1795,$N620),IF(J620&lt;=30,INDEX('Tabela Passaro'!$H$2:$H$1795,$N620),IF(J620&lt;=50,INDEX('Tabela Passaro'!$I$2:$I$1795,$N620),IF(J620&lt;=70,INDEX('Tabela Passaro'!$J$2:$J$1795,$N620),IF(J620&lt;=100,INDEX('Tabela Passaro'!$K$2:$K$1795,$N620),INDEX('Tabela Passaro'!$K$2:$K$1795,$N620)+(J620-100)*INDEX('Tabela Passaro'!$L$2:$L$1795,$N620))))))</f>
        <v>61.92</v>
      </c>
      <c r="S620" s="32" t="n">
        <f aca="false">K620*INDEX('Tabela Passaro'!$M$2:$M$1795,$N620)</f>
        <v>4.1499</v>
      </c>
      <c r="T620" s="32" t="n">
        <f aca="false">K620*INDEX('Tabela Passaro'!$N$2:$N$1795,$N620)</f>
        <v>1.65996</v>
      </c>
      <c r="U620" s="32" t="n">
        <f aca="false">INDEX('Tabela Passaro'!$O$2:$O$1795,$N620)</f>
        <v>5</v>
      </c>
      <c r="V620" s="32" t="n">
        <f aca="false">ROUNDUP(J620/INDEX('Tabela Passaro'!$Q$2:$Q$1795,$N620),0)*INDEX('Tabela Passaro'!$P$2:$P$1795,$N620)</f>
        <v>5</v>
      </c>
      <c r="W620" s="32" t="n">
        <f aca="false">INDEX('Tabela Passaro'!$R$2:$R$1795,$N620)</f>
        <v>30</v>
      </c>
      <c r="X620" s="32" t="n">
        <f aca="false">ROUNDUP(J620/INDEX('Tabela Passaro'!$T$2:$T$1795,$N620),0)*INDEX('Tabela Passaro'!$S$2:$S$1795,$N620)</f>
        <v>0</v>
      </c>
      <c r="Y620" s="32" t="n">
        <f aca="false">INDEX('Tabela Passaro'!$U$2:$U$1795,$N620)</f>
        <v>0</v>
      </c>
      <c r="Z620" s="32" t="n">
        <f aca="false">INDEX('Tabela Passaro'!$V$2:$V$1795,$N620)</f>
        <v>0</v>
      </c>
      <c r="AA620" s="32" t="n">
        <f aca="false">SUM(R620:Z620)</f>
        <v>107.72986</v>
      </c>
      <c r="AB620" s="33" t="n">
        <f aca="false">INDEX(Premissas!$B$5:$B$13,MATCH(A620,Premissas!$A$5:$A$13,0))</f>
        <v>0.07</v>
      </c>
      <c r="AC620" s="32" t="n">
        <f aca="false">AA620/(1-AB620)-AA620</f>
        <v>8.10869913978496</v>
      </c>
      <c r="AD620" s="32" t="n">
        <f aca="false">ROUND(AA620+AC620,2)</f>
        <v>115.84</v>
      </c>
      <c r="AE620" s="32" t="n">
        <f aca="false">AD620-L620</f>
        <v>-66.65</v>
      </c>
      <c r="AF620" s="34" t="n">
        <f aca="false">IF(L620=0,0,AE620/L620)</f>
        <v>-0.36522549180777</v>
      </c>
      <c r="AG620" s="22" t="str">
        <f aca="false">IF(AD620&lt;L620,"PASSARO","ATUAL")</f>
        <v>PASSARO</v>
      </c>
      <c r="AH620" s="22" t="str">
        <f aca="false">IF(P620&lt;&gt;A620,"Faixa cadastrada como "&amp;P620&amp;" na tabela; preço aplicado pela UF do CEP","")</f>
        <v/>
      </c>
      <c r="AI620" s="26" t="n">
        <v>143.1</v>
      </c>
      <c r="AJ620" s="22" t="str">
        <f aca="false">INDEX('Tabela Passaro'!$X$2:$X$1795,$N620)</f>
        <v>CAPITAL</v>
      </c>
    </row>
    <row r="621" customFormat="false" ht="15" hidden="false" customHeight="false" outlineLevel="0" collapsed="false">
      <c r="A621" s="22" t="s">
        <v>16</v>
      </c>
      <c r="B621" s="22" t="n">
        <v>7</v>
      </c>
      <c r="C621" s="22" t="s">
        <v>87</v>
      </c>
      <c r="D621" s="22" t="s">
        <v>30</v>
      </c>
      <c r="E621" s="22" t="s">
        <v>7326</v>
      </c>
      <c r="F621" s="22" t="n">
        <v>523880</v>
      </c>
      <c r="G621" s="30" t="n">
        <v>46245</v>
      </c>
      <c r="H621" s="22" t="n">
        <v>623727</v>
      </c>
      <c r="I621" s="22" t="s">
        <v>7892</v>
      </c>
      <c r="J621" s="31" t="n">
        <v>7.14</v>
      </c>
      <c r="K621" s="26" t="n">
        <v>585.62</v>
      </c>
      <c r="L621" s="26" t="n">
        <v>84.39</v>
      </c>
      <c r="M621" s="22" t="s">
        <v>697</v>
      </c>
      <c r="N621" s="22" t="n">
        <f aca="false">MATCH(M621,'Tabela Passaro'!$A$2:$A$1795,0)</f>
        <v>107</v>
      </c>
      <c r="O621" s="22" t="str">
        <f aca="false">INDEX('Tabela Passaro'!$C$2:$C$1795,$N621)</f>
        <v>SIMOES FILHO</v>
      </c>
      <c r="P621" s="22" t="str">
        <f aca="false">INDEX('Tabela Passaro'!$B$2:$B$1795,$N621)</f>
        <v>BA</v>
      </c>
      <c r="Q621" s="22" t="n">
        <f aca="false">INDEX('Tabela Passaro'!$F$2:$F$1795,$N621)</f>
        <v>6</v>
      </c>
      <c r="R621" s="32" t="n">
        <f aca="false">IF(J621&lt;=10,INDEX('Tabela Passaro'!$G$2:$G$1795,$N621),IF(J621&lt;=30,INDEX('Tabela Passaro'!$H$2:$H$1795,$N621),IF(J621&lt;=50,INDEX('Tabela Passaro'!$I$2:$I$1795,$N621),IF(J621&lt;=70,INDEX('Tabela Passaro'!$J$2:$J$1795,$N621),IF(J621&lt;=100,INDEX('Tabela Passaro'!$K$2:$K$1795,$N621),INDEX('Tabela Passaro'!$K$2:$K$1795,$N621)+(J621-100)*INDEX('Tabela Passaro'!$L$2:$L$1795,$N621))))))</f>
        <v>38.88</v>
      </c>
      <c r="S621" s="32" t="n">
        <f aca="false">K621*INDEX('Tabela Passaro'!$M$2:$M$1795,$N621)</f>
        <v>2.9281</v>
      </c>
      <c r="T621" s="32" t="n">
        <f aca="false">K621*INDEX('Tabela Passaro'!$N$2:$N$1795,$N621)</f>
        <v>1.17124</v>
      </c>
      <c r="U621" s="32" t="n">
        <f aca="false">INDEX('Tabela Passaro'!$O$2:$O$1795,$N621)</f>
        <v>5</v>
      </c>
      <c r="V621" s="32" t="n">
        <f aca="false">ROUNDUP(J621/INDEX('Tabela Passaro'!$Q$2:$Q$1795,$N621),0)*INDEX('Tabela Passaro'!$P$2:$P$1795,$N621)</f>
        <v>5</v>
      </c>
      <c r="W621" s="32" t="n">
        <f aca="false">INDEX('Tabela Passaro'!$R$2:$R$1795,$N621)</f>
        <v>30</v>
      </c>
      <c r="X621" s="32" t="n">
        <f aca="false">ROUNDUP(J621/INDEX('Tabela Passaro'!$T$2:$T$1795,$N621),0)*INDEX('Tabela Passaro'!$S$2:$S$1795,$N621)</f>
        <v>0</v>
      </c>
      <c r="Y621" s="32" t="n">
        <f aca="false">INDEX('Tabela Passaro'!$U$2:$U$1795,$N621)</f>
        <v>0</v>
      </c>
      <c r="Z621" s="32" t="n">
        <f aca="false">INDEX('Tabela Passaro'!$V$2:$V$1795,$N621)</f>
        <v>0</v>
      </c>
      <c r="AA621" s="32" t="n">
        <f aca="false">SUM(R621:Z621)</f>
        <v>82.97934</v>
      </c>
      <c r="AB621" s="33" t="n">
        <f aca="false">INDEX(Premissas!$B$5:$B$13,MATCH(A621,Premissas!$A$5:$A$13,0))</f>
        <v>0.07</v>
      </c>
      <c r="AC621" s="32" t="n">
        <f aca="false">AA621/(1-AB621)-AA621</f>
        <v>6.24575677419355</v>
      </c>
      <c r="AD621" s="32" t="n">
        <f aca="false">ROUND(AA621+AC621,2)</f>
        <v>89.23</v>
      </c>
      <c r="AE621" s="32" t="n">
        <f aca="false">AD621-L621</f>
        <v>4.84</v>
      </c>
      <c r="AF621" s="34" t="n">
        <f aca="false">IF(L621=0,0,AE621/L621)</f>
        <v>0.0573527669155114</v>
      </c>
      <c r="AG621" s="22" t="str">
        <f aca="false">IF(AD621&lt;L621,"PASSARO","ATUAL")</f>
        <v>ATUAL</v>
      </c>
      <c r="AH621" s="22" t="str">
        <f aca="false">IF(P621&lt;&gt;A621,"Faixa cadastrada como "&amp;P621&amp;" na tabela; preço aplicado pela UF do CEP","")</f>
        <v/>
      </c>
      <c r="AI621" s="26" t="n">
        <v>100.19</v>
      </c>
      <c r="AJ621" s="22" t="str">
        <f aca="false">INDEX('Tabela Passaro'!$X$2:$X$1795,$N621)</f>
        <v>CAPITAL</v>
      </c>
    </row>
    <row r="622" customFormat="false" ht="15" hidden="false" customHeight="false" outlineLevel="0" collapsed="false">
      <c r="A622" s="22" t="s">
        <v>16</v>
      </c>
      <c r="B622" s="22" t="n">
        <v>7</v>
      </c>
      <c r="C622" s="22" t="s">
        <v>87</v>
      </c>
      <c r="D622" s="22" t="s">
        <v>30</v>
      </c>
      <c r="E622" s="22" t="s">
        <v>7328</v>
      </c>
      <c r="F622" s="22" t="n">
        <v>2312335</v>
      </c>
      <c r="G622" s="30" t="n">
        <v>46248</v>
      </c>
      <c r="H622" s="22" t="n">
        <v>133239</v>
      </c>
      <c r="I622" s="22" t="s">
        <v>7893</v>
      </c>
      <c r="J622" s="31" t="n">
        <v>134.4</v>
      </c>
      <c r="K622" s="26" t="n">
        <v>1867.98</v>
      </c>
      <c r="L622" s="26" t="n">
        <v>278.59</v>
      </c>
      <c r="M622" s="22" t="s">
        <v>697</v>
      </c>
      <c r="N622" s="22" t="n">
        <f aca="false">MATCH(M622,'Tabela Passaro'!$A$2:$A$1795,0)</f>
        <v>107</v>
      </c>
      <c r="O622" s="22" t="str">
        <f aca="false">INDEX('Tabela Passaro'!$C$2:$C$1795,$N622)</f>
        <v>SIMOES FILHO</v>
      </c>
      <c r="P622" s="22" t="str">
        <f aca="false">INDEX('Tabela Passaro'!$B$2:$B$1795,$N622)</f>
        <v>BA</v>
      </c>
      <c r="Q622" s="22" t="n">
        <f aca="false">INDEX('Tabela Passaro'!$F$2:$F$1795,$N622)</f>
        <v>6</v>
      </c>
      <c r="R622" s="32" t="n">
        <f aca="false">IF(J622&lt;=10,INDEX('Tabela Passaro'!$G$2:$G$1795,$N622),IF(J622&lt;=30,INDEX('Tabela Passaro'!$H$2:$H$1795,$N622),IF(J622&lt;=50,INDEX('Tabela Passaro'!$I$2:$I$1795,$N622),IF(J622&lt;=70,INDEX('Tabela Passaro'!$J$2:$J$1795,$N622),IF(J622&lt;=100,INDEX('Tabela Passaro'!$K$2:$K$1795,$N622),INDEX('Tabela Passaro'!$K$2:$K$1795,$N622)+(J622-100)*INDEX('Tabela Passaro'!$L$2:$L$1795,$N622))))))</f>
        <v>124.864</v>
      </c>
      <c r="S622" s="32" t="n">
        <f aca="false">K622*INDEX('Tabela Passaro'!$M$2:$M$1795,$N622)</f>
        <v>9.3399</v>
      </c>
      <c r="T622" s="32" t="n">
        <f aca="false">K622*INDEX('Tabela Passaro'!$N$2:$N$1795,$N622)</f>
        <v>3.73596</v>
      </c>
      <c r="U622" s="32" t="n">
        <f aca="false">INDEX('Tabela Passaro'!$O$2:$O$1795,$N622)</f>
        <v>5</v>
      </c>
      <c r="V622" s="32" t="n">
        <f aca="false">ROUNDUP(J622/INDEX('Tabela Passaro'!$Q$2:$Q$1795,$N622),0)*INDEX('Tabela Passaro'!$P$2:$P$1795,$N622)</f>
        <v>10</v>
      </c>
      <c r="W622" s="32" t="n">
        <f aca="false">INDEX('Tabela Passaro'!$R$2:$R$1795,$N622)</f>
        <v>30</v>
      </c>
      <c r="X622" s="32" t="n">
        <f aca="false">ROUNDUP(J622/INDEX('Tabela Passaro'!$T$2:$T$1795,$N622),0)*INDEX('Tabela Passaro'!$S$2:$S$1795,$N622)</f>
        <v>0</v>
      </c>
      <c r="Y622" s="32" t="n">
        <f aca="false">INDEX('Tabela Passaro'!$U$2:$U$1795,$N622)</f>
        <v>0</v>
      </c>
      <c r="Z622" s="32" t="n">
        <f aca="false">INDEX('Tabela Passaro'!$V$2:$V$1795,$N622)</f>
        <v>0</v>
      </c>
      <c r="AA622" s="32" t="n">
        <f aca="false">SUM(R622:Z622)</f>
        <v>182.93986</v>
      </c>
      <c r="AB622" s="33" t="n">
        <f aca="false">INDEX(Premissas!$B$5:$B$13,MATCH(A622,Premissas!$A$5:$A$13,0))</f>
        <v>0.07</v>
      </c>
      <c r="AC622" s="32" t="n">
        <f aca="false">AA622/(1-AB622)-AA622</f>
        <v>13.7696668817204</v>
      </c>
      <c r="AD622" s="32" t="n">
        <f aca="false">ROUND(AA622+AC622,2)</f>
        <v>196.71</v>
      </c>
      <c r="AE622" s="32" t="n">
        <f aca="false">AD622-L622</f>
        <v>-81.88</v>
      </c>
      <c r="AF622" s="34" t="n">
        <f aca="false">IF(L622=0,0,AE622/L622)</f>
        <v>-0.29390861122079</v>
      </c>
      <c r="AG622" s="22" t="str">
        <f aca="false">IF(AD622&lt;L622,"PASSARO","ATUAL")</f>
        <v>PASSARO</v>
      </c>
      <c r="AH622" s="22" t="str">
        <f aca="false">IF(P622&lt;&gt;A622,"Faixa cadastrada como "&amp;P622&amp;" na tabela; preço aplicado pela UF do CEP","")</f>
        <v/>
      </c>
      <c r="AI622" s="26" t="n">
        <v>277.98</v>
      </c>
      <c r="AJ622" s="22" t="str">
        <f aca="false">INDEX('Tabela Passaro'!$X$2:$X$1795,$N622)</f>
        <v>CAPITAL</v>
      </c>
    </row>
    <row r="623" customFormat="false" ht="15" hidden="false" customHeight="false" outlineLevel="0" collapsed="false">
      <c r="A623" s="22" t="s">
        <v>16</v>
      </c>
      <c r="B623" s="22" t="n">
        <v>7</v>
      </c>
      <c r="C623" s="22" t="s">
        <v>87</v>
      </c>
      <c r="D623" s="22" t="s">
        <v>30</v>
      </c>
      <c r="E623" s="22" t="s">
        <v>7328</v>
      </c>
      <c r="F623" s="22" t="n">
        <v>2312404</v>
      </c>
      <c r="G623" s="30" t="n">
        <v>46248</v>
      </c>
      <c r="H623" s="22" t="n">
        <v>133322</v>
      </c>
      <c r="I623" s="22" t="s">
        <v>7894</v>
      </c>
      <c r="J623" s="31" t="n">
        <v>61.3</v>
      </c>
      <c r="K623" s="26" t="n">
        <v>853.39</v>
      </c>
      <c r="L623" s="26" t="n">
        <v>189.27</v>
      </c>
      <c r="M623" s="22" t="s">
        <v>697</v>
      </c>
      <c r="N623" s="22" t="n">
        <f aca="false">MATCH(M623,'Tabela Passaro'!$A$2:$A$1795,0)</f>
        <v>107</v>
      </c>
      <c r="O623" s="22" t="str">
        <f aca="false">INDEX('Tabela Passaro'!$C$2:$C$1795,$N623)</f>
        <v>SIMOES FILHO</v>
      </c>
      <c r="P623" s="22" t="str">
        <f aca="false">INDEX('Tabela Passaro'!$B$2:$B$1795,$N623)</f>
        <v>BA</v>
      </c>
      <c r="Q623" s="22" t="n">
        <f aca="false">INDEX('Tabela Passaro'!$F$2:$F$1795,$N623)</f>
        <v>6</v>
      </c>
      <c r="R623" s="32" t="n">
        <f aca="false">IF(J623&lt;=10,INDEX('Tabela Passaro'!$G$2:$G$1795,$N623),IF(J623&lt;=30,INDEX('Tabela Passaro'!$H$2:$H$1795,$N623),IF(J623&lt;=50,INDEX('Tabela Passaro'!$I$2:$I$1795,$N623),IF(J623&lt;=70,INDEX('Tabela Passaro'!$J$2:$J$1795,$N623),IF(J623&lt;=100,INDEX('Tabela Passaro'!$K$2:$K$1795,$N623),INDEX('Tabela Passaro'!$K$2:$K$1795,$N623)+(J623-100)*INDEX('Tabela Passaro'!$L$2:$L$1795,$N623))))))</f>
        <v>73.44</v>
      </c>
      <c r="S623" s="32" t="n">
        <f aca="false">K623*INDEX('Tabela Passaro'!$M$2:$M$1795,$N623)</f>
        <v>4.26695</v>
      </c>
      <c r="T623" s="32" t="n">
        <f aca="false">K623*INDEX('Tabela Passaro'!$N$2:$N$1795,$N623)</f>
        <v>1.70678</v>
      </c>
      <c r="U623" s="32" t="n">
        <f aca="false">INDEX('Tabela Passaro'!$O$2:$O$1795,$N623)</f>
        <v>5</v>
      </c>
      <c r="V623" s="32" t="n">
        <f aca="false">ROUNDUP(J623/INDEX('Tabela Passaro'!$Q$2:$Q$1795,$N623),0)*INDEX('Tabela Passaro'!$P$2:$P$1795,$N623)</f>
        <v>5</v>
      </c>
      <c r="W623" s="32" t="n">
        <f aca="false">INDEX('Tabela Passaro'!$R$2:$R$1795,$N623)</f>
        <v>30</v>
      </c>
      <c r="X623" s="32" t="n">
        <f aca="false">ROUNDUP(J623/INDEX('Tabela Passaro'!$T$2:$T$1795,$N623),0)*INDEX('Tabela Passaro'!$S$2:$S$1795,$N623)</f>
        <v>0</v>
      </c>
      <c r="Y623" s="32" t="n">
        <f aca="false">INDEX('Tabela Passaro'!$U$2:$U$1795,$N623)</f>
        <v>0</v>
      </c>
      <c r="Z623" s="32" t="n">
        <f aca="false">INDEX('Tabela Passaro'!$V$2:$V$1795,$N623)</f>
        <v>0</v>
      </c>
      <c r="AA623" s="32" t="n">
        <f aca="false">SUM(R623:Z623)</f>
        <v>119.41373</v>
      </c>
      <c r="AB623" s="33" t="n">
        <f aca="false">INDEX(Premissas!$B$5:$B$13,MATCH(A623,Premissas!$A$5:$A$13,0))</f>
        <v>0.07</v>
      </c>
      <c r="AC623" s="32" t="n">
        <f aca="false">AA623/(1-AB623)-AA623</f>
        <v>8.98813021505377</v>
      </c>
      <c r="AD623" s="32" t="n">
        <f aca="false">ROUND(AA623+AC623,2)</f>
        <v>128.4</v>
      </c>
      <c r="AE623" s="32" t="n">
        <f aca="false">AD623-L623</f>
        <v>-60.87</v>
      </c>
      <c r="AF623" s="34" t="n">
        <f aca="false">IF(L623=0,0,AE623/L623)</f>
        <v>-0.321604057695356</v>
      </c>
      <c r="AG623" s="22" t="str">
        <f aca="false">IF(AD623&lt;L623,"PASSARO","ATUAL")</f>
        <v>PASSARO</v>
      </c>
      <c r="AH623" s="22" t="str">
        <f aca="false">IF(P623&lt;&gt;A623,"Faixa cadastrada como "&amp;P623&amp;" na tabela; preço aplicado pela UF do CEP","")</f>
        <v/>
      </c>
      <c r="AI623" s="26" t="n">
        <v>166.5</v>
      </c>
      <c r="AJ623" s="22" t="str">
        <f aca="false">INDEX('Tabela Passaro'!$X$2:$X$1795,$N623)</f>
        <v>CAPITAL</v>
      </c>
    </row>
    <row r="624" customFormat="false" ht="15" hidden="false" customHeight="false" outlineLevel="0" collapsed="false">
      <c r="A624" s="22" t="s">
        <v>16</v>
      </c>
      <c r="B624" s="22" t="n">
        <v>7</v>
      </c>
      <c r="C624" s="22" t="s">
        <v>87</v>
      </c>
      <c r="D624" s="22" t="s">
        <v>30</v>
      </c>
      <c r="E624" s="22" t="s">
        <v>7328</v>
      </c>
      <c r="F624" s="22" t="n">
        <v>2312456</v>
      </c>
      <c r="G624" s="30" t="n">
        <v>46248</v>
      </c>
      <c r="H624" s="22" t="n">
        <v>133353</v>
      </c>
      <c r="I624" s="22" t="s">
        <v>7895</v>
      </c>
      <c r="J624" s="31" t="n">
        <v>58.9</v>
      </c>
      <c r="K624" s="26" t="n">
        <v>820.47</v>
      </c>
      <c r="L624" s="26" t="n">
        <v>189</v>
      </c>
      <c r="M624" s="22" t="s">
        <v>697</v>
      </c>
      <c r="N624" s="22" t="n">
        <f aca="false">MATCH(M624,'Tabela Passaro'!$A$2:$A$1795,0)</f>
        <v>107</v>
      </c>
      <c r="O624" s="22" t="str">
        <f aca="false">INDEX('Tabela Passaro'!$C$2:$C$1795,$N624)</f>
        <v>SIMOES FILHO</v>
      </c>
      <c r="P624" s="22" t="str">
        <f aca="false">INDEX('Tabela Passaro'!$B$2:$B$1795,$N624)</f>
        <v>BA</v>
      </c>
      <c r="Q624" s="22" t="n">
        <f aca="false">INDEX('Tabela Passaro'!$F$2:$F$1795,$N624)</f>
        <v>6</v>
      </c>
      <c r="R624" s="32" t="n">
        <f aca="false">IF(J624&lt;=10,INDEX('Tabela Passaro'!$G$2:$G$1795,$N624),IF(J624&lt;=30,INDEX('Tabela Passaro'!$H$2:$H$1795,$N624),IF(J624&lt;=50,INDEX('Tabela Passaro'!$I$2:$I$1795,$N624),IF(J624&lt;=70,INDEX('Tabela Passaro'!$J$2:$J$1795,$N624),IF(J624&lt;=100,INDEX('Tabela Passaro'!$K$2:$K$1795,$N624),INDEX('Tabela Passaro'!$K$2:$K$1795,$N624)+(J624-100)*INDEX('Tabela Passaro'!$L$2:$L$1795,$N624))))))</f>
        <v>73.44</v>
      </c>
      <c r="S624" s="32" t="n">
        <f aca="false">K624*INDEX('Tabela Passaro'!$M$2:$M$1795,$N624)</f>
        <v>4.10235</v>
      </c>
      <c r="T624" s="32" t="n">
        <f aca="false">K624*INDEX('Tabela Passaro'!$N$2:$N$1795,$N624)</f>
        <v>1.64094</v>
      </c>
      <c r="U624" s="32" t="n">
        <f aca="false">INDEX('Tabela Passaro'!$O$2:$O$1795,$N624)</f>
        <v>5</v>
      </c>
      <c r="V624" s="32" t="n">
        <f aca="false">ROUNDUP(J624/INDEX('Tabela Passaro'!$Q$2:$Q$1795,$N624),0)*INDEX('Tabela Passaro'!$P$2:$P$1795,$N624)</f>
        <v>5</v>
      </c>
      <c r="W624" s="32" t="n">
        <f aca="false">INDEX('Tabela Passaro'!$R$2:$R$1795,$N624)</f>
        <v>30</v>
      </c>
      <c r="X624" s="32" t="n">
        <f aca="false">ROUNDUP(J624/INDEX('Tabela Passaro'!$T$2:$T$1795,$N624),0)*INDEX('Tabela Passaro'!$S$2:$S$1795,$N624)</f>
        <v>0</v>
      </c>
      <c r="Y624" s="32" t="n">
        <f aca="false">INDEX('Tabela Passaro'!$U$2:$U$1795,$N624)</f>
        <v>0</v>
      </c>
      <c r="Z624" s="32" t="n">
        <f aca="false">INDEX('Tabela Passaro'!$V$2:$V$1795,$N624)</f>
        <v>0</v>
      </c>
      <c r="AA624" s="32" t="n">
        <f aca="false">SUM(R624:Z624)</f>
        <v>119.18329</v>
      </c>
      <c r="AB624" s="33" t="n">
        <f aca="false">INDEX(Premissas!$B$5:$B$13,MATCH(A624,Premissas!$A$5:$A$13,0))</f>
        <v>0.07</v>
      </c>
      <c r="AC624" s="32" t="n">
        <f aca="false">AA624/(1-AB624)-AA624</f>
        <v>8.97078526881722</v>
      </c>
      <c r="AD624" s="32" t="n">
        <f aca="false">ROUND(AA624+AC624,2)</f>
        <v>128.15</v>
      </c>
      <c r="AE624" s="32" t="n">
        <f aca="false">AD624-L624</f>
        <v>-60.85</v>
      </c>
      <c r="AF624" s="34" t="n">
        <f aca="false">IF(L624=0,0,AE624/L624)</f>
        <v>-0.321957671957672</v>
      </c>
      <c r="AG624" s="22" t="str">
        <f aca="false">IF(AD624&lt;L624,"PASSARO","ATUAL")</f>
        <v>PASSARO</v>
      </c>
      <c r="AH624" s="22" t="str">
        <f aca="false">IF(P624&lt;&gt;A624,"Faixa cadastrada como "&amp;P624&amp;" na tabela; preço aplicado pela UF do CEP","")</f>
        <v/>
      </c>
      <c r="AI624" s="26" t="n">
        <v>164.72</v>
      </c>
      <c r="AJ624" s="22" t="str">
        <f aca="false">INDEX('Tabela Passaro'!$X$2:$X$1795,$N624)</f>
        <v>CAPITAL</v>
      </c>
    </row>
    <row r="625" customFormat="false" ht="15" hidden="false" customHeight="false" outlineLevel="0" collapsed="false">
      <c r="A625" s="22" t="s">
        <v>16</v>
      </c>
      <c r="B625" s="22" t="n">
        <v>7</v>
      </c>
      <c r="C625" s="22" t="s">
        <v>87</v>
      </c>
      <c r="D625" s="22" t="s">
        <v>30</v>
      </c>
      <c r="E625" s="22" t="s">
        <v>7328</v>
      </c>
      <c r="F625" s="22" t="n">
        <v>2312435</v>
      </c>
      <c r="G625" s="30" t="n">
        <v>46248</v>
      </c>
      <c r="H625" s="22" t="n">
        <v>133355</v>
      </c>
      <c r="I625" s="22" t="s">
        <v>7896</v>
      </c>
      <c r="J625" s="31" t="n">
        <v>66.4</v>
      </c>
      <c r="K625" s="26" t="n">
        <v>960.98</v>
      </c>
      <c r="L625" s="26" t="n">
        <v>190.11</v>
      </c>
      <c r="M625" s="22" t="s">
        <v>697</v>
      </c>
      <c r="N625" s="22" t="n">
        <f aca="false">MATCH(M625,'Tabela Passaro'!$A$2:$A$1795,0)</f>
        <v>107</v>
      </c>
      <c r="O625" s="22" t="str">
        <f aca="false">INDEX('Tabela Passaro'!$C$2:$C$1795,$N625)</f>
        <v>SIMOES FILHO</v>
      </c>
      <c r="P625" s="22" t="str">
        <f aca="false">INDEX('Tabela Passaro'!$B$2:$B$1795,$N625)</f>
        <v>BA</v>
      </c>
      <c r="Q625" s="22" t="n">
        <f aca="false">INDEX('Tabela Passaro'!$F$2:$F$1795,$N625)</f>
        <v>6</v>
      </c>
      <c r="R625" s="32" t="n">
        <f aca="false">IF(J625&lt;=10,INDEX('Tabela Passaro'!$G$2:$G$1795,$N625),IF(J625&lt;=30,INDEX('Tabela Passaro'!$H$2:$H$1795,$N625),IF(J625&lt;=50,INDEX('Tabela Passaro'!$I$2:$I$1795,$N625),IF(J625&lt;=70,INDEX('Tabela Passaro'!$J$2:$J$1795,$N625),IF(J625&lt;=100,INDEX('Tabela Passaro'!$K$2:$K$1795,$N625),INDEX('Tabela Passaro'!$K$2:$K$1795,$N625)+(J625-100)*INDEX('Tabela Passaro'!$L$2:$L$1795,$N625))))))</f>
        <v>73.44</v>
      </c>
      <c r="S625" s="32" t="n">
        <f aca="false">K625*INDEX('Tabela Passaro'!$M$2:$M$1795,$N625)</f>
        <v>4.8049</v>
      </c>
      <c r="T625" s="32" t="n">
        <f aca="false">K625*INDEX('Tabela Passaro'!$N$2:$N$1795,$N625)</f>
        <v>1.92196</v>
      </c>
      <c r="U625" s="32" t="n">
        <f aca="false">INDEX('Tabela Passaro'!$O$2:$O$1795,$N625)</f>
        <v>5</v>
      </c>
      <c r="V625" s="32" t="n">
        <f aca="false">ROUNDUP(J625/INDEX('Tabela Passaro'!$Q$2:$Q$1795,$N625),0)*INDEX('Tabela Passaro'!$P$2:$P$1795,$N625)</f>
        <v>5</v>
      </c>
      <c r="W625" s="32" t="n">
        <f aca="false">INDEX('Tabela Passaro'!$R$2:$R$1795,$N625)</f>
        <v>30</v>
      </c>
      <c r="X625" s="32" t="n">
        <f aca="false">ROUNDUP(J625/INDEX('Tabela Passaro'!$T$2:$T$1795,$N625),0)*INDEX('Tabela Passaro'!$S$2:$S$1795,$N625)</f>
        <v>0</v>
      </c>
      <c r="Y625" s="32" t="n">
        <f aca="false">INDEX('Tabela Passaro'!$U$2:$U$1795,$N625)</f>
        <v>0</v>
      </c>
      <c r="Z625" s="32" t="n">
        <f aca="false">INDEX('Tabela Passaro'!$V$2:$V$1795,$N625)</f>
        <v>0</v>
      </c>
      <c r="AA625" s="32" t="n">
        <f aca="false">SUM(R625:Z625)</f>
        <v>120.16686</v>
      </c>
      <c r="AB625" s="33" t="n">
        <f aca="false">INDEX(Premissas!$B$5:$B$13,MATCH(A625,Premissas!$A$5:$A$13,0))</f>
        <v>0.07</v>
      </c>
      <c r="AC625" s="32" t="n">
        <f aca="false">AA625/(1-AB625)-AA625</f>
        <v>9.04481741935486</v>
      </c>
      <c r="AD625" s="32" t="n">
        <f aca="false">ROUND(AA625+AC625,2)</f>
        <v>129.21</v>
      </c>
      <c r="AE625" s="32" t="n">
        <f aca="false">AD625-L625</f>
        <v>-60.9</v>
      </c>
      <c r="AF625" s="34" t="n">
        <f aca="false">IF(L625=0,0,AE625/L625)</f>
        <v>-0.320340855294303</v>
      </c>
      <c r="AG625" s="22" t="str">
        <f aca="false">IF(AD625&lt;L625,"PASSARO","ATUAL")</f>
        <v>PASSARO</v>
      </c>
      <c r="AH625" s="22" t="str">
        <f aca="false">IF(P625&lt;&gt;A625,"Faixa cadastrada como "&amp;P625&amp;" na tabela; preço aplicado pela UF do CEP","")</f>
        <v/>
      </c>
      <c r="AI625" s="26" t="n">
        <v>169.96</v>
      </c>
      <c r="AJ625" s="22" t="str">
        <f aca="false">INDEX('Tabela Passaro'!$X$2:$X$1795,$N625)</f>
        <v>CAPITAL</v>
      </c>
    </row>
    <row r="626" customFormat="false" ht="15" hidden="false" customHeight="false" outlineLevel="0" collapsed="false">
      <c r="A626" s="22" t="s">
        <v>16</v>
      </c>
      <c r="B626" s="22" t="n">
        <v>7</v>
      </c>
      <c r="C626" s="22" t="s">
        <v>87</v>
      </c>
      <c r="D626" s="22" t="s">
        <v>30</v>
      </c>
      <c r="E626" s="22" t="s">
        <v>7328</v>
      </c>
      <c r="F626" s="22" t="n">
        <v>2313239</v>
      </c>
      <c r="G626" s="30" t="n">
        <v>46251</v>
      </c>
      <c r="H626" s="22" t="n">
        <v>133656</v>
      </c>
      <c r="I626" s="22" t="s">
        <v>7897</v>
      </c>
      <c r="J626" s="31" t="n">
        <v>22.4</v>
      </c>
      <c r="K626" s="26" t="n">
        <v>578.93</v>
      </c>
      <c r="L626" s="26" t="n">
        <v>117.46</v>
      </c>
      <c r="M626" s="22" t="s">
        <v>697</v>
      </c>
      <c r="N626" s="22" t="n">
        <f aca="false">MATCH(M626,'Tabela Passaro'!$A$2:$A$1795,0)</f>
        <v>107</v>
      </c>
      <c r="O626" s="22" t="str">
        <f aca="false">INDEX('Tabela Passaro'!$C$2:$C$1795,$N626)</f>
        <v>SIMOES FILHO</v>
      </c>
      <c r="P626" s="22" t="str">
        <f aca="false">INDEX('Tabela Passaro'!$B$2:$B$1795,$N626)</f>
        <v>BA</v>
      </c>
      <c r="Q626" s="22" t="n">
        <f aca="false">INDEX('Tabela Passaro'!$F$2:$F$1795,$N626)</f>
        <v>6</v>
      </c>
      <c r="R626" s="32" t="n">
        <f aca="false">IF(J626&lt;=10,INDEX('Tabela Passaro'!$G$2:$G$1795,$N626),IF(J626&lt;=30,INDEX('Tabela Passaro'!$H$2:$H$1795,$N626),IF(J626&lt;=50,INDEX('Tabela Passaro'!$I$2:$I$1795,$N626),IF(J626&lt;=70,INDEX('Tabela Passaro'!$J$2:$J$1795,$N626),IF(J626&lt;=100,INDEX('Tabela Passaro'!$K$2:$K$1795,$N626),INDEX('Tabela Passaro'!$K$2:$K$1795,$N626)+(J626-100)*INDEX('Tabela Passaro'!$L$2:$L$1795,$N626))))))</f>
        <v>50.4</v>
      </c>
      <c r="S626" s="32" t="n">
        <f aca="false">K626*INDEX('Tabela Passaro'!$M$2:$M$1795,$N626)</f>
        <v>2.89465</v>
      </c>
      <c r="T626" s="32" t="n">
        <f aca="false">K626*INDEX('Tabela Passaro'!$N$2:$N$1795,$N626)</f>
        <v>1.15786</v>
      </c>
      <c r="U626" s="32" t="n">
        <f aca="false">INDEX('Tabela Passaro'!$O$2:$O$1795,$N626)</f>
        <v>5</v>
      </c>
      <c r="V626" s="32" t="n">
        <f aca="false">ROUNDUP(J626/INDEX('Tabela Passaro'!$Q$2:$Q$1795,$N626),0)*INDEX('Tabela Passaro'!$P$2:$P$1795,$N626)</f>
        <v>5</v>
      </c>
      <c r="W626" s="32" t="n">
        <f aca="false">INDEX('Tabela Passaro'!$R$2:$R$1795,$N626)</f>
        <v>30</v>
      </c>
      <c r="X626" s="32" t="n">
        <f aca="false">ROUNDUP(J626/INDEX('Tabela Passaro'!$T$2:$T$1795,$N626),0)*INDEX('Tabela Passaro'!$S$2:$S$1795,$N626)</f>
        <v>0</v>
      </c>
      <c r="Y626" s="32" t="n">
        <f aca="false">INDEX('Tabela Passaro'!$U$2:$U$1795,$N626)</f>
        <v>0</v>
      </c>
      <c r="Z626" s="32" t="n">
        <f aca="false">INDEX('Tabela Passaro'!$V$2:$V$1795,$N626)</f>
        <v>0</v>
      </c>
      <c r="AA626" s="32" t="n">
        <f aca="false">SUM(R626:Z626)</f>
        <v>94.45251</v>
      </c>
      <c r="AB626" s="33" t="n">
        <f aca="false">INDEX(Premissas!$B$5:$B$13,MATCH(A626,Premissas!$A$5:$A$13,0))</f>
        <v>0.07</v>
      </c>
      <c r="AC626" s="32" t="n">
        <f aca="false">AA626/(1-AB626)-AA626</f>
        <v>7.10932870967743</v>
      </c>
      <c r="AD626" s="32" t="n">
        <f aca="false">ROUND(AA626+AC626,2)</f>
        <v>101.56</v>
      </c>
      <c r="AE626" s="32" t="n">
        <f aca="false">AD626-L626</f>
        <v>-15.9</v>
      </c>
      <c r="AF626" s="34" t="n">
        <f aca="false">IF(L626=0,0,AE626/L626)</f>
        <v>-0.13536523071684</v>
      </c>
      <c r="AG626" s="22" t="str">
        <f aca="false">IF(AD626&lt;L626,"PASSARO","ATUAL")</f>
        <v>PASSARO</v>
      </c>
      <c r="AH626" s="22" t="str">
        <f aca="false">IF(P626&lt;&gt;A626,"Faixa cadastrada como "&amp;P626&amp;" na tabela; preço aplicado pela UF do CEP","")</f>
        <v/>
      </c>
      <c r="AI626" s="26" t="n">
        <v>119.91</v>
      </c>
      <c r="AJ626" s="22" t="str">
        <f aca="false">INDEX('Tabela Passaro'!$X$2:$X$1795,$N626)</f>
        <v>CAPITAL</v>
      </c>
    </row>
    <row r="627" customFormat="false" ht="15" hidden="false" customHeight="false" outlineLevel="0" collapsed="false">
      <c r="A627" s="22" t="s">
        <v>16</v>
      </c>
      <c r="B627" s="22" t="n">
        <v>7</v>
      </c>
      <c r="C627" s="22" t="s">
        <v>87</v>
      </c>
      <c r="D627" s="22" t="s">
        <v>30</v>
      </c>
      <c r="E627" s="22" t="s">
        <v>7328</v>
      </c>
      <c r="F627" s="22" t="n">
        <v>2314410</v>
      </c>
      <c r="G627" s="30" t="n">
        <v>46254</v>
      </c>
      <c r="H627" s="22" t="n">
        <v>134074</v>
      </c>
      <c r="I627" s="22" t="s">
        <v>7898</v>
      </c>
      <c r="J627" s="31" t="n">
        <v>37.59</v>
      </c>
      <c r="K627" s="26" t="n">
        <v>624.98</v>
      </c>
      <c r="L627" s="26" t="n">
        <v>151.58</v>
      </c>
      <c r="M627" s="22" t="s">
        <v>697</v>
      </c>
      <c r="N627" s="22" t="n">
        <f aca="false">MATCH(M627,'Tabela Passaro'!$A$2:$A$1795,0)</f>
        <v>107</v>
      </c>
      <c r="O627" s="22" t="str">
        <f aca="false">INDEX('Tabela Passaro'!$C$2:$C$1795,$N627)</f>
        <v>SIMOES FILHO</v>
      </c>
      <c r="P627" s="22" t="str">
        <f aca="false">INDEX('Tabela Passaro'!$B$2:$B$1795,$N627)</f>
        <v>BA</v>
      </c>
      <c r="Q627" s="22" t="n">
        <f aca="false">INDEX('Tabela Passaro'!$F$2:$F$1795,$N627)</f>
        <v>6</v>
      </c>
      <c r="R627" s="32" t="n">
        <f aca="false">IF(J627&lt;=10,INDEX('Tabela Passaro'!$G$2:$G$1795,$N627),IF(J627&lt;=30,INDEX('Tabela Passaro'!$H$2:$H$1795,$N627),IF(J627&lt;=50,INDEX('Tabela Passaro'!$I$2:$I$1795,$N627),IF(J627&lt;=70,INDEX('Tabela Passaro'!$J$2:$J$1795,$N627),IF(J627&lt;=100,INDEX('Tabela Passaro'!$K$2:$K$1795,$N627),INDEX('Tabela Passaro'!$K$2:$K$1795,$N627)+(J627-100)*INDEX('Tabela Passaro'!$L$2:$L$1795,$N627))))))</f>
        <v>61.92</v>
      </c>
      <c r="S627" s="32" t="n">
        <f aca="false">K627*INDEX('Tabela Passaro'!$M$2:$M$1795,$N627)</f>
        <v>3.1249</v>
      </c>
      <c r="T627" s="32" t="n">
        <f aca="false">K627*INDEX('Tabela Passaro'!$N$2:$N$1795,$N627)</f>
        <v>1.24996</v>
      </c>
      <c r="U627" s="32" t="n">
        <f aca="false">INDEX('Tabela Passaro'!$O$2:$O$1795,$N627)</f>
        <v>5</v>
      </c>
      <c r="V627" s="32" t="n">
        <f aca="false">ROUNDUP(J627/INDEX('Tabela Passaro'!$Q$2:$Q$1795,$N627),0)*INDEX('Tabela Passaro'!$P$2:$P$1795,$N627)</f>
        <v>5</v>
      </c>
      <c r="W627" s="32" t="n">
        <f aca="false">INDEX('Tabela Passaro'!$R$2:$R$1795,$N627)</f>
        <v>30</v>
      </c>
      <c r="X627" s="32" t="n">
        <f aca="false">ROUNDUP(J627/INDEX('Tabela Passaro'!$T$2:$T$1795,$N627),0)*INDEX('Tabela Passaro'!$S$2:$S$1795,$N627)</f>
        <v>0</v>
      </c>
      <c r="Y627" s="32" t="n">
        <f aca="false">INDEX('Tabela Passaro'!$U$2:$U$1795,$N627)</f>
        <v>0</v>
      </c>
      <c r="Z627" s="32" t="n">
        <f aca="false">INDEX('Tabela Passaro'!$V$2:$V$1795,$N627)</f>
        <v>0</v>
      </c>
      <c r="AA627" s="32" t="n">
        <f aca="false">SUM(R627:Z627)</f>
        <v>106.29486</v>
      </c>
      <c r="AB627" s="33" t="n">
        <f aca="false">INDEX(Premissas!$B$5:$B$13,MATCH(A627,Premissas!$A$5:$A$13,0))</f>
        <v>0.07</v>
      </c>
      <c r="AC627" s="32" t="n">
        <f aca="false">AA627/(1-AB627)-AA627</f>
        <v>8.00068838709679</v>
      </c>
      <c r="AD627" s="32" t="n">
        <f aca="false">ROUND(AA627+AC627,2)</f>
        <v>114.3</v>
      </c>
      <c r="AE627" s="32" t="n">
        <f aca="false">AD627-L627</f>
        <v>-37.28</v>
      </c>
      <c r="AF627" s="34" t="n">
        <f aca="false">IF(L627=0,0,AE627/L627)</f>
        <v>-0.245942736508774</v>
      </c>
      <c r="AG627" s="22" t="str">
        <f aca="false">IF(AD627&lt;L627,"PASSARO","ATUAL")</f>
        <v>PASSARO</v>
      </c>
      <c r="AH627" s="22" t="str">
        <f aca="false">IF(P627&lt;&gt;A627,"Faixa cadastrada como "&amp;P627&amp;" na tabela; preço aplicado pela UF do CEP","")</f>
        <v/>
      </c>
      <c r="AI627" s="26" t="n">
        <v>140.14</v>
      </c>
      <c r="AJ627" s="22" t="str">
        <f aca="false">INDEX('Tabela Passaro'!$X$2:$X$1795,$N627)</f>
        <v>CAPITAL</v>
      </c>
    </row>
    <row r="628" customFormat="false" ht="15" hidden="false" customHeight="false" outlineLevel="0" collapsed="false">
      <c r="A628" s="22" t="s">
        <v>16</v>
      </c>
      <c r="B628" s="22" t="n">
        <v>7</v>
      </c>
      <c r="C628" s="22" t="s">
        <v>87</v>
      </c>
      <c r="D628" s="22" t="s">
        <v>30</v>
      </c>
      <c r="E628" s="22" t="s">
        <v>7326</v>
      </c>
      <c r="F628" s="22" t="n">
        <v>526648</v>
      </c>
      <c r="G628" s="30" t="n">
        <v>46255</v>
      </c>
      <c r="H628" s="22" t="n">
        <v>627521</v>
      </c>
      <c r="I628" s="22" t="s">
        <v>7899</v>
      </c>
      <c r="J628" s="31" t="n">
        <v>67.3</v>
      </c>
      <c r="K628" s="26" t="n">
        <v>937.95</v>
      </c>
      <c r="L628" s="26" t="n">
        <v>222.38</v>
      </c>
      <c r="M628" s="22" t="s">
        <v>697</v>
      </c>
      <c r="N628" s="22" t="n">
        <f aca="false">MATCH(M628,'Tabela Passaro'!$A$2:$A$1795,0)</f>
        <v>107</v>
      </c>
      <c r="O628" s="22" t="str">
        <f aca="false">INDEX('Tabela Passaro'!$C$2:$C$1795,$N628)</f>
        <v>SIMOES FILHO</v>
      </c>
      <c r="P628" s="22" t="str">
        <f aca="false">INDEX('Tabela Passaro'!$B$2:$B$1795,$N628)</f>
        <v>BA</v>
      </c>
      <c r="Q628" s="22" t="n">
        <f aca="false">INDEX('Tabela Passaro'!$F$2:$F$1795,$N628)</f>
        <v>6</v>
      </c>
      <c r="R628" s="32" t="n">
        <f aca="false">IF(J628&lt;=10,INDEX('Tabela Passaro'!$G$2:$G$1795,$N628),IF(J628&lt;=30,INDEX('Tabela Passaro'!$H$2:$H$1795,$N628),IF(J628&lt;=50,INDEX('Tabela Passaro'!$I$2:$I$1795,$N628),IF(J628&lt;=70,INDEX('Tabela Passaro'!$J$2:$J$1795,$N628),IF(J628&lt;=100,INDEX('Tabela Passaro'!$K$2:$K$1795,$N628),INDEX('Tabela Passaro'!$K$2:$K$1795,$N628)+(J628-100)*INDEX('Tabela Passaro'!$L$2:$L$1795,$N628))))))</f>
        <v>73.44</v>
      </c>
      <c r="S628" s="32" t="n">
        <f aca="false">K628*INDEX('Tabela Passaro'!$M$2:$M$1795,$N628)</f>
        <v>4.68975</v>
      </c>
      <c r="T628" s="32" t="n">
        <f aca="false">K628*INDEX('Tabela Passaro'!$N$2:$N$1795,$N628)</f>
        <v>1.8759</v>
      </c>
      <c r="U628" s="32" t="n">
        <f aca="false">INDEX('Tabela Passaro'!$O$2:$O$1795,$N628)</f>
        <v>5</v>
      </c>
      <c r="V628" s="32" t="n">
        <f aca="false">ROUNDUP(J628/INDEX('Tabela Passaro'!$Q$2:$Q$1795,$N628),0)*INDEX('Tabela Passaro'!$P$2:$P$1795,$N628)</f>
        <v>5</v>
      </c>
      <c r="W628" s="32" t="n">
        <f aca="false">INDEX('Tabela Passaro'!$R$2:$R$1795,$N628)</f>
        <v>30</v>
      </c>
      <c r="X628" s="32" t="n">
        <f aca="false">ROUNDUP(J628/INDEX('Tabela Passaro'!$T$2:$T$1795,$N628),0)*INDEX('Tabela Passaro'!$S$2:$S$1795,$N628)</f>
        <v>0</v>
      </c>
      <c r="Y628" s="32" t="n">
        <f aca="false">INDEX('Tabela Passaro'!$U$2:$U$1795,$N628)</f>
        <v>0</v>
      </c>
      <c r="Z628" s="32" t="n">
        <f aca="false">INDEX('Tabela Passaro'!$V$2:$V$1795,$N628)</f>
        <v>0</v>
      </c>
      <c r="AA628" s="32" t="n">
        <f aca="false">SUM(R628:Z628)</f>
        <v>120.00565</v>
      </c>
      <c r="AB628" s="33" t="n">
        <f aca="false">INDEX(Premissas!$B$5:$B$13,MATCH(A628,Premissas!$A$5:$A$13,0))</f>
        <v>0.07</v>
      </c>
      <c r="AC628" s="32" t="n">
        <f aca="false">AA628/(1-AB628)-AA628</f>
        <v>9.03268333333335</v>
      </c>
      <c r="AD628" s="32" t="n">
        <f aca="false">ROUND(AA628+AC628,2)</f>
        <v>129.04</v>
      </c>
      <c r="AE628" s="32" t="n">
        <f aca="false">AD628-L628</f>
        <v>-93.34</v>
      </c>
      <c r="AF628" s="34" t="n">
        <f aca="false">IF(L628=0,0,AE628/L628)</f>
        <v>-0.419731990286896</v>
      </c>
      <c r="AG628" s="22" t="str">
        <f aca="false">IF(AD628&lt;L628,"PASSARO","ATUAL")</f>
        <v>PASSARO</v>
      </c>
      <c r="AH628" s="22" t="str">
        <f aca="false">IF(P628&lt;&gt;A628,"Faixa cadastrada como "&amp;P628&amp;" na tabela; preço aplicado pela UF do CEP","")</f>
        <v/>
      </c>
      <c r="AI628" s="26" t="n">
        <v>170.22</v>
      </c>
      <c r="AJ628" s="22" t="str">
        <f aca="false">INDEX('Tabela Passaro'!$X$2:$X$1795,$N628)</f>
        <v>CAPITAL</v>
      </c>
    </row>
    <row r="629" customFormat="false" ht="15" hidden="false" customHeight="false" outlineLevel="0" collapsed="false">
      <c r="A629" s="22" t="s">
        <v>16</v>
      </c>
      <c r="B629" s="22" t="n">
        <v>7</v>
      </c>
      <c r="C629" s="22" t="s">
        <v>87</v>
      </c>
      <c r="D629" s="22" t="s">
        <v>30</v>
      </c>
      <c r="E629" s="22" t="s">
        <v>7328</v>
      </c>
      <c r="F629" s="22" t="n">
        <v>2315640</v>
      </c>
      <c r="G629" s="30" t="n">
        <v>46258</v>
      </c>
      <c r="H629" s="22" t="n">
        <v>134365</v>
      </c>
      <c r="I629" s="22" t="s">
        <v>7900</v>
      </c>
      <c r="J629" s="31" t="n">
        <v>51.06</v>
      </c>
      <c r="K629" s="26" t="n">
        <v>989.98</v>
      </c>
      <c r="L629" s="26" t="n">
        <v>190.34</v>
      </c>
      <c r="M629" s="22" t="s">
        <v>697</v>
      </c>
      <c r="N629" s="22" t="n">
        <f aca="false">MATCH(M629,'Tabela Passaro'!$A$2:$A$1795,0)</f>
        <v>107</v>
      </c>
      <c r="O629" s="22" t="str">
        <f aca="false">INDEX('Tabela Passaro'!$C$2:$C$1795,$N629)</f>
        <v>SIMOES FILHO</v>
      </c>
      <c r="P629" s="22" t="str">
        <f aca="false">INDEX('Tabela Passaro'!$B$2:$B$1795,$N629)</f>
        <v>BA</v>
      </c>
      <c r="Q629" s="22" t="n">
        <f aca="false">INDEX('Tabela Passaro'!$F$2:$F$1795,$N629)</f>
        <v>6</v>
      </c>
      <c r="R629" s="32" t="n">
        <f aca="false">IF(J629&lt;=10,INDEX('Tabela Passaro'!$G$2:$G$1795,$N629),IF(J629&lt;=30,INDEX('Tabela Passaro'!$H$2:$H$1795,$N629),IF(J629&lt;=50,INDEX('Tabela Passaro'!$I$2:$I$1795,$N629),IF(J629&lt;=70,INDEX('Tabela Passaro'!$J$2:$J$1795,$N629),IF(J629&lt;=100,INDEX('Tabela Passaro'!$K$2:$K$1795,$N629),INDEX('Tabela Passaro'!$K$2:$K$1795,$N629)+(J629-100)*INDEX('Tabela Passaro'!$L$2:$L$1795,$N629))))))</f>
        <v>73.44</v>
      </c>
      <c r="S629" s="32" t="n">
        <f aca="false">K629*INDEX('Tabela Passaro'!$M$2:$M$1795,$N629)</f>
        <v>4.9499</v>
      </c>
      <c r="T629" s="32" t="n">
        <f aca="false">K629*INDEX('Tabela Passaro'!$N$2:$N$1795,$N629)</f>
        <v>1.97996</v>
      </c>
      <c r="U629" s="32" t="n">
        <f aca="false">INDEX('Tabela Passaro'!$O$2:$O$1795,$N629)</f>
        <v>5</v>
      </c>
      <c r="V629" s="32" t="n">
        <f aca="false">ROUNDUP(J629/INDEX('Tabela Passaro'!$Q$2:$Q$1795,$N629),0)*INDEX('Tabela Passaro'!$P$2:$P$1795,$N629)</f>
        <v>5</v>
      </c>
      <c r="W629" s="32" t="n">
        <f aca="false">INDEX('Tabela Passaro'!$R$2:$R$1795,$N629)</f>
        <v>30</v>
      </c>
      <c r="X629" s="32" t="n">
        <f aca="false">ROUNDUP(J629/INDEX('Tabela Passaro'!$T$2:$T$1795,$N629),0)*INDEX('Tabela Passaro'!$S$2:$S$1795,$N629)</f>
        <v>0</v>
      </c>
      <c r="Y629" s="32" t="n">
        <f aca="false">INDEX('Tabela Passaro'!$U$2:$U$1795,$N629)</f>
        <v>0</v>
      </c>
      <c r="Z629" s="32" t="n">
        <f aca="false">INDEX('Tabela Passaro'!$V$2:$V$1795,$N629)</f>
        <v>0</v>
      </c>
      <c r="AA629" s="32" t="n">
        <f aca="false">SUM(R629:Z629)</f>
        <v>120.36986</v>
      </c>
      <c r="AB629" s="33" t="n">
        <f aca="false">INDEX(Premissas!$B$5:$B$13,MATCH(A629,Premissas!$A$5:$A$13,0))</f>
        <v>0.07</v>
      </c>
      <c r="AC629" s="32" t="n">
        <f aca="false">AA629/(1-AB629)-AA629</f>
        <v>9.06009698924733</v>
      </c>
      <c r="AD629" s="32" t="n">
        <f aca="false">ROUND(AA629+AC629,2)</f>
        <v>129.43</v>
      </c>
      <c r="AE629" s="32" t="n">
        <f aca="false">AD629-L629</f>
        <v>-60.91</v>
      </c>
      <c r="AF629" s="34" t="n">
        <f aca="false">IF(L629=0,0,AE629/L629)</f>
        <v>-0.320006304507723</v>
      </c>
      <c r="AG629" s="22" t="str">
        <f aca="false">IF(AD629&lt;L629,"PASSARO","ATUAL")</f>
        <v>PASSARO</v>
      </c>
      <c r="AH629" s="22" t="str">
        <f aca="false">IF(P629&lt;&gt;A629,"Faixa cadastrada como "&amp;P629&amp;" na tabela; preço aplicado pela UF do CEP","")</f>
        <v/>
      </c>
      <c r="AI629" s="26" t="n">
        <v>162.98</v>
      </c>
      <c r="AJ629" s="22" t="str">
        <f aca="false">INDEX('Tabela Passaro'!$X$2:$X$1795,$N629)</f>
        <v>CAPITAL</v>
      </c>
    </row>
    <row r="630" customFormat="false" ht="15" hidden="false" customHeight="false" outlineLevel="0" collapsed="false">
      <c r="A630" s="22" t="s">
        <v>16</v>
      </c>
      <c r="B630" s="22" t="n">
        <v>7</v>
      </c>
      <c r="C630" s="22" t="s">
        <v>87</v>
      </c>
      <c r="D630" s="22" t="s">
        <v>30</v>
      </c>
      <c r="E630" s="22" t="s">
        <v>7328</v>
      </c>
      <c r="F630" s="22" t="n">
        <v>2315815</v>
      </c>
      <c r="G630" s="30" t="n">
        <v>46258</v>
      </c>
      <c r="H630" s="22" t="n">
        <v>134961</v>
      </c>
      <c r="I630" s="22" t="s">
        <v>7901</v>
      </c>
      <c r="J630" s="31" t="n">
        <v>79.26</v>
      </c>
      <c r="K630" s="26" t="n">
        <v>992.24</v>
      </c>
      <c r="L630" s="26" t="n">
        <v>223.07</v>
      </c>
      <c r="M630" s="22" t="s">
        <v>697</v>
      </c>
      <c r="N630" s="22" t="n">
        <f aca="false">MATCH(M630,'Tabela Passaro'!$A$2:$A$1795,0)</f>
        <v>107</v>
      </c>
      <c r="O630" s="22" t="str">
        <f aca="false">INDEX('Tabela Passaro'!$C$2:$C$1795,$N630)</f>
        <v>SIMOES FILHO</v>
      </c>
      <c r="P630" s="22" t="str">
        <f aca="false">INDEX('Tabela Passaro'!$B$2:$B$1795,$N630)</f>
        <v>BA</v>
      </c>
      <c r="Q630" s="22" t="n">
        <f aca="false">INDEX('Tabela Passaro'!$F$2:$F$1795,$N630)</f>
        <v>6</v>
      </c>
      <c r="R630" s="32" t="n">
        <f aca="false">IF(J630&lt;=10,INDEX('Tabela Passaro'!$G$2:$G$1795,$N630),IF(J630&lt;=30,INDEX('Tabela Passaro'!$H$2:$H$1795,$N630),IF(J630&lt;=50,INDEX('Tabela Passaro'!$I$2:$I$1795,$N630),IF(J630&lt;=70,INDEX('Tabela Passaro'!$J$2:$J$1795,$N630),IF(J630&lt;=100,INDEX('Tabela Passaro'!$K$2:$K$1795,$N630),INDEX('Tabela Passaro'!$K$2:$K$1795,$N630)+(J630-100)*INDEX('Tabela Passaro'!$L$2:$L$1795,$N630))))))</f>
        <v>84.96</v>
      </c>
      <c r="S630" s="32" t="n">
        <f aca="false">K630*INDEX('Tabela Passaro'!$M$2:$M$1795,$N630)</f>
        <v>4.9612</v>
      </c>
      <c r="T630" s="32" t="n">
        <f aca="false">K630*INDEX('Tabela Passaro'!$N$2:$N$1795,$N630)</f>
        <v>1.98448</v>
      </c>
      <c r="U630" s="32" t="n">
        <f aca="false">INDEX('Tabela Passaro'!$O$2:$O$1795,$N630)</f>
        <v>5</v>
      </c>
      <c r="V630" s="32" t="n">
        <f aca="false">ROUNDUP(J630/INDEX('Tabela Passaro'!$Q$2:$Q$1795,$N630),0)*INDEX('Tabela Passaro'!$P$2:$P$1795,$N630)</f>
        <v>5</v>
      </c>
      <c r="W630" s="32" t="n">
        <f aca="false">INDEX('Tabela Passaro'!$R$2:$R$1795,$N630)</f>
        <v>30</v>
      </c>
      <c r="X630" s="32" t="n">
        <f aca="false">ROUNDUP(J630/INDEX('Tabela Passaro'!$T$2:$T$1795,$N630),0)*INDEX('Tabela Passaro'!$S$2:$S$1795,$N630)</f>
        <v>0</v>
      </c>
      <c r="Y630" s="32" t="n">
        <f aca="false">INDEX('Tabela Passaro'!$U$2:$U$1795,$N630)</f>
        <v>0</v>
      </c>
      <c r="Z630" s="32" t="n">
        <f aca="false">INDEX('Tabela Passaro'!$V$2:$V$1795,$N630)</f>
        <v>0</v>
      </c>
      <c r="AA630" s="32" t="n">
        <f aca="false">SUM(R630:Z630)</f>
        <v>131.90568</v>
      </c>
      <c r="AB630" s="33" t="n">
        <f aca="false">INDEX(Premissas!$B$5:$B$13,MATCH(A630,Premissas!$A$5:$A$13,0))</f>
        <v>0.07</v>
      </c>
      <c r="AC630" s="32" t="n">
        <f aca="false">AA630/(1-AB630)-AA630</f>
        <v>9.92838451612903</v>
      </c>
      <c r="AD630" s="32" t="n">
        <f aca="false">ROUND(AA630+AC630,2)</f>
        <v>141.83</v>
      </c>
      <c r="AE630" s="32" t="n">
        <f aca="false">AD630-L630</f>
        <v>-81.24</v>
      </c>
      <c r="AF630" s="34" t="n">
        <f aca="false">IF(L630=0,0,AE630/L630)</f>
        <v>-0.364190612812122</v>
      </c>
      <c r="AG630" s="22" t="str">
        <f aca="false">IF(AD630&lt;L630,"PASSARO","ATUAL")</f>
        <v>PASSARO</v>
      </c>
      <c r="AH630" s="22" t="str">
        <f aca="false">IF(P630&lt;&gt;A630,"Faixa cadastrada como "&amp;P630&amp;" na tabela; preço aplicado pela UF do CEP","")</f>
        <v/>
      </c>
      <c r="AI630" s="26" t="n">
        <v>189.06</v>
      </c>
      <c r="AJ630" s="22" t="str">
        <f aca="false">INDEX('Tabela Passaro'!$X$2:$X$1795,$N630)</f>
        <v>CAPITAL</v>
      </c>
    </row>
    <row r="631" customFormat="false" ht="15" hidden="false" customHeight="false" outlineLevel="0" collapsed="false">
      <c r="A631" s="22" t="s">
        <v>16</v>
      </c>
      <c r="B631" s="22" t="n">
        <v>7</v>
      </c>
      <c r="C631" s="22" t="s">
        <v>87</v>
      </c>
      <c r="D631" s="22" t="s">
        <v>30</v>
      </c>
      <c r="E631" s="22" t="s">
        <v>7328</v>
      </c>
      <c r="F631" s="22" t="n">
        <v>2315792</v>
      </c>
      <c r="G631" s="30" t="n">
        <v>46258</v>
      </c>
      <c r="H631" s="22" t="n">
        <v>135140</v>
      </c>
      <c r="I631" s="22" t="s">
        <v>7902</v>
      </c>
      <c r="J631" s="31" t="n">
        <v>33</v>
      </c>
      <c r="K631" s="26" t="n">
        <v>525.76</v>
      </c>
      <c r="L631" s="26" t="n">
        <v>150.8</v>
      </c>
      <c r="M631" s="22" t="s">
        <v>697</v>
      </c>
      <c r="N631" s="22" t="n">
        <f aca="false">MATCH(M631,'Tabela Passaro'!$A$2:$A$1795,0)</f>
        <v>107</v>
      </c>
      <c r="O631" s="22" t="str">
        <f aca="false">INDEX('Tabela Passaro'!$C$2:$C$1795,$N631)</f>
        <v>SIMOES FILHO</v>
      </c>
      <c r="P631" s="22" t="str">
        <f aca="false">INDEX('Tabela Passaro'!$B$2:$B$1795,$N631)</f>
        <v>BA</v>
      </c>
      <c r="Q631" s="22" t="n">
        <f aca="false">INDEX('Tabela Passaro'!$F$2:$F$1795,$N631)</f>
        <v>6</v>
      </c>
      <c r="R631" s="32" t="n">
        <f aca="false">IF(J631&lt;=10,INDEX('Tabela Passaro'!$G$2:$G$1795,$N631),IF(J631&lt;=30,INDEX('Tabela Passaro'!$H$2:$H$1795,$N631),IF(J631&lt;=50,INDEX('Tabela Passaro'!$I$2:$I$1795,$N631),IF(J631&lt;=70,INDEX('Tabela Passaro'!$J$2:$J$1795,$N631),IF(J631&lt;=100,INDEX('Tabela Passaro'!$K$2:$K$1795,$N631),INDEX('Tabela Passaro'!$K$2:$K$1795,$N631)+(J631-100)*INDEX('Tabela Passaro'!$L$2:$L$1795,$N631))))))</f>
        <v>61.92</v>
      </c>
      <c r="S631" s="32" t="n">
        <f aca="false">K631*INDEX('Tabela Passaro'!$M$2:$M$1795,$N631)</f>
        <v>2.6288</v>
      </c>
      <c r="T631" s="32" t="n">
        <f aca="false">K631*INDEX('Tabela Passaro'!$N$2:$N$1795,$N631)</f>
        <v>1.05152</v>
      </c>
      <c r="U631" s="32" t="n">
        <f aca="false">INDEX('Tabela Passaro'!$O$2:$O$1795,$N631)</f>
        <v>5</v>
      </c>
      <c r="V631" s="32" t="n">
        <f aca="false">ROUNDUP(J631/INDEX('Tabela Passaro'!$Q$2:$Q$1795,$N631),0)*INDEX('Tabela Passaro'!$P$2:$P$1795,$N631)</f>
        <v>5</v>
      </c>
      <c r="W631" s="32" t="n">
        <f aca="false">INDEX('Tabela Passaro'!$R$2:$R$1795,$N631)</f>
        <v>30</v>
      </c>
      <c r="X631" s="32" t="n">
        <f aca="false">ROUNDUP(J631/INDEX('Tabela Passaro'!$T$2:$T$1795,$N631),0)*INDEX('Tabela Passaro'!$S$2:$S$1795,$N631)</f>
        <v>0</v>
      </c>
      <c r="Y631" s="32" t="n">
        <f aca="false">INDEX('Tabela Passaro'!$U$2:$U$1795,$N631)</f>
        <v>0</v>
      </c>
      <c r="Z631" s="32" t="n">
        <f aca="false">INDEX('Tabela Passaro'!$V$2:$V$1795,$N631)</f>
        <v>0</v>
      </c>
      <c r="AA631" s="32" t="n">
        <f aca="false">SUM(R631:Z631)</f>
        <v>105.60032</v>
      </c>
      <c r="AB631" s="33" t="n">
        <f aca="false">INDEX(Premissas!$B$5:$B$13,MATCH(A631,Premissas!$A$5:$A$13,0))</f>
        <v>0.07</v>
      </c>
      <c r="AC631" s="32" t="n">
        <f aca="false">AA631/(1-AB631)-AA631</f>
        <v>7.94841118279571</v>
      </c>
      <c r="AD631" s="32" t="n">
        <f aca="false">ROUND(AA631+AC631,2)</f>
        <v>113.55</v>
      </c>
      <c r="AE631" s="32" t="n">
        <f aca="false">AD631-L631</f>
        <v>-37.25</v>
      </c>
      <c r="AF631" s="34" t="n">
        <f aca="false">IF(L631=0,0,AE631/L631)</f>
        <v>-0.247015915119363</v>
      </c>
      <c r="AG631" s="22" t="str">
        <f aca="false">IF(AD631&lt;L631,"PASSARO","ATUAL")</f>
        <v>PASSARO</v>
      </c>
      <c r="AH631" s="22" t="str">
        <f aca="false">IF(P631&lt;&gt;A631,"Faixa cadastrada como "&amp;P631&amp;" na tabela; preço aplicado pela UF do CEP","")</f>
        <v/>
      </c>
      <c r="AI631" s="26" t="n">
        <v>136.77</v>
      </c>
      <c r="AJ631" s="22" t="str">
        <f aca="false">INDEX('Tabela Passaro'!$X$2:$X$1795,$N631)</f>
        <v>CAPITAL</v>
      </c>
    </row>
    <row r="632" customFormat="false" ht="15" hidden="false" customHeight="false" outlineLevel="0" collapsed="false">
      <c r="A632" s="22" t="s">
        <v>16</v>
      </c>
      <c r="B632" s="22" t="n">
        <v>7</v>
      </c>
      <c r="C632" s="22" t="s">
        <v>87</v>
      </c>
      <c r="D632" s="22" t="s">
        <v>30</v>
      </c>
      <c r="E632" s="22" t="s">
        <v>7326</v>
      </c>
      <c r="F632" s="22" t="n">
        <v>527763</v>
      </c>
      <c r="G632" s="30" t="n">
        <v>46260</v>
      </c>
      <c r="H632" s="22" t="n">
        <v>629461</v>
      </c>
      <c r="I632" s="22" t="s">
        <v>7903</v>
      </c>
      <c r="J632" s="31" t="n">
        <v>37.3</v>
      </c>
      <c r="K632" s="26" t="n">
        <v>704.98</v>
      </c>
      <c r="L632" s="26" t="n">
        <v>171.61</v>
      </c>
      <c r="M632" s="22" t="s">
        <v>697</v>
      </c>
      <c r="N632" s="22" t="n">
        <f aca="false">MATCH(M632,'Tabela Passaro'!$A$2:$A$1795,0)</f>
        <v>107</v>
      </c>
      <c r="O632" s="22" t="str">
        <f aca="false">INDEX('Tabela Passaro'!$C$2:$C$1795,$N632)</f>
        <v>SIMOES FILHO</v>
      </c>
      <c r="P632" s="22" t="str">
        <f aca="false">INDEX('Tabela Passaro'!$B$2:$B$1795,$N632)</f>
        <v>BA</v>
      </c>
      <c r="Q632" s="22" t="n">
        <f aca="false">INDEX('Tabela Passaro'!$F$2:$F$1795,$N632)</f>
        <v>6</v>
      </c>
      <c r="R632" s="32" t="n">
        <f aca="false">IF(J632&lt;=10,INDEX('Tabela Passaro'!$G$2:$G$1795,$N632),IF(J632&lt;=30,INDEX('Tabela Passaro'!$H$2:$H$1795,$N632),IF(J632&lt;=50,INDEX('Tabela Passaro'!$I$2:$I$1795,$N632),IF(J632&lt;=70,INDEX('Tabela Passaro'!$J$2:$J$1795,$N632),IF(J632&lt;=100,INDEX('Tabela Passaro'!$K$2:$K$1795,$N632),INDEX('Tabela Passaro'!$K$2:$K$1795,$N632)+(J632-100)*INDEX('Tabela Passaro'!$L$2:$L$1795,$N632))))))</f>
        <v>61.92</v>
      </c>
      <c r="S632" s="32" t="n">
        <f aca="false">K632*INDEX('Tabela Passaro'!$M$2:$M$1795,$N632)</f>
        <v>3.5249</v>
      </c>
      <c r="T632" s="32" t="n">
        <f aca="false">K632*INDEX('Tabela Passaro'!$N$2:$N$1795,$N632)</f>
        <v>1.40996</v>
      </c>
      <c r="U632" s="32" t="n">
        <f aca="false">INDEX('Tabela Passaro'!$O$2:$O$1795,$N632)</f>
        <v>5</v>
      </c>
      <c r="V632" s="32" t="n">
        <f aca="false">ROUNDUP(J632/INDEX('Tabela Passaro'!$Q$2:$Q$1795,$N632),0)*INDEX('Tabela Passaro'!$P$2:$P$1795,$N632)</f>
        <v>5</v>
      </c>
      <c r="W632" s="32" t="n">
        <f aca="false">INDEX('Tabela Passaro'!$R$2:$R$1795,$N632)</f>
        <v>30</v>
      </c>
      <c r="X632" s="32" t="n">
        <f aca="false">ROUNDUP(J632/INDEX('Tabela Passaro'!$T$2:$T$1795,$N632),0)*INDEX('Tabela Passaro'!$S$2:$S$1795,$N632)</f>
        <v>0</v>
      </c>
      <c r="Y632" s="32" t="n">
        <f aca="false">INDEX('Tabela Passaro'!$U$2:$U$1795,$N632)</f>
        <v>0</v>
      </c>
      <c r="Z632" s="32" t="n">
        <f aca="false">INDEX('Tabela Passaro'!$V$2:$V$1795,$N632)</f>
        <v>0</v>
      </c>
      <c r="AA632" s="32" t="n">
        <f aca="false">SUM(R632:Z632)</f>
        <v>106.85486</v>
      </c>
      <c r="AB632" s="33" t="n">
        <f aca="false">INDEX(Premissas!$B$5:$B$13,MATCH(A632,Premissas!$A$5:$A$13,0))</f>
        <v>0.07</v>
      </c>
      <c r="AC632" s="32" t="n">
        <f aca="false">AA632/(1-AB632)-AA632</f>
        <v>8.04283892473119</v>
      </c>
      <c r="AD632" s="32" t="n">
        <f aca="false">ROUND(AA632+AC632,2)</f>
        <v>114.9</v>
      </c>
      <c r="AE632" s="32" t="n">
        <f aca="false">AD632-L632</f>
        <v>-56.71</v>
      </c>
      <c r="AF632" s="34" t="n">
        <f aca="false">IF(L632=0,0,AE632/L632)</f>
        <v>-0.330458597983801</v>
      </c>
      <c r="AG632" s="22" t="str">
        <f aca="false">IF(AD632&lt;L632,"PASSARO","ATUAL")</f>
        <v>PASSARO</v>
      </c>
      <c r="AH632" s="22" t="str">
        <f aca="false">IF(P632&lt;&gt;A632,"Faixa cadastrada como "&amp;P632&amp;" na tabela; preço aplicado pela UF do CEP","")</f>
        <v/>
      </c>
      <c r="AI632" s="26" t="n">
        <v>140.92</v>
      </c>
      <c r="AJ632" s="22" t="str">
        <f aca="false">INDEX('Tabela Passaro'!$X$2:$X$1795,$N632)</f>
        <v>CAPITAL</v>
      </c>
    </row>
    <row r="633" customFormat="false" ht="15" hidden="false" customHeight="false" outlineLevel="0" collapsed="false">
      <c r="A633" s="22" t="s">
        <v>16</v>
      </c>
      <c r="B633" s="22" t="n">
        <v>7</v>
      </c>
      <c r="C633" s="22" t="s">
        <v>87</v>
      </c>
      <c r="D633" s="22" t="s">
        <v>30</v>
      </c>
      <c r="E633" s="22" t="s">
        <v>7326</v>
      </c>
      <c r="F633" s="22" t="n">
        <v>528308</v>
      </c>
      <c r="G633" s="30" t="n">
        <v>46262</v>
      </c>
      <c r="H633" s="22" t="n">
        <v>630150</v>
      </c>
      <c r="I633" s="22" t="s">
        <v>7904</v>
      </c>
      <c r="J633" s="31" t="n">
        <v>46.8</v>
      </c>
      <c r="K633" s="26" t="n">
        <v>829.98</v>
      </c>
      <c r="L633" s="26" t="n">
        <v>172.68</v>
      </c>
      <c r="M633" s="22" t="s">
        <v>697</v>
      </c>
      <c r="N633" s="22" t="n">
        <f aca="false">MATCH(M633,'Tabela Passaro'!$A$2:$A$1795,0)</f>
        <v>107</v>
      </c>
      <c r="O633" s="22" t="str">
        <f aca="false">INDEX('Tabela Passaro'!$C$2:$C$1795,$N633)</f>
        <v>SIMOES FILHO</v>
      </c>
      <c r="P633" s="22" t="str">
        <f aca="false">INDEX('Tabela Passaro'!$B$2:$B$1795,$N633)</f>
        <v>BA</v>
      </c>
      <c r="Q633" s="22" t="n">
        <f aca="false">INDEX('Tabela Passaro'!$F$2:$F$1795,$N633)</f>
        <v>6</v>
      </c>
      <c r="R633" s="32" t="n">
        <f aca="false">IF(J633&lt;=10,INDEX('Tabela Passaro'!$G$2:$G$1795,$N633),IF(J633&lt;=30,INDEX('Tabela Passaro'!$H$2:$H$1795,$N633),IF(J633&lt;=50,INDEX('Tabela Passaro'!$I$2:$I$1795,$N633),IF(J633&lt;=70,INDEX('Tabela Passaro'!$J$2:$J$1795,$N633),IF(J633&lt;=100,INDEX('Tabela Passaro'!$K$2:$K$1795,$N633),INDEX('Tabela Passaro'!$K$2:$K$1795,$N633)+(J633-100)*INDEX('Tabela Passaro'!$L$2:$L$1795,$N633))))))</f>
        <v>61.92</v>
      </c>
      <c r="S633" s="32" t="n">
        <f aca="false">K633*INDEX('Tabela Passaro'!$M$2:$M$1795,$N633)</f>
        <v>4.1499</v>
      </c>
      <c r="T633" s="32" t="n">
        <f aca="false">K633*INDEX('Tabela Passaro'!$N$2:$N$1795,$N633)</f>
        <v>1.65996</v>
      </c>
      <c r="U633" s="32" t="n">
        <f aca="false">INDEX('Tabela Passaro'!$O$2:$O$1795,$N633)</f>
        <v>5</v>
      </c>
      <c r="V633" s="32" t="n">
        <f aca="false">ROUNDUP(J633/INDEX('Tabela Passaro'!$Q$2:$Q$1795,$N633),0)*INDEX('Tabela Passaro'!$P$2:$P$1795,$N633)</f>
        <v>5</v>
      </c>
      <c r="W633" s="32" t="n">
        <f aca="false">INDEX('Tabela Passaro'!$R$2:$R$1795,$N633)</f>
        <v>30</v>
      </c>
      <c r="X633" s="32" t="n">
        <f aca="false">ROUNDUP(J633/INDEX('Tabela Passaro'!$T$2:$T$1795,$N633),0)*INDEX('Tabela Passaro'!$S$2:$S$1795,$N633)</f>
        <v>0</v>
      </c>
      <c r="Y633" s="32" t="n">
        <f aca="false">INDEX('Tabela Passaro'!$U$2:$U$1795,$N633)</f>
        <v>0</v>
      </c>
      <c r="Z633" s="32" t="n">
        <f aca="false">INDEX('Tabela Passaro'!$V$2:$V$1795,$N633)</f>
        <v>0</v>
      </c>
      <c r="AA633" s="32" t="n">
        <f aca="false">SUM(R633:Z633)</f>
        <v>107.72986</v>
      </c>
      <c r="AB633" s="33" t="n">
        <f aca="false">INDEX(Premissas!$B$5:$B$13,MATCH(A633,Premissas!$A$5:$A$13,0))</f>
        <v>0.07</v>
      </c>
      <c r="AC633" s="32" t="n">
        <f aca="false">AA633/(1-AB633)-AA633</f>
        <v>8.10869913978496</v>
      </c>
      <c r="AD633" s="32" t="n">
        <f aca="false">ROUND(AA633+AC633,2)</f>
        <v>115.84</v>
      </c>
      <c r="AE633" s="32" t="n">
        <f aca="false">AD633-L633</f>
        <v>-56.84</v>
      </c>
      <c r="AF633" s="34" t="n">
        <f aca="false">IF(L633=0,0,AE633/L633)</f>
        <v>-0.329163771137364</v>
      </c>
      <c r="AG633" s="22" t="str">
        <f aca="false">IF(AD633&lt;L633,"PASSARO","ATUAL")</f>
        <v>PASSARO</v>
      </c>
      <c r="AH633" s="22" t="str">
        <f aca="false">IF(P633&lt;&gt;A633,"Faixa cadastrada como "&amp;P633&amp;" na tabela; preço aplicado pela UF do CEP","")</f>
        <v/>
      </c>
      <c r="AI633" s="26" t="n">
        <v>146.48</v>
      </c>
      <c r="AJ633" s="22" t="str">
        <f aca="false">INDEX('Tabela Passaro'!$X$2:$X$1795,$N633)</f>
        <v>CAPITAL</v>
      </c>
    </row>
    <row r="634" customFormat="false" ht="15" hidden="false" customHeight="false" outlineLevel="0" collapsed="false">
      <c r="A634" s="22" t="s">
        <v>16</v>
      </c>
      <c r="B634" s="22" t="n">
        <v>7</v>
      </c>
      <c r="C634" s="22" t="s">
        <v>87</v>
      </c>
      <c r="D634" s="22" t="s">
        <v>30</v>
      </c>
      <c r="E634" s="22" t="s">
        <v>20</v>
      </c>
      <c r="F634" s="22" t="n">
        <v>840635</v>
      </c>
      <c r="G634" s="30" t="n">
        <v>46265</v>
      </c>
      <c r="H634" s="22" t="n">
        <v>32837</v>
      </c>
      <c r="I634" s="22" t="s">
        <v>7905</v>
      </c>
      <c r="J634" s="31" t="n">
        <v>61.4</v>
      </c>
      <c r="K634" s="26" t="n">
        <v>1097.71</v>
      </c>
      <c r="L634" s="26" t="n">
        <v>192.09</v>
      </c>
      <c r="M634" s="22" t="s">
        <v>697</v>
      </c>
      <c r="N634" s="22" t="n">
        <f aca="false">MATCH(M634,'Tabela Passaro'!$A$2:$A$1795,0)</f>
        <v>107</v>
      </c>
      <c r="O634" s="22" t="str">
        <f aca="false">INDEX('Tabela Passaro'!$C$2:$C$1795,$N634)</f>
        <v>SIMOES FILHO</v>
      </c>
      <c r="P634" s="22" t="str">
        <f aca="false">INDEX('Tabela Passaro'!$B$2:$B$1795,$N634)</f>
        <v>BA</v>
      </c>
      <c r="Q634" s="22" t="n">
        <f aca="false">INDEX('Tabela Passaro'!$F$2:$F$1795,$N634)</f>
        <v>6</v>
      </c>
      <c r="R634" s="32" t="n">
        <f aca="false">IF(J634&lt;=10,INDEX('Tabela Passaro'!$G$2:$G$1795,$N634),IF(J634&lt;=30,INDEX('Tabela Passaro'!$H$2:$H$1795,$N634),IF(J634&lt;=50,INDEX('Tabela Passaro'!$I$2:$I$1795,$N634),IF(J634&lt;=70,INDEX('Tabela Passaro'!$J$2:$J$1795,$N634),IF(J634&lt;=100,INDEX('Tabela Passaro'!$K$2:$K$1795,$N634),INDEX('Tabela Passaro'!$K$2:$K$1795,$N634)+(J634-100)*INDEX('Tabela Passaro'!$L$2:$L$1795,$N634))))))</f>
        <v>73.44</v>
      </c>
      <c r="S634" s="32" t="n">
        <f aca="false">K634*INDEX('Tabela Passaro'!$M$2:$M$1795,$N634)</f>
        <v>5.48855</v>
      </c>
      <c r="T634" s="32" t="n">
        <f aca="false">K634*INDEX('Tabela Passaro'!$N$2:$N$1795,$N634)</f>
        <v>2.19542</v>
      </c>
      <c r="U634" s="32" t="n">
        <f aca="false">INDEX('Tabela Passaro'!$O$2:$O$1795,$N634)</f>
        <v>5</v>
      </c>
      <c r="V634" s="32" t="n">
        <f aca="false">ROUNDUP(J634/INDEX('Tabela Passaro'!$Q$2:$Q$1795,$N634),0)*INDEX('Tabela Passaro'!$P$2:$P$1795,$N634)</f>
        <v>5</v>
      </c>
      <c r="W634" s="32" t="n">
        <f aca="false">INDEX('Tabela Passaro'!$R$2:$R$1795,$N634)</f>
        <v>30</v>
      </c>
      <c r="X634" s="32" t="n">
        <f aca="false">ROUNDUP(J634/INDEX('Tabela Passaro'!$T$2:$T$1795,$N634),0)*INDEX('Tabela Passaro'!$S$2:$S$1795,$N634)</f>
        <v>0</v>
      </c>
      <c r="Y634" s="32" t="n">
        <f aca="false">INDEX('Tabela Passaro'!$U$2:$U$1795,$N634)</f>
        <v>0</v>
      </c>
      <c r="Z634" s="32" t="n">
        <f aca="false">INDEX('Tabela Passaro'!$V$2:$V$1795,$N634)</f>
        <v>0</v>
      </c>
      <c r="AA634" s="32" t="n">
        <f aca="false">SUM(R634:Z634)</f>
        <v>121.12397</v>
      </c>
      <c r="AB634" s="33" t="n">
        <f aca="false">INDEX(Premissas!$B$5:$B$13,MATCH(A634,Premissas!$A$5:$A$13,0))</f>
        <v>0.07</v>
      </c>
      <c r="AC634" s="32" t="n">
        <f aca="false">AA634/(1-AB634)-AA634</f>
        <v>9.11685795698925</v>
      </c>
      <c r="AD634" s="32" t="n">
        <f aca="false">ROUND(AA634+AC634,2)</f>
        <v>130.24</v>
      </c>
      <c r="AE634" s="32" t="n">
        <f aca="false">AD634-L634</f>
        <v>-61.85</v>
      </c>
      <c r="AF634" s="34" t="n">
        <f aca="false">IF(L634=0,0,AE634/L634)</f>
        <v>-0.321984486438649</v>
      </c>
      <c r="AG634" s="22" t="str">
        <f aca="false">IF(AD634&lt;L634,"PASSARO","ATUAL")</f>
        <v>PASSARO</v>
      </c>
      <c r="AH634" s="22" t="str">
        <f aca="false">IF(P634&lt;&gt;A634,"Faixa cadastrada como "&amp;P634&amp;" na tabela; preço aplicado pela UF do CEP","")</f>
        <v/>
      </c>
      <c r="AI634" s="26" t="n">
        <v>168.86</v>
      </c>
      <c r="AJ634" s="22" t="str">
        <f aca="false">INDEX('Tabela Passaro'!$X$2:$X$1795,$N634)</f>
        <v>CAPITAL</v>
      </c>
    </row>
    <row r="635" customFormat="false" ht="15" hidden="false" customHeight="false" outlineLevel="0" collapsed="false">
      <c r="A635" s="22" t="s">
        <v>16</v>
      </c>
      <c r="B635" s="22" t="n">
        <v>8</v>
      </c>
      <c r="C635" s="22" t="s">
        <v>89</v>
      </c>
      <c r="D635" s="22" t="s">
        <v>30</v>
      </c>
      <c r="E635" s="22" t="s">
        <v>7326</v>
      </c>
      <c r="F635" s="22" t="n">
        <v>523881</v>
      </c>
      <c r="G635" s="30" t="n">
        <v>46245</v>
      </c>
      <c r="H635" s="22" t="n">
        <v>623728</v>
      </c>
      <c r="I635" s="22" t="s">
        <v>7906</v>
      </c>
      <c r="J635" s="31" t="n">
        <v>23.35</v>
      </c>
      <c r="K635" s="26" t="n">
        <v>646.88</v>
      </c>
      <c r="L635" s="26" t="n">
        <v>138.23</v>
      </c>
      <c r="M635" s="22" t="s">
        <v>1494</v>
      </c>
      <c r="N635" s="22" t="n">
        <f aca="false">MATCH(M635,'Tabela Passaro'!$A$2:$A$1795,0)</f>
        <v>307</v>
      </c>
      <c r="O635" s="22" t="str">
        <f aca="false">INDEX('Tabela Passaro'!$C$2:$C$1795,$N635)</f>
        <v>ILHEUS</v>
      </c>
      <c r="P635" s="22" t="str">
        <f aca="false">INDEX('Tabela Passaro'!$B$2:$B$1795,$N635)</f>
        <v>BA</v>
      </c>
      <c r="Q635" s="22" t="n">
        <f aca="false">INDEX('Tabela Passaro'!$F$2:$F$1795,$N635)</f>
        <v>11</v>
      </c>
      <c r="R635" s="32" t="n">
        <f aca="false">IF(J635&lt;=10,INDEX('Tabela Passaro'!$G$2:$G$1795,$N635),IF(J635&lt;=30,INDEX('Tabela Passaro'!$H$2:$H$1795,$N635),IF(J635&lt;=50,INDEX('Tabela Passaro'!$I$2:$I$1795,$N635),IF(J635&lt;=70,INDEX('Tabela Passaro'!$J$2:$J$1795,$N635),IF(J635&lt;=100,INDEX('Tabela Passaro'!$K$2:$K$1795,$N635),INDEX('Tabela Passaro'!$K$2:$K$1795,$N635)+(J635-100)*INDEX('Tabela Passaro'!$L$2:$L$1795,$N635))))))</f>
        <v>77.62</v>
      </c>
      <c r="S635" s="32" t="n">
        <f aca="false">K635*INDEX('Tabela Passaro'!$M$2:$M$1795,$N635)</f>
        <v>3.2344</v>
      </c>
      <c r="T635" s="32" t="n">
        <f aca="false">K635*INDEX('Tabela Passaro'!$N$2:$N$1795,$N635)</f>
        <v>1.29376</v>
      </c>
      <c r="U635" s="32" t="n">
        <f aca="false">INDEX('Tabela Passaro'!$O$2:$O$1795,$N635)</f>
        <v>5</v>
      </c>
      <c r="V635" s="32" t="n">
        <f aca="false">ROUNDUP(J635/INDEX('Tabela Passaro'!$Q$2:$Q$1795,$N635),0)*INDEX('Tabela Passaro'!$P$2:$P$1795,$N635)</f>
        <v>5</v>
      </c>
      <c r="W635" s="32" t="n">
        <f aca="false">INDEX('Tabela Passaro'!$R$2:$R$1795,$N635)</f>
        <v>30</v>
      </c>
      <c r="X635" s="32" t="n">
        <f aca="false">ROUNDUP(J635/INDEX('Tabela Passaro'!$T$2:$T$1795,$N635),0)*INDEX('Tabela Passaro'!$S$2:$S$1795,$N635)</f>
        <v>0</v>
      </c>
      <c r="Y635" s="32" t="n">
        <f aca="false">INDEX('Tabela Passaro'!$U$2:$U$1795,$N635)</f>
        <v>0</v>
      </c>
      <c r="Z635" s="32" t="n">
        <f aca="false">INDEX('Tabela Passaro'!$V$2:$V$1795,$N635)</f>
        <v>0</v>
      </c>
      <c r="AA635" s="32" t="n">
        <f aca="false">SUM(R635:Z635)</f>
        <v>122.14816</v>
      </c>
      <c r="AB635" s="33" t="n">
        <f aca="false">INDEX(Premissas!$B$5:$B$13,MATCH(A635,Premissas!$A$5:$A$13,0))</f>
        <v>0.07</v>
      </c>
      <c r="AC635" s="32" t="n">
        <f aca="false">AA635/(1-AB635)-AA635</f>
        <v>9.19394752688173</v>
      </c>
      <c r="AD635" s="32" t="n">
        <f aca="false">ROUND(AA635+AC635,2)</f>
        <v>131.34</v>
      </c>
      <c r="AE635" s="32" t="n">
        <f aca="false">AD635-L635</f>
        <v>-6.88999999999999</v>
      </c>
      <c r="AF635" s="34" t="n">
        <f aca="false">IF(L635=0,0,AE635/L635)</f>
        <v>-0.0498444621283367</v>
      </c>
      <c r="AG635" s="22" t="str">
        <f aca="false">IF(AD635&lt;L635,"PASSARO","ATUAL")</f>
        <v>PASSARO</v>
      </c>
      <c r="AH635" s="22" t="str">
        <f aca="false">IF(P635&lt;&gt;A635,"Faixa cadastrada como "&amp;P635&amp;" na tabela; preço aplicado pela UF do CEP","")</f>
        <v/>
      </c>
      <c r="AI635" s="26" t="n">
        <v>134.52</v>
      </c>
      <c r="AJ635" s="22" t="str">
        <f aca="false">INDEX('Tabela Passaro'!$X$2:$X$1795,$N635)</f>
        <v>INTERIOR 2</v>
      </c>
    </row>
    <row r="636" customFormat="false" ht="15" hidden="false" customHeight="false" outlineLevel="0" collapsed="false">
      <c r="A636" s="22" t="s">
        <v>16</v>
      </c>
      <c r="B636" s="22" t="n">
        <v>8</v>
      </c>
      <c r="C636" s="22" t="s">
        <v>89</v>
      </c>
      <c r="D636" s="22" t="s">
        <v>30</v>
      </c>
      <c r="E636" s="22" t="s">
        <v>7326</v>
      </c>
      <c r="F636" s="22" t="n">
        <v>524705</v>
      </c>
      <c r="G636" s="30" t="n">
        <v>46247</v>
      </c>
      <c r="H636" s="22" t="n">
        <v>624564</v>
      </c>
      <c r="I636" s="22" t="s">
        <v>7907</v>
      </c>
      <c r="J636" s="31" t="n">
        <v>28.8</v>
      </c>
      <c r="K636" s="26" t="n">
        <v>924.21</v>
      </c>
      <c r="L636" s="26" t="n">
        <v>140.59</v>
      </c>
      <c r="M636" s="22" t="s">
        <v>1494</v>
      </c>
      <c r="N636" s="22" t="n">
        <f aca="false">MATCH(M636,'Tabela Passaro'!$A$2:$A$1795,0)</f>
        <v>307</v>
      </c>
      <c r="O636" s="22" t="str">
        <f aca="false">INDEX('Tabela Passaro'!$C$2:$C$1795,$N636)</f>
        <v>ILHEUS</v>
      </c>
      <c r="P636" s="22" t="str">
        <f aca="false">INDEX('Tabela Passaro'!$B$2:$B$1795,$N636)</f>
        <v>BA</v>
      </c>
      <c r="Q636" s="22" t="n">
        <f aca="false">INDEX('Tabela Passaro'!$F$2:$F$1795,$N636)</f>
        <v>11</v>
      </c>
      <c r="R636" s="32" t="n">
        <f aca="false">IF(J636&lt;=10,INDEX('Tabela Passaro'!$G$2:$G$1795,$N636),IF(J636&lt;=30,INDEX('Tabela Passaro'!$H$2:$H$1795,$N636),IF(J636&lt;=50,INDEX('Tabela Passaro'!$I$2:$I$1795,$N636),IF(J636&lt;=70,INDEX('Tabela Passaro'!$J$2:$J$1795,$N636),IF(J636&lt;=100,INDEX('Tabela Passaro'!$K$2:$K$1795,$N636),INDEX('Tabela Passaro'!$K$2:$K$1795,$N636)+(J636-100)*INDEX('Tabela Passaro'!$L$2:$L$1795,$N636))))))</f>
        <v>77.62</v>
      </c>
      <c r="S636" s="32" t="n">
        <f aca="false">K636*INDEX('Tabela Passaro'!$M$2:$M$1795,$N636)</f>
        <v>4.62105</v>
      </c>
      <c r="T636" s="32" t="n">
        <f aca="false">K636*INDEX('Tabela Passaro'!$N$2:$N$1795,$N636)</f>
        <v>1.84842</v>
      </c>
      <c r="U636" s="32" t="n">
        <f aca="false">INDEX('Tabela Passaro'!$O$2:$O$1795,$N636)</f>
        <v>5</v>
      </c>
      <c r="V636" s="32" t="n">
        <f aca="false">ROUNDUP(J636/INDEX('Tabela Passaro'!$Q$2:$Q$1795,$N636),0)*INDEX('Tabela Passaro'!$P$2:$P$1795,$N636)</f>
        <v>5</v>
      </c>
      <c r="W636" s="32" t="n">
        <f aca="false">INDEX('Tabela Passaro'!$R$2:$R$1795,$N636)</f>
        <v>30</v>
      </c>
      <c r="X636" s="32" t="n">
        <f aca="false">ROUNDUP(J636/INDEX('Tabela Passaro'!$T$2:$T$1795,$N636),0)*INDEX('Tabela Passaro'!$S$2:$S$1795,$N636)</f>
        <v>0</v>
      </c>
      <c r="Y636" s="32" t="n">
        <f aca="false">INDEX('Tabela Passaro'!$U$2:$U$1795,$N636)</f>
        <v>0</v>
      </c>
      <c r="Z636" s="32" t="n">
        <f aca="false">INDEX('Tabela Passaro'!$V$2:$V$1795,$N636)</f>
        <v>0</v>
      </c>
      <c r="AA636" s="32" t="n">
        <f aca="false">SUM(R636:Z636)</f>
        <v>124.08947</v>
      </c>
      <c r="AB636" s="33" t="n">
        <f aca="false">INDEX(Premissas!$B$5:$B$13,MATCH(A636,Premissas!$A$5:$A$13,0))</f>
        <v>0.07</v>
      </c>
      <c r="AC636" s="32" t="n">
        <f aca="false">AA636/(1-AB636)-AA636</f>
        <v>9.3400676344086</v>
      </c>
      <c r="AD636" s="32" t="n">
        <f aca="false">ROUND(AA636+AC636,2)</f>
        <v>133.43</v>
      </c>
      <c r="AE636" s="32" t="n">
        <f aca="false">AD636-L636</f>
        <v>-7.16</v>
      </c>
      <c r="AF636" s="34" t="n">
        <f aca="false">IF(L636=0,0,AE636/L636)</f>
        <v>-0.0509282310263888</v>
      </c>
      <c r="AG636" s="22" t="str">
        <f aca="false">IF(AD636&lt;L636,"PASSARO","ATUAL")</f>
        <v>PASSARO</v>
      </c>
      <c r="AH636" s="22" t="str">
        <f aca="false">IF(P636&lt;&gt;A636,"Faixa cadastrada como "&amp;P636&amp;" na tabela; preço aplicado pela UF do CEP","")</f>
        <v/>
      </c>
      <c r="AI636" s="26" t="n">
        <v>139.62</v>
      </c>
      <c r="AJ636" s="22" t="str">
        <f aca="false">INDEX('Tabela Passaro'!$X$2:$X$1795,$N636)</f>
        <v>INTERIOR 2</v>
      </c>
    </row>
    <row r="637" customFormat="false" ht="15" hidden="false" customHeight="false" outlineLevel="0" collapsed="false">
      <c r="A637" s="22" t="s">
        <v>16</v>
      </c>
      <c r="B637" s="22" t="n">
        <v>8</v>
      </c>
      <c r="C637" s="22" t="s">
        <v>89</v>
      </c>
      <c r="D637" s="22" t="s">
        <v>30</v>
      </c>
      <c r="E637" s="22" t="s">
        <v>7328</v>
      </c>
      <c r="F637" s="22" t="n">
        <v>2312265</v>
      </c>
      <c r="G637" s="30" t="n">
        <v>46248</v>
      </c>
      <c r="H637" s="22" t="n">
        <v>133171</v>
      </c>
      <c r="I637" s="22" t="s">
        <v>7908</v>
      </c>
      <c r="J637" s="31" t="n">
        <v>30.99</v>
      </c>
      <c r="K637" s="26" t="n">
        <v>723.27</v>
      </c>
      <c r="L637" s="26" t="n">
        <v>170.31</v>
      </c>
      <c r="M637" s="22" t="s">
        <v>1494</v>
      </c>
      <c r="N637" s="22" t="n">
        <f aca="false">MATCH(M637,'Tabela Passaro'!$A$2:$A$1795,0)</f>
        <v>307</v>
      </c>
      <c r="O637" s="22" t="str">
        <f aca="false">INDEX('Tabela Passaro'!$C$2:$C$1795,$N637)</f>
        <v>ILHEUS</v>
      </c>
      <c r="P637" s="22" t="str">
        <f aca="false">INDEX('Tabela Passaro'!$B$2:$B$1795,$N637)</f>
        <v>BA</v>
      </c>
      <c r="Q637" s="22" t="n">
        <f aca="false">INDEX('Tabela Passaro'!$F$2:$F$1795,$N637)</f>
        <v>11</v>
      </c>
      <c r="R637" s="32" t="n">
        <f aca="false">IF(J637&lt;=10,INDEX('Tabela Passaro'!$G$2:$G$1795,$N637),IF(J637&lt;=30,INDEX('Tabela Passaro'!$H$2:$H$1795,$N637),IF(J637&lt;=50,INDEX('Tabela Passaro'!$I$2:$I$1795,$N637),IF(J637&lt;=70,INDEX('Tabela Passaro'!$J$2:$J$1795,$N637),IF(J637&lt;=100,INDEX('Tabela Passaro'!$K$2:$K$1795,$N637),INDEX('Tabela Passaro'!$K$2:$K$1795,$N637)+(J637-100)*INDEX('Tabela Passaro'!$L$2:$L$1795,$N637))))))</f>
        <v>89.14</v>
      </c>
      <c r="S637" s="32" t="n">
        <f aca="false">K637*INDEX('Tabela Passaro'!$M$2:$M$1795,$N637)</f>
        <v>3.61635</v>
      </c>
      <c r="T637" s="32" t="n">
        <f aca="false">K637*INDEX('Tabela Passaro'!$N$2:$N$1795,$N637)</f>
        <v>1.44654</v>
      </c>
      <c r="U637" s="32" t="n">
        <f aca="false">INDEX('Tabela Passaro'!$O$2:$O$1795,$N637)</f>
        <v>5</v>
      </c>
      <c r="V637" s="32" t="n">
        <f aca="false">ROUNDUP(J637/INDEX('Tabela Passaro'!$Q$2:$Q$1795,$N637),0)*INDEX('Tabela Passaro'!$P$2:$P$1795,$N637)</f>
        <v>5</v>
      </c>
      <c r="W637" s="32" t="n">
        <f aca="false">INDEX('Tabela Passaro'!$R$2:$R$1795,$N637)</f>
        <v>30</v>
      </c>
      <c r="X637" s="32" t="n">
        <f aca="false">ROUNDUP(J637/INDEX('Tabela Passaro'!$T$2:$T$1795,$N637),0)*INDEX('Tabela Passaro'!$S$2:$S$1795,$N637)</f>
        <v>0</v>
      </c>
      <c r="Y637" s="32" t="n">
        <f aca="false">INDEX('Tabela Passaro'!$U$2:$U$1795,$N637)</f>
        <v>0</v>
      </c>
      <c r="Z637" s="32" t="n">
        <f aca="false">INDEX('Tabela Passaro'!$V$2:$V$1795,$N637)</f>
        <v>0</v>
      </c>
      <c r="AA637" s="32" t="n">
        <f aca="false">SUM(R637:Z637)</f>
        <v>134.20289</v>
      </c>
      <c r="AB637" s="33" t="n">
        <f aca="false">INDEX(Premissas!$B$5:$B$13,MATCH(A637,Premissas!$A$5:$A$13,0))</f>
        <v>0.07</v>
      </c>
      <c r="AC637" s="32" t="n">
        <f aca="false">AA637/(1-AB637)-AA637</f>
        <v>10.1012927956989</v>
      </c>
      <c r="AD637" s="32" t="n">
        <f aca="false">ROUND(AA637+AC637,2)</f>
        <v>144.3</v>
      </c>
      <c r="AE637" s="32" t="n">
        <f aca="false">AD637-L637</f>
        <v>-26.01</v>
      </c>
      <c r="AF637" s="34" t="n">
        <f aca="false">IF(L637=0,0,AE637/L637)</f>
        <v>-0.152721507838647</v>
      </c>
      <c r="AG637" s="22" t="str">
        <f aca="false">IF(AD637&lt;L637,"PASSARO","ATUAL")</f>
        <v>PASSARO</v>
      </c>
      <c r="AH637" s="22" t="str">
        <f aca="false">IF(P637&lt;&gt;A637,"Faixa cadastrada como "&amp;P637&amp;" na tabela; preço aplicado pela UF do CEP","")</f>
        <v/>
      </c>
      <c r="AI637" s="26" t="n">
        <v>151.17</v>
      </c>
      <c r="AJ637" s="22" t="str">
        <f aca="false">INDEX('Tabela Passaro'!$X$2:$X$1795,$N637)</f>
        <v>INTERIOR 2</v>
      </c>
    </row>
    <row r="638" customFormat="false" ht="15" hidden="false" customHeight="false" outlineLevel="0" collapsed="false">
      <c r="A638" s="22" t="s">
        <v>16</v>
      </c>
      <c r="B638" s="22" t="n">
        <v>8</v>
      </c>
      <c r="C638" s="22" t="s">
        <v>89</v>
      </c>
      <c r="D638" s="22" t="s">
        <v>30</v>
      </c>
      <c r="E638" s="22" t="s">
        <v>7328</v>
      </c>
      <c r="F638" s="22" t="n">
        <v>2313769</v>
      </c>
      <c r="G638" s="30" t="n">
        <v>46253</v>
      </c>
      <c r="H638" s="22" t="n">
        <v>133872</v>
      </c>
      <c r="I638" s="22" t="s">
        <v>7909</v>
      </c>
      <c r="J638" s="31" t="n">
        <v>37.59</v>
      </c>
      <c r="K638" s="26" t="n">
        <v>597.98</v>
      </c>
      <c r="L638" s="26" t="n">
        <v>169.31</v>
      </c>
      <c r="M638" s="22" t="s">
        <v>1494</v>
      </c>
      <c r="N638" s="22" t="n">
        <f aca="false">MATCH(M638,'Tabela Passaro'!$A$2:$A$1795,0)</f>
        <v>307</v>
      </c>
      <c r="O638" s="22" t="str">
        <f aca="false">INDEX('Tabela Passaro'!$C$2:$C$1795,$N638)</f>
        <v>ILHEUS</v>
      </c>
      <c r="P638" s="22" t="str">
        <f aca="false">INDEX('Tabela Passaro'!$B$2:$B$1795,$N638)</f>
        <v>BA</v>
      </c>
      <c r="Q638" s="22" t="n">
        <f aca="false">INDEX('Tabela Passaro'!$F$2:$F$1795,$N638)</f>
        <v>11</v>
      </c>
      <c r="R638" s="32" t="n">
        <f aca="false">IF(J638&lt;=10,INDEX('Tabela Passaro'!$G$2:$G$1795,$N638),IF(J638&lt;=30,INDEX('Tabela Passaro'!$H$2:$H$1795,$N638),IF(J638&lt;=50,INDEX('Tabela Passaro'!$I$2:$I$1795,$N638),IF(J638&lt;=70,INDEX('Tabela Passaro'!$J$2:$J$1795,$N638),IF(J638&lt;=100,INDEX('Tabela Passaro'!$K$2:$K$1795,$N638),INDEX('Tabela Passaro'!$K$2:$K$1795,$N638)+(J638-100)*INDEX('Tabela Passaro'!$L$2:$L$1795,$N638))))))</f>
        <v>89.14</v>
      </c>
      <c r="S638" s="32" t="n">
        <f aca="false">K638*INDEX('Tabela Passaro'!$M$2:$M$1795,$N638)</f>
        <v>2.9899</v>
      </c>
      <c r="T638" s="32" t="n">
        <f aca="false">K638*INDEX('Tabela Passaro'!$N$2:$N$1795,$N638)</f>
        <v>1.19596</v>
      </c>
      <c r="U638" s="32" t="n">
        <f aca="false">INDEX('Tabela Passaro'!$O$2:$O$1795,$N638)</f>
        <v>5</v>
      </c>
      <c r="V638" s="32" t="n">
        <f aca="false">ROUNDUP(J638/INDEX('Tabela Passaro'!$Q$2:$Q$1795,$N638),0)*INDEX('Tabela Passaro'!$P$2:$P$1795,$N638)</f>
        <v>5</v>
      </c>
      <c r="W638" s="32" t="n">
        <f aca="false">INDEX('Tabela Passaro'!$R$2:$R$1795,$N638)</f>
        <v>30</v>
      </c>
      <c r="X638" s="32" t="n">
        <f aca="false">ROUNDUP(J638/INDEX('Tabela Passaro'!$T$2:$T$1795,$N638),0)*INDEX('Tabela Passaro'!$S$2:$S$1795,$N638)</f>
        <v>0</v>
      </c>
      <c r="Y638" s="32" t="n">
        <f aca="false">INDEX('Tabela Passaro'!$U$2:$U$1795,$N638)</f>
        <v>0</v>
      </c>
      <c r="Z638" s="32" t="n">
        <f aca="false">INDEX('Tabela Passaro'!$V$2:$V$1795,$N638)</f>
        <v>0</v>
      </c>
      <c r="AA638" s="32" t="n">
        <f aca="false">SUM(R638:Z638)</f>
        <v>133.32586</v>
      </c>
      <c r="AB638" s="33" t="n">
        <f aca="false">INDEX(Premissas!$B$5:$B$13,MATCH(A638,Premissas!$A$5:$A$13,0))</f>
        <v>0.07</v>
      </c>
      <c r="AC638" s="32" t="n">
        <f aca="false">AA638/(1-AB638)-AA638</f>
        <v>10.0352797849463</v>
      </c>
      <c r="AD638" s="32" t="n">
        <f aca="false">ROUND(AA638+AC638,2)</f>
        <v>143.36</v>
      </c>
      <c r="AE638" s="32" t="n">
        <f aca="false">AD638-L638</f>
        <v>-25.95</v>
      </c>
      <c r="AF638" s="34" t="n">
        <f aca="false">IF(L638=0,0,AE638/L638)</f>
        <v>-0.153269151261</v>
      </c>
      <c r="AG638" s="22" t="str">
        <f aca="false">IF(AD638&lt;L638,"PASSARO","ATUAL")</f>
        <v>PASSARO</v>
      </c>
      <c r="AH638" s="22" t="str">
        <f aca="false">IF(P638&lt;&gt;A638,"Faixa cadastrada como "&amp;P638&amp;" na tabela; preço aplicado pela UF do CEP","")</f>
        <v/>
      </c>
      <c r="AI638" s="26" t="n">
        <v>153.35</v>
      </c>
      <c r="AJ638" s="22" t="str">
        <f aca="false">INDEX('Tabela Passaro'!$X$2:$X$1795,$N638)</f>
        <v>INTERIOR 2</v>
      </c>
    </row>
    <row r="639" customFormat="false" ht="15" hidden="false" customHeight="false" outlineLevel="0" collapsed="false">
      <c r="A639" s="22" t="s">
        <v>16</v>
      </c>
      <c r="B639" s="22" t="n">
        <v>8</v>
      </c>
      <c r="C639" s="22" t="s">
        <v>89</v>
      </c>
      <c r="D639" s="22" t="s">
        <v>30</v>
      </c>
      <c r="E639" s="22" t="s">
        <v>7326</v>
      </c>
      <c r="F639" s="22" t="n">
        <v>526124</v>
      </c>
      <c r="G639" s="30" t="n">
        <v>46253</v>
      </c>
      <c r="H639" s="22" t="n">
        <v>627022</v>
      </c>
      <c r="I639" s="22" t="s">
        <v>7910</v>
      </c>
      <c r="J639" s="31" t="n">
        <v>132</v>
      </c>
      <c r="K639" s="26" t="n">
        <v>3549.95</v>
      </c>
      <c r="L639" s="26" t="n">
        <v>418.94</v>
      </c>
      <c r="M639" s="22" t="s">
        <v>1494</v>
      </c>
      <c r="N639" s="22" t="n">
        <f aca="false">MATCH(M639,'Tabela Passaro'!$A$2:$A$1795,0)</f>
        <v>307</v>
      </c>
      <c r="O639" s="22" t="str">
        <f aca="false">INDEX('Tabela Passaro'!$C$2:$C$1795,$N639)</f>
        <v>ILHEUS</v>
      </c>
      <c r="P639" s="22" t="str">
        <f aca="false">INDEX('Tabela Passaro'!$B$2:$B$1795,$N639)</f>
        <v>BA</v>
      </c>
      <c r="Q639" s="22" t="n">
        <f aca="false">INDEX('Tabela Passaro'!$F$2:$F$1795,$N639)</f>
        <v>11</v>
      </c>
      <c r="R639" s="32" t="n">
        <f aca="false">IF(J639&lt;=10,INDEX('Tabela Passaro'!$G$2:$G$1795,$N639),IF(J639&lt;=30,INDEX('Tabela Passaro'!$H$2:$H$1795,$N639),IF(J639&lt;=50,INDEX('Tabela Passaro'!$I$2:$I$1795,$N639),IF(J639&lt;=70,INDEX('Tabela Passaro'!$J$2:$J$1795,$N639),IF(J639&lt;=100,INDEX('Tabela Passaro'!$K$2:$K$1795,$N639),INDEX('Tabela Passaro'!$K$2:$K$1795,$N639)+(J639-100)*INDEX('Tabela Passaro'!$L$2:$L$1795,$N639))))))</f>
        <v>175.53</v>
      </c>
      <c r="S639" s="32" t="n">
        <f aca="false">K639*INDEX('Tabela Passaro'!$M$2:$M$1795,$N639)</f>
        <v>17.74975</v>
      </c>
      <c r="T639" s="32" t="n">
        <f aca="false">K639*INDEX('Tabela Passaro'!$N$2:$N$1795,$N639)</f>
        <v>7.0999</v>
      </c>
      <c r="U639" s="32" t="n">
        <f aca="false">INDEX('Tabela Passaro'!$O$2:$O$1795,$N639)</f>
        <v>5</v>
      </c>
      <c r="V639" s="32" t="n">
        <f aca="false">ROUNDUP(J639/INDEX('Tabela Passaro'!$Q$2:$Q$1795,$N639),0)*INDEX('Tabela Passaro'!$P$2:$P$1795,$N639)</f>
        <v>10</v>
      </c>
      <c r="W639" s="32" t="n">
        <f aca="false">INDEX('Tabela Passaro'!$R$2:$R$1795,$N639)</f>
        <v>30</v>
      </c>
      <c r="X639" s="32" t="n">
        <f aca="false">ROUNDUP(J639/INDEX('Tabela Passaro'!$T$2:$T$1795,$N639),0)*INDEX('Tabela Passaro'!$S$2:$S$1795,$N639)</f>
        <v>0</v>
      </c>
      <c r="Y639" s="32" t="n">
        <f aca="false">INDEX('Tabela Passaro'!$U$2:$U$1795,$N639)</f>
        <v>0</v>
      </c>
      <c r="Z639" s="32" t="n">
        <f aca="false">INDEX('Tabela Passaro'!$V$2:$V$1795,$N639)</f>
        <v>0</v>
      </c>
      <c r="AA639" s="32" t="n">
        <f aca="false">SUM(R639:Z639)</f>
        <v>245.37965</v>
      </c>
      <c r="AB639" s="33" t="n">
        <f aca="false">INDEX(Premissas!$B$5:$B$13,MATCH(A639,Premissas!$A$5:$A$13,0))</f>
        <v>0.07</v>
      </c>
      <c r="AC639" s="32" t="n">
        <f aca="false">AA639/(1-AB639)-AA639</f>
        <v>18.4694360215054</v>
      </c>
      <c r="AD639" s="32" t="n">
        <f aca="false">ROUND(AA639+AC639,2)</f>
        <v>263.85</v>
      </c>
      <c r="AE639" s="32" t="n">
        <f aca="false">AD639-L639</f>
        <v>-155.09</v>
      </c>
      <c r="AF639" s="34" t="n">
        <f aca="false">IF(L639=0,0,AE639/L639)</f>
        <v>-0.370196209481071</v>
      </c>
      <c r="AG639" s="22" t="str">
        <f aca="false">IF(AD639&lt;L639,"PASSARO","ATUAL")</f>
        <v>PASSARO</v>
      </c>
      <c r="AH639" s="22" t="str">
        <f aca="false">IF(P639&lt;&gt;A639,"Faixa cadastrada como "&amp;P639&amp;" na tabela; preço aplicado pela UF do CEP","")</f>
        <v/>
      </c>
      <c r="AI639" s="26" t="n">
        <v>334.55</v>
      </c>
      <c r="AJ639" s="22" t="str">
        <f aca="false">INDEX('Tabela Passaro'!$X$2:$X$1795,$N639)</f>
        <v>INTERIOR 2</v>
      </c>
    </row>
    <row r="640" customFormat="false" ht="15" hidden="false" customHeight="false" outlineLevel="0" collapsed="false">
      <c r="A640" s="22" t="s">
        <v>16</v>
      </c>
      <c r="B640" s="22" t="n">
        <v>8</v>
      </c>
      <c r="C640" s="22" t="s">
        <v>89</v>
      </c>
      <c r="D640" s="22" t="s">
        <v>30</v>
      </c>
      <c r="E640" s="22" t="s">
        <v>7328</v>
      </c>
      <c r="F640" s="22" t="n">
        <v>2314389</v>
      </c>
      <c r="G640" s="30" t="n">
        <v>46254</v>
      </c>
      <c r="H640" s="22" t="n">
        <v>134283</v>
      </c>
      <c r="I640" s="22" t="s">
        <v>7911</v>
      </c>
      <c r="J640" s="31" t="n">
        <v>59.8</v>
      </c>
      <c r="K640" s="26" t="n">
        <v>1046.39</v>
      </c>
      <c r="L640" s="26" t="n">
        <v>215.06</v>
      </c>
      <c r="M640" s="22" t="s">
        <v>1494</v>
      </c>
      <c r="N640" s="22" t="n">
        <f aca="false">MATCH(M640,'Tabela Passaro'!$A$2:$A$1795,0)</f>
        <v>307</v>
      </c>
      <c r="O640" s="22" t="str">
        <f aca="false">INDEX('Tabela Passaro'!$C$2:$C$1795,$N640)</f>
        <v>ILHEUS</v>
      </c>
      <c r="P640" s="22" t="str">
        <f aca="false">INDEX('Tabela Passaro'!$B$2:$B$1795,$N640)</f>
        <v>BA</v>
      </c>
      <c r="Q640" s="22" t="n">
        <f aca="false">INDEX('Tabela Passaro'!$F$2:$F$1795,$N640)</f>
        <v>11</v>
      </c>
      <c r="R640" s="32" t="n">
        <f aca="false">IF(J640&lt;=10,INDEX('Tabela Passaro'!$G$2:$G$1795,$N640),IF(J640&lt;=30,INDEX('Tabela Passaro'!$H$2:$H$1795,$N640),IF(J640&lt;=50,INDEX('Tabela Passaro'!$I$2:$I$1795,$N640),IF(J640&lt;=70,INDEX('Tabela Passaro'!$J$2:$J$1795,$N640),IF(J640&lt;=100,INDEX('Tabela Passaro'!$K$2:$K$1795,$N640),INDEX('Tabela Passaro'!$K$2:$K$1795,$N640)+(J640-100)*INDEX('Tabela Passaro'!$L$2:$L$1795,$N640))))))</f>
        <v>100.65</v>
      </c>
      <c r="S640" s="32" t="n">
        <f aca="false">K640*INDEX('Tabela Passaro'!$M$2:$M$1795,$N640)</f>
        <v>5.23195</v>
      </c>
      <c r="T640" s="32" t="n">
        <f aca="false">K640*INDEX('Tabela Passaro'!$N$2:$N$1795,$N640)</f>
        <v>2.09278</v>
      </c>
      <c r="U640" s="32" t="n">
        <f aca="false">INDEX('Tabela Passaro'!$O$2:$O$1795,$N640)</f>
        <v>5</v>
      </c>
      <c r="V640" s="32" t="n">
        <f aca="false">ROUNDUP(J640/INDEX('Tabela Passaro'!$Q$2:$Q$1795,$N640),0)*INDEX('Tabela Passaro'!$P$2:$P$1795,$N640)</f>
        <v>5</v>
      </c>
      <c r="W640" s="32" t="n">
        <f aca="false">INDEX('Tabela Passaro'!$R$2:$R$1795,$N640)</f>
        <v>30</v>
      </c>
      <c r="X640" s="32" t="n">
        <f aca="false">ROUNDUP(J640/INDEX('Tabela Passaro'!$T$2:$T$1795,$N640),0)*INDEX('Tabela Passaro'!$S$2:$S$1795,$N640)</f>
        <v>0</v>
      </c>
      <c r="Y640" s="32" t="n">
        <f aca="false">INDEX('Tabela Passaro'!$U$2:$U$1795,$N640)</f>
        <v>0</v>
      </c>
      <c r="Z640" s="32" t="n">
        <f aca="false">INDEX('Tabela Passaro'!$V$2:$V$1795,$N640)</f>
        <v>0</v>
      </c>
      <c r="AA640" s="32" t="n">
        <f aca="false">SUM(R640:Z640)</f>
        <v>147.97473</v>
      </c>
      <c r="AB640" s="33" t="n">
        <f aca="false">INDEX(Premissas!$B$5:$B$13,MATCH(A640,Premissas!$A$5:$A$13,0))</f>
        <v>0.07</v>
      </c>
      <c r="AC640" s="32" t="n">
        <f aca="false">AA640/(1-AB640)-AA640</f>
        <v>11.1378829032258</v>
      </c>
      <c r="AD640" s="32" t="n">
        <f aca="false">ROUND(AA640+AC640,2)</f>
        <v>159.11</v>
      </c>
      <c r="AE640" s="32" t="n">
        <f aca="false">AD640-L640</f>
        <v>-55.95</v>
      </c>
      <c r="AF640" s="34" t="n">
        <f aca="false">IF(L640=0,0,AE640/L640)</f>
        <v>-0.260159955361295</v>
      </c>
      <c r="AG640" s="22" t="str">
        <f aca="false">IF(AD640&lt;L640,"PASSARO","ATUAL")</f>
        <v>PASSARO</v>
      </c>
      <c r="AH640" s="22" t="str">
        <f aca="false">IF(P640&lt;&gt;A640,"Faixa cadastrada como "&amp;P640&amp;" na tabela; preço aplicado pela UF do CEP","")</f>
        <v/>
      </c>
      <c r="AI640" s="26" t="n">
        <v>180.85</v>
      </c>
      <c r="AJ640" s="22" t="str">
        <f aca="false">INDEX('Tabela Passaro'!$X$2:$X$1795,$N640)</f>
        <v>INTERIOR 2</v>
      </c>
    </row>
    <row r="641" customFormat="false" ht="15" hidden="false" customHeight="false" outlineLevel="0" collapsed="false">
      <c r="A641" s="22" t="s">
        <v>16</v>
      </c>
      <c r="B641" s="22" t="n">
        <v>8</v>
      </c>
      <c r="C641" s="22" t="s">
        <v>89</v>
      </c>
      <c r="D641" s="22" t="s">
        <v>30</v>
      </c>
      <c r="E641" s="22" t="s">
        <v>7328</v>
      </c>
      <c r="F641" s="22" t="n">
        <v>2315749</v>
      </c>
      <c r="G641" s="30" t="n">
        <v>46258</v>
      </c>
      <c r="H641" s="22" t="n">
        <v>134757</v>
      </c>
      <c r="I641" s="22" t="s">
        <v>7912</v>
      </c>
      <c r="J641" s="31" t="n">
        <v>44.5</v>
      </c>
      <c r="K641" s="26" t="n">
        <v>961.98</v>
      </c>
      <c r="L641" s="26" t="n">
        <v>172.19</v>
      </c>
      <c r="M641" s="22" t="s">
        <v>1494</v>
      </c>
      <c r="N641" s="22" t="n">
        <f aca="false">MATCH(M641,'Tabela Passaro'!$A$2:$A$1795,0)</f>
        <v>307</v>
      </c>
      <c r="O641" s="22" t="str">
        <f aca="false">INDEX('Tabela Passaro'!$C$2:$C$1795,$N641)</f>
        <v>ILHEUS</v>
      </c>
      <c r="P641" s="22" t="str">
        <f aca="false">INDEX('Tabela Passaro'!$B$2:$B$1795,$N641)</f>
        <v>BA</v>
      </c>
      <c r="Q641" s="22" t="n">
        <f aca="false">INDEX('Tabela Passaro'!$F$2:$F$1795,$N641)</f>
        <v>11</v>
      </c>
      <c r="R641" s="32" t="n">
        <f aca="false">IF(J641&lt;=10,INDEX('Tabela Passaro'!$G$2:$G$1795,$N641),IF(J641&lt;=30,INDEX('Tabela Passaro'!$H$2:$H$1795,$N641),IF(J641&lt;=50,INDEX('Tabela Passaro'!$I$2:$I$1795,$N641),IF(J641&lt;=70,INDEX('Tabela Passaro'!$J$2:$J$1795,$N641),IF(J641&lt;=100,INDEX('Tabela Passaro'!$K$2:$K$1795,$N641),INDEX('Tabela Passaro'!$K$2:$K$1795,$N641)+(J641-100)*INDEX('Tabela Passaro'!$L$2:$L$1795,$N641))))))</f>
        <v>89.14</v>
      </c>
      <c r="S641" s="32" t="n">
        <f aca="false">K641*INDEX('Tabela Passaro'!$M$2:$M$1795,$N641)</f>
        <v>4.8099</v>
      </c>
      <c r="T641" s="32" t="n">
        <f aca="false">K641*INDEX('Tabela Passaro'!$N$2:$N$1795,$N641)</f>
        <v>1.92396</v>
      </c>
      <c r="U641" s="32" t="n">
        <f aca="false">INDEX('Tabela Passaro'!$O$2:$O$1795,$N641)</f>
        <v>5</v>
      </c>
      <c r="V641" s="32" t="n">
        <f aca="false">ROUNDUP(J641/INDEX('Tabela Passaro'!$Q$2:$Q$1795,$N641),0)*INDEX('Tabela Passaro'!$P$2:$P$1795,$N641)</f>
        <v>5</v>
      </c>
      <c r="W641" s="32" t="n">
        <f aca="false">INDEX('Tabela Passaro'!$R$2:$R$1795,$N641)</f>
        <v>30</v>
      </c>
      <c r="X641" s="32" t="n">
        <f aca="false">ROUNDUP(J641/INDEX('Tabela Passaro'!$T$2:$T$1795,$N641),0)*INDEX('Tabela Passaro'!$S$2:$S$1795,$N641)</f>
        <v>0</v>
      </c>
      <c r="Y641" s="32" t="n">
        <f aca="false">INDEX('Tabela Passaro'!$U$2:$U$1795,$N641)</f>
        <v>0</v>
      </c>
      <c r="Z641" s="32" t="n">
        <f aca="false">INDEX('Tabela Passaro'!$V$2:$V$1795,$N641)</f>
        <v>0</v>
      </c>
      <c r="AA641" s="32" t="n">
        <f aca="false">SUM(R641:Z641)</f>
        <v>135.87386</v>
      </c>
      <c r="AB641" s="33" t="n">
        <f aca="false">INDEX(Premissas!$B$5:$B$13,MATCH(A641,Premissas!$A$5:$A$13,0))</f>
        <v>0.07</v>
      </c>
      <c r="AC641" s="32" t="n">
        <f aca="false">AA641/(1-AB641)-AA641</f>
        <v>10.2270647311828</v>
      </c>
      <c r="AD641" s="32" t="n">
        <f aca="false">ROUND(AA641+AC641,2)</f>
        <v>146.1</v>
      </c>
      <c r="AE641" s="32" t="n">
        <f aca="false">AD641-L641</f>
        <v>-26.09</v>
      </c>
      <c r="AF641" s="34" t="n">
        <f aca="false">IF(L641=0,0,AE641/L641)</f>
        <v>-0.151518671235263</v>
      </c>
      <c r="AG641" s="22" t="str">
        <f aca="false">IF(AD641&lt;L641,"PASSARO","ATUAL")</f>
        <v>PASSARO</v>
      </c>
      <c r="AH641" s="22" t="str">
        <f aca="false">IF(P641&lt;&gt;A641,"Faixa cadastrada como "&amp;P641&amp;" na tabela; preço aplicado pela UF do CEP","")</f>
        <v/>
      </c>
      <c r="AI641" s="26" t="n">
        <v>160.26</v>
      </c>
      <c r="AJ641" s="22" t="str">
        <f aca="false">INDEX('Tabela Passaro'!$X$2:$X$1795,$N641)</f>
        <v>INTERIOR 2</v>
      </c>
    </row>
    <row r="642" customFormat="false" ht="15" hidden="false" customHeight="false" outlineLevel="0" collapsed="false">
      <c r="A642" s="22" t="s">
        <v>16</v>
      </c>
      <c r="B642" s="22" t="n">
        <v>8</v>
      </c>
      <c r="C642" s="22" t="s">
        <v>89</v>
      </c>
      <c r="D642" s="22" t="s">
        <v>30</v>
      </c>
      <c r="E642" s="22" t="s">
        <v>7326</v>
      </c>
      <c r="F642" s="22" t="n">
        <v>526909</v>
      </c>
      <c r="G642" s="30" t="n">
        <v>46258</v>
      </c>
      <c r="H642" s="22" t="n">
        <v>627941</v>
      </c>
      <c r="I642" s="22" t="s">
        <v>7913</v>
      </c>
      <c r="J642" s="31" t="n">
        <v>13</v>
      </c>
      <c r="K642" s="26" t="n">
        <v>431.75</v>
      </c>
      <c r="L642" s="26" t="n">
        <v>88.75</v>
      </c>
      <c r="M642" s="22" t="s">
        <v>1494</v>
      </c>
      <c r="N642" s="22" t="n">
        <f aca="false">MATCH(M642,'Tabela Passaro'!$A$2:$A$1795,0)</f>
        <v>307</v>
      </c>
      <c r="O642" s="22" t="str">
        <f aca="false">INDEX('Tabela Passaro'!$C$2:$C$1795,$N642)</f>
        <v>ILHEUS</v>
      </c>
      <c r="P642" s="22" t="str">
        <f aca="false">INDEX('Tabela Passaro'!$B$2:$B$1795,$N642)</f>
        <v>BA</v>
      </c>
      <c r="Q642" s="22" t="n">
        <f aca="false">INDEX('Tabela Passaro'!$F$2:$F$1795,$N642)</f>
        <v>11</v>
      </c>
      <c r="R642" s="32" t="n">
        <f aca="false">IF(J642&lt;=10,INDEX('Tabela Passaro'!$G$2:$G$1795,$N642),IF(J642&lt;=30,INDEX('Tabela Passaro'!$H$2:$H$1795,$N642),IF(J642&lt;=50,INDEX('Tabela Passaro'!$I$2:$I$1795,$N642),IF(J642&lt;=70,INDEX('Tabela Passaro'!$J$2:$J$1795,$N642),IF(J642&lt;=100,INDEX('Tabela Passaro'!$K$2:$K$1795,$N642),INDEX('Tabela Passaro'!$K$2:$K$1795,$N642)+(J642-100)*INDEX('Tabela Passaro'!$L$2:$L$1795,$N642))))))</f>
        <v>77.62</v>
      </c>
      <c r="S642" s="32" t="n">
        <f aca="false">K642*INDEX('Tabela Passaro'!$M$2:$M$1795,$N642)</f>
        <v>2.15875</v>
      </c>
      <c r="T642" s="32" t="n">
        <f aca="false">K642*INDEX('Tabela Passaro'!$N$2:$N$1795,$N642)</f>
        <v>0.8635</v>
      </c>
      <c r="U642" s="32" t="n">
        <f aca="false">INDEX('Tabela Passaro'!$O$2:$O$1795,$N642)</f>
        <v>5</v>
      </c>
      <c r="V642" s="32" t="n">
        <f aca="false">ROUNDUP(J642/INDEX('Tabela Passaro'!$Q$2:$Q$1795,$N642),0)*INDEX('Tabela Passaro'!$P$2:$P$1795,$N642)</f>
        <v>5</v>
      </c>
      <c r="W642" s="32" t="n">
        <f aca="false">INDEX('Tabela Passaro'!$R$2:$R$1795,$N642)</f>
        <v>30</v>
      </c>
      <c r="X642" s="32" t="n">
        <f aca="false">ROUNDUP(J642/INDEX('Tabela Passaro'!$T$2:$T$1795,$N642),0)*INDEX('Tabela Passaro'!$S$2:$S$1795,$N642)</f>
        <v>0</v>
      </c>
      <c r="Y642" s="32" t="n">
        <f aca="false">INDEX('Tabela Passaro'!$U$2:$U$1795,$N642)</f>
        <v>0</v>
      </c>
      <c r="Z642" s="32" t="n">
        <f aca="false">INDEX('Tabela Passaro'!$V$2:$V$1795,$N642)</f>
        <v>0</v>
      </c>
      <c r="AA642" s="32" t="n">
        <f aca="false">SUM(R642:Z642)</f>
        <v>120.64225</v>
      </c>
      <c r="AB642" s="33" t="n">
        <f aca="false">INDEX(Premissas!$B$5:$B$13,MATCH(A642,Premissas!$A$5:$A$13,0))</f>
        <v>0.07</v>
      </c>
      <c r="AC642" s="32" t="n">
        <f aca="false">AA642/(1-AB642)-AA642</f>
        <v>9.08059946236561</v>
      </c>
      <c r="AD642" s="32" t="n">
        <f aca="false">ROUND(AA642+AC642,2)</f>
        <v>129.72</v>
      </c>
      <c r="AE642" s="32" t="n">
        <f aca="false">AD642-L642</f>
        <v>40.97</v>
      </c>
      <c r="AF642" s="34" t="n">
        <f aca="false">IF(L642=0,0,AE642/L642)</f>
        <v>0.461633802816901</v>
      </c>
      <c r="AG642" s="22" t="str">
        <f aca="false">IF(AD642&lt;L642,"PASSARO","ATUAL")</f>
        <v>ATUAL</v>
      </c>
      <c r="AH642" s="22" t="str">
        <f aca="false">IF(P642&lt;&gt;A642,"Faixa cadastrada como "&amp;P642&amp;" na tabela; preço aplicado pela UF do CEP","")</f>
        <v/>
      </c>
      <c r="AI642" s="26" t="n">
        <v>127.11</v>
      </c>
      <c r="AJ642" s="22" t="str">
        <f aca="false">INDEX('Tabela Passaro'!$X$2:$X$1795,$N642)</f>
        <v>INTERIOR 2</v>
      </c>
    </row>
    <row r="643" customFormat="false" ht="15" hidden="false" customHeight="false" outlineLevel="0" collapsed="false">
      <c r="A643" s="22" t="s">
        <v>16</v>
      </c>
      <c r="B643" s="22" t="n">
        <v>8</v>
      </c>
      <c r="C643" s="22" t="s">
        <v>89</v>
      </c>
      <c r="D643" s="22" t="s">
        <v>30</v>
      </c>
      <c r="E643" s="22" t="s">
        <v>7326</v>
      </c>
      <c r="F643" s="22" t="n">
        <v>527353</v>
      </c>
      <c r="G643" s="30" t="n">
        <v>46259</v>
      </c>
      <c r="H643" s="22" t="n">
        <v>628806</v>
      </c>
      <c r="I643" s="22" t="s">
        <v>7914</v>
      </c>
      <c r="J643" s="31" t="n">
        <v>156.4</v>
      </c>
      <c r="K643" s="26" t="n">
        <v>2155.99</v>
      </c>
      <c r="L643" s="26" t="n">
        <v>442.51</v>
      </c>
      <c r="M643" s="22" t="s">
        <v>1494</v>
      </c>
      <c r="N643" s="22" t="n">
        <f aca="false">MATCH(M643,'Tabela Passaro'!$A$2:$A$1795,0)</f>
        <v>307</v>
      </c>
      <c r="O643" s="22" t="str">
        <f aca="false">INDEX('Tabela Passaro'!$C$2:$C$1795,$N643)</f>
        <v>ILHEUS</v>
      </c>
      <c r="P643" s="22" t="str">
        <f aca="false">INDEX('Tabela Passaro'!$B$2:$B$1795,$N643)</f>
        <v>BA</v>
      </c>
      <c r="Q643" s="22" t="n">
        <f aca="false">INDEX('Tabela Passaro'!$F$2:$F$1795,$N643)</f>
        <v>11</v>
      </c>
      <c r="R643" s="32" t="n">
        <f aca="false">IF(J643&lt;=10,INDEX('Tabela Passaro'!$G$2:$G$1795,$N643),IF(J643&lt;=30,INDEX('Tabela Passaro'!$H$2:$H$1795,$N643),IF(J643&lt;=50,INDEX('Tabela Passaro'!$I$2:$I$1795,$N643),IF(J643&lt;=70,INDEX('Tabela Passaro'!$J$2:$J$1795,$N643),IF(J643&lt;=100,INDEX('Tabela Passaro'!$K$2:$K$1795,$N643),INDEX('Tabela Passaro'!$K$2:$K$1795,$N643)+(J643-100)*INDEX('Tabela Passaro'!$L$2:$L$1795,$N643))))))</f>
        <v>223.842</v>
      </c>
      <c r="S643" s="32" t="n">
        <f aca="false">K643*INDEX('Tabela Passaro'!$M$2:$M$1795,$N643)</f>
        <v>10.77995</v>
      </c>
      <c r="T643" s="32" t="n">
        <f aca="false">K643*INDEX('Tabela Passaro'!$N$2:$N$1795,$N643)</f>
        <v>4.31198</v>
      </c>
      <c r="U643" s="32" t="n">
        <f aca="false">INDEX('Tabela Passaro'!$O$2:$O$1795,$N643)</f>
        <v>5</v>
      </c>
      <c r="V643" s="32" t="n">
        <f aca="false">ROUNDUP(J643/INDEX('Tabela Passaro'!$Q$2:$Q$1795,$N643),0)*INDEX('Tabela Passaro'!$P$2:$P$1795,$N643)</f>
        <v>10</v>
      </c>
      <c r="W643" s="32" t="n">
        <f aca="false">INDEX('Tabela Passaro'!$R$2:$R$1795,$N643)</f>
        <v>30</v>
      </c>
      <c r="X643" s="32" t="n">
        <f aca="false">ROUNDUP(J643/INDEX('Tabela Passaro'!$T$2:$T$1795,$N643),0)*INDEX('Tabela Passaro'!$S$2:$S$1795,$N643)</f>
        <v>0</v>
      </c>
      <c r="Y643" s="32" t="n">
        <f aca="false">INDEX('Tabela Passaro'!$U$2:$U$1795,$N643)</f>
        <v>0</v>
      </c>
      <c r="Z643" s="32" t="n">
        <f aca="false">INDEX('Tabela Passaro'!$V$2:$V$1795,$N643)</f>
        <v>0</v>
      </c>
      <c r="AA643" s="32" t="n">
        <f aca="false">SUM(R643:Z643)</f>
        <v>283.93393</v>
      </c>
      <c r="AB643" s="33" t="n">
        <f aca="false">INDEX(Premissas!$B$5:$B$13,MATCH(A643,Premissas!$A$5:$A$13,0))</f>
        <v>0.07</v>
      </c>
      <c r="AC643" s="32" t="n">
        <f aca="false">AA643/(1-AB643)-AA643</f>
        <v>21.3713710752688</v>
      </c>
      <c r="AD643" s="32" t="n">
        <f aca="false">ROUND(AA643+AC643,2)</f>
        <v>305.31</v>
      </c>
      <c r="AE643" s="32" t="n">
        <f aca="false">AD643-L643</f>
        <v>-137.2</v>
      </c>
      <c r="AF643" s="34" t="n">
        <f aca="false">IF(L643=0,0,AE643/L643)</f>
        <v>-0.310049490406996</v>
      </c>
      <c r="AG643" s="22" t="str">
        <f aca="false">IF(AD643&lt;L643,"PASSARO","ATUAL")</f>
        <v>PASSARO</v>
      </c>
      <c r="AH643" s="22" t="str">
        <f aca="false">IF(P643&lt;&gt;A643,"Faixa cadastrada como "&amp;P643&amp;" na tabela; preço aplicado pela UF do CEP","")</f>
        <v/>
      </c>
      <c r="AI643" s="26" t="n">
        <v>391.66</v>
      </c>
      <c r="AJ643" s="22" t="str">
        <f aca="false">INDEX('Tabela Passaro'!$X$2:$X$1795,$N643)</f>
        <v>INTERIOR 2</v>
      </c>
    </row>
    <row r="644" customFormat="false" ht="15" hidden="false" customHeight="false" outlineLevel="0" collapsed="false">
      <c r="A644" s="22" t="s">
        <v>16</v>
      </c>
      <c r="B644" s="22" t="n">
        <v>8</v>
      </c>
      <c r="C644" s="22" t="s">
        <v>89</v>
      </c>
      <c r="D644" s="22" t="s">
        <v>30</v>
      </c>
      <c r="E644" s="22" t="s">
        <v>20</v>
      </c>
      <c r="F644" s="22" t="n">
        <v>840165</v>
      </c>
      <c r="G644" s="30" t="n">
        <v>46260</v>
      </c>
      <c r="H644" s="22" t="n">
        <v>32714</v>
      </c>
      <c r="I644" s="22" t="s">
        <v>7915</v>
      </c>
      <c r="J644" s="31" t="n">
        <v>51.06</v>
      </c>
      <c r="K644" s="26" t="n">
        <v>901.98</v>
      </c>
      <c r="L644" s="26" t="n">
        <v>217.91</v>
      </c>
      <c r="M644" s="22" t="s">
        <v>1494</v>
      </c>
      <c r="N644" s="22" t="n">
        <f aca="false">MATCH(M644,'Tabela Passaro'!$A$2:$A$1795,0)</f>
        <v>307</v>
      </c>
      <c r="O644" s="22" t="str">
        <f aca="false">INDEX('Tabela Passaro'!$C$2:$C$1795,$N644)</f>
        <v>ILHEUS</v>
      </c>
      <c r="P644" s="22" t="str">
        <f aca="false">INDEX('Tabela Passaro'!$B$2:$B$1795,$N644)</f>
        <v>BA</v>
      </c>
      <c r="Q644" s="22" t="n">
        <f aca="false">INDEX('Tabela Passaro'!$F$2:$F$1795,$N644)</f>
        <v>11</v>
      </c>
      <c r="R644" s="32" t="n">
        <f aca="false">IF(J644&lt;=10,INDEX('Tabela Passaro'!$G$2:$G$1795,$N644),IF(J644&lt;=30,INDEX('Tabela Passaro'!$H$2:$H$1795,$N644),IF(J644&lt;=50,INDEX('Tabela Passaro'!$I$2:$I$1795,$N644),IF(J644&lt;=70,INDEX('Tabela Passaro'!$J$2:$J$1795,$N644),IF(J644&lt;=100,INDEX('Tabela Passaro'!$K$2:$K$1795,$N644),INDEX('Tabela Passaro'!$K$2:$K$1795,$N644)+(J644-100)*INDEX('Tabela Passaro'!$L$2:$L$1795,$N644))))))</f>
        <v>100.65</v>
      </c>
      <c r="S644" s="32" t="n">
        <f aca="false">K644*INDEX('Tabela Passaro'!$M$2:$M$1795,$N644)</f>
        <v>4.5099</v>
      </c>
      <c r="T644" s="32" t="n">
        <f aca="false">K644*INDEX('Tabela Passaro'!$N$2:$N$1795,$N644)</f>
        <v>1.80396</v>
      </c>
      <c r="U644" s="32" t="n">
        <f aca="false">INDEX('Tabela Passaro'!$O$2:$O$1795,$N644)</f>
        <v>5</v>
      </c>
      <c r="V644" s="32" t="n">
        <f aca="false">ROUNDUP(J644/INDEX('Tabela Passaro'!$Q$2:$Q$1795,$N644),0)*INDEX('Tabela Passaro'!$P$2:$P$1795,$N644)</f>
        <v>5</v>
      </c>
      <c r="W644" s="32" t="n">
        <f aca="false">INDEX('Tabela Passaro'!$R$2:$R$1795,$N644)</f>
        <v>30</v>
      </c>
      <c r="X644" s="32" t="n">
        <f aca="false">ROUNDUP(J644/INDEX('Tabela Passaro'!$T$2:$T$1795,$N644),0)*INDEX('Tabela Passaro'!$S$2:$S$1795,$N644)</f>
        <v>0</v>
      </c>
      <c r="Y644" s="32" t="n">
        <f aca="false">INDEX('Tabela Passaro'!$U$2:$U$1795,$N644)</f>
        <v>0</v>
      </c>
      <c r="Z644" s="32" t="n">
        <f aca="false">INDEX('Tabela Passaro'!$V$2:$V$1795,$N644)</f>
        <v>0</v>
      </c>
      <c r="AA644" s="32" t="n">
        <f aca="false">SUM(R644:Z644)</f>
        <v>146.96386</v>
      </c>
      <c r="AB644" s="33" t="n">
        <f aca="false">INDEX(Premissas!$B$5:$B$13,MATCH(A644,Premissas!$A$5:$A$13,0))</f>
        <v>0.07</v>
      </c>
      <c r="AC644" s="32" t="n">
        <f aca="false">AA644/(1-AB644)-AA644</f>
        <v>11.0617959139785</v>
      </c>
      <c r="AD644" s="32" t="n">
        <f aca="false">ROUND(AA644+AC644,2)</f>
        <v>158.03</v>
      </c>
      <c r="AE644" s="32" t="n">
        <f aca="false">AD644-L644</f>
        <v>-59.88</v>
      </c>
      <c r="AF644" s="34" t="n">
        <f aca="false">IF(L644=0,0,AE644/L644)</f>
        <v>-0.274792345463724</v>
      </c>
      <c r="AG644" s="22" t="str">
        <f aca="false">IF(AD644&lt;L644,"PASSARO","ATUAL")</f>
        <v>PASSARO</v>
      </c>
      <c r="AH644" s="22" t="str">
        <f aca="false">IF(P644&lt;&gt;A644,"Faixa cadastrada como "&amp;P644&amp;" na tabela; preço aplicado pela UF do CEP","")</f>
        <v/>
      </c>
      <c r="AI644" s="26" t="n">
        <v>175.58</v>
      </c>
      <c r="AJ644" s="22" t="str">
        <f aca="false">INDEX('Tabela Passaro'!$X$2:$X$1795,$N644)</f>
        <v>INTERIOR 2</v>
      </c>
    </row>
    <row r="645" customFormat="false" ht="15" hidden="false" customHeight="false" outlineLevel="0" collapsed="false">
      <c r="A645" s="22" t="s">
        <v>16</v>
      </c>
      <c r="B645" s="22" t="n">
        <v>8</v>
      </c>
      <c r="C645" s="22" t="s">
        <v>89</v>
      </c>
      <c r="D645" s="22" t="s">
        <v>30</v>
      </c>
      <c r="E645" s="22" t="s">
        <v>20</v>
      </c>
      <c r="F645" s="22" t="n">
        <v>840657</v>
      </c>
      <c r="G645" s="30" t="n">
        <v>46265</v>
      </c>
      <c r="H645" s="22" t="n">
        <v>32861</v>
      </c>
      <c r="I645" s="22" t="s">
        <v>7916</v>
      </c>
      <c r="J645" s="31" t="n">
        <v>69.11</v>
      </c>
      <c r="K645" s="26" t="n">
        <v>1059.98</v>
      </c>
      <c r="L645" s="26" t="n">
        <v>219.33</v>
      </c>
      <c r="M645" s="22" t="s">
        <v>1494</v>
      </c>
      <c r="N645" s="22" t="n">
        <f aca="false">MATCH(M645,'Tabela Passaro'!$A$2:$A$1795,0)</f>
        <v>307</v>
      </c>
      <c r="O645" s="22" t="str">
        <f aca="false">INDEX('Tabela Passaro'!$C$2:$C$1795,$N645)</f>
        <v>ILHEUS</v>
      </c>
      <c r="P645" s="22" t="str">
        <f aca="false">INDEX('Tabela Passaro'!$B$2:$B$1795,$N645)</f>
        <v>BA</v>
      </c>
      <c r="Q645" s="22" t="n">
        <f aca="false">INDEX('Tabela Passaro'!$F$2:$F$1795,$N645)</f>
        <v>11</v>
      </c>
      <c r="R645" s="32" t="n">
        <f aca="false">IF(J645&lt;=10,INDEX('Tabela Passaro'!$G$2:$G$1795,$N645),IF(J645&lt;=30,INDEX('Tabela Passaro'!$H$2:$H$1795,$N645),IF(J645&lt;=50,INDEX('Tabela Passaro'!$I$2:$I$1795,$N645),IF(J645&lt;=70,INDEX('Tabela Passaro'!$J$2:$J$1795,$N645),IF(J645&lt;=100,INDEX('Tabela Passaro'!$K$2:$K$1795,$N645),INDEX('Tabela Passaro'!$K$2:$K$1795,$N645)+(J645-100)*INDEX('Tabela Passaro'!$L$2:$L$1795,$N645))))))</f>
        <v>100.65</v>
      </c>
      <c r="S645" s="32" t="n">
        <f aca="false">K645*INDEX('Tabela Passaro'!$M$2:$M$1795,$N645)</f>
        <v>5.2999</v>
      </c>
      <c r="T645" s="32" t="n">
        <f aca="false">K645*INDEX('Tabela Passaro'!$N$2:$N$1795,$N645)</f>
        <v>2.11996</v>
      </c>
      <c r="U645" s="32" t="n">
        <f aca="false">INDEX('Tabela Passaro'!$O$2:$O$1795,$N645)</f>
        <v>5</v>
      </c>
      <c r="V645" s="32" t="n">
        <f aca="false">ROUNDUP(J645/INDEX('Tabela Passaro'!$Q$2:$Q$1795,$N645),0)*INDEX('Tabela Passaro'!$P$2:$P$1795,$N645)</f>
        <v>5</v>
      </c>
      <c r="W645" s="32" t="n">
        <f aca="false">INDEX('Tabela Passaro'!$R$2:$R$1795,$N645)</f>
        <v>30</v>
      </c>
      <c r="X645" s="32" t="n">
        <f aca="false">ROUNDUP(J645/INDEX('Tabela Passaro'!$T$2:$T$1795,$N645),0)*INDEX('Tabela Passaro'!$S$2:$S$1795,$N645)</f>
        <v>0</v>
      </c>
      <c r="Y645" s="32" t="n">
        <f aca="false">INDEX('Tabela Passaro'!$U$2:$U$1795,$N645)</f>
        <v>0</v>
      </c>
      <c r="Z645" s="32" t="n">
        <f aca="false">INDEX('Tabela Passaro'!$V$2:$V$1795,$N645)</f>
        <v>0</v>
      </c>
      <c r="AA645" s="32" t="n">
        <f aca="false">SUM(R645:Z645)</f>
        <v>148.06986</v>
      </c>
      <c r="AB645" s="33" t="n">
        <f aca="false">INDEX(Premissas!$B$5:$B$13,MATCH(A645,Premissas!$A$5:$A$13,0))</f>
        <v>0.07</v>
      </c>
      <c r="AC645" s="32" t="n">
        <f aca="false">AA645/(1-AB645)-AA645</f>
        <v>11.1450432258065</v>
      </c>
      <c r="AD645" s="32" t="n">
        <f aca="false">ROUND(AA645+AC645,2)</f>
        <v>159.21</v>
      </c>
      <c r="AE645" s="32" t="n">
        <f aca="false">AD645-L645</f>
        <v>-60.12</v>
      </c>
      <c r="AF645" s="34" t="n">
        <f aca="false">IF(L645=0,0,AE645/L645)</f>
        <v>-0.274107509232663</v>
      </c>
      <c r="AG645" s="22" t="str">
        <f aca="false">IF(AD645&lt;L645,"PASSARO","ATUAL")</f>
        <v>PASSARO</v>
      </c>
      <c r="AH645" s="22" t="str">
        <f aca="false">IF(P645&lt;&gt;A645,"Faixa cadastrada como "&amp;P645&amp;" na tabela; preço aplicado pela UF do CEP","")</f>
        <v/>
      </c>
      <c r="AI645" s="26" t="n">
        <v>185.82</v>
      </c>
      <c r="AJ645" s="22" t="str">
        <f aca="false">INDEX('Tabela Passaro'!$X$2:$X$1795,$N645)</f>
        <v>INTERIOR 2</v>
      </c>
    </row>
    <row r="646" customFormat="false" ht="15" hidden="false" customHeight="false" outlineLevel="0" collapsed="false">
      <c r="A646" s="22" t="s">
        <v>16</v>
      </c>
      <c r="B646" s="22" t="n">
        <v>8</v>
      </c>
      <c r="C646" s="22" t="s">
        <v>89</v>
      </c>
      <c r="D646" s="22" t="s">
        <v>31</v>
      </c>
      <c r="E646" s="22" t="s">
        <v>7326</v>
      </c>
      <c r="F646" s="22" t="n">
        <v>12730213</v>
      </c>
      <c r="G646" s="30" t="n">
        <v>46238</v>
      </c>
      <c r="H646" s="22" t="n">
        <v>620389</v>
      </c>
      <c r="I646" s="22" t="s">
        <v>7917</v>
      </c>
      <c r="J646" s="31" t="n">
        <v>2</v>
      </c>
      <c r="K646" s="26" t="n">
        <v>509.98</v>
      </c>
      <c r="L646" s="26" t="n">
        <v>27.52</v>
      </c>
      <c r="M646" s="22" t="s">
        <v>1494</v>
      </c>
      <c r="N646" s="22" t="n">
        <f aca="false">MATCH(M646,'Tabela Passaro'!$A$2:$A$1795,0)</f>
        <v>307</v>
      </c>
      <c r="O646" s="22" t="str">
        <f aca="false">INDEX('Tabela Passaro'!$C$2:$C$1795,$N646)</f>
        <v>ILHEUS</v>
      </c>
      <c r="P646" s="22" t="str">
        <f aca="false">INDEX('Tabela Passaro'!$B$2:$B$1795,$N646)</f>
        <v>BA</v>
      </c>
      <c r="Q646" s="22" t="n">
        <f aca="false">INDEX('Tabela Passaro'!$F$2:$F$1795,$N646)</f>
        <v>11</v>
      </c>
      <c r="R646" s="32" t="n">
        <f aca="false">IF(J646&lt;=10,INDEX('Tabela Passaro'!$G$2:$G$1795,$N646),IF(J646&lt;=30,INDEX('Tabela Passaro'!$H$2:$H$1795,$N646),IF(J646&lt;=50,INDEX('Tabela Passaro'!$I$2:$I$1795,$N646),IF(J646&lt;=70,INDEX('Tabela Passaro'!$J$2:$J$1795,$N646),IF(J646&lt;=100,INDEX('Tabela Passaro'!$K$2:$K$1795,$N646),INDEX('Tabela Passaro'!$K$2:$K$1795,$N646)+(J646-100)*INDEX('Tabela Passaro'!$L$2:$L$1795,$N646))))))</f>
        <v>66.1</v>
      </c>
      <c r="S646" s="32" t="n">
        <f aca="false">K646*INDEX('Tabela Passaro'!$M$2:$M$1795,$N646)</f>
        <v>2.5499</v>
      </c>
      <c r="T646" s="32" t="n">
        <f aca="false">K646*INDEX('Tabela Passaro'!$N$2:$N$1795,$N646)</f>
        <v>1.01996</v>
      </c>
      <c r="U646" s="32" t="n">
        <f aca="false">INDEX('Tabela Passaro'!$O$2:$O$1795,$N646)</f>
        <v>5</v>
      </c>
      <c r="V646" s="32" t="n">
        <f aca="false">ROUNDUP(J646/INDEX('Tabela Passaro'!$Q$2:$Q$1795,$N646),0)*INDEX('Tabela Passaro'!$P$2:$P$1795,$N646)</f>
        <v>5</v>
      </c>
      <c r="W646" s="32" t="n">
        <f aca="false">INDEX('Tabela Passaro'!$R$2:$R$1795,$N646)</f>
        <v>30</v>
      </c>
      <c r="X646" s="32" t="n">
        <f aca="false">ROUNDUP(J646/INDEX('Tabela Passaro'!$T$2:$T$1795,$N646),0)*INDEX('Tabela Passaro'!$S$2:$S$1795,$N646)</f>
        <v>0</v>
      </c>
      <c r="Y646" s="32" t="n">
        <f aca="false">INDEX('Tabela Passaro'!$U$2:$U$1795,$N646)</f>
        <v>0</v>
      </c>
      <c r="Z646" s="32" t="n">
        <f aca="false">INDEX('Tabela Passaro'!$V$2:$V$1795,$N646)</f>
        <v>0</v>
      </c>
      <c r="AA646" s="32" t="n">
        <f aca="false">SUM(R646:Z646)</f>
        <v>109.66986</v>
      </c>
      <c r="AB646" s="33" t="n">
        <f aca="false">INDEX(Premissas!$B$5:$B$13,MATCH(A646,Premissas!$A$5:$A$13,0))</f>
        <v>0.07</v>
      </c>
      <c r="AC646" s="32" t="n">
        <f aca="false">AA646/(1-AB646)-AA646</f>
        <v>8.2547206451613</v>
      </c>
      <c r="AD646" s="32" t="n">
        <f aca="false">ROUND(AA646+AC646,2)</f>
        <v>117.92</v>
      </c>
      <c r="AE646" s="32" t="n">
        <f aca="false">AD646-L646</f>
        <v>90.4</v>
      </c>
      <c r="AF646" s="34" t="n">
        <f aca="false">IF(L646=0,0,AE646/L646)</f>
        <v>3.28488372093023</v>
      </c>
      <c r="AG646" s="22" t="str">
        <f aca="false">IF(AD646&lt;L646,"PASSARO","ATUAL")</f>
        <v>ATUAL</v>
      </c>
      <c r="AH646" s="22" t="str">
        <f aca="false">IF(P646&lt;&gt;A646,"Faixa cadastrada como "&amp;P646&amp;" na tabela; preço aplicado pela UF do CEP","")</f>
        <v/>
      </c>
      <c r="AI646" s="26" t="n">
        <v>110.02</v>
      </c>
      <c r="AJ646" s="22" t="str">
        <f aca="false">INDEX('Tabela Passaro'!$X$2:$X$1795,$N646)</f>
        <v>INTERIOR 2</v>
      </c>
    </row>
    <row r="647" customFormat="false" ht="15" hidden="false" customHeight="false" outlineLevel="0" collapsed="false">
      <c r="A647" s="22" t="s">
        <v>16</v>
      </c>
      <c r="B647" s="22" t="n">
        <v>9</v>
      </c>
      <c r="C647" s="22" t="s">
        <v>91</v>
      </c>
      <c r="D647" s="22" t="s">
        <v>30</v>
      </c>
      <c r="E647" s="22" t="s">
        <v>20</v>
      </c>
      <c r="F647" s="22" t="n">
        <v>837666</v>
      </c>
      <c r="G647" s="30" t="n">
        <v>46237</v>
      </c>
      <c r="H647" s="22" t="n">
        <v>32343</v>
      </c>
      <c r="I647" s="22" t="s">
        <v>7918</v>
      </c>
      <c r="J647" s="31" t="n">
        <v>37.8</v>
      </c>
      <c r="K647" s="26" t="n">
        <v>769.98</v>
      </c>
      <c r="L647" s="26" t="n">
        <v>172.36</v>
      </c>
      <c r="M647" s="22" t="s">
        <v>1521</v>
      </c>
      <c r="N647" s="22" t="n">
        <f aca="false">MATCH(M647,'Tabela Passaro'!$A$2:$A$1795,0)</f>
        <v>314</v>
      </c>
      <c r="O647" s="22" t="str">
        <f aca="false">INDEX('Tabela Passaro'!$C$2:$C$1795,$N647)</f>
        <v>ITABUNA</v>
      </c>
      <c r="P647" s="22" t="str">
        <f aca="false">INDEX('Tabela Passaro'!$B$2:$B$1795,$N647)</f>
        <v>BA</v>
      </c>
      <c r="Q647" s="22" t="n">
        <f aca="false">INDEX('Tabela Passaro'!$F$2:$F$1795,$N647)</f>
        <v>11</v>
      </c>
      <c r="R647" s="32" t="n">
        <f aca="false">IF(J647&lt;=10,INDEX('Tabela Passaro'!$G$2:$G$1795,$N647),IF(J647&lt;=30,INDEX('Tabela Passaro'!$H$2:$H$1795,$N647),IF(J647&lt;=50,INDEX('Tabela Passaro'!$I$2:$I$1795,$N647),IF(J647&lt;=70,INDEX('Tabela Passaro'!$J$2:$J$1795,$N647),IF(J647&lt;=100,INDEX('Tabela Passaro'!$K$2:$K$1795,$N647),INDEX('Tabela Passaro'!$K$2:$K$1795,$N647)+(J647-100)*INDEX('Tabela Passaro'!$L$2:$L$1795,$N647))))))</f>
        <v>89.14</v>
      </c>
      <c r="S647" s="32" t="n">
        <f aca="false">K647*INDEX('Tabela Passaro'!$M$2:$M$1795,$N647)</f>
        <v>3.8499</v>
      </c>
      <c r="T647" s="32" t="n">
        <f aca="false">K647*INDEX('Tabela Passaro'!$N$2:$N$1795,$N647)</f>
        <v>1.53996</v>
      </c>
      <c r="U647" s="32" t="n">
        <f aca="false">INDEX('Tabela Passaro'!$O$2:$O$1795,$N647)</f>
        <v>5</v>
      </c>
      <c r="V647" s="32" t="n">
        <f aca="false">ROUNDUP(J647/INDEX('Tabela Passaro'!$Q$2:$Q$1795,$N647),0)*INDEX('Tabela Passaro'!$P$2:$P$1795,$N647)</f>
        <v>5</v>
      </c>
      <c r="W647" s="32" t="n">
        <f aca="false">INDEX('Tabela Passaro'!$R$2:$R$1795,$N647)</f>
        <v>30</v>
      </c>
      <c r="X647" s="32" t="n">
        <f aca="false">ROUNDUP(J647/INDEX('Tabela Passaro'!$T$2:$T$1795,$N647),0)*INDEX('Tabela Passaro'!$S$2:$S$1795,$N647)</f>
        <v>0</v>
      </c>
      <c r="Y647" s="32" t="n">
        <f aca="false">INDEX('Tabela Passaro'!$U$2:$U$1795,$N647)</f>
        <v>0</v>
      </c>
      <c r="Z647" s="32" t="n">
        <f aca="false">INDEX('Tabela Passaro'!$V$2:$V$1795,$N647)</f>
        <v>0</v>
      </c>
      <c r="AA647" s="32" t="n">
        <f aca="false">SUM(R647:Z647)</f>
        <v>134.52986</v>
      </c>
      <c r="AB647" s="33" t="n">
        <f aca="false">INDEX(Premissas!$B$5:$B$13,MATCH(A647,Premissas!$A$5:$A$13,0))</f>
        <v>0.07</v>
      </c>
      <c r="AC647" s="32" t="n">
        <f aca="false">AA647/(1-AB647)-AA647</f>
        <v>10.1259034408602</v>
      </c>
      <c r="AD647" s="32" t="n">
        <f aca="false">ROUND(AA647+AC647,2)</f>
        <v>144.66</v>
      </c>
      <c r="AE647" s="32" t="n">
        <f aca="false">AD647-L647</f>
        <v>-27.7</v>
      </c>
      <c r="AF647" s="34" t="n">
        <f aca="false">IF(L647=0,0,AE647/L647)</f>
        <v>-0.160710141564168</v>
      </c>
      <c r="AG647" s="22" t="str">
        <f aca="false">IF(AD647&lt;L647,"PASSARO","ATUAL")</f>
        <v>PASSARO</v>
      </c>
      <c r="AH647" s="22" t="str">
        <f aca="false">IF(P647&lt;&gt;A647,"Faixa cadastrada como "&amp;P647&amp;" na tabela; preço aplicado pela UF do CEP","")</f>
        <v/>
      </c>
      <c r="AI647" s="26" t="n">
        <v>155.01</v>
      </c>
      <c r="AJ647" s="22" t="str">
        <f aca="false">INDEX('Tabela Passaro'!$X$2:$X$1795,$N647)</f>
        <v>INTERIOR 2</v>
      </c>
    </row>
    <row r="648" customFormat="false" ht="15" hidden="false" customHeight="false" outlineLevel="0" collapsed="false">
      <c r="A648" s="22" t="s">
        <v>16</v>
      </c>
      <c r="B648" s="22" t="n">
        <v>9</v>
      </c>
      <c r="C648" s="22" t="s">
        <v>91</v>
      </c>
      <c r="D648" s="22" t="s">
        <v>30</v>
      </c>
      <c r="E648" s="22" t="s">
        <v>7328</v>
      </c>
      <c r="F648" s="22" t="n">
        <v>2307458</v>
      </c>
      <c r="G648" s="30" t="n">
        <v>46238</v>
      </c>
      <c r="H648" s="22" t="n">
        <v>131332</v>
      </c>
      <c r="I648" s="22" t="s">
        <v>7919</v>
      </c>
      <c r="J648" s="31" t="n">
        <v>27.6</v>
      </c>
      <c r="K648" s="26" t="n">
        <v>662.83</v>
      </c>
      <c r="L648" s="26" t="n">
        <v>128.68</v>
      </c>
      <c r="M648" s="22" t="s">
        <v>1521</v>
      </c>
      <c r="N648" s="22" t="n">
        <f aca="false">MATCH(M648,'Tabela Passaro'!$A$2:$A$1795,0)</f>
        <v>314</v>
      </c>
      <c r="O648" s="22" t="str">
        <f aca="false">INDEX('Tabela Passaro'!$C$2:$C$1795,$N648)</f>
        <v>ITABUNA</v>
      </c>
      <c r="P648" s="22" t="str">
        <f aca="false">INDEX('Tabela Passaro'!$B$2:$B$1795,$N648)</f>
        <v>BA</v>
      </c>
      <c r="Q648" s="22" t="n">
        <f aca="false">INDEX('Tabela Passaro'!$F$2:$F$1795,$N648)</f>
        <v>11</v>
      </c>
      <c r="R648" s="32" t="n">
        <f aca="false">IF(J648&lt;=10,INDEX('Tabela Passaro'!$G$2:$G$1795,$N648),IF(J648&lt;=30,INDEX('Tabela Passaro'!$H$2:$H$1795,$N648),IF(J648&lt;=50,INDEX('Tabela Passaro'!$I$2:$I$1795,$N648),IF(J648&lt;=70,INDEX('Tabela Passaro'!$J$2:$J$1795,$N648),IF(J648&lt;=100,INDEX('Tabela Passaro'!$K$2:$K$1795,$N648),INDEX('Tabela Passaro'!$K$2:$K$1795,$N648)+(J648-100)*INDEX('Tabela Passaro'!$L$2:$L$1795,$N648))))))</f>
        <v>77.62</v>
      </c>
      <c r="S648" s="32" t="n">
        <f aca="false">K648*INDEX('Tabela Passaro'!$M$2:$M$1795,$N648)</f>
        <v>3.31415</v>
      </c>
      <c r="T648" s="32" t="n">
        <f aca="false">K648*INDEX('Tabela Passaro'!$N$2:$N$1795,$N648)</f>
        <v>1.32566</v>
      </c>
      <c r="U648" s="32" t="n">
        <f aca="false">INDEX('Tabela Passaro'!$O$2:$O$1795,$N648)</f>
        <v>5</v>
      </c>
      <c r="V648" s="32" t="n">
        <f aca="false">ROUNDUP(J648/INDEX('Tabela Passaro'!$Q$2:$Q$1795,$N648),0)*INDEX('Tabela Passaro'!$P$2:$P$1795,$N648)</f>
        <v>5</v>
      </c>
      <c r="W648" s="32" t="n">
        <f aca="false">INDEX('Tabela Passaro'!$R$2:$R$1795,$N648)</f>
        <v>30</v>
      </c>
      <c r="X648" s="32" t="n">
        <f aca="false">ROUNDUP(J648/INDEX('Tabela Passaro'!$T$2:$T$1795,$N648),0)*INDEX('Tabela Passaro'!$S$2:$S$1795,$N648)</f>
        <v>0</v>
      </c>
      <c r="Y648" s="32" t="n">
        <f aca="false">INDEX('Tabela Passaro'!$U$2:$U$1795,$N648)</f>
        <v>0</v>
      </c>
      <c r="Z648" s="32" t="n">
        <f aca="false">INDEX('Tabela Passaro'!$V$2:$V$1795,$N648)</f>
        <v>0</v>
      </c>
      <c r="AA648" s="32" t="n">
        <f aca="false">SUM(R648:Z648)</f>
        <v>122.25981</v>
      </c>
      <c r="AB648" s="33" t="n">
        <f aca="false">INDEX(Premissas!$B$5:$B$13,MATCH(A648,Premissas!$A$5:$A$13,0))</f>
        <v>0.07</v>
      </c>
      <c r="AC648" s="32" t="n">
        <f aca="false">AA648/(1-AB648)-AA648</f>
        <v>9.2023512903226</v>
      </c>
      <c r="AD648" s="32" t="n">
        <f aca="false">ROUND(AA648+AC648,2)</f>
        <v>131.46</v>
      </c>
      <c r="AE648" s="32" t="n">
        <f aca="false">AD648-L648</f>
        <v>2.78</v>
      </c>
      <c r="AF648" s="34" t="n">
        <f aca="false">IF(L648=0,0,AE648/L648)</f>
        <v>0.0216039788622941</v>
      </c>
      <c r="AG648" s="22" t="str">
        <f aca="false">IF(AD648&lt;L648,"PASSARO","ATUAL")</f>
        <v>ATUAL</v>
      </c>
      <c r="AH648" s="22" t="str">
        <f aca="false">IF(P648&lt;&gt;A648,"Faixa cadastrada como "&amp;P648&amp;" na tabela; preço aplicado pela UF do CEP","")</f>
        <v/>
      </c>
      <c r="AI648" s="26" t="n">
        <v>136.61</v>
      </c>
      <c r="AJ648" s="22" t="str">
        <f aca="false">INDEX('Tabela Passaro'!$X$2:$X$1795,$N648)</f>
        <v>INTERIOR 2</v>
      </c>
    </row>
    <row r="649" customFormat="false" ht="15" hidden="false" customHeight="false" outlineLevel="0" collapsed="false">
      <c r="A649" s="22" t="s">
        <v>16</v>
      </c>
      <c r="B649" s="22" t="n">
        <v>9</v>
      </c>
      <c r="C649" s="22" t="s">
        <v>91</v>
      </c>
      <c r="D649" s="22" t="s">
        <v>30</v>
      </c>
      <c r="E649" s="22" t="s">
        <v>7328</v>
      </c>
      <c r="F649" s="22" t="n">
        <v>2307967</v>
      </c>
      <c r="G649" s="30" t="n">
        <v>46239</v>
      </c>
      <c r="H649" s="22" t="n">
        <v>131955</v>
      </c>
      <c r="I649" s="22" t="s">
        <v>7920</v>
      </c>
      <c r="J649" s="31" t="n">
        <v>35.2</v>
      </c>
      <c r="K649" s="26" t="n">
        <v>653.33</v>
      </c>
      <c r="L649" s="26" t="n">
        <v>169.75</v>
      </c>
      <c r="M649" s="22" t="s">
        <v>1521</v>
      </c>
      <c r="N649" s="22" t="n">
        <f aca="false">MATCH(M649,'Tabela Passaro'!$A$2:$A$1795,0)</f>
        <v>314</v>
      </c>
      <c r="O649" s="22" t="str">
        <f aca="false">INDEX('Tabela Passaro'!$C$2:$C$1795,$N649)</f>
        <v>ITABUNA</v>
      </c>
      <c r="P649" s="22" t="str">
        <f aca="false">INDEX('Tabela Passaro'!$B$2:$B$1795,$N649)</f>
        <v>BA</v>
      </c>
      <c r="Q649" s="22" t="n">
        <f aca="false">INDEX('Tabela Passaro'!$F$2:$F$1795,$N649)</f>
        <v>11</v>
      </c>
      <c r="R649" s="32" t="n">
        <f aca="false">IF(J649&lt;=10,INDEX('Tabela Passaro'!$G$2:$G$1795,$N649),IF(J649&lt;=30,INDEX('Tabela Passaro'!$H$2:$H$1795,$N649),IF(J649&lt;=50,INDEX('Tabela Passaro'!$I$2:$I$1795,$N649),IF(J649&lt;=70,INDEX('Tabela Passaro'!$J$2:$J$1795,$N649),IF(J649&lt;=100,INDEX('Tabela Passaro'!$K$2:$K$1795,$N649),INDEX('Tabela Passaro'!$K$2:$K$1795,$N649)+(J649-100)*INDEX('Tabela Passaro'!$L$2:$L$1795,$N649))))))</f>
        <v>89.14</v>
      </c>
      <c r="S649" s="32" t="n">
        <f aca="false">K649*INDEX('Tabela Passaro'!$M$2:$M$1795,$N649)</f>
        <v>3.26665</v>
      </c>
      <c r="T649" s="32" t="n">
        <f aca="false">K649*INDEX('Tabela Passaro'!$N$2:$N$1795,$N649)</f>
        <v>1.30666</v>
      </c>
      <c r="U649" s="32" t="n">
        <f aca="false">INDEX('Tabela Passaro'!$O$2:$O$1795,$N649)</f>
        <v>5</v>
      </c>
      <c r="V649" s="32" t="n">
        <f aca="false">ROUNDUP(J649/INDEX('Tabela Passaro'!$Q$2:$Q$1795,$N649),0)*INDEX('Tabela Passaro'!$P$2:$P$1795,$N649)</f>
        <v>5</v>
      </c>
      <c r="W649" s="32" t="n">
        <f aca="false">INDEX('Tabela Passaro'!$R$2:$R$1795,$N649)</f>
        <v>30</v>
      </c>
      <c r="X649" s="32" t="n">
        <f aca="false">ROUNDUP(J649/INDEX('Tabela Passaro'!$T$2:$T$1795,$N649),0)*INDEX('Tabela Passaro'!$S$2:$S$1795,$N649)</f>
        <v>0</v>
      </c>
      <c r="Y649" s="32" t="n">
        <f aca="false">INDEX('Tabela Passaro'!$U$2:$U$1795,$N649)</f>
        <v>0</v>
      </c>
      <c r="Z649" s="32" t="n">
        <f aca="false">INDEX('Tabela Passaro'!$V$2:$V$1795,$N649)</f>
        <v>0</v>
      </c>
      <c r="AA649" s="32" t="n">
        <f aca="false">SUM(R649:Z649)</f>
        <v>133.71331</v>
      </c>
      <c r="AB649" s="33" t="n">
        <f aca="false">INDEX(Premissas!$B$5:$B$13,MATCH(A649,Premissas!$A$5:$A$13,0))</f>
        <v>0.07</v>
      </c>
      <c r="AC649" s="32" t="n">
        <f aca="false">AA649/(1-AB649)-AA649</f>
        <v>10.0644426881721</v>
      </c>
      <c r="AD649" s="32" t="n">
        <f aca="false">ROUND(AA649+AC649,2)</f>
        <v>143.78</v>
      </c>
      <c r="AE649" s="32" t="n">
        <f aca="false">AD649-L649</f>
        <v>-25.97</v>
      </c>
      <c r="AF649" s="34" t="n">
        <f aca="false">IF(L649=0,0,AE649/L649)</f>
        <v>-0.152989690721649</v>
      </c>
      <c r="AG649" s="22" t="str">
        <f aca="false">IF(AD649&lt;L649,"PASSARO","ATUAL")</f>
        <v>PASSARO</v>
      </c>
      <c r="AH649" s="22" t="str">
        <f aca="false">IF(P649&lt;&gt;A649,"Faixa cadastrada como "&amp;P649&amp;" na tabela; preço aplicado pela UF do CEP","")</f>
        <v/>
      </c>
      <c r="AI649" s="26" t="n">
        <v>152.91</v>
      </c>
      <c r="AJ649" s="22" t="str">
        <f aca="false">INDEX('Tabela Passaro'!$X$2:$X$1795,$N649)</f>
        <v>INTERIOR 2</v>
      </c>
    </row>
    <row r="650" customFormat="false" ht="15" hidden="false" customHeight="false" outlineLevel="0" collapsed="false">
      <c r="A650" s="22" t="s">
        <v>16</v>
      </c>
      <c r="B650" s="22" t="n">
        <v>9</v>
      </c>
      <c r="C650" s="22" t="s">
        <v>91</v>
      </c>
      <c r="D650" s="22" t="s">
        <v>30</v>
      </c>
      <c r="E650" s="22" t="s">
        <v>7328</v>
      </c>
      <c r="F650" s="22" t="n">
        <v>2312325</v>
      </c>
      <c r="G650" s="30" t="n">
        <v>46248</v>
      </c>
      <c r="H650" s="22" t="n">
        <v>133224</v>
      </c>
      <c r="I650" s="22" t="s">
        <v>7921</v>
      </c>
      <c r="J650" s="31" t="n">
        <v>37.59</v>
      </c>
      <c r="K650" s="26" t="n">
        <v>544.98</v>
      </c>
      <c r="L650" s="26" t="n">
        <v>168.88</v>
      </c>
      <c r="M650" s="22" t="s">
        <v>1521</v>
      </c>
      <c r="N650" s="22" t="n">
        <f aca="false">MATCH(M650,'Tabela Passaro'!$A$2:$A$1795,0)</f>
        <v>314</v>
      </c>
      <c r="O650" s="22" t="str">
        <f aca="false">INDEX('Tabela Passaro'!$C$2:$C$1795,$N650)</f>
        <v>ITABUNA</v>
      </c>
      <c r="P650" s="22" t="str">
        <f aca="false">INDEX('Tabela Passaro'!$B$2:$B$1795,$N650)</f>
        <v>BA</v>
      </c>
      <c r="Q650" s="22" t="n">
        <f aca="false">INDEX('Tabela Passaro'!$F$2:$F$1795,$N650)</f>
        <v>11</v>
      </c>
      <c r="R650" s="32" t="n">
        <f aca="false">IF(J650&lt;=10,INDEX('Tabela Passaro'!$G$2:$G$1795,$N650),IF(J650&lt;=30,INDEX('Tabela Passaro'!$H$2:$H$1795,$N650),IF(J650&lt;=50,INDEX('Tabela Passaro'!$I$2:$I$1795,$N650),IF(J650&lt;=70,INDEX('Tabela Passaro'!$J$2:$J$1795,$N650),IF(J650&lt;=100,INDEX('Tabela Passaro'!$K$2:$K$1795,$N650),INDEX('Tabela Passaro'!$K$2:$K$1795,$N650)+(J650-100)*INDEX('Tabela Passaro'!$L$2:$L$1795,$N650))))))</f>
        <v>89.14</v>
      </c>
      <c r="S650" s="32" t="n">
        <f aca="false">K650*INDEX('Tabela Passaro'!$M$2:$M$1795,$N650)</f>
        <v>2.7249</v>
      </c>
      <c r="T650" s="32" t="n">
        <f aca="false">K650*INDEX('Tabela Passaro'!$N$2:$N$1795,$N650)</f>
        <v>1.08996</v>
      </c>
      <c r="U650" s="32" t="n">
        <f aca="false">INDEX('Tabela Passaro'!$O$2:$O$1795,$N650)</f>
        <v>5</v>
      </c>
      <c r="V650" s="32" t="n">
        <f aca="false">ROUNDUP(J650/INDEX('Tabela Passaro'!$Q$2:$Q$1795,$N650),0)*INDEX('Tabela Passaro'!$P$2:$P$1795,$N650)</f>
        <v>5</v>
      </c>
      <c r="W650" s="32" t="n">
        <f aca="false">INDEX('Tabela Passaro'!$R$2:$R$1795,$N650)</f>
        <v>30</v>
      </c>
      <c r="X650" s="32" t="n">
        <f aca="false">ROUNDUP(J650/INDEX('Tabela Passaro'!$T$2:$T$1795,$N650),0)*INDEX('Tabela Passaro'!$S$2:$S$1795,$N650)</f>
        <v>0</v>
      </c>
      <c r="Y650" s="32" t="n">
        <f aca="false">INDEX('Tabela Passaro'!$U$2:$U$1795,$N650)</f>
        <v>0</v>
      </c>
      <c r="Z650" s="32" t="n">
        <f aca="false">INDEX('Tabela Passaro'!$V$2:$V$1795,$N650)</f>
        <v>0</v>
      </c>
      <c r="AA650" s="32" t="n">
        <f aca="false">SUM(R650:Z650)</f>
        <v>132.95486</v>
      </c>
      <c r="AB650" s="33" t="n">
        <f aca="false">INDEX(Premissas!$B$5:$B$13,MATCH(A650,Premissas!$A$5:$A$13,0))</f>
        <v>0.07</v>
      </c>
      <c r="AC650" s="32" t="n">
        <f aca="false">AA650/(1-AB650)-AA650</f>
        <v>10.0073550537635</v>
      </c>
      <c r="AD650" s="32" t="n">
        <f aca="false">ROUND(AA650+AC650,2)</f>
        <v>142.96</v>
      </c>
      <c r="AE650" s="32" t="n">
        <f aca="false">AD650-L650</f>
        <v>-25.92</v>
      </c>
      <c r="AF650" s="34" t="n">
        <f aca="false">IF(L650=0,0,AE650/L650)</f>
        <v>-0.15348176219801</v>
      </c>
      <c r="AG650" s="22" t="str">
        <f aca="false">IF(AD650&lt;L650,"PASSARO","ATUAL")</f>
        <v>PASSARO</v>
      </c>
      <c r="AH650" s="22" t="str">
        <f aca="false">IF(P650&lt;&gt;A650,"Faixa cadastrada como "&amp;P650&amp;" na tabela; preço aplicado pela UF do CEP","")</f>
        <v/>
      </c>
      <c r="AI650" s="26" t="n">
        <v>152.83</v>
      </c>
      <c r="AJ650" s="22" t="str">
        <f aca="false">INDEX('Tabela Passaro'!$X$2:$X$1795,$N650)</f>
        <v>INTERIOR 2</v>
      </c>
    </row>
    <row r="651" customFormat="false" ht="15" hidden="false" customHeight="false" outlineLevel="0" collapsed="false">
      <c r="A651" s="22" t="s">
        <v>16</v>
      </c>
      <c r="B651" s="22" t="n">
        <v>9</v>
      </c>
      <c r="C651" s="22" t="s">
        <v>91</v>
      </c>
      <c r="D651" s="22" t="s">
        <v>30</v>
      </c>
      <c r="E651" s="22" t="s">
        <v>7328</v>
      </c>
      <c r="F651" s="22" t="n">
        <v>2313782</v>
      </c>
      <c r="G651" s="30" t="n">
        <v>46253</v>
      </c>
      <c r="H651" s="22" t="n">
        <v>133868</v>
      </c>
      <c r="I651" s="22" t="s">
        <v>7922</v>
      </c>
      <c r="J651" s="31" t="n">
        <v>27.5</v>
      </c>
      <c r="K651" s="26" t="n">
        <v>549.98</v>
      </c>
      <c r="L651" s="26" t="n">
        <v>127.78</v>
      </c>
      <c r="M651" s="22" t="s">
        <v>1521</v>
      </c>
      <c r="N651" s="22" t="n">
        <f aca="false">MATCH(M651,'Tabela Passaro'!$A$2:$A$1795,0)</f>
        <v>314</v>
      </c>
      <c r="O651" s="22" t="str">
        <f aca="false">INDEX('Tabela Passaro'!$C$2:$C$1795,$N651)</f>
        <v>ITABUNA</v>
      </c>
      <c r="P651" s="22" t="str">
        <f aca="false">INDEX('Tabela Passaro'!$B$2:$B$1795,$N651)</f>
        <v>BA</v>
      </c>
      <c r="Q651" s="22" t="n">
        <f aca="false">INDEX('Tabela Passaro'!$F$2:$F$1795,$N651)</f>
        <v>11</v>
      </c>
      <c r="R651" s="32" t="n">
        <f aca="false">IF(J651&lt;=10,INDEX('Tabela Passaro'!$G$2:$G$1795,$N651),IF(J651&lt;=30,INDEX('Tabela Passaro'!$H$2:$H$1795,$N651),IF(J651&lt;=50,INDEX('Tabela Passaro'!$I$2:$I$1795,$N651),IF(J651&lt;=70,INDEX('Tabela Passaro'!$J$2:$J$1795,$N651),IF(J651&lt;=100,INDEX('Tabela Passaro'!$K$2:$K$1795,$N651),INDEX('Tabela Passaro'!$K$2:$K$1795,$N651)+(J651-100)*INDEX('Tabela Passaro'!$L$2:$L$1795,$N651))))))</f>
        <v>77.62</v>
      </c>
      <c r="S651" s="32" t="n">
        <f aca="false">K651*INDEX('Tabela Passaro'!$M$2:$M$1795,$N651)</f>
        <v>2.7499</v>
      </c>
      <c r="T651" s="32" t="n">
        <f aca="false">K651*INDEX('Tabela Passaro'!$N$2:$N$1795,$N651)</f>
        <v>1.09996</v>
      </c>
      <c r="U651" s="32" t="n">
        <f aca="false">INDEX('Tabela Passaro'!$O$2:$O$1795,$N651)</f>
        <v>5</v>
      </c>
      <c r="V651" s="32" t="n">
        <f aca="false">ROUNDUP(J651/INDEX('Tabela Passaro'!$Q$2:$Q$1795,$N651),0)*INDEX('Tabela Passaro'!$P$2:$P$1795,$N651)</f>
        <v>5</v>
      </c>
      <c r="W651" s="32" t="n">
        <f aca="false">INDEX('Tabela Passaro'!$R$2:$R$1795,$N651)</f>
        <v>30</v>
      </c>
      <c r="X651" s="32" t="n">
        <f aca="false">ROUNDUP(J651/INDEX('Tabela Passaro'!$T$2:$T$1795,$N651),0)*INDEX('Tabela Passaro'!$S$2:$S$1795,$N651)</f>
        <v>0</v>
      </c>
      <c r="Y651" s="32" t="n">
        <f aca="false">INDEX('Tabela Passaro'!$U$2:$U$1795,$N651)</f>
        <v>0</v>
      </c>
      <c r="Z651" s="32" t="n">
        <f aca="false">INDEX('Tabela Passaro'!$V$2:$V$1795,$N651)</f>
        <v>0</v>
      </c>
      <c r="AA651" s="32" t="n">
        <f aca="false">SUM(R651:Z651)</f>
        <v>121.46986</v>
      </c>
      <c r="AB651" s="33" t="n">
        <f aca="false">INDEX(Premissas!$B$5:$B$13,MATCH(A651,Premissas!$A$5:$A$13,0))</f>
        <v>0.07</v>
      </c>
      <c r="AC651" s="32" t="n">
        <f aca="false">AA651/(1-AB651)-AA651</f>
        <v>9.14289268817205</v>
      </c>
      <c r="AD651" s="32" t="n">
        <f aca="false">ROUND(AA651+AC651,2)</f>
        <v>130.61</v>
      </c>
      <c r="AE651" s="32" t="n">
        <f aca="false">AD651-L651</f>
        <v>2.83000000000001</v>
      </c>
      <c r="AF651" s="34" t="n">
        <f aca="false">IF(L651=0,0,AE651/L651)</f>
        <v>0.0221474409140712</v>
      </c>
      <c r="AG651" s="22" t="str">
        <f aca="false">IF(AD651&lt;L651,"PASSARO","ATUAL")</f>
        <v>ATUAL</v>
      </c>
      <c r="AH651" s="22" t="str">
        <f aca="false">IF(P651&lt;&gt;A651,"Faixa cadastrada como "&amp;P651&amp;" na tabela; preço aplicado pela UF do CEP","")</f>
        <v/>
      </c>
      <c r="AI651" s="26" t="n">
        <v>135.52</v>
      </c>
      <c r="AJ651" s="22" t="str">
        <f aca="false">INDEX('Tabela Passaro'!$X$2:$X$1795,$N651)</f>
        <v>INTERIOR 2</v>
      </c>
    </row>
    <row r="652" customFormat="false" ht="15" hidden="false" customHeight="false" outlineLevel="0" collapsed="false">
      <c r="A652" s="22" t="s">
        <v>16</v>
      </c>
      <c r="B652" s="22" t="n">
        <v>9</v>
      </c>
      <c r="C652" s="22" t="s">
        <v>91</v>
      </c>
      <c r="D652" s="22" t="s">
        <v>30</v>
      </c>
      <c r="E652" s="22" t="s">
        <v>7328</v>
      </c>
      <c r="F652" s="22" t="n">
        <v>2313830</v>
      </c>
      <c r="G652" s="30" t="n">
        <v>46253</v>
      </c>
      <c r="H652" s="22" t="n">
        <v>133926</v>
      </c>
      <c r="I652" s="22" t="s">
        <v>7923</v>
      </c>
      <c r="J652" s="31" t="n">
        <v>44.5</v>
      </c>
      <c r="K652" s="26" t="n">
        <v>897.77</v>
      </c>
      <c r="L652" s="26" t="n">
        <v>171.68</v>
      </c>
      <c r="M652" s="22" t="s">
        <v>1521</v>
      </c>
      <c r="N652" s="22" t="n">
        <f aca="false">MATCH(M652,'Tabela Passaro'!$A$2:$A$1795,0)</f>
        <v>314</v>
      </c>
      <c r="O652" s="22" t="str">
        <f aca="false">INDEX('Tabela Passaro'!$C$2:$C$1795,$N652)</f>
        <v>ITABUNA</v>
      </c>
      <c r="P652" s="22" t="str">
        <f aca="false">INDEX('Tabela Passaro'!$B$2:$B$1795,$N652)</f>
        <v>BA</v>
      </c>
      <c r="Q652" s="22" t="n">
        <f aca="false">INDEX('Tabela Passaro'!$F$2:$F$1795,$N652)</f>
        <v>11</v>
      </c>
      <c r="R652" s="32" t="n">
        <f aca="false">IF(J652&lt;=10,INDEX('Tabela Passaro'!$G$2:$G$1795,$N652),IF(J652&lt;=30,INDEX('Tabela Passaro'!$H$2:$H$1795,$N652),IF(J652&lt;=50,INDEX('Tabela Passaro'!$I$2:$I$1795,$N652),IF(J652&lt;=70,INDEX('Tabela Passaro'!$J$2:$J$1795,$N652),IF(J652&lt;=100,INDEX('Tabela Passaro'!$K$2:$K$1795,$N652),INDEX('Tabela Passaro'!$K$2:$K$1795,$N652)+(J652-100)*INDEX('Tabela Passaro'!$L$2:$L$1795,$N652))))))</f>
        <v>89.14</v>
      </c>
      <c r="S652" s="32" t="n">
        <f aca="false">K652*INDEX('Tabela Passaro'!$M$2:$M$1795,$N652)</f>
        <v>4.48885</v>
      </c>
      <c r="T652" s="32" t="n">
        <f aca="false">K652*INDEX('Tabela Passaro'!$N$2:$N$1795,$N652)</f>
        <v>1.79554</v>
      </c>
      <c r="U652" s="32" t="n">
        <f aca="false">INDEX('Tabela Passaro'!$O$2:$O$1795,$N652)</f>
        <v>5</v>
      </c>
      <c r="V652" s="32" t="n">
        <f aca="false">ROUNDUP(J652/INDEX('Tabela Passaro'!$Q$2:$Q$1795,$N652),0)*INDEX('Tabela Passaro'!$P$2:$P$1795,$N652)</f>
        <v>5</v>
      </c>
      <c r="W652" s="32" t="n">
        <f aca="false">INDEX('Tabela Passaro'!$R$2:$R$1795,$N652)</f>
        <v>30</v>
      </c>
      <c r="X652" s="32" t="n">
        <f aca="false">ROUNDUP(J652/INDEX('Tabela Passaro'!$T$2:$T$1795,$N652),0)*INDEX('Tabela Passaro'!$S$2:$S$1795,$N652)</f>
        <v>0</v>
      </c>
      <c r="Y652" s="32" t="n">
        <f aca="false">INDEX('Tabela Passaro'!$U$2:$U$1795,$N652)</f>
        <v>0</v>
      </c>
      <c r="Z652" s="32" t="n">
        <f aca="false">INDEX('Tabela Passaro'!$V$2:$V$1795,$N652)</f>
        <v>0</v>
      </c>
      <c r="AA652" s="32" t="n">
        <f aca="false">SUM(R652:Z652)</f>
        <v>135.42439</v>
      </c>
      <c r="AB652" s="33" t="n">
        <f aca="false">INDEX(Premissas!$B$5:$B$13,MATCH(A652,Premissas!$A$5:$A$13,0))</f>
        <v>0.07</v>
      </c>
      <c r="AC652" s="32" t="n">
        <f aca="false">AA652/(1-AB652)-AA652</f>
        <v>10.193233655914</v>
      </c>
      <c r="AD652" s="32" t="n">
        <f aca="false">ROUND(AA652+AC652,2)</f>
        <v>145.62</v>
      </c>
      <c r="AE652" s="32" t="n">
        <f aca="false">AD652-L652</f>
        <v>-26.06</v>
      </c>
      <c r="AF652" s="34" t="n">
        <f aca="false">IF(L652=0,0,AE652/L652)</f>
        <v>-0.151794035414725</v>
      </c>
      <c r="AG652" s="22" t="str">
        <f aca="false">IF(AD652&lt;L652,"PASSARO","ATUAL")</f>
        <v>PASSARO</v>
      </c>
      <c r="AH652" s="22" t="str">
        <f aca="false">IF(P652&lt;&gt;A652,"Faixa cadastrada como "&amp;P652&amp;" na tabela; preço aplicado pela UF do CEP","")</f>
        <v/>
      </c>
      <c r="AI652" s="26" t="n">
        <v>159.63</v>
      </c>
      <c r="AJ652" s="22" t="str">
        <f aca="false">INDEX('Tabela Passaro'!$X$2:$X$1795,$N652)</f>
        <v>INTERIOR 2</v>
      </c>
    </row>
    <row r="653" customFormat="false" ht="15" hidden="false" customHeight="false" outlineLevel="0" collapsed="false">
      <c r="A653" s="22" t="s">
        <v>16</v>
      </c>
      <c r="B653" s="22" t="n">
        <v>9</v>
      </c>
      <c r="C653" s="22" t="s">
        <v>91</v>
      </c>
      <c r="D653" s="22" t="s">
        <v>30</v>
      </c>
      <c r="E653" s="22" t="s">
        <v>7328</v>
      </c>
      <c r="F653" s="22" t="n">
        <v>2314434</v>
      </c>
      <c r="G653" s="30" t="n">
        <v>46254</v>
      </c>
      <c r="H653" s="22" t="n">
        <v>134114</v>
      </c>
      <c r="I653" s="22" t="s">
        <v>7924</v>
      </c>
      <c r="J653" s="31" t="n">
        <v>44.5</v>
      </c>
      <c r="K653" s="26" t="n">
        <v>951.98</v>
      </c>
      <c r="L653" s="26" t="n">
        <v>172.11</v>
      </c>
      <c r="M653" s="22" t="s">
        <v>1521</v>
      </c>
      <c r="N653" s="22" t="n">
        <f aca="false">MATCH(M653,'Tabela Passaro'!$A$2:$A$1795,0)</f>
        <v>314</v>
      </c>
      <c r="O653" s="22" t="str">
        <f aca="false">INDEX('Tabela Passaro'!$C$2:$C$1795,$N653)</f>
        <v>ITABUNA</v>
      </c>
      <c r="P653" s="22" t="str">
        <f aca="false">INDEX('Tabela Passaro'!$B$2:$B$1795,$N653)</f>
        <v>BA</v>
      </c>
      <c r="Q653" s="22" t="n">
        <f aca="false">INDEX('Tabela Passaro'!$F$2:$F$1795,$N653)</f>
        <v>11</v>
      </c>
      <c r="R653" s="32" t="n">
        <f aca="false">IF(J653&lt;=10,INDEX('Tabela Passaro'!$G$2:$G$1795,$N653),IF(J653&lt;=30,INDEX('Tabela Passaro'!$H$2:$H$1795,$N653),IF(J653&lt;=50,INDEX('Tabela Passaro'!$I$2:$I$1795,$N653),IF(J653&lt;=70,INDEX('Tabela Passaro'!$J$2:$J$1795,$N653),IF(J653&lt;=100,INDEX('Tabela Passaro'!$K$2:$K$1795,$N653),INDEX('Tabela Passaro'!$K$2:$K$1795,$N653)+(J653-100)*INDEX('Tabela Passaro'!$L$2:$L$1795,$N653))))))</f>
        <v>89.14</v>
      </c>
      <c r="S653" s="32" t="n">
        <f aca="false">K653*INDEX('Tabela Passaro'!$M$2:$M$1795,$N653)</f>
        <v>4.7599</v>
      </c>
      <c r="T653" s="32" t="n">
        <f aca="false">K653*INDEX('Tabela Passaro'!$N$2:$N$1795,$N653)</f>
        <v>1.90396</v>
      </c>
      <c r="U653" s="32" t="n">
        <f aca="false">INDEX('Tabela Passaro'!$O$2:$O$1795,$N653)</f>
        <v>5</v>
      </c>
      <c r="V653" s="32" t="n">
        <f aca="false">ROUNDUP(J653/INDEX('Tabela Passaro'!$Q$2:$Q$1795,$N653),0)*INDEX('Tabela Passaro'!$P$2:$P$1795,$N653)</f>
        <v>5</v>
      </c>
      <c r="W653" s="32" t="n">
        <f aca="false">INDEX('Tabela Passaro'!$R$2:$R$1795,$N653)</f>
        <v>30</v>
      </c>
      <c r="X653" s="32" t="n">
        <f aca="false">ROUNDUP(J653/INDEX('Tabela Passaro'!$T$2:$T$1795,$N653),0)*INDEX('Tabela Passaro'!$S$2:$S$1795,$N653)</f>
        <v>0</v>
      </c>
      <c r="Y653" s="32" t="n">
        <f aca="false">INDEX('Tabela Passaro'!$U$2:$U$1795,$N653)</f>
        <v>0</v>
      </c>
      <c r="Z653" s="32" t="n">
        <f aca="false">INDEX('Tabela Passaro'!$V$2:$V$1795,$N653)</f>
        <v>0</v>
      </c>
      <c r="AA653" s="32" t="n">
        <f aca="false">SUM(R653:Z653)</f>
        <v>135.80386</v>
      </c>
      <c r="AB653" s="33" t="n">
        <f aca="false">INDEX(Premissas!$B$5:$B$13,MATCH(A653,Premissas!$A$5:$A$13,0))</f>
        <v>0.07</v>
      </c>
      <c r="AC653" s="32" t="n">
        <f aca="false">AA653/(1-AB653)-AA653</f>
        <v>10.2217959139785</v>
      </c>
      <c r="AD653" s="32" t="n">
        <f aca="false">ROUND(AA653+AC653,2)</f>
        <v>146.03</v>
      </c>
      <c r="AE653" s="32" t="n">
        <f aca="false">AD653-L653</f>
        <v>-26.08</v>
      </c>
      <c r="AF653" s="34" t="n">
        <f aca="false">IF(L653=0,0,AE653/L653)</f>
        <v>-0.151530997617803</v>
      </c>
      <c r="AG653" s="22" t="str">
        <f aca="false">IF(AD653&lt;L653,"PASSARO","ATUAL")</f>
        <v>PASSARO</v>
      </c>
      <c r="AH653" s="22" t="str">
        <f aca="false">IF(P653&lt;&gt;A653,"Faixa cadastrada como "&amp;P653&amp;" na tabela; preço aplicado pela UF do CEP","")</f>
        <v/>
      </c>
      <c r="AI653" s="26" t="n">
        <v>160.16</v>
      </c>
      <c r="AJ653" s="22" t="str">
        <f aca="false">INDEX('Tabela Passaro'!$X$2:$X$1795,$N653)</f>
        <v>INTERIOR 2</v>
      </c>
    </row>
    <row r="654" customFormat="false" ht="15" hidden="false" customHeight="false" outlineLevel="0" collapsed="false">
      <c r="A654" s="22" t="s">
        <v>16</v>
      </c>
      <c r="B654" s="22" t="n">
        <v>9</v>
      </c>
      <c r="C654" s="22" t="s">
        <v>91</v>
      </c>
      <c r="D654" s="22" t="s">
        <v>30</v>
      </c>
      <c r="E654" s="22" t="s">
        <v>7328</v>
      </c>
      <c r="F654" s="22" t="n">
        <v>2315856</v>
      </c>
      <c r="G654" s="30" t="n">
        <v>46258</v>
      </c>
      <c r="H654" s="22" t="n">
        <v>135122</v>
      </c>
      <c r="I654" s="22" t="s">
        <v>7925</v>
      </c>
      <c r="J654" s="31" t="n">
        <v>66.4</v>
      </c>
      <c r="K654" s="26" t="n">
        <v>954.47</v>
      </c>
      <c r="L654" s="26" t="n">
        <v>214.33</v>
      </c>
      <c r="M654" s="22" t="s">
        <v>1521</v>
      </c>
      <c r="N654" s="22" t="n">
        <f aca="false">MATCH(M654,'Tabela Passaro'!$A$2:$A$1795,0)</f>
        <v>314</v>
      </c>
      <c r="O654" s="22" t="str">
        <f aca="false">INDEX('Tabela Passaro'!$C$2:$C$1795,$N654)</f>
        <v>ITABUNA</v>
      </c>
      <c r="P654" s="22" t="str">
        <f aca="false">INDEX('Tabela Passaro'!$B$2:$B$1795,$N654)</f>
        <v>BA</v>
      </c>
      <c r="Q654" s="22" t="n">
        <f aca="false">INDEX('Tabela Passaro'!$F$2:$F$1795,$N654)</f>
        <v>11</v>
      </c>
      <c r="R654" s="32" t="n">
        <f aca="false">IF(J654&lt;=10,INDEX('Tabela Passaro'!$G$2:$G$1795,$N654),IF(J654&lt;=30,INDEX('Tabela Passaro'!$H$2:$H$1795,$N654),IF(J654&lt;=50,INDEX('Tabela Passaro'!$I$2:$I$1795,$N654),IF(J654&lt;=70,INDEX('Tabela Passaro'!$J$2:$J$1795,$N654),IF(J654&lt;=100,INDEX('Tabela Passaro'!$K$2:$K$1795,$N654),INDEX('Tabela Passaro'!$K$2:$K$1795,$N654)+(J654-100)*INDEX('Tabela Passaro'!$L$2:$L$1795,$N654))))))</f>
        <v>100.65</v>
      </c>
      <c r="S654" s="32" t="n">
        <f aca="false">K654*INDEX('Tabela Passaro'!$M$2:$M$1795,$N654)</f>
        <v>4.77235</v>
      </c>
      <c r="T654" s="32" t="n">
        <f aca="false">K654*INDEX('Tabela Passaro'!$N$2:$N$1795,$N654)</f>
        <v>1.90894</v>
      </c>
      <c r="U654" s="32" t="n">
        <f aca="false">INDEX('Tabela Passaro'!$O$2:$O$1795,$N654)</f>
        <v>5</v>
      </c>
      <c r="V654" s="32" t="n">
        <f aca="false">ROUNDUP(J654/INDEX('Tabela Passaro'!$Q$2:$Q$1795,$N654),0)*INDEX('Tabela Passaro'!$P$2:$P$1795,$N654)</f>
        <v>5</v>
      </c>
      <c r="W654" s="32" t="n">
        <f aca="false">INDEX('Tabela Passaro'!$R$2:$R$1795,$N654)</f>
        <v>30</v>
      </c>
      <c r="X654" s="32" t="n">
        <f aca="false">ROUNDUP(J654/INDEX('Tabela Passaro'!$T$2:$T$1795,$N654),0)*INDEX('Tabela Passaro'!$S$2:$S$1795,$N654)</f>
        <v>0</v>
      </c>
      <c r="Y654" s="32" t="n">
        <f aca="false">INDEX('Tabela Passaro'!$U$2:$U$1795,$N654)</f>
        <v>0</v>
      </c>
      <c r="Z654" s="32" t="n">
        <f aca="false">INDEX('Tabela Passaro'!$V$2:$V$1795,$N654)</f>
        <v>0</v>
      </c>
      <c r="AA654" s="32" t="n">
        <f aca="false">SUM(R654:Z654)</f>
        <v>147.33129</v>
      </c>
      <c r="AB654" s="33" t="n">
        <f aca="false">INDEX(Premissas!$B$5:$B$13,MATCH(A654,Premissas!$A$5:$A$13,0))</f>
        <v>0.07</v>
      </c>
      <c r="AC654" s="32" t="n">
        <f aca="false">AA654/(1-AB654)-AA654</f>
        <v>11.0894519354839</v>
      </c>
      <c r="AD654" s="32" t="n">
        <f aca="false">ROUND(AA654+AC654,2)</f>
        <v>158.42</v>
      </c>
      <c r="AE654" s="32" t="n">
        <f aca="false">AD654-L654</f>
        <v>-55.91</v>
      </c>
      <c r="AF654" s="34" t="n">
        <f aca="false">IF(L654=0,0,AE654/L654)</f>
        <v>-0.26085942238604</v>
      </c>
      <c r="AG654" s="22" t="str">
        <f aca="false">IF(AD654&lt;L654,"PASSARO","ATUAL")</f>
        <v>PASSARO</v>
      </c>
      <c r="AH654" s="22" t="str">
        <f aca="false">IF(P654&lt;&gt;A654,"Faixa cadastrada como "&amp;P654&amp;" na tabela; preço aplicado pela UF do CEP","")</f>
        <v/>
      </c>
      <c r="AI654" s="26" t="n">
        <v>183.34</v>
      </c>
      <c r="AJ654" s="22" t="str">
        <f aca="false">INDEX('Tabela Passaro'!$X$2:$X$1795,$N654)</f>
        <v>INTERIOR 2</v>
      </c>
    </row>
    <row r="655" customFormat="false" ht="15" hidden="false" customHeight="false" outlineLevel="0" collapsed="false">
      <c r="A655" s="22" t="s">
        <v>16</v>
      </c>
      <c r="B655" s="22" t="n">
        <v>9</v>
      </c>
      <c r="C655" s="22" t="s">
        <v>91</v>
      </c>
      <c r="D655" s="22" t="s">
        <v>30</v>
      </c>
      <c r="E655" s="22" t="s">
        <v>7326</v>
      </c>
      <c r="F655" s="22" t="n">
        <v>527387</v>
      </c>
      <c r="G655" s="30" t="n">
        <v>46259</v>
      </c>
      <c r="H655" s="22" t="n">
        <v>629123</v>
      </c>
      <c r="I655" s="22" t="s">
        <v>7926</v>
      </c>
      <c r="J655" s="31" t="n">
        <v>51.06</v>
      </c>
      <c r="K655" s="26" t="n">
        <v>886.74</v>
      </c>
      <c r="L655" s="26" t="n">
        <v>248.04</v>
      </c>
      <c r="M655" s="22" t="s">
        <v>1521</v>
      </c>
      <c r="N655" s="22" t="n">
        <f aca="false">MATCH(M655,'Tabela Passaro'!$A$2:$A$1795,0)</f>
        <v>314</v>
      </c>
      <c r="O655" s="22" t="str">
        <f aca="false">INDEX('Tabela Passaro'!$C$2:$C$1795,$N655)</f>
        <v>ITABUNA</v>
      </c>
      <c r="P655" s="22" t="str">
        <f aca="false">INDEX('Tabela Passaro'!$B$2:$B$1795,$N655)</f>
        <v>BA</v>
      </c>
      <c r="Q655" s="22" t="n">
        <f aca="false">INDEX('Tabela Passaro'!$F$2:$F$1795,$N655)</f>
        <v>11</v>
      </c>
      <c r="R655" s="32" t="n">
        <f aca="false">IF(J655&lt;=10,INDEX('Tabela Passaro'!$G$2:$G$1795,$N655),IF(J655&lt;=30,INDEX('Tabela Passaro'!$H$2:$H$1795,$N655),IF(J655&lt;=50,INDEX('Tabela Passaro'!$I$2:$I$1795,$N655),IF(J655&lt;=70,INDEX('Tabela Passaro'!$J$2:$J$1795,$N655),IF(J655&lt;=100,INDEX('Tabela Passaro'!$K$2:$K$1795,$N655),INDEX('Tabela Passaro'!$K$2:$K$1795,$N655)+(J655-100)*INDEX('Tabela Passaro'!$L$2:$L$1795,$N655))))))</f>
        <v>100.65</v>
      </c>
      <c r="S655" s="32" t="n">
        <f aca="false">K655*INDEX('Tabela Passaro'!$M$2:$M$1795,$N655)</f>
        <v>4.4337</v>
      </c>
      <c r="T655" s="32" t="n">
        <f aca="false">K655*INDEX('Tabela Passaro'!$N$2:$N$1795,$N655)</f>
        <v>1.77348</v>
      </c>
      <c r="U655" s="32" t="n">
        <f aca="false">INDEX('Tabela Passaro'!$O$2:$O$1795,$N655)</f>
        <v>5</v>
      </c>
      <c r="V655" s="32" t="n">
        <f aca="false">ROUNDUP(J655/INDEX('Tabela Passaro'!$Q$2:$Q$1795,$N655),0)*INDEX('Tabela Passaro'!$P$2:$P$1795,$N655)</f>
        <v>5</v>
      </c>
      <c r="W655" s="32" t="n">
        <f aca="false">INDEX('Tabela Passaro'!$R$2:$R$1795,$N655)</f>
        <v>30</v>
      </c>
      <c r="X655" s="32" t="n">
        <f aca="false">ROUNDUP(J655/INDEX('Tabela Passaro'!$T$2:$T$1795,$N655),0)*INDEX('Tabela Passaro'!$S$2:$S$1795,$N655)</f>
        <v>0</v>
      </c>
      <c r="Y655" s="32" t="n">
        <f aca="false">INDEX('Tabela Passaro'!$U$2:$U$1795,$N655)</f>
        <v>0</v>
      </c>
      <c r="Z655" s="32" t="n">
        <f aca="false">INDEX('Tabela Passaro'!$V$2:$V$1795,$N655)</f>
        <v>0</v>
      </c>
      <c r="AA655" s="32" t="n">
        <f aca="false">SUM(R655:Z655)</f>
        <v>146.85718</v>
      </c>
      <c r="AB655" s="33" t="n">
        <f aca="false">INDEX(Premissas!$B$5:$B$13,MATCH(A655,Premissas!$A$5:$A$13,0))</f>
        <v>0.07</v>
      </c>
      <c r="AC655" s="32" t="n">
        <f aca="false">AA655/(1-AB655)-AA655</f>
        <v>11.0537662365591</v>
      </c>
      <c r="AD655" s="32" t="n">
        <f aca="false">ROUND(AA655+AC655,2)</f>
        <v>157.91</v>
      </c>
      <c r="AE655" s="32" t="n">
        <f aca="false">AD655-L655</f>
        <v>-90.13</v>
      </c>
      <c r="AF655" s="34" t="n">
        <f aca="false">IF(L655=0,0,AE655/L655)</f>
        <v>-0.363368811482019</v>
      </c>
      <c r="AG655" s="22" t="str">
        <f aca="false">IF(AD655&lt;L655,"PASSARO","ATUAL")</f>
        <v>PASSARO</v>
      </c>
      <c r="AH655" s="22" t="str">
        <f aca="false">IF(P655&lt;&gt;A655,"Faixa cadastrada como "&amp;P655&amp;" na tabela; preço aplicado pela UF do CEP","")</f>
        <v/>
      </c>
      <c r="AI655" s="26" t="n">
        <v>175.43</v>
      </c>
      <c r="AJ655" s="22" t="str">
        <f aca="false">INDEX('Tabela Passaro'!$X$2:$X$1795,$N655)</f>
        <v>INTERIOR 2</v>
      </c>
    </row>
    <row r="656" customFormat="false" ht="15" hidden="false" customHeight="false" outlineLevel="0" collapsed="false">
      <c r="A656" s="22" t="s">
        <v>16</v>
      </c>
      <c r="B656" s="22" t="n">
        <v>9</v>
      </c>
      <c r="C656" s="22" t="s">
        <v>91</v>
      </c>
      <c r="D656" s="22" t="s">
        <v>30</v>
      </c>
      <c r="E656" s="22" t="s">
        <v>7328</v>
      </c>
      <c r="F656" s="22" t="n">
        <v>2316584</v>
      </c>
      <c r="G656" s="30" t="n">
        <v>46260</v>
      </c>
      <c r="H656" s="22" t="n">
        <v>135898</v>
      </c>
      <c r="I656" s="22" t="s">
        <v>7927</v>
      </c>
      <c r="J656" s="31" t="n">
        <v>134.4</v>
      </c>
      <c r="K656" s="26" t="n">
        <v>2020.99</v>
      </c>
      <c r="L656" s="26" t="n">
        <v>329.38</v>
      </c>
      <c r="M656" s="22" t="s">
        <v>1521</v>
      </c>
      <c r="N656" s="22" t="n">
        <f aca="false">MATCH(M656,'Tabela Passaro'!$A$2:$A$1795,0)</f>
        <v>314</v>
      </c>
      <c r="O656" s="22" t="str">
        <f aca="false">INDEX('Tabela Passaro'!$C$2:$C$1795,$N656)</f>
        <v>ITABUNA</v>
      </c>
      <c r="P656" s="22" t="str">
        <f aca="false">INDEX('Tabela Passaro'!$B$2:$B$1795,$N656)</f>
        <v>BA</v>
      </c>
      <c r="Q656" s="22" t="n">
        <f aca="false">INDEX('Tabela Passaro'!$F$2:$F$1795,$N656)</f>
        <v>11</v>
      </c>
      <c r="R656" s="32" t="n">
        <f aca="false">IF(J656&lt;=10,INDEX('Tabela Passaro'!$G$2:$G$1795,$N656),IF(J656&lt;=30,INDEX('Tabela Passaro'!$H$2:$H$1795,$N656),IF(J656&lt;=50,INDEX('Tabela Passaro'!$I$2:$I$1795,$N656),IF(J656&lt;=70,INDEX('Tabela Passaro'!$J$2:$J$1795,$N656),IF(J656&lt;=100,INDEX('Tabela Passaro'!$K$2:$K$1795,$N656),INDEX('Tabela Passaro'!$K$2:$K$1795,$N656)+(J656-100)*INDEX('Tabela Passaro'!$L$2:$L$1795,$N656))))))</f>
        <v>180.282</v>
      </c>
      <c r="S656" s="32" t="n">
        <f aca="false">K656*INDEX('Tabela Passaro'!$M$2:$M$1795,$N656)</f>
        <v>10.10495</v>
      </c>
      <c r="T656" s="32" t="n">
        <f aca="false">K656*INDEX('Tabela Passaro'!$N$2:$N$1795,$N656)</f>
        <v>4.04198</v>
      </c>
      <c r="U656" s="32" t="n">
        <f aca="false">INDEX('Tabela Passaro'!$O$2:$O$1795,$N656)</f>
        <v>5</v>
      </c>
      <c r="V656" s="32" t="n">
        <f aca="false">ROUNDUP(J656/INDEX('Tabela Passaro'!$Q$2:$Q$1795,$N656),0)*INDEX('Tabela Passaro'!$P$2:$P$1795,$N656)</f>
        <v>10</v>
      </c>
      <c r="W656" s="32" t="n">
        <f aca="false">INDEX('Tabela Passaro'!$R$2:$R$1795,$N656)</f>
        <v>30</v>
      </c>
      <c r="X656" s="32" t="n">
        <f aca="false">ROUNDUP(J656/INDEX('Tabela Passaro'!$T$2:$T$1795,$N656),0)*INDEX('Tabela Passaro'!$S$2:$S$1795,$N656)</f>
        <v>0</v>
      </c>
      <c r="Y656" s="32" t="n">
        <f aca="false">INDEX('Tabela Passaro'!$U$2:$U$1795,$N656)</f>
        <v>0</v>
      </c>
      <c r="Z656" s="32" t="n">
        <f aca="false">INDEX('Tabela Passaro'!$V$2:$V$1795,$N656)</f>
        <v>0</v>
      </c>
      <c r="AA656" s="32" t="n">
        <f aca="false">SUM(R656:Z656)</f>
        <v>239.42893</v>
      </c>
      <c r="AB656" s="33" t="n">
        <f aca="false">INDEX(Premissas!$B$5:$B$13,MATCH(A656,Premissas!$A$5:$A$13,0))</f>
        <v>0.07</v>
      </c>
      <c r="AC656" s="32" t="n">
        <f aca="false">AA656/(1-AB656)-AA656</f>
        <v>18.0215323655914</v>
      </c>
      <c r="AD656" s="32" t="n">
        <f aca="false">ROUND(AA656+AC656,2)</f>
        <v>257.45</v>
      </c>
      <c r="AE656" s="32" t="n">
        <f aca="false">AD656-L656</f>
        <v>-71.93</v>
      </c>
      <c r="AF656" s="34" t="n">
        <f aca="false">IF(L656=0,0,AE656/L656)</f>
        <v>-0.218379986641569</v>
      </c>
      <c r="AG656" s="22" t="str">
        <f aca="false">IF(AD656&lt;L656,"PASSARO","ATUAL")</f>
        <v>PASSARO</v>
      </c>
      <c r="AH656" s="22" t="str">
        <f aca="false">IF(P656&lt;&gt;A656,"Faixa cadastrada como "&amp;P656&amp;" na tabela; preço aplicado pela UF do CEP","")</f>
        <v/>
      </c>
      <c r="AI656" s="26" t="n">
        <v>326.96</v>
      </c>
      <c r="AJ656" s="22" t="str">
        <f aca="false">INDEX('Tabela Passaro'!$X$2:$X$1795,$N656)</f>
        <v>INTERIOR 2</v>
      </c>
    </row>
    <row r="657" customFormat="false" ht="15" hidden="false" customHeight="false" outlineLevel="0" collapsed="false">
      <c r="A657" s="22" t="s">
        <v>16</v>
      </c>
      <c r="B657" s="22" t="n">
        <v>9</v>
      </c>
      <c r="C657" s="22" t="s">
        <v>91</v>
      </c>
      <c r="D657" s="22" t="s">
        <v>30</v>
      </c>
      <c r="E657" s="22" t="s">
        <v>20</v>
      </c>
      <c r="F657" s="22" t="n">
        <v>840486</v>
      </c>
      <c r="G657" s="30" t="n">
        <v>46262</v>
      </c>
      <c r="H657" s="22" t="n">
        <v>32773</v>
      </c>
      <c r="I657" s="22" t="s">
        <v>7928</v>
      </c>
      <c r="J657" s="31" t="n">
        <v>53.9</v>
      </c>
      <c r="K657" s="26" t="n">
        <v>1126.98</v>
      </c>
      <c r="L657" s="26" t="n">
        <v>219.93</v>
      </c>
      <c r="M657" s="22" t="s">
        <v>1521</v>
      </c>
      <c r="N657" s="22" t="n">
        <f aca="false">MATCH(M657,'Tabela Passaro'!$A$2:$A$1795,0)</f>
        <v>314</v>
      </c>
      <c r="O657" s="22" t="str">
        <f aca="false">INDEX('Tabela Passaro'!$C$2:$C$1795,$N657)</f>
        <v>ITABUNA</v>
      </c>
      <c r="P657" s="22" t="str">
        <f aca="false">INDEX('Tabela Passaro'!$B$2:$B$1795,$N657)</f>
        <v>BA</v>
      </c>
      <c r="Q657" s="22" t="n">
        <f aca="false">INDEX('Tabela Passaro'!$F$2:$F$1795,$N657)</f>
        <v>11</v>
      </c>
      <c r="R657" s="32" t="n">
        <f aca="false">IF(J657&lt;=10,INDEX('Tabela Passaro'!$G$2:$G$1795,$N657),IF(J657&lt;=30,INDEX('Tabela Passaro'!$H$2:$H$1795,$N657),IF(J657&lt;=50,INDEX('Tabela Passaro'!$I$2:$I$1795,$N657),IF(J657&lt;=70,INDEX('Tabela Passaro'!$J$2:$J$1795,$N657),IF(J657&lt;=100,INDEX('Tabela Passaro'!$K$2:$K$1795,$N657),INDEX('Tabela Passaro'!$K$2:$K$1795,$N657)+(J657-100)*INDEX('Tabela Passaro'!$L$2:$L$1795,$N657))))))</f>
        <v>100.65</v>
      </c>
      <c r="S657" s="32" t="n">
        <f aca="false">K657*INDEX('Tabela Passaro'!$M$2:$M$1795,$N657)</f>
        <v>5.6349</v>
      </c>
      <c r="T657" s="32" t="n">
        <f aca="false">K657*INDEX('Tabela Passaro'!$N$2:$N$1795,$N657)</f>
        <v>2.25396</v>
      </c>
      <c r="U657" s="32" t="n">
        <f aca="false">INDEX('Tabela Passaro'!$O$2:$O$1795,$N657)</f>
        <v>5</v>
      </c>
      <c r="V657" s="32" t="n">
        <f aca="false">ROUNDUP(J657/INDEX('Tabela Passaro'!$Q$2:$Q$1795,$N657),0)*INDEX('Tabela Passaro'!$P$2:$P$1795,$N657)</f>
        <v>5</v>
      </c>
      <c r="W657" s="32" t="n">
        <f aca="false">INDEX('Tabela Passaro'!$R$2:$R$1795,$N657)</f>
        <v>30</v>
      </c>
      <c r="X657" s="32" t="n">
        <f aca="false">ROUNDUP(J657/INDEX('Tabela Passaro'!$T$2:$T$1795,$N657),0)*INDEX('Tabela Passaro'!$S$2:$S$1795,$N657)</f>
        <v>0</v>
      </c>
      <c r="Y657" s="32" t="n">
        <f aca="false">INDEX('Tabela Passaro'!$U$2:$U$1795,$N657)</f>
        <v>0</v>
      </c>
      <c r="Z657" s="32" t="n">
        <f aca="false">INDEX('Tabela Passaro'!$V$2:$V$1795,$N657)</f>
        <v>0</v>
      </c>
      <c r="AA657" s="32" t="n">
        <f aca="false">SUM(R657:Z657)</f>
        <v>148.53886</v>
      </c>
      <c r="AB657" s="33" t="n">
        <f aca="false">INDEX(Premissas!$B$5:$B$13,MATCH(A657,Premissas!$A$5:$A$13,0))</f>
        <v>0.07</v>
      </c>
      <c r="AC657" s="32" t="n">
        <f aca="false">AA657/(1-AB657)-AA657</f>
        <v>11.1803443010753</v>
      </c>
      <c r="AD657" s="32" t="n">
        <f aca="false">ROUND(AA657+AC657,2)</f>
        <v>159.72</v>
      </c>
      <c r="AE657" s="32" t="n">
        <f aca="false">AD657-L657</f>
        <v>-60.21</v>
      </c>
      <c r="AF657" s="34" t="n">
        <f aca="false">IF(L657=0,0,AE657/L657)</f>
        <v>-0.273768926476606</v>
      </c>
      <c r="AG657" s="22" t="str">
        <f aca="false">IF(AD657&lt;L657,"PASSARO","ATUAL")</f>
        <v>PASSARO</v>
      </c>
      <c r="AH657" s="22" t="str">
        <f aca="false">IF(P657&lt;&gt;A657,"Faixa cadastrada como "&amp;P657&amp;" na tabela; preço aplicado pela UF do CEP","")</f>
        <v/>
      </c>
      <c r="AI657" s="26" t="n">
        <v>178.72</v>
      </c>
      <c r="AJ657" s="22" t="str">
        <f aca="false">INDEX('Tabela Passaro'!$X$2:$X$1795,$N657)</f>
        <v>INTERIOR 2</v>
      </c>
    </row>
    <row r="658" customFormat="false" ht="15" hidden="false" customHeight="false" outlineLevel="0" collapsed="false">
      <c r="A658" s="22" t="s">
        <v>16</v>
      </c>
      <c r="B658" s="22" t="n">
        <v>9</v>
      </c>
      <c r="C658" s="22" t="s">
        <v>91</v>
      </c>
      <c r="D658" s="22" t="s">
        <v>35</v>
      </c>
      <c r="E658" s="22" t="s">
        <v>7399</v>
      </c>
      <c r="F658" s="22" t="n">
        <v>32183</v>
      </c>
      <c r="G658" s="30" t="n">
        <v>46261</v>
      </c>
      <c r="H658" s="22" t="n">
        <v>9005</v>
      </c>
      <c r="I658" s="22" t="s">
        <v>7929</v>
      </c>
      <c r="J658" s="31" t="n">
        <v>55.3</v>
      </c>
      <c r="K658" s="26" t="n">
        <v>1347.79</v>
      </c>
      <c r="L658" s="26" t="n">
        <v>258.11</v>
      </c>
      <c r="M658" s="22" t="s">
        <v>1521</v>
      </c>
      <c r="N658" s="22" t="n">
        <f aca="false">MATCH(M658,'Tabela Passaro'!$A$2:$A$1795,0)</f>
        <v>314</v>
      </c>
      <c r="O658" s="22" t="str">
        <f aca="false">INDEX('Tabela Passaro'!$C$2:$C$1795,$N658)</f>
        <v>ITABUNA</v>
      </c>
      <c r="P658" s="22" t="str">
        <f aca="false">INDEX('Tabela Passaro'!$B$2:$B$1795,$N658)</f>
        <v>BA</v>
      </c>
      <c r="Q658" s="22" t="n">
        <f aca="false">INDEX('Tabela Passaro'!$F$2:$F$1795,$N658)</f>
        <v>11</v>
      </c>
      <c r="R658" s="32" t="n">
        <f aca="false">IF(J658&lt;=10,INDEX('Tabela Passaro'!$G$2:$G$1795,$N658),IF(J658&lt;=30,INDEX('Tabela Passaro'!$H$2:$H$1795,$N658),IF(J658&lt;=50,INDEX('Tabela Passaro'!$I$2:$I$1795,$N658),IF(J658&lt;=70,INDEX('Tabela Passaro'!$J$2:$J$1795,$N658),IF(J658&lt;=100,INDEX('Tabela Passaro'!$K$2:$K$1795,$N658),INDEX('Tabela Passaro'!$K$2:$K$1795,$N658)+(J658-100)*INDEX('Tabela Passaro'!$L$2:$L$1795,$N658))))))</f>
        <v>100.65</v>
      </c>
      <c r="S658" s="32" t="n">
        <f aca="false">K658*INDEX('Tabela Passaro'!$M$2:$M$1795,$N658)</f>
        <v>6.73895</v>
      </c>
      <c r="T658" s="32" t="n">
        <f aca="false">K658*INDEX('Tabela Passaro'!$N$2:$N$1795,$N658)</f>
        <v>2.69558</v>
      </c>
      <c r="U658" s="32" t="n">
        <f aca="false">INDEX('Tabela Passaro'!$O$2:$O$1795,$N658)</f>
        <v>5</v>
      </c>
      <c r="V658" s="32" t="n">
        <f aca="false">ROUNDUP(J658/INDEX('Tabela Passaro'!$Q$2:$Q$1795,$N658),0)*INDEX('Tabela Passaro'!$P$2:$P$1795,$N658)</f>
        <v>5</v>
      </c>
      <c r="W658" s="32" t="n">
        <f aca="false">INDEX('Tabela Passaro'!$R$2:$R$1795,$N658)</f>
        <v>30</v>
      </c>
      <c r="X658" s="32" t="n">
        <f aca="false">ROUNDUP(J658/INDEX('Tabela Passaro'!$T$2:$T$1795,$N658),0)*INDEX('Tabela Passaro'!$S$2:$S$1795,$N658)</f>
        <v>0</v>
      </c>
      <c r="Y658" s="32" t="n">
        <f aca="false">INDEX('Tabela Passaro'!$U$2:$U$1795,$N658)</f>
        <v>0</v>
      </c>
      <c r="Z658" s="32" t="n">
        <f aca="false">INDEX('Tabela Passaro'!$V$2:$V$1795,$N658)</f>
        <v>0</v>
      </c>
      <c r="AA658" s="32" t="n">
        <f aca="false">SUM(R658:Z658)</f>
        <v>150.08453</v>
      </c>
      <c r="AB658" s="33" t="n">
        <f aca="false">INDEX(Premissas!$B$5:$B$13,MATCH(A658,Premissas!$A$5:$A$13,0))</f>
        <v>0.07</v>
      </c>
      <c r="AC658" s="32" t="n">
        <f aca="false">AA658/(1-AB658)-AA658</f>
        <v>11.2966850537634</v>
      </c>
      <c r="AD658" s="32" t="n">
        <f aca="false">ROUND(AA658+AC658,2)</f>
        <v>161.38</v>
      </c>
      <c r="AE658" s="32" t="n">
        <f aca="false">AD658-L658</f>
        <v>-96.73</v>
      </c>
      <c r="AF658" s="34" t="n">
        <f aca="false">IF(L658=0,0,AE658/L658)</f>
        <v>-0.374762698074464</v>
      </c>
      <c r="AG658" s="22" t="str">
        <f aca="false">IF(AD658&lt;L658,"PASSARO","ATUAL")</f>
        <v>PASSARO</v>
      </c>
      <c r="AH658" s="22" t="str">
        <f aca="false">IF(P658&lt;&gt;A658,"Faixa cadastrada como "&amp;P658&amp;" na tabela; preço aplicado pela UF do CEP","")</f>
        <v/>
      </c>
      <c r="AI658" s="26" t="n">
        <v>181.83</v>
      </c>
      <c r="AJ658" s="22" t="str">
        <f aca="false">INDEX('Tabela Passaro'!$X$2:$X$1795,$N658)</f>
        <v>INTERIOR 2</v>
      </c>
    </row>
    <row r="659" customFormat="false" ht="15" hidden="false" customHeight="false" outlineLevel="0" collapsed="false">
      <c r="A659" s="22" t="s">
        <v>16</v>
      </c>
      <c r="B659" s="22" t="n">
        <v>10</v>
      </c>
      <c r="C659" s="22" t="s">
        <v>93</v>
      </c>
      <c r="D659" s="22" t="s">
        <v>30</v>
      </c>
      <c r="E659" s="22" t="s">
        <v>7326</v>
      </c>
      <c r="F659" s="22" t="n">
        <v>522250</v>
      </c>
      <c r="G659" s="30" t="n">
        <v>46238</v>
      </c>
      <c r="H659" s="22" t="n">
        <v>619732</v>
      </c>
      <c r="I659" s="22" t="s">
        <v>7930</v>
      </c>
      <c r="J659" s="31" t="n">
        <v>73.1</v>
      </c>
      <c r="K659" s="26" t="n">
        <v>1230.95</v>
      </c>
      <c r="L659" s="26" t="n">
        <v>309.96</v>
      </c>
      <c r="M659" s="22" t="s">
        <v>2115</v>
      </c>
      <c r="N659" s="22" t="n">
        <f aca="false">MATCH(M659,'Tabela Passaro'!$A$2:$A$1795,0)</f>
        <v>463</v>
      </c>
      <c r="O659" s="22" t="str">
        <f aca="false">INDEX('Tabela Passaro'!$C$2:$C$1795,$N659)</f>
        <v>BARREIRAS</v>
      </c>
      <c r="P659" s="22" t="str">
        <f aca="false">INDEX('Tabela Passaro'!$B$2:$B$1795,$N659)</f>
        <v>BA</v>
      </c>
      <c r="Q659" s="22" t="n">
        <f aca="false">INDEX('Tabela Passaro'!$F$2:$F$1795,$N659)</f>
        <v>12</v>
      </c>
      <c r="R659" s="32" t="n">
        <f aca="false">IF(J659&lt;=10,INDEX('Tabela Passaro'!$G$2:$G$1795,$N659),IF(J659&lt;=30,INDEX('Tabela Passaro'!$H$2:$H$1795,$N659),IF(J659&lt;=50,INDEX('Tabela Passaro'!$I$2:$I$1795,$N659),IF(J659&lt;=70,INDEX('Tabela Passaro'!$J$2:$J$1795,$N659),IF(J659&lt;=100,INDEX('Tabela Passaro'!$K$2:$K$1795,$N659),INDEX('Tabela Passaro'!$K$2:$K$1795,$N659)+(J659-100)*INDEX('Tabela Passaro'!$L$2:$L$1795,$N659))))))</f>
        <v>143.22</v>
      </c>
      <c r="S659" s="32" t="n">
        <f aca="false">K659*INDEX('Tabela Passaro'!$M$2:$M$1795,$N659)</f>
        <v>6.15475</v>
      </c>
      <c r="T659" s="32" t="n">
        <f aca="false">K659*INDEX('Tabela Passaro'!$N$2:$N$1795,$N659)</f>
        <v>2.4619</v>
      </c>
      <c r="U659" s="32" t="n">
        <f aca="false">INDEX('Tabela Passaro'!$O$2:$O$1795,$N659)</f>
        <v>5</v>
      </c>
      <c r="V659" s="32" t="n">
        <f aca="false">ROUNDUP(J659/INDEX('Tabela Passaro'!$Q$2:$Q$1795,$N659),0)*INDEX('Tabela Passaro'!$P$2:$P$1795,$N659)</f>
        <v>5</v>
      </c>
      <c r="W659" s="32" t="n">
        <f aca="false">INDEX('Tabela Passaro'!$R$2:$R$1795,$N659)</f>
        <v>30</v>
      </c>
      <c r="X659" s="32" t="n">
        <f aca="false">ROUNDUP(J659/INDEX('Tabela Passaro'!$T$2:$T$1795,$N659),0)*INDEX('Tabela Passaro'!$S$2:$S$1795,$N659)</f>
        <v>0</v>
      </c>
      <c r="Y659" s="32" t="n">
        <f aca="false">INDEX('Tabela Passaro'!$U$2:$U$1795,$N659)</f>
        <v>0</v>
      </c>
      <c r="Z659" s="32" t="n">
        <f aca="false">INDEX('Tabela Passaro'!$V$2:$V$1795,$N659)</f>
        <v>0</v>
      </c>
      <c r="AA659" s="32" t="n">
        <f aca="false">SUM(R659:Z659)</f>
        <v>191.83665</v>
      </c>
      <c r="AB659" s="33" t="n">
        <f aca="false">INDEX(Premissas!$B$5:$B$13,MATCH(A659,Premissas!$A$5:$A$13,0))</f>
        <v>0.07</v>
      </c>
      <c r="AC659" s="32" t="n">
        <f aca="false">AA659/(1-AB659)-AA659</f>
        <v>14.4393177419355</v>
      </c>
      <c r="AD659" s="32" t="n">
        <f aca="false">ROUND(AA659+AC659,2)</f>
        <v>206.28</v>
      </c>
      <c r="AE659" s="32" t="n">
        <f aca="false">AD659-L659</f>
        <v>-103.68</v>
      </c>
      <c r="AF659" s="34" t="n">
        <f aca="false">IF(L659=0,0,AE659/L659)</f>
        <v>-0.334494773519164</v>
      </c>
      <c r="AG659" s="22" t="str">
        <f aca="false">IF(AD659&lt;L659,"PASSARO","ATUAL")</f>
        <v>PASSARO</v>
      </c>
      <c r="AH659" s="22" t="str">
        <f aca="false">IF(P659&lt;&gt;A659,"Faixa cadastrada como "&amp;P659&amp;" na tabela; preço aplicado pela UF do CEP","")</f>
        <v/>
      </c>
      <c r="AI659" s="26" t="n">
        <v>259.05</v>
      </c>
      <c r="AJ659" s="22" t="str">
        <f aca="false">INDEX('Tabela Passaro'!$X$2:$X$1795,$N659)</f>
        <v>INTERIOR 3</v>
      </c>
    </row>
    <row r="660" customFormat="false" ht="15" hidden="false" customHeight="false" outlineLevel="0" collapsed="false">
      <c r="A660" s="22" t="s">
        <v>16</v>
      </c>
      <c r="B660" s="22" t="n">
        <v>10</v>
      </c>
      <c r="C660" s="22" t="s">
        <v>93</v>
      </c>
      <c r="D660" s="22" t="s">
        <v>30</v>
      </c>
      <c r="E660" s="22" t="s">
        <v>20</v>
      </c>
      <c r="F660" s="22" t="n">
        <v>837954</v>
      </c>
      <c r="G660" s="30" t="n">
        <v>46239</v>
      </c>
      <c r="H660" s="22" t="n">
        <v>32400</v>
      </c>
      <c r="I660" s="22" t="s">
        <v>7931</v>
      </c>
      <c r="J660" s="31" t="n">
        <v>41.69</v>
      </c>
      <c r="K660" s="26" t="n">
        <v>688.73</v>
      </c>
      <c r="L660" s="26" t="n">
        <v>171.63</v>
      </c>
      <c r="M660" s="22" t="s">
        <v>2115</v>
      </c>
      <c r="N660" s="22" t="n">
        <f aca="false">MATCH(M660,'Tabela Passaro'!$A$2:$A$1795,0)</f>
        <v>463</v>
      </c>
      <c r="O660" s="22" t="str">
        <f aca="false">INDEX('Tabela Passaro'!$C$2:$C$1795,$N660)</f>
        <v>BARREIRAS</v>
      </c>
      <c r="P660" s="22" t="str">
        <f aca="false">INDEX('Tabela Passaro'!$B$2:$B$1795,$N660)</f>
        <v>BA</v>
      </c>
      <c r="Q660" s="22" t="n">
        <f aca="false">INDEX('Tabela Passaro'!$F$2:$F$1795,$N660)</f>
        <v>12</v>
      </c>
      <c r="R660" s="32" t="n">
        <f aca="false">IF(J660&lt;=10,INDEX('Tabela Passaro'!$G$2:$G$1795,$N660),IF(J660&lt;=30,INDEX('Tabela Passaro'!$H$2:$H$1795,$N660),IF(J660&lt;=50,INDEX('Tabela Passaro'!$I$2:$I$1795,$N660),IF(J660&lt;=70,INDEX('Tabela Passaro'!$J$2:$J$1795,$N660),IF(J660&lt;=100,INDEX('Tabela Passaro'!$K$2:$K$1795,$N660),INDEX('Tabela Passaro'!$K$2:$K$1795,$N660)+(J660-100)*INDEX('Tabela Passaro'!$L$2:$L$1795,$N660))))))</f>
        <v>118.18</v>
      </c>
      <c r="S660" s="32" t="n">
        <f aca="false">K660*INDEX('Tabela Passaro'!$M$2:$M$1795,$N660)</f>
        <v>3.44365</v>
      </c>
      <c r="T660" s="32" t="n">
        <f aca="false">K660*INDEX('Tabela Passaro'!$N$2:$N$1795,$N660)</f>
        <v>1.37746</v>
      </c>
      <c r="U660" s="32" t="n">
        <f aca="false">INDEX('Tabela Passaro'!$O$2:$O$1795,$N660)</f>
        <v>5</v>
      </c>
      <c r="V660" s="32" t="n">
        <f aca="false">ROUNDUP(J660/INDEX('Tabela Passaro'!$Q$2:$Q$1795,$N660),0)*INDEX('Tabela Passaro'!$P$2:$P$1795,$N660)</f>
        <v>5</v>
      </c>
      <c r="W660" s="32" t="n">
        <f aca="false">INDEX('Tabela Passaro'!$R$2:$R$1795,$N660)</f>
        <v>30</v>
      </c>
      <c r="X660" s="32" t="n">
        <f aca="false">ROUNDUP(J660/INDEX('Tabela Passaro'!$T$2:$T$1795,$N660),0)*INDEX('Tabela Passaro'!$S$2:$S$1795,$N660)</f>
        <v>0</v>
      </c>
      <c r="Y660" s="32" t="n">
        <f aca="false">INDEX('Tabela Passaro'!$U$2:$U$1795,$N660)</f>
        <v>0</v>
      </c>
      <c r="Z660" s="32" t="n">
        <f aca="false">INDEX('Tabela Passaro'!$V$2:$V$1795,$N660)</f>
        <v>0</v>
      </c>
      <c r="AA660" s="32" t="n">
        <f aca="false">SUM(R660:Z660)</f>
        <v>163.00111</v>
      </c>
      <c r="AB660" s="33" t="n">
        <f aca="false">INDEX(Premissas!$B$5:$B$13,MATCH(A660,Premissas!$A$5:$A$13,0))</f>
        <v>0.07</v>
      </c>
      <c r="AC660" s="32" t="n">
        <f aca="false">AA660/(1-AB660)-AA660</f>
        <v>12.2689007526882</v>
      </c>
      <c r="AD660" s="32" t="n">
        <f aca="false">ROUND(AA660+AC660,2)</f>
        <v>175.27</v>
      </c>
      <c r="AE660" s="32" t="n">
        <f aca="false">AD660-L660</f>
        <v>3.64000000000002</v>
      </c>
      <c r="AF660" s="34" t="n">
        <f aca="false">IF(L660=0,0,AE660/L660)</f>
        <v>0.0212084134475326</v>
      </c>
      <c r="AG660" s="22" t="str">
        <f aca="false">IF(AD660&lt;L660,"PASSARO","ATUAL")</f>
        <v>ATUAL</v>
      </c>
      <c r="AH660" s="22" t="str">
        <f aca="false">IF(P660&lt;&gt;A660,"Faixa cadastrada como "&amp;P660&amp;" na tabela; preço aplicado pela UF do CEP","")</f>
        <v/>
      </c>
      <c r="AI660" s="26" t="n">
        <v>207.01</v>
      </c>
      <c r="AJ660" s="22" t="str">
        <f aca="false">INDEX('Tabela Passaro'!$X$2:$X$1795,$N660)</f>
        <v>INTERIOR 3</v>
      </c>
    </row>
    <row r="661" customFormat="false" ht="15" hidden="false" customHeight="false" outlineLevel="0" collapsed="false">
      <c r="A661" s="22" t="s">
        <v>16</v>
      </c>
      <c r="B661" s="22" t="n">
        <v>10</v>
      </c>
      <c r="C661" s="22" t="s">
        <v>93</v>
      </c>
      <c r="D661" s="22" t="s">
        <v>30</v>
      </c>
      <c r="E661" s="22" t="s">
        <v>7326</v>
      </c>
      <c r="F661" s="22" t="n">
        <v>522883</v>
      </c>
      <c r="G661" s="30" t="n">
        <v>46240</v>
      </c>
      <c r="H661" s="22" t="n">
        <v>621222</v>
      </c>
      <c r="I661" s="22" t="s">
        <v>7932</v>
      </c>
      <c r="J661" s="31" t="n">
        <v>25.8</v>
      </c>
      <c r="K661" s="26" t="n">
        <v>849.97</v>
      </c>
      <c r="L661" s="26" t="n">
        <v>139.96</v>
      </c>
      <c r="M661" s="22" t="s">
        <v>2115</v>
      </c>
      <c r="N661" s="22" t="n">
        <f aca="false">MATCH(M661,'Tabela Passaro'!$A$2:$A$1795,0)</f>
        <v>463</v>
      </c>
      <c r="O661" s="22" t="str">
        <f aca="false">INDEX('Tabela Passaro'!$C$2:$C$1795,$N661)</f>
        <v>BARREIRAS</v>
      </c>
      <c r="P661" s="22" t="str">
        <f aca="false">INDEX('Tabela Passaro'!$B$2:$B$1795,$N661)</f>
        <v>BA</v>
      </c>
      <c r="Q661" s="22" t="n">
        <f aca="false">INDEX('Tabela Passaro'!$F$2:$F$1795,$N661)</f>
        <v>12</v>
      </c>
      <c r="R661" s="32" t="n">
        <f aca="false">IF(J661&lt;=10,INDEX('Tabela Passaro'!$G$2:$G$1795,$N661),IF(J661&lt;=30,INDEX('Tabela Passaro'!$H$2:$H$1795,$N661),IF(J661&lt;=50,INDEX('Tabela Passaro'!$I$2:$I$1795,$N661),IF(J661&lt;=70,INDEX('Tabela Passaro'!$J$2:$J$1795,$N661),IF(J661&lt;=100,INDEX('Tabela Passaro'!$K$2:$K$1795,$N661),INDEX('Tabela Passaro'!$K$2:$K$1795,$N661)+(J661-100)*INDEX('Tabela Passaro'!$L$2:$L$1795,$N661))))))</f>
        <v>98.14</v>
      </c>
      <c r="S661" s="32" t="n">
        <f aca="false">K661*INDEX('Tabela Passaro'!$M$2:$M$1795,$N661)</f>
        <v>4.24985</v>
      </c>
      <c r="T661" s="32" t="n">
        <f aca="false">K661*INDEX('Tabela Passaro'!$N$2:$N$1795,$N661)</f>
        <v>1.69994</v>
      </c>
      <c r="U661" s="32" t="n">
        <f aca="false">INDEX('Tabela Passaro'!$O$2:$O$1795,$N661)</f>
        <v>5</v>
      </c>
      <c r="V661" s="32" t="n">
        <f aca="false">ROUNDUP(J661/INDEX('Tabela Passaro'!$Q$2:$Q$1795,$N661),0)*INDEX('Tabela Passaro'!$P$2:$P$1795,$N661)</f>
        <v>5</v>
      </c>
      <c r="W661" s="32" t="n">
        <f aca="false">INDEX('Tabela Passaro'!$R$2:$R$1795,$N661)</f>
        <v>30</v>
      </c>
      <c r="X661" s="32" t="n">
        <f aca="false">ROUNDUP(J661/INDEX('Tabela Passaro'!$T$2:$T$1795,$N661),0)*INDEX('Tabela Passaro'!$S$2:$S$1795,$N661)</f>
        <v>0</v>
      </c>
      <c r="Y661" s="32" t="n">
        <f aca="false">INDEX('Tabela Passaro'!$U$2:$U$1795,$N661)</f>
        <v>0</v>
      </c>
      <c r="Z661" s="32" t="n">
        <f aca="false">INDEX('Tabela Passaro'!$V$2:$V$1795,$N661)</f>
        <v>0</v>
      </c>
      <c r="AA661" s="32" t="n">
        <f aca="false">SUM(R661:Z661)</f>
        <v>144.08979</v>
      </c>
      <c r="AB661" s="33" t="n">
        <f aca="false">INDEX(Premissas!$B$5:$B$13,MATCH(A661,Premissas!$A$5:$A$13,0))</f>
        <v>0.07</v>
      </c>
      <c r="AC661" s="32" t="n">
        <f aca="false">AA661/(1-AB661)-AA661</f>
        <v>10.8454680645161</v>
      </c>
      <c r="AD661" s="32" t="n">
        <f aca="false">ROUND(AA661+AC661,2)</f>
        <v>154.94</v>
      </c>
      <c r="AE661" s="32" t="n">
        <f aca="false">AD661-L661</f>
        <v>14.98</v>
      </c>
      <c r="AF661" s="34" t="n">
        <f aca="false">IF(L661=0,0,AE661/L661)</f>
        <v>0.107030580165762</v>
      </c>
      <c r="AG661" s="22" t="str">
        <f aca="false">IF(AD661&lt;L661,"PASSARO","ATUAL")</f>
        <v>ATUAL</v>
      </c>
      <c r="AH661" s="22" t="str">
        <f aca="false">IF(P661&lt;&gt;A661,"Faixa cadastrada como "&amp;P661&amp;" na tabela; preço aplicado pela UF do CEP","")</f>
        <v/>
      </c>
      <c r="AI661" s="26" t="n">
        <v>175.77</v>
      </c>
      <c r="AJ661" s="22" t="str">
        <f aca="false">INDEX('Tabela Passaro'!$X$2:$X$1795,$N661)</f>
        <v>INTERIOR 3</v>
      </c>
    </row>
    <row r="662" customFormat="false" ht="15" hidden="false" customHeight="false" outlineLevel="0" collapsed="false">
      <c r="A662" s="22" t="s">
        <v>16</v>
      </c>
      <c r="B662" s="22" t="n">
        <v>10</v>
      </c>
      <c r="C662" s="22" t="s">
        <v>93</v>
      </c>
      <c r="D662" s="22" t="s">
        <v>30</v>
      </c>
      <c r="E662" s="22" t="s">
        <v>7328</v>
      </c>
      <c r="F662" s="22" t="n">
        <v>2309797</v>
      </c>
      <c r="G662" s="30" t="n">
        <v>46244</v>
      </c>
      <c r="H662" s="22" t="n">
        <v>132164</v>
      </c>
      <c r="I662" s="22" t="s">
        <v>7933</v>
      </c>
      <c r="J662" s="31" t="n">
        <v>69.11</v>
      </c>
      <c r="K662" s="26" t="n">
        <v>1026.99</v>
      </c>
      <c r="L662" s="26" t="n">
        <v>214.9</v>
      </c>
      <c r="M662" s="22" t="s">
        <v>2115</v>
      </c>
      <c r="N662" s="22" t="n">
        <f aca="false">MATCH(M662,'Tabela Passaro'!$A$2:$A$1795,0)</f>
        <v>463</v>
      </c>
      <c r="O662" s="22" t="str">
        <f aca="false">INDEX('Tabela Passaro'!$C$2:$C$1795,$N662)</f>
        <v>BARREIRAS</v>
      </c>
      <c r="P662" s="22" t="str">
        <f aca="false">INDEX('Tabela Passaro'!$B$2:$B$1795,$N662)</f>
        <v>BA</v>
      </c>
      <c r="Q662" s="22" t="n">
        <f aca="false">INDEX('Tabela Passaro'!$F$2:$F$1795,$N662)</f>
        <v>12</v>
      </c>
      <c r="R662" s="32" t="n">
        <f aca="false">IF(J662&lt;=10,INDEX('Tabela Passaro'!$G$2:$G$1795,$N662),IF(J662&lt;=30,INDEX('Tabela Passaro'!$H$2:$H$1795,$N662),IF(J662&lt;=50,INDEX('Tabela Passaro'!$I$2:$I$1795,$N662),IF(J662&lt;=70,INDEX('Tabela Passaro'!$J$2:$J$1795,$N662),IF(J662&lt;=100,INDEX('Tabela Passaro'!$K$2:$K$1795,$N662),INDEX('Tabela Passaro'!$K$2:$K$1795,$N662)+(J662-100)*INDEX('Tabela Passaro'!$L$2:$L$1795,$N662))))))</f>
        <v>128.2</v>
      </c>
      <c r="S662" s="32" t="n">
        <f aca="false">K662*INDEX('Tabela Passaro'!$M$2:$M$1795,$N662)</f>
        <v>5.13495</v>
      </c>
      <c r="T662" s="32" t="n">
        <f aca="false">K662*INDEX('Tabela Passaro'!$N$2:$N$1795,$N662)</f>
        <v>2.05398</v>
      </c>
      <c r="U662" s="32" t="n">
        <f aca="false">INDEX('Tabela Passaro'!$O$2:$O$1795,$N662)</f>
        <v>5</v>
      </c>
      <c r="V662" s="32" t="n">
        <f aca="false">ROUNDUP(J662/INDEX('Tabela Passaro'!$Q$2:$Q$1795,$N662),0)*INDEX('Tabela Passaro'!$P$2:$P$1795,$N662)</f>
        <v>5</v>
      </c>
      <c r="W662" s="32" t="n">
        <f aca="false">INDEX('Tabela Passaro'!$R$2:$R$1795,$N662)</f>
        <v>30</v>
      </c>
      <c r="X662" s="32" t="n">
        <f aca="false">ROUNDUP(J662/INDEX('Tabela Passaro'!$T$2:$T$1795,$N662),0)*INDEX('Tabela Passaro'!$S$2:$S$1795,$N662)</f>
        <v>0</v>
      </c>
      <c r="Y662" s="32" t="n">
        <f aca="false">INDEX('Tabela Passaro'!$U$2:$U$1795,$N662)</f>
        <v>0</v>
      </c>
      <c r="Z662" s="32" t="n">
        <f aca="false">INDEX('Tabela Passaro'!$V$2:$V$1795,$N662)</f>
        <v>0</v>
      </c>
      <c r="AA662" s="32" t="n">
        <f aca="false">SUM(R662:Z662)</f>
        <v>175.38893</v>
      </c>
      <c r="AB662" s="33" t="n">
        <f aca="false">INDEX(Premissas!$B$5:$B$13,MATCH(A662,Premissas!$A$5:$A$13,0))</f>
        <v>0.07</v>
      </c>
      <c r="AC662" s="32" t="n">
        <f aca="false">AA662/(1-AB662)-AA662</f>
        <v>13.201317311828</v>
      </c>
      <c r="AD662" s="32" t="n">
        <f aca="false">ROUND(AA662+AC662,2)</f>
        <v>188.59</v>
      </c>
      <c r="AE662" s="32" t="n">
        <f aca="false">AD662-L662</f>
        <v>-26.31</v>
      </c>
      <c r="AF662" s="34" t="n">
        <f aca="false">IF(L662=0,0,AE662/L662)</f>
        <v>-0.122429036761284</v>
      </c>
      <c r="AG662" s="22" t="str">
        <f aca="false">IF(AD662&lt;L662,"PASSARO","ATUAL")</f>
        <v>PASSARO</v>
      </c>
      <c r="AH662" s="22" t="str">
        <f aca="false">IF(P662&lt;&gt;A662,"Faixa cadastrada como "&amp;P662&amp;" na tabela; preço aplicado pela UF do CEP","")</f>
        <v/>
      </c>
      <c r="AI662" s="26" t="n">
        <v>236.36</v>
      </c>
      <c r="AJ662" s="22" t="str">
        <f aca="false">INDEX('Tabela Passaro'!$X$2:$X$1795,$N662)</f>
        <v>INTERIOR 3</v>
      </c>
    </row>
    <row r="663" customFormat="false" ht="15" hidden="false" customHeight="false" outlineLevel="0" collapsed="false">
      <c r="A663" s="22" t="s">
        <v>16</v>
      </c>
      <c r="B663" s="22" t="n">
        <v>10</v>
      </c>
      <c r="C663" s="22" t="s">
        <v>93</v>
      </c>
      <c r="D663" s="22" t="s">
        <v>30</v>
      </c>
      <c r="E663" s="22" t="s">
        <v>7326</v>
      </c>
      <c r="F663" s="22" t="n">
        <v>523735</v>
      </c>
      <c r="G663" s="30" t="n">
        <v>46244</v>
      </c>
      <c r="H663" s="22" t="n">
        <v>622530</v>
      </c>
      <c r="I663" s="22" t="s">
        <v>7934</v>
      </c>
      <c r="J663" s="31" t="n">
        <v>107.7</v>
      </c>
      <c r="K663" s="26" t="n">
        <v>1764.98</v>
      </c>
      <c r="L663" s="26" t="n">
        <v>368.46</v>
      </c>
      <c r="M663" s="22" t="s">
        <v>2115</v>
      </c>
      <c r="N663" s="22" t="n">
        <f aca="false">MATCH(M663,'Tabela Passaro'!$A$2:$A$1795,0)</f>
        <v>463</v>
      </c>
      <c r="O663" s="22" t="str">
        <f aca="false">INDEX('Tabela Passaro'!$C$2:$C$1795,$N663)</f>
        <v>BARREIRAS</v>
      </c>
      <c r="P663" s="22" t="str">
        <f aca="false">INDEX('Tabela Passaro'!$B$2:$B$1795,$N663)</f>
        <v>BA</v>
      </c>
      <c r="Q663" s="22" t="n">
        <f aca="false">INDEX('Tabela Passaro'!$F$2:$F$1795,$N663)</f>
        <v>12</v>
      </c>
      <c r="R663" s="32" t="n">
        <f aca="false">IF(J663&lt;=10,INDEX('Tabela Passaro'!$G$2:$G$1795,$N663),IF(J663&lt;=30,INDEX('Tabela Passaro'!$H$2:$H$1795,$N663),IF(J663&lt;=50,INDEX('Tabela Passaro'!$I$2:$I$1795,$N663),IF(J663&lt;=70,INDEX('Tabela Passaro'!$J$2:$J$1795,$N663),IF(J663&lt;=100,INDEX('Tabela Passaro'!$K$2:$K$1795,$N663),INDEX('Tabela Passaro'!$K$2:$K$1795,$N663)+(J663-100)*INDEX('Tabela Passaro'!$L$2:$L$1795,$N663))))))</f>
        <v>160.776</v>
      </c>
      <c r="S663" s="32" t="n">
        <f aca="false">K663*INDEX('Tabela Passaro'!$M$2:$M$1795,$N663)</f>
        <v>8.8249</v>
      </c>
      <c r="T663" s="32" t="n">
        <f aca="false">K663*INDEX('Tabela Passaro'!$N$2:$N$1795,$N663)</f>
        <v>3.52996</v>
      </c>
      <c r="U663" s="32" t="n">
        <f aca="false">INDEX('Tabela Passaro'!$O$2:$O$1795,$N663)</f>
        <v>5</v>
      </c>
      <c r="V663" s="32" t="n">
        <f aca="false">ROUNDUP(J663/INDEX('Tabela Passaro'!$Q$2:$Q$1795,$N663),0)*INDEX('Tabela Passaro'!$P$2:$P$1795,$N663)</f>
        <v>10</v>
      </c>
      <c r="W663" s="32" t="n">
        <f aca="false">INDEX('Tabela Passaro'!$R$2:$R$1795,$N663)</f>
        <v>30</v>
      </c>
      <c r="X663" s="32" t="n">
        <f aca="false">ROUNDUP(J663/INDEX('Tabela Passaro'!$T$2:$T$1795,$N663),0)*INDEX('Tabela Passaro'!$S$2:$S$1795,$N663)</f>
        <v>0</v>
      </c>
      <c r="Y663" s="32" t="n">
        <f aca="false">INDEX('Tabela Passaro'!$U$2:$U$1795,$N663)</f>
        <v>0</v>
      </c>
      <c r="Z663" s="32" t="n">
        <f aca="false">INDEX('Tabela Passaro'!$V$2:$V$1795,$N663)</f>
        <v>0</v>
      </c>
      <c r="AA663" s="32" t="n">
        <f aca="false">SUM(R663:Z663)</f>
        <v>218.13086</v>
      </c>
      <c r="AB663" s="33" t="n">
        <f aca="false">INDEX(Premissas!$B$5:$B$13,MATCH(A663,Premissas!$A$5:$A$13,0))</f>
        <v>0.07</v>
      </c>
      <c r="AC663" s="32" t="n">
        <f aca="false">AA663/(1-AB663)-AA663</f>
        <v>16.418451827957</v>
      </c>
      <c r="AD663" s="32" t="n">
        <f aca="false">ROUND(AA663+AC663,2)</f>
        <v>234.55</v>
      </c>
      <c r="AE663" s="32" t="n">
        <f aca="false">AD663-L663</f>
        <v>-133.91</v>
      </c>
      <c r="AF663" s="34" t="n">
        <f aca="false">IF(L663=0,0,AE663/L663)</f>
        <v>-0.363431580090105</v>
      </c>
      <c r="AG663" s="22" t="str">
        <f aca="false">IF(AD663&lt;L663,"PASSARO","ATUAL")</f>
        <v>PASSARO</v>
      </c>
      <c r="AH663" s="22" t="str">
        <f aca="false">IF(P663&lt;&gt;A663,"Faixa cadastrada como "&amp;P663&amp;" na tabela; preço aplicado pela UF do CEP","")</f>
        <v/>
      </c>
      <c r="AI663" s="26" t="n">
        <v>307.24</v>
      </c>
      <c r="AJ663" s="22" t="str">
        <f aca="false">INDEX('Tabela Passaro'!$X$2:$X$1795,$N663)</f>
        <v>INTERIOR 3</v>
      </c>
    </row>
    <row r="664" customFormat="false" ht="15" hidden="false" customHeight="false" outlineLevel="0" collapsed="false">
      <c r="A664" s="22" t="s">
        <v>16</v>
      </c>
      <c r="B664" s="22" t="n">
        <v>10</v>
      </c>
      <c r="C664" s="22" t="s">
        <v>93</v>
      </c>
      <c r="D664" s="22" t="s">
        <v>30</v>
      </c>
      <c r="E664" s="22" t="s">
        <v>7328</v>
      </c>
      <c r="F664" s="22" t="n">
        <v>2312378</v>
      </c>
      <c r="G664" s="30" t="n">
        <v>46248</v>
      </c>
      <c r="H664" s="22" t="n">
        <v>133279</v>
      </c>
      <c r="I664" s="22" t="s">
        <v>7935</v>
      </c>
      <c r="J664" s="31" t="n">
        <v>79.26</v>
      </c>
      <c r="K664" s="26" t="n">
        <v>826.15</v>
      </c>
      <c r="L664" s="26" t="n">
        <v>256.58</v>
      </c>
      <c r="M664" s="22" t="s">
        <v>2115</v>
      </c>
      <c r="N664" s="22" t="n">
        <f aca="false">MATCH(M664,'Tabela Passaro'!$A$2:$A$1795,0)</f>
        <v>463</v>
      </c>
      <c r="O664" s="22" t="str">
        <f aca="false">INDEX('Tabela Passaro'!$C$2:$C$1795,$N664)</f>
        <v>BARREIRAS</v>
      </c>
      <c r="P664" s="22" t="str">
        <f aca="false">INDEX('Tabela Passaro'!$B$2:$B$1795,$N664)</f>
        <v>BA</v>
      </c>
      <c r="Q664" s="22" t="n">
        <f aca="false">INDEX('Tabela Passaro'!$F$2:$F$1795,$N664)</f>
        <v>12</v>
      </c>
      <c r="R664" s="32" t="n">
        <f aca="false">IF(J664&lt;=10,INDEX('Tabela Passaro'!$G$2:$G$1795,$N664),IF(J664&lt;=30,INDEX('Tabela Passaro'!$H$2:$H$1795,$N664),IF(J664&lt;=50,INDEX('Tabela Passaro'!$I$2:$I$1795,$N664),IF(J664&lt;=70,INDEX('Tabela Passaro'!$J$2:$J$1795,$N664),IF(J664&lt;=100,INDEX('Tabela Passaro'!$K$2:$K$1795,$N664),INDEX('Tabela Passaro'!$K$2:$K$1795,$N664)+(J664-100)*INDEX('Tabela Passaro'!$L$2:$L$1795,$N664))))))</f>
        <v>143.22</v>
      </c>
      <c r="S664" s="32" t="n">
        <f aca="false">K664*INDEX('Tabela Passaro'!$M$2:$M$1795,$N664)</f>
        <v>4.13075</v>
      </c>
      <c r="T664" s="32" t="n">
        <f aca="false">K664*INDEX('Tabela Passaro'!$N$2:$N$1795,$N664)</f>
        <v>1.6523</v>
      </c>
      <c r="U664" s="32" t="n">
        <f aca="false">INDEX('Tabela Passaro'!$O$2:$O$1795,$N664)</f>
        <v>5</v>
      </c>
      <c r="V664" s="32" t="n">
        <f aca="false">ROUNDUP(J664/INDEX('Tabela Passaro'!$Q$2:$Q$1795,$N664),0)*INDEX('Tabela Passaro'!$P$2:$P$1795,$N664)</f>
        <v>5</v>
      </c>
      <c r="W664" s="32" t="n">
        <f aca="false">INDEX('Tabela Passaro'!$R$2:$R$1795,$N664)</f>
        <v>30</v>
      </c>
      <c r="X664" s="32" t="n">
        <f aca="false">ROUNDUP(J664/INDEX('Tabela Passaro'!$T$2:$T$1795,$N664),0)*INDEX('Tabela Passaro'!$S$2:$S$1795,$N664)</f>
        <v>0</v>
      </c>
      <c r="Y664" s="32" t="n">
        <f aca="false">INDEX('Tabela Passaro'!$U$2:$U$1795,$N664)</f>
        <v>0</v>
      </c>
      <c r="Z664" s="32" t="n">
        <f aca="false">INDEX('Tabela Passaro'!$V$2:$V$1795,$N664)</f>
        <v>0</v>
      </c>
      <c r="AA664" s="32" t="n">
        <f aca="false">SUM(R664:Z664)</f>
        <v>189.00305</v>
      </c>
      <c r="AB664" s="33" t="n">
        <f aca="false">INDEX(Premissas!$B$5:$B$13,MATCH(A664,Premissas!$A$5:$A$13,0))</f>
        <v>0.07</v>
      </c>
      <c r="AC664" s="32" t="n">
        <f aca="false">AA664/(1-AB664)-AA664</f>
        <v>14.2260360215054</v>
      </c>
      <c r="AD664" s="32" t="n">
        <f aca="false">ROUND(AA664+AC664,2)</f>
        <v>203.23</v>
      </c>
      <c r="AE664" s="32" t="n">
        <f aca="false">AD664-L664</f>
        <v>-53.35</v>
      </c>
      <c r="AF664" s="34" t="n">
        <f aca="false">IF(L664=0,0,AE664/L664)</f>
        <v>-0.207927352092915</v>
      </c>
      <c r="AG664" s="22" t="str">
        <f aca="false">IF(AD664&lt;L664,"PASSARO","ATUAL")</f>
        <v>PASSARO</v>
      </c>
      <c r="AH664" s="22" t="str">
        <f aca="false">IF(P664&lt;&gt;A664,"Faixa cadastrada como "&amp;P664&amp;" na tabela; preço aplicado pela UF do CEP","")</f>
        <v/>
      </c>
      <c r="AI664" s="26" t="n">
        <v>258.04</v>
      </c>
      <c r="AJ664" s="22" t="str">
        <f aca="false">INDEX('Tabela Passaro'!$X$2:$X$1795,$N664)</f>
        <v>INTERIOR 3</v>
      </c>
    </row>
    <row r="665" customFormat="false" ht="15" hidden="false" customHeight="false" outlineLevel="0" collapsed="false">
      <c r="A665" s="22" t="s">
        <v>16</v>
      </c>
      <c r="B665" s="22" t="n">
        <v>10</v>
      </c>
      <c r="C665" s="22" t="s">
        <v>93</v>
      </c>
      <c r="D665" s="22" t="s">
        <v>30</v>
      </c>
      <c r="E665" s="22" t="s">
        <v>7326</v>
      </c>
      <c r="F665" s="22" t="n">
        <v>525046</v>
      </c>
      <c r="G665" s="30" t="n">
        <v>46248</v>
      </c>
      <c r="H665" s="22" t="n">
        <v>624817</v>
      </c>
      <c r="I665" s="22" t="s">
        <v>7936</v>
      </c>
      <c r="J665" s="31" t="n">
        <v>59.8</v>
      </c>
      <c r="K665" s="26" t="n">
        <v>1224.98</v>
      </c>
      <c r="L665" s="26" t="n">
        <v>250.9</v>
      </c>
      <c r="M665" s="22" t="s">
        <v>2115</v>
      </c>
      <c r="N665" s="22" t="n">
        <f aca="false">MATCH(M665,'Tabela Passaro'!$A$2:$A$1795,0)</f>
        <v>463</v>
      </c>
      <c r="O665" s="22" t="str">
        <f aca="false">INDEX('Tabela Passaro'!$C$2:$C$1795,$N665)</f>
        <v>BARREIRAS</v>
      </c>
      <c r="P665" s="22" t="str">
        <f aca="false">INDEX('Tabela Passaro'!$B$2:$B$1795,$N665)</f>
        <v>BA</v>
      </c>
      <c r="Q665" s="22" t="n">
        <f aca="false">INDEX('Tabela Passaro'!$F$2:$F$1795,$N665)</f>
        <v>12</v>
      </c>
      <c r="R665" s="32" t="n">
        <f aca="false">IF(J665&lt;=10,INDEX('Tabela Passaro'!$G$2:$G$1795,$N665),IF(J665&lt;=30,INDEX('Tabela Passaro'!$H$2:$H$1795,$N665),IF(J665&lt;=50,INDEX('Tabela Passaro'!$I$2:$I$1795,$N665),IF(J665&lt;=70,INDEX('Tabela Passaro'!$J$2:$J$1795,$N665),IF(J665&lt;=100,INDEX('Tabela Passaro'!$K$2:$K$1795,$N665),INDEX('Tabela Passaro'!$K$2:$K$1795,$N665)+(J665-100)*INDEX('Tabela Passaro'!$L$2:$L$1795,$N665))))))</f>
        <v>128.2</v>
      </c>
      <c r="S665" s="32" t="n">
        <f aca="false">K665*INDEX('Tabela Passaro'!$M$2:$M$1795,$N665)</f>
        <v>6.1249</v>
      </c>
      <c r="T665" s="32" t="n">
        <f aca="false">K665*INDEX('Tabela Passaro'!$N$2:$N$1795,$N665)</f>
        <v>2.44996</v>
      </c>
      <c r="U665" s="32" t="n">
        <f aca="false">INDEX('Tabela Passaro'!$O$2:$O$1795,$N665)</f>
        <v>5</v>
      </c>
      <c r="V665" s="32" t="n">
        <f aca="false">ROUNDUP(J665/INDEX('Tabela Passaro'!$Q$2:$Q$1795,$N665),0)*INDEX('Tabela Passaro'!$P$2:$P$1795,$N665)</f>
        <v>5</v>
      </c>
      <c r="W665" s="32" t="n">
        <f aca="false">INDEX('Tabela Passaro'!$R$2:$R$1795,$N665)</f>
        <v>30</v>
      </c>
      <c r="X665" s="32" t="n">
        <f aca="false">ROUNDUP(J665/INDEX('Tabela Passaro'!$T$2:$T$1795,$N665),0)*INDEX('Tabela Passaro'!$S$2:$S$1795,$N665)</f>
        <v>0</v>
      </c>
      <c r="Y665" s="32" t="n">
        <f aca="false">INDEX('Tabela Passaro'!$U$2:$U$1795,$N665)</f>
        <v>0</v>
      </c>
      <c r="Z665" s="32" t="n">
        <f aca="false">INDEX('Tabela Passaro'!$V$2:$V$1795,$N665)</f>
        <v>0</v>
      </c>
      <c r="AA665" s="32" t="n">
        <f aca="false">SUM(R665:Z665)</f>
        <v>176.77486</v>
      </c>
      <c r="AB665" s="33" t="n">
        <f aca="false">INDEX(Premissas!$B$5:$B$13,MATCH(A665,Premissas!$A$5:$A$13,0))</f>
        <v>0.07</v>
      </c>
      <c r="AC665" s="32" t="n">
        <f aca="false">AA665/(1-AB665)-AA665</f>
        <v>13.3056346236559</v>
      </c>
      <c r="AD665" s="32" t="n">
        <f aca="false">ROUND(AA665+AC665,2)</f>
        <v>190.08</v>
      </c>
      <c r="AE665" s="32" t="n">
        <f aca="false">AD665-L665</f>
        <v>-60.82</v>
      </c>
      <c r="AF665" s="34" t="n">
        <f aca="false">IF(L665=0,0,AE665/L665)</f>
        <v>-0.242407333599043</v>
      </c>
      <c r="AG665" s="22" t="str">
        <f aca="false">IF(AD665&lt;L665,"PASSARO","ATUAL")</f>
        <v>PASSARO</v>
      </c>
      <c r="AH665" s="22" t="str">
        <f aca="false">IF(P665&lt;&gt;A665,"Faixa cadastrada como "&amp;P665&amp;" na tabela; preço aplicado pela UF do CEP","")</f>
        <v/>
      </c>
      <c r="AI665" s="26" t="n">
        <v>233.44</v>
      </c>
      <c r="AJ665" s="22" t="str">
        <f aca="false">INDEX('Tabela Passaro'!$X$2:$X$1795,$N665)</f>
        <v>INTERIOR 3</v>
      </c>
    </row>
    <row r="666" customFormat="false" ht="15" hidden="false" customHeight="false" outlineLevel="0" collapsed="false">
      <c r="A666" s="22" t="s">
        <v>16</v>
      </c>
      <c r="B666" s="22" t="n">
        <v>10</v>
      </c>
      <c r="C666" s="22" t="s">
        <v>93</v>
      </c>
      <c r="D666" s="22" t="s">
        <v>30</v>
      </c>
      <c r="E666" s="22" t="s">
        <v>7326</v>
      </c>
      <c r="F666" s="22" t="n">
        <v>525378</v>
      </c>
      <c r="G666" s="30" t="n">
        <v>46251</v>
      </c>
      <c r="H666" s="22" t="n">
        <v>625642</v>
      </c>
      <c r="I666" s="22" t="s">
        <v>7932</v>
      </c>
      <c r="J666" s="31" t="n">
        <v>25.8</v>
      </c>
      <c r="K666" s="26" t="n">
        <v>800.78</v>
      </c>
      <c r="L666" s="26" t="n">
        <v>139.54</v>
      </c>
      <c r="M666" s="22" t="s">
        <v>2115</v>
      </c>
      <c r="N666" s="22" t="n">
        <f aca="false">MATCH(M666,'Tabela Passaro'!$A$2:$A$1795,0)</f>
        <v>463</v>
      </c>
      <c r="O666" s="22" t="str">
        <f aca="false">INDEX('Tabela Passaro'!$C$2:$C$1795,$N666)</f>
        <v>BARREIRAS</v>
      </c>
      <c r="P666" s="22" t="str">
        <f aca="false">INDEX('Tabela Passaro'!$B$2:$B$1795,$N666)</f>
        <v>BA</v>
      </c>
      <c r="Q666" s="22" t="n">
        <f aca="false">INDEX('Tabela Passaro'!$F$2:$F$1795,$N666)</f>
        <v>12</v>
      </c>
      <c r="R666" s="32" t="n">
        <f aca="false">IF(J666&lt;=10,INDEX('Tabela Passaro'!$G$2:$G$1795,$N666),IF(J666&lt;=30,INDEX('Tabela Passaro'!$H$2:$H$1795,$N666),IF(J666&lt;=50,INDEX('Tabela Passaro'!$I$2:$I$1795,$N666),IF(J666&lt;=70,INDEX('Tabela Passaro'!$J$2:$J$1795,$N666),IF(J666&lt;=100,INDEX('Tabela Passaro'!$K$2:$K$1795,$N666),INDEX('Tabela Passaro'!$K$2:$K$1795,$N666)+(J666-100)*INDEX('Tabela Passaro'!$L$2:$L$1795,$N666))))))</f>
        <v>98.14</v>
      </c>
      <c r="S666" s="32" t="n">
        <f aca="false">K666*INDEX('Tabela Passaro'!$M$2:$M$1795,$N666)</f>
        <v>4.0039</v>
      </c>
      <c r="T666" s="32" t="n">
        <f aca="false">K666*INDEX('Tabela Passaro'!$N$2:$N$1795,$N666)</f>
        <v>1.60156</v>
      </c>
      <c r="U666" s="32" t="n">
        <f aca="false">INDEX('Tabela Passaro'!$O$2:$O$1795,$N666)</f>
        <v>5</v>
      </c>
      <c r="V666" s="32" t="n">
        <f aca="false">ROUNDUP(J666/INDEX('Tabela Passaro'!$Q$2:$Q$1795,$N666),0)*INDEX('Tabela Passaro'!$P$2:$P$1795,$N666)</f>
        <v>5</v>
      </c>
      <c r="W666" s="32" t="n">
        <f aca="false">INDEX('Tabela Passaro'!$R$2:$R$1795,$N666)</f>
        <v>30</v>
      </c>
      <c r="X666" s="32" t="n">
        <f aca="false">ROUNDUP(J666/INDEX('Tabela Passaro'!$T$2:$T$1795,$N666),0)*INDEX('Tabela Passaro'!$S$2:$S$1795,$N666)</f>
        <v>0</v>
      </c>
      <c r="Y666" s="32" t="n">
        <f aca="false">INDEX('Tabela Passaro'!$U$2:$U$1795,$N666)</f>
        <v>0</v>
      </c>
      <c r="Z666" s="32" t="n">
        <f aca="false">INDEX('Tabela Passaro'!$V$2:$V$1795,$N666)</f>
        <v>0</v>
      </c>
      <c r="AA666" s="32" t="n">
        <f aca="false">SUM(R666:Z666)</f>
        <v>143.74546</v>
      </c>
      <c r="AB666" s="33" t="n">
        <f aca="false">INDEX(Premissas!$B$5:$B$13,MATCH(A666,Premissas!$A$5:$A$13,0))</f>
        <v>0.07</v>
      </c>
      <c r="AC666" s="32" t="n">
        <f aca="false">AA666/(1-AB666)-AA666</f>
        <v>10.8195507526882</v>
      </c>
      <c r="AD666" s="32" t="n">
        <f aca="false">ROUND(AA666+AC666,2)</f>
        <v>154.57</v>
      </c>
      <c r="AE666" s="32" t="n">
        <f aca="false">AD666-L666</f>
        <v>15.03</v>
      </c>
      <c r="AF666" s="34" t="n">
        <f aca="false">IF(L666=0,0,AE666/L666)</f>
        <v>0.107711050594812</v>
      </c>
      <c r="AG666" s="22" t="str">
        <f aca="false">IF(AD666&lt;L666,"PASSARO","ATUAL")</f>
        <v>ATUAL</v>
      </c>
      <c r="AH666" s="22" t="str">
        <f aca="false">IF(P666&lt;&gt;A666,"Faixa cadastrada como "&amp;P666&amp;" na tabela; preço aplicado pela UF do CEP","")</f>
        <v/>
      </c>
      <c r="AI666" s="26" t="n">
        <v>175.3</v>
      </c>
      <c r="AJ666" s="22" t="str">
        <f aca="false">INDEX('Tabela Passaro'!$X$2:$X$1795,$N666)</f>
        <v>INTERIOR 3</v>
      </c>
    </row>
    <row r="667" customFormat="false" ht="15" hidden="false" customHeight="false" outlineLevel="0" collapsed="false">
      <c r="A667" s="22" t="s">
        <v>16</v>
      </c>
      <c r="B667" s="22" t="n">
        <v>10</v>
      </c>
      <c r="C667" s="22" t="s">
        <v>93</v>
      </c>
      <c r="D667" s="22" t="s">
        <v>30</v>
      </c>
      <c r="E667" s="22" t="s">
        <v>7328</v>
      </c>
      <c r="F667" s="22" t="n">
        <v>2313768</v>
      </c>
      <c r="G667" s="30" t="n">
        <v>46253</v>
      </c>
      <c r="H667" s="22" t="n">
        <v>133873</v>
      </c>
      <c r="I667" s="22" t="s">
        <v>7937</v>
      </c>
      <c r="J667" s="31" t="n">
        <v>39.9</v>
      </c>
      <c r="K667" s="26" t="n">
        <v>759.98</v>
      </c>
      <c r="L667" s="26" t="n">
        <v>170.59</v>
      </c>
      <c r="M667" s="22" t="s">
        <v>2115</v>
      </c>
      <c r="N667" s="22" t="n">
        <f aca="false">MATCH(M667,'Tabela Passaro'!$A$2:$A$1795,0)</f>
        <v>463</v>
      </c>
      <c r="O667" s="22" t="str">
        <f aca="false">INDEX('Tabela Passaro'!$C$2:$C$1795,$N667)</f>
        <v>BARREIRAS</v>
      </c>
      <c r="P667" s="22" t="str">
        <f aca="false">INDEX('Tabela Passaro'!$B$2:$B$1795,$N667)</f>
        <v>BA</v>
      </c>
      <c r="Q667" s="22" t="n">
        <f aca="false">INDEX('Tabela Passaro'!$F$2:$F$1795,$N667)</f>
        <v>12</v>
      </c>
      <c r="R667" s="32" t="n">
        <f aca="false">IF(J667&lt;=10,INDEX('Tabela Passaro'!$G$2:$G$1795,$N667),IF(J667&lt;=30,INDEX('Tabela Passaro'!$H$2:$H$1795,$N667),IF(J667&lt;=50,INDEX('Tabela Passaro'!$I$2:$I$1795,$N667),IF(J667&lt;=70,INDEX('Tabela Passaro'!$J$2:$J$1795,$N667),IF(J667&lt;=100,INDEX('Tabela Passaro'!$K$2:$K$1795,$N667),INDEX('Tabela Passaro'!$K$2:$K$1795,$N667)+(J667-100)*INDEX('Tabela Passaro'!$L$2:$L$1795,$N667))))))</f>
        <v>118.18</v>
      </c>
      <c r="S667" s="32" t="n">
        <f aca="false">K667*INDEX('Tabela Passaro'!$M$2:$M$1795,$N667)</f>
        <v>3.7999</v>
      </c>
      <c r="T667" s="32" t="n">
        <f aca="false">K667*INDEX('Tabela Passaro'!$N$2:$N$1795,$N667)</f>
        <v>1.51996</v>
      </c>
      <c r="U667" s="32" t="n">
        <f aca="false">INDEX('Tabela Passaro'!$O$2:$O$1795,$N667)</f>
        <v>5</v>
      </c>
      <c r="V667" s="32" t="n">
        <f aca="false">ROUNDUP(J667/INDEX('Tabela Passaro'!$Q$2:$Q$1795,$N667),0)*INDEX('Tabela Passaro'!$P$2:$P$1795,$N667)</f>
        <v>5</v>
      </c>
      <c r="W667" s="32" t="n">
        <f aca="false">INDEX('Tabela Passaro'!$R$2:$R$1795,$N667)</f>
        <v>30</v>
      </c>
      <c r="X667" s="32" t="n">
        <f aca="false">ROUNDUP(J667/INDEX('Tabela Passaro'!$T$2:$T$1795,$N667),0)*INDEX('Tabela Passaro'!$S$2:$S$1795,$N667)</f>
        <v>0</v>
      </c>
      <c r="Y667" s="32" t="n">
        <f aca="false">INDEX('Tabela Passaro'!$U$2:$U$1795,$N667)</f>
        <v>0</v>
      </c>
      <c r="Z667" s="32" t="n">
        <f aca="false">INDEX('Tabela Passaro'!$V$2:$V$1795,$N667)</f>
        <v>0</v>
      </c>
      <c r="AA667" s="32" t="n">
        <f aca="false">SUM(R667:Z667)</f>
        <v>163.49986</v>
      </c>
      <c r="AB667" s="33" t="n">
        <f aca="false">INDEX(Premissas!$B$5:$B$13,MATCH(A667,Premissas!$A$5:$A$13,0))</f>
        <v>0.07</v>
      </c>
      <c r="AC667" s="32" t="n">
        <f aca="false">AA667/(1-AB667)-AA667</f>
        <v>12.3064410752688</v>
      </c>
      <c r="AD667" s="32" t="n">
        <f aca="false">ROUND(AA667+AC667,2)</f>
        <v>175.81</v>
      </c>
      <c r="AE667" s="32" t="n">
        <f aca="false">AD667-L667</f>
        <v>5.22</v>
      </c>
      <c r="AF667" s="34" t="n">
        <f aca="false">IF(L667=0,0,AE667/L667)</f>
        <v>0.0305996834515505</v>
      </c>
      <c r="AG667" s="22" t="str">
        <f aca="false">IF(AD667&lt;L667,"PASSARO","ATUAL")</f>
        <v>ATUAL</v>
      </c>
      <c r="AH667" s="22" t="str">
        <f aca="false">IF(P667&lt;&gt;A667,"Faixa cadastrada como "&amp;P667&amp;" na tabela; preço aplicado pela UF do CEP","")</f>
        <v/>
      </c>
      <c r="AI667" s="26" t="n">
        <v>206.73</v>
      </c>
      <c r="AJ667" s="22" t="str">
        <f aca="false">INDEX('Tabela Passaro'!$X$2:$X$1795,$N667)</f>
        <v>INTERIOR 3</v>
      </c>
    </row>
    <row r="668" customFormat="false" ht="15" hidden="false" customHeight="false" outlineLevel="0" collapsed="false">
      <c r="A668" s="22" t="s">
        <v>16</v>
      </c>
      <c r="B668" s="22" t="n">
        <v>10</v>
      </c>
      <c r="C668" s="22" t="s">
        <v>93</v>
      </c>
      <c r="D668" s="22" t="s">
        <v>30</v>
      </c>
      <c r="E668" s="22" t="s">
        <v>20</v>
      </c>
      <c r="F668" s="22" t="n">
        <v>839955</v>
      </c>
      <c r="G668" s="30" t="n">
        <v>46258</v>
      </c>
      <c r="H668" s="22" t="n">
        <v>32634</v>
      </c>
      <c r="I668" s="22" t="s">
        <v>7938</v>
      </c>
      <c r="J668" s="31" t="n">
        <v>66.8</v>
      </c>
      <c r="K668" s="26" t="n">
        <v>979.98</v>
      </c>
      <c r="L668" s="26" t="n">
        <v>218.61</v>
      </c>
      <c r="M668" s="22" t="s">
        <v>2115</v>
      </c>
      <c r="N668" s="22" t="n">
        <f aca="false">MATCH(M668,'Tabela Passaro'!$A$2:$A$1795,0)</f>
        <v>463</v>
      </c>
      <c r="O668" s="22" t="str">
        <f aca="false">INDEX('Tabela Passaro'!$C$2:$C$1795,$N668)</f>
        <v>BARREIRAS</v>
      </c>
      <c r="P668" s="22" t="str">
        <f aca="false">INDEX('Tabela Passaro'!$B$2:$B$1795,$N668)</f>
        <v>BA</v>
      </c>
      <c r="Q668" s="22" t="n">
        <f aca="false">INDEX('Tabela Passaro'!$F$2:$F$1795,$N668)</f>
        <v>12</v>
      </c>
      <c r="R668" s="32" t="n">
        <f aca="false">IF(J668&lt;=10,INDEX('Tabela Passaro'!$G$2:$G$1795,$N668),IF(J668&lt;=30,INDEX('Tabela Passaro'!$H$2:$H$1795,$N668),IF(J668&lt;=50,INDEX('Tabela Passaro'!$I$2:$I$1795,$N668),IF(J668&lt;=70,INDEX('Tabela Passaro'!$J$2:$J$1795,$N668),IF(J668&lt;=100,INDEX('Tabela Passaro'!$K$2:$K$1795,$N668),INDEX('Tabela Passaro'!$K$2:$K$1795,$N668)+(J668-100)*INDEX('Tabela Passaro'!$L$2:$L$1795,$N668))))))</f>
        <v>128.2</v>
      </c>
      <c r="S668" s="32" t="n">
        <f aca="false">K668*INDEX('Tabela Passaro'!$M$2:$M$1795,$N668)</f>
        <v>4.8999</v>
      </c>
      <c r="T668" s="32" t="n">
        <f aca="false">K668*INDEX('Tabela Passaro'!$N$2:$N$1795,$N668)</f>
        <v>1.95996</v>
      </c>
      <c r="U668" s="32" t="n">
        <f aca="false">INDEX('Tabela Passaro'!$O$2:$O$1795,$N668)</f>
        <v>5</v>
      </c>
      <c r="V668" s="32" t="n">
        <f aca="false">ROUNDUP(J668/INDEX('Tabela Passaro'!$Q$2:$Q$1795,$N668),0)*INDEX('Tabela Passaro'!$P$2:$P$1795,$N668)</f>
        <v>5</v>
      </c>
      <c r="W668" s="32" t="n">
        <f aca="false">INDEX('Tabela Passaro'!$R$2:$R$1795,$N668)</f>
        <v>30</v>
      </c>
      <c r="X668" s="32" t="n">
        <f aca="false">ROUNDUP(J668/INDEX('Tabela Passaro'!$T$2:$T$1795,$N668),0)*INDEX('Tabela Passaro'!$S$2:$S$1795,$N668)</f>
        <v>0</v>
      </c>
      <c r="Y668" s="32" t="n">
        <f aca="false">INDEX('Tabela Passaro'!$U$2:$U$1795,$N668)</f>
        <v>0</v>
      </c>
      <c r="Z668" s="32" t="n">
        <f aca="false">INDEX('Tabela Passaro'!$V$2:$V$1795,$N668)</f>
        <v>0</v>
      </c>
      <c r="AA668" s="32" t="n">
        <f aca="false">SUM(R668:Z668)</f>
        <v>175.05986</v>
      </c>
      <c r="AB668" s="33" t="n">
        <f aca="false">INDEX(Premissas!$B$5:$B$13,MATCH(A668,Premissas!$A$5:$A$13,0))</f>
        <v>0.07</v>
      </c>
      <c r="AC668" s="32" t="n">
        <f aca="false">AA668/(1-AB668)-AA668</f>
        <v>13.1765486021505</v>
      </c>
      <c r="AD668" s="32" t="n">
        <f aca="false">ROUND(AA668+AC668,2)</f>
        <v>188.24</v>
      </c>
      <c r="AE668" s="32" t="n">
        <f aca="false">AD668-L668</f>
        <v>-30.37</v>
      </c>
      <c r="AF668" s="34" t="n">
        <f aca="false">IF(L668=0,0,AE668/L668)</f>
        <v>-0.138923196560084</v>
      </c>
      <c r="AG668" s="22" t="str">
        <f aca="false">IF(AD668&lt;L668,"PASSARO","ATUAL")</f>
        <v>PASSARO</v>
      </c>
      <c r="AH668" s="22" t="str">
        <f aca="false">IF(P668&lt;&gt;A668,"Faixa cadastrada como "&amp;P668&amp;" na tabela; preço aplicado pela UF do CEP","")</f>
        <v/>
      </c>
      <c r="AI668" s="26" t="n">
        <v>234.45</v>
      </c>
      <c r="AJ668" s="22" t="str">
        <f aca="false">INDEX('Tabela Passaro'!$X$2:$X$1795,$N668)</f>
        <v>INTERIOR 3</v>
      </c>
    </row>
    <row r="669" customFormat="false" ht="15" hidden="false" customHeight="false" outlineLevel="0" collapsed="false">
      <c r="A669" s="22" t="s">
        <v>16</v>
      </c>
      <c r="B669" s="22" t="n">
        <v>10</v>
      </c>
      <c r="C669" s="22" t="s">
        <v>93</v>
      </c>
      <c r="D669" s="22" t="s">
        <v>30</v>
      </c>
      <c r="E669" s="22" t="s">
        <v>20</v>
      </c>
      <c r="F669" s="22" t="n">
        <v>840029</v>
      </c>
      <c r="G669" s="30" t="n">
        <v>46259</v>
      </c>
      <c r="H669" s="22" t="n">
        <v>32678</v>
      </c>
      <c r="I669" s="22" t="s">
        <v>7939</v>
      </c>
      <c r="J669" s="31" t="n">
        <v>51.06</v>
      </c>
      <c r="K669" s="26" t="n">
        <v>901.92</v>
      </c>
      <c r="L669" s="26" t="n">
        <v>217.91</v>
      </c>
      <c r="M669" s="22" t="s">
        <v>2115</v>
      </c>
      <c r="N669" s="22" t="n">
        <f aca="false">MATCH(M669,'Tabela Passaro'!$A$2:$A$1795,0)</f>
        <v>463</v>
      </c>
      <c r="O669" s="22" t="str">
        <f aca="false">INDEX('Tabela Passaro'!$C$2:$C$1795,$N669)</f>
        <v>BARREIRAS</v>
      </c>
      <c r="P669" s="22" t="str">
        <f aca="false">INDEX('Tabela Passaro'!$B$2:$B$1795,$N669)</f>
        <v>BA</v>
      </c>
      <c r="Q669" s="22" t="n">
        <f aca="false">INDEX('Tabela Passaro'!$F$2:$F$1795,$N669)</f>
        <v>12</v>
      </c>
      <c r="R669" s="32" t="n">
        <f aca="false">IF(J669&lt;=10,INDEX('Tabela Passaro'!$G$2:$G$1795,$N669),IF(J669&lt;=30,INDEX('Tabela Passaro'!$H$2:$H$1795,$N669),IF(J669&lt;=50,INDEX('Tabela Passaro'!$I$2:$I$1795,$N669),IF(J669&lt;=70,INDEX('Tabela Passaro'!$J$2:$J$1795,$N669),IF(J669&lt;=100,INDEX('Tabela Passaro'!$K$2:$K$1795,$N669),INDEX('Tabela Passaro'!$K$2:$K$1795,$N669)+(J669-100)*INDEX('Tabela Passaro'!$L$2:$L$1795,$N669))))))</f>
        <v>128.2</v>
      </c>
      <c r="S669" s="32" t="n">
        <f aca="false">K669*INDEX('Tabela Passaro'!$M$2:$M$1795,$N669)</f>
        <v>4.5096</v>
      </c>
      <c r="T669" s="32" t="n">
        <f aca="false">K669*INDEX('Tabela Passaro'!$N$2:$N$1795,$N669)</f>
        <v>1.80384</v>
      </c>
      <c r="U669" s="32" t="n">
        <f aca="false">INDEX('Tabela Passaro'!$O$2:$O$1795,$N669)</f>
        <v>5</v>
      </c>
      <c r="V669" s="32" t="n">
        <f aca="false">ROUNDUP(J669/INDEX('Tabela Passaro'!$Q$2:$Q$1795,$N669),0)*INDEX('Tabela Passaro'!$P$2:$P$1795,$N669)</f>
        <v>5</v>
      </c>
      <c r="W669" s="32" t="n">
        <f aca="false">INDEX('Tabela Passaro'!$R$2:$R$1795,$N669)</f>
        <v>30</v>
      </c>
      <c r="X669" s="32" t="n">
        <f aca="false">ROUNDUP(J669/INDEX('Tabela Passaro'!$T$2:$T$1795,$N669),0)*INDEX('Tabela Passaro'!$S$2:$S$1795,$N669)</f>
        <v>0</v>
      </c>
      <c r="Y669" s="32" t="n">
        <f aca="false">INDEX('Tabela Passaro'!$U$2:$U$1795,$N669)</f>
        <v>0</v>
      </c>
      <c r="Z669" s="32" t="n">
        <f aca="false">INDEX('Tabela Passaro'!$V$2:$V$1795,$N669)</f>
        <v>0</v>
      </c>
      <c r="AA669" s="32" t="n">
        <f aca="false">SUM(R669:Z669)</f>
        <v>174.51344</v>
      </c>
      <c r="AB669" s="33" t="n">
        <f aca="false">INDEX(Premissas!$B$5:$B$13,MATCH(A669,Premissas!$A$5:$A$13,0))</f>
        <v>0.07</v>
      </c>
      <c r="AC669" s="32" t="n">
        <f aca="false">AA669/(1-AB669)-AA669</f>
        <v>13.1354202150538</v>
      </c>
      <c r="AD669" s="32" t="n">
        <f aca="false">ROUND(AA669+AC669,2)</f>
        <v>187.65</v>
      </c>
      <c r="AE669" s="32" t="n">
        <f aca="false">AD669-L669</f>
        <v>-30.26</v>
      </c>
      <c r="AF669" s="34" t="n">
        <f aca="false">IF(L669=0,0,AE669/L669)</f>
        <v>-0.138864668900005</v>
      </c>
      <c r="AG669" s="22" t="str">
        <f aca="false">IF(AD669&lt;L669,"PASSARO","ATUAL")</f>
        <v>PASSARO</v>
      </c>
      <c r="AH669" s="22" t="str">
        <f aca="false">IF(P669&lt;&gt;A669,"Faixa cadastrada como "&amp;P669&amp;" na tabela; preço aplicado pela UF do CEP","")</f>
        <v/>
      </c>
      <c r="AI669" s="26" t="n">
        <v>226.44</v>
      </c>
      <c r="AJ669" s="22" t="str">
        <f aca="false">INDEX('Tabela Passaro'!$X$2:$X$1795,$N669)</f>
        <v>INTERIOR 3</v>
      </c>
    </row>
    <row r="670" customFormat="false" ht="15" hidden="false" customHeight="false" outlineLevel="0" collapsed="false">
      <c r="A670" s="22" t="s">
        <v>17</v>
      </c>
      <c r="B670" s="22" t="n">
        <v>1</v>
      </c>
      <c r="C670" s="22" t="s">
        <v>95</v>
      </c>
      <c r="D670" s="22" t="s">
        <v>30</v>
      </c>
      <c r="E670" s="22" t="s">
        <v>20</v>
      </c>
      <c r="F670" s="22" t="n">
        <v>837705</v>
      </c>
      <c r="G670" s="30" t="n">
        <v>46237</v>
      </c>
      <c r="H670" s="22" t="n">
        <v>32324</v>
      </c>
      <c r="I670" s="22" t="s">
        <v>7940</v>
      </c>
      <c r="J670" s="31" t="n">
        <v>29.59</v>
      </c>
      <c r="K670" s="26" t="n">
        <v>548.58</v>
      </c>
      <c r="L670" s="26" t="n">
        <v>115.23</v>
      </c>
      <c r="M670" s="22" t="s">
        <v>2349</v>
      </c>
      <c r="N670" s="22" t="n">
        <f aca="false">MATCH(M670,'Tabela Passaro'!$A$2:$A$1795,0)</f>
        <v>522</v>
      </c>
      <c r="O670" s="22" t="str">
        <f aca="false">INDEX('Tabela Passaro'!$C$2:$C$1795,$N670)</f>
        <v>FORTALEZA</v>
      </c>
      <c r="P670" s="22" t="str">
        <f aca="false">INDEX('Tabela Passaro'!$B$2:$B$1795,$N670)</f>
        <v>CE</v>
      </c>
      <c r="Q670" s="22" t="n">
        <f aca="false">INDEX('Tabela Passaro'!$F$2:$F$1795,$N670)</f>
        <v>8</v>
      </c>
      <c r="R670" s="32" t="n">
        <f aca="false">IF(J670&lt;=10,INDEX('Tabela Passaro'!$G$2:$G$1795,$N670),IF(J670&lt;=30,INDEX('Tabela Passaro'!$H$2:$H$1795,$N670),IF(J670&lt;=50,INDEX('Tabela Passaro'!$I$2:$I$1795,$N670),IF(J670&lt;=70,INDEX('Tabela Passaro'!$J$2:$J$1795,$N670),IF(J670&lt;=100,INDEX('Tabela Passaro'!$K$2:$K$1795,$N670),INDEX('Tabela Passaro'!$K$2:$K$1795,$N670)+(J670-100)*INDEX('Tabela Passaro'!$L$2:$L$1795,$N670))))))</f>
        <v>130.85</v>
      </c>
      <c r="S670" s="32" t="n">
        <f aca="false">K670*INDEX('Tabela Passaro'!$M$2:$M$1795,$N670)</f>
        <v>2.7429</v>
      </c>
      <c r="T670" s="32" t="n">
        <f aca="false">K670*INDEX('Tabela Passaro'!$N$2:$N$1795,$N670)</f>
        <v>1.09716</v>
      </c>
      <c r="U670" s="32" t="n">
        <f aca="false">INDEX('Tabela Passaro'!$O$2:$O$1795,$N670)</f>
        <v>5</v>
      </c>
      <c r="V670" s="32" t="n">
        <f aca="false">ROUNDUP(J670/INDEX('Tabela Passaro'!$Q$2:$Q$1795,$N670),0)*INDEX('Tabela Passaro'!$P$2:$P$1795,$N670)</f>
        <v>5</v>
      </c>
      <c r="W670" s="32" t="n">
        <f aca="false">INDEX('Tabela Passaro'!$R$2:$R$1795,$N670)</f>
        <v>30</v>
      </c>
      <c r="X670" s="32" t="n">
        <f aca="false">ROUNDUP(J670/INDEX('Tabela Passaro'!$T$2:$T$1795,$N670),0)*INDEX('Tabela Passaro'!$S$2:$S$1795,$N670)</f>
        <v>0</v>
      </c>
      <c r="Y670" s="32" t="n">
        <f aca="false">INDEX('Tabela Passaro'!$U$2:$U$1795,$N670)</f>
        <v>0</v>
      </c>
      <c r="Z670" s="32" t="n">
        <f aca="false">INDEX('Tabela Passaro'!$V$2:$V$1795,$N670)</f>
        <v>0</v>
      </c>
      <c r="AA670" s="32" t="n">
        <f aca="false">SUM(R670:Z670)</f>
        <v>174.69006</v>
      </c>
      <c r="AB670" s="33" t="n">
        <f aca="false">INDEX(Premissas!$B$5:$B$13,MATCH(A670,Premissas!$A$5:$A$13,0))</f>
        <v>0.07</v>
      </c>
      <c r="AC670" s="32" t="n">
        <f aca="false">AA670/(1-AB670)-AA670</f>
        <v>13.1487141935484</v>
      </c>
      <c r="AD670" s="32" t="n">
        <f aca="false">ROUND(AA670+AC670,2)</f>
        <v>187.84</v>
      </c>
      <c r="AE670" s="32" t="n">
        <f aca="false">AD670-L670</f>
        <v>72.61</v>
      </c>
      <c r="AF670" s="34" t="n">
        <f aca="false">IF(L670=0,0,AE670/L670)</f>
        <v>0.630131042263299</v>
      </c>
      <c r="AG670" s="22" t="str">
        <f aca="false">IF(AD670&lt;L670,"PASSARO","ATUAL")</f>
        <v>ATUAL</v>
      </c>
      <c r="AH670" s="22" t="str">
        <f aca="false">IF(P670&lt;&gt;A670,"Faixa cadastrada como "&amp;P670&amp;" na tabela; preço aplicado pela UF do CEP","")</f>
        <v/>
      </c>
      <c r="AI670" s="26" t="n">
        <v>216.32</v>
      </c>
      <c r="AJ670" s="22" t="str">
        <f aca="false">INDEX('Tabela Passaro'!$X$2:$X$1795,$N670)</f>
        <v>CAPITAL</v>
      </c>
    </row>
    <row r="671" customFormat="false" ht="15" hidden="false" customHeight="false" outlineLevel="0" collapsed="false">
      <c r="A671" s="22" t="s">
        <v>17</v>
      </c>
      <c r="B671" s="22" t="n">
        <v>1</v>
      </c>
      <c r="C671" s="22" t="s">
        <v>95</v>
      </c>
      <c r="D671" s="22" t="s">
        <v>30</v>
      </c>
      <c r="E671" s="22" t="s">
        <v>20</v>
      </c>
      <c r="F671" s="22" t="n">
        <v>837658</v>
      </c>
      <c r="G671" s="30" t="n">
        <v>46237</v>
      </c>
      <c r="H671" s="22" t="n">
        <v>32335</v>
      </c>
      <c r="I671" s="22" t="s">
        <v>7941</v>
      </c>
      <c r="J671" s="31" t="n">
        <v>39</v>
      </c>
      <c r="K671" s="26" t="n">
        <v>694.48</v>
      </c>
      <c r="L671" s="26" t="n">
        <v>151.31</v>
      </c>
      <c r="M671" s="22" t="s">
        <v>2349</v>
      </c>
      <c r="N671" s="22" t="n">
        <f aca="false">MATCH(M671,'Tabela Passaro'!$A$2:$A$1795,0)</f>
        <v>522</v>
      </c>
      <c r="O671" s="22" t="str">
        <f aca="false">INDEX('Tabela Passaro'!$C$2:$C$1795,$N671)</f>
        <v>FORTALEZA</v>
      </c>
      <c r="P671" s="22" t="str">
        <f aca="false">INDEX('Tabela Passaro'!$B$2:$B$1795,$N671)</f>
        <v>CE</v>
      </c>
      <c r="Q671" s="22" t="n">
        <f aca="false">INDEX('Tabela Passaro'!$F$2:$F$1795,$N671)</f>
        <v>8</v>
      </c>
      <c r="R671" s="32" t="n">
        <f aca="false">IF(J671&lt;=10,INDEX('Tabela Passaro'!$G$2:$G$1795,$N671),IF(J671&lt;=30,INDEX('Tabela Passaro'!$H$2:$H$1795,$N671),IF(J671&lt;=50,INDEX('Tabela Passaro'!$I$2:$I$1795,$N671),IF(J671&lt;=70,INDEX('Tabela Passaro'!$J$2:$J$1795,$N671),IF(J671&lt;=100,INDEX('Tabela Passaro'!$K$2:$K$1795,$N671),INDEX('Tabela Passaro'!$K$2:$K$1795,$N671)+(J671-100)*INDEX('Tabela Passaro'!$L$2:$L$1795,$N671))))))</f>
        <v>152.98</v>
      </c>
      <c r="S671" s="32" t="n">
        <f aca="false">K671*INDEX('Tabela Passaro'!$M$2:$M$1795,$N671)</f>
        <v>3.4724</v>
      </c>
      <c r="T671" s="32" t="n">
        <f aca="false">K671*INDEX('Tabela Passaro'!$N$2:$N$1795,$N671)</f>
        <v>1.38896</v>
      </c>
      <c r="U671" s="32" t="n">
        <f aca="false">INDEX('Tabela Passaro'!$O$2:$O$1795,$N671)</f>
        <v>5</v>
      </c>
      <c r="V671" s="32" t="n">
        <f aca="false">ROUNDUP(J671/INDEX('Tabela Passaro'!$Q$2:$Q$1795,$N671),0)*INDEX('Tabela Passaro'!$P$2:$P$1795,$N671)</f>
        <v>5</v>
      </c>
      <c r="W671" s="32" t="n">
        <f aca="false">INDEX('Tabela Passaro'!$R$2:$R$1795,$N671)</f>
        <v>30</v>
      </c>
      <c r="X671" s="32" t="n">
        <f aca="false">ROUNDUP(J671/INDEX('Tabela Passaro'!$T$2:$T$1795,$N671),0)*INDEX('Tabela Passaro'!$S$2:$S$1795,$N671)</f>
        <v>0</v>
      </c>
      <c r="Y671" s="32" t="n">
        <f aca="false">INDEX('Tabela Passaro'!$U$2:$U$1795,$N671)</f>
        <v>0</v>
      </c>
      <c r="Z671" s="32" t="n">
        <f aca="false">INDEX('Tabela Passaro'!$V$2:$V$1795,$N671)</f>
        <v>0</v>
      </c>
      <c r="AA671" s="32" t="n">
        <f aca="false">SUM(R671:Z671)</f>
        <v>197.84136</v>
      </c>
      <c r="AB671" s="33" t="n">
        <f aca="false">INDEX(Premissas!$B$5:$B$13,MATCH(A671,Premissas!$A$5:$A$13,0))</f>
        <v>0.07</v>
      </c>
      <c r="AC671" s="32" t="n">
        <f aca="false">AA671/(1-AB671)-AA671</f>
        <v>14.8912851612903</v>
      </c>
      <c r="AD671" s="32" t="n">
        <f aca="false">ROUND(AA671+AC671,2)</f>
        <v>212.73</v>
      </c>
      <c r="AE671" s="32" t="n">
        <f aca="false">AD671-L671</f>
        <v>61.42</v>
      </c>
      <c r="AF671" s="34" t="n">
        <f aca="false">IF(L671=0,0,AE671/L671)</f>
        <v>0.405921617870597</v>
      </c>
      <c r="AG671" s="22" t="str">
        <f aca="false">IF(AD671&lt;L671,"PASSARO","ATUAL")</f>
        <v>ATUAL</v>
      </c>
      <c r="AH671" s="22" t="str">
        <f aca="false">IF(P671&lt;&gt;A671,"Faixa cadastrada como "&amp;P671&amp;" na tabela; preço aplicado pela UF do CEP","")</f>
        <v/>
      </c>
      <c r="AI671" s="26" t="n">
        <v>247.13</v>
      </c>
      <c r="AJ671" s="22" t="str">
        <f aca="false">INDEX('Tabela Passaro'!$X$2:$X$1795,$N671)</f>
        <v>CAPITAL</v>
      </c>
    </row>
    <row r="672" customFormat="false" ht="15" hidden="false" customHeight="false" outlineLevel="0" collapsed="false">
      <c r="A672" s="22" t="s">
        <v>17</v>
      </c>
      <c r="B672" s="22" t="n">
        <v>1</v>
      </c>
      <c r="C672" s="22" t="s">
        <v>95</v>
      </c>
      <c r="D672" s="22" t="s">
        <v>30</v>
      </c>
      <c r="E672" s="22" t="s">
        <v>20</v>
      </c>
      <c r="F672" s="22" t="n">
        <v>837670</v>
      </c>
      <c r="G672" s="30" t="n">
        <v>46237</v>
      </c>
      <c r="H672" s="22" t="n">
        <v>32347</v>
      </c>
      <c r="I672" s="22" t="s">
        <v>7942</v>
      </c>
      <c r="J672" s="31" t="n">
        <v>116.29</v>
      </c>
      <c r="K672" s="26" t="n">
        <v>1769.98</v>
      </c>
      <c r="L672" s="26" t="n">
        <v>266.28</v>
      </c>
      <c r="M672" s="22" t="s">
        <v>2349</v>
      </c>
      <c r="N672" s="22" t="n">
        <f aca="false">MATCH(M672,'Tabela Passaro'!$A$2:$A$1795,0)</f>
        <v>522</v>
      </c>
      <c r="O672" s="22" t="str">
        <f aca="false">INDEX('Tabela Passaro'!$C$2:$C$1795,$N672)</f>
        <v>FORTALEZA</v>
      </c>
      <c r="P672" s="22" t="str">
        <f aca="false">INDEX('Tabela Passaro'!$B$2:$B$1795,$N672)</f>
        <v>CE</v>
      </c>
      <c r="Q672" s="22" t="n">
        <f aca="false">INDEX('Tabela Passaro'!$F$2:$F$1795,$N672)</f>
        <v>8</v>
      </c>
      <c r="R672" s="32" t="n">
        <f aca="false">IF(J672&lt;=10,INDEX('Tabela Passaro'!$G$2:$G$1795,$N672),IF(J672&lt;=30,INDEX('Tabela Passaro'!$H$2:$H$1795,$N672),IF(J672&lt;=50,INDEX('Tabela Passaro'!$I$2:$I$1795,$N672),IF(J672&lt;=70,INDEX('Tabela Passaro'!$J$2:$J$1795,$N672),IF(J672&lt;=100,INDEX('Tabela Passaro'!$K$2:$K$1795,$N672),INDEX('Tabela Passaro'!$K$2:$K$1795,$N672)+(J672-100)*INDEX('Tabela Passaro'!$L$2:$L$1795,$N672))))))</f>
        <v>213.873</v>
      </c>
      <c r="S672" s="32" t="n">
        <f aca="false">K672*INDEX('Tabela Passaro'!$M$2:$M$1795,$N672)</f>
        <v>8.8499</v>
      </c>
      <c r="T672" s="32" t="n">
        <f aca="false">K672*INDEX('Tabela Passaro'!$N$2:$N$1795,$N672)</f>
        <v>3.53996</v>
      </c>
      <c r="U672" s="32" t="n">
        <f aca="false">INDEX('Tabela Passaro'!$O$2:$O$1795,$N672)</f>
        <v>5</v>
      </c>
      <c r="V672" s="32" t="n">
        <f aca="false">ROUNDUP(J672/INDEX('Tabela Passaro'!$Q$2:$Q$1795,$N672),0)*INDEX('Tabela Passaro'!$P$2:$P$1795,$N672)</f>
        <v>10</v>
      </c>
      <c r="W672" s="32" t="n">
        <f aca="false">INDEX('Tabela Passaro'!$R$2:$R$1795,$N672)</f>
        <v>30</v>
      </c>
      <c r="X672" s="32" t="n">
        <f aca="false">ROUNDUP(J672/INDEX('Tabela Passaro'!$T$2:$T$1795,$N672),0)*INDEX('Tabela Passaro'!$S$2:$S$1795,$N672)</f>
        <v>0</v>
      </c>
      <c r="Y672" s="32" t="n">
        <f aca="false">INDEX('Tabela Passaro'!$U$2:$U$1795,$N672)</f>
        <v>0</v>
      </c>
      <c r="Z672" s="32" t="n">
        <f aca="false">INDEX('Tabela Passaro'!$V$2:$V$1795,$N672)</f>
        <v>0</v>
      </c>
      <c r="AA672" s="32" t="n">
        <f aca="false">SUM(R672:Z672)</f>
        <v>271.26286</v>
      </c>
      <c r="AB672" s="33" t="n">
        <f aca="false">INDEX(Premissas!$B$5:$B$13,MATCH(A672,Premissas!$A$5:$A$13,0))</f>
        <v>0.07</v>
      </c>
      <c r="AC672" s="32" t="n">
        <f aca="false">AA672/(1-AB672)-AA672</f>
        <v>20.4176346236559</v>
      </c>
      <c r="AD672" s="32" t="n">
        <f aca="false">ROUND(AA672+AC672,2)</f>
        <v>291.68</v>
      </c>
      <c r="AE672" s="32" t="n">
        <f aca="false">AD672-L672</f>
        <v>25.4</v>
      </c>
      <c r="AF672" s="34" t="n">
        <f aca="false">IF(L672=0,0,AE672/L672)</f>
        <v>0.0953883130539283</v>
      </c>
      <c r="AG672" s="22" t="str">
        <f aca="false">IF(AD672&lt;L672,"PASSARO","ATUAL")</f>
        <v>ATUAL</v>
      </c>
      <c r="AH672" s="22" t="str">
        <f aca="false">IF(P672&lt;&gt;A672,"Faixa cadastrada como "&amp;P672&amp;" na tabela; preço aplicado pela UF do CEP","")</f>
        <v/>
      </c>
      <c r="AI672" s="26" t="n">
        <v>371.69</v>
      </c>
      <c r="AJ672" s="22" t="str">
        <f aca="false">INDEX('Tabela Passaro'!$X$2:$X$1795,$N672)</f>
        <v>CAPITAL</v>
      </c>
    </row>
    <row r="673" customFormat="false" ht="15" hidden="false" customHeight="false" outlineLevel="0" collapsed="false">
      <c r="A673" s="22" t="s">
        <v>17</v>
      </c>
      <c r="B673" s="22" t="n">
        <v>1</v>
      </c>
      <c r="C673" s="22" t="s">
        <v>95</v>
      </c>
      <c r="D673" s="22" t="s">
        <v>30</v>
      </c>
      <c r="E673" s="22" t="s">
        <v>20</v>
      </c>
      <c r="F673" s="22" t="n">
        <v>837693</v>
      </c>
      <c r="G673" s="30" t="n">
        <v>46237</v>
      </c>
      <c r="H673" s="22" t="n">
        <v>32370</v>
      </c>
      <c r="I673" s="22" t="s">
        <v>7943</v>
      </c>
      <c r="J673" s="31" t="n">
        <v>79.26</v>
      </c>
      <c r="K673" s="26" t="n">
        <v>906.15</v>
      </c>
      <c r="L673" s="26" t="n">
        <v>221.55</v>
      </c>
      <c r="M673" s="22" t="s">
        <v>2349</v>
      </c>
      <c r="N673" s="22" t="n">
        <f aca="false">MATCH(M673,'Tabela Passaro'!$A$2:$A$1795,0)</f>
        <v>522</v>
      </c>
      <c r="O673" s="22" t="str">
        <f aca="false">INDEX('Tabela Passaro'!$C$2:$C$1795,$N673)</f>
        <v>FORTALEZA</v>
      </c>
      <c r="P673" s="22" t="str">
        <f aca="false">INDEX('Tabela Passaro'!$B$2:$B$1795,$N673)</f>
        <v>CE</v>
      </c>
      <c r="Q673" s="22" t="n">
        <f aca="false">INDEX('Tabela Passaro'!$F$2:$F$1795,$N673)</f>
        <v>8</v>
      </c>
      <c r="R673" s="32" t="n">
        <f aca="false">IF(J673&lt;=10,INDEX('Tabela Passaro'!$G$2:$G$1795,$N673),IF(J673&lt;=30,INDEX('Tabela Passaro'!$H$2:$H$1795,$N673),IF(J673&lt;=50,INDEX('Tabela Passaro'!$I$2:$I$1795,$N673),IF(J673&lt;=70,INDEX('Tabela Passaro'!$J$2:$J$1795,$N673),IF(J673&lt;=100,INDEX('Tabela Passaro'!$K$2:$K$1795,$N673),INDEX('Tabela Passaro'!$K$2:$K$1795,$N673)+(J673-100)*INDEX('Tabela Passaro'!$L$2:$L$1795,$N673))))))</f>
        <v>186.18</v>
      </c>
      <c r="S673" s="32" t="n">
        <f aca="false">K673*INDEX('Tabela Passaro'!$M$2:$M$1795,$N673)</f>
        <v>4.53075</v>
      </c>
      <c r="T673" s="32" t="n">
        <f aca="false">K673*INDEX('Tabela Passaro'!$N$2:$N$1795,$N673)</f>
        <v>1.8123</v>
      </c>
      <c r="U673" s="32" t="n">
        <f aca="false">INDEX('Tabela Passaro'!$O$2:$O$1795,$N673)</f>
        <v>5</v>
      </c>
      <c r="V673" s="32" t="n">
        <f aca="false">ROUNDUP(J673/INDEX('Tabela Passaro'!$Q$2:$Q$1795,$N673),0)*INDEX('Tabela Passaro'!$P$2:$P$1795,$N673)</f>
        <v>5</v>
      </c>
      <c r="W673" s="32" t="n">
        <f aca="false">INDEX('Tabela Passaro'!$R$2:$R$1795,$N673)</f>
        <v>30</v>
      </c>
      <c r="X673" s="32" t="n">
        <f aca="false">ROUNDUP(J673/INDEX('Tabela Passaro'!$T$2:$T$1795,$N673),0)*INDEX('Tabela Passaro'!$S$2:$S$1795,$N673)</f>
        <v>0</v>
      </c>
      <c r="Y673" s="32" t="n">
        <f aca="false">INDEX('Tabela Passaro'!$U$2:$U$1795,$N673)</f>
        <v>0</v>
      </c>
      <c r="Z673" s="32" t="n">
        <f aca="false">INDEX('Tabela Passaro'!$V$2:$V$1795,$N673)</f>
        <v>0</v>
      </c>
      <c r="AA673" s="32" t="n">
        <f aca="false">SUM(R673:Z673)</f>
        <v>232.52305</v>
      </c>
      <c r="AB673" s="33" t="n">
        <f aca="false">INDEX(Premissas!$B$5:$B$13,MATCH(A673,Premissas!$A$5:$A$13,0))</f>
        <v>0.07</v>
      </c>
      <c r="AC673" s="32" t="n">
        <f aca="false">AA673/(1-AB673)-AA673</f>
        <v>17.5017349462366</v>
      </c>
      <c r="AD673" s="32" t="n">
        <f aca="false">ROUND(AA673+AC673,2)</f>
        <v>250.02</v>
      </c>
      <c r="AE673" s="32" t="n">
        <f aca="false">AD673-L673</f>
        <v>28.47</v>
      </c>
      <c r="AF673" s="34" t="n">
        <f aca="false">IF(L673=0,0,AE673/L673)</f>
        <v>0.128503723764387</v>
      </c>
      <c r="AG673" s="22" t="str">
        <f aca="false">IF(AD673&lt;L673,"PASSARO","ATUAL")</f>
        <v>ATUAL</v>
      </c>
      <c r="AH673" s="22" t="str">
        <f aca="false">IF(P673&lt;&gt;A673,"Faixa cadastrada como "&amp;P673&amp;" na tabela; preço aplicado pela UF do CEP","")</f>
        <v/>
      </c>
      <c r="AI673" s="26" t="n">
        <v>306.6</v>
      </c>
      <c r="AJ673" s="22" t="str">
        <f aca="false">INDEX('Tabela Passaro'!$X$2:$X$1795,$N673)</f>
        <v>CAPITAL</v>
      </c>
    </row>
    <row r="674" customFormat="false" ht="15" hidden="false" customHeight="false" outlineLevel="0" collapsed="false">
      <c r="A674" s="22" t="s">
        <v>17</v>
      </c>
      <c r="B674" s="22" t="n">
        <v>1</v>
      </c>
      <c r="C674" s="22" t="s">
        <v>95</v>
      </c>
      <c r="D674" s="22" t="s">
        <v>30</v>
      </c>
      <c r="E674" s="22" t="s">
        <v>20</v>
      </c>
      <c r="F674" s="22" t="n">
        <v>837703</v>
      </c>
      <c r="G674" s="30" t="n">
        <v>46237</v>
      </c>
      <c r="H674" s="22" t="n">
        <v>32380</v>
      </c>
      <c r="I674" s="22" t="s">
        <v>7944</v>
      </c>
      <c r="J674" s="31" t="n">
        <v>22.3</v>
      </c>
      <c r="K674" s="26" t="n">
        <v>699.98</v>
      </c>
      <c r="L674" s="26" t="n">
        <v>116.59</v>
      </c>
      <c r="M674" s="22" t="s">
        <v>2349</v>
      </c>
      <c r="N674" s="22" t="n">
        <f aca="false">MATCH(M674,'Tabela Passaro'!$A$2:$A$1795,0)</f>
        <v>522</v>
      </c>
      <c r="O674" s="22" t="str">
        <f aca="false">INDEX('Tabela Passaro'!$C$2:$C$1795,$N674)</f>
        <v>FORTALEZA</v>
      </c>
      <c r="P674" s="22" t="str">
        <f aca="false">INDEX('Tabela Passaro'!$B$2:$B$1795,$N674)</f>
        <v>CE</v>
      </c>
      <c r="Q674" s="22" t="n">
        <f aca="false">INDEX('Tabela Passaro'!$F$2:$F$1795,$N674)</f>
        <v>8</v>
      </c>
      <c r="R674" s="32" t="n">
        <f aca="false">IF(J674&lt;=10,INDEX('Tabela Passaro'!$G$2:$G$1795,$N674),IF(J674&lt;=30,INDEX('Tabela Passaro'!$H$2:$H$1795,$N674),IF(J674&lt;=50,INDEX('Tabela Passaro'!$I$2:$I$1795,$N674),IF(J674&lt;=70,INDEX('Tabela Passaro'!$J$2:$J$1795,$N674),IF(J674&lt;=100,INDEX('Tabela Passaro'!$K$2:$K$1795,$N674),INDEX('Tabela Passaro'!$K$2:$K$1795,$N674)+(J674-100)*INDEX('Tabela Passaro'!$L$2:$L$1795,$N674))))))</f>
        <v>130.85</v>
      </c>
      <c r="S674" s="32" t="n">
        <f aca="false">K674*INDEX('Tabela Passaro'!$M$2:$M$1795,$N674)</f>
        <v>3.4999</v>
      </c>
      <c r="T674" s="32" t="n">
        <f aca="false">K674*INDEX('Tabela Passaro'!$N$2:$N$1795,$N674)</f>
        <v>1.39996</v>
      </c>
      <c r="U674" s="32" t="n">
        <f aca="false">INDEX('Tabela Passaro'!$O$2:$O$1795,$N674)</f>
        <v>5</v>
      </c>
      <c r="V674" s="32" t="n">
        <f aca="false">ROUNDUP(J674/INDEX('Tabela Passaro'!$Q$2:$Q$1795,$N674),0)*INDEX('Tabela Passaro'!$P$2:$P$1795,$N674)</f>
        <v>5</v>
      </c>
      <c r="W674" s="32" t="n">
        <f aca="false">INDEX('Tabela Passaro'!$R$2:$R$1795,$N674)</f>
        <v>30</v>
      </c>
      <c r="X674" s="32" t="n">
        <f aca="false">ROUNDUP(J674/INDEX('Tabela Passaro'!$T$2:$T$1795,$N674),0)*INDEX('Tabela Passaro'!$S$2:$S$1795,$N674)</f>
        <v>0</v>
      </c>
      <c r="Y674" s="32" t="n">
        <f aca="false">INDEX('Tabela Passaro'!$U$2:$U$1795,$N674)</f>
        <v>0</v>
      </c>
      <c r="Z674" s="32" t="n">
        <f aca="false">INDEX('Tabela Passaro'!$V$2:$V$1795,$N674)</f>
        <v>0</v>
      </c>
      <c r="AA674" s="32" t="n">
        <f aca="false">SUM(R674:Z674)</f>
        <v>175.74986</v>
      </c>
      <c r="AB674" s="33" t="n">
        <f aca="false">INDEX(Premissas!$B$5:$B$13,MATCH(A674,Premissas!$A$5:$A$13,0))</f>
        <v>0.07</v>
      </c>
      <c r="AC674" s="32" t="n">
        <f aca="false">AA674/(1-AB674)-AA674</f>
        <v>13.2284840860215</v>
      </c>
      <c r="AD674" s="32" t="n">
        <f aca="false">ROUND(AA674+AC674,2)</f>
        <v>188.98</v>
      </c>
      <c r="AE674" s="32" t="n">
        <f aca="false">AD674-L674</f>
        <v>72.39</v>
      </c>
      <c r="AF674" s="34" t="n">
        <f aca="false">IF(L674=0,0,AE674/L674)</f>
        <v>0.620893730165537</v>
      </c>
      <c r="AG674" s="22" t="str">
        <f aca="false">IF(AD674&lt;L674,"PASSARO","ATUAL")</f>
        <v>ATUAL</v>
      </c>
      <c r="AH674" s="22" t="str">
        <f aca="false">IF(P674&lt;&gt;A674,"Faixa cadastrada como "&amp;P674&amp;" na tabela; preço aplicado pela UF do CEP","")</f>
        <v/>
      </c>
      <c r="AI674" s="26" t="n">
        <v>214.4</v>
      </c>
      <c r="AJ674" s="22" t="str">
        <f aca="false">INDEX('Tabela Passaro'!$X$2:$X$1795,$N674)</f>
        <v>CAPITAL</v>
      </c>
    </row>
    <row r="675" customFormat="false" ht="15" hidden="false" customHeight="false" outlineLevel="0" collapsed="false">
      <c r="A675" s="22" t="s">
        <v>17</v>
      </c>
      <c r="B675" s="22" t="n">
        <v>1</v>
      </c>
      <c r="C675" s="22" t="s">
        <v>95</v>
      </c>
      <c r="D675" s="22" t="s">
        <v>30</v>
      </c>
      <c r="E675" s="22" t="s">
        <v>7326</v>
      </c>
      <c r="F675" s="22" t="n">
        <v>521929</v>
      </c>
      <c r="G675" s="30" t="n">
        <v>46237</v>
      </c>
      <c r="H675" s="22" t="n">
        <v>618531</v>
      </c>
      <c r="I675" s="22" t="s">
        <v>7945</v>
      </c>
      <c r="J675" s="31" t="n">
        <v>28.8</v>
      </c>
      <c r="K675" s="26" t="n">
        <v>860.16</v>
      </c>
      <c r="L675" s="26" t="n">
        <v>137.77</v>
      </c>
      <c r="M675" s="22" t="s">
        <v>2349</v>
      </c>
      <c r="N675" s="22" t="n">
        <f aca="false">MATCH(M675,'Tabela Passaro'!$A$2:$A$1795,0)</f>
        <v>522</v>
      </c>
      <c r="O675" s="22" t="str">
        <f aca="false">INDEX('Tabela Passaro'!$C$2:$C$1795,$N675)</f>
        <v>FORTALEZA</v>
      </c>
      <c r="P675" s="22" t="str">
        <f aca="false">INDEX('Tabela Passaro'!$B$2:$B$1795,$N675)</f>
        <v>CE</v>
      </c>
      <c r="Q675" s="22" t="n">
        <f aca="false">INDEX('Tabela Passaro'!$F$2:$F$1795,$N675)</f>
        <v>8</v>
      </c>
      <c r="R675" s="32" t="n">
        <f aca="false">IF(J675&lt;=10,INDEX('Tabela Passaro'!$G$2:$G$1795,$N675),IF(J675&lt;=30,INDEX('Tabela Passaro'!$H$2:$H$1795,$N675),IF(J675&lt;=50,INDEX('Tabela Passaro'!$I$2:$I$1795,$N675),IF(J675&lt;=70,INDEX('Tabela Passaro'!$J$2:$J$1795,$N675),IF(J675&lt;=100,INDEX('Tabela Passaro'!$K$2:$K$1795,$N675),INDEX('Tabela Passaro'!$K$2:$K$1795,$N675)+(J675-100)*INDEX('Tabela Passaro'!$L$2:$L$1795,$N675))))))</f>
        <v>130.85</v>
      </c>
      <c r="S675" s="32" t="n">
        <f aca="false">K675*INDEX('Tabela Passaro'!$M$2:$M$1795,$N675)</f>
        <v>4.3008</v>
      </c>
      <c r="T675" s="32" t="n">
        <f aca="false">K675*INDEX('Tabela Passaro'!$N$2:$N$1795,$N675)</f>
        <v>1.72032</v>
      </c>
      <c r="U675" s="32" t="n">
        <f aca="false">INDEX('Tabela Passaro'!$O$2:$O$1795,$N675)</f>
        <v>5</v>
      </c>
      <c r="V675" s="32" t="n">
        <f aca="false">ROUNDUP(J675/INDEX('Tabela Passaro'!$Q$2:$Q$1795,$N675),0)*INDEX('Tabela Passaro'!$P$2:$P$1795,$N675)</f>
        <v>5</v>
      </c>
      <c r="W675" s="32" t="n">
        <f aca="false">INDEX('Tabela Passaro'!$R$2:$R$1795,$N675)</f>
        <v>30</v>
      </c>
      <c r="X675" s="32" t="n">
        <f aca="false">ROUNDUP(J675/INDEX('Tabela Passaro'!$T$2:$T$1795,$N675),0)*INDEX('Tabela Passaro'!$S$2:$S$1795,$N675)</f>
        <v>0</v>
      </c>
      <c r="Y675" s="32" t="n">
        <f aca="false">INDEX('Tabela Passaro'!$U$2:$U$1795,$N675)</f>
        <v>0</v>
      </c>
      <c r="Z675" s="32" t="n">
        <f aca="false">INDEX('Tabela Passaro'!$V$2:$V$1795,$N675)</f>
        <v>0</v>
      </c>
      <c r="AA675" s="32" t="n">
        <f aca="false">SUM(R675:Z675)</f>
        <v>176.87112</v>
      </c>
      <c r="AB675" s="33" t="n">
        <f aca="false">INDEX(Premissas!$B$5:$B$13,MATCH(A675,Premissas!$A$5:$A$13,0))</f>
        <v>0.07</v>
      </c>
      <c r="AC675" s="32" t="n">
        <f aca="false">AA675/(1-AB675)-AA675</f>
        <v>13.31288</v>
      </c>
      <c r="AD675" s="32" t="n">
        <f aca="false">ROUND(AA675+AC675,2)</f>
        <v>190.18</v>
      </c>
      <c r="AE675" s="32" t="n">
        <f aca="false">AD675-L675</f>
        <v>52.41</v>
      </c>
      <c r="AF675" s="34" t="n">
        <f aca="false">IF(L675=0,0,AE675/L675)</f>
        <v>0.380416636423024</v>
      </c>
      <c r="AG675" s="22" t="str">
        <f aca="false">IF(AD675&lt;L675,"PASSARO","ATUAL")</f>
        <v>ATUAL</v>
      </c>
      <c r="AH675" s="22" t="str">
        <f aca="false">IF(P675&lt;&gt;A675,"Faixa cadastrada como "&amp;P675&amp;" na tabela; preço aplicado pela UF do CEP","")</f>
        <v/>
      </c>
      <c r="AI675" s="26" t="n">
        <v>218.85</v>
      </c>
      <c r="AJ675" s="22" t="str">
        <f aca="false">INDEX('Tabela Passaro'!$X$2:$X$1795,$N675)</f>
        <v>CAPITAL</v>
      </c>
    </row>
    <row r="676" customFormat="false" ht="15" hidden="false" customHeight="false" outlineLevel="0" collapsed="false">
      <c r="A676" s="22" t="s">
        <v>17</v>
      </c>
      <c r="B676" s="22" t="n">
        <v>1</v>
      </c>
      <c r="C676" s="22" t="s">
        <v>95</v>
      </c>
      <c r="D676" s="22" t="s">
        <v>30</v>
      </c>
      <c r="E676" s="22" t="s">
        <v>7326</v>
      </c>
      <c r="F676" s="22" t="n">
        <v>521737</v>
      </c>
      <c r="G676" s="30" t="n">
        <v>46237</v>
      </c>
      <c r="H676" s="22" t="n">
        <v>619003</v>
      </c>
      <c r="I676" s="22" t="s">
        <v>7946</v>
      </c>
      <c r="J676" s="31" t="n">
        <v>29.2</v>
      </c>
      <c r="K676" s="26" t="n">
        <v>587.48</v>
      </c>
      <c r="L676" s="26" t="n">
        <v>135.46</v>
      </c>
      <c r="M676" s="22" t="s">
        <v>2349</v>
      </c>
      <c r="N676" s="22" t="n">
        <f aca="false">MATCH(M676,'Tabela Passaro'!$A$2:$A$1795,0)</f>
        <v>522</v>
      </c>
      <c r="O676" s="22" t="str">
        <f aca="false">INDEX('Tabela Passaro'!$C$2:$C$1795,$N676)</f>
        <v>FORTALEZA</v>
      </c>
      <c r="P676" s="22" t="str">
        <f aca="false">INDEX('Tabela Passaro'!$B$2:$B$1795,$N676)</f>
        <v>CE</v>
      </c>
      <c r="Q676" s="22" t="n">
        <f aca="false">INDEX('Tabela Passaro'!$F$2:$F$1795,$N676)</f>
        <v>8</v>
      </c>
      <c r="R676" s="32" t="n">
        <f aca="false">IF(J676&lt;=10,INDEX('Tabela Passaro'!$G$2:$G$1795,$N676),IF(J676&lt;=30,INDEX('Tabela Passaro'!$H$2:$H$1795,$N676),IF(J676&lt;=50,INDEX('Tabela Passaro'!$I$2:$I$1795,$N676),IF(J676&lt;=70,INDEX('Tabela Passaro'!$J$2:$J$1795,$N676),IF(J676&lt;=100,INDEX('Tabela Passaro'!$K$2:$K$1795,$N676),INDEX('Tabela Passaro'!$K$2:$K$1795,$N676)+(J676-100)*INDEX('Tabela Passaro'!$L$2:$L$1795,$N676))))))</f>
        <v>130.85</v>
      </c>
      <c r="S676" s="32" t="n">
        <f aca="false">K676*INDEX('Tabela Passaro'!$M$2:$M$1795,$N676)</f>
        <v>2.9374</v>
      </c>
      <c r="T676" s="32" t="n">
        <f aca="false">K676*INDEX('Tabela Passaro'!$N$2:$N$1795,$N676)</f>
        <v>1.17496</v>
      </c>
      <c r="U676" s="32" t="n">
        <f aca="false">INDEX('Tabela Passaro'!$O$2:$O$1795,$N676)</f>
        <v>5</v>
      </c>
      <c r="V676" s="32" t="n">
        <f aca="false">ROUNDUP(J676/INDEX('Tabela Passaro'!$Q$2:$Q$1795,$N676),0)*INDEX('Tabela Passaro'!$P$2:$P$1795,$N676)</f>
        <v>5</v>
      </c>
      <c r="W676" s="32" t="n">
        <f aca="false">INDEX('Tabela Passaro'!$R$2:$R$1795,$N676)</f>
        <v>30</v>
      </c>
      <c r="X676" s="32" t="n">
        <f aca="false">ROUNDUP(J676/INDEX('Tabela Passaro'!$T$2:$T$1795,$N676),0)*INDEX('Tabela Passaro'!$S$2:$S$1795,$N676)</f>
        <v>0</v>
      </c>
      <c r="Y676" s="32" t="n">
        <f aca="false">INDEX('Tabela Passaro'!$U$2:$U$1795,$N676)</f>
        <v>0</v>
      </c>
      <c r="Z676" s="32" t="n">
        <f aca="false">INDEX('Tabela Passaro'!$V$2:$V$1795,$N676)</f>
        <v>0</v>
      </c>
      <c r="AA676" s="32" t="n">
        <f aca="false">SUM(R676:Z676)</f>
        <v>174.96236</v>
      </c>
      <c r="AB676" s="33" t="n">
        <f aca="false">INDEX(Premissas!$B$5:$B$13,MATCH(A676,Premissas!$A$5:$A$13,0))</f>
        <v>0.07</v>
      </c>
      <c r="AC676" s="32" t="n">
        <f aca="false">AA676/(1-AB676)-AA676</f>
        <v>13.1692098924731</v>
      </c>
      <c r="AD676" s="32" t="n">
        <f aca="false">ROUND(AA676+AC676,2)</f>
        <v>188.13</v>
      </c>
      <c r="AE676" s="32" t="n">
        <f aca="false">AD676-L676</f>
        <v>52.67</v>
      </c>
      <c r="AF676" s="34" t="n">
        <f aca="false">IF(L676=0,0,AE676/L676)</f>
        <v>0.388823268861656</v>
      </c>
      <c r="AG676" s="22" t="str">
        <f aca="false">IF(AD676&lt;L676,"PASSARO","ATUAL")</f>
        <v>ATUAL</v>
      </c>
      <c r="AH676" s="22" t="str">
        <f aca="false">IF(P676&lt;&gt;A676,"Faixa cadastrada como "&amp;P676&amp;" na tabela; preço aplicado pela UF do CEP","")</f>
        <v/>
      </c>
      <c r="AI676" s="26" t="n">
        <v>216.7</v>
      </c>
      <c r="AJ676" s="22" t="str">
        <f aca="false">INDEX('Tabela Passaro'!$X$2:$X$1795,$N676)</f>
        <v>CAPITAL</v>
      </c>
    </row>
    <row r="677" customFormat="false" ht="15" hidden="false" customHeight="false" outlineLevel="0" collapsed="false">
      <c r="A677" s="22" t="s">
        <v>17</v>
      </c>
      <c r="B677" s="22" t="n">
        <v>1</v>
      </c>
      <c r="C677" s="22" t="s">
        <v>95</v>
      </c>
      <c r="D677" s="22" t="s">
        <v>30</v>
      </c>
      <c r="E677" s="22" t="s">
        <v>7326</v>
      </c>
      <c r="F677" s="22" t="n">
        <v>521730</v>
      </c>
      <c r="G677" s="30" t="n">
        <v>46237</v>
      </c>
      <c r="H677" s="22" t="n">
        <v>619009</v>
      </c>
      <c r="I677" s="22" t="s">
        <v>7947</v>
      </c>
      <c r="J677" s="31" t="n">
        <v>76.8</v>
      </c>
      <c r="K677" s="26" t="n">
        <v>1358.48</v>
      </c>
      <c r="L677" s="26" t="n">
        <v>304.24</v>
      </c>
      <c r="M677" s="22" t="s">
        <v>2349</v>
      </c>
      <c r="N677" s="22" t="n">
        <f aca="false">MATCH(M677,'Tabela Passaro'!$A$2:$A$1795,0)</f>
        <v>522</v>
      </c>
      <c r="O677" s="22" t="str">
        <f aca="false">INDEX('Tabela Passaro'!$C$2:$C$1795,$N677)</f>
        <v>FORTALEZA</v>
      </c>
      <c r="P677" s="22" t="str">
        <f aca="false">INDEX('Tabela Passaro'!$B$2:$B$1795,$N677)</f>
        <v>CE</v>
      </c>
      <c r="Q677" s="22" t="n">
        <f aca="false">INDEX('Tabela Passaro'!$F$2:$F$1795,$N677)</f>
        <v>8</v>
      </c>
      <c r="R677" s="32" t="n">
        <f aca="false">IF(J677&lt;=10,INDEX('Tabela Passaro'!$G$2:$G$1795,$N677),IF(J677&lt;=30,INDEX('Tabela Passaro'!$H$2:$H$1795,$N677),IF(J677&lt;=50,INDEX('Tabela Passaro'!$I$2:$I$1795,$N677),IF(J677&lt;=70,INDEX('Tabela Passaro'!$J$2:$J$1795,$N677),IF(J677&lt;=100,INDEX('Tabela Passaro'!$K$2:$K$1795,$N677),INDEX('Tabela Passaro'!$K$2:$K$1795,$N677)+(J677-100)*INDEX('Tabela Passaro'!$L$2:$L$1795,$N677))))))</f>
        <v>186.18</v>
      </c>
      <c r="S677" s="32" t="n">
        <f aca="false">K677*INDEX('Tabela Passaro'!$M$2:$M$1795,$N677)</f>
        <v>6.7924</v>
      </c>
      <c r="T677" s="32" t="n">
        <f aca="false">K677*INDEX('Tabela Passaro'!$N$2:$N$1795,$N677)</f>
        <v>2.71696</v>
      </c>
      <c r="U677" s="32" t="n">
        <f aca="false">INDEX('Tabela Passaro'!$O$2:$O$1795,$N677)</f>
        <v>5</v>
      </c>
      <c r="V677" s="32" t="n">
        <f aca="false">ROUNDUP(J677/INDEX('Tabela Passaro'!$Q$2:$Q$1795,$N677),0)*INDEX('Tabela Passaro'!$P$2:$P$1795,$N677)</f>
        <v>5</v>
      </c>
      <c r="W677" s="32" t="n">
        <f aca="false">INDEX('Tabela Passaro'!$R$2:$R$1795,$N677)</f>
        <v>30</v>
      </c>
      <c r="X677" s="32" t="n">
        <f aca="false">ROUNDUP(J677/INDEX('Tabela Passaro'!$T$2:$T$1795,$N677),0)*INDEX('Tabela Passaro'!$S$2:$S$1795,$N677)</f>
        <v>0</v>
      </c>
      <c r="Y677" s="32" t="n">
        <f aca="false">INDEX('Tabela Passaro'!$U$2:$U$1795,$N677)</f>
        <v>0</v>
      </c>
      <c r="Z677" s="32" t="n">
        <f aca="false">INDEX('Tabela Passaro'!$V$2:$V$1795,$N677)</f>
        <v>0</v>
      </c>
      <c r="AA677" s="32" t="n">
        <f aca="false">SUM(R677:Z677)</f>
        <v>235.68936</v>
      </c>
      <c r="AB677" s="33" t="n">
        <f aca="false">INDEX(Premissas!$B$5:$B$13,MATCH(A677,Premissas!$A$5:$A$13,0))</f>
        <v>0.07</v>
      </c>
      <c r="AC677" s="32" t="n">
        <f aca="false">AA677/(1-AB677)-AA677</f>
        <v>17.7400593548387</v>
      </c>
      <c r="AD677" s="32" t="n">
        <f aca="false">ROUND(AA677+AC677,2)</f>
        <v>253.43</v>
      </c>
      <c r="AE677" s="32" t="n">
        <f aca="false">AD677-L677</f>
        <v>-50.81</v>
      </c>
      <c r="AF677" s="34" t="n">
        <f aca="false">IF(L677=0,0,AE677/L677)</f>
        <v>-0.167006310807257</v>
      </c>
      <c r="AG677" s="22" t="str">
        <f aca="false">IF(AD677&lt;L677,"PASSARO","ATUAL")</f>
        <v>PASSARO</v>
      </c>
      <c r="AH677" s="22" t="str">
        <f aca="false">IF(P677&lt;&gt;A677,"Faixa cadastrada como "&amp;P677&amp;" na tabela; preço aplicado pela UF do CEP","")</f>
        <v/>
      </c>
      <c r="AI677" s="26" t="n">
        <v>309.52</v>
      </c>
      <c r="AJ677" s="22" t="str">
        <f aca="false">INDEX('Tabela Passaro'!$X$2:$X$1795,$N677)</f>
        <v>CAPITAL</v>
      </c>
    </row>
    <row r="678" customFormat="false" ht="15" hidden="false" customHeight="false" outlineLevel="0" collapsed="false">
      <c r="A678" s="22" t="s">
        <v>17</v>
      </c>
      <c r="B678" s="22" t="n">
        <v>1</v>
      </c>
      <c r="C678" s="22" t="s">
        <v>95</v>
      </c>
      <c r="D678" s="22" t="s">
        <v>30</v>
      </c>
      <c r="E678" s="22" t="s">
        <v>20</v>
      </c>
      <c r="F678" s="22" t="n">
        <v>837745</v>
      </c>
      <c r="G678" s="30" t="n">
        <v>46238</v>
      </c>
      <c r="H678" s="22" t="n">
        <v>32384</v>
      </c>
      <c r="I678" s="22" t="s">
        <v>7948</v>
      </c>
      <c r="J678" s="31" t="n">
        <v>19.5</v>
      </c>
      <c r="K678" s="26" t="n">
        <v>566.06</v>
      </c>
      <c r="L678" s="26" t="n">
        <v>115.39</v>
      </c>
      <c r="M678" s="22" t="s">
        <v>2349</v>
      </c>
      <c r="N678" s="22" t="n">
        <f aca="false">MATCH(M678,'Tabela Passaro'!$A$2:$A$1795,0)</f>
        <v>522</v>
      </c>
      <c r="O678" s="22" t="str">
        <f aca="false">INDEX('Tabela Passaro'!$C$2:$C$1795,$N678)</f>
        <v>FORTALEZA</v>
      </c>
      <c r="P678" s="22" t="str">
        <f aca="false">INDEX('Tabela Passaro'!$B$2:$B$1795,$N678)</f>
        <v>CE</v>
      </c>
      <c r="Q678" s="22" t="n">
        <f aca="false">INDEX('Tabela Passaro'!$F$2:$F$1795,$N678)</f>
        <v>8</v>
      </c>
      <c r="R678" s="32" t="n">
        <f aca="false">IF(J678&lt;=10,INDEX('Tabela Passaro'!$G$2:$G$1795,$N678),IF(J678&lt;=30,INDEX('Tabela Passaro'!$H$2:$H$1795,$N678),IF(J678&lt;=50,INDEX('Tabela Passaro'!$I$2:$I$1795,$N678),IF(J678&lt;=70,INDEX('Tabela Passaro'!$J$2:$J$1795,$N678),IF(J678&lt;=100,INDEX('Tabela Passaro'!$K$2:$K$1795,$N678),INDEX('Tabela Passaro'!$K$2:$K$1795,$N678)+(J678-100)*INDEX('Tabela Passaro'!$L$2:$L$1795,$N678))))))</f>
        <v>130.85</v>
      </c>
      <c r="S678" s="32" t="n">
        <f aca="false">K678*INDEX('Tabela Passaro'!$M$2:$M$1795,$N678)</f>
        <v>2.8303</v>
      </c>
      <c r="T678" s="32" t="n">
        <f aca="false">K678*INDEX('Tabela Passaro'!$N$2:$N$1795,$N678)</f>
        <v>1.13212</v>
      </c>
      <c r="U678" s="32" t="n">
        <f aca="false">INDEX('Tabela Passaro'!$O$2:$O$1795,$N678)</f>
        <v>5</v>
      </c>
      <c r="V678" s="32" t="n">
        <f aca="false">ROUNDUP(J678/INDEX('Tabela Passaro'!$Q$2:$Q$1795,$N678),0)*INDEX('Tabela Passaro'!$P$2:$P$1795,$N678)</f>
        <v>5</v>
      </c>
      <c r="W678" s="32" t="n">
        <f aca="false">INDEX('Tabela Passaro'!$R$2:$R$1795,$N678)</f>
        <v>30</v>
      </c>
      <c r="X678" s="32" t="n">
        <f aca="false">ROUNDUP(J678/INDEX('Tabela Passaro'!$T$2:$T$1795,$N678),0)*INDEX('Tabela Passaro'!$S$2:$S$1795,$N678)</f>
        <v>0</v>
      </c>
      <c r="Y678" s="32" t="n">
        <f aca="false">INDEX('Tabela Passaro'!$U$2:$U$1795,$N678)</f>
        <v>0</v>
      </c>
      <c r="Z678" s="32" t="n">
        <f aca="false">INDEX('Tabela Passaro'!$V$2:$V$1795,$N678)</f>
        <v>0</v>
      </c>
      <c r="AA678" s="32" t="n">
        <f aca="false">SUM(R678:Z678)</f>
        <v>174.81242</v>
      </c>
      <c r="AB678" s="33" t="n">
        <f aca="false">INDEX(Premissas!$B$5:$B$13,MATCH(A678,Premissas!$A$5:$A$13,0))</f>
        <v>0.07</v>
      </c>
      <c r="AC678" s="32" t="n">
        <f aca="false">AA678/(1-AB678)-AA678</f>
        <v>13.1579240860215</v>
      </c>
      <c r="AD678" s="32" t="n">
        <f aca="false">ROUND(AA678+AC678,2)</f>
        <v>187.97</v>
      </c>
      <c r="AE678" s="32" t="n">
        <f aca="false">AD678-L678</f>
        <v>72.58</v>
      </c>
      <c r="AF678" s="34" t="n">
        <f aca="false">IF(L678=0,0,AE678/L678)</f>
        <v>0.628997313458705</v>
      </c>
      <c r="AG678" s="22" t="str">
        <f aca="false">IF(AD678&lt;L678,"PASSARO","ATUAL")</f>
        <v>ATUAL</v>
      </c>
      <c r="AH678" s="22" t="str">
        <f aca="false">IF(P678&lt;&gt;A678,"Faixa cadastrada como "&amp;P678&amp;" na tabela; preço aplicado pela UF do CEP","")</f>
        <v/>
      </c>
      <c r="AI678" s="26" t="n">
        <v>211.65</v>
      </c>
      <c r="AJ678" s="22" t="str">
        <f aca="false">INDEX('Tabela Passaro'!$X$2:$X$1795,$N678)</f>
        <v>CAPITAL</v>
      </c>
    </row>
    <row r="679" customFormat="false" ht="15" hidden="false" customHeight="false" outlineLevel="0" collapsed="false">
      <c r="A679" s="22" t="s">
        <v>17</v>
      </c>
      <c r="B679" s="22" t="n">
        <v>1</v>
      </c>
      <c r="C679" s="22" t="s">
        <v>95</v>
      </c>
      <c r="D679" s="22" t="s">
        <v>30</v>
      </c>
      <c r="E679" s="22" t="s">
        <v>20</v>
      </c>
      <c r="F679" s="22" t="n">
        <v>837747</v>
      </c>
      <c r="G679" s="30" t="n">
        <v>46238</v>
      </c>
      <c r="H679" s="22" t="n">
        <v>32386</v>
      </c>
      <c r="I679" s="22" t="s">
        <v>7949</v>
      </c>
      <c r="J679" s="31" t="n">
        <v>22.4</v>
      </c>
      <c r="K679" s="26" t="n">
        <v>665.98</v>
      </c>
      <c r="L679" s="26" t="n">
        <v>116.27</v>
      </c>
      <c r="M679" s="22" t="s">
        <v>2349</v>
      </c>
      <c r="N679" s="22" t="n">
        <f aca="false">MATCH(M679,'Tabela Passaro'!$A$2:$A$1795,0)</f>
        <v>522</v>
      </c>
      <c r="O679" s="22" t="str">
        <f aca="false">INDEX('Tabela Passaro'!$C$2:$C$1795,$N679)</f>
        <v>FORTALEZA</v>
      </c>
      <c r="P679" s="22" t="str">
        <f aca="false">INDEX('Tabela Passaro'!$B$2:$B$1795,$N679)</f>
        <v>CE</v>
      </c>
      <c r="Q679" s="22" t="n">
        <f aca="false">INDEX('Tabela Passaro'!$F$2:$F$1795,$N679)</f>
        <v>8</v>
      </c>
      <c r="R679" s="32" t="n">
        <f aca="false">IF(J679&lt;=10,INDEX('Tabela Passaro'!$G$2:$G$1795,$N679),IF(J679&lt;=30,INDEX('Tabela Passaro'!$H$2:$H$1795,$N679),IF(J679&lt;=50,INDEX('Tabela Passaro'!$I$2:$I$1795,$N679),IF(J679&lt;=70,INDEX('Tabela Passaro'!$J$2:$J$1795,$N679),IF(J679&lt;=100,INDEX('Tabela Passaro'!$K$2:$K$1795,$N679),INDEX('Tabela Passaro'!$K$2:$K$1795,$N679)+(J679-100)*INDEX('Tabela Passaro'!$L$2:$L$1795,$N679))))))</f>
        <v>130.85</v>
      </c>
      <c r="S679" s="32" t="n">
        <f aca="false">K679*INDEX('Tabela Passaro'!$M$2:$M$1795,$N679)</f>
        <v>3.3299</v>
      </c>
      <c r="T679" s="32" t="n">
        <f aca="false">K679*INDEX('Tabela Passaro'!$N$2:$N$1795,$N679)</f>
        <v>1.33196</v>
      </c>
      <c r="U679" s="32" t="n">
        <f aca="false">INDEX('Tabela Passaro'!$O$2:$O$1795,$N679)</f>
        <v>5</v>
      </c>
      <c r="V679" s="32" t="n">
        <f aca="false">ROUNDUP(J679/INDEX('Tabela Passaro'!$Q$2:$Q$1795,$N679),0)*INDEX('Tabela Passaro'!$P$2:$P$1795,$N679)</f>
        <v>5</v>
      </c>
      <c r="W679" s="32" t="n">
        <f aca="false">INDEX('Tabela Passaro'!$R$2:$R$1795,$N679)</f>
        <v>30</v>
      </c>
      <c r="X679" s="32" t="n">
        <f aca="false">ROUNDUP(J679/INDEX('Tabela Passaro'!$T$2:$T$1795,$N679),0)*INDEX('Tabela Passaro'!$S$2:$S$1795,$N679)</f>
        <v>0</v>
      </c>
      <c r="Y679" s="32" t="n">
        <f aca="false">INDEX('Tabela Passaro'!$U$2:$U$1795,$N679)</f>
        <v>0</v>
      </c>
      <c r="Z679" s="32" t="n">
        <f aca="false">INDEX('Tabela Passaro'!$V$2:$V$1795,$N679)</f>
        <v>0</v>
      </c>
      <c r="AA679" s="32" t="n">
        <f aca="false">SUM(R679:Z679)</f>
        <v>175.51186</v>
      </c>
      <c r="AB679" s="33" t="n">
        <f aca="false">INDEX(Premissas!$B$5:$B$13,MATCH(A679,Premissas!$A$5:$A$13,0))</f>
        <v>0.07</v>
      </c>
      <c r="AC679" s="32" t="n">
        <f aca="false">AA679/(1-AB679)-AA679</f>
        <v>13.2105701075269</v>
      </c>
      <c r="AD679" s="32" t="n">
        <f aca="false">ROUND(AA679+AC679,2)</f>
        <v>188.72</v>
      </c>
      <c r="AE679" s="32" t="n">
        <f aca="false">AD679-L679</f>
        <v>72.45</v>
      </c>
      <c r="AF679" s="34" t="n">
        <f aca="false">IF(L679=0,0,AE679/L679)</f>
        <v>0.623118603251054</v>
      </c>
      <c r="AG679" s="22" t="str">
        <f aca="false">IF(AD679&lt;L679,"PASSARO","ATUAL")</f>
        <v>ATUAL</v>
      </c>
      <c r="AH679" s="22" t="str">
        <f aca="false">IF(P679&lt;&gt;A679,"Faixa cadastrada como "&amp;P679&amp;" na tabela; preço aplicado pela UF do CEP","")</f>
        <v/>
      </c>
      <c r="AI679" s="26" t="n">
        <v>214.07</v>
      </c>
      <c r="AJ679" s="22" t="str">
        <f aca="false">INDEX('Tabela Passaro'!$X$2:$X$1795,$N679)</f>
        <v>CAPITAL</v>
      </c>
    </row>
    <row r="680" customFormat="false" ht="15" hidden="false" customHeight="false" outlineLevel="0" collapsed="false">
      <c r="A680" s="22" t="s">
        <v>17</v>
      </c>
      <c r="B680" s="22" t="n">
        <v>1</v>
      </c>
      <c r="C680" s="22" t="s">
        <v>95</v>
      </c>
      <c r="D680" s="22" t="s">
        <v>30</v>
      </c>
      <c r="E680" s="22" t="s">
        <v>7328</v>
      </c>
      <c r="F680" s="22" t="n">
        <v>2307429</v>
      </c>
      <c r="G680" s="30" t="n">
        <v>46238</v>
      </c>
      <c r="H680" s="22" t="n">
        <v>131288</v>
      </c>
      <c r="I680" s="22" t="s">
        <v>7950</v>
      </c>
      <c r="J680" s="31" t="n">
        <v>69.3</v>
      </c>
      <c r="K680" s="26" t="n">
        <v>958.02</v>
      </c>
      <c r="L680" s="26" t="n">
        <v>198.54</v>
      </c>
      <c r="M680" s="22" t="s">
        <v>2349</v>
      </c>
      <c r="N680" s="22" t="n">
        <f aca="false">MATCH(M680,'Tabela Passaro'!$A$2:$A$1795,0)</f>
        <v>522</v>
      </c>
      <c r="O680" s="22" t="str">
        <f aca="false">INDEX('Tabela Passaro'!$C$2:$C$1795,$N680)</f>
        <v>FORTALEZA</v>
      </c>
      <c r="P680" s="22" t="str">
        <f aca="false">INDEX('Tabela Passaro'!$B$2:$B$1795,$N680)</f>
        <v>CE</v>
      </c>
      <c r="Q680" s="22" t="n">
        <f aca="false">INDEX('Tabela Passaro'!$F$2:$F$1795,$N680)</f>
        <v>8</v>
      </c>
      <c r="R680" s="32" t="n">
        <f aca="false">IF(J680&lt;=10,INDEX('Tabela Passaro'!$G$2:$G$1795,$N680),IF(J680&lt;=30,INDEX('Tabela Passaro'!$H$2:$H$1795,$N680),IF(J680&lt;=50,INDEX('Tabela Passaro'!$I$2:$I$1795,$N680),IF(J680&lt;=70,INDEX('Tabela Passaro'!$J$2:$J$1795,$N680),IF(J680&lt;=100,INDEX('Tabela Passaro'!$K$2:$K$1795,$N680),INDEX('Tabela Passaro'!$K$2:$K$1795,$N680)+(J680-100)*INDEX('Tabela Passaro'!$L$2:$L$1795,$N680))))))</f>
        <v>169.58</v>
      </c>
      <c r="S680" s="32" t="n">
        <f aca="false">K680*INDEX('Tabela Passaro'!$M$2:$M$1795,$N680)</f>
        <v>4.7901</v>
      </c>
      <c r="T680" s="32" t="n">
        <f aca="false">K680*INDEX('Tabela Passaro'!$N$2:$N$1795,$N680)</f>
        <v>1.91604</v>
      </c>
      <c r="U680" s="32" t="n">
        <f aca="false">INDEX('Tabela Passaro'!$O$2:$O$1795,$N680)</f>
        <v>5</v>
      </c>
      <c r="V680" s="32" t="n">
        <f aca="false">ROUNDUP(J680/INDEX('Tabela Passaro'!$Q$2:$Q$1795,$N680),0)*INDEX('Tabela Passaro'!$P$2:$P$1795,$N680)</f>
        <v>5</v>
      </c>
      <c r="W680" s="32" t="n">
        <f aca="false">INDEX('Tabela Passaro'!$R$2:$R$1795,$N680)</f>
        <v>30</v>
      </c>
      <c r="X680" s="32" t="n">
        <f aca="false">ROUNDUP(J680/INDEX('Tabela Passaro'!$T$2:$T$1795,$N680),0)*INDEX('Tabela Passaro'!$S$2:$S$1795,$N680)</f>
        <v>0</v>
      </c>
      <c r="Y680" s="32" t="n">
        <f aca="false">INDEX('Tabela Passaro'!$U$2:$U$1795,$N680)</f>
        <v>0</v>
      </c>
      <c r="Z680" s="32" t="n">
        <f aca="false">INDEX('Tabela Passaro'!$V$2:$V$1795,$N680)</f>
        <v>0</v>
      </c>
      <c r="AA680" s="32" t="n">
        <f aca="false">SUM(R680:Z680)</f>
        <v>216.28614</v>
      </c>
      <c r="AB680" s="33" t="n">
        <f aca="false">INDEX(Premissas!$B$5:$B$13,MATCH(A680,Premissas!$A$5:$A$13,0))</f>
        <v>0.07</v>
      </c>
      <c r="AC680" s="32" t="n">
        <f aca="false">AA680/(1-AB680)-AA680</f>
        <v>16.2796019354839</v>
      </c>
      <c r="AD680" s="32" t="n">
        <f aca="false">ROUND(AA680+AC680,2)</f>
        <v>232.57</v>
      </c>
      <c r="AE680" s="32" t="n">
        <f aca="false">AD680-L680</f>
        <v>34.03</v>
      </c>
      <c r="AF680" s="34" t="n">
        <f aca="false">IF(L680=0,0,AE680/L680)</f>
        <v>0.171401228971492</v>
      </c>
      <c r="AG680" s="22" t="str">
        <f aca="false">IF(AD680&lt;L680,"PASSARO","ATUAL")</f>
        <v>ATUAL</v>
      </c>
      <c r="AH680" s="22" t="str">
        <f aca="false">IF(P680&lt;&gt;A680,"Faixa cadastrada como "&amp;P680&amp;" na tabela; preço aplicado pela UF do CEP","")</f>
        <v/>
      </c>
      <c r="AI680" s="26" t="n">
        <v>283.48</v>
      </c>
      <c r="AJ680" s="22" t="str">
        <f aca="false">INDEX('Tabela Passaro'!$X$2:$X$1795,$N680)</f>
        <v>CAPITAL</v>
      </c>
    </row>
    <row r="681" customFormat="false" ht="15" hidden="false" customHeight="false" outlineLevel="0" collapsed="false">
      <c r="A681" s="22" t="s">
        <v>17</v>
      </c>
      <c r="B681" s="22" t="n">
        <v>1</v>
      </c>
      <c r="C681" s="22" t="s">
        <v>95</v>
      </c>
      <c r="D681" s="22" t="s">
        <v>30</v>
      </c>
      <c r="E681" s="22" t="s">
        <v>7328</v>
      </c>
      <c r="F681" s="22" t="n">
        <v>2307414</v>
      </c>
      <c r="G681" s="30" t="n">
        <v>46238</v>
      </c>
      <c r="H681" s="22" t="n">
        <v>131324</v>
      </c>
      <c r="I681" s="22" t="s">
        <v>7951</v>
      </c>
      <c r="J681" s="31" t="n">
        <v>59.8</v>
      </c>
      <c r="K681" s="26" t="n">
        <v>1180.98</v>
      </c>
      <c r="L681" s="26" t="n">
        <v>200.29</v>
      </c>
      <c r="M681" s="22" t="s">
        <v>2349</v>
      </c>
      <c r="N681" s="22" t="n">
        <f aca="false">MATCH(M681,'Tabela Passaro'!$A$2:$A$1795,0)</f>
        <v>522</v>
      </c>
      <c r="O681" s="22" t="str">
        <f aca="false">INDEX('Tabela Passaro'!$C$2:$C$1795,$N681)</f>
        <v>FORTALEZA</v>
      </c>
      <c r="P681" s="22" t="str">
        <f aca="false">INDEX('Tabela Passaro'!$B$2:$B$1795,$N681)</f>
        <v>CE</v>
      </c>
      <c r="Q681" s="22" t="n">
        <f aca="false">INDEX('Tabela Passaro'!$F$2:$F$1795,$N681)</f>
        <v>8</v>
      </c>
      <c r="R681" s="32" t="n">
        <f aca="false">IF(J681&lt;=10,INDEX('Tabela Passaro'!$G$2:$G$1795,$N681),IF(J681&lt;=30,INDEX('Tabela Passaro'!$H$2:$H$1795,$N681),IF(J681&lt;=50,INDEX('Tabela Passaro'!$I$2:$I$1795,$N681),IF(J681&lt;=70,INDEX('Tabela Passaro'!$J$2:$J$1795,$N681),IF(J681&lt;=100,INDEX('Tabela Passaro'!$K$2:$K$1795,$N681),INDEX('Tabela Passaro'!$K$2:$K$1795,$N681)+(J681-100)*INDEX('Tabela Passaro'!$L$2:$L$1795,$N681))))))</f>
        <v>169.58</v>
      </c>
      <c r="S681" s="32" t="n">
        <f aca="false">K681*INDEX('Tabela Passaro'!$M$2:$M$1795,$N681)</f>
        <v>5.9049</v>
      </c>
      <c r="T681" s="32" t="n">
        <f aca="false">K681*INDEX('Tabela Passaro'!$N$2:$N$1795,$N681)</f>
        <v>2.36196</v>
      </c>
      <c r="U681" s="32" t="n">
        <f aca="false">INDEX('Tabela Passaro'!$O$2:$O$1795,$N681)</f>
        <v>5</v>
      </c>
      <c r="V681" s="32" t="n">
        <f aca="false">ROUNDUP(J681/INDEX('Tabela Passaro'!$Q$2:$Q$1795,$N681),0)*INDEX('Tabela Passaro'!$P$2:$P$1795,$N681)</f>
        <v>5</v>
      </c>
      <c r="W681" s="32" t="n">
        <f aca="false">INDEX('Tabela Passaro'!$R$2:$R$1795,$N681)</f>
        <v>30</v>
      </c>
      <c r="X681" s="32" t="n">
        <f aca="false">ROUNDUP(J681/INDEX('Tabela Passaro'!$T$2:$T$1795,$N681),0)*INDEX('Tabela Passaro'!$S$2:$S$1795,$N681)</f>
        <v>0</v>
      </c>
      <c r="Y681" s="32" t="n">
        <f aca="false">INDEX('Tabela Passaro'!$U$2:$U$1795,$N681)</f>
        <v>0</v>
      </c>
      <c r="Z681" s="32" t="n">
        <f aca="false">INDEX('Tabela Passaro'!$V$2:$V$1795,$N681)</f>
        <v>0</v>
      </c>
      <c r="AA681" s="32" t="n">
        <f aca="false">SUM(R681:Z681)</f>
        <v>217.84686</v>
      </c>
      <c r="AB681" s="33" t="n">
        <f aca="false">INDEX(Premissas!$B$5:$B$13,MATCH(A681,Premissas!$A$5:$A$13,0))</f>
        <v>0.07</v>
      </c>
      <c r="AC681" s="32" t="n">
        <f aca="false">AA681/(1-AB681)-AA681</f>
        <v>16.397075483871</v>
      </c>
      <c r="AD681" s="32" t="n">
        <f aca="false">ROUND(AA681+AC681,2)</f>
        <v>234.24</v>
      </c>
      <c r="AE681" s="32" t="n">
        <f aca="false">AD681-L681</f>
        <v>33.95</v>
      </c>
      <c r="AF681" s="34" t="n">
        <f aca="false">IF(L681=0,0,AE681/L681)</f>
        <v>0.16950421888262</v>
      </c>
      <c r="AG681" s="22" t="str">
        <f aca="false">IF(AD681&lt;L681,"PASSARO","ATUAL")</f>
        <v>ATUAL</v>
      </c>
      <c r="AH681" s="22" t="str">
        <f aca="false">IF(P681&lt;&gt;A681,"Faixa cadastrada como "&amp;P681&amp;" na tabela; preço aplicado pela UF do CEP","")</f>
        <v/>
      </c>
      <c r="AI681" s="26" t="n">
        <v>280.79</v>
      </c>
      <c r="AJ681" s="22" t="str">
        <f aca="false">INDEX('Tabela Passaro'!$X$2:$X$1795,$N681)</f>
        <v>CAPITAL</v>
      </c>
    </row>
    <row r="682" customFormat="false" ht="15" hidden="false" customHeight="false" outlineLevel="0" collapsed="false">
      <c r="A682" s="22" t="s">
        <v>17</v>
      </c>
      <c r="B682" s="22" t="n">
        <v>1</v>
      </c>
      <c r="C682" s="22" t="s">
        <v>95</v>
      </c>
      <c r="D682" s="22" t="s">
        <v>30</v>
      </c>
      <c r="E682" s="22" t="s">
        <v>7328</v>
      </c>
      <c r="F682" s="22" t="n">
        <v>2307417</v>
      </c>
      <c r="G682" s="30" t="n">
        <v>46238</v>
      </c>
      <c r="H682" s="22" t="n">
        <v>131329</v>
      </c>
      <c r="I682" s="22" t="s">
        <v>7952</v>
      </c>
      <c r="J682" s="31" t="n">
        <v>67.3</v>
      </c>
      <c r="K682" s="26" t="n">
        <v>1004.98</v>
      </c>
      <c r="L682" s="26" t="n">
        <v>198.9</v>
      </c>
      <c r="M682" s="22" t="s">
        <v>2349</v>
      </c>
      <c r="N682" s="22" t="n">
        <f aca="false">MATCH(M682,'Tabela Passaro'!$A$2:$A$1795,0)</f>
        <v>522</v>
      </c>
      <c r="O682" s="22" t="str">
        <f aca="false">INDEX('Tabela Passaro'!$C$2:$C$1795,$N682)</f>
        <v>FORTALEZA</v>
      </c>
      <c r="P682" s="22" t="str">
        <f aca="false">INDEX('Tabela Passaro'!$B$2:$B$1795,$N682)</f>
        <v>CE</v>
      </c>
      <c r="Q682" s="22" t="n">
        <f aca="false">INDEX('Tabela Passaro'!$F$2:$F$1795,$N682)</f>
        <v>8</v>
      </c>
      <c r="R682" s="32" t="n">
        <f aca="false">IF(J682&lt;=10,INDEX('Tabela Passaro'!$G$2:$G$1795,$N682),IF(J682&lt;=30,INDEX('Tabela Passaro'!$H$2:$H$1795,$N682),IF(J682&lt;=50,INDEX('Tabela Passaro'!$I$2:$I$1795,$N682),IF(J682&lt;=70,INDEX('Tabela Passaro'!$J$2:$J$1795,$N682),IF(J682&lt;=100,INDEX('Tabela Passaro'!$K$2:$K$1795,$N682),INDEX('Tabela Passaro'!$K$2:$K$1795,$N682)+(J682-100)*INDEX('Tabela Passaro'!$L$2:$L$1795,$N682))))))</f>
        <v>169.58</v>
      </c>
      <c r="S682" s="32" t="n">
        <f aca="false">K682*INDEX('Tabela Passaro'!$M$2:$M$1795,$N682)</f>
        <v>5.0249</v>
      </c>
      <c r="T682" s="32" t="n">
        <f aca="false">K682*INDEX('Tabela Passaro'!$N$2:$N$1795,$N682)</f>
        <v>2.00996</v>
      </c>
      <c r="U682" s="32" t="n">
        <f aca="false">INDEX('Tabela Passaro'!$O$2:$O$1795,$N682)</f>
        <v>5</v>
      </c>
      <c r="V682" s="32" t="n">
        <f aca="false">ROUNDUP(J682/INDEX('Tabela Passaro'!$Q$2:$Q$1795,$N682),0)*INDEX('Tabela Passaro'!$P$2:$P$1795,$N682)</f>
        <v>5</v>
      </c>
      <c r="W682" s="32" t="n">
        <f aca="false">INDEX('Tabela Passaro'!$R$2:$R$1795,$N682)</f>
        <v>30</v>
      </c>
      <c r="X682" s="32" t="n">
        <f aca="false">ROUNDUP(J682/INDEX('Tabela Passaro'!$T$2:$T$1795,$N682),0)*INDEX('Tabela Passaro'!$S$2:$S$1795,$N682)</f>
        <v>0</v>
      </c>
      <c r="Y682" s="32" t="n">
        <f aca="false">INDEX('Tabela Passaro'!$U$2:$U$1795,$N682)</f>
        <v>0</v>
      </c>
      <c r="Z682" s="32" t="n">
        <f aca="false">INDEX('Tabela Passaro'!$V$2:$V$1795,$N682)</f>
        <v>0</v>
      </c>
      <c r="AA682" s="32" t="n">
        <f aca="false">SUM(R682:Z682)</f>
        <v>216.61486</v>
      </c>
      <c r="AB682" s="33" t="n">
        <f aca="false">INDEX(Premissas!$B$5:$B$13,MATCH(A682,Premissas!$A$5:$A$13,0))</f>
        <v>0.07</v>
      </c>
      <c r="AC682" s="32" t="n">
        <f aca="false">AA682/(1-AB682)-AA682</f>
        <v>16.3043443010753</v>
      </c>
      <c r="AD682" s="32" t="n">
        <f aca="false">ROUND(AA682+AC682,2)</f>
        <v>232.92</v>
      </c>
      <c r="AE682" s="32" t="n">
        <f aca="false">AD682-L682</f>
        <v>34.02</v>
      </c>
      <c r="AF682" s="34" t="n">
        <f aca="false">IF(L682=0,0,AE682/L682)</f>
        <v>0.1710407239819</v>
      </c>
      <c r="AG682" s="22" t="str">
        <f aca="false">IF(AD682&lt;L682,"PASSARO","ATUAL")</f>
        <v>ATUAL</v>
      </c>
      <c r="AH682" s="22" t="str">
        <f aca="false">IF(P682&lt;&gt;A682,"Faixa cadastrada como "&amp;P682&amp;" na tabela; preço aplicado pela UF do CEP","")</f>
        <v/>
      </c>
      <c r="AI682" s="26" t="n">
        <v>282.96</v>
      </c>
      <c r="AJ682" s="22" t="str">
        <f aca="false">INDEX('Tabela Passaro'!$X$2:$X$1795,$N682)</f>
        <v>CAPITAL</v>
      </c>
    </row>
    <row r="683" customFormat="false" ht="15" hidden="false" customHeight="false" outlineLevel="0" collapsed="false">
      <c r="A683" s="22" t="s">
        <v>17</v>
      </c>
      <c r="B683" s="22" t="n">
        <v>1</v>
      </c>
      <c r="C683" s="22" t="s">
        <v>95</v>
      </c>
      <c r="D683" s="22" t="s">
        <v>30</v>
      </c>
      <c r="E683" s="22" t="s">
        <v>7328</v>
      </c>
      <c r="F683" s="22" t="n">
        <v>2307473</v>
      </c>
      <c r="G683" s="30" t="n">
        <v>46238</v>
      </c>
      <c r="H683" s="22" t="n">
        <v>131467</v>
      </c>
      <c r="I683" s="22" t="s">
        <v>7953</v>
      </c>
      <c r="J683" s="31" t="n">
        <v>27.6</v>
      </c>
      <c r="K683" s="26" t="n">
        <v>686.98</v>
      </c>
      <c r="L683" s="26" t="n">
        <v>125.7</v>
      </c>
      <c r="M683" s="22" t="s">
        <v>2349</v>
      </c>
      <c r="N683" s="22" t="n">
        <f aca="false">MATCH(M683,'Tabela Passaro'!$A$2:$A$1795,0)</f>
        <v>522</v>
      </c>
      <c r="O683" s="22" t="str">
        <f aca="false">INDEX('Tabela Passaro'!$C$2:$C$1795,$N683)</f>
        <v>FORTALEZA</v>
      </c>
      <c r="P683" s="22" t="str">
        <f aca="false">INDEX('Tabela Passaro'!$B$2:$B$1795,$N683)</f>
        <v>CE</v>
      </c>
      <c r="Q683" s="22" t="n">
        <f aca="false">INDEX('Tabela Passaro'!$F$2:$F$1795,$N683)</f>
        <v>8</v>
      </c>
      <c r="R683" s="32" t="n">
        <f aca="false">IF(J683&lt;=10,INDEX('Tabela Passaro'!$G$2:$G$1795,$N683),IF(J683&lt;=30,INDEX('Tabela Passaro'!$H$2:$H$1795,$N683),IF(J683&lt;=50,INDEX('Tabela Passaro'!$I$2:$I$1795,$N683),IF(J683&lt;=70,INDEX('Tabela Passaro'!$J$2:$J$1795,$N683),IF(J683&lt;=100,INDEX('Tabela Passaro'!$K$2:$K$1795,$N683),INDEX('Tabela Passaro'!$K$2:$K$1795,$N683)+(J683-100)*INDEX('Tabela Passaro'!$L$2:$L$1795,$N683))))))</f>
        <v>130.85</v>
      </c>
      <c r="S683" s="32" t="n">
        <f aca="false">K683*INDEX('Tabela Passaro'!$M$2:$M$1795,$N683)</f>
        <v>3.4349</v>
      </c>
      <c r="T683" s="32" t="n">
        <f aca="false">K683*INDEX('Tabela Passaro'!$N$2:$N$1795,$N683)</f>
        <v>1.37396</v>
      </c>
      <c r="U683" s="32" t="n">
        <f aca="false">INDEX('Tabela Passaro'!$O$2:$O$1795,$N683)</f>
        <v>5</v>
      </c>
      <c r="V683" s="32" t="n">
        <f aca="false">ROUNDUP(J683/INDEX('Tabela Passaro'!$Q$2:$Q$1795,$N683),0)*INDEX('Tabela Passaro'!$P$2:$P$1795,$N683)</f>
        <v>5</v>
      </c>
      <c r="W683" s="32" t="n">
        <f aca="false">INDEX('Tabela Passaro'!$R$2:$R$1795,$N683)</f>
        <v>30</v>
      </c>
      <c r="X683" s="32" t="n">
        <f aca="false">ROUNDUP(J683/INDEX('Tabela Passaro'!$T$2:$T$1795,$N683),0)*INDEX('Tabela Passaro'!$S$2:$S$1795,$N683)</f>
        <v>0</v>
      </c>
      <c r="Y683" s="32" t="n">
        <f aca="false">INDEX('Tabela Passaro'!$U$2:$U$1795,$N683)</f>
        <v>0</v>
      </c>
      <c r="Z683" s="32" t="n">
        <f aca="false">INDEX('Tabela Passaro'!$V$2:$V$1795,$N683)</f>
        <v>0</v>
      </c>
      <c r="AA683" s="32" t="n">
        <f aca="false">SUM(R683:Z683)</f>
        <v>175.65886</v>
      </c>
      <c r="AB683" s="33" t="n">
        <f aca="false">INDEX(Premissas!$B$5:$B$13,MATCH(A683,Premissas!$A$5:$A$13,0))</f>
        <v>0.07</v>
      </c>
      <c r="AC683" s="32" t="n">
        <f aca="false">AA683/(1-AB683)-AA683</f>
        <v>13.2216346236559</v>
      </c>
      <c r="AD683" s="32" t="n">
        <f aca="false">ROUND(AA683+AC683,2)</f>
        <v>188.88</v>
      </c>
      <c r="AE683" s="32" t="n">
        <f aca="false">AD683-L683</f>
        <v>63.18</v>
      </c>
      <c r="AF683" s="34" t="n">
        <f aca="false">IF(L683=0,0,AE683/L683)</f>
        <v>0.502625298329356</v>
      </c>
      <c r="AG683" s="22" t="str">
        <f aca="false">IF(AD683&lt;L683,"PASSARO","ATUAL")</f>
        <v>ATUAL</v>
      </c>
      <c r="AH683" s="22" t="str">
        <f aca="false">IF(P683&lt;&gt;A683,"Faixa cadastrada como "&amp;P683&amp;" na tabela; preço aplicado pela UF do CEP","")</f>
        <v/>
      </c>
      <c r="AI683" s="26" t="n">
        <v>216.69</v>
      </c>
      <c r="AJ683" s="22" t="str">
        <f aca="false">INDEX('Tabela Passaro'!$X$2:$X$1795,$N683)</f>
        <v>CAPITAL</v>
      </c>
    </row>
    <row r="684" customFormat="false" ht="15" hidden="false" customHeight="false" outlineLevel="0" collapsed="false">
      <c r="A684" s="22" t="s">
        <v>17</v>
      </c>
      <c r="B684" s="22" t="n">
        <v>1</v>
      </c>
      <c r="C684" s="22" t="s">
        <v>95</v>
      </c>
      <c r="D684" s="22" t="s">
        <v>30</v>
      </c>
      <c r="E684" s="22" t="s">
        <v>7326</v>
      </c>
      <c r="F684" s="22" t="n">
        <v>522229</v>
      </c>
      <c r="G684" s="30" t="n">
        <v>46238</v>
      </c>
      <c r="H684" s="22" t="n">
        <v>616818</v>
      </c>
      <c r="I684" s="22" t="s">
        <v>7954</v>
      </c>
      <c r="J684" s="31" t="n">
        <v>5.2</v>
      </c>
      <c r="K684" s="26" t="n">
        <v>339.73</v>
      </c>
      <c r="L684" s="26" t="n">
        <v>74.37</v>
      </c>
      <c r="M684" s="22" t="s">
        <v>2349</v>
      </c>
      <c r="N684" s="22" t="n">
        <f aca="false">MATCH(M684,'Tabela Passaro'!$A$2:$A$1795,0)</f>
        <v>522</v>
      </c>
      <c r="O684" s="22" t="str">
        <f aca="false">INDEX('Tabela Passaro'!$C$2:$C$1795,$N684)</f>
        <v>FORTALEZA</v>
      </c>
      <c r="P684" s="22" t="str">
        <f aca="false">INDEX('Tabela Passaro'!$B$2:$B$1795,$N684)</f>
        <v>CE</v>
      </c>
      <c r="Q684" s="22" t="n">
        <f aca="false">INDEX('Tabela Passaro'!$F$2:$F$1795,$N684)</f>
        <v>8</v>
      </c>
      <c r="R684" s="32" t="n">
        <f aca="false">IF(J684&lt;=10,INDEX('Tabela Passaro'!$G$2:$G$1795,$N684),IF(J684&lt;=30,INDEX('Tabela Passaro'!$H$2:$H$1795,$N684),IF(J684&lt;=50,INDEX('Tabela Passaro'!$I$2:$I$1795,$N684),IF(J684&lt;=70,INDEX('Tabela Passaro'!$J$2:$J$1795,$N684),IF(J684&lt;=100,INDEX('Tabela Passaro'!$K$2:$K$1795,$N684),INDEX('Tabela Passaro'!$K$2:$K$1795,$N684)+(J684-100)*INDEX('Tabela Passaro'!$L$2:$L$1795,$N684))))))</f>
        <v>108.72</v>
      </c>
      <c r="S684" s="32" t="n">
        <f aca="false">K684*INDEX('Tabela Passaro'!$M$2:$M$1795,$N684)</f>
        <v>1.69865</v>
      </c>
      <c r="T684" s="32" t="n">
        <f aca="false">K684*INDEX('Tabela Passaro'!$N$2:$N$1795,$N684)</f>
        <v>0.67946</v>
      </c>
      <c r="U684" s="32" t="n">
        <f aca="false">INDEX('Tabela Passaro'!$O$2:$O$1795,$N684)</f>
        <v>5</v>
      </c>
      <c r="V684" s="32" t="n">
        <f aca="false">ROUNDUP(J684/INDEX('Tabela Passaro'!$Q$2:$Q$1795,$N684),0)*INDEX('Tabela Passaro'!$P$2:$P$1795,$N684)</f>
        <v>5</v>
      </c>
      <c r="W684" s="32" t="n">
        <f aca="false">INDEX('Tabela Passaro'!$R$2:$R$1795,$N684)</f>
        <v>30</v>
      </c>
      <c r="X684" s="32" t="n">
        <f aca="false">ROUNDUP(J684/INDEX('Tabela Passaro'!$T$2:$T$1795,$N684),0)*INDEX('Tabela Passaro'!$S$2:$S$1795,$N684)</f>
        <v>0</v>
      </c>
      <c r="Y684" s="32" t="n">
        <f aca="false">INDEX('Tabela Passaro'!$U$2:$U$1795,$N684)</f>
        <v>0</v>
      </c>
      <c r="Z684" s="32" t="n">
        <f aca="false">INDEX('Tabela Passaro'!$V$2:$V$1795,$N684)</f>
        <v>0</v>
      </c>
      <c r="AA684" s="32" t="n">
        <f aca="false">SUM(R684:Z684)</f>
        <v>151.09811</v>
      </c>
      <c r="AB684" s="33" t="n">
        <f aca="false">INDEX(Premissas!$B$5:$B$13,MATCH(A684,Premissas!$A$5:$A$13,0))</f>
        <v>0.07</v>
      </c>
      <c r="AC684" s="32" t="n">
        <f aca="false">AA684/(1-AB684)-AA684</f>
        <v>11.3729760215054</v>
      </c>
      <c r="AD684" s="32" t="n">
        <f aca="false">ROUND(AA684+AC684,2)</f>
        <v>162.47</v>
      </c>
      <c r="AE684" s="32" t="n">
        <f aca="false">AD684-L684</f>
        <v>88.1</v>
      </c>
      <c r="AF684" s="34" t="n">
        <f aca="false">IF(L684=0,0,AE684/L684)</f>
        <v>1.18461745327417</v>
      </c>
      <c r="AG684" s="22" t="str">
        <f aca="false">IF(AD684&lt;L684,"PASSARO","ATUAL")</f>
        <v>ATUAL</v>
      </c>
      <c r="AH684" s="22" t="str">
        <f aca="false">IF(P684&lt;&gt;A684,"Faixa cadastrada como "&amp;P684&amp;" na tabela; preço aplicado pela UF do CEP","")</f>
        <v/>
      </c>
      <c r="AI684" s="26" t="n">
        <v>177.63</v>
      </c>
      <c r="AJ684" s="22" t="str">
        <f aca="false">INDEX('Tabela Passaro'!$X$2:$X$1795,$N684)</f>
        <v>CAPITAL</v>
      </c>
    </row>
    <row r="685" customFormat="false" ht="15" hidden="false" customHeight="false" outlineLevel="0" collapsed="false">
      <c r="A685" s="22" t="s">
        <v>17</v>
      </c>
      <c r="B685" s="22" t="n">
        <v>1</v>
      </c>
      <c r="C685" s="22" t="s">
        <v>95</v>
      </c>
      <c r="D685" s="22" t="s">
        <v>30</v>
      </c>
      <c r="E685" s="22" t="s">
        <v>7326</v>
      </c>
      <c r="F685" s="22" t="n">
        <v>522267</v>
      </c>
      <c r="G685" s="30" t="n">
        <v>46238</v>
      </c>
      <c r="H685" s="22" t="n">
        <v>620120</v>
      </c>
      <c r="I685" s="22" t="s">
        <v>7955</v>
      </c>
      <c r="J685" s="31" t="n">
        <v>29</v>
      </c>
      <c r="K685" s="26" t="n">
        <v>473.98</v>
      </c>
      <c r="L685" s="26" t="n">
        <v>134.48</v>
      </c>
      <c r="M685" s="22" t="s">
        <v>2349</v>
      </c>
      <c r="N685" s="22" t="n">
        <f aca="false">MATCH(M685,'Tabela Passaro'!$A$2:$A$1795,0)</f>
        <v>522</v>
      </c>
      <c r="O685" s="22" t="str">
        <f aca="false">INDEX('Tabela Passaro'!$C$2:$C$1795,$N685)</f>
        <v>FORTALEZA</v>
      </c>
      <c r="P685" s="22" t="str">
        <f aca="false">INDEX('Tabela Passaro'!$B$2:$B$1795,$N685)</f>
        <v>CE</v>
      </c>
      <c r="Q685" s="22" t="n">
        <f aca="false">INDEX('Tabela Passaro'!$F$2:$F$1795,$N685)</f>
        <v>8</v>
      </c>
      <c r="R685" s="32" t="n">
        <f aca="false">IF(J685&lt;=10,INDEX('Tabela Passaro'!$G$2:$G$1795,$N685),IF(J685&lt;=30,INDEX('Tabela Passaro'!$H$2:$H$1795,$N685),IF(J685&lt;=50,INDEX('Tabela Passaro'!$I$2:$I$1795,$N685),IF(J685&lt;=70,INDEX('Tabela Passaro'!$J$2:$J$1795,$N685),IF(J685&lt;=100,INDEX('Tabela Passaro'!$K$2:$K$1795,$N685),INDEX('Tabela Passaro'!$K$2:$K$1795,$N685)+(J685-100)*INDEX('Tabela Passaro'!$L$2:$L$1795,$N685))))))</f>
        <v>130.85</v>
      </c>
      <c r="S685" s="32" t="n">
        <f aca="false">K685*INDEX('Tabela Passaro'!$M$2:$M$1795,$N685)</f>
        <v>2.3699</v>
      </c>
      <c r="T685" s="32" t="n">
        <f aca="false">K685*INDEX('Tabela Passaro'!$N$2:$N$1795,$N685)</f>
        <v>0.94796</v>
      </c>
      <c r="U685" s="32" t="n">
        <f aca="false">INDEX('Tabela Passaro'!$O$2:$O$1795,$N685)</f>
        <v>5</v>
      </c>
      <c r="V685" s="32" t="n">
        <f aca="false">ROUNDUP(J685/INDEX('Tabela Passaro'!$Q$2:$Q$1795,$N685),0)*INDEX('Tabela Passaro'!$P$2:$P$1795,$N685)</f>
        <v>5</v>
      </c>
      <c r="W685" s="32" t="n">
        <f aca="false">INDEX('Tabela Passaro'!$R$2:$R$1795,$N685)</f>
        <v>30</v>
      </c>
      <c r="X685" s="32" t="n">
        <f aca="false">ROUNDUP(J685/INDEX('Tabela Passaro'!$T$2:$T$1795,$N685),0)*INDEX('Tabela Passaro'!$S$2:$S$1795,$N685)</f>
        <v>0</v>
      </c>
      <c r="Y685" s="32" t="n">
        <f aca="false">INDEX('Tabela Passaro'!$U$2:$U$1795,$N685)</f>
        <v>0</v>
      </c>
      <c r="Z685" s="32" t="n">
        <f aca="false">INDEX('Tabela Passaro'!$V$2:$V$1795,$N685)</f>
        <v>0</v>
      </c>
      <c r="AA685" s="32" t="n">
        <f aca="false">SUM(R685:Z685)</f>
        <v>174.16786</v>
      </c>
      <c r="AB685" s="33" t="n">
        <f aca="false">INDEX(Premissas!$B$5:$B$13,MATCH(A685,Premissas!$A$5:$A$13,0))</f>
        <v>0.07</v>
      </c>
      <c r="AC685" s="32" t="n">
        <f aca="false">AA685/(1-AB685)-AA685</f>
        <v>13.1094088172043</v>
      </c>
      <c r="AD685" s="32" t="n">
        <f aca="false">ROUND(AA685+AC685,2)</f>
        <v>187.28</v>
      </c>
      <c r="AE685" s="32" t="n">
        <f aca="false">AD685-L685</f>
        <v>52.8</v>
      </c>
      <c r="AF685" s="34" t="n">
        <f aca="false">IF(L685=0,0,AE685/L685)</f>
        <v>0.392623438429506</v>
      </c>
      <c r="AG685" s="22" t="str">
        <f aca="false">IF(AD685&lt;L685,"PASSARO","ATUAL")</f>
        <v>ATUAL</v>
      </c>
      <c r="AH685" s="22" t="str">
        <f aca="false">IF(P685&lt;&gt;A685,"Faixa cadastrada como "&amp;P685&amp;" na tabela; preço aplicado pela UF do CEP","")</f>
        <v/>
      </c>
      <c r="AI685" s="26" t="n">
        <v>215.11</v>
      </c>
      <c r="AJ685" s="22" t="str">
        <f aca="false">INDEX('Tabela Passaro'!$X$2:$X$1795,$N685)</f>
        <v>CAPITAL</v>
      </c>
    </row>
    <row r="686" customFormat="false" ht="15" hidden="false" customHeight="false" outlineLevel="0" collapsed="false">
      <c r="A686" s="22" t="s">
        <v>17</v>
      </c>
      <c r="B686" s="22" t="n">
        <v>1</v>
      </c>
      <c r="C686" s="22" t="s">
        <v>95</v>
      </c>
      <c r="D686" s="22" t="s">
        <v>30</v>
      </c>
      <c r="E686" s="22" t="s">
        <v>7328</v>
      </c>
      <c r="F686" s="22" t="n">
        <v>2307862</v>
      </c>
      <c r="G686" s="30" t="n">
        <v>46239</v>
      </c>
      <c r="H686" s="22" t="n">
        <v>131858</v>
      </c>
      <c r="I686" s="22" t="s">
        <v>7956</v>
      </c>
      <c r="J686" s="31" t="n">
        <v>34.4</v>
      </c>
      <c r="K686" s="26" t="n">
        <v>587.48</v>
      </c>
      <c r="L686" s="26" t="n">
        <v>163.96</v>
      </c>
      <c r="M686" s="22" t="s">
        <v>2349</v>
      </c>
      <c r="N686" s="22" t="n">
        <f aca="false">MATCH(M686,'Tabela Passaro'!$A$2:$A$1795,0)</f>
        <v>522</v>
      </c>
      <c r="O686" s="22" t="str">
        <f aca="false">INDEX('Tabela Passaro'!$C$2:$C$1795,$N686)</f>
        <v>FORTALEZA</v>
      </c>
      <c r="P686" s="22" t="str">
        <f aca="false">INDEX('Tabela Passaro'!$B$2:$B$1795,$N686)</f>
        <v>CE</v>
      </c>
      <c r="Q686" s="22" t="n">
        <f aca="false">INDEX('Tabela Passaro'!$F$2:$F$1795,$N686)</f>
        <v>8</v>
      </c>
      <c r="R686" s="32" t="n">
        <f aca="false">IF(J686&lt;=10,INDEX('Tabela Passaro'!$G$2:$G$1795,$N686),IF(J686&lt;=30,INDEX('Tabela Passaro'!$H$2:$H$1795,$N686),IF(J686&lt;=50,INDEX('Tabela Passaro'!$I$2:$I$1795,$N686),IF(J686&lt;=70,INDEX('Tabela Passaro'!$J$2:$J$1795,$N686),IF(J686&lt;=100,INDEX('Tabela Passaro'!$K$2:$K$1795,$N686),INDEX('Tabela Passaro'!$K$2:$K$1795,$N686)+(J686-100)*INDEX('Tabela Passaro'!$L$2:$L$1795,$N686))))))</f>
        <v>152.98</v>
      </c>
      <c r="S686" s="32" t="n">
        <f aca="false">K686*INDEX('Tabela Passaro'!$M$2:$M$1795,$N686)</f>
        <v>2.9374</v>
      </c>
      <c r="T686" s="32" t="n">
        <f aca="false">K686*INDEX('Tabela Passaro'!$N$2:$N$1795,$N686)</f>
        <v>1.17496</v>
      </c>
      <c r="U686" s="32" t="n">
        <f aca="false">INDEX('Tabela Passaro'!$O$2:$O$1795,$N686)</f>
        <v>5</v>
      </c>
      <c r="V686" s="32" t="n">
        <f aca="false">ROUNDUP(J686/INDEX('Tabela Passaro'!$Q$2:$Q$1795,$N686),0)*INDEX('Tabela Passaro'!$P$2:$P$1795,$N686)</f>
        <v>5</v>
      </c>
      <c r="W686" s="32" t="n">
        <f aca="false">INDEX('Tabela Passaro'!$R$2:$R$1795,$N686)</f>
        <v>30</v>
      </c>
      <c r="X686" s="32" t="n">
        <f aca="false">ROUNDUP(J686/INDEX('Tabela Passaro'!$T$2:$T$1795,$N686),0)*INDEX('Tabela Passaro'!$S$2:$S$1795,$N686)</f>
        <v>0</v>
      </c>
      <c r="Y686" s="32" t="n">
        <f aca="false">INDEX('Tabela Passaro'!$U$2:$U$1795,$N686)</f>
        <v>0</v>
      </c>
      <c r="Z686" s="32" t="n">
        <f aca="false">INDEX('Tabela Passaro'!$V$2:$V$1795,$N686)</f>
        <v>0</v>
      </c>
      <c r="AA686" s="32" t="n">
        <f aca="false">SUM(R686:Z686)</f>
        <v>197.09236</v>
      </c>
      <c r="AB686" s="33" t="n">
        <f aca="false">INDEX(Premissas!$B$5:$B$13,MATCH(A686,Premissas!$A$5:$A$13,0))</f>
        <v>0.07</v>
      </c>
      <c r="AC686" s="32" t="n">
        <f aca="false">AA686/(1-AB686)-AA686</f>
        <v>14.8349088172043</v>
      </c>
      <c r="AD686" s="32" t="n">
        <f aca="false">ROUND(AA686+AC686,2)</f>
        <v>211.93</v>
      </c>
      <c r="AE686" s="32" t="n">
        <f aca="false">AD686-L686</f>
        <v>47.97</v>
      </c>
      <c r="AF686" s="34" t="n">
        <f aca="false">IF(L686=0,0,AE686/L686)</f>
        <v>0.292571358868017</v>
      </c>
      <c r="AG686" s="22" t="str">
        <f aca="false">IF(AD686&lt;L686,"PASSARO","ATUAL")</f>
        <v>ATUAL</v>
      </c>
      <c r="AH686" s="22" t="str">
        <f aca="false">IF(P686&lt;&gt;A686,"Faixa cadastrada como "&amp;P686&amp;" na tabela; preço aplicado pela UF do CEP","")</f>
        <v/>
      </c>
      <c r="AI686" s="26" t="n">
        <v>244.16</v>
      </c>
      <c r="AJ686" s="22" t="str">
        <f aca="false">INDEX('Tabela Passaro'!$X$2:$X$1795,$N686)</f>
        <v>CAPITAL</v>
      </c>
    </row>
    <row r="687" customFormat="false" ht="15" hidden="false" customHeight="false" outlineLevel="0" collapsed="false">
      <c r="A687" s="22" t="s">
        <v>17</v>
      </c>
      <c r="B687" s="22" t="n">
        <v>1</v>
      </c>
      <c r="C687" s="22" t="s">
        <v>95</v>
      </c>
      <c r="D687" s="22" t="s">
        <v>30</v>
      </c>
      <c r="E687" s="22" t="s">
        <v>7328</v>
      </c>
      <c r="F687" s="22" t="n">
        <v>2307933</v>
      </c>
      <c r="G687" s="30" t="n">
        <v>46239</v>
      </c>
      <c r="H687" s="22" t="n">
        <v>131906</v>
      </c>
      <c r="I687" s="22" t="s">
        <v>7957</v>
      </c>
      <c r="J687" s="31" t="n">
        <v>24.8</v>
      </c>
      <c r="K687" s="26" t="n">
        <v>569.98</v>
      </c>
      <c r="L687" s="26" t="n">
        <v>124.77</v>
      </c>
      <c r="M687" s="22" t="s">
        <v>2349</v>
      </c>
      <c r="N687" s="22" t="n">
        <f aca="false">MATCH(M687,'Tabela Passaro'!$A$2:$A$1795,0)</f>
        <v>522</v>
      </c>
      <c r="O687" s="22" t="str">
        <f aca="false">INDEX('Tabela Passaro'!$C$2:$C$1795,$N687)</f>
        <v>FORTALEZA</v>
      </c>
      <c r="P687" s="22" t="str">
        <f aca="false">INDEX('Tabela Passaro'!$B$2:$B$1795,$N687)</f>
        <v>CE</v>
      </c>
      <c r="Q687" s="22" t="n">
        <f aca="false">INDEX('Tabela Passaro'!$F$2:$F$1795,$N687)</f>
        <v>8</v>
      </c>
      <c r="R687" s="32" t="n">
        <f aca="false">IF(J687&lt;=10,INDEX('Tabela Passaro'!$G$2:$G$1795,$N687),IF(J687&lt;=30,INDEX('Tabela Passaro'!$H$2:$H$1795,$N687),IF(J687&lt;=50,INDEX('Tabela Passaro'!$I$2:$I$1795,$N687),IF(J687&lt;=70,INDEX('Tabela Passaro'!$J$2:$J$1795,$N687),IF(J687&lt;=100,INDEX('Tabela Passaro'!$K$2:$K$1795,$N687),INDEX('Tabela Passaro'!$K$2:$K$1795,$N687)+(J687-100)*INDEX('Tabela Passaro'!$L$2:$L$1795,$N687))))))</f>
        <v>130.85</v>
      </c>
      <c r="S687" s="32" t="n">
        <f aca="false">K687*INDEX('Tabela Passaro'!$M$2:$M$1795,$N687)</f>
        <v>2.8499</v>
      </c>
      <c r="T687" s="32" t="n">
        <f aca="false">K687*INDEX('Tabela Passaro'!$N$2:$N$1795,$N687)</f>
        <v>1.13996</v>
      </c>
      <c r="U687" s="32" t="n">
        <f aca="false">INDEX('Tabela Passaro'!$O$2:$O$1795,$N687)</f>
        <v>5</v>
      </c>
      <c r="V687" s="32" t="n">
        <f aca="false">ROUNDUP(J687/INDEX('Tabela Passaro'!$Q$2:$Q$1795,$N687),0)*INDEX('Tabela Passaro'!$P$2:$P$1795,$N687)</f>
        <v>5</v>
      </c>
      <c r="W687" s="32" t="n">
        <f aca="false">INDEX('Tabela Passaro'!$R$2:$R$1795,$N687)</f>
        <v>30</v>
      </c>
      <c r="X687" s="32" t="n">
        <f aca="false">ROUNDUP(J687/INDEX('Tabela Passaro'!$T$2:$T$1795,$N687),0)*INDEX('Tabela Passaro'!$S$2:$S$1795,$N687)</f>
        <v>0</v>
      </c>
      <c r="Y687" s="32" t="n">
        <f aca="false">INDEX('Tabela Passaro'!$U$2:$U$1795,$N687)</f>
        <v>0</v>
      </c>
      <c r="Z687" s="32" t="n">
        <f aca="false">INDEX('Tabela Passaro'!$V$2:$V$1795,$N687)</f>
        <v>0</v>
      </c>
      <c r="AA687" s="32" t="n">
        <f aca="false">SUM(R687:Z687)</f>
        <v>174.83986</v>
      </c>
      <c r="AB687" s="33" t="n">
        <f aca="false">INDEX(Premissas!$B$5:$B$13,MATCH(A687,Premissas!$A$5:$A$13,0))</f>
        <v>0.07</v>
      </c>
      <c r="AC687" s="32" t="n">
        <f aca="false">AA687/(1-AB687)-AA687</f>
        <v>13.1599894623656</v>
      </c>
      <c r="AD687" s="32" t="n">
        <f aca="false">ROUND(AA687+AC687,2)</f>
        <v>188</v>
      </c>
      <c r="AE687" s="32" t="n">
        <f aca="false">AD687-L687</f>
        <v>63.23</v>
      </c>
      <c r="AF687" s="34" t="n">
        <f aca="false">IF(L687=0,0,AE687/L687)</f>
        <v>0.506772461328845</v>
      </c>
      <c r="AG687" s="22" t="str">
        <f aca="false">IF(AD687&lt;L687,"PASSARO","ATUAL")</f>
        <v>ATUAL</v>
      </c>
      <c r="AH687" s="22" t="str">
        <f aca="false">IF(P687&lt;&gt;A687,"Faixa cadastrada como "&amp;P687&amp;" na tabela; preço aplicado pela UF do CEP","")</f>
        <v/>
      </c>
      <c r="AI687" s="26" t="n">
        <v>214.11</v>
      </c>
      <c r="AJ687" s="22" t="str">
        <f aca="false">INDEX('Tabela Passaro'!$X$2:$X$1795,$N687)</f>
        <v>CAPITAL</v>
      </c>
    </row>
    <row r="688" customFormat="false" ht="15" hidden="false" customHeight="false" outlineLevel="0" collapsed="false">
      <c r="A688" s="22" t="s">
        <v>17</v>
      </c>
      <c r="B688" s="22" t="n">
        <v>1</v>
      </c>
      <c r="C688" s="22" t="s">
        <v>95</v>
      </c>
      <c r="D688" s="22" t="s">
        <v>30</v>
      </c>
      <c r="E688" s="22" t="s">
        <v>7328</v>
      </c>
      <c r="F688" s="22" t="n">
        <v>2307946</v>
      </c>
      <c r="G688" s="30" t="n">
        <v>46239</v>
      </c>
      <c r="H688" s="22" t="n">
        <v>131933</v>
      </c>
      <c r="I688" s="22" t="s">
        <v>7958</v>
      </c>
      <c r="J688" s="31" t="n">
        <v>23</v>
      </c>
      <c r="K688" s="26" t="n">
        <v>551.99</v>
      </c>
      <c r="L688" s="26" t="n">
        <v>124.64</v>
      </c>
      <c r="M688" s="22" t="s">
        <v>2349</v>
      </c>
      <c r="N688" s="22" t="n">
        <f aca="false">MATCH(M688,'Tabela Passaro'!$A$2:$A$1795,0)</f>
        <v>522</v>
      </c>
      <c r="O688" s="22" t="str">
        <f aca="false">INDEX('Tabela Passaro'!$C$2:$C$1795,$N688)</f>
        <v>FORTALEZA</v>
      </c>
      <c r="P688" s="22" t="str">
        <f aca="false">INDEX('Tabela Passaro'!$B$2:$B$1795,$N688)</f>
        <v>CE</v>
      </c>
      <c r="Q688" s="22" t="n">
        <f aca="false">INDEX('Tabela Passaro'!$F$2:$F$1795,$N688)</f>
        <v>8</v>
      </c>
      <c r="R688" s="32" t="n">
        <f aca="false">IF(J688&lt;=10,INDEX('Tabela Passaro'!$G$2:$G$1795,$N688),IF(J688&lt;=30,INDEX('Tabela Passaro'!$H$2:$H$1795,$N688),IF(J688&lt;=50,INDEX('Tabela Passaro'!$I$2:$I$1795,$N688),IF(J688&lt;=70,INDEX('Tabela Passaro'!$J$2:$J$1795,$N688),IF(J688&lt;=100,INDEX('Tabela Passaro'!$K$2:$K$1795,$N688),INDEX('Tabela Passaro'!$K$2:$K$1795,$N688)+(J688-100)*INDEX('Tabela Passaro'!$L$2:$L$1795,$N688))))))</f>
        <v>130.85</v>
      </c>
      <c r="S688" s="32" t="n">
        <f aca="false">K688*INDEX('Tabela Passaro'!$M$2:$M$1795,$N688)</f>
        <v>2.75995</v>
      </c>
      <c r="T688" s="32" t="n">
        <f aca="false">K688*INDEX('Tabela Passaro'!$N$2:$N$1795,$N688)</f>
        <v>1.10398</v>
      </c>
      <c r="U688" s="32" t="n">
        <f aca="false">INDEX('Tabela Passaro'!$O$2:$O$1795,$N688)</f>
        <v>5</v>
      </c>
      <c r="V688" s="32" t="n">
        <f aca="false">ROUNDUP(J688/INDEX('Tabela Passaro'!$Q$2:$Q$1795,$N688),0)*INDEX('Tabela Passaro'!$P$2:$P$1795,$N688)</f>
        <v>5</v>
      </c>
      <c r="W688" s="32" t="n">
        <f aca="false">INDEX('Tabela Passaro'!$R$2:$R$1795,$N688)</f>
        <v>30</v>
      </c>
      <c r="X688" s="32" t="n">
        <f aca="false">ROUNDUP(J688/INDEX('Tabela Passaro'!$T$2:$T$1795,$N688),0)*INDEX('Tabela Passaro'!$S$2:$S$1795,$N688)</f>
        <v>0</v>
      </c>
      <c r="Y688" s="32" t="n">
        <f aca="false">INDEX('Tabela Passaro'!$U$2:$U$1795,$N688)</f>
        <v>0</v>
      </c>
      <c r="Z688" s="32" t="n">
        <f aca="false">INDEX('Tabela Passaro'!$V$2:$V$1795,$N688)</f>
        <v>0</v>
      </c>
      <c r="AA688" s="32" t="n">
        <f aca="false">SUM(R688:Z688)</f>
        <v>174.71393</v>
      </c>
      <c r="AB688" s="33" t="n">
        <f aca="false">INDEX(Premissas!$B$5:$B$13,MATCH(A688,Premissas!$A$5:$A$13,0))</f>
        <v>0.07</v>
      </c>
      <c r="AC688" s="32" t="n">
        <f aca="false">AA688/(1-AB688)-AA688</f>
        <v>13.1505108602151</v>
      </c>
      <c r="AD688" s="32" t="n">
        <f aca="false">ROUND(AA688+AC688,2)</f>
        <v>187.86</v>
      </c>
      <c r="AE688" s="32" t="n">
        <f aca="false">AD688-L688</f>
        <v>63.22</v>
      </c>
      <c r="AF688" s="34" t="n">
        <f aca="false">IF(L688=0,0,AE688/L688)</f>
        <v>0.50722079589217</v>
      </c>
      <c r="AG688" s="22" t="str">
        <f aca="false">IF(AD688&lt;L688,"PASSARO","ATUAL")</f>
        <v>ATUAL</v>
      </c>
      <c r="AH688" s="22" t="str">
        <f aca="false">IF(P688&lt;&gt;A688,"Faixa cadastrada como "&amp;P688&amp;" na tabela; preço aplicado pela UF do CEP","")</f>
        <v/>
      </c>
      <c r="AI688" s="26" t="n">
        <v>212.97</v>
      </c>
      <c r="AJ688" s="22" t="str">
        <f aca="false">INDEX('Tabela Passaro'!$X$2:$X$1795,$N688)</f>
        <v>CAPITAL</v>
      </c>
    </row>
    <row r="689" customFormat="false" ht="15" hidden="false" customHeight="false" outlineLevel="0" collapsed="false">
      <c r="A689" s="22" t="s">
        <v>17</v>
      </c>
      <c r="B689" s="22" t="n">
        <v>1</v>
      </c>
      <c r="C689" s="22" t="s">
        <v>95</v>
      </c>
      <c r="D689" s="22" t="s">
        <v>30</v>
      </c>
      <c r="E689" s="22" t="s">
        <v>7328</v>
      </c>
      <c r="F689" s="22" t="n">
        <v>2307957</v>
      </c>
      <c r="G689" s="30" t="n">
        <v>46239</v>
      </c>
      <c r="H689" s="22" t="n">
        <v>131945</v>
      </c>
      <c r="I689" s="22" t="s">
        <v>7959</v>
      </c>
      <c r="J689" s="31" t="n">
        <v>35.2</v>
      </c>
      <c r="K689" s="26" t="n">
        <v>685.98</v>
      </c>
      <c r="L689" s="26" t="n">
        <v>164.73</v>
      </c>
      <c r="M689" s="22" t="s">
        <v>2349</v>
      </c>
      <c r="N689" s="22" t="n">
        <f aca="false">MATCH(M689,'Tabela Passaro'!$A$2:$A$1795,0)</f>
        <v>522</v>
      </c>
      <c r="O689" s="22" t="str">
        <f aca="false">INDEX('Tabela Passaro'!$C$2:$C$1795,$N689)</f>
        <v>FORTALEZA</v>
      </c>
      <c r="P689" s="22" t="str">
        <f aca="false">INDEX('Tabela Passaro'!$B$2:$B$1795,$N689)</f>
        <v>CE</v>
      </c>
      <c r="Q689" s="22" t="n">
        <f aca="false">INDEX('Tabela Passaro'!$F$2:$F$1795,$N689)</f>
        <v>8</v>
      </c>
      <c r="R689" s="32" t="n">
        <f aca="false">IF(J689&lt;=10,INDEX('Tabela Passaro'!$G$2:$G$1795,$N689),IF(J689&lt;=30,INDEX('Tabela Passaro'!$H$2:$H$1795,$N689),IF(J689&lt;=50,INDEX('Tabela Passaro'!$I$2:$I$1795,$N689),IF(J689&lt;=70,INDEX('Tabela Passaro'!$J$2:$J$1795,$N689),IF(J689&lt;=100,INDEX('Tabela Passaro'!$K$2:$K$1795,$N689),INDEX('Tabela Passaro'!$K$2:$K$1795,$N689)+(J689-100)*INDEX('Tabela Passaro'!$L$2:$L$1795,$N689))))))</f>
        <v>152.98</v>
      </c>
      <c r="S689" s="32" t="n">
        <f aca="false">K689*INDEX('Tabela Passaro'!$M$2:$M$1795,$N689)</f>
        <v>3.4299</v>
      </c>
      <c r="T689" s="32" t="n">
        <f aca="false">K689*INDEX('Tabela Passaro'!$N$2:$N$1795,$N689)</f>
        <v>1.37196</v>
      </c>
      <c r="U689" s="32" t="n">
        <f aca="false">INDEX('Tabela Passaro'!$O$2:$O$1795,$N689)</f>
        <v>5</v>
      </c>
      <c r="V689" s="32" t="n">
        <f aca="false">ROUNDUP(J689/INDEX('Tabela Passaro'!$Q$2:$Q$1795,$N689),0)*INDEX('Tabela Passaro'!$P$2:$P$1795,$N689)</f>
        <v>5</v>
      </c>
      <c r="W689" s="32" t="n">
        <f aca="false">INDEX('Tabela Passaro'!$R$2:$R$1795,$N689)</f>
        <v>30</v>
      </c>
      <c r="X689" s="32" t="n">
        <f aca="false">ROUNDUP(J689/INDEX('Tabela Passaro'!$T$2:$T$1795,$N689),0)*INDEX('Tabela Passaro'!$S$2:$S$1795,$N689)</f>
        <v>0</v>
      </c>
      <c r="Y689" s="32" t="n">
        <f aca="false">INDEX('Tabela Passaro'!$U$2:$U$1795,$N689)</f>
        <v>0</v>
      </c>
      <c r="Z689" s="32" t="n">
        <f aca="false">INDEX('Tabela Passaro'!$V$2:$V$1795,$N689)</f>
        <v>0</v>
      </c>
      <c r="AA689" s="32" t="n">
        <f aca="false">SUM(R689:Z689)</f>
        <v>197.78186</v>
      </c>
      <c r="AB689" s="33" t="n">
        <f aca="false">INDEX(Premissas!$B$5:$B$13,MATCH(A689,Premissas!$A$5:$A$13,0))</f>
        <v>0.07</v>
      </c>
      <c r="AC689" s="32" t="n">
        <f aca="false">AA689/(1-AB689)-AA689</f>
        <v>14.8868066666667</v>
      </c>
      <c r="AD689" s="32" t="n">
        <f aca="false">ROUND(AA689+AC689,2)</f>
        <v>212.67</v>
      </c>
      <c r="AE689" s="32" t="n">
        <f aca="false">AD689-L689</f>
        <v>47.94</v>
      </c>
      <c r="AF689" s="34" t="n">
        <f aca="false">IF(L689=0,0,AE689/L689)</f>
        <v>0.291021671826625</v>
      </c>
      <c r="AG689" s="22" t="str">
        <f aca="false">IF(AD689&lt;L689,"PASSARO","ATUAL")</f>
        <v>ATUAL</v>
      </c>
      <c r="AH689" s="22" t="str">
        <f aca="false">IF(P689&lt;&gt;A689,"Faixa cadastrada como "&amp;P689&amp;" na tabela; preço aplicado pela UF do CEP","")</f>
        <v/>
      </c>
      <c r="AI689" s="26" t="n">
        <v>245.6</v>
      </c>
      <c r="AJ689" s="22" t="str">
        <f aca="false">INDEX('Tabela Passaro'!$X$2:$X$1795,$N689)</f>
        <v>CAPITAL</v>
      </c>
    </row>
    <row r="690" customFormat="false" ht="15" hidden="false" customHeight="false" outlineLevel="0" collapsed="false">
      <c r="A690" s="22" t="s">
        <v>17</v>
      </c>
      <c r="B690" s="22" t="n">
        <v>1</v>
      </c>
      <c r="C690" s="22" t="s">
        <v>95</v>
      </c>
      <c r="D690" s="22" t="s">
        <v>30</v>
      </c>
      <c r="E690" s="22" t="s">
        <v>7326</v>
      </c>
      <c r="F690" s="22" t="n">
        <v>522611</v>
      </c>
      <c r="G690" s="30" t="n">
        <v>46239</v>
      </c>
      <c r="H690" s="22" t="n">
        <v>620518</v>
      </c>
      <c r="I690" s="22" t="s">
        <v>7960</v>
      </c>
      <c r="J690" s="31" t="n">
        <v>35.5</v>
      </c>
      <c r="K690" s="26" t="n">
        <v>629.98</v>
      </c>
      <c r="L690" s="26" t="n">
        <v>185.72</v>
      </c>
      <c r="M690" s="22" t="s">
        <v>2349</v>
      </c>
      <c r="N690" s="22" t="n">
        <f aca="false">MATCH(M690,'Tabela Passaro'!$A$2:$A$1795,0)</f>
        <v>522</v>
      </c>
      <c r="O690" s="22" t="str">
        <f aca="false">INDEX('Tabela Passaro'!$C$2:$C$1795,$N690)</f>
        <v>FORTALEZA</v>
      </c>
      <c r="P690" s="22" t="str">
        <f aca="false">INDEX('Tabela Passaro'!$B$2:$B$1795,$N690)</f>
        <v>CE</v>
      </c>
      <c r="Q690" s="22" t="n">
        <f aca="false">INDEX('Tabela Passaro'!$F$2:$F$1795,$N690)</f>
        <v>8</v>
      </c>
      <c r="R690" s="32" t="n">
        <f aca="false">IF(J690&lt;=10,INDEX('Tabela Passaro'!$G$2:$G$1795,$N690),IF(J690&lt;=30,INDEX('Tabela Passaro'!$H$2:$H$1795,$N690),IF(J690&lt;=50,INDEX('Tabela Passaro'!$I$2:$I$1795,$N690),IF(J690&lt;=70,INDEX('Tabela Passaro'!$J$2:$J$1795,$N690),IF(J690&lt;=100,INDEX('Tabela Passaro'!$K$2:$K$1795,$N690),INDEX('Tabela Passaro'!$K$2:$K$1795,$N690)+(J690-100)*INDEX('Tabela Passaro'!$L$2:$L$1795,$N690))))))</f>
        <v>152.98</v>
      </c>
      <c r="S690" s="32" t="n">
        <f aca="false">K690*INDEX('Tabela Passaro'!$M$2:$M$1795,$N690)</f>
        <v>3.1499</v>
      </c>
      <c r="T690" s="32" t="n">
        <f aca="false">K690*INDEX('Tabela Passaro'!$N$2:$N$1795,$N690)</f>
        <v>1.25996</v>
      </c>
      <c r="U690" s="32" t="n">
        <f aca="false">INDEX('Tabela Passaro'!$O$2:$O$1795,$N690)</f>
        <v>5</v>
      </c>
      <c r="V690" s="32" t="n">
        <f aca="false">ROUNDUP(J690/INDEX('Tabela Passaro'!$Q$2:$Q$1795,$N690),0)*INDEX('Tabela Passaro'!$P$2:$P$1795,$N690)</f>
        <v>5</v>
      </c>
      <c r="W690" s="32" t="n">
        <f aca="false">INDEX('Tabela Passaro'!$R$2:$R$1795,$N690)</f>
        <v>30</v>
      </c>
      <c r="X690" s="32" t="n">
        <f aca="false">ROUNDUP(J690/INDEX('Tabela Passaro'!$T$2:$T$1795,$N690),0)*INDEX('Tabela Passaro'!$S$2:$S$1795,$N690)</f>
        <v>0</v>
      </c>
      <c r="Y690" s="32" t="n">
        <f aca="false">INDEX('Tabela Passaro'!$U$2:$U$1795,$N690)</f>
        <v>0</v>
      </c>
      <c r="Z690" s="32" t="n">
        <f aca="false">INDEX('Tabela Passaro'!$V$2:$V$1795,$N690)</f>
        <v>0</v>
      </c>
      <c r="AA690" s="32" t="n">
        <f aca="false">SUM(R690:Z690)</f>
        <v>197.38986</v>
      </c>
      <c r="AB690" s="33" t="n">
        <f aca="false">INDEX(Premissas!$B$5:$B$13,MATCH(A690,Premissas!$A$5:$A$13,0))</f>
        <v>0.07</v>
      </c>
      <c r="AC690" s="32" t="n">
        <f aca="false">AA690/(1-AB690)-AA690</f>
        <v>14.8573012903226</v>
      </c>
      <c r="AD690" s="32" t="n">
        <f aca="false">ROUND(AA690+AC690,2)</f>
        <v>212.25</v>
      </c>
      <c r="AE690" s="32" t="n">
        <f aca="false">AD690-L690</f>
        <v>26.53</v>
      </c>
      <c r="AF690" s="34" t="n">
        <f aca="false">IF(L690=0,0,AE690/L690)</f>
        <v>0.14284945078613</v>
      </c>
      <c r="AG690" s="22" t="str">
        <f aca="false">IF(AD690&lt;L690,"PASSARO","ATUAL")</f>
        <v>ATUAL</v>
      </c>
      <c r="AH690" s="22" t="str">
        <f aca="false">IF(P690&lt;&gt;A690,"Faixa cadastrada como "&amp;P690&amp;" na tabela; preço aplicado pela UF do CEP","")</f>
        <v/>
      </c>
      <c r="AI690" s="26" t="n">
        <v>245.05</v>
      </c>
      <c r="AJ690" s="22" t="str">
        <f aca="false">INDEX('Tabela Passaro'!$X$2:$X$1795,$N690)</f>
        <v>CAPITAL</v>
      </c>
    </row>
    <row r="691" customFormat="false" ht="15" hidden="false" customHeight="false" outlineLevel="0" collapsed="false">
      <c r="A691" s="22" t="s">
        <v>17</v>
      </c>
      <c r="B691" s="22" t="n">
        <v>1</v>
      </c>
      <c r="C691" s="22" t="s">
        <v>95</v>
      </c>
      <c r="D691" s="22" t="s">
        <v>30</v>
      </c>
      <c r="E691" s="22" t="s">
        <v>7326</v>
      </c>
      <c r="F691" s="22" t="n">
        <v>522633</v>
      </c>
      <c r="G691" s="30" t="n">
        <v>46239</v>
      </c>
      <c r="H691" s="22" t="n">
        <v>620744</v>
      </c>
      <c r="I691" s="22" t="s">
        <v>7961</v>
      </c>
      <c r="J691" s="31" t="n">
        <v>35.2</v>
      </c>
      <c r="K691" s="26" t="n">
        <v>622.76</v>
      </c>
      <c r="L691" s="26" t="n">
        <v>185.67</v>
      </c>
      <c r="M691" s="22" t="s">
        <v>2349</v>
      </c>
      <c r="N691" s="22" t="n">
        <f aca="false">MATCH(M691,'Tabela Passaro'!$A$2:$A$1795,0)</f>
        <v>522</v>
      </c>
      <c r="O691" s="22" t="str">
        <f aca="false">INDEX('Tabela Passaro'!$C$2:$C$1795,$N691)</f>
        <v>FORTALEZA</v>
      </c>
      <c r="P691" s="22" t="str">
        <f aca="false">INDEX('Tabela Passaro'!$B$2:$B$1795,$N691)</f>
        <v>CE</v>
      </c>
      <c r="Q691" s="22" t="n">
        <f aca="false">INDEX('Tabela Passaro'!$F$2:$F$1795,$N691)</f>
        <v>8</v>
      </c>
      <c r="R691" s="32" t="n">
        <f aca="false">IF(J691&lt;=10,INDEX('Tabela Passaro'!$G$2:$G$1795,$N691),IF(J691&lt;=30,INDEX('Tabela Passaro'!$H$2:$H$1795,$N691),IF(J691&lt;=50,INDEX('Tabela Passaro'!$I$2:$I$1795,$N691),IF(J691&lt;=70,INDEX('Tabela Passaro'!$J$2:$J$1795,$N691),IF(J691&lt;=100,INDEX('Tabela Passaro'!$K$2:$K$1795,$N691),INDEX('Tabela Passaro'!$K$2:$K$1795,$N691)+(J691-100)*INDEX('Tabela Passaro'!$L$2:$L$1795,$N691))))))</f>
        <v>152.98</v>
      </c>
      <c r="S691" s="32" t="n">
        <f aca="false">K691*INDEX('Tabela Passaro'!$M$2:$M$1795,$N691)</f>
        <v>3.1138</v>
      </c>
      <c r="T691" s="32" t="n">
        <f aca="false">K691*INDEX('Tabela Passaro'!$N$2:$N$1795,$N691)</f>
        <v>1.24552</v>
      </c>
      <c r="U691" s="32" t="n">
        <f aca="false">INDEX('Tabela Passaro'!$O$2:$O$1795,$N691)</f>
        <v>5</v>
      </c>
      <c r="V691" s="32" t="n">
        <f aca="false">ROUNDUP(J691/INDEX('Tabela Passaro'!$Q$2:$Q$1795,$N691),0)*INDEX('Tabela Passaro'!$P$2:$P$1795,$N691)</f>
        <v>5</v>
      </c>
      <c r="W691" s="32" t="n">
        <f aca="false">INDEX('Tabela Passaro'!$R$2:$R$1795,$N691)</f>
        <v>30</v>
      </c>
      <c r="X691" s="32" t="n">
        <f aca="false">ROUNDUP(J691/INDEX('Tabela Passaro'!$T$2:$T$1795,$N691),0)*INDEX('Tabela Passaro'!$S$2:$S$1795,$N691)</f>
        <v>0</v>
      </c>
      <c r="Y691" s="32" t="n">
        <f aca="false">INDEX('Tabela Passaro'!$U$2:$U$1795,$N691)</f>
        <v>0</v>
      </c>
      <c r="Z691" s="32" t="n">
        <f aca="false">INDEX('Tabela Passaro'!$V$2:$V$1795,$N691)</f>
        <v>0</v>
      </c>
      <c r="AA691" s="32" t="n">
        <f aca="false">SUM(R691:Z691)</f>
        <v>197.33932</v>
      </c>
      <c r="AB691" s="33" t="n">
        <f aca="false">INDEX(Premissas!$B$5:$B$13,MATCH(A691,Premissas!$A$5:$A$13,0))</f>
        <v>0.07</v>
      </c>
      <c r="AC691" s="32" t="n">
        <f aca="false">AA691/(1-AB691)-AA691</f>
        <v>14.8534972043011</v>
      </c>
      <c r="AD691" s="32" t="n">
        <f aca="false">ROUND(AA691+AC691,2)</f>
        <v>212.19</v>
      </c>
      <c r="AE691" s="32" t="n">
        <f aca="false">AD691-L691</f>
        <v>26.52</v>
      </c>
      <c r="AF691" s="34" t="n">
        <f aca="false">IF(L691=0,0,AE691/L691)</f>
        <v>0.142834060429795</v>
      </c>
      <c r="AG691" s="22" t="str">
        <f aca="false">IF(AD691&lt;L691,"PASSARO","ATUAL")</f>
        <v>ATUAL</v>
      </c>
      <c r="AH691" s="22" t="str">
        <f aca="false">IF(P691&lt;&gt;A691,"Faixa cadastrada como "&amp;P691&amp;" na tabela; preço aplicado pela UF do CEP","")</f>
        <v/>
      </c>
      <c r="AI691" s="26" t="n">
        <v>244.98</v>
      </c>
      <c r="AJ691" s="22" t="str">
        <f aca="false">INDEX('Tabela Passaro'!$X$2:$X$1795,$N691)</f>
        <v>CAPITAL</v>
      </c>
    </row>
    <row r="692" customFormat="false" ht="15" hidden="false" customHeight="false" outlineLevel="0" collapsed="false">
      <c r="A692" s="22" t="s">
        <v>17</v>
      </c>
      <c r="B692" s="22" t="n">
        <v>1</v>
      </c>
      <c r="C692" s="22" t="s">
        <v>95</v>
      </c>
      <c r="D692" s="22" t="s">
        <v>30</v>
      </c>
      <c r="E692" s="22" t="s">
        <v>20</v>
      </c>
      <c r="F692" s="22" t="n">
        <v>838073</v>
      </c>
      <c r="G692" s="30" t="n">
        <v>46240</v>
      </c>
      <c r="H692" s="22" t="n">
        <v>32417</v>
      </c>
      <c r="I692" s="22" t="s">
        <v>7962</v>
      </c>
      <c r="J692" s="31" t="n">
        <v>17.7</v>
      </c>
      <c r="K692" s="26" t="n">
        <v>383.98</v>
      </c>
      <c r="L692" s="26" t="n">
        <v>113.75</v>
      </c>
      <c r="M692" s="22" t="s">
        <v>2349</v>
      </c>
      <c r="N692" s="22" t="n">
        <f aca="false">MATCH(M692,'Tabela Passaro'!$A$2:$A$1795,0)</f>
        <v>522</v>
      </c>
      <c r="O692" s="22" t="str">
        <f aca="false">INDEX('Tabela Passaro'!$C$2:$C$1795,$N692)</f>
        <v>FORTALEZA</v>
      </c>
      <c r="P692" s="22" t="str">
        <f aca="false">INDEX('Tabela Passaro'!$B$2:$B$1795,$N692)</f>
        <v>CE</v>
      </c>
      <c r="Q692" s="22" t="n">
        <f aca="false">INDEX('Tabela Passaro'!$F$2:$F$1795,$N692)</f>
        <v>8</v>
      </c>
      <c r="R692" s="32" t="n">
        <f aca="false">IF(J692&lt;=10,INDEX('Tabela Passaro'!$G$2:$G$1795,$N692),IF(J692&lt;=30,INDEX('Tabela Passaro'!$H$2:$H$1795,$N692),IF(J692&lt;=50,INDEX('Tabela Passaro'!$I$2:$I$1795,$N692),IF(J692&lt;=70,INDEX('Tabela Passaro'!$J$2:$J$1795,$N692),IF(J692&lt;=100,INDEX('Tabela Passaro'!$K$2:$K$1795,$N692),INDEX('Tabela Passaro'!$K$2:$K$1795,$N692)+(J692-100)*INDEX('Tabela Passaro'!$L$2:$L$1795,$N692))))))</f>
        <v>130.85</v>
      </c>
      <c r="S692" s="32" t="n">
        <f aca="false">K692*INDEX('Tabela Passaro'!$M$2:$M$1795,$N692)</f>
        <v>1.9199</v>
      </c>
      <c r="T692" s="32" t="n">
        <f aca="false">K692*INDEX('Tabela Passaro'!$N$2:$N$1795,$N692)</f>
        <v>0.76796</v>
      </c>
      <c r="U692" s="32" t="n">
        <f aca="false">INDEX('Tabela Passaro'!$O$2:$O$1795,$N692)</f>
        <v>5</v>
      </c>
      <c r="V692" s="32" t="n">
        <f aca="false">ROUNDUP(J692/INDEX('Tabela Passaro'!$Q$2:$Q$1795,$N692),0)*INDEX('Tabela Passaro'!$P$2:$P$1795,$N692)</f>
        <v>5</v>
      </c>
      <c r="W692" s="32" t="n">
        <f aca="false">INDEX('Tabela Passaro'!$R$2:$R$1795,$N692)</f>
        <v>30</v>
      </c>
      <c r="X692" s="32" t="n">
        <f aca="false">ROUNDUP(J692/INDEX('Tabela Passaro'!$T$2:$T$1795,$N692),0)*INDEX('Tabela Passaro'!$S$2:$S$1795,$N692)</f>
        <v>0</v>
      </c>
      <c r="Y692" s="32" t="n">
        <f aca="false">INDEX('Tabela Passaro'!$U$2:$U$1795,$N692)</f>
        <v>0</v>
      </c>
      <c r="Z692" s="32" t="n">
        <f aca="false">INDEX('Tabela Passaro'!$V$2:$V$1795,$N692)</f>
        <v>0</v>
      </c>
      <c r="AA692" s="32" t="n">
        <f aca="false">SUM(R692:Z692)</f>
        <v>173.53786</v>
      </c>
      <c r="AB692" s="33" t="n">
        <f aca="false">INDEX(Premissas!$B$5:$B$13,MATCH(A692,Premissas!$A$5:$A$13,0))</f>
        <v>0.07</v>
      </c>
      <c r="AC692" s="32" t="n">
        <f aca="false">AA692/(1-AB692)-AA692</f>
        <v>13.0619894623656</v>
      </c>
      <c r="AD692" s="32" t="n">
        <f aca="false">ROUND(AA692+AC692,2)</f>
        <v>186.6</v>
      </c>
      <c r="AE692" s="32" t="n">
        <f aca="false">AD692-L692</f>
        <v>72.85</v>
      </c>
      <c r="AF692" s="34" t="n">
        <f aca="false">IF(L692=0,0,AE692/L692)</f>
        <v>0.64043956043956</v>
      </c>
      <c r="AG692" s="22" t="str">
        <f aca="false">IF(AD692&lt;L692,"PASSARO","ATUAL")</f>
        <v>ATUAL</v>
      </c>
      <c r="AH692" s="22" t="str">
        <f aca="false">IF(P692&lt;&gt;A692,"Faixa cadastrada como "&amp;P692&amp;" na tabela; preço aplicado pela UF do CEP","")</f>
        <v/>
      </c>
      <c r="AI692" s="26" t="n">
        <v>208.92</v>
      </c>
      <c r="AJ692" s="22" t="str">
        <f aca="false">INDEX('Tabela Passaro'!$X$2:$X$1795,$N692)</f>
        <v>CAPITAL</v>
      </c>
    </row>
    <row r="693" customFormat="false" ht="15" hidden="false" customHeight="false" outlineLevel="0" collapsed="false">
      <c r="A693" s="22" t="s">
        <v>17</v>
      </c>
      <c r="B693" s="22" t="n">
        <v>1</v>
      </c>
      <c r="C693" s="22" t="s">
        <v>95</v>
      </c>
      <c r="D693" s="22" t="s">
        <v>30</v>
      </c>
      <c r="E693" s="22" t="s">
        <v>20</v>
      </c>
      <c r="F693" s="22" t="n">
        <v>838075</v>
      </c>
      <c r="G693" s="30" t="n">
        <v>46240</v>
      </c>
      <c r="H693" s="22" t="n">
        <v>32419</v>
      </c>
      <c r="I693" s="22" t="s">
        <v>7963</v>
      </c>
      <c r="J693" s="31" t="n">
        <v>63</v>
      </c>
      <c r="K693" s="26" t="n">
        <v>1027.23</v>
      </c>
      <c r="L693" s="26" t="n">
        <v>178.28</v>
      </c>
      <c r="M693" s="22" t="s">
        <v>2349</v>
      </c>
      <c r="N693" s="22" t="n">
        <f aca="false">MATCH(M693,'Tabela Passaro'!$A$2:$A$1795,0)</f>
        <v>522</v>
      </c>
      <c r="O693" s="22" t="str">
        <f aca="false">INDEX('Tabela Passaro'!$C$2:$C$1795,$N693)</f>
        <v>FORTALEZA</v>
      </c>
      <c r="P693" s="22" t="str">
        <f aca="false">INDEX('Tabela Passaro'!$B$2:$B$1795,$N693)</f>
        <v>CE</v>
      </c>
      <c r="Q693" s="22" t="n">
        <f aca="false">INDEX('Tabela Passaro'!$F$2:$F$1795,$N693)</f>
        <v>8</v>
      </c>
      <c r="R693" s="32" t="n">
        <f aca="false">IF(J693&lt;=10,INDEX('Tabela Passaro'!$G$2:$G$1795,$N693),IF(J693&lt;=30,INDEX('Tabela Passaro'!$H$2:$H$1795,$N693),IF(J693&lt;=50,INDEX('Tabela Passaro'!$I$2:$I$1795,$N693),IF(J693&lt;=70,INDEX('Tabela Passaro'!$J$2:$J$1795,$N693),IF(J693&lt;=100,INDEX('Tabela Passaro'!$K$2:$K$1795,$N693),INDEX('Tabela Passaro'!$K$2:$K$1795,$N693)+(J693-100)*INDEX('Tabela Passaro'!$L$2:$L$1795,$N693))))))</f>
        <v>169.58</v>
      </c>
      <c r="S693" s="32" t="n">
        <f aca="false">K693*INDEX('Tabela Passaro'!$M$2:$M$1795,$N693)</f>
        <v>5.13615</v>
      </c>
      <c r="T693" s="32" t="n">
        <f aca="false">K693*INDEX('Tabela Passaro'!$N$2:$N$1795,$N693)</f>
        <v>2.05446</v>
      </c>
      <c r="U693" s="32" t="n">
        <f aca="false">INDEX('Tabela Passaro'!$O$2:$O$1795,$N693)</f>
        <v>5</v>
      </c>
      <c r="V693" s="32" t="n">
        <f aca="false">ROUNDUP(J693/INDEX('Tabela Passaro'!$Q$2:$Q$1795,$N693),0)*INDEX('Tabela Passaro'!$P$2:$P$1795,$N693)</f>
        <v>5</v>
      </c>
      <c r="W693" s="32" t="n">
        <f aca="false">INDEX('Tabela Passaro'!$R$2:$R$1795,$N693)</f>
        <v>30</v>
      </c>
      <c r="X693" s="32" t="n">
        <f aca="false">ROUNDUP(J693/INDEX('Tabela Passaro'!$T$2:$T$1795,$N693),0)*INDEX('Tabela Passaro'!$S$2:$S$1795,$N693)</f>
        <v>0</v>
      </c>
      <c r="Y693" s="32" t="n">
        <f aca="false">INDEX('Tabela Passaro'!$U$2:$U$1795,$N693)</f>
        <v>0</v>
      </c>
      <c r="Z693" s="32" t="n">
        <f aca="false">INDEX('Tabela Passaro'!$V$2:$V$1795,$N693)</f>
        <v>0</v>
      </c>
      <c r="AA693" s="32" t="n">
        <f aca="false">SUM(R693:Z693)</f>
        <v>216.77061</v>
      </c>
      <c r="AB693" s="33" t="n">
        <f aca="false">INDEX(Premissas!$B$5:$B$13,MATCH(A693,Premissas!$A$5:$A$13,0))</f>
        <v>0.07</v>
      </c>
      <c r="AC693" s="32" t="n">
        <f aca="false">AA693/(1-AB693)-AA693</f>
        <v>16.3160674193549</v>
      </c>
      <c r="AD693" s="32" t="n">
        <f aca="false">ROUND(AA693+AC693,2)</f>
        <v>233.09</v>
      </c>
      <c r="AE693" s="32" t="n">
        <f aca="false">AD693-L693</f>
        <v>54.81</v>
      </c>
      <c r="AF693" s="34" t="n">
        <f aca="false">IF(L693=0,0,AE693/L693)</f>
        <v>0.307437738389051</v>
      </c>
      <c r="AG693" s="22" t="str">
        <f aca="false">IF(AD693&lt;L693,"PASSARO","ATUAL")</f>
        <v>ATUAL</v>
      </c>
      <c r="AH693" s="22" t="str">
        <f aca="false">IF(P693&lt;&gt;A693,"Faixa cadastrada como "&amp;P693&amp;" na tabela; preço aplicado pela UF do CEP","")</f>
        <v/>
      </c>
      <c r="AI693" s="26" t="n">
        <v>280.76</v>
      </c>
      <c r="AJ693" s="22" t="str">
        <f aca="false">INDEX('Tabela Passaro'!$X$2:$X$1795,$N693)</f>
        <v>CAPITAL</v>
      </c>
    </row>
    <row r="694" customFormat="false" ht="15" hidden="false" customHeight="false" outlineLevel="0" collapsed="false">
      <c r="A694" s="22" t="s">
        <v>17</v>
      </c>
      <c r="B694" s="22" t="n">
        <v>1</v>
      </c>
      <c r="C694" s="22" t="s">
        <v>95</v>
      </c>
      <c r="D694" s="22" t="s">
        <v>30</v>
      </c>
      <c r="E694" s="22" t="s">
        <v>7326</v>
      </c>
      <c r="F694" s="22" t="n">
        <v>522851</v>
      </c>
      <c r="G694" s="30" t="n">
        <v>46240</v>
      </c>
      <c r="H694" s="22" t="n">
        <v>620941</v>
      </c>
      <c r="I694" s="22" t="s">
        <v>7964</v>
      </c>
      <c r="J694" s="31" t="n">
        <v>29.2</v>
      </c>
      <c r="K694" s="26" t="n">
        <v>487.55</v>
      </c>
      <c r="L694" s="26" t="n">
        <v>134.61</v>
      </c>
      <c r="M694" s="22" t="s">
        <v>2349</v>
      </c>
      <c r="N694" s="22" t="n">
        <f aca="false">MATCH(M694,'Tabela Passaro'!$A$2:$A$1795,0)</f>
        <v>522</v>
      </c>
      <c r="O694" s="22" t="str">
        <f aca="false">INDEX('Tabela Passaro'!$C$2:$C$1795,$N694)</f>
        <v>FORTALEZA</v>
      </c>
      <c r="P694" s="22" t="str">
        <f aca="false">INDEX('Tabela Passaro'!$B$2:$B$1795,$N694)</f>
        <v>CE</v>
      </c>
      <c r="Q694" s="22" t="n">
        <f aca="false">INDEX('Tabela Passaro'!$F$2:$F$1795,$N694)</f>
        <v>8</v>
      </c>
      <c r="R694" s="32" t="n">
        <f aca="false">IF(J694&lt;=10,INDEX('Tabela Passaro'!$G$2:$G$1795,$N694),IF(J694&lt;=30,INDEX('Tabela Passaro'!$H$2:$H$1795,$N694),IF(J694&lt;=50,INDEX('Tabela Passaro'!$I$2:$I$1795,$N694),IF(J694&lt;=70,INDEX('Tabela Passaro'!$J$2:$J$1795,$N694),IF(J694&lt;=100,INDEX('Tabela Passaro'!$K$2:$K$1795,$N694),INDEX('Tabela Passaro'!$K$2:$K$1795,$N694)+(J694-100)*INDEX('Tabela Passaro'!$L$2:$L$1795,$N694))))))</f>
        <v>130.85</v>
      </c>
      <c r="S694" s="32" t="n">
        <f aca="false">K694*INDEX('Tabela Passaro'!$M$2:$M$1795,$N694)</f>
        <v>2.43775</v>
      </c>
      <c r="T694" s="32" t="n">
        <f aca="false">K694*INDEX('Tabela Passaro'!$N$2:$N$1795,$N694)</f>
        <v>0.9751</v>
      </c>
      <c r="U694" s="32" t="n">
        <f aca="false">INDEX('Tabela Passaro'!$O$2:$O$1795,$N694)</f>
        <v>5</v>
      </c>
      <c r="V694" s="32" t="n">
        <f aca="false">ROUNDUP(J694/INDEX('Tabela Passaro'!$Q$2:$Q$1795,$N694),0)*INDEX('Tabela Passaro'!$P$2:$P$1795,$N694)</f>
        <v>5</v>
      </c>
      <c r="W694" s="32" t="n">
        <f aca="false">INDEX('Tabela Passaro'!$R$2:$R$1795,$N694)</f>
        <v>30</v>
      </c>
      <c r="X694" s="32" t="n">
        <f aca="false">ROUNDUP(J694/INDEX('Tabela Passaro'!$T$2:$T$1795,$N694),0)*INDEX('Tabela Passaro'!$S$2:$S$1795,$N694)</f>
        <v>0</v>
      </c>
      <c r="Y694" s="32" t="n">
        <f aca="false">INDEX('Tabela Passaro'!$U$2:$U$1795,$N694)</f>
        <v>0</v>
      </c>
      <c r="Z694" s="32" t="n">
        <f aca="false">INDEX('Tabela Passaro'!$V$2:$V$1795,$N694)</f>
        <v>0</v>
      </c>
      <c r="AA694" s="32" t="n">
        <f aca="false">SUM(R694:Z694)</f>
        <v>174.26285</v>
      </c>
      <c r="AB694" s="33" t="n">
        <f aca="false">INDEX(Premissas!$B$5:$B$13,MATCH(A694,Premissas!$A$5:$A$13,0))</f>
        <v>0.07</v>
      </c>
      <c r="AC694" s="32" t="n">
        <f aca="false">AA694/(1-AB694)-AA694</f>
        <v>13.1165586021505</v>
      </c>
      <c r="AD694" s="32" t="n">
        <f aca="false">ROUND(AA694+AC694,2)</f>
        <v>187.38</v>
      </c>
      <c r="AE694" s="32" t="n">
        <f aca="false">AD694-L694</f>
        <v>52.77</v>
      </c>
      <c r="AF694" s="34" t="n">
        <f aca="false">IF(L694=0,0,AE694/L694)</f>
        <v>0.39202139514152</v>
      </c>
      <c r="AG694" s="22" t="str">
        <f aca="false">IF(AD694&lt;L694,"PASSARO","ATUAL")</f>
        <v>ATUAL</v>
      </c>
      <c r="AH694" s="22" t="str">
        <f aca="false">IF(P694&lt;&gt;A694,"Faixa cadastrada como "&amp;P694&amp;" na tabela; preço aplicado pela UF do CEP","")</f>
        <v/>
      </c>
      <c r="AI694" s="26" t="n">
        <v>215.73</v>
      </c>
      <c r="AJ694" s="22" t="str">
        <f aca="false">INDEX('Tabela Passaro'!$X$2:$X$1795,$N694)</f>
        <v>CAPITAL</v>
      </c>
    </row>
    <row r="695" customFormat="false" ht="15" hidden="false" customHeight="false" outlineLevel="0" collapsed="false">
      <c r="A695" s="22" t="s">
        <v>17</v>
      </c>
      <c r="B695" s="22" t="n">
        <v>1</v>
      </c>
      <c r="C695" s="22" t="s">
        <v>95</v>
      </c>
      <c r="D695" s="22" t="s">
        <v>30</v>
      </c>
      <c r="E695" s="22" t="s">
        <v>20</v>
      </c>
      <c r="F695" s="22" t="n">
        <v>838165</v>
      </c>
      <c r="G695" s="30" t="n">
        <v>46241</v>
      </c>
      <c r="H695" s="22" t="n">
        <v>32425</v>
      </c>
      <c r="I695" s="22" t="s">
        <v>7965</v>
      </c>
      <c r="J695" s="31" t="n">
        <v>37.6</v>
      </c>
      <c r="K695" s="26" t="n">
        <v>542.51</v>
      </c>
      <c r="L695" s="26" t="n">
        <v>149.94</v>
      </c>
      <c r="M695" s="22" t="s">
        <v>2349</v>
      </c>
      <c r="N695" s="22" t="n">
        <f aca="false">MATCH(M695,'Tabela Passaro'!$A$2:$A$1795,0)</f>
        <v>522</v>
      </c>
      <c r="O695" s="22" t="str">
        <f aca="false">INDEX('Tabela Passaro'!$C$2:$C$1795,$N695)</f>
        <v>FORTALEZA</v>
      </c>
      <c r="P695" s="22" t="str">
        <f aca="false">INDEX('Tabela Passaro'!$B$2:$B$1795,$N695)</f>
        <v>CE</v>
      </c>
      <c r="Q695" s="22" t="n">
        <f aca="false">INDEX('Tabela Passaro'!$F$2:$F$1795,$N695)</f>
        <v>8</v>
      </c>
      <c r="R695" s="32" t="n">
        <f aca="false">IF(J695&lt;=10,INDEX('Tabela Passaro'!$G$2:$G$1795,$N695),IF(J695&lt;=30,INDEX('Tabela Passaro'!$H$2:$H$1795,$N695),IF(J695&lt;=50,INDEX('Tabela Passaro'!$I$2:$I$1795,$N695),IF(J695&lt;=70,INDEX('Tabela Passaro'!$J$2:$J$1795,$N695),IF(J695&lt;=100,INDEX('Tabela Passaro'!$K$2:$K$1795,$N695),INDEX('Tabela Passaro'!$K$2:$K$1795,$N695)+(J695-100)*INDEX('Tabela Passaro'!$L$2:$L$1795,$N695))))))</f>
        <v>152.98</v>
      </c>
      <c r="S695" s="32" t="n">
        <f aca="false">K695*INDEX('Tabela Passaro'!$M$2:$M$1795,$N695)</f>
        <v>2.71255</v>
      </c>
      <c r="T695" s="32" t="n">
        <f aca="false">K695*INDEX('Tabela Passaro'!$N$2:$N$1795,$N695)</f>
        <v>1.08502</v>
      </c>
      <c r="U695" s="32" t="n">
        <f aca="false">INDEX('Tabela Passaro'!$O$2:$O$1795,$N695)</f>
        <v>5</v>
      </c>
      <c r="V695" s="32" t="n">
        <f aca="false">ROUNDUP(J695/INDEX('Tabela Passaro'!$Q$2:$Q$1795,$N695),0)*INDEX('Tabela Passaro'!$P$2:$P$1795,$N695)</f>
        <v>5</v>
      </c>
      <c r="W695" s="32" t="n">
        <f aca="false">INDEX('Tabela Passaro'!$R$2:$R$1795,$N695)</f>
        <v>30</v>
      </c>
      <c r="X695" s="32" t="n">
        <f aca="false">ROUNDUP(J695/INDEX('Tabela Passaro'!$T$2:$T$1795,$N695),0)*INDEX('Tabela Passaro'!$S$2:$S$1795,$N695)</f>
        <v>0</v>
      </c>
      <c r="Y695" s="32" t="n">
        <f aca="false">INDEX('Tabela Passaro'!$U$2:$U$1795,$N695)</f>
        <v>0</v>
      </c>
      <c r="Z695" s="32" t="n">
        <f aca="false">INDEX('Tabela Passaro'!$V$2:$V$1795,$N695)</f>
        <v>0</v>
      </c>
      <c r="AA695" s="32" t="n">
        <f aca="false">SUM(R695:Z695)</f>
        <v>196.77757</v>
      </c>
      <c r="AB695" s="33" t="n">
        <f aca="false">INDEX(Premissas!$B$5:$B$13,MATCH(A695,Premissas!$A$5:$A$13,0))</f>
        <v>0.07</v>
      </c>
      <c r="AC695" s="32" t="n">
        <f aca="false">AA695/(1-AB695)-AA695</f>
        <v>14.8112149462366</v>
      </c>
      <c r="AD695" s="32" t="n">
        <f aca="false">ROUND(AA695+AC695,2)</f>
        <v>211.59</v>
      </c>
      <c r="AE695" s="32" t="n">
        <f aca="false">AD695-L695</f>
        <v>61.65</v>
      </c>
      <c r="AF695" s="34" t="n">
        <f aca="false">IF(L695=0,0,AE695/L695)</f>
        <v>0.411164465786315</v>
      </c>
      <c r="AG695" s="22" t="str">
        <f aca="false">IF(AD695&lt;L695,"PASSARO","ATUAL")</f>
        <v>ATUAL</v>
      </c>
      <c r="AH695" s="22" t="str">
        <f aca="false">IF(P695&lt;&gt;A695,"Faixa cadastrada como "&amp;P695&amp;" na tabela; preço aplicado pela UF do CEP","")</f>
        <v/>
      </c>
      <c r="AI695" s="26" t="n">
        <v>245.17</v>
      </c>
      <c r="AJ695" s="22" t="str">
        <f aca="false">INDEX('Tabela Passaro'!$X$2:$X$1795,$N695)</f>
        <v>CAPITAL</v>
      </c>
    </row>
    <row r="696" customFormat="false" ht="15" hidden="false" customHeight="false" outlineLevel="0" collapsed="false">
      <c r="A696" s="22" t="s">
        <v>17</v>
      </c>
      <c r="B696" s="22" t="n">
        <v>1</v>
      </c>
      <c r="C696" s="22" t="s">
        <v>95</v>
      </c>
      <c r="D696" s="22" t="s">
        <v>30</v>
      </c>
      <c r="E696" s="22" t="s">
        <v>20</v>
      </c>
      <c r="F696" s="22" t="n">
        <v>838166</v>
      </c>
      <c r="G696" s="30" t="n">
        <v>46241</v>
      </c>
      <c r="H696" s="22" t="n">
        <v>32426</v>
      </c>
      <c r="I696" s="22" t="s">
        <v>7966</v>
      </c>
      <c r="J696" s="31" t="n">
        <v>66.8</v>
      </c>
      <c r="K696" s="26" t="n">
        <v>934.98</v>
      </c>
      <c r="L696" s="26" t="n">
        <v>177.44</v>
      </c>
      <c r="M696" s="22" t="s">
        <v>2349</v>
      </c>
      <c r="N696" s="22" t="n">
        <f aca="false">MATCH(M696,'Tabela Passaro'!$A$2:$A$1795,0)</f>
        <v>522</v>
      </c>
      <c r="O696" s="22" t="str">
        <f aca="false">INDEX('Tabela Passaro'!$C$2:$C$1795,$N696)</f>
        <v>FORTALEZA</v>
      </c>
      <c r="P696" s="22" t="str">
        <f aca="false">INDEX('Tabela Passaro'!$B$2:$B$1795,$N696)</f>
        <v>CE</v>
      </c>
      <c r="Q696" s="22" t="n">
        <f aca="false">INDEX('Tabela Passaro'!$F$2:$F$1795,$N696)</f>
        <v>8</v>
      </c>
      <c r="R696" s="32" t="n">
        <f aca="false">IF(J696&lt;=10,INDEX('Tabela Passaro'!$G$2:$G$1795,$N696),IF(J696&lt;=30,INDEX('Tabela Passaro'!$H$2:$H$1795,$N696),IF(J696&lt;=50,INDEX('Tabela Passaro'!$I$2:$I$1795,$N696),IF(J696&lt;=70,INDEX('Tabela Passaro'!$J$2:$J$1795,$N696),IF(J696&lt;=100,INDEX('Tabela Passaro'!$K$2:$K$1795,$N696),INDEX('Tabela Passaro'!$K$2:$K$1795,$N696)+(J696-100)*INDEX('Tabela Passaro'!$L$2:$L$1795,$N696))))))</f>
        <v>169.58</v>
      </c>
      <c r="S696" s="32" t="n">
        <f aca="false">K696*INDEX('Tabela Passaro'!$M$2:$M$1795,$N696)</f>
        <v>4.6749</v>
      </c>
      <c r="T696" s="32" t="n">
        <f aca="false">K696*INDEX('Tabela Passaro'!$N$2:$N$1795,$N696)</f>
        <v>1.86996</v>
      </c>
      <c r="U696" s="32" t="n">
        <f aca="false">INDEX('Tabela Passaro'!$O$2:$O$1795,$N696)</f>
        <v>5</v>
      </c>
      <c r="V696" s="32" t="n">
        <f aca="false">ROUNDUP(J696/INDEX('Tabela Passaro'!$Q$2:$Q$1795,$N696),0)*INDEX('Tabela Passaro'!$P$2:$P$1795,$N696)</f>
        <v>5</v>
      </c>
      <c r="W696" s="32" t="n">
        <f aca="false">INDEX('Tabela Passaro'!$R$2:$R$1795,$N696)</f>
        <v>30</v>
      </c>
      <c r="X696" s="32" t="n">
        <f aca="false">ROUNDUP(J696/INDEX('Tabela Passaro'!$T$2:$T$1795,$N696),0)*INDEX('Tabela Passaro'!$S$2:$S$1795,$N696)</f>
        <v>0</v>
      </c>
      <c r="Y696" s="32" t="n">
        <f aca="false">INDEX('Tabela Passaro'!$U$2:$U$1795,$N696)</f>
        <v>0</v>
      </c>
      <c r="Z696" s="32" t="n">
        <f aca="false">INDEX('Tabela Passaro'!$V$2:$V$1795,$N696)</f>
        <v>0</v>
      </c>
      <c r="AA696" s="32" t="n">
        <f aca="false">SUM(R696:Z696)</f>
        <v>216.12486</v>
      </c>
      <c r="AB696" s="33" t="n">
        <f aca="false">INDEX(Premissas!$B$5:$B$13,MATCH(A696,Premissas!$A$5:$A$13,0))</f>
        <v>0.07</v>
      </c>
      <c r="AC696" s="32" t="n">
        <f aca="false">AA696/(1-AB696)-AA696</f>
        <v>16.2674625806452</v>
      </c>
      <c r="AD696" s="32" t="n">
        <f aca="false">ROUND(AA696+AC696,2)</f>
        <v>232.39</v>
      </c>
      <c r="AE696" s="32" t="n">
        <f aca="false">AD696-L696</f>
        <v>54.95</v>
      </c>
      <c r="AF696" s="34" t="n">
        <f aca="false">IF(L696=0,0,AE696/L696)</f>
        <v>0.309682146077547</v>
      </c>
      <c r="AG696" s="22" t="str">
        <f aca="false">IF(AD696&lt;L696,"PASSARO","ATUAL")</f>
        <v>ATUAL</v>
      </c>
      <c r="AH696" s="22" t="str">
        <f aca="false">IF(P696&lt;&gt;A696,"Faixa cadastrada como "&amp;P696&amp;" na tabela; preço aplicado pela UF do CEP","")</f>
        <v/>
      </c>
      <c r="AI696" s="26" t="n">
        <v>281.8</v>
      </c>
      <c r="AJ696" s="22" t="str">
        <f aca="false">INDEX('Tabela Passaro'!$X$2:$X$1795,$N696)</f>
        <v>CAPITAL</v>
      </c>
    </row>
    <row r="697" customFormat="false" ht="15" hidden="false" customHeight="false" outlineLevel="0" collapsed="false">
      <c r="A697" s="22" t="s">
        <v>17</v>
      </c>
      <c r="B697" s="22" t="n">
        <v>1</v>
      </c>
      <c r="C697" s="22" t="s">
        <v>95</v>
      </c>
      <c r="D697" s="22" t="s">
        <v>30</v>
      </c>
      <c r="E697" s="22" t="s">
        <v>20</v>
      </c>
      <c r="F697" s="22" t="n">
        <v>838174</v>
      </c>
      <c r="G697" s="30" t="n">
        <v>46241</v>
      </c>
      <c r="H697" s="22" t="n">
        <v>32434</v>
      </c>
      <c r="I697" s="22" t="s">
        <v>7967</v>
      </c>
      <c r="J697" s="31" t="n">
        <v>48.6</v>
      </c>
      <c r="K697" s="26" t="n">
        <v>909.98</v>
      </c>
      <c r="L697" s="26" t="n">
        <v>153.24</v>
      </c>
      <c r="M697" s="22" t="s">
        <v>2349</v>
      </c>
      <c r="N697" s="22" t="n">
        <f aca="false">MATCH(M697,'Tabela Passaro'!$A$2:$A$1795,0)</f>
        <v>522</v>
      </c>
      <c r="O697" s="22" t="str">
        <f aca="false">INDEX('Tabela Passaro'!$C$2:$C$1795,$N697)</f>
        <v>FORTALEZA</v>
      </c>
      <c r="P697" s="22" t="str">
        <f aca="false">INDEX('Tabela Passaro'!$B$2:$B$1795,$N697)</f>
        <v>CE</v>
      </c>
      <c r="Q697" s="22" t="n">
        <f aca="false">INDEX('Tabela Passaro'!$F$2:$F$1795,$N697)</f>
        <v>8</v>
      </c>
      <c r="R697" s="32" t="n">
        <f aca="false">IF(J697&lt;=10,INDEX('Tabela Passaro'!$G$2:$G$1795,$N697),IF(J697&lt;=30,INDEX('Tabela Passaro'!$H$2:$H$1795,$N697),IF(J697&lt;=50,INDEX('Tabela Passaro'!$I$2:$I$1795,$N697),IF(J697&lt;=70,INDEX('Tabela Passaro'!$J$2:$J$1795,$N697),IF(J697&lt;=100,INDEX('Tabela Passaro'!$K$2:$K$1795,$N697),INDEX('Tabela Passaro'!$K$2:$K$1795,$N697)+(J697-100)*INDEX('Tabela Passaro'!$L$2:$L$1795,$N697))))))</f>
        <v>152.98</v>
      </c>
      <c r="S697" s="32" t="n">
        <f aca="false">K697*INDEX('Tabela Passaro'!$M$2:$M$1795,$N697)</f>
        <v>4.5499</v>
      </c>
      <c r="T697" s="32" t="n">
        <f aca="false">K697*INDEX('Tabela Passaro'!$N$2:$N$1795,$N697)</f>
        <v>1.81996</v>
      </c>
      <c r="U697" s="32" t="n">
        <f aca="false">INDEX('Tabela Passaro'!$O$2:$O$1795,$N697)</f>
        <v>5</v>
      </c>
      <c r="V697" s="32" t="n">
        <f aca="false">ROUNDUP(J697/INDEX('Tabela Passaro'!$Q$2:$Q$1795,$N697),0)*INDEX('Tabela Passaro'!$P$2:$P$1795,$N697)</f>
        <v>5</v>
      </c>
      <c r="W697" s="32" t="n">
        <f aca="false">INDEX('Tabela Passaro'!$R$2:$R$1795,$N697)</f>
        <v>30</v>
      </c>
      <c r="X697" s="32" t="n">
        <f aca="false">ROUNDUP(J697/INDEX('Tabela Passaro'!$T$2:$T$1795,$N697),0)*INDEX('Tabela Passaro'!$S$2:$S$1795,$N697)</f>
        <v>0</v>
      </c>
      <c r="Y697" s="32" t="n">
        <f aca="false">INDEX('Tabela Passaro'!$U$2:$U$1795,$N697)</f>
        <v>0</v>
      </c>
      <c r="Z697" s="32" t="n">
        <f aca="false">INDEX('Tabela Passaro'!$V$2:$V$1795,$N697)</f>
        <v>0</v>
      </c>
      <c r="AA697" s="32" t="n">
        <f aca="false">SUM(R697:Z697)</f>
        <v>199.34986</v>
      </c>
      <c r="AB697" s="33" t="n">
        <f aca="false">INDEX(Premissas!$B$5:$B$13,MATCH(A697,Premissas!$A$5:$A$13,0))</f>
        <v>0.07</v>
      </c>
      <c r="AC697" s="32" t="n">
        <f aca="false">AA697/(1-AB697)-AA697</f>
        <v>15.004828172043</v>
      </c>
      <c r="AD697" s="32" t="n">
        <f aca="false">ROUND(AA697+AC697,2)</f>
        <v>214.35</v>
      </c>
      <c r="AE697" s="32" t="n">
        <f aca="false">AD697-L697</f>
        <v>61.11</v>
      </c>
      <c r="AF697" s="34" t="n">
        <f aca="false">IF(L697=0,0,AE697/L697)</f>
        <v>0.398786217697729</v>
      </c>
      <c r="AG697" s="22" t="str">
        <f aca="false">IF(AD697&lt;L697,"PASSARO","ATUAL")</f>
        <v>ATUAL</v>
      </c>
      <c r="AH697" s="22" t="str">
        <f aca="false">IF(P697&lt;&gt;A697,"Faixa cadastrada como "&amp;P697&amp;" na tabela; preço aplicado pela UF do CEP","")</f>
        <v/>
      </c>
      <c r="AI697" s="26" t="n">
        <v>254.05</v>
      </c>
      <c r="AJ697" s="22" t="str">
        <f aca="false">INDEX('Tabela Passaro'!$X$2:$X$1795,$N697)</f>
        <v>CAPITAL</v>
      </c>
    </row>
    <row r="698" customFormat="false" ht="15" hidden="false" customHeight="false" outlineLevel="0" collapsed="false">
      <c r="A698" s="22" t="s">
        <v>17</v>
      </c>
      <c r="B698" s="22" t="n">
        <v>1</v>
      </c>
      <c r="C698" s="22" t="s">
        <v>95</v>
      </c>
      <c r="D698" s="22" t="s">
        <v>30</v>
      </c>
      <c r="E698" s="22" t="s">
        <v>7326</v>
      </c>
      <c r="F698" s="22" t="n">
        <v>523070</v>
      </c>
      <c r="G698" s="30" t="n">
        <v>46241</v>
      </c>
      <c r="H698" s="22" t="n">
        <v>621364</v>
      </c>
      <c r="I698" s="22" t="s">
        <v>7968</v>
      </c>
      <c r="J698" s="31" t="n">
        <v>41</v>
      </c>
      <c r="K698" s="26" t="n">
        <v>684.98</v>
      </c>
      <c r="L698" s="26" t="n">
        <v>186.19</v>
      </c>
      <c r="M698" s="22" t="s">
        <v>2349</v>
      </c>
      <c r="N698" s="22" t="n">
        <f aca="false">MATCH(M698,'Tabela Passaro'!$A$2:$A$1795,0)</f>
        <v>522</v>
      </c>
      <c r="O698" s="22" t="str">
        <f aca="false">INDEX('Tabela Passaro'!$C$2:$C$1795,$N698)</f>
        <v>FORTALEZA</v>
      </c>
      <c r="P698" s="22" t="str">
        <f aca="false">INDEX('Tabela Passaro'!$B$2:$B$1795,$N698)</f>
        <v>CE</v>
      </c>
      <c r="Q698" s="22" t="n">
        <f aca="false">INDEX('Tabela Passaro'!$F$2:$F$1795,$N698)</f>
        <v>8</v>
      </c>
      <c r="R698" s="32" t="n">
        <f aca="false">IF(J698&lt;=10,INDEX('Tabela Passaro'!$G$2:$G$1795,$N698),IF(J698&lt;=30,INDEX('Tabela Passaro'!$H$2:$H$1795,$N698),IF(J698&lt;=50,INDEX('Tabela Passaro'!$I$2:$I$1795,$N698),IF(J698&lt;=70,INDEX('Tabela Passaro'!$J$2:$J$1795,$N698),IF(J698&lt;=100,INDEX('Tabela Passaro'!$K$2:$K$1795,$N698),INDEX('Tabela Passaro'!$K$2:$K$1795,$N698)+(J698-100)*INDEX('Tabela Passaro'!$L$2:$L$1795,$N698))))))</f>
        <v>152.98</v>
      </c>
      <c r="S698" s="32" t="n">
        <f aca="false">K698*INDEX('Tabela Passaro'!$M$2:$M$1795,$N698)</f>
        <v>3.4249</v>
      </c>
      <c r="T698" s="32" t="n">
        <f aca="false">K698*INDEX('Tabela Passaro'!$N$2:$N$1795,$N698)</f>
        <v>1.36996</v>
      </c>
      <c r="U698" s="32" t="n">
        <f aca="false">INDEX('Tabela Passaro'!$O$2:$O$1795,$N698)</f>
        <v>5</v>
      </c>
      <c r="V698" s="32" t="n">
        <f aca="false">ROUNDUP(J698/INDEX('Tabela Passaro'!$Q$2:$Q$1795,$N698),0)*INDEX('Tabela Passaro'!$P$2:$P$1795,$N698)</f>
        <v>5</v>
      </c>
      <c r="W698" s="32" t="n">
        <f aca="false">INDEX('Tabela Passaro'!$R$2:$R$1795,$N698)</f>
        <v>30</v>
      </c>
      <c r="X698" s="32" t="n">
        <f aca="false">ROUNDUP(J698/INDEX('Tabela Passaro'!$T$2:$T$1795,$N698),0)*INDEX('Tabela Passaro'!$S$2:$S$1795,$N698)</f>
        <v>0</v>
      </c>
      <c r="Y698" s="32" t="n">
        <f aca="false">INDEX('Tabela Passaro'!$U$2:$U$1795,$N698)</f>
        <v>0</v>
      </c>
      <c r="Z698" s="32" t="n">
        <f aca="false">INDEX('Tabela Passaro'!$V$2:$V$1795,$N698)</f>
        <v>0</v>
      </c>
      <c r="AA698" s="32" t="n">
        <f aca="false">SUM(R698:Z698)</f>
        <v>197.77486</v>
      </c>
      <c r="AB698" s="33" t="n">
        <f aca="false">INDEX(Premissas!$B$5:$B$13,MATCH(A698,Premissas!$A$5:$A$13,0))</f>
        <v>0.07</v>
      </c>
      <c r="AC698" s="32" t="n">
        <f aca="false">AA698/(1-AB698)-AA698</f>
        <v>14.8862797849463</v>
      </c>
      <c r="AD698" s="32" t="n">
        <f aca="false">ROUND(AA698+AC698,2)</f>
        <v>212.66</v>
      </c>
      <c r="AE698" s="32" t="n">
        <f aca="false">AD698-L698</f>
        <v>26.47</v>
      </c>
      <c r="AF698" s="34" t="n">
        <f aca="false">IF(L698=0,0,AE698/L698)</f>
        <v>0.14216660400666</v>
      </c>
      <c r="AG698" s="22" t="str">
        <f aca="false">IF(AD698&lt;L698,"PASSARO","ATUAL")</f>
        <v>ATUAL</v>
      </c>
      <c r="AH698" s="22" t="str">
        <f aca="false">IF(P698&lt;&gt;A698,"Faixa cadastrada como "&amp;P698&amp;" na tabela; preço aplicado pela UF do CEP","")</f>
        <v/>
      </c>
      <c r="AI698" s="26" t="n">
        <v>248.01</v>
      </c>
      <c r="AJ698" s="22" t="str">
        <f aca="false">INDEX('Tabela Passaro'!$X$2:$X$1795,$N698)</f>
        <v>CAPITAL</v>
      </c>
    </row>
    <row r="699" customFormat="false" ht="15" hidden="false" customHeight="false" outlineLevel="0" collapsed="false">
      <c r="A699" s="22" t="s">
        <v>17</v>
      </c>
      <c r="B699" s="22" t="n">
        <v>1</v>
      </c>
      <c r="C699" s="22" t="s">
        <v>95</v>
      </c>
      <c r="D699" s="22" t="s">
        <v>30</v>
      </c>
      <c r="E699" s="22" t="s">
        <v>7326</v>
      </c>
      <c r="F699" s="22" t="n">
        <v>523087</v>
      </c>
      <c r="G699" s="30" t="n">
        <v>46241</v>
      </c>
      <c r="H699" s="22" t="n">
        <v>621655</v>
      </c>
      <c r="I699" s="22" t="s">
        <v>7969</v>
      </c>
      <c r="J699" s="31" t="n">
        <v>73.3</v>
      </c>
      <c r="K699" s="26" t="n">
        <v>2813.94</v>
      </c>
      <c r="L699" s="26" t="n">
        <v>316.61</v>
      </c>
      <c r="M699" s="22" t="s">
        <v>2349</v>
      </c>
      <c r="N699" s="22" t="n">
        <f aca="false">MATCH(M699,'Tabela Passaro'!$A$2:$A$1795,0)</f>
        <v>522</v>
      </c>
      <c r="O699" s="22" t="str">
        <f aca="false">INDEX('Tabela Passaro'!$C$2:$C$1795,$N699)</f>
        <v>FORTALEZA</v>
      </c>
      <c r="P699" s="22" t="str">
        <f aca="false">INDEX('Tabela Passaro'!$B$2:$B$1795,$N699)</f>
        <v>CE</v>
      </c>
      <c r="Q699" s="22" t="n">
        <f aca="false">INDEX('Tabela Passaro'!$F$2:$F$1795,$N699)</f>
        <v>8</v>
      </c>
      <c r="R699" s="32" t="n">
        <f aca="false">IF(J699&lt;=10,INDEX('Tabela Passaro'!$G$2:$G$1795,$N699),IF(J699&lt;=30,INDEX('Tabela Passaro'!$H$2:$H$1795,$N699),IF(J699&lt;=50,INDEX('Tabela Passaro'!$I$2:$I$1795,$N699),IF(J699&lt;=70,INDEX('Tabela Passaro'!$J$2:$J$1795,$N699),IF(J699&lt;=100,INDEX('Tabela Passaro'!$K$2:$K$1795,$N699),INDEX('Tabela Passaro'!$K$2:$K$1795,$N699)+(J699-100)*INDEX('Tabela Passaro'!$L$2:$L$1795,$N699))))))</f>
        <v>186.18</v>
      </c>
      <c r="S699" s="32" t="n">
        <f aca="false">K699*INDEX('Tabela Passaro'!$M$2:$M$1795,$N699)</f>
        <v>14.0697</v>
      </c>
      <c r="T699" s="32" t="n">
        <f aca="false">K699*INDEX('Tabela Passaro'!$N$2:$N$1795,$N699)</f>
        <v>5.62788</v>
      </c>
      <c r="U699" s="32" t="n">
        <f aca="false">INDEX('Tabela Passaro'!$O$2:$O$1795,$N699)</f>
        <v>5</v>
      </c>
      <c r="V699" s="32" t="n">
        <f aca="false">ROUNDUP(J699/INDEX('Tabela Passaro'!$Q$2:$Q$1795,$N699),0)*INDEX('Tabela Passaro'!$P$2:$P$1795,$N699)</f>
        <v>5</v>
      </c>
      <c r="W699" s="32" t="n">
        <f aca="false">INDEX('Tabela Passaro'!$R$2:$R$1795,$N699)</f>
        <v>30</v>
      </c>
      <c r="X699" s="32" t="n">
        <f aca="false">ROUNDUP(J699/INDEX('Tabela Passaro'!$T$2:$T$1795,$N699),0)*INDEX('Tabela Passaro'!$S$2:$S$1795,$N699)</f>
        <v>0</v>
      </c>
      <c r="Y699" s="32" t="n">
        <f aca="false">INDEX('Tabela Passaro'!$U$2:$U$1795,$N699)</f>
        <v>0</v>
      </c>
      <c r="Z699" s="32" t="n">
        <f aca="false">INDEX('Tabela Passaro'!$V$2:$V$1795,$N699)</f>
        <v>0</v>
      </c>
      <c r="AA699" s="32" t="n">
        <f aca="false">SUM(R699:Z699)</f>
        <v>245.87758</v>
      </c>
      <c r="AB699" s="33" t="n">
        <f aca="false">INDEX(Premissas!$B$5:$B$13,MATCH(A699,Premissas!$A$5:$A$13,0))</f>
        <v>0.07</v>
      </c>
      <c r="AC699" s="32" t="n">
        <f aca="false">AA699/(1-AB699)-AA699</f>
        <v>18.5069146236559</v>
      </c>
      <c r="AD699" s="32" t="n">
        <f aca="false">ROUND(AA699+AC699,2)</f>
        <v>264.38</v>
      </c>
      <c r="AE699" s="32" t="n">
        <f aca="false">AD699-L699</f>
        <v>-52.23</v>
      </c>
      <c r="AF699" s="34" t="n">
        <f aca="false">IF(L699=0,0,AE699/L699)</f>
        <v>-0.164966362401693</v>
      </c>
      <c r="AG699" s="22" t="str">
        <f aca="false">IF(AD699&lt;L699,"PASSARO","ATUAL")</f>
        <v>PASSARO</v>
      </c>
      <c r="AH699" s="22" t="str">
        <f aca="false">IF(P699&lt;&gt;A699,"Faixa cadastrada como "&amp;P699&amp;" na tabela; preço aplicado pela UF do CEP","")</f>
        <v/>
      </c>
      <c r="AI699" s="26" t="n">
        <v>322.16</v>
      </c>
      <c r="AJ699" s="22" t="str">
        <f aca="false">INDEX('Tabela Passaro'!$X$2:$X$1795,$N699)</f>
        <v>CAPITAL</v>
      </c>
    </row>
    <row r="700" customFormat="false" ht="15" hidden="false" customHeight="false" outlineLevel="0" collapsed="false">
      <c r="A700" s="22" t="s">
        <v>17</v>
      </c>
      <c r="B700" s="22" t="n">
        <v>1</v>
      </c>
      <c r="C700" s="22" t="s">
        <v>95</v>
      </c>
      <c r="D700" s="22" t="s">
        <v>30</v>
      </c>
      <c r="E700" s="22" t="s">
        <v>20</v>
      </c>
      <c r="F700" s="22" t="n">
        <v>838388</v>
      </c>
      <c r="G700" s="30" t="n">
        <v>46244</v>
      </c>
      <c r="H700" s="22" t="n">
        <v>32439</v>
      </c>
      <c r="I700" s="22" t="s">
        <v>7970</v>
      </c>
      <c r="J700" s="31" t="n">
        <v>15</v>
      </c>
      <c r="K700" s="26" t="n">
        <v>317.44</v>
      </c>
      <c r="L700" s="26" t="n">
        <v>67.59</v>
      </c>
      <c r="M700" s="22" t="s">
        <v>2349</v>
      </c>
      <c r="N700" s="22" t="n">
        <f aca="false">MATCH(M700,'Tabela Passaro'!$A$2:$A$1795,0)</f>
        <v>522</v>
      </c>
      <c r="O700" s="22" t="str">
        <f aca="false">INDEX('Tabela Passaro'!$C$2:$C$1795,$N700)</f>
        <v>FORTALEZA</v>
      </c>
      <c r="P700" s="22" t="str">
        <f aca="false">INDEX('Tabela Passaro'!$B$2:$B$1795,$N700)</f>
        <v>CE</v>
      </c>
      <c r="Q700" s="22" t="n">
        <f aca="false">INDEX('Tabela Passaro'!$F$2:$F$1795,$N700)</f>
        <v>8</v>
      </c>
      <c r="R700" s="32" t="n">
        <f aca="false">IF(J700&lt;=10,INDEX('Tabela Passaro'!$G$2:$G$1795,$N700),IF(J700&lt;=30,INDEX('Tabela Passaro'!$H$2:$H$1795,$N700),IF(J700&lt;=50,INDEX('Tabela Passaro'!$I$2:$I$1795,$N700),IF(J700&lt;=70,INDEX('Tabela Passaro'!$J$2:$J$1795,$N700),IF(J700&lt;=100,INDEX('Tabela Passaro'!$K$2:$K$1795,$N700),INDEX('Tabela Passaro'!$K$2:$K$1795,$N700)+(J700-100)*INDEX('Tabela Passaro'!$L$2:$L$1795,$N700))))))</f>
        <v>130.85</v>
      </c>
      <c r="S700" s="32" t="n">
        <f aca="false">K700*INDEX('Tabela Passaro'!$M$2:$M$1795,$N700)</f>
        <v>1.5872</v>
      </c>
      <c r="T700" s="32" t="n">
        <f aca="false">K700*INDEX('Tabela Passaro'!$N$2:$N$1795,$N700)</f>
        <v>0.63488</v>
      </c>
      <c r="U700" s="32" t="n">
        <f aca="false">INDEX('Tabela Passaro'!$O$2:$O$1795,$N700)</f>
        <v>5</v>
      </c>
      <c r="V700" s="32" t="n">
        <f aca="false">ROUNDUP(J700/INDEX('Tabela Passaro'!$Q$2:$Q$1795,$N700),0)*INDEX('Tabela Passaro'!$P$2:$P$1795,$N700)</f>
        <v>5</v>
      </c>
      <c r="W700" s="32" t="n">
        <f aca="false">INDEX('Tabela Passaro'!$R$2:$R$1795,$N700)</f>
        <v>30</v>
      </c>
      <c r="X700" s="32" t="n">
        <f aca="false">ROUNDUP(J700/INDEX('Tabela Passaro'!$T$2:$T$1795,$N700),0)*INDEX('Tabela Passaro'!$S$2:$S$1795,$N700)</f>
        <v>0</v>
      </c>
      <c r="Y700" s="32" t="n">
        <f aca="false">INDEX('Tabela Passaro'!$U$2:$U$1795,$N700)</f>
        <v>0</v>
      </c>
      <c r="Z700" s="32" t="n">
        <f aca="false">INDEX('Tabela Passaro'!$V$2:$V$1795,$N700)</f>
        <v>0</v>
      </c>
      <c r="AA700" s="32" t="n">
        <f aca="false">SUM(R700:Z700)</f>
        <v>173.07208</v>
      </c>
      <c r="AB700" s="33" t="n">
        <f aca="false">INDEX(Premissas!$B$5:$B$13,MATCH(A700,Premissas!$A$5:$A$13,0))</f>
        <v>0.07</v>
      </c>
      <c r="AC700" s="32" t="n">
        <f aca="false">AA700/(1-AB700)-AA700</f>
        <v>13.0269307526882</v>
      </c>
      <c r="AD700" s="32" t="n">
        <f aca="false">ROUND(AA700+AC700,2)</f>
        <v>186.1</v>
      </c>
      <c r="AE700" s="32" t="n">
        <f aca="false">AD700-L700</f>
        <v>118.51</v>
      </c>
      <c r="AF700" s="34" t="n">
        <f aca="false">IF(L700=0,0,AE700/L700)</f>
        <v>1.753365882527</v>
      </c>
      <c r="AG700" s="22" t="str">
        <f aca="false">IF(AD700&lt;L700,"PASSARO","ATUAL")</f>
        <v>ATUAL</v>
      </c>
      <c r="AH700" s="22" t="str">
        <f aca="false">IF(P700&lt;&gt;A700,"Faixa cadastrada como "&amp;P700&amp;" na tabela; preço aplicado pela UF do CEP","")</f>
        <v/>
      </c>
      <c r="AI700" s="26" t="n">
        <v>206.82</v>
      </c>
      <c r="AJ700" s="22" t="str">
        <f aca="false">INDEX('Tabela Passaro'!$X$2:$X$1795,$N700)</f>
        <v>CAPITAL</v>
      </c>
    </row>
    <row r="701" customFormat="false" ht="15" hidden="false" customHeight="false" outlineLevel="0" collapsed="false">
      <c r="A701" s="22" t="s">
        <v>17</v>
      </c>
      <c r="B701" s="22" t="n">
        <v>1</v>
      </c>
      <c r="C701" s="22" t="s">
        <v>95</v>
      </c>
      <c r="D701" s="22" t="s">
        <v>30</v>
      </c>
      <c r="E701" s="22" t="s">
        <v>20</v>
      </c>
      <c r="F701" s="22" t="n">
        <v>838397</v>
      </c>
      <c r="G701" s="30" t="n">
        <v>46244</v>
      </c>
      <c r="H701" s="22" t="n">
        <v>32449</v>
      </c>
      <c r="I701" s="22" t="s">
        <v>7971</v>
      </c>
      <c r="J701" s="31" t="n">
        <v>39</v>
      </c>
      <c r="K701" s="26" t="n">
        <v>588.96</v>
      </c>
      <c r="L701" s="26" t="n">
        <v>150.35</v>
      </c>
      <c r="M701" s="22" t="s">
        <v>2349</v>
      </c>
      <c r="N701" s="22" t="n">
        <f aca="false">MATCH(M701,'Tabela Passaro'!$A$2:$A$1795,0)</f>
        <v>522</v>
      </c>
      <c r="O701" s="22" t="str">
        <f aca="false">INDEX('Tabela Passaro'!$C$2:$C$1795,$N701)</f>
        <v>FORTALEZA</v>
      </c>
      <c r="P701" s="22" t="str">
        <f aca="false">INDEX('Tabela Passaro'!$B$2:$B$1795,$N701)</f>
        <v>CE</v>
      </c>
      <c r="Q701" s="22" t="n">
        <f aca="false">INDEX('Tabela Passaro'!$F$2:$F$1795,$N701)</f>
        <v>8</v>
      </c>
      <c r="R701" s="32" t="n">
        <f aca="false">IF(J701&lt;=10,INDEX('Tabela Passaro'!$G$2:$G$1795,$N701),IF(J701&lt;=30,INDEX('Tabela Passaro'!$H$2:$H$1795,$N701),IF(J701&lt;=50,INDEX('Tabela Passaro'!$I$2:$I$1795,$N701),IF(J701&lt;=70,INDEX('Tabela Passaro'!$J$2:$J$1795,$N701),IF(J701&lt;=100,INDEX('Tabela Passaro'!$K$2:$K$1795,$N701),INDEX('Tabela Passaro'!$K$2:$K$1795,$N701)+(J701-100)*INDEX('Tabela Passaro'!$L$2:$L$1795,$N701))))))</f>
        <v>152.98</v>
      </c>
      <c r="S701" s="32" t="n">
        <f aca="false">K701*INDEX('Tabela Passaro'!$M$2:$M$1795,$N701)</f>
        <v>2.9448</v>
      </c>
      <c r="T701" s="32" t="n">
        <f aca="false">K701*INDEX('Tabela Passaro'!$N$2:$N$1795,$N701)</f>
        <v>1.17792</v>
      </c>
      <c r="U701" s="32" t="n">
        <f aca="false">INDEX('Tabela Passaro'!$O$2:$O$1795,$N701)</f>
        <v>5</v>
      </c>
      <c r="V701" s="32" t="n">
        <f aca="false">ROUNDUP(J701/INDEX('Tabela Passaro'!$Q$2:$Q$1795,$N701),0)*INDEX('Tabela Passaro'!$P$2:$P$1795,$N701)</f>
        <v>5</v>
      </c>
      <c r="W701" s="32" t="n">
        <f aca="false">INDEX('Tabela Passaro'!$R$2:$R$1795,$N701)</f>
        <v>30</v>
      </c>
      <c r="X701" s="32" t="n">
        <f aca="false">ROUNDUP(J701/INDEX('Tabela Passaro'!$T$2:$T$1795,$N701),0)*INDEX('Tabela Passaro'!$S$2:$S$1795,$N701)</f>
        <v>0</v>
      </c>
      <c r="Y701" s="32" t="n">
        <f aca="false">INDEX('Tabela Passaro'!$U$2:$U$1795,$N701)</f>
        <v>0</v>
      </c>
      <c r="Z701" s="32" t="n">
        <f aca="false">INDEX('Tabela Passaro'!$V$2:$V$1795,$N701)</f>
        <v>0</v>
      </c>
      <c r="AA701" s="32" t="n">
        <f aca="false">SUM(R701:Z701)</f>
        <v>197.10272</v>
      </c>
      <c r="AB701" s="33" t="n">
        <f aca="false">INDEX(Premissas!$B$5:$B$13,MATCH(A701,Premissas!$A$5:$A$13,0))</f>
        <v>0.07</v>
      </c>
      <c r="AC701" s="32" t="n">
        <f aca="false">AA701/(1-AB701)-AA701</f>
        <v>14.8356886021506</v>
      </c>
      <c r="AD701" s="32" t="n">
        <f aca="false">ROUND(AA701+AC701,2)</f>
        <v>211.94</v>
      </c>
      <c r="AE701" s="32" t="n">
        <f aca="false">AD701-L701</f>
        <v>61.59</v>
      </c>
      <c r="AF701" s="34" t="n">
        <f aca="false">IF(L701=0,0,AE701/L701)</f>
        <v>0.409644163618224</v>
      </c>
      <c r="AG701" s="22" t="str">
        <f aca="false">IF(AD701&lt;L701,"PASSARO","ATUAL")</f>
        <v>ATUAL</v>
      </c>
      <c r="AH701" s="22" t="str">
        <f aca="false">IF(P701&lt;&gt;A701,"Faixa cadastrada como "&amp;P701&amp;" na tabela; preço aplicado pela UF do CEP","")</f>
        <v/>
      </c>
      <c r="AI701" s="26" t="n">
        <v>246.11</v>
      </c>
      <c r="AJ701" s="22" t="str">
        <f aca="false">INDEX('Tabela Passaro'!$X$2:$X$1795,$N701)</f>
        <v>CAPITAL</v>
      </c>
    </row>
    <row r="702" customFormat="false" ht="15" hidden="false" customHeight="false" outlineLevel="0" collapsed="false">
      <c r="A702" s="22" t="s">
        <v>17</v>
      </c>
      <c r="B702" s="22" t="n">
        <v>1</v>
      </c>
      <c r="C702" s="22" t="s">
        <v>95</v>
      </c>
      <c r="D702" s="22" t="s">
        <v>30</v>
      </c>
      <c r="E702" s="22" t="s">
        <v>20</v>
      </c>
      <c r="F702" s="22" t="n">
        <v>838405</v>
      </c>
      <c r="G702" s="30" t="n">
        <v>46244</v>
      </c>
      <c r="H702" s="22" t="n">
        <v>32457</v>
      </c>
      <c r="I702" s="22" t="s">
        <v>7972</v>
      </c>
      <c r="J702" s="31" t="n">
        <v>20.9</v>
      </c>
      <c r="K702" s="26" t="n">
        <v>514.38</v>
      </c>
      <c r="L702" s="26" t="n">
        <v>114.92</v>
      </c>
      <c r="M702" s="22" t="s">
        <v>2349</v>
      </c>
      <c r="N702" s="22" t="n">
        <f aca="false">MATCH(M702,'Tabela Passaro'!$A$2:$A$1795,0)</f>
        <v>522</v>
      </c>
      <c r="O702" s="22" t="str">
        <f aca="false">INDEX('Tabela Passaro'!$C$2:$C$1795,$N702)</f>
        <v>FORTALEZA</v>
      </c>
      <c r="P702" s="22" t="str">
        <f aca="false">INDEX('Tabela Passaro'!$B$2:$B$1795,$N702)</f>
        <v>CE</v>
      </c>
      <c r="Q702" s="22" t="n">
        <f aca="false">INDEX('Tabela Passaro'!$F$2:$F$1795,$N702)</f>
        <v>8</v>
      </c>
      <c r="R702" s="32" t="n">
        <f aca="false">IF(J702&lt;=10,INDEX('Tabela Passaro'!$G$2:$G$1795,$N702),IF(J702&lt;=30,INDEX('Tabela Passaro'!$H$2:$H$1795,$N702),IF(J702&lt;=50,INDEX('Tabela Passaro'!$I$2:$I$1795,$N702),IF(J702&lt;=70,INDEX('Tabela Passaro'!$J$2:$J$1795,$N702),IF(J702&lt;=100,INDEX('Tabela Passaro'!$K$2:$K$1795,$N702),INDEX('Tabela Passaro'!$K$2:$K$1795,$N702)+(J702-100)*INDEX('Tabela Passaro'!$L$2:$L$1795,$N702))))))</f>
        <v>130.85</v>
      </c>
      <c r="S702" s="32" t="n">
        <f aca="false">K702*INDEX('Tabela Passaro'!$M$2:$M$1795,$N702)</f>
        <v>2.5719</v>
      </c>
      <c r="T702" s="32" t="n">
        <f aca="false">K702*INDEX('Tabela Passaro'!$N$2:$N$1795,$N702)</f>
        <v>1.02876</v>
      </c>
      <c r="U702" s="32" t="n">
        <f aca="false">INDEX('Tabela Passaro'!$O$2:$O$1795,$N702)</f>
        <v>5</v>
      </c>
      <c r="V702" s="32" t="n">
        <f aca="false">ROUNDUP(J702/INDEX('Tabela Passaro'!$Q$2:$Q$1795,$N702),0)*INDEX('Tabela Passaro'!$P$2:$P$1795,$N702)</f>
        <v>5</v>
      </c>
      <c r="W702" s="32" t="n">
        <f aca="false">INDEX('Tabela Passaro'!$R$2:$R$1795,$N702)</f>
        <v>30</v>
      </c>
      <c r="X702" s="32" t="n">
        <f aca="false">ROUNDUP(J702/INDEX('Tabela Passaro'!$T$2:$T$1795,$N702),0)*INDEX('Tabela Passaro'!$S$2:$S$1795,$N702)</f>
        <v>0</v>
      </c>
      <c r="Y702" s="32" t="n">
        <f aca="false">INDEX('Tabela Passaro'!$U$2:$U$1795,$N702)</f>
        <v>0</v>
      </c>
      <c r="Z702" s="32" t="n">
        <f aca="false">INDEX('Tabela Passaro'!$V$2:$V$1795,$N702)</f>
        <v>0</v>
      </c>
      <c r="AA702" s="32" t="n">
        <f aca="false">SUM(R702:Z702)</f>
        <v>174.45066</v>
      </c>
      <c r="AB702" s="33" t="n">
        <f aca="false">INDEX(Premissas!$B$5:$B$13,MATCH(A702,Premissas!$A$5:$A$13,0))</f>
        <v>0.07</v>
      </c>
      <c r="AC702" s="32" t="n">
        <f aca="false">AA702/(1-AB702)-AA702</f>
        <v>13.1306948387097</v>
      </c>
      <c r="AD702" s="32" t="n">
        <f aca="false">ROUND(AA702+AC702,2)</f>
        <v>187.58</v>
      </c>
      <c r="AE702" s="32" t="n">
        <f aca="false">AD702-L702</f>
        <v>72.66</v>
      </c>
      <c r="AF702" s="34" t="n">
        <f aca="false">IF(L702=0,0,AE702/L702)</f>
        <v>0.632265924121128</v>
      </c>
      <c r="AG702" s="22" t="str">
        <f aca="false">IF(AD702&lt;L702,"PASSARO","ATUAL")</f>
        <v>ATUAL</v>
      </c>
      <c r="AH702" s="22" t="str">
        <f aca="false">IF(P702&lt;&gt;A702,"Faixa cadastrada como "&amp;P702&amp;" na tabela; preço aplicado pela UF do CEP","")</f>
        <v/>
      </c>
      <c r="AI702" s="26" t="n">
        <v>211.63</v>
      </c>
      <c r="AJ702" s="22" t="str">
        <f aca="false">INDEX('Tabela Passaro'!$X$2:$X$1795,$N702)</f>
        <v>CAPITAL</v>
      </c>
    </row>
    <row r="703" customFormat="false" ht="15" hidden="false" customHeight="false" outlineLevel="0" collapsed="false">
      <c r="A703" s="22" t="s">
        <v>17</v>
      </c>
      <c r="B703" s="22" t="n">
        <v>1</v>
      </c>
      <c r="C703" s="22" t="s">
        <v>95</v>
      </c>
      <c r="D703" s="22" t="s">
        <v>30</v>
      </c>
      <c r="E703" s="22" t="s">
        <v>20</v>
      </c>
      <c r="F703" s="22" t="n">
        <v>838412</v>
      </c>
      <c r="G703" s="30" t="n">
        <v>46244</v>
      </c>
      <c r="H703" s="22" t="n">
        <v>32458</v>
      </c>
      <c r="I703" s="22" t="s">
        <v>7973</v>
      </c>
      <c r="J703" s="31" t="n">
        <v>32.9</v>
      </c>
      <c r="K703" s="26" t="n">
        <v>473.36</v>
      </c>
      <c r="L703" s="26" t="n">
        <v>149.32</v>
      </c>
      <c r="M703" s="22" t="s">
        <v>2349</v>
      </c>
      <c r="N703" s="22" t="n">
        <f aca="false">MATCH(M703,'Tabela Passaro'!$A$2:$A$1795,0)</f>
        <v>522</v>
      </c>
      <c r="O703" s="22" t="str">
        <f aca="false">INDEX('Tabela Passaro'!$C$2:$C$1795,$N703)</f>
        <v>FORTALEZA</v>
      </c>
      <c r="P703" s="22" t="str">
        <f aca="false">INDEX('Tabela Passaro'!$B$2:$B$1795,$N703)</f>
        <v>CE</v>
      </c>
      <c r="Q703" s="22" t="n">
        <f aca="false">INDEX('Tabela Passaro'!$F$2:$F$1795,$N703)</f>
        <v>8</v>
      </c>
      <c r="R703" s="32" t="n">
        <f aca="false">IF(J703&lt;=10,INDEX('Tabela Passaro'!$G$2:$G$1795,$N703),IF(J703&lt;=30,INDEX('Tabela Passaro'!$H$2:$H$1795,$N703),IF(J703&lt;=50,INDEX('Tabela Passaro'!$I$2:$I$1795,$N703),IF(J703&lt;=70,INDEX('Tabela Passaro'!$J$2:$J$1795,$N703),IF(J703&lt;=100,INDEX('Tabela Passaro'!$K$2:$K$1795,$N703),INDEX('Tabela Passaro'!$K$2:$K$1795,$N703)+(J703-100)*INDEX('Tabela Passaro'!$L$2:$L$1795,$N703))))))</f>
        <v>152.98</v>
      </c>
      <c r="S703" s="32" t="n">
        <f aca="false">K703*INDEX('Tabela Passaro'!$M$2:$M$1795,$N703)</f>
        <v>2.3668</v>
      </c>
      <c r="T703" s="32" t="n">
        <f aca="false">K703*INDEX('Tabela Passaro'!$N$2:$N$1795,$N703)</f>
        <v>0.94672</v>
      </c>
      <c r="U703" s="32" t="n">
        <f aca="false">INDEX('Tabela Passaro'!$O$2:$O$1795,$N703)</f>
        <v>5</v>
      </c>
      <c r="V703" s="32" t="n">
        <f aca="false">ROUNDUP(J703/INDEX('Tabela Passaro'!$Q$2:$Q$1795,$N703),0)*INDEX('Tabela Passaro'!$P$2:$P$1795,$N703)</f>
        <v>5</v>
      </c>
      <c r="W703" s="32" t="n">
        <f aca="false">INDEX('Tabela Passaro'!$R$2:$R$1795,$N703)</f>
        <v>30</v>
      </c>
      <c r="X703" s="32" t="n">
        <f aca="false">ROUNDUP(J703/INDEX('Tabela Passaro'!$T$2:$T$1795,$N703),0)*INDEX('Tabela Passaro'!$S$2:$S$1795,$N703)</f>
        <v>0</v>
      </c>
      <c r="Y703" s="32" t="n">
        <f aca="false">INDEX('Tabela Passaro'!$U$2:$U$1795,$N703)</f>
        <v>0</v>
      </c>
      <c r="Z703" s="32" t="n">
        <f aca="false">INDEX('Tabela Passaro'!$V$2:$V$1795,$N703)</f>
        <v>0</v>
      </c>
      <c r="AA703" s="32" t="n">
        <f aca="false">SUM(R703:Z703)</f>
        <v>196.29352</v>
      </c>
      <c r="AB703" s="33" t="n">
        <f aca="false">INDEX(Premissas!$B$5:$B$13,MATCH(A703,Premissas!$A$5:$A$13,0))</f>
        <v>0.07</v>
      </c>
      <c r="AC703" s="32" t="n">
        <f aca="false">AA703/(1-AB703)-AA703</f>
        <v>14.7747810752688</v>
      </c>
      <c r="AD703" s="32" t="n">
        <f aca="false">ROUND(AA703+AC703,2)</f>
        <v>211.07</v>
      </c>
      <c r="AE703" s="32" t="n">
        <f aca="false">AD703-L703</f>
        <v>61.75</v>
      </c>
      <c r="AF703" s="34" t="n">
        <f aca="false">IF(L703=0,0,AE703/L703)</f>
        <v>0.413541387623895</v>
      </c>
      <c r="AG703" s="22" t="str">
        <f aca="false">IF(AD703&lt;L703,"PASSARO","ATUAL")</f>
        <v>ATUAL</v>
      </c>
      <c r="AH703" s="22" t="str">
        <f aca="false">IF(P703&lt;&gt;A703,"Faixa cadastrada como "&amp;P703&amp;" na tabela; preço aplicado pela UF do CEP","")</f>
        <v/>
      </c>
      <c r="AI703" s="26" t="n">
        <v>242.09</v>
      </c>
      <c r="AJ703" s="22" t="str">
        <f aca="false">INDEX('Tabela Passaro'!$X$2:$X$1795,$N703)</f>
        <v>CAPITAL</v>
      </c>
    </row>
    <row r="704" customFormat="false" ht="15" hidden="false" customHeight="false" outlineLevel="0" collapsed="false">
      <c r="A704" s="22" t="s">
        <v>17</v>
      </c>
      <c r="B704" s="22" t="n">
        <v>1</v>
      </c>
      <c r="C704" s="22" t="s">
        <v>95</v>
      </c>
      <c r="D704" s="22" t="s">
        <v>30</v>
      </c>
      <c r="E704" s="22" t="s">
        <v>20</v>
      </c>
      <c r="F704" s="22" t="n">
        <v>838407</v>
      </c>
      <c r="G704" s="30" t="n">
        <v>46244</v>
      </c>
      <c r="H704" s="22" t="n">
        <v>32459</v>
      </c>
      <c r="I704" s="22" t="s">
        <v>7974</v>
      </c>
      <c r="J704" s="31" t="n">
        <v>38.15</v>
      </c>
      <c r="K704" s="26" t="n">
        <v>534.98</v>
      </c>
      <c r="L704" s="26" t="n">
        <v>149.88</v>
      </c>
      <c r="M704" s="22" t="s">
        <v>2349</v>
      </c>
      <c r="N704" s="22" t="n">
        <f aca="false">MATCH(M704,'Tabela Passaro'!$A$2:$A$1795,0)</f>
        <v>522</v>
      </c>
      <c r="O704" s="22" t="str">
        <f aca="false">INDEX('Tabela Passaro'!$C$2:$C$1795,$N704)</f>
        <v>FORTALEZA</v>
      </c>
      <c r="P704" s="22" t="str">
        <f aca="false">INDEX('Tabela Passaro'!$B$2:$B$1795,$N704)</f>
        <v>CE</v>
      </c>
      <c r="Q704" s="22" t="n">
        <f aca="false">INDEX('Tabela Passaro'!$F$2:$F$1795,$N704)</f>
        <v>8</v>
      </c>
      <c r="R704" s="32" t="n">
        <f aca="false">IF(J704&lt;=10,INDEX('Tabela Passaro'!$G$2:$G$1795,$N704),IF(J704&lt;=30,INDEX('Tabela Passaro'!$H$2:$H$1795,$N704),IF(J704&lt;=50,INDEX('Tabela Passaro'!$I$2:$I$1795,$N704),IF(J704&lt;=70,INDEX('Tabela Passaro'!$J$2:$J$1795,$N704),IF(J704&lt;=100,INDEX('Tabela Passaro'!$K$2:$K$1795,$N704),INDEX('Tabela Passaro'!$K$2:$K$1795,$N704)+(J704-100)*INDEX('Tabela Passaro'!$L$2:$L$1795,$N704))))))</f>
        <v>152.98</v>
      </c>
      <c r="S704" s="32" t="n">
        <f aca="false">K704*INDEX('Tabela Passaro'!$M$2:$M$1795,$N704)</f>
        <v>2.6749</v>
      </c>
      <c r="T704" s="32" t="n">
        <f aca="false">K704*INDEX('Tabela Passaro'!$N$2:$N$1795,$N704)</f>
        <v>1.06996</v>
      </c>
      <c r="U704" s="32" t="n">
        <f aca="false">INDEX('Tabela Passaro'!$O$2:$O$1795,$N704)</f>
        <v>5</v>
      </c>
      <c r="V704" s="32" t="n">
        <f aca="false">ROUNDUP(J704/INDEX('Tabela Passaro'!$Q$2:$Q$1795,$N704),0)*INDEX('Tabela Passaro'!$P$2:$P$1795,$N704)</f>
        <v>5</v>
      </c>
      <c r="W704" s="32" t="n">
        <f aca="false">INDEX('Tabela Passaro'!$R$2:$R$1795,$N704)</f>
        <v>30</v>
      </c>
      <c r="X704" s="32" t="n">
        <f aca="false">ROUNDUP(J704/INDEX('Tabela Passaro'!$T$2:$T$1795,$N704),0)*INDEX('Tabela Passaro'!$S$2:$S$1795,$N704)</f>
        <v>0</v>
      </c>
      <c r="Y704" s="32" t="n">
        <f aca="false">INDEX('Tabela Passaro'!$U$2:$U$1795,$N704)</f>
        <v>0</v>
      </c>
      <c r="Z704" s="32" t="n">
        <f aca="false">INDEX('Tabela Passaro'!$V$2:$V$1795,$N704)</f>
        <v>0</v>
      </c>
      <c r="AA704" s="32" t="n">
        <f aca="false">SUM(R704:Z704)</f>
        <v>196.72486</v>
      </c>
      <c r="AB704" s="33" t="n">
        <f aca="false">INDEX(Premissas!$B$5:$B$13,MATCH(A704,Premissas!$A$5:$A$13,0))</f>
        <v>0.07</v>
      </c>
      <c r="AC704" s="32" t="n">
        <f aca="false">AA704/(1-AB704)-AA704</f>
        <v>14.8072475268817</v>
      </c>
      <c r="AD704" s="32" t="n">
        <f aca="false">ROUND(AA704+AC704,2)</f>
        <v>211.53</v>
      </c>
      <c r="AE704" s="32" t="n">
        <f aca="false">AD704-L704</f>
        <v>61.65</v>
      </c>
      <c r="AF704" s="34" t="n">
        <f aca="false">IF(L704=0,0,AE704/L704)</f>
        <v>0.411329063250601</v>
      </c>
      <c r="AG704" s="22" t="str">
        <f aca="false">IF(AD704&lt;L704,"PASSARO","ATUAL")</f>
        <v>ATUAL</v>
      </c>
      <c r="AH704" s="22" t="str">
        <f aca="false">IF(P704&lt;&gt;A704,"Faixa cadastrada como "&amp;P704&amp;" na tabela; preço aplicado pela UF do CEP","")</f>
        <v/>
      </c>
      <c r="AI704" s="26" t="n">
        <v>245.59</v>
      </c>
      <c r="AJ704" s="22" t="str">
        <f aca="false">INDEX('Tabela Passaro'!$X$2:$X$1795,$N704)</f>
        <v>CAPITAL</v>
      </c>
    </row>
    <row r="705" customFormat="false" ht="15" hidden="false" customHeight="false" outlineLevel="0" collapsed="false">
      <c r="A705" s="22" t="s">
        <v>17</v>
      </c>
      <c r="B705" s="22" t="n">
        <v>1</v>
      </c>
      <c r="C705" s="22" t="s">
        <v>95</v>
      </c>
      <c r="D705" s="22" t="s">
        <v>30</v>
      </c>
      <c r="E705" s="22" t="s">
        <v>20</v>
      </c>
      <c r="F705" s="22" t="n">
        <v>838426</v>
      </c>
      <c r="G705" s="30" t="n">
        <v>46244</v>
      </c>
      <c r="H705" s="22" t="n">
        <v>32472</v>
      </c>
      <c r="I705" s="22" t="s">
        <v>7975</v>
      </c>
      <c r="J705" s="31" t="n">
        <v>45.4</v>
      </c>
      <c r="K705" s="26" t="n">
        <v>673.99</v>
      </c>
      <c r="L705" s="26" t="n">
        <v>151.11</v>
      </c>
      <c r="M705" s="22" t="s">
        <v>2349</v>
      </c>
      <c r="N705" s="22" t="n">
        <f aca="false">MATCH(M705,'Tabela Passaro'!$A$2:$A$1795,0)</f>
        <v>522</v>
      </c>
      <c r="O705" s="22" t="str">
        <f aca="false">INDEX('Tabela Passaro'!$C$2:$C$1795,$N705)</f>
        <v>FORTALEZA</v>
      </c>
      <c r="P705" s="22" t="str">
        <f aca="false">INDEX('Tabela Passaro'!$B$2:$B$1795,$N705)</f>
        <v>CE</v>
      </c>
      <c r="Q705" s="22" t="n">
        <f aca="false">INDEX('Tabela Passaro'!$F$2:$F$1795,$N705)</f>
        <v>8</v>
      </c>
      <c r="R705" s="32" t="n">
        <f aca="false">IF(J705&lt;=10,INDEX('Tabela Passaro'!$G$2:$G$1795,$N705),IF(J705&lt;=30,INDEX('Tabela Passaro'!$H$2:$H$1795,$N705),IF(J705&lt;=50,INDEX('Tabela Passaro'!$I$2:$I$1795,$N705),IF(J705&lt;=70,INDEX('Tabela Passaro'!$J$2:$J$1795,$N705),IF(J705&lt;=100,INDEX('Tabela Passaro'!$K$2:$K$1795,$N705),INDEX('Tabela Passaro'!$K$2:$K$1795,$N705)+(J705-100)*INDEX('Tabela Passaro'!$L$2:$L$1795,$N705))))))</f>
        <v>152.98</v>
      </c>
      <c r="S705" s="32" t="n">
        <f aca="false">K705*INDEX('Tabela Passaro'!$M$2:$M$1795,$N705)</f>
        <v>3.36995</v>
      </c>
      <c r="T705" s="32" t="n">
        <f aca="false">K705*INDEX('Tabela Passaro'!$N$2:$N$1795,$N705)</f>
        <v>1.34798</v>
      </c>
      <c r="U705" s="32" t="n">
        <f aca="false">INDEX('Tabela Passaro'!$O$2:$O$1795,$N705)</f>
        <v>5</v>
      </c>
      <c r="V705" s="32" t="n">
        <f aca="false">ROUNDUP(J705/INDEX('Tabela Passaro'!$Q$2:$Q$1795,$N705),0)*INDEX('Tabela Passaro'!$P$2:$P$1795,$N705)</f>
        <v>5</v>
      </c>
      <c r="W705" s="32" t="n">
        <f aca="false">INDEX('Tabela Passaro'!$R$2:$R$1795,$N705)</f>
        <v>30</v>
      </c>
      <c r="X705" s="32" t="n">
        <f aca="false">ROUNDUP(J705/INDEX('Tabela Passaro'!$T$2:$T$1795,$N705),0)*INDEX('Tabela Passaro'!$S$2:$S$1795,$N705)</f>
        <v>0</v>
      </c>
      <c r="Y705" s="32" t="n">
        <f aca="false">INDEX('Tabela Passaro'!$U$2:$U$1795,$N705)</f>
        <v>0</v>
      </c>
      <c r="Z705" s="32" t="n">
        <f aca="false">INDEX('Tabela Passaro'!$V$2:$V$1795,$N705)</f>
        <v>0</v>
      </c>
      <c r="AA705" s="32" t="n">
        <f aca="false">SUM(R705:Z705)</f>
        <v>197.69793</v>
      </c>
      <c r="AB705" s="33" t="n">
        <f aca="false">INDEX(Premissas!$B$5:$B$13,MATCH(A705,Premissas!$A$5:$A$13,0))</f>
        <v>0.07</v>
      </c>
      <c r="AC705" s="32" t="n">
        <f aca="false">AA705/(1-AB705)-AA705</f>
        <v>14.8804893548387</v>
      </c>
      <c r="AD705" s="32" t="n">
        <f aca="false">ROUND(AA705+AC705,2)</f>
        <v>212.58</v>
      </c>
      <c r="AE705" s="32" t="n">
        <f aca="false">AD705-L705</f>
        <v>61.47</v>
      </c>
      <c r="AF705" s="34" t="n">
        <f aca="false">IF(L705=0,0,AE705/L705)</f>
        <v>0.406789755807028</v>
      </c>
      <c r="AG705" s="22" t="str">
        <f aca="false">IF(AD705&lt;L705,"PASSARO","ATUAL")</f>
        <v>ATUAL</v>
      </c>
      <c r="AH705" s="22" t="str">
        <f aca="false">IF(P705&lt;&gt;A705,"Faixa cadastrada como "&amp;P705&amp;" na tabela; preço aplicado pela UF do CEP","")</f>
        <v/>
      </c>
      <c r="AI705" s="26" t="n">
        <v>250.32</v>
      </c>
      <c r="AJ705" s="22" t="str">
        <f aca="false">INDEX('Tabela Passaro'!$X$2:$X$1795,$N705)</f>
        <v>CAPITAL</v>
      </c>
    </row>
    <row r="706" customFormat="false" ht="15" hidden="false" customHeight="false" outlineLevel="0" collapsed="false">
      <c r="A706" s="22" t="s">
        <v>17</v>
      </c>
      <c r="B706" s="22" t="n">
        <v>1</v>
      </c>
      <c r="C706" s="22" t="s">
        <v>95</v>
      </c>
      <c r="D706" s="22" t="s">
        <v>30</v>
      </c>
      <c r="E706" s="22" t="s">
        <v>20</v>
      </c>
      <c r="F706" s="22" t="n">
        <v>838421</v>
      </c>
      <c r="G706" s="30" t="n">
        <v>46244</v>
      </c>
      <c r="H706" s="22" t="n">
        <v>32473</v>
      </c>
      <c r="I706" s="22" t="s">
        <v>7976</v>
      </c>
      <c r="J706" s="31" t="n">
        <v>37.6</v>
      </c>
      <c r="K706" s="26" t="n">
        <v>541.83</v>
      </c>
      <c r="L706" s="26" t="n">
        <v>149.93</v>
      </c>
      <c r="M706" s="22" t="s">
        <v>2349</v>
      </c>
      <c r="N706" s="22" t="n">
        <f aca="false">MATCH(M706,'Tabela Passaro'!$A$2:$A$1795,0)</f>
        <v>522</v>
      </c>
      <c r="O706" s="22" t="str">
        <f aca="false">INDEX('Tabela Passaro'!$C$2:$C$1795,$N706)</f>
        <v>FORTALEZA</v>
      </c>
      <c r="P706" s="22" t="str">
        <f aca="false">INDEX('Tabela Passaro'!$B$2:$B$1795,$N706)</f>
        <v>CE</v>
      </c>
      <c r="Q706" s="22" t="n">
        <f aca="false">INDEX('Tabela Passaro'!$F$2:$F$1795,$N706)</f>
        <v>8</v>
      </c>
      <c r="R706" s="32" t="n">
        <f aca="false">IF(J706&lt;=10,INDEX('Tabela Passaro'!$G$2:$G$1795,$N706),IF(J706&lt;=30,INDEX('Tabela Passaro'!$H$2:$H$1795,$N706),IF(J706&lt;=50,INDEX('Tabela Passaro'!$I$2:$I$1795,$N706),IF(J706&lt;=70,INDEX('Tabela Passaro'!$J$2:$J$1795,$N706),IF(J706&lt;=100,INDEX('Tabela Passaro'!$K$2:$K$1795,$N706),INDEX('Tabela Passaro'!$K$2:$K$1795,$N706)+(J706-100)*INDEX('Tabela Passaro'!$L$2:$L$1795,$N706))))))</f>
        <v>152.98</v>
      </c>
      <c r="S706" s="32" t="n">
        <f aca="false">K706*INDEX('Tabela Passaro'!$M$2:$M$1795,$N706)</f>
        <v>2.70915</v>
      </c>
      <c r="T706" s="32" t="n">
        <f aca="false">K706*INDEX('Tabela Passaro'!$N$2:$N$1795,$N706)</f>
        <v>1.08366</v>
      </c>
      <c r="U706" s="32" t="n">
        <f aca="false">INDEX('Tabela Passaro'!$O$2:$O$1795,$N706)</f>
        <v>5</v>
      </c>
      <c r="V706" s="32" t="n">
        <f aca="false">ROUNDUP(J706/INDEX('Tabela Passaro'!$Q$2:$Q$1795,$N706),0)*INDEX('Tabela Passaro'!$P$2:$P$1795,$N706)</f>
        <v>5</v>
      </c>
      <c r="W706" s="32" t="n">
        <f aca="false">INDEX('Tabela Passaro'!$R$2:$R$1795,$N706)</f>
        <v>30</v>
      </c>
      <c r="X706" s="32" t="n">
        <f aca="false">ROUNDUP(J706/INDEX('Tabela Passaro'!$T$2:$T$1795,$N706),0)*INDEX('Tabela Passaro'!$S$2:$S$1795,$N706)</f>
        <v>0</v>
      </c>
      <c r="Y706" s="32" t="n">
        <f aca="false">INDEX('Tabela Passaro'!$U$2:$U$1795,$N706)</f>
        <v>0</v>
      </c>
      <c r="Z706" s="32" t="n">
        <f aca="false">INDEX('Tabela Passaro'!$V$2:$V$1795,$N706)</f>
        <v>0</v>
      </c>
      <c r="AA706" s="32" t="n">
        <f aca="false">SUM(R706:Z706)</f>
        <v>196.77281</v>
      </c>
      <c r="AB706" s="33" t="n">
        <f aca="false">INDEX(Premissas!$B$5:$B$13,MATCH(A706,Premissas!$A$5:$A$13,0))</f>
        <v>0.07</v>
      </c>
      <c r="AC706" s="32" t="n">
        <f aca="false">AA706/(1-AB706)-AA706</f>
        <v>14.8108566666667</v>
      </c>
      <c r="AD706" s="32" t="n">
        <f aca="false">ROUND(AA706+AC706,2)</f>
        <v>211.58</v>
      </c>
      <c r="AE706" s="32" t="n">
        <f aca="false">AD706-L706</f>
        <v>61.65</v>
      </c>
      <c r="AF706" s="34" t="n">
        <f aca="false">IF(L706=0,0,AE706/L706)</f>
        <v>0.411191889548456</v>
      </c>
      <c r="AG706" s="22" t="str">
        <f aca="false">IF(AD706&lt;L706,"PASSARO","ATUAL")</f>
        <v>ATUAL</v>
      </c>
      <c r="AH706" s="22" t="str">
        <f aca="false">IF(P706&lt;&gt;A706,"Faixa cadastrada como "&amp;P706&amp;" na tabela; preço aplicado pela UF do CEP","")</f>
        <v/>
      </c>
      <c r="AI706" s="26" t="n">
        <v>245.17</v>
      </c>
      <c r="AJ706" s="22" t="str">
        <f aca="false">INDEX('Tabela Passaro'!$X$2:$X$1795,$N706)</f>
        <v>CAPITAL</v>
      </c>
    </row>
    <row r="707" customFormat="false" ht="15" hidden="false" customHeight="false" outlineLevel="0" collapsed="false">
      <c r="A707" s="22" t="s">
        <v>17</v>
      </c>
      <c r="B707" s="22" t="n">
        <v>1</v>
      </c>
      <c r="C707" s="22" t="s">
        <v>95</v>
      </c>
      <c r="D707" s="22" t="s">
        <v>30</v>
      </c>
      <c r="E707" s="22" t="s">
        <v>20</v>
      </c>
      <c r="F707" s="22" t="n">
        <v>838425</v>
      </c>
      <c r="G707" s="30" t="n">
        <v>46244</v>
      </c>
      <c r="H707" s="22" t="n">
        <v>32477</v>
      </c>
      <c r="I707" s="22" t="s">
        <v>7977</v>
      </c>
      <c r="J707" s="31" t="n">
        <v>21.4</v>
      </c>
      <c r="K707" s="26" t="n">
        <v>460.59</v>
      </c>
      <c r="L707" s="26" t="n">
        <v>114.43</v>
      </c>
      <c r="M707" s="22" t="s">
        <v>2349</v>
      </c>
      <c r="N707" s="22" t="n">
        <f aca="false">MATCH(M707,'Tabela Passaro'!$A$2:$A$1795,0)</f>
        <v>522</v>
      </c>
      <c r="O707" s="22" t="str">
        <f aca="false">INDEX('Tabela Passaro'!$C$2:$C$1795,$N707)</f>
        <v>FORTALEZA</v>
      </c>
      <c r="P707" s="22" t="str">
        <f aca="false">INDEX('Tabela Passaro'!$B$2:$B$1795,$N707)</f>
        <v>CE</v>
      </c>
      <c r="Q707" s="22" t="n">
        <f aca="false">INDEX('Tabela Passaro'!$F$2:$F$1795,$N707)</f>
        <v>8</v>
      </c>
      <c r="R707" s="32" t="n">
        <f aca="false">IF(J707&lt;=10,INDEX('Tabela Passaro'!$G$2:$G$1795,$N707),IF(J707&lt;=30,INDEX('Tabela Passaro'!$H$2:$H$1795,$N707),IF(J707&lt;=50,INDEX('Tabela Passaro'!$I$2:$I$1795,$N707),IF(J707&lt;=70,INDEX('Tabela Passaro'!$J$2:$J$1795,$N707),IF(J707&lt;=100,INDEX('Tabela Passaro'!$K$2:$K$1795,$N707),INDEX('Tabela Passaro'!$K$2:$K$1795,$N707)+(J707-100)*INDEX('Tabela Passaro'!$L$2:$L$1795,$N707))))))</f>
        <v>130.85</v>
      </c>
      <c r="S707" s="32" t="n">
        <f aca="false">K707*INDEX('Tabela Passaro'!$M$2:$M$1795,$N707)</f>
        <v>2.30295</v>
      </c>
      <c r="T707" s="32" t="n">
        <f aca="false">K707*INDEX('Tabela Passaro'!$N$2:$N$1795,$N707)</f>
        <v>0.92118</v>
      </c>
      <c r="U707" s="32" t="n">
        <f aca="false">INDEX('Tabela Passaro'!$O$2:$O$1795,$N707)</f>
        <v>5</v>
      </c>
      <c r="V707" s="32" t="n">
        <f aca="false">ROUNDUP(J707/INDEX('Tabela Passaro'!$Q$2:$Q$1795,$N707),0)*INDEX('Tabela Passaro'!$P$2:$P$1795,$N707)</f>
        <v>5</v>
      </c>
      <c r="W707" s="32" t="n">
        <f aca="false">INDEX('Tabela Passaro'!$R$2:$R$1795,$N707)</f>
        <v>30</v>
      </c>
      <c r="X707" s="32" t="n">
        <f aca="false">ROUNDUP(J707/INDEX('Tabela Passaro'!$T$2:$T$1795,$N707),0)*INDEX('Tabela Passaro'!$S$2:$S$1795,$N707)</f>
        <v>0</v>
      </c>
      <c r="Y707" s="32" t="n">
        <f aca="false">INDEX('Tabela Passaro'!$U$2:$U$1795,$N707)</f>
        <v>0</v>
      </c>
      <c r="Z707" s="32" t="n">
        <f aca="false">INDEX('Tabela Passaro'!$V$2:$V$1795,$N707)</f>
        <v>0</v>
      </c>
      <c r="AA707" s="32" t="n">
        <f aca="false">SUM(R707:Z707)</f>
        <v>174.07413</v>
      </c>
      <c r="AB707" s="33" t="n">
        <f aca="false">INDEX(Premissas!$B$5:$B$13,MATCH(A707,Premissas!$A$5:$A$13,0))</f>
        <v>0.07</v>
      </c>
      <c r="AC707" s="32" t="n">
        <f aca="false">AA707/(1-AB707)-AA707</f>
        <v>13.1023538709678</v>
      </c>
      <c r="AD707" s="32" t="n">
        <f aca="false">ROUND(AA707+AC707,2)</f>
        <v>187.18</v>
      </c>
      <c r="AE707" s="32" t="n">
        <f aca="false">AD707-L707</f>
        <v>72.75</v>
      </c>
      <c r="AF707" s="34" t="n">
        <f aca="false">IF(L707=0,0,AE707/L707)</f>
        <v>0.635759853185353</v>
      </c>
      <c r="AG707" s="22" t="str">
        <f aca="false">IF(AD707&lt;L707,"PASSARO","ATUAL")</f>
        <v>ATUAL</v>
      </c>
      <c r="AH707" s="22" t="str">
        <f aca="false">IF(P707&lt;&gt;A707,"Faixa cadastrada como "&amp;P707&amp;" na tabela; preço aplicado pela UF do CEP","")</f>
        <v/>
      </c>
      <c r="AI707" s="26" t="n">
        <v>211.6</v>
      </c>
      <c r="AJ707" s="22" t="str">
        <f aca="false">INDEX('Tabela Passaro'!$X$2:$X$1795,$N707)</f>
        <v>CAPITAL</v>
      </c>
    </row>
    <row r="708" customFormat="false" ht="15" hidden="false" customHeight="false" outlineLevel="0" collapsed="false">
      <c r="A708" s="22" t="s">
        <v>17</v>
      </c>
      <c r="B708" s="22" t="n">
        <v>1</v>
      </c>
      <c r="C708" s="22" t="s">
        <v>95</v>
      </c>
      <c r="D708" s="22" t="s">
        <v>30</v>
      </c>
      <c r="E708" s="22" t="s">
        <v>7328</v>
      </c>
      <c r="F708" s="22" t="n">
        <v>2309805</v>
      </c>
      <c r="G708" s="30" t="n">
        <v>46244</v>
      </c>
      <c r="H708" s="22" t="n">
        <v>131459</v>
      </c>
      <c r="I708" s="22" t="s">
        <v>7978</v>
      </c>
      <c r="J708" s="31" t="n">
        <v>49.6</v>
      </c>
      <c r="K708" s="26" t="n">
        <v>909.97</v>
      </c>
      <c r="L708" s="26" t="n">
        <v>166.5</v>
      </c>
      <c r="M708" s="22" t="s">
        <v>2349</v>
      </c>
      <c r="N708" s="22" t="n">
        <f aca="false">MATCH(M708,'Tabela Passaro'!$A$2:$A$1795,0)</f>
        <v>522</v>
      </c>
      <c r="O708" s="22" t="str">
        <f aca="false">INDEX('Tabela Passaro'!$C$2:$C$1795,$N708)</f>
        <v>FORTALEZA</v>
      </c>
      <c r="P708" s="22" t="str">
        <f aca="false">INDEX('Tabela Passaro'!$B$2:$B$1795,$N708)</f>
        <v>CE</v>
      </c>
      <c r="Q708" s="22" t="n">
        <f aca="false">INDEX('Tabela Passaro'!$F$2:$F$1795,$N708)</f>
        <v>8</v>
      </c>
      <c r="R708" s="32" t="n">
        <f aca="false">IF(J708&lt;=10,INDEX('Tabela Passaro'!$G$2:$G$1795,$N708),IF(J708&lt;=30,INDEX('Tabela Passaro'!$H$2:$H$1795,$N708),IF(J708&lt;=50,INDEX('Tabela Passaro'!$I$2:$I$1795,$N708),IF(J708&lt;=70,INDEX('Tabela Passaro'!$J$2:$J$1795,$N708),IF(J708&lt;=100,INDEX('Tabela Passaro'!$K$2:$K$1795,$N708),INDEX('Tabela Passaro'!$K$2:$K$1795,$N708)+(J708-100)*INDEX('Tabela Passaro'!$L$2:$L$1795,$N708))))))</f>
        <v>152.98</v>
      </c>
      <c r="S708" s="32" t="n">
        <f aca="false">K708*INDEX('Tabela Passaro'!$M$2:$M$1795,$N708)</f>
        <v>4.54985</v>
      </c>
      <c r="T708" s="32" t="n">
        <f aca="false">K708*INDEX('Tabela Passaro'!$N$2:$N$1795,$N708)</f>
        <v>1.81994</v>
      </c>
      <c r="U708" s="32" t="n">
        <f aca="false">INDEX('Tabela Passaro'!$O$2:$O$1795,$N708)</f>
        <v>5</v>
      </c>
      <c r="V708" s="32" t="n">
        <f aca="false">ROUNDUP(J708/INDEX('Tabela Passaro'!$Q$2:$Q$1795,$N708),0)*INDEX('Tabela Passaro'!$P$2:$P$1795,$N708)</f>
        <v>5</v>
      </c>
      <c r="W708" s="32" t="n">
        <f aca="false">INDEX('Tabela Passaro'!$R$2:$R$1795,$N708)</f>
        <v>30</v>
      </c>
      <c r="X708" s="32" t="n">
        <f aca="false">ROUNDUP(J708/INDEX('Tabela Passaro'!$T$2:$T$1795,$N708),0)*INDEX('Tabela Passaro'!$S$2:$S$1795,$N708)</f>
        <v>0</v>
      </c>
      <c r="Y708" s="32" t="n">
        <f aca="false">INDEX('Tabela Passaro'!$U$2:$U$1795,$N708)</f>
        <v>0</v>
      </c>
      <c r="Z708" s="32" t="n">
        <f aca="false">INDEX('Tabela Passaro'!$V$2:$V$1795,$N708)</f>
        <v>0</v>
      </c>
      <c r="AA708" s="32" t="n">
        <f aca="false">SUM(R708:Z708)</f>
        <v>199.34979</v>
      </c>
      <c r="AB708" s="33" t="n">
        <f aca="false">INDEX(Premissas!$B$5:$B$13,MATCH(A708,Premissas!$A$5:$A$13,0))</f>
        <v>0.07</v>
      </c>
      <c r="AC708" s="32" t="n">
        <f aca="false">AA708/(1-AB708)-AA708</f>
        <v>15.0048229032258</v>
      </c>
      <c r="AD708" s="32" t="n">
        <f aca="false">ROUND(AA708+AC708,2)</f>
        <v>214.35</v>
      </c>
      <c r="AE708" s="32" t="n">
        <f aca="false">AD708-L708</f>
        <v>47.85</v>
      </c>
      <c r="AF708" s="34" t="n">
        <f aca="false">IF(L708=0,0,AE708/L708)</f>
        <v>0.287387387387387</v>
      </c>
      <c r="AG708" s="22" t="str">
        <f aca="false">IF(AD708&lt;L708,"PASSARO","ATUAL")</f>
        <v>ATUAL</v>
      </c>
      <c r="AH708" s="22" t="str">
        <f aca="false">IF(P708&lt;&gt;A708,"Faixa cadastrada como "&amp;P708&amp;" na tabela; preço aplicado pela UF do CEP","")</f>
        <v/>
      </c>
      <c r="AI708" s="26" t="n">
        <v>254.54</v>
      </c>
      <c r="AJ708" s="22" t="str">
        <f aca="false">INDEX('Tabela Passaro'!$X$2:$X$1795,$N708)</f>
        <v>CAPITAL</v>
      </c>
    </row>
    <row r="709" customFormat="false" ht="15" hidden="false" customHeight="false" outlineLevel="0" collapsed="false">
      <c r="A709" s="22" t="s">
        <v>17</v>
      </c>
      <c r="B709" s="22" t="n">
        <v>1</v>
      </c>
      <c r="C709" s="22" t="s">
        <v>95</v>
      </c>
      <c r="D709" s="22" t="s">
        <v>30</v>
      </c>
      <c r="E709" s="22" t="s">
        <v>7328</v>
      </c>
      <c r="F709" s="22" t="n">
        <v>2309807</v>
      </c>
      <c r="G709" s="30" t="n">
        <v>46244</v>
      </c>
      <c r="H709" s="22" t="n">
        <v>132126</v>
      </c>
      <c r="I709" s="22" t="s">
        <v>7979</v>
      </c>
      <c r="J709" s="31" t="n">
        <v>32.7</v>
      </c>
      <c r="K709" s="26" t="n">
        <v>579.98</v>
      </c>
      <c r="L709" s="26" t="n">
        <v>163.89</v>
      </c>
      <c r="M709" s="22" t="s">
        <v>2349</v>
      </c>
      <c r="N709" s="22" t="n">
        <f aca="false">MATCH(M709,'Tabela Passaro'!$A$2:$A$1795,0)</f>
        <v>522</v>
      </c>
      <c r="O709" s="22" t="str">
        <f aca="false">INDEX('Tabela Passaro'!$C$2:$C$1795,$N709)</f>
        <v>FORTALEZA</v>
      </c>
      <c r="P709" s="22" t="str">
        <f aca="false">INDEX('Tabela Passaro'!$B$2:$B$1795,$N709)</f>
        <v>CE</v>
      </c>
      <c r="Q709" s="22" t="n">
        <f aca="false">INDEX('Tabela Passaro'!$F$2:$F$1795,$N709)</f>
        <v>8</v>
      </c>
      <c r="R709" s="32" t="n">
        <f aca="false">IF(J709&lt;=10,INDEX('Tabela Passaro'!$G$2:$G$1795,$N709),IF(J709&lt;=30,INDEX('Tabela Passaro'!$H$2:$H$1795,$N709),IF(J709&lt;=50,INDEX('Tabela Passaro'!$I$2:$I$1795,$N709),IF(J709&lt;=70,INDEX('Tabela Passaro'!$J$2:$J$1795,$N709),IF(J709&lt;=100,INDEX('Tabela Passaro'!$K$2:$K$1795,$N709),INDEX('Tabela Passaro'!$K$2:$K$1795,$N709)+(J709-100)*INDEX('Tabela Passaro'!$L$2:$L$1795,$N709))))))</f>
        <v>152.98</v>
      </c>
      <c r="S709" s="32" t="n">
        <f aca="false">K709*INDEX('Tabela Passaro'!$M$2:$M$1795,$N709)</f>
        <v>2.8999</v>
      </c>
      <c r="T709" s="32" t="n">
        <f aca="false">K709*INDEX('Tabela Passaro'!$N$2:$N$1795,$N709)</f>
        <v>1.15996</v>
      </c>
      <c r="U709" s="32" t="n">
        <f aca="false">INDEX('Tabela Passaro'!$O$2:$O$1795,$N709)</f>
        <v>5</v>
      </c>
      <c r="V709" s="32" t="n">
        <f aca="false">ROUNDUP(J709/INDEX('Tabela Passaro'!$Q$2:$Q$1795,$N709),0)*INDEX('Tabela Passaro'!$P$2:$P$1795,$N709)</f>
        <v>5</v>
      </c>
      <c r="W709" s="32" t="n">
        <f aca="false">INDEX('Tabela Passaro'!$R$2:$R$1795,$N709)</f>
        <v>30</v>
      </c>
      <c r="X709" s="32" t="n">
        <f aca="false">ROUNDUP(J709/INDEX('Tabela Passaro'!$T$2:$T$1795,$N709),0)*INDEX('Tabela Passaro'!$S$2:$S$1795,$N709)</f>
        <v>0</v>
      </c>
      <c r="Y709" s="32" t="n">
        <f aca="false">INDEX('Tabela Passaro'!$U$2:$U$1795,$N709)</f>
        <v>0</v>
      </c>
      <c r="Z709" s="32" t="n">
        <f aca="false">INDEX('Tabela Passaro'!$V$2:$V$1795,$N709)</f>
        <v>0</v>
      </c>
      <c r="AA709" s="32" t="n">
        <f aca="false">SUM(R709:Z709)</f>
        <v>197.03986</v>
      </c>
      <c r="AB709" s="33" t="n">
        <f aca="false">INDEX(Premissas!$B$5:$B$13,MATCH(A709,Premissas!$A$5:$A$13,0))</f>
        <v>0.07</v>
      </c>
      <c r="AC709" s="32" t="n">
        <f aca="false">AA709/(1-AB709)-AA709</f>
        <v>14.8309572043011</v>
      </c>
      <c r="AD709" s="32" t="n">
        <f aca="false">ROUND(AA709+AC709,2)</f>
        <v>211.87</v>
      </c>
      <c r="AE709" s="32" t="n">
        <f aca="false">AD709-L709</f>
        <v>47.98</v>
      </c>
      <c r="AF709" s="34" t="n">
        <f aca="false">IF(L709=0,0,AE709/L709)</f>
        <v>0.292757337238392</v>
      </c>
      <c r="AG709" s="22" t="str">
        <f aca="false">IF(AD709&lt;L709,"PASSARO","ATUAL")</f>
        <v>ATUAL</v>
      </c>
      <c r="AH709" s="22" t="str">
        <f aca="false">IF(P709&lt;&gt;A709,"Faixa cadastrada como "&amp;P709&amp;" na tabela; preço aplicado pela UF do CEP","")</f>
        <v/>
      </c>
      <c r="AI709" s="26" t="n">
        <v>243.12</v>
      </c>
      <c r="AJ709" s="22" t="str">
        <f aca="false">INDEX('Tabela Passaro'!$X$2:$X$1795,$N709)</f>
        <v>CAPITAL</v>
      </c>
    </row>
    <row r="710" customFormat="false" ht="15" hidden="false" customHeight="false" outlineLevel="0" collapsed="false">
      <c r="A710" s="22" t="s">
        <v>17</v>
      </c>
      <c r="B710" s="22" t="n">
        <v>1</v>
      </c>
      <c r="C710" s="22" t="s">
        <v>95</v>
      </c>
      <c r="D710" s="22" t="s">
        <v>30</v>
      </c>
      <c r="E710" s="22" t="s">
        <v>7328</v>
      </c>
      <c r="F710" s="22" t="n">
        <v>2309809</v>
      </c>
      <c r="G710" s="30" t="n">
        <v>46244</v>
      </c>
      <c r="H710" s="22" t="n">
        <v>132128</v>
      </c>
      <c r="I710" s="22" t="s">
        <v>7980</v>
      </c>
      <c r="J710" s="31" t="n">
        <v>49.6</v>
      </c>
      <c r="K710" s="26" t="n">
        <v>979.98</v>
      </c>
      <c r="L710" s="26" t="n">
        <v>167.06</v>
      </c>
      <c r="M710" s="22" t="s">
        <v>2349</v>
      </c>
      <c r="N710" s="22" t="n">
        <f aca="false">MATCH(M710,'Tabela Passaro'!$A$2:$A$1795,0)</f>
        <v>522</v>
      </c>
      <c r="O710" s="22" t="str">
        <f aca="false">INDEX('Tabela Passaro'!$C$2:$C$1795,$N710)</f>
        <v>FORTALEZA</v>
      </c>
      <c r="P710" s="22" t="str">
        <f aca="false">INDEX('Tabela Passaro'!$B$2:$B$1795,$N710)</f>
        <v>CE</v>
      </c>
      <c r="Q710" s="22" t="n">
        <f aca="false">INDEX('Tabela Passaro'!$F$2:$F$1795,$N710)</f>
        <v>8</v>
      </c>
      <c r="R710" s="32" t="n">
        <f aca="false">IF(J710&lt;=10,INDEX('Tabela Passaro'!$G$2:$G$1795,$N710),IF(J710&lt;=30,INDEX('Tabela Passaro'!$H$2:$H$1795,$N710),IF(J710&lt;=50,INDEX('Tabela Passaro'!$I$2:$I$1795,$N710),IF(J710&lt;=70,INDEX('Tabela Passaro'!$J$2:$J$1795,$N710),IF(J710&lt;=100,INDEX('Tabela Passaro'!$K$2:$K$1795,$N710),INDEX('Tabela Passaro'!$K$2:$K$1795,$N710)+(J710-100)*INDEX('Tabela Passaro'!$L$2:$L$1795,$N710))))))</f>
        <v>152.98</v>
      </c>
      <c r="S710" s="32" t="n">
        <f aca="false">K710*INDEX('Tabela Passaro'!$M$2:$M$1795,$N710)</f>
        <v>4.8999</v>
      </c>
      <c r="T710" s="32" t="n">
        <f aca="false">K710*INDEX('Tabela Passaro'!$N$2:$N$1795,$N710)</f>
        <v>1.95996</v>
      </c>
      <c r="U710" s="32" t="n">
        <f aca="false">INDEX('Tabela Passaro'!$O$2:$O$1795,$N710)</f>
        <v>5</v>
      </c>
      <c r="V710" s="32" t="n">
        <f aca="false">ROUNDUP(J710/INDEX('Tabela Passaro'!$Q$2:$Q$1795,$N710),0)*INDEX('Tabela Passaro'!$P$2:$P$1795,$N710)</f>
        <v>5</v>
      </c>
      <c r="W710" s="32" t="n">
        <f aca="false">INDEX('Tabela Passaro'!$R$2:$R$1795,$N710)</f>
        <v>30</v>
      </c>
      <c r="X710" s="32" t="n">
        <f aca="false">ROUNDUP(J710/INDEX('Tabela Passaro'!$T$2:$T$1795,$N710),0)*INDEX('Tabela Passaro'!$S$2:$S$1795,$N710)</f>
        <v>0</v>
      </c>
      <c r="Y710" s="32" t="n">
        <f aca="false">INDEX('Tabela Passaro'!$U$2:$U$1795,$N710)</f>
        <v>0</v>
      </c>
      <c r="Z710" s="32" t="n">
        <f aca="false">INDEX('Tabela Passaro'!$V$2:$V$1795,$N710)</f>
        <v>0</v>
      </c>
      <c r="AA710" s="32" t="n">
        <f aca="false">SUM(R710:Z710)</f>
        <v>199.83986</v>
      </c>
      <c r="AB710" s="33" t="n">
        <f aca="false">INDEX(Premissas!$B$5:$B$13,MATCH(A710,Premissas!$A$5:$A$13,0))</f>
        <v>0.07</v>
      </c>
      <c r="AC710" s="32" t="n">
        <f aca="false">AA710/(1-AB710)-AA710</f>
        <v>15.0417098924731</v>
      </c>
      <c r="AD710" s="32" t="n">
        <f aca="false">ROUND(AA710+AC710,2)</f>
        <v>214.88</v>
      </c>
      <c r="AE710" s="32" t="n">
        <f aca="false">AD710-L710</f>
        <v>47.82</v>
      </c>
      <c r="AF710" s="34" t="n">
        <f aca="false">IF(L710=0,0,AE710/L710)</f>
        <v>0.286244463067161</v>
      </c>
      <c r="AG710" s="22" t="str">
        <f aca="false">IF(AD710&lt;L710,"PASSARO","ATUAL")</f>
        <v>ATUAL</v>
      </c>
      <c r="AH710" s="22" t="str">
        <f aca="false">IF(P710&lt;&gt;A710,"Faixa cadastrada como "&amp;P710&amp;" na tabela; preço aplicado pela UF do CEP","")</f>
        <v/>
      </c>
      <c r="AI710" s="26" t="n">
        <v>255.21</v>
      </c>
      <c r="AJ710" s="22" t="str">
        <f aca="false">INDEX('Tabela Passaro'!$X$2:$X$1795,$N710)</f>
        <v>CAPITAL</v>
      </c>
    </row>
    <row r="711" customFormat="false" ht="15" hidden="false" customHeight="false" outlineLevel="0" collapsed="false">
      <c r="A711" s="22" t="s">
        <v>17</v>
      </c>
      <c r="B711" s="22" t="n">
        <v>1</v>
      </c>
      <c r="C711" s="22" t="s">
        <v>95</v>
      </c>
      <c r="D711" s="22" t="s">
        <v>30</v>
      </c>
      <c r="E711" s="22" t="s">
        <v>7328</v>
      </c>
      <c r="F711" s="22" t="n">
        <v>2309825</v>
      </c>
      <c r="G711" s="30" t="n">
        <v>46244</v>
      </c>
      <c r="H711" s="22" t="n">
        <v>132144</v>
      </c>
      <c r="I711" s="22" t="s">
        <v>7981</v>
      </c>
      <c r="J711" s="31" t="n">
        <v>59.9</v>
      </c>
      <c r="K711" s="26" t="n">
        <v>985.67</v>
      </c>
      <c r="L711" s="26" t="n">
        <v>198.75</v>
      </c>
      <c r="M711" s="22" t="s">
        <v>2349</v>
      </c>
      <c r="N711" s="22" t="n">
        <f aca="false">MATCH(M711,'Tabela Passaro'!$A$2:$A$1795,0)</f>
        <v>522</v>
      </c>
      <c r="O711" s="22" t="str">
        <f aca="false">INDEX('Tabela Passaro'!$C$2:$C$1795,$N711)</f>
        <v>FORTALEZA</v>
      </c>
      <c r="P711" s="22" t="str">
        <f aca="false">INDEX('Tabela Passaro'!$B$2:$B$1795,$N711)</f>
        <v>CE</v>
      </c>
      <c r="Q711" s="22" t="n">
        <f aca="false">INDEX('Tabela Passaro'!$F$2:$F$1795,$N711)</f>
        <v>8</v>
      </c>
      <c r="R711" s="32" t="n">
        <f aca="false">IF(J711&lt;=10,INDEX('Tabela Passaro'!$G$2:$G$1795,$N711),IF(J711&lt;=30,INDEX('Tabela Passaro'!$H$2:$H$1795,$N711),IF(J711&lt;=50,INDEX('Tabela Passaro'!$I$2:$I$1795,$N711),IF(J711&lt;=70,INDEX('Tabela Passaro'!$J$2:$J$1795,$N711),IF(J711&lt;=100,INDEX('Tabela Passaro'!$K$2:$K$1795,$N711),INDEX('Tabela Passaro'!$K$2:$K$1795,$N711)+(J711-100)*INDEX('Tabela Passaro'!$L$2:$L$1795,$N711))))))</f>
        <v>169.58</v>
      </c>
      <c r="S711" s="32" t="n">
        <f aca="false">K711*INDEX('Tabela Passaro'!$M$2:$M$1795,$N711)</f>
        <v>4.92835</v>
      </c>
      <c r="T711" s="32" t="n">
        <f aca="false">K711*INDEX('Tabela Passaro'!$N$2:$N$1795,$N711)</f>
        <v>1.97134</v>
      </c>
      <c r="U711" s="32" t="n">
        <f aca="false">INDEX('Tabela Passaro'!$O$2:$O$1795,$N711)</f>
        <v>5</v>
      </c>
      <c r="V711" s="32" t="n">
        <f aca="false">ROUNDUP(J711/INDEX('Tabela Passaro'!$Q$2:$Q$1795,$N711),0)*INDEX('Tabela Passaro'!$P$2:$P$1795,$N711)</f>
        <v>5</v>
      </c>
      <c r="W711" s="32" t="n">
        <f aca="false">INDEX('Tabela Passaro'!$R$2:$R$1795,$N711)</f>
        <v>30</v>
      </c>
      <c r="X711" s="32" t="n">
        <f aca="false">ROUNDUP(J711/INDEX('Tabela Passaro'!$T$2:$T$1795,$N711),0)*INDEX('Tabela Passaro'!$S$2:$S$1795,$N711)</f>
        <v>0</v>
      </c>
      <c r="Y711" s="32" t="n">
        <f aca="false">INDEX('Tabela Passaro'!$U$2:$U$1795,$N711)</f>
        <v>0</v>
      </c>
      <c r="Z711" s="32" t="n">
        <f aca="false">INDEX('Tabela Passaro'!$V$2:$V$1795,$N711)</f>
        <v>0</v>
      </c>
      <c r="AA711" s="32" t="n">
        <f aca="false">SUM(R711:Z711)</f>
        <v>216.47969</v>
      </c>
      <c r="AB711" s="33" t="n">
        <f aca="false">INDEX(Premissas!$B$5:$B$13,MATCH(A711,Premissas!$A$5:$A$13,0))</f>
        <v>0.07</v>
      </c>
      <c r="AC711" s="32" t="n">
        <f aca="false">AA711/(1-AB711)-AA711</f>
        <v>16.2941702150538</v>
      </c>
      <c r="AD711" s="32" t="n">
        <f aca="false">ROUND(AA711+AC711,2)</f>
        <v>232.77</v>
      </c>
      <c r="AE711" s="32" t="n">
        <f aca="false">AD711-L711</f>
        <v>34.02</v>
      </c>
      <c r="AF711" s="34" t="n">
        <f aca="false">IF(L711=0,0,AE711/L711)</f>
        <v>0.171169811320755</v>
      </c>
      <c r="AG711" s="22" t="str">
        <f aca="false">IF(AD711&lt;L711,"PASSARO","ATUAL")</f>
        <v>ATUAL</v>
      </c>
      <c r="AH711" s="22" t="str">
        <f aca="false">IF(P711&lt;&gt;A711,"Faixa cadastrada como "&amp;P711&amp;" na tabela; preço aplicado pela UF do CEP","")</f>
        <v/>
      </c>
      <c r="AI711" s="26" t="n">
        <v>278.9</v>
      </c>
      <c r="AJ711" s="22" t="str">
        <f aca="false">INDEX('Tabela Passaro'!$X$2:$X$1795,$N711)</f>
        <v>CAPITAL</v>
      </c>
    </row>
    <row r="712" customFormat="false" ht="15" hidden="false" customHeight="false" outlineLevel="0" collapsed="false">
      <c r="A712" s="22" t="s">
        <v>17</v>
      </c>
      <c r="B712" s="22" t="n">
        <v>1</v>
      </c>
      <c r="C712" s="22" t="s">
        <v>95</v>
      </c>
      <c r="D712" s="22" t="s">
        <v>30</v>
      </c>
      <c r="E712" s="22" t="s">
        <v>7328</v>
      </c>
      <c r="F712" s="22" t="n">
        <v>2309828</v>
      </c>
      <c r="G712" s="30" t="n">
        <v>46244</v>
      </c>
      <c r="H712" s="22" t="n">
        <v>132151</v>
      </c>
      <c r="I712" s="22" t="s">
        <v>7982</v>
      </c>
      <c r="J712" s="31" t="n">
        <v>66.8</v>
      </c>
      <c r="K712" s="26" t="n">
        <v>898.29</v>
      </c>
      <c r="L712" s="26" t="n">
        <v>198.07</v>
      </c>
      <c r="M712" s="22" t="s">
        <v>2349</v>
      </c>
      <c r="N712" s="22" t="n">
        <f aca="false">MATCH(M712,'Tabela Passaro'!$A$2:$A$1795,0)</f>
        <v>522</v>
      </c>
      <c r="O712" s="22" t="str">
        <f aca="false">INDEX('Tabela Passaro'!$C$2:$C$1795,$N712)</f>
        <v>FORTALEZA</v>
      </c>
      <c r="P712" s="22" t="str">
        <f aca="false">INDEX('Tabela Passaro'!$B$2:$B$1795,$N712)</f>
        <v>CE</v>
      </c>
      <c r="Q712" s="22" t="n">
        <f aca="false">INDEX('Tabela Passaro'!$F$2:$F$1795,$N712)</f>
        <v>8</v>
      </c>
      <c r="R712" s="32" t="n">
        <f aca="false">IF(J712&lt;=10,INDEX('Tabela Passaro'!$G$2:$G$1795,$N712),IF(J712&lt;=30,INDEX('Tabela Passaro'!$H$2:$H$1795,$N712),IF(J712&lt;=50,INDEX('Tabela Passaro'!$I$2:$I$1795,$N712),IF(J712&lt;=70,INDEX('Tabela Passaro'!$J$2:$J$1795,$N712),IF(J712&lt;=100,INDEX('Tabela Passaro'!$K$2:$K$1795,$N712),INDEX('Tabela Passaro'!$K$2:$K$1795,$N712)+(J712-100)*INDEX('Tabela Passaro'!$L$2:$L$1795,$N712))))))</f>
        <v>169.58</v>
      </c>
      <c r="S712" s="32" t="n">
        <f aca="false">K712*INDEX('Tabela Passaro'!$M$2:$M$1795,$N712)</f>
        <v>4.49145</v>
      </c>
      <c r="T712" s="32" t="n">
        <f aca="false">K712*INDEX('Tabela Passaro'!$N$2:$N$1795,$N712)</f>
        <v>1.79658</v>
      </c>
      <c r="U712" s="32" t="n">
        <f aca="false">INDEX('Tabela Passaro'!$O$2:$O$1795,$N712)</f>
        <v>5</v>
      </c>
      <c r="V712" s="32" t="n">
        <f aca="false">ROUNDUP(J712/INDEX('Tabela Passaro'!$Q$2:$Q$1795,$N712),0)*INDEX('Tabela Passaro'!$P$2:$P$1795,$N712)</f>
        <v>5</v>
      </c>
      <c r="W712" s="32" t="n">
        <f aca="false">INDEX('Tabela Passaro'!$R$2:$R$1795,$N712)</f>
        <v>30</v>
      </c>
      <c r="X712" s="32" t="n">
        <f aca="false">ROUNDUP(J712/INDEX('Tabela Passaro'!$T$2:$T$1795,$N712),0)*INDEX('Tabela Passaro'!$S$2:$S$1795,$N712)</f>
        <v>0</v>
      </c>
      <c r="Y712" s="32" t="n">
        <f aca="false">INDEX('Tabela Passaro'!$U$2:$U$1795,$N712)</f>
        <v>0</v>
      </c>
      <c r="Z712" s="32" t="n">
        <f aca="false">INDEX('Tabela Passaro'!$V$2:$V$1795,$N712)</f>
        <v>0</v>
      </c>
      <c r="AA712" s="32" t="n">
        <f aca="false">SUM(R712:Z712)</f>
        <v>215.86803</v>
      </c>
      <c r="AB712" s="33" t="n">
        <f aca="false">INDEX(Premissas!$B$5:$B$13,MATCH(A712,Premissas!$A$5:$A$13,0))</f>
        <v>0.07</v>
      </c>
      <c r="AC712" s="32" t="n">
        <f aca="false">AA712/(1-AB712)-AA712</f>
        <v>16.2481312903226</v>
      </c>
      <c r="AD712" s="32" t="n">
        <f aca="false">ROUND(AA712+AC712,2)</f>
        <v>232.12</v>
      </c>
      <c r="AE712" s="32" t="n">
        <f aca="false">AD712-L712</f>
        <v>34.05</v>
      </c>
      <c r="AF712" s="34" t="n">
        <f aca="false">IF(L712=0,0,AE712/L712)</f>
        <v>0.171908921088504</v>
      </c>
      <c r="AG712" s="22" t="str">
        <f aca="false">IF(AD712&lt;L712,"PASSARO","ATUAL")</f>
        <v>ATUAL</v>
      </c>
      <c r="AH712" s="22" t="str">
        <f aca="false">IF(P712&lt;&gt;A712,"Faixa cadastrada como "&amp;P712&amp;" na tabela; preço aplicado pela UF do CEP","")</f>
        <v/>
      </c>
      <c r="AI712" s="26" t="n">
        <v>281.45</v>
      </c>
      <c r="AJ712" s="22" t="str">
        <f aca="false">INDEX('Tabela Passaro'!$X$2:$X$1795,$N712)</f>
        <v>CAPITAL</v>
      </c>
    </row>
    <row r="713" customFormat="false" ht="15" hidden="false" customHeight="false" outlineLevel="0" collapsed="false">
      <c r="A713" s="22" t="s">
        <v>17</v>
      </c>
      <c r="B713" s="22" t="n">
        <v>1</v>
      </c>
      <c r="C713" s="22" t="s">
        <v>95</v>
      </c>
      <c r="D713" s="22" t="s">
        <v>30</v>
      </c>
      <c r="E713" s="22" t="s">
        <v>7328</v>
      </c>
      <c r="F713" s="22" t="n">
        <v>2309793</v>
      </c>
      <c r="G713" s="30" t="n">
        <v>46244</v>
      </c>
      <c r="H713" s="22" t="n">
        <v>132158</v>
      </c>
      <c r="I713" s="22" t="s">
        <v>7983</v>
      </c>
      <c r="J713" s="31" t="n">
        <v>27.4</v>
      </c>
      <c r="K713" s="26" t="n">
        <v>530.98</v>
      </c>
      <c r="L713" s="26" t="n">
        <v>124.47</v>
      </c>
      <c r="M713" s="22" t="s">
        <v>2349</v>
      </c>
      <c r="N713" s="22" t="n">
        <f aca="false">MATCH(M713,'Tabela Passaro'!$A$2:$A$1795,0)</f>
        <v>522</v>
      </c>
      <c r="O713" s="22" t="str">
        <f aca="false">INDEX('Tabela Passaro'!$C$2:$C$1795,$N713)</f>
        <v>FORTALEZA</v>
      </c>
      <c r="P713" s="22" t="str">
        <f aca="false">INDEX('Tabela Passaro'!$B$2:$B$1795,$N713)</f>
        <v>CE</v>
      </c>
      <c r="Q713" s="22" t="n">
        <f aca="false">INDEX('Tabela Passaro'!$F$2:$F$1795,$N713)</f>
        <v>8</v>
      </c>
      <c r="R713" s="32" t="n">
        <f aca="false">IF(J713&lt;=10,INDEX('Tabela Passaro'!$G$2:$G$1795,$N713),IF(J713&lt;=30,INDEX('Tabela Passaro'!$H$2:$H$1795,$N713),IF(J713&lt;=50,INDEX('Tabela Passaro'!$I$2:$I$1795,$N713),IF(J713&lt;=70,INDEX('Tabela Passaro'!$J$2:$J$1795,$N713),IF(J713&lt;=100,INDEX('Tabela Passaro'!$K$2:$K$1795,$N713),INDEX('Tabela Passaro'!$K$2:$K$1795,$N713)+(J713-100)*INDEX('Tabela Passaro'!$L$2:$L$1795,$N713))))))</f>
        <v>130.85</v>
      </c>
      <c r="S713" s="32" t="n">
        <f aca="false">K713*INDEX('Tabela Passaro'!$M$2:$M$1795,$N713)</f>
        <v>2.6549</v>
      </c>
      <c r="T713" s="32" t="n">
        <f aca="false">K713*INDEX('Tabela Passaro'!$N$2:$N$1795,$N713)</f>
        <v>1.06196</v>
      </c>
      <c r="U713" s="32" t="n">
        <f aca="false">INDEX('Tabela Passaro'!$O$2:$O$1795,$N713)</f>
        <v>5</v>
      </c>
      <c r="V713" s="32" t="n">
        <f aca="false">ROUNDUP(J713/INDEX('Tabela Passaro'!$Q$2:$Q$1795,$N713),0)*INDEX('Tabela Passaro'!$P$2:$P$1795,$N713)</f>
        <v>5</v>
      </c>
      <c r="W713" s="32" t="n">
        <f aca="false">INDEX('Tabela Passaro'!$R$2:$R$1795,$N713)</f>
        <v>30</v>
      </c>
      <c r="X713" s="32" t="n">
        <f aca="false">ROUNDUP(J713/INDEX('Tabela Passaro'!$T$2:$T$1795,$N713),0)*INDEX('Tabela Passaro'!$S$2:$S$1795,$N713)</f>
        <v>0</v>
      </c>
      <c r="Y713" s="32" t="n">
        <f aca="false">INDEX('Tabela Passaro'!$U$2:$U$1795,$N713)</f>
        <v>0</v>
      </c>
      <c r="Z713" s="32" t="n">
        <f aca="false">INDEX('Tabela Passaro'!$V$2:$V$1795,$N713)</f>
        <v>0</v>
      </c>
      <c r="AA713" s="32" t="n">
        <f aca="false">SUM(R713:Z713)</f>
        <v>174.56686</v>
      </c>
      <c r="AB713" s="33" t="n">
        <f aca="false">INDEX(Premissas!$B$5:$B$13,MATCH(A713,Premissas!$A$5:$A$13,0))</f>
        <v>0.07</v>
      </c>
      <c r="AC713" s="32" t="n">
        <f aca="false">AA713/(1-AB713)-AA713</f>
        <v>13.1394410752688</v>
      </c>
      <c r="AD713" s="32" t="n">
        <f aca="false">ROUND(AA713+AC713,2)</f>
        <v>187.71</v>
      </c>
      <c r="AE713" s="32" t="n">
        <f aca="false">AD713-L713</f>
        <v>63.24</v>
      </c>
      <c r="AF713" s="34" t="n">
        <f aca="false">IF(L713=0,0,AE713/L713)</f>
        <v>0.508074234755363</v>
      </c>
      <c r="AG713" s="22" t="str">
        <f aca="false">IF(AD713&lt;L713,"PASSARO","ATUAL")</f>
        <v>ATUAL</v>
      </c>
      <c r="AH713" s="22" t="str">
        <f aca="false">IF(P713&lt;&gt;A713,"Faixa cadastrada como "&amp;P713&amp;" na tabela; preço aplicado pela UF do CEP","")</f>
        <v/>
      </c>
      <c r="AI713" s="26" t="n">
        <v>215.18</v>
      </c>
      <c r="AJ713" s="22" t="str">
        <f aca="false">INDEX('Tabela Passaro'!$X$2:$X$1795,$N713)</f>
        <v>CAPITAL</v>
      </c>
    </row>
    <row r="714" customFormat="false" ht="15" hidden="false" customHeight="false" outlineLevel="0" collapsed="false">
      <c r="A714" s="22" t="s">
        <v>17</v>
      </c>
      <c r="B714" s="22" t="n">
        <v>1</v>
      </c>
      <c r="C714" s="22" t="s">
        <v>95</v>
      </c>
      <c r="D714" s="22" t="s">
        <v>30</v>
      </c>
      <c r="E714" s="22" t="s">
        <v>7328</v>
      </c>
      <c r="F714" s="22" t="n">
        <v>2309799</v>
      </c>
      <c r="G714" s="30" t="n">
        <v>46244</v>
      </c>
      <c r="H714" s="22" t="n">
        <v>132166</v>
      </c>
      <c r="I714" s="22" t="s">
        <v>7984</v>
      </c>
      <c r="J714" s="31" t="n">
        <v>69</v>
      </c>
      <c r="K714" s="26" t="n">
        <v>1073.88</v>
      </c>
      <c r="L714" s="26" t="n">
        <v>199.45</v>
      </c>
      <c r="M714" s="22" t="s">
        <v>2349</v>
      </c>
      <c r="N714" s="22" t="n">
        <f aca="false">MATCH(M714,'Tabela Passaro'!$A$2:$A$1795,0)</f>
        <v>522</v>
      </c>
      <c r="O714" s="22" t="str">
        <f aca="false">INDEX('Tabela Passaro'!$C$2:$C$1795,$N714)</f>
        <v>FORTALEZA</v>
      </c>
      <c r="P714" s="22" t="str">
        <f aca="false">INDEX('Tabela Passaro'!$B$2:$B$1795,$N714)</f>
        <v>CE</v>
      </c>
      <c r="Q714" s="22" t="n">
        <f aca="false">INDEX('Tabela Passaro'!$F$2:$F$1795,$N714)</f>
        <v>8</v>
      </c>
      <c r="R714" s="32" t="n">
        <f aca="false">IF(J714&lt;=10,INDEX('Tabela Passaro'!$G$2:$G$1795,$N714),IF(J714&lt;=30,INDEX('Tabela Passaro'!$H$2:$H$1795,$N714),IF(J714&lt;=50,INDEX('Tabela Passaro'!$I$2:$I$1795,$N714),IF(J714&lt;=70,INDEX('Tabela Passaro'!$J$2:$J$1795,$N714),IF(J714&lt;=100,INDEX('Tabela Passaro'!$K$2:$K$1795,$N714),INDEX('Tabela Passaro'!$K$2:$K$1795,$N714)+(J714-100)*INDEX('Tabela Passaro'!$L$2:$L$1795,$N714))))))</f>
        <v>169.58</v>
      </c>
      <c r="S714" s="32" t="n">
        <f aca="false">K714*INDEX('Tabela Passaro'!$M$2:$M$1795,$N714)</f>
        <v>5.3694</v>
      </c>
      <c r="T714" s="32" t="n">
        <f aca="false">K714*INDEX('Tabela Passaro'!$N$2:$N$1795,$N714)</f>
        <v>2.14776</v>
      </c>
      <c r="U714" s="32" t="n">
        <f aca="false">INDEX('Tabela Passaro'!$O$2:$O$1795,$N714)</f>
        <v>5</v>
      </c>
      <c r="V714" s="32" t="n">
        <f aca="false">ROUNDUP(J714/INDEX('Tabela Passaro'!$Q$2:$Q$1795,$N714),0)*INDEX('Tabela Passaro'!$P$2:$P$1795,$N714)</f>
        <v>5</v>
      </c>
      <c r="W714" s="32" t="n">
        <f aca="false">INDEX('Tabela Passaro'!$R$2:$R$1795,$N714)</f>
        <v>30</v>
      </c>
      <c r="X714" s="32" t="n">
        <f aca="false">ROUNDUP(J714/INDEX('Tabela Passaro'!$T$2:$T$1795,$N714),0)*INDEX('Tabela Passaro'!$S$2:$S$1795,$N714)</f>
        <v>0</v>
      </c>
      <c r="Y714" s="32" t="n">
        <f aca="false">INDEX('Tabela Passaro'!$U$2:$U$1795,$N714)</f>
        <v>0</v>
      </c>
      <c r="Z714" s="32" t="n">
        <f aca="false">INDEX('Tabela Passaro'!$V$2:$V$1795,$N714)</f>
        <v>0</v>
      </c>
      <c r="AA714" s="32" t="n">
        <f aca="false">SUM(R714:Z714)</f>
        <v>217.09716</v>
      </c>
      <c r="AB714" s="33" t="n">
        <f aca="false">INDEX(Premissas!$B$5:$B$13,MATCH(A714,Premissas!$A$5:$A$13,0))</f>
        <v>0.07</v>
      </c>
      <c r="AC714" s="32" t="n">
        <f aca="false">AA714/(1-AB714)-AA714</f>
        <v>16.3406464516129</v>
      </c>
      <c r="AD714" s="32" t="n">
        <f aca="false">ROUND(AA714+AC714,2)</f>
        <v>233.44</v>
      </c>
      <c r="AE714" s="32" t="n">
        <f aca="false">AD714-L714</f>
        <v>33.99</v>
      </c>
      <c r="AF714" s="34" t="n">
        <f aca="false">IF(L714=0,0,AE714/L714)</f>
        <v>0.17041865129105</v>
      </c>
      <c r="AG714" s="22" t="str">
        <f aca="false">IF(AD714&lt;L714,"PASSARO","ATUAL")</f>
        <v>ATUAL</v>
      </c>
      <c r="AH714" s="22" t="str">
        <f aca="false">IF(P714&lt;&gt;A714,"Faixa cadastrada como "&amp;P714&amp;" na tabela; preço aplicado pela UF do CEP","")</f>
        <v/>
      </c>
      <c r="AI714" s="26" t="n">
        <v>284.11</v>
      </c>
      <c r="AJ714" s="22" t="str">
        <f aca="false">INDEX('Tabela Passaro'!$X$2:$X$1795,$N714)</f>
        <v>CAPITAL</v>
      </c>
    </row>
    <row r="715" customFormat="false" ht="15" hidden="false" customHeight="false" outlineLevel="0" collapsed="false">
      <c r="A715" s="22" t="s">
        <v>17</v>
      </c>
      <c r="B715" s="22" t="n">
        <v>1</v>
      </c>
      <c r="C715" s="22" t="s">
        <v>95</v>
      </c>
      <c r="D715" s="22" t="s">
        <v>30</v>
      </c>
      <c r="E715" s="22" t="s">
        <v>7328</v>
      </c>
      <c r="F715" s="22" t="n">
        <v>2309842</v>
      </c>
      <c r="G715" s="30" t="n">
        <v>46244</v>
      </c>
      <c r="H715" s="22" t="n">
        <v>132204</v>
      </c>
      <c r="I715" s="22" t="s">
        <v>7985</v>
      </c>
      <c r="J715" s="31" t="n">
        <v>48</v>
      </c>
      <c r="K715" s="26" t="n">
        <v>1269.98</v>
      </c>
      <c r="L715" s="26" t="n">
        <v>169.35</v>
      </c>
      <c r="M715" s="22" t="s">
        <v>2349</v>
      </c>
      <c r="N715" s="22" t="n">
        <f aca="false">MATCH(M715,'Tabela Passaro'!$A$2:$A$1795,0)</f>
        <v>522</v>
      </c>
      <c r="O715" s="22" t="str">
        <f aca="false">INDEX('Tabela Passaro'!$C$2:$C$1795,$N715)</f>
        <v>FORTALEZA</v>
      </c>
      <c r="P715" s="22" t="str">
        <f aca="false">INDEX('Tabela Passaro'!$B$2:$B$1795,$N715)</f>
        <v>CE</v>
      </c>
      <c r="Q715" s="22" t="n">
        <f aca="false">INDEX('Tabela Passaro'!$F$2:$F$1795,$N715)</f>
        <v>8</v>
      </c>
      <c r="R715" s="32" t="n">
        <f aca="false">IF(J715&lt;=10,INDEX('Tabela Passaro'!$G$2:$G$1795,$N715),IF(J715&lt;=30,INDEX('Tabela Passaro'!$H$2:$H$1795,$N715),IF(J715&lt;=50,INDEX('Tabela Passaro'!$I$2:$I$1795,$N715),IF(J715&lt;=70,INDEX('Tabela Passaro'!$J$2:$J$1795,$N715),IF(J715&lt;=100,INDEX('Tabela Passaro'!$K$2:$K$1795,$N715),INDEX('Tabela Passaro'!$K$2:$K$1795,$N715)+(J715-100)*INDEX('Tabela Passaro'!$L$2:$L$1795,$N715))))))</f>
        <v>152.98</v>
      </c>
      <c r="S715" s="32" t="n">
        <f aca="false">K715*INDEX('Tabela Passaro'!$M$2:$M$1795,$N715)</f>
        <v>6.3499</v>
      </c>
      <c r="T715" s="32" t="n">
        <f aca="false">K715*INDEX('Tabela Passaro'!$N$2:$N$1795,$N715)</f>
        <v>2.53996</v>
      </c>
      <c r="U715" s="32" t="n">
        <f aca="false">INDEX('Tabela Passaro'!$O$2:$O$1795,$N715)</f>
        <v>5</v>
      </c>
      <c r="V715" s="32" t="n">
        <f aca="false">ROUNDUP(J715/INDEX('Tabela Passaro'!$Q$2:$Q$1795,$N715),0)*INDEX('Tabela Passaro'!$P$2:$P$1795,$N715)</f>
        <v>5</v>
      </c>
      <c r="W715" s="32" t="n">
        <f aca="false">INDEX('Tabela Passaro'!$R$2:$R$1795,$N715)</f>
        <v>30</v>
      </c>
      <c r="X715" s="32" t="n">
        <f aca="false">ROUNDUP(J715/INDEX('Tabela Passaro'!$T$2:$T$1795,$N715),0)*INDEX('Tabela Passaro'!$S$2:$S$1795,$N715)</f>
        <v>0</v>
      </c>
      <c r="Y715" s="32" t="n">
        <f aca="false">INDEX('Tabela Passaro'!$U$2:$U$1795,$N715)</f>
        <v>0</v>
      </c>
      <c r="Z715" s="32" t="n">
        <f aca="false">INDEX('Tabela Passaro'!$V$2:$V$1795,$N715)</f>
        <v>0</v>
      </c>
      <c r="AA715" s="32" t="n">
        <f aca="false">SUM(R715:Z715)</f>
        <v>201.86986</v>
      </c>
      <c r="AB715" s="33" t="n">
        <f aca="false">INDEX(Premissas!$B$5:$B$13,MATCH(A715,Premissas!$A$5:$A$13,0))</f>
        <v>0.07</v>
      </c>
      <c r="AC715" s="32" t="n">
        <f aca="false">AA715/(1-AB715)-AA715</f>
        <v>15.1945055913979</v>
      </c>
      <c r="AD715" s="32" t="n">
        <f aca="false">ROUND(AA715+AC715,2)</f>
        <v>217.06</v>
      </c>
      <c r="AE715" s="32" t="n">
        <f aca="false">AD715-L715</f>
        <v>47.71</v>
      </c>
      <c r="AF715" s="34" t="n">
        <f aca="false">IF(L715=0,0,AE715/L715)</f>
        <v>0.281724239740183</v>
      </c>
      <c r="AG715" s="22" t="str">
        <f aca="false">IF(AD715&lt;L715,"PASSARO","ATUAL")</f>
        <v>ATUAL</v>
      </c>
      <c r="AH715" s="22" t="str">
        <f aca="false">IF(P715&lt;&gt;A715,"Faixa cadastrada como "&amp;P715&amp;" na tabela; preço aplicado pela UF do CEP","")</f>
        <v/>
      </c>
      <c r="AI715" s="26" t="n">
        <v>257.05</v>
      </c>
      <c r="AJ715" s="22" t="str">
        <f aca="false">INDEX('Tabela Passaro'!$X$2:$X$1795,$N715)</f>
        <v>CAPITAL</v>
      </c>
    </row>
    <row r="716" customFormat="false" ht="15" hidden="false" customHeight="false" outlineLevel="0" collapsed="false">
      <c r="A716" s="22" t="s">
        <v>17</v>
      </c>
      <c r="B716" s="22" t="n">
        <v>1</v>
      </c>
      <c r="C716" s="22" t="s">
        <v>95</v>
      </c>
      <c r="D716" s="22" t="s">
        <v>30</v>
      </c>
      <c r="E716" s="22" t="s">
        <v>7328</v>
      </c>
      <c r="F716" s="22" t="n">
        <v>2309872</v>
      </c>
      <c r="G716" s="30" t="n">
        <v>46244</v>
      </c>
      <c r="H716" s="22" t="n">
        <v>132361</v>
      </c>
      <c r="I716" s="22" t="s">
        <v>7986</v>
      </c>
      <c r="J716" s="31" t="n">
        <v>34.4</v>
      </c>
      <c r="K716" s="26" t="n">
        <v>655.05</v>
      </c>
      <c r="L716" s="26" t="n">
        <v>164.5</v>
      </c>
      <c r="M716" s="22" t="s">
        <v>2349</v>
      </c>
      <c r="N716" s="22" t="n">
        <f aca="false">MATCH(M716,'Tabela Passaro'!$A$2:$A$1795,0)</f>
        <v>522</v>
      </c>
      <c r="O716" s="22" t="str">
        <f aca="false">INDEX('Tabela Passaro'!$C$2:$C$1795,$N716)</f>
        <v>FORTALEZA</v>
      </c>
      <c r="P716" s="22" t="str">
        <f aca="false">INDEX('Tabela Passaro'!$B$2:$B$1795,$N716)</f>
        <v>CE</v>
      </c>
      <c r="Q716" s="22" t="n">
        <f aca="false">INDEX('Tabela Passaro'!$F$2:$F$1795,$N716)</f>
        <v>8</v>
      </c>
      <c r="R716" s="32" t="n">
        <f aca="false">IF(J716&lt;=10,INDEX('Tabela Passaro'!$G$2:$G$1795,$N716),IF(J716&lt;=30,INDEX('Tabela Passaro'!$H$2:$H$1795,$N716),IF(J716&lt;=50,INDEX('Tabela Passaro'!$I$2:$I$1795,$N716),IF(J716&lt;=70,INDEX('Tabela Passaro'!$J$2:$J$1795,$N716),IF(J716&lt;=100,INDEX('Tabela Passaro'!$K$2:$K$1795,$N716),INDEX('Tabela Passaro'!$K$2:$K$1795,$N716)+(J716-100)*INDEX('Tabela Passaro'!$L$2:$L$1795,$N716))))))</f>
        <v>152.98</v>
      </c>
      <c r="S716" s="32" t="n">
        <f aca="false">K716*INDEX('Tabela Passaro'!$M$2:$M$1795,$N716)</f>
        <v>3.27525</v>
      </c>
      <c r="T716" s="32" t="n">
        <f aca="false">K716*INDEX('Tabela Passaro'!$N$2:$N$1795,$N716)</f>
        <v>1.3101</v>
      </c>
      <c r="U716" s="32" t="n">
        <f aca="false">INDEX('Tabela Passaro'!$O$2:$O$1795,$N716)</f>
        <v>5</v>
      </c>
      <c r="V716" s="32" t="n">
        <f aca="false">ROUNDUP(J716/INDEX('Tabela Passaro'!$Q$2:$Q$1795,$N716),0)*INDEX('Tabela Passaro'!$P$2:$P$1795,$N716)</f>
        <v>5</v>
      </c>
      <c r="W716" s="32" t="n">
        <f aca="false">INDEX('Tabela Passaro'!$R$2:$R$1795,$N716)</f>
        <v>30</v>
      </c>
      <c r="X716" s="32" t="n">
        <f aca="false">ROUNDUP(J716/INDEX('Tabela Passaro'!$T$2:$T$1795,$N716),0)*INDEX('Tabela Passaro'!$S$2:$S$1795,$N716)</f>
        <v>0</v>
      </c>
      <c r="Y716" s="32" t="n">
        <f aca="false">INDEX('Tabela Passaro'!$U$2:$U$1795,$N716)</f>
        <v>0</v>
      </c>
      <c r="Z716" s="32" t="n">
        <f aca="false">INDEX('Tabela Passaro'!$V$2:$V$1795,$N716)</f>
        <v>0</v>
      </c>
      <c r="AA716" s="32" t="n">
        <f aca="false">SUM(R716:Z716)</f>
        <v>197.56535</v>
      </c>
      <c r="AB716" s="33" t="n">
        <f aca="false">INDEX(Premissas!$B$5:$B$13,MATCH(A716,Premissas!$A$5:$A$13,0))</f>
        <v>0.07</v>
      </c>
      <c r="AC716" s="32" t="n">
        <f aca="false">AA716/(1-AB716)-AA716</f>
        <v>14.8705102150538</v>
      </c>
      <c r="AD716" s="32" t="n">
        <f aca="false">ROUND(AA716+AC716,2)</f>
        <v>212.44</v>
      </c>
      <c r="AE716" s="32" t="n">
        <f aca="false">AD716-L716</f>
        <v>47.94</v>
      </c>
      <c r="AF716" s="34" t="n">
        <f aca="false">IF(L716=0,0,AE716/L716)</f>
        <v>0.291428571428571</v>
      </c>
      <c r="AG716" s="22" t="str">
        <f aca="false">IF(AD716&lt;L716,"PASSARO","ATUAL")</f>
        <v>ATUAL</v>
      </c>
      <c r="AH716" s="22" t="str">
        <f aca="false">IF(P716&lt;&gt;A716,"Faixa cadastrada como "&amp;P716&amp;" na tabela; preço aplicado pela UF do CEP","")</f>
        <v/>
      </c>
      <c r="AI716" s="26" t="n">
        <v>244.81</v>
      </c>
      <c r="AJ716" s="22" t="str">
        <f aca="false">INDEX('Tabela Passaro'!$X$2:$X$1795,$N716)</f>
        <v>CAPITAL</v>
      </c>
    </row>
    <row r="717" customFormat="false" ht="15" hidden="false" customHeight="false" outlineLevel="0" collapsed="false">
      <c r="A717" s="22" t="s">
        <v>17</v>
      </c>
      <c r="B717" s="22" t="n">
        <v>1</v>
      </c>
      <c r="C717" s="22" t="s">
        <v>95</v>
      </c>
      <c r="D717" s="22" t="s">
        <v>30</v>
      </c>
      <c r="E717" s="22" t="s">
        <v>7328</v>
      </c>
      <c r="F717" s="22" t="n">
        <v>2309885</v>
      </c>
      <c r="G717" s="30" t="n">
        <v>46244</v>
      </c>
      <c r="H717" s="22" t="n">
        <v>132365</v>
      </c>
      <c r="I717" s="22" t="s">
        <v>7987</v>
      </c>
      <c r="J717" s="31" t="n">
        <v>48.85</v>
      </c>
      <c r="K717" s="26" t="n">
        <v>716.97</v>
      </c>
      <c r="L717" s="26" t="n">
        <v>164.97</v>
      </c>
      <c r="M717" s="22" t="s">
        <v>2349</v>
      </c>
      <c r="N717" s="22" t="n">
        <f aca="false">MATCH(M717,'Tabela Passaro'!$A$2:$A$1795,0)</f>
        <v>522</v>
      </c>
      <c r="O717" s="22" t="str">
        <f aca="false">INDEX('Tabela Passaro'!$C$2:$C$1795,$N717)</f>
        <v>FORTALEZA</v>
      </c>
      <c r="P717" s="22" t="str">
        <f aca="false">INDEX('Tabela Passaro'!$B$2:$B$1795,$N717)</f>
        <v>CE</v>
      </c>
      <c r="Q717" s="22" t="n">
        <f aca="false">INDEX('Tabela Passaro'!$F$2:$F$1795,$N717)</f>
        <v>8</v>
      </c>
      <c r="R717" s="32" t="n">
        <f aca="false">IF(J717&lt;=10,INDEX('Tabela Passaro'!$G$2:$G$1795,$N717),IF(J717&lt;=30,INDEX('Tabela Passaro'!$H$2:$H$1795,$N717),IF(J717&lt;=50,INDEX('Tabela Passaro'!$I$2:$I$1795,$N717),IF(J717&lt;=70,INDEX('Tabela Passaro'!$J$2:$J$1795,$N717),IF(J717&lt;=100,INDEX('Tabela Passaro'!$K$2:$K$1795,$N717),INDEX('Tabela Passaro'!$K$2:$K$1795,$N717)+(J717-100)*INDEX('Tabela Passaro'!$L$2:$L$1795,$N717))))))</f>
        <v>152.98</v>
      </c>
      <c r="S717" s="32" t="n">
        <f aca="false">K717*INDEX('Tabela Passaro'!$M$2:$M$1795,$N717)</f>
        <v>3.58485</v>
      </c>
      <c r="T717" s="32" t="n">
        <f aca="false">K717*INDEX('Tabela Passaro'!$N$2:$N$1795,$N717)</f>
        <v>1.43394</v>
      </c>
      <c r="U717" s="32" t="n">
        <f aca="false">INDEX('Tabela Passaro'!$O$2:$O$1795,$N717)</f>
        <v>5</v>
      </c>
      <c r="V717" s="32" t="n">
        <f aca="false">ROUNDUP(J717/INDEX('Tabela Passaro'!$Q$2:$Q$1795,$N717),0)*INDEX('Tabela Passaro'!$P$2:$P$1795,$N717)</f>
        <v>5</v>
      </c>
      <c r="W717" s="32" t="n">
        <f aca="false">INDEX('Tabela Passaro'!$R$2:$R$1795,$N717)</f>
        <v>30</v>
      </c>
      <c r="X717" s="32" t="n">
        <f aca="false">ROUNDUP(J717/INDEX('Tabela Passaro'!$T$2:$T$1795,$N717),0)*INDEX('Tabela Passaro'!$S$2:$S$1795,$N717)</f>
        <v>0</v>
      </c>
      <c r="Y717" s="32" t="n">
        <f aca="false">INDEX('Tabela Passaro'!$U$2:$U$1795,$N717)</f>
        <v>0</v>
      </c>
      <c r="Z717" s="32" t="n">
        <f aca="false">INDEX('Tabela Passaro'!$V$2:$V$1795,$N717)</f>
        <v>0</v>
      </c>
      <c r="AA717" s="32" t="n">
        <f aca="false">SUM(R717:Z717)</f>
        <v>197.99879</v>
      </c>
      <c r="AB717" s="33" t="n">
        <f aca="false">INDEX(Premissas!$B$5:$B$13,MATCH(A717,Premissas!$A$5:$A$13,0))</f>
        <v>0.07</v>
      </c>
      <c r="AC717" s="32" t="n">
        <f aca="false">AA717/(1-AB717)-AA717</f>
        <v>14.9031347311828</v>
      </c>
      <c r="AD717" s="32" t="n">
        <f aca="false">ROUND(AA717+AC717,2)</f>
        <v>212.9</v>
      </c>
      <c r="AE717" s="32" t="n">
        <f aca="false">AD717-L717</f>
        <v>47.93</v>
      </c>
      <c r="AF717" s="34" t="n">
        <f aca="false">IF(L717=0,0,AE717/L717)</f>
        <v>0.290537673516397</v>
      </c>
      <c r="AG717" s="22" t="str">
        <f aca="false">IF(AD717&lt;L717,"PASSARO","ATUAL")</f>
        <v>ATUAL</v>
      </c>
      <c r="AH717" s="22" t="str">
        <f aca="false">IF(P717&lt;&gt;A717,"Faixa cadastrada como "&amp;P717&amp;" na tabela; preço aplicado pela UF do CEP","")</f>
        <v/>
      </c>
      <c r="AI717" s="26" t="n">
        <v>252.19</v>
      </c>
      <c r="AJ717" s="22" t="str">
        <f aca="false">INDEX('Tabela Passaro'!$X$2:$X$1795,$N717)</f>
        <v>CAPITAL</v>
      </c>
    </row>
    <row r="718" customFormat="false" ht="15" hidden="false" customHeight="false" outlineLevel="0" collapsed="false">
      <c r="A718" s="22" t="s">
        <v>17</v>
      </c>
      <c r="B718" s="22" t="n">
        <v>1</v>
      </c>
      <c r="C718" s="22" t="s">
        <v>95</v>
      </c>
      <c r="D718" s="22" t="s">
        <v>30</v>
      </c>
      <c r="E718" s="22" t="s">
        <v>7328</v>
      </c>
      <c r="F718" s="22" t="n">
        <v>2309889</v>
      </c>
      <c r="G718" s="30" t="n">
        <v>46244</v>
      </c>
      <c r="H718" s="22" t="n">
        <v>132369</v>
      </c>
      <c r="I718" s="22" t="s">
        <v>7988</v>
      </c>
      <c r="J718" s="31" t="n">
        <v>66.4</v>
      </c>
      <c r="K718" s="26" t="n">
        <v>1020.33</v>
      </c>
      <c r="L718" s="26" t="n">
        <v>199.03</v>
      </c>
      <c r="M718" s="22" t="s">
        <v>2349</v>
      </c>
      <c r="N718" s="22" t="n">
        <f aca="false">MATCH(M718,'Tabela Passaro'!$A$2:$A$1795,0)</f>
        <v>522</v>
      </c>
      <c r="O718" s="22" t="str">
        <f aca="false">INDEX('Tabela Passaro'!$C$2:$C$1795,$N718)</f>
        <v>FORTALEZA</v>
      </c>
      <c r="P718" s="22" t="str">
        <f aca="false">INDEX('Tabela Passaro'!$B$2:$B$1795,$N718)</f>
        <v>CE</v>
      </c>
      <c r="Q718" s="22" t="n">
        <f aca="false">INDEX('Tabela Passaro'!$F$2:$F$1795,$N718)</f>
        <v>8</v>
      </c>
      <c r="R718" s="32" t="n">
        <f aca="false">IF(J718&lt;=10,INDEX('Tabela Passaro'!$G$2:$G$1795,$N718),IF(J718&lt;=30,INDEX('Tabela Passaro'!$H$2:$H$1795,$N718),IF(J718&lt;=50,INDEX('Tabela Passaro'!$I$2:$I$1795,$N718),IF(J718&lt;=70,INDEX('Tabela Passaro'!$J$2:$J$1795,$N718),IF(J718&lt;=100,INDEX('Tabela Passaro'!$K$2:$K$1795,$N718),INDEX('Tabela Passaro'!$K$2:$K$1795,$N718)+(J718-100)*INDEX('Tabela Passaro'!$L$2:$L$1795,$N718))))))</f>
        <v>169.58</v>
      </c>
      <c r="S718" s="32" t="n">
        <f aca="false">K718*INDEX('Tabela Passaro'!$M$2:$M$1795,$N718)</f>
        <v>5.10165</v>
      </c>
      <c r="T718" s="32" t="n">
        <f aca="false">K718*INDEX('Tabela Passaro'!$N$2:$N$1795,$N718)</f>
        <v>2.04066</v>
      </c>
      <c r="U718" s="32" t="n">
        <f aca="false">INDEX('Tabela Passaro'!$O$2:$O$1795,$N718)</f>
        <v>5</v>
      </c>
      <c r="V718" s="32" t="n">
        <f aca="false">ROUNDUP(J718/INDEX('Tabela Passaro'!$Q$2:$Q$1795,$N718),0)*INDEX('Tabela Passaro'!$P$2:$P$1795,$N718)</f>
        <v>5</v>
      </c>
      <c r="W718" s="32" t="n">
        <f aca="false">INDEX('Tabela Passaro'!$R$2:$R$1795,$N718)</f>
        <v>30</v>
      </c>
      <c r="X718" s="32" t="n">
        <f aca="false">ROUNDUP(J718/INDEX('Tabela Passaro'!$T$2:$T$1795,$N718),0)*INDEX('Tabela Passaro'!$S$2:$S$1795,$N718)</f>
        <v>0</v>
      </c>
      <c r="Y718" s="32" t="n">
        <f aca="false">INDEX('Tabela Passaro'!$U$2:$U$1795,$N718)</f>
        <v>0</v>
      </c>
      <c r="Z718" s="32" t="n">
        <f aca="false">INDEX('Tabela Passaro'!$V$2:$V$1795,$N718)</f>
        <v>0</v>
      </c>
      <c r="AA718" s="32" t="n">
        <f aca="false">SUM(R718:Z718)</f>
        <v>216.72231</v>
      </c>
      <c r="AB718" s="33" t="n">
        <f aca="false">INDEX(Premissas!$B$5:$B$13,MATCH(A718,Premissas!$A$5:$A$13,0))</f>
        <v>0.07</v>
      </c>
      <c r="AC718" s="32" t="n">
        <f aca="false">AA718/(1-AB718)-AA718</f>
        <v>16.3124319354839</v>
      </c>
      <c r="AD718" s="32" t="n">
        <f aca="false">ROUND(AA718+AC718,2)</f>
        <v>233.03</v>
      </c>
      <c r="AE718" s="32" t="n">
        <f aca="false">AD718-L718</f>
        <v>34</v>
      </c>
      <c r="AF718" s="34" t="n">
        <f aca="false">IF(L718=0,0,AE718/L718)</f>
        <v>0.170828518313822</v>
      </c>
      <c r="AG718" s="22" t="str">
        <f aca="false">IF(AD718&lt;L718,"PASSARO","ATUAL")</f>
        <v>ATUAL</v>
      </c>
      <c r="AH718" s="22" t="str">
        <f aca="false">IF(P718&lt;&gt;A718,"Faixa cadastrada como "&amp;P718&amp;" na tabela; preço aplicado pela UF do CEP","")</f>
        <v/>
      </c>
      <c r="AI718" s="26" t="n">
        <v>282.63</v>
      </c>
      <c r="AJ718" s="22" t="str">
        <f aca="false">INDEX('Tabela Passaro'!$X$2:$X$1795,$N718)</f>
        <v>CAPITAL</v>
      </c>
    </row>
    <row r="719" customFormat="false" ht="15" hidden="false" customHeight="false" outlineLevel="0" collapsed="false">
      <c r="A719" s="22" t="s">
        <v>17</v>
      </c>
      <c r="B719" s="22" t="n">
        <v>1</v>
      </c>
      <c r="C719" s="22" t="s">
        <v>95</v>
      </c>
      <c r="D719" s="22" t="s">
        <v>30</v>
      </c>
      <c r="E719" s="22" t="s">
        <v>7328</v>
      </c>
      <c r="F719" s="22" t="n">
        <v>2309896</v>
      </c>
      <c r="G719" s="30" t="n">
        <v>46244</v>
      </c>
      <c r="H719" s="22" t="n">
        <v>132382</v>
      </c>
      <c r="I719" s="22" t="s">
        <v>7989</v>
      </c>
      <c r="J719" s="31" t="n">
        <v>79.26</v>
      </c>
      <c r="K719" s="26" t="n">
        <v>939.99</v>
      </c>
      <c r="L719" s="26" t="n">
        <v>251.14</v>
      </c>
      <c r="M719" s="22" t="s">
        <v>2349</v>
      </c>
      <c r="N719" s="22" t="n">
        <f aca="false">MATCH(M719,'Tabela Passaro'!$A$2:$A$1795,0)</f>
        <v>522</v>
      </c>
      <c r="O719" s="22" t="str">
        <f aca="false">INDEX('Tabela Passaro'!$C$2:$C$1795,$N719)</f>
        <v>FORTALEZA</v>
      </c>
      <c r="P719" s="22" t="str">
        <f aca="false">INDEX('Tabela Passaro'!$B$2:$B$1795,$N719)</f>
        <v>CE</v>
      </c>
      <c r="Q719" s="22" t="n">
        <f aca="false">INDEX('Tabela Passaro'!$F$2:$F$1795,$N719)</f>
        <v>8</v>
      </c>
      <c r="R719" s="32" t="n">
        <f aca="false">IF(J719&lt;=10,INDEX('Tabela Passaro'!$G$2:$G$1795,$N719),IF(J719&lt;=30,INDEX('Tabela Passaro'!$H$2:$H$1795,$N719),IF(J719&lt;=50,INDEX('Tabela Passaro'!$I$2:$I$1795,$N719),IF(J719&lt;=70,INDEX('Tabela Passaro'!$J$2:$J$1795,$N719),IF(J719&lt;=100,INDEX('Tabela Passaro'!$K$2:$K$1795,$N719),INDEX('Tabela Passaro'!$K$2:$K$1795,$N719)+(J719-100)*INDEX('Tabela Passaro'!$L$2:$L$1795,$N719))))))</f>
        <v>186.18</v>
      </c>
      <c r="S719" s="32" t="n">
        <f aca="false">K719*INDEX('Tabela Passaro'!$M$2:$M$1795,$N719)</f>
        <v>4.69995</v>
      </c>
      <c r="T719" s="32" t="n">
        <f aca="false">K719*INDEX('Tabela Passaro'!$N$2:$N$1795,$N719)</f>
        <v>1.87998</v>
      </c>
      <c r="U719" s="32" t="n">
        <f aca="false">INDEX('Tabela Passaro'!$O$2:$O$1795,$N719)</f>
        <v>5</v>
      </c>
      <c r="V719" s="32" t="n">
        <f aca="false">ROUNDUP(J719/INDEX('Tabela Passaro'!$Q$2:$Q$1795,$N719),0)*INDEX('Tabela Passaro'!$P$2:$P$1795,$N719)</f>
        <v>5</v>
      </c>
      <c r="W719" s="32" t="n">
        <f aca="false">INDEX('Tabela Passaro'!$R$2:$R$1795,$N719)</f>
        <v>30</v>
      </c>
      <c r="X719" s="32" t="n">
        <f aca="false">ROUNDUP(J719/INDEX('Tabela Passaro'!$T$2:$T$1795,$N719),0)*INDEX('Tabela Passaro'!$S$2:$S$1795,$N719)</f>
        <v>0</v>
      </c>
      <c r="Y719" s="32" t="n">
        <f aca="false">INDEX('Tabela Passaro'!$U$2:$U$1795,$N719)</f>
        <v>0</v>
      </c>
      <c r="Z719" s="32" t="n">
        <f aca="false">INDEX('Tabela Passaro'!$V$2:$V$1795,$N719)</f>
        <v>0</v>
      </c>
      <c r="AA719" s="32" t="n">
        <f aca="false">SUM(R719:Z719)</f>
        <v>232.75993</v>
      </c>
      <c r="AB719" s="33" t="n">
        <f aca="false">INDEX(Premissas!$B$5:$B$13,MATCH(A719,Premissas!$A$5:$A$13,0))</f>
        <v>0.07</v>
      </c>
      <c r="AC719" s="32" t="n">
        <f aca="false">AA719/(1-AB719)-AA719</f>
        <v>17.5195646236559</v>
      </c>
      <c r="AD719" s="32" t="n">
        <f aca="false">ROUND(AA719+AC719,2)</f>
        <v>250.28</v>
      </c>
      <c r="AE719" s="32" t="n">
        <f aca="false">AD719-L719</f>
        <v>-0.859999999999985</v>
      </c>
      <c r="AF719" s="34" t="n">
        <f aca="false">IF(L719=0,0,AE719/L719)</f>
        <v>-0.00342438480528783</v>
      </c>
      <c r="AG719" s="22" t="str">
        <f aca="false">IF(AD719&lt;L719,"PASSARO","ATUAL")</f>
        <v>PASSARO</v>
      </c>
      <c r="AH719" s="22" t="str">
        <f aca="false">IF(P719&lt;&gt;A719,"Faixa cadastrada como "&amp;P719&amp;" na tabela; preço aplicado pela UF do CEP","")</f>
        <v/>
      </c>
      <c r="AI719" s="26" t="n">
        <v>306.92</v>
      </c>
      <c r="AJ719" s="22" t="str">
        <f aca="false">INDEX('Tabela Passaro'!$X$2:$X$1795,$N719)</f>
        <v>CAPITAL</v>
      </c>
    </row>
    <row r="720" customFormat="false" ht="15" hidden="false" customHeight="false" outlineLevel="0" collapsed="false">
      <c r="A720" s="22" t="s">
        <v>17</v>
      </c>
      <c r="B720" s="22" t="n">
        <v>1</v>
      </c>
      <c r="C720" s="22" t="s">
        <v>95</v>
      </c>
      <c r="D720" s="22" t="s">
        <v>30</v>
      </c>
      <c r="E720" s="22" t="s">
        <v>7328</v>
      </c>
      <c r="F720" s="22" t="n">
        <v>2309898</v>
      </c>
      <c r="G720" s="30" t="n">
        <v>46244</v>
      </c>
      <c r="H720" s="22" t="n">
        <v>132384</v>
      </c>
      <c r="I720" s="22" t="s">
        <v>7990</v>
      </c>
      <c r="J720" s="31" t="n">
        <v>34.4</v>
      </c>
      <c r="K720" s="26" t="n">
        <v>599.37</v>
      </c>
      <c r="L720" s="26" t="n">
        <v>164.05</v>
      </c>
      <c r="M720" s="22" t="s">
        <v>2349</v>
      </c>
      <c r="N720" s="22" t="n">
        <f aca="false">MATCH(M720,'Tabela Passaro'!$A$2:$A$1795,0)</f>
        <v>522</v>
      </c>
      <c r="O720" s="22" t="str">
        <f aca="false">INDEX('Tabela Passaro'!$C$2:$C$1795,$N720)</f>
        <v>FORTALEZA</v>
      </c>
      <c r="P720" s="22" t="str">
        <f aca="false">INDEX('Tabela Passaro'!$B$2:$B$1795,$N720)</f>
        <v>CE</v>
      </c>
      <c r="Q720" s="22" t="n">
        <f aca="false">INDEX('Tabela Passaro'!$F$2:$F$1795,$N720)</f>
        <v>8</v>
      </c>
      <c r="R720" s="32" t="n">
        <f aca="false">IF(J720&lt;=10,INDEX('Tabela Passaro'!$G$2:$G$1795,$N720),IF(J720&lt;=30,INDEX('Tabela Passaro'!$H$2:$H$1795,$N720),IF(J720&lt;=50,INDEX('Tabela Passaro'!$I$2:$I$1795,$N720),IF(J720&lt;=70,INDEX('Tabela Passaro'!$J$2:$J$1795,$N720),IF(J720&lt;=100,INDEX('Tabela Passaro'!$K$2:$K$1795,$N720),INDEX('Tabela Passaro'!$K$2:$K$1795,$N720)+(J720-100)*INDEX('Tabela Passaro'!$L$2:$L$1795,$N720))))))</f>
        <v>152.98</v>
      </c>
      <c r="S720" s="32" t="n">
        <f aca="false">K720*INDEX('Tabela Passaro'!$M$2:$M$1795,$N720)</f>
        <v>2.99685</v>
      </c>
      <c r="T720" s="32" t="n">
        <f aca="false">K720*INDEX('Tabela Passaro'!$N$2:$N$1795,$N720)</f>
        <v>1.19874</v>
      </c>
      <c r="U720" s="32" t="n">
        <f aca="false">INDEX('Tabela Passaro'!$O$2:$O$1795,$N720)</f>
        <v>5</v>
      </c>
      <c r="V720" s="32" t="n">
        <f aca="false">ROUNDUP(J720/INDEX('Tabela Passaro'!$Q$2:$Q$1795,$N720),0)*INDEX('Tabela Passaro'!$P$2:$P$1795,$N720)</f>
        <v>5</v>
      </c>
      <c r="W720" s="32" t="n">
        <f aca="false">INDEX('Tabela Passaro'!$R$2:$R$1795,$N720)</f>
        <v>30</v>
      </c>
      <c r="X720" s="32" t="n">
        <f aca="false">ROUNDUP(J720/INDEX('Tabela Passaro'!$T$2:$T$1795,$N720),0)*INDEX('Tabela Passaro'!$S$2:$S$1795,$N720)</f>
        <v>0</v>
      </c>
      <c r="Y720" s="32" t="n">
        <f aca="false">INDEX('Tabela Passaro'!$U$2:$U$1795,$N720)</f>
        <v>0</v>
      </c>
      <c r="Z720" s="32" t="n">
        <f aca="false">INDEX('Tabela Passaro'!$V$2:$V$1795,$N720)</f>
        <v>0</v>
      </c>
      <c r="AA720" s="32" t="n">
        <f aca="false">SUM(R720:Z720)</f>
        <v>197.17559</v>
      </c>
      <c r="AB720" s="33" t="n">
        <f aca="false">INDEX(Premissas!$B$5:$B$13,MATCH(A720,Premissas!$A$5:$A$13,0))</f>
        <v>0.07</v>
      </c>
      <c r="AC720" s="32" t="n">
        <f aca="false">AA720/(1-AB720)-AA720</f>
        <v>14.8411734408602</v>
      </c>
      <c r="AD720" s="32" t="n">
        <f aca="false">ROUND(AA720+AC720,2)</f>
        <v>212.02</v>
      </c>
      <c r="AE720" s="32" t="n">
        <f aca="false">AD720-L720</f>
        <v>47.97</v>
      </c>
      <c r="AF720" s="34" t="n">
        <f aca="false">IF(L720=0,0,AE720/L720)</f>
        <v>0.292410850350503</v>
      </c>
      <c r="AG720" s="22" t="str">
        <f aca="false">IF(AD720&lt;L720,"PASSARO","ATUAL")</f>
        <v>ATUAL</v>
      </c>
      <c r="AH720" s="22" t="str">
        <f aca="false">IF(P720&lt;&gt;A720,"Faixa cadastrada como "&amp;P720&amp;" na tabela; preço aplicado pela UF do CEP","")</f>
        <v/>
      </c>
      <c r="AI720" s="26" t="n">
        <v>244.27</v>
      </c>
      <c r="AJ720" s="22" t="str">
        <f aca="false">INDEX('Tabela Passaro'!$X$2:$X$1795,$N720)</f>
        <v>CAPITAL</v>
      </c>
    </row>
    <row r="721" customFormat="false" ht="15" hidden="false" customHeight="false" outlineLevel="0" collapsed="false">
      <c r="A721" s="22" t="s">
        <v>17</v>
      </c>
      <c r="B721" s="22" t="n">
        <v>1</v>
      </c>
      <c r="C721" s="22" t="s">
        <v>95</v>
      </c>
      <c r="D721" s="22" t="s">
        <v>30</v>
      </c>
      <c r="E721" s="22" t="s">
        <v>7326</v>
      </c>
      <c r="F721" s="22" t="n">
        <v>523726</v>
      </c>
      <c r="G721" s="30" t="n">
        <v>46244</v>
      </c>
      <c r="H721" s="22" t="n">
        <v>622521</v>
      </c>
      <c r="I721" s="22" t="s">
        <v>7973</v>
      </c>
      <c r="J721" s="31" t="n">
        <v>31</v>
      </c>
      <c r="K721" s="26" t="n">
        <v>487.93</v>
      </c>
      <c r="L721" s="26" t="n">
        <v>184.53</v>
      </c>
      <c r="M721" s="22" t="s">
        <v>2349</v>
      </c>
      <c r="N721" s="22" t="n">
        <f aca="false">MATCH(M721,'Tabela Passaro'!$A$2:$A$1795,0)</f>
        <v>522</v>
      </c>
      <c r="O721" s="22" t="str">
        <f aca="false">INDEX('Tabela Passaro'!$C$2:$C$1795,$N721)</f>
        <v>FORTALEZA</v>
      </c>
      <c r="P721" s="22" t="str">
        <f aca="false">INDEX('Tabela Passaro'!$B$2:$B$1795,$N721)</f>
        <v>CE</v>
      </c>
      <c r="Q721" s="22" t="n">
        <f aca="false">INDEX('Tabela Passaro'!$F$2:$F$1795,$N721)</f>
        <v>8</v>
      </c>
      <c r="R721" s="32" t="n">
        <f aca="false">IF(J721&lt;=10,INDEX('Tabela Passaro'!$G$2:$G$1795,$N721),IF(J721&lt;=30,INDEX('Tabela Passaro'!$H$2:$H$1795,$N721),IF(J721&lt;=50,INDEX('Tabela Passaro'!$I$2:$I$1795,$N721),IF(J721&lt;=70,INDEX('Tabela Passaro'!$J$2:$J$1795,$N721),IF(J721&lt;=100,INDEX('Tabela Passaro'!$K$2:$K$1795,$N721),INDEX('Tabela Passaro'!$K$2:$K$1795,$N721)+(J721-100)*INDEX('Tabela Passaro'!$L$2:$L$1795,$N721))))))</f>
        <v>152.98</v>
      </c>
      <c r="S721" s="32" t="n">
        <f aca="false">K721*INDEX('Tabela Passaro'!$M$2:$M$1795,$N721)</f>
        <v>2.43965</v>
      </c>
      <c r="T721" s="32" t="n">
        <f aca="false">K721*INDEX('Tabela Passaro'!$N$2:$N$1795,$N721)</f>
        <v>0.97586</v>
      </c>
      <c r="U721" s="32" t="n">
        <f aca="false">INDEX('Tabela Passaro'!$O$2:$O$1795,$N721)</f>
        <v>5</v>
      </c>
      <c r="V721" s="32" t="n">
        <f aca="false">ROUNDUP(J721/INDEX('Tabela Passaro'!$Q$2:$Q$1795,$N721),0)*INDEX('Tabela Passaro'!$P$2:$P$1795,$N721)</f>
        <v>5</v>
      </c>
      <c r="W721" s="32" t="n">
        <f aca="false">INDEX('Tabela Passaro'!$R$2:$R$1795,$N721)</f>
        <v>30</v>
      </c>
      <c r="X721" s="32" t="n">
        <f aca="false">ROUNDUP(J721/INDEX('Tabela Passaro'!$T$2:$T$1795,$N721),0)*INDEX('Tabela Passaro'!$S$2:$S$1795,$N721)</f>
        <v>0</v>
      </c>
      <c r="Y721" s="32" t="n">
        <f aca="false">INDEX('Tabela Passaro'!$U$2:$U$1795,$N721)</f>
        <v>0</v>
      </c>
      <c r="Z721" s="32" t="n">
        <f aca="false">INDEX('Tabela Passaro'!$V$2:$V$1795,$N721)</f>
        <v>0</v>
      </c>
      <c r="AA721" s="32" t="n">
        <f aca="false">SUM(R721:Z721)</f>
        <v>196.39551</v>
      </c>
      <c r="AB721" s="33" t="n">
        <f aca="false">INDEX(Premissas!$B$5:$B$13,MATCH(A721,Premissas!$A$5:$A$13,0))</f>
        <v>0.07</v>
      </c>
      <c r="AC721" s="32" t="n">
        <f aca="false">AA721/(1-AB721)-AA721</f>
        <v>14.7824577419355</v>
      </c>
      <c r="AD721" s="32" t="n">
        <f aca="false">ROUND(AA721+AC721,2)</f>
        <v>211.18</v>
      </c>
      <c r="AE721" s="32" t="n">
        <f aca="false">AD721-L721</f>
        <v>26.65</v>
      </c>
      <c r="AF721" s="34" t="n">
        <f aca="false">IF(L721=0,0,AE721/L721)</f>
        <v>0.144420961361296</v>
      </c>
      <c r="AG721" s="22" t="str">
        <f aca="false">IF(AD721&lt;L721,"PASSARO","ATUAL")</f>
        <v>ATUAL</v>
      </c>
      <c r="AH721" s="22" t="str">
        <f aca="false">IF(P721&lt;&gt;A721,"Faixa cadastrada como "&amp;P721&amp;" na tabela; preço aplicado pela UF do CEP","")</f>
        <v/>
      </c>
      <c r="AI721" s="26" t="n">
        <v>241.26</v>
      </c>
      <c r="AJ721" s="22" t="str">
        <f aca="false">INDEX('Tabela Passaro'!$X$2:$X$1795,$N721)</f>
        <v>CAPITAL</v>
      </c>
    </row>
    <row r="722" customFormat="false" ht="15" hidden="false" customHeight="false" outlineLevel="0" collapsed="false">
      <c r="A722" s="22" t="s">
        <v>17</v>
      </c>
      <c r="B722" s="22" t="n">
        <v>1</v>
      </c>
      <c r="C722" s="22" t="s">
        <v>95</v>
      </c>
      <c r="D722" s="22" t="s">
        <v>30</v>
      </c>
      <c r="E722" s="22" t="s">
        <v>7326</v>
      </c>
      <c r="F722" s="22" t="n">
        <v>523803</v>
      </c>
      <c r="G722" s="30" t="n">
        <v>46245</v>
      </c>
      <c r="H722" s="22" t="n">
        <v>622314</v>
      </c>
      <c r="I722" s="22" t="s">
        <v>7991</v>
      </c>
      <c r="J722" s="31" t="n">
        <v>25.8</v>
      </c>
      <c r="K722" s="26" t="n">
        <v>492.98</v>
      </c>
      <c r="L722" s="26" t="n">
        <v>134.65</v>
      </c>
      <c r="M722" s="22" t="s">
        <v>2349</v>
      </c>
      <c r="N722" s="22" t="n">
        <f aca="false">MATCH(M722,'Tabela Passaro'!$A$2:$A$1795,0)</f>
        <v>522</v>
      </c>
      <c r="O722" s="22" t="str">
        <f aca="false">INDEX('Tabela Passaro'!$C$2:$C$1795,$N722)</f>
        <v>FORTALEZA</v>
      </c>
      <c r="P722" s="22" t="str">
        <f aca="false">INDEX('Tabela Passaro'!$B$2:$B$1795,$N722)</f>
        <v>CE</v>
      </c>
      <c r="Q722" s="22" t="n">
        <f aca="false">INDEX('Tabela Passaro'!$F$2:$F$1795,$N722)</f>
        <v>8</v>
      </c>
      <c r="R722" s="32" t="n">
        <f aca="false">IF(J722&lt;=10,INDEX('Tabela Passaro'!$G$2:$G$1795,$N722),IF(J722&lt;=30,INDEX('Tabela Passaro'!$H$2:$H$1795,$N722),IF(J722&lt;=50,INDEX('Tabela Passaro'!$I$2:$I$1795,$N722),IF(J722&lt;=70,INDEX('Tabela Passaro'!$J$2:$J$1795,$N722),IF(J722&lt;=100,INDEX('Tabela Passaro'!$K$2:$K$1795,$N722),INDEX('Tabela Passaro'!$K$2:$K$1795,$N722)+(J722-100)*INDEX('Tabela Passaro'!$L$2:$L$1795,$N722))))))</f>
        <v>130.85</v>
      </c>
      <c r="S722" s="32" t="n">
        <f aca="false">K722*INDEX('Tabela Passaro'!$M$2:$M$1795,$N722)</f>
        <v>2.4649</v>
      </c>
      <c r="T722" s="32" t="n">
        <f aca="false">K722*INDEX('Tabela Passaro'!$N$2:$N$1795,$N722)</f>
        <v>0.98596</v>
      </c>
      <c r="U722" s="32" t="n">
        <f aca="false">INDEX('Tabela Passaro'!$O$2:$O$1795,$N722)</f>
        <v>5</v>
      </c>
      <c r="V722" s="32" t="n">
        <f aca="false">ROUNDUP(J722/INDEX('Tabela Passaro'!$Q$2:$Q$1795,$N722),0)*INDEX('Tabela Passaro'!$P$2:$P$1795,$N722)</f>
        <v>5</v>
      </c>
      <c r="W722" s="32" t="n">
        <f aca="false">INDEX('Tabela Passaro'!$R$2:$R$1795,$N722)</f>
        <v>30</v>
      </c>
      <c r="X722" s="32" t="n">
        <f aca="false">ROUNDUP(J722/INDEX('Tabela Passaro'!$T$2:$T$1795,$N722),0)*INDEX('Tabela Passaro'!$S$2:$S$1795,$N722)</f>
        <v>0</v>
      </c>
      <c r="Y722" s="32" t="n">
        <f aca="false">INDEX('Tabela Passaro'!$U$2:$U$1795,$N722)</f>
        <v>0</v>
      </c>
      <c r="Z722" s="32" t="n">
        <f aca="false">INDEX('Tabela Passaro'!$V$2:$V$1795,$N722)</f>
        <v>0</v>
      </c>
      <c r="AA722" s="32" t="n">
        <f aca="false">SUM(R722:Z722)</f>
        <v>174.30086</v>
      </c>
      <c r="AB722" s="33" t="n">
        <f aca="false">INDEX(Premissas!$B$5:$B$13,MATCH(A722,Premissas!$A$5:$A$13,0))</f>
        <v>0.07</v>
      </c>
      <c r="AC722" s="32" t="n">
        <f aca="false">AA722/(1-AB722)-AA722</f>
        <v>13.1194195698925</v>
      </c>
      <c r="AD722" s="32" t="n">
        <f aca="false">ROUND(AA722+AC722,2)</f>
        <v>187.42</v>
      </c>
      <c r="AE722" s="32" t="n">
        <f aca="false">AD722-L722</f>
        <v>52.77</v>
      </c>
      <c r="AF722" s="34" t="n">
        <f aca="false">IF(L722=0,0,AE722/L722)</f>
        <v>0.391904938730041</v>
      </c>
      <c r="AG722" s="22" t="str">
        <f aca="false">IF(AD722&lt;L722,"PASSARO","ATUAL")</f>
        <v>ATUAL</v>
      </c>
      <c r="AH722" s="22" t="str">
        <f aca="false">IF(P722&lt;&gt;A722,"Faixa cadastrada como "&amp;P722&amp;" na tabela; preço aplicado pela UF do CEP","")</f>
        <v/>
      </c>
      <c r="AI722" s="26" t="n">
        <v>213.85</v>
      </c>
      <c r="AJ722" s="22" t="str">
        <f aca="false">INDEX('Tabela Passaro'!$X$2:$X$1795,$N722)</f>
        <v>CAPITAL</v>
      </c>
    </row>
    <row r="723" customFormat="false" ht="15" hidden="false" customHeight="false" outlineLevel="0" collapsed="false">
      <c r="A723" s="22" t="s">
        <v>17</v>
      </c>
      <c r="B723" s="22" t="n">
        <v>1</v>
      </c>
      <c r="C723" s="22" t="s">
        <v>95</v>
      </c>
      <c r="D723" s="22" t="s">
        <v>30</v>
      </c>
      <c r="E723" s="22" t="s">
        <v>7326</v>
      </c>
      <c r="F723" s="22" t="n">
        <v>523835</v>
      </c>
      <c r="G723" s="30" t="n">
        <v>46245</v>
      </c>
      <c r="H723" s="22" t="n">
        <v>623259</v>
      </c>
      <c r="I723" s="22" t="s">
        <v>7992</v>
      </c>
      <c r="J723" s="31" t="n">
        <v>49.6</v>
      </c>
      <c r="K723" s="26" t="n">
        <v>979.98</v>
      </c>
      <c r="L723" s="26" t="n">
        <v>188.71</v>
      </c>
      <c r="M723" s="22" t="s">
        <v>2349</v>
      </c>
      <c r="N723" s="22" t="n">
        <f aca="false">MATCH(M723,'Tabela Passaro'!$A$2:$A$1795,0)</f>
        <v>522</v>
      </c>
      <c r="O723" s="22" t="str">
        <f aca="false">INDEX('Tabela Passaro'!$C$2:$C$1795,$N723)</f>
        <v>FORTALEZA</v>
      </c>
      <c r="P723" s="22" t="str">
        <f aca="false">INDEX('Tabela Passaro'!$B$2:$B$1795,$N723)</f>
        <v>CE</v>
      </c>
      <c r="Q723" s="22" t="n">
        <f aca="false">INDEX('Tabela Passaro'!$F$2:$F$1795,$N723)</f>
        <v>8</v>
      </c>
      <c r="R723" s="32" t="n">
        <f aca="false">IF(J723&lt;=10,INDEX('Tabela Passaro'!$G$2:$G$1795,$N723),IF(J723&lt;=30,INDEX('Tabela Passaro'!$H$2:$H$1795,$N723),IF(J723&lt;=50,INDEX('Tabela Passaro'!$I$2:$I$1795,$N723),IF(J723&lt;=70,INDEX('Tabela Passaro'!$J$2:$J$1795,$N723),IF(J723&lt;=100,INDEX('Tabela Passaro'!$K$2:$K$1795,$N723),INDEX('Tabela Passaro'!$K$2:$K$1795,$N723)+(J723-100)*INDEX('Tabela Passaro'!$L$2:$L$1795,$N723))))))</f>
        <v>152.98</v>
      </c>
      <c r="S723" s="32" t="n">
        <f aca="false">K723*INDEX('Tabela Passaro'!$M$2:$M$1795,$N723)</f>
        <v>4.8999</v>
      </c>
      <c r="T723" s="32" t="n">
        <f aca="false">K723*INDEX('Tabela Passaro'!$N$2:$N$1795,$N723)</f>
        <v>1.95996</v>
      </c>
      <c r="U723" s="32" t="n">
        <f aca="false">INDEX('Tabela Passaro'!$O$2:$O$1795,$N723)</f>
        <v>5</v>
      </c>
      <c r="V723" s="32" t="n">
        <f aca="false">ROUNDUP(J723/INDEX('Tabela Passaro'!$Q$2:$Q$1795,$N723),0)*INDEX('Tabela Passaro'!$P$2:$P$1795,$N723)</f>
        <v>5</v>
      </c>
      <c r="W723" s="32" t="n">
        <f aca="false">INDEX('Tabela Passaro'!$R$2:$R$1795,$N723)</f>
        <v>30</v>
      </c>
      <c r="X723" s="32" t="n">
        <f aca="false">ROUNDUP(J723/INDEX('Tabela Passaro'!$T$2:$T$1795,$N723),0)*INDEX('Tabela Passaro'!$S$2:$S$1795,$N723)</f>
        <v>0</v>
      </c>
      <c r="Y723" s="32" t="n">
        <f aca="false">INDEX('Tabela Passaro'!$U$2:$U$1795,$N723)</f>
        <v>0</v>
      </c>
      <c r="Z723" s="32" t="n">
        <f aca="false">INDEX('Tabela Passaro'!$V$2:$V$1795,$N723)</f>
        <v>0</v>
      </c>
      <c r="AA723" s="32" t="n">
        <f aca="false">SUM(R723:Z723)</f>
        <v>199.83986</v>
      </c>
      <c r="AB723" s="33" t="n">
        <f aca="false">INDEX(Premissas!$B$5:$B$13,MATCH(A723,Premissas!$A$5:$A$13,0))</f>
        <v>0.07</v>
      </c>
      <c r="AC723" s="32" t="n">
        <f aca="false">AA723/(1-AB723)-AA723</f>
        <v>15.0417098924731</v>
      </c>
      <c r="AD723" s="32" t="n">
        <f aca="false">ROUND(AA723+AC723,2)</f>
        <v>214.88</v>
      </c>
      <c r="AE723" s="32" t="n">
        <f aca="false">AD723-L723</f>
        <v>26.17</v>
      </c>
      <c r="AF723" s="34" t="n">
        <f aca="false">IF(L723=0,0,AE723/L723)</f>
        <v>0.138678395421546</v>
      </c>
      <c r="AG723" s="22" t="str">
        <f aca="false">IF(AD723&lt;L723,"PASSARO","ATUAL")</f>
        <v>ATUAL</v>
      </c>
      <c r="AH723" s="22" t="str">
        <f aca="false">IF(P723&lt;&gt;A723,"Faixa cadastrada como "&amp;P723&amp;" na tabela; preço aplicado pela UF do CEP","")</f>
        <v/>
      </c>
      <c r="AI723" s="26" t="n">
        <v>255.21</v>
      </c>
      <c r="AJ723" s="22" t="str">
        <f aca="false">INDEX('Tabela Passaro'!$X$2:$X$1795,$N723)</f>
        <v>CAPITAL</v>
      </c>
    </row>
    <row r="724" customFormat="false" ht="15" hidden="false" customHeight="false" outlineLevel="0" collapsed="false">
      <c r="A724" s="22" t="s">
        <v>17</v>
      </c>
      <c r="B724" s="22" t="n">
        <v>1</v>
      </c>
      <c r="C724" s="22" t="s">
        <v>95</v>
      </c>
      <c r="D724" s="22" t="s">
        <v>30</v>
      </c>
      <c r="E724" s="22" t="s">
        <v>7326</v>
      </c>
      <c r="F724" s="22" t="n">
        <v>523846</v>
      </c>
      <c r="G724" s="30" t="n">
        <v>46245</v>
      </c>
      <c r="H724" s="22" t="n">
        <v>623574</v>
      </c>
      <c r="I724" s="22" t="s">
        <v>7993</v>
      </c>
      <c r="J724" s="31" t="n">
        <v>89.6</v>
      </c>
      <c r="K724" s="26" t="n">
        <v>1769.95</v>
      </c>
      <c r="L724" s="26" t="n">
        <v>307.73</v>
      </c>
      <c r="M724" s="22" t="s">
        <v>2349</v>
      </c>
      <c r="N724" s="22" t="n">
        <f aca="false">MATCH(M724,'Tabela Passaro'!$A$2:$A$1795,0)</f>
        <v>522</v>
      </c>
      <c r="O724" s="22" t="str">
        <f aca="false">INDEX('Tabela Passaro'!$C$2:$C$1795,$N724)</f>
        <v>FORTALEZA</v>
      </c>
      <c r="P724" s="22" t="str">
        <f aca="false">INDEX('Tabela Passaro'!$B$2:$B$1795,$N724)</f>
        <v>CE</v>
      </c>
      <c r="Q724" s="22" t="n">
        <f aca="false">INDEX('Tabela Passaro'!$F$2:$F$1795,$N724)</f>
        <v>8</v>
      </c>
      <c r="R724" s="32" t="n">
        <f aca="false">IF(J724&lt;=10,INDEX('Tabela Passaro'!$G$2:$G$1795,$N724),IF(J724&lt;=30,INDEX('Tabela Passaro'!$H$2:$H$1795,$N724),IF(J724&lt;=50,INDEX('Tabela Passaro'!$I$2:$I$1795,$N724),IF(J724&lt;=70,INDEX('Tabela Passaro'!$J$2:$J$1795,$N724),IF(J724&lt;=100,INDEX('Tabela Passaro'!$K$2:$K$1795,$N724),INDEX('Tabela Passaro'!$K$2:$K$1795,$N724)+(J724-100)*INDEX('Tabela Passaro'!$L$2:$L$1795,$N724))))))</f>
        <v>186.18</v>
      </c>
      <c r="S724" s="32" t="n">
        <f aca="false">K724*INDEX('Tabela Passaro'!$M$2:$M$1795,$N724)</f>
        <v>8.84975</v>
      </c>
      <c r="T724" s="32" t="n">
        <f aca="false">K724*INDEX('Tabela Passaro'!$N$2:$N$1795,$N724)</f>
        <v>3.5399</v>
      </c>
      <c r="U724" s="32" t="n">
        <f aca="false">INDEX('Tabela Passaro'!$O$2:$O$1795,$N724)</f>
        <v>5</v>
      </c>
      <c r="V724" s="32" t="n">
        <f aca="false">ROUNDUP(J724/INDEX('Tabela Passaro'!$Q$2:$Q$1795,$N724),0)*INDEX('Tabela Passaro'!$P$2:$P$1795,$N724)</f>
        <v>5</v>
      </c>
      <c r="W724" s="32" t="n">
        <f aca="false">INDEX('Tabela Passaro'!$R$2:$R$1795,$N724)</f>
        <v>30</v>
      </c>
      <c r="X724" s="32" t="n">
        <f aca="false">ROUNDUP(J724/INDEX('Tabela Passaro'!$T$2:$T$1795,$N724),0)*INDEX('Tabela Passaro'!$S$2:$S$1795,$N724)</f>
        <v>0</v>
      </c>
      <c r="Y724" s="32" t="n">
        <f aca="false">INDEX('Tabela Passaro'!$U$2:$U$1795,$N724)</f>
        <v>0</v>
      </c>
      <c r="Z724" s="32" t="n">
        <f aca="false">INDEX('Tabela Passaro'!$V$2:$V$1795,$N724)</f>
        <v>0</v>
      </c>
      <c r="AA724" s="32" t="n">
        <f aca="false">SUM(R724:Z724)</f>
        <v>238.56965</v>
      </c>
      <c r="AB724" s="33" t="n">
        <f aca="false">INDEX(Premissas!$B$5:$B$13,MATCH(A724,Premissas!$A$5:$A$13,0))</f>
        <v>0.07</v>
      </c>
      <c r="AC724" s="32" t="n">
        <f aca="false">AA724/(1-AB724)-AA724</f>
        <v>17.9568553763441</v>
      </c>
      <c r="AD724" s="32" t="n">
        <f aca="false">ROUND(AA724+AC724,2)</f>
        <v>256.53</v>
      </c>
      <c r="AE724" s="32" t="n">
        <f aca="false">AD724-L724</f>
        <v>-51.2</v>
      </c>
      <c r="AF724" s="34" t="n">
        <f aca="false">IF(L724=0,0,AE724/L724)</f>
        <v>-0.166379618496734</v>
      </c>
      <c r="AG724" s="22" t="str">
        <f aca="false">IF(AD724&lt;L724,"PASSARO","ATUAL")</f>
        <v>PASSARO</v>
      </c>
      <c r="AH724" s="22" t="str">
        <f aca="false">IF(P724&lt;&gt;A724,"Faixa cadastrada como "&amp;P724&amp;" na tabela; preço aplicado pela UF do CEP","")</f>
        <v/>
      </c>
      <c r="AI724" s="26" t="n">
        <v>319.8</v>
      </c>
      <c r="AJ724" s="22" t="str">
        <f aca="false">INDEX('Tabela Passaro'!$X$2:$X$1795,$N724)</f>
        <v>CAPITAL</v>
      </c>
    </row>
    <row r="725" customFormat="false" ht="15" hidden="false" customHeight="false" outlineLevel="0" collapsed="false">
      <c r="A725" s="22" t="s">
        <v>17</v>
      </c>
      <c r="B725" s="22" t="n">
        <v>1</v>
      </c>
      <c r="C725" s="22" t="s">
        <v>95</v>
      </c>
      <c r="D725" s="22" t="s">
        <v>30</v>
      </c>
      <c r="E725" s="22" t="s">
        <v>7326</v>
      </c>
      <c r="F725" s="22" t="n">
        <v>523848</v>
      </c>
      <c r="G725" s="30" t="n">
        <v>46245</v>
      </c>
      <c r="H725" s="22" t="n">
        <v>623576</v>
      </c>
      <c r="I725" s="22" t="s">
        <v>7994</v>
      </c>
      <c r="J725" s="31" t="n">
        <v>51.06</v>
      </c>
      <c r="K725" s="26" t="n">
        <v>890.87</v>
      </c>
      <c r="L725" s="26" t="n">
        <v>231.05</v>
      </c>
      <c r="M725" s="22" t="s">
        <v>2349</v>
      </c>
      <c r="N725" s="22" t="n">
        <f aca="false">MATCH(M725,'Tabela Passaro'!$A$2:$A$1795,0)</f>
        <v>522</v>
      </c>
      <c r="O725" s="22" t="str">
        <f aca="false">INDEX('Tabela Passaro'!$C$2:$C$1795,$N725)</f>
        <v>FORTALEZA</v>
      </c>
      <c r="P725" s="22" t="str">
        <f aca="false">INDEX('Tabela Passaro'!$B$2:$B$1795,$N725)</f>
        <v>CE</v>
      </c>
      <c r="Q725" s="22" t="n">
        <f aca="false">INDEX('Tabela Passaro'!$F$2:$F$1795,$N725)</f>
        <v>8</v>
      </c>
      <c r="R725" s="32" t="n">
        <f aca="false">IF(J725&lt;=10,INDEX('Tabela Passaro'!$G$2:$G$1795,$N725),IF(J725&lt;=30,INDEX('Tabela Passaro'!$H$2:$H$1795,$N725),IF(J725&lt;=50,INDEX('Tabela Passaro'!$I$2:$I$1795,$N725),IF(J725&lt;=70,INDEX('Tabela Passaro'!$J$2:$J$1795,$N725),IF(J725&lt;=100,INDEX('Tabela Passaro'!$K$2:$K$1795,$N725),INDEX('Tabela Passaro'!$K$2:$K$1795,$N725)+(J725-100)*INDEX('Tabela Passaro'!$L$2:$L$1795,$N725))))))</f>
        <v>169.58</v>
      </c>
      <c r="S725" s="32" t="n">
        <f aca="false">K725*INDEX('Tabela Passaro'!$M$2:$M$1795,$N725)</f>
        <v>4.45435</v>
      </c>
      <c r="T725" s="32" t="n">
        <f aca="false">K725*INDEX('Tabela Passaro'!$N$2:$N$1795,$N725)</f>
        <v>1.78174</v>
      </c>
      <c r="U725" s="32" t="n">
        <f aca="false">INDEX('Tabela Passaro'!$O$2:$O$1795,$N725)</f>
        <v>5</v>
      </c>
      <c r="V725" s="32" t="n">
        <f aca="false">ROUNDUP(J725/INDEX('Tabela Passaro'!$Q$2:$Q$1795,$N725),0)*INDEX('Tabela Passaro'!$P$2:$P$1795,$N725)</f>
        <v>5</v>
      </c>
      <c r="W725" s="32" t="n">
        <f aca="false">INDEX('Tabela Passaro'!$R$2:$R$1795,$N725)</f>
        <v>30</v>
      </c>
      <c r="X725" s="32" t="n">
        <f aca="false">ROUNDUP(J725/INDEX('Tabela Passaro'!$T$2:$T$1795,$N725),0)*INDEX('Tabela Passaro'!$S$2:$S$1795,$N725)</f>
        <v>0</v>
      </c>
      <c r="Y725" s="32" t="n">
        <f aca="false">INDEX('Tabela Passaro'!$U$2:$U$1795,$N725)</f>
        <v>0</v>
      </c>
      <c r="Z725" s="32" t="n">
        <f aca="false">INDEX('Tabela Passaro'!$V$2:$V$1795,$N725)</f>
        <v>0</v>
      </c>
      <c r="AA725" s="32" t="n">
        <f aca="false">SUM(R725:Z725)</f>
        <v>215.81609</v>
      </c>
      <c r="AB725" s="33" t="n">
        <f aca="false">INDEX(Premissas!$B$5:$B$13,MATCH(A725,Premissas!$A$5:$A$13,0))</f>
        <v>0.07</v>
      </c>
      <c r="AC725" s="32" t="n">
        <f aca="false">AA725/(1-AB725)-AA725</f>
        <v>16.244221827957</v>
      </c>
      <c r="AD725" s="32" t="n">
        <f aca="false">ROUND(AA725+AC725,2)</f>
        <v>232.06</v>
      </c>
      <c r="AE725" s="32" t="n">
        <f aca="false">AD725-L725</f>
        <v>1.00999999999999</v>
      </c>
      <c r="AF725" s="34" t="n">
        <f aca="false">IF(L725=0,0,AE725/L725)</f>
        <v>0.00437134819303177</v>
      </c>
      <c r="AG725" s="22" t="str">
        <f aca="false">IF(AD725&lt;L725,"PASSARO","ATUAL")</f>
        <v>ATUAL</v>
      </c>
      <c r="AH725" s="22" t="str">
        <f aca="false">IF(P725&lt;&gt;A725,"Faixa cadastrada como "&amp;P725&amp;" na tabela; preço aplicado pela UF do CEP","")</f>
        <v/>
      </c>
      <c r="AI725" s="26" t="n">
        <v>274.12</v>
      </c>
      <c r="AJ725" s="22" t="str">
        <f aca="false">INDEX('Tabela Passaro'!$X$2:$X$1795,$N725)</f>
        <v>CAPITAL</v>
      </c>
    </row>
    <row r="726" customFormat="false" ht="15" hidden="false" customHeight="false" outlineLevel="0" collapsed="false">
      <c r="A726" s="22" t="s">
        <v>17</v>
      </c>
      <c r="B726" s="22" t="n">
        <v>1</v>
      </c>
      <c r="C726" s="22" t="s">
        <v>95</v>
      </c>
      <c r="D726" s="22" t="s">
        <v>30</v>
      </c>
      <c r="E726" s="22" t="s">
        <v>7326</v>
      </c>
      <c r="F726" s="22" t="n">
        <v>523861</v>
      </c>
      <c r="G726" s="30" t="n">
        <v>46245</v>
      </c>
      <c r="H726" s="22" t="n">
        <v>623706</v>
      </c>
      <c r="I726" s="22" t="s">
        <v>7995</v>
      </c>
      <c r="J726" s="31" t="n">
        <v>44.5</v>
      </c>
      <c r="K726" s="26" t="n">
        <v>1085.98</v>
      </c>
      <c r="L726" s="26" t="n">
        <v>189.6</v>
      </c>
      <c r="M726" s="22" t="s">
        <v>2349</v>
      </c>
      <c r="N726" s="22" t="n">
        <f aca="false">MATCH(M726,'Tabela Passaro'!$A$2:$A$1795,0)</f>
        <v>522</v>
      </c>
      <c r="O726" s="22" t="str">
        <f aca="false">INDEX('Tabela Passaro'!$C$2:$C$1795,$N726)</f>
        <v>FORTALEZA</v>
      </c>
      <c r="P726" s="22" t="str">
        <f aca="false">INDEX('Tabela Passaro'!$B$2:$B$1795,$N726)</f>
        <v>CE</v>
      </c>
      <c r="Q726" s="22" t="n">
        <f aca="false">INDEX('Tabela Passaro'!$F$2:$F$1795,$N726)</f>
        <v>8</v>
      </c>
      <c r="R726" s="32" t="n">
        <f aca="false">IF(J726&lt;=10,INDEX('Tabela Passaro'!$G$2:$G$1795,$N726),IF(J726&lt;=30,INDEX('Tabela Passaro'!$H$2:$H$1795,$N726),IF(J726&lt;=50,INDEX('Tabela Passaro'!$I$2:$I$1795,$N726),IF(J726&lt;=70,INDEX('Tabela Passaro'!$J$2:$J$1795,$N726),IF(J726&lt;=100,INDEX('Tabela Passaro'!$K$2:$K$1795,$N726),INDEX('Tabela Passaro'!$K$2:$K$1795,$N726)+(J726-100)*INDEX('Tabela Passaro'!$L$2:$L$1795,$N726))))))</f>
        <v>152.98</v>
      </c>
      <c r="S726" s="32" t="n">
        <f aca="false">K726*INDEX('Tabela Passaro'!$M$2:$M$1795,$N726)</f>
        <v>5.4299</v>
      </c>
      <c r="T726" s="32" t="n">
        <f aca="false">K726*INDEX('Tabela Passaro'!$N$2:$N$1795,$N726)</f>
        <v>2.17196</v>
      </c>
      <c r="U726" s="32" t="n">
        <f aca="false">INDEX('Tabela Passaro'!$O$2:$O$1795,$N726)</f>
        <v>5</v>
      </c>
      <c r="V726" s="32" t="n">
        <f aca="false">ROUNDUP(J726/INDEX('Tabela Passaro'!$Q$2:$Q$1795,$N726),0)*INDEX('Tabela Passaro'!$P$2:$P$1795,$N726)</f>
        <v>5</v>
      </c>
      <c r="W726" s="32" t="n">
        <f aca="false">INDEX('Tabela Passaro'!$R$2:$R$1795,$N726)</f>
        <v>30</v>
      </c>
      <c r="X726" s="32" t="n">
        <f aca="false">ROUNDUP(J726/INDEX('Tabela Passaro'!$T$2:$T$1795,$N726),0)*INDEX('Tabela Passaro'!$S$2:$S$1795,$N726)</f>
        <v>0</v>
      </c>
      <c r="Y726" s="32" t="n">
        <f aca="false">INDEX('Tabela Passaro'!$U$2:$U$1795,$N726)</f>
        <v>0</v>
      </c>
      <c r="Z726" s="32" t="n">
        <f aca="false">INDEX('Tabela Passaro'!$V$2:$V$1795,$N726)</f>
        <v>0</v>
      </c>
      <c r="AA726" s="32" t="n">
        <f aca="false">SUM(R726:Z726)</f>
        <v>200.58186</v>
      </c>
      <c r="AB726" s="33" t="n">
        <f aca="false">INDEX(Premissas!$B$5:$B$13,MATCH(A726,Premissas!$A$5:$A$13,0))</f>
        <v>0.07</v>
      </c>
      <c r="AC726" s="32" t="n">
        <f aca="false">AA726/(1-AB726)-AA726</f>
        <v>15.0975593548387</v>
      </c>
      <c r="AD726" s="32" t="n">
        <f aca="false">ROUND(AA726+AC726,2)</f>
        <v>215.68</v>
      </c>
      <c r="AE726" s="32" t="n">
        <f aca="false">AD726-L726</f>
        <v>26.08</v>
      </c>
      <c r="AF726" s="34" t="n">
        <f aca="false">IF(L726=0,0,AE726/L726)</f>
        <v>0.137552742616034</v>
      </c>
      <c r="AG726" s="22" t="str">
        <f aca="false">IF(AD726&lt;L726,"PASSARO","ATUAL")</f>
        <v>ATUAL</v>
      </c>
      <c r="AH726" s="22" t="str">
        <f aca="false">IF(P726&lt;&gt;A726,"Faixa cadastrada como "&amp;P726&amp;" na tabela; preço aplicado pela UF do CEP","")</f>
        <v/>
      </c>
      <c r="AI726" s="26" t="n">
        <v>253.82</v>
      </c>
      <c r="AJ726" s="22" t="str">
        <f aca="false">INDEX('Tabela Passaro'!$X$2:$X$1795,$N726)</f>
        <v>CAPITAL</v>
      </c>
    </row>
    <row r="727" customFormat="false" ht="15" hidden="false" customHeight="false" outlineLevel="0" collapsed="false">
      <c r="A727" s="22" t="s">
        <v>17</v>
      </c>
      <c r="B727" s="22" t="n">
        <v>1</v>
      </c>
      <c r="C727" s="22" t="s">
        <v>95</v>
      </c>
      <c r="D727" s="22" t="s">
        <v>30</v>
      </c>
      <c r="E727" s="22" t="s">
        <v>7326</v>
      </c>
      <c r="F727" s="22" t="n">
        <v>523864</v>
      </c>
      <c r="G727" s="30" t="n">
        <v>46245</v>
      </c>
      <c r="H727" s="22" t="n">
        <v>623707</v>
      </c>
      <c r="I727" s="22" t="s">
        <v>7996</v>
      </c>
      <c r="J727" s="31" t="n">
        <v>9.5</v>
      </c>
      <c r="K727" s="26" t="n">
        <v>358.95</v>
      </c>
      <c r="L727" s="26" t="n">
        <v>74.52</v>
      </c>
      <c r="M727" s="22" t="s">
        <v>2349</v>
      </c>
      <c r="N727" s="22" t="n">
        <f aca="false">MATCH(M727,'Tabela Passaro'!$A$2:$A$1795,0)</f>
        <v>522</v>
      </c>
      <c r="O727" s="22" t="str">
        <f aca="false">INDEX('Tabela Passaro'!$C$2:$C$1795,$N727)</f>
        <v>FORTALEZA</v>
      </c>
      <c r="P727" s="22" t="str">
        <f aca="false">INDEX('Tabela Passaro'!$B$2:$B$1795,$N727)</f>
        <v>CE</v>
      </c>
      <c r="Q727" s="22" t="n">
        <f aca="false">INDEX('Tabela Passaro'!$F$2:$F$1795,$N727)</f>
        <v>8</v>
      </c>
      <c r="R727" s="32" t="n">
        <f aca="false">IF(J727&lt;=10,INDEX('Tabela Passaro'!$G$2:$G$1795,$N727),IF(J727&lt;=30,INDEX('Tabela Passaro'!$H$2:$H$1795,$N727),IF(J727&lt;=50,INDEX('Tabela Passaro'!$I$2:$I$1795,$N727),IF(J727&lt;=70,INDEX('Tabela Passaro'!$J$2:$J$1795,$N727),IF(J727&lt;=100,INDEX('Tabela Passaro'!$K$2:$K$1795,$N727),INDEX('Tabela Passaro'!$K$2:$K$1795,$N727)+(J727-100)*INDEX('Tabela Passaro'!$L$2:$L$1795,$N727))))))</f>
        <v>108.72</v>
      </c>
      <c r="S727" s="32" t="n">
        <f aca="false">K727*INDEX('Tabela Passaro'!$M$2:$M$1795,$N727)</f>
        <v>1.79475</v>
      </c>
      <c r="T727" s="32" t="n">
        <f aca="false">K727*INDEX('Tabela Passaro'!$N$2:$N$1795,$N727)</f>
        <v>0.7179</v>
      </c>
      <c r="U727" s="32" t="n">
        <f aca="false">INDEX('Tabela Passaro'!$O$2:$O$1795,$N727)</f>
        <v>5</v>
      </c>
      <c r="V727" s="32" t="n">
        <f aca="false">ROUNDUP(J727/INDEX('Tabela Passaro'!$Q$2:$Q$1795,$N727),0)*INDEX('Tabela Passaro'!$P$2:$P$1795,$N727)</f>
        <v>5</v>
      </c>
      <c r="W727" s="32" t="n">
        <f aca="false">INDEX('Tabela Passaro'!$R$2:$R$1795,$N727)</f>
        <v>30</v>
      </c>
      <c r="X727" s="32" t="n">
        <f aca="false">ROUNDUP(J727/INDEX('Tabela Passaro'!$T$2:$T$1795,$N727),0)*INDEX('Tabela Passaro'!$S$2:$S$1795,$N727)</f>
        <v>0</v>
      </c>
      <c r="Y727" s="32" t="n">
        <f aca="false">INDEX('Tabela Passaro'!$U$2:$U$1795,$N727)</f>
        <v>0</v>
      </c>
      <c r="Z727" s="32" t="n">
        <f aca="false">INDEX('Tabela Passaro'!$V$2:$V$1795,$N727)</f>
        <v>0</v>
      </c>
      <c r="AA727" s="32" t="n">
        <f aca="false">SUM(R727:Z727)</f>
        <v>151.23265</v>
      </c>
      <c r="AB727" s="33" t="n">
        <f aca="false">INDEX(Premissas!$B$5:$B$13,MATCH(A727,Premissas!$A$5:$A$13,0))</f>
        <v>0.07</v>
      </c>
      <c r="AC727" s="32" t="n">
        <f aca="false">AA727/(1-AB727)-AA727</f>
        <v>11.383102688172</v>
      </c>
      <c r="AD727" s="32" t="n">
        <f aca="false">ROUND(AA727+AC727,2)</f>
        <v>162.62</v>
      </c>
      <c r="AE727" s="32" t="n">
        <f aca="false">AD727-L727</f>
        <v>88.1</v>
      </c>
      <c r="AF727" s="34" t="n">
        <f aca="false">IF(L727=0,0,AE727/L727)</f>
        <v>1.18223295759528</v>
      </c>
      <c r="AG727" s="22" t="str">
        <f aca="false">IF(AD727&lt;L727,"PASSARO","ATUAL")</f>
        <v>ATUAL</v>
      </c>
      <c r="AH727" s="22" t="str">
        <f aca="false">IF(P727&lt;&gt;A727,"Faixa cadastrada como "&amp;P727&amp;" na tabela; preço aplicado pela UF do CEP","")</f>
        <v/>
      </c>
      <c r="AI727" s="26" t="n">
        <v>179.75</v>
      </c>
      <c r="AJ727" s="22" t="str">
        <f aca="false">INDEX('Tabela Passaro'!$X$2:$X$1795,$N727)</f>
        <v>CAPITAL</v>
      </c>
    </row>
    <row r="728" customFormat="false" ht="15" hidden="false" customHeight="false" outlineLevel="0" collapsed="false">
      <c r="A728" s="22" t="s">
        <v>17</v>
      </c>
      <c r="B728" s="22" t="n">
        <v>1</v>
      </c>
      <c r="C728" s="22" t="s">
        <v>95</v>
      </c>
      <c r="D728" s="22" t="s">
        <v>30</v>
      </c>
      <c r="E728" s="22" t="s">
        <v>20</v>
      </c>
      <c r="F728" s="22" t="n">
        <v>838730</v>
      </c>
      <c r="G728" s="30" t="n">
        <v>46246</v>
      </c>
      <c r="H728" s="22" t="n">
        <v>32497</v>
      </c>
      <c r="I728" s="22" t="s">
        <v>7997</v>
      </c>
      <c r="J728" s="31" t="n">
        <v>45</v>
      </c>
      <c r="K728" s="26" t="n">
        <v>919.98</v>
      </c>
      <c r="L728" s="26" t="n">
        <v>153.33</v>
      </c>
      <c r="M728" s="22" t="s">
        <v>2349</v>
      </c>
      <c r="N728" s="22" t="n">
        <f aca="false">MATCH(M728,'Tabela Passaro'!$A$2:$A$1795,0)</f>
        <v>522</v>
      </c>
      <c r="O728" s="22" t="str">
        <f aca="false">INDEX('Tabela Passaro'!$C$2:$C$1795,$N728)</f>
        <v>FORTALEZA</v>
      </c>
      <c r="P728" s="22" t="str">
        <f aca="false">INDEX('Tabela Passaro'!$B$2:$B$1795,$N728)</f>
        <v>CE</v>
      </c>
      <c r="Q728" s="22" t="n">
        <f aca="false">INDEX('Tabela Passaro'!$F$2:$F$1795,$N728)</f>
        <v>8</v>
      </c>
      <c r="R728" s="32" t="n">
        <f aca="false">IF(J728&lt;=10,INDEX('Tabela Passaro'!$G$2:$G$1795,$N728),IF(J728&lt;=30,INDEX('Tabela Passaro'!$H$2:$H$1795,$N728),IF(J728&lt;=50,INDEX('Tabela Passaro'!$I$2:$I$1795,$N728),IF(J728&lt;=70,INDEX('Tabela Passaro'!$J$2:$J$1795,$N728),IF(J728&lt;=100,INDEX('Tabela Passaro'!$K$2:$K$1795,$N728),INDEX('Tabela Passaro'!$K$2:$K$1795,$N728)+(J728-100)*INDEX('Tabela Passaro'!$L$2:$L$1795,$N728))))))</f>
        <v>152.98</v>
      </c>
      <c r="S728" s="32" t="n">
        <f aca="false">K728*INDEX('Tabela Passaro'!$M$2:$M$1795,$N728)</f>
        <v>4.5999</v>
      </c>
      <c r="T728" s="32" t="n">
        <f aca="false">K728*INDEX('Tabela Passaro'!$N$2:$N$1795,$N728)</f>
        <v>1.83996</v>
      </c>
      <c r="U728" s="32" t="n">
        <f aca="false">INDEX('Tabela Passaro'!$O$2:$O$1795,$N728)</f>
        <v>5</v>
      </c>
      <c r="V728" s="32" t="n">
        <f aca="false">ROUNDUP(J728/INDEX('Tabela Passaro'!$Q$2:$Q$1795,$N728),0)*INDEX('Tabela Passaro'!$P$2:$P$1795,$N728)</f>
        <v>5</v>
      </c>
      <c r="W728" s="32" t="n">
        <f aca="false">INDEX('Tabela Passaro'!$R$2:$R$1795,$N728)</f>
        <v>30</v>
      </c>
      <c r="X728" s="32" t="n">
        <f aca="false">ROUNDUP(J728/INDEX('Tabela Passaro'!$T$2:$T$1795,$N728),0)*INDEX('Tabela Passaro'!$S$2:$S$1795,$N728)</f>
        <v>0</v>
      </c>
      <c r="Y728" s="32" t="n">
        <f aca="false">INDEX('Tabela Passaro'!$U$2:$U$1795,$N728)</f>
        <v>0</v>
      </c>
      <c r="Z728" s="32" t="n">
        <f aca="false">INDEX('Tabela Passaro'!$V$2:$V$1795,$N728)</f>
        <v>0</v>
      </c>
      <c r="AA728" s="32" t="n">
        <f aca="false">SUM(R728:Z728)</f>
        <v>199.41986</v>
      </c>
      <c r="AB728" s="33" t="n">
        <f aca="false">INDEX(Premissas!$B$5:$B$13,MATCH(A728,Premissas!$A$5:$A$13,0))</f>
        <v>0.07</v>
      </c>
      <c r="AC728" s="32" t="n">
        <f aca="false">AA728/(1-AB728)-AA728</f>
        <v>15.0100969892473</v>
      </c>
      <c r="AD728" s="32" t="n">
        <f aca="false">ROUND(AA728+AC728,2)</f>
        <v>214.43</v>
      </c>
      <c r="AE728" s="32" t="n">
        <f aca="false">AD728-L728</f>
        <v>61.1</v>
      </c>
      <c r="AF728" s="34" t="n">
        <f aca="false">IF(L728=0,0,AE728/L728)</f>
        <v>0.398486923628774</v>
      </c>
      <c r="AG728" s="22" t="str">
        <f aca="false">IF(AD728&lt;L728,"PASSARO","ATUAL")</f>
        <v>ATUAL</v>
      </c>
      <c r="AH728" s="22" t="str">
        <f aca="false">IF(P728&lt;&gt;A728,"Faixa cadastrada como "&amp;P728&amp;" na tabela; preço aplicado pela UF do CEP","")</f>
        <v/>
      </c>
      <c r="AI728" s="26" t="n">
        <v>252.21</v>
      </c>
      <c r="AJ728" s="22" t="str">
        <f aca="false">INDEX('Tabela Passaro'!$X$2:$X$1795,$N728)</f>
        <v>CAPITAL</v>
      </c>
    </row>
    <row r="729" customFormat="false" ht="15" hidden="false" customHeight="false" outlineLevel="0" collapsed="false">
      <c r="A729" s="22" t="s">
        <v>17</v>
      </c>
      <c r="B729" s="22" t="n">
        <v>1</v>
      </c>
      <c r="C729" s="22" t="s">
        <v>95</v>
      </c>
      <c r="D729" s="22" t="s">
        <v>30</v>
      </c>
      <c r="E729" s="22" t="s">
        <v>7328</v>
      </c>
      <c r="F729" s="22" t="n">
        <v>2311260</v>
      </c>
      <c r="G729" s="30" t="n">
        <v>46246</v>
      </c>
      <c r="H729" s="22" t="n">
        <v>132713</v>
      </c>
      <c r="I729" s="22" t="s">
        <v>7998</v>
      </c>
      <c r="J729" s="31" t="n">
        <v>49.6</v>
      </c>
      <c r="K729" s="26" t="n">
        <v>1029.98</v>
      </c>
      <c r="L729" s="26" t="n">
        <v>167.45</v>
      </c>
      <c r="M729" s="22" t="s">
        <v>2349</v>
      </c>
      <c r="N729" s="22" t="n">
        <f aca="false">MATCH(M729,'Tabela Passaro'!$A$2:$A$1795,0)</f>
        <v>522</v>
      </c>
      <c r="O729" s="22" t="str">
        <f aca="false">INDEX('Tabela Passaro'!$C$2:$C$1795,$N729)</f>
        <v>FORTALEZA</v>
      </c>
      <c r="P729" s="22" t="str">
        <f aca="false">INDEX('Tabela Passaro'!$B$2:$B$1795,$N729)</f>
        <v>CE</v>
      </c>
      <c r="Q729" s="22" t="n">
        <f aca="false">INDEX('Tabela Passaro'!$F$2:$F$1795,$N729)</f>
        <v>8</v>
      </c>
      <c r="R729" s="32" t="n">
        <f aca="false">IF(J729&lt;=10,INDEX('Tabela Passaro'!$G$2:$G$1795,$N729),IF(J729&lt;=30,INDEX('Tabela Passaro'!$H$2:$H$1795,$N729),IF(J729&lt;=50,INDEX('Tabela Passaro'!$I$2:$I$1795,$N729),IF(J729&lt;=70,INDEX('Tabela Passaro'!$J$2:$J$1795,$N729),IF(J729&lt;=100,INDEX('Tabela Passaro'!$K$2:$K$1795,$N729),INDEX('Tabela Passaro'!$K$2:$K$1795,$N729)+(J729-100)*INDEX('Tabela Passaro'!$L$2:$L$1795,$N729))))))</f>
        <v>152.98</v>
      </c>
      <c r="S729" s="32" t="n">
        <f aca="false">K729*INDEX('Tabela Passaro'!$M$2:$M$1795,$N729)</f>
        <v>5.1499</v>
      </c>
      <c r="T729" s="32" t="n">
        <f aca="false">K729*INDEX('Tabela Passaro'!$N$2:$N$1795,$N729)</f>
        <v>2.05996</v>
      </c>
      <c r="U729" s="32" t="n">
        <f aca="false">INDEX('Tabela Passaro'!$O$2:$O$1795,$N729)</f>
        <v>5</v>
      </c>
      <c r="V729" s="32" t="n">
        <f aca="false">ROUNDUP(J729/INDEX('Tabela Passaro'!$Q$2:$Q$1795,$N729),0)*INDEX('Tabela Passaro'!$P$2:$P$1795,$N729)</f>
        <v>5</v>
      </c>
      <c r="W729" s="32" t="n">
        <f aca="false">INDEX('Tabela Passaro'!$R$2:$R$1795,$N729)</f>
        <v>30</v>
      </c>
      <c r="X729" s="32" t="n">
        <f aca="false">ROUNDUP(J729/INDEX('Tabela Passaro'!$T$2:$T$1795,$N729),0)*INDEX('Tabela Passaro'!$S$2:$S$1795,$N729)</f>
        <v>0</v>
      </c>
      <c r="Y729" s="32" t="n">
        <f aca="false">INDEX('Tabela Passaro'!$U$2:$U$1795,$N729)</f>
        <v>0</v>
      </c>
      <c r="Z729" s="32" t="n">
        <f aca="false">INDEX('Tabela Passaro'!$V$2:$V$1795,$N729)</f>
        <v>0</v>
      </c>
      <c r="AA729" s="32" t="n">
        <f aca="false">SUM(R729:Z729)</f>
        <v>200.18986</v>
      </c>
      <c r="AB729" s="33" t="n">
        <f aca="false">INDEX(Premissas!$B$5:$B$13,MATCH(A729,Premissas!$A$5:$A$13,0))</f>
        <v>0.07</v>
      </c>
      <c r="AC729" s="32" t="n">
        <f aca="false">AA729/(1-AB729)-AA729</f>
        <v>15.0680539784946</v>
      </c>
      <c r="AD729" s="32" t="n">
        <f aca="false">ROUND(AA729+AC729,2)</f>
        <v>215.26</v>
      </c>
      <c r="AE729" s="32" t="n">
        <f aca="false">AD729-L729</f>
        <v>47.81</v>
      </c>
      <c r="AF729" s="34" t="n">
        <f aca="false">IF(L729=0,0,AE729/L729)</f>
        <v>0.285518065094058</v>
      </c>
      <c r="AG729" s="22" t="str">
        <f aca="false">IF(AD729&lt;L729,"PASSARO","ATUAL")</f>
        <v>ATUAL</v>
      </c>
      <c r="AH729" s="22" t="str">
        <f aca="false">IF(P729&lt;&gt;A729,"Faixa cadastrada como "&amp;P729&amp;" na tabela; preço aplicado pela UF do CEP","")</f>
        <v/>
      </c>
      <c r="AI729" s="26" t="n">
        <v>255.7</v>
      </c>
      <c r="AJ729" s="22" t="str">
        <f aca="false">INDEX('Tabela Passaro'!$X$2:$X$1795,$N729)</f>
        <v>CAPITAL</v>
      </c>
    </row>
    <row r="730" customFormat="false" ht="15" hidden="false" customHeight="false" outlineLevel="0" collapsed="false">
      <c r="A730" s="22" t="s">
        <v>17</v>
      </c>
      <c r="B730" s="22" t="n">
        <v>1</v>
      </c>
      <c r="C730" s="22" t="s">
        <v>95</v>
      </c>
      <c r="D730" s="22" t="s">
        <v>30</v>
      </c>
      <c r="E730" s="22" t="s">
        <v>7328</v>
      </c>
      <c r="F730" s="22" t="n">
        <v>2311274</v>
      </c>
      <c r="G730" s="30" t="n">
        <v>46246</v>
      </c>
      <c r="H730" s="22" t="n">
        <v>132727</v>
      </c>
      <c r="I730" s="22" t="s">
        <v>7999</v>
      </c>
      <c r="J730" s="31" t="n">
        <v>26.9</v>
      </c>
      <c r="K730" s="26" t="n">
        <v>483.48</v>
      </c>
      <c r="L730" s="26" t="n">
        <v>124.1</v>
      </c>
      <c r="M730" s="22" t="s">
        <v>2349</v>
      </c>
      <c r="N730" s="22" t="n">
        <f aca="false">MATCH(M730,'Tabela Passaro'!$A$2:$A$1795,0)</f>
        <v>522</v>
      </c>
      <c r="O730" s="22" t="str">
        <f aca="false">INDEX('Tabela Passaro'!$C$2:$C$1795,$N730)</f>
        <v>FORTALEZA</v>
      </c>
      <c r="P730" s="22" t="str">
        <f aca="false">INDEX('Tabela Passaro'!$B$2:$B$1795,$N730)</f>
        <v>CE</v>
      </c>
      <c r="Q730" s="22" t="n">
        <f aca="false">INDEX('Tabela Passaro'!$F$2:$F$1795,$N730)</f>
        <v>8</v>
      </c>
      <c r="R730" s="32" t="n">
        <f aca="false">IF(J730&lt;=10,INDEX('Tabela Passaro'!$G$2:$G$1795,$N730),IF(J730&lt;=30,INDEX('Tabela Passaro'!$H$2:$H$1795,$N730),IF(J730&lt;=50,INDEX('Tabela Passaro'!$I$2:$I$1795,$N730),IF(J730&lt;=70,INDEX('Tabela Passaro'!$J$2:$J$1795,$N730),IF(J730&lt;=100,INDEX('Tabela Passaro'!$K$2:$K$1795,$N730),INDEX('Tabela Passaro'!$K$2:$K$1795,$N730)+(J730-100)*INDEX('Tabela Passaro'!$L$2:$L$1795,$N730))))))</f>
        <v>130.85</v>
      </c>
      <c r="S730" s="32" t="n">
        <f aca="false">K730*INDEX('Tabela Passaro'!$M$2:$M$1795,$N730)</f>
        <v>2.4174</v>
      </c>
      <c r="T730" s="32" t="n">
        <f aca="false">K730*INDEX('Tabela Passaro'!$N$2:$N$1795,$N730)</f>
        <v>0.96696</v>
      </c>
      <c r="U730" s="32" t="n">
        <f aca="false">INDEX('Tabela Passaro'!$O$2:$O$1795,$N730)</f>
        <v>5</v>
      </c>
      <c r="V730" s="32" t="n">
        <f aca="false">ROUNDUP(J730/INDEX('Tabela Passaro'!$Q$2:$Q$1795,$N730),0)*INDEX('Tabela Passaro'!$P$2:$P$1795,$N730)</f>
        <v>5</v>
      </c>
      <c r="W730" s="32" t="n">
        <f aca="false">INDEX('Tabela Passaro'!$R$2:$R$1795,$N730)</f>
        <v>30</v>
      </c>
      <c r="X730" s="32" t="n">
        <f aca="false">ROUNDUP(J730/INDEX('Tabela Passaro'!$T$2:$T$1795,$N730),0)*INDEX('Tabela Passaro'!$S$2:$S$1795,$N730)</f>
        <v>0</v>
      </c>
      <c r="Y730" s="32" t="n">
        <f aca="false">INDEX('Tabela Passaro'!$U$2:$U$1795,$N730)</f>
        <v>0</v>
      </c>
      <c r="Z730" s="32" t="n">
        <f aca="false">INDEX('Tabela Passaro'!$V$2:$V$1795,$N730)</f>
        <v>0</v>
      </c>
      <c r="AA730" s="32" t="n">
        <f aca="false">SUM(R730:Z730)</f>
        <v>174.23436</v>
      </c>
      <c r="AB730" s="33" t="n">
        <f aca="false">INDEX(Premissas!$B$5:$B$13,MATCH(A730,Premissas!$A$5:$A$13,0))</f>
        <v>0.07</v>
      </c>
      <c r="AC730" s="32" t="n">
        <f aca="false">AA730/(1-AB730)-AA730</f>
        <v>13.1144141935484</v>
      </c>
      <c r="AD730" s="32" t="n">
        <f aca="false">ROUND(AA730+AC730,2)</f>
        <v>187.35</v>
      </c>
      <c r="AE730" s="32" t="n">
        <f aca="false">AD730-L730</f>
        <v>63.25</v>
      </c>
      <c r="AF730" s="34" t="n">
        <f aca="false">IF(L730=0,0,AE730/L730)</f>
        <v>0.509669621273167</v>
      </c>
      <c r="AG730" s="22" t="str">
        <f aca="false">IF(AD730&lt;L730,"PASSARO","ATUAL")</f>
        <v>ATUAL</v>
      </c>
      <c r="AH730" s="22" t="str">
        <f aca="false">IF(P730&lt;&gt;A730,"Faixa cadastrada como "&amp;P730&amp;" na tabela; preço aplicado pela UF do CEP","")</f>
        <v/>
      </c>
      <c r="AI730" s="26" t="n">
        <v>214.24</v>
      </c>
      <c r="AJ730" s="22" t="str">
        <f aca="false">INDEX('Tabela Passaro'!$X$2:$X$1795,$N730)</f>
        <v>CAPITAL</v>
      </c>
    </row>
    <row r="731" customFormat="false" ht="15" hidden="false" customHeight="false" outlineLevel="0" collapsed="false">
      <c r="A731" s="22" t="s">
        <v>17</v>
      </c>
      <c r="B731" s="22" t="n">
        <v>1</v>
      </c>
      <c r="C731" s="22" t="s">
        <v>95</v>
      </c>
      <c r="D731" s="22" t="s">
        <v>30</v>
      </c>
      <c r="E731" s="22" t="s">
        <v>7328</v>
      </c>
      <c r="F731" s="22" t="n">
        <v>2311279</v>
      </c>
      <c r="G731" s="30" t="n">
        <v>46246</v>
      </c>
      <c r="H731" s="22" t="n">
        <v>132732</v>
      </c>
      <c r="I731" s="22" t="s">
        <v>8000</v>
      </c>
      <c r="J731" s="31" t="n">
        <v>91.39</v>
      </c>
      <c r="K731" s="26" t="n">
        <v>1510.18</v>
      </c>
      <c r="L731" s="26" t="n">
        <v>255.66</v>
      </c>
      <c r="M731" s="22" t="s">
        <v>2349</v>
      </c>
      <c r="N731" s="22" t="n">
        <f aca="false">MATCH(M731,'Tabela Passaro'!$A$2:$A$1795,0)</f>
        <v>522</v>
      </c>
      <c r="O731" s="22" t="str">
        <f aca="false">INDEX('Tabela Passaro'!$C$2:$C$1795,$N731)</f>
        <v>FORTALEZA</v>
      </c>
      <c r="P731" s="22" t="str">
        <f aca="false">INDEX('Tabela Passaro'!$B$2:$B$1795,$N731)</f>
        <v>CE</v>
      </c>
      <c r="Q731" s="22" t="n">
        <f aca="false">INDEX('Tabela Passaro'!$F$2:$F$1795,$N731)</f>
        <v>8</v>
      </c>
      <c r="R731" s="32" t="n">
        <f aca="false">IF(J731&lt;=10,INDEX('Tabela Passaro'!$G$2:$G$1795,$N731),IF(J731&lt;=30,INDEX('Tabela Passaro'!$H$2:$H$1795,$N731),IF(J731&lt;=50,INDEX('Tabela Passaro'!$I$2:$I$1795,$N731),IF(J731&lt;=70,INDEX('Tabela Passaro'!$J$2:$J$1795,$N731),IF(J731&lt;=100,INDEX('Tabela Passaro'!$K$2:$K$1795,$N731),INDEX('Tabela Passaro'!$K$2:$K$1795,$N731)+(J731-100)*INDEX('Tabela Passaro'!$L$2:$L$1795,$N731))))))</f>
        <v>186.18</v>
      </c>
      <c r="S731" s="32" t="n">
        <f aca="false">K731*INDEX('Tabela Passaro'!$M$2:$M$1795,$N731)</f>
        <v>7.5509</v>
      </c>
      <c r="T731" s="32" t="n">
        <f aca="false">K731*INDEX('Tabela Passaro'!$N$2:$N$1795,$N731)</f>
        <v>3.02036</v>
      </c>
      <c r="U731" s="32" t="n">
        <f aca="false">INDEX('Tabela Passaro'!$O$2:$O$1795,$N731)</f>
        <v>5</v>
      </c>
      <c r="V731" s="32" t="n">
        <f aca="false">ROUNDUP(J731/INDEX('Tabela Passaro'!$Q$2:$Q$1795,$N731),0)*INDEX('Tabela Passaro'!$P$2:$P$1795,$N731)</f>
        <v>5</v>
      </c>
      <c r="W731" s="32" t="n">
        <f aca="false">INDEX('Tabela Passaro'!$R$2:$R$1795,$N731)</f>
        <v>30</v>
      </c>
      <c r="X731" s="32" t="n">
        <f aca="false">ROUNDUP(J731/INDEX('Tabela Passaro'!$T$2:$T$1795,$N731),0)*INDEX('Tabela Passaro'!$S$2:$S$1795,$N731)</f>
        <v>0</v>
      </c>
      <c r="Y731" s="32" t="n">
        <f aca="false">INDEX('Tabela Passaro'!$U$2:$U$1795,$N731)</f>
        <v>0</v>
      </c>
      <c r="Z731" s="32" t="n">
        <f aca="false">INDEX('Tabela Passaro'!$V$2:$V$1795,$N731)</f>
        <v>0</v>
      </c>
      <c r="AA731" s="32" t="n">
        <f aca="false">SUM(R731:Z731)</f>
        <v>236.75126</v>
      </c>
      <c r="AB731" s="33" t="n">
        <f aca="false">INDEX(Premissas!$B$5:$B$13,MATCH(A731,Premissas!$A$5:$A$13,0))</f>
        <v>0.07</v>
      </c>
      <c r="AC731" s="32" t="n">
        <f aca="false">AA731/(1-AB731)-AA731</f>
        <v>17.819987311828</v>
      </c>
      <c r="AD731" s="32" t="n">
        <f aca="false">ROUND(AA731+AC731,2)</f>
        <v>254.57</v>
      </c>
      <c r="AE731" s="32" t="n">
        <f aca="false">AD731-L731</f>
        <v>-1.09</v>
      </c>
      <c r="AF731" s="34" t="n">
        <f aca="false">IF(L731=0,0,AE731/L731)</f>
        <v>-0.00426347492763828</v>
      </c>
      <c r="AG731" s="22" t="str">
        <f aca="false">IF(AD731&lt;L731,"PASSARO","ATUAL")</f>
        <v>PASSARO</v>
      </c>
      <c r="AH731" s="22" t="str">
        <f aca="false">IF(P731&lt;&gt;A731,"Faixa cadastrada como "&amp;P731&amp;" na tabela; preço aplicado pela UF do CEP","")</f>
        <v/>
      </c>
      <c r="AI731" s="26" t="n">
        <v>318.25</v>
      </c>
      <c r="AJ731" s="22" t="str">
        <f aca="false">INDEX('Tabela Passaro'!$X$2:$X$1795,$N731)</f>
        <v>CAPITAL</v>
      </c>
    </row>
    <row r="732" customFormat="false" ht="15" hidden="false" customHeight="false" outlineLevel="0" collapsed="false">
      <c r="A732" s="22" t="s">
        <v>17</v>
      </c>
      <c r="B732" s="22" t="n">
        <v>1</v>
      </c>
      <c r="C732" s="22" t="s">
        <v>95</v>
      </c>
      <c r="D732" s="22" t="s">
        <v>30</v>
      </c>
      <c r="E732" s="22" t="s">
        <v>7328</v>
      </c>
      <c r="F732" s="22" t="n">
        <v>2311312</v>
      </c>
      <c r="G732" s="30" t="n">
        <v>46246</v>
      </c>
      <c r="H732" s="22" t="n">
        <v>132761</v>
      </c>
      <c r="I732" s="22" t="s">
        <v>8001</v>
      </c>
      <c r="J732" s="31" t="n">
        <v>41</v>
      </c>
      <c r="K732" s="26" t="n">
        <v>576.11</v>
      </c>
      <c r="L732" s="26" t="n">
        <v>163.86</v>
      </c>
      <c r="M732" s="22" t="s">
        <v>2349</v>
      </c>
      <c r="N732" s="22" t="n">
        <f aca="false">MATCH(M732,'Tabela Passaro'!$A$2:$A$1795,0)</f>
        <v>522</v>
      </c>
      <c r="O732" s="22" t="str">
        <f aca="false">INDEX('Tabela Passaro'!$C$2:$C$1795,$N732)</f>
        <v>FORTALEZA</v>
      </c>
      <c r="P732" s="22" t="str">
        <f aca="false">INDEX('Tabela Passaro'!$B$2:$B$1795,$N732)</f>
        <v>CE</v>
      </c>
      <c r="Q732" s="22" t="n">
        <f aca="false">INDEX('Tabela Passaro'!$F$2:$F$1795,$N732)</f>
        <v>8</v>
      </c>
      <c r="R732" s="32" t="n">
        <f aca="false">IF(J732&lt;=10,INDEX('Tabela Passaro'!$G$2:$G$1795,$N732),IF(J732&lt;=30,INDEX('Tabela Passaro'!$H$2:$H$1795,$N732),IF(J732&lt;=50,INDEX('Tabela Passaro'!$I$2:$I$1795,$N732),IF(J732&lt;=70,INDEX('Tabela Passaro'!$J$2:$J$1795,$N732),IF(J732&lt;=100,INDEX('Tabela Passaro'!$K$2:$K$1795,$N732),INDEX('Tabela Passaro'!$K$2:$K$1795,$N732)+(J732-100)*INDEX('Tabela Passaro'!$L$2:$L$1795,$N732))))))</f>
        <v>152.98</v>
      </c>
      <c r="S732" s="32" t="n">
        <f aca="false">K732*INDEX('Tabela Passaro'!$M$2:$M$1795,$N732)</f>
        <v>2.88055</v>
      </c>
      <c r="T732" s="32" t="n">
        <f aca="false">K732*INDEX('Tabela Passaro'!$N$2:$N$1795,$N732)</f>
        <v>1.15222</v>
      </c>
      <c r="U732" s="32" t="n">
        <f aca="false">INDEX('Tabela Passaro'!$O$2:$O$1795,$N732)</f>
        <v>5</v>
      </c>
      <c r="V732" s="32" t="n">
        <f aca="false">ROUNDUP(J732/INDEX('Tabela Passaro'!$Q$2:$Q$1795,$N732),0)*INDEX('Tabela Passaro'!$P$2:$P$1795,$N732)</f>
        <v>5</v>
      </c>
      <c r="W732" s="32" t="n">
        <f aca="false">INDEX('Tabela Passaro'!$R$2:$R$1795,$N732)</f>
        <v>30</v>
      </c>
      <c r="X732" s="32" t="n">
        <f aca="false">ROUNDUP(J732/INDEX('Tabela Passaro'!$T$2:$T$1795,$N732),0)*INDEX('Tabela Passaro'!$S$2:$S$1795,$N732)</f>
        <v>0</v>
      </c>
      <c r="Y732" s="32" t="n">
        <f aca="false">INDEX('Tabela Passaro'!$U$2:$U$1795,$N732)</f>
        <v>0</v>
      </c>
      <c r="Z732" s="32" t="n">
        <f aca="false">INDEX('Tabela Passaro'!$V$2:$V$1795,$N732)</f>
        <v>0</v>
      </c>
      <c r="AA732" s="32" t="n">
        <f aca="false">SUM(R732:Z732)</f>
        <v>197.01277</v>
      </c>
      <c r="AB732" s="33" t="n">
        <f aca="false">INDEX(Premissas!$B$5:$B$13,MATCH(A732,Premissas!$A$5:$A$13,0))</f>
        <v>0.07</v>
      </c>
      <c r="AC732" s="32" t="n">
        <f aca="false">AA732/(1-AB732)-AA732</f>
        <v>14.828918172043</v>
      </c>
      <c r="AD732" s="32" t="n">
        <f aca="false">ROUND(AA732+AC732,2)</f>
        <v>211.84</v>
      </c>
      <c r="AE732" s="32" t="n">
        <f aca="false">AD732-L732</f>
        <v>47.98</v>
      </c>
      <c r="AF732" s="34" t="n">
        <f aca="false">IF(L732=0,0,AE732/L732)</f>
        <v>0.292810936165019</v>
      </c>
      <c r="AG732" s="22" t="str">
        <f aca="false">IF(AD732&lt;L732,"PASSARO","ATUAL")</f>
        <v>ATUAL</v>
      </c>
      <c r="AH732" s="22" t="str">
        <f aca="false">IF(P732&lt;&gt;A732,"Faixa cadastrada como "&amp;P732&amp;" na tabela; preço aplicado pela UF do CEP","")</f>
        <v/>
      </c>
      <c r="AI732" s="26" t="n">
        <v>246.95</v>
      </c>
      <c r="AJ732" s="22" t="str">
        <f aca="false">INDEX('Tabela Passaro'!$X$2:$X$1795,$N732)</f>
        <v>CAPITAL</v>
      </c>
    </row>
    <row r="733" customFormat="false" ht="15" hidden="false" customHeight="false" outlineLevel="0" collapsed="false">
      <c r="A733" s="22" t="s">
        <v>17</v>
      </c>
      <c r="B733" s="22" t="n">
        <v>1</v>
      </c>
      <c r="C733" s="22" t="s">
        <v>95</v>
      </c>
      <c r="D733" s="22" t="s">
        <v>30</v>
      </c>
      <c r="E733" s="22" t="s">
        <v>7326</v>
      </c>
      <c r="F733" s="22" t="n">
        <v>524481</v>
      </c>
      <c r="G733" s="30" t="n">
        <v>46246</v>
      </c>
      <c r="H733" s="22" t="n">
        <v>623923</v>
      </c>
      <c r="I733" s="22" t="s">
        <v>8002</v>
      </c>
      <c r="J733" s="31" t="n">
        <v>51.06</v>
      </c>
      <c r="K733" s="26" t="n">
        <v>835.52</v>
      </c>
      <c r="L733" s="26" t="n">
        <v>230.59</v>
      </c>
      <c r="M733" s="22" t="s">
        <v>2349</v>
      </c>
      <c r="N733" s="22" t="n">
        <f aca="false">MATCH(M733,'Tabela Passaro'!$A$2:$A$1795,0)</f>
        <v>522</v>
      </c>
      <c r="O733" s="22" t="str">
        <f aca="false">INDEX('Tabela Passaro'!$C$2:$C$1795,$N733)</f>
        <v>FORTALEZA</v>
      </c>
      <c r="P733" s="22" t="str">
        <f aca="false">INDEX('Tabela Passaro'!$B$2:$B$1795,$N733)</f>
        <v>CE</v>
      </c>
      <c r="Q733" s="22" t="n">
        <f aca="false">INDEX('Tabela Passaro'!$F$2:$F$1795,$N733)</f>
        <v>8</v>
      </c>
      <c r="R733" s="32" t="n">
        <f aca="false">IF(J733&lt;=10,INDEX('Tabela Passaro'!$G$2:$G$1795,$N733),IF(J733&lt;=30,INDEX('Tabela Passaro'!$H$2:$H$1795,$N733),IF(J733&lt;=50,INDEX('Tabela Passaro'!$I$2:$I$1795,$N733),IF(J733&lt;=70,INDEX('Tabela Passaro'!$J$2:$J$1795,$N733),IF(J733&lt;=100,INDEX('Tabela Passaro'!$K$2:$K$1795,$N733),INDEX('Tabela Passaro'!$K$2:$K$1795,$N733)+(J733-100)*INDEX('Tabela Passaro'!$L$2:$L$1795,$N733))))))</f>
        <v>169.58</v>
      </c>
      <c r="S733" s="32" t="n">
        <f aca="false">K733*INDEX('Tabela Passaro'!$M$2:$M$1795,$N733)</f>
        <v>4.1776</v>
      </c>
      <c r="T733" s="32" t="n">
        <f aca="false">K733*INDEX('Tabela Passaro'!$N$2:$N$1795,$N733)</f>
        <v>1.67104</v>
      </c>
      <c r="U733" s="32" t="n">
        <f aca="false">INDEX('Tabela Passaro'!$O$2:$O$1795,$N733)</f>
        <v>5</v>
      </c>
      <c r="V733" s="32" t="n">
        <f aca="false">ROUNDUP(J733/INDEX('Tabela Passaro'!$Q$2:$Q$1795,$N733),0)*INDEX('Tabela Passaro'!$P$2:$P$1795,$N733)</f>
        <v>5</v>
      </c>
      <c r="W733" s="32" t="n">
        <f aca="false">INDEX('Tabela Passaro'!$R$2:$R$1795,$N733)</f>
        <v>30</v>
      </c>
      <c r="X733" s="32" t="n">
        <f aca="false">ROUNDUP(J733/INDEX('Tabela Passaro'!$T$2:$T$1795,$N733),0)*INDEX('Tabela Passaro'!$S$2:$S$1795,$N733)</f>
        <v>0</v>
      </c>
      <c r="Y733" s="32" t="n">
        <f aca="false">INDEX('Tabela Passaro'!$U$2:$U$1795,$N733)</f>
        <v>0</v>
      </c>
      <c r="Z733" s="32" t="n">
        <f aca="false">INDEX('Tabela Passaro'!$V$2:$V$1795,$N733)</f>
        <v>0</v>
      </c>
      <c r="AA733" s="32" t="n">
        <f aca="false">SUM(R733:Z733)</f>
        <v>215.42864</v>
      </c>
      <c r="AB733" s="33" t="n">
        <f aca="false">INDEX(Premissas!$B$5:$B$13,MATCH(A733,Premissas!$A$5:$A$13,0))</f>
        <v>0.07</v>
      </c>
      <c r="AC733" s="32" t="n">
        <f aca="false">AA733/(1-AB733)-AA733</f>
        <v>16.2150589247312</v>
      </c>
      <c r="AD733" s="32" t="n">
        <f aca="false">ROUND(AA733+AC733,2)</f>
        <v>231.64</v>
      </c>
      <c r="AE733" s="32" t="n">
        <f aca="false">AD733-L733</f>
        <v>1.04999999999998</v>
      </c>
      <c r="AF733" s="34" t="n">
        <f aca="false">IF(L733=0,0,AE733/L733)</f>
        <v>0.00455353658007712</v>
      </c>
      <c r="AG733" s="22" t="str">
        <f aca="false">IF(AD733&lt;L733,"PASSARO","ATUAL")</f>
        <v>ATUAL</v>
      </c>
      <c r="AH733" s="22" t="str">
        <f aca="false">IF(P733&lt;&gt;A733,"Faixa cadastrada como "&amp;P733&amp;" na tabela; preço aplicado pela UF do CEP","")</f>
        <v/>
      </c>
      <c r="AI733" s="26" t="n">
        <v>273.58</v>
      </c>
      <c r="AJ733" s="22" t="str">
        <f aca="false">INDEX('Tabela Passaro'!$X$2:$X$1795,$N733)</f>
        <v>CAPITAL</v>
      </c>
    </row>
    <row r="734" customFormat="false" ht="15" hidden="false" customHeight="false" outlineLevel="0" collapsed="false">
      <c r="A734" s="22" t="s">
        <v>17</v>
      </c>
      <c r="B734" s="22" t="n">
        <v>1</v>
      </c>
      <c r="C734" s="22" t="s">
        <v>95</v>
      </c>
      <c r="D734" s="22" t="s">
        <v>30</v>
      </c>
      <c r="E734" s="22" t="s">
        <v>20</v>
      </c>
      <c r="F734" s="22" t="n">
        <v>838978</v>
      </c>
      <c r="G734" s="30" t="n">
        <v>46247</v>
      </c>
      <c r="H734" s="22" t="n">
        <v>32507</v>
      </c>
      <c r="I734" s="22" t="s">
        <v>8003</v>
      </c>
      <c r="J734" s="31" t="n">
        <v>69</v>
      </c>
      <c r="K734" s="26" t="n">
        <v>1039.98</v>
      </c>
      <c r="L734" s="26" t="n">
        <v>178.39</v>
      </c>
      <c r="M734" s="22" t="s">
        <v>2349</v>
      </c>
      <c r="N734" s="22" t="n">
        <f aca="false">MATCH(M734,'Tabela Passaro'!$A$2:$A$1795,0)</f>
        <v>522</v>
      </c>
      <c r="O734" s="22" t="str">
        <f aca="false">INDEX('Tabela Passaro'!$C$2:$C$1795,$N734)</f>
        <v>FORTALEZA</v>
      </c>
      <c r="P734" s="22" t="str">
        <f aca="false">INDEX('Tabela Passaro'!$B$2:$B$1795,$N734)</f>
        <v>CE</v>
      </c>
      <c r="Q734" s="22" t="n">
        <f aca="false">INDEX('Tabela Passaro'!$F$2:$F$1795,$N734)</f>
        <v>8</v>
      </c>
      <c r="R734" s="32" t="n">
        <f aca="false">IF(J734&lt;=10,INDEX('Tabela Passaro'!$G$2:$G$1795,$N734),IF(J734&lt;=30,INDEX('Tabela Passaro'!$H$2:$H$1795,$N734),IF(J734&lt;=50,INDEX('Tabela Passaro'!$I$2:$I$1795,$N734),IF(J734&lt;=70,INDEX('Tabela Passaro'!$J$2:$J$1795,$N734),IF(J734&lt;=100,INDEX('Tabela Passaro'!$K$2:$K$1795,$N734),INDEX('Tabela Passaro'!$K$2:$K$1795,$N734)+(J734-100)*INDEX('Tabela Passaro'!$L$2:$L$1795,$N734))))))</f>
        <v>169.58</v>
      </c>
      <c r="S734" s="32" t="n">
        <f aca="false">K734*INDEX('Tabela Passaro'!$M$2:$M$1795,$N734)</f>
        <v>5.1999</v>
      </c>
      <c r="T734" s="32" t="n">
        <f aca="false">K734*INDEX('Tabela Passaro'!$N$2:$N$1795,$N734)</f>
        <v>2.07996</v>
      </c>
      <c r="U734" s="32" t="n">
        <f aca="false">INDEX('Tabela Passaro'!$O$2:$O$1795,$N734)</f>
        <v>5</v>
      </c>
      <c r="V734" s="32" t="n">
        <f aca="false">ROUNDUP(J734/INDEX('Tabela Passaro'!$Q$2:$Q$1795,$N734),0)*INDEX('Tabela Passaro'!$P$2:$P$1795,$N734)</f>
        <v>5</v>
      </c>
      <c r="W734" s="32" t="n">
        <f aca="false">INDEX('Tabela Passaro'!$R$2:$R$1795,$N734)</f>
        <v>30</v>
      </c>
      <c r="X734" s="32" t="n">
        <f aca="false">ROUNDUP(J734/INDEX('Tabela Passaro'!$T$2:$T$1795,$N734),0)*INDEX('Tabela Passaro'!$S$2:$S$1795,$N734)</f>
        <v>0</v>
      </c>
      <c r="Y734" s="32" t="n">
        <f aca="false">INDEX('Tabela Passaro'!$U$2:$U$1795,$N734)</f>
        <v>0</v>
      </c>
      <c r="Z734" s="32" t="n">
        <f aca="false">INDEX('Tabela Passaro'!$V$2:$V$1795,$N734)</f>
        <v>0</v>
      </c>
      <c r="AA734" s="32" t="n">
        <f aca="false">SUM(R734:Z734)</f>
        <v>216.85986</v>
      </c>
      <c r="AB734" s="33" t="n">
        <f aca="false">INDEX(Premissas!$B$5:$B$13,MATCH(A734,Premissas!$A$5:$A$13,0))</f>
        <v>0.07</v>
      </c>
      <c r="AC734" s="32" t="n">
        <f aca="false">AA734/(1-AB734)-AA734</f>
        <v>16.3227851612903</v>
      </c>
      <c r="AD734" s="32" t="n">
        <f aca="false">ROUND(AA734+AC734,2)</f>
        <v>233.18</v>
      </c>
      <c r="AE734" s="32" t="n">
        <f aca="false">AD734-L734</f>
        <v>54.79</v>
      </c>
      <c r="AF734" s="34" t="n">
        <f aca="false">IF(L734=0,0,AE734/L734)</f>
        <v>0.307136050227031</v>
      </c>
      <c r="AG734" s="22" t="str">
        <f aca="false">IF(AD734&lt;L734,"PASSARO","ATUAL")</f>
        <v>ATUAL</v>
      </c>
      <c r="AH734" s="22" t="str">
        <f aca="false">IF(P734&lt;&gt;A734,"Faixa cadastrada como "&amp;P734&amp;" na tabela; preço aplicado pela UF do CEP","")</f>
        <v/>
      </c>
      <c r="AI734" s="26" t="n">
        <v>283.78</v>
      </c>
      <c r="AJ734" s="22" t="str">
        <f aca="false">INDEX('Tabela Passaro'!$X$2:$X$1795,$N734)</f>
        <v>CAPITAL</v>
      </c>
    </row>
    <row r="735" customFormat="false" ht="15" hidden="false" customHeight="false" outlineLevel="0" collapsed="false">
      <c r="A735" s="22" t="s">
        <v>17</v>
      </c>
      <c r="B735" s="22" t="n">
        <v>1</v>
      </c>
      <c r="C735" s="22" t="s">
        <v>95</v>
      </c>
      <c r="D735" s="22" t="s">
        <v>30</v>
      </c>
      <c r="E735" s="22" t="s">
        <v>7326</v>
      </c>
      <c r="F735" s="22" t="n">
        <v>524694</v>
      </c>
      <c r="G735" s="30" t="n">
        <v>46247</v>
      </c>
      <c r="H735" s="22" t="n">
        <v>624553</v>
      </c>
      <c r="I735" s="22" t="s">
        <v>8004</v>
      </c>
      <c r="J735" s="31" t="n">
        <v>62.9</v>
      </c>
      <c r="K735" s="26" t="n">
        <v>799.02</v>
      </c>
      <c r="L735" s="26" t="n">
        <v>230.29</v>
      </c>
      <c r="M735" s="22" t="s">
        <v>2349</v>
      </c>
      <c r="N735" s="22" t="n">
        <f aca="false">MATCH(M735,'Tabela Passaro'!$A$2:$A$1795,0)</f>
        <v>522</v>
      </c>
      <c r="O735" s="22" t="str">
        <f aca="false">INDEX('Tabela Passaro'!$C$2:$C$1795,$N735)</f>
        <v>FORTALEZA</v>
      </c>
      <c r="P735" s="22" t="str">
        <f aca="false">INDEX('Tabela Passaro'!$B$2:$B$1795,$N735)</f>
        <v>CE</v>
      </c>
      <c r="Q735" s="22" t="n">
        <f aca="false">INDEX('Tabela Passaro'!$F$2:$F$1795,$N735)</f>
        <v>8</v>
      </c>
      <c r="R735" s="32" t="n">
        <f aca="false">IF(J735&lt;=10,INDEX('Tabela Passaro'!$G$2:$G$1795,$N735),IF(J735&lt;=30,INDEX('Tabela Passaro'!$H$2:$H$1795,$N735),IF(J735&lt;=50,INDEX('Tabela Passaro'!$I$2:$I$1795,$N735),IF(J735&lt;=70,INDEX('Tabela Passaro'!$J$2:$J$1795,$N735),IF(J735&lt;=100,INDEX('Tabela Passaro'!$K$2:$K$1795,$N735),INDEX('Tabela Passaro'!$K$2:$K$1795,$N735)+(J735-100)*INDEX('Tabela Passaro'!$L$2:$L$1795,$N735))))))</f>
        <v>169.58</v>
      </c>
      <c r="S735" s="32" t="n">
        <f aca="false">K735*INDEX('Tabela Passaro'!$M$2:$M$1795,$N735)</f>
        <v>3.9951</v>
      </c>
      <c r="T735" s="32" t="n">
        <f aca="false">K735*INDEX('Tabela Passaro'!$N$2:$N$1795,$N735)</f>
        <v>1.59804</v>
      </c>
      <c r="U735" s="32" t="n">
        <f aca="false">INDEX('Tabela Passaro'!$O$2:$O$1795,$N735)</f>
        <v>5</v>
      </c>
      <c r="V735" s="32" t="n">
        <f aca="false">ROUNDUP(J735/INDEX('Tabela Passaro'!$Q$2:$Q$1795,$N735),0)*INDEX('Tabela Passaro'!$P$2:$P$1795,$N735)</f>
        <v>5</v>
      </c>
      <c r="W735" s="32" t="n">
        <f aca="false">INDEX('Tabela Passaro'!$R$2:$R$1795,$N735)</f>
        <v>30</v>
      </c>
      <c r="X735" s="32" t="n">
        <f aca="false">ROUNDUP(J735/INDEX('Tabela Passaro'!$T$2:$T$1795,$N735),0)*INDEX('Tabela Passaro'!$S$2:$S$1795,$N735)</f>
        <v>0</v>
      </c>
      <c r="Y735" s="32" t="n">
        <f aca="false">INDEX('Tabela Passaro'!$U$2:$U$1795,$N735)</f>
        <v>0</v>
      </c>
      <c r="Z735" s="32" t="n">
        <f aca="false">INDEX('Tabela Passaro'!$V$2:$V$1795,$N735)</f>
        <v>0</v>
      </c>
      <c r="AA735" s="32" t="n">
        <f aca="false">SUM(R735:Z735)</f>
        <v>215.17314</v>
      </c>
      <c r="AB735" s="33" t="n">
        <f aca="false">INDEX(Premissas!$B$5:$B$13,MATCH(A735,Premissas!$A$5:$A$13,0))</f>
        <v>0.07</v>
      </c>
      <c r="AC735" s="32" t="n">
        <f aca="false">AA735/(1-AB735)-AA735</f>
        <v>16.1958277419355</v>
      </c>
      <c r="AD735" s="32" t="n">
        <f aca="false">ROUND(AA735+AC735,2)</f>
        <v>231.37</v>
      </c>
      <c r="AE735" s="32" t="n">
        <f aca="false">AD735-L735</f>
        <v>1.08000000000001</v>
      </c>
      <c r="AF735" s="34" t="n">
        <f aca="false">IF(L735=0,0,AE735/L735)</f>
        <v>0.00468973902470803</v>
      </c>
      <c r="AG735" s="22" t="str">
        <f aca="false">IF(AD735&lt;L735,"PASSARO","ATUAL")</f>
        <v>ATUAL</v>
      </c>
      <c r="AH735" s="22" t="str">
        <f aca="false">IF(P735&lt;&gt;A735,"Faixa cadastrada como "&amp;P735&amp;" na tabela; preço aplicado pela UF do CEP","")</f>
        <v/>
      </c>
      <c r="AI735" s="26" t="n">
        <v>278.55</v>
      </c>
      <c r="AJ735" s="22" t="str">
        <f aca="false">INDEX('Tabela Passaro'!$X$2:$X$1795,$N735)</f>
        <v>CAPITAL</v>
      </c>
    </row>
    <row r="736" customFormat="false" ht="15" hidden="false" customHeight="false" outlineLevel="0" collapsed="false">
      <c r="A736" s="22" t="s">
        <v>17</v>
      </c>
      <c r="B736" s="22" t="n">
        <v>1</v>
      </c>
      <c r="C736" s="22" t="s">
        <v>95</v>
      </c>
      <c r="D736" s="22" t="s">
        <v>30</v>
      </c>
      <c r="E736" s="22" t="s">
        <v>7326</v>
      </c>
      <c r="F736" s="22" t="n">
        <v>524701</v>
      </c>
      <c r="G736" s="30" t="n">
        <v>46247</v>
      </c>
      <c r="H736" s="22" t="n">
        <v>624561</v>
      </c>
      <c r="I736" s="22" t="s">
        <v>8005</v>
      </c>
      <c r="J736" s="31" t="n">
        <v>22</v>
      </c>
      <c r="K736" s="26" t="n">
        <v>850.28</v>
      </c>
      <c r="L736" s="26" t="n">
        <v>137.7</v>
      </c>
      <c r="M736" s="22" t="s">
        <v>2349</v>
      </c>
      <c r="N736" s="22" t="n">
        <f aca="false">MATCH(M736,'Tabela Passaro'!$A$2:$A$1795,0)</f>
        <v>522</v>
      </c>
      <c r="O736" s="22" t="str">
        <f aca="false">INDEX('Tabela Passaro'!$C$2:$C$1795,$N736)</f>
        <v>FORTALEZA</v>
      </c>
      <c r="P736" s="22" t="str">
        <f aca="false">INDEX('Tabela Passaro'!$B$2:$B$1795,$N736)</f>
        <v>CE</v>
      </c>
      <c r="Q736" s="22" t="n">
        <f aca="false">INDEX('Tabela Passaro'!$F$2:$F$1795,$N736)</f>
        <v>8</v>
      </c>
      <c r="R736" s="32" t="n">
        <f aca="false">IF(J736&lt;=10,INDEX('Tabela Passaro'!$G$2:$G$1795,$N736),IF(J736&lt;=30,INDEX('Tabela Passaro'!$H$2:$H$1795,$N736),IF(J736&lt;=50,INDEX('Tabela Passaro'!$I$2:$I$1795,$N736),IF(J736&lt;=70,INDEX('Tabela Passaro'!$J$2:$J$1795,$N736),IF(J736&lt;=100,INDEX('Tabela Passaro'!$K$2:$K$1795,$N736),INDEX('Tabela Passaro'!$K$2:$K$1795,$N736)+(J736-100)*INDEX('Tabela Passaro'!$L$2:$L$1795,$N736))))))</f>
        <v>130.85</v>
      </c>
      <c r="S736" s="32" t="n">
        <f aca="false">K736*INDEX('Tabela Passaro'!$M$2:$M$1795,$N736)</f>
        <v>4.2514</v>
      </c>
      <c r="T736" s="32" t="n">
        <f aca="false">K736*INDEX('Tabela Passaro'!$N$2:$N$1795,$N736)</f>
        <v>1.70056</v>
      </c>
      <c r="U736" s="32" t="n">
        <f aca="false">INDEX('Tabela Passaro'!$O$2:$O$1795,$N736)</f>
        <v>5</v>
      </c>
      <c r="V736" s="32" t="n">
        <f aca="false">ROUNDUP(J736/INDEX('Tabela Passaro'!$Q$2:$Q$1795,$N736),0)*INDEX('Tabela Passaro'!$P$2:$P$1795,$N736)</f>
        <v>5</v>
      </c>
      <c r="W736" s="32" t="n">
        <f aca="false">INDEX('Tabela Passaro'!$R$2:$R$1795,$N736)</f>
        <v>30</v>
      </c>
      <c r="X736" s="32" t="n">
        <f aca="false">ROUNDUP(J736/INDEX('Tabela Passaro'!$T$2:$T$1795,$N736),0)*INDEX('Tabela Passaro'!$S$2:$S$1795,$N736)</f>
        <v>0</v>
      </c>
      <c r="Y736" s="32" t="n">
        <f aca="false">INDEX('Tabela Passaro'!$U$2:$U$1795,$N736)</f>
        <v>0</v>
      </c>
      <c r="Z736" s="32" t="n">
        <f aca="false">INDEX('Tabela Passaro'!$V$2:$V$1795,$N736)</f>
        <v>0</v>
      </c>
      <c r="AA736" s="32" t="n">
        <f aca="false">SUM(R736:Z736)</f>
        <v>176.80196</v>
      </c>
      <c r="AB736" s="33" t="n">
        <f aca="false">INDEX(Premissas!$B$5:$B$13,MATCH(A736,Premissas!$A$5:$A$13,0))</f>
        <v>0.07</v>
      </c>
      <c r="AC736" s="32" t="n">
        <f aca="false">AA736/(1-AB736)-AA736</f>
        <v>13.3076744086022</v>
      </c>
      <c r="AD736" s="32" t="n">
        <f aca="false">ROUND(AA736+AC736,2)</f>
        <v>190.11</v>
      </c>
      <c r="AE736" s="32" t="n">
        <f aca="false">AD736-L736</f>
        <v>52.41</v>
      </c>
      <c r="AF736" s="34" t="n">
        <f aca="false">IF(L736=0,0,AE736/L736)</f>
        <v>0.380610021786493</v>
      </c>
      <c r="AG736" s="22" t="str">
        <f aca="false">IF(AD736&lt;L736,"PASSARO","ATUAL")</f>
        <v>ATUAL</v>
      </c>
      <c r="AH736" s="22" t="str">
        <f aca="false">IF(P736&lt;&gt;A736,"Faixa cadastrada como "&amp;P736&amp;" na tabela; preço aplicado pela UF do CEP","")</f>
        <v/>
      </c>
      <c r="AI736" s="26" t="n">
        <v>215.37</v>
      </c>
      <c r="AJ736" s="22" t="str">
        <f aca="false">INDEX('Tabela Passaro'!$X$2:$X$1795,$N736)</f>
        <v>CAPITAL</v>
      </c>
    </row>
    <row r="737" customFormat="false" ht="15" hidden="false" customHeight="false" outlineLevel="0" collapsed="false">
      <c r="A737" s="22" t="s">
        <v>17</v>
      </c>
      <c r="B737" s="22" t="n">
        <v>1</v>
      </c>
      <c r="C737" s="22" t="s">
        <v>95</v>
      </c>
      <c r="D737" s="22" t="s">
        <v>30</v>
      </c>
      <c r="E737" s="22" t="s">
        <v>7328</v>
      </c>
      <c r="F737" s="22" t="n">
        <v>2312277</v>
      </c>
      <c r="G737" s="30" t="n">
        <v>46248</v>
      </c>
      <c r="H737" s="22" t="n">
        <v>133176</v>
      </c>
      <c r="I737" s="22" t="s">
        <v>8006</v>
      </c>
      <c r="J737" s="31" t="n">
        <v>36.9</v>
      </c>
      <c r="K737" s="26" t="n">
        <v>639.98</v>
      </c>
      <c r="L737" s="26" t="n">
        <v>164.37</v>
      </c>
      <c r="M737" s="22" t="s">
        <v>2349</v>
      </c>
      <c r="N737" s="22" t="n">
        <f aca="false">MATCH(M737,'Tabela Passaro'!$A$2:$A$1795,0)</f>
        <v>522</v>
      </c>
      <c r="O737" s="22" t="str">
        <f aca="false">INDEX('Tabela Passaro'!$C$2:$C$1795,$N737)</f>
        <v>FORTALEZA</v>
      </c>
      <c r="P737" s="22" t="str">
        <f aca="false">INDEX('Tabela Passaro'!$B$2:$B$1795,$N737)</f>
        <v>CE</v>
      </c>
      <c r="Q737" s="22" t="n">
        <f aca="false">INDEX('Tabela Passaro'!$F$2:$F$1795,$N737)</f>
        <v>8</v>
      </c>
      <c r="R737" s="32" t="n">
        <f aca="false">IF(J737&lt;=10,INDEX('Tabela Passaro'!$G$2:$G$1795,$N737),IF(J737&lt;=30,INDEX('Tabela Passaro'!$H$2:$H$1795,$N737),IF(J737&lt;=50,INDEX('Tabela Passaro'!$I$2:$I$1795,$N737),IF(J737&lt;=70,INDEX('Tabela Passaro'!$J$2:$J$1795,$N737),IF(J737&lt;=100,INDEX('Tabela Passaro'!$K$2:$K$1795,$N737),INDEX('Tabela Passaro'!$K$2:$K$1795,$N737)+(J737-100)*INDEX('Tabela Passaro'!$L$2:$L$1795,$N737))))))</f>
        <v>152.98</v>
      </c>
      <c r="S737" s="32" t="n">
        <f aca="false">K737*INDEX('Tabela Passaro'!$M$2:$M$1795,$N737)</f>
        <v>3.1999</v>
      </c>
      <c r="T737" s="32" t="n">
        <f aca="false">K737*INDEX('Tabela Passaro'!$N$2:$N$1795,$N737)</f>
        <v>1.27996</v>
      </c>
      <c r="U737" s="32" t="n">
        <f aca="false">INDEX('Tabela Passaro'!$O$2:$O$1795,$N737)</f>
        <v>5</v>
      </c>
      <c r="V737" s="32" t="n">
        <f aca="false">ROUNDUP(J737/INDEX('Tabela Passaro'!$Q$2:$Q$1795,$N737),0)*INDEX('Tabela Passaro'!$P$2:$P$1795,$N737)</f>
        <v>5</v>
      </c>
      <c r="W737" s="32" t="n">
        <f aca="false">INDEX('Tabela Passaro'!$R$2:$R$1795,$N737)</f>
        <v>30</v>
      </c>
      <c r="X737" s="32" t="n">
        <f aca="false">ROUNDUP(J737/INDEX('Tabela Passaro'!$T$2:$T$1795,$N737),0)*INDEX('Tabela Passaro'!$S$2:$S$1795,$N737)</f>
        <v>0</v>
      </c>
      <c r="Y737" s="32" t="n">
        <f aca="false">INDEX('Tabela Passaro'!$U$2:$U$1795,$N737)</f>
        <v>0</v>
      </c>
      <c r="Z737" s="32" t="n">
        <f aca="false">INDEX('Tabela Passaro'!$V$2:$V$1795,$N737)</f>
        <v>0</v>
      </c>
      <c r="AA737" s="32" t="n">
        <f aca="false">SUM(R737:Z737)</f>
        <v>197.45986</v>
      </c>
      <c r="AB737" s="33" t="n">
        <f aca="false">INDEX(Premissas!$B$5:$B$13,MATCH(A737,Premissas!$A$5:$A$13,0))</f>
        <v>0.07</v>
      </c>
      <c r="AC737" s="32" t="n">
        <f aca="false">AA737/(1-AB737)-AA737</f>
        <v>14.8625701075269</v>
      </c>
      <c r="AD737" s="32" t="n">
        <f aca="false">ROUND(AA737+AC737,2)</f>
        <v>212.32</v>
      </c>
      <c r="AE737" s="32" t="n">
        <f aca="false">AD737-L737</f>
        <v>47.95</v>
      </c>
      <c r="AF737" s="34" t="n">
        <f aca="false">IF(L737=0,0,AE737/L737)</f>
        <v>0.291719900225102</v>
      </c>
      <c r="AG737" s="22" t="str">
        <f aca="false">IF(AD737&lt;L737,"PASSARO","ATUAL")</f>
        <v>ATUAL</v>
      </c>
      <c r="AH737" s="22" t="str">
        <f aca="false">IF(P737&lt;&gt;A737,"Faixa cadastrada como "&amp;P737&amp;" na tabela; preço aplicado pela UF do CEP","")</f>
        <v/>
      </c>
      <c r="AI737" s="26" t="n">
        <v>245.63</v>
      </c>
      <c r="AJ737" s="22" t="str">
        <f aca="false">INDEX('Tabela Passaro'!$X$2:$X$1795,$N737)</f>
        <v>CAPITAL</v>
      </c>
    </row>
    <row r="738" customFormat="false" ht="15" hidden="false" customHeight="false" outlineLevel="0" collapsed="false">
      <c r="A738" s="22" t="s">
        <v>17</v>
      </c>
      <c r="B738" s="22" t="n">
        <v>1</v>
      </c>
      <c r="C738" s="22" t="s">
        <v>95</v>
      </c>
      <c r="D738" s="22" t="s">
        <v>30</v>
      </c>
      <c r="E738" s="22" t="s">
        <v>7328</v>
      </c>
      <c r="F738" s="22" t="n">
        <v>2312304</v>
      </c>
      <c r="G738" s="30" t="n">
        <v>46248</v>
      </c>
      <c r="H738" s="22" t="n">
        <v>133213</v>
      </c>
      <c r="I738" s="22" t="s">
        <v>8007</v>
      </c>
      <c r="J738" s="31" t="n">
        <v>66.8</v>
      </c>
      <c r="K738" s="26" t="n">
        <v>929.98</v>
      </c>
      <c r="L738" s="26" t="n">
        <v>198.31</v>
      </c>
      <c r="M738" s="22" t="s">
        <v>2349</v>
      </c>
      <c r="N738" s="22" t="n">
        <f aca="false">MATCH(M738,'Tabela Passaro'!$A$2:$A$1795,0)</f>
        <v>522</v>
      </c>
      <c r="O738" s="22" t="str">
        <f aca="false">INDEX('Tabela Passaro'!$C$2:$C$1795,$N738)</f>
        <v>FORTALEZA</v>
      </c>
      <c r="P738" s="22" t="str">
        <f aca="false">INDEX('Tabela Passaro'!$B$2:$B$1795,$N738)</f>
        <v>CE</v>
      </c>
      <c r="Q738" s="22" t="n">
        <f aca="false">INDEX('Tabela Passaro'!$F$2:$F$1795,$N738)</f>
        <v>8</v>
      </c>
      <c r="R738" s="32" t="n">
        <f aca="false">IF(J738&lt;=10,INDEX('Tabela Passaro'!$G$2:$G$1795,$N738),IF(J738&lt;=30,INDEX('Tabela Passaro'!$H$2:$H$1795,$N738),IF(J738&lt;=50,INDEX('Tabela Passaro'!$I$2:$I$1795,$N738),IF(J738&lt;=70,INDEX('Tabela Passaro'!$J$2:$J$1795,$N738),IF(J738&lt;=100,INDEX('Tabela Passaro'!$K$2:$K$1795,$N738),INDEX('Tabela Passaro'!$K$2:$K$1795,$N738)+(J738-100)*INDEX('Tabela Passaro'!$L$2:$L$1795,$N738))))))</f>
        <v>169.58</v>
      </c>
      <c r="S738" s="32" t="n">
        <f aca="false">K738*INDEX('Tabela Passaro'!$M$2:$M$1795,$N738)</f>
        <v>4.6499</v>
      </c>
      <c r="T738" s="32" t="n">
        <f aca="false">K738*INDEX('Tabela Passaro'!$N$2:$N$1795,$N738)</f>
        <v>1.85996</v>
      </c>
      <c r="U738" s="32" t="n">
        <f aca="false">INDEX('Tabela Passaro'!$O$2:$O$1795,$N738)</f>
        <v>5</v>
      </c>
      <c r="V738" s="32" t="n">
        <f aca="false">ROUNDUP(J738/INDEX('Tabela Passaro'!$Q$2:$Q$1795,$N738),0)*INDEX('Tabela Passaro'!$P$2:$P$1795,$N738)</f>
        <v>5</v>
      </c>
      <c r="W738" s="32" t="n">
        <f aca="false">INDEX('Tabela Passaro'!$R$2:$R$1795,$N738)</f>
        <v>30</v>
      </c>
      <c r="X738" s="32" t="n">
        <f aca="false">ROUNDUP(J738/INDEX('Tabela Passaro'!$T$2:$T$1795,$N738),0)*INDEX('Tabela Passaro'!$S$2:$S$1795,$N738)</f>
        <v>0</v>
      </c>
      <c r="Y738" s="32" t="n">
        <f aca="false">INDEX('Tabela Passaro'!$U$2:$U$1795,$N738)</f>
        <v>0</v>
      </c>
      <c r="Z738" s="32" t="n">
        <f aca="false">INDEX('Tabela Passaro'!$V$2:$V$1795,$N738)</f>
        <v>0</v>
      </c>
      <c r="AA738" s="32" t="n">
        <f aca="false">SUM(R738:Z738)</f>
        <v>216.08986</v>
      </c>
      <c r="AB738" s="33" t="n">
        <f aca="false">INDEX(Premissas!$B$5:$B$13,MATCH(A738,Premissas!$A$5:$A$13,0))</f>
        <v>0.07</v>
      </c>
      <c r="AC738" s="32" t="n">
        <f aca="false">AA738/(1-AB738)-AA738</f>
        <v>16.264828172043</v>
      </c>
      <c r="AD738" s="32" t="n">
        <f aca="false">ROUND(AA738+AC738,2)</f>
        <v>232.35</v>
      </c>
      <c r="AE738" s="32" t="n">
        <f aca="false">AD738-L738</f>
        <v>34.04</v>
      </c>
      <c r="AF738" s="34" t="n">
        <f aca="false">IF(L738=0,0,AE738/L738)</f>
        <v>0.17165044627099</v>
      </c>
      <c r="AG738" s="22" t="str">
        <f aca="false">IF(AD738&lt;L738,"PASSARO","ATUAL")</f>
        <v>ATUAL</v>
      </c>
      <c r="AH738" s="22" t="str">
        <f aca="false">IF(P738&lt;&gt;A738,"Faixa cadastrada como "&amp;P738&amp;" na tabela; preço aplicado pela UF do CEP","")</f>
        <v/>
      </c>
      <c r="AI738" s="26" t="n">
        <v>281.75</v>
      </c>
      <c r="AJ738" s="22" t="str">
        <f aca="false">INDEX('Tabela Passaro'!$X$2:$X$1795,$N738)</f>
        <v>CAPITAL</v>
      </c>
    </row>
    <row r="739" customFormat="false" ht="15" hidden="false" customHeight="false" outlineLevel="0" collapsed="false">
      <c r="A739" s="22" t="s">
        <v>17</v>
      </c>
      <c r="B739" s="22" t="n">
        <v>1</v>
      </c>
      <c r="C739" s="22" t="s">
        <v>95</v>
      </c>
      <c r="D739" s="22" t="s">
        <v>30</v>
      </c>
      <c r="E739" s="22" t="s">
        <v>7328</v>
      </c>
      <c r="F739" s="22" t="n">
        <v>2312313</v>
      </c>
      <c r="G739" s="30" t="n">
        <v>46248</v>
      </c>
      <c r="H739" s="22" t="n">
        <v>133219</v>
      </c>
      <c r="I739" s="22" t="s">
        <v>8008</v>
      </c>
      <c r="J739" s="31" t="n">
        <v>54.6</v>
      </c>
      <c r="K739" s="26" t="n">
        <v>1276.53</v>
      </c>
      <c r="L739" s="26" t="n">
        <v>201.05</v>
      </c>
      <c r="M739" s="22" t="s">
        <v>2349</v>
      </c>
      <c r="N739" s="22" t="n">
        <f aca="false">MATCH(M739,'Tabela Passaro'!$A$2:$A$1795,0)</f>
        <v>522</v>
      </c>
      <c r="O739" s="22" t="str">
        <f aca="false">INDEX('Tabela Passaro'!$C$2:$C$1795,$N739)</f>
        <v>FORTALEZA</v>
      </c>
      <c r="P739" s="22" t="str">
        <f aca="false">INDEX('Tabela Passaro'!$B$2:$B$1795,$N739)</f>
        <v>CE</v>
      </c>
      <c r="Q739" s="22" t="n">
        <f aca="false">INDEX('Tabela Passaro'!$F$2:$F$1795,$N739)</f>
        <v>8</v>
      </c>
      <c r="R739" s="32" t="n">
        <f aca="false">IF(J739&lt;=10,INDEX('Tabela Passaro'!$G$2:$G$1795,$N739),IF(J739&lt;=30,INDEX('Tabela Passaro'!$H$2:$H$1795,$N739),IF(J739&lt;=50,INDEX('Tabela Passaro'!$I$2:$I$1795,$N739),IF(J739&lt;=70,INDEX('Tabela Passaro'!$J$2:$J$1795,$N739),IF(J739&lt;=100,INDEX('Tabela Passaro'!$K$2:$K$1795,$N739),INDEX('Tabela Passaro'!$K$2:$K$1795,$N739)+(J739-100)*INDEX('Tabela Passaro'!$L$2:$L$1795,$N739))))))</f>
        <v>169.58</v>
      </c>
      <c r="S739" s="32" t="n">
        <f aca="false">K739*INDEX('Tabela Passaro'!$M$2:$M$1795,$N739)</f>
        <v>6.38265</v>
      </c>
      <c r="T739" s="32" t="n">
        <f aca="false">K739*INDEX('Tabela Passaro'!$N$2:$N$1795,$N739)</f>
        <v>2.55306</v>
      </c>
      <c r="U739" s="32" t="n">
        <f aca="false">INDEX('Tabela Passaro'!$O$2:$O$1795,$N739)</f>
        <v>5</v>
      </c>
      <c r="V739" s="32" t="n">
        <f aca="false">ROUNDUP(J739/INDEX('Tabela Passaro'!$Q$2:$Q$1795,$N739),0)*INDEX('Tabela Passaro'!$P$2:$P$1795,$N739)</f>
        <v>5</v>
      </c>
      <c r="W739" s="32" t="n">
        <f aca="false">INDEX('Tabela Passaro'!$R$2:$R$1795,$N739)</f>
        <v>30</v>
      </c>
      <c r="X739" s="32" t="n">
        <f aca="false">ROUNDUP(J739/INDEX('Tabela Passaro'!$T$2:$T$1795,$N739),0)*INDEX('Tabela Passaro'!$S$2:$S$1795,$N739)</f>
        <v>0</v>
      </c>
      <c r="Y739" s="32" t="n">
        <f aca="false">INDEX('Tabela Passaro'!$U$2:$U$1795,$N739)</f>
        <v>0</v>
      </c>
      <c r="Z739" s="32" t="n">
        <f aca="false">INDEX('Tabela Passaro'!$V$2:$V$1795,$N739)</f>
        <v>0</v>
      </c>
      <c r="AA739" s="32" t="n">
        <f aca="false">SUM(R739:Z739)</f>
        <v>218.51571</v>
      </c>
      <c r="AB739" s="33" t="n">
        <f aca="false">INDEX(Premissas!$B$5:$B$13,MATCH(A739,Premissas!$A$5:$A$13,0))</f>
        <v>0.07</v>
      </c>
      <c r="AC739" s="32" t="n">
        <f aca="false">AA739/(1-AB739)-AA739</f>
        <v>16.4474190322581</v>
      </c>
      <c r="AD739" s="32" t="n">
        <f aca="false">ROUND(AA739+AC739,2)</f>
        <v>234.96</v>
      </c>
      <c r="AE739" s="32" t="n">
        <f aca="false">AD739-L739</f>
        <v>33.91</v>
      </c>
      <c r="AF739" s="34" t="n">
        <f aca="false">IF(L739=0,0,AE739/L739)</f>
        <v>0.168664511315593</v>
      </c>
      <c r="AG739" s="22" t="str">
        <f aca="false">IF(AD739&lt;L739,"PASSARO","ATUAL")</f>
        <v>ATUAL</v>
      </c>
      <c r="AH739" s="22" t="str">
        <f aca="false">IF(P739&lt;&gt;A739,"Faixa cadastrada como "&amp;P739&amp;" na tabela; preço aplicado pela UF do CEP","")</f>
        <v/>
      </c>
      <c r="AI739" s="26" t="n">
        <v>279.3</v>
      </c>
      <c r="AJ739" s="22" t="str">
        <f aca="false">INDEX('Tabela Passaro'!$X$2:$X$1795,$N739)</f>
        <v>CAPITAL</v>
      </c>
    </row>
    <row r="740" customFormat="false" ht="15" hidden="false" customHeight="false" outlineLevel="0" collapsed="false">
      <c r="A740" s="22" t="s">
        <v>17</v>
      </c>
      <c r="B740" s="22" t="n">
        <v>1</v>
      </c>
      <c r="C740" s="22" t="s">
        <v>95</v>
      </c>
      <c r="D740" s="22" t="s">
        <v>30</v>
      </c>
      <c r="E740" s="22" t="s">
        <v>7328</v>
      </c>
      <c r="F740" s="22" t="n">
        <v>2312323</v>
      </c>
      <c r="G740" s="30" t="n">
        <v>46248</v>
      </c>
      <c r="H740" s="22" t="n">
        <v>133223</v>
      </c>
      <c r="I740" s="22" t="s">
        <v>8009</v>
      </c>
      <c r="J740" s="31" t="n">
        <v>51.06</v>
      </c>
      <c r="K740" s="26" t="n">
        <v>792.52</v>
      </c>
      <c r="L740" s="26" t="n">
        <v>197.22</v>
      </c>
      <c r="M740" s="22" t="s">
        <v>2349</v>
      </c>
      <c r="N740" s="22" t="n">
        <f aca="false">MATCH(M740,'Tabela Passaro'!$A$2:$A$1795,0)</f>
        <v>522</v>
      </c>
      <c r="O740" s="22" t="str">
        <f aca="false">INDEX('Tabela Passaro'!$C$2:$C$1795,$N740)</f>
        <v>FORTALEZA</v>
      </c>
      <c r="P740" s="22" t="str">
        <f aca="false">INDEX('Tabela Passaro'!$B$2:$B$1795,$N740)</f>
        <v>CE</v>
      </c>
      <c r="Q740" s="22" t="n">
        <f aca="false">INDEX('Tabela Passaro'!$F$2:$F$1795,$N740)</f>
        <v>8</v>
      </c>
      <c r="R740" s="32" t="n">
        <f aca="false">IF(J740&lt;=10,INDEX('Tabela Passaro'!$G$2:$G$1795,$N740),IF(J740&lt;=30,INDEX('Tabela Passaro'!$H$2:$H$1795,$N740),IF(J740&lt;=50,INDEX('Tabela Passaro'!$I$2:$I$1795,$N740),IF(J740&lt;=70,INDEX('Tabela Passaro'!$J$2:$J$1795,$N740),IF(J740&lt;=100,INDEX('Tabela Passaro'!$K$2:$K$1795,$N740),INDEX('Tabela Passaro'!$K$2:$K$1795,$N740)+(J740-100)*INDEX('Tabela Passaro'!$L$2:$L$1795,$N740))))))</f>
        <v>169.58</v>
      </c>
      <c r="S740" s="32" t="n">
        <f aca="false">K740*INDEX('Tabela Passaro'!$M$2:$M$1795,$N740)</f>
        <v>3.9626</v>
      </c>
      <c r="T740" s="32" t="n">
        <f aca="false">K740*INDEX('Tabela Passaro'!$N$2:$N$1795,$N740)</f>
        <v>1.58504</v>
      </c>
      <c r="U740" s="32" t="n">
        <f aca="false">INDEX('Tabela Passaro'!$O$2:$O$1795,$N740)</f>
        <v>5</v>
      </c>
      <c r="V740" s="32" t="n">
        <f aca="false">ROUNDUP(J740/INDEX('Tabela Passaro'!$Q$2:$Q$1795,$N740),0)*INDEX('Tabela Passaro'!$P$2:$P$1795,$N740)</f>
        <v>5</v>
      </c>
      <c r="W740" s="32" t="n">
        <f aca="false">INDEX('Tabela Passaro'!$R$2:$R$1795,$N740)</f>
        <v>30</v>
      </c>
      <c r="X740" s="32" t="n">
        <f aca="false">ROUNDUP(J740/INDEX('Tabela Passaro'!$T$2:$T$1795,$N740),0)*INDEX('Tabela Passaro'!$S$2:$S$1795,$N740)</f>
        <v>0</v>
      </c>
      <c r="Y740" s="32" t="n">
        <f aca="false">INDEX('Tabela Passaro'!$U$2:$U$1795,$N740)</f>
        <v>0</v>
      </c>
      <c r="Z740" s="32" t="n">
        <f aca="false">INDEX('Tabela Passaro'!$V$2:$V$1795,$N740)</f>
        <v>0</v>
      </c>
      <c r="AA740" s="32" t="n">
        <f aca="false">SUM(R740:Z740)</f>
        <v>215.12764</v>
      </c>
      <c r="AB740" s="33" t="n">
        <f aca="false">INDEX(Premissas!$B$5:$B$13,MATCH(A740,Premissas!$A$5:$A$13,0))</f>
        <v>0.07</v>
      </c>
      <c r="AC740" s="32" t="n">
        <f aca="false">AA740/(1-AB740)-AA740</f>
        <v>16.1924030107527</v>
      </c>
      <c r="AD740" s="32" t="n">
        <f aca="false">ROUND(AA740+AC740,2)</f>
        <v>231.32</v>
      </c>
      <c r="AE740" s="32" t="n">
        <f aca="false">AD740-L740</f>
        <v>34.1</v>
      </c>
      <c r="AF740" s="34" t="n">
        <f aca="false">IF(L740=0,0,AE740/L740)</f>
        <v>0.17290335665754</v>
      </c>
      <c r="AG740" s="22" t="str">
        <f aca="false">IF(AD740&lt;L740,"PASSARO","ATUAL")</f>
        <v>ATUAL</v>
      </c>
      <c r="AH740" s="22" t="str">
        <f aca="false">IF(P740&lt;&gt;A740,"Faixa cadastrada como "&amp;P740&amp;" na tabela; preço aplicado pela UF do CEP","")</f>
        <v/>
      </c>
      <c r="AI740" s="26" t="n">
        <v>273.16</v>
      </c>
      <c r="AJ740" s="22" t="str">
        <f aca="false">INDEX('Tabela Passaro'!$X$2:$X$1795,$N740)</f>
        <v>CAPITAL</v>
      </c>
    </row>
    <row r="741" customFormat="false" ht="15" hidden="false" customHeight="false" outlineLevel="0" collapsed="false">
      <c r="A741" s="22" t="s">
        <v>17</v>
      </c>
      <c r="B741" s="22" t="n">
        <v>1</v>
      </c>
      <c r="C741" s="22" t="s">
        <v>95</v>
      </c>
      <c r="D741" s="22" t="s">
        <v>30</v>
      </c>
      <c r="E741" s="22" t="s">
        <v>7328</v>
      </c>
      <c r="F741" s="22" t="n">
        <v>2312362</v>
      </c>
      <c r="G741" s="30" t="n">
        <v>46248</v>
      </c>
      <c r="H741" s="22" t="n">
        <v>133267</v>
      </c>
      <c r="I741" s="22" t="s">
        <v>8010</v>
      </c>
      <c r="J741" s="31" t="n">
        <v>66.4</v>
      </c>
      <c r="K741" s="26" t="n">
        <v>862.81</v>
      </c>
      <c r="L741" s="26" t="n">
        <v>197.78</v>
      </c>
      <c r="M741" s="22" t="s">
        <v>2349</v>
      </c>
      <c r="N741" s="22" t="n">
        <f aca="false">MATCH(M741,'Tabela Passaro'!$A$2:$A$1795,0)</f>
        <v>522</v>
      </c>
      <c r="O741" s="22" t="str">
        <f aca="false">INDEX('Tabela Passaro'!$C$2:$C$1795,$N741)</f>
        <v>FORTALEZA</v>
      </c>
      <c r="P741" s="22" t="str">
        <f aca="false">INDEX('Tabela Passaro'!$B$2:$B$1795,$N741)</f>
        <v>CE</v>
      </c>
      <c r="Q741" s="22" t="n">
        <f aca="false">INDEX('Tabela Passaro'!$F$2:$F$1795,$N741)</f>
        <v>8</v>
      </c>
      <c r="R741" s="32" t="n">
        <f aca="false">IF(J741&lt;=10,INDEX('Tabela Passaro'!$G$2:$G$1795,$N741),IF(J741&lt;=30,INDEX('Tabela Passaro'!$H$2:$H$1795,$N741),IF(J741&lt;=50,INDEX('Tabela Passaro'!$I$2:$I$1795,$N741),IF(J741&lt;=70,INDEX('Tabela Passaro'!$J$2:$J$1795,$N741),IF(J741&lt;=100,INDEX('Tabela Passaro'!$K$2:$K$1795,$N741),INDEX('Tabela Passaro'!$K$2:$K$1795,$N741)+(J741-100)*INDEX('Tabela Passaro'!$L$2:$L$1795,$N741))))))</f>
        <v>169.58</v>
      </c>
      <c r="S741" s="32" t="n">
        <f aca="false">K741*INDEX('Tabela Passaro'!$M$2:$M$1795,$N741)</f>
        <v>4.31405</v>
      </c>
      <c r="T741" s="32" t="n">
        <f aca="false">K741*INDEX('Tabela Passaro'!$N$2:$N$1795,$N741)</f>
        <v>1.72562</v>
      </c>
      <c r="U741" s="32" t="n">
        <f aca="false">INDEX('Tabela Passaro'!$O$2:$O$1795,$N741)</f>
        <v>5</v>
      </c>
      <c r="V741" s="32" t="n">
        <f aca="false">ROUNDUP(J741/INDEX('Tabela Passaro'!$Q$2:$Q$1795,$N741),0)*INDEX('Tabela Passaro'!$P$2:$P$1795,$N741)</f>
        <v>5</v>
      </c>
      <c r="W741" s="32" t="n">
        <f aca="false">INDEX('Tabela Passaro'!$R$2:$R$1795,$N741)</f>
        <v>30</v>
      </c>
      <c r="X741" s="32" t="n">
        <f aca="false">ROUNDUP(J741/INDEX('Tabela Passaro'!$T$2:$T$1795,$N741),0)*INDEX('Tabela Passaro'!$S$2:$S$1795,$N741)</f>
        <v>0</v>
      </c>
      <c r="Y741" s="32" t="n">
        <f aca="false">INDEX('Tabela Passaro'!$U$2:$U$1795,$N741)</f>
        <v>0</v>
      </c>
      <c r="Z741" s="32" t="n">
        <f aca="false">INDEX('Tabela Passaro'!$V$2:$V$1795,$N741)</f>
        <v>0</v>
      </c>
      <c r="AA741" s="32" t="n">
        <f aca="false">SUM(R741:Z741)</f>
        <v>215.61967</v>
      </c>
      <c r="AB741" s="33" t="n">
        <f aca="false">INDEX(Premissas!$B$5:$B$13,MATCH(A741,Premissas!$A$5:$A$13,0))</f>
        <v>0.07</v>
      </c>
      <c r="AC741" s="32" t="n">
        <f aca="false">AA741/(1-AB741)-AA741</f>
        <v>16.2294375268817</v>
      </c>
      <c r="AD741" s="32" t="n">
        <f aca="false">ROUND(AA741+AC741,2)</f>
        <v>231.85</v>
      </c>
      <c r="AE741" s="32" t="n">
        <f aca="false">AD741-L741</f>
        <v>34.07</v>
      </c>
      <c r="AF741" s="34" t="n">
        <f aca="false">IF(L741=0,0,AE741/L741)</f>
        <v>0.172262109414501</v>
      </c>
      <c r="AG741" s="22" t="str">
        <f aca="false">IF(AD741&lt;L741,"PASSARO","ATUAL")</f>
        <v>ATUAL</v>
      </c>
      <c r="AH741" s="22" t="str">
        <f aca="false">IF(P741&lt;&gt;A741,"Faixa cadastrada como "&amp;P741&amp;" na tabela; preço aplicado pela UF do CEP","")</f>
        <v/>
      </c>
      <c r="AI741" s="26" t="n">
        <v>281.1</v>
      </c>
      <c r="AJ741" s="22" t="str">
        <f aca="false">INDEX('Tabela Passaro'!$X$2:$X$1795,$N741)</f>
        <v>CAPITAL</v>
      </c>
    </row>
    <row r="742" customFormat="false" ht="15" hidden="false" customHeight="false" outlineLevel="0" collapsed="false">
      <c r="A742" s="22" t="s">
        <v>17</v>
      </c>
      <c r="B742" s="22" t="n">
        <v>1</v>
      </c>
      <c r="C742" s="22" t="s">
        <v>95</v>
      </c>
      <c r="D742" s="22" t="s">
        <v>30</v>
      </c>
      <c r="E742" s="22" t="s">
        <v>7328</v>
      </c>
      <c r="F742" s="22" t="n">
        <v>2312400</v>
      </c>
      <c r="G742" s="30" t="n">
        <v>46248</v>
      </c>
      <c r="H742" s="22" t="n">
        <v>133304</v>
      </c>
      <c r="I742" s="22" t="s">
        <v>8011</v>
      </c>
      <c r="J742" s="31" t="n">
        <v>66.4</v>
      </c>
      <c r="K742" s="26" t="n">
        <v>842.48</v>
      </c>
      <c r="L742" s="26" t="n">
        <v>197.62</v>
      </c>
      <c r="M742" s="22" t="s">
        <v>2349</v>
      </c>
      <c r="N742" s="22" t="n">
        <f aca="false">MATCH(M742,'Tabela Passaro'!$A$2:$A$1795,0)</f>
        <v>522</v>
      </c>
      <c r="O742" s="22" t="str">
        <f aca="false">INDEX('Tabela Passaro'!$C$2:$C$1795,$N742)</f>
        <v>FORTALEZA</v>
      </c>
      <c r="P742" s="22" t="str">
        <f aca="false">INDEX('Tabela Passaro'!$B$2:$B$1795,$N742)</f>
        <v>CE</v>
      </c>
      <c r="Q742" s="22" t="n">
        <f aca="false">INDEX('Tabela Passaro'!$F$2:$F$1795,$N742)</f>
        <v>8</v>
      </c>
      <c r="R742" s="32" t="n">
        <f aca="false">IF(J742&lt;=10,INDEX('Tabela Passaro'!$G$2:$G$1795,$N742),IF(J742&lt;=30,INDEX('Tabela Passaro'!$H$2:$H$1795,$N742),IF(J742&lt;=50,INDEX('Tabela Passaro'!$I$2:$I$1795,$N742),IF(J742&lt;=70,INDEX('Tabela Passaro'!$J$2:$J$1795,$N742),IF(J742&lt;=100,INDEX('Tabela Passaro'!$K$2:$K$1795,$N742),INDEX('Tabela Passaro'!$K$2:$K$1795,$N742)+(J742-100)*INDEX('Tabela Passaro'!$L$2:$L$1795,$N742))))))</f>
        <v>169.58</v>
      </c>
      <c r="S742" s="32" t="n">
        <f aca="false">K742*INDEX('Tabela Passaro'!$M$2:$M$1795,$N742)</f>
        <v>4.2124</v>
      </c>
      <c r="T742" s="32" t="n">
        <f aca="false">K742*INDEX('Tabela Passaro'!$N$2:$N$1795,$N742)</f>
        <v>1.68496</v>
      </c>
      <c r="U742" s="32" t="n">
        <f aca="false">INDEX('Tabela Passaro'!$O$2:$O$1795,$N742)</f>
        <v>5</v>
      </c>
      <c r="V742" s="32" t="n">
        <f aca="false">ROUNDUP(J742/INDEX('Tabela Passaro'!$Q$2:$Q$1795,$N742),0)*INDEX('Tabela Passaro'!$P$2:$P$1795,$N742)</f>
        <v>5</v>
      </c>
      <c r="W742" s="32" t="n">
        <f aca="false">INDEX('Tabela Passaro'!$R$2:$R$1795,$N742)</f>
        <v>30</v>
      </c>
      <c r="X742" s="32" t="n">
        <f aca="false">ROUNDUP(J742/INDEX('Tabela Passaro'!$T$2:$T$1795,$N742),0)*INDEX('Tabela Passaro'!$S$2:$S$1795,$N742)</f>
        <v>0</v>
      </c>
      <c r="Y742" s="32" t="n">
        <f aca="false">INDEX('Tabela Passaro'!$U$2:$U$1795,$N742)</f>
        <v>0</v>
      </c>
      <c r="Z742" s="32" t="n">
        <f aca="false">INDEX('Tabela Passaro'!$V$2:$V$1795,$N742)</f>
        <v>0</v>
      </c>
      <c r="AA742" s="32" t="n">
        <f aca="false">SUM(R742:Z742)</f>
        <v>215.47736</v>
      </c>
      <c r="AB742" s="33" t="n">
        <f aca="false">INDEX(Premissas!$B$5:$B$13,MATCH(A742,Premissas!$A$5:$A$13,0))</f>
        <v>0.07</v>
      </c>
      <c r="AC742" s="32" t="n">
        <f aca="false">AA742/(1-AB742)-AA742</f>
        <v>16.2187260215054</v>
      </c>
      <c r="AD742" s="32" t="n">
        <f aca="false">ROUND(AA742+AC742,2)</f>
        <v>231.7</v>
      </c>
      <c r="AE742" s="32" t="n">
        <f aca="false">AD742-L742</f>
        <v>34.08</v>
      </c>
      <c r="AF742" s="34" t="n">
        <f aca="false">IF(L742=0,0,AE742/L742)</f>
        <v>0.172452180953345</v>
      </c>
      <c r="AG742" s="22" t="str">
        <f aca="false">IF(AD742&lt;L742,"PASSARO","ATUAL")</f>
        <v>ATUAL</v>
      </c>
      <c r="AH742" s="22" t="str">
        <f aca="false">IF(P742&lt;&gt;A742,"Faixa cadastrada como "&amp;P742&amp;" na tabela; preço aplicado pela UF do CEP","")</f>
        <v/>
      </c>
      <c r="AI742" s="26" t="n">
        <v>280.91</v>
      </c>
      <c r="AJ742" s="22" t="str">
        <f aca="false">INDEX('Tabela Passaro'!$X$2:$X$1795,$N742)</f>
        <v>CAPITAL</v>
      </c>
    </row>
    <row r="743" customFormat="false" ht="15" hidden="false" customHeight="false" outlineLevel="0" collapsed="false">
      <c r="A743" s="22" t="s">
        <v>17</v>
      </c>
      <c r="B743" s="22" t="n">
        <v>1</v>
      </c>
      <c r="C743" s="22" t="s">
        <v>95</v>
      </c>
      <c r="D743" s="22" t="s">
        <v>30</v>
      </c>
      <c r="E743" s="22" t="s">
        <v>7328</v>
      </c>
      <c r="F743" s="22" t="n">
        <v>2312377</v>
      </c>
      <c r="G743" s="30" t="n">
        <v>46248</v>
      </c>
      <c r="H743" s="22" t="n">
        <v>133312</v>
      </c>
      <c r="I743" s="22" t="s">
        <v>8012</v>
      </c>
      <c r="J743" s="31" t="n">
        <v>44.6</v>
      </c>
      <c r="K743" s="26" t="n">
        <v>734.98</v>
      </c>
      <c r="L743" s="26" t="n">
        <v>165.12</v>
      </c>
      <c r="M743" s="22" t="s">
        <v>2349</v>
      </c>
      <c r="N743" s="22" t="n">
        <f aca="false">MATCH(M743,'Tabela Passaro'!$A$2:$A$1795,0)</f>
        <v>522</v>
      </c>
      <c r="O743" s="22" t="str">
        <f aca="false">INDEX('Tabela Passaro'!$C$2:$C$1795,$N743)</f>
        <v>FORTALEZA</v>
      </c>
      <c r="P743" s="22" t="str">
        <f aca="false">INDEX('Tabela Passaro'!$B$2:$B$1795,$N743)</f>
        <v>CE</v>
      </c>
      <c r="Q743" s="22" t="n">
        <f aca="false">INDEX('Tabela Passaro'!$F$2:$F$1795,$N743)</f>
        <v>8</v>
      </c>
      <c r="R743" s="32" t="n">
        <f aca="false">IF(J743&lt;=10,INDEX('Tabela Passaro'!$G$2:$G$1795,$N743),IF(J743&lt;=30,INDEX('Tabela Passaro'!$H$2:$H$1795,$N743),IF(J743&lt;=50,INDEX('Tabela Passaro'!$I$2:$I$1795,$N743),IF(J743&lt;=70,INDEX('Tabela Passaro'!$J$2:$J$1795,$N743),IF(J743&lt;=100,INDEX('Tabela Passaro'!$K$2:$K$1795,$N743),INDEX('Tabela Passaro'!$K$2:$K$1795,$N743)+(J743-100)*INDEX('Tabela Passaro'!$L$2:$L$1795,$N743))))))</f>
        <v>152.98</v>
      </c>
      <c r="S743" s="32" t="n">
        <f aca="false">K743*INDEX('Tabela Passaro'!$M$2:$M$1795,$N743)</f>
        <v>3.6749</v>
      </c>
      <c r="T743" s="32" t="n">
        <f aca="false">K743*INDEX('Tabela Passaro'!$N$2:$N$1795,$N743)</f>
        <v>1.46996</v>
      </c>
      <c r="U743" s="32" t="n">
        <f aca="false">INDEX('Tabela Passaro'!$O$2:$O$1795,$N743)</f>
        <v>5</v>
      </c>
      <c r="V743" s="32" t="n">
        <f aca="false">ROUNDUP(J743/INDEX('Tabela Passaro'!$Q$2:$Q$1795,$N743),0)*INDEX('Tabela Passaro'!$P$2:$P$1795,$N743)</f>
        <v>5</v>
      </c>
      <c r="W743" s="32" t="n">
        <f aca="false">INDEX('Tabela Passaro'!$R$2:$R$1795,$N743)</f>
        <v>30</v>
      </c>
      <c r="X743" s="32" t="n">
        <f aca="false">ROUNDUP(J743/INDEX('Tabela Passaro'!$T$2:$T$1795,$N743),0)*INDEX('Tabela Passaro'!$S$2:$S$1795,$N743)</f>
        <v>0</v>
      </c>
      <c r="Y743" s="32" t="n">
        <f aca="false">INDEX('Tabela Passaro'!$U$2:$U$1795,$N743)</f>
        <v>0</v>
      </c>
      <c r="Z743" s="32" t="n">
        <f aca="false">INDEX('Tabela Passaro'!$V$2:$V$1795,$N743)</f>
        <v>0</v>
      </c>
      <c r="AA743" s="32" t="n">
        <f aca="false">SUM(R743:Z743)</f>
        <v>198.12486</v>
      </c>
      <c r="AB743" s="33" t="n">
        <f aca="false">INDEX(Premissas!$B$5:$B$13,MATCH(A743,Premissas!$A$5:$A$13,0))</f>
        <v>0.07</v>
      </c>
      <c r="AC743" s="32" t="n">
        <f aca="false">AA743/(1-AB743)-AA743</f>
        <v>14.9126238709678</v>
      </c>
      <c r="AD743" s="32" t="n">
        <f aca="false">ROUND(AA743+AC743,2)</f>
        <v>213.04</v>
      </c>
      <c r="AE743" s="32" t="n">
        <f aca="false">AD743-L743</f>
        <v>47.92</v>
      </c>
      <c r="AF743" s="34" t="n">
        <f aca="false">IF(L743=0,0,AE743/L743)</f>
        <v>0.290213178294574</v>
      </c>
      <c r="AG743" s="22" t="str">
        <f aca="false">IF(AD743&lt;L743,"PASSARO","ATUAL")</f>
        <v>ATUAL</v>
      </c>
      <c r="AH743" s="22" t="str">
        <f aca="false">IF(P743&lt;&gt;A743,"Faixa cadastrada como "&amp;P743&amp;" na tabela; preço aplicado pela UF do CEP","")</f>
        <v/>
      </c>
      <c r="AI743" s="26" t="n">
        <v>250.42</v>
      </c>
      <c r="AJ743" s="22" t="str">
        <f aca="false">INDEX('Tabela Passaro'!$X$2:$X$1795,$N743)</f>
        <v>CAPITAL</v>
      </c>
    </row>
    <row r="744" customFormat="false" ht="15" hidden="false" customHeight="false" outlineLevel="0" collapsed="false">
      <c r="A744" s="22" t="s">
        <v>17</v>
      </c>
      <c r="B744" s="22" t="n">
        <v>1</v>
      </c>
      <c r="C744" s="22" t="s">
        <v>95</v>
      </c>
      <c r="D744" s="22" t="s">
        <v>30</v>
      </c>
      <c r="E744" s="22" t="s">
        <v>7328</v>
      </c>
      <c r="F744" s="22" t="n">
        <v>2312445</v>
      </c>
      <c r="G744" s="30" t="n">
        <v>46248</v>
      </c>
      <c r="H744" s="22" t="n">
        <v>133342</v>
      </c>
      <c r="I744" s="22" t="s">
        <v>8013</v>
      </c>
      <c r="J744" s="31" t="n">
        <v>59.8</v>
      </c>
      <c r="K744" s="26" t="n">
        <v>1084.98</v>
      </c>
      <c r="L744" s="26" t="n">
        <v>199.53</v>
      </c>
      <c r="M744" s="22" t="s">
        <v>2349</v>
      </c>
      <c r="N744" s="22" t="n">
        <f aca="false">MATCH(M744,'Tabela Passaro'!$A$2:$A$1795,0)</f>
        <v>522</v>
      </c>
      <c r="O744" s="22" t="str">
        <f aca="false">INDEX('Tabela Passaro'!$C$2:$C$1795,$N744)</f>
        <v>FORTALEZA</v>
      </c>
      <c r="P744" s="22" t="str">
        <f aca="false">INDEX('Tabela Passaro'!$B$2:$B$1795,$N744)</f>
        <v>CE</v>
      </c>
      <c r="Q744" s="22" t="n">
        <f aca="false">INDEX('Tabela Passaro'!$F$2:$F$1795,$N744)</f>
        <v>8</v>
      </c>
      <c r="R744" s="32" t="n">
        <f aca="false">IF(J744&lt;=10,INDEX('Tabela Passaro'!$G$2:$G$1795,$N744),IF(J744&lt;=30,INDEX('Tabela Passaro'!$H$2:$H$1795,$N744),IF(J744&lt;=50,INDEX('Tabela Passaro'!$I$2:$I$1795,$N744),IF(J744&lt;=70,INDEX('Tabela Passaro'!$J$2:$J$1795,$N744),IF(J744&lt;=100,INDEX('Tabela Passaro'!$K$2:$K$1795,$N744),INDEX('Tabela Passaro'!$K$2:$K$1795,$N744)+(J744-100)*INDEX('Tabela Passaro'!$L$2:$L$1795,$N744))))))</f>
        <v>169.58</v>
      </c>
      <c r="S744" s="32" t="n">
        <f aca="false">K744*INDEX('Tabela Passaro'!$M$2:$M$1795,$N744)</f>
        <v>5.4249</v>
      </c>
      <c r="T744" s="32" t="n">
        <f aca="false">K744*INDEX('Tabela Passaro'!$N$2:$N$1795,$N744)</f>
        <v>2.16996</v>
      </c>
      <c r="U744" s="32" t="n">
        <f aca="false">INDEX('Tabela Passaro'!$O$2:$O$1795,$N744)</f>
        <v>5</v>
      </c>
      <c r="V744" s="32" t="n">
        <f aca="false">ROUNDUP(J744/INDEX('Tabela Passaro'!$Q$2:$Q$1795,$N744),0)*INDEX('Tabela Passaro'!$P$2:$P$1795,$N744)</f>
        <v>5</v>
      </c>
      <c r="W744" s="32" t="n">
        <f aca="false">INDEX('Tabela Passaro'!$R$2:$R$1795,$N744)</f>
        <v>30</v>
      </c>
      <c r="X744" s="32" t="n">
        <f aca="false">ROUNDUP(J744/INDEX('Tabela Passaro'!$T$2:$T$1795,$N744),0)*INDEX('Tabela Passaro'!$S$2:$S$1795,$N744)</f>
        <v>0</v>
      </c>
      <c r="Y744" s="32" t="n">
        <f aca="false">INDEX('Tabela Passaro'!$U$2:$U$1795,$N744)</f>
        <v>0</v>
      </c>
      <c r="Z744" s="32" t="n">
        <f aca="false">INDEX('Tabela Passaro'!$V$2:$V$1795,$N744)</f>
        <v>0</v>
      </c>
      <c r="AA744" s="32" t="n">
        <f aca="false">SUM(R744:Z744)</f>
        <v>217.17486</v>
      </c>
      <c r="AB744" s="33" t="n">
        <f aca="false">INDEX(Premissas!$B$5:$B$13,MATCH(A744,Premissas!$A$5:$A$13,0))</f>
        <v>0.07</v>
      </c>
      <c r="AC744" s="32" t="n">
        <f aca="false">AA744/(1-AB744)-AA744</f>
        <v>16.3464948387097</v>
      </c>
      <c r="AD744" s="32" t="n">
        <f aca="false">ROUND(AA744+AC744,2)</f>
        <v>233.52</v>
      </c>
      <c r="AE744" s="32" t="n">
        <f aca="false">AD744-L744</f>
        <v>33.99</v>
      </c>
      <c r="AF744" s="34" t="n">
        <f aca="false">IF(L744=0,0,AE744/L744)</f>
        <v>0.17035032325966</v>
      </c>
      <c r="AG744" s="22" t="str">
        <f aca="false">IF(AD744&lt;L744,"PASSARO","ATUAL")</f>
        <v>ATUAL</v>
      </c>
      <c r="AH744" s="22" t="str">
        <f aca="false">IF(P744&lt;&gt;A744,"Faixa cadastrada como "&amp;P744&amp;" na tabela; preço aplicado pela UF do CEP","")</f>
        <v/>
      </c>
      <c r="AI744" s="26" t="n">
        <v>279.87</v>
      </c>
      <c r="AJ744" s="22" t="str">
        <f aca="false">INDEX('Tabela Passaro'!$X$2:$X$1795,$N744)</f>
        <v>CAPITAL</v>
      </c>
    </row>
    <row r="745" customFormat="false" ht="15" hidden="false" customHeight="false" outlineLevel="0" collapsed="false">
      <c r="A745" s="22" t="s">
        <v>17</v>
      </c>
      <c r="B745" s="22" t="n">
        <v>1</v>
      </c>
      <c r="C745" s="22" t="s">
        <v>95</v>
      </c>
      <c r="D745" s="22" t="s">
        <v>30</v>
      </c>
      <c r="E745" s="22" t="s">
        <v>7328</v>
      </c>
      <c r="F745" s="22" t="n">
        <v>2312434</v>
      </c>
      <c r="G745" s="30" t="n">
        <v>46248</v>
      </c>
      <c r="H745" s="22" t="n">
        <v>133347</v>
      </c>
      <c r="I745" s="22" t="s">
        <v>8014</v>
      </c>
      <c r="J745" s="31" t="n">
        <v>41</v>
      </c>
      <c r="K745" s="26" t="n">
        <v>546.48</v>
      </c>
      <c r="L745" s="26" t="n">
        <v>163.63</v>
      </c>
      <c r="M745" s="22" t="s">
        <v>2349</v>
      </c>
      <c r="N745" s="22" t="n">
        <f aca="false">MATCH(M745,'Tabela Passaro'!$A$2:$A$1795,0)</f>
        <v>522</v>
      </c>
      <c r="O745" s="22" t="str">
        <f aca="false">INDEX('Tabela Passaro'!$C$2:$C$1795,$N745)</f>
        <v>FORTALEZA</v>
      </c>
      <c r="P745" s="22" t="str">
        <f aca="false">INDEX('Tabela Passaro'!$B$2:$B$1795,$N745)</f>
        <v>CE</v>
      </c>
      <c r="Q745" s="22" t="n">
        <f aca="false">INDEX('Tabela Passaro'!$F$2:$F$1795,$N745)</f>
        <v>8</v>
      </c>
      <c r="R745" s="32" t="n">
        <f aca="false">IF(J745&lt;=10,INDEX('Tabela Passaro'!$G$2:$G$1795,$N745),IF(J745&lt;=30,INDEX('Tabela Passaro'!$H$2:$H$1795,$N745),IF(J745&lt;=50,INDEX('Tabela Passaro'!$I$2:$I$1795,$N745),IF(J745&lt;=70,INDEX('Tabela Passaro'!$J$2:$J$1795,$N745),IF(J745&lt;=100,INDEX('Tabela Passaro'!$K$2:$K$1795,$N745),INDEX('Tabela Passaro'!$K$2:$K$1795,$N745)+(J745-100)*INDEX('Tabela Passaro'!$L$2:$L$1795,$N745))))))</f>
        <v>152.98</v>
      </c>
      <c r="S745" s="32" t="n">
        <f aca="false">K745*INDEX('Tabela Passaro'!$M$2:$M$1795,$N745)</f>
        <v>2.7324</v>
      </c>
      <c r="T745" s="32" t="n">
        <f aca="false">K745*INDEX('Tabela Passaro'!$N$2:$N$1795,$N745)</f>
        <v>1.09296</v>
      </c>
      <c r="U745" s="32" t="n">
        <f aca="false">INDEX('Tabela Passaro'!$O$2:$O$1795,$N745)</f>
        <v>5</v>
      </c>
      <c r="V745" s="32" t="n">
        <f aca="false">ROUNDUP(J745/INDEX('Tabela Passaro'!$Q$2:$Q$1795,$N745),0)*INDEX('Tabela Passaro'!$P$2:$P$1795,$N745)</f>
        <v>5</v>
      </c>
      <c r="W745" s="32" t="n">
        <f aca="false">INDEX('Tabela Passaro'!$R$2:$R$1795,$N745)</f>
        <v>30</v>
      </c>
      <c r="X745" s="32" t="n">
        <f aca="false">ROUNDUP(J745/INDEX('Tabela Passaro'!$T$2:$T$1795,$N745),0)*INDEX('Tabela Passaro'!$S$2:$S$1795,$N745)</f>
        <v>0</v>
      </c>
      <c r="Y745" s="32" t="n">
        <f aca="false">INDEX('Tabela Passaro'!$U$2:$U$1795,$N745)</f>
        <v>0</v>
      </c>
      <c r="Z745" s="32" t="n">
        <f aca="false">INDEX('Tabela Passaro'!$V$2:$V$1795,$N745)</f>
        <v>0</v>
      </c>
      <c r="AA745" s="32" t="n">
        <f aca="false">SUM(R745:Z745)</f>
        <v>196.80536</v>
      </c>
      <c r="AB745" s="33" t="n">
        <f aca="false">INDEX(Premissas!$B$5:$B$13,MATCH(A745,Premissas!$A$5:$A$13,0))</f>
        <v>0.07</v>
      </c>
      <c r="AC745" s="32" t="n">
        <f aca="false">AA745/(1-AB745)-AA745</f>
        <v>14.8133066666667</v>
      </c>
      <c r="AD745" s="32" t="n">
        <f aca="false">ROUND(AA745+AC745,2)</f>
        <v>211.62</v>
      </c>
      <c r="AE745" s="32" t="n">
        <f aca="false">AD745-L745</f>
        <v>47.99</v>
      </c>
      <c r="AF745" s="34" t="n">
        <f aca="false">IF(L745=0,0,AE745/L745)</f>
        <v>0.293283627696633</v>
      </c>
      <c r="AG745" s="22" t="str">
        <f aca="false">IF(AD745&lt;L745,"PASSARO","ATUAL")</f>
        <v>ATUAL</v>
      </c>
      <c r="AH745" s="22" t="str">
        <f aca="false">IF(P745&lt;&gt;A745,"Faixa cadastrada como "&amp;P745&amp;" na tabela; preço aplicado pela UF do CEP","")</f>
        <v/>
      </c>
      <c r="AI745" s="26" t="n">
        <v>246.66</v>
      </c>
      <c r="AJ745" s="22" t="str">
        <f aca="false">INDEX('Tabela Passaro'!$X$2:$X$1795,$N745)</f>
        <v>CAPITAL</v>
      </c>
    </row>
    <row r="746" customFormat="false" ht="15" hidden="false" customHeight="false" outlineLevel="0" collapsed="false">
      <c r="A746" s="22" t="s">
        <v>17</v>
      </c>
      <c r="B746" s="22" t="n">
        <v>1</v>
      </c>
      <c r="C746" s="22" t="s">
        <v>95</v>
      </c>
      <c r="D746" s="22" t="s">
        <v>30</v>
      </c>
      <c r="E746" s="22" t="s">
        <v>7328</v>
      </c>
      <c r="F746" s="22" t="n">
        <v>2312455</v>
      </c>
      <c r="G746" s="30" t="n">
        <v>46248</v>
      </c>
      <c r="H746" s="22" t="n">
        <v>133362</v>
      </c>
      <c r="I746" s="22" t="s">
        <v>8015</v>
      </c>
      <c r="J746" s="31" t="n">
        <v>44.6</v>
      </c>
      <c r="K746" s="26" t="n">
        <v>804.98</v>
      </c>
      <c r="L746" s="26" t="n">
        <v>165.67</v>
      </c>
      <c r="M746" s="22" t="s">
        <v>2349</v>
      </c>
      <c r="N746" s="22" t="n">
        <f aca="false">MATCH(M746,'Tabela Passaro'!$A$2:$A$1795,0)</f>
        <v>522</v>
      </c>
      <c r="O746" s="22" t="str">
        <f aca="false">INDEX('Tabela Passaro'!$C$2:$C$1795,$N746)</f>
        <v>FORTALEZA</v>
      </c>
      <c r="P746" s="22" t="str">
        <f aca="false">INDEX('Tabela Passaro'!$B$2:$B$1795,$N746)</f>
        <v>CE</v>
      </c>
      <c r="Q746" s="22" t="n">
        <f aca="false">INDEX('Tabela Passaro'!$F$2:$F$1795,$N746)</f>
        <v>8</v>
      </c>
      <c r="R746" s="32" t="n">
        <f aca="false">IF(J746&lt;=10,INDEX('Tabela Passaro'!$G$2:$G$1795,$N746),IF(J746&lt;=30,INDEX('Tabela Passaro'!$H$2:$H$1795,$N746),IF(J746&lt;=50,INDEX('Tabela Passaro'!$I$2:$I$1795,$N746),IF(J746&lt;=70,INDEX('Tabela Passaro'!$J$2:$J$1795,$N746),IF(J746&lt;=100,INDEX('Tabela Passaro'!$K$2:$K$1795,$N746),INDEX('Tabela Passaro'!$K$2:$K$1795,$N746)+(J746-100)*INDEX('Tabela Passaro'!$L$2:$L$1795,$N746))))))</f>
        <v>152.98</v>
      </c>
      <c r="S746" s="32" t="n">
        <f aca="false">K746*INDEX('Tabela Passaro'!$M$2:$M$1795,$N746)</f>
        <v>4.0249</v>
      </c>
      <c r="T746" s="32" t="n">
        <f aca="false">K746*INDEX('Tabela Passaro'!$N$2:$N$1795,$N746)</f>
        <v>1.60996</v>
      </c>
      <c r="U746" s="32" t="n">
        <f aca="false">INDEX('Tabela Passaro'!$O$2:$O$1795,$N746)</f>
        <v>5</v>
      </c>
      <c r="V746" s="32" t="n">
        <f aca="false">ROUNDUP(J746/INDEX('Tabela Passaro'!$Q$2:$Q$1795,$N746),0)*INDEX('Tabela Passaro'!$P$2:$P$1795,$N746)</f>
        <v>5</v>
      </c>
      <c r="W746" s="32" t="n">
        <f aca="false">INDEX('Tabela Passaro'!$R$2:$R$1795,$N746)</f>
        <v>30</v>
      </c>
      <c r="X746" s="32" t="n">
        <f aca="false">ROUNDUP(J746/INDEX('Tabela Passaro'!$T$2:$T$1795,$N746),0)*INDEX('Tabela Passaro'!$S$2:$S$1795,$N746)</f>
        <v>0</v>
      </c>
      <c r="Y746" s="32" t="n">
        <f aca="false">INDEX('Tabela Passaro'!$U$2:$U$1795,$N746)</f>
        <v>0</v>
      </c>
      <c r="Z746" s="32" t="n">
        <f aca="false">INDEX('Tabela Passaro'!$V$2:$V$1795,$N746)</f>
        <v>0</v>
      </c>
      <c r="AA746" s="32" t="n">
        <f aca="false">SUM(R746:Z746)</f>
        <v>198.61486</v>
      </c>
      <c r="AB746" s="33" t="n">
        <f aca="false">INDEX(Premissas!$B$5:$B$13,MATCH(A746,Premissas!$A$5:$A$13,0))</f>
        <v>0.07</v>
      </c>
      <c r="AC746" s="32" t="n">
        <f aca="false">AA746/(1-AB746)-AA746</f>
        <v>14.9495055913979</v>
      </c>
      <c r="AD746" s="32" t="n">
        <f aca="false">ROUND(AA746+AC746,2)</f>
        <v>213.56</v>
      </c>
      <c r="AE746" s="32" t="n">
        <f aca="false">AD746-L746</f>
        <v>47.89</v>
      </c>
      <c r="AF746" s="34" t="n">
        <f aca="false">IF(L746=0,0,AE746/L746)</f>
        <v>0.289068630409851</v>
      </c>
      <c r="AG746" s="22" t="str">
        <f aca="false">IF(AD746&lt;L746,"PASSARO","ATUAL")</f>
        <v>ATUAL</v>
      </c>
      <c r="AH746" s="22" t="str">
        <f aca="false">IF(P746&lt;&gt;A746,"Faixa cadastrada como "&amp;P746&amp;" na tabela; preço aplicado pela UF do CEP","")</f>
        <v/>
      </c>
      <c r="AI746" s="26" t="n">
        <v>251.1</v>
      </c>
      <c r="AJ746" s="22" t="str">
        <f aca="false">INDEX('Tabela Passaro'!$X$2:$X$1795,$N746)</f>
        <v>CAPITAL</v>
      </c>
    </row>
    <row r="747" customFormat="false" ht="15" hidden="false" customHeight="false" outlineLevel="0" collapsed="false">
      <c r="A747" s="22" t="s">
        <v>17</v>
      </c>
      <c r="B747" s="22" t="n">
        <v>1</v>
      </c>
      <c r="C747" s="22" t="s">
        <v>95</v>
      </c>
      <c r="D747" s="22" t="s">
        <v>30</v>
      </c>
      <c r="E747" s="22" t="s">
        <v>7328</v>
      </c>
      <c r="F747" s="22" t="n">
        <v>2312482</v>
      </c>
      <c r="G747" s="30" t="n">
        <v>46248</v>
      </c>
      <c r="H747" s="22" t="n">
        <v>133449</v>
      </c>
      <c r="I747" s="22" t="s">
        <v>8016</v>
      </c>
      <c r="J747" s="31" t="n">
        <v>48</v>
      </c>
      <c r="K747" s="26" t="n">
        <v>1229.98</v>
      </c>
      <c r="L747" s="26" t="n">
        <v>169.03</v>
      </c>
      <c r="M747" s="22" t="s">
        <v>2349</v>
      </c>
      <c r="N747" s="22" t="n">
        <f aca="false">MATCH(M747,'Tabela Passaro'!$A$2:$A$1795,0)</f>
        <v>522</v>
      </c>
      <c r="O747" s="22" t="str">
        <f aca="false">INDEX('Tabela Passaro'!$C$2:$C$1795,$N747)</f>
        <v>FORTALEZA</v>
      </c>
      <c r="P747" s="22" t="str">
        <f aca="false">INDEX('Tabela Passaro'!$B$2:$B$1795,$N747)</f>
        <v>CE</v>
      </c>
      <c r="Q747" s="22" t="n">
        <f aca="false">INDEX('Tabela Passaro'!$F$2:$F$1795,$N747)</f>
        <v>8</v>
      </c>
      <c r="R747" s="32" t="n">
        <f aca="false">IF(J747&lt;=10,INDEX('Tabela Passaro'!$G$2:$G$1795,$N747),IF(J747&lt;=30,INDEX('Tabela Passaro'!$H$2:$H$1795,$N747),IF(J747&lt;=50,INDEX('Tabela Passaro'!$I$2:$I$1795,$N747),IF(J747&lt;=70,INDEX('Tabela Passaro'!$J$2:$J$1795,$N747),IF(J747&lt;=100,INDEX('Tabela Passaro'!$K$2:$K$1795,$N747),INDEX('Tabela Passaro'!$K$2:$K$1795,$N747)+(J747-100)*INDEX('Tabela Passaro'!$L$2:$L$1795,$N747))))))</f>
        <v>152.98</v>
      </c>
      <c r="S747" s="32" t="n">
        <f aca="false">K747*INDEX('Tabela Passaro'!$M$2:$M$1795,$N747)</f>
        <v>6.1499</v>
      </c>
      <c r="T747" s="32" t="n">
        <f aca="false">K747*INDEX('Tabela Passaro'!$N$2:$N$1795,$N747)</f>
        <v>2.45996</v>
      </c>
      <c r="U747" s="32" t="n">
        <f aca="false">INDEX('Tabela Passaro'!$O$2:$O$1795,$N747)</f>
        <v>5</v>
      </c>
      <c r="V747" s="32" t="n">
        <f aca="false">ROUNDUP(J747/INDEX('Tabela Passaro'!$Q$2:$Q$1795,$N747),0)*INDEX('Tabela Passaro'!$P$2:$P$1795,$N747)</f>
        <v>5</v>
      </c>
      <c r="W747" s="32" t="n">
        <f aca="false">INDEX('Tabela Passaro'!$R$2:$R$1795,$N747)</f>
        <v>30</v>
      </c>
      <c r="X747" s="32" t="n">
        <f aca="false">ROUNDUP(J747/INDEX('Tabela Passaro'!$T$2:$T$1795,$N747),0)*INDEX('Tabela Passaro'!$S$2:$S$1795,$N747)</f>
        <v>0</v>
      </c>
      <c r="Y747" s="32" t="n">
        <f aca="false">INDEX('Tabela Passaro'!$U$2:$U$1795,$N747)</f>
        <v>0</v>
      </c>
      <c r="Z747" s="32" t="n">
        <f aca="false">INDEX('Tabela Passaro'!$V$2:$V$1795,$N747)</f>
        <v>0</v>
      </c>
      <c r="AA747" s="32" t="n">
        <f aca="false">SUM(R747:Z747)</f>
        <v>201.58986</v>
      </c>
      <c r="AB747" s="33" t="n">
        <f aca="false">INDEX(Premissas!$B$5:$B$13,MATCH(A747,Premissas!$A$5:$A$13,0))</f>
        <v>0.07</v>
      </c>
      <c r="AC747" s="32" t="n">
        <f aca="false">AA747/(1-AB747)-AA747</f>
        <v>15.1734303225807</v>
      </c>
      <c r="AD747" s="32" t="n">
        <f aca="false">ROUND(AA747+AC747,2)</f>
        <v>216.76</v>
      </c>
      <c r="AE747" s="32" t="n">
        <f aca="false">AD747-L747</f>
        <v>47.73</v>
      </c>
      <c r="AF747" s="34" t="n">
        <f aca="false">IF(L747=0,0,AE747/L747)</f>
        <v>0.282375909601846</v>
      </c>
      <c r="AG747" s="22" t="str">
        <f aca="false">IF(AD747&lt;L747,"PASSARO","ATUAL")</f>
        <v>ATUAL</v>
      </c>
      <c r="AH747" s="22" t="str">
        <f aca="false">IF(P747&lt;&gt;A747,"Faixa cadastrada como "&amp;P747&amp;" na tabela; preço aplicado pela UF do CEP","")</f>
        <v/>
      </c>
      <c r="AI747" s="26" t="n">
        <v>256.67</v>
      </c>
      <c r="AJ747" s="22" t="str">
        <f aca="false">INDEX('Tabela Passaro'!$X$2:$X$1795,$N747)</f>
        <v>CAPITAL</v>
      </c>
    </row>
    <row r="748" customFormat="false" ht="15" hidden="false" customHeight="false" outlineLevel="0" collapsed="false">
      <c r="A748" s="22" t="s">
        <v>17</v>
      </c>
      <c r="B748" s="22" t="n">
        <v>1</v>
      </c>
      <c r="C748" s="22" t="s">
        <v>95</v>
      </c>
      <c r="D748" s="22" t="s">
        <v>30</v>
      </c>
      <c r="E748" s="22" t="s">
        <v>7326</v>
      </c>
      <c r="F748" s="22" t="n">
        <v>524996</v>
      </c>
      <c r="G748" s="30" t="n">
        <v>46248</v>
      </c>
      <c r="H748" s="22" t="n">
        <v>625204</v>
      </c>
      <c r="I748" s="22" t="s">
        <v>8017</v>
      </c>
      <c r="J748" s="31" t="n">
        <v>22</v>
      </c>
      <c r="K748" s="26" t="n">
        <v>898.55</v>
      </c>
      <c r="L748" s="26" t="n">
        <v>138.11</v>
      </c>
      <c r="M748" s="22" t="s">
        <v>2349</v>
      </c>
      <c r="N748" s="22" t="n">
        <f aca="false">MATCH(M748,'Tabela Passaro'!$A$2:$A$1795,0)</f>
        <v>522</v>
      </c>
      <c r="O748" s="22" t="str">
        <f aca="false">INDEX('Tabela Passaro'!$C$2:$C$1795,$N748)</f>
        <v>FORTALEZA</v>
      </c>
      <c r="P748" s="22" t="str">
        <f aca="false">INDEX('Tabela Passaro'!$B$2:$B$1795,$N748)</f>
        <v>CE</v>
      </c>
      <c r="Q748" s="22" t="n">
        <f aca="false">INDEX('Tabela Passaro'!$F$2:$F$1795,$N748)</f>
        <v>8</v>
      </c>
      <c r="R748" s="32" t="n">
        <f aca="false">IF(J748&lt;=10,INDEX('Tabela Passaro'!$G$2:$G$1795,$N748),IF(J748&lt;=30,INDEX('Tabela Passaro'!$H$2:$H$1795,$N748),IF(J748&lt;=50,INDEX('Tabela Passaro'!$I$2:$I$1795,$N748),IF(J748&lt;=70,INDEX('Tabela Passaro'!$J$2:$J$1795,$N748),IF(J748&lt;=100,INDEX('Tabela Passaro'!$K$2:$K$1795,$N748),INDEX('Tabela Passaro'!$K$2:$K$1795,$N748)+(J748-100)*INDEX('Tabela Passaro'!$L$2:$L$1795,$N748))))))</f>
        <v>130.85</v>
      </c>
      <c r="S748" s="32" t="n">
        <f aca="false">K748*INDEX('Tabela Passaro'!$M$2:$M$1795,$N748)</f>
        <v>4.49275</v>
      </c>
      <c r="T748" s="32" t="n">
        <f aca="false">K748*INDEX('Tabela Passaro'!$N$2:$N$1795,$N748)</f>
        <v>1.7971</v>
      </c>
      <c r="U748" s="32" t="n">
        <f aca="false">INDEX('Tabela Passaro'!$O$2:$O$1795,$N748)</f>
        <v>5</v>
      </c>
      <c r="V748" s="32" t="n">
        <f aca="false">ROUNDUP(J748/INDEX('Tabela Passaro'!$Q$2:$Q$1795,$N748),0)*INDEX('Tabela Passaro'!$P$2:$P$1795,$N748)</f>
        <v>5</v>
      </c>
      <c r="W748" s="32" t="n">
        <f aca="false">INDEX('Tabela Passaro'!$R$2:$R$1795,$N748)</f>
        <v>30</v>
      </c>
      <c r="X748" s="32" t="n">
        <f aca="false">ROUNDUP(J748/INDEX('Tabela Passaro'!$T$2:$T$1795,$N748),0)*INDEX('Tabela Passaro'!$S$2:$S$1795,$N748)</f>
        <v>0</v>
      </c>
      <c r="Y748" s="32" t="n">
        <f aca="false">INDEX('Tabela Passaro'!$U$2:$U$1795,$N748)</f>
        <v>0</v>
      </c>
      <c r="Z748" s="32" t="n">
        <f aca="false">INDEX('Tabela Passaro'!$V$2:$V$1795,$N748)</f>
        <v>0</v>
      </c>
      <c r="AA748" s="32" t="n">
        <f aca="false">SUM(R748:Z748)</f>
        <v>177.13985</v>
      </c>
      <c r="AB748" s="33" t="n">
        <f aca="false">INDEX(Premissas!$B$5:$B$13,MATCH(A748,Premissas!$A$5:$A$13,0))</f>
        <v>0.07</v>
      </c>
      <c r="AC748" s="32" t="n">
        <f aca="false">AA748/(1-AB748)-AA748</f>
        <v>13.3331069892473</v>
      </c>
      <c r="AD748" s="32" t="n">
        <f aca="false">ROUND(AA748+AC748,2)</f>
        <v>190.47</v>
      </c>
      <c r="AE748" s="32" t="n">
        <f aca="false">AD748-L748</f>
        <v>52.36</v>
      </c>
      <c r="AF748" s="34" t="n">
        <f aca="false">IF(L748=0,0,AE748/L748)</f>
        <v>0.379118094272681</v>
      </c>
      <c r="AG748" s="22" t="str">
        <f aca="false">IF(AD748&lt;L748,"PASSARO","ATUAL")</f>
        <v>ATUAL</v>
      </c>
      <c r="AH748" s="22" t="str">
        <f aca="false">IF(P748&lt;&gt;A748,"Faixa cadastrada como "&amp;P748&amp;" na tabela; preço aplicado pela UF do CEP","")</f>
        <v/>
      </c>
      <c r="AI748" s="26" t="n">
        <v>215.84</v>
      </c>
      <c r="AJ748" s="22" t="str">
        <f aca="false">INDEX('Tabela Passaro'!$X$2:$X$1795,$N748)</f>
        <v>CAPITAL</v>
      </c>
    </row>
    <row r="749" customFormat="false" ht="15" hidden="false" customHeight="false" outlineLevel="0" collapsed="false">
      <c r="A749" s="22" t="s">
        <v>17</v>
      </c>
      <c r="B749" s="22" t="n">
        <v>1</v>
      </c>
      <c r="C749" s="22" t="s">
        <v>95</v>
      </c>
      <c r="D749" s="22" t="s">
        <v>30</v>
      </c>
      <c r="E749" s="22" t="s">
        <v>7326</v>
      </c>
      <c r="F749" s="22" t="n">
        <v>525004</v>
      </c>
      <c r="G749" s="30" t="n">
        <v>46248</v>
      </c>
      <c r="H749" s="22" t="n">
        <v>625214</v>
      </c>
      <c r="I749" s="22" t="s">
        <v>8018</v>
      </c>
      <c r="J749" s="31" t="n">
        <v>93.7</v>
      </c>
      <c r="K749" s="26" t="n">
        <v>1528.29</v>
      </c>
      <c r="L749" s="26" t="n">
        <v>305.68</v>
      </c>
      <c r="M749" s="22" t="s">
        <v>2349</v>
      </c>
      <c r="N749" s="22" t="n">
        <f aca="false">MATCH(M749,'Tabela Passaro'!$A$2:$A$1795,0)</f>
        <v>522</v>
      </c>
      <c r="O749" s="22" t="str">
        <f aca="false">INDEX('Tabela Passaro'!$C$2:$C$1795,$N749)</f>
        <v>FORTALEZA</v>
      </c>
      <c r="P749" s="22" t="str">
        <f aca="false">INDEX('Tabela Passaro'!$B$2:$B$1795,$N749)</f>
        <v>CE</v>
      </c>
      <c r="Q749" s="22" t="n">
        <f aca="false">INDEX('Tabela Passaro'!$F$2:$F$1795,$N749)</f>
        <v>8</v>
      </c>
      <c r="R749" s="32" t="n">
        <f aca="false">IF(J749&lt;=10,INDEX('Tabela Passaro'!$G$2:$G$1795,$N749),IF(J749&lt;=30,INDEX('Tabela Passaro'!$H$2:$H$1795,$N749),IF(J749&lt;=50,INDEX('Tabela Passaro'!$I$2:$I$1795,$N749),IF(J749&lt;=70,INDEX('Tabela Passaro'!$J$2:$J$1795,$N749),IF(J749&lt;=100,INDEX('Tabela Passaro'!$K$2:$K$1795,$N749),INDEX('Tabela Passaro'!$K$2:$K$1795,$N749)+(J749-100)*INDEX('Tabela Passaro'!$L$2:$L$1795,$N749))))))</f>
        <v>186.18</v>
      </c>
      <c r="S749" s="32" t="n">
        <f aca="false">K749*INDEX('Tabela Passaro'!$M$2:$M$1795,$N749)</f>
        <v>7.64145</v>
      </c>
      <c r="T749" s="32" t="n">
        <f aca="false">K749*INDEX('Tabela Passaro'!$N$2:$N$1795,$N749)</f>
        <v>3.05658</v>
      </c>
      <c r="U749" s="32" t="n">
        <f aca="false">INDEX('Tabela Passaro'!$O$2:$O$1795,$N749)</f>
        <v>5</v>
      </c>
      <c r="V749" s="32" t="n">
        <f aca="false">ROUNDUP(J749/INDEX('Tabela Passaro'!$Q$2:$Q$1795,$N749),0)*INDEX('Tabela Passaro'!$P$2:$P$1795,$N749)</f>
        <v>5</v>
      </c>
      <c r="W749" s="32" t="n">
        <f aca="false">INDEX('Tabela Passaro'!$R$2:$R$1795,$N749)</f>
        <v>30</v>
      </c>
      <c r="X749" s="32" t="n">
        <f aca="false">ROUNDUP(J749/INDEX('Tabela Passaro'!$T$2:$T$1795,$N749),0)*INDEX('Tabela Passaro'!$S$2:$S$1795,$N749)</f>
        <v>0</v>
      </c>
      <c r="Y749" s="32" t="n">
        <f aca="false">INDEX('Tabela Passaro'!$U$2:$U$1795,$N749)</f>
        <v>0</v>
      </c>
      <c r="Z749" s="32" t="n">
        <f aca="false">INDEX('Tabela Passaro'!$V$2:$V$1795,$N749)</f>
        <v>0</v>
      </c>
      <c r="AA749" s="32" t="n">
        <f aca="false">SUM(R749:Z749)</f>
        <v>236.87803</v>
      </c>
      <c r="AB749" s="33" t="n">
        <f aca="false">INDEX(Premissas!$B$5:$B$13,MATCH(A749,Premissas!$A$5:$A$13,0))</f>
        <v>0.07</v>
      </c>
      <c r="AC749" s="32" t="n">
        <f aca="false">AA749/(1-AB749)-AA749</f>
        <v>17.829529139785</v>
      </c>
      <c r="AD749" s="32" t="n">
        <f aca="false">ROUND(AA749+AC749,2)</f>
        <v>254.71</v>
      </c>
      <c r="AE749" s="32" t="n">
        <f aca="false">AD749-L749</f>
        <v>-50.97</v>
      </c>
      <c r="AF749" s="34" t="n">
        <f aca="false">IF(L749=0,0,AE749/L749)</f>
        <v>-0.166742999214865</v>
      </c>
      <c r="AG749" s="22" t="str">
        <f aca="false">IF(AD749&lt;L749,"PASSARO","ATUAL")</f>
        <v>PASSARO</v>
      </c>
      <c r="AH749" s="22" t="str">
        <f aca="false">IF(P749&lt;&gt;A749,"Faixa cadastrada como "&amp;P749&amp;" na tabela; preço aplicado pela UF do CEP","")</f>
        <v/>
      </c>
      <c r="AI749" s="26" t="n">
        <v>319.39</v>
      </c>
      <c r="AJ749" s="22" t="str">
        <f aca="false">INDEX('Tabela Passaro'!$X$2:$X$1795,$N749)</f>
        <v>CAPITAL</v>
      </c>
    </row>
    <row r="750" customFormat="false" ht="15" hidden="false" customHeight="false" outlineLevel="0" collapsed="false">
      <c r="A750" s="22" t="s">
        <v>17</v>
      </c>
      <c r="B750" s="22" t="n">
        <v>1</v>
      </c>
      <c r="C750" s="22" t="s">
        <v>95</v>
      </c>
      <c r="D750" s="22" t="s">
        <v>30</v>
      </c>
      <c r="E750" s="22" t="s">
        <v>7326</v>
      </c>
      <c r="F750" s="22" t="n">
        <v>525014</v>
      </c>
      <c r="G750" s="30" t="n">
        <v>46248</v>
      </c>
      <c r="H750" s="22" t="n">
        <v>625222</v>
      </c>
      <c r="I750" s="22" t="s">
        <v>8019</v>
      </c>
      <c r="J750" s="31" t="n">
        <v>6.33</v>
      </c>
      <c r="K750" s="26" t="n">
        <v>503.98</v>
      </c>
      <c r="L750" s="26" t="n">
        <v>75.75</v>
      </c>
      <c r="M750" s="22" t="s">
        <v>2349</v>
      </c>
      <c r="N750" s="22" t="n">
        <f aca="false">MATCH(M750,'Tabela Passaro'!$A$2:$A$1795,0)</f>
        <v>522</v>
      </c>
      <c r="O750" s="22" t="str">
        <f aca="false">INDEX('Tabela Passaro'!$C$2:$C$1795,$N750)</f>
        <v>FORTALEZA</v>
      </c>
      <c r="P750" s="22" t="str">
        <f aca="false">INDEX('Tabela Passaro'!$B$2:$B$1795,$N750)</f>
        <v>CE</v>
      </c>
      <c r="Q750" s="22" t="n">
        <f aca="false">INDEX('Tabela Passaro'!$F$2:$F$1795,$N750)</f>
        <v>8</v>
      </c>
      <c r="R750" s="32" t="n">
        <f aca="false">IF(J750&lt;=10,INDEX('Tabela Passaro'!$G$2:$G$1795,$N750),IF(J750&lt;=30,INDEX('Tabela Passaro'!$H$2:$H$1795,$N750),IF(J750&lt;=50,INDEX('Tabela Passaro'!$I$2:$I$1795,$N750),IF(J750&lt;=70,INDEX('Tabela Passaro'!$J$2:$J$1795,$N750),IF(J750&lt;=100,INDEX('Tabela Passaro'!$K$2:$K$1795,$N750),INDEX('Tabela Passaro'!$K$2:$K$1795,$N750)+(J750-100)*INDEX('Tabela Passaro'!$L$2:$L$1795,$N750))))))</f>
        <v>108.72</v>
      </c>
      <c r="S750" s="32" t="n">
        <f aca="false">K750*INDEX('Tabela Passaro'!$M$2:$M$1795,$N750)</f>
        <v>2.5199</v>
      </c>
      <c r="T750" s="32" t="n">
        <f aca="false">K750*INDEX('Tabela Passaro'!$N$2:$N$1795,$N750)</f>
        <v>1.00796</v>
      </c>
      <c r="U750" s="32" t="n">
        <f aca="false">INDEX('Tabela Passaro'!$O$2:$O$1795,$N750)</f>
        <v>5</v>
      </c>
      <c r="V750" s="32" t="n">
        <f aca="false">ROUNDUP(J750/INDEX('Tabela Passaro'!$Q$2:$Q$1795,$N750),0)*INDEX('Tabela Passaro'!$P$2:$P$1795,$N750)</f>
        <v>5</v>
      </c>
      <c r="W750" s="32" t="n">
        <f aca="false">INDEX('Tabela Passaro'!$R$2:$R$1795,$N750)</f>
        <v>30</v>
      </c>
      <c r="X750" s="32" t="n">
        <f aca="false">ROUNDUP(J750/INDEX('Tabela Passaro'!$T$2:$T$1795,$N750),0)*INDEX('Tabela Passaro'!$S$2:$S$1795,$N750)</f>
        <v>0</v>
      </c>
      <c r="Y750" s="32" t="n">
        <f aca="false">INDEX('Tabela Passaro'!$U$2:$U$1795,$N750)</f>
        <v>0</v>
      </c>
      <c r="Z750" s="32" t="n">
        <f aca="false">INDEX('Tabela Passaro'!$V$2:$V$1795,$N750)</f>
        <v>0</v>
      </c>
      <c r="AA750" s="32" t="n">
        <f aca="false">SUM(R750:Z750)</f>
        <v>152.24786</v>
      </c>
      <c r="AB750" s="33" t="n">
        <f aca="false">INDEX(Premissas!$B$5:$B$13,MATCH(A750,Premissas!$A$5:$A$13,0))</f>
        <v>0.07</v>
      </c>
      <c r="AC750" s="32" t="n">
        <f aca="false">AA750/(1-AB750)-AA750</f>
        <v>11.459516344086</v>
      </c>
      <c r="AD750" s="32" t="n">
        <f aca="false">ROUND(AA750+AC750,2)</f>
        <v>163.71</v>
      </c>
      <c r="AE750" s="32" t="n">
        <f aca="false">AD750-L750</f>
        <v>87.96</v>
      </c>
      <c r="AF750" s="34" t="n">
        <f aca="false">IF(L750=0,0,AE750/L750)</f>
        <v>1.16118811881188</v>
      </c>
      <c r="AG750" s="22" t="str">
        <f aca="false">IF(AD750&lt;L750,"PASSARO","ATUAL")</f>
        <v>ATUAL</v>
      </c>
      <c r="AH750" s="22" t="str">
        <f aca="false">IF(P750&lt;&gt;A750,"Faixa cadastrada como "&amp;P750&amp;" na tabela; preço aplicado pela UF do CEP","")</f>
        <v/>
      </c>
      <c r="AI750" s="26" t="n">
        <v>179.71</v>
      </c>
      <c r="AJ750" s="22" t="str">
        <f aca="false">INDEX('Tabela Passaro'!$X$2:$X$1795,$N750)</f>
        <v>CAPITAL</v>
      </c>
    </row>
    <row r="751" customFormat="false" ht="15" hidden="false" customHeight="false" outlineLevel="0" collapsed="false">
      <c r="A751" s="22" t="s">
        <v>17</v>
      </c>
      <c r="B751" s="22" t="n">
        <v>1</v>
      </c>
      <c r="C751" s="22" t="s">
        <v>95</v>
      </c>
      <c r="D751" s="22" t="s">
        <v>30</v>
      </c>
      <c r="E751" s="22" t="s">
        <v>17</v>
      </c>
      <c r="F751" s="22" t="n">
        <v>239337</v>
      </c>
      <c r="G751" s="30" t="n">
        <v>46249</v>
      </c>
      <c r="H751" s="22" t="n">
        <v>31882</v>
      </c>
      <c r="I751" s="22" t="s">
        <v>8020</v>
      </c>
      <c r="J751" s="31" t="n">
        <v>66.8</v>
      </c>
      <c r="K751" s="26" t="n">
        <v>731.98</v>
      </c>
      <c r="L751" s="26" t="n">
        <v>175.63</v>
      </c>
      <c r="M751" s="22" t="s">
        <v>2349</v>
      </c>
      <c r="N751" s="22" t="n">
        <f aca="false">MATCH(M751,'Tabela Passaro'!$A$2:$A$1795,0)</f>
        <v>522</v>
      </c>
      <c r="O751" s="22" t="str">
        <f aca="false">INDEX('Tabela Passaro'!$C$2:$C$1795,$N751)</f>
        <v>FORTALEZA</v>
      </c>
      <c r="P751" s="22" t="str">
        <f aca="false">INDEX('Tabela Passaro'!$B$2:$B$1795,$N751)</f>
        <v>CE</v>
      </c>
      <c r="Q751" s="22" t="n">
        <f aca="false">INDEX('Tabela Passaro'!$F$2:$F$1795,$N751)</f>
        <v>8</v>
      </c>
      <c r="R751" s="32" t="n">
        <f aca="false">IF(J751&lt;=10,INDEX('Tabela Passaro'!$G$2:$G$1795,$N751),IF(J751&lt;=30,INDEX('Tabela Passaro'!$H$2:$H$1795,$N751),IF(J751&lt;=50,INDEX('Tabela Passaro'!$I$2:$I$1795,$N751),IF(J751&lt;=70,INDEX('Tabela Passaro'!$J$2:$J$1795,$N751),IF(J751&lt;=100,INDEX('Tabela Passaro'!$K$2:$K$1795,$N751),INDEX('Tabela Passaro'!$K$2:$K$1795,$N751)+(J751-100)*INDEX('Tabela Passaro'!$L$2:$L$1795,$N751))))))</f>
        <v>169.58</v>
      </c>
      <c r="S751" s="32" t="n">
        <f aca="false">K751*INDEX('Tabela Passaro'!$M$2:$M$1795,$N751)</f>
        <v>3.6599</v>
      </c>
      <c r="T751" s="32" t="n">
        <f aca="false">K751*INDEX('Tabela Passaro'!$N$2:$N$1795,$N751)</f>
        <v>1.46396</v>
      </c>
      <c r="U751" s="32" t="n">
        <f aca="false">INDEX('Tabela Passaro'!$O$2:$O$1795,$N751)</f>
        <v>5</v>
      </c>
      <c r="V751" s="32" t="n">
        <f aca="false">ROUNDUP(J751/INDEX('Tabela Passaro'!$Q$2:$Q$1795,$N751),0)*INDEX('Tabela Passaro'!$P$2:$P$1795,$N751)</f>
        <v>5</v>
      </c>
      <c r="W751" s="32" t="n">
        <f aca="false">INDEX('Tabela Passaro'!$R$2:$R$1795,$N751)</f>
        <v>30</v>
      </c>
      <c r="X751" s="32" t="n">
        <f aca="false">ROUNDUP(J751/INDEX('Tabela Passaro'!$T$2:$T$1795,$N751),0)*INDEX('Tabela Passaro'!$S$2:$S$1795,$N751)</f>
        <v>0</v>
      </c>
      <c r="Y751" s="32" t="n">
        <f aca="false">INDEX('Tabela Passaro'!$U$2:$U$1795,$N751)</f>
        <v>0</v>
      </c>
      <c r="Z751" s="32" t="n">
        <f aca="false">INDEX('Tabela Passaro'!$V$2:$V$1795,$N751)</f>
        <v>0</v>
      </c>
      <c r="AA751" s="32" t="n">
        <f aca="false">SUM(R751:Z751)</f>
        <v>214.70386</v>
      </c>
      <c r="AB751" s="33" t="n">
        <f aca="false">INDEX(Premissas!$B$5:$B$13,MATCH(A751,Premissas!$A$5:$A$13,0))</f>
        <v>0.07</v>
      </c>
      <c r="AC751" s="32" t="n">
        <f aca="false">AA751/(1-AB751)-AA751</f>
        <v>16.1605055913979</v>
      </c>
      <c r="AD751" s="32" t="n">
        <f aca="false">ROUND(AA751+AC751,2)</f>
        <v>230.86</v>
      </c>
      <c r="AE751" s="32" t="n">
        <f aca="false">AD751-L751</f>
        <v>55.23</v>
      </c>
      <c r="AF751" s="34" t="n">
        <f aca="false">IF(L751=0,0,AE751/L751)</f>
        <v>0.314467915504185</v>
      </c>
      <c r="AG751" s="22" t="str">
        <f aca="false">IF(AD751&lt;L751,"PASSARO","ATUAL")</f>
        <v>ATUAL</v>
      </c>
      <c r="AH751" s="22" t="str">
        <f aca="false">IF(P751&lt;&gt;A751,"Faixa cadastrada como "&amp;P751&amp;" na tabela; preço aplicado pela UF do CEP","")</f>
        <v/>
      </c>
      <c r="AI751" s="26" t="n">
        <v>279.84</v>
      </c>
      <c r="AJ751" s="22" t="str">
        <f aca="false">INDEX('Tabela Passaro'!$X$2:$X$1795,$N751)</f>
        <v>CAPITAL</v>
      </c>
    </row>
    <row r="752" customFormat="false" ht="15" hidden="false" customHeight="false" outlineLevel="0" collapsed="false">
      <c r="A752" s="22" t="s">
        <v>17</v>
      </c>
      <c r="B752" s="22" t="n">
        <v>1</v>
      </c>
      <c r="C752" s="22" t="s">
        <v>95</v>
      </c>
      <c r="D752" s="22" t="s">
        <v>30</v>
      </c>
      <c r="E752" s="22" t="s">
        <v>17</v>
      </c>
      <c r="F752" s="22" t="n">
        <v>239339</v>
      </c>
      <c r="G752" s="30" t="n">
        <v>46249</v>
      </c>
      <c r="H752" s="22" t="n">
        <v>130905</v>
      </c>
      <c r="I752" s="22" t="s">
        <v>8021</v>
      </c>
      <c r="J752" s="31" t="n">
        <v>37.2</v>
      </c>
      <c r="K752" s="26" t="n">
        <v>518.98</v>
      </c>
      <c r="L752" s="26" t="n">
        <v>185.69</v>
      </c>
      <c r="M752" s="22" t="s">
        <v>2349</v>
      </c>
      <c r="N752" s="22" t="n">
        <f aca="false">MATCH(M752,'Tabela Passaro'!$A$2:$A$1795,0)</f>
        <v>522</v>
      </c>
      <c r="O752" s="22" t="str">
        <f aca="false">INDEX('Tabela Passaro'!$C$2:$C$1795,$N752)</f>
        <v>FORTALEZA</v>
      </c>
      <c r="P752" s="22" t="str">
        <f aca="false">INDEX('Tabela Passaro'!$B$2:$B$1795,$N752)</f>
        <v>CE</v>
      </c>
      <c r="Q752" s="22" t="n">
        <f aca="false">INDEX('Tabela Passaro'!$F$2:$F$1795,$N752)</f>
        <v>8</v>
      </c>
      <c r="R752" s="32" t="n">
        <f aca="false">IF(J752&lt;=10,INDEX('Tabela Passaro'!$G$2:$G$1795,$N752),IF(J752&lt;=30,INDEX('Tabela Passaro'!$H$2:$H$1795,$N752),IF(J752&lt;=50,INDEX('Tabela Passaro'!$I$2:$I$1795,$N752),IF(J752&lt;=70,INDEX('Tabela Passaro'!$J$2:$J$1795,$N752),IF(J752&lt;=100,INDEX('Tabela Passaro'!$K$2:$K$1795,$N752),INDEX('Tabela Passaro'!$K$2:$K$1795,$N752)+(J752-100)*INDEX('Tabela Passaro'!$L$2:$L$1795,$N752))))))</f>
        <v>152.98</v>
      </c>
      <c r="S752" s="32" t="n">
        <f aca="false">K752*INDEX('Tabela Passaro'!$M$2:$M$1795,$N752)</f>
        <v>2.5949</v>
      </c>
      <c r="T752" s="32" t="n">
        <f aca="false">K752*INDEX('Tabela Passaro'!$N$2:$N$1795,$N752)</f>
        <v>1.03796</v>
      </c>
      <c r="U752" s="32" t="n">
        <f aca="false">INDEX('Tabela Passaro'!$O$2:$O$1795,$N752)</f>
        <v>5</v>
      </c>
      <c r="V752" s="32" t="n">
        <f aca="false">ROUNDUP(J752/INDEX('Tabela Passaro'!$Q$2:$Q$1795,$N752),0)*INDEX('Tabela Passaro'!$P$2:$P$1795,$N752)</f>
        <v>5</v>
      </c>
      <c r="W752" s="32" t="n">
        <f aca="false">INDEX('Tabela Passaro'!$R$2:$R$1795,$N752)</f>
        <v>30</v>
      </c>
      <c r="X752" s="32" t="n">
        <f aca="false">ROUNDUP(J752/INDEX('Tabela Passaro'!$T$2:$T$1795,$N752),0)*INDEX('Tabela Passaro'!$S$2:$S$1795,$N752)</f>
        <v>0</v>
      </c>
      <c r="Y752" s="32" t="n">
        <f aca="false">INDEX('Tabela Passaro'!$U$2:$U$1795,$N752)</f>
        <v>0</v>
      </c>
      <c r="Z752" s="32" t="n">
        <f aca="false">INDEX('Tabela Passaro'!$V$2:$V$1795,$N752)</f>
        <v>0</v>
      </c>
      <c r="AA752" s="32" t="n">
        <f aca="false">SUM(R752:Z752)</f>
        <v>196.61286</v>
      </c>
      <c r="AB752" s="33" t="n">
        <f aca="false">INDEX(Premissas!$B$5:$B$13,MATCH(A752,Premissas!$A$5:$A$13,0))</f>
        <v>0.07</v>
      </c>
      <c r="AC752" s="32" t="n">
        <f aca="false">AA752/(1-AB752)-AA752</f>
        <v>14.7988174193549</v>
      </c>
      <c r="AD752" s="32" t="n">
        <f aca="false">ROUND(AA752+AC752,2)</f>
        <v>211.41</v>
      </c>
      <c r="AE752" s="32" t="n">
        <f aca="false">AD752-L752</f>
        <v>25.72</v>
      </c>
      <c r="AF752" s="34" t="n">
        <f aca="false">IF(L752=0,0,AE752/L752)</f>
        <v>0.138510420593462</v>
      </c>
      <c r="AG752" s="22" t="str">
        <f aca="false">IF(AD752&lt;L752,"PASSARO","ATUAL")</f>
        <v>ATUAL</v>
      </c>
      <c r="AH752" s="22" t="str">
        <f aca="false">IF(P752&lt;&gt;A752,"Faixa cadastrada como "&amp;P752&amp;" na tabela; preço aplicado pela UF do CEP","")</f>
        <v/>
      </c>
      <c r="AI752" s="26" t="n">
        <v>244.95</v>
      </c>
      <c r="AJ752" s="22" t="str">
        <f aca="false">INDEX('Tabela Passaro'!$X$2:$X$1795,$N752)</f>
        <v>CAPITAL</v>
      </c>
    </row>
    <row r="753" customFormat="false" ht="15" hidden="false" customHeight="false" outlineLevel="0" collapsed="false">
      <c r="A753" s="22" t="s">
        <v>17</v>
      </c>
      <c r="B753" s="22" t="n">
        <v>1</v>
      </c>
      <c r="C753" s="22" t="s">
        <v>95</v>
      </c>
      <c r="D753" s="22" t="s">
        <v>30</v>
      </c>
      <c r="E753" s="22" t="s">
        <v>20</v>
      </c>
      <c r="F753" s="22" t="n">
        <v>838162</v>
      </c>
      <c r="G753" s="30" t="n">
        <v>46251</v>
      </c>
      <c r="H753" s="22" t="n">
        <v>32514</v>
      </c>
      <c r="I753" s="22" t="s">
        <v>8000</v>
      </c>
      <c r="J753" s="31" t="n">
        <v>37.6</v>
      </c>
      <c r="K753" s="26" t="n">
        <v>584.98</v>
      </c>
      <c r="L753" s="26" t="n">
        <v>150.32</v>
      </c>
      <c r="M753" s="22" t="s">
        <v>2349</v>
      </c>
      <c r="N753" s="22" t="n">
        <f aca="false">MATCH(M753,'Tabela Passaro'!$A$2:$A$1795,0)</f>
        <v>522</v>
      </c>
      <c r="O753" s="22" t="str">
        <f aca="false">INDEX('Tabela Passaro'!$C$2:$C$1795,$N753)</f>
        <v>FORTALEZA</v>
      </c>
      <c r="P753" s="22" t="str">
        <f aca="false">INDEX('Tabela Passaro'!$B$2:$B$1795,$N753)</f>
        <v>CE</v>
      </c>
      <c r="Q753" s="22" t="n">
        <f aca="false">INDEX('Tabela Passaro'!$F$2:$F$1795,$N753)</f>
        <v>8</v>
      </c>
      <c r="R753" s="32" t="n">
        <f aca="false">IF(J753&lt;=10,INDEX('Tabela Passaro'!$G$2:$G$1795,$N753),IF(J753&lt;=30,INDEX('Tabela Passaro'!$H$2:$H$1795,$N753),IF(J753&lt;=50,INDEX('Tabela Passaro'!$I$2:$I$1795,$N753),IF(J753&lt;=70,INDEX('Tabela Passaro'!$J$2:$J$1795,$N753),IF(J753&lt;=100,INDEX('Tabela Passaro'!$K$2:$K$1795,$N753),INDEX('Tabela Passaro'!$K$2:$K$1795,$N753)+(J753-100)*INDEX('Tabela Passaro'!$L$2:$L$1795,$N753))))))</f>
        <v>152.98</v>
      </c>
      <c r="S753" s="32" t="n">
        <f aca="false">K753*INDEX('Tabela Passaro'!$M$2:$M$1795,$N753)</f>
        <v>2.9249</v>
      </c>
      <c r="T753" s="32" t="n">
        <f aca="false">K753*INDEX('Tabela Passaro'!$N$2:$N$1795,$N753)</f>
        <v>1.16996</v>
      </c>
      <c r="U753" s="32" t="n">
        <f aca="false">INDEX('Tabela Passaro'!$O$2:$O$1795,$N753)</f>
        <v>5</v>
      </c>
      <c r="V753" s="32" t="n">
        <f aca="false">ROUNDUP(J753/INDEX('Tabela Passaro'!$Q$2:$Q$1795,$N753),0)*INDEX('Tabela Passaro'!$P$2:$P$1795,$N753)</f>
        <v>5</v>
      </c>
      <c r="W753" s="32" t="n">
        <f aca="false">INDEX('Tabela Passaro'!$R$2:$R$1795,$N753)</f>
        <v>30</v>
      </c>
      <c r="X753" s="32" t="n">
        <f aca="false">ROUNDUP(J753/INDEX('Tabela Passaro'!$T$2:$T$1795,$N753),0)*INDEX('Tabela Passaro'!$S$2:$S$1795,$N753)</f>
        <v>0</v>
      </c>
      <c r="Y753" s="32" t="n">
        <f aca="false">INDEX('Tabela Passaro'!$U$2:$U$1795,$N753)</f>
        <v>0</v>
      </c>
      <c r="Z753" s="32" t="n">
        <f aca="false">INDEX('Tabela Passaro'!$V$2:$V$1795,$N753)</f>
        <v>0</v>
      </c>
      <c r="AA753" s="32" t="n">
        <f aca="false">SUM(R753:Z753)</f>
        <v>197.07486</v>
      </c>
      <c r="AB753" s="33" t="n">
        <f aca="false">INDEX(Premissas!$B$5:$B$13,MATCH(A753,Premissas!$A$5:$A$13,0))</f>
        <v>0.07</v>
      </c>
      <c r="AC753" s="32" t="n">
        <f aca="false">AA753/(1-AB753)-AA753</f>
        <v>14.8335916129032</v>
      </c>
      <c r="AD753" s="32" t="n">
        <f aca="false">ROUND(AA753+AC753,2)</f>
        <v>211.91</v>
      </c>
      <c r="AE753" s="32" t="n">
        <f aca="false">AD753-L753</f>
        <v>61.59</v>
      </c>
      <c r="AF753" s="34" t="n">
        <f aca="false">IF(L753=0,0,AE753/L753)</f>
        <v>0.409725918041512</v>
      </c>
      <c r="AG753" s="22" t="str">
        <f aca="false">IF(AD753&lt;L753,"PASSARO","ATUAL")</f>
        <v>ATUAL</v>
      </c>
      <c r="AH753" s="22" t="str">
        <f aca="false">IF(P753&lt;&gt;A753,"Faixa cadastrada como "&amp;P753&amp;" na tabela; preço aplicado pela UF do CEP","")</f>
        <v/>
      </c>
      <c r="AI753" s="26" t="n">
        <v>245.59</v>
      </c>
      <c r="AJ753" s="22" t="str">
        <f aca="false">INDEX('Tabela Passaro'!$X$2:$X$1795,$N753)</f>
        <v>CAPITAL</v>
      </c>
    </row>
    <row r="754" customFormat="false" ht="15" hidden="false" customHeight="false" outlineLevel="0" collapsed="false">
      <c r="A754" s="22" t="s">
        <v>17</v>
      </c>
      <c r="B754" s="22" t="n">
        <v>1</v>
      </c>
      <c r="C754" s="22" t="s">
        <v>95</v>
      </c>
      <c r="D754" s="22" t="s">
        <v>30</v>
      </c>
      <c r="E754" s="22" t="s">
        <v>20</v>
      </c>
      <c r="F754" s="22" t="n">
        <v>839328</v>
      </c>
      <c r="G754" s="30" t="n">
        <v>46251</v>
      </c>
      <c r="H754" s="22" t="n">
        <v>32515</v>
      </c>
      <c r="I754" s="22" t="s">
        <v>8022</v>
      </c>
      <c r="J754" s="31" t="n">
        <v>34.1</v>
      </c>
      <c r="K754" s="26" t="n">
        <v>491.24</v>
      </c>
      <c r="L754" s="26" t="n">
        <v>149.49</v>
      </c>
      <c r="M754" s="22" t="s">
        <v>2349</v>
      </c>
      <c r="N754" s="22" t="n">
        <f aca="false">MATCH(M754,'Tabela Passaro'!$A$2:$A$1795,0)</f>
        <v>522</v>
      </c>
      <c r="O754" s="22" t="str">
        <f aca="false">INDEX('Tabela Passaro'!$C$2:$C$1795,$N754)</f>
        <v>FORTALEZA</v>
      </c>
      <c r="P754" s="22" t="str">
        <f aca="false">INDEX('Tabela Passaro'!$B$2:$B$1795,$N754)</f>
        <v>CE</v>
      </c>
      <c r="Q754" s="22" t="n">
        <f aca="false">INDEX('Tabela Passaro'!$F$2:$F$1795,$N754)</f>
        <v>8</v>
      </c>
      <c r="R754" s="32" t="n">
        <f aca="false">IF(J754&lt;=10,INDEX('Tabela Passaro'!$G$2:$G$1795,$N754),IF(J754&lt;=30,INDEX('Tabela Passaro'!$H$2:$H$1795,$N754),IF(J754&lt;=50,INDEX('Tabela Passaro'!$I$2:$I$1795,$N754),IF(J754&lt;=70,INDEX('Tabela Passaro'!$J$2:$J$1795,$N754),IF(J754&lt;=100,INDEX('Tabela Passaro'!$K$2:$K$1795,$N754),INDEX('Tabela Passaro'!$K$2:$K$1795,$N754)+(J754-100)*INDEX('Tabela Passaro'!$L$2:$L$1795,$N754))))))</f>
        <v>152.98</v>
      </c>
      <c r="S754" s="32" t="n">
        <f aca="false">K754*INDEX('Tabela Passaro'!$M$2:$M$1795,$N754)</f>
        <v>2.4562</v>
      </c>
      <c r="T754" s="32" t="n">
        <f aca="false">K754*INDEX('Tabela Passaro'!$N$2:$N$1795,$N754)</f>
        <v>0.98248</v>
      </c>
      <c r="U754" s="32" t="n">
        <f aca="false">INDEX('Tabela Passaro'!$O$2:$O$1795,$N754)</f>
        <v>5</v>
      </c>
      <c r="V754" s="32" t="n">
        <f aca="false">ROUNDUP(J754/INDEX('Tabela Passaro'!$Q$2:$Q$1795,$N754),0)*INDEX('Tabela Passaro'!$P$2:$P$1795,$N754)</f>
        <v>5</v>
      </c>
      <c r="W754" s="32" t="n">
        <f aca="false">INDEX('Tabela Passaro'!$R$2:$R$1795,$N754)</f>
        <v>30</v>
      </c>
      <c r="X754" s="32" t="n">
        <f aca="false">ROUNDUP(J754/INDEX('Tabela Passaro'!$T$2:$T$1795,$N754),0)*INDEX('Tabela Passaro'!$S$2:$S$1795,$N754)</f>
        <v>0</v>
      </c>
      <c r="Y754" s="32" t="n">
        <f aca="false">INDEX('Tabela Passaro'!$U$2:$U$1795,$N754)</f>
        <v>0</v>
      </c>
      <c r="Z754" s="32" t="n">
        <f aca="false">INDEX('Tabela Passaro'!$V$2:$V$1795,$N754)</f>
        <v>0</v>
      </c>
      <c r="AA754" s="32" t="n">
        <f aca="false">SUM(R754:Z754)</f>
        <v>196.41868</v>
      </c>
      <c r="AB754" s="33" t="n">
        <f aca="false">INDEX(Premissas!$B$5:$B$13,MATCH(A754,Premissas!$A$5:$A$13,0))</f>
        <v>0.07</v>
      </c>
      <c r="AC754" s="32" t="n">
        <f aca="false">AA754/(1-AB754)-AA754</f>
        <v>14.7842017204301</v>
      </c>
      <c r="AD754" s="32" t="n">
        <f aca="false">ROUND(AA754+AC754,2)</f>
        <v>211.2</v>
      </c>
      <c r="AE754" s="32" t="n">
        <f aca="false">AD754-L754</f>
        <v>61.71</v>
      </c>
      <c r="AF754" s="34" t="n">
        <f aca="false">IF(L754=0,0,AE754/L754)</f>
        <v>0.41280353200883</v>
      </c>
      <c r="AG754" s="22" t="str">
        <f aca="false">IF(AD754&lt;L754,"PASSARO","ATUAL")</f>
        <v>ATUAL</v>
      </c>
      <c r="AH754" s="22" t="str">
        <f aca="false">IF(P754&lt;&gt;A754,"Faixa cadastrada como "&amp;P754&amp;" na tabela; preço aplicado pela UF do CEP","")</f>
        <v/>
      </c>
      <c r="AI754" s="26" t="n">
        <v>243.23</v>
      </c>
      <c r="AJ754" s="22" t="str">
        <f aca="false">INDEX('Tabela Passaro'!$X$2:$X$1795,$N754)</f>
        <v>CAPITAL</v>
      </c>
    </row>
    <row r="755" customFormat="false" ht="15" hidden="false" customHeight="false" outlineLevel="0" collapsed="false">
      <c r="A755" s="22" t="s">
        <v>17</v>
      </c>
      <c r="B755" s="22" t="n">
        <v>1</v>
      </c>
      <c r="C755" s="22" t="s">
        <v>95</v>
      </c>
      <c r="D755" s="22" t="s">
        <v>30</v>
      </c>
      <c r="E755" s="22" t="s">
        <v>20</v>
      </c>
      <c r="F755" s="22" t="n">
        <v>839341</v>
      </c>
      <c r="G755" s="30" t="n">
        <v>46251</v>
      </c>
      <c r="H755" s="22" t="n">
        <v>32530</v>
      </c>
      <c r="I755" s="22" t="s">
        <v>8023</v>
      </c>
      <c r="J755" s="31" t="n">
        <v>21.4</v>
      </c>
      <c r="K755" s="26" t="n">
        <v>464.97</v>
      </c>
      <c r="L755" s="26" t="n">
        <v>114.47</v>
      </c>
      <c r="M755" s="22" t="s">
        <v>2349</v>
      </c>
      <c r="N755" s="22" t="n">
        <f aca="false">MATCH(M755,'Tabela Passaro'!$A$2:$A$1795,0)</f>
        <v>522</v>
      </c>
      <c r="O755" s="22" t="str">
        <f aca="false">INDEX('Tabela Passaro'!$C$2:$C$1795,$N755)</f>
        <v>FORTALEZA</v>
      </c>
      <c r="P755" s="22" t="str">
        <f aca="false">INDEX('Tabela Passaro'!$B$2:$B$1795,$N755)</f>
        <v>CE</v>
      </c>
      <c r="Q755" s="22" t="n">
        <f aca="false">INDEX('Tabela Passaro'!$F$2:$F$1795,$N755)</f>
        <v>8</v>
      </c>
      <c r="R755" s="32" t="n">
        <f aca="false">IF(J755&lt;=10,INDEX('Tabela Passaro'!$G$2:$G$1795,$N755),IF(J755&lt;=30,INDEX('Tabela Passaro'!$H$2:$H$1795,$N755),IF(J755&lt;=50,INDEX('Tabela Passaro'!$I$2:$I$1795,$N755),IF(J755&lt;=70,INDEX('Tabela Passaro'!$J$2:$J$1795,$N755),IF(J755&lt;=100,INDEX('Tabela Passaro'!$K$2:$K$1795,$N755),INDEX('Tabela Passaro'!$K$2:$K$1795,$N755)+(J755-100)*INDEX('Tabela Passaro'!$L$2:$L$1795,$N755))))))</f>
        <v>130.85</v>
      </c>
      <c r="S755" s="32" t="n">
        <f aca="false">K755*INDEX('Tabela Passaro'!$M$2:$M$1795,$N755)</f>
        <v>2.32485</v>
      </c>
      <c r="T755" s="32" t="n">
        <f aca="false">K755*INDEX('Tabela Passaro'!$N$2:$N$1795,$N755)</f>
        <v>0.92994</v>
      </c>
      <c r="U755" s="32" t="n">
        <f aca="false">INDEX('Tabela Passaro'!$O$2:$O$1795,$N755)</f>
        <v>5</v>
      </c>
      <c r="V755" s="32" t="n">
        <f aca="false">ROUNDUP(J755/INDEX('Tabela Passaro'!$Q$2:$Q$1795,$N755),0)*INDEX('Tabela Passaro'!$P$2:$P$1795,$N755)</f>
        <v>5</v>
      </c>
      <c r="W755" s="32" t="n">
        <f aca="false">INDEX('Tabela Passaro'!$R$2:$R$1795,$N755)</f>
        <v>30</v>
      </c>
      <c r="X755" s="32" t="n">
        <f aca="false">ROUNDUP(J755/INDEX('Tabela Passaro'!$T$2:$T$1795,$N755),0)*INDEX('Tabela Passaro'!$S$2:$S$1795,$N755)</f>
        <v>0</v>
      </c>
      <c r="Y755" s="32" t="n">
        <f aca="false">INDEX('Tabela Passaro'!$U$2:$U$1795,$N755)</f>
        <v>0</v>
      </c>
      <c r="Z755" s="32" t="n">
        <f aca="false">INDEX('Tabela Passaro'!$V$2:$V$1795,$N755)</f>
        <v>0</v>
      </c>
      <c r="AA755" s="32" t="n">
        <f aca="false">SUM(R755:Z755)</f>
        <v>174.10479</v>
      </c>
      <c r="AB755" s="33" t="n">
        <f aca="false">INDEX(Premissas!$B$5:$B$13,MATCH(A755,Premissas!$A$5:$A$13,0))</f>
        <v>0.07</v>
      </c>
      <c r="AC755" s="32" t="n">
        <f aca="false">AA755/(1-AB755)-AA755</f>
        <v>13.1046616129032</v>
      </c>
      <c r="AD755" s="32" t="n">
        <f aca="false">ROUND(AA755+AC755,2)</f>
        <v>187.21</v>
      </c>
      <c r="AE755" s="32" t="n">
        <f aca="false">AD755-L755</f>
        <v>72.74</v>
      </c>
      <c r="AF755" s="34" t="n">
        <f aca="false">IF(L755=0,0,AE755/L755)</f>
        <v>0.635450336332664</v>
      </c>
      <c r="AG755" s="22" t="str">
        <f aca="false">IF(AD755&lt;L755,"PASSARO","ATUAL")</f>
        <v>ATUAL</v>
      </c>
      <c r="AH755" s="22" t="str">
        <f aca="false">IF(P755&lt;&gt;A755,"Faixa cadastrada como "&amp;P755&amp;" na tabela; preço aplicado pela UF do CEP","")</f>
        <v/>
      </c>
      <c r="AI755" s="26" t="n">
        <v>211.64</v>
      </c>
      <c r="AJ755" s="22" t="str">
        <f aca="false">INDEX('Tabela Passaro'!$X$2:$X$1795,$N755)</f>
        <v>CAPITAL</v>
      </c>
    </row>
    <row r="756" customFormat="false" ht="15" hidden="false" customHeight="false" outlineLevel="0" collapsed="false">
      <c r="A756" s="22" t="s">
        <v>17</v>
      </c>
      <c r="B756" s="22" t="n">
        <v>1</v>
      </c>
      <c r="C756" s="22" t="s">
        <v>95</v>
      </c>
      <c r="D756" s="22" t="s">
        <v>30</v>
      </c>
      <c r="E756" s="22" t="s">
        <v>7328</v>
      </c>
      <c r="F756" s="22" t="n">
        <v>2313188</v>
      </c>
      <c r="G756" s="30" t="n">
        <v>46251</v>
      </c>
      <c r="H756" s="22" t="n">
        <v>133609</v>
      </c>
      <c r="I756" s="22" t="s">
        <v>8024</v>
      </c>
      <c r="J756" s="31" t="n">
        <v>67.8</v>
      </c>
      <c r="K756" s="26" t="n">
        <v>1139.98</v>
      </c>
      <c r="L756" s="26" t="n">
        <v>199.98</v>
      </c>
      <c r="M756" s="22" t="s">
        <v>2349</v>
      </c>
      <c r="N756" s="22" t="n">
        <f aca="false">MATCH(M756,'Tabela Passaro'!$A$2:$A$1795,0)</f>
        <v>522</v>
      </c>
      <c r="O756" s="22" t="str">
        <f aca="false">INDEX('Tabela Passaro'!$C$2:$C$1795,$N756)</f>
        <v>FORTALEZA</v>
      </c>
      <c r="P756" s="22" t="str">
        <f aca="false">INDEX('Tabela Passaro'!$B$2:$B$1795,$N756)</f>
        <v>CE</v>
      </c>
      <c r="Q756" s="22" t="n">
        <f aca="false">INDEX('Tabela Passaro'!$F$2:$F$1795,$N756)</f>
        <v>8</v>
      </c>
      <c r="R756" s="32" t="n">
        <f aca="false">IF(J756&lt;=10,INDEX('Tabela Passaro'!$G$2:$G$1795,$N756),IF(J756&lt;=30,INDEX('Tabela Passaro'!$H$2:$H$1795,$N756),IF(J756&lt;=50,INDEX('Tabela Passaro'!$I$2:$I$1795,$N756),IF(J756&lt;=70,INDEX('Tabela Passaro'!$J$2:$J$1795,$N756),IF(J756&lt;=100,INDEX('Tabela Passaro'!$K$2:$K$1795,$N756),INDEX('Tabela Passaro'!$K$2:$K$1795,$N756)+(J756-100)*INDEX('Tabela Passaro'!$L$2:$L$1795,$N756))))))</f>
        <v>169.58</v>
      </c>
      <c r="S756" s="32" t="n">
        <f aca="false">K756*INDEX('Tabela Passaro'!$M$2:$M$1795,$N756)</f>
        <v>5.6999</v>
      </c>
      <c r="T756" s="32" t="n">
        <f aca="false">K756*INDEX('Tabela Passaro'!$N$2:$N$1795,$N756)</f>
        <v>2.27996</v>
      </c>
      <c r="U756" s="32" t="n">
        <f aca="false">INDEX('Tabela Passaro'!$O$2:$O$1795,$N756)</f>
        <v>5</v>
      </c>
      <c r="V756" s="32" t="n">
        <f aca="false">ROUNDUP(J756/INDEX('Tabela Passaro'!$Q$2:$Q$1795,$N756),0)*INDEX('Tabela Passaro'!$P$2:$P$1795,$N756)</f>
        <v>5</v>
      </c>
      <c r="W756" s="32" t="n">
        <f aca="false">INDEX('Tabela Passaro'!$R$2:$R$1795,$N756)</f>
        <v>30</v>
      </c>
      <c r="X756" s="32" t="n">
        <f aca="false">ROUNDUP(J756/INDEX('Tabela Passaro'!$T$2:$T$1795,$N756),0)*INDEX('Tabela Passaro'!$S$2:$S$1795,$N756)</f>
        <v>0</v>
      </c>
      <c r="Y756" s="32" t="n">
        <f aca="false">INDEX('Tabela Passaro'!$U$2:$U$1795,$N756)</f>
        <v>0</v>
      </c>
      <c r="Z756" s="32" t="n">
        <f aca="false">INDEX('Tabela Passaro'!$V$2:$V$1795,$N756)</f>
        <v>0</v>
      </c>
      <c r="AA756" s="32" t="n">
        <f aca="false">SUM(R756:Z756)</f>
        <v>217.55986</v>
      </c>
      <c r="AB756" s="33" t="n">
        <f aca="false">INDEX(Premissas!$B$5:$B$13,MATCH(A756,Premissas!$A$5:$A$13,0))</f>
        <v>0.07</v>
      </c>
      <c r="AC756" s="32" t="n">
        <f aca="false">AA756/(1-AB756)-AA756</f>
        <v>16.3754733333334</v>
      </c>
      <c r="AD756" s="32" t="n">
        <f aca="false">ROUND(AA756+AC756,2)</f>
        <v>233.94</v>
      </c>
      <c r="AE756" s="32" t="n">
        <f aca="false">AD756-L756</f>
        <v>33.96</v>
      </c>
      <c r="AF756" s="34" t="n">
        <f aca="false">IF(L756=0,0,AE756/L756)</f>
        <v>0.16981698169817</v>
      </c>
      <c r="AG756" s="22" t="str">
        <f aca="false">IF(AD756&lt;L756,"PASSARO","ATUAL")</f>
        <v>ATUAL</v>
      </c>
      <c r="AH756" s="22" t="str">
        <f aca="false">IF(P756&lt;&gt;A756,"Faixa cadastrada como "&amp;P756&amp;" na tabela; preço aplicado pela UF do CEP","")</f>
        <v/>
      </c>
      <c r="AI756" s="26" t="n">
        <v>284.27</v>
      </c>
      <c r="AJ756" s="22" t="str">
        <f aca="false">INDEX('Tabela Passaro'!$X$2:$X$1795,$N756)</f>
        <v>CAPITAL</v>
      </c>
    </row>
    <row r="757" customFormat="false" ht="15" hidden="false" customHeight="false" outlineLevel="0" collapsed="false">
      <c r="A757" s="22" t="s">
        <v>17</v>
      </c>
      <c r="B757" s="22" t="n">
        <v>1</v>
      </c>
      <c r="C757" s="22" t="s">
        <v>95</v>
      </c>
      <c r="D757" s="22" t="s">
        <v>30</v>
      </c>
      <c r="E757" s="22" t="s">
        <v>7328</v>
      </c>
      <c r="F757" s="22" t="n">
        <v>2313197</v>
      </c>
      <c r="G757" s="30" t="n">
        <v>46251</v>
      </c>
      <c r="H757" s="22" t="n">
        <v>133616</v>
      </c>
      <c r="I757" s="22" t="s">
        <v>8025</v>
      </c>
      <c r="J757" s="31" t="n">
        <v>22.3</v>
      </c>
      <c r="K757" s="26" t="n">
        <v>679.98</v>
      </c>
      <c r="L757" s="26" t="n">
        <v>125.65</v>
      </c>
      <c r="M757" s="22" t="s">
        <v>2349</v>
      </c>
      <c r="N757" s="22" t="n">
        <f aca="false">MATCH(M757,'Tabela Passaro'!$A$2:$A$1795,0)</f>
        <v>522</v>
      </c>
      <c r="O757" s="22" t="str">
        <f aca="false">INDEX('Tabela Passaro'!$C$2:$C$1795,$N757)</f>
        <v>FORTALEZA</v>
      </c>
      <c r="P757" s="22" t="str">
        <f aca="false">INDEX('Tabela Passaro'!$B$2:$B$1795,$N757)</f>
        <v>CE</v>
      </c>
      <c r="Q757" s="22" t="n">
        <f aca="false">INDEX('Tabela Passaro'!$F$2:$F$1795,$N757)</f>
        <v>8</v>
      </c>
      <c r="R757" s="32" t="n">
        <f aca="false">IF(J757&lt;=10,INDEX('Tabela Passaro'!$G$2:$G$1795,$N757),IF(J757&lt;=30,INDEX('Tabela Passaro'!$H$2:$H$1795,$N757),IF(J757&lt;=50,INDEX('Tabela Passaro'!$I$2:$I$1795,$N757),IF(J757&lt;=70,INDEX('Tabela Passaro'!$J$2:$J$1795,$N757),IF(J757&lt;=100,INDEX('Tabela Passaro'!$K$2:$K$1795,$N757),INDEX('Tabela Passaro'!$K$2:$K$1795,$N757)+(J757-100)*INDEX('Tabela Passaro'!$L$2:$L$1795,$N757))))))</f>
        <v>130.85</v>
      </c>
      <c r="S757" s="32" t="n">
        <f aca="false">K757*INDEX('Tabela Passaro'!$M$2:$M$1795,$N757)</f>
        <v>3.3999</v>
      </c>
      <c r="T757" s="32" t="n">
        <f aca="false">K757*INDEX('Tabela Passaro'!$N$2:$N$1795,$N757)</f>
        <v>1.35996</v>
      </c>
      <c r="U757" s="32" t="n">
        <f aca="false">INDEX('Tabela Passaro'!$O$2:$O$1795,$N757)</f>
        <v>5</v>
      </c>
      <c r="V757" s="32" t="n">
        <f aca="false">ROUNDUP(J757/INDEX('Tabela Passaro'!$Q$2:$Q$1795,$N757),0)*INDEX('Tabela Passaro'!$P$2:$P$1795,$N757)</f>
        <v>5</v>
      </c>
      <c r="W757" s="32" t="n">
        <f aca="false">INDEX('Tabela Passaro'!$R$2:$R$1795,$N757)</f>
        <v>30</v>
      </c>
      <c r="X757" s="32" t="n">
        <f aca="false">ROUNDUP(J757/INDEX('Tabela Passaro'!$T$2:$T$1795,$N757),0)*INDEX('Tabela Passaro'!$S$2:$S$1795,$N757)</f>
        <v>0</v>
      </c>
      <c r="Y757" s="32" t="n">
        <f aca="false">INDEX('Tabela Passaro'!$U$2:$U$1795,$N757)</f>
        <v>0</v>
      </c>
      <c r="Z757" s="32" t="n">
        <f aca="false">INDEX('Tabela Passaro'!$V$2:$V$1795,$N757)</f>
        <v>0</v>
      </c>
      <c r="AA757" s="32" t="n">
        <f aca="false">SUM(R757:Z757)</f>
        <v>175.60986</v>
      </c>
      <c r="AB757" s="33" t="n">
        <f aca="false">INDEX(Premissas!$B$5:$B$13,MATCH(A757,Premissas!$A$5:$A$13,0))</f>
        <v>0.07</v>
      </c>
      <c r="AC757" s="32" t="n">
        <f aca="false">AA757/(1-AB757)-AA757</f>
        <v>13.2179464516129</v>
      </c>
      <c r="AD757" s="32" t="n">
        <f aca="false">ROUND(AA757+AC757,2)</f>
        <v>188.83</v>
      </c>
      <c r="AE757" s="32" t="n">
        <f aca="false">AD757-L757</f>
        <v>63.18</v>
      </c>
      <c r="AF757" s="34" t="n">
        <f aca="false">IF(L757=0,0,AE757/L757)</f>
        <v>0.502825308396339</v>
      </c>
      <c r="AG757" s="22" t="str">
        <f aca="false">IF(AD757&lt;L757,"PASSARO","ATUAL")</f>
        <v>ATUAL</v>
      </c>
      <c r="AH757" s="22" t="str">
        <f aca="false">IF(P757&lt;&gt;A757,"Faixa cadastrada como "&amp;P757&amp;" na tabela; preço aplicado pela UF do CEP","")</f>
        <v/>
      </c>
      <c r="AI757" s="26" t="n">
        <v>214.2</v>
      </c>
      <c r="AJ757" s="22" t="str">
        <f aca="false">INDEX('Tabela Passaro'!$X$2:$X$1795,$N757)</f>
        <v>CAPITAL</v>
      </c>
    </row>
    <row r="758" customFormat="false" ht="15" hidden="false" customHeight="false" outlineLevel="0" collapsed="false">
      <c r="A758" s="22" t="s">
        <v>17</v>
      </c>
      <c r="B758" s="22" t="n">
        <v>1</v>
      </c>
      <c r="C758" s="22" t="s">
        <v>95</v>
      </c>
      <c r="D758" s="22" t="s">
        <v>30</v>
      </c>
      <c r="E758" s="22" t="s">
        <v>7328</v>
      </c>
      <c r="F758" s="22" t="n">
        <v>2313202</v>
      </c>
      <c r="G758" s="30" t="n">
        <v>46251</v>
      </c>
      <c r="H758" s="22" t="n">
        <v>133623</v>
      </c>
      <c r="I758" s="22" t="s">
        <v>8026</v>
      </c>
      <c r="J758" s="31" t="n">
        <v>51.06</v>
      </c>
      <c r="K758" s="26" t="n">
        <v>879.77</v>
      </c>
      <c r="L758" s="26" t="n">
        <v>197.92</v>
      </c>
      <c r="M758" s="22" t="s">
        <v>2349</v>
      </c>
      <c r="N758" s="22" t="n">
        <f aca="false">MATCH(M758,'Tabela Passaro'!$A$2:$A$1795,0)</f>
        <v>522</v>
      </c>
      <c r="O758" s="22" t="str">
        <f aca="false">INDEX('Tabela Passaro'!$C$2:$C$1795,$N758)</f>
        <v>FORTALEZA</v>
      </c>
      <c r="P758" s="22" t="str">
        <f aca="false">INDEX('Tabela Passaro'!$B$2:$B$1795,$N758)</f>
        <v>CE</v>
      </c>
      <c r="Q758" s="22" t="n">
        <f aca="false">INDEX('Tabela Passaro'!$F$2:$F$1795,$N758)</f>
        <v>8</v>
      </c>
      <c r="R758" s="32" t="n">
        <f aca="false">IF(J758&lt;=10,INDEX('Tabela Passaro'!$G$2:$G$1795,$N758),IF(J758&lt;=30,INDEX('Tabela Passaro'!$H$2:$H$1795,$N758),IF(J758&lt;=50,INDEX('Tabela Passaro'!$I$2:$I$1795,$N758),IF(J758&lt;=70,INDEX('Tabela Passaro'!$J$2:$J$1795,$N758),IF(J758&lt;=100,INDEX('Tabela Passaro'!$K$2:$K$1795,$N758),INDEX('Tabela Passaro'!$K$2:$K$1795,$N758)+(J758-100)*INDEX('Tabela Passaro'!$L$2:$L$1795,$N758))))))</f>
        <v>169.58</v>
      </c>
      <c r="S758" s="32" t="n">
        <f aca="false">K758*INDEX('Tabela Passaro'!$M$2:$M$1795,$N758)</f>
        <v>4.39885</v>
      </c>
      <c r="T758" s="32" t="n">
        <f aca="false">K758*INDEX('Tabela Passaro'!$N$2:$N$1795,$N758)</f>
        <v>1.75954</v>
      </c>
      <c r="U758" s="32" t="n">
        <f aca="false">INDEX('Tabela Passaro'!$O$2:$O$1795,$N758)</f>
        <v>5</v>
      </c>
      <c r="V758" s="32" t="n">
        <f aca="false">ROUNDUP(J758/INDEX('Tabela Passaro'!$Q$2:$Q$1795,$N758),0)*INDEX('Tabela Passaro'!$P$2:$P$1795,$N758)</f>
        <v>5</v>
      </c>
      <c r="W758" s="32" t="n">
        <f aca="false">INDEX('Tabela Passaro'!$R$2:$R$1795,$N758)</f>
        <v>30</v>
      </c>
      <c r="X758" s="32" t="n">
        <f aca="false">ROUNDUP(J758/INDEX('Tabela Passaro'!$T$2:$T$1795,$N758),0)*INDEX('Tabela Passaro'!$S$2:$S$1795,$N758)</f>
        <v>0</v>
      </c>
      <c r="Y758" s="32" t="n">
        <f aca="false">INDEX('Tabela Passaro'!$U$2:$U$1795,$N758)</f>
        <v>0</v>
      </c>
      <c r="Z758" s="32" t="n">
        <f aca="false">INDEX('Tabela Passaro'!$V$2:$V$1795,$N758)</f>
        <v>0</v>
      </c>
      <c r="AA758" s="32" t="n">
        <f aca="false">SUM(R758:Z758)</f>
        <v>215.73839</v>
      </c>
      <c r="AB758" s="33" t="n">
        <f aca="false">INDEX(Premissas!$B$5:$B$13,MATCH(A758,Premissas!$A$5:$A$13,0))</f>
        <v>0.07</v>
      </c>
      <c r="AC758" s="32" t="n">
        <f aca="false">AA758/(1-AB758)-AA758</f>
        <v>16.2383734408602</v>
      </c>
      <c r="AD758" s="32" t="n">
        <f aca="false">ROUND(AA758+AC758,2)</f>
        <v>231.98</v>
      </c>
      <c r="AE758" s="32" t="n">
        <f aca="false">AD758-L758</f>
        <v>34.06</v>
      </c>
      <c r="AF758" s="34" t="n">
        <f aca="false">IF(L758=0,0,AE758/L758)</f>
        <v>0.172089733225546</v>
      </c>
      <c r="AG758" s="22" t="str">
        <f aca="false">IF(AD758&lt;L758,"PASSARO","ATUAL")</f>
        <v>ATUAL</v>
      </c>
      <c r="AH758" s="22" t="str">
        <f aca="false">IF(P758&lt;&gt;A758,"Faixa cadastrada como "&amp;P758&amp;" na tabela; preço aplicado pela UF do CEP","")</f>
        <v/>
      </c>
      <c r="AI758" s="26" t="n">
        <v>274.01</v>
      </c>
      <c r="AJ758" s="22" t="str">
        <f aca="false">INDEX('Tabela Passaro'!$X$2:$X$1795,$N758)</f>
        <v>CAPITAL</v>
      </c>
    </row>
    <row r="759" customFormat="false" ht="15" hidden="false" customHeight="false" outlineLevel="0" collapsed="false">
      <c r="A759" s="22" t="s">
        <v>17</v>
      </c>
      <c r="B759" s="22" t="n">
        <v>1</v>
      </c>
      <c r="C759" s="22" t="s">
        <v>95</v>
      </c>
      <c r="D759" s="22" t="s">
        <v>30</v>
      </c>
      <c r="E759" s="22" t="s">
        <v>7328</v>
      </c>
      <c r="F759" s="22" t="n">
        <v>2313211</v>
      </c>
      <c r="G759" s="30" t="n">
        <v>46251</v>
      </c>
      <c r="H759" s="22" t="n">
        <v>133628</v>
      </c>
      <c r="I759" s="22" t="s">
        <v>8027</v>
      </c>
      <c r="J759" s="31" t="n">
        <v>69</v>
      </c>
      <c r="K759" s="26" t="n">
        <v>1020.98</v>
      </c>
      <c r="L759" s="26" t="n">
        <v>199.03</v>
      </c>
      <c r="M759" s="22" t="s">
        <v>2349</v>
      </c>
      <c r="N759" s="22" t="n">
        <f aca="false">MATCH(M759,'Tabela Passaro'!$A$2:$A$1795,0)</f>
        <v>522</v>
      </c>
      <c r="O759" s="22" t="str">
        <f aca="false">INDEX('Tabela Passaro'!$C$2:$C$1795,$N759)</f>
        <v>FORTALEZA</v>
      </c>
      <c r="P759" s="22" t="str">
        <f aca="false">INDEX('Tabela Passaro'!$B$2:$B$1795,$N759)</f>
        <v>CE</v>
      </c>
      <c r="Q759" s="22" t="n">
        <f aca="false">INDEX('Tabela Passaro'!$F$2:$F$1795,$N759)</f>
        <v>8</v>
      </c>
      <c r="R759" s="32" t="n">
        <f aca="false">IF(J759&lt;=10,INDEX('Tabela Passaro'!$G$2:$G$1795,$N759),IF(J759&lt;=30,INDEX('Tabela Passaro'!$H$2:$H$1795,$N759),IF(J759&lt;=50,INDEX('Tabela Passaro'!$I$2:$I$1795,$N759),IF(J759&lt;=70,INDEX('Tabela Passaro'!$J$2:$J$1795,$N759),IF(J759&lt;=100,INDEX('Tabela Passaro'!$K$2:$K$1795,$N759),INDEX('Tabela Passaro'!$K$2:$K$1795,$N759)+(J759-100)*INDEX('Tabela Passaro'!$L$2:$L$1795,$N759))))))</f>
        <v>169.58</v>
      </c>
      <c r="S759" s="32" t="n">
        <f aca="false">K759*INDEX('Tabela Passaro'!$M$2:$M$1795,$N759)</f>
        <v>5.1049</v>
      </c>
      <c r="T759" s="32" t="n">
        <f aca="false">K759*INDEX('Tabela Passaro'!$N$2:$N$1795,$N759)</f>
        <v>2.04196</v>
      </c>
      <c r="U759" s="32" t="n">
        <f aca="false">INDEX('Tabela Passaro'!$O$2:$O$1795,$N759)</f>
        <v>5</v>
      </c>
      <c r="V759" s="32" t="n">
        <f aca="false">ROUNDUP(J759/INDEX('Tabela Passaro'!$Q$2:$Q$1795,$N759),0)*INDEX('Tabela Passaro'!$P$2:$P$1795,$N759)</f>
        <v>5</v>
      </c>
      <c r="W759" s="32" t="n">
        <f aca="false">INDEX('Tabela Passaro'!$R$2:$R$1795,$N759)</f>
        <v>30</v>
      </c>
      <c r="X759" s="32" t="n">
        <f aca="false">ROUNDUP(J759/INDEX('Tabela Passaro'!$T$2:$T$1795,$N759),0)*INDEX('Tabela Passaro'!$S$2:$S$1795,$N759)</f>
        <v>0</v>
      </c>
      <c r="Y759" s="32" t="n">
        <f aca="false">INDEX('Tabela Passaro'!$U$2:$U$1795,$N759)</f>
        <v>0</v>
      </c>
      <c r="Z759" s="32" t="n">
        <f aca="false">INDEX('Tabela Passaro'!$V$2:$V$1795,$N759)</f>
        <v>0</v>
      </c>
      <c r="AA759" s="32" t="n">
        <f aca="false">SUM(R759:Z759)</f>
        <v>216.72686</v>
      </c>
      <c r="AB759" s="33" t="n">
        <f aca="false">INDEX(Premissas!$B$5:$B$13,MATCH(A759,Premissas!$A$5:$A$13,0))</f>
        <v>0.07</v>
      </c>
      <c r="AC759" s="32" t="n">
        <f aca="false">AA759/(1-AB759)-AA759</f>
        <v>16.3127744086022</v>
      </c>
      <c r="AD759" s="32" t="n">
        <f aca="false">ROUND(AA759+AC759,2)</f>
        <v>233.04</v>
      </c>
      <c r="AE759" s="32" t="n">
        <f aca="false">AD759-L759</f>
        <v>34.01</v>
      </c>
      <c r="AF759" s="34" t="n">
        <f aca="false">IF(L759=0,0,AE759/L759)</f>
        <v>0.170878761995679</v>
      </c>
      <c r="AG759" s="22" t="str">
        <f aca="false">IF(AD759&lt;L759,"PASSARO","ATUAL")</f>
        <v>ATUAL</v>
      </c>
      <c r="AH759" s="22" t="str">
        <f aca="false">IF(P759&lt;&gt;A759,"Faixa cadastrada como "&amp;P759&amp;" na tabela; preço aplicado pela UF do CEP","")</f>
        <v/>
      </c>
      <c r="AI759" s="26" t="n">
        <v>283.6</v>
      </c>
      <c r="AJ759" s="22" t="str">
        <f aca="false">INDEX('Tabela Passaro'!$X$2:$X$1795,$N759)</f>
        <v>CAPITAL</v>
      </c>
    </row>
    <row r="760" customFormat="false" ht="15" hidden="false" customHeight="false" outlineLevel="0" collapsed="false">
      <c r="A760" s="22" t="s">
        <v>17</v>
      </c>
      <c r="B760" s="22" t="n">
        <v>1</v>
      </c>
      <c r="C760" s="22" t="s">
        <v>95</v>
      </c>
      <c r="D760" s="22" t="s">
        <v>30</v>
      </c>
      <c r="E760" s="22" t="s">
        <v>7328</v>
      </c>
      <c r="F760" s="22" t="n">
        <v>2313237</v>
      </c>
      <c r="G760" s="30" t="n">
        <v>46251</v>
      </c>
      <c r="H760" s="22" t="n">
        <v>133654</v>
      </c>
      <c r="I760" s="22" t="s">
        <v>8028</v>
      </c>
      <c r="J760" s="31" t="n">
        <v>66.4</v>
      </c>
      <c r="K760" s="26" t="n">
        <v>1010.98</v>
      </c>
      <c r="L760" s="26" t="n">
        <v>198.95</v>
      </c>
      <c r="M760" s="22" t="s">
        <v>2349</v>
      </c>
      <c r="N760" s="22" t="n">
        <f aca="false">MATCH(M760,'Tabela Passaro'!$A$2:$A$1795,0)</f>
        <v>522</v>
      </c>
      <c r="O760" s="22" t="str">
        <f aca="false">INDEX('Tabela Passaro'!$C$2:$C$1795,$N760)</f>
        <v>FORTALEZA</v>
      </c>
      <c r="P760" s="22" t="str">
        <f aca="false">INDEX('Tabela Passaro'!$B$2:$B$1795,$N760)</f>
        <v>CE</v>
      </c>
      <c r="Q760" s="22" t="n">
        <f aca="false">INDEX('Tabela Passaro'!$F$2:$F$1795,$N760)</f>
        <v>8</v>
      </c>
      <c r="R760" s="32" t="n">
        <f aca="false">IF(J760&lt;=10,INDEX('Tabela Passaro'!$G$2:$G$1795,$N760),IF(J760&lt;=30,INDEX('Tabela Passaro'!$H$2:$H$1795,$N760),IF(J760&lt;=50,INDEX('Tabela Passaro'!$I$2:$I$1795,$N760),IF(J760&lt;=70,INDEX('Tabela Passaro'!$J$2:$J$1795,$N760),IF(J760&lt;=100,INDEX('Tabela Passaro'!$K$2:$K$1795,$N760),INDEX('Tabela Passaro'!$K$2:$K$1795,$N760)+(J760-100)*INDEX('Tabela Passaro'!$L$2:$L$1795,$N760))))))</f>
        <v>169.58</v>
      </c>
      <c r="S760" s="32" t="n">
        <f aca="false">K760*INDEX('Tabela Passaro'!$M$2:$M$1795,$N760)</f>
        <v>5.0549</v>
      </c>
      <c r="T760" s="32" t="n">
        <f aca="false">K760*INDEX('Tabela Passaro'!$N$2:$N$1795,$N760)</f>
        <v>2.02196</v>
      </c>
      <c r="U760" s="32" t="n">
        <f aca="false">INDEX('Tabela Passaro'!$O$2:$O$1795,$N760)</f>
        <v>5</v>
      </c>
      <c r="V760" s="32" t="n">
        <f aca="false">ROUNDUP(J760/INDEX('Tabela Passaro'!$Q$2:$Q$1795,$N760),0)*INDEX('Tabela Passaro'!$P$2:$P$1795,$N760)</f>
        <v>5</v>
      </c>
      <c r="W760" s="32" t="n">
        <f aca="false">INDEX('Tabela Passaro'!$R$2:$R$1795,$N760)</f>
        <v>30</v>
      </c>
      <c r="X760" s="32" t="n">
        <f aca="false">ROUNDUP(J760/INDEX('Tabela Passaro'!$T$2:$T$1795,$N760),0)*INDEX('Tabela Passaro'!$S$2:$S$1795,$N760)</f>
        <v>0</v>
      </c>
      <c r="Y760" s="32" t="n">
        <f aca="false">INDEX('Tabela Passaro'!$U$2:$U$1795,$N760)</f>
        <v>0</v>
      </c>
      <c r="Z760" s="32" t="n">
        <f aca="false">INDEX('Tabela Passaro'!$V$2:$V$1795,$N760)</f>
        <v>0</v>
      </c>
      <c r="AA760" s="32" t="n">
        <f aca="false">SUM(R760:Z760)</f>
        <v>216.65686</v>
      </c>
      <c r="AB760" s="33" t="n">
        <f aca="false">INDEX(Premissas!$B$5:$B$13,MATCH(A760,Premissas!$A$5:$A$13,0))</f>
        <v>0.07</v>
      </c>
      <c r="AC760" s="32" t="n">
        <f aca="false">AA760/(1-AB760)-AA760</f>
        <v>16.3075055913979</v>
      </c>
      <c r="AD760" s="32" t="n">
        <f aca="false">ROUND(AA760+AC760,2)</f>
        <v>232.96</v>
      </c>
      <c r="AE760" s="32" t="n">
        <f aca="false">AD760-L760</f>
        <v>34.01</v>
      </c>
      <c r="AF760" s="34" t="n">
        <f aca="false">IF(L760=0,0,AE760/L760)</f>
        <v>0.170947474239759</v>
      </c>
      <c r="AG760" s="22" t="str">
        <f aca="false">IF(AD760&lt;L760,"PASSARO","ATUAL")</f>
        <v>ATUAL</v>
      </c>
      <c r="AH760" s="22" t="str">
        <f aca="false">IF(P760&lt;&gt;A760,"Faixa cadastrada como "&amp;P760&amp;" na tabela; preço aplicado pela UF do CEP","")</f>
        <v/>
      </c>
      <c r="AI760" s="26" t="n">
        <v>282.54</v>
      </c>
      <c r="AJ760" s="22" t="str">
        <f aca="false">INDEX('Tabela Passaro'!$X$2:$X$1795,$N760)</f>
        <v>CAPITAL</v>
      </c>
    </row>
    <row r="761" customFormat="false" ht="15" hidden="false" customHeight="false" outlineLevel="0" collapsed="false">
      <c r="A761" s="22" t="s">
        <v>17</v>
      </c>
      <c r="B761" s="22" t="n">
        <v>1</v>
      </c>
      <c r="C761" s="22" t="s">
        <v>95</v>
      </c>
      <c r="D761" s="22" t="s">
        <v>30</v>
      </c>
      <c r="E761" s="22" t="s">
        <v>7328</v>
      </c>
      <c r="F761" s="22" t="n">
        <v>2313246</v>
      </c>
      <c r="G761" s="30" t="n">
        <v>46251</v>
      </c>
      <c r="H761" s="22" t="n">
        <v>133667</v>
      </c>
      <c r="I761" s="22" t="s">
        <v>8029</v>
      </c>
      <c r="J761" s="31" t="n">
        <v>61.3</v>
      </c>
      <c r="K761" s="26" t="n">
        <v>961.78</v>
      </c>
      <c r="L761" s="26" t="n">
        <v>198.56</v>
      </c>
      <c r="M761" s="22" t="s">
        <v>2349</v>
      </c>
      <c r="N761" s="22" t="n">
        <f aca="false">MATCH(M761,'Tabela Passaro'!$A$2:$A$1795,0)</f>
        <v>522</v>
      </c>
      <c r="O761" s="22" t="str">
        <f aca="false">INDEX('Tabela Passaro'!$C$2:$C$1795,$N761)</f>
        <v>FORTALEZA</v>
      </c>
      <c r="P761" s="22" t="str">
        <f aca="false">INDEX('Tabela Passaro'!$B$2:$B$1795,$N761)</f>
        <v>CE</v>
      </c>
      <c r="Q761" s="22" t="n">
        <f aca="false">INDEX('Tabela Passaro'!$F$2:$F$1795,$N761)</f>
        <v>8</v>
      </c>
      <c r="R761" s="32" t="n">
        <f aca="false">IF(J761&lt;=10,INDEX('Tabela Passaro'!$G$2:$G$1795,$N761),IF(J761&lt;=30,INDEX('Tabela Passaro'!$H$2:$H$1795,$N761),IF(J761&lt;=50,INDEX('Tabela Passaro'!$I$2:$I$1795,$N761),IF(J761&lt;=70,INDEX('Tabela Passaro'!$J$2:$J$1795,$N761),IF(J761&lt;=100,INDEX('Tabela Passaro'!$K$2:$K$1795,$N761),INDEX('Tabela Passaro'!$K$2:$K$1795,$N761)+(J761-100)*INDEX('Tabela Passaro'!$L$2:$L$1795,$N761))))))</f>
        <v>169.58</v>
      </c>
      <c r="S761" s="32" t="n">
        <f aca="false">K761*INDEX('Tabela Passaro'!$M$2:$M$1795,$N761)</f>
        <v>4.8089</v>
      </c>
      <c r="T761" s="32" t="n">
        <f aca="false">K761*INDEX('Tabela Passaro'!$N$2:$N$1795,$N761)</f>
        <v>1.92356</v>
      </c>
      <c r="U761" s="32" t="n">
        <f aca="false">INDEX('Tabela Passaro'!$O$2:$O$1795,$N761)</f>
        <v>5</v>
      </c>
      <c r="V761" s="32" t="n">
        <f aca="false">ROUNDUP(J761/INDEX('Tabela Passaro'!$Q$2:$Q$1795,$N761),0)*INDEX('Tabela Passaro'!$P$2:$P$1795,$N761)</f>
        <v>5</v>
      </c>
      <c r="W761" s="32" t="n">
        <f aca="false">INDEX('Tabela Passaro'!$R$2:$R$1795,$N761)</f>
        <v>30</v>
      </c>
      <c r="X761" s="32" t="n">
        <f aca="false">ROUNDUP(J761/INDEX('Tabela Passaro'!$T$2:$T$1795,$N761),0)*INDEX('Tabela Passaro'!$S$2:$S$1795,$N761)</f>
        <v>0</v>
      </c>
      <c r="Y761" s="32" t="n">
        <f aca="false">INDEX('Tabela Passaro'!$U$2:$U$1795,$N761)</f>
        <v>0</v>
      </c>
      <c r="Z761" s="32" t="n">
        <f aca="false">INDEX('Tabela Passaro'!$V$2:$V$1795,$N761)</f>
        <v>0</v>
      </c>
      <c r="AA761" s="32" t="n">
        <f aca="false">SUM(R761:Z761)</f>
        <v>216.31246</v>
      </c>
      <c r="AB761" s="33" t="n">
        <f aca="false">INDEX(Premissas!$B$5:$B$13,MATCH(A761,Premissas!$A$5:$A$13,0))</f>
        <v>0.07</v>
      </c>
      <c r="AC761" s="32" t="n">
        <f aca="false">AA761/(1-AB761)-AA761</f>
        <v>16.2815830107527</v>
      </c>
      <c r="AD761" s="32" t="n">
        <f aca="false">ROUND(AA761+AC761,2)</f>
        <v>232.59</v>
      </c>
      <c r="AE761" s="32" t="n">
        <f aca="false">AD761-L761</f>
        <v>34.03</v>
      </c>
      <c r="AF761" s="34" t="n">
        <f aca="false">IF(L761=0,0,AE761/L761)</f>
        <v>0.171383964544722</v>
      </c>
      <c r="AG761" s="22" t="str">
        <f aca="false">IF(AD761&lt;L761,"PASSARO","ATUAL")</f>
        <v>ATUAL</v>
      </c>
      <c r="AH761" s="22" t="str">
        <f aca="false">IF(P761&lt;&gt;A761,"Faixa cadastrada como "&amp;P761&amp;" na tabela; preço aplicado pela UF do CEP","")</f>
        <v/>
      </c>
      <c r="AI761" s="26" t="n">
        <v>279.64</v>
      </c>
      <c r="AJ761" s="22" t="str">
        <f aca="false">INDEX('Tabela Passaro'!$X$2:$X$1795,$N761)</f>
        <v>CAPITAL</v>
      </c>
    </row>
    <row r="762" customFormat="false" ht="15" hidden="false" customHeight="false" outlineLevel="0" collapsed="false">
      <c r="A762" s="22" t="s">
        <v>17</v>
      </c>
      <c r="B762" s="22" t="n">
        <v>1</v>
      </c>
      <c r="C762" s="22" t="s">
        <v>95</v>
      </c>
      <c r="D762" s="22" t="s">
        <v>30</v>
      </c>
      <c r="E762" s="22" t="s">
        <v>7328</v>
      </c>
      <c r="F762" s="22" t="n">
        <v>2313248</v>
      </c>
      <c r="G762" s="30" t="n">
        <v>46251</v>
      </c>
      <c r="H762" s="22" t="n">
        <v>133669</v>
      </c>
      <c r="I762" s="22" t="s">
        <v>8029</v>
      </c>
      <c r="J762" s="31" t="n">
        <v>66.4</v>
      </c>
      <c r="K762" s="26" t="n">
        <v>970.98</v>
      </c>
      <c r="L762" s="26" t="n">
        <v>198.64</v>
      </c>
      <c r="M762" s="22" t="s">
        <v>2349</v>
      </c>
      <c r="N762" s="22" t="n">
        <f aca="false">MATCH(M762,'Tabela Passaro'!$A$2:$A$1795,0)</f>
        <v>522</v>
      </c>
      <c r="O762" s="22" t="str">
        <f aca="false">INDEX('Tabela Passaro'!$C$2:$C$1795,$N762)</f>
        <v>FORTALEZA</v>
      </c>
      <c r="P762" s="22" t="str">
        <f aca="false">INDEX('Tabela Passaro'!$B$2:$B$1795,$N762)</f>
        <v>CE</v>
      </c>
      <c r="Q762" s="22" t="n">
        <f aca="false">INDEX('Tabela Passaro'!$F$2:$F$1795,$N762)</f>
        <v>8</v>
      </c>
      <c r="R762" s="32" t="n">
        <f aca="false">IF(J762&lt;=10,INDEX('Tabela Passaro'!$G$2:$G$1795,$N762),IF(J762&lt;=30,INDEX('Tabela Passaro'!$H$2:$H$1795,$N762),IF(J762&lt;=50,INDEX('Tabela Passaro'!$I$2:$I$1795,$N762),IF(J762&lt;=70,INDEX('Tabela Passaro'!$J$2:$J$1795,$N762),IF(J762&lt;=100,INDEX('Tabela Passaro'!$K$2:$K$1795,$N762),INDEX('Tabela Passaro'!$K$2:$K$1795,$N762)+(J762-100)*INDEX('Tabela Passaro'!$L$2:$L$1795,$N762))))))</f>
        <v>169.58</v>
      </c>
      <c r="S762" s="32" t="n">
        <f aca="false">K762*INDEX('Tabela Passaro'!$M$2:$M$1795,$N762)</f>
        <v>4.8549</v>
      </c>
      <c r="T762" s="32" t="n">
        <f aca="false">K762*INDEX('Tabela Passaro'!$N$2:$N$1795,$N762)</f>
        <v>1.94196</v>
      </c>
      <c r="U762" s="32" t="n">
        <f aca="false">INDEX('Tabela Passaro'!$O$2:$O$1795,$N762)</f>
        <v>5</v>
      </c>
      <c r="V762" s="32" t="n">
        <f aca="false">ROUNDUP(J762/INDEX('Tabela Passaro'!$Q$2:$Q$1795,$N762),0)*INDEX('Tabela Passaro'!$P$2:$P$1795,$N762)</f>
        <v>5</v>
      </c>
      <c r="W762" s="32" t="n">
        <f aca="false">INDEX('Tabela Passaro'!$R$2:$R$1795,$N762)</f>
        <v>30</v>
      </c>
      <c r="X762" s="32" t="n">
        <f aca="false">ROUNDUP(J762/INDEX('Tabela Passaro'!$T$2:$T$1795,$N762),0)*INDEX('Tabela Passaro'!$S$2:$S$1795,$N762)</f>
        <v>0</v>
      </c>
      <c r="Y762" s="32" t="n">
        <f aca="false">INDEX('Tabela Passaro'!$U$2:$U$1795,$N762)</f>
        <v>0</v>
      </c>
      <c r="Z762" s="32" t="n">
        <f aca="false">INDEX('Tabela Passaro'!$V$2:$V$1795,$N762)</f>
        <v>0</v>
      </c>
      <c r="AA762" s="32" t="n">
        <f aca="false">SUM(R762:Z762)</f>
        <v>216.37686</v>
      </c>
      <c r="AB762" s="33" t="n">
        <f aca="false">INDEX(Premissas!$B$5:$B$13,MATCH(A762,Premissas!$A$5:$A$13,0))</f>
        <v>0.07</v>
      </c>
      <c r="AC762" s="32" t="n">
        <f aca="false">AA762/(1-AB762)-AA762</f>
        <v>16.2864303225807</v>
      </c>
      <c r="AD762" s="32" t="n">
        <f aca="false">ROUND(AA762+AC762,2)</f>
        <v>232.66</v>
      </c>
      <c r="AE762" s="32" t="n">
        <f aca="false">AD762-L762</f>
        <v>34.02</v>
      </c>
      <c r="AF762" s="34" t="n">
        <f aca="false">IF(L762=0,0,AE762/L762)</f>
        <v>0.171264599275071</v>
      </c>
      <c r="AG762" s="22" t="str">
        <f aca="false">IF(AD762&lt;L762,"PASSARO","ATUAL")</f>
        <v>ATUAL</v>
      </c>
      <c r="AH762" s="22" t="str">
        <f aca="false">IF(P762&lt;&gt;A762,"Faixa cadastrada como "&amp;P762&amp;" na tabela; preço aplicado pela UF do CEP","")</f>
        <v/>
      </c>
      <c r="AI762" s="26" t="n">
        <v>282.15</v>
      </c>
      <c r="AJ762" s="22" t="str">
        <f aca="false">INDEX('Tabela Passaro'!$X$2:$X$1795,$N762)</f>
        <v>CAPITAL</v>
      </c>
    </row>
    <row r="763" customFormat="false" ht="15" hidden="false" customHeight="false" outlineLevel="0" collapsed="false">
      <c r="A763" s="22" t="s">
        <v>17</v>
      </c>
      <c r="B763" s="22" t="n">
        <v>1</v>
      </c>
      <c r="C763" s="22" t="s">
        <v>95</v>
      </c>
      <c r="D763" s="22" t="s">
        <v>30</v>
      </c>
      <c r="E763" s="22" t="s">
        <v>7328</v>
      </c>
      <c r="F763" s="22" t="n">
        <v>2313251</v>
      </c>
      <c r="G763" s="30" t="n">
        <v>46251</v>
      </c>
      <c r="H763" s="22" t="n">
        <v>133670</v>
      </c>
      <c r="I763" s="22" t="s">
        <v>8030</v>
      </c>
      <c r="J763" s="31" t="n">
        <v>66.4</v>
      </c>
      <c r="K763" s="26" t="n">
        <v>970.98</v>
      </c>
      <c r="L763" s="26" t="n">
        <v>198.64</v>
      </c>
      <c r="M763" s="22" t="s">
        <v>2349</v>
      </c>
      <c r="N763" s="22" t="n">
        <f aca="false">MATCH(M763,'Tabela Passaro'!$A$2:$A$1795,0)</f>
        <v>522</v>
      </c>
      <c r="O763" s="22" t="str">
        <f aca="false">INDEX('Tabela Passaro'!$C$2:$C$1795,$N763)</f>
        <v>FORTALEZA</v>
      </c>
      <c r="P763" s="22" t="str">
        <f aca="false">INDEX('Tabela Passaro'!$B$2:$B$1795,$N763)</f>
        <v>CE</v>
      </c>
      <c r="Q763" s="22" t="n">
        <f aca="false">INDEX('Tabela Passaro'!$F$2:$F$1795,$N763)</f>
        <v>8</v>
      </c>
      <c r="R763" s="32" t="n">
        <f aca="false">IF(J763&lt;=10,INDEX('Tabela Passaro'!$G$2:$G$1795,$N763),IF(J763&lt;=30,INDEX('Tabela Passaro'!$H$2:$H$1795,$N763),IF(J763&lt;=50,INDEX('Tabela Passaro'!$I$2:$I$1795,$N763),IF(J763&lt;=70,INDEX('Tabela Passaro'!$J$2:$J$1795,$N763),IF(J763&lt;=100,INDEX('Tabela Passaro'!$K$2:$K$1795,$N763),INDEX('Tabela Passaro'!$K$2:$K$1795,$N763)+(J763-100)*INDEX('Tabela Passaro'!$L$2:$L$1795,$N763))))))</f>
        <v>169.58</v>
      </c>
      <c r="S763" s="32" t="n">
        <f aca="false">K763*INDEX('Tabela Passaro'!$M$2:$M$1795,$N763)</f>
        <v>4.8549</v>
      </c>
      <c r="T763" s="32" t="n">
        <f aca="false">K763*INDEX('Tabela Passaro'!$N$2:$N$1795,$N763)</f>
        <v>1.94196</v>
      </c>
      <c r="U763" s="32" t="n">
        <f aca="false">INDEX('Tabela Passaro'!$O$2:$O$1795,$N763)</f>
        <v>5</v>
      </c>
      <c r="V763" s="32" t="n">
        <f aca="false">ROUNDUP(J763/INDEX('Tabela Passaro'!$Q$2:$Q$1795,$N763),0)*INDEX('Tabela Passaro'!$P$2:$P$1795,$N763)</f>
        <v>5</v>
      </c>
      <c r="W763" s="32" t="n">
        <f aca="false">INDEX('Tabela Passaro'!$R$2:$R$1795,$N763)</f>
        <v>30</v>
      </c>
      <c r="X763" s="32" t="n">
        <f aca="false">ROUNDUP(J763/INDEX('Tabela Passaro'!$T$2:$T$1795,$N763),0)*INDEX('Tabela Passaro'!$S$2:$S$1795,$N763)</f>
        <v>0</v>
      </c>
      <c r="Y763" s="32" t="n">
        <f aca="false">INDEX('Tabela Passaro'!$U$2:$U$1795,$N763)</f>
        <v>0</v>
      </c>
      <c r="Z763" s="32" t="n">
        <f aca="false">INDEX('Tabela Passaro'!$V$2:$V$1795,$N763)</f>
        <v>0</v>
      </c>
      <c r="AA763" s="32" t="n">
        <f aca="false">SUM(R763:Z763)</f>
        <v>216.37686</v>
      </c>
      <c r="AB763" s="33" t="n">
        <f aca="false">INDEX(Premissas!$B$5:$B$13,MATCH(A763,Premissas!$A$5:$A$13,0))</f>
        <v>0.07</v>
      </c>
      <c r="AC763" s="32" t="n">
        <f aca="false">AA763/(1-AB763)-AA763</f>
        <v>16.2864303225807</v>
      </c>
      <c r="AD763" s="32" t="n">
        <f aca="false">ROUND(AA763+AC763,2)</f>
        <v>232.66</v>
      </c>
      <c r="AE763" s="32" t="n">
        <f aca="false">AD763-L763</f>
        <v>34.02</v>
      </c>
      <c r="AF763" s="34" t="n">
        <f aca="false">IF(L763=0,0,AE763/L763)</f>
        <v>0.171264599275071</v>
      </c>
      <c r="AG763" s="22" t="str">
        <f aca="false">IF(AD763&lt;L763,"PASSARO","ATUAL")</f>
        <v>ATUAL</v>
      </c>
      <c r="AH763" s="22" t="str">
        <f aca="false">IF(P763&lt;&gt;A763,"Faixa cadastrada como "&amp;P763&amp;" na tabela; preço aplicado pela UF do CEP","")</f>
        <v/>
      </c>
      <c r="AI763" s="26" t="n">
        <v>282.15</v>
      </c>
      <c r="AJ763" s="22" t="str">
        <f aca="false">INDEX('Tabela Passaro'!$X$2:$X$1795,$N763)</f>
        <v>CAPITAL</v>
      </c>
    </row>
    <row r="764" customFormat="false" ht="15" hidden="false" customHeight="false" outlineLevel="0" collapsed="false">
      <c r="A764" s="22" t="s">
        <v>17</v>
      </c>
      <c r="B764" s="22" t="n">
        <v>1</v>
      </c>
      <c r="C764" s="22" t="s">
        <v>95</v>
      </c>
      <c r="D764" s="22" t="s">
        <v>30</v>
      </c>
      <c r="E764" s="22" t="s">
        <v>7326</v>
      </c>
      <c r="F764" s="22" t="n">
        <v>525361</v>
      </c>
      <c r="G764" s="30" t="n">
        <v>46251</v>
      </c>
      <c r="H764" s="22" t="n">
        <v>625349</v>
      </c>
      <c r="I764" s="22" t="s">
        <v>8031</v>
      </c>
      <c r="J764" s="31" t="n">
        <v>83.9</v>
      </c>
      <c r="K764" s="26" t="n">
        <v>1278.39</v>
      </c>
      <c r="L764" s="26" t="n">
        <v>303.56</v>
      </c>
      <c r="M764" s="22" t="s">
        <v>2349</v>
      </c>
      <c r="N764" s="22" t="n">
        <f aca="false">MATCH(M764,'Tabela Passaro'!$A$2:$A$1795,0)</f>
        <v>522</v>
      </c>
      <c r="O764" s="22" t="str">
        <f aca="false">INDEX('Tabela Passaro'!$C$2:$C$1795,$N764)</f>
        <v>FORTALEZA</v>
      </c>
      <c r="P764" s="22" t="str">
        <f aca="false">INDEX('Tabela Passaro'!$B$2:$B$1795,$N764)</f>
        <v>CE</v>
      </c>
      <c r="Q764" s="22" t="n">
        <f aca="false">INDEX('Tabela Passaro'!$F$2:$F$1795,$N764)</f>
        <v>8</v>
      </c>
      <c r="R764" s="32" t="n">
        <f aca="false">IF(J764&lt;=10,INDEX('Tabela Passaro'!$G$2:$G$1795,$N764),IF(J764&lt;=30,INDEX('Tabela Passaro'!$H$2:$H$1795,$N764),IF(J764&lt;=50,INDEX('Tabela Passaro'!$I$2:$I$1795,$N764),IF(J764&lt;=70,INDEX('Tabela Passaro'!$J$2:$J$1795,$N764),IF(J764&lt;=100,INDEX('Tabela Passaro'!$K$2:$K$1795,$N764),INDEX('Tabela Passaro'!$K$2:$K$1795,$N764)+(J764-100)*INDEX('Tabela Passaro'!$L$2:$L$1795,$N764))))))</f>
        <v>186.18</v>
      </c>
      <c r="S764" s="32" t="n">
        <f aca="false">K764*INDEX('Tabela Passaro'!$M$2:$M$1795,$N764)</f>
        <v>6.39195</v>
      </c>
      <c r="T764" s="32" t="n">
        <f aca="false">K764*INDEX('Tabela Passaro'!$N$2:$N$1795,$N764)</f>
        <v>2.55678</v>
      </c>
      <c r="U764" s="32" t="n">
        <f aca="false">INDEX('Tabela Passaro'!$O$2:$O$1795,$N764)</f>
        <v>5</v>
      </c>
      <c r="V764" s="32" t="n">
        <f aca="false">ROUNDUP(J764/INDEX('Tabela Passaro'!$Q$2:$Q$1795,$N764),0)*INDEX('Tabela Passaro'!$P$2:$P$1795,$N764)</f>
        <v>5</v>
      </c>
      <c r="W764" s="32" t="n">
        <f aca="false">INDEX('Tabela Passaro'!$R$2:$R$1795,$N764)</f>
        <v>30</v>
      </c>
      <c r="X764" s="32" t="n">
        <f aca="false">ROUNDUP(J764/INDEX('Tabela Passaro'!$T$2:$T$1795,$N764),0)*INDEX('Tabela Passaro'!$S$2:$S$1795,$N764)</f>
        <v>0</v>
      </c>
      <c r="Y764" s="32" t="n">
        <f aca="false">INDEX('Tabela Passaro'!$U$2:$U$1795,$N764)</f>
        <v>0</v>
      </c>
      <c r="Z764" s="32" t="n">
        <f aca="false">INDEX('Tabela Passaro'!$V$2:$V$1795,$N764)</f>
        <v>0</v>
      </c>
      <c r="AA764" s="32" t="n">
        <f aca="false">SUM(R764:Z764)</f>
        <v>235.12873</v>
      </c>
      <c r="AB764" s="33" t="n">
        <f aca="false">INDEX(Premissas!$B$5:$B$13,MATCH(A764,Premissas!$A$5:$A$13,0))</f>
        <v>0.07</v>
      </c>
      <c r="AC764" s="32" t="n">
        <f aca="false">AA764/(1-AB764)-AA764</f>
        <v>17.6978613978495</v>
      </c>
      <c r="AD764" s="32" t="n">
        <f aca="false">ROUND(AA764+AC764,2)</f>
        <v>252.83</v>
      </c>
      <c r="AE764" s="32" t="n">
        <f aca="false">AD764-L764</f>
        <v>-50.73</v>
      </c>
      <c r="AF764" s="34" t="n">
        <f aca="false">IF(L764=0,0,AE764/L764)</f>
        <v>-0.167116879694294</v>
      </c>
      <c r="AG764" s="22" t="str">
        <f aca="false">IF(AD764&lt;L764,"PASSARO","ATUAL")</f>
        <v>PASSARO</v>
      </c>
      <c r="AH764" s="22" t="str">
        <f aca="false">IF(P764&lt;&gt;A764,"Faixa cadastrada como "&amp;P764&amp;" na tabela; preço aplicado pela UF do CEP","")</f>
        <v/>
      </c>
      <c r="AI764" s="26" t="n">
        <v>312.13</v>
      </c>
      <c r="AJ764" s="22" t="str">
        <f aca="false">INDEX('Tabela Passaro'!$X$2:$X$1795,$N764)</f>
        <v>CAPITAL</v>
      </c>
    </row>
    <row r="765" customFormat="false" ht="15" hidden="false" customHeight="false" outlineLevel="0" collapsed="false">
      <c r="A765" s="22" t="s">
        <v>17</v>
      </c>
      <c r="B765" s="22" t="n">
        <v>1</v>
      </c>
      <c r="C765" s="22" t="s">
        <v>95</v>
      </c>
      <c r="D765" s="22" t="s">
        <v>30</v>
      </c>
      <c r="E765" s="22" t="s">
        <v>20</v>
      </c>
      <c r="F765" s="22" t="n">
        <v>839400</v>
      </c>
      <c r="G765" s="30" t="n">
        <v>46252</v>
      </c>
      <c r="H765" s="22" t="n">
        <v>32538</v>
      </c>
      <c r="I765" s="22" t="s">
        <v>8032</v>
      </c>
      <c r="J765" s="31" t="n">
        <v>79.26</v>
      </c>
      <c r="K765" s="26" t="n">
        <v>1069.98</v>
      </c>
      <c r="L765" s="26" t="n">
        <v>223.01</v>
      </c>
      <c r="M765" s="22" t="s">
        <v>2349</v>
      </c>
      <c r="N765" s="22" t="n">
        <f aca="false">MATCH(M765,'Tabela Passaro'!$A$2:$A$1795,0)</f>
        <v>522</v>
      </c>
      <c r="O765" s="22" t="str">
        <f aca="false">INDEX('Tabela Passaro'!$C$2:$C$1795,$N765)</f>
        <v>FORTALEZA</v>
      </c>
      <c r="P765" s="22" t="str">
        <f aca="false">INDEX('Tabela Passaro'!$B$2:$B$1795,$N765)</f>
        <v>CE</v>
      </c>
      <c r="Q765" s="22" t="n">
        <f aca="false">INDEX('Tabela Passaro'!$F$2:$F$1795,$N765)</f>
        <v>8</v>
      </c>
      <c r="R765" s="32" t="n">
        <f aca="false">IF(J765&lt;=10,INDEX('Tabela Passaro'!$G$2:$G$1795,$N765),IF(J765&lt;=30,INDEX('Tabela Passaro'!$H$2:$H$1795,$N765),IF(J765&lt;=50,INDEX('Tabela Passaro'!$I$2:$I$1795,$N765),IF(J765&lt;=70,INDEX('Tabela Passaro'!$J$2:$J$1795,$N765),IF(J765&lt;=100,INDEX('Tabela Passaro'!$K$2:$K$1795,$N765),INDEX('Tabela Passaro'!$K$2:$K$1795,$N765)+(J765-100)*INDEX('Tabela Passaro'!$L$2:$L$1795,$N765))))))</f>
        <v>186.18</v>
      </c>
      <c r="S765" s="32" t="n">
        <f aca="false">K765*INDEX('Tabela Passaro'!$M$2:$M$1795,$N765)</f>
        <v>5.3499</v>
      </c>
      <c r="T765" s="32" t="n">
        <f aca="false">K765*INDEX('Tabela Passaro'!$N$2:$N$1795,$N765)</f>
        <v>2.13996</v>
      </c>
      <c r="U765" s="32" t="n">
        <f aca="false">INDEX('Tabela Passaro'!$O$2:$O$1795,$N765)</f>
        <v>5</v>
      </c>
      <c r="V765" s="32" t="n">
        <f aca="false">ROUNDUP(J765/INDEX('Tabela Passaro'!$Q$2:$Q$1795,$N765),0)*INDEX('Tabela Passaro'!$P$2:$P$1795,$N765)</f>
        <v>5</v>
      </c>
      <c r="W765" s="32" t="n">
        <f aca="false">INDEX('Tabela Passaro'!$R$2:$R$1795,$N765)</f>
        <v>30</v>
      </c>
      <c r="X765" s="32" t="n">
        <f aca="false">ROUNDUP(J765/INDEX('Tabela Passaro'!$T$2:$T$1795,$N765),0)*INDEX('Tabela Passaro'!$S$2:$S$1795,$N765)</f>
        <v>0</v>
      </c>
      <c r="Y765" s="32" t="n">
        <f aca="false">INDEX('Tabela Passaro'!$U$2:$U$1795,$N765)</f>
        <v>0</v>
      </c>
      <c r="Z765" s="32" t="n">
        <f aca="false">INDEX('Tabela Passaro'!$V$2:$V$1795,$N765)</f>
        <v>0</v>
      </c>
      <c r="AA765" s="32" t="n">
        <f aca="false">SUM(R765:Z765)</f>
        <v>233.66986</v>
      </c>
      <c r="AB765" s="33" t="n">
        <f aca="false">INDEX(Premissas!$B$5:$B$13,MATCH(A765,Premissas!$A$5:$A$13,0))</f>
        <v>0.07</v>
      </c>
      <c r="AC765" s="32" t="n">
        <f aca="false">AA765/(1-AB765)-AA765</f>
        <v>17.5880539784946</v>
      </c>
      <c r="AD765" s="32" t="n">
        <f aca="false">ROUND(AA765+AC765,2)</f>
        <v>251.26</v>
      </c>
      <c r="AE765" s="32" t="n">
        <f aca="false">AD765-L765</f>
        <v>28.25</v>
      </c>
      <c r="AF765" s="34" t="n">
        <f aca="false">IF(L765=0,0,AE765/L765)</f>
        <v>0.126675933814627</v>
      </c>
      <c r="AG765" s="22" t="str">
        <f aca="false">IF(AD765&lt;L765,"PASSARO","ATUAL")</f>
        <v>ATUAL</v>
      </c>
      <c r="AH765" s="22" t="str">
        <f aca="false">IF(P765&lt;&gt;A765,"Faixa cadastrada como "&amp;P765&amp;" na tabela; preço aplicado pela UF do CEP","")</f>
        <v/>
      </c>
      <c r="AI765" s="26" t="n">
        <v>308.18</v>
      </c>
      <c r="AJ765" s="22" t="str">
        <f aca="false">INDEX('Tabela Passaro'!$X$2:$X$1795,$N765)</f>
        <v>CAPITAL</v>
      </c>
    </row>
    <row r="766" customFormat="false" ht="15" hidden="false" customHeight="false" outlineLevel="0" collapsed="false">
      <c r="A766" s="22" t="s">
        <v>17</v>
      </c>
      <c r="B766" s="22" t="n">
        <v>1</v>
      </c>
      <c r="C766" s="22" t="s">
        <v>95</v>
      </c>
      <c r="D766" s="22" t="s">
        <v>30</v>
      </c>
      <c r="E766" s="22" t="s">
        <v>20</v>
      </c>
      <c r="F766" s="22" t="n">
        <v>839403</v>
      </c>
      <c r="G766" s="30" t="n">
        <v>46252</v>
      </c>
      <c r="H766" s="22" t="n">
        <v>32541</v>
      </c>
      <c r="I766" s="22" t="s">
        <v>8033</v>
      </c>
      <c r="J766" s="31" t="n">
        <v>64.65</v>
      </c>
      <c r="K766" s="26" t="n">
        <v>1000.96</v>
      </c>
      <c r="L766" s="26" t="n">
        <v>178.03</v>
      </c>
      <c r="M766" s="22" t="s">
        <v>2349</v>
      </c>
      <c r="N766" s="22" t="n">
        <f aca="false">MATCH(M766,'Tabela Passaro'!$A$2:$A$1795,0)</f>
        <v>522</v>
      </c>
      <c r="O766" s="22" t="str">
        <f aca="false">INDEX('Tabela Passaro'!$C$2:$C$1795,$N766)</f>
        <v>FORTALEZA</v>
      </c>
      <c r="P766" s="22" t="str">
        <f aca="false">INDEX('Tabela Passaro'!$B$2:$B$1795,$N766)</f>
        <v>CE</v>
      </c>
      <c r="Q766" s="22" t="n">
        <f aca="false">INDEX('Tabela Passaro'!$F$2:$F$1795,$N766)</f>
        <v>8</v>
      </c>
      <c r="R766" s="32" t="n">
        <f aca="false">IF(J766&lt;=10,INDEX('Tabela Passaro'!$G$2:$G$1795,$N766),IF(J766&lt;=30,INDEX('Tabela Passaro'!$H$2:$H$1795,$N766),IF(J766&lt;=50,INDEX('Tabela Passaro'!$I$2:$I$1795,$N766),IF(J766&lt;=70,INDEX('Tabela Passaro'!$J$2:$J$1795,$N766),IF(J766&lt;=100,INDEX('Tabela Passaro'!$K$2:$K$1795,$N766),INDEX('Tabela Passaro'!$K$2:$K$1795,$N766)+(J766-100)*INDEX('Tabela Passaro'!$L$2:$L$1795,$N766))))))</f>
        <v>169.58</v>
      </c>
      <c r="S766" s="32" t="n">
        <f aca="false">K766*INDEX('Tabela Passaro'!$M$2:$M$1795,$N766)</f>
        <v>5.0048</v>
      </c>
      <c r="T766" s="32" t="n">
        <f aca="false">K766*INDEX('Tabela Passaro'!$N$2:$N$1795,$N766)</f>
        <v>2.00192</v>
      </c>
      <c r="U766" s="32" t="n">
        <f aca="false">INDEX('Tabela Passaro'!$O$2:$O$1795,$N766)</f>
        <v>5</v>
      </c>
      <c r="V766" s="32" t="n">
        <f aca="false">ROUNDUP(J766/INDEX('Tabela Passaro'!$Q$2:$Q$1795,$N766),0)*INDEX('Tabela Passaro'!$P$2:$P$1795,$N766)</f>
        <v>5</v>
      </c>
      <c r="W766" s="32" t="n">
        <f aca="false">INDEX('Tabela Passaro'!$R$2:$R$1795,$N766)</f>
        <v>30</v>
      </c>
      <c r="X766" s="32" t="n">
        <f aca="false">ROUNDUP(J766/INDEX('Tabela Passaro'!$T$2:$T$1795,$N766),0)*INDEX('Tabela Passaro'!$S$2:$S$1795,$N766)</f>
        <v>0</v>
      </c>
      <c r="Y766" s="32" t="n">
        <f aca="false">INDEX('Tabela Passaro'!$U$2:$U$1795,$N766)</f>
        <v>0</v>
      </c>
      <c r="Z766" s="32" t="n">
        <f aca="false">INDEX('Tabela Passaro'!$V$2:$V$1795,$N766)</f>
        <v>0</v>
      </c>
      <c r="AA766" s="32" t="n">
        <f aca="false">SUM(R766:Z766)</f>
        <v>216.58672</v>
      </c>
      <c r="AB766" s="33" t="n">
        <f aca="false">INDEX(Premissas!$B$5:$B$13,MATCH(A766,Premissas!$A$5:$A$13,0))</f>
        <v>0.07</v>
      </c>
      <c r="AC766" s="32" t="n">
        <f aca="false">AA766/(1-AB766)-AA766</f>
        <v>16.3022262365592</v>
      </c>
      <c r="AD766" s="32" t="n">
        <f aca="false">ROUND(AA766+AC766,2)</f>
        <v>232.89</v>
      </c>
      <c r="AE766" s="32" t="n">
        <f aca="false">AD766-L766</f>
        <v>54.86</v>
      </c>
      <c r="AF766" s="34" t="n">
        <f aca="false">IF(L766=0,0,AE766/L766)</f>
        <v>0.308150311745211</v>
      </c>
      <c r="AG766" s="22" t="str">
        <f aca="false">IF(AD766&lt;L766,"PASSARO","ATUAL")</f>
        <v>ATUAL</v>
      </c>
      <c r="AH766" s="22" t="str">
        <f aca="false">IF(P766&lt;&gt;A766,"Faixa cadastrada como "&amp;P766&amp;" na tabela; preço aplicado pela UF do CEP","")</f>
        <v/>
      </c>
      <c r="AI766" s="26" t="n">
        <v>281.47</v>
      </c>
      <c r="AJ766" s="22" t="str">
        <f aca="false">INDEX('Tabela Passaro'!$X$2:$X$1795,$N766)</f>
        <v>CAPITAL</v>
      </c>
    </row>
    <row r="767" customFormat="false" ht="15" hidden="false" customHeight="false" outlineLevel="0" collapsed="false">
      <c r="A767" s="22" t="s">
        <v>17</v>
      </c>
      <c r="B767" s="22" t="n">
        <v>1</v>
      </c>
      <c r="C767" s="22" t="s">
        <v>95</v>
      </c>
      <c r="D767" s="22" t="s">
        <v>30</v>
      </c>
      <c r="E767" s="22" t="s">
        <v>20</v>
      </c>
      <c r="F767" s="22" t="n">
        <v>839404</v>
      </c>
      <c r="G767" s="30" t="n">
        <v>46252</v>
      </c>
      <c r="H767" s="22" t="n">
        <v>32542</v>
      </c>
      <c r="I767" s="22" t="s">
        <v>8034</v>
      </c>
      <c r="J767" s="31" t="n">
        <v>37.59</v>
      </c>
      <c r="K767" s="26" t="n">
        <v>611.98</v>
      </c>
      <c r="L767" s="26" t="n">
        <v>150.57</v>
      </c>
      <c r="M767" s="22" t="s">
        <v>2349</v>
      </c>
      <c r="N767" s="22" t="n">
        <f aca="false">MATCH(M767,'Tabela Passaro'!$A$2:$A$1795,0)</f>
        <v>522</v>
      </c>
      <c r="O767" s="22" t="str">
        <f aca="false">INDEX('Tabela Passaro'!$C$2:$C$1795,$N767)</f>
        <v>FORTALEZA</v>
      </c>
      <c r="P767" s="22" t="str">
        <f aca="false">INDEX('Tabela Passaro'!$B$2:$B$1795,$N767)</f>
        <v>CE</v>
      </c>
      <c r="Q767" s="22" t="n">
        <f aca="false">INDEX('Tabela Passaro'!$F$2:$F$1795,$N767)</f>
        <v>8</v>
      </c>
      <c r="R767" s="32" t="n">
        <f aca="false">IF(J767&lt;=10,INDEX('Tabela Passaro'!$G$2:$G$1795,$N767),IF(J767&lt;=30,INDEX('Tabela Passaro'!$H$2:$H$1795,$N767),IF(J767&lt;=50,INDEX('Tabela Passaro'!$I$2:$I$1795,$N767),IF(J767&lt;=70,INDEX('Tabela Passaro'!$J$2:$J$1795,$N767),IF(J767&lt;=100,INDEX('Tabela Passaro'!$K$2:$K$1795,$N767),INDEX('Tabela Passaro'!$K$2:$K$1795,$N767)+(J767-100)*INDEX('Tabela Passaro'!$L$2:$L$1795,$N767))))))</f>
        <v>152.98</v>
      </c>
      <c r="S767" s="32" t="n">
        <f aca="false">K767*INDEX('Tabela Passaro'!$M$2:$M$1795,$N767)</f>
        <v>3.0599</v>
      </c>
      <c r="T767" s="32" t="n">
        <f aca="false">K767*INDEX('Tabela Passaro'!$N$2:$N$1795,$N767)</f>
        <v>1.22396</v>
      </c>
      <c r="U767" s="32" t="n">
        <f aca="false">INDEX('Tabela Passaro'!$O$2:$O$1795,$N767)</f>
        <v>5</v>
      </c>
      <c r="V767" s="32" t="n">
        <f aca="false">ROUNDUP(J767/INDEX('Tabela Passaro'!$Q$2:$Q$1795,$N767),0)*INDEX('Tabela Passaro'!$P$2:$P$1795,$N767)</f>
        <v>5</v>
      </c>
      <c r="W767" s="32" t="n">
        <f aca="false">INDEX('Tabela Passaro'!$R$2:$R$1795,$N767)</f>
        <v>30</v>
      </c>
      <c r="X767" s="32" t="n">
        <f aca="false">ROUNDUP(J767/INDEX('Tabela Passaro'!$T$2:$T$1795,$N767),0)*INDEX('Tabela Passaro'!$S$2:$S$1795,$N767)</f>
        <v>0</v>
      </c>
      <c r="Y767" s="32" t="n">
        <f aca="false">INDEX('Tabela Passaro'!$U$2:$U$1795,$N767)</f>
        <v>0</v>
      </c>
      <c r="Z767" s="32" t="n">
        <f aca="false">INDEX('Tabela Passaro'!$V$2:$V$1795,$N767)</f>
        <v>0</v>
      </c>
      <c r="AA767" s="32" t="n">
        <f aca="false">SUM(R767:Z767)</f>
        <v>197.26386</v>
      </c>
      <c r="AB767" s="33" t="n">
        <f aca="false">INDEX(Premissas!$B$5:$B$13,MATCH(A767,Premissas!$A$5:$A$13,0))</f>
        <v>0.07</v>
      </c>
      <c r="AC767" s="32" t="n">
        <f aca="false">AA767/(1-AB767)-AA767</f>
        <v>14.8478174193548</v>
      </c>
      <c r="AD767" s="32" t="n">
        <f aca="false">ROUND(AA767+AC767,2)</f>
        <v>212.11</v>
      </c>
      <c r="AE767" s="32" t="n">
        <f aca="false">AD767-L767</f>
        <v>61.54</v>
      </c>
      <c r="AF767" s="34" t="n">
        <f aca="false">IF(L767=0,0,AE767/L767)</f>
        <v>0.40871355515707</v>
      </c>
      <c r="AG767" s="22" t="str">
        <f aca="false">IF(AD767&lt;L767,"PASSARO","ATUAL")</f>
        <v>ATUAL</v>
      </c>
      <c r="AH767" s="22" t="str">
        <f aca="false">IF(P767&lt;&gt;A767,"Faixa cadastrada como "&amp;P767&amp;" na tabela; preço aplicado pela UF do CEP","")</f>
        <v/>
      </c>
      <c r="AI767" s="26" t="n">
        <v>245.85</v>
      </c>
      <c r="AJ767" s="22" t="str">
        <f aca="false">INDEX('Tabela Passaro'!$X$2:$X$1795,$N767)</f>
        <v>CAPITAL</v>
      </c>
    </row>
    <row r="768" customFormat="false" ht="15" hidden="false" customHeight="false" outlineLevel="0" collapsed="false">
      <c r="A768" s="22" t="s">
        <v>17</v>
      </c>
      <c r="B768" s="22" t="n">
        <v>1</v>
      </c>
      <c r="C768" s="22" t="s">
        <v>95</v>
      </c>
      <c r="D768" s="22" t="s">
        <v>30</v>
      </c>
      <c r="E768" s="22" t="s">
        <v>20</v>
      </c>
      <c r="F768" s="22" t="n">
        <v>839407</v>
      </c>
      <c r="G768" s="30" t="n">
        <v>46252</v>
      </c>
      <c r="H768" s="22" t="n">
        <v>32545</v>
      </c>
      <c r="I768" s="22" t="s">
        <v>8035</v>
      </c>
      <c r="J768" s="31" t="n">
        <v>51.2</v>
      </c>
      <c r="K768" s="26" t="n">
        <v>832.99</v>
      </c>
      <c r="L768" s="26" t="n">
        <v>176.52</v>
      </c>
      <c r="M768" s="22" t="s">
        <v>2349</v>
      </c>
      <c r="N768" s="22" t="n">
        <f aca="false">MATCH(M768,'Tabela Passaro'!$A$2:$A$1795,0)</f>
        <v>522</v>
      </c>
      <c r="O768" s="22" t="str">
        <f aca="false">INDEX('Tabela Passaro'!$C$2:$C$1795,$N768)</f>
        <v>FORTALEZA</v>
      </c>
      <c r="P768" s="22" t="str">
        <f aca="false">INDEX('Tabela Passaro'!$B$2:$B$1795,$N768)</f>
        <v>CE</v>
      </c>
      <c r="Q768" s="22" t="n">
        <f aca="false">INDEX('Tabela Passaro'!$F$2:$F$1795,$N768)</f>
        <v>8</v>
      </c>
      <c r="R768" s="32" t="n">
        <f aca="false">IF(J768&lt;=10,INDEX('Tabela Passaro'!$G$2:$G$1795,$N768),IF(J768&lt;=30,INDEX('Tabela Passaro'!$H$2:$H$1795,$N768),IF(J768&lt;=50,INDEX('Tabela Passaro'!$I$2:$I$1795,$N768),IF(J768&lt;=70,INDEX('Tabela Passaro'!$J$2:$J$1795,$N768),IF(J768&lt;=100,INDEX('Tabela Passaro'!$K$2:$K$1795,$N768),INDEX('Tabela Passaro'!$K$2:$K$1795,$N768)+(J768-100)*INDEX('Tabela Passaro'!$L$2:$L$1795,$N768))))))</f>
        <v>169.58</v>
      </c>
      <c r="S768" s="32" t="n">
        <f aca="false">K768*INDEX('Tabela Passaro'!$M$2:$M$1795,$N768)</f>
        <v>4.16495</v>
      </c>
      <c r="T768" s="32" t="n">
        <f aca="false">K768*INDEX('Tabela Passaro'!$N$2:$N$1795,$N768)</f>
        <v>1.66598</v>
      </c>
      <c r="U768" s="32" t="n">
        <f aca="false">INDEX('Tabela Passaro'!$O$2:$O$1795,$N768)</f>
        <v>5</v>
      </c>
      <c r="V768" s="32" t="n">
        <f aca="false">ROUNDUP(J768/INDEX('Tabela Passaro'!$Q$2:$Q$1795,$N768),0)*INDEX('Tabela Passaro'!$P$2:$P$1795,$N768)</f>
        <v>5</v>
      </c>
      <c r="W768" s="32" t="n">
        <f aca="false">INDEX('Tabela Passaro'!$R$2:$R$1795,$N768)</f>
        <v>30</v>
      </c>
      <c r="X768" s="32" t="n">
        <f aca="false">ROUNDUP(J768/INDEX('Tabela Passaro'!$T$2:$T$1795,$N768),0)*INDEX('Tabela Passaro'!$S$2:$S$1795,$N768)</f>
        <v>0</v>
      </c>
      <c r="Y768" s="32" t="n">
        <f aca="false">INDEX('Tabela Passaro'!$U$2:$U$1795,$N768)</f>
        <v>0</v>
      </c>
      <c r="Z768" s="32" t="n">
        <f aca="false">INDEX('Tabela Passaro'!$V$2:$V$1795,$N768)</f>
        <v>0</v>
      </c>
      <c r="AA768" s="32" t="n">
        <f aca="false">SUM(R768:Z768)</f>
        <v>215.41093</v>
      </c>
      <c r="AB768" s="33" t="n">
        <f aca="false">INDEX(Premissas!$B$5:$B$13,MATCH(A768,Premissas!$A$5:$A$13,0))</f>
        <v>0.07</v>
      </c>
      <c r="AC768" s="32" t="n">
        <f aca="false">AA768/(1-AB768)-AA768</f>
        <v>16.2137259139785</v>
      </c>
      <c r="AD768" s="32" t="n">
        <f aca="false">ROUND(AA768+AC768,2)</f>
        <v>231.62</v>
      </c>
      <c r="AE768" s="32" t="n">
        <f aca="false">AD768-L768</f>
        <v>55.1</v>
      </c>
      <c r="AF768" s="34" t="n">
        <f aca="false">IF(L768=0,0,AE768/L768)</f>
        <v>0.312145932472241</v>
      </c>
      <c r="AG768" s="22" t="str">
        <f aca="false">IF(AD768&lt;L768,"PASSARO","ATUAL")</f>
        <v>ATUAL</v>
      </c>
      <c r="AH768" s="22" t="str">
        <f aca="false">IF(P768&lt;&gt;A768,"Faixa cadastrada como "&amp;P768&amp;" na tabela; preço aplicado pela UF do CEP","")</f>
        <v/>
      </c>
      <c r="AI768" s="26" t="n">
        <v>273.56</v>
      </c>
      <c r="AJ768" s="22" t="str">
        <f aca="false">INDEX('Tabela Passaro'!$X$2:$X$1795,$N768)</f>
        <v>CAPITAL</v>
      </c>
    </row>
    <row r="769" customFormat="false" ht="15" hidden="false" customHeight="false" outlineLevel="0" collapsed="false">
      <c r="A769" s="22" t="s">
        <v>17</v>
      </c>
      <c r="B769" s="22" t="n">
        <v>1</v>
      </c>
      <c r="C769" s="22" t="s">
        <v>95</v>
      </c>
      <c r="D769" s="22" t="s">
        <v>30</v>
      </c>
      <c r="E769" s="22" t="s">
        <v>20</v>
      </c>
      <c r="F769" s="22" t="n">
        <v>839528</v>
      </c>
      <c r="G769" s="30" t="n">
        <v>46253</v>
      </c>
      <c r="H769" s="22" t="n">
        <v>32551</v>
      </c>
      <c r="I769" s="22" t="s">
        <v>8036</v>
      </c>
      <c r="J769" s="31" t="n">
        <v>21.55</v>
      </c>
      <c r="K769" s="26" t="n">
        <v>403.44</v>
      </c>
      <c r="L769" s="26" t="n">
        <v>113.93</v>
      </c>
      <c r="M769" s="22" t="s">
        <v>2349</v>
      </c>
      <c r="N769" s="22" t="n">
        <f aca="false">MATCH(M769,'Tabela Passaro'!$A$2:$A$1795,0)</f>
        <v>522</v>
      </c>
      <c r="O769" s="22" t="str">
        <f aca="false">INDEX('Tabela Passaro'!$C$2:$C$1795,$N769)</f>
        <v>FORTALEZA</v>
      </c>
      <c r="P769" s="22" t="str">
        <f aca="false">INDEX('Tabela Passaro'!$B$2:$B$1795,$N769)</f>
        <v>CE</v>
      </c>
      <c r="Q769" s="22" t="n">
        <f aca="false">INDEX('Tabela Passaro'!$F$2:$F$1795,$N769)</f>
        <v>8</v>
      </c>
      <c r="R769" s="32" t="n">
        <f aca="false">IF(J769&lt;=10,INDEX('Tabela Passaro'!$G$2:$G$1795,$N769),IF(J769&lt;=30,INDEX('Tabela Passaro'!$H$2:$H$1795,$N769),IF(J769&lt;=50,INDEX('Tabela Passaro'!$I$2:$I$1795,$N769),IF(J769&lt;=70,INDEX('Tabela Passaro'!$J$2:$J$1795,$N769),IF(J769&lt;=100,INDEX('Tabela Passaro'!$K$2:$K$1795,$N769),INDEX('Tabela Passaro'!$K$2:$K$1795,$N769)+(J769-100)*INDEX('Tabela Passaro'!$L$2:$L$1795,$N769))))))</f>
        <v>130.85</v>
      </c>
      <c r="S769" s="32" t="n">
        <f aca="false">K769*INDEX('Tabela Passaro'!$M$2:$M$1795,$N769)</f>
        <v>2.0172</v>
      </c>
      <c r="T769" s="32" t="n">
        <f aca="false">K769*INDEX('Tabela Passaro'!$N$2:$N$1795,$N769)</f>
        <v>0.80688</v>
      </c>
      <c r="U769" s="32" t="n">
        <f aca="false">INDEX('Tabela Passaro'!$O$2:$O$1795,$N769)</f>
        <v>5</v>
      </c>
      <c r="V769" s="32" t="n">
        <f aca="false">ROUNDUP(J769/INDEX('Tabela Passaro'!$Q$2:$Q$1795,$N769),0)*INDEX('Tabela Passaro'!$P$2:$P$1795,$N769)</f>
        <v>5</v>
      </c>
      <c r="W769" s="32" t="n">
        <f aca="false">INDEX('Tabela Passaro'!$R$2:$R$1795,$N769)</f>
        <v>30</v>
      </c>
      <c r="X769" s="32" t="n">
        <f aca="false">ROUNDUP(J769/INDEX('Tabela Passaro'!$T$2:$T$1795,$N769),0)*INDEX('Tabela Passaro'!$S$2:$S$1795,$N769)</f>
        <v>0</v>
      </c>
      <c r="Y769" s="32" t="n">
        <f aca="false">INDEX('Tabela Passaro'!$U$2:$U$1795,$N769)</f>
        <v>0</v>
      </c>
      <c r="Z769" s="32" t="n">
        <f aca="false">INDEX('Tabela Passaro'!$V$2:$V$1795,$N769)</f>
        <v>0</v>
      </c>
      <c r="AA769" s="32" t="n">
        <f aca="false">SUM(R769:Z769)</f>
        <v>173.67408</v>
      </c>
      <c r="AB769" s="33" t="n">
        <f aca="false">INDEX(Premissas!$B$5:$B$13,MATCH(A769,Premissas!$A$5:$A$13,0))</f>
        <v>0.07</v>
      </c>
      <c r="AC769" s="32" t="n">
        <f aca="false">AA769/(1-AB769)-AA769</f>
        <v>13.0722425806452</v>
      </c>
      <c r="AD769" s="32" t="n">
        <f aca="false">ROUND(AA769+AC769,2)</f>
        <v>186.75</v>
      </c>
      <c r="AE769" s="32" t="n">
        <f aca="false">AD769-L769</f>
        <v>72.82</v>
      </c>
      <c r="AF769" s="34" t="n">
        <f aca="false">IF(L769=0,0,AE769/L769)</f>
        <v>0.639164399192487</v>
      </c>
      <c r="AG769" s="22" t="str">
        <f aca="false">IF(AD769&lt;L769,"PASSARO","ATUAL")</f>
        <v>ATUAL</v>
      </c>
      <c r="AH769" s="22" t="str">
        <f aca="false">IF(P769&lt;&gt;A769,"Faixa cadastrada como "&amp;P769&amp;" na tabela; preço aplicado pela UF do CEP","")</f>
        <v/>
      </c>
      <c r="AI769" s="26" t="n">
        <v>211.04</v>
      </c>
      <c r="AJ769" s="22" t="str">
        <f aca="false">INDEX('Tabela Passaro'!$X$2:$X$1795,$N769)</f>
        <v>CAPITAL</v>
      </c>
    </row>
    <row r="770" customFormat="false" ht="15" hidden="false" customHeight="false" outlineLevel="0" collapsed="false">
      <c r="A770" s="22" t="s">
        <v>17</v>
      </c>
      <c r="B770" s="22" t="n">
        <v>1</v>
      </c>
      <c r="C770" s="22" t="s">
        <v>95</v>
      </c>
      <c r="D770" s="22" t="s">
        <v>30</v>
      </c>
      <c r="E770" s="22" t="s">
        <v>17</v>
      </c>
      <c r="F770" s="22" t="n">
        <v>239769</v>
      </c>
      <c r="G770" s="30" t="n">
        <v>46253</v>
      </c>
      <c r="H770" s="22" t="n">
        <v>131134</v>
      </c>
      <c r="I770" s="22" t="s">
        <v>8037</v>
      </c>
      <c r="J770" s="31" t="n">
        <v>78.69</v>
      </c>
      <c r="K770" s="26" t="n">
        <v>1258.49</v>
      </c>
      <c r="L770" s="26" t="n">
        <v>288.25</v>
      </c>
      <c r="M770" s="22" t="s">
        <v>2349</v>
      </c>
      <c r="N770" s="22" t="n">
        <f aca="false">MATCH(M770,'Tabela Passaro'!$A$2:$A$1795,0)</f>
        <v>522</v>
      </c>
      <c r="O770" s="22" t="str">
        <f aca="false">INDEX('Tabela Passaro'!$C$2:$C$1795,$N770)</f>
        <v>FORTALEZA</v>
      </c>
      <c r="P770" s="22" t="str">
        <f aca="false">INDEX('Tabela Passaro'!$B$2:$B$1795,$N770)</f>
        <v>CE</v>
      </c>
      <c r="Q770" s="22" t="n">
        <f aca="false">INDEX('Tabela Passaro'!$F$2:$F$1795,$N770)</f>
        <v>8</v>
      </c>
      <c r="R770" s="32" t="n">
        <f aca="false">IF(J770&lt;=10,INDEX('Tabela Passaro'!$G$2:$G$1795,$N770),IF(J770&lt;=30,INDEX('Tabela Passaro'!$H$2:$H$1795,$N770),IF(J770&lt;=50,INDEX('Tabela Passaro'!$I$2:$I$1795,$N770),IF(J770&lt;=70,INDEX('Tabela Passaro'!$J$2:$J$1795,$N770),IF(J770&lt;=100,INDEX('Tabela Passaro'!$K$2:$K$1795,$N770),INDEX('Tabela Passaro'!$K$2:$K$1795,$N770)+(J770-100)*INDEX('Tabela Passaro'!$L$2:$L$1795,$N770))))))</f>
        <v>186.18</v>
      </c>
      <c r="S770" s="32" t="n">
        <f aca="false">K770*INDEX('Tabela Passaro'!$M$2:$M$1795,$N770)</f>
        <v>6.29245</v>
      </c>
      <c r="T770" s="32" t="n">
        <f aca="false">K770*INDEX('Tabela Passaro'!$N$2:$N$1795,$N770)</f>
        <v>2.51698</v>
      </c>
      <c r="U770" s="32" t="n">
        <f aca="false">INDEX('Tabela Passaro'!$O$2:$O$1795,$N770)</f>
        <v>5</v>
      </c>
      <c r="V770" s="32" t="n">
        <f aca="false">ROUNDUP(J770/INDEX('Tabela Passaro'!$Q$2:$Q$1795,$N770),0)*INDEX('Tabela Passaro'!$P$2:$P$1795,$N770)</f>
        <v>5</v>
      </c>
      <c r="W770" s="32" t="n">
        <f aca="false">INDEX('Tabela Passaro'!$R$2:$R$1795,$N770)</f>
        <v>30</v>
      </c>
      <c r="X770" s="32" t="n">
        <f aca="false">ROUNDUP(J770/INDEX('Tabela Passaro'!$T$2:$T$1795,$N770),0)*INDEX('Tabela Passaro'!$S$2:$S$1795,$N770)</f>
        <v>0</v>
      </c>
      <c r="Y770" s="32" t="n">
        <f aca="false">INDEX('Tabela Passaro'!$U$2:$U$1795,$N770)</f>
        <v>0</v>
      </c>
      <c r="Z770" s="32" t="n">
        <f aca="false">INDEX('Tabela Passaro'!$V$2:$V$1795,$N770)</f>
        <v>0</v>
      </c>
      <c r="AA770" s="32" t="n">
        <f aca="false">SUM(R770:Z770)</f>
        <v>234.98943</v>
      </c>
      <c r="AB770" s="33" t="n">
        <f aca="false">INDEX(Premissas!$B$5:$B$13,MATCH(A770,Premissas!$A$5:$A$13,0))</f>
        <v>0.07</v>
      </c>
      <c r="AC770" s="32" t="n">
        <f aca="false">AA770/(1-AB770)-AA770</f>
        <v>17.6873764516129</v>
      </c>
      <c r="AD770" s="32" t="n">
        <f aca="false">ROUND(AA770+AC770,2)</f>
        <v>252.68</v>
      </c>
      <c r="AE770" s="32" t="n">
        <f aca="false">AD770-L770</f>
        <v>-35.57</v>
      </c>
      <c r="AF770" s="34" t="n">
        <f aca="false">IF(L770=0,0,AE770/L770)</f>
        <v>-0.123399826539462</v>
      </c>
      <c r="AG770" s="22" t="str">
        <f aca="false">IF(AD770&lt;L770,"PASSARO","ATUAL")</f>
        <v>PASSARO</v>
      </c>
      <c r="AH770" s="22" t="str">
        <f aca="false">IF(P770&lt;&gt;A770,"Faixa cadastrada como "&amp;P770&amp;" na tabela; preço aplicado pela UF do CEP","")</f>
        <v/>
      </c>
      <c r="AI770" s="26" t="n">
        <v>309.52</v>
      </c>
      <c r="AJ770" s="22" t="str">
        <f aca="false">INDEX('Tabela Passaro'!$X$2:$X$1795,$N770)</f>
        <v>CAPITAL</v>
      </c>
    </row>
    <row r="771" customFormat="false" ht="15" hidden="false" customHeight="false" outlineLevel="0" collapsed="false">
      <c r="A771" s="22" t="s">
        <v>17</v>
      </c>
      <c r="B771" s="22" t="n">
        <v>1</v>
      </c>
      <c r="C771" s="22" t="s">
        <v>95</v>
      </c>
      <c r="D771" s="22" t="s">
        <v>30</v>
      </c>
      <c r="E771" s="22" t="s">
        <v>7328</v>
      </c>
      <c r="F771" s="22" t="n">
        <v>2313786</v>
      </c>
      <c r="G771" s="30" t="n">
        <v>46253</v>
      </c>
      <c r="H771" s="22" t="n">
        <v>133878</v>
      </c>
      <c r="I771" s="22" t="s">
        <v>8038</v>
      </c>
      <c r="J771" s="31" t="n">
        <v>37.59</v>
      </c>
      <c r="K771" s="26" t="n">
        <v>586.4</v>
      </c>
      <c r="L771" s="26" t="n">
        <v>163.95</v>
      </c>
      <c r="M771" s="22" t="s">
        <v>2349</v>
      </c>
      <c r="N771" s="22" t="n">
        <f aca="false">MATCH(M771,'Tabela Passaro'!$A$2:$A$1795,0)</f>
        <v>522</v>
      </c>
      <c r="O771" s="22" t="str">
        <f aca="false">INDEX('Tabela Passaro'!$C$2:$C$1795,$N771)</f>
        <v>FORTALEZA</v>
      </c>
      <c r="P771" s="22" t="str">
        <f aca="false">INDEX('Tabela Passaro'!$B$2:$B$1795,$N771)</f>
        <v>CE</v>
      </c>
      <c r="Q771" s="22" t="n">
        <f aca="false">INDEX('Tabela Passaro'!$F$2:$F$1795,$N771)</f>
        <v>8</v>
      </c>
      <c r="R771" s="32" t="n">
        <f aca="false">IF(J771&lt;=10,INDEX('Tabela Passaro'!$G$2:$G$1795,$N771),IF(J771&lt;=30,INDEX('Tabela Passaro'!$H$2:$H$1795,$N771),IF(J771&lt;=50,INDEX('Tabela Passaro'!$I$2:$I$1795,$N771),IF(J771&lt;=70,INDEX('Tabela Passaro'!$J$2:$J$1795,$N771),IF(J771&lt;=100,INDEX('Tabela Passaro'!$K$2:$K$1795,$N771),INDEX('Tabela Passaro'!$K$2:$K$1795,$N771)+(J771-100)*INDEX('Tabela Passaro'!$L$2:$L$1795,$N771))))))</f>
        <v>152.98</v>
      </c>
      <c r="S771" s="32" t="n">
        <f aca="false">K771*INDEX('Tabela Passaro'!$M$2:$M$1795,$N771)</f>
        <v>2.932</v>
      </c>
      <c r="T771" s="32" t="n">
        <f aca="false">K771*INDEX('Tabela Passaro'!$N$2:$N$1795,$N771)</f>
        <v>1.1728</v>
      </c>
      <c r="U771" s="32" t="n">
        <f aca="false">INDEX('Tabela Passaro'!$O$2:$O$1795,$N771)</f>
        <v>5</v>
      </c>
      <c r="V771" s="32" t="n">
        <f aca="false">ROUNDUP(J771/INDEX('Tabela Passaro'!$Q$2:$Q$1795,$N771),0)*INDEX('Tabela Passaro'!$P$2:$P$1795,$N771)</f>
        <v>5</v>
      </c>
      <c r="W771" s="32" t="n">
        <f aca="false">INDEX('Tabela Passaro'!$R$2:$R$1795,$N771)</f>
        <v>30</v>
      </c>
      <c r="X771" s="32" t="n">
        <f aca="false">ROUNDUP(J771/INDEX('Tabela Passaro'!$T$2:$T$1795,$N771),0)*INDEX('Tabela Passaro'!$S$2:$S$1795,$N771)</f>
        <v>0</v>
      </c>
      <c r="Y771" s="32" t="n">
        <f aca="false">INDEX('Tabela Passaro'!$U$2:$U$1795,$N771)</f>
        <v>0</v>
      </c>
      <c r="Z771" s="32" t="n">
        <f aca="false">INDEX('Tabela Passaro'!$V$2:$V$1795,$N771)</f>
        <v>0</v>
      </c>
      <c r="AA771" s="32" t="n">
        <f aca="false">SUM(R771:Z771)</f>
        <v>197.0848</v>
      </c>
      <c r="AB771" s="33" t="n">
        <f aca="false">INDEX(Premissas!$B$5:$B$13,MATCH(A771,Premissas!$A$5:$A$13,0))</f>
        <v>0.07</v>
      </c>
      <c r="AC771" s="32" t="n">
        <f aca="false">AA771/(1-AB771)-AA771</f>
        <v>14.8343397849463</v>
      </c>
      <c r="AD771" s="32" t="n">
        <f aca="false">ROUND(AA771+AC771,2)</f>
        <v>211.92</v>
      </c>
      <c r="AE771" s="32" t="n">
        <f aca="false">AD771-L771</f>
        <v>47.97</v>
      </c>
      <c r="AF771" s="34" t="n">
        <f aca="false">IF(L771=0,0,AE771/L771)</f>
        <v>0.292589204025618</v>
      </c>
      <c r="AG771" s="22" t="str">
        <f aca="false">IF(AD771&lt;L771,"PASSARO","ATUAL")</f>
        <v>ATUAL</v>
      </c>
      <c r="AH771" s="22" t="str">
        <f aca="false">IF(P771&lt;&gt;A771,"Faixa cadastrada como "&amp;P771&amp;" na tabela; preço aplicado pela UF do CEP","")</f>
        <v/>
      </c>
      <c r="AI771" s="26" t="n">
        <v>245.6</v>
      </c>
      <c r="AJ771" s="22" t="str">
        <f aca="false">INDEX('Tabela Passaro'!$X$2:$X$1795,$N771)</f>
        <v>CAPITAL</v>
      </c>
    </row>
    <row r="772" customFormat="false" ht="15" hidden="false" customHeight="false" outlineLevel="0" collapsed="false">
      <c r="A772" s="22" t="s">
        <v>17</v>
      </c>
      <c r="B772" s="22" t="n">
        <v>1</v>
      </c>
      <c r="C772" s="22" t="s">
        <v>95</v>
      </c>
      <c r="D772" s="22" t="s">
        <v>30</v>
      </c>
      <c r="E772" s="22" t="s">
        <v>7328</v>
      </c>
      <c r="F772" s="22" t="n">
        <v>2313816</v>
      </c>
      <c r="G772" s="30" t="n">
        <v>46253</v>
      </c>
      <c r="H772" s="22" t="n">
        <v>133908</v>
      </c>
      <c r="I772" s="22" t="s">
        <v>8039</v>
      </c>
      <c r="J772" s="31" t="n">
        <v>33</v>
      </c>
      <c r="K772" s="26" t="n">
        <v>678.69</v>
      </c>
      <c r="L772" s="26" t="n">
        <v>164.67</v>
      </c>
      <c r="M772" s="22" t="s">
        <v>2349</v>
      </c>
      <c r="N772" s="22" t="n">
        <f aca="false">MATCH(M772,'Tabela Passaro'!$A$2:$A$1795,0)</f>
        <v>522</v>
      </c>
      <c r="O772" s="22" t="str">
        <f aca="false">INDEX('Tabela Passaro'!$C$2:$C$1795,$N772)</f>
        <v>FORTALEZA</v>
      </c>
      <c r="P772" s="22" t="str">
        <f aca="false">INDEX('Tabela Passaro'!$B$2:$B$1795,$N772)</f>
        <v>CE</v>
      </c>
      <c r="Q772" s="22" t="n">
        <f aca="false">INDEX('Tabela Passaro'!$F$2:$F$1795,$N772)</f>
        <v>8</v>
      </c>
      <c r="R772" s="32" t="n">
        <f aca="false">IF(J772&lt;=10,INDEX('Tabela Passaro'!$G$2:$G$1795,$N772),IF(J772&lt;=30,INDEX('Tabela Passaro'!$H$2:$H$1795,$N772),IF(J772&lt;=50,INDEX('Tabela Passaro'!$I$2:$I$1795,$N772),IF(J772&lt;=70,INDEX('Tabela Passaro'!$J$2:$J$1795,$N772),IF(J772&lt;=100,INDEX('Tabela Passaro'!$K$2:$K$1795,$N772),INDEX('Tabela Passaro'!$K$2:$K$1795,$N772)+(J772-100)*INDEX('Tabela Passaro'!$L$2:$L$1795,$N772))))))</f>
        <v>152.98</v>
      </c>
      <c r="S772" s="32" t="n">
        <f aca="false">K772*INDEX('Tabela Passaro'!$M$2:$M$1795,$N772)</f>
        <v>3.39345</v>
      </c>
      <c r="T772" s="32" t="n">
        <f aca="false">K772*INDEX('Tabela Passaro'!$N$2:$N$1795,$N772)</f>
        <v>1.35738</v>
      </c>
      <c r="U772" s="32" t="n">
        <f aca="false">INDEX('Tabela Passaro'!$O$2:$O$1795,$N772)</f>
        <v>5</v>
      </c>
      <c r="V772" s="32" t="n">
        <f aca="false">ROUNDUP(J772/INDEX('Tabela Passaro'!$Q$2:$Q$1795,$N772),0)*INDEX('Tabela Passaro'!$P$2:$P$1795,$N772)</f>
        <v>5</v>
      </c>
      <c r="W772" s="32" t="n">
        <f aca="false">INDEX('Tabela Passaro'!$R$2:$R$1795,$N772)</f>
        <v>30</v>
      </c>
      <c r="X772" s="32" t="n">
        <f aca="false">ROUNDUP(J772/INDEX('Tabela Passaro'!$T$2:$T$1795,$N772),0)*INDEX('Tabela Passaro'!$S$2:$S$1795,$N772)</f>
        <v>0</v>
      </c>
      <c r="Y772" s="32" t="n">
        <f aca="false">INDEX('Tabela Passaro'!$U$2:$U$1795,$N772)</f>
        <v>0</v>
      </c>
      <c r="Z772" s="32" t="n">
        <f aca="false">INDEX('Tabela Passaro'!$V$2:$V$1795,$N772)</f>
        <v>0</v>
      </c>
      <c r="AA772" s="32" t="n">
        <f aca="false">SUM(R772:Z772)</f>
        <v>197.73083</v>
      </c>
      <c r="AB772" s="33" t="n">
        <f aca="false">INDEX(Premissas!$B$5:$B$13,MATCH(A772,Premissas!$A$5:$A$13,0))</f>
        <v>0.07</v>
      </c>
      <c r="AC772" s="32" t="n">
        <f aca="false">AA772/(1-AB772)-AA772</f>
        <v>14.8829656989248</v>
      </c>
      <c r="AD772" s="32" t="n">
        <f aca="false">ROUND(AA772+AC772,2)</f>
        <v>212.61</v>
      </c>
      <c r="AE772" s="32" t="n">
        <f aca="false">AD772-L772</f>
        <v>47.94</v>
      </c>
      <c r="AF772" s="34" t="n">
        <f aca="false">IF(L772=0,0,AE772/L772)</f>
        <v>0.291127709965386</v>
      </c>
      <c r="AG772" s="22" t="str">
        <f aca="false">IF(AD772&lt;L772,"PASSARO","ATUAL")</f>
        <v>ATUAL</v>
      </c>
      <c r="AH772" s="22" t="str">
        <f aca="false">IF(P772&lt;&gt;A772,"Faixa cadastrada como "&amp;P772&amp;" na tabela; preço aplicado pela UF do CEP","")</f>
        <v/>
      </c>
      <c r="AI772" s="26" t="n">
        <v>244.07</v>
      </c>
      <c r="AJ772" s="22" t="str">
        <f aca="false">INDEX('Tabela Passaro'!$X$2:$X$1795,$N772)</f>
        <v>CAPITAL</v>
      </c>
    </row>
    <row r="773" customFormat="false" ht="15" hidden="false" customHeight="false" outlineLevel="0" collapsed="false">
      <c r="A773" s="22" t="s">
        <v>17</v>
      </c>
      <c r="B773" s="22" t="n">
        <v>1</v>
      </c>
      <c r="C773" s="22" t="s">
        <v>95</v>
      </c>
      <c r="D773" s="22" t="s">
        <v>30</v>
      </c>
      <c r="E773" s="22" t="s">
        <v>7328</v>
      </c>
      <c r="F773" s="22" t="n">
        <v>2313818</v>
      </c>
      <c r="G773" s="30" t="n">
        <v>46253</v>
      </c>
      <c r="H773" s="22" t="n">
        <v>133910</v>
      </c>
      <c r="I773" s="22" t="s">
        <v>8040</v>
      </c>
      <c r="J773" s="31" t="n">
        <v>45.4</v>
      </c>
      <c r="K773" s="26" t="n">
        <v>647.48</v>
      </c>
      <c r="L773" s="26" t="n">
        <v>164.43</v>
      </c>
      <c r="M773" s="22" t="s">
        <v>2349</v>
      </c>
      <c r="N773" s="22" t="n">
        <f aca="false">MATCH(M773,'Tabela Passaro'!$A$2:$A$1795,0)</f>
        <v>522</v>
      </c>
      <c r="O773" s="22" t="str">
        <f aca="false">INDEX('Tabela Passaro'!$C$2:$C$1795,$N773)</f>
        <v>FORTALEZA</v>
      </c>
      <c r="P773" s="22" t="str">
        <f aca="false">INDEX('Tabela Passaro'!$B$2:$B$1795,$N773)</f>
        <v>CE</v>
      </c>
      <c r="Q773" s="22" t="n">
        <f aca="false">INDEX('Tabela Passaro'!$F$2:$F$1795,$N773)</f>
        <v>8</v>
      </c>
      <c r="R773" s="32" t="n">
        <f aca="false">IF(J773&lt;=10,INDEX('Tabela Passaro'!$G$2:$G$1795,$N773),IF(J773&lt;=30,INDEX('Tabela Passaro'!$H$2:$H$1795,$N773),IF(J773&lt;=50,INDEX('Tabela Passaro'!$I$2:$I$1795,$N773),IF(J773&lt;=70,INDEX('Tabela Passaro'!$J$2:$J$1795,$N773),IF(J773&lt;=100,INDEX('Tabela Passaro'!$K$2:$K$1795,$N773),INDEX('Tabela Passaro'!$K$2:$K$1795,$N773)+(J773-100)*INDEX('Tabela Passaro'!$L$2:$L$1795,$N773))))))</f>
        <v>152.98</v>
      </c>
      <c r="S773" s="32" t="n">
        <f aca="false">K773*INDEX('Tabela Passaro'!$M$2:$M$1795,$N773)</f>
        <v>3.2374</v>
      </c>
      <c r="T773" s="32" t="n">
        <f aca="false">K773*INDEX('Tabela Passaro'!$N$2:$N$1795,$N773)</f>
        <v>1.29496</v>
      </c>
      <c r="U773" s="32" t="n">
        <f aca="false">INDEX('Tabela Passaro'!$O$2:$O$1795,$N773)</f>
        <v>5</v>
      </c>
      <c r="V773" s="32" t="n">
        <f aca="false">ROUNDUP(J773/INDEX('Tabela Passaro'!$Q$2:$Q$1795,$N773),0)*INDEX('Tabela Passaro'!$P$2:$P$1795,$N773)</f>
        <v>5</v>
      </c>
      <c r="W773" s="32" t="n">
        <f aca="false">INDEX('Tabela Passaro'!$R$2:$R$1795,$N773)</f>
        <v>30</v>
      </c>
      <c r="X773" s="32" t="n">
        <f aca="false">ROUNDUP(J773/INDEX('Tabela Passaro'!$T$2:$T$1795,$N773),0)*INDEX('Tabela Passaro'!$S$2:$S$1795,$N773)</f>
        <v>0</v>
      </c>
      <c r="Y773" s="32" t="n">
        <f aca="false">INDEX('Tabela Passaro'!$U$2:$U$1795,$N773)</f>
        <v>0</v>
      </c>
      <c r="Z773" s="32" t="n">
        <f aca="false">INDEX('Tabela Passaro'!$V$2:$V$1795,$N773)</f>
        <v>0</v>
      </c>
      <c r="AA773" s="32" t="n">
        <f aca="false">SUM(R773:Z773)</f>
        <v>197.51236</v>
      </c>
      <c r="AB773" s="33" t="n">
        <f aca="false">INDEX(Premissas!$B$5:$B$13,MATCH(A773,Premissas!$A$5:$A$13,0))</f>
        <v>0.07</v>
      </c>
      <c r="AC773" s="32" t="n">
        <f aca="false">AA773/(1-AB773)-AA773</f>
        <v>14.8665217204301</v>
      </c>
      <c r="AD773" s="32" t="n">
        <f aca="false">ROUND(AA773+AC773,2)</f>
        <v>212.38</v>
      </c>
      <c r="AE773" s="32" t="n">
        <f aca="false">AD773-L773</f>
        <v>47.95</v>
      </c>
      <c r="AF773" s="34" t="n">
        <f aca="false">IF(L773=0,0,AE773/L773)</f>
        <v>0.291613452532993</v>
      </c>
      <c r="AG773" s="22" t="str">
        <f aca="false">IF(AD773&lt;L773,"PASSARO","ATUAL")</f>
        <v>ATUAL</v>
      </c>
      <c r="AH773" s="22" t="str">
        <f aca="false">IF(P773&lt;&gt;A773,"Faixa cadastrada como "&amp;P773&amp;" na tabela; preço aplicado pela UF do CEP","")</f>
        <v/>
      </c>
      <c r="AI773" s="26" t="n">
        <v>250.06</v>
      </c>
      <c r="AJ773" s="22" t="str">
        <f aca="false">INDEX('Tabela Passaro'!$X$2:$X$1795,$N773)</f>
        <v>CAPITAL</v>
      </c>
    </row>
    <row r="774" customFormat="false" ht="15" hidden="false" customHeight="false" outlineLevel="0" collapsed="false">
      <c r="A774" s="22" t="s">
        <v>17</v>
      </c>
      <c r="B774" s="22" t="n">
        <v>1</v>
      </c>
      <c r="C774" s="22" t="s">
        <v>95</v>
      </c>
      <c r="D774" s="22" t="s">
        <v>30</v>
      </c>
      <c r="E774" s="22" t="s">
        <v>7326</v>
      </c>
      <c r="F774" s="22" t="n">
        <v>526060</v>
      </c>
      <c r="G774" s="30" t="n">
        <v>46253</v>
      </c>
      <c r="H774" s="22" t="n">
        <v>625913</v>
      </c>
      <c r="I774" s="22" t="s">
        <v>8041</v>
      </c>
      <c r="J774" s="31" t="n">
        <v>67.8</v>
      </c>
      <c r="K774" s="26" t="n">
        <v>1166.99</v>
      </c>
      <c r="L774" s="26" t="n">
        <v>233.41</v>
      </c>
      <c r="M774" s="22" t="s">
        <v>2349</v>
      </c>
      <c r="N774" s="22" t="n">
        <f aca="false">MATCH(M774,'Tabela Passaro'!$A$2:$A$1795,0)</f>
        <v>522</v>
      </c>
      <c r="O774" s="22" t="str">
        <f aca="false">INDEX('Tabela Passaro'!$C$2:$C$1795,$N774)</f>
        <v>FORTALEZA</v>
      </c>
      <c r="P774" s="22" t="str">
        <f aca="false">INDEX('Tabela Passaro'!$B$2:$B$1795,$N774)</f>
        <v>CE</v>
      </c>
      <c r="Q774" s="22" t="n">
        <f aca="false">INDEX('Tabela Passaro'!$F$2:$F$1795,$N774)</f>
        <v>8</v>
      </c>
      <c r="R774" s="32" t="n">
        <f aca="false">IF(J774&lt;=10,INDEX('Tabela Passaro'!$G$2:$G$1795,$N774),IF(J774&lt;=30,INDEX('Tabela Passaro'!$H$2:$H$1795,$N774),IF(J774&lt;=50,INDEX('Tabela Passaro'!$I$2:$I$1795,$N774),IF(J774&lt;=70,INDEX('Tabela Passaro'!$J$2:$J$1795,$N774),IF(J774&lt;=100,INDEX('Tabela Passaro'!$K$2:$K$1795,$N774),INDEX('Tabela Passaro'!$K$2:$K$1795,$N774)+(J774-100)*INDEX('Tabela Passaro'!$L$2:$L$1795,$N774))))))</f>
        <v>169.58</v>
      </c>
      <c r="S774" s="32" t="n">
        <f aca="false">K774*INDEX('Tabela Passaro'!$M$2:$M$1795,$N774)</f>
        <v>5.83495</v>
      </c>
      <c r="T774" s="32" t="n">
        <f aca="false">K774*INDEX('Tabela Passaro'!$N$2:$N$1795,$N774)</f>
        <v>2.33398</v>
      </c>
      <c r="U774" s="32" t="n">
        <f aca="false">INDEX('Tabela Passaro'!$O$2:$O$1795,$N774)</f>
        <v>5</v>
      </c>
      <c r="V774" s="32" t="n">
        <f aca="false">ROUNDUP(J774/INDEX('Tabela Passaro'!$Q$2:$Q$1795,$N774),0)*INDEX('Tabela Passaro'!$P$2:$P$1795,$N774)</f>
        <v>5</v>
      </c>
      <c r="W774" s="32" t="n">
        <f aca="false">INDEX('Tabela Passaro'!$R$2:$R$1795,$N774)</f>
        <v>30</v>
      </c>
      <c r="X774" s="32" t="n">
        <f aca="false">ROUNDUP(J774/INDEX('Tabela Passaro'!$T$2:$T$1795,$N774),0)*INDEX('Tabela Passaro'!$S$2:$S$1795,$N774)</f>
        <v>0</v>
      </c>
      <c r="Y774" s="32" t="n">
        <f aca="false">INDEX('Tabela Passaro'!$U$2:$U$1795,$N774)</f>
        <v>0</v>
      </c>
      <c r="Z774" s="32" t="n">
        <f aca="false">INDEX('Tabela Passaro'!$V$2:$V$1795,$N774)</f>
        <v>0</v>
      </c>
      <c r="AA774" s="32" t="n">
        <f aca="false">SUM(R774:Z774)</f>
        <v>217.74893</v>
      </c>
      <c r="AB774" s="33" t="n">
        <f aca="false">INDEX(Premissas!$B$5:$B$13,MATCH(A774,Premissas!$A$5:$A$13,0))</f>
        <v>0.07</v>
      </c>
      <c r="AC774" s="32" t="n">
        <f aca="false">AA774/(1-AB774)-AA774</f>
        <v>16.3897044086022</v>
      </c>
      <c r="AD774" s="32" t="n">
        <f aca="false">ROUND(AA774+AC774,2)</f>
        <v>234.14</v>
      </c>
      <c r="AE774" s="32" t="n">
        <f aca="false">AD774-L774</f>
        <v>0.72999999999999</v>
      </c>
      <c r="AF774" s="34" t="n">
        <f aca="false">IF(L774=0,0,AE774/L774)</f>
        <v>0.00312754380703479</v>
      </c>
      <c r="AG774" s="22" t="str">
        <f aca="false">IF(AD774&lt;L774,"PASSARO","ATUAL")</f>
        <v>ATUAL</v>
      </c>
      <c r="AH774" s="22" t="str">
        <f aca="false">IF(P774&lt;&gt;A774,"Faixa cadastrada como "&amp;P774&amp;" na tabela; preço aplicado pela UF do CEP","")</f>
        <v/>
      </c>
      <c r="AI774" s="26" t="n">
        <v>284.53</v>
      </c>
      <c r="AJ774" s="22" t="str">
        <f aca="false">INDEX('Tabela Passaro'!$X$2:$X$1795,$N774)</f>
        <v>CAPITAL</v>
      </c>
    </row>
    <row r="775" customFormat="false" ht="15" hidden="false" customHeight="false" outlineLevel="0" collapsed="false">
      <c r="A775" s="22" t="s">
        <v>17</v>
      </c>
      <c r="B775" s="22" t="n">
        <v>1</v>
      </c>
      <c r="C775" s="22" t="s">
        <v>95</v>
      </c>
      <c r="D775" s="22" t="s">
        <v>30</v>
      </c>
      <c r="E775" s="22" t="s">
        <v>7326</v>
      </c>
      <c r="F775" s="22" t="n">
        <v>526072</v>
      </c>
      <c r="G775" s="30" t="n">
        <v>46253</v>
      </c>
      <c r="H775" s="22" t="n">
        <v>625924</v>
      </c>
      <c r="I775" s="22" t="s">
        <v>8042</v>
      </c>
      <c r="J775" s="31" t="n">
        <v>33</v>
      </c>
      <c r="K775" s="26" t="n">
        <v>567.26</v>
      </c>
      <c r="L775" s="26" t="n">
        <v>185.2</v>
      </c>
      <c r="M775" s="22" t="s">
        <v>2349</v>
      </c>
      <c r="N775" s="22" t="n">
        <f aca="false">MATCH(M775,'Tabela Passaro'!$A$2:$A$1795,0)</f>
        <v>522</v>
      </c>
      <c r="O775" s="22" t="str">
        <f aca="false">INDEX('Tabela Passaro'!$C$2:$C$1795,$N775)</f>
        <v>FORTALEZA</v>
      </c>
      <c r="P775" s="22" t="str">
        <f aca="false">INDEX('Tabela Passaro'!$B$2:$B$1795,$N775)</f>
        <v>CE</v>
      </c>
      <c r="Q775" s="22" t="n">
        <f aca="false">INDEX('Tabela Passaro'!$F$2:$F$1795,$N775)</f>
        <v>8</v>
      </c>
      <c r="R775" s="32" t="n">
        <f aca="false">IF(J775&lt;=10,INDEX('Tabela Passaro'!$G$2:$G$1795,$N775),IF(J775&lt;=30,INDEX('Tabela Passaro'!$H$2:$H$1795,$N775),IF(J775&lt;=50,INDEX('Tabela Passaro'!$I$2:$I$1795,$N775),IF(J775&lt;=70,INDEX('Tabela Passaro'!$J$2:$J$1795,$N775),IF(J775&lt;=100,INDEX('Tabela Passaro'!$K$2:$K$1795,$N775),INDEX('Tabela Passaro'!$K$2:$K$1795,$N775)+(J775-100)*INDEX('Tabela Passaro'!$L$2:$L$1795,$N775))))))</f>
        <v>152.98</v>
      </c>
      <c r="S775" s="32" t="n">
        <f aca="false">K775*INDEX('Tabela Passaro'!$M$2:$M$1795,$N775)</f>
        <v>2.8363</v>
      </c>
      <c r="T775" s="32" t="n">
        <f aca="false">K775*INDEX('Tabela Passaro'!$N$2:$N$1795,$N775)</f>
        <v>1.13452</v>
      </c>
      <c r="U775" s="32" t="n">
        <f aca="false">INDEX('Tabela Passaro'!$O$2:$O$1795,$N775)</f>
        <v>5</v>
      </c>
      <c r="V775" s="32" t="n">
        <f aca="false">ROUNDUP(J775/INDEX('Tabela Passaro'!$Q$2:$Q$1795,$N775),0)*INDEX('Tabela Passaro'!$P$2:$P$1795,$N775)</f>
        <v>5</v>
      </c>
      <c r="W775" s="32" t="n">
        <f aca="false">INDEX('Tabela Passaro'!$R$2:$R$1795,$N775)</f>
        <v>30</v>
      </c>
      <c r="X775" s="32" t="n">
        <f aca="false">ROUNDUP(J775/INDEX('Tabela Passaro'!$T$2:$T$1795,$N775),0)*INDEX('Tabela Passaro'!$S$2:$S$1795,$N775)</f>
        <v>0</v>
      </c>
      <c r="Y775" s="32" t="n">
        <f aca="false">INDEX('Tabela Passaro'!$U$2:$U$1795,$N775)</f>
        <v>0</v>
      </c>
      <c r="Z775" s="32" t="n">
        <f aca="false">INDEX('Tabela Passaro'!$V$2:$V$1795,$N775)</f>
        <v>0</v>
      </c>
      <c r="AA775" s="32" t="n">
        <f aca="false">SUM(R775:Z775)</f>
        <v>196.95082</v>
      </c>
      <c r="AB775" s="33" t="n">
        <f aca="false">INDEX(Premissas!$B$5:$B$13,MATCH(A775,Premissas!$A$5:$A$13,0))</f>
        <v>0.07</v>
      </c>
      <c r="AC775" s="32" t="n">
        <f aca="false">AA775/(1-AB775)-AA775</f>
        <v>14.8242552688172</v>
      </c>
      <c r="AD775" s="32" t="n">
        <f aca="false">ROUND(AA775+AC775,2)</f>
        <v>211.78</v>
      </c>
      <c r="AE775" s="32" t="n">
        <f aca="false">AD775-L775</f>
        <v>26.58</v>
      </c>
      <c r="AF775" s="34" t="n">
        <f aca="false">IF(L775=0,0,AE775/L775)</f>
        <v>0.143520518358531</v>
      </c>
      <c r="AG775" s="22" t="str">
        <f aca="false">IF(AD775&lt;L775,"PASSARO","ATUAL")</f>
        <v>ATUAL</v>
      </c>
      <c r="AH775" s="22" t="str">
        <f aca="false">IF(P775&lt;&gt;A775,"Faixa cadastrada como "&amp;P775&amp;" na tabela; preço aplicado pela UF do CEP","")</f>
        <v/>
      </c>
      <c r="AI775" s="26" t="n">
        <v>242.99</v>
      </c>
      <c r="AJ775" s="22" t="str">
        <f aca="false">INDEX('Tabela Passaro'!$X$2:$X$1795,$N775)</f>
        <v>CAPITAL</v>
      </c>
    </row>
    <row r="776" customFormat="false" ht="15" hidden="false" customHeight="false" outlineLevel="0" collapsed="false">
      <c r="A776" s="22" t="s">
        <v>17</v>
      </c>
      <c r="B776" s="22" t="n">
        <v>1</v>
      </c>
      <c r="C776" s="22" t="s">
        <v>95</v>
      </c>
      <c r="D776" s="22" t="s">
        <v>30</v>
      </c>
      <c r="E776" s="22" t="s">
        <v>7326</v>
      </c>
      <c r="F776" s="22" t="n">
        <v>526048</v>
      </c>
      <c r="G776" s="30" t="n">
        <v>46253</v>
      </c>
      <c r="H776" s="22" t="n">
        <v>625935</v>
      </c>
      <c r="I776" s="22" t="s">
        <v>8043</v>
      </c>
      <c r="J776" s="31" t="n">
        <v>33</v>
      </c>
      <c r="K776" s="26" t="n">
        <v>588.84</v>
      </c>
      <c r="L776" s="26" t="n">
        <v>185.38</v>
      </c>
      <c r="M776" s="22" t="s">
        <v>2349</v>
      </c>
      <c r="N776" s="22" t="n">
        <f aca="false">MATCH(M776,'Tabela Passaro'!$A$2:$A$1795,0)</f>
        <v>522</v>
      </c>
      <c r="O776" s="22" t="str">
        <f aca="false">INDEX('Tabela Passaro'!$C$2:$C$1795,$N776)</f>
        <v>FORTALEZA</v>
      </c>
      <c r="P776" s="22" t="str">
        <f aca="false">INDEX('Tabela Passaro'!$B$2:$B$1795,$N776)</f>
        <v>CE</v>
      </c>
      <c r="Q776" s="22" t="n">
        <f aca="false">INDEX('Tabela Passaro'!$F$2:$F$1795,$N776)</f>
        <v>8</v>
      </c>
      <c r="R776" s="32" t="n">
        <f aca="false">IF(J776&lt;=10,INDEX('Tabela Passaro'!$G$2:$G$1795,$N776),IF(J776&lt;=30,INDEX('Tabela Passaro'!$H$2:$H$1795,$N776),IF(J776&lt;=50,INDEX('Tabela Passaro'!$I$2:$I$1795,$N776),IF(J776&lt;=70,INDEX('Tabela Passaro'!$J$2:$J$1795,$N776),IF(J776&lt;=100,INDEX('Tabela Passaro'!$K$2:$K$1795,$N776),INDEX('Tabela Passaro'!$K$2:$K$1795,$N776)+(J776-100)*INDEX('Tabela Passaro'!$L$2:$L$1795,$N776))))))</f>
        <v>152.98</v>
      </c>
      <c r="S776" s="32" t="n">
        <f aca="false">K776*INDEX('Tabela Passaro'!$M$2:$M$1795,$N776)</f>
        <v>2.9442</v>
      </c>
      <c r="T776" s="32" t="n">
        <f aca="false">K776*INDEX('Tabela Passaro'!$N$2:$N$1795,$N776)</f>
        <v>1.17768</v>
      </c>
      <c r="U776" s="32" t="n">
        <f aca="false">INDEX('Tabela Passaro'!$O$2:$O$1795,$N776)</f>
        <v>5</v>
      </c>
      <c r="V776" s="32" t="n">
        <f aca="false">ROUNDUP(J776/INDEX('Tabela Passaro'!$Q$2:$Q$1795,$N776),0)*INDEX('Tabela Passaro'!$P$2:$P$1795,$N776)</f>
        <v>5</v>
      </c>
      <c r="W776" s="32" t="n">
        <f aca="false">INDEX('Tabela Passaro'!$R$2:$R$1795,$N776)</f>
        <v>30</v>
      </c>
      <c r="X776" s="32" t="n">
        <f aca="false">ROUNDUP(J776/INDEX('Tabela Passaro'!$T$2:$T$1795,$N776),0)*INDEX('Tabela Passaro'!$S$2:$S$1795,$N776)</f>
        <v>0</v>
      </c>
      <c r="Y776" s="32" t="n">
        <f aca="false">INDEX('Tabela Passaro'!$U$2:$U$1795,$N776)</f>
        <v>0</v>
      </c>
      <c r="Z776" s="32" t="n">
        <f aca="false">INDEX('Tabela Passaro'!$V$2:$V$1795,$N776)</f>
        <v>0</v>
      </c>
      <c r="AA776" s="32" t="n">
        <f aca="false">SUM(R776:Z776)</f>
        <v>197.10188</v>
      </c>
      <c r="AB776" s="33" t="n">
        <f aca="false">INDEX(Premissas!$B$5:$B$13,MATCH(A776,Premissas!$A$5:$A$13,0))</f>
        <v>0.07</v>
      </c>
      <c r="AC776" s="32" t="n">
        <f aca="false">AA776/(1-AB776)-AA776</f>
        <v>14.8356253763441</v>
      </c>
      <c r="AD776" s="32" t="n">
        <f aca="false">ROUND(AA776+AC776,2)</f>
        <v>211.94</v>
      </c>
      <c r="AE776" s="32" t="n">
        <f aca="false">AD776-L776</f>
        <v>26.56</v>
      </c>
      <c r="AF776" s="34" t="n">
        <f aca="false">IF(L776=0,0,AE776/L776)</f>
        <v>0.143273276513108</v>
      </c>
      <c r="AG776" s="22" t="str">
        <f aca="false">IF(AD776&lt;L776,"PASSARO","ATUAL")</f>
        <v>ATUAL</v>
      </c>
      <c r="AH776" s="22" t="str">
        <f aca="false">IF(P776&lt;&gt;A776,"Faixa cadastrada como "&amp;P776&amp;" na tabela; preço aplicado pela UF do CEP","")</f>
        <v/>
      </c>
      <c r="AI776" s="26" t="n">
        <v>243.2</v>
      </c>
      <c r="AJ776" s="22" t="str">
        <f aca="false">INDEX('Tabela Passaro'!$X$2:$X$1795,$N776)</f>
        <v>CAPITAL</v>
      </c>
    </row>
    <row r="777" customFormat="false" ht="15" hidden="false" customHeight="false" outlineLevel="0" collapsed="false">
      <c r="A777" s="22" t="s">
        <v>17</v>
      </c>
      <c r="B777" s="22" t="n">
        <v>1</v>
      </c>
      <c r="C777" s="22" t="s">
        <v>95</v>
      </c>
      <c r="D777" s="22" t="s">
        <v>30</v>
      </c>
      <c r="E777" s="22" t="s">
        <v>7326</v>
      </c>
      <c r="F777" s="22" t="n">
        <v>526050</v>
      </c>
      <c r="G777" s="30" t="n">
        <v>46253</v>
      </c>
      <c r="H777" s="22" t="n">
        <v>626563</v>
      </c>
      <c r="I777" s="22" t="s">
        <v>8044</v>
      </c>
      <c r="J777" s="31" t="n">
        <v>124.2</v>
      </c>
      <c r="K777" s="26" t="n">
        <v>2066.02</v>
      </c>
      <c r="L777" s="26" t="n">
        <v>393.41</v>
      </c>
      <c r="M777" s="22" t="s">
        <v>2349</v>
      </c>
      <c r="N777" s="22" t="n">
        <f aca="false">MATCH(M777,'Tabela Passaro'!$A$2:$A$1795,0)</f>
        <v>522</v>
      </c>
      <c r="O777" s="22" t="str">
        <f aca="false">INDEX('Tabela Passaro'!$C$2:$C$1795,$N777)</f>
        <v>FORTALEZA</v>
      </c>
      <c r="P777" s="22" t="str">
        <f aca="false">INDEX('Tabela Passaro'!$B$2:$B$1795,$N777)</f>
        <v>CE</v>
      </c>
      <c r="Q777" s="22" t="n">
        <f aca="false">INDEX('Tabela Passaro'!$F$2:$F$1795,$N777)</f>
        <v>8</v>
      </c>
      <c r="R777" s="32" t="n">
        <f aca="false">IF(J777&lt;=10,INDEX('Tabela Passaro'!$G$2:$G$1795,$N777),IF(J777&lt;=30,INDEX('Tabela Passaro'!$H$2:$H$1795,$N777),IF(J777&lt;=50,INDEX('Tabela Passaro'!$I$2:$I$1795,$N777),IF(J777&lt;=70,INDEX('Tabela Passaro'!$J$2:$J$1795,$N777),IF(J777&lt;=100,INDEX('Tabela Passaro'!$K$2:$K$1795,$N777),INDEX('Tabela Passaro'!$K$2:$K$1795,$N777)+(J777-100)*INDEX('Tabela Passaro'!$L$2:$L$1795,$N777))))))</f>
        <v>227.32</v>
      </c>
      <c r="S777" s="32" t="n">
        <f aca="false">K777*INDEX('Tabela Passaro'!$M$2:$M$1795,$N777)</f>
        <v>10.3301</v>
      </c>
      <c r="T777" s="32" t="n">
        <f aca="false">K777*INDEX('Tabela Passaro'!$N$2:$N$1795,$N777)</f>
        <v>4.13204</v>
      </c>
      <c r="U777" s="32" t="n">
        <f aca="false">INDEX('Tabela Passaro'!$O$2:$O$1795,$N777)</f>
        <v>5</v>
      </c>
      <c r="V777" s="32" t="n">
        <f aca="false">ROUNDUP(J777/INDEX('Tabela Passaro'!$Q$2:$Q$1795,$N777),0)*INDEX('Tabela Passaro'!$P$2:$P$1795,$N777)</f>
        <v>10</v>
      </c>
      <c r="W777" s="32" t="n">
        <f aca="false">INDEX('Tabela Passaro'!$R$2:$R$1795,$N777)</f>
        <v>30</v>
      </c>
      <c r="X777" s="32" t="n">
        <f aca="false">ROUNDUP(J777/INDEX('Tabela Passaro'!$T$2:$T$1795,$N777),0)*INDEX('Tabela Passaro'!$S$2:$S$1795,$N777)</f>
        <v>0</v>
      </c>
      <c r="Y777" s="32" t="n">
        <f aca="false">INDEX('Tabela Passaro'!$U$2:$U$1795,$N777)</f>
        <v>0</v>
      </c>
      <c r="Z777" s="32" t="n">
        <f aca="false">INDEX('Tabela Passaro'!$V$2:$V$1795,$N777)</f>
        <v>0</v>
      </c>
      <c r="AA777" s="32" t="n">
        <f aca="false">SUM(R777:Z777)</f>
        <v>286.78214</v>
      </c>
      <c r="AB777" s="33" t="n">
        <f aca="false">INDEX(Premissas!$B$5:$B$13,MATCH(A777,Premissas!$A$5:$A$13,0))</f>
        <v>0.07</v>
      </c>
      <c r="AC777" s="32" t="n">
        <f aca="false">AA777/(1-AB777)-AA777</f>
        <v>21.5857524731183</v>
      </c>
      <c r="AD777" s="32" t="n">
        <f aca="false">ROUND(AA777+AC777,2)</f>
        <v>308.37</v>
      </c>
      <c r="AE777" s="32" t="n">
        <f aca="false">AD777-L777</f>
        <v>-85.04</v>
      </c>
      <c r="AF777" s="34" t="n">
        <f aca="false">IF(L777=0,0,AE777/L777)</f>
        <v>-0.216161256704202</v>
      </c>
      <c r="AG777" s="22" t="str">
        <f aca="false">IF(AD777&lt;L777,"PASSARO","ATUAL")</f>
        <v>PASSARO</v>
      </c>
      <c r="AH777" s="22" t="str">
        <f aca="false">IF(P777&lt;&gt;A777,"Faixa cadastrada como "&amp;P777&amp;" na tabela; preço aplicado pela UF do CEP","")</f>
        <v/>
      </c>
      <c r="AI777" s="26" t="n">
        <v>394.67</v>
      </c>
      <c r="AJ777" s="22" t="str">
        <f aca="false">INDEX('Tabela Passaro'!$X$2:$X$1795,$N777)</f>
        <v>CAPITAL</v>
      </c>
    </row>
    <row r="778" customFormat="false" ht="15" hidden="false" customHeight="false" outlineLevel="0" collapsed="false">
      <c r="A778" s="22" t="s">
        <v>17</v>
      </c>
      <c r="B778" s="22" t="n">
        <v>1</v>
      </c>
      <c r="C778" s="22" t="s">
        <v>95</v>
      </c>
      <c r="D778" s="22" t="s">
        <v>30</v>
      </c>
      <c r="E778" s="22" t="s">
        <v>7326</v>
      </c>
      <c r="F778" s="22" t="n">
        <v>526090</v>
      </c>
      <c r="G778" s="30" t="n">
        <v>46253</v>
      </c>
      <c r="H778" s="22" t="n">
        <v>626775</v>
      </c>
      <c r="I778" s="22" t="s">
        <v>8045</v>
      </c>
      <c r="J778" s="31" t="n">
        <v>64.6</v>
      </c>
      <c r="K778" s="26" t="n">
        <v>1484.98</v>
      </c>
      <c r="L778" s="26" t="n">
        <v>236.11</v>
      </c>
      <c r="M778" s="22" t="s">
        <v>2349</v>
      </c>
      <c r="N778" s="22" t="n">
        <f aca="false">MATCH(M778,'Tabela Passaro'!$A$2:$A$1795,0)</f>
        <v>522</v>
      </c>
      <c r="O778" s="22" t="str">
        <f aca="false">INDEX('Tabela Passaro'!$C$2:$C$1795,$N778)</f>
        <v>FORTALEZA</v>
      </c>
      <c r="P778" s="22" t="str">
        <f aca="false">INDEX('Tabela Passaro'!$B$2:$B$1795,$N778)</f>
        <v>CE</v>
      </c>
      <c r="Q778" s="22" t="n">
        <f aca="false">INDEX('Tabela Passaro'!$F$2:$F$1795,$N778)</f>
        <v>8</v>
      </c>
      <c r="R778" s="32" t="n">
        <f aca="false">IF(J778&lt;=10,INDEX('Tabela Passaro'!$G$2:$G$1795,$N778),IF(J778&lt;=30,INDEX('Tabela Passaro'!$H$2:$H$1795,$N778),IF(J778&lt;=50,INDEX('Tabela Passaro'!$I$2:$I$1795,$N778),IF(J778&lt;=70,INDEX('Tabela Passaro'!$J$2:$J$1795,$N778),IF(J778&lt;=100,INDEX('Tabela Passaro'!$K$2:$K$1795,$N778),INDEX('Tabela Passaro'!$K$2:$K$1795,$N778)+(J778-100)*INDEX('Tabela Passaro'!$L$2:$L$1795,$N778))))))</f>
        <v>169.58</v>
      </c>
      <c r="S778" s="32" t="n">
        <f aca="false">K778*INDEX('Tabela Passaro'!$M$2:$M$1795,$N778)</f>
        <v>7.4249</v>
      </c>
      <c r="T778" s="32" t="n">
        <f aca="false">K778*INDEX('Tabela Passaro'!$N$2:$N$1795,$N778)</f>
        <v>2.96996</v>
      </c>
      <c r="U778" s="32" t="n">
        <f aca="false">INDEX('Tabela Passaro'!$O$2:$O$1795,$N778)</f>
        <v>5</v>
      </c>
      <c r="V778" s="32" t="n">
        <f aca="false">ROUNDUP(J778/INDEX('Tabela Passaro'!$Q$2:$Q$1795,$N778),0)*INDEX('Tabela Passaro'!$P$2:$P$1795,$N778)</f>
        <v>5</v>
      </c>
      <c r="W778" s="32" t="n">
        <f aca="false">INDEX('Tabela Passaro'!$R$2:$R$1795,$N778)</f>
        <v>30</v>
      </c>
      <c r="X778" s="32" t="n">
        <f aca="false">ROUNDUP(J778/INDEX('Tabela Passaro'!$T$2:$T$1795,$N778),0)*INDEX('Tabela Passaro'!$S$2:$S$1795,$N778)</f>
        <v>0</v>
      </c>
      <c r="Y778" s="32" t="n">
        <f aca="false">INDEX('Tabela Passaro'!$U$2:$U$1795,$N778)</f>
        <v>0</v>
      </c>
      <c r="Z778" s="32" t="n">
        <f aca="false">INDEX('Tabela Passaro'!$V$2:$V$1795,$N778)</f>
        <v>0</v>
      </c>
      <c r="AA778" s="32" t="n">
        <f aca="false">SUM(R778:Z778)</f>
        <v>219.97486</v>
      </c>
      <c r="AB778" s="33" t="n">
        <f aca="false">INDEX(Premissas!$B$5:$B$13,MATCH(A778,Premissas!$A$5:$A$13,0))</f>
        <v>0.07</v>
      </c>
      <c r="AC778" s="32" t="n">
        <f aca="false">AA778/(1-AB778)-AA778</f>
        <v>16.5572475268817</v>
      </c>
      <c r="AD778" s="32" t="n">
        <f aca="false">ROUND(AA778+AC778,2)</f>
        <v>236.53</v>
      </c>
      <c r="AE778" s="32" t="n">
        <f aca="false">AD778-L778</f>
        <v>0.419999999999988</v>
      </c>
      <c r="AF778" s="34" t="n">
        <f aca="false">IF(L778=0,0,AE778/L778)</f>
        <v>0.00177883190038536</v>
      </c>
      <c r="AG778" s="22" t="str">
        <f aca="false">IF(AD778&lt;L778,"PASSARO","ATUAL")</f>
        <v>ATUAL</v>
      </c>
      <c r="AH778" s="22" t="str">
        <f aca="false">IF(P778&lt;&gt;A778,"Faixa cadastrada como "&amp;P778&amp;" na tabela; preço aplicado pela UF do CEP","")</f>
        <v/>
      </c>
      <c r="AI778" s="26" t="n">
        <v>286.16</v>
      </c>
      <c r="AJ778" s="22" t="str">
        <f aca="false">INDEX('Tabela Passaro'!$X$2:$X$1795,$N778)</f>
        <v>CAPITAL</v>
      </c>
    </row>
    <row r="779" customFormat="false" ht="15" hidden="false" customHeight="false" outlineLevel="0" collapsed="false">
      <c r="A779" s="22" t="s">
        <v>17</v>
      </c>
      <c r="B779" s="22" t="n">
        <v>1</v>
      </c>
      <c r="C779" s="22" t="s">
        <v>95</v>
      </c>
      <c r="D779" s="22" t="s">
        <v>30</v>
      </c>
      <c r="E779" s="22" t="s">
        <v>7326</v>
      </c>
      <c r="F779" s="22" t="n">
        <v>526099</v>
      </c>
      <c r="G779" s="30" t="n">
        <v>46253</v>
      </c>
      <c r="H779" s="22" t="n">
        <v>626997</v>
      </c>
      <c r="I779" s="22" t="s">
        <v>8046</v>
      </c>
      <c r="J779" s="31" t="n">
        <v>22</v>
      </c>
      <c r="K779" s="26" t="n">
        <v>885.14</v>
      </c>
      <c r="L779" s="26" t="n">
        <v>137.99</v>
      </c>
      <c r="M779" s="22" t="s">
        <v>2349</v>
      </c>
      <c r="N779" s="22" t="n">
        <f aca="false">MATCH(M779,'Tabela Passaro'!$A$2:$A$1795,0)</f>
        <v>522</v>
      </c>
      <c r="O779" s="22" t="str">
        <f aca="false">INDEX('Tabela Passaro'!$C$2:$C$1795,$N779)</f>
        <v>FORTALEZA</v>
      </c>
      <c r="P779" s="22" t="str">
        <f aca="false">INDEX('Tabela Passaro'!$B$2:$B$1795,$N779)</f>
        <v>CE</v>
      </c>
      <c r="Q779" s="22" t="n">
        <f aca="false">INDEX('Tabela Passaro'!$F$2:$F$1795,$N779)</f>
        <v>8</v>
      </c>
      <c r="R779" s="32" t="n">
        <f aca="false">IF(J779&lt;=10,INDEX('Tabela Passaro'!$G$2:$G$1795,$N779),IF(J779&lt;=30,INDEX('Tabela Passaro'!$H$2:$H$1795,$N779),IF(J779&lt;=50,INDEX('Tabela Passaro'!$I$2:$I$1795,$N779),IF(J779&lt;=70,INDEX('Tabela Passaro'!$J$2:$J$1795,$N779),IF(J779&lt;=100,INDEX('Tabela Passaro'!$K$2:$K$1795,$N779),INDEX('Tabela Passaro'!$K$2:$K$1795,$N779)+(J779-100)*INDEX('Tabela Passaro'!$L$2:$L$1795,$N779))))))</f>
        <v>130.85</v>
      </c>
      <c r="S779" s="32" t="n">
        <f aca="false">K779*INDEX('Tabela Passaro'!$M$2:$M$1795,$N779)</f>
        <v>4.4257</v>
      </c>
      <c r="T779" s="32" t="n">
        <f aca="false">K779*INDEX('Tabela Passaro'!$N$2:$N$1795,$N779)</f>
        <v>1.77028</v>
      </c>
      <c r="U779" s="32" t="n">
        <f aca="false">INDEX('Tabela Passaro'!$O$2:$O$1795,$N779)</f>
        <v>5</v>
      </c>
      <c r="V779" s="32" t="n">
        <f aca="false">ROUNDUP(J779/INDEX('Tabela Passaro'!$Q$2:$Q$1795,$N779),0)*INDEX('Tabela Passaro'!$P$2:$P$1795,$N779)</f>
        <v>5</v>
      </c>
      <c r="W779" s="32" t="n">
        <f aca="false">INDEX('Tabela Passaro'!$R$2:$R$1795,$N779)</f>
        <v>30</v>
      </c>
      <c r="X779" s="32" t="n">
        <f aca="false">ROUNDUP(J779/INDEX('Tabela Passaro'!$T$2:$T$1795,$N779),0)*INDEX('Tabela Passaro'!$S$2:$S$1795,$N779)</f>
        <v>0</v>
      </c>
      <c r="Y779" s="32" t="n">
        <f aca="false">INDEX('Tabela Passaro'!$U$2:$U$1795,$N779)</f>
        <v>0</v>
      </c>
      <c r="Z779" s="32" t="n">
        <f aca="false">INDEX('Tabela Passaro'!$V$2:$V$1795,$N779)</f>
        <v>0</v>
      </c>
      <c r="AA779" s="32" t="n">
        <f aca="false">SUM(R779:Z779)</f>
        <v>177.04598</v>
      </c>
      <c r="AB779" s="33" t="n">
        <f aca="false">INDEX(Premissas!$B$5:$B$13,MATCH(A779,Premissas!$A$5:$A$13,0))</f>
        <v>0.07</v>
      </c>
      <c r="AC779" s="32" t="n">
        <f aca="false">AA779/(1-AB779)-AA779</f>
        <v>13.3260415053764</v>
      </c>
      <c r="AD779" s="32" t="n">
        <f aca="false">ROUND(AA779+AC779,2)</f>
        <v>190.37</v>
      </c>
      <c r="AE779" s="32" t="n">
        <f aca="false">AD779-L779</f>
        <v>52.38</v>
      </c>
      <c r="AF779" s="34" t="n">
        <f aca="false">IF(L779=0,0,AE779/L779)</f>
        <v>0.379592724110443</v>
      </c>
      <c r="AG779" s="22" t="str">
        <f aca="false">IF(AD779&lt;L779,"PASSARO","ATUAL")</f>
        <v>ATUAL</v>
      </c>
      <c r="AH779" s="22" t="str">
        <f aca="false">IF(P779&lt;&gt;A779,"Faixa cadastrada como "&amp;P779&amp;" na tabela; preço aplicado pela UF do CEP","")</f>
        <v/>
      </c>
      <c r="AI779" s="26" t="n">
        <v>215.71</v>
      </c>
      <c r="AJ779" s="22" t="str">
        <f aca="false">INDEX('Tabela Passaro'!$X$2:$X$1795,$N779)</f>
        <v>CAPITAL</v>
      </c>
    </row>
    <row r="780" customFormat="false" ht="15" hidden="false" customHeight="false" outlineLevel="0" collapsed="false">
      <c r="A780" s="22" t="s">
        <v>17</v>
      </c>
      <c r="B780" s="22" t="n">
        <v>1</v>
      </c>
      <c r="C780" s="22" t="s">
        <v>95</v>
      </c>
      <c r="D780" s="22" t="s">
        <v>30</v>
      </c>
      <c r="E780" s="22" t="s">
        <v>7326</v>
      </c>
      <c r="F780" s="22" t="n">
        <v>526105</v>
      </c>
      <c r="G780" s="30" t="n">
        <v>46253</v>
      </c>
      <c r="H780" s="22" t="n">
        <v>627003</v>
      </c>
      <c r="I780" s="22" t="s">
        <v>8047</v>
      </c>
      <c r="J780" s="31" t="n">
        <v>27.4</v>
      </c>
      <c r="K780" s="26" t="n">
        <v>984.96</v>
      </c>
      <c r="L780" s="26" t="n">
        <v>138.83</v>
      </c>
      <c r="M780" s="22" t="s">
        <v>2349</v>
      </c>
      <c r="N780" s="22" t="n">
        <f aca="false">MATCH(M780,'Tabela Passaro'!$A$2:$A$1795,0)</f>
        <v>522</v>
      </c>
      <c r="O780" s="22" t="str">
        <f aca="false">INDEX('Tabela Passaro'!$C$2:$C$1795,$N780)</f>
        <v>FORTALEZA</v>
      </c>
      <c r="P780" s="22" t="str">
        <f aca="false">INDEX('Tabela Passaro'!$B$2:$B$1795,$N780)</f>
        <v>CE</v>
      </c>
      <c r="Q780" s="22" t="n">
        <f aca="false">INDEX('Tabela Passaro'!$F$2:$F$1795,$N780)</f>
        <v>8</v>
      </c>
      <c r="R780" s="32" t="n">
        <f aca="false">IF(J780&lt;=10,INDEX('Tabela Passaro'!$G$2:$G$1795,$N780),IF(J780&lt;=30,INDEX('Tabela Passaro'!$H$2:$H$1795,$N780),IF(J780&lt;=50,INDEX('Tabela Passaro'!$I$2:$I$1795,$N780),IF(J780&lt;=70,INDEX('Tabela Passaro'!$J$2:$J$1795,$N780),IF(J780&lt;=100,INDEX('Tabela Passaro'!$K$2:$K$1795,$N780),INDEX('Tabela Passaro'!$K$2:$K$1795,$N780)+(J780-100)*INDEX('Tabela Passaro'!$L$2:$L$1795,$N780))))))</f>
        <v>130.85</v>
      </c>
      <c r="S780" s="32" t="n">
        <f aca="false">K780*INDEX('Tabela Passaro'!$M$2:$M$1795,$N780)</f>
        <v>4.9248</v>
      </c>
      <c r="T780" s="32" t="n">
        <f aca="false">K780*INDEX('Tabela Passaro'!$N$2:$N$1795,$N780)</f>
        <v>1.96992</v>
      </c>
      <c r="U780" s="32" t="n">
        <f aca="false">INDEX('Tabela Passaro'!$O$2:$O$1795,$N780)</f>
        <v>5</v>
      </c>
      <c r="V780" s="32" t="n">
        <f aca="false">ROUNDUP(J780/INDEX('Tabela Passaro'!$Q$2:$Q$1795,$N780),0)*INDEX('Tabela Passaro'!$P$2:$P$1795,$N780)</f>
        <v>5</v>
      </c>
      <c r="W780" s="32" t="n">
        <f aca="false">INDEX('Tabela Passaro'!$R$2:$R$1795,$N780)</f>
        <v>30</v>
      </c>
      <c r="X780" s="32" t="n">
        <f aca="false">ROUNDUP(J780/INDEX('Tabela Passaro'!$T$2:$T$1795,$N780),0)*INDEX('Tabela Passaro'!$S$2:$S$1795,$N780)</f>
        <v>0</v>
      </c>
      <c r="Y780" s="32" t="n">
        <f aca="false">INDEX('Tabela Passaro'!$U$2:$U$1795,$N780)</f>
        <v>0</v>
      </c>
      <c r="Z780" s="32" t="n">
        <f aca="false">INDEX('Tabela Passaro'!$V$2:$V$1795,$N780)</f>
        <v>0</v>
      </c>
      <c r="AA780" s="32" t="n">
        <f aca="false">SUM(R780:Z780)</f>
        <v>177.74472</v>
      </c>
      <c r="AB780" s="33" t="n">
        <f aca="false">INDEX(Premissas!$B$5:$B$13,MATCH(A780,Premissas!$A$5:$A$13,0))</f>
        <v>0.07</v>
      </c>
      <c r="AC780" s="32" t="n">
        <f aca="false">AA780/(1-AB780)-AA780</f>
        <v>13.3786348387097</v>
      </c>
      <c r="AD780" s="32" t="n">
        <f aca="false">ROUND(AA780+AC780,2)</f>
        <v>191.12</v>
      </c>
      <c r="AE780" s="32" t="n">
        <f aca="false">AD780-L780</f>
        <v>52.29</v>
      </c>
      <c r="AF780" s="34" t="n">
        <f aca="false">IF(L780=0,0,AE780/L780)</f>
        <v>0.376647698624217</v>
      </c>
      <c r="AG780" s="22" t="str">
        <f aca="false">IF(AD780&lt;L780,"PASSARO","ATUAL")</f>
        <v>ATUAL</v>
      </c>
      <c r="AH780" s="22" t="str">
        <f aca="false">IF(P780&lt;&gt;A780,"Faixa cadastrada como "&amp;P780&amp;" na tabela; preço aplicado pela UF do CEP","")</f>
        <v/>
      </c>
      <c r="AI780" s="26" t="n">
        <v>219.57</v>
      </c>
      <c r="AJ780" s="22" t="str">
        <f aca="false">INDEX('Tabela Passaro'!$X$2:$X$1795,$N780)</f>
        <v>CAPITAL</v>
      </c>
    </row>
    <row r="781" customFormat="false" ht="15" hidden="false" customHeight="false" outlineLevel="0" collapsed="false">
      <c r="A781" s="22" t="s">
        <v>17</v>
      </c>
      <c r="B781" s="22" t="n">
        <v>1</v>
      </c>
      <c r="C781" s="22" t="s">
        <v>95</v>
      </c>
      <c r="D781" s="22" t="s">
        <v>30</v>
      </c>
      <c r="E781" s="22" t="s">
        <v>7326</v>
      </c>
      <c r="F781" s="22" t="n">
        <v>526106</v>
      </c>
      <c r="G781" s="30" t="n">
        <v>46253</v>
      </c>
      <c r="H781" s="22" t="n">
        <v>627004</v>
      </c>
      <c r="I781" s="22" t="s">
        <v>8048</v>
      </c>
      <c r="J781" s="31" t="n">
        <v>61</v>
      </c>
      <c r="K781" s="26" t="n">
        <v>1571.35</v>
      </c>
      <c r="L781" s="26" t="n">
        <v>236.85</v>
      </c>
      <c r="M781" s="22" t="s">
        <v>2349</v>
      </c>
      <c r="N781" s="22" t="n">
        <f aca="false">MATCH(M781,'Tabela Passaro'!$A$2:$A$1795,0)</f>
        <v>522</v>
      </c>
      <c r="O781" s="22" t="str">
        <f aca="false">INDEX('Tabela Passaro'!$C$2:$C$1795,$N781)</f>
        <v>FORTALEZA</v>
      </c>
      <c r="P781" s="22" t="str">
        <f aca="false">INDEX('Tabela Passaro'!$B$2:$B$1795,$N781)</f>
        <v>CE</v>
      </c>
      <c r="Q781" s="22" t="n">
        <f aca="false">INDEX('Tabela Passaro'!$F$2:$F$1795,$N781)</f>
        <v>8</v>
      </c>
      <c r="R781" s="32" t="n">
        <f aca="false">IF(J781&lt;=10,INDEX('Tabela Passaro'!$G$2:$G$1795,$N781),IF(J781&lt;=30,INDEX('Tabela Passaro'!$H$2:$H$1795,$N781),IF(J781&lt;=50,INDEX('Tabela Passaro'!$I$2:$I$1795,$N781),IF(J781&lt;=70,INDEX('Tabela Passaro'!$J$2:$J$1795,$N781),IF(J781&lt;=100,INDEX('Tabela Passaro'!$K$2:$K$1795,$N781),INDEX('Tabela Passaro'!$K$2:$K$1795,$N781)+(J781-100)*INDEX('Tabela Passaro'!$L$2:$L$1795,$N781))))))</f>
        <v>169.58</v>
      </c>
      <c r="S781" s="32" t="n">
        <f aca="false">K781*INDEX('Tabela Passaro'!$M$2:$M$1795,$N781)</f>
        <v>7.85675</v>
      </c>
      <c r="T781" s="32" t="n">
        <f aca="false">K781*INDEX('Tabela Passaro'!$N$2:$N$1795,$N781)</f>
        <v>3.1427</v>
      </c>
      <c r="U781" s="32" t="n">
        <f aca="false">INDEX('Tabela Passaro'!$O$2:$O$1795,$N781)</f>
        <v>5</v>
      </c>
      <c r="V781" s="32" t="n">
        <f aca="false">ROUNDUP(J781/INDEX('Tabela Passaro'!$Q$2:$Q$1795,$N781),0)*INDEX('Tabela Passaro'!$P$2:$P$1795,$N781)</f>
        <v>5</v>
      </c>
      <c r="W781" s="32" t="n">
        <f aca="false">INDEX('Tabela Passaro'!$R$2:$R$1795,$N781)</f>
        <v>30</v>
      </c>
      <c r="X781" s="32" t="n">
        <f aca="false">ROUNDUP(J781/INDEX('Tabela Passaro'!$T$2:$T$1795,$N781),0)*INDEX('Tabela Passaro'!$S$2:$S$1795,$N781)</f>
        <v>0</v>
      </c>
      <c r="Y781" s="32" t="n">
        <f aca="false">INDEX('Tabela Passaro'!$U$2:$U$1795,$N781)</f>
        <v>0</v>
      </c>
      <c r="Z781" s="32" t="n">
        <f aca="false">INDEX('Tabela Passaro'!$V$2:$V$1795,$N781)</f>
        <v>0</v>
      </c>
      <c r="AA781" s="32" t="n">
        <f aca="false">SUM(R781:Z781)</f>
        <v>220.57945</v>
      </c>
      <c r="AB781" s="33" t="n">
        <f aca="false">INDEX(Premissas!$B$5:$B$13,MATCH(A781,Premissas!$A$5:$A$13,0))</f>
        <v>0.07</v>
      </c>
      <c r="AC781" s="32" t="n">
        <f aca="false">AA781/(1-AB781)-AA781</f>
        <v>16.6027543010753</v>
      </c>
      <c r="AD781" s="32" t="n">
        <f aca="false">ROUND(AA781+AC781,2)</f>
        <v>237.18</v>
      </c>
      <c r="AE781" s="32" t="n">
        <f aca="false">AD781-L781</f>
        <v>0.330000000000013</v>
      </c>
      <c r="AF781" s="34" t="n">
        <f aca="false">IF(L781=0,0,AE781/L781)</f>
        <v>0.00139328689043704</v>
      </c>
      <c r="AG781" s="22" t="str">
        <f aca="false">IF(AD781&lt;L781,"PASSARO","ATUAL")</f>
        <v>ATUAL</v>
      </c>
      <c r="AH781" s="22" t="str">
        <f aca="false">IF(P781&lt;&gt;A781,"Faixa cadastrada como "&amp;P781&amp;" na tabela; preço aplicado pela UF do CEP","")</f>
        <v/>
      </c>
      <c r="AI781" s="26" t="n">
        <v>285.06</v>
      </c>
      <c r="AJ781" s="22" t="str">
        <f aca="false">INDEX('Tabela Passaro'!$X$2:$X$1795,$N781)</f>
        <v>CAPITAL</v>
      </c>
    </row>
    <row r="782" customFormat="false" ht="15" hidden="false" customHeight="false" outlineLevel="0" collapsed="false">
      <c r="A782" s="22" t="s">
        <v>17</v>
      </c>
      <c r="B782" s="22" t="n">
        <v>1</v>
      </c>
      <c r="C782" s="22" t="s">
        <v>95</v>
      </c>
      <c r="D782" s="22" t="s">
        <v>30</v>
      </c>
      <c r="E782" s="22" t="s">
        <v>20</v>
      </c>
      <c r="F782" s="22" t="n">
        <v>839635</v>
      </c>
      <c r="G782" s="30" t="n">
        <v>46254</v>
      </c>
      <c r="H782" s="22" t="n">
        <v>32559</v>
      </c>
      <c r="I782" s="22" t="s">
        <v>8049</v>
      </c>
      <c r="J782" s="31" t="n">
        <v>29.59</v>
      </c>
      <c r="K782" s="26" t="n">
        <v>597.78</v>
      </c>
      <c r="L782" s="26" t="n">
        <v>115.67</v>
      </c>
      <c r="M782" s="22" t="s">
        <v>2349</v>
      </c>
      <c r="N782" s="22" t="n">
        <f aca="false">MATCH(M782,'Tabela Passaro'!$A$2:$A$1795,0)</f>
        <v>522</v>
      </c>
      <c r="O782" s="22" t="str">
        <f aca="false">INDEX('Tabela Passaro'!$C$2:$C$1795,$N782)</f>
        <v>FORTALEZA</v>
      </c>
      <c r="P782" s="22" t="str">
        <f aca="false">INDEX('Tabela Passaro'!$B$2:$B$1795,$N782)</f>
        <v>CE</v>
      </c>
      <c r="Q782" s="22" t="n">
        <f aca="false">INDEX('Tabela Passaro'!$F$2:$F$1795,$N782)</f>
        <v>8</v>
      </c>
      <c r="R782" s="32" t="n">
        <f aca="false">IF(J782&lt;=10,INDEX('Tabela Passaro'!$G$2:$G$1795,$N782),IF(J782&lt;=30,INDEX('Tabela Passaro'!$H$2:$H$1795,$N782),IF(J782&lt;=50,INDEX('Tabela Passaro'!$I$2:$I$1795,$N782),IF(J782&lt;=70,INDEX('Tabela Passaro'!$J$2:$J$1795,$N782),IF(J782&lt;=100,INDEX('Tabela Passaro'!$K$2:$K$1795,$N782),INDEX('Tabela Passaro'!$K$2:$K$1795,$N782)+(J782-100)*INDEX('Tabela Passaro'!$L$2:$L$1795,$N782))))))</f>
        <v>130.85</v>
      </c>
      <c r="S782" s="32" t="n">
        <f aca="false">K782*INDEX('Tabela Passaro'!$M$2:$M$1795,$N782)</f>
        <v>2.9889</v>
      </c>
      <c r="T782" s="32" t="n">
        <f aca="false">K782*INDEX('Tabela Passaro'!$N$2:$N$1795,$N782)</f>
        <v>1.19556</v>
      </c>
      <c r="U782" s="32" t="n">
        <f aca="false">INDEX('Tabela Passaro'!$O$2:$O$1795,$N782)</f>
        <v>5</v>
      </c>
      <c r="V782" s="32" t="n">
        <f aca="false">ROUNDUP(J782/INDEX('Tabela Passaro'!$Q$2:$Q$1795,$N782),0)*INDEX('Tabela Passaro'!$P$2:$P$1795,$N782)</f>
        <v>5</v>
      </c>
      <c r="W782" s="32" t="n">
        <f aca="false">INDEX('Tabela Passaro'!$R$2:$R$1795,$N782)</f>
        <v>30</v>
      </c>
      <c r="X782" s="32" t="n">
        <f aca="false">ROUNDUP(J782/INDEX('Tabela Passaro'!$T$2:$T$1795,$N782),0)*INDEX('Tabela Passaro'!$S$2:$S$1795,$N782)</f>
        <v>0</v>
      </c>
      <c r="Y782" s="32" t="n">
        <f aca="false">INDEX('Tabela Passaro'!$U$2:$U$1795,$N782)</f>
        <v>0</v>
      </c>
      <c r="Z782" s="32" t="n">
        <f aca="false">INDEX('Tabela Passaro'!$V$2:$V$1795,$N782)</f>
        <v>0</v>
      </c>
      <c r="AA782" s="32" t="n">
        <f aca="false">SUM(R782:Z782)</f>
        <v>175.03446</v>
      </c>
      <c r="AB782" s="33" t="n">
        <f aca="false">INDEX(Premissas!$B$5:$B$13,MATCH(A782,Premissas!$A$5:$A$13,0))</f>
        <v>0.07</v>
      </c>
      <c r="AC782" s="32" t="n">
        <f aca="false">AA782/(1-AB782)-AA782</f>
        <v>13.1746367741936</v>
      </c>
      <c r="AD782" s="32" t="n">
        <f aca="false">ROUND(AA782+AC782,2)</f>
        <v>188.21</v>
      </c>
      <c r="AE782" s="32" t="n">
        <f aca="false">AD782-L782</f>
        <v>72.54</v>
      </c>
      <c r="AF782" s="34" t="n">
        <f aca="false">IF(L782=0,0,AE782/L782)</f>
        <v>0.627128901184404</v>
      </c>
      <c r="AG782" s="22" t="str">
        <f aca="false">IF(AD782&lt;L782,"PASSARO","ATUAL")</f>
        <v>ATUAL</v>
      </c>
      <c r="AH782" s="22" t="str">
        <f aca="false">IF(P782&lt;&gt;A782,"Faixa cadastrada como "&amp;P782&amp;" na tabela; preço aplicado pela UF do CEP","")</f>
        <v/>
      </c>
      <c r="AI782" s="26" t="n">
        <v>216.8</v>
      </c>
      <c r="AJ782" s="22" t="str">
        <f aca="false">INDEX('Tabela Passaro'!$X$2:$X$1795,$N782)</f>
        <v>CAPITAL</v>
      </c>
    </row>
    <row r="783" customFormat="false" ht="15" hidden="false" customHeight="false" outlineLevel="0" collapsed="false">
      <c r="A783" s="22" t="s">
        <v>17</v>
      </c>
      <c r="B783" s="22" t="n">
        <v>1</v>
      </c>
      <c r="C783" s="22" t="s">
        <v>95</v>
      </c>
      <c r="D783" s="22" t="s">
        <v>30</v>
      </c>
      <c r="E783" s="22" t="s">
        <v>20</v>
      </c>
      <c r="F783" s="22" t="n">
        <v>839631</v>
      </c>
      <c r="G783" s="30" t="n">
        <v>46254</v>
      </c>
      <c r="H783" s="22" t="n">
        <v>32561</v>
      </c>
      <c r="I783" s="22" t="s">
        <v>8050</v>
      </c>
      <c r="J783" s="31" t="n">
        <v>69.11</v>
      </c>
      <c r="K783" s="26" t="n">
        <v>1006.04</v>
      </c>
      <c r="L783" s="26" t="n">
        <v>178.09</v>
      </c>
      <c r="M783" s="22" t="s">
        <v>2349</v>
      </c>
      <c r="N783" s="22" t="n">
        <f aca="false">MATCH(M783,'Tabela Passaro'!$A$2:$A$1795,0)</f>
        <v>522</v>
      </c>
      <c r="O783" s="22" t="str">
        <f aca="false">INDEX('Tabela Passaro'!$C$2:$C$1795,$N783)</f>
        <v>FORTALEZA</v>
      </c>
      <c r="P783" s="22" t="str">
        <f aca="false">INDEX('Tabela Passaro'!$B$2:$B$1795,$N783)</f>
        <v>CE</v>
      </c>
      <c r="Q783" s="22" t="n">
        <f aca="false">INDEX('Tabela Passaro'!$F$2:$F$1795,$N783)</f>
        <v>8</v>
      </c>
      <c r="R783" s="32" t="n">
        <f aca="false">IF(J783&lt;=10,INDEX('Tabela Passaro'!$G$2:$G$1795,$N783),IF(J783&lt;=30,INDEX('Tabela Passaro'!$H$2:$H$1795,$N783),IF(J783&lt;=50,INDEX('Tabela Passaro'!$I$2:$I$1795,$N783),IF(J783&lt;=70,INDEX('Tabela Passaro'!$J$2:$J$1795,$N783),IF(J783&lt;=100,INDEX('Tabela Passaro'!$K$2:$K$1795,$N783),INDEX('Tabela Passaro'!$K$2:$K$1795,$N783)+(J783-100)*INDEX('Tabela Passaro'!$L$2:$L$1795,$N783))))))</f>
        <v>169.58</v>
      </c>
      <c r="S783" s="32" t="n">
        <f aca="false">K783*INDEX('Tabela Passaro'!$M$2:$M$1795,$N783)</f>
        <v>5.0302</v>
      </c>
      <c r="T783" s="32" t="n">
        <f aca="false">K783*INDEX('Tabela Passaro'!$N$2:$N$1795,$N783)</f>
        <v>2.01208</v>
      </c>
      <c r="U783" s="32" t="n">
        <f aca="false">INDEX('Tabela Passaro'!$O$2:$O$1795,$N783)</f>
        <v>5</v>
      </c>
      <c r="V783" s="32" t="n">
        <f aca="false">ROUNDUP(J783/INDEX('Tabela Passaro'!$Q$2:$Q$1795,$N783),0)*INDEX('Tabela Passaro'!$P$2:$P$1795,$N783)</f>
        <v>5</v>
      </c>
      <c r="W783" s="32" t="n">
        <f aca="false">INDEX('Tabela Passaro'!$R$2:$R$1795,$N783)</f>
        <v>30</v>
      </c>
      <c r="X783" s="32" t="n">
        <f aca="false">ROUNDUP(J783/INDEX('Tabela Passaro'!$T$2:$T$1795,$N783),0)*INDEX('Tabela Passaro'!$S$2:$S$1795,$N783)</f>
        <v>0</v>
      </c>
      <c r="Y783" s="32" t="n">
        <f aca="false">INDEX('Tabela Passaro'!$U$2:$U$1795,$N783)</f>
        <v>0</v>
      </c>
      <c r="Z783" s="32" t="n">
        <f aca="false">INDEX('Tabela Passaro'!$V$2:$V$1795,$N783)</f>
        <v>0</v>
      </c>
      <c r="AA783" s="32" t="n">
        <f aca="false">SUM(R783:Z783)</f>
        <v>216.62228</v>
      </c>
      <c r="AB783" s="33" t="n">
        <f aca="false">INDEX(Premissas!$B$5:$B$13,MATCH(A783,Premissas!$A$5:$A$13,0))</f>
        <v>0.07</v>
      </c>
      <c r="AC783" s="32" t="n">
        <f aca="false">AA783/(1-AB783)-AA783</f>
        <v>16.304902795699</v>
      </c>
      <c r="AD783" s="32" t="n">
        <f aca="false">ROUND(AA783+AC783,2)</f>
        <v>232.93</v>
      </c>
      <c r="AE783" s="32" t="n">
        <f aca="false">AD783-L783</f>
        <v>54.84</v>
      </c>
      <c r="AF783" s="34" t="n">
        <f aca="false">IF(L783=0,0,AE783/L783)</f>
        <v>0.307934190577798</v>
      </c>
      <c r="AG783" s="22" t="str">
        <f aca="false">IF(AD783&lt;L783,"PASSARO","ATUAL")</f>
        <v>ATUAL</v>
      </c>
      <c r="AH783" s="22" t="str">
        <f aca="false">IF(P783&lt;&gt;A783,"Faixa cadastrada como "&amp;P783&amp;" na tabela; preço aplicado pela UF do CEP","")</f>
        <v/>
      </c>
      <c r="AI783" s="26" t="n">
        <v>283.94</v>
      </c>
      <c r="AJ783" s="22" t="str">
        <f aca="false">INDEX('Tabela Passaro'!$X$2:$X$1795,$N783)</f>
        <v>CAPITAL</v>
      </c>
    </row>
    <row r="784" customFormat="false" ht="15" hidden="false" customHeight="false" outlineLevel="0" collapsed="false">
      <c r="A784" s="22" t="s">
        <v>17</v>
      </c>
      <c r="B784" s="22" t="n">
        <v>1</v>
      </c>
      <c r="C784" s="22" t="s">
        <v>95</v>
      </c>
      <c r="D784" s="22" t="s">
        <v>30</v>
      </c>
      <c r="E784" s="22" t="s">
        <v>20</v>
      </c>
      <c r="F784" s="22" t="n">
        <v>839645</v>
      </c>
      <c r="G784" s="30" t="n">
        <v>46254</v>
      </c>
      <c r="H784" s="22" t="n">
        <v>32570</v>
      </c>
      <c r="I784" s="22" t="s">
        <v>8051</v>
      </c>
      <c r="J784" s="31" t="n">
        <v>40</v>
      </c>
      <c r="K784" s="26" t="n">
        <v>665.16</v>
      </c>
      <c r="L784" s="26" t="n">
        <v>151.05</v>
      </c>
      <c r="M784" s="22" t="s">
        <v>2349</v>
      </c>
      <c r="N784" s="22" t="n">
        <f aca="false">MATCH(M784,'Tabela Passaro'!$A$2:$A$1795,0)</f>
        <v>522</v>
      </c>
      <c r="O784" s="22" t="str">
        <f aca="false">INDEX('Tabela Passaro'!$C$2:$C$1795,$N784)</f>
        <v>FORTALEZA</v>
      </c>
      <c r="P784" s="22" t="str">
        <f aca="false">INDEX('Tabela Passaro'!$B$2:$B$1795,$N784)</f>
        <v>CE</v>
      </c>
      <c r="Q784" s="22" t="n">
        <f aca="false">INDEX('Tabela Passaro'!$F$2:$F$1795,$N784)</f>
        <v>8</v>
      </c>
      <c r="R784" s="32" t="n">
        <f aca="false">IF(J784&lt;=10,INDEX('Tabela Passaro'!$G$2:$G$1795,$N784),IF(J784&lt;=30,INDEX('Tabela Passaro'!$H$2:$H$1795,$N784),IF(J784&lt;=50,INDEX('Tabela Passaro'!$I$2:$I$1795,$N784),IF(J784&lt;=70,INDEX('Tabela Passaro'!$J$2:$J$1795,$N784),IF(J784&lt;=100,INDEX('Tabela Passaro'!$K$2:$K$1795,$N784),INDEX('Tabela Passaro'!$K$2:$K$1795,$N784)+(J784-100)*INDEX('Tabela Passaro'!$L$2:$L$1795,$N784))))))</f>
        <v>152.98</v>
      </c>
      <c r="S784" s="32" t="n">
        <f aca="false">K784*INDEX('Tabela Passaro'!$M$2:$M$1795,$N784)</f>
        <v>3.3258</v>
      </c>
      <c r="T784" s="32" t="n">
        <f aca="false">K784*INDEX('Tabela Passaro'!$N$2:$N$1795,$N784)</f>
        <v>1.33032</v>
      </c>
      <c r="U784" s="32" t="n">
        <f aca="false">INDEX('Tabela Passaro'!$O$2:$O$1795,$N784)</f>
        <v>5</v>
      </c>
      <c r="V784" s="32" t="n">
        <f aca="false">ROUNDUP(J784/INDEX('Tabela Passaro'!$Q$2:$Q$1795,$N784),0)*INDEX('Tabela Passaro'!$P$2:$P$1795,$N784)</f>
        <v>5</v>
      </c>
      <c r="W784" s="32" t="n">
        <f aca="false">INDEX('Tabela Passaro'!$R$2:$R$1795,$N784)</f>
        <v>30</v>
      </c>
      <c r="X784" s="32" t="n">
        <f aca="false">ROUNDUP(J784/INDEX('Tabela Passaro'!$T$2:$T$1795,$N784),0)*INDEX('Tabela Passaro'!$S$2:$S$1795,$N784)</f>
        <v>0</v>
      </c>
      <c r="Y784" s="32" t="n">
        <f aca="false">INDEX('Tabela Passaro'!$U$2:$U$1795,$N784)</f>
        <v>0</v>
      </c>
      <c r="Z784" s="32" t="n">
        <f aca="false">INDEX('Tabela Passaro'!$V$2:$V$1795,$N784)</f>
        <v>0</v>
      </c>
      <c r="AA784" s="32" t="n">
        <f aca="false">SUM(R784:Z784)</f>
        <v>197.63612</v>
      </c>
      <c r="AB784" s="33" t="n">
        <f aca="false">INDEX(Premissas!$B$5:$B$13,MATCH(A784,Premissas!$A$5:$A$13,0))</f>
        <v>0.07</v>
      </c>
      <c r="AC784" s="32" t="n">
        <f aca="false">AA784/(1-AB784)-AA784</f>
        <v>14.8758369892473</v>
      </c>
      <c r="AD784" s="32" t="n">
        <f aca="false">ROUND(AA784+AC784,2)</f>
        <v>212.51</v>
      </c>
      <c r="AE784" s="32" t="n">
        <f aca="false">AD784-L784</f>
        <v>61.46</v>
      </c>
      <c r="AF784" s="34" t="n">
        <f aca="false">IF(L784=0,0,AE784/L784)</f>
        <v>0.406885137371731</v>
      </c>
      <c r="AG784" s="22" t="str">
        <f aca="false">IF(AD784&lt;L784,"PASSARO","ATUAL")</f>
        <v>ATUAL</v>
      </c>
      <c r="AH784" s="22" t="str">
        <f aca="false">IF(P784&lt;&gt;A784,"Faixa cadastrada como "&amp;P784&amp;" na tabela; preço aplicado pela UF do CEP","")</f>
        <v/>
      </c>
      <c r="AI784" s="26" t="n">
        <v>247.33</v>
      </c>
      <c r="AJ784" s="22" t="str">
        <f aca="false">INDEX('Tabela Passaro'!$X$2:$X$1795,$N784)</f>
        <v>CAPITAL</v>
      </c>
    </row>
    <row r="785" customFormat="false" ht="15" hidden="false" customHeight="false" outlineLevel="0" collapsed="false">
      <c r="A785" s="22" t="s">
        <v>17</v>
      </c>
      <c r="B785" s="22" t="n">
        <v>1</v>
      </c>
      <c r="C785" s="22" t="s">
        <v>95</v>
      </c>
      <c r="D785" s="22" t="s">
        <v>30</v>
      </c>
      <c r="E785" s="22" t="s">
        <v>20</v>
      </c>
      <c r="F785" s="22" t="n">
        <v>839649</v>
      </c>
      <c r="G785" s="30" t="n">
        <v>46254</v>
      </c>
      <c r="H785" s="22" t="n">
        <v>32574</v>
      </c>
      <c r="I785" s="22" t="s">
        <v>8052</v>
      </c>
      <c r="J785" s="31" t="n">
        <v>19.4</v>
      </c>
      <c r="K785" s="26" t="n">
        <v>440.67</v>
      </c>
      <c r="L785" s="26" t="n">
        <v>114.25</v>
      </c>
      <c r="M785" s="22" t="s">
        <v>2349</v>
      </c>
      <c r="N785" s="22" t="n">
        <f aca="false">MATCH(M785,'Tabela Passaro'!$A$2:$A$1795,0)</f>
        <v>522</v>
      </c>
      <c r="O785" s="22" t="str">
        <f aca="false">INDEX('Tabela Passaro'!$C$2:$C$1795,$N785)</f>
        <v>FORTALEZA</v>
      </c>
      <c r="P785" s="22" t="str">
        <f aca="false">INDEX('Tabela Passaro'!$B$2:$B$1795,$N785)</f>
        <v>CE</v>
      </c>
      <c r="Q785" s="22" t="n">
        <f aca="false">INDEX('Tabela Passaro'!$F$2:$F$1795,$N785)</f>
        <v>8</v>
      </c>
      <c r="R785" s="32" t="n">
        <f aca="false">IF(J785&lt;=10,INDEX('Tabela Passaro'!$G$2:$G$1795,$N785),IF(J785&lt;=30,INDEX('Tabela Passaro'!$H$2:$H$1795,$N785),IF(J785&lt;=50,INDEX('Tabela Passaro'!$I$2:$I$1795,$N785),IF(J785&lt;=70,INDEX('Tabela Passaro'!$J$2:$J$1795,$N785),IF(J785&lt;=100,INDEX('Tabela Passaro'!$K$2:$K$1795,$N785),INDEX('Tabela Passaro'!$K$2:$K$1795,$N785)+(J785-100)*INDEX('Tabela Passaro'!$L$2:$L$1795,$N785))))))</f>
        <v>130.85</v>
      </c>
      <c r="S785" s="32" t="n">
        <f aca="false">K785*INDEX('Tabela Passaro'!$M$2:$M$1795,$N785)</f>
        <v>2.20335</v>
      </c>
      <c r="T785" s="32" t="n">
        <f aca="false">K785*INDEX('Tabela Passaro'!$N$2:$N$1795,$N785)</f>
        <v>0.88134</v>
      </c>
      <c r="U785" s="32" t="n">
        <f aca="false">INDEX('Tabela Passaro'!$O$2:$O$1795,$N785)</f>
        <v>5</v>
      </c>
      <c r="V785" s="32" t="n">
        <f aca="false">ROUNDUP(J785/INDEX('Tabela Passaro'!$Q$2:$Q$1795,$N785),0)*INDEX('Tabela Passaro'!$P$2:$P$1795,$N785)</f>
        <v>5</v>
      </c>
      <c r="W785" s="32" t="n">
        <f aca="false">INDEX('Tabela Passaro'!$R$2:$R$1795,$N785)</f>
        <v>30</v>
      </c>
      <c r="X785" s="32" t="n">
        <f aca="false">ROUNDUP(J785/INDEX('Tabela Passaro'!$T$2:$T$1795,$N785),0)*INDEX('Tabela Passaro'!$S$2:$S$1795,$N785)</f>
        <v>0</v>
      </c>
      <c r="Y785" s="32" t="n">
        <f aca="false">INDEX('Tabela Passaro'!$U$2:$U$1795,$N785)</f>
        <v>0</v>
      </c>
      <c r="Z785" s="32" t="n">
        <f aca="false">INDEX('Tabela Passaro'!$V$2:$V$1795,$N785)</f>
        <v>0</v>
      </c>
      <c r="AA785" s="32" t="n">
        <f aca="false">SUM(R785:Z785)</f>
        <v>173.93469</v>
      </c>
      <c r="AB785" s="33" t="n">
        <f aca="false">INDEX(Premissas!$B$5:$B$13,MATCH(A785,Premissas!$A$5:$A$13,0))</f>
        <v>0.07</v>
      </c>
      <c r="AC785" s="32" t="n">
        <f aca="false">AA785/(1-AB785)-AA785</f>
        <v>13.0918583870968</v>
      </c>
      <c r="AD785" s="32" t="n">
        <f aca="false">ROUND(AA785+AC785,2)</f>
        <v>187.03</v>
      </c>
      <c r="AE785" s="32" t="n">
        <f aca="false">AD785-L785</f>
        <v>72.78</v>
      </c>
      <c r="AF785" s="34" t="n">
        <f aca="false">IF(L785=0,0,AE785/L785)</f>
        <v>0.637024070021882</v>
      </c>
      <c r="AG785" s="22" t="str">
        <f aca="false">IF(AD785&lt;L785,"PASSARO","ATUAL")</f>
        <v>ATUAL</v>
      </c>
      <c r="AH785" s="22" t="str">
        <f aca="false">IF(P785&lt;&gt;A785,"Faixa cadastrada como "&amp;P785&amp;" na tabela; preço aplicado pela UF do CEP","")</f>
        <v/>
      </c>
      <c r="AI785" s="26" t="n">
        <v>210.44</v>
      </c>
      <c r="AJ785" s="22" t="str">
        <f aca="false">INDEX('Tabela Passaro'!$X$2:$X$1795,$N785)</f>
        <v>CAPITAL</v>
      </c>
    </row>
    <row r="786" customFormat="false" ht="15" hidden="false" customHeight="false" outlineLevel="0" collapsed="false">
      <c r="A786" s="22" t="s">
        <v>17</v>
      </c>
      <c r="B786" s="22" t="n">
        <v>1</v>
      </c>
      <c r="C786" s="22" t="s">
        <v>95</v>
      </c>
      <c r="D786" s="22" t="s">
        <v>30</v>
      </c>
      <c r="E786" s="22" t="s">
        <v>7328</v>
      </c>
      <c r="F786" s="22" t="n">
        <v>2314394</v>
      </c>
      <c r="G786" s="30" t="n">
        <v>46254</v>
      </c>
      <c r="H786" s="22" t="n">
        <v>134060</v>
      </c>
      <c r="I786" s="22" t="s">
        <v>8053</v>
      </c>
      <c r="J786" s="31" t="n">
        <v>52.15</v>
      </c>
      <c r="K786" s="26" t="n">
        <v>864.98</v>
      </c>
      <c r="L786" s="26" t="n">
        <v>197.79</v>
      </c>
      <c r="M786" s="22" t="s">
        <v>2349</v>
      </c>
      <c r="N786" s="22" t="n">
        <f aca="false">MATCH(M786,'Tabela Passaro'!$A$2:$A$1795,0)</f>
        <v>522</v>
      </c>
      <c r="O786" s="22" t="str">
        <f aca="false">INDEX('Tabela Passaro'!$C$2:$C$1795,$N786)</f>
        <v>FORTALEZA</v>
      </c>
      <c r="P786" s="22" t="str">
        <f aca="false">INDEX('Tabela Passaro'!$B$2:$B$1795,$N786)</f>
        <v>CE</v>
      </c>
      <c r="Q786" s="22" t="n">
        <f aca="false">INDEX('Tabela Passaro'!$F$2:$F$1795,$N786)</f>
        <v>8</v>
      </c>
      <c r="R786" s="32" t="n">
        <f aca="false">IF(J786&lt;=10,INDEX('Tabela Passaro'!$G$2:$G$1795,$N786),IF(J786&lt;=30,INDEX('Tabela Passaro'!$H$2:$H$1795,$N786),IF(J786&lt;=50,INDEX('Tabela Passaro'!$I$2:$I$1795,$N786),IF(J786&lt;=70,INDEX('Tabela Passaro'!$J$2:$J$1795,$N786),IF(J786&lt;=100,INDEX('Tabela Passaro'!$K$2:$K$1795,$N786),INDEX('Tabela Passaro'!$K$2:$K$1795,$N786)+(J786-100)*INDEX('Tabela Passaro'!$L$2:$L$1795,$N786))))))</f>
        <v>169.58</v>
      </c>
      <c r="S786" s="32" t="n">
        <f aca="false">K786*INDEX('Tabela Passaro'!$M$2:$M$1795,$N786)</f>
        <v>4.3249</v>
      </c>
      <c r="T786" s="32" t="n">
        <f aca="false">K786*INDEX('Tabela Passaro'!$N$2:$N$1795,$N786)</f>
        <v>1.72996</v>
      </c>
      <c r="U786" s="32" t="n">
        <f aca="false">INDEX('Tabela Passaro'!$O$2:$O$1795,$N786)</f>
        <v>5</v>
      </c>
      <c r="V786" s="32" t="n">
        <f aca="false">ROUNDUP(J786/INDEX('Tabela Passaro'!$Q$2:$Q$1795,$N786),0)*INDEX('Tabela Passaro'!$P$2:$P$1795,$N786)</f>
        <v>5</v>
      </c>
      <c r="W786" s="32" t="n">
        <f aca="false">INDEX('Tabela Passaro'!$R$2:$R$1795,$N786)</f>
        <v>30</v>
      </c>
      <c r="X786" s="32" t="n">
        <f aca="false">ROUNDUP(J786/INDEX('Tabela Passaro'!$T$2:$T$1795,$N786),0)*INDEX('Tabela Passaro'!$S$2:$S$1795,$N786)</f>
        <v>0</v>
      </c>
      <c r="Y786" s="32" t="n">
        <f aca="false">INDEX('Tabela Passaro'!$U$2:$U$1795,$N786)</f>
        <v>0</v>
      </c>
      <c r="Z786" s="32" t="n">
        <f aca="false">INDEX('Tabela Passaro'!$V$2:$V$1795,$N786)</f>
        <v>0</v>
      </c>
      <c r="AA786" s="32" t="n">
        <f aca="false">SUM(R786:Z786)</f>
        <v>215.63486</v>
      </c>
      <c r="AB786" s="33" t="n">
        <f aca="false">INDEX(Premissas!$B$5:$B$13,MATCH(A786,Premissas!$A$5:$A$13,0))</f>
        <v>0.07</v>
      </c>
      <c r="AC786" s="32" t="n">
        <f aca="false">AA786/(1-AB786)-AA786</f>
        <v>16.2305808602151</v>
      </c>
      <c r="AD786" s="32" t="n">
        <f aca="false">ROUND(AA786+AC786,2)</f>
        <v>231.87</v>
      </c>
      <c r="AE786" s="32" t="n">
        <f aca="false">AD786-L786</f>
        <v>34.08</v>
      </c>
      <c r="AF786" s="34" t="n">
        <f aca="false">IF(L786=0,0,AE786/L786)</f>
        <v>0.172303958744123</v>
      </c>
      <c r="AG786" s="22" t="str">
        <f aca="false">IF(AD786&lt;L786,"PASSARO","ATUAL")</f>
        <v>ATUAL</v>
      </c>
      <c r="AH786" s="22" t="str">
        <f aca="false">IF(P786&lt;&gt;A786,"Faixa cadastrada como "&amp;P786&amp;" na tabela; preço aplicado pela UF do CEP","")</f>
        <v/>
      </c>
      <c r="AI786" s="26" t="n">
        <v>274.35</v>
      </c>
      <c r="AJ786" s="22" t="str">
        <f aca="false">INDEX('Tabela Passaro'!$X$2:$X$1795,$N786)</f>
        <v>CAPITAL</v>
      </c>
    </row>
    <row r="787" customFormat="false" ht="15" hidden="false" customHeight="false" outlineLevel="0" collapsed="false">
      <c r="A787" s="22" t="s">
        <v>17</v>
      </c>
      <c r="B787" s="22" t="n">
        <v>1</v>
      </c>
      <c r="C787" s="22" t="s">
        <v>95</v>
      </c>
      <c r="D787" s="22" t="s">
        <v>30</v>
      </c>
      <c r="E787" s="22" t="s">
        <v>7328</v>
      </c>
      <c r="F787" s="22" t="n">
        <v>2314436</v>
      </c>
      <c r="G787" s="30" t="n">
        <v>46254</v>
      </c>
      <c r="H787" s="22" t="n">
        <v>134266</v>
      </c>
      <c r="I787" s="22" t="s">
        <v>8054</v>
      </c>
      <c r="J787" s="31" t="n">
        <v>43.5</v>
      </c>
      <c r="K787" s="26" t="n">
        <v>899.98</v>
      </c>
      <c r="L787" s="26" t="n">
        <v>166.43</v>
      </c>
      <c r="M787" s="22" t="s">
        <v>2349</v>
      </c>
      <c r="N787" s="22" t="n">
        <f aca="false">MATCH(M787,'Tabela Passaro'!$A$2:$A$1795,0)</f>
        <v>522</v>
      </c>
      <c r="O787" s="22" t="str">
        <f aca="false">INDEX('Tabela Passaro'!$C$2:$C$1795,$N787)</f>
        <v>FORTALEZA</v>
      </c>
      <c r="P787" s="22" t="str">
        <f aca="false">INDEX('Tabela Passaro'!$B$2:$B$1795,$N787)</f>
        <v>CE</v>
      </c>
      <c r="Q787" s="22" t="n">
        <f aca="false">INDEX('Tabela Passaro'!$F$2:$F$1795,$N787)</f>
        <v>8</v>
      </c>
      <c r="R787" s="32" t="n">
        <f aca="false">IF(J787&lt;=10,INDEX('Tabela Passaro'!$G$2:$G$1795,$N787),IF(J787&lt;=30,INDEX('Tabela Passaro'!$H$2:$H$1795,$N787),IF(J787&lt;=50,INDEX('Tabela Passaro'!$I$2:$I$1795,$N787),IF(J787&lt;=70,INDEX('Tabela Passaro'!$J$2:$J$1795,$N787),IF(J787&lt;=100,INDEX('Tabela Passaro'!$K$2:$K$1795,$N787),INDEX('Tabela Passaro'!$K$2:$K$1795,$N787)+(J787-100)*INDEX('Tabela Passaro'!$L$2:$L$1795,$N787))))))</f>
        <v>152.98</v>
      </c>
      <c r="S787" s="32" t="n">
        <f aca="false">K787*INDEX('Tabela Passaro'!$M$2:$M$1795,$N787)</f>
        <v>4.4999</v>
      </c>
      <c r="T787" s="32" t="n">
        <f aca="false">K787*INDEX('Tabela Passaro'!$N$2:$N$1795,$N787)</f>
        <v>1.79996</v>
      </c>
      <c r="U787" s="32" t="n">
        <f aca="false">INDEX('Tabela Passaro'!$O$2:$O$1795,$N787)</f>
        <v>5</v>
      </c>
      <c r="V787" s="32" t="n">
        <f aca="false">ROUNDUP(J787/INDEX('Tabela Passaro'!$Q$2:$Q$1795,$N787),0)*INDEX('Tabela Passaro'!$P$2:$P$1795,$N787)</f>
        <v>5</v>
      </c>
      <c r="W787" s="32" t="n">
        <f aca="false">INDEX('Tabela Passaro'!$R$2:$R$1795,$N787)</f>
        <v>30</v>
      </c>
      <c r="X787" s="32" t="n">
        <f aca="false">ROUNDUP(J787/INDEX('Tabela Passaro'!$T$2:$T$1795,$N787),0)*INDEX('Tabela Passaro'!$S$2:$S$1795,$N787)</f>
        <v>0</v>
      </c>
      <c r="Y787" s="32" t="n">
        <f aca="false">INDEX('Tabela Passaro'!$U$2:$U$1795,$N787)</f>
        <v>0</v>
      </c>
      <c r="Z787" s="32" t="n">
        <f aca="false">INDEX('Tabela Passaro'!$V$2:$V$1795,$N787)</f>
        <v>0</v>
      </c>
      <c r="AA787" s="32" t="n">
        <f aca="false">SUM(R787:Z787)</f>
        <v>199.27986</v>
      </c>
      <c r="AB787" s="33" t="n">
        <f aca="false">INDEX(Premissas!$B$5:$B$13,MATCH(A787,Premissas!$A$5:$A$13,0))</f>
        <v>0.07</v>
      </c>
      <c r="AC787" s="32" t="n">
        <f aca="false">AA787/(1-AB787)-AA787</f>
        <v>14.9995593548387</v>
      </c>
      <c r="AD787" s="32" t="n">
        <f aca="false">ROUND(AA787+AC787,2)</f>
        <v>214.28</v>
      </c>
      <c r="AE787" s="32" t="n">
        <f aca="false">AD787-L787</f>
        <v>47.85</v>
      </c>
      <c r="AF787" s="34" t="n">
        <f aca="false">IF(L787=0,0,AE787/L787)</f>
        <v>0.287508261731659</v>
      </c>
      <c r="AG787" s="22" t="str">
        <f aca="false">IF(AD787&lt;L787,"PASSARO","ATUAL")</f>
        <v>ATUAL</v>
      </c>
      <c r="AH787" s="22" t="str">
        <f aca="false">IF(P787&lt;&gt;A787,"Faixa cadastrada como "&amp;P787&amp;" na tabela; preço aplicado pela UF do CEP","")</f>
        <v/>
      </c>
      <c r="AI787" s="26" t="n">
        <v>251.54</v>
      </c>
      <c r="AJ787" s="22" t="str">
        <f aca="false">INDEX('Tabela Passaro'!$X$2:$X$1795,$N787)</f>
        <v>CAPITAL</v>
      </c>
    </row>
    <row r="788" customFormat="false" ht="15" hidden="false" customHeight="false" outlineLevel="0" collapsed="false">
      <c r="A788" s="22" t="s">
        <v>17</v>
      </c>
      <c r="B788" s="22" t="n">
        <v>1</v>
      </c>
      <c r="C788" s="22" t="s">
        <v>95</v>
      </c>
      <c r="D788" s="22" t="s">
        <v>30</v>
      </c>
      <c r="E788" s="22" t="s">
        <v>7328</v>
      </c>
      <c r="F788" s="22" t="n">
        <v>2314439</v>
      </c>
      <c r="G788" s="30" t="n">
        <v>46254</v>
      </c>
      <c r="H788" s="22" t="n">
        <v>134269</v>
      </c>
      <c r="I788" s="22" t="s">
        <v>8055</v>
      </c>
      <c r="J788" s="31" t="n">
        <v>124.2</v>
      </c>
      <c r="K788" s="26" t="n">
        <v>2179.98</v>
      </c>
      <c r="L788" s="26" t="n">
        <v>320.13</v>
      </c>
      <c r="M788" s="22" t="s">
        <v>2349</v>
      </c>
      <c r="N788" s="22" t="n">
        <f aca="false">MATCH(M788,'Tabela Passaro'!$A$2:$A$1795,0)</f>
        <v>522</v>
      </c>
      <c r="O788" s="22" t="str">
        <f aca="false">INDEX('Tabela Passaro'!$C$2:$C$1795,$N788)</f>
        <v>FORTALEZA</v>
      </c>
      <c r="P788" s="22" t="str">
        <f aca="false">INDEX('Tabela Passaro'!$B$2:$B$1795,$N788)</f>
        <v>CE</v>
      </c>
      <c r="Q788" s="22" t="n">
        <f aca="false">INDEX('Tabela Passaro'!$F$2:$F$1795,$N788)</f>
        <v>8</v>
      </c>
      <c r="R788" s="32" t="n">
        <f aca="false">IF(J788&lt;=10,INDEX('Tabela Passaro'!$G$2:$G$1795,$N788),IF(J788&lt;=30,INDEX('Tabela Passaro'!$H$2:$H$1795,$N788),IF(J788&lt;=50,INDEX('Tabela Passaro'!$I$2:$I$1795,$N788),IF(J788&lt;=70,INDEX('Tabela Passaro'!$J$2:$J$1795,$N788),IF(J788&lt;=100,INDEX('Tabela Passaro'!$K$2:$K$1795,$N788),INDEX('Tabela Passaro'!$K$2:$K$1795,$N788)+(J788-100)*INDEX('Tabela Passaro'!$L$2:$L$1795,$N788))))))</f>
        <v>227.32</v>
      </c>
      <c r="S788" s="32" t="n">
        <f aca="false">K788*INDEX('Tabela Passaro'!$M$2:$M$1795,$N788)</f>
        <v>10.8999</v>
      </c>
      <c r="T788" s="32" t="n">
        <f aca="false">K788*INDEX('Tabela Passaro'!$N$2:$N$1795,$N788)</f>
        <v>4.35996</v>
      </c>
      <c r="U788" s="32" t="n">
        <f aca="false">INDEX('Tabela Passaro'!$O$2:$O$1795,$N788)</f>
        <v>5</v>
      </c>
      <c r="V788" s="32" t="n">
        <f aca="false">ROUNDUP(J788/INDEX('Tabela Passaro'!$Q$2:$Q$1795,$N788),0)*INDEX('Tabela Passaro'!$P$2:$P$1795,$N788)</f>
        <v>10</v>
      </c>
      <c r="W788" s="32" t="n">
        <f aca="false">INDEX('Tabela Passaro'!$R$2:$R$1795,$N788)</f>
        <v>30</v>
      </c>
      <c r="X788" s="32" t="n">
        <f aca="false">ROUNDUP(J788/INDEX('Tabela Passaro'!$T$2:$T$1795,$N788),0)*INDEX('Tabela Passaro'!$S$2:$S$1795,$N788)</f>
        <v>0</v>
      </c>
      <c r="Y788" s="32" t="n">
        <f aca="false">INDEX('Tabela Passaro'!$U$2:$U$1795,$N788)</f>
        <v>0</v>
      </c>
      <c r="Z788" s="32" t="n">
        <f aca="false">INDEX('Tabela Passaro'!$V$2:$V$1795,$N788)</f>
        <v>0</v>
      </c>
      <c r="AA788" s="32" t="n">
        <f aca="false">SUM(R788:Z788)</f>
        <v>287.57986</v>
      </c>
      <c r="AB788" s="33" t="n">
        <f aca="false">INDEX(Premissas!$B$5:$B$13,MATCH(A788,Premissas!$A$5:$A$13,0))</f>
        <v>0.07</v>
      </c>
      <c r="AC788" s="32" t="n">
        <f aca="false">AA788/(1-AB788)-AA788</f>
        <v>21.6457959139785</v>
      </c>
      <c r="AD788" s="32" t="n">
        <f aca="false">ROUND(AA788+AC788,2)</f>
        <v>309.23</v>
      </c>
      <c r="AE788" s="32" t="n">
        <f aca="false">AD788-L788</f>
        <v>-10.9</v>
      </c>
      <c r="AF788" s="34" t="n">
        <f aca="false">IF(L788=0,0,AE788/L788)</f>
        <v>-0.0340486677287351</v>
      </c>
      <c r="AG788" s="22" t="str">
        <f aca="false">IF(AD788&lt;L788,"PASSARO","ATUAL")</f>
        <v>PASSARO</v>
      </c>
      <c r="AH788" s="22" t="str">
        <f aca="false">IF(P788&lt;&gt;A788,"Faixa cadastrada como "&amp;P788&amp;" na tabela; preço aplicado pela UF do CEP","")</f>
        <v/>
      </c>
      <c r="AI788" s="26" t="n">
        <v>395.78</v>
      </c>
      <c r="AJ788" s="22" t="str">
        <f aca="false">INDEX('Tabela Passaro'!$X$2:$X$1795,$N788)</f>
        <v>CAPITAL</v>
      </c>
    </row>
    <row r="789" customFormat="false" ht="15" hidden="false" customHeight="false" outlineLevel="0" collapsed="false">
      <c r="A789" s="22" t="s">
        <v>17</v>
      </c>
      <c r="B789" s="22" t="n">
        <v>1</v>
      </c>
      <c r="C789" s="22" t="s">
        <v>95</v>
      </c>
      <c r="D789" s="22" t="s">
        <v>30</v>
      </c>
      <c r="E789" s="22" t="s">
        <v>7328</v>
      </c>
      <c r="F789" s="22" t="n">
        <v>2314447</v>
      </c>
      <c r="G789" s="30" t="n">
        <v>46254</v>
      </c>
      <c r="H789" s="22" t="n">
        <v>134275</v>
      </c>
      <c r="I789" s="22" t="s">
        <v>8056</v>
      </c>
      <c r="J789" s="31" t="n">
        <v>41.5</v>
      </c>
      <c r="K789" s="26" t="n">
        <v>759.98</v>
      </c>
      <c r="L789" s="26" t="n">
        <v>165.32</v>
      </c>
      <c r="M789" s="22" t="s">
        <v>2349</v>
      </c>
      <c r="N789" s="22" t="n">
        <f aca="false">MATCH(M789,'Tabela Passaro'!$A$2:$A$1795,0)</f>
        <v>522</v>
      </c>
      <c r="O789" s="22" t="str">
        <f aca="false">INDEX('Tabela Passaro'!$C$2:$C$1795,$N789)</f>
        <v>FORTALEZA</v>
      </c>
      <c r="P789" s="22" t="str">
        <f aca="false">INDEX('Tabela Passaro'!$B$2:$B$1795,$N789)</f>
        <v>CE</v>
      </c>
      <c r="Q789" s="22" t="n">
        <f aca="false">INDEX('Tabela Passaro'!$F$2:$F$1795,$N789)</f>
        <v>8</v>
      </c>
      <c r="R789" s="32" t="n">
        <f aca="false">IF(J789&lt;=10,INDEX('Tabela Passaro'!$G$2:$G$1795,$N789),IF(J789&lt;=30,INDEX('Tabela Passaro'!$H$2:$H$1795,$N789),IF(J789&lt;=50,INDEX('Tabela Passaro'!$I$2:$I$1795,$N789),IF(J789&lt;=70,INDEX('Tabela Passaro'!$J$2:$J$1795,$N789),IF(J789&lt;=100,INDEX('Tabela Passaro'!$K$2:$K$1795,$N789),INDEX('Tabela Passaro'!$K$2:$K$1795,$N789)+(J789-100)*INDEX('Tabela Passaro'!$L$2:$L$1795,$N789))))))</f>
        <v>152.98</v>
      </c>
      <c r="S789" s="32" t="n">
        <f aca="false">K789*INDEX('Tabela Passaro'!$M$2:$M$1795,$N789)</f>
        <v>3.7999</v>
      </c>
      <c r="T789" s="32" t="n">
        <f aca="false">K789*INDEX('Tabela Passaro'!$N$2:$N$1795,$N789)</f>
        <v>1.51996</v>
      </c>
      <c r="U789" s="32" t="n">
        <f aca="false">INDEX('Tabela Passaro'!$O$2:$O$1795,$N789)</f>
        <v>5</v>
      </c>
      <c r="V789" s="32" t="n">
        <f aca="false">ROUNDUP(J789/INDEX('Tabela Passaro'!$Q$2:$Q$1795,$N789),0)*INDEX('Tabela Passaro'!$P$2:$P$1795,$N789)</f>
        <v>5</v>
      </c>
      <c r="W789" s="32" t="n">
        <f aca="false">INDEX('Tabela Passaro'!$R$2:$R$1795,$N789)</f>
        <v>30</v>
      </c>
      <c r="X789" s="32" t="n">
        <f aca="false">ROUNDUP(J789/INDEX('Tabela Passaro'!$T$2:$T$1795,$N789),0)*INDEX('Tabela Passaro'!$S$2:$S$1795,$N789)</f>
        <v>0</v>
      </c>
      <c r="Y789" s="32" t="n">
        <f aca="false">INDEX('Tabela Passaro'!$U$2:$U$1795,$N789)</f>
        <v>0</v>
      </c>
      <c r="Z789" s="32" t="n">
        <f aca="false">INDEX('Tabela Passaro'!$V$2:$V$1795,$N789)</f>
        <v>0</v>
      </c>
      <c r="AA789" s="32" t="n">
        <f aca="false">SUM(R789:Z789)</f>
        <v>198.29986</v>
      </c>
      <c r="AB789" s="33" t="n">
        <f aca="false">INDEX(Premissas!$B$5:$B$13,MATCH(A789,Premissas!$A$5:$A$13,0))</f>
        <v>0.07</v>
      </c>
      <c r="AC789" s="32" t="n">
        <f aca="false">AA789/(1-AB789)-AA789</f>
        <v>14.9257959139785</v>
      </c>
      <c r="AD789" s="32" t="n">
        <f aca="false">ROUND(AA789+AC789,2)</f>
        <v>213.23</v>
      </c>
      <c r="AE789" s="32" t="n">
        <f aca="false">AD789-L789</f>
        <v>47.91</v>
      </c>
      <c r="AF789" s="34" t="n">
        <f aca="false">IF(L789=0,0,AE789/L789)</f>
        <v>0.289801596902976</v>
      </c>
      <c r="AG789" s="22" t="str">
        <f aca="false">IF(AD789&lt;L789,"PASSARO","ATUAL")</f>
        <v>ATUAL</v>
      </c>
      <c r="AH789" s="22" t="str">
        <f aca="false">IF(P789&lt;&gt;A789,"Faixa cadastrada como "&amp;P789&amp;" na tabela; preço aplicado pela UF do CEP","")</f>
        <v/>
      </c>
      <c r="AI789" s="26" t="n">
        <v>249.21</v>
      </c>
      <c r="AJ789" s="22" t="str">
        <f aca="false">INDEX('Tabela Passaro'!$X$2:$X$1795,$N789)</f>
        <v>CAPITAL</v>
      </c>
    </row>
    <row r="790" customFormat="false" ht="15" hidden="false" customHeight="false" outlineLevel="0" collapsed="false">
      <c r="A790" s="22" t="s">
        <v>17</v>
      </c>
      <c r="B790" s="22" t="n">
        <v>1</v>
      </c>
      <c r="C790" s="22" t="s">
        <v>95</v>
      </c>
      <c r="D790" s="22" t="s">
        <v>30</v>
      </c>
      <c r="E790" s="22" t="s">
        <v>20</v>
      </c>
      <c r="F790" s="22" t="n">
        <v>839842</v>
      </c>
      <c r="G790" s="30" t="n">
        <v>46255</v>
      </c>
      <c r="H790" s="22" t="n">
        <v>32595</v>
      </c>
      <c r="I790" s="22" t="s">
        <v>8057</v>
      </c>
      <c r="J790" s="31" t="n">
        <v>27.6</v>
      </c>
      <c r="K790" s="26" t="n">
        <v>727.16</v>
      </c>
      <c r="L790" s="26" t="n">
        <v>116.84</v>
      </c>
      <c r="M790" s="22" t="s">
        <v>2349</v>
      </c>
      <c r="N790" s="22" t="n">
        <f aca="false">MATCH(M790,'Tabela Passaro'!$A$2:$A$1795,0)</f>
        <v>522</v>
      </c>
      <c r="O790" s="22" t="str">
        <f aca="false">INDEX('Tabela Passaro'!$C$2:$C$1795,$N790)</f>
        <v>FORTALEZA</v>
      </c>
      <c r="P790" s="22" t="str">
        <f aca="false">INDEX('Tabela Passaro'!$B$2:$B$1795,$N790)</f>
        <v>CE</v>
      </c>
      <c r="Q790" s="22" t="n">
        <f aca="false">INDEX('Tabela Passaro'!$F$2:$F$1795,$N790)</f>
        <v>8</v>
      </c>
      <c r="R790" s="32" t="n">
        <f aca="false">IF(J790&lt;=10,INDEX('Tabela Passaro'!$G$2:$G$1795,$N790),IF(J790&lt;=30,INDEX('Tabela Passaro'!$H$2:$H$1795,$N790),IF(J790&lt;=50,INDEX('Tabela Passaro'!$I$2:$I$1795,$N790),IF(J790&lt;=70,INDEX('Tabela Passaro'!$J$2:$J$1795,$N790),IF(J790&lt;=100,INDEX('Tabela Passaro'!$K$2:$K$1795,$N790),INDEX('Tabela Passaro'!$K$2:$K$1795,$N790)+(J790-100)*INDEX('Tabela Passaro'!$L$2:$L$1795,$N790))))))</f>
        <v>130.85</v>
      </c>
      <c r="S790" s="32" t="n">
        <f aca="false">K790*INDEX('Tabela Passaro'!$M$2:$M$1795,$N790)</f>
        <v>3.6358</v>
      </c>
      <c r="T790" s="32" t="n">
        <f aca="false">K790*INDEX('Tabela Passaro'!$N$2:$N$1795,$N790)</f>
        <v>1.45432</v>
      </c>
      <c r="U790" s="32" t="n">
        <f aca="false">INDEX('Tabela Passaro'!$O$2:$O$1795,$N790)</f>
        <v>5</v>
      </c>
      <c r="V790" s="32" t="n">
        <f aca="false">ROUNDUP(J790/INDEX('Tabela Passaro'!$Q$2:$Q$1795,$N790),0)*INDEX('Tabela Passaro'!$P$2:$P$1795,$N790)</f>
        <v>5</v>
      </c>
      <c r="W790" s="32" t="n">
        <f aca="false">INDEX('Tabela Passaro'!$R$2:$R$1795,$N790)</f>
        <v>30</v>
      </c>
      <c r="X790" s="32" t="n">
        <f aca="false">ROUNDUP(J790/INDEX('Tabela Passaro'!$T$2:$T$1795,$N790),0)*INDEX('Tabela Passaro'!$S$2:$S$1795,$N790)</f>
        <v>0</v>
      </c>
      <c r="Y790" s="32" t="n">
        <f aca="false">INDEX('Tabela Passaro'!$U$2:$U$1795,$N790)</f>
        <v>0</v>
      </c>
      <c r="Z790" s="32" t="n">
        <f aca="false">INDEX('Tabela Passaro'!$V$2:$V$1795,$N790)</f>
        <v>0</v>
      </c>
      <c r="AA790" s="32" t="n">
        <f aca="false">SUM(R790:Z790)</f>
        <v>175.94012</v>
      </c>
      <c r="AB790" s="33" t="n">
        <f aca="false">INDEX(Premissas!$B$5:$B$13,MATCH(A790,Premissas!$A$5:$A$13,0))</f>
        <v>0.07</v>
      </c>
      <c r="AC790" s="32" t="n">
        <f aca="false">AA790/(1-AB790)-AA790</f>
        <v>13.2428047311828</v>
      </c>
      <c r="AD790" s="32" t="n">
        <f aca="false">ROUND(AA790+AC790,2)</f>
        <v>189.18</v>
      </c>
      <c r="AE790" s="32" t="n">
        <f aca="false">AD790-L790</f>
        <v>72.34</v>
      </c>
      <c r="AF790" s="34" t="n">
        <f aca="false">IF(L790=0,0,AE790/L790)</f>
        <v>0.619137281752824</v>
      </c>
      <c r="AG790" s="22" t="str">
        <f aca="false">IF(AD790&lt;L790,"PASSARO","ATUAL")</f>
        <v>ATUAL</v>
      </c>
      <c r="AH790" s="22" t="str">
        <f aca="false">IF(P790&lt;&gt;A790,"Faixa cadastrada como "&amp;P790&amp;" na tabela; preço aplicado pela UF do CEP","")</f>
        <v/>
      </c>
      <c r="AI790" s="26" t="n">
        <v>217.08</v>
      </c>
      <c r="AJ790" s="22" t="str">
        <f aca="false">INDEX('Tabela Passaro'!$X$2:$X$1795,$N790)</f>
        <v>CAPITAL</v>
      </c>
    </row>
    <row r="791" customFormat="false" ht="15" hidden="false" customHeight="false" outlineLevel="0" collapsed="false">
      <c r="A791" s="22" t="s">
        <v>17</v>
      </c>
      <c r="B791" s="22" t="n">
        <v>1</v>
      </c>
      <c r="C791" s="22" t="s">
        <v>95</v>
      </c>
      <c r="D791" s="22" t="s">
        <v>30</v>
      </c>
      <c r="E791" s="22" t="s">
        <v>7326</v>
      </c>
      <c r="F791" s="22" t="n">
        <v>526676</v>
      </c>
      <c r="G791" s="30" t="n">
        <v>46255</v>
      </c>
      <c r="H791" s="22" t="n">
        <v>627726</v>
      </c>
      <c r="I791" s="22" t="s">
        <v>8058</v>
      </c>
      <c r="J791" s="31" t="n">
        <v>29.2</v>
      </c>
      <c r="K791" s="26" t="n">
        <v>513.93</v>
      </c>
      <c r="L791" s="26" t="n">
        <v>134.83</v>
      </c>
      <c r="M791" s="22" t="s">
        <v>2349</v>
      </c>
      <c r="N791" s="22" t="n">
        <f aca="false">MATCH(M791,'Tabela Passaro'!$A$2:$A$1795,0)</f>
        <v>522</v>
      </c>
      <c r="O791" s="22" t="str">
        <f aca="false">INDEX('Tabela Passaro'!$C$2:$C$1795,$N791)</f>
        <v>FORTALEZA</v>
      </c>
      <c r="P791" s="22" t="str">
        <f aca="false">INDEX('Tabela Passaro'!$B$2:$B$1795,$N791)</f>
        <v>CE</v>
      </c>
      <c r="Q791" s="22" t="n">
        <f aca="false">INDEX('Tabela Passaro'!$F$2:$F$1795,$N791)</f>
        <v>8</v>
      </c>
      <c r="R791" s="32" t="n">
        <f aca="false">IF(J791&lt;=10,INDEX('Tabela Passaro'!$G$2:$G$1795,$N791),IF(J791&lt;=30,INDEX('Tabela Passaro'!$H$2:$H$1795,$N791),IF(J791&lt;=50,INDEX('Tabela Passaro'!$I$2:$I$1795,$N791),IF(J791&lt;=70,INDEX('Tabela Passaro'!$J$2:$J$1795,$N791),IF(J791&lt;=100,INDEX('Tabela Passaro'!$K$2:$K$1795,$N791),INDEX('Tabela Passaro'!$K$2:$K$1795,$N791)+(J791-100)*INDEX('Tabela Passaro'!$L$2:$L$1795,$N791))))))</f>
        <v>130.85</v>
      </c>
      <c r="S791" s="32" t="n">
        <f aca="false">K791*INDEX('Tabela Passaro'!$M$2:$M$1795,$N791)</f>
        <v>2.56965</v>
      </c>
      <c r="T791" s="32" t="n">
        <f aca="false">K791*INDEX('Tabela Passaro'!$N$2:$N$1795,$N791)</f>
        <v>1.02786</v>
      </c>
      <c r="U791" s="32" t="n">
        <f aca="false">INDEX('Tabela Passaro'!$O$2:$O$1795,$N791)</f>
        <v>5</v>
      </c>
      <c r="V791" s="32" t="n">
        <f aca="false">ROUNDUP(J791/INDEX('Tabela Passaro'!$Q$2:$Q$1795,$N791),0)*INDEX('Tabela Passaro'!$P$2:$P$1795,$N791)</f>
        <v>5</v>
      </c>
      <c r="W791" s="32" t="n">
        <f aca="false">INDEX('Tabela Passaro'!$R$2:$R$1795,$N791)</f>
        <v>30</v>
      </c>
      <c r="X791" s="32" t="n">
        <f aca="false">ROUNDUP(J791/INDEX('Tabela Passaro'!$T$2:$T$1795,$N791),0)*INDEX('Tabela Passaro'!$S$2:$S$1795,$N791)</f>
        <v>0</v>
      </c>
      <c r="Y791" s="32" t="n">
        <f aca="false">INDEX('Tabela Passaro'!$U$2:$U$1795,$N791)</f>
        <v>0</v>
      </c>
      <c r="Z791" s="32" t="n">
        <f aca="false">INDEX('Tabela Passaro'!$V$2:$V$1795,$N791)</f>
        <v>0</v>
      </c>
      <c r="AA791" s="32" t="n">
        <f aca="false">SUM(R791:Z791)</f>
        <v>174.44751</v>
      </c>
      <c r="AB791" s="33" t="n">
        <f aca="false">INDEX(Premissas!$B$5:$B$13,MATCH(A791,Premissas!$A$5:$A$13,0))</f>
        <v>0.07</v>
      </c>
      <c r="AC791" s="32" t="n">
        <f aca="false">AA791/(1-AB791)-AA791</f>
        <v>13.1304577419355</v>
      </c>
      <c r="AD791" s="32" t="n">
        <f aca="false">ROUND(AA791+AC791,2)</f>
        <v>187.58</v>
      </c>
      <c r="AE791" s="32" t="n">
        <f aca="false">AD791-L791</f>
        <v>52.75</v>
      </c>
      <c r="AF791" s="34" t="n">
        <f aca="false">IF(L791=0,0,AE791/L791)</f>
        <v>0.391233405028554</v>
      </c>
      <c r="AG791" s="22" t="str">
        <f aca="false">IF(AD791&lt;L791,"PASSARO","ATUAL")</f>
        <v>ATUAL</v>
      </c>
      <c r="AH791" s="22" t="str">
        <f aca="false">IF(P791&lt;&gt;A791,"Faixa cadastrada como "&amp;P791&amp;" na tabela; preço aplicado pela UF do CEP","")</f>
        <v/>
      </c>
      <c r="AI791" s="26" t="n">
        <v>215.98</v>
      </c>
      <c r="AJ791" s="22" t="str">
        <f aca="false">INDEX('Tabela Passaro'!$X$2:$X$1795,$N791)</f>
        <v>CAPITAL</v>
      </c>
    </row>
    <row r="792" customFormat="false" ht="15" hidden="false" customHeight="false" outlineLevel="0" collapsed="false">
      <c r="A792" s="22" t="s">
        <v>17</v>
      </c>
      <c r="B792" s="22" t="n">
        <v>1</v>
      </c>
      <c r="C792" s="22" t="s">
        <v>95</v>
      </c>
      <c r="D792" s="22" t="s">
        <v>30</v>
      </c>
      <c r="E792" s="22" t="s">
        <v>20</v>
      </c>
      <c r="F792" s="22" t="n">
        <v>839933</v>
      </c>
      <c r="G792" s="30" t="n">
        <v>46258</v>
      </c>
      <c r="H792" s="22" t="n">
        <v>32618</v>
      </c>
      <c r="I792" s="22" t="s">
        <v>8059</v>
      </c>
      <c r="J792" s="31" t="n">
        <v>33</v>
      </c>
      <c r="K792" s="26" t="n">
        <v>580.27</v>
      </c>
      <c r="L792" s="26" t="n">
        <v>150.27</v>
      </c>
      <c r="M792" s="22" t="s">
        <v>2349</v>
      </c>
      <c r="N792" s="22" t="n">
        <f aca="false">MATCH(M792,'Tabela Passaro'!$A$2:$A$1795,0)</f>
        <v>522</v>
      </c>
      <c r="O792" s="22" t="str">
        <f aca="false">INDEX('Tabela Passaro'!$C$2:$C$1795,$N792)</f>
        <v>FORTALEZA</v>
      </c>
      <c r="P792" s="22" t="str">
        <f aca="false">INDEX('Tabela Passaro'!$B$2:$B$1795,$N792)</f>
        <v>CE</v>
      </c>
      <c r="Q792" s="22" t="n">
        <f aca="false">INDEX('Tabela Passaro'!$F$2:$F$1795,$N792)</f>
        <v>8</v>
      </c>
      <c r="R792" s="32" t="n">
        <f aca="false">IF(J792&lt;=10,INDEX('Tabela Passaro'!$G$2:$G$1795,$N792),IF(J792&lt;=30,INDEX('Tabela Passaro'!$H$2:$H$1795,$N792),IF(J792&lt;=50,INDEX('Tabela Passaro'!$I$2:$I$1795,$N792),IF(J792&lt;=70,INDEX('Tabela Passaro'!$J$2:$J$1795,$N792),IF(J792&lt;=100,INDEX('Tabela Passaro'!$K$2:$K$1795,$N792),INDEX('Tabela Passaro'!$K$2:$K$1795,$N792)+(J792-100)*INDEX('Tabela Passaro'!$L$2:$L$1795,$N792))))))</f>
        <v>152.98</v>
      </c>
      <c r="S792" s="32" t="n">
        <f aca="false">K792*INDEX('Tabela Passaro'!$M$2:$M$1795,$N792)</f>
        <v>2.90135</v>
      </c>
      <c r="T792" s="32" t="n">
        <f aca="false">K792*INDEX('Tabela Passaro'!$N$2:$N$1795,$N792)</f>
        <v>1.16054</v>
      </c>
      <c r="U792" s="32" t="n">
        <f aca="false">INDEX('Tabela Passaro'!$O$2:$O$1795,$N792)</f>
        <v>5</v>
      </c>
      <c r="V792" s="32" t="n">
        <f aca="false">ROUNDUP(J792/INDEX('Tabela Passaro'!$Q$2:$Q$1795,$N792),0)*INDEX('Tabela Passaro'!$P$2:$P$1795,$N792)</f>
        <v>5</v>
      </c>
      <c r="W792" s="32" t="n">
        <f aca="false">INDEX('Tabela Passaro'!$R$2:$R$1795,$N792)</f>
        <v>30</v>
      </c>
      <c r="X792" s="32" t="n">
        <f aca="false">ROUNDUP(J792/INDEX('Tabela Passaro'!$T$2:$T$1795,$N792),0)*INDEX('Tabela Passaro'!$S$2:$S$1795,$N792)</f>
        <v>0</v>
      </c>
      <c r="Y792" s="32" t="n">
        <f aca="false">INDEX('Tabela Passaro'!$U$2:$U$1795,$N792)</f>
        <v>0</v>
      </c>
      <c r="Z792" s="32" t="n">
        <f aca="false">INDEX('Tabela Passaro'!$V$2:$V$1795,$N792)</f>
        <v>0</v>
      </c>
      <c r="AA792" s="32" t="n">
        <f aca="false">SUM(R792:Z792)</f>
        <v>197.04189</v>
      </c>
      <c r="AB792" s="33" t="n">
        <f aca="false">INDEX(Premissas!$B$5:$B$13,MATCH(A792,Premissas!$A$5:$A$13,0))</f>
        <v>0.07</v>
      </c>
      <c r="AC792" s="32" t="n">
        <f aca="false">AA792/(1-AB792)-AA792</f>
        <v>14.83111</v>
      </c>
      <c r="AD792" s="32" t="n">
        <f aca="false">ROUND(AA792+AC792,2)</f>
        <v>211.87</v>
      </c>
      <c r="AE792" s="32" t="n">
        <f aca="false">AD792-L792</f>
        <v>61.6</v>
      </c>
      <c r="AF792" s="34" t="n">
        <f aca="false">IF(L792=0,0,AE792/L792)</f>
        <v>0.409928794835962</v>
      </c>
      <c r="AG792" s="22" t="str">
        <f aca="false">IF(AD792&lt;L792,"PASSARO","ATUAL")</f>
        <v>ATUAL</v>
      </c>
      <c r="AH792" s="22" t="str">
        <f aca="false">IF(P792&lt;&gt;A792,"Faixa cadastrada como "&amp;P792&amp;" na tabela; preço aplicado pela UF do CEP","")</f>
        <v/>
      </c>
      <c r="AI792" s="26" t="n">
        <v>243.12</v>
      </c>
      <c r="AJ792" s="22" t="str">
        <f aca="false">INDEX('Tabela Passaro'!$X$2:$X$1795,$N792)</f>
        <v>CAPITAL</v>
      </c>
    </row>
    <row r="793" customFormat="false" ht="15" hidden="false" customHeight="false" outlineLevel="0" collapsed="false">
      <c r="A793" s="22" t="s">
        <v>17</v>
      </c>
      <c r="B793" s="22" t="n">
        <v>1</v>
      </c>
      <c r="C793" s="22" t="s">
        <v>95</v>
      </c>
      <c r="D793" s="22" t="s">
        <v>30</v>
      </c>
      <c r="E793" s="22" t="s">
        <v>20</v>
      </c>
      <c r="F793" s="22" t="n">
        <v>839939</v>
      </c>
      <c r="G793" s="30" t="n">
        <v>46258</v>
      </c>
      <c r="H793" s="22" t="n">
        <v>32626</v>
      </c>
      <c r="I793" s="22" t="s">
        <v>8060</v>
      </c>
      <c r="J793" s="31" t="n">
        <v>27.6</v>
      </c>
      <c r="K793" s="26" t="n">
        <v>785.39</v>
      </c>
      <c r="L793" s="26" t="n">
        <v>117.35</v>
      </c>
      <c r="M793" s="22" t="s">
        <v>2349</v>
      </c>
      <c r="N793" s="22" t="n">
        <f aca="false">MATCH(M793,'Tabela Passaro'!$A$2:$A$1795,0)</f>
        <v>522</v>
      </c>
      <c r="O793" s="22" t="str">
        <f aca="false">INDEX('Tabela Passaro'!$C$2:$C$1795,$N793)</f>
        <v>FORTALEZA</v>
      </c>
      <c r="P793" s="22" t="str">
        <f aca="false">INDEX('Tabela Passaro'!$B$2:$B$1795,$N793)</f>
        <v>CE</v>
      </c>
      <c r="Q793" s="22" t="n">
        <f aca="false">INDEX('Tabela Passaro'!$F$2:$F$1795,$N793)</f>
        <v>8</v>
      </c>
      <c r="R793" s="32" t="n">
        <f aca="false">IF(J793&lt;=10,INDEX('Tabela Passaro'!$G$2:$G$1795,$N793),IF(J793&lt;=30,INDEX('Tabela Passaro'!$H$2:$H$1795,$N793),IF(J793&lt;=50,INDEX('Tabela Passaro'!$I$2:$I$1795,$N793),IF(J793&lt;=70,INDEX('Tabela Passaro'!$J$2:$J$1795,$N793),IF(J793&lt;=100,INDEX('Tabela Passaro'!$K$2:$K$1795,$N793),INDEX('Tabela Passaro'!$K$2:$K$1795,$N793)+(J793-100)*INDEX('Tabela Passaro'!$L$2:$L$1795,$N793))))))</f>
        <v>130.85</v>
      </c>
      <c r="S793" s="32" t="n">
        <f aca="false">K793*INDEX('Tabela Passaro'!$M$2:$M$1795,$N793)</f>
        <v>3.92695</v>
      </c>
      <c r="T793" s="32" t="n">
        <f aca="false">K793*INDEX('Tabela Passaro'!$N$2:$N$1795,$N793)</f>
        <v>1.57078</v>
      </c>
      <c r="U793" s="32" t="n">
        <f aca="false">INDEX('Tabela Passaro'!$O$2:$O$1795,$N793)</f>
        <v>5</v>
      </c>
      <c r="V793" s="32" t="n">
        <f aca="false">ROUNDUP(J793/INDEX('Tabela Passaro'!$Q$2:$Q$1795,$N793),0)*INDEX('Tabela Passaro'!$P$2:$P$1795,$N793)</f>
        <v>5</v>
      </c>
      <c r="W793" s="32" t="n">
        <f aca="false">INDEX('Tabela Passaro'!$R$2:$R$1795,$N793)</f>
        <v>30</v>
      </c>
      <c r="X793" s="32" t="n">
        <f aca="false">ROUNDUP(J793/INDEX('Tabela Passaro'!$T$2:$T$1795,$N793),0)*INDEX('Tabela Passaro'!$S$2:$S$1795,$N793)</f>
        <v>0</v>
      </c>
      <c r="Y793" s="32" t="n">
        <f aca="false">INDEX('Tabela Passaro'!$U$2:$U$1795,$N793)</f>
        <v>0</v>
      </c>
      <c r="Z793" s="32" t="n">
        <f aca="false">INDEX('Tabela Passaro'!$V$2:$V$1795,$N793)</f>
        <v>0</v>
      </c>
      <c r="AA793" s="32" t="n">
        <f aca="false">SUM(R793:Z793)</f>
        <v>176.34773</v>
      </c>
      <c r="AB793" s="33" t="n">
        <f aca="false">INDEX(Premissas!$B$5:$B$13,MATCH(A793,Premissas!$A$5:$A$13,0))</f>
        <v>0.07</v>
      </c>
      <c r="AC793" s="32" t="n">
        <f aca="false">AA793/(1-AB793)-AA793</f>
        <v>13.2734850537635</v>
      </c>
      <c r="AD793" s="32" t="n">
        <f aca="false">ROUND(AA793+AC793,2)</f>
        <v>189.62</v>
      </c>
      <c r="AE793" s="32" t="n">
        <f aca="false">AD793-L793</f>
        <v>72.27</v>
      </c>
      <c r="AF793" s="34" t="n">
        <f aca="false">IF(L793=0,0,AE793/L793)</f>
        <v>0.615850021303792</v>
      </c>
      <c r="AG793" s="22" t="str">
        <f aca="false">IF(AD793&lt;L793,"PASSARO","ATUAL")</f>
        <v>ATUAL</v>
      </c>
      <c r="AH793" s="22" t="str">
        <f aca="false">IF(P793&lt;&gt;A793,"Faixa cadastrada como "&amp;P793&amp;" na tabela; preço aplicado pela UF do CEP","")</f>
        <v/>
      </c>
      <c r="AI793" s="26" t="n">
        <v>217.64</v>
      </c>
      <c r="AJ793" s="22" t="str">
        <f aca="false">INDEX('Tabela Passaro'!$X$2:$X$1795,$N793)</f>
        <v>CAPITAL</v>
      </c>
    </row>
    <row r="794" customFormat="false" ht="15" hidden="false" customHeight="false" outlineLevel="0" collapsed="false">
      <c r="A794" s="22" t="s">
        <v>17</v>
      </c>
      <c r="B794" s="22" t="n">
        <v>1</v>
      </c>
      <c r="C794" s="22" t="s">
        <v>95</v>
      </c>
      <c r="D794" s="22" t="s">
        <v>30</v>
      </c>
      <c r="E794" s="22" t="s">
        <v>20</v>
      </c>
      <c r="F794" s="22" t="n">
        <v>839951</v>
      </c>
      <c r="G794" s="30" t="n">
        <v>46258</v>
      </c>
      <c r="H794" s="22" t="n">
        <v>32630</v>
      </c>
      <c r="I794" s="22" t="s">
        <v>8061</v>
      </c>
      <c r="J794" s="31" t="n">
        <v>26.9</v>
      </c>
      <c r="K794" s="26" t="n">
        <v>449.83</v>
      </c>
      <c r="L794" s="26" t="n">
        <v>114.34</v>
      </c>
      <c r="M794" s="22" t="s">
        <v>2349</v>
      </c>
      <c r="N794" s="22" t="n">
        <f aca="false">MATCH(M794,'Tabela Passaro'!$A$2:$A$1795,0)</f>
        <v>522</v>
      </c>
      <c r="O794" s="22" t="str">
        <f aca="false">INDEX('Tabela Passaro'!$C$2:$C$1795,$N794)</f>
        <v>FORTALEZA</v>
      </c>
      <c r="P794" s="22" t="str">
        <f aca="false">INDEX('Tabela Passaro'!$B$2:$B$1795,$N794)</f>
        <v>CE</v>
      </c>
      <c r="Q794" s="22" t="n">
        <f aca="false">INDEX('Tabela Passaro'!$F$2:$F$1795,$N794)</f>
        <v>8</v>
      </c>
      <c r="R794" s="32" t="n">
        <f aca="false">IF(J794&lt;=10,INDEX('Tabela Passaro'!$G$2:$G$1795,$N794),IF(J794&lt;=30,INDEX('Tabela Passaro'!$H$2:$H$1795,$N794),IF(J794&lt;=50,INDEX('Tabela Passaro'!$I$2:$I$1795,$N794),IF(J794&lt;=70,INDEX('Tabela Passaro'!$J$2:$J$1795,$N794),IF(J794&lt;=100,INDEX('Tabela Passaro'!$K$2:$K$1795,$N794),INDEX('Tabela Passaro'!$K$2:$K$1795,$N794)+(J794-100)*INDEX('Tabela Passaro'!$L$2:$L$1795,$N794))))))</f>
        <v>130.85</v>
      </c>
      <c r="S794" s="32" t="n">
        <f aca="false">K794*INDEX('Tabela Passaro'!$M$2:$M$1795,$N794)</f>
        <v>2.24915</v>
      </c>
      <c r="T794" s="32" t="n">
        <f aca="false">K794*INDEX('Tabela Passaro'!$N$2:$N$1795,$N794)</f>
        <v>0.89966</v>
      </c>
      <c r="U794" s="32" t="n">
        <f aca="false">INDEX('Tabela Passaro'!$O$2:$O$1795,$N794)</f>
        <v>5</v>
      </c>
      <c r="V794" s="32" t="n">
        <f aca="false">ROUNDUP(J794/INDEX('Tabela Passaro'!$Q$2:$Q$1795,$N794),0)*INDEX('Tabela Passaro'!$P$2:$P$1795,$N794)</f>
        <v>5</v>
      </c>
      <c r="W794" s="32" t="n">
        <f aca="false">INDEX('Tabela Passaro'!$R$2:$R$1795,$N794)</f>
        <v>30</v>
      </c>
      <c r="X794" s="32" t="n">
        <f aca="false">ROUNDUP(J794/INDEX('Tabela Passaro'!$T$2:$T$1795,$N794),0)*INDEX('Tabela Passaro'!$S$2:$S$1795,$N794)</f>
        <v>0</v>
      </c>
      <c r="Y794" s="32" t="n">
        <f aca="false">INDEX('Tabela Passaro'!$U$2:$U$1795,$N794)</f>
        <v>0</v>
      </c>
      <c r="Z794" s="32" t="n">
        <f aca="false">INDEX('Tabela Passaro'!$V$2:$V$1795,$N794)</f>
        <v>0</v>
      </c>
      <c r="AA794" s="32" t="n">
        <f aca="false">SUM(R794:Z794)</f>
        <v>173.99881</v>
      </c>
      <c r="AB794" s="33" t="n">
        <f aca="false">INDEX(Premissas!$B$5:$B$13,MATCH(A794,Premissas!$A$5:$A$13,0))</f>
        <v>0.07</v>
      </c>
      <c r="AC794" s="32" t="n">
        <f aca="false">AA794/(1-AB794)-AA794</f>
        <v>13.0966846236559</v>
      </c>
      <c r="AD794" s="32" t="n">
        <f aca="false">ROUND(AA794+AC794,2)</f>
        <v>187.1</v>
      </c>
      <c r="AE794" s="32" t="n">
        <f aca="false">AD794-L794</f>
        <v>72.76</v>
      </c>
      <c r="AF794" s="34" t="n">
        <f aca="false">IF(L794=0,0,AE794/L794)</f>
        <v>0.636347734825958</v>
      </c>
      <c r="AG794" s="22" t="str">
        <f aca="false">IF(AD794&lt;L794,"PASSARO","ATUAL")</f>
        <v>ATUAL</v>
      </c>
      <c r="AH794" s="22" t="str">
        <f aca="false">IF(P794&lt;&gt;A794,"Faixa cadastrada como "&amp;P794&amp;" na tabela; preço aplicado pela UF do CEP","")</f>
        <v/>
      </c>
      <c r="AI794" s="26" t="n">
        <v>213.91</v>
      </c>
      <c r="AJ794" s="22" t="str">
        <f aca="false">INDEX('Tabela Passaro'!$X$2:$X$1795,$N794)</f>
        <v>CAPITAL</v>
      </c>
    </row>
    <row r="795" customFormat="false" ht="15" hidden="false" customHeight="false" outlineLevel="0" collapsed="false">
      <c r="A795" s="22" t="s">
        <v>17</v>
      </c>
      <c r="B795" s="22" t="n">
        <v>1</v>
      </c>
      <c r="C795" s="22" t="s">
        <v>95</v>
      </c>
      <c r="D795" s="22" t="s">
        <v>30</v>
      </c>
      <c r="E795" s="22" t="s">
        <v>20</v>
      </c>
      <c r="F795" s="22" t="n">
        <v>839961</v>
      </c>
      <c r="G795" s="30" t="n">
        <v>46258</v>
      </c>
      <c r="H795" s="22" t="n">
        <v>32640</v>
      </c>
      <c r="I795" s="22" t="s">
        <v>8062</v>
      </c>
      <c r="J795" s="31" t="n">
        <v>65</v>
      </c>
      <c r="K795" s="26" t="n">
        <v>1241.36</v>
      </c>
      <c r="L795" s="26" t="n">
        <v>180.2</v>
      </c>
      <c r="M795" s="22" t="s">
        <v>2349</v>
      </c>
      <c r="N795" s="22" t="n">
        <f aca="false">MATCH(M795,'Tabela Passaro'!$A$2:$A$1795,0)</f>
        <v>522</v>
      </c>
      <c r="O795" s="22" t="str">
        <f aca="false">INDEX('Tabela Passaro'!$C$2:$C$1795,$N795)</f>
        <v>FORTALEZA</v>
      </c>
      <c r="P795" s="22" t="str">
        <f aca="false">INDEX('Tabela Passaro'!$B$2:$B$1795,$N795)</f>
        <v>CE</v>
      </c>
      <c r="Q795" s="22" t="n">
        <f aca="false">INDEX('Tabela Passaro'!$F$2:$F$1795,$N795)</f>
        <v>8</v>
      </c>
      <c r="R795" s="32" t="n">
        <f aca="false">IF(J795&lt;=10,INDEX('Tabela Passaro'!$G$2:$G$1795,$N795),IF(J795&lt;=30,INDEX('Tabela Passaro'!$H$2:$H$1795,$N795),IF(J795&lt;=50,INDEX('Tabela Passaro'!$I$2:$I$1795,$N795),IF(J795&lt;=70,INDEX('Tabela Passaro'!$J$2:$J$1795,$N795),IF(J795&lt;=100,INDEX('Tabela Passaro'!$K$2:$K$1795,$N795),INDEX('Tabela Passaro'!$K$2:$K$1795,$N795)+(J795-100)*INDEX('Tabela Passaro'!$L$2:$L$1795,$N795))))))</f>
        <v>169.58</v>
      </c>
      <c r="S795" s="32" t="n">
        <f aca="false">K795*INDEX('Tabela Passaro'!$M$2:$M$1795,$N795)</f>
        <v>6.2068</v>
      </c>
      <c r="T795" s="32" t="n">
        <f aca="false">K795*INDEX('Tabela Passaro'!$N$2:$N$1795,$N795)</f>
        <v>2.48272</v>
      </c>
      <c r="U795" s="32" t="n">
        <f aca="false">INDEX('Tabela Passaro'!$O$2:$O$1795,$N795)</f>
        <v>5</v>
      </c>
      <c r="V795" s="32" t="n">
        <f aca="false">ROUNDUP(J795/INDEX('Tabela Passaro'!$Q$2:$Q$1795,$N795),0)*INDEX('Tabela Passaro'!$P$2:$P$1795,$N795)</f>
        <v>5</v>
      </c>
      <c r="W795" s="32" t="n">
        <f aca="false">INDEX('Tabela Passaro'!$R$2:$R$1795,$N795)</f>
        <v>30</v>
      </c>
      <c r="X795" s="32" t="n">
        <f aca="false">ROUNDUP(J795/INDEX('Tabela Passaro'!$T$2:$T$1795,$N795),0)*INDEX('Tabela Passaro'!$S$2:$S$1795,$N795)</f>
        <v>0</v>
      </c>
      <c r="Y795" s="32" t="n">
        <f aca="false">INDEX('Tabela Passaro'!$U$2:$U$1795,$N795)</f>
        <v>0</v>
      </c>
      <c r="Z795" s="32" t="n">
        <f aca="false">INDEX('Tabela Passaro'!$V$2:$V$1795,$N795)</f>
        <v>0</v>
      </c>
      <c r="AA795" s="32" t="n">
        <f aca="false">SUM(R795:Z795)</f>
        <v>218.26952</v>
      </c>
      <c r="AB795" s="33" t="n">
        <f aca="false">INDEX(Premissas!$B$5:$B$13,MATCH(A795,Premissas!$A$5:$A$13,0))</f>
        <v>0.07</v>
      </c>
      <c r="AC795" s="32" t="n">
        <f aca="false">AA795/(1-AB795)-AA795</f>
        <v>16.4288886021506</v>
      </c>
      <c r="AD795" s="32" t="n">
        <f aca="false">ROUND(AA795+AC795,2)</f>
        <v>234.7</v>
      </c>
      <c r="AE795" s="32" t="n">
        <f aca="false">AD795-L795</f>
        <v>54.5</v>
      </c>
      <c r="AF795" s="34" t="n">
        <f aca="false">IF(L795=0,0,AE795/L795)</f>
        <v>0.302441731409545</v>
      </c>
      <c r="AG795" s="22" t="str">
        <f aca="false">IF(AD795&lt;L795,"PASSARO","ATUAL")</f>
        <v>ATUAL</v>
      </c>
      <c r="AH795" s="22" t="str">
        <f aca="false">IF(P795&lt;&gt;A795,"Faixa cadastrada como "&amp;P795&amp;" na tabela; preço aplicado pela UF do CEP","")</f>
        <v/>
      </c>
      <c r="AI795" s="26" t="n">
        <v>283.8</v>
      </c>
      <c r="AJ795" s="22" t="str">
        <f aca="false">INDEX('Tabela Passaro'!$X$2:$X$1795,$N795)</f>
        <v>CAPITAL</v>
      </c>
    </row>
    <row r="796" customFormat="false" ht="15" hidden="false" customHeight="false" outlineLevel="0" collapsed="false">
      <c r="A796" s="22" t="s">
        <v>17</v>
      </c>
      <c r="B796" s="22" t="n">
        <v>1</v>
      </c>
      <c r="C796" s="22" t="s">
        <v>95</v>
      </c>
      <c r="D796" s="22" t="s">
        <v>30</v>
      </c>
      <c r="E796" s="22" t="s">
        <v>7328</v>
      </c>
      <c r="F796" s="22" t="n">
        <v>2315638</v>
      </c>
      <c r="G796" s="30" t="n">
        <v>46258</v>
      </c>
      <c r="H796" s="22" t="n">
        <v>134363</v>
      </c>
      <c r="I796" s="22" t="s">
        <v>8063</v>
      </c>
      <c r="J796" s="31" t="n">
        <v>130.3</v>
      </c>
      <c r="K796" s="26" t="n">
        <v>1932.99</v>
      </c>
      <c r="L796" s="26" t="n">
        <v>326.79</v>
      </c>
      <c r="M796" s="22" t="s">
        <v>2349</v>
      </c>
      <c r="N796" s="22" t="n">
        <f aca="false">MATCH(M796,'Tabela Passaro'!$A$2:$A$1795,0)</f>
        <v>522</v>
      </c>
      <c r="O796" s="22" t="str">
        <f aca="false">INDEX('Tabela Passaro'!$C$2:$C$1795,$N796)</f>
        <v>FORTALEZA</v>
      </c>
      <c r="P796" s="22" t="str">
        <f aca="false">INDEX('Tabela Passaro'!$B$2:$B$1795,$N796)</f>
        <v>CE</v>
      </c>
      <c r="Q796" s="22" t="n">
        <f aca="false">INDEX('Tabela Passaro'!$F$2:$F$1795,$N796)</f>
        <v>8</v>
      </c>
      <c r="R796" s="32" t="n">
        <f aca="false">IF(J796&lt;=10,INDEX('Tabela Passaro'!$G$2:$G$1795,$N796),IF(J796&lt;=30,INDEX('Tabela Passaro'!$H$2:$H$1795,$N796),IF(J796&lt;=50,INDEX('Tabela Passaro'!$I$2:$I$1795,$N796),IF(J796&lt;=70,INDEX('Tabela Passaro'!$J$2:$J$1795,$N796),IF(J796&lt;=100,INDEX('Tabela Passaro'!$K$2:$K$1795,$N796),INDEX('Tabela Passaro'!$K$2:$K$1795,$N796)+(J796-100)*INDEX('Tabela Passaro'!$L$2:$L$1795,$N796))))))</f>
        <v>237.69</v>
      </c>
      <c r="S796" s="32" t="n">
        <f aca="false">K796*INDEX('Tabela Passaro'!$M$2:$M$1795,$N796)</f>
        <v>9.66495</v>
      </c>
      <c r="T796" s="32" t="n">
        <f aca="false">K796*INDEX('Tabela Passaro'!$N$2:$N$1795,$N796)</f>
        <v>3.86598</v>
      </c>
      <c r="U796" s="32" t="n">
        <f aca="false">INDEX('Tabela Passaro'!$O$2:$O$1795,$N796)</f>
        <v>5</v>
      </c>
      <c r="V796" s="32" t="n">
        <f aca="false">ROUNDUP(J796/INDEX('Tabela Passaro'!$Q$2:$Q$1795,$N796),0)*INDEX('Tabela Passaro'!$P$2:$P$1795,$N796)</f>
        <v>10</v>
      </c>
      <c r="W796" s="32" t="n">
        <f aca="false">INDEX('Tabela Passaro'!$R$2:$R$1795,$N796)</f>
        <v>30</v>
      </c>
      <c r="X796" s="32" t="n">
        <f aca="false">ROUNDUP(J796/INDEX('Tabela Passaro'!$T$2:$T$1795,$N796),0)*INDEX('Tabela Passaro'!$S$2:$S$1795,$N796)</f>
        <v>0</v>
      </c>
      <c r="Y796" s="32" t="n">
        <f aca="false">INDEX('Tabela Passaro'!$U$2:$U$1795,$N796)</f>
        <v>0</v>
      </c>
      <c r="Z796" s="32" t="n">
        <f aca="false">INDEX('Tabela Passaro'!$V$2:$V$1795,$N796)</f>
        <v>0</v>
      </c>
      <c r="AA796" s="32" t="n">
        <f aca="false">SUM(R796:Z796)</f>
        <v>296.22093</v>
      </c>
      <c r="AB796" s="33" t="n">
        <f aca="false">INDEX(Premissas!$B$5:$B$13,MATCH(A796,Premissas!$A$5:$A$13,0))</f>
        <v>0.07</v>
      </c>
      <c r="AC796" s="32" t="n">
        <f aca="false">AA796/(1-AB796)-AA796</f>
        <v>22.2961990322581</v>
      </c>
      <c r="AD796" s="32" t="n">
        <f aca="false">ROUND(AA796+AC796,2)</f>
        <v>318.52</v>
      </c>
      <c r="AE796" s="32" t="n">
        <f aca="false">AD796-L796</f>
        <v>-8.27000000000004</v>
      </c>
      <c r="AF796" s="34" t="n">
        <f aca="false">IF(L796=0,0,AE796/L796)</f>
        <v>-0.0253067719330458</v>
      </c>
      <c r="AG796" s="22" t="str">
        <f aca="false">IF(AD796&lt;L796,"PASSARO","ATUAL")</f>
        <v>PASSARO</v>
      </c>
      <c r="AH796" s="22" t="str">
        <f aca="false">IF(P796&lt;&gt;A796,"Faixa cadastrada como "&amp;P796&amp;" na tabela; preço aplicado pela UF do CEP","")</f>
        <v/>
      </c>
      <c r="AI796" s="26" t="n">
        <v>408.82</v>
      </c>
      <c r="AJ796" s="22" t="str">
        <f aca="false">INDEX('Tabela Passaro'!$X$2:$X$1795,$N796)</f>
        <v>CAPITAL</v>
      </c>
    </row>
    <row r="797" customFormat="false" ht="15" hidden="false" customHeight="false" outlineLevel="0" collapsed="false">
      <c r="A797" s="22" t="s">
        <v>17</v>
      </c>
      <c r="B797" s="22" t="n">
        <v>1</v>
      </c>
      <c r="C797" s="22" t="s">
        <v>95</v>
      </c>
      <c r="D797" s="22" t="s">
        <v>30</v>
      </c>
      <c r="E797" s="22" t="s">
        <v>7328</v>
      </c>
      <c r="F797" s="22" t="n">
        <v>2315650</v>
      </c>
      <c r="G797" s="30" t="n">
        <v>46258</v>
      </c>
      <c r="H797" s="22" t="n">
        <v>134375</v>
      </c>
      <c r="I797" s="22" t="s">
        <v>8064</v>
      </c>
      <c r="J797" s="31" t="n">
        <v>66.4</v>
      </c>
      <c r="K797" s="26" t="n">
        <v>919.05</v>
      </c>
      <c r="L797" s="26" t="n">
        <v>198.23</v>
      </c>
      <c r="M797" s="22" t="s">
        <v>2349</v>
      </c>
      <c r="N797" s="22" t="n">
        <f aca="false">MATCH(M797,'Tabela Passaro'!$A$2:$A$1795,0)</f>
        <v>522</v>
      </c>
      <c r="O797" s="22" t="str">
        <f aca="false">INDEX('Tabela Passaro'!$C$2:$C$1795,$N797)</f>
        <v>FORTALEZA</v>
      </c>
      <c r="P797" s="22" t="str">
        <f aca="false">INDEX('Tabela Passaro'!$B$2:$B$1795,$N797)</f>
        <v>CE</v>
      </c>
      <c r="Q797" s="22" t="n">
        <f aca="false">INDEX('Tabela Passaro'!$F$2:$F$1795,$N797)</f>
        <v>8</v>
      </c>
      <c r="R797" s="32" t="n">
        <f aca="false">IF(J797&lt;=10,INDEX('Tabela Passaro'!$G$2:$G$1795,$N797),IF(J797&lt;=30,INDEX('Tabela Passaro'!$H$2:$H$1795,$N797),IF(J797&lt;=50,INDEX('Tabela Passaro'!$I$2:$I$1795,$N797),IF(J797&lt;=70,INDEX('Tabela Passaro'!$J$2:$J$1795,$N797),IF(J797&lt;=100,INDEX('Tabela Passaro'!$K$2:$K$1795,$N797),INDEX('Tabela Passaro'!$K$2:$K$1795,$N797)+(J797-100)*INDEX('Tabela Passaro'!$L$2:$L$1795,$N797))))))</f>
        <v>169.58</v>
      </c>
      <c r="S797" s="32" t="n">
        <f aca="false">K797*INDEX('Tabela Passaro'!$M$2:$M$1795,$N797)</f>
        <v>4.59525</v>
      </c>
      <c r="T797" s="32" t="n">
        <f aca="false">K797*INDEX('Tabela Passaro'!$N$2:$N$1795,$N797)</f>
        <v>1.8381</v>
      </c>
      <c r="U797" s="32" t="n">
        <f aca="false">INDEX('Tabela Passaro'!$O$2:$O$1795,$N797)</f>
        <v>5</v>
      </c>
      <c r="V797" s="32" t="n">
        <f aca="false">ROUNDUP(J797/INDEX('Tabela Passaro'!$Q$2:$Q$1795,$N797),0)*INDEX('Tabela Passaro'!$P$2:$P$1795,$N797)</f>
        <v>5</v>
      </c>
      <c r="W797" s="32" t="n">
        <f aca="false">INDEX('Tabela Passaro'!$R$2:$R$1795,$N797)</f>
        <v>30</v>
      </c>
      <c r="X797" s="32" t="n">
        <f aca="false">ROUNDUP(J797/INDEX('Tabela Passaro'!$T$2:$T$1795,$N797),0)*INDEX('Tabela Passaro'!$S$2:$S$1795,$N797)</f>
        <v>0</v>
      </c>
      <c r="Y797" s="32" t="n">
        <f aca="false">INDEX('Tabela Passaro'!$U$2:$U$1795,$N797)</f>
        <v>0</v>
      </c>
      <c r="Z797" s="32" t="n">
        <f aca="false">INDEX('Tabela Passaro'!$V$2:$V$1795,$N797)</f>
        <v>0</v>
      </c>
      <c r="AA797" s="32" t="n">
        <f aca="false">SUM(R797:Z797)</f>
        <v>216.01335</v>
      </c>
      <c r="AB797" s="33" t="n">
        <f aca="false">INDEX(Premissas!$B$5:$B$13,MATCH(A797,Premissas!$A$5:$A$13,0))</f>
        <v>0.07</v>
      </c>
      <c r="AC797" s="32" t="n">
        <f aca="false">AA797/(1-AB797)-AA797</f>
        <v>16.2590693548387</v>
      </c>
      <c r="AD797" s="32" t="n">
        <f aca="false">ROUND(AA797+AC797,2)</f>
        <v>232.27</v>
      </c>
      <c r="AE797" s="32" t="n">
        <f aca="false">AD797-L797</f>
        <v>34.04</v>
      </c>
      <c r="AF797" s="34" t="n">
        <f aca="false">IF(L797=0,0,AE797/L797)</f>
        <v>0.171719719517732</v>
      </c>
      <c r="AG797" s="22" t="str">
        <f aca="false">IF(AD797&lt;L797,"PASSARO","ATUAL")</f>
        <v>ATUAL</v>
      </c>
      <c r="AH797" s="22" t="str">
        <f aca="false">IF(P797&lt;&gt;A797,"Faixa cadastrada como "&amp;P797&amp;" na tabela; preço aplicado pela UF do CEP","")</f>
        <v/>
      </c>
      <c r="AI797" s="26" t="n">
        <v>281.65</v>
      </c>
      <c r="AJ797" s="22" t="str">
        <f aca="false">INDEX('Tabela Passaro'!$X$2:$X$1795,$N797)</f>
        <v>CAPITAL</v>
      </c>
    </row>
    <row r="798" customFormat="false" ht="15" hidden="false" customHeight="false" outlineLevel="0" collapsed="false">
      <c r="A798" s="22" t="s">
        <v>17</v>
      </c>
      <c r="B798" s="22" t="n">
        <v>1</v>
      </c>
      <c r="C798" s="22" t="s">
        <v>95</v>
      </c>
      <c r="D798" s="22" t="s">
        <v>30</v>
      </c>
      <c r="E798" s="22" t="s">
        <v>7328</v>
      </c>
      <c r="F798" s="22" t="n">
        <v>2315651</v>
      </c>
      <c r="G798" s="30" t="n">
        <v>46258</v>
      </c>
      <c r="H798" s="22" t="n">
        <v>134376</v>
      </c>
      <c r="I798" s="22" t="s">
        <v>8065</v>
      </c>
      <c r="J798" s="31" t="n">
        <v>61.3</v>
      </c>
      <c r="K798" s="26" t="n">
        <v>1026.93</v>
      </c>
      <c r="L798" s="26" t="n">
        <v>199.08</v>
      </c>
      <c r="M798" s="22" t="s">
        <v>2349</v>
      </c>
      <c r="N798" s="22" t="n">
        <f aca="false">MATCH(M798,'Tabela Passaro'!$A$2:$A$1795,0)</f>
        <v>522</v>
      </c>
      <c r="O798" s="22" t="str">
        <f aca="false">INDEX('Tabela Passaro'!$C$2:$C$1795,$N798)</f>
        <v>FORTALEZA</v>
      </c>
      <c r="P798" s="22" t="str">
        <f aca="false">INDEX('Tabela Passaro'!$B$2:$B$1795,$N798)</f>
        <v>CE</v>
      </c>
      <c r="Q798" s="22" t="n">
        <f aca="false">INDEX('Tabela Passaro'!$F$2:$F$1795,$N798)</f>
        <v>8</v>
      </c>
      <c r="R798" s="32" t="n">
        <f aca="false">IF(J798&lt;=10,INDEX('Tabela Passaro'!$G$2:$G$1795,$N798),IF(J798&lt;=30,INDEX('Tabela Passaro'!$H$2:$H$1795,$N798),IF(J798&lt;=50,INDEX('Tabela Passaro'!$I$2:$I$1795,$N798),IF(J798&lt;=70,INDEX('Tabela Passaro'!$J$2:$J$1795,$N798),IF(J798&lt;=100,INDEX('Tabela Passaro'!$K$2:$K$1795,$N798),INDEX('Tabela Passaro'!$K$2:$K$1795,$N798)+(J798-100)*INDEX('Tabela Passaro'!$L$2:$L$1795,$N798))))))</f>
        <v>169.58</v>
      </c>
      <c r="S798" s="32" t="n">
        <f aca="false">K798*INDEX('Tabela Passaro'!$M$2:$M$1795,$N798)</f>
        <v>5.13465</v>
      </c>
      <c r="T798" s="32" t="n">
        <f aca="false">K798*INDEX('Tabela Passaro'!$N$2:$N$1795,$N798)</f>
        <v>2.05386</v>
      </c>
      <c r="U798" s="32" t="n">
        <f aca="false">INDEX('Tabela Passaro'!$O$2:$O$1795,$N798)</f>
        <v>5</v>
      </c>
      <c r="V798" s="32" t="n">
        <f aca="false">ROUNDUP(J798/INDEX('Tabela Passaro'!$Q$2:$Q$1795,$N798),0)*INDEX('Tabela Passaro'!$P$2:$P$1795,$N798)</f>
        <v>5</v>
      </c>
      <c r="W798" s="32" t="n">
        <f aca="false">INDEX('Tabela Passaro'!$R$2:$R$1795,$N798)</f>
        <v>30</v>
      </c>
      <c r="X798" s="32" t="n">
        <f aca="false">ROUNDUP(J798/INDEX('Tabela Passaro'!$T$2:$T$1795,$N798),0)*INDEX('Tabela Passaro'!$S$2:$S$1795,$N798)</f>
        <v>0</v>
      </c>
      <c r="Y798" s="32" t="n">
        <f aca="false">INDEX('Tabela Passaro'!$U$2:$U$1795,$N798)</f>
        <v>0</v>
      </c>
      <c r="Z798" s="32" t="n">
        <f aca="false">INDEX('Tabela Passaro'!$V$2:$V$1795,$N798)</f>
        <v>0</v>
      </c>
      <c r="AA798" s="32" t="n">
        <f aca="false">SUM(R798:Z798)</f>
        <v>216.76851</v>
      </c>
      <c r="AB798" s="33" t="n">
        <f aca="false">INDEX(Premissas!$B$5:$B$13,MATCH(A798,Premissas!$A$5:$A$13,0))</f>
        <v>0.07</v>
      </c>
      <c r="AC798" s="32" t="n">
        <f aca="false">AA798/(1-AB798)-AA798</f>
        <v>16.3159093548387</v>
      </c>
      <c r="AD798" s="32" t="n">
        <f aca="false">ROUND(AA798+AC798,2)</f>
        <v>233.08</v>
      </c>
      <c r="AE798" s="32" t="n">
        <f aca="false">AD798-L798</f>
        <v>34</v>
      </c>
      <c r="AF798" s="34" t="n">
        <f aca="false">IF(L798=0,0,AE798/L798)</f>
        <v>0.170785613823589</v>
      </c>
      <c r="AG798" s="22" t="str">
        <f aca="false">IF(AD798&lt;L798,"PASSARO","ATUAL")</f>
        <v>ATUAL</v>
      </c>
      <c r="AH798" s="22" t="str">
        <f aca="false">IF(P798&lt;&gt;A798,"Faixa cadastrada como "&amp;P798&amp;" na tabela; preço aplicado pela UF do CEP","")</f>
        <v/>
      </c>
      <c r="AI798" s="26" t="n">
        <v>280.27</v>
      </c>
      <c r="AJ798" s="22" t="str">
        <f aca="false">INDEX('Tabela Passaro'!$X$2:$X$1795,$N798)</f>
        <v>CAPITAL</v>
      </c>
    </row>
    <row r="799" customFormat="false" ht="15" hidden="false" customHeight="false" outlineLevel="0" collapsed="false">
      <c r="A799" s="22" t="s">
        <v>17</v>
      </c>
      <c r="B799" s="22" t="n">
        <v>1</v>
      </c>
      <c r="C799" s="22" t="s">
        <v>95</v>
      </c>
      <c r="D799" s="22" t="s">
        <v>30</v>
      </c>
      <c r="E799" s="22" t="s">
        <v>7328</v>
      </c>
      <c r="F799" s="22" t="n">
        <v>2315721</v>
      </c>
      <c r="G799" s="30" t="n">
        <v>46258</v>
      </c>
      <c r="H799" s="22" t="n">
        <v>134445</v>
      </c>
      <c r="I799" s="22" t="s">
        <v>8066</v>
      </c>
      <c r="J799" s="31" t="n">
        <v>46.8</v>
      </c>
      <c r="K799" s="26" t="n">
        <v>571.33</v>
      </c>
      <c r="L799" s="26" t="n">
        <v>163.83</v>
      </c>
      <c r="M799" s="22" t="s">
        <v>2349</v>
      </c>
      <c r="N799" s="22" t="n">
        <f aca="false">MATCH(M799,'Tabela Passaro'!$A$2:$A$1795,0)</f>
        <v>522</v>
      </c>
      <c r="O799" s="22" t="str">
        <f aca="false">INDEX('Tabela Passaro'!$C$2:$C$1795,$N799)</f>
        <v>FORTALEZA</v>
      </c>
      <c r="P799" s="22" t="str">
        <f aca="false">INDEX('Tabela Passaro'!$B$2:$B$1795,$N799)</f>
        <v>CE</v>
      </c>
      <c r="Q799" s="22" t="n">
        <f aca="false">INDEX('Tabela Passaro'!$F$2:$F$1795,$N799)</f>
        <v>8</v>
      </c>
      <c r="R799" s="32" t="n">
        <f aca="false">IF(J799&lt;=10,INDEX('Tabela Passaro'!$G$2:$G$1795,$N799),IF(J799&lt;=30,INDEX('Tabela Passaro'!$H$2:$H$1795,$N799),IF(J799&lt;=50,INDEX('Tabela Passaro'!$I$2:$I$1795,$N799),IF(J799&lt;=70,INDEX('Tabela Passaro'!$J$2:$J$1795,$N799),IF(J799&lt;=100,INDEX('Tabela Passaro'!$K$2:$K$1795,$N799),INDEX('Tabela Passaro'!$K$2:$K$1795,$N799)+(J799-100)*INDEX('Tabela Passaro'!$L$2:$L$1795,$N799))))))</f>
        <v>152.98</v>
      </c>
      <c r="S799" s="32" t="n">
        <f aca="false">K799*INDEX('Tabela Passaro'!$M$2:$M$1795,$N799)</f>
        <v>2.85665</v>
      </c>
      <c r="T799" s="32" t="n">
        <f aca="false">K799*INDEX('Tabela Passaro'!$N$2:$N$1795,$N799)</f>
        <v>1.14266</v>
      </c>
      <c r="U799" s="32" t="n">
        <f aca="false">INDEX('Tabela Passaro'!$O$2:$O$1795,$N799)</f>
        <v>5</v>
      </c>
      <c r="V799" s="32" t="n">
        <f aca="false">ROUNDUP(J799/INDEX('Tabela Passaro'!$Q$2:$Q$1795,$N799),0)*INDEX('Tabela Passaro'!$P$2:$P$1795,$N799)</f>
        <v>5</v>
      </c>
      <c r="W799" s="32" t="n">
        <f aca="false">INDEX('Tabela Passaro'!$R$2:$R$1795,$N799)</f>
        <v>30</v>
      </c>
      <c r="X799" s="32" t="n">
        <f aca="false">ROUNDUP(J799/INDEX('Tabela Passaro'!$T$2:$T$1795,$N799),0)*INDEX('Tabela Passaro'!$S$2:$S$1795,$N799)</f>
        <v>0</v>
      </c>
      <c r="Y799" s="32" t="n">
        <f aca="false">INDEX('Tabela Passaro'!$U$2:$U$1795,$N799)</f>
        <v>0</v>
      </c>
      <c r="Z799" s="32" t="n">
        <f aca="false">INDEX('Tabela Passaro'!$V$2:$V$1795,$N799)</f>
        <v>0</v>
      </c>
      <c r="AA799" s="32" t="n">
        <f aca="false">SUM(R799:Z799)</f>
        <v>196.97931</v>
      </c>
      <c r="AB799" s="33" t="n">
        <f aca="false">INDEX(Premissas!$B$5:$B$13,MATCH(A799,Premissas!$A$5:$A$13,0))</f>
        <v>0.07</v>
      </c>
      <c r="AC799" s="32" t="n">
        <f aca="false">AA799/(1-AB799)-AA799</f>
        <v>14.8263996774194</v>
      </c>
      <c r="AD799" s="32" t="n">
        <f aca="false">ROUND(AA799+AC799,2)</f>
        <v>211.81</v>
      </c>
      <c r="AE799" s="32" t="n">
        <f aca="false">AD799-L799</f>
        <v>47.98</v>
      </c>
      <c r="AF799" s="34" t="n">
        <f aca="false">IF(L799=0,0,AE799/L799)</f>
        <v>0.292864554721357</v>
      </c>
      <c r="AG799" s="22" t="str">
        <f aca="false">IF(AD799&lt;L799,"PASSARO","ATUAL")</f>
        <v>ATUAL</v>
      </c>
      <c r="AH799" s="22" t="str">
        <f aca="false">IF(P799&lt;&gt;A799,"Faixa cadastrada como "&amp;P799&amp;" na tabela; preço aplicado pela UF do CEP","")</f>
        <v/>
      </c>
      <c r="AI799" s="26" t="n">
        <v>249.81</v>
      </c>
      <c r="AJ799" s="22" t="str">
        <f aca="false">INDEX('Tabela Passaro'!$X$2:$X$1795,$N799)</f>
        <v>CAPITAL</v>
      </c>
    </row>
    <row r="800" customFormat="false" ht="15" hidden="false" customHeight="false" outlineLevel="0" collapsed="false">
      <c r="A800" s="22" t="s">
        <v>17</v>
      </c>
      <c r="B800" s="22" t="n">
        <v>1</v>
      </c>
      <c r="C800" s="22" t="s">
        <v>95</v>
      </c>
      <c r="D800" s="22" t="s">
        <v>30</v>
      </c>
      <c r="E800" s="22" t="s">
        <v>7328</v>
      </c>
      <c r="F800" s="22" t="n">
        <v>2315747</v>
      </c>
      <c r="G800" s="30" t="n">
        <v>46258</v>
      </c>
      <c r="H800" s="22" t="n">
        <v>134467</v>
      </c>
      <c r="I800" s="22" t="s">
        <v>8067</v>
      </c>
      <c r="J800" s="31" t="n">
        <v>67.3</v>
      </c>
      <c r="K800" s="26" t="n">
        <v>1000.65</v>
      </c>
      <c r="L800" s="26" t="n">
        <v>198.87</v>
      </c>
      <c r="M800" s="22" t="s">
        <v>2349</v>
      </c>
      <c r="N800" s="22" t="n">
        <f aca="false">MATCH(M800,'Tabela Passaro'!$A$2:$A$1795,0)</f>
        <v>522</v>
      </c>
      <c r="O800" s="22" t="str">
        <f aca="false">INDEX('Tabela Passaro'!$C$2:$C$1795,$N800)</f>
        <v>FORTALEZA</v>
      </c>
      <c r="P800" s="22" t="str">
        <f aca="false">INDEX('Tabela Passaro'!$B$2:$B$1795,$N800)</f>
        <v>CE</v>
      </c>
      <c r="Q800" s="22" t="n">
        <f aca="false">INDEX('Tabela Passaro'!$F$2:$F$1795,$N800)</f>
        <v>8</v>
      </c>
      <c r="R800" s="32" t="n">
        <f aca="false">IF(J800&lt;=10,INDEX('Tabela Passaro'!$G$2:$G$1795,$N800),IF(J800&lt;=30,INDEX('Tabela Passaro'!$H$2:$H$1795,$N800),IF(J800&lt;=50,INDEX('Tabela Passaro'!$I$2:$I$1795,$N800),IF(J800&lt;=70,INDEX('Tabela Passaro'!$J$2:$J$1795,$N800),IF(J800&lt;=100,INDEX('Tabela Passaro'!$K$2:$K$1795,$N800),INDEX('Tabela Passaro'!$K$2:$K$1795,$N800)+(J800-100)*INDEX('Tabela Passaro'!$L$2:$L$1795,$N800))))))</f>
        <v>169.58</v>
      </c>
      <c r="S800" s="32" t="n">
        <f aca="false">K800*INDEX('Tabela Passaro'!$M$2:$M$1795,$N800)</f>
        <v>5.00325</v>
      </c>
      <c r="T800" s="32" t="n">
        <f aca="false">K800*INDEX('Tabela Passaro'!$N$2:$N$1795,$N800)</f>
        <v>2.0013</v>
      </c>
      <c r="U800" s="32" t="n">
        <f aca="false">INDEX('Tabela Passaro'!$O$2:$O$1795,$N800)</f>
        <v>5</v>
      </c>
      <c r="V800" s="32" t="n">
        <f aca="false">ROUNDUP(J800/INDEX('Tabela Passaro'!$Q$2:$Q$1795,$N800),0)*INDEX('Tabela Passaro'!$P$2:$P$1795,$N800)</f>
        <v>5</v>
      </c>
      <c r="W800" s="32" t="n">
        <f aca="false">INDEX('Tabela Passaro'!$R$2:$R$1795,$N800)</f>
        <v>30</v>
      </c>
      <c r="X800" s="32" t="n">
        <f aca="false">ROUNDUP(J800/INDEX('Tabela Passaro'!$T$2:$T$1795,$N800),0)*INDEX('Tabela Passaro'!$S$2:$S$1795,$N800)</f>
        <v>0</v>
      </c>
      <c r="Y800" s="32" t="n">
        <f aca="false">INDEX('Tabela Passaro'!$U$2:$U$1795,$N800)</f>
        <v>0</v>
      </c>
      <c r="Z800" s="32" t="n">
        <f aca="false">INDEX('Tabela Passaro'!$V$2:$V$1795,$N800)</f>
        <v>0</v>
      </c>
      <c r="AA800" s="32" t="n">
        <f aca="false">SUM(R800:Z800)</f>
        <v>216.58455</v>
      </c>
      <c r="AB800" s="33" t="n">
        <f aca="false">INDEX(Premissas!$B$5:$B$13,MATCH(A800,Premissas!$A$5:$A$13,0))</f>
        <v>0.07</v>
      </c>
      <c r="AC800" s="32" t="n">
        <f aca="false">AA800/(1-AB800)-AA800</f>
        <v>16.3020629032258</v>
      </c>
      <c r="AD800" s="32" t="n">
        <f aca="false">ROUND(AA800+AC800,2)</f>
        <v>232.89</v>
      </c>
      <c r="AE800" s="32" t="n">
        <f aca="false">AD800-L800</f>
        <v>34.02</v>
      </c>
      <c r="AF800" s="34" t="n">
        <f aca="false">IF(L800=0,0,AE800/L800)</f>
        <v>0.171066525871172</v>
      </c>
      <c r="AG800" s="22" t="str">
        <f aca="false">IF(AD800&lt;L800,"PASSARO","ATUAL")</f>
        <v>ATUAL</v>
      </c>
      <c r="AH800" s="22" t="str">
        <f aca="false">IF(P800&lt;&gt;A800,"Faixa cadastrada como "&amp;P800&amp;" na tabela; preço aplicado pela UF do CEP","")</f>
        <v/>
      </c>
      <c r="AI800" s="26" t="n">
        <v>282.92</v>
      </c>
      <c r="AJ800" s="22" t="str">
        <f aca="false">INDEX('Tabela Passaro'!$X$2:$X$1795,$N800)</f>
        <v>CAPITAL</v>
      </c>
    </row>
    <row r="801" customFormat="false" ht="15" hidden="false" customHeight="false" outlineLevel="0" collapsed="false">
      <c r="A801" s="22" t="s">
        <v>17</v>
      </c>
      <c r="B801" s="22" t="n">
        <v>1</v>
      </c>
      <c r="C801" s="22" t="s">
        <v>95</v>
      </c>
      <c r="D801" s="22" t="s">
        <v>30</v>
      </c>
      <c r="E801" s="22" t="s">
        <v>7328</v>
      </c>
      <c r="F801" s="22" t="n">
        <v>2315648</v>
      </c>
      <c r="G801" s="30" t="n">
        <v>46258</v>
      </c>
      <c r="H801" s="22" t="n">
        <v>134900</v>
      </c>
      <c r="I801" s="22" t="s">
        <v>8068</v>
      </c>
      <c r="J801" s="31" t="n">
        <v>24.4</v>
      </c>
      <c r="K801" s="26" t="n">
        <v>519.98</v>
      </c>
      <c r="L801" s="26" t="n">
        <v>124.38</v>
      </c>
      <c r="M801" s="22" t="s">
        <v>2349</v>
      </c>
      <c r="N801" s="22" t="n">
        <f aca="false">MATCH(M801,'Tabela Passaro'!$A$2:$A$1795,0)</f>
        <v>522</v>
      </c>
      <c r="O801" s="22" t="str">
        <f aca="false">INDEX('Tabela Passaro'!$C$2:$C$1795,$N801)</f>
        <v>FORTALEZA</v>
      </c>
      <c r="P801" s="22" t="str">
        <f aca="false">INDEX('Tabela Passaro'!$B$2:$B$1795,$N801)</f>
        <v>CE</v>
      </c>
      <c r="Q801" s="22" t="n">
        <f aca="false">INDEX('Tabela Passaro'!$F$2:$F$1795,$N801)</f>
        <v>8</v>
      </c>
      <c r="R801" s="32" t="n">
        <f aca="false">IF(J801&lt;=10,INDEX('Tabela Passaro'!$G$2:$G$1795,$N801),IF(J801&lt;=30,INDEX('Tabela Passaro'!$H$2:$H$1795,$N801),IF(J801&lt;=50,INDEX('Tabela Passaro'!$I$2:$I$1795,$N801),IF(J801&lt;=70,INDEX('Tabela Passaro'!$J$2:$J$1795,$N801),IF(J801&lt;=100,INDEX('Tabela Passaro'!$K$2:$K$1795,$N801),INDEX('Tabela Passaro'!$K$2:$K$1795,$N801)+(J801-100)*INDEX('Tabela Passaro'!$L$2:$L$1795,$N801))))))</f>
        <v>130.85</v>
      </c>
      <c r="S801" s="32" t="n">
        <f aca="false">K801*INDEX('Tabela Passaro'!$M$2:$M$1795,$N801)</f>
        <v>2.5999</v>
      </c>
      <c r="T801" s="32" t="n">
        <f aca="false">K801*INDEX('Tabela Passaro'!$N$2:$N$1795,$N801)</f>
        <v>1.03996</v>
      </c>
      <c r="U801" s="32" t="n">
        <f aca="false">INDEX('Tabela Passaro'!$O$2:$O$1795,$N801)</f>
        <v>5</v>
      </c>
      <c r="V801" s="32" t="n">
        <f aca="false">ROUNDUP(J801/INDEX('Tabela Passaro'!$Q$2:$Q$1795,$N801),0)*INDEX('Tabela Passaro'!$P$2:$P$1795,$N801)</f>
        <v>5</v>
      </c>
      <c r="W801" s="32" t="n">
        <f aca="false">INDEX('Tabela Passaro'!$R$2:$R$1795,$N801)</f>
        <v>30</v>
      </c>
      <c r="X801" s="32" t="n">
        <f aca="false">ROUNDUP(J801/INDEX('Tabela Passaro'!$T$2:$T$1795,$N801),0)*INDEX('Tabela Passaro'!$S$2:$S$1795,$N801)</f>
        <v>0</v>
      </c>
      <c r="Y801" s="32" t="n">
        <f aca="false">INDEX('Tabela Passaro'!$U$2:$U$1795,$N801)</f>
        <v>0</v>
      </c>
      <c r="Z801" s="32" t="n">
        <f aca="false">INDEX('Tabela Passaro'!$V$2:$V$1795,$N801)</f>
        <v>0</v>
      </c>
      <c r="AA801" s="32" t="n">
        <f aca="false">SUM(R801:Z801)</f>
        <v>174.48986</v>
      </c>
      <c r="AB801" s="33" t="n">
        <f aca="false">INDEX(Premissas!$B$5:$B$13,MATCH(A801,Premissas!$A$5:$A$13,0))</f>
        <v>0.07</v>
      </c>
      <c r="AC801" s="32" t="n">
        <f aca="false">AA801/(1-AB801)-AA801</f>
        <v>13.1336453763441</v>
      </c>
      <c r="AD801" s="32" t="n">
        <f aca="false">ROUND(AA801+AC801,2)</f>
        <v>187.62</v>
      </c>
      <c r="AE801" s="32" t="n">
        <f aca="false">AD801-L801</f>
        <v>63.24</v>
      </c>
      <c r="AF801" s="34" t="n">
        <f aca="false">IF(L801=0,0,AE801/L801)</f>
        <v>0.508441871683551</v>
      </c>
      <c r="AG801" s="22" t="str">
        <f aca="false">IF(AD801&lt;L801,"PASSARO","ATUAL")</f>
        <v>ATUAL</v>
      </c>
      <c r="AH801" s="22" t="str">
        <f aca="false">IF(P801&lt;&gt;A801,"Faixa cadastrada como "&amp;P801&amp;" na tabela; preço aplicado pela UF do CEP","")</f>
        <v/>
      </c>
      <c r="AI801" s="26" t="n">
        <v>213.62</v>
      </c>
      <c r="AJ801" s="22" t="str">
        <f aca="false">INDEX('Tabela Passaro'!$X$2:$X$1795,$N801)</f>
        <v>CAPITAL</v>
      </c>
    </row>
    <row r="802" customFormat="false" ht="15" hidden="false" customHeight="false" outlineLevel="0" collapsed="false">
      <c r="A802" s="22" t="s">
        <v>17</v>
      </c>
      <c r="B802" s="22" t="n">
        <v>1</v>
      </c>
      <c r="C802" s="22" t="s">
        <v>95</v>
      </c>
      <c r="D802" s="22" t="s">
        <v>30</v>
      </c>
      <c r="E802" s="22" t="s">
        <v>7328</v>
      </c>
      <c r="F802" s="22" t="n">
        <v>2315767</v>
      </c>
      <c r="G802" s="30" t="n">
        <v>46258</v>
      </c>
      <c r="H802" s="22" t="n">
        <v>134923</v>
      </c>
      <c r="I802" s="22" t="s">
        <v>8069</v>
      </c>
      <c r="J802" s="31" t="n">
        <v>37.59</v>
      </c>
      <c r="K802" s="26" t="n">
        <v>628.55</v>
      </c>
      <c r="L802" s="26" t="n">
        <v>164.27</v>
      </c>
      <c r="M802" s="22" t="s">
        <v>2349</v>
      </c>
      <c r="N802" s="22" t="n">
        <f aca="false">MATCH(M802,'Tabela Passaro'!$A$2:$A$1795,0)</f>
        <v>522</v>
      </c>
      <c r="O802" s="22" t="str">
        <f aca="false">INDEX('Tabela Passaro'!$C$2:$C$1795,$N802)</f>
        <v>FORTALEZA</v>
      </c>
      <c r="P802" s="22" t="str">
        <f aca="false">INDEX('Tabela Passaro'!$B$2:$B$1795,$N802)</f>
        <v>CE</v>
      </c>
      <c r="Q802" s="22" t="n">
        <f aca="false">INDEX('Tabela Passaro'!$F$2:$F$1795,$N802)</f>
        <v>8</v>
      </c>
      <c r="R802" s="32" t="n">
        <f aca="false">IF(J802&lt;=10,INDEX('Tabela Passaro'!$G$2:$G$1795,$N802),IF(J802&lt;=30,INDEX('Tabela Passaro'!$H$2:$H$1795,$N802),IF(J802&lt;=50,INDEX('Tabela Passaro'!$I$2:$I$1795,$N802),IF(J802&lt;=70,INDEX('Tabela Passaro'!$J$2:$J$1795,$N802),IF(J802&lt;=100,INDEX('Tabela Passaro'!$K$2:$K$1795,$N802),INDEX('Tabela Passaro'!$K$2:$K$1795,$N802)+(J802-100)*INDEX('Tabela Passaro'!$L$2:$L$1795,$N802))))))</f>
        <v>152.98</v>
      </c>
      <c r="S802" s="32" t="n">
        <f aca="false">K802*INDEX('Tabela Passaro'!$M$2:$M$1795,$N802)</f>
        <v>3.14275</v>
      </c>
      <c r="T802" s="32" t="n">
        <f aca="false">K802*INDEX('Tabela Passaro'!$N$2:$N$1795,$N802)</f>
        <v>1.2571</v>
      </c>
      <c r="U802" s="32" t="n">
        <f aca="false">INDEX('Tabela Passaro'!$O$2:$O$1795,$N802)</f>
        <v>5</v>
      </c>
      <c r="V802" s="32" t="n">
        <f aca="false">ROUNDUP(J802/INDEX('Tabela Passaro'!$Q$2:$Q$1795,$N802),0)*INDEX('Tabela Passaro'!$P$2:$P$1795,$N802)</f>
        <v>5</v>
      </c>
      <c r="W802" s="32" t="n">
        <f aca="false">INDEX('Tabela Passaro'!$R$2:$R$1795,$N802)</f>
        <v>30</v>
      </c>
      <c r="X802" s="32" t="n">
        <f aca="false">ROUNDUP(J802/INDEX('Tabela Passaro'!$T$2:$T$1795,$N802),0)*INDEX('Tabela Passaro'!$S$2:$S$1795,$N802)</f>
        <v>0</v>
      </c>
      <c r="Y802" s="32" t="n">
        <f aca="false">INDEX('Tabela Passaro'!$U$2:$U$1795,$N802)</f>
        <v>0</v>
      </c>
      <c r="Z802" s="32" t="n">
        <f aca="false">INDEX('Tabela Passaro'!$V$2:$V$1795,$N802)</f>
        <v>0</v>
      </c>
      <c r="AA802" s="32" t="n">
        <f aca="false">SUM(R802:Z802)</f>
        <v>197.37985</v>
      </c>
      <c r="AB802" s="33" t="n">
        <f aca="false">INDEX(Premissas!$B$5:$B$13,MATCH(A802,Premissas!$A$5:$A$13,0))</f>
        <v>0.07</v>
      </c>
      <c r="AC802" s="32" t="n">
        <f aca="false">AA802/(1-AB802)-AA802</f>
        <v>14.8565478494624</v>
      </c>
      <c r="AD802" s="32" t="n">
        <f aca="false">ROUND(AA802+AC802,2)</f>
        <v>212.24</v>
      </c>
      <c r="AE802" s="32" t="n">
        <f aca="false">AD802-L802</f>
        <v>47.97</v>
      </c>
      <c r="AF802" s="34" t="n">
        <f aca="false">IF(L802=0,0,AE802/L802)</f>
        <v>0.292019236622633</v>
      </c>
      <c r="AG802" s="22" t="str">
        <f aca="false">IF(AD802&lt;L802,"PASSARO","ATUAL")</f>
        <v>ATUAL</v>
      </c>
      <c r="AH802" s="22" t="str">
        <f aca="false">IF(P802&lt;&gt;A802,"Faixa cadastrada como "&amp;P802&amp;" na tabela; preço aplicado pela UF do CEP","")</f>
        <v/>
      </c>
      <c r="AI802" s="26" t="n">
        <v>246.01</v>
      </c>
      <c r="AJ802" s="22" t="str">
        <f aca="false">INDEX('Tabela Passaro'!$X$2:$X$1795,$N802)</f>
        <v>CAPITAL</v>
      </c>
    </row>
    <row r="803" customFormat="false" ht="15" hidden="false" customHeight="false" outlineLevel="0" collapsed="false">
      <c r="A803" s="22" t="s">
        <v>17</v>
      </c>
      <c r="B803" s="22" t="n">
        <v>1</v>
      </c>
      <c r="C803" s="22" t="s">
        <v>95</v>
      </c>
      <c r="D803" s="22" t="s">
        <v>30</v>
      </c>
      <c r="E803" s="22" t="s">
        <v>7328</v>
      </c>
      <c r="F803" s="22" t="n">
        <v>2315775</v>
      </c>
      <c r="G803" s="30" t="n">
        <v>46258</v>
      </c>
      <c r="H803" s="22" t="n">
        <v>134931</v>
      </c>
      <c r="I803" s="22" t="s">
        <v>8070</v>
      </c>
      <c r="J803" s="31" t="n">
        <v>27.4</v>
      </c>
      <c r="K803" s="26" t="n">
        <v>569.98</v>
      </c>
      <c r="L803" s="26" t="n">
        <v>124.77</v>
      </c>
      <c r="M803" s="22" t="s">
        <v>2349</v>
      </c>
      <c r="N803" s="22" t="n">
        <f aca="false">MATCH(M803,'Tabela Passaro'!$A$2:$A$1795,0)</f>
        <v>522</v>
      </c>
      <c r="O803" s="22" t="str">
        <f aca="false">INDEX('Tabela Passaro'!$C$2:$C$1795,$N803)</f>
        <v>FORTALEZA</v>
      </c>
      <c r="P803" s="22" t="str">
        <f aca="false">INDEX('Tabela Passaro'!$B$2:$B$1795,$N803)</f>
        <v>CE</v>
      </c>
      <c r="Q803" s="22" t="n">
        <f aca="false">INDEX('Tabela Passaro'!$F$2:$F$1795,$N803)</f>
        <v>8</v>
      </c>
      <c r="R803" s="32" t="n">
        <f aca="false">IF(J803&lt;=10,INDEX('Tabela Passaro'!$G$2:$G$1795,$N803),IF(J803&lt;=30,INDEX('Tabela Passaro'!$H$2:$H$1795,$N803),IF(J803&lt;=50,INDEX('Tabela Passaro'!$I$2:$I$1795,$N803),IF(J803&lt;=70,INDEX('Tabela Passaro'!$J$2:$J$1795,$N803),IF(J803&lt;=100,INDEX('Tabela Passaro'!$K$2:$K$1795,$N803),INDEX('Tabela Passaro'!$K$2:$K$1795,$N803)+(J803-100)*INDEX('Tabela Passaro'!$L$2:$L$1795,$N803))))))</f>
        <v>130.85</v>
      </c>
      <c r="S803" s="32" t="n">
        <f aca="false">K803*INDEX('Tabela Passaro'!$M$2:$M$1795,$N803)</f>
        <v>2.8499</v>
      </c>
      <c r="T803" s="32" t="n">
        <f aca="false">K803*INDEX('Tabela Passaro'!$N$2:$N$1795,$N803)</f>
        <v>1.13996</v>
      </c>
      <c r="U803" s="32" t="n">
        <f aca="false">INDEX('Tabela Passaro'!$O$2:$O$1795,$N803)</f>
        <v>5</v>
      </c>
      <c r="V803" s="32" t="n">
        <f aca="false">ROUNDUP(J803/INDEX('Tabela Passaro'!$Q$2:$Q$1795,$N803),0)*INDEX('Tabela Passaro'!$P$2:$P$1795,$N803)</f>
        <v>5</v>
      </c>
      <c r="W803" s="32" t="n">
        <f aca="false">INDEX('Tabela Passaro'!$R$2:$R$1795,$N803)</f>
        <v>30</v>
      </c>
      <c r="X803" s="32" t="n">
        <f aca="false">ROUNDUP(J803/INDEX('Tabela Passaro'!$T$2:$T$1795,$N803),0)*INDEX('Tabela Passaro'!$S$2:$S$1795,$N803)</f>
        <v>0</v>
      </c>
      <c r="Y803" s="32" t="n">
        <f aca="false">INDEX('Tabela Passaro'!$U$2:$U$1795,$N803)</f>
        <v>0</v>
      </c>
      <c r="Z803" s="32" t="n">
        <f aca="false">INDEX('Tabela Passaro'!$V$2:$V$1795,$N803)</f>
        <v>0</v>
      </c>
      <c r="AA803" s="32" t="n">
        <f aca="false">SUM(R803:Z803)</f>
        <v>174.83986</v>
      </c>
      <c r="AB803" s="33" t="n">
        <f aca="false">INDEX(Premissas!$B$5:$B$13,MATCH(A803,Premissas!$A$5:$A$13,0))</f>
        <v>0.07</v>
      </c>
      <c r="AC803" s="32" t="n">
        <f aca="false">AA803/(1-AB803)-AA803</f>
        <v>13.1599894623656</v>
      </c>
      <c r="AD803" s="32" t="n">
        <f aca="false">ROUND(AA803+AC803,2)</f>
        <v>188</v>
      </c>
      <c r="AE803" s="32" t="n">
        <f aca="false">AD803-L803</f>
        <v>63.23</v>
      </c>
      <c r="AF803" s="34" t="n">
        <f aca="false">IF(L803=0,0,AE803/L803)</f>
        <v>0.506772461328845</v>
      </c>
      <c r="AG803" s="22" t="str">
        <f aca="false">IF(AD803&lt;L803,"PASSARO","ATUAL")</f>
        <v>ATUAL</v>
      </c>
      <c r="AH803" s="22" t="str">
        <f aca="false">IF(P803&lt;&gt;A803,"Faixa cadastrada como "&amp;P803&amp;" na tabela; preço aplicado pela UF do CEP","")</f>
        <v/>
      </c>
      <c r="AI803" s="26" t="n">
        <v>215.56</v>
      </c>
      <c r="AJ803" s="22" t="str">
        <f aca="false">INDEX('Tabela Passaro'!$X$2:$X$1795,$N803)</f>
        <v>CAPITAL</v>
      </c>
    </row>
    <row r="804" customFormat="false" ht="15" hidden="false" customHeight="false" outlineLevel="0" collapsed="false">
      <c r="A804" s="22" t="s">
        <v>17</v>
      </c>
      <c r="B804" s="22" t="n">
        <v>1</v>
      </c>
      <c r="C804" s="22" t="s">
        <v>95</v>
      </c>
      <c r="D804" s="22" t="s">
        <v>30</v>
      </c>
      <c r="E804" s="22" t="s">
        <v>7328</v>
      </c>
      <c r="F804" s="22" t="n">
        <v>2315783</v>
      </c>
      <c r="G804" s="30" t="n">
        <v>46258</v>
      </c>
      <c r="H804" s="22" t="n">
        <v>134941</v>
      </c>
      <c r="I804" s="22" t="s">
        <v>8071</v>
      </c>
      <c r="J804" s="31" t="n">
        <v>29.97</v>
      </c>
      <c r="K804" s="26" t="n">
        <v>547.48</v>
      </c>
      <c r="L804" s="26" t="n">
        <v>124.61</v>
      </c>
      <c r="M804" s="22" t="s">
        <v>2349</v>
      </c>
      <c r="N804" s="22" t="n">
        <f aca="false">MATCH(M804,'Tabela Passaro'!$A$2:$A$1795,0)</f>
        <v>522</v>
      </c>
      <c r="O804" s="22" t="str">
        <f aca="false">INDEX('Tabela Passaro'!$C$2:$C$1795,$N804)</f>
        <v>FORTALEZA</v>
      </c>
      <c r="P804" s="22" t="str">
        <f aca="false">INDEX('Tabela Passaro'!$B$2:$B$1795,$N804)</f>
        <v>CE</v>
      </c>
      <c r="Q804" s="22" t="n">
        <f aca="false">INDEX('Tabela Passaro'!$F$2:$F$1795,$N804)</f>
        <v>8</v>
      </c>
      <c r="R804" s="32" t="n">
        <f aca="false">IF(J804&lt;=10,INDEX('Tabela Passaro'!$G$2:$G$1795,$N804),IF(J804&lt;=30,INDEX('Tabela Passaro'!$H$2:$H$1795,$N804),IF(J804&lt;=50,INDEX('Tabela Passaro'!$I$2:$I$1795,$N804),IF(J804&lt;=70,INDEX('Tabela Passaro'!$J$2:$J$1795,$N804),IF(J804&lt;=100,INDEX('Tabela Passaro'!$K$2:$K$1795,$N804),INDEX('Tabela Passaro'!$K$2:$K$1795,$N804)+(J804-100)*INDEX('Tabela Passaro'!$L$2:$L$1795,$N804))))))</f>
        <v>130.85</v>
      </c>
      <c r="S804" s="32" t="n">
        <f aca="false">K804*INDEX('Tabela Passaro'!$M$2:$M$1795,$N804)</f>
        <v>2.7374</v>
      </c>
      <c r="T804" s="32" t="n">
        <f aca="false">K804*INDEX('Tabela Passaro'!$N$2:$N$1795,$N804)</f>
        <v>1.09496</v>
      </c>
      <c r="U804" s="32" t="n">
        <f aca="false">INDEX('Tabela Passaro'!$O$2:$O$1795,$N804)</f>
        <v>5</v>
      </c>
      <c r="V804" s="32" t="n">
        <f aca="false">ROUNDUP(J804/INDEX('Tabela Passaro'!$Q$2:$Q$1795,$N804),0)*INDEX('Tabela Passaro'!$P$2:$P$1795,$N804)</f>
        <v>5</v>
      </c>
      <c r="W804" s="32" t="n">
        <f aca="false">INDEX('Tabela Passaro'!$R$2:$R$1795,$N804)</f>
        <v>30</v>
      </c>
      <c r="X804" s="32" t="n">
        <f aca="false">ROUNDUP(J804/INDEX('Tabela Passaro'!$T$2:$T$1795,$N804),0)*INDEX('Tabela Passaro'!$S$2:$S$1795,$N804)</f>
        <v>0</v>
      </c>
      <c r="Y804" s="32" t="n">
        <f aca="false">INDEX('Tabela Passaro'!$U$2:$U$1795,$N804)</f>
        <v>0</v>
      </c>
      <c r="Z804" s="32" t="n">
        <f aca="false">INDEX('Tabela Passaro'!$V$2:$V$1795,$N804)</f>
        <v>0</v>
      </c>
      <c r="AA804" s="32" t="n">
        <f aca="false">SUM(R804:Z804)</f>
        <v>174.68236</v>
      </c>
      <c r="AB804" s="33" t="n">
        <f aca="false">INDEX(Premissas!$B$5:$B$13,MATCH(A804,Premissas!$A$5:$A$13,0))</f>
        <v>0.07</v>
      </c>
      <c r="AC804" s="32" t="n">
        <f aca="false">AA804/(1-AB804)-AA804</f>
        <v>13.1481346236559</v>
      </c>
      <c r="AD804" s="32" t="n">
        <f aca="false">ROUND(AA804+AC804,2)</f>
        <v>187.83</v>
      </c>
      <c r="AE804" s="32" t="n">
        <f aca="false">AD804-L804</f>
        <v>63.22</v>
      </c>
      <c r="AF804" s="34" t="n">
        <f aca="false">IF(L804=0,0,AE804/L804)</f>
        <v>0.507342909878822</v>
      </c>
      <c r="AG804" s="22" t="str">
        <f aca="false">IF(AD804&lt;L804,"PASSARO","ATUAL")</f>
        <v>ATUAL</v>
      </c>
      <c r="AH804" s="22" t="str">
        <f aca="false">IF(P804&lt;&gt;A804,"Faixa cadastrada como "&amp;P804&amp;" na tabela; preço aplicado pela UF do CEP","")</f>
        <v/>
      </c>
      <c r="AI804" s="26" t="n">
        <v>216.31</v>
      </c>
      <c r="AJ804" s="22" t="str">
        <f aca="false">INDEX('Tabela Passaro'!$X$2:$X$1795,$N804)</f>
        <v>CAPITAL</v>
      </c>
    </row>
    <row r="805" customFormat="false" ht="15" hidden="false" customHeight="false" outlineLevel="0" collapsed="false">
      <c r="A805" s="22" t="s">
        <v>17</v>
      </c>
      <c r="B805" s="22" t="n">
        <v>1</v>
      </c>
      <c r="C805" s="22" t="s">
        <v>95</v>
      </c>
      <c r="D805" s="22" t="s">
        <v>30</v>
      </c>
      <c r="E805" s="22" t="s">
        <v>7328</v>
      </c>
      <c r="F805" s="22" t="n">
        <v>2315807</v>
      </c>
      <c r="G805" s="30" t="n">
        <v>46258</v>
      </c>
      <c r="H805" s="22" t="n">
        <v>134953</v>
      </c>
      <c r="I805" s="22" t="s">
        <v>8072</v>
      </c>
      <c r="J805" s="31" t="n">
        <v>35.2</v>
      </c>
      <c r="K805" s="26" t="n">
        <v>572.67</v>
      </c>
      <c r="L805" s="26" t="n">
        <v>163.83</v>
      </c>
      <c r="M805" s="22" t="s">
        <v>2349</v>
      </c>
      <c r="N805" s="22" t="n">
        <f aca="false">MATCH(M805,'Tabela Passaro'!$A$2:$A$1795,0)</f>
        <v>522</v>
      </c>
      <c r="O805" s="22" t="str">
        <f aca="false">INDEX('Tabela Passaro'!$C$2:$C$1795,$N805)</f>
        <v>FORTALEZA</v>
      </c>
      <c r="P805" s="22" t="str">
        <f aca="false">INDEX('Tabela Passaro'!$B$2:$B$1795,$N805)</f>
        <v>CE</v>
      </c>
      <c r="Q805" s="22" t="n">
        <f aca="false">INDEX('Tabela Passaro'!$F$2:$F$1795,$N805)</f>
        <v>8</v>
      </c>
      <c r="R805" s="32" t="n">
        <f aca="false">IF(J805&lt;=10,INDEX('Tabela Passaro'!$G$2:$G$1795,$N805),IF(J805&lt;=30,INDEX('Tabela Passaro'!$H$2:$H$1795,$N805),IF(J805&lt;=50,INDEX('Tabela Passaro'!$I$2:$I$1795,$N805),IF(J805&lt;=70,INDEX('Tabela Passaro'!$J$2:$J$1795,$N805),IF(J805&lt;=100,INDEX('Tabela Passaro'!$K$2:$K$1795,$N805),INDEX('Tabela Passaro'!$K$2:$K$1795,$N805)+(J805-100)*INDEX('Tabela Passaro'!$L$2:$L$1795,$N805))))))</f>
        <v>152.98</v>
      </c>
      <c r="S805" s="32" t="n">
        <f aca="false">K805*INDEX('Tabela Passaro'!$M$2:$M$1795,$N805)</f>
        <v>2.86335</v>
      </c>
      <c r="T805" s="32" t="n">
        <f aca="false">K805*INDEX('Tabela Passaro'!$N$2:$N$1795,$N805)</f>
        <v>1.14534</v>
      </c>
      <c r="U805" s="32" t="n">
        <f aca="false">INDEX('Tabela Passaro'!$O$2:$O$1795,$N805)</f>
        <v>5</v>
      </c>
      <c r="V805" s="32" t="n">
        <f aca="false">ROUNDUP(J805/INDEX('Tabela Passaro'!$Q$2:$Q$1795,$N805),0)*INDEX('Tabela Passaro'!$P$2:$P$1795,$N805)</f>
        <v>5</v>
      </c>
      <c r="W805" s="32" t="n">
        <f aca="false">INDEX('Tabela Passaro'!$R$2:$R$1795,$N805)</f>
        <v>30</v>
      </c>
      <c r="X805" s="32" t="n">
        <f aca="false">ROUNDUP(J805/INDEX('Tabela Passaro'!$T$2:$T$1795,$N805),0)*INDEX('Tabela Passaro'!$S$2:$S$1795,$N805)</f>
        <v>0</v>
      </c>
      <c r="Y805" s="32" t="n">
        <f aca="false">INDEX('Tabela Passaro'!$U$2:$U$1795,$N805)</f>
        <v>0</v>
      </c>
      <c r="Z805" s="32" t="n">
        <f aca="false">INDEX('Tabela Passaro'!$V$2:$V$1795,$N805)</f>
        <v>0</v>
      </c>
      <c r="AA805" s="32" t="n">
        <f aca="false">SUM(R805:Z805)</f>
        <v>196.98869</v>
      </c>
      <c r="AB805" s="33" t="n">
        <f aca="false">INDEX(Premissas!$B$5:$B$13,MATCH(A805,Premissas!$A$5:$A$13,0))</f>
        <v>0.07</v>
      </c>
      <c r="AC805" s="32" t="n">
        <f aca="false">AA805/(1-AB805)-AA805</f>
        <v>14.8271056989248</v>
      </c>
      <c r="AD805" s="32" t="n">
        <f aca="false">ROUND(AA805+AC805,2)</f>
        <v>211.82</v>
      </c>
      <c r="AE805" s="32" t="n">
        <f aca="false">AD805-L805</f>
        <v>47.99</v>
      </c>
      <c r="AF805" s="34" t="n">
        <f aca="false">IF(L805=0,0,AE805/L805)</f>
        <v>0.292925593603125</v>
      </c>
      <c r="AG805" s="22" t="str">
        <f aca="false">IF(AD805&lt;L805,"PASSARO","ATUAL")</f>
        <v>ATUAL</v>
      </c>
      <c r="AH805" s="22" t="str">
        <f aca="false">IF(P805&lt;&gt;A805,"Faixa cadastrada como "&amp;P805&amp;" na tabela; preço aplicado pela UF do CEP","")</f>
        <v/>
      </c>
      <c r="AI805" s="26" t="n">
        <v>244.5</v>
      </c>
      <c r="AJ805" s="22" t="str">
        <f aca="false">INDEX('Tabela Passaro'!$X$2:$X$1795,$N805)</f>
        <v>CAPITAL</v>
      </c>
    </row>
    <row r="806" customFormat="false" ht="15" hidden="false" customHeight="false" outlineLevel="0" collapsed="false">
      <c r="A806" s="22" t="s">
        <v>17</v>
      </c>
      <c r="B806" s="22" t="n">
        <v>1</v>
      </c>
      <c r="C806" s="22" t="s">
        <v>95</v>
      </c>
      <c r="D806" s="22" t="s">
        <v>30</v>
      </c>
      <c r="E806" s="22" t="s">
        <v>7328</v>
      </c>
      <c r="F806" s="22" t="n">
        <v>2315813</v>
      </c>
      <c r="G806" s="30" t="n">
        <v>46258</v>
      </c>
      <c r="H806" s="22" t="n">
        <v>134959</v>
      </c>
      <c r="I806" s="22" t="s">
        <v>8073</v>
      </c>
      <c r="J806" s="31" t="n">
        <v>59.8</v>
      </c>
      <c r="K806" s="26" t="n">
        <v>1000.32</v>
      </c>
      <c r="L806" s="26" t="n">
        <v>198.87</v>
      </c>
      <c r="M806" s="22" t="s">
        <v>2349</v>
      </c>
      <c r="N806" s="22" t="n">
        <f aca="false">MATCH(M806,'Tabela Passaro'!$A$2:$A$1795,0)</f>
        <v>522</v>
      </c>
      <c r="O806" s="22" t="str">
        <f aca="false">INDEX('Tabela Passaro'!$C$2:$C$1795,$N806)</f>
        <v>FORTALEZA</v>
      </c>
      <c r="P806" s="22" t="str">
        <f aca="false">INDEX('Tabela Passaro'!$B$2:$B$1795,$N806)</f>
        <v>CE</v>
      </c>
      <c r="Q806" s="22" t="n">
        <f aca="false">INDEX('Tabela Passaro'!$F$2:$F$1795,$N806)</f>
        <v>8</v>
      </c>
      <c r="R806" s="32" t="n">
        <f aca="false">IF(J806&lt;=10,INDEX('Tabela Passaro'!$G$2:$G$1795,$N806),IF(J806&lt;=30,INDEX('Tabela Passaro'!$H$2:$H$1795,$N806),IF(J806&lt;=50,INDEX('Tabela Passaro'!$I$2:$I$1795,$N806),IF(J806&lt;=70,INDEX('Tabela Passaro'!$J$2:$J$1795,$N806),IF(J806&lt;=100,INDEX('Tabela Passaro'!$K$2:$K$1795,$N806),INDEX('Tabela Passaro'!$K$2:$K$1795,$N806)+(J806-100)*INDEX('Tabela Passaro'!$L$2:$L$1795,$N806))))))</f>
        <v>169.58</v>
      </c>
      <c r="S806" s="32" t="n">
        <f aca="false">K806*INDEX('Tabela Passaro'!$M$2:$M$1795,$N806)</f>
        <v>5.0016</v>
      </c>
      <c r="T806" s="32" t="n">
        <f aca="false">K806*INDEX('Tabela Passaro'!$N$2:$N$1795,$N806)</f>
        <v>2.00064</v>
      </c>
      <c r="U806" s="32" t="n">
        <f aca="false">INDEX('Tabela Passaro'!$O$2:$O$1795,$N806)</f>
        <v>5</v>
      </c>
      <c r="V806" s="32" t="n">
        <f aca="false">ROUNDUP(J806/INDEX('Tabela Passaro'!$Q$2:$Q$1795,$N806),0)*INDEX('Tabela Passaro'!$P$2:$P$1795,$N806)</f>
        <v>5</v>
      </c>
      <c r="W806" s="32" t="n">
        <f aca="false">INDEX('Tabela Passaro'!$R$2:$R$1795,$N806)</f>
        <v>30</v>
      </c>
      <c r="X806" s="32" t="n">
        <f aca="false">ROUNDUP(J806/INDEX('Tabela Passaro'!$T$2:$T$1795,$N806),0)*INDEX('Tabela Passaro'!$S$2:$S$1795,$N806)</f>
        <v>0</v>
      </c>
      <c r="Y806" s="32" t="n">
        <f aca="false">INDEX('Tabela Passaro'!$U$2:$U$1795,$N806)</f>
        <v>0</v>
      </c>
      <c r="Z806" s="32" t="n">
        <f aca="false">INDEX('Tabela Passaro'!$V$2:$V$1795,$N806)</f>
        <v>0</v>
      </c>
      <c r="AA806" s="32" t="n">
        <f aca="false">SUM(R806:Z806)</f>
        <v>216.58224</v>
      </c>
      <c r="AB806" s="33" t="n">
        <f aca="false">INDEX(Premissas!$B$5:$B$13,MATCH(A806,Premissas!$A$5:$A$13,0))</f>
        <v>0.07</v>
      </c>
      <c r="AC806" s="32" t="n">
        <f aca="false">AA806/(1-AB806)-AA806</f>
        <v>16.3018890322581</v>
      </c>
      <c r="AD806" s="32" t="n">
        <f aca="false">ROUND(AA806+AC806,2)</f>
        <v>232.88</v>
      </c>
      <c r="AE806" s="32" t="n">
        <f aca="false">AD806-L806</f>
        <v>34.01</v>
      </c>
      <c r="AF806" s="34" t="n">
        <f aca="false">IF(L806=0,0,AE806/L806)</f>
        <v>0.171016241765978</v>
      </c>
      <c r="AG806" s="22" t="str">
        <f aca="false">IF(AD806&lt;L806,"PASSARO","ATUAL")</f>
        <v>ATUAL</v>
      </c>
      <c r="AH806" s="22" t="str">
        <f aca="false">IF(P806&lt;&gt;A806,"Faixa cadastrada como "&amp;P806&amp;" na tabela; preço aplicado pela UF do CEP","")</f>
        <v/>
      </c>
      <c r="AI806" s="26" t="n">
        <v>279.05</v>
      </c>
      <c r="AJ806" s="22" t="str">
        <f aca="false">INDEX('Tabela Passaro'!$X$2:$X$1795,$N806)</f>
        <v>CAPITAL</v>
      </c>
    </row>
    <row r="807" customFormat="false" ht="15" hidden="false" customHeight="false" outlineLevel="0" collapsed="false">
      <c r="A807" s="22" t="s">
        <v>17</v>
      </c>
      <c r="B807" s="22" t="n">
        <v>1</v>
      </c>
      <c r="C807" s="22" t="s">
        <v>95</v>
      </c>
      <c r="D807" s="22" t="s">
        <v>30</v>
      </c>
      <c r="E807" s="22" t="s">
        <v>7328</v>
      </c>
      <c r="F807" s="22" t="n">
        <v>2315833</v>
      </c>
      <c r="G807" s="30" t="n">
        <v>46258</v>
      </c>
      <c r="H807" s="22" t="n">
        <v>135104</v>
      </c>
      <c r="I807" s="22" t="s">
        <v>8074</v>
      </c>
      <c r="J807" s="31" t="n">
        <v>77.8</v>
      </c>
      <c r="K807" s="26" t="n">
        <v>1767.42</v>
      </c>
      <c r="L807" s="26" t="n">
        <v>257.69</v>
      </c>
      <c r="M807" s="22" t="s">
        <v>2349</v>
      </c>
      <c r="N807" s="22" t="n">
        <f aca="false">MATCH(M807,'Tabela Passaro'!$A$2:$A$1795,0)</f>
        <v>522</v>
      </c>
      <c r="O807" s="22" t="str">
        <f aca="false">INDEX('Tabela Passaro'!$C$2:$C$1795,$N807)</f>
        <v>FORTALEZA</v>
      </c>
      <c r="P807" s="22" t="str">
        <f aca="false">INDEX('Tabela Passaro'!$B$2:$B$1795,$N807)</f>
        <v>CE</v>
      </c>
      <c r="Q807" s="22" t="n">
        <f aca="false">INDEX('Tabela Passaro'!$F$2:$F$1795,$N807)</f>
        <v>8</v>
      </c>
      <c r="R807" s="32" t="n">
        <f aca="false">IF(J807&lt;=10,INDEX('Tabela Passaro'!$G$2:$G$1795,$N807),IF(J807&lt;=30,INDEX('Tabela Passaro'!$H$2:$H$1795,$N807),IF(J807&lt;=50,INDEX('Tabela Passaro'!$I$2:$I$1795,$N807),IF(J807&lt;=70,INDEX('Tabela Passaro'!$J$2:$J$1795,$N807),IF(J807&lt;=100,INDEX('Tabela Passaro'!$K$2:$K$1795,$N807),INDEX('Tabela Passaro'!$K$2:$K$1795,$N807)+(J807-100)*INDEX('Tabela Passaro'!$L$2:$L$1795,$N807))))))</f>
        <v>186.18</v>
      </c>
      <c r="S807" s="32" t="n">
        <f aca="false">K807*INDEX('Tabela Passaro'!$M$2:$M$1795,$N807)</f>
        <v>8.8371</v>
      </c>
      <c r="T807" s="32" t="n">
        <f aca="false">K807*INDEX('Tabela Passaro'!$N$2:$N$1795,$N807)</f>
        <v>3.53484</v>
      </c>
      <c r="U807" s="32" t="n">
        <f aca="false">INDEX('Tabela Passaro'!$O$2:$O$1795,$N807)</f>
        <v>5</v>
      </c>
      <c r="V807" s="32" t="n">
        <f aca="false">ROUNDUP(J807/INDEX('Tabela Passaro'!$Q$2:$Q$1795,$N807),0)*INDEX('Tabela Passaro'!$P$2:$P$1795,$N807)</f>
        <v>5</v>
      </c>
      <c r="W807" s="32" t="n">
        <f aca="false">INDEX('Tabela Passaro'!$R$2:$R$1795,$N807)</f>
        <v>30</v>
      </c>
      <c r="X807" s="32" t="n">
        <f aca="false">ROUNDUP(J807/INDEX('Tabela Passaro'!$T$2:$T$1795,$N807),0)*INDEX('Tabela Passaro'!$S$2:$S$1795,$N807)</f>
        <v>0</v>
      </c>
      <c r="Y807" s="32" t="n">
        <f aca="false">INDEX('Tabela Passaro'!$U$2:$U$1795,$N807)</f>
        <v>0</v>
      </c>
      <c r="Z807" s="32" t="n">
        <f aca="false">INDEX('Tabela Passaro'!$V$2:$V$1795,$N807)</f>
        <v>0</v>
      </c>
      <c r="AA807" s="32" t="n">
        <f aca="false">SUM(R807:Z807)</f>
        <v>238.55194</v>
      </c>
      <c r="AB807" s="33" t="n">
        <f aca="false">INDEX(Premissas!$B$5:$B$13,MATCH(A807,Premissas!$A$5:$A$13,0))</f>
        <v>0.07</v>
      </c>
      <c r="AC807" s="32" t="n">
        <f aca="false">AA807/(1-AB807)-AA807</f>
        <v>17.9555223655914</v>
      </c>
      <c r="AD807" s="32" t="n">
        <f aca="false">ROUND(AA807+AC807,2)</f>
        <v>256.51</v>
      </c>
      <c r="AE807" s="32" t="n">
        <f aca="false">AD807-L807</f>
        <v>-1.18000000000001</v>
      </c>
      <c r="AF807" s="34" t="n">
        <f aca="false">IF(L807=0,0,AE807/L807)</f>
        <v>-0.00457914548488497</v>
      </c>
      <c r="AG807" s="22" t="str">
        <f aca="false">IF(AD807&lt;L807,"PASSARO","ATUAL")</f>
        <v>PASSARO</v>
      </c>
      <c r="AH807" s="22" t="str">
        <f aca="false">IF(P807&lt;&gt;A807,"Faixa cadastrada como "&amp;P807&amp;" na tabela; preço aplicado pela UF do CEP","")</f>
        <v/>
      </c>
      <c r="AI807" s="26" t="n">
        <v>313.96</v>
      </c>
      <c r="AJ807" s="22" t="str">
        <f aca="false">INDEX('Tabela Passaro'!$X$2:$X$1795,$N807)</f>
        <v>CAPITAL</v>
      </c>
    </row>
    <row r="808" customFormat="false" ht="15" hidden="false" customHeight="false" outlineLevel="0" collapsed="false">
      <c r="A808" s="22" t="s">
        <v>17</v>
      </c>
      <c r="B808" s="22" t="n">
        <v>1</v>
      </c>
      <c r="C808" s="22" t="s">
        <v>95</v>
      </c>
      <c r="D808" s="22" t="s">
        <v>30</v>
      </c>
      <c r="E808" s="22" t="s">
        <v>7328</v>
      </c>
      <c r="F808" s="22" t="n">
        <v>2315868</v>
      </c>
      <c r="G808" s="30" t="n">
        <v>46258</v>
      </c>
      <c r="H808" s="22" t="n">
        <v>135134</v>
      </c>
      <c r="I808" s="22" t="s">
        <v>8075</v>
      </c>
      <c r="J808" s="31" t="n">
        <v>66.8</v>
      </c>
      <c r="K808" s="26" t="n">
        <v>974.44</v>
      </c>
      <c r="L808" s="26" t="n">
        <v>198.67</v>
      </c>
      <c r="M808" s="22" t="s">
        <v>2349</v>
      </c>
      <c r="N808" s="22" t="n">
        <f aca="false">MATCH(M808,'Tabela Passaro'!$A$2:$A$1795,0)</f>
        <v>522</v>
      </c>
      <c r="O808" s="22" t="str">
        <f aca="false">INDEX('Tabela Passaro'!$C$2:$C$1795,$N808)</f>
        <v>FORTALEZA</v>
      </c>
      <c r="P808" s="22" t="str">
        <f aca="false">INDEX('Tabela Passaro'!$B$2:$B$1795,$N808)</f>
        <v>CE</v>
      </c>
      <c r="Q808" s="22" t="n">
        <f aca="false">INDEX('Tabela Passaro'!$F$2:$F$1795,$N808)</f>
        <v>8</v>
      </c>
      <c r="R808" s="32" t="n">
        <f aca="false">IF(J808&lt;=10,INDEX('Tabela Passaro'!$G$2:$G$1795,$N808),IF(J808&lt;=30,INDEX('Tabela Passaro'!$H$2:$H$1795,$N808),IF(J808&lt;=50,INDEX('Tabela Passaro'!$I$2:$I$1795,$N808),IF(J808&lt;=70,INDEX('Tabela Passaro'!$J$2:$J$1795,$N808),IF(J808&lt;=100,INDEX('Tabela Passaro'!$K$2:$K$1795,$N808),INDEX('Tabela Passaro'!$K$2:$K$1795,$N808)+(J808-100)*INDEX('Tabela Passaro'!$L$2:$L$1795,$N808))))))</f>
        <v>169.58</v>
      </c>
      <c r="S808" s="32" t="n">
        <f aca="false">K808*INDEX('Tabela Passaro'!$M$2:$M$1795,$N808)</f>
        <v>4.8722</v>
      </c>
      <c r="T808" s="32" t="n">
        <f aca="false">K808*INDEX('Tabela Passaro'!$N$2:$N$1795,$N808)</f>
        <v>1.94888</v>
      </c>
      <c r="U808" s="32" t="n">
        <f aca="false">INDEX('Tabela Passaro'!$O$2:$O$1795,$N808)</f>
        <v>5</v>
      </c>
      <c r="V808" s="32" t="n">
        <f aca="false">ROUNDUP(J808/INDEX('Tabela Passaro'!$Q$2:$Q$1795,$N808),0)*INDEX('Tabela Passaro'!$P$2:$P$1795,$N808)</f>
        <v>5</v>
      </c>
      <c r="W808" s="32" t="n">
        <f aca="false">INDEX('Tabela Passaro'!$R$2:$R$1795,$N808)</f>
        <v>30</v>
      </c>
      <c r="X808" s="32" t="n">
        <f aca="false">ROUNDUP(J808/INDEX('Tabela Passaro'!$T$2:$T$1795,$N808),0)*INDEX('Tabela Passaro'!$S$2:$S$1795,$N808)</f>
        <v>0</v>
      </c>
      <c r="Y808" s="32" t="n">
        <f aca="false">INDEX('Tabela Passaro'!$U$2:$U$1795,$N808)</f>
        <v>0</v>
      </c>
      <c r="Z808" s="32" t="n">
        <f aca="false">INDEX('Tabela Passaro'!$V$2:$V$1795,$N808)</f>
        <v>0</v>
      </c>
      <c r="AA808" s="32" t="n">
        <f aca="false">SUM(R808:Z808)</f>
        <v>216.40108</v>
      </c>
      <c r="AB808" s="33" t="n">
        <f aca="false">INDEX(Premissas!$B$5:$B$13,MATCH(A808,Premissas!$A$5:$A$13,0))</f>
        <v>0.07</v>
      </c>
      <c r="AC808" s="32" t="n">
        <f aca="false">AA808/(1-AB808)-AA808</f>
        <v>16.2882533333334</v>
      </c>
      <c r="AD808" s="32" t="n">
        <f aca="false">ROUND(AA808+AC808,2)</f>
        <v>232.69</v>
      </c>
      <c r="AE808" s="32" t="n">
        <f aca="false">AD808-L808</f>
        <v>34.02</v>
      </c>
      <c r="AF808" s="34" t="n">
        <f aca="false">IF(L808=0,0,AE808/L808)</f>
        <v>0.171238737605074</v>
      </c>
      <c r="AG808" s="22" t="str">
        <f aca="false">IF(AD808&lt;L808,"PASSARO","ATUAL")</f>
        <v>ATUAL</v>
      </c>
      <c r="AH808" s="22" t="str">
        <f aca="false">IF(P808&lt;&gt;A808,"Faixa cadastrada como "&amp;P808&amp;" na tabela; preço aplicado pela UF do CEP","")</f>
        <v/>
      </c>
      <c r="AI808" s="26" t="n">
        <v>282.18</v>
      </c>
      <c r="AJ808" s="22" t="str">
        <f aca="false">INDEX('Tabela Passaro'!$X$2:$X$1795,$N808)</f>
        <v>CAPITAL</v>
      </c>
    </row>
    <row r="809" customFormat="false" ht="15" hidden="false" customHeight="false" outlineLevel="0" collapsed="false">
      <c r="A809" s="22" t="s">
        <v>17</v>
      </c>
      <c r="B809" s="22" t="n">
        <v>1</v>
      </c>
      <c r="C809" s="22" t="s">
        <v>95</v>
      </c>
      <c r="D809" s="22" t="s">
        <v>30</v>
      </c>
      <c r="E809" s="22" t="s">
        <v>7328</v>
      </c>
      <c r="F809" s="22" t="n">
        <v>2315786</v>
      </c>
      <c r="G809" s="30" t="n">
        <v>46258</v>
      </c>
      <c r="H809" s="22" t="n">
        <v>135136</v>
      </c>
      <c r="I809" s="22" t="s">
        <v>8076</v>
      </c>
      <c r="J809" s="31" t="n">
        <v>51.06</v>
      </c>
      <c r="K809" s="26" t="n">
        <v>871.14</v>
      </c>
      <c r="L809" s="26" t="n">
        <v>197.85</v>
      </c>
      <c r="M809" s="22" t="s">
        <v>2349</v>
      </c>
      <c r="N809" s="22" t="n">
        <f aca="false">MATCH(M809,'Tabela Passaro'!$A$2:$A$1795,0)</f>
        <v>522</v>
      </c>
      <c r="O809" s="22" t="str">
        <f aca="false">INDEX('Tabela Passaro'!$C$2:$C$1795,$N809)</f>
        <v>FORTALEZA</v>
      </c>
      <c r="P809" s="22" t="str">
        <f aca="false">INDEX('Tabela Passaro'!$B$2:$B$1795,$N809)</f>
        <v>CE</v>
      </c>
      <c r="Q809" s="22" t="n">
        <f aca="false">INDEX('Tabela Passaro'!$F$2:$F$1795,$N809)</f>
        <v>8</v>
      </c>
      <c r="R809" s="32" t="n">
        <f aca="false">IF(J809&lt;=10,INDEX('Tabela Passaro'!$G$2:$G$1795,$N809),IF(J809&lt;=30,INDEX('Tabela Passaro'!$H$2:$H$1795,$N809),IF(J809&lt;=50,INDEX('Tabela Passaro'!$I$2:$I$1795,$N809),IF(J809&lt;=70,INDEX('Tabela Passaro'!$J$2:$J$1795,$N809),IF(J809&lt;=100,INDEX('Tabela Passaro'!$K$2:$K$1795,$N809),INDEX('Tabela Passaro'!$K$2:$K$1795,$N809)+(J809-100)*INDEX('Tabela Passaro'!$L$2:$L$1795,$N809))))))</f>
        <v>169.58</v>
      </c>
      <c r="S809" s="32" t="n">
        <f aca="false">K809*INDEX('Tabela Passaro'!$M$2:$M$1795,$N809)</f>
        <v>4.3557</v>
      </c>
      <c r="T809" s="32" t="n">
        <f aca="false">K809*INDEX('Tabela Passaro'!$N$2:$N$1795,$N809)</f>
        <v>1.74228</v>
      </c>
      <c r="U809" s="32" t="n">
        <f aca="false">INDEX('Tabela Passaro'!$O$2:$O$1795,$N809)</f>
        <v>5</v>
      </c>
      <c r="V809" s="32" t="n">
        <f aca="false">ROUNDUP(J809/INDEX('Tabela Passaro'!$Q$2:$Q$1795,$N809),0)*INDEX('Tabela Passaro'!$P$2:$P$1795,$N809)</f>
        <v>5</v>
      </c>
      <c r="W809" s="32" t="n">
        <f aca="false">INDEX('Tabela Passaro'!$R$2:$R$1795,$N809)</f>
        <v>30</v>
      </c>
      <c r="X809" s="32" t="n">
        <f aca="false">ROUNDUP(J809/INDEX('Tabela Passaro'!$T$2:$T$1795,$N809),0)*INDEX('Tabela Passaro'!$S$2:$S$1795,$N809)</f>
        <v>0</v>
      </c>
      <c r="Y809" s="32" t="n">
        <f aca="false">INDEX('Tabela Passaro'!$U$2:$U$1795,$N809)</f>
        <v>0</v>
      </c>
      <c r="Z809" s="32" t="n">
        <f aca="false">INDEX('Tabela Passaro'!$V$2:$V$1795,$N809)</f>
        <v>0</v>
      </c>
      <c r="AA809" s="32" t="n">
        <f aca="false">SUM(R809:Z809)</f>
        <v>215.67798</v>
      </c>
      <c r="AB809" s="33" t="n">
        <f aca="false">INDEX(Premissas!$B$5:$B$13,MATCH(A809,Premissas!$A$5:$A$13,0))</f>
        <v>0.07</v>
      </c>
      <c r="AC809" s="32" t="n">
        <f aca="false">AA809/(1-AB809)-AA809</f>
        <v>16.2338264516129</v>
      </c>
      <c r="AD809" s="32" t="n">
        <f aca="false">ROUND(AA809+AC809,2)</f>
        <v>231.91</v>
      </c>
      <c r="AE809" s="32" t="n">
        <f aca="false">AD809-L809</f>
        <v>34.06</v>
      </c>
      <c r="AF809" s="34" t="n">
        <f aca="false">IF(L809=0,0,AE809/L809)</f>
        <v>0.172150619155926</v>
      </c>
      <c r="AG809" s="22" t="str">
        <f aca="false">IF(AD809&lt;L809,"PASSARO","ATUAL")</f>
        <v>ATUAL</v>
      </c>
      <c r="AH809" s="22" t="str">
        <f aca="false">IF(P809&lt;&gt;A809,"Faixa cadastrada como "&amp;P809&amp;" na tabela; preço aplicado pela UF do CEP","")</f>
        <v/>
      </c>
      <c r="AI809" s="26" t="n">
        <v>273.93</v>
      </c>
      <c r="AJ809" s="22" t="str">
        <f aca="false">INDEX('Tabela Passaro'!$X$2:$X$1795,$N809)</f>
        <v>CAPITAL</v>
      </c>
    </row>
    <row r="810" customFormat="false" ht="15" hidden="false" customHeight="false" outlineLevel="0" collapsed="false">
      <c r="A810" s="22" t="s">
        <v>17</v>
      </c>
      <c r="B810" s="22" t="n">
        <v>1</v>
      </c>
      <c r="C810" s="22" t="s">
        <v>95</v>
      </c>
      <c r="D810" s="22" t="s">
        <v>30</v>
      </c>
      <c r="E810" s="22" t="s">
        <v>7328</v>
      </c>
      <c r="F810" s="22" t="n">
        <v>2315878</v>
      </c>
      <c r="G810" s="30" t="n">
        <v>46258</v>
      </c>
      <c r="H810" s="22" t="n">
        <v>135338</v>
      </c>
      <c r="I810" s="22" t="s">
        <v>8077</v>
      </c>
      <c r="J810" s="31" t="n">
        <v>22.4</v>
      </c>
      <c r="K810" s="26" t="n">
        <v>790.5</v>
      </c>
      <c r="L810" s="26" t="n">
        <v>126.53</v>
      </c>
      <c r="M810" s="22" t="s">
        <v>2349</v>
      </c>
      <c r="N810" s="22" t="n">
        <f aca="false">MATCH(M810,'Tabela Passaro'!$A$2:$A$1795,0)</f>
        <v>522</v>
      </c>
      <c r="O810" s="22" t="str">
        <f aca="false">INDEX('Tabela Passaro'!$C$2:$C$1795,$N810)</f>
        <v>FORTALEZA</v>
      </c>
      <c r="P810" s="22" t="str">
        <f aca="false">INDEX('Tabela Passaro'!$B$2:$B$1795,$N810)</f>
        <v>CE</v>
      </c>
      <c r="Q810" s="22" t="n">
        <f aca="false">INDEX('Tabela Passaro'!$F$2:$F$1795,$N810)</f>
        <v>8</v>
      </c>
      <c r="R810" s="32" t="n">
        <f aca="false">IF(J810&lt;=10,INDEX('Tabela Passaro'!$G$2:$G$1795,$N810),IF(J810&lt;=30,INDEX('Tabela Passaro'!$H$2:$H$1795,$N810),IF(J810&lt;=50,INDEX('Tabela Passaro'!$I$2:$I$1795,$N810),IF(J810&lt;=70,INDEX('Tabela Passaro'!$J$2:$J$1795,$N810),IF(J810&lt;=100,INDEX('Tabela Passaro'!$K$2:$K$1795,$N810),INDEX('Tabela Passaro'!$K$2:$K$1795,$N810)+(J810-100)*INDEX('Tabela Passaro'!$L$2:$L$1795,$N810))))))</f>
        <v>130.85</v>
      </c>
      <c r="S810" s="32" t="n">
        <f aca="false">K810*INDEX('Tabela Passaro'!$M$2:$M$1795,$N810)</f>
        <v>3.9525</v>
      </c>
      <c r="T810" s="32" t="n">
        <f aca="false">K810*INDEX('Tabela Passaro'!$N$2:$N$1795,$N810)</f>
        <v>1.581</v>
      </c>
      <c r="U810" s="32" t="n">
        <f aca="false">INDEX('Tabela Passaro'!$O$2:$O$1795,$N810)</f>
        <v>5</v>
      </c>
      <c r="V810" s="32" t="n">
        <f aca="false">ROUNDUP(J810/INDEX('Tabela Passaro'!$Q$2:$Q$1795,$N810),0)*INDEX('Tabela Passaro'!$P$2:$P$1795,$N810)</f>
        <v>5</v>
      </c>
      <c r="W810" s="32" t="n">
        <f aca="false">INDEX('Tabela Passaro'!$R$2:$R$1795,$N810)</f>
        <v>30</v>
      </c>
      <c r="X810" s="32" t="n">
        <f aca="false">ROUNDUP(J810/INDEX('Tabela Passaro'!$T$2:$T$1795,$N810),0)*INDEX('Tabela Passaro'!$S$2:$S$1795,$N810)</f>
        <v>0</v>
      </c>
      <c r="Y810" s="32" t="n">
        <f aca="false">INDEX('Tabela Passaro'!$U$2:$U$1795,$N810)</f>
        <v>0</v>
      </c>
      <c r="Z810" s="32" t="n">
        <f aca="false">INDEX('Tabela Passaro'!$V$2:$V$1795,$N810)</f>
        <v>0</v>
      </c>
      <c r="AA810" s="32" t="n">
        <f aca="false">SUM(R810:Z810)</f>
        <v>176.3835</v>
      </c>
      <c r="AB810" s="33" t="n">
        <f aca="false">INDEX(Premissas!$B$5:$B$13,MATCH(A810,Premissas!$A$5:$A$13,0))</f>
        <v>0.07</v>
      </c>
      <c r="AC810" s="32" t="n">
        <f aca="false">AA810/(1-AB810)-AA810</f>
        <v>13.2761774193548</v>
      </c>
      <c r="AD810" s="32" t="n">
        <f aca="false">ROUND(AA810+AC810,2)</f>
        <v>189.66</v>
      </c>
      <c r="AE810" s="32" t="n">
        <f aca="false">AD810-L810</f>
        <v>63.13</v>
      </c>
      <c r="AF810" s="34" t="n">
        <f aca="false">IF(L810=0,0,AE810/L810)</f>
        <v>0.498933059353513</v>
      </c>
      <c r="AG810" s="22" t="str">
        <f aca="false">IF(AD810&lt;L810,"PASSARO","ATUAL")</f>
        <v>ATUAL</v>
      </c>
      <c r="AH810" s="22" t="str">
        <f aca="false">IF(P810&lt;&gt;A810,"Faixa cadastrada como "&amp;P810&amp;" na tabela; preço aplicado pela UF do CEP","")</f>
        <v/>
      </c>
      <c r="AI810" s="26" t="n">
        <v>215.27</v>
      </c>
      <c r="AJ810" s="22" t="str">
        <f aca="false">INDEX('Tabela Passaro'!$X$2:$X$1795,$N810)</f>
        <v>CAPITAL</v>
      </c>
    </row>
    <row r="811" customFormat="false" ht="15" hidden="false" customHeight="false" outlineLevel="0" collapsed="false">
      <c r="A811" s="22" t="s">
        <v>17</v>
      </c>
      <c r="B811" s="22" t="n">
        <v>1</v>
      </c>
      <c r="C811" s="22" t="s">
        <v>95</v>
      </c>
      <c r="D811" s="22" t="s">
        <v>30</v>
      </c>
      <c r="E811" s="22" t="s">
        <v>7326</v>
      </c>
      <c r="F811" s="22" t="n">
        <v>526897</v>
      </c>
      <c r="G811" s="30" t="n">
        <v>46258</v>
      </c>
      <c r="H811" s="22" t="n">
        <v>627920</v>
      </c>
      <c r="I811" s="22" t="s">
        <v>8078</v>
      </c>
      <c r="J811" s="31" t="n">
        <v>55</v>
      </c>
      <c r="K811" s="26" t="n">
        <v>2204.59</v>
      </c>
      <c r="L811" s="26" t="n">
        <v>242.23</v>
      </c>
      <c r="M811" s="22" t="s">
        <v>2349</v>
      </c>
      <c r="N811" s="22" t="n">
        <f aca="false">MATCH(M811,'Tabela Passaro'!$A$2:$A$1795,0)</f>
        <v>522</v>
      </c>
      <c r="O811" s="22" t="str">
        <f aca="false">INDEX('Tabela Passaro'!$C$2:$C$1795,$N811)</f>
        <v>FORTALEZA</v>
      </c>
      <c r="P811" s="22" t="str">
        <f aca="false">INDEX('Tabela Passaro'!$B$2:$B$1795,$N811)</f>
        <v>CE</v>
      </c>
      <c r="Q811" s="22" t="n">
        <f aca="false">INDEX('Tabela Passaro'!$F$2:$F$1795,$N811)</f>
        <v>8</v>
      </c>
      <c r="R811" s="32" t="n">
        <f aca="false">IF(J811&lt;=10,INDEX('Tabela Passaro'!$G$2:$G$1795,$N811),IF(J811&lt;=30,INDEX('Tabela Passaro'!$H$2:$H$1795,$N811),IF(J811&lt;=50,INDEX('Tabela Passaro'!$I$2:$I$1795,$N811),IF(J811&lt;=70,INDEX('Tabela Passaro'!$J$2:$J$1795,$N811),IF(J811&lt;=100,INDEX('Tabela Passaro'!$K$2:$K$1795,$N811),INDEX('Tabela Passaro'!$K$2:$K$1795,$N811)+(J811-100)*INDEX('Tabela Passaro'!$L$2:$L$1795,$N811))))))</f>
        <v>169.58</v>
      </c>
      <c r="S811" s="32" t="n">
        <f aca="false">K811*INDEX('Tabela Passaro'!$M$2:$M$1795,$N811)</f>
        <v>11.02295</v>
      </c>
      <c r="T811" s="32" t="n">
        <f aca="false">K811*INDEX('Tabela Passaro'!$N$2:$N$1795,$N811)</f>
        <v>4.40918</v>
      </c>
      <c r="U811" s="32" t="n">
        <f aca="false">INDEX('Tabela Passaro'!$O$2:$O$1795,$N811)</f>
        <v>5</v>
      </c>
      <c r="V811" s="32" t="n">
        <f aca="false">ROUNDUP(J811/INDEX('Tabela Passaro'!$Q$2:$Q$1795,$N811),0)*INDEX('Tabela Passaro'!$P$2:$P$1795,$N811)</f>
        <v>5</v>
      </c>
      <c r="W811" s="32" t="n">
        <f aca="false">INDEX('Tabela Passaro'!$R$2:$R$1795,$N811)</f>
        <v>30</v>
      </c>
      <c r="X811" s="32" t="n">
        <f aca="false">ROUNDUP(J811/INDEX('Tabela Passaro'!$T$2:$T$1795,$N811),0)*INDEX('Tabela Passaro'!$S$2:$S$1795,$N811)</f>
        <v>0</v>
      </c>
      <c r="Y811" s="32" t="n">
        <f aca="false">INDEX('Tabela Passaro'!$U$2:$U$1795,$N811)</f>
        <v>0</v>
      </c>
      <c r="Z811" s="32" t="n">
        <f aca="false">INDEX('Tabela Passaro'!$V$2:$V$1795,$N811)</f>
        <v>0</v>
      </c>
      <c r="AA811" s="32" t="n">
        <f aca="false">SUM(R811:Z811)</f>
        <v>225.01213</v>
      </c>
      <c r="AB811" s="33" t="n">
        <f aca="false">INDEX(Premissas!$B$5:$B$13,MATCH(A811,Premissas!$A$5:$A$13,0))</f>
        <v>0.07</v>
      </c>
      <c r="AC811" s="32" t="n">
        <f aca="false">AA811/(1-AB811)-AA811</f>
        <v>16.9363968817204</v>
      </c>
      <c r="AD811" s="32" t="n">
        <f aca="false">ROUND(AA811+AC811,2)</f>
        <v>241.95</v>
      </c>
      <c r="AE811" s="32" t="n">
        <f aca="false">AD811-L811</f>
        <v>-0.280000000000001</v>
      </c>
      <c r="AF811" s="34" t="n">
        <f aca="false">IF(L811=0,0,AE811/L811)</f>
        <v>-0.00115592618585642</v>
      </c>
      <c r="AG811" s="22" t="str">
        <f aca="false">IF(AD811&lt;L811,"PASSARO","ATUAL")</f>
        <v>PASSARO</v>
      </c>
      <c r="AH811" s="22" t="str">
        <f aca="false">IF(P811&lt;&gt;A811,"Faixa cadastrada como "&amp;P811&amp;" na tabela; preço aplicado pela UF do CEP","")</f>
        <v/>
      </c>
      <c r="AI811" s="26" t="n">
        <v>288.28</v>
      </c>
      <c r="AJ811" s="22" t="str">
        <f aca="false">INDEX('Tabela Passaro'!$X$2:$X$1795,$N811)</f>
        <v>CAPITAL</v>
      </c>
    </row>
    <row r="812" customFormat="false" ht="15" hidden="false" customHeight="false" outlineLevel="0" collapsed="false">
      <c r="A812" s="22" t="s">
        <v>17</v>
      </c>
      <c r="B812" s="22" t="n">
        <v>1</v>
      </c>
      <c r="C812" s="22" t="s">
        <v>95</v>
      </c>
      <c r="D812" s="22" t="s">
        <v>30</v>
      </c>
      <c r="E812" s="22" t="s">
        <v>7326</v>
      </c>
      <c r="F812" s="22" t="n">
        <v>526911</v>
      </c>
      <c r="G812" s="30" t="n">
        <v>46258</v>
      </c>
      <c r="H812" s="22" t="n">
        <v>627923</v>
      </c>
      <c r="I812" s="22" t="s">
        <v>8079</v>
      </c>
      <c r="J812" s="31" t="n">
        <v>44.5</v>
      </c>
      <c r="K812" s="26" t="n">
        <v>1025.43</v>
      </c>
      <c r="L812" s="26" t="n">
        <v>189.1</v>
      </c>
      <c r="M812" s="22" t="s">
        <v>2349</v>
      </c>
      <c r="N812" s="22" t="n">
        <f aca="false">MATCH(M812,'Tabela Passaro'!$A$2:$A$1795,0)</f>
        <v>522</v>
      </c>
      <c r="O812" s="22" t="str">
        <f aca="false">INDEX('Tabela Passaro'!$C$2:$C$1795,$N812)</f>
        <v>FORTALEZA</v>
      </c>
      <c r="P812" s="22" t="str">
        <f aca="false">INDEX('Tabela Passaro'!$B$2:$B$1795,$N812)</f>
        <v>CE</v>
      </c>
      <c r="Q812" s="22" t="n">
        <f aca="false">INDEX('Tabela Passaro'!$F$2:$F$1795,$N812)</f>
        <v>8</v>
      </c>
      <c r="R812" s="32" t="n">
        <f aca="false">IF(J812&lt;=10,INDEX('Tabela Passaro'!$G$2:$G$1795,$N812),IF(J812&lt;=30,INDEX('Tabela Passaro'!$H$2:$H$1795,$N812),IF(J812&lt;=50,INDEX('Tabela Passaro'!$I$2:$I$1795,$N812),IF(J812&lt;=70,INDEX('Tabela Passaro'!$J$2:$J$1795,$N812),IF(J812&lt;=100,INDEX('Tabela Passaro'!$K$2:$K$1795,$N812),INDEX('Tabela Passaro'!$K$2:$K$1795,$N812)+(J812-100)*INDEX('Tabela Passaro'!$L$2:$L$1795,$N812))))))</f>
        <v>152.98</v>
      </c>
      <c r="S812" s="32" t="n">
        <f aca="false">K812*INDEX('Tabela Passaro'!$M$2:$M$1795,$N812)</f>
        <v>5.12715</v>
      </c>
      <c r="T812" s="32" t="n">
        <f aca="false">K812*INDEX('Tabela Passaro'!$N$2:$N$1795,$N812)</f>
        <v>2.05086</v>
      </c>
      <c r="U812" s="32" t="n">
        <f aca="false">INDEX('Tabela Passaro'!$O$2:$O$1795,$N812)</f>
        <v>5</v>
      </c>
      <c r="V812" s="32" t="n">
        <f aca="false">ROUNDUP(J812/INDEX('Tabela Passaro'!$Q$2:$Q$1795,$N812),0)*INDEX('Tabela Passaro'!$P$2:$P$1795,$N812)</f>
        <v>5</v>
      </c>
      <c r="W812" s="32" t="n">
        <f aca="false">INDEX('Tabela Passaro'!$R$2:$R$1795,$N812)</f>
        <v>30</v>
      </c>
      <c r="X812" s="32" t="n">
        <f aca="false">ROUNDUP(J812/INDEX('Tabela Passaro'!$T$2:$T$1795,$N812),0)*INDEX('Tabela Passaro'!$S$2:$S$1795,$N812)</f>
        <v>0</v>
      </c>
      <c r="Y812" s="32" t="n">
        <f aca="false">INDEX('Tabela Passaro'!$U$2:$U$1795,$N812)</f>
        <v>0</v>
      </c>
      <c r="Z812" s="32" t="n">
        <f aca="false">INDEX('Tabela Passaro'!$V$2:$V$1795,$N812)</f>
        <v>0</v>
      </c>
      <c r="AA812" s="32" t="n">
        <f aca="false">SUM(R812:Z812)</f>
        <v>200.15801</v>
      </c>
      <c r="AB812" s="33" t="n">
        <f aca="false">INDEX(Premissas!$B$5:$B$13,MATCH(A812,Premissas!$A$5:$A$13,0))</f>
        <v>0.07</v>
      </c>
      <c r="AC812" s="32" t="n">
        <f aca="false">AA812/(1-AB812)-AA812</f>
        <v>15.0656566666667</v>
      </c>
      <c r="AD812" s="32" t="n">
        <f aca="false">ROUND(AA812+AC812,2)</f>
        <v>215.22</v>
      </c>
      <c r="AE812" s="32" t="n">
        <f aca="false">AD812-L812</f>
        <v>26.12</v>
      </c>
      <c r="AF812" s="34" t="n">
        <f aca="false">IF(L812=0,0,AE812/L812)</f>
        <v>0.138127974616605</v>
      </c>
      <c r="AG812" s="22" t="str">
        <f aca="false">IF(AD812&lt;L812,"PASSARO","ATUAL")</f>
        <v>ATUAL</v>
      </c>
      <c r="AH812" s="22" t="str">
        <f aca="false">IF(P812&lt;&gt;A812,"Faixa cadastrada como "&amp;P812&amp;" na tabela; preço aplicado pela UF do CEP","")</f>
        <v/>
      </c>
      <c r="AI812" s="26" t="n">
        <v>253.24</v>
      </c>
      <c r="AJ812" s="22" t="str">
        <f aca="false">INDEX('Tabela Passaro'!$X$2:$X$1795,$N812)</f>
        <v>CAPITAL</v>
      </c>
    </row>
    <row r="813" customFormat="false" ht="15" hidden="false" customHeight="false" outlineLevel="0" collapsed="false">
      <c r="A813" s="22" t="s">
        <v>17</v>
      </c>
      <c r="B813" s="22" t="n">
        <v>1</v>
      </c>
      <c r="C813" s="22" t="s">
        <v>95</v>
      </c>
      <c r="D813" s="22" t="s">
        <v>30</v>
      </c>
      <c r="E813" s="22" t="s">
        <v>7326</v>
      </c>
      <c r="F813" s="22" t="n">
        <v>526902</v>
      </c>
      <c r="G813" s="30" t="n">
        <v>46258</v>
      </c>
      <c r="H813" s="22" t="n">
        <v>627932</v>
      </c>
      <c r="I813" s="22" t="s">
        <v>8080</v>
      </c>
      <c r="J813" s="31" t="n">
        <v>7.14</v>
      </c>
      <c r="K813" s="26" t="n">
        <v>676.56</v>
      </c>
      <c r="L813" s="26" t="n">
        <v>77.22</v>
      </c>
      <c r="M813" s="22" t="s">
        <v>2349</v>
      </c>
      <c r="N813" s="22" t="n">
        <f aca="false">MATCH(M813,'Tabela Passaro'!$A$2:$A$1795,0)</f>
        <v>522</v>
      </c>
      <c r="O813" s="22" t="str">
        <f aca="false">INDEX('Tabela Passaro'!$C$2:$C$1795,$N813)</f>
        <v>FORTALEZA</v>
      </c>
      <c r="P813" s="22" t="str">
        <f aca="false">INDEX('Tabela Passaro'!$B$2:$B$1795,$N813)</f>
        <v>CE</v>
      </c>
      <c r="Q813" s="22" t="n">
        <f aca="false">INDEX('Tabela Passaro'!$F$2:$F$1795,$N813)</f>
        <v>8</v>
      </c>
      <c r="R813" s="32" t="n">
        <f aca="false">IF(J813&lt;=10,INDEX('Tabela Passaro'!$G$2:$G$1795,$N813),IF(J813&lt;=30,INDEX('Tabela Passaro'!$H$2:$H$1795,$N813),IF(J813&lt;=50,INDEX('Tabela Passaro'!$I$2:$I$1795,$N813),IF(J813&lt;=70,INDEX('Tabela Passaro'!$J$2:$J$1795,$N813),IF(J813&lt;=100,INDEX('Tabela Passaro'!$K$2:$K$1795,$N813),INDEX('Tabela Passaro'!$K$2:$K$1795,$N813)+(J813-100)*INDEX('Tabela Passaro'!$L$2:$L$1795,$N813))))))</f>
        <v>108.72</v>
      </c>
      <c r="S813" s="32" t="n">
        <f aca="false">K813*INDEX('Tabela Passaro'!$M$2:$M$1795,$N813)</f>
        <v>3.3828</v>
      </c>
      <c r="T813" s="32" t="n">
        <f aca="false">K813*INDEX('Tabela Passaro'!$N$2:$N$1795,$N813)</f>
        <v>1.35312</v>
      </c>
      <c r="U813" s="32" t="n">
        <f aca="false">INDEX('Tabela Passaro'!$O$2:$O$1795,$N813)</f>
        <v>5</v>
      </c>
      <c r="V813" s="32" t="n">
        <f aca="false">ROUNDUP(J813/INDEX('Tabela Passaro'!$Q$2:$Q$1795,$N813),0)*INDEX('Tabela Passaro'!$P$2:$P$1795,$N813)</f>
        <v>5</v>
      </c>
      <c r="W813" s="32" t="n">
        <f aca="false">INDEX('Tabela Passaro'!$R$2:$R$1795,$N813)</f>
        <v>30</v>
      </c>
      <c r="X813" s="32" t="n">
        <f aca="false">ROUNDUP(J813/INDEX('Tabela Passaro'!$T$2:$T$1795,$N813),0)*INDEX('Tabela Passaro'!$S$2:$S$1795,$N813)</f>
        <v>0</v>
      </c>
      <c r="Y813" s="32" t="n">
        <f aca="false">INDEX('Tabela Passaro'!$U$2:$U$1795,$N813)</f>
        <v>0</v>
      </c>
      <c r="Z813" s="32" t="n">
        <f aca="false">INDEX('Tabela Passaro'!$V$2:$V$1795,$N813)</f>
        <v>0</v>
      </c>
      <c r="AA813" s="32" t="n">
        <f aca="false">SUM(R813:Z813)</f>
        <v>153.45592</v>
      </c>
      <c r="AB813" s="33" t="n">
        <f aca="false">INDEX(Premissas!$B$5:$B$13,MATCH(A813,Premissas!$A$5:$A$13,0))</f>
        <v>0.07</v>
      </c>
      <c r="AC813" s="32" t="n">
        <f aca="false">AA813/(1-AB813)-AA813</f>
        <v>11.5504455913978</v>
      </c>
      <c r="AD813" s="32" t="n">
        <f aca="false">ROUND(AA813+AC813,2)</f>
        <v>165.01</v>
      </c>
      <c r="AE813" s="32" t="n">
        <f aca="false">AD813-L813</f>
        <v>87.79</v>
      </c>
      <c r="AF813" s="34" t="n">
        <f aca="false">IF(L813=0,0,AE813/L813)</f>
        <v>1.13688163688164</v>
      </c>
      <c r="AG813" s="22" t="str">
        <f aca="false">IF(AD813&lt;L813,"PASSARO","ATUAL")</f>
        <v>ATUAL</v>
      </c>
      <c r="AH813" s="22" t="str">
        <f aca="false">IF(P813&lt;&gt;A813,"Faixa cadastrada como "&amp;P813&amp;" na tabela; preço aplicado pela UF do CEP","")</f>
        <v/>
      </c>
      <c r="AI813" s="26" t="n">
        <v>181.86</v>
      </c>
      <c r="AJ813" s="22" t="str">
        <f aca="false">INDEX('Tabela Passaro'!$X$2:$X$1795,$N813)</f>
        <v>CAPITAL</v>
      </c>
    </row>
    <row r="814" customFormat="false" ht="15" hidden="false" customHeight="false" outlineLevel="0" collapsed="false">
      <c r="A814" s="22" t="s">
        <v>17</v>
      </c>
      <c r="B814" s="22" t="n">
        <v>1</v>
      </c>
      <c r="C814" s="22" t="s">
        <v>95</v>
      </c>
      <c r="D814" s="22" t="s">
        <v>30</v>
      </c>
      <c r="E814" s="22" t="s">
        <v>20</v>
      </c>
      <c r="F814" s="22" t="n">
        <v>840027</v>
      </c>
      <c r="G814" s="30" t="n">
        <v>46259</v>
      </c>
      <c r="H814" s="22" t="n">
        <v>32671</v>
      </c>
      <c r="I814" s="22" t="s">
        <v>8081</v>
      </c>
      <c r="J814" s="31" t="n">
        <v>25.8</v>
      </c>
      <c r="K814" s="26" t="n">
        <v>561.07</v>
      </c>
      <c r="L814" s="26" t="n">
        <v>115.34</v>
      </c>
      <c r="M814" s="22" t="s">
        <v>2349</v>
      </c>
      <c r="N814" s="22" t="n">
        <f aca="false">MATCH(M814,'Tabela Passaro'!$A$2:$A$1795,0)</f>
        <v>522</v>
      </c>
      <c r="O814" s="22" t="str">
        <f aca="false">INDEX('Tabela Passaro'!$C$2:$C$1795,$N814)</f>
        <v>FORTALEZA</v>
      </c>
      <c r="P814" s="22" t="str">
        <f aca="false">INDEX('Tabela Passaro'!$B$2:$B$1795,$N814)</f>
        <v>CE</v>
      </c>
      <c r="Q814" s="22" t="n">
        <f aca="false">INDEX('Tabela Passaro'!$F$2:$F$1795,$N814)</f>
        <v>8</v>
      </c>
      <c r="R814" s="32" t="n">
        <f aca="false">IF(J814&lt;=10,INDEX('Tabela Passaro'!$G$2:$G$1795,$N814),IF(J814&lt;=30,INDEX('Tabela Passaro'!$H$2:$H$1795,$N814),IF(J814&lt;=50,INDEX('Tabela Passaro'!$I$2:$I$1795,$N814),IF(J814&lt;=70,INDEX('Tabela Passaro'!$J$2:$J$1795,$N814),IF(J814&lt;=100,INDEX('Tabela Passaro'!$K$2:$K$1795,$N814),INDEX('Tabela Passaro'!$K$2:$K$1795,$N814)+(J814-100)*INDEX('Tabela Passaro'!$L$2:$L$1795,$N814))))))</f>
        <v>130.85</v>
      </c>
      <c r="S814" s="32" t="n">
        <f aca="false">K814*INDEX('Tabela Passaro'!$M$2:$M$1795,$N814)</f>
        <v>2.80535</v>
      </c>
      <c r="T814" s="32" t="n">
        <f aca="false">K814*INDEX('Tabela Passaro'!$N$2:$N$1795,$N814)</f>
        <v>1.12214</v>
      </c>
      <c r="U814" s="32" t="n">
        <f aca="false">INDEX('Tabela Passaro'!$O$2:$O$1795,$N814)</f>
        <v>5</v>
      </c>
      <c r="V814" s="32" t="n">
        <f aca="false">ROUNDUP(J814/INDEX('Tabela Passaro'!$Q$2:$Q$1795,$N814),0)*INDEX('Tabela Passaro'!$P$2:$P$1795,$N814)</f>
        <v>5</v>
      </c>
      <c r="W814" s="32" t="n">
        <f aca="false">INDEX('Tabela Passaro'!$R$2:$R$1795,$N814)</f>
        <v>30</v>
      </c>
      <c r="X814" s="32" t="n">
        <f aca="false">ROUNDUP(J814/INDEX('Tabela Passaro'!$T$2:$T$1795,$N814),0)*INDEX('Tabela Passaro'!$S$2:$S$1795,$N814)</f>
        <v>0</v>
      </c>
      <c r="Y814" s="32" t="n">
        <f aca="false">INDEX('Tabela Passaro'!$U$2:$U$1795,$N814)</f>
        <v>0</v>
      </c>
      <c r="Z814" s="32" t="n">
        <f aca="false">INDEX('Tabela Passaro'!$V$2:$V$1795,$N814)</f>
        <v>0</v>
      </c>
      <c r="AA814" s="32" t="n">
        <f aca="false">SUM(R814:Z814)</f>
        <v>174.77749</v>
      </c>
      <c r="AB814" s="33" t="n">
        <f aca="false">INDEX(Premissas!$B$5:$B$13,MATCH(A814,Premissas!$A$5:$A$13,0))</f>
        <v>0.07</v>
      </c>
      <c r="AC814" s="32" t="n">
        <f aca="false">AA814/(1-AB814)-AA814</f>
        <v>13.1552949462366</v>
      </c>
      <c r="AD814" s="32" t="n">
        <f aca="false">ROUND(AA814+AC814,2)</f>
        <v>187.93</v>
      </c>
      <c r="AE814" s="32" t="n">
        <f aca="false">AD814-L814</f>
        <v>72.59</v>
      </c>
      <c r="AF814" s="34" t="n">
        <f aca="false">IF(L814=0,0,AE814/L814)</f>
        <v>0.629356684584706</v>
      </c>
      <c r="AG814" s="22" t="str">
        <f aca="false">IF(AD814&lt;L814,"PASSARO","ATUAL")</f>
        <v>ATUAL</v>
      </c>
      <c r="AH814" s="22" t="str">
        <f aca="false">IF(P814&lt;&gt;A814,"Faixa cadastrada como "&amp;P814&amp;" na tabela; preço aplicado pela UF do CEP","")</f>
        <v/>
      </c>
      <c r="AI814" s="26" t="n">
        <v>214.5</v>
      </c>
      <c r="AJ814" s="22" t="str">
        <f aca="false">INDEX('Tabela Passaro'!$X$2:$X$1795,$N814)</f>
        <v>CAPITAL</v>
      </c>
    </row>
    <row r="815" customFormat="false" ht="15" hidden="false" customHeight="false" outlineLevel="0" collapsed="false">
      <c r="A815" s="22" t="s">
        <v>17</v>
      </c>
      <c r="B815" s="22" t="n">
        <v>1</v>
      </c>
      <c r="C815" s="22" t="s">
        <v>95</v>
      </c>
      <c r="D815" s="22" t="s">
        <v>30</v>
      </c>
      <c r="E815" s="22" t="s">
        <v>20</v>
      </c>
      <c r="F815" s="22" t="n">
        <v>840028</v>
      </c>
      <c r="G815" s="30" t="n">
        <v>46259</v>
      </c>
      <c r="H815" s="22" t="n">
        <v>32673</v>
      </c>
      <c r="I815" s="22" t="s">
        <v>8082</v>
      </c>
      <c r="J815" s="31" t="n">
        <v>51.06</v>
      </c>
      <c r="K815" s="26" t="n">
        <v>936.68</v>
      </c>
      <c r="L815" s="26" t="n">
        <v>177.45</v>
      </c>
      <c r="M815" s="22" t="s">
        <v>2349</v>
      </c>
      <c r="N815" s="22" t="n">
        <f aca="false">MATCH(M815,'Tabela Passaro'!$A$2:$A$1795,0)</f>
        <v>522</v>
      </c>
      <c r="O815" s="22" t="str">
        <f aca="false">INDEX('Tabela Passaro'!$C$2:$C$1795,$N815)</f>
        <v>FORTALEZA</v>
      </c>
      <c r="P815" s="22" t="str">
        <f aca="false">INDEX('Tabela Passaro'!$B$2:$B$1795,$N815)</f>
        <v>CE</v>
      </c>
      <c r="Q815" s="22" t="n">
        <f aca="false">INDEX('Tabela Passaro'!$F$2:$F$1795,$N815)</f>
        <v>8</v>
      </c>
      <c r="R815" s="32" t="n">
        <f aca="false">IF(J815&lt;=10,INDEX('Tabela Passaro'!$G$2:$G$1795,$N815),IF(J815&lt;=30,INDEX('Tabela Passaro'!$H$2:$H$1795,$N815),IF(J815&lt;=50,INDEX('Tabela Passaro'!$I$2:$I$1795,$N815),IF(J815&lt;=70,INDEX('Tabela Passaro'!$J$2:$J$1795,$N815),IF(J815&lt;=100,INDEX('Tabela Passaro'!$K$2:$K$1795,$N815),INDEX('Tabela Passaro'!$K$2:$K$1795,$N815)+(J815-100)*INDEX('Tabela Passaro'!$L$2:$L$1795,$N815))))))</f>
        <v>169.58</v>
      </c>
      <c r="S815" s="32" t="n">
        <f aca="false">K815*INDEX('Tabela Passaro'!$M$2:$M$1795,$N815)</f>
        <v>4.6834</v>
      </c>
      <c r="T815" s="32" t="n">
        <f aca="false">K815*INDEX('Tabela Passaro'!$N$2:$N$1795,$N815)</f>
        <v>1.87336</v>
      </c>
      <c r="U815" s="32" t="n">
        <f aca="false">INDEX('Tabela Passaro'!$O$2:$O$1795,$N815)</f>
        <v>5</v>
      </c>
      <c r="V815" s="32" t="n">
        <f aca="false">ROUNDUP(J815/INDEX('Tabela Passaro'!$Q$2:$Q$1795,$N815),0)*INDEX('Tabela Passaro'!$P$2:$P$1795,$N815)</f>
        <v>5</v>
      </c>
      <c r="W815" s="32" t="n">
        <f aca="false">INDEX('Tabela Passaro'!$R$2:$R$1795,$N815)</f>
        <v>30</v>
      </c>
      <c r="X815" s="32" t="n">
        <f aca="false">ROUNDUP(J815/INDEX('Tabela Passaro'!$T$2:$T$1795,$N815),0)*INDEX('Tabela Passaro'!$S$2:$S$1795,$N815)</f>
        <v>0</v>
      </c>
      <c r="Y815" s="32" t="n">
        <f aca="false">INDEX('Tabela Passaro'!$U$2:$U$1795,$N815)</f>
        <v>0</v>
      </c>
      <c r="Z815" s="32" t="n">
        <f aca="false">INDEX('Tabela Passaro'!$V$2:$V$1795,$N815)</f>
        <v>0</v>
      </c>
      <c r="AA815" s="32" t="n">
        <f aca="false">SUM(R815:Z815)</f>
        <v>216.13676</v>
      </c>
      <c r="AB815" s="33" t="n">
        <f aca="false">INDEX(Premissas!$B$5:$B$13,MATCH(A815,Premissas!$A$5:$A$13,0))</f>
        <v>0.07</v>
      </c>
      <c r="AC815" s="32" t="n">
        <f aca="false">AA815/(1-AB815)-AA815</f>
        <v>16.2683582795699</v>
      </c>
      <c r="AD815" s="32" t="n">
        <f aca="false">ROUND(AA815+AC815,2)</f>
        <v>232.41</v>
      </c>
      <c r="AE815" s="32" t="n">
        <f aca="false">AD815-L815</f>
        <v>54.96</v>
      </c>
      <c r="AF815" s="34" t="n">
        <f aca="false">IF(L815=0,0,AE815/L815)</f>
        <v>0.309721048182587</v>
      </c>
      <c r="AG815" s="22" t="str">
        <f aca="false">IF(AD815&lt;L815,"PASSARO","ATUAL")</f>
        <v>ATUAL</v>
      </c>
      <c r="AH815" s="22" t="str">
        <f aca="false">IF(P815&lt;&gt;A815,"Faixa cadastrada como "&amp;P815&amp;" na tabela; preço aplicado pela UF do CEP","")</f>
        <v/>
      </c>
      <c r="AI815" s="26" t="n">
        <v>274.56</v>
      </c>
      <c r="AJ815" s="22" t="str">
        <f aca="false">INDEX('Tabela Passaro'!$X$2:$X$1795,$N815)</f>
        <v>CAPITAL</v>
      </c>
    </row>
    <row r="816" customFormat="false" ht="15" hidden="false" customHeight="false" outlineLevel="0" collapsed="false">
      <c r="A816" s="22" t="s">
        <v>17</v>
      </c>
      <c r="B816" s="22" t="n">
        <v>1</v>
      </c>
      <c r="C816" s="22" t="s">
        <v>95</v>
      </c>
      <c r="D816" s="22" t="s">
        <v>30</v>
      </c>
      <c r="E816" s="22" t="s">
        <v>20</v>
      </c>
      <c r="F816" s="22" t="n">
        <v>840032</v>
      </c>
      <c r="G816" s="30" t="n">
        <v>46259</v>
      </c>
      <c r="H816" s="22" t="n">
        <v>32677</v>
      </c>
      <c r="I816" s="22" t="s">
        <v>8083</v>
      </c>
      <c r="J816" s="31" t="n">
        <v>51.06</v>
      </c>
      <c r="K816" s="26" t="n">
        <v>893.8</v>
      </c>
      <c r="L816" s="26" t="n">
        <v>177.07</v>
      </c>
      <c r="M816" s="22" t="s">
        <v>2349</v>
      </c>
      <c r="N816" s="22" t="n">
        <f aca="false">MATCH(M816,'Tabela Passaro'!$A$2:$A$1795,0)</f>
        <v>522</v>
      </c>
      <c r="O816" s="22" t="str">
        <f aca="false">INDEX('Tabela Passaro'!$C$2:$C$1795,$N816)</f>
        <v>FORTALEZA</v>
      </c>
      <c r="P816" s="22" t="str">
        <f aca="false">INDEX('Tabela Passaro'!$B$2:$B$1795,$N816)</f>
        <v>CE</v>
      </c>
      <c r="Q816" s="22" t="n">
        <f aca="false">INDEX('Tabela Passaro'!$F$2:$F$1795,$N816)</f>
        <v>8</v>
      </c>
      <c r="R816" s="32" t="n">
        <f aca="false">IF(J816&lt;=10,INDEX('Tabela Passaro'!$G$2:$G$1795,$N816),IF(J816&lt;=30,INDEX('Tabela Passaro'!$H$2:$H$1795,$N816),IF(J816&lt;=50,INDEX('Tabela Passaro'!$I$2:$I$1795,$N816),IF(J816&lt;=70,INDEX('Tabela Passaro'!$J$2:$J$1795,$N816),IF(J816&lt;=100,INDEX('Tabela Passaro'!$K$2:$K$1795,$N816),INDEX('Tabela Passaro'!$K$2:$K$1795,$N816)+(J816-100)*INDEX('Tabela Passaro'!$L$2:$L$1795,$N816))))))</f>
        <v>169.58</v>
      </c>
      <c r="S816" s="32" t="n">
        <f aca="false">K816*INDEX('Tabela Passaro'!$M$2:$M$1795,$N816)</f>
        <v>4.469</v>
      </c>
      <c r="T816" s="32" t="n">
        <f aca="false">K816*INDEX('Tabela Passaro'!$N$2:$N$1795,$N816)</f>
        <v>1.7876</v>
      </c>
      <c r="U816" s="32" t="n">
        <f aca="false">INDEX('Tabela Passaro'!$O$2:$O$1795,$N816)</f>
        <v>5</v>
      </c>
      <c r="V816" s="32" t="n">
        <f aca="false">ROUNDUP(J816/INDEX('Tabela Passaro'!$Q$2:$Q$1795,$N816),0)*INDEX('Tabela Passaro'!$P$2:$P$1795,$N816)</f>
        <v>5</v>
      </c>
      <c r="W816" s="32" t="n">
        <f aca="false">INDEX('Tabela Passaro'!$R$2:$R$1795,$N816)</f>
        <v>30</v>
      </c>
      <c r="X816" s="32" t="n">
        <f aca="false">ROUNDUP(J816/INDEX('Tabela Passaro'!$T$2:$T$1795,$N816),0)*INDEX('Tabela Passaro'!$S$2:$S$1795,$N816)</f>
        <v>0</v>
      </c>
      <c r="Y816" s="32" t="n">
        <f aca="false">INDEX('Tabela Passaro'!$U$2:$U$1795,$N816)</f>
        <v>0</v>
      </c>
      <c r="Z816" s="32" t="n">
        <f aca="false">INDEX('Tabela Passaro'!$V$2:$V$1795,$N816)</f>
        <v>0</v>
      </c>
      <c r="AA816" s="32" t="n">
        <f aca="false">SUM(R816:Z816)</f>
        <v>215.8366</v>
      </c>
      <c r="AB816" s="33" t="n">
        <f aca="false">INDEX(Premissas!$B$5:$B$13,MATCH(A816,Premissas!$A$5:$A$13,0))</f>
        <v>0.07</v>
      </c>
      <c r="AC816" s="32" t="n">
        <f aca="false">AA816/(1-AB816)-AA816</f>
        <v>16.2457655913979</v>
      </c>
      <c r="AD816" s="32" t="n">
        <f aca="false">ROUND(AA816+AC816,2)</f>
        <v>232.08</v>
      </c>
      <c r="AE816" s="32" t="n">
        <f aca="false">AD816-L816</f>
        <v>55.01</v>
      </c>
      <c r="AF816" s="34" t="n">
        <f aca="false">IF(L816=0,0,AE816/L816)</f>
        <v>0.310668097362625</v>
      </c>
      <c r="AG816" s="22" t="str">
        <f aca="false">IF(AD816&lt;L816,"PASSARO","ATUAL")</f>
        <v>ATUAL</v>
      </c>
      <c r="AH816" s="22" t="str">
        <f aca="false">IF(P816&lt;&gt;A816,"Faixa cadastrada como "&amp;P816&amp;" na tabela; preço aplicado pela UF do CEP","")</f>
        <v/>
      </c>
      <c r="AI816" s="26" t="n">
        <v>274.14</v>
      </c>
      <c r="AJ816" s="22" t="str">
        <f aca="false">INDEX('Tabela Passaro'!$X$2:$X$1795,$N816)</f>
        <v>CAPITAL</v>
      </c>
    </row>
    <row r="817" customFormat="false" ht="15" hidden="false" customHeight="false" outlineLevel="0" collapsed="false">
      <c r="A817" s="22" t="s">
        <v>17</v>
      </c>
      <c r="B817" s="22" t="n">
        <v>1</v>
      </c>
      <c r="C817" s="22" t="s">
        <v>95</v>
      </c>
      <c r="D817" s="22" t="s">
        <v>30</v>
      </c>
      <c r="E817" s="22" t="s">
        <v>20</v>
      </c>
      <c r="F817" s="22" t="n">
        <v>840038</v>
      </c>
      <c r="G817" s="30" t="n">
        <v>46259</v>
      </c>
      <c r="H817" s="22" t="n">
        <v>32685</v>
      </c>
      <c r="I817" s="22" t="s">
        <v>8084</v>
      </c>
      <c r="J817" s="31" t="n">
        <v>39</v>
      </c>
      <c r="K817" s="26" t="n">
        <v>691.92</v>
      </c>
      <c r="L817" s="26" t="n">
        <v>151.28</v>
      </c>
      <c r="M817" s="22" t="s">
        <v>2349</v>
      </c>
      <c r="N817" s="22" t="n">
        <f aca="false">MATCH(M817,'Tabela Passaro'!$A$2:$A$1795,0)</f>
        <v>522</v>
      </c>
      <c r="O817" s="22" t="str">
        <f aca="false">INDEX('Tabela Passaro'!$C$2:$C$1795,$N817)</f>
        <v>FORTALEZA</v>
      </c>
      <c r="P817" s="22" t="str">
        <f aca="false">INDEX('Tabela Passaro'!$B$2:$B$1795,$N817)</f>
        <v>CE</v>
      </c>
      <c r="Q817" s="22" t="n">
        <f aca="false">INDEX('Tabela Passaro'!$F$2:$F$1795,$N817)</f>
        <v>8</v>
      </c>
      <c r="R817" s="32" t="n">
        <f aca="false">IF(J817&lt;=10,INDEX('Tabela Passaro'!$G$2:$G$1795,$N817),IF(J817&lt;=30,INDEX('Tabela Passaro'!$H$2:$H$1795,$N817),IF(J817&lt;=50,INDEX('Tabela Passaro'!$I$2:$I$1795,$N817),IF(J817&lt;=70,INDEX('Tabela Passaro'!$J$2:$J$1795,$N817),IF(J817&lt;=100,INDEX('Tabela Passaro'!$K$2:$K$1795,$N817),INDEX('Tabela Passaro'!$K$2:$K$1795,$N817)+(J817-100)*INDEX('Tabela Passaro'!$L$2:$L$1795,$N817))))))</f>
        <v>152.98</v>
      </c>
      <c r="S817" s="32" t="n">
        <f aca="false">K817*INDEX('Tabela Passaro'!$M$2:$M$1795,$N817)</f>
        <v>3.4596</v>
      </c>
      <c r="T817" s="32" t="n">
        <f aca="false">K817*INDEX('Tabela Passaro'!$N$2:$N$1795,$N817)</f>
        <v>1.38384</v>
      </c>
      <c r="U817" s="32" t="n">
        <f aca="false">INDEX('Tabela Passaro'!$O$2:$O$1795,$N817)</f>
        <v>5</v>
      </c>
      <c r="V817" s="32" t="n">
        <f aca="false">ROUNDUP(J817/INDEX('Tabela Passaro'!$Q$2:$Q$1795,$N817),0)*INDEX('Tabela Passaro'!$P$2:$P$1795,$N817)</f>
        <v>5</v>
      </c>
      <c r="W817" s="32" t="n">
        <f aca="false">INDEX('Tabela Passaro'!$R$2:$R$1795,$N817)</f>
        <v>30</v>
      </c>
      <c r="X817" s="32" t="n">
        <f aca="false">ROUNDUP(J817/INDEX('Tabela Passaro'!$T$2:$T$1795,$N817),0)*INDEX('Tabela Passaro'!$S$2:$S$1795,$N817)</f>
        <v>0</v>
      </c>
      <c r="Y817" s="32" t="n">
        <f aca="false">INDEX('Tabela Passaro'!$U$2:$U$1795,$N817)</f>
        <v>0</v>
      </c>
      <c r="Z817" s="32" t="n">
        <f aca="false">INDEX('Tabela Passaro'!$V$2:$V$1795,$N817)</f>
        <v>0</v>
      </c>
      <c r="AA817" s="32" t="n">
        <f aca="false">SUM(R817:Z817)</f>
        <v>197.82344</v>
      </c>
      <c r="AB817" s="33" t="n">
        <f aca="false">INDEX(Premissas!$B$5:$B$13,MATCH(A817,Premissas!$A$5:$A$13,0))</f>
        <v>0.07</v>
      </c>
      <c r="AC817" s="32" t="n">
        <f aca="false">AA817/(1-AB817)-AA817</f>
        <v>14.889936344086</v>
      </c>
      <c r="AD817" s="32" t="n">
        <f aca="false">ROUND(AA817+AC817,2)</f>
        <v>212.71</v>
      </c>
      <c r="AE817" s="32" t="n">
        <f aca="false">AD817-L817</f>
        <v>61.43</v>
      </c>
      <c r="AF817" s="34" t="n">
        <f aca="false">IF(L817=0,0,AE817/L817)</f>
        <v>0.406068217874141</v>
      </c>
      <c r="AG817" s="22" t="str">
        <f aca="false">IF(AD817&lt;L817,"PASSARO","ATUAL")</f>
        <v>ATUAL</v>
      </c>
      <c r="AH817" s="22" t="str">
        <f aca="false">IF(P817&lt;&gt;A817,"Faixa cadastrada como "&amp;P817&amp;" na tabela; preço aplicado pela UF do CEP","")</f>
        <v/>
      </c>
      <c r="AI817" s="26" t="n">
        <v>247.1</v>
      </c>
      <c r="AJ817" s="22" t="str">
        <f aca="false">INDEX('Tabela Passaro'!$X$2:$X$1795,$N817)</f>
        <v>CAPITAL</v>
      </c>
    </row>
    <row r="818" customFormat="false" ht="15" hidden="false" customHeight="false" outlineLevel="0" collapsed="false">
      <c r="A818" s="22" t="s">
        <v>17</v>
      </c>
      <c r="B818" s="22" t="n">
        <v>1</v>
      </c>
      <c r="C818" s="22" t="s">
        <v>95</v>
      </c>
      <c r="D818" s="22" t="s">
        <v>30</v>
      </c>
      <c r="E818" s="22" t="s">
        <v>7326</v>
      </c>
      <c r="F818" s="22" t="n">
        <v>527364</v>
      </c>
      <c r="G818" s="30" t="n">
        <v>46259</v>
      </c>
      <c r="H818" s="22" t="n">
        <v>628819</v>
      </c>
      <c r="I818" s="22" t="s">
        <v>8085</v>
      </c>
      <c r="J818" s="31" t="n">
        <v>64</v>
      </c>
      <c r="K818" s="26" t="n">
        <v>1065.8</v>
      </c>
      <c r="L818" s="26" t="n">
        <v>232.54</v>
      </c>
      <c r="M818" s="22" t="s">
        <v>2349</v>
      </c>
      <c r="N818" s="22" t="n">
        <f aca="false">MATCH(M818,'Tabela Passaro'!$A$2:$A$1795,0)</f>
        <v>522</v>
      </c>
      <c r="O818" s="22" t="str">
        <f aca="false">INDEX('Tabela Passaro'!$C$2:$C$1795,$N818)</f>
        <v>FORTALEZA</v>
      </c>
      <c r="P818" s="22" t="str">
        <f aca="false">INDEX('Tabela Passaro'!$B$2:$B$1795,$N818)</f>
        <v>CE</v>
      </c>
      <c r="Q818" s="22" t="n">
        <f aca="false">INDEX('Tabela Passaro'!$F$2:$F$1795,$N818)</f>
        <v>8</v>
      </c>
      <c r="R818" s="32" t="n">
        <f aca="false">IF(J818&lt;=10,INDEX('Tabela Passaro'!$G$2:$G$1795,$N818),IF(J818&lt;=30,INDEX('Tabela Passaro'!$H$2:$H$1795,$N818),IF(J818&lt;=50,INDEX('Tabela Passaro'!$I$2:$I$1795,$N818),IF(J818&lt;=70,INDEX('Tabela Passaro'!$J$2:$J$1795,$N818),IF(J818&lt;=100,INDEX('Tabela Passaro'!$K$2:$K$1795,$N818),INDEX('Tabela Passaro'!$K$2:$K$1795,$N818)+(J818-100)*INDEX('Tabela Passaro'!$L$2:$L$1795,$N818))))))</f>
        <v>169.58</v>
      </c>
      <c r="S818" s="32" t="n">
        <f aca="false">K818*INDEX('Tabela Passaro'!$M$2:$M$1795,$N818)</f>
        <v>5.329</v>
      </c>
      <c r="T818" s="32" t="n">
        <f aca="false">K818*INDEX('Tabela Passaro'!$N$2:$N$1795,$N818)</f>
        <v>2.1316</v>
      </c>
      <c r="U818" s="32" t="n">
        <f aca="false">INDEX('Tabela Passaro'!$O$2:$O$1795,$N818)</f>
        <v>5</v>
      </c>
      <c r="V818" s="32" t="n">
        <f aca="false">ROUNDUP(J818/INDEX('Tabela Passaro'!$Q$2:$Q$1795,$N818),0)*INDEX('Tabela Passaro'!$P$2:$P$1795,$N818)</f>
        <v>5</v>
      </c>
      <c r="W818" s="32" t="n">
        <f aca="false">INDEX('Tabela Passaro'!$R$2:$R$1795,$N818)</f>
        <v>30</v>
      </c>
      <c r="X818" s="32" t="n">
        <f aca="false">ROUNDUP(J818/INDEX('Tabela Passaro'!$T$2:$T$1795,$N818),0)*INDEX('Tabela Passaro'!$S$2:$S$1795,$N818)</f>
        <v>0</v>
      </c>
      <c r="Y818" s="32" t="n">
        <f aca="false">INDEX('Tabela Passaro'!$U$2:$U$1795,$N818)</f>
        <v>0</v>
      </c>
      <c r="Z818" s="32" t="n">
        <f aca="false">INDEX('Tabela Passaro'!$V$2:$V$1795,$N818)</f>
        <v>0</v>
      </c>
      <c r="AA818" s="32" t="n">
        <f aca="false">SUM(R818:Z818)</f>
        <v>217.0406</v>
      </c>
      <c r="AB818" s="33" t="n">
        <f aca="false">INDEX(Premissas!$B$5:$B$13,MATCH(A818,Premissas!$A$5:$A$13,0))</f>
        <v>0.07</v>
      </c>
      <c r="AC818" s="32" t="n">
        <f aca="false">AA818/(1-AB818)-AA818</f>
        <v>16.3363892473118</v>
      </c>
      <c r="AD818" s="32" t="n">
        <f aca="false">ROUND(AA818+AC818,2)</f>
        <v>233.38</v>
      </c>
      <c r="AE818" s="32" t="n">
        <f aca="false">AD818-L818</f>
        <v>0.840000000000003</v>
      </c>
      <c r="AF818" s="34" t="n">
        <f aca="false">IF(L818=0,0,AE818/L818)</f>
        <v>0.00361228175797714</v>
      </c>
      <c r="AG818" s="22" t="str">
        <f aca="false">IF(AD818&lt;L818,"PASSARO","ATUAL")</f>
        <v>ATUAL</v>
      </c>
      <c r="AH818" s="22" t="str">
        <f aca="false">IF(P818&lt;&gt;A818,"Faixa cadastrada como "&amp;P818&amp;" na tabela; preço aplicado pela UF do CEP","")</f>
        <v/>
      </c>
      <c r="AI818" s="26" t="n">
        <v>281.62</v>
      </c>
      <c r="AJ818" s="22" t="str">
        <f aca="false">INDEX('Tabela Passaro'!$X$2:$X$1795,$N818)</f>
        <v>CAPITAL</v>
      </c>
    </row>
    <row r="819" customFormat="false" ht="15" hidden="false" customHeight="false" outlineLevel="0" collapsed="false">
      <c r="A819" s="22" t="s">
        <v>17</v>
      </c>
      <c r="B819" s="22" t="n">
        <v>1</v>
      </c>
      <c r="C819" s="22" t="s">
        <v>95</v>
      </c>
      <c r="D819" s="22" t="s">
        <v>30</v>
      </c>
      <c r="E819" s="22" t="s">
        <v>7326</v>
      </c>
      <c r="F819" s="22" t="n">
        <v>527381</v>
      </c>
      <c r="G819" s="30" t="n">
        <v>46259</v>
      </c>
      <c r="H819" s="22" t="n">
        <v>629117</v>
      </c>
      <c r="I819" s="22" t="s">
        <v>8086</v>
      </c>
      <c r="J819" s="31" t="n">
        <v>66.4</v>
      </c>
      <c r="K819" s="26" t="n">
        <v>1060.72</v>
      </c>
      <c r="L819" s="26" t="n">
        <v>232.49</v>
      </c>
      <c r="M819" s="22" t="s">
        <v>2349</v>
      </c>
      <c r="N819" s="22" t="n">
        <f aca="false">MATCH(M819,'Tabela Passaro'!$A$2:$A$1795,0)</f>
        <v>522</v>
      </c>
      <c r="O819" s="22" t="str">
        <f aca="false">INDEX('Tabela Passaro'!$C$2:$C$1795,$N819)</f>
        <v>FORTALEZA</v>
      </c>
      <c r="P819" s="22" t="str">
        <f aca="false">INDEX('Tabela Passaro'!$B$2:$B$1795,$N819)</f>
        <v>CE</v>
      </c>
      <c r="Q819" s="22" t="n">
        <f aca="false">INDEX('Tabela Passaro'!$F$2:$F$1795,$N819)</f>
        <v>8</v>
      </c>
      <c r="R819" s="32" t="n">
        <f aca="false">IF(J819&lt;=10,INDEX('Tabela Passaro'!$G$2:$G$1795,$N819),IF(J819&lt;=30,INDEX('Tabela Passaro'!$H$2:$H$1795,$N819),IF(J819&lt;=50,INDEX('Tabela Passaro'!$I$2:$I$1795,$N819),IF(J819&lt;=70,INDEX('Tabela Passaro'!$J$2:$J$1795,$N819),IF(J819&lt;=100,INDEX('Tabela Passaro'!$K$2:$K$1795,$N819),INDEX('Tabela Passaro'!$K$2:$K$1795,$N819)+(J819-100)*INDEX('Tabela Passaro'!$L$2:$L$1795,$N819))))))</f>
        <v>169.58</v>
      </c>
      <c r="S819" s="32" t="n">
        <f aca="false">K819*INDEX('Tabela Passaro'!$M$2:$M$1795,$N819)</f>
        <v>5.3036</v>
      </c>
      <c r="T819" s="32" t="n">
        <f aca="false">K819*INDEX('Tabela Passaro'!$N$2:$N$1795,$N819)</f>
        <v>2.12144</v>
      </c>
      <c r="U819" s="32" t="n">
        <f aca="false">INDEX('Tabela Passaro'!$O$2:$O$1795,$N819)</f>
        <v>5</v>
      </c>
      <c r="V819" s="32" t="n">
        <f aca="false">ROUNDUP(J819/INDEX('Tabela Passaro'!$Q$2:$Q$1795,$N819),0)*INDEX('Tabela Passaro'!$P$2:$P$1795,$N819)</f>
        <v>5</v>
      </c>
      <c r="W819" s="32" t="n">
        <f aca="false">INDEX('Tabela Passaro'!$R$2:$R$1795,$N819)</f>
        <v>30</v>
      </c>
      <c r="X819" s="32" t="n">
        <f aca="false">ROUNDUP(J819/INDEX('Tabela Passaro'!$T$2:$T$1795,$N819),0)*INDEX('Tabela Passaro'!$S$2:$S$1795,$N819)</f>
        <v>0</v>
      </c>
      <c r="Y819" s="32" t="n">
        <f aca="false">INDEX('Tabela Passaro'!$U$2:$U$1795,$N819)</f>
        <v>0</v>
      </c>
      <c r="Z819" s="32" t="n">
        <f aca="false">INDEX('Tabela Passaro'!$V$2:$V$1795,$N819)</f>
        <v>0</v>
      </c>
      <c r="AA819" s="32" t="n">
        <f aca="false">SUM(R819:Z819)</f>
        <v>217.00504</v>
      </c>
      <c r="AB819" s="33" t="n">
        <f aca="false">INDEX(Premissas!$B$5:$B$13,MATCH(A819,Premissas!$A$5:$A$13,0))</f>
        <v>0.07</v>
      </c>
      <c r="AC819" s="32" t="n">
        <f aca="false">AA819/(1-AB819)-AA819</f>
        <v>16.3337126881721</v>
      </c>
      <c r="AD819" s="32" t="n">
        <f aca="false">ROUND(AA819+AC819,2)</f>
        <v>233.34</v>
      </c>
      <c r="AE819" s="32" t="n">
        <f aca="false">AD819-L819</f>
        <v>0.849999999999994</v>
      </c>
      <c r="AF819" s="34" t="n">
        <f aca="false">IF(L819=0,0,AE819/L819)</f>
        <v>0.00365607122887003</v>
      </c>
      <c r="AG819" s="22" t="str">
        <f aca="false">IF(AD819&lt;L819,"PASSARO","ATUAL")</f>
        <v>ATUAL</v>
      </c>
      <c r="AH819" s="22" t="str">
        <f aca="false">IF(P819&lt;&gt;A819,"Faixa cadastrada como "&amp;P819&amp;" na tabela; preço aplicado pela UF do CEP","")</f>
        <v/>
      </c>
      <c r="AI819" s="26" t="n">
        <v>283.02</v>
      </c>
      <c r="AJ819" s="22" t="str">
        <f aca="false">INDEX('Tabela Passaro'!$X$2:$X$1795,$N819)</f>
        <v>CAPITAL</v>
      </c>
    </row>
    <row r="820" customFormat="false" ht="15" hidden="false" customHeight="false" outlineLevel="0" collapsed="false">
      <c r="A820" s="22" t="s">
        <v>17</v>
      </c>
      <c r="B820" s="22" t="n">
        <v>1</v>
      </c>
      <c r="C820" s="22" t="s">
        <v>95</v>
      </c>
      <c r="D820" s="22" t="s">
        <v>30</v>
      </c>
      <c r="E820" s="22" t="s">
        <v>7326</v>
      </c>
      <c r="F820" s="22" t="n">
        <v>527413</v>
      </c>
      <c r="G820" s="30" t="n">
        <v>46259</v>
      </c>
      <c r="H820" s="22" t="n">
        <v>629264</v>
      </c>
      <c r="I820" s="22" t="s">
        <v>8087</v>
      </c>
      <c r="J820" s="31" t="n">
        <v>11.19</v>
      </c>
      <c r="K820" s="26" t="n">
        <v>910.04</v>
      </c>
      <c r="L820" s="26" t="n">
        <v>79.22</v>
      </c>
      <c r="M820" s="22" t="s">
        <v>2349</v>
      </c>
      <c r="N820" s="22" t="n">
        <f aca="false">MATCH(M820,'Tabela Passaro'!$A$2:$A$1795,0)</f>
        <v>522</v>
      </c>
      <c r="O820" s="22" t="str">
        <f aca="false">INDEX('Tabela Passaro'!$C$2:$C$1795,$N820)</f>
        <v>FORTALEZA</v>
      </c>
      <c r="P820" s="22" t="str">
        <f aca="false">INDEX('Tabela Passaro'!$B$2:$B$1795,$N820)</f>
        <v>CE</v>
      </c>
      <c r="Q820" s="22" t="n">
        <f aca="false">INDEX('Tabela Passaro'!$F$2:$F$1795,$N820)</f>
        <v>8</v>
      </c>
      <c r="R820" s="32" t="n">
        <f aca="false">IF(J820&lt;=10,INDEX('Tabela Passaro'!$G$2:$G$1795,$N820),IF(J820&lt;=30,INDEX('Tabela Passaro'!$H$2:$H$1795,$N820),IF(J820&lt;=50,INDEX('Tabela Passaro'!$I$2:$I$1795,$N820),IF(J820&lt;=70,INDEX('Tabela Passaro'!$J$2:$J$1795,$N820),IF(J820&lt;=100,INDEX('Tabela Passaro'!$K$2:$K$1795,$N820),INDEX('Tabela Passaro'!$K$2:$K$1795,$N820)+(J820-100)*INDEX('Tabela Passaro'!$L$2:$L$1795,$N820))))))</f>
        <v>130.85</v>
      </c>
      <c r="S820" s="32" t="n">
        <f aca="false">K820*INDEX('Tabela Passaro'!$M$2:$M$1795,$N820)</f>
        <v>4.5502</v>
      </c>
      <c r="T820" s="32" t="n">
        <f aca="false">K820*INDEX('Tabela Passaro'!$N$2:$N$1795,$N820)</f>
        <v>1.82008</v>
      </c>
      <c r="U820" s="32" t="n">
        <f aca="false">INDEX('Tabela Passaro'!$O$2:$O$1795,$N820)</f>
        <v>5</v>
      </c>
      <c r="V820" s="32" t="n">
        <f aca="false">ROUNDUP(J820/INDEX('Tabela Passaro'!$Q$2:$Q$1795,$N820),0)*INDEX('Tabela Passaro'!$P$2:$P$1795,$N820)</f>
        <v>5</v>
      </c>
      <c r="W820" s="32" t="n">
        <f aca="false">INDEX('Tabela Passaro'!$R$2:$R$1795,$N820)</f>
        <v>30</v>
      </c>
      <c r="X820" s="32" t="n">
        <f aca="false">ROUNDUP(J820/INDEX('Tabela Passaro'!$T$2:$T$1795,$N820),0)*INDEX('Tabela Passaro'!$S$2:$S$1795,$N820)</f>
        <v>0</v>
      </c>
      <c r="Y820" s="32" t="n">
        <f aca="false">INDEX('Tabela Passaro'!$U$2:$U$1795,$N820)</f>
        <v>0</v>
      </c>
      <c r="Z820" s="32" t="n">
        <f aca="false">INDEX('Tabela Passaro'!$V$2:$V$1795,$N820)</f>
        <v>0</v>
      </c>
      <c r="AA820" s="32" t="n">
        <f aca="false">SUM(R820:Z820)</f>
        <v>177.22028</v>
      </c>
      <c r="AB820" s="33" t="n">
        <f aca="false">INDEX(Premissas!$B$5:$B$13,MATCH(A820,Premissas!$A$5:$A$13,0))</f>
        <v>0.07</v>
      </c>
      <c r="AC820" s="32" t="n">
        <f aca="false">AA820/(1-AB820)-AA820</f>
        <v>13.3391608602151</v>
      </c>
      <c r="AD820" s="32" t="n">
        <f aca="false">ROUND(AA820+AC820,2)</f>
        <v>190.56</v>
      </c>
      <c r="AE820" s="32" t="n">
        <f aca="false">AD820-L820</f>
        <v>111.34</v>
      </c>
      <c r="AF820" s="34" t="n">
        <f aca="false">IF(L820=0,0,AE820/L820)</f>
        <v>1.40545316839182</v>
      </c>
      <c r="AG820" s="22" t="str">
        <f aca="false">IF(AD820&lt;L820,"PASSARO","ATUAL")</f>
        <v>ATUAL</v>
      </c>
      <c r="AH820" s="22" t="str">
        <f aca="false">IF(P820&lt;&gt;A820,"Faixa cadastrada como "&amp;P820&amp;" na tabela; preço aplicado pela UF do CEP","")</f>
        <v/>
      </c>
      <c r="AI820" s="26" t="n">
        <v>211.11</v>
      </c>
      <c r="AJ820" s="22" t="str">
        <f aca="false">INDEX('Tabela Passaro'!$X$2:$X$1795,$N820)</f>
        <v>CAPITAL</v>
      </c>
    </row>
    <row r="821" customFormat="false" ht="15" hidden="false" customHeight="false" outlineLevel="0" collapsed="false">
      <c r="A821" s="22" t="s">
        <v>17</v>
      </c>
      <c r="B821" s="22" t="n">
        <v>1</v>
      </c>
      <c r="C821" s="22" t="s">
        <v>95</v>
      </c>
      <c r="D821" s="22" t="s">
        <v>30</v>
      </c>
      <c r="E821" s="22" t="s">
        <v>20</v>
      </c>
      <c r="F821" s="22" t="n">
        <v>840177</v>
      </c>
      <c r="G821" s="30" t="n">
        <v>46260</v>
      </c>
      <c r="H821" s="22" t="n">
        <v>32694</v>
      </c>
      <c r="I821" s="22" t="s">
        <v>8088</v>
      </c>
      <c r="J821" s="31" t="n">
        <v>17.2</v>
      </c>
      <c r="K821" s="26" t="n">
        <v>410.41</v>
      </c>
      <c r="L821" s="26" t="n">
        <v>113.99</v>
      </c>
      <c r="M821" s="22" t="s">
        <v>2349</v>
      </c>
      <c r="N821" s="22" t="n">
        <f aca="false">MATCH(M821,'Tabela Passaro'!$A$2:$A$1795,0)</f>
        <v>522</v>
      </c>
      <c r="O821" s="22" t="str">
        <f aca="false">INDEX('Tabela Passaro'!$C$2:$C$1795,$N821)</f>
        <v>FORTALEZA</v>
      </c>
      <c r="P821" s="22" t="str">
        <f aca="false">INDEX('Tabela Passaro'!$B$2:$B$1795,$N821)</f>
        <v>CE</v>
      </c>
      <c r="Q821" s="22" t="n">
        <f aca="false">INDEX('Tabela Passaro'!$F$2:$F$1795,$N821)</f>
        <v>8</v>
      </c>
      <c r="R821" s="32" t="n">
        <f aca="false">IF(J821&lt;=10,INDEX('Tabela Passaro'!$G$2:$G$1795,$N821),IF(J821&lt;=30,INDEX('Tabela Passaro'!$H$2:$H$1795,$N821),IF(J821&lt;=50,INDEX('Tabela Passaro'!$I$2:$I$1795,$N821),IF(J821&lt;=70,INDEX('Tabela Passaro'!$J$2:$J$1795,$N821),IF(J821&lt;=100,INDEX('Tabela Passaro'!$K$2:$K$1795,$N821),INDEX('Tabela Passaro'!$K$2:$K$1795,$N821)+(J821-100)*INDEX('Tabela Passaro'!$L$2:$L$1795,$N821))))))</f>
        <v>130.85</v>
      </c>
      <c r="S821" s="32" t="n">
        <f aca="false">K821*INDEX('Tabela Passaro'!$M$2:$M$1795,$N821)</f>
        <v>2.05205</v>
      </c>
      <c r="T821" s="32" t="n">
        <f aca="false">K821*INDEX('Tabela Passaro'!$N$2:$N$1795,$N821)</f>
        <v>0.82082</v>
      </c>
      <c r="U821" s="32" t="n">
        <f aca="false">INDEX('Tabela Passaro'!$O$2:$O$1795,$N821)</f>
        <v>5</v>
      </c>
      <c r="V821" s="32" t="n">
        <f aca="false">ROUNDUP(J821/INDEX('Tabela Passaro'!$Q$2:$Q$1795,$N821),0)*INDEX('Tabela Passaro'!$P$2:$P$1795,$N821)</f>
        <v>5</v>
      </c>
      <c r="W821" s="32" t="n">
        <f aca="false">INDEX('Tabela Passaro'!$R$2:$R$1795,$N821)</f>
        <v>30</v>
      </c>
      <c r="X821" s="32" t="n">
        <f aca="false">ROUNDUP(J821/INDEX('Tabela Passaro'!$T$2:$T$1795,$N821),0)*INDEX('Tabela Passaro'!$S$2:$S$1795,$N821)</f>
        <v>0</v>
      </c>
      <c r="Y821" s="32" t="n">
        <f aca="false">INDEX('Tabela Passaro'!$U$2:$U$1795,$N821)</f>
        <v>0</v>
      </c>
      <c r="Z821" s="32" t="n">
        <f aca="false">INDEX('Tabela Passaro'!$V$2:$V$1795,$N821)</f>
        <v>0</v>
      </c>
      <c r="AA821" s="32" t="n">
        <f aca="false">SUM(R821:Z821)</f>
        <v>173.72287</v>
      </c>
      <c r="AB821" s="33" t="n">
        <f aca="false">INDEX(Premissas!$B$5:$B$13,MATCH(A821,Premissas!$A$5:$A$13,0))</f>
        <v>0.07</v>
      </c>
      <c r="AC821" s="32" t="n">
        <f aca="false">AA821/(1-AB821)-AA821</f>
        <v>13.0759149462366</v>
      </c>
      <c r="AD821" s="32" t="n">
        <f aca="false">ROUND(AA821+AC821,2)</f>
        <v>186.8</v>
      </c>
      <c r="AE821" s="32" t="n">
        <f aca="false">AD821-L821</f>
        <v>72.81</v>
      </c>
      <c r="AF821" s="34" t="n">
        <f aca="false">IF(L821=0,0,AE821/L821)</f>
        <v>0.638740240371963</v>
      </c>
      <c r="AG821" s="22" t="str">
        <f aca="false">IF(AD821&lt;L821,"PASSARO","ATUAL")</f>
        <v>ATUAL</v>
      </c>
      <c r="AH821" s="22" t="str">
        <f aca="false">IF(P821&lt;&gt;A821,"Faixa cadastrada como "&amp;P821&amp;" na tabela; preço aplicado pela UF do CEP","")</f>
        <v/>
      </c>
      <c r="AI821" s="26" t="n">
        <v>209.18</v>
      </c>
      <c r="AJ821" s="22" t="str">
        <f aca="false">INDEX('Tabela Passaro'!$X$2:$X$1795,$N821)</f>
        <v>CAPITAL</v>
      </c>
    </row>
    <row r="822" customFormat="false" ht="15" hidden="false" customHeight="false" outlineLevel="0" collapsed="false">
      <c r="A822" s="22" t="s">
        <v>17</v>
      </c>
      <c r="B822" s="22" t="n">
        <v>1</v>
      </c>
      <c r="C822" s="22" t="s">
        <v>95</v>
      </c>
      <c r="D822" s="22" t="s">
        <v>30</v>
      </c>
      <c r="E822" s="22" t="s">
        <v>20</v>
      </c>
      <c r="F822" s="22" t="n">
        <v>840161</v>
      </c>
      <c r="G822" s="30" t="n">
        <v>46260</v>
      </c>
      <c r="H822" s="22" t="n">
        <v>32710</v>
      </c>
      <c r="I822" s="22" t="s">
        <v>8089</v>
      </c>
      <c r="J822" s="31" t="n">
        <v>20.8</v>
      </c>
      <c r="K822" s="26" t="n">
        <v>469.72</v>
      </c>
      <c r="L822" s="26" t="n">
        <v>114.51</v>
      </c>
      <c r="M822" s="22" t="s">
        <v>2349</v>
      </c>
      <c r="N822" s="22" t="n">
        <f aca="false">MATCH(M822,'Tabela Passaro'!$A$2:$A$1795,0)</f>
        <v>522</v>
      </c>
      <c r="O822" s="22" t="str">
        <f aca="false">INDEX('Tabela Passaro'!$C$2:$C$1795,$N822)</f>
        <v>FORTALEZA</v>
      </c>
      <c r="P822" s="22" t="str">
        <f aca="false">INDEX('Tabela Passaro'!$B$2:$B$1795,$N822)</f>
        <v>CE</v>
      </c>
      <c r="Q822" s="22" t="n">
        <f aca="false">INDEX('Tabela Passaro'!$F$2:$F$1795,$N822)</f>
        <v>8</v>
      </c>
      <c r="R822" s="32" t="n">
        <f aca="false">IF(J822&lt;=10,INDEX('Tabela Passaro'!$G$2:$G$1795,$N822),IF(J822&lt;=30,INDEX('Tabela Passaro'!$H$2:$H$1795,$N822),IF(J822&lt;=50,INDEX('Tabela Passaro'!$I$2:$I$1795,$N822),IF(J822&lt;=70,INDEX('Tabela Passaro'!$J$2:$J$1795,$N822),IF(J822&lt;=100,INDEX('Tabela Passaro'!$K$2:$K$1795,$N822),INDEX('Tabela Passaro'!$K$2:$K$1795,$N822)+(J822-100)*INDEX('Tabela Passaro'!$L$2:$L$1795,$N822))))))</f>
        <v>130.85</v>
      </c>
      <c r="S822" s="32" t="n">
        <f aca="false">K822*INDEX('Tabela Passaro'!$M$2:$M$1795,$N822)</f>
        <v>2.3486</v>
      </c>
      <c r="T822" s="32" t="n">
        <f aca="false">K822*INDEX('Tabela Passaro'!$N$2:$N$1795,$N822)</f>
        <v>0.93944</v>
      </c>
      <c r="U822" s="32" t="n">
        <f aca="false">INDEX('Tabela Passaro'!$O$2:$O$1795,$N822)</f>
        <v>5</v>
      </c>
      <c r="V822" s="32" t="n">
        <f aca="false">ROUNDUP(J822/INDEX('Tabela Passaro'!$Q$2:$Q$1795,$N822),0)*INDEX('Tabela Passaro'!$P$2:$P$1795,$N822)</f>
        <v>5</v>
      </c>
      <c r="W822" s="32" t="n">
        <f aca="false">INDEX('Tabela Passaro'!$R$2:$R$1795,$N822)</f>
        <v>30</v>
      </c>
      <c r="X822" s="32" t="n">
        <f aca="false">ROUNDUP(J822/INDEX('Tabela Passaro'!$T$2:$T$1795,$N822),0)*INDEX('Tabela Passaro'!$S$2:$S$1795,$N822)</f>
        <v>0</v>
      </c>
      <c r="Y822" s="32" t="n">
        <f aca="false">INDEX('Tabela Passaro'!$U$2:$U$1795,$N822)</f>
        <v>0</v>
      </c>
      <c r="Z822" s="32" t="n">
        <f aca="false">INDEX('Tabela Passaro'!$V$2:$V$1795,$N822)</f>
        <v>0</v>
      </c>
      <c r="AA822" s="32" t="n">
        <f aca="false">SUM(R822:Z822)</f>
        <v>174.13804</v>
      </c>
      <c r="AB822" s="33" t="n">
        <f aca="false">INDEX(Premissas!$B$5:$B$13,MATCH(A822,Premissas!$A$5:$A$13,0))</f>
        <v>0.07</v>
      </c>
      <c r="AC822" s="32" t="n">
        <f aca="false">AA822/(1-AB822)-AA822</f>
        <v>13.1071643010753</v>
      </c>
      <c r="AD822" s="32" t="n">
        <f aca="false">ROUND(AA822+AC822,2)</f>
        <v>187.25</v>
      </c>
      <c r="AE822" s="32" t="n">
        <f aca="false">AD822-L822</f>
        <v>72.74</v>
      </c>
      <c r="AF822" s="34" t="n">
        <f aca="false">IF(L822=0,0,AE822/L822)</f>
        <v>0.635228364334993</v>
      </c>
      <c r="AG822" s="22" t="str">
        <f aca="false">IF(AD822&lt;L822,"PASSARO","ATUAL")</f>
        <v>ATUAL</v>
      </c>
      <c r="AH822" s="22" t="str">
        <f aca="false">IF(P822&lt;&gt;A822,"Faixa cadastrada como "&amp;P822&amp;" na tabela; preço aplicado pela UF do CEP","")</f>
        <v/>
      </c>
      <c r="AI822" s="26" t="n">
        <v>211.2</v>
      </c>
      <c r="AJ822" s="22" t="str">
        <f aca="false">INDEX('Tabela Passaro'!$X$2:$X$1795,$N822)</f>
        <v>CAPITAL</v>
      </c>
    </row>
    <row r="823" customFormat="false" ht="15" hidden="false" customHeight="false" outlineLevel="0" collapsed="false">
      <c r="A823" s="22" t="s">
        <v>17</v>
      </c>
      <c r="B823" s="22" t="n">
        <v>1</v>
      </c>
      <c r="C823" s="22" t="s">
        <v>95</v>
      </c>
      <c r="D823" s="22" t="s">
        <v>30</v>
      </c>
      <c r="E823" s="22" t="s">
        <v>7328</v>
      </c>
      <c r="F823" s="22" t="n">
        <v>2316515</v>
      </c>
      <c r="G823" s="30" t="n">
        <v>46260</v>
      </c>
      <c r="H823" s="22" t="n">
        <v>135525</v>
      </c>
      <c r="I823" s="22" t="s">
        <v>8090</v>
      </c>
      <c r="J823" s="31" t="n">
        <v>51.06</v>
      </c>
      <c r="K823" s="26" t="n">
        <v>934.08</v>
      </c>
      <c r="L823" s="26" t="n">
        <v>198.35</v>
      </c>
      <c r="M823" s="22" t="s">
        <v>2349</v>
      </c>
      <c r="N823" s="22" t="n">
        <f aca="false">MATCH(M823,'Tabela Passaro'!$A$2:$A$1795,0)</f>
        <v>522</v>
      </c>
      <c r="O823" s="22" t="str">
        <f aca="false">INDEX('Tabela Passaro'!$C$2:$C$1795,$N823)</f>
        <v>FORTALEZA</v>
      </c>
      <c r="P823" s="22" t="str">
        <f aca="false">INDEX('Tabela Passaro'!$B$2:$B$1795,$N823)</f>
        <v>CE</v>
      </c>
      <c r="Q823" s="22" t="n">
        <f aca="false">INDEX('Tabela Passaro'!$F$2:$F$1795,$N823)</f>
        <v>8</v>
      </c>
      <c r="R823" s="32" t="n">
        <f aca="false">IF(J823&lt;=10,INDEX('Tabela Passaro'!$G$2:$G$1795,$N823),IF(J823&lt;=30,INDEX('Tabela Passaro'!$H$2:$H$1795,$N823),IF(J823&lt;=50,INDEX('Tabela Passaro'!$I$2:$I$1795,$N823),IF(J823&lt;=70,INDEX('Tabela Passaro'!$J$2:$J$1795,$N823),IF(J823&lt;=100,INDEX('Tabela Passaro'!$K$2:$K$1795,$N823),INDEX('Tabela Passaro'!$K$2:$K$1795,$N823)+(J823-100)*INDEX('Tabela Passaro'!$L$2:$L$1795,$N823))))))</f>
        <v>169.58</v>
      </c>
      <c r="S823" s="32" t="n">
        <f aca="false">K823*INDEX('Tabela Passaro'!$M$2:$M$1795,$N823)</f>
        <v>4.6704</v>
      </c>
      <c r="T823" s="32" t="n">
        <f aca="false">K823*INDEX('Tabela Passaro'!$N$2:$N$1795,$N823)</f>
        <v>1.86816</v>
      </c>
      <c r="U823" s="32" t="n">
        <f aca="false">INDEX('Tabela Passaro'!$O$2:$O$1795,$N823)</f>
        <v>5</v>
      </c>
      <c r="V823" s="32" t="n">
        <f aca="false">ROUNDUP(J823/INDEX('Tabela Passaro'!$Q$2:$Q$1795,$N823),0)*INDEX('Tabela Passaro'!$P$2:$P$1795,$N823)</f>
        <v>5</v>
      </c>
      <c r="W823" s="32" t="n">
        <f aca="false">INDEX('Tabela Passaro'!$R$2:$R$1795,$N823)</f>
        <v>30</v>
      </c>
      <c r="X823" s="32" t="n">
        <f aca="false">ROUNDUP(J823/INDEX('Tabela Passaro'!$T$2:$T$1795,$N823),0)*INDEX('Tabela Passaro'!$S$2:$S$1795,$N823)</f>
        <v>0</v>
      </c>
      <c r="Y823" s="32" t="n">
        <f aca="false">INDEX('Tabela Passaro'!$U$2:$U$1795,$N823)</f>
        <v>0</v>
      </c>
      <c r="Z823" s="32" t="n">
        <f aca="false">INDEX('Tabela Passaro'!$V$2:$V$1795,$N823)</f>
        <v>0</v>
      </c>
      <c r="AA823" s="32" t="n">
        <f aca="false">SUM(R823:Z823)</f>
        <v>216.11856</v>
      </c>
      <c r="AB823" s="33" t="n">
        <f aca="false">INDEX(Premissas!$B$5:$B$13,MATCH(A823,Premissas!$A$5:$A$13,0))</f>
        <v>0.07</v>
      </c>
      <c r="AC823" s="32" t="n">
        <f aca="false">AA823/(1-AB823)-AA823</f>
        <v>16.2669883870968</v>
      </c>
      <c r="AD823" s="32" t="n">
        <f aca="false">ROUND(AA823+AC823,2)</f>
        <v>232.39</v>
      </c>
      <c r="AE823" s="32" t="n">
        <f aca="false">AD823-L823</f>
        <v>34.04</v>
      </c>
      <c r="AF823" s="34" t="n">
        <f aca="false">IF(L823=0,0,AE823/L823)</f>
        <v>0.17161583060247</v>
      </c>
      <c r="AG823" s="22" t="str">
        <f aca="false">IF(AD823&lt;L823,"PASSARO","ATUAL")</f>
        <v>ATUAL</v>
      </c>
      <c r="AH823" s="22" t="str">
        <f aca="false">IF(P823&lt;&gt;A823,"Faixa cadastrada como "&amp;P823&amp;" na tabela; preço aplicado pela UF do CEP","")</f>
        <v/>
      </c>
      <c r="AI823" s="26" t="n">
        <v>274.53</v>
      </c>
      <c r="AJ823" s="22" t="str">
        <f aca="false">INDEX('Tabela Passaro'!$X$2:$X$1795,$N823)</f>
        <v>CAPITAL</v>
      </c>
    </row>
    <row r="824" customFormat="false" ht="15" hidden="false" customHeight="false" outlineLevel="0" collapsed="false">
      <c r="A824" s="22" t="s">
        <v>17</v>
      </c>
      <c r="B824" s="22" t="n">
        <v>1</v>
      </c>
      <c r="C824" s="22" t="s">
        <v>95</v>
      </c>
      <c r="D824" s="22" t="s">
        <v>30</v>
      </c>
      <c r="E824" s="22" t="s">
        <v>7328</v>
      </c>
      <c r="F824" s="22" t="n">
        <v>2316587</v>
      </c>
      <c r="G824" s="30" t="n">
        <v>46260</v>
      </c>
      <c r="H824" s="22" t="n">
        <v>135895</v>
      </c>
      <c r="I824" s="22" t="s">
        <v>8091</v>
      </c>
      <c r="J824" s="31" t="n">
        <v>27.4</v>
      </c>
      <c r="K824" s="26" t="n">
        <v>521.14</v>
      </c>
      <c r="L824" s="26" t="n">
        <v>124.4</v>
      </c>
      <c r="M824" s="22" t="s">
        <v>2349</v>
      </c>
      <c r="N824" s="22" t="n">
        <f aca="false">MATCH(M824,'Tabela Passaro'!$A$2:$A$1795,0)</f>
        <v>522</v>
      </c>
      <c r="O824" s="22" t="str">
        <f aca="false">INDEX('Tabela Passaro'!$C$2:$C$1795,$N824)</f>
        <v>FORTALEZA</v>
      </c>
      <c r="P824" s="22" t="str">
        <f aca="false">INDEX('Tabela Passaro'!$B$2:$B$1795,$N824)</f>
        <v>CE</v>
      </c>
      <c r="Q824" s="22" t="n">
        <f aca="false">INDEX('Tabela Passaro'!$F$2:$F$1795,$N824)</f>
        <v>8</v>
      </c>
      <c r="R824" s="32" t="n">
        <f aca="false">IF(J824&lt;=10,INDEX('Tabela Passaro'!$G$2:$G$1795,$N824),IF(J824&lt;=30,INDEX('Tabela Passaro'!$H$2:$H$1795,$N824),IF(J824&lt;=50,INDEX('Tabela Passaro'!$I$2:$I$1795,$N824),IF(J824&lt;=70,INDEX('Tabela Passaro'!$J$2:$J$1795,$N824),IF(J824&lt;=100,INDEX('Tabela Passaro'!$K$2:$K$1795,$N824),INDEX('Tabela Passaro'!$K$2:$K$1795,$N824)+(J824-100)*INDEX('Tabela Passaro'!$L$2:$L$1795,$N824))))))</f>
        <v>130.85</v>
      </c>
      <c r="S824" s="32" t="n">
        <f aca="false">K824*INDEX('Tabela Passaro'!$M$2:$M$1795,$N824)</f>
        <v>2.6057</v>
      </c>
      <c r="T824" s="32" t="n">
        <f aca="false">K824*INDEX('Tabela Passaro'!$N$2:$N$1795,$N824)</f>
        <v>1.04228</v>
      </c>
      <c r="U824" s="32" t="n">
        <f aca="false">INDEX('Tabela Passaro'!$O$2:$O$1795,$N824)</f>
        <v>5</v>
      </c>
      <c r="V824" s="32" t="n">
        <f aca="false">ROUNDUP(J824/INDEX('Tabela Passaro'!$Q$2:$Q$1795,$N824),0)*INDEX('Tabela Passaro'!$P$2:$P$1795,$N824)</f>
        <v>5</v>
      </c>
      <c r="W824" s="32" t="n">
        <f aca="false">INDEX('Tabela Passaro'!$R$2:$R$1795,$N824)</f>
        <v>30</v>
      </c>
      <c r="X824" s="32" t="n">
        <f aca="false">ROUNDUP(J824/INDEX('Tabela Passaro'!$T$2:$T$1795,$N824),0)*INDEX('Tabela Passaro'!$S$2:$S$1795,$N824)</f>
        <v>0</v>
      </c>
      <c r="Y824" s="32" t="n">
        <f aca="false">INDEX('Tabela Passaro'!$U$2:$U$1795,$N824)</f>
        <v>0</v>
      </c>
      <c r="Z824" s="32" t="n">
        <f aca="false">INDEX('Tabela Passaro'!$V$2:$V$1795,$N824)</f>
        <v>0</v>
      </c>
      <c r="AA824" s="32" t="n">
        <f aca="false">SUM(R824:Z824)</f>
        <v>174.49798</v>
      </c>
      <c r="AB824" s="33" t="n">
        <f aca="false">INDEX(Premissas!$B$5:$B$13,MATCH(A824,Premissas!$A$5:$A$13,0))</f>
        <v>0.07</v>
      </c>
      <c r="AC824" s="32" t="n">
        <f aca="false">AA824/(1-AB824)-AA824</f>
        <v>13.1342565591398</v>
      </c>
      <c r="AD824" s="32" t="n">
        <f aca="false">ROUND(AA824+AC824,2)</f>
        <v>187.63</v>
      </c>
      <c r="AE824" s="32" t="n">
        <f aca="false">AD824-L824</f>
        <v>63.23</v>
      </c>
      <c r="AF824" s="34" t="n">
        <f aca="false">IF(L824=0,0,AE824/L824)</f>
        <v>0.508279742765273</v>
      </c>
      <c r="AG824" s="22" t="str">
        <f aca="false">IF(AD824&lt;L824,"PASSARO","ATUAL")</f>
        <v>ATUAL</v>
      </c>
      <c r="AH824" s="22" t="str">
        <f aca="false">IF(P824&lt;&gt;A824,"Faixa cadastrada como "&amp;P824&amp;" na tabela; preço aplicado pela UF do CEP","")</f>
        <v/>
      </c>
      <c r="AI824" s="26" t="n">
        <v>215.09</v>
      </c>
      <c r="AJ824" s="22" t="str">
        <f aca="false">INDEX('Tabela Passaro'!$X$2:$X$1795,$N824)</f>
        <v>CAPITAL</v>
      </c>
    </row>
    <row r="825" customFormat="false" ht="15" hidden="false" customHeight="false" outlineLevel="0" collapsed="false">
      <c r="A825" s="22" t="s">
        <v>17</v>
      </c>
      <c r="B825" s="22" t="n">
        <v>1</v>
      </c>
      <c r="C825" s="22" t="s">
        <v>95</v>
      </c>
      <c r="D825" s="22" t="s">
        <v>30</v>
      </c>
      <c r="E825" s="22" t="s">
        <v>7328</v>
      </c>
      <c r="F825" s="22" t="n">
        <v>2316591</v>
      </c>
      <c r="G825" s="30" t="n">
        <v>46260</v>
      </c>
      <c r="H825" s="22" t="n">
        <v>135899</v>
      </c>
      <c r="I825" s="22" t="s">
        <v>8092</v>
      </c>
      <c r="J825" s="31" t="n">
        <v>49.6</v>
      </c>
      <c r="K825" s="26" t="n">
        <v>985.04</v>
      </c>
      <c r="L825" s="26" t="n">
        <v>167.1</v>
      </c>
      <c r="M825" s="22" t="s">
        <v>2349</v>
      </c>
      <c r="N825" s="22" t="n">
        <f aca="false">MATCH(M825,'Tabela Passaro'!$A$2:$A$1795,0)</f>
        <v>522</v>
      </c>
      <c r="O825" s="22" t="str">
        <f aca="false">INDEX('Tabela Passaro'!$C$2:$C$1795,$N825)</f>
        <v>FORTALEZA</v>
      </c>
      <c r="P825" s="22" t="str">
        <f aca="false">INDEX('Tabela Passaro'!$B$2:$B$1795,$N825)</f>
        <v>CE</v>
      </c>
      <c r="Q825" s="22" t="n">
        <f aca="false">INDEX('Tabela Passaro'!$F$2:$F$1795,$N825)</f>
        <v>8</v>
      </c>
      <c r="R825" s="32" t="n">
        <f aca="false">IF(J825&lt;=10,INDEX('Tabela Passaro'!$G$2:$G$1795,$N825),IF(J825&lt;=30,INDEX('Tabela Passaro'!$H$2:$H$1795,$N825),IF(J825&lt;=50,INDEX('Tabela Passaro'!$I$2:$I$1795,$N825),IF(J825&lt;=70,INDEX('Tabela Passaro'!$J$2:$J$1795,$N825),IF(J825&lt;=100,INDEX('Tabela Passaro'!$K$2:$K$1795,$N825),INDEX('Tabela Passaro'!$K$2:$K$1795,$N825)+(J825-100)*INDEX('Tabela Passaro'!$L$2:$L$1795,$N825))))))</f>
        <v>152.98</v>
      </c>
      <c r="S825" s="32" t="n">
        <f aca="false">K825*INDEX('Tabela Passaro'!$M$2:$M$1795,$N825)</f>
        <v>4.9252</v>
      </c>
      <c r="T825" s="32" t="n">
        <f aca="false">K825*INDEX('Tabela Passaro'!$N$2:$N$1795,$N825)</f>
        <v>1.97008</v>
      </c>
      <c r="U825" s="32" t="n">
        <f aca="false">INDEX('Tabela Passaro'!$O$2:$O$1795,$N825)</f>
        <v>5</v>
      </c>
      <c r="V825" s="32" t="n">
        <f aca="false">ROUNDUP(J825/INDEX('Tabela Passaro'!$Q$2:$Q$1795,$N825),0)*INDEX('Tabela Passaro'!$P$2:$P$1795,$N825)</f>
        <v>5</v>
      </c>
      <c r="W825" s="32" t="n">
        <f aca="false">INDEX('Tabela Passaro'!$R$2:$R$1795,$N825)</f>
        <v>30</v>
      </c>
      <c r="X825" s="32" t="n">
        <f aca="false">ROUNDUP(J825/INDEX('Tabela Passaro'!$T$2:$T$1795,$N825),0)*INDEX('Tabela Passaro'!$S$2:$S$1795,$N825)</f>
        <v>0</v>
      </c>
      <c r="Y825" s="32" t="n">
        <f aca="false">INDEX('Tabela Passaro'!$U$2:$U$1795,$N825)</f>
        <v>0</v>
      </c>
      <c r="Z825" s="32" t="n">
        <f aca="false">INDEX('Tabela Passaro'!$V$2:$V$1795,$N825)</f>
        <v>0</v>
      </c>
      <c r="AA825" s="32" t="n">
        <f aca="false">SUM(R825:Z825)</f>
        <v>199.87528</v>
      </c>
      <c r="AB825" s="33" t="n">
        <f aca="false">INDEX(Premissas!$B$5:$B$13,MATCH(A825,Premissas!$A$5:$A$13,0))</f>
        <v>0.07</v>
      </c>
      <c r="AC825" s="32" t="n">
        <f aca="false">AA825/(1-AB825)-AA825</f>
        <v>15.0443759139785</v>
      </c>
      <c r="AD825" s="32" t="n">
        <f aca="false">ROUND(AA825+AC825,2)</f>
        <v>214.92</v>
      </c>
      <c r="AE825" s="32" t="n">
        <f aca="false">AD825-L825</f>
        <v>47.82</v>
      </c>
      <c r="AF825" s="34" t="n">
        <f aca="false">IF(L825=0,0,AE825/L825)</f>
        <v>0.286175942549372</v>
      </c>
      <c r="AG825" s="22" t="str">
        <f aca="false">IF(AD825&lt;L825,"PASSARO","ATUAL")</f>
        <v>ATUAL</v>
      </c>
      <c r="AH825" s="22" t="str">
        <f aca="false">IF(P825&lt;&gt;A825,"Faixa cadastrada como "&amp;P825&amp;" na tabela; preço aplicado pela UF do CEP","")</f>
        <v/>
      </c>
      <c r="AI825" s="26" t="n">
        <v>255.26</v>
      </c>
      <c r="AJ825" s="22" t="str">
        <f aca="false">INDEX('Tabela Passaro'!$X$2:$X$1795,$N825)</f>
        <v>CAPITAL</v>
      </c>
    </row>
    <row r="826" customFormat="false" ht="15" hidden="false" customHeight="false" outlineLevel="0" collapsed="false">
      <c r="A826" s="22" t="s">
        <v>17</v>
      </c>
      <c r="B826" s="22" t="n">
        <v>1</v>
      </c>
      <c r="C826" s="22" t="s">
        <v>95</v>
      </c>
      <c r="D826" s="22" t="s">
        <v>30</v>
      </c>
      <c r="E826" s="22" t="s">
        <v>7326</v>
      </c>
      <c r="F826" s="22" t="n">
        <v>527803</v>
      </c>
      <c r="G826" s="30" t="n">
        <v>46260</v>
      </c>
      <c r="H826" s="22" t="n">
        <v>296365</v>
      </c>
      <c r="I826" s="22" t="s">
        <v>8093</v>
      </c>
      <c r="J826" s="31" t="n">
        <v>1170.4</v>
      </c>
      <c r="K826" s="26" t="n">
        <v>16789.36</v>
      </c>
      <c r="L826" s="26" t="n">
        <v>2631.2</v>
      </c>
      <c r="M826" s="22" t="s">
        <v>2349</v>
      </c>
      <c r="N826" s="22" t="n">
        <f aca="false">MATCH(M826,'Tabela Passaro'!$A$2:$A$1795,0)</f>
        <v>522</v>
      </c>
      <c r="O826" s="22" t="str">
        <f aca="false">INDEX('Tabela Passaro'!$C$2:$C$1795,$N826)</f>
        <v>FORTALEZA</v>
      </c>
      <c r="P826" s="22" t="str">
        <f aca="false">INDEX('Tabela Passaro'!$B$2:$B$1795,$N826)</f>
        <v>CE</v>
      </c>
      <c r="Q826" s="22" t="n">
        <f aca="false">INDEX('Tabela Passaro'!$F$2:$F$1795,$N826)</f>
        <v>8</v>
      </c>
      <c r="R826" s="32" t="n">
        <f aca="false">IF(J826&lt;=10,INDEX('Tabela Passaro'!$G$2:$G$1795,$N826),IF(J826&lt;=30,INDEX('Tabela Passaro'!$H$2:$H$1795,$N826),IF(J826&lt;=50,INDEX('Tabela Passaro'!$I$2:$I$1795,$N826),IF(J826&lt;=70,INDEX('Tabela Passaro'!$J$2:$J$1795,$N826),IF(J826&lt;=100,INDEX('Tabela Passaro'!$K$2:$K$1795,$N826),INDEX('Tabela Passaro'!$K$2:$K$1795,$N826)+(J826-100)*INDEX('Tabela Passaro'!$L$2:$L$1795,$N826))))))</f>
        <v>2005.86</v>
      </c>
      <c r="S826" s="32" t="n">
        <f aca="false">K826*INDEX('Tabela Passaro'!$M$2:$M$1795,$N826)</f>
        <v>83.9468</v>
      </c>
      <c r="T826" s="32" t="n">
        <f aca="false">K826*INDEX('Tabela Passaro'!$N$2:$N$1795,$N826)</f>
        <v>33.57872</v>
      </c>
      <c r="U826" s="32" t="n">
        <f aca="false">INDEX('Tabela Passaro'!$O$2:$O$1795,$N826)</f>
        <v>5</v>
      </c>
      <c r="V826" s="32" t="n">
        <f aca="false">ROUNDUP(J826/INDEX('Tabela Passaro'!$Q$2:$Q$1795,$N826),0)*INDEX('Tabela Passaro'!$P$2:$P$1795,$N826)</f>
        <v>60</v>
      </c>
      <c r="W826" s="32" t="n">
        <f aca="false">INDEX('Tabela Passaro'!$R$2:$R$1795,$N826)</f>
        <v>30</v>
      </c>
      <c r="X826" s="32" t="n">
        <f aca="false">ROUNDUP(J826/INDEX('Tabela Passaro'!$T$2:$T$1795,$N826),0)*INDEX('Tabela Passaro'!$S$2:$S$1795,$N826)</f>
        <v>0</v>
      </c>
      <c r="Y826" s="32" t="n">
        <f aca="false">INDEX('Tabela Passaro'!$U$2:$U$1795,$N826)</f>
        <v>0</v>
      </c>
      <c r="Z826" s="32" t="n">
        <f aca="false">INDEX('Tabela Passaro'!$V$2:$V$1795,$N826)</f>
        <v>0</v>
      </c>
      <c r="AA826" s="32" t="n">
        <f aca="false">SUM(R826:Z826)</f>
        <v>2218.38552</v>
      </c>
      <c r="AB826" s="33" t="n">
        <f aca="false">INDEX(Premissas!$B$5:$B$13,MATCH(A826,Premissas!$A$5:$A$13,0))</f>
        <v>0.07</v>
      </c>
      <c r="AC826" s="32" t="n">
        <f aca="false">AA826/(1-AB826)-AA826</f>
        <v>166.975254193549</v>
      </c>
      <c r="AD826" s="32" t="n">
        <f aca="false">ROUND(AA826+AC826,2)</f>
        <v>2385.36</v>
      </c>
      <c r="AE826" s="32" t="n">
        <f aca="false">AD826-L826</f>
        <v>-245.84</v>
      </c>
      <c r="AF826" s="34" t="n">
        <f aca="false">IF(L826=0,0,AE826/L826)</f>
        <v>-0.0934326543022194</v>
      </c>
      <c r="AG826" s="22" t="str">
        <f aca="false">IF(AD826&lt;L826,"PASSARO","ATUAL")</f>
        <v>PASSARO</v>
      </c>
      <c r="AH826" s="22" t="str">
        <f aca="false">IF(P826&lt;&gt;A826,"Faixa cadastrada como "&amp;P826&amp;" na tabela; preço aplicado pela UF do CEP","")</f>
        <v/>
      </c>
      <c r="AI826" s="26" t="n">
        <v>3245.7</v>
      </c>
      <c r="AJ826" s="22" t="str">
        <f aca="false">INDEX('Tabela Passaro'!$X$2:$X$1795,$N826)</f>
        <v>CAPITAL</v>
      </c>
    </row>
    <row r="827" customFormat="false" ht="15" hidden="false" customHeight="false" outlineLevel="0" collapsed="false">
      <c r="A827" s="22" t="s">
        <v>17</v>
      </c>
      <c r="B827" s="22" t="n">
        <v>1</v>
      </c>
      <c r="C827" s="22" t="s">
        <v>95</v>
      </c>
      <c r="D827" s="22" t="s">
        <v>30</v>
      </c>
      <c r="E827" s="22" t="s">
        <v>7326</v>
      </c>
      <c r="F827" s="22" t="n">
        <v>527771</v>
      </c>
      <c r="G827" s="30" t="n">
        <v>46260</v>
      </c>
      <c r="H827" s="22" t="n">
        <v>629469</v>
      </c>
      <c r="I827" s="22" t="s">
        <v>8094</v>
      </c>
      <c r="J827" s="31" t="n">
        <v>49.6</v>
      </c>
      <c r="K827" s="26" t="n">
        <v>881.92</v>
      </c>
      <c r="L827" s="26" t="n">
        <v>187.87</v>
      </c>
      <c r="M827" s="22" t="s">
        <v>2349</v>
      </c>
      <c r="N827" s="22" t="n">
        <f aca="false">MATCH(M827,'Tabela Passaro'!$A$2:$A$1795,0)</f>
        <v>522</v>
      </c>
      <c r="O827" s="22" t="str">
        <f aca="false">INDEX('Tabela Passaro'!$C$2:$C$1795,$N827)</f>
        <v>FORTALEZA</v>
      </c>
      <c r="P827" s="22" t="str">
        <f aca="false">INDEX('Tabela Passaro'!$B$2:$B$1795,$N827)</f>
        <v>CE</v>
      </c>
      <c r="Q827" s="22" t="n">
        <f aca="false">INDEX('Tabela Passaro'!$F$2:$F$1795,$N827)</f>
        <v>8</v>
      </c>
      <c r="R827" s="32" t="n">
        <f aca="false">IF(J827&lt;=10,INDEX('Tabela Passaro'!$G$2:$G$1795,$N827),IF(J827&lt;=30,INDEX('Tabela Passaro'!$H$2:$H$1795,$N827),IF(J827&lt;=50,INDEX('Tabela Passaro'!$I$2:$I$1795,$N827),IF(J827&lt;=70,INDEX('Tabela Passaro'!$J$2:$J$1795,$N827),IF(J827&lt;=100,INDEX('Tabela Passaro'!$K$2:$K$1795,$N827),INDEX('Tabela Passaro'!$K$2:$K$1795,$N827)+(J827-100)*INDEX('Tabela Passaro'!$L$2:$L$1795,$N827))))))</f>
        <v>152.98</v>
      </c>
      <c r="S827" s="32" t="n">
        <f aca="false">K827*INDEX('Tabela Passaro'!$M$2:$M$1795,$N827)</f>
        <v>4.4096</v>
      </c>
      <c r="T827" s="32" t="n">
        <f aca="false">K827*INDEX('Tabela Passaro'!$N$2:$N$1795,$N827)</f>
        <v>1.76384</v>
      </c>
      <c r="U827" s="32" t="n">
        <f aca="false">INDEX('Tabela Passaro'!$O$2:$O$1795,$N827)</f>
        <v>5</v>
      </c>
      <c r="V827" s="32" t="n">
        <f aca="false">ROUNDUP(J827/INDEX('Tabela Passaro'!$Q$2:$Q$1795,$N827),0)*INDEX('Tabela Passaro'!$P$2:$P$1795,$N827)</f>
        <v>5</v>
      </c>
      <c r="W827" s="32" t="n">
        <f aca="false">INDEX('Tabela Passaro'!$R$2:$R$1795,$N827)</f>
        <v>30</v>
      </c>
      <c r="X827" s="32" t="n">
        <f aca="false">ROUNDUP(J827/INDEX('Tabela Passaro'!$T$2:$T$1795,$N827),0)*INDEX('Tabela Passaro'!$S$2:$S$1795,$N827)</f>
        <v>0</v>
      </c>
      <c r="Y827" s="32" t="n">
        <f aca="false">INDEX('Tabela Passaro'!$U$2:$U$1795,$N827)</f>
        <v>0</v>
      </c>
      <c r="Z827" s="32" t="n">
        <f aca="false">INDEX('Tabela Passaro'!$V$2:$V$1795,$N827)</f>
        <v>0</v>
      </c>
      <c r="AA827" s="32" t="n">
        <f aca="false">SUM(R827:Z827)</f>
        <v>199.15344</v>
      </c>
      <c r="AB827" s="33" t="n">
        <f aca="false">INDEX(Premissas!$B$5:$B$13,MATCH(A827,Premissas!$A$5:$A$13,0))</f>
        <v>0.07</v>
      </c>
      <c r="AC827" s="32" t="n">
        <f aca="false">AA827/(1-AB827)-AA827</f>
        <v>14.9900438709678</v>
      </c>
      <c r="AD827" s="32" t="n">
        <f aca="false">ROUND(AA827+AC827,2)</f>
        <v>214.14</v>
      </c>
      <c r="AE827" s="32" t="n">
        <f aca="false">AD827-L827</f>
        <v>26.27</v>
      </c>
      <c r="AF827" s="34" t="n">
        <f aca="false">IF(L827=0,0,AE827/L827)</f>
        <v>0.139830734018204</v>
      </c>
      <c r="AG827" s="22" t="str">
        <f aca="false">IF(AD827&lt;L827,"PASSARO","ATUAL")</f>
        <v>ATUAL</v>
      </c>
      <c r="AH827" s="22" t="str">
        <f aca="false">IF(P827&lt;&gt;A827,"Faixa cadastrada como "&amp;P827&amp;" na tabela; preço aplicado pela UF do CEP","")</f>
        <v/>
      </c>
      <c r="AI827" s="26" t="n">
        <v>254.27</v>
      </c>
      <c r="AJ827" s="22" t="str">
        <f aca="false">INDEX('Tabela Passaro'!$X$2:$X$1795,$N827)</f>
        <v>CAPITAL</v>
      </c>
    </row>
    <row r="828" customFormat="false" ht="15" hidden="false" customHeight="false" outlineLevel="0" collapsed="false">
      <c r="A828" s="22" t="s">
        <v>17</v>
      </c>
      <c r="B828" s="22" t="n">
        <v>1</v>
      </c>
      <c r="C828" s="22" t="s">
        <v>95</v>
      </c>
      <c r="D828" s="22" t="s">
        <v>30</v>
      </c>
      <c r="E828" s="22" t="s">
        <v>20</v>
      </c>
      <c r="F828" s="22" t="n">
        <v>840492</v>
      </c>
      <c r="G828" s="30" t="n">
        <v>46262</v>
      </c>
      <c r="H828" s="22" t="n">
        <v>32779</v>
      </c>
      <c r="I828" s="22" t="s">
        <v>8095</v>
      </c>
      <c r="J828" s="31" t="n">
        <v>27.6</v>
      </c>
      <c r="K828" s="26" t="n">
        <v>755.1</v>
      </c>
      <c r="L828" s="26" t="n">
        <v>117.09</v>
      </c>
      <c r="M828" s="22" t="s">
        <v>2349</v>
      </c>
      <c r="N828" s="22" t="n">
        <f aca="false">MATCH(M828,'Tabela Passaro'!$A$2:$A$1795,0)</f>
        <v>522</v>
      </c>
      <c r="O828" s="22" t="str">
        <f aca="false">INDEX('Tabela Passaro'!$C$2:$C$1795,$N828)</f>
        <v>FORTALEZA</v>
      </c>
      <c r="P828" s="22" t="str">
        <f aca="false">INDEX('Tabela Passaro'!$B$2:$B$1795,$N828)</f>
        <v>CE</v>
      </c>
      <c r="Q828" s="22" t="n">
        <f aca="false">INDEX('Tabela Passaro'!$F$2:$F$1795,$N828)</f>
        <v>8</v>
      </c>
      <c r="R828" s="32" t="n">
        <f aca="false">IF(J828&lt;=10,INDEX('Tabela Passaro'!$G$2:$G$1795,$N828),IF(J828&lt;=30,INDEX('Tabela Passaro'!$H$2:$H$1795,$N828),IF(J828&lt;=50,INDEX('Tabela Passaro'!$I$2:$I$1795,$N828),IF(J828&lt;=70,INDEX('Tabela Passaro'!$J$2:$J$1795,$N828),IF(J828&lt;=100,INDEX('Tabela Passaro'!$K$2:$K$1795,$N828),INDEX('Tabela Passaro'!$K$2:$K$1795,$N828)+(J828-100)*INDEX('Tabela Passaro'!$L$2:$L$1795,$N828))))))</f>
        <v>130.85</v>
      </c>
      <c r="S828" s="32" t="n">
        <f aca="false">K828*INDEX('Tabela Passaro'!$M$2:$M$1795,$N828)</f>
        <v>3.7755</v>
      </c>
      <c r="T828" s="32" t="n">
        <f aca="false">K828*INDEX('Tabela Passaro'!$N$2:$N$1795,$N828)</f>
        <v>1.5102</v>
      </c>
      <c r="U828" s="32" t="n">
        <f aca="false">INDEX('Tabela Passaro'!$O$2:$O$1795,$N828)</f>
        <v>5</v>
      </c>
      <c r="V828" s="32" t="n">
        <f aca="false">ROUNDUP(J828/INDEX('Tabela Passaro'!$Q$2:$Q$1795,$N828),0)*INDEX('Tabela Passaro'!$P$2:$P$1795,$N828)</f>
        <v>5</v>
      </c>
      <c r="W828" s="32" t="n">
        <f aca="false">INDEX('Tabela Passaro'!$R$2:$R$1795,$N828)</f>
        <v>30</v>
      </c>
      <c r="X828" s="32" t="n">
        <f aca="false">ROUNDUP(J828/INDEX('Tabela Passaro'!$T$2:$T$1795,$N828),0)*INDEX('Tabela Passaro'!$S$2:$S$1795,$N828)</f>
        <v>0</v>
      </c>
      <c r="Y828" s="32" t="n">
        <f aca="false">INDEX('Tabela Passaro'!$U$2:$U$1795,$N828)</f>
        <v>0</v>
      </c>
      <c r="Z828" s="32" t="n">
        <f aca="false">INDEX('Tabela Passaro'!$V$2:$V$1795,$N828)</f>
        <v>0</v>
      </c>
      <c r="AA828" s="32" t="n">
        <f aca="false">SUM(R828:Z828)</f>
        <v>176.1357</v>
      </c>
      <c r="AB828" s="33" t="n">
        <f aca="false">INDEX(Premissas!$B$5:$B$13,MATCH(A828,Premissas!$A$5:$A$13,0))</f>
        <v>0.07</v>
      </c>
      <c r="AC828" s="32" t="n">
        <f aca="false">AA828/(1-AB828)-AA828</f>
        <v>13.2575258064516</v>
      </c>
      <c r="AD828" s="32" t="n">
        <f aca="false">ROUND(AA828+AC828,2)</f>
        <v>189.39</v>
      </c>
      <c r="AE828" s="32" t="n">
        <f aca="false">AD828-L828</f>
        <v>72.3</v>
      </c>
      <c r="AF828" s="34" t="n">
        <f aca="false">IF(L828=0,0,AE828/L828)</f>
        <v>0.617473738150141</v>
      </c>
      <c r="AG828" s="22" t="str">
        <f aca="false">IF(AD828&lt;L828,"PASSARO","ATUAL")</f>
        <v>ATUAL</v>
      </c>
      <c r="AH828" s="22" t="str">
        <f aca="false">IF(P828&lt;&gt;A828,"Faixa cadastrada como "&amp;P828&amp;" na tabela; preço aplicado pela UF do CEP","")</f>
        <v/>
      </c>
      <c r="AI828" s="26" t="n">
        <v>217.35</v>
      </c>
      <c r="AJ828" s="22" t="str">
        <f aca="false">INDEX('Tabela Passaro'!$X$2:$X$1795,$N828)</f>
        <v>CAPITAL</v>
      </c>
    </row>
    <row r="829" customFormat="false" ht="15" hidden="false" customHeight="false" outlineLevel="0" collapsed="false">
      <c r="A829" s="22" t="s">
        <v>17</v>
      </c>
      <c r="B829" s="22" t="n">
        <v>1</v>
      </c>
      <c r="C829" s="22" t="s">
        <v>95</v>
      </c>
      <c r="D829" s="22" t="s">
        <v>30</v>
      </c>
      <c r="E829" s="22" t="s">
        <v>7326</v>
      </c>
      <c r="F829" s="22" t="n">
        <v>528132</v>
      </c>
      <c r="G829" s="30" t="n">
        <v>46262</v>
      </c>
      <c r="H829" s="22" t="n">
        <v>629613</v>
      </c>
      <c r="I829" s="22" t="s">
        <v>8096</v>
      </c>
      <c r="J829" s="31" t="n">
        <v>47.7</v>
      </c>
      <c r="K829" s="26" t="n">
        <v>1079.98</v>
      </c>
      <c r="L829" s="26" t="n">
        <v>189.56</v>
      </c>
      <c r="M829" s="22" t="s">
        <v>2349</v>
      </c>
      <c r="N829" s="22" t="n">
        <f aca="false">MATCH(M829,'Tabela Passaro'!$A$2:$A$1795,0)</f>
        <v>522</v>
      </c>
      <c r="O829" s="22" t="str">
        <f aca="false">INDEX('Tabela Passaro'!$C$2:$C$1795,$N829)</f>
        <v>FORTALEZA</v>
      </c>
      <c r="P829" s="22" t="str">
        <f aca="false">INDEX('Tabela Passaro'!$B$2:$B$1795,$N829)</f>
        <v>CE</v>
      </c>
      <c r="Q829" s="22" t="n">
        <f aca="false">INDEX('Tabela Passaro'!$F$2:$F$1795,$N829)</f>
        <v>8</v>
      </c>
      <c r="R829" s="32" t="n">
        <f aca="false">IF(J829&lt;=10,INDEX('Tabela Passaro'!$G$2:$G$1795,$N829),IF(J829&lt;=30,INDEX('Tabela Passaro'!$H$2:$H$1795,$N829),IF(J829&lt;=50,INDEX('Tabela Passaro'!$I$2:$I$1795,$N829),IF(J829&lt;=70,INDEX('Tabela Passaro'!$J$2:$J$1795,$N829),IF(J829&lt;=100,INDEX('Tabela Passaro'!$K$2:$K$1795,$N829),INDEX('Tabela Passaro'!$K$2:$K$1795,$N829)+(J829-100)*INDEX('Tabela Passaro'!$L$2:$L$1795,$N829))))))</f>
        <v>152.98</v>
      </c>
      <c r="S829" s="32" t="n">
        <f aca="false">K829*INDEX('Tabela Passaro'!$M$2:$M$1795,$N829)</f>
        <v>5.3999</v>
      </c>
      <c r="T829" s="32" t="n">
        <f aca="false">K829*INDEX('Tabela Passaro'!$N$2:$N$1795,$N829)</f>
        <v>2.15996</v>
      </c>
      <c r="U829" s="32" t="n">
        <f aca="false">INDEX('Tabela Passaro'!$O$2:$O$1795,$N829)</f>
        <v>5</v>
      </c>
      <c r="V829" s="32" t="n">
        <f aca="false">ROUNDUP(J829/INDEX('Tabela Passaro'!$Q$2:$Q$1795,$N829),0)*INDEX('Tabela Passaro'!$P$2:$P$1795,$N829)</f>
        <v>5</v>
      </c>
      <c r="W829" s="32" t="n">
        <f aca="false">INDEX('Tabela Passaro'!$R$2:$R$1795,$N829)</f>
        <v>30</v>
      </c>
      <c r="X829" s="32" t="n">
        <f aca="false">ROUNDUP(J829/INDEX('Tabela Passaro'!$T$2:$T$1795,$N829),0)*INDEX('Tabela Passaro'!$S$2:$S$1795,$N829)</f>
        <v>0</v>
      </c>
      <c r="Y829" s="32" t="n">
        <f aca="false">INDEX('Tabela Passaro'!$U$2:$U$1795,$N829)</f>
        <v>0</v>
      </c>
      <c r="Z829" s="32" t="n">
        <f aca="false">INDEX('Tabela Passaro'!$V$2:$V$1795,$N829)</f>
        <v>0</v>
      </c>
      <c r="AA829" s="32" t="n">
        <f aca="false">SUM(R829:Z829)</f>
        <v>200.53986</v>
      </c>
      <c r="AB829" s="33" t="n">
        <f aca="false">INDEX(Premissas!$B$5:$B$13,MATCH(A829,Premissas!$A$5:$A$13,0))</f>
        <v>0.07</v>
      </c>
      <c r="AC829" s="32" t="n">
        <f aca="false">AA829/(1-AB829)-AA829</f>
        <v>15.0943980645161</v>
      </c>
      <c r="AD829" s="32" t="n">
        <f aca="false">ROUND(AA829+AC829,2)</f>
        <v>215.63</v>
      </c>
      <c r="AE829" s="32" t="n">
        <f aca="false">AD829-L829</f>
        <v>26.07</v>
      </c>
      <c r="AF829" s="34" t="n">
        <f aca="false">IF(L829=0,0,AE829/L829)</f>
        <v>0.137529014560034</v>
      </c>
      <c r="AG829" s="22" t="str">
        <f aca="false">IF(AD829&lt;L829,"PASSARO","ATUAL")</f>
        <v>ATUAL</v>
      </c>
      <c r="AH829" s="22" t="str">
        <f aca="false">IF(P829&lt;&gt;A829,"Faixa cadastrada como "&amp;P829&amp;" na tabela; preço aplicado pela UF do CEP","")</f>
        <v/>
      </c>
      <c r="AI829" s="26" t="n">
        <v>255.21</v>
      </c>
      <c r="AJ829" s="22" t="str">
        <f aca="false">INDEX('Tabela Passaro'!$X$2:$X$1795,$N829)</f>
        <v>CAPITAL</v>
      </c>
    </row>
    <row r="830" customFormat="false" ht="15" hidden="false" customHeight="false" outlineLevel="0" collapsed="false">
      <c r="A830" s="22" t="s">
        <v>17</v>
      </c>
      <c r="B830" s="22" t="n">
        <v>1</v>
      </c>
      <c r="C830" s="22" t="s">
        <v>95</v>
      </c>
      <c r="D830" s="22" t="s">
        <v>30</v>
      </c>
      <c r="E830" s="22" t="s">
        <v>7326</v>
      </c>
      <c r="F830" s="22" t="n">
        <v>528272</v>
      </c>
      <c r="G830" s="30" t="n">
        <v>46262</v>
      </c>
      <c r="H830" s="22" t="n">
        <v>630027</v>
      </c>
      <c r="I830" s="22" t="s">
        <v>8097</v>
      </c>
      <c r="J830" s="31" t="n">
        <v>37.9</v>
      </c>
      <c r="K830" s="26" t="n">
        <v>3907.72</v>
      </c>
      <c r="L830" s="26" t="n">
        <v>213.62</v>
      </c>
      <c r="M830" s="22" t="s">
        <v>2349</v>
      </c>
      <c r="N830" s="22" t="n">
        <f aca="false">MATCH(M830,'Tabela Passaro'!$A$2:$A$1795,0)</f>
        <v>522</v>
      </c>
      <c r="O830" s="22" t="str">
        <f aca="false">INDEX('Tabela Passaro'!$C$2:$C$1795,$N830)</f>
        <v>FORTALEZA</v>
      </c>
      <c r="P830" s="22" t="str">
        <f aca="false">INDEX('Tabela Passaro'!$B$2:$B$1795,$N830)</f>
        <v>CE</v>
      </c>
      <c r="Q830" s="22" t="n">
        <f aca="false">INDEX('Tabela Passaro'!$F$2:$F$1795,$N830)</f>
        <v>8</v>
      </c>
      <c r="R830" s="32" t="n">
        <f aca="false">IF(J830&lt;=10,INDEX('Tabela Passaro'!$G$2:$G$1795,$N830),IF(J830&lt;=30,INDEX('Tabela Passaro'!$H$2:$H$1795,$N830),IF(J830&lt;=50,INDEX('Tabela Passaro'!$I$2:$I$1795,$N830),IF(J830&lt;=70,INDEX('Tabela Passaro'!$J$2:$J$1795,$N830),IF(J830&lt;=100,INDEX('Tabela Passaro'!$K$2:$K$1795,$N830),INDEX('Tabela Passaro'!$K$2:$K$1795,$N830)+(J830-100)*INDEX('Tabela Passaro'!$L$2:$L$1795,$N830))))))</f>
        <v>152.98</v>
      </c>
      <c r="S830" s="32" t="n">
        <f aca="false">K830*INDEX('Tabela Passaro'!$M$2:$M$1795,$N830)</f>
        <v>19.5386</v>
      </c>
      <c r="T830" s="32" t="n">
        <f aca="false">K830*INDEX('Tabela Passaro'!$N$2:$N$1795,$N830)</f>
        <v>7.81544</v>
      </c>
      <c r="U830" s="32" t="n">
        <f aca="false">INDEX('Tabela Passaro'!$O$2:$O$1795,$N830)</f>
        <v>5</v>
      </c>
      <c r="V830" s="32" t="n">
        <f aca="false">ROUNDUP(J830/INDEX('Tabela Passaro'!$Q$2:$Q$1795,$N830),0)*INDEX('Tabela Passaro'!$P$2:$P$1795,$N830)</f>
        <v>5</v>
      </c>
      <c r="W830" s="32" t="n">
        <f aca="false">INDEX('Tabela Passaro'!$R$2:$R$1795,$N830)</f>
        <v>30</v>
      </c>
      <c r="X830" s="32" t="n">
        <f aca="false">ROUNDUP(J830/INDEX('Tabela Passaro'!$T$2:$T$1795,$N830),0)*INDEX('Tabela Passaro'!$S$2:$S$1795,$N830)</f>
        <v>0</v>
      </c>
      <c r="Y830" s="32" t="n">
        <f aca="false">INDEX('Tabela Passaro'!$U$2:$U$1795,$N830)</f>
        <v>0</v>
      </c>
      <c r="Z830" s="32" t="n">
        <f aca="false">INDEX('Tabela Passaro'!$V$2:$V$1795,$N830)</f>
        <v>0</v>
      </c>
      <c r="AA830" s="32" t="n">
        <f aca="false">SUM(R830:Z830)</f>
        <v>220.33404</v>
      </c>
      <c r="AB830" s="33" t="n">
        <f aca="false">INDEX(Premissas!$B$5:$B$13,MATCH(A830,Premissas!$A$5:$A$13,0))</f>
        <v>0.07</v>
      </c>
      <c r="AC830" s="32" t="n">
        <f aca="false">AA830/(1-AB830)-AA830</f>
        <v>16.5842825806452</v>
      </c>
      <c r="AD830" s="32" t="n">
        <f aca="false">ROUND(AA830+AC830,2)</f>
        <v>236.92</v>
      </c>
      <c r="AE830" s="32" t="n">
        <f aca="false">AD830-L830</f>
        <v>23.3</v>
      </c>
      <c r="AF830" s="34" t="n">
        <f aca="false">IF(L830=0,0,AE830/L830)</f>
        <v>0.109072184252411</v>
      </c>
      <c r="AG830" s="22" t="str">
        <f aca="false">IF(AD830&lt;L830,"PASSARO","ATUAL")</f>
        <v>ATUAL</v>
      </c>
      <c r="AH830" s="22" t="str">
        <f aca="false">IF(P830&lt;&gt;A830,"Faixa cadastrada como "&amp;P830&amp;" na tabela; preço aplicado pela UF do CEP","")</f>
        <v/>
      </c>
      <c r="AI830" s="26" t="n">
        <v>277.74</v>
      </c>
      <c r="AJ830" s="22" t="str">
        <f aca="false">INDEX('Tabela Passaro'!$X$2:$X$1795,$N830)</f>
        <v>CAPITAL</v>
      </c>
    </row>
    <row r="831" customFormat="false" ht="15" hidden="false" customHeight="false" outlineLevel="0" collapsed="false">
      <c r="A831" s="22" t="s">
        <v>17</v>
      </c>
      <c r="B831" s="22" t="n">
        <v>1</v>
      </c>
      <c r="C831" s="22" t="s">
        <v>95</v>
      </c>
      <c r="D831" s="22" t="s">
        <v>30</v>
      </c>
      <c r="E831" s="22" t="s">
        <v>7326</v>
      </c>
      <c r="F831" s="22" t="n">
        <v>528297</v>
      </c>
      <c r="G831" s="30" t="n">
        <v>46262</v>
      </c>
      <c r="H831" s="22" t="n">
        <v>630137</v>
      </c>
      <c r="I831" s="22" t="s">
        <v>8098</v>
      </c>
      <c r="J831" s="31" t="n">
        <v>59.9</v>
      </c>
      <c r="K831" s="26" t="n">
        <v>918.77</v>
      </c>
      <c r="L831" s="26" t="n">
        <v>231.29</v>
      </c>
      <c r="M831" s="22" t="s">
        <v>2349</v>
      </c>
      <c r="N831" s="22" t="n">
        <f aca="false">MATCH(M831,'Tabela Passaro'!$A$2:$A$1795,0)</f>
        <v>522</v>
      </c>
      <c r="O831" s="22" t="str">
        <f aca="false">INDEX('Tabela Passaro'!$C$2:$C$1795,$N831)</f>
        <v>FORTALEZA</v>
      </c>
      <c r="P831" s="22" t="str">
        <f aca="false">INDEX('Tabela Passaro'!$B$2:$B$1795,$N831)</f>
        <v>CE</v>
      </c>
      <c r="Q831" s="22" t="n">
        <f aca="false">INDEX('Tabela Passaro'!$F$2:$F$1795,$N831)</f>
        <v>8</v>
      </c>
      <c r="R831" s="32" t="n">
        <f aca="false">IF(J831&lt;=10,INDEX('Tabela Passaro'!$G$2:$G$1795,$N831),IF(J831&lt;=30,INDEX('Tabela Passaro'!$H$2:$H$1795,$N831),IF(J831&lt;=50,INDEX('Tabela Passaro'!$I$2:$I$1795,$N831),IF(J831&lt;=70,INDEX('Tabela Passaro'!$J$2:$J$1795,$N831),IF(J831&lt;=100,INDEX('Tabela Passaro'!$K$2:$K$1795,$N831),INDEX('Tabela Passaro'!$K$2:$K$1795,$N831)+(J831-100)*INDEX('Tabela Passaro'!$L$2:$L$1795,$N831))))))</f>
        <v>169.58</v>
      </c>
      <c r="S831" s="32" t="n">
        <f aca="false">K831*INDEX('Tabela Passaro'!$M$2:$M$1795,$N831)</f>
        <v>4.59385</v>
      </c>
      <c r="T831" s="32" t="n">
        <f aca="false">K831*INDEX('Tabela Passaro'!$N$2:$N$1795,$N831)</f>
        <v>1.83754</v>
      </c>
      <c r="U831" s="32" t="n">
        <f aca="false">INDEX('Tabela Passaro'!$O$2:$O$1795,$N831)</f>
        <v>5</v>
      </c>
      <c r="V831" s="32" t="n">
        <f aca="false">ROUNDUP(J831/INDEX('Tabela Passaro'!$Q$2:$Q$1795,$N831),0)*INDEX('Tabela Passaro'!$P$2:$P$1795,$N831)</f>
        <v>5</v>
      </c>
      <c r="W831" s="32" t="n">
        <f aca="false">INDEX('Tabela Passaro'!$R$2:$R$1795,$N831)</f>
        <v>30</v>
      </c>
      <c r="X831" s="32" t="n">
        <f aca="false">ROUNDUP(J831/INDEX('Tabela Passaro'!$T$2:$T$1795,$N831),0)*INDEX('Tabela Passaro'!$S$2:$S$1795,$N831)</f>
        <v>0</v>
      </c>
      <c r="Y831" s="32" t="n">
        <f aca="false">INDEX('Tabela Passaro'!$U$2:$U$1795,$N831)</f>
        <v>0</v>
      </c>
      <c r="Z831" s="32" t="n">
        <f aca="false">INDEX('Tabela Passaro'!$V$2:$V$1795,$N831)</f>
        <v>0</v>
      </c>
      <c r="AA831" s="32" t="n">
        <f aca="false">SUM(R831:Z831)</f>
        <v>216.01139</v>
      </c>
      <c r="AB831" s="33" t="n">
        <f aca="false">INDEX(Premissas!$B$5:$B$13,MATCH(A831,Premissas!$A$5:$A$13,0))</f>
        <v>0.07</v>
      </c>
      <c r="AC831" s="32" t="n">
        <f aca="false">AA831/(1-AB831)-AA831</f>
        <v>16.258921827957</v>
      </c>
      <c r="AD831" s="32" t="n">
        <f aca="false">ROUND(AA831+AC831,2)</f>
        <v>232.27</v>
      </c>
      <c r="AE831" s="32" t="n">
        <f aca="false">AD831-L831</f>
        <v>0.980000000000018</v>
      </c>
      <c r="AF831" s="34" t="n">
        <f aca="false">IF(L831=0,0,AE831/L831)</f>
        <v>0.00423710493320082</v>
      </c>
      <c r="AG831" s="22" t="str">
        <f aca="false">IF(AD831&lt;L831,"PASSARO","ATUAL")</f>
        <v>ATUAL</v>
      </c>
      <c r="AH831" s="22" t="str">
        <f aca="false">IF(P831&lt;&gt;A831,"Faixa cadastrada como "&amp;P831&amp;" na tabela; preço aplicado pela UF do CEP","")</f>
        <v/>
      </c>
      <c r="AI831" s="26" t="n">
        <v>278.26</v>
      </c>
      <c r="AJ831" s="22" t="str">
        <f aca="false">INDEX('Tabela Passaro'!$X$2:$X$1795,$N831)</f>
        <v>CAPITAL</v>
      </c>
    </row>
    <row r="832" customFormat="false" ht="15" hidden="false" customHeight="false" outlineLevel="0" collapsed="false">
      <c r="A832" s="22" t="s">
        <v>17</v>
      </c>
      <c r="B832" s="22" t="n">
        <v>1</v>
      </c>
      <c r="C832" s="22" t="s">
        <v>95</v>
      </c>
      <c r="D832" s="22" t="s">
        <v>30</v>
      </c>
      <c r="E832" s="22" t="s">
        <v>7326</v>
      </c>
      <c r="F832" s="22" t="n">
        <v>528312</v>
      </c>
      <c r="G832" s="30" t="n">
        <v>46262</v>
      </c>
      <c r="H832" s="22" t="n">
        <v>630154</v>
      </c>
      <c r="I832" s="22" t="s">
        <v>8099</v>
      </c>
      <c r="J832" s="31" t="n">
        <v>41.5</v>
      </c>
      <c r="K832" s="26" t="n">
        <v>690.28</v>
      </c>
      <c r="L832" s="26" t="n">
        <v>186.25</v>
      </c>
      <c r="M832" s="22" t="s">
        <v>2349</v>
      </c>
      <c r="N832" s="22" t="n">
        <f aca="false">MATCH(M832,'Tabela Passaro'!$A$2:$A$1795,0)</f>
        <v>522</v>
      </c>
      <c r="O832" s="22" t="str">
        <f aca="false">INDEX('Tabela Passaro'!$C$2:$C$1795,$N832)</f>
        <v>FORTALEZA</v>
      </c>
      <c r="P832" s="22" t="str">
        <f aca="false">INDEX('Tabela Passaro'!$B$2:$B$1795,$N832)</f>
        <v>CE</v>
      </c>
      <c r="Q832" s="22" t="n">
        <f aca="false">INDEX('Tabela Passaro'!$F$2:$F$1795,$N832)</f>
        <v>8</v>
      </c>
      <c r="R832" s="32" t="n">
        <f aca="false">IF(J832&lt;=10,INDEX('Tabela Passaro'!$G$2:$G$1795,$N832),IF(J832&lt;=30,INDEX('Tabela Passaro'!$H$2:$H$1795,$N832),IF(J832&lt;=50,INDEX('Tabela Passaro'!$I$2:$I$1795,$N832),IF(J832&lt;=70,INDEX('Tabela Passaro'!$J$2:$J$1795,$N832),IF(J832&lt;=100,INDEX('Tabela Passaro'!$K$2:$K$1795,$N832),INDEX('Tabela Passaro'!$K$2:$K$1795,$N832)+(J832-100)*INDEX('Tabela Passaro'!$L$2:$L$1795,$N832))))))</f>
        <v>152.98</v>
      </c>
      <c r="S832" s="32" t="n">
        <f aca="false">K832*INDEX('Tabela Passaro'!$M$2:$M$1795,$N832)</f>
        <v>3.4514</v>
      </c>
      <c r="T832" s="32" t="n">
        <f aca="false">K832*INDEX('Tabela Passaro'!$N$2:$N$1795,$N832)</f>
        <v>1.38056</v>
      </c>
      <c r="U832" s="32" t="n">
        <f aca="false">INDEX('Tabela Passaro'!$O$2:$O$1795,$N832)</f>
        <v>5</v>
      </c>
      <c r="V832" s="32" t="n">
        <f aca="false">ROUNDUP(J832/INDEX('Tabela Passaro'!$Q$2:$Q$1795,$N832),0)*INDEX('Tabela Passaro'!$P$2:$P$1795,$N832)</f>
        <v>5</v>
      </c>
      <c r="W832" s="32" t="n">
        <f aca="false">INDEX('Tabela Passaro'!$R$2:$R$1795,$N832)</f>
        <v>30</v>
      </c>
      <c r="X832" s="32" t="n">
        <f aca="false">ROUNDUP(J832/INDEX('Tabela Passaro'!$T$2:$T$1795,$N832),0)*INDEX('Tabela Passaro'!$S$2:$S$1795,$N832)</f>
        <v>0</v>
      </c>
      <c r="Y832" s="32" t="n">
        <f aca="false">INDEX('Tabela Passaro'!$U$2:$U$1795,$N832)</f>
        <v>0</v>
      </c>
      <c r="Z832" s="32" t="n">
        <f aca="false">INDEX('Tabela Passaro'!$V$2:$V$1795,$N832)</f>
        <v>0</v>
      </c>
      <c r="AA832" s="32" t="n">
        <f aca="false">SUM(R832:Z832)</f>
        <v>197.81196</v>
      </c>
      <c r="AB832" s="33" t="n">
        <f aca="false">INDEX(Premissas!$B$5:$B$13,MATCH(A832,Premissas!$A$5:$A$13,0))</f>
        <v>0.07</v>
      </c>
      <c r="AC832" s="32" t="n">
        <f aca="false">AA832/(1-AB832)-AA832</f>
        <v>14.8890722580645</v>
      </c>
      <c r="AD832" s="32" t="n">
        <f aca="false">ROUND(AA832+AC832,2)</f>
        <v>212.7</v>
      </c>
      <c r="AE832" s="32" t="n">
        <f aca="false">AD832-L832</f>
        <v>26.45</v>
      </c>
      <c r="AF832" s="34" t="n">
        <f aca="false">IF(L832=0,0,AE832/L832)</f>
        <v>0.142013422818792</v>
      </c>
      <c r="AG832" s="22" t="str">
        <f aca="false">IF(AD832&lt;L832,"PASSARO","ATUAL")</f>
        <v>ATUAL</v>
      </c>
      <c r="AH832" s="22" t="str">
        <f aca="false">IF(P832&lt;&gt;A832,"Faixa cadastrada como "&amp;P832&amp;" na tabela; preço aplicado pela UF do CEP","")</f>
        <v/>
      </c>
      <c r="AI832" s="26" t="n">
        <v>248.54</v>
      </c>
      <c r="AJ832" s="22" t="str">
        <f aca="false">INDEX('Tabela Passaro'!$X$2:$X$1795,$N832)</f>
        <v>CAPITAL</v>
      </c>
    </row>
    <row r="833" customFormat="false" ht="15" hidden="false" customHeight="false" outlineLevel="0" collapsed="false">
      <c r="A833" s="22" t="s">
        <v>17</v>
      </c>
      <c r="B833" s="22" t="n">
        <v>1</v>
      </c>
      <c r="C833" s="22" t="s">
        <v>95</v>
      </c>
      <c r="D833" s="22" t="s">
        <v>30</v>
      </c>
      <c r="E833" s="22" t="s">
        <v>20</v>
      </c>
      <c r="F833" s="22" t="n">
        <v>840595</v>
      </c>
      <c r="G833" s="30" t="n">
        <v>46265</v>
      </c>
      <c r="H833" s="22" t="n">
        <v>32794</v>
      </c>
      <c r="I833" s="22" t="s">
        <v>8100</v>
      </c>
      <c r="J833" s="31" t="n">
        <v>27.5</v>
      </c>
      <c r="K833" s="26" t="n">
        <v>524.97</v>
      </c>
      <c r="L833" s="26" t="n">
        <v>115.01</v>
      </c>
      <c r="M833" s="22" t="s">
        <v>2349</v>
      </c>
      <c r="N833" s="22" t="n">
        <f aca="false">MATCH(M833,'Tabela Passaro'!$A$2:$A$1795,0)</f>
        <v>522</v>
      </c>
      <c r="O833" s="22" t="str">
        <f aca="false">INDEX('Tabela Passaro'!$C$2:$C$1795,$N833)</f>
        <v>FORTALEZA</v>
      </c>
      <c r="P833" s="22" t="str">
        <f aca="false">INDEX('Tabela Passaro'!$B$2:$B$1795,$N833)</f>
        <v>CE</v>
      </c>
      <c r="Q833" s="22" t="n">
        <f aca="false">INDEX('Tabela Passaro'!$F$2:$F$1795,$N833)</f>
        <v>8</v>
      </c>
      <c r="R833" s="32" t="n">
        <f aca="false">IF(J833&lt;=10,INDEX('Tabela Passaro'!$G$2:$G$1795,$N833),IF(J833&lt;=30,INDEX('Tabela Passaro'!$H$2:$H$1795,$N833),IF(J833&lt;=50,INDEX('Tabela Passaro'!$I$2:$I$1795,$N833),IF(J833&lt;=70,INDEX('Tabela Passaro'!$J$2:$J$1795,$N833),IF(J833&lt;=100,INDEX('Tabela Passaro'!$K$2:$K$1795,$N833),INDEX('Tabela Passaro'!$K$2:$K$1795,$N833)+(J833-100)*INDEX('Tabela Passaro'!$L$2:$L$1795,$N833))))))</f>
        <v>130.85</v>
      </c>
      <c r="S833" s="32" t="n">
        <f aca="false">K833*INDEX('Tabela Passaro'!$M$2:$M$1795,$N833)</f>
        <v>2.62485</v>
      </c>
      <c r="T833" s="32" t="n">
        <f aca="false">K833*INDEX('Tabela Passaro'!$N$2:$N$1795,$N833)</f>
        <v>1.04994</v>
      </c>
      <c r="U833" s="32" t="n">
        <f aca="false">INDEX('Tabela Passaro'!$O$2:$O$1795,$N833)</f>
        <v>5</v>
      </c>
      <c r="V833" s="32" t="n">
        <f aca="false">ROUNDUP(J833/INDEX('Tabela Passaro'!$Q$2:$Q$1795,$N833),0)*INDEX('Tabela Passaro'!$P$2:$P$1795,$N833)</f>
        <v>5</v>
      </c>
      <c r="W833" s="32" t="n">
        <f aca="false">INDEX('Tabela Passaro'!$R$2:$R$1795,$N833)</f>
        <v>30</v>
      </c>
      <c r="X833" s="32" t="n">
        <f aca="false">ROUNDUP(J833/INDEX('Tabela Passaro'!$T$2:$T$1795,$N833),0)*INDEX('Tabela Passaro'!$S$2:$S$1795,$N833)</f>
        <v>0</v>
      </c>
      <c r="Y833" s="32" t="n">
        <f aca="false">INDEX('Tabela Passaro'!$U$2:$U$1795,$N833)</f>
        <v>0</v>
      </c>
      <c r="Z833" s="32" t="n">
        <f aca="false">INDEX('Tabela Passaro'!$V$2:$V$1795,$N833)</f>
        <v>0</v>
      </c>
      <c r="AA833" s="32" t="n">
        <f aca="false">SUM(R833:Z833)</f>
        <v>174.52479</v>
      </c>
      <c r="AB833" s="33" t="n">
        <f aca="false">INDEX(Premissas!$B$5:$B$13,MATCH(A833,Premissas!$A$5:$A$13,0))</f>
        <v>0.07</v>
      </c>
      <c r="AC833" s="32" t="n">
        <f aca="false">AA833/(1-AB833)-AA833</f>
        <v>13.136274516129</v>
      </c>
      <c r="AD833" s="32" t="n">
        <f aca="false">ROUND(AA833+AC833,2)</f>
        <v>187.66</v>
      </c>
      <c r="AE833" s="32" t="n">
        <f aca="false">AD833-L833</f>
        <v>72.65</v>
      </c>
      <c r="AF833" s="34" t="n">
        <f aca="false">IF(L833=0,0,AE833/L833)</f>
        <v>0.631684201373793</v>
      </c>
      <c r="AG833" s="22" t="str">
        <f aca="false">IF(AD833&lt;L833,"PASSARO","ATUAL")</f>
        <v>ATUAL</v>
      </c>
      <c r="AH833" s="22" t="str">
        <f aca="false">IF(P833&lt;&gt;A833,"Faixa cadastrada como "&amp;P833&amp;" na tabela; preço aplicado pela UF do CEP","")</f>
        <v/>
      </c>
      <c r="AI833" s="26" t="n">
        <v>215.12</v>
      </c>
      <c r="AJ833" s="22" t="str">
        <f aca="false">INDEX('Tabela Passaro'!$X$2:$X$1795,$N833)</f>
        <v>CAPITAL</v>
      </c>
    </row>
    <row r="834" customFormat="false" ht="15" hidden="false" customHeight="false" outlineLevel="0" collapsed="false">
      <c r="A834" s="22" t="s">
        <v>17</v>
      </c>
      <c r="B834" s="22" t="n">
        <v>1</v>
      </c>
      <c r="C834" s="22" t="s">
        <v>95</v>
      </c>
      <c r="D834" s="22" t="s">
        <v>30</v>
      </c>
      <c r="E834" s="22" t="s">
        <v>20</v>
      </c>
      <c r="F834" s="22" t="n">
        <v>840604</v>
      </c>
      <c r="G834" s="30" t="n">
        <v>46265</v>
      </c>
      <c r="H834" s="22" t="n">
        <v>32805</v>
      </c>
      <c r="I834" s="22" t="s">
        <v>8101</v>
      </c>
      <c r="J834" s="31" t="n">
        <v>22.4</v>
      </c>
      <c r="K834" s="26" t="n">
        <v>556.71</v>
      </c>
      <c r="L834" s="26" t="n">
        <v>115.3</v>
      </c>
      <c r="M834" s="22" t="s">
        <v>2349</v>
      </c>
      <c r="N834" s="22" t="n">
        <f aca="false">MATCH(M834,'Tabela Passaro'!$A$2:$A$1795,0)</f>
        <v>522</v>
      </c>
      <c r="O834" s="22" t="str">
        <f aca="false">INDEX('Tabela Passaro'!$C$2:$C$1795,$N834)</f>
        <v>FORTALEZA</v>
      </c>
      <c r="P834" s="22" t="str">
        <f aca="false">INDEX('Tabela Passaro'!$B$2:$B$1795,$N834)</f>
        <v>CE</v>
      </c>
      <c r="Q834" s="22" t="n">
        <f aca="false">INDEX('Tabela Passaro'!$F$2:$F$1795,$N834)</f>
        <v>8</v>
      </c>
      <c r="R834" s="32" t="n">
        <f aca="false">IF(J834&lt;=10,INDEX('Tabela Passaro'!$G$2:$G$1795,$N834),IF(J834&lt;=30,INDEX('Tabela Passaro'!$H$2:$H$1795,$N834),IF(J834&lt;=50,INDEX('Tabela Passaro'!$I$2:$I$1795,$N834),IF(J834&lt;=70,INDEX('Tabela Passaro'!$J$2:$J$1795,$N834),IF(J834&lt;=100,INDEX('Tabela Passaro'!$K$2:$K$1795,$N834),INDEX('Tabela Passaro'!$K$2:$K$1795,$N834)+(J834-100)*INDEX('Tabela Passaro'!$L$2:$L$1795,$N834))))))</f>
        <v>130.85</v>
      </c>
      <c r="S834" s="32" t="n">
        <f aca="false">K834*INDEX('Tabela Passaro'!$M$2:$M$1795,$N834)</f>
        <v>2.78355</v>
      </c>
      <c r="T834" s="32" t="n">
        <f aca="false">K834*INDEX('Tabela Passaro'!$N$2:$N$1795,$N834)</f>
        <v>1.11342</v>
      </c>
      <c r="U834" s="32" t="n">
        <f aca="false">INDEX('Tabela Passaro'!$O$2:$O$1795,$N834)</f>
        <v>5</v>
      </c>
      <c r="V834" s="32" t="n">
        <f aca="false">ROUNDUP(J834/INDEX('Tabela Passaro'!$Q$2:$Q$1795,$N834),0)*INDEX('Tabela Passaro'!$P$2:$P$1795,$N834)</f>
        <v>5</v>
      </c>
      <c r="W834" s="32" t="n">
        <f aca="false">INDEX('Tabela Passaro'!$R$2:$R$1795,$N834)</f>
        <v>30</v>
      </c>
      <c r="X834" s="32" t="n">
        <f aca="false">ROUNDUP(J834/INDEX('Tabela Passaro'!$T$2:$T$1795,$N834),0)*INDEX('Tabela Passaro'!$S$2:$S$1795,$N834)</f>
        <v>0</v>
      </c>
      <c r="Y834" s="32" t="n">
        <f aca="false">INDEX('Tabela Passaro'!$U$2:$U$1795,$N834)</f>
        <v>0</v>
      </c>
      <c r="Z834" s="32" t="n">
        <f aca="false">INDEX('Tabela Passaro'!$V$2:$V$1795,$N834)</f>
        <v>0</v>
      </c>
      <c r="AA834" s="32" t="n">
        <f aca="false">SUM(R834:Z834)</f>
        <v>174.74697</v>
      </c>
      <c r="AB834" s="33" t="n">
        <f aca="false">INDEX(Premissas!$B$5:$B$13,MATCH(A834,Premissas!$A$5:$A$13,0))</f>
        <v>0.07</v>
      </c>
      <c r="AC834" s="32" t="n">
        <f aca="false">AA834/(1-AB834)-AA834</f>
        <v>13.1529977419355</v>
      </c>
      <c r="AD834" s="32" t="n">
        <f aca="false">ROUND(AA834+AC834,2)</f>
        <v>187.9</v>
      </c>
      <c r="AE834" s="32" t="n">
        <f aca="false">AD834-L834</f>
        <v>72.6</v>
      </c>
      <c r="AF834" s="34" t="n">
        <f aca="false">IF(L834=0,0,AE834/L834)</f>
        <v>0.629661751951431</v>
      </c>
      <c r="AG834" s="22" t="str">
        <f aca="false">IF(AD834&lt;L834,"PASSARO","ATUAL")</f>
        <v>ATUAL</v>
      </c>
      <c r="AH834" s="22" t="str">
        <f aca="false">IF(P834&lt;&gt;A834,"Faixa cadastrada como "&amp;P834&amp;" na tabela; preço aplicado pela UF do CEP","")</f>
        <v/>
      </c>
      <c r="AI834" s="26" t="n">
        <v>213.01</v>
      </c>
      <c r="AJ834" s="22" t="str">
        <f aca="false">INDEX('Tabela Passaro'!$X$2:$X$1795,$N834)</f>
        <v>CAPITAL</v>
      </c>
    </row>
    <row r="835" customFormat="false" ht="15" hidden="false" customHeight="false" outlineLevel="0" collapsed="false">
      <c r="A835" s="22" t="s">
        <v>17</v>
      </c>
      <c r="B835" s="22" t="n">
        <v>1</v>
      </c>
      <c r="C835" s="22" t="s">
        <v>95</v>
      </c>
      <c r="D835" s="22" t="s">
        <v>30</v>
      </c>
      <c r="E835" s="22" t="s">
        <v>20</v>
      </c>
      <c r="F835" s="22" t="n">
        <v>840629</v>
      </c>
      <c r="G835" s="30" t="n">
        <v>46265</v>
      </c>
      <c r="H835" s="22" t="n">
        <v>32828</v>
      </c>
      <c r="I835" s="22" t="s">
        <v>8102</v>
      </c>
      <c r="J835" s="31" t="n">
        <v>37.2</v>
      </c>
      <c r="K835" s="26" t="n">
        <v>550.87</v>
      </c>
      <c r="L835" s="26" t="n">
        <v>150.01</v>
      </c>
      <c r="M835" s="22" t="s">
        <v>2349</v>
      </c>
      <c r="N835" s="22" t="n">
        <f aca="false">MATCH(M835,'Tabela Passaro'!$A$2:$A$1795,0)</f>
        <v>522</v>
      </c>
      <c r="O835" s="22" t="str">
        <f aca="false">INDEX('Tabela Passaro'!$C$2:$C$1795,$N835)</f>
        <v>FORTALEZA</v>
      </c>
      <c r="P835" s="22" t="str">
        <f aca="false">INDEX('Tabela Passaro'!$B$2:$B$1795,$N835)</f>
        <v>CE</v>
      </c>
      <c r="Q835" s="22" t="n">
        <f aca="false">INDEX('Tabela Passaro'!$F$2:$F$1795,$N835)</f>
        <v>8</v>
      </c>
      <c r="R835" s="32" t="n">
        <f aca="false">IF(J835&lt;=10,INDEX('Tabela Passaro'!$G$2:$G$1795,$N835),IF(J835&lt;=30,INDEX('Tabela Passaro'!$H$2:$H$1795,$N835),IF(J835&lt;=50,INDEX('Tabela Passaro'!$I$2:$I$1795,$N835),IF(J835&lt;=70,INDEX('Tabela Passaro'!$J$2:$J$1795,$N835),IF(J835&lt;=100,INDEX('Tabela Passaro'!$K$2:$K$1795,$N835),INDEX('Tabela Passaro'!$K$2:$K$1795,$N835)+(J835-100)*INDEX('Tabela Passaro'!$L$2:$L$1795,$N835))))))</f>
        <v>152.98</v>
      </c>
      <c r="S835" s="32" t="n">
        <f aca="false">K835*INDEX('Tabela Passaro'!$M$2:$M$1795,$N835)</f>
        <v>2.75435</v>
      </c>
      <c r="T835" s="32" t="n">
        <f aca="false">K835*INDEX('Tabela Passaro'!$N$2:$N$1795,$N835)</f>
        <v>1.10174</v>
      </c>
      <c r="U835" s="32" t="n">
        <f aca="false">INDEX('Tabela Passaro'!$O$2:$O$1795,$N835)</f>
        <v>5</v>
      </c>
      <c r="V835" s="32" t="n">
        <f aca="false">ROUNDUP(J835/INDEX('Tabela Passaro'!$Q$2:$Q$1795,$N835),0)*INDEX('Tabela Passaro'!$P$2:$P$1795,$N835)</f>
        <v>5</v>
      </c>
      <c r="W835" s="32" t="n">
        <f aca="false">INDEX('Tabela Passaro'!$R$2:$R$1795,$N835)</f>
        <v>30</v>
      </c>
      <c r="X835" s="32" t="n">
        <f aca="false">ROUNDUP(J835/INDEX('Tabela Passaro'!$T$2:$T$1795,$N835),0)*INDEX('Tabela Passaro'!$S$2:$S$1795,$N835)</f>
        <v>0</v>
      </c>
      <c r="Y835" s="32" t="n">
        <f aca="false">INDEX('Tabela Passaro'!$U$2:$U$1795,$N835)</f>
        <v>0</v>
      </c>
      <c r="Z835" s="32" t="n">
        <f aca="false">INDEX('Tabela Passaro'!$V$2:$V$1795,$N835)</f>
        <v>0</v>
      </c>
      <c r="AA835" s="32" t="n">
        <f aca="false">SUM(R835:Z835)</f>
        <v>196.83609</v>
      </c>
      <c r="AB835" s="33" t="n">
        <f aca="false">INDEX(Premissas!$B$5:$B$13,MATCH(A835,Premissas!$A$5:$A$13,0))</f>
        <v>0.07</v>
      </c>
      <c r="AC835" s="32" t="n">
        <f aca="false">AA835/(1-AB835)-AA835</f>
        <v>14.8156196774194</v>
      </c>
      <c r="AD835" s="32" t="n">
        <f aca="false">ROUND(AA835+AC835,2)</f>
        <v>211.65</v>
      </c>
      <c r="AE835" s="32" t="n">
        <f aca="false">AD835-L835</f>
        <v>61.64</v>
      </c>
      <c r="AF835" s="34" t="n">
        <f aca="false">IF(L835=0,0,AE835/L835)</f>
        <v>0.410905939604027</v>
      </c>
      <c r="AG835" s="22" t="str">
        <f aca="false">IF(AD835&lt;L835,"PASSARO","ATUAL")</f>
        <v>ATUAL</v>
      </c>
      <c r="AH835" s="22" t="str">
        <f aca="false">IF(P835&lt;&gt;A835,"Faixa cadastrada como "&amp;P835&amp;" na tabela; preço aplicado pela UF do CEP","")</f>
        <v/>
      </c>
      <c r="AI835" s="26" t="n">
        <v>245.26</v>
      </c>
      <c r="AJ835" s="22" t="str">
        <f aca="false">INDEX('Tabela Passaro'!$X$2:$X$1795,$N835)</f>
        <v>CAPITAL</v>
      </c>
    </row>
    <row r="836" customFormat="false" ht="15" hidden="false" customHeight="false" outlineLevel="0" collapsed="false">
      <c r="A836" s="22" t="s">
        <v>17</v>
      </c>
      <c r="B836" s="22" t="n">
        <v>1</v>
      </c>
      <c r="C836" s="22" t="s">
        <v>95</v>
      </c>
      <c r="D836" s="22" t="s">
        <v>30</v>
      </c>
      <c r="E836" s="22" t="s">
        <v>20</v>
      </c>
      <c r="F836" s="22" t="n">
        <v>840643</v>
      </c>
      <c r="G836" s="30" t="n">
        <v>46265</v>
      </c>
      <c r="H836" s="22" t="n">
        <v>32845</v>
      </c>
      <c r="I836" s="22" t="s">
        <v>8103</v>
      </c>
      <c r="J836" s="31" t="n">
        <v>26.9</v>
      </c>
      <c r="K836" s="26" t="n">
        <v>465.69</v>
      </c>
      <c r="L836" s="26" t="n">
        <v>114.48</v>
      </c>
      <c r="M836" s="22" t="s">
        <v>2349</v>
      </c>
      <c r="N836" s="22" t="n">
        <f aca="false">MATCH(M836,'Tabela Passaro'!$A$2:$A$1795,0)</f>
        <v>522</v>
      </c>
      <c r="O836" s="22" t="str">
        <f aca="false">INDEX('Tabela Passaro'!$C$2:$C$1795,$N836)</f>
        <v>FORTALEZA</v>
      </c>
      <c r="P836" s="22" t="str">
        <f aca="false">INDEX('Tabela Passaro'!$B$2:$B$1795,$N836)</f>
        <v>CE</v>
      </c>
      <c r="Q836" s="22" t="n">
        <f aca="false">INDEX('Tabela Passaro'!$F$2:$F$1795,$N836)</f>
        <v>8</v>
      </c>
      <c r="R836" s="32" t="n">
        <f aca="false">IF(J836&lt;=10,INDEX('Tabela Passaro'!$G$2:$G$1795,$N836),IF(J836&lt;=30,INDEX('Tabela Passaro'!$H$2:$H$1795,$N836),IF(J836&lt;=50,INDEX('Tabela Passaro'!$I$2:$I$1795,$N836),IF(J836&lt;=70,INDEX('Tabela Passaro'!$J$2:$J$1795,$N836),IF(J836&lt;=100,INDEX('Tabela Passaro'!$K$2:$K$1795,$N836),INDEX('Tabela Passaro'!$K$2:$K$1795,$N836)+(J836-100)*INDEX('Tabela Passaro'!$L$2:$L$1795,$N836))))))</f>
        <v>130.85</v>
      </c>
      <c r="S836" s="32" t="n">
        <f aca="false">K836*INDEX('Tabela Passaro'!$M$2:$M$1795,$N836)</f>
        <v>2.32845</v>
      </c>
      <c r="T836" s="32" t="n">
        <f aca="false">K836*INDEX('Tabela Passaro'!$N$2:$N$1795,$N836)</f>
        <v>0.93138</v>
      </c>
      <c r="U836" s="32" t="n">
        <f aca="false">INDEX('Tabela Passaro'!$O$2:$O$1795,$N836)</f>
        <v>5</v>
      </c>
      <c r="V836" s="32" t="n">
        <f aca="false">ROUNDUP(J836/INDEX('Tabela Passaro'!$Q$2:$Q$1795,$N836),0)*INDEX('Tabela Passaro'!$P$2:$P$1795,$N836)</f>
        <v>5</v>
      </c>
      <c r="W836" s="32" t="n">
        <f aca="false">INDEX('Tabela Passaro'!$R$2:$R$1795,$N836)</f>
        <v>30</v>
      </c>
      <c r="X836" s="32" t="n">
        <f aca="false">ROUNDUP(J836/INDEX('Tabela Passaro'!$T$2:$T$1795,$N836),0)*INDEX('Tabela Passaro'!$S$2:$S$1795,$N836)</f>
        <v>0</v>
      </c>
      <c r="Y836" s="32" t="n">
        <f aca="false">INDEX('Tabela Passaro'!$U$2:$U$1795,$N836)</f>
        <v>0</v>
      </c>
      <c r="Z836" s="32" t="n">
        <f aca="false">INDEX('Tabela Passaro'!$V$2:$V$1795,$N836)</f>
        <v>0</v>
      </c>
      <c r="AA836" s="32" t="n">
        <f aca="false">SUM(R836:Z836)</f>
        <v>174.10983</v>
      </c>
      <c r="AB836" s="33" t="n">
        <f aca="false">INDEX(Premissas!$B$5:$B$13,MATCH(A836,Premissas!$A$5:$A$13,0))</f>
        <v>0.07</v>
      </c>
      <c r="AC836" s="32" t="n">
        <f aca="false">AA836/(1-AB836)-AA836</f>
        <v>13.105040967742</v>
      </c>
      <c r="AD836" s="32" t="n">
        <f aca="false">ROUND(AA836+AC836,2)</f>
        <v>187.21</v>
      </c>
      <c r="AE836" s="32" t="n">
        <f aca="false">AD836-L836</f>
        <v>72.73</v>
      </c>
      <c r="AF836" s="34" t="n">
        <f aca="false">IF(L836=0,0,AE836/L836)</f>
        <v>0.635307477288609</v>
      </c>
      <c r="AG836" s="22" t="str">
        <f aca="false">IF(AD836&lt;L836,"PASSARO","ATUAL")</f>
        <v>ATUAL</v>
      </c>
      <c r="AH836" s="22" t="str">
        <f aca="false">IF(P836&lt;&gt;A836,"Faixa cadastrada como "&amp;P836&amp;" na tabela; preço aplicado pela UF do CEP","")</f>
        <v/>
      </c>
      <c r="AI836" s="26" t="n">
        <v>214.07</v>
      </c>
      <c r="AJ836" s="22" t="str">
        <f aca="false">INDEX('Tabela Passaro'!$X$2:$X$1795,$N836)</f>
        <v>CAPITAL</v>
      </c>
    </row>
    <row r="837" customFormat="false" ht="15" hidden="false" customHeight="false" outlineLevel="0" collapsed="false">
      <c r="A837" s="22" t="s">
        <v>17</v>
      </c>
      <c r="B837" s="22" t="n">
        <v>1</v>
      </c>
      <c r="C837" s="22" t="s">
        <v>95</v>
      </c>
      <c r="D837" s="22" t="s">
        <v>31</v>
      </c>
      <c r="E837" s="22" t="s">
        <v>7326</v>
      </c>
      <c r="F837" s="22" t="n">
        <v>12729642</v>
      </c>
      <c r="G837" s="30" t="n">
        <v>46238</v>
      </c>
      <c r="H837" s="22" t="n">
        <v>619898</v>
      </c>
      <c r="I837" s="22" t="s">
        <v>8104</v>
      </c>
      <c r="J837" s="31" t="n">
        <v>19.4</v>
      </c>
      <c r="K837" s="26" t="n">
        <v>416.33</v>
      </c>
      <c r="L837" s="26" t="n">
        <v>93.96</v>
      </c>
      <c r="M837" s="22" t="s">
        <v>2349</v>
      </c>
      <c r="N837" s="22" t="n">
        <f aca="false">MATCH(M837,'Tabela Passaro'!$A$2:$A$1795,0)</f>
        <v>522</v>
      </c>
      <c r="O837" s="22" t="str">
        <f aca="false">INDEX('Tabela Passaro'!$C$2:$C$1795,$N837)</f>
        <v>FORTALEZA</v>
      </c>
      <c r="P837" s="22" t="str">
        <f aca="false">INDEX('Tabela Passaro'!$B$2:$B$1795,$N837)</f>
        <v>CE</v>
      </c>
      <c r="Q837" s="22" t="n">
        <f aca="false">INDEX('Tabela Passaro'!$F$2:$F$1795,$N837)</f>
        <v>8</v>
      </c>
      <c r="R837" s="32" t="n">
        <f aca="false">IF(J837&lt;=10,INDEX('Tabela Passaro'!$G$2:$G$1795,$N837),IF(J837&lt;=30,INDEX('Tabela Passaro'!$H$2:$H$1795,$N837),IF(J837&lt;=50,INDEX('Tabela Passaro'!$I$2:$I$1795,$N837),IF(J837&lt;=70,INDEX('Tabela Passaro'!$J$2:$J$1795,$N837),IF(J837&lt;=100,INDEX('Tabela Passaro'!$K$2:$K$1795,$N837),INDEX('Tabela Passaro'!$K$2:$K$1795,$N837)+(J837-100)*INDEX('Tabela Passaro'!$L$2:$L$1795,$N837))))))</f>
        <v>130.85</v>
      </c>
      <c r="S837" s="32" t="n">
        <f aca="false">K837*INDEX('Tabela Passaro'!$M$2:$M$1795,$N837)</f>
        <v>2.08165</v>
      </c>
      <c r="T837" s="32" t="n">
        <f aca="false">K837*INDEX('Tabela Passaro'!$N$2:$N$1795,$N837)</f>
        <v>0.83266</v>
      </c>
      <c r="U837" s="32" t="n">
        <f aca="false">INDEX('Tabela Passaro'!$O$2:$O$1795,$N837)</f>
        <v>5</v>
      </c>
      <c r="V837" s="32" t="n">
        <f aca="false">ROUNDUP(J837/INDEX('Tabela Passaro'!$Q$2:$Q$1795,$N837),0)*INDEX('Tabela Passaro'!$P$2:$P$1795,$N837)</f>
        <v>5</v>
      </c>
      <c r="W837" s="32" t="n">
        <f aca="false">INDEX('Tabela Passaro'!$R$2:$R$1795,$N837)</f>
        <v>30</v>
      </c>
      <c r="X837" s="32" t="n">
        <f aca="false">ROUNDUP(J837/INDEX('Tabela Passaro'!$T$2:$T$1795,$N837),0)*INDEX('Tabela Passaro'!$S$2:$S$1795,$N837)</f>
        <v>0</v>
      </c>
      <c r="Y837" s="32" t="n">
        <f aca="false">INDEX('Tabela Passaro'!$U$2:$U$1795,$N837)</f>
        <v>0</v>
      </c>
      <c r="Z837" s="32" t="n">
        <f aca="false">INDEX('Tabela Passaro'!$V$2:$V$1795,$N837)</f>
        <v>0</v>
      </c>
      <c r="AA837" s="32" t="n">
        <f aca="false">SUM(R837:Z837)</f>
        <v>173.76431</v>
      </c>
      <c r="AB837" s="33" t="n">
        <f aca="false">INDEX(Premissas!$B$5:$B$13,MATCH(A837,Premissas!$A$5:$A$13,0))</f>
        <v>0.07</v>
      </c>
      <c r="AC837" s="32" t="n">
        <f aca="false">AA837/(1-AB837)-AA837</f>
        <v>13.0790340860215</v>
      </c>
      <c r="AD837" s="32" t="n">
        <f aca="false">ROUND(AA837+AC837,2)</f>
        <v>186.84</v>
      </c>
      <c r="AE837" s="32" t="n">
        <f aca="false">AD837-L837</f>
        <v>92.88</v>
      </c>
      <c r="AF837" s="34" t="n">
        <f aca="false">IF(L837=0,0,AE837/L837)</f>
        <v>0.988505747126437</v>
      </c>
      <c r="AG837" s="22" t="str">
        <f aca="false">IF(AD837&lt;L837,"PASSARO","ATUAL")</f>
        <v>ATUAL</v>
      </c>
      <c r="AH837" s="22" t="str">
        <f aca="false">IF(P837&lt;&gt;A837,"Faixa cadastrada como "&amp;P837&amp;" na tabela; preço aplicado pela UF do CEP","")</f>
        <v/>
      </c>
      <c r="AI837" s="26" t="n">
        <v>210.2</v>
      </c>
      <c r="AJ837" s="22" t="str">
        <f aca="false">INDEX('Tabela Passaro'!$X$2:$X$1795,$N837)</f>
        <v>CAPITAL</v>
      </c>
    </row>
    <row r="838" customFormat="false" ht="15" hidden="false" customHeight="false" outlineLevel="0" collapsed="false">
      <c r="A838" s="22" t="s">
        <v>17</v>
      </c>
      <c r="B838" s="22" t="n">
        <v>1</v>
      </c>
      <c r="C838" s="22" t="s">
        <v>95</v>
      </c>
      <c r="D838" s="22" t="s">
        <v>31</v>
      </c>
      <c r="E838" s="22" t="s">
        <v>7326</v>
      </c>
      <c r="F838" s="22" t="n">
        <v>12730403</v>
      </c>
      <c r="G838" s="30" t="n">
        <v>46238</v>
      </c>
      <c r="H838" s="22" t="n">
        <v>620314</v>
      </c>
      <c r="I838" s="22" t="s">
        <v>8105</v>
      </c>
      <c r="J838" s="31" t="n">
        <v>19.4</v>
      </c>
      <c r="K838" s="26" t="n">
        <v>489.98</v>
      </c>
      <c r="L838" s="26" t="n">
        <v>89.35</v>
      </c>
      <c r="M838" s="22" t="s">
        <v>2349</v>
      </c>
      <c r="N838" s="22" t="n">
        <f aca="false">MATCH(M838,'Tabela Passaro'!$A$2:$A$1795,0)</f>
        <v>522</v>
      </c>
      <c r="O838" s="22" t="str">
        <f aca="false">INDEX('Tabela Passaro'!$C$2:$C$1795,$N838)</f>
        <v>FORTALEZA</v>
      </c>
      <c r="P838" s="22" t="str">
        <f aca="false">INDEX('Tabela Passaro'!$B$2:$B$1795,$N838)</f>
        <v>CE</v>
      </c>
      <c r="Q838" s="22" t="n">
        <f aca="false">INDEX('Tabela Passaro'!$F$2:$F$1795,$N838)</f>
        <v>8</v>
      </c>
      <c r="R838" s="32" t="n">
        <f aca="false">IF(J838&lt;=10,INDEX('Tabela Passaro'!$G$2:$G$1795,$N838),IF(J838&lt;=30,INDEX('Tabela Passaro'!$H$2:$H$1795,$N838),IF(J838&lt;=50,INDEX('Tabela Passaro'!$I$2:$I$1795,$N838),IF(J838&lt;=70,INDEX('Tabela Passaro'!$J$2:$J$1795,$N838),IF(J838&lt;=100,INDEX('Tabela Passaro'!$K$2:$K$1795,$N838),INDEX('Tabela Passaro'!$K$2:$K$1795,$N838)+(J838-100)*INDEX('Tabela Passaro'!$L$2:$L$1795,$N838))))))</f>
        <v>130.85</v>
      </c>
      <c r="S838" s="32" t="n">
        <f aca="false">K838*INDEX('Tabela Passaro'!$M$2:$M$1795,$N838)</f>
        <v>2.4499</v>
      </c>
      <c r="T838" s="32" t="n">
        <f aca="false">K838*INDEX('Tabela Passaro'!$N$2:$N$1795,$N838)</f>
        <v>0.97996</v>
      </c>
      <c r="U838" s="32" t="n">
        <f aca="false">INDEX('Tabela Passaro'!$O$2:$O$1795,$N838)</f>
        <v>5</v>
      </c>
      <c r="V838" s="32" t="n">
        <f aca="false">ROUNDUP(J838/INDEX('Tabela Passaro'!$Q$2:$Q$1795,$N838),0)*INDEX('Tabela Passaro'!$P$2:$P$1795,$N838)</f>
        <v>5</v>
      </c>
      <c r="W838" s="32" t="n">
        <f aca="false">INDEX('Tabela Passaro'!$R$2:$R$1795,$N838)</f>
        <v>30</v>
      </c>
      <c r="X838" s="32" t="n">
        <f aca="false">ROUNDUP(J838/INDEX('Tabela Passaro'!$T$2:$T$1795,$N838),0)*INDEX('Tabela Passaro'!$S$2:$S$1795,$N838)</f>
        <v>0</v>
      </c>
      <c r="Y838" s="32" t="n">
        <f aca="false">INDEX('Tabela Passaro'!$U$2:$U$1795,$N838)</f>
        <v>0</v>
      </c>
      <c r="Z838" s="32" t="n">
        <f aca="false">INDEX('Tabela Passaro'!$V$2:$V$1795,$N838)</f>
        <v>0</v>
      </c>
      <c r="AA838" s="32" t="n">
        <f aca="false">SUM(R838:Z838)</f>
        <v>174.27986</v>
      </c>
      <c r="AB838" s="33" t="n">
        <f aca="false">INDEX(Premissas!$B$5:$B$13,MATCH(A838,Premissas!$A$5:$A$13,0))</f>
        <v>0.07</v>
      </c>
      <c r="AC838" s="32" t="n">
        <f aca="false">AA838/(1-AB838)-AA838</f>
        <v>13.1178389247312</v>
      </c>
      <c r="AD838" s="32" t="n">
        <f aca="false">ROUND(AA838+AC838,2)</f>
        <v>187.4</v>
      </c>
      <c r="AE838" s="32" t="n">
        <f aca="false">AD838-L838</f>
        <v>98.05</v>
      </c>
      <c r="AF838" s="34" t="n">
        <f aca="false">IF(L838=0,0,AE838/L838)</f>
        <v>1.09736989367655</v>
      </c>
      <c r="AG838" s="22" t="str">
        <f aca="false">IF(AD838&lt;L838,"PASSARO","ATUAL")</f>
        <v>ATUAL</v>
      </c>
      <c r="AH838" s="22" t="str">
        <f aca="false">IF(P838&lt;&gt;A838,"Faixa cadastrada como "&amp;P838&amp;" na tabela; preço aplicado pela UF do CEP","")</f>
        <v/>
      </c>
      <c r="AI838" s="26" t="n">
        <v>210.91</v>
      </c>
      <c r="AJ838" s="22" t="str">
        <f aca="false">INDEX('Tabela Passaro'!$X$2:$X$1795,$N838)</f>
        <v>CAPITAL</v>
      </c>
    </row>
    <row r="839" customFormat="false" ht="15" hidden="false" customHeight="false" outlineLevel="0" collapsed="false">
      <c r="A839" s="22" t="s">
        <v>17</v>
      </c>
      <c r="B839" s="22" t="n">
        <v>1</v>
      </c>
      <c r="C839" s="22" t="s">
        <v>95</v>
      </c>
      <c r="D839" s="22" t="s">
        <v>31</v>
      </c>
      <c r="E839" s="22" t="s">
        <v>7326</v>
      </c>
      <c r="F839" s="22" t="n">
        <v>12730881</v>
      </c>
      <c r="G839" s="30" t="n">
        <v>46238</v>
      </c>
      <c r="H839" s="22" t="n">
        <v>620315</v>
      </c>
      <c r="I839" s="22" t="s">
        <v>8106</v>
      </c>
      <c r="J839" s="31" t="n">
        <v>19.05</v>
      </c>
      <c r="K839" s="26" t="n">
        <v>423.05</v>
      </c>
      <c r="L839" s="26" t="n">
        <v>81.44</v>
      </c>
      <c r="M839" s="22" t="s">
        <v>2349</v>
      </c>
      <c r="N839" s="22" t="n">
        <f aca="false">MATCH(M839,'Tabela Passaro'!$A$2:$A$1795,0)</f>
        <v>522</v>
      </c>
      <c r="O839" s="22" t="str">
        <f aca="false">INDEX('Tabela Passaro'!$C$2:$C$1795,$N839)</f>
        <v>FORTALEZA</v>
      </c>
      <c r="P839" s="22" t="str">
        <f aca="false">INDEX('Tabela Passaro'!$B$2:$B$1795,$N839)</f>
        <v>CE</v>
      </c>
      <c r="Q839" s="22" t="n">
        <f aca="false">INDEX('Tabela Passaro'!$F$2:$F$1795,$N839)</f>
        <v>8</v>
      </c>
      <c r="R839" s="32" t="n">
        <f aca="false">IF(J839&lt;=10,INDEX('Tabela Passaro'!$G$2:$G$1795,$N839),IF(J839&lt;=30,INDEX('Tabela Passaro'!$H$2:$H$1795,$N839),IF(J839&lt;=50,INDEX('Tabela Passaro'!$I$2:$I$1795,$N839),IF(J839&lt;=70,INDEX('Tabela Passaro'!$J$2:$J$1795,$N839),IF(J839&lt;=100,INDEX('Tabela Passaro'!$K$2:$K$1795,$N839),INDEX('Tabela Passaro'!$K$2:$K$1795,$N839)+(J839-100)*INDEX('Tabela Passaro'!$L$2:$L$1795,$N839))))))</f>
        <v>130.85</v>
      </c>
      <c r="S839" s="32" t="n">
        <f aca="false">K839*INDEX('Tabela Passaro'!$M$2:$M$1795,$N839)</f>
        <v>2.11525</v>
      </c>
      <c r="T839" s="32" t="n">
        <f aca="false">K839*INDEX('Tabela Passaro'!$N$2:$N$1795,$N839)</f>
        <v>0.8461</v>
      </c>
      <c r="U839" s="32" t="n">
        <f aca="false">INDEX('Tabela Passaro'!$O$2:$O$1795,$N839)</f>
        <v>5</v>
      </c>
      <c r="V839" s="32" t="n">
        <f aca="false">ROUNDUP(J839/INDEX('Tabela Passaro'!$Q$2:$Q$1795,$N839),0)*INDEX('Tabela Passaro'!$P$2:$P$1795,$N839)</f>
        <v>5</v>
      </c>
      <c r="W839" s="32" t="n">
        <f aca="false">INDEX('Tabela Passaro'!$R$2:$R$1795,$N839)</f>
        <v>30</v>
      </c>
      <c r="X839" s="32" t="n">
        <f aca="false">ROUNDUP(J839/INDEX('Tabela Passaro'!$T$2:$T$1795,$N839),0)*INDEX('Tabela Passaro'!$S$2:$S$1795,$N839)</f>
        <v>0</v>
      </c>
      <c r="Y839" s="32" t="n">
        <f aca="false">INDEX('Tabela Passaro'!$U$2:$U$1795,$N839)</f>
        <v>0</v>
      </c>
      <c r="Z839" s="32" t="n">
        <f aca="false">INDEX('Tabela Passaro'!$V$2:$V$1795,$N839)</f>
        <v>0</v>
      </c>
      <c r="AA839" s="32" t="n">
        <f aca="false">SUM(R839:Z839)</f>
        <v>173.81135</v>
      </c>
      <c r="AB839" s="33" t="n">
        <f aca="false">INDEX(Premissas!$B$5:$B$13,MATCH(A839,Premissas!$A$5:$A$13,0))</f>
        <v>0.07</v>
      </c>
      <c r="AC839" s="32" t="n">
        <f aca="false">AA839/(1-AB839)-AA839</f>
        <v>13.0825747311828</v>
      </c>
      <c r="AD839" s="32" t="n">
        <f aca="false">ROUND(AA839+AC839,2)</f>
        <v>186.89</v>
      </c>
      <c r="AE839" s="32" t="n">
        <f aca="false">AD839-L839</f>
        <v>105.45</v>
      </c>
      <c r="AF839" s="34" t="n">
        <f aca="false">IF(L839=0,0,AE839/L839)</f>
        <v>1.29481827111984</v>
      </c>
      <c r="AG839" s="22" t="str">
        <f aca="false">IF(AD839&lt;L839,"PASSARO","ATUAL")</f>
        <v>ATUAL</v>
      </c>
      <c r="AH839" s="22" t="str">
        <f aca="false">IF(P839&lt;&gt;A839,"Faixa cadastrada como "&amp;P839&amp;" na tabela; preço aplicado pela UF do CEP","")</f>
        <v/>
      </c>
      <c r="AI839" s="26" t="n">
        <v>210.27</v>
      </c>
      <c r="AJ839" s="22" t="str">
        <f aca="false">INDEX('Tabela Passaro'!$X$2:$X$1795,$N839)</f>
        <v>CAPITAL</v>
      </c>
    </row>
    <row r="840" customFormat="false" ht="15" hidden="false" customHeight="false" outlineLevel="0" collapsed="false">
      <c r="A840" s="22" t="s">
        <v>17</v>
      </c>
      <c r="B840" s="22" t="n">
        <v>1</v>
      </c>
      <c r="C840" s="22" t="s">
        <v>95</v>
      </c>
      <c r="D840" s="22" t="s">
        <v>31</v>
      </c>
      <c r="E840" s="22" t="s">
        <v>7326</v>
      </c>
      <c r="F840" s="22" t="n">
        <v>12736679</v>
      </c>
      <c r="G840" s="30" t="n">
        <v>46239</v>
      </c>
      <c r="H840" s="22" t="n">
        <v>620787</v>
      </c>
      <c r="I840" s="22" t="s">
        <v>8107</v>
      </c>
      <c r="J840" s="31" t="n">
        <v>19.4</v>
      </c>
      <c r="K840" s="26" t="n">
        <v>451.98</v>
      </c>
      <c r="L840" s="26" t="n">
        <v>102.22</v>
      </c>
      <c r="M840" s="22" t="s">
        <v>2349</v>
      </c>
      <c r="N840" s="22" t="n">
        <f aca="false">MATCH(M840,'Tabela Passaro'!$A$2:$A$1795,0)</f>
        <v>522</v>
      </c>
      <c r="O840" s="22" t="str">
        <f aca="false">INDEX('Tabela Passaro'!$C$2:$C$1795,$N840)</f>
        <v>FORTALEZA</v>
      </c>
      <c r="P840" s="22" t="str">
        <f aca="false">INDEX('Tabela Passaro'!$B$2:$B$1795,$N840)</f>
        <v>CE</v>
      </c>
      <c r="Q840" s="22" t="n">
        <f aca="false">INDEX('Tabela Passaro'!$F$2:$F$1795,$N840)</f>
        <v>8</v>
      </c>
      <c r="R840" s="32" t="n">
        <f aca="false">IF(J840&lt;=10,INDEX('Tabela Passaro'!$G$2:$G$1795,$N840),IF(J840&lt;=30,INDEX('Tabela Passaro'!$H$2:$H$1795,$N840),IF(J840&lt;=50,INDEX('Tabela Passaro'!$I$2:$I$1795,$N840),IF(J840&lt;=70,INDEX('Tabela Passaro'!$J$2:$J$1795,$N840),IF(J840&lt;=100,INDEX('Tabela Passaro'!$K$2:$K$1795,$N840),INDEX('Tabela Passaro'!$K$2:$K$1795,$N840)+(J840-100)*INDEX('Tabela Passaro'!$L$2:$L$1795,$N840))))))</f>
        <v>130.85</v>
      </c>
      <c r="S840" s="32" t="n">
        <f aca="false">K840*INDEX('Tabela Passaro'!$M$2:$M$1795,$N840)</f>
        <v>2.2599</v>
      </c>
      <c r="T840" s="32" t="n">
        <f aca="false">K840*INDEX('Tabela Passaro'!$N$2:$N$1795,$N840)</f>
        <v>0.90396</v>
      </c>
      <c r="U840" s="32" t="n">
        <f aca="false">INDEX('Tabela Passaro'!$O$2:$O$1795,$N840)</f>
        <v>5</v>
      </c>
      <c r="V840" s="32" t="n">
        <f aca="false">ROUNDUP(J840/INDEX('Tabela Passaro'!$Q$2:$Q$1795,$N840),0)*INDEX('Tabela Passaro'!$P$2:$P$1795,$N840)</f>
        <v>5</v>
      </c>
      <c r="W840" s="32" t="n">
        <f aca="false">INDEX('Tabela Passaro'!$R$2:$R$1795,$N840)</f>
        <v>30</v>
      </c>
      <c r="X840" s="32" t="n">
        <f aca="false">ROUNDUP(J840/INDEX('Tabela Passaro'!$T$2:$T$1795,$N840),0)*INDEX('Tabela Passaro'!$S$2:$S$1795,$N840)</f>
        <v>0</v>
      </c>
      <c r="Y840" s="32" t="n">
        <f aca="false">INDEX('Tabela Passaro'!$U$2:$U$1795,$N840)</f>
        <v>0</v>
      </c>
      <c r="Z840" s="32" t="n">
        <f aca="false">INDEX('Tabela Passaro'!$V$2:$V$1795,$N840)</f>
        <v>0</v>
      </c>
      <c r="AA840" s="32" t="n">
        <f aca="false">SUM(R840:Z840)</f>
        <v>174.01386</v>
      </c>
      <c r="AB840" s="33" t="n">
        <f aca="false">INDEX(Premissas!$B$5:$B$13,MATCH(A840,Premissas!$A$5:$A$13,0))</f>
        <v>0.07</v>
      </c>
      <c r="AC840" s="32" t="n">
        <f aca="false">AA840/(1-AB840)-AA840</f>
        <v>13.0978174193548</v>
      </c>
      <c r="AD840" s="32" t="n">
        <f aca="false">ROUND(AA840+AC840,2)</f>
        <v>187.11</v>
      </c>
      <c r="AE840" s="32" t="n">
        <f aca="false">AD840-L840</f>
        <v>84.89</v>
      </c>
      <c r="AF840" s="34" t="n">
        <f aca="false">IF(L840=0,0,AE840/L840)</f>
        <v>0.830463705732733</v>
      </c>
      <c r="AG840" s="22" t="str">
        <f aca="false">IF(AD840&lt;L840,"PASSARO","ATUAL")</f>
        <v>ATUAL</v>
      </c>
      <c r="AH840" s="22" t="str">
        <f aca="false">IF(P840&lt;&gt;A840,"Faixa cadastrada como "&amp;P840&amp;" na tabela; preço aplicado pela UF do CEP","")</f>
        <v/>
      </c>
      <c r="AI840" s="26" t="n">
        <v>210.55</v>
      </c>
      <c r="AJ840" s="22" t="str">
        <f aca="false">INDEX('Tabela Passaro'!$X$2:$X$1795,$N840)</f>
        <v>CAPITAL</v>
      </c>
    </row>
    <row r="841" customFormat="false" ht="15" hidden="false" customHeight="false" outlineLevel="0" collapsed="false">
      <c r="A841" s="22" t="s">
        <v>17</v>
      </c>
      <c r="B841" s="22" t="n">
        <v>1</v>
      </c>
      <c r="C841" s="22" t="s">
        <v>95</v>
      </c>
      <c r="D841" s="22" t="s">
        <v>31</v>
      </c>
      <c r="E841" s="22" t="s">
        <v>7326</v>
      </c>
      <c r="F841" s="22" t="n">
        <v>12749613</v>
      </c>
      <c r="G841" s="30" t="n">
        <v>46241</v>
      </c>
      <c r="H841" s="22" t="n">
        <v>621451</v>
      </c>
      <c r="I841" s="22" t="s">
        <v>8108</v>
      </c>
      <c r="J841" s="31" t="n">
        <v>22.3</v>
      </c>
      <c r="K841" s="26" t="n">
        <v>654.97</v>
      </c>
      <c r="L841" s="26" t="n">
        <v>90.29</v>
      </c>
      <c r="M841" s="22" t="s">
        <v>2349</v>
      </c>
      <c r="N841" s="22" t="n">
        <f aca="false">MATCH(M841,'Tabela Passaro'!$A$2:$A$1795,0)</f>
        <v>522</v>
      </c>
      <c r="O841" s="22" t="str">
        <f aca="false">INDEX('Tabela Passaro'!$C$2:$C$1795,$N841)</f>
        <v>FORTALEZA</v>
      </c>
      <c r="P841" s="22" t="str">
        <f aca="false">INDEX('Tabela Passaro'!$B$2:$B$1795,$N841)</f>
        <v>CE</v>
      </c>
      <c r="Q841" s="22" t="n">
        <f aca="false">INDEX('Tabela Passaro'!$F$2:$F$1795,$N841)</f>
        <v>8</v>
      </c>
      <c r="R841" s="32" t="n">
        <f aca="false">IF(J841&lt;=10,INDEX('Tabela Passaro'!$G$2:$G$1795,$N841),IF(J841&lt;=30,INDEX('Tabela Passaro'!$H$2:$H$1795,$N841),IF(J841&lt;=50,INDEX('Tabela Passaro'!$I$2:$I$1795,$N841),IF(J841&lt;=70,INDEX('Tabela Passaro'!$J$2:$J$1795,$N841),IF(J841&lt;=100,INDEX('Tabela Passaro'!$K$2:$K$1795,$N841),INDEX('Tabela Passaro'!$K$2:$K$1795,$N841)+(J841-100)*INDEX('Tabela Passaro'!$L$2:$L$1795,$N841))))))</f>
        <v>130.85</v>
      </c>
      <c r="S841" s="32" t="n">
        <f aca="false">K841*INDEX('Tabela Passaro'!$M$2:$M$1795,$N841)</f>
        <v>3.27485</v>
      </c>
      <c r="T841" s="32" t="n">
        <f aca="false">K841*INDEX('Tabela Passaro'!$N$2:$N$1795,$N841)</f>
        <v>1.30994</v>
      </c>
      <c r="U841" s="32" t="n">
        <f aca="false">INDEX('Tabela Passaro'!$O$2:$O$1795,$N841)</f>
        <v>5</v>
      </c>
      <c r="V841" s="32" t="n">
        <f aca="false">ROUNDUP(J841/INDEX('Tabela Passaro'!$Q$2:$Q$1795,$N841),0)*INDEX('Tabela Passaro'!$P$2:$P$1795,$N841)</f>
        <v>5</v>
      </c>
      <c r="W841" s="32" t="n">
        <f aca="false">INDEX('Tabela Passaro'!$R$2:$R$1795,$N841)</f>
        <v>30</v>
      </c>
      <c r="X841" s="32" t="n">
        <f aca="false">ROUNDUP(J841/INDEX('Tabela Passaro'!$T$2:$T$1795,$N841),0)*INDEX('Tabela Passaro'!$S$2:$S$1795,$N841)</f>
        <v>0</v>
      </c>
      <c r="Y841" s="32" t="n">
        <f aca="false">INDEX('Tabela Passaro'!$U$2:$U$1795,$N841)</f>
        <v>0</v>
      </c>
      <c r="Z841" s="32" t="n">
        <f aca="false">INDEX('Tabela Passaro'!$V$2:$V$1795,$N841)</f>
        <v>0</v>
      </c>
      <c r="AA841" s="32" t="n">
        <f aca="false">SUM(R841:Z841)</f>
        <v>175.43479</v>
      </c>
      <c r="AB841" s="33" t="n">
        <f aca="false">INDEX(Premissas!$B$5:$B$13,MATCH(A841,Premissas!$A$5:$A$13,0))</f>
        <v>0.07</v>
      </c>
      <c r="AC841" s="32" t="n">
        <f aca="false">AA841/(1-AB841)-AA841</f>
        <v>13.204769139785</v>
      </c>
      <c r="AD841" s="32" t="n">
        <f aca="false">ROUND(AA841+AC841,2)</f>
        <v>188.64</v>
      </c>
      <c r="AE841" s="32" t="n">
        <f aca="false">AD841-L841</f>
        <v>98.35</v>
      </c>
      <c r="AF841" s="34" t="n">
        <f aca="false">IF(L841=0,0,AE841/L841)</f>
        <v>1.08926791449773</v>
      </c>
      <c r="AG841" s="22" t="str">
        <f aca="false">IF(AD841&lt;L841,"PASSARO","ATUAL")</f>
        <v>ATUAL</v>
      </c>
      <c r="AH841" s="22" t="str">
        <f aca="false">IF(P841&lt;&gt;A841,"Faixa cadastrada como "&amp;P841&amp;" na tabela; preço aplicado pela UF do CEP","")</f>
        <v/>
      </c>
      <c r="AI841" s="26" t="n">
        <v>213.96</v>
      </c>
      <c r="AJ841" s="22" t="str">
        <f aca="false">INDEX('Tabela Passaro'!$X$2:$X$1795,$N841)</f>
        <v>CAPITAL</v>
      </c>
    </row>
    <row r="842" customFormat="false" ht="15" hidden="false" customHeight="false" outlineLevel="0" collapsed="false">
      <c r="A842" s="22" t="s">
        <v>17</v>
      </c>
      <c r="B842" s="22" t="n">
        <v>1</v>
      </c>
      <c r="C842" s="22" t="s">
        <v>95</v>
      </c>
      <c r="D842" s="22" t="s">
        <v>31</v>
      </c>
      <c r="E842" s="22" t="s">
        <v>7326</v>
      </c>
      <c r="F842" s="22" t="n">
        <v>12755981</v>
      </c>
      <c r="G842" s="30" t="n">
        <v>46244</v>
      </c>
      <c r="H842" s="22" t="n">
        <v>621870</v>
      </c>
      <c r="I842" s="22" t="s">
        <v>8109</v>
      </c>
      <c r="J842" s="31" t="n">
        <v>17.2</v>
      </c>
      <c r="K842" s="26" t="n">
        <v>343.99</v>
      </c>
      <c r="L842" s="26" t="n">
        <v>81.34</v>
      </c>
      <c r="M842" s="22" t="s">
        <v>2349</v>
      </c>
      <c r="N842" s="22" t="n">
        <f aca="false">MATCH(M842,'Tabela Passaro'!$A$2:$A$1795,0)</f>
        <v>522</v>
      </c>
      <c r="O842" s="22" t="str">
        <f aca="false">INDEX('Tabela Passaro'!$C$2:$C$1795,$N842)</f>
        <v>FORTALEZA</v>
      </c>
      <c r="P842" s="22" t="str">
        <f aca="false">INDEX('Tabela Passaro'!$B$2:$B$1795,$N842)</f>
        <v>CE</v>
      </c>
      <c r="Q842" s="22" t="n">
        <f aca="false">INDEX('Tabela Passaro'!$F$2:$F$1795,$N842)</f>
        <v>8</v>
      </c>
      <c r="R842" s="32" t="n">
        <f aca="false">IF(J842&lt;=10,INDEX('Tabela Passaro'!$G$2:$G$1795,$N842),IF(J842&lt;=30,INDEX('Tabela Passaro'!$H$2:$H$1795,$N842),IF(J842&lt;=50,INDEX('Tabela Passaro'!$I$2:$I$1795,$N842),IF(J842&lt;=70,INDEX('Tabela Passaro'!$J$2:$J$1795,$N842),IF(J842&lt;=100,INDEX('Tabela Passaro'!$K$2:$K$1795,$N842),INDEX('Tabela Passaro'!$K$2:$K$1795,$N842)+(J842-100)*INDEX('Tabela Passaro'!$L$2:$L$1795,$N842))))))</f>
        <v>130.85</v>
      </c>
      <c r="S842" s="32" t="n">
        <f aca="false">K842*INDEX('Tabela Passaro'!$M$2:$M$1795,$N842)</f>
        <v>1.71995</v>
      </c>
      <c r="T842" s="32" t="n">
        <f aca="false">K842*INDEX('Tabela Passaro'!$N$2:$N$1795,$N842)</f>
        <v>0.68798</v>
      </c>
      <c r="U842" s="32" t="n">
        <f aca="false">INDEX('Tabela Passaro'!$O$2:$O$1795,$N842)</f>
        <v>5</v>
      </c>
      <c r="V842" s="32" t="n">
        <f aca="false">ROUNDUP(J842/INDEX('Tabela Passaro'!$Q$2:$Q$1795,$N842),0)*INDEX('Tabela Passaro'!$P$2:$P$1795,$N842)</f>
        <v>5</v>
      </c>
      <c r="W842" s="32" t="n">
        <f aca="false">INDEX('Tabela Passaro'!$R$2:$R$1795,$N842)</f>
        <v>30</v>
      </c>
      <c r="X842" s="32" t="n">
        <f aca="false">ROUNDUP(J842/INDEX('Tabela Passaro'!$T$2:$T$1795,$N842),0)*INDEX('Tabela Passaro'!$S$2:$S$1795,$N842)</f>
        <v>0</v>
      </c>
      <c r="Y842" s="32" t="n">
        <f aca="false">INDEX('Tabela Passaro'!$U$2:$U$1795,$N842)</f>
        <v>0</v>
      </c>
      <c r="Z842" s="32" t="n">
        <f aca="false">INDEX('Tabela Passaro'!$V$2:$V$1795,$N842)</f>
        <v>0</v>
      </c>
      <c r="AA842" s="32" t="n">
        <f aca="false">SUM(R842:Z842)</f>
        <v>173.25793</v>
      </c>
      <c r="AB842" s="33" t="n">
        <f aca="false">INDEX(Premissas!$B$5:$B$13,MATCH(A842,Premissas!$A$5:$A$13,0))</f>
        <v>0.07</v>
      </c>
      <c r="AC842" s="32" t="n">
        <f aca="false">AA842/(1-AB842)-AA842</f>
        <v>13.0409194623656</v>
      </c>
      <c r="AD842" s="32" t="n">
        <f aca="false">ROUND(AA842+AC842,2)</f>
        <v>186.3</v>
      </c>
      <c r="AE842" s="32" t="n">
        <f aca="false">AD842-L842</f>
        <v>104.96</v>
      </c>
      <c r="AF842" s="34" t="n">
        <f aca="false">IF(L842=0,0,AE842/L842)</f>
        <v>1.29038603393165</v>
      </c>
      <c r="AG842" s="22" t="str">
        <f aca="false">IF(AD842&lt;L842,"PASSARO","ATUAL")</f>
        <v>ATUAL</v>
      </c>
      <c r="AH842" s="22" t="str">
        <f aca="false">IF(P842&lt;&gt;A842,"Faixa cadastrada como "&amp;P842&amp;" na tabela; preço aplicado pela UF do CEP","")</f>
        <v/>
      </c>
      <c r="AI842" s="26" t="n">
        <v>208.53</v>
      </c>
      <c r="AJ842" s="22" t="str">
        <f aca="false">INDEX('Tabela Passaro'!$X$2:$X$1795,$N842)</f>
        <v>CAPITAL</v>
      </c>
    </row>
    <row r="843" customFormat="false" ht="15" hidden="false" customHeight="false" outlineLevel="0" collapsed="false">
      <c r="A843" s="22" t="s">
        <v>17</v>
      </c>
      <c r="B843" s="22" t="n">
        <v>1</v>
      </c>
      <c r="C843" s="22" t="s">
        <v>95</v>
      </c>
      <c r="D843" s="22" t="s">
        <v>31</v>
      </c>
      <c r="E843" s="22" t="s">
        <v>7326</v>
      </c>
      <c r="F843" s="22" t="n">
        <v>12756103</v>
      </c>
      <c r="G843" s="30" t="n">
        <v>46244</v>
      </c>
      <c r="H843" s="22" t="n">
        <v>622025</v>
      </c>
      <c r="I843" s="22" t="s">
        <v>8110</v>
      </c>
      <c r="J843" s="31" t="n">
        <v>18</v>
      </c>
      <c r="K843" s="26" t="n">
        <v>442.48</v>
      </c>
      <c r="L843" s="26" t="n">
        <v>89.49</v>
      </c>
      <c r="M843" s="22" t="s">
        <v>2349</v>
      </c>
      <c r="N843" s="22" t="n">
        <f aca="false">MATCH(M843,'Tabela Passaro'!$A$2:$A$1795,0)</f>
        <v>522</v>
      </c>
      <c r="O843" s="22" t="str">
        <f aca="false">INDEX('Tabela Passaro'!$C$2:$C$1795,$N843)</f>
        <v>FORTALEZA</v>
      </c>
      <c r="P843" s="22" t="str">
        <f aca="false">INDEX('Tabela Passaro'!$B$2:$B$1795,$N843)</f>
        <v>CE</v>
      </c>
      <c r="Q843" s="22" t="n">
        <f aca="false">INDEX('Tabela Passaro'!$F$2:$F$1795,$N843)</f>
        <v>8</v>
      </c>
      <c r="R843" s="32" t="n">
        <f aca="false">IF(J843&lt;=10,INDEX('Tabela Passaro'!$G$2:$G$1795,$N843),IF(J843&lt;=30,INDEX('Tabela Passaro'!$H$2:$H$1795,$N843),IF(J843&lt;=50,INDEX('Tabela Passaro'!$I$2:$I$1795,$N843),IF(J843&lt;=70,INDEX('Tabela Passaro'!$J$2:$J$1795,$N843),IF(J843&lt;=100,INDEX('Tabela Passaro'!$K$2:$K$1795,$N843),INDEX('Tabela Passaro'!$K$2:$K$1795,$N843)+(J843-100)*INDEX('Tabela Passaro'!$L$2:$L$1795,$N843))))))</f>
        <v>130.85</v>
      </c>
      <c r="S843" s="32" t="n">
        <f aca="false">K843*INDEX('Tabela Passaro'!$M$2:$M$1795,$N843)</f>
        <v>2.2124</v>
      </c>
      <c r="T843" s="32" t="n">
        <f aca="false">K843*INDEX('Tabela Passaro'!$N$2:$N$1795,$N843)</f>
        <v>0.88496</v>
      </c>
      <c r="U843" s="32" t="n">
        <f aca="false">INDEX('Tabela Passaro'!$O$2:$O$1795,$N843)</f>
        <v>5</v>
      </c>
      <c r="V843" s="32" t="n">
        <f aca="false">ROUNDUP(J843/INDEX('Tabela Passaro'!$Q$2:$Q$1795,$N843),0)*INDEX('Tabela Passaro'!$P$2:$P$1795,$N843)</f>
        <v>5</v>
      </c>
      <c r="W843" s="32" t="n">
        <f aca="false">INDEX('Tabela Passaro'!$R$2:$R$1795,$N843)</f>
        <v>30</v>
      </c>
      <c r="X843" s="32" t="n">
        <f aca="false">ROUNDUP(J843/INDEX('Tabela Passaro'!$T$2:$T$1795,$N843),0)*INDEX('Tabela Passaro'!$S$2:$S$1795,$N843)</f>
        <v>0</v>
      </c>
      <c r="Y843" s="32" t="n">
        <f aca="false">INDEX('Tabela Passaro'!$U$2:$U$1795,$N843)</f>
        <v>0</v>
      </c>
      <c r="Z843" s="32" t="n">
        <f aca="false">INDEX('Tabela Passaro'!$V$2:$V$1795,$N843)</f>
        <v>0</v>
      </c>
      <c r="AA843" s="32" t="n">
        <f aca="false">SUM(R843:Z843)</f>
        <v>173.94736</v>
      </c>
      <c r="AB843" s="33" t="n">
        <f aca="false">INDEX(Premissas!$B$5:$B$13,MATCH(A843,Premissas!$A$5:$A$13,0))</f>
        <v>0.07</v>
      </c>
      <c r="AC843" s="32" t="n">
        <f aca="false">AA843/(1-AB843)-AA843</f>
        <v>13.0928120430108</v>
      </c>
      <c r="AD843" s="32" t="n">
        <f aca="false">ROUND(AA843+AC843,2)</f>
        <v>187.04</v>
      </c>
      <c r="AE843" s="32" t="n">
        <f aca="false">AD843-L843</f>
        <v>97.55</v>
      </c>
      <c r="AF843" s="34" t="n">
        <f aca="false">IF(L843=0,0,AE843/L843)</f>
        <v>1.0900659291541</v>
      </c>
      <c r="AG843" s="22" t="str">
        <f aca="false">IF(AD843&lt;L843,"PASSARO","ATUAL")</f>
        <v>ATUAL</v>
      </c>
      <c r="AH843" s="22" t="str">
        <f aca="false">IF(P843&lt;&gt;A843,"Faixa cadastrada como "&amp;P843&amp;" na tabela; preço aplicado pela UF do CEP","")</f>
        <v/>
      </c>
      <c r="AI843" s="26" t="n">
        <v>209.49</v>
      </c>
      <c r="AJ843" s="22" t="str">
        <f aca="false">INDEX('Tabela Passaro'!$X$2:$X$1795,$N843)</f>
        <v>CAPITAL</v>
      </c>
    </row>
    <row r="844" customFormat="false" ht="15" hidden="false" customHeight="false" outlineLevel="0" collapsed="false">
      <c r="A844" s="22" t="s">
        <v>17</v>
      </c>
      <c r="B844" s="22" t="n">
        <v>1</v>
      </c>
      <c r="C844" s="22" t="s">
        <v>95</v>
      </c>
      <c r="D844" s="22" t="s">
        <v>31</v>
      </c>
      <c r="E844" s="22" t="s">
        <v>7326</v>
      </c>
      <c r="F844" s="22" t="n">
        <v>12766710</v>
      </c>
      <c r="G844" s="30" t="n">
        <v>46245</v>
      </c>
      <c r="H844" s="22" t="n">
        <v>622581</v>
      </c>
      <c r="I844" s="22" t="s">
        <v>8052</v>
      </c>
      <c r="J844" s="31" t="n">
        <v>19.4</v>
      </c>
      <c r="K844" s="26" t="n">
        <v>411.08</v>
      </c>
      <c r="L844" s="26" t="n">
        <v>89.43</v>
      </c>
      <c r="M844" s="22" t="s">
        <v>2349</v>
      </c>
      <c r="N844" s="22" t="n">
        <f aca="false">MATCH(M844,'Tabela Passaro'!$A$2:$A$1795,0)</f>
        <v>522</v>
      </c>
      <c r="O844" s="22" t="str">
        <f aca="false">INDEX('Tabela Passaro'!$C$2:$C$1795,$N844)</f>
        <v>FORTALEZA</v>
      </c>
      <c r="P844" s="22" t="str">
        <f aca="false">INDEX('Tabela Passaro'!$B$2:$B$1795,$N844)</f>
        <v>CE</v>
      </c>
      <c r="Q844" s="22" t="n">
        <f aca="false">INDEX('Tabela Passaro'!$F$2:$F$1795,$N844)</f>
        <v>8</v>
      </c>
      <c r="R844" s="32" t="n">
        <f aca="false">IF(J844&lt;=10,INDEX('Tabela Passaro'!$G$2:$G$1795,$N844),IF(J844&lt;=30,INDEX('Tabela Passaro'!$H$2:$H$1795,$N844),IF(J844&lt;=50,INDEX('Tabela Passaro'!$I$2:$I$1795,$N844),IF(J844&lt;=70,INDEX('Tabela Passaro'!$J$2:$J$1795,$N844),IF(J844&lt;=100,INDEX('Tabela Passaro'!$K$2:$K$1795,$N844),INDEX('Tabela Passaro'!$K$2:$K$1795,$N844)+(J844-100)*INDEX('Tabela Passaro'!$L$2:$L$1795,$N844))))))</f>
        <v>130.85</v>
      </c>
      <c r="S844" s="32" t="n">
        <f aca="false">K844*INDEX('Tabela Passaro'!$M$2:$M$1795,$N844)</f>
        <v>2.0554</v>
      </c>
      <c r="T844" s="32" t="n">
        <f aca="false">K844*INDEX('Tabela Passaro'!$N$2:$N$1795,$N844)</f>
        <v>0.82216</v>
      </c>
      <c r="U844" s="32" t="n">
        <f aca="false">INDEX('Tabela Passaro'!$O$2:$O$1795,$N844)</f>
        <v>5</v>
      </c>
      <c r="V844" s="32" t="n">
        <f aca="false">ROUNDUP(J844/INDEX('Tabela Passaro'!$Q$2:$Q$1795,$N844),0)*INDEX('Tabela Passaro'!$P$2:$P$1795,$N844)</f>
        <v>5</v>
      </c>
      <c r="W844" s="32" t="n">
        <f aca="false">INDEX('Tabela Passaro'!$R$2:$R$1795,$N844)</f>
        <v>30</v>
      </c>
      <c r="X844" s="32" t="n">
        <f aca="false">ROUNDUP(J844/INDEX('Tabela Passaro'!$T$2:$T$1795,$N844),0)*INDEX('Tabela Passaro'!$S$2:$S$1795,$N844)</f>
        <v>0</v>
      </c>
      <c r="Y844" s="32" t="n">
        <f aca="false">INDEX('Tabela Passaro'!$U$2:$U$1795,$N844)</f>
        <v>0</v>
      </c>
      <c r="Z844" s="32" t="n">
        <f aca="false">INDEX('Tabela Passaro'!$V$2:$V$1795,$N844)</f>
        <v>0</v>
      </c>
      <c r="AA844" s="32" t="n">
        <f aca="false">SUM(R844:Z844)</f>
        <v>173.72756</v>
      </c>
      <c r="AB844" s="33" t="n">
        <f aca="false">INDEX(Premissas!$B$5:$B$13,MATCH(A844,Premissas!$A$5:$A$13,0))</f>
        <v>0.07</v>
      </c>
      <c r="AC844" s="32" t="n">
        <f aca="false">AA844/(1-AB844)-AA844</f>
        <v>13.0762679569893</v>
      </c>
      <c r="AD844" s="32" t="n">
        <f aca="false">ROUND(AA844+AC844,2)</f>
        <v>186.8</v>
      </c>
      <c r="AE844" s="32" t="n">
        <f aca="false">AD844-L844</f>
        <v>97.37</v>
      </c>
      <c r="AF844" s="34" t="n">
        <f aca="false">IF(L844=0,0,AE844/L844)</f>
        <v>1.08878452420888</v>
      </c>
      <c r="AG844" s="22" t="str">
        <f aca="false">IF(AD844&lt;L844,"PASSARO","ATUAL")</f>
        <v>ATUAL</v>
      </c>
      <c r="AH844" s="22" t="str">
        <f aca="false">IF(P844&lt;&gt;A844,"Faixa cadastrada como "&amp;P844&amp;" na tabela; preço aplicado pela UF do CEP","")</f>
        <v/>
      </c>
      <c r="AI844" s="26" t="n">
        <v>210.15</v>
      </c>
      <c r="AJ844" s="22" t="str">
        <f aca="false">INDEX('Tabela Passaro'!$X$2:$X$1795,$N844)</f>
        <v>CAPITAL</v>
      </c>
    </row>
    <row r="845" customFormat="false" ht="15" hidden="false" customHeight="false" outlineLevel="0" collapsed="false">
      <c r="A845" s="22" t="s">
        <v>17</v>
      </c>
      <c r="B845" s="22" t="n">
        <v>1</v>
      </c>
      <c r="C845" s="22" t="s">
        <v>95</v>
      </c>
      <c r="D845" s="22" t="s">
        <v>31</v>
      </c>
      <c r="E845" s="22" t="s">
        <v>7326</v>
      </c>
      <c r="F845" s="22" t="n">
        <v>12766310</v>
      </c>
      <c r="G845" s="30" t="n">
        <v>46245</v>
      </c>
      <c r="H845" s="22" t="n">
        <v>622654</v>
      </c>
      <c r="I845" s="22" t="s">
        <v>8111</v>
      </c>
      <c r="J845" s="31" t="n">
        <v>17.2</v>
      </c>
      <c r="K845" s="26" t="n">
        <v>315.98</v>
      </c>
      <c r="L845" s="26" t="n">
        <v>84.26</v>
      </c>
      <c r="M845" s="22" t="s">
        <v>2349</v>
      </c>
      <c r="N845" s="22" t="n">
        <f aca="false">MATCH(M845,'Tabela Passaro'!$A$2:$A$1795,0)</f>
        <v>522</v>
      </c>
      <c r="O845" s="22" t="str">
        <f aca="false">INDEX('Tabela Passaro'!$C$2:$C$1795,$N845)</f>
        <v>FORTALEZA</v>
      </c>
      <c r="P845" s="22" t="str">
        <f aca="false">INDEX('Tabela Passaro'!$B$2:$B$1795,$N845)</f>
        <v>CE</v>
      </c>
      <c r="Q845" s="22" t="n">
        <f aca="false">INDEX('Tabela Passaro'!$F$2:$F$1795,$N845)</f>
        <v>8</v>
      </c>
      <c r="R845" s="32" t="n">
        <f aca="false">IF(J845&lt;=10,INDEX('Tabela Passaro'!$G$2:$G$1795,$N845),IF(J845&lt;=30,INDEX('Tabela Passaro'!$H$2:$H$1795,$N845),IF(J845&lt;=50,INDEX('Tabela Passaro'!$I$2:$I$1795,$N845),IF(J845&lt;=70,INDEX('Tabela Passaro'!$J$2:$J$1795,$N845),IF(J845&lt;=100,INDEX('Tabela Passaro'!$K$2:$K$1795,$N845),INDEX('Tabela Passaro'!$K$2:$K$1795,$N845)+(J845-100)*INDEX('Tabela Passaro'!$L$2:$L$1795,$N845))))))</f>
        <v>130.85</v>
      </c>
      <c r="S845" s="32" t="n">
        <f aca="false">K845*INDEX('Tabela Passaro'!$M$2:$M$1795,$N845)</f>
        <v>1.5799</v>
      </c>
      <c r="T845" s="32" t="n">
        <f aca="false">K845*INDEX('Tabela Passaro'!$N$2:$N$1795,$N845)</f>
        <v>0.63196</v>
      </c>
      <c r="U845" s="32" t="n">
        <f aca="false">INDEX('Tabela Passaro'!$O$2:$O$1795,$N845)</f>
        <v>5</v>
      </c>
      <c r="V845" s="32" t="n">
        <f aca="false">ROUNDUP(J845/INDEX('Tabela Passaro'!$Q$2:$Q$1795,$N845),0)*INDEX('Tabela Passaro'!$P$2:$P$1795,$N845)</f>
        <v>5</v>
      </c>
      <c r="W845" s="32" t="n">
        <f aca="false">INDEX('Tabela Passaro'!$R$2:$R$1795,$N845)</f>
        <v>30</v>
      </c>
      <c r="X845" s="32" t="n">
        <f aca="false">ROUNDUP(J845/INDEX('Tabela Passaro'!$T$2:$T$1795,$N845),0)*INDEX('Tabela Passaro'!$S$2:$S$1795,$N845)</f>
        <v>0</v>
      </c>
      <c r="Y845" s="32" t="n">
        <f aca="false">INDEX('Tabela Passaro'!$U$2:$U$1795,$N845)</f>
        <v>0</v>
      </c>
      <c r="Z845" s="32" t="n">
        <f aca="false">INDEX('Tabela Passaro'!$V$2:$V$1795,$N845)</f>
        <v>0</v>
      </c>
      <c r="AA845" s="32" t="n">
        <f aca="false">SUM(R845:Z845)</f>
        <v>173.06186</v>
      </c>
      <c r="AB845" s="33" t="n">
        <f aca="false">INDEX(Premissas!$B$5:$B$13,MATCH(A845,Premissas!$A$5:$A$13,0))</f>
        <v>0.07</v>
      </c>
      <c r="AC845" s="32" t="n">
        <f aca="false">AA845/(1-AB845)-AA845</f>
        <v>13.0261615053764</v>
      </c>
      <c r="AD845" s="32" t="n">
        <f aca="false">ROUND(AA845+AC845,2)</f>
        <v>186.09</v>
      </c>
      <c r="AE845" s="32" t="n">
        <f aca="false">AD845-L845</f>
        <v>101.83</v>
      </c>
      <c r="AF845" s="34" t="n">
        <f aca="false">IF(L845=0,0,AE845/L845)</f>
        <v>1.20852124376929</v>
      </c>
      <c r="AG845" s="22" t="str">
        <f aca="false">IF(AD845&lt;L845,"PASSARO","ATUAL")</f>
        <v>ATUAL</v>
      </c>
      <c r="AH845" s="22" t="str">
        <f aca="false">IF(P845&lt;&gt;A845,"Faixa cadastrada como "&amp;P845&amp;" na tabela; preço aplicado pela UF do CEP","")</f>
        <v/>
      </c>
      <c r="AI845" s="26" t="n">
        <v>208.26</v>
      </c>
      <c r="AJ845" s="22" t="str">
        <f aca="false">INDEX('Tabela Passaro'!$X$2:$X$1795,$N845)</f>
        <v>CAPITAL</v>
      </c>
    </row>
    <row r="846" customFormat="false" ht="15" hidden="false" customHeight="false" outlineLevel="0" collapsed="false">
      <c r="A846" s="22" t="s">
        <v>17</v>
      </c>
      <c r="B846" s="22" t="n">
        <v>1</v>
      </c>
      <c r="C846" s="22" t="s">
        <v>95</v>
      </c>
      <c r="D846" s="22" t="s">
        <v>31</v>
      </c>
      <c r="E846" s="22" t="s">
        <v>7326</v>
      </c>
      <c r="F846" s="22" t="n">
        <v>12773259</v>
      </c>
      <c r="G846" s="30" t="n">
        <v>46246</v>
      </c>
      <c r="H846" s="22" t="n">
        <v>623462</v>
      </c>
      <c r="I846" s="22" t="s">
        <v>8112</v>
      </c>
      <c r="J846" s="31" t="n">
        <v>17.2</v>
      </c>
      <c r="K846" s="26" t="n">
        <v>295.49</v>
      </c>
      <c r="L846" s="26" t="n">
        <v>84.76</v>
      </c>
      <c r="M846" s="22" t="s">
        <v>2349</v>
      </c>
      <c r="N846" s="22" t="n">
        <f aca="false">MATCH(M846,'Tabela Passaro'!$A$2:$A$1795,0)</f>
        <v>522</v>
      </c>
      <c r="O846" s="22" t="str">
        <f aca="false">INDEX('Tabela Passaro'!$C$2:$C$1795,$N846)</f>
        <v>FORTALEZA</v>
      </c>
      <c r="P846" s="22" t="str">
        <f aca="false">INDEX('Tabela Passaro'!$B$2:$B$1795,$N846)</f>
        <v>CE</v>
      </c>
      <c r="Q846" s="22" t="n">
        <f aca="false">INDEX('Tabela Passaro'!$F$2:$F$1795,$N846)</f>
        <v>8</v>
      </c>
      <c r="R846" s="32" t="n">
        <f aca="false">IF(J846&lt;=10,INDEX('Tabela Passaro'!$G$2:$G$1795,$N846),IF(J846&lt;=30,INDEX('Tabela Passaro'!$H$2:$H$1795,$N846),IF(J846&lt;=50,INDEX('Tabela Passaro'!$I$2:$I$1795,$N846),IF(J846&lt;=70,INDEX('Tabela Passaro'!$J$2:$J$1795,$N846),IF(J846&lt;=100,INDEX('Tabela Passaro'!$K$2:$K$1795,$N846),INDEX('Tabela Passaro'!$K$2:$K$1795,$N846)+(J846-100)*INDEX('Tabela Passaro'!$L$2:$L$1795,$N846))))))</f>
        <v>130.85</v>
      </c>
      <c r="S846" s="32" t="n">
        <f aca="false">K846*INDEX('Tabela Passaro'!$M$2:$M$1795,$N846)</f>
        <v>1.47745</v>
      </c>
      <c r="T846" s="32" t="n">
        <f aca="false">K846*INDEX('Tabela Passaro'!$N$2:$N$1795,$N846)</f>
        <v>0.59098</v>
      </c>
      <c r="U846" s="32" t="n">
        <f aca="false">INDEX('Tabela Passaro'!$O$2:$O$1795,$N846)</f>
        <v>5</v>
      </c>
      <c r="V846" s="32" t="n">
        <f aca="false">ROUNDUP(J846/INDEX('Tabela Passaro'!$Q$2:$Q$1795,$N846),0)*INDEX('Tabela Passaro'!$P$2:$P$1795,$N846)</f>
        <v>5</v>
      </c>
      <c r="W846" s="32" t="n">
        <f aca="false">INDEX('Tabela Passaro'!$R$2:$R$1795,$N846)</f>
        <v>30</v>
      </c>
      <c r="X846" s="32" t="n">
        <f aca="false">ROUNDUP(J846/INDEX('Tabela Passaro'!$T$2:$T$1795,$N846),0)*INDEX('Tabela Passaro'!$S$2:$S$1795,$N846)</f>
        <v>0</v>
      </c>
      <c r="Y846" s="32" t="n">
        <f aca="false">INDEX('Tabela Passaro'!$U$2:$U$1795,$N846)</f>
        <v>0</v>
      </c>
      <c r="Z846" s="32" t="n">
        <f aca="false">INDEX('Tabela Passaro'!$V$2:$V$1795,$N846)</f>
        <v>0</v>
      </c>
      <c r="AA846" s="32" t="n">
        <f aca="false">SUM(R846:Z846)</f>
        <v>172.91843</v>
      </c>
      <c r="AB846" s="33" t="n">
        <f aca="false">INDEX(Premissas!$B$5:$B$13,MATCH(A846,Premissas!$A$5:$A$13,0))</f>
        <v>0.07</v>
      </c>
      <c r="AC846" s="32" t="n">
        <f aca="false">AA846/(1-AB846)-AA846</f>
        <v>13.0153656989247</v>
      </c>
      <c r="AD846" s="32" t="n">
        <f aca="false">ROUND(AA846+AC846,2)</f>
        <v>185.93</v>
      </c>
      <c r="AE846" s="32" t="n">
        <f aca="false">AD846-L846</f>
        <v>101.17</v>
      </c>
      <c r="AF846" s="34" t="n">
        <f aca="false">IF(L846=0,0,AE846/L846)</f>
        <v>1.19360547428032</v>
      </c>
      <c r="AG846" s="22" t="str">
        <f aca="false">IF(AD846&lt;L846,"PASSARO","ATUAL")</f>
        <v>ATUAL</v>
      </c>
      <c r="AH846" s="22" t="str">
        <f aca="false">IF(P846&lt;&gt;A846,"Faixa cadastrada como "&amp;P846&amp;" na tabela; preço aplicado pela UF do CEP","")</f>
        <v/>
      </c>
      <c r="AI846" s="26" t="n">
        <v>208.06</v>
      </c>
      <c r="AJ846" s="22" t="str">
        <f aca="false">INDEX('Tabela Passaro'!$X$2:$X$1795,$N846)</f>
        <v>CAPITAL</v>
      </c>
    </row>
    <row r="847" customFormat="false" ht="15" hidden="false" customHeight="false" outlineLevel="0" collapsed="false">
      <c r="A847" s="22" t="s">
        <v>17</v>
      </c>
      <c r="B847" s="22" t="n">
        <v>1</v>
      </c>
      <c r="C847" s="22" t="s">
        <v>95</v>
      </c>
      <c r="D847" s="22" t="s">
        <v>31</v>
      </c>
      <c r="E847" s="22" t="s">
        <v>7326</v>
      </c>
      <c r="F847" s="22" t="n">
        <v>12773608</v>
      </c>
      <c r="G847" s="30" t="n">
        <v>46246</v>
      </c>
      <c r="H847" s="22" t="n">
        <v>624188</v>
      </c>
      <c r="I847" s="22" t="s">
        <v>7987</v>
      </c>
      <c r="J847" s="31" t="n">
        <v>17.2</v>
      </c>
      <c r="K847" s="26" t="n">
        <v>334.45</v>
      </c>
      <c r="L847" s="26" t="n">
        <v>84.48</v>
      </c>
      <c r="M847" s="22" t="s">
        <v>2349</v>
      </c>
      <c r="N847" s="22" t="n">
        <f aca="false">MATCH(M847,'Tabela Passaro'!$A$2:$A$1795,0)</f>
        <v>522</v>
      </c>
      <c r="O847" s="22" t="str">
        <f aca="false">INDEX('Tabela Passaro'!$C$2:$C$1795,$N847)</f>
        <v>FORTALEZA</v>
      </c>
      <c r="P847" s="22" t="str">
        <f aca="false">INDEX('Tabela Passaro'!$B$2:$B$1795,$N847)</f>
        <v>CE</v>
      </c>
      <c r="Q847" s="22" t="n">
        <f aca="false">INDEX('Tabela Passaro'!$F$2:$F$1795,$N847)</f>
        <v>8</v>
      </c>
      <c r="R847" s="32" t="n">
        <f aca="false">IF(J847&lt;=10,INDEX('Tabela Passaro'!$G$2:$G$1795,$N847),IF(J847&lt;=30,INDEX('Tabela Passaro'!$H$2:$H$1795,$N847),IF(J847&lt;=50,INDEX('Tabela Passaro'!$I$2:$I$1795,$N847),IF(J847&lt;=70,INDEX('Tabela Passaro'!$J$2:$J$1795,$N847),IF(J847&lt;=100,INDEX('Tabela Passaro'!$K$2:$K$1795,$N847),INDEX('Tabela Passaro'!$K$2:$K$1795,$N847)+(J847-100)*INDEX('Tabela Passaro'!$L$2:$L$1795,$N847))))))</f>
        <v>130.85</v>
      </c>
      <c r="S847" s="32" t="n">
        <f aca="false">K847*INDEX('Tabela Passaro'!$M$2:$M$1795,$N847)</f>
        <v>1.67225</v>
      </c>
      <c r="T847" s="32" t="n">
        <f aca="false">K847*INDEX('Tabela Passaro'!$N$2:$N$1795,$N847)</f>
        <v>0.6689</v>
      </c>
      <c r="U847" s="32" t="n">
        <f aca="false">INDEX('Tabela Passaro'!$O$2:$O$1795,$N847)</f>
        <v>5</v>
      </c>
      <c r="V847" s="32" t="n">
        <f aca="false">ROUNDUP(J847/INDEX('Tabela Passaro'!$Q$2:$Q$1795,$N847),0)*INDEX('Tabela Passaro'!$P$2:$P$1795,$N847)</f>
        <v>5</v>
      </c>
      <c r="W847" s="32" t="n">
        <f aca="false">INDEX('Tabela Passaro'!$R$2:$R$1795,$N847)</f>
        <v>30</v>
      </c>
      <c r="X847" s="32" t="n">
        <f aca="false">ROUNDUP(J847/INDEX('Tabela Passaro'!$T$2:$T$1795,$N847),0)*INDEX('Tabela Passaro'!$S$2:$S$1795,$N847)</f>
        <v>0</v>
      </c>
      <c r="Y847" s="32" t="n">
        <f aca="false">INDEX('Tabela Passaro'!$U$2:$U$1795,$N847)</f>
        <v>0</v>
      </c>
      <c r="Z847" s="32" t="n">
        <f aca="false">INDEX('Tabela Passaro'!$V$2:$V$1795,$N847)</f>
        <v>0</v>
      </c>
      <c r="AA847" s="32" t="n">
        <f aca="false">SUM(R847:Z847)</f>
        <v>173.19115</v>
      </c>
      <c r="AB847" s="33" t="n">
        <f aca="false">INDEX(Premissas!$B$5:$B$13,MATCH(A847,Premissas!$A$5:$A$13,0))</f>
        <v>0.07</v>
      </c>
      <c r="AC847" s="32" t="n">
        <f aca="false">AA847/(1-AB847)-AA847</f>
        <v>13.0358930107527</v>
      </c>
      <c r="AD847" s="32" t="n">
        <f aca="false">ROUND(AA847+AC847,2)</f>
        <v>186.23</v>
      </c>
      <c r="AE847" s="32" t="n">
        <f aca="false">AD847-L847</f>
        <v>101.75</v>
      </c>
      <c r="AF847" s="34" t="n">
        <f aca="false">IF(L847=0,0,AE847/L847)</f>
        <v>1.20442708333333</v>
      </c>
      <c r="AG847" s="22" t="str">
        <f aca="false">IF(AD847&lt;L847,"PASSARO","ATUAL")</f>
        <v>ATUAL</v>
      </c>
      <c r="AH847" s="22" t="str">
        <f aca="false">IF(P847&lt;&gt;A847,"Faixa cadastrada como "&amp;P847&amp;" na tabela; preço aplicado pela UF do CEP","")</f>
        <v/>
      </c>
      <c r="AI847" s="26" t="n">
        <v>208.44</v>
      </c>
      <c r="AJ847" s="22" t="str">
        <f aca="false">INDEX('Tabela Passaro'!$X$2:$X$1795,$N847)</f>
        <v>CAPITAL</v>
      </c>
    </row>
    <row r="848" customFormat="false" ht="15" hidden="false" customHeight="false" outlineLevel="0" collapsed="false">
      <c r="A848" s="22" t="s">
        <v>17</v>
      </c>
      <c r="B848" s="22" t="n">
        <v>1</v>
      </c>
      <c r="C848" s="22" t="s">
        <v>95</v>
      </c>
      <c r="D848" s="22" t="s">
        <v>31</v>
      </c>
      <c r="E848" s="22" t="s">
        <v>7326</v>
      </c>
      <c r="F848" s="22" t="n">
        <v>12782118</v>
      </c>
      <c r="G848" s="30" t="n">
        <v>46247</v>
      </c>
      <c r="H848" s="22" t="n">
        <v>621686</v>
      </c>
      <c r="I848" s="22" t="s">
        <v>8113</v>
      </c>
      <c r="J848" s="31" t="n">
        <v>2</v>
      </c>
      <c r="K848" s="26" t="n">
        <v>470.98</v>
      </c>
      <c r="L848" s="26" t="n">
        <v>23.33</v>
      </c>
      <c r="M848" s="22" t="s">
        <v>2349</v>
      </c>
      <c r="N848" s="22" t="n">
        <f aca="false">MATCH(M848,'Tabela Passaro'!$A$2:$A$1795,0)</f>
        <v>522</v>
      </c>
      <c r="O848" s="22" t="str">
        <f aca="false">INDEX('Tabela Passaro'!$C$2:$C$1795,$N848)</f>
        <v>FORTALEZA</v>
      </c>
      <c r="P848" s="22" t="str">
        <f aca="false">INDEX('Tabela Passaro'!$B$2:$B$1795,$N848)</f>
        <v>CE</v>
      </c>
      <c r="Q848" s="22" t="n">
        <f aca="false">INDEX('Tabela Passaro'!$F$2:$F$1795,$N848)</f>
        <v>8</v>
      </c>
      <c r="R848" s="32" t="n">
        <f aca="false">IF(J848&lt;=10,INDEX('Tabela Passaro'!$G$2:$G$1795,$N848),IF(J848&lt;=30,INDEX('Tabela Passaro'!$H$2:$H$1795,$N848),IF(J848&lt;=50,INDEX('Tabela Passaro'!$I$2:$I$1795,$N848),IF(J848&lt;=70,INDEX('Tabela Passaro'!$J$2:$J$1795,$N848),IF(J848&lt;=100,INDEX('Tabela Passaro'!$K$2:$K$1795,$N848),INDEX('Tabela Passaro'!$K$2:$K$1795,$N848)+(J848-100)*INDEX('Tabela Passaro'!$L$2:$L$1795,$N848))))))</f>
        <v>108.72</v>
      </c>
      <c r="S848" s="32" t="n">
        <f aca="false">K848*INDEX('Tabela Passaro'!$M$2:$M$1795,$N848)</f>
        <v>2.3549</v>
      </c>
      <c r="T848" s="32" t="n">
        <f aca="false">K848*INDEX('Tabela Passaro'!$N$2:$N$1795,$N848)</f>
        <v>0.94196</v>
      </c>
      <c r="U848" s="32" t="n">
        <f aca="false">INDEX('Tabela Passaro'!$O$2:$O$1795,$N848)</f>
        <v>5</v>
      </c>
      <c r="V848" s="32" t="n">
        <f aca="false">ROUNDUP(J848/INDEX('Tabela Passaro'!$Q$2:$Q$1795,$N848),0)*INDEX('Tabela Passaro'!$P$2:$P$1795,$N848)</f>
        <v>5</v>
      </c>
      <c r="W848" s="32" t="n">
        <f aca="false">INDEX('Tabela Passaro'!$R$2:$R$1795,$N848)</f>
        <v>30</v>
      </c>
      <c r="X848" s="32" t="n">
        <f aca="false">ROUNDUP(J848/INDEX('Tabela Passaro'!$T$2:$T$1795,$N848),0)*INDEX('Tabela Passaro'!$S$2:$S$1795,$N848)</f>
        <v>0</v>
      </c>
      <c r="Y848" s="32" t="n">
        <f aca="false">INDEX('Tabela Passaro'!$U$2:$U$1795,$N848)</f>
        <v>0</v>
      </c>
      <c r="Z848" s="32" t="n">
        <f aca="false">INDEX('Tabela Passaro'!$V$2:$V$1795,$N848)</f>
        <v>0</v>
      </c>
      <c r="AA848" s="32" t="n">
        <f aca="false">SUM(R848:Z848)</f>
        <v>152.01686</v>
      </c>
      <c r="AB848" s="33" t="n">
        <f aca="false">INDEX(Premissas!$B$5:$B$13,MATCH(A848,Premissas!$A$5:$A$13,0))</f>
        <v>0.07</v>
      </c>
      <c r="AC848" s="32" t="n">
        <f aca="false">AA848/(1-AB848)-AA848</f>
        <v>11.4421292473118</v>
      </c>
      <c r="AD848" s="32" t="n">
        <f aca="false">ROUND(AA848+AC848,2)</f>
        <v>163.46</v>
      </c>
      <c r="AE848" s="32" t="n">
        <f aca="false">AD848-L848</f>
        <v>140.13</v>
      </c>
      <c r="AF848" s="34" t="n">
        <f aca="false">IF(L848=0,0,AE848/L848)</f>
        <v>6.00642948992713</v>
      </c>
      <c r="AG848" s="22" t="str">
        <f aca="false">IF(AD848&lt;L848,"PASSARO","ATUAL")</f>
        <v>ATUAL</v>
      </c>
      <c r="AH848" s="22" t="str">
        <f aca="false">IF(P848&lt;&gt;A848,"Faixa cadastrada como "&amp;P848&amp;" na tabela; preço aplicado pela UF do CEP","")</f>
        <v/>
      </c>
      <c r="AI848" s="26" t="n">
        <v>176.97</v>
      </c>
      <c r="AJ848" s="22" t="str">
        <f aca="false">INDEX('Tabela Passaro'!$X$2:$X$1795,$N848)</f>
        <v>CAPITAL</v>
      </c>
    </row>
    <row r="849" customFormat="false" ht="15" hidden="false" customHeight="false" outlineLevel="0" collapsed="false">
      <c r="A849" s="22" t="s">
        <v>17</v>
      </c>
      <c r="B849" s="22" t="n">
        <v>1</v>
      </c>
      <c r="C849" s="22" t="s">
        <v>95</v>
      </c>
      <c r="D849" s="22" t="s">
        <v>31</v>
      </c>
      <c r="E849" s="22" t="s">
        <v>7326</v>
      </c>
      <c r="F849" s="22" t="n">
        <v>12808617</v>
      </c>
      <c r="G849" s="30" t="n">
        <v>46252</v>
      </c>
      <c r="H849" s="22" t="n">
        <v>626064</v>
      </c>
      <c r="I849" s="22" t="s">
        <v>8114</v>
      </c>
      <c r="J849" s="31" t="n">
        <v>19.5</v>
      </c>
      <c r="K849" s="26" t="n">
        <v>549.98</v>
      </c>
      <c r="L849" s="26" t="n">
        <v>90.44</v>
      </c>
      <c r="M849" s="22" t="s">
        <v>2349</v>
      </c>
      <c r="N849" s="22" t="n">
        <f aca="false">MATCH(M849,'Tabela Passaro'!$A$2:$A$1795,0)</f>
        <v>522</v>
      </c>
      <c r="O849" s="22" t="str">
        <f aca="false">INDEX('Tabela Passaro'!$C$2:$C$1795,$N849)</f>
        <v>FORTALEZA</v>
      </c>
      <c r="P849" s="22" t="str">
        <f aca="false">INDEX('Tabela Passaro'!$B$2:$B$1795,$N849)</f>
        <v>CE</v>
      </c>
      <c r="Q849" s="22" t="n">
        <f aca="false">INDEX('Tabela Passaro'!$F$2:$F$1795,$N849)</f>
        <v>8</v>
      </c>
      <c r="R849" s="32" t="n">
        <f aca="false">IF(J849&lt;=10,INDEX('Tabela Passaro'!$G$2:$G$1795,$N849),IF(J849&lt;=30,INDEX('Tabela Passaro'!$H$2:$H$1795,$N849),IF(J849&lt;=50,INDEX('Tabela Passaro'!$I$2:$I$1795,$N849),IF(J849&lt;=70,INDEX('Tabela Passaro'!$J$2:$J$1795,$N849),IF(J849&lt;=100,INDEX('Tabela Passaro'!$K$2:$K$1795,$N849),INDEX('Tabela Passaro'!$K$2:$K$1795,$N849)+(J849-100)*INDEX('Tabela Passaro'!$L$2:$L$1795,$N849))))))</f>
        <v>130.85</v>
      </c>
      <c r="S849" s="32" t="n">
        <f aca="false">K849*INDEX('Tabela Passaro'!$M$2:$M$1795,$N849)</f>
        <v>2.7499</v>
      </c>
      <c r="T849" s="32" t="n">
        <f aca="false">K849*INDEX('Tabela Passaro'!$N$2:$N$1795,$N849)</f>
        <v>1.09996</v>
      </c>
      <c r="U849" s="32" t="n">
        <f aca="false">INDEX('Tabela Passaro'!$O$2:$O$1795,$N849)</f>
        <v>5</v>
      </c>
      <c r="V849" s="32" t="n">
        <f aca="false">ROUNDUP(J849/INDEX('Tabela Passaro'!$Q$2:$Q$1795,$N849),0)*INDEX('Tabela Passaro'!$P$2:$P$1795,$N849)</f>
        <v>5</v>
      </c>
      <c r="W849" s="32" t="n">
        <f aca="false">INDEX('Tabela Passaro'!$R$2:$R$1795,$N849)</f>
        <v>30</v>
      </c>
      <c r="X849" s="32" t="n">
        <f aca="false">ROUNDUP(J849/INDEX('Tabela Passaro'!$T$2:$T$1795,$N849),0)*INDEX('Tabela Passaro'!$S$2:$S$1795,$N849)</f>
        <v>0</v>
      </c>
      <c r="Y849" s="32" t="n">
        <f aca="false">INDEX('Tabela Passaro'!$U$2:$U$1795,$N849)</f>
        <v>0</v>
      </c>
      <c r="Z849" s="32" t="n">
        <f aca="false">INDEX('Tabela Passaro'!$V$2:$V$1795,$N849)</f>
        <v>0</v>
      </c>
      <c r="AA849" s="32" t="n">
        <f aca="false">SUM(R849:Z849)</f>
        <v>174.69986</v>
      </c>
      <c r="AB849" s="33" t="n">
        <f aca="false">INDEX(Premissas!$B$5:$B$13,MATCH(A849,Premissas!$A$5:$A$13,0))</f>
        <v>0.07</v>
      </c>
      <c r="AC849" s="32" t="n">
        <f aca="false">AA849/(1-AB849)-AA849</f>
        <v>13.149451827957</v>
      </c>
      <c r="AD849" s="32" t="n">
        <f aca="false">ROUND(AA849+AC849,2)</f>
        <v>187.85</v>
      </c>
      <c r="AE849" s="32" t="n">
        <f aca="false">AD849-L849</f>
        <v>97.41</v>
      </c>
      <c r="AF849" s="34" t="n">
        <f aca="false">IF(L849=0,0,AE849/L849)</f>
        <v>1.07706766917293</v>
      </c>
      <c r="AG849" s="22" t="str">
        <f aca="false">IF(AD849&lt;L849,"PASSARO","ATUAL")</f>
        <v>ATUAL</v>
      </c>
      <c r="AH849" s="22" t="str">
        <f aca="false">IF(P849&lt;&gt;A849,"Faixa cadastrada como "&amp;P849&amp;" na tabela; preço aplicado pela UF do CEP","")</f>
        <v/>
      </c>
      <c r="AI849" s="26" t="n">
        <v>211.49</v>
      </c>
      <c r="AJ849" s="22" t="str">
        <f aca="false">INDEX('Tabela Passaro'!$X$2:$X$1795,$N849)</f>
        <v>CAPITAL</v>
      </c>
    </row>
    <row r="850" customFormat="false" ht="15" hidden="false" customHeight="false" outlineLevel="0" collapsed="false">
      <c r="A850" s="22" t="s">
        <v>17</v>
      </c>
      <c r="B850" s="22" t="n">
        <v>1</v>
      </c>
      <c r="C850" s="22" t="s">
        <v>95</v>
      </c>
      <c r="D850" s="22" t="s">
        <v>31</v>
      </c>
      <c r="E850" s="22" t="s">
        <v>7326</v>
      </c>
      <c r="F850" s="22" t="n">
        <v>115590</v>
      </c>
      <c r="G850" s="30" t="n">
        <v>46253</v>
      </c>
      <c r="H850" s="22" t="n">
        <v>601803</v>
      </c>
      <c r="I850" s="22" t="s">
        <v>8115</v>
      </c>
      <c r="J850" s="31" t="n">
        <v>19.4</v>
      </c>
      <c r="K850" s="26" t="n">
        <v>413.12</v>
      </c>
      <c r="L850" s="26" t="n">
        <v>89.25</v>
      </c>
      <c r="M850" s="22" t="s">
        <v>2349</v>
      </c>
      <c r="N850" s="22" t="n">
        <f aca="false">MATCH(M850,'Tabela Passaro'!$A$2:$A$1795,0)</f>
        <v>522</v>
      </c>
      <c r="O850" s="22" t="str">
        <f aca="false">INDEX('Tabela Passaro'!$C$2:$C$1795,$N850)</f>
        <v>FORTALEZA</v>
      </c>
      <c r="P850" s="22" t="str">
        <f aca="false">INDEX('Tabela Passaro'!$B$2:$B$1795,$N850)</f>
        <v>CE</v>
      </c>
      <c r="Q850" s="22" t="n">
        <f aca="false">INDEX('Tabela Passaro'!$F$2:$F$1795,$N850)</f>
        <v>8</v>
      </c>
      <c r="R850" s="32" t="n">
        <f aca="false">IF(J850&lt;=10,INDEX('Tabela Passaro'!$G$2:$G$1795,$N850),IF(J850&lt;=30,INDEX('Tabela Passaro'!$H$2:$H$1795,$N850),IF(J850&lt;=50,INDEX('Tabela Passaro'!$I$2:$I$1795,$N850),IF(J850&lt;=70,INDEX('Tabela Passaro'!$J$2:$J$1795,$N850),IF(J850&lt;=100,INDEX('Tabela Passaro'!$K$2:$K$1795,$N850),INDEX('Tabela Passaro'!$K$2:$K$1795,$N850)+(J850-100)*INDEX('Tabela Passaro'!$L$2:$L$1795,$N850))))))</f>
        <v>130.85</v>
      </c>
      <c r="S850" s="32" t="n">
        <f aca="false">K850*INDEX('Tabela Passaro'!$M$2:$M$1795,$N850)</f>
        <v>2.0656</v>
      </c>
      <c r="T850" s="32" t="n">
        <f aca="false">K850*INDEX('Tabela Passaro'!$N$2:$N$1795,$N850)</f>
        <v>0.82624</v>
      </c>
      <c r="U850" s="32" t="n">
        <f aca="false">INDEX('Tabela Passaro'!$O$2:$O$1795,$N850)</f>
        <v>5</v>
      </c>
      <c r="V850" s="32" t="n">
        <f aca="false">ROUNDUP(J850/INDEX('Tabela Passaro'!$Q$2:$Q$1795,$N850),0)*INDEX('Tabela Passaro'!$P$2:$P$1795,$N850)</f>
        <v>5</v>
      </c>
      <c r="W850" s="32" t="n">
        <f aca="false">INDEX('Tabela Passaro'!$R$2:$R$1795,$N850)</f>
        <v>30</v>
      </c>
      <c r="X850" s="32" t="n">
        <f aca="false">ROUNDUP(J850/INDEX('Tabela Passaro'!$T$2:$T$1795,$N850),0)*INDEX('Tabela Passaro'!$S$2:$S$1795,$N850)</f>
        <v>0</v>
      </c>
      <c r="Y850" s="32" t="n">
        <f aca="false">INDEX('Tabela Passaro'!$U$2:$U$1795,$N850)</f>
        <v>0</v>
      </c>
      <c r="Z850" s="32" t="n">
        <f aca="false">INDEX('Tabela Passaro'!$V$2:$V$1795,$N850)</f>
        <v>0</v>
      </c>
      <c r="AA850" s="32" t="n">
        <f aca="false">SUM(R850:Z850)</f>
        <v>173.74184</v>
      </c>
      <c r="AB850" s="33" t="n">
        <f aca="false">INDEX(Premissas!$B$5:$B$13,MATCH(A850,Premissas!$A$5:$A$13,0))</f>
        <v>0.07</v>
      </c>
      <c r="AC850" s="32" t="n">
        <f aca="false">AA850/(1-AB850)-AA850</f>
        <v>13.0773427956989</v>
      </c>
      <c r="AD850" s="32" t="n">
        <f aca="false">ROUND(AA850+AC850,2)</f>
        <v>186.82</v>
      </c>
      <c r="AE850" s="32" t="n">
        <f aca="false">AD850-L850</f>
        <v>97.57</v>
      </c>
      <c r="AF850" s="34" t="n">
        <f aca="false">IF(L850=0,0,AE850/L850)</f>
        <v>1.09322128851541</v>
      </c>
      <c r="AG850" s="22" t="str">
        <f aca="false">IF(AD850&lt;L850,"PASSARO","ATUAL")</f>
        <v>ATUAL</v>
      </c>
      <c r="AH850" s="22" t="str">
        <f aca="false">IF(P850&lt;&gt;A850,"Faixa cadastrada como "&amp;P850&amp;" na tabela; preço aplicado pela UF do CEP","")</f>
        <v/>
      </c>
      <c r="AI850" s="26" t="n">
        <v>210.17</v>
      </c>
      <c r="AJ850" s="22" t="str">
        <f aca="false">INDEX('Tabela Passaro'!$X$2:$X$1795,$N850)</f>
        <v>CAPITAL</v>
      </c>
    </row>
    <row r="851" customFormat="false" ht="15" hidden="false" customHeight="false" outlineLevel="0" collapsed="false">
      <c r="A851" s="22" t="s">
        <v>17</v>
      </c>
      <c r="B851" s="22" t="n">
        <v>1</v>
      </c>
      <c r="C851" s="22" t="s">
        <v>95</v>
      </c>
      <c r="D851" s="22" t="s">
        <v>31</v>
      </c>
      <c r="E851" s="22" t="s">
        <v>7326</v>
      </c>
      <c r="F851" s="22" t="n">
        <v>12822995</v>
      </c>
      <c r="G851" s="30" t="n">
        <v>46254</v>
      </c>
      <c r="H851" s="22" t="n">
        <v>627431</v>
      </c>
      <c r="I851" s="22" t="s">
        <v>8116</v>
      </c>
      <c r="J851" s="31" t="n">
        <v>17.2</v>
      </c>
      <c r="K851" s="26" t="n">
        <v>371.98</v>
      </c>
      <c r="L851" s="26" t="n">
        <v>84.59</v>
      </c>
      <c r="M851" s="22" t="s">
        <v>2349</v>
      </c>
      <c r="N851" s="22" t="n">
        <f aca="false">MATCH(M851,'Tabela Passaro'!$A$2:$A$1795,0)</f>
        <v>522</v>
      </c>
      <c r="O851" s="22" t="str">
        <f aca="false">INDEX('Tabela Passaro'!$C$2:$C$1795,$N851)</f>
        <v>FORTALEZA</v>
      </c>
      <c r="P851" s="22" t="str">
        <f aca="false">INDEX('Tabela Passaro'!$B$2:$B$1795,$N851)</f>
        <v>CE</v>
      </c>
      <c r="Q851" s="22" t="n">
        <f aca="false">INDEX('Tabela Passaro'!$F$2:$F$1795,$N851)</f>
        <v>8</v>
      </c>
      <c r="R851" s="32" t="n">
        <f aca="false">IF(J851&lt;=10,INDEX('Tabela Passaro'!$G$2:$G$1795,$N851),IF(J851&lt;=30,INDEX('Tabela Passaro'!$H$2:$H$1795,$N851),IF(J851&lt;=50,INDEX('Tabela Passaro'!$I$2:$I$1795,$N851),IF(J851&lt;=70,INDEX('Tabela Passaro'!$J$2:$J$1795,$N851),IF(J851&lt;=100,INDEX('Tabela Passaro'!$K$2:$K$1795,$N851),INDEX('Tabela Passaro'!$K$2:$K$1795,$N851)+(J851-100)*INDEX('Tabela Passaro'!$L$2:$L$1795,$N851))))))</f>
        <v>130.85</v>
      </c>
      <c r="S851" s="32" t="n">
        <f aca="false">K851*INDEX('Tabela Passaro'!$M$2:$M$1795,$N851)</f>
        <v>1.8599</v>
      </c>
      <c r="T851" s="32" t="n">
        <f aca="false">K851*INDEX('Tabela Passaro'!$N$2:$N$1795,$N851)</f>
        <v>0.74396</v>
      </c>
      <c r="U851" s="32" t="n">
        <f aca="false">INDEX('Tabela Passaro'!$O$2:$O$1795,$N851)</f>
        <v>5</v>
      </c>
      <c r="V851" s="32" t="n">
        <f aca="false">ROUNDUP(J851/INDEX('Tabela Passaro'!$Q$2:$Q$1795,$N851),0)*INDEX('Tabela Passaro'!$P$2:$P$1795,$N851)</f>
        <v>5</v>
      </c>
      <c r="W851" s="32" t="n">
        <f aca="false">INDEX('Tabela Passaro'!$R$2:$R$1795,$N851)</f>
        <v>30</v>
      </c>
      <c r="X851" s="32" t="n">
        <f aca="false">ROUNDUP(J851/INDEX('Tabela Passaro'!$T$2:$T$1795,$N851),0)*INDEX('Tabela Passaro'!$S$2:$S$1795,$N851)</f>
        <v>0</v>
      </c>
      <c r="Y851" s="32" t="n">
        <f aca="false">INDEX('Tabela Passaro'!$U$2:$U$1795,$N851)</f>
        <v>0</v>
      </c>
      <c r="Z851" s="32" t="n">
        <f aca="false">INDEX('Tabela Passaro'!$V$2:$V$1795,$N851)</f>
        <v>0</v>
      </c>
      <c r="AA851" s="32" t="n">
        <f aca="false">SUM(R851:Z851)</f>
        <v>173.45386</v>
      </c>
      <c r="AB851" s="33" t="n">
        <f aca="false">INDEX(Premissas!$B$5:$B$13,MATCH(A851,Premissas!$A$5:$A$13,0))</f>
        <v>0.07</v>
      </c>
      <c r="AC851" s="32" t="n">
        <f aca="false">AA851/(1-AB851)-AA851</f>
        <v>13.0556668817204</v>
      </c>
      <c r="AD851" s="32" t="n">
        <f aca="false">ROUND(AA851+AC851,2)</f>
        <v>186.51</v>
      </c>
      <c r="AE851" s="32" t="n">
        <f aca="false">AD851-L851</f>
        <v>101.92</v>
      </c>
      <c r="AF851" s="34" t="n">
        <f aca="false">IF(L851=0,0,AE851/L851)</f>
        <v>1.20487055207471</v>
      </c>
      <c r="AG851" s="22" t="str">
        <f aca="false">IF(AD851&lt;L851,"PASSARO","ATUAL")</f>
        <v>ATUAL</v>
      </c>
      <c r="AH851" s="22" t="str">
        <f aca="false">IF(P851&lt;&gt;A851,"Faixa cadastrada como "&amp;P851&amp;" na tabela; preço aplicado pela UF do CEP","")</f>
        <v/>
      </c>
      <c r="AI851" s="26" t="n">
        <v>208.8</v>
      </c>
      <c r="AJ851" s="22" t="str">
        <f aca="false">INDEX('Tabela Passaro'!$X$2:$X$1795,$N851)</f>
        <v>CAPITAL</v>
      </c>
    </row>
    <row r="852" customFormat="false" ht="15" hidden="false" customHeight="false" outlineLevel="0" collapsed="false">
      <c r="A852" s="22" t="s">
        <v>17</v>
      </c>
      <c r="B852" s="22" t="n">
        <v>1</v>
      </c>
      <c r="C852" s="22" t="s">
        <v>95</v>
      </c>
      <c r="D852" s="22" t="s">
        <v>31</v>
      </c>
      <c r="E852" s="22" t="s">
        <v>7326</v>
      </c>
      <c r="F852" s="22" t="n">
        <v>12829014</v>
      </c>
      <c r="G852" s="30" t="n">
        <v>46255</v>
      </c>
      <c r="H852" s="22" t="n">
        <v>628052</v>
      </c>
      <c r="I852" s="22" t="s">
        <v>8117</v>
      </c>
      <c r="J852" s="31" t="n">
        <v>17.2</v>
      </c>
      <c r="K852" s="26" t="n">
        <v>314.31</v>
      </c>
      <c r="L852" s="26" t="n">
        <v>80.88</v>
      </c>
      <c r="M852" s="22" t="s">
        <v>2349</v>
      </c>
      <c r="N852" s="22" t="n">
        <f aca="false">MATCH(M852,'Tabela Passaro'!$A$2:$A$1795,0)</f>
        <v>522</v>
      </c>
      <c r="O852" s="22" t="str">
        <f aca="false">INDEX('Tabela Passaro'!$C$2:$C$1795,$N852)</f>
        <v>FORTALEZA</v>
      </c>
      <c r="P852" s="22" t="str">
        <f aca="false">INDEX('Tabela Passaro'!$B$2:$B$1795,$N852)</f>
        <v>CE</v>
      </c>
      <c r="Q852" s="22" t="n">
        <f aca="false">INDEX('Tabela Passaro'!$F$2:$F$1795,$N852)</f>
        <v>8</v>
      </c>
      <c r="R852" s="32" t="n">
        <f aca="false">IF(J852&lt;=10,INDEX('Tabela Passaro'!$G$2:$G$1795,$N852),IF(J852&lt;=30,INDEX('Tabela Passaro'!$H$2:$H$1795,$N852),IF(J852&lt;=50,INDEX('Tabela Passaro'!$I$2:$I$1795,$N852),IF(J852&lt;=70,INDEX('Tabela Passaro'!$J$2:$J$1795,$N852),IF(J852&lt;=100,INDEX('Tabela Passaro'!$K$2:$K$1795,$N852),INDEX('Tabela Passaro'!$K$2:$K$1795,$N852)+(J852-100)*INDEX('Tabela Passaro'!$L$2:$L$1795,$N852))))))</f>
        <v>130.85</v>
      </c>
      <c r="S852" s="32" t="n">
        <f aca="false">K852*INDEX('Tabela Passaro'!$M$2:$M$1795,$N852)</f>
        <v>1.57155</v>
      </c>
      <c r="T852" s="32" t="n">
        <f aca="false">K852*INDEX('Tabela Passaro'!$N$2:$N$1795,$N852)</f>
        <v>0.62862</v>
      </c>
      <c r="U852" s="32" t="n">
        <f aca="false">INDEX('Tabela Passaro'!$O$2:$O$1795,$N852)</f>
        <v>5</v>
      </c>
      <c r="V852" s="32" t="n">
        <f aca="false">ROUNDUP(J852/INDEX('Tabela Passaro'!$Q$2:$Q$1795,$N852),0)*INDEX('Tabela Passaro'!$P$2:$P$1795,$N852)</f>
        <v>5</v>
      </c>
      <c r="W852" s="32" t="n">
        <f aca="false">INDEX('Tabela Passaro'!$R$2:$R$1795,$N852)</f>
        <v>30</v>
      </c>
      <c r="X852" s="32" t="n">
        <f aca="false">ROUNDUP(J852/INDEX('Tabela Passaro'!$T$2:$T$1795,$N852),0)*INDEX('Tabela Passaro'!$S$2:$S$1795,$N852)</f>
        <v>0</v>
      </c>
      <c r="Y852" s="32" t="n">
        <f aca="false">INDEX('Tabela Passaro'!$U$2:$U$1795,$N852)</f>
        <v>0</v>
      </c>
      <c r="Z852" s="32" t="n">
        <f aca="false">INDEX('Tabela Passaro'!$V$2:$V$1795,$N852)</f>
        <v>0</v>
      </c>
      <c r="AA852" s="32" t="n">
        <f aca="false">SUM(R852:Z852)</f>
        <v>173.05017</v>
      </c>
      <c r="AB852" s="33" t="n">
        <f aca="false">INDEX(Premissas!$B$5:$B$13,MATCH(A852,Premissas!$A$5:$A$13,0))</f>
        <v>0.07</v>
      </c>
      <c r="AC852" s="32" t="n">
        <f aca="false">AA852/(1-AB852)-AA852</f>
        <v>13.0252816129032</v>
      </c>
      <c r="AD852" s="32" t="n">
        <f aca="false">ROUND(AA852+AC852,2)</f>
        <v>186.08</v>
      </c>
      <c r="AE852" s="32" t="n">
        <f aca="false">AD852-L852</f>
        <v>105.2</v>
      </c>
      <c r="AF852" s="34" t="n">
        <f aca="false">IF(L852=0,0,AE852/L852)</f>
        <v>1.30069238377844</v>
      </c>
      <c r="AG852" s="22" t="str">
        <f aca="false">IF(AD852&lt;L852,"PASSARO","ATUAL")</f>
        <v>ATUAL</v>
      </c>
      <c r="AH852" s="22" t="str">
        <f aca="false">IF(P852&lt;&gt;A852,"Faixa cadastrada como "&amp;P852&amp;" na tabela; preço aplicado pela UF do CEP","")</f>
        <v/>
      </c>
      <c r="AI852" s="26" t="n">
        <v>208.25</v>
      </c>
      <c r="AJ852" s="22" t="str">
        <f aca="false">INDEX('Tabela Passaro'!$X$2:$X$1795,$N852)</f>
        <v>CAPITAL</v>
      </c>
    </row>
    <row r="853" customFormat="false" ht="15" hidden="false" customHeight="false" outlineLevel="0" collapsed="false">
      <c r="A853" s="22" t="s">
        <v>17</v>
      </c>
      <c r="B853" s="22" t="n">
        <v>1</v>
      </c>
      <c r="C853" s="22" t="s">
        <v>95</v>
      </c>
      <c r="D853" s="22" t="s">
        <v>31</v>
      </c>
      <c r="E853" s="22" t="s">
        <v>7326</v>
      </c>
      <c r="F853" s="22" t="n">
        <v>12844810</v>
      </c>
      <c r="G853" s="30" t="n">
        <v>46259</v>
      </c>
      <c r="H853" s="22" t="n">
        <v>628429</v>
      </c>
      <c r="I853" s="22" t="s">
        <v>8118</v>
      </c>
      <c r="J853" s="31" t="n">
        <v>11.8</v>
      </c>
      <c r="K853" s="26" t="n">
        <v>323.27</v>
      </c>
      <c r="L853" s="26" t="n">
        <v>43.8</v>
      </c>
      <c r="M853" s="22" t="s">
        <v>2349</v>
      </c>
      <c r="N853" s="22" t="n">
        <f aca="false">MATCH(M853,'Tabela Passaro'!$A$2:$A$1795,0)</f>
        <v>522</v>
      </c>
      <c r="O853" s="22" t="str">
        <f aca="false">INDEX('Tabela Passaro'!$C$2:$C$1795,$N853)</f>
        <v>FORTALEZA</v>
      </c>
      <c r="P853" s="22" t="str">
        <f aca="false">INDEX('Tabela Passaro'!$B$2:$B$1795,$N853)</f>
        <v>CE</v>
      </c>
      <c r="Q853" s="22" t="n">
        <f aca="false">INDEX('Tabela Passaro'!$F$2:$F$1795,$N853)</f>
        <v>8</v>
      </c>
      <c r="R853" s="32" t="n">
        <f aca="false">IF(J853&lt;=10,INDEX('Tabela Passaro'!$G$2:$G$1795,$N853),IF(J853&lt;=30,INDEX('Tabela Passaro'!$H$2:$H$1795,$N853),IF(J853&lt;=50,INDEX('Tabela Passaro'!$I$2:$I$1795,$N853),IF(J853&lt;=70,INDEX('Tabela Passaro'!$J$2:$J$1795,$N853),IF(J853&lt;=100,INDEX('Tabela Passaro'!$K$2:$K$1795,$N853),INDEX('Tabela Passaro'!$K$2:$K$1795,$N853)+(J853-100)*INDEX('Tabela Passaro'!$L$2:$L$1795,$N853))))))</f>
        <v>130.85</v>
      </c>
      <c r="S853" s="32" t="n">
        <f aca="false">K853*INDEX('Tabela Passaro'!$M$2:$M$1795,$N853)</f>
        <v>1.61635</v>
      </c>
      <c r="T853" s="32" t="n">
        <f aca="false">K853*INDEX('Tabela Passaro'!$N$2:$N$1795,$N853)</f>
        <v>0.64654</v>
      </c>
      <c r="U853" s="32" t="n">
        <f aca="false">INDEX('Tabela Passaro'!$O$2:$O$1795,$N853)</f>
        <v>5</v>
      </c>
      <c r="V853" s="32" t="n">
        <f aca="false">ROUNDUP(J853/INDEX('Tabela Passaro'!$Q$2:$Q$1795,$N853),0)*INDEX('Tabela Passaro'!$P$2:$P$1795,$N853)</f>
        <v>5</v>
      </c>
      <c r="W853" s="32" t="n">
        <f aca="false">INDEX('Tabela Passaro'!$R$2:$R$1795,$N853)</f>
        <v>30</v>
      </c>
      <c r="X853" s="32" t="n">
        <f aca="false">ROUNDUP(J853/INDEX('Tabela Passaro'!$T$2:$T$1795,$N853),0)*INDEX('Tabela Passaro'!$S$2:$S$1795,$N853)</f>
        <v>0</v>
      </c>
      <c r="Y853" s="32" t="n">
        <f aca="false">INDEX('Tabela Passaro'!$U$2:$U$1795,$N853)</f>
        <v>0</v>
      </c>
      <c r="Z853" s="32" t="n">
        <f aca="false">INDEX('Tabela Passaro'!$V$2:$V$1795,$N853)</f>
        <v>0</v>
      </c>
      <c r="AA853" s="32" t="n">
        <f aca="false">SUM(R853:Z853)</f>
        <v>173.11289</v>
      </c>
      <c r="AB853" s="33" t="n">
        <f aca="false">INDEX(Premissas!$B$5:$B$13,MATCH(A853,Premissas!$A$5:$A$13,0))</f>
        <v>0.07</v>
      </c>
      <c r="AC853" s="32" t="n">
        <f aca="false">AA853/(1-AB853)-AA853</f>
        <v>13.0300024731183</v>
      </c>
      <c r="AD853" s="32" t="n">
        <f aca="false">ROUND(AA853+AC853,2)</f>
        <v>186.14</v>
      </c>
      <c r="AE853" s="32" t="n">
        <f aca="false">AD853-L853</f>
        <v>142.34</v>
      </c>
      <c r="AF853" s="34" t="n">
        <f aca="false">IF(L853=0,0,AE853/L853)</f>
        <v>3.24977168949772</v>
      </c>
      <c r="AG853" s="22" t="str">
        <f aca="false">IF(AD853&lt;L853,"PASSARO","ATUAL")</f>
        <v>ATUAL</v>
      </c>
      <c r="AH853" s="22" t="str">
        <f aca="false">IF(P853&lt;&gt;A853,"Faixa cadastrada como "&amp;P853&amp;" na tabela; preço aplicado pela UF do CEP","")</f>
        <v/>
      </c>
      <c r="AI853" s="26" t="n">
        <v>205.43</v>
      </c>
      <c r="AJ853" s="22" t="str">
        <f aca="false">INDEX('Tabela Passaro'!$X$2:$X$1795,$N853)</f>
        <v>CAPITAL</v>
      </c>
    </row>
    <row r="854" customFormat="false" ht="15" hidden="false" customHeight="false" outlineLevel="0" collapsed="false">
      <c r="A854" s="22" t="s">
        <v>17</v>
      </c>
      <c r="B854" s="22" t="n">
        <v>1</v>
      </c>
      <c r="C854" s="22" t="s">
        <v>95</v>
      </c>
      <c r="D854" s="22" t="s">
        <v>31</v>
      </c>
      <c r="E854" s="22" t="s">
        <v>7326</v>
      </c>
      <c r="F854" s="22" t="n">
        <v>12844295</v>
      </c>
      <c r="G854" s="30" t="n">
        <v>46259</v>
      </c>
      <c r="H854" s="22" t="n">
        <v>629172</v>
      </c>
      <c r="I854" s="22" t="s">
        <v>8119</v>
      </c>
      <c r="J854" s="31" t="n">
        <v>14</v>
      </c>
      <c r="K854" s="26" t="n">
        <v>276.34</v>
      </c>
      <c r="L854" s="26" t="n">
        <v>61.28</v>
      </c>
      <c r="M854" s="22" t="s">
        <v>2349</v>
      </c>
      <c r="N854" s="22" t="n">
        <f aca="false">MATCH(M854,'Tabela Passaro'!$A$2:$A$1795,0)</f>
        <v>522</v>
      </c>
      <c r="O854" s="22" t="str">
        <f aca="false">INDEX('Tabela Passaro'!$C$2:$C$1795,$N854)</f>
        <v>FORTALEZA</v>
      </c>
      <c r="P854" s="22" t="str">
        <f aca="false">INDEX('Tabela Passaro'!$B$2:$B$1795,$N854)</f>
        <v>CE</v>
      </c>
      <c r="Q854" s="22" t="n">
        <f aca="false">INDEX('Tabela Passaro'!$F$2:$F$1795,$N854)</f>
        <v>8</v>
      </c>
      <c r="R854" s="32" t="n">
        <f aca="false">IF(J854&lt;=10,INDEX('Tabela Passaro'!$G$2:$G$1795,$N854),IF(J854&lt;=30,INDEX('Tabela Passaro'!$H$2:$H$1795,$N854),IF(J854&lt;=50,INDEX('Tabela Passaro'!$I$2:$I$1795,$N854),IF(J854&lt;=70,INDEX('Tabela Passaro'!$J$2:$J$1795,$N854),IF(J854&lt;=100,INDEX('Tabela Passaro'!$K$2:$K$1795,$N854),INDEX('Tabela Passaro'!$K$2:$K$1795,$N854)+(J854-100)*INDEX('Tabela Passaro'!$L$2:$L$1795,$N854))))))</f>
        <v>130.85</v>
      </c>
      <c r="S854" s="32" t="n">
        <f aca="false">K854*INDEX('Tabela Passaro'!$M$2:$M$1795,$N854)</f>
        <v>1.3817</v>
      </c>
      <c r="T854" s="32" t="n">
        <f aca="false">K854*INDEX('Tabela Passaro'!$N$2:$N$1795,$N854)</f>
        <v>0.55268</v>
      </c>
      <c r="U854" s="32" t="n">
        <f aca="false">INDEX('Tabela Passaro'!$O$2:$O$1795,$N854)</f>
        <v>5</v>
      </c>
      <c r="V854" s="32" t="n">
        <f aca="false">ROUNDUP(J854/INDEX('Tabela Passaro'!$Q$2:$Q$1795,$N854),0)*INDEX('Tabela Passaro'!$P$2:$P$1795,$N854)</f>
        <v>5</v>
      </c>
      <c r="W854" s="32" t="n">
        <f aca="false">INDEX('Tabela Passaro'!$R$2:$R$1795,$N854)</f>
        <v>30</v>
      </c>
      <c r="X854" s="32" t="n">
        <f aca="false">ROUNDUP(J854/INDEX('Tabela Passaro'!$T$2:$T$1795,$N854),0)*INDEX('Tabela Passaro'!$S$2:$S$1795,$N854)</f>
        <v>0</v>
      </c>
      <c r="Y854" s="32" t="n">
        <f aca="false">INDEX('Tabela Passaro'!$U$2:$U$1795,$N854)</f>
        <v>0</v>
      </c>
      <c r="Z854" s="32" t="n">
        <f aca="false">INDEX('Tabela Passaro'!$V$2:$V$1795,$N854)</f>
        <v>0</v>
      </c>
      <c r="AA854" s="32" t="n">
        <f aca="false">SUM(R854:Z854)</f>
        <v>172.78438</v>
      </c>
      <c r="AB854" s="33" t="n">
        <f aca="false">INDEX(Premissas!$B$5:$B$13,MATCH(A854,Premissas!$A$5:$A$13,0))</f>
        <v>0.07</v>
      </c>
      <c r="AC854" s="32" t="n">
        <f aca="false">AA854/(1-AB854)-AA854</f>
        <v>13.0052759139785</v>
      </c>
      <c r="AD854" s="32" t="n">
        <f aca="false">ROUND(AA854+AC854,2)</f>
        <v>185.79</v>
      </c>
      <c r="AE854" s="32" t="n">
        <f aca="false">AD854-L854</f>
        <v>124.51</v>
      </c>
      <c r="AF854" s="34" t="n">
        <f aca="false">IF(L854=0,0,AE854/L854)</f>
        <v>2.03182114882507</v>
      </c>
      <c r="AG854" s="22" t="str">
        <f aca="false">IF(AD854&lt;L854,"PASSARO","ATUAL")</f>
        <v>ATUAL</v>
      </c>
      <c r="AH854" s="22" t="str">
        <f aca="false">IF(P854&lt;&gt;A854,"Faixa cadastrada como "&amp;P854&amp;" na tabela; preço aplicado pela UF do CEP","")</f>
        <v/>
      </c>
      <c r="AI854" s="26" t="n">
        <v>205.94</v>
      </c>
      <c r="AJ854" s="22" t="str">
        <f aca="false">INDEX('Tabela Passaro'!$X$2:$X$1795,$N854)</f>
        <v>CAPITAL</v>
      </c>
    </row>
    <row r="855" customFormat="false" ht="15" hidden="false" customHeight="false" outlineLevel="0" collapsed="false">
      <c r="A855" s="22" t="s">
        <v>17</v>
      </c>
      <c r="B855" s="22" t="n">
        <v>1</v>
      </c>
      <c r="C855" s="22" t="s">
        <v>95</v>
      </c>
      <c r="D855" s="22" t="s">
        <v>31</v>
      </c>
      <c r="E855" s="22" t="s">
        <v>7326</v>
      </c>
      <c r="F855" s="22" t="n">
        <v>12851030</v>
      </c>
      <c r="G855" s="30" t="n">
        <v>46260</v>
      </c>
      <c r="H855" s="22" t="n">
        <v>629512</v>
      </c>
      <c r="I855" s="22" t="s">
        <v>8083</v>
      </c>
      <c r="J855" s="31" t="n">
        <v>22.09</v>
      </c>
      <c r="K855" s="26" t="n">
        <v>461.05</v>
      </c>
      <c r="L855" s="26" t="n">
        <v>88.61</v>
      </c>
      <c r="M855" s="22" t="s">
        <v>2349</v>
      </c>
      <c r="N855" s="22" t="n">
        <f aca="false">MATCH(M855,'Tabela Passaro'!$A$2:$A$1795,0)</f>
        <v>522</v>
      </c>
      <c r="O855" s="22" t="str">
        <f aca="false">INDEX('Tabela Passaro'!$C$2:$C$1795,$N855)</f>
        <v>FORTALEZA</v>
      </c>
      <c r="P855" s="22" t="str">
        <f aca="false">INDEX('Tabela Passaro'!$B$2:$B$1795,$N855)</f>
        <v>CE</v>
      </c>
      <c r="Q855" s="22" t="n">
        <f aca="false">INDEX('Tabela Passaro'!$F$2:$F$1795,$N855)</f>
        <v>8</v>
      </c>
      <c r="R855" s="32" t="n">
        <f aca="false">IF(J855&lt;=10,INDEX('Tabela Passaro'!$G$2:$G$1795,$N855),IF(J855&lt;=30,INDEX('Tabela Passaro'!$H$2:$H$1795,$N855),IF(J855&lt;=50,INDEX('Tabela Passaro'!$I$2:$I$1795,$N855),IF(J855&lt;=70,INDEX('Tabela Passaro'!$J$2:$J$1795,$N855),IF(J855&lt;=100,INDEX('Tabela Passaro'!$K$2:$K$1795,$N855),INDEX('Tabela Passaro'!$K$2:$K$1795,$N855)+(J855-100)*INDEX('Tabela Passaro'!$L$2:$L$1795,$N855))))))</f>
        <v>130.85</v>
      </c>
      <c r="S855" s="32" t="n">
        <f aca="false">K855*INDEX('Tabela Passaro'!$M$2:$M$1795,$N855)</f>
        <v>2.30525</v>
      </c>
      <c r="T855" s="32" t="n">
        <f aca="false">K855*INDEX('Tabela Passaro'!$N$2:$N$1795,$N855)</f>
        <v>0.9221</v>
      </c>
      <c r="U855" s="32" t="n">
        <f aca="false">INDEX('Tabela Passaro'!$O$2:$O$1795,$N855)</f>
        <v>5</v>
      </c>
      <c r="V855" s="32" t="n">
        <f aca="false">ROUNDUP(J855/INDEX('Tabela Passaro'!$Q$2:$Q$1795,$N855),0)*INDEX('Tabela Passaro'!$P$2:$P$1795,$N855)</f>
        <v>5</v>
      </c>
      <c r="W855" s="32" t="n">
        <f aca="false">INDEX('Tabela Passaro'!$R$2:$R$1795,$N855)</f>
        <v>30</v>
      </c>
      <c r="X855" s="32" t="n">
        <f aca="false">ROUNDUP(J855/INDEX('Tabela Passaro'!$T$2:$T$1795,$N855),0)*INDEX('Tabela Passaro'!$S$2:$S$1795,$N855)</f>
        <v>0</v>
      </c>
      <c r="Y855" s="32" t="n">
        <f aca="false">INDEX('Tabela Passaro'!$U$2:$U$1795,$N855)</f>
        <v>0</v>
      </c>
      <c r="Z855" s="32" t="n">
        <f aca="false">INDEX('Tabela Passaro'!$V$2:$V$1795,$N855)</f>
        <v>0</v>
      </c>
      <c r="AA855" s="32" t="n">
        <f aca="false">SUM(R855:Z855)</f>
        <v>174.07735</v>
      </c>
      <c r="AB855" s="33" t="n">
        <f aca="false">INDEX(Premissas!$B$5:$B$13,MATCH(A855,Premissas!$A$5:$A$13,0))</f>
        <v>0.07</v>
      </c>
      <c r="AC855" s="32" t="n">
        <f aca="false">AA855/(1-AB855)-AA855</f>
        <v>13.1025962365592</v>
      </c>
      <c r="AD855" s="32" t="n">
        <f aca="false">ROUND(AA855+AC855,2)</f>
        <v>187.18</v>
      </c>
      <c r="AE855" s="32" t="n">
        <f aca="false">AD855-L855</f>
        <v>98.57</v>
      </c>
      <c r="AF855" s="34" t="n">
        <f aca="false">IF(L855=0,0,AE855/L855)</f>
        <v>1.11240266335628</v>
      </c>
      <c r="AG855" s="22" t="str">
        <f aca="false">IF(AD855&lt;L855,"PASSARO","ATUAL")</f>
        <v>ATUAL</v>
      </c>
      <c r="AH855" s="22" t="str">
        <f aca="false">IF(P855&lt;&gt;A855,"Faixa cadastrada como "&amp;P855&amp;" na tabela; preço aplicado pela UF do CEP","")</f>
        <v/>
      </c>
      <c r="AI855" s="26" t="n">
        <v>212.09</v>
      </c>
      <c r="AJ855" s="22" t="str">
        <f aca="false">INDEX('Tabela Passaro'!$X$2:$X$1795,$N855)</f>
        <v>CAPITAL</v>
      </c>
    </row>
    <row r="856" customFormat="false" ht="15" hidden="false" customHeight="false" outlineLevel="0" collapsed="false">
      <c r="A856" s="22" t="s">
        <v>17</v>
      </c>
      <c r="B856" s="22" t="n">
        <v>2</v>
      </c>
      <c r="C856" s="22" t="s">
        <v>97</v>
      </c>
      <c r="D856" s="22" t="s">
        <v>30</v>
      </c>
      <c r="E856" s="22" t="s">
        <v>7328</v>
      </c>
      <c r="F856" s="22" t="n">
        <v>2309817</v>
      </c>
      <c r="G856" s="30" t="n">
        <v>46244</v>
      </c>
      <c r="H856" s="22" t="n">
        <v>132137</v>
      </c>
      <c r="I856" s="22" t="s">
        <v>8120</v>
      </c>
      <c r="J856" s="31" t="n">
        <v>51.06</v>
      </c>
      <c r="K856" s="26" t="n">
        <v>959.21</v>
      </c>
      <c r="L856" s="26" t="n">
        <v>246.03</v>
      </c>
      <c r="M856" s="22" t="s">
        <v>2806</v>
      </c>
      <c r="N856" s="22" t="n">
        <f aca="false">MATCH(M856,'Tabela Passaro'!$A$2:$A$1795,0)</f>
        <v>638</v>
      </c>
      <c r="O856" s="22" t="str">
        <f aca="false">INDEX('Tabela Passaro'!$C$2:$C$1795,$N856)</f>
        <v>JUAZEIRO DO NORTE</v>
      </c>
      <c r="P856" s="22" t="str">
        <f aca="false">INDEX('Tabela Passaro'!$B$2:$B$1795,$N856)</f>
        <v>CE</v>
      </c>
      <c r="Q856" s="22" t="n">
        <f aca="false">INDEX('Tabela Passaro'!$F$2:$F$1795,$N856)</f>
        <v>14</v>
      </c>
      <c r="R856" s="32" t="n">
        <f aca="false">IF(J856&lt;=10,INDEX('Tabela Passaro'!$G$2:$G$1795,$N856),IF(J856&lt;=30,INDEX('Tabela Passaro'!$H$2:$H$1795,$N856),IF(J856&lt;=50,INDEX('Tabela Passaro'!$I$2:$I$1795,$N856),IF(J856&lt;=70,INDEX('Tabela Passaro'!$J$2:$J$1795,$N856),IF(J856&lt;=100,INDEX('Tabela Passaro'!$K$2:$K$1795,$N856),INDEX('Tabela Passaro'!$K$2:$K$1795,$N856)+(J856-100)*INDEX('Tabela Passaro'!$L$2:$L$1795,$N856))))))</f>
        <v>243.44</v>
      </c>
      <c r="S856" s="32" t="n">
        <f aca="false">K856*INDEX('Tabela Passaro'!$M$2:$M$1795,$N856)</f>
        <v>4.79605</v>
      </c>
      <c r="T856" s="32" t="n">
        <f aca="false">K856*INDEX('Tabela Passaro'!$N$2:$N$1795,$N856)</f>
        <v>1.91842</v>
      </c>
      <c r="U856" s="32" t="n">
        <f aca="false">INDEX('Tabela Passaro'!$O$2:$O$1795,$N856)</f>
        <v>5</v>
      </c>
      <c r="V856" s="32" t="n">
        <f aca="false">ROUNDUP(J856/INDEX('Tabela Passaro'!$Q$2:$Q$1795,$N856),0)*INDEX('Tabela Passaro'!$P$2:$P$1795,$N856)</f>
        <v>5</v>
      </c>
      <c r="W856" s="32" t="n">
        <f aca="false">INDEX('Tabela Passaro'!$R$2:$R$1795,$N856)</f>
        <v>30</v>
      </c>
      <c r="X856" s="32" t="n">
        <f aca="false">ROUNDUP(J856/INDEX('Tabela Passaro'!$T$2:$T$1795,$N856),0)*INDEX('Tabela Passaro'!$S$2:$S$1795,$N856)</f>
        <v>0</v>
      </c>
      <c r="Y856" s="32" t="n">
        <f aca="false">INDEX('Tabela Passaro'!$U$2:$U$1795,$N856)</f>
        <v>0</v>
      </c>
      <c r="Z856" s="32" t="n">
        <f aca="false">INDEX('Tabela Passaro'!$V$2:$V$1795,$N856)</f>
        <v>0</v>
      </c>
      <c r="AA856" s="32" t="n">
        <f aca="false">SUM(R856:Z856)</f>
        <v>290.15447</v>
      </c>
      <c r="AB856" s="33" t="n">
        <f aca="false">INDEX(Premissas!$B$5:$B$13,MATCH(A856,Premissas!$A$5:$A$13,0))</f>
        <v>0.07</v>
      </c>
      <c r="AC856" s="32" t="n">
        <f aca="false">AA856/(1-AB856)-AA856</f>
        <v>21.8395837634409</v>
      </c>
      <c r="AD856" s="32" t="n">
        <f aca="false">ROUND(AA856+AC856,2)</f>
        <v>311.99</v>
      </c>
      <c r="AE856" s="32" t="n">
        <f aca="false">AD856-L856</f>
        <v>65.96</v>
      </c>
      <c r="AF856" s="34" t="n">
        <f aca="false">IF(L856=0,0,AE856/L856)</f>
        <v>0.268097386497582</v>
      </c>
      <c r="AG856" s="22" t="str">
        <f aca="false">IF(AD856&lt;L856,"PASSARO","ATUAL")</f>
        <v>ATUAL</v>
      </c>
      <c r="AH856" s="22" t="str">
        <f aca="false">IF(P856&lt;&gt;A856,"Faixa cadastrada como "&amp;P856&amp;" na tabela; preço aplicado pela UF do CEP","")</f>
        <v/>
      </c>
      <c r="AI856" s="26" t="n">
        <v>342.25</v>
      </c>
      <c r="AJ856" s="22" t="str">
        <f aca="false">INDEX('Tabela Passaro'!$X$2:$X$1795,$N856)</f>
        <v>INTERIOR 2</v>
      </c>
    </row>
    <row r="857" customFormat="false" ht="15" hidden="false" customHeight="false" outlineLevel="0" collapsed="false">
      <c r="A857" s="22" t="s">
        <v>17</v>
      </c>
      <c r="B857" s="22" t="n">
        <v>2</v>
      </c>
      <c r="C857" s="22" t="s">
        <v>97</v>
      </c>
      <c r="D857" s="22" t="s">
        <v>30</v>
      </c>
      <c r="E857" s="22" t="s">
        <v>7328</v>
      </c>
      <c r="F857" s="22" t="n">
        <v>2309849</v>
      </c>
      <c r="G857" s="30" t="n">
        <v>46244</v>
      </c>
      <c r="H857" s="22" t="n">
        <v>132331</v>
      </c>
      <c r="I857" s="22" t="s">
        <v>8121</v>
      </c>
      <c r="J857" s="31" t="n">
        <v>51.06</v>
      </c>
      <c r="K857" s="26" t="n">
        <v>923.98</v>
      </c>
      <c r="L857" s="26" t="n">
        <v>245.74</v>
      </c>
      <c r="M857" s="22" t="s">
        <v>2806</v>
      </c>
      <c r="N857" s="22" t="n">
        <f aca="false">MATCH(M857,'Tabela Passaro'!$A$2:$A$1795,0)</f>
        <v>638</v>
      </c>
      <c r="O857" s="22" t="str">
        <f aca="false">INDEX('Tabela Passaro'!$C$2:$C$1795,$N857)</f>
        <v>JUAZEIRO DO NORTE</v>
      </c>
      <c r="P857" s="22" t="str">
        <f aca="false">INDEX('Tabela Passaro'!$B$2:$B$1795,$N857)</f>
        <v>CE</v>
      </c>
      <c r="Q857" s="22" t="n">
        <f aca="false">INDEX('Tabela Passaro'!$F$2:$F$1795,$N857)</f>
        <v>14</v>
      </c>
      <c r="R857" s="32" t="n">
        <f aca="false">IF(J857&lt;=10,INDEX('Tabela Passaro'!$G$2:$G$1795,$N857),IF(J857&lt;=30,INDEX('Tabela Passaro'!$H$2:$H$1795,$N857),IF(J857&lt;=50,INDEX('Tabela Passaro'!$I$2:$I$1795,$N857),IF(J857&lt;=70,INDEX('Tabela Passaro'!$J$2:$J$1795,$N857),IF(J857&lt;=100,INDEX('Tabela Passaro'!$K$2:$K$1795,$N857),INDEX('Tabela Passaro'!$K$2:$K$1795,$N857)+(J857-100)*INDEX('Tabela Passaro'!$L$2:$L$1795,$N857))))))</f>
        <v>243.44</v>
      </c>
      <c r="S857" s="32" t="n">
        <f aca="false">K857*INDEX('Tabela Passaro'!$M$2:$M$1795,$N857)</f>
        <v>4.6199</v>
      </c>
      <c r="T857" s="32" t="n">
        <f aca="false">K857*INDEX('Tabela Passaro'!$N$2:$N$1795,$N857)</f>
        <v>1.84796</v>
      </c>
      <c r="U857" s="32" t="n">
        <f aca="false">INDEX('Tabela Passaro'!$O$2:$O$1795,$N857)</f>
        <v>5</v>
      </c>
      <c r="V857" s="32" t="n">
        <f aca="false">ROUNDUP(J857/INDEX('Tabela Passaro'!$Q$2:$Q$1795,$N857),0)*INDEX('Tabela Passaro'!$P$2:$P$1795,$N857)</f>
        <v>5</v>
      </c>
      <c r="W857" s="32" t="n">
        <f aca="false">INDEX('Tabela Passaro'!$R$2:$R$1795,$N857)</f>
        <v>30</v>
      </c>
      <c r="X857" s="32" t="n">
        <f aca="false">ROUNDUP(J857/INDEX('Tabela Passaro'!$T$2:$T$1795,$N857),0)*INDEX('Tabela Passaro'!$S$2:$S$1795,$N857)</f>
        <v>0</v>
      </c>
      <c r="Y857" s="32" t="n">
        <f aca="false">INDEX('Tabela Passaro'!$U$2:$U$1795,$N857)</f>
        <v>0</v>
      </c>
      <c r="Z857" s="32" t="n">
        <f aca="false">INDEX('Tabela Passaro'!$V$2:$V$1795,$N857)</f>
        <v>0</v>
      </c>
      <c r="AA857" s="32" t="n">
        <f aca="false">SUM(R857:Z857)</f>
        <v>289.90786</v>
      </c>
      <c r="AB857" s="33" t="n">
        <f aca="false">INDEX(Premissas!$B$5:$B$13,MATCH(A857,Premissas!$A$5:$A$13,0))</f>
        <v>0.07</v>
      </c>
      <c r="AC857" s="32" t="n">
        <f aca="false">AA857/(1-AB857)-AA857</f>
        <v>21.8210217204301</v>
      </c>
      <c r="AD857" s="32" t="n">
        <f aca="false">ROUND(AA857+AC857,2)</f>
        <v>311.73</v>
      </c>
      <c r="AE857" s="32" t="n">
        <f aca="false">AD857-L857</f>
        <v>65.99</v>
      </c>
      <c r="AF857" s="34" t="n">
        <f aca="false">IF(L857=0,0,AE857/L857)</f>
        <v>0.268535850899325</v>
      </c>
      <c r="AG857" s="22" t="str">
        <f aca="false">IF(AD857&lt;L857,"PASSARO","ATUAL")</f>
        <v>ATUAL</v>
      </c>
      <c r="AH857" s="22" t="str">
        <f aca="false">IF(P857&lt;&gt;A857,"Faixa cadastrada como "&amp;P857&amp;" na tabela; preço aplicado pela UF do CEP","")</f>
        <v/>
      </c>
      <c r="AI857" s="26" t="n">
        <v>341.91</v>
      </c>
      <c r="AJ857" s="22" t="str">
        <f aca="false">INDEX('Tabela Passaro'!$X$2:$X$1795,$N857)</f>
        <v>INTERIOR 2</v>
      </c>
    </row>
    <row r="858" customFormat="false" ht="15" hidden="false" customHeight="false" outlineLevel="0" collapsed="false">
      <c r="A858" s="22" t="s">
        <v>17</v>
      </c>
      <c r="B858" s="22" t="n">
        <v>2</v>
      </c>
      <c r="C858" s="22" t="s">
        <v>97</v>
      </c>
      <c r="D858" s="22" t="s">
        <v>30</v>
      </c>
      <c r="E858" s="22" t="s">
        <v>7326</v>
      </c>
      <c r="F858" s="22" t="n">
        <v>523851</v>
      </c>
      <c r="G858" s="30" t="n">
        <v>46245</v>
      </c>
      <c r="H858" s="22" t="n">
        <v>623696</v>
      </c>
      <c r="I858" s="22" t="s">
        <v>8122</v>
      </c>
      <c r="J858" s="31" t="n">
        <v>57.5</v>
      </c>
      <c r="K858" s="26" t="n">
        <v>1497.48</v>
      </c>
      <c r="L858" s="26" t="n">
        <v>287.27</v>
      </c>
      <c r="M858" s="22" t="s">
        <v>2806</v>
      </c>
      <c r="N858" s="22" t="n">
        <f aca="false">MATCH(M858,'Tabela Passaro'!$A$2:$A$1795,0)</f>
        <v>638</v>
      </c>
      <c r="O858" s="22" t="str">
        <f aca="false">INDEX('Tabela Passaro'!$C$2:$C$1795,$N858)</f>
        <v>JUAZEIRO DO NORTE</v>
      </c>
      <c r="P858" s="22" t="str">
        <f aca="false">INDEX('Tabela Passaro'!$B$2:$B$1795,$N858)</f>
        <v>CE</v>
      </c>
      <c r="Q858" s="22" t="n">
        <f aca="false">INDEX('Tabela Passaro'!$F$2:$F$1795,$N858)</f>
        <v>14</v>
      </c>
      <c r="R858" s="32" t="n">
        <f aca="false">IF(J858&lt;=10,INDEX('Tabela Passaro'!$G$2:$G$1795,$N858),IF(J858&lt;=30,INDEX('Tabela Passaro'!$H$2:$H$1795,$N858),IF(J858&lt;=50,INDEX('Tabela Passaro'!$I$2:$I$1795,$N858),IF(J858&lt;=70,INDEX('Tabela Passaro'!$J$2:$J$1795,$N858),IF(J858&lt;=100,INDEX('Tabela Passaro'!$K$2:$K$1795,$N858),INDEX('Tabela Passaro'!$K$2:$K$1795,$N858)+(J858-100)*INDEX('Tabela Passaro'!$L$2:$L$1795,$N858))))))</f>
        <v>243.44</v>
      </c>
      <c r="S858" s="32" t="n">
        <f aca="false">K858*INDEX('Tabela Passaro'!$M$2:$M$1795,$N858)</f>
        <v>7.4874</v>
      </c>
      <c r="T858" s="32" t="n">
        <f aca="false">K858*INDEX('Tabela Passaro'!$N$2:$N$1795,$N858)</f>
        <v>2.99496</v>
      </c>
      <c r="U858" s="32" t="n">
        <f aca="false">INDEX('Tabela Passaro'!$O$2:$O$1795,$N858)</f>
        <v>5</v>
      </c>
      <c r="V858" s="32" t="n">
        <f aca="false">ROUNDUP(J858/INDEX('Tabela Passaro'!$Q$2:$Q$1795,$N858),0)*INDEX('Tabela Passaro'!$P$2:$P$1795,$N858)</f>
        <v>5</v>
      </c>
      <c r="W858" s="32" t="n">
        <f aca="false">INDEX('Tabela Passaro'!$R$2:$R$1795,$N858)</f>
        <v>30</v>
      </c>
      <c r="X858" s="32" t="n">
        <f aca="false">ROUNDUP(J858/INDEX('Tabela Passaro'!$T$2:$T$1795,$N858),0)*INDEX('Tabela Passaro'!$S$2:$S$1795,$N858)</f>
        <v>0</v>
      </c>
      <c r="Y858" s="32" t="n">
        <f aca="false">INDEX('Tabela Passaro'!$U$2:$U$1795,$N858)</f>
        <v>0</v>
      </c>
      <c r="Z858" s="32" t="n">
        <f aca="false">INDEX('Tabela Passaro'!$V$2:$V$1795,$N858)</f>
        <v>0</v>
      </c>
      <c r="AA858" s="32" t="n">
        <f aca="false">SUM(R858:Z858)</f>
        <v>293.92236</v>
      </c>
      <c r="AB858" s="33" t="n">
        <f aca="false">INDEX(Premissas!$B$5:$B$13,MATCH(A858,Premissas!$A$5:$A$13,0))</f>
        <v>0.07</v>
      </c>
      <c r="AC858" s="32" t="n">
        <f aca="false">AA858/(1-AB858)-AA858</f>
        <v>22.1231883870968</v>
      </c>
      <c r="AD858" s="32" t="n">
        <f aca="false">ROUND(AA858+AC858,2)</f>
        <v>316.05</v>
      </c>
      <c r="AE858" s="32" t="n">
        <f aca="false">AD858-L858</f>
        <v>28.78</v>
      </c>
      <c r="AF858" s="34" t="n">
        <f aca="false">IF(L858=0,0,AE858/L858)</f>
        <v>0.100184495422425</v>
      </c>
      <c r="AG858" s="22" t="str">
        <f aca="false">IF(AD858&lt;L858,"PASSARO","ATUAL")</f>
        <v>ATUAL</v>
      </c>
      <c r="AH858" s="22" t="str">
        <f aca="false">IF(P858&lt;&gt;A858,"Faixa cadastrada como "&amp;P858&amp;" na tabela; preço aplicado pela UF do CEP","")</f>
        <v/>
      </c>
      <c r="AI858" s="26" t="n">
        <v>350.36</v>
      </c>
      <c r="AJ858" s="22" t="str">
        <f aca="false">INDEX('Tabela Passaro'!$X$2:$X$1795,$N858)</f>
        <v>INTERIOR 2</v>
      </c>
    </row>
    <row r="859" customFormat="false" ht="15" hidden="false" customHeight="false" outlineLevel="0" collapsed="false">
      <c r="A859" s="22" t="s">
        <v>17</v>
      </c>
      <c r="B859" s="22" t="n">
        <v>2</v>
      </c>
      <c r="C859" s="22" t="s">
        <v>97</v>
      </c>
      <c r="D859" s="22" t="s">
        <v>30</v>
      </c>
      <c r="E859" s="22" t="s">
        <v>7326</v>
      </c>
      <c r="F859" s="22" t="n">
        <v>523855</v>
      </c>
      <c r="G859" s="30" t="n">
        <v>46245</v>
      </c>
      <c r="H859" s="22" t="n">
        <v>623700</v>
      </c>
      <c r="I859" s="22" t="s">
        <v>8123</v>
      </c>
      <c r="J859" s="31" t="n">
        <v>17.3</v>
      </c>
      <c r="K859" s="26" t="n">
        <v>1290.84</v>
      </c>
      <c r="L859" s="26" t="n">
        <v>157.32</v>
      </c>
      <c r="M859" s="22" t="s">
        <v>2806</v>
      </c>
      <c r="N859" s="22" t="n">
        <f aca="false">MATCH(M859,'Tabela Passaro'!$A$2:$A$1795,0)</f>
        <v>638</v>
      </c>
      <c r="O859" s="22" t="str">
        <f aca="false">INDEX('Tabela Passaro'!$C$2:$C$1795,$N859)</f>
        <v>JUAZEIRO DO NORTE</v>
      </c>
      <c r="P859" s="22" t="str">
        <f aca="false">INDEX('Tabela Passaro'!$B$2:$B$1795,$N859)</f>
        <v>CE</v>
      </c>
      <c r="Q859" s="22" t="n">
        <f aca="false">INDEX('Tabela Passaro'!$F$2:$F$1795,$N859)</f>
        <v>14</v>
      </c>
      <c r="R859" s="32" t="n">
        <f aca="false">IF(J859&lt;=10,INDEX('Tabela Passaro'!$G$2:$G$1795,$N859),IF(J859&lt;=30,INDEX('Tabela Passaro'!$H$2:$H$1795,$N859),IF(J859&lt;=50,INDEX('Tabela Passaro'!$I$2:$I$1795,$N859),IF(J859&lt;=70,INDEX('Tabela Passaro'!$J$2:$J$1795,$N859),IF(J859&lt;=100,INDEX('Tabela Passaro'!$K$2:$K$1795,$N859),INDEX('Tabela Passaro'!$K$2:$K$1795,$N859)+(J859-100)*INDEX('Tabela Passaro'!$L$2:$L$1795,$N859))))))</f>
        <v>204.71</v>
      </c>
      <c r="S859" s="32" t="n">
        <f aca="false">K859*INDEX('Tabela Passaro'!$M$2:$M$1795,$N859)</f>
        <v>6.4542</v>
      </c>
      <c r="T859" s="32" t="n">
        <f aca="false">K859*INDEX('Tabela Passaro'!$N$2:$N$1795,$N859)</f>
        <v>2.58168</v>
      </c>
      <c r="U859" s="32" t="n">
        <f aca="false">INDEX('Tabela Passaro'!$O$2:$O$1795,$N859)</f>
        <v>5</v>
      </c>
      <c r="V859" s="32" t="n">
        <f aca="false">ROUNDUP(J859/INDEX('Tabela Passaro'!$Q$2:$Q$1795,$N859),0)*INDEX('Tabela Passaro'!$P$2:$P$1795,$N859)</f>
        <v>5</v>
      </c>
      <c r="W859" s="32" t="n">
        <f aca="false">INDEX('Tabela Passaro'!$R$2:$R$1795,$N859)</f>
        <v>30</v>
      </c>
      <c r="X859" s="32" t="n">
        <f aca="false">ROUNDUP(J859/INDEX('Tabela Passaro'!$T$2:$T$1795,$N859),0)*INDEX('Tabela Passaro'!$S$2:$S$1795,$N859)</f>
        <v>0</v>
      </c>
      <c r="Y859" s="32" t="n">
        <f aca="false">INDEX('Tabela Passaro'!$U$2:$U$1795,$N859)</f>
        <v>0</v>
      </c>
      <c r="Z859" s="32" t="n">
        <f aca="false">INDEX('Tabela Passaro'!$V$2:$V$1795,$N859)</f>
        <v>0</v>
      </c>
      <c r="AA859" s="32" t="n">
        <f aca="false">SUM(R859:Z859)</f>
        <v>253.74588</v>
      </c>
      <c r="AB859" s="33" t="n">
        <f aca="false">INDEX(Premissas!$B$5:$B$13,MATCH(A859,Premissas!$A$5:$A$13,0))</f>
        <v>0.07</v>
      </c>
      <c r="AC859" s="32" t="n">
        <f aca="false">AA859/(1-AB859)-AA859</f>
        <v>19.0991522580645</v>
      </c>
      <c r="AD859" s="32" t="n">
        <f aca="false">ROUND(AA859+AC859,2)</f>
        <v>272.85</v>
      </c>
      <c r="AE859" s="32" t="n">
        <f aca="false">AD859-L859</f>
        <v>115.53</v>
      </c>
      <c r="AF859" s="34" t="n">
        <f aca="false">IF(L859=0,0,AE859/L859)</f>
        <v>0.734363081617086</v>
      </c>
      <c r="AG859" s="22" t="str">
        <f aca="false">IF(AD859&lt;L859,"PASSARO","ATUAL")</f>
        <v>ATUAL</v>
      </c>
      <c r="AH859" s="22" t="str">
        <f aca="false">IF(P859&lt;&gt;A859,"Faixa cadastrada como "&amp;P859&amp;" na tabela; preço aplicado pela UF do CEP","")</f>
        <v/>
      </c>
      <c r="AI859" s="26" t="n">
        <v>285.17</v>
      </c>
      <c r="AJ859" s="22" t="str">
        <f aca="false">INDEX('Tabela Passaro'!$X$2:$X$1795,$N859)</f>
        <v>INTERIOR 2</v>
      </c>
    </row>
    <row r="860" customFormat="false" ht="15" hidden="false" customHeight="false" outlineLevel="0" collapsed="false">
      <c r="A860" s="22" t="s">
        <v>17</v>
      </c>
      <c r="B860" s="22" t="n">
        <v>2</v>
      </c>
      <c r="C860" s="22" t="s">
        <v>97</v>
      </c>
      <c r="D860" s="22" t="s">
        <v>30</v>
      </c>
      <c r="E860" s="22" t="s">
        <v>7328</v>
      </c>
      <c r="F860" s="22" t="n">
        <v>2311286</v>
      </c>
      <c r="G860" s="30" t="n">
        <v>46246</v>
      </c>
      <c r="H860" s="22" t="n">
        <v>132737</v>
      </c>
      <c r="I860" s="22" t="s">
        <v>8124</v>
      </c>
      <c r="J860" s="31" t="n">
        <v>59.9</v>
      </c>
      <c r="K860" s="26" t="n">
        <v>1057.13</v>
      </c>
      <c r="L860" s="26" t="n">
        <v>246.8</v>
      </c>
      <c r="M860" s="22" t="s">
        <v>2806</v>
      </c>
      <c r="N860" s="22" t="n">
        <f aca="false">MATCH(M860,'Tabela Passaro'!$A$2:$A$1795,0)</f>
        <v>638</v>
      </c>
      <c r="O860" s="22" t="str">
        <f aca="false">INDEX('Tabela Passaro'!$C$2:$C$1795,$N860)</f>
        <v>JUAZEIRO DO NORTE</v>
      </c>
      <c r="P860" s="22" t="str">
        <f aca="false">INDEX('Tabela Passaro'!$B$2:$B$1795,$N860)</f>
        <v>CE</v>
      </c>
      <c r="Q860" s="22" t="n">
        <f aca="false">INDEX('Tabela Passaro'!$F$2:$F$1795,$N860)</f>
        <v>14</v>
      </c>
      <c r="R860" s="32" t="n">
        <f aca="false">IF(J860&lt;=10,INDEX('Tabela Passaro'!$G$2:$G$1795,$N860),IF(J860&lt;=30,INDEX('Tabela Passaro'!$H$2:$H$1795,$N860),IF(J860&lt;=50,INDEX('Tabela Passaro'!$I$2:$I$1795,$N860),IF(J860&lt;=70,INDEX('Tabela Passaro'!$J$2:$J$1795,$N860),IF(J860&lt;=100,INDEX('Tabela Passaro'!$K$2:$K$1795,$N860),INDEX('Tabela Passaro'!$K$2:$K$1795,$N860)+(J860-100)*INDEX('Tabela Passaro'!$L$2:$L$1795,$N860))))))</f>
        <v>243.44</v>
      </c>
      <c r="S860" s="32" t="n">
        <f aca="false">K860*INDEX('Tabela Passaro'!$M$2:$M$1795,$N860)</f>
        <v>5.28565</v>
      </c>
      <c r="T860" s="32" t="n">
        <f aca="false">K860*INDEX('Tabela Passaro'!$N$2:$N$1795,$N860)</f>
        <v>2.11426</v>
      </c>
      <c r="U860" s="32" t="n">
        <f aca="false">INDEX('Tabela Passaro'!$O$2:$O$1795,$N860)</f>
        <v>5</v>
      </c>
      <c r="V860" s="32" t="n">
        <f aca="false">ROUNDUP(J860/INDEX('Tabela Passaro'!$Q$2:$Q$1795,$N860),0)*INDEX('Tabela Passaro'!$P$2:$P$1795,$N860)</f>
        <v>5</v>
      </c>
      <c r="W860" s="32" t="n">
        <f aca="false">INDEX('Tabela Passaro'!$R$2:$R$1795,$N860)</f>
        <v>30</v>
      </c>
      <c r="X860" s="32" t="n">
        <f aca="false">ROUNDUP(J860/INDEX('Tabela Passaro'!$T$2:$T$1795,$N860),0)*INDEX('Tabela Passaro'!$S$2:$S$1795,$N860)</f>
        <v>0</v>
      </c>
      <c r="Y860" s="32" t="n">
        <f aca="false">INDEX('Tabela Passaro'!$U$2:$U$1795,$N860)</f>
        <v>0</v>
      </c>
      <c r="Z860" s="32" t="n">
        <f aca="false">INDEX('Tabela Passaro'!$V$2:$V$1795,$N860)</f>
        <v>0</v>
      </c>
      <c r="AA860" s="32" t="n">
        <f aca="false">SUM(R860:Z860)</f>
        <v>290.83991</v>
      </c>
      <c r="AB860" s="33" t="n">
        <f aca="false">INDEX(Premissas!$B$5:$B$13,MATCH(A860,Premissas!$A$5:$A$13,0))</f>
        <v>0.07</v>
      </c>
      <c r="AC860" s="32" t="n">
        <f aca="false">AA860/(1-AB860)-AA860</f>
        <v>21.8911760215054</v>
      </c>
      <c r="AD860" s="32" t="n">
        <f aca="false">ROUND(AA860+AC860,2)</f>
        <v>312.73</v>
      </c>
      <c r="AE860" s="32" t="n">
        <f aca="false">AD860-L860</f>
        <v>65.93</v>
      </c>
      <c r="AF860" s="34" t="n">
        <f aca="false">IF(L860=0,0,AE860/L860)</f>
        <v>0.267139384116694</v>
      </c>
      <c r="AG860" s="22" t="str">
        <f aca="false">IF(AD860&lt;L860,"PASSARO","ATUAL")</f>
        <v>ATUAL</v>
      </c>
      <c r="AH860" s="22" t="str">
        <f aca="false">IF(P860&lt;&gt;A860,"Faixa cadastrada como "&amp;P860&amp;" na tabela; preço aplicado pela UF do CEP","")</f>
        <v/>
      </c>
      <c r="AI860" s="26" t="n">
        <v>347.07</v>
      </c>
      <c r="AJ860" s="22" t="str">
        <f aca="false">INDEX('Tabela Passaro'!$X$2:$X$1795,$N860)</f>
        <v>INTERIOR 2</v>
      </c>
    </row>
    <row r="861" customFormat="false" ht="15" hidden="false" customHeight="false" outlineLevel="0" collapsed="false">
      <c r="A861" s="22" t="s">
        <v>17</v>
      </c>
      <c r="B861" s="22" t="n">
        <v>2</v>
      </c>
      <c r="C861" s="22" t="s">
        <v>97</v>
      </c>
      <c r="D861" s="22" t="s">
        <v>30</v>
      </c>
      <c r="E861" s="22" t="s">
        <v>7328</v>
      </c>
      <c r="F861" s="22" t="n">
        <v>2312346</v>
      </c>
      <c r="G861" s="30" t="n">
        <v>46248</v>
      </c>
      <c r="H861" s="22" t="n">
        <v>133247</v>
      </c>
      <c r="I861" s="22" t="s">
        <v>8125</v>
      </c>
      <c r="J861" s="31" t="n">
        <v>38.2</v>
      </c>
      <c r="K861" s="26" t="n">
        <v>835.48</v>
      </c>
      <c r="L861" s="26" t="n">
        <v>192.29</v>
      </c>
      <c r="M861" s="22" t="s">
        <v>2806</v>
      </c>
      <c r="N861" s="22" t="n">
        <f aca="false">MATCH(M861,'Tabela Passaro'!$A$2:$A$1795,0)</f>
        <v>638</v>
      </c>
      <c r="O861" s="22" t="str">
        <f aca="false">INDEX('Tabela Passaro'!$C$2:$C$1795,$N861)</f>
        <v>JUAZEIRO DO NORTE</v>
      </c>
      <c r="P861" s="22" t="str">
        <f aca="false">INDEX('Tabela Passaro'!$B$2:$B$1795,$N861)</f>
        <v>CE</v>
      </c>
      <c r="Q861" s="22" t="n">
        <f aca="false">INDEX('Tabela Passaro'!$F$2:$F$1795,$N861)</f>
        <v>14</v>
      </c>
      <c r="R861" s="32" t="n">
        <f aca="false">IF(J861&lt;=10,INDEX('Tabela Passaro'!$G$2:$G$1795,$N861),IF(J861&lt;=30,INDEX('Tabela Passaro'!$H$2:$H$1795,$N861),IF(J861&lt;=50,INDEX('Tabela Passaro'!$I$2:$I$1795,$N861),IF(J861&lt;=70,INDEX('Tabela Passaro'!$J$2:$J$1795,$N861),IF(J861&lt;=100,INDEX('Tabela Passaro'!$K$2:$K$1795,$N861),INDEX('Tabela Passaro'!$K$2:$K$1795,$N861)+(J861-100)*INDEX('Tabela Passaro'!$L$2:$L$1795,$N861))))))</f>
        <v>226.84</v>
      </c>
      <c r="S861" s="32" t="n">
        <f aca="false">K861*INDEX('Tabela Passaro'!$M$2:$M$1795,$N861)</f>
        <v>4.1774</v>
      </c>
      <c r="T861" s="32" t="n">
        <f aca="false">K861*INDEX('Tabela Passaro'!$N$2:$N$1795,$N861)</f>
        <v>1.67096</v>
      </c>
      <c r="U861" s="32" t="n">
        <f aca="false">INDEX('Tabela Passaro'!$O$2:$O$1795,$N861)</f>
        <v>5</v>
      </c>
      <c r="V861" s="32" t="n">
        <f aca="false">ROUNDUP(J861/INDEX('Tabela Passaro'!$Q$2:$Q$1795,$N861),0)*INDEX('Tabela Passaro'!$P$2:$P$1795,$N861)</f>
        <v>5</v>
      </c>
      <c r="W861" s="32" t="n">
        <f aca="false">INDEX('Tabela Passaro'!$R$2:$R$1795,$N861)</f>
        <v>30</v>
      </c>
      <c r="X861" s="32" t="n">
        <f aca="false">ROUNDUP(J861/INDEX('Tabela Passaro'!$T$2:$T$1795,$N861),0)*INDEX('Tabela Passaro'!$S$2:$S$1795,$N861)</f>
        <v>0</v>
      </c>
      <c r="Y861" s="32" t="n">
        <f aca="false">INDEX('Tabela Passaro'!$U$2:$U$1795,$N861)</f>
        <v>0</v>
      </c>
      <c r="Z861" s="32" t="n">
        <f aca="false">INDEX('Tabela Passaro'!$V$2:$V$1795,$N861)</f>
        <v>0</v>
      </c>
      <c r="AA861" s="32" t="n">
        <f aca="false">SUM(R861:Z861)</f>
        <v>272.68836</v>
      </c>
      <c r="AB861" s="33" t="n">
        <f aca="false">INDEX(Premissas!$B$5:$B$13,MATCH(A861,Premissas!$A$5:$A$13,0))</f>
        <v>0.07</v>
      </c>
      <c r="AC861" s="32" t="n">
        <f aca="false">AA861/(1-AB861)-AA861</f>
        <v>20.5249303225806</v>
      </c>
      <c r="AD861" s="32" t="n">
        <f aca="false">ROUND(AA861+AC861,2)</f>
        <v>293.21</v>
      </c>
      <c r="AE861" s="32" t="n">
        <f aca="false">AD861-L861</f>
        <v>100.92</v>
      </c>
      <c r="AF861" s="34" t="n">
        <f aca="false">IF(L861=0,0,AE861/L861)</f>
        <v>0.52483228457018</v>
      </c>
      <c r="AG861" s="22" t="str">
        <f aca="false">IF(AD861&lt;L861,"PASSARO","ATUAL")</f>
        <v>ATUAL</v>
      </c>
      <c r="AH861" s="22" t="str">
        <f aca="false">IF(P861&lt;&gt;A861,"Faixa cadastrada como "&amp;P861&amp;" na tabela; preço aplicado pela UF do CEP","")</f>
        <v/>
      </c>
      <c r="AI861" s="26" t="n">
        <v>315.97</v>
      </c>
      <c r="AJ861" s="22" t="str">
        <f aca="false">INDEX('Tabela Passaro'!$X$2:$X$1795,$N861)</f>
        <v>INTERIOR 2</v>
      </c>
    </row>
    <row r="862" customFormat="false" ht="15" hidden="false" customHeight="false" outlineLevel="0" collapsed="false">
      <c r="A862" s="22" t="s">
        <v>17</v>
      </c>
      <c r="B862" s="22" t="n">
        <v>2</v>
      </c>
      <c r="C862" s="22" t="s">
        <v>97</v>
      </c>
      <c r="D862" s="22" t="s">
        <v>30</v>
      </c>
      <c r="E862" s="22" t="s">
        <v>7326</v>
      </c>
      <c r="F862" s="22" t="n">
        <v>525038</v>
      </c>
      <c r="G862" s="30" t="n">
        <v>46248</v>
      </c>
      <c r="H862" s="22" t="n">
        <v>624809</v>
      </c>
      <c r="I862" s="22" t="s">
        <v>8126</v>
      </c>
      <c r="J862" s="31" t="n">
        <v>37.3</v>
      </c>
      <c r="K862" s="26" t="n">
        <v>684.98</v>
      </c>
      <c r="L862" s="26" t="n">
        <v>214.55</v>
      </c>
      <c r="M862" s="22" t="s">
        <v>2806</v>
      </c>
      <c r="N862" s="22" t="n">
        <f aca="false">MATCH(M862,'Tabela Passaro'!$A$2:$A$1795,0)</f>
        <v>638</v>
      </c>
      <c r="O862" s="22" t="str">
        <f aca="false">INDEX('Tabela Passaro'!$C$2:$C$1795,$N862)</f>
        <v>JUAZEIRO DO NORTE</v>
      </c>
      <c r="P862" s="22" t="str">
        <f aca="false">INDEX('Tabela Passaro'!$B$2:$B$1795,$N862)</f>
        <v>CE</v>
      </c>
      <c r="Q862" s="22" t="n">
        <f aca="false">INDEX('Tabela Passaro'!$F$2:$F$1795,$N862)</f>
        <v>14</v>
      </c>
      <c r="R862" s="32" t="n">
        <f aca="false">IF(J862&lt;=10,INDEX('Tabela Passaro'!$G$2:$G$1795,$N862),IF(J862&lt;=30,INDEX('Tabela Passaro'!$H$2:$H$1795,$N862),IF(J862&lt;=50,INDEX('Tabela Passaro'!$I$2:$I$1795,$N862),IF(J862&lt;=70,INDEX('Tabela Passaro'!$J$2:$J$1795,$N862),IF(J862&lt;=100,INDEX('Tabela Passaro'!$K$2:$K$1795,$N862),INDEX('Tabela Passaro'!$K$2:$K$1795,$N862)+(J862-100)*INDEX('Tabela Passaro'!$L$2:$L$1795,$N862))))))</f>
        <v>226.84</v>
      </c>
      <c r="S862" s="32" t="n">
        <f aca="false">K862*INDEX('Tabela Passaro'!$M$2:$M$1795,$N862)</f>
        <v>3.4249</v>
      </c>
      <c r="T862" s="32" t="n">
        <f aca="false">K862*INDEX('Tabela Passaro'!$N$2:$N$1795,$N862)</f>
        <v>1.36996</v>
      </c>
      <c r="U862" s="32" t="n">
        <f aca="false">INDEX('Tabela Passaro'!$O$2:$O$1795,$N862)</f>
        <v>5</v>
      </c>
      <c r="V862" s="32" t="n">
        <f aca="false">ROUNDUP(J862/INDEX('Tabela Passaro'!$Q$2:$Q$1795,$N862),0)*INDEX('Tabela Passaro'!$P$2:$P$1795,$N862)</f>
        <v>5</v>
      </c>
      <c r="W862" s="32" t="n">
        <f aca="false">INDEX('Tabela Passaro'!$R$2:$R$1795,$N862)</f>
        <v>30</v>
      </c>
      <c r="X862" s="32" t="n">
        <f aca="false">ROUNDUP(J862/INDEX('Tabela Passaro'!$T$2:$T$1795,$N862),0)*INDEX('Tabela Passaro'!$S$2:$S$1795,$N862)</f>
        <v>0</v>
      </c>
      <c r="Y862" s="32" t="n">
        <f aca="false">INDEX('Tabela Passaro'!$U$2:$U$1795,$N862)</f>
        <v>0</v>
      </c>
      <c r="Z862" s="32" t="n">
        <f aca="false">INDEX('Tabela Passaro'!$V$2:$V$1795,$N862)</f>
        <v>0</v>
      </c>
      <c r="AA862" s="32" t="n">
        <f aca="false">SUM(R862:Z862)</f>
        <v>271.63486</v>
      </c>
      <c r="AB862" s="33" t="n">
        <f aca="false">INDEX(Premissas!$B$5:$B$13,MATCH(A862,Premissas!$A$5:$A$13,0))</f>
        <v>0.07</v>
      </c>
      <c r="AC862" s="32" t="n">
        <f aca="false">AA862/(1-AB862)-AA862</f>
        <v>20.4456346236559</v>
      </c>
      <c r="AD862" s="32" t="n">
        <f aca="false">ROUND(AA862+AC862,2)</f>
        <v>292.08</v>
      </c>
      <c r="AE862" s="32" t="n">
        <f aca="false">AD862-L862</f>
        <v>77.53</v>
      </c>
      <c r="AF862" s="34" t="n">
        <f aca="false">IF(L862=0,0,AE862/L862)</f>
        <v>0.361360988114658</v>
      </c>
      <c r="AG862" s="22" t="str">
        <f aca="false">IF(AD862&lt;L862,"PASSARO","ATUAL")</f>
        <v>ATUAL</v>
      </c>
      <c r="AH862" s="22" t="str">
        <f aca="false">IF(P862&lt;&gt;A862,"Faixa cadastrada como "&amp;P862&amp;" na tabela; preço aplicado pela UF do CEP","")</f>
        <v/>
      </c>
      <c r="AI862" s="26" t="n">
        <v>314.03</v>
      </c>
      <c r="AJ862" s="22" t="str">
        <f aca="false">INDEX('Tabela Passaro'!$X$2:$X$1795,$N862)</f>
        <v>INTERIOR 2</v>
      </c>
    </row>
    <row r="863" customFormat="false" ht="15" hidden="false" customHeight="false" outlineLevel="0" collapsed="false">
      <c r="A863" s="22" t="s">
        <v>17</v>
      </c>
      <c r="B863" s="22" t="n">
        <v>2</v>
      </c>
      <c r="C863" s="22" t="s">
        <v>97</v>
      </c>
      <c r="D863" s="22" t="s">
        <v>30</v>
      </c>
      <c r="E863" s="22" t="s">
        <v>7326</v>
      </c>
      <c r="F863" s="22" t="n">
        <v>524986</v>
      </c>
      <c r="G863" s="30" t="n">
        <v>46248</v>
      </c>
      <c r="H863" s="22" t="n">
        <v>625107</v>
      </c>
      <c r="I863" s="22" t="s">
        <v>8127</v>
      </c>
      <c r="J863" s="31" t="n">
        <v>107.7</v>
      </c>
      <c r="K863" s="26" t="n">
        <v>1853.93</v>
      </c>
      <c r="L863" s="26" t="n">
        <v>429.75</v>
      </c>
      <c r="M863" s="22" t="s">
        <v>2806</v>
      </c>
      <c r="N863" s="22" t="n">
        <f aca="false">MATCH(M863,'Tabela Passaro'!$A$2:$A$1795,0)</f>
        <v>638</v>
      </c>
      <c r="O863" s="22" t="str">
        <f aca="false">INDEX('Tabela Passaro'!$C$2:$C$1795,$N863)</f>
        <v>JUAZEIRO DO NORTE</v>
      </c>
      <c r="P863" s="22" t="str">
        <f aca="false">INDEX('Tabela Passaro'!$B$2:$B$1795,$N863)</f>
        <v>CE</v>
      </c>
      <c r="Q863" s="22" t="n">
        <f aca="false">INDEX('Tabela Passaro'!$F$2:$F$1795,$N863)</f>
        <v>14</v>
      </c>
      <c r="R863" s="32" t="n">
        <f aca="false">IF(J863&lt;=10,INDEX('Tabela Passaro'!$G$2:$G$1795,$N863),IF(J863&lt;=30,INDEX('Tabela Passaro'!$H$2:$H$1795,$N863),IF(J863&lt;=50,INDEX('Tabela Passaro'!$I$2:$I$1795,$N863),IF(J863&lt;=70,INDEX('Tabela Passaro'!$J$2:$J$1795,$N863),IF(J863&lt;=100,INDEX('Tabela Passaro'!$K$2:$K$1795,$N863),INDEX('Tabela Passaro'!$K$2:$K$1795,$N863)+(J863-100)*INDEX('Tabela Passaro'!$L$2:$L$1795,$N863))))))</f>
        <v>277.596</v>
      </c>
      <c r="S863" s="32" t="n">
        <f aca="false">K863*INDEX('Tabela Passaro'!$M$2:$M$1795,$N863)</f>
        <v>9.26965</v>
      </c>
      <c r="T863" s="32" t="n">
        <f aca="false">K863*INDEX('Tabela Passaro'!$N$2:$N$1795,$N863)</f>
        <v>3.70786</v>
      </c>
      <c r="U863" s="32" t="n">
        <f aca="false">INDEX('Tabela Passaro'!$O$2:$O$1795,$N863)</f>
        <v>5</v>
      </c>
      <c r="V863" s="32" t="n">
        <f aca="false">ROUNDUP(J863/INDEX('Tabela Passaro'!$Q$2:$Q$1795,$N863),0)*INDEX('Tabela Passaro'!$P$2:$P$1795,$N863)</f>
        <v>10</v>
      </c>
      <c r="W863" s="32" t="n">
        <f aca="false">INDEX('Tabela Passaro'!$R$2:$R$1795,$N863)</f>
        <v>30</v>
      </c>
      <c r="X863" s="32" t="n">
        <f aca="false">ROUNDUP(J863/INDEX('Tabela Passaro'!$T$2:$T$1795,$N863),0)*INDEX('Tabela Passaro'!$S$2:$S$1795,$N863)</f>
        <v>0</v>
      </c>
      <c r="Y863" s="32" t="n">
        <f aca="false">INDEX('Tabela Passaro'!$U$2:$U$1795,$N863)</f>
        <v>0</v>
      </c>
      <c r="Z863" s="32" t="n">
        <f aca="false">INDEX('Tabela Passaro'!$V$2:$V$1795,$N863)</f>
        <v>0</v>
      </c>
      <c r="AA863" s="32" t="n">
        <f aca="false">SUM(R863:Z863)</f>
        <v>335.57351</v>
      </c>
      <c r="AB863" s="33" t="n">
        <f aca="false">INDEX(Premissas!$B$5:$B$13,MATCH(A863,Premissas!$A$5:$A$13,0))</f>
        <v>0.07</v>
      </c>
      <c r="AC863" s="32" t="n">
        <f aca="false">AA863/(1-AB863)-AA863</f>
        <v>25.2582211827958</v>
      </c>
      <c r="AD863" s="32" t="n">
        <f aca="false">ROUND(AA863+AC863,2)</f>
        <v>360.83</v>
      </c>
      <c r="AE863" s="32" t="n">
        <f aca="false">AD863-L863</f>
        <v>-68.92</v>
      </c>
      <c r="AF863" s="34" t="n">
        <f aca="false">IF(L863=0,0,AE863/L863)</f>
        <v>-0.160372309482257</v>
      </c>
      <c r="AG863" s="22" t="str">
        <f aca="false">IF(AD863&lt;L863,"PASSARO","ATUAL")</f>
        <v>PASSARO</v>
      </c>
      <c r="AH863" s="22" t="str">
        <f aca="false">IF(P863&lt;&gt;A863,"Faixa cadastrada como "&amp;P863&amp;" na tabela; preço aplicado pela UF do CEP","")</f>
        <v/>
      </c>
      <c r="AI863" s="26" t="n">
        <v>423.36</v>
      </c>
      <c r="AJ863" s="22" t="str">
        <f aca="false">INDEX('Tabela Passaro'!$X$2:$X$1795,$N863)</f>
        <v>INTERIOR 2</v>
      </c>
    </row>
    <row r="864" customFormat="false" ht="15" hidden="false" customHeight="false" outlineLevel="0" collapsed="false">
      <c r="A864" s="22" t="s">
        <v>17</v>
      </c>
      <c r="B864" s="22" t="n">
        <v>2</v>
      </c>
      <c r="C864" s="22" t="s">
        <v>97</v>
      </c>
      <c r="D864" s="22" t="s">
        <v>30</v>
      </c>
      <c r="E864" s="22" t="s">
        <v>7326</v>
      </c>
      <c r="F864" s="22" t="n">
        <v>524993</v>
      </c>
      <c r="G864" s="30" t="n">
        <v>46248</v>
      </c>
      <c r="H864" s="22" t="n">
        <v>625205</v>
      </c>
      <c r="I864" s="22" t="s">
        <v>8128</v>
      </c>
      <c r="J864" s="31" t="n">
        <v>11.7</v>
      </c>
      <c r="K864" s="26" t="n">
        <v>848.14</v>
      </c>
      <c r="L864" s="26" t="n">
        <v>97.97</v>
      </c>
      <c r="M864" s="22" t="s">
        <v>2806</v>
      </c>
      <c r="N864" s="22" t="n">
        <f aca="false">MATCH(M864,'Tabela Passaro'!$A$2:$A$1795,0)</f>
        <v>638</v>
      </c>
      <c r="O864" s="22" t="str">
        <f aca="false">INDEX('Tabela Passaro'!$C$2:$C$1795,$N864)</f>
        <v>JUAZEIRO DO NORTE</v>
      </c>
      <c r="P864" s="22" t="str">
        <f aca="false">INDEX('Tabela Passaro'!$B$2:$B$1795,$N864)</f>
        <v>CE</v>
      </c>
      <c r="Q864" s="22" t="n">
        <f aca="false">INDEX('Tabela Passaro'!$F$2:$F$1795,$N864)</f>
        <v>14</v>
      </c>
      <c r="R864" s="32" t="n">
        <f aca="false">IF(J864&lt;=10,INDEX('Tabela Passaro'!$G$2:$G$1795,$N864),IF(J864&lt;=30,INDEX('Tabela Passaro'!$H$2:$H$1795,$N864),IF(J864&lt;=50,INDEX('Tabela Passaro'!$I$2:$I$1795,$N864),IF(J864&lt;=70,INDEX('Tabela Passaro'!$J$2:$J$1795,$N864),IF(J864&lt;=100,INDEX('Tabela Passaro'!$K$2:$K$1795,$N864),INDEX('Tabela Passaro'!$K$2:$K$1795,$N864)+(J864-100)*INDEX('Tabela Passaro'!$L$2:$L$1795,$N864))))))</f>
        <v>204.71</v>
      </c>
      <c r="S864" s="32" t="n">
        <f aca="false">K864*INDEX('Tabela Passaro'!$M$2:$M$1795,$N864)</f>
        <v>4.2407</v>
      </c>
      <c r="T864" s="32" t="n">
        <f aca="false">K864*INDEX('Tabela Passaro'!$N$2:$N$1795,$N864)</f>
        <v>1.69628</v>
      </c>
      <c r="U864" s="32" t="n">
        <f aca="false">INDEX('Tabela Passaro'!$O$2:$O$1795,$N864)</f>
        <v>5</v>
      </c>
      <c r="V864" s="32" t="n">
        <f aca="false">ROUNDUP(J864/INDEX('Tabela Passaro'!$Q$2:$Q$1795,$N864),0)*INDEX('Tabela Passaro'!$P$2:$P$1795,$N864)</f>
        <v>5</v>
      </c>
      <c r="W864" s="32" t="n">
        <f aca="false">INDEX('Tabela Passaro'!$R$2:$R$1795,$N864)</f>
        <v>30</v>
      </c>
      <c r="X864" s="32" t="n">
        <f aca="false">ROUNDUP(J864/INDEX('Tabela Passaro'!$T$2:$T$1795,$N864),0)*INDEX('Tabela Passaro'!$S$2:$S$1795,$N864)</f>
        <v>0</v>
      </c>
      <c r="Y864" s="32" t="n">
        <f aca="false">INDEX('Tabela Passaro'!$U$2:$U$1795,$N864)</f>
        <v>0</v>
      </c>
      <c r="Z864" s="32" t="n">
        <f aca="false">INDEX('Tabela Passaro'!$V$2:$V$1795,$N864)</f>
        <v>0</v>
      </c>
      <c r="AA864" s="32" t="n">
        <f aca="false">SUM(R864:Z864)</f>
        <v>250.64698</v>
      </c>
      <c r="AB864" s="33" t="n">
        <f aca="false">INDEX(Premissas!$B$5:$B$13,MATCH(A864,Premissas!$A$5:$A$13,0))</f>
        <v>0.07</v>
      </c>
      <c r="AC864" s="32" t="n">
        <f aca="false">AA864/(1-AB864)-AA864</f>
        <v>18.8659017204301</v>
      </c>
      <c r="AD864" s="32" t="n">
        <f aca="false">ROUND(AA864+AC864,2)</f>
        <v>269.51</v>
      </c>
      <c r="AE864" s="32" t="n">
        <f aca="false">AD864-L864</f>
        <v>171.54</v>
      </c>
      <c r="AF864" s="34" t="n">
        <f aca="false">IF(L864=0,0,AE864/L864)</f>
        <v>1.75094416658161</v>
      </c>
      <c r="AG864" s="22" t="str">
        <f aca="false">IF(AD864&lt;L864,"PASSARO","ATUAL")</f>
        <v>ATUAL</v>
      </c>
      <c r="AH864" s="22" t="str">
        <f aca="false">IF(P864&lt;&gt;A864,"Faixa cadastrada como "&amp;P864&amp;" na tabela; preço aplicado pela UF do CEP","")</f>
        <v/>
      </c>
      <c r="AI864" s="26" t="n">
        <v>277.98</v>
      </c>
      <c r="AJ864" s="22" t="str">
        <f aca="false">INDEX('Tabela Passaro'!$X$2:$X$1795,$N864)</f>
        <v>INTERIOR 2</v>
      </c>
    </row>
    <row r="865" customFormat="false" ht="15" hidden="false" customHeight="false" outlineLevel="0" collapsed="false">
      <c r="A865" s="22" t="s">
        <v>17</v>
      </c>
      <c r="B865" s="22" t="n">
        <v>2</v>
      </c>
      <c r="C865" s="22" t="s">
        <v>97</v>
      </c>
      <c r="D865" s="22" t="s">
        <v>30</v>
      </c>
      <c r="E865" s="22" t="s">
        <v>7328</v>
      </c>
      <c r="F865" s="22" t="n">
        <v>2313199</v>
      </c>
      <c r="G865" s="30" t="n">
        <v>46251</v>
      </c>
      <c r="H865" s="22" t="n">
        <v>133618</v>
      </c>
      <c r="I865" s="22" t="s">
        <v>8129</v>
      </c>
      <c r="J865" s="31" t="n">
        <v>67.8</v>
      </c>
      <c r="K865" s="26" t="n">
        <v>1238.39</v>
      </c>
      <c r="L865" s="26" t="n">
        <v>248.23</v>
      </c>
      <c r="M865" s="22" t="s">
        <v>2806</v>
      </c>
      <c r="N865" s="22" t="n">
        <f aca="false">MATCH(M865,'Tabela Passaro'!$A$2:$A$1795,0)</f>
        <v>638</v>
      </c>
      <c r="O865" s="22" t="str">
        <f aca="false">INDEX('Tabela Passaro'!$C$2:$C$1795,$N865)</f>
        <v>JUAZEIRO DO NORTE</v>
      </c>
      <c r="P865" s="22" t="str">
        <f aca="false">INDEX('Tabela Passaro'!$B$2:$B$1795,$N865)</f>
        <v>CE</v>
      </c>
      <c r="Q865" s="22" t="n">
        <f aca="false">INDEX('Tabela Passaro'!$F$2:$F$1795,$N865)</f>
        <v>14</v>
      </c>
      <c r="R865" s="32" t="n">
        <f aca="false">IF(J865&lt;=10,INDEX('Tabela Passaro'!$G$2:$G$1795,$N865),IF(J865&lt;=30,INDEX('Tabela Passaro'!$H$2:$H$1795,$N865),IF(J865&lt;=50,INDEX('Tabela Passaro'!$I$2:$I$1795,$N865),IF(J865&lt;=70,INDEX('Tabela Passaro'!$J$2:$J$1795,$N865),IF(J865&lt;=100,INDEX('Tabela Passaro'!$K$2:$K$1795,$N865),INDEX('Tabela Passaro'!$K$2:$K$1795,$N865)+(J865-100)*INDEX('Tabela Passaro'!$L$2:$L$1795,$N865))))))</f>
        <v>243.44</v>
      </c>
      <c r="S865" s="32" t="n">
        <f aca="false">K865*INDEX('Tabela Passaro'!$M$2:$M$1795,$N865)</f>
        <v>6.19195</v>
      </c>
      <c r="T865" s="32" t="n">
        <f aca="false">K865*INDEX('Tabela Passaro'!$N$2:$N$1795,$N865)</f>
        <v>2.47678</v>
      </c>
      <c r="U865" s="32" t="n">
        <f aca="false">INDEX('Tabela Passaro'!$O$2:$O$1795,$N865)</f>
        <v>5</v>
      </c>
      <c r="V865" s="32" t="n">
        <f aca="false">ROUNDUP(J865/INDEX('Tabela Passaro'!$Q$2:$Q$1795,$N865),0)*INDEX('Tabela Passaro'!$P$2:$P$1795,$N865)</f>
        <v>5</v>
      </c>
      <c r="W865" s="32" t="n">
        <f aca="false">INDEX('Tabela Passaro'!$R$2:$R$1795,$N865)</f>
        <v>30</v>
      </c>
      <c r="X865" s="32" t="n">
        <f aca="false">ROUNDUP(J865/INDEX('Tabela Passaro'!$T$2:$T$1795,$N865),0)*INDEX('Tabela Passaro'!$S$2:$S$1795,$N865)</f>
        <v>0</v>
      </c>
      <c r="Y865" s="32" t="n">
        <f aca="false">INDEX('Tabela Passaro'!$U$2:$U$1795,$N865)</f>
        <v>0</v>
      </c>
      <c r="Z865" s="32" t="n">
        <f aca="false">INDEX('Tabela Passaro'!$V$2:$V$1795,$N865)</f>
        <v>0</v>
      </c>
      <c r="AA865" s="32" t="n">
        <f aca="false">SUM(R865:Z865)</f>
        <v>292.10873</v>
      </c>
      <c r="AB865" s="33" t="n">
        <f aca="false">INDEX(Premissas!$B$5:$B$13,MATCH(A865,Premissas!$A$5:$A$13,0))</f>
        <v>0.07</v>
      </c>
      <c r="AC865" s="32" t="n">
        <f aca="false">AA865/(1-AB865)-AA865</f>
        <v>21.9866786021506</v>
      </c>
      <c r="AD865" s="32" t="n">
        <f aca="false">ROUND(AA865+AC865,2)</f>
        <v>314.1</v>
      </c>
      <c r="AE865" s="32" t="n">
        <f aca="false">AD865-L865</f>
        <v>65.87</v>
      </c>
      <c r="AF865" s="34" t="n">
        <f aca="false">IF(L865=0,0,AE865/L865)</f>
        <v>0.265358739878339</v>
      </c>
      <c r="AG865" s="22" t="str">
        <f aca="false">IF(AD865&lt;L865,"PASSARO","ATUAL")</f>
        <v>ATUAL</v>
      </c>
      <c r="AH865" s="22" t="str">
        <f aca="false">IF(P865&lt;&gt;A865,"Faixa cadastrada como "&amp;P865&amp;" na tabela; preço aplicado pela UF do CEP","")</f>
        <v/>
      </c>
      <c r="AI865" s="26" t="n">
        <v>352.69</v>
      </c>
      <c r="AJ865" s="22" t="str">
        <f aca="false">INDEX('Tabela Passaro'!$X$2:$X$1795,$N865)</f>
        <v>INTERIOR 2</v>
      </c>
    </row>
    <row r="866" customFormat="false" ht="15" hidden="false" customHeight="false" outlineLevel="0" collapsed="false">
      <c r="A866" s="22" t="s">
        <v>17</v>
      </c>
      <c r="B866" s="22" t="n">
        <v>2</v>
      </c>
      <c r="C866" s="22" t="s">
        <v>97</v>
      </c>
      <c r="D866" s="22" t="s">
        <v>30</v>
      </c>
      <c r="E866" s="22" t="s">
        <v>7328</v>
      </c>
      <c r="F866" s="22" t="n">
        <v>2315666</v>
      </c>
      <c r="G866" s="30" t="n">
        <v>46258</v>
      </c>
      <c r="H866" s="22" t="n">
        <v>134392</v>
      </c>
      <c r="I866" s="22" t="s">
        <v>8130</v>
      </c>
      <c r="J866" s="31" t="n">
        <v>66.4</v>
      </c>
      <c r="K866" s="26" t="n">
        <v>977.5</v>
      </c>
      <c r="L866" s="26" t="n">
        <v>246.16</v>
      </c>
      <c r="M866" s="22" t="s">
        <v>2806</v>
      </c>
      <c r="N866" s="22" t="n">
        <f aca="false">MATCH(M866,'Tabela Passaro'!$A$2:$A$1795,0)</f>
        <v>638</v>
      </c>
      <c r="O866" s="22" t="str">
        <f aca="false">INDEX('Tabela Passaro'!$C$2:$C$1795,$N866)</f>
        <v>JUAZEIRO DO NORTE</v>
      </c>
      <c r="P866" s="22" t="str">
        <f aca="false">INDEX('Tabela Passaro'!$B$2:$B$1795,$N866)</f>
        <v>CE</v>
      </c>
      <c r="Q866" s="22" t="n">
        <f aca="false">INDEX('Tabela Passaro'!$F$2:$F$1795,$N866)</f>
        <v>14</v>
      </c>
      <c r="R866" s="32" t="n">
        <f aca="false">IF(J866&lt;=10,INDEX('Tabela Passaro'!$G$2:$G$1795,$N866),IF(J866&lt;=30,INDEX('Tabela Passaro'!$H$2:$H$1795,$N866),IF(J866&lt;=50,INDEX('Tabela Passaro'!$I$2:$I$1795,$N866),IF(J866&lt;=70,INDEX('Tabela Passaro'!$J$2:$J$1795,$N866),IF(J866&lt;=100,INDEX('Tabela Passaro'!$K$2:$K$1795,$N866),INDEX('Tabela Passaro'!$K$2:$K$1795,$N866)+(J866-100)*INDEX('Tabela Passaro'!$L$2:$L$1795,$N866))))))</f>
        <v>243.44</v>
      </c>
      <c r="S866" s="32" t="n">
        <f aca="false">K866*INDEX('Tabela Passaro'!$M$2:$M$1795,$N866)</f>
        <v>4.8875</v>
      </c>
      <c r="T866" s="32" t="n">
        <f aca="false">K866*INDEX('Tabela Passaro'!$N$2:$N$1795,$N866)</f>
        <v>1.955</v>
      </c>
      <c r="U866" s="32" t="n">
        <f aca="false">INDEX('Tabela Passaro'!$O$2:$O$1795,$N866)</f>
        <v>5</v>
      </c>
      <c r="V866" s="32" t="n">
        <f aca="false">ROUNDUP(J866/INDEX('Tabela Passaro'!$Q$2:$Q$1795,$N866),0)*INDEX('Tabela Passaro'!$P$2:$P$1795,$N866)</f>
        <v>5</v>
      </c>
      <c r="W866" s="32" t="n">
        <f aca="false">INDEX('Tabela Passaro'!$R$2:$R$1795,$N866)</f>
        <v>30</v>
      </c>
      <c r="X866" s="32" t="n">
        <f aca="false">ROUNDUP(J866/INDEX('Tabela Passaro'!$T$2:$T$1795,$N866),0)*INDEX('Tabela Passaro'!$S$2:$S$1795,$N866)</f>
        <v>0</v>
      </c>
      <c r="Y866" s="32" t="n">
        <f aca="false">INDEX('Tabela Passaro'!$U$2:$U$1795,$N866)</f>
        <v>0</v>
      </c>
      <c r="Z866" s="32" t="n">
        <f aca="false">INDEX('Tabela Passaro'!$V$2:$V$1795,$N866)</f>
        <v>0</v>
      </c>
      <c r="AA866" s="32" t="n">
        <f aca="false">SUM(R866:Z866)</f>
        <v>290.2825</v>
      </c>
      <c r="AB866" s="33" t="n">
        <f aca="false">INDEX(Premissas!$B$5:$B$13,MATCH(A866,Premissas!$A$5:$A$13,0))</f>
        <v>0.07</v>
      </c>
      <c r="AC866" s="32" t="n">
        <f aca="false">AA866/(1-AB866)-AA866</f>
        <v>21.8492204301076</v>
      </c>
      <c r="AD866" s="32" t="n">
        <f aca="false">ROUND(AA866+AC866,2)</f>
        <v>312.13</v>
      </c>
      <c r="AE866" s="32" t="n">
        <f aca="false">AD866-L866</f>
        <v>65.97</v>
      </c>
      <c r="AF866" s="34" t="n">
        <f aca="false">IF(L866=0,0,AE866/L866)</f>
        <v>0.267996425089373</v>
      </c>
      <c r="AG866" s="22" t="str">
        <f aca="false">IF(AD866&lt;L866,"PASSARO","ATUAL")</f>
        <v>ATUAL</v>
      </c>
      <c r="AH866" s="22" t="str">
        <f aca="false">IF(P866&lt;&gt;A866,"Faixa cadastrada como "&amp;P866&amp;" na tabela; preço aplicado pela UF do CEP","")</f>
        <v/>
      </c>
      <c r="AI866" s="26" t="n">
        <v>349.69</v>
      </c>
      <c r="AJ866" s="22" t="str">
        <f aca="false">INDEX('Tabela Passaro'!$X$2:$X$1795,$N866)</f>
        <v>INTERIOR 2</v>
      </c>
    </row>
    <row r="867" customFormat="false" ht="15" hidden="false" customHeight="false" outlineLevel="0" collapsed="false">
      <c r="A867" s="22" t="s">
        <v>17</v>
      </c>
      <c r="B867" s="22" t="n">
        <v>2</v>
      </c>
      <c r="C867" s="22" t="s">
        <v>97</v>
      </c>
      <c r="D867" s="22" t="s">
        <v>30</v>
      </c>
      <c r="E867" s="22" t="s">
        <v>7328</v>
      </c>
      <c r="F867" s="22" t="n">
        <v>2315758</v>
      </c>
      <c r="G867" s="30" t="n">
        <v>46258</v>
      </c>
      <c r="H867" s="22" t="n">
        <v>134918</v>
      </c>
      <c r="I867" s="22" t="s">
        <v>8131</v>
      </c>
      <c r="J867" s="31" t="n">
        <v>66.4</v>
      </c>
      <c r="K867" s="26" t="n">
        <v>979.5</v>
      </c>
      <c r="L867" s="26" t="n">
        <v>246.18</v>
      </c>
      <c r="M867" s="22" t="s">
        <v>2806</v>
      </c>
      <c r="N867" s="22" t="n">
        <f aca="false">MATCH(M867,'Tabela Passaro'!$A$2:$A$1795,0)</f>
        <v>638</v>
      </c>
      <c r="O867" s="22" t="str">
        <f aca="false">INDEX('Tabela Passaro'!$C$2:$C$1795,$N867)</f>
        <v>JUAZEIRO DO NORTE</v>
      </c>
      <c r="P867" s="22" t="str">
        <f aca="false">INDEX('Tabela Passaro'!$B$2:$B$1795,$N867)</f>
        <v>CE</v>
      </c>
      <c r="Q867" s="22" t="n">
        <f aca="false">INDEX('Tabela Passaro'!$F$2:$F$1795,$N867)</f>
        <v>14</v>
      </c>
      <c r="R867" s="32" t="n">
        <f aca="false">IF(J867&lt;=10,INDEX('Tabela Passaro'!$G$2:$G$1795,$N867),IF(J867&lt;=30,INDEX('Tabela Passaro'!$H$2:$H$1795,$N867),IF(J867&lt;=50,INDEX('Tabela Passaro'!$I$2:$I$1795,$N867),IF(J867&lt;=70,INDEX('Tabela Passaro'!$J$2:$J$1795,$N867),IF(J867&lt;=100,INDEX('Tabela Passaro'!$K$2:$K$1795,$N867),INDEX('Tabela Passaro'!$K$2:$K$1795,$N867)+(J867-100)*INDEX('Tabela Passaro'!$L$2:$L$1795,$N867))))))</f>
        <v>243.44</v>
      </c>
      <c r="S867" s="32" t="n">
        <f aca="false">K867*INDEX('Tabela Passaro'!$M$2:$M$1795,$N867)</f>
        <v>4.8975</v>
      </c>
      <c r="T867" s="32" t="n">
        <f aca="false">K867*INDEX('Tabela Passaro'!$N$2:$N$1795,$N867)</f>
        <v>1.959</v>
      </c>
      <c r="U867" s="32" t="n">
        <f aca="false">INDEX('Tabela Passaro'!$O$2:$O$1795,$N867)</f>
        <v>5</v>
      </c>
      <c r="V867" s="32" t="n">
        <f aca="false">ROUNDUP(J867/INDEX('Tabela Passaro'!$Q$2:$Q$1795,$N867),0)*INDEX('Tabela Passaro'!$P$2:$P$1795,$N867)</f>
        <v>5</v>
      </c>
      <c r="W867" s="32" t="n">
        <f aca="false">INDEX('Tabela Passaro'!$R$2:$R$1795,$N867)</f>
        <v>30</v>
      </c>
      <c r="X867" s="32" t="n">
        <f aca="false">ROUNDUP(J867/INDEX('Tabela Passaro'!$T$2:$T$1795,$N867),0)*INDEX('Tabela Passaro'!$S$2:$S$1795,$N867)</f>
        <v>0</v>
      </c>
      <c r="Y867" s="32" t="n">
        <f aca="false">INDEX('Tabela Passaro'!$U$2:$U$1795,$N867)</f>
        <v>0</v>
      </c>
      <c r="Z867" s="32" t="n">
        <f aca="false">INDEX('Tabela Passaro'!$V$2:$V$1795,$N867)</f>
        <v>0</v>
      </c>
      <c r="AA867" s="32" t="n">
        <f aca="false">SUM(R867:Z867)</f>
        <v>290.2965</v>
      </c>
      <c r="AB867" s="33" t="n">
        <f aca="false">INDEX(Premissas!$B$5:$B$13,MATCH(A867,Premissas!$A$5:$A$13,0))</f>
        <v>0.07</v>
      </c>
      <c r="AC867" s="32" t="n">
        <f aca="false">AA867/(1-AB867)-AA867</f>
        <v>21.8502741935484</v>
      </c>
      <c r="AD867" s="32" t="n">
        <f aca="false">ROUND(AA867+AC867,2)</f>
        <v>312.15</v>
      </c>
      <c r="AE867" s="32" t="n">
        <f aca="false">AD867-L867</f>
        <v>65.97</v>
      </c>
      <c r="AF867" s="34" t="n">
        <f aca="false">IF(L867=0,0,AE867/L867)</f>
        <v>0.267974652693151</v>
      </c>
      <c r="AG867" s="22" t="str">
        <f aca="false">IF(AD867&lt;L867,"PASSARO","ATUAL")</f>
        <v>ATUAL</v>
      </c>
      <c r="AH867" s="22" t="str">
        <f aca="false">IF(P867&lt;&gt;A867,"Faixa cadastrada como "&amp;P867&amp;" na tabela; preço aplicado pela UF do CEP","")</f>
        <v/>
      </c>
      <c r="AI867" s="26" t="n">
        <v>349.7</v>
      </c>
      <c r="AJ867" s="22" t="str">
        <f aca="false">INDEX('Tabela Passaro'!$X$2:$X$1795,$N867)</f>
        <v>INTERIOR 2</v>
      </c>
    </row>
    <row r="868" customFormat="false" ht="15" hidden="false" customHeight="false" outlineLevel="0" collapsed="false">
      <c r="A868" s="22" t="s">
        <v>17</v>
      </c>
      <c r="B868" s="22" t="n">
        <v>2</v>
      </c>
      <c r="C868" s="22" t="s">
        <v>97</v>
      </c>
      <c r="D868" s="22" t="s">
        <v>30</v>
      </c>
      <c r="E868" s="22" t="s">
        <v>7328</v>
      </c>
      <c r="F868" s="22" t="n">
        <v>2316526</v>
      </c>
      <c r="G868" s="30" t="n">
        <v>46260</v>
      </c>
      <c r="H868" s="22" t="n">
        <v>135854</v>
      </c>
      <c r="I868" s="22" t="s">
        <v>8132</v>
      </c>
      <c r="J868" s="31" t="n">
        <v>66.4</v>
      </c>
      <c r="K868" s="26" t="n">
        <v>1095.88</v>
      </c>
      <c r="L868" s="26" t="n">
        <v>247.1</v>
      </c>
      <c r="M868" s="22" t="s">
        <v>2806</v>
      </c>
      <c r="N868" s="22" t="n">
        <f aca="false">MATCH(M868,'Tabela Passaro'!$A$2:$A$1795,0)</f>
        <v>638</v>
      </c>
      <c r="O868" s="22" t="str">
        <f aca="false">INDEX('Tabela Passaro'!$C$2:$C$1795,$N868)</f>
        <v>JUAZEIRO DO NORTE</v>
      </c>
      <c r="P868" s="22" t="str">
        <f aca="false">INDEX('Tabela Passaro'!$B$2:$B$1795,$N868)</f>
        <v>CE</v>
      </c>
      <c r="Q868" s="22" t="n">
        <f aca="false">INDEX('Tabela Passaro'!$F$2:$F$1795,$N868)</f>
        <v>14</v>
      </c>
      <c r="R868" s="32" t="n">
        <f aca="false">IF(J868&lt;=10,INDEX('Tabela Passaro'!$G$2:$G$1795,$N868),IF(J868&lt;=30,INDEX('Tabela Passaro'!$H$2:$H$1795,$N868),IF(J868&lt;=50,INDEX('Tabela Passaro'!$I$2:$I$1795,$N868),IF(J868&lt;=70,INDEX('Tabela Passaro'!$J$2:$J$1795,$N868),IF(J868&lt;=100,INDEX('Tabela Passaro'!$K$2:$K$1795,$N868),INDEX('Tabela Passaro'!$K$2:$K$1795,$N868)+(J868-100)*INDEX('Tabela Passaro'!$L$2:$L$1795,$N868))))))</f>
        <v>243.44</v>
      </c>
      <c r="S868" s="32" t="n">
        <f aca="false">K868*INDEX('Tabela Passaro'!$M$2:$M$1795,$N868)</f>
        <v>5.4794</v>
      </c>
      <c r="T868" s="32" t="n">
        <f aca="false">K868*INDEX('Tabela Passaro'!$N$2:$N$1795,$N868)</f>
        <v>2.19176</v>
      </c>
      <c r="U868" s="32" t="n">
        <f aca="false">INDEX('Tabela Passaro'!$O$2:$O$1795,$N868)</f>
        <v>5</v>
      </c>
      <c r="V868" s="32" t="n">
        <f aca="false">ROUNDUP(J868/INDEX('Tabela Passaro'!$Q$2:$Q$1795,$N868),0)*INDEX('Tabela Passaro'!$P$2:$P$1795,$N868)</f>
        <v>5</v>
      </c>
      <c r="W868" s="32" t="n">
        <f aca="false">INDEX('Tabela Passaro'!$R$2:$R$1795,$N868)</f>
        <v>30</v>
      </c>
      <c r="X868" s="32" t="n">
        <f aca="false">ROUNDUP(J868/INDEX('Tabela Passaro'!$T$2:$T$1795,$N868),0)*INDEX('Tabela Passaro'!$S$2:$S$1795,$N868)</f>
        <v>0</v>
      </c>
      <c r="Y868" s="32" t="n">
        <f aca="false">INDEX('Tabela Passaro'!$U$2:$U$1795,$N868)</f>
        <v>0</v>
      </c>
      <c r="Z868" s="32" t="n">
        <f aca="false">INDEX('Tabela Passaro'!$V$2:$V$1795,$N868)</f>
        <v>0</v>
      </c>
      <c r="AA868" s="32" t="n">
        <f aca="false">SUM(R868:Z868)</f>
        <v>291.11116</v>
      </c>
      <c r="AB868" s="33" t="n">
        <f aca="false">INDEX(Premissas!$B$5:$B$13,MATCH(A868,Premissas!$A$5:$A$13,0))</f>
        <v>0.07</v>
      </c>
      <c r="AC868" s="32" t="n">
        <f aca="false">AA868/(1-AB868)-AA868</f>
        <v>21.9115926881721</v>
      </c>
      <c r="AD868" s="32" t="n">
        <f aca="false">ROUND(AA868+AC868,2)</f>
        <v>313.02</v>
      </c>
      <c r="AE868" s="32" t="n">
        <f aca="false">AD868-L868</f>
        <v>65.92</v>
      </c>
      <c r="AF868" s="34" t="n">
        <f aca="false">IF(L868=0,0,AE868/L868)</f>
        <v>0.266774585188183</v>
      </c>
      <c r="AG868" s="22" t="str">
        <f aca="false">IF(AD868&lt;L868,"PASSARO","ATUAL")</f>
        <v>ATUAL</v>
      </c>
      <c r="AH868" s="22" t="str">
        <f aca="false">IF(P868&lt;&gt;A868,"Faixa cadastrada como "&amp;P868&amp;" na tabela; preço aplicado pela UF do CEP","")</f>
        <v/>
      </c>
      <c r="AI868" s="26" t="n">
        <v>350.83</v>
      </c>
      <c r="AJ868" s="22" t="str">
        <f aca="false">INDEX('Tabela Passaro'!$X$2:$X$1795,$N868)</f>
        <v>INTERIOR 2</v>
      </c>
    </row>
    <row r="869" customFormat="false" ht="15" hidden="false" customHeight="false" outlineLevel="0" collapsed="false">
      <c r="A869" s="22" t="s">
        <v>17</v>
      </c>
      <c r="B869" s="22" t="n">
        <v>2</v>
      </c>
      <c r="C869" s="22" t="s">
        <v>97</v>
      </c>
      <c r="D869" s="22" t="s">
        <v>30</v>
      </c>
      <c r="E869" s="22" t="s">
        <v>20</v>
      </c>
      <c r="F869" s="22" t="n">
        <v>840439</v>
      </c>
      <c r="G869" s="30" t="n">
        <v>46261</v>
      </c>
      <c r="H869" s="22" t="n">
        <v>32737</v>
      </c>
      <c r="I869" s="22" t="s">
        <v>8133</v>
      </c>
      <c r="J869" s="31" t="n">
        <v>61.4</v>
      </c>
      <c r="K869" s="26" t="n">
        <v>1130.63</v>
      </c>
      <c r="L869" s="26" t="n">
        <v>233.16</v>
      </c>
      <c r="M869" s="22" t="s">
        <v>2806</v>
      </c>
      <c r="N869" s="22" t="n">
        <f aca="false">MATCH(M869,'Tabela Passaro'!$A$2:$A$1795,0)</f>
        <v>638</v>
      </c>
      <c r="O869" s="22" t="str">
        <f aca="false">INDEX('Tabela Passaro'!$C$2:$C$1795,$N869)</f>
        <v>JUAZEIRO DO NORTE</v>
      </c>
      <c r="P869" s="22" t="str">
        <f aca="false">INDEX('Tabela Passaro'!$B$2:$B$1795,$N869)</f>
        <v>CE</v>
      </c>
      <c r="Q869" s="22" t="n">
        <f aca="false">INDEX('Tabela Passaro'!$F$2:$F$1795,$N869)</f>
        <v>14</v>
      </c>
      <c r="R869" s="32" t="n">
        <f aca="false">IF(J869&lt;=10,INDEX('Tabela Passaro'!$G$2:$G$1795,$N869),IF(J869&lt;=30,INDEX('Tabela Passaro'!$H$2:$H$1795,$N869),IF(J869&lt;=50,INDEX('Tabela Passaro'!$I$2:$I$1795,$N869),IF(J869&lt;=70,INDEX('Tabela Passaro'!$J$2:$J$1795,$N869),IF(J869&lt;=100,INDEX('Tabela Passaro'!$K$2:$K$1795,$N869),INDEX('Tabela Passaro'!$K$2:$K$1795,$N869)+(J869-100)*INDEX('Tabela Passaro'!$L$2:$L$1795,$N869))))))</f>
        <v>243.44</v>
      </c>
      <c r="S869" s="32" t="n">
        <f aca="false">K869*INDEX('Tabela Passaro'!$M$2:$M$1795,$N869)</f>
        <v>5.65315</v>
      </c>
      <c r="T869" s="32" t="n">
        <f aca="false">K869*INDEX('Tabela Passaro'!$N$2:$N$1795,$N869)</f>
        <v>2.26126</v>
      </c>
      <c r="U869" s="32" t="n">
        <f aca="false">INDEX('Tabela Passaro'!$O$2:$O$1795,$N869)</f>
        <v>5</v>
      </c>
      <c r="V869" s="32" t="n">
        <f aca="false">ROUNDUP(J869/INDEX('Tabela Passaro'!$Q$2:$Q$1795,$N869),0)*INDEX('Tabela Passaro'!$P$2:$P$1795,$N869)</f>
        <v>5</v>
      </c>
      <c r="W869" s="32" t="n">
        <f aca="false">INDEX('Tabela Passaro'!$R$2:$R$1795,$N869)</f>
        <v>30</v>
      </c>
      <c r="X869" s="32" t="n">
        <f aca="false">ROUNDUP(J869/INDEX('Tabela Passaro'!$T$2:$T$1795,$N869),0)*INDEX('Tabela Passaro'!$S$2:$S$1795,$N869)</f>
        <v>0</v>
      </c>
      <c r="Y869" s="32" t="n">
        <f aca="false">INDEX('Tabela Passaro'!$U$2:$U$1795,$N869)</f>
        <v>0</v>
      </c>
      <c r="Z869" s="32" t="n">
        <f aca="false">INDEX('Tabela Passaro'!$V$2:$V$1795,$N869)</f>
        <v>0</v>
      </c>
      <c r="AA869" s="32" t="n">
        <f aca="false">SUM(R869:Z869)</f>
        <v>291.35441</v>
      </c>
      <c r="AB869" s="33" t="n">
        <f aca="false">INDEX(Premissas!$B$5:$B$13,MATCH(A869,Premissas!$A$5:$A$13,0))</f>
        <v>0.07</v>
      </c>
      <c r="AC869" s="32" t="n">
        <f aca="false">AA869/(1-AB869)-AA869</f>
        <v>21.929901827957</v>
      </c>
      <c r="AD869" s="32" t="n">
        <f aca="false">ROUND(AA869+AC869,2)</f>
        <v>313.28</v>
      </c>
      <c r="AE869" s="32" t="n">
        <f aca="false">AD869-L869</f>
        <v>80.12</v>
      </c>
      <c r="AF869" s="34" t="n">
        <f aca="false">IF(L869=0,0,AE869/L869)</f>
        <v>0.343626694115629</v>
      </c>
      <c r="AG869" s="22" t="str">
        <f aca="false">IF(AD869&lt;L869,"PASSARO","ATUAL")</f>
        <v>ATUAL</v>
      </c>
      <c r="AH869" s="22" t="str">
        <f aca="false">IF(P869&lt;&gt;A869,"Faixa cadastrada como "&amp;P869&amp;" na tabela; preço aplicado pela UF do CEP","")</f>
        <v/>
      </c>
      <c r="AI869" s="26" t="n">
        <v>348.75</v>
      </c>
      <c r="AJ869" s="22" t="str">
        <f aca="false">INDEX('Tabela Passaro'!$X$2:$X$1795,$N869)</f>
        <v>INTERIOR 2</v>
      </c>
    </row>
    <row r="870" customFormat="false" ht="15" hidden="false" customHeight="false" outlineLevel="0" collapsed="false">
      <c r="A870" s="22" t="s">
        <v>17</v>
      </c>
      <c r="B870" s="22" t="n">
        <v>2</v>
      </c>
      <c r="C870" s="22" t="s">
        <v>97</v>
      </c>
      <c r="D870" s="22" t="s">
        <v>31</v>
      </c>
      <c r="E870" s="22" t="s">
        <v>7326</v>
      </c>
      <c r="F870" s="22" t="n">
        <v>12844480</v>
      </c>
      <c r="G870" s="30" t="n">
        <v>46259</v>
      </c>
      <c r="H870" s="22" t="n">
        <v>628955</v>
      </c>
      <c r="I870" s="22" t="s">
        <v>8134</v>
      </c>
      <c r="J870" s="31" t="n">
        <v>19.5</v>
      </c>
      <c r="K870" s="26" t="n">
        <v>570.77</v>
      </c>
      <c r="L870" s="26" t="n">
        <v>94.54</v>
      </c>
      <c r="M870" s="22" t="s">
        <v>2806</v>
      </c>
      <c r="N870" s="22" t="n">
        <f aca="false">MATCH(M870,'Tabela Passaro'!$A$2:$A$1795,0)</f>
        <v>638</v>
      </c>
      <c r="O870" s="22" t="str">
        <f aca="false">INDEX('Tabela Passaro'!$C$2:$C$1795,$N870)</f>
        <v>JUAZEIRO DO NORTE</v>
      </c>
      <c r="P870" s="22" t="str">
        <f aca="false">INDEX('Tabela Passaro'!$B$2:$B$1795,$N870)</f>
        <v>CE</v>
      </c>
      <c r="Q870" s="22" t="n">
        <f aca="false">INDEX('Tabela Passaro'!$F$2:$F$1795,$N870)</f>
        <v>14</v>
      </c>
      <c r="R870" s="32" t="n">
        <f aca="false">IF(J870&lt;=10,INDEX('Tabela Passaro'!$G$2:$G$1795,$N870),IF(J870&lt;=30,INDEX('Tabela Passaro'!$H$2:$H$1795,$N870),IF(J870&lt;=50,INDEX('Tabela Passaro'!$I$2:$I$1795,$N870),IF(J870&lt;=70,INDEX('Tabela Passaro'!$J$2:$J$1795,$N870),IF(J870&lt;=100,INDEX('Tabela Passaro'!$K$2:$K$1795,$N870),INDEX('Tabela Passaro'!$K$2:$K$1795,$N870)+(J870-100)*INDEX('Tabela Passaro'!$L$2:$L$1795,$N870))))))</f>
        <v>204.71</v>
      </c>
      <c r="S870" s="32" t="n">
        <f aca="false">K870*INDEX('Tabela Passaro'!$M$2:$M$1795,$N870)</f>
        <v>2.85385</v>
      </c>
      <c r="T870" s="32" t="n">
        <f aca="false">K870*INDEX('Tabela Passaro'!$N$2:$N$1795,$N870)</f>
        <v>1.14154</v>
      </c>
      <c r="U870" s="32" t="n">
        <f aca="false">INDEX('Tabela Passaro'!$O$2:$O$1795,$N870)</f>
        <v>5</v>
      </c>
      <c r="V870" s="32" t="n">
        <f aca="false">ROUNDUP(J870/INDEX('Tabela Passaro'!$Q$2:$Q$1795,$N870),0)*INDEX('Tabela Passaro'!$P$2:$P$1795,$N870)</f>
        <v>5</v>
      </c>
      <c r="W870" s="32" t="n">
        <f aca="false">INDEX('Tabela Passaro'!$R$2:$R$1795,$N870)</f>
        <v>30</v>
      </c>
      <c r="X870" s="32" t="n">
        <f aca="false">ROUNDUP(J870/INDEX('Tabela Passaro'!$T$2:$T$1795,$N870),0)*INDEX('Tabela Passaro'!$S$2:$S$1795,$N870)</f>
        <v>0</v>
      </c>
      <c r="Y870" s="32" t="n">
        <f aca="false">INDEX('Tabela Passaro'!$U$2:$U$1795,$N870)</f>
        <v>0</v>
      </c>
      <c r="Z870" s="32" t="n">
        <f aca="false">INDEX('Tabela Passaro'!$V$2:$V$1795,$N870)</f>
        <v>0</v>
      </c>
      <c r="AA870" s="32" t="n">
        <f aca="false">SUM(R870:Z870)</f>
        <v>248.70539</v>
      </c>
      <c r="AB870" s="33" t="n">
        <f aca="false">INDEX(Premissas!$B$5:$B$13,MATCH(A870,Premissas!$A$5:$A$13,0))</f>
        <v>0.07</v>
      </c>
      <c r="AC870" s="32" t="n">
        <f aca="false">AA870/(1-AB870)-AA870</f>
        <v>18.7197605376344</v>
      </c>
      <c r="AD870" s="32" t="n">
        <f aca="false">ROUND(AA870+AC870,2)</f>
        <v>267.43</v>
      </c>
      <c r="AE870" s="32" t="n">
        <f aca="false">AD870-L870</f>
        <v>172.89</v>
      </c>
      <c r="AF870" s="34" t="n">
        <f aca="false">IF(L870=0,0,AE870/L870)</f>
        <v>1.82874973556167</v>
      </c>
      <c r="AG870" s="22" t="str">
        <f aca="false">IF(AD870&lt;L870,"PASSARO","ATUAL")</f>
        <v>ATUAL</v>
      </c>
      <c r="AH870" s="22" t="str">
        <f aca="false">IF(P870&lt;&gt;A870,"Faixa cadastrada como "&amp;P870&amp;" na tabela; preço aplicado pela UF do CEP","")</f>
        <v/>
      </c>
      <c r="AI870" s="26" t="n">
        <v>279.17</v>
      </c>
      <c r="AJ870" s="22" t="str">
        <f aca="false">INDEX('Tabela Passaro'!$X$2:$X$1795,$N870)</f>
        <v>INTERIOR 2</v>
      </c>
    </row>
    <row r="871" customFormat="false" ht="15" hidden="false" customHeight="false" outlineLevel="0" collapsed="false">
      <c r="A871" s="22" t="s">
        <v>17</v>
      </c>
      <c r="B871" s="22" t="n">
        <v>3</v>
      </c>
      <c r="C871" s="22" t="s">
        <v>99</v>
      </c>
      <c r="D871" s="22" t="s">
        <v>30</v>
      </c>
      <c r="E871" s="22" t="s">
        <v>7328</v>
      </c>
      <c r="F871" s="22" t="n">
        <v>2307493</v>
      </c>
      <c r="G871" s="30" t="n">
        <v>46238</v>
      </c>
      <c r="H871" s="22" t="n">
        <v>131856</v>
      </c>
      <c r="I871" s="22" t="s">
        <v>8135</v>
      </c>
      <c r="J871" s="31" t="n">
        <v>51.06</v>
      </c>
      <c r="K871" s="26" t="n">
        <v>891.53</v>
      </c>
      <c r="L871" s="26" t="n">
        <v>222.28</v>
      </c>
      <c r="M871" s="22" t="s">
        <v>2342</v>
      </c>
      <c r="N871" s="22" t="n">
        <f aca="false">MATCH(M871,'Tabela Passaro'!$A$2:$A$1795,0)</f>
        <v>520</v>
      </c>
      <c r="O871" s="22" t="str">
        <f aca="false">INDEX('Tabela Passaro'!$C$2:$C$1795,$N871)</f>
        <v>CAUCAIA</v>
      </c>
      <c r="P871" s="22" t="str">
        <f aca="false">INDEX('Tabela Passaro'!$B$2:$B$1795,$N871)</f>
        <v>CE</v>
      </c>
      <c r="Q871" s="22" t="n">
        <f aca="false">INDEX('Tabela Passaro'!$F$2:$F$1795,$N871)</f>
        <v>8</v>
      </c>
      <c r="R871" s="32" t="n">
        <f aca="false">IF(J871&lt;=10,INDEX('Tabela Passaro'!$G$2:$G$1795,$N871),IF(J871&lt;=30,INDEX('Tabela Passaro'!$H$2:$H$1795,$N871),IF(J871&lt;=50,INDEX('Tabela Passaro'!$I$2:$I$1795,$N871),IF(J871&lt;=70,INDEX('Tabela Passaro'!$J$2:$J$1795,$N871),IF(J871&lt;=100,INDEX('Tabela Passaro'!$K$2:$K$1795,$N871),INDEX('Tabela Passaro'!$K$2:$K$1795,$N871)+(J871-100)*INDEX('Tabela Passaro'!$L$2:$L$1795,$N871))))))</f>
        <v>169.58</v>
      </c>
      <c r="S871" s="32" t="n">
        <f aca="false">K871*INDEX('Tabela Passaro'!$M$2:$M$1795,$N871)</f>
        <v>4.45765</v>
      </c>
      <c r="T871" s="32" t="n">
        <f aca="false">K871*INDEX('Tabela Passaro'!$N$2:$N$1795,$N871)</f>
        <v>1.78306</v>
      </c>
      <c r="U871" s="32" t="n">
        <f aca="false">INDEX('Tabela Passaro'!$O$2:$O$1795,$N871)</f>
        <v>5</v>
      </c>
      <c r="V871" s="32" t="n">
        <f aca="false">ROUNDUP(J871/INDEX('Tabela Passaro'!$Q$2:$Q$1795,$N871),0)*INDEX('Tabela Passaro'!$P$2:$P$1795,$N871)</f>
        <v>5</v>
      </c>
      <c r="W871" s="32" t="n">
        <f aca="false">INDEX('Tabela Passaro'!$R$2:$R$1795,$N871)</f>
        <v>30</v>
      </c>
      <c r="X871" s="32" t="n">
        <f aca="false">ROUNDUP(J871/INDEX('Tabela Passaro'!$T$2:$T$1795,$N871),0)*INDEX('Tabela Passaro'!$S$2:$S$1795,$N871)</f>
        <v>0</v>
      </c>
      <c r="Y871" s="32" t="n">
        <f aca="false">INDEX('Tabela Passaro'!$U$2:$U$1795,$N871)</f>
        <v>0</v>
      </c>
      <c r="Z871" s="32" t="n">
        <f aca="false">INDEX('Tabela Passaro'!$V$2:$V$1795,$N871)</f>
        <v>0</v>
      </c>
      <c r="AA871" s="32" t="n">
        <f aca="false">SUM(R871:Z871)</f>
        <v>215.82071</v>
      </c>
      <c r="AB871" s="33" t="n">
        <f aca="false">INDEX(Premissas!$B$5:$B$13,MATCH(A871,Premissas!$A$5:$A$13,0))</f>
        <v>0.07</v>
      </c>
      <c r="AC871" s="32" t="n">
        <f aca="false">AA871/(1-AB871)-AA871</f>
        <v>16.2445695698925</v>
      </c>
      <c r="AD871" s="32" t="n">
        <f aca="false">ROUND(AA871+AC871,2)</f>
        <v>232.07</v>
      </c>
      <c r="AE871" s="32" t="n">
        <f aca="false">AD871-L871</f>
        <v>9.78999999999999</v>
      </c>
      <c r="AF871" s="34" t="n">
        <f aca="false">IF(L871=0,0,AE871/L871)</f>
        <v>0.0440435486773439</v>
      </c>
      <c r="AG871" s="22" t="str">
        <f aca="false">IF(AD871&lt;L871,"PASSARO","ATUAL")</f>
        <v>ATUAL</v>
      </c>
      <c r="AH871" s="22" t="str">
        <f aca="false">IF(P871&lt;&gt;A871,"Faixa cadastrada como "&amp;P871&amp;" na tabela; preço aplicado pela UF do CEP","")</f>
        <v/>
      </c>
      <c r="AI871" s="26" t="n">
        <v>274.12</v>
      </c>
      <c r="AJ871" s="22" t="str">
        <f aca="false">INDEX('Tabela Passaro'!$X$2:$X$1795,$N871)</f>
        <v>CAPITAL</v>
      </c>
    </row>
    <row r="872" customFormat="false" ht="15" hidden="false" customHeight="false" outlineLevel="0" collapsed="false">
      <c r="A872" s="22" t="s">
        <v>17</v>
      </c>
      <c r="B872" s="22" t="n">
        <v>3</v>
      </c>
      <c r="C872" s="22" t="s">
        <v>99</v>
      </c>
      <c r="D872" s="22" t="s">
        <v>30</v>
      </c>
      <c r="E872" s="22" t="s">
        <v>7326</v>
      </c>
      <c r="F872" s="22" t="n">
        <v>523088</v>
      </c>
      <c r="G872" s="30" t="n">
        <v>46241</v>
      </c>
      <c r="H872" s="22" t="n">
        <v>621575</v>
      </c>
      <c r="I872" s="22" t="s">
        <v>8136</v>
      </c>
      <c r="J872" s="31" t="n">
        <v>45.7</v>
      </c>
      <c r="K872" s="26" t="n">
        <v>879.98</v>
      </c>
      <c r="L872" s="26" t="n">
        <v>195.8</v>
      </c>
      <c r="M872" s="22" t="s">
        <v>2342</v>
      </c>
      <c r="N872" s="22" t="n">
        <f aca="false">MATCH(M872,'Tabela Passaro'!$A$2:$A$1795,0)</f>
        <v>520</v>
      </c>
      <c r="O872" s="22" t="str">
        <f aca="false">INDEX('Tabela Passaro'!$C$2:$C$1795,$N872)</f>
        <v>CAUCAIA</v>
      </c>
      <c r="P872" s="22" t="str">
        <f aca="false">INDEX('Tabela Passaro'!$B$2:$B$1795,$N872)</f>
        <v>CE</v>
      </c>
      <c r="Q872" s="22" t="n">
        <f aca="false">INDEX('Tabela Passaro'!$F$2:$F$1795,$N872)</f>
        <v>8</v>
      </c>
      <c r="R872" s="32" t="n">
        <f aca="false">IF(J872&lt;=10,INDEX('Tabela Passaro'!$G$2:$G$1795,$N872),IF(J872&lt;=30,INDEX('Tabela Passaro'!$H$2:$H$1795,$N872),IF(J872&lt;=50,INDEX('Tabela Passaro'!$I$2:$I$1795,$N872),IF(J872&lt;=70,INDEX('Tabela Passaro'!$J$2:$J$1795,$N872),IF(J872&lt;=100,INDEX('Tabela Passaro'!$K$2:$K$1795,$N872),INDEX('Tabela Passaro'!$K$2:$K$1795,$N872)+(J872-100)*INDEX('Tabela Passaro'!$L$2:$L$1795,$N872))))))</f>
        <v>152.98</v>
      </c>
      <c r="S872" s="32" t="n">
        <f aca="false">K872*INDEX('Tabela Passaro'!$M$2:$M$1795,$N872)</f>
        <v>4.3999</v>
      </c>
      <c r="T872" s="32" t="n">
        <f aca="false">K872*INDEX('Tabela Passaro'!$N$2:$N$1795,$N872)</f>
        <v>1.75996</v>
      </c>
      <c r="U872" s="32" t="n">
        <f aca="false">INDEX('Tabela Passaro'!$O$2:$O$1795,$N872)</f>
        <v>5</v>
      </c>
      <c r="V872" s="32" t="n">
        <f aca="false">ROUNDUP(J872/INDEX('Tabela Passaro'!$Q$2:$Q$1795,$N872),0)*INDEX('Tabela Passaro'!$P$2:$P$1795,$N872)</f>
        <v>5</v>
      </c>
      <c r="W872" s="32" t="n">
        <f aca="false">INDEX('Tabela Passaro'!$R$2:$R$1795,$N872)</f>
        <v>30</v>
      </c>
      <c r="X872" s="32" t="n">
        <f aca="false">ROUNDUP(J872/INDEX('Tabela Passaro'!$T$2:$T$1795,$N872),0)*INDEX('Tabela Passaro'!$S$2:$S$1795,$N872)</f>
        <v>0</v>
      </c>
      <c r="Y872" s="32" t="n">
        <f aca="false">INDEX('Tabela Passaro'!$U$2:$U$1795,$N872)</f>
        <v>0</v>
      </c>
      <c r="Z872" s="32" t="n">
        <f aca="false">INDEX('Tabela Passaro'!$V$2:$V$1795,$N872)</f>
        <v>0</v>
      </c>
      <c r="AA872" s="32" t="n">
        <f aca="false">SUM(R872:Z872)</f>
        <v>199.13986</v>
      </c>
      <c r="AB872" s="33" t="n">
        <f aca="false">INDEX(Premissas!$B$5:$B$13,MATCH(A872,Premissas!$A$5:$A$13,0))</f>
        <v>0.07</v>
      </c>
      <c r="AC872" s="32" t="n">
        <f aca="false">AA872/(1-AB872)-AA872</f>
        <v>14.9890217204301</v>
      </c>
      <c r="AD872" s="32" t="n">
        <f aca="false">ROUND(AA872+AC872,2)</f>
        <v>214.13</v>
      </c>
      <c r="AE872" s="32" t="n">
        <f aca="false">AD872-L872</f>
        <v>18.33</v>
      </c>
      <c r="AF872" s="34" t="n">
        <f aca="false">IF(L872=0,0,AE872/L872)</f>
        <v>0.0936159346271705</v>
      </c>
      <c r="AG872" s="22" t="str">
        <f aca="false">IF(AD872&lt;L872,"PASSARO","ATUAL")</f>
        <v>ATUAL</v>
      </c>
      <c r="AH872" s="22" t="str">
        <f aca="false">IF(P872&lt;&gt;A872,"Faixa cadastrada como "&amp;P872&amp;" na tabela; preço aplicado pela UF do CEP","")</f>
        <v/>
      </c>
      <c r="AI872" s="26" t="n">
        <v>252.31</v>
      </c>
      <c r="AJ872" s="22" t="str">
        <f aca="false">INDEX('Tabela Passaro'!$X$2:$X$1795,$N872)</f>
        <v>CAPITAL</v>
      </c>
    </row>
    <row r="873" customFormat="false" ht="15" hidden="false" customHeight="false" outlineLevel="0" collapsed="false">
      <c r="A873" s="22" t="s">
        <v>17</v>
      </c>
      <c r="B873" s="22" t="n">
        <v>3</v>
      </c>
      <c r="C873" s="22" t="s">
        <v>99</v>
      </c>
      <c r="D873" s="22" t="s">
        <v>30</v>
      </c>
      <c r="E873" s="22" t="s">
        <v>20</v>
      </c>
      <c r="F873" s="22" t="n">
        <v>838392</v>
      </c>
      <c r="G873" s="30" t="n">
        <v>46244</v>
      </c>
      <c r="H873" s="22" t="n">
        <v>32441</v>
      </c>
      <c r="I873" s="22" t="s">
        <v>8137</v>
      </c>
      <c r="J873" s="31" t="n">
        <v>45</v>
      </c>
      <c r="K873" s="26" t="n">
        <v>716.41</v>
      </c>
      <c r="L873" s="26" t="n">
        <v>161.09</v>
      </c>
      <c r="M873" s="22" t="s">
        <v>2342</v>
      </c>
      <c r="N873" s="22" t="n">
        <f aca="false">MATCH(M873,'Tabela Passaro'!$A$2:$A$1795,0)</f>
        <v>520</v>
      </c>
      <c r="O873" s="22" t="str">
        <f aca="false">INDEX('Tabela Passaro'!$C$2:$C$1795,$N873)</f>
        <v>CAUCAIA</v>
      </c>
      <c r="P873" s="22" t="str">
        <f aca="false">INDEX('Tabela Passaro'!$B$2:$B$1795,$N873)</f>
        <v>CE</v>
      </c>
      <c r="Q873" s="22" t="n">
        <f aca="false">INDEX('Tabela Passaro'!$F$2:$F$1795,$N873)</f>
        <v>8</v>
      </c>
      <c r="R873" s="32" t="n">
        <f aca="false">IF(J873&lt;=10,INDEX('Tabela Passaro'!$G$2:$G$1795,$N873),IF(J873&lt;=30,INDEX('Tabela Passaro'!$H$2:$H$1795,$N873),IF(J873&lt;=50,INDEX('Tabela Passaro'!$I$2:$I$1795,$N873),IF(J873&lt;=70,INDEX('Tabela Passaro'!$J$2:$J$1795,$N873),IF(J873&lt;=100,INDEX('Tabela Passaro'!$K$2:$K$1795,$N873),INDEX('Tabela Passaro'!$K$2:$K$1795,$N873)+(J873-100)*INDEX('Tabela Passaro'!$L$2:$L$1795,$N873))))))</f>
        <v>152.98</v>
      </c>
      <c r="S873" s="32" t="n">
        <f aca="false">K873*INDEX('Tabela Passaro'!$M$2:$M$1795,$N873)</f>
        <v>3.58205</v>
      </c>
      <c r="T873" s="32" t="n">
        <f aca="false">K873*INDEX('Tabela Passaro'!$N$2:$N$1795,$N873)</f>
        <v>1.43282</v>
      </c>
      <c r="U873" s="32" t="n">
        <f aca="false">INDEX('Tabela Passaro'!$O$2:$O$1795,$N873)</f>
        <v>5</v>
      </c>
      <c r="V873" s="32" t="n">
        <f aca="false">ROUNDUP(J873/INDEX('Tabela Passaro'!$Q$2:$Q$1795,$N873),0)*INDEX('Tabela Passaro'!$P$2:$P$1795,$N873)</f>
        <v>5</v>
      </c>
      <c r="W873" s="32" t="n">
        <f aca="false">INDEX('Tabela Passaro'!$R$2:$R$1795,$N873)</f>
        <v>30</v>
      </c>
      <c r="X873" s="32" t="n">
        <f aca="false">ROUNDUP(J873/INDEX('Tabela Passaro'!$T$2:$T$1795,$N873),0)*INDEX('Tabela Passaro'!$S$2:$S$1795,$N873)</f>
        <v>0</v>
      </c>
      <c r="Y873" s="32" t="n">
        <f aca="false">INDEX('Tabela Passaro'!$U$2:$U$1795,$N873)</f>
        <v>0</v>
      </c>
      <c r="Z873" s="32" t="n">
        <f aca="false">INDEX('Tabela Passaro'!$V$2:$V$1795,$N873)</f>
        <v>0</v>
      </c>
      <c r="AA873" s="32" t="n">
        <f aca="false">SUM(R873:Z873)</f>
        <v>197.99487</v>
      </c>
      <c r="AB873" s="33" t="n">
        <f aca="false">INDEX(Premissas!$B$5:$B$13,MATCH(A873,Premissas!$A$5:$A$13,0))</f>
        <v>0.07</v>
      </c>
      <c r="AC873" s="32" t="n">
        <f aca="false">AA873/(1-AB873)-AA873</f>
        <v>14.9028396774194</v>
      </c>
      <c r="AD873" s="32" t="n">
        <f aca="false">ROUND(AA873+AC873,2)</f>
        <v>212.9</v>
      </c>
      <c r="AE873" s="32" t="n">
        <f aca="false">AD873-L873</f>
        <v>51.81</v>
      </c>
      <c r="AF873" s="34" t="n">
        <f aca="false">IF(L873=0,0,AE873/L873)</f>
        <v>0.321621453845676</v>
      </c>
      <c r="AG873" s="22" t="str">
        <f aca="false">IF(AD873&lt;L873,"PASSARO","ATUAL")</f>
        <v>ATUAL</v>
      </c>
      <c r="AH873" s="22" t="str">
        <f aca="false">IF(P873&lt;&gt;A873,"Faixa cadastrada como "&amp;P873&amp;" na tabela; preço aplicado pela UF do CEP","")</f>
        <v/>
      </c>
      <c r="AI873" s="26" t="n">
        <v>250.24</v>
      </c>
      <c r="AJ873" s="22" t="str">
        <f aca="false">INDEX('Tabela Passaro'!$X$2:$X$1795,$N873)</f>
        <v>CAPITAL</v>
      </c>
    </row>
    <row r="874" customFormat="false" ht="15" hidden="false" customHeight="false" outlineLevel="0" collapsed="false">
      <c r="A874" s="22" t="s">
        <v>17</v>
      </c>
      <c r="B874" s="22" t="n">
        <v>3</v>
      </c>
      <c r="C874" s="22" t="s">
        <v>99</v>
      </c>
      <c r="D874" s="22" t="s">
        <v>30</v>
      </c>
      <c r="E874" s="22" t="s">
        <v>7328</v>
      </c>
      <c r="F874" s="22" t="n">
        <v>2309882</v>
      </c>
      <c r="G874" s="30" t="n">
        <v>46244</v>
      </c>
      <c r="H874" s="22" t="n">
        <v>132130</v>
      </c>
      <c r="I874" s="22" t="s">
        <v>8138</v>
      </c>
      <c r="J874" s="31" t="n">
        <v>30.9</v>
      </c>
      <c r="K874" s="26" t="n">
        <v>477.81</v>
      </c>
      <c r="L874" s="26" t="n">
        <v>171.52</v>
      </c>
      <c r="M874" s="22" t="s">
        <v>2342</v>
      </c>
      <c r="N874" s="22" t="n">
        <f aca="false">MATCH(M874,'Tabela Passaro'!$A$2:$A$1795,0)</f>
        <v>520</v>
      </c>
      <c r="O874" s="22" t="str">
        <f aca="false">INDEX('Tabela Passaro'!$C$2:$C$1795,$N874)</f>
        <v>CAUCAIA</v>
      </c>
      <c r="P874" s="22" t="str">
        <f aca="false">INDEX('Tabela Passaro'!$B$2:$B$1795,$N874)</f>
        <v>CE</v>
      </c>
      <c r="Q874" s="22" t="n">
        <f aca="false">INDEX('Tabela Passaro'!$F$2:$F$1795,$N874)</f>
        <v>8</v>
      </c>
      <c r="R874" s="32" t="n">
        <f aca="false">IF(J874&lt;=10,INDEX('Tabela Passaro'!$G$2:$G$1795,$N874),IF(J874&lt;=30,INDEX('Tabela Passaro'!$H$2:$H$1795,$N874),IF(J874&lt;=50,INDEX('Tabela Passaro'!$I$2:$I$1795,$N874),IF(J874&lt;=70,INDEX('Tabela Passaro'!$J$2:$J$1795,$N874),IF(J874&lt;=100,INDEX('Tabela Passaro'!$K$2:$K$1795,$N874),INDEX('Tabela Passaro'!$K$2:$K$1795,$N874)+(J874-100)*INDEX('Tabela Passaro'!$L$2:$L$1795,$N874))))))</f>
        <v>152.98</v>
      </c>
      <c r="S874" s="32" t="n">
        <f aca="false">K874*INDEX('Tabela Passaro'!$M$2:$M$1795,$N874)</f>
        <v>2.38905</v>
      </c>
      <c r="T874" s="32" t="n">
        <f aca="false">K874*INDEX('Tabela Passaro'!$N$2:$N$1795,$N874)</f>
        <v>0.95562</v>
      </c>
      <c r="U874" s="32" t="n">
        <f aca="false">INDEX('Tabela Passaro'!$O$2:$O$1795,$N874)</f>
        <v>5</v>
      </c>
      <c r="V874" s="32" t="n">
        <f aca="false">ROUNDUP(J874/INDEX('Tabela Passaro'!$Q$2:$Q$1795,$N874),0)*INDEX('Tabela Passaro'!$P$2:$P$1795,$N874)</f>
        <v>5</v>
      </c>
      <c r="W874" s="32" t="n">
        <f aca="false">INDEX('Tabela Passaro'!$R$2:$R$1795,$N874)</f>
        <v>30</v>
      </c>
      <c r="X874" s="32" t="n">
        <f aca="false">ROUNDUP(J874/INDEX('Tabela Passaro'!$T$2:$T$1795,$N874),0)*INDEX('Tabela Passaro'!$S$2:$S$1795,$N874)</f>
        <v>0</v>
      </c>
      <c r="Y874" s="32" t="n">
        <f aca="false">INDEX('Tabela Passaro'!$U$2:$U$1795,$N874)</f>
        <v>0</v>
      </c>
      <c r="Z874" s="32" t="n">
        <f aca="false">INDEX('Tabela Passaro'!$V$2:$V$1795,$N874)</f>
        <v>0</v>
      </c>
      <c r="AA874" s="32" t="n">
        <f aca="false">SUM(R874:Z874)</f>
        <v>196.32467</v>
      </c>
      <c r="AB874" s="33" t="n">
        <f aca="false">INDEX(Premissas!$B$5:$B$13,MATCH(A874,Premissas!$A$5:$A$13,0))</f>
        <v>0.07</v>
      </c>
      <c r="AC874" s="32" t="n">
        <f aca="false">AA874/(1-AB874)-AA874</f>
        <v>14.7771256989247</v>
      </c>
      <c r="AD874" s="32" t="n">
        <f aca="false">ROUND(AA874+AC874,2)</f>
        <v>211.1</v>
      </c>
      <c r="AE874" s="32" t="n">
        <f aca="false">AD874-L874</f>
        <v>39.58</v>
      </c>
      <c r="AF874" s="34" t="n">
        <f aca="false">IF(L874=0,0,AE874/L874)</f>
        <v>0.23076026119403</v>
      </c>
      <c r="AG874" s="22" t="str">
        <f aca="false">IF(AD874&lt;L874,"PASSARO","ATUAL")</f>
        <v>ATUAL</v>
      </c>
      <c r="AH874" s="22" t="str">
        <f aca="false">IF(P874&lt;&gt;A874,"Faixa cadastrada como "&amp;P874&amp;" na tabela; preço aplicado pela UF do CEP","")</f>
        <v/>
      </c>
      <c r="AI874" s="26" t="n">
        <v>241.16</v>
      </c>
      <c r="AJ874" s="22" t="str">
        <f aca="false">INDEX('Tabela Passaro'!$X$2:$X$1795,$N874)</f>
        <v>CAPITAL</v>
      </c>
    </row>
    <row r="875" customFormat="false" ht="15" hidden="false" customHeight="false" outlineLevel="0" collapsed="false">
      <c r="A875" s="22" t="s">
        <v>17</v>
      </c>
      <c r="B875" s="22" t="n">
        <v>3</v>
      </c>
      <c r="C875" s="22" t="s">
        <v>99</v>
      </c>
      <c r="D875" s="22" t="s">
        <v>30</v>
      </c>
      <c r="E875" s="22" t="s">
        <v>7326</v>
      </c>
      <c r="F875" s="22" t="n">
        <v>524670</v>
      </c>
      <c r="G875" s="30" t="n">
        <v>46247</v>
      </c>
      <c r="H875" s="22" t="n">
        <v>624339</v>
      </c>
      <c r="I875" s="22" t="s">
        <v>8139</v>
      </c>
      <c r="J875" s="31" t="n">
        <v>107.7</v>
      </c>
      <c r="K875" s="26" t="n">
        <v>1774.58</v>
      </c>
      <c r="L875" s="26" t="n">
        <v>375.76</v>
      </c>
      <c r="M875" s="22" t="s">
        <v>2342</v>
      </c>
      <c r="N875" s="22" t="n">
        <f aca="false">MATCH(M875,'Tabela Passaro'!$A$2:$A$1795,0)</f>
        <v>520</v>
      </c>
      <c r="O875" s="22" t="str">
        <f aca="false">INDEX('Tabela Passaro'!$C$2:$C$1795,$N875)</f>
        <v>CAUCAIA</v>
      </c>
      <c r="P875" s="22" t="str">
        <f aca="false">INDEX('Tabela Passaro'!$B$2:$B$1795,$N875)</f>
        <v>CE</v>
      </c>
      <c r="Q875" s="22" t="n">
        <f aca="false">INDEX('Tabela Passaro'!$F$2:$F$1795,$N875)</f>
        <v>8</v>
      </c>
      <c r="R875" s="32" t="n">
        <f aca="false">IF(J875&lt;=10,INDEX('Tabela Passaro'!$G$2:$G$1795,$N875),IF(J875&lt;=30,INDEX('Tabela Passaro'!$H$2:$H$1795,$N875),IF(J875&lt;=50,INDEX('Tabela Passaro'!$I$2:$I$1795,$N875),IF(J875&lt;=70,INDEX('Tabela Passaro'!$J$2:$J$1795,$N875),IF(J875&lt;=100,INDEX('Tabela Passaro'!$K$2:$K$1795,$N875),INDEX('Tabela Passaro'!$K$2:$K$1795,$N875)+(J875-100)*INDEX('Tabela Passaro'!$L$2:$L$1795,$N875))))))</f>
        <v>199.27</v>
      </c>
      <c r="S875" s="32" t="n">
        <f aca="false">K875*INDEX('Tabela Passaro'!$M$2:$M$1795,$N875)</f>
        <v>8.8729</v>
      </c>
      <c r="T875" s="32" t="n">
        <f aca="false">K875*INDEX('Tabela Passaro'!$N$2:$N$1795,$N875)</f>
        <v>3.54916</v>
      </c>
      <c r="U875" s="32" t="n">
        <f aca="false">INDEX('Tabela Passaro'!$O$2:$O$1795,$N875)</f>
        <v>5</v>
      </c>
      <c r="V875" s="32" t="n">
        <f aca="false">ROUNDUP(J875/INDEX('Tabela Passaro'!$Q$2:$Q$1795,$N875),0)*INDEX('Tabela Passaro'!$P$2:$P$1795,$N875)</f>
        <v>10</v>
      </c>
      <c r="W875" s="32" t="n">
        <f aca="false">INDEX('Tabela Passaro'!$R$2:$R$1795,$N875)</f>
        <v>30</v>
      </c>
      <c r="X875" s="32" t="n">
        <f aca="false">ROUNDUP(J875/INDEX('Tabela Passaro'!$T$2:$T$1795,$N875),0)*INDEX('Tabela Passaro'!$S$2:$S$1795,$N875)</f>
        <v>0</v>
      </c>
      <c r="Y875" s="32" t="n">
        <f aca="false">INDEX('Tabela Passaro'!$U$2:$U$1795,$N875)</f>
        <v>0</v>
      </c>
      <c r="Z875" s="32" t="n">
        <f aca="false">INDEX('Tabela Passaro'!$V$2:$V$1795,$N875)</f>
        <v>0</v>
      </c>
      <c r="AA875" s="32" t="n">
        <f aca="false">SUM(R875:Z875)</f>
        <v>256.69206</v>
      </c>
      <c r="AB875" s="33" t="n">
        <f aca="false">INDEX(Premissas!$B$5:$B$13,MATCH(A875,Premissas!$A$5:$A$13,0))</f>
        <v>0.07</v>
      </c>
      <c r="AC875" s="32" t="n">
        <f aca="false">AA875/(1-AB875)-AA875</f>
        <v>19.3209077419355</v>
      </c>
      <c r="AD875" s="32" t="n">
        <f aca="false">ROUND(AA875+AC875,2)</f>
        <v>276.01</v>
      </c>
      <c r="AE875" s="32" t="n">
        <f aca="false">AD875-L875</f>
        <v>-99.75</v>
      </c>
      <c r="AF875" s="34" t="n">
        <f aca="false">IF(L875=0,0,AE875/L875)</f>
        <v>-0.265461997019374</v>
      </c>
      <c r="AG875" s="22" t="str">
        <f aca="false">IF(AD875&lt;L875,"PASSARO","ATUAL")</f>
        <v>PASSARO</v>
      </c>
      <c r="AH875" s="22" t="str">
        <f aca="false">IF(P875&lt;&gt;A875,"Faixa cadastrada como "&amp;P875&amp;" na tabela; preço aplicado pela UF do CEP","")</f>
        <v/>
      </c>
      <c r="AI875" s="26" t="n">
        <v>349.74</v>
      </c>
      <c r="AJ875" s="22" t="str">
        <f aca="false">INDEX('Tabela Passaro'!$X$2:$X$1795,$N875)</f>
        <v>CAPITAL</v>
      </c>
    </row>
    <row r="876" customFormat="false" ht="15" hidden="false" customHeight="false" outlineLevel="0" collapsed="false">
      <c r="A876" s="22" t="s">
        <v>17</v>
      </c>
      <c r="B876" s="22" t="n">
        <v>3</v>
      </c>
      <c r="C876" s="22" t="s">
        <v>99</v>
      </c>
      <c r="D876" s="22" t="s">
        <v>30</v>
      </c>
      <c r="E876" s="22" t="s">
        <v>7328</v>
      </c>
      <c r="F876" s="22" t="n">
        <v>2312289</v>
      </c>
      <c r="G876" s="30" t="n">
        <v>46248</v>
      </c>
      <c r="H876" s="22" t="n">
        <v>133189</v>
      </c>
      <c r="I876" s="22" t="s">
        <v>8140</v>
      </c>
      <c r="J876" s="31" t="n">
        <v>45.5</v>
      </c>
      <c r="K876" s="26" t="n">
        <v>764.56</v>
      </c>
      <c r="L876" s="26" t="n">
        <v>173.79</v>
      </c>
      <c r="M876" s="22" t="s">
        <v>2342</v>
      </c>
      <c r="N876" s="22" t="n">
        <f aca="false">MATCH(M876,'Tabela Passaro'!$A$2:$A$1795,0)</f>
        <v>520</v>
      </c>
      <c r="O876" s="22" t="str">
        <f aca="false">INDEX('Tabela Passaro'!$C$2:$C$1795,$N876)</f>
        <v>CAUCAIA</v>
      </c>
      <c r="P876" s="22" t="str">
        <f aca="false">INDEX('Tabela Passaro'!$B$2:$B$1795,$N876)</f>
        <v>CE</v>
      </c>
      <c r="Q876" s="22" t="n">
        <f aca="false">INDEX('Tabela Passaro'!$F$2:$F$1795,$N876)</f>
        <v>8</v>
      </c>
      <c r="R876" s="32" t="n">
        <f aca="false">IF(J876&lt;=10,INDEX('Tabela Passaro'!$G$2:$G$1795,$N876),IF(J876&lt;=30,INDEX('Tabela Passaro'!$H$2:$H$1795,$N876),IF(J876&lt;=50,INDEX('Tabela Passaro'!$I$2:$I$1795,$N876),IF(J876&lt;=70,INDEX('Tabela Passaro'!$J$2:$J$1795,$N876),IF(J876&lt;=100,INDEX('Tabela Passaro'!$K$2:$K$1795,$N876),INDEX('Tabela Passaro'!$K$2:$K$1795,$N876)+(J876-100)*INDEX('Tabela Passaro'!$L$2:$L$1795,$N876))))))</f>
        <v>152.98</v>
      </c>
      <c r="S876" s="32" t="n">
        <f aca="false">K876*INDEX('Tabela Passaro'!$M$2:$M$1795,$N876)</f>
        <v>3.8228</v>
      </c>
      <c r="T876" s="32" t="n">
        <f aca="false">K876*INDEX('Tabela Passaro'!$N$2:$N$1795,$N876)</f>
        <v>1.52912</v>
      </c>
      <c r="U876" s="32" t="n">
        <f aca="false">INDEX('Tabela Passaro'!$O$2:$O$1795,$N876)</f>
        <v>5</v>
      </c>
      <c r="V876" s="32" t="n">
        <f aca="false">ROUNDUP(J876/INDEX('Tabela Passaro'!$Q$2:$Q$1795,$N876),0)*INDEX('Tabela Passaro'!$P$2:$P$1795,$N876)</f>
        <v>5</v>
      </c>
      <c r="W876" s="32" t="n">
        <f aca="false">INDEX('Tabela Passaro'!$R$2:$R$1795,$N876)</f>
        <v>30</v>
      </c>
      <c r="X876" s="32" t="n">
        <f aca="false">ROUNDUP(J876/INDEX('Tabela Passaro'!$T$2:$T$1795,$N876),0)*INDEX('Tabela Passaro'!$S$2:$S$1795,$N876)</f>
        <v>0</v>
      </c>
      <c r="Y876" s="32" t="n">
        <f aca="false">INDEX('Tabela Passaro'!$U$2:$U$1795,$N876)</f>
        <v>0</v>
      </c>
      <c r="Z876" s="32" t="n">
        <f aca="false">INDEX('Tabela Passaro'!$V$2:$V$1795,$N876)</f>
        <v>0</v>
      </c>
      <c r="AA876" s="32" t="n">
        <f aca="false">SUM(R876:Z876)</f>
        <v>198.33192</v>
      </c>
      <c r="AB876" s="33" t="n">
        <f aca="false">INDEX(Premissas!$B$5:$B$13,MATCH(A876,Premissas!$A$5:$A$13,0))</f>
        <v>0.07</v>
      </c>
      <c r="AC876" s="32" t="n">
        <f aca="false">AA876/(1-AB876)-AA876</f>
        <v>14.9282090322581</v>
      </c>
      <c r="AD876" s="32" t="n">
        <f aca="false">ROUND(AA876+AC876,2)</f>
        <v>213.26</v>
      </c>
      <c r="AE876" s="32" t="n">
        <f aca="false">AD876-L876</f>
        <v>39.47</v>
      </c>
      <c r="AF876" s="34" t="n">
        <f aca="false">IF(L876=0,0,AE876/L876)</f>
        <v>0.227113182576673</v>
      </c>
      <c r="AG876" s="22" t="str">
        <f aca="false">IF(AD876&lt;L876,"PASSARO","ATUAL")</f>
        <v>ATUAL</v>
      </c>
      <c r="AH876" s="22" t="str">
        <f aca="false">IF(P876&lt;&gt;A876,"Faixa cadastrada como "&amp;P876&amp;" na tabela; preço aplicado pela UF do CEP","")</f>
        <v/>
      </c>
      <c r="AI876" s="26" t="n">
        <v>251.19</v>
      </c>
      <c r="AJ876" s="22" t="str">
        <f aca="false">INDEX('Tabela Passaro'!$X$2:$X$1795,$N876)</f>
        <v>CAPITAL</v>
      </c>
    </row>
    <row r="877" customFormat="false" ht="15" hidden="false" customHeight="false" outlineLevel="0" collapsed="false">
      <c r="A877" s="22" t="s">
        <v>17</v>
      </c>
      <c r="B877" s="22" t="n">
        <v>3</v>
      </c>
      <c r="C877" s="22" t="s">
        <v>99</v>
      </c>
      <c r="D877" s="22" t="s">
        <v>30</v>
      </c>
      <c r="E877" s="22" t="s">
        <v>7328</v>
      </c>
      <c r="F877" s="22" t="n">
        <v>2312311</v>
      </c>
      <c r="G877" s="30" t="n">
        <v>46248</v>
      </c>
      <c r="H877" s="22" t="n">
        <v>133235</v>
      </c>
      <c r="I877" s="22" t="s">
        <v>8141</v>
      </c>
      <c r="J877" s="31" t="n">
        <v>51.06</v>
      </c>
      <c r="K877" s="26" t="n">
        <v>816.98</v>
      </c>
      <c r="L877" s="26" t="n">
        <v>221.68</v>
      </c>
      <c r="M877" s="22" t="s">
        <v>2342</v>
      </c>
      <c r="N877" s="22" t="n">
        <f aca="false">MATCH(M877,'Tabela Passaro'!$A$2:$A$1795,0)</f>
        <v>520</v>
      </c>
      <c r="O877" s="22" t="str">
        <f aca="false">INDEX('Tabela Passaro'!$C$2:$C$1795,$N877)</f>
        <v>CAUCAIA</v>
      </c>
      <c r="P877" s="22" t="str">
        <f aca="false">INDEX('Tabela Passaro'!$B$2:$B$1795,$N877)</f>
        <v>CE</v>
      </c>
      <c r="Q877" s="22" t="n">
        <f aca="false">INDEX('Tabela Passaro'!$F$2:$F$1795,$N877)</f>
        <v>8</v>
      </c>
      <c r="R877" s="32" t="n">
        <f aca="false">IF(J877&lt;=10,INDEX('Tabela Passaro'!$G$2:$G$1795,$N877),IF(J877&lt;=30,INDEX('Tabela Passaro'!$H$2:$H$1795,$N877),IF(J877&lt;=50,INDEX('Tabela Passaro'!$I$2:$I$1795,$N877),IF(J877&lt;=70,INDEX('Tabela Passaro'!$J$2:$J$1795,$N877),IF(J877&lt;=100,INDEX('Tabela Passaro'!$K$2:$K$1795,$N877),INDEX('Tabela Passaro'!$K$2:$K$1795,$N877)+(J877-100)*INDEX('Tabela Passaro'!$L$2:$L$1795,$N877))))))</f>
        <v>169.58</v>
      </c>
      <c r="S877" s="32" t="n">
        <f aca="false">K877*INDEX('Tabela Passaro'!$M$2:$M$1795,$N877)</f>
        <v>4.0849</v>
      </c>
      <c r="T877" s="32" t="n">
        <f aca="false">K877*INDEX('Tabela Passaro'!$N$2:$N$1795,$N877)</f>
        <v>1.63396</v>
      </c>
      <c r="U877" s="32" t="n">
        <f aca="false">INDEX('Tabela Passaro'!$O$2:$O$1795,$N877)</f>
        <v>5</v>
      </c>
      <c r="V877" s="32" t="n">
        <f aca="false">ROUNDUP(J877/INDEX('Tabela Passaro'!$Q$2:$Q$1795,$N877),0)*INDEX('Tabela Passaro'!$P$2:$P$1795,$N877)</f>
        <v>5</v>
      </c>
      <c r="W877" s="32" t="n">
        <f aca="false">INDEX('Tabela Passaro'!$R$2:$R$1795,$N877)</f>
        <v>30</v>
      </c>
      <c r="X877" s="32" t="n">
        <f aca="false">ROUNDUP(J877/INDEX('Tabela Passaro'!$T$2:$T$1795,$N877),0)*INDEX('Tabela Passaro'!$S$2:$S$1795,$N877)</f>
        <v>0</v>
      </c>
      <c r="Y877" s="32" t="n">
        <f aca="false">INDEX('Tabela Passaro'!$U$2:$U$1795,$N877)</f>
        <v>0</v>
      </c>
      <c r="Z877" s="32" t="n">
        <f aca="false">INDEX('Tabela Passaro'!$V$2:$V$1795,$N877)</f>
        <v>0</v>
      </c>
      <c r="AA877" s="32" t="n">
        <f aca="false">SUM(R877:Z877)</f>
        <v>215.29886</v>
      </c>
      <c r="AB877" s="33" t="n">
        <f aca="false">INDEX(Premissas!$B$5:$B$13,MATCH(A877,Premissas!$A$5:$A$13,0))</f>
        <v>0.07</v>
      </c>
      <c r="AC877" s="32" t="n">
        <f aca="false">AA877/(1-AB877)-AA877</f>
        <v>16.2052905376344</v>
      </c>
      <c r="AD877" s="32" t="n">
        <f aca="false">ROUND(AA877+AC877,2)</f>
        <v>231.5</v>
      </c>
      <c r="AE877" s="32" t="n">
        <f aca="false">AD877-L877</f>
        <v>9.81999999999999</v>
      </c>
      <c r="AF877" s="34" t="n">
        <f aca="false">IF(L877=0,0,AE877/L877)</f>
        <v>0.0442980873330927</v>
      </c>
      <c r="AG877" s="22" t="str">
        <f aca="false">IF(AD877&lt;L877,"PASSARO","ATUAL")</f>
        <v>ATUAL</v>
      </c>
      <c r="AH877" s="22" t="str">
        <f aca="false">IF(P877&lt;&gt;A877,"Faixa cadastrada como "&amp;P877&amp;" na tabela; preço aplicado pela UF do CEP","")</f>
        <v/>
      </c>
      <c r="AI877" s="26" t="n">
        <v>273.4</v>
      </c>
      <c r="AJ877" s="22" t="str">
        <f aca="false">INDEX('Tabela Passaro'!$X$2:$X$1795,$N877)</f>
        <v>CAPITAL</v>
      </c>
    </row>
    <row r="878" customFormat="false" ht="15" hidden="false" customHeight="false" outlineLevel="0" collapsed="false">
      <c r="A878" s="22" t="s">
        <v>17</v>
      </c>
      <c r="B878" s="22" t="n">
        <v>3</v>
      </c>
      <c r="C878" s="22" t="s">
        <v>99</v>
      </c>
      <c r="D878" s="22" t="s">
        <v>30</v>
      </c>
      <c r="E878" s="22" t="s">
        <v>7328</v>
      </c>
      <c r="F878" s="22" t="n">
        <v>2312365</v>
      </c>
      <c r="G878" s="30" t="n">
        <v>46248</v>
      </c>
      <c r="H878" s="22" t="n">
        <v>133272</v>
      </c>
      <c r="I878" s="22" t="s">
        <v>8142</v>
      </c>
      <c r="J878" s="31" t="n">
        <v>51.06</v>
      </c>
      <c r="K878" s="26" t="n">
        <v>817.43</v>
      </c>
      <c r="L878" s="26" t="n">
        <v>221.69</v>
      </c>
      <c r="M878" s="22" t="s">
        <v>2342</v>
      </c>
      <c r="N878" s="22" t="n">
        <f aca="false">MATCH(M878,'Tabela Passaro'!$A$2:$A$1795,0)</f>
        <v>520</v>
      </c>
      <c r="O878" s="22" t="str">
        <f aca="false">INDEX('Tabela Passaro'!$C$2:$C$1795,$N878)</f>
        <v>CAUCAIA</v>
      </c>
      <c r="P878" s="22" t="str">
        <f aca="false">INDEX('Tabela Passaro'!$B$2:$B$1795,$N878)</f>
        <v>CE</v>
      </c>
      <c r="Q878" s="22" t="n">
        <f aca="false">INDEX('Tabela Passaro'!$F$2:$F$1795,$N878)</f>
        <v>8</v>
      </c>
      <c r="R878" s="32" t="n">
        <f aca="false">IF(J878&lt;=10,INDEX('Tabela Passaro'!$G$2:$G$1795,$N878),IF(J878&lt;=30,INDEX('Tabela Passaro'!$H$2:$H$1795,$N878),IF(J878&lt;=50,INDEX('Tabela Passaro'!$I$2:$I$1795,$N878),IF(J878&lt;=70,INDEX('Tabela Passaro'!$J$2:$J$1795,$N878),IF(J878&lt;=100,INDEX('Tabela Passaro'!$K$2:$K$1795,$N878),INDEX('Tabela Passaro'!$K$2:$K$1795,$N878)+(J878-100)*INDEX('Tabela Passaro'!$L$2:$L$1795,$N878))))))</f>
        <v>169.58</v>
      </c>
      <c r="S878" s="32" t="n">
        <f aca="false">K878*INDEX('Tabela Passaro'!$M$2:$M$1795,$N878)</f>
        <v>4.08715</v>
      </c>
      <c r="T878" s="32" t="n">
        <f aca="false">K878*INDEX('Tabela Passaro'!$N$2:$N$1795,$N878)</f>
        <v>1.63486</v>
      </c>
      <c r="U878" s="32" t="n">
        <f aca="false">INDEX('Tabela Passaro'!$O$2:$O$1795,$N878)</f>
        <v>5</v>
      </c>
      <c r="V878" s="32" t="n">
        <f aca="false">ROUNDUP(J878/INDEX('Tabela Passaro'!$Q$2:$Q$1795,$N878),0)*INDEX('Tabela Passaro'!$P$2:$P$1795,$N878)</f>
        <v>5</v>
      </c>
      <c r="W878" s="32" t="n">
        <f aca="false">INDEX('Tabela Passaro'!$R$2:$R$1795,$N878)</f>
        <v>30</v>
      </c>
      <c r="X878" s="32" t="n">
        <f aca="false">ROUNDUP(J878/INDEX('Tabela Passaro'!$T$2:$T$1795,$N878),0)*INDEX('Tabela Passaro'!$S$2:$S$1795,$N878)</f>
        <v>0</v>
      </c>
      <c r="Y878" s="32" t="n">
        <f aca="false">INDEX('Tabela Passaro'!$U$2:$U$1795,$N878)</f>
        <v>0</v>
      </c>
      <c r="Z878" s="32" t="n">
        <f aca="false">INDEX('Tabela Passaro'!$V$2:$V$1795,$N878)</f>
        <v>0</v>
      </c>
      <c r="AA878" s="32" t="n">
        <f aca="false">SUM(R878:Z878)</f>
        <v>215.30201</v>
      </c>
      <c r="AB878" s="33" t="n">
        <f aca="false">INDEX(Premissas!$B$5:$B$13,MATCH(A878,Premissas!$A$5:$A$13,0))</f>
        <v>0.07</v>
      </c>
      <c r="AC878" s="32" t="n">
        <f aca="false">AA878/(1-AB878)-AA878</f>
        <v>16.2055276344086</v>
      </c>
      <c r="AD878" s="32" t="n">
        <f aca="false">ROUND(AA878+AC878,2)</f>
        <v>231.51</v>
      </c>
      <c r="AE878" s="32" t="n">
        <f aca="false">AD878-L878</f>
        <v>9.81999999999999</v>
      </c>
      <c r="AF878" s="34" t="n">
        <f aca="false">IF(L878=0,0,AE878/L878)</f>
        <v>0.0442960891334746</v>
      </c>
      <c r="AG878" s="22" t="str">
        <f aca="false">IF(AD878&lt;L878,"PASSARO","ATUAL")</f>
        <v>ATUAL</v>
      </c>
      <c r="AH878" s="22" t="str">
        <f aca="false">IF(P878&lt;&gt;A878,"Faixa cadastrada como "&amp;P878&amp;" na tabela; preço aplicado pela UF do CEP","")</f>
        <v/>
      </c>
      <c r="AI878" s="26" t="n">
        <v>273.41</v>
      </c>
      <c r="AJ878" s="22" t="str">
        <f aca="false">INDEX('Tabela Passaro'!$X$2:$X$1795,$N878)</f>
        <v>CAPITAL</v>
      </c>
    </row>
    <row r="879" customFormat="false" ht="15" hidden="false" customHeight="false" outlineLevel="0" collapsed="false">
      <c r="A879" s="22" t="s">
        <v>17</v>
      </c>
      <c r="B879" s="22" t="n">
        <v>3</v>
      </c>
      <c r="C879" s="22" t="s">
        <v>99</v>
      </c>
      <c r="D879" s="22" t="s">
        <v>30</v>
      </c>
      <c r="E879" s="22" t="s">
        <v>7328</v>
      </c>
      <c r="F879" s="22" t="n">
        <v>2315763</v>
      </c>
      <c r="G879" s="30" t="n">
        <v>46258</v>
      </c>
      <c r="H879" s="22" t="n">
        <v>134919</v>
      </c>
      <c r="I879" s="22" t="s">
        <v>8143</v>
      </c>
      <c r="J879" s="31" t="n">
        <v>66.8</v>
      </c>
      <c r="K879" s="26" t="n">
        <v>911.22</v>
      </c>
      <c r="L879" s="26" t="n">
        <v>222.44</v>
      </c>
      <c r="M879" s="22" t="s">
        <v>2342</v>
      </c>
      <c r="N879" s="22" t="n">
        <f aca="false">MATCH(M879,'Tabela Passaro'!$A$2:$A$1795,0)</f>
        <v>520</v>
      </c>
      <c r="O879" s="22" t="str">
        <f aca="false">INDEX('Tabela Passaro'!$C$2:$C$1795,$N879)</f>
        <v>CAUCAIA</v>
      </c>
      <c r="P879" s="22" t="str">
        <f aca="false">INDEX('Tabela Passaro'!$B$2:$B$1795,$N879)</f>
        <v>CE</v>
      </c>
      <c r="Q879" s="22" t="n">
        <f aca="false">INDEX('Tabela Passaro'!$F$2:$F$1795,$N879)</f>
        <v>8</v>
      </c>
      <c r="R879" s="32" t="n">
        <f aca="false">IF(J879&lt;=10,INDEX('Tabela Passaro'!$G$2:$G$1795,$N879),IF(J879&lt;=30,INDEX('Tabela Passaro'!$H$2:$H$1795,$N879),IF(J879&lt;=50,INDEX('Tabela Passaro'!$I$2:$I$1795,$N879),IF(J879&lt;=70,INDEX('Tabela Passaro'!$J$2:$J$1795,$N879),IF(J879&lt;=100,INDEX('Tabela Passaro'!$K$2:$K$1795,$N879),INDEX('Tabela Passaro'!$K$2:$K$1795,$N879)+(J879-100)*INDEX('Tabela Passaro'!$L$2:$L$1795,$N879))))))</f>
        <v>169.58</v>
      </c>
      <c r="S879" s="32" t="n">
        <f aca="false">K879*INDEX('Tabela Passaro'!$M$2:$M$1795,$N879)</f>
        <v>4.5561</v>
      </c>
      <c r="T879" s="32" t="n">
        <f aca="false">K879*INDEX('Tabela Passaro'!$N$2:$N$1795,$N879)</f>
        <v>1.82244</v>
      </c>
      <c r="U879" s="32" t="n">
        <f aca="false">INDEX('Tabela Passaro'!$O$2:$O$1795,$N879)</f>
        <v>5</v>
      </c>
      <c r="V879" s="32" t="n">
        <f aca="false">ROUNDUP(J879/INDEX('Tabela Passaro'!$Q$2:$Q$1795,$N879),0)*INDEX('Tabela Passaro'!$P$2:$P$1795,$N879)</f>
        <v>5</v>
      </c>
      <c r="W879" s="32" t="n">
        <f aca="false">INDEX('Tabela Passaro'!$R$2:$R$1795,$N879)</f>
        <v>30</v>
      </c>
      <c r="X879" s="32" t="n">
        <f aca="false">ROUNDUP(J879/INDEX('Tabela Passaro'!$T$2:$T$1795,$N879),0)*INDEX('Tabela Passaro'!$S$2:$S$1795,$N879)</f>
        <v>0</v>
      </c>
      <c r="Y879" s="32" t="n">
        <f aca="false">INDEX('Tabela Passaro'!$U$2:$U$1795,$N879)</f>
        <v>0</v>
      </c>
      <c r="Z879" s="32" t="n">
        <f aca="false">INDEX('Tabela Passaro'!$V$2:$V$1795,$N879)</f>
        <v>0</v>
      </c>
      <c r="AA879" s="32" t="n">
        <f aca="false">SUM(R879:Z879)</f>
        <v>215.95854</v>
      </c>
      <c r="AB879" s="33" t="n">
        <f aca="false">INDEX(Premissas!$B$5:$B$13,MATCH(A879,Premissas!$A$5:$A$13,0))</f>
        <v>0.07</v>
      </c>
      <c r="AC879" s="32" t="n">
        <f aca="false">AA879/(1-AB879)-AA879</f>
        <v>16.2549438709678</v>
      </c>
      <c r="AD879" s="32" t="n">
        <f aca="false">ROUND(AA879+AC879,2)</f>
        <v>232.21</v>
      </c>
      <c r="AE879" s="32" t="n">
        <f aca="false">AD879-L879</f>
        <v>9.77000000000001</v>
      </c>
      <c r="AF879" s="34" t="n">
        <f aca="false">IF(L879=0,0,AE879/L879)</f>
        <v>0.0439219564826471</v>
      </c>
      <c r="AG879" s="22" t="str">
        <f aca="false">IF(AD879&lt;L879,"PASSARO","ATUAL")</f>
        <v>ATUAL</v>
      </c>
      <c r="AH879" s="22" t="str">
        <f aca="false">IF(P879&lt;&gt;A879,"Faixa cadastrada como "&amp;P879&amp;" na tabela; preço aplicado pela UF do CEP","")</f>
        <v/>
      </c>
      <c r="AI879" s="26" t="n">
        <v>281.57</v>
      </c>
      <c r="AJ879" s="22" t="str">
        <f aca="false">INDEX('Tabela Passaro'!$X$2:$X$1795,$N879)</f>
        <v>CAPITAL</v>
      </c>
    </row>
    <row r="880" customFormat="false" ht="15" hidden="false" customHeight="false" outlineLevel="0" collapsed="false">
      <c r="A880" s="22" t="s">
        <v>17</v>
      </c>
      <c r="B880" s="22" t="n">
        <v>3</v>
      </c>
      <c r="C880" s="22" t="s">
        <v>99</v>
      </c>
      <c r="D880" s="22" t="s">
        <v>30</v>
      </c>
      <c r="E880" s="22" t="s">
        <v>7326</v>
      </c>
      <c r="F880" s="22" t="n">
        <v>527039</v>
      </c>
      <c r="G880" s="30" t="n">
        <v>46258</v>
      </c>
      <c r="H880" s="22" t="n">
        <v>628169</v>
      </c>
      <c r="I880" s="22" t="s">
        <v>8144</v>
      </c>
      <c r="J880" s="31" t="n">
        <v>46.8</v>
      </c>
      <c r="K880" s="26" t="n">
        <v>567.41</v>
      </c>
      <c r="L880" s="26" t="n">
        <v>193.14</v>
      </c>
      <c r="M880" s="22" t="s">
        <v>2342</v>
      </c>
      <c r="N880" s="22" t="n">
        <f aca="false">MATCH(M880,'Tabela Passaro'!$A$2:$A$1795,0)</f>
        <v>520</v>
      </c>
      <c r="O880" s="22" t="str">
        <f aca="false">INDEX('Tabela Passaro'!$C$2:$C$1795,$N880)</f>
        <v>CAUCAIA</v>
      </c>
      <c r="P880" s="22" t="str">
        <f aca="false">INDEX('Tabela Passaro'!$B$2:$B$1795,$N880)</f>
        <v>CE</v>
      </c>
      <c r="Q880" s="22" t="n">
        <f aca="false">INDEX('Tabela Passaro'!$F$2:$F$1795,$N880)</f>
        <v>8</v>
      </c>
      <c r="R880" s="32" t="n">
        <f aca="false">IF(J880&lt;=10,INDEX('Tabela Passaro'!$G$2:$G$1795,$N880),IF(J880&lt;=30,INDEX('Tabela Passaro'!$H$2:$H$1795,$N880),IF(J880&lt;=50,INDEX('Tabela Passaro'!$I$2:$I$1795,$N880),IF(J880&lt;=70,INDEX('Tabela Passaro'!$J$2:$J$1795,$N880),IF(J880&lt;=100,INDEX('Tabela Passaro'!$K$2:$K$1795,$N880),INDEX('Tabela Passaro'!$K$2:$K$1795,$N880)+(J880-100)*INDEX('Tabela Passaro'!$L$2:$L$1795,$N880))))))</f>
        <v>152.98</v>
      </c>
      <c r="S880" s="32" t="n">
        <f aca="false">K880*INDEX('Tabela Passaro'!$M$2:$M$1795,$N880)</f>
        <v>2.83705</v>
      </c>
      <c r="T880" s="32" t="n">
        <f aca="false">K880*INDEX('Tabela Passaro'!$N$2:$N$1795,$N880)</f>
        <v>1.13482</v>
      </c>
      <c r="U880" s="32" t="n">
        <f aca="false">INDEX('Tabela Passaro'!$O$2:$O$1795,$N880)</f>
        <v>5</v>
      </c>
      <c r="V880" s="32" t="n">
        <f aca="false">ROUNDUP(J880/INDEX('Tabela Passaro'!$Q$2:$Q$1795,$N880),0)*INDEX('Tabela Passaro'!$P$2:$P$1795,$N880)</f>
        <v>5</v>
      </c>
      <c r="W880" s="32" t="n">
        <f aca="false">INDEX('Tabela Passaro'!$R$2:$R$1795,$N880)</f>
        <v>30</v>
      </c>
      <c r="X880" s="32" t="n">
        <f aca="false">ROUNDUP(J880/INDEX('Tabela Passaro'!$T$2:$T$1795,$N880),0)*INDEX('Tabela Passaro'!$S$2:$S$1795,$N880)</f>
        <v>0</v>
      </c>
      <c r="Y880" s="32" t="n">
        <f aca="false">INDEX('Tabela Passaro'!$U$2:$U$1795,$N880)</f>
        <v>0</v>
      </c>
      <c r="Z880" s="32" t="n">
        <f aca="false">INDEX('Tabela Passaro'!$V$2:$V$1795,$N880)</f>
        <v>0</v>
      </c>
      <c r="AA880" s="32" t="n">
        <f aca="false">SUM(R880:Z880)</f>
        <v>196.95187</v>
      </c>
      <c r="AB880" s="33" t="n">
        <f aca="false">INDEX(Premissas!$B$5:$B$13,MATCH(A880,Premissas!$A$5:$A$13,0))</f>
        <v>0.07</v>
      </c>
      <c r="AC880" s="32" t="n">
        <f aca="false">AA880/(1-AB880)-AA880</f>
        <v>14.8243343010753</v>
      </c>
      <c r="AD880" s="32" t="n">
        <f aca="false">ROUND(AA880+AC880,2)</f>
        <v>211.78</v>
      </c>
      <c r="AE880" s="32" t="n">
        <f aca="false">AD880-L880</f>
        <v>18.64</v>
      </c>
      <c r="AF880" s="34" t="n">
        <f aca="false">IF(L880=0,0,AE880/L880)</f>
        <v>0.0965103034068552</v>
      </c>
      <c r="AG880" s="22" t="str">
        <f aca="false">IF(AD880&lt;L880,"PASSARO","ATUAL")</f>
        <v>ATUAL</v>
      </c>
      <c r="AH880" s="22" t="str">
        <f aca="false">IF(P880&lt;&gt;A880,"Faixa cadastrada como "&amp;P880&amp;" na tabela; preço aplicado pela UF do CEP","")</f>
        <v/>
      </c>
      <c r="AI880" s="26" t="n">
        <v>249.77</v>
      </c>
      <c r="AJ880" s="22" t="str">
        <f aca="false">INDEX('Tabela Passaro'!$X$2:$X$1795,$N880)</f>
        <v>CAPITAL</v>
      </c>
    </row>
    <row r="881" customFormat="false" ht="15" hidden="false" customHeight="false" outlineLevel="0" collapsed="false">
      <c r="A881" s="22" t="s">
        <v>17</v>
      </c>
      <c r="B881" s="22" t="n">
        <v>3</v>
      </c>
      <c r="C881" s="22" t="s">
        <v>99</v>
      </c>
      <c r="D881" s="22" t="s">
        <v>30</v>
      </c>
      <c r="E881" s="22" t="s">
        <v>7326</v>
      </c>
      <c r="F881" s="22" t="n">
        <v>527340</v>
      </c>
      <c r="G881" s="30" t="n">
        <v>46259</v>
      </c>
      <c r="H881" s="22" t="n">
        <v>628795</v>
      </c>
      <c r="I881" s="22" t="s">
        <v>8145</v>
      </c>
      <c r="J881" s="31" t="n">
        <v>74.06</v>
      </c>
      <c r="K881" s="26" t="n">
        <v>1348.2</v>
      </c>
      <c r="L881" s="26" t="n">
        <v>322.3</v>
      </c>
      <c r="M881" s="22" t="s">
        <v>2342</v>
      </c>
      <c r="N881" s="22" t="n">
        <f aca="false">MATCH(M881,'Tabela Passaro'!$A$2:$A$1795,0)</f>
        <v>520</v>
      </c>
      <c r="O881" s="22" t="str">
        <f aca="false">INDEX('Tabela Passaro'!$C$2:$C$1795,$N881)</f>
        <v>CAUCAIA</v>
      </c>
      <c r="P881" s="22" t="str">
        <f aca="false">INDEX('Tabela Passaro'!$B$2:$B$1795,$N881)</f>
        <v>CE</v>
      </c>
      <c r="Q881" s="22" t="n">
        <f aca="false">INDEX('Tabela Passaro'!$F$2:$F$1795,$N881)</f>
        <v>8</v>
      </c>
      <c r="R881" s="32" t="n">
        <f aca="false">IF(J881&lt;=10,INDEX('Tabela Passaro'!$G$2:$G$1795,$N881),IF(J881&lt;=30,INDEX('Tabela Passaro'!$H$2:$H$1795,$N881),IF(J881&lt;=50,INDEX('Tabela Passaro'!$I$2:$I$1795,$N881),IF(J881&lt;=70,INDEX('Tabela Passaro'!$J$2:$J$1795,$N881),IF(J881&lt;=100,INDEX('Tabela Passaro'!$K$2:$K$1795,$N881),INDEX('Tabela Passaro'!$K$2:$K$1795,$N881)+(J881-100)*INDEX('Tabela Passaro'!$L$2:$L$1795,$N881))))))</f>
        <v>186.18</v>
      </c>
      <c r="S881" s="32" t="n">
        <f aca="false">K881*INDEX('Tabela Passaro'!$M$2:$M$1795,$N881)</f>
        <v>6.741</v>
      </c>
      <c r="T881" s="32" t="n">
        <f aca="false">K881*INDEX('Tabela Passaro'!$N$2:$N$1795,$N881)</f>
        <v>2.6964</v>
      </c>
      <c r="U881" s="32" t="n">
        <f aca="false">INDEX('Tabela Passaro'!$O$2:$O$1795,$N881)</f>
        <v>5</v>
      </c>
      <c r="V881" s="32" t="n">
        <f aca="false">ROUNDUP(J881/INDEX('Tabela Passaro'!$Q$2:$Q$1795,$N881),0)*INDEX('Tabela Passaro'!$P$2:$P$1795,$N881)</f>
        <v>5</v>
      </c>
      <c r="W881" s="32" t="n">
        <f aca="false">INDEX('Tabela Passaro'!$R$2:$R$1795,$N881)</f>
        <v>30</v>
      </c>
      <c r="X881" s="32" t="n">
        <f aca="false">ROUNDUP(J881/INDEX('Tabela Passaro'!$T$2:$T$1795,$N881),0)*INDEX('Tabela Passaro'!$S$2:$S$1795,$N881)</f>
        <v>0</v>
      </c>
      <c r="Y881" s="32" t="n">
        <f aca="false">INDEX('Tabela Passaro'!$U$2:$U$1795,$N881)</f>
        <v>0</v>
      </c>
      <c r="Z881" s="32" t="n">
        <f aca="false">INDEX('Tabela Passaro'!$V$2:$V$1795,$N881)</f>
        <v>0</v>
      </c>
      <c r="AA881" s="32" t="n">
        <f aca="false">SUM(R881:Z881)</f>
        <v>235.6174</v>
      </c>
      <c r="AB881" s="33" t="n">
        <f aca="false">INDEX(Premissas!$B$5:$B$13,MATCH(A881,Premissas!$A$5:$A$13,0))</f>
        <v>0.07</v>
      </c>
      <c r="AC881" s="32" t="n">
        <f aca="false">AA881/(1-AB881)-AA881</f>
        <v>17.7346430107527</v>
      </c>
      <c r="AD881" s="32" t="n">
        <f aca="false">ROUND(AA881+AC881,2)</f>
        <v>253.35</v>
      </c>
      <c r="AE881" s="32" t="n">
        <f aca="false">AD881-L881</f>
        <v>-68.95</v>
      </c>
      <c r="AF881" s="34" t="n">
        <f aca="false">IF(L881=0,0,AE881/L881)</f>
        <v>-0.213931120074465</v>
      </c>
      <c r="AG881" s="22" t="str">
        <f aca="false">IF(AD881&lt;L881,"PASSARO","ATUAL")</f>
        <v>PASSARO</v>
      </c>
      <c r="AH881" s="22" t="str">
        <f aca="false">IF(P881&lt;&gt;A881,"Faixa cadastrada como "&amp;P881&amp;" na tabela; preço aplicado pela UF do CEP","")</f>
        <v/>
      </c>
      <c r="AI881" s="26" t="n">
        <v>308.46</v>
      </c>
      <c r="AJ881" s="22" t="str">
        <f aca="false">INDEX('Tabela Passaro'!$X$2:$X$1795,$N881)</f>
        <v>CAPITAL</v>
      </c>
    </row>
    <row r="882" customFormat="false" ht="15" hidden="false" customHeight="false" outlineLevel="0" collapsed="false">
      <c r="A882" s="22" t="s">
        <v>17</v>
      </c>
      <c r="B882" s="22" t="n">
        <v>3</v>
      </c>
      <c r="C882" s="22" t="s">
        <v>99</v>
      </c>
      <c r="D882" s="22" t="s">
        <v>30</v>
      </c>
      <c r="E882" s="22" t="s">
        <v>20</v>
      </c>
      <c r="F882" s="22" t="n">
        <v>840475</v>
      </c>
      <c r="G882" s="30" t="n">
        <v>46262</v>
      </c>
      <c r="H882" s="22" t="n">
        <v>32762</v>
      </c>
      <c r="I882" s="22" t="s">
        <v>8146</v>
      </c>
      <c r="J882" s="31" t="n">
        <v>66.5</v>
      </c>
      <c r="K882" s="26" t="n">
        <v>1008.63</v>
      </c>
      <c r="L882" s="26" t="n">
        <v>204.48</v>
      </c>
      <c r="M882" s="22" t="s">
        <v>2342</v>
      </c>
      <c r="N882" s="22" t="n">
        <f aca="false">MATCH(M882,'Tabela Passaro'!$A$2:$A$1795,0)</f>
        <v>520</v>
      </c>
      <c r="O882" s="22" t="str">
        <f aca="false">INDEX('Tabela Passaro'!$C$2:$C$1795,$N882)</f>
        <v>CAUCAIA</v>
      </c>
      <c r="P882" s="22" t="str">
        <f aca="false">INDEX('Tabela Passaro'!$B$2:$B$1795,$N882)</f>
        <v>CE</v>
      </c>
      <c r="Q882" s="22" t="n">
        <f aca="false">INDEX('Tabela Passaro'!$F$2:$F$1795,$N882)</f>
        <v>8</v>
      </c>
      <c r="R882" s="32" t="n">
        <f aca="false">IF(J882&lt;=10,INDEX('Tabela Passaro'!$G$2:$G$1795,$N882),IF(J882&lt;=30,INDEX('Tabela Passaro'!$H$2:$H$1795,$N882),IF(J882&lt;=50,INDEX('Tabela Passaro'!$I$2:$I$1795,$N882),IF(J882&lt;=70,INDEX('Tabela Passaro'!$J$2:$J$1795,$N882),IF(J882&lt;=100,INDEX('Tabela Passaro'!$K$2:$K$1795,$N882),INDEX('Tabela Passaro'!$K$2:$K$1795,$N882)+(J882-100)*INDEX('Tabela Passaro'!$L$2:$L$1795,$N882))))))</f>
        <v>169.58</v>
      </c>
      <c r="S882" s="32" t="n">
        <f aca="false">K882*INDEX('Tabela Passaro'!$M$2:$M$1795,$N882)</f>
        <v>5.04315</v>
      </c>
      <c r="T882" s="32" t="n">
        <f aca="false">K882*INDEX('Tabela Passaro'!$N$2:$N$1795,$N882)</f>
        <v>2.01726</v>
      </c>
      <c r="U882" s="32" t="n">
        <f aca="false">INDEX('Tabela Passaro'!$O$2:$O$1795,$N882)</f>
        <v>5</v>
      </c>
      <c r="V882" s="32" t="n">
        <f aca="false">ROUNDUP(J882/INDEX('Tabela Passaro'!$Q$2:$Q$1795,$N882),0)*INDEX('Tabela Passaro'!$P$2:$P$1795,$N882)</f>
        <v>5</v>
      </c>
      <c r="W882" s="32" t="n">
        <f aca="false">INDEX('Tabela Passaro'!$R$2:$R$1795,$N882)</f>
        <v>30</v>
      </c>
      <c r="X882" s="32" t="n">
        <f aca="false">ROUNDUP(J882/INDEX('Tabela Passaro'!$T$2:$T$1795,$N882),0)*INDEX('Tabela Passaro'!$S$2:$S$1795,$N882)</f>
        <v>0</v>
      </c>
      <c r="Y882" s="32" t="n">
        <f aca="false">INDEX('Tabela Passaro'!$U$2:$U$1795,$N882)</f>
        <v>0</v>
      </c>
      <c r="Z882" s="32" t="n">
        <f aca="false">INDEX('Tabela Passaro'!$V$2:$V$1795,$N882)</f>
        <v>0</v>
      </c>
      <c r="AA882" s="32" t="n">
        <f aca="false">SUM(R882:Z882)</f>
        <v>216.64041</v>
      </c>
      <c r="AB882" s="33" t="n">
        <f aca="false">INDEX(Premissas!$B$5:$B$13,MATCH(A882,Premissas!$A$5:$A$13,0))</f>
        <v>0.07</v>
      </c>
      <c r="AC882" s="32" t="n">
        <f aca="false">AA882/(1-AB882)-AA882</f>
        <v>16.3062674193549</v>
      </c>
      <c r="AD882" s="32" t="n">
        <f aca="false">ROUND(AA882+AC882,2)</f>
        <v>232.95</v>
      </c>
      <c r="AE882" s="32" t="n">
        <f aca="false">AD882-L882</f>
        <v>28.47</v>
      </c>
      <c r="AF882" s="34" t="n">
        <f aca="false">IF(L882=0,0,AE882/L882)</f>
        <v>0.139231220657277</v>
      </c>
      <c r="AG882" s="22" t="str">
        <f aca="false">IF(AD882&lt;L882,"PASSARO","ATUAL")</f>
        <v>ATUAL</v>
      </c>
      <c r="AH882" s="22" t="str">
        <f aca="false">IF(P882&lt;&gt;A882,"Faixa cadastrada como "&amp;P882&amp;" na tabela; preço aplicado pela UF do CEP","")</f>
        <v/>
      </c>
      <c r="AI882" s="26" t="n">
        <v>282.51</v>
      </c>
      <c r="AJ882" s="22" t="str">
        <f aca="false">INDEX('Tabela Passaro'!$X$2:$X$1795,$N882)</f>
        <v>CAPITAL</v>
      </c>
    </row>
    <row r="883" customFormat="false" ht="15" hidden="false" customHeight="false" outlineLevel="0" collapsed="false">
      <c r="A883" s="22" t="s">
        <v>17</v>
      </c>
      <c r="B883" s="22" t="n">
        <v>3</v>
      </c>
      <c r="C883" s="22" t="s">
        <v>99</v>
      </c>
      <c r="D883" s="22" t="s">
        <v>31</v>
      </c>
      <c r="E883" s="22" t="s">
        <v>7326</v>
      </c>
      <c r="F883" s="22" t="n">
        <v>12766242</v>
      </c>
      <c r="G883" s="30" t="n">
        <v>46245</v>
      </c>
      <c r="H883" s="22" t="n">
        <v>622641</v>
      </c>
      <c r="I883" s="22" t="s">
        <v>8147</v>
      </c>
      <c r="J883" s="31" t="n">
        <v>19.5</v>
      </c>
      <c r="K883" s="26" t="n">
        <v>529.46</v>
      </c>
      <c r="L883" s="26" t="n">
        <v>94.29</v>
      </c>
      <c r="M883" s="22" t="s">
        <v>2342</v>
      </c>
      <c r="N883" s="22" t="n">
        <f aca="false">MATCH(M883,'Tabela Passaro'!$A$2:$A$1795,0)</f>
        <v>520</v>
      </c>
      <c r="O883" s="22" t="str">
        <f aca="false">INDEX('Tabela Passaro'!$C$2:$C$1795,$N883)</f>
        <v>CAUCAIA</v>
      </c>
      <c r="P883" s="22" t="str">
        <f aca="false">INDEX('Tabela Passaro'!$B$2:$B$1795,$N883)</f>
        <v>CE</v>
      </c>
      <c r="Q883" s="22" t="n">
        <f aca="false">INDEX('Tabela Passaro'!$F$2:$F$1795,$N883)</f>
        <v>8</v>
      </c>
      <c r="R883" s="32" t="n">
        <f aca="false">IF(J883&lt;=10,INDEX('Tabela Passaro'!$G$2:$G$1795,$N883),IF(J883&lt;=30,INDEX('Tabela Passaro'!$H$2:$H$1795,$N883),IF(J883&lt;=50,INDEX('Tabela Passaro'!$I$2:$I$1795,$N883),IF(J883&lt;=70,INDEX('Tabela Passaro'!$J$2:$J$1795,$N883),IF(J883&lt;=100,INDEX('Tabela Passaro'!$K$2:$K$1795,$N883),INDEX('Tabela Passaro'!$K$2:$K$1795,$N883)+(J883-100)*INDEX('Tabela Passaro'!$L$2:$L$1795,$N883))))))</f>
        <v>130.85</v>
      </c>
      <c r="S883" s="32" t="n">
        <f aca="false">K883*INDEX('Tabela Passaro'!$M$2:$M$1795,$N883)</f>
        <v>2.6473</v>
      </c>
      <c r="T883" s="32" t="n">
        <f aca="false">K883*INDEX('Tabela Passaro'!$N$2:$N$1795,$N883)</f>
        <v>1.05892</v>
      </c>
      <c r="U883" s="32" t="n">
        <f aca="false">INDEX('Tabela Passaro'!$O$2:$O$1795,$N883)</f>
        <v>5</v>
      </c>
      <c r="V883" s="32" t="n">
        <f aca="false">ROUNDUP(J883/INDEX('Tabela Passaro'!$Q$2:$Q$1795,$N883),0)*INDEX('Tabela Passaro'!$P$2:$P$1795,$N883)</f>
        <v>5</v>
      </c>
      <c r="W883" s="32" t="n">
        <f aca="false">INDEX('Tabela Passaro'!$R$2:$R$1795,$N883)</f>
        <v>30</v>
      </c>
      <c r="X883" s="32" t="n">
        <f aca="false">ROUNDUP(J883/INDEX('Tabela Passaro'!$T$2:$T$1795,$N883),0)*INDEX('Tabela Passaro'!$S$2:$S$1795,$N883)</f>
        <v>0</v>
      </c>
      <c r="Y883" s="32" t="n">
        <f aca="false">INDEX('Tabela Passaro'!$U$2:$U$1795,$N883)</f>
        <v>0</v>
      </c>
      <c r="Z883" s="32" t="n">
        <f aca="false">INDEX('Tabela Passaro'!$V$2:$V$1795,$N883)</f>
        <v>0</v>
      </c>
      <c r="AA883" s="32" t="n">
        <f aca="false">SUM(R883:Z883)</f>
        <v>174.55622</v>
      </c>
      <c r="AB883" s="33" t="n">
        <f aca="false">INDEX(Premissas!$B$5:$B$13,MATCH(A883,Premissas!$A$5:$A$13,0))</f>
        <v>0.07</v>
      </c>
      <c r="AC883" s="32" t="n">
        <f aca="false">AA883/(1-AB883)-AA883</f>
        <v>13.1386402150538</v>
      </c>
      <c r="AD883" s="32" t="n">
        <f aca="false">ROUND(AA883+AC883,2)</f>
        <v>187.69</v>
      </c>
      <c r="AE883" s="32" t="n">
        <f aca="false">AD883-L883</f>
        <v>93.4</v>
      </c>
      <c r="AF883" s="34" t="n">
        <f aca="false">IF(L883=0,0,AE883/L883)</f>
        <v>0.990561035104465</v>
      </c>
      <c r="AG883" s="22" t="str">
        <f aca="false">IF(AD883&lt;L883,"PASSARO","ATUAL")</f>
        <v>ATUAL</v>
      </c>
      <c r="AH883" s="22" t="str">
        <f aca="false">IF(P883&lt;&gt;A883,"Faixa cadastrada como "&amp;P883&amp;" na tabela; preço aplicado pela UF do CEP","")</f>
        <v/>
      </c>
      <c r="AI883" s="26" t="n">
        <v>211.3</v>
      </c>
      <c r="AJ883" s="22" t="str">
        <f aca="false">INDEX('Tabela Passaro'!$X$2:$X$1795,$N883)</f>
        <v>CAPITAL</v>
      </c>
    </row>
    <row r="884" customFormat="false" ht="15" hidden="false" customHeight="false" outlineLevel="0" collapsed="false">
      <c r="A884" s="22" t="s">
        <v>17</v>
      </c>
      <c r="B884" s="22" t="n">
        <v>3</v>
      </c>
      <c r="C884" s="22" t="s">
        <v>99</v>
      </c>
      <c r="D884" s="22" t="s">
        <v>31</v>
      </c>
      <c r="E884" s="22" t="s">
        <v>7326</v>
      </c>
      <c r="F884" s="22" t="n">
        <v>12790500</v>
      </c>
      <c r="G884" s="30" t="n">
        <v>46248</v>
      </c>
      <c r="H884" s="22" t="n">
        <v>624915</v>
      </c>
      <c r="I884" s="22" t="s">
        <v>8148</v>
      </c>
      <c r="J884" s="31" t="n">
        <v>22.4</v>
      </c>
      <c r="K884" s="26" t="n">
        <v>644.98</v>
      </c>
      <c r="L884" s="26" t="n">
        <v>94.12</v>
      </c>
      <c r="M884" s="22" t="s">
        <v>2342</v>
      </c>
      <c r="N884" s="22" t="n">
        <f aca="false">MATCH(M884,'Tabela Passaro'!$A$2:$A$1795,0)</f>
        <v>520</v>
      </c>
      <c r="O884" s="22" t="str">
        <f aca="false">INDEX('Tabela Passaro'!$C$2:$C$1795,$N884)</f>
        <v>CAUCAIA</v>
      </c>
      <c r="P884" s="22" t="str">
        <f aca="false">INDEX('Tabela Passaro'!$B$2:$B$1795,$N884)</f>
        <v>CE</v>
      </c>
      <c r="Q884" s="22" t="n">
        <f aca="false">INDEX('Tabela Passaro'!$F$2:$F$1795,$N884)</f>
        <v>8</v>
      </c>
      <c r="R884" s="32" t="n">
        <f aca="false">IF(J884&lt;=10,INDEX('Tabela Passaro'!$G$2:$G$1795,$N884),IF(J884&lt;=30,INDEX('Tabela Passaro'!$H$2:$H$1795,$N884),IF(J884&lt;=50,INDEX('Tabela Passaro'!$I$2:$I$1795,$N884),IF(J884&lt;=70,INDEX('Tabela Passaro'!$J$2:$J$1795,$N884),IF(J884&lt;=100,INDEX('Tabela Passaro'!$K$2:$K$1795,$N884),INDEX('Tabela Passaro'!$K$2:$K$1795,$N884)+(J884-100)*INDEX('Tabela Passaro'!$L$2:$L$1795,$N884))))))</f>
        <v>130.85</v>
      </c>
      <c r="S884" s="32" t="n">
        <f aca="false">K884*INDEX('Tabela Passaro'!$M$2:$M$1795,$N884)</f>
        <v>3.2249</v>
      </c>
      <c r="T884" s="32" t="n">
        <f aca="false">K884*INDEX('Tabela Passaro'!$N$2:$N$1795,$N884)</f>
        <v>1.28996</v>
      </c>
      <c r="U884" s="32" t="n">
        <f aca="false">INDEX('Tabela Passaro'!$O$2:$O$1795,$N884)</f>
        <v>5</v>
      </c>
      <c r="V884" s="32" t="n">
        <f aca="false">ROUNDUP(J884/INDEX('Tabela Passaro'!$Q$2:$Q$1795,$N884),0)*INDEX('Tabela Passaro'!$P$2:$P$1795,$N884)</f>
        <v>5</v>
      </c>
      <c r="W884" s="32" t="n">
        <f aca="false">INDEX('Tabela Passaro'!$R$2:$R$1795,$N884)</f>
        <v>30</v>
      </c>
      <c r="X884" s="32" t="n">
        <f aca="false">ROUNDUP(J884/INDEX('Tabela Passaro'!$T$2:$T$1795,$N884),0)*INDEX('Tabela Passaro'!$S$2:$S$1795,$N884)</f>
        <v>0</v>
      </c>
      <c r="Y884" s="32" t="n">
        <f aca="false">INDEX('Tabela Passaro'!$U$2:$U$1795,$N884)</f>
        <v>0</v>
      </c>
      <c r="Z884" s="32" t="n">
        <f aca="false">INDEX('Tabela Passaro'!$V$2:$V$1795,$N884)</f>
        <v>0</v>
      </c>
      <c r="AA884" s="32" t="n">
        <f aca="false">SUM(R884:Z884)</f>
        <v>175.36486</v>
      </c>
      <c r="AB884" s="33" t="n">
        <f aca="false">INDEX(Premissas!$B$5:$B$13,MATCH(A884,Premissas!$A$5:$A$13,0))</f>
        <v>0.07</v>
      </c>
      <c r="AC884" s="32" t="n">
        <f aca="false">AA884/(1-AB884)-AA884</f>
        <v>13.1995055913979</v>
      </c>
      <c r="AD884" s="32" t="n">
        <f aca="false">ROUND(AA884+AC884,2)</f>
        <v>188.56</v>
      </c>
      <c r="AE884" s="32" t="n">
        <f aca="false">AD884-L884</f>
        <v>94.44</v>
      </c>
      <c r="AF884" s="34" t="n">
        <f aca="false">IF(L884=0,0,AE884/L884)</f>
        <v>1.00339991500212</v>
      </c>
      <c r="AG884" s="22" t="str">
        <f aca="false">IF(AD884&lt;L884,"PASSARO","ATUAL")</f>
        <v>ATUAL</v>
      </c>
      <c r="AH884" s="22" t="str">
        <f aca="false">IF(P884&lt;&gt;A884,"Faixa cadastrada como "&amp;P884&amp;" na tabela; preço aplicado pela UF do CEP","")</f>
        <v/>
      </c>
      <c r="AI884" s="26" t="n">
        <v>213.87</v>
      </c>
      <c r="AJ884" s="22" t="str">
        <f aca="false">INDEX('Tabela Passaro'!$X$2:$X$1795,$N884)</f>
        <v>CAPITAL</v>
      </c>
    </row>
    <row r="885" customFormat="false" ht="15" hidden="false" customHeight="false" outlineLevel="0" collapsed="false">
      <c r="A885" s="22" t="s">
        <v>17</v>
      </c>
      <c r="B885" s="22" t="n">
        <v>4</v>
      </c>
      <c r="C885" s="22" t="s">
        <v>101</v>
      </c>
      <c r="D885" s="22" t="s">
        <v>30</v>
      </c>
      <c r="E885" s="22" t="s">
        <v>20</v>
      </c>
      <c r="F885" s="22" t="n">
        <v>837757</v>
      </c>
      <c r="G885" s="30" t="n">
        <v>46238</v>
      </c>
      <c r="H885" s="22" t="n">
        <v>32396</v>
      </c>
      <c r="I885" s="22" t="s">
        <v>8149</v>
      </c>
      <c r="J885" s="31" t="n">
        <v>34.1</v>
      </c>
      <c r="K885" s="26" t="n">
        <v>649.98</v>
      </c>
      <c r="L885" s="26" t="n">
        <v>150.9</v>
      </c>
      <c r="M885" s="22" t="s">
        <v>2349</v>
      </c>
      <c r="N885" s="22" t="n">
        <f aca="false">MATCH(M885,'Tabela Passaro'!$A$2:$A$1795,0)</f>
        <v>522</v>
      </c>
      <c r="O885" s="22" t="str">
        <f aca="false">INDEX('Tabela Passaro'!$C$2:$C$1795,$N885)</f>
        <v>FORTALEZA</v>
      </c>
      <c r="P885" s="22" t="str">
        <f aca="false">INDEX('Tabela Passaro'!$B$2:$B$1795,$N885)</f>
        <v>CE</v>
      </c>
      <c r="Q885" s="22" t="n">
        <f aca="false">INDEX('Tabela Passaro'!$F$2:$F$1795,$N885)</f>
        <v>8</v>
      </c>
      <c r="R885" s="32" t="n">
        <f aca="false">IF(J885&lt;=10,INDEX('Tabela Passaro'!$G$2:$G$1795,$N885),IF(J885&lt;=30,INDEX('Tabela Passaro'!$H$2:$H$1795,$N885),IF(J885&lt;=50,INDEX('Tabela Passaro'!$I$2:$I$1795,$N885),IF(J885&lt;=70,INDEX('Tabela Passaro'!$J$2:$J$1795,$N885),IF(J885&lt;=100,INDEX('Tabela Passaro'!$K$2:$K$1795,$N885),INDEX('Tabela Passaro'!$K$2:$K$1795,$N885)+(J885-100)*INDEX('Tabela Passaro'!$L$2:$L$1795,$N885))))))</f>
        <v>152.98</v>
      </c>
      <c r="S885" s="32" t="n">
        <f aca="false">K885*INDEX('Tabela Passaro'!$M$2:$M$1795,$N885)</f>
        <v>3.2499</v>
      </c>
      <c r="T885" s="32" t="n">
        <f aca="false">K885*INDEX('Tabela Passaro'!$N$2:$N$1795,$N885)</f>
        <v>1.29996</v>
      </c>
      <c r="U885" s="32" t="n">
        <f aca="false">INDEX('Tabela Passaro'!$O$2:$O$1795,$N885)</f>
        <v>5</v>
      </c>
      <c r="V885" s="32" t="n">
        <f aca="false">ROUNDUP(J885/INDEX('Tabela Passaro'!$Q$2:$Q$1795,$N885),0)*INDEX('Tabela Passaro'!$P$2:$P$1795,$N885)</f>
        <v>5</v>
      </c>
      <c r="W885" s="32" t="n">
        <f aca="false">INDEX('Tabela Passaro'!$R$2:$R$1795,$N885)</f>
        <v>30</v>
      </c>
      <c r="X885" s="32" t="n">
        <f aca="false">ROUNDUP(J885/INDEX('Tabela Passaro'!$T$2:$T$1795,$N885),0)*INDEX('Tabela Passaro'!$S$2:$S$1795,$N885)</f>
        <v>0</v>
      </c>
      <c r="Y885" s="32" t="n">
        <f aca="false">INDEX('Tabela Passaro'!$U$2:$U$1795,$N885)</f>
        <v>0</v>
      </c>
      <c r="Z885" s="32" t="n">
        <f aca="false">INDEX('Tabela Passaro'!$V$2:$V$1795,$N885)</f>
        <v>0</v>
      </c>
      <c r="AA885" s="32" t="n">
        <f aca="false">SUM(R885:Z885)</f>
        <v>197.52986</v>
      </c>
      <c r="AB885" s="33" t="n">
        <f aca="false">INDEX(Premissas!$B$5:$B$13,MATCH(A885,Premissas!$A$5:$A$13,0))</f>
        <v>0.07</v>
      </c>
      <c r="AC885" s="32" t="n">
        <f aca="false">AA885/(1-AB885)-AA885</f>
        <v>14.8678389247312</v>
      </c>
      <c r="AD885" s="32" t="n">
        <f aca="false">ROUND(AA885+AC885,2)</f>
        <v>212.4</v>
      </c>
      <c r="AE885" s="32" t="n">
        <f aca="false">AD885-L885</f>
        <v>61.5</v>
      </c>
      <c r="AF885" s="34" t="n">
        <f aca="false">IF(L885=0,0,AE885/L885)</f>
        <v>0.407554671968191</v>
      </c>
      <c r="AG885" s="22" t="str">
        <f aca="false">IF(AD885&lt;L885,"PASSARO","ATUAL")</f>
        <v>ATUAL</v>
      </c>
      <c r="AH885" s="22" t="str">
        <f aca="false">IF(P885&lt;&gt;A885,"Faixa cadastrada como "&amp;P885&amp;" na tabela; preço aplicado pela UF do CEP","")</f>
        <v/>
      </c>
      <c r="AI885" s="26" t="n">
        <v>244.76</v>
      </c>
      <c r="AJ885" s="22" t="str">
        <f aca="false">INDEX('Tabela Passaro'!$X$2:$X$1795,$N885)</f>
        <v>CAPITAL</v>
      </c>
    </row>
    <row r="886" customFormat="false" ht="15" hidden="false" customHeight="false" outlineLevel="0" collapsed="false">
      <c r="A886" s="22" t="s">
        <v>17</v>
      </c>
      <c r="B886" s="22" t="n">
        <v>4</v>
      </c>
      <c r="C886" s="22" t="s">
        <v>101</v>
      </c>
      <c r="D886" s="22" t="s">
        <v>30</v>
      </c>
      <c r="E886" s="22" t="s">
        <v>7328</v>
      </c>
      <c r="F886" s="22" t="n">
        <v>2307428</v>
      </c>
      <c r="G886" s="30" t="n">
        <v>46238</v>
      </c>
      <c r="H886" s="22" t="n">
        <v>131289</v>
      </c>
      <c r="I886" s="22" t="s">
        <v>8150</v>
      </c>
      <c r="J886" s="31" t="n">
        <v>37.2</v>
      </c>
      <c r="K886" s="26" t="n">
        <v>529.89</v>
      </c>
      <c r="L886" s="26" t="n">
        <v>171.93</v>
      </c>
      <c r="M886" s="22" t="s">
        <v>2352</v>
      </c>
      <c r="N886" s="22" t="n">
        <f aca="false">MATCH(M886,'Tabela Passaro'!$A$2:$A$1795,0)</f>
        <v>523</v>
      </c>
      <c r="O886" s="22" t="str">
        <f aca="false">INDEX('Tabela Passaro'!$C$2:$C$1795,$N886)</f>
        <v>MARACANAU</v>
      </c>
      <c r="P886" s="22" t="str">
        <f aca="false">INDEX('Tabela Passaro'!$B$2:$B$1795,$N886)</f>
        <v>CE</v>
      </c>
      <c r="Q886" s="22" t="n">
        <f aca="false">INDEX('Tabela Passaro'!$F$2:$F$1795,$N886)</f>
        <v>8</v>
      </c>
      <c r="R886" s="32" t="n">
        <f aca="false">IF(J886&lt;=10,INDEX('Tabela Passaro'!$G$2:$G$1795,$N886),IF(J886&lt;=30,INDEX('Tabela Passaro'!$H$2:$H$1795,$N886),IF(J886&lt;=50,INDEX('Tabela Passaro'!$I$2:$I$1795,$N886),IF(J886&lt;=70,INDEX('Tabela Passaro'!$J$2:$J$1795,$N886),IF(J886&lt;=100,INDEX('Tabela Passaro'!$K$2:$K$1795,$N886),INDEX('Tabela Passaro'!$K$2:$K$1795,$N886)+(J886-100)*INDEX('Tabela Passaro'!$L$2:$L$1795,$N886))))))</f>
        <v>152.98</v>
      </c>
      <c r="S886" s="32" t="n">
        <f aca="false">K886*INDEX('Tabela Passaro'!$M$2:$M$1795,$N886)</f>
        <v>2.64945</v>
      </c>
      <c r="T886" s="32" t="n">
        <f aca="false">K886*INDEX('Tabela Passaro'!$N$2:$N$1795,$N886)</f>
        <v>1.05978</v>
      </c>
      <c r="U886" s="32" t="n">
        <f aca="false">INDEX('Tabela Passaro'!$O$2:$O$1795,$N886)</f>
        <v>5</v>
      </c>
      <c r="V886" s="32" t="n">
        <f aca="false">ROUNDUP(J886/INDEX('Tabela Passaro'!$Q$2:$Q$1795,$N886),0)*INDEX('Tabela Passaro'!$P$2:$P$1795,$N886)</f>
        <v>5</v>
      </c>
      <c r="W886" s="32" t="n">
        <f aca="false">INDEX('Tabela Passaro'!$R$2:$R$1795,$N886)</f>
        <v>30</v>
      </c>
      <c r="X886" s="32" t="n">
        <f aca="false">ROUNDUP(J886/INDEX('Tabela Passaro'!$T$2:$T$1795,$N886),0)*INDEX('Tabela Passaro'!$S$2:$S$1795,$N886)</f>
        <v>0</v>
      </c>
      <c r="Y886" s="32" t="n">
        <f aca="false">INDEX('Tabela Passaro'!$U$2:$U$1795,$N886)</f>
        <v>0</v>
      </c>
      <c r="Z886" s="32" t="n">
        <f aca="false">INDEX('Tabela Passaro'!$V$2:$V$1795,$N886)</f>
        <v>0</v>
      </c>
      <c r="AA886" s="32" t="n">
        <f aca="false">SUM(R886:Z886)</f>
        <v>196.68923</v>
      </c>
      <c r="AB886" s="33" t="n">
        <f aca="false">INDEX(Premissas!$B$5:$B$13,MATCH(A886,Premissas!$A$5:$A$13,0))</f>
        <v>0.07</v>
      </c>
      <c r="AC886" s="32" t="n">
        <f aca="false">AA886/(1-AB886)-AA886</f>
        <v>14.8045656989247</v>
      </c>
      <c r="AD886" s="32" t="n">
        <f aca="false">ROUND(AA886+AC886,2)</f>
        <v>211.49</v>
      </c>
      <c r="AE886" s="32" t="n">
        <f aca="false">AD886-L886</f>
        <v>39.56</v>
      </c>
      <c r="AF886" s="34" t="n">
        <f aca="false">IF(L886=0,0,AE886/L886)</f>
        <v>0.230093642761589</v>
      </c>
      <c r="AG886" s="22" t="str">
        <f aca="false">IF(AD886&lt;L886,"PASSARO","ATUAL")</f>
        <v>ATUAL</v>
      </c>
      <c r="AH886" s="22" t="str">
        <f aca="false">IF(P886&lt;&gt;A886,"Faixa cadastrada como "&amp;P886&amp;" na tabela; preço aplicado pela UF do CEP","")</f>
        <v/>
      </c>
      <c r="AI886" s="26" t="n">
        <v>245.05</v>
      </c>
      <c r="AJ886" s="22" t="str">
        <f aca="false">INDEX('Tabela Passaro'!$X$2:$X$1795,$N886)</f>
        <v>CAPITAL</v>
      </c>
    </row>
    <row r="887" customFormat="false" ht="15" hidden="false" customHeight="false" outlineLevel="0" collapsed="false">
      <c r="A887" s="22" t="s">
        <v>17</v>
      </c>
      <c r="B887" s="22" t="n">
        <v>4</v>
      </c>
      <c r="C887" s="22" t="s">
        <v>101</v>
      </c>
      <c r="D887" s="22" t="s">
        <v>30</v>
      </c>
      <c r="E887" s="22" t="s">
        <v>20</v>
      </c>
      <c r="F887" s="22" t="n">
        <v>838396</v>
      </c>
      <c r="G887" s="30" t="n">
        <v>46244</v>
      </c>
      <c r="H887" s="22" t="n">
        <v>32445</v>
      </c>
      <c r="I887" s="22" t="s">
        <v>8151</v>
      </c>
      <c r="J887" s="31" t="n">
        <v>22.4</v>
      </c>
      <c r="K887" s="26" t="n">
        <v>669.98</v>
      </c>
      <c r="L887" s="26" t="n">
        <v>122.31</v>
      </c>
      <c r="M887" s="22" t="s">
        <v>2352</v>
      </c>
      <c r="N887" s="22" t="n">
        <f aca="false">MATCH(M887,'Tabela Passaro'!$A$2:$A$1795,0)</f>
        <v>523</v>
      </c>
      <c r="O887" s="22" t="str">
        <f aca="false">INDEX('Tabela Passaro'!$C$2:$C$1795,$N887)</f>
        <v>MARACANAU</v>
      </c>
      <c r="P887" s="22" t="str">
        <f aca="false">INDEX('Tabela Passaro'!$B$2:$B$1795,$N887)</f>
        <v>CE</v>
      </c>
      <c r="Q887" s="22" t="n">
        <f aca="false">INDEX('Tabela Passaro'!$F$2:$F$1795,$N887)</f>
        <v>8</v>
      </c>
      <c r="R887" s="32" t="n">
        <f aca="false">IF(J887&lt;=10,INDEX('Tabela Passaro'!$G$2:$G$1795,$N887),IF(J887&lt;=30,INDEX('Tabela Passaro'!$H$2:$H$1795,$N887),IF(J887&lt;=50,INDEX('Tabela Passaro'!$I$2:$I$1795,$N887),IF(J887&lt;=70,INDEX('Tabela Passaro'!$J$2:$J$1795,$N887),IF(J887&lt;=100,INDEX('Tabela Passaro'!$K$2:$K$1795,$N887),INDEX('Tabela Passaro'!$K$2:$K$1795,$N887)+(J887-100)*INDEX('Tabela Passaro'!$L$2:$L$1795,$N887))))))</f>
        <v>130.85</v>
      </c>
      <c r="S887" s="32" t="n">
        <f aca="false">K887*INDEX('Tabela Passaro'!$M$2:$M$1795,$N887)</f>
        <v>3.3499</v>
      </c>
      <c r="T887" s="32" t="n">
        <f aca="false">K887*INDEX('Tabela Passaro'!$N$2:$N$1795,$N887)</f>
        <v>1.33996</v>
      </c>
      <c r="U887" s="32" t="n">
        <f aca="false">INDEX('Tabela Passaro'!$O$2:$O$1795,$N887)</f>
        <v>5</v>
      </c>
      <c r="V887" s="32" t="n">
        <f aca="false">ROUNDUP(J887/INDEX('Tabela Passaro'!$Q$2:$Q$1795,$N887),0)*INDEX('Tabela Passaro'!$P$2:$P$1795,$N887)</f>
        <v>5</v>
      </c>
      <c r="W887" s="32" t="n">
        <f aca="false">INDEX('Tabela Passaro'!$R$2:$R$1795,$N887)</f>
        <v>30</v>
      </c>
      <c r="X887" s="32" t="n">
        <f aca="false">ROUNDUP(J887/INDEX('Tabela Passaro'!$T$2:$T$1795,$N887),0)*INDEX('Tabela Passaro'!$S$2:$S$1795,$N887)</f>
        <v>0</v>
      </c>
      <c r="Y887" s="32" t="n">
        <f aca="false">INDEX('Tabela Passaro'!$U$2:$U$1795,$N887)</f>
        <v>0</v>
      </c>
      <c r="Z887" s="32" t="n">
        <f aca="false">INDEX('Tabela Passaro'!$V$2:$V$1795,$N887)</f>
        <v>0</v>
      </c>
      <c r="AA887" s="32" t="n">
        <f aca="false">SUM(R887:Z887)</f>
        <v>175.53986</v>
      </c>
      <c r="AB887" s="33" t="n">
        <f aca="false">INDEX(Premissas!$B$5:$B$13,MATCH(A887,Premissas!$A$5:$A$13,0))</f>
        <v>0.07</v>
      </c>
      <c r="AC887" s="32" t="n">
        <f aca="false">AA887/(1-AB887)-AA887</f>
        <v>13.2126776344086</v>
      </c>
      <c r="AD887" s="32" t="n">
        <f aca="false">ROUND(AA887+AC887,2)</f>
        <v>188.75</v>
      </c>
      <c r="AE887" s="32" t="n">
        <f aca="false">AD887-L887</f>
        <v>66.44</v>
      </c>
      <c r="AF887" s="34" t="n">
        <f aca="false">IF(L887=0,0,AE887/L887)</f>
        <v>0.54320987654321</v>
      </c>
      <c r="AG887" s="22" t="str">
        <f aca="false">IF(AD887&lt;L887,"PASSARO","ATUAL")</f>
        <v>ATUAL</v>
      </c>
      <c r="AH887" s="22" t="str">
        <f aca="false">IF(P887&lt;&gt;A887,"Faixa cadastrada como "&amp;P887&amp;" na tabela; preço aplicado pela UF do CEP","")</f>
        <v/>
      </c>
      <c r="AI887" s="26" t="n">
        <v>214.11</v>
      </c>
      <c r="AJ887" s="22" t="str">
        <f aca="false">INDEX('Tabela Passaro'!$X$2:$X$1795,$N887)</f>
        <v>CAPITAL</v>
      </c>
    </row>
    <row r="888" customFormat="false" ht="15" hidden="false" customHeight="false" outlineLevel="0" collapsed="false">
      <c r="A888" s="22" t="s">
        <v>17</v>
      </c>
      <c r="B888" s="22" t="n">
        <v>4</v>
      </c>
      <c r="C888" s="22" t="s">
        <v>101</v>
      </c>
      <c r="D888" s="22" t="s">
        <v>30</v>
      </c>
      <c r="E888" s="22" t="s">
        <v>7328</v>
      </c>
      <c r="F888" s="22" t="n">
        <v>2309830</v>
      </c>
      <c r="G888" s="30" t="n">
        <v>46244</v>
      </c>
      <c r="H888" s="22" t="n">
        <v>132173</v>
      </c>
      <c r="I888" s="22" t="s">
        <v>8152</v>
      </c>
      <c r="J888" s="31" t="n">
        <v>109.6</v>
      </c>
      <c r="K888" s="26" t="n">
        <v>1709.89</v>
      </c>
      <c r="L888" s="26" t="n">
        <v>312.64</v>
      </c>
      <c r="M888" s="22" t="s">
        <v>2352</v>
      </c>
      <c r="N888" s="22" t="n">
        <f aca="false">MATCH(M888,'Tabela Passaro'!$A$2:$A$1795,0)</f>
        <v>523</v>
      </c>
      <c r="O888" s="22" t="str">
        <f aca="false">INDEX('Tabela Passaro'!$C$2:$C$1795,$N888)</f>
        <v>MARACANAU</v>
      </c>
      <c r="P888" s="22" t="str">
        <f aca="false">INDEX('Tabela Passaro'!$B$2:$B$1795,$N888)</f>
        <v>CE</v>
      </c>
      <c r="Q888" s="22" t="n">
        <f aca="false">INDEX('Tabela Passaro'!$F$2:$F$1795,$N888)</f>
        <v>8</v>
      </c>
      <c r="R888" s="32" t="n">
        <f aca="false">IF(J888&lt;=10,INDEX('Tabela Passaro'!$G$2:$G$1795,$N888),IF(J888&lt;=30,INDEX('Tabela Passaro'!$H$2:$H$1795,$N888),IF(J888&lt;=50,INDEX('Tabela Passaro'!$I$2:$I$1795,$N888),IF(J888&lt;=70,INDEX('Tabela Passaro'!$J$2:$J$1795,$N888),IF(J888&lt;=100,INDEX('Tabela Passaro'!$K$2:$K$1795,$N888),INDEX('Tabela Passaro'!$K$2:$K$1795,$N888)+(J888-100)*INDEX('Tabela Passaro'!$L$2:$L$1795,$N888))))))</f>
        <v>202.5</v>
      </c>
      <c r="S888" s="32" t="n">
        <f aca="false">K888*INDEX('Tabela Passaro'!$M$2:$M$1795,$N888)</f>
        <v>8.54945</v>
      </c>
      <c r="T888" s="32" t="n">
        <f aca="false">K888*INDEX('Tabela Passaro'!$N$2:$N$1795,$N888)</f>
        <v>3.41978</v>
      </c>
      <c r="U888" s="32" t="n">
        <f aca="false">INDEX('Tabela Passaro'!$O$2:$O$1795,$N888)</f>
        <v>5</v>
      </c>
      <c r="V888" s="32" t="n">
        <f aca="false">ROUNDUP(J888/INDEX('Tabela Passaro'!$Q$2:$Q$1795,$N888),0)*INDEX('Tabela Passaro'!$P$2:$P$1795,$N888)</f>
        <v>10</v>
      </c>
      <c r="W888" s="32" t="n">
        <f aca="false">INDEX('Tabela Passaro'!$R$2:$R$1795,$N888)</f>
        <v>30</v>
      </c>
      <c r="X888" s="32" t="n">
        <f aca="false">ROUNDUP(J888/INDEX('Tabela Passaro'!$T$2:$T$1795,$N888),0)*INDEX('Tabela Passaro'!$S$2:$S$1795,$N888)</f>
        <v>0</v>
      </c>
      <c r="Y888" s="32" t="n">
        <f aca="false">INDEX('Tabela Passaro'!$U$2:$U$1795,$N888)</f>
        <v>0</v>
      </c>
      <c r="Z888" s="32" t="n">
        <f aca="false">INDEX('Tabela Passaro'!$V$2:$V$1795,$N888)</f>
        <v>0</v>
      </c>
      <c r="AA888" s="32" t="n">
        <f aca="false">SUM(R888:Z888)</f>
        <v>259.46923</v>
      </c>
      <c r="AB888" s="33" t="n">
        <f aca="false">INDEX(Premissas!$B$5:$B$13,MATCH(A888,Premissas!$A$5:$A$13,0))</f>
        <v>0.07</v>
      </c>
      <c r="AC888" s="32" t="n">
        <f aca="false">AA888/(1-AB888)-AA888</f>
        <v>19.5299420430108</v>
      </c>
      <c r="AD888" s="32" t="n">
        <f aca="false">ROUND(AA888+AC888,2)</f>
        <v>279</v>
      </c>
      <c r="AE888" s="32" t="n">
        <f aca="false">AD888-L888</f>
        <v>-33.64</v>
      </c>
      <c r="AF888" s="34" t="n">
        <f aca="false">IF(L888=0,0,AE888/L888)</f>
        <v>-0.107599795291709</v>
      </c>
      <c r="AG888" s="22" t="str">
        <f aca="false">IF(AD888&lt;L888,"PASSARO","ATUAL")</f>
        <v>PASSARO</v>
      </c>
      <c r="AH888" s="22" t="str">
        <f aca="false">IF(P888&lt;&gt;A888,"Faixa cadastrada como "&amp;P888&amp;" na tabela; preço aplicado pela UF do CEP","")</f>
        <v/>
      </c>
      <c r="AI888" s="26" t="n">
        <v>353.98</v>
      </c>
      <c r="AJ888" s="22" t="str">
        <f aca="false">INDEX('Tabela Passaro'!$X$2:$X$1795,$N888)</f>
        <v>CAPITAL</v>
      </c>
    </row>
    <row r="889" customFormat="false" ht="15" hidden="false" customHeight="false" outlineLevel="0" collapsed="false">
      <c r="A889" s="22" t="s">
        <v>17</v>
      </c>
      <c r="B889" s="22" t="n">
        <v>4</v>
      </c>
      <c r="C889" s="22" t="s">
        <v>101</v>
      </c>
      <c r="D889" s="22" t="s">
        <v>30</v>
      </c>
      <c r="E889" s="22" t="s">
        <v>7326</v>
      </c>
      <c r="F889" s="22" t="n">
        <v>523681</v>
      </c>
      <c r="G889" s="30" t="n">
        <v>46244</v>
      </c>
      <c r="H889" s="22" t="n">
        <v>622503</v>
      </c>
      <c r="I889" s="22" t="s">
        <v>8153</v>
      </c>
      <c r="J889" s="31" t="n">
        <v>107.7</v>
      </c>
      <c r="K889" s="26" t="n">
        <v>1703.81</v>
      </c>
      <c r="L889" s="26" t="n">
        <v>375.16</v>
      </c>
      <c r="M889" s="22" t="s">
        <v>2352</v>
      </c>
      <c r="N889" s="22" t="n">
        <f aca="false">MATCH(M889,'Tabela Passaro'!$A$2:$A$1795,0)</f>
        <v>523</v>
      </c>
      <c r="O889" s="22" t="str">
        <f aca="false">INDEX('Tabela Passaro'!$C$2:$C$1795,$N889)</f>
        <v>MARACANAU</v>
      </c>
      <c r="P889" s="22" t="str">
        <f aca="false">INDEX('Tabela Passaro'!$B$2:$B$1795,$N889)</f>
        <v>CE</v>
      </c>
      <c r="Q889" s="22" t="n">
        <f aca="false">INDEX('Tabela Passaro'!$F$2:$F$1795,$N889)</f>
        <v>8</v>
      </c>
      <c r="R889" s="32" t="n">
        <f aca="false">IF(J889&lt;=10,INDEX('Tabela Passaro'!$G$2:$G$1795,$N889),IF(J889&lt;=30,INDEX('Tabela Passaro'!$H$2:$H$1795,$N889),IF(J889&lt;=50,INDEX('Tabela Passaro'!$I$2:$I$1795,$N889),IF(J889&lt;=70,INDEX('Tabela Passaro'!$J$2:$J$1795,$N889),IF(J889&lt;=100,INDEX('Tabela Passaro'!$K$2:$K$1795,$N889),INDEX('Tabela Passaro'!$K$2:$K$1795,$N889)+(J889-100)*INDEX('Tabela Passaro'!$L$2:$L$1795,$N889))))))</f>
        <v>199.27</v>
      </c>
      <c r="S889" s="32" t="n">
        <f aca="false">K889*INDEX('Tabela Passaro'!$M$2:$M$1795,$N889)</f>
        <v>8.51905</v>
      </c>
      <c r="T889" s="32" t="n">
        <f aca="false">K889*INDEX('Tabela Passaro'!$N$2:$N$1795,$N889)</f>
        <v>3.40762</v>
      </c>
      <c r="U889" s="32" t="n">
        <f aca="false">INDEX('Tabela Passaro'!$O$2:$O$1795,$N889)</f>
        <v>5</v>
      </c>
      <c r="V889" s="32" t="n">
        <f aca="false">ROUNDUP(J889/INDEX('Tabela Passaro'!$Q$2:$Q$1795,$N889),0)*INDEX('Tabela Passaro'!$P$2:$P$1795,$N889)</f>
        <v>10</v>
      </c>
      <c r="W889" s="32" t="n">
        <f aca="false">INDEX('Tabela Passaro'!$R$2:$R$1795,$N889)</f>
        <v>30</v>
      </c>
      <c r="X889" s="32" t="n">
        <f aca="false">ROUNDUP(J889/INDEX('Tabela Passaro'!$T$2:$T$1795,$N889),0)*INDEX('Tabela Passaro'!$S$2:$S$1795,$N889)</f>
        <v>0</v>
      </c>
      <c r="Y889" s="32" t="n">
        <f aca="false">INDEX('Tabela Passaro'!$U$2:$U$1795,$N889)</f>
        <v>0</v>
      </c>
      <c r="Z889" s="32" t="n">
        <f aca="false">INDEX('Tabela Passaro'!$V$2:$V$1795,$N889)</f>
        <v>0</v>
      </c>
      <c r="AA889" s="32" t="n">
        <f aca="false">SUM(R889:Z889)</f>
        <v>256.19667</v>
      </c>
      <c r="AB889" s="33" t="n">
        <f aca="false">INDEX(Premissas!$B$5:$B$13,MATCH(A889,Premissas!$A$5:$A$13,0))</f>
        <v>0.07</v>
      </c>
      <c r="AC889" s="32" t="n">
        <f aca="false">AA889/(1-AB889)-AA889</f>
        <v>19.2836203225806</v>
      </c>
      <c r="AD889" s="32" t="n">
        <f aca="false">ROUND(AA889+AC889,2)</f>
        <v>275.48</v>
      </c>
      <c r="AE889" s="32" t="n">
        <f aca="false">AD889-L889</f>
        <v>-99.68</v>
      </c>
      <c r="AF889" s="34" t="n">
        <f aca="false">IF(L889=0,0,AE889/L889)</f>
        <v>-0.265699968013648</v>
      </c>
      <c r="AG889" s="22" t="str">
        <f aca="false">IF(AD889&lt;L889,"PASSARO","ATUAL")</f>
        <v>PASSARO</v>
      </c>
      <c r="AH889" s="22" t="str">
        <f aca="false">IF(P889&lt;&gt;A889,"Faixa cadastrada como "&amp;P889&amp;" na tabela; preço aplicado pela UF do CEP","")</f>
        <v/>
      </c>
      <c r="AI889" s="26" t="n">
        <v>349.06</v>
      </c>
      <c r="AJ889" s="22" t="str">
        <f aca="false">INDEX('Tabela Passaro'!$X$2:$X$1795,$N889)</f>
        <v>CAPITAL</v>
      </c>
    </row>
    <row r="890" customFormat="false" ht="15" hidden="false" customHeight="false" outlineLevel="0" collapsed="false">
      <c r="A890" s="22" t="s">
        <v>17</v>
      </c>
      <c r="B890" s="22" t="n">
        <v>4</v>
      </c>
      <c r="C890" s="22" t="s">
        <v>101</v>
      </c>
      <c r="D890" s="22" t="s">
        <v>30</v>
      </c>
      <c r="E890" s="22" t="s">
        <v>7326</v>
      </c>
      <c r="F890" s="22" t="n">
        <v>523784</v>
      </c>
      <c r="G890" s="30" t="n">
        <v>46245</v>
      </c>
      <c r="H890" s="22" t="n">
        <v>618908</v>
      </c>
      <c r="I890" s="22" t="s">
        <v>8154</v>
      </c>
      <c r="J890" s="31" t="n">
        <v>5.2</v>
      </c>
      <c r="K890" s="26" t="n">
        <v>331.65</v>
      </c>
      <c r="L890" s="26" t="n">
        <v>87.9</v>
      </c>
      <c r="M890" s="22" t="s">
        <v>2352</v>
      </c>
      <c r="N890" s="22" t="n">
        <f aca="false">MATCH(M890,'Tabela Passaro'!$A$2:$A$1795,0)</f>
        <v>523</v>
      </c>
      <c r="O890" s="22" t="str">
        <f aca="false">INDEX('Tabela Passaro'!$C$2:$C$1795,$N890)</f>
        <v>MARACANAU</v>
      </c>
      <c r="P890" s="22" t="str">
        <f aca="false">INDEX('Tabela Passaro'!$B$2:$B$1795,$N890)</f>
        <v>CE</v>
      </c>
      <c r="Q890" s="22" t="n">
        <f aca="false">INDEX('Tabela Passaro'!$F$2:$F$1795,$N890)</f>
        <v>8</v>
      </c>
      <c r="R890" s="32" t="n">
        <f aca="false">IF(J890&lt;=10,INDEX('Tabela Passaro'!$G$2:$G$1795,$N890),IF(J890&lt;=30,INDEX('Tabela Passaro'!$H$2:$H$1795,$N890),IF(J890&lt;=50,INDEX('Tabela Passaro'!$I$2:$I$1795,$N890),IF(J890&lt;=70,INDEX('Tabela Passaro'!$J$2:$J$1795,$N890),IF(J890&lt;=100,INDEX('Tabela Passaro'!$K$2:$K$1795,$N890),INDEX('Tabela Passaro'!$K$2:$K$1795,$N890)+(J890-100)*INDEX('Tabela Passaro'!$L$2:$L$1795,$N890))))))</f>
        <v>108.72</v>
      </c>
      <c r="S890" s="32" t="n">
        <f aca="false">K890*INDEX('Tabela Passaro'!$M$2:$M$1795,$N890)</f>
        <v>1.65825</v>
      </c>
      <c r="T890" s="32" t="n">
        <f aca="false">K890*INDEX('Tabela Passaro'!$N$2:$N$1795,$N890)</f>
        <v>0.6633</v>
      </c>
      <c r="U890" s="32" t="n">
        <f aca="false">INDEX('Tabela Passaro'!$O$2:$O$1795,$N890)</f>
        <v>5</v>
      </c>
      <c r="V890" s="32" t="n">
        <f aca="false">ROUNDUP(J890/INDEX('Tabela Passaro'!$Q$2:$Q$1795,$N890),0)*INDEX('Tabela Passaro'!$P$2:$P$1795,$N890)</f>
        <v>5</v>
      </c>
      <c r="W890" s="32" t="n">
        <f aca="false">INDEX('Tabela Passaro'!$R$2:$R$1795,$N890)</f>
        <v>30</v>
      </c>
      <c r="X890" s="32" t="n">
        <f aca="false">ROUNDUP(J890/INDEX('Tabela Passaro'!$T$2:$T$1795,$N890),0)*INDEX('Tabela Passaro'!$S$2:$S$1795,$N890)</f>
        <v>0</v>
      </c>
      <c r="Y890" s="32" t="n">
        <f aca="false">INDEX('Tabela Passaro'!$U$2:$U$1795,$N890)</f>
        <v>0</v>
      </c>
      <c r="Z890" s="32" t="n">
        <f aca="false">INDEX('Tabela Passaro'!$V$2:$V$1795,$N890)</f>
        <v>0</v>
      </c>
      <c r="AA890" s="32" t="n">
        <f aca="false">SUM(R890:Z890)</f>
        <v>151.04155</v>
      </c>
      <c r="AB890" s="33" t="n">
        <f aca="false">INDEX(Premissas!$B$5:$B$13,MATCH(A890,Premissas!$A$5:$A$13,0))</f>
        <v>0.07</v>
      </c>
      <c r="AC890" s="32" t="n">
        <f aca="false">AA890/(1-AB890)-AA890</f>
        <v>11.3687188172043</v>
      </c>
      <c r="AD890" s="32" t="n">
        <f aca="false">ROUND(AA890+AC890,2)</f>
        <v>162.41</v>
      </c>
      <c r="AE890" s="32" t="n">
        <f aca="false">AD890-L890</f>
        <v>74.51</v>
      </c>
      <c r="AF890" s="34" t="n">
        <f aca="false">IF(L890=0,0,AE890/L890)</f>
        <v>0.847667804323094</v>
      </c>
      <c r="AG890" s="22" t="str">
        <f aca="false">IF(AD890&lt;L890,"PASSARO","ATUAL")</f>
        <v>ATUAL</v>
      </c>
      <c r="AH890" s="22" t="str">
        <f aca="false">IF(P890&lt;&gt;A890,"Faixa cadastrada como "&amp;P890&amp;" na tabela; preço aplicado pela UF do CEP","")</f>
        <v/>
      </c>
      <c r="AI890" s="26" t="n">
        <v>177.55</v>
      </c>
      <c r="AJ890" s="22" t="str">
        <f aca="false">INDEX('Tabela Passaro'!$X$2:$X$1795,$N890)</f>
        <v>CAPITAL</v>
      </c>
    </row>
    <row r="891" customFormat="false" ht="15" hidden="false" customHeight="false" outlineLevel="0" collapsed="false">
      <c r="A891" s="22" t="s">
        <v>17</v>
      </c>
      <c r="B891" s="22" t="n">
        <v>4</v>
      </c>
      <c r="C891" s="22" t="s">
        <v>101</v>
      </c>
      <c r="D891" s="22" t="s">
        <v>30</v>
      </c>
      <c r="E891" s="22" t="s">
        <v>7326</v>
      </c>
      <c r="F891" s="22" t="n">
        <v>526140</v>
      </c>
      <c r="G891" s="30" t="n">
        <v>46253</v>
      </c>
      <c r="H891" s="22" t="n">
        <v>627152</v>
      </c>
      <c r="I891" s="22" t="s">
        <v>8155</v>
      </c>
      <c r="J891" s="31" t="n">
        <v>71.78</v>
      </c>
      <c r="K891" s="26" t="n">
        <v>1242.82</v>
      </c>
      <c r="L891" s="26" t="n">
        <v>321.4</v>
      </c>
      <c r="M891" s="22" t="s">
        <v>2352</v>
      </c>
      <c r="N891" s="22" t="n">
        <f aca="false">MATCH(M891,'Tabela Passaro'!$A$2:$A$1795,0)</f>
        <v>523</v>
      </c>
      <c r="O891" s="22" t="str">
        <f aca="false">INDEX('Tabela Passaro'!$C$2:$C$1795,$N891)</f>
        <v>MARACANAU</v>
      </c>
      <c r="P891" s="22" t="str">
        <f aca="false">INDEX('Tabela Passaro'!$B$2:$B$1795,$N891)</f>
        <v>CE</v>
      </c>
      <c r="Q891" s="22" t="n">
        <f aca="false">INDEX('Tabela Passaro'!$F$2:$F$1795,$N891)</f>
        <v>8</v>
      </c>
      <c r="R891" s="32" t="n">
        <f aca="false">IF(J891&lt;=10,INDEX('Tabela Passaro'!$G$2:$G$1795,$N891),IF(J891&lt;=30,INDEX('Tabela Passaro'!$H$2:$H$1795,$N891),IF(J891&lt;=50,INDEX('Tabela Passaro'!$I$2:$I$1795,$N891),IF(J891&lt;=70,INDEX('Tabela Passaro'!$J$2:$J$1795,$N891),IF(J891&lt;=100,INDEX('Tabela Passaro'!$K$2:$K$1795,$N891),INDEX('Tabela Passaro'!$K$2:$K$1795,$N891)+(J891-100)*INDEX('Tabela Passaro'!$L$2:$L$1795,$N891))))))</f>
        <v>186.18</v>
      </c>
      <c r="S891" s="32" t="n">
        <f aca="false">K891*INDEX('Tabela Passaro'!$M$2:$M$1795,$N891)</f>
        <v>6.2141</v>
      </c>
      <c r="T891" s="32" t="n">
        <f aca="false">K891*INDEX('Tabela Passaro'!$N$2:$N$1795,$N891)</f>
        <v>2.48564</v>
      </c>
      <c r="U891" s="32" t="n">
        <f aca="false">INDEX('Tabela Passaro'!$O$2:$O$1795,$N891)</f>
        <v>5</v>
      </c>
      <c r="V891" s="32" t="n">
        <f aca="false">ROUNDUP(J891/INDEX('Tabela Passaro'!$Q$2:$Q$1795,$N891),0)*INDEX('Tabela Passaro'!$P$2:$P$1795,$N891)</f>
        <v>5</v>
      </c>
      <c r="W891" s="32" t="n">
        <f aca="false">INDEX('Tabela Passaro'!$R$2:$R$1795,$N891)</f>
        <v>30</v>
      </c>
      <c r="X891" s="32" t="n">
        <f aca="false">ROUNDUP(J891/INDEX('Tabela Passaro'!$T$2:$T$1795,$N891),0)*INDEX('Tabela Passaro'!$S$2:$S$1795,$N891)</f>
        <v>0</v>
      </c>
      <c r="Y891" s="32" t="n">
        <f aca="false">INDEX('Tabela Passaro'!$U$2:$U$1795,$N891)</f>
        <v>0</v>
      </c>
      <c r="Z891" s="32" t="n">
        <f aca="false">INDEX('Tabela Passaro'!$V$2:$V$1795,$N891)</f>
        <v>0</v>
      </c>
      <c r="AA891" s="32" t="n">
        <f aca="false">SUM(R891:Z891)</f>
        <v>234.87974</v>
      </c>
      <c r="AB891" s="33" t="n">
        <f aca="false">INDEX(Premissas!$B$5:$B$13,MATCH(A891,Premissas!$A$5:$A$13,0))</f>
        <v>0.07</v>
      </c>
      <c r="AC891" s="32" t="n">
        <f aca="false">AA891/(1-AB891)-AA891</f>
        <v>17.6791202150538</v>
      </c>
      <c r="AD891" s="32" t="n">
        <f aca="false">ROUND(AA891+AC891,2)</f>
        <v>252.56</v>
      </c>
      <c r="AE891" s="32" t="n">
        <f aca="false">AD891-L891</f>
        <v>-68.84</v>
      </c>
      <c r="AF891" s="34" t="n">
        <f aca="false">IF(L891=0,0,AE891/L891)</f>
        <v>-0.214187927815806</v>
      </c>
      <c r="AG891" s="22" t="str">
        <f aca="false">IF(AD891&lt;L891,"PASSARO","ATUAL")</f>
        <v>PASSARO</v>
      </c>
      <c r="AH891" s="22" t="str">
        <f aca="false">IF(P891&lt;&gt;A891,"Faixa cadastrada como "&amp;P891&amp;" na tabela; preço aplicado pela UF do CEP","")</f>
        <v/>
      </c>
      <c r="AI891" s="26" t="n">
        <v>305.98</v>
      </c>
      <c r="AJ891" s="22" t="str">
        <f aca="false">INDEX('Tabela Passaro'!$X$2:$X$1795,$N891)</f>
        <v>CAPITAL</v>
      </c>
    </row>
    <row r="892" customFormat="false" ht="15" hidden="false" customHeight="false" outlineLevel="0" collapsed="false">
      <c r="A892" s="22" t="s">
        <v>17</v>
      </c>
      <c r="B892" s="22" t="n">
        <v>4</v>
      </c>
      <c r="C892" s="22" t="s">
        <v>101</v>
      </c>
      <c r="D892" s="22" t="s">
        <v>30</v>
      </c>
      <c r="E892" s="22" t="s">
        <v>20</v>
      </c>
      <c r="F892" s="22" t="n">
        <v>839943</v>
      </c>
      <c r="G892" s="30" t="n">
        <v>46258</v>
      </c>
      <c r="H892" s="22" t="n">
        <v>32609</v>
      </c>
      <c r="I892" s="22" t="s">
        <v>8156</v>
      </c>
      <c r="J892" s="31" t="n">
        <v>37.2</v>
      </c>
      <c r="K892" s="26" t="n">
        <v>561.17</v>
      </c>
      <c r="L892" s="26" t="n">
        <v>159.7</v>
      </c>
      <c r="M892" s="22" t="s">
        <v>2352</v>
      </c>
      <c r="N892" s="22" t="n">
        <f aca="false">MATCH(M892,'Tabela Passaro'!$A$2:$A$1795,0)</f>
        <v>523</v>
      </c>
      <c r="O892" s="22" t="str">
        <f aca="false">INDEX('Tabela Passaro'!$C$2:$C$1795,$N892)</f>
        <v>MARACANAU</v>
      </c>
      <c r="P892" s="22" t="str">
        <f aca="false">INDEX('Tabela Passaro'!$B$2:$B$1795,$N892)</f>
        <v>CE</v>
      </c>
      <c r="Q892" s="22" t="n">
        <f aca="false">INDEX('Tabela Passaro'!$F$2:$F$1795,$N892)</f>
        <v>8</v>
      </c>
      <c r="R892" s="32" t="n">
        <f aca="false">IF(J892&lt;=10,INDEX('Tabela Passaro'!$G$2:$G$1795,$N892),IF(J892&lt;=30,INDEX('Tabela Passaro'!$H$2:$H$1795,$N892),IF(J892&lt;=50,INDEX('Tabela Passaro'!$I$2:$I$1795,$N892),IF(J892&lt;=70,INDEX('Tabela Passaro'!$J$2:$J$1795,$N892),IF(J892&lt;=100,INDEX('Tabela Passaro'!$K$2:$K$1795,$N892),INDEX('Tabela Passaro'!$K$2:$K$1795,$N892)+(J892-100)*INDEX('Tabela Passaro'!$L$2:$L$1795,$N892))))))</f>
        <v>152.98</v>
      </c>
      <c r="S892" s="32" t="n">
        <f aca="false">K892*INDEX('Tabela Passaro'!$M$2:$M$1795,$N892)</f>
        <v>2.80585</v>
      </c>
      <c r="T892" s="32" t="n">
        <f aca="false">K892*INDEX('Tabela Passaro'!$N$2:$N$1795,$N892)</f>
        <v>1.12234</v>
      </c>
      <c r="U892" s="32" t="n">
        <f aca="false">INDEX('Tabela Passaro'!$O$2:$O$1795,$N892)</f>
        <v>5</v>
      </c>
      <c r="V892" s="32" t="n">
        <f aca="false">ROUNDUP(J892/INDEX('Tabela Passaro'!$Q$2:$Q$1795,$N892),0)*INDEX('Tabela Passaro'!$P$2:$P$1795,$N892)</f>
        <v>5</v>
      </c>
      <c r="W892" s="32" t="n">
        <f aca="false">INDEX('Tabela Passaro'!$R$2:$R$1795,$N892)</f>
        <v>30</v>
      </c>
      <c r="X892" s="32" t="n">
        <f aca="false">ROUNDUP(J892/INDEX('Tabela Passaro'!$T$2:$T$1795,$N892),0)*INDEX('Tabela Passaro'!$S$2:$S$1795,$N892)</f>
        <v>0</v>
      </c>
      <c r="Y892" s="32" t="n">
        <f aca="false">INDEX('Tabela Passaro'!$U$2:$U$1795,$N892)</f>
        <v>0</v>
      </c>
      <c r="Z892" s="32" t="n">
        <f aca="false">INDEX('Tabela Passaro'!$V$2:$V$1795,$N892)</f>
        <v>0</v>
      </c>
      <c r="AA892" s="32" t="n">
        <f aca="false">SUM(R892:Z892)</f>
        <v>196.90819</v>
      </c>
      <c r="AB892" s="33" t="n">
        <f aca="false">INDEX(Premissas!$B$5:$B$13,MATCH(A892,Premissas!$A$5:$A$13,0))</f>
        <v>0.07</v>
      </c>
      <c r="AC892" s="32" t="n">
        <f aca="false">AA892/(1-AB892)-AA892</f>
        <v>14.8210465591398</v>
      </c>
      <c r="AD892" s="32" t="n">
        <f aca="false">ROUND(AA892+AC892,2)</f>
        <v>211.73</v>
      </c>
      <c r="AE892" s="32" t="n">
        <f aca="false">AD892-L892</f>
        <v>52.03</v>
      </c>
      <c r="AF892" s="34" t="n">
        <f aca="false">IF(L892=0,0,AE892/L892)</f>
        <v>0.325798371947401</v>
      </c>
      <c r="AG892" s="22" t="str">
        <f aca="false">IF(AD892&lt;L892,"PASSARO","ATUAL")</f>
        <v>ATUAL</v>
      </c>
      <c r="AH892" s="22" t="str">
        <f aca="false">IF(P892&lt;&gt;A892,"Faixa cadastrada como "&amp;P892&amp;" na tabela; preço aplicado pela UF do CEP","")</f>
        <v/>
      </c>
      <c r="AI892" s="26" t="n">
        <v>245.36</v>
      </c>
      <c r="AJ892" s="22" t="str">
        <f aca="false">INDEX('Tabela Passaro'!$X$2:$X$1795,$N892)</f>
        <v>CAPITAL</v>
      </c>
    </row>
    <row r="893" customFormat="false" ht="15" hidden="false" customHeight="false" outlineLevel="0" collapsed="false">
      <c r="A893" s="22" t="s">
        <v>17</v>
      </c>
      <c r="B893" s="22" t="n">
        <v>4</v>
      </c>
      <c r="C893" s="22" t="s">
        <v>101</v>
      </c>
      <c r="D893" s="22" t="s">
        <v>30</v>
      </c>
      <c r="E893" s="22" t="s">
        <v>7328</v>
      </c>
      <c r="F893" s="22" t="n">
        <v>2315683</v>
      </c>
      <c r="G893" s="30" t="n">
        <v>46258</v>
      </c>
      <c r="H893" s="22" t="n">
        <v>134409</v>
      </c>
      <c r="I893" s="22" t="s">
        <v>8157</v>
      </c>
      <c r="J893" s="31" t="n">
        <v>51.06</v>
      </c>
      <c r="K893" s="26" t="n">
        <v>934.98</v>
      </c>
      <c r="L893" s="26" t="n">
        <v>222.62</v>
      </c>
      <c r="M893" s="22" t="s">
        <v>2352</v>
      </c>
      <c r="N893" s="22" t="n">
        <f aca="false">MATCH(M893,'Tabela Passaro'!$A$2:$A$1795,0)</f>
        <v>523</v>
      </c>
      <c r="O893" s="22" t="str">
        <f aca="false">INDEX('Tabela Passaro'!$C$2:$C$1795,$N893)</f>
        <v>MARACANAU</v>
      </c>
      <c r="P893" s="22" t="str">
        <f aca="false">INDEX('Tabela Passaro'!$B$2:$B$1795,$N893)</f>
        <v>CE</v>
      </c>
      <c r="Q893" s="22" t="n">
        <f aca="false">INDEX('Tabela Passaro'!$F$2:$F$1795,$N893)</f>
        <v>8</v>
      </c>
      <c r="R893" s="32" t="n">
        <f aca="false">IF(J893&lt;=10,INDEX('Tabela Passaro'!$G$2:$G$1795,$N893),IF(J893&lt;=30,INDEX('Tabela Passaro'!$H$2:$H$1795,$N893),IF(J893&lt;=50,INDEX('Tabela Passaro'!$I$2:$I$1795,$N893),IF(J893&lt;=70,INDEX('Tabela Passaro'!$J$2:$J$1795,$N893),IF(J893&lt;=100,INDEX('Tabela Passaro'!$K$2:$K$1795,$N893),INDEX('Tabela Passaro'!$K$2:$K$1795,$N893)+(J893-100)*INDEX('Tabela Passaro'!$L$2:$L$1795,$N893))))))</f>
        <v>169.58</v>
      </c>
      <c r="S893" s="32" t="n">
        <f aca="false">K893*INDEX('Tabela Passaro'!$M$2:$M$1795,$N893)</f>
        <v>4.6749</v>
      </c>
      <c r="T893" s="32" t="n">
        <f aca="false">K893*INDEX('Tabela Passaro'!$N$2:$N$1795,$N893)</f>
        <v>1.86996</v>
      </c>
      <c r="U893" s="32" t="n">
        <f aca="false">INDEX('Tabela Passaro'!$O$2:$O$1795,$N893)</f>
        <v>5</v>
      </c>
      <c r="V893" s="32" t="n">
        <f aca="false">ROUNDUP(J893/INDEX('Tabela Passaro'!$Q$2:$Q$1795,$N893),0)*INDEX('Tabela Passaro'!$P$2:$P$1795,$N893)</f>
        <v>5</v>
      </c>
      <c r="W893" s="32" t="n">
        <f aca="false">INDEX('Tabela Passaro'!$R$2:$R$1795,$N893)</f>
        <v>30</v>
      </c>
      <c r="X893" s="32" t="n">
        <f aca="false">ROUNDUP(J893/INDEX('Tabela Passaro'!$T$2:$T$1795,$N893),0)*INDEX('Tabela Passaro'!$S$2:$S$1795,$N893)</f>
        <v>0</v>
      </c>
      <c r="Y893" s="32" t="n">
        <f aca="false">INDEX('Tabela Passaro'!$U$2:$U$1795,$N893)</f>
        <v>0</v>
      </c>
      <c r="Z893" s="32" t="n">
        <f aca="false">INDEX('Tabela Passaro'!$V$2:$V$1795,$N893)</f>
        <v>0</v>
      </c>
      <c r="AA893" s="32" t="n">
        <f aca="false">SUM(R893:Z893)</f>
        <v>216.12486</v>
      </c>
      <c r="AB893" s="33" t="n">
        <f aca="false">INDEX(Premissas!$B$5:$B$13,MATCH(A893,Premissas!$A$5:$A$13,0))</f>
        <v>0.07</v>
      </c>
      <c r="AC893" s="32" t="n">
        <f aca="false">AA893/(1-AB893)-AA893</f>
        <v>16.2674625806452</v>
      </c>
      <c r="AD893" s="32" t="n">
        <f aca="false">ROUND(AA893+AC893,2)</f>
        <v>232.39</v>
      </c>
      <c r="AE893" s="32" t="n">
        <f aca="false">AD893-L893</f>
        <v>9.76999999999998</v>
      </c>
      <c r="AF893" s="34" t="n">
        <f aca="false">IF(L893=0,0,AE893/L893)</f>
        <v>0.0438864432665528</v>
      </c>
      <c r="AG893" s="22" t="str">
        <f aca="false">IF(AD893&lt;L893,"PASSARO","ATUAL")</f>
        <v>ATUAL</v>
      </c>
      <c r="AH893" s="22" t="str">
        <f aca="false">IF(P893&lt;&gt;A893,"Faixa cadastrada como "&amp;P893&amp;" na tabela; preço aplicado pela UF do CEP","")</f>
        <v/>
      </c>
      <c r="AI893" s="26" t="n">
        <v>274.54</v>
      </c>
      <c r="AJ893" s="22" t="str">
        <f aca="false">INDEX('Tabela Passaro'!$X$2:$X$1795,$N893)</f>
        <v>CAPITAL</v>
      </c>
    </row>
    <row r="894" customFormat="false" ht="15" hidden="false" customHeight="false" outlineLevel="0" collapsed="false">
      <c r="A894" s="22" t="s">
        <v>17</v>
      </c>
      <c r="B894" s="22" t="n">
        <v>4</v>
      </c>
      <c r="C894" s="22" t="s">
        <v>101</v>
      </c>
      <c r="D894" s="22" t="s">
        <v>30</v>
      </c>
      <c r="E894" s="22" t="s">
        <v>20</v>
      </c>
      <c r="F894" s="22" t="n">
        <v>840174</v>
      </c>
      <c r="G894" s="30" t="n">
        <v>46260</v>
      </c>
      <c r="H894" s="22" t="n">
        <v>32689</v>
      </c>
      <c r="I894" s="22" t="s">
        <v>8158</v>
      </c>
      <c r="J894" s="31" t="n">
        <v>79.26</v>
      </c>
      <c r="K894" s="26" t="n">
        <v>1135.1</v>
      </c>
      <c r="L894" s="26" t="n">
        <v>242.8</v>
      </c>
      <c r="M894" s="22" t="s">
        <v>2352</v>
      </c>
      <c r="N894" s="22" t="n">
        <f aca="false">MATCH(M894,'Tabela Passaro'!$A$2:$A$1795,0)</f>
        <v>523</v>
      </c>
      <c r="O894" s="22" t="str">
        <f aca="false">INDEX('Tabela Passaro'!$C$2:$C$1795,$N894)</f>
        <v>MARACANAU</v>
      </c>
      <c r="P894" s="22" t="str">
        <f aca="false">INDEX('Tabela Passaro'!$B$2:$B$1795,$N894)</f>
        <v>CE</v>
      </c>
      <c r="Q894" s="22" t="n">
        <f aca="false">INDEX('Tabela Passaro'!$F$2:$F$1795,$N894)</f>
        <v>8</v>
      </c>
      <c r="R894" s="32" t="n">
        <f aca="false">IF(J894&lt;=10,INDEX('Tabela Passaro'!$G$2:$G$1795,$N894),IF(J894&lt;=30,INDEX('Tabela Passaro'!$H$2:$H$1795,$N894),IF(J894&lt;=50,INDEX('Tabela Passaro'!$I$2:$I$1795,$N894),IF(J894&lt;=70,INDEX('Tabela Passaro'!$J$2:$J$1795,$N894),IF(J894&lt;=100,INDEX('Tabela Passaro'!$K$2:$K$1795,$N894),INDEX('Tabela Passaro'!$K$2:$K$1795,$N894)+(J894-100)*INDEX('Tabela Passaro'!$L$2:$L$1795,$N894))))))</f>
        <v>186.18</v>
      </c>
      <c r="S894" s="32" t="n">
        <f aca="false">K894*INDEX('Tabela Passaro'!$M$2:$M$1795,$N894)</f>
        <v>5.6755</v>
      </c>
      <c r="T894" s="32" t="n">
        <f aca="false">K894*INDEX('Tabela Passaro'!$N$2:$N$1795,$N894)</f>
        <v>2.2702</v>
      </c>
      <c r="U894" s="32" t="n">
        <f aca="false">INDEX('Tabela Passaro'!$O$2:$O$1795,$N894)</f>
        <v>5</v>
      </c>
      <c r="V894" s="32" t="n">
        <f aca="false">ROUNDUP(J894/INDEX('Tabela Passaro'!$Q$2:$Q$1795,$N894),0)*INDEX('Tabela Passaro'!$P$2:$P$1795,$N894)</f>
        <v>5</v>
      </c>
      <c r="W894" s="32" t="n">
        <f aca="false">INDEX('Tabela Passaro'!$R$2:$R$1795,$N894)</f>
        <v>30</v>
      </c>
      <c r="X894" s="32" t="n">
        <f aca="false">ROUNDUP(J894/INDEX('Tabela Passaro'!$T$2:$T$1795,$N894),0)*INDEX('Tabela Passaro'!$S$2:$S$1795,$N894)</f>
        <v>0</v>
      </c>
      <c r="Y894" s="32" t="n">
        <f aca="false">INDEX('Tabela Passaro'!$U$2:$U$1795,$N894)</f>
        <v>0</v>
      </c>
      <c r="Z894" s="32" t="n">
        <f aca="false">INDEX('Tabela Passaro'!$V$2:$V$1795,$N894)</f>
        <v>0</v>
      </c>
      <c r="AA894" s="32" t="n">
        <f aca="false">SUM(R894:Z894)</f>
        <v>234.1257</v>
      </c>
      <c r="AB894" s="33" t="n">
        <f aca="false">INDEX(Premissas!$B$5:$B$13,MATCH(A894,Premissas!$A$5:$A$13,0))</f>
        <v>0.07</v>
      </c>
      <c r="AC894" s="32" t="n">
        <f aca="false">AA894/(1-AB894)-AA894</f>
        <v>17.622364516129</v>
      </c>
      <c r="AD894" s="32" t="n">
        <f aca="false">ROUND(AA894+AC894,2)</f>
        <v>251.75</v>
      </c>
      <c r="AE894" s="32" t="n">
        <f aca="false">AD894-L894</f>
        <v>8.94999999999999</v>
      </c>
      <c r="AF894" s="34" t="n">
        <f aca="false">IF(L894=0,0,AE894/L894)</f>
        <v>0.0368616144975288</v>
      </c>
      <c r="AG894" s="22" t="str">
        <f aca="false">IF(AD894&lt;L894,"PASSARO","ATUAL")</f>
        <v>ATUAL</v>
      </c>
      <c r="AH894" s="22" t="str">
        <f aca="false">IF(P894&lt;&gt;A894,"Faixa cadastrada como "&amp;P894&amp;" na tabela; preço aplicado pela UF do CEP","")</f>
        <v/>
      </c>
      <c r="AI894" s="26" t="n">
        <v>308.81</v>
      </c>
      <c r="AJ894" s="22" t="str">
        <f aca="false">INDEX('Tabela Passaro'!$X$2:$X$1795,$N894)</f>
        <v>CAPITAL</v>
      </c>
    </row>
    <row r="895" customFormat="false" ht="15" hidden="false" customHeight="false" outlineLevel="0" collapsed="false">
      <c r="A895" s="22" t="s">
        <v>17</v>
      </c>
      <c r="B895" s="22" t="n">
        <v>4</v>
      </c>
      <c r="C895" s="22" t="s">
        <v>101</v>
      </c>
      <c r="D895" s="22" t="s">
        <v>30</v>
      </c>
      <c r="E895" s="22" t="s">
        <v>20</v>
      </c>
      <c r="F895" s="22" t="n">
        <v>840650</v>
      </c>
      <c r="G895" s="30" t="n">
        <v>46265</v>
      </c>
      <c r="H895" s="22" t="n">
        <v>32850</v>
      </c>
      <c r="I895" s="22" t="s">
        <v>8159</v>
      </c>
      <c r="J895" s="31" t="n">
        <v>33</v>
      </c>
      <c r="K895" s="26" t="n">
        <v>580.47</v>
      </c>
      <c r="L895" s="26" t="n">
        <v>159.86</v>
      </c>
      <c r="M895" s="22" t="s">
        <v>2352</v>
      </c>
      <c r="N895" s="22" t="n">
        <f aca="false">MATCH(M895,'Tabela Passaro'!$A$2:$A$1795,0)</f>
        <v>523</v>
      </c>
      <c r="O895" s="22" t="str">
        <f aca="false">INDEX('Tabela Passaro'!$C$2:$C$1795,$N895)</f>
        <v>MARACANAU</v>
      </c>
      <c r="P895" s="22" t="str">
        <f aca="false">INDEX('Tabela Passaro'!$B$2:$B$1795,$N895)</f>
        <v>CE</v>
      </c>
      <c r="Q895" s="22" t="n">
        <f aca="false">INDEX('Tabela Passaro'!$F$2:$F$1795,$N895)</f>
        <v>8</v>
      </c>
      <c r="R895" s="32" t="n">
        <f aca="false">IF(J895&lt;=10,INDEX('Tabela Passaro'!$G$2:$G$1795,$N895),IF(J895&lt;=30,INDEX('Tabela Passaro'!$H$2:$H$1795,$N895),IF(J895&lt;=50,INDEX('Tabela Passaro'!$I$2:$I$1795,$N895),IF(J895&lt;=70,INDEX('Tabela Passaro'!$J$2:$J$1795,$N895),IF(J895&lt;=100,INDEX('Tabela Passaro'!$K$2:$K$1795,$N895),INDEX('Tabela Passaro'!$K$2:$K$1795,$N895)+(J895-100)*INDEX('Tabela Passaro'!$L$2:$L$1795,$N895))))))</f>
        <v>152.98</v>
      </c>
      <c r="S895" s="32" t="n">
        <f aca="false">K895*INDEX('Tabela Passaro'!$M$2:$M$1795,$N895)</f>
        <v>2.90235</v>
      </c>
      <c r="T895" s="32" t="n">
        <f aca="false">K895*INDEX('Tabela Passaro'!$N$2:$N$1795,$N895)</f>
        <v>1.16094</v>
      </c>
      <c r="U895" s="32" t="n">
        <f aca="false">INDEX('Tabela Passaro'!$O$2:$O$1795,$N895)</f>
        <v>5</v>
      </c>
      <c r="V895" s="32" t="n">
        <f aca="false">ROUNDUP(J895/INDEX('Tabela Passaro'!$Q$2:$Q$1795,$N895),0)*INDEX('Tabela Passaro'!$P$2:$P$1795,$N895)</f>
        <v>5</v>
      </c>
      <c r="W895" s="32" t="n">
        <f aca="false">INDEX('Tabela Passaro'!$R$2:$R$1795,$N895)</f>
        <v>30</v>
      </c>
      <c r="X895" s="32" t="n">
        <f aca="false">ROUNDUP(J895/INDEX('Tabela Passaro'!$T$2:$T$1795,$N895),0)*INDEX('Tabela Passaro'!$S$2:$S$1795,$N895)</f>
        <v>0</v>
      </c>
      <c r="Y895" s="32" t="n">
        <f aca="false">INDEX('Tabela Passaro'!$U$2:$U$1795,$N895)</f>
        <v>0</v>
      </c>
      <c r="Z895" s="32" t="n">
        <f aca="false">INDEX('Tabela Passaro'!$V$2:$V$1795,$N895)</f>
        <v>0</v>
      </c>
      <c r="AA895" s="32" t="n">
        <f aca="false">SUM(R895:Z895)</f>
        <v>197.04329</v>
      </c>
      <c r="AB895" s="33" t="n">
        <f aca="false">INDEX(Premissas!$B$5:$B$13,MATCH(A895,Premissas!$A$5:$A$13,0))</f>
        <v>0.07</v>
      </c>
      <c r="AC895" s="32" t="n">
        <f aca="false">AA895/(1-AB895)-AA895</f>
        <v>14.8312153763441</v>
      </c>
      <c r="AD895" s="32" t="n">
        <f aca="false">ROUND(AA895+AC895,2)</f>
        <v>211.87</v>
      </c>
      <c r="AE895" s="32" t="n">
        <f aca="false">AD895-L895</f>
        <v>52.01</v>
      </c>
      <c r="AF895" s="34" t="n">
        <f aca="false">IF(L895=0,0,AE895/L895)</f>
        <v>0.325347178781434</v>
      </c>
      <c r="AG895" s="22" t="str">
        <f aca="false">IF(AD895&lt;L895,"PASSARO","ATUAL")</f>
        <v>ATUAL</v>
      </c>
      <c r="AH895" s="22" t="str">
        <f aca="false">IF(P895&lt;&gt;A895,"Faixa cadastrada como "&amp;P895&amp;" na tabela; preço aplicado pela UF do CEP","")</f>
        <v/>
      </c>
      <c r="AI895" s="26" t="n">
        <v>243.12</v>
      </c>
      <c r="AJ895" s="22" t="str">
        <f aca="false">INDEX('Tabela Passaro'!$X$2:$X$1795,$N895)</f>
        <v>CAPITAL</v>
      </c>
    </row>
    <row r="896" customFormat="false" ht="15" hidden="false" customHeight="false" outlineLevel="0" collapsed="false">
      <c r="A896" s="22" t="s">
        <v>17</v>
      </c>
      <c r="B896" s="22" t="n">
        <v>5</v>
      </c>
      <c r="C896" s="22" t="s">
        <v>102</v>
      </c>
      <c r="D896" s="22" t="s">
        <v>30</v>
      </c>
      <c r="E896" s="22" t="s">
        <v>7328</v>
      </c>
      <c r="F896" s="22" t="n">
        <v>2312385</v>
      </c>
      <c r="G896" s="30" t="n">
        <v>46248</v>
      </c>
      <c r="H896" s="22" t="n">
        <v>133289</v>
      </c>
      <c r="I896" s="22" t="s">
        <v>8160</v>
      </c>
      <c r="J896" s="31" t="n">
        <v>37.2</v>
      </c>
      <c r="K896" s="26" t="n">
        <v>473.16</v>
      </c>
      <c r="L896" s="26" t="n">
        <v>189.43</v>
      </c>
      <c r="M896" s="22" t="s">
        <v>2659</v>
      </c>
      <c r="N896" s="22" t="n">
        <f aca="false">MATCH(M896,'Tabela Passaro'!$A$2:$A$1795,0)</f>
        <v>601</v>
      </c>
      <c r="O896" s="22" t="str">
        <f aca="false">INDEX('Tabela Passaro'!$C$2:$C$1795,$N896)</f>
        <v>CRATO</v>
      </c>
      <c r="P896" s="22" t="str">
        <f aca="false">INDEX('Tabela Passaro'!$B$2:$B$1795,$N896)</f>
        <v>CE</v>
      </c>
      <c r="Q896" s="22" t="n">
        <f aca="false">INDEX('Tabela Passaro'!$F$2:$F$1795,$N896)</f>
        <v>14</v>
      </c>
      <c r="R896" s="32" t="n">
        <f aca="false">IF(J896&lt;=10,INDEX('Tabela Passaro'!$G$2:$G$1795,$N896),IF(J896&lt;=30,INDEX('Tabela Passaro'!$H$2:$H$1795,$N896),IF(J896&lt;=50,INDEX('Tabela Passaro'!$I$2:$I$1795,$N896),IF(J896&lt;=70,INDEX('Tabela Passaro'!$J$2:$J$1795,$N896),IF(J896&lt;=100,INDEX('Tabela Passaro'!$K$2:$K$1795,$N896),INDEX('Tabela Passaro'!$K$2:$K$1795,$N896)+(J896-100)*INDEX('Tabela Passaro'!$L$2:$L$1795,$N896))))))</f>
        <v>226.84</v>
      </c>
      <c r="S896" s="32" t="n">
        <f aca="false">K896*INDEX('Tabela Passaro'!$M$2:$M$1795,$N896)</f>
        <v>2.3658</v>
      </c>
      <c r="T896" s="32" t="n">
        <f aca="false">K896*INDEX('Tabela Passaro'!$N$2:$N$1795,$N896)</f>
        <v>0.94632</v>
      </c>
      <c r="U896" s="32" t="n">
        <f aca="false">INDEX('Tabela Passaro'!$O$2:$O$1795,$N896)</f>
        <v>5</v>
      </c>
      <c r="V896" s="32" t="n">
        <f aca="false">ROUNDUP(J896/INDEX('Tabela Passaro'!$Q$2:$Q$1795,$N896),0)*INDEX('Tabela Passaro'!$P$2:$P$1795,$N896)</f>
        <v>5</v>
      </c>
      <c r="W896" s="32" t="n">
        <f aca="false">INDEX('Tabela Passaro'!$R$2:$R$1795,$N896)</f>
        <v>30</v>
      </c>
      <c r="X896" s="32" t="n">
        <f aca="false">ROUNDUP(J896/INDEX('Tabela Passaro'!$T$2:$T$1795,$N896),0)*INDEX('Tabela Passaro'!$S$2:$S$1795,$N896)</f>
        <v>0</v>
      </c>
      <c r="Y896" s="32" t="n">
        <f aca="false">INDEX('Tabela Passaro'!$U$2:$U$1795,$N896)</f>
        <v>0</v>
      </c>
      <c r="Z896" s="32" t="n">
        <f aca="false">INDEX('Tabela Passaro'!$V$2:$V$1795,$N896)</f>
        <v>0</v>
      </c>
      <c r="AA896" s="32" t="n">
        <f aca="false">SUM(R896:Z896)</f>
        <v>270.15212</v>
      </c>
      <c r="AB896" s="33" t="n">
        <f aca="false">INDEX(Premissas!$B$5:$B$13,MATCH(A896,Premissas!$A$5:$A$13,0))</f>
        <v>0.07</v>
      </c>
      <c r="AC896" s="32" t="n">
        <f aca="false">AA896/(1-AB896)-AA896</f>
        <v>20.3340305376344</v>
      </c>
      <c r="AD896" s="32" t="n">
        <f aca="false">ROUND(AA896+AC896,2)</f>
        <v>290.49</v>
      </c>
      <c r="AE896" s="32" t="n">
        <f aca="false">AD896-L896</f>
        <v>101.06</v>
      </c>
      <c r="AF896" s="34" t="n">
        <f aca="false">IF(L896=0,0,AE896/L896)</f>
        <v>0.533495222509634</v>
      </c>
      <c r="AG896" s="22" t="str">
        <f aca="false">IF(AD896&lt;L896,"PASSARO","ATUAL")</f>
        <v>ATUAL</v>
      </c>
      <c r="AH896" s="22" t="str">
        <f aca="false">IF(P896&lt;&gt;A896,"Faixa cadastrada como "&amp;P896&amp;" na tabela; preço aplicado pela UF do CEP","")</f>
        <v/>
      </c>
      <c r="AI896" s="26" t="n">
        <v>311.98</v>
      </c>
      <c r="AJ896" s="22" t="str">
        <f aca="false">INDEX('Tabela Passaro'!$X$2:$X$1795,$N896)</f>
        <v>INTERIOR 2</v>
      </c>
    </row>
    <row r="897" customFormat="false" ht="15" hidden="false" customHeight="false" outlineLevel="0" collapsed="false">
      <c r="A897" s="22" t="s">
        <v>17</v>
      </c>
      <c r="B897" s="22" t="n">
        <v>5</v>
      </c>
      <c r="C897" s="22" t="s">
        <v>102</v>
      </c>
      <c r="D897" s="22" t="s">
        <v>30</v>
      </c>
      <c r="E897" s="22" t="s">
        <v>7328</v>
      </c>
      <c r="F897" s="22" t="n">
        <v>2312485</v>
      </c>
      <c r="G897" s="30" t="n">
        <v>46248</v>
      </c>
      <c r="H897" s="22" t="n">
        <v>133456</v>
      </c>
      <c r="I897" s="22" t="s">
        <v>8161</v>
      </c>
      <c r="J897" s="31" t="n">
        <v>48</v>
      </c>
      <c r="K897" s="26" t="n">
        <v>1079.87</v>
      </c>
      <c r="L897" s="26" t="n">
        <v>194.23</v>
      </c>
      <c r="M897" s="22" t="s">
        <v>2659</v>
      </c>
      <c r="N897" s="22" t="n">
        <f aca="false">MATCH(M897,'Tabela Passaro'!$A$2:$A$1795,0)</f>
        <v>601</v>
      </c>
      <c r="O897" s="22" t="str">
        <f aca="false">INDEX('Tabela Passaro'!$C$2:$C$1795,$N897)</f>
        <v>CRATO</v>
      </c>
      <c r="P897" s="22" t="str">
        <f aca="false">INDEX('Tabela Passaro'!$B$2:$B$1795,$N897)</f>
        <v>CE</v>
      </c>
      <c r="Q897" s="22" t="n">
        <f aca="false">INDEX('Tabela Passaro'!$F$2:$F$1795,$N897)</f>
        <v>14</v>
      </c>
      <c r="R897" s="32" t="n">
        <f aca="false">IF(J897&lt;=10,INDEX('Tabela Passaro'!$G$2:$G$1795,$N897),IF(J897&lt;=30,INDEX('Tabela Passaro'!$H$2:$H$1795,$N897),IF(J897&lt;=50,INDEX('Tabela Passaro'!$I$2:$I$1795,$N897),IF(J897&lt;=70,INDEX('Tabela Passaro'!$J$2:$J$1795,$N897),IF(J897&lt;=100,INDEX('Tabela Passaro'!$K$2:$K$1795,$N897),INDEX('Tabela Passaro'!$K$2:$K$1795,$N897)+(J897-100)*INDEX('Tabela Passaro'!$L$2:$L$1795,$N897))))))</f>
        <v>226.84</v>
      </c>
      <c r="S897" s="32" t="n">
        <f aca="false">K897*INDEX('Tabela Passaro'!$M$2:$M$1795,$N897)</f>
        <v>5.39935</v>
      </c>
      <c r="T897" s="32" t="n">
        <f aca="false">K897*INDEX('Tabela Passaro'!$N$2:$N$1795,$N897)</f>
        <v>2.15974</v>
      </c>
      <c r="U897" s="32" t="n">
        <f aca="false">INDEX('Tabela Passaro'!$O$2:$O$1795,$N897)</f>
        <v>5</v>
      </c>
      <c r="V897" s="32" t="n">
        <f aca="false">ROUNDUP(J897/INDEX('Tabela Passaro'!$Q$2:$Q$1795,$N897),0)*INDEX('Tabela Passaro'!$P$2:$P$1795,$N897)</f>
        <v>5</v>
      </c>
      <c r="W897" s="32" t="n">
        <f aca="false">INDEX('Tabela Passaro'!$R$2:$R$1795,$N897)</f>
        <v>30</v>
      </c>
      <c r="X897" s="32" t="n">
        <f aca="false">ROUNDUP(J897/INDEX('Tabela Passaro'!$T$2:$T$1795,$N897),0)*INDEX('Tabela Passaro'!$S$2:$S$1795,$N897)</f>
        <v>0</v>
      </c>
      <c r="Y897" s="32" t="n">
        <f aca="false">INDEX('Tabela Passaro'!$U$2:$U$1795,$N897)</f>
        <v>0</v>
      </c>
      <c r="Z897" s="32" t="n">
        <f aca="false">INDEX('Tabela Passaro'!$V$2:$V$1795,$N897)</f>
        <v>0</v>
      </c>
      <c r="AA897" s="32" t="n">
        <f aca="false">SUM(R897:Z897)</f>
        <v>274.39909</v>
      </c>
      <c r="AB897" s="33" t="n">
        <f aca="false">INDEX(Premissas!$B$5:$B$13,MATCH(A897,Premissas!$A$5:$A$13,0))</f>
        <v>0.07</v>
      </c>
      <c r="AC897" s="32" t="n">
        <f aca="false">AA897/(1-AB897)-AA897</f>
        <v>20.6536949462366</v>
      </c>
      <c r="AD897" s="32" t="n">
        <f aca="false">ROUND(AA897+AC897,2)</f>
        <v>295.05</v>
      </c>
      <c r="AE897" s="32" t="n">
        <f aca="false">AD897-L897</f>
        <v>100.82</v>
      </c>
      <c r="AF897" s="34" t="n">
        <f aca="false">IF(L897=0,0,AE897/L897)</f>
        <v>0.519075323070587</v>
      </c>
      <c r="AG897" s="22" t="str">
        <f aca="false">IF(AD897&lt;L897,"PASSARO","ATUAL")</f>
        <v>ATUAL</v>
      </c>
      <c r="AH897" s="22" t="str">
        <f aca="false">IF(P897&lt;&gt;A897,"Faixa cadastrada como "&amp;P897&amp;" na tabela; preço aplicado pela UF do CEP","")</f>
        <v/>
      </c>
      <c r="AI897" s="26" t="n">
        <v>322.69</v>
      </c>
      <c r="AJ897" s="22" t="str">
        <f aca="false">INDEX('Tabela Passaro'!$X$2:$X$1795,$N897)</f>
        <v>INTERIOR 2</v>
      </c>
    </row>
    <row r="898" customFormat="false" ht="15" hidden="false" customHeight="false" outlineLevel="0" collapsed="false">
      <c r="A898" s="22" t="s">
        <v>17</v>
      </c>
      <c r="B898" s="22" t="n">
        <v>5</v>
      </c>
      <c r="C898" s="22" t="s">
        <v>102</v>
      </c>
      <c r="D898" s="22" t="s">
        <v>30</v>
      </c>
      <c r="E898" s="22" t="s">
        <v>7328</v>
      </c>
      <c r="F898" s="22" t="n">
        <v>2313217</v>
      </c>
      <c r="G898" s="30" t="n">
        <v>46251</v>
      </c>
      <c r="H898" s="22" t="n">
        <v>133634</v>
      </c>
      <c r="I898" s="22" t="s">
        <v>8162</v>
      </c>
      <c r="J898" s="31" t="n">
        <v>51.06</v>
      </c>
      <c r="K898" s="26" t="n">
        <v>940.87</v>
      </c>
      <c r="L898" s="26" t="n">
        <v>245.87</v>
      </c>
      <c r="M898" s="22" t="s">
        <v>2659</v>
      </c>
      <c r="N898" s="22" t="n">
        <f aca="false">MATCH(M898,'Tabela Passaro'!$A$2:$A$1795,0)</f>
        <v>601</v>
      </c>
      <c r="O898" s="22" t="str">
        <f aca="false">INDEX('Tabela Passaro'!$C$2:$C$1795,$N898)</f>
        <v>CRATO</v>
      </c>
      <c r="P898" s="22" t="str">
        <f aca="false">INDEX('Tabela Passaro'!$B$2:$B$1795,$N898)</f>
        <v>CE</v>
      </c>
      <c r="Q898" s="22" t="n">
        <f aca="false">INDEX('Tabela Passaro'!$F$2:$F$1795,$N898)</f>
        <v>14</v>
      </c>
      <c r="R898" s="32" t="n">
        <f aca="false">IF(J898&lt;=10,INDEX('Tabela Passaro'!$G$2:$G$1795,$N898),IF(J898&lt;=30,INDEX('Tabela Passaro'!$H$2:$H$1795,$N898),IF(J898&lt;=50,INDEX('Tabela Passaro'!$I$2:$I$1795,$N898),IF(J898&lt;=70,INDEX('Tabela Passaro'!$J$2:$J$1795,$N898),IF(J898&lt;=100,INDEX('Tabela Passaro'!$K$2:$K$1795,$N898),INDEX('Tabela Passaro'!$K$2:$K$1795,$N898)+(J898-100)*INDEX('Tabela Passaro'!$L$2:$L$1795,$N898))))))</f>
        <v>243.44</v>
      </c>
      <c r="S898" s="32" t="n">
        <f aca="false">K898*INDEX('Tabela Passaro'!$M$2:$M$1795,$N898)</f>
        <v>4.70435</v>
      </c>
      <c r="T898" s="32" t="n">
        <f aca="false">K898*INDEX('Tabela Passaro'!$N$2:$N$1795,$N898)</f>
        <v>1.88174</v>
      </c>
      <c r="U898" s="32" t="n">
        <f aca="false">INDEX('Tabela Passaro'!$O$2:$O$1795,$N898)</f>
        <v>5</v>
      </c>
      <c r="V898" s="32" t="n">
        <f aca="false">ROUNDUP(J898/INDEX('Tabela Passaro'!$Q$2:$Q$1795,$N898),0)*INDEX('Tabela Passaro'!$P$2:$P$1795,$N898)</f>
        <v>5</v>
      </c>
      <c r="W898" s="32" t="n">
        <f aca="false">INDEX('Tabela Passaro'!$R$2:$R$1795,$N898)</f>
        <v>30</v>
      </c>
      <c r="X898" s="32" t="n">
        <f aca="false">ROUNDUP(J898/INDEX('Tabela Passaro'!$T$2:$T$1795,$N898),0)*INDEX('Tabela Passaro'!$S$2:$S$1795,$N898)</f>
        <v>0</v>
      </c>
      <c r="Y898" s="32" t="n">
        <f aca="false">INDEX('Tabela Passaro'!$U$2:$U$1795,$N898)</f>
        <v>0</v>
      </c>
      <c r="Z898" s="32" t="n">
        <f aca="false">INDEX('Tabela Passaro'!$V$2:$V$1795,$N898)</f>
        <v>0</v>
      </c>
      <c r="AA898" s="32" t="n">
        <f aca="false">SUM(R898:Z898)</f>
        <v>290.02609</v>
      </c>
      <c r="AB898" s="33" t="n">
        <f aca="false">INDEX(Premissas!$B$5:$B$13,MATCH(A898,Premissas!$A$5:$A$13,0))</f>
        <v>0.07</v>
      </c>
      <c r="AC898" s="32" t="n">
        <f aca="false">AA898/(1-AB898)-AA898</f>
        <v>21.8299207526882</v>
      </c>
      <c r="AD898" s="32" t="n">
        <f aca="false">ROUND(AA898+AC898,2)</f>
        <v>311.86</v>
      </c>
      <c r="AE898" s="32" t="n">
        <f aca="false">AD898-L898</f>
        <v>65.99</v>
      </c>
      <c r="AF898" s="34" t="n">
        <f aca="false">IF(L898=0,0,AE898/L898)</f>
        <v>0.268393866677513</v>
      </c>
      <c r="AG898" s="22" t="str">
        <f aca="false">IF(AD898&lt;L898,"PASSARO","ATUAL")</f>
        <v>ATUAL</v>
      </c>
      <c r="AH898" s="22" t="str">
        <f aca="false">IF(P898&lt;&gt;A898,"Faixa cadastrada como "&amp;P898&amp;" na tabela; preço aplicado pela UF do CEP","")</f>
        <v/>
      </c>
      <c r="AI898" s="26" t="n">
        <v>342.07</v>
      </c>
      <c r="AJ898" s="22" t="str">
        <f aca="false">INDEX('Tabela Passaro'!$X$2:$X$1795,$N898)</f>
        <v>INTERIOR 2</v>
      </c>
    </row>
    <row r="899" customFormat="false" ht="15" hidden="false" customHeight="false" outlineLevel="0" collapsed="false">
      <c r="A899" s="22" t="s">
        <v>17</v>
      </c>
      <c r="B899" s="22" t="n">
        <v>5</v>
      </c>
      <c r="C899" s="22" t="s">
        <v>102</v>
      </c>
      <c r="D899" s="22" t="s">
        <v>30</v>
      </c>
      <c r="E899" s="22" t="s">
        <v>20</v>
      </c>
      <c r="F899" s="22" t="n">
        <v>839526</v>
      </c>
      <c r="G899" s="30" t="n">
        <v>46253</v>
      </c>
      <c r="H899" s="22" t="n">
        <v>32549</v>
      </c>
      <c r="I899" s="22" t="s">
        <v>8163</v>
      </c>
      <c r="J899" s="31" t="n">
        <v>34.1</v>
      </c>
      <c r="K899" s="26" t="n">
        <v>543.07</v>
      </c>
      <c r="L899" s="26" t="n">
        <v>179.92</v>
      </c>
      <c r="M899" s="22" t="s">
        <v>2659</v>
      </c>
      <c r="N899" s="22" t="n">
        <f aca="false">MATCH(M899,'Tabela Passaro'!$A$2:$A$1795,0)</f>
        <v>601</v>
      </c>
      <c r="O899" s="22" t="str">
        <f aca="false">INDEX('Tabela Passaro'!$C$2:$C$1795,$N899)</f>
        <v>CRATO</v>
      </c>
      <c r="P899" s="22" t="str">
        <f aca="false">INDEX('Tabela Passaro'!$B$2:$B$1795,$N899)</f>
        <v>CE</v>
      </c>
      <c r="Q899" s="22" t="n">
        <f aca="false">INDEX('Tabela Passaro'!$F$2:$F$1795,$N899)</f>
        <v>14</v>
      </c>
      <c r="R899" s="32" t="n">
        <f aca="false">IF(J899&lt;=10,INDEX('Tabela Passaro'!$G$2:$G$1795,$N899),IF(J899&lt;=30,INDEX('Tabela Passaro'!$H$2:$H$1795,$N899),IF(J899&lt;=50,INDEX('Tabela Passaro'!$I$2:$I$1795,$N899),IF(J899&lt;=70,INDEX('Tabela Passaro'!$J$2:$J$1795,$N899),IF(J899&lt;=100,INDEX('Tabela Passaro'!$K$2:$K$1795,$N899),INDEX('Tabela Passaro'!$K$2:$K$1795,$N899)+(J899-100)*INDEX('Tabela Passaro'!$L$2:$L$1795,$N899))))))</f>
        <v>226.84</v>
      </c>
      <c r="S899" s="32" t="n">
        <f aca="false">K899*INDEX('Tabela Passaro'!$M$2:$M$1795,$N899)</f>
        <v>2.71535</v>
      </c>
      <c r="T899" s="32" t="n">
        <f aca="false">K899*INDEX('Tabela Passaro'!$N$2:$N$1795,$N899)</f>
        <v>1.08614</v>
      </c>
      <c r="U899" s="32" t="n">
        <f aca="false">INDEX('Tabela Passaro'!$O$2:$O$1795,$N899)</f>
        <v>5</v>
      </c>
      <c r="V899" s="32" t="n">
        <f aca="false">ROUNDUP(J899/INDEX('Tabela Passaro'!$Q$2:$Q$1795,$N899),0)*INDEX('Tabela Passaro'!$P$2:$P$1795,$N899)</f>
        <v>5</v>
      </c>
      <c r="W899" s="32" t="n">
        <f aca="false">INDEX('Tabela Passaro'!$R$2:$R$1795,$N899)</f>
        <v>30</v>
      </c>
      <c r="X899" s="32" t="n">
        <f aca="false">ROUNDUP(J899/INDEX('Tabela Passaro'!$T$2:$T$1795,$N899),0)*INDEX('Tabela Passaro'!$S$2:$S$1795,$N899)</f>
        <v>0</v>
      </c>
      <c r="Y899" s="32" t="n">
        <f aca="false">INDEX('Tabela Passaro'!$U$2:$U$1795,$N899)</f>
        <v>0</v>
      </c>
      <c r="Z899" s="32" t="n">
        <f aca="false">INDEX('Tabela Passaro'!$V$2:$V$1795,$N899)</f>
        <v>0</v>
      </c>
      <c r="AA899" s="32" t="n">
        <f aca="false">SUM(R899:Z899)</f>
        <v>270.64149</v>
      </c>
      <c r="AB899" s="33" t="n">
        <f aca="false">INDEX(Premissas!$B$5:$B$13,MATCH(A899,Premissas!$A$5:$A$13,0))</f>
        <v>0.07</v>
      </c>
      <c r="AC899" s="32" t="n">
        <f aca="false">AA899/(1-AB899)-AA899</f>
        <v>20.3708648387097</v>
      </c>
      <c r="AD899" s="32" t="n">
        <f aca="false">ROUND(AA899+AC899,2)</f>
        <v>291.01</v>
      </c>
      <c r="AE899" s="32" t="n">
        <f aca="false">AD899-L899</f>
        <v>111.09</v>
      </c>
      <c r="AF899" s="34" t="n">
        <f aca="false">IF(L899=0,0,AE899/L899)</f>
        <v>0.617441084926634</v>
      </c>
      <c r="AG899" s="22" t="str">
        <f aca="false">IF(AD899&lt;L899,"PASSARO","ATUAL")</f>
        <v>ATUAL</v>
      </c>
      <c r="AH899" s="22" t="str">
        <f aca="false">IF(P899&lt;&gt;A899,"Faixa cadastrada como "&amp;P899&amp;" na tabela; preço aplicado pela UF do CEP","")</f>
        <v/>
      </c>
      <c r="AI899" s="26" t="n">
        <v>311.2</v>
      </c>
      <c r="AJ899" s="22" t="str">
        <f aca="false">INDEX('Tabela Passaro'!$X$2:$X$1795,$N899)</f>
        <v>INTERIOR 2</v>
      </c>
    </row>
    <row r="900" customFormat="false" ht="15" hidden="false" customHeight="false" outlineLevel="0" collapsed="false">
      <c r="A900" s="22" t="s">
        <v>17</v>
      </c>
      <c r="B900" s="22" t="n">
        <v>5</v>
      </c>
      <c r="C900" s="22" t="s">
        <v>102</v>
      </c>
      <c r="D900" s="22" t="s">
        <v>30</v>
      </c>
      <c r="E900" s="22" t="s">
        <v>7328</v>
      </c>
      <c r="F900" s="22" t="n">
        <v>2315616</v>
      </c>
      <c r="G900" s="30" t="n">
        <v>46258</v>
      </c>
      <c r="H900" s="22" t="n">
        <v>135347</v>
      </c>
      <c r="I900" s="22" t="s">
        <v>8164</v>
      </c>
      <c r="J900" s="31" t="n">
        <v>51.06</v>
      </c>
      <c r="K900" s="26" t="n">
        <v>871.4</v>
      </c>
      <c r="L900" s="26" t="n">
        <v>245.33</v>
      </c>
      <c r="M900" s="22" t="s">
        <v>2659</v>
      </c>
      <c r="N900" s="22" t="n">
        <f aca="false">MATCH(M900,'Tabela Passaro'!$A$2:$A$1795,0)</f>
        <v>601</v>
      </c>
      <c r="O900" s="22" t="str">
        <f aca="false">INDEX('Tabela Passaro'!$C$2:$C$1795,$N900)</f>
        <v>CRATO</v>
      </c>
      <c r="P900" s="22" t="str">
        <f aca="false">INDEX('Tabela Passaro'!$B$2:$B$1795,$N900)</f>
        <v>CE</v>
      </c>
      <c r="Q900" s="22" t="n">
        <f aca="false">INDEX('Tabela Passaro'!$F$2:$F$1795,$N900)</f>
        <v>14</v>
      </c>
      <c r="R900" s="32" t="n">
        <f aca="false">IF(J900&lt;=10,INDEX('Tabela Passaro'!$G$2:$G$1795,$N900),IF(J900&lt;=30,INDEX('Tabela Passaro'!$H$2:$H$1795,$N900),IF(J900&lt;=50,INDEX('Tabela Passaro'!$I$2:$I$1795,$N900),IF(J900&lt;=70,INDEX('Tabela Passaro'!$J$2:$J$1795,$N900),IF(J900&lt;=100,INDEX('Tabela Passaro'!$K$2:$K$1795,$N900),INDEX('Tabela Passaro'!$K$2:$K$1795,$N900)+(J900-100)*INDEX('Tabela Passaro'!$L$2:$L$1795,$N900))))))</f>
        <v>243.44</v>
      </c>
      <c r="S900" s="32" t="n">
        <f aca="false">K900*INDEX('Tabela Passaro'!$M$2:$M$1795,$N900)</f>
        <v>4.357</v>
      </c>
      <c r="T900" s="32" t="n">
        <f aca="false">K900*INDEX('Tabela Passaro'!$N$2:$N$1795,$N900)</f>
        <v>1.7428</v>
      </c>
      <c r="U900" s="32" t="n">
        <f aca="false">INDEX('Tabela Passaro'!$O$2:$O$1795,$N900)</f>
        <v>5</v>
      </c>
      <c r="V900" s="32" t="n">
        <f aca="false">ROUNDUP(J900/INDEX('Tabela Passaro'!$Q$2:$Q$1795,$N900),0)*INDEX('Tabela Passaro'!$P$2:$P$1795,$N900)</f>
        <v>5</v>
      </c>
      <c r="W900" s="32" t="n">
        <f aca="false">INDEX('Tabela Passaro'!$R$2:$R$1795,$N900)</f>
        <v>30</v>
      </c>
      <c r="X900" s="32" t="n">
        <f aca="false">ROUNDUP(J900/INDEX('Tabela Passaro'!$T$2:$T$1795,$N900),0)*INDEX('Tabela Passaro'!$S$2:$S$1795,$N900)</f>
        <v>0</v>
      </c>
      <c r="Y900" s="32" t="n">
        <f aca="false">INDEX('Tabela Passaro'!$U$2:$U$1795,$N900)</f>
        <v>0</v>
      </c>
      <c r="Z900" s="32" t="n">
        <f aca="false">INDEX('Tabela Passaro'!$V$2:$V$1795,$N900)</f>
        <v>0</v>
      </c>
      <c r="AA900" s="32" t="n">
        <f aca="false">SUM(R900:Z900)</f>
        <v>289.5398</v>
      </c>
      <c r="AB900" s="33" t="n">
        <f aca="false">INDEX(Premissas!$B$5:$B$13,MATCH(A900,Premissas!$A$5:$A$13,0))</f>
        <v>0.07</v>
      </c>
      <c r="AC900" s="32" t="n">
        <f aca="false">AA900/(1-AB900)-AA900</f>
        <v>21.7933182795699</v>
      </c>
      <c r="AD900" s="32" t="n">
        <f aca="false">ROUND(AA900+AC900,2)</f>
        <v>311.33</v>
      </c>
      <c r="AE900" s="32" t="n">
        <f aca="false">AD900-L900</f>
        <v>66</v>
      </c>
      <c r="AF900" s="34" t="n">
        <f aca="false">IF(L900=0,0,AE900/L900)</f>
        <v>0.269025394366771</v>
      </c>
      <c r="AG900" s="22" t="str">
        <f aca="false">IF(AD900&lt;L900,"PASSARO","ATUAL")</f>
        <v>ATUAL</v>
      </c>
      <c r="AH900" s="22" t="str">
        <f aca="false">IF(P900&lt;&gt;A900,"Faixa cadastrada como "&amp;P900&amp;" na tabela; preço aplicado pela UF do CEP","")</f>
        <v/>
      </c>
      <c r="AI900" s="26" t="n">
        <v>341.4</v>
      </c>
      <c r="AJ900" s="22" t="str">
        <f aca="false">INDEX('Tabela Passaro'!$X$2:$X$1795,$N900)</f>
        <v>INTERIOR 2</v>
      </c>
    </row>
    <row r="901" customFormat="false" ht="15" hidden="false" customHeight="false" outlineLevel="0" collapsed="false">
      <c r="A901" s="22" t="s">
        <v>17</v>
      </c>
      <c r="B901" s="22" t="n">
        <v>5</v>
      </c>
      <c r="C901" s="22" t="s">
        <v>102</v>
      </c>
      <c r="D901" s="22" t="s">
        <v>30</v>
      </c>
      <c r="E901" s="22" t="s">
        <v>20</v>
      </c>
      <c r="F901" s="22" t="n">
        <v>840602</v>
      </c>
      <c r="G901" s="30" t="n">
        <v>46265</v>
      </c>
      <c r="H901" s="22" t="n">
        <v>32803</v>
      </c>
      <c r="I901" s="22" t="s">
        <v>8165</v>
      </c>
      <c r="J901" s="31" t="n">
        <v>134.4</v>
      </c>
      <c r="K901" s="26" t="n">
        <v>2283.96</v>
      </c>
      <c r="L901" s="26" t="n">
        <v>364.68</v>
      </c>
      <c r="M901" s="22" t="s">
        <v>2659</v>
      </c>
      <c r="N901" s="22" t="n">
        <f aca="false">MATCH(M901,'Tabela Passaro'!$A$2:$A$1795,0)</f>
        <v>601</v>
      </c>
      <c r="O901" s="22" t="str">
        <f aca="false">INDEX('Tabela Passaro'!$C$2:$C$1795,$N901)</f>
        <v>CRATO</v>
      </c>
      <c r="P901" s="22" t="str">
        <f aca="false">INDEX('Tabela Passaro'!$B$2:$B$1795,$N901)</f>
        <v>CE</v>
      </c>
      <c r="Q901" s="22" t="n">
        <f aca="false">INDEX('Tabela Passaro'!$F$2:$F$1795,$N901)</f>
        <v>14</v>
      </c>
      <c r="R901" s="32" t="n">
        <f aca="false">IF(J901&lt;=10,INDEX('Tabela Passaro'!$G$2:$G$1795,$N901),IF(J901&lt;=30,INDEX('Tabela Passaro'!$H$2:$H$1795,$N901),IF(J901&lt;=50,INDEX('Tabela Passaro'!$I$2:$I$1795,$N901),IF(J901&lt;=70,INDEX('Tabela Passaro'!$J$2:$J$1795,$N901),IF(J901&lt;=100,INDEX('Tabela Passaro'!$K$2:$K$1795,$N901),INDEX('Tabela Passaro'!$K$2:$K$1795,$N901)+(J901-100)*INDEX('Tabela Passaro'!$L$2:$L$1795,$N901))))))</f>
        <v>338.472</v>
      </c>
      <c r="S901" s="32" t="n">
        <f aca="false">K901*INDEX('Tabela Passaro'!$M$2:$M$1795,$N901)</f>
        <v>11.4198</v>
      </c>
      <c r="T901" s="32" t="n">
        <f aca="false">K901*INDEX('Tabela Passaro'!$N$2:$N$1795,$N901)</f>
        <v>4.56792</v>
      </c>
      <c r="U901" s="32" t="n">
        <f aca="false">INDEX('Tabela Passaro'!$O$2:$O$1795,$N901)</f>
        <v>5</v>
      </c>
      <c r="V901" s="32" t="n">
        <f aca="false">ROUNDUP(J901/INDEX('Tabela Passaro'!$Q$2:$Q$1795,$N901),0)*INDEX('Tabela Passaro'!$P$2:$P$1795,$N901)</f>
        <v>10</v>
      </c>
      <c r="W901" s="32" t="n">
        <f aca="false">INDEX('Tabela Passaro'!$R$2:$R$1795,$N901)</f>
        <v>30</v>
      </c>
      <c r="X901" s="32" t="n">
        <f aca="false">ROUNDUP(J901/INDEX('Tabela Passaro'!$T$2:$T$1795,$N901),0)*INDEX('Tabela Passaro'!$S$2:$S$1795,$N901)</f>
        <v>0</v>
      </c>
      <c r="Y901" s="32" t="n">
        <f aca="false">INDEX('Tabela Passaro'!$U$2:$U$1795,$N901)</f>
        <v>0</v>
      </c>
      <c r="Z901" s="32" t="n">
        <f aca="false">INDEX('Tabela Passaro'!$V$2:$V$1795,$N901)</f>
        <v>0</v>
      </c>
      <c r="AA901" s="32" t="n">
        <f aca="false">SUM(R901:Z901)</f>
        <v>399.45972</v>
      </c>
      <c r="AB901" s="33" t="n">
        <f aca="false">INDEX(Premissas!$B$5:$B$13,MATCH(A901,Premissas!$A$5:$A$13,0))</f>
        <v>0.07</v>
      </c>
      <c r="AC901" s="32" t="n">
        <f aca="false">AA901/(1-AB901)-AA901</f>
        <v>30.0668606451613</v>
      </c>
      <c r="AD901" s="32" t="n">
        <f aca="false">ROUND(AA901+AC901,2)</f>
        <v>429.53</v>
      </c>
      <c r="AE901" s="32" t="n">
        <f aca="false">AD901-L901</f>
        <v>64.85</v>
      </c>
      <c r="AF901" s="34" t="n">
        <f aca="false">IF(L901=0,0,AE901/L901)</f>
        <v>0.177827136119337</v>
      </c>
      <c r="AG901" s="22" t="str">
        <f aca="false">IF(AD901&lt;L901,"PASSARO","ATUAL")</f>
        <v>ATUAL</v>
      </c>
      <c r="AH901" s="22" t="str">
        <f aca="false">IF(P901&lt;&gt;A901,"Faixa cadastrada como "&amp;P901&amp;" na tabela; preço aplicado pela UF do CEP","")</f>
        <v/>
      </c>
      <c r="AI901" s="26" t="n">
        <v>514.09</v>
      </c>
      <c r="AJ901" s="22" t="str">
        <f aca="false">INDEX('Tabela Passaro'!$X$2:$X$1795,$N901)</f>
        <v>INTERIOR 2</v>
      </c>
    </row>
    <row r="902" customFormat="false" ht="15" hidden="false" customHeight="false" outlineLevel="0" collapsed="false">
      <c r="A902" s="22" t="s">
        <v>17</v>
      </c>
      <c r="B902" s="22" t="n">
        <v>6</v>
      </c>
      <c r="C902" s="22" t="s">
        <v>103</v>
      </c>
      <c r="D902" s="22" t="s">
        <v>33</v>
      </c>
      <c r="E902" s="22" t="s">
        <v>7399</v>
      </c>
      <c r="F902" s="22" t="n">
        <v>1845622</v>
      </c>
      <c r="G902" s="30" t="n">
        <v>46239</v>
      </c>
      <c r="H902" s="22" t="n">
        <v>131840</v>
      </c>
      <c r="I902" s="22" t="s">
        <v>8166</v>
      </c>
      <c r="J902" s="31" t="n">
        <v>45.3</v>
      </c>
      <c r="K902" s="26" t="n">
        <v>944.98</v>
      </c>
      <c r="L902" s="26" t="n">
        <v>223.7</v>
      </c>
      <c r="M902" s="22" t="s">
        <v>2363</v>
      </c>
      <c r="N902" s="22" t="n">
        <f aca="false">MATCH(M902,'Tabela Passaro'!$A$2:$A$1795,0)</f>
        <v>526</v>
      </c>
      <c r="O902" s="22" t="str">
        <f aca="false">INDEX('Tabela Passaro'!$C$2:$C$1795,$N902)</f>
        <v>AQUIRAZ</v>
      </c>
      <c r="P902" s="22" t="str">
        <f aca="false">INDEX('Tabela Passaro'!$B$2:$B$1795,$N902)</f>
        <v>CE</v>
      </c>
      <c r="Q902" s="22" t="n">
        <f aca="false">INDEX('Tabela Passaro'!$F$2:$F$1795,$N902)</f>
        <v>12</v>
      </c>
      <c r="R902" s="32" t="n">
        <f aca="false">IF(J902&lt;=10,INDEX('Tabela Passaro'!$G$2:$G$1795,$N902),IF(J902&lt;=30,INDEX('Tabela Passaro'!$H$2:$H$1795,$N902),IF(J902&lt;=50,INDEX('Tabela Passaro'!$I$2:$I$1795,$N902),IF(J902&lt;=70,INDEX('Tabela Passaro'!$J$2:$J$1795,$N902),IF(J902&lt;=100,INDEX('Tabela Passaro'!$K$2:$K$1795,$N902),INDEX('Tabela Passaro'!$K$2:$K$1795,$N902)+(J902-100)*INDEX('Tabela Passaro'!$L$2:$L$1795,$N902))))))</f>
        <v>176.22</v>
      </c>
      <c r="S902" s="32" t="n">
        <f aca="false">K902*INDEX('Tabela Passaro'!$M$2:$M$1795,$N902)</f>
        <v>4.7249</v>
      </c>
      <c r="T902" s="32" t="n">
        <f aca="false">K902*INDEX('Tabela Passaro'!$N$2:$N$1795,$N902)</f>
        <v>1.88996</v>
      </c>
      <c r="U902" s="32" t="n">
        <f aca="false">INDEX('Tabela Passaro'!$O$2:$O$1795,$N902)</f>
        <v>5</v>
      </c>
      <c r="V902" s="32" t="n">
        <f aca="false">ROUNDUP(J902/INDEX('Tabela Passaro'!$Q$2:$Q$1795,$N902),0)*INDEX('Tabela Passaro'!$P$2:$P$1795,$N902)</f>
        <v>5</v>
      </c>
      <c r="W902" s="32" t="n">
        <f aca="false">INDEX('Tabela Passaro'!$R$2:$R$1795,$N902)</f>
        <v>30</v>
      </c>
      <c r="X902" s="32" t="n">
        <f aca="false">ROUNDUP(J902/INDEX('Tabela Passaro'!$T$2:$T$1795,$N902),0)*INDEX('Tabela Passaro'!$S$2:$S$1795,$N902)</f>
        <v>0</v>
      </c>
      <c r="Y902" s="32" t="n">
        <f aca="false">INDEX('Tabela Passaro'!$U$2:$U$1795,$N902)</f>
        <v>0</v>
      </c>
      <c r="Z902" s="32" t="n">
        <f aca="false">INDEX('Tabela Passaro'!$V$2:$V$1795,$N902)</f>
        <v>0</v>
      </c>
      <c r="AA902" s="32" t="n">
        <f aca="false">SUM(R902:Z902)</f>
        <v>222.83486</v>
      </c>
      <c r="AB902" s="33" t="n">
        <f aca="false">INDEX(Premissas!$B$5:$B$13,MATCH(A902,Premissas!$A$5:$A$13,0))</f>
        <v>0.07</v>
      </c>
      <c r="AC902" s="32" t="n">
        <f aca="false">AA902/(1-AB902)-AA902</f>
        <v>16.772516344086</v>
      </c>
      <c r="AD902" s="32" t="n">
        <f aca="false">ROUND(AA902+AC902,2)</f>
        <v>239.61</v>
      </c>
      <c r="AE902" s="32" t="n">
        <f aca="false">AD902-L902</f>
        <v>15.91</v>
      </c>
      <c r="AF902" s="34" t="n">
        <f aca="false">IF(L902=0,0,AE902/L902)</f>
        <v>0.0711220384443452</v>
      </c>
      <c r="AG902" s="22" t="str">
        <f aca="false">IF(AD902&lt;L902,"PASSARO","ATUAL")</f>
        <v>ATUAL</v>
      </c>
      <c r="AH902" s="22" t="str">
        <f aca="false">IF(P902&lt;&gt;A902,"Faixa cadastrada como "&amp;P902&amp;" na tabela; preço aplicado pela UF do CEP","")</f>
        <v/>
      </c>
      <c r="AI902" s="26" t="n">
        <v>263.11</v>
      </c>
      <c r="AJ902" s="22" t="str">
        <f aca="false">INDEX('Tabela Passaro'!$X$2:$X$1795,$N902)</f>
        <v>INTERIOR 1</v>
      </c>
    </row>
    <row r="903" customFormat="false" ht="15" hidden="false" customHeight="false" outlineLevel="0" collapsed="false">
      <c r="A903" s="22" t="s">
        <v>17</v>
      </c>
      <c r="B903" s="22" t="n">
        <v>6</v>
      </c>
      <c r="C903" s="22" t="s">
        <v>103</v>
      </c>
      <c r="D903" s="22" t="s">
        <v>33</v>
      </c>
      <c r="E903" s="22" t="s">
        <v>7399</v>
      </c>
      <c r="F903" s="22" t="n">
        <v>1851806</v>
      </c>
      <c r="G903" s="30" t="n">
        <v>46247</v>
      </c>
      <c r="H903" s="22" t="n">
        <v>133405</v>
      </c>
      <c r="I903" s="22" t="s">
        <v>8166</v>
      </c>
      <c r="J903" s="31" t="n">
        <v>27.6</v>
      </c>
      <c r="K903" s="26" t="n">
        <v>627.91</v>
      </c>
      <c r="L903" s="26" t="n">
        <v>169.46</v>
      </c>
      <c r="M903" s="22" t="s">
        <v>2363</v>
      </c>
      <c r="N903" s="22" t="n">
        <f aca="false">MATCH(M903,'Tabela Passaro'!$A$2:$A$1795,0)</f>
        <v>526</v>
      </c>
      <c r="O903" s="22" t="str">
        <f aca="false">INDEX('Tabela Passaro'!$C$2:$C$1795,$N903)</f>
        <v>AQUIRAZ</v>
      </c>
      <c r="P903" s="22" t="str">
        <f aca="false">INDEX('Tabela Passaro'!$B$2:$B$1795,$N903)</f>
        <v>CE</v>
      </c>
      <c r="Q903" s="22" t="n">
        <f aca="false">INDEX('Tabela Passaro'!$F$2:$F$1795,$N903)</f>
        <v>12</v>
      </c>
      <c r="R903" s="32" t="n">
        <f aca="false">IF(J903&lt;=10,INDEX('Tabela Passaro'!$G$2:$G$1795,$N903),IF(J903&lt;=30,INDEX('Tabela Passaro'!$H$2:$H$1795,$N903),IF(J903&lt;=50,INDEX('Tabela Passaro'!$I$2:$I$1795,$N903),IF(J903&lt;=70,INDEX('Tabela Passaro'!$J$2:$J$1795,$N903),IF(J903&lt;=100,INDEX('Tabela Passaro'!$K$2:$K$1795,$N903),INDEX('Tabela Passaro'!$K$2:$K$1795,$N903)+(J903-100)*INDEX('Tabela Passaro'!$L$2:$L$1795,$N903))))))</f>
        <v>154.09</v>
      </c>
      <c r="S903" s="32" t="n">
        <f aca="false">K903*INDEX('Tabela Passaro'!$M$2:$M$1795,$N903)</f>
        <v>3.13955</v>
      </c>
      <c r="T903" s="32" t="n">
        <f aca="false">K903*INDEX('Tabela Passaro'!$N$2:$N$1795,$N903)</f>
        <v>1.25582</v>
      </c>
      <c r="U903" s="32" t="n">
        <f aca="false">INDEX('Tabela Passaro'!$O$2:$O$1795,$N903)</f>
        <v>5</v>
      </c>
      <c r="V903" s="32" t="n">
        <f aca="false">ROUNDUP(J903/INDEX('Tabela Passaro'!$Q$2:$Q$1795,$N903),0)*INDEX('Tabela Passaro'!$P$2:$P$1795,$N903)</f>
        <v>5</v>
      </c>
      <c r="W903" s="32" t="n">
        <f aca="false">INDEX('Tabela Passaro'!$R$2:$R$1795,$N903)</f>
        <v>30</v>
      </c>
      <c r="X903" s="32" t="n">
        <f aca="false">ROUNDUP(J903/INDEX('Tabela Passaro'!$T$2:$T$1795,$N903),0)*INDEX('Tabela Passaro'!$S$2:$S$1795,$N903)</f>
        <v>0</v>
      </c>
      <c r="Y903" s="32" t="n">
        <f aca="false">INDEX('Tabela Passaro'!$U$2:$U$1795,$N903)</f>
        <v>0</v>
      </c>
      <c r="Z903" s="32" t="n">
        <f aca="false">INDEX('Tabela Passaro'!$V$2:$V$1795,$N903)</f>
        <v>0</v>
      </c>
      <c r="AA903" s="32" t="n">
        <f aca="false">SUM(R903:Z903)</f>
        <v>198.48537</v>
      </c>
      <c r="AB903" s="33" t="n">
        <f aca="false">INDEX(Premissas!$B$5:$B$13,MATCH(A903,Premissas!$A$5:$A$13,0))</f>
        <v>0.07</v>
      </c>
      <c r="AC903" s="32" t="n">
        <f aca="false">AA903/(1-AB903)-AA903</f>
        <v>14.9397590322581</v>
      </c>
      <c r="AD903" s="32" t="n">
        <f aca="false">ROUND(AA903+AC903,2)</f>
        <v>213.43</v>
      </c>
      <c r="AE903" s="32" t="n">
        <f aca="false">AD903-L903</f>
        <v>43.97</v>
      </c>
      <c r="AF903" s="34" t="n">
        <f aca="false">IF(L903=0,0,AE903/L903)</f>
        <v>0.259471261654668</v>
      </c>
      <c r="AG903" s="22" t="str">
        <f aca="false">IF(AD903&lt;L903,"PASSARO","ATUAL")</f>
        <v>ATUAL</v>
      </c>
      <c r="AH903" s="22" t="str">
        <f aca="false">IF(P903&lt;&gt;A903,"Faixa cadastrada como "&amp;P903&amp;" na tabela; preço aplicado pela UF do CEP","")</f>
        <v/>
      </c>
      <c r="AI903" s="26" t="n">
        <v>226.29</v>
      </c>
      <c r="AJ903" s="22" t="str">
        <f aca="false">INDEX('Tabela Passaro'!$X$2:$X$1795,$N903)</f>
        <v>INTERIOR 1</v>
      </c>
    </row>
    <row r="904" customFormat="false" ht="15" hidden="false" customHeight="false" outlineLevel="0" collapsed="false">
      <c r="A904" s="22" t="s">
        <v>17</v>
      </c>
      <c r="B904" s="22" t="n">
        <v>6</v>
      </c>
      <c r="C904" s="22" t="s">
        <v>103</v>
      </c>
      <c r="D904" s="22" t="s">
        <v>33</v>
      </c>
      <c r="E904" s="22" t="s">
        <v>7399</v>
      </c>
      <c r="F904" s="22" t="n">
        <v>1858914</v>
      </c>
      <c r="G904" s="30" t="n">
        <v>46258</v>
      </c>
      <c r="H904" s="22" t="n">
        <v>134755</v>
      </c>
      <c r="I904" s="22" t="s">
        <v>8166</v>
      </c>
      <c r="J904" s="31" t="n">
        <v>93.7</v>
      </c>
      <c r="K904" s="26" t="n">
        <v>1459.98</v>
      </c>
      <c r="L904" s="26" t="n">
        <v>357.82</v>
      </c>
      <c r="M904" s="22" t="s">
        <v>2363</v>
      </c>
      <c r="N904" s="22" t="n">
        <f aca="false">MATCH(M904,'Tabela Passaro'!$A$2:$A$1795,0)</f>
        <v>526</v>
      </c>
      <c r="O904" s="22" t="str">
        <f aca="false">INDEX('Tabela Passaro'!$C$2:$C$1795,$N904)</f>
        <v>AQUIRAZ</v>
      </c>
      <c r="P904" s="22" t="str">
        <f aca="false">INDEX('Tabela Passaro'!$B$2:$B$1795,$N904)</f>
        <v>CE</v>
      </c>
      <c r="Q904" s="22" t="n">
        <f aca="false">INDEX('Tabela Passaro'!$F$2:$F$1795,$N904)</f>
        <v>12</v>
      </c>
      <c r="R904" s="32" t="n">
        <f aca="false">IF(J904&lt;=10,INDEX('Tabela Passaro'!$G$2:$G$1795,$N904),IF(J904&lt;=30,INDEX('Tabela Passaro'!$H$2:$H$1795,$N904),IF(J904&lt;=50,INDEX('Tabela Passaro'!$I$2:$I$1795,$N904),IF(J904&lt;=70,INDEX('Tabela Passaro'!$J$2:$J$1795,$N904),IF(J904&lt;=100,INDEX('Tabela Passaro'!$K$2:$K$1795,$N904),INDEX('Tabela Passaro'!$K$2:$K$1795,$N904)+(J904-100)*INDEX('Tabela Passaro'!$L$2:$L$1795,$N904))))))</f>
        <v>209.42</v>
      </c>
      <c r="S904" s="32" t="n">
        <f aca="false">K904*INDEX('Tabela Passaro'!$M$2:$M$1795,$N904)</f>
        <v>7.2999</v>
      </c>
      <c r="T904" s="32" t="n">
        <f aca="false">K904*INDEX('Tabela Passaro'!$N$2:$N$1795,$N904)</f>
        <v>2.91996</v>
      </c>
      <c r="U904" s="32" t="n">
        <f aca="false">INDEX('Tabela Passaro'!$O$2:$O$1795,$N904)</f>
        <v>5</v>
      </c>
      <c r="V904" s="32" t="n">
        <f aca="false">ROUNDUP(J904/INDEX('Tabela Passaro'!$Q$2:$Q$1795,$N904),0)*INDEX('Tabela Passaro'!$P$2:$P$1795,$N904)</f>
        <v>5</v>
      </c>
      <c r="W904" s="32" t="n">
        <f aca="false">INDEX('Tabela Passaro'!$R$2:$R$1795,$N904)</f>
        <v>30</v>
      </c>
      <c r="X904" s="32" t="n">
        <f aca="false">ROUNDUP(J904/INDEX('Tabela Passaro'!$T$2:$T$1795,$N904),0)*INDEX('Tabela Passaro'!$S$2:$S$1795,$N904)</f>
        <v>0</v>
      </c>
      <c r="Y904" s="32" t="n">
        <f aca="false">INDEX('Tabela Passaro'!$U$2:$U$1795,$N904)</f>
        <v>0</v>
      </c>
      <c r="Z904" s="32" t="n">
        <f aca="false">INDEX('Tabela Passaro'!$V$2:$V$1795,$N904)</f>
        <v>0</v>
      </c>
      <c r="AA904" s="32" t="n">
        <f aca="false">SUM(R904:Z904)</f>
        <v>259.63986</v>
      </c>
      <c r="AB904" s="33" t="n">
        <f aca="false">INDEX(Premissas!$B$5:$B$13,MATCH(A904,Premissas!$A$5:$A$13,0))</f>
        <v>0.07</v>
      </c>
      <c r="AC904" s="32" t="n">
        <f aca="false">AA904/(1-AB904)-AA904</f>
        <v>19.5427851612903</v>
      </c>
      <c r="AD904" s="32" t="n">
        <f aca="false">ROUND(AA904+AC904,2)</f>
        <v>279.18</v>
      </c>
      <c r="AE904" s="32" t="n">
        <f aca="false">AD904-L904</f>
        <v>-78.64</v>
      </c>
      <c r="AF904" s="34" t="n">
        <f aca="false">IF(L904=0,0,AE904/L904)</f>
        <v>-0.219775306019786</v>
      </c>
      <c r="AG904" s="22" t="str">
        <f aca="false">IF(AD904&lt;L904,"PASSARO","ATUAL")</f>
        <v>PASSARO</v>
      </c>
      <c r="AH904" s="22" t="str">
        <f aca="false">IF(P904&lt;&gt;A904,"Faixa cadastrada como "&amp;P904&amp;" na tabela; preço aplicado pela UF do CEP","")</f>
        <v/>
      </c>
      <c r="AI904" s="26" t="n">
        <v>328.9</v>
      </c>
      <c r="AJ904" s="22" t="str">
        <f aca="false">INDEX('Tabela Passaro'!$X$2:$X$1795,$N904)</f>
        <v>INTERIOR 1</v>
      </c>
    </row>
    <row r="905" customFormat="false" ht="15" hidden="false" customHeight="false" outlineLevel="0" collapsed="false">
      <c r="A905" s="22" t="s">
        <v>17</v>
      </c>
      <c r="B905" s="22" t="n">
        <v>6</v>
      </c>
      <c r="C905" s="22" t="s">
        <v>103</v>
      </c>
      <c r="D905" s="22" t="s">
        <v>30</v>
      </c>
      <c r="E905" s="22" t="s">
        <v>7326</v>
      </c>
      <c r="F905" s="22" t="n">
        <v>522640</v>
      </c>
      <c r="G905" s="30" t="n">
        <v>46239</v>
      </c>
      <c r="H905" s="22" t="n">
        <v>620747</v>
      </c>
      <c r="I905" s="22" t="s">
        <v>8166</v>
      </c>
      <c r="J905" s="31" t="n">
        <v>33</v>
      </c>
      <c r="K905" s="26" t="n">
        <v>641.24</v>
      </c>
      <c r="L905" s="26" t="n">
        <v>231.2</v>
      </c>
      <c r="M905" s="22" t="s">
        <v>2363</v>
      </c>
      <c r="N905" s="22" t="n">
        <f aca="false">MATCH(M905,'Tabela Passaro'!$A$2:$A$1795,0)</f>
        <v>526</v>
      </c>
      <c r="O905" s="22" t="str">
        <f aca="false">INDEX('Tabela Passaro'!$C$2:$C$1795,$N905)</f>
        <v>AQUIRAZ</v>
      </c>
      <c r="P905" s="22" t="str">
        <f aca="false">INDEX('Tabela Passaro'!$B$2:$B$1795,$N905)</f>
        <v>CE</v>
      </c>
      <c r="Q905" s="22" t="n">
        <f aca="false">INDEX('Tabela Passaro'!$F$2:$F$1795,$N905)</f>
        <v>12</v>
      </c>
      <c r="R905" s="32" t="n">
        <f aca="false">IF(J905&lt;=10,INDEX('Tabela Passaro'!$G$2:$G$1795,$N905),IF(J905&lt;=30,INDEX('Tabela Passaro'!$H$2:$H$1795,$N905),IF(J905&lt;=50,INDEX('Tabela Passaro'!$I$2:$I$1795,$N905),IF(J905&lt;=70,INDEX('Tabela Passaro'!$J$2:$J$1795,$N905),IF(J905&lt;=100,INDEX('Tabela Passaro'!$K$2:$K$1795,$N905),INDEX('Tabela Passaro'!$K$2:$K$1795,$N905)+(J905-100)*INDEX('Tabela Passaro'!$L$2:$L$1795,$N905))))))</f>
        <v>176.22</v>
      </c>
      <c r="S905" s="32" t="n">
        <f aca="false">K905*INDEX('Tabela Passaro'!$M$2:$M$1795,$N905)</f>
        <v>3.2062</v>
      </c>
      <c r="T905" s="32" t="n">
        <f aca="false">K905*INDEX('Tabela Passaro'!$N$2:$N$1795,$N905)</f>
        <v>1.28248</v>
      </c>
      <c r="U905" s="32" t="n">
        <f aca="false">INDEX('Tabela Passaro'!$O$2:$O$1795,$N905)</f>
        <v>5</v>
      </c>
      <c r="V905" s="32" t="n">
        <f aca="false">ROUNDUP(J905/INDEX('Tabela Passaro'!$Q$2:$Q$1795,$N905),0)*INDEX('Tabela Passaro'!$P$2:$P$1795,$N905)</f>
        <v>5</v>
      </c>
      <c r="W905" s="32" t="n">
        <f aca="false">INDEX('Tabela Passaro'!$R$2:$R$1795,$N905)</f>
        <v>30</v>
      </c>
      <c r="X905" s="32" t="n">
        <f aca="false">ROUNDUP(J905/INDEX('Tabela Passaro'!$T$2:$T$1795,$N905),0)*INDEX('Tabela Passaro'!$S$2:$S$1795,$N905)</f>
        <v>0</v>
      </c>
      <c r="Y905" s="32" t="n">
        <f aca="false">INDEX('Tabela Passaro'!$U$2:$U$1795,$N905)</f>
        <v>0</v>
      </c>
      <c r="Z905" s="32" t="n">
        <f aca="false">INDEX('Tabela Passaro'!$V$2:$V$1795,$N905)</f>
        <v>0</v>
      </c>
      <c r="AA905" s="32" t="n">
        <f aca="false">SUM(R905:Z905)</f>
        <v>220.70868</v>
      </c>
      <c r="AB905" s="33" t="n">
        <f aca="false">INDEX(Premissas!$B$5:$B$13,MATCH(A905,Premissas!$A$5:$A$13,0))</f>
        <v>0.07</v>
      </c>
      <c r="AC905" s="32" t="n">
        <f aca="false">AA905/(1-AB905)-AA905</f>
        <v>16.6124812903226</v>
      </c>
      <c r="AD905" s="32" t="n">
        <f aca="false">ROUND(AA905+AC905,2)</f>
        <v>237.32</v>
      </c>
      <c r="AE905" s="32" t="n">
        <f aca="false">AD905-L905</f>
        <v>6.12</v>
      </c>
      <c r="AF905" s="34" t="n">
        <f aca="false">IF(L905=0,0,AE905/L905)</f>
        <v>0.0264705882352941</v>
      </c>
      <c r="AG905" s="22" t="str">
        <f aca="false">IF(AD905&lt;L905,"PASSARO","ATUAL")</f>
        <v>ATUAL</v>
      </c>
      <c r="AH905" s="22" t="str">
        <f aca="false">IF(P905&lt;&gt;A905,"Faixa cadastrada como "&amp;P905&amp;" na tabela; preço aplicado pela UF do CEP","")</f>
        <v/>
      </c>
      <c r="AI905" s="26" t="n">
        <v>253.88</v>
      </c>
      <c r="AJ905" s="22" t="str">
        <f aca="false">INDEX('Tabela Passaro'!$X$2:$X$1795,$N905)</f>
        <v>INTERIOR 1</v>
      </c>
    </row>
    <row r="906" customFormat="false" ht="15" hidden="false" customHeight="false" outlineLevel="0" collapsed="false">
      <c r="A906" s="22" t="s">
        <v>17</v>
      </c>
      <c r="B906" s="22" t="n">
        <v>6</v>
      </c>
      <c r="C906" s="22" t="s">
        <v>103</v>
      </c>
      <c r="D906" s="22" t="s">
        <v>30</v>
      </c>
      <c r="E906" s="22" t="s">
        <v>20</v>
      </c>
      <c r="F906" s="22" t="n">
        <v>838400</v>
      </c>
      <c r="G906" s="30" t="n">
        <v>46244</v>
      </c>
      <c r="H906" s="22" t="n">
        <v>32447</v>
      </c>
      <c r="I906" s="22" t="s">
        <v>8166</v>
      </c>
      <c r="J906" s="31" t="n">
        <v>37.2</v>
      </c>
      <c r="K906" s="26" t="n">
        <v>502.93</v>
      </c>
      <c r="L906" s="26" t="n">
        <v>198.74</v>
      </c>
      <c r="M906" s="22" t="s">
        <v>2363</v>
      </c>
      <c r="N906" s="22" t="n">
        <f aca="false">MATCH(M906,'Tabela Passaro'!$A$2:$A$1795,0)</f>
        <v>526</v>
      </c>
      <c r="O906" s="22" t="str">
        <f aca="false">INDEX('Tabela Passaro'!$C$2:$C$1795,$N906)</f>
        <v>AQUIRAZ</v>
      </c>
      <c r="P906" s="22" t="str">
        <f aca="false">INDEX('Tabela Passaro'!$B$2:$B$1795,$N906)</f>
        <v>CE</v>
      </c>
      <c r="Q906" s="22" t="n">
        <f aca="false">INDEX('Tabela Passaro'!$F$2:$F$1795,$N906)</f>
        <v>12</v>
      </c>
      <c r="R906" s="32" t="n">
        <f aca="false">IF(J906&lt;=10,INDEX('Tabela Passaro'!$G$2:$G$1795,$N906),IF(J906&lt;=30,INDEX('Tabela Passaro'!$H$2:$H$1795,$N906),IF(J906&lt;=50,INDEX('Tabela Passaro'!$I$2:$I$1795,$N906),IF(J906&lt;=70,INDEX('Tabela Passaro'!$J$2:$J$1795,$N906),IF(J906&lt;=100,INDEX('Tabela Passaro'!$K$2:$K$1795,$N906),INDEX('Tabela Passaro'!$K$2:$K$1795,$N906)+(J906-100)*INDEX('Tabela Passaro'!$L$2:$L$1795,$N906))))))</f>
        <v>176.22</v>
      </c>
      <c r="S906" s="32" t="n">
        <f aca="false">K906*INDEX('Tabela Passaro'!$M$2:$M$1795,$N906)</f>
        <v>2.51465</v>
      </c>
      <c r="T906" s="32" t="n">
        <f aca="false">K906*INDEX('Tabela Passaro'!$N$2:$N$1795,$N906)</f>
        <v>1.00586</v>
      </c>
      <c r="U906" s="32" t="n">
        <f aca="false">INDEX('Tabela Passaro'!$O$2:$O$1795,$N906)</f>
        <v>5</v>
      </c>
      <c r="V906" s="32" t="n">
        <f aca="false">ROUNDUP(J906/INDEX('Tabela Passaro'!$Q$2:$Q$1795,$N906),0)*INDEX('Tabela Passaro'!$P$2:$P$1795,$N906)</f>
        <v>5</v>
      </c>
      <c r="W906" s="32" t="n">
        <f aca="false">INDEX('Tabela Passaro'!$R$2:$R$1795,$N906)</f>
        <v>30</v>
      </c>
      <c r="X906" s="32" t="n">
        <f aca="false">ROUNDUP(J906/INDEX('Tabela Passaro'!$T$2:$T$1795,$N906),0)*INDEX('Tabela Passaro'!$S$2:$S$1795,$N906)</f>
        <v>0</v>
      </c>
      <c r="Y906" s="32" t="n">
        <f aca="false">INDEX('Tabela Passaro'!$U$2:$U$1795,$N906)</f>
        <v>0</v>
      </c>
      <c r="Z906" s="32" t="n">
        <f aca="false">INDEX('Tabela Passaro'!$V$2:$V$1795,$N906)</f>
        <v>0</v>
      </c>
      <c r="AA906" s="32" t="n">
        <f aca="false">SUM(R906:Z906)</f>
        <v>219.74051</v>
      </c>
      <c r="AB906" s="33" t="n">
        <f aca="false">INDEX(Premissas!$B$5:$B$13,MATCH(A906,Premissas!$A$5:$A$13,0))</f>
        <v>0.07</v>
      </c>
      <c r="AC906" s="32" t="n">
        <f aca="false">AA906/(1-AB906)-AA906</f>
        <v>16.5396082795699</v>
      </c>
      <c r="AD906" s="32" t="n">
        <f aca="false">ROUND(AA906+AC906,2)</f>
        <v>236.28</v>
      </c>
      <c r="AE906" s="32" t="n">
        <f aca="false">AD906-L906</f>
        <v>37.54</v>
      </c>
      <c r="AF906" s="34" t="n">
        <f aca="false">IF(L906=0,0,AE906/L906)</f>
        <v>0.18889000704438</v>
      </c>
      <c r="AG906" s="22" t="str">
        <f aca="false">IF(AD906&lt;L906,"PASSARO","ATUAL")</f>
        <v>ATUAL</v>
      </c>
      <c r="AH906" s="22" t="str">
        <f aca="false">IF(P906&lt;&gt;A906,"Faixa cadastrada como "&amp;P906&amp;" na tabela; preço aplicado pela UF do CEP","")</f>
        <v/>
      </c>
      <c r="AI906" s="26" t="n">
        <v>254.96</v>
      </c>
      <c r="AJ906" s="22" t="str">
        <f aca="false">INDEX('Tabela Passaro'!$X$2:$X$1795,$N906)</f>
        <v>INTERIOR 1</v>
      </c>
    </row>
    <row r="907" customFormat="false" ht="15" hidden="false" customHeight="false" outlineLevel="0" collapsed="false">
      <c r="A907" s="22" t="s">
        <v>17</v>
      </c>
      <c r="B907" s="22" t="n">
        <v>6</v>
      </c>
      <c r="C907" s="22" t="s">
        <v>103</v>
      </c>
      <c r="D907" s="22" t="s">
        <v>30</v>
      </c>
      <c r="E907" s="22" t="s">
        <v>7326</v>
      </c>
      <c r="F907" s="22" t="n">
        <v>528313</v>
      </c>
      <c r="G907" s="30" t="n">
        <v>46262</v>
      </c>
      <c r="H907" s="22" t="n">
        <v>630153</v>
      </c>
      <c r="I907" s="22" t="s">
        <v>8166</v>
      </c>
      <c r="J907" s="31" t="n">
        <v>45.4</v>
      </c>
      <c r="K907" s="26" t="n">
        <v>702.07</v>
      </c>
      <c r="L907" s="26" t="n">
        <v>231.72</v>
      </c>
      <c r="M907" s="22" t="s">
        <v>2363</v>
      </c>
      <c r="N907" s="22" t="n">
        <f aca="false">MATCH(M907,'Tabela Passaro'!$A$2:$A$1795,0)</f>
        <v>526</v>
      </c>
      <c r="O907" s="22" t="str">
        <f aca="false">INDEX('Tabela Passaro'!$C$2:$C$1795,$N907)</f>
        <v>AQUIRAZ</v>
      </c>
      <c r="P907" s="22" t="str">
        <f aca="false">INDEX('Tabela Passaro'!$B$2:$B$1795,$N907)</f>
        <v>CE</v>
      </c>
      <c r="Q907" s="22" t="n">
        <f aca="false">INDEX('Tabela Passaro'!$F$2:$F$1795,$N907)</f>
        <v>12</v>
      </c>
      <c r="R907" s="32" t="n">
        <f aca="false">IF(J907&lt;=10,INDEX('Tabela Passaro'!$G$2:$G$1795,$N907),IF(J907&lt;=30,INDEX('Tabela Passaro'!$H$2:$H$1795,$N907),IF(J907&lt;=50,INDEX('Tabela Passaro'!$I$2:$I$1795,$N907),IF(J907&lt;=70,INDEX('Tabela Passaro'!$J$2:$J$1795,$N907),IF(J907&lt;=100,INDEX('Tabela Passaro'!$K$2:$K$1795,$N907),INDEX('Tabela Passaro'!$K$2:$K$1795,$N907)+(J907-100)*INDEX('Tabela Passaro'!$L$2:$L$1795,$N907))))))</f>
        <v>176.22</v>
      </c>
      <c r="S907" s="32" t="n">
        <f aca="false">K907*INDEX('Tabela Passaro'!$M$2:$M$1795,$N907)</f>
        <v>3.51035</v>
      </c>
      <c r="T907" s="32" t="n">
        <f aca="false">K907*INDEX('Tabela Passaro'!$N$2:$N$1795,$N907)</f>
        <v>1.40414</v>
      </c>
      <c r="U907" s="32" t="n">
        <f aca="false">INDEX('Tabela Passaro'!$O$2:$O$1795,$N907)</f>
        <v>5</v>
      </c>
      <c r="V907" s="32" t="n">
        <f aca="false">ROUNDUP(J907/INDEX('Tabela Passaro'!$Q$2:$Q$1795,$N907),0)*INDEX('Tabela Passaro'!$P$2:$P$1795,$N907)</f>
        <v>5</v>
      </c>
      <c r="W907" s="32" t="n">
        <f aca="false">INDEX('Tabela Passaro'!$R$2:$R$1795,$N907)</f>
        <v>30</v>
      </c>
      <c r="X907" s="32" t="n">
        <f aca="false">ROUNDUP(J907/INDEX('Tabela Passaro'!$T$2:$T$1795,$N907),0)*INDEX('Tabela Passaro'!$S$2:$S$1795,$N907)</f>
        <v>0</v>
      </c>
      <c r="Y907" s="32" t="n">
        <f aca="false">INDEX('Tabela Passaro'!$U$2:$U$1795,$N907)</f>
        <v>0</v>
      </c>
      <c r="Z907" s="32" t="n">
        <f aca="false">INDEX('Tabela Passaro'!$V$2:$V$1795,$N907)</f>
        <v>0</v>
      </c>
      <c r="AA907" s="32" t="n">
        <f aca="false">SUM(R907:Z907)</f>
        <v>221.13449</v>
      </c>
      <c r="AB907" s="33" t="n">
        <f aca="false">INDEX(Premissas!$B$5:$B$13,MATCH(A907,Premissas!$A$5:$A$13,0))</f>
        <v>0.07</v>
      </c>
      <c r="AC907" s="32" t="n">
        <f aca="false">AA907/(1-AB907)-AA907</f>
        <v>16.6445315053764</v>
      </c>
      <c r="AD907" s="32" t="n">
        <f aca="false">ROUND(AA907+AC907,2)</f>
        <v>237.78</v>
      </c>
      <c r="AE907" s="32" t="n">
        <f aca="false">AD907-L907</f>
        <v>6.06</v>
      </c>
      <c r="AF907" s="34" t="n">
        <f aca="false">IF(L907=0,0,AE907/L907)</f>
        <v>0.0261522527187986</v>
      </c>
      <c r="AG907" s="22" t="str">
        <f aca="false">IF(AD907&lt;L907,"PASSARO","ATUAL")</f>
        <v>ATUAL</v>
      </c>
      <c r="AH907" s="22" t="str">
        <f aca="false">IF(P907&lt;&gt;A907,"Faixa cadastrada como "&amp;P907&amp;" na tabela; preço aplicado pela UF do CEP","")</f>
        <v/>
      </c>
      <c r="AI907" s="26" t="n">
        <v>260.76</v>
      </c>
      <c r="AJ907" s="22" t="str">
        <f aca="false">INDEX('Tabela Passaro'!$X$2:$X$1795,$N907)</f>
        <v>INTERIOR 1</v>
      </c>
    </row>
    <row r="908" customFormat="false" ht="15" hidden="false" customHeight="false" outlineLevel="0" collapsed="false">
      <c r="A908" s="22" t="s">
        <v>17</v>
      </c>
      <c r="B908" s="22" t="n">
        <v>7</v>
      </c>
      <c r="C908" s="22" t="s">
        <v>105</v>
      </c>
      <c r="D908" s="22" t="s">
        <v>30</v>
      </c>
      <c r="E908" s="22" t="s">
        <v>7326</v>
      </c>
      <c r="F908" s="22" t="n">
        <v>522279</v>
      </c>
      <c r="G908" s="30" t="n">
        <v>46238</v>
      </c>
      <c r="H908" s="22" t="n">
        <v>620128</v>
      </c>
      <c r="I908" s="22" t="s">
        <v>8167</v>
      </c>
      <c r="J908" s="31" t="n">
        <v>29.2</v>
      </c>
      <c r="K908" s="26" t="n">
        <v>609.98</v>
      </c>
      <c r="L908" s="26" t="n">
        <v>151.53</v>
      </c>
      <c r="M908" s="22" t="s">
        <v>3011</v>
      </c>
      <c r="N908" s="22" t="n">
        <f aca="false">MATCH(M908,'Tabela Passaro'!$A$2:$A$1795,0)</f>
        <v>690</v>
      </c>
      <c r="O908" s="22" t="str">
        <f aca="false">INDEX('Tabela Passaro'!$C$2:$C$1795,$N908)</f>
        <v>SOBRAL</v>
      </c>
      <c r="P908" s="22" t="str">
        <f aca="false">INDEX('Tabela Passaro'!$B$2:$B$1795,$N908)</f>
        <v>CE</v>
      </c>
      <c r="Q908" s="22" t="n">
        <f aca="false">INDEX('Tabela Passaro'!$F$2:$F$1795,$N908)</f>
        <v>14</v>
      </c>
      <c r="R908" s="32" t="n">
        <f aca="false">IF(J908&lt;=10,INDEX('Tabela Passaro'!$G$2:$G$1795,$N908),IF(J908&lt;=30,INDEX('Tabela Passaro'!$H$2:$H$1795,$N908),IF(J908&lt;=50,INDEX('Tabela Passaro'!$I$2:$I$1795,$N908),IF(J908&lt;=70,INDEX('Tabela Passaro'!$J$2:$J$1795,$N908),IF(J908&lt;=100,INDEX('Tabela Passaro'!$K$2:$K$1795,$N908),INDEX('Tabela Passaro'!$K$2:$K$1795,$N908)+(J908-100)*INDEX('Tabela Passaro'!$L$2:$L$1795,$N908))))))</f>
        <v>204.71</v>
      </c>
      <c r="S908" s="32" t="n">
        <f aca="false">K908*INDEX('Tabela Passaro'!$M$2:$M$1795,$N908)</f>
        <v>3.0499</v>
      </c>
      <c r="T908" s="32" t="n">
        <f aca="false">K908*INDEX('Tabela Passaro'!$N$2:$N$1795,$N908)</f>
        <v>1.21996</v>
      </c>
      <c r="U908" s="32" t="n">
        <f aca="false">INDEX('Tabela Passaro'!$O$2:$O$1795,$N908)</f>
        <v>5</v>
      </c>
      <c r="V908" s="32" t="n">
        <f aca="false">ROUNDUP(J908/INDEX('Tabela Passaro'!$Q$2:$Q$1795,$N908),0)*INDEX('Tabela Passaro'!$P$2:$P$1795,$N908)</f>
        <v>5</v>
      </c>
      <c r="W908" s="32" t="n">
        <f aca="false">INDEX('Tabela Passaro'!$R$2:$R$1795,$N908)</f>
        <v>30</v>
      </c>
      <c r="X908" s="32" t="n">
        <f aca="false">ROUNDUP(J908/INDEX('Tabela Passaro'!$T$2:$T$1795,$N908),0)*INDEX('Tabela Passaro'!$S$2:$S$1795,$N908)</f>
        <v>0</v>
      </c>
      <c r="Y908" s="32" t="n">
        <f aca="false">INDEX('Tabela Passaro'!$U$2:$U$1795,$N908)</f>
        <v>0</v>
      </c>
      <c r="Z908" s="32" t="n">
        <f aca="false">INDEX('Tabela Passaro'!$V$2:$V$1795,$N908)</f>
        <v>0</v>
      </c>
      <c r="AA908" s="32" t="n">
        <f aca="false">SUM(R908:Z908)</f>
        <v>248.97986</v>
      </c>
      <c r="AB908" s="33" t="n">
        <f aca="false">INDEX(Premissas!$B$5:$B$13,MATCH(A908,Premissas!$A$5:$A$13,0))</f>
        <v>0.07</v>
      </c>
      <c r="AC908" s="32" t="n">
        <f aca="false">AA908/(1-AB908)-AA908</f>
        <v>18.7404195698925</v>
      </c>
      <c r="AD908" s="32" t="n">
        <f aca="false">ROUND(AA908+AC908,2)</f>
        <v>267.72</v>
      </c>
      <c r="AE908" s="32" t="n">
        <f aca="false">AD908-L908</f>
        <v>116.19</v>
      </c>
      <c r="AF908" s="34" t="n">
        <f aca="false">IF(L908=0,0,AE908/L908)</f>
        <v>0.766778855672144</v>
      </c>
      <c r="AG908" s="22" t="str">
        <f aca="false">IF(AD908&lt;L908,"PASSARO","ATUAL")</f>
        <v>ATUAL</v>
      </c>
      <c r="AH908" s="22" t="str">
        <f aca="false">IF(P908&lt;&gt;A908,"Faixa cadastrada como "&amp;P908&amp;" na tabela; preço aplicado pela UF do CEP","")</f>
        <v/>
      </c>
      <c r="AI908" s="26" t="n">
        <v>284.39</v>
      </c>
      <c r="AJ908" s="22" t="str">
        <f aca="false">INDEX('Tabela Passaro'!$X$2:$X$1795,$N908)</f>
        <v>INTERIOR 2</v>
      </c>
    </row>
    <row r="909" customFormat="false" ht="15" hidden="false" customHeight="false" outlineLevel="0" collapsed="false">
      <c r="A909" s="22" t="s">
        <v>17</v>
      </c>
      <c r="B909" s="22" t="n">
        <v>7</v>
      </c>
      <c r="C909" s="22" t="s">
        <v>105</v>
      </c>
      <c r="D909" s="22" t="s">
        <v>30</v>
      </c>
      <c r="E909" s="22" t="s">
        <v>7328</v>
      </c>
      <c r="F909" s="22" t="n">
        <v>2313775</v>
      </c>
      <c r="G909" s="30" t="n">
        <v>46253</v>
      </c>
      <c r="H909" s="22" t="n">
        <v>133860</v>
      </c>
      <c r="I909" s="22" t="s">
        <v>8168</v>
      </c>
      <c r="J909" s="31" t="n">
        <v>66.4</v>
      </c>
      <c r="K909" s="26" t="n">
        <v>1040.77</v>
      </c>
      <c r="L909" s="26" t="n">
        <v>246.66</v>
      </c>
      <c r="M909" s="22" t="s">
        <v>3011</v>
      </c>
      <c r="N909" s="22" t="n">
        <f aca="false">MATCH(M909,'Tabela Passaro'!$A$2:$A$1795,0)</f>
        <v>690</v>
      </c>
      <c r="O909" s="22" t="str">
        <f aca="false">INDEX('Tabela Passaro'!$C$2:$C$1795,$N909)</f>
        <v>SOBRAL</v>
      </c>
      <c r="P909" s="22" t="str">
        <f aca="false">INDEX('Tabela Passaro'!$B$2:$B$1795,$N909)</f>
        <v>CE</v>
      </c>
      <c r="Q909" s="22" t="n">
        <f aca="false">INDEX('Tabela Passaro'!$F$2:$F$1795,$N909)</f>
        <v>14</v>
      </c>
      <c r="R909" s="32" t="n">
        <f aca="false">IF(J909&lt;=10,INDEX('Tabela Passaro'!$G$2:$G$1795,$N909),IF(J909&lt;=30,INDEX('Tabela Passaro'!$H$2:$H$1795,$N909),IF(J909&lt;=50,INDEX('Tabela Passaro'!$I$2:$I$1795,$N909),IF(J909&lt;=70,INDEX('Tabela Passaro'!$J$2:$J$1795,$N909),IF(J909&lt;=100,INDEX('Tabela Passaro'!$K$2:$K$1795,$N909),INDEX('Tabela Passaro'!$K$2:$K$1795,$N909)+(J909-100)*INDEX('Tabela Passaro'!$L$2:$L$1795,$N909))))))</f>
        <v>243.44</v>
      </c>
      <c r="S909" s="32" t="n">
        <f aca="false">K909*INDEX('Tabela Passaro'!$M$2:$M$1795,$N909)</f>
        <v>5.20385</v>
      </c>
      <c r="T909" s="32" t="n">
        <f aca="false">K909*INDEX('Tabela Passaro'!$N$2:$N$1795,$N909)</f>
        <v>2.08154</v>
      </c>
      <c r="U909" s="32" t="n">
        <f aca="false">INDEX('Tabela Passaro'!$O$2:$O$1795,$N909)</f>
        <v>5</v>
      </c>
      <c r="V909" s="32" t="n">
        <f aca="false">ROUNDUP(J909/INDEX('Tabela Passaro'!$Q$2:$Q$1795,$N909),0)*INDEX('Tabela Passaro'!$P$2:$P$1795,$N909)</f>
        <v>5</v>
      </c>
      <c r="W909" s="32" t="n">
        <f aca="false">INDEX('Tabela Passaro'!$R$2:$R$1795,$N909)</f>
        <v>30</v>
      </c>
      <c r="X909" s="32" t="n">
        <f aca="false">ROUNDUP(J909/INDEX('Tabela Passaro'!$T$2:$T$1795,$N909),0)*INDEX('Tabela Passaro'!$S$2:$S$1795,$N909)</f>
        <v>0</v>
      </c>
      <c r="Y909" s="32" t="n">
        <f aca="false">INDEX('Tabela Passaro'!$U$2:$U$1795,$N909)</f>
        <v>0</v>
      </c>
      <c r="Z909" s="32" t="n">
        <f aca="false">INDEX('Tabela Passaro'!$V$2:$V$1795,$N909)</f>
        <v>0</v>
      </c>
      <c r="AA909" s="32" t="n">
        <f aca="false">SUM(R909:Z909)</f>
        <v>290.72539</v>
      </c>
      <c r="AB909" s="33" t="n">
        <f aca="false">INDEX(Premissas!$B$5:$B$13,MATCH(A909,Premissas!$A$5:$A$13,0))</f>
        <v>0.07</v>
      </c>
      <c r="AC909" s="32" t="n">
        <f aca="false">AA909/(1-AB909)-AA909</f>
        <v>21.8825562365591</v>
      </c>
      <c r="AD909" s="32" t="n">
        <f aca="false">ROUND(AA909+AC909,2)</f>
        <v>312.61</v>
      </c>
      <c r="AE909" s="32" t="n">
        <f aca="false">AD909-L909</f>
        <v>65.95</v>
      </c>
      <c r="AF909" s="34" t="n">
        <f aca="false">IF(L909=0,0,AE909/L909)</f>
        <v>0.267372091137598</v>
      </c>
      <c r="AG909" s="22" t="str">
        <f aca="false">IF(AD909&lt;L909,"PASSARO","ATUAL")</f>
        <v>ATUAL</v>
      </c>
      <c r="AH909" s="22" t="str">
        <f aca="false">IF(P909&lt;&gt;A909,"Faixa cadastrada como "&amp;P909&amp;" na tabela; preço aplicado pela UF do CEP","")</f>
        <v/>
      </c>
      <c r="AI909" s="26" t="n">
        <v>350.3</v>
      </c>
      <c r="AJ909" s="22" t="str">
        <f aca="false">INDEX('Tabela Passaro'!$X$2:$X$1795,$N909)</f>
        <v>INTERIOR 2</v>
      </c>
    </row>
    <row r="910" customFormat="false" ht="15" hidden="false" customHeight="false" outlineLevel="0" collapsed="false">
      <c r="A910" s="22" t="s">
        <v>17</v>
      </c>
      <c r="B910" s="22" t="n">
        <v>7</v>
      </c>
      <c r="C910" s="22" t="s">
        <v>105</v>
      </c>
      <c r="D910" s="22" t="s">
        <v>30</v>
      </c>
      <c r="E910" s="22" t="s">
        <v>20</v>
      </c>
      <c r="F910" s="22" t="n">
        <v>840172</v>
      </c>
      <c r="G910" s="30" t="n">
        <v>46260</v>
      </c>
      <c r="H910" s="22" t="n">
        <v>32687</v>
      </c>
      <c r="I910" s="22" t="s">
        <v>8169</v>
      </c>
      <c r="J910" s="31" t="n">
        <v>107.7</v>
      </c>
      <c r="K910" s="26" t="n">
        <v>1852.34</v>
      </c>
      <c r="L910" s="26" t="n">
        <v>333.91</v>
      </c>
      <c r="M910" s="22" t="s">
        <v>3011</v>
      </c>
      <c r="N910" s="22" t="n">
        <f aca="false">MATCH(M910,'Tabela Passaro'!$A$2:$A$1795,0)</f>
        <v>690</v>
      </c>
      <c r="O910" s="22" t="str">
        <f aca="false">INDEX('Tabela Passaro'!$C$2:$C$1795,$N910)</f>
        <v>SOBRAL</v>
      </c>
      <c r="P910" s="22" t="str">
        <f aca="false">INDEX('Tabela Passaro'!$B$2:$B$1795,$N910)</f>
        <v>CE</v>
      </c>
      <c r="Q910" s="22" t="n">
        <f aca="false">INDEX('Tabela Passaro'!$F$2:$F$1795,$N910)</f>
        <v>14</v>
      </c>
      <c r="R910" s="32" t="n">
        <f aca="false">IF(J910&lt;=10,INDEX('Tabela Passaro'!$G$2:$G$1795,$N910),IF(J910&lt;=30,INDEX('Tabela Passaro'!$H$2:$H$1795,$N910),IF(J910&lt;=50,INDEX('Tabela Passaro'!$I$2:$I$1795,$N910),IF(J910&lt;=70,INDEX('Tabela Passaro'!$J$2:$J$1795,$N910),IF(J910&lt;=100,INDEX('Tabela Passaro'!$K$2:$K$1795,$N910),INDEX('Tabela Passaro'!$K$2:$K$1795,$N910)+(J910-100)*INDEX('Tabela Passaro'!$L$2:$L$1795,$N910))))))</f>
        <v>277.596</v>
      </c>
      <c r="S910" s="32" t="n">
        <f aca="false">K910*INDEX('Tabela Passaro'!$M$2:$M$1795,$N910)</f>
        <v>9.2617</v>
      </c>
      <c r="T910" s="32" t="n">
        <f aca="false">K910*INDEX('Tabela Passaro'!$N$2:$N$1795,$N910)</f>
        <v>3.70468</v>
      </c>
      <c r="U910" s="32" t="n">
        <f aca="false">INDEX('Tabela Passaro'!$O$2:$O$1795,$N910)</f>
        <v>5</v>
      </c>
      <c r="V910" s="32" t="n">
        <f aca="false">ROUNDUP(J910/INDEX('Tabela Passaro'!$Q$2:$Q$1795,$N910),0)*INDEX('Tabela Passaro'!$P$2:$P$1795,$N910)</f>
        <v>10</v>
      </c>
      <c r="W910" s="32" t="n">
        <f aca="false">INDEX('Tabela Passaro'!$R$2:$R$1795,$N910)</f>
        <v>30</v>
      </c>
      <c r="X910" s="32" t="n">
        <f aca="false">ROUNDUP(J910/INDEX('Tabela Passaro'!$T$2:$T$1795,$N910),0)*INDEX('Tabela Passaro'!$S$2:$S$1795,$N910)</f>
        <v>0</v>
      </c>
      <c r="Y910" s="32" t="n">
        <f aca="false">INDEX('Tabela Passaro'!$U$2:$U$1795,$N910)</f>
        <v>0</v>
      </c>
      <c r="Z910" s="32" t="n">
        <f aca="false">INDEX('Tabela Passaro'!$V$2:$V$1795,$N910)</f>
        <v>0</v>
      </c>
      <c r="AA910" s="32" t="n">
        <f aca="false">SUM(R910:Z910)</f>
        <v>335.56238</v>
      </c>
      <c r="AB910" s="33" t="n">
        <f aca="false">INDEX(Premissas!$B$5:$B$13,MATCH(A910,Premissas!$A$5:$A$13,0))</f>
        <v>0.07</v>
      </c>
      <c r="AC910" s="32" t="n">
        <f aca="false">AA910/(1-AB910)-AA910</f>
        <v>25.2573834408602</v>
      </c>
      <c r="AD910" s="32" t="n">
        <f aca="false">ROUND(AA910+AC910,2)</f>
        <v>360.82</v>
      </c>
      <c r="AE910" s="32" t="n">
        <f aca="false">AD910-L910</f>
        <v>26.91</v>
      </c>
      <c r="AF910" s="34" t="n">
        <f aca="false">IF(L910=0,0,AE910/L910)</f>
        <v>0.0805905782995417</v>
      </c>
      <c r="AG910" s="22" t="str">
        <f aca="false">IF(AD910&lt;L910,"PASSARO","ATUAL")</f>
        <v>ATUAL</v>
      </c>
      <c r="AH910" s="22" t="str">
        <f aca="false">IF(P910&lt;&gt;A910,"Faixa cadastrada como "&amp;P910&amp;" na tabela; preço aplicado pela UF do CEP","")</f>
        <v/>
      </c>
      <c r="AI910" s="26" t="n">
        <v>423.35</v>
      </c>
      <c r="AJ910" s="22" t="str">
        <f aca="false">INDEX('Tabela Passaro'!$X$2:$X$1795,$N910)</f>
        <v>INTERIOR 2</v>
      </c>
    </row>
    <row r="911" customFormat="false" ht="15" hidden="false" customHeight="false" outlineLevel="0" collapsed="false">
      <c r="A911" s="22" t="s">
        <v>17</v>
      </c>
      <c r="B911" s="22" t="n">
        <v>7</v>
      </c>
      <c r="C911" s="22" t="s">
        <v>105</v>
      </c>
      <c r="D911" s="22" t="s">
        <v>30</v>
      </c>
      <c r="E911" s="22" t="s">
        <v>7328</v>
      </c>
      <c r="F911" s="22" t="n">
        <v>2316581</v>
      </c>
      <c r="G911" s="30" t="n">
        <v>46260</v>
      </c>
      <c r="H911" s="22" t="n">
        <v>135889</v>
      </c>
      <c r="I911" s="22" t="s">
        <v>8170</v>
      </c>
      <c r="J911" s="31" t="n">
        <v>39.9</v>
      </c>
      <c r="K911" s="26" t="n">
        <v>735.14</v>
      </c>
      <c r="L911" s="26" t="n">
        <v>191.5</v>
      </c>
      <c r="M911" s="22" t="s">
        <v>3011</v>
      </c>
      <c r="N911" s="22" t="n">
        <f aca="false">MATCH(M911,'Tabela Passaro'!$A$2:$A$1795,0)</f>
        <v>690</v>
      </c>
      <c r="O911" s="22" t="str">
        <f aca="false">INDEX('Tabela Passaro'!$C$2:$C$1795,$N911)</f>
        <v>SOBRAL</v>
      </c>
      <c r="P911" s="22" t="str">
        <f aca="false">INDEX('Tabela Passaro'!$B$2:$B$1795,$N911)</f>
        <v>CE</v>
      </c>
      <c r="Q911" s="22" t="n">
        <f aca="false">INDEX('Tabela Passaro'!$F$2:$F$1795,$N911)</f>
        <v>14</v>
      </c>
      <c r="R911" s="32" t="n">
        <f aca="false">IF(J911&lt;=10,INDEX('Tabela Passaro'!$G$2:$G$1795,$N911),IF(J911&lt;=30,INDEX('Tabela Passaro'!$H$2:$H$1795,$N911),IF(J911&lt;=50,INDEX('Tabela Passaro'!$I$2:$I$1795,$N911),IF(J911&lt;=70,INDEX('Tabela Passaro'!$J$2:$J$1795,$N911),IF(J911&lt;=100,INDEX('Tabela Passaro'!$K$2:$K$1795,$N911),INDEX('Tabela Passaro'!$K$2:$K$1795,$N911)+(J911-100)*INDEX('Tabela Passaro'!$L$2:$L$1795,$N911))))))</f>
        <v>226.84</v>
      </c>
      <c r="S911" s="32" t="n">
        <f aca="false">K911*INDEX('Tabela Passaro'!$M$2:$M$1795,$N911)</f>
        <v>3.6757</v>
      </c>
      <c r="T911" s="32" t="n">
        <f aca="false">K911*INDEX('Tabela Passaro'!$N$2:$N$1795,$N911)</f>
        <v>1.47028</v>
      </c>
      <c r="U911" s="32" t="n">
        <f aca="false">INDEX('Tabela Passaro'!$O$2:$O$1795,$N911)</f>
        <v>5</v>
      </c>
      <c r="V911" s="32" t="n">
        <f aca="false">ROUNDUP(J911/INDEX('Tabela Passaro'!$Q$2:$Q$1795,$N911),0)*INDEX('Tabela Passaro'!$P$2:$P$1795,$N911)</f>
        <v>5</v>
      </c>
      <c r="W911" s="32" t="n">
        <f aca="false">INDEX('Tabela Passaro'!$R$2:$R$1795,$N911)</f>
        <v>30</v>
      </c>
      <c r="X911" s="32" t="n">
        <f aca="false">ROUNDUP(J911/INDEX('Tabela Passaro'!$T$2:$T$1795,$N911),0)*INDEX('Tabela Passaro'!$S$2:$S$1795,$N911)</f>
        <v>0</v>
      </c>
      <c r="Y911" s="32" t="n">
        <f aca="false">INDEX('Tabela Passaro'!$U$2:$U$1795,$N911)</f>
        <v>0</v>
      </c>
      <c r="Z911" s="32" t="n">
        <f aca="false">INDEX('Tabela Passaro'!$V$2:$V$1795,$N911)</f>
        <v>0</v>
      </c>
      <c r="AA911" s="32" t="n">
        <f aca="false">SUM(R911:Z911)</f>
        <v>271.98598</v>
      </c>
      <c r="AB911" s="33" t="n">
        <f aca="false">INDEX(Premissas!$B$5:$B$13,MATCH(A911,Premissas!$A$5:$A$13,0))</f>
        <v>0.07</v>
      </c>
      <c r="AC911" s="32" t="n">
        <f aca="false">AA911/(1-AB911)-AA911</f>
        <v>20.4720630107527</v>
      </c>
      <c r="AD911" s="32" t="n">
        <f aca="false">ROUND(AA911+AC911,2)</f>
        <v>292.46</v>
      </c>
      <c r="AE911" s="32" t="n">
        <f aca="false">AD911-L911</f>
        <v>100.96</v>
      </c>
      <c r="AF911" s="34" t="n">
        <f aca="false">IF(L911=0,0,AE911/L911)</f>
        <v>0.527206266318538</v>
      </c>
      <c r="AG911" s="22" t="str">
        <f aca="false">IF(AD911&lt;L911,"PASSARO","ATUAL")</f>
        <v>ATUAL</v>
      </c>
      <c r="AH911" s="22" t="str">
        <f aca="false">IF(P911&lt;&gt;A911,"Faixa cadastrada como "&amp;P911&amp;" na tabela; preço aplicado pela UF do CEP","")</f>
        <v/>
      </c>
      <c r="AI911" s="26" t="n">
        <v>315.48</v>
      </c>
      <c r="AJ911" s="22" t="str">
        <f aca="false">INDEX('Tabela Passaro'!$X$2:$X$1795,$N911)</f>
        <v>INTERIOR 2</v>
      </c>
    </row>
    <row r="912" customFormat="false" ht="15" hidden="false" customHeight="false" outlineLevel="0" collapsed="false">
      <c r="A912" s="22" t="s">
        <v>17</v>
      </c>
      <c r="B912" s="22" t="n">
        <v>7</v>
      </c>
      <c r="C912" s="22" t="s">
        <v>105</v>
      </c>
      <c r="D912" s="22" t="s">
        <v>30</v>
      </c>
      <c r="E912" s="22" t="s">
        <v>20</v>
      </c>
      <c r="F912" s="22" t="n">
        <v>840615</v>
      </c>
      <c r="G912" s="30" t="n">
        <v>46265</v>
      </c>
      <c r="H912" s="22" t="n">
        <v>32815</v>
      </c>
      <c r="I912" s="22" t="s">
        <v>8171</v>
      </c>
      <c r="J912" s="31" t="n">
        <v>127.5</v>
      </c>
      <c r="K912" s="26" t="n">
        <v>1672.46</v>
      </c>
      <c r="L912" s="26" t="n">
        <v>352.23</v>
      </c>
      <c r="M912" s="22" t="s">
        <v>3011</v>
      </c>
      <c r="N912" s="22" t="n">
        <f aca="false">MATCH(M912,'Tabela Passaro'!$A$2:$A$1795,0)</f>
        <v>690</v>
      </c>
      <c r="O912" s="22" t="str">
        <f aca="false">INDEX('Tabela Passaro'!$C$2:$C$1795,$N912)</f>
        <v>SOBRAL</v>
      </c>
      <c r="P912" s="22" t="str">
        <f aca="false">INDEX('Tabela Passaro'!$B$2:$B$1795,$N912)</f>
        <v>CE</v>
      </c>
      <c r="Q912" s="22" t="n">
        <f aca="false">INDEX('Tabela Passaro'!$F$2:$F$1795,$N912)</f>
        <v>14</v>
      </c>
      <c r="R912" s="32" t="n">
        <f aca="false">IF(J912&lt;=10,INDEX('Tabela Passaro'!$G$2:$G$1795,$N912),IF(J912&lt;=30,INDEX('Tabela Passaro'!$H$2:$H$1795,$N912),IF(J912&lt;=50,INDEX('Tabela Passaro'!$I$2:$I$1795,$N912),IF(J912&lt;=70,INDEX('Tabela Passaro'!$J$2:$J$1795,$N912),IF(J912&lt;=100,INDEX('Tabela Passaro'!$K$2:$K$1795,$N912),INDEX('Tabela Passaro'!$K$2:$K$1795,$N912)+(J912-100)*INDEX('Tabela Passaro'!$L$2:$L$1795,$N912))))))</f>
        <v>322.74</v>
      </c>
      <c r="S912" s="32" t="n">
        <f aca="false">K912*INDEX('Tabela Passaro'!$M$2:$M$1795,$N912)</f>
        <v>8.3623</v>
      </c>
      <c r="T912" s="32" t="n">
        <f aca="false">K912*INDEX('Tabela Passaro'!$N$2:$N$1795,$N912)</f>
        <v>3.34492</v>
      </c>
      <c r="U912" s="32" t="n">
        <f aca="false">INDEX('Tabela Passaro'!$O$2:$O$1795,$N912)</f>
        <v>5</v>
      </c>
      <c r="V912" s="32" t="n">
        <f aca="false">ROUNDUP(J912/INDEX('Tabela Passaro'!$Q$2:$Q$1795,$N912),0)*INDEX('Tabela Passaro'!$P$2:$P$1795,$N912)</f>
        <v>10</v>
      </c>
      <c r="W912" s="32" t="n">
        <f aca="false">INDEX('Tabela Passaro'!$R$2:$R$1795,$N912)</f>
        <v>30</v>
      </c>
      <c r="X912" s="32" t="n">
        <f aca="false">ROUNDUP(J912/INDEX('Tabela Passaro'!$T$2:$T$1795,$N912),0)*INDEX('Tabela Passaro'!$S$2:$S$1795,$N912)</f>
        <v>0</v>
      </c>
      <c r="Y912" s="32" t="n">
        <f aca="false">INDEX('Tabela Passaro'!$U$2:$U$1795,$N912)</f>
        <v>0</v>
      </c>
      <c r="Z912" s="32" t="n">
        <f aca="false">INDEX('Tabela Passaro'!$V$2:$V$1795,$N912)</f>
        <v>0</v>
      </c>
      <c r="AA912" s="32" t="n">
        <f aca="false">SUM(R912:Z912)</f>
        <v>379.44722</v>
      </c>
      <c r="AB912" s="33" t="n">
        <f aca="false">INDEX(Premissas!$B$5:$B$13,MATCH(A912,Premissas!$A$5:$A$13,0))</f>
        <v>0.07</v>
      </c>
      <c r="AC912" s="32" t="n">
        <f aca="false">AA912/(1-AB912)-AA912</f>
        <v>28.5605434408603</v>
      </c>
      <c r="AD912" s="32" t="n">
        <f aca="false">ROUND(AA912+AC912,2)</f>
        <v>408.01</v>
      </c>
      <c r="AE912" s="32" t="n">
        <f aca="false">AD912-L912</f>
        <v>55.78</v>
      </c>
      <c r="AF912" s="34" t="n">
        <f aca="false">IF(L912=0,0,AE912/L912)</f>
        <v>0.158362433637112</v>
      </c>
      <c r="AG912" s="22" t="str">
        <f aca="false">IF(AD912&lt;L912,"PASSARO","ATUAL")</f>
        <v>ATUAL</v>
      </c>
      <c r="AH912" s="22" t="str">
        <f aca="false">IF(P912&lt;&gt;A912,"Faixa cadastrada como "&amp;P912&amp;" na tabela; preço aplicado pela UF do CEP","")</f>
        <v/>
      </c>
      <c r="AI912" s="26" t="n">
        <v>485.79</v>
      </c>
      <c r="AJ912" s="22" t="str">
        <f aca="false">INDEX('Tabela Passaro'!$X$2:$X$1795,$N912)</f>
        <v>INTERIOR 2</v>
      </c>
    </row>
    <row r="913" customFormat="false" ht="15" hidden="false" customHeight="false" outlineLevel="0" collapsed="false">
      <c r="A913" s="22" t="s">
        <v>17</v>
      </c>
      <c r="B913" s="22" t="n">
        <v>7</v>
      </c>
      <c r="C913" s="22" t="s">
        <v>105</v>
      </c>
      <c r="D913" s="22" t="s">
        <v>31</v>
      </c>
      <c r="E913" s="22" t="s">
        <v>7326</v>
      </c>
      <c r="F913" s="22" t="n">
        <v>12766448</v>
      </c>
      <c r="G913" s="30" t="n">
        <v>46245</v>
      </c>
      <c r="H913" s="22" t="n">
        <v>622227</v>
      </c>
      <c r="I913" s="22" t="s">
        <v>8172</v>
      </c>
      <c r="J913" s="31" t="n">
        <v>22.4</v>
      </c>
      <c r="K913" s="26" t="n">
        <v>618.93</v>
      </c>
      <c r="L913" s="26" t="n">
        <v>95.78</v>
      </c>
      <c r="M913" s="22" t="s">
        <v>3011</v>
      </c>
      <c r="N913" s="22" t="n">
        <f aca="false">MATCH(M913,'Tabela Passaro'!$A$2:$A$1795,0)</f>
        <v>690</v>
      </c>
      <c r="O913" s="22" t="str">
        <f aca="false">INDEX('Tabela Passaro'!$C$2:$C$1795,$N913)</f>
        <v>SOBRAL</v>
      </c>
      <c r="P913" s="22" t="str">
        <f aca="false">INDEX('Tabela Passaro'!$B$2:$B$1795,$N913)</f>
        <v>CE</v>
      </c>
      <c r="Q913" s="22" t="n">
        <f aca="false">INDEX('Tabela Passaro'!$F$2:$F$1795,$N913)</f>
        <v>14</v>
      </c>
      <c r="R913" s="32" t="n">
        <f aca="false">IF(J913&lt;=10,INDEX('Tabela Passaro'!$G$2:$G$1795,$N913),IF(J913&lt;=30,INDEX('Tabela Passaro'!$H$2:$H$1795,$N913),IF(J913&lt;=50,INDEX('Tabela Passaro'!$I$2:$I$1795,$N913),IF(J913&lt;=70,INDEX('Tabela Passaro'!$J$2:$J$1795,$N913),IF(J913&lt;=100,INDEX('Tabela Passaro'!$K$2:$K$1795,$N913),INDEX('Tabela Passaro'!$K$2:$K$1795,$N913)+(J913-100)*INDEX('Tabela Passaro'!$L$2:$L$1795,$N913))))))</f>
        <v>204.71</v>
      </c>
      <c r="S913" s="32" t="n">
        <f aca="false">K913*INDEX('Tabela Passaro'!$M$2:$M$1795,$N913)</f>
        <v>3.09465</v>
      </c>
      <c r="T913" s="32" t="n">
        <f aca="false">K913*INDEX('Tabela Passaro'!$N$2:$N$1795,$N913)</f>
        <v>1.23786</v>
      </c>
      <c r="U913" s="32" t="n">
        <f aca="false">INDEX('Tabela Passaro'!$O$2:$O$1795,$N913)</f>
        <v>5</v>
      </c>
      <c r="V913" s="32" t="n">
        <f aca="false">ROUNDUP(J913/INDEX('Tabela Passaro'!$Q$2:$Q$1795,$N913),0)*INDEX('Tabela Passaro'!$P$2:$P$1795,$N913)</f>
        <v>5</v>
      </c>
      <c r="W913" s="32" t="n">
        <f aca="false">INDEX('Tabela Passaro'!$R$2:$R$1795,$N913)</f>
        <v>30</v>
      </c>
      <c r="X913" s="32" t="n">
        <f aca="false">ROUNDUP(J913/INDEX('Tabela Passaro'!$T$2:$T$1795,$N913),0)*INDEX('Tabela Passaro'!$S$2:$S$1795,$N913)</f>
        <v>0</v>
      </c>
      <c r="Y913" s="32" t="n">
        <f aca="false">INDEX('Tabela Passaro'!$U$2:$U$1795,$N913)</f>
        <v>0</v>
      </c>
      <c r="Z913" s="32" t="n">
        <f aca="false">INDEX('Tabela Passaro'!$V$2:$V$1795,$N913)</f>
        <v>0</v>
      </c>
      <c r="AA913" s="32" t="n">
        <f aca="false">SUM(R913:Z913)</f>
        <v>249.04251</v>
      </c>
      <c r="AB913" s="33" t="n">
        <f aca="false">INDEX(Premissas!$B$5:$B$13,MATCH(A913,Premissas!$A$5:$A$13,0))</f>
        <v>0.07</v>
      </c>
      <c r="AC913" s="32" t="n">
        <f aca="false">AA913/(1-AB913)-AA913</f>
        <v>18.7451351612903</v>
      </c>
      <c r="AD913" s="32" t="n">
        <f aca="false">ROUND(AA913+AC913,2)</f>
        <v>267.79</v>
      </c>
      <c r="AE913" s="32" t="n">
        <f aca="false">AD913-L913</f>
        <v>172.01</v>
      </c>
      <c r="AF913" s="34" t="n">
        <f aca="false">IF(L913=0,0,AE913/L913)</f>
        <v>1.79588640634788</v>
      </c>
      <c r="AG913" s="22" t="str">
        <f aca="false">IF(AD913&lt;L913,"PASSARO","ATUAL")</f>
        <v>ATUAL</v>
      </c>
      <c r="AH913" s="22" t="str">
        <f aca="false">IF(P913&lt;&gt;A913,"Faixa cadastrada como "&amp;P913&amp;" na tabela; preço aplicado pela UF do CEP","")</f>
        <v/>
      </c>
      <c r="AI913" s="26" t="n">
        <v>281.09</v>
      </c>
      <c r="AJ913" s="22" t="str">
        <f aca="false">INDEX('Tabela Passaro'!$X$2:$X$1795,$N913)</f>
        <v>INTERIOR 2</v>
      </c>
    </row>
    <row r="914" customFormat="false" ht="15" hidden="false" customHeight="false" outlineLevel="0" collapsed="false">
      <c r="A914" s="22" t="s">
        <v>17</v>
      </c>
      <c r="B914" s="22" t="n">
        <v>8</v>
      </c>
      <c r="C914" s="22" t="s">
        <v>107</v>
      </c>
      <c r="D914" s="22" t="s">
        <v>33</v>
      </c>
      <c r="E914" s="22" t="s">
        <v>7326</v>
      </c>
      <c r="F914" s="22" t="n">
        <v>350112</v>
      </c>
      <c r="G914" s="30" t="n">
        <v>46255</v>
      </c>
      <c r="H914" s="22" t="n">
        <v>627480</v>
      </c>
      <c r="I914" s="22" t="s">
        <v>8173</v>
      </c>
      <c r="J914" s="31" t="n">
        <v>107.8</v>
      </c>
      <c r="K914" s="26" t="n">
        <v>2069.9</v>
      </c>
      <c r="L914" s="26" t="n">
        <v>450.13</v>
      </c>
      <c r="M914" s="22" t="s">
        <v>2434</v>
      </c>
      <c r="N914" s="22" t="n">
        <f aca="false">MATCH(M914,'Tabela Passaro'!$A$2:$A$1795,0)</f>
        <v>544</v>
      </c>
      <c r="O914" s="22" t="str">
        <f aca="false">INDEX('Tabela Passaro'!$C$2:$C$1795,$N914)</f>
        <v>ITAITINGA</v>
      </c>
      <c r="P914" s="22" t="str">
        <f aca="false">INDEX('Tabela Passaro'!$B$2:$B$1795,$N914)</f>
        <v>CE</v>
      </c>
      <c r="Q914" s="22" t="n">
        <f aca="false">INDEX('Tabela Passaro'!$F$2:$F$1795,$N914)</f>
        <v>12</v>
      </c>
      <c r="R914" s="32" t="n">
        <f aca="false">IF(J914&lt;=10,INDEX('Tabela Passaro'!$G$2:$G$1795,$N914),IF(J914&lt;=30,INDEX('Tabela Passaro'!$H$2:$H$1795,$N914),IF(J914&lt;=50,INDEX('Tabela Passaro'!$I$2:$I$1795,$N914),IF(J914&lt;=70,INDEX('Tabela Passaro'!$J$2:$J$1795,$N914),IF(J914&lt;=100,INDEX('Tabela Passaro'!$K$2:$K$1795,$N914),INDEX('Tabela Passaro'!$K$2:$K$1795,$N914)+(J914-100)*INDEX('Tabela Passaro'!$L$2:$L$1795,$N914))))))</f>
        <v>225.488</v>
      </c>
      <c r="S914" s="32" t="n">
        <f aca="false">K914*INDEX('Tabela Passaro'!$M$2:$M$1795,$N914)</f>
        <v>10.3495</v>
      </c>
      <c r="T914" s="32" t="n">
        <f aca="false">K914*INDEX('Tabela Passaro'!$N$2:$N$1795,$N914)</f>
        <v>4.1398</v>
      </c>
      <c r="U914" s="32" t="n">
        <f aca="false">INDEX('Tabela Passaro'!$O$2:$O$1795,$N914)</f>
        <v>5</v>
      </c>
      <c r="V914" s="32" t="n">
        <f aca="false">ROUNDUP(J914/INDEX('Tabela Passaro'!$Q$2:$Q$1795,$N914),0)*INDEX('Tabela Passaro'!$P$2:$P$1795,$N914)</f>
        <v>10</v>
      </c>
      <c r="W914" s="32" t="n">
        <f aca="false">INDEX('Tabela Passaro'!$R$2:$R$1795,$N914)</f>
        <v>30</v>
      </c>
      <c r="X914" s="32" t="n">
        <f aca="false">ROUNDUP(J914/INDEX('Tabela Passaro'!$T$2:$T$1795,$N914),0)*INDEX('Tabela Passaro'!$S$2:$S$1795,$N914)</f>
        <v>0</v>
      </c>
      <c r="Y914" s="32" t="n">
        <f aca="false">INDEX('Tabela Passaro'!$U$2:$U$1795,$N914)</f>
        <v>0</v>
      </c>
      <c r="Z914" s="32" t="n">
        <f aca="false">INDEX('Tabela Passaro'!$V$2:$V$1795,$N914)</f>
        <v>0</v>
      </c>
      <c r="AA914" s="32" t="n">
        <f aca="false">SUM(R914:Z914)</f>
        <v>284.9773</v>
      </c>
      <c r="AB914" s="33" t="n">
        <f aca="false">INDEX(Premissas!$B$5:$B$13,MATCH(A914,Premissas!$A$5:$A$13,0))</f>
        <v>0.07</v>
      </c>
      <c r="AC914" s="32" t="n">
        <f aca="false">AA914/(1-AB914)-AA914</f>
        <v>21.4499043010753</v>
      </c>
      <c r="AD914" s="32" t="n">
        <f aca="false">ROUND(AA914+AC914,2)</f>
        <v>306.43</v>
      </c>
      <c r="AE914" s="32" t="n">
        <f aca="false">AD914-L914</f>
        <v>-143.7</v>
      </c>
      <c r="AF914" s="34" t="n">
        <f aca="false">IF(L914=0,0,AE914/L914)</f>
        <v>-0.31924110812432</v>
      </c>
      <c r="AG914" s="22" t="str">
        <f aca="false">IF(AD914&lt;L914,"PASSARO","ATUAL")</f>
        <v>PASSARO</v>
      </c>
      <c r="AH914" s="22" t="str">
        <f aca="false">IF(P914&lt;&gt;A914,"Faixa cadastrada como "&amp;P914&amp;" na tabela; preço aplicado pela UF do CEP","")</f>
        <v/>
      </c>
      <c r="AI914" s="26" t="n">
        <v>366.41</v>
      </c>
      <c r="AJ914" s="22" t="str">
        <f aca="false">INDEX('Tabela Passaro'!$X$2:$X$1795,$N914)</f>
        <v>INTERIOR 1</v>
      </c>
    </row>
    <row r="915" customFormat="false" ht="15" hidden="false" customHeight="false" outlineLevel="0" collapsed="false">
      <c r="A915" s="22" t="s">
        <v>17</v>
      </c>
      <c r="B915" s="22" t="n">
        <v>8</v>
      </c>
      <c r="C915" s="22" t="s">
        <v>107</v>
      </c>
      <c r="D915" s="22" t="s">
        <v>30</v>
      </c>
      <c r="E915" s="22" t="s">
        <v>20</v>
      </c>
      <c r="F915" s="22" t="n">
        <v>838973</v>
      </c>
      <c r="G915" s="30" t="n">
        <v>46247</v>
      </c>
      <c r="H915" s="22" t="n">
        <v>32502</v>
      </c>
      <c r="I915" s="22" t="s">
        <v>8174</v>
      </c>
      <c r="J915" s="31" t="n">
        <v>66.5</v>
      </c>
      <c r="K915" s="26" t="n">
        <v>1062.54</v>
      </c>
      <c r="L915" s="26" t="n">
        <v>260.11</v>
      </c>
      <c r="M915" s="22" t="s">
        <v>2434</v>
      </c>
      <c r="N915" s="22" t="n">
        <f aca="false">MATCH(M915,'Tabela Passaro'!$A$2:$A$1795,0)</f>
        <v>544</v>
      </c>
      <c r="O915" s="22" t="str">
        <f aca="false">INDEX('Tabela Passaro'!$C$2:$C$1795,$N915)</f>
        <v>ITAITINGA</v>
      </c>
      <c r="P915" s="22" t="str">
        <f aca="false">INDEX('Tabela Passaro'!$B$2:$B$1795,$N915)</f>
        <v>CE</v>
      </c>
      <c r="Q915" s="22" t="n">
        <f aca="false">INDEX('Tabela Passaro'!$F$2:$F$1795,$N915)</f>
        <v>12</v>
      </c>
      <c r="R915" s="32" t="n">
        <f aca="false">IF(J915&lt;=10,INDEX('Tabela Passaro'!$G$2:$G$1795,$N915),IF(J915&lt;=30,INDEX('Tabela Passaro'!$H$2:$H$1795,$N915),IF(J915&lt;=50,INDEX('Tabela Passaro'!$I$2:$I$1795,$N915),IF(J915&lt;=70,INDEX('Tabela Passaro'!$J$2:$J$1795,$N915),IF(J915&lt;=100,INDEX('Tabela Passaro'!$K$2:$K$1795,$N915),INDEX('Tabela Passaro'!$K$2:$K$1795,$N915)+(J915-100)*INDEX('Tabela Passaro'!$L$2:$L$1795,$N915))))))</f>
        <v>192.82</v>
      </c>
      <c r="S915" s="32" t="n">
        <f aca="false">K915*INDEX('Tabela Passaro'!$M$2:$M$1795,$N915)</f>
        <v>5.3127</v>
      </c>
      <c r="T915" s="32" t="n">
        <f aca="false">K915*INDEX('Tabela Passaro'!$N$2:$N$1795,$N915)</f>
        <v>2.12508</v>
      </c>
      <c r="U915" s="32" t="n">
        <f aca="false">INDEX('Tabela Passaro'!$O$2:$O$1795,$N915)</f>
        <v>5</v>
      </c>
      <c r="V915" s="32" t="n">
        <f aca="false">ROUNDUP(J915/INDEX('Tabela Passaro'!$Q$2:$Q$1795,$N915),0)*INDEX('Tabela Passaro'!$P$2:$P$1795,$N915)</f>
        <v>5</v>
      </c>
      <c r="W915" s="32" t="n">
        <f aca="false">INDEX('Tabela Passaro'!$R$2:$R$1795,$N915)</f>
        <v>30</v>
      </c>
      <c r="X915" s="32" t="n">
        <f aca="false">ROUNDUP(J915/INDEX('Tabela Passaro'!$T$2:$T$1795,$N915),0)*INDEX('Tabela Passaro'!$S$2:$S$1795,$N915)</f>
        <v>0</v>
      </c>
      <c r="Y915" s="32" t="n">
        <f aca="false">INDEX('Tabela Passaro'!$U$2:$U$1795,$N915)</f>
        <v>0</v>
      </c>
      <c r="Z915" s="32" t="n">
        <f aca="false">INDEX('Tabela Passaro'!$V$2:$V$1795,$N915)</f>
        <v>0</v>
      </c>
      <c r="AA915" s="32" t="n">
        <f aca="false">SUM(R915:Z915)</f>
        <v>240.25778</v>
      </c>
      <c r="AB915" s="33" t="n">
        <f aca="false">INDEX(Premissas!$B$5:$B$13,MATCH(A915,Premissas!$A$5:$A$13,0))</f>
        <v>0.07</v>
      </c>
      <c r="AC915" s="32" t="n">
        <f aca="false">AA915/(1-AB915)-AA915</f>
        <v>18.0839189247312</v>
      </c>
      <c r="AD915" s="32" t="n">
        <f aca="false">ROUND(AA915+AC915,2)</f>
        <v>258.34</v>
      </c>
      <c r="AE915" s="32" t="n">
        <f aca="false">AD915-L915</f>
        <v>-1.77000000000004</v>
      </c>
      <c r="AF915" s="34" t="n">
        <f aca="false">IF(L915=0,0,AE915/L915)</f>
        <v>-0.00680481334819899</v>
      </c>
      <c r="AG915" s="22" t="str">
        <f aca="false">IF(AD915&lt;L915,"PASSARO","ATUAL")</f>
        <v>PASSARO</v>
      </c>
      <c r="AH915" s="22" t="str">
        <f aca="false">IF(P915&lt;&gt;A915,"Faixa cadastrada como "&amp;P915&amp;" na tabela; preço aplicado pela UF do CEP","")</f>
        <v/>
      </c>
      <c r="AI915" s="26" t="n">
        <v>293.21</v>
      </c>
      <c r="AJ915" s="22" t="str">
        <f aca="false">INDEX('Tabela Passaro'!$X$2:$X$1795,$N915)</f>
        <v>INTERIOR 1</v>
      </c>
    </row>
    <row r="916" customFormat="false" ht="15" hidden="false" customHeight="false" outlineLevel="0" collapsed="false">
      <c r="A916" s="22" t="s">
        <v>17</v>
      </c>
      <c r="B916" s="22" t="n">
        <v>8</v>
      </c>
      <c r="C916" s="22" t="s">
        <v>107</v>
      </c>
      <c r="D916" s="22" t="s">
        <v>30</v>
      </c>
      <c r="E916" s="22" t="s">
        <v>7328</v>
      </c>
      <c r="F916" s="22" t="n">
        <v>2313800</v>
      </c>
      <c r="G916" s="30" t="n">
        <v>46253</v>
      </c>
      <c r="H916" s="22" t="n">
        <v>133892</v>
      </c>
      <c r="I916" s="22" t="s">
        <v>8175</v>
      </c>
      <c r="J916" s="31" t="n">
        <v>22.09</v>
      </c>
      <c r="K916" s="26" t="n">
        <v>484.48</v>
      </c>
      <c r="L916" s="26" t="n">
        <v>150.47</v>
      </c>
      <c r="M916" s="22" t="s">
        <v>2434</v>
      </c>
      <c r="N916" s="22" t="n">
        <f aca="false">MATCH(M916,'Tabela Passaro'!$A$2:$A$1795,0)</f>
        <v>544</v>
      </c>
      <c r="O916" s="22" t="str">
        <f aca="false">INDEX('Tabela Passaro'!$C$2:$C$1795,$N916)</f>
        <v>ITAITINGA</v>
      </c>
      <c r="P916" s="22" t="str">
        <f aca="false">INDEX('Tabela Passaro'!$B$2:$B$1795,$N916)</f>
        <v>CE</v>
      </c>
      <c r="Q916" s="22" t="n">
        <f aca="false">INDEX('Tabela Passaro'!$F$2:$F$1795,$N916)</f>
        <v>12</v>
      </c>
      <c r="R916" s="32" t="n">
        <f aca="false">IF(J916&lt;=10,INDEX('Tabela Passaro'!$G$2:$G$1795,$N916),IF(J916&lt;=30,INDEX('Tabela Passaro'!$H$2:$H$1795,$N916),IF(J916&lt;=50,INDEX('Tabela Passaro'!$I$2:$I$1795,$N916),IF(J916&lt;=70,INDEX('Tabela Passaro'!$J$2:$J$1795,$N916),IF(J916&lt;=100,INDEX('Tabela Passaro'!$K$2:$K$1795,$N916),INDEX('Tabela Passaro'!$K$2:$K$1795,$N916)+(J916-100)*INDEX('Tabela Passaro'!$L$2:$L$1795,$N916))))))</f>
        <v>154.09</v>
      </c>
      <c r="S916" s="32" t="n">
        <f aca="false">K916*INDEX('Tabela Passaro'!$M$2:$M$1795,$N916)</f>
        <v>2.4224</v>
      </c>
      <c r="T916" s="32" t="n">
        <f aca="false">K916*INDEX('Tabela Passaro'!$N$2:$N$1795,$N916)</f>
        <v>0.96896</v>
      </c>
      <c r="U916" s="32" t="n">
        <f aca="false">INDEX('Tabela Passaro'!$O$2:$O$1795,$N916)</f>
        <v>5</v>
      </c>
      <c r="V916" s="32" t="n">
        <f aca="false">ROUNDUP(J916/INDEX('Tabela Passaro'!$Q$2:$Q$1795,$N916),0)*INDEX('Tabela Passaro'!$P$2:$P$1795,$N916)</f>
        <v>5</v>
      </c>
      <c r="W916" s="32" t="n">
        <f aca="false">INDEX('Tabela Passaro'!$R$2:$R$1795,$N916)</f>
        <v>30</v>
      </c>
      <c r="X916" s="32" t="n">
        <f aca="false">ROUNDUP(J916/INDEX('Tabela Passaro'!$T$2:$T$1795,$N916),0)*INDEX('Tabela Passaro'!$S$2:$S$1795,$N916)</f>
        <v>0</v>
      </c>
      <c r="Y916" s="32" t="n">
        <f aca="false">INDEX('Tabela Passaro'!$U$2:$U$1795,$N916)</f>
        <v>0</v>
      </c>
      <c r="Z916" s="32" t="n">
        <f aca="false">INDEX('Tabela Passaro'!$V$2:$V$1795,$N916)</f>
        <v>0</v>
      </c>
      <c r="AA916" s="32" t="n">
        <f aca="false">SUM(R916:Z916)</f>
        <v>197.48136</v>
      </c>
      <c r="AB916" s="33" t="n">
        <f aca="false">INDEX(Premissas!$B$5:$B$13,MATCH(A916,Premissas!$A$5:$A$13,0))</f>
        <v>0.07</v>
      </c>
      <c r="AC916" s="32" t="n">
        <f aca="false">AA916/(1-AB916)-AA916</f>
        <v>14.8641883870968</v>
      </c>
      <c r="AD916" s="32" t="n">
        <f aca="false">ROUND(AA916+AC916,2)</f>
        <v>212.35</v>
      </c>
      <c r="AE916" s="32" t="n">
        <f aca="false">AD916-L916</f>
        <v>61.88</v>
      </c>
      <c r="AF916" s="34" t="n">
        <f aca="false">IF(L916=0,0,AE916/L916)</f>
        <v>0.411244766398618</v>
      </c>
      <c r="AG916" s="22" t="str">
        <f aca="false">IF(AD916&lt;L916,"PASSARO","ATUAL")</f>
        <v>ATUAL</v>
      </c>
      <c r="AH916" s="22" t="str">
        <f aca="false">IF(P916&lt;&gt;A916,"Faixa cadastrada como "&amp;P916&amp;" na tabela; preço aplicado pela UF do CEP","")</f>
        <v/>
      </c>
      <c r="AI916" s="26" t="n">
        <v>222.48</v>
      </c>
      <c r="AJ916" s="22" t="str">
        <f aca="false">INDEX('Tabela Passaro'!$X$2:$X$1795,$N916)</f>
        <v>INTERIOR 1</v>
      </c>
    </row>
    <row r="917" customFormat="false" ht="15" hidden="false" customHeight="false" outlineLevel="0" collapsed="false">
      <c r="A917" s="22" t="s">
        <v>17</v>
      </c>
      <c r="B917" s="22" t="n">
        <v>8</v>
      </c>
      <c r="C917" s="22" t="s">
        <v>107</v>
      </c>
      <c r="D917" s="22" t="s">
        <v>30</v>
      </c>
      <c r="E917" s="22" t="s">
        <v>7328</v>
      </c>
      <c r="F917" s="22" t="n">
        <v>2315754</v>
      </c>
      <c r="G917" s="30" t="n">
        <v>46258</v>
      </c>
      <c r="H917" s="22" t="n">
        <v>134914</v>
      </c>
      <c r="I917" s="22" t="s">
        <v>8176</v>
      </c>
      <c r="J917" s="31" t="n">
        <v>29.2</v>
      </c>
      <c r="K917" s="26" t="n">
        <v>559.97</v>
      </c>
      <c r="L917" s="26" t="n">
        <v>151.08</v>
      </c>
      <c r="M917" s="22" t="s">
        <v>2434</v>
      </c>
      <c r="N917" s="22" t="n">
        <f aca="false">MATCH(M917,'Tabela Passaro'!$A$2:$A$1795,0)</f>
        <v>544</v>
      </c>
      <c r="O917" s="22" t="str">
        <f aca="false">INDEX('Tabela Passaro'!$C$2:$C$1795,$N917)</f>
        <v>ITAITINGA</v>
      </c>
      <c r="P917" s="22" t="str">
        <f aca="false">INDEX('Tabela Passaro'!$B$2:$B$1795,$N917)</f>
        <v>CE</v>
      </c>
      <c r="Q917" s="22" t="n">
        <f aca="false">INDEX('Tabela Passaro'!$F$2:$F$1795,$N917)</f>
        <v>12</v>
      </c>
      <c r="R917" s="32" t="n">
        <f aca="false">IF(J917&lt;=10,INDEX('Tabela Passaro'!$G$2:$G$1795,$N917),IF(J917&lt;=30,INDEX('Tabela Passaro'!$H$2:$H$1795,$N917),IF(J917&lt;=50,INDEX('Tabela Passaro'!$I$2:$I$1795,$N917),IF(J917&lt;=70,INDEX('Tabela Passaro'!$J$2:$J$1795,$N917),IF(J917&lt;=100,INDEX('Tabela Passaro'!$K$2:$K$1795,$N917),INDEX('Tabela Passaro'!$K$2:$K$1795,$N917)+(J917-100)*INDEX('Tabela Passaro'!$L$2:$L$1795,$N917))))))</f>
        <v>154.09</v>
      </c>
      <c r="S917" s="32" t="n">
        <f aca="false">K917*INDEX('Tabela Passaro'!$M$2:$M$1795,$N917)</f>
        <v>2.79985</v>
      </c>
      <c r="T917" s="32" t="n">
        <f aca="false">K917*INDEX('Tabela Passaro'!$N$2:$N$1795,$N917)</f>
        <v>1.11994</v>
      </c>
      <c r="U917" s="32" t="n">
        <f aca="false">INDEX('Tabela Passaro'!$O$2:$O$1795,$N917)</f>
        <v>5</v>
      </c>
      <c r="V917" s="32" t="n">
        <f aca="false">ROUNDUP(J917/INDEX('Tabela Passaro'!$Q$2:$Q$1795,$N917),0)*INDEX('Tabela Passaro'!$P$2:$P$1795,$N917)</f>
        <v>5</v>
      </c>
      <c r="W917" s="32" t="n">
        <f aca="false">INDEX('Tabela Passaro'!$R$2:$R$1795,$N917)</f>
        <v>30</v>
      </c>
      <c r="X917" s="32" t="n">
        <f aca="false">ROUNDUP(J917/INDEX('Tabela Passaro'!$T$2:$T$1795,$N917),0)*INDEX('Tabela Passaro'!$S$2:$S$1795,$N917)</f>
        <v>0</v>
      </c>
      <c r="Y917" s="32" t="n">
        <f aca="false">INDEX('Tabela Passaro'!$U$2:$U$1795,$N917)</f>
        <v>0</v>
      </c>
      <c r="Z917" s="32" t="n">
        <f aca="false">INDEX('Tabela Passaro'!$V$2:$V$1795,$N917)</f>
        <v>0</v>
      </c>
      <c r="AA917" s="32" t="n">
        <f aca="false">SUM(R917:Z917)</f>
        <v>198.00979</v>
      </c>
      <c r="AB917" s="33" t="n">
        <f aca="false">INDEX(Premissas!$B$5:$B$13,MATCH(A917,Premissas!$A$5:$A$13,0))</f>
        <v>0.07</v>
      </c>
      <c r="AC917" s="32" t="n">
        <f aca="false">AA917/(1-AB917)-AA917</f>
        <v>14.9039626881721</v>
      </c>
      <c r="AD917" s="32" t="n">
        <f aca="false">ROUND(AA917+AC917,2)</f>
        <v>212.91</v>
      </c>
      <c r="AE917" s="32" t="n">
        <f aca="false">AD917-L917</f>
        <v>61.83</v>
      </c>
      <c r="AF917" s="34" t="n">
        <f aca="false">IF(L917=0,0,AE917/L917)</f>
        <v>0.409253375694996</v>
      </c>
      <c r="AG917" s="22" t="str">
        <f aca="false">IF(AD917&lt;L917,"PASSARO","ATUAL")</f>
        <v>ATUAL</v>
      </c>
      <c r="AH917" s="22" t="str">
        <f aca="false">IF(P917&lt;&gt;A917,"Faixa cadastrada como "&amp;P917&amp;" na tabela; preço aplicado pela UF do CEP","")</f>
        <v/>
      </c>
      <c r="AI917" s="26" t="n">
        <v>226.6</v>
      </c>
      <c r="AJ917" s="22" t="str">
        <f aca="false">INDEX('Tabela Passaro'!$X$2:$X$1795,$N917)</f>
        <v>INTERIOR 1</v>
      </c>
    </row>
    <row r="918" customFormat="false" ht="15" hidden="false" customHeight="false" outlineLevel="0" collapsed="false">
      <c r="A918" s="22" t="s">
        <v>17</v>
      </c>
      <c r="B918" s="22" t="n">
        <v>8</v>
      </c>
      <c r="C918" s="22" t="s">
        <v>107</v>
      </c>
      <c r="D918" s="22" t="s">
        <v>30</v>
      </c>
      <c r="E918" s="22" t="s">
        <v>20</v>
      </c>
      <c r="F918" s="22" t="n">
        <v>840672</v>
      </c>
      <c r="G918" s="30" t="n">
        <v>46265</v>
      </c>
      <c r="H918" s="22" t="n">
        <v>32872</v>
      </c>
      <c r="I918" s="22" t="s">
        <v>8177</v>
      </c>
      <c r="J918" s="31" t="n">
        <v>19.4</v>
      </c>
      <c r="K918" s="26" t="n">
        <v>209.93</v>
      </c>
      <c r="L918" s="26" t="n">
        <v>142.15</v>
      </c>
      <c r="M918" s="22" t="s">
        <v>2434</v>
      </c>
      <c r="N918" s="22" t="n">
        <f aca="false">MATCH(M918,'Tabela Passaro'!$A$2:$A$1795,0)</f>
        <v>544</v>
      </c>
      <c r="O918" s="22" t="str">
        <f aca="false">INDEX('Tabela Passaro'!$C$2:$C$1795,$N918)</f>
        <v>ITAITINGA</v>
      </c>
      <c r="P918" s="22" t="str">
        <f aca="false">INDEX('Tabela Passaro'!$B$2:$B$1795,$N918)</f>
        <v>CE</v>
      </c>
      <c r="Q918" s="22" t="n">
        <f aca="false">INDEX('Tabela Passaro'!$F$2:$F$1795,$N918)</f>
        <v>12</v>
      </c>
      <c r="R918" s="32" t="n">
        <f aca="false">IF(J918&lt;=10,INDEX('Tabela Passaro'!$G$2:$G$1795,$N918),IF(J918&lt;=30,INDEX('Tabela Passaro'!$H$2:$H$1795,$N918),IF(J918&lt;=50,INDEX('Tabela Passaro'!$I$2:$I$1795,$N918),IF(J918&lt;=70,INDEX('Tabela Passaro'!$J$2:$J$1795,$N918),IF(J918&lt;=100,INDEX('Tabela Passaro'!$K$2:$K$1795,$N918),INDEX('Tabela Passaro'!$K$2:$K$1795,$N918)+(J918-100)*INDEX('Tabela Passaro'!$L$2:$L$1795,$N918))))))</f>
        <v>154.09</v>
      </c>
      <c r="S918" s="32" t="n">
        <f aca="false">K918*INDEX('Tabela Passaro'!$M$2:$M$1795,$N918)</f>
        <v>1.04965</v>
      </c>
      <c r="T918" s="32" t="n">
        <f aca="false">K918*INDEX('Tabela Passaro'!$N$2:$N$1795,$N918)</f>
        <v>0.41986</v>
      </c>
      <c r="U918" s="32" t="n">
        <f aca="false">INDEX('Tabela Passaro'!$O$2:$O$1795,$N918)</f>
        <v>5</v>
      </c>
      <c r="V918" s="32" t="n">
        <f aca="false">ROUNDUP(J918/INDEX('Tabela Passaro'!$Q$2:$Q$1795,$N918),0)*INDEX('Tabela Passaro'!$P$2:$P$1795,$N918)</f>
        <v>5</v>
      </c>
      <c r="W918" s="32" t="n">
        <f aca="false">INDEX('Tabela Passaro'!$R$2:$R$1795,$N918)</f>
        <v>30</v>
      </c>
      <c r="X918" s="32" t="n">
        <f aca="false">ROUNDUP(J918/INDEX('Tabela Passaro'!$T$2:$T$1795,$N918),0)*INDEX('Tabela Passaro'!$S$2:$S$1795,$N918)</f>
        <v>0</v>
      </c>
      <c r="Y918" s="32" t="n">
        <f aca="false">INDEX('Tabela Passaro'!$U$2:$U$1795,$N918)</f>
        <v>0</v>
      </c>
      <c r="Z918" s="32" t="n">
        <f aca="false">INDEX('Tabela Passaro'!$V$2:$V$1795,$N918)</f>
        <v>0</v>
      </c>
      <c r="AA918" s="32" t="n">
        <f aca="false">SUM(R918:Z918)</f>
        <v>195.55951</v>
      </c>
      <c r="AB918" s="33" t="n">
        <f aca="false">INDEX(Premissas!$B$5:$B$13,MATCH(A918,Premissas!$A$5:$A$13,0))</f>
        <v>0.07</v>
      </c>
      <c r="AC918" s="32" t="n">
        <f aca="false">AA918/(1-AB918)-AA918</f>
        <v>14.7195330107527</v>
      </c>
      <c r="AD918" s="32" t="n">
        <f aca="false">ROUND(AA918+AC918,2)</f>
        <v>210.28</v>
      </c>
      <c r="AE918" s="32" t="n">
        <f aca="false">AD918-L918</f>
        <v>68.13</v>
      </c>
      <c r="AF918" s="34" t="n">
        <f aca="false">IF(L918=0,0,AE918/L918)</f>
        <v>0.479282448118185</v>
      </c>
      <c r="AG918" s="22" t="str">
        <f aca="false">IF(AD918&lt;L918,"PASSARO","ATUAL")</f>
        <v>ATUAL</v>
      </c>
      <c r="AH918" s="22" t="str">
        <f aca="false">IF(P918&lt;&gt;A918,"Faixa cadastrada como "&amp;P918&amp;" na tabela; preço aplicado pela UF do CEP","")</f>
        <v/>
      </c>
      <c r="AI918" s="26" t="n">
        <v>218.38</v>
      </c>
      <c r="AJ918" s="22" t="str">
        <f aca="false">INDEX('Tabela Passaro'!$X$2:$X$1795,$N918)</f>
        <v>INTERIOR 1</v>
      </c>
    </row>
    <row r="919" customFormat="false" ht="15" hidden="false" customHeight="false" outlineLevel="0" collapsed="false">
      <c r="A919" s="22" t="s">
        <v>17</v>
      </c>
      <c r="B919" s="22" t="n">
        <v>8</v>
      </c>
      <c r="C919" s="22" t="s">
        <v>107</v>
      </c>
      <c r="D919" s="22" t="s">
        <v>34</v>
      </c>
      <c r="E919" s="22" t="s">
        <v>7399</v>
      </c>
      <c r="F919" s="22" t="n">
        <v>665124</v>
      </c>
      <c r="G919" s="30" t="n">
        <v>46254</v>
      </c>
      <c r="H919" s="22" t="n">
        <v>7669</v>
      </c>
      <c r="I919" s="22" t="s">
        <v>8178</v>
      </c>
      <c r="J919" s="31" t="n">
        <v>34.4</v>
      </c>
      <c r="K919" s="26" t="n">
        <v>607.97</v>
      </c>
      <c r="L919" s="26" t="n">
        <v>196.84</v>
      </c>
      <c r="M919" s="22" t="s">
        <v>2434</v>
      </c>
      <c r="N919" s="22" t="n">
        <f aca="false">MATCH(M919,'Tabela Passaro'!$A$2:$A$1795,0)</f>
        <v>544</v>
      </c>
      <c r="O919" s="22" t="str">
        <f aca="false">INDEX('Tabela Passaro'!$C$2:$C$1795,$N919)</f>
        <v>ITAITINGA</v>
      </c>
      <c r="P919" s="22" t="str">
        <f aca="false">INDEX('Tabela Passaro'!$B$2:$B$1795,$N919)</f>
        <v>CE</v>
      </c>
      <c r="Q919" s="22" t="n">
        <f aca="false">INDEX('Tabela Passaro'!$F$2:$F$1795,$N919)</f>
        <v>12</v>
      </c>
      <c r="R919" s="32" t="n">
        <f aca="false">IF(J919&lt;=10,INDEX('Tabela Passaro'!$G$2:$G$1795,$N919),IF(J919&lt;=30,INDEX('Tabela Passaro'!$H$2:$H$1795,$N919),IF(J919&lt;=50,INDEX('Tabela Passaro'!$I$2:$I$1795,$N919),IF(J919&lt;=70,INDEX('Tabela Passaro'!$J$2:$J$1795,$N919),IF(J919&lt;=100,INDEX('Tabela Passaro'!$K$2:$K$1795,$N919),INDEX('Tabela Passaro'!$K$2:$K$1795,$N919)+(J919-100)*INDEX('Tabela Passaro'!$L$2:$L$1795,$N919))))))</f>
        <v>176.22</v>
      </c>
      <c r="S919" s="32" t="n">
        <f aca="false">K919*INDEX('Tabela Passaro'!$M$2:$M$1795,$N919)</f>
        <v>3.03985</v>
      </c>
      <c r="T919" s="32" t="n">
        <f aca="false">K919*INDEX('Tabela Passaro'!$N$2:$N$1795,$N919)</f>
        <v>1.21594</v>
      </c>
      <c r="U919" s="32" t="n">
        <f aca="false">INDEX('Tabela Passaro'!$O$2:$O$1795,$N919)</f>
        <v>5</v>
      </c>
      <c r="V919" s="32" t="n">
        <f aca="false">ROUNDUP(J919/INDEX('Tabela Passaro'!$Q$2:$Q$1795,$N919),0)*INDEX('Tabela Passaro'!$P$2:$P$1795,$N919)</f>
        <v>5</v>
      </c>
      <c r="W919" s="32" t="n">
        <f aca="false">INDEX('Tabela Passaro'!$R$2:$R$1795,$N919)</f>
        <v>30</v>
      </c>
      <c r="X919" s="32" t="n">
        <f aca="false">ROUNDUP(J919/INDEX('Tabela Passaro'!$T$2:$T$1795,$N919),0)*INDEX('Tabela Passaro'!$S$2:$S$1795,$N919)</f>
        <v>0</v>
      </c>
      <c r="Y919" s="32" t="n">
        <f aca="false">INDEX('Tabela Passaro'!$U$2:$U$1795,$N919)</f>
        <v>0</v>
      </c>
      <c r="Z919" s="32" t="n">
        <f aca="false">INDEX('Tabela Passaro'!$V$2:$V$1795,$N919)</f>
        <v>0</v>
      </c>
      <c r="AA919" s="32" t="n">
        <f aca="false">SUM(R919:Z919)</f>
        <v>220.47579</v>
      </c>
      <c r="AB919" s="33" t="n">
        <f aca="false">INDEX(Premissas!$B$5:$B$13,MATCH(A919,Premissas!$A$5:$A$13,0))</f>
        <v>0.07</v>
      </c>
      <c r="AC919" s="32" t="n">
        <f aca="false">AA919/(1-AB919)-AA919</f>
        <v>16.5949519354839</v>
      </c>
      <c r="AD919" s="32" t="n">
        <f aca="false">ROUND(AA919+AC919,2)</f>
        <v>237.07</v>
      </c>
      <c r="AE919" s="32" t="n">
        <f aca="false">AD919-L919</f>
        <v>40.23</v>
      </c>
      <c r="AF919" s="34" t="n">
        <f aca="false">IF(L919=0,0,AE919/L919)</f>
        <v>0.204379191221296</v>
      </c>
      <c r="AG919" s="22" t="str">
        <f aca="false">IF(AD919&lt;L919,"PASSARO","ATUAL")</f>
        <v>ATUAL</v>
      </c>
      <c r="AH919" s="22" t="str">
        <f aca="false">IF(P919&lt;&gt;A919,"Faixa cadastrada como "&amp;P919&amp;" na tabela; preço aplicado pela UF do CEP","")</f>
        <v/>
      </c>
      <c r="AI919" s="26" t="n">
        <v>254.53</v>
      </c>
      <c r="AJ919" s="22" t="str">
        <f aca="false">INDEX('Tabela Passaro'!$X$2:$X$1795,$N919)</f>
        <v>INTERIOR 1</v>
      </c>
    </row>
    <row r="920" customFormat="false" ht="15" hidden="false" customHeight="false" outlineLevel="0" collapsed="false">
      <c r="A920" s="22" t="s">
        <v>17</v>
      </c>
      <c r="B920" s="22" t="n">
        <v>9</v>
      </c>
      <c r="C920" s="22" t="s">
        <v>109</v>
      </c>
      <c r="D920" s="22" t="s">
        <v>30</v>
      </c>
      <c r="E920" s="22" t="s">
        <v>7326</v>
      </c>
      <c r="F920" s="22" t="n">
        <v>523865</v>
      </c>
      <c r="G920" s="30" t="n">
        <v>46245</v>
      </c>
      <c r="H920" s="22" t="n">
        <v>623710</v>
      </c>
      <c r="I920" s="22" t="s">
        <v>8179</v>
      </c>
      <c r="J920" s="31" t="n">
        <v>44.5</v>
      </c>
      <c r="K920" s="26" t="n">
        <v>1159.98</v>
      </c>
      <c r="L920" s="26" t="n">
        <v>235.61</v>
      </c>
      <c r="M920" s="22" t="s">
        <v>7235</v>
      </c>
      <c r="N920" s="22" t="n">
        <f aca="false">MATCH(M920,'Tabela Passaro'!$A$2:$A$1795,0)</f>
        <v>1777</v>
      </c>
      <c r="O920" s="22" t="str">
        <f aca="false">INDEX('Tabela Passaro'!$C$2:$C$1795,$N920)</f>
        <v>PACATUBA</v>
      </c>
      <c r="P920" s="22" t="str">
        <f aca="false">INDEX('Tabela Passaro'!$B$2:$B$1795,$N920)</f>
        <v>SE</v>
      </c>
      <c r="Q920" s="22" t="n">
        <f aca="false">INDEX('Tabela Passaro'!$F$2:$F$1795,$N920)</f>
        <v>10</v>
      </c>
      <c r="R920" s="32" t="n">
        <f aca="false">IF(J920&lt;=10,INDEX('Tabela Passaro'!$G$2:$G$1795,$N920),IF(J920&lt;=30,INDEX('Tabela Passaro'!$H$2:$H$1795,$N920),IF(J920&lt;=50,INDEX('Tabela Passaro'!$I$2:$I$1795,$N920),IF(J920&lt;=70,INDEX('Tabela Passaro'!$J$2:$J$1795,$N920),IF(J920&lt;=100,INDEX('Tabela Passaro'!$K$2:$K$1795,$N920),INDEX('Tabela Passaro'!$K$2:$K$1795,$N920)+(J920-100)*INDEX('Tabela Passaro'!$L$2:$L$1795,$N920))))))</f>
        <v>226.84</v>
      </c>
      <c r="S920" s="32" t="n">
        <f aca="false">K920*INDEX('Tabela Passaro'!$M$2:$M$1795,$N920)</f>
        <v>5.7999</v>
      </c>
      <c r="T920" s="32" t="n">
        <f aca="false">K920*INDEX('Tabela Passaro'!$N$2:$N$1795,$N920)</f>
        <v>2.31996</v>
      </c>
      <c r="U920" s="32" t="n">
        <f aca="false">INDEX('Tabela Passaro'!$O$2:$O$1795,$N920)</f>
        <v>5</v>
      </c>
      <c r="V920" s="32" t="n">
        <f aca="false">ROUNDUP(J920/INDEX('Tabela Passaro'!$Q$2:$Q$1795,$N920),0)*INDEX('Tabela Passaro'!$P$2:$P$1795,$N920)</f>
        <v>5</v>
      </c>
      <c r="W920" s="32" t="n">
        <f aca="false">INDEX('Tabela Passaro'!$R$2:$R$1795,$N920)</f>
        <v>30</v>
      </c>
      <c r="X920" s="32" t="n">
        <f aca="false">ROUNDUP(J920/INDEX('Tabela Passaro'!$T$2:$T$1795,$N920),0)*INDEX('Tabela Passaro'!$S$2:$S$1795,$N920)</f>
        <v>0</v>
      </c>
      <c r="Y920" s="32" t="n">
        <f aca="false">INDEX('Tabela Passaro'!$U$2:$U$1795,$N920)</f>
        <v>0</v>
      </c>
      <c r="Z920" s="32" t="n">
        <f aca="false">INDEX('Tabela Passaro'!$V$2:$V$1795,$N920)</f>
        <v>0</v>
      </c>
      <c r="AA920" s="32" t="n">
        <f aca="false">SUM(R920:Z920)</f>
        <v>274.95986</v>
      </c>
      <c r="AB920" s="33" t="n">
        <f aca="false">INDEX(Premissas!$B$5:$B$13,MATCH(A920,Premissas!$A$5:$A$13,0))</f>
        <v>0.07</v>
      </c>
      <c r="AC920" s="32" t="n">
        <f aca="false">AA920/(1-AB920)-AA920</f>
        <v>20.6959034408602</v>
      </c>
      <c r="AD920" s="32" t="n">
        <f aca="false">ROUND(AA920+AC920,2)</f>
        <v>295.66</v>
      </c>
      <c r="AE920" s="32" t="n">
        <f aca="false">AD920-L920</f>
        <v>60.05</v>
      </c>
      <c r="AF920" s="34" t="n">
        <f aca="false">IF(L920=0,0,AE920/L920)</f>
        <v>0.254870336573151</v>
      </c>
      <c r="AG920" s="22" t="str">
        <f aca="false">IF(AD920&lt;L920,"PASSARO","ATUAL")</f>
        <v>ATUAL</v>
      </c>
      <c r="AH920" s="22" t="str">
        <f aca="false">IF(P920&lt;&gt;A920,"Faixa cadastrada como "&amp;P920&amp;" na tabela; preço aplicado pela UF do CEP","")</f>
        <v>Faixa cadastrada como SE na tabela; preço aplicado pela UF do CEP</v>
      </c>
      <c r="AI920" s="26" t="n">
        <v>189.88</v>
      </c>
      <c r="AJ920" s="22" t="str">
        <f aca="false">INDEX('Tabela Passaro'!$X$2:$X$1795,$N920)</f>
        <v>INTERIOR 2</v>
      </c>
    </row>
    <row r="921" customFormat="false" ht="15" hidden="false" customHeight="false" outlineLevel="0" collapsed="false">
      <c r="A921" s="22" t="s">
        <v>17</v>
      </c>
      <c r="B921" s="22" t="n">
        <v>9</v>
      </c>
      <c r="C921" s="22" t="s">
        <v>109</v>
      </c>
      <c r="D921" s="22" t="s">
        <v>30</v>
      </c>
      <c r="E921" s="22" t="s">
        <v>7328</v>
      </c>
      <c r="F921" s="22" t="n">
        <v>2311310</v>
      </c>
      <c r="G921" s="30" t="n">
        <v>46246</v>
      </c>
      <c r="H921" s="22" t="n">
        <v>132795</v>
      </c>
      <c r="I921" s="22" t="s">
        <v>8179</v>
      </c>
      <c r="J921" s="31" t="n">
        <v>48</v>
      </c>
      <c r="K921" s="26" t="n">
        <v>1139.98</v>
      </c>
      <c r="L921" s="26" t="n">
        <v>211.58</v>
      </c>
      <c r="M921" s="22" t="s">
        <v>7235</v>
      </c>
      <c r="N921" s="22" t="n">
        <f aca="false">MATCH(M921,'Tabela Passaro'!$A$2:$A$1795,0)</f>
        <v>1777</v>
      </c>
      <c r="O921" s="22" t="str">
        <f aca="false">INDEX('Tabela Passaro'!$C$2:$C$1795,$N921)</f>
        <v>PACATUBA</v>
      </c>
      <c r="P921" s="22" t="str">
        <f aca="false">INDEX('Tabela Passaro'!$B$2:$B$1795,$N921)</f>
        <v>SE</v>
      </c>
      <c r="Q921" s="22" t="n">
        <f aca="false">INDEX('Tabela Passaro'!$F$2:$F$1795,$N921)</f>
        <v>10</v>
      </c>
      <c r="R921" s="32" t="n">
        <f aca="false">IF(J921&lt;=10,INDEX('Tabela Passaro'!$G$2:$G$1795,$N921),IF(J921&lt;=30,INDEX('Tabela Passaro'!$H$2:$H$1795,$N921),IF(J921&lt;=50,INDEX('Tabela Passaro'!$I$2:$I$1795,$N921),IF(J921&lt;=70,INDEX('Tabela Passaro'!$J$2:$J$1795,$N921),IF(J921&lt;=100,INDEX('Tabela Passaro'!$K$2:$K$1795,$N921),INDEX('Tabela Passaro'!$K$2:$K$1795,$N921)+(J921-100)*INDEX('Tabela Passaro'!$L$2:$L$1795,$N921))))))</f>
        <v>226.84</v>
      </c>
      <c r="S921" s="32" t="n">
        <f aca="false">K921*INDEX('Tabela Passaro'!$M$2:$M$1795,$N921)</f>
        <v>5.6999</v>
      </c>
      <c r="T921" s="32" t="n">
        <f aca="false">K921*INDEX('Tabela Passaro'!$N$2:$N$1795,$N921)</f>
        <v>2.27996</v>
      </c>
      <c r="U921" s="32" t="n">
        <f aca="false">INDEX('Tabela Passaro'!$O$2:$O$1795,$N921)</f>
        <v>5</v>
      </c>
      <c r="V921" s="32" t="n">
        <f aca="false">ROUNDUP(J921/INDEX('Tabela Passaro'!$Q$2:$Q$1795,$N921),0)*INDEX('Tabela Passaro'!$P$2:$P$1795,$N921)</f>
        <v>5</v>
      </c>
      <c r="W921" s="32" t="n">
        <f aca="false">INDEX('Tabela Passaro'!$R$2:$R$1795,$N921)</f>
        <v>30</v>
      </c>
      <c r="X921" s="32" t="n">
        <f aca="false">ROUNDUP(J921/INDEX('Tabela Passaro'!$T$2:$T$1795,$N921),0)*INDEX('Tabela Passaro'!$S$2:$S$1795,$N921)</f>
        <v>0</v>
      </c>
      <c r="Y921" s="32" t="n">
        <f aca="false">INDEX('Tabela Passaro'!$U$2:$U$1795,$N921)</f>
        <v>0</v>
      </c>
      <c r="Z921" s="32" t="n">
        <f aca="false">INDEX('Tabela Passaro'!$V$2:$V$1795,$N921)</f>
        <v>0</v>
      </c>
      <c r="AA921" s="32" t="n">
        <f aca="false">SUM(R921:Z921)</f>
        <v>274.81986</v>
      </c>
      <c r="AB921" s="33" t="n">
        <f aca="false">INDEX(Premissas!$B$5:$B$13,MATCH(A921,Premissas!$A$5:$A$13,0))</f>
        <v>0.07</v>
      </c>
      <c r="AC921" s="32" t="n">
        <f aca="false">AA921/(1-AB921)-AA921</f>
        <v>20.6853658064516</v>
      </c>
      <c r="AD921" s="32" t="n">
        <f aca="false">ROUND(AA921+AC921,2)</f>
        <v>295.51</v>
      </c>
      <c r="AE921" s="32" t="n">
        <f aca="false">AD921-L921</f>
        <v>83.93</v>
      </c>
      <c r="AF921" s="34" t="n">
        <f aca="false">IF(L921=0,0,AE921/L921)</f>
        <v>0.396682106059174</v>
      </c>
      <c r="AG921" s="22" t="str">
        <f aca="false">IF(AD921&lt;L921,"PASSARO","ATUAL")</f>
        <v>ATUAL</v>
      </c>
      <c r="AH921" s="22" t="str">
        <f aca="false">IF(P921&lt;&gt;A921,"Faixa cadastrada como "&amp;P921&amp;" na tabela; preço aplicado pela UF do CEP","")</f>
        <v>Faixa cadastrada como SE na tabela; preço aplicado pela UF do CEP</v>
      </c>
      <c r="AI921" s="26" t="n">
        <v>191.14</v>
      </c>
      <c r="AJ921" s="22" t="str">
        <f aca="false">INDEX('Tabela Passaro'!$X$2:$X$1795,$N921)</f>
        <v>INTERIOR 2</v>
      </c>
    </row>
    <row r="922" customFormat="false" ht="15" hidden="false" customHeight="false" outlineLevel="0" collapsed="false">
      <c r="A922" s="22" t="s">
        <v>17</v>
      </c>
      <c r="B922" s="22" t="n">
        <v>9</v>
      </c>
      <c r="C922" s="22" t="s">
        <v>109</v>
      </c>
      <c r="D922" s="22" t="s">
        <v>30</v>
      </c>
      <c r="E922" s="22" t="s">
        <v>7326</v>
      </c>
      <c r="F922" s="22" t="n">
        <v>524999</v>
      </c>
      <c r="G922" s="30" t="n">
        <v>46248</v>
      </c>
      <c r="H922" s="22" t="n">
        <v>625209</v>
      </c>
      <c r="I922" s="22" t="s">
        <v>8180</v>
      </c>
      <c r="J922" s="31" t="n">
        <v>39</v>
      </c>
      <c r="K922" s="26" t="n">
        <v>685.98</v>
      </c>
      <c r="L922" s="26" t="n">
        <v>231.58</v>
      </c>
      <c r="M922" s="22" t="s">
        <v>7235</v>
      </c>
      <c r="N922" s="22" t="n">
        <f aca="false">MATCH(M922,'Tabela Passaro'!$A$2:$A$1795,0)</f>
        <v>1777</v>
      </c>
      <c r="O922" s="22" t="str">
        <f aca="false">INDEX('Tabela Passaro'!$C$2:$C$1795,$N922)</f>
        <v>PACATUBA</v>
      </c>
      <c r="P922" s="22" t="str">
        <f aca="false">INDEX('Tabela Passaro'!$B$2:$B$1795,$N922)</f>
        <v>SE</v>
      </c>
      <c r="Q922" s="22" t="n">
        <f aca="false">INDEX('Tabela Passaro'!$F$2:$F$1795,$N922)</f>
        <v>10</v>
      </c>
      <c r="R922" s="32" t="n">
        <f aca="false">IF(J922&lt;=10,INDEX('Tabela Passaro'!$G$2:$G$1795,$N922),IF(J922&lt;=30,INDEX('Tabela Passaro'!$H$2:$H$1795,$N922),IF(J922&lt;=50,INDEX('Tabela Passaro'!$I$2:$I$1795,$N922),IF(J922&lt;=70,INDEX('Tabela Passaro'!$J$2:$J$1795,$N922),IF(J922&lt;=100,INDEX('Tabela Passaro'!$K$2:$K$1795,$N922),INDEX('Tabela Passaro'!$K$2:$K$1795,$N922)+(J922-100)*INDEX('Tabela Passaro'!$L$2:$L$1795,$N922))))))</f>
        <v>226.84</v>
      </c>
      <c r="S922" s="32" t="n">
        <f aca="false">K922*INDEX('Tabela Passaro'!$M$2:$M$1795,$N922)</f>
        <v>3.4299</v>
      </c>
      <c r="T922" s="32" t="n">
        <f aca="false">K922*INDEX('Tabela Passaro'!$N$2:$N$1795,$N922)</f>
        <v>1.37196</v>
      </c>
      <c r="U922" s="32" t="n">
        <f aca="false">INDEX('Tabela Passaro'!$O$2:$O$1795,$N922)</f>
        <v>5</v>
      </c>
      <c r="V922" s="32" t="n">
        <f aca="false">ROUNDUP(J922/INDEX('Tabela Passaro'!$Q$2:$Q$1795,$N922),0)*INDEX('Tabela Passaro'!$P$2:$P$1795,$N922)</f>
        <v>5</v>
      </c>
      <c r="W922" s="32" t="n">
        <f aca="false">INDEX('Tabela Passaro'!$R$2:$R$1795,$N922)</f>
        <v>30</v>
      </c>
      <c r="X922" s="32" t="n">
        <f aca="false">ROUNDUP(J922/INDEX('Tabela Passaro'!$T$2:$T$1795,$N922),0)*INDEX('Tabela Passaro'!$S$2:$S$1795,$N922)</f>
        <v>0</v>
      </c>
      <c r="Y922" s="32" t="n">
        <f aca="false">INDEX('Tabela Passaro'!$U$2:$U$1795,$N922)</f>
        <v>0</v>
      </c>
      <c r="Z922" s="32" t="n">
        <f aca="false">INDEX('Tabela Passaro'!$V$2:$V$1795,$N922)</f>
        <v>0</v>
      </c>
      <c r="AA922" s="32" t="n">
        <f aca="false">SUM(R922:Z922)</f>
        <v>271.64186</v>
      </c>
      <c r="AB922" s="33" t="n">
        <f aca="false">INDEX(Premissas!$B$5:$B$13,MATCH(A922,Premissas!$A$5:$A$13,0))</f>
        <v>0.07</v>
      </c>
      <c r="AC922" s="32" t="n">
        <f aca="false">AA922/(1-AB922)-AA922</f>
        <v>20.4461615053764</v>
      </c>
      <c r="AD922" s="32" t="n">
        <f aca="false">ROUND(AA922+AC922,2)</f>
        <v>292.09</v>
      </c>
      <c r="AE922" s="32" t="n">
        <f aca="false">AD922-L922</f>
        <v>60.51</v>
      </c>
      <c r="AF922" s="34" t="n">
        <f aca="false">IF(L922=0,0,AE922/L922)</f>
        <v>0.261291994127299</v>
      </c>
      <c r="AG922" s="22" t="str">
        <f aca="false">IF(AD922&lt;L922,"PASSARO","ATUAL")</f>
        <v>ATUAL</v>
      </c>
      <c r="AH922" s="22" t="str">
        <f aca="false">IF(P922&lt;&gt;A922,"Faixa cadastrada como "&amp;P922&amp;" na tabela; preço aplicado pela UF do CEP","")</f>
        <v>Faixa cadastrada como SE na tabela; preço aplicado pela UF do CEP</v>
      </c>
      <c r="AI922" s="26" t="n">
        <v>182.39</v>
      </c>
      <c r="AJ922" s="22" t="str">
        <f aca="false">INDEX('Tabela Passaro'!$X$2:$X$1795,$N922)</f>
        <v>INTERIOR 2</v>
      </c>
    </row>
    <row r="923" customFormat="false" ht="15" hidden="false" customHeight="false" outlineLevel="0" collapsed="false">
      <c r="A923" s="22" t="s">
        <v>17</v>
      </c>
      <c r="B923" s="22" t="n">
        <v>9</v>
      </c>
      <c r="C923" s="22" t="s">
        <v>109</v>
      </c>
      <c r="D923" s="22" t="s">
        <v>30</v>
      </c>
      <c r="E923" s="22" t="s">
        <v>20</v>
      </c>
      <c r="F923" s="22" t="n">
        <v>839653</v>
      </c>
      <c r="G923" s="30" t="n">
        <v>46254</v>
      </c>
      <c r="H923" s="22" t="n">
        <v>32578</v>
      </c>
      <c r="I923" s="22" t="s">
        <v>8181</v>
      </c>
      <c r="J923" s="31" t="n">
        <v>20.9</v>
      </c>
      <c r="K923" s="26" t="n">
        <v>597.23</v>
      </c>
      <c r="L923" s="26" t="n">
        <v>145.64</v>
      </c>
      <c r="M923" s="22" t="s">
        <v>7235</v>
      </c>
      <c r="N923" s="22" t="n">
        <f aca="false">MATCH(M923,'Tabela Passaro'!$A$2:$A$1795,0)</f>
        <v>1777</v>
      </c>
      <c r="O923" s="22" t="str">
        <f aca="false">INDEX('Tabela Passaro'!$C$2:$C$1795,$N923)</f>
        <v>PACATUBA</v>
      </c>
      <c r="P923" s="22" t="str">
        <f aca="false">INDEX('Tabela Passaro'!$B$2:$B$1795,$N923)</f>
        <v>SE</v>
      </c>
      <c r="Q923" s="22" t="n">
        <f aca="false">INDEX('Tabela Passaro'!$F$2:$F$1795,$N923)</f>
        <v>10</v>
      </c>
      <c r="R923" s="32" t="n">
        <f aca="false">IF(J923&lt;=10,INDEX('Tabela Passaro'!$G$2:$G$1795,$N923),IF(J923&lt;=30,INDEX('Tabela Passaro'!$H$2:$H$1795,$N923),IF(J923&lt;=50,INDEX('Tabela Passaro'!$I$2:$I$1795,$N923),IF(J923&lt;=70,INDEX('Tabela Passaro'!$J$2:$J$1795,$N923),IF(J923&lt;=100,INDEX('Tabela Passaro'!$K$2:$K$1795,$N923),INDEX('Tabela Passaro'!$K$2:$K$1795,$N923)+(J923-100)*INDEX('Tabela Passaro'!$L$2:$L$1795,$N923))))))</f>
        <v>204.71</v>
      </c>
      <c r="S923" s="32" t="n">
        <f aca="false">K923*INDEX('Tabela Passaro'!$M$2:$M$1795,$N923)</f>
        <v>2.98615</v>
      </c>
      <c r="T923" s="32" t="n">
        <f aca="false">K923*INDEX('Tabela Passaro'!$N$2:$N$1795,$N923)</f>
        <v>1.19446</v>
      </c>
      <c r="U923" s="32" t="n">
        <f aca="false">INDEX('Tabela Passaro'!$O$2:$O$1795,$N923)</f>
        <v>5</v>
      </c>
      <c r="V923" s="32" t="n">
        <f aca="false">ROUNDUP(J923/INDEX('Tabela Passaro'!$Q$2:$Q$1795,$N923),0)*INDEX('Tabela Passaro'!$P$2:$P$1795,$N923)</f>
        <v>5</v>
      </c>
      <c r="W923" s="32" t="n">
        <f aca="false">INDEX('Tabela Passaro'!$R$2:$R$1795,$N923)</f>
        <v>30</v>
      </c>
      <c r="X923" s="32" t="n">
        <f aca="false">ROUNDUP(J923/INDEX('Tabela Passaro'!$T$2:$T$1795,$N923),0)*INDEX('Tabela Passaro'!$S$2:$S$1795,$N923)</f>
        <v>0</v>
      </c>
      <c r="Y923" s="32" t="n">
        <f aca="false">INDEX('Tabela Passaro'!$U$2:$U$1795,$N923)</f>
        <v>0</v>
      </c>
      <c r="Z923" s="32" t="n">
        <f aca="false">INDEX('Tabela Passaro'!$V$2:$V$1795,$N923)</f>
        <v>0</v>
      </c>
      <c r="AA923" s="32" t="n">
        <f aca="false">SUM(R923:Z923)</f>
        <v>248.89061</v>
      </c>
      <c r="AB923" s="33" t="n">
        <f aca="false">INDEX(Premissas!$B$5:$B$13,MATCH(A923,Premissas!$A$5:$A$13,0))</f>
        <v>0.07</v>
      </c>
      <c r="AC923" s="32" t="n">
        <f aca="false">AA923/(1-AB923)-AA923</f>
        <v>18.733701827957</v>
      </c>
      <c r="AD923" s="32" t="n">
        <f aca="false">ROUND(AA923+AC923,2)</f>
        <v>267.62</v>
      </c>
      <c r="AE923" s="32" t="n">
        <f aca="false">AD923-L923</f>
        <v>121.98</v>
      </c>
      <c r="AF923" s="34" t="n">
        <f aca="false">IF(L923=0,0,AE923/L923)</f>
        <v>0.83754463059599</v>
      </c>
      <c r="AG923" s="22" t="str">
        <f aca="false">IF(AD923&lt;L923,"PASSARO","ATUAL")</f>
        <v>ATUAL</v>
      </c>
      <c r="AH923" s="22" t="str">
        <f aca="false">IF(P923&lt;&gt;A923,"Faixa cadastrada como "&amp;P923&amp;" na tabela; preço aplicado pela UF do CEP","")</f>
        <v>Faixa cadastrada como SE na tabela; preço aplicado pela UF do CEP</v>
      </c>
      <c r="AI923" s="26" t="n">
        <v>160.3</v>
      </c>
      <c r="AJ923" s="22" t="str">
        <f aca="false">INDEX('Tabela Passaro'!$X$2:$X$1795,$N923)</f>
        <v>INTERIOR 2</v>
      </c>
    </row>
    <row r="924" customFormat="false" ht="15" hidden="false" customHeight="false" outlineLevel="0" collapsed="false">
      <c r="A924" s="22" t="s">
        <v>17</v>
      </c>
      <c r="B924" s="22" t="n">
        <v>9</v>
      </c>
      <c r="C924" s="22" t="s">
        <v>109</v>
      </c>
      <c r="D924" s="22" t="s">
        <v>30</v>
      </c>
      <c r="E924" s="22" t="s">
        <v>7326</v>
      </c>
      <c r="F924" s="22" t="n">
        <v>527041</v>
      </c>
      <c r="G924" s="30" t="n">
        <v>46258</v>
      </c>
      <c r="H924" s="22" t="n">
        <v>628171</v>
      </c>
      <c r="I924" s="22" t="s">
        <v>8182</v>
      </c>
      <c r="J924" s="31" t="n">
        <v>46.68</v>
      </c>
      <c r="K924" s="26" t="n">
        <v>1174.39</v>
      </c>
      <c r="L924" s="26" t="n">
        <v>235.74</v>
      </c>
      <c r="M924" s="22" t="s">
        <v>7235</v>
      </c>
      <c r="N924" s="22" t="n">
        <f aca="false">MATCH(M924,'Tabela Passaro'!$A$2:$A$1795,0)</f>
        <v>1777</v>
      </c>
      <c r="O924" s="22" t="str">
        <f aca="false">INDEX('Tabela Passaro'!$C$2:$C$1795,$N924)</f>
        <v>PACATUBA</v>
      </c>
      <c r="P924" s="22" t="str">
        <f aca="false">INDEX('Tabela Passaro'!$B$2:$B$1795,$N924)</f>
        <v>SE</v>
      </c>
      <c r="Q924" s="22" t="n">
        <f aca="false">INDEX('Tabela Passaro'!$F$2:$F$1795,$N924)</f>
        <v>10</v>
      </c>
      <c r="R924" s="32" t="n">
        <f aca="false">IF(J924&lt;=10,INDEX('Tabela Passaro'!$G$2:$G$1795,$N924),IF(J924&lt;=30,INDEX('Tabela Passaro'!$H$2:$H$1795,$N924),IF(J924&lt;=50,INDEX('Tabela Passaro'!$I$2:$I$1795,$N924),IF(J924&lt;=70,INDEX('Tabela Passaro'!$J$2:$J$1795,$N924),IF(J924&lt;=100,INDEX('Tabela Passaro'!$K$2:$K$1795,$N924),INDEX('Tabela Passaro'!$K$2:$K$1795,$N924)+(J924-100)*INDEX('Tabela Passaro'!$L$2:$L$1795,$N924))))))</f>
        <v>226.84</v>
      </c>
      <c r="S924" s="32" t="n">
        <f aca="false">K924*INDEX('Tabela Passaro'!$M$2:$M$1795,$N924)</f>
        <v>5.87195</v>
      </c>
      <c r="T924" s="32" t="n">
        <f aca="false">K924*INDEX('Tabela Passaro'!$N$2:$N$1795,$N924)</f>
        <v>2.34878</v>
      </c>
      <c r="U924" s="32" t="n">
        <f aca="false">INDEX('Tabela Passaro'!$O$2:$O$1795,$N924)</f>
        <v>5</v>
      </c>
      <c r="V924" s="32" t="n">
        <f aca="false">ROUNDUP(J924/INDEX('Tabela Passaro'!$Q$2:$Q$1795,$N924),0)*INDEX('Tabela Passaro'!$P$2:$P$1795,$N924)</f>
        <v>5</v>
      </c>
      <c r="W924" s="32" t="n">
        <f aca="false">INDEX('Tabela Passaro'!$R$2:$R$1795,$N924)</f>
        <v>30</v>
      </c>
      <c r="X924" s="32" t="n">
        <f aca="false">ROUNDUP(J924/INDEX('Tabela Passaro'!$T$2:$T$1795,$N924),0)*INDEX('Tabela Passaro'!$S$2:$S$1795,$N924)</f>
        <v>0</v>
      </c>
      <c r="Y924" s="32" t="n">
        <f aca="false">INDEX('Tabela Passaro'!$U$2:$U$1795,$N924)</f>
        <v>0</v>
      </c>
      <c r="Z924" s="32" t="n">
        <f aca="false">INDEX('Tabela Passaro'!$V$2:$V$1795,$N924)</f>
        <v>0</v>
      </c>
      <c r="AA924" s="32" t="n">
        <f aca="false">SUM(R924:Z924)</f>
        <v>275.06073</v>
      </c>
      <c r="AB924" s="33" t="n">
        <f aca="false">INDEX(Premissas!$B$5:$B$13,MATCH(A924,Premissas!$A$5:$A$13,0))</f>
        <v>0.07</v>
      </c>
      <c r="AC924" s="32" t="n">
        <f aca="false">AA924/(1-AB924)-AA924</f>
        <v>20.7034958064517</v>
      </c>
      <c r="AD924" s="32" t="n">
        <f aca="false">ROUND(AA924+AC924,2)</f>
        <v>295.76</v>
      </c>
      <c r="AE924" s="32" t="n">
        <f aca="false">AD924-L924</f>
        <v>60.02</v>
      </c>
      <c r="AF924" s="34" t="n">
        <f aca="false">IF(L924=0,0,AE924/L924)</f>
        <v>0.254602528209044</v>
      </c>
      <c r="AG924" s="22" t="str">
        <f aca="false">IF(AD924&lt;L924,"PASSARO","ATUAL")</f>
        <v>ATUAL</v>
      </c>
      <c r="AH924" s="22" t="str">
        <f aca="false">IF(P924&lt;&gt;A924,"Faixa cadastrada como "&amp;P924&amp;" na tabela; preço aplicado pela UF do CEP","")</f>
        <v>Faixa cadastrada como SE na tabela; preço aplicado pela UF do CEP</v>
      </c>
      <c r="AI924" s="26" t="n">
        <v>190.99</v>
      </c>
      <c r="AJ924" s="22" t="str">
        <f aca="false">INDEX('Tabela Passaro'!$X$2:$X$1795,$N924)</f>
        <v>INTERIOR 2</v>
      </c>
    </row>
    <row r="925" customFormat="false" ht="15" hidden="false" customHeight="false" outlineLevel="0" collapsed="false">
      <c r="A925" s="22" t="s">
        <v>17</v>
      </c>
      <c r="B925" s="22" t="n">
        <v>10</v>
      </c>
      <c r="C925" s="22" t="s">
        <v>111</v>
      </c>
      <c r="D925" s="22" t="s">
        <v>30</v>
      </c>
      <c r="E925" s="22" t="s">
        <v>7328</v>
      </c>
      <c r="F925" s="22" t="n">
        <v>2307925</v>
      </c>
      <c r="G925" s="30" t="n">
        <v>46239</v>
      </c>
      <c r="H925" s="22" t="n">
        <v>131898</v>
      </c>
      <c r="I925" s="22" t="s">
        <v>8183</v>
      </c>
      <c r="J925" s="31" t="n">
        <v>48</v>
      </c>
      <c r="K925" s="26" t="n">
        <v>1130.59</v>
      </c>
      <c r="L925" s="26" t="n">
        <v>211.51</v>
      </c>
      <c r="M925" s="22" t="s">
        <v>2604</v>
      </c>
      <c r="N925" s="22" t="n">
        <f aca="false">MATCH(M925,'Tabela Passaro'!$A$2:$A$1795,0)</f>
        <v>587</v>
      </c>
      <c r="O925" s="22" t="str">
        <f aca="false">INDEX('Tabela Passaro'!$C$2:$C$1795,$N925)</f>
        <v>BREJO SANTO</v>
      </c>
      <c r="P925" s="22" t="str">
        <f aca="false">INDEX('Tabela Passaro'!$B$2:$B$1795,$N925)</f>
        <v>CE</v>
      </c>
      <c r="Q925" s="22" t="n">
        <f aca="false">INDEX('Tabela Passaro'!$F$2:$F$1795,$N925)</f>
        <v>14</v>
      </c>
      <c r="R925" s="32" t="n">
        <f aca="false">IF(J925&lt;=10,INDEX('Tabela Passaro'!$G$2:$G$1795,$N925),IF(J925&lt;=30,INDEX('Tabela Passaro'!$H$2:$H$1795,$N925),IF(J925&lt;=50,INDEX('Tabela Passaro'!$I$2:$I$1795,$N925),IF(J925&lt;=70,INDEX('Tabela Passaro'!$J$2:$J$1795,$N925),IF(J925&lt;=100,INDEX('Tabela Passaro'!$K$2:$K$1795,$N925),INDEX('Tabela Passaro'!$K$2:$K$1795,$N925)+(J925-100)*INDEX('Tabela Passaro'!$L$2:$L$1795,$N925))))))</f>
        <v>226.84</v>
      </c>
      <c r="S925" s="32" t="n">
        <f aca="false">K925*INDEX('Tabela Passaro'!$M$2:$M$1795,$N925)</f>
        <v>5.65295</v>
      </c>
      <c r="T925" s="32" t="n">
        <f aca="false">K925*INDEX('Tabela Passaro'!$N$2:$N$1795,$N925)</f>
        <v>2.26118</v>
      </c>
      <c r="U925" s="32" t="n">
        <f aca="false">INDEX('Tabela Passaro'!$O$2:$O$1795,$N925)</f>
        <v>5</v>
      </c>
      <c r="V925" s="32" t="n">
        <f aca="false">ROUNDUP(J925/INDEX('Tabela Passaro'!$Q$2:$Q$1795,$N925),0)*INDEX('Tabela Passaro'!$P$2:$P$1795,$N925)</f>
        <v>5</v>
      </c>
      <c r="W925" s="32" t="n">
        <f aca="false">INDEX('Tabela Passaro'!$R$2:$R$1795,$N925)</f>
        <v>30</v>
      </c>
      <c r="X925" s="32" t="n">
        <f aca="false">ROUNDUP(J925/INDEX('Tabela Passaro'!$T$2:$T$1795,$N925),0)*INDEX('Tabela Passaro'!$S$2:$S$1795,$N925)</f>
        <v>0</v>
      </c>
      <c r="Y925" s="32" t="n">
        <f aca="false">INDEX('Tabela Passaro'!$U$2:$U$1795,$N925)</f>
        <v>0</v>
      </c>
      <c r="Z925" s="32" t="n">
        <f aca="false">INDEX('Tabela Passaro'!$V$2:$V$1795,$N925)</f>
        <v>0</v>
      </c>
      <c r="AA925" s="32" t="n">
        <f aca="false">SUM(R925:Z925)</f>
        <v>274.75413</v>
      </c>
      <c r="AB925" s="33" t="n">
        <f aca="false">INDEX(Premissas!$B$5:$B$13,MATCH(A925,Premissas!$A$5:$A$13,0))</f>
        <v>0.07</v>
      </c>
      <c r="AC925" s="32" t="n">
        <f aca="false">AA925/(1-AB925)-AA925</f>
        <v>20.6804183870968</v>
      </c>
      <c r="AD925" s="32" t="n">
        <f aca="false">ROUND(AA925+AC925,2)</f>
        <v>295.43</v>
      </c>
      <c r="AE925" s="32" t="n">
        <f aca="false">AD925-L925</f>
        <v>83.92</v>
      </c>
      <c r="AF925" s="34" t="n">
        <f aca="false">IF(L925=0,0,AE925/L925)</f>
        <v>0.396766110349393</v>
      </c>
      <c r="AG925" s="22" t="str">
        <f aca="false">IF(AD925&lt;L925,"PASSARO","ATUAL")</f>
        <v>ATUAL</v>
      </c>
      <c r="AH925" s="22" t="str">
        <f aca="false">IF(P925&lt;&gt;A925,"Faixa cadastrada como "&amp;P925&amp;" na tabela; preço aplicado pela UF do CEP","")</f>
        <v/>
      </c>
      <c r="AI925" s="26" t="n">
        <v>323.18</v>
      </c>
      <c r="AJ925" s="22" t="str">
        <f aca="false">INDEX('Tabela Passaro'!$X$2:$X$1795,$N925)</f>
        <v>INTERIOR 2</v>
      </c>
    </row>
    <row r="926" customFormat="false" ht="15" hidden="false" customHeight="false" outlineLevel="0" collapsed="false">
      <c r="A926" s="22" t="s">
        <v>17</v>
      </c>
      <c r="B926" s="22" t="n">
        <v>10</v>
      </c>
      <c r="C926" s="22" t="s">
        <v>111</v>
      </c>
      <c r="D926" s="22" t="s">
        <v>30</v>
      </c>
      <c r="E926" s="22" t="s">
        <v>7326</v>
      </c>
      <c r="F926" s="22" t="n">
        <v>522619</v>
      </c>
      <c r="G926" s="30" t="n">
        <v>46239</v>
      </c>
      <c r="H926" s="22" t="n">
        <v>620527</v>
      </c>
      <c r="I926" s="22" t="s">
        <v>8183</v>
      </c>
      <c r="J926" s="31" t="n">
        <v>174.3</v>
      </c>
      <c r="K926" s="26" t="n">
        <v>2645.75</v>
      </c>
      <c r="L926" s="26" t="n">
        <v>623.14</v>
      </c>
      <c r="M926" s="22" t="s">
        <v>2604</v>
      </c>
      <c r="N926" s="22" t="n">
        <f aca="false">MATCH(M926,'Tabela Passaro'!$A$2:$A$1795,0)</f>
        <v>587</v>
      </c>
      <c r="O926" s="22" t="str">
        <f aca="false">INDEX('Tabela Passaro'!$C$2:$C$1795,$N926)</f>
        <v>BREJO SANTO</v>
      </c>
      <c r="P926" s="22" t="str">
        <f aca="false">INDEX('Tabela Passaro'!$B$2:$B$1795,$N926)</f>
        <v>CE</v>
      </c>
      <c r="Q926" s="22" t="n">
        <f aca="false">INDEX('Tabela Passaro'!$F$2:$F$1795,$N926)</f>
        <v>14</v>
      </c>
      <c r="R926" s="32" t="n">
        <f aca="false">IF(J926&lt;=10,INDEX('Tabela Passaro'!$G$2:$G$1795,$N926),IF(J926&lt;=30,INDEX('Tabela Passaro'!$H$2:$H$1795,$N926),IF(J926&lt;=50,INDEX('Tabela Passaro'!$I$2:$I$1795,$N926),IF(J926&lt;=70,INDEX('Tabela Passaro'!$J$2:$J$1795,$N926),IF(J926&lt;=100,INDEX('Tabela Passaro'!$K$2:$K$1795,$N926),INDEX('Tabela Passaro'!$K$2:$K$1795,$N926)+(J926-100)*INDEX('Tabela Passaro'!$L$2:$L$1795,$N926))))))</f>
        <v>429.444</v>
      </c>
      <c r="S926" s="32" t="n">
        <f aca="false">K926*INDEX('Tabela Passaro'!$M$2:$M$1795,$N926)</f>
        <v>13.22875</v>
      </c>
      <c r="T926" s="32" t="n">
        <f aca="false">K926*INDEX('Tabela Passaro'!$N$2:$N$1795,$N926)</f>
        <v>5.2915</v>
      </c>
      <c r="U926" s="32" t="n">
        <f aca="false">INDEX('Tabela Passaro'!$O$2:$O$1795,$N926)</f>
        <v>5</v>
      </c>
      <c r="V926" s="32" t="n">
        <f aca="false">ROUNDUP(J926/INDEX('Tabela Passaro'!$Q$2:$Q$1795,$N926),0)*INDEX('Tabela Passaro'!$P$2:$P$1795,$N926)</f>
        <v>10</v>
      </c>
      <c r="W926" s="32" t="n">
        <f aca="false">INDEX('Tabela Passaro'!$R$2:$R$1795,$N926)</f>
        <v>30</v>
      </c>
      <c r="X926" s="32" t="n">
        <f aca="false">ROUNDUP(J926/INDEX('Tabela Passaro'!$T$2:$T$1795,$N926),0)*INDEX('Tabela Passaro'!$S$2:$S$1795,$N926)</f>
        <v>0</v>
      </c>
      <c r="Y926" s="32" t="n">
        <f aca="false">INDEX('Tabela Passaro'!$U$2:$U$1795,$N926)</f>
        <v>0</v>
      </c>
      <c r="Z926" s="32" t="n">
        <f aca="false">INDEX('Tabela Passaro'!$V$2:$V$1795,$N926)</f>
        <v>0</v>
      </c>
      <c r="AA926" s="32" t="n">
        <f aca="false">SUM(R926:Z926)</f>
        <v>492.96425</v>
      </c>
      <c r="AB926" s="33" t="n">
        <f aca="false">INDEX(Premissas!$B$5:$B$13,MATCH(A926,Premissas!$A$5:$A$13,0))</f>
        <v>0.07</v>
      </c>
      <c r="AC926" s="32" t="n">
        <f aca="false">AA926/(1-AB926)-AA926</f>
        <v>37.1048360215054</v>
      </c>
      <c r="AD926" s="32" t="n">
        <f aca="false">ROUND(AA926+AC926,2)</f>
        <v>530.07</v>
      </c>
      <c r="AE926" s="32" t="n">
        <f aca="false">AD926-L926</f>
        <v>-93.0699999999999</v>
      </c>
      <c r="AF926" s="34" t="n">
        <f aca="false">IF(L926=0,0,AE926/L926)</f>
        <v>-0.14935648489906</v>
      </c>
      <c r="AG926" s="22" t="str">
        <f aca="false">IF(AD926&lt;L926,"PASSARO","ATUAL")</f>
        <v>PASSARO</v>
      </c>
      <c r="AH926" s="22" t="str">
        <f aca="false">IF(P926&lt;&gt;A926,"Faixa cadastrada como "&amp;P926&amp;" na tabela; preço aplicado pela UF do CEP","")</f>
        <v/>
      </c>
      <c r="AI926" s="26" t="n">
        <v>646.77</v>
      </c>
      <c r="AJ926" s="22" t="str">
        <f aca="false">INDEX('Tabela Passaro'!$X$2:$X$1795,$N926)</f>
        <v>INTERIOR 2</v>
      </c>
    </row>
    <row r="927" customFormat="false" ht="15" hidden="false" customHeight="false" outlineLevel="0" collapsed="false">
      <c r="A927" s="22" t="s">
        <v>17</v>
      </c>
      <c r="B927" s="22" t="n">
        <v>10</v>
      </c>
      <c r="C927" s="22" t="s">
        <v>111</v>
      </c>
      <c r="D927" s="22" t="s">
        <v>30</v>
      </c>
      <c r="E927" s="22" t="s">
        <v>7326</v>
      </c>
      <c r="F927" s="22" t="n">
        <v>524677</v>
      </c>
      <c r="G927" s="30" t="n">
        <v>46247</v>
      </c>
      <c r="H927" s="22" t="n">
        <v>624349</v>
      </c>
      <c r="I927" s="22" t="s">
        <v>8184</v>
      </c>
      <c r="J927" s="31" t="n">
        <v>37.8</v>
      </c>
      <c r="K927" s="26" t="n">
        <v>689.41</v>
      </c>
      <c r="L927" s="26" t="n">
        <v>231.61</v>
      </c>
      <c r="M927" s="22" t="s">
        <v>2604</v>
      </c>
      <c r="N927" s="22" t="n">
        <f aca="false">MATCH(M927,'Tabela Passaro'!$A$2:$A$1795,0)</f>
        <v>587</v>
      </c>
      <c r="O927" s="22" t="str">
        <f aca="false">INDEX('Tabela Passaro'!$C$2:$C$1795,$N927)</f>
        <v>BREJO SANTO</v>
      </c>
      <c r="P927" s="22" t="str">
        <f aca="false">INDEX('Tabela Passaro'!$B$2:$B$1795,$N927)</f>
        <v>CE</v>
      </c>
      <c r="Q927" s="22" t="n">
        <f aca="false">INDEX('Tabela Passaro'!$F$2:$F$1795,$N927)</f>
        <v>14</v>
      </c>
      <c r="R927" s="32" t="n">
        <f aca="false">IF(J927&lt;=10,INDEX('Tabela Passaro'!$G$2:$G$1795,$N927),IF(J927&lt;=30,INDEX('Tabela Passaro'!$H$2:$H$1795,$N927),IF(J927&lt;=50,INDEX('Tabela Passaro'!$I$2:$I$1795,$N927),IF(J927&lt;=70,INDEX('Tabela Passaro'!$J$2:$J$1795,$N927),IF(J927&lt;=100,INDEX('Tabela Passaro'!$K$2:$K$1795,$N927),INDEX('Tabela Passaro'!$K$2:$K$1795,$N927)+(J927-100)*INDEX('Tabela Passaro'!$L$2:$L$1795,$N927))))))</f>
        <v>226.84</v>
      </c>
      <c r="S927" s="32" t="n">
        <f aca="false">K927*INDEX('Tabela Passaro'!$M$2:$M$1795,$N927)</f>
        <v>3.44705</v>
      </c>
      <c r="T927" s="32" t="n">
        <f aca="false">K927*INDEX('Tabela Passaro'!$N$2:$N$1795,$N927)</f>
        <v>1.37882</v>
      </c>
      <c r="U927" s="32" t="n">
        <f aca="false">INDEX('Tabela Passaro'!$O$2:$O$1795,$N927)</f>
        <v>5</v>
      </c>
      <c r="V927" s="32" t="n">
        <f aca="false">ROUNDUP(J927/INDEX('Tabela Passaro'!$Q$2:$Q$1795,$N927),0)*INDEX('Tabela Passaro'!$P$2:$P$1795,$N927)</f>
        <v>5</v>
      </c>
      <c r="W927" s="32" t="n">
        <f aca="false">INDEX('Tabela Passaro'!$R$2:$R$1795,$N927)</f>
        <v>30</v>
      </c>
      <c r="X927" s="32" t="n">
        <f aca="false">ROUNDUP(J927/INDEX('Tabela Passaro'!$T$2:$T$1795,$N927),0)*INDEX('Tabela Passaro'!$S$2:$S$1795,$N927)</f>
        <v>0</v>
      </c>
      <c r="Y927" s="32" t="n">
        <f aca="false">INDEX('Tabela Passaro'!$U$2:$U$1795,$N927)</f>
        <v>0</v>
      </c>
      <c r="Z927" s="32" t="n">
        <f aca="false">INDEX('Tabela Passaro'!$V$2:$V$1795,$N927)</f>
        <v>0</v>
      </c>
      <c r="AA927" s="32" t="n">
        <f aca="false">SUM(R927:Z927)</f>
        <v>271.66587</v>
      </c>
      <c r="AB927" s="33" t="n">
        <f aca="false">INDEX(Premissas!$B$5:$B$13,MATCH(A927,Premissas!$A$5:$A$13,0))</f>
        <v>0.07</v>
      </c>
      <c r="AC927" s="32" t="n">
        <f aca="false">AA927/(1-AB927)-AA927</f>
        <v>20.4479687096775</v>
      </c>
      <c r="AD927" s="32" t="n">
        <f aca="false">ROUND(AA927+AC927,2)</f>
        <v>292.11</v>
      </c>
      <c r="AE927" s="32" t="n">
        <f aca="false">AD927-L927</f>
        <v>60.5</v>
      </c>
      <c r="AF927" s="34" t="n">
        <f aca="false">IF(L927=0,0,AE927/L927)</f>
        <v>0.261214973446742</v>
      </c>
      <c r="AG927" s="22" t="str">
        <f aca="false">IF(AD927&lt;L927,"PASSARO","ATUAL")</f>
        <v>ATUAL</v>
      </c>
      <c r="AH927" s="22" t="str">
        <f aca="false">IF(P927&lt;&gt;A927,"Faixa cadastrada como "&amp;P927&amp;" na tabela; preço aplicado pela UF do CEP","")</f>
        <v/>
      </c>
      <c r="AI927" s="26" t="n">
        <v>314.07</v>
      </c>
      <c r="AJ927" s="22" t="str">
        <f aca="false">INDEX('Tabela Passaro'!$X$2:$X$1795,$N927)</f>
        <v>INTERIOR 2</v>
      </c>
    </row>
    <row r="928" customFormat="false" ht="15" hidden="false" customHeight="false" outlineLevel="0" collapsed="false">
      <c r="A928" s="22" t="s">
        <v>17</v>
      </c>
      <c r="B928" s="22" t="n">
        <v>10</v>
      </c>
      <c r="C928" s="22" t="s">
        <v>111</v>
      </c>
      <c r="D928" s="22" t="s">
        <v>30</v>
      </c>
      <c r="E928" s="22" t="s">
        <v>7328</v>
      </c>
      <c r="F928" s="22" t="n">
        <v>2315713</v>
      </c>
      <c r="G928" s="30" t="n">
        <v>46258</v>
      </c>
      <c r="H928" s="22" t="n">
        <v>134437</v>
      </c>
      <c r="I928" s="22" t="s">
        <v>8183</v>
      </c>
      <c r="J928" s="31" t="n">
        <v>60.9</v>
      </c>
      <c r="K928" s="26" t="n">
        <v>1414.97</v>
      </c>
      <c r="L928" s="26" t="n">
        <v>273.89</v>
      </c>
      <c r="M928" s="22" t="s">
        <v>2604</v>
      </c>
      <c r="N928" s="22" t="n">
        <f aca="false">MATCH(M928,'Tabela Passaro'!$A$2:$A$1795,0)</f>
        <v>587</v>
      </c>
      <c r="O928" s="22" t="str">
        <f aca="false">INDEX('Tabela Passaro'!$C$2:$C$1795,$N928)</f>
        <v>BREJO SANTO</v>
      </c>
      <c r="P928" s="22" t="str">
        <f aca="false">INDEX('Tabela Passaro'!$B$2:$B$1795,$N928)</f>
        <v>CE</v>
      </c>
      <c r="Q928" s="22" t="n">
        <f aca="false">INDEX('Tabela Passaro'!$F$2:$F$1795,$N928)</f>
        <v>14</v>
      </c>
      <c r="R928" s="32" t="n">
        <f aca="false">IF(J928&lt;=10,INDEX('Tabela Passaro'!$G$2:$G$1795,$N928),IF(J928&lt;=30,INDEX('Tabela Passaro'!$H$2:$H$1795,$N928),IF(J928&lt;=50,INDEX('Tabela Passaro'!$I$2:$I$1795,$N928),IF(J928&lt;=70,INDEX('Tabela Passaro'!$J$2:$J$1795,$N928),IF(J928&lt;=100,INDEX('Tabela Passaro'!$K$2:$K$1795,$N928),INDEX('Tabela Passaro'!$K$2:$K$1795,$N928)+(J928-100)*INDEX('Tabela Passaro'!$L$2:$L$1795,$N928))))))</f>
        <v>243.44</v>
      </c>
      <c r="S928" s="32" t="n">
        <f aca="false">K928*INDEX('Tabela Passaro'!$M$2:$M$1795,$N928)</f>
        <v>7.07485</v>
      </c>
      <c r="T928" s="32" t="n">
        <f aca="false">K928*INDEX('Tabela Passaro'!$N$2:$N$1795,$N928)</f>
        <v>2.82994</v>
      </c>
      <c r="U928" s="32" t="n">
        <f aca="false">INDEX('Tabela Passaro'!$O$2:$O$1795,$N928)</f>
        <v>5</v>
      </c>
      <c r="V928" s="32" t="n">
        <f aca="false">ROUNDUP(J928/INDEX('Tabela Passaro'!$Q$2:$Q$1795,$N928),0)*INDEX('Tabela Passaro'!$P$2:$P$1795,$N928)</f>
        <v>5</v>
      </c>
      <c r="W928" s="32" t="n">
        <f aca="false">INDEX('Tabela Passaro'!$R$2:$R$1795,$N928)</f>
        <v>30</v>
      </c>
      <c r="X928" s="32" t="n">
        <f aca="false">ROUNDUP(J928/INDEX('Tabela Passaro'!$T$2:$T$1795,$N928),0)*INDEX('Tabela Passaro'!$S$2:$S$1795,$N928)</f>
        <v>0</v>
      </c>
      <c r="Y928" s="32" t="n">
        <f aca="false">INDEX('Tabela Passaro'!$U$2:$U$1795,$N928)</f>
        <v>0</v>
      </c>
      <c r="Z928" s="32" t="n">
        <f aca="false">INDEX('Tabela Passaro'!$V$2:$V$1795,$N928)</f>
        <v>0</v>
      </c>
      <c r="AA928" s="32" t="n">
        <f aca="false">SUM(R928:Z928)</f>
        <v>293.34479</v>
      </c>
      <c r="AB928" s="33" t="n">
        <f aca="false">INDEX(Premissas!$B$5:$B$13,MATCH(A928,Premissas!$A$5:$A$13,0))</f>
        <v>0.07</v>
      </c>
      <c r="AC928" s="32" t="n">
        <f aca="false">AA928/(1-AB928)-AA928</f>
        <v>22.0797153763441</v>
      </c>
      <c r="AD928" s="32" t="n">
        <f aca="false">ROUND(AA928+AC928,2)</f>
        <v>315.42</v>
      </c>
      <c r="AE928" s="32" t="n">
        <f aca="false">AD928-L928</f>
        <v>41.53</v>
      </c>
      <c r="AF928" s="34" t="n">
        <f aca="false">IF(L928=0,0,AE928/L928)</f>
        <v>0.151630216510278</v>
      </c>
      <c r="AG928" s="22" t="str">
        <f aca="false">IF(AD928&lt;L928,"PASSARO","ATUAL")</f>
        <v>ATUAL</v>
      </c>
      <c r="AH928" s="22" t="str">
        <f aca="false">IF(P928&lt;&gt;A928,"Faixa cadastrada como "&amp;P928&amp;" na tabela; preço aplicado pela UF do CEP","")</f>
        <v/>
      </c>
      <c r="AI928" s="26" t="n">
        <v>351.02</v>
      </c>
      <c r="AJ928" s="22" t="str">
        <f aca="false">INDEX('Tabela Passaro'!$X$2:$X$1795,$N928)</f>
        <v>INTERIOR 2</v>
      </c>
    </row>
    <row r="929" customFormat="false" ht="15" hidden="false" customHeight="false" outlineLevel="0" collapsed="false">
      <c r="A929" s="22" t="s">
        <v>18</v>
      </c>
      <c r="B929" s="22" t="n">
        <v>1</v>
      </c>
      <c r="C929" s="22" t="s">
        <v>112</v>
      </c>
      <c r="D929" s="22" t="s">
        <v>32</v>
      </c>
      <c r="E929" s="22" t="s">
        <v>7326</v>
      </c>
      <c r="F929" s="22" t="n">
        <v>900839</v>
      </c>
      <c r="G929" s="30" t="n">
        <v>46238</v>
      </c>
      <c r="H929" s="22" t="n">
        <v>619942</v>
      </c>
      <c r="I929" s="22" t="s">
        <v>8185</v>
      </c>
      <c r="J929" s="31" t="n">
        <v>45.4</v>
      </c>
      <c r="K929" s="26" t="n">
        <v>577.83</v>
      </c>
      <c r="L929" s="26" t="n">
        <v>134.21</v>
      </c>
      <c r="M929" s="22" t="s">
        <v>3066</v>
      </c>
      <c r="N929" s="22" t="n">
        <f aca="false">MATCH(M929,'Tabela Passaro'!$A$2:$A$1795,0)</f>
        <v>704</v>
      </c>
      <c r="O929" s="22" t="str">
        <f aca="false">INDEX('Tabela Passaro'!$C$2:$C$1795,$N929)</f>
        <v>SAO LUIS</v>
      </c>
      <c r="P929" s="22" t="str">
        <f aca="false">INDEX('Tabela Passaro'!$B$2:$B$1795,$N929)</f>
        <v>MA</v>
      </c>
      <c r="Q929" s="22" t="n">
        <f aca="false">INDEX('Tabela Passaro'!$F$2:$F$1795,$N929)</f>
        <v>11</v>
      </c>
      <c r="R929" s="32" t="n">
        <f aca="false">IF(J929&lt;=10,INDEX('Tabela Passaro'!$G$2:$G$1795,$N929),IF(J929&lt;=30,INDEX('Tabela Passaro'!$H$2:$H$1795,$N929),IF(J929&lt;=50,INDEX('Tabela Passaro'!$I$2:$I$1795,$N929),IF(J929&lt;=70,INDEX('Tabela Passaro'!$J$2:$J$1795,$N929),IF(J929&lt;=100,INDEX('Tabela Passaro'!$K$2:$K$1795,$N929),INDEX('Tabela Passaro'!$K$2:$K$1795,$N929)+(J929-100)*INDEX('Tabela Passaro'!$L$2:$L$1795,$N929))))))</f>
        <v>219.51</v>
      </c>
      <c r="S929" s="32" t="n">
        <f aca="false">K929*INDEX('Tabela Passaro'!$M$2:$M$1795,$N929)</f>
        <v>2.88915</v>
      </c>
      <c r="T929" s="32" t="n">
        <f aca="false">K929*INDEX('Tabela Passaro'!$N$2:$N$1795,$N929)</f>
        <v>1.15566</v>
      </c>
      <c r="U929" s="32" t="n">
        <f aca="false">INDEX('Tabela Passaro'!$O$2:$O$1795,$N929)</f>
        <v>5</v>
      </c>
      <c r="V929" s="32" t="n">
        <f aca="false">ROUNDUP(J929/INDEX('Tabela Passaro'!$Q$2:$Q$1795,$N929),0)*INDEX('Tabela Passaro'!$P$2:$P$1795,$N929)</f>
        <v>5</v>
      </c>
      <c r="W929" s="32" t="n">
        <f aca="false">INDEX('Tabela Passaro'!$R$2:$R$1795,$N929)</f>
        <v>30</v>
      </c>
      <c r="X929" s="32" t="n">
        <f aca="false">ROUNDUP(J929/INDEX('Tabela Passaro'!$T$2:$T$1795,$N929),0)*INDEX('Tabela Passaro'!$S$2:$S$1795,$N929)</f>
        <v>0</v>
      </c>
      <c r="Y929" s="32" t="n">
        <f aca="false">INDEX('Tabela Passaro'!$U$2:$U$1795,$N929)</f>
        <v>0</v>
      </c>
      <c r="Z929" s="32" t="n">
        <f aca="false">INDEX('Tabela Passaro'!$V$2:$V$1795,$N929)</f>
        <v>0</v>
      </c>
      <c r="AA929" s="32" t="n">
        <f aca="false">SUM(R929:Z929)</f>
        <v>263.55481</v>
      </c>
      <c r="AB929" s="33" t="n">
        <f aca="false">INDEX(Premissas!$B$5:$B$13,MATCH(A929,Premissas!$A$5:$A$13,0))</f>
        <v>0.07</v>
      </c>
      <c r="AC929" s="32" t="n">
        <f aca="false">AA929/(1-AB929)-AA929</f>
        <v>19.8374588172043</v>
      </c>
      <c r="AD929" s="32" t="n">
        <f aca="false">ROUND(AA929+AC929,2)</f>
        <v>283.39</v>
      </c>
      <c r="AE929" s="32" t="n">
        <f aca="false">AD929-L929</f>
        <v>149.18</v>
      </c>
      <c r="AF929" s="34" t="n">
        <f aca="false">IF(L929=0,0,AE929/L929)</f>
        <v>1.11154161388868</v>
      </c>
      <c r="AG929" s="22" t="str">
        <f aca="false">IF(AD929&lt;L929,"PASSARO","ATUAL")</f>
        <v>ATUAL</v>
      </c>
      <c r="AH929" s="22" t="str">
        <f aca="false">IF(P929&lt;&gt;A929,"Faixa cadastrada como "&amp;P929&amp;" na tabela; preço aplicado pela UF do CEP","")</f>
        <v/>
      </c>
      <c r="AI929" s="26" t="n">
        <v>324.7</v>
      </c>
      <c r="AJ929" s="22" t="str">
        <f aca="false">INDEX('Tabela Passaro'!$X$2:$X$1795,$N929)</f>
        <v>CAPITAL</v>
      </c>
    </row>
    <row r="930" customFormat="false" ht="15" hidden="false" customHeight="false" outlineLevel="0" collapsed="false">
      <c r="A930" s="22" t="s">
        <v>18</v>
      </c>
      <c r="B930" s="22" t="n">
        <v>1</v>
      </c>
      <c r="C930" s="22" t="s">
        <v>112</v>
      </c>
      <c r="D930" s="22" t="s">
        <v>32</v>
      </c>
      <c r="E930" s="22" t="s">
        <v>7326</v>
      </c>
      <c r="F930" s="22" t="n">
        <v>900816</v>
      </c>
      <c r="G930" s="30" t="n">
        <v>46238</v>
      </c>
      <c r="H930" s="22" t="n">
        <v>620401</v>
      </c>
      <c r="I930" s="22" t="s">
        <v>8186</v>
      </c>
      <c r="J930" s="31" t="n">
        <v>63.1</v>
      </c>
      <c r="K930" s="26" t="n">
        <v>2496.39</v>
      </c>
      <c r="L930" s="26" t="n">
        <v>185.19</v>
      </c>
      <c r="M930" s="22" t="s">
        <v>3066</v>
      </c>
      <c r="N930" s="22" t="n">
        <f aca="false">MATCH(M930,'Tabela Passaro'!$A$2:$A$1795,0)</f>
        <v>704</v>
      </c>
      <c r="O930" s="22" t="str">
        <f aca="false">INDEX('Tabela Passaro'!$C$2:$C$1795,$N930)</f>
        <v>SAO LUIS</v>
      </c>
      <c r="P930" s="22" t="str">
        <f aca="false">INDEX('Tabela Passaro'!$B$2:$B$1795,$N930)</f>
        <v>MA</v>
      </c>
      <c r="Q930" s="22" t="n">
        <f aca="false">INDEX('Tabela Passaro'!$F$2:$F$1795,$N930)</f>
        <v>11</v>
      </c>
      <c r="R930" s="32" t="n">
        <f aca="false">IF(J930&lt;=10,INDEX('Tabela Passaro'!$G$2:$G$1795,$N930),IF(J930&lt;=30,INDEX('Tabela Passaro'!$H$2:$H$1795,$N930),IF(J930&lt;=50,INDEX('Tabela Passaro'!$I$2:$I$1795,$N930),IF(J930&lt;=70,INDEX('Tabela Passaro'!$J$2:$J$1795,$N930),IF(J930&lt;=100,INDEX('Tabela Passaro'!$K$2:$K$1795,$N930),INDEX('Tabela Passaro'!$K$2:$K$1795,$N930)+(J930-100)*INDEX('Tabela Passaro'!$L$2:$L$1795,$N930))))))</f>
        <v>236.11</v>
      </c>
      <c r="S930" s="32" t="n">
        <f aca="false">K930*INDEX('Tabela Passaro'!$M$2:$M$1795,$N930)</f>
        <v>12.48195</v>
      </c>
      <c r="T930" s="32" t="n">
        <f aca="false">K930*INDEX('Tabela Passaro'!$N$2:$N$1795,$N930)</f>
        <v>4.99278</v>
      </c>
      <c r="U930" s="32" t="n">
        <f aca="false">INDEX('Tabela Passaro'!$O$2:$O$1795,$N930)</f>
        <v>5</v>
      </c>
      <c r="V930" s="32" t="n">
        <f aca="false">ROUNDUP(J930/INDEX('Tabela Passaro'!$Q$2:$Q$1795,$N930),0)*INDEX('Tabela Passaro'!$P$2:$P$1795,$N930)</f>
        <v>5</v>
      </c>
      <c r="W930" s="32" t="n">
        <f aca="false">INDEX('Tabela Passaro'!$R$2:$R$1795,$N930)</f>
        <v>30</v>
      </c>
      <c r="X930" s="32" t="n">
        <f aca="false">ROUNDUP(J930/INDEX('Tabela Passaro'!$T$2:$T$1795,$N930),0)*INDEX('Tabela Passaro'!$S$2:$S$1795,$N930)</f>
        <v>0</v>
      </c>
      <c r="Y930" s="32" t="n">
        <f aca="false">INDEX('Tabela Passaro'!$U$2:$U$1795,$N930)</f>
        <v>0</v>
      </c>
      <c r="Z930" s="32" t="n">
        <f aca="false">INDEX('Tabela Passaro'!$V$2:$V$1795,$N930)</f>
        <v>0</v>
      </c>
      <c r="AA930" s="32" t="n">
        <f aca="false">SUM(R930:Z930)</f>
        <v>293.58473</v>
      </c>
      <c r="AB930" s="33" t="n">
        <f aca="false">INDEX(Premissas!$B$5:$B$13,MATCH(A930,Premissas!$A$5:$A$13,0))</f>
        <v>0.07</v>
      </c>
      <c r="AC930" s="32" t="n">
        <f aca="false">AA930/(1-AB930)-AA930</f>
        <v>22.0977753763441</v>
      </c>
      <c r="AD930" s="32" t="n">
        <f aca="false">ROUND(AA930+AC930,2)</f>
        <v>315.68</v>
      </c>
      <c r="AE930" s="32" t="n">
        <f aca="false">AD930-L930</f>
        <v>130.49</v>
      </c>
      <c r="AF930" s="34" t="n">
        <f aca="false">IF(L930=0,0,AE930/L930)</f>
        <v>0.704627679680328</v>
      </c>
      <c r="AG930" s="22" t="str">
        <f aca="false">IF(AD930&lt;L930,"PASSARO","ATUAL")</f>
        <v>ATUAL</v>
      </c>
      <c r="AH930" s="22" t="str">
        <f aca="false">IF(P930&lt;&gt;A930,"Faixa cadastrada como "&amp;P930&amp;" na tabela; preço aplicado pela UF do CEP","")</f>
        <v/>
      </c>
      <c r="AI930" s="26" t="n">
        <v>370.76</v>
      </c>
      <c r="AJ930" s="22" t="str">
        <f aca="false">INDEX('Tabela Passaro'!$X$2:$X$1795,$N930)</f>
        <v>CAPITAL</v>
      </c>
    </row>
    <row r="931" customFormat="false" ht="15" hidden="false" customHeight="false" outlineLevel="0" collapsed="false">
      <c r="A931" s="22" t="s">
        <v>18</v>
      </c>
      <c r="B931" s="22" t="n">
        <v>1</v>
      </c>
      <c r="C931" s="22" t="s">
        <v>112</v>
      </c>
      <c r="D931" s="22" t="s">
        <v>32</v>
      </c>
      <c r="E931" s="22" t="s">
        <v>7326</v>
      </c>
      <c r="F931" s="22" t="n">
        <v>901307</v>
      </c>
      <c r="G931" s="30" t="n">
        <v>46239</v>
      </c>
      <c r="H931" s="22" t="n">
        <v>620631</v>
      </c>
      <c r="I931" s="22" t="s">
        <v>8187</v>
      </c>
      <c r="J931" s="31" t="n">
        <v>29.2</v>
      </c>
      <c r="K931" s="26" t="n">
        <v>497.14</v>
      </c>
      <c r="L931" s="26" t="n">
        <v>119.64</v>
      </c>
      <c r="M931" s="22" t="s">
        <v>3066</v>
      </c>
      <c r="N931" s="22" t="n">
        <f aca="false">MATCH(M931,'Tabela Passaro'!$A$2:$A$1795,0)</f>
        <v>704</v>
      </c>
      <c r="O931" s="22" t="str">
        <f aca="false">INDEX('Tabela Passaro'!$C$2:$C$1795,$N931)</f>
        <v>SAO LUIS</v>
      </c>
      <c r="P931" s="22" t="str">
        <f aca="false">INDEX('Tabela Passaro'!$B$2:$B$1795,$N931)</f>
        <v>MA</v>
      </c>
      <c r="Q931" s="22" t="n">
        <f aca="false">INDEX('Tabela Passaro'!$F$2:$F$1795,$N931)</f>
        <v>11</v>
      </c>
      <c r="R931" s="32" t="n">
        <f aca="false">IF(J931&lt;=10,INDEX('Tabela Passaro'!$G$2:$G$1795,$N931),IF(J931&lt;=30,INDEX('Tabela Passaro'!$H$2:$H$1795,$N931),IF(J931&lt;=50,INDEX('Tabela Passaro'!$I$2:$I$1795,$N931),IF(J931&lt;=70,INDEX('Tabela Passaro'!$J$2:$J$1795,$N931),IF(J931&lt;=100,INDEX('Tabela Passaro'!$K$2:$K$1795,$N931),INDEX('Tabela Passaro'!$K$2:$K$1795,$N931)+(J931-100)*INDEX('Tabela Passaro'!$L$2:$L$1795,$N931))))))</f>
        <v>197.38</v>
      </c>
      <c r="S931" s="32" t="n">
        <f aca="false">K931*INDEX('Tabela Passaro'!$M$2:$M$1795,$N931)</f>
        <v>2.4857</v>
      </c>
      <c r="T931" s="32" t="n">
        <f aca="false">K931*INDEX('Tabela Passaro'!$N$2:$N$1795,$N931)</f>
        <v>0.99428</v>
      </c>
      <c r="U931" s="32" t="n">
        <f aca="false">INDEX('Tabela Passaro'!$O$2:$O$1795,$N931)</f>
        <v>5</v>
      </c>
      <c r="V931" s="32" t="n">
        <f aca="false">ROUNDUP(J931/INDEX('Tabela Passaro'!$Q$2:$Q$1795,$N931),0)*INDEX('Tabela Passaro'!$P$2:$P$1795,$N931)</f>
        <v>5</v>
      </c>
      <c r="W931" s="32" t="n">
        <f aca="false">INDEX('Tabela Passaro'!$R$2:$R$1795,$N931)</f>
        <v>30</v>
      </c>
      <c r="X931" s="32" t="n">
        <f aca="false">ROUNDUP(J931/INDEX('Tabela Passaro'!$T$2:$T$1795,$N931),0)*INDEX('Tabela Passaro'!$S$2:$S$1795,$N931)</f>
        <v>0</v>
      </c>
      <c r="Y931" s="32" t="n">
        <f aca="false">INDEX('Tabela Passaro'!$U$2:$U$1795,$N931)</f>
        <v>0</v>
      </c>
      <c r="Z931" s="32" t="n">
        <f aca="false">INDEX('Tabela Passaro'!$V$2:$V$1795,$N931)</f>
        <v>0</v>
      </c>
      <c r="AA931" s="32" t="n">
        <f aca="false">SUM(R931:Z931)</f>
        <v>240.85998</v>
      </c>
      <c r="AB931" s="33" t="n">
        <f aca="false">INDEX(Premissas!$B$5:$B$13,MATCH(A931,Premissas!$A$5:$A$13,0))</f>
        <v>0.07</v>
      </c>
      <c r="AC931" s="32" t="n">
        <f aca="false">AA931/(1-AB931)-AA931</f>
        <v>18.1292458064517</v>
      </c>
      <c r="AD931" s="32" t="n">
        <f aca="false">ROUND(AA931+AC931,2)</f>
        <v>258.99</v>
      </c>
      <c r="AE931" s="32" t="n">
        <f aca="false">AD931-L931</f>
        <v>139.35</v>
      </c>
      <c r="AF931" s="34" t="n">
        <f aca="false">IF(L931=0,0,AE931/L931)</f>
        <v>1.16474423269809</v>
      </c>
      <c r="AG931" s="22" t="str">
        <f aca="false">IF(AD931&lt;L931,"PASSARO","ATUAL")</f>
        <v>ATUAL</v>
      </c>
      <c r="AH931" s="22" t="str">
        <f aca="false">IF(P931&lt;&gt;A931,"Faixa cadastrada como "&amp;P931&amp;" na tabela; preço aplicado pela UF do CEP","")</f>
        <v/>
      </c>
      <c r="AI931" s="26" t="n">
        <v>291.12</v>
      </c>
      <c r="AJ931" s="22" t="str">
        <f aca="false">INDEX('Tabela Passaro'!$X$2:$X$1795,$N931)</f>
        <v>CAPITAL</v>
      </c>
    </row>
    <row r="932" customFormat="false" ht="15" hidden="false" customHeight="false" outlineLevel="0" collapsed="false">
      <c r="A932" s="22" t="s">
        <v>18</v>
      </c>
      <c r="B932" s="22" t="n">
        <v>1</v>
      </c>
      <c r="C932" s="22" t="s">
        <v>112</v>
      </c>
      <c r="D932" s="22" t="s">
        <v>32</v>
      </c>
      <c r="E932" s="22" t="s">
        <v>7326</v>
      </c>
      <c r="F932" s="22" t="n">
        <v>901990</v>
      </c>
      <c r="G932" s="30" t="n">
        <v>46241</v>
      </c>
      <c r="H932" s="22" t="n">
        <v>621484</v>
      </c>
      <c r="I932" s="22" t="s">
        <v>8188</v>
      </c>
      <c r="J932" s="31" t="n">
        <v>25.75</v>
      </c>
      <c r="K932" s="26" t="n">
        <v>516.81</v>
      </c>
      <c r="L932" s="26" t="n">
        <v>119.9</v>
      </c>
      <c r="M932" s="22" t="s">
        <v>3066</v>
      </c>
      <c r="N932" s="22" t="n">
        <f aca="false">MATCH(M932,'Tabela Passaro'!$A$2:$A$1795,0)</f>
        <v>704</v>
      </c>
      <c r="O932" s="22" t="str">
        <f aca="false">INDEX('Tabela Passaro'!$C$2:$C$1795,$N932)</f>
        <v>SAO LUIS</v>
      </c>
      <c r="P932" s="22" t="str">
        <f aca="false">INDEX('Tabela Passaro'!$B$2:$B$1795,$N932)</f>
        <v>MA</v>
      </c>
      <c r="Q932" s="22" t="n">
        <f aca="false">INDEX('Tabela Passaro'!$F$2:$F$1795,$N932)</f>
        <v>11</v>
      </c>
      <c r="R932" s="32" t="n">
        <f aca="false">IF(J932&lt;=10,INDEX('Tabela Passaro'!$G$2:$G$1795,$N932),IF(J932&lt;=30,INDEX('Tabela Passaro'!$H$2:$H$1795,$N932),IF(J932&lt;=50,INDEX('Tabela Passaro'!$I$2:$I$1795,$N932),IF(J932&lt;=70,INDEX('Tabela Passaro'!$J$2:$J$1795,$N932),IF(J932&lt;=100,INDEX('Tabela Passaro'!$K$2:$K$1795,$N932),INDEX('Tabela Passaro'!$K$2:$K$1795,$N932)+(J932-100)*INDEX('Tabela Passaro'!$L$2:$L$1795,$N932))))))</f>
        <v>197.38</v>
      </c>
      <c r="S932" s="32" t="n">
        <f aca="false">K932*INDEX('Tabela Passaro'!$M$2:$M$1795,$N932)</f>
        <v>2.58405</v>
      </c>
      <c r="T932" s="32" t="n">
        <f aca="false">K932*INDEX('Tabela Passaro'!$N$2:$N$1795,$N932)</f>
        <v>1.03362</v>
      </c>
      <c r="U932" s="32" t="n">
        <f aca="false">INDEX('Tabela Passaro'!$O$2:$O$1795,$N932)</f>
        <v>5</v>
      </c>
      <c r="V932" s="32" t="n">
        <f aca="false">ROUNDUP(J932/INDEX('Tabela Passaro'!$Q$2:$Q$1795,$N932),0)*INDEX('Tabela Passaro'!$P$2:$P$1795,$N932)</f>
        <v>5</v>
      </c>
      <c r="W932" s="32" t="n">
        <f aca="false">INDEX('Tabela Passaro'!$R$2:$R$1795,$N932)</f>
        <v>30</v>
      </c>
      <c r="X932" s="32" t="n">
        <f aca="false">ROUNDUP(J932/INDEX('Tabela Passaro'!$T$2:$T$1795,$N932),0)*INDEX('Tabela Passaro'!$S$2:$S$1795,$N932)</f>
        <v>0</v>
      </c>
      <c r="Y932" s="32" t="n">
        <f aca="false">INDEX('Tabela Passaro'!$U$2:$U$1795,$N932)</f>
        <v>0</v>
      </c>
      <c r="Z932" s="32" t="n">
        <f aca="false">INDEX('Tabela Passaro'!$V$2:$V$1795,$N932)</f>
        <v>0</v>
      </c>
      <c r="AA932" s="32" t="n">
        <f aca="false">SUM(R932:Z932)</f>
        <v>240.99767</v>
      </c>
      <c r="AB932" s="33" t="n">
        <f aca="false">INDEX(Premissas!$B$5:$B$13,MATCH(A932,Premissas!$A$5:$A$13,0))</f>
        <v>0.07</v>
      </c>
      <c r="AC932" s="32" t="n">
        <f aca="false">AA932/(1-AB932)-AA932</f>
        <v>18.1396095698925</v>
      </c>
      <c r="AD932" s="32" t="n">
        <f aca="false">ROUND(AA932+AC932,2)</f>
        <v>259.14</v>
      </c>
      <c r="AE932" s="32" t="n">
        <f aca="false">AD932-L932</f>
        <v>139.24</v>
      </c>
      <c r="AF932" s="34" t="n">
        <f aca="false">IF(L932=0,0,AE932/L932)</f>
        <v>1.16130108423686</v>
      </c>
      <c r="AG932" s="22" t="str">
        <f aca="false">IF(AD932&lt;L932,"PASSARO","ATUAL")</f>
        <v>ATUAL</v>
      </c>
      <c r="AH932" s="22" t="str">
        <f aca="false">IF(P932&lt;&gt;A932,"Faixa cadastrada como "&amp;P932&amp;" na tabela; preço aplicado pela UF do CEP","")</f>
        <v/>
      </c>
      <c r="AI932" s="26" t="n">
        <v>289.38</v>
      </c>
      <c r="AJ932" s="22" t="str">
        <f aca="false">INDEX('Tabela Passaro'!$X$2:$X$1795,$N932)</f>
        <v>CAPITAL</v>
      </c>
    </row>
    <row r="933" customFormat="false" ht="15" hidden="false" customHeight="false" outlineLevel="0" collapsed="false">
      <c r="A933" s="22" t="s">
        <v>18</v>
      </c>
      <c r="B933" s="22" t="n">
        <v>1</v>
      </c>
      <c r="C933" s="22" t="s">
        <v>112</v>
      </c>
      <c r="D933" s="22" t="s">
        <v>32</v>
      </c>
      <c r="E933" s="22" t="s">
        <v>7326</v>
      </c>
      <c r="F933" s="22" t="n">
        <v>901998</v>
      </c>
      <c r="G933" s="30" t="n">
        <v>46241</v>
      </c>
      <c r="H933" s="22" t="n">
        <v>621492</v>
      </c>
      <c r="I933" s="22" t="s">
        <v>8189</v>
      </c>
      <c r="J933" s="31" t="n">
        <v>40.3</v>
      </c>
      <c r="K933" s="26" t="n">
        <v>744.08</v>
      </c>
      <c r="L933" s="26" t="n">
        <v>136.36</v>
      </c>
      <c r="M933" s="22" t="s">
        <v>3066</v>
      </c>
      <c r="N933" s="22" t="n">
        <f aca="false">MATCH(M933,'Tabela Passaro'!$A$2:$A$1795,0)</f>
        <v>704</v>
      </c>
      <c r="O933" s="22" t="str">
        <f aca="false">INDEX('Tabela Passaro'!$C$2:$C$1795,$N933)</f>
        <v>SAO LUIS</v>
      </c>
      <c r="P933" s="22" t="str">
        <f aca="false">INDEX('Tabela Passaro'!$B$2:$B$1795,$N933)</f>
        <v>MA</v>
      </c>
      <c r="Q933" s="22" t="n">
        <f aca="false">INDEX('Tabela Passaro'!$F$2:$F$1795,$N933)</f>
        <v>11</v>
      </c>
      <c r="R933" s="32" t="n">
        <f aca="false">IF(J933&lt;=10,INDEX('Tabela Passaro'!$G$2:$G$1795,$N933),IF(J933&lt;=30,INDEX('Tabela Passaro'!$H$2:$H$1795,$N933),IF(J933&lt;=50,INDEX('Tabela Passaro'!$I$2:$I$1795,$N933),IF(J933&lt;=70,INDEX('Tabela Passaro'!$J$2:$J$1795,$N933),IF(J933&lt;=100,INDEX('Tabela Passaro'!$K$2:$K$1795,$N933),INDEX('Tabela Passaro'!$K$2:$K$1795,$N933)+(J933-100)*INDEX('Tabela Passaro'!$L$2:$L$1795,$N933))))))</f>
        <v>219.51</v>
      </c>
      <c r="S933" s="32" t="n">
        <f aca="false">K933*INDEX('Tabela Passaro'!$M$2:$M$1795,$N933)</f>
        <v>3.7204</v>
      </c>
      <c r="T933" s="32" t="n">
        <f aca="false">K933*INDEX('Tabela Passaro'!$N$2:$N$1795,$N933)</f>
        <v>1.48816</v>
      </c>
      <c r="U933" s="32" t="n">
        <f aca="false">INDEX('Tabela Passaro'!$O$2:$O$1795,$N933)</f>
        <v>5</v>
      </c>
      <c r="V933" s="32" t="n">
        <f aca="false">ROUNDUP(J933/INDEX('Tabela Passaro'!$Q$2:$Q$1795,$N933),0)*INDEX('Tabela Passaro'!$P$2:$P$1795,$N933)</f>
        <v>5</v>
      </c>
      <c r="W933" s="32" t="n">
        <f aca="false">INDEX('Tabela Passaro'!$R$2:$R$1795,$N933)</f>
        <v>30</v>
      </c>
      <c r="X933" s="32" t="n">
        <f aca="false">ROUNDUP(J933/INDEX('Tabela Passaro'!$T$2:$T$1795,$N933),0)*INDEX('Tabela Passaro'!$S$2:$S$1795,$N933)</f>
        <v>0</v>
      </c>
      <c r="Y933" s="32" t="n">
        <f aca="false">INDEX('Tabela Passaro'!$U$2:$U$1795,$N933)</f>
        <v>0</v>
      </c>
      <c r="Z933" s="32" t="n">
        <f aca="false">INDEX('Tabela Passaro'!$V$2:$V$1795,$N933)</f>
        <v>0</v>
      </c>
      <c r="AA933" s="32" t="n">
        <f aca="false">SUM(R933:Z933)</f>
        <v>264.71856</v>
      </c>
      <c r="AB933" s="33" t="n">
        <f aca="false">INDEX(Premissas!$B$5:$B$13,MATCH(A933,Premissas!$A$5:$A$13,0))</f>
        <v>0.07</v>
      </c>
      <c r="AC933" s="32" t="n">
        <f aca="false">AA933/(1-AB933)-AA933</f>
        <v>19.9250529032258</v>
      </c>
      <c r="AD933" s="32" t="n">
        <f aca="false">ROUND(AA933+AC933,2)</f>
        <v>284.64</v>
      </c>
      <c r="AE933" s="32" t="n">
        <f aca="false">AD933-L933</f>
        <v>148.28</v>
      </c>
      <c r="AF933" s="34" t="n">
        <f aca="false">IF(L933=0,0,AE933/L933)</f>
        <v>1.08741566441772</v>
      </c>
      <c r="AG933" s="22" t="str">
        <f aca="false">IF(AD933&lt;L933,"PASSARO","ATUAL")</f>
        <v>ATUAL</v>
      </c>
      <c r="AH933" s="22" t="str">
        <f aca="false">IF(P933&lt;&gt;A933,"Faixa cadastrada como "&amp;P933&amp;" na tabela; preço aplicado pela UF do CEP","")</f>
        <v/>
      </c>
      <c r="AI933" s="26" t="n">
        <v>323.89</v>
      </c>
      <c r="AJ933" s="22" t="str">
        <f aca="false">INDEX('Tabela Passaro'!$X$2:$X$1795,$N933)</f>
        <v>CAPITAL</v>
      </c>
    </row>
    <row r="934" customFormat="false" ht="15" hidden="false" customHeight="false" outlineLevel="0" collapsed="false">
      <c r="A934" s="22" t="s">
        <v>18</v>
      </c>
      <c r="B934" s="22" t="n">
        <v>1</v>
      </c>
      <c r="C934" s="22" t="s">
        <v>112</v>
      </c>
      <c r="D934" s="22" t="s">
        <v>32</v>
      </c>
      <c r="E934" s="22" t="s">
        <v>7326</v>
      </c>
      <c r="F934" s="22" t="n">
        <v>902645</v>
      </c>
      <c r="G934" s="30" t="n">
        <v>46245</v>
      </c>
      <c r="H934" s="22" t="n">
        <v>622679</v>
      </c>
      <c r="I934" s="22" t="s">
        <v>8190</v>
      </c>
      <c r="J934" s="31" t="n">
        <v>33</v>
      </c>
      <c r="K934" s="26" t="n">
        <v>542.1</v>
      </c>
      <c r="L934" s="26" t="n">
        <v>133.76</v>
      </c>
      <c r="M934" s="22" t="s">
        <v>3066</v>
      </c>
      <c r="N934" s="22" t="n">
        <f aca="false">MATCH(M934,'Tabela Passaro'!$A$2:$A$1795,0)</f>
        <v>704</v>
      </c>
      <c r="O934" s="22" t="str">
        <f aca="false">INDEX('Tabela Passaro'!$C$2:$C$1795,$N934)</f>
        <v>SAO LUIS</v>
      </c>
      <c r="P934" s="22" t="str">
        <f aca="false">INDEX('Tabela Passaro'!$B$2:$B$1795,$N934)</f>
        <v>MA</v>
      </c>
      <c r="Q934" s="22" t="n">
        <f aca="false">INDEX('Tabela Passaro'!$F$2:$F$1795,$N934)</f>
        <v>11</v>
      </c>
      <c r="R934" s="32" t="n">
        <f aca="false">IF(J934&lt;=10,INDEX('Tabela Passaro'!$G$2:$G$1795,$N934),IF(J934&lt;=30,INDEX('Tabela Passaro'!$H$2:$H$1795,$N934),IF(J934&lt;=50,INDEX('Tabela Passaro'!$I$2:$I$1795,$N934),IF(J934&lt;=70,INDEX('Tabela Passaro'!$J$2:$J$1795,$N934),IF(J934&lt;=100,INDEX('Tabela Passaro'!$K$2:$K$1795,$N934),INDEX('Tabela Passaro'!$K$2:$K$1795,$N934)+(J934-100)*INDEX('Tabela Passaro'!$L$2:$L$1795,$N934))))))</f>
        <v>219.51</v>
      </c>
      <c r="S934" s="32" t="n">
        <f aca="false">K934*INDEX('Tabela Passaro'!$M$2:$M$1795,$N934)</f>
        <v>2.7105</v>
      </c>
      <c r="T934" s="32" t="n">
        <f aca="false">K934*INDEX('Tabela Passaro'!$N$2:$N$1795,$N934)</f>
        <v>1.0842</v>
      </c>
      <c r="U934" s="32" t="n">
        <f aca="false">INDEX('Tabela Passaro'!$O$2:$O$1795,$N934)</f>
        <v>5</v>
      </c>
      <c r="V934" s="32" t="n">
        <f aca="false">ROUNDUP(J934/INDEX('Tabela Passaro'!$Q$2:$Q$1795,$N934),0)*INDEX('Tabela Passaro'!$P$2:$P$1795,$N934)</f>
        <v>5</v>
      </c>
      <c r="W934" s="32" t="n">
        <f aca="false">INDEX('Tabela Passaro'!$R$2:$R$1795,$N934)</f>
        <v>30</v>
      </c>
      <c r="X934" s="32" t="n">
        <f aca="false">ROUNDUP(J934/INDEX('Tabela Passaro'!$T$2:$T$1795,$N934),0)*INDEX('Tabela Passaro'!$S$2:$S$1795,$N934)</f>
        <v>0</v>
      </c>
      <c r="Y934" s="32" t="n">
        <f aca="false">INDEX('Tabela Passaro'!$U$2:$U$1795,$N934)</f>
        <v>0</v>
      </c>
      <c r="Z934" s="32" t="n">
        <f aca="false">INDEX('Tabela Passaro'!$V$2:$V$1795,$N934)</f>
        <v>0</v>
      </c>
      <c r="AA934" s="32" t="n">
        <f aca="false">SUM(R934:Z934)</f>
        <v>263.3047</v>
      </c>
      <c r="AB934" s="33" t="n">
        <f aca="false">INDEX(Premissas!$B$5:$B$13,MATCH(A934,Premissas!$A$5:$A$13,0))</f>
        <v>0.07</v>
      </c>
      <c r="AC934" s="32" t="n">
        <f aca="false">AA934/(1-AB934)-AA934</f>
        <v>19.8186333333334</v>
      </c>
      <c r="AD934" s="32" t="n">
        <f aca="false">ROUND(AA934+AC934,2)</f>
        <v>283.12</v>
      </c>
      <c r="AE934" s="32" t="n">
        <f aca="false">AD934-L934</f>
        <v>149.36</v>
      </c>
      <c r="AF934" s="34" t="n">
        <f aca="false">IF(L934=0,0,AE934/L934)</f>
        <v>1.11662679425837</v>
      </c>
      <c r="AG934" s="22" t="str">
        <f aca="false">IF(AD934&lt;L934,"PASSARO","ATUAL")</f>
        <v>ATUAL</v>
      </c>
      <c r="AH934" s="22" t="str">
        <f aca="false">IF(P934&lt;&gt;A934,"Faixa cadastrada como "&amp;P934&amp;" na tabela; preço aplicado pela UF do CEP","")</f>
        <v/>
      </c>
      <c r="AI934" s="26" t="n">
        <v>318.06</v>
      </c>
      <c r="AJ934" s="22" t="str">
        <f aca="false">INDEX('Tabela Passaro'!$X$2:$X$1795,$N934)</f>
        <v>CAPITAL</v>
      </c>
    </row>
    <row r="935" customFormat="false" ht="15" hidden="false" customHeight="false" outlineLevel="0" collapsed="false">
      <c r="A935" s="22" t="s">
        <v>18</v>
      </c>
      <c r="B935" s="22" t="n">
        <v>1</v>
      </c>
      <c r="C935" s="22" t="s">
        <v>112</v>
      </c>
      <c r="D935" s="22" t="s">
        <v>32</v>
      </c>
      <c r="E935" s="22" t="s">
        <v>7326</v>
      </c>
      <c r="F935" s="22" t="n">
        <v>902567</v>
      </c>
      <c r="G935" s="30" t="n">
        <v>46245</v>
      </c>
      <c r="H935" s="22" t="n">
        <v>622691</v>
      </c>
      <c r="I935" s="22" t="s">
        <v>8191</v>
      </c>
      <c r="J935" s="31" t="n">
        <v>58.78</v>
      </c>
      <c r="K935" s="26" t="n">
        <v>851.15</v>
      </c>
      <c r="L935" s="26" t="n">
        <v>163.96</v>
      </c>
      <c r="M935" s="22" t="s">
        <v>3066</v>
      </c>
      <c r="N935" s="22" t="n">
        <f aca="false">MATCH(M935,'Tabela Passaro'!$A$2:$A$1795,0)</f>
        <v>704</v>
      </c>
      <c r="O935" s="22" t="str">
        <f aca="false">INDEX('Tabela Passaro'!$C$2:$C$1795,$N935)</f>
        <v>SAO LUIS</v>
      </c>
      <c r="P935" s="22" t="str">
        <f aca="false">INDEX('Tabela Passaro'!$B$2:$B$1795,$N935)</f>
        <v>MA</v>
      </c>
      <c r="Q935" s="22" t="n">
        <f aca="false">INDEX('Tabela Passaro'!$F$2:$F$1795,$N935)</f>
        <v>11</v>
      </c>
      <c r="R935" s="32" t="n">
        <f aca="false">IF(J935&lt;=10,INDEX('Tabela Passaro'!$G$2:$G$1795,$N935),IF(J935&lt;=30,INDEX('Tabela Passaro'!$H$2:$H$1795,$N935),IF(J935&lt;=50,INDEX('Tabela Passaro'!$I$2:$I$1795,$N935),IF(J935&lt;=70,INDEX('Tabela Passaro'!$J$2:$J$1795,$N935),IF(J935&lt;=100,INDEX('Tabela Passaro'!$K$2:$K$1795,$N935),INDEX('Tabela Passaro'!$K$2:$K$1795,$N935)+(J935-100)*INDEX('Tabela Passaro'!$L$2:$L$1795,$N935))))))</f>
        <v>236.11</v>
      </c>
      <c r="S935" s="32" t="n">
        <f aca="false">K935*INDEX('Tabela Passaro'!$M$2:$M$1795,$N935)</f>
        <v>4.25575</v>
      </c>
      <c r="T935" s="32" t="n">
        <f aca="false">K935*INDEX('Tabela Passaro'!$N$2:$N$1795,$N935)</f>
        <v>1.7023</v>
      </c>
      <c r="U935" s="32" t="n">
        <f aca="false">INDEX('Tabela Passaro'!$O$2:$O$1795,$N935)</f>
        <v>5</v>
      </c>
      <c r="V935" s="32" t="n">
        <f aca="false">ROUNDUP(J935/INDEX('Tabela Passaro'!$Q$2:$Q$1795,$N935),0)*INDEX('Tabela Passaro'!$P$2:$P$1795,$N935)</f>
        <v>5</v>
      </c>
      <c r="W935" s="32" t="n">
        <f aca="false">INDEX('Tabela Passaro'!$R$2:$R$1795,$N935)</f>
        <v>30</v>
      </c>
      <c r="X935" s="32" t="n">
        <f aca="false">ROUNDUP(J935/INDEX('Tabela Passaro'!$T$2:$T$1795,$N935),0)*INDEX('Tabela Passaro'!$S$2:$S$1795,$N935)</f>
        <v>0</v>
      </c>
      <c r="Y935" s="32" t="n">
        <f aca="false">INDEX('Tabela Passaro'!$U$2:$U$1795,$N935)</f>
        <v>0</v>
      </c>
      <c r="Z935" s="32" t="n">
        <f aca="false">INDEX('Tabela Passaro'!$V$2:$V$1795,$N935)</f>
        <v>0</v>
      </c>
      <c r="AA935" s="32" t="n">
        <f aca="false">SUM(R935:Z935)</f>
        <v>282.06805</v>
      </c>
      <c r="AB935" s="33" t="n">
        <f aca="false">INDEX(Premissas!$B$5:$B$13,MATCH(A935,Premissas!$A$5:$A$13,0))</f>
        <v>0.07</v>
      </c>
      <c r="AC935" s="32" t="n">
        <f aca="false">AA935/(1-AB935)-AA935</f>
        <v>21.2309284946237</v>
      </c>
      <c r="AD935" s="32" t="n">
        <f aca="false">ROUND(AA935+AC935,2)</f>
        <v>303.3</v>
      </c>
      <c r="AE935" s="32" t="n">
        <f aca="false">AD935-L935</f>
        <v>139.34</v>
      </c>
      <c r="AF935" s="34" t="n">
        <f aca="false">IF(L935=0,0,AE935/L935)</f>
        <v>0.849841424737741</v>
      </c>
      <c r="AG935" s="22" t="str">
        <f aca="false">IF(AD935&lt;L935,"PASSARO","ATUAL")</f>
        <v>ATUAL</v>
      </c>
      <c r="AH935" s="22" t="str">
        <f aca="false">IF(P935&lt;&gt;A935,"Faixa cadastrada como "&amp;P935&amp;" na tabela; preço aplicado pela UF do CEP","")</f>
        <v/>
      </c>
      <c r="AI935" s="26" t="n">
        <v>352.42</v>
      </c>
      <c r="AJ935" s="22" t="str">
        <f aca="false">INDEX('Tabela Passaro'!$X$2:$X$1795,$N935)</f>
        <v>CAPITAL</v>
      </c>
    </row>
    <row r="936" customFormat="false" ht="15" hidden="false" customHeight="false" outlineLevel="0" collapsed="false">
      <c r="A936" s="22" t="s">
        <v>18</v>
      </c>
      <c r="B936" s="22" t="n">
        <v>1</v>
      </c>
      <c r="C936" s="22" t="s">
        <v>112</v>
      </c>
      <c r="D936" s="22" t="s">
        <v>32</v>
      </c>
      <c r="E936" s="22" t="s">
        <v>7326</v>
      </c>
      <c r="F936" s="22" t="n">
        <v>902575</v>
      </c>
      <c r="G936" s="30" t="n">
        <v>46245</v>
      </c>
      <c r="H936" s="22" t="n">
        <v>622699</v>
      </c>
      <c r="I936" s="22" t="s">
        <v>8192</v>
      </c>
      <c r="J936" s="31" t="n">
        <v>66.4</v>
      </c>
      <c r="K936" s="26" t="n">
        <v>876.61</v>
      </c>
      <c r="L936" s="26" t="n">
        <v>164.29</v>
      </c>
      <c r="M936" s="22" t="s">
        <v>3066</v>
      </c>
      <c r="N936" s="22" t="n">
        <f aca="false">MATCH(M936,'Tabela Passaro'!$A$2:$A$1795,0)</f>
        <v>704</v>
      </c>
      <c r="O936" s="22" t="str">
        <f aca="false">INDEX('Tabela Passaro'!$C$2:$C$1795,$N936)</f>
        <v>SAO LUIS</v>
      </c>
      <c r="P936" s="22" t="str">
        <f aca="false">INDEX('Tabela Passaro'!$B$2:$B$1795,$N936)</f>
        <v>MA</v>
      </c>
      <c r="Q936" s="22" t="n">
        <f aca="false">INDEX('Tabela Passaro'!$F$2:$F$1795,$N936)</f>
        <v>11</v>
      </c>
      <c r="R936" s="32" t="n">
        <f aca="false">IF(J936&lt;=10,INDEX('Tabela Passaro'!$G$2:$G$1795,$N936),IF(J936&lt;=30,INDEX('Tabela Passaro'!$H$2:$H$1795,$N936),IF(J936&lt;=50,INDEX('Tabela Passaro'!$I$2:$I$1795,$N936),IF(J936&lt;=70,INDEX('Tabela Passaro'!$J$2:$J$1795,$N936),IF(J936&lt;=100,INDEX('Tabela Passaro'!$K$2:$K$1795,$N936),INDEX('Tabela Passaro'!$K$2:$K$1795,$N936)+(J936-100)*INDEX('Tabela Passaro'!$L$2:$L$1795,$N936))))))</f>
        <v>236.11</v>
      </c>
      <c r="S936" s="32" t="n">
        <f aca="false">K936*INDEX('Tabela Passaro'!$M$2:$M$1795,$N936)</f>
        <v>4.38305</v>
      </c>
      <c r="T936" s="32" t="n">
        <f aca="false">K936*INDEX('Tabela Passaro'!$N$2:$N$1795,$N936)</f>
        <v>1.75322</v>
      </c>
      <c r="U936" s="32" t="n">
        <f aca="false">INDEX('Tabela Passaro'!$O$2:$O$1795,$N936)</f>
        <v>5</v>
      </c>
      <c r="V936" s="32" t="n">
        <f aca="false">ROUNDUP(J936/INDEX('Tabela Passaro'!$Q$2:$Q$1795,$N936),0)*INDEX('Tabela Passaro'!$P$2:$P$1795,$N936)</f>
        <v>5</v>
      </c>
      <c r="W936" s="32" t="n">
        <f aca="false">INDEX('Tabela Passaro'!$R$2:$R$1795,$N936)</f>
        <v>30</v>
      </c>
      <c r="X936" s="32" t="n">
        <f aca="false">ROUNDUP(J936/INDEX('Tabela Passaro'!$T$2:$T$1795,$N936),0)*INDEX('Tabela Passaro'!$S$2:$S$1795,$N936)</f>
        <v>0</v>
      </c>
      <c r="Y936" s="32" t="n">
        <f aca="false">INDEX('Tabela Passaro'!$U$2:$U$1795,$N936)</f>
        <v>0</v>
      </c>
      <c r="Z936" s="32" t="n">
        <f aca="false">INDEX('Tabela Passaro'!$V$2:$V$1795,$N936)</f>
        <v>0</v>
      </c>
      <c r="AA936" s="32" t="n">
        <f aca="false">SUM(R936:Z936)</f>
        <v>282.24627</v>
      </c>
      <c r="AB936" s="33" t="n">
        <f aca="false">INDEX(Premissas!$B$5:$B$13,MATCH(A936,Premissas!$A$5:$A$13,0))</f>
        <v>0.07</v>
      </c>
      <c r="AC936" s="32" t="n">
        <f aca="false">AA936/(1-AB936)-AA936</f>
        <v>21.2443429032258</v>
      </c>
      <c r="AD936" s="32" t="n">
        <f aca="false">ROUND(AA936+AC936,2)</f>
        <v>303.49</v>
      </c>
      <c r="AE936" s="32" t="n">
        <f aca="false">AD936-L936</f>
        <v>139.2</v>
      </c>
      <c r="AF936" s="34" t="n">
        <f aca="false">IF(L936=0,0,AE936/L936)</f>
        <v>0.847282244811005</v>
      </c>
      <c r="AG936" s="22" t="str">
        <f aca="false">IF(AD936&lt;L936,"PASSARO","ATUAL")</f>
        <v>ATUAL</v>
      </c>
      <c r="AH936" s="22" t="str">
        <f aca="false">IF(P936&lt;&gt;A936,"Faixa cadastrada como "&amp;P936&amp;" na tabela; preço aplicado pela UF do CEP","")</f>
        <v/>
      </c>
      <c r="AI936" s="26" t="n">
        <v>356.54</v>
      </c>
      <c r="AJ936" s="22" t="str">
        <f aca="false">INDEX('Tabela Passaro'!$X$2:$X$1795,$N936)</f>
        <v>CAPITAL</v>
      </c>
    </row>
    <row r="937" customFormat="false" ht="15" hidden="false" customHeight="false" outlineLevel="0" collapsed="false">
      <c r="A937" s="22" t="s">
        <v>18</v>
      </c>
      <c r="B937" s="22" t="n">
        <v>1</v>
      </c>
      <c r="C937" s="22" t="s">
        <v>112</v>
      </c>
      <c r="D937" s="22" t="s">
        <v>32</v>
      </c>
      <c r="E937" s="22" t="s">
        <v>7326</v>
      </c>
      <c r="F937" s="22" t="n">
        <v>902591</v>
      </c>
      <c r="G937" s="30" t="n">
        <v>46245</v>
      </c>
      <c r="H937" s="22" t="n">
        <v>622715</v>
      </c>
      <c r="I937" s="22" t="s">
        <v>8193</v>
      </c>
      <c r="J937" s="31" t="n">
        <v>35.2</v>
      </c>
      <c r="K937" s="26" t="n">
        <v>558.54</v>
      </c>
      <c r="L937" s="26" t="n">
        <v>133.98</v>
      </c>
      <c r="M937" s="22" t="s">
        <v>3066</v>
      </c>
      <c r="N937" s="22" t="n">
        <f aca="false">MATCH(M937,'Tabela Passaro'!$A$2:$A$1795,0)</f>
        <v>704</v>
      </c>
      <c r="O937" s="22" t="str">
        <f aca="false">INDEX('Tabela Passaro'!$C$2:$C$1795,$N937)</f>
        <v>SAO LUIS</v>
      </c>
      <c r="P937" s="22" t="str">
        <f aca="false">INDEX('Tabela Passaro'!$B$2:$B$1795,$N937)</f>
        <v>MA</v>
      </c>
      <c r="Q937" s="22" t="n">
        <f aca="false">INDEX('Tabela Passaro'!$F$2:$F$1795,$N937)</f>
        <v>11</v>
      </c>
      <c r="R937" s="32" t="n">
        <f aca="false">IF(J937&lt;=10,INDEX('Tabela Passaro'!$G$2:$G$1795,$N937),IF(J937&lt;=30,INDEX('Tabela Passaro'!$H$2:$H$1795,$N937),IF(J937&lt;=50,INDEX('Tabela Passaro'!$I$2:$I$1795,$N937),IF(J937&lt;=70,INDEX('Tabela Passaro'!$J$2:$J$1795,$N937),IF(J937&lt;=100,INDEX('Tabela Passaro'!$K$2:$K$1795,$N937),INDEX('Tabela Passaro'!$K$2:$K$1795,$N937)+(J937-100)*INDEX('Tabela Passaro'!$L$2:$L$1795,$N937))))))</f>
        <v>219.51</v>
      </c>
      <c r="S937" s="32" t="n">
        <f aca="false">K937*INDEX('Tabela Passaro'!$M$2:$M$1795,$N937)</f>
        <v>2.7927</v>
      </c>
      <c r="T937" s="32" t="n">
        <f aca="false">K937*INDEX('Tabela Passaro'!$N$2:$N$1795,$N937)</f>
        <v>1.11708</v>
      </c>
      <c r="U937" s="32" t="n">
        <f aca="false">INDEX('Tabela Passaro'!$O$2:$O$1795,$N937)</f>
        <v>5</v>
      </c>
      <c r="V937" s="32" t="n">
        <f aca="false">ROUNDUP(J937/INDEX('Tabela Passaro'!$Q$2:$Q$1795,$N937),0)*INDEX('Tabela Passaro'!$P$2:$P$1795,$N937)</f>
        <v>5</v>
      </c>
      <c r="W937" s="32" t="n">
        <f aca="false">INDEX('Tabela Passaro'!$R$2:$R$1795,$N937)</f>
        <v>30</v>
      </c>
      <c r="X937" s="32" t="n">
        <f aca="false">ROUNDUP(J937/INDEX('Tabela Passaro'!$T$2:$T$1795,$N937),0)*INDEX('Tabela Passaro'!$S$2:$S$1795,$N937)</f>
        <v>0</v>
      </c>
      <c r="Y937" s="32" t="n">
        <f aca="false">INDEX('Tabela Passaro'!$U$2:$U$1795,$N937)</f>
        <v>0</v>
      </c>
      <c r="Z937" s="32" t="n">
        <f aca="false">INDEX('Tabela Passaro'!$V$2:$V$1795,$N937)</f>
        <v>0</v>
      </c>
      <c r="AA937" s="32" t="n">
        <f aca="false">SUM(R937:Z937)</f>
        <v>263.41978</v>
      </c>
      <c r="AB937" s="33" t="n">
        <f aca="false">INDEX(Premissas!$B$5:$B$13,MATCH(A937,Premissas!$A$5:$A$13,0))</f>
        <v>0.07</v>
      </c>
      <c r="AC937" s="32" t="n">
        <f aca="false">AA937/(1-AB937)-AA937</f>
        <v>19.8272952688172</v>
      </c>
      <c r="AD937" s="32" t="n">
        <f aca="false">ROUND(AA937+AC937,2)</f>
        <v>283.25</v>
      </c>
      <c r="AE937" s="32" t="n">
        <f aca="false">AD937-L937</f>
        <v>149.27</v>
      </c>
      <c r="AF937" s="34" t="n">
        <f aca="false">IF(L937=0,0,AE937/L937)</f>
        <v>1.11412151067324</v>
      </c>
      <c r="AG937" s="22" t="str">
        <f aca="false">IF(AD937&lt;L937,"PASSARO","ATUAL")</f>
        <v>ATUAL</v>
      </c>
      <c r="AH937" s="22" t="str">
        <f aca="false">IF(P937&lt;&gt;A937,"Faixa cadastrada como "&amp;P937&amp;" na tabela; preço aplicado pela UF do CEP","")</f>
        <v/>
      </c>
      <c r="AI937" s="26" t="n">
        <v>319.67</v>
      </c>
      <c r="AJ937" s="22" t="str">
        <f aca="false">INDEX('Tabela Passaro'!$X$2:$X$1795,$N937)</f>
        <v>CAPITAL</v>
      </c>
    </row>
    <row r="938" customFormat="false" ht="15" hidden="false" customHeight="false" outlineLevel="0" collapsed="false">
      <c r="A938" s="22" t="s">
        <v>18</v>
      </c>
      <c r="B938" s="22" t="n">
        <v>1</v>
      </c>
      <c r="C938" s="22" t="s">
        <v>112</v>
      </c>
      <c r="D938" s="22" t="s">
        <v>32</v>
      </c>
      <c r="E938" s="22" t="s">
        <v>7326</v>
      </c>
      <c r="F938" s="22" t="n">
        <v>902663</v>
      </c>
      <c r="G938" s="30" t="n">
        <v>46245</v>
      </c>
      <c r="H938" s="22" t="n">
        <v>623487</v>
      </c>
      <c r="I938" s="22" t="s">
        <v>8194</v>
      </c>
      <c r="J938" s="31" t="n">
        <v>149.8</v>
      </c>
      <c r="K938" s="26" t="n">
        <v>1260.43</v>
      </c>
      <c r="L938" s="26" t="n">
        <v>274.72</v>
      </c>
      <c r="M938" s="22" t="s">
        <v>3066</v>
      </c>
      <c r="N938" s="22" t="n">
        <f aca="false">MATCH(M938,'Tabela Passaro'!$A$2:$A$1795,0)</f>
        <v>704</v>
      </c>
      <c r="O938" s="22" t="str">
        <f aca="false">INDEX('Tabela Passaro'!$C$2:$C$1795,$N938)</f>
        <v>SAO LUIS</v>
      </c>
      <c r="P938" s="22" t="str">
        <f aca="false">INDEX('Tabela Passaro'!$B$2:$B$1795,$N938)</f>
        <v>MA</v>
      </c>
      <c r="Q938" s="22" t="n">
        <f aca="false">INDEX('Tabela Passaro'!$F$2:$F$1795,$N938)</f>
        <v>11</v>
      </c>
      <c r="R938" s="32" t="n">
        <f aca="false">IF(J938&lt;=10,INDEX('Tabela Passaro'!$G$2:$G$1795,$N938),IF(J938&lt;=30,INDEX('Tabela Passaro'!$H$2:$H$1795,$N938),IF(J938&lt;=50,INDEX('Tabela Passaro'!$I$2:$I$1795,$N938),IF(J938&lt;=70,INDEX('Tabela Passaro'!$J$2:$J$1795,$N938),IF(J938&lt;=100,INDEX('Tabela Passaro'!$K$2:$K$1795,$N938),INDEX('Tabela Passaro'!$K$2:$K$1795,$N938)+(J938-100)*INDEX('Tabela Passaro'!$L$2:$L$1795,$N938))))))</f>
        <v>369.242</v>
      </c>
      <c r="S938" s="32" t="n">
        <f aca="false">K938*INDEX('Tabela Passaro'!$M$2:$M$1795,$N938)</f>
        <v>6.30215</v>
      </c>
      <c r="T938" s="32" t="n">
        <f aca="false">K938*INDEX('Tabela Passaro'!$N$2:$N$1795,$N938)</f>
        <v>2.52086</v>
      </c>
      <c r="U938" s="32" t="n">
        <f aca="false">INDEX('Tabela Passaro'!$O$2:$O$1795,$N938)</f>
        <v>5</v>
      </c>
      <c r="V938" s="32" t="n">
        <f aca="false">ROUNDUP(J938/INDEX('Tabela Passaro'!$Q$2:$Q$1795,$N938),0)*INDEX('Tabela Passaro'!$P$2:$P$1795,$N938)</f>
        <v>10</v>
      </c>
      <c r="W938" s="32" t="n">
        <f aca="false">INDEX('Tabela Passaro'!$R$2:$R$1795,$N938)</f>
        <v>30</v>
      </c>
      <c r="X938" s="32" t="n">
        <f aca="false">ROUNDUP(J938/INDEX('Tabela Passaro'!$T$2:$T$1795,$N938),0)*INDEX('Tabela Passaro'!$S$2:$S$1795,$N938)</f>
        <v>0</v>
      </c>
      <c r="Y938" s="32" t="n">
        <f aca="false">INDEX('Tabela Passaro'!$U$2:$U$1795,$N938)</f>
        <v>0</v>
      </c>
      <c r="Z938" s="32" t="n">
        <f aca="false">INDEX('Tabela Passaro'!$V$2:$V$1795,$N938)</f>
        <v>0</v>
      </c>
      <c r="AA938" s="32" t="n">
        <f aca="false">SUM(R938:Z938)</f>
        <v>423.06501</v>
      </c>
      <c r="AB938" s="33" t="n">
        <f aca="false">INDEX(Premissas!$B$5:$B$13,MATCH(A938,Premissas!$A$5:$A$13,0))</f>
        <v>0.07</v>
      </c>
      <c r="AC938" s="32" t="n">
        <f aca="false">AA938/(1-AB938)-AA938</f>
        <v>31.8436029032258</v>
      </c>
      <c r="AD938" s="32" t="n">
        <f aca="false">ROUND(AA938+AC938,2)</f>
        <v>454.91</v>
      </c>
      <c r="AE938" s="32" t="n">
        <f aca="false">AD938-L938</f>
        <v>180.19</v>
      </c>
      <c r="AF938" s="34" t="n">
        <f aca="false">IF(L938=0,0,AE938/L938)</f>
        <v>0.655904193360512</v>
      </c>
      <c r="AG938" s="22" t="str">
        <f aca="false">IF(AD938&lt;L938,"PASSARO","ATUAL")</f>
        <v>ATUAL</v>
      </c>
      <c r="AH938" s="22" t="str">
        <f aca="false">IF(P938&lt;&gt;A938,"Faixa cadastrada como "&amp;P938&amp;" na tabela; preço aplicado pela UF do CEP","")</f>
        <v/>
      </c>
      <c r="AI938" s="26" t="n">
        <v>565.94</v>
      </c>
      <c r="AJ938" s="22" t="str">
        <f aca="false">INDEX('Tabela Passaro'!$X$2:$X$1795,$N938)</f>
        <v>CAPITAL</v>
      </c>
    </row>
    <row r="939" customFormat="false" ht="15" hidden="false" customHeight="false" outlineLevel="0" collapsed="false">
      <c r="A939" s="22" t="s">
        <v>18</v>
      </c>
      <c r="B939" s="22" t="n">
        <v>1</v>
      </c>
      <c r="C939" s="22" t="s">
        <v>112</v>
      </c>
      <c r="D939" s="22" t="s">
        <v>32</v>
      </c>
      <c r="E939" s="22" t="s">
        <v>7326</v>
      </c>
      <c r="F939" s="22" t="n">
        <v>903125</v>
      </c>
      <c r="G939" s="30" t="n">
        <v>46246</v>
      </c>
      <c r="H939" s="22" t="n">
        <v>623770</v>
      </c>
      <c r="I939" s="22" t="s">
        <v>8195</v>
      </c>
      <c r="J939" s="31" t="n">
        <v>32</v>
      </c>
      <c r="K939" s="26" t="n">
        <v>1122.59</v>
      </c>
      <c r="L939" s="26" t="n">
        <v>141.24</v>
      </c>
      <c r="M939" s="22" t="s">
        <v>3066</v>
      </c>
      <c r="N939" s="22" t="n">
        <f aca="false">MATCH(M939,'Tabela Passaro'!$A$2:$A$1795,0)</f>
        <v>704</v>
      </c>
      <c r="O939" s="22" t="str">
        <f aca="false">INDEX('Tabela Passaro'!$C$2:$C$1795,$N939)</f>
        <v>SAO LUIS</v>
      </c>
      <c r="P939" s="22" t="str">
        <f aca="false">INDEX('Tabela Passaro'!$B$2:$B$1795,$N939)</f>
        <v>MA</v>
      </c>
      <c r="Q939" s="22" t="n">
        <f aca="false">INDEX('Tabela Passaro'!$F$2:$F$1795,$N939)</f>
        <v>11</v>
      </c>
      <c r="R939" s="32" t="n">
        <f aca="false">IF(J939&lt;=10,INDEX('Tabela Passaro'!$G$2:$G$1795,$N939),IF(J939&lt;=30,INDEX('Tabela Passaro'!$H$2:$H$1795,$N939),IF(J939&lt;=50,INDEX('Tabela Passaro'!$I$2:$I$1795,$N939),IF(J939&lt;=70,INDEX('Tabela Passaro'!$J$2:$J$1795,$N939),IF(J939&lt;=100,INDEX('Tabela Passaro'!$K$2:$K$1795,$N939),INDEX('Tabela Passaro'!$K$2:$K$1795,$N939)+(J939-100)*INDEX('Tabela Passaro'!$L$2:$L$1795,$N939))))))</f>
        <v>219.51</v>
      </c>
      <c r="S939" s="32" t="n">
        <f aca="false">K939*INDEX('Tabela Passaro'!$M$2:$M$1795,$N939)</f>
        <v>5.61295</v>
      </c>
      <c r="T939" s="32" t="n">
        <f aca="false">K939*INDEX('Tabela Passaro'!$N$2:$N$1795,$N939)</f>
        <v>2.24518</v>
      </c>
      <c r="U939" s="32" t="n">
        <f aca="false">INDEX('Tabela Passaro'!$O$2:$O$1795,$N939)</f>
        <v>5</v>
      </c>
      <c r="V939" s="32" t="n">
        <f aca="false">ROUNDUP(J939/INDEX('Tabela Passaro'!$Q$2:$Q$1795,$N939),0)*INDEX('Tabela Passaro'!$P$2:$P$1795,$N939)</f>
        <v>5</v>
      </c>
      <c r="W939" s="32" t="n">
        <f aca="false">INDEX('Tabela Passaro'!$R$2:$R$1795,$N939)</f>
        <v>30</v>
      </c>
      <c r="X939" s="32" t="n">
        <f aca="false">ROUNDUP(J939/INDEX('Tabela Passaro'!$T$2:$T$1795,$N939),0)*INDEX('Tabela Passaro'!$S$2:$S$1795,$N939)</f>
        <v>0</v>
      </c>
      <c r="Y939" s="32" t="n">
        <f aca="false">INDEX('Tabela Passaro'!$U$2:$U$1795,$N939)</f>
        <v>0</v>
      </c>
      <c r="Z939" s="32" t="n">
        <f aca="false">INDEX('Tabela Passaro'!$V$2:$V$1795,$N939)</f>
        <v>0</v>
      </c>
      <c r="AA939" s="32" t="n">
        <f aca="false">SUM(R939:Z939)</f>
        <v>267.36813</v>
      </c>
      <c r="AB939" s="33" t="n">
        <f aca="false">INDEX(Premissas!$B$5:$B$13,MATCH(A939,Premissas!$A$5:$A$13,0))</f>
        <v>0.07</v>
      </c>
      <c r="AC939" s="32" t="n">
        <f aca="false">AA939/(1-AB939)-AA939</f>
        <v>20.1244829032258</v>
      </c>
      <c r="AD939" s="32" t="n">
        <f aca="false">ROUND(AA939+AC939,2)</f>
        <v>287.49</v>
      </c>
      <c r="AE939" s="32" t="n">
        <f aca="false">AD939-L939</f>
        <v>146.25</v>
      </c>
      <c r="AF939" s="34" t="n">
        <f aca="false">IF(L939=0,0,AE939/L939)</f>
        <v>1.03547153780799</v>
      </c>
      <c r="AG939" s="22" t="str">
        <f aca="false">IF(AD939&lt;L939,"PASSARO","ATUAL")</f>
        <v>ATUAL</v>
      </c>
      <c r="AH939" s="22" t="str">
        <f aca="false">IF(P939&lt;&gt;A939,"Faixa cadastrada como "&amp;P939&amp;" na tabela; preço aplicado pela UF do CEP","")</f>
        <v/>
      </c>
      <c r="AI939" s="26" t="n">
        <v>323.2</v>
      </c>
      <c r="AJ939" s="22" t="str">
        <f aca="false">INDEX('Tabela Passaro'!$X$2:$X$1795,$N939)</f>
        <v>CAPITAL</v>
      </c>
    </row>
    <row r="940" customFormat="false" ht="15" hidden="false" customHeight="false" outlineLevel="0" collapsed="false">
      <c r="A940" s="22" t="s">
        <v>18</v>
      </c>
      <c r="B940" s="22" t="n">
        <v>1</v>
      </c>
      <c r="C940" s="22" t="s">
        <v>112</v>
      </c>
      <c r="D940" s="22" t="s">
        <v>32</v>
      </c>
      <c r="E940" s="22" t="s">
        <v>7326</v>
      </c>
      <c r="F940" s="22" t="n">
        <v>903534</v>
      </c>
      <c r="G940" s="30" t="n">
        <v>46247</v>
      </c>
      <c r="H940" s="22" t="n">
        <v>624472</v>
      </c>
      <c r="I940" s="22" t="s">
        <v>8196</v>
      </c>
      <c r="J940" s="31" t="n">
        <v>73.09</v>
      </c>
      <c r="K940" s="26" t="n">
        <v>1033.47</v>
      </c>
      <c r="L940" s="26" t="n">
        <v>177.37</v>
      </c>
      <c r="M940" s="22" t="s">
        <v>3066</v>
      </c>
      <c r="N940" s="22" t="n">
        <f aca="false">MATCH(M940,'Tabela Passaro'!$A$2:$A$1795,0)</f>
        <v>704</v>
      </c>
      <c r="O940" s="22" t="str">
        <f aca="false">INDEX('Tabela Passaro'!$C$2:$C$1795,$N940)</f>
        <v>SAO LUIS</v>
      </c>
      <c r="P940" s="22" t="str">
        <f aca="false">INDEX('Tabela Passaro'!$B$2:$B$1795,$N940)</f>
        <v>MA</v>
      </c>
      <c r="Q940" s="22" t="n">
        <f aca="false">INDEX('Tabela Passaro'!$F$2:$F$1795,$N940)</f>
        <v>11</v>
      </c>
      <c r="R940" s="32" t="n">
        <f aca="false">IF(J940&lt;=10,INDEX('Tabela Passaro'!$G$2:$G$1795,$N940),IF(J940&lt;=30,INDEX('Tabela Passaro'!$H$2:$H$1795,$N940),IF(J940&lt;=50,INDEX('Tabela Passaro'!$I$2:$I$1795,$N940),IF(J940&lt;=70,INDEX('Tabela Passaro'!$J$2:$J$1795,$N940),IF(J940&lt;=100,INDEX('Tabela Passaro'!$K$2:$K$1795,$N940),INDEX('Tabela Passaro'!$K$2:$K$1795,$N940)+(J940-100)*INDEX('Tabela Passaro'!$L$2:$L$1795,$N940))))))</f>
        <v>252.71</v>
      </c>
      <c r="S940" s="32" t="n">
        <f aca="false">K940*INDEX('Tabela Passaro'!$M$2:$M$1795,$N940)</f>
        <v>5.16735</v>
      </c>
      <c r="T940" s="32" t="n">
        <f aca="false">K940*INDEX('Tabela Passaro'!$N$2:$N$1795,$N940)</f>
        <v>2.06694</v>
      </c>
      <c r="U940" s="32" t="n">
        <f aca="false">INDEX('Tabela Passaro'!$O$2:$O$1795,$N940)</f>
        <v>5</v>
      </c>
      <c r="V940" s="32" t="n">
        <f aca="false">ROUNDUP(J940/INDEX('Tabela Passaro'!$Q$2:$Q$1795,$N940),0)*INDEX('Tabela Passaro'!$P$2:$P$1795,$N940)</f>
        <v>5</v>
      </c>
      <c r="W940" s="32" t="n">
        <f aca="false">INDEX('Tabela Passaro'!$R$2:$R$1795,$N940)</f>
        <v>30</v>
      </c>
      <c r="X940" s="32" t="n">
        <f aca="false">ROUNDUP(J940/INDEX('Tabela Passaro'!$T$2:$T$1795,$N940),0)*INDEX('Tabela Passaro'!$S$2:$S$1795,$N940)</f>
        <v>0</v>
      </c>
      <c r="Y940" s="32" t="n">
        <f aca="false">INDEX('Tabela Passaro'!$U$2:$U$1795,$N940)</f>
        <v>0</v>
      </c>
      <c r="Z940" s="32" t="n">
        <f aca="false">INDEX('Tabela Passaro'!$V$2:$V$1795,$N940)</f>
        <v>0</v>
      </c>
      <c r="AA940" s="32" t="n">
        <f aca="false">SUM(R940:Z940)</f>
        <v>299.94429</v>
      </c>
      <c r="AB940" s="33" t="n">
        <f aca="false">INDEX(Premissas!$B$5:$B$13,MATCH(A940,Premissas!$A$5:$A$13,0))</f>
        <v>0.07</v>
      </c>
      <c r="AC940" s="32" t="n">
        <f aca="false">AA940/(1-AB940)-AA940</f>
        <v>22.5764519354839</v>
      </c>
      <c r="AD940" s="32" t="n">
        <f aca="false">ROUND(AA940+AC940,2)</f>
        <v>322.52</v>
      </c>
      <c r="AE940" s="32" t="n">
        <f aca="false">AD940-L940</f>
        <v>145.15</v>
      </c>
      <c r="AF940" s="34" t="n">
        <f aca="false">IF(L940=0,0,AE940/L940)</f>
        <v>0.818345830749281</v>
      </c>
      <c r="AG940" s="22" t="str">
        <f aca="false">IF(AD940&lt;L940,"PASSARO","ATUAL")</f>
        <v>ATUAL</v>
      </c>
      <c r="AH940" s="22" t="str">
        <f aca="false">IF(P940&lt;&gt;A940,"Faixa cadastrada como "&amp;P940&amp;" na tabela; preço aplicado pela UF do CEP","")</f>
        <v/>
      </c>
      <c r="AI940" s="26" t="n">
        <v>380.23</v>
      </c>
      <c r="AJ940" s="22" t="str">
        <f aca="false">INDEX('Tabela Passaro'!$X$2:$X$1795,$N940)</f>
        <v>CAPITAL</v>
      </c>
    </row>
    <row r="941" customFormat="false" ht="15" hidden="false" customHeight="false" outlineLevel="0" collapsed="false">
      <c r="A941" s="22" t="s">
        <v>18</v>
      </c>
      <c r="B941" s="22" t="n">
        <v>1</v>
      </c>
      <c r="C941" s="22" t="s">
        <v>112</v>
      </c>
      <c r="D941" s="22" t="s">
        <v>32</v>
      </c>
      <c r="E941" s="22" t="s">
        <v>7326</v>
      </c>
      <c r="F941" s="22" t="n">
        <v>903847</v>
      </c>
      <c r="G941" s="30" t="n">
        <v>46248</v>
      </c>
      <c r="H941" s="22" t="n">
        <v>624985</v>
      </c>
      <c r="I941" s="22" t="s">
        <v>8197</v>
      </c>
      <c r="J941" s="31" t="n">
        <v>51.06</v>
      </c>
      <c r="K941" s="26" t="n">
        <v>845.9</v>
      </c>
      <c r="L941" s="26" t="n">
        <v>163.89</v>
      </c>
      <c r="M941" s="22" t="s">
        <v>3066</v>
      </c>
      <c r="N941" s="22" t="n">
        <f aca="false">MATCH(M941,'Tabela Passaro'!$A$2:$A$1795,0)</f>
        <v>704</v>
      </c>
      <c r="O941" s="22" t="str">
        <f aca="false">INDEX('Tabela Passaro'!$C$2:$C$1795,$N941)</f>
        <v>SAO LUIS</v>
      </c>
      <c r="P941" s="22" t="str">
        <f aca="false">INDEX('Tabela Passaro'!$B$2:$B$1795,$N941)</f>
        <v>MA</v>
      </c>
      <c r="Q941" s="22" t="n">
        <f aca="false">INDEX('Tabela Passaro'!$F$2:$F$1795,$N941)</f>
        <v>11</v>
      </c>
      <c r="R941" s="32" t="n">
        <f aca="false">IF(J941&lt;=10,INDEX('Tabela Passaro'!$G$2:$G$1795,$N941),IF(J941&lt;=30,INDEX('Tabela Passaro'!$H$2:$H$1795,$N941),IF(J941&lt;=50,INDEX('Tabela Passaro'!$I$2:$I$1795,$N941),IF(J941&lt;=70,INDEX('Tabela Passaro'!$J$2:$J$1795,$N941),IF(J941&lt;=100,INDEX('Tabela Passaro'!$K$2:$K$1795,$N941),INDEX('Tabela Passaro'!$K$2:$K$1795,$N941)+(J941-100)*INDEX('Tabela Passaro'!$L$2:$L$1795,$N941))))))</f>
        <v>236.11</v>
      </c>
      <c r="S941" s="32" t="n">
        <f aca="false">K941*INDEX('Tabela Passaro'!$M$2:$M$1795,$N941)</f>
        <v>4.2295</v>
      </c>
      <c r="T941" s="32" t="n">
        <f aca="false">K941*INDEX('Tabela Passaro'!$N$2:$N$1795,$N941)</f>
        <v>1.6918</v>
      </c>
      <c r="U941" s="32" t="n">
        <f aca="false">INDEX('Tabela Passaro'!$O$2:$O$1795,$N941)</f>
        <v>5</v>
      </c>
      <c r="V941" s="32" t="n">
        <f aca="false">ROUNDUP(J941/INDEX('Tabela Passaro'!$Q$2:$Q$1795,$N941),0)*INDEX('Tabela Passaro'!$P$2:$P$1795,$N941)</f>
        <v>5</v>
      </c>
      <c r="W941" s="32" t="n">
        <f aca="false">INDEX('Tabela Passaro'!$R$2:$R$1795,$N941)</f>
        <v>30</v>
      </c>
      <c r="X941" s="32" t="n">
        <f aca="false">ROUNDUP(J941/INDEX('Tabela Passaro'!$T$2:$T$1795,$N941),0)*INDEX('Tabela Passaro'!$S$2:$S$1795,$N941)</f>
        <v>0</v>
      </c>
      <c r="Y941" s="32" t="n">
        <f aca="false">INDEX('Tabela Passaro'!$U$2:$U$1795,$N941)</f>
        <v>0</v>
      </c>
      <c r="Z941" s="32" t="n">
        <f aca="false">INDEX('Tabela Passaro'!$V$2:$V$1795,$N941)</f>
        <v>0</v>
      </c>
      <c r="AA941" s="32" t="n">
        <f aca="false">SUM(R941:Z941)</f>
        <v>282.0313</v>
      </c>
      <c r="AB941" s="33" t="n">
        <f aca="false">INDEX(Premissas!$B$5:$B$13,MATCH(A941,Premissas!$A$5:$A$13,0))</f>
        <v>0.07</v>
      </c>
      <c r="AC941" s="32" t="n">
        <f aca="false">AA941/(1-AB941)-AA941</f>
        <v>21.2281623655914</v>
      </c>
      <c r="AD941" s="32" t="n">
        <f aca="false">ROUND(AA941+AC941,2)</f>
        <v>303.26</v>
      </c>
      <c r="AE941" s="32" t="n">
        <f aca="false">AD941-L941</f>
        <v>139.37</v>
      </c>
      <c r="AF941" s="34" t="n">
        <f aca="false">IF(L941=0,0,AE941/L941)</f>
        <v>0.850387455000305</v>
      </c>
      <c r="AG941" s="22" t="str">
        <f aca="false">IF(AD941&lt;L941,"PASSARO","ATUAL")</f>
        <v>ATUAL</v>
      </c>
      <c r="AH941" s="22" t="str">
        <f aca="false">IF(P941&lt;&gt;A941,"Faixa cadastrada como "&amp;P941&amp;" na tabela; preço aplicado pela UF do CEP","")</f>
        <v/>
      </c>
      <c r="AI941" s="26" t="n">
        <v>348.98</v>
      </c>
      <c r="AJ941" s="22" t="str">
        <f aca="false">INDEX('Tabela Passaro'!$X$2:$X$1795,$N941)</f>
        <v>CAPITAL</v>
      </c>
    </row>
    <row r="942" customFormat="false" ht="15" hidden="false" customHeight="false" outlineLevel="0" collapsed="false">
      <c r="A942" s="22" t="s">
        <v>18</v>
      </c>
      <c r="B942" s="22" t="n">
        <v>1</v>
      </c>
      <c r="C942" s="22" t="s">
        <v>112</v>
      </c>
      <c r="D942" s="22" t="s">
        <v>32</v>
      </c>
      <c r="E942" s="22" t="s">
        <v>7326</v>
      </c>
      <c r="F942" s="22" t="n">
        <v>903818</v>
      </c>
      <c r="G942" s="30" t="n">
        <v>46248</v>
      </c>
      <c r="H942" s="22" t="n">
        <v>625017</v>
      </c>
      <c r="I942" s="22" t="s">
        <v>8198</v>
      </c>
      <c r="J942" s="31" t="n">
        <v>69.11</v>
      </c>
      <c r="K942" s="26" t="n">
        <v>904.84</v>
      </c>
      <c r="L942" s="26" t="n">
        <v>164.64</v>
      </c>
      <c r="M942" s="22" t="s">
        <v>3066</v>
      </c>
      <c r="N942" s="22" t="n">
        <f aca="false">MATCH(M942,'Tabela Passaro'!$A$2:$A$1795,0)</f>
        <v>704</v>
      </c>
      <c r="O942" s="22" t="str">
        <f aca="false">INDEX('Tabela Passaro'!$C$2:$C$1795,$N942)</f>
        <v>SAO LUIS</v>
      </c>
      <c r="P942" s="22" t="str">
        <f aca="false">INDEX('Tabela Passaro'!$B$2:$B$1795,$N942)</f>
        <v>MA</v>
      </c>
      <c r="Q942" s="22" t="n">
        <f aca="false">INDEX('Tabela Passaro'!$F$2:$F$1795,$N942)</f>
        <v>11</v>
      </c>
      <c r="R942" s="32" t="n">
        <f aca="false">IF(J942&lt;=10,INDEX('Tabela Passaro'!$G$2:$G$1795,$N942),IF(J942&lt;=30,INDEX('Tabela Passaro'!$H$2:$H$1795,$N942),IF(J942&lt;=50,INDEX('Tabela Passaro'!$I$2:$I$1795,$N942),IF(J942&lt;=70,INDEX('Tabela Passaro'!$J$2:$J$1795,$N942),IF(J942&lt;=100,INDEX('Tabela Passaro'!$K$2:$K$1795,$N942),INDEX('Tabela Passaro'!$K$2:$K$1795,$N942)+(J942-100)*INDEX('Tabela Passaro'!$L$2:$L$1795,$N942))))))</f>
        <v>236.11</v>
      </c>
      <c r="S942" s="32" t="n">
        <f aca="false">K942*INDEX('Tabela Passaro'!$M$2:$M$1795,$N942)</f>
        <v>4.5242</v>
      </c>
      <c r="T942" s="32" t="n">
        <f aca="false">K942*INDEX('Tabela Passaro'!$N$2:$N$1795,$N942)</f>
        <v>1.80968</v>
      </c>
      <c r="U942" s="32" t="n">
        <f aca="false">INDEX('Tabela Passaro'!$O$2:$O$1795,$N942)</f>
        <v>5</v>
      </c>
      <c r="V942" s="32" t="n">
        <f aca="false">ROUNDUP(J942/INDEX('Tabela Passaro'!$Q$2:$Q$1795,$N942),0)*INDEX('Tabela Passaro'!$P$2:$P$1795,$N942)</f>
        <v>5</v>
      </c>
      <c r="W942" s="32" t="n">
        <f aca="false">INDEX('Tabela Passaro'!$R$2:$R$1795,$N942)</f>
        <v>30</v>
      </c>
      <c r="X942" s="32" t="n">
        <f aca="false">ROUNDUP(J942/INDEX('Tabela Passaro'!$T$2:$T$1795,$N942),0)*INDEX('Tabela Passaro'!$S$2:$S$1795,$N942)</f>
        <v>0</v>
      </c>
      <c r="Y942" s="32" t="n">
        <f aca="false">INDEX('Tabela Passaro'!$U$2:$U$1795,$N942)</f>
        <v>0</v>
      </c>
      <c r="Z942" s="32" t="n">
        <f aca="false">INDEX('Tabela Passaro'!$V$2:$V$1795,$N942)</f>
        <v>0</v>
      </c>
      <c r="AA942" s="32" t="n">
        <f aca="false">SUM(R942:Z942)</f>
        <v>282.44388</v>
      </c>
      <c r="AB942" s="33" t="n">
        <f aca="false">INDEX(Premissas!$B$5:$B$13,MATCH(A942,Premissas!$A$5:$A$13,0))</f>
        <v>0.07</v>
      </c>
      <c r="AC942" s="32" t="n">
        <f aca="false">AA942/(1-AB942)-AA942</f>
        <v>21.2592167741936</v>
      </c>
      <c r="AD942" s="32" t="n">
        <f aca="false">ROUND(AA942+AC942,2)</f>
        <v>303.7</v>
      </c>
      <c r="AE942" s="32" t="n">
        <f aca="false">AD942-L942</f>
        <v>139.06</v>
      </c>
      <c r="AF942" s="34" t="n">
        <f aca="false">IF(L942=0,0,AE942/L942)</f>
        <v>0.844630709426628</v>
      </c>
      <c r="AG942" s="22" t="str">
        <f aca="false">IF(AD942&lt;L942,"PASSARO","ATUAL")</f>
        <v>ATUAL</v>
      </c>
      <c r="AH942" s="22" t="str">
        <f aca="false">IF(P942&lt;&gt;A942,"Faixa cadastrada como "&amp;P942&amp;" na tabela; preço aplicado pela UF do CEP","")</f>
        <v/>
      </c>
      <c r="AI942" s="26" t="n">
        <v>358.26</v>
      </c>
      <c r="AJ942" s="22" t="str">
        <f aca="false">INDEX('Tabela Passaro'!$X$2:$X$1795,$N942)</f>
        <v>CAPITAL</v>
      </c>
    </row>
    <row r="943" customFormat="false" ht="15" hidden="false" customHeight="false" outlineLevel="0" collapsed="false">
      <c r="A943" s="22" t="s">
        <v>18</v>
      </c>
      <c r="B943" s="22" t="n">
        <v>1</v>
      </c>
      <c r="C943" s="22" t="s">
        <v>112</v>
      </c>
      <c r="D943" s="22" t="s">
        <v>32</v>
      </c>
      <c r="E943" s="22" t="s">
        <v>7326</v>
      </c>
      <c r="F943" s="22" t="n">
        <v>903836</v>
      </c>
      <c r="G943" s="30" t="n">
        <v>46248</v>
      </c>
      <c r="H943" s="22" t="n">
        <v>625239</v>
      </c>
      <c r="I943" s="22" t="s">
        <v>8199</v>
      </c>
      <c r="J943" s="31" t="n">
        <v>26.9</v>
      </c>
      <c r="K943" s="26" t="n">
        <v>1248.67</v>
      </c>
      <c r="L943" s="26" t="n">
        <v>129.35</v>
      </c>
      <c r="M943" s="22" t="s">
        <v>3066</v>
      </c>
      <c r="N943" s="22" t="n">
        <f aca="false">MATCH(M943,'Tabela Passaro'!$A$2:$A$1795,0)</f>
        <v>704</v>
      </c>
      <c r="O943" s="22" t="str">
        <f aca="false">INDEX('Tabela Passaro'!$C$2:$C$1795,$N943)</f>
        <v>SAO LUIS</v>
      </c>
      <c r="P943" s="22" t="str">
        <f aca="false">INDEX('Tabela Passaro'!$B$2:$B$1795,$N943)</f>
        <v>MA</v>
      </c>
      <c r="Q943" s="22" t="n">
        <f aca="false">INDEX('Tabela Passaro'!$F$2:$F$1795,$N943)</f>
        <v>11</v>
      </c>
      <c r="R943" s="32" t="n">
        <f aca="false">IF(J943&lt;=10,INDEX('Tabela Passaro'!$G$2:$G$1795,$N943),IF(J943&lt;=30,INDEX('Tabela Passaro'!$H$2:$H$1795,$N943),IF(J943&lt;=50,INDEX('Tabela Passaro'!$I$2:$I$1795,$N943),IF(J943&lt;=70,INDEX('Tabela Passaro'!$J$2:$J$1795,$N943),IF(J943&lt;=100,INDEX('Tabela Passaro'!$K$2:$K$1795,$N943),INDEX('Tabela Passaro'!$K$2:$K$1795,$N943)+(J943-100)*INDEX('Tabela Passaro'!$L$2:$L$1795,$N943))))))</f>
        <v>197.38</v>
      </c>
      <c r="S943" s="32" t="n">
        <f aca="false">K943*INDEX('Tabela Passaro'!$M$2:$M$1795,$N943)</f>
        <v>6.24335</v>
      </c>
      <c r="T943" s="32" t="n">
        <f aca="false">K943*INDEX('Tabela Passaro'!$N$2:$N$1795,$N943)</f>
        <v>2.49734</v>
      </c>
      <c r="U943" s="32" t="n">
        <f aca="false">INDEX('Tabela Passaro'!$O$2:$O$1795,$N943)</f>
        <v>5</v>
      </c>
      <c r="V943" s="32" t="n">
        <f aca="false">ROUNDUP(J943/INDEX('Tabela Passaro'!$Q$2:$Q$1795,$N943),0)*INDEX('Tabela Passaro'!$P$2:$P$1795,$N943)</f>
        <v>5</v>
      </c>
      <c r="W943" s="32" t="n">
        <f aca="false">INDEX('Tabela Passaro'!$R$2:$R$1795,$N943)</f>
        <v>30</v>
      </c>
      <c r="X943" s="32" t="n">
        <f aca="false">ROUNDUP(J943/INDEX('Tabela Passaro'!$T$2:$T$1795,$N943),0)*INDEX('Tabela Passaro'!$S$2:$S$1795,$N943)</f>
        <v>0</v>
      </c>
      <c r="Y943" s="32" t="n">
        <f aca="false">INDEX('Tabela Passaro'!$U$2:$U$1795,$N943)</f>
        <v>0</v>
      </c>
      <c r="Z943" s="32" t="n">
        <f aca="false">INDEX('Tabela Passaro'!$V$2:$V$1795,$N943)</f>
        <v>0</v>
      </c>
      <c r="AA943" s="32" t="n">
        <f aca="false">SUM(R943:Z943)</f>
        <v>246.12069</v>
      </c>
      <c r="AB943" s="33" t="n">
        <f aca="false">INDEX(Premissas!$B$5:$B$13,MATCH(A943,Premissas!$A$5:$A$13,0))</f>
        <v>0.07</v>
      </c>
      <c r="AC943" s="32" t="n">
        <f aca="false">AA943/(1-AB943)-AA943</f>
        <v>18.5252132258065</v>
      </c>
      <c r="AD943" s="32" t="n">
        <f aca="false">ROUND(AA943+AC943,2)</f>
        <v>264.65</v>
      </c>
      <c r="AE943" s="32" t="n">
        <f aca="false">AD943-L943</f>
        <v>135.3</v>
      </c>
      <c r="AF943" s="34" t="n">
        <f aca="false">IF(L943=0,0,AE943/L943)</f>
        <v>1.04599922690375</v>
      </c>
      <c r="AG943" s="22" t="str">
        <f aca="false">IF(AD943&lt;L943,"PASSARO","ATUAL")</f>
        <v>ATUAL</v>
      </c>
      <c r="AH943" s="22" t="str">
        <f aca="false">IF(P943&lt;&gt;A943,"Faixa cadastrada como "&amp;P943&amp;" na tabela; preço aplicado pela UF do CEP","")</f>
        <v/>
      </c>
      <c r="AI943" s="26" t="n">
        <v>296.94</v>
      </c>
      <c r="AJ943" s="22" t="str">
        <f aca="false">INDEX('Tabela Passaro'!$X$2:$X$1795,$N943)</f>
        <v>CAPITAL</v>
      </c>
    </row>
    <row r="944" customFormat="false" ht="15" hidden="false" customHeight="false" outlineLevel="0" collapsed="false">
      <c r="A944" s="22" t="s">
        <v>18</v>
      </c>
      <c r="B944" s="22" t="n">
        <v>1</v>
      </c>
      <c r="C944" s="22" t="s">
        <v>112</v>
      </c>
      <c r="D944" s="22" t="s">
        <v>32</v>
      </c>
      <c r="E944" s="22" t="s">
        <v>7326</v>
      </c>
      <c r="F944" s="22" t="n">
        <v>904197</v>
      </c>
      <c r="G944" s="30" t="n">
        <v>46251</v>
      </c>
      <c r="H944" s="22" t="n">
        <v>625416</v>
      </c>
      <c r="I944" s="22" t="s">
        <v>8200</v>
      </c>
      <c r="J944" s="31" t="n">
        <v>51.06</v>
      </c>
      <c r="K944" s="26" t="n">
        <v>875.18</v>
      </c>
      <c r="L944" s="26" t="n">
        <v>164.28</v>
      </c>
      <c r="M944" s="22" t="s">
        <v>3066</v>
      </c>
      <c r="N944" s="22" t="n">
        <f aca="false">MATCH(M944,'Tabela Passaro'!$A$2:$A$1795,0)</f>
        <v>704</v>
      </c>
      <c r="O944" s="22" t="str">
        <f aca="false">INDEX('Tabela Passaro'!$C$2:$C$1795,$N944)</f>
        <v>SAO LUIS</v>
      </c>
      <c r="P944" s="22" t="str">
        <f aca="false">INDEX('Tabela Passaro'!$B$2:$B$1795,$N944)</f>
        <v>MA</v>
      </c>
      <c r="Q944" s="22" t="n">
        <f aca="false">INDEX('Tabela Passaro'!$F$2:$F$1795,$N944)</f>
        <v>11</v>
      </c>
      <c r="R944" s="32" t="n">
        <f aca="false">IF(J944&lt;=10,INDEX('Tabela Passaro'!$G$2:$G$1795,$N944),IF(J944&lt;=30,INDEX('Tabela Passaro'!$H$2:$H$1795,$N944),IF(J944&lt;=50,INDEX('Tabela Passaro'!$I$2:$I$1795,$N944),IF(J944&lt;=70,INDEX('Tabela Passaro'!$J$2:$J$1795,$N944),IF(J944&lt;=100,INDEX('Tabela Passaro'!$K$2:$K$1795,$N944),INDEX('Tabela Passaro'!$K$2:$K$1795,$N944)+(J944-100)*INDEX('Tabela Passaro'!$L$2:$L$1795,$N944))))))</f>
        <v>236.11</v>
      </c>
      <c r="S944" s="32" t="n">
        <f aca="false">K944*INDEX('Tabela Passaro'!$M$2:$M$1795,$N944)</f>
        <v>4.3759</v>
      </c>
      <c r="T944" s="32" t="n">
        <f aca="false">K944*INDEX('Tabela Passaro'!$N$2:$N$1795,$N944)</f>
        <v>1.75036</v>
      </c>
      <c r="U944" s="32" t="n">
        <f aca="false">INDEX('Tabela Passaro'!$O$2:$O$1795,$N944)</f>
        <v>5</v>
      </c>
      <c r="V944" s="32" t="n">
        <f aca="false">ROUNDUP(J944/INDEX('Tabela Passaro'!$Q$2:$Q$1795,$N944),0)*INDEX('Tabela Passaro'!$P$2:$P$1795,$N944)</f>
        <v>5</v>
      </c>
      <c r="W944" s="32" t="n">
        <f aca="false">INDEX('Tabela Passaro'!$R$2:$R$1795,$N944)</f>
        <v>30</v>
      </c>
      <c r="X944" s="32" t="n">
        <f aca="false">ROUNDUP(J944/INDEX('Tabela Passaro'!$T$2:$T$1795,$N944),0)*INDEX('Tabela Passaro'!$S$2:$S$1795,$N944)</f>
        <v>0</v>
      </c>
      <c r="Y944" s="32" t="n">
        <f aca="false">INDEX('Tabela Passaro'!$U$2:$U$1795,$N944)</f>
        <v>0</v>
      </c>
      <c r="Z944" s="32" t="n">
        <f aca="false">INDEX('Tabela Passaro'!$V$2:$V$1795,$N944)</f>
        <v>0</v>
      </c>
      <c r="AA944" s="32" t="n">
        <f aca="false">SUM(R944:Z944)</f>
        <v>282.23626</v>
      </c>
      <c r="AB944" s="33" t="n">
        <f aca="false">INDEX(Premissas!$B$5:$B$13,MATCH(A944,Premissas!$A$5:$A$13,0))</f>
        <v>0.07</v>
      </c>
      <c r="AC944" s="32" t="n">
        <f aca="false">AA944/(1-AB944)-AA944</f>
        <v>21.2435894623656</v>
      </c>
      <c r="AD944" s="32" t="n">
        <f aca="false">ROUND(AA944+AC944,2)</f>
        <v>303.48</v>
      </c>
      <c r="AE944" s="32" t="n">
        <f aca="false">AD944-L944</f>
        <v>139.2</v>
      </c>
      <c r="AF944" s="34" t="n">
        <f aca="false">IF(L944=0,0,AE944/L944)</f>
        <v>0.847333820306793</v>
      </c>
      <c r="AG944" s="22" t="str">
        <f aca="false">IF(AD944&lt;L944,"PASSARO","ATUAL")</f>
        <v>ATUAL</v>
      </c>
      <c r="AH944" s="22" t="str">
        <f aca="false">IF(P944&lt;&gt;A944,"Faixa cadastrada como "&amp;P944&amp;" na tabela; preço aplicado pela UF do CEP","")</f>
        <v/>
      </c>
      <c r="AI944" s="26" t="n">
        <v>349.27</v>
      </c>
      <c r="AJ944" s="22" t="str">
        <f aca="false">INDEX('Tabela Passaro'!$X$2:$X$1795,$N944)</f>
        <v>CAPITAL</v>
      </c>
    </row>
    <row r="945" customFormat="false" ht="15" hidden="false" customHeight="false" outlineLevel="0" collapsed="false">
      <c r="A945" s="22" t="s">
        <v>18</v>
      </c>
      <c r="B945" s="22" t="n">
        <v>1</v>
      </c>
      <c r="C945" s="22" t="s">
        <v>112</v>
      </c>
      <c r="D945" s="22" t="s">
        <v>32</v>
      </c>
      <c r="E945" s="22" t="s">
        <v>7326</v>
      </c>
      <c r="F945" s="22" t="n">
        <v>904202</v>
      </c>
      <c r="G945" s="30" t="n">
        <v>46251</v>
      </c>
      <c r="H945" s="22" t="n">
        <v>625421</v>
      </c>
      <c r="I945" s="22" t="s">
        <v>8201</v>
      </c>
      <c r="J945" s="31" t="n">
        <v>72.2</v>
      </c>
      <c r="K945" s="26" t="n">
        <v>1245.85</v>
      </c>
      <c r="L945" s="26" t="n">
        <v>180.11</v>
      </c>
      <c r="M945" s="22" t="s">
        <v>3066</v>
      </c>
      <c r="N945" s="22" t="n">
        <f aca="false">MATCH(M945,'Tabela Passaro'!$A$2:$A$1795,0)</f>
        <v>704</v>
      </c>
      <c r="O945" s="22" t="str">
        <f aca="false">INDEX('Tabela Passaro'!$C$2:$C$1795,$N945)</f>
        <v>SAO LUIS</v>
      </c>
      <c r="P945" s="22" t="str">
        <f aca="false">INDEX('Tabela Passaro'!$B$2:$B$1795,$N945)</f>
        <v>MA</v>
      </c>
      <c r="Q945" s="22" t="n">
        <f aca="false">INDEX('Tabela Passaro'!$F$2:$F$1795,$N945)</f>
        <v>11</v>
      </c>
      <c r="R945" s="32" t="n">
        <f aca="false">IF(J945&lt;=10,INDEX('Tabela Passaro'!$G$2:$G$1795,$N945),IF(J945&lt;=30,INDEX('Tabela Passaro'!$H$2:$H$1795,$N945),IF(J945&lt;=50,INDEX('Tabela Passaro'!$I$2:$I$1795,$N945),IF(J945&lt;=70,INDEX('Tabela Passaro'!$J$2:$J$1795,$N945),IF(J945&lt;=100,INDEX('Tabela Passaro'!$K$2:$K$1795,$N945),INDEX('Tabela Passaro'!$K$2:$K$1795,$N945)+(J945-100)*INDEX('Tabela Passaro'!$L$2:$L$1795,$N945))))))</f>
        <v>252.71</v>
      </c>
      <c r="S945" s="32" t="n">
        <f aca="false">K945*INDEX('Tabela Passaro'!$M$2:$M$1795,$N945)</f>
        <v>6.22925</v>
      </c>
      <c r="T945" s="32" t="n">
        <f aca="false">K945*INDEX('Tabela Passaro'!$N$2:$N$1795,$N945)</f>
        <v>2.4917</v>
      </c>
      <c r="U945" s="32" t="n">
        <f aca="false">INDEX('Tabela Passaro'!$O$2:$O$1795,$N945)</f>
        <v>5</v>
      </c>
      <c r="V945" s="32" t="n">
        <f aca="false">ROUNDUP(J945/INDEX('Tabela Passaro'!$Q$2:$Q$1795,$N945),0)*INDEX('Tabela Passaro'!$P$2:$P$1795,$N945)</f>
        <v>5</v>
      </c>
      <c r="W945" s="32" t="n">
        <f aca="false">INDEX('Tabela Passaro'!$R$2:$R$1795,$N945)</f>
        <v>30</v>
      </c>
      <c r="X945" s="32" t="n">
        <f aca="false">ROUNDUP(J945/INDEX('Tabela Passaro'!$T$2:$T$1795,$N945),0)*INDEX('Tabela Passaro'!$S$2:$S$1795,$N945)</f>
        <v>0</v>
      </c>
      <c r="Y945" s="32" t="n">
        <f aca="false">INDEX('Tabela Passaro'!$U$2:$U$1795,$N945)</f>
        <v>0</v>
      </c>
      <c r="Z945" s="32" t="n">
        <f aca="false">INDEX('Tabela Passaro'!$V$2:$V$1795,$N945)</f>
        <v>0</v>
      </c>
      <c r="AA945" s="32" t="n">
        <f aca="false">SUM(R945:Z945)</f>
        <v>301.43095</v>
      </c>
      <c r="AB945" s="33" t="n">
        <f aca="false">INDEX(Premissas!$B$5:$B$13,MATCH(A945,Premissas!$A$5:$A$13,0))</f>
        <v>0.07</v>
      </c>
      <c r="AC945" s="32" t="n">
        <f aca="false">AA945/(1-AB945)-AA945</f>
        <v>22.6883510752688</v>
      </c>
      <c r="AD945" s="32" t="n">
        <f aca="false">ROUND(AA945+AC945,2)</f>
        <v>324.12</v>
      </c>
      <c r="AE945" s="32" t="n">
        <f aca="false">AD945-L945</f>
        <v>144.01</v>
      </c>
      <c r="AF945" s="34" t="n">
        <f aca="false">IF(L945=0,0,AE945/L945)</f>
        <v>0.799566931319749</v>
      </c>
      <c r="AG945" s="22" t="str">
        <f aca="false">IF(AD945&lt;L945,"PASSARO","ATUAL")</f>
        <v>ATUAL</v>
      </c>
      <c r="AH945" s="22" t="str">
        <f aca="false">IF(P945&lt;&gt;A945,"Faixa cadastrada como "&amp;P945&amp;" na tabela; preço aplicado pela UF do CEP","")</f>
        <v/>
      </c>
      <c r="AI945" s="26" t="n">
        <v>381.8</v>
      </c>
      <c r="AJ945" s="22" t="str">
        <f aca="false">INDEX('Tabela Passaro'!$X$2:$X$1795,$N945)</f>
        <v>CAPITAL</v>
      </c>
    </row>
    <row r="946" customFormat="false" ht="15" hidden="false" customHeight="false" outlineLevel="0" collapsed="false">
      <c r="A946" s="22" t="s">
        <v>18</v>
      </c>
      <c r="B946" s="22" t="n">
        <v>1</v>
      </c>
      <c r="C946" s="22" t="s">
        <v>112</v>
      </c>
      <c r="D946" s="22" t="s">
        <v>32</v>
      </c>
      <c r="E946" s="22" t="s">
        <v>7326</v>
      </c>
      <c r="F946" s="22" t="n">
        <v>904185</v>
      </c>
      <c r="G946" s="30" t="n">
        <v>46251</v>
      </c>
      <c r="H946" s="22" t="n">
        <v>625578</v>
      </c>
      <c r="I946" s="22" t="s">
        <v>8202</v>
      </c>
      <c r="J946" s="31" t="n">
        <v>107.7</v>
      </c>
      <c r="K946" s="26" t="n">
        <v>1586.09</v>
      </c>
      <c r="L946" s="26" t="n">
        <v>238.91</v>
      </c>
      <c r="M946" s="22" t="s">
        <v>3066</v>
      </c>
      <c r="N946" s="22" t="n">
        <f aca="false">MATCH(M946,'Tabela Passaro'!$A$2:$A$1795,0)</f>
        <v>704</v>
      </c>
      <c r="O946" s="22" t="str">
        <f aca="false">INDEX('Tabela Passaro'!$C$2:$C$1795,$N946)</f>
        <v>SAO LUIS</v>
      </c>
      <c r="P946" s="22" t="str">
        <f aca="false">INDEX('Tabela Passaro'!$B$2:$B$1795,$N946)</f>
        <v>MA</v>
      </c>
      <c r="Q946" s="22" t="n">
        <f aca="false">INDEX('Tabela Passaro'!$F$2:$F$1795,$N946)</f>
        <v>11</v>
      </c>
      <c r="R946" s="32" t="n">
        <f aca="false">IF(J946&lt;=10,INDEX('Tabela Passaro'!$G$2:$G$1795,$N946),IF(J946&lt;=30,INDEX('Tabela Passaro'!$H$2:$H$1795,$N946),IF(J946&lt;=50,INDEX('Tabela Passaro'!$I$2:$I$1795,$N946),IF(J946&lt;=70,INDEX('Tabela Passaro'!$J$2:$J$1795,$N946),IF(J946&lt;=100,INDEX('Tabela Passaro'!$K$2:$K$1795,$N946),INDEX('Tabela Passaro'!$K$2:$K$1795,$N946)+(J946-100)*INDEX('Tabela Passaro'!$L$2:$L$1795,$N946))))))</f>
        <v>270.728</v>
      </c>
      <c r="S946" s="32" t="n">
        <f aca="false">K946*INDEX('Tabela Passaro'!$M$2:$M$1795,$N946)</f>
        <v>7.93045</v>
      </c>
      <c r="T946" s="32" t="n">
        <f aca="false">K946*INDEX('Tabela Passaro'!$N$2:$N$1795,$N946)</f>
        <v>3.17218</v>
      </c>
      <c r="U946" s="32" t="n">
        <f aca="false">INDEX('Tabela Passaro'!$O$2:$O$1795,$N946)</f>
        <v>5</v>
      </c>
      <c r="V946" s="32" t="n">
        <f aca="false">ROUNDUP(J946/INDEX('Tabela Passaro'!$Q$2:$Q$1795,$N946),0)*INDEX('Tabela Passaro'!$P$2:$P$1795,$N946)</f>
        <v>10</v>
      </c>
      <c r="W946" s="32" t="n">
        <f aca="false">INDEX('Tabela Passaro'!$R$2:$R$1795,$N946)</f>
        <v>30</v>
      </c>
      <c r="X946" s="32" t="n">
        <f aca="false">ROUNDUP(J946/INDEX('Tabela Passaro'!$T$2:$T$1795,$N946),0)*INDEX('Tabela Passaro'!$S$2:$S$1795,$N946)</f>
        <v>0</v>
      </c>
      <c r="Y946" s="32" t="n">
        <f aca="false">INDEX('Tabela Passaro'!$U$2:$U$1795,$N946)</f>
        <v>0</v>
      </c>
      <c r="Z946" s="32" t="n">
        <f aca="false">INDEX('Tabela Passaro'!$V$2:$V$1795,$N946)</f>
        <v>0</v>
      </c>
      <c r="AA946" s="32" t="n">
        <f aca="false">SUM(R946:Z946)</f>
        <v>326.83063</v>
      </c>
      <c r="AB946" s="33" t="n">
        <f aca="false">INDEX(Premissas!$B$5:$B$13,MATCH(A946,Premissas!$A$5:$A$13,0))</f>
        <v>0.07</v>
      </c>
      <c r="AC946" s="32" t="n">
        <f aca="false">AA946/(1-AB946)-AA946</f>
        <v>24.6001549462366</v>
      </c>
      <c r="AD946" s="32" t="n">
        <f aca="false">ROUND(AA946+AC946,2)</f>
        <v>351.43</v>
      </c>
      <c r="AE946" s="32" t="n">
        <f aca="false">AD946-L946</f>
        <v>112.52</v>
      </c>
      <c r="AF946" s="34" t="n">
        <f aca="false">IF(L946=0,0,AE946/L946)</f>
        <v>0.470972332677577</v>
      </c>
      <c r="AG946" s="22" t="str">
        <f aca="false">IF(AD946&lt;L946,"PASSARO","ATUAL")</f>
        <v>ATUAL</v>
      </c>
      <c r="AH946" s="22" t="str">
        <f aca="false">IF(P946&lt;&gt;A946,"Faixa cadastrada como "&amp;P946&amp;" na tabela; preço aplicado pela UF do CEP","")</f>
        <v/>
      </c>
      <c r="AI946" s="26" t="n">
        <v>429.26</v>
      </c>
      <c r="AJ946" s="22" t="str">
        <f aca="false">INDEX('Tabela Passaro'!$X$2:$X$1795,$N946)</f>
        <v>CAPITAL</v>
      </c>
    </row>
    <row r="947" customFormat="false" ht="15" hidden="false" customHeight="false" outlineLevel="0" collapsed="false">
      <c r="A947" s="22" t="s">
        <v>18</v>
      </c>
      <c r="B947" s="22" t="n">
        <v>1</v>
      </c>
      <c r="C947" s="22" t="s">
        <v>112</v>
      </c>
      <c r="D947" s="22" t="s">
        <v>32</v>
      </c>
      <c r="E947" s="22" t="s">
        <v>7326</v>
      </c>
      <c r="F947" s="22" t="n">
        <v>904545</v>
      </c>
      <c r="G947" s="30" t="n">
        <v>46252</v>
      </c>
      <c r="H947" s="22" t="n">
        <v>626149</v>
      </c>
      <c r="I947" s="22" t="s">
        <v>8203</v>
      </c>
      <c r="J947" s="31" t="n">
        <v>67.8</v>
      </c>
      <c r="K947" s="26" t="n">
        <v>1120.17</v>
      </c>
      <c r="L947" s="26" t="n">
        <v>167.43</v>
      </c>
      <c r="M947" s="22" t="s">
        <v>3066</v>
      </c>
      <c r="N947" s="22" t="n">
        <f aca="false">MATCH(M947,'Tabela Passaro'!$A$2:$A$1795,0)</f>
        <v>704</v>
      </c>
      <c r="O947" s="22" t="str">
        <f aca="false">INDEX('Tabela Passaro'!$C$2:$C$1795,$N947)</f>
        <v>SAO LUIS</v>
      </c>
      <c r="P947" s="22" t="str">
        <f aca="false">INDEX('Tabela Passaro'!$B$2:$B$1795,$N947)</f>
        <v>MA</v>
      </c>
      <c r="Q947" s="22" t="n">
        <f aca="false">INDEX('Tabela Passaro'!$F$2:$F$1795,$N947)</f>
        <v>11</v>
      </c>
      <c r="R947" s="32" t="n">
        <f aca="false">IF(J947&lt;=10,INDEX('Tabela Passaro'!$G$2:$G$1795,$N947),IF(J947&lt;=30,INDEX('Tabela Passaro'!$H$2:$H$1795,$N947),IF(J947&lt;=50,INDEX('Tabela Passaro'!$I$2:$I$1795,$N947),IF(J947&lt;=70,INDEX('Tabela Passaro'!$J$2:$J$1795,$N947),IF(J947&lt;=100,INDEX('Tabela Passaro'!$K$2:$K$1795,$N947),INDEX('Tabela Passaro'!$K$2:$K$1795,$N947)+(J947-100)*INDEX('Tabela Passaro'!$L$2:$L$1795,$N947))))))</f>
        <v>236.11</v>
      </c>
      <c r="S947" s="32" t="n">
        <f aca="false">K947*INDEX('Tabela Passaro'!$M$2:$M$1795,$N947)</f>
        <v>5.60085</v>
      </c>
      <c r="T947" s="32" t="n">
        <f aca="false">K947*INDEX('Tabela Passaro'!$N$2:$N$1795,$N947)</f>
        <v>2.24034</v>
      </c>
      <c r="U947" s="32" t="n">
        <f aca="false">INDEX('Tabela Passaro'!$O$2:$O$1795,$N947)</f>
        <v>5</v>
      </c>
      <c r="V947" s="32" t="n">
        <f aca="false">ROUNDUP(J947/INDEX('Tabela Passaro'!$Q$2:$Q$1795,$N947),0)*INDEX('Tabela Passaro'!$P$2:$P$1795,$N947)</f>
        <v>5</v>
      </c>
      <c r="W947" s="32" t="n">
        <f aca="false">INDEX('Tabela Passaro'!$R$2:$R$1795,$N947)</f>
        <v>30</v>
      </c>
      <c r="X947" s="32" t="n">
        <f aca="false">ROUNDUP(J947/INDEX('Tabela Passaro'!$T$2:$T$1795,$N947),0)*INDEX('Tabela Passaro'!$S$2:$S$1795,$N947)</f>
        <v>0</v>
      </c>
      <c r="Y947" s="32" t="n">
        <f aca="false">INDEX('Tabela Passaro'!$U$2:$U$1795,$N947)</f>
        <v>0</v>
      </c>
      <c r="Z947" s="32" t="n">
        <f aca="false">INDEX('Tabela Passaro'!$V$2:$V$1795,$N947)</f>
        <v>0</v>
      </c>
      <c r="AA947" s="32" t="n">
        <f aca="false">SUM(R947:Z947)</f>
        <v>283.95119</v>
      </c>
      <c r="AB947" s="33" t="n">
        <f aca="false">INDEX(Premissas!$B$5:$B$13,MATCH(A947,Premissas!$A$5:$A$13,0))</f>
        <v>0.07</v>
      </c>
      <c r="AC947" s="32" t="n">
        <f aca="false">AA947/(1-AB947)-AA947</f>
        <v>21.3726702150538</v>
      </c>
      <c r="AD947" s="32" t="n">
        <f aca="false">ROUND(AA947+AC947,2)</f>
        <v>305.32</v>
      </c>
      <c r="AE947" s="32" t="n">
        <f aca="false">AD947-L947</f>
        <v>137.89</v>
      </c>
      <c r="AF947" s="34" t="n">
        <f aca="false">IF(L947=0,0,AE947/L947)</f>
        <v>0.823568058293018</v>
      </c>
      <c r="AG947" s="22" t="str">
        <f aca="false">IF(AD947&lt;L947,"PASSARO","ATUAL")</f>
        <v>ATUAL</v>
      </c>
      <c r="AH947" s="22" t="str">
        <f aca="false">IF(P947&lt;&gt;A947,"Faixa cadastrada como "&amp;P947&amp;" na tabela; preço aplicado pela UF do CEP","")</f>
        <v/>
      </c>
      <c r="AI947" s="26" t="n">
        <v>359.38</v>
      </c>
      <c r="AJ947" s="22" t="str">
        <f aca="false">INDEX('Tabela Passaro'!$X$2:$X$1795,$N947)</f>
        <v>CAPITAL</v>
      </c>
    </row>
    <row r="948" customFormat="false" ht="15" hidden="false" customHeight="false" outlineLevel="0" collapsed="false">
      <c r="A948" s="22" t="s">
        <v>18</v>
      </c>
      <c r="B948" s="22" t="n">
        <v>1</v>
      </c>
      <c r="C948" s="22" t="s">
        <v>112</v>
      </c>
      <c r="D948" s="22" t="s">
        <v>32</v>
      </c>
      <c r="E948" s="22" t="s">
        <v>7326</v>
      </c>
      <c r="F948" s="22" t="n">
        <v>904519</v>
      </c>
      <c r="G948" s="30" t="n">
        <v>46252</v>
      </c>
      <c r="H948" s="22" t="n">
        <v>626623</v>
      </c>
      <c r="I948" s="22" t="s">
        <v>8204</v>
      </c>
      <c r="J948" s="31" t="n">
        <v>76.8</v>
      </c>
      <c r="K948" s="26" t="n">
        <v>1229.85</v>
      </c>
      <c r="L948" s="26" t="n">
        <v>179.91</v>
      </c>
      <c r="M948" s="22" t="s">
        <v>3066</v>
      </c>
      <c r="N948" s="22" t="n">
        <f aca="false">MATCH(M948,'Tabela Passaro'!$A$2:$A$1795,0)</f>
        <v>704</v>
      </c>
      <c r="O948" s="22" t="str">
        <f aca="false">INDEX('Tabela Passaro'!$C$2:$C$1795,$N948)</f>
        <v>SAO LUIS</v>
      </c>
      <c r="P948" s="22" t="str">
        <f aca="false">INDEX('Tabela Passaro'!$B$2:$B$1795,$N948)</f>
        <v>MA</v>
      </c>
      <c r="Q948" s="22" t="n">
        <f aca="false">INDEX('Tabela Passaro'!$F$2:$F$1795,$N948)</f>
        <v>11</v>
      </c>
      <c r="R948" s="32" t="n">
        <f aca="false">IF(J948&lt;=10,INDEX('Tabela Passaro'!$G$2:$G$1795,$N948),IF(J948&lt;=30,INDEX('Tabela Passaro'!$H$2:$H$1795,$N948),IF(J948&lt;=50,INDEX('Tabela Passaro'!$I$2:$I$1795,$N948),IF(J948&lt;=70,INDEX('Tabela Passaro'!$J$2:$J$1795,$N948),IF(J948&lt;=100,INDEX('Tabela Passaro'!$K$2:$K$1795,$N948),INDEX('Tabela Passaro'!$K$2:$K$1795,$N948)+(J948-100)*INDEX('Tabela Passaro'!$L$2:$L$1795,$N948))))))</f>
        <v>252.71</v>
      </c>
      <c r="S948" s="32" t="n">
        <f aca="false">K948*INDEX('Tabela Passaro'!$M$2:$M$1795,$N948)</f>
        <v>6.14925</v>
      </c>
      <c r="T948" s="32" t="n">
        <f aca="false">K948*INDEX('Tabela Passaro'!$N$2:$N$1795,$N948)</f>
        <v>2.4597</v>
      </c>
      <c r="U948" s="32" t="n">
        <f aca="false">INDEX('Tabela Passaro'!$O$2:$O$1795,$N948)</f>
        <v>5</v>
      </c>
      <c r="V948" s="32" t="n">
        <f aca="false">ROUNDUP(J948/INDEX('Tabela Passaro'!$Q$2:$Q$1795,$N948),0)*INDEX('Tabela Passaro'!$P$2:$P$1795,$N948)</f>
        <v>5</v>
      </c>
      <c r="W948" s="32" t="n">
        <f aca="false">INDEX('Tabela Passaro'!$R$2:$R$1795,$N948)</f>
        <v>30</v>
      </c>
      <c r="X948" s="32" t="n">
        <f aca="false">ROUNDUP(J948/INDEX('Tabela Passaro'!$T$2:$T$1795,$N948),0)*INDEX('Tabela Passaro'!$S$2:$S$1795,$N948)</f>
        <v>0</v>
      </c>
      <c r="Y948" s="32" t="n">
        <f aca="false">INDEX('Tabela Passaro'!$U$2:$U$1795,$N948)</f>
        <v>0</v>
      </c>
      <c r="Z948" s="32" t="n">
        <f aca="false">INDEX('Tabela Passaro'!$V$2:$V$1795,$N948)</f>
        <v>0</v>
      </c>
      <c r="AA948" s="32" t="n">
        <f aca="false">SUM(R948:Z948)</f>
        <v>301.31895</v>
      </c>
      <c r="AB948" s="33" t="n">
        <f aca="false">INDEX(Premissas!$B$5:$B$13,MATCH(A948,Premissas!$A$5:$A$13,0))</f>
        <v>0.07</v>
      </c>
      <c r="AC948" s="32" t="n">
        <f aca="false">AA948/(1-AB948)-AA948</f>
        <v>22.679920967742</v>
      </c>
      <c r="AD948" s="32" t="n">
        <f aca="false">ROUND(AA948+AC948,2)</f>
        <v>324</v>
      </c>
      <c r="AE948" s="32" t="n">
        <f aca="false">AD948-L948</f>
        <v>144.09</v>
      </c>
      <c r="AF948" s="34" t="n">
        <f aca="false">IF(L948=0,0,AE948/L948)</f>
        <v>0.800900450225113</v>
      </c>
      <c r="AG948" s="22" t="str">
        <f aca="false">IF(AD948&lt;L948,"PASSARO","ATUAL")</f>
        <v>ATUAL</v>
      </c>
      <c r="AH948" s="22" t="str">
        <f aca="false">IF(P948&lt;&gt;A948,"Faixa cadastrada como "&amp;P948&amp;" na tabela; preço aplicado pela UF do CEP","")</f>
        <v/>
      </c>
      <c r="AI948" s="26" t="n">
        <v>383.58</v>
      </c>
      <c r="AJ948" s="22" t="str">
        <f aca="false">INDEX('Tabela Passaro'!$X$2:$X$1795,$N948)</f>
        <v>CAPITAL</v>
      </c>
    </row>
    <row r="949" customFormat="false" ht="15" hidden="false" customHeight="false" outlineLevel="0" collapsed="false">
      <c r="A949" s="22" t="s">
        <v>18</v>
      </c>
      <c r="B949" s="22" t="n">
        <v>1</v>
      </c>
      <c r="C949" s="22" t="s">
        <v>112</v>
      </c>
      <c r="D949" s="22" t="s">
        <v>32</v>
      </c>
      <c r="E949" s="22" t="s">
        <v>7326</v>
      </c>
      <c r="F949" s="22" t="n">
        <v>905158</v>
      </c>
      <c r="G949" s="30" t="n">
        <v>46253</v>
      </c>
      <c r="H949" s="22" t="n">
        <v>626904</v>
      </c>
      <c r="I949" s="22" t="s">
        <v>8205</v>
      </c>
      <c r="J949" s="31" t="n">
        <v>45.4</v>
      </c>
      <c r="K949" s="26" t="n">
        <v>620.11</v>
      </c>
      <c r="L949" s="26" t="n">
        <v>134.76</v>
      </c>
      <c r="M949" s="22" t="s">
        <v>3066</v>
      </c>
      <c r="N949" s="22" t="n">
        <f aca="false">MATCH(M949,'Tabela Passaro'!$A$2:$A$1795,0)</f>
        <v>704</v>
      </c>
      <c r="O949" s="22" t="str">
        <f aca="false">INDEX('Tabela Passaro'!$C$2:$C$1795,$N949)</f>
        <v>SAO LUIS</v>
      </c>
      <c r="P949" s="22" t="str">
        <f aca="false">INDEX('Tabela Passaro'!$B$2:$B$1795,$N949)</f>
        <v>MA</v>
      </c>
      <c r="Q949" s="22" t="n">
        <f aca="false">INDEX('Tabela Passaro'!$F$2:$F$1795,$N949)</f>
        <v>11</v>
      </c>
      <c r="R949" s="32" t="n">
        <f aca="false">IF(J949&lt;=10,INDEX('Tabela Passaro'!$G$2:$G$1795,$N949),IF(J949&lt;=30,INDEX('Tabela Passaro'!$H$2:$H$1795,$N949),IF(J949&lt;=50,INDEX('Tabela Passaro'!$I$2:$I$1795,$N949),IF(J949&lt;=70,INDEX('Tabela Passaro'!$J$2:$J$1795,$N949),IF(J949&lt;=100,INDEX('Tabela Passaro'!$K$2:$K$1795,$N949),INDEX('Tabela Passaro'!$K$2:$K$1795,$N949)+(J949-100)*INDEX('Tabela Passaro'!$L$2:$L$1795,$N949))))))</f>
        <v>219.51</v>
      </c>
      <c r="S949" s="32" t="n">
        <f aca="false">K949*INDEX('Tabela Passaro'!$M$2:$M$1795,$N949)</f>
        <v>3.10055</v>
      </c>
      <c r="T949" s="32" t="n">
        <f aca="false">K949*INDEX('Tabela Passaro'!$N$2:$N$1795,$N949)</f>
        <v>1.24022</v>
      </c>
      <c r="U949" s="32" t="n">
        <f aca="false">INDEX('Tabela Passaro'!$O$2:$O$1795,$N949)</f>
        <v>5</v>
      </c>
      <c r="V949" s="32" t="n">
        <f aca="false">ROUNDUP(J949/INDEX('Tabela Passaro'!$Q$2:$Q$1795,$N949),0)*INDEX('Tabela Passaro'!$P$2:$P$1795,$N949)</f>
        <v>5</v>
      </c>
      <c r="W949" s="32" t="n">
        <f aca="false">INDEX('Tabela Passaro'!$R$2:$R$1795,$N949)</f>
        <v>30</v>
      </c>
      <c r="X949" s="32" t="n">
        <f aca="false">ROUNDUP(J949/INDEX('Tabela Passaro'!$T$2:$T$1795,$N949),0)*INDEX('Tabela Passaro'!$S$2:$S$1795,$N949)</f>
        <v>0</v>
      </c>
      <c r="Y949" s="32" t="n">
        <f aca="false">INDEX('Tabela Passaro'!$U$2:$U$1795,$N949)</f>
        <v>0</v>
      </c>
      <c r="Z949" s="32" t="n">
        <f aca="false">INDEX('Tabela Passaro'!$V$2:$V$1795,$N949)</f>
        <v>0</v>
      </c>
      <c r="AA949" s="32" t="n">
        <f aca="false">SUM(R949:Z949)</f>
        <v>263.85077</v>
      </c>
      <c r="AB949" s="33" t="n">
        <f aca="false">INDEX(Premissas!$B$5:$B$13,MATCH(A949,Premissas!$A$5:$A$13,0))</f>
        <v>0.07</v>
      </c>
      <c r="AC949" s="32" t="n">
        <f aca="false">AA949/(1-AB949)-AA949</f>
        <v>19.8597353763441</v>
      </c>
      <c r="AD949" s="32" t="n">
        <f aca="false">ROUND(AA949+AC949,2)</f>
        <v>283.71</v>
      </c>
      <c r="AE949" s="32" t="n">
        <f aca="false">AD949-L949</f>
        <v>148.95</v>
      </c>
      <c r="AF949" s="34" t="n">
        <f aca="false">IF(L949=0,0,AE949/L949)</f>
        <v>1.10529830810329</v>
      </c>
      <c r="AG949" s="22" t="str">
        <f aca="false">IF(AD949&lt;L949,"PASSARO","ATUAL")</f>
        <v>ATUAL</v>
      </c>
      <c r="AH949" s="22" t="str">
        <f aca="false">IF(P949&lt;&gt;A949,"Faixa cadastrada como "&amp;P949&amp;" na tabela; preço aplicado pela UF do CEP","")</f>
        <v/>
      </c>
      <c r="AI949" s="26" t="n">
        <v>325.11</v>
      </c>
      <c r="AJ949" s="22" t="str">
        <f aca="false">INDEX('Tabela Passaro'!$X$2:$X$1795,$N949)</f>
        <v>CAPITAL</v>
      </c>
    </row>
    <row r="950" customFormat="false" ht="15" hidden="false" customHeight="false" outlineLevel="0" collapsed="false">
      <c r="A950" s="22" t="s">
        <v>18</v>
      </c>
      <c r="B950" s="22" t="n">
        <v>1</v>
      </c>
      <c r="C950" s="22" t="s">
        <v>112</v>
      </c>
      <c r="D950" s="22" t="s">
        <v>32</v>
      </c>
      <c r="E950" s="22" t="s">
        <v>7326</v>
      </c>
      <c r="F950" s="22" t="n">
        <v>905926</v>
      </c>
      <c r="G950" s="30" t="n">
        <v>46255</v>
      </c>
      <c r="H950" s="22" t="n">
        <v>627829</v>
      </c>
      <c r="I950" s="22" t="s">
        <v>8206</v>
      </c>
      <c r="J950" s="31" t="n">
        <v>36.8</v>
      </c>
      <c r="K950" s="26" t="n">
        <v>559.08</v>
      </c>
      <c r="L950" s="26" t="n">
        <v>133.98</v>
      </c>
      <c r="M950" s="22" t="s">
        <v>3066</v>
      </c>
      <c r="N950" s="22" t="n">
        <f aca="false">MATCH(M950,'Tabela Passaro'!$A$2:$A$1795,0)</f>
        <v>704</v>
      </c>
      <c r="O950" s="22" t="str">
        <f aca="false">INDEX('Tabela Passaro'!$C$2:$C$1795,$N950)</f>
        <v>SAO LUIS</v>
      </c>
      <c r="P950" s="22" t="str">
        <f aca="false">INDEX('Tabela Passaro'!$B$2:$B$1795,$N950)</f>
        <v>MA</v>
      </c>
      <c r="Q950" s="22" t="n">
        <f aca="false">INDEX('Tabela Passaro'!$F$2:$F$1795,$N950)</f>
        <v>11</v>
      </c>
      <c r="R950" s="32" t="n">
        <f aca="false">IF(J950&lt;=10,INDEX('Tabela Passaro'!$G$2:$G$1795,$N950),IF(J950&lt;=30,INDEX('Tabela Passaro'!$H$2:$H$1795,$N950),IF(J950&lt;=50,INDEX('Tabela Passaro'!$I$2:$I$1795,$N950),IF(J950&lt;=70,INDEX('Tabela Passaro'!$J$2:$J$1795,$N950),IF(J950&lt;=100,INDEX('Tabela Passaro'!$K$2:$K$1795,$N950),INDEX('Tabela Passaro'!$K$2:$K$1795,$N950)+(J950-100)*INDEX('Tabela Passaro'!$L$2:$L$1795,$N950))))))</f>
        <v>219.51</v>
      </c>
      <c r="S950" s="32" t="n">
        <f aca="false">K950*INDEX('Tabela Passaro'!$M$2:$M$1795,$N950)</f>
        <v>2.7954</v>
      </c>
      <c r="T950" s="32" t="n">
        <f aca="false">K950*INDEX('Tabela Passaro'!$N$2:$N$1795,$N950)</f>
        <v>1.11816</v>
      </c>
      <c r="U950" s="32" t="n">
        <f aca="false">INDEX('Tabela Passaro'!$O$2:$O$1795,$N950)</f>
        <v>5</v>
      </c>
      <c r="V950" s="32" t="n">
        <f aca="false">ROUNDUP(J950/INDEX('Tabela Passaro'!$Q$2:$Q$1795,$N950),0)*INDEX('Tabela Passaro'!$P$2:$P$1795,$N950)</f>
        <v>5</v>
      </c>
      <c r="W950" s="32" t="n">
        <f aca="false">INDEX('Tabela Passaro'!$R$2:$R$1795,$N950)</f>
        <v>30</v>
      </c>
      <c r="X950" s="32" t="n">
        <f aca="false">ROUNDUP(J950/INDEX('Tabela Passaro'!$T$2:$T$1795,$N950),0)*INDEX('Tabela Passaro'!$S$2:$S$1795,$N950)</f>
        <v>0</v>
      </c>
      <c r="Y950" s="32" t="n">
        <f aca="false">INDEX('Tabela Passaro'!$U$2:$U$1795,$N950)</f>
        <v>0</v>
      </c>
      <c r="Z950" s="32" t="n">
        <f aca="false">INDEX('Tabela Passaro'!$V$2:$V$1795,$N950)</f>
        <v>0</v>
      </c>
      <c r="AA950" s="32" t="n">
        <f aca="false">SUM(R950:Z950)</f>
        <v>263.42356</v>
      </c>
      <c r="AB950" s="33" t="n">
        <f aca="false">INDEX(Premissas!$B$5:$B$13,MATCH(A950,Premissas!$A$5:$A$13,0))</f>
        <v>0.07</v>
      </c>
      <c r="AC950" s="32" t="n">
        <f aca="false">AA950/(1-AB950)-AA950</f>
        <v>19.8275797849462</v>
      </c>
      <c r="AD950" s="32" t="n">
        <f aca="false">ROUND(AA950+AC950,2)</f>
        <v>283.25</v>
      </c>
      <c r="AE950" s="32" t="n">
        <f aca="false">AD950-L950</f>
        <v>149.27</v>
      </c>
      <c r="AF950" s="34" t="n">
        <f aca="false">IF(L950=0,0,AE950/L950)</f>
        <v>1.11412151067324</v>
      </c>
      <c r="AG950" s="22" t="str">
        <f aca="false">IF(AD950&lt;L950,"PASSARO","ATUAL")</f>
        <v>ATUAL</v>
      </c>
      <c r="AH950" s="22" t="str">
        <f aca="false">IF(P950&lt;&gt;A950,"Faixa cadastrada como "&amp;P950&amp;" na tabela; preço aplicado pela UF do CEP","")</f>
        <v/>
      </c>
      <c r="AI950" s="26" t="n">
        <v>320.16</v>
      </c>
      <c r="AJ950" s="22" t="str">
        <f aca="false">INDEX('Tabela Passaro'!$X$2:$X$1795,$N950)</f>
        <v>CAPITAL</v>
      </c>
    </row>
    <row r="951" customFormat="false" ht="15" hidden="false" customHeight="false" outlineLevel="0" collapsed="false">
      <c r="A951" s="22" t="s">
        <v>18</v>
      </c>
      <c r="B951" s="22" t="n">
        <v>1</v>
      </c>
      <c r="C951" s="22" t="s">
        <v>112</v>
      </c>
      <c r="D951" s="22" t="s">
        <v>32</v>
      </c>
      <c r="E951" s="22" t="s">
        <v>7326</v>
      </c>
      <c r="F951" s="22" t="n">
        <v>906329</v>
      </c>
      <c r="G951" s="30" t="n">
        <v>46258</v>
      </c>
      <c r="H951" s="22" t="n">
        <v>628369</v>
      </c>
      <c r="I951" s="22" t="s">
        <v>8207</v>
      </c>
      <c r="J951" s="31" t="n">
        <v>34.6</v>
      </c>
      <c r="K951" s="26" t="n">
        <v>850.61</v>
      </c>
      <c r="L951" s="26" t="n">
        <v>137.74</v>
      </c>
      <c r="M951" s="22" t="s">
        <v>3066</v>
      </c>
      <c r="N951" s="22" t="n">
        <f aca="false">MATCH(M951,'Tabela Passaro'!$A$2:$A$1795,0)</f>
        <v>704</v>
      </c>
      <c r="O951" s="22" t="str">
        <f aca="false">INDEX('Tabela Passaro'!$C$2:$C$1795,$N951)</f>
        <v>SAO LUIS</v>
      </c>
      <c r="P951" s="22" t="str">
        <f aca="false">INDEX('Tabela Passaro'!$B$2:$B$1795,$N951)</f>
        <v>MA</v>
      </c>
      <c r="Q951" s="22" t="n">
        <f aca="false">INDEX('Tabela Passaro'!$F$2:$F$1795,$N951)</f>
        <v>11</v>
      </c>
      <c r="R951" s="32" t="n">
        <f aca="false">IF(J951&lt;=10,INDEX('Tabela Passaro'!$G$2:$G$1795,$N951),IF(J951&lt;=30,INDEX('Tabela Passaro'!$H$2:$H$1795,$N951),IF(J951&lt;=50,INDEX('Tabela Passaro'!$I$2:$I$1795,$N951),IF(J951&lt;=70,INDEX('Tabela Passaro'!$J$2:$J$1795,$N951),IF(J951&lt;=100,INDEX('Tabela Passaro'!$K$2:$K$1795,$N951),INDEX('Tabela Passaro'!$K$2:$K$1795,$N951)+(J951-100)*INDEX('Tabela Passaro'!$L$2:$L$1795,$N951))))))</f>
        <v>219.51</v>
      </c>
      <c r="S951" s="32" t="n">
        <f aca="false">K951*INDEX('Tabela Passaro'!$M$2:$M$1795,$N951)</f>
        <v>4.25305</v>
      </c>
      <c r="T951" s="32" t="n">
        <f aca="false">K951*INDEX('Tabela Passaro'!$N$2:$N$1795,$N951)</f>
        <v>1.70122</v>
      </c>
      <c r="U951" s="32" t="n">
        <f aca="false">INDEX('Tabela Passaro'!$O$2:$O$1795,$N951)</f>
        <v>5</v>
      </c>
      <c r="V951" s="32" t="n">
        <f aca="false">ROUNDUP(J951/INDEX('Tabela Passaro'!$Q$2:$Q$1795,$N951),0)*INDEX('Tabela Passaro'!$P$2:$P$1795,$N951)</f>
        <v>5</v>
      </c>
      <c r="W951" s="32" t="n">
        <f aca="false">INDEX('Tabela Passaro'!$R$2:$R$1795,$N951)</f>
        <v>30</v>
      </c>
      <c r="X951" s="32" t="n">
        <f aca="false">ROUNDUP(J951/INDEX('Tabela Passaro'!$T$2:$T$1795,$N951),0)*INDEX('Tabela Passaro'!$S$2:$S$1795,$N951)</f>
        <v>0</v>
      </c>
      <c r="Y951" s="32" t="n">
        <f aca="false">INDEX('Tabela Passaro'!$U$2:$U$1795,$N951)</f>
        <v>0</v>
      </c>
      <c r="Z951" s="32" t="n">
        <f aca="false">INDEX('Tabela Passaro'!$V$2:$V$1795,$N951)</f>
        <v>0</v>
      </c>
      <c r="AA951" s="32" t="n">
        <f aca="false">SUM(R951:Z951)</f>
        <v>265.46427</v>
      </c>
      <c r="AB951" s="33" t="n">
        <f aca="false">INDEX(Premissas!$B$5:$B$13,MATCH(A951,Premissas!$A$5:$A$13,0))</f>
        <v>0.07</v>
      </c>
      <c r="AC951" s="32" t="n">
        <f aca="false">AA951/(1-AB951)-AA951</f>
        <v>19.9811816129032</v>
      </c>
      <c r="AD951" s="32" t="n">
        <f aca="false">ROUND(AA951+AC951,2)</f>
        <v>285.45</v>
      </c>
      <c r="AE951" s="32" t="n">
        <f aca="false">AD951-L951</f>
        <v>147.71</v>
      </c>
      <c r="AF951" s="34" t="n">
        <f aca="false">IF(L951=0,0,AE951/L951)</f>
        <v>1.0723827501089</v>
      </c>
      <c r="AG951" s="22" t="str">
        <f aca="false">IF(AD951&lt;L951,"PASSARO","ATUAL")</f>
        <v>ATUAL</v>
      </c>
      <c r="AH951" s="22" t="str">
        <f aca="false">IF(P951&lt;&gt;A951,"Faixa cadastrada como "&amp;P951&amp;" na tabela; preço aplicado pela UF do CEP","")</f>
        <v/>
      </c>
      <c r="AI951" s="26" t="n">
        <v>322.02</v>
      </c>
      <c r="AJ951" s="22" t="str">
        <f aca="false">INDEX('Tabela Passaro'!$X$2:$X$1795,$N951)</f>
        <v>CAPITAL</v>
      </c>
    </row>
    <row r="952" customFormat="false" ht="15" hidden="false" customHeight="false" outlineLevel="0" collapsed="false">
      <c r="A952" s="22" t="s">
        <v>18</v>
      </c>
      <c r="B952" s="22" t="n">
        <v>1</v>
      </c>
      <c r="C952" s="22" t="s">
        <v>112</v>
      </c>
      <c r="D952" s="22" t="s">
        <v>32</v>
      </c>
      <c r="E952" s="22" t="s">
        <v>7326</v>
      </c>
      <c r="F952" s="22" t="n">
        <v>906646</v>
      </c>
      <c r="G952" s="30" t="n">
        <v>46259</v>
      </c>
      <c r="H952" s="22" t="n">
        <v>629339</v>
      </c>
      <c r="I952" s="22" t="s">
        <v>8208</v>
      </c>
      <c r="J952" s="31" t="n">
        <v>86.5</v>
      </c>
      <c r="K952" s="26" t="n">
        <v>3440.21</v>
      </c>
      <c r="L952" s="26" t="n">
        <v>208.43</v>
      </c>
      <c r="M952" s="22" t="s">
        <v>3066</v>
      </c>
      <c r="N952" s="22" t="n">
        <f aca="false">MATCH(M952,'Tabela Passaro'!$A$2:$A$1795,0)</f>
        <v>704</v>
      </c>
      <c r="O952" s="22" t="str">
        <f aca="false">INDEX('Tabela Passaro'!$C$2:$C$1795,$N952)</f>
        <v>SAO LUIS</v>
      </c>
      <c r="P952" s="22" t="str">
        <f aca="false">INDEX('Tabela Passaro'!$B$2:$B$1795,$N952)</f>
        <v>MA</v>
      </c>
      <c r="Q952" s="22" t="n">
        <f aca="false">INDEX('Tabela Passaro'!$F$2:$F$1795,$N952)</f>
        <v>11</v>
      </c>
      <c r="R952" s="32" t="n">
        <f aca="false">IF(J952&lt;=10,INDEX('Tabela Passaro'!$G$2:$G$1795,$N952),IF(J952&lt;=30,INDEX('Tabela Passaro'!$H$2:$H$1795,$N952),IF(J952&lt;=50,INDEX('Tabela Passaro'!$I$2:$I$1795,$N952),IF(J952&lt;=70,INDEX('Tabela Passaro'!$J$2:$J$1795,$N952),IF(J952&lt;=100,INDEX('Tabela Passaro'!$K$2:$K$1795,$N952),INDEX('Tabela Passaro'!$K$2:$K$1795,$N952)+(J952-100)*INDEX('Tabela Passaro'!$L$2:$L$1795,$N952))))))</f>
        <v>252.71</v>
      </c>
      <c r="S952" s="32" t="n">
        <f aca="false">K952*INDEX('Tabela Passaro'!$M$2:$M$1795,$N952)</f>
        <v>17.20105</v>
      </c>
      <c r="T952" s="32" t="n">
        <f aca="false">K952*INDEX('Tabela Passaro'!$N$2:$N$1795,$N952)</f>
        <v>6.88042</v>
      </c>
      <c r="U952" s="32" t="n">
        <f aca="false">INDEX('Tabela Passaro'!$O$2:$O$1795,$N952)</f>
        <v>5</v>
      </c>
      <c r="V952" s="32" t="n">
        <f aca="false">ROUNDUP(J952/INDEX('Tabela Passaro'!$Q$2:$Q$1795,$N952),0)*INDEX('Tabela Passaro'!$P$2:$P$1795,$N952)</f>
        <v>5</v>
      </c>
      <c r="W952" s="32" t="n">
        <f aca="false">INDEX('Tabela Passaro'!$R$2:$R$1795,$N952)</f>
        <v>30</v>
      </c>
      <c r="X952" s="32" t="n">
        <f aca="false">ROUNDUP(J952/INDEX('Tabela Passaro'!$T$2:$T$1795,$N952),0)*INDEX('Tabela Passaro'!$S$2:$S$1795,$N952)</f>
        <v>0</v>
      </c>
      <c r="Y952" s="32" t="n">
        <f aca="false">INDEX('Tabela Passaro'!$U$2:$U$1795,$N952)</f>
        <v>0</v>
      </c>
      <c r="Z952" s="32" t="n">
        <f aca="false">INDEX('Tabela Passaro'!$V$2:$V$1795,$N952)</f>
        <v>0</v>
      </c>
      <c r="AA952" s="32" t="n">
        <f aca="false">SUM(R952:Z952)</f>
        <v>316.79147</v>
      </c>
      <c r="AB952" s="33" t="n">
        <f aca="false">INDEX(Premissas!$B$5:$B$13,MATCH(A952,Premissas!$A$5:$A$13,0))</f>
        <v>0.07</v>
      </c>
      <c r="AC952" s="32" t="n">
        <f aca="false">AA952/(1-AB952)-AA952</f>
        <v>23.8445192473118</v>
      </c>
      <c r="AD952" s="32" t="n">
        <f aca="false">ROUND(AA952+AC952,2)</f>
        <v>340.64</v>
      </c>
      <c r="AE952" s="32" t="n">
        <f aca="false">AD952-L952</f>
        <v>132.21</v>
      </c>
      <c r="AF952" s="34" t="n">
        <f aca="false">IF(L952=0,0,AE952/L952)</f>
        <v>0.634313678453198</v>
      </c>
      <c r="AG952" s="22" t="str">
        <f aca="false">IF(AD952&lt;L952,"PASSARO","ATUAL")</f>
        <v>ATUAL</v>
      </c>
      <c r="AH952" s="22" t="str">
        <f aca="false">IF(P952&lt;&gt;A952,"Faixa cadastrada como "&amp;P952&amp;" na tabela; preço aplicado pela UF do CEP","")</f>
        <v/>
      </c>
      <c r="AI952" s="26" t="n">
        <v>409.81</v>
      </c>
      <c r="AJ952" s="22" t="str">
        <f aca="false">INDEX('Tabela Passaro'!$X$2:$X$1795,$N952)</f>
        <v>CAPITAL</v>
      </c>
    </row>
    <row r="953" customFormat="false" ht="15" hidden="false" customHeight="false" outlineLevel="0" collapsed="false">
      <c r="A953" s="22" t="s">
        <v>18</v>
      </c>
      <c r="B953" s="22" t="n">
        <v>1</v>
      </c>
      <c r="C953" s="22" t="s">
        <v>112</v>
      </c>
      <c r="D953" s="22" t="s">
        <v>32</v>
      </c>
      <c r="E953" s="22" t="s">
        <v>7326</v>
      </c>
      <c r="F953" s="22" t="n">
        <v>907119</v>
      </c>
      <c r="G953" s="30" t="n">
        <v>46260</v>
      </c>
      <c r="H953" s="22" t="n">
        <v>629544</v>
      </c>
      <c r="I953" s="22" t="s">
        <v>8209</v>
      </c>
      <c r="J953" s="31" t="n">
        <v>46.8</v>
      </c>
      <c r="K953" s="26" t="n">
        <v>642.48</v>
      </c>
      <c r="L953" s="26" t="n">
        <v>135.06</v>
      </c>
      <c r="M953" s="22" t="s">
        <v>3066</v>
      </c>
      <c r="N953" s="22" t="n">
        <f aca="false">MATCH(M953,'Tabela Passaro'!$A$2:$A$1795,0)</f>
        <v>704</v>
      </c>
      <c r="O953" s="22" t="str">
        <f aca="false">INDEX('Tabela Passaro'!$C$2:$C$1795,$N953)</f>
        <v>SAO LUIS</v>
      </c>
      <c r="P953" s="22" t="str">
        <f aca="false">INDEX('Tabela Passaro'!$B$2:$B$1795,$N953)</f>
        <v>MA</v>
      </c>
      <c r="Q953" s="22" t="n">
        <f aca="false">INDEX('Tabela Passaro'!$F$2:$F$1795,$N953)</f>
        <v>11</v>
      </c>
      <c r="R953" s="32" t="n">
        <f aca="false">IF(J953&lt;=10,INDEX('Tabela Passaro'!$G$2:$G$1795,$N953),IF(J953&lt;=30,INDEX('Tabela Passaro'!$H$2:$H$1795,$N953),IF(J953&lt;=50,INDEX('Tabela Passaro'!$I$2:$I$1795,$N953),IF(J953&lt;=70,INDEX('Tabela Passaro'!$J$2:$J$1795,$N953),IF(J953&lt;=100,INDEX('Tabela Passaro'!$K$2:$K$1795,$N953),INDEX('Tabela Passaro'!$K$2:$K$1795,$N953)+(J953-100)*INDEX('Tabela Passaro'!$L$2:$L$1795,$N953))))))</f>
        <v>219.51</v>
      </c>
      <c r="S953" s="32" t="n">
        <f aca="false">K953*INDEX('Tabela Passaro'!$M$2:$M$1795,$N953)</f>
        <v>3.2124</v>
      </c>
      <c r="T953" s="32" t="n">
        <f aca="false">K953*INDEX('Tabela Passaro'!$N$2:$N$1795,$N953)</f>
        <v>1.28496</v>
      </c>
      <c r="U953" s="32" t="n">
        <f aca="false">INDEX('Tabela Passaro'!$O$2:$O$1795,$N953)</f>
        <v>5</v>
      </c>
      <c r="V953" s="32" t="n">
        <f aca="false">ROUNDUP(J953/INDEX('Tabela Passaro'!$Q$2:$Q$1795,$N953),0)*INDEX('Tabela Passaro'!$P$2:$P$1795,$N953)</f>
        <v>5</v>
      </c>
      <c r="W953" s="32" t="n">
        <f aca="false">INDEX('Tabela Passaro'!$R$2:$R$1795,$N953)</f>
        <v>30</v>
      </c>
      <c r="X953" s="32" t="n">
        <f aca="false">ROUNDUP(J953/INDEX('Tabela Passaro'!$T$2:$T$1795,$N953),0)*INDEX('Tabela Passaro'!$S$2:$S$1795,$N953)</f>
        <v>0</v>
      </c>
      <c r="Y953" s="32" t="n">
        <f aca="false">INDEX('Tabela Passaro'!$U$2:$U$1795,$N953)</f>
        <v>0</v>
      </c>
      <c r="Z953" s="32" t="n">
        <f aca="false">INDEX('Tabela Passaro'!$V$2:$V$1795,$N953)</f>
        <v>0</v>
      </c>
      <c r="AA953" s="32" t="n">
        <f aca="false">SUM(R953:Z953)</f>
        <v>264.00736</v>
      </c>
      <c r="AB953" s="33" t="n">
        <f aca="false">INDEX(Premissas!$B$5:$B$13,MATCH(A953,Premissas!$A$5:$A$13,0))</f>
        <v>0.07</v>
      </c>
      <c r="AC953" s="32" t="n">
        <f aca="false">AA953/(1-AB953)-AA953</f>
        <v>19.8715217204301</v>
      </c>
      <c r="AD953" s="32" t="n">
        <f aca="false">ROUND(AA953+AC953,2)</f>
        <v>283.88</v>
      </c>
      <c r="AE953" s="32" t="n">
        <f aca="false">AD953-L953</f>
        <v>148.82</v>
      </c>
      <c r="AF953" s="34" t="n">
        <f aca="false">IF(L953=0,0,AE953/L953)</f>
        <v>1.10188064563898</v>
      </c>
      <c r="AG953" s="22" t="str">
        <f aca="false">IF(AD953&lt;L953,"PASSARO","ATUAL")</f>
        <v>ATUAL</v>
      </c>
      <c r="AH953" s="22" t="str">
        <f aca="false">IF(P953&lt;&gt;A953,"Faixa cadastrada como "&amp;P953&amp;" na tabela; preço aplicado pela UF do CEP","")</f>
        <v/>
      </c>
      <c r="AI953" s="26" t="n">
        <v>325.81</v>
      </c>
      <c r="AJ953" s="22" t="str">
        <f aca="false">INDEX('Tabela Passaro'!$X$2:$X$1795,$N953)</f>
        <v>CAPITAL</v>
      </c>
    </row>
    <row r="954" customFormat="false" ht="15" hidden="false" customHeight="false" outlineLevel="0" collapsed="false">
      <c r="A954" s="22" t="s">
        <v>18</v>
      </c>
      <c r="B954" s="22" t="n">
        <v>1</v>
      </c>
      <c r="C954" s="22" t="s">
        <v>112</v>
      </c>
      <c r="D954" s="22" t="s">
        <v>32</v>
      </c>
      <c r="E954" s="22" t="s">
        <v>7326</v>
      </c>
      <c r="F954" s="22" t="n">
        <v>907866</v>
      </c>
      <c r="G954" s="30" t="n">
        <v>46262</v>
      </c>
      <c r="H954" s="22" t="n">
        <v>630361</v>
      </c>
      <c r="I954" s="22" t="s">
        <v>8210</v>
      </c>
      <c r="J954" s="31" t="n">
        <v>52.9</v>
      </c>
      <c r="K954" s="26" t="n">
        <v>2345.08</v>
      </c>
      <c r="L954" s="26" t="n">
        <v>183.25</v>
      </c>
      <c r="M954" s="22" t="s">
        <v>3066</v>
      </c>
      <c r="N954" s="22" t="n">
        <f aca="false">MATCH(M954,'Tabela Passaro'!$A$2:$A$1795,0)</f>
        <v>704</v>
      </c>
      <c r="O954" s="22" t="str">
        <f aca="false">INDEX('Tabela Passaro'!$C$2:$C$1795,$N954)</f>
        <v>SAO LUIS</v>
      </c>
      <c r="P954" s="22" t="str">
        <f aca="false">INDEX('Tabela Passaro'!$B$2:$B$1795,$N954)</f>
        <v>MA</v>
      </c>
      <c r="Q954" s="22" t="n">
        <f aca="false">INDEX('Tabela Passaro'!$F$2:$F$1795,$N954)</f>
        <v>11</v>
      </c>
      <c r="R954" s="32" t="n">
        <f aca="false">IF(J954&lt;=10,INDEX('Tabela Passaro'!$G$2:$G$1795,$N954),IF(J954&lt;=30,INDEX('Tabela Passaro'!$H$2:$H$1795,$N954),IF(J954&lt;=50,INDEX('Tabela Passaro'!$I$2:$I$1795,$N954),IF(J954&lt;=70,INDEX('Tabela Passaro'!$J$2:$J$1795,$N954),IF(J954&lt;=100,INDEX('Tabela Passaro'!$K$2:$K$1795,$N954),INDEX('Tabela Passaro'!$K$2:$K$1795,$N954)+(J954-100)*INDEX('Tabela Passaro'!$L$2:$L$1795,$N954))))))</f>
        <v>236.11</v>
      </c>
      <c r="S954" s="32" t="n">
        <f aca="false">K954*INDEX('Tabela Passaro'!$M$2:$M$1795,$N954)</f>
        <v>11.7254</v>
      </c>
      <c r="T954" s="32" t="n">
        <f aca="false">K954*INDEX('Tabela Passaro'!$N$2:$N$1795,$N954)</f>
        <v>4.69016</v>
      </c>
      <c r="U954" s="32" t="n">
        <f aca="false">INDEX('Tabela Passaro'!$O$2:$O$1795,$N954)</f>
        <v>5</v>
      </c>
      <c r="V954" s="32" t="n">
        <f aca="false">ROUNDUP(J954/INDEX('Tabela Passaro'!$Q$2:$Q$1795,$N954),0)*INDEX('Tabela Passaro'!$P$2:$P$1795,$N954)</f>
        <v>5</v>
      </c>
      <c r="W954" s="32" t="n">
        <f aca="false">INDEX('Tabela Passaro'!$R$2:$R$1795,$N954)</f>
        <v>30</v>
      </c>
      <c r="X954" s="32" t="n">
        <f aca="false">ROUNDUP(J954/INDEX('Tabela Passaro'!$T$2:$T$1795,$N954),0)*INDEX('Tabela Passaro'!$S$2:$S$1795,$N954)</f>
        <v>0</v>
      </c>
      <c r="Y954" s="32" t="n">
        <f aca="false">INDEX('Tabela Passaro'!$U$2:$U$1795,$N954)</f>
        <v>0</v>
      </c>
      <c r="Z954" s="32" t="n">
        <f aca="false">INDEX('Tabela Passaro'!$V$2:$V$1795,$N954)</f>
        <v>0</v>
      </c>
      <c r="AA954" s="32" t="n">
        <f aca="false">SUM(R954:Z954)</f>
        <v>292.52556</v>
      </c>
      <c r="AB954" s="33" t="n">
        <f aca="false">INDEX(Premissas!$B$5:$B$13,MATCH(A954,Premissas!$A$5:$A$13,0))</f>
        <v>0.07</v>
      </c>
      <c r="AC954" s="32" t="n">
        <f aca="false">AA954/(1-AB954)-AA954</f>
        <v>22.0180529032259</v>
      </c>
      <c r="AD954" s="32" t="n">
        <f aca="false">ROUND(AA954+AC954,2)</f>
        <v>314.54</v>
      </c>
      <c r="AE954" s="32" t="n">
        <f aca="false">AD954-L954</f>
        <v>131.29</v>
      </c>
      <c r="AF954" s="34" t="n">
        <f aca="false">IF(L954=0,0,AE954/L954)</f>
        <v>0.716452933151433</v>
      </c>
      <c r="AG954" s="22" t="str">
        <f aca="false">IF(AD954&lt;L954,"PASSARO","ATUAL")</f>
        <v>ATUAL</v>
      </c>
      <c r="AH954" s="22" t="str">
        <f aca="false">IF(P954&lt;&gt;A954,"Faixa cadastrada como "&amp;P954&amp;" na tabela; preço aplicado pela UF do CEP","")</f>
        <v/>
      </c>
      <c r="AI954" s="26" t="n">
        <v>363.97</v>
      </c>
      <c r="AJ954" s="22" t="str">
        <f aca="false">INDEX('Tabela Passaro'!$X$2:$X$1795,$N954)</f>
        <v>CAPITAL</v>
      </c>
    </row>
    <row r="955" customFormat="false" ht="15" hidden="false" customHeight="false" outlineLevel="0" collapsed="false">
      <c r="A955" s="22" t="s">
        <v>18</v>
      </c>
      <c r="B955" s="22" t="n">
        <v>1</v>
      </c>
      <c r="C955" s="22" t="s">
        <v>112</v>
      </c>
      <c r="D955" s="22" t="s">
        <v>32</v>
      </c>
      <c r="E955" s="22" t="s">
        <v>7326</v>
      </c>
      <c r="F955" s="22" t="n">
        <v>908272</v>
      </c>
      <c r="G955" s="30" t="n">
        <v>46265</v>
      </c>
      <c r="H955" s="22" t="n">
        <v>630634</v>
      </c>
      <c r="I955" s="22" t="s">
        <v>8211</v>
      </c>
      <c r="J955" s="31" t="n">
        <v>40.8</v>
      </c>
      <c r="K955" s="26" t="n">
        <v>874.75</v>
      </c>
      <c r="L955" s="26" t="n">
        <v>138.04</v>
      </c>
      <c r="M955" s="22" t="s">
        <v>3066</v>
      </c>
      <c r="N955" s="22" t="n">
        <f aca="false">MATCH(M955,'Tabela Passaro'!$A$2:$A$1795,0)</f>
        <v>704</v>
      </c>
      <c r="O955" s="22" t="str">
        <f aca="false">INDEX('Tabela Passaro'!$C$2:$C$1795,$N955)</f>
        <v>SAO LUIS</v>
      </c>
      <c r="P955" s="22" t="str">
        <f aca="false">INDEX('Tabela Passaro'!$B$2:$B$1795,$N955)</f>
        <v>MA</v>
      </c>
      <c r="Q955" s="22" t="n">
        <f aca="false">INDEX('Tabela Passaro'!$F$2:$F$1795,$N955)</f>
        <v>11</v>
      </c>
      <c r="R955" s="32" t="n">
        <f aca="false">IF(J955&lt;=10,INDEX('Tabela Passaro'!$G$2:$G$1795,$N955),IF(J955&lt;=30,INDEX('Tabela Passaro'!$H$2:$H$1795,$N955),IF(J955&lt;=50,INDEX('Tabela Passaro'!$I$2:$I$1795,$N955),IF(J955&lt;=70,INDEX('Tabela Passaro'!$J$2:$J$1795,$N955),IF(J955&lt;=100,INDEX('Tabela Passaro'!$K$2:$K$1795,$N955),INDEX('Tabela Passaro'!$K$2:$K$1795,$N955)+(J955-100)*INDEX('Tabela Passaro'!$L$2:$L$1795,$N955))))))</f>
        <v>219.51</v>
      </c>
      <c r="S955" s="32" t="n">
        <f aca="false">K955*INDEX('Tabela Passaro'!$M$2:$M$1795,$N955)</f>
        <v>4.37375</v>
      </c>
      <c r="T955" s="32" t="n">
        <f aca="false">K955*INDEX('Tabela Passaro'!$N$2:$N$1795,$N955)</f>
        <v>1.7495</v>
      </c>
      <c r="U955" s="32" t="n">
        <f aca="false">INDEX('Tabela Passaro'!$O$2:$O$1795,$N955)</f>
        <v>5</v>
      </c>
      <c r="V955" s="32" t="n">
        <f aca="false">ROUNDUP(J955/INDEX('Tabela Passaro'!$Q$2:$Q$1795,$N955),0)*INDEX('Tabela Passaro'!$P$2:$P$1795,$N955)</f>
        <v>5</v>
      </c>
      <c r="W955" s="32" t="n">
        <f aca="false">INDEX('Tabela Passaro'!$R$2:$R$1795,$N955)</f>
        <v>30</v>
      </c>
      <c r="X955" s="32" t="n">
        <f aca="false">ROUNDUP(J955/INDEX('Tabela Passaro'!$T$2:$T$1795,$N955),0)*INDEX('Tabela Passaro'!$S$2:$S$1795,$N955)</f>
        <v>0</v>
      </c>
      <c r="Y955" s="32" t="n">
        <f aca="false">INDEX('Tabela Passaro'!$U$2:$U$1795,$N955)</f>
        <v>0</v>
      </c>
      <c r="Z955" s="32" t="n">
        <f aca="false">INDEX('Tabela Passaro'!$V$2:$V$1795,$N955)</f>
        <v>0</v>
      </c>
      <c r="AA955" s="32" t="n">
        <f aca="false">SUM(R955:Z955)</f>
        <v>265.63325</v>
      </c>
      <c r="AB955" s="33" t="n">
        <f aca="false">INDEX(Premissas!$B$5:$B$13,MATCH(A955,Premissas!$A$5:$A$13,0))</f>
        <v>0.07</v>
      </c>
      <c r="AC955" s="32" t="n">
        <f aca="false">AA955/(1-AB955)-AA955</f>
        <v>19.9939005376344</v>
      </c>
      <c r="AD955" s="32" t="n">
        <f aca="false">ROUND(AA955+AC955,2)</f>
        <v>285.63</v>
      </c>
      <c r="AE955" s="32" t="n">
        <f aca="false">AD955-L955</f>
        <v>147.59</v>
      </c>
      <c r="AF955" s="34" t="n">
        <f aca="false">IF(L955=0,0,AE955/L955)</f>
        <v>1.06918284555201</v>
      </c>
      <c r="AG955" s="22" t="str">
        <f aca="false">IF(AD955&lt;L955,"PASSARO","ATUAL")</f>
        <v>ATUAL</v>
      </c>
      <c r="AH955" s="22" t="str">
        <f aca="false">IF(P955&lt;&gt;A955,"Faixa cadastrada como "&amp;P955&amp;" na tabela; preço aplicado pela UF do CEP","")</f>
        <v/>
      </c>
      <c r="AI955" s="26" t="n">
        <v>325.15</v>
      </c>
      <c r="AJ955" s="22" t="str">
        <f aca="false">INDEX('Tabela Passaro'!$X$2:$X$1795,$N955)</f>
        <v>CAPITAL</v>
      </c>
    </row>
    <row r="956" customFormat="false" ht="15" hidden="false" customHeight="false" outlineLevel="0" collapsed="false">
      <c r="A956" s="22" t="s">
        <v>18</v>
      </c>
      <c r="B956" s="22" t="n">
        <v>1</v>
      </c>
      <c r="C956" s="22" t="s">
        <v>112</v>
      </c>
      <c r="D956" s="22" t="s">
        <v>30</v>
      </c>
      <c r="E956" s="22" t="s">
        <v>7328</v>
      </c>
      <c r="F956" s="22" t="n">
        <v>2307471</v>
      </c>
      <c r="G956" s="30" t="n">
        <v>46238</v>
      </c>
      <c r="H956" s="22" t="n">
        <v>131465</v>
      </c>
      <c r="I956" s="22" t="s">
        <v>8212</v>
      </c>
      <c r="J956" s="31" t="n">
        <v>59.9</v>
      </c>
      <c r="K956" s="26" t="n">
        <v>1028.68</v>
      </c>
      <c r="L956" s="26" t="n">
        <v>210.69</v>
      </c>
      <c r="M956" s="22" t="s">
        <v>3066</v>
      </c>
      <c r="N956" s="22" t="n">
        <f aca="false">MATCH(M956,'Tabela Passaro'!$A$2:$A$1795,0)</f>
        <v>704</v>
      </c>
      <c r="O956" s="22" t="str">
        <f aca="false">INDEX('Tabela Passaro'!$C$2:$C$1795,$N956)</f>
        <v>SAO LUIS</v>
      </c>
      <c r="P956" s="22" t="str">
        <f aca="false">INDEX('Tabela Passaro'!$B$2:$B$1795,$N956)</f>
        <v>MA</v>
      </c>
      <c r="Q956" s="22" t="n">
        <f aca="false">INDEX('Tabela Passaro'!$F$2:$F$1795,$N956)</f>
        <v>11</v>
      </c>
      <c r="R956" s="32" t="n">
        <f aca="false">IF(J956&lt;=10,INDEX('Tabela Passaro'!$G$2:$G$1795,$N956),IF(J956&lt;=30,INDEX('Tabela Passaro'!$H$2:$H$1795,$N956),IF(J956&lt;=50,INDEX('Tabela Passaro'!$I$2:$I$1795,$N956),IF(J956&lt;=70,INDEX('Tabela Passaro'!$J$2:$J$1795,$N956),IF(J956&lt;=100,INDEX('Tabela Passaro'!$K$2:$K$1795,$N956),INDEX('Tabela Passaro'!$K$2:$K$1795,$N956)+(J956-100)*INDEX('Tabela Passaro'!$L$2:$L$1795,$N956))))))</f>
        <v>236.11</v>
      </c>
      <c r="S956" s="32" t="n">
        <f aca="false">K956*INDEX('Tabela Passaro'!$M$2:$M$1795,$N956)</f>
        <v>5.1434</v>
      </c>
      <c r="T956" s="32" t="n">
        <f aca="false">K956*INDEX('Tabela Passaro'!$N$2:$N$1795,$N956)</f>
        <v>2.05736</v>
      </c>
      <c r="U956" s="32" t="n">
        <f aca="false">INDEX('Tabela Passaro'!$O$2:$O$1795,$N956)</f>
        <v>5</v>
      </c>
      <c r="V956" s="32" t="n">
        <f aca="false">ROUNDUP(J956/INDEX('Tabela Passaro'!$Q$2:$Q$1795,$N956),0)*INDEX('Tabela Passaro'!$P$2:$P$1795,$N956)</f>
        <v>5</v>
      </c>
      <c r="W956" s="32" t="n">
        <f aca="false">INDEX('Tabela Passaro'!$R$2:$R$1795,$N956)</f>
        <v>30</v>
      </c>
      <c r="X956" s="32" t="n">
        <f aca="false">ROUNDUP(J956/INDEX('Tabela Passaro'!$T$2:$T$1795,$N956),0)*INDEX('Tabela Passaro'!$S$2:$S$1795,$N956)</f>
        <v>0</v>
      </c>
      <c r="Y956" s="32" t="n">
        <f aca="false">INDEX('Tabela Passaro'!$U$2:$U$1795,$N956)</f>
        <v>0</v>
      </c>
      <c r="Z956" s="32" t="n">
        <f aca="false">INDEX('Tabela Passaro'!$V$2:$V$1795,$N956)</f>
        <v>0</v>
      </c>
      <c r="AA956" s="32" t="n">
        <f aca="false">SUM(R956:Z956)</f>
        <v>283.31076</v>
      </c>
      <c r="AB956" s="33" t="n">
        <f aca="false">INDEX(Premissas!$B$5:$B$13,MATCH(A956,Premissas!$A$5:$A$13,0))</f>
        <v>0.07</v>
      </c>
      <c r="AC956" s="32" t="n">
        <f aca="false">AA956/(1-AB956)-AA956</f>
        <v>21.3244658064517</v>
      </c>
      <c r="AD956" s="32" t="n">
        <f aca="false">ROUND(AA956+AC956,2)</f>
        <v>304.64</v>
      </c>
      <c r="AE956" s="32" t="n">
        <f aca="false">AD956-L956</f>
        <v>93.95</v>
      </c>
      <c r="AF956" s="34" t="n">
        <f aca="false">IF(L956=0,0,AE956/L956)</f>
        <v>0.445915800465138</v>
      </c>
      <c r="AG956" s="22" t="str">
        <f aca="false">IF(AD956&lt;L956,"PASSARO","ATUAL")</f>
        <v>ATUAL</v>
      </c>
      <c r="AH956" s="22" t="str">
        <f aca="false">IF(P956&lt;&gt;A956,"Faixa cadastrada como "&amp;P956&amp;" na tabela; preço aplicado pela UF do CEP","")</f>
        <v/>
      </c>
      <c r="AI956" s="26" t="n">
        <v>354.62</v>
      </c>
      <c r="AJ956" s="22" t="str">
        <f aca="false">INDEX('Tabela Passaro'!$X$2:$X$1795,$N956)</f>
        <v>CAPITAL</v>
      </c>
    </row>
    <row r="957" customFormat="false" ht="15" hidden="false" customHeight="false" outlineLevel="0" collapsed="false">
      <c r="A957" s="22" t="s">
        <v>18</v>
      </c>
      <c r="B957" s="22" t="n">
        <v>1</v>
      </c>
      <c r="C957" s="22" t="s">
        <v>112</v>
      </c>
      <c r="D957" s="22" t="s">
        <v>30</v>
      </c>
      <c r="E957" s="22" t="s">
        <v>7328</v>
      </c>
      <c r="F957" s="22" t="n">
        <v>2307914</v>
      </c>
      <c r="G957" s="30" t="n">
        <v>46239</v>
      </c>
      <c r="H957" s="22" t="n">
        <v>131891</v>
      </c>
      <c r="I957" s="22" t="s">
        <v>8213</v>
      </c>
      <c r="J957" s="31" t="n">
        <v>27.6</v>
      </c>
      <c r="K957" s="26" t="n">
        <v>723.53</v>
      </c>
      <c r="L957" s="26" t="n">
        <v>131.27</v>
      </c>
      <c r="M957" s="22" t="s">
        <v>3066</v>
      </c>
      <c r="N957" s="22" t="n">
        <f aca="false">MATCH(M957,'Tabela Passaro'!$A$2:$A$1795,0)</f>
        <v>704</v>
      </c>
      <c r="O957" s="22" t="str">
        <f aca="false">INDEX('Tabela Passaro'!$C$2:$C$1795,$N957)</f>
        <v>SAO LUIS</v>
      </c>
      <c r="P957" s="22" t="str">
        <f aca="false">INDEX('Tabela Passaro'!$B$2:$B$1795,$N957)</f>
        <v>MA</v>
      </c>
      <c r="Q957" s="22" t="n">
        <f aca="false">INDEX('Tabela Passaro'!$F$2:$F$1795,$N957)</f>
        <v>11</v>
      </c>
      <c r="R957" s="32" t="n">
        <f aca="false">IF(J957&lt;=10,INDEX('Tabela Passaro'!$G$2:$G$1795,$N957),IF(J957&lt;=30,INDEX('Tabela Passaro'!$H$2:$H$1795,$N957),IF(J957&lt;=50,INDEX('Tabela Passaro'!$I$2:$I$1795,$N957),IF(J957&lt;=70,INDEX('Tabela Passaro'!$J$2:$J$1795,$N957),IF(J957&lt;=100,INDEX('Tabela Passaro'!$K$2:$K$1795,$N957),INDEX('Tabela Passaro'!$K$2:$K$1795,$N957)+(J957-100)*INDEX('Tabela Passaro'!$L$2:$L$1795,$N957))))))</f>
        <v>197.38</v>
      </c>
      <c r="S957" s="32" t="n">
        <f aca="false">K957*INDEX('Tabela Passaro'!$M$2:$M$1795,$N957)</f>
        <v>3.61765</v>
      </c>
      <c r="T957" s="32" t="n">
        <f aca="false">K957*INDEX('Tabela Passaro'!$N$2:$N$1795,$N957)</f>
        <v>1.44706</v>
      </c>
      <c r="U957" s="32" t="n">
        <f aca="false">INDEX('Tabela Passaro'!$O$2:$O$1795,$N957)</f>
        <v>5</v>
      </c>
      <c r="V957" s="32" t="n">
        <f aca="false">ROUNDUP(J957/INDEX('Tabela Passaro'!$Q$2:$Q$1795,$N957),0)*INDEX('Tabela Passaro'!$P$2:$P$1795,$N957)</f>
        <v>5</v>
      </c>
      <c r="W957" s="32" t="n">
        <f aca="false">INDEX('Tabela Passaro'!$R$2:$R$1795,$N957)</f>
        <v>30</v>
      </c>
      <c r="X957" s="32" t="n">
        <f aca="false">ROUNDUP(J957/INDEX('Tabela Passaro'!$T$2:$T$1795,$N957),0)*INDEX('Tabela Passaro'!$S$2:$S$1795,$N957)</f>
        <v>0</v>
      </c>
      <c r="Y957" s="32" t="n">
        <f aca="false">INDEX('Tabela Passaro'!$U$2:$U$1795,$N957)</f>
        <v>0</v>
      </c>
      <c r="Z957" s="32" t="n">
        <f aca="false">INDEX('Tabela Passaro'!$V$2:$V$1795,$N957)</f>
        <v>0</v>
      </c>
      <c r="AA957" s="32" t="n">
        <f aca="false">SUM(R957:Z957)</f>
        <v>242.44471</v>
      </c>
      <c r="AB957" s="33" t="n">
        <f aca="false">INDEX(Premissas!$B$5:$B$13,MATCH(A957,Premissas!$A$5:$A$13,0))</f>
        <v>0.07</v>
      </c>
      <c r="AC957" s="32" t="n">
        <f aca="false">AA957/(1-AB957)-AA957</f>
        <v>18.2485265591398</v>
      </c>
      <c r="AD957" s="32" t="n">
        <f aca="false">ROUND(AA957+AC957,2)</f>
        <v>260.69</v>
      </c>
      <c r="AE957" s="32" t="n">
        <f aca="false">AD957-L957</f>
        <v>129.42</v>
      </c>
      <c r="AF957" s="34" t="n">
        <f aca="false">IF(L957=0,0,AE957/L957)</f>
        <v>0.985906909423326</v>
      </c>
      <c r="AG957" s="22" t="str">
        <f aca="false">IF(AD957&lt;L957,"PASSARO","ATUAL")</f>
        <v>ATUAL</v>
      </c>
      <c r="AH957" s="22" t="str">
        <f aca="false">IF(P957&lt;&gt;A957,"Faixa cadastrada como "&amp;P957&amp;" na tabela; preço aplicado pela UF do CEP","")</f>
        <v/>
      </c>
      <c r="AI957" s="26" t="n">
        <v>292.35</v>
      </c>
      <c r="AJ957" s="22" t="str">
        <f aca="false">INDEX('Tabela Passaro'!$X$2:$X$1795,$N957)</f>
        <v>CAPITAL</v>
      </c>
    </row>
    <row r="958" customFormat="false" ht="15" hidden="false" customHeight="false" outlineLevel="0" collapsed="false">
      <c r="A958" s="22" t="s">
        <v>18</v>
      </c>
      <c r="B958" s="22" t="n">
        <v>1</v>
      </c>
      <c r="C958" s="22" t="s">
        <v>112</v>
      </c>
      <c r="D958" s="22" t="s">
        <v>30</v>
      </c>
      <c r="E958" s="22" t="s">
        <v>20</v>
      </c>
      <c r="F958" s="22" t="n">
        <v>838413</v>
      </c>
      <c r="G958" s="30" t="n">
        <v>46244</v>
      </c>
      <c r="H958" s="22" t="n">
        <v>32465</v>
      </c>
      <c r="I958" s="22" t="s">
        <v>8214</v>
      </c>
      <c r="J958" s="31" t="n">
        <v>34.1</v>
      </c>
      <c r="K958" s="26" t="n">
        <v>584.02</v>
      </c>
      <c r="L958" s="26" t="n">
        <v>158.7</v>
      </c>
      <c r="M958" s="22" t="s">
        <v>3066</v>
      </c>
      <c r="N958" s="22" t="n">
        <f aca="false">MATCH(M958,'Tabela Passaro'!$A$2:$A$1795,0)</f>
        <v>704</v>
      </c>
      <c r="O958" s="22" t="str">
        <f aca="false">INDEX('Tabela Passaro'!$C$2:$C$1795,$N958)</f>
        <v>SAO LUIS</v>
      </c>
      <c r="P958" s="22" t="str">
        <f aca="false">INDEX('Tabela Passaro'!$B$2:$B$1795,$N958)</f>
        <v>MA</v>
      </c>
      <c r="Q958" s="22" t="n">
        <f aca="false">INDEX('Tabela Passaro'!$F$2:$F$1795,$N958)</f>
        <v>11</v>
      </c>
      <c r="R958" s="32" t="n">
        <f aca="false">IF(J958&lt;=10,INDEX('Tabela Passaro'!$G$2:$G$1795,$N958),IF(J958&lt;=30,INDEX('Tabela Passaro'!$H$2:$H$1795,$N958),IF(J958&lt;=50,INDEX('Tabela Passaro'!$I$2:$I$1795,$N958),IF(J958&lt;=70,INDEX('Tabela Passaro'!$J$2:$J$1795,$N958),IF(J958&lt;=100,INDEX('Tabela Passaro'!$K$2:$K$1795,$N958),INDEX('Tabela Passaro'!$K$2:$K$1795,$N958)+(J958-100)*INDEX('Tabela Passaro'!$L$2:$L$1795,$N958))))))</f>
        <v>219.51</v>
      </c>
      <c r="S958" s="32" t="n">
        <f aca="false">K958*INDEX('Tabela Passaro'!$M$2:$M$1795,$N958)</f>
        <v>2.9201</v>
      </c>
      <c r="T958" s="32" t="n">
        <f aca="false">K958*INDEX('Tabela Passaro'!$N$2:$N$1795,$N958)</f>
        <v>1.16804</v>
      </c>
      <c r="U958" s="32" t="n">
        <f aca="false">INDEX('Tabela Passaro'!$O$2:$O$1795,$N958)</f>
        <v>5</v>
      </c>
      <c r="V958" s="32" t="n">
        <f aca="false">ROUNDUP(J958/INDEX('Tabela Passaro'!$Q$2:$Q$1795,$N958),0)*INDEX('Tabela Passaro'!$P$2:$P$1795,$N958)</f>
        <v>5</v>
      </c>
      <c r="W958" s="32" t="n">
        <f aca="false">INDEX('Tabela Passaro'!$R$2:$R$1795,$N958)</f>
        <v>30</v>
      </c>
      <c r="X958" s="32" t="n">
        <f aca="false">ROUNDUP(J958/INDEX('Tabela Passaro'!$T$2:$T$1795,$N958),0)*INDEX('Tabela Passaro'!$S$2:$S$1795,$N958)</f>
        <v>0</v>
      </c>
      <c r="Y958" s="32" t="n">
        <f aca="false">INDEX('Tabela Passaro'!$U$2:$U$1795,$N958)</f>
        <v>0</v>
      </c>
      <c r="Z958" s="32" t="n">
        <f aca="false">INDEX('Tabela Passaro'!$V$2:$V$1795,$N958)</f>
        <v>0</v>
      </c>
      <c r="AA958" s="32" t="n">
        <f aca="false">SUM(R958:Z958)</f>
        <v>263.59814</v>
      </c>
      <c r="AB958" s="33" t="n">
        <f aca="false">INDEX(Premissas!$B$5:$B$13,MATCH(A958,Premissas!$A$5:$A$13,0))</f>
        <v>0.07</v>
      </c>
      <c r="AC958" s="32" t="n">
        <f aca="false">AA958/(1-AB958)-AA958</f>
        <v>19.8407202150538</v>
      </c>
      <c r="AD958" s="32" t="n">
        <f aca="false">ROUND(AA958+AC958,2)</f>
        <v>283.44</v>
      </c>
      <c r="AE958" s="32" t="n">
        <f aca="false">AD958-L958</f>
        <v>124.74</v>
      </c>
      <c r="AF958" s="34" t="n">
        <f aca="false">IF(L958=0,0,AE958/L958)</f>
        <v>0.78601134215501</v>
      </c>
      <c r="AG958" s="22" t="str">
        <f aca="false">IF(AD958&lt;L958,"PASSARO","ATUAL")</f>
        <v>ATUAL</v>
      </c>
      <c r="AH958" s="22" t="str">
        <f aca="false">IF(P958&lt;&gt;A958,"Faixa cadastrada como "&amp;P958&amp;" na tabela; preço aplicado pela UF do CEP","")</f>
        <v/>
      </c>
      <c r="AI958" s="26" t="n">
        <v>319.44</v>
      </c>
      <c r="AJ958" s="22" t="str">
        <f aca="false">INDEX('Tabela Passaro'!$X$2:$X$1795,$N958)</f>
        <v>CAPITAL</v>
      </c>
    </row>
    <row r="959" customFormat="false" ht="15" hidden="false" customHeight="false" outlineLevel="0" collapsed="false">
      <c r="A959" s="22" t="s">
        <v>18</v>
      </c>
      <c r="B959" s="22" t="n">
        <v>1</v>
      </c>
      <c r="C959" s="22" t="s">
        <v>112</v>
      </c>
      <c r="D959" s="22" t="s">
        <v>30</v>
      </c>
      <c r="E959" s="22" t="s">
        <v>20</v>
      </c>
      <c r="F959" s="22" t="n">
        <v>838498</v>
      </c>
      <c r="G959" s="30" t="n">
        <v>46245</v>
      </c>
      <c r="H959" s="22" t="n">
        <v>32486</v>
      </c>
      <c r="I959" s="22" t="s">
        <v>8215</v>
      </c>
      <c r="J959" s="31" t="n">
        <v>29.59</v>
      </c>
      <c r="K959" s="26" t="n">
        <v>573.06</v>
      </c>
      <c r="L959" s="26" t="n">
        <v>120.25</v>
      </c>
      <c r="M959" s="22" t="s">
        <v>3066</v>
      </c>
      <c r="N959" s="22" t="n">
        <f aca="false">MATCH(M959,'Tabela Passaro'!$A$2:$A$1795,0)</f>
        <v>704</v>
      </c>
      <c r="O959" s="22" t="str">
        <f aca="false">INDEX('Tabela Passaro'!$C$2:$C$1795,$N959)</f>
        <v>SAO LUIS</v>
      </c>
      <c r="P959" s="22" t="str">
        <f aca="false">INDEX('Tabela Passaro'!$B$2:$B$1795,$N959)</f>
        <v>MA</v>
      </c>
      <c r="Q959" s="22" t="n">
        <f aca="false">INDEX('Tabela Passaro'!$F$2:$F$1795,$N959)</f>
        <v>11</v>
      </c>
      <c r="R959" s="32" t="n">
        <f aca="false">IF(J959&lt;=10,INDEX('Tabela Passaro'!$G$2:$G$1795,$N959),IF(J959&lt;=30,INDEX('Tabela Passaro'!$H$2:$H$1795,$N959),IF(J959&lt;=50,INDEX('Tabela Passaro'!$I$2:$I$1795,$N959),IF(J959&lt;=70,INDEX('Tabela Passaro'!$J$2:$J$1795,$N959),IF(J959&lt;=100,INDEX('Tabela Passaro'!$K$2:$K$1795,$N959),INDEX('Tabela Passaro'!$K$2:$K$1795,$N959)+(J959-100)*INDEX('Tabela Passaro'!$L$2:$L$1795,$N959))))))</f>
        <v>197.38</v>
      </c>
      <c r="S959" s="32" t="n">
        <f aca="false">K959*INDEX('Tabela Passaro'!$M$2:$M$1795,$N959)</f>
        <v>2.8653</v>
      </c>
      <c r="T959" s="32" t="n">
        <f aca="false">K959*INDEX('Tabela Passaro'!$N$2:$N$1795,$N959)</f>
        <v>1.14612</v>
      </c>
      <c r="U959" s="32" t="n">
        <f aca="false">INDEX('Tabela Passaro'!$O$2:$O$1795,$N959)</f>
        <v>5</v>
      </c>
      <c r="V959" s="32" t="n">
        <f aca="false">ROUNDUP(J959/INDEX('Tabela Passaro'!$Q$2:$Q$1795,$N959),0)*INDEX('Tabela Passaro'!$P$2:$P$1795,$N959)</f>
        <v>5</v>
      </c>
      <c r="W959" s="32" t="n">
        <f aca="false">INDEX('Tabela Passaro'!$R$2:$R$1795,$N959)</f>
        <v>30</v>
      </c>
      <c r="X959" s="32" t="n">
        <f aca="false">ROUNDUP(J959/INDEX('Tabela Passaro'!$T$2:$T$1795,$N959),0)*INDEX('Tabela Passaro'!$S$2:$S$1795,$N959)</f>
        <v>0</v>
      </c>
      <c r="Y959" s="32" t="n">
        <f aca="false">INDEX('Tabela Passaro'!$U$2:$U$1795,$N959)</f>
        <v>0</v>
      </c>
      <c r="Z959" s="32" t="n">
        <f aca="false">INDEX('Tabela Passaro'!$V$2:$V$1795,$N959)</f>
        <v>0</v>
      </c>
      <c r="AA959" s="32" t="n">
        <f aca="false">SUM(R959:Z959)</f>
        <v>241.39142</v>
      </c>
      <c r="AB959" s="33" t="n">
        <f aca="false">INDEX(Premissas!$B$5:$B$13,MATCH(A959,Premissas!$A$5:$A$13,0))</f>
        <v>0.07</v>
      </c>
      <c r="AC959" s="32" t="n">
        <f aca="false">AA959/(1-AB959)-AA959</f>
        <v>18.1692466666667</v>
      </c>
      <c r="AD959" s="32" t="n">
        <f aca="false">ROUND(AA959+AC959,2)</f>
        <v>259.56</v>
      </c>
      <c r="AE959" s="32" t="n">
        <f aca="false">AD959-L959</f>
        <v>139.31</v>
      </c>
      <c r="AF959" s="34" t="n">
        <f aca="false">IF(L959=0,0,AE959/L959)</f>
        <v>1.15850311850312</v>
      </c>
      <c r="AG959" s="22" t="str">
        <f aca="false">IF(AD959&lt;L959,"PASSARO","ATUAL")</f>
        <v>ATUAL</v>
      </c>
      <c r="AH959" s="22" t="str">
        <f aca="false">IF(P959&lt;&gt;A959,"Faixa cadastrada como "&amp;P959&amp;" na tabela; preço aplicado pela UF do CEP","")</f>
        <v/>
      </c>
      <c r="AI959" s="26" t="n">
        <v>291.86</v>
      </c>
      <c r="AJ959" s="22" t="str">
        <f aca="false">INDEX('Tabela Passaro'!$X$2:$X$1795,$N959)</f>
        <v>CAPITAL</v>
      </c>
    </row>
    <row r="960" customFormat="false" ht="15" hidden="false" customHeight="false" outlineLevel="0" collapsed="false">
      <c r="A960" s="22" t="s">
        <v>18</v>
      </c>
      <c r="B960" s="22" t="n">
        <v>1</v>
      </c>
      <c r="C960" s="22" t="s">
        <v>112</v>
      </c>
      <c r="D960" s="22" t="s">
        <v>30</v>
      </c>
      <c r="E960" s="22" t="s">
        <v>20</v>
      </c>
      <c r="F960" s="22" t="n">
        <v>838729</v>
      </c>
      <c r="G960" s="30" t="n">
        <v>46246</v>
      </c>
      <c r="H960" s="22" t="n">
        <v>32496</v>
      </c>
      <c r="I960" s="22" t="s">
        <v>8216</v>
      </c>
      <c r="J960" s="31" t="n">
        <v>45.4</v>
      </c>
      <c r="K960" s="26" t="n">
        <v>817.09</v>
      </c>
      <c r="L960" s="26" t="n">
        <v>160.81</v>
      </c>
      <c r="M960" s="22" t="s">
        <v>3066</v>
      </c>
      <c r="N960" s="22" t="n">
        <f aca="false">MATCH(M960,'Tabela Passaro'!$A$2:$A$1795,0)</f>
        <v>704</v>
      </c>
      <c r="O960" s="22" t="str">
        <f aca="false">INDEX('Tabela Passaro'!$C$2:$C$1795,$N960)</f>
        <v>SAO LUIS</v>
      </c>
      <c r="P960" s="22" t="str">
        <f aca="false">INDEX('Tabela Passaro'!$B$2:$B$1795,$N960)</f>
        <v>MA</v>
      </c>
      <c r="Q960" s="22" t="n">
        <f aca="false">INDEX('Tabela Passaro'!$F$2:$F$1795,$N960)</f>
        <v>11</v>
      </c>
      <c r="R960" s="32" t="n">
        <f aca="false">IF(J960&lt;=10,INDEX('Tabela Passaro'!$G$2:$G$1795,$N960),IF(J960&lt;=30,INDEX('Tabela Passaro'!$H$2:$H$1795,$N960),IF(J960&lt;=50,INDEX('Tabela Passaro'!$I$2:$I$1795,$N960),IF(J960&lt;=70,INDEX('Tabela Passaro'!$J$2:$J$1795,$N960),IF(J960&lt;=100,INDEX('Tabela Passaro'!$K$2:$K$1795,$N960),INDEX('Tabela Passaro'!$K$2:$K$1795,$N960)+(J960-100)*INDEX('Tabela Passaro'!$L$2:$L$1795,$N960))))))</f>
        <v>219.51</v>
      </c>
      <c r="S960" s="32" t="n">
        <f aca="false">K960*INDEX('Tabela Passaro'!$M$2:$M$1795,$N960)</f>
        <v>4.08545</v>
      </c>
      <c r="T960" s="32" t="n">
        <f aca="false">K960*INDEX('Tabela Passaro'!$N$2:$N$1795,$N960)</f>
        <v>1.63418</v>
      </c>
      <c r="U960" s="32" t="n">
        <f aca="false">INDEX('Tabela Passaro'!$O$2:$O$1795,$N960)</f>
        <v>5</v>
      </c>
      <c r="V960" s="32" t="n">
        <f aca="false">ROUNDUP(J960/INDEX('Tabela Passaro'!$Q$2:$Q$1795,$N960),0)*INDEX('Tabela Passaro'!$P$2:$P$1795,$N960)</f>
        <v>5</v>
      </c>
      <c r="W960" s="32" t="n">
        <f aca="false">INDEX('Tabela Passaro'!$R$2:$R$1795,$N960)</f>
        <v>30</v>
      </c>
      <c r="X960" s="32" t="n">
        <f aca="false">ROUNDUP(J960/INDEX('Tabela Passaro'!$T$2:$T$1795,$N960),0)*INDEX('Tabela Passaro'!$S$2:$S$1795,$N960)</f>
        <v>0</v>
      </c>
      <c r="Y960" s="32" t="n">
        <f aca="false">INDEX('Tabela Passaro'!$U$2:$U$1795,$N960)</f>
        <v>0</v>
      </c>
      <c r="Z960" s="32" t="n">
        <f aca="false">INDEX('Tabela Passaro'!$V$2:$V$1795,$N960)</f>
        <v>0</v>
      </c>
      <c r="AA960" s="32" t="n">
        <f aca="false">SUM(R960:Z960)</f>
        <v>265.22963</v>
      </c>
      <c r="AB960" s="33" t="n">
        <f aca="false">INDEX(Premissas!$B$5:$B$13,MATCH(A960,Premissas!$A$5:$A$13,0))</f>
        <v>0.07</v>
      </c>
      <c r="AC960" s="32" t="n">
        <f aca="false">AA960/(1-AB960)-AA960</f>
        <v>19.9635205376345</v>
      </c>
      <c r="AD960" s="32" t="n">
        <f aca="false">ROUND(AA960+AC960,2)</f>
        <v>285.19</v>
      </c>
      <c r="AE960" s="32" t="n">
        <f aca="false">AD960-L960</f>
        <v>124.38</v>
      </c>
      <c r="AF960" s="34" t="n">
        <f aca="false">IF(L960=0,0,AE960/L960)</f>
        <v>0.773459361979976</v>
      </c>
      <c r="AG960" s="22" t="str">
        <f aca="false">IF(AD960&lt;L960,"PASSARO","ATUAL")</f>
        <v>ATUAL</v>
      </c>
      <c r="AH960" s="22" t="str">
        <f aca="false">IF(P960&lt;&gt;A960,"Faixa cadastrada como "&amp;P960&amp;" na tabela; preço aplicado pela UF do CEP","")</f>
        <v/>
      </c>
      <c r="AI960" s="26" t="n">
        <v>327.01</v>
      </c>
      <c r="AJ960" s="22" t="str">
        <f aca="false">INDEX('Tabela Passaro'!$X$2:$X$1795,$N960)</f>
        <v>CAPITAL</v>
      </c>
    </row>
    <row r="961" customFormat="false" ht="15" hidden="false" customHeight="false" outlineLevel="0" collapsed="false">
      <c r="A961" s="22" t="s">
        <v>18</v>
      </c>
      <c r="B961" s="22" t="n">
        <v>1</v>
      </c>
      <c r="C961" s="22" t="s">
        <v>112</v>
      </c>
      <c r="D961" s="22" t="s">
        <v>30</v>
      </c>
      <c r="E961" s="22" t="s">
        <v>7328</v>
      </c>
      <c r="F961" s="22" t="n">
        <v>2311263</v>
      </c>
      <c r="G961" s="30" t="n">
        <v>46246</v>
      </c>
      <c r="H961" s="22" t="n">
        <v>132716</v>
      </c>
      <c r="I961" s="22" t="s">
        <v>8217</v>
      </c>
      <c r="J961" s="31" t="n">
        <v>66.8</v>
      </c>
      <c r="K961" s="26" t="n">
        <v>894.86</v>
      </c>
      <c r="L961" s="26" t="n">
        <v>209.64</v>
      </c>
      <c r="M961" s="22" t="s">
        <v>3066</v>
      </c>
      <c r="N961" s="22" t="n">
        <f aca="false">MATCH(M961,'Tabela Passaro'!$A$2:$A$1795,0)</f>
        <v>704</v>
      </c>
      <c r="O961" s="22" t="str">
        <f aca="false">INDEX('Tabela Passaro'!$C$2:$C$1795,$N961)</f>
        <v>SAO LUIS</v>
      </c>
      <c r="P961" s="22" t="str">
        <f aca="false">INDEX('Tabela Passaro'!$B$2:$B$1795,$N961)</f>
        <v>MA</v>
      </c>
      <c r="Q961" s="22" t="n">
        <f aca="false">INDEX('Tabela Passaro'!$F$2:$F$1795,$N961)</f>
        <v>11</v>
      </c>
      <c r="R961" s="32" t="n">
        <f aca="false">IF(J961&lt;=10,INDEX('Tabela Passaro'!$G$2:$G$1795,$N961),IF(J961&lt;=30,INDEX('Tabela Passaro'!$H$2:$H$1795,$N961),IF(J961&lt;=50,INDEX('Tabela Passaro'!$I$2:$I$1795,$N961),IF(J961&lt;=70,INDEX('Tabela Passaro'!$J$2:$J$1795,$N961),IF(J961&lt;=100,INDEX('Tabela Passaro'!$K$2:$K$1795,$N961),INDEX('Tabela Passaro'!$K$2:$K$1795,$N961)+(J961-100)*INDEX('Tabela Passaro'!$L$2:$L$1795,$N961))))))</f>
        <v>236.11</v>
      </c>
      <c r="S961" s="32" t="n">
        <f aca="false">K961*INDEX('Tabela Passaro'!$M$2:$M$1795,$N961)</f>
        <v>4.4743</v>
      </c>
      <c r="T961" s="32" t="n">
        <f aca="false">K961*INDEX('Tabela Passaro'!$N$2:$N$1795,$N961)</f>
        <v>1.78972</v>
      </c>
      <c r="U961" s="32" t="n">
        <f aca="false">INDEX('Tabela Passaro'!$O$2:$O$1795,$N961)</f>
        <v>5</v>
      </c>
      <c r="V961" s="32" t="n">
        <f aca="false">ROUNDUP(J961/INDEX('Tabela Passaro'!$Q$2:$Q$1795,$N961),0)*INDEX('Tabela Passaro'!$P$2:$P$1795,$N961)</f>
        <v>5</v>
      </c>
      <c r="W961" s="32" t="n">
        <f aca="false">INDEX('Tabela Passaro'!$R$2:$R$1795,$N961)</f>
        <v>30</v>
      </c>
      <c r="X961" s="32" t="n">
        <f aca="false">ROUNDUP(J961/INDEX('Tabela Passaro'!$T$2:$T$1795,$N961),0)*INDEX('Tabela Passaro'!$S$2:$S$1795,$N961)</f>
        <v>0</v>
      </c>
      <c r="Y961" s="32" t="n">
        <f aca="false">INDEX('Tabela Passaro'!$U$2:$U$1795,$N961)</f>
        <v>0</v>
      </c>
      <c r="Z961" s="32" t="n">
        <f aca="false">INDEX('Tabela Passaro'!$V$2:$V$1795,$N961)</f>
        <v>0</v>
      </c>
      <c r="AA961" s="32" t="n">
        <f aca="false">SUM(R961:Z961)</f>
        <v>282.37402</v>
      </c>
      <c r="AB961" s="33" t="n">
        <f aca="false">INDEX(Premissas!$B$5:$B$13,MATCH(A961,Premissas!$A$5:$A$13,0))</f>
        <v>0.07</v>
      </c>
      <c r="AC961" s="32" t="n">
        <f aca="false">AA961/(1-AB961)-AA961</f>
        <v>21.2539584946236</v>
      </c>
      <c r="AD961" s="32" t="n">
        <f aca="false">ROUND(AA961+AC961,2)</f>
        <v>303.63</v>
      </c>
      <c r="AE961" s="32" t="n">
        <f aca="false">AD961-L961</f>
        <v>93.99</v>
      </c>
      <c r="AF961" s="34" t="n">
        <f aca="false">IF(L961=0,0,AE961/L961)</f>
        <v>0.448340011448197</v>
      </c>
      <c r="AG961" s="22" t="str">
        <f aca="false">IF(AD961&lt;L961,"PASSARO","ATUAL")</f>
        <v>ATUAL</v>
      </c>
      <c r="AH961" s="22" t="str">
        <f aca="false">IF(P961&lt;&gt;A961,"Faixa cadastrada como "&amp;P961&amp;" na tabela; preço aplicado pela UF do CEP","")</f>
        <v/>
      </c>
      <c r="AI961" s="26" t="n">
        <v>356.71</v>
      </c>
      <c r="AJ961" s="22" t="str">
        <f aca="false">INDEX('Tabela Passaro'!$X$2:$X$1795,$N961)</f>
        <v>CAPITAL</v>
      </c>
    </row>
    <row r="962" customFormat="false" ht="15" hidden="false" customHeight="false" outlineLevel="0" collapsed="false">
      <c r="A962" s="22" t="s">
        <v>18</v>
      </c>
      <c r="B962" s="22" t="n">
        <v>1</v>
      </c>
      <c r="C962" s="22" t="s">
        <v>112</v>
      </c>
      <c r="D962" s="22" t="s">
        <v>30</v>
      </c>
      <c r="E962" s="22" t="s">
        <v>7328</v>
      </c>
      <c r="F962" s="22" t="n">
        <v>2312483</v>
      </c>
      <c r="G962" s="30" t="n">
        <v>46248</v>
      </c>
      <c r="H962" s="22" t="n">
        <v>133454</v>
      </c>
      <c r="I962" s="22" t="s">
        <v>8218</v>
      </c>
      <c r="J962" s="31" t="n">
        <v>44.5</v>
      </c>
      <c r="K962" s="26" t="n">
        <v>865.11</v>
      </c>
      <c r="L962" s="26" t="n">
        <v>173.54</v>
      </c>
      <c r="M962" s="22" t="s">
        <v>3066</v>
      </c>
      <c r="N962" s="22" t="n">
        <f aca="false">MATCH(M962,'Tabela Passaro'!$A$2:$A$1795,0)</f>
        <v>704</v>
      </c>
      <c r="O962" s="22" t="str">
        <f aca="false">INDEX('Tabela Passaro'!$C$2:$C$1795,$N962)</f>
        <v>SAO LUIS</v>
      </c>
      <c r="P962" s="22" t="str">
        <f aca="false">INDEX('Tabela Passaro'!$B$2:$B$1795,$N962)</f>
        <v>MA</v>
      </c>
      <c r="Q962" s="22" t="n">
        <f aca="false">INDEX('Tabela Passaro'!$F$2:$F$1795,$N962)</f>
        <v>11</v>
      </c>
      <c r="R962" s="32" t="n">
        <f aca="false">IF(J962&lt;=10,INDEX('Tabela Passaro'!$G$2:$G$1795,$N962),IF(J962&lt;=30,INDEX('Tabela Passaro'!$H$2:$H$1795,$N962),IF(J962&lt;=50,INDEX('Tabela Passaro'!$I$2:$I$1795,$N962),IF(J962&lt;=70,INDEX('Tabela Passaro'!$J$2:$J$1795,$N962),IF(J962&lt;=100,INDEX('Tabela Passaro'!$K$2:$K$1795,$N962),INDEX('Tabela Passaro'!$K$2:$K$1795,$N962)+(J962-100)*INDEX('Tabela Passaro'!$L$2:$L$1795,$N962))))))</f>
        <v>219.51</v>
      </c>
      <c r="S962" s="32" t="n">
        <f aca="false">K962*INDEX('Tabela Passaro'!$M$2:$M$1795,$N962)</f>
        <v>4.32555</v>
      </c>
      <c r="T962" s="32" t="n">
        <f aca="false">K962*INDEX('Tabela Passaro'!$N$2:$N$1795,$N962)</f>
        <v>1.73022</v>
      </c>
      <c r="U962" s="32" t="n">
        <f aca="false">INDEX('Tabela Passaro'!$O$2:$O$1795,$N962)</f>
        <v>5</v>
      </c>
      <c r="V962" s="32" t="n">
        <f aca="false">ROUNDUP(J962/INDEX('Tabela Passaro'!$Q$2:$Q$1795,$N962),0)*INDEX('Tabela Passaro'!$P$2:$P$1795,$N962)</f>
        <v>5</v>
      </c>
      <c r="W962" s="32" t="n">
        <f aca="false">INDEX('Tabela Passaro'!$R$2:$R$1795,$N962)</f>
        <v>30</v>
      </c>
      <c r="X962" s="32" t="n">
        <f aca="false">ROUNDUP(J962/INDEX('Tabela Passaro'!$T$2:$T$1795,$N962),0)*INDEX('Tabela Passaro'!$S$2:$S$1795,$N962)</f>
        <v>0</v>
      </c>
      <c r="Y962" s="32" t="n">
        <f aca="false">INDEX('Tabela Passaro'!$U$2:$U$1795,$N962)</f>
        <v>0</v>
      </c>
      <c r="Z962" s="32" t="n">
        <f aca="false">INDEX('Tabela Passaro'!$V$2:$V$1795,$N962)</f>
        <v>0</v>
      </c>
      <c r="AA962" s="32" t="n">
        <f aca="false">SUM(R962:Z962)</f>
        <v>265.56577</v>
      </c>
      <c r="AB962" s="33" t="n">
        <f aca="false">INDEX(Premissas!$B$5:$B$13,MATCH(A962,Premissas!$A$5:$A$13,0))</f>
        <v>0.07</v>
      </c>
      <c r="AC962" s="32" t="n">
        <f aca="false">AA962/(1-AB962)-AA962</f>
        <v>19.9888213978495</v>
      </c>
      <c r="AD962" s="32" t="n">
        <f aca="false">ROUND(AA962+AC962,2)</f>
        <v>285.55</v>
      </c>
      <c r="AE962" s="32" t="n">
        <f aca="false">AD962-L962</f>
        <v>112.01</v>
      </c>
      <c r="AF962" s="34" t="n">
        <f aca="false">IF(L962=0,0,AE962/L962)</f>
        <v>0.645441973032154</v>
      </c>
      <c r="AG962" s="22" t="str">
        <f aca="false">IF(AD962&lt;L962,"PASSARO","ATUAL")</f>
        <v>ATUAL</v>
      </c>
      <c r="AH962" s="22" t="str">
        <f aca="false">IF(P962&lt;&gt;A962,"Faixa cadastrada como "&amp;P962&amp;" na tabela; preço aplicado pela UF do CEP","")</f>
        <v/>
      </c>
      <c r="AI962" s="26" t="n">
        <v>327</v>
      </c>
      <c r="AJ962" s="22" t="str">
        <f aca="false">INDEX('Tabela Passaro'!$X$2:$X$1795,$N962)</f>
        <v>CAPITAL</v>
      </c>
    </row>
    <row r="963" customFormat="false" ht="15" hidden="false" customHeight="false" outlineLevel="0" collapsed="false">
      <c r="A963" s="22" t="s">
        <v>18</v>
      </c>
      <c r="B963" s="22" t="n">
        <v>1</v>
      </c>
      <c r="C963" s="22" t="s">
        <v>112</v>
      </c>
      <c r="D963" s="22" t="s">
        <v>30</v>
      </c>
      <c r="E963" s="22" t="s">
        <v>20</v>
      </c>
      <c r="F963" s="22" t="n">
        <v>839408</v>
      </c>
      <c r="G963" s="30" t="n">
        <v>46252</v>
      </c>
      <c r="H963" s="22" t="n">
        <v>32546</v>
      </c>
      <c r="I963" s="22" t="s">
        <v>8219</v>
      </c>
      <c r="J963" s="31" t="n">
        <v>20.46</v>
      </c>
      <c r="K963" s="26" t="n">
        <v>425.6</v>
      </c>
      <c r="L963" s="26" t="n">
        <v>118.92</v>
      </c>
      <c r="M963" s="22" t="s">
        <v>3066</v>
      </c>
      <c r="N963" s="22" t="n">
        <f aca="false">MATCH(M963,'Tabela Passaro'!$A$2:$A$1795,0)</f>
        <v>704</v>
      </c>
      <c r="O963" s="22" t="str">
        <f aca="false">INDEX('Tabela Passaro'!$C$2:$C$1795,$N963)</f>
        <v>SAO LUIS</v>
      </c>
      <c r="P963" s="22" t="str">
        <f aca="false">INDEX('Tabela Passaro'!$B$2:$B$1795,$N963)</f>
        <v>MA</v>
      </c>
      <c r="Q963" s="22" t="n">
        <f aca="false">INDEX('Tabela Passaro'!$F$2:$F$1795,$N963)</f>
        <v>11</v>
      </c>
      <c r="R963" s="32" t="n">
        <f aca="false">IF(J963&lt;=10,INDEX('Tabela Passaro'!$G$2:$G$1795,$N963),IF(J963&lt;=30,INDEX('Tabela Passaro'!$H$2:$H$1795,$N963),IF(J963&lt;=50,INDEX('Tabela Passaro'!$I$2:$I$1795,$N963),IF(J963&lt;=70,INDEX('Tabela Passaro'!$J$2:$J$1795,$N963),IF(J963&lt;=100,INDEX('Tabela Passaro'!$K$2:$K$1795,$N963),INDEX('Tabela Passaro'!$K$2:$K$1795,$N963)+(J963-100)*INDEX('Tabela Passaro'!$L$2:$L$1795,$N963))))))</f>
        <v>197.38</v>
      </c>
      <c r="S963" s="32" t="n">
        <f aca="false">K963*INDEX('Tabela Passaro'!$M$2:$M$1795,$N963)</f>
        <v>2.128</v>
      </c>
      <c r="T963" s="32" t="n">
        <f aca="false">K963*INDEX('Tabela Passaro'!$N$2:$N$1795,$N963)</f>
        <v>0.8512</v>
      </c>
      <c r="U963" s="32" t="n">
        <f aca="false">INDEX('Tabela Passaro'!$O$2:$O$1795,$N963)</f>
        <v>5</v>
      </c>
      <c r="V963" s="32" t="n">
        <f aca="false">ROUNDUP(J963/INDEX('Tabela Passaro'!$Q$2:$Q$1795,$N963),0)*INDEX('Tabela Passaro'!$P$2:$P$1795,$N963)</f>
        <v>5</v>
      </c>
      <c r="W963" s="32" t="n">
        <f aca="false">INDEX('Tabela Passaro'!$R$2:$R$1795,$N963)</f>
        <v>30</v>
      </c>
      <c r="X963" s="32" t="n">
        <f aca="false">ROUNDUP(J963/INDEX('Tabela Passaro'!$T$2:$T$1795,$N963),0)*INDEX('Tabela Passaro'!$S$2:$S$1795,$N963)</f>
        <v>0</v>
      </c>
      <c r="Y963" s="32" t="n">
        <f aca="false">INDEX('Tabela Passaro'!$U$2:$U$1795,$N963)</f>
        <v>0</v>
      </c>
      <c r="Z963" s="32" t="n">
        <f aca="false">INDEX('Tabela Passaro'!$V$2:$V$1795,$N963)</f>
        <v>0</v>
      </c>
      <c r="AA963" s="32" t="n">
        <f aca="false">SUM(R963:Z963)</f>
        <v>240.3592</v>
      </c>
      <c r="AB963" s="33" t="n">
        <f aca="false">INDEX(Premissas!$B$5:$B$13,MATCH(A963,Premissas!$A$5:$A$13,0))</f>
        <v>0.07</v>
      </c>
      <c r="AC963" s="32" t="n">
        <f aca="false">AA963/(1-AB963)-AA963</f>
        <v>18.091552688172</v>
      </c>
      <c r="AD963" s="32" t="n">
        <f aca="false">ROUND(AA963+AC963,2)</f>
        <v>258.45</v>
      </c>
      <c r="AE963" s="32" t="n">
        <f aca="false">AD963-L963</f>
        <v>139.53</v>
      </c>
      <c r="AF963" s="34" t="n">
        <f aca="false">IF(L963=0,0,AE963/L963)</f>
        <v>1.17330978809284</v>
      </c>
      <c r="AG963" s="22" t="str">
        <f aca="false">IF(AD963&lt;L963,"PASSARO","ATUAL")</f>
        <v>ATUAL</v>
      </c>
      <c r="AH963" s="22" t="str">
        <f aca="false">IF(P963&lt;&gt;A963,"Faixa cadastrada como "&amp;P963&amp;" na tabela; preço aplicado pela UF do CEP","")</f>
        <v/>
      </c>
      <c r="AI963" s="26" t="n">
        <v>286.08</v>
      </c>
      <c r="AJ963" s="22" t="str">
        <f aca="false">INDEX('Tabela Passaro'!$X$2:$X$1795,$N963)</f>
        <v>CAPITAL</v>
      </c>
    </row>
    <row r="964" customFormat="false" ht="15" hidden="false" customHeight="false" outlineLevel="0" collapsed="false">
      <c r="A964" s="22" t="s">
        <v>18</v>
      </c>
      <c r="B964" s="22" t="n">
        <v>1</v>
      </c>
      <c r="C964" s="22" t="s">
        <v>112</v>
      </c>
      <c r="D964" s="22" t="s">
        <v>30</v>
      </c>
      <c r="E964" s="22" t="s">
        <v>7328</v>
      </c>
      <c r="F964" s="22" t="n">
        <v>2313772</v>
      </c>
      <c r="G964" s="30" t="n">
        <v>46253</v>
      </c>
      <c r="H964" s="22" t="n">
        <v>133857</v>
      </c>
      <c r="I964" s="22" t="s">
        <v>8220</v>
      </c>
      <c r="J964" s="31" t="n">
        <v>27.6</v>
      </c>
      <c r="K964" s="26" t="n">
        <v>649.94</v>
      </c>
      <c r="L964" s="26" t="n">
        <v>130.68</v>
      </c>
      <c r="M964" s="22" t="s">
        <v>3066</v>
      </c>
      <c r="N964" s="22" t="n">
        <f aca="false">MATCH(M964,'Tabela Passaro'!$A$2:$A$1795,0)</f>
        <v>704</v>
      </c>
      <c r="O964" s="22" t="str">
        <f aca="false">INDEX('Tabela Passaro'!$C$2:$C$1795,$N964)</f>
        <v>SAO LUIS</v>
      </c>
      <c r="P964" s="22" t="str">
        <f aca="false">INDEX('Tabela Passaro'!$B$2:$B$1795,$N964)</f>
        <v>MA</v>
      </c>
      <c r="Q964" s="22" t="n">
        <f aca="false">INDEX('Tabela Passaro'!$F$2:$F$1795,$N964)</f>
        <v>11</v>
      </c>
      <c r="R964" s="32" t="n">
        <f aca="false">IF(J964&lt;=10,INDEX('Tabela Passaro'!$G$2:$G$1795,$N964),IF(J964&lt;=30,INDEX('Tabela Passaro'!$H$2:$H$1795,$N964),IF(J964&lt;=50,INDEX('Tabela Passaro'!$I$2:$I$1795,$N964),IF(J964&lt;=70,INDEX('Tabela Passaro'!$J$2:$J$1795,$N964),IF(J964&lt;=100,INDEX('Tabela Passaro'!$K$2:$K$1795,$N964),INDEX('Tabela Passaro'!$K$2:$K$1795,$N964)+(J964-100)*INDEX('Tabela Passaro'!$L$2:$L$1795,$N964))))))</f>
        <v>197.38</v>
      </c>
      <c r="S964" s="32" t="n">
        <f aca="false">K964*INDEX('Tabela Passaro'!$M$2:$M$1795,$N964)</f>
        <v>3.2497</v>
      </c>
      <c r="T964" s="32" t="n">
        <f aca="false">K964*INDEX('Tabela Passaro'!$N$2:$N$1795,$N964)</f>
        <v>1.29988</v>
      </c>
      <c r="U964" s="32" t="n">
        <f aca="false">INDEX('Tabela Passaro'!$O$2:$O$1795,$N964)</f>
        <v>5</v>
      </c>
      <c r="V964" s="32" t="n">
        <f aca="false">ROUNDUP(J964/INDEX('Tabela Passaro'!$Q$2:$Q$1795,$N964),0)*INDEX('Tabela Passaro'!$P$2:$P$1795,$N964)</f>
        <v>5</v>
      </c>
      <c r="W964" s="32" t="n">
        <f aca="false">INDEX('Tabela Passaro'!$R$2:$R$1795,$N964)</f>
        <v>30</v>
      </c>
      <c r="X964" s="32" t="n">
        <f aca="false">ROUNDUP(J964/INDEX('Tabela Passaro'!$T$2:$T$1795,$N964),0)*INDEX('Tabela Passaro'!$S$2:$S$1795,$N964)</f>
        <v>0</v>
      </c>
      <c r="Y964" s="32" t="n">
        <f aca="false">INDEX('Tabela Passaro'!$U$2:$U$1795,$N964)</f>
        <v>0</v>
      </c>
      <c r="Z964" s="32" t="n">
        <f aca="false">INDEX('Tabela Passaro'!$V$2:$V$1795,$N964)</f>
        <v>0</v>
      </c>
      <c r="AA964" s="32" t="n">
        <f aca="false">SUM(R964:Z964)</f>
        <v>241.92958</v>
      </c>
      <c r="AB964" s="33" t="n">
        <f aca="false">INDEX(Premissas!$B$5:$B$13,MATCH(A964,Premissas!$A$5:$A$13,0))</f>
        <v>0.07</v>
      </c>
      <c r="AC964" s="32" t="n">
        <f aca="false">AA964/(1-AB964)-AA964</f>
        <v>18.2097533333334</v>
      </c>
      <c r="AD964" s="32" t="n">
        <f aca="false">ROUND(AA964+AC964,2)</f>
        <v>260.14</v>
      </c>
      <c r="AE964" s="32" t="n">
        <f aca="false">AD964-L964</f>
        <v>129.46</v>
      </c>
      <c r="AF964" s="34" t="n">
        <f aca="false">IF(L964=0,0,AE964/L964)</f>
        <v>0.990664217936945</v>
      </c>
      <c r="AG964" s="22" t="str">
        <f aca="false">IF(AD964&lt;L964,"PASSARO","ATUAL")</f>
        <v>ATUAL</v>
      </c>
      <c r="AH964" s="22" t="str">
        <f aca="false">IF(P964&lt;&gt;A964,"Faixa cadastrada como "&amp;P964&amp;" na tabela; preço aplicado pela UF do CEP","")</f>
        <v/>
      </c>
      <c r="AI964" s="26" t="n">
        <v>291.63</v>
      </c>
      <c r="AJ964" s="22" t="str">
        <f aca="false">INDEX('Tabela Passaro'!$X$2:$X$1795,$N964)</f>
        <v>CAPITAL</v>
      </c>
    </row>
    <row r="965" customFormat="false" ht="15" hidden="false" customHeight="false" outlineLevel="0" collapsed="false">
      <c r="A965" s="22" t="s">
        <v>18</v>
      </c>
      <c r="B965" s="22" t="n">
        <v>1</v>
      </c>
      <c r="C965" s="22" t="s">
        <v>112</v>
      </c>
      <c r="D965" s="22" t="s">
        <v>30</v>
      </c>
      <c r="E965" s="22" t="s">
        <v>7328</v>
      </c>
      <c r="F965" s="22" t="n">
        <v>2313779</v>
      </c>
      <c r="G965" s="30" t="n">
        <v>46253</v>
      </c>
      <c r="H965" s="22" t="n">
        <v>133864</v>
      </c>
      <c r="I965" s="22" t="s">
        <v>8221</v>
      </c>
      <c r="J965" s="31" t="n">
        <v>63</v>
      </c>
      <c r="K965" s="26" t="n">
        <v>1172.26</v>
      </c>
      <c r="L965" s="26" t="n">
        <v>211.83</v>
      </c>
      <c r="M965" s="22" t="s">
        <v>3066</v>
      </c>
      <c r="N965" s="22" t="n">
        <f aca="false">MATCH(M965,'Tabela Passaro'!$A$2:$A$1795,0)</f>
        <v>704</v>
      </c>
      <c r="O965" s="22" t="str">
        <f aca="false">INDEX('Tabela Passaro'!$C$2:$C$1795,$N965)</f>
        <v>SAO LUIS</v>
      </c>
      <c r="P965" s="22" t="str">
        <f aca="false">INDEX('Tabela Passaro'!$B$2:$B$1795,$N965)</f>
        <v>MA</v>
      </c>
      <c r="Q965" s="22" t="n">
        <f aca="false">INDEX('Tabela Passaro'!$F$2:$F$1795,$N965)</f>
        <v>11</v>
      </c>
      <c r="R965" s="32" t="n">
        <f aca="false">IF(J965&lt;=10,INDEX('Tabela Passaro'!$G$2:$G$1795,$N965),IF(J965&lt;=30,INDEX('Tabela Passaro'!$H$2:$H$1795,$N965),IF(J965&lt;=50,INDEX('Tabela Passaro'!$I$2:$I$1795,$N965),IF(J965&lt;=70,INDEX('Tabela Passaro'!$J$2:$J$1795,$N965),IF(J965&lt;=100,INDEX('Tabela Passaro'!$K$2:$K$1795,$N965),INDEX('Tabela Passaro'!$K$2:$K$1795,$N965)+(J965-100)*INDEX('Tabela Passaro'!$L$2:$L$1795,$N965))))))</f>
        <v>236.11</v>
      </c>
      <c r="S965" s="32" t="n">
        <f aca="false">K965*INDEX('Tabela Passaro'!$M$2:$M$1795,$N965)</f>
        <v>5.8613</v>
      </c>
      <c r="T965" s="32" t="n">
        <f aca="false">K965*INDEX('Tabela Passaro'!$N$2:$N$1795,$N965)</f>
        <v>2.34452</v>
      </c>
      <c r="U965" s="32" t="n">
        <f aca="false">INDEX('Tabela Passaro'!$O$2:$O$1795,$N965)</f>
        <v>5</v>
      </c>
      <c r="V965" s="32" t="n">
        <f aca="false">ROUNDUP(J965/INDEX('Tabela Passaro'!$Q$2:$Q$1795,$N965),0)*INDEX('Tabela Passaro'!$P$2:$P$1795,$N965)</f>
        <v>5</v>
      </c>
      <c r="W965" s="32" t="n">
        <f aca="false">INDEX('Tabela Passaro'!$R$2:$R$1795,$N965)</f>
        <v>30</v>
      </c>
      <c r="X965" s="32" t="n">
        <f aca="false">ROUNDUP(J965/INDEX('Tabela Passaro'!$T$2:$T$1795,$N965),0)*INDEX('Tabela Passaro'!$S$2:$S$1795,$N965)</f>
        <v>0</v>
      </c>
      <c r="Y965" s="32" t="n">
        <f aca="false">INDEX('Tabela Passaro'!$U$2:$U$1795,$N965)</f>
        <v>0</v>
      </c>
      <c r="Z965" s="32" t="n">
        <f aca="false">INDEX('Tabela Passaro'!$V$2:$V$1795,$N965)</f>
        <v>0</v>
      </c>
      <c r="AA965" s="32" t="n">
        <f aca="false">SUM(R965:Z965)</f>
        <v>284.31582</v>
      </c>
      <c r="AB965" s="33" t="n">
        <f aca="false">INDEX(Premissas!$B$5:$B$13,MATCH(A965,Premissas!$A$5:$A$13,0))</f>
        <v>0.07</v>
      </c>
      <c r="AC965" s="32" t="n">
        <f aca="false">AA965/(1-AB965)-AA965</f>
        <v>21.400115483871</v>
      </c>
      <c r="AD965" s="32" t="n">
        <f aca="false">ROUND(AA965+AC965,2)</f>
        <v>305.72</v>
      </c>
      <c r="AE965" s="32" t="n">
        <f aca="false">AD965-L965</f>
        <v>93.89</v>
      </c>
      <c r="AF965" s="34" t="n">
        <f aca="false">IF(L965=0,0,AE965/L965)</f>
        <v>0.443232781003635</v>
      </c>
      <c r="AG965" s="22" t="str">
        <f aca="false">IF(AD965&lt;L965,"PASSARO","ATUAL")</f>
        <v>ATUAL</v>
      </c>
      <c r="AH965" s="22" t="str">
        <f aca="false">IF(P965&lt;&gt;A965,"Faixa cadastrada como "&amp;P965&amp;" na tabela; preço aplicado pela UF do CEP","")</f>
        <v/>
      </c>
      <c r="AI965" s="26" t="n">
        <v>357.46</v>
      </c>
      <c r="AJ965" s="22" t="str">
        <f aca="false">INDEX('Tabela Passaro'!$X$2:$X$1795,$N965)</f>
        <v>CAPITAL</v>
      </c>
    </row>
    <row r="966" customFormat="false" ht="15" hidden="false" customHeight="false" outlineLevel="0" collapsed="false">
      <c r="A966" s="22" t="s">
        <v>18</v>
      </c>
      <c r="B966" s="22" t="n">
        <v>1</v>
      </c>
      <c r="C966" s="22" t="s">
        <v>112</v>
      </c>
      <c r="D966" s="22" t="s">
        <v>30</v>
      </c>
      <c r="E966" s="22" t="s">
        <v>7328</v>
      </c>
      <c r="F966" s="22" t="n">
        <v>2314412</v>
      </c>
      <c r="G966" s="30" t="n">
        <v>46254</v>
      </c>
      <c r="H966" s="22" t="n">
        <v>134076</v>
      </c>
      <c r="I966" s="22" t="s">
        <v>8222</v>
      </c>
      <c r="J966" s="31" t="n">
        <v>124.2</v>
      </c>
      <c r="K966" s="26" t="n">
        <v>2091.18</v>
      </c>
      <c r="L966" s="26" t="n">
        <v>345.43</v>
      </c>
      <c r="M966" s="22" t="s">
        <v>3066</v>
      </c>
      <c r="N966" s="22" t="n">
        <f aca="false">MATCH(M966,'Tabela Passaro'!$A$2:$A$1795,0)</f>
        <v>704</v>
      </c>
      <c r="O966" s="22" t="str">
        <f aca="false">INDEX('Tabela Passaro'!$C$2:$C$1795,$N966)</f>
        <v>SAO LUIS</v>
      </c>
      <c r="P966" s="22" t="str">
        <f aca="false">INDEX('Tabela Passaro'!$B$2:$B$1795,$N966)</f>
        <v>MA</v>
      </c>
      <c r="Q966" s="22" t="n">
        <f aca="false">INDEX('Tabela Passaro'!$F$2:$F$1795,$N966)</f>
        <v>11</v>
      </c>
      <c r="R966" s="32" t="n">
        <f aca="false">IF(J966&lt;=10,INDEX('Tabela Passaro'!$G$2:$G$1795,$N966),IF(J966&lt;=30,INDEX('Tabela Passaro'!$H$2:$H$1795,$N966),IF(J966&lt;=50,INDEX('Tabela Passaro'!$I$2:$I$1795,$N966),IF(J966&lt;=70,INDEX('Tabela Passaro'!$J$2:$J$1795,$N966),IF(J966&lt;=100,INDEX('Tabela Passaro'!$K$2:$K$1795,$N966),INDEX('Tabela Passaro'!$K$2:$K$1795,$N966)+(J966-100)*INDEX('Tabela Passaro'!$L$2:$L$1795,$N966))))))</f>
        <v>309.338</v>
      </c>
      <c r="S966" s="32" t="n">
        <f aca="false">K966*INDEX('Tabela Passaro'!$M$2:$M$1795,$N966)</f>
        <v>10.4559</v>
      </c>
      <c r="T966" s="32" t="n">
        <f aca="false">K966*INDEX('Tabela Passaro'!$N$2:$N$1795,$N966)</f>
        <v>4.18236</v>
      </c>
      <c r="U966" s="32" t="n">
        <f aca="false">INDEX('Tabela Passaro'!$O$2:$O$1795,$N966)</f>
        <v>5</v>
      </c>
      <c r="V966" s="32" t="n">
        <f aca="false">ROUNDUP(J966/INDEX('Tabela Passaro'!$Q$2:$Q$1795,$N966),0)*INDEX('Tabela Passaro'!$P$2:$P$1795,$N966)</f>
        <v>10</v>
      </c>
      <c r="W966" s="32" t="n">
        <f aca="false">INDEX('Tabela Passaro'!$R$2:$R$1795,$N966)</f>
        <v>30</v>
      </c>
      <c r="X966" s="32" t="n">
        <f aca="false">ROUNDUP(J966/INDEX('Tabela Passaro'!$T$2:$T$1795,$N966),0)*INDEX('Tabela Passaro'!$S$2:$S$1795,$N966)</f>
        <v>0</v>
      </c>
      <c r="Y966" s="32" t="n">
        <f aca="false">INDEX('Tabela Passaro'!$U$2:$U$1795,$N966)</f>
        <v>0</v>
      </c>
      <c r="Z966" s="32" t="n">
        <f aca="false">INDEX('Tabela Passaro'!$V$2:$V$1795,$N966)</f>
        <v>0</v>
      </c>
      <c r="AA966" s="32" t="n">
        <f aca="false">SUM(R966:Z966)</f>
        <v>368.97626</v>
      </c>
      <c r="AB966" s="33" t="n">
        <f aca="false">INDEX(Premissas!$B$5:$B$13,MATCH(A966,Premissas!$A$5:$A$13,0))</f>
        <v>0.07</v>
      </c>
      <c r="AC966" s="32" t="n">
        <f aca="false">AA966/(1-AB966)-AA966</f>
        <v>27.7724066666667</v>
      </c>
      <c r="AD966" s="32" t="n">
        <f aca="false">ROUND(AA966+AC966,2)</f>
        <v>396.75</v>
      </c>
      <c r="AE966" s="32" t="n">
        <f aca="false">AD966-L966</f>
        <v>51.32</v>
      </c>
      <c r="AF966" s="34" t="n">
        <f aca="false">IF(L966=0,0,AE966/L966)</f>
        <v>0.148568450916249</v>
      </c>
      <c r="AG966" s="22" t="str">
        <f aca="false">IF(AD966&lt;L966,"PASSARO","ATUAL")</f>
        <v>ATUAL</v>
      </c>
      <c r="AH966" s="22" t="str">
        <f aca="false">IF(P966&lt;&gt;A966,"Faixa cadastrada como "&amp;P966&amp;" na tabela; preço aplicado pela UF do CEP","")</f>
        <v/>
      </c>
      <c r="AI966" s="26" t="n">
        <v>489.21</v>
      </c>
      <c r="AJ966" s="22" t="str">
        <f aca="false">INDEX('Tabela Passaro'!$X$2:$X$1795,$N966)</f>
        <v>CAPITAL</v>
      </c>
    </row>
    <row r="967" customFormat="false" ht="15" hidden="false" customHeight="false" outlineLevel="0" collapsed="false">
      <c r="A967" s="22" t="s">
        <v>18</v>
      </c>
      <c r="B967" s="22" t="n">
        <v>1</v>
      </c>
      <c r="C967" s="22" t="s">
        <v>112</v>
      </c>
      <c r="D967" s="22" t="s">
        <v>30</v>
      </c>
      <c r="E967" s="22" t="s">
        <v>20</v>
      </c>
      <c r="F967" s="22" t="n">
        <v>839832</v>
      </c>
      <c r="G967" s="30" t="n">
        <v>46255</v>
      </c>
      <c r="H967" s="22" t="n">
        <v>32594</v>
      </c>
      <c r="I967" s="22" t="s">
        <v>8223</v>
      </c>
      <c r="J967" s="31" t="n">
        <v>69</v>
      </c>
      <c r="K967" s="26" t="n">
        <v>997.47</v>
      </c>
      <c r="L967" s="26" t="n">
        <v>191.19</v>
      </c>
      <c r="M967" s="22" t="s">
        <v>3066</v>
      </c>
      <c r="N967" s="22" t="n">
        <f aca="false">MATCH(M967,'Tabela Passaro'!$A$2:$A$1795,0)</f>
        <v>704</v>
      </c>
      <c r="O967" s="22" t="str">
        <f aca="false">INDEX('Tabela Passaro'!$C$2:$C$1795,$N967)</f>
        <v>SAO LUIS</v>
      </c>
      <c r="P967" s="22" t="str">
        <f aca="false">INDEX('Tabela Passaro'!$B$2:$B$1795,$N967)</f>
        <v>MA</v>
      </c>
      <c r="Q967" s="22" t="n">
        <f aca="false">INDEX('Tabela Passaro'!$F$2:$F$1795,$N967)</f>
        <v>11</v>
      </c>
      <c r="R967" s="32" t="n">
        <f aca="false">IF(J967&lt;=10,INDEX('Tabela Passaro'!$G$2:$G$1795,$N967),IF(J967&lt;=30,INDEX('Tabela Passaro'!$H$2:$H$1795,$N967),IF(J967&lt;=50,INDEX('Tabela Passaro'!$I$2:$I$1795,$N967),IF(J967&lt;=70,INDEX('Tabela Passaro'!$J$2:$J$1795,$N967),IF(J967&lt;=100,INDEX('Tabela Passaro'!$K$2:$K$1795,$N967),INDEX('Tabela Passaro'!$K$2:$K$1795,$N967)+(J967-100)*INDEX('Tabela Passaro'!$L$2:$L$1795,$N967))))))</f>
        <v>236.11</v>
      </c>
      <c r="S967" s="32" t="n">
        <f aca="false">K967*INDEX('Tabela Passaro'!$M$2:$M$1795,$N967)</f>
        <v>4.98735</v>
      </c>
      <c r="T967" s="32" t="n">
        <f aca="false">K967*INDEX('Tabela Passaro'!$N$2:$N$1795,$N967)</f>
        <v>1.99494</v>
      </c>
      <c r="U967" s="32" t="n">
        <f aca="false">INDEX('Tabela Passaro'!$O$2:$O$1795,$N967)</f>
        <v>5</v>
      </c>
      <c r="V967" s="32" t="n">
        <f aca="false">ROUNDUP(J967/INDEX('Tabela Passaro'!$Q$2:$Q$1795,$N967),0)*INDEX('Tabela Passaro'!$P$2:$P$1795,$N967)</f>
        <v>5</v>
      </c>
      <c r="W967" s="32" t="n">
        <f aca="false">INDEX('Tabela Passaro'!$R$2:$R$1795,$N967)</f>
        <v>30</v>
      </c>
      <c r="X967" s="32" t="n">
        <f aca="false">ROUNDUP(J967/INDEX('Tabela Passaro'!$T$2:$T$1795,$N967),0)*INDEX('Tabela Passaro'!$S$2:$S$1795,$N967)</f>
        <v>0</v>
      </c>
      <c r="Y967" s="32" t="n">
        <f aca="false">INDEX('Tabela Passaro'!$U$2:$U$1795,$N967)</f>
        <v>0</v>
      </c>
      <c r="Z967" s="32" t="n">
        <f aca="false">INDEX('Tabela Passaro'!$V$2:$V$1795,$N967)</f>
        <v>0</v>
      </c>
      <c r="AA967" s="32" t="n">
        <f aca="false">SUM(R967:Z967)</f>
        <v>283.09229</v>
      </c>
      <c r="AB967" s="33" t="n">
        <f aca="false">INDEX(Premissas!$B$5:$B$13,MATCH(A967,Premissas!$A$5:$A$13,0))</f>
        <v>0.07</v>
      </c>
      <c r="AC967" s="32" t="n">
        <f aca="false">AA967/(1-AB967)-AA967</f>
        <v>21.308021827957</v>
      </c>
      <c r="AD967" s="32" t="n">
        <f aca="false">ROUND(AA967+AC967,2)</f>
        <v>304.4</v>
      </c>
      <c r="AE967" s="32" t="n">
        <f aca="false">AD967-L967</f>
        <v>113.21</v>
      </c>
      <c r="AF967" s="34" t="n">
        <f aca="false">IF(L967=0,0,AE967/L967)</f>
        <v>0.592133479784508</v>
      </c>
      <c r="AG967" s="22" t="str">
        <f aca="false">IF(AD967&lt;L967,"PASSARO","ATUAL")</f>
        <v>ATUAL</v>
      </c>
      <c r="AH967" s="22" t="str">
        <f aca="false">IF(P967&lt;&gt;A967,"Faixa cadastrada como "&amp;P967&amp;" na tabela; preço aplicado pela UF do CEP","")</f>
        <v/>
      </c>
      <c r="AI967" s="26" t="n">
        <v>358.67</v>
      </c>
      <c r="AJ967" s="22" t="str">
        <f aca="false">INDEX('Tabela Passaro'!$X$2:$X$1795,$N967)</f>
        <v>CAPITAL</v>
      </c>
    </row>
    <row r="968" customFormat="false" ht="15" hidden="false" customHeight="false" outlineLevel="0" collapsed="false">
      <c r="A968" s="22" t="s">
        <v>18</v>
      </c>
      <c r="B968" s="22" t="n">
        <v>1</v>
      </c>
      <c r="C968" s="22" t="s">
        <v>112</v>
      </c>
      <c r="D968" s="22" t="s">
        <v>30</v>
      </c>
      <c r="E968" s="22" t="s">
        <v>20</v>
      </c>
      <c r="F968" s="22" t="n">
        <v>839946</v>
      </c>
      <c r="G968" s="30" t="n">
        <v>46258</v>
      </c>
      <c r="H968" s="22" t="n">
        <v>32613</v>
      </c>
      <c r="I968" s="22" t="s">
        <v>8224</v>
      </c>
      <c r="J968" s="31" t="n">
        <v>27.6</v>
      </c>
      <c r="K968" s="26" t="n">
        <v>790.18</v>
      </c>
      <c r="L968" s="26" t="n">
        <v>122.2</v>
      </c>
      <c r="M968" s="22" t="s">
        <v>3066</v>
      </c>
      <c r="N968" s="22" t="n">
        <f aca="false">MATCH(M968,'Tabela Passaro'!$A$2:$A$1795,0)</f>
        <v>704</v>
      </c>
      <c r="O968" s="22" t="str">
        <f aca="false">INDEX('Tabela Passaro'!$C$2:$C$1795,$N968)</f>
        <v>SAO LUIS</v>
      </c>
      <c r="P968" s="22" t="str">
        <f aca="false">INDEX('Tabela Passaro'!$B$2:$B$1795,$N968)</f>
        <v>MA</v>
      </c>
      <c r="Q968" s="22" t="n">
        <f aca="false">INDEX('Tabela Passaro'!$F$2:$F$1795,$N968)</f>
        <v>11</v>
      </c>
      <c r="R968" s="32" t="n">
        <f aca="false">IF(J968&lt;=10,INDEX('Tabela Passaro'!$G$2:$G$1795,$N968),IF(J968&lt;=30,INDEX('Tabela Passaro'!$H$2:$H$1795,$N968),IF(J968&lt;=50,INDEX('Tabela Passaro'!$I$2:$I$1795,$N968),IF(J968&lt;=70,INDEX('Tabela Passaro'!$J$2:$J$1795,$N968),IF(J968&lt;=100,INDEX('Tabela Passaro'!$K$2:$K$1795,$N968),INDEX('Tabela Passaro'!$K$2:$K$1795,$N968)+(J968-100)*INDEX('Tabela Passaro'!$L$2:$L$1795,$N968))))))</f>
        <v>197.38</v>
      </c>
      <c r="S968" s="32" t="n">
        <f aca="false">K968*INDEX('Tabela Passaro'!$M$2:$M$1795,$N968)</f>
        <v>3.9509</v>
      </c>
      <c r="T968" s="32" t="n">
        <f aca="false">K968*INDEX('Tabela Passaro'!$N$2:$N$1795,$N968)</f>
        <v>1.58036</v>
      </c>
      <c r="U968" s="32" t="n">
        <f aca="false">INDEX('Tabela Passaro'!$O$2:$O$1795,$N968)</f>
        <v>5</v>
      </c>
      <c r="V968" s="32" t="n">
        <f aca="false">ROUNDUP(J968/INDEX('Tabela Passaro'!$Q$2:$Q$1795,$N968),0)*INDEX('Tabela Passaro'!$P$2:$P$1795,$N968)</f>
        <v>5</v>
      </c>
      <c r="W968" s="32" t="n">
        <f aca="false">INDEX('Tabela Passaro'!$R$2:$R$1795,$N968)</f>
        <v>30</v>
      </c>
      <c r="X968" s="32" t="n">
        <f aca="false">ROUNDUP(J968/INDEX('Tabela Passaro'!$T$2:$T$1795,$N968),0)*INDEX('Tabela Passaro'!$S$2:$S$1795,$N968)</f>
        <v>0</v>
      </c>
      <c r="Y968" s="32" t="n">
        <f aca="false">INDEX('Tabela Passaro'!$U$2:$U$1795,$N968)</f>
        <v>0</v>
      </c>
      <c r="Z968" s="32" t="n">
        <f aca="false">INDEX('Tabela Passaro'!$V$2:$V$1795,$N968)</f>
        <v>0</v>
      </c>
      <c r="AA968" s="32" t="n">
        <f aca="false">SUM(R968:Z968)</f>
        <v>242.91126</v>
      </c>
      <c r="AB968" s="33" t="n">
        <f aca="false">INDEX(Premissas!$B$5:$B$13,MATCH(A968,Premissas!$A$5:$A$13,0))</f>
        <v>0.07</v>
      </c>
      <c r="AC968" s="32" t="n">
        <f aca="false">AA968/(1-AB968)-AA968</f>
        <v>18.2836432258065</v>
      </c>
      <c r="AD968" s="32" t="n">
        <f aca="false">ROUND(AA968+AC968,2)</f>
        <v>261.19</v>
      </c>
      <c r="AE968" s="32" t="n">
        <f aca="false">AD968-L968</f>
        <v>138.99</v>
      </c>
      <c r="AF968" s="34" t="n">
        <f aca="false">IF(L968=0,0,AE968/L968)</f>
        <v>1.1373977086743</v>
      </c>
      <c r="AG968" s="22" t="str">
        <f aca="false">IF(AD968&lt;L968,"PASSARO","ATUAL")</f>
        <v>ATUAL</v>
      </c>
      <c r="AH968" s="22" t="str">
        <f aca="false">IF(P968&lt;&gt;A968,"Faixa cadastrada como "&amp;P968&amp;" na tabela; preço aplicado pela UF do CEP","")</f>
        <v/>
      </c>
      <c r="AI968" s="26" t="n">
        <v>292.99</v>
      </c>
      <c r="AJ968" s="22" t="str">
        <f aca="false">INDEX('Tabela Passaro'!$X$2:$X$1795,$N968)</f>
        <v>CAPITAL</v>
      </c>
    </row>
    <row r="969" customFormat="false" ht="15" hidden="false" customHeight="false" outlineLevel="0" collapsed="false">
      <c r="A969" s="22" t="s">
        <v>18</v>
      </c>
      <c r="B969" s="22" t="n">
        <v>1</v>
      </c>
      <c r="C969" s="22" t="s">
        <v>112</v>
      </c>
      <c r="D969" s="22" t="s">
        <v>30</v>
      </c>
      <c r="E969" s="22" t="s">
        <v>20</v>
      </c>
      <c r="F969" s="22" t="n">
        <v>839953</v>
      </c>
      <c r="G969" s="30" t="n">
        <v>46258</v>
      </c>
      <c r="H969" s="22" t="n">
        <v>32632</v>
      </c>
      <c r="I969" s="22" t="s">
        <v>8225</v>
      </c>
      <c r="J969" s="31" t="n">
        <v>19.4</v>
      </c>
      <c r="K969" s="26" t="n">
        <v>465.17</v>
      </c>
      <c r="L969" s="26" t="n">
        <v>119.27</v>
      </c>
      <c r="M969" s="22" t="s">
        <v>3066</v>
      </c>
      <c r="N969" s="22" t="n">
        <f aca="false">MATCH(M969,'Tabela Passaro'!$A$2:$A$1795,0)</f>
        <v>704</v>
      </c>
      <c r="O969" s="22" t="str">
        <f aca="false">INDEX('Tabela Passaro'!$C$2:$C$1795,$N969)</f>
        <v>SAO LUIS</v>
      </c>
      <c r="P969" s="22" t="str">
        <f aca="false">INDEX('Tabela Passaro'!$B$2:$B$1795,$N969)</f>
        <v>MA</v>
      </c>
      <c r="Q969" s="22" t="n">
        <f aca="false">INDEX('Tabela Passaro'!$F$2:$F$1795,$N969)</f>
        <v>11</v>
      </c>
      <c r="R969" s="32" t="n">
        <f aca="false">IF(J969&lt;=10,INDEX('Tabela Passaro'!$G$2:$G$1795,$N969),IF(J969&lt;=30,INDEX('Tabela Passaro'!$H$2:$H$1795,$N969),IF(J969&lt;=50,INDEX('Tabela Passaro'!$I$2:$I$1795,$N969),IF(J969&lt;=70,INDEX('Tabela Passaro'!$J$2:$J$1795,$N969),IF(J969&lt;=100,INDEX('Tabela Passaro'!$K$2:$K$1795,$N969),INDEX('Tabela Passaro'!$K$2:$K$1795,$N969)+(J969-100)*INDEX('Tabela Passaro'!$L$2:$L$1795,$N969))))))</f>
        <v>197.38</v>
      </c>
      <c r="S969" s="32" t="n">
        <f aca="false">K969*INDEX('Tabela Passaro'!$M$2:$M$1795,$N969)</f>
        <v>2.32585</v>
      </c>
      <c r="T969" s="32" t="n">
        <f aca="false">K969*INDEX('Tabela Passaro'!$N$2:$N$1795,$N969)</f>
        <v>0.93034</v>
      </c>
      <c r="U969" s="32" t="n">
        <f aca="false">INDEX('Tabela Passaro'!$O$2:$O$1795,$N969)</f>
        <v>5</v>
      </c>
      <c r="V969" s="32" t="n">
        <f aca="false">ROUNDUP(J969/INDEX('Tabela Passaro'!$Q$2:$Q$1795,$N969),0)*INDEX('Tabela Passaro'!$P$2:$P$1795,$N969)</f>
        <v>5</v>
      </c>
      <c r="W969" s="32" t="n">
        <f aca="false">INDEX('Tabela Passaro'!$R$2:$R$1795,$N969)</f>
        <v>30</v>
      </c>
      <c r="X969" s="32" t="n">
        <f aca="false">ROUNDUP(J969/INDEX('Tabela Passaro'!$T$2:$T$1795,$N969),0)*INDEX('Tabela Passaro'!$S$2:$S$1795,$N969)</f>
        <v>0</v>
      </c>
      <c r="Y969" s="32" t="n">
        <f aca="false">INDEX('Tabela Passaro'!$U$2:$U$1795,$N969)</f>
        <v>0</v>
      </c>
      <c r="Z969" s="32" t="n">
        <f aca="false">INDEX('Tabela Passaro'!$V$2:$V$1795,$N969)</f>
        <v>0</v>
      </c>
      <c r="AA969" s="32" t="n">
        <f aca="false">SUM(R969:Z969)</f>
        <v>240.63619</v>
      </c>
      <c r="AB969" s="33" t="n">
        <f aca="false">INDEX(Premissas!$B$5:$B$13,MATCH(A969,Premissas!$A$5:$A$13,0))</f>
        <v>0.07</v>
      </c>
      <c r="AC969" s="32" t="n">
        <f aca="false">AA969/(1-AB969)-AA969</f>
        <v>18.1124013978495</v>
      </c>
      <c r="AD969" s="32" t="n">
        <f aca="false">ROUND(AA969+AC969,2)</f>
        <v>258.75</v>
      </c>
      <c r="AE969" s="32" t="n">
        <f aca="false">AD969-L969</f>
        <v>139.48</v>
      </c>
      <c r="AF969" s="34" t="n">
        <f aca="false">IF(L969=0,0,AE969/L969)</f>
        <v>1.16944747212208</v>
      </c>
      <c r="AG969" s="22" t="str">
        <f aca="false">IF(AD969&lt;L969,"PASSARO","ATUAL")</f>
        <v>ATUAL</v>
      </c>
      <c r="AH969" s="22" t="str">
        <f aca="false">IF(P969&lt;&gt;A969,"Faixa cadastrada como "&amp;P969&amp;" na tabela; preço aplicado pela UF do CEP","")</f>
        <v/>
      </c>
      <c r="AI969" s="26" t="n">
        <v>285.97</v>
      </c>
      <c r="AJ969" s="22" t="str">
        <f aca="false">INDEX('Tabela Passaro'!$X$2:$X$1795,$N969)</f>
        <v>CAPITAL</v>
      </c>
    </row>
    <row r="970" customFormat="false" ht="15" hidden="false" customHeight="false" outlineLevel="0" collapsed="false">
      <c r="A970" s="22" t="s">
        <v>18</v>
      </c>
      <c r="B970" s="22" t="n">
        <v>1</v>
      </c>
      <c r="C970" s="22" t="s">
        <v>112</v>
      </c>
      <c r="D970" s="22" t="s">
        <v>30</v>
      </c>
      <c r="E970" s="22" t="s">
        <v>7328</v>
      </c>
      <c r="F970" s="22" t="n">
        <v>2315629</v>
      </c>
      <c r="G970" s="30" t="n">
        <v>46258</v>
      </c>
      <c r="H970" s="22" t="n">
        <v>134356</v>
      </c>
      <c r="I970" s="22" t="s">
        <v>8226</v>
      </c>
      <c r="J970" s="31" t="n">
        <v>29.97</v>
      </c>
      <c r="K970" s="26" t="n">
        <v>550.66</v>
      </c>
      <c r="L970" s="26" t="n">
        <v>129.9</v>
      </c>
      <c r="M970" s="22" t="s">
        <v>3066</v>
      </c>
      <c r="N970" s="22" t="n">
        <f aca="false">MATCH(M970,'Tabela Passaro'!$A$2:$A$1795,0)</f>
        <v>704</v>
      </c>
      <c r="O970" s="22" t="str">
        <f aca="false">INDEX('Tabela Passaro'!$C$2:$C$1795,$N970)</f>
        <v>SAO LUIS</v>
      </c>
      <c r="P970" s="22" t="str">
        <f aca="false">INDEX('Tabela Passaro'!$B$2:$B$1795,$N970)</f>
        <v>MA</v>
      </c>
      <c r="Q970" s="22" t="n">
        <f aca="false">INDEX('Tabela Passaro'!$F$2:$F$1795,$N970)</f>
        <v>11</v>
      </c>
      <c r="R970" s="32" t="n">
        <f aca="false">IF(J970&lt;=10,INDEX('Tabela Passaro'!$G$2:$G$1795,$N970),IF(J970&lt;=30,INDEX('Tabela Passaro'!$H$2:$H$1795,$N970),IF(J970&lt;=50,INDEX('Tabela Passaro'!$I$2:$I$1795,$N970),IF(J970&lt;=70,INDEX('Tabela Passaro'!$J$2:$J$1795,$N970),IF(J970&lt;=100,INDEX('Tabela Passaro'!$K$2:$K$1795,$N970),INDEX('Tabela Passaro'!$K$2:$K$1795,$N970)+(J970-100)*INDEX('Tabela Passaro'!$L$2:$L$1795,$N970))))))</f>
        <v>197.38</v>
      </c>
      <c r="S970" s="32" t="n">
        <f aca="false">K970*INDEX('Tabela Passaro'!$M$2:$M$1795,$N970)</f>
        <v>2.7533</v>
      </c>
      <c r="T970" s="32" t="n">
        <f aca="false">K970*INDEX('Tabela Passaro'!$N$2:$N$1795,$N970)</f>
        <v>1.10132</v>
      </c>
      <c r="U970" s="32" t="n">
        <f aca="false">INDEX('Tabela Passaro'!$O$2:$O$1795,$N970)</f>
        <v>5</v>
      </c>
      <c r="V970" s="32" t="n">
        <f aca="false">ROUNDUP(J970/INDEX('Tabela Passaro'!$Q$2:$Q$1795,$N970),0)*INDEX('Tabela Passaro'!$P$2:$P$1795,$N970)</f>
        <v>5</v>
      </c>
      <c r="W970" s="32" t="n">
        <f aca="false">INDEX('Tabela Passaro'!$R$2:$R$1795,$N970)</f>
        <v>30</v>
      </c>
      <c r="X970" s="32" t="n">
        <f aca="false">ROUNDUP(J970/INDEX('Tabela Passaro'!$T$2:$T$1795,$N970),0)*INDEX('Tabela Passaro'!$S$2:$S$1795,$N970)</f>
        <v>0</v>
      </c>
      <c r="Y970" s="32" t="n">
        <f aca="false">INDEX('Tabela Passaro'!$U$2:$U$1795,$N970)</f>
        <v>0</v>
      </c>
      <c r="Z970" s="32" t="n">
        <f aca="false">INDEX('Tabela Passaro'!$V$2:$V$1795,$N970)</f>
        <v>0</v>
      </c>
      <c r="AA970" s="32" t="n">
        <f aca="false">SUM(R970:Z970)</f>
        <v>241.23462</v>
      </c>
      <c r="AB970" s="33" t="n">
        <f aca="false">INDEX(Premissas!$B$5:$B$13,MATCH(A970,Premissas!$A$5:$A$13,0))</f>
        <v>0.07</v>
      </c>
      <c r="AC970" s="32" t="n">
        <f aca="false">AA970/(1-AB970)-AA970</f>
        <v>18.157444516129</v>
      </c>
      <c r="AD970" s="32" t="n">
        <f aca="false">ROUND(AA970+AC970,2)</f>
        <v>259.39</v>
      </c>
      <c r="AE970" s="32" t="n">
        <f aca="false">AD970-L970</f>
        <v>129.49</v>
      </c>
      <c r="AF970" s="34" t="n">
        <f aca="false">IF(L970=0,0,AE970/L970)</f>
        <v>0.996843725943033</v>
      </c>
      <c r="AG970" s="22" t="str">
        <f aca="false">IF(AD970&lt;L970,"PASSARO","ATUAL")</f>
        <v>ATUAL</v>
      </c>
      <c r="AH970" s="22" t="str">
        <f aca="false">IF(P970&lt;&gt;A970,"Faixa cadastrada como "&amp;P970&amp;" na tabela; preço aplicado pela UF do CEP","")</f>
        <v/>
      </c>
      <c r="AI970" s="26" t="n">
        <v>291.64</v>
      </c>
      <c r="AJ970" s="22" t="str">
        <f aca="false">INDEX('Tabela Passaro'!$X$2:$X$1795,$N970)</f>
        <v>CAPITAL</v>
      </c>
    </row>
    <row r="971" customFormat="false" ht="15" hidden="false" customHeight="false" outlineLevel="0" collapsed="false">
      <c r="A971" s="22" t="s">
        <v>18</v>
      </c>
      <c r="B971" s="22" t="n">
        <v>1</v>
      </c>
      <c r="C971" s="22" t="s">
        <v>112</v>
      </c>
      <c r="D971" s="22" t="s">
        <v>30</v>
      </c>
      <c r="E971" s="22" t="s">
        <v>7328</v>
      </c>
      <c r="F971" s="22" t="n">
        <v>2315659</v>
      </c>
      <c r="G971" s="30" t="n">
        <v>46258</v>
      </c>
      <c r="H971" s="22" t="n">
        <v>134386</v>
      </c>
      <c r="I971" s="22" t="s">
        <v>8227</v>
      </c>
      <c r="J971" s="31" t="n">
        <v>46.8</v>
      </c>
      <c r="K971" s="26" t="n">
        <v>581.35</v>
      </c>
      <c r="L971" s="26" t="n">
        <v>171.29</v>
      </c>
      <c r="M971" s="22" t="s">
        <v>3066</v>
      </c>
      <c r="N971" s="22" t="n">
        <f aca="false">MATCH(M971,'Tabela Passaro'!$A$2:$A$1795,0)</f>
        <v>704</v>
      </c>
      <c r="O971" s="22" t="str">
        <f aca="false">INDEX('Tabela Passaro'!$C$2:$C$1795,$N971)</f>
        <v>SAO LUIS</v>
      </c>
      <c r="P971" s="22" t="str">
        <f aca="false">INDEX('Tabela Passaro'!$B$2:$B$1795,$N971)</f>
        <v>MA</v>
      </c>
      <c r="Q971" s="22" t="n">
        <f aca="false">INDEX('Tabela Passaro'!$F$2:$F$1795,$N971)</f>
        <v>11</v>
      </c>
      <c r="R971" s="32" t="n">
        <f aca="false">IF(J971&lt;=10,INDEX('Tabela Passaro'!$G$2:$G$1795,$N971),IF(J971&lt;=30,INDEX('Tabela Passaro'!$H$2:$H$1795,$N971),IF(J971&lt;=50,INDEX('Tabela Passaro'!$I$2:$I$1795,$N971),IF(J971&lt;=70,INDEX('Tabela Passaro'!$J$2:$J$1795,$N971),IF(J971&lt;=100,INDEX('Tabela Passaro'!$K$2:$K$1795,$N971),INDEX('Tabela Passaro'!$K$2:$K$1795,$N971)+(J971-100)*INDEX('Tabela Passaro'!$L$2:$L$1795,$N971))))))</f>
        <v>219.51</v>
      </c>
      <c r="S971" s="32" t="n">
        <f aca="false">K971*INDEX('Tabela Passaro'!$M$2:$M$1795,$N971)</f>
        <v>2.90675</v>
      </c>
      <c r="T971" s="32" t="n">
        <f aca="false">K971*INDEX('Tabela Passaro'!$N$2:$N$1795,$N971)</f>
        <v>1.1627</v>
      </c>
      <c r="U971" s="32" t="n">
        <f aca="false">INDEX('Tabela Passaro'!$O$2:$O$1795,$N971)</f>
        <v>5</v>
      </c>
      <c r="V971" s="32" t="n">
        <f aca="false">ROUNDUP(J971/INDEX('Tabela Passaro'!$Q$2:$Q$1795,$N971),0)*INDEX('Tabela Passaro'!$P$2:$P$1795,$N971)</f>
        <v>5</v>
      </c>
      <c r="W971" s="32" t="n">
        <f aca="false">INDEX('Tabela Passaro'!$R$2:$R$1795,$N971)</f>
        <v>30</v>
      </c>
      <c r="X971" s="32" t="n">
        <f aca="false">ROUNDUP(J971/INDEX('Tabela Passaro'!$T$2:$T$1795,$N971),0)*INDEX('Tabela Passaro'!$S$2:$S$1795,$N971)</f>
        <v>0</v>
      </c>
      <c r="Y971" s="32" t="n">
        <f aca="false">INDEX('Tabela Passaro'!$U$2:$U$1795,$N971)</f>
        <v>0</v>
      </c>
      <c r="Z971" s="32" t="n">
        <f aca="false">INDEX('Tabela Passaro'!$V$2:$V$1795,$N971)</f>
        <v>0</v>
      </c>
      <c r="AA971" s="32" t="n">
        <f aca="false">SUM(R971:Z971)</f>
        <v>263.57945</v>
      </c>
      <c r="AB971" s="33" t="n">
        <f aca="false">INDEX(Premissas!$B$5:$B$13,MATCH(A971,Premissas!$A$5:$A$13,0))</f>
        <v>0.07</v>
      </c>
      <c r="AC971" s="32" t="n">
        <f aca="false">AA971/(1-AB971)-AA971</f>
        <v>19.8393134408602</v>
      </c>
      <c r="AD971" s="32" t="n">
        <f aca="false">ROUND(AA971+AC971,2)</f>
        <v>283.42</v>
      </c>
      <c r="AE971" s="32" t="n">
        <f aca="false">AD971-L971</f>
        <v>112.13</v>
      </c>
      <c r="AF971" s="34" t="n">
        <f aca="false">IF(L971=0,0,AE971/L971)</f>
        <v>0.65462081849495</v>
      </c>
      <c r="AG971" s="22" t="str">
        <f aca="false">IF(AD971&lt;L971,"PASSARO","ATUAL")</f>
        <v>ATUAL</v>
      </c>
      <c r="AH971" s="22" t="str">
        <f aca="false">IF(P971&lt;&gt;A971,"Faixa cadastrada como "&amp;P971&amp;" na tabela; preço aplicado pela UF do CEP","")</f>
        <v/>
      </c>
      <c r="AI971" s="26" t="n">
        <v>325.22</v>
      </c>
      <c r="AJ971" s="22" t="str">
        <f aca="false">INDEX('Tabela Passaro'!$X$2:$X$1795,$N971)</f>
        <v>CAPITAL</v>
      </c>
    </row>
    <row r="972" customFormat="false" ht="15" hidden="false" customHeight="false" outlineLevel="0" collapsed="false">
      <c r="A972" s="22" t="s">
        <v>18</v>
      </c>
      <c r="B972" s="22" t="n">
        <v>1</v>
      </c>
      <c r="C972" s="22" t="s">
        <v>112</v>
      </c>
      <c r="D972" s="22" t="s">
        <v>30</v>
      </c>
      <c r="E972" s="22" t="s">
        <v>7328</v>
      </c>
      <c r="F972" s="22" t="n">
        <v>2315694</v>
      </c>
      <c r="G972" s="30" t="n">
        <v>46258</v>
      </c>
      <c r="H972" s="22" t="n">
        <v>134419</v>
      </c>
      <c r="I972" s="22" t="s">
        <v>8228</v>
      </c>
      <c r="J972" s="31" t="n">
        <v>40.6</v>
      </c>
      <c r="K972" s="26" t="n">
        <v>772.81</v>
      </c>
      <c r="L972" s="26" t="n">
        <v>172.8</v>
      </c>
      <c r="M972" s="22" t="s">
        <v>3066</v>
      </c>
      <c r="N972" s="22" t="n">
        <f aca="false">MATCH(M972,'Tabela Passaro'!$A$2:$A$1795,0)</f>
        <v>704</v>
      </c>
      <c r="O972" s="22" t="str">
        <f aca="false">INDEX('Tabela Passaro'!$C$2:$C$1795,$N972)</f>
        <v>SAO LUIS</v>
      </c>
      <c r="P972" s="22" t="str">
        <f aca="false">INDEX('Tabela Passaro'!$B$2:$B$1795,$N972)</f>
        <v>MA</v>
      </c>
      <c r="Q972" s="22" t="n">
        <f aca="false">INDEX('Tabela Passaro'!$F$2:$F$1795,$N972)</f>
        <v>11</v>
      </c>
      <c r="R972" s="32" t="n">
        <f aca="false">IF(J972&lt;=10,INDEX('Tabela Passaro'!$G$2:$G$1795,$N972),IF(J972&lt;=30,INDEX('Tabela Passaro'!$H$2:$H$1795,$N972),IF(J972&lt;=50,INDEX('Tabela Passaro'!$I$2:$I$1795,$N972),IF(J972&lt;=70,INDEX('Tabela Passaro'!$J$2:$J$1795,$N972),IF(J972&lt;=100,INDEX('Tabela Passaro'!$K$2:$K$1795,$N972),INDEX('Tabela Passaro'!$K$2:$K$1795,$N972)+(J972-100)*INDEX('Tabela Passaro'!$L$2:$L$1795,$N972))))))</f>
        <v>219.51</v>
      </c>
      <c r="S972" s="32" t="n">
        <f aca="false">K972*INDEX('Tabela Passaro'!$M$2:$M$1795,$N972)</f>
        <v>3.86405</v>
      </c>
      <c r="T972" s="32" t="n">
        <f aca="false">K972*INDEX('Tabela Passaro'!$N$2:$N$1795,$N972)</f>
        <v>1.54562</v>
      </c>
      <c r="U972" s="32" t="n">
        <f aca="false">INDEX('Tabela Passaro'!$O$2:$O$1795,$N972)</f>
        <v>5</v>
      </c>
      <c r="V972" s="32" t="n">
        <f aca="false">ROUNDUP(J972/INDEX('Tabela Passaro'!$Q$2:$Q$1795,$N972),0)*INDEX('Tabela Passaro'!$P$2:$P$1795,$N972)</f>
        <v>5</v>
      </c>
      <c r="W972" s="32" t="n">
        <f aca="false">INDEX('Tabela Passaro'!$R$2:$R$1795,$N972)</f>
        <v>30</v>
      </c>
      <c r="X972" s="32" t="n">
        <f aca="false">ROUNDUP(J972/INDEX('Tabela Passaro'!$T$2:$T$1795,$N972),0)*INDEX('Tabela Passaro'!$S$2:$S$1795,$N972)</f>
        <v>0</v>
      </c>
      <c r="Y972" s="32" t="n">
        <f aca="false">INDEX('Tabela Passaro'!$U$2:$U$1795,$N972)</f>
        <v>0</v>
      </c>
      <c r="Z972" s="32" t="n">
        <f aca="false">INDEX('Tabela Passaro'!$V$2:$V$1795,$N972)</f>
        <v>0</v>
      </c>
      <c r="AA972" s="32" t="n">
        <f aca="false">SUM(R972:Z972)</f>
        <v>264.91967</v>
      </c>
      <c r="AB972" s="33" t="n">
        <f aca="false">INDEX(Premissas!$B$5:$B$13,MATCH(A972,Premissas!$A$5:$A$13,0))</f>
        <v>0.07</v>
      </c>
      <c r="AC972" s="32" t="n">
        <f aca="false">AA972/(1-AB972)-AA972</f>
        <v>19.9401902150538</v>
      </c>
      <c r="AD972" s="32" t="n">
        <f aca="false">ROUND(AA972+AC972,2)</f>
        <v>284.86</v>
      </c>
      <c r="AE972" s="32" t="n">
        <f aca="false">AD972-L972</f>
        <v>112.06</v>
      </c>
      <c r="AF972" s="34" t="n">
        <f aca="false">IF(L972=0,0,AE972/L972)</f>
        <v>0.64849537037037</v>
      </c>
      <c r="AG972" s="22" t="str">
        <f aca="false">IF(AD972&lt;L972,"PASSARO","ATUAL")</f>
        <v>ATUAL</v>
      </c>
      <c r="AH972" s="22" t="str">
        <f aca="false">IF(P972&lt;&gt;A972,"Faixa cadastrada como "&amp;P972&amp;" na tabela; preço aplicado pela UF do CEP","")</f>
        <v/>
      </c>
      <c r="AI972" s="26" t="n">
        <v>324.17</v>
      </c>
      <c r="AJ972" s="22" t="str">
        <f aca="false">INDEX('Tabela Passaro'!$X$2:$X$1795,$N972)</f>
        <v>CAPITAL</v>
      </c>
    </row>
    <row r="973" customFormat="false" ht="15" hidden="false" customHeight="false" outlineLevel="0" collapsed="false">
      <c r="A973" s="22" t="s">
        <v>18</v>
      </c>
      <c r="B973" s="22" t="n">
        <v>1</v>
      </c>
      <c r="C973" s="22" t="s">
        <v>112</v>
      </c>
      <c r="D973" s="22" t="s">
        <v>30</v>
      </c>
      <c r="E973" s="22" t="s">
        <v>7328</v>
      </c>
      <c r="F973" s="22" t="n">
        <v>2315701</v>
      </c>
      <c r="G973" s="30" t="n">
        <v>46258</v>
      </c>
      <c r="H973" s="22" t="n">
        <v>134427</v>
      </c>
      <c r="I973" s="22" t="s">
        <v>8229</v>
      </c>
      <c r="J973" s="31" t="n">
        <v>59.8</v>
      </c>
      <c r="K973" s="26" t="n">
        <v>1117.59</v>
      </c>
      <c r="L973" s="26" t="n">
        <v>211.4</v>
      </c>
      <c r="M973" s="22" t="s">
        <v>3066</v>
      </c>
      <c r="N973" s="22" t="n">
        <f aca="false">MATCH(M973,'Tabela Passaro'!$A$2:$A$1795,0)</f>
        <v>704</v>
      </c>
      <c r="O973" s="22" t="str">
        <f aca="false">INDEX('Tabela Passaro'!$C$2:$C$1795,$N973)</f>
        <v>SAO LUIS</v>
      </c>
      <c r="P973" s="22" t="str">
        <f aca="false">INDEX('Tabela Passaro'!$B$2:$B$1795,$N973)</f>
        <v>MA</v>
      </c>
      <c r="Q973" s="22" t="n">
        <f aca="false">INDEX('Tabela Passaro'!$F$2:$F$1795,$N973)</f>
        <v>11</v>
      </c>
      <c r="R973" s="32" t="n">
        <f aca="false">IF(J973&lt;=10,INDEX('Tabela Passaro'!$G$2:$G$1795,$N973),IF(J973&lt;=30,INDEX('Tabela Passaro'!$H$2:$H$1795,$N973),IF(J973&lt;=50,INDEX('Tabela Passaro'!$I$2:$I$1795,$N973),IF(J973&lt;=70,INDEX('Tabela Passaro'!$J$2:$J$1795,$N973),IF(J973&lt;=100,INDEX('Tabela Passaro'!$K$2:$K$1795,$N973),INDEX('Tabela Passaro'!$K$2:$K$1795,$N973)+(J973-100)*INDEX('Tabela Passaro'!$L$2:$L$1795,$N973))))))</f>
        <v>236.11</v>
      </c>
      <c r="S973" s="32" t="n">
        <f aca="false">K973*INDEX('Tabela Passaro'!$M$2:$M$1795,$N973)</f>
        <v>5.58795</v>
      </c>
      <c r="T973" s="32" t="n">
        <f aca="false">K973*INDEX('Tabela Passaro'!$N$2:$N$1795,$N973)</f>
        <v>2.23518</v>
      </c>
      <c r="U973" s="32" t="n">
        <f aca="false">INDEX('Tabela Passaro'!$O$2:$O$1795,$N973)</f>
        <v>5</v>
      </c>
      <c r="V973" s="32" t="n">
        <f aca="false">ROUNDUP(J973/INDEX('Tabela Passaro'!$Q$2:$Q$1795,$N973),0)*INDEX('Tabela Passaro'!$P$2:$P$1795,$N973)</f>
        <v>5</v>
      </c>
      <c r="W973" s="32" t="n">
        <f aca="false">INDEX('Tabela Passaro'!$R$2:$R$1795,$N973)</f>
        <v>30</v>
      </c>
      <c r="X973" s="32" t="n">
        <f aca="false">ROUNDUP(J973/INDEX('Tabela Passaro'!$T$2:$T$1795,$N973),0)*INDEX('Tabela Passaro'!$S$2:$S$1795,$N973)</f>
        <v>0</v>
      </c>
      <c r="Y973" s="32" t="n">
        <f aca="false">INDEX('Tabela Passaro'!$U$2:$U$1795,$N973)</f>
        <v>0</v>
      </c>
      <c r="Z973" s="32" t="n">
        <f aca="false">INDEX('Tabela Passaro'!$V$2:$V$1795,$N973)</f>
        <v>0</v>
      </c>
      <c r="AA973" s="32" t="n">
        <f aca="false">SUM(R973:Z973)</f>
        <v>283.93313</v>
      </c>
      <c r="AB973" s="33" t="n">
        <f aca="false">INDEX(Premissas!$B$5:$B$13,MATCH(A973,Premissas!$A$5:$A$13,0))</f>
        <v>0.07</v>
      </c>
      <c r="AC973" s="32" t="n">
        <f aca="false">AA973/(1-AB973)-AA973</f>
        <v>21.3713108602151</v>
      </c>
      <c r="AD973" s="32" t="n">
        <f aca="false">ROUND(AA973+AC973,2)</f>
        <v>305.3</v>
      </c>
      <c r="AE973" s="32" t="n">
        <f aca="false">AD973-L973</f>
        <v>93.9</v>
      </c>
      <c r="AF973" s="34" t="n">
        <f aca="false">IF(L973=0,0,AE973/L973)</f>
        <v>0.444181646168401</v>
      </c>
      <c r="AG973" s="22" t="str">
        <f aca="false">IF(AD973&lt;L973,"PASSARO","ATUAL")</f>
        <v>ATUAL</v>
      </c>
      <c r="AH973" s="22" t="str">
        <f aca="false">IF(P973&lt;&gt;A973,"Faixa cadastrada como "&amp;P973&amp;" na tabela; preço aplicado pela UF do CEP","")</f>
        <v/>
      </c>
      <c r="AI973" s="26" t="n">
        <v>355.48</v>
      </c>
      <c r="AJ973" s="22" t="str">
        <f aca="false">INDEX('Tabela Passaro'!$X$2:$X$1795,$N973)</f>
        <v>CAPITAL</v>
      </c>
    </row>
    <row r="974" customFormat="false" ht="15" hidden="false" customHeight="false" outlineLevel="0" collapsed="false">
      <c r="A974" s="22" t="s">
        <v>18</v>
      </c>
      <c r="B974" s="22" t="n">
        <v>1</v>
      </c>
      <c r="C974" s="22" t="s">
        <v>112</v>
      </c>
      <c r="D974" s="22" t="s">
        <v>30</v>
      </c>
      <c r="E974" s="22" t="s">
        <v>7328</v>
      </c>
      <c r="F974" s="22" t="n">
        <v>2315699</v>
      </c>
      <c r="G974" s="30" t="n">
        <v>46258</v>
      </c>
      <c r="H974" s="22" t="n">
        <v>134428</v>
      </c>
      <c r="I974" s="22" t="s">
        <v>8230</v>
      </c>
      <c r="J974" s="31" t="n">
        <v>51.06</v>
      </c>
      <c r="K974" s="26" t="n">
        <v>912.78</v>
      </c>
      <c r="L974" s="26" t="n">
        <v>209.78</v>
      </c>
      <c r="M974" s="22" t="s">
        <v>3066</v>
      </c>
      <c r="N974" s="22" t="n">
        <f aca="false">MATCH(M974,'Tabela Passaro'!$A$2:$A$1795,0)</f>
        <v>704</v>
      </c>
      <c r="O974" s="22" t="str">
        <f aca="false">INDEX('Tabela Passaro'!$C$2:$C$1795,$N974)</f>
        <v>SAO LUIS</v>
      </c>
      <c r="P974" s="22" t="str">
        <f aca="false">INDEX('Tabela Passaro'!$B$2:$B$1795,$N974)</f>
        <v>MA</v>
      </c>
      <c r="Q974" s="22" t="n">
        <f aca="false">INDEX('Tabela Passaro'!$F$2:$F$1795,$N974)</f>
        <v>11</v>
      </c>
      <c r="R974" s="32" t="n">
        <f aca="false">IF(J974&lt;=10,INDEX('Tabela Passaro'!$G$2:$G$1795,$N974),IF(J974&lt;=30,INDEX('Tabela Passaro'!$H$2:$H$1795,$N974),IF(J974&lt;=50,INDEX('Tabela Passaro'!$I$2:$I$1795,$N974),IF(J974&lt;=70,INDEX('Tabela Passaro'!$J$2:$J$1795,$N974),IF(J974&lt;=100,INDEX('Tabela Passaro'!$K$2:$K$1795,$N974),INDEX('Tabela Passaro'!$K$2:$K$1795,$N974)+(J974-100)*INDEX('Tabela Passaro'!$L$2:$L$1795,$N974))))))</f>
        <v>236.11</v>
      </c>
      <c r="S974" s="32" t="n">
        <f aca="false">K974*INDEX('Tabela Passaro'!$M$2:$M$1795,$N974)</f>
        <v>4.5639</v>
      </c>
      <c r="T974" s="32" t="n">
        <f aca="false">K974*INDEX('Tabela Passaro'!$N$2:$N$1795,$N974)</f>
        <v>1.82556</v>
      </c>
      <c r="U974" s="32" t="n">
        <f aca="false">INDEX('Tabela Passaro'!$O$2:$O$1795,$N974)</f>
        <v>5</v>
      </c>
      <c r="V974" s="32" t="n">
        <f aca="false">ROUNDUP(J974/INDEX('Tabela Passaro'!$Q$2:$Q$1795,$N974),0)*INDEX('Tabela Passaro'!$P$2:$P$1795,$N974)</f>
        <v>5</v>
      </c>
      <c r="W974" s="32" t="n">
        <f aca="false">INDEX('Tabela Passaro'!$R$2:$R$1795,$N974)</f>
        <v>30</v>
      </c>
      <c r="X974" s="32" t="n">
        <f aca="false">ROUNDUP(J974/INDEX('Tabela Passaro'!$T$2:$T$1795,$N974),0)*INDEX('Tabela Passaro'!$S$2:$S$1795,$N974)</f>
        <v>0</v>
      </c>
      <c r="Y974" s="32" t="n">
        <f aca="false">INDEX('Tabela Passaro'!$U$2:$U$1795,$N974)</f>
        <v>0</v>
      </c>
      <c r="Z974" s="32" t="n">
        <f aca="false">INDEX('Tabela Passaro'!$V$2:$V$1795,$N974)</f>
        <v>0</v>
      </c>
      <c r="AA974" s="32" t="n">
        <f aca="false">SUM(R974:Z974)</f>
        <v>282.49946</v>
      </c>
      <c r="AB974" s="33" t="n">
        <f aca="false">INDEX(Premissas!$B$5:$B$13,MATCH(A974,Premissas!$A$5:$A$13,0))</f>
        <v>0.07</v>
      </c>
      <c r="AC974" s="32" t="n">
        <f aca="false">AA974/(1-AB974)-AA974</f>
        <v>21.2634002150538</v>
      </c>
      <c r="AD974" s="32" t="n">
        <f aca="false">ROUND(AA974+AC974,2)</f>
        <v>303.76</v>
      </c>
      <c r="AE974" s="32" t="n">
        <f aca="false">AD974-L974</f>
        <v>93.98</v>
      </c>
      <c r="AF974" s="34" t="n">
        <f aca="false">IF(L974=0,0,AE974/L974)</f>
        <v>0.447993135665936</v>
      </c>
      <c r="AG974" s="22" t="str">
        <f aca="false">IF(AD974&lt;L974,"PASSARO","ATUAL")</f>
        <v>ATUAL</v>
      </c>
      <c r="AH974" s="22" t="str">
        <f aca="false">IF(P974&lt;&gt;A974,"Faixa cadastrada como "&amp;P974&amp;" na tabela; preço aplicado pela UF do CEP","")</f>
        <v/>
      </c>
      <c r="AI974" s="26" t="n">
        <v>349.63</v>
      </c>
      <c r="AJ974" s="22" t="str">
        <f aca="false">INDEX('Tabela Passaro'!$X$2:$X$1795,$N974)</f>
        <v>CAPITAL</v>
      </c>
    </row>
    <row r="975" customFormat="false" ht="15" hidden="false" customHeight="false" outlineLevel="0" collapsed="false">
      <c r="A975" s="22" t="s">
        <v>18</v>
      </c>
      <c r="B975" s="22" t="n">
        <v>1</v>
      </c>
      <c r="C975" s="22" t="s">
        <v>112</v>
      </c>
      <c r="D975" s="22" t="s">
        <v>30</v>
      </c>
      <c r="E975" s="22" t="s">
        <v>7328</v>
      </c>
      <c r="F975" s="22" t="n">
        <v>2315709</v>
      </c>
      <c r="G975" s="30" t="n">
        <v>46258</v>
      </c>
      <c r="H975" s="22" t="n">
        <v>134435</v>
      </c>
      <c r="I975" s="22" t="s">
        <v>8231</v>
      </c>
      <c r="J975" s="31" t="n">
        <v>69</v>
      </c>
      <c r="K975" s="26" t="n">
        <v>1007.03</v>
      </c>
      <c r="L975" s="26" t="n">
        <v>210.54</v>
      </c>
      <c r="M975" s="22" t="s">
        <v>3066</v>
      </c>
      <c r="N975" s="22" t="n">
        <f aca="false">MATCH(M975,'Tabela Passaro'!$A$2:$A$1795,0)</f>
        <v>704</v>
      </c>
      <c r="O975" s="22" t="str">
        <f aca="false">INDEX('Tabela Passaro'!$C$2:$C$1795,$N975)</f>
        <v>SAO LUIS</v>
      </c>
      <c r="P975" s="22" t="str">
        <f aca="false">INDEX('Tabela Passaro'!$B$2:$B$1795,$N975)</f>
        <v>MA</v>
      </c>
      <c r="Q975" s="22" t="n">
        <f aca="false">INDEX('Tabela Passaro'!$F$2:$F$1795,$N975)</f>
        <v>11</v>
      </c>
      <c r="R975" s="32" t="n">
        <f aca="false">IF(J975&lt;=10,INDEX('Tabela Passaro'!$G$2:$G$1795,$N975),IF(J975&lt;=30,INDEX('Tabela Passaro'!$H$2:$H$1795,$N975),IF(J975&lt;=50,INDEX('Tabela Passaro'!$I$2:$I$1795,$N975),IF(J975&lt;=70,INDEX('Tabela Passaro'!$J$2:$J$1795,$N975),IF(J975&lt;=100,INDEX('Tabela Passaro'!$K$2:$K$1795,$N975),INDEX('Tabela Passaro'!$K$2:$K$1795,$N975)+(J975-100)*INDEX('Tabela Passaro'!$L$2:$L$1795,$N975))))))</f>
        <v>236.11</v>
      </c>
      <c r="S975" s="32" t="n">
        <f aca="false">K975*INDEX('Tabela Passaro'!$M$2:$M$1795,$N975)</f>
        <v>5.03515</v>
      </c>
      <c r="T975" s="32" t="n">
        <f aca="false">K975*INDEX('Tabela Passaro'!$N$2:$N$1795,$N975)</f>
        <v>2.01406</v>
      </c>
      <c r="U975" s="32" t="n">
        <f aca="false">INDEX('Tabela Passaro'!$O$2:$O$1795,$N975)</f>
        <v>5</v>
      </c>
      <c r="V975" s="32" t="n">
        <f aca="false">ROUNDUP(J975/INDEX('Tabela Passaro'!$Q$2:$Q$1795,$N975),0)*INDEX('Tabela Passaro'!$P$2:$P$1795,$N975)</f>
        <v>5</v>
      </c>
      <c r="W975" s="32" t="n">
        <f aca="false">INDEX('Tabela Passaro'!$R$2:$R$1795,$N975)</f>
        <v>30</v>
      </c>
      <c r="X975" s="32" t="n">
        <f aca="false">ROUNDUP(J975/INDEX('Tabela Passaro'!$T$2:$T$1795,$N975),0)*INDEX('Tabela Passaro'!$S$2:$S$1795,$N975)</f>
        <v>0</v>
      </c>
      <c r="Y975" s="32" t="n">
        <f aca="false">INDEX('Tabela Passaro'!$U$2:$U$1795,$N975)</f>
        <v>0</v>
      </c>
      <c r="Z975" s="32" t="n">
        <f aca="false">INDEX('Tabela Passaro'!$V$2:$V$1795,$N975)</f>
        <v>0</v>
      </c>
      <c r="AA975" s="32" t="n">
        <f aca="false">SUM(R975:Z975)</f>
        <v>283.15921</v>
      </c>
      <c r="AB975" s="33" t="n">
        <f aca="false">INDEX(Premissas!$B$5:$B$13,MATCH(A975,Premissas!$A$5:$A$13,0))</f>
        <v>0.07</v>
      </c>
      <c r="AC975" s="32" t="n">
        <f aca="false">AA975/(1-AB975)-AA975</f>
        <v>21.3130588172043</v>
      </c>
      <c r="AD975" s="32" t="n">
        <f aca="false">ROUND(AA975+AC975,2)</f>
        <v>304.47</v>
      </c>
      <c r="AE975" s="32" t="n">
        <f aca="false">AD975-L975</f>
        <v>93.93</v>
      </c>
      <c r="AF975" s="34" t="n">
        <f aca="false">IF(L975=0,0,AE975/L975)</f>
        <v>0.446138500997435</v>
      </c>
      <c r="AG975" s="22" t="str">
        <f aca="false">IF(AD975&lt;L975,"PASSARO","ATUAL")</f>
        <v>ATUAL</v>
      </c>
      <c r="AH975" s="22" t="str">
        <f aca="false">IF(P975&lt;&gt;A975,"Faixa cadastrada como "&amp;P975&amp;" na tabela; preço aplicado pela UF do CEP","")</f>
        <v/>
      </c>
      <c r="AI975" s="26" t="n">
        <v>358.77</v>
      </c>
      <c r="AJ975" s="22" t="str">
        <f aca="false">INDEX('Tabela Passaro'!$X$2:$X$1795,$N975)</f>
        <v>CAPITAL</v>
      </c>
    </row>
    <row r="976" customFormat="false" ht="15" hidden="false" customHeight="false" outlineLevel="0" collapsed="false">
      <c r="A976" s="22" t="s">
        <v>18</v>
      </c>
      <c r="B976" s="22" t="n">
        <v>1</v>
      </c>
      <c r="C976" s="22" t="s">
        <v>112</v>
      </c>
      <c r="D976" s="22" t="s">
        <v>30</v>
      </c>
      <c r="E976" s="22" t="s">
        <v>7328</v>
      </c>
      <c r="F976" s="22" t="n">
        <v>2315769</v>
      </c>
      <c r="G976" s="30" t="n">
        <v>46258</v>
      </c>
      <c r="H976" s="22" t="n">
        <v>134925</v>
      </c>
      <c r="I976" s="22" t="s">
        <v>8232</v>
      </c>
      <c r="J976" s="31" t="n">
        <v>66.4</v>
      </c>
      <c r="K976" s="26" t="n">
        <v>1062.85</v>
      </c>
      <c r="L976" s="26" t="n">
        <v>210.97</v>
      </c>
      <c r="M976" s="22" t="s">
        <v>3066</v>
      </c>
      <c r="N976" s="22" t="n">
        <f aca="false">MATCH(M976,'Tabela Passaro'!$A$2:$A$1795,0)</f>
        <v>704</v>
      </c>
      <c r="O976" s="22" t="str">
        <f aca="false">INDEX('Tabela Passaro'!$C$2:$C$1795,$N976)</f>
        <v>SAO LUIS</v>
      </c>
      <c r="P976" s="22" t="str">
        <f aca="false">INDEX('Tabela Passaro'!$B$2:$B$1795,$N976)</f>
        <v>MA</v>
      </c>
      <c r="Q976" s="22" t="n">
        <f aca="false">INDEX('Tabela Passaro'!$F$2:$F$1795,$N976)</f>
        <v>11</v>
      </c>
      <c r="R976" s="32" t="n">
        <f aca="false">IF(J976&lt;=10,INDEX('Tabela Passaro'!$G$2:$G$1795,$N976),IF(J976&lt;=30,INDEX('Tabela Passaro'!$H$2:$H$1795,$N976),IF(J976&lt;=50,INDEX('Tabela Passaro'!$I$2:$I$1795,$N976),IF(J976&lt;=70,INDEX('Tabela Passaro'!$J$2:$J$1795,$N976),IF(J976&lt;=100,INDEX('Tabela Passaro'!$K$2:$K$1795,$N976),INDEX('Tabela Passaro'!$K$2:$K$1795,$N976)+(J976-100)*INDEX('Tabela Passaro'!$L$2:$L$1795,$N976))))))</f>
        <v>236.11</v>
      </c>
      <c r="S976" s="32" t="n">
        <f aca="false">K976*INDEX('Tabela Passaro'!$M$2:$M$1795,$N976)</f>
        <v>5.31425</v>
      </c>
      <c r="T976" s="32" t="n">
        <f aca="false">K976*INDEX('Tabela Passaro'!$N$2:$N$1795,$N976)</f>
        <v>2.1257</v>
      </c>
      <c r="U976" s="32" t="n">
        <f aca="false">INDEX('Tabela Passaro'!$O$2:$O$1795,$N976)</f>
        <v>5</v>
      </c>
      <c r="V976" s="32" t="n">
        <f aca="false">ROUNDUP(J976/INDEX('Tabela Passaro'!$Q$2:$Q$1795,$N976),0)*INDEX('Tabela Passaro'!$P$2:$P$1795,$N976)</f>
        <v>5</v>
      </c>
      <c r="W976" s="32" t="n">
        <f aca="false">INDEX('Tabela Passaro'!$R$2:$R$1795,$N976)</f>
        <v>30</v>
      </c>
      <c r="X976" s="32" t="n">
        <f aca="false">ROUNDUP(J976/INDEX('Tabela Passaro'!$T$2:$T$1795,$N976),0)*INDEX('Tabela Passaro'!$S$2:$S$1795,$N976)</f>
        <v>0</v>
      </c>
      <c r="Y976" s="32" t="n">
        <f aca="false">INDEX('Tabela Passaro'!$U$2:$U$1795,$N976)</f>
        <v>0</v>
      </c>
      <c r="Z976" s="32" t="n">
        <f aca="false">INDEX('Tabela Passaro'!$V$2:$V$1795,$N976)</f>
        <v>0</v>
      </c>
      <c r="AA976" s="32" t="n">
        <f aca="false">SUM(R976:Z976)</f>
        <v>283.54995</v>
      </c>
      <c r="AB976" s="33" t="n">
        <f aca="false">INDEX(Premissas!$B$5:$B$13,MATCH(A976,Premissas!$A$5:$A$13,0))</f>
        <v>0.07</v>
      </c>
      <c r="AC976" s="32" t="n">
        <f aca="false">AA976/(1-AB976)-AA976</f>
        <v>21.3424693548387</v>
      </c>
      <c r="AD976" s="32" t="n">
        <f aca="false">ROUND(AA976+AC976,2)</f>
        <v>304.89</v>
      </c>
      <c r="AE976" s="32" t="n">
        <f aca="false">AD976-L976</f>
        <v>93.92</v>
      </c>
      <c r="AF976" s="34" t="n">
        <f aca="false">IF(L976=0,0,AE976/L976)</f>
        <v>0.445181779399915</v>
      </c>
      <c r="AG976" s="22" t="str">
        <f aca="false">IF(AD976&lt;L976,"PASSARO","ATUAL")</f>
        <v>ATUAL</v>
      </c>
      <c r="AH976" s="22" t="str">
        <f aca="false">IF(P976&lt;&gt;A976,"Faixa cadastrada como "&amp;P976&amp;" na tabela; preço aplicado pela UF do CEP","")</f>
        <v/>
      </c>
      <c r="AI976" s="26" t="n">
        <v>358.34</v>
      </c>
      <c r="AJ976" s="22" t="str">
        <f aca="false">INDEX('Tabela Passaro'!$X$2:$X$1795,$N976)</f>
        <v>CAPITAL</v>
      </c>
    </row>
    <row r="977" customFormat="false" ht="15" hidden="false" customHeight="false" outlineLevel="0" collapsed="false">
      <c r="A977" s="22" t="s">
        <v>18</v>
      </c>
      <c r="B977" s="22" t="n">
        <v>1</v>
      </c>
      <c r="C977" s="22" t="s">
        <v>112</v>
      </c>
      <c r="D977" s="22" t="s">
        <v>30</v>
      </c>
      <c r="E977" s="22" t="s">
        <v>7328</v>
      </c>
      <c r="F977" s="22" t="n">
        <v>2315822</v>
      </c>
      <c r="G977" s="30" t="n">
        <v>46258</v>
      </c>
      <c r="H977" s="22" t="n">
        <v>134962</v>
      </c>
      <c r="I977" s="22" t="s">
        <v>8233</v>
      </c>
      <c r="J977" s="31" t="n">
        <v>56.7</v>
      </c>
      <c r="K977" s="26" t="n">
        <v>979.46</v>
      </c>
      <c r="L977" s="26" t="n">
        <v>210.31</v>
      </c>
      <c r="M977" s="22" t="s">
        <v>3066</v>
      </c>
      <c r="N977" s="22" t="n">
        <f aca="false">MATCH(M977,'Tabela Passaro'!$A$2:$A$1795,0)</f>
        <v>704</v>
      </c>
      <c r="O977" s="22" t="str">
        <f aca="false">INDEX('Tabela Passaro'!$C$2:$C$1795,$N977)</f>
        <v>SAO LUIS</v>
      </c>
      <c r="P977" s="22" t="str">
        <f aca="false">INDEX('Tabela Passaro'!$B$2:$B$1795,$N977)</f>
        <v>MA</v>
      </c>
      <c r="Q977" s="22" t="n">
        <f aca="false">INDEX('Tabela Passaro'!$F$2:$F$1795,$N977)</f>
        <v>11</v>
      </c>
      <c r="R977" s="32" t="n">
        <f aca="false">IF(J977&lt;=10,INDEX('Tabela Passaro'!$G$2:$G$1795,$N977),IF(J977&lt;=30,INDEX('Tabela Passaro'!$H$2:$H$1795,$N977),IF(J977&lt;=50,INDEX('Tabela Passaro'!$I$2:$I$1795,$N977),IF(J977&lt;=70,INDEX('Tabela Passaro'!$J$2:$J$1795,$N977),IF(J977&lt;=100,INDEX('Tabela Passaro'!$K$2:$K$1795,$N977),INDEX('Tabela Passaro'!$K$2:$K$1795,$N977)+(J977-100)*INDEX('Tabela Passaro'!$L$2:$L$1795,$N977))))))</f>
        <v>236.11</v>
      </c>
      <c r="S977" s="32" t="n">
        <f aca="false">K977*INDEX('Tabela Passaro'!$M$2:$M$1795,$N977)</f>
        <v>4.8973</v>
      </c>
      <c r="T977" s="32" t="n">
        <f aca="false">K977*INDEX('Tabela Passaro'!$N$2:$N$1795,$N977)</f>
        <v>1.95892</v>
      </c>
      <c r="U977" s="32" t="n">
        <f aca="false">INDEX('Tabela Passaro'!$O$2:$O$1795,$N977)</f>
        <v>5</v>
      </c>
      <c r="V977" s="32" t="n">
        <f aca="false">ROUNDUP(J977/INDEX('Tabela Passaro'!$Q$2:$Q$1795,$N977),0)*INDEX('Tabela Passaro'!$P$2:$P$1795,$N977)</f>
        <v>5</v>
      </c>
      <c r="W977" s="32" t="n">
        <f aca="false">INDEX('Tabela Passaro'!$R$2:$R$1795,$N977)</f>
        <v>30</v>
      </c>
      <c r="X977" s="32" t="n">
        <f aca="false">ROUNDUP(J977/INDEX('Tabela Passaro'!$T$2:$T$1795,$N977),0)*INDEX('Tabela Passaro'!$S$2:$S$1795,$N977)</f>
        <v>0</v>
      </c>
      <c r="Y977" s="32" t="n">
        <f aca="false">INDEX('Tabela Passaro'!$U$2:$U$1795,$N977)</f>
        <v>0</v>
      </c>
      <c r="Z977" s="32" t="n">
        <f aca="false">INDEX('Tabela Passaro'!$V$2:$V$1795,$N977)</f>
        <v>0</v>
      </c>
      <c r="AA977" s="32" t="n">
        <f aca="false">SUM(R977:Z977)</f>
        <v>282.96622</v>
      </c>
      <c r="AB977" s="33" t="n">
        <f aca="false">INDEX(Premissas!$B$5:$B$13,MATCH(A977,Premissas!$A$5:$A$13,0))</f>
        <v>0.07</v>
      </c>
      <c r="AC977" s="32" t="n">
        <f aca="false">AA977/(1-AB977)-AA977</f>
        <v>21.2985326881721</v>
      </c>
      <c r="AD977" s="32" t="n">
        <f aca="false">ROUND(AA977+AC977,2)</f>
        <v>304.26</v>
      </c>
      <c r="AE977" s="32" t="n">
        <f aca="false">AD977-L977</f>
        <v>93.95</v>
      </c>
      <c r="AF977" s="34" t="n">
        <f aca="false">IF(L977=0,0,AE977/L977)</f>
        <v>0.446721506347772</v>
      </c>
      <c r="AG977" s="22" t="str">
        <f aca="false">IF(AD977&lt;L977,"PASSARO","ATUAL")</f>
        <v>ATUAL</v>
      </c>
      <c r="AH977" s="22" t="str">
        <f aca="false">IF(P977&lt;&gt;A977,"Faixa cadastrada como "&amp;P977&amp;" na tabela; preço aplicado pela UF do CEP","")</f>
        <v/>
      </c>
      <c r="AI977" s="26" t="n">
        <v>352.69</v>
      </c>
      <c r="AJ977" s="22" t="str">
        <f aca="false">INDEX('Tabela Passaro'!$X$2:$X$1795,$N977)</f>
        <v>CAPITAL</v>
      </c>
    </row>
    <row r="978" customFormat="false" ht="15" hidden="false" customHeight="false" outlineLevel="0" collapsed="false">
      <c r="A978" s="22" t="s">
        <v>18</v>
      </c>
      <c r="B978" s="22" t="n">
        <v>1</v>
      </c>
      <c r="C978" s="22" t="s">
        <v>112</v>
      </c>
      <c r="D978" s="22" t="s">
        <v>30</v>
      </c>
      <c r="E978" s="22" t="s">
        <v>7328</v>
      </c>
      <c r="F978" s="22" t="n">
        <v>2315859</v>
      </c>
      <c r="G978" s="30" t="n">
        <v>46258</v>
      </c>
      <c r="H978" s="22" t="n">
        <v>135127</v>
      </c>
      <c r="I978" s="22" t="s">
        <v>8234</v>
      </c>
      <c r="J978" s="31" t="n">
        <v>59.8</v>
      </c>
      <c r="K978" s="26" t="n">
        <v>1225.28</v>
      </c>
      <c r="L978" s="26" t="n">
        <v>212.26</v>
      </c>
      <c r="M978" s="22" t="s">
        <v>3066</v>
      </c>
      <c r="N978" s="22" t="n">
        <f aca="false">MATCH(M978,'Tabela Passaro'!$A$2:$A$1795,0)</f>
        <v>704</v>
      </c>
      <c r="O978" s="22" t="str">
        <f aca="false">INDEX('Tabela Passaro'!$C$2:$C$1795,$N978)</f>
        <v>SAO LUIS</v>
      </c>
      <c r="P978" s="22" t="str">
        <f aca="false">INDEX('Tabela Passaro'!$B$2:$B$1795,$N978)</f>
        <v>MA</v>
      </c>
      <c r="Q978" s="22" t="n">
        <f aca="false">INDEX('Tabela Passaro'!$F$2:$F$1795,$N978)</f>
        <v>11</v>
      </c>
      <c r="R978" s="32" t="n">
        <f aca="false">IF(J978&lt;=10,INDEX('Tabela Passaro'!$G$2:$G$1795,$N978),IF(J978&lt;=30,INDEX('Tabela Passaro'!$H$2:$H$1795,$N978),IF(J978&lt;=50,INDEX('Tabela Passaro'!$I$2:$I$1795,$N978),IF(J978&lt;=70,INDEX('Tabela Passaro'!$J$2:$J$1795,$N978),IF(J978&lt;=100,INDEX('Tabela Passaro'!$K$2:$K$1795,$N978),INDEX('Tabela Passaro'!$K$2:$K$1795,$N978)+(J978-100)*INDEX('Tabela Passaro'!$L$2:$L$1795,$N978))))))</f>
        <v>236.11</v>
      </c>
      <c r="S978" s="32" t="n">
        <f aca="false">K978*INDEX('Tabela Passaro'!$M$2:$M$1795,$N978)</f>
        <v>6.1264</v>
      </c>
      <c r="T978" s="32" t="n">
        <f aca="false">K978*INDEX('Tabela Passaro'!$N$2:$N$1795,$N978)</f>
        <v>2.45056</v>
      </c>
      <c r="U978" s="32" t="n">
        <f aca="false">INDEX('Tabela Passaro'!$O$2:$O$1795,$N978)</f>
        <v>5</v>
      </c>
      <c r="V978" s="32" t="n">
        <f aca="false">ROUNDUP(J978/INDEX('Tabela Passaro'!$Q$2:$Q$1795,$N978),0)*INDEX('Tabela Passaro'!$P$2:$P$1795,$N978)</f>
        <v>5</v>
      </c>
      <c r="W978" s="32" t="n">
        <f aca="false">INDEX('Tabela Passaro'!$R$2:$R$1795,$N978)</f>
        <v>30</v>
      </c>
      <c r="X978" s="32" t="n">
        <f aca="false">ROUNDUP(J978/INDEX('Tabela Passaro'!$T$2:$T$1795,$N978),0)*INDEX('Tabela Passaro'!$S$2:$S$1795,$N978)</f>
        <v>0</v>
      </c>
      <c r="Y978" s="32" t="n">
        <f aca="false">INDEX('Tabela Passaro'!$U$2:$U$1795,$N978)</f>
        <v>0</v>
      </c>
      <c r="Z978" s="32" t="n">
        <f aca="false">INDEX('Tabela Passaro'!$V$2:$V$1795,$N978)</f>
        <v>0</v>
      </c>
      <c r="AA978" s="32" t="n">
        <f aca="false">SUM(R978:Z978)</f>
        <v>284.68696</v>
      </c>
      <c r="AB978" s="33" t="n">
        <f aca="false">INDEX(Premissas!$B$5:$B$13,MATCH(A978,Premissas!$A$5:$A$13,0))</f>
        <v>0.07</v>
      </c>
      <c r="AC978" s="32" t="n">
        <f aca="false">AA978/(1-AB978)-AA978</f>
        <v>21.4280507526882</v>
      </c>
      <c r="AD978" s="32" t="n">
        <f aca="false">ROUND(AA978+AC978,2)</f>
        <v>306.12</v>
      </c>
      <c r="AE978" s="32" t="n">
        <f aca="false">AD978-L978</f>
        <v>93.86</v>
      </c>
      <c r="AF978" s="34" t="n">
        <f aca="false">IF(L978=0,0,AE978/L978)</f>
        <v>0.442193536229153</v>
      </c>
      <c r="AG978" s="22" t="str">
        <f aca="false">IF(AD978&lt;L978,"PASSARO","ATUAL")</f>
        <v>ATUAL</v>
      </c>
      <c r="AH978" s="22" t="str">
        <f aca="false">IF(P978&lt;&gt;A978,"Faixa cadastrada como "&amp;P978&amp;" na tabela; preço aplicado pela UF do CEP","")</f>
        <v/>
      </c>
      <c r="AI978" s="26" t="n">
        <v>356.52</v>
      </c>
      <c r="AJ978" s="22" t="str">
        <f aca="false">INDEX('Tabela Passaro'!$X$2:$X$1795,$N978)</f>
        <v>CAPITAL</v>
      </c>
    </row>
    <row r="979" customFormat="false" ht="15" hidden="false" customHeight="false" outlineLevel="0" collapsed="false">
      <c r="A979" s="22" t="s">
        <v>18</v>
      </c>
      <c r="B979" s="22" t="n">
        <v>1</v>
      </c>
      <c r="C979" s="22" t="s">
        <v>112</v>
      </c>
      <c r="D979" s="22" t="s">
        <v>30</v>
      </c>
      <c r="E979" s="22" t="s">
        <v>7328</v>
      </c>
      <c r="F979" s="22" t="n">
        <v>2316537</v>
      </c>
      <c r="G979" s="30" t="n">
        <v>46260</v>
      </c>
      <c r="H979" s="22" t="n">
        <v>135543</v>
      </c>
      <c r="I979" s="22" t="s">
        <v>8235</v>
      </c>
      <c r="J979" s="31" t="n">
        <v>29.59</v>
      </c>
      <c r="K979" s="26" t="n">
        <v>648.9</v>
      </c>
      <c r="L979" s="26" t="n">
        <v>130.67</v>
      </c>
      <c r="M979" s="22" t="s">
        <v>3066</v>
      </c>
      <c r="N979" s="22" t="n">
        <f aca="false">MATCH(M979,'Tabela Passaro'!$A$2:$A$1795,0)</f>
        <v>704</v>
      </c>
      <c r="O979" s="22" t="str">
        <f aca="false">INDEX('Tabela Passaro'!$C$2:$C$1795,$N979)</f>
        <v>SAO LUIS</v>
      </c>
      <c r="P979" s="22" t="str">
        <f aca="false">INDEX('Tabela Passaro'!$B$2:$B$1795,$N979)</f>
        <v>MA</v>
      </c>
      <c r="Q979" s="22" t="n">
        <f aca="false">INDEX('Tabela Passaro'!$F$2:$F$1795,$N979)</f>
        <v>11</v>
      </c>
      <c r="R979" s="32" t="n">
        <f aca="false">IF(J979&lt;=10,INDEX('Tabela Passaro'!$G$2:$G$1795,$N979),IF(J979&lt;=30,INDEX('Tabela Passaro'!$H$2:$H$1795,$N979),IF(J979&lt;=50,INDEX('Tabela Passaro'!$I$2:$I$1795,$N979),IF(J979&lt;=70,INDEX('Tabela Passaro'!$J$2:$J$1795,$N979),IF(J979&lt;=100,INDEX('Tabela Passaro'!$K$2:$K$1795,$N979),INDEX('Tabela Passaro'!$K$2:$K$1795,$N979)+(J979-100)*INDEX('Tabela Passaro'!$L$2:$L$1795,$N979))))))</f>
        <v>197.38</v>
      </c>
      <c r="S979" s="32" t="n">
        <f aca="false">K979*INDEX('Tabela Passaro'!$M$2:$M$1795,$N979)</f>
        <v>3.2445</v>
      </c>
      <c r="T979" s="32" t="n">
        <f aca="false">K979*INDEX('Tabela Passaro'!$N$2:$N$1795,$N979)</f>
        <v>1.2978</v>
      </c>
      <c r="U979" s="32" t="n">
        <f aca="false">INDEX('Tabela Passaro'!$O$2:$O$1795,$N979)</f>
        <v>5</v>
      </c>
      <c r="V979" s="32" t="n">
        <f aca="false">ROUNDUP(J979/INDEX('Tabela Passaro'!$Q$2:$Q$1795,$N979),0)*INDEX('Tabela Passaro'!$P$2:$P$1795,$N979)</f>
        <v>5</v>
      </c>
      <c r="W979" s="32" t="n">
        <f aca="false">INDEX('Tabela Passaro'!$R$2:$R$1795,$N979)</f>
        <v>30</v>
      </c>
      <c r="X979" s="32" t="n">
        <f aca="false">ROUNDUP(J979/INDEX('Tabela Passaro'!$T$2:$T$1795,$N979),0)*INDEX('Tabela Passaro'!$S$2:$S$1795,$N979)</f>
        <v>0</v>
      </c>
      <c r="Y979" s="32" t="n">
        <f aca="false">INDEX('Tabela Passaro'!$U$2:$U$1795,$N979)</f>
        <v>0</v>
      </c>
      <c r="Z979" s="32" t="n">
        <f aca="false">INDEX('Tabela Passaro'!$V$2:$V$1795,$N979)</f>
        <v>0</v>
      </c>
      <c r="AA979" s="32" t="n">
        <f aca="false">SUM(R979:Z979)</f>
        <v>241.9223</v>
      </c>
      <c r="AB979" s="33" t="n">
        <f aca="false">INDEX(Premissas!$B$5:$B$13,MATCH(A979,Premissas!$A$5:$A$13,0))</f>
        <v>0.07</v>
      </c>
      <c r="AC979" s="32" t="n">
        <f aca="false">AA979/(1-AB979)-AA979</f>
        <v>18.2092053763441</v>
      </c>
      <c r="AD979" s="32" t="n">
        <f aca="false">ROUND(AA979+AC979,2)</f>
        <v>260.13</v>
      </c>
      <c r="AE979" s="32" t="n">
        <f aca="false">AD979-L979</f>
        <v>129.46</v>
      </c>
      <c r="AF979" s="34" t="n">
        <f aca="false">IF(L979=0,0,AE979/L979)</f>
        <v>0.990740032142037</v>
      </c>
      <c r="AG979" s="22" t="str">
        <f aca="false">IF(AD979&lt;L979,"PASSARO","ATUAL")</f>
        <v>ATUAL</v>
      </c>
      <c r="AH979" s="22" t="str">
        <f aca="false">IF(P979&lt;&gt;A979,"Faixa cadastrada como "&amp;P979&amp;" na tabela; preço aplicado pela UF do CEP","")</f>
        <v/>
      </c>
      <c r="AI979" s="26" t="n">
        <v>292.59</v>
      </c>
      <c r="AJ979" s="22" t="str">
        <f aca="false">INDEX('Tabela Passaro'!$X$2:$X$1795,$N979)</f>
        <v>CAPITAL</v>
      </c>
    </row>
    <row r="980" customFormat="false" ht="15" hidden="false" customHeight="false" outlineLevel="0" collapsed="false">
      <c r="A980" s="22" t="s">
        <v>18</v>
      </c>
      <c r="B980" s="22" t="n">
        <v>1</v>
      </c>
      <c r="C980" s="22" t="s">
        <v>112</v>
      </c>
      <c r="D980" s="22" t="s">
        <v>30</v>
      </c>
      <c r="E980" s="22" t="s">
        <v>7328</v>
      </c>
      <c r="F980" s="22" t="n">
        <v>2316553</v>
      </c>
      <c r="G980" s="30" t="n">
        <v>46260</v>
      </c>
      <c r="H980" s="22" t="n">
        <v>135865</v>
      </c>
      <c r="I980" s="22" t="s">
        <v>8236</v>
      </c>
      <c r="J980" s="31" t="n">
        <v>51.06</v>
      </c>
      <c r="K980" s="26" t="n">
        <v>954.18</v>
      </c>
      <c r="L980" s="26" t="n">
        <v>210.11</v>
      </c>
      <c r="M980" s="22" t="s">
        <v>3066</v>
      </c>
      <c r="N980" s="22" t="n">
        <f aca="false">MATCH(M980,'Tabela Passaro'!$A$2:$A$1795,0)</f>
        <v>704</v>
      </c>
      <c r="O980" s="22" t="str">
        <f aca="false">INDEX('Tabela Passaro'!$C$2:$C$1795,$N980)</f>
        <v>SAO LUIS</v>
      </c>
      <c r="P980" s="22" t="str">
        <f aca="false">INDEX('Tabela Passaro'!$B$2:$B$1795,$N980)</f>
        <v>MA</v>
      </c>
      <c r="Q980" s="22" t="n">
        <f aca="false">INDEX('Tabela Passaro'!$F$2:$F$1795,$N980)</f>
        <v>11</v>
      </c>
      <c r="R980" s="32" t="n">
        <f aca="false">IF(J980&lt;=10,INDEX('Tabela Passaro'!$G$2:$G$1795,$N980),IF(J980&lt;=30,INDEX('Tabela Passaro'!$H$2:$H$1795,$N980),IF(J980&lt;=50,INDEX('Tabela Passaro'!$I$2:$I$1795,$N980),IF(J980&lt;=70,INDEX('Tabela Passaro'!$J$2:$J$1795,$N980),IF(J980&lt;=100,INDEX('Tabela Passaro'!$K$2:$K$1795,$N980),INDEX('Tabela Passaro'!$K$2:$K$1795,$N980)+(J980-100)*INDEX('Tabela Passaro'!$L$2:$L$1795,$N980))))))</f>
        <v>236.11</v>
      </c>
      <c r="S980" s="32" t="n">
        <f aca="false">K980*INDEX('Tabela Passaro'!$M$2:$M$1795,$N980)</f>
        <v>4.7709</v>
      </c>
      <c r="T980" s="32" t="n">
        <f aca="false">K980*INDEX('Tabela Passaro'!$N$2:$N$1795,$N980)</f>
        <v>1.90836</v>
      </c>
      <c r="U980" s="32" t="n">
        <f aca="false">INDEX('Tabela Passaro'!$O$2:$O$1795,$N980)</f>
        <v>5</v>
      </c>
      <c r="V980" s="32" t="n">
        <f aca="false">ROUNDUP(J980/INDEX('Tabela Passaro'!$Q$2:$Q$1795,$N980),0)*INDEX('Tabela Passaro'!$P$2:$P$1795,$N980)</f>
        <v>5</v>
      </c>
      <c r="W980" s="32" t="n">
        <f aca="false">INDEX('Tabela Passaro'!$R$2:$R$1795,$N980)</f>
        <v>30</v>
      </c>
      <c r="X980" s="32" t="n">
        <f aca="false">ROUNDUP(J980/INDEX('Tabela Passaro'!$T$2:$T$1795,$N980),0)*INDEX('Tabela Passaro'!$S$2:$S$1795,$N980)</f>
        <v>0</v>
      </c>
      <c r="Y980" s="32" t="n">
        <f aca="false">INDEX('Tabela Passaro'!$U$2:$U$1795,$N980)</f>
        <v>0</v>
      </c>
      <c r="Z980" s="32" t="n">
        <f aca="false">INDEX('Tabela Passaro'!$V$2:$V$1795,$N980)</f>
        <v>0</v>
      </c>
      <c r="AA980" s="32" t="n">
        <f aca="false">SUM(R980:Z980)</f>
        <v>282.78926</v>
      </c>
      <c r="AB980" s="33" t="n">
        <f aca="false">INDEX(Premissas!$B$5:$B$13,MATCH(A980,Premissas!$A$5:$A$13,0))</f>
        <v>0.07</v>
      </c>
      <c r="AC980" s="32" t="n">
        <f aca="false">AA980/(1-AB980)-AA980</f>
        <v>21.2852131182796</v>
      </c>
      <c r="AD980" s="32" t="n">
        <f aca="false">ROUND(AA980+AC980,2)</f>
        <v>304.07</v>
      </c>
      <c r="AE980" s="32" t="n">
        <f aca="false">AD980-L980</f>
        <v>93.96</v>
      </c>
      <c r="AF980" s="34" t="n">
        <f aca="false">IF(L980=0,0,AE980/L980)</f>
        <v>0.44719432678121</v>
      </c>
      <c r="AG980" s="22" t="str">
        <f aca="false">IF(AD980&lt;L980,"PASSARO","ATUAL")</f>
        <v>ATUAL</v>
      </c>
      <c r="AH980" s="22" t="str">
        <f aca="false">IF(P980&lt;&gt;A980,"Faixa cadastrada como "&amp;P980&amp;" na tabela; preço aplicado pela UF do CEP","")</f>
        <v/>
      </c>
      <c r="AI980" s="26" t="n">
        <v>350.03</v>
      </c>
      <c r="AJ980" s="22" t="str">
        <f aca="false">INDEX('Tabela Passaro'!$X$2:$X$1795,$N980)</f>
        <v>CAPITAL</v>
      </c>
    </row>
    <row r="981" customFormat="false" ht="15" hidden="false" customHeight="false" outlineLevel="0" collapsed="false">
      <c r="A981" s="22" t="s">
        <v>18</v>
      </c>
      <c r="B981" s="22" t="n">
        <v>1</v>
      </c>
      <c r="C981" s="22" t="s">
        <v>112</v>
      </c>
      <c r="D981" s="22" t="s">
        <v>30</v>
      </c>
      <c r="E981" s="22" t="s">
        <v>7328</v>
      </c>
      <c r="F981" s="22" t="n">
        <v>2316567</v>
      </c>
      <c r="G981" s="30" t="n">
        <v>46260</v>
      </c>
      <c r="H981" s="22" t="n">
        <v>135876</v>
      </c>
      <c r="I981" s="22" t="s">
        <v>8237</v>
      </c>
      <c r="J981" s="31" t="n">
        <v>40</v>
      </c>
      <c r="K981" s="26" t="n">
        <v>716.86</v>
      </c>
      <c r="L981" s="26" t="n">
        <v>172.36</v>
      </c>
      <c r="M981" s="22" t="s">
        <v>3066</v>
      </c>
      <c r="N981" s="22" t="n">
        <f aca="false">MATCH(M981,'Tabela Passaro'!$A$2:$A$1795,0)</f>
        <v>704</v>
      </c>
      <c r="O981" s="22" t="str">
        <f aca="false">INDEX('Tabela Passaro'!$C$2:$C$1795,$N981)</f>
        <v>SAO LUIS</v>
      </c>
      <c r="P981" s="22" t="str">
        <f aca="false">INDEX('Tabela Passaro'!$B$2:$B$1795,$N981)</f>
        <v>MA</v>
      </c>
      <c r="Q981" s="22" t="n">
        <f aca="false">INDEX('Tabela Passaro'!$F$2:$F$1795,$N981)</f>
        <v>11</v>
      </c>
      <c r="R981" s="32" t="n">
        <f aca="false">IF(J981&lt;=10,INDEX('Tabela Passaro'!$G$2:$G$1795,$N981),IF(J981&lt;=30,INDEX('Tabela Passaro'!$H$2:$H$1795,$N981),IF(J981&lt;=50,INDEX('Tabela Passaro'!$I$2:$I$1795,$N981),IF(J981&lt;=70,INDEX('Tabela Passaro'!$J$2:$J$1795,$N981),IF(J981&lt;=100,INDEX('Tabela Passaro'!$K$2:$K$1795,$N981),INDEX('Tabela Passaro'!$K$2:$K$1795,$N981)+(J981-100)*INDEX('Tabela Passaro'!$L$2:$L$1795,$N981))))))</f>
        <v>219.51</v>
      </c>
      <c r="S981" s="32" t="n">
        <f aca="false">K981*INDEX('Tabela Passaro'!$M$2:$M$1795,$N981)</f>
        <v>3.5843</v>
      </c>
      <c r="T981" s="32" t="n">
        <f aca="false">K981*INDEX('Tabela Passaro'!$N$2:$N$1795,$N981)</f>
        <v>1.43372</v>
      </c>
      <c r="U981" s="32" t="n">
        <f aca="false">INDEX('Tabela Passaro'!$O$2:$O$1795,$N981)</f>
        <v>5</v>
      </c>
      <c r="V981" s="32" t="n">
        <f aca="false">ROUNDUP(J981/INDEX('Tabela Passaro'!$Q$2:$Q$1795,$N981),0)*INDEX('Tabela Passaro'!$P$2:$P$1795,$N981)</f>
        <v>5</v>
      </c>
      <c r="W981" s="32" t="n">
        <f aca="false">INDEX('Tabela Passaro'!$R$2:$R$1795,$N981)</f>
        <v>30</v>
      </c>
      <c r="X981" s="32" t="n">
        <f aca="false">ROUNDUP(J981/INDEX('Tabela Passaro'!$T$2:$T$1795,$N981),0)*INDEX('Tabela Passaro'!$S$2:$S$1795,$N981)</f>
        <v>0</v>
      </c>
      <c r="Y981" s="32" t="n">
        <f aca="false">INDEX('Tabela Passaro'!$U$2:$U$1795,$N981)</f>
        <v>0</v>
      </c>
      <c r="Z981" s="32" t="n">
        <f aca="false">INDEX('Tabela Passaro'!$V$2:$V$1795,$N981)</f>
        <v>0</v>
      </c>
      <c r="AA981" s="32" t="n">
        <f aca="false">SUM(R981:Z981)</f>
        <v>264.52802</v>
      </c>
      <c r="AB981" s="33" t="n">
        <f aca="false">INDEX(Premissas!$B$5:$B$13,MATCH(A981,Premissas!$A$5:$A$13,0))</f>
        <v>0.07</v>
      </c>
      <c r="AC981" s="32" t="n">
        <f aca="false">AA981/(1-AB981)-AA981</f>
        <v>19.9107111827957</v>
      </c>
      <c r="AD981" s="32" t="n">
        <f aca="false">ROUND(AA981+AC981,2)</f>
        <v>284.44</v>
      </c>
      <c r="AE981" s="32" t="n">
        <f aca="false">AD981-L981</f>
        <v>112.08</v>
      </c>
      <c r="AF981" s="34" t="n">
        <f aca="false">IF(L981=0,0,AE981/L981)</f>
        <v>0.650266883267579</v>
      </c>
      <c r="AG981" s="22" t="str">
        <f aca="false">IF(AD981&lt;L981,"PASSARO","ATUAL")</f>
        <v>ATUAL</v>
      </c>
      <c r="AH981" s="22" t="str">
        <f aca="false">IF(P981&lt;&gt;A981,"Faixa cadastrada como "&amp;P981&amp;" na tabela; preço aplicado pela UF do CEP","")</f>
        <v/>
      </c>
      <c r="AI981" s="26" t="n">
        <v>323.14</v>
      </c>
      <c r="AJ981" s="22" t="str">
        <f aca="false">INDEX('Tabela Passaro'!$X$2:$X$1795,$N981)</f>
        <v>CAPITAL</v>
      </c>
    </row>
    <row r="982" customFormat="false" ht="15" hidden="false" customHeight="false" outlineLevel="0" collapsed="false">
      <c r="A982" s="22" t="s">
        <v>18</v>
      </c>
      <c r="B982" s="22" t="n">
        <v>1</v>
      </c>
      <c r="C982" s="22" t="s">
        <v>112</v>
      </c>
      <c r="D982" s="22" t="s">
        <v>30</v>
      </c>
      <c r="E982" s="22" t="s">
        <v>7328</v>
      </c>
      <c r="F982" s="22" t="n">
        <v>2316576</v>
      </c>
      <c r="G982" s="30" t="n">
        <v>46260</v>
      </c>
      <c r="H982" s="22" t="n">
        <v>135884</v>
      </c>
      <c r="I982" s="22" t="s">
        <v>8238</v>
      </c>
      <c r="J982" s="31" t="n">
        <v>67.8</v>
      </c>
      <c r="K982" s="26" t="n">
        <v>1315.16</v>
      </c>
      <c r="L982" s="26" t="n">
        <v>212.97</v>
      </c>
      <c r="M982" s="22" t="s">
        <v>3066</v>
      </c>
      <c r="N982" s="22" t="n">
        <f aca="false">MATCH(M982,'Tabela Passaro'!$A$2:$A$1795,0)</f>
        <v>704</v>
      </c>
      <c r="O982" s="22" t="str">
        <f aca="false">INDEX('Tabela Passaro'!$C$2:$C$1795,$N982)</f>
        <v>SAO LUIS</v>
      </c>
      <c r="P982" s="22" t="str">
        <f aca="false">INDEX('Tabela Passaro'!$B$2:$B$1795,$N982)</f>
        <v>MA</v>
      </c>
      <c r="Q982" s="22" t="n">
        <f aca="false">INDEX('Tabela Passaro'!$F$2:$F$1795,$N982)</f>
        <v>11</v>
      </c>
      <c r="R982" s="32" t="n">
        <f aca="false">IF(J982&lt;=10,INDEX('Tabela Passaro'!$G$2:$G$1795,$N982),IF(J982&lt;=30,INDEX('Tabela Passaro'!$H$2:$H$1795,$N982),IF(J982&lt;=50,INDEX('Tabela Passaro'!$I$2:$I$1795,$N982),IF(J982&lt;=70,INDEX('Tabela Passaro'!$J$2:$J$1795,$N982),IF(J982&lt;=100,INDEX('Tabela Passaro'!$K$2:$K$1795,$N982),INDEX('Tabela Passaro'!$K$2:$K$1795,$N982)+(J982-100)*INDEX('Tabela Passaro'!$L$2:$L$1795,$N982))))))</f>
        <v>236.11</v>
      </c>
      <c r="S982" s="32" t="n">
        <f aca="false">K982*INDEX('Tabela Passaro'!$M$2:$M$1795,$N982)</f>
        <v>6.5758</v>
      </c>
      <c r="T982" s="32" t="n">
        <f aca="false">K982*INDEX('Tabela Passaro'!$N$2:$N$1795,$N982)</f>
        <v>2.63032</v>
      </c>
      <c r="U982" s="32" t="n">
        <f aca="false">INDEX('Tabela Passaro'!$O$2:$O$1795,$N982)</f>
        <v>5</v>
      </c>
      <c r="V982" s="32" t="n">
        <f aca="false">ROUNDUP(J982/INDEX('Tabela Passaro'!$Q$2:$Q$1795,$N982),0)*INDEX('Tabela Passaro'!$P$2:$P$1795,$N982)</f>
        <v>5</v>
      </c>
      <c r="W982" s="32" t="n">
        <f aca="false">INDEX('Tabela Passaro'!$R$2:$R$1795,$N982)</f>
        <v>30</v>
      </c>
      <c r="X982" s="32" t="n">
        <f aca="false">ROUNDUP(J982/INDEX('Tabela Passaro'!$T$2:$T$1795,$N982),0)*INDEX('Tabela Passaro'!$S$2:$S$1795,$N982)</f>
        <v>0</v>
      </c>
      <c r="Y982" s="32" t="n">
        <f aca="false">INDEX('Tabela Passaro'!$U$2:$U$1795,$N982)</f>
        <v>0</v>
      </c>
      <c r="Z982" s="32" t="n">
        <f aca="false">INDEX('Tabela Passaro'!$V$2:$V$1795,$N982)</f>
        <v>0</v>
      </c>
      <c r="AA982" s="32" t="n">
        <f aca="false">SUM(R982:Z982)</f>
        <v>285.31612</v>
      </c>
      <c r="AB982" s="33" t="n">
        <f aca="false">INDEX(Premissas!$B$5:$B$13,MATCH(A982,Premissas!$A$5:$A$13,0))</f>
        <v>0.07</v>
      </c>
      <c r="AC982" s="32" t="n">
        <f aca="false">AA982/(1-AB982)-AA982</f>
        <v>21.4754068817205</v>
      </c>
      <c r="AD982" s="32" t="n">
        <f aca="false">ROUND(AA982+AC982,2)</f>
        <v>306.79</v>
      </c>
      <c r="AE982" s="32" t="n">
        <f aca="false">AD982-L982</f>
        <v>93.82</v>
      </c>
      <c r="AF982" s="34" t="n">
        <f aca="false">IF(L982=0,0,AE982/L982)</f>
        <v>0.440531530262478</v>
      </c>
      <c r="AG982" s="22" t="str">
        <f aca="false">IF(AD982&lt;L982,"PASSARO","ATUAL")</f>
        <v>ATUAL</v>
      </c>
      <c r="AH982" s="22" t="str">
        <f aca="false">IF(P982&lt;&gt;A982,"Faixa cadastrada como "&amp;P982&amp;" na tabela; preço aplicado pela UF do CEP","")</f>
        <v/>
      </c>
      <c r="AI982" s="26" t="n">
        <v>361.26</v>
      </c>
      <c r="AJ982" s="22" t="str">
        <f aca="false">INDEX('Tabela Passaro'!$X$2:$X$1795,$N982)</f>
        <v>CAPITAL</v>
      </c>
    </row>
    <row r="983" customFormat="false" ht="15" hidden="false" customHeight="false" outlineLevel="0" collapsed="false">
      <c r="A983" s="22" t="s">
        <v>18</v>
      </c>
      <c r="B983" s="22" t="n">
        <v>1</v>
      </c>
      <c r="C983" s="22" t="s">
        <v>112</v>
      </c>
      <c r="D983" s="22" t="s">
        <v>31</v>
      </c>
      <c r="E983" s="22" t="s">
        <v>7326</v>
      </c>
      <c r="F983" s="22" t="n">
        <v>111828</v>
      </c>
      <c r="G983" s="30" t="n">
        <v>46238</v>
      </c>
      <c r="H983" s="22" t="n">
        <v>589054</v>
      </c>
      <c r="I983" s="22" t="s">
        <v>8239</v>
      </c>
      <c r="J983" s="31" t="n">
        <v>18</v>
      </c>
      <c r="K983" s="26" t="n">
        <v>381.31</v>
      </c>
      <c r="L983" s="26" t="n">
        <v>78.95</v>
      </c>
      <c r="M983" s="22" t="s">
        <v>3066</v>
      </c>
      <c r="N983" s="22" t="n">
        <f aca="false">MATCH(M983,'Tabela Passaro'!$A$2:$A$1795,0)</f>
        <v>704</v>
      </c>
      <c r="O983" s="22" t="str">
        <f aca="false">INDEX('Tabela Passaro'!$C$2:$C$1795,$N983)</f>
        <v>SAO LUIS</v>
      </c>
      <c r="P983" s="22" t="str">
        <f aca="false">INDEX('Tabela Passaro'!$B$2:$B$1795,$N983)</f>
        <v>MA</v>
      </c>
      <c r="Q983" s="22" t="n">
        <f aca="false">INDEX('Tabela Passaro'!$F$2:$F$1795,$N983)</f>
        <v>11</v>
      </c>
      <c r="R983" s="32" t="n">
        <f aca="false">IF(J983&lt;=10,INDEX('Tabela Passaro'!$G$2:$G$1795,$N983),IF(J983&lt;=30,INDEX('Tabela Passaro'!$H$2:$H$1795,$N983),IF(J983&lt;=50,INDEX('Tabela Passaro'!$I$2:$I$1795,$N983),IF(J983&lt;=70,INDEX('Tabela Passaro'!$J$2:$J$1795,$N983),IF(J983&lt;=100,INDEX('Tabela Passaro'!$K$2:$K$1795,$N983),INDEX('Tabela Passaro'!$K$2:$K$1795,$N983)+(J983-100)*INDEX('Tabela Passaro'!$L$2:$L$1795,$N983))))))</f>
        <v>197.38</v>
      </c>
      <c r="S983" s="32" t="n">
        <f aca="false">K983*INDEX('Tabela Passaro'!$M$2:$M$1795,$N983)</f>
        <v>1.90655</v>
      </c>
      <c r="T983" s="32" t="n">
        <f aca="false">K983*INDEX('Tabela Passaro'!$N$2:$N$1795,$N983)</f>
        <v>0.76262</v>
      </c>
      <c r="U983" s="32" t="n">
        <f aca="false">INDEX('Tabela Passaro'!$O$2:$O$1795,$N983)</f>
        <v>5</v>
      </c>
      <c r="V983" s="32" t="n">
        <f aca="false">ROUNDUP(J983/INDEX('Tabela Passaro'!$Q$2:$Q$1795,$N983),0)*INDEX('Tabela Passaro'!$P$2:$P$1795,$N983)</f>
        <v>5</v>
      </c>
      <c r="W983" s="32" t="n">
        <f aca="false">INDEX('Tabela Passaro'!$R$2:$R$1795,$N983)</f>
        <v>30</v>
      </c>
      <c r="X983" s="32" t="n">
        <f aca="false">ROUNDUP(J983/INDEX('Tabela Passaro'!$T$2:$T$1795,$N983),0)*INDEX('Tabela Passaro'!$S$2:$S$1795,$N983)</f>
        <v>0</v>
      </c>
      <c r="Y983" s="32" t="n">
        <f aca="false">INDEX('Tabela Passaro'!$U$2:$U$1795,$N983)</f>
        <v>0</v>
      </c>
      <c r="Z983" s="32" t="n">
        <f aca="false">INDEX('Tabela Passaro'!$V$2:$V$1795,$N983)</f>
        <v>0</v>
      </c>
      <c r="AA983" s="32" t="n">
        <f aca="false">SUM(R983:Z983)</f>
        <v>240.04917</v>
      </c>
      <c r="AB983" s="33" t="n">
        <f aca="false">INDEX(Premissas!$B$5:$B$13,MATCH(A983,Premissas!$A$5:$A$13,0))</f>
        <v>0.07</v>
      </c>
      <c r="AC983" s="32" t="n">
        <f aca="false">AA983/(1-AB983)-AA983</f>
        <v>18.0682170967742</v>
      </c>
      <c r="AD983" s="32" t="n">
        <f aca="false">ROUND(AA983+AC983,2)</f>
        <v>258.12</v>
      </c>
      <c r="AE983" s="32" t="n">
        <f aca="false">AD983-L983</f>
        <v>179.17</v>
      </c>
      <c r="AF983" s="34" t="n">
        <f aca="false">IF(L983=0,0,AE983/L983)</f>
        <v>2.26941101963268</v>
      </c>
      <c r="AG983" s="22" t="str">
        <f aca="false">IF(AD983&lt;L983,"PASSARO","ATUAL")</f>
        <v>ATUAL</v>
      </c>
      <c r="AH983" s="22" t="str">
        <f aca="false">IF(P983&lt;&gt;A983,"Faixa cadastrada como "&amp;P983&amp;" na tabela; preço aplicado pela UF do CEP","")</f>
        <v/>
      </c>
      <c r="AI983" s="26" t="n">
        <v>284.2</v>
      </c>
      <c r="AJ983" s="22" t="str">
        <f aca="false">INDEX('Tabela Passaro'!$X$2:$X$1795,$N983)</f>
        <v>CAPITAL</v>
      </c>
    </row>
    <row r="984" customFormat="false" ht="15" hidden="false" customHeight="false" outlineLevel="0" collapsed="false">
      <c r="A984" s="22" t="s">
        <v>18</v>
      </c>
      <c r="B984" s="22" t="n">
        <v>1</v>
      </c>
      <c r="C984" s="22" t="s">
        <v>112</v>
      </c>
      <c r="D984" s="22" t="s">
        <v>31</v>
      </c>
      <c r="E984" s="22" t="s">
        <v>7326</v>
      </c>
      <c r="F984" s="22" t="n">
        <v>111842</v>
      </c>
      <c r="G984" s="30" t="n">
        <v>46238</v>
      </c>
      <c r="H984" s="22" t="n">
        <v>595732</v>
      </c>
      <c r="I984" s="22" t="s">
        <v>8240</v>
      </c>
      <c r="J984" s="31" t="n">
        <v>20.8</v>
      </c>
      <c r="K984" s="26" t="n">
        <v>586.72</v>
      </c>
      <c r="L984" s="26" t="n">
        <v>90.45</v>
      </c>
      <c r="M984" s="22" t="s">
        <v>3066</v>
      </c>
      <c r="N984" s="22" t="n">
        <f aca="false">MATCH(M984,'Tabela Passaro'!$A$2:$A$1795,0)</f>
        <v>704</v>
      </c>
      <c r="O984" s="22" t="str">
        <f aca="false">INDEX('Tabela Passaro'!$C$2:$C$1795,$N984)</f>
        <v>SAO LUIS</v>
      </c>
      <c r="P984" s="22" t="str">
        <f aca="false">INDEX('Tabela Passaro'!$B$2:$B$1795,$N984)</f>
        <v>MA</v>
      </c>
      <c r="Q984" s="22" t="n">
        <f aca="false">INDEX('Tabela Passaro'!$F$2:$F$1795,$N984)</f>
        <v>11</v>
      </c>
      <c r="R984" s="32" t="n">
        <f aca="false">IF(J984&lt;=10,INDEX('Tabela Passaro'!$G$2:$G$1795,$N984),IF(J984&lt;=30,INDEX('Tabela Passaro'!$H$2:$H$1795,$N984),IF(J984&lt;=50,INDEX('Tabela Passaro'!$I$2:$I$1795,$N984),IF(J984&lt;=70,INDEX('Tabela Passaro'!$J$2:$J$1795,$N984),IF(J984&lt;=100,INDEX('Tabela Passaro'!$K$2:$K$1795,$N984),INDEX('Tabela Passaro'!$K$2:$K$1795,$N984)+(J984-100)*INDEX('Tabela Passaro'!$L$2:$L$1795,$N984))))))</f>
        <v>197.38</v>
      </c>
      <c r="S984" s="32" t="n">
        <f aca="false">K984*INDEX('Tabela Passaro'!$M$2:$M$1795,$N984)</f>
        <v>2.9336</v>
      </c>
      <c r="T984" s="32" t="n">
        <f aca="false">K984*INDEX('Tabela Passaro'!$N$2:$N$1795,$N984)</f>
        <v>1.17344</v>
      </c>
      <c r="U984" s="32" t="n">
        <f aca="false">INDEX('Tabela Passaro'!$O$2:$O$1795,$N984)</f>
        <v>5</v>
      </c>
      <c r="V984" s="32" t="n">
        <f aca="false">ROUNDUP(J984/INDEX('Tabela Passaro'!$Q$2:$Q$1795,$N984),0)*INDEX('Tabela Passaro'!$P$2:$P$1795,$N984)</f>
        <v>5</v>
      </c>
      <c r="W984" s="32" t="n">
        <f aca="false">INDEX('Tabela Passaro'!$R$2:$R$1795,$N984)</f>
        <v>30</v>
      </c>
      <c r="X984" s="32" t="n">
        <f aca="false">ROUNDUP(J984/INDEX('Tabela Passaro'!$T$2:$T$1795,$N984),0)*INDEX('Tabela Passaro'!$S$2:$S$1795,$N984)</f>
        <v>0</v>
      </c>
      <c r="Y984" s="32" t="n">
        <f aca="false">INDEX('Tabela Passaro'!$U$2:$U$1795,$N984)</f>
        <v>0</v>
      </c>
      <c r="Z984" s="32" t="n">
        <f aca="false">INDEX('Tabela Passaro'!$V$2:$V$1795,$N984)</f>
        <v>0</v>
      </c>
      <c r="AA984" s="32" t="n">
        <f aca="false">SUM(R984:Z984)</f>
        <v>241.48704</v>
      </c>
      <c r="AB984" s="33" t="n">
        <f aca="false">INDEX(Premissas!$B$5:$B$13,MATCH(A984,Premissas!$A$5:$A$13,0))</f>
        <v>0.07</v>
      </c>
      <c r="AC984" s="32" t="n">
        <f aca="false">AA984/(1-AB984)-AA984</f>
        <v>18.1764438709677</v>
      </c>
      <c r="AD984" s="32" t="n">
        <f aca="false">ROUND(AA984+AC984,2)</f>
        <v>259.66</v>
      </c>
      <c r="AE984" s="32" t="n">
        <f aca="false">AD984-L984</f>
        <v>169.21</v>
      </c>
      <c r="AF984" s="34" t="n">
        <f aca="false">IF(L984=0,0,AE984/L984)</f>
        <v>1.87075732448867</v>
      </c>
      <c r="AG984" s="22" t="str">
        <f aca="false">IF(AD984&lt;L984,"PASSARO","ATUAL")</f>
        <v>ATUAL</v>
      </c>
      <c r="AH984" s="22" t="str">
        <f aca="false">IF(P984&lt;&gt;A984,"Faixa cadastrada como "&amp;P984&amp;" na tabela; preço aplicado pela UF do CEP","")</f>
        <v/>
      </c>
      <c r="AI984" s="26" t="n">
        <v>287.63</v>
      </c>
      <c r="AJ984" s="22" t="str">
        <f aca="false">INDEX('Tabela Passaro'!$X$2:$X$1795,$N984)</f>
        <v>CAPITAL</v>
      </c>
    </row>
    <row r="985" customFormat="false" ht="15" hidden="false" customHeight="false" outlineLevel="0" collapsed="false">
      <c r="A985" s="22" t="s">
        <v>18</v>
      </c>
      <c r="B985" s="22" t="n">
        <v>1</v>
      </c>
      <c r="C985" s="22" t="s">
        <v>112</v>
      </c>
      <c r="D985" s="22" t="s">
        <v>31</v>
      </c>
      <c r="E985" s="22" t="s">
        <v>7326</v>
      </c>
      <c r="F985" s="22" t="n">
        <v>112495</v>
      </c>
      <c r="G985" s="30" t="n">
        <v>46239</v>
      </c>
      <c r="H985" s="22" t="n">
        <v>601822</v>
      </c>
      <c r="I985" s="22" t="s">
        <v>8241</v>
      </c>
      <c r="J985" s="31" t="n">
        <v>20.8</v>
      </c>
      <c r="K985" s="26" t="n">
        <v>600.86</v>
      </c>
      <c r="L985" s="26" t="n">
        <v>90.42</v>
      </c>
      <c r="M985" s="22" t="s">
        <v>3066</v>
      </c>
      <c r="N985" s="22" t="n">
        <f aca="false">MATCH(M985,'Tabela Passaro'!$A$2:$A$1795,0)</f>
        <v>704</v>
      </c>
      <c r="O985" s="22" t="str">
        <f aca="false">INDEX('Tabela Passaro'!$C$2:$C$1795,$N985)</f>
        <v>SAO LUIS</v>
      </c>
      <c r="P985" s="22" t="str">
        <f aca="false">INDEX('Tabela Passaro'!$B$2:$B$1795,$N985)</f>
        <v>MA</v>
      </c>
      <c r="Q985" s="22" t="n">
        <f aca="false">INDEX('Tabela Passaro'!$F$2:$F$1795,$N985)</f>
        <v>11</v>
      </c>
      <c r="R985" s="32" t="n">
        <f aca="false">IF(J985&lt;=10,INDEX('Tabela Passaro'!$G$2:$G$1795,$N985),IF(J985&lt;=30,INDEX('Tabela Passaro'!$H$2:$H$1795,$N985),IF(J985&lt;=50,INDEX('Tabela Passaro'!$I$2:$I$1795,$N985),IF(J985&lt;=70,INDEX('Tabela Passaro'!$J$2:$J$1795,$N985),IF(J985&lt;=100,INDEX('Tabela Passaro'!$K$2:$K$1795,$N985),INDEX('Tabela Passaro'!$K$2:$K$1795,$N985)+(J985-100)*INDEX('Tabela Passaro'!$L$2:$L$1795,$N985))))))</f>
        <v>197.38</v>
      </c>
      <c r="S985" s="32" t="n">
        <f aca="false">K985*INDEX('Tabela Passaro'!$M$2:$M$1795,$N985)</f>
        <v>3.0043</v>
      </c>
      <c r="T985" s="32" t="n">
        <f aca="false">K985*INDEX('Tabela Passaro'!$N$2:$N$1795,$N985)</f>
        <v>1.20172</v>
      </c>
      <c r="U985" s="32" t="n">
        <f aca="false">INDEX('Tabela Passaro'!$O$2:$O$1795,$N985)</f>
        <v>5</v>
      </c>
      <c r="V985" s="32" t="n">
        <f aca="false">ROUNDUP(J985/INDEX('Tabela Passaro'!$Q$2:$Q$1795,$N985),0)*INDEX('Tabela Passaro'!$P$2:$P$1795,$N985)</f>
        <v>5</v>
      </c>
      <c r="W985" s="32" t="n">
        <f aca="false">INDEX('Tabela Passaro'!$R$2:$R$1795,$N985)</f>
        <v>30</v>
      </c>
      <c r="X985" s="32" t="n">
        <f aca="false">ROUNDUP(J985/INDEX('Tabela Passaro'!$T$2:$T$1795,$N985),0)*INDEX('Tabela Passaro'!$S$2:$S$1795,$N985)</f>
        <v>0</v>
      </c>
      <c r="Y985" s="32" t="n">
        <f aca="false">INDEX('Tabela Passaro'!$U$2:$U$1795,$N985)</f>
        <v>0</v>
      </c>
      <c r="Z985" s="32" t="n">
        <f aca="false">INDEX('Tabela Passaro'!$V$2:$V$1795,$N985)</f>
        <v>0</v>
      </c>
      <c r="AA985" s="32" t="n">
        <f aca="false">SUM(R985:Z985)</f>
        <v>241.58602</v>
      </c>
      <c r="AB985" s="33" t="n">
        <f aca="false">INDEX(Premissas!$B$5:$B$13,MATCH(A985,Premissas!$A$5:$A$13,0))</f>
        <v>0.07</v>
      </c>
      <c r="AC985" s="32" t="n">
        <f aca="false">AA985/(1-AB985)-AA985</f>
        <v>18.1838939784946</v>
      </c>
      <c r="AD985" s="32" t="n">
        <f aca="false">ROUND(AA985+AC985,2)</f>
        <v>259.77</v>
      </c>
      <c r="AE985" s="32" t="n">
        <f aca="false">AD985-L985</f>
        <v>169.35</v>
      </c>
      <c r="AF985" s="34" t="n">
        <f aca="false">IF(L985=0,0,AE985/L985)</f>
        <v>1.87292634372926</v>
      </c>
      <c r="AG985" s="22" t="str">
        <f aca="false">IF(AD985&lt;L985,"PASSARO","ATUAL")</f>
        <v>ATUAL</v>
      </c>
      <c r="AH985" s="22" t="str">
        <f aca="false">IF(P985&lt;&gt;A985,"Faixa cadastrada como "&amp;P985&amp;" na tabela; preço aplicado pela UF do CEP","")</f>
        <v/>
      </c>
      <c r="AI985" s="26" t="n">
        <v>287.77</v>
      </c>
      <c r="AJ985" s="22" t="str">
        <f aca="false">INDEX('Tabela Passaro'!$X$2:$X$1795,$N985)</f>
        <v>CAPITAL</v>
      </c>
    </row>
    <row r="986" customFormat="false" ht="15" hidden="false" customHeight="false" outlineLevel="0" collapsed="false">
      <c r="A986" s="22" t="s">
        <v>18</v>
      </c>
      <c r="B986" s="22" t="n">
        <v>1</v>
      </c>
      <c r="C986" s="22" t="s">
        <v>112</v>
      </c>
      <c r="D986" s="22" t="s">
        <v>31</v>
      </c>
      <c r="E986" s="22" t="s">
        <v>7326</v>
      </c>
      <c r="F986" s="22" t="n">
        <v>12749511</v>
      </c>
      <c r="G986" s="30" t="n">
        <v>46241</v>
      </c>
      <c r="H986" s="22" t="n">
        <v>621465</v>
      </c>
      <c r="I986" s="22" t="s">
        <v>8242</v>
      </c>
      <c r="J986" s="31" t="n">
        <v>19.4</v>
      </c>
      <c r="K986" s="26" t="n">
        <v>468.55</v>
      </c>
      <c r="L986" s="26" t="n">
        <v>80.48</v>
      </c>
      <c r="M986" s="22" t="s">
        <v>3066</v>
      </c>
      <c r="N986" s="22" t="n">
        <f aca="false">MATCH(M986,'Tabela Passaro'!$A$2:$A$1795,0)</f>
        <v>704</v>
      </c>
      <c r="O986" s="22" t="str">
        <f aca="false">INDEX('Tabela Passaro'!$C$2:$C$1795,$N986)</f>
        <v>SAO LUIS</v>
      </c>
      <c r="P986" s="22" t="str">
        <f aca="false">INDEX('Tabela Passaro'!$B$2:$B$1795,$N986)</f>
        <v>MA</v>
      </c>
      <c r="Q986" s="22" t="n">
        <f aca="false">INDEX('Tabela Passaro'!$F$2:$F$1795,$N986)</f>
        <v>11</v>
      </c>
      <c r="R986" s="32" t="n">
        <f aca="false">IF(J986&lt;=10,INDEX('Tabela Passaro'!$G$2:$G$1795,$N986),IF(J986&lt;=30,INDEX('Tabela Passaro'!$H$2:$H$1795,$N986),IF(J986&lt;=50,INDEX('Tabela Passaro'!$I$2:$I$1795,$N986),IF(J986&lt;=70,INDEX('Tabela Passaro'!$J$2:$J$1795,$N986),IF(J986&lt;=100,INDEX('Tabela Passaro'!$K$2:$K$1795,$N986),INDEX('Tabela Passaro'!$K$2:$K$1795,$N986)+(J986-100)*INDEX('Tabela Passaro'!$L$2:$L$1795,$N986))))))</f>
        <v>197.38</v>
      </c>
      <c r="S986" s="32" t="n">
        <f aca="false">K986*INDEX('Tabela Passaro'!$M$2:$M$1795,$N986)</f>
        <v>2.34275</v>
      </c>
      <c r="T986" s="32" t="n">
        <f aca="false">K986*INDEX('Tabela Passaro'!$N$2:$N$1795,$N986)</f>
        <v>0.9371</v>
      </c>
      <c r="U986" s="32" t="n">
        <f aca="false">INDEX('Tabela Passaro'!$O$2:$O$1795,$N986)</f>
        <v>5</v>
      </c>
      <c r="V986" s="32" t="n">
        <f aca="false">ROUNDUP(J986/INDEX('Tabela Passaro'!$Q$2:$Q$1795,$N986),0)*INDEX('Tabela Passaro'!$P$2:$P$1795,$N986)</f>
        <v>5</v>
      </c>
      <c r="W986" s="32" t="n">
        <f aca="false">INDEX('Tabela Passaro'!$R$2:$R$1795,$N986)</f>
        <v>30</v>
      </c>
      <c r="X986" s="32" t="n">
        <f aca="false">ROUNDUP(J986/INDEX('Tabela Passaro'!$T$2:$T$1795,$N986),0)*INDEX('Tabela Passaro'!$S$2:$S$1795,$N986)</f>
        <v>0</v>
      </c>
      <c r="Y986" s="32" t="n">
        <f aca="false">INDEX('Tabela Passaro'!$U$2:$U$1795,$N986)</f>
        <v>0</v>
      </c>
      <c r="Z986" s="32" t="n">
        <f aca="false">INDEX('Tabela Passaro'!$V$2:$V$1795,$N986)</f>
        <v>0</v>
      </c>
      <c r="AA986" s="32" t="n">
        <f aca="false">SUM(R986:Z986)</f>
        <v>240.65985</v>
      </c>
      <c r="AB986" s="33" t="n">
        <f aca="false">INDEX(Premissas!$B$5:$B$13,MATCH(A986,Premissas!$A$5:$A$13,0))</f>
        <v>0.07</v>
      </c>
      <c r="AC986" s="32" t="n">
        <f aca="false">AA986/(1-AB986)-AA986</f>
        <v>18.1141822580645</v>
      </c>
      <c r="AD986" s="32" t="n">
        <f aca="false">ROUND(AA986+AC986,2)</f>
        <v>258.77</v>
      </c>
      <c r="AE986" s="32" t="n">
        <f aca="false">AD986-L986</f>
        <v>178.29</v>
      </c>
      <c r="AF986" s="34" t="n">
        <f aca="false">IF(L986=0,0,AE986/L986)</f>
        <v>2.21533300198807</v>
      </c>
      <c r="AG986" s="22" t="str">
        <f aca="false">IF(AD986&lt;L986,"PASSARO","ATUAL")</f>
        <v>ATUAL</v>
      </c>
      <c r="AH986" s="22" t="str">
        <f aca="false">IF(P986&lt;&gt;A986,"Faixa cadastrada como "&amp;P986&amp;" na tabela; preço aplicado pela UF do CEP","")</f>
        <v/>
      </c>
      <c r="AI986" s="26" t="n">
        <v>286.01</v>
      </c>
      <c r="AJ986" s="22" t="str">
        <f aca="false">INDEX('Tabela Passaro'!$X$2:$X$1795,$N986)</f>
        <v>CAPITAL</v>
      </c>
    </row>
    <row r="987" customFormat="false" ht="15" hidden="false" customHeight="false" outlineLevel="0" collapsed="false">
      <c r="A987" s="22" t="s">
        <v>18</v>
      </c>
      <c r="B987" s="22" t="n">
        <v>1</v>
      </c>
      <c r="C987" s="22" t="s">
        <v>112</v>
      </c>
      <c r="D987" s="22" t="s">
        <v>31</v>
      </c>
      <c r="E987" s="22" t="s">
        <v>7326</v>
      </c>
      <c r="F987" s="22" t="n">
        <v>12749518</v>
      </c>
      <c r="G987" s="30" t="n">
        <v>46241</v>
      </c>
      <c r="H987" s="22" t="n">
        <v>621467</v>
      </c>
      <c r="I987" s="22" t="s">
        <v>8243</v>
      </c>
      <c r="J987" s="31" t="n">
        <v>19.4</v>
      </c>
      <c r="K987" s="26" t="n">
        <v>449.11</v>
      </c>
      <c r="L987" s="26" t="n">
        <v>80.28</v>
      </c>
      <c r="M987" s="22" t="s">
        <v>3066</v>
      </c>
      <c r="N987" s="22" t="n">
        <f aca="false">MATCH(M987,'Tabela Passaro'!$A$2:$A$1795,0)</f>
        <v>704</v>
      </c>
      <c r="O987" s="22" t="str">
        <f aca="false">INDEX('Tabela Passaro'!$C$2:$C$1795,$N987)</f>
        <v>SAO LUIS</v>
      </c>
      <c r="P987" s="22" t="str">
        <f aca="false">INDEX('Tabela Passaro'!$B$2:$B$1795,$N987)</f>
        <v>MA</v>
      </c>
      <c r="Q987" s="22" t="n">
        <f aca="false">INDEX('Tabela Passaro'!$F$2:$F$1795,$N987)</f>
        <v>11</v>
      </c>
      <c r="R987" s="32" t="n">
        <f aca="false">IF(J987&lt;=10,INDEX('Tabela Passaro'!$G$2:$G$1795,$N987),IF(J987&lt;=30,INDEX('Tabela Passaro'!$H$2:$H$1795,$N987),IF(J987&lt;=50,INDEX('Tabela Passaro'!$I$2:$I$1795,$N987),IF(J987&lt;=70,INDEX('Tabela Passaro'!$J$2:$J$1795,$N987),IF(J987&lt;=100,INDEX('Tabela Passaro'!$K$2:$K$1795,$N987),INDEX('Tabela Passaro'!$K$2:$K$1795,$N987)+(J987-100)*INDEX('Tabela Passaro'!$L$2:$L$1795,$N987))))))</f>
        <v>197.38</v>
      </c>
      <c r="S987" s="32" t="n">
        <f aca="false">K987*INDEX('Tabela Passaro'!$M$2:$M$1795,$N987)</f>
        <v>2.24555</v>
      </c>
      <c r="T987" s="32" t="n">
        <f aca="false">K987*INDEX('Tabela Passaro'!$N$2:$N$1795,$N987)</f>
        <v>0.89822</v>
      </c>
      <c r="U987" s="32" t="n">
        <f aca="false">INDEX('Tabela Passaro'!$O$2:$O$1795,$N987)</f>
        <v>5</v>
      </c>
      <c r="V987" s="32" t="n">
        <f aca="false">ROUNDUP(J987/INDEX('Tabela Passaro'!$Q$2:$Q$1795,$N987),0)*INDEX('Tabela Passaro'!$P$2:$P$1795,$N987)</f>
        <v>5</v>
      </c>
      <c r="W987" s="32" t="n">
        <f aca="false">INDEX('Tabela Passaro'!$R$2:$R$1795,$N987)</f>
        <v>30</v>
      </c>
      <c r="X987" s="32" t="n">
        <f aca="false">ROUNDUP(J987/INDEX('Tabela Passaro'!$T$2:$T$1795,$N987),0)*INDEX('Tabela Passaro'!$S$2:$S$1795,$N987)</f>
        <v>0</v>
      </c>
      <c r="Y987" s="32" t="n">
        <f aca="false">INDEX('Tabela Passaro'!$U$2:$U$1795,$N987)</f>
        <v>0</v>
      </c>
      <c r="Z987" s="32" t="n">
        <f aca="false">INDEX('Tabela Passaro'!$V$2:$V$1795,$N987)</f>
        <v>0</v>
      </c>
      <c r="AA987" s="32" t="n">
        <f aca="false">SUM(R987:Z987)</f>
        <v>240.52377</v>
      </c>
      <c r="AB987" s="33" t="n">
        <f aca="false">INDEX(Premissas!$B$5:$B$13,MATCH(A987,Premissas!$A$5:$A$13,0))</f>
        <v>0.07</v>
      </c>
      <c r="AC987" s="32" t="n">
        <f aca="false">AA987/(1-AB987)-AA987</f>
        <v>18.1039396774194</v>
      </c>
      <c r="AD987" s="32" t="n">
        <f aca="false">ROUND(AA987+AC987,2)</f>
        <v>258.63</v>
      </c>
      <c r="AE987" s="32" t="n">
        <f aca="false">AD987-L987</f>
        <v>178.35</v>
      </c>
      <c r="AF987" s="34" t="n">
        <f aca="false">IF(L987=0,0,AE987/L987)</f>
        <v>2.22159940209268</v>
      </c>
      <c r="AG987" s="22" t="str">
        <f aca="false">IF(AD987&lt;L987,"PASSARO","ATUAL")</f>
        <v>ATUAL</v>
      </c>
      <c r="AH987" s="22" t="str">
        <f aca="false">IF(P987&lt;&gt;A987,"Faixa cadastrada como "&amp;P987&amp;" na tabela; preço aplicado pela UF do CEP","")</f>
        <v/>
      </c>
      <c r="AI987" s="26" t="n">
        <v>285.82</v>
      </c>
      <c r="AJ987" s="22" t="str">
        <f aca="false">INDEX('Tabela Passaro'!$X$2:$X$1795,$N987)</f>
        <v>CAPITAL</v>
      </c>
    </row>
    <row r="988" customFormat="false" ht="15" hidden="false" customHeight="false" outlineLevel="0" collapsed="false">
      <c r="A988" s="22" t="s">
        <v>18</v>
      </c>
      <c r="B988" s="22" t="n">
        <v>1</v>
      </c>
      <c r="C988" s="22" t="s">
        <v>112</v>
      </c>
      <c r="D988" s="22" t="s">
        <v>31</v>
      </c>
      <c r="E988" s="22" t="s">
        <v>7326</v>
      </c>
      <c r="F988" s="22" t="n">
        <v>12767650</v>
      </c>
      <c r="G988" s="30" t="n">
        <v>46245</v>
      </c>
      <c r="H988" s="22" t="n">
        <v>622555</v>
      </c>
      <c r="I988" s="22" t="s">
        <v>8244</v>
      </c>
      <c r="J988" s="31" t="n">
        <v>22.3</v>
      </c>
      <c r="K988" s="26" t="n">
        <v>623.35</v>
      </c>
      <c r="L988" s="26" t="n">
        <v>91.02</v>
      </c>
      <c r="M988" s="22" t="s">
        <v>3066</v>
      </c>
      <c r="N988" s="22" t="n">
        <f aca="false">MATCH(M988,'Tabela Passaro'!$A$2:$A$1795,0)</f>
        <v>704</v>
      </c>
      <c r="O988" s="22" t="str">
        <f aca="false">INDEX('Tabela Passaro'!$C$2:$C$1795,$N988)</f>
        <v>SAO LUIS</v>
      </c>
      <c r="P988" s="22" t="str">
        <f aca="false">INDEX('Tabela Passaro'!$B$2:$B$1795,$N988)</f>
        <v>MA</v>
      </c>
      <c r="Q988" s="22" t="n">
        <f aca="false">INDEX('Tabela Passaro'!$F$2:$F$1795,$N988)</f>
        <v>11</v>
      </c>
      <c r="R988" s="32" t="n">
        <f aca="false">IF(J988&lt;=10,INDEX('Tabela Passaro'!$G$2:$G$1795,$N988),IF(J988&lt;=30,INDEX('Tabela Passaro'!$H$2:$H$1795,$N988),IF(J988&lt;=50,INDEX('Tabela Passaro'!$I$2:$I$1795,$N988),IF(J988&lt;=70,INDEX('Tabela Passaro'!$J$2:$J$1795,$N988),IF(J988&lt;=100,INDEX('Tabela Passaro'!$K$2:$K$1795,$N988),INDEX('Tabela Passaro'!$K$2:$K$1795,$N988)+(J988-100)*INDEX('Tabela Passaro'!$L$2:$L$1795,$N988))))))</f>
        <v>197.38</v>
      </c>
      <c r="S988" s="32" t="n">
        <f aca="false">K988*INDEX('Tabela Passaro'!$M$2:$M$1795,$N988)</f>
        <v>3.11675</v>
      </c>
      <c r="T988" s="32" t="n">
        <f aca="false">K988*INDEX('Tabela Passaro'!$N$2:$N$1795,$N988)</f>
        <v>1.2467</v>
      </c>
      <c r="U988" s="32" t="n">
        <f aca="false">INDEX('Tabela Passaro'!$O$2:$O$1795,$N988)</f>
        <v>5</v>
      </c>
      <c r="V988" s="32" t="n">
        <f aca="false">ROUNDUP(J988/INDEX('Tabela Passaro'!$Q$2:$Q$1795,$N988),0)*INDEX('Tabela Passaro'!$P$2:$P$1795,$N988)</f>
        <v>5</v>
      </c>
      <c r="W988" s="32" t="n">
        <f aca="false">INDEX('Tabela Passaro'!$R$2:$R$1795,$N988)</f>
        <v>30</v>
      </c>
      <c r="X988" s="32" t="n">
        <f aca="false">ROUNDUP(J988/INDEX('Tabela Passaro'!$T$2:$T$1795,$N988),0)*INDEX('Tabela Passaro'!$S$2:$S$1795,$N988)</f>
        <v>0</v>
      </c>
      <c r="Y988" s="32" t="n">
        <f aca="false">INDEX('Tabela Passaro'!$U$2:$U$1795,$N988)</f>
        <v>0</v>
      </c>
      <c r="Z988" s="32" t="n">
        <f aca="false">INDEX('Tabela Passaro'!$V$2:$V$1795,$N988)</f>
        <v>0</v>
      </c>
      <c r="AA988" s="32" t="n">
        <f aca="false">SUM(R988:Z988)</f>
        <v>241.74345</v>
      </c>
      <c r="AB988" s="33" t="n">
        <f aca="false">INDEX(Premissas!$B$5:$B$13,MATCH(A988,Premissas!$A$5:$A$13,0))</f>
        <v>0.07</v>
      </c>
      <c r="AC988" s="32" t="n">
        <f aca="false">AA988/(1-AB988)-AA988</f>
        <v>18.1957435483871</v>
      </c>
      <c r="AD988" s="32" t="n">
        <f aca="false">ROUND(AA988+AC988,2)</f>
        <v>259.94</v>
      </c>
      <c r="AE988" s="32" t="n">
        <f aca="false">AD988-L988</f>
        <v>168.92</v>
      </c>
      <c r="AF988" s="34" t="n">
        <f aca="false">IF(L988=0,0,AE988/L988)</f>
        <v>1.85585585585586</v>
      </c>
      <c r="AG988" s="22" t="str">
        <f aca="false">IF(AD988&lt;L988,"PASSARO","ATUAL")</f>
        <v>ATUAL</v>
      </c>
      <c r="AH988" s="22" t="str">
        <f aca="false">IF(P988&lt;&gt;A988,"Faixa cadastrada como "&amp;P988&amp;" na tabela; preço aplicado pela UF do CEP","")</f>
        <v/>
      </c>
      <c r="AI988" s="26" t="n">
        <v>288.96</v>
      </c>
      <c r="AJ988" s="22" t="str">
        <f aca="false">INDEX('Tabela Passaro'!$X$2:$X$1795,$N988)</f>
        <v>CAPITAL</v>
      </c>
    </row>
    <row r="989" customFormat="false" ht="15" hidden="false" customHeight="false" outlineLevel="0" collapsed="false">
      <c r="A989" s="22" t="s">
        <v>18</v>
      </c>
      <c r="B989" s="22" t="n">
        <v>1</v>
      </c>
      <c r="C989" s="22" t="s">
        <v>112</v>
      </c>
      <c r="D989" s="22" t="s">
        <v>31</v>
      </c>
      <c r="E989" s="22" t="s">
        <v>7326</v>
      </c>
      <c r="F989" s="22" t="n">
        <v>12767930</v>
      </c>
      <c r="G989" s="30" t="n">
        <v>46245</v>
      </c>
      <c r="H989" s="22" t="n">
        <v>623758</v>
      </c>
      <c r="I989" s="22" t="s">
        <v>8245</v>
      </c>
      <c r="J989" s="31" t="n">
        <v>21.5</v>
      </c>
      <c r="K989" s="26" t="n">
        <v>888.97</v>
      </c>
      <c r="L989" s="26" t="n">
        <v>93.56</v>
      </c>
      <c r="M989" s="22" t="s">
        <v>3066</v>
      </c>
      <c r="N989" s="22" t="n">
        <f aca="false">MATCH(M989,'Tabela Passaro'!$A$2:$A$1795,0)</f>
        <v>704</v>
      </c>
      <c r="O989" s="22" t="str">
        <f aca="false">INDEX('Tabela Passaro'!$C$2:$C$1795,$N989)</f>
        <v>SAO LUIS</v>
      </c>
      <c r="P989" s="22" t="str">
        <f aca="false">INDEX('Tabela Passaro'!$B$2:$B$1795,$N989)</f>
        <v>MA</v>
      </c>
      <c r="Q989" s="22" t="n">
        <f aca="false">INDEX('Tabela Passaro'!$F$2:$F$1795,$N989)</f>
        <v>11</v>
      </c>
      <c r="R989" s="32" t="n">
        <f aca="false">IF(J989&lt;=10,INDEX('Tabela Passaro'!$G$2:$G$1795,$N989),IF(J989&lt;=30,INDEX('Tabela Passaro'!$H$2:$H$1795,$N989),IF(J989&lt;=50,INDEX('Tabela Passaro'!$I$2:$I$1795,$N989),IF(J989&lt;=70,INDEX('Tabela Passaro'!$J$2:$J$1795,$N989),IF(J989&lt;=100,INDEX('Tabela Passaro'!$K$2:$K$1795,$N989),INDEX('Tabela Passaro'!$K$2:$K$1795,$N989)+(J989-100)*INDEX('Tabela Passaro'!$L$2:$L$1795,$N989))))))</f>
        <v>197.38</v>
      </c>
      <c r="S989" s="32" t="n">
        <f aca="false">K989*INDEX('Tabela Passaro'!$M$2:$M$1795,$N989)</f>
        <v>4.44485</v>
      </c>
      <c r="T989" s="32" t="n">
        <f aca="false">K989*INDEX('Tabela Passaro'!$N$2:$N$1795,$N989)</f>
        <v>1.77794</v>
      </c>
      <c r="U989" s="32" t="n">
        <f aca="false">INDEX('Tabela Passaro'!$O$2:$O$1795,$N989)</f>
        <v>5</v>
      </c>
      <c r="V989" s="32" t="n">
        <f aca="false">ROUNDUP(J989/INDEX('Tabela Passaro'!$Q$2:$Q$1795,$N989),0)*INDEX('Tabela Passaro'!$P$2:$P$1795,$N989)</f>
        <v>5</v>
      </c>
      <c r="W989" s="32" t="n">
        <f aca="false">INDEX('Tabela Passaro'!$R$2:$R$1795,$N989)</f>
        <v>30</v>
      </c>
      <c r="X989" s="32" t="n">
        <f aca="false">ROUNDUP(J989/INDEX('Tabela Passaro'!$T$2:$T$1795,$N989),0)*INDEX('Tabela Passaro'!$S$2:$S$1795,$N989)</f>
        <v>0</v>
      </c>
      <c r="Y989" s="32" t="n">
        <f aca="false">INDEX('Tabela Passaro'!$U$2:$U$1795,$N989)</f>
        <v>0</v>
      </c>
      <c r="Z989" s="32" t="n">
        <f aca="false">INDEX('Tabela Passaro'!$V$2:$V$1795,$N989)</f>
        <v>0</v>
      </c>
      <c r="AA989" s="32" t="n">
        <f aca="false">SUM(R989:Z989)</f>
        <v>243.60279</v>
      </c>
      <c r="AB989" s="33" t="n">
        <f aca="false">INDEX(Premissas!$B$5:$B$13,MATCH(A989,Premissas!$A$5:$A$13,0))</f>
        <v>0.07</v>
      </c>
      <c r="AC989" s="32" t="n">
        <f aca="false">AA989/(1-AB989)-AA989</f>
        <v>18.3356938709678</v>
      </c>
      <c r="AD989" s="32" t="n">
        <f aca="false">ROUND(AA989+AC989,2)</f>
        <v>261.94</v>
      </c>
      <c r="AE989" s="32" t="n">
        <f aca="false">AD989-L989</f>
        <v>168.38</v>
      </c>
      <c r="AF989" s="34" t="n">
        <f aca="false">IF(L989=0,0,AE989/L989)</f>
        <v>1.79970072680633</v>
      </c>
      <c r="AG989" s="22" t="str">
        <f aca="false">IF(AD989&lt;L989,"PASSARO","ATUAL")</f>
        <v>ATUAL</v>
      </c>
      <c r="AH989" s="22" t="str">
        <f aca="false">IF(P989&lt;&gt;A989,"Faixa cadastrada como "&amp;P989&amp;" na tabela; preço aplicado pela UF do CEP","")</f>
        <v/>
      </c>
      <c r="AI989" s="26" t="n">
        <v>291.04</v>
      </c>
      <c r="AJ989" s="22" t="str">
        <f aca="false">INDEX('Tabela Passaro'!$X$2:$X$1795,$N989)</f>
        <v>CAPITAL</v>
      </c>
    </row>
    <row r="990" customFormat="false" ht="15" hidden="false" customHeight="false" outlineLevel="0" collapsed="false">
      <c r="A990" s="22" t="s">
        <v>18</v>
      </c>
      <c r="B990" s="22" t="n">
        <v>1</v>
      </c>
      <c r="C990" s="22" t="s">
        <v>112</v>
      </c>
      <c r="D990" s="22" t="s">
        <v>31</v>
      </c>
      <c r="E990" s="22" t="s">
        <v>7326</v>
      </c>
      <c r="F990" s="22" t="n">
        <v>12790524</v>
      </c>
      <c r="G990" s="30" t="n">
        <v>46248</v>
      </c>
      <c r="H990" s="22" t="n">
        <v>624918</v>
      </c>
      <c r="I990" s="22" t="s">
        <v>8246</v>
      </c>
      <c r="J990" s="31" t="n">
        <v>22.4</v>
      </c>
      <c r="K990" s="26" t="n">
        <v>770.08</v>
      </c>
      <c r="L990" s="26" t="n">
        <v>91.71</v>
      </c>
      <c r="M990" s="22" t="s">
        <v>3066</v>
      </c>
      <c r="N990" s="22" t="n">
        <f aca="false">MATCH(M990,'Tabela Passaro'!$A$2:$A$1795,0)</f>
        <v>704</v>
      </c>
      <c r="O990" s="22" t="str">
        <f aca="false">INDEX('Tabela Passaro'!$C$2:$C$1795,$N990)</f>
        <v>SAO LUIS</v>
      </c>
      <c r="P990" s="22" t="str">
        <f aca="false">INDEX('Tabela Passaro'!$B$2:$B$1795,$N990)</f>
        <v>MA</v>
      </c>
      <c r="Q990" s="22" t="n">
        <f aca="false">INDEX('Tabela Passaro'!$F$2:$F$1795,$N990)</f>
        <v>11</v>
      </c>
      <c r="R990" s="32" t="n">
        <f aca="false">IF(J990&lt;=10,INDEX('Tabela Passaro'!$G$2:$G$1795,$N990),IF(J990&lt;=30,INDEX('Tabela Passaro'!$H$2:$H$1795,$N990),IF(J990&lt;=50,INDEX('Tabela Passaro'!$I$2:$I$1795,$N990),IF(J990&lt;=70,INDEX('Tabela Passaro'!$J$2:$J$1795,$N990),IF(J990&lt;=100,INDEX('Tabela Passaro'!$K$2:$K$1795,$N990),INDEX('Tabela Passaro'!$K$2:$K$1795,$N990)+(J990-100)*INDEX('Tabela Passaro'!$L$2:$L$1795,$N990))))))</f>
        <v>197.38</v>
      </c>
      <c r="S990" s="32" t="n">
        <f aca="false">K990*INDEX('Tabela Passaro'!$M$2:$M$1795,$N990)</f>
        <v>3.8504</v>
      </c>
      <c r="T990" s="32" t="n">
        <f aca="false">K990*INDEX('Tabela Passaro'!$N$2:$N$1795,$N990)</f>
        <v>1.54016</v>
      </c>
      <c r="U990" s="32" t="n">
        <f aca="false">INDEX('Tabela Passaro'!$O$2:$O$1795,$N990)</f>
        <v>5</v>
      </c>
      <c r="V990" s="32" t="n">
        <f aca="false">ROUNDUP(J990/INDEX('Tabela Passaro'!$Q$2:$Q$1795,$N990),0)*INDEX('Tabela Passaro'!$P$2:$P$1795,$N990)</f>
        <v>5</v>
      </c>
      <c r="W990" s="32" t="n">
        <f aca="false">INDEX('Tabela Passaro'!$R$2:$R$1795,$N990)</f>
        <v>30</v>
      </c>
      <c r="X990" s="32" t="n">
        <f aca="false">ROUNDUP(J990/INDEX('Tabela Passaro'!$T$2:$T$1795,$N990),0)*INDEX('Tabela Passaro'!$S$2:$S$1795,$N990)</f>
        <v>0</v>
      </c>
      <c r="Y990" s="32" t="n">
        <f aca="false">INDEX('Tabela Passaro'!$U$2:$U$1795,$N990)</f>
        <v>0</v>
      </c>
      <c r="Z990" s="32" t="n">
        <f aca="false">INDEX('Tabela Passaro'!$V$2:$V$1795,$N990)</f>
        <v>0</v>
      </c>
      <c r="AA990" s="32" t="n">
        <f aca="false">SUM(R990:Z990)</f>
        <v>242.77056</v>
      </c>
      <c r="AB990" s="33" t="n">
        <f aca="false">INDEX(Premissas!$B$5:$B$13,MATCH(A990,Premissas!$A$5:$A$13,0))</f>
        <v>0.07</v>
      </c>
      <c r="AC990" s="32" t="n">
        <f aca="false">AA990/(1-AB990)-AA990</f>
        <v>18.2730529032258</v>
      </c>
      <c r="AD990" s="32" t="n">
        <f aca="false">ROUND(AA990+AC990,2)</f>
        <v>261.04</v>
      </c>
      <c r="AE990" s="32" t="n">
        <f aca="false">AD990-L990</f>
        <v>169.33</v>
      </c>
      <c r="AF990" s="34" t="n">
        <f aca="false">IF(L990=0,0,AE990/L990)</f>
        <v>1.84636353723694</v>
      </c>
      <c r="AG990" s="22" t="str">
        <f aca="false">IF(AD990&lt;L990,"PASSARO","ATUAL")</f>
        <v>ATUAL</v>
      </c>
      <c r="AH990" s="22" t="str">
        <f aca="false">IF(P990&lt;&gt;A990,"Faixa cadastrada como "&amp;P990&amp;" na tabela; preço aplicado pela UF do CEP","")</f>
        <v/>
      </c>
      <c r="AI990" s="26" t="n">
        <v>290.38</v>
      </c>
      <c r="AJ990" s="22" t="str">
        <f aca="false">INDEX('Tabela Passaro'!$X$2:$X$1795,$N990)</f>
        <v>CAPITAL</v>
      </c>
    </row>
    <row r="991" customFormat="false" ht="15" hidden="false" customHeight="false" outlineLevel="0" collapsed="false">
      <c r="A991" s="22" t="s">
        <v>18</v>
      </c>
      <c r="B991" s="22" t="n">
        <v>1</v>
      </c>
      <c r="C991" s="22" t="s">
        <v>112</v>
      </c>
      <c r="D991" s="22" t="s">
        <v>31</v>
      </c>
      <c r="E991" s="22" t="s">
        <v>7326</v>
      </c>
      <c r="F991" s="22" t="n">
        <v>12798133</v>
      </c>
      <c r="G991" s="30" t="n">
        <v>46251</v>
      </c>
      <c r="H991" s="22" t="n">
        <v>625566</v>
      </c>
      <c r="I991" s="22" t="s">
        <v>8247</v>
      </c>
      <c r="J991" s="31" t="n">
        <v>20.8</v>
      </c>
      <c r="K991" s="26" t="n">
        <v>635.18</v>
      </c>
      <c r="L991" s="26" t="n">
        <v>92.17</v>
      </c>
      <c r="M991" s="22" t="s">
        <v>3066</v>
      </c>
      <c r="N991" s="22" t="n">
        <f aca="false">MATCH(M991,'Tabela Passaro'!$A$2:$A$1795,0)</f>
        <v>704</v>
      </c>
      <c r="O991" s="22" t="str">
        <f aca="false">INDEX('Tabela Passaro'!$C$2:$C$1795,$N991)</f>
        <v>SAO LUIS</v>
      </c>
      <c r="P991" s="22" t="str">
        <f aca="false">INDEX('Tabela Passaro'!$B$2:$B$1795,$N991)</f>
        <v>MA</v>
      </c>
      <c r="Q991" s="22" t="n">
        <f aca="false">INDEX('Tabela Passaro'!$F$2:$F$1795,$N991)</f>
        <v>11</v>
      </c>
      <c r="R991" s="32" t="n">
        <f aca="false">IF(J991&lt;=10,INDEX('Tabela Passaro'!$G$2:$G$1795,$N991),IF(J991&lt;=30,INDEX('Tabela Passaro'!$H$2:$H$1795,$N991),IF(J991&lt;=50,INDEX('Tabela Passaro'!$I$2:$I$1795,$N991),IF(J991&lt;=70,INDEX('Tabela Passaro'!$J$2:$J$1795,$N991),IF(J991&lt;=100,INDEX('Tabela Passaro'!$K$2:$K$1795,$N991),INDEX('Tabela Passaro'!$K$2:$K$1795,$N991)+(J991-100)*INDEX('Tabela Passaro'!$L$2:$L$1795,$N991))))))</f>
        <v>197.38</v>
      </c>
      <c r="S991" s="32" t="n">
        <f aca="false">K991*INDEX('Tabela Passaro'!$M$2:$M$1795,$N991)</f>
        <v>3.1759</v>
      </c>
      <c r="T991" s="32" t="n">
        <f aca="false">K991*INDEX('Tabela Passaro'!$N$2:$N$1795,$N991)</f>
        <v>1.27036</v>
      </c>
      <c r="U991" s="32" t="n">
        <f aca="false">INDEX('Tabela Passaro'!$O$2:$O$1795,$N991)</f>
        <v>5</v>
      </c>
      <c r="V991" s="32" t="n">
        <f aca="false">ROUNDUP(J991/INDEX('Tabela Passaro'!$Q$2:$Q$1795,$N991),0)*INDEX('Tabela Passaro'!$P$2:$P$1795,$N991)</f>
        <v>5</v>
      </c>
      <c r="W991" s="32" t="n">
        <f aca="false">INDEX('Tabela Passaro'!$R$2:$R$1795,$N991)</f>
        <v>30</v>
      </c>
      <c r="X991" s="32" t="n">
        <f aca="false">ROUNDUP(J991/INDEX('Tabela Passaro'!$T$2:$T$1795,$N991),0)*INDEX('Tabela Passaro'!$S$2:$S$1795,$N991)</f>
        <v>0</v>
      </c>
      <c r="Y991" s="32" t="n">
        <f aca="false">INDEX('Tabela Passaro'!$U$2:$U$1795,$N991)</f>
        <v>0</v>
      </c>
      <c r="Z991" s="32" t="n">
        <f aca="false">INDEX('Tabela Passaro'!$V$2:$V$1795,$N991)</f>
        <v>0</v>
      </c>
      <c r="AA991" s="32" t="n">
        <f aca="false">SUM(R991:Z991)</f>
        <v>241.82626</v>
      </c>
      <c r="AB991" s="33" t="n">
        <f aca="false">INDEX(Premissas!$B$5:$B$13,MATCH(A991,Premissas!$A$5:$A$13,0))</f>
        <v>0.07</v>
      </c>
      <c r="AC991" s="32" t="n">
        <f aca="false">AA991/(1-AB991)-AA991</f>
        <v>18.2019765591398</v>
      </c>
      <c r="AD991" s="32" t="n">
        <f aca="false">ROUND(AA991+AC991,2)</f>
        <v>260.03</v>
      </c>
      <c r="AE991" s="32" t="n">
        <f aca="false">AD991-L991</f>
        <v>167.86</v>
      </c>
      <c r="AF991" s="34" t="n">
        <f aca="false">IF(L991=0,0,AE991/L991)</f>
        <v>1.82119995660193</v>
      </c>
      <c r="AG991" s="22" t="str">
        <f aca="false">IF(AD991&lt;L991,"PASSARO","ATUAL")</f>
        <v>ATUAL</v>
      </c>
      <c r="AH991" s="22" t="str">
        <f aca="false">IF(P991&lt;&gt;A991,"Faixa cadastrada como "&amp;P991&amp;" na tabela; preço aplicado pela UF do CEP","")</f>
        <v/>
      </c>
      <c r="AI991" s="26" t="n">
        <v>288.1</v>
      </c>
      <c r="AJ991" s="22" t="str">
        <f aca="false">INDEX('Tabela Passaro'!$X$2:$X$1795,$N991)</f>
        <v>CAPITAL</v>
      </c>
    </row>
    <row r="992" customFormat="false" ht="15" hidden="false" customHeight="false" outlineLevel="0" collapsed="false">
      <c r="A992" s="22" t="s">
        <v>18</v>
      </c>
      <c r="B992" s="22" t="n">
        <v>1</v>
      </c>
      <c r="C992" s="22" t="s">
        <v>112</v>
      </c>
      <c r="D992" s="22" t="s">
        <v>31</v>
      </c>
      <c r="E992" s="22" t="s">
        <v>7326</v>
      </c>
      <c r="F992" s="22" t="n">
        <v>12808722</v>
      </c>
      <c r="G992" s="30" t="n">
        <v>46252</v>
      </c>
      <c r="H992" s="22" t="n">
        <v>626466</v>
      </c>
      <c r="I992" s="22" t="s">
        <v>8248</v>
      </c>
      <c r="J992" s="31" t="n">
        <v>17.2</v>
      </c>
      <c r="K992" s="26" t="n">
        <v>350.99</v>
      </c>
      <c r="L992" s="26" t="n">
        <v>62.6</v>
      </c>
      <c r="M992" s="22" t="s">
        <v>3066</v>
      </c>
      <c r="N992" s="22" t="n">
        <f aca="false">MATCH(M992,'Tabela Passaro'!$A$2:$A$1795,0)</f>
        <v>704</v>
      </c>
      <c r="O992" s="22" t="str">
        <f aca="false">INDEX('Tabela Passaro'!$C$2:$C$1795,$N992)</f>
        <v>SAO LUIS</v>
      </c>
      <c r="P992" s="22" t="str">
        <f aca="false">INDEX('Tabela Passaro'!$B$2:$B$1795,$N992)</f>
        <v>MA</v>
      </c>
      <c r="Q992" s="22" t="n">
        <f aca="false">INDEX('Tabela Passaro'!$F$2:$F$1795,$N992)</f>
        <v>11</v>
      </c>
      <c r="R992" s="32" t="n">
        <f aca="false">IF(J992&lt;=10,INDEX('Tabela Passaro'!$G$2:$G$1795,$N992),IF(J992&lt;=30,INDEX('Tabela Passaro'!$H$2:$H$1795,$N992),IF(J992&lt;=50,INDEX('Tabela Passaro'!$I$2:$I$1795,$N992),IF(J992&lt;=70,INDEX('Tabela Passaro'!$J$2:$J$1795,$N992),IF(J992&lt;=100,INDEX('Tabela Passaro'!$K$2:$K$1795,$N992),INDEX('Tabela Passaro'!$K$2:$K$1795,$N992)+(J992-100)*INDEX('Tabela Passaro'!$L$2:$L$1795,$N992))))))</f>
        <v>197.38</v>
      </c>
      <c r="S992" s="32" t="n">
        <f aca="false">K992*INDEX('Tabela Passaro'!$M$2:$M$1795,$N992)</f>
        <v>1.75495</v>
      </c>
      <c r="T992" s="32" t="n">
        <f aca="false">K992*INDEX('Tabela Passaro'!$N$2:$N$1795,$N992)</f>
        <v>0.70198</v>
      </c>
      <c r="U992" s="32" t="n">
        <f aca="false">INDEX('Tabela Passaro'!$O$2:$O$1795,$N992)</f>
        <v>5</v>
      </c>
      <c r="V992" s="32" t="n">
        <f aca="false">ROUNDUP(J992/INDEX('Tabela Passaro'!$Q$2:$Q$1795,$N992),0)*INDEX('Tabela Passaro'!$P$2:$P$1795,$N992)</f>
        <v>5</v>
      </c>
      <c r="W992" s="32" t="n">
        <f aca="false">INDEX('Tabela Passaro'!$R$2:$R$1795,$N992)</f>
        <v>30</v>
      </c>
      <c r="X992" s="32" t="n">
        <f aca="false">ROUNDUP(J992/INDEX('Tabela Passaro'!$T$2:$T$1795,$N992),0)*INDEX('Tabela Passaro'!$S$2:$S$1795,$N992)</f>
        <v>0</v>
      </c>
      <c r="Y992" s="32" t="n">
        <f aca="false">INDEX('Tabela Passaro'!$U$2:$U$1795,$N992)</f>
        <v>0</v>
      </c>
      <c r="Z992" s="32" t="n">
        <f aca="false">INDEX('Tabela Passaro'!$V$2:$V$1795,$N992)</f>
        <v>0</v>
      </c>
      <c r="AA992" s="32" t="n">
        <f aca="false">SUM(R992:Z992)</f>
        <v>239.83693</v>
      </c>
      <c r="AB992" s="33" t="n">
        <f aca="false">INDEX(Premissas!$B$5:$B$13,MATCH(A992,Premissas!$A$5:$A$13,0))</f>
        <v>0.07</v>
      </c>
      <c r="AC992" s="32" t="n">
        <f aca="false">AA992/(1-AB992)-AA992</f>
        <v>18.0522420430108</v>
      </c>
      <c r="AD992" s="32" t="n">
        <f aca="false">ROUND(AA992+AC992,2)</f>
        <v>257.89</v>
      </c>
      <c r="AE992" s="32" t="n">
        <f aca="false">AD992-L992</f>
        <v>195.29</v>
      </c>
      <c r="AF992" s="34" t="n">
        <f aca="false">IF(L992=0,0,AE992/L992)</f>
        <v>3.11964856230032</v>
      </c>
      <c r="AG992" s="22" t="str">
        <f aca="false">IF(AD992&lt;L992,"PASSARO","ATUAL")</f>
        <v>ATUAL</v>
      </c>
      <c r="AH992" s="22" t="str">
        <f aca="false">IF(P992&lt;&gt;A992,"Faixa cadastrada como "&amp;P992&amp;" na tabela; preço aplicado pela UF do CEP","")</f>
        <v/>
      </c>
      <c r="AI992" s="26" t="n">
        <v>283.9</v>
      </c>
      <c r="AJ992" s="22" t="str">
        <f aca="false">INDEX('Tabela Passaro'!$X$2:$X$1795,$N992)</f>
        <v>CAPITAL</v>
      </c>
    </row>
    <row r="993" customFormat="false" ht="15" hidden="false" customHeight="false" outlineLevel="0" collapsed="false">
      <c r="A993" s="22" t="s">
        <v>18</v>
      </c>
      <c r="B993" s="22" t="n">
        <v>1</v>
      </c>
      <c r="C993" s="22" t="s">
        <v>112</v>
      </c>
      <c r="D993" s="22" t="s">
        <v>31</v>
      </c>
      <c r="E993" s="22" t="s">
        <v>7326</v>
      </c>
      <c r="F993" s="22" t="n">
        <v>12816257</v>
      </c>
      <c r="G993" s="30" t="n">
        <v>46253</v>
      </c>
      <c r="H993" s="22" t="n">
        <v>626868</v>
      </c>
      <c r="I993" s="22" t="s">
        <v>8249</v>
      </c>
      <c r="J993" s="31" t="n">
        <v>17.2</v>
      </c>
      <c r="K993" s="26" t="n">
        <v>363.54</v>
      </c>
      <c r="L993" s="26" t="n">
        <v>62.89</v>
      </c>
      <c r="M993" s="22" t="s">
        <v>3066</v>
      </c>
      <c r="N993" s="22" t="n">
        <f aca="false">MATCH(M993,'Tabela Passaro'!$A$2:$A$1795,0)</f>
        <v>704</v>
      </c>
      <c r="O993" s="22" t="str">
        <f aca="false">INDEX('Tabela Passaro'!$C$2:$C$1795,$N993)</f>
        <v>SAO LUIS</v>
      </c>
      <c r="P993" s="22" t="str">
        <f aca="false">INDEX('Tabela Passaro'!$B$2:$B$1795,$N993)</f>
        <v>MA</v>
      </c>
      <c r="Q993" s="22" t="n">
        <f aca="false">INDEX('Tabela Passaro'!$F$2:$F$1795,$N993)</f>
        <v>11</v>
      </c>
      <c r="R993" s="32" t="n">
        <f aca="false">IF(J993&lt;=10,INDEX('Tabela Passaro'!$G$2:$G$1795,$N993),IF(J993&lt;=30,INDEX('Tabela Passaro'!$H$2:$H$1795,$N993),IF(J993&lt;=50,INDEX('Tabela Passaro'!$I$2:$I$1795,$N993),IF(J993&lt;=70,INDEX('Tabela Passaro'!$J$2:$J$1795,$N993),IF(J993&lt;=100,INDEX('Tabela Passaro'!$K$2:$K$1795,$N993),INDEX('Tabela Passaro'!$K$2:$K$1795,$N993)+(J993-100)*INDEX('Tabela Passaro'!$L$2:$L$1795,$N993))))))</f>
        <v>197.38</v>
      </c>
      <c r="S993" s="32" t="n">
        <f aca="false">K993*INDEX('Tabela Passaro'!$M$2:$M$1795,$N993)</f>
        <v>1.8177</v>
      </c>
      <c r="T993" s="32" t="n">
        <f aca="false">K993*INDEX('Tabela Passaro'!$N$2:$N$1795,$N993)</f>
        <v>0.72708</v>
      </c>
      <c r="U993" s="32" t="n">
        <f aca="false">INDEX('Tabela Passaro'!$O$2:$O$1795,$N993)</f>
        <v>5</v>
      </c>
      <c r="V993" s="32" t="n">
        <f aca="false">ROUNDUP(J993/INDEX('Tabela Passaro'!$Q$2:$Q$1795,$N993),0)*INDEX('Tabela Passaro'!$P$2:$P$1795,$N993)</f>
        <v>5</v>
      </c>
      <c r="W993" s="32" t="n">
        <f aca="false">INDEX('Tabela Passaro'!$R$2:$R$1795,$N993)</f>
        <v>30</v>
      </c>
      <c r="X993" s="32" t="n">
        <f aca="false">ROUNDUP(J993/INDEX('Tabela Passaro'!$T$2:$T$1795,$N993),0)*INDEX('Tabela Passaro'!$S$2:$S$1795,$N993)</f>
        <v>0</v>
      </c>
      <c r="Y993" s="32" t="n">
        <f aca="false">INDEX('Tabela Passaro'!$U$2:$U$1795,$N993)</f>
        <v>0</v>
      </c>
      <c r="Z993" s="32" t="n">
        <f aca="false">INDEX('Tabela Passaro'!$V$2:$V$1795,$N993)</f>
        <v>0</v>
      </c>
      <c r="AA993" s="32" t="n">
        <f aca="false">SUM(R993:Z993)</f>
        <v>239.92478</v>
      </c>
      <c r="AB993" s="33" t="n">
        <f aca="false">INDEX(Premissas!$B$5:$B$13,MATCH(A993,Premissas!$A$5:$A$13,0))</f>
        <v>0.07</v>
      </c>
      <c r="AC993" s="32" t="n">
        <f aca="false">AA993/(1-AB993)-AA993</f>
        <v>18.0588544086021</v>
      </c>
      <c r="AD993" s="32" t="n">
        <f aca="false">ROUND(AA993+AC993,2)</f>
        <v>257.98</v>
      </c>
      <c r="AE993" s="32" t="n">
        <f aca="false">AD993-L993</f>
        <v>195.09</v>
      </c>
      <c r="AF993" s="34" t="n">
        <f aca="false">IF(L993=0,0,AE993/L993)</f>
        <v>3.1020830020671</v>
      </c>
      <c r="AG993" s="22" t="str">
        <f aca="false">IF(AD993&lt;L993,"PASSARO","ATUAL")</f>
        <v>ATUAL</v>
      </c>
      <c r="AH993" s="22" t="str">
        <f aca="false">IF(P993&lt;&gt;A993,"Faixa cadastrada como "&amp;P993&amp;" na tabela; preço aplicado pela UF do CEP","")</f>
        <v/>
      </c>
      <c r="AI993" s="26" t="n">
        <v>284.02</v>
      </c>
      <c r="AJ993" s="22" t="str">
        <f aca="false">INDEX('Tabela Passaro'!$X$2:$X$1795,$N993)</f>
        <v>CAPITAL</v>
      </c>
    </row>
    <row r="994" customFormat="false" ht="15" hidden="false" customHeight="false" outlineLevel="0" collapsed="false">
      <c r="A994" s="22" t="s">
        <v>18</v>
      </c>
      <c r="B994" s="22" t="n">
        <v>1</v>
      </c>
      <c r="C994" s="22" t="s">
        <v>112</v>
      </c>
      <c r="D994" s="22" t="s">
        <v>31</v>
      </c>
      <c r="E994" s="22" t="s">
        <v>7326</v>
      </c>
      <c r="F994" s="22" t="n">
        <v>12844015</v>
      </c>
      <c r="G994" s="30" t="n">
        <v>46259</v>
      </c>
      <c r="H994" s="22" t="n">
        <v>628436</v>
      </c>
      <c r="I994" s="22" t="s">
        <v>8237</v>
      </c>
      <c r="J994" s="31" t="n">
        <v>20.3</v>
      </c>
      <c r="K994" s="26" t="n">
        <v>421.13</v>
      </c>
      <c r="L994" s="26" t="n">
        <v>89.42</v>
      </c>
      <c r="M994" s="22" t="s">
        <v>3066</v>
      </c>
      <c r="N994" s="22" t="n">
        <f aca="false">MATCH(M994,'Tabela Passaro'!$A$2:$A$1795,0)</f>
        <v>704</v>
      </c>
      <c r="O994" s="22" t="str">
        <f aca="false">INDEX('Tabela Passaro'!$C$2:$C$1795,$N994)</f>
        <v>SAO LUIS</v>
      </c>
      <c r="P994" s="22" t="str">
        <f aca="false">INDEX('Tabela Passaro'!$B$2:$B$1795,$N994)</f>
        <v>MA</v>
      </c>
      <c r="Q994" s="22" t="n">
        <f aca="false">INDEX('Tabela Passaro'!$F$2:$F$1795,$N994)</f>
        <v>11</v>
      </c>
      <c r="R994" s="32" t="n">
        <f aca="false">IF(J994&lt;=10,INDEX('Tabela Passaro'!$G$2:$G$1795,$N994),IF(J994&lt;=30,INDEX('Tabela Passaro'!$H$2:$H$1795,$N994),IF(J994&lt;=50,INDEX('Tabela Passaro'!$I$2:$I$1795,$N994),IF(J994&lt;=70,INDEX('Tabela Passaro'!$J$2:$J$1795,$N994),IF(J994&lt;=100,INDEX('Tabela Passaro'!$K$2:$K$1795,$N994),INDEX('Tabela Passaro'!$K$2:$K$1795,$N994)+(J994-100)*INDEX('Tabela Passaro'!$L$2:$L$1795,$N994))))))</f>
        <v>197.38</v>
      </c>
      <c r="S994" s="32" t="n">
        <f aca="false">K994*INDEX('Tabela Passaro'!$M$2:$M$1795,$N994)</f>
        <v>2.10565</v>
      </c>
      <c r="T994" s="32" t="n">
        <f aca="false">K994*INDEX('Tabela Passaro'!$N$2:$N$1795,$N994)</f>
        <v>0.84226</v>
      </c>
      <c r="U994" s="32" t="n">
        <f aca="false">INDEX('Tabela Passaro'!$O$2:$O$1795,$N994)</f>
        <v>5</v>
      </c>
      <c r="V994" s="32" t="n">
        <f aca="false">ROUNDUP(J994/INDEX('Tabela Passaro'!$Q$2:$Q$1795,$N994),0)*INDEX('Tabela Passaro'!$P$2:$P$1795,$N994)</f>
        <v>5</v>
      </c>
      <c r="W994" s="32" t="n">
        <f aca="false">INDEX('Tabela Passaro'!$R$2:$R$1795,$N994)</f>
        <v>30</v>
      </c>
      <c r="X994" s="32" t="n">
        <f aca="false">ROUNDUP(J994/INDEX('Tabela Passaro'!$T$2:$T$1795,$N994),0)*INDEX('Tabela Passaro'!$S$2:$S$1795,$N994)</f>
        <v>0</v>
      </c>
      <c r="Y994" s="32" t="n">
        <f aca="false">INDEX('Tabela Passaro'!$U$2:$U$1795,$N994)</f>
        <v>0</v>
      </c>
      <c r="Z994" s="32" t="n">
        <f aca="false">INDEX('Tabela Passaro'!$V$2:$V$1795,$N994)</f>
        <v>0</v>
      </c>
      <c r="AA994" s="32" t="n">
        <f aca="false">SUM(R994:Z994)</f>
        <v>240.32791</v>
      </c>
      <c r="AB994" s="33" t="n">
        <f aca="false">INDEX(Premissas!$B$5:$B$13,MATCH(A994,Premissas!$A$5:$A$13,0))</f>
        <v>0.07</v>
      </c>
      <c r="AC994" s="32" t="n">
        <f aca="false">AA994/(1-AB994)-AA994</f>
        <v>18.0891975268817</v>
      </c>
      <c r="AD994" s="32" t="n">
        <f aca="false">ROUND(AA994+AC994,2)</f>
        <v>258.42</v>
      </c>
      <c r="AE994" s="32" t="n">
        <f aca="false">AD994-L994</f>
        <v>169</v>
      </c>
      <c r="AF994" s="34" t="n">
        <f aca="false">IF(L994=0,0,AE994/L994)</f>
        <v>1.88995750391411</v>
      </c>
      <c r="AG994" s="22" t="str">
        <f aca="false">IF(AD994&lt;L994,"PASSARO","ATUAL")</f>
        <v>ATUAL</v>
      </c>
      <c r="AH994" s="22" t="str">
        <f aca="false">IF(P994&lt;&gt;A994,"Faixa cadastrada como "&amp;P994&amp;" na tabela; preço aplicado pela UF do CEP","")</f>
        <v/>
      </c>
      <c r="AI994" s="26" t="n">
        <v>286.03</v>
      </c>
      <c r="AJ994" s="22" t="str">
        <f aca="false">INDEX('Tabela Passaro'!$X$2:$X$1795,$N994)</f>
        <v>CAPITAL</v>
      </c>
    </row>
    <row r="995" customFormat="false" ht="15" hidden="false" customHeight="false" outlineLevel="0" collapsed="false">
      <c r="A995" s="22" t="s">
        <v>18</v>
      </c>
      <c r="B995" s="22" t="n">
        <v>1</v>
      </c>
      <c r="C995" s="22" t="s">
        <v>112</v>
      </c>
      <c r="D995" s="22" t="s">
        <v>31</v>
      </c>
      <c r="E995" s="22" t="s">
        <v>7326</v>
      </c>
      <c r="F995" s="22" t="n">
        <v>12851026</v>
      </c>
      <c r="G995" s="30" t="n">
        <v>46260</v>
      </c>
      <c r="H995" s="22" t="n">
        <v>629511</v>
      </c>
      <c r="I995" s="22" t="s">
        <v>8250</v>
      </c>
      <c r="J995" s="31" t="n">
        <v>22.09</v>
      </c>
      <c r="K995" s="26" t="n">
        <v>421.99</v>
      </c>
      <c r="L995" s="26" t="n">
        <v>89.42</v>
      </c>
      <c r="M995" s="22" t="s">
        <v>3066</v>
      </c>
      <c r="N995" s="22" t="n">
        <f aca="false">MATCH(M995,'Tabela Passaro'!$A$2:$A$1795,0)</f>
        <v>704</v>
      </c>
      <c r="O995" s="22" t="str">
        <f aca="false">INDEX('Tabela Passaro'!$C$2:$C$1795,$N995)</f>
        <v>SAO LUIS</v>
      </c>
      <c r="P995" s="22" t="str">
        <f aca="false">INDEX('Tabela Passaro'!$B$2:$B$1795,$N995)</f>
        <v>MA</v>
      </c>
      <c r="Q995" s="22" t="n">
        <f aca="false">INDEX('Tabela Passaro'!$F$2:$F$1795,$N995)</f>
        <v>11</v>
      </c>
      <c r="R995" s="32" t="n">
        <f aca="false">IF(J995&lt;=10,INDEX('Tabela Passaro'!$G$2:$G$1795,$N995),IF(J995&lt;=30,INDEX('Tabela Passaro'!$H$2:$H$1795,$N995),IF(J995&lt;=50,INDEX('Tabela Passaro'!$I$2:$I$1795,$N995),IF(J995&lt;=70,INDEX('Tabela Passaro'!$J$2:$J$1795,$N995),IF(J995&lt;=100,INDEX('Tabela Passaro'!$K$2:$K$1795,$N995),INDEX('Tabela Passaro'!$K$2:$K$1795,$N995)+(J995-100)*INDEX('Tabela Passaro'!$L$2:$L$1795,$N995))))))</f>
        <v>197.38</v>
      </c>
      <c r="S995" s="32" t="n">
        <f aca="false">K995*INDEX('Tabela Passaro'!$M$2:$M$1795,$N995)</f>
        <v>2.10995</v>
      </c>
      <c r="T995" s="32" t="n">
        <f aca="false">K995*INDEX('Tabela Passaro'!$N$2:$N$1795,$N995)</f>
        <v>0.84398</v>
      </c>
      <c r="U995" s="32" t="n">
        <f aca="false">INDEX('Tabela Passaro'!$O$2:$O$1795,$N995)</f>
        <v>5</v>
      </c>
      <c r="V995" s="32" t="n">
        <f aca="false">ROUNDUP(J995/INDEX('Tabela Passaro'!$Q$2:$Q$1795,$N995),0)*INDEX('Tabela Passaro'!$P$2:$P$1795,$N995)</f>
        <v>5</v>
      </c>
      <c r="W995" s="32" t="n">
        <f aca="false">INDEX('Tabela Passaro'!$R$2:$R$1795,$N995)</f>
        <v>30</v>
      </c>
      <c r="X995" s="32" t="n">
        <f aca="false">ROUNDUP(J995/INDEX('Tabela Passaro'!$T$2:$T$1795,$N995),0)*INDEX('Tabela Passaro'!$S$2:$S$1795,$N995)</f>
        <v>0</v>
      </c>
      <c r="Y995" s="32" t="n">
        <f aca="false">INDEX('Tabela Passaro'!$U$2:$U$1795,$N995)</f>
        <v>0</v>
      </c>
      <c r="Z995" s="32" t="n">
        <f aca="false">INDEX('Tabela Passaro'!$V$2:$V$1795,$N995)</f>
        <v>0</v>
      </c>
      <c r="AA995" s="32" t="n">
        <f aca="false">SUM(R995:Z995)</f>
        <v>240.33393</v>
      </c>
      <c r="AB995" s="33" t="n">
        <f aca="false">INDEX(Premissas!$B$5:$B$13,MATCH(A995,Premissas!$A$5:$A$13,0))</f>
        <v>0.07</v>
      </c>
      <c r="AC995" s="32" t="n">
        <f aca="false">AA995/(1-AB995)-AA995</f>
        <v>18.0896506451613</v>
      </c>
      <c r="AD995" s="32" t="n">
        <f aca="false">ROUND(AA995+AC995,2)</f>
        <v>258.42</v>
      </c>
      <c r="AE995" s="32" t="n">
        <f aca="false">AD995-L995</f>
        <v>169</v>
      </c>
      <c r="AF995" s="34" t="n">
        <f aca="false">IF(L995=0,0,AE995/L995)</f>
        <v>1.88995750391411</v>
      </c>
      <c r="AG995" s="22" t="str">
        <f aca="false">IF(AD995&lt;L995,"PASSARO","ATUAL")</f>
        <v>ATUAL</v>
      </c>
      <c r="AH995" s="22" t="str">
        <f aca="false">IF(P995&lt;&gt;A995,"Faixa cadastrada como "&amp;P995&amp;" na tabela; preço aplicado pela UF do CEP","")</f>
        <v/>
      </c>
      <c r="AI995" s="26" t="n">
        <v>287.01</v>
      </c>
      <c r="AJ995" s="22" t="str">
        <f aca="false">INDEX('Tabela Passaro'!$X$2:$X$1795,$N995)</f>
        <v>CAPITAL</v>
      </c>
    </row>
    <row r="996" customFormat="false" ht="15" hidden="false" customHeight="false" outlineLevel="0" collapsed="false">
      <c r="A996" s="22" t="s">
        <v>18</v>
      </c>
      <c r="B996" s="22" t="n">
        <v>1</v>
      </c>
      <c r="C996" s="22" t="s">
        <v>112</v>
      </c>
      <c r="D996" s="22" t="s">
        <v>31</v>
      </c>
      <c r="E996" s="22" t="s">
        <v>7326</v>
      </c>
      <c r="F996" s="22" t="n">
        <v>12856539</v>
      </c>
      <c r="G996" s="30" t="n">
        <v>46261</v>
      </c>
      <c r="H996" s="22" t="n">
        <v>629981</v>
      </c>
      <c r="I996" s="22" t="s">
        <v>8251</v>
      </c>
      <c r="J996" s="31" t="n">
        <v>17.7</v>
      </c>
      <c r="K996" s="26" t="n">
        <v>391.37</v>
      </c>
      <c r="L996" s="26" t="n">
        <v>62.81</v>
      </c>
      <c r="M996" s="22" t="s">
        <v>3066</v>
      </c>
      <c r="N996" s="22" t="n">
        <f aca="false">MATCH(M996,'Tabela Passaro'!$A$2:$A$1795,0)</f>
        <v>704</v>
      </c>
      <c r="O996" s="22" t="str">
        <f aca="false">INDEX('Tabela Passaro'!$C$2:$C$1795,$N996)</f>
        <v>SAO LUIS</v>
      </c>
      <c r="P996" s="22" t="str">
        <f aca="false">INDEX('Tabela Passaro'!$B$2:$B$1795,$N996)</f>
        <v>MA</v>
      </c>
      <c r="Q996" s="22" t="n">
        <f aca="false">INDEX('Tabela Passaro'!$F$2:$F$1795,$N996)</f>
        <v>11</v>
      </c>
      <c r="R996" s="32" t="n">
        <f aca="false">IF(J996&lt;=10,INDEX('Tabela Passaro'!$G$2:$G$1795,$N996),IF(J996&lt;=30,INDEX('Tabela Passaro'!$H$2:$H$1795,$N996),IF(J996&lt;=50,INDEX('Tabela Passaro'!$I$2:$I$1795,$N996),IF(J996&lt;=70,INDEX('Tabela Passaro'!$J$2:$J$1795,$N996),IF(J996&lt;=100,INDEX('Tabela Passaro'!$K$2:$K$1795,$N996),INDEX('Tabela Passaro'!$K$2:$K$1795,$N996)+(J996-100)*INDEX('Tabela Passaro'!$L$2:$L$1795,$N996))))))</f>
        <v>197.38</v>
      </c>
      <c r="S996" s="32" t="n">
        <f aca="false">K996*INDEX('Tabela Passaro'!$M$2:$M$1795,$N996)</f>
        <v>1.95685</v>
      </c>
      <c r="T996" s="32" t="n">
        <f aca="false">K996*INDEX('Tabela Passaro'!$N$2:$N$1795,$N996)</f>
        <v>0.78274</v>
      </c>
      <c r="U996" s="32" t="n">
        <f aca="false">INDEX('Tabela Passaro'!$O$2:$O$1795,$N996)</f>
        <v>5</v>
      </c>
      <c r="V996" s="32" t="n">
        <f aca="false">ROUNDUP(J996/INDEX('Tabela Passaro'!$Q$2:$Q$1795,$N996),0)*INDEX('Tabela Passaro'!$P$2:$P$1795,$N996)</f>
        <v>5</v>
      </c>
      <c r="W996" s="32" t="n">
        <f aca="false">INDEX('Tabela Passaro'!$R$2:$R$1795,$N996)</f>
        <v>30</v>
      </c>
      <c r="X996" s="32" t="n">
        <f aca="false">ROUNDUP(J996/INDEX('Tabela Passaro'!$T$2:$T$1795,$N996),0)*INDEX('Tabela Passaro'!$S$2:$S$1795,$N996)</f>
        <v>0</v>
      </c>
      <c r="Y996" s="32" t="n">
        <f aca="false">INDEX('Tabela Passaro'!$U$2:$U$1795,$N996)</f>
        <v>0</v>
      </c>
      <c r="Z996" s="32" t="n">
        <f aca="false">INDEX('Tabela Passaro'!$V$2:$V$1795,$N996)</f>
        <v>0</v>
      </c>
      <c r="AA996" s="32" t="n">
        <f aca="false">SUM(R996:Z996)</f>
        <v>240.11959</v>
      </c>
      <c r="AB996" s="33" t="n">
        <f aca="false">INDEX(Premissas!$B$5:$B$13,MATCH(A996,Premissas!$A$5:$A$13,0))</f>
        <v>0.07</v>
      </c>
      <c r="AC996" s="32" t="n">
        <f aca="false">AA996/(1-AB996)-AA996</f>
        <v>18.0735175268817</v>
      </c>
      <c r="AD996" s="32" t="n">
        <f aca="false">ROUND(AA996+AC996,2)</f>
        <v>258.19</v>
      </c>
      <c r="AE996" s="32" t="n">
        <f aca="false">AD996-L996</f>
        <v>195.38</v>
      </c>
      <c r="AF996" s="34" t="n">
        <f aca="false">IF(L996=0,0,AE996/L996)</f>
        <v>3.11065117019583</v>
      </c>
      <c r="AG996" s="22" t="str">
        <f aca="false">IF(AD996&lt;L996,"PASSARO","ATUAL")</f>
        <v>ATUAL</v>
      </c>
      <c r="AH996" s="22" t="str">
        <f aca="false">IF(P996&lt;&gt;A996,"Faixa cadastrada como "&amp;P996&amp;" na tabela; preço aplicado pela UF do CEP","")</f>
        <v/>
      </c>
      <c r="AI996" s="26" t="n">
        <v>284.29</v>
      </c>
      <c r="AJ996" s="22" t="str">
        <f aca="false">INDEX('Tabela Passaro'!$X$2:$X$1795,$N996)</f>
        <v>CAPITAL</v>
      </c>
    </row>
    <row r="997" customFormat="false" ht="15" hidden="false" customHeight="false" outlineLevel="0" collapsed="false">
      <c r="A997" s="22" t="s">
        <v>18</v>
      </c>
      <c r="B997" s="22" t="n">
        <v>2</v>
      </c>
      <c r="C997" s="22" t="s">
        <v>114</v>
      </c>
      <c r="D997" s="22" t="s">
        <v>32</v>
      </c>
      <c r="E997" s="22" t="s">
        <v>7326</v>
      </c>
      <c r="F997" s="22" t="n">
        <v>900569</v>
      </c>
      <c r="G997" s="30" t="n">
        <v>46237</v>
      </c>
      <c r="H997" s="22" t="n">
        <v>619388</v>
      </c>
      <c r="I997" s="22" t="s">
        <v>8252</v>
      </c>
      <c r="J997" s="31" t="n">
        <v>33</v>
      </c>
      <c r="K997" s="26" t="n">
        <v>596.46</v>
      </c>
      <c r="L997" s="26" t="n">
        <v>134.45</v>
      </c>
      <c r="M997" s="22" t="s">
        <v>3528</v>
      </c>
      <c r="N997" s="22" t="n">
        <f aca="false">MATCH(M997,'Tabela Passaro'!$A$2:$A$1795,0)</f>
        <v>822</v>
      </c>
      <c r="O997" s="22" t="str">
        <f aca="false">INDEX('Tabela Passaro'!$C$2:$C$1795,$N997)</f>
        <v>IMPERATRIZ</v>
      </c>
      <c r="P997" s="22" t="str">
        <f aca="false">INDEX('Tabela Passaro'!$B$2:$B$1795,$N997)</f>
        <v>MA</v>
      </c>
      <c r="Q997" s="22" t="n">
        <f aca="false">INDEX('Tabela Passaro'!$F$2:$F$1795,$N997)</f>
        <v>17</v>
      </c>
      <c r="R997" s="32" t="n">
        <f aca="false">IF(J997&lt;=10,INDEX('Tabela Passaro'!$G$2:$G$1795,$N997),IF(J997&lt;=30,INDEX('Tabela Passaro'!$H$2:$H$1795,$N997),IF(J997&lt;=50,INDEX('Tabela Passaro'!$I$2:$I$1795,$N997),IF(J997&lt;=70,INDEX('Tabela Passaro'!$J$2:$J$1795,$N997),IF(J997&lt;=100,INDEX('Tabela Passaro'!$K$2:$K$1795,$N997),INDEX('Tabela Passaro'!$K$2:$K$1795,$N997)+(J997-100)*INDEX('Tabela Passaro'!$L$2:$L$1795,$N997))))))</f>
        <v>256.93</v>
      </c>
      <c r="S997" s="32" t="n">
        <f aca="false">K997*INDEX('Tabela Passaro'!$M$2:$M$1795,$N997)</f>
        <v>2.9823</v>
      </c>
      <c r="T997" s="32" t="n">
        <f aca="false">K997*INDEX('Tabela Passaro'!$N$2:$N$1795,$N997)</f>
        <v>1.19292</v>
      </c>
      <c r="U997" s="32" t="n">
        <f aca="false">INDEX('Tabela Passaro'!$O$2:$O$1795,$N997)</f>
        <v>5</v>
      </c>
      <c r="V997" s="32" t="n">
        <f aca="false">ROUNDUP(J997/INDEX('Tabela Passaro'!$Q$2:$Q$1795,$N997),0)*INDEX('Tabela Passaro'!$P$2:$P$1795,$N997)</f>
        <v>5</v>
      </c>
      <c r="W997" s="32" t="n">
        <f aca="false">INDEX('Tabela Passaro'!$R$2:$R$1795,$N997)</f>
        <v>30</v>
      </c>
      <c r="X997" s="32" t="n">
        <f aca="false">ROUNDUP(J997/INDEX('Tabela Passaro'!$T$2:$T$1795,$N997),0)*INDEX('Tabela Passaro'!$S$2:$S$1795,$N997)</f>
        <v>0</v>
      </c>
      <c r="Y997" s="32" t="n">
        <f aca="false">INDEX('Tabela Passaro'!$U$2:$U$1795,$N997)</f>
        <v>0</v>
      </c>
      <c r="Z997" s="32" t="n">
        <f aca="false">INDEX('Tabela Passaro'!$V$2:$V$1795,$N997)</f>
        <v>0</v>
      </c>
      <c r="AA997" s="32" t="n">
        <f aca="false">SUM(R997:Z997)</f>
        <v>301.10522</v>
      </c>
      <c r="AB997" s="33" t="n">
        <f aca="false">INDEX(Premissas!$B$5:$B$13,MATCH(A997,Premissas!$A$5:$A$13,0))</f>
        <v>0.07</v>
      </c>
      <c r="AC997" s="32" t="n">
        <f aca="false">AA997/(1-AB997)-AA997</f>
        <v>22.6638337634409</v>
      </c>
      <c r="AD997" s="32" t="n">
        <f aca="false">ROUND(AA997+AC997,2)</f>
        <v>323.77</v>
      </c>
      <c r="AE997" s="32" t="n">
        <f aca="false">AD997-L997</f>
        <v>189.32</v>
      </c>
      <c r="AF997" s="34" t="n">
        <f aca="false">IF(L997=0,0,AE997/L997)</f>
        <v>1.40810710301227</v>
      </c>
      <c r="AG997" s="22" t="str">
        <f aca="false">IF(AD997&lt;L997,"PASSARO","ATUAL")</f>
        <v>ATUAL</v>
      </c>
      <c r="AH997" s="22" t="str">
        <f aca="false">IF(P997&lt;&gt;A997,"Faixa cadastrada como "&amp;P997&amp;" na tabela; preço aplicado pela UF do CEP","")</f>
        <v/>
      </c>
      <c r="AI997" s="26" t="n">
        <v>344.8</v>
      </c>
      <c r="AJ997" s="22" t="str">
        <f aca="false">INDEX('Tabela Passaro'!$X$2:$X$1795,$N997)</f>
        <v>INTERIOR 2</v>
      </c>
    </row>
    <row r="998" customFormat="false" ht="15" hidden="false" customHeight="false" outlineLevel="0" collapsed="false">
      <c r="A998" s="22" t="s">
        <v>18</v>
      </c>
      <c r="B998" s="22" t="n">
        <v>2</v>
      </c>
      <c r="C998" s="22" t="s">
        <v>114</v>
      </c>
      <c r="D998" s="22" t="s">
        <v>32</v>
      </c>
      <c r="E998" s="22" t="s">
        <v>7326</v>
      </c>
      <c r="F998" s="22" t="n">
        <v>900841</v>
      </c>
      <c r="G998" s="30" t="n">
        <v>46238</v>
      </c>
      <c r="H998" s="22" t="n">
        <v>619944</v>
      </c>
      <c r="I998" s="22" t="s">
        <v>8253</v>
      </c>
      <c r="J998" s="31" t="n">
        <v>45</v>
      </c>
      <c r="K998" s="26" t="n">
        <v>600.67</v>
      </c>
      <c r="L998" s="26" t="n">
        <v>134.52</v>
      </c>
      <c r="M998" s="22" t="s">
        <v>3528</v>
      </c>
      <c r="N998" s="22" t="n">
        <f aca="false">MATCH(M998,'Tabela Passaro'!$A$2:$A$1795,0)</f>
        <v>822</v>
      </c>
      <c r="O998" s="22" t="str">
        <f aca="false">INDEX('Tabela Passaro'!$C$2:$C$1795,$N998)</f>
        <v>IMPERATRIZ</v>
      </c>
      <c r="P998" s="22" t="str">
        <f aca="false">INDEX('Tabela Passaro'!$B$2:$B$1795,$N998)</f>
        <v>MA</v>
      </c>
      <c r="Q998" s="22" t="n">
        <f aca="false">INDEX('Tabela Passaro'!$F$2:$F$1795,$N998)</f>
        <v>17</v>
      </c>
      <c r="R998" s="32" t="n">
        <f aca="false">IF(J998&lt;=10,INDEX('Tabela Passaro'!$G$2:$G$1795,$N998),IF(J998&lt;=30,INDEX('Tabela Passaro'!$H$2:$H$1795,$N998),IF(J998&lt;=50,INDEX('Tabela Passaro'!$I$2:$I$1795,$N998),IF(J998&lt;=70,INDEX('Tabela Passaro'!$J$2:$J$1795,$N998),IF(J998&lt;=100,INDEX('Tabela Passaro'!$K$2:$K$1795,$N998),INDEX('Tabela Passaro'!$K$2:$K$1795,$N998)+(J998-100)*INDEX('Tabela Passaro'!$L$2:$L$1795,$N998))))))</f>
        <v>256.93</v>
      </c>
      <c r="S998" s="32" t="n">
        <f aca="false">K998*INDEX('Tabela Passaro'!$M$2:$M$1795,$N998)</f>
        <v>3.00335</v>
      </c>
      <c r="T998" s="32" t="n">
        <f aca="false">K998*INDEX('Tabela Passaro'!$N$2:$N$1795,$N998)</f>
        <v>1.20134</v>
      </c>
      <c r="U998" s="32" t="n">
        <f aca="false">INDEX('Tabela Passaro'!$O$2:$O$1795,$N998)</f>
        <v>5</v>
      </c>
      <c r="V998" s="32" t="n">
        <f aca="false">ROUNDUP(J998/INDEX('Tabela Passaro'!$Q$2:$Q$1795,$N998),0)*INDEX('Tabela Passaro'!$P$2:$P$1795,$N998)</f>
        <v>5</v>
      </c>
      <c r="W998" s="32" t="n">
        <f aca="false">INDEX('Tabela Passaro'!$R$2:$R$1795,$N998)</f>
        <v>30</v>
      </c>
      <c r="X998" s="32" t="n">
        <f aca="false">ROUNDUP(J998/INDEX('Tabela Passaro'!$T$2:$T$1795,$N998),0)*INDEX('Tabela Passaro'!$S$2:$S$1795,$N998)</f>
        <v>0</v>
      </c>
      <c r="Y998" s="32" t="n">
        <f aca="false">INDEX('Tabela Passaro'!$U$2:$U$1795,$N998)</f>
        <v>0</v>
      </c>
      <c r="Z998" s="32" t="n">
        <f aca="false">INDEX('Tabela Passaro'!$V$2:$V$1795,$N998)</f>
        <v>0</v>
      </c>
      <c r="AA998" s="32" t="n">
        <f aca="false">SUM(R998:Z998)</f>
        <v>301.13469</v>
      </c>
      <c r="AB998" s="33" t="n">
        <f aca="false">INDEX(Premissas!$B$5:$B$13,MATCH(A998,Premissas!$A$5:$A$13,0))</f>
        <v>0.07</v>
      </c>
      <c r="AC998" s="32" t="n">
        <f aca="false">AA998/(1-AB998)-AA998</f>
        <v>22.6660519354839</v>
      </c>
      <c r="AD998" s="32" t="n">
        <f aca="false">ROUND(AA998+AC998,2)</f>
        <v>323.8</v>
      </c>
      <c r="AE998" s="32" t="n">
        <f aca="false">AD998-L998</f>
        <v>189.28</v>
      </c>
      <c r="AF998" s="34" t="n">
        <f aca="false">IF(L998=0,0,AE998/L998)</f>
        <v>1.40707701457032</v>
      </c>
      <c r="AG998" s="22" t="str">
        <f aca="false">IF(AD998&lt;L998,"PASSARO","ATUAL")</f>
        <v>ATUAL</v>
      </c>
      <c r="AH998" s="22" t="str">
        <f aca="false">IF(P998&lt;&gt;A998,"Faixa cadastrada como "&amp;P998&amp;" na tabela; preço aplicado pela UF do CEP","")</f>
        <v/>
      </c>
      <c r="AI998" s="26" t="n">
        <v>350.65</v>
      </c>
      <c r="AJ998" s="22" t="str">
        <f aca="false">INDEX('Tabela Passaro'!$X$2:$X$1795,$N998)</f>
        <v>INTERIOR 2</v>
      </c>
    </row>
    <row r="999" customFormat="false" ht="15" hidden="false" customHeight="false" outlineLevel="0" collapsed="false">
      <c r="A999" s="22" t="s">
        <v>18</v>
      </c>
      <c r="B999" s="22" t="n">
        <v>2</v>
      </c>
      <c r="C999" s="22" t="s">
        <v>114</v>
      </c>
      <c r="D999" s="22" t="s">
        <v>32</v>
      </c>
      <c r="E999" s="22" t="s">
        <v>7326</v>
      </c>
      <c r="F999" s="22" t="n">
        <v>902643</v>
      </c>
      <c r="G999" s="30" t="n">
        <v>46245</v>
      </c>
      <c r="H999" s="22" t="n">
        <v>622677</v>
      </c>
      <c r="I999" s="22" t="s">
        <v>8254</v>
      </c>
      <c r="J999" s="31" t="n">
        <v>109.6</v>
      </c>
      <c r="K999" s="26" t="n">
        <v>1500.73</v>
      </c>
      <c r="L999" s="26" t="n">
        <v>237.82</v>
      </c>
      <c r="M999" s="22" t="s">
        <v>3528</v>
      </c>
      <c r="N999" s="22" t="n">
        <f aca="false">MATCH(M999,'Tabela Passaro'!$A$2:$A$1795,0)</f>
        <v>822</v>
      </c>
      <c r="O999" s="22" t="str">
        <f aca="false">INDEX('Tabela Passaro'!$C$2:$C$1795,$N999)</f>
        <v>IMPERATRIZ</v>
      </c>
      <c r="P999" s="22" t="str">
        <f aca="false">INDEX('Tabela Passaro'!$B$2:$B$1795,$N999)</f>
        <v>MA</v>
      </c>
      <c r="Q999" s="22" t="n">
        <f aca="false">INDEX('Tabela Passaro'!$F$2:$F$1795,$N999)</f>
        <v>17</v>
      </c>
      <c r="R999" s="32" t="n">
        <f aca="false">IF(J999&lt;=10,INDEX('Tabela Passaro'!$G$2:$G$1795,$N999),IF(J999&lt;=30,INDEX('Tabela Passaro'!$H$2:$H$1795,$N999),IF(J999&lt;=50,INDEX('Tabela Passaro'!$I$2:$I$1795,$N999),IF(J999&lt;=70,INDEX('Tabela Passaro'!$J$2:$J$1795,$N999),IF(J999&lt;=100,INDEX('Tabela Passaro'!$K$2:$K$1795,$N999),INDEX('Tabela Passaro'!$K$2:$K$1795,$N999)+(J999-100)*INDEX('Tabela Passaro'!$L$2:$L$1795,$N999))))))</f>
        <v>315.57</v>
      </c>
      <c r="S999" s="32" t="n">
        <f aca="false">K999*INDEX('Tabela Passaro'!$M$2:$M$1795,$N999)</f>
        <v>7.50365</v>
      </c>
      <c r="T999" s="32" t="n">
        <f aca="false">K999*INDEX('Tabela Passaro'!$N$2:$N$1795,$N999)</f>
        <v>3.00146</v>
      </c>
      <c r="U999" s="32" t="n">
        <f aca="false">INDEX('Tabela Passaro'!$O$2:$O$1795,$N999)</f>
        <v>5</v>
      </c>
      <c r="V999" s="32" t="n">
        <f aca="false">ROUNDUP(J999/INDEX('Tabela Passaro'!$Q$2:$Q$1795,$N999),0)*INDEX('Tabela Passaro'!$P$2:$P$1795,$N999)</f>
        <v>10</v>
      </c>
      <c r="W999" s="32" t="n">
        <f aca="false">INDEX('Tabela Passaro'!$R$2:$R$1795,$N999)</f>
        <v>30</v>
      </c>
      <c r="X999" s="32" t="n">
        <f aca="false">ROUNDUP(J999/INDEX('Tabela Passaro'!$T$2:$T$1795,$N999),0)*INDEX('Tabela Passaro'!$S$2:$S$1795,$N999)</f>
        <v>0</v>
      </c>
      <c r="Y999" s="32" t="n">
        <f aca="false">INDEX('Tabela Passaro'!$U$2:$U$1795,$N999)</f>
        <v>0</v>
      </c>
      <c r="Z999" s="32" t="n">
        <f aca="false">INDEX('Tabela Passaro'!$V$2:$V$1795,$N999)</f>
        <v>0</v>
      </c>
      <c r="AA999" s="32" t="n">
        <f aca="false">SUM(R999:Z999)</f>
        <v>371.07511</v>
      </c>
      <c r="AB999" s="33" t="n">
        <f aca="false">INDEX(Premissas!$B$5:$B$13,MATCH(A999,Premissas!$A$5:$A$13,0))</f>
        <v>0.07</v>
      </c>
      <c r="AC999" s="32" t="n">
        <f aca="false">AA999/(1-AB999)-AA999</f>
        <v>27.9303846236559</v>
      </c>
      <c r="AD999" s="32" t="n">
        <f aca="false">ROUND(AA999+AC999,2)</f>
        <v>399.01</v>
      </c>
      <c r="AE999" s="32" t="n">
        <f aca="false">AD999-L999</f>
        <v>161.19</v>
      </c>
      <c r="AF999" s="34" t="n">
        <f aca="false">IF(L999=0,0,AE999/L999)</f>
        <v>0.677781515431839</v>
      </c>
      <c r="AG999" s="22" t="str">
        <f aca="false">IF(AD999&lt;L999,"PASSARO","ATUAL")</f>
        <v>ATUAL</v>
      </c>
      <c r="AH999" s="22" t="str">
        <f aca="false">IF(P999&lt;&gt;A999,"Faixa cadastrada como "&amp;P999&amp;" na tabela; preço aplicado pela UF do CEP","")</f>
        <v/>
      </c>
      <c r="AI999" s="26" t="n">
        <v>464.53</v>
      </c>
      <c r="AJ999" s="22" t="str">
        <f aca="false">INDEX('Tabela Passaro'!$X$2:$X$1795,$N999)</f>
        <v>INTERIOR 2</v>
      </c>
    </row>
    <row r="1000" customFormat="false" ht="15" hidden="false" customHeight="false" outlineLevel="0" collapsed="false">
      <c r="A1000" s="22" t="s">
        <v>18</v>
      </c>
      <c r="B1000" s="22" t="n">
        <v>2</v>
      </c>
      <c r="C1000" s="22" t="s">
        <v>114</v>
      </c>
      <c r="D1000" s="22" t="s">
        <v>32</v>
      </c>
      <c r="E1000" s="22" t="s">
        <v>7326</v>
      </c>
      <c r="F1000" s="22" t="n">
        <v>902576</v>
      </c>
      <c r="G1000" s="30" t="n">
        <v>46245</v>
      </c>
      <c r="H1000" s="22" t="n">
        <v>622700</v>
      </c>
      <c r="I1000" s="22" t="s">
        <v>8255</v>
      </c>
      <c r="J1000" s="31" t="n">
        <v>43.5</v>
      </c>
      <c r="K1000" s="26" t="n">
        <v>814.83</v>
      </c>
      <c r="L1000" s="26" t="n">
        <v>137.26</v>
      </c>
      <c r="M1000" s="22" t="s">
        <v>3528</v>
      </c>
      <c r="N1000" s="22" t="n">
        <f aca="false">MATCH(M1000,'Tabela Passaro'!$A$2:$A$1795,0)</f>
        <v>822</v>
      </c>
      <c r="O1000" s="22" t="str">
        <f aca="false">INDEX('Tabela Passaro'!$C$2:$C$1795,$N1000)</f>
        <v>IMPERATRIZ</v>
      </c>
      <c r="P1000" s="22" t="str">
        <f aca="false">INDEX('Tabela Passaro'!$B$2:$B$1795,$N1000)</f>
        <v>MA</v>
      </c>
      <c r="Q1000" s="22" t="n">
        <f aca="false">INDEX('Tabela Passaro'!$F$2:$F$1795,$N1000)</f>
        <v>17</v>
      </c>
      <c r="R1000" s="32" t="n">
        <f aca="false">IF(J1000&lt;=10,INDEX('Tabela Passaro'!$G$2:$G$1795,$N1000),IF(J1000&lt;=30,INDEX('Tabela Passaro'!$H$2:$H$1795,$N1000),IF(J1000&lt;=50,INDEX('Tabela Passaro'!$I$2:$I$1795,$N1000),IF(J1000&lt;=70,INDEX('Tabela Passaro'!$J$2:$J$1795,$N1000),IF(J1000&lt;=100,INDEX('Tabela Passaro'!$K$2:$K$1795,$N1000),INDEX('Tabela Passaro'!$K$2:$K$1795,$N1000)+(J1000-100)*INDEX('Tabela Passaro'!$L$2:$L$1795,$N1000))))))</f>
        <v>256.93</v>
      </c>
      <c r="S1000" s="32" t="n">
        <f aca="false">K1000*INDEX('Tabela Passaro'!$M$2:$M$1795,$N1000)</f>
        <v>4.07415</v>
      </c>
      <c r="T1000" s="32" t="n">
        <f aca="false">K1000*INDEX('Tabela Passaro'!$N$2:$N$1795,$N1000)</f>
        <v>1.62966</v>
      </c>
      <c r="U1000" s="32" t="n">
        <f aca="false">INDEX('Tabela Passaro'!$O$2:$O$1795,$N1000)</f>
        <v>5</v>
      </c>
      <c r="V1000" s="32" t="n">
        <f aca="false">ROUNDUP(J1000/INDEX('Tabela Passaro'!$Q$2:$Q$1795,$N1000),0)*INDEX('Tabela Passaro'!$P$2:$P$1795,$N1000)</f>
        <v>5</v>
      </c>
      <c r="W1000" s="32" t="n">
        <f aca="false">INDEX('Tabela Passaro'!$R$2:$R$1795,$N1000)</f>
        <v>30</v>
      </c>
      <c r="X1000" s="32" t="n">
        <f aca="false">ROUNDUP(J1000/INDEX('Tabela Passaro'!$T$2:$T$1795,$N1000),0)*INDEX('Tabela Passaro'!$S$2:$S$1795,$N1000)</f>
        <v>0</v>
      </c>
      <c r="Y1000" s="32" t="n">
        <f aca="false">INDEX('Tabela Passaro'!$U$2:$U$1795,$N1000)</f>
        <v>0</v>
      </c>
      <c r="Z1000" s="32" t="n">
        <f aca="false">INDEX('Tabela Passaro'!$V$2:$V$1795,$N1000)</f>
        <v>0</v>
      </c>
      <c r="AA1000" s="32" t="n">
        <f aca="false">SUM(R1000:Z1000)</f>
        <v>302.63381</v>
      </c>
      <c r="AB1000" s="33" t="n">
        <f aca="false">INDEX(Premissas!$B$5:$B$13,MATCH(A1000,Premissas!$A$5:$A$13,0))</f>
        <v>0.07</v>
      </c>
      <c r="AC1000" s="32" t="n">
        <f aca="false">AA1000/(1-AB1000)-AA1000</f>
        <v>22.7788889247312</v>
      </c>
      <c r="AD1000" s="32" t="n">
        <f aca="false">ROUND(AA1000+AC1000,2)</f>
        <v>325.41</v>
      </c>
      <c r="AE1000" s="32" t="n">
        <f aca="false">AD1000-L1000</f>
        <v>188.15</v>
      </c>
      <c r="AF1000" s="34" t="n">
        <f aca="false">IF(L1000=0,0,AE1000/L1000)</f>
        <v>1.37075622905435</v>
      </c>
      <c r="AG1000" s="22" t="str">
        <f aca="false">IF(AD1000&lt;L1000,"PASSARO","ATUAL")</f>
        <v>ATUAL</v>
      </c>
      <c r="AH1000" s="22" t="str">
        <f aca="false">IF(P1000&lt;&gt;A1000,"Faixa cadastrada como "&amp;P1000&amp;" na tabela; preço aplicado pela UF do CEP","")</f>
        <v/>
      </c>
      <c r="AI1000" s="26" t="n">
        <v>352.24</v>
      </c>
      <c r="AJ1000" s="22" t="str">
        <f aca="false">INDEX('Tabela Passaro'!$X$2:$X$1795,$N1000)</f>
        <v>INTERIOR 2</v>
      </c>
    </row>
    <row r="1001" customFormat="false" ht="15" hidden="false" customHeight="false" outlineLevel="0" collapsed="false">
      <c r="A1001" s="22" t="s">
        <v>18</v>
      </c>
      <c r="B1001" s="22" t="n">
        <v>2</v>
      </c>
      <c r="C1001" s="22" t="s">
        <v>114</v>
      </c>
      <c r="D1001" s="22" t="s">
        <v>32</v>
      </c>
      <c r="E1001" s="22" t="s">
        <v>7326</v>
      </c>
      <c r="F1001" s="22" t="n">
        <v>903130</v>
      </c>
      <c r="G1001" s="30" t="n">
        <v>46246</v>
      </c>
      <c r="H1001" s="22" t="n">
        <v>624053</v>
      </c>
      <c r="I1001" s="22" t="s">
        <v>8256</v>
      </c>
      <c r="J1001" s="31" t="n">
        <v>27.4</v>
      </c>
      <c r="K1001" s="26" t="n">
        <v>411.94</v>
      </c>
      <c r="L1001" s="26" t="n">
        <v>118.55</v>
      </c>
      <c r="M1001" s="22" t="s">
        <v>3528</v>
      </c>
      <c r="N1001" s="22" t="n">
        <f aca="false">MATCH(M1001,'Tabela Passaro'!$A$2:$A$1795,0)</f>
        <v>822</v>
      </c>
      <c r="O1001" s="22" t="str">
        <f aca="false">INDEX('Tabela Passaro'!$C$2:$C$1795,$N1001)</f>
        <v>IMPERATRIZ</v>
      </c>
      <c r="P1001" s="22" t="str">
        <f aca="false">INDEX('Tabela Passaro'!$B$2:$B$1795,$N1001)</f>
        <v>MA</v>
      </c>
      <c r="Q1001" s="22" t="n">
        <f aca="false">INDEX('Tabela Passaro'!$F$2:$F$1795,$N1001)</f>
        <v>17</v>
      </c>
      <c r="R1001" s="32" t="n">
        <f aca="false">IF(J1001&lt;=10,INDEX('Tabela Passaro'!$G$2:$G$1795,$N1001),IF(J1001&lt;=30,INDEX('Tabela Passaro'!$H$2:$H$1795,$N1001),IF(J1001&lt;=50,INDEX('Tabela Passaro'!$I$2:$I$1795,$N1001),IF(J1001&lt;=70,INDEX('Tabela Passaro'!$J$2:$J$1795,$N1001),IF(J1001&lt;=100,INDEX('Tabela Passaro'!$K$2:$K$1795,$N1001),INDEX('Tabela Passaro'!$K$2:$K$1795,$N1001)+(J1001-100)*INDEX('Tabela Passaro'!$L$2:$L$1795,$N1001))))))</f>
        <v>234.8</v>
      </c>
      <c r="S1001" s="32" t="n">
        <f aca="false">K1001*INDEX('Tabela Passaro'!$M$2:$M$1795,$N1001)</f>
        <v>2.0597</v>
      </c>
      <c r="T1001" s="32" t="n">
        <f aca="false">K1001*INDEX('Tabela Passaro'!$N$2:$N$1795,$N1001)</f>
        <v>0.82388</v>
      </c>
      <c r="U1001" s="32" t="n">
        <f aca="false">INDEX('Tabela Passaro'!$O$2:$O$1795,$N1001)</f>
        <v>5</v>
      </c>
      <c r="V1001" s="32" t="n">
        <f aca="false">ROUNDUP(J1001/INDEX('Tabela Passaro'!$Q$2:$Q$1795,$N1001),0)*INDEX('Tabela Passaro'!$P$2:$P$1795,$N1001)</f>
        <v>5</v>
      </c>
      <c r="W1001" s="32" t="n">
        <f aca="false">INDEX('Tabela Passaro'!$R$2:$R$1795,$N1001)</f>
        <v>30</v>
      </c>
      <c r="X1001" s="32" t="n">
        <f aca="false">ROUNDUP(J1001/INDEX('Tabela Passaro'!$T$2:$T$1795,$N1001),0)*INDEX('Tabela Passaro'!$S$2:$S$1795,$N1001)</f>
        <v>0</v>
      </c>
      <c r="Y1001" s="32" t="n">
        <f aca="false">INDEX('Tabela Passaro'!$U$2:$U$1795,$N1001)</f>
        <v>0</v>
      </c>
      <c r="Z1001" s="32" t="n">
        <f aca="false">INDEX('Tabela Passaro'!$V$2:$V$1795,$N1001)</f>
        <v>0</v>
      </c>
      <c r="AA1001" s="32" t="n">
        <f aca="false">SUM(R1001:Z1001)</f>
        <v>277.68358</v>
      </c>
      <c r="AB1001" s="33" t="n">
        <f aca="false">INDEX(Premissas!$B$5:$B$13,MATCH(A1001,Premissas!$A$5:$A$13,0))</f>
        <v>0.07</v>
      </c>
      <c r="AC1001" s="32" t="n">
        <f aca="false">AA1001/(1-AB1001)-AA1001</f>
        <v>20.9009146236559</v>
      </c>
      <c r="AD1001" s="32" t="n">
        <f aca="false">ROUND(AA1001+AC1001,2)</f>
        <v>298.58</v>
      </c>
      <c r="AE1001" s="32" t="n">
        <f aca="false">AD1001-L1001</f>
        <v>180.03</v>
      </c>
      <c r="AF1001" s="34" t="n">
        <f aca="false">IF(L1001=0,0,AE1001/L1001)</f>
        <v>1.51859974694222</v>
      </c>
      <c r="AG1001" s="22" t="str">
        <f aca="false">IF(AD1001&lt;L1001,"PASSARO","ATUAL")</f>
        <v>ATUAL</v>
      </c>
      <c r="AH1001" s="22" t="str">
        <f aca="false">IF(P1001&lt;&gt;A1001,"Faixa cadastrada como "&amp;P1001&amp;" na tabela; preço aplicado pela UF do CEP","")</f>
        <v/>
      </c>
      <c r="AI1001" s="26" t="n">
        <v>315.56</v>
      </c>
      <c r="AJ1001" s="22" t="str">
        <f aca="false">INDEX('Tabela Passaro'!$X$2:$X$1795,$N1001)</f>
        <v>INTERIOR 2</v>
      </c>
    </row>
    <row r="1002" customFormat="false" ht="15" hidden="false" customHeight="false" outlineLevel="0" collapsed="false">
      <c r="A1002" s="22" t="s">
        <v>18</v>
      </c>
      <c r="B1002" s="22" t="n">
        <v>2</v>
      </c>
      <c r="C1002" s="22" t="s">
        <v>114</v>
      </c>
      <c r="D1002" s="22" t="s">
        <v>32</v>
      </c>
      <c r="E1002" s="22" t="s">
        <v>7326</v>
      </c>
      <c r="F1002" s="22" t="n">
        <v>903151</v>
      </c>
      <c r="G1002" s="30" t="n">
        <v>46246</v>
      </c>
      <c r="H1002" s="22" t="n">
        <v>624197</v>
      </c>
      <c r="I1002" s="22" t="s">
        <v>8257</v>
      </c>
      <c r="J1002" s="31" t="n">
        <v>53.8</v>
      </c>
      <c r="K1002" s="26" t="n">
        <v>885.22</v>
      </c>
      <c r="L1002" s="26" t="n">
        <v>164.41</v>
      </c>
      <c r="M1002" s="22" t="s">
        <v>3528</v>
      </c>
      <c r="N1002" s="22" t="n">
        <f aca="false">MATCH(M1002,'Tabela Passaro'!$A$2:$A$1795,0)</f>
        <v>822</v>
      </c>
      <c r="O1002" s="22" t="str">
        <f aca="false">INDEX('Tabela Passaro'!$C$2:$C$1795,$N1002)</f>
        <v>IMPERATRIZ</v>
      </c>
      <c r="P1002" s="22" t="str">
        <f aca="false">INDEX('Tabela Passaro'!$B$2:$B$1795,$N1002)</f>
        <v>MA</v>
      </c>
      <c r="Q1002" s="22" t="n">
        <f aca="false">INDEX('Tabela Passaro'!$F$2:$F$1795,$N1002)</f>
        <v>17</v>
      </c>
      <c r="R1002" s="32" t="n">
        <f aca="false">IF(J1002&lt;=10,INDEX('Tabela Passaro'!$G$2:$G$1795,$N1002),IF(J1002&lt;=30,INDEX('Tabela Passaro'!$H$2:$H$1795,$N1002),IF(J1002&lt;=50,INDEX('Tabela Passaro'!$I$2:$I$1795,$N1002),IF(J1002&lt;=70,INDEX('Tabela Passaro'!$J$2:$J$1795,$N1002),IF(J1002&lt;=100,INDEX('Tabela Passaro'!$K$2:$K$1795,$N1002),INDEX('Tabela Passaro'!$K$2:$K$1795,$N1002)+(J1002-100)*INDEX('Tabela Passaro'!$L$2:$L$1795,$N1002))))))</f>
        <v>273.53</v>
      </c>
      <c r="S1002" s="32" t="n">
        <f aca="false">K1002*INDEX('Tabela Passaro'!$M$2:$M$1795,$N1002)</f>
        <v>4.4261</v>
      </c>
      <c r="T1002" s="32" t="n">
        <f aca="false">K1002*INDEX('Tabela Passaro'!$N$2:$N$1795,$N1002)</f>
        <v>1.77044</v>
      </c>
      <c r="U1002" s="32" t="n">
        <f aca="false">INDEX('Tabela Passaro'!$O$2:$O$1795,$N1002)</f>
        <v>5</v>
      </c>
      <c r="V1002" s="32" t="n">
        <f aca="false">ROUNDUP(J1002/INDEX('Tabela Passaro'!$Q$2:$Q$1795,$N1002),0)*INDEX('Tabela Passaro'!$P$2:$P$1795,$N1002)</f>
        <v>5</v>
      </c>
      <c r="W1002" s="32" t="n">
        <f aca="false">INDEX('Tabela Passaro'!$R$2:$R$1795,$N1002)</f>
        <v>30</v>
      </c>
      <c r="X1002" s="32" t="n">
        <f aca="false">ROUNDUP(J1002/INDEX('Tabela Passaro'!$T$2:$T$1795,$N1002),0)*INDEX('Tabela Passaro'!$S$2:$S$1795,$N1002)</f>
        <v>0</v>
      </c>
      <c r="Y1002" s="32" t="n">
        <f aca="false">INDEX('Tabela Passaro'!$U$2:$U$1795,$N1002)</f>
        <v>0</v>
      </c>
      <c r="Z1002" s="32" t="n">
        <f aca="false">INDEX('Tabela Passaro'!$V$2:$V$1795,$N1002)</f>
        <v>0</v>
      </c>
      <c r="AA1002" s="32" t="n">
        <f aca="false">SUM(R1002:Z1002)</f>
        <v>319.72654</v>
      </c>
      <c r="AB1002" s="33" t="n">
        <f aca="false">INDEX(Premissas!$B$5:$B$13,MATCH(A1002,Premissas!$A$5:$A$13,0))</f>
        <v>0.07</v>
      </c>
      <c r="AC1002" s="32" t="n">
        <f aca="false">AA1002/(1-AB1002)-AA1002</f>
        <v>24.0654384946237</v>
      </c>
      <c r="AD1002" s="32" t="n">
        <f aca="false">ROUND(AA1002+AC1002,2)</f>
        <v>343.79</v>
      </c>
      <c r="AE1002" s="32" t="n">
        <f aca="false">AD1002-L1002</f>
        <v>179.38</v>
      </c>
      <c r="AF1002" s="34" t="n">
        <f aca="false">IF(L1002=0,0,AE1002/L1002)</f>
        <v>1.09105285566571</v>
      </c>
      <c r="AG1002" s="22" t="str">
        <f aca="false">IF(AD1002&lt;L1002,"PASSARO","ATUAL")</f>
        <v>ATUAL</v>
      </c>
      <c r="AH1002" s="22" t="str">
        <f aca="false">IF(P1002&lt;&gt;A1002,"Faixa cadastrada como "&amp;P1002&amp;" na tabela; preço aplicado pela UF do CEP","")</f>
        <v/>
      </c>
      <c r="AI1002" s="26" t="n">
        <v>376.55</v>
      </c>
      <c r="AJ1002" s="22" t="str">
        <f aca="false">INDEX('Tabela Passaro'!$X$2:$X$1795,$N1002)</f>
        <v>INTERIOR 2</v>
      </c>
    </row>
    <row r="1003" customFormat="false" ht="15" hidden="false" customHeight="false" outlineLevel="0" collapsed="false">
      <c r="A1003" s="22" t="s">
        <v>18</v>
      </c>
      <c r="B1003" s="22" t="n">
        <v>2</v>
      </c>
      <c r="C1003" s="22" t="s">
        <v>114</v>
      </c>
      <c r="D1003" s="22" t="s">
        <v>32</v>
      </c>
      <c r="E1003" s="22" t="s">
        <v>7326</v>
      </c>
      <c r="F1003" s="22" t="n">
        <v>903516</v>
      </c>
      <c r="G1003" s="30" t="n">
        <v>46247</v>
      </c>
      <c r="H1003" s="22" t="n">
        <v>624454</v>
      </c>
      <c r="I1003" s="22" t="s">
        <v>8258</v>
      </c>
      <c r="J1003" s="31" t="n">
        <v>34.7</v>
      </c>
      <c r="K1003" s="26" t="n">
        <v>632.8</v>
      </c>
      <c r="L1003" s="26" t="n">
        <v>134.93</v>
      </c>
      <c r="M1003" s="22" t="s">
        <v>3528</v>
      </c>
      <c r="N1003" s="22" t="n">
        <f aca="false">MATCH(M1003,'Tabela Passaro'!$A$2:$A$1795,0)</f>
        <v>822</v>
      </c>
      <c r="O1003" s="22" t="str">
        <f aca="false">INDEX('Tabela Passaro'!$C$2:$C$1795,$N1003)</f>
        <v>IMPERATRIZ</v>
      </c>
      <c r="P1003" s="22" t="str">
        <f aca="false">INDEX('Tabela Passaro'!$B$2:$B$1795,$N1003)</f>
        <v>MA</v>
      </c>
      <c r="Q1003" s="22" t="n">
        <f aca="false">INDEX('Tabela Passaro'!$F$2:$F$1795,$N1003)</f>
        <v>17</v>
      </c>
      <c r="R1003" s="32" t="n">
        <f aca="false">IF(J1003&lt;=10,INDEX('Tabela Passaro'!$G$2:$G$1795,$N1003),IF(J1003&lt;=30,INDEX('Tabela Passaro'!$H$2:$H$1795,$N1003),IF(J1003&lt;=50,INDEX('Tabela Passaro'!$I$2:$I$1795,$N1003),IF(J1003&lt;=70,INDEX('Tabela Passaro'!$J$2:$J$1795,$N1003),IF(J1003&lt;=100,INDEX('Tabela Passaro'!$K$2:$K$1795,$N1003),INDEX('Tabela Passaro'!$K$2:$K$1795,$N1003)+(J1003-100)*INDEX('Tabela Passaro'!$L$2:$L$1795,$N1003))))))</f>
        <v>256.93</v>
      </c>
      <c r="S1003" s="32" t="n">
        <f aca="false">K1003*INDEX('Tabela Passaro'!$M$2:$M$1795,$N1003)</f>
        <v>3.164</v>
      </c>
      <c r="T1003" s="32" t="n">
        <f aca="false">K1003*INDEX('Tabela Passaro'!$N$2:$N$1795,$N1003)</f>
        <v>1.2656</v>
      </c>
      <c r="U1003" s="32" t="n">
        <f aca="false">INDEX('Tabela Passaro'!$O$2:$O$1795,$N1003)</f>
        <v>5</v>
      </c>
      <c r="V1003" s="32" t="n">
        <f aca="false">ROUNDUP(J1003/INDEX('Tabela Passaro'!$Q$2:$Q$1795,$N1003),0)*INDEX('Tabela Passaro'!$P$2:$P$1795,$N1003)</f>
        <v>5</v>
      </c>
      <c r="W1003" s="32" t="n">
        <f aca="false">INDEX('Tabela Passaro'!$R$2:$R$1795,$N1003)</f>
        <v>30</v>
      </c>
      <c r="X1003" s="32" t="n">
        <f aca="false">ROUNDUP(J1003/INDEX('Tabela Passaro'!$T$2:$T$1795,$N1003),0)*INDEX('Tabela Passaro'!$S$2:$S$1795,$N1003)</f>
        <v>0</v>
      </c>
      <c r="Y1003" s="32" t="n">
        <f aca="false">INDEX('Tabela Passaro'!$U$2:$U$1795,$N1003)</f>
        <v>0</v>
      </c>
      <c r="Z1003" s="32" t="n">
        <f aca="false">INDEX('Tabela Passaro'!$V$2:$V$1795,$N1003)</f>
        <v>0</v>
      </c>
      <c r="AA1003" s="32" t="n">
        <f aca="false">SUM(R1003:Z1003)</f>
        <v>301.3596</v>
      </c>
      <c r="AB1003" s="33" t="n">
        <f aca="false">INDEX(Premissas!$B$5:$B$13,MATCH(A1003,Premissas!$A$5:$A$13,0))</f>
        <v>0.07</v>
      </c>
      <c r="AC1003" s="32" t="n">
        <f aca="false">AA1003/(1-AB1003)-AA1003</f>
        <v>22.6829806451613</v>
      </c>
      <c r="AD1003" s="32" t="n">
        <f aca="false">ROUND(AA1003+AC1003,2)</f>
        <v>324.04</v>
      </c>
      <c r="AE1003" s="32" t="n">
        <f aca="false">AD1003-L1003</f>
        <v>189.11</v>
      </c>
      <c r="AF1003" s="34" t="n">
        <f aca="false">IF(L1003=0,0,AE1003/L1003)</f>
        <v>1.40154154005781</v>
      </c>
      <c r="AG1003" s="22" t="str">
        <f aca="false">IF(AD1003&lt;L1003,"PASSARO","ATUAL")</f>
        <v>ATUAL</v>
      </c>
      <c r="AH1003" s="22" t="str">
        <f aca="false">IF(P1003&lt;&gt;A1003,"Faixa cadastrada como "&amp;P1003&amp;" na tabela; preço aplicado pela UF do CEP","")</f>
        <v/>
      </c>
      <c r="AI1003" s="26" t="n">
        <v>346.12</v>
      </c>
      <c r="AJ1003" s="22" t="str">
        <f aca="false">INDEX('Tabela Passaro'!$X$2:$X$1795,$N1003)</f>
        <v>INTERIOR 2</v>
      </c>
    </row>
    <row r="1004" customFormat="false" ht="15" hidden="false" customHeight="false" outlineLevel="0" collapsed="false">
      <c r="A1004" s="22" t="s">
        <v>18</v>
      </c>
      <c r="B1004" s="22" t="n">
        <v>2</v>
      </c>
      <c r="C1004" s="22" t="s">
        <v>114</v>
      </c>
      <c r="D1004" s="22" t="s">
        <v>32</v>
      </c>
      <c r="E1004" s="22" t="s">
        <v>7326</v>
      </c>
      <c r="F1004" s="22" t="n">
        <v>904194</v>
      </c>
      <c r="G1004" s="30" t="n">
        <v>46251</v>
      </c>
      <c r="H1004" s="22" t="n">
        <v>625662</v>
      </c>
      <c r="I1004" s="22" t="s">
        <v>8259</v>
      </c>
      <c r="J1004" s="31" t="n">
        <v>93.7</v>
      </c>
      <c r="K1004" s="26" t="n">
        <v>1242.2</v>
      </c>
      <c r="L1004" s="26" t="n">
        <v>180.07</v>
      </c>
      <c r="M1004" s="22" t="s">
        <v>3528</v>
      </c>
      <c r="N1004" s="22" t="n">
        <f aca="false">MATCH(M1004,'Tabela Passaro'!$A$2:$A$1795,0)</f>
        <v>822</v>
      </c>
      <c r="O1004" s="22" t="str">
        <f aca="false">INDEX('Tabela Passaro'!$C$2:$C$1795,$N1004)</f>
        <v>IMPERATRIZ</v>
      </c>
      <c r="P1004" s="22" t="str">
        <f aca="false">INDEX('Tabela Passaro'!$B$2:$B$1795,$N1004)</f>
        <v>MA</v>
      </c>
      <c r="Q1004" s="22" t="n">
        <f aca="false">INDEX('Tabela Passaro'!$F$2:$F$1795,$N1004)</f>
        <v>17</v>
      </c>
      <c r="R1004" s="32" t="n">
        <f aca="false">IF(J1004&lt;=10,INDEX('Tabela Passaro'!$G$2:$G$1795,$N1004),IF(J1004&lt;=30,INDEX('Tabela Passaro'!$H$2:$H$1795,$N1004),IF(J1004&lt;=50,INDEX('Tabela Passaro'!$I$2:$I$1795,$N1004),IF(J1004&lt;=70,INDEX('Tabela Passaro'!$J$2:$J$1795,$N1004),IF(J1004&lt;=100,INDEX('Tabela Passaro'!$K$2:$K$1795,$N1004),INDEX('Tabela Passaro'!$K$2:$K$1795,$N1004)+(J1004-100)*INDEX('Tabela Passaro'!$L$2:$L$1795,$N1004))))))</f>
        <v>290.13</v>
      </c>
      <c r="S1004" s="32" t="n">
        <f aca="false">K1004*INDEX('Tabela Passaro'!$M$2:$M$1795,$N1004)</f>
        <v>6.211</v>
      </c>
      <c r="T1004" s="32" t="n">
        <f aca="false">K1004*INDEX('Tabela Passaro'!$N$2:$N$1795,$N1004)</f>
        <v>2.4844</v>
      </c>
      <c r="U1004" s="32" t="n">
        <f aca="false">INDEX('Tabela Passaro'!$O$2:$O$1795,$N1004)</f>
        <v>5</v>
      </c>
      <c r="V1004" s="32" t="n">
        <f aca="false">ROUNDUP(J1004/INDEX('Tabela Passaro'!$Q$2:$Q$1795,$N1004),0)*INDEX('Tabela Passaro'!$P$2:$P$1795,$N1004)</f>
        <v>5</v>
      </c>
      <c r="W1004" s="32" t="n">
        <f aca="false">INDEX('Tabela Passaro'!$R$2:$R$1795,$N1004)</f>
        <v>30</v>
      </c>
      <c r="X1004" s="32" t="n">
        <f aca="false">ROUNDUP(J1004/INDEX('Tabela Passaro'!$T$2:$T$1795,$N1004),0)*INDEX('Tabela Passaro'!$S$2:$S$1795,$N1004)</f>
        <v>0</v>
      </c>
      <c r="Y1004" s="32" t="n">
        <f aca="false">INDEX('Tabela Passaro'!$U$2:$U$1795,$N1004)</f>
        <v>0</v>
      </c>
      <c r="Z1004" s="32" t="n">
        <f aca="false">INDEX('Tabela Passaro'!$V$2:$V$1795,$N1004)</f>
        <v>0</v>
      </c>
      <c r="AA1004" s="32" t="n">
        <f aca="false">SUM(R1004:Z1004)</f>
        <v>338.8254</v>
      </c>
      <c r="AB1004" s="33" t="n">
        <f aca="false">INDEX(Premissas!$B$5:$B$13,MATCH(A1004,Premissas!$A$5:$A$13,0))</f>
        <v>0.07</v>
      </c>
      <c r="AC1004" s="32" t="n">
        <f aca="false">AA1004/(1-AB1004)-AA1004</f>
        <v>25.5029870967742</v>
      </c>
      <c r="AD1004" s="32" t="n">
        <f aca="false">ROUND(AA1004+AC1004,2)</f>
        <v>364.33</v>
      </c>
      <c r="AE1004" s="32" t="n">
        <f aca="false">AD1004-L1004</f>
        <v>184.26</v>
      </c>
      <c r="AF1004" s="34" t="n">
        <f aca="false">IF(L1004=0,0,AE1004/L1004)</f>
        <v>1.02326872882768</v>
      </c>
      <c r="AG1004" s="22" t="str">
        <f aca="false">IF(AD1004&lt;L1004,"PASSARO","ATUAL")</f>
        <v>ATUAL</v>
      </c>
      <c r="AH1004" s="22" t="str">
        <f aca="false">IF(P1004&lt;&gt;A1004,"Faixa cadastrada como "&amp;P1004&amp;" na tabela; preço aplicado pela UF do CEP","")</f>
        <v/>
      </c>
      <c r="AI1004" s="26" t="n">
        <v>418.15</v>
      </c>
      <c r="AJ1004" s="22" t="str">
        <f aca="false">INDEX('Tabela Passaro'!$X$2:$X$1795,$N1004)</f>
        <v>INTERIOR 2</v>
      </c>
    </row>
    <row r="1005" customFormat="false" ht="15" hidden="false" customHeight="false" outlineLevel="0" collapsed="false">
      <c r="A1005" s="22" t="s">
        <v>18</v>
      </c>
      <c r="B1005" s="22" t="n">
        <v>2</v>
      </c>
      <c r="C1005" s="22" t="s">
        <v>114</v>
      </c>
      <c r="D1005" s="22" t="s">
        <v>32</v>
      </c>
      <c r="E1005" s="22" t="s">
        <v>7326</v>
      </c>
      <c r="F1005" s="22" t="n">
        <v>905154</v>
      </c>
      <c r="G1005" s="30" t="n">
        <v>46253</v>
      </c>
      <c r="H1005" s="22" t="n">
        <v>626900</v>
      </c>
      <c r="I1005" s="22" t="s">
        <v>8260</v>
      </c>
      <c r="J1005" s="31" t="n">
        <v>124.2</v>
      </c>
      <c r="K1005" s="26" t="n">
        <v>1768.13</v>
      </c>
      <c r="L1005" s="26" t="n">
        <v>241.26</v>
      </c>
      <c r="M1005" s="22" t="s">
        <v>3528</v>
      </c>
      <c r="N1005" s="22" t="n">
        <f aca="false">MATCH(M1005,'Tabela Passaro'!$A$2:$A$1795,0)</f>
        <v>822</v>
      </c>
      <c r="O1005" s="22" t="str">
        <f aca="false">INDEX('Tabela Passaro'!$C$2:$C$1795,$N1005)</f>
        <v>IMPERATRIZ</v>
      </c>
      <c r="P1005" s="22" t="str">
        <f aca="false">INDEX('Tabela Passaro'!$B$2:$B$1795,$N1005)</f>
        <v>MA</v>
      </c>
      <c r="Q1005" s="22" t="n">
        <f aca="false">INDEX('Tabela Passaro'!$F$2:$F$1795,$N1005)</f>
        <v>17</v>
      </c>
      <c r="R1005" s="32" t="n">
        <f aca="false">IF(J1005&lt;=10,INDEX('Tabela Passaro'!$G$2:$G$1795,$N1005),IF(J1005&lt;=30,INDEX('Tabela Passaro'!$H$2:$H$1795,$N1005),IF(J1005&lt;=50,INDEX('Tabela Passaro'!$I$2:$I$1795,$N1005),IF(J1005&lt;=70,INDEX('Tabela Passaro'!$J$2:$J$1795,$N1005),IF(J1005&lt;=100,INDEX('Tabela Passaro'!$K$2:$K$1795,$N1005),INDEX('Tabela Passaro'!$K$2:$K$1795,$N1005)+(J1005-100)*INDEX('Tabela Passaro'!$L$2:$L$1795,$N1005))))))</f>
        <v>354.26</v>
      </c>
      <c r="S1005" s="32" t="n">
        <f aca="false">K1005*INDEX('Tabela Passaro'!$M$2:$M$1795,$N1005)</f>
        <v>8.84065</v>
      </c>
      <c r="T1005" s="32" t="n">
        <f aca="false">K1005*INDEX('Tabela Passaro'!$N$2:$N$1795,$N1005)</f>
        <v>3.53626</v>
      </c>
      <c r="U1005" s="32" t="n">
        <f aca="false">INDEX('Tabela Passaro'!$O$2:$O$1795,$N1005)</f>
        <v>5</v>
      </c>
      <c r="V1005" s="32" t="n">
        <f aca="false">ROUNDUP(J1005/INDEX('Tabela Passaro'!$Q$2:$Q$1795,$N1005),0)*INDEX('Tabela Passaro'!$P$2:$P$1795,$N1005)</f>
        <v>10</v>
      </c>
      <c r="W1005" s="32" t="n">
        <f aca="false">INDEX('Tabela Passaro'!$R$2:$R$1795,$N1005)</f>
        <v>30</v>
      </c>
      <c r="X1005" s="32" t="n">
        <f aca="false">ROUNDUP(J1005/INDEX('Tabela Passaro'!$T$2:$T$1795,$N1005),0)*INDEX('Tabela Passaro'!$S$2:$S$1795,$N1005)</f>
        <v>0</v>
      </c>
      <c r="Y1005" s="32" t="n">
        <f aca="false">INDEX('Tabela Passaro'!$U$2:$U$1795,$N1005)</f>
        <v>0</v>
      </c>
      <c r="Z1005" s="32" t="n">
        <f aca="false">INDEX('Tabela Passaro'!$V$2:$V$1795,$N1005)</f>
        <v>0</v>
      </c>
      <c r="AA1005" s="32" t="n">
        <f aca="false">SUM(R1005:Z1005)</f>
        <v>411.63691</v>
      </c>
      <c r="AB1005" s="33" t="n">
        <f aca="false">INDEX(Premissas!$B$5:$B$13,MATCH(A1005,Premissas!$A$5:$A$13,0))</f>
        <v>0.07</v>
      </c>
      <c r="AC1005" s="32" t="n">
        <f aca="false">AA1005/(1-AB1005)-AA1005</f>
        <v>30.9834233333334</v>
      </c>
      <c r="AD1005" s="32" t="n">
        <f aca="false">ROUND(AA1005+AC1005,2)</f>
        <v>442.62</v>
      </c>
      <c r="AE1005" s="32" t="n">
        <f aca="false">AD1005-L1005</f>
        <v>201.36</v>
      </c>
      <c r="AF1005" s="34" t="n">
        <f aca="false">IF(L1005=0,0,AE1005/L1005)</f>
        <v>0.834618254165631</v>
      </c>
      <c r="AG1005" s="22" t="str">
        <f aca="false">IF(AD1005&lt;L1005,"PASSARO","ATUAL")</f>
        <v>ATUAL</v>
      </c>
      <c r="AH1005" s="22" t="str">
        <f aca="false">IF(P1005&lt;&gt;A1005,"Faixa cadastrada como "&amp;P1005&amp;" na tabela; preço aplicado pela UF do CEP","")</f>
        <v/>
      </c>
      <c r="AI1005" s="26" t="n">
        <v>521.16</v>
      </c>
      <c r="AJ1005" s="22" t="str">
        <f aca="false">INDEX('Tabela Passaro'!$X$2:$X$1795,$N1005)</f>
        <v>INTERIOR 2</v>
      </c>
    </row>
    <row r="1006" customFormat="false" ht="15" hidden="false" customHeight="false" outlineLevel="0" collapsed="false">
      <c r="A1006" s="22" t="s">
        <v>18</v>
      </c>
      <c r="B1006" s="22" t="n">
        <v>2</v>
      </c>
      <c r="C1006" s="22" t="s">
        <v>114</v>
      </c>
      <c r="D1006" s="22" t="s">
        <v>32</v>
      </c>
      <c r="E1006" s="22" t="s">
        <v>7326</v>
      </c>
      <c r="F1006" s="22" t="n">
        <v>905569</v>
      </c>
      <c r="G1006" s="30" t="n">
        <v>46254</v>
      </c>
      <c r="H1006" s="22" t="n">
        <v>627593</v>
      </c>
      <c r="I1006" s="22" t="s">
        <v>8261</v>
      </c>
      <c r="J1006" s="31" t="n">
        <v>46.8</v>
      </c>
      <c r="K1006" s="26" t="n">
        <v>497.13</v>
      </c>
      <c r="L1006" s="26" t="n">
        <v>133.17</v>
      </c>
      <c r="M1006" s="22" t="s">
        <v>3528</v>
      </c>
      <c r="N1006" s="22" t="n">
        <f aca="false">MATCH(M1006,'Tabela Passaro'!$A$2:$A$1795,0)</f>
        <v>822</v>
      </c>
      <c r="O1006" s="22" t="str">
        <f aca="false">INDEX('Tabela Passaro'!$C$2:$C$1795,$N1006)</f>
        <v>IMPERATRIZ</v>
      </c>
      <c r="P1006" s="22" t="str">
        <f aca="false">INDEX('Tabela Passaro'!$B$2:$B$1795,$N1006)</f>
        <v>MA</v>
      </c>
      <c r="Q1006" s="22" t="n">
        <f aca="false">INDEX('Tabela Passaro'!$F$2:$F$1795,$N1006)</f>
        <v>17</v>
      </c>
      <c r="R1006" s="32" t="n">
        <f aca="false">IF(J1006&lt;=10,INDEX('Tabela Passaro'!$G$2:$G$1795,$N1006),IF(J1006&lt;=30,INDEX('Tabela Passaro'!$H$2:$H$1795,$N1006),IF(J1006&lt;=50,INDEX('Tabela Passaro'!$I$2:$I$1795,$N1006),IF(J1006&lt;=70,INDEX('Tabela Passaro'!$J$2:$J$1795,$N1006),IF(J1006&lt;=100,INDEX('Tabela Passaro'!$K$2:$K$1795,$N1006),INDEX('Tabela Passaro'!$K$2:$K$1795,$N1006)+(J1006-100)*INDEX('Tabela Passaro'!$L$2:$L$1795,$N1006))))))</f>
        <v>256.93</v>
      </c>
      <c r="S1006" s="32" t="n">
        <f aca="false">K1006*INDEX('Tabela Passaro'!$M$2:$M$1795,$N1006)</f>
        <v>2.48565</v>
      </c>
      <c r="T1006" s="32" t="n">
        <f aca="false">K1006*INDEX('Tabela Passaro'!$N$2:$N$1795,$N1006)</f>
        <v>0.99426</v>
      </c>
      <c r="U1006" s="32" t="n">
        <f aca="false">INDEX('Tabela Passaro'!$O$2:$O$1795,$N1006)</f>
        <v>5</v>
      </c>
      <c r="V1006" s="32" t="n">
        <f aca="false">ROUNDUP(J1006/INDEX('Tabela Passaro'!$Q$2:$Q$1795,$N1006),0)*INDEX('Tabela Passaro'!$P$2:$P$1795,$N1006)</f>
        <v>5</v>
      </c>
      <c r="W1006" s="32" t="n">
        <f aca="false">INDEX('Tabela Passaro'!$R$2:$R$1795,$N1006)</f>
        <v>30</v>
      </c>
      <c r="X1006" s="32" t="n">
        <f aca="false">ROUNDUP(J1006/INDEX('Tabela Passaro'!$T$2:$T$1795,$N1006),0)*INDEX('Tabela Passaro'!$S$2:$S$1795,$N1006)</f>
        <v>0</v>
      </c>
      <c r="Y1006" s="32" t="n">
        <f aca="false">INDEX('Tabela Passaro'!$U$2:$U$1795,$N1006)</f>
        <v>0</v>
      </c>
      <c r="Z1006" s="32" t="n">
        <f aca="false">INDEX('Tabela Passaro'!$V$2:$V$1795,$N1006)</f>
        <v>0</v>
      </c>
      <c r="AA1006" s="32" t="n">
        <f aca="false">SUM(R1006:Z1006)</f>
        <v>300.40991</v>
      </c>
      <c r="AB1006" s="33" t="n">
        <f aca="false">INDEX(Premissas!$B$5:$B$13,MATCH(A1006,Premissas!$A$5:$A$13,0))</f>
        <v>0.07</v>
      </c>
      <c r="AC1006" s="32" t="n">
        <f aca="false">AA1006/(1-AB1006)-AA1006</f>
        <v>22.6114986021506</v>
      </c>
      <c r="AD1006" s="32" t="n">
        <f aca="false">ROUND(AA1006+AC1006,2)</f>
        <v>323.02</v>
      </c>
      <c r="AE1006" s="32" t="n">
        <f aca="false">AD1006-L1006</f>
        <v>189.85</v>
      </c>
      <c r="AF1006" s="34" t="n">
        <f aca="false">IF(L1006=0,0,AE1006/L1006)</f>
        <v>1.42562138619809</v>
      </c>
      <c r="AG1006" s="22" t="str">
        <f aca="false">IF(AD1006&lt;L1006,"PASSARO","ATUAL")</f>
        <v>ATUAL</v>
      </c>
      <c r="AH1006" s="22" t="str">
        <f aca="false">IF(P1006&lt;&gt;A1006,"Faixa cadastrada como "&amp;P1006&amp;" na tabela; preço aplicado pela UF do CEP","")</f>
        <v/>
      </c>
      <c r="AI1006" s="26" t="n">
        <v>350.62</v>
      </c>
      <c r="AJ1006" s="22" t="str">
        <f aca="false">INDEX('Tabela Passaro'!$X$2:$X$1795,$N1006)</f>
        <v>INTERIOR 2</v>
      </c>
    </row>
    <row r="1007" customFormat="false" ht="15" hidden="false" customHeight="false" outlineLevel="0" collapsed="false">
      <c r="A1007" s="22" t="s">
        <v>18</v>
      </c>
      <c r="B1007" s="22" t="n">
        <v>2</v>
      </c>
      <c r="C1007" s="22" t="s">
        <v>114</v>
      </c>
      <c r="D1007" s="22" t="s">
        <v>32</v>
      </c>
      <c r="E1007" s="22" t="s">
        <v>7326</v>
      </c>
      <c r="F1007" s="22" t="n">
        <v>906669</v>
      </c>
      <c r="G1007" s="30" t="n">
        <v>46259</v>
      </c>
      <c r="H1007" s="22" t="n">
        <v>629000</v>
      </c>
      <c r="I1007" s="22" t="s">
        <v>8262</v>
      </c>
      <c r="J1007" s="31" t="n">
        <v>124.2</v>
      </c>
      <c r="K1007" s="26" t="n">
        <v>1903.41</v>
      </c>
      <c r="L1007" s="26" t="n">
        <v>243.01</v>
      </c>
      <c r="M1007" s="22" t="s">
        <v>3528</v>
      </c>
      <c r="N1007" s="22" t="n">
        <f aca="false">MATCH(M1007,'Tabela Passaro'!$A$2:$A$1795,0)</f>
        <v>822</v>
      </c>
      <c r="O1007" s="22" t="str">
        <f aca="false">INDEX('Tabela Passaro'!$C$2:$C$1795,$N1007)</f>
        <v>IMPERATRIZ</v>
      </c>
      <c r="P1007" s="22" t="str">
        <f aca="false">INDEX('Tabela Passaro'!$B$2:$B$1795,$N1007)</f>
        <v>MA</v>
      </c>
      <c r="Q1007" s="22" t="n">
        <f aca="false">INDEX('Tabela Passaro'!$F$2:$F$1795,$N1007)</f>
        <v>17</v>
      </c>
      <c r="R1007" s="32" t="n">
        <f aca="false">IF(J1007&lt;=10,INDEX('Tabela Passaro'!$G$2:$G$1795,$N1007),IF(J1007&lt;=30,INDEX('Tabela Passaro'!$H$2:$H$1795,$N1007),IF(J1007&lt;=50,INDEX('Tabela Passaro'!$I$2:$I$1795,$N1007),IF(J1007&lt;=70,INDEX('Tabela Passaro'!$J$2:$J$1795,$N1007),IF(J1007&lt;=100,INDEX('Tabela Passaro'!$K$2:$K$1795,$N1007),INDEX('Tabela Passaro'!$K$2:$K$1795,$N1007)+(J1007-100)*INDEX('Tabela Passaro'!$L$2:$L$1795,$N1007))))))</f>
        <v>354.26</v>
      </c>
      <c r="S1007" s="32" t="n">
        <f aca="false">K1007*INDEX('Tabela Passaro'!$M$2:$M$1795,$N1007)</f>
        <v>9.51705</v>
      </c>
      <c r="T1007" s="32" t="n">
        <f aca="false">K1007*INDEX('Tabela Passaro'!$N$2:$N$1795,$N1007)</f>
        <v>3.80682</v>
      </c>
      <c r="U1007" s="32" t="n">
        <f aca="false">INDEX('Tabela Passaro'!$O$2:$O$1795,$N1007)</f>
        <v>5</v>
      </c>
      <c r="V1007" s="32" t="n">
        <f aca="false">ROUNDUP(J1007/INDEX('Tabela Passaro'!$Q$2:$Q$1795,$N1007),0)*INDEX('Tabela Passaro'!$P$2:$P$1795,$N1007)</f>
        <v>10</v>
      </c>
      <c r="W1007" s="32" t="n">
        <f aca="false">INDEX('Tabela Passaro'!$R$2:$R$1795,$N1007)</f>
        <v>30</v>
      </c>
      <c r="X1007" s="32" t="n">
        <f aca="false">ROUNDUP(J1007/INDEX('Tabela Passaro'!$T$2:$T$1795,$N1007),0)*INDEX('Tabela Passaro'!$S$2:$S$1795,$N1007)</f>
        <v>0</v>
      </c>
      <c r="Y1007" s="32" t="n">
        <f aca="false">INDEX('Tabela Passaro'!$U$2:$U$1795,$N1007)</f>
        <v>0</v>
      </c>
      <c r="Z1007" s="32" t="n">
        <f aca="false">INDEX('Tabela Passaro'!$V$2:$V$1795,$N1007)</f>
        <v>0</v>
      </c>
      <c r="AA1007" s="32" t="n">
        <f aca="false">SUM(R1007:Z1007)</f>
        <v>412.58387</v>
      </c>
      <c r="AB1007" s="33" t="n">
        <f aca="false">INDEX(Premissas!$B$5:$B$13,MATCH(A1007,Premissas!$A$5:$A$13,0))</f>
        <v>0.07</v>
      </c>
      <c r="AC1007" s="32" t="n">
        <f aca="false">AA1007/(1-AB1007)-AA1007</f>
        <v>31.0546998924731</v>
      </c>
      <c r="AD1007" s="32" t="n">
        <f aca="false">ROUND(AA1007+AC1007,2)</f>
        <v>443.64</v>
      </c>
      <c r="AE1007" s="32" t="n">
        <f aca="false">AD1007-L1007</f>
        <v>200.63</v>
      </c>
      <c r="AF1007" s="34" t="n">
        <f aca="false">IF(L1007=0,0,AE1007/L1007)</f>
        <v>0.825603884613802</v>
      </c>
      <c r="AG1007" s="22" t="str">
        <f aca="false">IF(AD1007&lt;L1007,"PASSARO","ATUAL")</f>
        <v>ATUAL</v>
      </c>
      <c r="AH1007" s="22" t="str">
        <f aca="false">IF(P1007&lt;&gt;A1007,"Faixa cadastrada como "&amp;P1007&amp;" na tabela; preço aplicado pela UF do CEP","")</f>
        <v/>
      </c>
      <c r="AI1007" s="26" t="n">
        <v>522.47</v>
      </c>
      <c r="AJ1007" s="22" t="str">
        <f aca="false">INDEX('Tabela Passaro'!$X$2:$X$1795,$N1007)</f>
        <v>INTERIOR 2</v>
      </c>
    </row>
    <row r="1008" customFormat="false" ht="15" hidden="false" customHeight="false" outlineLevel="0" collapsed="false">
      <c r="A1008" s="22" t="s">
        <v>18</v>
      </c>
      <c r="B1008" s="22" t="n">
        <v>2</v>
      </c>
      <c r="C1008" s="22" t="s">
        <v>114</v>
      </c>
      <c r="D1008" s="22" t="s">
        <v>32</v>
      </c>
      <c r="E1008" s="22" t="s">
        <v>7326</v>
      </c>
      <c r="F1008" s="22" t="n">
        <v>907094</v>
      </c>
      <c r="G1008" s="30" t="n">
        <v>46260</v>
      </c>
      <c r="H1008" s="22" t="n">
        <v>629722</v>
      </c>
      <c r="I1008" s="22" t="s">
        <v>8263</v>
      </c>
      <c r="J1008" s="31" t="n">
        <v>107.7</v>
      </c>
      <c r="K1008" s="26" t="n">
        <v>1802.32</v>
      </c>
      <c r="L1008" s="26" t="n">
        <v>241.71</v>
      </c>
      <c r="M1008" s="22" t="s">
        <v>3528</v>
      </c>
      <c r="N1008" s="22" t="n">
        <f aca="false">MATCH(M1008,'Tabela Passaro'!$A$2:$A$1795,0)</f>
        <v>822</v>
      </c>
      <c r="O1008" s="22" t="str">
        <f aca="false">INDEX('Tabela Passaro'!$C$2:$C$1795,$N1008)</f>
        <v>IMPERATRIZ</v>
      </c>
      <c r="P1008" s="22" t="str">
        <f aca="false">INDEX('Tabela Passaro'!$B$2:$B$1795,$N1008)</f>
        <v>MA</v>
      </c>
      <c r="Q1008" s="22" t="n">
        <f aca="false">INDEX('Tabela Passaro'!$F$2:$F$1795,$N1008)</f>
        <v>17</v>
      </c>
      <c r="R1008" s="32" t="n">
        <f aca="false">IF(J1008&lt;=10,INDEX('Tabela Passaro'!$G$2:$G$1795,$N1008),IF(J1008&lt;=30,INDEX('Tabela Passaro'!$H$2:$H$1795,$N1008),IF(J1008&lt;=50,INDEX('Tabela Passaro'!$I$2:$I$1795,$N1008),IF(J1008&lt;=70,INDEX('Tabela Passaro'!$J$2:$J$1795,$N1008),IF(J1008&lt;=100,INDEX('Tabela Passaro'!$K$2:$K$1795,$N1008),INDEX('Tabela Passaro'!$K$2:$K$1795,$N1008)+(J1008-100)*INDEX('Tabela Passaro'!$L$2:$L$1795,$N1008))))))</f>
        <v>310.535</v>
      </c>
      <c r="S1008" s="32" t="n">
        <f aca="false">K1008*INDEX('Tabela Passaro'!$M$2:$M$1795,$N1008)</f>
        <v>9.0116</v>
      </c>
      <c r="T1008" s="32" t="n">
        <f aca="false">K1008*INDEX('Tabela Passaro'!$N$2:$N$1795,$N1008)</f>
        <v>3.60464</v>
      </c>
      <c r="U1008" s="32" t="n">
        <f aca="false">INDEX('Tabela Passaro'!$O$2:$O$1795,$N1008)</f>
        <v>5</v>
      </c>
      <c r="V1008" s="32" t="n">
        <f aca="false">ROUNDUP(J1008/INDEX('Tabela Passaro'!$Q$2:$Q$1795,$N1008),0)*INDEX('Tabela Passaro'!$P$2:$P$1795,$N1008)</f>
        <v>10</v>
      </c>
      <c r="W1008" s="32" t="n">
        <f aca="false">INDEX('Tabela Passaro'!$R$2:$R$1795,$N1008)</f>
        <v>30</v>
      </c>
      <c r="X1008" s="32" t="n">
        <f aca="false">ROUNDUP(J1008/INDEX('Tabela Passaro'!$T$2:$T$1795,$N1008),0)*INDEX('Tabela Passaro'!$S$2:$S$1795,$N1008)</f>
        <v>0</v>
      </c>
      <c r="Y1008" s="32" t="n">
        <f aca="false">INDEX('Tabela Passaro'!$U$2:$U$1795,$N1008)</f>
        <v>0</v>
      </c>
      <c r="Z1008" s="32" t="n">
        <f aca="false">INDEX('Tabela Passaro'!$V$2:$V$1795,$N1008)</f>
        <v>0</v>
      </c>
      <c r="AA1008" s="32" t="n">
        <f aca="false">SUM(R1008:Z1008)</f>
        <v>368.15124</v>
      </c>
      <c r="AB1008" s="33" t="n">
        <f aca="false">INDEX(Premissas!$B$5:$B$13,MATCH(A1008,Premissas!$A$5:$A$13,0))</f>
        <v>0.07</v>
      </c>
      <c r="AC1008" s="32" t="n">
        <f aca="false">AA1008/(1-AB1008)-AA1008</f>
        <v>27.7103083870968</v>
      </c>
      <c r="AD1008" s="32" t="n">
        <f aca="false">ROUND(AA1008+AC1008,2)</f>
        <v>395.86</v>
      </c>
      <c r="AE1008" s="32" t="n">
        <f aca="false">AD1008-L1008</f>
        <v>154.15</v>
      </c>
      <c r="AF1008" s="34" t="n">
        <f aca="false">IF(L1008=0,0,AE1008/L1008)</f>
        <v>0.637747714202971</v>
      </c>
      <c r="AG1008" s="22" t="str">
        <f aca="false">IF(AD1008&lt;L1008,"PASSARO","ATUAL")</f>
        <v>ATUAL</v>
      </c>
      <c r="AH1008" s="22" t="str">
        <f aca="false">IF(P1008&lt;&gt;A1008,"Faixa cadastrada como "&amp;P1008&amp;" na tabela; preço aplicado pela UF do CEP","")</f>
        <v/>
      </c>
      <c r="AI1008" s="26" t="n">
        <v>460.39</v>
      </c>
      <c r="AJ1008" s="22" t="str">
        <f aca="false">INDEX('Tabela Passaro'!$X$2:$X$1795,$N1008)</f>
        <v>INTERIOR 2</v>
      </c>
    </row>
    <row r="1009" customFormat="false" ht="15" hidden="false" customHeight="false" outlineLevel="0" collapsed="false">
      <c r="A1009" s="22" t="s">
        <v>18</v>
      </c>
      <c r="B1009" s="22" t="n">
        <v>2</v>
      </c>
      <c r="C1009" s="22" t="s">
        <v>114</v>
      </c>
      <c r="D1009" s="22" t="s">
        <v>32</v>
      </c>
      <c r="E1009" s="22" t="s">
        <v>7326</v>
      </c>
      <c r="F1009" s="22" t="n">
        <v>907483</v>
      </c>
      <c r="G1009" s="30" t="n">
        <v>46261</v>
      </c>
      <c r="H1009" s="22" t="n">
        <v>629892</v>
      </c>
      <c r="I1009" s="22" t="s">
        <v>8264</v>
      </c>
      <c r="J1009" s="31" t="n">
        <v>60.1</v>
      </c>
      <c r="K1009" s="26" t="n">
        <v>1199.43</v>
      </c>
      <c r="L1009" s="26" t="n">
        <v>168.45</v>
      </c>
      <c r="M1009" s="22" t="s">
        <v>3528</v>
      </c>
      <c r="N1009" s="22" t="n">
        <f aca="false">MATCH(M1009,'Tabela Passaro'!$A$2:$A$1795,0)</f>
        <v>822</v>
      </c>
      <c r="O1009" s="22" t="str">
        <f aca="false">INDEX('Tabela Passaro'!$C$2:$C$1795,$N1009)</f>
        <v>IMPERATRIZ</v>
      </c>
      <c r="P1009" s="22" t="str">
        <f aca="false">INDEX('Tabela Passaro'!$B$2:$B$1795,$N1009)</f>
        <v>MA</v>
      </c>
      <c r="Q1009" s="22" t="n">
        <f aca="false">INDEX('Tabela Passaro'!$F$2:$F$1795,$N1009)</f>
        <v>17</v>
      </c>
      <c r="R1009" s="32" t="n">
        <f aca="false">IF(J1009&lt;=10,INDEX('Tabela Passaro'!$G$2:$G$1795,$N1009),IF(J1009&lt;=30,INDEX('Tabela Passaro'!$H$2:$H$1795,$N1009),IF(J1009&lt;=50,INDEX('Tabela Passaro'!$I$2:$I$1795,$N1009),IF(J1009&lt;=70,INDEX('Tabela Passaro'!$J$2:$J$1795,$N1009),IF(J1009&lt;=100,INDEX('Tabela Passaro'!$K$2:$K$1795,$N1009),INDEX('Tabela Passaro'!$K$2:$K$1795,$N1009)+(J1009-100)*INDEX('Tabela Passaro'!$L$2:$L$1795,$N1009))))))</f>
        <v>273.53</v>
      </c>
      <c r="S1009" s="32" t="n">
        <f aca="false">K1009*INDEX('Tabela Passaro'!$M$2:$M$1795,$N1009)</f>
        <v>5.99715</v>
      </c>
      <c r="T1009" s="32" t="n">
        <f aca="false">K1009*INDEX('Tabela Passaro'!$N$2:$N$1795,$N1009)</f>
        <v>2.39886</v>
      </c>
      <c r="U1009" s="32" t="n">
        <f aca="false">INDEX('Tabela Passaro'!$O$2:$O$1795,$N1009)</f>
        <v>5</v>
      </c>
      <c r="V1009" s="32" t="n">
        <f aca="false">ROUNDUP(J1009/INDEX('Tabela Passaro'!$Q$2:$Q$1795,$N1009),0)*INDEX('Tabela Passaro'!$P$2:$P$1795,$N1009)</f>
        <v>5</v>
      </c>
      <c r="W1009" s="32" t="n">
        <f aca="false">INDEX('Tabela Passaro'!$R$2:$R$1795,$N1009)</f>
        <v>30</v>
      </c>
      <c r="X1009" s="32" t="n">
        <f aca="false">ROUNDUP(J1009/INDEX('Tabela Passaro'!$T$2:$T$1795,$N1009),0)*INDEX('Tabela Passaro'!$S$2:$S$1795,$N1009)</f>
        <v>0</v>
      </c>
      <c r="Y1009" s="32" t="n">
        <f aca="false">INDEX('Tabela Passaro'!$U$2:$U$1795,$N1009)</f>
        <v>0</v>
      </c>
      <c r="Z1009" s="32" t="n">
        <f aca="false">INDEX('Tabela Passaro'!$V$2:$V$1795,$N1009)</f>
        <v>0</v>
      </c>
      <c r="AA1009" s="32" t="n">
        <f aca="false">SUM(R1009:Z1009)</f>
        <v>321.92601</v>
      </c>
      <c r="AB1009" s="33" t="n">
        <f aca="false">INDEX(Premissas!$B$5:$B$13,MATCH(A1009,Premissas!$A$5:$A$13,0))</f>
        <v>0.07</v>
      </c>
      <c r="AC1009" s="32" t="n">
        <f aca="false">AA1009/(1-AB1009)-AA1009</f>
        <v>24.23099</v>
      </c>
      <c r="AD1009" s="32" t="n">
        <f aca="false">ROUND(AA1009+AC1009,2)</f>
        <v>346.16</v>
      </c>
      <c r="AE1009" s="32" t="n">
        <f aca="false">AD1009-L1009</f>
        <v>177.71</v>
      </c>
      <c r="AF1009" s="34" t="n">
        <f aca="false">IF(L1009=0,0,AE1009/L1009)</f>
        <v>1.05497180172158</v>
      </c>
      <c r="AG1009" s="22" t="str">
        <f aca="false">IF(AD1009&lt;L1009,"PASSARO","ATUAL")</f>
        <v>ATUAL</v>
      </c>
      <c r="AH1009" s="22" t="str">
        <f aca="false">IF(P1009&lt;&gt;A1009,"Faixa cadastrada como "&amp;P1009&amp;" na tabela; preço aplicado pela UF do CEP","")</f>
        <v/>
      </c>
      <c r="AI1009" s="26" t="n">
        <v>382.97</v>
      </c>
      <c r="AJ1009" s="22" t="str">
        <f aca="false">INDEX('Tabela Passaro'!$X$2:$X$1795,$N1009)</f>
        <v>INTERIOR 2</v>
      </c>
    </row>
    <row r="1010" customFormat="false" ht="15" hidden="false" customHeight="false" outlineLevel="0" collapsed="false">
      <c r="A1010" s="22" t="s">
        <v>18</v>
      </c>
      <c r="B1010" s="22" t="n">
        <v>2</v>
      </c>
      <c r="C1010" s="22" t="s">
        <v>114</v>
      </c>
      <c r="D1010" s="22" t="s">
        <v>32</v>
      </c>
      <c r="E1010" s="22" t="s">
        <v>7326</v>
      </c>
      <c r="F1010" s="22" t="n">
        <v>907873</v>
      </c>
      <c r="G1010" s="30" t="n">
        <v>46262</v>
      </c>
      <c r="H1010" s="22" t="n">
        <v>630495</v>
      </c>
      <c r="I1010" s="22" t="s">
        <v>8265</v>
      </c>
      <c r="J1010" s="31" t="n">
        <v>107.7</v>
      </c>
      <c r="K1010" s="26" t="n">
        <v>1338.31</v>
      </c>
      <c r="L1010" s="26" t="n">
        <v>235.71</v>
      </c>
      <c r="M1010" s="22" t="s">
        <v>3528</v>
      </c>
      <c r="N1010" s="22" t="n">
        <f aca="false">MATCH(M1010,'Tabela Passaro'!$A$2:$A$1795,0)</f>
        <v>822</v>
      </c>
      <c r="O1010" s="22" t="str">
        <f aca="false">INDEX('Tabela Passaro'!$C$2:$C$1795,$N1010)</f>
        <v>IMPERATRIZ</v>
      </c>
      <c r="P1010" s="22" t="str">
        <f aca="false">INDEX('Tabela Passaro'!$B$2:$B$1795,$N1010)</f>
        <v>MA</v>
      </c>
      <c r="Q1010" s="22" t="n">
        <f aca="false">INDEX('Tabela Passaro'!$F$2:$F$1795,$N1010)</f>
        <v>17</v>
      </c>
      <c r="R1010" s="32" t="n">
        <f aca="false">IF(J1010&lt;=10,INDEX('Tabela Passaro'!$G$2:$G$1795,$N1010),IF(J1010&lt;=30,INDEX('Tabela Passaro'!$H$2:$H$1795,$N1010),IF(J1010&lt;=50,INDEX('Tabela Passaro'!$I$2:$I$1795,$N1010),IF(J1010&lt;=70,INDEX('Tabela Passaro'!$J$2:$J$1795,$N1010),IF(J1010&lt;=100,INDEX('Tabela Passaro'!$K$2:$K$1795,$N1010),INDEX('Tabela Passaro'!$K$2:$K$1795,$N1010)+(J1010-100)*INDEX('Tabela Passaro'!$L$2:$L$1795,$N1010))))))</f>
        <v>310.535</v>
      </c>
      <c r="S1010" s="32" t="n">
        <f aca="false">K1010*INDEX('Tabela Passaro'!$M$2:$M$1795,$N1010)</f>
        <v>6.69155</v>
      </c>
      <c r="T1010" s="32" t="n">
        <f aca="false">K1010*INDEX('Tabela Passaro'!$N$2:$N$1795,$N1010)</f>
        <v>2.67662</v>
      </c>
      <c r="U1010" s="32" t="n">
        <f aca="false">INDEX('Tabela Passaro'!$O$2:$O$1795,$N1010)</f>
        <v>5</v>
      </c>
      <c r="V1010" s="32" t="n">
        <f aca="false">ROUNDUP(J1010/INDEX('Tabela Passaro'!$Q$2:$Q$1795,$N1010),0)*INDEX('Tabela Passaro'!$P$2:$P$1795,$N1010)</f>
        <v>10</v>
      </c>
      <c r="W1010" s="32" t="n">
        <f aca="false">INDEX('Tabela Passaro'!$R$2:$R$1795,$N1010)</f>
        <v>30</v>
      </c>
      <c r="X1010" s="32" t="n">
        <f aca="false">ROUNDUP(J1010/INDEX('Tabela Passaro'!$T$2:$T$1795,$N1010),0)*INDEX('Tabela Passaro'!$S$2:$S$1795,$N1010)</f>
        <v>0</v>
      </c>
      <c r="Y1010" s="32" t="n">
        <f aca="false">INDEX('Tabela Passaro'!$U$2:$U$1795,$N1010)</f>
        <v>0</v>
      </c>
      <c r="Z1010" s="32" t="n">
        <f aca="false">INDEX('Tabela Passaro'!$V$2:$V$1795,$N1010)</f>
        <v>0</v>
      </c>
      <c r="AA1010" s="32" t="n">
        <f aca="false">SUM(R1010:Z1010)</f>
        <v>364.90317</v>
      </c>
      <c r="AB1010" s="33" t="n">
        <f aca="false">INDEX(Premissas!$B$5:$B$13,MATCH(A1010,Premissas!$A$5:$A$13,0))</f>
        <v>0.07</v>
      </c>
      <c r="AC1010" s="32" t="n">
        <f aca="false">AA1010/(1-AB1010)-AA1010</f>
        <v>27.46583</v>
      </c>
      <c r="AD1010" s="32" t="n">
        <f aca="false">ROUND(AA1010+AC1010,2)</f>
        <v>392.37</v>
      </c>
      <c r="AE1010" s="32" t="n">
        <f aca="false">AD1010-L1010</f>
        <v>156.66</v>
      </c>
      <c r="AF1010" s="34" t="n">
        <f aca="false">IF(L1010=0,0,AE1010/L1010)</f>
        <v>0.664630266004836</v>
      </c>
      <c r="AG1010" s="22" t="str">
        <f aca="false">IF(AD1010&lt;L1010,"PASSARO","ATUAL")</f>
        <v>ATUAL</v>
      </c>
      <c r="AH1010" s="22" t="str">
        <f aca="false">IF(P1010&lt;&gt;A1010,"Faixa cadastrada como "&amp;P1010&amp;" na tabela; preço aplicado pela UF do CEP","")</f>
        <v/>
      </c>
      <c r="AI1010" s="26" t="n">
        <v>455.9</v>
      </c>
      <c r="AJ1010" s="22" t="str">
        <f aca="false">INDEX('Tabela Passaro'!$X$2:$X$1795,$N1010)</f>
        <v>INTERIOR 2</v>
      </c>
    </row>
    <row r="1011" customFormat="false" ht="15" hidden="false" customHeight="false" outlineLevel="0" collapsed="false">
      <c r="A1011" s="22" t="s">
        <v>18</v>
      </c>
      <c r="B1011" s="22" t="n">
        <v>2</v>
      </c>
      <c r="C1011" s="22" t="s">
        <v>114</v>
      </c>
      <c r="D1011" s="22" t="s">
        <v>30</v>
      </c>
      <c r="E1011" s="22" t="s">
        <v>7328</v>
      </c>
      <c r="F1011" s="22" t="n">
        <v>2307973</v>
      </c>
      <c r="G1011" s="30" t="n">
        <v>46239</v>
      </c>
      <c r="H1011" s="22" t="n">
        <v>131961</v>
      </c>
      <c r="I1011" s="22" t="s">
        <v>8266</v>
      </c>
      <c r="J1011" s="31" t="n">
        <v>51.06</v>
      </c>
      <c r="K1011" s="26" t="n">
        <v>1040</v>
      </c>
      <c r="L1011" s="26" t="n">
        <v>283.58</v>
      </c>
      <c r="M1011" s="22" t="s">
        <v>3528</v>
      </c>
      <c r="N1011" s="22" t="n">
        <f aca="false">MATCH(M1011,'Tabela Passaro'!$A$2:$A$1795,0)</f>
        <v>822</v>
      </c>
      <c r="O1011" s="22" t="str">
        <f aca="false">INDEX('Tabela Passaro'!$C$2:$C$1795,$N1011)</f>
        <v>IMPERATRIZ</v>
      </c>
      <c r="P1011" s="22" t="str">
        <f aca="false">INDEX('Tabela Passaro'!$B$2:$B$1795,$N1011)</f>
        <v>MA</v>
      </c>
      <c r="Q1011" s="22" t="n">
        <f aca="false">INDEX('Tabela Passaro'!$F$2:$F$1795,$N1011)</f>
        <v>17</v>
      </c>
      <c r="R1011" s="32" t="n">
        <f aca="false">IF(J1011&lt;=10,INDEX('Tabela Passaro'!$G$2:$G$1795,$N1011),IF(J1011&lt;=30,INDEX('Tabela Passaro'!$H$2:$H$1795,$N1011),IF(J1011&lt;=50,INDEX('Tabela Passaro'!$I$2:$I$1795,$N1011),IF(J1011&lt;=70,INDEX('Tabela Passaro'!$J$2:$J$1795,$N1011),IF(J1011&lt;=100,INDEX('Tabela Passaro'!$K$2:$K$1795,$N1011),INDEX('Tabela Passaro'!$K$2:$K$1795,$N1011)+(J1011-100)*INDEX('Tabela Passaro'!$L$2:$L$1795,$N1011))))))</f>
        <v>273.53</v>
      </c>
      <c r="S1011" s="32" t="n">
        <f aca="false">K1011*INDEX('Tabela Passaro'!$M$2:$M$1795,$N1011)</f>
        <v>5.2</v>
      </c>
      <c r="T1011" s="32" t="n">
        <f aca="false">K1011*INDEX('Tabela Passaro'!$N$2:$N$1795,$N1011)</f>
        <v>2.08</v>
      </c>
      <c r="U1011" s="32" t="n">
        <f aca="false">INDEX('Tabela Passaro'!$O$2:$O$1795,$N1011)</f>
        <v>5</v>
      </c>
      <c r="V1011" s="32" t="n">
        <f aca="false">ROUNDUP(J1011/INDEX('Tabela Passaro'!$Q$2:$Q$1795,$N1011),0)*INDEX('Tabela Passaro'!$P$2:$P$1795,$N1011)</f>
        <v>5</v>
      </c>
      <c r="W1011" s="32" t="n">
        <f aca="false">INDEX('Tabela Passaro'!$R$2:$R$1795,$N1011)</f>
        <v>30</v>
      </c>
      <c r="X1011" s="32" t="n">
        <f aca="false">ROUNDUP(J1011/INDEX('Tabela Passaro'!$T$2:$T$1795,$N1011),0)*INDEX('Tabela Passaro'!$S$2:$S$1795,$N1011)</f>
        <v>0</v>
      </c>
      <c r="Y1011" s="32" t="n">
        <f aca="false">INDEX('Tabela Passaro'!$U$2:$U$1795,$N1011)</f>
        <v>0</v>
      </c>
      <c r="Z1011" s="32" t="n">
        <f aca="false">INDEX('Tabela Passaro'!$V$2:$V$1795,$N1011)</f>
        <v>0</v>
      </c>
      <c r="AA1011" s="32" t="n">
        <f aca="false">SUM(R1011:Z1011)</f>
        <v>320.81</v>
      </c>
      <c r="AB1011" s="33" t="n">
        <f aca="false">INDEX(Premissas!$B$5:$B$13,MATCH(A1011,Premissas!$A$5:$A$13,0))</f>
        <v>0.07</v>
      </c>
      <c r="AC1011" s="32" t="n">
        <f aca="false">AA1011/(1-AB1011)-AA1011</f>
        <v>24.1469892473119</v>
      </c>
      <c r="AD1011" s="32" t="n">
        <f aca="false">ROUND(AA1011+AC1011,2)</f>
        <v>344.96</v>
      </c>
      <c r="AE1011" s="32" t="n">
        <f aca="false">AD1011-L1011</f>
        <v>61.38</v>
      </c>
      <c r="AF1011" s="34" t="n">
        <f aca="false">IF(L1011=0,0,AE1011/L1011)</f>
        <v>0.21644685802948</v>
      </c>
      <c r="AG1011" s="22" t="str">
        <f aca="false">IF(AD1011&lt;L1011,"PASSARO","ATUAL")</f>
        <v>ATUAL</v>
      </c>
      <c r="AH1011" s="22" t="str">
        <f aca="false">IF(P1011&lt;&gt;A1011,"Faixa cadastrada como "&amp;P1011&amp;" na tabela; preço aplicado pela UF do CEP","")</f>
        <v/>
      </c>
      <c r="AI1011" s="26" t="n">
        <v>377.08</v>
      </c>
      <c r="AJ1011" s="22" t="str">
        <f aca="false">INDEX('Tabela Passaro'!$X$2:$X$1795,$N1011)</f>
        <v>INTERIOR 2</v>
      </c>
    </row>
    <row r="1012" customFormat="false" ht="15" hidden="false" customHeight="false" outlineLevel="0" collapsed="false">
      <c r="A1012" s="22" t="s">
        <v>18</v>
      </c>
      <c r="B1012" s="22" t="n">
        <v>2</v>
      </c>
      <c r="C1012" s="22" t="s">
        <v>114</v>
      </c>
      <c r="D1012" s="22" t="s">
        <v>30</v>
      </c>
      <c r="E1012" s="22" t="s">
        <v>7328</v>
      </c>
      <c r="F1012" s="22" t="n">
        <v>2313587</v>
      </c>
      <c r="G1012" s="30" t="n">
        <v>46252</v>
      </c>
      <c r="H1012" s="22" t="n">
        <v>129324</v>
      </c>
      <c r="I1012" s="22" t="s">
        <v>8267</v>
      </c>
      <c r="J1012" s="31" t="n">
        <v>49.6</v>
      </c>
      <c r="K1012" s="26" t="n">
        <v>824.98</v>
      </c>
      <c r="L1012" s="26" t="n">
        <v>217.52</v>
      </c>
      <c r="M1012" s="22" t="s">
        <v>3528</v>
      </c>
      <c r="N1012" s="22" t="n">
        <f aca="false">MATCH(M1012,'Tabela Passaro'!$A$2:$A$1795,0)</f>
        <v>822</v>
      </c>
      <c r="O1012" s="22" t="str">
        <f aca="false">INDEX('Tabela Passaro'!$C$2:$C$1795,$N1012)</f>
        <v>IMPERATRIZ</v>
      </c>
      <c r="P1012" s="22" t="str">
        <f aca="false">INDEX('Tabela Passaro'!$B$2:$B$1795,$N1012)</f>
        <v>MA</v>
      </c>
      <c r="Q1012" s="22" t="n">
        <f aca="false">INDEX('Tabela Passaro'!$F$2:$F$1795,$N1012)</f>
        <v>17</v>
      </c>
      <c r="R1012" s="32" t="n">
        <f aca="false">IF(J1012&lt;=10,INDEX('Tabela Passaro'!$G$2:$G$1795,$N1012),IF(J1012&lt;=30,INDEX('Tabela Passaro'!$H$2:$H$1795,$N1012),IF(J1012&lt;=50,INDEX('Tabela Passaro'!$I$2:$I$1795,$N1012),IF(J1012&lt;=70,INDEX('Tabela Passaro'!$J$2:$J$1795,$N1012),IF(J1012&lt;=100,INDEX('Tabela Passaro'!$K$2:$K$1795,$N1012),INDEX('Tabela Passaro'!$K$2:$K$1795,$N1012)+(J1012-100)*INDEX('Tabela Passaro'!$L$2:$L$1795,$N1012))))))</f>
        <v>256.93</v>
      </c>
      <c r="S1012" s="32" t="n">
        <f aca="false">K1012*INDEX('Tabela Passaro'!$M$2:$M$1795,$N1012)</f>
        <v>4.1249</v>
      </c>
      <c r="T1012" s="32" t="n">
        <f aca="false">K1012*INDEX('Tabela Passaro'!$N$2:$N$1795,$N1012)</f>
        <v>1.64996</v>
      </c>
      <c r="U1012" s="32" t="n">
        <f aca="false">INDEX('Tabela Passaro'!$O$2:$O$1795,$N1012)</f>
        <v>5</v>
      </c>
      <c r="V1012" s="32" t="n">
        <f aca="false">ROUNDUP(J1012/INDEX('Tabela Passaro'!$Q$2:$Q$1795,$N1012),0)*INDEX('Tabela Passaro'!$P$2:$P$1795,$N1012)</f>
        <v>5</v>
      </c>
      <c r="W1012" s="32" t="n">
        <f aca="false">INDEX('Tabela Passaro'!$R$2:$R$1795,$N1012)</f>
        <v>30</v>
      </c>
      <c r="X1012" s="32" t="n">
        <f aca="false">ROUNDUP(J1012/INDEX('Tabela Passaro'!$T$2:$T$1795,$N1012),0)*INDEX('Tabela Passaro'!$S$2:$S$1795,$N1012)</f>
        <v>0</v>
      </c>
      <c r="Y1012" s="32" t="n">
        <f aca="false">INDEX('Tabela Passaro'!$U$2:$U$1795,$N1012)</f>
        <v>0</v>
      </c>
      <c r="Z1012" s="32" t="n">
        <f aca="false">INDEX('Tabela Passaro'!$V$2:$V$1795,$N1012)</f>
        <v>0</v>
      </c>
      <c r="AA1012" s="32" t="n">
        <f aca="false">SUM(R1012:Z1012)</f>
        <v>302.70486</v>
      </c>
      <c r="AB1012" s="33" t="n">
        <f aca="false">INDEX(Premissas!$B$5:$B$13,MATCH(A1012,Premissas!$A$5:$A$13,0))</f>
        <v>0.07</v>
      </c>
      <c r="AC1012" s="32" t="n">
        <f aca="false">AA1012/(1-AB1012)-AA1012</f>
        <v>22.7842367741936</v>
      </c>
      <c r="AD1012" s="32" t="n">
        <f aca="false">ROUND(AA1012+AC1012,2)</f>
        <v>325.49</v>
      </c>
      <c r="AE1012" s="32" t="n">
        <f aca="false">AD1012-L1012</f>
        <v>107.97</v>
      </c>
      <c r="AF1012" s="34" t="n">
        <f aca="false">IF(L1012=0,0,AE1012/L1012)</f>
        <v>0.496368150055167</v>
      </c>
      <c r="AG1012" s="22" t="str">
        <f aca="false">IF(AD1012&lt;L1012,"PASSARO","ATUAL")</f>
        <v>ATUAL</v>
      </c>
      <c r="AH1012" s="22" t="str">
        <f aca="false">IF(P1012&lt;&gt;A1012,"Faixa cadastrada como "&amp;P1012&amp;" na tabela; preço aplicado pela UF do CEP","")</f>
        <v/>
      </c>
      <c r="AI1012" s="26" t="n">
        <v>355.24</v>
      </c>
      <c r="AJ1012" s="22" t="str">
        <f aca="false">INDEX('Tabela Passaro'!$X$2:$X$1795,$N1012)</f>
        <v>INTERIOR 2</v>
      </c>
    </row>
    <row r="1013" customFormat="false" ht="15" hidden="false" customHeight="false" outlineLevel="0" collapsed="false">
      <c r="A1013" s="22" t="s">
        <v>18</v>
      </c>
      <c r="B1013" s="22" t="n">
        <v>2</v>
      </c>
      <c r="C1013" s="22" t="s">
        <v>114</v>
      </c>
      <c r="D1013" s="22" t="s">
        <v>30</v>
      </c>
      <c r="E1013" s="22" t="s">
        <v>7328</v>
      </c>
      <c r="F1013" s="22" t="n">
        <v>2314400</v>
      </c>
      <c r="G1013" s="30" t="n">
        <v>46254</v>
      </c>
      <c r="H1013" s="22" t="n">
        <v>134064</v>
      </c>
      <c r="I1013" s="22" t="s">
        <v>8268</v>
      </c>
      <c r="J1013" s="31" t="n">
        <v>37.59</v>
      </c>
      <c r="K1013" s="26" t="n">
        <v>696.93</v>
      </c>
      <c r="L1013" s="26" t="n">
        <v>216.51</v>
      </c>
      <c r="M1013" s="22" t="s">
        <v>3528</v>
      </c>
      <c r="N1013" s="22" t="n">
        <f aca="false">MATCH(M1013,'Tabela Passaro'!$A$2:$A$1795,0)</f>
        <v>822</v>
      </c>
      <c r="O1013" s="22" t="str">
        <f aca="false">INDEX('Tabela Passaro'!$C$2:$C$1795,$N1013)</f>
        <v>IMPERATRIZ</v>
      </c>
      <c r="P1013" s="22" t="str">
        <f aca="false">INDEX('Tabela Passaro'!$B$2:$B$1795,$N1013)</f>
        <v>MA</v>
      </c>
      <c r="Q1013" s="22" t="n">
        <f aca="false">INDEX('Tabela Passaro'!$F$2:$F$1795,$N1013)</f>
        <v>17</v>
      </c>
      <c r="R1013" s="32" t="n">
        <f aca="false">IF(J1013&lt;=10,INDEX('Tabela Passaro'!$G$2:$G$1795,$N1013),IF(J1013&lt;=30,INDEX('Tabela Passaro'!$H$2:$H$1795,$N1013),IF(J1013&lt;=50,INDEX('Tabela Passaro'!$I$2:$I$1795,$N1013),IF(J1013&lt;=70,INDEX('Tabela Passaro'!$J$2:$J$1795,$N1013),IF(J1013&lt;=100,INDEX('Tabela Passaro'!$K$2:$K$1795,$N1013),INDEX('Tabela Passaro'!$K$2:$K$1795,$N1013)+(J1013-100)*INDEX('Tabela Passaro'!$L$2:$L$1795,$N1013))))))</f>
        <v>256.93</v>
      </c>
      <c r="S1013" s="32" t="n">
        <f aca="false">K1013*INDEX('Tabela Passaro'!$M$2:$M$1795,$N1013)</f>
        <v>3.48465</v>
      </c>
      <c r="T1013" s="32" t="n">
        <f aca="false">K1013*INDEX('Tabela Passaro'!$N$2:$N$1795,$N1013)</f>
        <v>1.39386</v>
      </c>
      <c r="U1013" s="32" t="n">
        <f aca="false">INDEX('Tabela Passaro'!$O$2:$O$1795,$N1013)</f>
        <v>5</v>
      </c>
      <c r="V1013" s="32" t="n">
        <f aca="false">ROUNDUP(J1013/INDEX('Tabela Passaro'!$Q$2:$Q$1795,$N1013),0)*INDEX('Tabela Passaro'!$P$2:$P$1795,$N1013)</f>
        <v>5</v>
      </c>
      <c r="W1013" s="32" t="n">
        <f aca="false">INDEX('Tabela Passaro'!$R$2:$R$1795,$N1013)</f>
        <v>30</v>
      </c>
      <c r="X1013" s="32" t="n">
        <f aca="false">ROUNDUP(J1013/INDEX('Tabela Passaro'!$T$2:$T$1795,$N1013),0)*INDEX('Tabela Passaro'!$S$2:$S$1795,$N1013)</f>
        <v>0</v>
      </c>
      <c r="Y1013" s="32" t="n">
        <f aca="false">INDEX('Tabela Passaro'!$U$2:$U$1795,$N1013)</f>
        <v>0</v>
      </c>
      <c r="Z1013" s="32" t="n">
        <f aca="false">INDEX('Tabela Passaro'!$V$2:$V$1795,$N1013)</f>
        <v>0</v>
      </c>
      <c r="AA1013" s="32" t="n">
        <f aca="false">SUM(R1013:Z1013)</f>
        <v>301.80851</v>
      </c>
      <c r="AB1013" s="33" t="n">
        <f aca="false">INDEX(Premissas!$B$5:$B$13,MATCH(A1013,Premissas!$A$5:$A$13,0))</f>
        <v>0.07</v>
      </c>
      <c r="AC1013" s="32" t="n">
        <f aca="false">AA1013/(1-AB1013)-AA1013</f>
        <v>22.7167695698925</v>
      </c>
      <c r="AD1013" s="32" t="n">
        <f aca="false">ROUND(AA1013+AC1013,2)</f>
        <v>324.53</v>
      </c>
      <c r="AE1013" s="32" t="n">
        <f aca="false">AD1013-L1013</f>
        <v>108.02</v>
      </c>
      <c r="AF1013" s="34" t="n">
        <f aca="false">IF(L1013=0,0,AE1013/L1013)</f>
        <v>0.498914599787539</v>
      </c>
      <c r="AG1013" s="22" t="str">
        <f aca="false">IF(AD1013&lt;L1013,"PASSARO","ATUAL")</f>
        <v>ATUAL</v>
      </c>
      <c r="AH1013" s="22" t="str">
        <f aca="false">IF(P1013&lt;&gt;A1013,"Faixa cadastrada como "&amp;P1013&amp;" na tabela; preço aplicado pela UF do CEP","")</f>
        <v/>
      </c>
      <c r="AI1013" s="26" t="n">
        <v>348.2</v>
      </c>
      <c r="AJ1013" s="22" t="str">
        <f aca="false">INDEX('Tabela Passaro'!$X$2:$X$1795,$N1013)</f>
        <v>INTERIOR 2</v>
      </c>
    </row>
    <row r="1014" customFormat="false" ht="15" hidden="false" customHeight="false" outlineLevel="0" collapsed="false">
      <c r="A1014" s="22" t="s">
        <v>18</v>
      </c>
      <c r="B1014" s="22" t="n">
        <v>2</v>
      </c>
      <c r="C1014" s="22" t="s">
        <v>114</v>
      </c>
      <c r="D1014" s="22" t="s">
        <v>30</v>
      </c>
      <c r="E1014" s="22" t="s">
        <v>7328</v>
      </c>
      <c r="F1014" s="22" t="n">
        <v>2315649</v>
      </c>
      <c r="G1014" s="30" t="n">
        <v>46258</v>
      </c>
      <c r="H1014" s="22" t="n">
        <v>134374</v>
      </c>
      <c r="I1014" s="22" t="s">
        <v>8259</v>
      </c>
      <c r="J1014" s="31" t="n">
        <v>66.8</v>
      </c>
      <c r="K1014" s="26" t="n">
        <v>993.47</v>
      </c>
      <c r="L1014" s="26" t="n">
        <v>283.21</v>
      </c>
      <c r="M1014" s="22" t="s">
        <v>3528</v>
      </c>
      <c r="N1014" s="22" t="n">
        <f aca="false">MATCH(M1014,'Tabela Passaro'!$A$2:$A$1795,0)</f>
        <v>822</v>
      </c>
      <c r="O1014" s="22" t="str">
        <f aca="false">INDEX('Tabela Passaro'!$C$2:$C$1795,$N1014)</f>
        <v>IMPERATRIZ</v>
      </c>
      <c r="P1014" s="22" t="str">
        <f aca="false">INDEX('Tabela Passaro'!$B$2:$B$1795,$N1014)</f>
        <v>MA</v>
      </c>
      <c r="Q1014" s="22" t="n">
        <f aca="false">INDEX('Tabela Passaro'!$F$2:$F$1795,$N1014)</f>
        <v>17</v>
      </c>
      <c r="R1014" s="32" t="n">
        <f aca="false">IF(J1014&lt;=10,INDEX('Tabela Passaro'!$G$2:$G$1795,$N1014),IF(J1014&lt;=30,INDEX('Tabela Passaro'!$H$2:$H$1795,$N1014),IF(J1014&lt;=50,INDEX('Tabela Passaro'!$I$2:$I$1795,$N1014),IF(J1014&lt;=70,INDEX('Tabela Passaro'!$J$2:$J$1795,$N1014),IF(J1014&lt;=100,INDEX('Tabela Passaro'!$K$2:$K$1795,$N1014),INDEX('Tabela Passaro'!$K$2:$K$1795,$N1014)+(J1014-100)*INDEX('Tabela Passaro'!$L$2:$L$1795,$N1014))))))</f>
        <v>273.53</v>
      </c>
      <c r="S1014" s="32" t="n">
        <f aca="false">K1014*INDEX('Tabela Passaro'!$M$2:$M$1795,$N1014)</f>
        <v>4.96735</v>
      </c>
      <c r="T1014" s="32" t="n">
        <f aca="false">K1014*INDEX('Tabela Passaro'!$N$2:$N$1795,$N1014)</f>
        <v>1.98694</v>
      </c>
      <c r="U1014" s="32" t="n">
        <f aca="false">INDEX('Tabela Passaro'!$O$2:$O$1795,$N1014)</f>
        <v>5</v>
      </c>
      <c r="V1014" s="32" t="n">
        <f aca="false">ROUNDUP(J1014/INDEX('Tabela Passaro'!$Q$2:$Q$1795,$N1014),0)*INDEX('Tabela Passaro'!$P$2:$P$1795,$N1014)</f>
        <v>5</v>
      </c>
      <c r="W1014" s="32" t="n">
        <f aca="false">INDEX('Tabela Passaro'!$R$2:$R$1795,$N1014)</f>
        <v>30</v>
      </c>
      <c r="X1014" s="32" t="n">
        <f aca="false">ROUNDUP(J1014/INDEX('Tabela Passaro'!$T$2:$T$1795,$N1014),0)*INDEX('Tabela Passaro'!$S$2:$S$1795,$N1014)</f>
        <v>0</v>
      </c>
      <c r="Y1014" s="32" t="n">
        <f aca="false">INDEX('Tabela Passaro'!$U$2:$U$1795,$N1014)</f>
        <v>0</v>
      </c>
      <c r="Z1014" s="32" t="n">
        <f aca="false">INDEX('Tabela Passaro'!$V$2:$V$1795,$N1014)</f>
        <v>0</v>
      </c>
      <c r="AA1014" s="32" t="n">
        <f aca="false">SUM(R1014:Z1014)</f>
        <v>320.48429</v>
      </c>
      <c r="AB1014" s="33" t="n">
        <f aca="false">INDEX(Premissas!$B$5:$B$13,MATCH(A1014,Premissas!$A$5:$A$13,0))</f>
        <v>0.07</v>
      </c>
      <c r="AC1014" s="32" t="n">
        <f aca="false">AA1014/(1-AB1014)-AA1014</f>
        <v>24.1224734408602</v>
      </c>
      <c r="AD1014" s="32" t="n">
        <f aca="false">ROUND(AA1014+AC1014,2)</f>
        <v>344.61</v>
      </c>
      <c r="AE1014" s="32" t="n">
        <f aca="false">AD1014-L1014</f>
        <v>61.4</v>
      </c>
      <c r="AF1014" s="34" t="n">
        <f aca="false">IF(L1014=0,0,AE1014/L1014)</f>
        <v>0.216800254228311</v>
      </c>
      <c r="AG1014" s="22" t="str">
        <f aca="false">IF(AD1014&lt;L1014,"PASSARO","ATUAL")</f>
        <v>ATUAL</v>
      </c>
      <c r="AH1014" s="22" t="str">
        <f aca="false">IF(P1014&lt;&gt;A1014,"Faixa cadastrada como "&amp;P1014&amp;" na tabela; preço aplicado pela UF do CEP","")</f>
        <v/>
      </c>
      <c r="AI1014" s="26" t="n">
        <v>383.88</v>
      </c>
      <c r="AJ1014" s="22" t="str">
        <f aca="false">INDEX('Tabela Passaro'!$X$2:$X$1795,$N1014)</f>
        <v>INTERIOR 2</v>
      </c>
    </row>
    <row r="1015" customFormat="false" ht="15" hidden="false" customHeight="false" outlineLevel="0" collapsed="false">
      <c r="A1015" s="22" t="s">
        <v>18</v>
      </c>
      <c r="B1015" s="22" t="n">
        <v>2</v>
      </c>
      <c r="C1015" s="22" t="s">
        <v>114</v>
      </c>
      <c r="D1015" s="22" t="s">
        <v>31</v>
      </c>
      <c r="E1015" s="22" t="s">
        <v>7326</v>
      </c>
      <c r="F1015" s="22" t="n">
        <v>12766543</v>
      </c>
      <c r="G1015" s="30" t="n">
        <v>46245</v>
      </c>
      <c r="H1015" s="22" t="n">
        <v>44995</v>
      </c>
      <c r="I1015" s="22" t="s">
        <v>8269</v>
      </c>
      <c r="J1015" s="31" t="n">
        <v>9.9</v>
      </c>
      <c r="K1015" s="26" t="n">
        <v>282.79</v>
      </c>
      <c r="L1015" s="26" t="n">
        <v>41.3</v>
      </c>
      <c r="M1015" s="22" t="s">
        <v>3528</v>
      </c>
      <c r="N1015" s="22" t="n">
        <f aca="false">MATCH(M1015,'Tabela Passaro'!$A$2:$A$1795,0)</f>
        <v>822</v>
      </c>
      <c r="O1015" s="22" t="str">
        <f aca="false">INDEX('Tabela Passaro'!$C$2:$C$1795,$N1015)</f>
        <v>IMPERATRIZ</v>
      </c>
      <c r="P1015" s="22" t="str">
        <f aca="false">INDEX('Tabela Passaro'!$B$2:$B$1795,$N1015)</f>
        <v>MA</v>
      </c>
      <c r="Q1015" s="22" t="n">
        <f aca="false">INDEX('Tabela Passaro'!$F$2:$F$1795,$N1015)</f>
        <v>17</v>
      </c>
      <c r="R1015" s="32" t="n">
        <f aca="false">IF(J1015&lt;=10,INDEX('Tabela Passaro'!$G$2:$G$1795,$N1015),IF(J1015&lt;=30,INDEX('Tabela Passaro'!$H$2:$H$1795,$N1015),IF(J1015&lt;=50,INDEX('Tabela Passaro'!$I$2:$I$1795,$N1015),IF(J1015&lt;=70,INDEX('Tabela Passaro'!$J$2:$J$1795,$N1015),IF(J1015&lt;=100,INDEX('Tabela Passaro'!$K$2:$K$1795,$N1015),INDEX('Tabela Passaro'!$K$2:$K$1795,$N1015)+(J1015-100)*INDEX('Tabela Passaro'!$L$2:$L$1795,$N1015))))))</f>
        <v>212.67</v>
      </c>
      <c r="S1015" s="32" t="n">
        <f aca="false">K1015*INDEX('Tabela Passaro'!$M$2:$M$1795,$N1015)</f>
        <v>1.41395</v>
      </c>
      <c r="T1015" s="32" t="n">
        <f aca="false">K1015*INDEX('Tabela Passaro'!$N$2:$N$1795,$N1015)</f>
        <v>0.56558</v>
      </c>
      <c r="U1015" s="32" t="n">
        <f aca="false">INDEX('Tabela Passaro'!$O$2:$O$1795,$N1015)</f>
        <v>5</v>
      </c>
      <c r="V1015" s="32" t="n">
        <f aca="false">ROUNDUP(J1015/INDEX('Tabela Passaro'!$Q$2:$Q$1795,$N1015),0)*INDEX('Tabela Passaro'!$P$2:$P$1795,$N1015)</f>
        <v>5</v>
      </c>
      <c r="W1015" s="32" t="n">
        <f aca="false">INDEX('Tabela Passaro'!$R$2:$R$1795,$N1015)</f>
        <v>30</v>
      </c>
      <c r="X1015" s="32" t="n">
        <f aca="false">ROUNDUP(J1015/INDEX('Tabela Passaro'!$T$2:$T$1795,$N1015),0)*INDEX('Tabela Passaro'!$S$2:$S$1795,$N1015)</f>
        <v>0</v>
      </c>
      <c r="Y1015" s="32" t="n">
        <f aca="false">INDEX('Tabela Passaro'!$U$2:$U$1795,$N1015)</f>
        <v>0</v>
      </c>
      <c r="Z1015" s="32" t="n">
        <f aca="false">INDEX('Tabela Passaro'!$V$2:$V$1795,$N1015)</f>
        <v>0</v>
      </c>
      <c r="AA1015" s="32" t="n">
        <f aca="false">SUM(R1015:Z1015)</f>
        <v>254.64953</v>
      </c>
      <c r="AB1015" s="33" t="n">
        <f aca="false">INDEX(Premissas!$B$5:$B$13,MATCH(A1015,Premissas!$A$5:$A$13,0))</f>
        <v>0.07</v>
      </c>
      <c r="AC1015" s="32" t="n">
        <f aca="false">AA1015/(1-AB1015)-AA1015</f>
        <v>19.1671689247312</v>
      </c>
      <c r="AD1015" s="32" t="n">
        <f aca="false">ROUND(AA1015+AC1015,2)</f>
        <v>273.82</v>
      </c>
      <c r="AE1015" s="32" t="n">
        <f aca="false">AD1015-L1015</f>
        <v>232.52</v>
      </c>
      <c r="AF1015" s="34" t="n">
        <f aca="false">IF(L1015=0,0,AE1015/L1015)</f>
        <v>5.63002421307506</v>
      </c>
      <c r="AG1015" s="22" t="str">
        <f aca="false">IF(AD1015&lt;L1015,"PASSARO","ATUAL")</f>
        <v>ATUAL</v>
      </c>
      <c r="AH1015" s="22" t="str">
        <f aca="false">IF(P1015&lt;&gt;A1015,"Faixa cadastrada como "&amp;P1015&amp;" na tabela; preço aplicado pela UF do CEP","")</f>
        <v/>
      </c>
      <c r="AI1015" s="26" t="n">
        <v>280.54</v>
      </c>
      <c r="AJ1015" s="22" t="str">
        <f aca="false">INDEX('Tabela Passaro'!$X$2:$X$1795,$N1015)</f>
        <v>INTERIOR 2</v>
      </c>
    </row>
    <row r="1016" customFormat="false" ht="15" hidden="false" customHeight="false" outlineLevel="0" collapsed="false">
      <c r="A1016" s="22" t="s">
        <v>18</v>
      </c>
      <c r="B1016" s="22" t="n">
        <v>2</v>
      </c>
      <c r="C1016" s="22" t="s">
        <v>114</v>
      </c>
      <c r="D1016" s="22" t="s">
        <v>31</v>
      </c>
      <c r="E1016" s="22" t="s">
        <v>7326</v>
      </c>
      <c r="F1016" s="22" t="n">
        <v>12766750</v>
      </c>
      <c r="G1016" s="30" t="n">
        <v>46245</v>
      </c>
      <c r="H1016" s="22" t="n">
        <v>622599</v>
      </c>
      <c r="I1016" s="22" t="s">
        <v>8270</v>
      </c>
      <c r="J1016" s="31" t="n">
        <v>22.4</v>
      </c>
      <c r="K1016" s="26" t="n">
        <v>507.8</v>
      </c>
      <c r="L1016" s="26" t="n">
        <v>90.96</v>
      </c>
      <c r="M1016" s="22" t="s">
        <v>3528</v>
      </c>
      <c r="N1016" s="22" t="n">
        <f aca="false">MATCH(M1016,'Tabela Passaro'!$A$2:$A$1795,0)</f>
        <v>822</v>
      </c>
      <c r="O1016" s="22" t="str">
        <f aca="false">INDEX('Tabela Passaro'!$C$2:$C$1795,$N1016)</f>
        <v>IMPERATRIZ</v>
      </c>
      <c r="P1016" s="22" t="str">
        <f aca="false">INDEX('Tabela Passaro'!$B$2:$B$1795,$N1016)</f>
        <v>MA</v>
      </c>
      <c r="Q1016" s="22" t="n">
        <f aca="false">INDEX('Tabela Passaro'!$F$2:$F$1795,$N1016)</f>
        <v>17</v>
      </c>
      <c r="R1016" s="32" t="n">
        <f aca="false">IF(J1016&lt;=10,INDEX('Tabela Passaro'!$G$2:$G$1795,$N1016),IF(J1016&lt;=30,INDEX('Tabela Passaro'!$H$2:$H$1795,$N1016),IF(J1016&lt;=50,INDEX('Tabela Passaro'!$I$2:$I$1795,$N1016),IF(J1016&lt;=70,INDEX('Tabela Passaro'!$J$2:$J$1795,$N1016),IF(J1016&lt;=100,INDEX('Tabela Passaro'!$K$2:$K$1795,$N1016),INDEX('Tabela Passaro'!$K$2:$K$1795,$N1016)+(J1016-100)*INDEX('Tabela Passaro'!$L$2:$L$1795,$N1016))))))</f>
        <v>234.8</v>
      </c>
      <c r="S1016" s="32" t="n">
        <f aca="false">K1016*INDEX('Tabela Passaro'!$M$2:$M$1795,$N1016)</f>
        <v>2.539</v>
      </c>
      <c r="T1016" s="32" t="n">
        <f aca="false">K1016*INDEX('Tabela Passaro'!$N$2:$N$1795,$N1016)</f>
        <v>1.0156</v>
      </c>
      <c r="U1016" s="32" t="n">
        <f aca="false">INDEX('Tabela Passaro'!$O$2:$O$1795,$N1016)</f>
        <v>5</v>
      </c>
      <c r="V1016" s="32" t="n">
        <f aca="false">ROUNDUP(J1016/INDEX('Tabela Passaro'!$Q$2:$Q$1795,$N1016),0)*INDEX('Tabela Passaro'!$P$2:$P$1795,$N1016)</f>
        <v>5</v>
      </c>
      <c r="W1016" s="32" t="n">
        <f aca="false">INDEX('Tabela Passaro'!$R$2:$R$1795,$N1016)</f>
        <v>30</v>
      </c>
      <c r="X1016" s="32" t="n">
        <f aca="false">ROUNDUP(J1016/INDEX('Tabela Passaro'!$T$2:$T$1795,$N1016),0)*INDEX('Tabela Passaro'!$S$2:$S$1795,$N1016)</f>
        <v>0</v>
      </c>
      <c r="Y1016" s="32" t="n">
        <f aca="false">INDEX('Tabela Passaro'!$U$2:$U$1795,$N1016)</f>
        <v>0</v>
      </c>
      <c r="Z1016" s="32" t="n">
        <f aca="false">INDEX('Tabela Passaro'!$V$2:$V$1795,$N1016)</f>
        <v>0</v>
      </c>
      <c r="AA1016" s="32" t="n">
        <f aca="false">SUM(R1016:Z1016)</f>
        <v>278.3546</v>
      </c>
      <c r="AB1016" s="33" t="n">
        <f aca="false">INDEX(Premissas!$B$5:$B$13,MATCH(A1016,Premissas!$A$5:$A$13,0))</f>
        <v>0.07</v>
      </c>
      <c r="AC1016" s="32" t="n">
        <f aca="false">AA1016/(1-AB1016)-AA1016</f>
        <v>20.9514215053763</v>
      </c>
      <c r="AD1016" s="32" t="n">
        <f aca="false">ROUND(AA1016+AC1016,2)</f>
        <v>299.31</v>
      </c>
      <c r="AE1016" s="32" t="n">
        <f aca="false">AD1016-L1016</f>
        <v>208.35</v>
      </c>
      <c r="AF1016" s="34" t="n">
        <f aca="false">IF(L1016=0,0,AE1016/L1016)</f>
        <v>2.2905672823219</v>
      </c>
      <c r="AG1016" s="22" t="str">
        <f aca="false">IF(AD1016&lt;L1016,"PASSARO","ATUAL")</f>
        <v>ATUAL</v>
      </c>
      <c r="AH1016" s="22" t="str">
        <f aca="false">IF(P1016&lt;&gt;A1016,"Faixa cadastrada como "&amp;P1016&amp;" na tabela; preço aplicado pela UF do CEP","")</f>
        <v/>
      </c>
      <c r="AI1016" s="26" t="n">
        <v>314.06</v>
      </c>
      <c r="AJ1016" s="22" t="str">
        <f aca="false">INDEX('Tabela Passaro'!$X$2:$X$1795,$N1016)</f>
        <v>INTERIOR 2</v>
      </c>
    </row>
    <row r="1017" customFormat="false" ht="15" hidden="false" customHeight="false" outlineLevel="0" collapsed="false">
      <c r="A1017" s="22" t="s">
        <v>18</v>
      </c>
      <c r="B1017" s="22" t="n">
        <v>2</v>
      </c>
      <c r="C1017" s="22" t="s">
        <v>114</v>
      </c>
      <c r="D1017" s="22" t="s">
        <v>31</v>
      </c>
      <c r="E1017" s="22" t="s">
        <v>7326</v>
      </c>
      <c r="F1017" s="22" t="n">
        <v>12782123</v>
      </c>
      <c r="G1017" s="30" t="n">
        <v>46247</v>
      </c>
      <c r="H1017" s="22" t="n">
        <v>624420</v>
      </c>
      <c r="I1017" s="22" t="s">
        <v>8271</v>
      </c>
      <c r="J1017" s="31" t="n">
        <v>22.4</v>
      </c>
      <c r="K1017" s="26" t="n">
        <v>613.2</v>
      </c>
      <c r="L1017" s="26" t="n">
        <v>91.62</v>
      </c>
      <c r="M1017" s="22" t="s">
        <v>3528</v>
      </c>
      <c r="N1017" s="22" t="n">
        <f aca="false">MATCH(M1017,'Tabela Passaro'!$A$2:$A$1795,0)</f>
        <v>822</v>
      </c>
      <c r="O1017" s="22" t="str">
        <f aca="false">INDEX('Tabela Passaro'!$C$2:$C$1795,$N1017)</f>
        <v>IMPERATRIZ</v>
      </c>
      <c r="P1017" s="22" t="str">
        <f aca="false">INDEX('Tabela Passaro'!$B$2:$B$1795,$N1017)</f>
        <v>MA</v>
      </c>
      <c r="Q1017" s="22" t="n">
        <f aca="false">INDEX('Tabela Passaro'!$F$2:$F$1795,$N1017)</f>
        <v>17</v>
      </c>
      <c r="R1017" s="32" t="n">
        <f aca="false">IF(J1017&lt;=10,INDEX('Tabela Passaro'!$G$2:$G$1795,$N1017),IF(J1017&lt;=30,INDEX('Tabela Passaro'!$H$2:$H$1795,$N1017),IF(J1017&lt;=50,INDEX('Tabela Passaro'!$I$2:$I$1795,$N1017),IF(J1017&lt;=70,INDEX('Tabela Passaro'!$J$2:$J$1795,$N1017),IF(J1017&lt;=100,INDEX('Tabela Passaro'!$K$2:$K$1795,$N1017),INDEX('Tabela Passaro'!$K$2:$K$1795,$N1017)+(J1017-100)*INDEX('Tabela Passaro'!$L$2:$L$1795,$N1017))))))</f>
        <v>234.8</v>
      </c>
      <c r="S1017" s="32" t="n">
        <f aca="false">K1017*INDEX('Tabela Passaro'!$M$2:$M$1795,$N1017)</f>
        <v>3.066</v>
      </c>
      <c r="T1017" s="32" t="n">
        <f aca="false">K1017*INDEX('Tabela Passaro'!$N$2:$N$1795,$N1017)</f>
        <v>1.2264</v>
      </c>
      <c r="U1017" s="32" t="n">
        <f aca="false">INDEX('Tabela Passaro'!$O$2:$O$1795,$N1017)</f>
        <v>5</v>
      </c>
      <c r="V1017" s="32" t="n">
        <f aca="false">ROUNDUP(J1017/INDEX('Tabela Passaro'!$Q$2:$Q$1795,$N1017),0)*INDEX('Tabela Passaro'!$P$2:$P$1795,$N1017)</f>
        <v>5</v>
      </c>
      <c r="W1017" s="32" t="n">
        <f aca="false">INDEX('Tabela Passaro'!$R$2:$R$1795,$N1017)</f>
        <v>30</v>
      </c>
      <c r="X1017" s="32" t="n">
        <f aca="false">ROUNDUP(J1017/INDEX('Tabela Passaro'!$T$2:$T$1795,$N1017),0)*INDEX('Tabela Passaro'!$S$2:$S$1795,$N1017)</f>
        <v>0</v>
      </c>
      <c r="Y1017" s="32" t="n">
        <f aca="false">INDEX('Tabela Passaro'!$U$2:$U$1795,$N1017)</f>
        <v>0</v>
      </c>
      <c r="Z1017" s="32" t="n">
        <f aca="false">INDEX('Tabela Passaro'!$V$2:$V$1795,$N1017)</f>
        <v>0</v>
      </c>
      <c r="AA1017" s="32" t="n">
        <f aca="false">SUM(R1017:Z1017)</f>
        <v>279.0924</v>
      </c>
      <c r="AB1017" s="33" t="n">
        <f aca="false">INDEX(Premissas!$B$5:$B$13,MATCH(A1017,Premissas!$A$5:$A$13,0))</f>
        <v>0.07</v>
      </c>
      <c r="AC1017" s="32" t="n">
        <f aca="false">AA1017/(1-AB1017)-AA1017</f>
        <v>21.0069548387097</v>
      </c>
      <c r="AD1017" s="32" t="n">
        <f aca="false">ROUND(AA1017+AC1017,2)</f>
        <v>300.1</v>
      </c>
      <c r="AE1017" s="32" t="n">
        <f aca="false">AD1017-L1017</f>
        <v>208.48</v>
      </c>
      <c r="AF1017" s="34" t="n">
        <f aca="false">IF(L1017=0,0,AE1017/L1017)</f>
        <v>2.27548570181183</v>
      </c>
      <c r="AG1017" s="22" t="str">
        <f aca="false">IF(AD1017&lt;L1017,"PASSARO","ATUAL")</f>
        <v>ATUAL</v>
      </c>
      <c r="AH1017" s="22" t="str">
        <f aca="false">IF(P1017&lt;&gt;A1017,"Faixa cadastrada como "&amp;P1017&amp;" na tabela; preço aplicado pela UF do CEP","")</f>
        <v/>
      </c>
      <c r="AI1017" s="26" t="n">
        <v>315.08</v>
      </c>
      <c r="AJ1017" s="22" t="str">
        <f aca="false">INDEX('Tabela Passaro'!$X$2:$X$1795,$N1017)</f>
        <v>INTERIOR 2</v>
      </c>
    </row>
    <row r="1018" customFormat="false" ht="15" hidden="false" customHeight="false" outlineLevel="0" collapsed="false">
      <c r="A1018" s="22" t="s">
        <v>18</v>
      </c>
      <c r="B1018" s="22" t="n">
        <v>3</v>
      </c>
      <c r="C1018" s="22" t="s">
        <v>116</v>
      </c>
      <c r="D1018" s="22" t="s">
        <v>32</v>
      </c>
      <c r="E1018" s="22" t="s">
        <v>7326</v>
      </c>
      <c r="F1018" s="22" t="n">
        <v>902611</v>
      </c>
      <c r="G1018" s="30" t="n">
        <v>46245</v>
      </c>
      <c r="H1018" s="22" t="n">
        <v>622190</v>
      </c>
      <c r="I1018" s="22" t="s">
        <v>8272</v>
      </c>
      <c r="J1018" s="31" t="n">
        <v>33</v>
      </c>
      <c r="K1018" s="26" t="n">
        <v>566.62</v>
      </c>
      <c r="L1018" s="26" t="n">
        <v>134.07</v>
      </c>
      <c r="M1018" s="22" t="s">
        <v>3184</v>
      </c>
      <c r="N1018" s="22" t="n">
        <f aca="false">MATCH(M1018,'Tabela Passaro'!$A$2:$A$1795,0)</f>
        <v>735</v>
      </c>
      <c r="O1018" s="22" t="str">
        <f aca="false">INDEX('Tabela Passaro'!$C$2:$C$1795,$N1018)</f>
        <v>SAO JOSE DE RIBAMAR</v>
      </c>
      <c r="P1018" s="22" t="str">
        <f aca="false">INDEX('Tabela Passaro'!$B$2:$B$1795,$N1018)</f>
        <v>MA</v>
      </c>
      <c r="Q1018" s="22" t="n">
        <f aca="false">INDEX('Tabela Passaro'!$F$2:$F$1795,$N1018)</f>
        <v>13</v>
      </c>
      <c r="R1018" s="32" t="n">
        <f aca="false">IF(J1018&lt;=10,INDEX('Tabela Passaro'!$G$2:$G$1795,$N1018),IF(J1018&lt;=30,INDEX('Tabela Passaro'!$H$2:$H$1795,$N1018),IF(J1018&lt;=50,INDEX('Tabela Passaro'!$I$2:$I$1795,$N1018),IF(J1018&lt;=70,INDEX('Tabela Passaro'!$J$2:$J$1795,$N1018),IF(J1018&lt;=100,INDEX('Tabela Passaro'!$K$2:$K$1795,$N1018),INDEX('Tabela Passaro'!$K$2:$K$1795,$N1018)+(J1018-100)*INDEX('Tabela Passaro'!$L$2:$L$1795,$N1018))))))</f>
        <v>242.41</v>
      </c>
      <c r="S1018" s="32" t="n">
        <f aca="false">K1018*INDEX('Tabela Passaro'!$M$2:$M$1795,$N1018)</f>
        <v>2.8331</v>
      </c>
      <c r="T1018" s="32" t="n">
        <f aca="false">K1018*INDEX('Tabela Passaro'!$N$2:$N$1795,$N1018)</f>
        <v>1.13324</v>
      </c>
      <c r="U1018" s="32" t="n">
        <f aca="false">INDEX('Tabela Passaro'!$O$2:$O$1795,$N1018)</f>
        <v>5</v>
      </c>
      <c r="V1018" s="32" t="n">
        <f aca="false">ROUNDUP(J1018/INDEX('Tabela Passaro'!$Q$2:$Q$1795,$N1018),0)*INDEX('Tabela Passaro'!$P$2:$P$1795,$N1018)</f>
        <v>5</v>
      </c>
      <c r="W1018" s="32" t="n">
        <f aca="false">INDEX('Tabela Passaro'!$R$2:$R$1795,$N1018)</f>
        <v>30</v>
      </c>
      <c r="X1018" s="32" t="n">
        <f aca="false">ROUNDUP(J1018/INDEX('Tabela Passaro'!$T$2:$T$1795,$N1018),0)*INDEX('Tabela Passaro'!$S$2:$S$1795,$N1018)</f>
        <v>0</v>
      </c>
      <c r="Y1018" s="32" t="n">
        <f aca="false">INDEX('Tabela Passaro'!$U$2:$U$1795,$N1018)</f>
        <v>0</v>
      </c>
      <c r="Z1018" s="32" t="n">
        <f aca="false">INDEX('Tabela Passaro'!$V$2:$V$1795,$N1018)</f>
        <v>0</v>
      </c>
      <c r="AA1018" s="32" t="n">
        <f aca="false">SUM(R1018:Z1018)</f>
        <v>286.37634</v>
      </c>
      <c r="AB1018" s="33" t="n">
        <f aca="false">INDEX(Premissas!$B$5:$B$13,MATCH(A1018,Premissas!$A$5:$A$13,0))</f>
        <v>0.07</v>
      </c>
      <c r="AC1018" s="32" t="n">
        <f aca="false">AA1018/(1-AB1018)-AA1018</f>
        <v>21.5552083870968</v>
      </c>
      <c r="AD1018" s="32" t="n">
        <f aca="false">ROUND(AA1018+AC1018,2)</f>
        <v>307.93</v>
      </c>
      <c r="AE1018" s="32" t="n">
        <f aca="false">AD1018-L1018</f>
        <v>173.86</v>
      </c>
      <c r="AF1018" s="34" t="n">
        <f aca="false">IF(L1018=0,0,AE1018/L1018)</f>
        <v>1.2967852614306</v>
      </c>
      <c r="AG1018" s="22" t="str">
        <f aca="false">IF(AD1018&lt;L1018,"PASSARO","ATUAL")</f>
        <v>ATUAL</v>
      </c>
      <c r="AH1018" s="22" t="str">
        <f aca="false">IF(P1018&lt;&gt;A1018,"Faixa cadastrada como "&amp;P1018&amp;" na tabela; preço aplicado pela UF do CEP","")</f>
        <v/>
      </c>
      <c r="AI1018" s="26" t="n">
        <v>328.07</v>
      </c>
      <c r="AJ1018" s="22" t="str">
        <f aca="false">INDEX('Tabela Passaro'!$X$2:$X$1795,$N1018)</f>
        <v>INTERIOR 1</v>
      </c>
    </row>
    <row r="1019" customFormat="false" ht="15" hidden="false" customHeight="false" outlineLevel="0" collapsed="false">
      <c r="A1019" s="22" t="s">
        <v>18</v>
      </c>
      <c r="B1019" s="22" t="n">
        <v>3</v>
      </c>
      <c r="C1019" s="22" t="s">
        <v>116</v>
      </c>
      <c r="D1019" s="22" t="s">
        <v>32</v>
      </c>
      <c r="E1019" s="22" t="s">
        <v>7326</v>
      </c>
      <c r="F1019" s="22" t="n">
        <v>902629</v>
      </c>
      <c r="G1019" s="30" t="n">
        <v>46245</v>
      </c>
      <c r="H1019" s="22" t="n">
        <v>622663</v>
      </c>
      <c r="I1019" s="22" t="s">
        <v>8273</v>
      </c>
      <c r="J1019" s="31" t="n">
        <v>76.8</v>
      </c>
      <c r="K1019" s="26" t="n">
        <v>1234.85</v>
      </c>
      <c r="L1019" s="26" t="n">
        <v>179.97</v>
      </c>
      <c r="M1019" s="22" t="s">
        <v>3184</v>
      </c>
      <c r="N1019" s="22" t="n">
        <f aca="false">MATCH(M1019,'Tabela Passaro'!$A$2:$A$1795,0)</f>
        <v>735</v>
      </c>
      <c r="O1019" s="22" t="str">
        <f aca="false">INDEX('Tabela Passaro'!$C$2:$C$1795,$N1019)</f>
        <v>SAO JOSE DE RIBAMAR</v>
      </c>
      <c r="P1019" s="22" t="str">
        <f aca="false">INDEX('Tabela Passaro'!$B$2:$B$1795,$N1019)</f>
        <v>MA</v>
      </c>
      <c r="Q1019" s="22" t="n">
        <f aca="false">INDEX('Tabela Passaro'!$F$2:$F$1795,$N1019)</f>
        <v>13</v>
      </c>
      <c r="R1019" s="32" t="n">
        <f aca="false">IF(J1019&lt;=10,INDEX('Tabela Passaro'!$G$2:$G$1795,$N1019),IF(J1019&lt;=30,INDEX('Tabela Passaro'!$H$2:$H$1795,$N1019),IF(J1019&lt;=50,INDEX('Tabela Passaro'!$I$2:$I$1795,$N1019),IF(J1019&lt;=70,INDEX('Tabela Passaro'!$J$2:$J$1795,$N1019),IF(J1019&lt;=100,INDEX('Tabela Passaro'!$K$2:$K$1795,$N1019),INDEX('Tabela Passaro'!$K$2:$K$1795,$N1019)+(J1019-100)*INDEX('Tabela Passaro'!$L$2:$L$1795,$N1019))))))</f>
        <v>275.6</v>
      </c>
      <c r="S1019" s="32" t="n">
        <f aca="false">K1019*INDEX('Tabela Passaro'!$M$2:$M$1795,$N1019)</f>
        <v>6.17425</v>
      </c>
      <c r="T1019" s="32" t="n">
        <f aca="false">K1019*INDEX('Tabela Passaro'!$N$2:$N$1795,$N1019)</f>
        <v>2.4697</v>
      </c>
      <c r="U1019" s="32" t="n">
        <f aca="false">INDEX('Tabela Passaro'!$O$2:$O$1795,$N1019)</f>
        <v>5</v>
      </c>
      <c r="V1019" s="32" t="n">
        <f aca="false">ROUNDUP(J1019/INDEX('Tabela Passaro'!$Q$2:$Q$1795,$N1019),0)*INDEX('Tabela Passaro'!$P$2:$P$1795,$N1019)</f>
        <v>5</v>
      </c>
      <c r="W1019" s="32" t="n">
        <f aca="false">INDEX('Tabela Passaro'!$R$2:$R$1795,$N1019)</f>
        <v>30</v>
      </c>
      <c r="X1019" s="32" t="n">
        <f aca="false">ROUNDUP(J1019/INDEX('Tabela Passaro'!$T$2:$T$1795,$N1019),0)*INDEX('Tabela Passaro'!$S$2:$S$1795,$N1019)</f>
        <v>0</v>
      </c>
      <c r="Y1019" s="32" t="n">
        <f aca="false">INDEX('Tabela Passaro'!$U$2:$U$1795,$N1019)</f>
        <v>0</v>
      </c>
      <c r="Z1019" s="32" t="n">
        <f aca="false">INDEX('Tabela Passaro'!$V$2:$V$1795,$N1019)</f>
        <v>0</v>
      </c>
      <c r="AA1019" s="32" t="n">
        <f aca="false">SUM(R1019:Z1019)</f>
        <v>324.24395</v>
      </c>
      <c r="AB1019" s="33" t="n">
        <f aca="false">INDEX(Premissas!$B$5:$B$13,MATCH(A1019,Premissas!$A$5:$A$13,0))</f>
        <v>0.07</v>
      </c>
      <c r="AC1019" s="32" t="n">
        <f aca="false">AA1019/(1-AB1019)-AA1019</f>
        <v>24.4054586021506</v>
      </c>
      <c r="AD1019" s="32" t="n">
        <f aca="false">ROUND(AA1019+AC1019,2)</f>
        <v>348.65</v>
      </c>
      <c r="AE1019" s="32" t="n">
        <f aca="false">AD1019-L1019</f>
        <v>168.68</v>
      </c>
      <c r="AF1019" s="34" t="n">
        <f aca="false">IF(L1019=0,0,AE1019/L1019)</f>
        <v>0.9372673223315</v>
      </c>
      <c r="AG1019" s="22" t="str">
        <f aca="false">IF(AD1019&lt;L1019,"PASSARO","ATUAL")</f>
        <v>ATUAL</v>
      </c>
      <c r="AH1019" s="22" t="str">
        <f aca="false">IF(P1019&lt;&gt;A1019,"Faixa cadastrada como "&amp;P1019&amp;" na tabela; preço aplicado pela UF do CEP","")</f>
        <v/>
      </c>
      <c r="AI1019" s="26" t="n">
        <v>393.41</v>
      </c>
      <c r="AJ1019" s="22" t="str">
        <f aca="false">INDEX('Tabela Passaro'!$X$2:$X$1795,$N1019)</f>
        <v>INTERIOR 1</v>
      </c>
    </row>
    <row r="1020" customFormat="false" ht="15" hidden="false" customHeight="false" outlineLevel="0" collapsed="false">
      <c r="A1020" s="22" t="s">
        <v>18</v>
      </c>
      <c r="B1020" s="22" t="n">
        <v>3</v>
      </c>
      <c r="C1020" s="22" t="s">
        <v>116</v>
      </c>
      <c r="D1020" s="22" t="s">
        <v>32</v>
      </c>
      <c r="E1020" s="22" t="s">
        <v>7326</v>
      </c>
      <c r="F1020" s="22" t="n">
        <v>905201</v>
      </c>
      <c r="G1020" s="30" t="n">
        <v>46253</v>
      </c>
      <c r="H1020" s="22" t="n">
        <v>627061</v>
      </c>
      <c r="I1020" s="22" t="s">
        <v>8274</v>
      </c>
      <c r="J1020" s="31" t="n">
        <v>66</v>
      </c>
      <c r="K1020" s="26" t="n">
        <v>1550.45</v>
      </c>
      <c r="L1020" s="26" t="n">
        <v>172.98</v>
      </c>
      <c r="M1020" s="22" t="s">
        <v>3184</v>
      </c>
      <c r="N1020" s="22" t="n">
        <f aca="false">MATCH(M1020,'Tabela Passaro'!$A$2:$A$1795,0)</f>
        <v>735</v>
      </c>
      <c r="O1020" s="22" t="str">
        <f aca="false">INDEX('Tabela Passaro'!$C$2:$C$1795,$N1020)</f>
        <v>SAO JOSE DE RIBAMAR</v>
      </c>
      <c r="P1020" s="22" t="str">
        <f aca="false">INDEX('Tabela Passaro'!$B$2:$B$1795,$N1020)</f>
        <v>MA</v>
      </c>
      <c r="Q1020" s="22" t="n">
        <f aca="false">INDEX('Tabela Passaro'!$F$2:$F$1795,$N1020)</f>
        <v>13</v>
      </c>
      <c r="R1020" s="32" t="n">
        <f aca="false">IF(J1020&lt;=10,INDEX('Tabela Passaro'!$G$2:$G$1795,$N1020),IF(J1020&lt;=30,INDEX('Tabela Passaro'!$H$2:$H$1795,$N1020),IF(J1020&lt;=50,INDEX('Tabela Passaro'!$I$2:$I$1795,$N1020),IF(J1020&lt;=70,INDEX('Tabela Passaro'!$J$2:$J$1795,$N1020),IF(J1020&lt;=100,INDEX('Tabela Passaro'!$K$2:$K$1795,$N1020),INDEX('Tabela Passaro'!$K$2:$K$1795,$N1020)+(J1020-100)*INDEX('Tabela Passaro'!$L$2:$L$1795,$N1020))))))</f>
        <v>259</v>
      </c>
      <c r="S1020" s="32" t="n">
        <f aca="false">K1020*INDEX('Tabela Passaro'!$M$2:$M$1795,$N1020)</f>
        <v>7.75225</v>
      </c>
      <c r="T1020" s="32" t="n">
        <f aca="false">K1020*INDEX('Tabela Passaro'!$N$2:$N$1795,$N1020)</f>
        <v>3.1009</v>
      </c>
      <c r="U1020" s="32" t="n">
        <f aca="false">INDEX('Tabela Passaro'!$O$2:$O$1795,$N1020)</f>
        <v>5</v>
      </c>
      <c r="V1020" s="32" t="n">
        <f aca="false">ROUNDUP(J1020/INDEX('Tabela Passaro'!$Q$2:$Q$1795,$N1020),0)*INDEX('Tabela Passaro'!$P$2:$P$1795,$N1020)</f>
        <v>5</v>
      </c>
      <c r="W1020" s="32" t="n">
        <f aca="false">INDEX('Tabela Passaro'!$R$2:$R$1795,$N1020)</f>
        <v>30</v>
      </c>
      <c r="X1020" s="32" t="n">
        <f aca="false">ROUNDUP(J1020/INDEX('Tabela Passaro'!$T$2:$T$1795,$N1020),0)*INDEX('Tabela Passaro'!$S$2:$S$1795,$N1020)</f>
        <v>0</v>
      </c>
      <c r="Y1020" s="32" t="n">
        <f aca="false">INDEX('Tabela Passaro'!$U$2:$U$1795,$N1020)</f>
        <v>0</v>
      </c>
      <c r="Z1020" s="32" t="n">
        <f aca="false">INDEX('Tabela Passaro'!$V$2:$V$1795,$N1020)</f>
        <v>0</v>
      </c>
      <c r="AA1020" s="32" t="n">
        <f aca="false">SUM(R1020:Z1020)</f>
        <v>309.85315</v>
      </c>
      <c r="AB1020" s="33" t="n">
        <f aca="false">INDEX(Premissas!$B$5:$B$13,MATCH(A1020,Premissas!$A$5:$A$13,0))</f>
        <v>0.07</v>
      </c>
      <c r="AC1020" s="32" t="n">
        <f aca="false">AA1020/(1-AB1020)-AA1020</f>
        <v>23.3222801075269</v>
      </c>
      <c r="AD1020" s="32" t="n">
        <f aca="false">ROUND(AA1020+AC1020,2)</f>
        <v>333.18</v>
      </c>
      <c r="AE1020" s="32" t="n">
        <f aca="false">AD1020-L1020</f>
        <v>160.2</v>
      </c>
      <c r="AF1020" s="34" t="n">
        <f aca="false">IF(L1020=0,0,AE1020/L1020)</f>
        <v>0.926118626430802</v>
      </c>
      <c r="AG1020" s="22" t="str">
        <f aca="false">IF(AD1020&lt;L1020,"PASSARO","ATUAL")</f>
        <v>ATUAL</v>
      </c>
      <c r="AH1020" s="22" t="str">
        <f aca="false">IF(P1020&lt;&gt;A1020,"Faixa cadastrada como "&amp;P1020&amp;" na tabela; preço aplicado pela UF do CEP","")</f>
        <v/>
      </c>
      <c r="AI1020" s="26" t="n">
        <v>372.36</v>
      </c>
      <c r="AJ1020" s="22" t="str">
        <f aca="false">INDEX('Tabela Passaro'!$X$2:$X$1795,$N1020)</f>
        <v>INTERIOR 1</v>
      </c>
    </row>
    <row r="1021" customFormat="false" ht="15" hidden="false" customHeight="false" outlineLevel="0" collapsed="false">
      <c r="A1021" s="22" t="s">
        <v>18</v>
      </c>
      <c r="B1021" s="22" t="n">
        <v>3</v>
      </c>
      <c r="C1021" s="22" t="s">
        <v>116</v>
      </c>
      <c r="D1021" s="22" t="s">
        <v>32</v>
      </c>
      <c r="E1021" s="22" t="s">
        <v>7326</v>
      </c>
      <c r="F1021" s="22" t="n">
        <v>905169</v>
      </c>
      <c r="G1021" s="30" t="n">
        <v>46253</v>
      </c>
      <c r="H1021" s="22" t="n">
        <v>627227</v>
      </c>
      <c r="I1021" s="22" t="s">
        <v>8275</v>
      </c>
      <c r="J1021" s="31" t="n">
        <v>38.2</v>
      </c>
      <c r="K1021" s="26" t="n">
        <v>773.2</v>
      </c>
      <c r="L1021" s="26" t="n">
        <v>136.73</v>
      </c>
      <c r="M1021" s="22" t="s">
        <v>3184</v>
      </c>
      <c r="N1021" s="22" t="n">
        <f aca="false">MATCH(M1021,'Tabela Passaro'!$A$2:$A$1795,0)</f>
        <v>735</v>
      </c>
      <c r="O1021" s="22" t="str">
        <f aca="false">INDEX('Tabela Passaro'!$C$2:$C$1795,$N1021)</f>
        <v>SAO JOSE DE RIBAMAR</v>
      </c>
      <c r="P1021" s="22" t="str">
        <f aca="false">INDEX('Tabela Passaro'!$B$2:$B$1795,$N1021)</f>
        <v>MA</v>
      </c>
      <c r="Q1021" s="22" t="n">
        <f aca="false">INDEX('Tabela Passaro'!$F$2:$F$1795,$N1021)</f>
        <v>13</v>
      </c>
      <c r="R1021" s="32" t="n">
        <f aca="false">IF(J1021&lt;=10,INDEX('Tabela Passaro'!$G$2:$G$1795,$N1021),IF(J1021&lt;=30,INDEX('Tabela Passaro'!$H$2:$H$1795,$N1021),IF(J1021&lt;=50,INDEX('Tabela Passaro'!$I$2:$I$1795,$N1021),IF(J1021&lt;=70,INDEX('Tabela Passaro'!$J$2:$J$1795,$N1021),IF(J1021&lt;=100,INDEX('Tabela Passaro'!$K$2:$K$1795,$N1021),INDEX('Tabela Passaro'!$K$2:$K$1795,$N1021)+(J1021-100)*INDEX('Tabela Passaro'!$L$2:$L$1795,$N1021))))))</f>
        <v>242.41</v>
      </c>
      <c r="S1021" s="32" t="n">
        <f aca="false">K1021*INDEX('Tabela Passaro'!$M$2:$M$1795,$N1021)</f>
        <v>3.866</v>
      </c>
      <c r="T1021" s="32" t="n">
        <f aca="false">K1021*INDEX('Tabela Passaro'!$N$2:$N$1795,$N1021)</f>
        <v>1.5464</v>
      </c>
      <c r="U1021" s="32" t="n">
        <f aca="false">INDEX('Tabela Passaro'!$O$2:$O$1795,$N1021)</f>
        <v>5</v>
      </c>
      <c r="V1021" s="32" t="n">
        <f aca="false">ROUNDUP(J1021/INDEX('Tabela Passaro'!$Q$2:$Q$1795,$N1021),0)*INDEX('Tabela Passaro'!$P$2:$P$1795,$N1021)</f>
        <v>5</v>
      </c>
      <c r="W1021" s="32" t="n">
        <f aca="false">INDEX('Tabela Passaro'!$R$2:$R$1795,$N1021)</f>
        <v>30</v>
      </c>
      <c r="X1021" s="32" t="n">
        <f aca="false">ROUNDUP(J1021/INDEX('Tabela Passaro'!$T$2:$T$1795,$N1021),0)*INDEX('Tabela Passaro'!$S$2:$S$1795,$N1021)</f>
        <v>0</v>
      </c>
      <c r="Y1021" s="32" t="n">
        <f aca="false">INDEX('Tabela Passaro'!$U$2:$U$1795,$N1021)</f>
        <v>0</v>
      </c>
      <c r="Z1021" s="32" t="n">
        <f aca="false">INDEX('Tabela Passaro'!$V$2:$V$1795,$N1021)</f>
        <v>0</v>
      </c>
      <c r="AA1021" s="32" t="n">
        <f aca="false">SUM(R1021:Z1021)</f>
        <v>287.8224</v>
      </c>
      <c r="AB1021" s="33" t="n">
        <f aca="false">INDEX(Premissas!$B$5:$B$13,MATCH(A1021,Premissas!$A$5:$A$13,0))</f>
        <v>0.07</v>
      </c>
      <c r="AC1021" s="32" t="n">
        <f aca="false">AA1021/(1-AB1021)-AA1021</f>
        <v>21.6640516129032</v>
      </c>
      <c r="AD1021" s="32" t="n">
        <f aca="false">ROUND(AA1021+AC1021,2)</f>
        <v>309.49</v>
      </c>
      <c r="AE1021" s="32" t="n">
        <f aca="false">AD1021-L1021</f>
        <v>172.76</v>
      </c>
      <c r="AF1021" s="34" t="n">
        <f aca="false">IF(L1021=0,0,AE1021/L1021)</f>
        <v>1.26351203101002</v>
      </c>
      <c r="AG1021" s="22" t="str">
        <f aca="false">IF(AD1021&lt;L1021,"PASSARO","ATUAL")</f>
        <v>ATUAL</v>
      </c>
      <c r="AH1021" s="22" t="str">
        <f aca="false">IF(P1021&lt;&gt;A1021,"Faixa cadastrada como "&amp;P1021&amp;" na tabela; preço aplicado pela UF do CEP","")</f>
        <v/>
      </c>
      <c r="AI1021" s="26" t="n">
        <v>332.98</v>
      </c>
      <c r="AJ1021" s="22" t="str">
        <f aca="false">INDEX('Tabela Passaro'!$X$2:$X$1795,$N1021)</f>
        <v>INTERIOR 1</v>
      </c>
    </row>
    <row r="1022" customFormat="false" ht="15" hidden="false" customHeight="false" outlineLevel="0" collapsed="false">
      <c r="A1022" s="22" t="s">
        <v>18</v>
      </c>
      <c r="B1022" s="22" t="n">
        <v>3</v>
      </c>
      <c r="C1022" s="22" t="s">
        <v>116</v>
      </c>
      <c r="D1022" s="22" t="s">
        <v>32</v>
      </c>
      <c r="E1022" s="22" t="s">
        <v>7326</v>
      </c>
      <c r="F1022" s="22" t="n">
        <v>905577</v>
      </c>
      <c r="G1022" s="30" t="n">
        <v>46254</v>
      </c>
      <c r="H1022" s="22" t="n">
        <v>627439</v>
      </c>
      <c r="I1022" s="22" t="s">
        <v>8276</v>
      </c>
      <c r="J1022" s="31" t="n">
        <v>40</v>
      </c>
      <c r="K1022" s="26" t="n">
        <v>660.96</v>
      </c>
      <c r="L1022" s="26" t="n">
        <v>135.29</v>
      </c>
      <c r="M1022" s="22" t="s">
        <v>3184</v>
      </c>
      <c r="N1022" s="22" t="n">
        <f aca="false">MATCH(M1022,'Tabela Passaro'!$A$2:$A$1795,0)</f>
        <v>735</v>
      </c>
      <c r="O1022" s="22" t="str">
        <f aca="false">INDEX('Tabela Passaro'!$C$2:$C$1795,$N1022)</f>
        <v>SAO JOSE DE RIBAMAR</v>
      </c>
      <c r="P1022" s="22" t="str">
        <f aca="false">INDEX('Tabela Passaro'!$B$2:$B$1795,$N1022)</f>
        <v>MA</v>
      </c>
      <c r="Q1022" s="22" t="n">
        <f aca="false">INDEX('Tabela Passaro'!$F$2:$F$1795,$N1022)</f>
        <v>13</v>
      </c>
      <c r="R1022" s="32" t="n">
        <f aca="false">IF(J1022&lt;=10,INDEX('Tabela Passaro'!$G$2:$G$1795,$N1022),IF(J1022&lt;=30,INDEX('Tabela Passaro'!$H$2:$H$1795,$N1022),IF(J1022&lt;=50,INDEX('Tabela Passaro'!$I$2:$I$1795,$N1022),IF(J1022&lt;=70,INDEX('Tabela Passaro'!$J$2:$J$1795,$N1022),IF(J1022&lt;=100,INDEX('Tabela Passaro'!$K$2:$K$1795,$N1022),INDEX('Tabela Passaro'!$K$2:$K$1795,$N1022)+(J1022-100)*INDEX('Tabela Passaro'!$L$2:$L$1795,$N1022))))))</f>
        <v>242.41</v>
      </c>
      <c r="S1022" s="32" t="n">
        <f aca="false">K1022*INDEX('Tabela Passaro'!$M$2:$M$1795,$N1022)</f>
        <v>3.3048</v>
      </c>
      <c r="T1022" s="32" t="n">
        <f aca="false">K1022*INDEX('Tabela Passaro'!$N$2:$N$1795,$N1022)</f>
        <v>1.32192</v>
      </c>
      <c r="U1022" s="32" t="n">
        <f aca="false">INDEX('Tabela Passaro'!$O$2:$O$1795,$N1022)</f>
        <v>5</v>
      </c>
      <c r="V1022" s="32" t="n">
        <f aca="false">ROUNDUP(J1022/INDEX('Tabela Passaro'!$Q$2:$Q$1795,$N1022),0)*INDEX('Tabela Passaro'!$P$2:$P$1795,$N1022)</f>
        <v>5</v>
      </c>
      <c r="W1022" s="32" t="n">
        <f aca="false">INDEX('Tabela Passaro'!$R$2:$R$1795,$N1022)</f>
        <v>30</v>
      </c>
      <c r="X1022" s="32" t="n">
        <f aca="false">ROUNDUP(J1022/INDEX('Tabela Passaro'!$T$2:$T$1795,$N1022),0)*INDEX('Tabela Passaro'!$S$2:$S$1795,$N1022)</f>
        <v>0</v>
      </c>
      <c r="Y1022" s="32" t="n">
        <f aca="false">INDEX('Tabela Passaro'!$U$2:$U$1795,$N1022)</f>
        <v>0</v>
      </c>
      <c r="Z1022" s="32" t="n">
        <f aca="false">INDEX('Tabela Passaro'!$V$2:$V$1795,$N1022)</f>
        <v>0</v>
      </c>
      <c r="AA1022" s="32" t="n">
        <f aca="false">SUM(R1022:Z1022)</f>
        <v>287.03672</v>
      </c>
      <c r="AB1022" s="33" t="n">
        <f aca="false">INDEX(Premissas!$B$5:$B$13,MATCH(A1022,Premissas!$A$5:$A$13,0))</f>
        <v>0.07</v>
      </c>
      <c r="AC1022" s="32" t="n">
        <f aca="false">AA1022/(1-AB1022)-AA1022</f>
        <v>21.6049144086022</v>
      </c>
      <c r="AD1022" s="32" t="n">
        <f aca="false">ROUND(AA1022+AC1022,2)</f>
        <v>308.64</v>
      </c>
      <c r="AE1022" s="32" t="n">
        <f aca="false">AD1022-L1022</f>
        <v>173.35</v>
      </c>
      <c r="AF1022" s="34" t="n">
        <f aca="false">IF(L1022=0,0,AE1022/L1022)</f>
        <v>1.28132160544017</v>
      </c>
      <c r="AG1022" s="22" t="str">
        <f aca="false">IF(AD1022&lt;L1022,"PASSARO","ATUAL")</f>
        <v>ATUAL</v>
      </c>
      <c r="AH1022" s="22" t="str">
        <f aca="false">IF(P1022&lt;&gt;A1022,"Faixa cadastrada como "&amp;P1022&amp;" na tabela; preço aplicado pela UF do CEP","")</f>
        <v/>
      </c>
      <c r="AI1022" s="26" t="n">
        <v>332.37</v>
      </c>
      <c r="AJ1022" s="22" t="str">
        <f aca="false">INDEX('Tabela Passaro'!$X$2:$X$1795,$N1022)</f>
        <v>INTERIOR 1</v>
      </c>
    </row>
    <row r="1023" customFormat="false" ht="15" hidden="false" customHeight="false" outlineLevel="0" collapsed="false">
      <c r="A1023" s="22" t="s">
        <v>18</v>
      </c>
      <c r="B1023" s="22" t="n">
        <v>3</v>
      </c>
      <c r="C1023" s="22" t="s">
        <v>116</v>
      </c>
      <c r="D1023" s="22" t="s">
        <v>32</v>
      </c>
      <c r="E1023" s="22" t="s">
        <v>7326</v>
      </c>
      <c r="F1023" s="22" t="n">
        <v>905927</v>
      </c>
      <c r="G1023" s="30" t="n">
        <v>46255</v>
      </c>
      <c r="H1023" s="22" t="n">
        <v>627830</v>
      </c>
      <c r="I1023" s="22" t="s">
        <v>8277</v>
      </c>
      <c r="J1023" s="31" t="n">
        <v>124.2</v>
      </c>
      <c r="K1023" s="26" t="n">
        <v>1859.21</v>
      </c>
      <c r="L1023" s="26" t="n">
        <v>242.44</v>
      </c>
      <c r="M1023" s="22" t="s">
        <v>3184</v>
      </c>
      <c r="N1023" s="22" t="n">
        <f aca="false">MATCH(M1023,'Tabela Passaro'!$A$2:$A$1795,0)</f>
        <v>735</v>
      </c>
      <c r="O1023" s="22" t="str">
        <f aca="false">INDEX('Tabela Passaro'!$C$2:$C$1795,$N1023)</f>
        <v>SAO JOSE DE RIBAMAR</v>
      </c>
      <c r="P1023" s="22" t="str">
        <f aca="false">INDEX('Tabela Passaro'!$B$2:$B$1795,$N1023)</f>
        <v>MA</v>
      </c>
      <c r="Q1023" s="22" t="n">
        <f aca="false">INDEX('Tabela Passaro'!$F$2:$F$1795,$N1023)</f>
        <v>13</v>
      </c>
      <c r="R1023" s="32" t="n">
        <f aca="false">IF(J1023&lt;=10,INDEX('Tabela Passaro'!$G$2:$G$1795,$N1023),IF(J1023&lt;=30,INDEX('Tabela Passaro'!$H$2:$H$1795,$N1023),IF(J1023&lt;=50,INDEX('Tabela Passaro'!$I$2:$I$1795,$N1023),IF(J1023&lt;=70,INDEX('Tabela Passaro'!$J$2:$J$1795,$N1023),IF(J1023&lt;=100,INDEX('Tabela Passaro'!$K$2:$K$1795,$N1023),INDEX('Tabela Passaro'!$K$2:$K$1795,$N1023)+(J1023-100)*INDEX('Tabela Passaro'!$L$2:$L$1795,$N1023))))))</f>
        <v>335.374</v>
      </c>
      <c r="S1023" s="32" t="n">
        <f aca="false">K1023*INDEX('Tabela Passaro'!$M$2:$M$1795,$N1023)</f>
        <v>9.29605</v>
      </c>
      <c r="T1023" s="32" t="n">
        <f aca="false">K1023*INDEX('Tabela Passaro'!$N$2:$N$1795,$N1023)</f>
        <v>3.71842</v>
      </c>
      <c r="U1023" s="32" t="n">
        <f aca="false">INDEX('Tabela Passaro'!$O$2:$O$1795,$N1023)</f>
        <v>5</v>
      </c>
      <c r="V1023" s="32" t="n">
        <f aca="false">ROUNDUP(J1023/INDEX('Tabela Passaro'!$Q$2:$Q$1795,$N1023),0)*INDEX('Tabela Passaro'!$P$2:$P$1795,$N1023)</f>
        <v>10</v>
      </c>
      <c r="W1023" s="32" t="n">
        <f aca="false">INDEX('Tabela Passaro'!$R$2:$R$1795,$N1023)</f>
        <v>30</v>
      </c>
      <c r="X1023" s="32" t="n">
        <f aca="false">ROUNDUP(J1023/INDEX('Tabela Passaro'!$T$2:$T$1795,$N1023),0)*INDEX('Tabela Passaro'!$S$2:$S$1795,$N1023)</f>
        <v>0</v>
      </c>
      <c r="Y1023" s="32" t="n">
        <f aca="false">INDEX('Tabela Passaro'!$U$2:$U$1795,$N1023)</f>
        <v>0</v>
      </c>
      <c r="Z1023" s="32" t="n">
        <f aca="false">INDEX('Tabela Passaro'!$V$2:$V$1795,$N1023)</f>
        <v>0</v>
      </c>
      <c r="AA1023" s="32" t="n">
        <f aca="false">SUM(R1023:Z1023)</f>
        <v>393.38847</v>
      </c>
      <c r="AB1023" s="33" t="n">
        <f aca="false">INDEX(Premissas!$B$5:$B$13,MATCH(A1023,Premissas!$A$5:$A$13,0))</f>
        <v>0.07</v>
      </c>
      <c r="AC1023" s="32" t="n">
        <f aca="false">AA1023/(1-AB1023)-AA1023</f>
        <v>29.6098848387097</v>
      </c>
      <c r="AD1023" s="32" t="n">
        <f aca="false">ROUND(AA1023+AC1023,2)</f>
        <v>423</v>
      </c>
      <c r="AE1023" s="32" t="n">
        <f aca="false">AD1023-L1023</f>
        <v>180.56</v>
      </c>
      <c r="AF1023" s="34" t="n">
        <f aca="false">IF(L1023=0,0,AE1023/L1023)</f>
        <v>0.744761590496618</v>
      </c>
      <c r="AG1023" s="22" t="str">
        <f aca="false">IF(AD1023&lt;L1023,"PASSARO","ATUAL")</f>
        <v>ATUAL</v>
      </c>
      <c r="AH1023" s="22" t="str">
        <f aca="false">IF(P1023&lt;&gt;A1023,"Faixa cadastrada como "&amp;P1023&amp;" na tabela; preço aplicado pela UF do CEP","")</f>
        <v/>
      </c>
      <c r="AI1023" s="26" t="n">
        <v>500.4</v>
      </c>
      <c r="AJ1023" s="22" t="str">
        <f aca="false">INDEX('Tabela Passaro'!$X$2:$X$1795,$N1023)</f>
        <v>INTERIOR 1</v>
      </c>
    </row>
    <row r="1024" customFormat="false" ht="15" hidden="false" customHeight="false" outlineLevel="0" collapsed="false">
      <c r="A1024" s="22" t="s">
        <v>18</v>
      </c>
      <c r="B1024" s="22" t="n">
        <v>3</v>
      </c>
      <c r="C1024" s="22" t="s">
        <v>116</v>
      </c>
      <c r="D1024" s="22" t="s">
        <v>32</v>
      </c>
      <c r="E1024" s="22" t="s">
        <v>7326</v>
      </c>
      <c r="F1024" s="22" t="n">
        <v>905940</v>
      </c>
      <c r="G1024" s="30" t="n">
        <v>46255</v>
      </c>
      <c r="H1024" s="22" t="n">
        <v>627843</v>
      </c>
      <c r="I1024" s="22" t="s">
        <v>8278</v>
      </c>
      <c r="J1024" s="31" t="n">
        <v>69.11</v>
      </c>
      <c r="K1024" s="26" t="n">
        <v>850.48</v>
      </c>
      <c r="L1024" s="26" t="n">
        <v>163.95</v>
      </c>
      <c r="M1024" s="22" t="s">
        <v>3184</v>
      </c>
      <c r="N1024" s="22" t="n">
        <f aca="false">MATCH(M1024,'Tabela Passaro'!$A$2:$A$1795,0)</f>
        <v>735</v>
      </c>
      <c r="O1024" s="22" t="str">
        <f aca="false">INDEX('Tabela Passaro'!$C$2:$C$1795,$N1024)</f>
        <v>SAO JOSE DE RIBAMAR</v>
      </c>
      <c r="P1024" s="22" t="str">
        <f aca="false">INDEX('Tabela Passaro'!$B$2:$B$1795,$N1024)</f>
        <v>MA</v>
      </c>
      <c r="Q1024" s="22" t="n">
        <f aca="false">INDEX('Tabela Passaro'!$F$2:$F$1795,$N1024)</f>
        <v>13</v>
      </c>
      <c r="R1024" s="32" t="n">
        <f aca="false">IF(J1024&lt;=10,INDEX('Tabela Passaro'!$G$2:$G$1795,$N1024),IF(J1024&lt;=30,INDEX('Tabela Passaro'!$H$2:$H$1795,$N1024),IF(J1024&lt;=50,INDEX('Tabela Passaro'!$I$2:$I$1795,$N1024),IF(J1024&lt;=70,INDEX('Tabela Passaro'!$J$2:$J$1795,$N1024),IF(J1024&lt;=100,INDEX('Tabela Passaro'!$K$2:$K$1795,$N1024),INDEX('Tabela Passaro'!$K$2:$K$1795,$N1024)+(J1024-100)*INDEX('Tabela Passaro'!$L$2:$L$1795,$N1024))))))</f>
        <v>259</v>
      </c>
      <c r="S1024" s="32" t="n">
        <f aca="false">K1024*INDEX('Tabela Passaro'!$M$2:$M$1795,$N1024)</f>
        <v>4.2524</v>
      </c>
      <c r="T1024" s="32" t="n">
        <f aca="false">K1024*INDEX('Tabela Passaro'!$N$2:$N$1795,$N1024)</f>
        <v>1.70096</v>
      </c>
      <c r="U1024" s="32" t="n">
        <f aca="false">INDEX('Tabela Passaro'!$O$2:$O$1795,$N1024)</f>
        <v>5</v>
      </c>
      <c r="V1024" s="32" t="n">
        <f aca="false">ROUNDUP(J1024/INDEX('Tabela Passaro'!$Q$2:$Q$1795,$N1024),0)*INDEX('Tabela Passaro'!$P$2:$P$1795,$N1024)</f>
        <v>5</v>
      </c>
      <c r="W1024" s="32" t="n">
        <f aca="false">INDEX('Tabela Passaro'!$R$2:$R$1795,$N1024)</f>
        <v>30</v>
      </c>
      <c r="X1024" s="32" t="n">
        <f aca="false">ROUNDUP(J1024/INDEX('Tabela Passaro'!$T$2:$T$1795,$N1024),0)*INDEX('Tabela Passaro'!$S$2:$S$1795,$N1024)</f>
        <v>0</v>
      </c>
      <c r="Y1024" s="32" t="n">
        <f aca="false">INDEX('Tabela Passaro'!$U$2:$U$1795,$N1024)</f>
        <v>0</v>
      </c>
      <c r="Z1024" s="32" t="n">
        <f aca="false">INDEX('Tabela Passaro'!$V$2:$V$1795,$N1024)</f>
        <v>0</v>
      </c>
      <c r="AA1024" s="32" t="n">
        <f aca="false">SUM(R1024:Z1024)</f>
        <v>304.95336</v>
      </c>
      <c r="AB1024" s="33" t="n">
        <f aca="false">INDEX(Premissas!$B$5:$B$13,MATCH(A1024,Premissas!$A$5:$A$13,0))</f>
        <v>0.07</v>
      </c>
      <c r="AC1024" s="32" t="n">
        <f aca="false">AA1024/(1-AB1024)-AA1024</f>
        <v>22.9534787096774</v>
      </c>
      <c r="AD1024" s="32" t="n">
        <f aca="false">ROUND(AA1024+AC1024,2)</f>
        <v>327.91</v>
      </c>
      <c r="AE1024" s="32" t="n">
        <f aca="false">AD1024-L1024</f>
        <v>163.96</v>
      </c>
      <c r="AF1024" s="34" t="n">
        <f aca="false">IF(L1024=0,0,AE1024/L1024)</f>
        <v>1.00006099420555</v>
      </c>
      <c r="AG1024" s="22" t="str">
        <f aca="false">IF(AD1024&lt;L1024,"PASSARO","ATUAL")</f>
        <v>ATUAL</v>
      </c>
      <c r="AH1024" s="22" t="str">
        <f aca="false">IF(P1024&lt;&gt;A1024,"Faixa cadastrada como "&amp;P1024&amp;" na tabela; preço aplicado pela UF do CEP","")</f>
        <v/>
      </c>
      <c r="AI1024" s="26" t="n">
        <v>367.52</v>
      </c>
      <c r="AJ1024" s="22" t="str">
        <f aca="false">INDEX('Tabela Passaro'!$X$2:$X$1795,$N1024)</f>
        <v>INTERIOR 1</v>
      </c>
    </row>
    <row r="1025" customFormat="false" ht="15" hidden="false" customHeight="false" outlineLevel="0" collapsed="false">
      <c r="A1025" s="22" t="s">
        <v>18</v>
      </c>
      <c r="B1025" s="22" t="n">
        <v>3</v>
      </c>
      <c r="C1025" s="22" t="s">
        <v>116</v>
      </c>
      <c r="D1025" s="22" t="s">
        <v>32</v>
      </c>
      <c r="E1025" s="22" t="s">
        <v>7326</v>
      </c>
      <c r="F1025" s="22" t="n">
        <v>906318</v>
      </c>
      <c r="G1025" s="30" t="n">
        <v>46258</v>
      </c>
      <c r="H1025" s="22" t="n">
        <v>628230</v>
      </c>
      <c r="I1025" s="22" t="s">
        <v>8279</v>
      </c>
      <c r="J1025" s="31" t="n">
        <v>74.06</v>
      </c>
      <c r="K1025" s="26" t="n">
        <v>1267.93</v>
      </c>
      <c r="L1025" s="26" t="n">
        <v>180.4</v>
      </c>
      <c r="M1025" s="22" t="s">
        <v>3184</v>
      </c>
      <c r="N1025" s="22" t="n">
        <f aca="false">MATCH(M1025,'Tabela Passaro'!$A$2:$A$1795,0)</f>
        <v>735</v>
      </c>
      <c r="O1025" s="22" t="str">
        <f aca="false">INDEX('Tabela Passaro'!$C$2:$C$1795,$N1025)</f>
        <v>SAO JOSE DE RIBAMAR</v>
      </c>
      <c r="P1025" s="22" t="str">
        <f aca="false">INDEX('Tabela Passaro'!$B$2:$B$1795,$N1025)</f>
        <v>MA</v>
      </c>
      <c r="Q1025" s="22" t="n">
        <f aca="false">INDEX('Tabela Passaro'!$F$2:$F$1795,$N1025)</f>
        <v>13</v>
      </c>
      <c r="R1025" s="32" t="n">
        <f aca="false">IF(J1025&lt;=10,INDEX('Tabela Passaro'!$G$2:$G$1795,$N1025),IF(J1025&lt;=30,INDEX('Tabela Passaro'!$H$2:$H$1795,$N1025),IF(J1025&lt;=50,INDEX('Tabela Passaro'!$I$2:$I$1795,$N1025),IF(J1025&lt;=70,INDEX('Tabela Passaro'!$J$2:$J$1795,$N1025),IF(J1025&lt;=100,INDEX('Tabela Passaro'!$K$2:$K$1795,$N1025),INDEX('Tabela Passaro'!$K$2:$K$1795,$N1025)+(J1025-100)*INDEX('Tabela Passaro'!$L$2:$L$1795,$N1025))))))</f>
        <v>275.6</v>
      </c>
      <c r="S1025" s="32" t="n">
        <f aca="false">K1025*INDEX('Tabela Passaro'!$M$2:$M$1795,$N1025)</f>
        <v>6.33965</v>
      </c>
      <c r="T1025" s="32" t="n">
        <f aca="false">K1025*INDEX('Tabela Passaro'!$N$2:$N$1795,$N1025)</f>
        <v>2.53586</v>
      </c>
      <c r="U1025" s="32" t="n">
        <f aca="false">INDEX('Tabela Passaro'!$O$2:$O$1795,$N1025)</f>
        <v>5</v>
      </c>
      <c r="V1025" s="32" t="n">
        <f aca="false">ROUNDUP(J1025/INDEX('Tabela Passaro'!$Q$2:$Q$1795,$N1025),0)*INDEX('Tabela Passaro'!$P$2:$P$1795,$N1025)</f>
        <v>5</v>
      </c>
      <c r="W1025" s="32" t="n">
        <f aca="false">INDEX('Tabela Passaro'!$R$2:$R$1795,$N1025)</f>
        <v>30</v>
      </c>
      <c r="X1025" s="32" t="n">
        <f aca="false">ROUNDUP(J1025/INDEX('Tabela Passaro'!$T$2:$T$1795,$N1025),0)*INDEX('Tabela Passaro'!$S$2:$S$1795,$N1025)</f>
        <v>0</v>
      </c>
      <c r="Y1025" s="32" t="n">
        <f aca="false">INDEX('Tabela Passaro'!$U$2:$U$1795,$N1025)</f>
        <v>0</v>
      </c>
      <c r="Z1025" s="32" t="n">
        <f aca="false">INDEX('Tabela Passaro'!$V$2:$V$1795,$N1025)</f>
        <v>0</v>
      </c>
      <c r="AA1025" s="32" t="n">
        <f aca="false">SUM(R1025:Z1025)</f>
        <v>324.47551</v>
      </c>
      <c r="AB1025" s="33" t="n">
        <f aca="false">INDEX(Premissas!$B$5:$B$13,MATCH(A1025,Premissas!$A$5:$A$13,0))</f>
        <v>0.07</v>
      </c>
      <c r="AC1025" s="32" t="n">
        <f aca="false">AA1025/(1-AB1025)-AA1025</f>
        <v>24.4228878494624</v>
      </c>
      <c r="AD1025" s="32" t="n">
        <f aca="false">ROUND(AA1025+AC1025,2)</f>
        <v>348.9</v>
      </c>
      <c r="AE1025" s="32" t="n">
        <f aca="false">AD1025-L1025</f>
        <v>168.5</v>
      </c>
      <c r="AF1025" s="34" t="n">
        <f aca="false">IF(L1025=0,0,AE1025/L1025)</f>
        <v>0.934035476718403</v>
      </c>
      <c r="AG1025" s="22" t="str">
        <f aca="false">IF(AD1025&lt;L1025,"PASSARO","ATUAL")</f>
        <v>ATUAL</v>
      </c>
      <c r="AH1025" s="22" t="str">
        <f aca="false">IF(P1025&lt;&gt;A1025,"Faixa cadastrada como "&amp;P1025&amp;" na tabela; preço aplicado pela UF do CEP","")</f>
        <v/>
      </c>
      <c r="AI1025" s="26" t="n">
        <v>392.76</v>
      </c>
      <c r="AJ1025" s="22" t="str">
        <f aca="false">INDEX('Tabela Passaro'!$X$2:$X$1795,$N1025)</f>
        <v>INTERIOR 1</v>
      </c>
    </row>
    <row r="1026" customFormat="false" ht="15" hidden="false" customHeight="false" outlineLevel="0" collapsed="false">
      <c r="A1026" s="22" t="s">
        <v>18</v>
      </c>
      <c r="B1026" s="22" t="n">
        <v>3</v>
      </c>
      <c r="C1026" s="22" t="s">
        <v>116</v>
      </c>
      <c r="D1026" s="22" t="s">
        <v>32</v>
      </c>
      <c r="E1026" s="22" t="s">
        <v>7326</v>
      </c>
      <c r="F1026" s="22" t="n">
        <v>906330</v>
      </c>
      <c r="G1026" s="30" t="n">
        <v>46258</v>
      </c>
      <c r="H1026" s="22" t="n">
        <v>628370</v>
      </c>
      <c r="I1026" s="22" t="s">
        <v>8280</v>
      </c>
      <c r="J1026" s="31" t="n">
        <v>108.1</v>
      </c>
      <c r="K1026" s="26" t="n">
        <v>1439.76</v>
      </c>
      <c r="L1026" s="26" t="n">
        <v>237.04</v>
      </c>
      <c r="M1026" s="22" t="s">
        <v>3184</v>
      </c>
      <c r="N1026" s="22" t="n">
        <f aca="false">MATCH(M1026,'Tabela Passaro'!$A$2:$A$1795,0)</f>
        <v>735</v>
      </c>
      <c r="O1026" s="22" t="str">
        <f aca="false">INDEX('Tabela Passaro'!$C$2:$C$1795,$N1026)</f>
        <v>SAO JOSE DE RIBAMAR</v>
      </c>
      <c r="P1026" s="22" t="str">
        <f aca="false">INDEX('Tabela Passaro'!$B$2:$B$1795,$N1026)</f>
        <v>MA</v>
      </c>
      <c r="Q1026" s="22" t="n">
        <f aca="false">INDEX('Tabela Passaro'!$F$2:$F$1795,$N1026)</f>
        <v>13</v>
      </c>
      <c r="R1026" s="32" t="n">
        <f aca="false">IF(J1026&lt;=10,INDEX('Tabela Passaro'!$G$2:$G$1795,$N1026),IF(J1026&lt;=30,INDEX('Tabela Passaro'!$H$2:$H$1795,$N1026),IF(J1026&lt;=50,INDEX('Tabela Passaro'!$I$2:$I$1795,$N1026),IF(J1026&lt;=70,INDEX('Tabela Passaro'!$J$2:$J$1795,$N1026),IF(J1026&lt;=100,INDEX('Tabela Passaro'!$K$2:$K$1795,$N1026),INDEX('Tabela Passaro'!$K$2:$K$1795,$N1026)+(J1026-100)*INDEX('Tabela Passaro'!$L$2:$L$1795,$N1026))))))</f>
        <v>295.607</v>
      </c>
      <c r="S1026" s="32" t="n">
        <f aca="false">K1026*INDEX('Tabela Passaro'!$M$2:$M$1795,$N1026)</f>
        <v>7.1988</v>
      </c>
      <c r="T1026" s="32" t="n">
        <f aca="false">K1026*INDEX('Tabela Passaro'!$N$2:$N$1795,$N1026)</f>
        <v>2.87952</v>
      </c>
      <c r="U1026" s="32" t="n">
        <f aca="false">INDEX('Tabela Passaro'!$O$2:$O$1795,$N1026)</f>
        <v>5</v>
      </c>
      <c r="V1026" s="32" t="n">
        <f aca="false">ROUNDUP(J1026/INDEX('Tabela Passaro'!$Q$2:$Q$1795,$N1026),0)*INDEX('Tabela Passaro'!$P$2:$P$1795,$N1026)</f>
        <v>10</v>
      </c>
      <c r="W1026" s="32" t="n">
        <f aca="false">INDEX('Tabela Passaro'!$R$2:$R$1795,$N1026)</f>
        <v>30</v>
      </c>
      <c r="X1026" s="32" t="n">
        <f aca="false">ROUNDUP(J1026/INDEX('Tabela Passaro'!$T$2:$T$1795,$N1026),0)*INDEX('Tabela Passaro'!$S$2:$S$1795,$N1026)</f>
        <v>0</v>
      </c>
      <c r="Y1026" s="32" t="n">
        <f aca="false">INDEX('Tabela Passaro'!$U$2:$U$1795,$N1026)</f>
        <v>0</v>
      </c>
      <c r="Z1026" s="32" t="n">
        <f aca="false">INDEX('Tabela Passaro'!$V$2:$V$1795,$N1026)</f>
        <v>0</v>
      </c>
      <c r="AA1026" s="32" t="n">
        <f aca="false">SUM(R1026:Z1026)</f>
        <v>350.68532</v>
      </c>
      <c r="AB1026" s="33" t="n">
        <f aca="false">INDEX(Premissas!$B$5:$B$13,MATCH(A1026,Premissas!$A$5:$A$13,0))</f>
        <v>0.07</v>
      </c>
      <c r="AC1026" s="32" t="n">
        <f aca="false">AA1026/(1-AB1026)-AA1026</f>
        <v>26.3956692473118</v>
      </c>
      <c r="AD1026" s="32" t="n">
        <f aca="false">ROUND(AA1026+AC1026,2)</f>
        <v>377.08</v>
      </c>
      <c r="AE1026" s="32" t="n">
        <f aca="false">AD1026-L1026</f>
        <v>140.04</v>
      </c>
      <c r="AF1026" s="34" t="n">
        <f aca="false">IF(L1026=0,0,AE1026/L1026)</f>
        <v>0.590786365170435</v>
      </c>
      <c r="AG1026" s="22" t="str">
        <f aca="false">IF(AD1026&lt;L1026,"PASSARO","ATUAL")</f>
        <v>ATUAL</v>
      </c>
      <c r="AH1026" s="22" t="str">
        <f aca="false">IF(P1026&lt;&gt;A1026,"Faixa cadastrada como "&amp;P1026&amp;" na tabela; preço aplicado pela UF do CEP","")</f>
        <v/>
      </c>
      <c r="AI1026" s="26" t="n">
        <v>440.47</v>
      </c>
      <c r="AJ1026" s="22" t="str">
        <f aca="false">INDEX('Tabela Passaro'!$X$2:$X$1795,$N1026)</f>
        <v>INTERIOR 1</v>
      </c>
    </row>
    <row r="1027" customFormat="false" ht="15" hidden="false" customHeight="false" outlineLevel="0" collapsed="false">
      <c r="A1027" s="22" t="s">
        <v>18</v>
      </c>
      <c r="B1027" s="22" t="n">
        <v>3</v>
      </c>
      <c r="C1027" s="22" t="s">
        <v>116</v>
      </c>
      <c r="D1027" s="22" t="s">
        <v>32</v>
      </c>
      <c r="E1027" s="22" t="s">
        <v>7326</v>
      </c>
      <c r="F1027" s="22" t="n">
        <v>907097</v>
      </c>
      <c r="G1027" s="30" t="n">
        <v>46260</v>
      </c>
      <c r="H1027" s="22" t="n">
        <v>629725</v>
      </c>
      <c r="I1027" s="22" t="s">
        <v>8281</v>
      </c>
      <c r="J1027" s="31" t="n">
        <v>66.4</v>
      </c>
      <c r="K1027" s="26" t="n">
        <v>984.88</v>
      </c>
      <c r="L1027" s="26" t="n">
        <v>165.68</v>
      </c>
      <c r="M1027" s="22" t="s">
        <v>3184</v>
      </c>
      <c r="N1027" s="22" t="n">
        <f aca="false">MATCH(M1027,'Tabela Passaro'!$A$2:$A$1795,0)</f>
        <v>735</v>
      </c>
      <c r="O1027" s="22" t="str">
        <f aca="false">INDEX('Tabela Passaro'!$C$2:$C$1795,$N1027)</f>
        <v>SAO JOSE DE RIBAMAR</v>
      </c>
      <c r="P1027" s="22" t="str">
        <f aca="false">INDEX('Tabela Passaro'!$B$2:$B$1795,$N1027)</f>
        <v>MA</v>
      </c>
      <c r="Q1027" s="22" t="n">
        <f aca="false">INDEX('Tabela Passaro'!$F$2:$F$1795,$N1027)</f>
        <v>13</v>
      </c>
      <c r="R1027" s="32" t="n">
        <f aca="false">IF(J1027&lt;=10,INDEX('Tabela Passaro'!$G$2:$G$1795,$N1027),IF(J1027&lt;=30,INDEX('Tabela Passaro'!$H$2:$H$1795,$N1027),IF(J1027&lt;=50,INDEX('Tabela Passaro'!$I$2:$I$1795,$N1027),IF(J1027&lt;=70,INDEX('Tabela Passaro'!$J$2:$J$1795,$N1027),IF(J1027&lt;=100,INDEX('Tabela Passaro'!$K$2:$K$1795,$N1027),INDEX('Tabela Passaro'!$K$2:$K$1795,$N1027)+(J1027-100)*INDEX('Tabela Passaro'!$L$2:$L$1795,$N1027))))))</f>
        <v>259</v>
      </c>
      <c r="S1027" s="32" t="n">
        <f aca="false">K1027*INDEX('Tabela Passaro'!$M$2:$M$1795,$N1027)</f>
        <v>4.9244</v>
      </c>
      <c r="T1027" s="32" t="n">
        <f aca="false">K1027*INDEX('Tabela Passaro'!$N$2:$N$1795,$N1027)</f>
        <v>1.96976</v>
      </c>
      <c r="U1027" s="32" t="n">
        <f aca="false">INDEX('Tabela Passaro'!$O$2:$O$1795,$N1027)</f>
        <v>5</v>
      </c>
      <c r="V1027" s="32" t="n">
        <f aca="false">ROUNDUP(J1027/INDEX('Tabela Passaro'!$Q$2:$Q$1795,$N1027),0)*INDEX('Tabela Passaro'!$P$2:$P$1795,$N1027)</f>
        <v>5</v>
      </c>
      <c r="W1027" s="32" t="n">
        <f aca="false">INDEX('Tabela Passaro'!$R$2:$R$1795,$N1027)</f>
        <v>30</v>
      </c>
      <c r="X1027" s="32" t="n">
        <f aca="false">ROUNDUP(J1027/INDEX('Tabela Passaro'!$T$2:$T$1795,$N1027),0)*INDEX('Tabela Passaro'!$S$2:$S$1795,$N1027)</f>
        <v>0</v>
      </c>
      <c r="Y1027" s="32" t="n">
        <f aca="false">INDEX('Tabela Passaro'!$U$2:$U$1795,$N1027)</f>
        <v>0</v>
      </c>
      <c r="Z1027" s="32" t="n">
        <f aca="false">INDEX('Tabela Passaro'!$V$2:$V$1795,$N1027)</f>
        <v>0</v>
      </c>
      <c r="AA1027" s="32" t="n">
        <f aca="false">SUM(R1027:Z1027)</f>
        <v>305.89416</v>
      </c>
      <c r="AB1027" s="33" t="n">
        <f aca="false">INDEX(Premissas!$B$5:$B$13,MATCH(A1027,Premissas!$A$5:$A$13,0))</f>
        <v>0.07</v>
      </c>
      <c r="AC1027" s="32" t="n">
        <f aca="false">AA1027/(1-AB1027)-AA1027</f>
        <v>23.0242916129033</v>
      </c>
      <c r="AD1027" s="32" t="n">
        <f aca="false">ROUND(AA1027+AC1027,2)</f>
        <v>328.92</v>
      </c>
      <c r="AE1027" s="32" t="n">
        <f aca="false">AD1027-L1027</f>
        <v>163.24</v>
      </c>
      <c r="AF1027" s="34" t="n">
        <f aca="false">IF(L1027=0,0,AE1027/L1027)</f>
        <v>0.985272815065186</v>
      </c>
      <c r="AG1027" s="22" t="str">
        <f aca="false">IF(AD1027&lt;L1027,"PASSARO","ATUAL")</f>
        <v>ATUAL</v>
      </c>
      <c r="AH1027" s="22" t="str">
        <f aca="false">IF(P1027&lt;&gt;A1027,"Faixa cadastrada como "&amp;P1027&amp;" na tabela; preço aplicado pela UF do CEP","")</f>
        <v/>
      </c>
      <c r="AI1027" s="26" t="n">
        <v>367.37</v>
      </c>
      <c r="AJ1027" s="22" t="str">
        <f aca="false">INDEX('Tabela Passaro'!$X$2:$X$1795,$N1027)</f>
        <v>INTERIOR 1</v>
      </c>
    </row>
    <row r="1028" customFormat="false" ht="15" hidden="false" customHeight="false" outlineLevel="0" collapsed="false">
      <c r="A1028" s="22" t="s">
        <v>18</v>
      </c>
      <c r="B1028" s="22" t="n">
        <v>3</v>
      </c>
      <c r="C1028" s="22" t="s">
        <v>116</v>
      </c>
      <c r="D1028" s="22" t="s">
        <v>32</v>
      </c>
      <c r="E1028" s="22" t="s">
        <v>7326</v>
      </c>
      <c r="F1028" s="22" t="n">
        <v>907853</v>
      </c>
      <c r="G1028" s="30" t="n">
        <v>46262</v>
      </c>
      <c r="H1028" s="22" t="n">
        <v>630226</v>
      </c>
      <c r="I1028" s="22" t="s">
        <v>8282</v>
      </c>
      <c r="J1028" s="31" t="n">
        <v>73.1</v>
      </c>
      <c r="K1028" s="26" t="n">
        <v>1200.7</v>
      </c>
      <c r="L1028" s="26" t="n">
        <v>179.53</v>
      </c>
      <c r="M1028" s="22" t="s">
        <v>3184</v>
      </c>
      <c r="N1028" s="22" t="n">
        <f aca="false">MATCH(M1028,'Tabela Passaro'!$A$2:$A$1795,0)</f>
        <v>735</v>
      </c>
      <c r="O1028" s="22" t="str">
        <f aca="false">INDEX('Tabela Passaro'!$C$2:$C$1795,$N1028)</f>
        <v>SAO JOSE DE RIBAMAR</v>
      </c>
      <c r="P1028" s="22" t="str">
        <f aca="false">INDEX('Tabela Passaro'!$B$2:$B$1795,$N1028)</f>
        <v>MA</v>
      </c>
      <c r="Q1028" s="22" t="n">
        <f aca="false">INDEX('Tabela Passaro'!$F$2:$F$1795,$N1028)</f>
        <v>13</v>
      </c>
      <c r="R1028" s="32" t="n">
        <f aca="false">IF(J1028&lt;=10,INDEX('Tabela Passaro'!$G$2:$G$1795,$N1028),IF(J1028&lt;=30,INDEX('Tabela Passaro'!$H$2:$H$1795,$N1028),IF(J1028&lt;=50,INDEX('Tabela Passaro'!$I$2:$I$1795,$N1028),IF(J1028&lt;=70,INDEX('Tabela Passaro'!$J$2:$J$1795,$N1028),IF(J1028&lt;=100,INDEX('Tabela Passaro'!$K$2:$K$1795,$N1028),INDEX('Tabela Passaro'!$K$2:$K$1795,$N1028)+(J1028-100)*INDEX('Tabela Passaro'!$L$2:$L$1795,$N1028))))))</f>
        <v>275.6</v>
      </c>
      <c r="S1028" s="32" t="n">
        <f aca="false">K1028*INDEX('Tabela Passaro'!$M$2:$M$1795,$N1028)</f>
        <v>6.0035</v>
      </c>
      <c r="T1028" s="32" t="n">
        <f aca="false">K1028*INDEX('Tabela Passaro'!$N$2:$N$1795,$N1028)</f>
        <v>2.4014</v>
      </c>
      <c r="U1028" s="32" t="n">
        <f aca="false">INDEX('Tabela Passaro'!$O$2:$O$1795,$N1028)</f>
        <v>5</v>
      </c>
      <c r="V1028" s="32" t="n">
        <f aca="false">ROUNDUP(J1028/INDEX('Tabela Passaro'!$Q$2:$Q$1795,$N1028),0)*INDEX('Tabela Passaro'!$P$2:$P$1795,$N1028)</f>
        <v>5</v>
      </c>
      <c r="W1028" s="32" t="n">
        <f aca="false">INDEX('Tabela Passaro'!$R$2:$R$1795,$N1028)</f>
        <v>30</v>
      </c>
      <c r="X1028" s="32" t="n">
        <f aca="false">ROUNDUP(J1028/INDEX('Tabela Passaro'!$T$2:$T$1795,$N1028),0)*INDEX('Tabela Passaro'!$S$2:$S$1795,$N1028)</f>
        <v>0</v>
      </c>
      <c r="Y1028" s="32" t="n">
        <f aca="false">INDEX('Tabela Passaro'!$U$2:$U$1795,$N1028)</f>
        <v>0</v>
      </c>
      <c r="Z1028" s="32" t="n">
        <f aca="false">INDEX('Tabela Passaro'!$V$2:$V$1795,$N1028)</f>
        <v>0</v>
      </c>
      <c r="AA1028" s="32" t="n">
        <f aca="false">SUM(R1028:Z1028)</f>
        <v>324.0049</v>
      </c>
      <c r="AB1028" s="33" t="n">
        <f aca="false">INDEX(Premissas!$B$5:$B$13,MATCH(A1028,Premissas!$A$5:$A$13,0))</f>
        <v>0.07</v>
      </c>
      <c r="AC1028" s="32" t="n">
        <f aca="false">AA1028/(1-AB1028)-AA1028</f>
        <v>24.3874655913979</v>
      </c>
      <c r="AD1028" s="32" t="n">
        <f aca="false">ROUND(AA1028+AC1028,2)</f>
        <v>348.39</v>
      </c>
      <c r="AE1028" s="32" t="n">
        <f aca="false">AD1028-L1028</f>
        <v>168.86</v>
      </c>
      <c r="AF1028" s="34" t="n">
        <f aca="false">IF(L1028=0,0,AE1028/L1028)</f>
        <v>0.940567036149947</v>
      </c>
      <c r="AG1028" s="22" t="str">
        <f aca="false">IF(AD1028&lt;L1028,"PASSARO","ATUAL")</f>
        <v>ATUAL</v>
      </c>
      <c r="AH1028" s="22" t="str">
        <f aca="false">IF(P1028&lt;&gt;A1028,"Faixa cadastrada como "&amp;P1028&amp;" na tabela; preço aplicado pela UF do CEP","")</f>
        <v/>
      </c>
      <c r="AI1028" s="26" t="n">
        <v>391.63</v>
      </c>
      <c r="AJ1028" s="22" t="str">
        <f aca="false">INDEX('Tabela Passaro'!$X$2:$X$1795,$N1028)</f>
        <v>INTERIOR 1</v>
      </c>
    </row>
    <row r="1029" customFormat="false" ht="15" hidden="false" customHeight="false" outlineLevel="0" collapsed="false">
      <c r="A1029" s="22" t="s">
        <v>18</v>
      </c>
      <c r="B1029" s="22" t="n">
        <v>3</v>
      </c>
      <c r="C1029" s="22" t="s">
        <v>116</v>
      </c>
      <c r="D1029" s="22" t="s">
        <v>30</v>
      </c>
      <c r="E1029" s="22" t="s">
        <v>20</v>
      </c>
      <c r="F1029" s="22" t="n">
        <v>837680</v>
      </c>
      <c r="G1029" s="30" t="n">
        <v>46237</v>
      </c>
      <c r="H1029" s="22" t="n">
        <v>32357</v>
      </c>
      <c r="I1029" s="22" t="s">
        <v>8283</v>
      </c>
      <c r="J1029" s="31" t="n">
        <v>33</v>
      </c>
      <c r="K1029" s="26" t="n">
        <v>569.06</v>
      </c>
      <c r="L1029" s="26" t="n">
        <v>169.36</v>
      </c>
      <c r="M1029" s="22" t="s">
        <v>3184</v>
      </c>
      <c r="N1029" s="22" t="n">
        <f aca="false">MATCH(M1029,'Tabela Passaro'!$A$2:$A$1795,0)</f>
        <v>735</v>
      </c>
      <c r="O1029" s="22" t="str">
        <f aca="false">INDEX('Tabela Passaro'!$C$2:$C$1795,$N1029)</f>
        <v>SAO JOSE DE RIBAMAR</v>
      </c>
      <c r="P1029" s="22" t="str">
        <f aca="false">INDEX('Tabela Passaro'!$B$2:$B$1795,$N1029)</f>
        <v>MA</v>
      </c>
      <c r="Q1029" s="22" t="n">
        <f aca="false">INDEX('Tabela Passaro'!$F$2:$F$1795,$N1029)</f>
        <v>13</v>
      </c>
      <c r="R1029" s="32" t="n">
        <f aca="false">IF(J1029&lt;=10,INDEX('Tabela Passaro'!$G$2:$G$1795,$N1029),IF(J1029&lt;=30,INDEX('Tabela Passaro'!$H$2:$H$1795,$N1029),IF(J1029&lt;=50,INDEX('Tabela Passaro'!$I$2:$I$1795,$N1029),IF(J1029&lt;=70,INDEX('Tabela Passaro'!$J$2:$J$1795,$N1029),IF(J1029&lt;=100,INDEX('Tabela Passaro'!$K$2:$K$1795,$N1029),INDEX('Tabela Passaro'!$K$2:$K$1795,$N1029)+(J1029-100)*INDEX('Tabela Passaro'!$L$2:$L$1795,$N1029))))))</f>
        <v>242.41</v>
      </c>
      <c r="S1029" s="32" t="n">
        <f aca="false">K1029*INDEX('Tabela Passaro'!$M$2:$M$1795,$N1029)</f>
        <v>2.8453</v>
      </c>
      <c r="T1029" s="32" t="n">
        <f aca="false">K1029*INDEX('Tabela Passaro'!$N$2:$N$1795,$N1029)</f>
        <v>1.13812</v>
      </c>
      <c r="U1029" s="32" t="n">
        <f aca="false">INDEX('Tabela Passaro'!$O$2:$O$1795,$N1029)</f>
        <v>5</v>
      </c>
      <c r="V1029" s="32" t="n">
        <f aca="false">ROUNDUP(J1029/INDEX('Tabela Passaro'!$Q$2:$Q$1795,$N1029),0)*INDEX('Tabela Passaro'!$P$2:$P$1795,$N1029)</f>
        <v>5</v>
      </c>
      <c r="W1029" s="32" t="n">
        <f aca="false">INDEX('Tabela Passaro'!$R$2:$R$1795,$N1029)</f>
        <v>30</v>
      </c>
      <c r="X1029" s="32" t="n">
        <f aca="false">ROUNDUP(J1029/INDEX('Tabela Passaro'!$T$2:$T$1795,$N1029),0)*INDEX('Tabela Passaro'!$S$2:$S$1795,$N1029)</f>
        <v>0</v>
      </c>
      <c r="Y1029" s="32" t="n">
        <f aca="false">INDEX('Tabela Passaro'!$U$2:$U$1795,$N1029)</f>
        <v>0</v>
      </c>
      <c r="Z1029" s="32" t="n">
        <f aca="false">INDEX('Tabela Passaro'!$V$2:$V$1795,$N1029)</f>
        <v>0</v>
      </c>
      <c r="AA1029" s="32" t="n">
        <f aca="false">SUM(R1029:Z1029)</f>
        <v>286.39342</v>
      </c>
      <c r="AB1029" s="33" t="n">
        <f aca="false">INDEX(Premissas!$B$5:$B$13,MATCH(A1029,Premissas!$A$5:$A$13,0))</f>
        <v>0.07</v>
      </c>
      <c r="AC1029" s="32" t="n">
        <f aca="false">AA1029/(1-AB1029)-AA1029</f>
        <v>21.5564939784946</v>
      </c>
      <c r="AD1029" s="32" t="n">
        <f aca="false">ROUND(AA1029+AC1029,2)</f>
        <v>307.95</v>
      </c>
      <c r="AE1029" s="32" t="n">
        <f aca="false">AD1029-L1029</f>
        <v>138.59</v>
      </c>
      <c r="AF1029" s="34" t="n">
        <f aca="false">IF(L1029=0,0,AE1029/L1029)</f>
        <v>0.818316013226263</v>
      </c>
      <c r="AG1029" s="22" t="str">
        <f aca="false">IF(AD1029&lt;L1029,"PASSARO","ATUAL")</f>
        <v>ATUAL</v>
      </c>
      <c r="AH1029" s="22" t="str">
        <f aca="false">IF(P1029&lt;&gt;A1029,"Faixa cadastrada como "&amp;P1029&amp;" na tabela; preço aplicado pela UF do CEP","")</f>
        <v/>
      </c>
      <c r="AI1029" s="26" t="n">
        <v>328.1</v>
      </c>
      <c r="AJ1029" s="22" t="str">
        <f aca="false">INDEX('Tabela Passaro'!$X$2:$X$1795,$N1029)</f>
        <v>INTERIOR 1</v>
      </c>
    </row>
    <row r="1030" customFormat="false" ht="15" hidden="false" customHeight="false" outlineLevel="0" collapsed="false">
      <c r="A1030" s="22" t="s">
        <v>18</v>
      </c>
      <c r="B1030" s="22" t="n">
        <v>3</v>
      </c>
      <c r="C1030" s="22" t="s">
        <v>116</v>
      </c>
      <c r="D1030" s="22" t="s">
        <v>30</v>
      </c>
      <c r="E1030" s="22" t="s">
        <v>7328</v>
      </c>
      <c r="F1030" s="22" t="n">
        <v>2312376</v>
      </c>
      <c r="G1030" s="30" t="n">
        <v>46248</v>
      </c>
      <c r="H1030" s="22" t="n">
        <v>133278</v>
      </c>
      <c r="I1030" s="22" t="s">
        <v>8284</v>
      </c>
      <c r="J1030" s="31" t="n">
        <v>51.06</v>
      </c>
      <c r="K1030" s="26" t="n">
        <v>872.58</v>
      </c>
      <c r="L1030" s="26" t="n">
        <v>233.72</v>
      </c>
      <c r="M1030" s="22" t="s">
        <v>3184</v>
      </c>
      <c r="N1030" s="22" t="n">
        <f aca="false">MATCH(M1030,'Tabela Passaro'!$A$2:$A$1795,0)</f>
        <v>735</v>
      </c>
      <c r="O1030" s="22" t="str">
        <f aca="false">INDEX('Tabela Passaro'!$C$2:$C$1795,$N1030)</f>
        <v>SAO JOSE DE RIBAMAR</v>
      </c>
      <c r="P1030" s="22" t="str">
        <f aca="false">INDEX('Tabela Passaro'!$B$2:$B$1795,$N1030)</f>
        <v>MA</v>
      </c>
      <c r="Q1030" s="22" t="n">
        <f aca="false">INDEX('Tabela Passaro'!$F$2:$F$1795,$N1030)</f>
        <v>13</v>
      </c>
      <c r="R1030" s="32" t="n">
        <f aca="false">IF(J1030&lt;=10,INDEX('Tabela Passaro'!$G$2:$G$1795,$N1030),IF(J1030&lt;=30,INDEX('Tabela Passaro'!$H$2:$H$1795,$N1030),IF(J1030&lt;=50,INDEX('Tabela Passaro'!$I$2:$I$1795,$N1030),IF(J1030&lt;=70,INDEX('Tabela Passaro'!$J$2:$J$1795,$N1030),IF(J1030&lt;=100,INDEX('Tabela Passaro'!$K$2:$K$1795,$N1030),INDEX('Tabela Passaro'!$K$2:$K$1795,$N1030)+(J1030-100)*INDEX('Tabela Passaro'!$L$2:$L$1795,$N1030))))))</f>
        <v>259</v>
      </c>
      <c r="S1030" s="32" t="n">
        <f aca="false">K1030*INDEX('Tabela Passaro'!$M$2:$M$1795,$N1030)</f>
        <v>4.3629</v>
      </c>
      <c r="T1030" s="32" t="n">
        <f aca="false">K1030*INDEX('Tabela Passaro'!$N$2:$N$1795,$N1030)</f>
        <v>1.74516</v>
      </c>
      <c r="U1030" s="32" t="n">
        <f aca="false">INDEX('Tabela Passaro'!$O$2:$O$1795,$N1030)</f>
        <v>5</v>
      </c>
      <c r="V1030" s="32" t="n">
        <f aca="false">ROUNDUP(J1030/INDEX('Tabela Passaro'!$Q$2:$Q$1795,$N1030),0)*INDEX('Tabela Passaro'!$P$2:$P$1795,$N1030)</f>
        <v>5</v>
      </c>
      <c r="W1030" s="32" t="n">
        <f aca="false">INDEX('Tabela Passaro'!$R$2:$R$1795,$N1030)</f>
        <v>30</v>
      </c>
      <c r="X1030" s="32" t="n">
        <f aca="false">ROUNDUP(J1030/INDEX('Tabela Passaro'!$T$2:$T$1795,$N1030),0)*INDEX('Tabela Passaro'!$S$2:$S$1795,$N1030)</f>
        <v>0</v>
      </c>
      <c r="Y1030" s="32" t="n">
        <f aca="false">INDEX('Tabela Passaro'!$U$2:$U$1795,$N1030)</f>
        <v>0</v>
      </c>
      <c r="Z1030" s="32" t="n">
        <f aca="false">INDEX('Tabela Passaro'!$V$2:$V$1795,$N1030)</f>
        <v>0</v>
      </c>
      <c r="AA1030" s="32" t="n">
        <f aca="false">SUM(R1030:Z1030)</f>
        <v>305.10806</v>
      </c>
      <c r="AB1030" s="33" t="n">
        <f aca="false">INDEX(Premissas!$B$5:$B$13,MATCH(A1030,Premissas!$A$5:$A$13,0))</f>
        <v>0.07</v>
      </c>
      <c r="AC1030" s="32" t="n">
        <f aca="false">AA1030/(1-AB1030)-AA1030</f>
        <v>22.965122795699</v>
      </c>
      <c r="AD1030" s="32" t="n">
        <f aca="false">ROUND(AA1030+AC1030,2)</f>
        <v>328.07</v>
      </c>
      <c r="AE1030" s="32" t="n">
        <f aca="false">AD1030-L1030</f>
        <v>94.35</v>
      </c>
      <c r="AF1030" s="34" t="n">
        <f aca="false">IF(L1030=0,0,AE1030/L1030)</f>
        <v>0.403688173883279</v>
      </c>
      <c r="AG1030" s="22" t="str">
        <f aca="false">IF(AD1030&lt;L1030,"PASSARO","ATUAL")</f>
        <v>ATUAL</v>
      </c>
      <c r="AH1030" s="22" t="str">
        <f aca="false">IF(P1030&lt;&gt;A1030,"Faixa cadastrada como "&amp;P1030&amp;" na tabela; preço aplicado pela UF do CEP","")</f>
        <v/>
      </c>
      <c r="AI1030" s="26" t="n">
        <v>359.02</v>
      </c>
      <c r="AJ1030" s="22" t="str">
        <f aca="false">INDEX('Tabela Passaro'!$X$2:$X$1795,$N1030)</f>
        <v>INTERIOR 1</v>
      </c>
    </row>
    <row r="1031" customFormat="false" ht="15" hidden="false" customHeight="false" outlineLevel="0" collapsed="false">
      <c r="A1031" s="22" t="s">
        <v>18</v>
      </c>
      <c r="B1031" s="22" t="n">
        <v>3</v>
      </c>
      <c r="C1031" s="22" t="s">
        <v>116</v>
      </c>
      <c r="D1031" s="22" t="s">
        <v>30</v>
      </c>
      <c r="E1031" s="22" t="s">
        <v>7328</v>
      </c>
      <c r="F1031" s="22" t="n">
        <v>2312420</v>
      </c>
      <c r="G1031" s="30" t="n">
        <v>46248</v>
      </c>
      <c r="H1031" s="22" t="n">
        <v>133332</v>
      </c>
      <c r="I1031" s="22" t="s">
        <v>8285</v>
      </c>
      <c r="J1031" s="31" t="n">
        <v>51.06</v>
      </c>
      <c r="K1031" s="26" t="n">
        <v>872.98</v>
      </c>
      <c r="L1031" s="26" t="n">
        <v>233.72</v>
      </c>
      <c r="M1031" s="22" t="s">
        <v>3184</v>
      </c>
      <c r="N1031" s="22" t="n">
        <f aca="false">MATCH(M1031,'Tabela Passaro'!$A$2:$A$1795,0)</f>
        <v>735</v>
      </c>
      <c r="O1031" s="22" t="str">
        <f aca="false">INDEX('Tabela Passaro'!$C$2:$C$1795,$N1031)</f>
        <v>SAO JOSE DE RIBAMAR</v>
      </c>
      <c r="P1031" s="22" t="str">
        <f aca="false">INDEX('Tabela Passaro'!$B$2:$B$1795,$N1031)</f>
        <v>MA</v>
      </c>
      <c r="Q1031" s="22" t="n">
        <f aca="false">INDEX('Tabela Passaro'!$F$2:$F$1795,$N1031)</f>
        <v>13</v>
      </c>
      <c r="R1031" s="32" t="n">
        <f aca="false">IF(J1031&lt;=10,INDEX('Tabela Passaro'!$G$2:$G$1795,$N1031),IF(J1031&lt;=30,INDEX('Tabela Passaro'!$H$2:$H$1795,$N1031),IF(J1031&lt;=50,INDEX('Tabela Passaro'!$I$2:$I$1795,$N1031),IF(J1031&lt;=70,INDEX('Tabela Passaro'!$J$2:$J$1795,$N1031),IF(J1031&lt;=100,INDEX('Tabela Passaro'!$K$2:$K$1795,$N1031),INDEX('Tabela Passaro'!$K$2:$K$1795,$N1031)+(J1031-100)*INDEX('Tabela Passaro'!$L$2:$L$1795,$N1031))))))</f>
        <v>259</v>
      </c>
      <c r="S1031" s="32" t="n">
        <f aca="false">K1031*INDEX('Tabela Passaro'!$M$2:$M$1795,$N1031)</f>
        <v>4.3649</v>
      </c>
      <c r="T1031" s="32" t="n">
        <f aca="false">K1031*INDEX('Tabela Passaro'!$N$2:$N$1795,$N1031)</f>
        <v>1.74596</v>
      </c>
      <c r="U1031" s="32" t="n">
        <f aca="false">INDEX('Tabela Passaro'!$O$2:$O$1795,$N1031)</f>
        <v>5</v>
      </c>
      <c r="V1031" s="32" t="n">
        <f aca="false">ROUNDUP(J1031/INDEX('Tabela Passaro'!$Q$2:$Q$1795,$N1031),0)*INDEX('Tabela Passaro'!$P$2:$P$1795,$N1031)</f>
        <v>5</v>
      </c>
      <c r="W1031" s="32" t="n">
        <f aca="false">INDEX('Tabela Passaro'!$R$2:$R$1795,$N1031)</f>
        <v>30</v>
      </c>
      <c r="X1031" s="32" t="n">
        <f aca="false">ROUNDUP(J1031/INDEX('Tabela Passaro'!$T$2:$T$1795,$N1031),0)*INDEX('Tabela Passaro'!$S$2:$S$1795,$N1031)</f>
        <v>0</v>
      </c>
      <c r="Y1031" s="32" t="n">
        <f aca="false">INDEX('Tabela Passaro'!$U$2:$U$1795,$N1031)</f>
        <v>0</v>
      </c>
      <c r="Z1031" s="32" t="n">
        <f aca="false">INDEX('Tabela Passaro'!$V$2:$V$1795,$N1031)</f>
        <v>0</v>
      </c>
      <c r="AA1031" s="32" t="n">
        <f aca="false">SUM(R1031:Z1031)</f>
        <v>305.11086</v>
      </c>
      <c r="AB1031" s="33" t="n">
        <f aca="false">INDEX(Premissas!$B$5:$B$13,MATCH(A1031,Premissas!$A$5:$A$13,0))</f>
        <v>0.07</v>
      </c>
      <c r="AC1031" s="32" t="n">
        <f aca="false">AA1031/(1-AB1031)-AA1031</f>
        <v>22.9653335483871</v>
      </c>
      <c r="AD1031" s="32" t="n">
        <f aca="false">ROUND(AA1031+AC1031,2)</f>
        <v>328.08</v>
      </c>
      <c r="AE1031" s="32" t="n">
        <f aca="false">AD1031-L1031</f>
        <v>94.36</v>
      </c>
      <c r="AF1031" s="34" t="n">
        <f aca="false">IF(L1031=0,0,AE1031/L1031)</f>
        <v>0.403730960123224</v>
      </c>
      <c r="AG1031" s="22" t="str">
        <f aca="false">IF(AD1031&lt;L1031,"PASSARO","ATUAL")</f>
        <v>ATUAL</v>
      </c>
      <c r="AH1031" s="22" t="str">
        <f aca="false">IF(P1031&lt;&gt;A1031,"Faixa cadastrada como "&amp;P1031&amp;" na tabela; preço aplicado pela UF do CEP","")</f>
        <v/>
      </c>
      <c r="AI1031" s="26" t="n">
        <v>359.03</v>
      </c>
      <c r="AJ1031" s="22" t="str">
        <f aca="false">INDEX('Tabela Passaro'!$X$2:$X$1795,$N1031)</f>
        <v>INTERIOR 1</v>
      </c>
    </row>
    <row r="1032" customFormat="false" ht="15" hidden="false" customHeight="false" outlineLevel="0" collapsed="false">
      <c r="A1032" s="22" t="s">
        <v>18</v>
      </c>
      <c r="B1032" s="22" t="n">
        <v>3</v>
      </c>
      <c r="C1032" s="22" t="s">
        <v>116</v>
      </c>
      <c r="D1032" s="22" t="s">
        <v>30</v>
      </c>
      <c r="E1032" s="22" t="s">
        <v>7328</v>
      </c>
      <c r="F1032" s="22" t="n">
        <v>2314451</v>
      </c>
      <c r="G1032" s="30" t="n">
        <v>46254</v>
      </c>
      <c r="H1032" s="22" t="n">
        <v>134293</v>
      </c>
      <c r="I1032" s="22" t="s">
        <v>8286</v>
      </c>
      <c r="J1032" s="31" t="n">
        <v>67.8</v>
      </c>
      <c r="K1032" s="26" t="n">
        <v>1310.15</v>
      </c>
      <c r="L1032" s="26" t="n">
        <v>237.2</v>
      </c>
      <c r="M1032" s="22" t="s">
        <v>3184</v>
      </c>
      <c r="N1032" s="22" t="n">
        <f aca="false">MATCH(M1032,'Tabela Passaro'!$A$2:$A$1795,0)</f>
        <v>735</v>
      </c>
      <c r="O1032" s="22" t="str">
        <f aca="false">INDEX('Tabela Passaro'!$C$2:$C$1795,$N1032)</f>
        <v>SAO JOSE DE RIBAMAR</v>
      </c>
      <c r="P1032" s="22" t="str">
        <f aca="false">INDEX('Tabela Passaro'!$B$2:$B$1795,$N1032)</f>
        <v>MA</v>
      </c>
      <c r="Q1032" s="22" t="n">
        <f aca="false">INDEX('Tabela Passaro'!$F$2:$F$1795,$N1032)</f>
        <v>13</v>
      </c>
      <c r="R1032" s="32" t="n">
        <f aca="false">IF(J1032&lt;=10,INDEX('Tabela Passaro'!$G$2:$G$1795,$N1032),IF(J1032&lt;=30,INDEX('Tabela Passaro'!$H$2:$H$1795,$N1032),IF(J1032&lt;=50,INDEX('Tabela Passaro'!$I$2:$I$1795,$N1032),IF(J1032&lt;=70,INDEX('Tabela Passaro'!$J$2:$J$1795,$N1032),IF(J1032&lt;=100,INDEX('Tabela Passaro'!$K$2:$K$1795,$N1032),INDEX('Tabela Passaro'!$K$2:$K$1795,$N1032)+(J1032-100)*INDEX('Tabela Passaro'!$L$2:$L$1795,$N1032))))))</f>
        <v>259</v>
      </c>
      <c r="S1032" s="32" t="n">
        <f aca="false">K1032*INDEX('Tabela Passaro'!$M$2:$M$1795,$N1032)</f>
        <v>6.55075</v>
      </c>
      <c r="T1032" s="32" t="n">
        <f aca="false">K1032*INDEX('Tabela Passaro'!$N$2:$N$1795,$N1032)</f>
        <v>2.6203</v>
      </c>
      <c r="U1032" s="32" t="n">
        <f aca="false">INDEX('Tabela Passaro'!$O$2:$O$1795,$N1032)</f>
        <v>5</v>
      </c>
      <c r="V1032" s="32" t="n">
        <f aca="false">ROUNDUP(J1032/INDEX('Tabela Passaro'!$Q$2:$Q$1795,$N1032),0)*INDEX('Tabela Passaro'!$P$2:$P$1795,$N1032)</f>
        <v>5</v>
      </c>
      <c r="W1032" s="32" t="n">
        <f aca="false">INDEX('Tabela Passaro'!$R$2:$R$1795,$N1032)</f>
        <v>30</v>
      </c>
      <c r="X1032" s="32" t="n">
        <f aca="false">ROUNDUP(J1032/INDEX('Tabela Passaro'!$T$2:$T$1795,$N1032),0)*INDEX('Tabela Passaro'!$S$2:$S$1795,$N1032)</f>
        <v>0</v>
      </c>
      <c r="Y1032" s="32" t="n">
        <f aca="false">INDEX('Tabela Passaro'!$U$2:$U$1795,$N1032)</f>
        <v>0</v>
      </c>
      <c r="Z1032" s="32" t="n">
        <f aca="false">INDEX('Tabela Passaro'!$V$2:$V$1795,$N1032)</f>
        <v>0</v>
      </c>
      <c r="AA1032" s="32" t="n">
        <f aca="false">SUM(R1032:Z1032)</f>
        <v>308.17105</v>
      </c>
      <c r="AB1032" s="33" t="n">
        <f aca="false">INDEX(Premissas!$B$5:$B$13,MATCH(A1032,Premissas!$A$5:$A$13,0))</f>
        <v>0.07</v>
      </c>
      <c r="AC1032" s="32" t="n">
        <f aca="false">AA1032/(1-AB1032)-AA1032</f>
        <v>23.1956704301076</v>
      </c>
      <c r="AD1032" s="32" t="n">
        <f aca="false">ROUND(AA1032+AC1032,2)</f>
        <v>331.37</v>
      </c>
      <c r="AE1032" s="32" t="n">
        <f aca="false">AD1032-L1032</f>
        <v>94.17</v>
      </c>
      <c r="AF1032" s="34" t="n">
        <f aca="false">IF(L1032=0,0,AE1032/L1032)</f>
        <v>0.397006745362563</v>
      </c>
      <c r="AG1032" s="22" t="str">
        <f aca="false">IF(AD1032&lt;L1032,"PASSARO","ATUAL")</f>
        <v>ATUAL</v>
      </c>
      <c r="AH1032" s="22" t="str">
        <f aca="false">IF(P1032&lt;&gt;A1032,"Faixa cadastrada como "&amp;P1032&amp;" na tabela; preço aplicado pela UF do CEP","")</f>
        <v/>
      </c>
      <c r="AI1032" s="26" t="n">
        <v>371</v>
      </c>
      <c r="AJ1032" s="22" t="str">
        <f aca="false">INDEX('Tabela Passaro'!$X$2:$X$1795,$N1032)</f>
        <v>INTERIOR 1</v>
      </c>
    </row>
    <row r="1033" customFormat="false" ht="15" hidden="false" customHeight="false" outlineLevel="0" collapsed="false">
      <c r="A1033" s="22" t="s">
        <v>18</v>
      </c>
      <c r="B1033" s="22" t="n">
        <v>3</v>
      </c>
      <c r="C1033" s="22" t="s">
        <v>116</v>
      </c>
      <c r="D1033" s="22" t="s">
        <v>30</v>
      </c>
      <c r="E1033" s="22" t="s">
        <v>20</v>
      </c>
      <c r="F1033" s="22" t="n">
        <v>839925</v>
      </c>
      <c r="G1033" s="30" t="n">
        <v>46258</v>
      </c>
      <c r="H1033" s="22" t="n">
        <v>32606</v>
      </c>
      <c r="I1033" s="22" t="s">
        <v>8287</v>
      </c>
      <c r="J1033" s="31" t="n">
        <v>27.6</v>
      </c>
      <c r="K1033" s="26" t="n">
        <v>798.01</v>
      </c>
      <c r="L1033" s="26" t="n">
        <v>129.47</v>
      </c>
      <c r="M1033" s="22" t="s">
        <v>3184</v>
      </c>
      <c r="N1033" s="22" t="n">
        <f aca="false">MATCH(M1033,'Tabela Passaro'!$A$2:$A$1795,0)</f>
        <v>735</v>
      </c>
      <c r="O1033" s="22" t="str">
        <f aca="false">INDEX('Tabela Passaro'!$C$2:$C$1795,$N1033)</f>
        <v>SAO JOSE DE RIBAMAR</v>
      </c>
      <c r="P1033" s="22" t="str">
        <f aca="false">INDEX('Tabela Passaro'!$B$2:$B$1795,$N1033)</f>
        <v>MA</v>
      </c>
      <c r="Q1033" s="22" t="n">
        <f aca="false">INDEX('Tabela Passaro'!$F$2:$F$1795,$N1033)</f>
        <v>13</v>
      </c>
      <c r="R1033" s="32" t="n">
        <f aca="false">IF(J1033&lt;=10,INDEX('Tabela Passaro'!$G$2:$G$1795,$N1033),IF(J1033&lt;=30,INDEX('Tabela Passaro'!$H$2:$H$1795,$N1033),IF(J1033&lt;=50,INDEX('Tabela Passaro'!$I$2:$I$1795,$N1033),IF(J1033&lt;=70,INDEX('Tabela Passaro'!$J$2:$J$1795,$N1033),IF(J1033&lt;=100,INDEX('Tabela Passaro'!$K$2:$K$1795,$N1033),INDEX('Tabela Passaro'!$K$2:$K$1795,$N1033)+(J1033-100)*INDEX('Tabela Passaro'!$L$2:$L$1795,$N1033))))))</f>
        <v>220.27</v>
      </c>
      <c r="S1033" s="32" t="n">
        <f aca="false">K1033*INDEX('Tabela Passaro'!$M$2:$M$1795,$N1033)</f>
        <v>3.99005</v>
      </c>
      <c r="T1033" s="32" t="n">
        <f aca="false">K1033*INDEX('Tabela Passaro'!$N$2:$N$1795,$N1033)</f>
        <v>1.59602</v>
      </c>
      <c r="U1033" s="32" t="n">
        <f aca="false">INDEX('Tabela Passaro'!$O$2:$O$1795,$N1033)</f>
        <v>5</v>
      </c>
      <c r="V1033" s="32" t="n">
        <f aca="false">ROUNDUP(J1033/INDEX('Tabela Passaro'!$Q$2:$Q$1795,$N1033),0)*INDEX('Tabela Passaro'!$P$2:$P$1795,$N1033)</f>
        <v>5</v>
      </c>
      <c r="W1033" s="32" t="n">
        <f aca="false">INDEX('Tabela Passaro'!$R$2:$R$1795,$N1033)</f>
        <v>30</v>
      </c>
      <c r="X1033" s="32" t="n">
        <f aca="false">ROUNDUP(J1033/INDEX('Tabela Passaro'!$T$2:$T$1795,$N1033),0)*INDEX('Tabela Passaro'!$S$2:$S$1795,$N1033)</f>
        <v>0</v>
      </c>
      <c r="Y1033" s="32" t="n">
        <f aca="false">INDEX('Tabela Passaro'!$U$2:$U$1795,$N1033)</f>
        <v>0</v>
      </c>
      <c r="Z1033" s="32" t="n">
        <f aca="false">INDEX('Tabela Passaro'!$V$2:$V$1795,$N1033)</f>
        <v>0</v>
      </c>
      <c r="AA1033" s="32" t="n">
        <f aca="false">SUM(R1033:Z1033)</f>
        <v>265.85607</v>
      </c>
      <c r="AB1033" s="33" t="n">
        <f aca="false">INDEX(Premissas!$B$5:$B$13,MATCH(A1033,Premissas!$A$5:$A$13,0))</f>
        <v>0.07</v>
      </c>
      <c r="AC1033" s="32" t="n">
        <f aca="false">AA1033/(1-AB1033)-AA1033</f>
        <v>20.0106719354839</v>
      </c>
      <c r="AD1033" s="32" t="n">
        <f aca="false">ROUND(AA1033+AC1033,2)</f>
        <v>285.87</v>
      </c>
      <c r="AE1033" s="32" t="n">
        <f aca="false">AD1033-L1033</f>
        <v>156.4</v>
      </c>
      <c r="AF1033" s="34" t="n">
        <f aca="false">IF(L1033=0,0,AE1033/L1033)</f>
        <v>1.20800185371128</v>
      </c>
      <c r="AG1033" s="22" t="str">
        <f aca="false">IF(AD1033&lt;L1033,"PASSARO","ATUAL")</f>
        <v>ATUAL</v>
      </c>
      <c r="AH1033" s="22" t="str">
        <f aca="false">IF(P1033&lt;&gt;A1033,"Faixa cadastrada como "&amp;P1033&amp;" na tabela; preço aplicado pela UF do CEP","")</f>
        <v/>
      </c>
      <c r="AI1033" s="26" t="n">
        <v>302.85</v>
      </c>
      <c r="AJ1033" s="22" t="str">
        <f aca="false">INDEX('Tabela Passaro'!$X$2:$X$1795,$N1033)</f>
        <v>INTERIOR 1</v>
      </c>
    </row>
    <row r="1034" customFormat="false" ht="15" hidden="false" customHeight="false" outlineLevel="0" collapsed="false">
      <c r="A1034" s="22" t="s">
        <v>18</v>
      </c>
      <c r="B1034" s="22" t="n">
        <v>3</v>
      </c>
      <c r="C1034" s="22" t="s">
        <v>116</v>
      </c>
      <c r="D1034" s="22" t="s">
        <v>30</v>
      </c>
      <c r="E1034" s="22" t="s">
        <v>7328</v>
      </c>
      <c r="F1034" s="22" t="n">
        <v>2315647</v>
      </c>
      <c r="G1034" s="30" t="n">
        <v>46258</v>
      </c>
      <c r="H1034" s="22" t="n">
        <v>134373</v>
      </c>
      <c r="I1034" s="22" t="s">
        <v>8288</v>
      </c>
      <c r="J1034" s="31" t="n">
        <v>124.2</v>
      </c>
      <c r="K1034" s="26" t="n">
        <v>2278.54</v>
      </c>
      <c r="L1034" s="26" t="n">
        <v>363.79</v>
      </c>
      <c r="M1034" s="22" t="s">
        <v>3184</v>
      </c>
      <c r="N1034" s="22" t="n">
        <f aca="false">MATCH(M1034,'Tabela Passaro'!$A$2:$A$1795,0)</f>
        <v>735</v>
      </c>
      <c r="O1034" s="22" t="str">
        <f aca="false">INDEX('Tabela Passaro'!$C$2:$C$1795,$N1034)</f>
        <v>SAO JOSE DE RIBAMAR</v>
      </c>
      <c r="P1034" s="22" t="str">
        <f aca="false">INDEX('Tabela Passaro'!$B$2:$B$1795,$N1034)</f>
        <v>MA</v>
      </c>
      <c r="Q1034" s="22" t="n">
        <f aca="false">INDEX('Tabela Passaro'!$F$2:$F$1795,$N1034)</f>
        <v>13</v>
      </c>
      <c r="R1034" s="32" t="n">
        <f aca="false">IF(J1034&lt;=10,INDEX('Tabela Passaro'!$G$2:$G$1795,$N1034),IF(J1034&lt;=30,INDEX('Tabela Passaro'!$H$2:$H$1795,$N1034),IF(J1034&lt;=50,INDEX('Tabela Passaro'!$I$2:$I$1795,$N1034),IF(J1034&lt;=70,INDEX('Tabela Passaro'!$J$2:$J$1795,$N1034),IF(J1034&lt;=100,INDEX('Tabela Passaro'!$K$2:$K$1795,$N1034),INDEX('Tabela Passaro'!$K$2:$K$1795,$N1034)+(J1034-100)*INDEX('Tabela Passaro'!$L$2:$L$1795,$N1034))))))</f>
        <v>335.374</v>
      </c>
      <c r="S1034" s="32" t="n">
        <f aca="false">K1034*INDEX('Tabela Passaro'!$M$2:$M$1795,$N1034)</f>
        <v>11.3927</v>
      </c>
      <c r="T1034" s="32" t="n">
        <f aca="false">K1034*INDEX('Tabela Passaro'!$N$2:$N$1795,$N1034)</f>
        <v>4.55708</v>
      </c>
      <c r="U1034" s="32" t="n">
        <f aca="false">INDEX('Tabela Passaro'!$O$2:$O$1795,$N1034)</f>
        <v>5</v>
      </c>
      <c r="V1034" s="32" t="n">
        <f aca="false">ROUNDUP(J1034/INDEX('Tabela Passaro'!$Q$2:$Q$1795,$N1034),0)*INDEX('Tabela Passaro'!$P$2:$P$1795,$N1034)</f>
        <v>10</v>
      </c>
      <c r="W1034" s="32" t="n">
        <f aca="false">INDEX('Tabela Passaro'!$R$2:$R$1795,$N1034)</f>
        <v>30</v>
      </c>
      <c r="X1034" s="32" t="n">
        <f aca="false">ROUNDUP(J1034/INDEX('Tabela Passaro'!$T$2:$T$1795,$N1034),0)*INDEX('Tabela Passaro'!$S$2:$S$1795,$N1034)</f>
        <v>0</v>
      </c>
      <c r="Y1034" s="32" t="n">
        <f aca="false">INDEX('Tabela Passaro'!$U$2:$U$1795,$N1034)</f>
        <v>0</v>
      </c>
      <c r="Z1034" s="32" t="n">
        <f aca="false">INDEX('Tabela Passaro'!$V$2:$V$1795,$N1034)</f>
        <v>0</v>
      </c>
      <c r="AA1034" s="32" t="n">
        <f aca="false">SUM(R1034:Z1034)</f>
        <v>396.32378</v>
      </c>
      <c r="AB1034" s="33" t="n">
        <f aca="false">INDEX(Premissas!$B$5:$B$13,MATCH(A1034,Premissas!$A$5:$A$13,0))</f>
        <v>0.07</v>
      </c>
      <c r="AC1034" s="32" t="n">
        <f aca="false">AA1034/(1-AB1034)-AA1034</f>
        <v>29.8308221505376</v>
      </c>
      <c r="AD1034" s="32" t="n">
        <f aca="false">ROUND(AA1034+AC1034,2)</f>
        <v>426.15</v>
      </c>
      <c r="AE1034" s="32" t="n">
        <f aca="false">AD1034-L1034</f>
        <v>62.36</v>
      </c>
      <c r="AF1034" s="34" t="n">
        <f aca="false">IF(L1034=0,0,AE1034/L1034)</f>
        <v>0.171417576074109</v>
      </c>
      <c r="AG1034" s="22" t="str">
        <f aca="false">IF(AD1034&lt;L1034,"PASSARO","ATUAL")</f>
        <v>ATUAL</v>
      </c>
      <c r="AH1034" s="22" t="str">
        <f aca="false">IF(P1034&lt;&gt;A1034,"Faixa cadastrada como "&amp;P1034&amp;" na tabela; preço aplicado pela UF do CEP","")</f>
        <v/>
      </c>
      <c r="AI1034" s="26" t="n">
        <v>504.45</v>
      </c>
      <c r="AJ1034" s="22" t="str">
        <f aca="false">INDEX('Tabela Passaro'!$X$2:$X$1795,$N1034)</f>
        <v>INTERIOR 1</v>
      </c>
    </row>
    <row r="1035" customFormat="false" ht="15" hidden="false" customHeight="false" outlineLevel="0" collapsed="false">
      <c r="A1035" s="22" t="s">
        <v>18</v>
      </c>
      <c r="B1035" s="22" t="n">
        <v>3</v>
      </c>
      <c r="C1035" s="22" t="s">
        <v>116</v>
      </c>
      <c r="D1035" s="22" t="s">
        <v>30</v>
      </c>
      <c r="E1035" s="22" t="s">
        <v>20</v>
      </c>
      <c r="F1035" s="22" t="n">
        <v>840016</v>
      </c>
      <c r="G1035" s="30" t="n">
        <v>46259</v>
      </c>
      <c r="H1035" s="22" t="n">
        <v>32664</v>
      </c>
      <c r="I1035" s="22" t="s">
        <v>8289</v>
      </c>
      <c r="J1035" s="31" t="n">
        <v>106.8</v>
      </c>
      <c r="K1035" s="26" t="n">
        <v>1416.52</v>
      </c>
      <c r="L1035" s="26" t="n">
        <v>296.76</v>
      </c>
      <c r="M1035" s="22" t="s">
        <v>3184</v>
      </c>
      <c r="N1035" s="22" t="n">
        <f aca="false">MATCH(M1035,'Tabela Passaro'!$A$2:$A$1795,0)</f>
        <v>735</v>
      </c>
      <c r="O1035" s="22" t="str">
        <f aca="false">INDEX('Tabela Passaro'!$C$2:$C$1795,$N1035)</f>
        <v>SAO JOSE DE RIBAMAR</v>
      </c>
      <c r="P1035" s="22" t="str">
        <f aca="false">INDEX('Tabela Passaro'!$B$2:$B$1795,$N1035)</f>
        <v>MA</v>
      </c>
      <c r="Q1035" s="22" t="n">
        <f aca="false">INDEX('Tabela Passaro'!$F$2:$F$1795,$N1035)</f>
        <v>13</v>
      </c>
      <c r="R1035" s="32" t="n">
        <f aca="false">IF(J1035&lt;=10,INDEX('Tabela Passaro'!$G$2:$G$1795,$N1035),IF(J1035&lt;=30,INDEX('Tabela Passaro'!$H$2:$H$1795,$N1035),IF(J1035&lt;=50,INDEX('Tabela Passaro'!$I$2:$I$1795,$N1035),IF(J1035&lt;=70,INDEX('Tabela Passaro'!$J$2:$J$1795,$N1035),IF(J1035&lt;=100,INDEX('Tabela Passaro'!$K$2:$K$1795,$N1035),INDEX('Tabela Passaro'!$K$2:$K$1795,$N1035)+(J1035-100)*INDEX('Tabela Passaro'!$L$2:$L$1795,$N1035))))))</f>
        <v>292.396</v>
      </c>
      <c r="S1035" s="32" t="n">
        <f aca="false">K1035*INDEX('Tabela Passaro'!$M$2:$M$1795,$N1035)</f>
        <v>7.0826</v>
      </c>
      <c r="T1035" s="32" t="n">
        <f aca="false">K1035*INDEX('Tabela Passaro'!$N$2:$N$1795,$N1035)</f>
        <v>2.83304</v>
      </c>
      <c r="U1035" s="32" t="n">
        <f aca="false">INDEX('Tabela Passaro'!$O$2:$O$1795,$N1035)</f>
        <v>5</v>
      </c>
      <c r="V1035" s="32" t="n">
        <f aca="false">ROUNDUP(J1035/INDEX('Tabela Passaro'!$Q$2:$Q$1795,$N1035),0)*INDEX('Tabela Passaro'!$P$2:$P$1795,$N1035)</f>
        <v>10</v>
      </c>
      <c r="W1035" s="32" t="n">
        <f aca="false">INDEX('Tabela Passaro'!$R$2:$R$1795,$N1035)</f>
        <v>30</v>
      </c>
      <c r="X1035" s="32" t="n">
        <f aca="false">ROUNDUP(J1035/INDEX('Tabela Passaro'!$T$2:$T$1795,$N1035),0)*INDEX('Tabela Passaro'!$S$2:$S$1795,$N1035)</f>
        <v>0</v>
      </c>
      <c r="Y1035" s="32" t="n">
        <f aca="false">INDEX('Tabela Passaro'!$U$2:$U$1795,$N1035)</f>
        <v>0</v>
      </c>
      <c r="Z1035" s="32" t="n">
        <f aca="false">INDEX('Tabela Passaro'!$V$2:$V$1795,$N1035)</f>
        <v>0</v>
      </c>
      <c r="AA1035" s="32" t="n">
        <f aca="false">SUM(R1035:Z1035)</f>
        <v>347.31164</v>
      </c>
      <c r="AB1035" s="33" t="n">
        <f aca="false">INDEX(Premissas!$B$5:$B$13,MATCH(A1035,Premissas!$A$5:$A$13,0))</f>
        <v>0.07</v>
      </c>
      <c r="AC1035" s="32" t="n">
        <f aca="false">AA1035/(1-AB1035)-AA1035</f>
        <v>26.141736344086</v>
      </c>
      <c r="AD1035" s="32" t="n">
        <f aca="false">ROUND(AA1035+AC1035,2)</f>
        <v>373.45</v>
      </c>
      <c r="AE1035" s="32" t="n">
        <f aca="false">AD1035-L1035</f>
        <v>76.69</v>
      </c>
      <c r="AF1035" s="34" t="n">
        <f aca="false">IF(L1035=0,0,AE1035/L1035)</f>
        <v>0.258424315945545</v>
      </c>
      <c r="AG1035" s="22" t="str">
        <f aca="false">IF(AD1035&lt;L1035,"PASSARO","ATUAL")</f>
        <v>ATUAL</v>
      </c>
      <c r="AH1035" s="22" t="str">
        <f aca="false">IF(P1035&lt;&gt;A1035,"Faixa cadastrada como "&amp;P1035&amp;" na tabela; preço aplicado pela UF do CEP","")</f>
        <v/>
      </c>
      <c r="AI1035" s="26" t="n">
        <v>435.39</v>
      </c>
      <c r="AJ1035" s="22" t="str">
        <f aca="false">INDEX('Tabela Passaro'!$X$2:$X$1795,$N1035)</f>
        <v>INTERIOR 1</v>
      </c>
    </row>
    <row r="1036" customFormat="false" ht="15" hidden="false" customHeight="false" outlineLevel="0" collapsed="false">
      <c r="A1036" s="22" t="s">
        <v>18</v>
      </c>
      <c r="B1036" s="22" t="n">
        <v>3</v>
      </c>
      <c r="C1036" s="22" t="s">
        <v>116</v>
      </c>
      <c r="D1036" s="22" t="s">
        <v>31</v>
      </c>
      <c r="E1036" s="22" t="s">
        <v>7326</v>
      </c>
      <c r="F1036" s="22" t="n">
        <v>12782138</v>
      </c>
      <c r="G1036" s="30" t="n">
        <v>46247</v>
      </c>
      <c r="H1036" s="22" t="n">
        <v>624441</v>
      </c>
      <c r="I1036" s="22" t="s">
        <v>8290</v>
      </c>
      <c r="J1036" s="31" t="n">
        <v>19.4</v>
      </c>
      <c r="K1036" s="26" t="n">
        <v>465.26</v>
      </c>
      <c r="L1036" s="26" t="n">
        <v>90.67</v>
      </c>
      <c r="M1036" s="22" t="s">
        <v>3184</v>
      </c>
      <c r="N1036" s="22" t="n">
        <f aca="false">MATCH(M1036,'Tabela Passaro'!$A$2:$A$1795,0)</f>
        <v>735</v>
      </c>
      <c r="O1036" s="22" t="str">
        <f aca="false">INDEX('Tabela Passaro'!$C$2:$C$1795,$N1036)</f>
        <v>SAO JOSE DE RIBAMAR</v>
      </c>
      <c r="P1036" s="22" t="str">
        <f aca="false">INDEX('Tabela Passaro'!$B$2:$B$1795,$N1036)</f>
        <v>MA</v>
      </c>
      <c r="Q1036" s="22" t="n">
        <f aca="false">INDEX('Tabela Passaro'!$F$2:$F$1795,$N1036)</f>
        <v>13</v>
      </c>
      <c r="R1036" s="32" t="n">
        <f aca="false">IF(J1036&lt;=10,INDEX('Tabela Passaro'!$G$2:$G$1795,$N1036),IF(J1036&lt;=30,INDEX('Tabela Passaro'!$H$2:$H$1795,$N1036),IF(J1036&lt;=50,INDEX('Tabela Passaro'!$I$2:$I$1795,$N1036),IF(J1036&lt;=70,INDEX('Tabela Passaro'!$J$2:$J$1795,$N1036),IF(J1036&lt;=100,INDEX('Tabela Passaro'!$K$2:$K$1795,$N1036),INDEX('Tabela Passaro'!$K$2:$K$1795,$N1036)+(J1036-100)*INDEX('Tabela Passaro'!$L$2:$L$1795,$N1036))))))</f>
        <v>220.27</v>
      </c>
      <c r="S1036" s="32" t="n">
        <f aca="false">K1036*INDEX('Tabela Passaro'!$M$2:$M$1795,$N1036)</f>
        <v>2.3263</v>
      </c>
      <c r="T1036" s="32" t="n">
        <f aca="false">K1036*INDEX('Tabela Passaro'!$N$2:$N$1795,$N1036)</f>
        <v>0.93052</v>
      </c>
      <c r="U1036" s="32" t="n">
        <f aca="false">INDEX('Tabela Passaro'!$O$2:$O$1795,$N1036)</f>
        <v>5</v>
      </c>
      <c r="V1036" s="32" t="n">
        <f aca="false">ROUNDUP(J1036/INDEX('Tabela Passaro'!$Q$2:$Q$1795,$N1036),0)*INDEX('Tabela Passaro'!$P$2:$P$1795,$N1036)</f>
        <v>5</v>
      </c>
      <c r="W1036" s="32" t="n">
        <f aca="false">INDEX('Tabela Passaro'!$R$2:$R$1795,$N1036)</f>
        <v>30</v>
      </c>
      <c r="X1036" s="32" t="n">
        <f aca="false">ROUNDUP(J1036/INDEX('Tabela Passaro'!$T$2:$T$1795,$N1036),0)*INDEX('Tabela Passaro'!$S$2:$S$1795,$N1036)</f>
        <v>0</v>
      </c>
      <c r="Y1036" s="32" t="n">
        <f aca="false">INDEX('Tabela Passaro'!$U$2:$U$1795,$N1036)</f>
        <v>0</v>
      </c>
      <c r="Z1036" s="32" t="n">
        <f aca="false">INDEX('Tabela Passaro'!$V$2:$V$1795,$N1036)</f>
        <v>0</v>
      </c>
      <c r="AA1036" s="32" t="n">
        <f aca="false">SUM(R1036:Z1036)</f>
        <v>263.52682</v>
      </c>
      <c r="AB1036" s="33" t="n">
        <f aca="false">INDEX(Premissas!$B$5:$B$13,MATCH(A1036,Premissas!$A$5:$A$13,0))</f>
        <v>0.07</v>
      </c>
      <c r="AC1036" s="32" t="n">
        <f aca="false">AA1036/(1-AB1036)-AA1036</f>
        <v>19.8353520430108</v>
      </c>
      <c r="AD1036" s="32" t="n">
        <f aca="false">ROUND(AA1036+AC1036,2)</f>
        <v>283.36</v>
      </c>
      <c r="AE1036" s="32" t="n">
        <f aca="false">AD1036-L1036</f>
        <v>192.69</v>
      </c>
      <c r="AF1036" s="34" t="n">
        <f aca="false">IF(L1036=0,0,AE1036/L1036)</f>
        <v>2.12517922135216</v>
      </c>
      <c r="AG1036" s="22" t="str">
        <f aca="false">IF(AD1036&lt;L1036,"PASSARO","ATUAL")</f>
        <v>ATUAL</v>
      </c>
      <c r="AH1036" s="22" t="str">
        <f aca="false">IF(P1036&lt;&gt;A1036,"Faixa cadastrada como "&amp;P1036&amp;" na tabela; preço aplicado pela UF do CEP","")</f>
        <v/>
      </c>
      <c r="AI1036" s="26" t="n">
        <v>295.76</v>
      </c>
      <c r="AJ1036" s="22" t="str">
        <f aca="false">INDEX('Tabela Passaro'!$X$2:$X$1795,$N1036)</f>
        <v>INTERIOR 1</v>
      </c>
    </row>
    <row r="1037" customFormat="false" ht="15" hidden="false" customHeight="false" outlineLevel="0" collapsed="false">
      <c r="A1037" s="22" t="s">
        <v>18</v>
      </c>
      <c r="B1037" s="22" t="n">
        <v>4</v>
      </c>
      <c r="C1037" s="22" t="s">
        <v>118</v>
      </c>
      <c r="D1037" s="22" t="s">
        <v>32</v>
      </c>
      <c r="E1037" s="22" t="s">
        <v>7326</v>
      </c>
      <c r="F1037" s="22" t="n">
        <v>901702</v>
      </c>
      <c r="G1037" s="30" t="n">
        <v>46240</v>
      </c>
      <c r="H1037" s="22" t="n">
        <v>621034</v>
      </c>
      <c r="I1037" s="22" t="s">
        <v>8291</v>
      </c>
      <c r="J1037" s="31" t="n">
        <v>107.8</v>
      </c>
      <c r="K1037" s="26" t="n">
        <v>1651.29</v>
      </c>
      <c r="L1037" s="26" t="n">
        <v>307.39</v>
      </c>
      <c r="M1037" s="22" t="s">
        <v>3397</v>
      </c>
      <c r="N1037" s="22" t="n">
        <f aca="false">MATCH(M1037,'Tabela Passaro'!$A$2:$A$1795,0)</f>
        <v>789</v>
      </c>
      <c r="O1037" s="22" t="str">
        <f aca="false">INDEX('Tabela Passaro'!$C$2:$C$1795,$N1037)</f>
        <v>CAXIAS</v>
      </c>
      <c r="P1037" s="22" t="str">
        <f aca="false">INDEX('Tabela Passaro'!$B$2:$B$1795,$N1037)</f>
        <v>MA</v>
      </c>
      <c r="Q1037" s="22" t="n">
        <f aca="false">INDEX('Tabela Passaro'!$F$2:$F$1795,$N1037)</f>
        <v>17</v>
      </c>
      <c r="R1037" s="32" t="n">
        <f aca="false">IF(J1037&lt;=10,INDEX('Tabela Passaro'!$G$2:$G$1795,$N1037),IF(J1037&lt;=30,INDEX('Tabela Passaro'!$H$2:$H$1795,$N1037),IF(J1037&lt;=50,INDEX('Tabela Passaro'!$I$2:$I$1795,$N1037),IF(J1037&lt;=70,INDEX('Tabela Passaro'!$J$2:$J$1795,$N1037),IF(J1037&lt;=100,INDEX('Tabela Passaro'!$K$2:$K$1795,$N1037),INDEX('Tabela Passaro'!$K$2:$K$1795,$N1037)+(J1037-100)*INDEX('Tabela Passaro'!$L$2:$L$1795,$N1037))))))</f>
        <v>310.8</v>
      </c>
      <c r="S1037" s="32" t="n">
        <f aca="false">K1037*INDEX('Tabela Passaro'!$M$2:$M$1795,$N1037)</f>
        <v>8.25645</v>
      </c>
      <c r="T1037" s="32" t="n">
        <f aca="false">K1037*INDEX('Tabela Passaro'!$N$2:$N$1795,$N1037)</f>
        <v>3.30258</v>
      </c>
      <c r="U1037" s="32" t="n">
        <f aca="false">INDEX('Tabela Passaro'!$O$2:$O$1795,$N1037)</f>
        <v>5</v>
      </c>
      <c r="V1037" s="32" t="n">
        <f aca="false">ROUNDUP(J1037/INDEX('Tabela Passaro'!$Q$2:$Q$1795,$N1037),0)*INDEX('Tabela Passaro'!$P$2:$P$1795,$N1037)</f>
        <v>10</v>
      </c>
      <c r="W1037" s="32" t="n">
        <f aca="false">INDEX('Tabela Passaro'!$R$2:$R$1795,$N1037)</f>
        <v>30</v>
      </c>
      <c r="X1037" s="32" t="n">
        <f aca="false">ROUNDUP(J1037/INDEX('Tabela Passaro'!$T$2:$T$1795,$N1037),0)*INDEX('Tabela Passaro'!$S$2:$S$1795,$N1037)</f>
        <v>0</v>
      </c>
      <c r="Y1037" s="32" t="n">
        <f aca="false">INDEX('Tabela Passaro'!$U$2:$U$1795,$N1037)</f>
        <v>0</v>
      </c>
      <c r="Z1037" s="32" t="n">
        <f aca="false">INDEX('Tabela Passaro'!$V$2:$V$1795,$N1037)</f>
        <v>0</v>
      </c>
      <c r="AA1037" s="32" t="n">
        <f aca="false">SUM(R1037:Z1037)</f>
        <v>367.35903</v>
      </c>
      <c r="AB1037" s="33" t="n">
        <f aca="false">INDEX(Premissas!$B$5:$B$13,MATCH(A1037,Premissas!$A$5:$A$13,0))</f>
        <v>0.07</v>
      </c>
      <c r="AC1037" s="32" t="n">
        <f aca="false">AA1037/(1-AB1037)-AA1037</f>
        <v>27.6506796774194</v>
      </c>
      <c r="AD1037" s="32" t="n">
        <f aca="false">ROUND(AA1037+AC1037,2)</f>
        <v>395.01</v>
      </c>
      <c r="AE1037" s="32" t="n">
        <f aca="false">AD1037-L1037</f>
        <v>87.62</v>
      </c>
      <c r="AF1037" s="34" t="n">
        <f aca="false">IF(L1037=0,0,AE1037/L1037)</f>
        <v>0.285045056768275</v>
      </c>
      <c r="AG1037" s="22" t="str">
        <f aca="false">IF(AD1037&lt;L1037,"PASSARO","ATUAL")</f>
        <v>ATUAL</v>
      </c>
      <c r="AH1037" s="22" t="str">
        <f aca="false">IF(P1037&lt;&gt;A1037,"Faixa cadastrada como "&amp;P1037&amp;" na tabela; preço aplicado pela UF do CEP","")</f>
        <v/>
      </c>
      <c r="AI1037" s="26" t="n">
        <v>459.25</v>
      </c>
      <c r="AJ1037" s="22" t="str">
        <f aca="false">INDEX('Tabela Passaro'!$X$2:$X$1795,$N1037)</f>
        <v>INTERIOR 2</v>
      </c>
    </row>
    <row r="1038" customFormat="false" ht="15" hidden="false" customHeight="false" outlineLevel="0" collapsed="false">
      <c r="A1038" s="22" t="s">
        <v>18</v>
      </c>
      <c r="B1038" s="22" t="n">
        <v>4</v>
      </c>
      <c r="C1038" s="22" t="s">
        <v>118</v>
      </c>
      <c r="D1038" s="22" t="s">
        <v>32</v>
      </c>
      <c r="E1038" s="22" t="s">
        <v>7326</v>
      </c>
      <c r="F1038" s="22" t="n">
        <v>903149</v>
      </c>
      <c r="G1038" s="30" t="n">
        <v>46246</v>
      </c>
      <c r="H1038" s="22" t="n">
        <v>624195</v>
      </c>
      <c r="I1038" s="22" t="s">
        <v>8292</v>
      </c>
      <c r="J1038" s="31" t="n">
        <v>106.3</v>
      </c>
      <c r="K1038" s="26" t="n">
        <v>1672.91</v>
      </c>
      <c r="L1038" s="26" t="n">
        <v>307.68</v>
      </c>
      <c r="M1038" s="22" t="s">
        <v>3397</v>
      </c>
      <c r="N1038" s="22" t="n">
        <f aca="false">MATCH(M1038,'Tabela Passaro'!$A$2:$A$1795,0)</f>
        <v>789</v>
      </c>
      <c r="O1038" s="22" t="str">
        <f aca="false">INDEX('Tabela Passaro'!$C$2:$C$1795,$N1038)</f>
        <v>CAXIAS</v>
      </c>
      <c r="P1038" s="22" t="str">
        <f aca="false">INDEX('Tabela Passaro'!$B$2:$B$1795,$N1038)</f>
        <v>MA</v>
      </c>
      <c r="Q1038" s="22" t="n">
        <f aca="false">INDEX('Tabela Passaro'!$F$2:$F$1795,$N1038)</f>
        <v>17</v>
      </c>
      <c r="R1038" s="32" t="n">
        <f aca="false">IF(J1038&lt;=10,INDEX('Tabela Passaro'!$G$2:$G$1795,$N1038),IF(J1038&lt;=30,INDEX('Tabela Passaro'!$H$2:$H$1795,$N1038),IF(J1038&lt;=50,INDEX('Tabela Passaro'!$I$2:$I$1795,$N1038),IF(J1038&lt;=70,INDEX('Tabela Passaro'!$J$2:$J$1795,$N1038),IF(J1038&lt;=100,INDEX('Tabela Passaro'!$K$2:$K$1795,$N1038),INDEX('Tabela Passaro'!$K$2:$K$1795,$N1038)+(J1038-100)*INDEX('Tabela Passaro'!$L$2:$L$1795,$N1038))))))</f>
        <v>306.825</v>
      </c>
      <c r="S1038" s="32" t="n">
        <f aca="false">K1038*INDEX('Tabela Passaro'!$M$2:$M$1795,$N1038)</f>
        <v>8.36455</v>
      </c>
      <c r="T1038" s="32" t="n">
        <f aca="false">K1038*INDEX('Tabela Passaro'!$N$2:$N$1795,$N1038)</f>
        <v>3.34582</v>
      </c>
      <c r="U1038" s="32" t="n">
        <f aca="false">INDEX('Tabela Passaro'!$O$2:$O$1795,$N1038)</f>
        <v>5</v>
      </c>
      <c r="V1038" s="32" t="n">
        <f aca="false">ROUNDUP(J1038/INDEX('Tabela Passaro'!$Q$2:$Q$1795,$N1038),0)*INDEX('Tabela Passaro'!$P$2:$P$1795,$N1038)</f>
        <v>10</v>
      </c>
      <c r="W1038" s="32" t="n">
        <f aca="false">INDEX('Tabela Passaro'!$R$2:$R$1795,$N1038)</f>
        <v>30</v>
      </c>
      <c r="X1038" s="32" t="n">
        <f aca="false">ROUNDUP(J1038/INDEX('Tabela Passaro'!$T$2:$T$1795,$N1038),0)*INDEX('Tabela Passaro'!$S$2:$S$1795,$N1038)</f>
        <v>0</v>
      </c>
      <c r="Y1038" s="32" t="n">
        <f aca="false">INDEX('Tabela Passaro'!$U$2:$U$1795,$N1038)</f>
        <v>0</v>
      </c>
      <c r="Z1038" s="32" t="n">
        <f aca="false">INDEX('Tabela Passaro'!$V$2:$V$1795,$N1038)</f>
        <v>0</v>
      </c>
      <c r="AA1038" s="32" t="n">
        <f aca="false">SUM(R1038:Z1038)</f>
        <v>363.53537</v>
      </c>
      <c r="AB1038" s="33" t="n">
        <f aca="false">INDEX(Premissas!$B$5:$B$13,MATCH(A1038,Premissas!$A$5:$A$13,0))</f>
        <v>0.07</v>
      </c>
      <c r="AC1038" s="32" t="n">
        <f aca="false">AA1038/(1-AB1038)-AA1038</f>
        <v>27.362877311828</v>
      </c>
      <c r="AD1038" s="32" t="n">
        <f aca="false">ROUND(AA1038+AC1038,2)</f>
        <v>390.9</v>
      </c>
      <c r="AE1038" s="32" t="n">
        <f aca="false">AD1038-L1038</f>
        <v>83.22</v>
      </c>
      <c r="AF1038" s="34" t="n">
        <f aca="false">IF(L1038=0,0,AE1038/L1038)</f>
        <v>0.270475819032761</v>
      </c>
      <c r="AG1038" s="22" t="str">
        <f aca="false">IF(AD1038&lt;L1038,"PASSARO","ATUAL")</f>
        <v>ATUAL</v>
      </c>
      <c r="AH1038" s="22" t="str">
        <f aca="false">IF(P1038&lt;&gt;A1038,"Faixa cadastrada como "&amp;P1038&amp;" na tabela; preço aplicado pela UF do CEP","")</f>
        <v/>
      </c>
      <c r="AI1038" s="26" t="n">
        <v>454.17</v>
      </c>
      <c r="AJ1038" s="22" t="str">
        <f aca="false">INDEX('Tabela Passaro'!$X$2:$X$1795,$N1038)</f>
        <v>INTERIOR 2</v>
      </c>
    </row>
    <row r="1039" customFormat="false" ht="15" hidden="false" customHeight="false" outlineLevel="0" collapsed="false">
      <c r="A1039" s="22" t="s">
        <v>18</v>
      </c>
      <c r="B1039" s="22" t="n">
        <v>4</v>
      </c>
      <c r="C1039" s="22" t="s">
        <v>118</v>
      </c>
      <c r="D1039" s="22" t="s">
        <v>32</v>
      </c>
      <c r="E1039" s="22" t="s">
        <v>7326</v>
      </c>
      <c r="F1039" s="22" t="n">
        <v>903800</v>
      </c>
      <c r="G1039" s="30" t="n">
        <v>46248</v>
      </c>
      <c r="H1039" s="22" t="n">
        <v>624999</v>
      </c>
      <c r="I1039" s="22" t="s">
        <v>8293</v>
      </c>
      <c r="J1039" s="31" t="n">
        <v>107.7</v>
      </c>
      <c r="K1039" s="26" t="n">
        <v>1679.03</v>
      </c>
      <c r="L1039" s="26" t="n">
        <v>307.76</v>
      </c>
      <c r="M1039" s="22" t="s">
        <v>3397</v>
      </c>
      <c r="N1039" s="22" t="n">
        <f aca="false">MATCH(M1039,'Tabela Passaro'!$A$2:$A$1795,0)</f>
        <v>789</v>
      </c>
      <c r="O1039" s="22" t="str">
        <f aca="false">INDEX('Tabela Passaro'!$C$2:$C$1795,$N1039)</f>
        <v>CAXIAS</v>
      </c>
      <c r="P1039" s="22" t="str">
        <f aca="false">INDEX('Tabela Passaro'!$B$2:$B$1795,$N1039)</f>
        <v>MA</v>
      </c>
      <c r="Q1039" s="22" t="n">
        <f aca="false">INDEX('Tabela Passaro'!$F$2:$F$1795,$N1039)</f>
        <v>17</v>
      </c>
      <c r="R1039" s="32" t="n">
        <f aca="false">IF(J1039&lt;=10,INDEX('Tabela Passaro'!$G$2:$G$1795,$N1039),IF(J1039&lt;=30,INDEX('Tabela Passaro'!$H$2:$H$1795,$N1039),IF(J1039&lt;=50,INDEX('Tabela Passaro'!$I$2:$I$1795,$N1039),IF(J1039&lt;=70,INDEX('Tabela Passaro'!$J$2:$J$1795,$N1039),IF(J1039&lt;=100,INDEX('Tabela Passaro'!$K$2:$K$1795,$N1039),INDEX('Tabela Passaro'!$K$2:$K$1795,$N1039)+(J1039-100)*INDEX('Tabela Passaro'!$L$2:$L$1795,$N1039))))))</f>
        <v>310.535</v>
      </c>
      <c r="S1039" s="32" t="n">
        <f aca="false">K1039*INDEX('Tabela Passaro'!$M$2:$M$1795,$N1039)</f>
        <v>8.39515</v>
      </c>
      <c r="T1039" s="32" t="n">
        <f aca="false">K1039*INDEX('Tabela Passaro'!$N$2:$N$1795,$N1039)</f>
        <v>3.35806</v>
      </c>
      <c r="U1039" s="32" t="n">
        <f aca="false">INDEX('Tabela Passaro'!$O$2:$O$1795,$N1039)</f>
        <v>5</v>
      </c>
      <c r="V1039" s="32" t="n">
        <f aca="false">ROUNDUP(J1039/INDEX('Tabela Passaro'!$Q$2:$Q$1795,$N1039),0)*INDEX('Tabela Passaro'!$P$2:$P$1795,$N1039)</f>
        <v>10</v>
      </c>
      <c r="W1039" s="32" t="n">
        <f aca="false">INDEX('Tabela Passaro'!$R$2:$R$1795,$N1039)</f>
        <v>30</v>
      </c>
      <c r="X1039" s="32" t="n">
        <f aca="false">ROUNDUP(J1039/INDEX('Tabela Passaro'!$T$2:$T$1795,$N1039),0)*INDEX('Tabela Passaro'!$S$2:$S$1795,$N1039)</f>
        <v>0</v>
      </c>
      <c r="Y1039" s="32" t="n">
        <f aca="false">INDEX('Tabela Passaro'!$U$2:$U$1795,$N1039)</f>
        <v>0</v>
      </c>
      <c r="Z1039" s="32" t="n">
        <f aca="false">INDEX('Tabela Passaro'!$V$2:$V$1795,$N1039)</f>
        <v>0</v>
      </c>
      <c r="AA1039" s="32" t="n">
        <f aca="false">SUM(R1039:Z1039)</f>
        <v>367.28821</v>
      </c>
      <c r="AB1039" s="33" t="n">
        <f aca="false">INDEX(Premissas!$B$5:$B$13,MATCH(A1039,Premissas!$A$5:$A$13,0))</f>
        <v>0.07</v>
      </c>
      <c r="AC1039" s="32" t="n">
        <f aca="false">AA1039/(1-AB1039)-AA1039</f>
        <v>27.645349139785</v>
      </c>
      <c r="AD1039" s="32" t="n">
        <f aca="false">ROUND(AA1039+AC1039,2)</f>
        <v>394.93</v>
      </c>
      <c r="AE1039" s="32" t="n">
        <f aca="false">AD1039-L1039</f>
        <v>87.17</v>
      </c>
      <c r="AF1039" s="34" t="n">
        <f aca="false">IF(L1039=0,0,AE1039/L1039)</f>
        <v>0.283240187158825</v>
      </c>
      <c r="AG1039" s="22" t="str">
        <f aca="false">IF(AD1039&lt;L1039,"PASSARO","ATUAL")</f>
        <v>ATUAL</v>
      </c>
      <c r="AH1039" s="22" t="str">
        <f aca="false">IF(P1039&lt;&gt;A1039,"Faixa cadastrada como "&amp;P1039&amp;" na tabela; preço aplicado pela UF do CEP","")</f>
        <v/>
      </c>
      <c r="AI1039" s="26" t="n">
        <v>459.2</v>
      </c>
      <c r="AJ1039" s="22" t="str">
        <f aca="false">INDEX('Tabela Passaro'!$X$2:$X$1795,$N1039)</f>
        <v>INTERIOR 2</v>
      </c>
    </row>
    <row r="1040" customFormat="false" ht="15" hidden="false" customHeight="false" outlineLevel="0" collapsed="false">
      <c r="A1040" s="22" t="s">
        <v>18</v>
      </c>
      <c r="B1040" s="22" t="n">
        <v>4</v>
      </c>
      <c r="C1040" s="22" t="s">
        <v>118</v>
      </c>
      <c r="D1040" s="22" t="s">
        <v>32</v>
      </c>
      <c r="E1040" s="22" t="s">
        <v>7326</v>
      </c>
      <c r="F1040" s="22" t="n">
        <v>905951</v>
      </c>
      <c r="G1040" s="30" t="n">
        <v>46255</v>
      </c>
      <c r="H1040" s="22" t="n">
        <v>627977</v>
      </c>
      <c r="I1040" s="22" t="s">
        <v>8294</v>
      </c>
      <c r="J1040" s="31" t="n">
        <v>56.2</v>
      </c>
      <c r="K1040" s="26" t="n">
        <v>2643.25</v>
      </c>
      <c r="L1040" s="26" t="n">
        <v>224.37</v>
      </c>
      <c r="M1040" s="22" t="s">
        <v>3397</v>
      </c>
      <c r="N1040" s="22" t="n">
        <f aca="false">MATCH(M1040,'Tabela Passaro'!$A$2:$A$1795,0)</f>
        <v>789</v>
      </c>
      <c r="O1040" s="22" t="str">
        <f aca="false">INDEX('Tabela Passaro'!$C$2:$C$1795,$N1040)</f>
        <v>CAXIAS</v>
      </c>
      <c r="P1040" s="22" t="str">
        <f aca="false">INDEX('Tabela Passaro'!$B$2:$B$1795,$N1040)</f>
        <v>MA</v>
      </c>
      <c r="Q1040" s="22" t="n">
        <f aca="false">INDEX('Tabela Passaro'!$F$2:$F$1795,$N1040)</f>
        <v>17</v>
      </c>
      <c r="R1040" s="32" t="n">
        <f aca="false">IF(J1040&lt;=10,INDEX('Tabela Passaro'!$G$2:$G$1795,$N1040),IF(J1040&lt;=30,INDEX('Tabela Passaro'!$H$2:$H$1795,$N1040),IF(J1040&lt;=50,INDEX('Tabela Passaro'!$I$2:$I$1795,$N1040),IF(J1040&lt;=70,INDEX('Tabela Passaro'!$J$2:$J$1795,$N1040),IF(J1040&lt;=100,INDEX('Tabela Passaro'!$K$2:$K$1795,$N1040),INDEX('Tabela Passaro'!$K$2:$K$1795,$N1040)+(J1040-100)*INDEX('Tabela Passaro'!$L$2:$L$1795,$N1040))))))</f>
        <v>273.53</v>
      </c>
      <c r="S1040" s="32" t="n">
        <f aca="false">K1040*INDEX('Tabela Passaro'!$M$2:$M$1795,$N1040)</f>
        <v>13.21625</v>
      </c>
      <c r="T1040" s="32" t="n">
        <f aca="false">K1040*INDEX('Tabela Passaro'!$N$2:$N$1795,$N1040)</f>
        <v>5.2865</v>
      </c>
      <c r="U1040" s="32" t="n">
        <f aca="false">INDEX('Tabela Passaro'!$O$2:$O$1795,$N1040)</f>
        <v>5</v>
      </c>
      <c r="V1040" s="32" t="n">
        <f aca="false">ROUNDUP(J1040/INDEX('Tabela Passaro'!$Q$2:$Q$1795,$N1040),0)*INDEX('Tabela Passaro'!$P$2:$P$1795,$N1040)</f>
        <v>5</v>
      </c>
      <c r="W1040" s="32" t="n">
        <f aca="false">INDEX('Tabela Passaro'!$R$2:$R$1795,$N1040)</f>
        <v>30</v>
      </c>
      <c r="X1040" s="32" t="n">
        <f aca="false">ROUNDUP(J1040/INDEX('Tabela Passaro'!$T$2:$T$1795,$N1040),0)*INDEX('Tabela Passaro'!$S$2:$S$1795,$N1040)</f>
        <v>0</v>
      </c>
      <c r="Y1040" s="32" t="n">
        <f aca="false">INDEX('Tabela Passaro'!$U$2:$U$1795,$N1040)</f>
        <v>0</v>
      </c>
      <c r="Z1040" s="32" t="n">
        <f aca="false">INDEX('Tabela Passaro'!$V$2:$V$1795,$N1040)</f>
        <v>0</v>
      </c>
      <c r="AA1040" s="32" t="n">
        <f aca="false">SUM(R1040:Z1040)</f>
        <v>332.03275</v>
      </c>
      <c r="AB1040" s="33" t="n">
        <f aca="false">INDEX(Premissas!$B$5:$B$13,MATCH(A1040,Premissas!$A$5:$A$13,0))</f>
        <v>0.07</v>
      </c>
      <c r="AC1040" s="32" t="n">
        <f aca="false">AA1040/(1-AB1040)-AA1040</f>
        <v>24.9917123655914</v>
      </c>
      <c r="AD1040" s="32" t="n">
        <f aca="false">ROUND(AA1040+AC1040,2)</f>
        <v>357.02</v>
      </c>
      <c r="AE1040" s="32" t="n">
        <f aca="false">AD1040-L1040</f>
        <v>132.65</v>
      </c>
      <c r="AF1040" s="34" t="n">
        <f aca="false">IF(L1040=0,0,AE1040/L1040)</f>
        <v>0.591210946204929</v>
      </c>
      <c r="AG1040" s="22" t="str">
        <f aca="false">IF(AD1040&lt;L1040,"PASSARO","ATUAL")</f>
        <v>ATUAL</v>
      </c>
      <c r="AH1040" s="22" t="str">
        <f aca="false">IF(P1040&lt;&gt;A1040,"Faixa cadastrada como "&amp;P1040&amp;" na tabela; preço aplicado pela UF do CEP","")</f>
        <v/>
      </c>
      <c r="AI1040" s="26" t="n">
        <v>395.01</v>
      </c>
      <c r="AJ1040" s="22" t="str">
        <f aca="false">INDEX('Tabela Passaro'!$X$2:$X$1795,$N1040)</f>
        <v>INTERIOR 2</v>
      </c>
    </row>
    <row r="1041" customFormat="false" ht="15" hidden="false" customHeight="false" outlineLevel="0" collapsed="false">
      <c r="A1041" s="22" t="s">
        <v>18</v>
      </c>
      <c r="B1041" s="22" t="n">
        <v>4</v>
      </c>
      <c r="C1041" s="22" t="s">
        <v>118</v>
      </c>
      <c r="D1041" s="22" t="s">
        <v>32</v>
      </c>
      <c r="E1041" s="22" t="s">
        <v>7326</v>
      </c>
      <c r="F1041" s="22" t="n">
        <v>906664</v>
      </c>
      <c r="G1041" s="30" t="n">
        <v>46259</v>
      </c>
      <c r="H1041" s="22" t="n">
        <v>628995</v>
      </c>
      <c r="I1041" s="22" t="s">
        <v>8295</v>
      </c>
      <c r="J1041" s="31" t="n">
        <v>101.2</v>
      </c>
      <c r="K1041" s="26" t="n">
        <v>1745.55</v>
      </c>
      <c r="L1041" s="26" t="n">
        <v>308.61</v>
      </c>
      <c r="M1041" s="22" t="s">
        <v>3397</v>
      </c>
      <c r="N1041" s="22" t="n">
        <f aca="false">MATCH(M1041,'Tabela Passaro'!$A$2:$A$1795,0)</f>
        <v>789</v>
      </c>
      <c r="O1041" s="22" t="str">
        <f aca="false">INDEX('Tabela Passaro'!$C$2:$C$1795,$N1041)</f>
        <v>CAXIAS</v>
      </c>
      <c r="P1041" s="22" t="str">
        <f aca="false">INDEX('Tabela Passaro'!$B$2:$B$1795,$N1041)</f>
        <v>MA</v>
      </c>
      <c r="Q1041" s="22" t="n">
        <f aca="false">INDEX('Tabela Passaro'!$F$2:$F$1795,$N1041)</f>
        <v>17</v>
      </c>
      <c r="R1041" s="32" t="n">
        <f aca="false">IF(J1041&lt;=10,INDEX('Tabela Passaro'!$G$2:$G$1795,$N1041),IF(J1041&lt;=30,INDEX('Tabela Passaro'!$H$2:$H$1795,$N1041),IF(J1041&lt;=50,INDEX('Tabela Passaro'!$I$2:$I$1795,$N1041),IF(J1041&lt;=70,INDEX('Tabela Passaro'!$J$2:$J$1795,$N1041),IF(J1041&lt;=100,INDEX('Tabela Passaro'!$K$2:$K$1795,$N1041),INDEX('Tabela Passaro'!$K$2:$K$1795,$N1041)+(J1041-100)*INDEX('Tabela Passaro'!$L$2:$L$1795,$N1041))))))</f>
        <v>293.31</v>
      </c>
      <c r="S1041" s="32" t="n">
        <f aca="false">K1041*INDEX('Tabela Passaro'!$M$2:$M$1795,$N1041)</f>
        <v>8.72775</v>
      </c>
      <c r="T1041" s="32" t="n">
        <f aca="false">K1041*INDEX('Tabela Passaro'!$N$2:$N$1795,$N1041)</f>
        <v>3.4911</v>
      </c>
      <c r="U1041" s="32" t="n">
        <f aca="false">INDEX('Tabela Passaro'!$O$2:$O$1795,$N1041)</f>
        <v>5</v>
      </c>
      <c r="V1041" s="32" t="n">
        <f aca="false">ROUNDUP(J1041/INDEX('Tabela Passaro'!$Q$2:$Q$1795,$N1041),0)*INDEX('Tabela Passaro'!$P$2:$P$1795,$N1041)</f>
        <v>10</v>
      </c>
      <c r="W1041" s="32" t="n">
        <f aca="false">INDEX('Tabela Passaro'!$R$2:$R$1795,$N1041)</f>
        <v>30</v>
      </c>
      <c r="X1041" s="32" t="n">
        <f aca="false">ROUNDUP(J1041/INDEX('Tabela Passaro'!$T$2:$T$1795,$N1041),0)*INDEX('Tabela Passaro'!$S$2:$S$1795,$N1041)</f>
        <v>0</v>
      </c>
      <c r="Y1041" s="32" t="n">
        <f aca="false">INDEX('Tabela Passaro'!$U$2:$U$1795,$N1041)</f>
        <v>0</v>
      </c>
      <c r="Z1041" s="32" t="n">
        <f aca="false">INDEX('Tabela Passaro'!$V$2:$V$1795,$N1041)</f>
        <v>0</v>
      </c>
      <c r="AA1041" s="32" t="n">
        <f aca="false">SUM(R1041:Z1041)</f>
        <v>350.52885</v>
      </c>
      <c r="AB1041" s="33" t="n">
        <f aca="false">INDEX(Premissas!$B$5:$B$13,MATCH(A1041,Premissas!$A$5:$A$13,0))</f>
        <v>0.07</v>
      </c>
      <c r="AC1041" s="32" t="n">
        <f aca="false">AA1041/(1-AB1041)-AA1041</f>
        <v>26.3838919354839</v>
      </c>
      <c r="AD1041" s="32" t="n">
        <f aca="false">ROUND(AA1041+AC1041,2)</f>
        <v>376.91</v>
      </c>
      <c r="AE1041" s="32" t="n">
        <f aca="false">AD1041-L1041</f>
        <v>68.3</v>
      </c>
      <c r="AF1041" s="34" t="n">
        <f aca="false">IF(L1041=0,0,AE1041/L1041)</f>
        <v>0.221314928226564</v>
      </c>
      <c r="AG1041" s="22" t="str">
        <f aca="false">IF(AD1041&lt;L1041,"PASSARO","ATUAL")</f>
        <v>ATUAL</v>
      </c>
      <c r="AH1041" s="22" t="str">
        <f aca="false">IF(P1041&lt;&gt;A1041,"Faixa cadastrada como "&amp;P1041&amp;" na tabela; preço aplicado pela UF do CEP","")</f>
        <v/>
      </c>
      <c r="AI1041" s="26" t="n">
        <v>436.11</v>
      </c>
      <c r="AJ1041" s="22" t="str">
        <f aca="false">INDEX('Tabela Passaro'!$X$2:$X$1795,$N1041)</f>
        <v>INTERIOR 2</v>
      </c>
    </row>
    <row r="1042" customFormat="false" ht="15" hidden="false" customHeight="false" outlineLevel="0" collapsed="false">
      <c r="A1042" s="22" t="s">
        <v>18</v>
      </c>
      <c r="B1042" s="22" t="n">
        <v>4</v>
      </c>
      <c r="C1042" s="22" t="s">
        <v>118</v>
      </c>
      <c r="D1042" s="22" t="s">
        <v>30</v>
      </c>
      <c r="E1042" s="22" t="s">
        <v>7328</v>
      </c>
      <c r="F1042" s="22" t="n">
        <v>2314417</v>
      </c>
      <c r="G1042" s="30" t="n">
        <v>46254</v>
      </c>
      <c r="H1042" s="22" t="n">
        <v>134079</v>
      </c>
      <c r="I1042" s="22" t="s">
        <v>8296</v>
      </c>
      <c r="J1042" s="31" t="n">
        <v>29.59</v>
      </c>
      <c r="K1042" s="26" t="n">
        <v>670.8</v>
      </c>
      <c r="L1042" s="26" t="n">
        <v>146.68</v>
      </c>
      <c r="M1042" s="22" t="s">
        <v>3397</v>
      </c>
      <c r="N1042" s="22" t="n">
        <f aca="false">MATCH(M1042,'Tabela Passaro'!$A$2:$A$1795,0)</f>
        <v>789</v>
      </c>
      <c r="O1042" s="22" t="str">
        <f aca="false">INDEX('Tabela Passaro'!$C$2:$C$1795,$N1042)</f>
        <v>CAXIAS</v>
      </c>
      <c r="P1042" s="22" t="str">
        <f aca="false">INDEX('Tabela Passaro'!$B$2:$B$1795,$N1042)</f>
        <v>MA</v>
      </c>
      <c r="Q1042" s="22" t="n">
        <f aca="false">INDEX('Tabela Passaro'!$F$2:$F$1795,$N1042)</f>
        <v>17</v>
      </c>
      <c r="R1042" s="32" t="n">
        <f aca="false">IF(J1042&lt;=10,INDEX('Tabela Passaro'!$G$2:$G$1795,$N1042),IF(J1042&lt;=30,INDEX('Tabela Passaro'!$H$2:$H$1795,$N1042),IF(J1042&lt;=50,INDEX('Tabela Passaro'!$I$2:$I$1795,$N1042),IF(J1042&lt;=70,INDEX('Tabela Passaro'!$J$2:$J$1795,$N1042),IF(J1042&lt;=100,INDEX('Tabela Passaro'!$K$2:$K$1795,$N1042),INDEX('Tabela Passaro'!$K$2:$K$1795,$N1042)+(J1042-100)*INDEX('Tabela Passaro'!$L$2:$L$1795,$N1042))))))</f>
        <v>234.8</v>
      </c>
      <c r="S1042" s="32" t="n">
        <f aca="false">K1042*INDEX('Tabela Passaro'!$M$2:$M$1795,$N1042)</f>
        <v>3.354</v>
      </c>
      <c r="T1042" s="32" t="n">
        <f aca="false">K1042*INDEX('Tabela Passaro'!$N$2:$N$1795,$N1042)</f>
        <v>1.3416</v>
      </c>
      <c r="U1042" s="32" t="n">
        <f aca="false">INDEX('Tabela Passaro'!$O$2:$O$1795,$N1042)</f>
        <v>5</v>
      </c>
      <c r="V1042" s="32" t="n">
        <f aca="false">ROUNDUP(J1042/INDEX('Tabela Passaro'!$Q$2:$Q$1795,$N1042),0)*INDEX('Tabela Passaro'!$P$2:$P$1795,$N1042)</f>
        <v>5</v>
      </c>
      <c r="W1042" s="32" t="n">
        <f aca="false">INDEX('Tabela Passaro'!$R$2:$R$1795,$N1042)</f>
        <v>30</v>
      </c>
      <c r="X1042" s="32" t="n">
        <f aca="false">ROUNDUP(J1042/INDEX('Tabela Passaro'!$T$2:$T$1795,$N1042),0)*INDEX('Tabela Passaro'!$S$2:$S$1795,$N1042)</f>
        <v>0</v>
      </c>
      <c r="Y1042" s="32" t="n">
        <f aca="false">INDEX('Tabela Passaro'!$U$2:$U$1795,$N1042)</f>
        <v>0</v>
      </c>
      <c r="Z1042" s="32" t="n">
        <f aca="false">INDEX('Tabela Passaro'!$V$2:$V$1795,$N1042)</f>
        <v>0</v>
      </c>
      <c r="AA1042" s="32" t="n">
        <f aca="false">SUM(R1042:Z1042)</f>
        <v>279.4956</v>
      </c>
      <c r="AB1042" s="33" t="n">
        <f aca="false">INDEX(Premissas!$B$5:$B$13,MATCH(A1042,Premissas!$A$5:$A$13,0))</f>
        <v>0.07</v>
      </c>
      <c r="AC1042" s="32" t="n">
        <f aca="false">AA1042/(1-AB1042)-AA1042</f>
        <v>21.0373032258065</v>
      </c>
      <c r="AD1042" s="32" t="n">
        <f aca="false">ROUND(AA1042+AC1042,2)</f>
        <v>300.53</v>
      </c>
      <c r="AE1042" s="32" t="n">
        <f aca="false">AD1042-L1042</f>
        <v>153.85</v>
      </c>
      <c r="AF1042" s="34" t="n">
        <f aca="false">IF(L1042=0,0,AE1042/L1042)</f>
        <v>1.04888191982547</v>
      </c>
      <c r="AG1042" s="22" t="str">
        <f aca="false">IF(AD1042&lt;L1042,"PASSARO","ATUAL")</f>
        <v>ATUAL</v>
      </c>
      <c r="AH1042" s="22" t="str">
        <f aca="false">IF(P1042&lt;&gt;A1042,"Faixa cadastrada como "&amp;P1042&amp;" na tabela; preço aplicado pela UF do CEP","")</f>
        <v/>
      </c>
      <c r="AI1042" s="26" t="n">
        <v>319.03</v>
      </c>
      <c r="AJ1042" s="22" t="str">
        <f aca="false">INDEX('Tabela Passaro'!$X$2:$X$1795,$N1042)</f>
        <v>INTERIOR 2</v>
      </c>
    </row>
    <row r="1043" customFormat="false" ht="15" hidden="false" customHeight="false" outlineLevel="0" collapsed="false">
      <c r="A1043" s="22" t="s">
        <v>18</v>
      </c>
      <c r="B1043" s="22" t="n">
        <v>4</v>
      </c>
      <c r="C1043" s="22" t="s">
        <v>118</v>
      </c>
      <c r="D1043" s="22" t="s">
        <v>30</v>
      </c>
      <c r="E1043" s="22" t="s">
        <v>20</v>
      </c>
      <c r="F1043" s="22" t="n">
        <v>840011</v>
      </c>
      <c r="G1043" s="30" t="n">
        <v>46259</v>
      </c>
      <c r="H1043" s="22" t="n">
        <v>32658</v>
      </c>
      <c r="I1043" s="22" t="s">
        <v>8297</v>
      </c>
      <c r="J1043" s="31" t="n">
        <v>107.7</v>
      </c>
      <c r="K1043" s="26" t="n">
        <v>1731.46</v>
      </c>
      <c r="L1043" s="26" t="n">
        <v>357.05</v>
      </c>
      <c r="M1043" s="22" t="s">
        <v>3397</v>
      </c>
      <c r="N1043" s="22" t="n">
        <f aca="false">MATCH(M1043,'Tabela Passaro'!$A$2:$A$1795,0)</f>
        <v>789</v>
      </c>
      <c r="O1043" s="22" t="str">
        <f aca="false">INDEX('Tabela Passaro'!$C$2:$C$1795,$N1043)</f>
        <v>CAXIAS</v>
      </c>
      <c r="P1043" s="22" t="str">
        <f aca="false">INDEX('Tabela Passaro'!$B$2:$B$1795,$N1043)</f>
        <v>MA</v>
      </c>
      <c r="Q1043" s="22" t="n">
        <f aca="false">INDEX('Tabela Passaro'!$F$2:$F$1795,$N1043)</f>
        <v>17</v>
      </c>
      <c r="R1043" s="32" t="n">
        <f aca="false">IF(J1043&lt;=10,INDEX('Tabela Passaro'!$G$2:$G$1795,$N1043),IF(J1043&lt;=30,INDEX('Tabela Passaro'!$H$2:$H$1795,$N1043),IF(J1043&lt;=50,INDEX('Tabela Passaro'!$I$2:$I$1795,$N1043),IF(J1043&lt;=70,INDEX('Tabela Passaro'!$J$2:$J$1795,$N1043),IF(J1043&lt;=100,INDEX('Tabela Passaro'!$K$2:$K$1795,$N1043),INDEX('Tabela Passaro'!$K$2:$K$1795,$N1043)+(J1043-100)*INDEX('Tabela Passaro'!$L$2:$L$1795,$N1043))))))</f>
        <v>310.535</v>
      </c>
      <c r="S1043" s="32" t="n">
        <f aca="false">K1043*INDEX('Tabela Passaro'!$M$2:$M$1795,$N1043)</f>
        <v>8.6573</v>
      </c>
      <c r="T1043" s="32" t="n">
        <f aca="false">K1043*INDEX('Tabela Passaro'!$N$2:$N$1795,$N1043)</f>
        <v>3.46292</v>
      </c>
      <c r="U1043" s="32" t="n">
        <f aca="false">INDEX('Tabela Passaro'!$O$2:$O$1795,$N1043)</f>
        <v>5</v>
      </c>
      <c r="V1043" s="32" t="n">
        <f aca="false">ROUNDUP(J1043/INDEX('Tabela Passaro'!$Q$2:$Q$1795,$N1043),0)*INDEX('Tabela Passaro'!$P$2:$P$1795,$N1043)</f>
        <v>10</v>
      </c>
      <c r="W1043" s="32" t="n">
        <f aca="false">INDEX('Tabela Passaro'!$R$2:$R$1795,$N1043)</f>
        <v>30</v>
      </c>
      <c r="X1043" s="32" t="n">
        <f aca="false">ROUNDUP(J1043/INDEX('Tabela Passaro'!$T$2:$T$1795,$N1043),0)*INDEX('Tabela Passaro'!$S$2:$S$1795,$N1043)</f>
        <v>0</v>
      </c>
      <c r="Y1043" s="32" t="n">
        <f aca="false">INDEX('Tabela Passaro'!$U$2:$U$1795,$N1043)</f>
        <v>0</v>
      </c>
      <c r="Z1043" s="32" t="n">
        <f aca="false">INDEX('Tabela Passaro'!$V$2:$V$1795,$N1043)</f>
        <v>0</v>
      </c>
      <c r="AA1043" s="32" t="n">
        <f aca="false">SUM(R1043:Z1043)</f>
        <v>367.65522</v>
      </c>
      <c r="AB1043" s="33" t="n">
        <f aca="false">INDEX(Premissas!$B$5:$B$13,MATCH(A1043,Premissas!$A$5:$A$13,0))</f>
        <v>0.07</v>
      </c>
      <c r="AC1043" s="32" t="n">
        <f aca="false">AA1043/(1-AB1043)-AA1043</f>
        <v>27.6729735483871</v>
      </c>
      <c r="AD1043" s="32" t="n">
        <f aca="false">ROUND(AA1043+AC1043,2)</f>
        <v>395.33</v>
      </c>
      <c r="AE1043" s="32" t="n">
        <f aca="false">AD1043-L1043</f>
        <v>38.28</v>
      </c>
      <c r="AF1043" s="34" t="n">
        <f aca="false">IF(L1043=0,0,AE1043/L1043)</f>
        <v>0.107211875087523</v>
      </c>
      <c r="AG1043" s="22" t="str">
        <f aca="false">IF(AD1043&lt;L1043,"PASSARO","ATUAL")</f>
        <v>ATUAL</v>
      </c>
      <c r="AH1043" s="22" t="str">
        <f aca="false">IF(P1043&lt;&gt;A1043,"Faixa cadastrada como "&amp;P1043&amp;" na tabela; preço aplicado pela UF do CEP","")</f>
        <v/>
      </c>
      <c r="AI1043" s="26" t="n">
        <v>459.71</v>
      </c>
      <c r="AJ1043" s="22" t="str">
        <f aca="false">INDEX('Tabela Passaro'!$X$2:$X$1795,$N1043)</f>
        <v>INTERIOR 2</v>
      </c>
    </row>
    <row r="1044" customFormat="false" ht="15" hidden="false" customHeight="false" outlineLevel="0" collapsed="false">
      <c r="A1044" s="22" t="s">
        <v>18</v>
      </c>
      <c r="B1044" s="22" t="n">
        <v>4</v>
      </c>
      <c r="C1044" s="22" t="s">
        <v>118</v>
      </c>
      <c r="D1044" s="22" t="s">
        <v>31</v>
      </c>
      <c r="E1044" s="22" t="s">
        <v>7326</v>
      </c>
      <c r="F1044" s="22" t="n">
        <v>12773257</v>
      </c>
      <c r="G1044" s="30" t="n">
        <v>46246</v>
      </c>
      <c r="H1044" s="22" t="n">
        <v>623460</v>
      </c>
      <c r="I1044" s="22" t="s">
        <v>8298</v>
      </c>
      <c r="J1044" s="31" t="n">
        <v>22.4</v>
      </c>
      <c r="K1044" s="26" t="n">
        <v>491.95</v>
      </c>
      <c r="L1044" s="26" t="n">
        <v>91.09</v>
      </c>
      <c r="M1044" s="22" t="s">
        <v>3397</v>
      </c>
      <c r="N1044" s="22" t="n">
        <f aca="false">MATCH(M1044,'Tabela Passaro'!$A$2:$A$1795,0)</f>
        <v>789</v>
      </c>
      <c r="O1044" s="22" t="str">
        <f aca="false">INDEX('Tabela Passaro'!$C$2:$C$1795,$N1044)</f>
        <v>CAXIAS</v>
      </c>
      <c r="P1044" s="22" t="str">
        <f aca="false">INDEX('Tabela Passaro'!$B$2:$B$1795,$N1044)</f>
        <v>MA</v>
      </c>
      <c r="Q1044" s="22" t="n">
        <f aca="false">INDEX('Tabela Passaro'!$F$2:$F$1795,$N1044)</f>
        <v>17</v>
      </c>
      <c r="R1044" s="32" t="n">
        <f aca="false">IF(J1044&lt;=10,INDEX('Tabela Passaro'!$G$2:$G$1795,$N1044),IF(J1044&lt;=30,INDEX('Tabela Passaro'!$H$2:$H$1795,$N1044),IF(J1044&lt;=50,INDEX('Tabela Passaro'!$I$2:$I$1795,$N1044),IF(J1044&lt;=70,INDEX('Tabela Passaro'!$J$2:$J$1795,$N1044),IF(J1044&lt;=100,INDEX('Tabela Passaro'!$K$2:$K$1795,$N1044),INDEX('Tabela Passaro'!$K$2:$K$1795,$N1044)+(J1044-100)*INDEX('Tabela Passaro'!$L$2:$L$1795,$N1044))))))</f>
        <v>234.8</v>
      </c>
      <c r="S1044" s="32" t="n">
        <f aca="false">K1044*INDEX('Tabela Passaro'!$M$2:$M$1795,$N1044)</f>
        <v>2.45975</v>
      </c>
      <c r="T1044" s="32" t="n">
        <f aca="false">K1044*INDEX('Tabela Passaro'!$N$2:$N$1795,$N1044)</f>
        <v>0.9839</v>
      </c>
      <c r="U1044" s="32" t="n">
        <f aca="false">INDEX('Tabela Passaro'!$O$2:$O$1795,$N1044)</f>
        <v>5</v>
      </c>
      <c r="V1044" s="32" t="n">
        <f aca="false">ROUNDUP(J1044/INDEX('Tabela Passaro'!$Q$2:$Q$1795,$N1044),0)*INDEX('Tabela Passaro'!$P$2:$P$1795,$N1044)</f>
        <v>5</v>
      </c>
      <c r="W1044" s="32" t="n">
        <f aca="false">INDEX('Tabela Passaro'!$R$2:$R$1795,$N1044)</f>
        <v>30</v>
      </c>
      <c r="X1044" s="32" t="n">
        <f aca="false">ROUNDUP(J1044/INDEX('Tabela Passaro'!$T$2:$T$1795,$N1044),0)*INDEX('Tabela Passaro'!$S$2:$S$1795,$N1044)</f>
        <v>0</v>
      </c>
      <c r="Y1044" s="32" t="n">
        <f aca="false">INDEX('Tabela Passaro'!$U$2:$U$1795,$N1044)</f>
        <v>0</v>
      </c>
      <c r="Z1044" s="32" t="n">
        <f aca="false">INDEX('Tabela Passaro'!$V$2:$V$1795,$N1044)</f>
        <v>0</v>
      </c>
      <c r="AA1044" s="32" t="n">
        <f aca="false">SUM(R1044:Z1044)</f>
        <v>278.24365</v>
      </c>
      <c r="AB1044" s="33" t="n">
        <f aca="false">INDEX(Premissas!$B$5:$B$13,MATCH(A1044,Premissas!$A$5:$A$13,0))</f>
        <v>0.07</v>
      </c>
      <c r="AC1044" s="32" t="n">
        <f aca="false">AA1044/(1-AB1044)-AA1044</f>
        <v>20.9430704301075</v>
      </c>
      <c r="AD1044" s="32" t="n">
        <f aca="false">ROUND(AA1044+AC1044,2)</f>
        <v>299.19</v>
      </c>
      <c r="AE1044" s="32" t="n">
        <f aca="false">AD1044-L1044</f>
        <v>208.1</v>
      </c>
      <c r="AF1044" s="34" t="n">
        <f aca="false">IF(L1044=0,0,AE1044/L1044)</f>
        <v>2.28455373806126</v>
      </c>
      <c r="AG1044" s="22" t="str">
        <f aca="false">IF(AD1044&lt;L1044,"PASSARO","ATUAL")</f>
        <v>ATUAL</v>
      </c>
      <c r="AH1044" s="22" t="str">
        <f aca="false">IF(P1044&lt;&gt;A1044,"Faixa cadastrada como "&amp;P1044&amp;" na tabela; preço aplicado pela UF do CEP","")</f>
        <v/>
      </c>
      <c r="AI1044" s="26" t="n">
        <v>313.91</v>
      </c>
      <c r="AJ1044" s="22" t="str">
        <f aca="false">INDEX('Tabela Passaro'!$X$2:$X$1795,$N1044)</f>
        <v>INTERIOR 2</v>
      </c>
    </row>
    <row r="1045" customFormat="false" ht="15" hidden="false" customHeight="false" outlineLevel="0" collapsed="false">
      <c r="A1045" s="22" t="s">
        <v>18</v>
      </c>
      <c r="B1045" s="22" t="n">
        <v>5</v>
      </c>
      <c r="C1045" s="22" t="s">
        <v>120</v>
      </c>
      <c r="D1045" s="22" t="s">
        <v>32</v>
      </c>
      <c r="E1045" s="22" t="s">
        <v>7326</v>
      </c>
      <c r="F1045" s="22" t="n">
        <v>901290</v>
      </c>
      <c r="G1045" s="30" t="n">
        <v>46239</v>
      </c>
      <c r="H1045" s="22" t="n">
        <v>620613</v>
      </c>
      <c r="I1045" s="22" t="s">
        <v>8299</v>
      </c>
      <c r="J1045" s="31" t="n">
        <v>47.32</v>
      </c>
      <c r="K1045" s="26" t="n">
        <v>767.33</v>
      </c>
      <c r="L1045" s="26" t="n">
        <v>136.66</v>
      </c>
      <c r="M1045" s="22" t="s">
        <v>3139</v>
      </c>
      <c r="N1045" s="22" t="n">
        <f aca="false">MATCH(M1045,'Tabela Passaro'!$A$2:$A$1795,0)</f>
        <v>723</v>
      </c>
      <c r="O1045" s="22" t="str">
        <f aca="false">INDEX('Tabela Passaro'!$C$2:$C$1795,$N1045)</f>
        <v>PACO DO LUMIAR</v>
      </c>
      <c r="P1045" s="22" t="str">
        <f aca="false">INDEX('Tabela Passaro'!$B$2:$B$1795,$N1045)</f>
        <v>MA</v>
      </c>
      <c r="Q1045" s="22" t="n">
        <f aca="false">INDEX('Tabela Passaro'!$F$2:$F$1795,$N1045)</f>
        <v>13</v>
      </c>
      <c r="R1045" s="32" t="n">
        <f aca="false">IF(J1045&lt;=10,INDEX('Tabela Passaro'!$G$2:$G$1795,$N1045),IF(J1045&lt;=30,INDEX('Tabela Passaro'!$H$2:$H$1795,$N1045),IF(J1045&lt;=50,INDEX('Tabela Passaro'!$I$2:$I$1795,$N1045),IF(J1045&lt;=70,INDEX('Tabela Passaro'!$J$2:$J$1795,$N1045),IF(J1045&lt;=100,INDEX('Tabela Passaro'!$K$2:$K$1795,$N1045),INDEX('Tabela Passaro'!$K$2:$K$1795,$N1045)+(J1045-100)*INDEX('Tabela Passaro'!$L$2:$L$1795,$N1045))))))</f>
        <v>242.41</v>
      </c>
      <c r="S1045" s="32" t="n">
        <f aca="false">K1045*INDEX('Tabela Passaro'!$M$2:$M$1795,$N1045)</f>
        <v>3.83665</v>
      </c>
      <c r="T1045" s="32" t="n">
        <f aca="false">K1045*INDEX('Tabela Passaro'!$N$2:$N$1795,$N1045)</f>
        <v>1.53466</v>
      </c>
      <c r="U1045" s="32" t="n">
        <f aca="false">INDEX('Tabela Passaro'!$O$2:$O$1795,$N1045)</f>
        <v>5</v>
      </c>
      <c r="V1045" s="32" t="n">
        <f aca="false">ROUNDUP(J1045/INDEX('Tabela Passaro'!$Q$2:$Q$1795,$N1045),0)*INDEX('Tabela Passaro'!$P$2:$P$1795,$N1045)</f>
        <v>5</v>
      </c>
      <c r="W1045" s="32" t="n">
        <f aca="false">INDEX('Tabela Passaro'!$R$2:$R$1795,$N1045)</f>
        <v>30</v>
      </c>
      <c r="X1045" s="32" t="n">
        <f aca="false">ROUNDUP(J1045/INDEX('Tabela Passaro'!$T$2:$T$1795,$N1045),0)*INDEX('Tabela Passaro'!$S$2:$S$1795,$N1045)</f>
        <v>0</v>
      </c>
      <c r="Y1045" s="32" t="n">
        <f aca="false">INDEX('Tabela Passaro'!$U$2:$U$1795,$N1045)</f>
        <v>0</v>
      </c>
      <c r="Z1045" s="32" t="n">
        <f aca="false">INDEX('Tabela Passaro'!$V$2:$V$1795,$N1045)</f>
        <v>0</v>
      </c>
      <c r="AA1045" s="32" t="n">
        <f aca="false">SUM(R1045:Z1045)</f>
        <v>287.78131</v>
      </c>
      <c r="AB1045" s="33" t="n">
        <f aca="false">INDEX(Premissas!$B$5:$B$13,MATCH(A1045,Premissas!$A$5:$A$13,0))</f>
        <v>0.07</v>
      </c>
      <c r="AC1045" s="32" t="n">
        <f aca="false">AA1045/(1-AB1045)-AA1045</f>
        <v>21.6609588172043</v>
      </c>
      <c r="AD1045" s="32" t="n">
        <f aca="false">ROUND(AA1045+AC1045,2)</f>
        <v>309.44</v>
      </c>
      <c r="AE1045" s="32" t="n">
        <f aca="false">AD1045-L1045</f>
        <v>172.78</v>
      </c>
      <c r="AF1045" s="34" t="n">
        <f aca="false">IF(L1045=0,0,AE1045/L1045)</f>
        <v>1.26430557588175</v>
      </c>
      <c r="AG1045" s="22" t="str">
        <f aca="false">IF(AD1045&lt;L1045,"PASSARO","ATUAL")</f>
        <v>ATUAL</v>
      </c>
      <c r="AH1045" s="22" t="str">
        <f aca="false">IF(P1045&lt;&gt;A1045,"Faixa cadastrada como "&amp;P1045&amp;" na tabela; preço aplicado pela UF do CEP","")</f>
        <v/>
      </c>
      <c r="AI1045" s="26" t="n">
        <v>337.28</v>
      </c>
      <c r="AJ1045" s="22" t="str">
        <f aca="false">INDEX('Tabela Passaro'!$X$2:$X$1795,$N1045)</f>
        <v>INTERIOR 1</v>
      </c>
    </row>
    <row r="1046" customFormat="false" ht="15" hidden="false" customHeight="false" outlineLevel="0" collapsed="false">
      <c r="A1046" s="22" t="s">
        <v>18</v>
      </c>
      <c r="B1046" s="22" t="n">
        <v>5</v>
      </c>
      <c r="C1046" s="22" t="s">
        <v>120</v>
      </c>
      <c r="D1046" s="22" t="s">
        <v>32</v>
      </c>
      <c r="E1046" s="22" t="s">
        <v>7326</v>
      </c>
      <c r="F1046" s="22" t="n">
        <v>902549</v>
      </c>
      <c r="G1046" s="30" t="n">
        <v>46245</v>
      </c>
      <c r="H1046" s="22" t="n">
        <v>623490</v>
      </c>
      <c r="I1046" s="22" t="s">
        <v>8299</v>
      </c>
      <c r="J1046" s="31" t="n">
        <v>21.6</v>
      </c>
      <c r="K1046" s="26" t="n">
        <v>485.4</v>
      </c>
      <c r="L1046" s="26" t="n">
        <v>119.5</v>
      </c>
      <c r="M1046" s="22" t="s">
        <v>3139</v>
      </c>
      <c r="N1046" s="22" t="n">
        <f aca="false">MATCH(M1046,'Tabela Passaro'!$A$2:$A$1795,0)</f>
        <v>723</v>
      </c>
      <c r="O1046" s="22" t="str">
        <f aca="false">INDEX('Tabela Passaro'!$C$2:$C$1795,$N1046)</f>
        <v>PACO DO LUMIAR</v>
      </c>
      <c r="P1046" s="22" t="str">
        <f aca="false">INDEX('Tabela Passaro'!$B$2:$B$1795,$N1046)</f>
        <v>MA</v>
      </c>
      <c r="Q1046" s="22" t="n">
        <f aca="false">INDEX('Tabela Passaro'!$F$2:$F$1795,$N1046)</f>
        <v>13</v>
      </c>
      <c r="R1046" s="32" t="n">
        <f aca="false">IF(J1046&lt;=10,INDEX('Tabela Passaro'!$G$2:$G$1795,$N1046),IF(J1046&lt;=30,INDEX('Tabela Passaro'!$H$2:$H$1795,$N1046),IF(J1046&lt;=50,INDEX('Tabela Passaro'!$I$2:$I$1795,$N1046),IF(J1046&lt;=70,INDEX('Tabela Passaro'!$J$2:$J$1795,$N1046),IF(J1046&lt;=100,INDEX('Tabela Passaro'!$K$2:$K$1795,$N1046),INDEX('Tabela Passaro'!$K$2:$K$1795,$N1046)+(J1046-100)*INDEX('Tabela Passaro'!$L$2:$L$1795,$N1046))))))</f>
        <v>220.27</v>
      </c>
      <c r="S1046" s="32" t="n">
        <f aca="false">K1046*INDEX('Tabela Passaro'!$M$2:$M$1795,$N1046)</f>
        <v>2.427</v>
      </c>
      <c r="T1046" s="32" t="n">
        <f aca="false">K1046*INDEX('Tabela Passaro'!$N$2:$N$1795,$N1046)</f>
        <v>0.9708</v>
      </c>
      <c r="U1046" s="32" t="n">
        <f aca="false">INDEX('Tabela Passaro'!$O$2:$O$1795,$N1046)</f>
        <v>5</v>
      </c>
      <c r="V1046" s="32" t="n">
        <f aca="false">ROUNDUP(J1046/INDEX('Tabela Passaro'!$Q$2:$Q$1795,$N1046),0)*INDEX('Tabela Passaro'!$P$2:$P$1795,$N1046)</f>
        <v>5</v>
      </c>
      <c r="W1046" s="32" t="n">
        <f aca="false">INDEX('Tabela Passaro'!$R$2:$R$1795,$N1046)</f>
        <v>30</v>
      </c>
      <c r="X1046" s="32" t="n">
        <f aca="false">ROUNDUP(J1046/INDEX('Tabela Passaro'!$T$2:$T$1795,$N1046),0)*INDEX('Tabela Passaro'!$S$2:$S$1795,$N1046)</f>
        <v>0</v>
      </c>
      <c r="Y1046" s="32" t="n">
        <f aca="false">INDEX('Tabela Passaro'!$U$2:$U$1795,$N1046)</f>
        <v>0</v>
      </c>
      <c r="Z1046" s="32" t="n">
        <f aca="false">INDEX('Tabela Passaro'!$V$2:$V$1795,$N1046)</f>
        <v>0</v>
      </c>
      <c r="AA1046" s="32" t="n">
        <f aca="false">SUM(R1046:Z1046)</f>
        <v>263.6678</v>
      </c>
      <c r="AB1046" s="33" t="n">
        <f aca="false">INDEX(Premissas!$B$5:$B$13,MATCH(A1046,Premissas!$A$5:$A$13,0))</f>
        <v>0.07</v>
      </c>
      <c r="AC1046" s="32" t="n">
        <f aca="false">AA1046/(1-AB1046)-AA1046</f>
        <v>19.8459634408603</v>
      </c>
      <c r="AD1046" s="32" t="n">
        <f aca="false">ROUND(AA1046+AC1046,2)</f>
        <v>283.51</v>
      </c>
      <c r="AE1046" s="32" t="n">
        <f aca="false">AD1046-L1046</f>
        <v>164.01</v>
      </c>
      <c r="AF1046" s="34" t="n">
        <f aca="false">IF(L1046=0,0,AE1046/L1046)</f>
        <v>1.37246861924686</v>
      </c>
      <c r="AG1046" s="22" t="str">
        <f aca="false">IF(AD1046&lt;L1046,"PASSARO","ATUAL")</f>
        <v>ATUAL</v>
      </c>
      <c r="AH1046" s="22" t="str">
        <f aca="false">IF(P1046&lt;&gt;A1046,"Faixa cadastrada como "&amp;P1046&amp;" na tabela; preço aplicado pela UF do CEP","")</f>
        <v/>
      </c>
      <c r="AI1046" s="26" t="n">
        <v>296.92</v>
      </c>
      <c r="AJ1046" s="22" t="str">
        <f aca="false">INDEX('Tabela Passaro'!$X$2:$X$1795,$N1046)</f>
        <v>INTERIOR 1</v>
      </c>
    </row>
    <row r="1047" customFormat="false" ht="15" hidden="false" customHeight="false" outlineLevel="0" collapsed="false">
      <c r="A1047" s="22" t="s">
        <v>18</v>
      </c>
      <c r="B1047" s="22" t="n">
        <v>5</v>
      </c>
      <c r="C1047" s="22" t="s">
        <v>120</v>
      </c>
      <c r="D1047" s="22" t="s">
        <v>32</v>
      </c>
      <c r="E1047" s="22" t="s">
        <v>7326</v>
      </c>
      <c r="F1047" s="22" t="n">
        <v>905159</v>
      </c>
      <c r="G1047" s="30" t="n">
        <v>46253</v>
      </c>
      <c r="H1047" s="22" t="n">
        <v>626905</v>
      </c>
      <c r="I1047" s="22" t="s">
        <v>8299</v>
      </c>
      <c r="J1047" s="31" t="n">
        <v>43.5</v>
      </c>
      <c r="K1047" s="26" t="n">
        <v>722.71</v>
      </c>
      <c r="L1047" s="26" t="n">
        <v>136.08</v>
      </c>
      <c r="M1047" s="22" t="s">
        <v>3139</v>
      </c>
      <c r="N1047" s="22" t="n">
        <f aca="false">MATCH(M1047,'Tabela Passaro'!$A$2:$A$1795,0)</f>
        <v>723</v>
      </c>
      <c r="O1047" s="22" t="str">
        <f aca="false">INDEX('Tabela Passaro'!$C$2:$C$1795,$N1047)</f>
        <v>PACO DO LUMIAR</v>
      </c>
      <c r="P1047" s="22" t="str">
        <f aca="false">INDEX('Tabela Passaro'!$B$2:$B$1795,$N1047)</f>
        <v>MA</v>
      </c>
      <c r="Q1047" s="22" t="n">
        <f aca="false">INDEX('Tabela Passaro'!$F$2:$F$1795,$N1047)</f>
        <v>13</v>
      </c>
      <c r="R1047" s="32" t="n">
        <f aca="false">IF(J1047&lt;=10,INDEX('Tabela Passaro'!$G$2:$G$1795,$N1047),IF(J1047&lt;=30,INDEX('Tabela Passaro'!$H$2:$H$1795,$N1047),IF(J1047&lt;=50,INDEX('Tabela Passaro'!$I$2:$I$1795,$N1047),IF(J1047&lt;=70,INDEX('Tabela Passaro'!$J$2:$J$1795,$N1047),IF(J1047&lt;=100,INDEX('Tabela Passaro'!$K$2:$K$1795,$N1047),INDEX('Tabela Passaro'!$K$2:$K$1795,$N1047)+(J1047-100)*INDEX('Tabela Passaro'!$L$2:$L$1795,$N1047))))))</f>
        <v>242.41</v>
      </c>
      <c r="S1047" s="32" t="n">
        <f aca="false">K1047*INDEX('Tabela Passaro'!$M$2:$M$1795,$N1047)</f>
        <v>3.61355</v>
      </c>
      <c r="T1047" s="32" t="n">
        <f aca="false">K1047*INDEX('Tabela Passaro'!$N$2:$N$1795,$N1047)</f>
        <v>1.44542</v>
      </c>
      <c r="U1047" s="32" t="n">
        <f aca="false">INDEX('Tabela Passaro'!$O$2:$O$1795,$N1047)</f>
        <v>5</v>
      </c>
      <c r="V1047" s="32" t="n">
        <f aca="false">ROUNDUP(J1047/INDEX('Tabela Passaro'!$Q$2:$Q$1795,$N1047),0)*INDEX('Tabela Passaro'!$P$2:$P$1795,$N1047)</f>
        <v>5</v>
      </c>
      <c r="W1047" s="32" t="n">
        <f aca="false">INDEX('Tabela Passaro'!$R$2:$R$1795,$N1047)</f>
        <v>30</v>
      </c>
      <c r="X1047" s="32" t="n">
        <f aca="false">ROUNDUP(J1047/INDEX('Tabela Passaro'!$T$2:$T$1795,$N1047),0)*INDEX('Tabela Passaro'!$S$2:$S$1795,$N1047)</f>
        <v>0</v>
      </c>
      <c r="Y1047" s="32" t="n">
        <f aca="false">INDEX('Tabela Passaro'!$U$2:$U$1795,$N1047)</f>
        <v>0</v>
      </c>
      <c r="Z1047" s="32" t="n">
        <f aca="false">INDEX('Tabela Passaro'!$V$2:$V$1795,$N1047)</f>
        <v>0</v>
      </c>
      <c r="AA1047" s="32" t="n">
        <f aca="false">SUM(R1047:Z1047)</f>
        <v>287.46897</v>
      </c>
      <c r="AB1047" s="33" t="n">
        <f aca="false">INDEX(Premissas!$B$5:$B$13,MATCH(A1047,Premissas!$A$5:$A$13,0))</f>
        <v>0.07</v>
      </c>
      <c r="AC1047" s="32" t="n">
        <f aca="false">AA1047/(1-AB1047)-AA1047</f>
        <v>21.6374493548387</v>
      </c>
      <c r="AD1047" s="32" t="n">
        <f aca="false">ROUND(AA1047+AC1047,2)</f>
        <v>309.11</v>
      </c>
      <c r="AE1047" s="32" t="n">
        <f aca="false">AD1047-L1047</f>
        <v>173.03</v>
      </c>
      <c r="AF1047" s="34" t="n">
        <f aca="false">IF(L1047=0,0,AE1047/L1047)</f>
        <v>1.27153145208701</v>
      </c>
      <c r="AG1047" s="22" t="str">
        <f aca="false">IF(AD1047&lt;L1047,"PASSARO","ATUAL")</f>
        <v>ATUAL</v>
      </c>
      <c r="AH1047" s="22" t="str">
        <f aca="false">IF(P1047&lt;&gt;A1047,"Faixa cadastrada como "&amp;P1047&amp;" na tabela; preço aplicado pela UF do CEP","")</f>
        <v/>
      </c>
      <c r="AI1047" s="26" t="n">
        <v>334.91</v>
      </c>
      <c r="AJ1047" s="22" t="str">
        <f aca="false">INDEX('Tabela Passaro'!$X$2:$X$1795,$N1047)</f>
        <v>INTERIOR 1</v>
      </c>
    </row>
    <row r="1048" customFormat="false" ht="15" hidden="false" customHeight="false" outlineLevel="0" collapsed="false">
      <c r="A1048" s="22" t="s">
        <v>18</v>
      </c>
      <c r="B1048" s="22" t="n">
        <v>5</v>
      </c>
      <c r="C1048" s="22" t="s">
        <v>120</v>
      </c>
      <c r="D1048" s="22" t="s">
        <v>30</v>
      </c>
      <c r="E1048" s="22" t="s">
        <v>20</v>
      </c>
      <c r="F1048" s="22" t="n">
        <v>838393</v>
      </c>
      <c r="G1048" s="30" t="n">
        <v>46244</v>
      </c>
      <c r="H1048" s="22" t="n">
        <v>32443</v>
      </c>
      <c r="I1048" s="22" t="s">
        <v>8299</v>
      </c>
      <c r="J1048" s="31" t="n">
        <v>21.4</v>
      </c>
      <c r="K1048" s="26" t="n">
        <v>455.88</v>
      </c>
      <c r="L1048" s="26" t="n">
        <v>137.17</v>
      </c>
      <c r="M1048" s="22" t="s">
        <v>3139</v>
      </c>
      <c r="N1048" s="22" t="n">
        <f aca="false">MATCH(M1048,'Tabela Passaro'!$A$2:$A$1795,0)</f>
        <v>723</v>
      </c>
      <c r="O1048" s="22" t="str">
        <f aca="false">INDEX('Tabela Passaro'!$C$2:$C$1795,$N1048)</f>
        <v>PACO DO LUMIAR</v>
      </c>
      <c r="P1048" s="22" t="str">
        <f aca="false">INDEX('Tabela Passaro'!$B$2:$B$1795,$N1048)</f>
        <v>MA</v>
      </c>
      <c r="Q1048" s="22" t="n">
        <f aca="false">INDEX('Tabela Passaro'!$F$2:$F$1795,$N1048)</f>
        <v>13</v>
      </c>
      <c r="R1048" s="32" t="n">
        <f aca="false">IF(J1048&lt;=10,INDEX('Tabela Passaro'!$G$2:$G$1795,$N1048),IF(J1048&lt;=30,INDEX('Tabela Passaro'!$H$2:$H$1795,$N1048),IF(J1048&lt;=50,INDEX('Tabela Passaro'!$I$2:$I$1795,$N1048),IF(J1048&lt;=70,INDEX('Tabela Passaro'!$J$2:$J$1795,$N1048),IF(J1048&lt;=100,INDEX('Tabela Passaro'!$K$2:$K$1795,$N1048),INDEX('Tabela Passaro'!$K$2:$K$1795,$N1048)+(J1048-100)*INDEX('Tabela Passaro'!$L$2:$L$1795,$N1048))))))</f>
        <v>220.27</v>
      </c>
      <c r="S1048" s="32" t="n">
        <f aca="false">K1048*INDEX('Tabela Passaro'!$M$2:$M$1795,$N1048)</f>
        <v>2.2794</v>
      </c>
      <c r="T1048" s="32" t="n">
        <f aca="false">K1048*INDEX('Tabela Passaro'!$N$2:$N$1795,$N1048)</f>
        <v>0.91176</v>
      </c>
      <c r="U1048" s="32" t="n">
        <f aca="false">INDEX('Tabela Passaro'!$O$2:$O$1795,$N1048)</f>
        <v>5</v>
      </c>
      <c r="V1048" s="32" t="n">
        <f aca="false">ROUNDUP(J1048/INDEX('Tabela Passaro'!$Q$2:$Q$1795,$N1048),0)*INDEX('Tabela Passaro'!$P$2:$P$1795,$N1048)</f>
        <v>5</v>
      </c>
      <c r="W1048" s="32" t="n">
        <f aca="false">INDEX('Tabela Passaro'!$R$2:$R$1795,$N1048)</f>
        <v>30</v>
      </c>
      <c r="X1048" s="32" t="n">
        <f aca="false">ROUNDUP(J1048/INDEX('Tabela Passaro'!$T$2:$T$1795,$N1048),0)*INDEX('Tabela Passaro'!$S$2:$S$1795,$N1048)</f>
        <v>0</v>
      </c>
      <c r="Y1048" s="32" t="n">
        <f aca="false">INDEX('Tabela Passaro'!$U$2:$U$1795,$N1048)</f>
        <v>0</v>
      </c>
      <c r="Z1048" s="32" t="n">
        <f aca="false">INDEX('Tabela Passaro'!$V$2:$V$1795,$N1048)</f>
        <v>0</v>
      </c>
      <c r="AA1048" s="32" t="n">
        <f aca="false">SUM(R1048:Z1048)</f>
        <v>263.46116</v>
      </c>
      <c r="AB1048" s="33" t="n">
        <f aca="false">INDEX(Premissas!$B$5:$B$13,MATCH(A1048,Premissas!$A$5:$A$13,0))</f>
        <v>0.07</v>
      </c>
      <c r="AC1048" s="32" t="n">
        <f aca="false">AA1048/(1-AB1048)-AA1048</f>
        <v>19.8304098924731</v>
      </c>
      <c r="AD1048" s="32" t="n">
        <f aca="false">ROUND(AA1048+AC1048,2)</f>
        <v>283.29</v>
      </c>
      <c r="AE1048" s="32" t="n">
        <f aca="false">AD1048-L1048</f>
        <v>146.12</v>
      </c>
      <c r="AF1048" s="34" t="n">
        <f aca="false">IF(L1048=0,0,AE1048/L1048)</f>
        <v>1.06524750309835</v>
      </c>
      <c r="AG1048" s="22" t="str">
        <f aca="false">IF(AD1048&lt;L1048,"PASSARO","ATUAL")</f>
        <v>ATUAL</v>
      </c>
      <c r="AH1048" s="22" t="str">
        <f aca="false">IF(P1048&lt;&gt;A1048,"Faixa cadastrada como "&amp;P1048&amp;" na tabela; preço aplicado pela UF do CEP","")</f>
        <v/>
      </c>
      <c r="AI1048" s="26" t="n">
        <v>296.64</v>
      </c>
      <c r="AJ1048" s="22" t="str">
        <f aca="false">INDEX('Tabela Passaro'!$X$2:$X$1795,$N1048)</f>
        <v>INTERIOR 1</v>
      </c>
    </row>
    <row r="1049" customFormat="false" ht="15" hidden="false" customHeight="false" outlineLevel="0" collapsed="false">
      <c r="A1049" s="22" t="s">
        <v>18</v>
      </c>
      <c r="B1049" s="22" t="n">
        <v>5</v>
      </c>
      <c r="C1049" s="22" t="s">
        <v>120</v>
      </c>
      <c r="D1049" s="22" t="s">
        <v>30</v>
      </c>
      <c r="E1049" s="22" t="s">
        <v>20</v>
      </c>
      <c r="F1049" s="22" t="n">
        <v>839398</v>
      </c>
      <c r="G1049" s="30" t="n">
        <v>46252</v>
      </c>
      <c r="H1049" s="22" t="n">
        <v>32536</v>
      </c>
      <c r="I1049" s="22" t="s">
        <v>8299</v>
      </c>
      <c r="J1049" s="31" t="n">
        <v>34.1</v>
      </c>
      <c r="K1049" s="26" t="n">
        <v>552.18</v>
      </c>
      <c r="L1049" s="26" t="n">
        <v>188.39</v>
      </c>
      <c r="M1049" s="22" t="s">
        <v>3139</v>
      </c>
      <c r="N1049" s="22" t="n">
        <f aca="false">MATCH(M1049,'Tabela Passaro'!$A$2:$A$1795,0)</f>
        <v>723</v>
      </c>
      <c r="O1049" s="22" t="str">
        <f aca="false">INDEX('Tabela Passaro'!$C$2:$C$1795,$N1049)</f>
        <v>PACO DO LUMIAR</v>
      </c>
      <c r="P1049" s="22" t="str">
        <f aca="false">INDEX('Tabela Passaro'!$B$2:$B$1795,$N1049)</f>
        <v>MA</v>
      </c>
      <c r="Q1049" s="22" t="n">
        <f aca="false">INDEX('Tabela Passaro'!$F$2:$F$1795,$N1049)</f>
        <v>13</v>
      </c>
      <c r="R1049" s="32" t="n">
        <f aca="false">IF(J1049&lt;=10,INDEX('Tabela Passaro'!$G$2:$G$1795,$N1049),IF(J1049&lt;=30,INDEX('Tabela Passaro'!$H$2:$H$1795,$N1049),IF(J1049&lt;=50,INDEX('Tabela Passaro'!$I$2:$I$1795,$N1049),IF(J1049&lt;=70,INDEX('Tabela Passaro'!$J$2:$J$1795,$N1049),IF(J1049&lt;=100,INDEX('Tabela Passaro'!$K$2:$K$1795,$N1049),INDEX('Tabela Passaro'!$K$2:$K$1795,$N1049)+(J1049-100)*INDEX('Tabela Passaro'!$L$2:$L$1795,$N1049))))))</f>
        <v>242.41</v>
      </c>
      <c r="S1049" s="32" t="n">
        <f aca="false">K1049*INDEX('Tabela Passaro'!$M$2:$M$1795,$N1049)</f>
        <v>2.7609</v>
      </c>
      <c r="T1049" s="32" t="n">
        <f aca="false">K1049*INDEX('Tabela Passaro'!$N$2:$N$1795,$N1049)</f>
        <v>1.10436</v>
      </c>
      <c r="U1049" s="32" t="n">
        <f aca="false">INDEX('Tabela Passaro'!$O$2:$O$1795,$N1049)</f>
        <v>5</v>
      </c>
      <c r="V1049" s="32" t="n">
        <f aca="false">ROUNDUP(J1049/INDEX('Tabela Passaro'!$Q$2:$Q$1795,$N1049),0)*INDEX('Tabela Passaro'!$P$2:$P$1795,$N1049)</f>
        <v>5</v>
      </c>
      <c r="W1049" s="32" t="n">
        <f aca="false">INDEX('Tabela Passaro'!$R$2:$R$1795,$N1049)</f>
        <v>30</v>
      </c>
      <c r="X1049" s="32" t="n">
        <f aca="false">ROUNDUP(J1049/INDEX('Tabela Passaro'!$T$2:$T$1795,$N1049),0)*INDEX('Tabela Passaro'!$S$2:$S$1795,$N1049)</f>
        <v>0</v>
      </c>
      <c r="Y1049" s="32" t="n">
        <f aca="false">INDEX('Tabela Passaro'!$U$2:$U$1795,$N1049)</f>
        <v>0</v>
      </c>
      <c r="Z1049" s="32" t="n">
        <f aca="false">INDEX('Tabela Passaro'!$V$2:$V$1795,$N1049)</f>
        <v>0</v>
      </c>
      <c r="AA1049" s="32" t="n">
        <f aca="false">SUM(R1049:Z1049)</f>
        <v>286.27526</v>
      </c>
      <c r="AB1049" s="33" t="n">
        <f aca="false">INDEX(Premissas!$B$5:$B$13,MATCH(A1049,Premissas!$A$5:$A$13,0))</f>
        <v>0.07</v>
      </c>
      <c r="AC1049" s="32" t="n">
        <f aca="false">AA1049/(1-AB1049)-AA1049</f>
        <v>21.5476002150538</v>
      </c>
      <c r="AD1049" s="32" t="n">
        <f aca="false">ROUND(AA1049+AC1049,2)</f>
        <v>307.82</v>
      </c>
      <c r="AE1049" s="32" t="n">
        <f aca="false">AD1049-L1049</f>
        <v>119.43</v>
      </c>
      <c r="AF1049" s="34" t="n">
        <f aca="false">IF(L1049=0,0,AE1049/L1049)</f>
        <v>0.633950846647911</v>
      </c>
      <c r="AG1049" s="22" t="str">
        <f aca="false">IF(AD1049&lt;L1049,"PASSARO","ATUAL")</f>
        <v>ATUAL</v>
      </c>
      <c r="AH1049" s="22" t="str">
        <f aca="false">IF(P1049&lt;&gt;A1049,"Faixa cadastrada como "&amp;P1049&amp;" na tabela; preço aplicado pela UF do CEP","")</f>
        <v/>
      </c>
      <c r="AI1049" s="26" t="n">
        <v>328.9</v>
      </c>
      <c r="AJ1049" s="22" t="str">
        <f aca="false">INDEX('Tabela Passaro'!$X$2:$X$1795,$N1049)</f>
        <v>INTERIOR 1</v>
      </c>
    </row>
    <row r="1050" customFormat="false" ht="15" hidden="false" customHeight="false" outlineLevel="0" collapsed="false">
      <c r="A1050" s="22" t="s">
        <v>18</v>
      </c>
      <c r="B1050" s="22" t="n">
        <v>5</v>
      </c>
      <c r="C1050" s="22" t="s">
        <v>120</v>
      </c>
      <c r="D1050" s="22" t="s">
        <v>30</v>
      </c>
      <c r="E1050" s="22" t="s">
        <v>7328</v>
      </c>
      <c r="F1050" s="22" t="n">
        <v>2315634</v>
      </c>
      <c r="G1050" s="30" t="n">
        <v>46258</v>
      </c>
      <c r="H1050" s="22" t="n">
        <v>134361</v>
      </c>
      <c r="I1050" s="22" t="s">
        <v>8299</v>
      </c>
      <c r="J1050" s="31" t="n">
        <v>37.59</v>
      </c>
      <c r="K1050" s="26" t="n">
        <v>722.05</v>
      </c>
      <c r="L1050" s="26" t="n">
        <v>198.78</v>
      </c>
      <c r="M1050" s="22" t="s">
        <v>3139</v>
      </c>
      <c r="N1050" s="22" t="n">
        <f aca="false">MATCH(M1050,'Tabela Passaro'!$A$2:$A$1795,0)</f>
        <v>723</v>
      </c>
      <c r="O1050" s="22" t="str">
        <f aca="false">INDEX('Tabela Passaro'!$C$2:$C$1795,$N1050)</f>
        <v>PACO DO LUMIAR</v>
      </c>
      <c r="P1050" s="22" t="str">
        <f aca="false">INDEX('Tabela Passaro'!$B$2:$B$1795,$N1050)</f>
        <v>MA</v>
      </c>
      <c r="Q1050" s="22" t="n">
        <f aca="false">INDEX('Tabela Passaro'!$F$2:$F$1795,$N1050)</f>
        <v>13</v>
      </c>
      <c r="R1050" s="32" t="n">
        <f aca="false">IF(J1050&lt;=10,INDEX('Tabela Passaro'!$G$2:$G$1795,$N1050),IF(J1050&lt;=30,INDEX('Tabela Passaro'!$H$2:$H$1795,$N1050),IF(J1050&lt;=50,INDEX('Tabela Passaro'!$I$2:$I$1795,$N1050),IF(J1050&lt;=70,INDEX('Tabela Passaro'!$J$2:$J$1795,$N1050),IF(J1050&lt;=100,INDEX('Tabela Passaro'!$K$2:$K$1795,$N1050),INDEX('Tabela Passaro'!$K$2:$K$1795,$N1050)+(J1050-100)*INDEX('Tabela Passaro'!$L$2:$L$1795,$N1050))))))</f>
        <v>242.41</v>
      </c>
      <c r="S1050" s="32" t="n">
        <f aca="false">K1050*INDEX('Tabela Passaro'!$M$2:$M$1795,$N1050)</f>
        <v>3.61025</v>
      </c>
      <c r="T1050" s="32" t="n">
        <f aca="false">K1050*INDEX('Tabela Passaro'!$N$2:$N$1795,$N1050)</f>
        <v>1.4441</v>
      </c>
      <c r="U1050" s="32" t="n">
        <f aca="false">INDEX('Tabela Passaro'!$O$2:$O$1795,$N1050)</f>
        <v>5</v>
      </c>
      <c r="V1050" s="32" t="n">
        <f aca="false">ROUNDUP(J1050/INDEX('Tabela Passaro'!$Q$2:$Q$1795,$N1050),0)*INDEX('Tabela Passaro'!$P$2:$P$1795,$N1050)</f>
        <v>5</v>
      </c>
      <c r="W1050" s="32" t="n">
        <f aca="false">INDEX('Tabela Passaro'!$R$2:$R$1795,$N1050)</f>
        <v>30</v>
      </c>
      <c r="X1050" s="32" t="n">
        <f aca="false">ROUNDUP(J1050/INDEX('Tabela Passaro'!$T$2:$T$1795,$N1050),0)*INDEX('Tabela Passaro'!$S$2:$S$1795,$N1050)</f>
        <v>0</v>
      </c>
      <c r="Y1050" s="32" t="n">
        <f aca="false">INDEX('Tabela Passaro'!$U$2:$U$1795,$N1050)</f>
        <v>0</v>
      </c>
      <c r="Z1050" s="32" t="n">
        <f aca="false">INDEX('Tabela Passaro'!$V$2:$V$1795,$N1050)</f>
        <v>0</v>
      </c>
      <c r="AA1050" s="32" t="n">
        <f aca="false">SUM(R1050:Z1050)</f>
        <v>287.46435</v>
      </c>
      <c r="AB1050" s="33" t="n">
        <f aca="false">INDEX(Premissas!$B$5:$B$13,MATCH(A1050,Premissas!$A$5:$A$13,0))</f>
        <v>0.07</v>
      </c>
      <c r="AC1050" s="32" t="n">
        <f aca="false">AA1050/(1-AB1050)-AA1050</f>
        <v>21.6371016129032</v>
      </c>
      <c r="AD1050" s="32" t="n">
        <f aca="false">ROUND(AA1050+AC1050,2)</f>
        <v>309.1</v>
      </c>
      <c r="AE1050" s="32" t="n">
        <f aca="false">AD1050-L1050</f>
        <v>110.32</v>
      </c>
      <c r="AF1050" s="34" t="n">
        <f aca="false">IF(L1050=0,0,AE1050/L1050)</f>
        <v>0.554985411007144</v>
      </c>
      <c r="AG1050" s="22" t="str">
        <f aca="false">IF(AD1050&lt;L1050,"PASSARO","ATUAL")</f>
        <v>ATUAL</v>
      </c>
      <c r="AH1050" s="22" t="str">
        <f aca="false">IF(P1050&lt;&gt;A1050,"Faixa cadastrada como "&amp;P1050&amp;" na tabela; preço aplicado pela UF do CEP","")</f>
        <v/>
      </c>
      <c r="AI1050" s="26" t="n">
        <v>332</v>
      </c>
      <c r="AJ1050" s="22" t="str">
        <f aca="false">INDEX('Tabela Passaro'!$X$2:$X$1795,$N1050)</f>
        <v>INTERIOR 1</v>
      </c>
    </row>
    <row r="1051" customFormat="false" ht="15" hidden="false" customHeight="false" outlineLevel="0" collapsed="false">
      <c r="A1051" s="22" t="s">
        <v>18</v>
      </c>
      <c r="B1051" s="22" t="n">
        <v>5</v>
      </c>
      <c r="C1051" s="22" t="s">
        <v>120</v>
      </c>
      <c r="D1051" s="22" t="s">
        <v>30</v>
      </c>
      <c r="E1051" s="22" t="s">
        <v>20</v>
      </c>
      <c r="F1051" s="22" t="n">
        <v>840005</v>
      </c>
      <c r="G1051" s="30" t="n">
        <v>46259</v>
      </c>
      <c r="H1051" s="22" t="n">
        <v>32652</v>
      </c>
      <c r="I1051" s="22" t="s">
        <v>8299</v>
      </c>
      <c r="J1051" s="31" t="n">
        <v>61.3</v>
      </c>
      <c r="K1051" s="26" t="n">
        <v>1062.67</v>
      </c>
      <c r="L1051" s="26" t="n">
        <v>245.73</v>
      </c>
      <c r="M1051" s="22" t="s">
        <v>3139</v>
      </c>
      <c r="N1051" s="22" t="n">
        <f aca="false">MATCH(M1051,'Tabela Passaro'!$A$2:$A$1795,0)</f>
        <v>723</v>
      </c>
      <c r="O1051" s="22" t="str">
        <f aca="false">INDEX('Tabela Passaro'!$C$2:$C$1795,$N1051)</f>
        <v>PACO DO LUMIAR</v>
      </c>
      <c r="P1051" s="22" t="str">
        <f aca="false">INDEX('Tabela Passaro'!$B$2:$B$1795,$N1051)</f>
        <v>MA</v>
      </c>
      <c r="Q1051" s="22" t="n">
        <f aca="false">INDEX('Tabela Passaro'!$F$2:$F$1795,$N1051)</f>
        <v>13</v>
      </c>
      <c r="R1051" s="32" t="n">
        <f aca="false">IF(J1051&lt;=10,INDEX('Tabela Passaro'!$G$2:$G$1795,$N1051),IF(J1051&lt;=30,INDEX('Tabela Passaro'!$H$2:$H$1795,$N1051),IF(J1051&lt;=50,INDEX('Tabela Passaro'!$I$2:$I$1795,$N1051),IF(J1051&lt;=70,INDEX('Tabela Passaro'!$J$2:$J$1795,$N1051),IF(J1051&lt;=100,INDEX('Tabela Passaro'!$K$2:$K$1795,$N1051),INDEX('Tabela Passaro'!$K$2:$K$1795,$N1051)+(J1051-100)*INDEX('Tabela Passaro'!$L$2:$L$1795,$N1051))))))</f>
        <v>259</v>
      </c>
      <c r="S1051" s="32" t="n">
        <f aca="false">K1051*INDEX('Tabela Passaro'!$M$2:$M$1795,$N1051)</f>
        <v>5.31335</v>
      </c>
      <c r="T1051" s="32" t="n">
        <f aca="false">K1051*INDEX('Tabela Passaro'!$N$2:$N$1795,$N1051)</f>
        <v>2.12534</v>
      </c>
      <c r="U1051" s="32" t="n">
        <f aca="false">INDEX('Tabela Passaro'!$O$2:$O$1795,$N1051)</f>
        <v>5</v>
      </c>
      <c r="V1051" s="32" t="n">
        <f aca="false">ROUNDUP(J1051/INDEX('Tabela Passaro'!$Q$2:$Q$1795,$N1051),0)*INDEX('Tabela Passaro'!$P$2:$P$1795,$N1051)</f>
        <v>5</v>
      </c>
      <c r="W1051" s="32" t="n">
        <f aca="false">INDEX('Tabela Passaro'!$R$2:$R$1795,$N1051)</f>
        <v>30</v>
      </c>
      <c r="X1051" s="32" t="n">
        <f aca="false">ROUNDUP(J1051/INDEX('Tabela Passaro'!$T$2:$T$1795,$N1051),0)*INDEX('Tabela Passaro'!$S$2:$S$1795,$N1051)</f>
        <v>0</v>
      </c>
      <c r="Y1051" s="32" t="n">
        <f aca="false">INDEX('Tabela Passaro'!$U$2:$U$1795,$N1051)</f>
        <v>0</v>
      </c>
      <c r="Z1051" s="32" t="n">
        <f aca="false">INDEX('Tabela Passaro'!$V$2:$V$1795,$N1051)</f>
        <v>0</v>
      </c>
      <c r="AA1051" s="32" t="n">
        <f aca="false">SUM(R1051:Z1051)</f>
        <v>306.43869</v>
      </c>
      <c r="AB1051" s="33" t="n">
        <f aca="false">INDEX(Premissas!$B$5:$B$13,MATCH(A1051,Premissas!$A$5:$A$13,0))</f>
        <v>0.07</v>
      </c>
      <c r="AC1051" s="32" t="n">
        <f aca="false">AA1051/(1-AB1051)-AA1051</f>
        <v>23.0652777419355</v>
      </c>
      <c r="AD1051" s="32" t="n">
        <f aca="false">ROUND(AA1051+AC1051,2)</f>
        <v>329.5</v>
      </c>
      <c r="AE1051" s="32" t="n">
        <f aca="false">AD1051-L1051</f>
        <v>83.77</v>
      </c>
      <c r="AF1051" s="34" t="n">
        <f aca="false">IF(L1051=0,0,AE1051/L1051)</f>
        <v>0.340902616693119</v>
      </c>
      <c r="AG1051" s="22" t="str">
        <f aca="false">IF(AD1051&lt;L1051,"PASSARO","ATUAL")</f>
        <v>ATUAL</v>
      </c>
      <c r="AH1051" s="22" t="str">
        <f aca="false">IF(P1051&lt;&gt;A1051,"Faixa cadastrada como "&amp;P1051&amp;" na tabela; preço aplicado pela UF do CEP","")</f>
        <v/>
      </c>
      <c r="AI1051" s="26" t="n">
        <v>365.7</v>
      </c>
      <c r="AJ1051" s="22" t="str">
        <f aca="false">INDEX('Tabela Passaro'!$X$2:$X$1795,$N1051)</f>
        <v>INTERIOR 1</v>
      </c>
    </row>
    <row r="1052" customFormat="false" ht="15" hidden="false" customHeight="false" outlineLevel="0" collapsed="false">
      <c r="A1052" s="22" t="s">
        <v>18</v>
      </c>
      <c r="B1052" s="22" t="n">
        <v>6</v>
      </c>
      <c r="C1052" s="22" t="s">
        <v>122</v>
      </c>
      <c r="D1052" s="22" t="s">
        <v>32</v>
      </c>
      <c r="E1052" s="22" t="s">
        <v>7326</v>
      </c>
      <c r="F1052" s="22" t="n">
        <v>901709</v>
      </c>
      <c r="G1052" s="30" t="n">
        <v>46240</v>
      </c>
      <c r="H1052" s="22" t="n">
        <v>621041</v>
      </c>
      <c r="I1052" s="22" t="s">
        <v>8300</v>
      </c>
      <c r="J1052" s="31" t="n">
        <v>50.7</v>
      </c>
      <c r="K1052" s="26" t="n">
        <v>1042.91</v>
      </c>
      <c r="L1052" s="26" t="n">
        <v>203.73</v>
      </c>
      <c r="M1052" s="22" t="s">
        <v>3112</v>
      </c>
      <c r="N1052" s="22" t="n">
        <f aca="false">MATCH(M1052,'Tabela Passaro'!$A$2:$A$1795,0)</f>
        <v>716</v>
      </c>
      <c r="O1052" s="22" t="str">
        <f aca="false">INDEX('Tabela Passaro'!$C$2:$C$1795,$N1052)</f>
        <v>LAGO DA PEDRA</v>
      </c>
      <c r="P1052" s="22" t="str">
        <f aca="false">INDEX('Tabela Passaro'!$B$2:$B$1795,$N1052)</f>
        <v>MA</v>
      </c>
      <c r="Q1052" s="22" t="n">
        <f aca="false">INDEX('Tabela Passaro'!$F$2:$F$1795,$N1052)</f>
        <v>13</v>
      </c>
      <c r="R1052" s="32" t="n">
        <f aca="false">IF(J1052&lt;=10,INDEX('Tabela Passaro'!$G$2:$G$1795,$N1052),IF(J1052&lt;=30,INDEX('Tabela Passaro'!$H$2:$H$1795,$N1052),IF(J1052&lt;=50,INDEX('Tabela Passaro'!$I$2:$I$1795,$N1052),IF(J1052&lt;=70,INDEX('Tabela Passaro'!$J$2:$J$1795,$N1052),IF(J1052&lt;=100,INDEX('Tabela Passaro'!$K$2:$K$1795,$N1052),INDEX('Tabela Passaro'!$K$2:$K$1795,$N1052)+(J1052-100)*INDEX('Tabela Passaro'!$L$2:$L$1795,$N1052))))))</f>
        <v>259</v>
      </c>
      <c r="S1052" s="32" t="n">
        <f aca="false">K1052*INDEX('Tabela Passaro'!$M$2:$M$1795,$N1052)</f>
        <v>5.21455</v>
      </c>
      <c r="T1052" s="32" t="n">
        <f aca="false">K1052*INDEX('Tabela Passaro'!$N$2:$N$1795,$N1052)</f>
        <v>2.08582</v>
      </c>
      <c r="U1052" s="32" t="n">
        <f aca="false">INDEX('Tabela Passaro'!$O$2:$O$1795,$N1052)</f>
        <v>5</v>
      </c>
      <c r="V1052" s="32" t="n">
        <f aca="false">ROUNDUP(J1052/INDEX('Tabela Passaro'!$Q$2:$Q$1795,$N1052),0)*INDEX('Tabela Passaro'!$P$2:$P$1795,$N1052)</f>
        <v>5</v>
      </c>
      <c r="W1052" s="32" t="n">
        <f aca="false">INDEX('Tabela Passaro'!$R$2:$R$1795,$N1052)</f>
        <v>30</v>
      </c>
      <c r="X1052" s="32" t="n">
        <f aca="false">ROUNDUP(J1052/INDEX('Tabela Passaro'!$T$2:$T$1795,$N1052),0)*INDEX('Tabela Passaro'!$S$2:$S$1795,$N1052)</f>
        <v>0</v>
      </c>
      <c r="Y1052" s="32" t="n">
        <f aca="false">INDEX('Tabela Passaro'!$U$2:$U$1795,$N1052)</f>
        <v>0</v>
      </c>
      <c r="Z1052" s="32" t="n">
        <f aca="false">INDEX('Tabela Passaro'!$V$2:$V$1795,$N1052)</f>
        <v>0</v>
      </c>
      <c r="AA1052" s="32" t="n">
        <f aca="false">SUM(R1052:Z1052)</f>
        <v>306.30037</v>
      </c>
      <c r="AB1052" s="33" t="n">
        <f aca="false">INDEX(Premissas!$B$5:$B$13,MATCH(A1052,Premissas!$A$5:$A$13,0))</f>
        <v>0.07</v>
      </c>
      <c r="AC1052" s="32" t="n">
        <f aca="false">AA1052/(1-AB1052)-AA1052</f>
        <v>23.0548665591398</v>
      </c>
      <c r="AD1052" s="32" t="n">
        <f aca="false">ROUND(AA1052+AC1052,2)</f>
        <v>329.36</v>
      </c>
      <c r="AE1052" s="32" t="n">
        <f aca="false">AD1052-L1052</f>
        <v>125.63</v>
      </c>
      <c r="AF1052" s="34" t="n">
        <f aca="false">IF(L1052=0,0,AE1052/L1052)</f>
        <v>0.616649487066215</v>
      </c>
      <c r="AG1052" s="22" t="str">
        <f aca="false">IF(AD1052&lt;L1052,"PASSARO","ATUAL")</f>
        <v>ATUAL</v>
      </c>
      <c r="AH1052" s="22" t="str">
        <f aca="false">IF(P1052&lt;&gt;A1052,"Faixa cadastrada como "&amp;P1052&amp;" na tabela; preço aplicado pela UF do CEP","")</f>
        <v/>
      </c>
      <c r="AI1052" s="26" t="n">
        <v>360.19</v>
      </c>
      <c r="AJ1052" s="22" t="str">
        <f aca="false">INDEX('Tabela Passaro'!$X$2:$X$1795,$N1052)</f>
        <v>INTERIOR 1</v>
      </c>
    </row>
    <row r="1053" customFormat="false" ht="15" hidden="false" customHeight="false" outlineLevel="0" collapsed="false">
      <c r="A1053" s="22" t="s">
        <v>18</v>
      </c>
      <c r="B1053" s="22" t="n">
        <v>6</v>
      </c>
      <c r="C1053" s="22" t="s">
        <v>122</v>
      </c>
      <c r="D1053" s="22" t="s">
        <v>32</v>
      </c>
      <c r="E1053" s="22" t="s">
        <v>7326</v>
      </c>
      <c r="F1053" s="22" t="n">
        <v>905553</v>
      </c>
      <c r="G1053" s="30" t="n">
        <v>46254</v>
      </c>
      <c r="H1053" s="22" t="n">
        <v>627443</v>
      </c>
      <c r="I1053" s="22" t="s">
        <v>8301</v>
      </c>
      <c r="J1053" s="31" t="n">
        <v>47.1</v>
      </c>
      <c r="K1053" s="26" t="n">
        <v>1025.73</v>
      </c>
      <c r="L1053" s="26" t="n">
        <v>188.31</v>
      </c>
      <c r="M1053" s="22" t="s">
        <v>3112</v>
      </c>
      <c r="N1053" s="22" t="n">
        <f aca="false">MATCH(M1053,'Tabela Passaro'!$A$2:$A$1795,0)</f>
        <v>716</v>
      </c>
      <c r="O1053" s="22" t="str">
        <f aca="false">INDEX('Tabela Passaro'!$C$2:$C$1795,$N1053)</f>
        <v>LAGO DA PEDRA</v>
      </c>
      <c r="P1053" s="22" t="str">
        <f aca="false">INDEX('Tabela Passaro'!$B$2:$B$1795,$N1053)</f>
        <v>MA</v>
      </c>
      <c r="Q1053" s="22" t="n">
        <f aca="false">INDEX('Tabela Passaro'!$F$2:$F$1795,$N1053)</f>
        <v>13</v>
      </c>
      <c r="R1053" s="32" t="n">
        <f aca="false">IF(J1053&lt;=10,INDEX('Tabela Passaro'!$G$2:$G$1795,$N1053),IF(J1053&lt;=30,INDEX('Tabela Passaro'!$H$2:$H$1795,$N1053),IF(J1053&lt;=50,INDEX('Tabela Passaro'!$I$2:$I$1795,$N1053),IF(J1053&lt;=70,INDEX('Tabela Passaro'!$J$2:$J$1795,$N1053),IF(J1053&lt;=100,INDEX('Tabela Passaro'!$K$2:$K$1795,$N1053),INDEX('Tabela Passaro'!$K$2:$K$1795,$N1053)+(J1053-100)*INDEX('Tabela Passaro'!$L$2:$L$1795,$N1053))))))</f>
        <v>242.41</v>
      </c>
      <c r="S1053" s="32" t="n">
        <f aca="false">K1053*INDEX('Tabela Passaro'!$M$2:$M$1795,$N1053)</f>
        <v>5.12865</v>
      </c>
      <c r="T1053" s="32" t="n">
        <f aca="false">K1053*INDEX('Tabela Passaro'!$N$2:$N$1795,$N1053)</f>
        <v>2.05146</v>
      </c>
      <c r="U1053" s="32" t="n">
        <f aca="false">INDEX('Tabela Passaro'!$O$2:$O$1795,$N1053)</f>
        <v>5</v>
      </c>
      <c r="V1053" s="32" t="n">
        <f aca="false">ROUNDUP(J1053/INDEX('Tabela Passaro'!$Q$2:$Q$1795,$N1053),0)*INDEX('Tabela Passaro'!$P$2:$P$1795,$N1053)</f>
        <v>5</v>
      </c>
      <c r="W1053" s="32" t="n">
        <f aca="false">INDEX('Tabela Passaro'!$R$2:$R$1795,$N1053)</f>
        <v>30</v>
      </c>
      <c r="X1053" s="32" t="n">
        <f aca="false">ROUNDUP(J1053/INDEX('Tabela Passaro'!$T$2:$T$1795,$N1053),0)*INDEX('Tabela Passaro'!$S$2:$S$1795,$N1053)</f>
        <v>0</v>
      </c>
      <c r="Y1053" s="32" t="n">
        <f aca="false">INDEX('Tabela Passaro'!$U$2:$U$1795,$N1053)</f>
        <v>0</v>
      </c>
      <c r="Z1053" s="32" t="n">
        <f aca="false">INDEX('Tabela Passaro'!$V$2:$V$1795,$N1053)</f>
        <v>0</v>
      </c>
      <c r="AA1053" s="32" t="n">
        <f aca="false">SUM(R1053:Z1053)</f>
        <v>289.59011</v>
      </c>
      <c r="AB1053" s="33" t="n">
        <f aca="false">INDEX(Premissas!$B$5:$B$13,MATCH(A1053,Premissas!$A$5:$A$13,0))</f>
        <v>0.07</v>
      </c>
      <c r="AC1053" s="32" t="n">
        <f aca="false">AA1053/(1-AB1053)-AA1053</f>
        <v>21.7971050537635</v>
      </c>
      <c r="AD1053" s="32" t="n">
        <f aca="false">ROUND(AA1053+AC1053,2)</f>
        <v>311.39</v>
      </c>
      <c r="AE1053" s="32" t="n">
        <f aca="false">AD1053-L1053</f>
        <v>123.08</v>
      </c>
      <c r="AF1053" s="34" t="n">
        <f aca="false">IF(L1053=0,0,AE1053/L1053)</f>
        <v>0.653603101269184</v>
      </c>
      <c r="AG1053" s="22" t="str">
        <f aca="false">IF(AD1053&lt;L1053,"PASSARO","ATUAL")</f>
        <v>ATUAL</v>
      </c>
      <c r="AH1053" s="22" t="str">
        <f aca="false">IF(P1053&lt;&gt;A1053,"Faixa cadastrada como "&amp;P1053&amp;" na tabela; preço aplicado pela UF do CEP","")</f>
        <v/>
      </c>
      <c r="AI1053" s="26" t="n">
        <v>339.78</v>
      </c>
      <c r="AJ1053" s="22" t="str">
        <f aca="false">INDEX('Tabela Passaro'!$X$2:$X$1795,$N1053)</f>
        <v>INTERIOR 1</v>
      </c>
    </row>
    <row r="1054" customFormat="false" ht="15" hidden="false" customHeight="false" outlineLevel="0" collapsed="false">
      <c r="A1054" s="22" t="s">
        <v>18</v>
      </c>
      <c r="B1054" s="22" t="n">
        <v>6</v>
      </c>
      <c r="C1054" s="22" t="s">
        <v>122</v>
      </c>
      <c r="D1054" s="22" t="s">
        <v>32</v>
      </c>
      <c r="E1054" s="22" t="s">
        <v>7326</v>
      </c>
      <c r="F1054" s="22" t="n">
        <v>905933</v>
      </c>
      <c r="G1054" s="30" t="n">
        <v>46255</v>
      </c>
      <c r="H1054" s="22" t="n">
        <v>627836</v>
      </c>
      <c r="I1054" s="22" t="s">
        <v>8301</v>
      </c>
      <c r="J1054" s="31" t="n">
        <v>106.3</v>
      </c>
      <c r="K1054" s="26" t="n">
        <v>1968.84</v>
      </c>
      <c r="L1054" s="26" t="n">
        <v>311.49</v>
      </c>
      <c r="M1054" s="22" t="s">
        <v>3112</v>
      </c>
      <c r="N1054" s="22" t="n">
        <f aca="false">MATCH(M1054,'Tabela Passaro'!$A$2:$A$1795,0)</f>
        <v>716</v>
      </c>
      <c r="O1054" s="22" t="str">
        <f aca="false">INDEX('Tabela Passaro'!$C$2:$C$1795,$N1054)</f>
        <v>LAGO DA PEDRA</v>
      </c>
      <c r="P1054" s="22" t="str">
        <f aca="false">INDEX('Tabela Passaro'!$B$2:$B$1795,$N1054)</f>
        <v>MA</v>
      </c>
      <c r="Q1054" s="22" t="n">
        <f aca="false">INDEX('Tabela Passaro'!$F$2:$F$1795,$N1054)</f>
        <v>13</v>
      </c>
      <c r="R1054" s="32" t="n">
        <f aca="false">IF(J1054&lt;=10,INDEX('Tabela Passaro'!$G$2:$G$1795,$N1054),IF(J1054&lt;=30,INDEX('Tabela Passaro'!$H$2:$H$1795,$N1054),IF(J1054&lt;=50,INDEX('Tabela Passaro'!$I$2:$I$1795,$N1054),IF(J1054&lt;=70,INDEX('Tabela Passaro'!$J$2:$J$1795,$N1054),IF(J1054&lt;=100,INDEX('Tabela Passaro'!$K$2:$K$1795,$N1054),INDEX('Tabela Passaro'!$K$2:$K$1795,$N1054)+(J1054-100)*INDEX('Tabela Passaro'!$L$2:$L$1795,$N1054))))))</f>
        <v>291.161</v>
      </c>
      <c r="S1054" s="32" t="n">
        <f aca="false">K1054*INDEX('Tabela Passaro'!$M$2:$M$1795,$N1054)</f>
        <v>9.8442</v>
      </c>
      <c r="T1054" s="32" t="n">
        <f aca="false">K1054*INDEX('Tabela Passaro'!$N$2:$N$1795,$N1054)</f>
        <v>3.93768</v>
      </c>
      <c r="U1054" s="32" t="n">
        <f aca="false">INDEX('Tabela Passaro'!$O$2:$O$1795,$N1054)</f>
        <v>5</v>
      </c>
      <c r="V1054" s="32" t="n">
        <f aca="false">ROUNDUP(J1054/INDEX('Tabela Passaro'!$Q$2:$Q$1795,$N1054),0)*INDEX('Tabela Passaro'!$P$2:$P$1795,$N1054)</f>
        <v>10</v>
      </c>
      <c r="W1054" s="32" t="n">
        <f aca="false">INDEX('Tabela Passaro'!$R$2:$R$1795,$N1054)</f>
        <v>30</v>
      </c>
      <c r="X1054" s="32" t="n">
        <f aca="false">ROUNDUP(J1054/INDEX('Tabela Passaro'!$T$2:$T$1795,$N1054),0)*INDEX('Tabela Passaro'!$S$2:$S$1795,$N1054)</f>
        <v>0</v>
      </c>
      <c r="Y1054" s="32" t="n">
        <f aca="false">INDEX('Tabela Passaro'!$U$2:$U$1795,$N1054)</f>
        <v>0</v>
      </c>
      <c r="Z1054" s="32" t="n">
        <f aca="false">INDEX('Tabela Passaro'!$V$2:$V$1795,$N1054)</f>
        <v>0</v>
      </c>
      <c r="AA1054" s="32" t="n">
        <f aca="false">SUM(R1054:Z1054)</f>
        <v>349.94288</v>
      </c>
      <c r="AB1054" s="33" t="n">
        <f aca="false">INDEX(Premissas!$B$5:$B$13,MATCH(A1054,Premissas!$A$5:$A$13,0))</f>
        <v>0.07</v>
      </c>
      <c r="AC1054" s="32" t="n">
        <f aca="false">AA1054/(1-AB1054)-AA1054</f>
        <v>26.3397866666667</v>
      </c>
      <c r="AD1054" s="32" t="n">
        <f aca="false">ROUND(AA1054+AC1054,2)</f>
        <v>376.28</v>
      </c>
      <c r="AE1054" s="32" t="n">
        <f aca="false">AD1054-L1054</f>
        <v>64.79</v>
      </c>
      <c r="AF1054" s="34" t="n">
        <f aca="false">IF(L1054=0,0,AE1054/L1054)</f>
        <v>0.208000256830075</v>
      </c>
      <c r="AG1054" s="22" t="str">
        <f aca="false">IF(AD1054&lt;L1054,"PASSARO","ATUAL")</f>
        <v>ATUAL</v>
      </c>
      <c r="AH1054" s="22" t="str">
        <f aca="false">IF(P1054&lt;&gt;A1054,"Faixa cadastrada como "&amp;P1054&amp;" na tabela; preço aplicado pela UF do CEP","")</f>
        <v/>
      </c>
      <c r="AI1054" s="26" t="n">
        <v>439.24</v>
      </c>
      <c r="AJ1054" s="22" t="str">
        <f aca="false">INDEX('Tabela Passaro'!$X$2:$X$1795,$N1054)</f>
        <v>INTERIOR 1</v>
      </c>
    </row>
    <row r="1055" customFormat="false" ht="15" hidden="false" customHeight="false" outlineLevel="0" collapsed="false">
      <c r="A1055" s="22" t="s">
        <v>18</v>
      </c>
      <c r="B1055" s="22" t="n">
        <v>6</v>
      </c>
      <c r="C1055" s="22" t="s">
        <v>122</v>
      </c>
      <c r="D1055" s="22" t="s">
        <v>32</v>
      </c>
      <c r="E1055" s="22" t="s">
        <v>7326</v>
      </c>
      <c r="F1055" s="22" t="n">
        <v>907125</v>
      </c>
      <c r="G1055" s="30" t="n">
        <v>46260</v>
      </c>
      <c r="H1055" s="22" t="n">
        <v>629550</v>
      </c>
      <c r="I1055" s="22" t="s">
        <v>8301</v>
      </c>
      <c r="J1055" s="31" t="n">
        <v>116</v>
      </c>
      <c r="K1055" s="26" t="n">
        <v>1928.66</v>
      </c>
      <c r="L1055" s="26" t="n">
        <v>310.99</v>
      </c>
      <c r="M1055" s="22" t="s">
        <v>3112</v>
      </c>
      <c r="N1055" s="22" t="n">
        <f aca="false">MATCH(M1055,'Tabela Passaro'!$A$2:$A$1795,0)</f>
        <v>716</v>
      </c>
      <c r="O1055" s="22" t="str">
        <f aca="false">INDEX('Tabela Passaro'!$C$2:$C$1795,$N1055)</f>
        <v>LAGO DA PEDRA</v>
      </c>
      <c r="P1055" s="22" t="str">
        <f aca="false">INDEX('Tabela Passaro'!$B$2:$B$1795,$N1055)</f>
        <v>MA</v>
      </c>
      <c r="Q1055" s="22" t="n">
        <f aca="false">INDEX('Tabela Passaro'!$F$2:$F$1795,$N1055)</f>
        <v>13</v>
      </c>
      <c r="R1055" s="32" t="n">
        <f aca="false">IF(J1055&lt;=10,INDEX('Tabela Passaro'!$G$2:$G$1795,$N1055),IF(J1055&lt;=30,INDEX('Tabela Passaro'!$H$2:$H$1795,$N1055),IF(J1055&lt;=50,INDEX('Tabela Passaro'!$I$2:$I$1795,$N1055),IF(J1055&lt;=70,INDEX('Tabela Passaro'!$J$2:$J$1795,$N1055),IF(J1055&lt;=100,INDEX('Tabela Passaro'!$K$2:$K$1795,$N1055),INDEX('Tabela Passaro'!$K$2:$K$1795,$N1055)+(J1055-100)*INDEX('Tabela Passaro'!$L$2:$L$1795,$N1055))))))</f>
        <v>315.12</v>
      </c>
      <c r="S1055" s="32" t="n">
        <f aca="false">K1055*INDEX('Tabela Passaro'!$M$2:$M$1795,$N1055)</f>
        <v>9.6433</v>
      </c>
      <c r="T1055" s="32" t="n">
        <f aca="false">K1055*INDEX('Tabela Passaro'!$N$2:$N$1795,$N1055)</f>
        <v>3.85732</v>
      </c>
      <c r="U1055" s="32" t="n">
        <f aca="false">INDEX('Tabela Passaro'!$O$2:$O$1795,$N1055)</f>
        <v>5</v>
      </c>
      <c r="V1055" s="32" t="n">
        <f aca="false">ROUNDUP(J1055/INDEX('Tabela Passaro'!$Q$2:$Q$1795,$N1055),0)*INDEX('Tabela Passaro'!$P$2:$P$1795,$N1055)</f>
        <v>10</v>
      </c>
      <c r="W1055" s="32" t="n">
        <f aca="false">INDEX('Tabela Passaro'!$R$2:$R$1795,$N1055)</f>
        <v>30</v>
      </c>
      <c r="X1055" s="32" t="n">
        <f aca="false">ROUNDUP(J1055/INDEX('Tabela Passaro'!$T$2:$T$1795,$N1055),0)*INDEX('Tabela Passaro'!$S$2:$S$1795,$N1055)</f>
        <v>0</v>
      </c>
      <c r="Y1055" s="32" t="n">
        <f aca="false">INDEX('Tabela Passaro'!$U$2:$U$1795,$N1055)</f>
        <v>0</v>
      </c>
      <c r="Z1055" s="32" t="n">
        <f aca="false">INDEX('Tabela Passaro'!$V$2:$V$1795,$N1055)</f>
        <v>0</v>
      </c>
      <c r="AA1055" s="32" t="n">
        <f aca="false">SUM(R1055:Z1055)</f>
        <v>373.62062</v>
      </c>
      <c r="AB1055" s="33" t="n">
        <f aca="false">INDEX(Premissas!$B$5:$B$13,MATCH(A1055,Premissas!$A$5:$A$13,0))</f>
        <v>0.07</v>
      </c>
      <c r="AC1055" s="32" t="n">
        <f aca="false">AA1055/(1-AB1055)-AA1055</f>
        <v>28.1219821505377</v>
      </c>
      <c r="AD1055" s="32" t="n">
        <f aca="false">ROUND(AA1055+AC1055,2)</f>
        <v>401.74</v>
      </c>
      <c r="AE1055" s="32" t="n">
        <f aca="false">AD1055-L1055</f>
        <v>90.75</v>
      </c>
      <c r="AF1055" s="34" t="n">
        <f aca="false">IF(L1055=0,0,AE1055/L1055)</f>
        <v>0.291810026045854</v>
      </c>
      <c r="AG1055" s="22" t="str">
        <f aca="false">IF(AD1055&lt;L1055,"PASSARO","ATUAL")</f>
        <v>ATUAL</v>
      </c>
      <c r="AH1055" s="22" t="str">
        <f aca="false">IF(P1055&lt;&gt;A1055,"Faixa cadastrada como "&amp;P1055&amp;" na tabela; preço aplicado pela UF do CEP","")</f>
        <v/>
      </c>
      <c r="AI1055" s="26" t="n">
        <v>472.2</v>
      </c>
      <c r="AJ1055" s="22" t="str">
        <f aca="false">INDEX('Tabela Passaro'!$X$2:$X$1795,$N1055)</f>
        <v>INTERIOR 1</v>
      </c>
    </row>
    <row r="1056" customFormat="false" ht="15" hidden="false" customHeight="false" outlineLevel="0" collapsed="false">
      <c r="A1056" s="22" t="s">
        <v>18</v>
      </c>
      <c r="B1056" s="22" t="n">
        <v>6</v>
      </c>
      <c r="C1056" s="22" t="s">
        <v>122</v>
      </c>
      <c r="D1056" s="22" t="s">
        <v>30</v>
      </c>
      <c r="E1056" s="22" t="s">
        <v>7328</v>
      </c>
      <c r="F1056" s="22" t="n">
        <v>2307922</v>
      </c>
      <c r="G1056" s="30" t="n">
        <v>46239</v>
      </c>
      <c r="H1056" s="22" t="n">
        <v>131921</v>
      </c>
      <c r="I1056" s="22" t="s">
        <v>8301</v>
      </c>
      <c r="J1056" s="31" t="n">
        <v>67.8</v>
      </c>
      <c r="K1056" s="26" t="n">
        <v>1308.08</v>
      </c>
      <c r="L1056" s="26" t="n">
        <v>285.7</v>
      </c>
      <c r="M1056" s="22" t="s">
        <v>3112</v>
      </c>
      <c r="N1056" s="22" t="n">
        <f aca="false">MATCH(M1056,'Tabela Passaro'!$A$2:$A$1795,0)</f>
        <v>716</v>
      </c>
      <c r="O1056" s="22" t="str">
        <f aca="false">INDEX('Tabela Passaro'!$C$2:$C$1795,$N1056)</f>
        <v>LAGO DA PEDRA</v>
      </c>
      <c r="P1056" s="22" t="str">
        <f aca="false">INDEX('Tabela Passaro'!$B$2:$B$1795,$N1056)</f>
        <v>MA</v>
      </c>
      <c r="Q1056" s="22" t="n">
        <f aca="false">INDEX('Tabela Passaro'!$F$2:$F$1795,$N1056)</f>
        <v>13</v>
      </c>
      <c r="R1056" s="32" t="n">
        <f aca="false">IF(J1056&lt;=10,INDEX('Tabela Passaro'!$G$2:$G$1795,$N1056),IF(J1056&lt;=30,INDEX('Tabela Passaro'!$H$2:$H$1795,$N1056),IF(J1056&lt;=50,INDEX('Tabela Passaro'!$I$2:$I$1795,$N1056),IF(J1056&lt;=70,INDEX('Tabela Passaro'!$J$2:$J$1795,$N1056),IF(J1056&lt;=100,INDEX('Tabela Passaro'!$K$2:$K$1795,$N1056),INDEX('Tabela Passaro'!$K$2:$K$1795,$N1056)+(J1056-100)*INDEX('Tabela Passaro'!$L$2:$L$1795,$N1056))))))</f>
        <v>259</v>
      </c>
      <c r="S1056" s="32" t="n">
        <f aca="false">K1056*INDEX('Tabela Passaro'!$M$2:$M$1795,$N1056)</f>
        <v>6.5404</v>
      </c>
      <c r="T1056" s="32" t="n">
        <f aca="false">K1056*INDEX('Tabela Passaro'!$N$2:$N$1795,$N1056)</f>
        <v>2.61616</v>
      </c>
      <c r="U1056" s="32" t="n">
        <f aca="false">INDEX('Tabela Passaro'!$O$2:$O$1795,$N1056)</f>
        <v>5</v>
      </c>
      <c r="V1056" s="32" t="n">
        <f aca="false">ROUNDUP(J1056/INDEX('Tabela Passaro'!$Q$2:$Q$1795,$N1056),0)*INDEX('Tabela Passaro'!$P$2:$P$1795,$N1056)</f>
        <v>5</v>
      </c>
      <c r="W1056" s="32" t="n">
        <f aca="false">INDEX('Tabela Passaro'!$R$2:$R$1795,$N1056)</f>
        <v>30</v>
      </c>
      <c r="X1056" s="32" t="n">
        <f aca="false">ROUNDUP(J1056/INDEX('Tabela Passaro'!$T$2:$T$1795,$N1056),0)*INDEX('Tabela Passaro'!$S$2:$S$1795,$N1056)</f>
        <v>0</v>
      </c>
      <c r="Y1056" s="32" t="n">
        <f aca="false">INDEX('Tabela Passaro'!$U$2:$U$1795,$N1056)</f>
        <v>0</v>
      </c>
      <c r="Z1056" s="32" t="n">
        <f aca="false">INDEX('Tabela Passaro'!$V$2:$V$1795,$N1056)</f>
        <v>0</v>
      </c>
      <c r="AA1056" s="32" t="n">
        <f aca="false">SUM(R1056:Z1056)</f>
        <v>308.15656</v>
      </c>
      <c r="AB1056" s="33" t="n">
        <f aca="false">INDEX(Premissas!$B$5:$B$13,MATCH(A1056,Premissas!$A$5:$A$13,0))</f>
        <v>0.07</v>
      </c>
      <c r="AC1056" s="32" t="n">
        <f aca="false">AA1056/(1-AB1056)-AA1056</f>
        <v>23.1945797849463</v>
      </c>
      <c r="AD1056" s="32" t="n">
        <f aca="false">ROUND(AA1056+AC1056,2)</f>
        <v>331.35</v>
      </c>
      <c r="AE1056" s="32" t="n">
        <f aca="false">AD1056-L1056</f>
        <v>45.65</v>
      </c>
      <c r="AF1056" s="34" t="n">
        <f aca="false">IF(L1056=0,0,AE1056/L1056)</f>
        <v>0.159782989149458</v>
      </c>
      <c r="AG1056" s="22" t="str">
        <f aca="false">IF(AD1056&lt;L1056,"PASSARO","ATUAL")</f>
        <v>ATUAL</v>
      </c>
      <c r="AH1056" s="22" t="str">
        <f aca="false">IF(P1056&lt;&gt;A1056,"Faixa cadastrada como "&amp;P1056&amp;" na tabela; preço aplicado pela UF do CEP","")</f>
        <v/>
      </c>
      <c r="AI1056" s="26" t="n">
        <v>370.98</v>
      </c>
      <c r="AJ1056" s="22" t="str">
        <f aca="false">INDEX('Tabela Passaro'!$X$2:$X$1795,$N1056)</f>
        <v>INTERIOR 1</v>
      </c>
    </row>
    <row r="1057" customFormat="false" ht="15" hidden="false" customHeight="false" outlineLevel="0" collapsed="false">
      <c r="A1057" s="22" t="s">
        <v>18</v>
      </c>
      <c r="B1057" s="22" t="n">
        <v>6</v>
      </c>
      <c r="C1057" s="22" t="s">
        <v>122</v>
      </c>
      <c r="D1057" s="22" t="s">
        <v>30</v>
      </c>
      <c r="E1057" s="22" t="s">
        <v>7328</v>
      </c>
      <c r="F1057" s="22" t="n">
        <v>2309787</v>
      </c>
      <c r="G1057" s="30" t="n">
        <v>46244</v>
      </c>
      <c r="H1057" s="22" t="n">
        <v>132152</v>
      </c>
      <c r="I1057" s="22" t="s">
        <v>8301</v>
      </c>
      <c r="J1057" s="31" t="n">
        <v>59.8</v>
      </c>
      <c r="K1057" s="26" t="n">
        <v>1154.58</v>
      </c>
      <c r="L1057" s="26" t="n">
        <v>284.49</v>
      </c>
      <c r="M1057" s="22" t="s">
        <v>3112</v>
      </c>
      <c r="N1057" s="22" t="n">
        <f aca="false">MATCH(M1057,'Tabela Passaro'!$A$2:$A$1795,0)</f>
        <v>716</v>
      </c>
      <c r="O1057" s="22" t="str">
        <f aca="false">INDEX('Tabela Passaro'!$C$2:$C$1795,$N1057)</f>
        <v>LAGO DA PEDRA</v>
      </c>
      <c r="P1057" s="22" t="str">
        <f aca="false">INDEX('Tabela Passaro'!$B$2:$B$1795,$N1057)</f>
        <v>MA</v>
      </c>
      <c r="Q1057" s="22" t="n">
        <f aca="false">INDEX('Tabela Passaro'!$F$2:$F$1795,$N1057)</f>
        <v>13</v>
      </c>
      <c r="R1057" s="32" t="n">
        <f aca="false">IF(J1057&lt;=10,INDEX('Tabela Passaro'!$G$2:$G$1795,$N1057),IF(J1057&lt;=30,INDEX('Tabela Passaro'!$H$2:$H$1795,$N1057),IF(J1057&lt;=50,INDEX('Tabela Passaro'!$I$2:$I$1795,$N1057),IF(J1057&lt;=70,INDEX('Tabela Passaro'!$J$2:$J$1795,$N1057),IF(J1057&lt;=100,INDEX('Tabela Passaro'!$K$2:$K$1795,$N1057),INDEX('Tabela Passaro'!$K$2:$K$1795,$N1057)+(J1057-100)*INDEX('Tabela Passaro'!$L$2:$L$1795,$N1057))))))</f>
        <v>259</v>
      </c>
      <c r="S1057" s="32" t="n">
        <f aca="false">K1057*INDEX('Tabela Passaro'!$M$2:$M$1795,$N1057)</f>
        <v>5.7729</v>
      </c>
      <c r="T1057" s="32" t="n">
        <f aca="false">K1057*INDEX('Tabela Passaro'!$N$2:$N$1795,$N1057)</f>
        <v>2.30916</v>
      </c>
      <c r="U1057" s="32" t="n">
        <f aca="false">INDEX('Tabela Passaro'!$O$2:$O$1795,$N1057)</f>
        <v>5</v>
      </c>
      <c r="V1057" s="32" t="n">
        <f aca="false">ROUNDUP(J1057/INDEX('Tabela Passaro'!$Q$2:$Q$1795,$N1057),0)*INDEX('Tabela Passaro'!$P$2:$P$1795,$N1057)</f>
        <v>5</v>
      </c>
      <c r="W1057" s="32" t="n">
        <f aca="false">INDEX('Tabela Passaro'!$R$2:$R$1795,$N1057)</f>
        <v>30</v>
      </c>
      <c r="X1057" s="32" t="n">
        <f aca="false">ROUNDUP(J1057/INDEX('Tabela Passaro'!$T$2:$T$1795,$N1057),0)*INDEX('Tabela Passaro'!$S$2:$S$1795,$N1057)</f>
        <v>0</v>
      </c>
      <c r="Y1057" s="32" t="n">
        <f aca="false">INDEX('Tabela Passaro'!$U$2:$U$1795,$N1057)</f>
        <v>0</v>
      </c>
      <c r="Z1057" s="32" t="n">
        <f aca="false">INDEX('Tabela Passaro'!$V$2:$V$1795,$N1057)</f>
        <v>0</v>
      </c>
      <c r="AA1057" s="32" t="n">
        <f aca="false">SUM(R1057:Z1057)</f>
        <v>307.08206</v>
      </c>
      <c r="AB1057" s="33" t="n">
        <f aca="false">INDEX(Premissas!$B$5:$B$13,MATCH(A1057,Premissas!$A$5:$A$13,0))</f>
        <v>0.07</v>
      </c>
      <c r="AC1057" s="32" t="n">
        <f aca="false">AA1057/(1-AB1057)-AA1057</f>
        <v>23.1137034408603</v>
      </c>
      <c r="AD1057" s="32" t="n">
        <f aca="false">ROUND(AA1057+AC1057,2)</f>
        <v>330.2</v>
      </c>
      <c r="AE1057" s="32" t="n">
        <f aca="false">AD1057-L1057</f>
        <v>45.71</v>
      </c>
      <c r="AF1057" s="34" t="n">
        <f aca="false">IF(L1057=0,0,AE1057/L1057)</f>
        <v>0.160673485887026</v>
      </c>
      <c r="AG1057" s="22" t="str">
        <f aca="false">IF(AD1057&lt;L1057,"PASSARO","ATUAL")</f>
        <v>ATUAL</v>
      </c>
      <c r="AH1057" s="22" t="str">
        <f aca="false">IF(P1057&lt;&gt;A1057,"Faixa cadastrada como "&amp;P1057&amp;" na tabela; preço aplicado pela UF do CEP","")</f>
        <v/>
      </c>
      <c r="AI1057" s="26" t="n">
        <v>365.62</v>
      </c>
      <c r="AJ1057" s="22" t="str">
        <f aca="false">INDEX('Tabela Passaro'!$X$2:$X$1795,$N1057)</f>
        <v>INTERIOR 1</v>
      </c>
    </row>
    <row r="1058" customFormat="false" ht="15" hidden="false" customHeight="false" outlineLevel="0" collapsed="false">
      <c r="A1058" s="22" t="s">
        <v>18</v>
      </c>
      <c r="B1058" s="22" t="n">
        <v>7</v>
      </c>
      <c r="C1058" s="22" t="s">
        <v>124</v>
      </c>
      <c r="D1058" s="22" t="s">
        <v>32</v>
      </c>
      <c r="E1058" s="22" t="s">
        <v>7326</v>
      </c>
      <c r="F1058" s="22" t="n">
        <v>904512</v>
      </c>
      <c r="G1058" s="30" t="n">
        <v>46252</v>
      </c>
      <c r="H1058" s="22" t="n">
        <v>626616</v>
      </c>
      <c r="I1058" s="22" t="s">
        <v>8302</v>
      </c>
      <c r="J1058" s="31" t="n">
        <v>106.3</v>
      </c>
      <c r="K1058" s="26" t="n">
        <v>1963.84</v>
      </c>
      <c r="L1058" s="26" t="n">
        <v>311.42</v>
      </c>
      <c r="M1058" s="22" t="s">
        <v>3583</v>
      </c>
      <c r="N1058" s="22" t="n">
        <f aca="false">MATCH(M1058,'Tabela Passaro'!$A$2:$A$1795,0)</f>
        <v>836</v>
      </c>
      <c r="O1058" s="22" t="str">
        <f aca="false">INDEX('Tabela Passaro'!$C$2:$C$1795,$N1058)</f>
        <v>MARACACUME</v>
      </c>
      <c r="P1058" s="22" t="str">
        <f aca="false">INDEX('Tabela Passaro'!$B$2:$B$1795,$N1058)</f>
        <v>MA</v>
      </c>
      <c r="Q1058" s="22" t="n">
        <f aca="false">INDEX('Tabela Passaro'!$F$2:$F$1795,$N1058)</f>
        <v>17</v>
      </c>
      <c r="R1058" s="32" t="n">
        <f aca="false">IF(J1058&lt;=10,INDEX('Tabela Passaro'!$G$2:$G$1795,$N1058),IF(J1058&lt;=30,INDEX('Tabela Passaro'!$H$2:$H$1795,$N1058),IF(J1058&lt;=50,INDEX('Tabela Passaro'!$I$2:$I$1795,$N1058),IF(J1058&lt;=70,INDEX('Tabela Passaro'!$J$2:$J$1795,$N1058),IF(J1058&lt;=100,INDEX('Tabela Passaro'!$K$2:$K$1795,$N1058),INDEX('Tabela Passaro'!$K$2:$K$1795,$N1058)+(J1058-100)*INDEX('Tabela Passaro'!$L$2:$L$1795,$N1058))))))</f>
        <v>306.825</v>
      </c>
      <c r="S1058" s="32" t="n">
        <f aca="false">K1058*INDEX('Tabela Passaro'!$M$2:$M$1795,$N1058)</f>
        <v>9.8192</v>
      </c>
      <c r="T1058" s="32" t="n">
        <f aca="false">K1058*INDEX('Tabela Passaro'!$N$2:$N$1795,$N1058)</f>
        <v>3.92768</v>
      </c>
      <c r="U1058" s="32" t="n">
        <f aca="false">INDEX('Tabela Passaro'!$O$2:$O$1795,$N1058)</f>
        <v>5</v>
      </c>
      <c r="V1058" s="32" t="n">
        <f aca="false">ROUNDUP(J1058/INDEX('Tabela Passaro'!$Q$2:$Q$1795,$N1058),0)*INDEX('Tabela Passaro'!$P$2:$P$1795,$N1058)</f>
        <v>10</v>
      </c>
      <c r="W1058" s="32" t="n">
        <f aca="false">INDEX('Tabela Passaro'!$R$2:$R$1795,$N1058)</f>
        <v>30</v>
      </c>
      <c r="X1058" s="32" t="n">
        <f aca="false">ROUNDUP(J1058/INDEX('Tabela Passaro'!$T$2:$T$1795,$N1058),0)*INDEX('Tabela Passaro'!$S$2:$S$1795,$N1058)</f>
        <v>0</v>
      </c>
      <c r="Y1058" s="32" t="n">
        <f aca="false">INDEX('Tabela Passaro'!$U$2:$U$1795,$N1058)</f>
        <v>0</v>
      </c>
      <c r="Z1058" s="32" t="n">
        <f aca="false">INDEX('Tabela Passaro'!$V$2:$V$1795,$N1058)</f>
        <v>0</v>
      </c>
      <c r="AA1058" s="32" t="n">
        <f aca="false">SUM(R1058:Z1058)</f>
        <v>365.57188</v>
      </c>
      <c r="AB1058" s="33" t="n">
        <f aca="false">INDEX(Premissas!$B$5:$B$13,MATCH(A1058,Premissas!$A$5:$A$13,0))</f>
        <v>0.07</v>
      </c>
      <c r="AC1058" s="32" t="n">
        <f aca="false">AA1058/(1-AB1058)-AA1058</f>
        <v>27.5161630107527</v>
      </c>
      <c r="AD1058" s="32" t="n">
        <f aca="false">ROUND(AA1058+AC1058,2)</f>
        <v>393.09</v>
      </c>
      <c r="AE1058" s="32" t="n">
        <f aca="false">AD1058-L1058</f>
        <v>81.67</v>
      </c>
      <c r="AF1058" s="34" t="n">
        <f aca="false">IF(L1058=0,0,AE1058/L1058)</f>
        <v>0.262250337165243</v>
      </c>
      <c r="AG1058" s="22" t="str">
        <f aca="false">IF(AD1058&lt;L1058,"PASSARO","ATUAL")</f>
        <v>ATUAL</v>
      </c>
      <c r="AH1058" s="22" t="str">
        <f aca="false">IF(P1058&lt;&gt;A1058,"Faixa cadastrada como "&amp;P1058&amp;" na tabela; preço aplicado pela UF do CEP","")</f>
        <v/>
      </c>
      <c r="AI1058" s="26" t="n">
        <v>456.99</v>
      </c>
      <c r="AJ1058" s="22" t="str">
        <f aca="false">INDEX('Tabela Passaro'!$X$2:$X$1795,$N1058)</f>
        <v>INTERIOR 2</v>
      </c>
    </row>
    <row r="1059" customFormat="false" ht="15" hidden="false" customHeight="false" outlineLevel="0" collapsed="false">
      <c r="A1059" s="22" t="s">
        <v>18</v>
      </c>
      <c r="B1059" s="22" t="n">
        <v>7</v>
      </c>
      <c r="C1059" s="22" t="s">
        <v>124</v>
      </c>
      <c r="D1059" s="22" t="s">
        <v>32</v>
      </c>
      <c r="E1059" s="22" t="s">
        <v>7326</v>
      </c>
      <c r="F1059" s="22" t="n">
        <v>906629</v>
      </c>
      <c r="G1059" s="30" t="n">
        <v>46259</v>
      </c>
      <c r="H1059" s="22" t="n">
        <v>629174</v>
      </c>
      <c r="I1059" s="22" t="s">
        <v>8302</v>
      </c>
      <c r="J1059" s="31" t="n">
        <v>116</v>
      </c>
      <c r="K1059" s="26" t="n">
        <v>1918.48</v>
      </c>
      <c r="L1059" s="26" t="n">
        <v>310.85</v>
      </c>
      <c r="M1059" s="22" t="s">
        <v>3583</v>
      </c>
      <c r="N1059" s="22" t="n">
        <f aca="false">MATCH(M1059,'Tabela Passaro'!$A$2:$A$1795,0)</f>
        <v>836</v>
      </c>
      <c r="O1059" s="22" t="str">
        <f aca="false">INDEX('Tabela Passaro'!$C$2:$C$1795,$N1059)</f>
        <v>MARACACUME</v>
      </c>
      <c r="P1059" s="22" t="str">
        <f aca="false">INDEX('Tabela Passaro'!$B$2:$B$1795,$N1059)</f>
        <v>MA</v>
      </c>
      <c r="Q1059" s="22" t="n">
        <f aca="false">INDEX('Tabela Passaro'!$F$2:$F$1795,$N1059)</f>
        <v>17</v>
      </c>
      <c r="R1059" s="32" t="n">
        <f aca="false">IF(J1059&lt;=10,INDEX('Tabela Passaro'!$G$2:$G$1795,$N1059),IF(J1059&lt;=30,INDEX('Tabela Passaro'!$H$2:$H$1795,$N1059),IF(J1059&lt;=50,INDEX('Tabela Passaro'!$I$2:$I$1795,$N1059),IF(J1059&lt;=70,INDEX('Tabela Passaro'!$J$2:$J$1795,$N1059),IF(J1059&lt;=100,INDEX('Tabela Passaro'!$K$2:$K$1795,$N1059),INDEX('Tabela Passaro'!$K$2:$K$1795,$N1059)+(J1059-100)*INDEX('Tabela Passaro'!$L$2:$L$1795,$N1059))))))</f>
        <v>332.53</v>
      </c>
      <c r="S1059" s="32" t="n">
        <f aca="false">K1059*INDEX('Tabela Passaro'!$M$2:$M$1795,$N1059)</f>
        <v>9.5924</v>
      </c>
      <c r="T1059" s="32" t="n">
        <f aca="false">K1059*INDEX('Tabela Passaro'!$N$2:$N$1795,$N1059)</f>
        <v>3.83696</v>
      </c>
      <c r="U1059" s="32" t="n">
        <f aca="false">INDEX('Tabela Passaro'!$O$2:$O$1795,$N1059)</f>
        <v>5</v>
      </c>
      <c r="V1059" s="32" t="n">
        <f aca="false">ROUNDUP(J1059/INDEX('Tabela Passaro'!$Q$2:$Q$1795,$N1059),0)*INDEX('Tabela Passaro'!$P$2:$P$1795,$N1059)</f>
        <v>10</v>
      </c>
      <c r="W1059" s="32" t="n">
        <f aca="false">INDEX('Tabela Passaro'!$R$2:$R$1795,$N1059)</f>
        <v>30</v>
      </c>
      <c r="X1059" s="32" t="n">
        <f aca="false">ROUNDUP(J1059/INDEX('Tabela Passaro'!$T$2:$T$1795,$N1059),0)*INDEX('Tabela Passaro'!$S$2:$S$1795,$N1059)</f>
        <v>0</v>
      </c>
      <c r="Y1059" s="32" t="n">
        <f aca="false">INDEX('Tabela Passaro'!$U$2:$U$1795,$N1059)</f>
        <v>0</v>
      </c>
      <c r="Z1059" s="32" t="n">
        <f aca="false">INDEX('Tabela Passaro'!$V$2:$V$1795,$N1059)</f>
        <v>0</v>
      </c>
      <c r="AA1059" s="32" t="n">
        <f aca="false">SUM(R1059:Z1059)</f>
        <v>390.95936</v>
      </c>
      <c r="AB1059" s="33" t="n">
        <f aca="false">INDEX(Premissas!$B$5:$B$13,MATCH(A1059,Premissas!$A$5:$A$13,0))</f>
        <v>0.07</v>
      </c>
      <c r="AC1059" s="32" t="n">
        <f aca="false">AA1059/(1-AB1059)-AA1059</f>
        <v>29.4270486021505</v>
      </c>
      <c r="AD1059" s="32" t="n">
        <f aca="false">ROUND(AA1059+AC1059,2)</f>
        <v>420.39</v>
      </c>
      <c r="AE1059" s="32" t="n">
        <f aca="false">AD1059-L1059</f>
        <v>109.54</v>
      </c>
      <c r="AF1059" s="34" t="n">
        <f aca="false">IF(L1059=0,0,AE1059/L1059)</f>
        <v>0.352388611870677</v>
      </c>
      <c r="AG1059" s="22" t="str">
        <f aca="false">IF(AD1059&lt;L1059,"PASSARO","ATUAL")</f>
        <v>ATUAL</v>
      </c>
      <c r="AH1059" s="22" t="str">
        <f aca="false">IF(P1059&lt;&gt;A1059,"Faixa cadastrada como "&amp;P1059&amp;" na tabela; preço aplicado pela UF do CEP","")</f>
        <v/>
      </c>
      <c r="AI1059" s="26" t="n">
        <v>491.99</v>
      </c>
      <c r="AJ1059" s="22" t="str">
        <f aca="false">INDEX('Tabela Passaro'!$X$2:$X$1795,$N1059)</f>
        <v>INTERIOR 2</v>
      </c>
    </row>
    <row r="1060" customFormat="false" ht="15" hidden="false" customHeight="false" outlineLevel="0" collapsed="false">
      <c r="A1060" s="22" t="s">
        <v>18</v>
      </c>
      <c r="B1060" s="22" t="n">
        <v>7</v>
      </c>
      <c r="C1060" s="22" t="s">
        <v>124</v>
      </c>
      <c r="D1060" s="22" t="s">
        <v>32</v>
      </c>
      <c r="E1060" s="22" t="s">
        <v>7326</v>
      </c>
      <c r="F1060" s="22" t="n">
        <v>906645</v>
      </c>
      <c r="G1060" s="30" t="n">
        <v>46259</v>
      </c>
      <c r="H1060" s="22" t="n">
        <v>629338</v>
      </c>
      <c r="I1060" s="22" t="s">
        <v>8302</v>
      </c>
      <c r="J1060" s="31" t="n">
        <v>26.31</v>
      </c>
      <c r="K1060" s="26" t="n">
        <v>718.59</v>
      </c>
      <c r="L1060" s="26" t="n">
        <v>170.26</v>
      </c>
      <c r="M1060" s="22" t="s">
        <v>3583</v>
      </c>
      <c r="N1060" s="22" t="n">
        <f aca="false">MATCH(M1060,'Tabela Passaro'!$A$2:$A$1795,0)</f>
        <v>836</v>
      </c>
      <c r="O1060" s="22" t="str">
        <f aca="false">INDEX('Tabela Passaro'!$C$2:$C$1795,$N1060)</f>
        <v>MARACACUME</v>
      </c>
      <c r="P1060" s="22" t="str">
        <f aca="false">INDEX('Tabela Passaro'!$B$2:$B$1795,$N1060)</f>
        <v>MA</v>
      </c>
      <c r="Q1060" s="22" t="n">
        <f aca="false">INDEX('Tabela Passaro'!$F$2:$F$1795,$N1060)</f>
        <v>17</v>
      </c>
      <c r="R1060" s="32" t="n">
        <f aca="false">IF(J1060&lt;=10,INDEX('Tabela Passaro'!$G$2:$G$1795,$N1060),IF(J1060&lt;=30,INDEX('Tabela Passaro'!$H$2:$H$1795,$N1060),IF(J1060&lt;=50,INDEX('Tabela Passaro'!$I$2:$I$1795,$N1060),IF(J1060&lt;=70,INDEX('Tabela Passaro'!$J$2:$J$1795,$N1060),IF(J1060&lt;=100,INDEX('Tabela Passaro'!$K$2:$K$1795,$N1060),INDEX('Tabela Passaro'!$K$2:$K$1795,$N1060)+(J1060-100)*INDEX('Tabela Passaro'!$L$2:$L$1795,$N1060))))))</f>
        <v>234.8</v>
      </c>
      <c r="S1060" s="32" t="n">
        <f aca="false">K1060*INDEX('Tabela Passaro'!$M$2:$M$1795,$N1060)</f>
        <v>3.59295</v>
      </c>
      <c r="T1060" s="32" t="n">
        <f aca="false">K1060*INDEX('Tabela Passaro'!$N$2:$N$1795,$N1060)</f>
        <v>1.43718</v>
      </c>
      <c r="U1060" s="32" t="n">
        <f aca="false">INDEX('Tabela Passaro'!$O$2:$O$1795,$N1060)</f>
        <v>5</v>
      </c>
      <c r="V1060" s="32" t="n">
        <f aca="false">ROUNDUP(J1060/INDEX('Tabela Passaro'!$Q$2:$Q$1795,$N1060),0)*INDEX('Tabela Passaro'!$P$2:$P$1795,$N1060)</f>
        <v>5</v>
      </c>
      <c r="W1060" s="32" t="n">
        <f aca="false">INDEX('Tabela Passaro'!$R$2:$R$1795,$N1060)</f>
        <v>30</v>
      </c>
      <c r="X1060" s="32" t="n">
        <f aca="false">ROUNDUP(J1060/INDEX('Tabela Passaro'!$T$2:$T$1795,$N1060),0)*INDEX('Tabela Passaro'!$S$2:$S$1795,$N1060)</f>
        <v>0</v>
      </c>
      <c r="Y1060" s="32" t="n">
        <f aca="false">INDEX('Tabela Passaro'!$U$2:$U$1795,$N1060)</f>
        <v>0</v>
      </c>
      <c r="Z1060" s="32" t="n">
        <f aca="false">INDEX('Tabela Passaro'!$V$2:$V$1795,$N1060)</f>
        <v>0</v>
      </c>
      <c r="AA1060" s="32" t="n">
        <f aca="false">SUM(R1060:Z1060)</f>
        <v>279.83013</v>
      </c>
      <c r="AB1060" s="33" t="n">
        <f aca="false">INDEX(Premissas!$B$5:$B$13,MATCH(A1060,Premissas!$A$5:$A$13,0))</f>
        <v>0.07</v>
      </c>
      <c r="AC1060" s="32" t="n">
        <f aca="false">AA1060/(1-AB1060)-AA1060</f>
        <v>21.0624829032258</v>
      </c>
      <c r="AD1060" s="32" t="n">
        <f aca="false">ROUND(AA1060+AC1060,2)</f>
        <v>300.89</v>
      </c>
      <c r="AE1060" s="32" t="n">
        <f aca="false">AD1060-L1060</f>
        <v>130.63</v>
      </c>
      <c r="AF1060" s="34" t="n">
        <f aca="false">IF(L1060=0,0,AE1060/L1060)</f>
        <v>0.767238341360273</v>
      </c>
      <c r="AG1060" s="22" t="str">
        <f aca="false">IF(AD1060&lt;L1060,"PASSARO","ATUAL")</f>
        <v>ATUAL</v>
      </c>
      <c r="AH1060" s="22" t="str">
        <f aca="false">IF(P1060&lt;&gt;A1060,"Faixa cadastrada como "&amp;P1060&amp;" na tabela; preço aplicado pela UF do CEP","")</f>
        <v/>
      </c>
      <c r="AI1060" s="26" t="n">
        <v>318.04</v>
      </c>
      <c r="AJ1060" s="22" t="str">
        <f aca="false">INDEX('Tabela Passaro'!$X$2:$X$1795,$N1060)</f>
        <v>INTERIOR 2</v>
      </c>
    </row>
    <row r="1061" customFormat="false" ht="15" hidden="false" customHeight="false" outlineLevel="0" collapsed="false">
      <c r="A1061" s="22" t="s">
        <v>18</v>
      </c>
      <c r="B1061" s="22" t="n">
        <v>7</v>
      </c>
      <c r="C1061" s="22" t="s">
        <v>124</v>
      </c>
      <c r="D1061" s="22" t="s">
        <v>30</v>
      </c>
      <c r="E1061" s="22" t="s">
        <v>7328</v>
      </c>
      <c r="F1061" s="22" t="n">
        <v>2312461</v>
      </c>
      <c r="G1061" s="30" t="n">
        <v>46248</v>
      </c>
      <c r="H1061" s="22" t="n">
        <v>133372</v>
      </c>
      <c r="I1061" s="22" t="s">
        <v>8302</v>
      </c>
      <c r="J1061" s="31" t="n">
        <v>66.4</v>
      </c>
      <c r="K1061" s="26" t="n">
        <v>1056.28</v>
      </c>
      <c r="L1061" s="26" t="n">
        <v>283.71</v>
      </c>
      <c r="M1061" s="22" t="s">
        <v>3583</v>
      </c>
      <c r="N1061" s="22" t="n">
        <f aca="false">MATCH(M1061,'Tabela Passaro'!$A$2:$A$1795,0)</f>
        <v>836</v>
      </c>
      <c r="O1061" s="22" t="str">
        <f aca="false">INDEX('Tabela Passaro'!$C$2:$C$1795,$N1061)</f>
        <v>MARACACUME</v>
      </c>
      <c r="P1061" s="22" t="str">
        <f aca="false">INDEX('Tabela Passaro'!$B$2:$B$1795,$N1061)</f>
        <v>MA</v>
      </c>
      <c r="Q1061" s="22" t="n">
        <f aca="false">INDEX('Tabela Passaro'!$F$2:$F$1795,$N1061)</f>
        <v>17</v>
      </c>
      <c r="R1061" s="32" t="n">
        <f aca="false">IF(J1061&lt;=10,INDEX('Tabela Passaro'!$G$2:$G$1795,$N1061),IF(J1061&lt;=30,INDEX('Tabela Passaro'!$H$2:$H$1795,$N1061),IF(J1061&lt;=50,INDEX('Tabela Passaro'!$I$2:$I$1795,$N1061),IF(J1061&lt;=70,INDEX('Tabela Passaro'!$J$2:$J$1795,$N1061),IF(J1061&lt;=100,INDEX('Tabela Passaro'!$K$2:$K$1795,$N1061),INDEX('Tabela Passaro'!$K$2:$K$1795,$N1061)+(J1061-100)*INDEX('Tabela Passaro'!$L$2:$L$1795,$N1061))))))</f>
        <v>273.53</v>
      </c>
      <c r="S1061" s="32" t="n">
        <f aca="false">K1061*INDEX('Tabela Passaro'!$M$2:$M$1795,$N1061)</f>
        <v>5.2814</v>
      </c>
      <c r="T1061" s="32" t="n">
        <f aca="false">K1061*INDEX('Tabela Passaro'!$N$2:$N$1795,$N1061)</f>
        <v>2.11256</v>
      </c>
      <c r="U1061" s="32" t="n">
        <f aca="false">INDEX('Tabela Passaro'!$O$2:$O$1795,$N1061)</f>
        <v>5</v>
      </c>
      <c r="V1061" s="32" t="n">
        <f aca="false">ROUNDUP(J1061/INDEX('Tabela Passaro'!$Q$2:$Q$1795,$N1061),0)*INDEX('Tabela Passaro'!$P$2:$P$1795,$N1061)</f>
        <v>5</v>
      </c>
      <c r="W1061" s="32" t="n">
        <f aca="false">INDEX('Tabela Passaro'!$R$2:$R$1795,$N1061)</f>
        <v>30</v>
      </c>
      <c r="X1061" s="32" t="n">
        <f aca="false">ROUNDUP(J1061/INDEX('Tabela Passaro'!$T$2:$T$1795,$N1061),0)*INDEX('Tabela Passaro'!$S$2:$S$1795,$N1061)</f>
        <v>0</v>
      </c>
      <c r="Y1061" s="32" t="n">
        <f aca="false">INDEX('Tabela Passaro'!$U$2:$U$1795,$N1061)</f>
        <v>0</v>
      </c>
      <c r="Z1061" s="32" t="n">
        <f aca="false">INDEX('Tabela Passaro'!$V$2:$V$1795,$N1061)</f>
        <v>0</v>
      </c>
      <c r="AA1061" s="32" t="n">
        <f aca="false">SUM(R1061:Z1061)</f>
        <v>320.92396</v>
      </c>
      <c r="AB1061" s="33" t="n">
        <f aca="false">INDEX(Premissas!$B$5:$B$13,MATCH(A1061,Premissas!$A$5:$A$13,0))</f>
        <v>0.07</v>
      </c>
      <c r="AC1061" s="32" t="n">
        <f aca="false">AA1061/(1-AB1061)-AA1061</f>
        <v>24.1555668817205</v>
      </c>
      <c r="AD1061" s="32" t="n">
        <f aca="false">ROUND(AA1061+AC1061,2)</f>
        <v>345.08</v>
      </c>
      <c r="AE1061" s="32" t="n">
        <f aca="false">AD1061-L1061</f>
        <v>61.37</v>
      </c>
      <c r="AF1061" s="34" t="n">
        <f aca="false">IF(L1061=0,0,AE1061/L1061)</f>
        <v>0.216312431708435</v>
      </c>
      <c r="AG1061" s="22" t="str">
        <f aca="false">IF(AD1061&lt;L1061,"PASSARO","ATUAL")</f>
        <v>ATUAL</v>
      </c>
      <c r="AH1061" s="22" t="str">
        <f aca="false">IF(P1061&lt;&gt;A1061,"Faixa cadastrada como "&amp;P1061&amp;" na tabela; preço aplicado pela UF do CEP","")</f>
        <v/>
      </c>
      <c r="AI1061" s="26" t="n">
        <v>384.49</v>
      </c>
      <c r="AJ1061" s="22" t="str">
        <f aca="false">INDEX('Tabela Passaro'!$X$2:$X$1795,$N1061)</f>
        <v>INTERIOR 2</v>
      </c>
    </row>
    <row r="1062" customFormat="false" ht="15" hidden="false" customHeight="false" outlineLevel="0" collapsed="false">
      <c r="A1062" s="22" t="s">
        <v>18</v>
      </c>
      <c r="B1062" s="22" t="n">
        <v>7</v>
      </c>
      <c r="C1062" s="22" t="s">
        <v>124</v>
      </c>
      <c r="D1062" s="22" t="s">
        <v>30</v>
      </c>
      <c r="E1062" s="22" t="s">
        <v>20</v>
      </c>
      <c r="F1062" s="22" t="n">
        <v>839959</v>
      </c>
      <c r="G1062" s="30" t="n">
        <v>46258</v>
      </c>
      <c r="H1062" s="22" t="n">
        <v>32638</v>
      </c>
      <c r="I1062" s="22" t="s">
        <v>8302</v>
      </c>
      <c r="J1062" s="31" t="n">
        <v>66.8</v>
      </c>
      <c r="K1062" s="26" t="n">
        <v>983.95</v>
      </c>
      <c r="L1062" s="26" t="n">
        <v>272.6</v>
      </c>
      <c r="M1062" s="22" t="s">
        <v>3583</v>
      </c>
      <c r="N1062" s="22" t="n">
        <f aca="false">MATCH(M1062,'Tabela Passaro'!$A$2:$A$1795,0)</f>
        <v>836</v>
      </c>
      <c r="O1062" s="22" t="str">
        <f aca="false">INDEX('Tabela Passaro'!$C$2:$C$1795,$N1062)</f>
        <v>MARACACUME</v>
      </c>
      <c r="P1062" s="22" t="str">
        <f aca="false">INDEX('Tabela Passaro'!$B$2:$B$1795,$N1062)</f>
        <v>MA</v>
      </c>
      <c r="Q1062" s="22" t="n">
        <f aca="false">INDEX('Tabela Passaro'!$F$2:$F$1795,$N1062)</f>
        <v>17</v>
      </c>
      <c r="R1062" s="32" t="n">
        <f aca="false">IF(J1062&lt;=10,INDEX('Tabela Passaro'!$G$2:$G$1795,$N1062),IF(J1062&lt;=30,INDEX('Tabela Passaro'!$H$2:$H$1795,$N1062),IF(J1062&lt;=50,INDEX('Tabela Passaro'!$I$2:$I$1795,$N1062),IF(J1062&lt;=70,INDEX('Tabela Passaro'!$J$2:$J$1795,$N1062),IF(J1062&lt;=100,INDEX('Tabela Passaro'!$K$2:$K$1795,$N1062),INDEX('Tabela Passaro'!$K$2:$K$1795,$N1062)+(J1062-100)*INDEX('Tabela Passaro'!$L$2:$L$1795,$N1062))))))</f>
        <v>273.53</v>
      </c>
      <c r="S1062" s="32" t="n">
        <f aca="false">K1062*INDEX('Tabela Passaro'!$M$2:$M$1795,$N1062)</f>
        <v>4.91975</v>
      </c>
      <c r="T1062" s="32" t="n">
        <f aca="false">K1062*INDEX('Tabela Passaro'!$N$2:$N$1795,$N1062)</f>
        <v>1.9679</v>
      </c>
      <c r="U1062" s="32" t="n">
        <f aca="false">INDEX('Tabela Passaro'!$O$2:$O$1795,$N1062)</f>
        <v>5</v>
      </c>
      <c r="V1062" s="32" t="n">
        <f aca="false">ROUNDUP(J1062/INDEX('Tabela Passaro'!$Q$2:$Q$1795,$N1062),0)*INDEX('Tabela Passaro'!$P$2:$P$1795,$N1062)</f>
        <v>5</v>
      </c>
      <c r="W1062" s="32" t="n">
        <f aca="false">INDEX('Tabela Passaro'!$R$2:$R$1795,$N1062)</f>
        <v>30</v>
      </c>
      <c r="X1062" s="32" t="n">
        <f aca="false">ROUNDUP(J1062/INDEX('Tabela Passaro'!$T$2:$T$1795,$N1062),0)*INDEX('Tabela Passaro'!$S$2:$S$1795,$N1062)</f>
        <v>0</v>
      </c>
      <c r="Y1062" s="32" t="n">
        <f aca="false">INDEX('Tabela Passaro'!$U$2:$U$1795,$N1062)</f>
        <v>0</v>
      </c>
      <c r="Z1062" s="32" t="n">
        <f aca="false">INDEX('Tabela Passaro'!$V$2:$V$1795,$N1062)</f>
        <v>0</v>
      </c>
      <c r="AA1062" s="32" t="n">
        <f aca="false">SUM(R1062:Z1062)</f>
        <v>320.41765</v>
      </c>
      <c r="AB1062" s="33" t="n">
        <f aca="false">INDEX(Premissas!$B$5:$B$13,MATCH(A1062,Premissas!$A$5:$A$13,0))</f>
        <v>0.07</v>
      </c>
      <c r="AC1062" s="32" t="n">
        <f aca="false">AA1062/(1-AB1062)-AA1062</f>
        <v>24.1174575268818</v>
      </c>
      <c r="AD1062" s="32" t="n">
        <f aca="false">ROUND(AA1062+AC1062,2)</f>
        <v>344.54</v>
      </c>
      <c r="AE1062" s="32" t="n">
        <f aca="false">AD1062-L1062</f>
        <v>71.94</v>
      </c>
      <c r="AF1062" s="34" t="n">
        <f aca="false">IF(L1062=0,0,AE1062/L1062)</f>
        <v>0.263903154805576</v>
      </c>
      <c r="AG1062" s="22" t="str">
        <f aca="false">IF(AD1062&lt;L1062,"PASSARO","ATUAL")</f>
        <v>ATUAL</v>
      </c>
      <c r="AH1062" s="22" t="str">
        <f aca="false">IF(P1062&lt;&gt;A1062,"Faixa cadastrada como "&amp;P1062&amp;" na tabela; preço aplicado pela UF do CEP","")</f>
        <v/>
      </c>
      <c r="AI1062" s="26" t="n">
        <v>383.79</v>
      </c>
      <c r="AJ1062" s="22" t="str">
        <f aca="false">INDEX('Tabela Passaro'!$X$2:$X$1795,$N1062)</f>
        <v>INTERIOR 2</v>
      </c>
    </row>
    <row r="1063" customFormat="false" ht="15" hidden="false" customHeight="false" outlineLevel="0" collapsed="false">
      <c r="A1063" s="22" t="s">
        <v>18</v>
      </c>
      <c r="B1063" s="22" t="n">
        <v>7</v>
      </c>
      <c r="C1063" s="22" t="s">
        <v>124</v>
      </c>
      <c r="D1063" s="22" t="s">
        <v>30</v>
      </c>
      <c r="E1063" s="22" t="s">
        <v>7328</v>
      </c>
      <c r="F1063" s="22" t="n">
        <v>2316535</v>
      </c>
      <c r="G1063" s="30" t="n">
        <v>46260</v>
      </c>
      <c r="H1063" s="22" t="n">
        <v>135541</v>
      </c>
      <c r="I1063" s="22" t="s">
        <v>8302</v>
      </c>
      <c r="J1063" s="31" t="n">
        <v>22.3</v>
      </c>
      <c r="K1063" s="26" t="n">
        <v>715.1</v>
      </c>
      <c r="L1063" s="26" t="n">
        <v>157.59</v>
      </c>
      <c r="M1063" s="22" t="s">
        <v>3583</v>
      </c>
      <c r="N1063" s="22" t="n">
        <f aca="false">MATCH(M1063,'Tabela Passaro'!$A$2:$A$1795,0)</f>
        <v>836</v>
      </c>
      <c r="O1063" s="22" t="str">
        <f aca="false">INDEX('Tabela Passaro'!$C$2:$C$1795,$N1063)</f>
        <v>MARACACUME</v>
      </c>
      <c r="P1063" s="22" t="str">
        <f aca="false">INDEX('Tabela Passaro'!$B$2:$B$1795,$N1063)</f>
        <v>MA</v>
      </c>
      <c r="Q1063" s="22" t="n">
        <f aca="false">INDEX('Tabela Passaro'!$F$2:$F$1795,$N1063)</f>
        <v>17</v>
      </c>
      <c r="R1063" s="32" t="n">
        <f aca="false">IF(J1063&lt;=10,INDEX('Tabela Passaro'!$G$2:$G$1795,$N1063),IF(J1063&lt;=30,INDEX('Tabela Passaro'!$H$2:$H$1795,$N1063),IF(J1063&lt;=50,INDEX('Tabela Passaro'!$I$2:$I$1795,$N1063),IF(J1063&lt;=70,INDEX('Tabela Passaro'!$J$2:$J$1795,$N1063),IF(J1063&lt;=100,INDEX('Tabela Passaro'!$K$2:$K$1795,$N1063),INDEX('Tabela Passaro'!$K$2:$K$1795,$N1063)+(J1063-100)*INDEX('Tabela Passaro'!$L$2:$L$1795,$N1063))))))</f>
        <v>234.8</v>
      </c>
      <c r="S1063" s="32" t="n">
        <f aca="false">K1063*INDEX('Tabela Passaro'!$M$2:$M$1795,$N1063)</f>
        <v>3.5755</v>
      </c>
      <c r="T1063" s="32" t="n">
        <f aca="false">K1063*INDEX('Tabela Passaro'!$N$2:$N$1795,$N1063)</f>
        <v>1.4302</v>
      </c>
      <c r="U1063" s="32" t="n">
        <f aca="false">INDEX('Tabela Passaro'!$O$2:$O$1795,$N1063)</f>
        <v>5</v>
      </c>
      <c r="V1063" s="32" t="n">
        <f aca="false">ROUNDUP(J1063/INDEX('Tabela Passaro'!$Q$2:$Q$1795,$N1063),0)*INDEX('Tabela Passaro'!$P$2:$P$1795,$N1063)</f>
        <v>5</v>
      </c>
      <c r="W1063" s="32" t="n">
        <f aca="false">INDEX('Tabela Passaro'!$R$2:$R$1795,$N1063)</f>
        <v>30</v>
      </c>
      <c r="X1063" s="32" t="n">
        <f aca="false">ROUNDUP(J1063/INDEX('Tabela Passaro'!$T$2:$T$1795,$N1063),0)*INDEX('Tabela Passaro'!$S$2:$S$1795,$N1063)</f>
        <v>0</v>
      </c>
      <c r="Y1063" s="32" t="n">
        <f aca="false">INDEX('Tabela Passaro'!$U$2:$U$1795,$N1063)</f>
        <v>0</v>
      </c>
      <c r="Z1063" s="32" t="n">
        <f aca="false">INDEX('Tabela Passaro'!$V$2:$V$1795,$N1063)</f>
        <v>0</v>
      </c>
      <c r="AA1063" s="32" t="n">
        <f aca="false">SUM(R1063:Z1063)</f>
        <v>279.8057</v>
      </c>
      <c r="AB1063" s="33" t="n">
        <f aca="false">INDEX(Premissas!$B$5:$B$13,MATCH(A1063,Premissas!$A$5:$A$13,0))</f>
        <v>0.07</v>
      </c>
      <c r="AC1063" s="32" t="n">
        <f aca="false">AA1063/(1-AB1063)-AA1063</f>
        <v>21.0606440860215</v>
      </c>
      <c r="AD1063" s="32" t="n">
        <f aca="false">ROUND(AA1063+AC1063,2)</f>
        <v>300.87</v>
      </c>
      <c r="AE1063" s="32" t="n">
        <f aca="false">AD1063-L1063</f>
        <v>143.28</v>
      </c>
      <c r="AF1063" s="34" t="n">
        <f aca="false">IF(L1063=0,0,AE1063/L1063)</f>
        <v>0.909194745859509</v>
      </c>
      <c r="AG1063" s="22" t="str">
        <f aca="false">IF(AD1063&lt;L1063,"PASSARO","ATUAL")</f>
        <v>ATUAL</v>
      </c>
      <c r="AH1063" s="22" t="str">
        <f aca="false">IF(P1063&lt;&gt;A1063,"Faixa cadastrada como "&amp;P1063&amp;" na tabela; preço aplicado pela UF do CEP","")</f>
        <v/>
      </c>
      <c r="AI1063" s="26" t="n">
        <v>316.07</v>
      </c>
      <c r="AJ1063" s="22" t="str">
        <f aca="false">INDEX('Tabela Passaro'!$X$2:$X$1795,$N1063)</f>
        <v>INTERIOR 2</v>
      </c>
    </row>
    <row r="1064" customFormat="false" ht="15" hidden="false" customHeight="false" outlineLevel="0" collapsed="false">
      <c r="A1064" s="22" t="s">
        <v>18</v>
      </c>
      <c r="B1064" s="22" t="n">
        <v>8</v>
      </c>
      <c r="C1064" s="22" t="s">
        <v>126</v>
      </c>
      <c r="D1064" s="22" t="s">
        <v>32</v>
      </c>
      <c r="E1064" s="22" t="s">
        <v>7326</v>
      </c>
      <c r="F1064" s="22" t="n">
        <v>901313</v>
      </c>
      <c r="G1064" s="30" t="n">
        <v>46239</v>
      </c>
      <c r="H1064" s="22" t="n">
        <v>620809</v>
      </c>
      <c r="I1064" s="22" t="s">
        <v>8303</v>
      </c>
      <c r="J1064" s="31" t="n">
        <v>106.3</v>
      </c>
      <c r="K1064" s="26" t="n">
        <v>2033.05</v>
      </c>
      <c r="L1064" s="26" t="n">
        <v>312.33</v>
      </c>
      <c r="M1064" s="22" t="s">
        <v>3307</v>
      </c>
      <c r="N1064" s="22" t="n">
        <f aca="false">MATCH(M1064,'Tabela Passaro'!$A$2:$A$1795,0)</f>
        <v>766</v>
      </c>
      <c r="O1064" s="22" t="str">
        <f aca="false">INDEX('Tabela Passaro'!$C$2:$C$1795,$N1064)</f>
        <v>BARRA DO CORDA</v>
      </c>
      <c r="P1064" s="22" t="str">
        <f aca="false">INDEX('Tabela Passaro'!$B$2:$B$1795,$N1064)</f>
        <v>MA</v>
      </c>
      <c r="Q1064" s="22" t="n">
        <f aca="false">INDEX('Tabela Passaro'!$F$2:$F$1795,$N1064)</f>
        <v>17</v>
      </c>
      <c r="R1064" s="32" t="n">
        <f aca="false">IF(J1064&lt;=10,INDEX('Tabela Passaro'!$G$2:$G$1795,$N1064),IF(J1064&lt;=30,INDEX('Tabela Passaro'!$H$2:$H$1795,$N1064),IF(J1064&lt;=50,INDEX('Tabela Passaro'!$I$2:$I$1795,$N1064),IF(J1064&lt;=70,INDEX('Tabela Passaro'!$J$2:$J$1795,$N1064),IF(J1064&lt;=100,INDEX('Tabela Passaro'!$K$2:$K$1795,$N1064),INDEX('Tabela Passaro'!$K$2:$K$1795,$N1064)+(J1064-100)*INDEX('Tabela Passaro'!$L$2:$L$1795,$N1064))))))</f>
        <v>306.825</v>
      </c>
      <c r="S1064" s="32" t="n">
        <f aca="false">K1064*INDEX('Tabela Passaro'!$M$2:$M$1795,$N1064)</f>
        <v>10.16525</v>
      </c>
      <c r="T1064" s="32" t="n">
        <f aca="false">K1064*INDEX('Tabela Passaro'!$N$2:$N$1795,$N1064)</f>
        <v>4.0661</v>
      </c>
      <c r="U1064" s="32" t="n">
        <f aca="false">INDEX('Tabela Passaro'!$O$2:$O$1795,$N1064)</f>
        <v>5</v>
      </c>
      <c r="V1064" s="32" t="n">
        <f aca="false">ROUNDUP(J1064/INDEX('Tabela Passaro'!$Q$2:$Q$1795,$N1064),0)*INDEX('Tabela Passaro'!$P$2:$P$1795,$N1064)</f>
        <v>10</v>
      </c>
      <c r="W1064" s="32" t="n">
        <f aca="false">INDEX('Tabela Passaro'!$R$2:$R$1795,$N1064)</f>
        <v>30</v>
      </c>
      <c r="X1064" s="32" t="n">
        <f aca="false">ROUNDUP(J1064/INDEX('Tabela Passaro'!$T$2:$T$1795,$N1064),0)*INDEX('Tabela Passaro'!$S$2:$S$1795,$N1064)</f>
        <v>0</v>
      </c>
      <c r="Y1064" s="32" t="n">
        <f aca="false">INDEX('Tabela Passaro'!$U$2:$U$1795,$N1064)</f>
        <v>0</v>
      </c>
      <c r="Z1064" s="32" t="n">
        <f aca="false">INDEX('Tabela Passaro'!$V$2:$V$1795,$N1064)</f>
        <v>0</v>
      </c>
      <c r="AA1064" s="32" t="n">
        <f aca="false">SUM(R1064:Z1064)</f>
        <v>366.05635</v>
      </c>
      <c r="AB1064" s="33" t="n">
        <f aca="false">INDEX(Premissas!$B$5:$B$13,MATCH(A1064,Premissas!$A$5:$A$13,0))</f>
        <v>0.07</v>
      </c>
      <c r="AC1064" s="32" t="n">
        <f aca="false">AA1064/(1-AB1064)-AA1064</f>
        <v>27.5526284946237</v>
      </c>
      <c r="AD1064" s="32" t="n">
        <f aca="false">ROUND(AA1064+AC1064,2)</f>
        <v>393.61</v>
      </c>
      <c r="AE1064" s="32" t="n">
        <f aca="false">AD1064-L1064</f>
        <v>81.28</v>
      </c>
      <c r="AF1064" s="34" t="n">
        <f aca="false">IF(L1064=0,0,AE1064/L1064)</f>
        <v>0.260237569237665</v>
      </c>
      <c r="AG1064" s="22" t="str">
        <f aca="false">IF(AD1064&lt;L1064,"PASSARO","ATUAL")</f>
        <v>ATUAL</v>
      </c>
      <c r="AH1064" s="22" t="str">
        <f aca="false">IF(P1064&lt;&gt;A1064,"Faixa cadastrada como "&amp;P1064&amp;" na tabela; preço aplicado pela UF do CEP","")</f>
        <v/>
      </c>
      <c r="AI1064" s="26" t="n">
        <v>457.66</v>
      </c>
      <c r="AJ1064" s="22" t="str">
        <f aca="false">INDEX('Tabela Passaro'!$X$2:$X$1795,$N1064)</f>
        <v>INTERIOR 2</v>
      </c>
    </row>
    <row r="1065" customFormat="false" ht="15" hidden="false" customHeight="false" outlineLevel="0" collapsed="false">
      <c r="A1065" s="22" t="s">
        <v>18</v>
      </c>
      <c r="B1065" s="22" t="n">
        <v>8</v>
      </c>
      <c r="C1065" s="22" t="s">
        <v>126</v>
      </c>
      <c r="D1065" s="22" t="s">
        <v>32</v>
      </c>
      <c r="E1065" s="22" t="s">
        <v>7326</v>
      </c>
      <c r="F1065" s="22" t="n">
        <v>902347</v>
      </c>
      <c r="G1065" s="30" t="n">
        <v>46244</v>
      </c>
      <c r="H1065" s="22" t="n">
        <v>622037</v>
      </c>
      <c r="I1065" s="22" t="s">
        <v>8303</v>
      </c>
      <c r="J1065" s="31" t="n">
        <v>86.8</v>
      </c>
      <c r="K1065" s="26" t="n">
        <v>1793.28</v>
      </c>
      <c r="L1065" s="26" t="n">
        <v>232.71</v>
      </c>
      <c r="M1065" s="22" t="s">
        <v>3307</v>
      </c>
      <c r="N1065" s="22" t="n">
        <f aca="false">MATCH(M1065,'Tabela Passaro'!$A$2:$A$1795,0)</f>
        <v>766</v>
      </c>
      <c r="O1065" s="22" t="str">
        <f aca="false">INDEX('Tabela Passaro'!$C$2:$C$1795,$N1065)</f>
        <v>BARRA DO CORDA</v>
      </c>
      <c r="P1065" s="22" t="str">
        <f aca="false">INDEX('Tabela Passaro'!$B$2:$B$1795,$N1065)</f>
        <v>MA</v>
      </c>
      <c r="Q1065" s="22" t="n">
        <f aca="false">INDEX('Tabela Passaro'!$F$2:$F$1795,$N1065)</f>
        <v>17</v>
      </c>
      <c r="R1065" s="32" t="n">
        <f aca="false">IF(J1065&lt;=10,INDEX('Tabela Passaro'!$G$2:$G$1795,$N1065),IF(J1065&lt;=30,INDEX('Tabela Passaro'!$H$2:$H$1795,$N1065),IF(J1065&lt;=50,INDEX('Tabela Passaro'!$I$2:$I$1795,$N1065),IF(J1065&lt;=70,INDEX('Tabela Passaro'!$J$2:$J$1795,$N1065),IF(J1065&lt;=100,INDEX('Tabela Passaro'!$K$2:$K$1795,$N1065),INDEX('Tabela Passaro'!$K$2:$K$1795,$N1065)+(J1065-100)*INDEX('Tabela Passaro'!$L$2:$L$1795,$N1065))))))</f>
        <v>290.13</v>
      </c>
      <c r="S1065" s="32" t="n">
        <f aca="false">K1065*INDEX('Tabela Passaro'!$M$2:$M$1795,$N1065)</f>
        <v>8.9664</v>
      </c>
      <c r="T1065" s="32" t="n">
        <f aca="false">K1065*INDEX('Tabela Passaro'!$N$2:$N$1795,$N1065)</f>
        <v>3.58656</v>
      </c>
      <c r="U1065" s="32" t="n">
        <f aca="false">INDEX('Tabela Passaro'!$O$2:$O$1795,$N1065)</f>
        <v>5</v>
      </c>
      <c r="V1065" s="32" t="n">
        <f aca="false">ROUNDUP(J1065/INDEX('Tabela Passaro'!$Q$2:$Q$1795,$N1065),0)*INDEX('Tabela Passaro'!$P$2:$P$1795,$N1065)</f>
        <v>5</v>
      </c>
      <c r="W1065" s="32" t="n">
        <f aca="false">INDEX('Tabela Passaro'!$R$2:$R$1795,$N1065)</f>
        <v>30</v>
      </c>
      <c r="X1065" s="32" t="n">
        <f aca="false">ROUNDUP(J1065/INDEX('Tabela Passaro'!$T$2:$T$1795,$N1065),0)*INDEX('Tabela Passaro'!$S$2:$S$1795,$N1065)</f>
        <v>0</v>
      </c>
      <c r="Y1065" s="32" t="n">
        <f aca="false">INDEX('Tabela Passaro'!$U$2:$U$1795,$N1065)</f>
        <v>0</v>
      </c>
      <c r="Z1065" s="32" t="n">
        <f aca="false">INDEX('Tabela Passaro'!$V$2:$V$1795,$N1065)</f>
        <v>0</v>
      </c>
      <c r="AA1065" s="32" t="n">
        <f aca="false">SUM(R1065:Z1065)</f>
        <v>342.68296</v>
      </c>
      <c r="AB1065" s="33" t="n">
        <f aca="false">INDEX(Premissas!$B$5:$B$13,MATCH(A1065,Premissas!$A$5:$A$13,0))</f>
        <v>0.07</v>
      </c>
      <c r="AC1065" s="32" t="n">
        <f aca="false">AA1065/(1-AB1065)-AA1065</f>
        <v>25.7933410752688</v>
      </c>
      <c r="AD1065" s="32" t="n">
        <f aca="false">ROUND(AA1065+AC1065,2)</f>
        <v>368.48</v>
      </c>
      <c r="AE1065" s="32" t="n">
        <f aca="false">AD1065-L1065</f>
        <v>135.77</v>
      </c>
      <c r="AF1065" s="34" t="n">
        <f aca="false">IF(L1065=0,0,AE1065/L1065)</f>
        <v>0.583430020196812</v>
      </c>
      <c r="AG1065" s="22" t="str">
        <f aca="false">IF(AD1065&lt;L1065,"PASSARO","ATUAL")</f>
        <v>ATUAL</v>
      </c>
      <c r="AH1065" s="22" t="str">
        <f aca="false">IF(P1065&lt;&gt;A1065,"Faixa cadastrada como "&amp;P1065&amp;" na tabela; preço aplicado pela UF do CEP","")</f>
        <v/>
      </c>
      <c r="AI1065" s="26" t="n">
        <v>420.1</v>
      </c>
      <c r="AJ1065" s="22" t="str">
        <f aca="false">INDEX('Tabela Passaro'!$X$2:$X$1795,$N1065)</f>
        <v>INTERIOR 2</v>
      </c>
    </row>
    <row r="1066" customFormat="false" ht="15" hidden="false" customHeight="false" outlineLevel="0" collapsed="false">
      <c r="A1066" s="22" t="s">
        <v>18</v>
      </c>
      <c r="B1066" s="22" t="n">
        <v>8</v>
      </c>
      <c r="C1066" s="22" t="s">
        <v>126</v>
      </c>
      <c r="D1066" s="22" t="s">
        <v>32</v>
      </c>
      <c r="E1066" s="22" t="s">
        <v>7326</v>
      </c>
      <c r="F1066" s="22" t="n">
        <v>905172</v>
      </c>
      <c r="G1066" s="30" t="n">
        <v>46253</v>
      </c>
      <c r="H1066" s="22" t="n">
        <v>627230</v>
      </c>
      <c r="I1066" s="22" t="s">
        <v>8303</v>
      </c>
      <c r="J1066" s="31" t="n">
        <v>64.6</v>
      </c>
      <c r="K1066" s="26" t="n">
        <v>1486.18</v>
      </c>
      <c r="L1066" s="26" t="n">
        <v>209.45</v>
      </c>
      <c r="M1066" s="22" t="s">
        <v>3307</v>
      </c>
      <c r="N1066" s="22" t="n">
        <f aca="false">MATCH(M1066,'Tabela Passaro'!$A$2:$A$1795,0)</f>
        <v>766</v>
      </c>
      <c r="O1066" s="22" t="str">
        <f aca="false">INDEX('Tabela Passaro'!$C$2:$C$1795,$N1066)</f>
        <v>BARRA DO CORDA</v>
      </c>
      <c r="P1066" s="22" t="str">
        <f aca="false">INDEX('Tabela Passaro'!$B$2:$B$1795,$N1066)</f>
        <v>MA</v>
      </c>
      <c r="Q1066" s="22" t="n">
        <f aca="false">INDEX('Tabela Passaro'!$F$2:$F$1795,$N1066)</f>
        <v>17</v>
      </c>
      <c r="R1066" s="32" t="n">
        <f aca="false">IF(J1066&lt;=10,INDEX('Tabela Passaro'!$G$2:$G$1795,$N1066),IF(J1066&lt;=30,INDEX('Tabela Passaro'!$H$2:$H$1795,$N1066),IF(J1066&lt;=50,INDEX('Tabela Passaro'!$I$2:$I$1795,$N1066),IF(J1066&lt;=70,INDEX('Tabela Passaro'!$J$2:$J$1795,$N1066),IF(J1066&lt;=100,INDEX('Tabela Passaro'!$K$2:$K$1795,$N1066),INDEX('Tabela Passaro'!$K$2:$K$1795,$N1066)+(J1066-100)*INDEX('Tabela Passaro'!$L$2:$L$1795,$N1066))))))</f>
        <v>273.53</v>
      </c>
      <c r="S1066" s="32" t="n">
        <f aca="false">K1066*INDEX('Tabela Passaro'!$M$2:$M$1795,$N1066)</f>
        <v>7.4309</v>
      </c>
      <c r="T1066" s="32" t="n">
        <f aca="false">K1066*INDEX('Tabela Passaro'!$N$2:$N$1795,$N1066)</f>
        <v>2.97236</v>
      </c>
      <c r="U1066" s="32" t="n">
        <f aca="false">INDEX('Tabela Passaro'!$O$2:$O$1795,$N1066)</f>
        <v>5</v>
      </c>
      <c r="V1066" s="32" t="n">
        <f aca="false">ROUNDUP(J1066/INDEX('Tabela Passaro'!$Q$2:$Q$1795,$N1066),0)*INDEX('Tabela Passaro'!$P$2:$P$1795,$N1066)</f>
        <v>5</v>
      </c>
      <c r="W1066" s="32" t="n">
        <f aca="false">INDEX('Tabela Passaro'!$R$2:$R$1795,$N1066)</f>
        <v>30</v>
      </c>
      <c r="X1066" s="32" t="n">
        <f aca="false">ROUNDUP(J1066/INDEX('Tabela Passaro'!$T$2:$T$1795,$N1066),0)*INDEX('Tabela Passaro'!$S$2:$S$1795,$N1066)</f>
        <v>0</v>
      </c>
      <c r="Y1066" s="32" t="n">
        <f aca="false">INDEX('Tabela Passaro'!$U$2:$U$1795,$N1066)</f>
        <v>0</v>
      </c>
      <c r="Z1066" s="32" t="n">
        <f aca="false">INDEX('Tabela Passaro'!$V$2:$V$1795,$N1066)</f>
        <v>0</v>
      </c>
      <c r="AA1066" s="32" t="n">
        <f aca="false">SUM(R1066:Z1066)</f>
        <v>323.93326</v>
      </c>
      <c r="AB1066" s="33" t="n">
        <f aca="false">INDEX(Premissas!$B$5:$B$13,MATCH(A1066,Premissas!$A$5:$A$13,0))</f>
        <v>0.07</v>
      </c>
      <c r="AC1066" s="32" t="n">
        <f aca="false">AA1066/(1-AB1066)-AA1066</f>
        <v>24.3820733333334</v>
      </c>
      <c r="AD1066" s="32" t="n">
        <f aca="false">ROUND(AA1066+AC1066,2)</f>
        <v>348.32</v>
      </c>
      <c r="AE1066" s="32" t="n">
        <f aca="false">AD1066-L1066</f>
        <v>138.87</v>
      </c>
      <c r="AF1066" s="34" t="n">
        <f aca="false">IF(L1066=0,0,AE1066/L1066)</f>
        <v>0.663022201002626</v>
      </c>
      <c r="AG1066" s="22" t="str">
        <f aca="false">IF(AD1066&lt;L1066,"PASSARO","ATUAL")</f>
        <v>ATUAL</v>
      </c>
      <c r="AH1066" s="22" t="str">
        <f aca="false">IF(P1066&lt;&gt;A1066,"Faixa cadastrada como "&amp;P1066&amp;" na tabela; preço aplicado pela UF do CEP","")</f>
        <v/>
      </c>
      <c r="AI1066" s="26" t="n">
        <v>387.68</v>
      </c>
      <c r="AJ1066" s="22" t="str">
        <f aca="false">INDEX('Tabela Passaro'!$X$2:$X$1795,$N1066)</f>
        <v>INTERIOR 2</v>
      </c>
    </row>
    <row r="1067" customFormat="false" ht="15" hidden="false" customHeight="false" outlineLevel="0" collapsed="false">
      <c r="A1067" s="22" t="s">
        <v>18</v>
      </c>
      <c r="B1067" s="22" t="n">
        <v>8</v>
      </c>
      <c r="C1067" s="22" t="s">
        <v>126</v>
      </c>
      <c r="D1067" s="22" t="s">
        <v>30</v>
      </c>
      <c r="E1067" s="22" t="s">
        <v>7328</v>
      </c>
      <c r="F1067" s="22" t="n">
        <v>2314401</v>
      </c>
      <c r="G1067" s="30" t="n">
        <v>46254</v>
      </c>
      <c r="H1067" s="22" t="n">
        <v>134065</v>
      </c>
      <c r="I1067" s="22" t="s">
        <v>8303</v>
      </c>
      <c r="J1067" s="31" t="n">
        <v>66.4</v>
      </c>
      <c r="K1067" s="26" t="n">
        <v>1157.3</v>
      </c>
      <c r="L1067" s="26" t="n">
        <v>260.25</v>
      </c>
      <c r="M1067" s="22" t="s">
        <v>3307</v>
      </c>
      <c r="N1067" s="22" t="n">
        <f aca="false">MATCH(M1067,'Tabela Passaro'!$A$2:$A$1795,0)</f>
        <v>766</v>
      </c>
      <c r="O1067" s="22" t="str">
        <f aca="false">INDEX('Tabela Passaro'!$C$2:$C$1795,$N1067)</f>
        <v>BARRA DO CORDA</v>
      </c>
      <c r="P1067" s="22" t="str">
        <f aca="false">INDEX('Tabela Passaro'!$B$2:$B$1795,$N1067)</f>
        <v>MA</v>
      </c>
      <c r="Q1067" s="22" t="n">
        <f aca="false">INDEX('Tabela Passaro'!$F$2:$F$1795,$N1067)</f>
        <v>17</v>
      </c>
      <c r="R1067" s="32" t="n">
        <f aca="false">IF(J1067&lt;=10,INDEX('Tabela Passaro'!$G$2:$G$1795,$N1067),IF(J1067&lt;=30,INDEX('Tabela Passaro'!$H$2:$H$1795,$N1067),IF(J1067&lt;=50,INDEX('Tabela Passaro'!$I$2:$I$1795,$N1067),IF(J1067&lt;=70,INDEX('Tabela Passaro'!$J$2:$J$1795,$N1067),IF(J1067&lt;=100,INDEX('Tabela Passaro'!$K$2:$K$1795,$N1067),INDEX('Tabela Passaro'!$K$2:$K$1795,$N1067)+(J1067-100)*INDEX('Tabela Passaro'!$L$2:$L$1795,$N1067))))))</f>
        <v>273.53</v>
      </c>
      <c r="S1067" s="32" t="n">
        <f aca="false">K1067*INDEX('Tabela Passaro'!$M$2:$M$1795,$N1067)</f>
        <v>5.7865</v>
      </c>
      <c r="T1067" s="32" t="n">
        <f aca="false">K1067*INDEX('Tabela Passaro'!$N$2:$N$1795,$N1067)</f>
        <v>2.3146</v>
      </c>
      <c r="U1067" s="32" t="n">
        <f aca="false">INDEX('Tabela Passaro'!$O$2:$O$1795,$N1067)</f>
        <v>5</v>
      </c>
      <c r="V1067" s="32" t="n">
        <f aca="false">ROUNDUP(J1067/INDEX('Tabela Passaro'!$Q$2:$Q$1795,$N1067),0)*INDEX('Tabela Passaro'!$P$2:$P$1795,$N1067)</f>
        <v>5</v>
      </c>
      <c r="W1067" s="32" t="n">
        <f aca="false">INDEX('Tabela Passaro'!$R$2:$R$1795,$N1067)</f>
        <v>30</v>
      </c>
      <c r="X1067" s="32" t="n">
        <f aca="false">ROUNDUP(J1067/INDEX('Tabela Passaro'!$T$2:$T$1795,$N1067),0)*INDEX('Tabela Passaro'!$S$2:$S$1795,$N1067)</f>
        <v>0</v>
      </c>
      <c r="Y1067" s="32" t="n">
        <f aca="false">INDEX('Tabela Passaro'!$U$2:$U$1795,$N1067)</f>
        <v>0</v>
      </c>
      <c r="Z1067" s="32" t="n">
        <f aca="false">INDEX('Tabela Passaro'!$V$2:$V$1795,$N1067)</f>
        <v>0</v>
      </c>
      <c r="AA1067" s="32" t="n">
        <f aca="false">SUM(R1067:Z1067)</f>
        <v>321.6311</v>
      </c>
      <c r="AB1067" s="33" t="n">
        <f aca="false">INDEX(Premissas!$B$5:$B$13,MATCH(A1067,Premissas!$A$5:$A$13,0))</f>
        <v>0.07</v>
      </c>
      <c r="AC1067" s="32" t="n">
        <f aca="false">AA1067/(1-AB1067)-AA1067</f>
        <v>24.2087924731183</v>
      </c>
      <c r="AD1067" s="32" t="n">
        <f aca="false">ROUND(AA1067+AC1067,2)</f>
        <v>345.84</v>
      </c>
      <c r="AE1067" s="32" t="n">
        <f aca="false">AD1067-L1067</f>
        <v>85.59</v>
      </c>
      <c r="AF1067" s="34" t="n">
        <f aca="false">IF(L1067=0,0,AE1067/L1067)</f>
        <v>0.328876080691643</v>
      </c>
      <c r="AG1067" s="22" t="str">
        <f aca="false">IF(AD1067&lt;L1067,"PASSARO","ATUAL")</f>
        <v>ATUAL</v>
      </c>
      <c r="AH1067" s="22" t="str">
        <f aca="false">IF(P1067&lt;&gt;A1067,"Faixa cadastrada como "&amp;P1067&amp;" na tabela; preço aplicado pela UF do CEP","")</f>
        <v/>
      </c>
      <c r="AI1067" s="26" t="n">
        <v>385.47</v>
      </c>
      <c r="AJ1067" s="22" t="str">
        <f aca="false">INDEX('Tabela Passaro'!$X$2:$X$1795,$N1067)</f>
        <v>INTERIOR 2</v>
      </c>
    </row>
    <row r="1068" customFormat="false" ht="15" hidden="false" customHeight="false" outlineLevel="0" collapsed="false">
      <c r="A1068" s="22" t="s">
        <v>18</v>
      </c>
      <c r="B1068" s="22" t="n">
        <v>8</v>
      </c>
      <c r="C1068" s="22" t="s">
        <v>126</v>
      </c>
      <c r="D1068" s="22" t="s">
        <v>30</v>
      </c>
      <c r="E1068" s="22" t="s">
        <v>7328</v>
      </c>
      <c r="F1068" s="22" t="n">
        <v>2315819</v>
      </c>
      <c r="G1068" s="30" t="n">
        <v>46258</v>
      </c>
      <c r="H1068" s="22" t="n">
        <v>134965</v>
      </c>
      <c r="I1068" s="22" t="s">
        <v>8303</v>
      </c>
      <c r="J1068" s="31" t="n">
        <v>66.4</v>
      </c>
      <c r="K1068" s="26" t="n">
        <v>1021.77</v>
      </c>
      <c r="L1068" s="26" t="n">
        <v>259.17</v>
      </c>
      <c r="M1068" s="22" t="s">
        <v>3307</v>
      </c>
      <c r="N1068" s="22" t="n">
        <f aca="false">MATCH(M1068,'Tabela Passaro'!$A$2:$A$1795,0)</f>
        <v>766</v>
      </c>
      <c r="O1068" s="22" t="str">
        <f aca="false">INDEX('Tabela Passaro'!$C$2:$C$1795,$N1068)</f>
        <v>BARRA DO CORDA</v>
      </c>
      <c r="P1068" s="22" t="str">
        <f aca="false">INDEX('Tabela Passaro'!$B$2:$B$1795,$N1068)</f>
        <v>MA</v>
      </c>
      <c r="Q1068" s="22" t="n">
        <f aca="false">INDEX('Tabela Passaro'!$F$2:$F$1795,$N1068)</f>
        <v>17</v>
      </c>
      <c r="R1068" s="32" t="n">
        <f aca="false">IF(J1068&lt;=10,INDEX('Tabela Passaro'!$G$2:$G$1795,$N1068),IF(J1068&lt;=30,INDEX('Tabela Passaro'!$H$2:$H$1795,$N1068),IF(J1068&lt;=50,INDEX('Tabela Passaro'!$I$2:$I$1795,$N1068),IF(J1068&lt;=70,INDEX('Tabela Passaro'!$J$2:$J$1795,$N1068),IF(J1068&lt;=100,INDEX('Tabela Passaro'!$K$2:$K$1795,$N1068),INDEX('Tabela Passaro'!$K$2:$K$1795,$N1068)+(J1068-100)*INDEX('Tabela Passaro'!$L$2:$L$1795,$N1068))))))</f>
        <v>273.53</v>
      </c>
      <c r="S1068" s="32" t="n">
        <f aca="false">K1068*INDEX('Tabela Passaro'!$M$2:$M$1795,$N1068)</f>
        <v>5.10885</v>
      </c>
      <c r="T1068" s="32" t="n">
        <f aca="false">K1068*INDEX('Tabela Passaro'!$N$2:$N$1795,$N1068)</f>
        <v>2.04354</v>
      </c>
      <c r="U1068" s="32" t="n">
        <f aca="false">INDEX('Tabela Passaro'!$O$2:$O$1795,$N1068)</f>
        <v>5</v>
      </c>
      <c r="V1068" s="32" t="n">
        <f aca="false">ROUNDUP(J1068/INDEX('Tabela Passaro'!$Q$2:$Q$1795,$N1068),0)*INDEX('Tabela Passaro'!$P$2:$P$1795,$N1068)</f>
        <v>5</v>
      </c>
      <c r="W1068" s="32" t="n">
        <f aca="false">INDEX('Tabela Passaro'!$R$2:$R$1795,$N1068)</f>
        <v>30</v>
      </c>
      <c r="X1068" s="32" t="n">
        <f aca="false">ROUNDUP(J1068/INDEX('Tabela Passaro'!$T$2:$T$1795,$N1068),0)*INDEX('Tabela Passaro'!$S$2:$S$1795,$N1068)</f>
        <v>0</v>
      </c>
      <c r="Y1068" s="32" t="n">
        <f aca="false">INDEX('Tabela Passaro'!$U$2:$U$1795,$N1068)</f>
        <v>0</v>
      </c>
      <c r="Z1068" s="32" t="n">
        <f aca="false">INDEX('Tabela Passaro'!$V$2:$V$1795,$N1068)</f>
        <v>0</v>
      </c>
      <c r="AA1068" s="32" t="n">
        <f aca="false">SUM(R1068:Z1068)</f>
        <v>320.68239</v>
      </c>
      <c r="AB1068" s="33" t="n">
        <f aca="false">INDEX(Premissas!$B$5:$B$13,MATCH(A1068,Premissas!$A$5:$A$13,0))</f>
        <v>0.07</v>
      </c>
      <c r="AC1068" s="32" t="n">
        <f aca="false">AA1068/(1-AB1068)-AA1068</f>
        <v>24.1373841935484</v>
      </c>
      <c r="AD1068" s="32" t="n">
        <f aca="false">ROUND(AA1068+AC1068,2)</f>
        <v>344.82</v>
      </c>
      <c r="AE1068" s="32" t="n">
        <f aca="false">AD1068-L1068</f>
        <v>85.65</v>
      </c>
      <c r="AF1068" s="34" t="n">
        <f aca="false">IF(L1068=0,0,AE1068/L1068)</f>
        <v>0.330478064590809</v>
      </c>
      <c r="AG1068" s="22" t="str">
        <f aca="false">IF(AD1068&lt;L1068,"PASSARO","ATUAL")</f>
        <v>ATUAL</v>
      </c>
      <c r="AH1068" s="22" t="str">
        <f aca="false">IF(P1068&lt;&gt;A1068,"Faixa cadastrada como "&amp;P1068&amp;" na tabela; preço aplicado pela UF do CEP","")</f>
        <v/>
      </c>
      <c r="AI1068" s="26" t="n">
        <v>384.16</v>
      </c>
      <c r="AJ1068" s="22" t="str">
        <f aca="false">INDEX('Tabela Passaro'!$X$2:$X$1795,$N1068)</f>
        <v>INTERIOR 2</v>
      </c>
    </row>
    <row r="1069" customFormat="false" ht="15" hidden="false" customHeight="false" outlineLevel="0" collapsed="false">
      <c r="A1069" s="22" t="s">
        <v>18</v>
      </c>
      <c r="B1069" s="22" t="n">
        <v>8</v>
      </c>
      <c r="C1069" s="22" t="s">
        <v>126</v>
      </c>
      <c r="D1069" s="22" t="s">
        <v>30</v>
      </c>
      <c r="E1069" s="22" t="s">
        <v>7326</v>
      </c>
      <c r="F1069" s="22" t="n">
        <v>528323</v>
      </c>
      <c r="G1069" s="30" t="n">
        <v>46262</v>
      </c>
      <c r="H1069" s="22" t="n">
        <v>630318</v>
      </c>
      <c r="I1069" s="22" t="s">
        <v>8303</v>
      </c>
      <c r="J1069" s="31" t="n">
        <v>25.95</v>
      </c>
      <c r="K1069" s="26" t="n">
        <v>1164</v>
      </c>
      <c r="L1069" s="26" t="n">
        <v>161.91</v>
      </c>
      <c r="M1069" s="22" t="s">
        <v>3307</v>
      </c>
      <c r="N1069" s="22" t="n">
        <f aca="false">MATCH(M1069,'Tabela Passaro'!$A$2:$A$1795,0)</f>
        <v>766</v>
      </c>
      <c r="O1069" s="22" t="str">
        <f aca="false">INDEX('Tabela Passaro'!$C$2:$C$1795,$N1069)</f>
        <v>BARRA DO CORDA</v>
      </c>
      <c r="P1069" s="22" t="str">
        <f aca="false">INDEX('Tabela Passaro'!$B$2:$B$1795,$N1069)</f>
        <v>MA</v>
      </c>
      <c r="Q1069" s="22" t="n">
        <f aca="false">INDEX('Tabela Passaro'!$F$2:$F$1795,$N1069)</f>
        <v>17</v>
      </c>
      <c r="R1069" s="32" t="n">
        <f aca="false">IF(J1069&lt;=10,INDEX('Tabela Passaro'!$G$2:$G$1795,$N1069),IF(J1069&lt;=30,INDEX('Tabela Passaro'!$H$2:$H$1795,$N1069),IF(J1069&lt;=50,INDEX('Tabela Passaro'!$I$2:$I$1795,$N1069),IF(J1069&lt;=70,INDEX('Tabela Passaro'!$J$2:$J$1795,$N1069),IF(J1069&lt;=100,INDEX('Tabela Passaro'!$K$2:$K$1795,$N1069),INDEX('Tabela Passaro'!$K$2:$K$1795,$N1069)+(J1069-100)*INDEX('Tabela Passaro'!$L$2:$L$1795,$N1069))))))</f>
        <v>234.8</v>
      </c>
      <c r="S1069" s="32" t="n">
        <f aca="false">K1069*INDEX('Tabela Passaro'!$M$2:$M$1795,$N1069)</f>
        <v>5.82</v>
      </c>
      <c r="T1069" s="32" t="n">
        <f aca="false">K1069*INDEX('Tabela Passaro'!$N$2:$N$1795,$N1069)</f>
        <v>2.328</v>
      </c>
      <c r="U1069" s="32" t="n">
        <f aca="false">INDEX('Tabela Passaro'!$O$2:$O$1795,$N1069)</f>
        <v>5</v>
      </c>
      <c r="V1069" s="32" t="n">
        <f aca="false">ROUNDUP(J1069/INDEX('Tabela Passaro'!$Q$2:$Q$1795,$N1069),0)*INDEX('Tabela Passaro'!$P$2:$P$1795,$N1069)</f>
        <v>5</v>
      </c>
      <c r="W1069" s="32" t="n">
        <f aca="false">INDEX('Tabela Passaro'!$R$2:$R$1795,$N1069)</f>
        <v>30</v>
      </c>
      <c r="X1069" s="32" t="n">
        <f aca="false">ROUNDUP(J1069/INDEX('Tabela Passaro'!$T$2:$T$1795,$N1069),0)*INDEX('Tabela Passaro'!$S$2:$S$1795,$N1069)</f>
        <v>0</v>
      </c>
      <c r="Y1069" s="32" t="n">
        <f aca="false">INDEX('Tabela Passaro'!$U$2:$U$1795,$N1069)</f>
        <v>0</v>
      </c>
      <c r="Z1069" s="32" t="n">
        <f aca="false">INDEX('Tabela Passaro'!$V$2:$V$1795,$N1069)</f>
        <v>0</v>
      </c>
      <c r="AA1069" s="32" t="n">
        <f aca="false">SUM(R1069:Z1069)</f>
        <v>282.948</v>
      </c>
      <c r="AB1069" s="33" t="n">
        <f aca="false">INDEX(Premissas!$B$5:$B$13,MATCH(A1069,Premissas!$A$5:$A$13,0))</f>
        <v>0.07</v>
      </c>
      <c r="AC1069" s="32" t="n">
        <f aca="false">AA1069/(1-AB1069)-AA1069</f>
        <v>21.2971612903226</v>
      </c>
      <c r="AD1069" s="32" t="n">
        <f aca="false">ROUND(AA1069+AC1069,2)</f>
        <v>304.25</v>
      </c>
      <c r="AE1069" s="32" t="n">
        <f aca="false">AD1069-L1069</f>
        <v>142.34</v>
      </c>
      <c r="AF1069" s="34" t="n">
        <f aca="false">IF(L1069=0,0,AE1069/L1069)</f>
        <v>0.879130381075906</v>
      </c>
      <c r="AG1069" s="22" t="str">
        <f aca="false">IF(AD1069&lt;L1069,"PASSARO","ATUAL")</f>
        <v>ATUAL</v>
      </c>
      <c r="AH1069" s="22" t="str">
        <f aca="false">IF(P1069&lt;&gt;A1069,"Faixa cadastrada como "&amp;P1069&amp;" na tabela; preço aplicado pela UF do CEP","")</f>
        <v/>
      </c>
      <c r="AI1069" s="26" t="n">
        <v>321.87</v>
      </c>
      <c r="AJ1069" s="22" t="str">
        <f aca="false">INDEX('Tabela Passaro'!$X$2:$X$1795,$N1069)</f>
        <v>INTERIOR 2</v>
      </c>
    </row>
    <row r="1070" customFormat="false" ht="15" hidden="false" customHeight="false" outlineLevel="0" collapsed="false">
      <c r="A1070" s="22" t="s">
        <v>18</v>
      </c>
      <c r="B1070" s="22" t="n">
        <v>9</v>
      </c>
      <c r="C1070" s="22" t="s">
        <v>127</v>
      </c>
      <c r="D1070" s="22" t="s">
        <v>32</v>
      </c>
      <c r="E1070" s="22" t="s">
        <v>7326</v>
      </c>
      <c r="F1070" s="22" t="n">
        <v>903530</v>
      </c>
      <c r="G1070" s="30" t="n">
        <v>46247</v>
      </c>
      <c r="H1070" s="22" t="n">
        <v>624468</v>
      </c>
      <c r="I1070" s="22" t="s">
        <v>8304</v>
      </c>
      <c r="J1070" s="31" t="n">
        <v>124.2</v>
      </c>
      <c r="K1070" s="26" t="n">
        <v>2122.11</v>
      </c>
      <c r="L1070" s="26" t="n">
        <v>313.48</v>
      </c>
      <c r="M1070" s="22" t="s">
        <v>3310</v>
      </c>
      <c r="N1070" s="22" t="n">
        <f aca="false">MATCH(M1070,'Tabela Passaro'!$A$2:$A$1795,0)</f>
        <v>767</v>
      </c>
      <c r="O1070" s="22" t="str">
        <f aca="false">INDEX('Tabela Passaro'!$C$2:$C$1795,$N1070)</f>
        <v>BARREIRINHAS</v>
      </c>
      <c r="P1070" s="22" t="str">
        <f aca="false">INDEX('Tabela Passaro'!$B$2:$B$1795,$N1070)</f>
        <v>MA</v>
      </c>
      <c r="Q1070" s="22" t="n">
        <f aca="false">INDEX('Tabela Passaro'!$F$2:$F$1795,$N1070)</f>
        <v>17</v>
      </c>
      <c r="R1070" s="32" t="n">
        <f aca="false">IF(J1070&lt;=10,INDEX('Tabela Passaro'!$G$2:$G$1795,$N1070),IF(J1070&lt;=30,INDEX('Tabela Passaro'!$H$2:$H$1795,$N1070),IF(J1070&lt;=50,INDEX('Tabela Passaro'!$I$2:$I$1795,$N1070),IF(J1070&lt;=70,INDEX('Tabela Passaro'!$J$2:$J$1795,$N1070),IF(J1070&lt;=100,INDEX('Tabela Passaro'!$K$2:$K$1795,$N1070),INDEX('Tabela Passaro'!$K$2:$K$1795,$N1070)+(J1070-100)*INDEX('Tabela Passaro'!$L$2:$L$1795,$N1070))))))</f>
        <v>354.26</v>
      </c>
      <c r="S1070" s="32" t="n">
        <f aca="false">K1070*INDEX('Tabela Passaro'!$M$2:$M$1795,$N1070)</f>
        <v>10.61055</v>
      </c>
      <c r="T1070" s="32" t="n">
        <f aca="false">K1070*INDEX('Tabela Passaro'!$N$2:$N$1795,$N1070)</f>
        <v>4.24422</v>
      </c>
      <c r="U1070" s="32" t="n">
        <f aca="false">INDEX('Tabela Passaro'!$O$2:$O$1795,$N1070)</f>
        <v>5</v>
      </c>
      <c r="V1070" s="32" t="n">
        <f aca="false">ROUNDUP(J1070/INDEX('Tabela Passaro'!$Q$2:$Q$1795,$N1070),0)*INDEX('Tabela Passaro'!$P$2:$P$1795,$N1070)</f>
        <v>10</v>
      </c>
      <c r="W1070" s="32" t="n">
        <f aca="false">INDEX('Tabela Passaro'!$R$2:$R$1795,$N1070)</f>
        <v>30</v>
      </c>
      <c r="X1070" s="32" t="n">
        <f aca="false">ROUNDUP(J1070/INDEX('Tabela Passaro'!$T$2:$T$1795,$N1070),0)*INDEX('Tabela Passaro'!$S$2:$S$1795,$N1070)</f>
        <v>0</v>
      </c>
      <c r="Y1070" s="32" t="n">
        <f aca="false">INDEX('Tabela Passaro'!$U$2:$U$1795,$N1070)</f>
        <v>0</v>
      </c>
      <c r="Z1070" s="32" t="n">
        <f aca="false">INDEX('Tabela Passaro'!$V$2:$V$1795,$N1070)</f>
        <v>0</v>
      </c>
      <c r="AA1070" s="32" t="n">
        <f aca="false">SUM(R1070:Z1070)</f>
        <v>414.11477</v>
      </c>
      <c r="AB1070" s="33" t="n">
        <f aca="false">INDEX(Premissas!$B$5:$B$13,MATCH(A1070,Premissas!$A$5:$A$13,0))</f>
        <v>0.07</v>
      </c>
      <c r="AC1070" s="32" t="n">
        <f aca="false">AA1070/(1-AB1070)-AA1070</f>
        <v>31.1699289247312</v>
      </c>
      <c r="AD1070" s="32" t="n">
        <f aca="false">ROUND(AA1070+AC1070,2)</f>
        <v>445.28</v>
      </c>
      <c r="AE1070" s="32" t="n">
        <f aca="false">AD1070-L1070</f>
        <v>131.8</v>
      </c>
      <c r="AF1070" s="34" t="n">
        <f aca="false">IF(L1070=0,0,AE1070/L1070)</f>
        <v>0.420441495470205</v>
      </c>
      <c r="AG1070" s="22" t="str">
        <f aca="false">IF(AD1070&lt;L1070,"PASSARO","ATUAL")</f>
        <v>ATUAL</v>
      </c>
      <c r="AH1070" s="22" t="str">
        <f aca="false">IF(P1070&lt;&gt;A1070,"Faixa cadastrada como "&amp;P1070&amp;" na tabela; preço aplicado pela UF do CEP","")</f>
        <v/>
      </c>
      <c r="AI1070" s="26" t="n">
        <v>524.59</v>
      </c>
      <c r="AJ1070" s="22" t="str">
        <f aca="false">INDEX('Tabela Passaro'!$X$2:$X$1795,$N1070)</f>
        <v>INTERIOR 2</v>
      </c>
    </row>
    <row r="1071" customFormat="false" ht="15" hidden="false" customHeight="false" outlineLevel="0" collapsed="false">
      <c r="A1071" s="22" t="s">
        <v>18</v>
      </c>
      <c r="B1071" s="22" t="n">
        <v>9</v>
      </c>
      <c r="C1071" s="22" t="s">
        <v>127</v>
      </c>
      <c r="D1071" s="22" t="s">
        <v>32</v>
      </c>
      <c r="E1071" s="22" t="s">
        <v>7326</v>
      </c>
      <c r="F1071" s="22" t="n">
        <v>903538</v>
      </c>
      <c r="G1071" s="30" t="n">
        <v>46247</v>
      </c>
      <c r="H1071" s="22" t="n">
        <v>624476</v>
      </c>
      <c r="I1071" s="22" t="s">
        <v>8304</v>
      </c>
      <c r="J1071" s="31" t="n">
        <v>106.3</v>
      </c>
      <c r="K1071" s="26" t="n">
        <v>2084.06</v>
      </c>
      <c r="L1071" s="26" t="n">
        <v>312.98</v>
      </c>
      <c r="M1071" s="22" t="s">
        <v>3310</v>
      </c>
      <c r="N1071" s="22" t="n">
        <f aca="false">MATCH(M1071,'Tabela Passaro'!$A$2:$A$1795,0)</f>
        <v>767</v>
      </c>
      <c r="O1071" s="22" t="str">
        <f aca="false">INDEX('Tabela Passaro'!$C$2:$C$1795,$N1071)</f>
        <v>BARREIRINHAS</v>
      </c>
      <c r="P1071" s="22" t="str">
        <f aca="false">INDEX('Tabela Passaro'!$B$2:$B$1795,$N1071)</f>
        <v>MA</v>
      </c>
      <c r="Q1071" s="22" t="n">
        <f aca="false">INDEX('Tabela Passaro'!$F$2:$F$1795,$N1071)</f>
        <v>17</v>
      </c>
      <c r="R1071" s="32" t="n">
        <f aca="false">IF(J1071&lt;=10,INDEX('Tabela Passaro'!$G$2:$G$1795,$N1071),IF(J1071&lt;=30,INDEX('Tabela Passaro'!$H$2:$H$1795,$N1071),IF(J1071&lt;=50,INDEX('Tabela Passaro'!$I$2:$I$1795,$N1071),IF(J1071&lt;=70,INDEX('Tabela Passaro'!$J$2:$J$1795,$N1071),IF(J1071&lt;=100,INDEX('Tabela Passaro'!$K$2:$K$1795,$N1071),INDEX('Tabela Passaro'!$K$2:$K$1795,$N1071)+(J1071-100)*INDEX('Tabela Passaro'!$L$2:$L$1795,$N1071))))))</f>
        <v>306.825</v>
      </c>
      <c r="S1071" s="32" t="n">
        <f aca="false">K1071*INDEX('Tabela Passaro'!$M$2:$M$1795,$N1071)</f>
        <v>10.4203</v>
      </c>
      <c r="T1071" s="32" t="n">
        <f aca="false">K1071*INDEX('Tabela Passaro'!$N$2:$N$1795,$N1071)</f>
        <v>4.16812</v>
      </c>
      <c r="U1071" s="32" t="n">
        <f aca="false">INDEX('Tabela Passaro'!$O$2:$O$1795,$N1071)</f>
        <v>5</v>
      </c>
      <c r="V1071" s="32" t="n">
        <f aca="false">ROUNDUP(J1071/INDEX('Tabela Passaro'!$Q$2:$Q$1795,$N1071),0)*INDEX('Tabela Passaro'!$P$2:$P$1795,$N1071)</f>
        <v>10</v>
      </c>
      <c r="W1071" s="32" t="n">
        <f aca="false">INDEX('Tabela Passaro'!$R$2:$R$1795,$N1071)</f>
        <v>30</v>
      </c>
      <c r="X1071" s="32" t="n">
        <f aca="false">ROUNDUP(J1071/INDEX('Tabela Passaro'!$T$2:$T$1795,$N1071),0)*INDEX('Tabela Passaro'!$S$2:$S$1795,$N1071)</f>
        <v>0</v>
      </c>
      <c r="Y1071" s="32" t="n">
        <f aca="false">INDEX('Tabela Passaro'!$U$2:$U$1795,$N1071)</f>
        <v>0</v>
      </c>
      <c r="Z1071" s="32" t="n">
        <f aca="false">INDEX('Tabela Passaro'!$V$2:$V$1795,$N1071)</f>
        <v>0</v>
      </c>
      <c r="AA1071" s="32" t="n">
        <f aca="false">SUM(R1071:Z1071)</f>
        <v>366.41342</v>
      </c>
      <c r="AB1071" s="33" t="n">
        <f aca="false">INDEX(Premissas!$B$5:$B$13,MATCH(A1071,Premissas!$A$5:$A$13,0))</f>
        <v>0.07</v>
      </c>
      <c r="AC1071" s="32" t="n">
        <f aca="false">AA1071/(1-AB1071)-AA1071</f>
        <v>27.5795047311828</v>
      </c>
      <c r="AD1071" s="32" t="n">
        <f aca="false">ROUND(AA1071+AC1071,2)</f>
        <v>393.99</v>
      </c>
      <c r="AE1071" s="32" t="n">
        <f aca="false">AD1071-L1071</f>
        <v>81.01</v>
      </c>
      <c r="AF1071" s="34" t="n">
        <f aca="false">IF(L1071=0,0,AE1071/L1071)</f>
        <v>0.258834430315036</v>
      </c>
      <c r="AG1071" s="22" t="str">
        <f aca="false">IF(AD1071&lt;L1071,"PASSARO","ATUAL")</f>
        <v>ATUAL</v>
      </c>
      <c r="AH1071" s="22" t="str">
        <f aca="false">IF(P1071&lt;&gt;A1071,"Faixa cadastrada como "&amp;P1071&amp;" na tabela; preço aplicado pela UF do CEP","")</f>
        <v/>
      </c>
      <c r="AI1071" s="26" t="n">
        <v>458.15</v>
      </c>
      <c r="AJ1071" s="22" t="str">
        <f aca="false">INDEX('Tabela Passaro'!$X$2:$X$1795,$N1071)</f>
        <v>INTERIOR 2</v>
      </c>
    </row>
    <row r="1072" customFormat="false" ht="15" hidden="false" customHeight="false" outlineLevel="0" collapsed="false">
      <c r="A1072" s="22" t="s">
        <v>18</v>
      </c>
      <c r="B1072" s="22" t="n">
        <v>9</v>
      </c>
      <c r="C1072" s="22" t="s">
        <v>127</v>
      </c>
      <c r="D1072" s="22" t="s">
        <v>30</v>
      </c>
      <c r="E1072" s="22" t="s">
        <v>20</v>
      </c>
      <c r="F1072" s="22" t="n">
        <v>837957</v>
      </c>
      <c r="G1072" s="30" t="n">
        <v>46239</v>
      </c>
      <c r="H1072" s="22" t="n">
        <v>32403</v>
      </c>
      <c r="I1072" s="22" t="s">
        <v>8304</v>
      </c>
      <c r="J1072" s="31" t="n">
        <v>45</v>
      </c>
      <c r="K1072" s="26" t="n">
        <v>767.42</v>
      </c>
      <c r="L1072" s="26" t="n">
        <v>209.51</v>
      </c>
      <c r="M1072" s="22" t="s">
        <v>3310</v>
      </c>
      <c r="N1072" s="22" t="n">
        <f aca="false">MATCH(M1072,'Tabela Passaro'!$A$2:$A$1795,0)</f>
        <v>767</v>
      </c>
      <c r="O1072" s="22" t="str">
        <f aca="false">INDEX('Tabela Passaro'!$C$2:$C$1795,$N1072)</f>
        <v>BARREIRINHAS</v>
      </c>
      <c r="P1072" s="22" t="str">
        <f aca="false">INDEX('Tabela Passaro'!$B$2:$B$1795,$N1072)</f>
        <v>MA</v>
      </c>
      <c r="Q1072" s="22" t="n">
        <f aca="false">INDEX('Tabela Passaro'!$F$2:$F$1795,$N1072)</f>
        <v>17</v>
      </c>
      <c r="R1072" s="32" t="n">
        <f aca="false">IF(J1072&lt;=10,INDEX('Tabela Passaro'!$G$2:$G$1795,$N1072),IF(J1072&lt;=30,INDEX('Tabela Passaro'!$H$2:$H$1795,$N1072),IF(J1072&lt;=50,INDEX('Tabela Passaro'!$I$2:$I$1795,$N1072),IF(J1072&lt;=70,INDEX('Tabela Passaro'!$J$2:$J$1795,$N1072),IF(J1072&lt;=100,INDEX('Tabela Passaro'!$K$2:$K$1795,$N1072),INDEX('Tabela Passaro'!$K$2:$K$1795,$N1072)+(J1072-100)*INDEX('Tabela Passaro'!$L$2:$L$1795,$N1072))))))</f>
        <v>256.93</v>
      </c>
      <c r="S1072" s="32" t="n">
        <f aca="false">K1072*INDEX('Tabela Passaro'!$M$2:$M$1795,$N1072)</f>
        <v>3.8371</v>
      </c>
      <c r="T1072" s="32" t="n">
        <f aca="false">K1072*INDEX('Tabela Passaro'!$N$2:$N$1795,$N1072)</f>
        <v>1.53484</v>
      </c>
      <c r="U1072" s="32" t="n">
        <f aca="false">INDEX('Tabela Passaro'!$O$2:$O$1795,$N1072)</f>
        <v>5</v>
      </c>
      <c r="V1072" s="32" t="n">
        <f aca="false">ROUNDUP(J1072/INDEX('Tabela Passaro'!$Q$2:$Q$1795,$N1072),0)*INDEX('Tabela Passaro'!$P$2:$P$1795,$N1072)</f>
        <v>5</v>
      </c>
      <c r="W1072" s="32" t="n">
        <f aca="false">INDEX('Tabela Passaro'!$R$2:$R$1795,$N1072)</f>
        <v>30</v>
      </c>
      <c r="X1072" s="32" t="n">
        <f aca="false">ROUNDUP(J1072/INDEX('Tabela Passaro'!$T$2:$T$1795,$N1072),0)*INDEX('Tabela Passaro'!$S$2:$S$1795,$N1072)</f>
        <v>0</v>
      </c>
      <c r="Y1072" s="32" t="n">
        <f aca="false">INDEX('Tabela Passaro'!$U$2:$U$1795,$N1072)</f>
        <v>0</v>
      </c>
      <c r="Z1072" s="32" t="n">
        <f aca="false">INDEX('Tabela Passaro'!$V$2:$V$1795,$N1072)</f>
        <v>0</v>
      </c>
      <c r="AA1072" s="32" t="n">
        <f aca="false">SUM(R1072:Z1072)</f>
        <v>302.30194</v>
      </c>
      <c r="AB1072" s="33" t="n">
        <f aca="false">INDEX(Premissas!$B$5:$B$13,MATCH(A1072,Premissas!$A$5:$A$13,0))</f>
        <v>0.07</v>
      </c>
      <c r="AC1072" s="32" t="n">
        <f aca="false">AA1072/(1-AB1072)-AA1072</f>
        <v>22.7539094623656</v>
      </c>
      <c r="AD1072" s="32" t="n">
        <f aca="false">ROUND(AA1072+AC1072,2)</f>
        <v>325.06</v>
      </c>
      <c r="AE1072" s="32" t="n">
        <f aca="false">AD1072-L1072</f>
        <v>115.55</v>
      </c>
      <c r="AF1072" s="34" t="n">
        <f aca="false">IF(L1072=0,0,AE1072/L1072)</f>
        <v>0.551524986874135</v>
      </c>
      <c r="AG1072" s="22" t="str">
        <f aca="false">IF(AD1072&lt;L1072,"PASSARO","ATUAL")</f>
        <v>ATUAL</v>
      </c>
      <c r="AH1072" s="22" t="str">
        <f aca="false">IF(P1072&lt;&gt;A1072,"Faixa cadastrada como "&amp;P1072&amp;" na tabela; preço aplicado pela UF do CEP","")</f>
        <v/>
      </c>
      <c r="AI1072" s="26" t="n">
        <v>352.27</v>
      </c>
      <c r="AJ1072" s="22" t="str">
        <f aca="false">INDEX('Tabela Passaro'!$X$2:$X$1795,$N1072)</f>
        <v>INTERIOR 2</v>
      </c>
    </row>
    <row r="1073" customFormat="false" ht="15" hidden="false" customHeight="false" outlineLevel="0" collapsed="false">
      <c r="A1073" s="22" t="s">
        <v>18</v>
      </c>
      <c r="B1073" s="22" t="n">
        <v>9</v>
      </c>
      <c r="C1073" s="22" t="s">
        <v>127</v>
      </c>
      <c r="D1073" s="22" t="s">
        <v>30</v>
      </c>
      <c r="E1073" s="22" t="s">
        <v>7328</v>
      </c>
      <c r="F1073" s="22" t="n">
        <v>2315871</v>
      </c>
      <c r="G1073" s="30" t="n">
        <v>46258</v>
      </c>
      <c r="H1073" s="22" t="n">
        <v>135333</v>
      </c>
      <c r="I1073" s="22" t="s">
        <v>8304</v>
      </c>
      <c r="J1073" s="31" t="n">
        <v>21.1</v>
      </c>
      <c r="K1073" s="26" t="n">
        <v>902.21</v>
      </c>
      <c r="L1073" s="26" t="n">
        <v>159.06</v>
      </c>
      <c r="M1073" s="22" t="s">
        <v>3310</v>
      </c>
      <c r="N1073" s="22" t="n">
        <f aca="false">MATCH(M1073,'Tabela Passaro'!$A$2:$A$1795,0)</f>
        <v>767</v>
      </c>
      <c r="O1073" s="22" t="str">
        <f aca="false">INDEX('Tabela Passaro'!$C$2:$C$1795,$N1073)</f>
        <v>BARREIRINHAS</v>
      </c>
      <c r="P1073" s="22" t="str">
        <f aca="false">INDEX('Tabela Passaro'!$B$2:$B$1795,$N1073)</f>
        <v>MA</v>
      </c>
      <c r="Q1073" s="22" t="n">
        <f aca="false">INDEX('Tabela Passaro'!$F$2:$F$1795,$N1073)</f>
        <v>17</v>
      </c>
      <c r="R1073" s="32" t="n">
        <f aca="false">IF(J1073&lt;=10,INDEX('Tabela Passaro'!$G$2:$G$1795,$N1073),IF(J1073&lt;=30,INDEX('Tabela Passaro'!$H$2:$H$1795,$N1073),IF(J1073&lt;=50,INDEX('Tabela Passaro'!$I$2:$I$1795,$N1073),IF(J1073&lt;=70,INDEX('Tabela Passaro'!$J$2:$J$1795,$N1073),IF(J1073&lt;=100,INDEX('Tabela Passaro'!$K$2:$K$1795,$N1073),INDEX('Tabela Passaro'!$K$2:$K$1795,$N1073)+(J1073-100)*INDEX('Tabela Passaro'!$L$2:$L$1795,$N1073))))))</f>
        <v>234.8</v>
      </c>
      <c r="S1073" s="32" t="n">
        <f aca="false">K1073*INDEX('Tabela Passaro'!$M$2:$M$1795,$N1073)</f>
        <v>4.51105</v>
      </c>
      <c r="T1073" s="32" t="n">
        <f aca="false">K1073*INDEX('Tabela Passaro'!$N$2:$N$1795,$N1073)</f>
        <v>1.80442</v>
      </c>
      <c r="U1073" s="32" t="n">
        <f aca="false">INDEX('Tabela Passaro'!$O$2:$O$1795,$N1073)</f>
        <v>5</v>
      </c>
      <c r="V1073" s="32" t="n">
        <f aca="false">ROUNDUP(J1073/INDEX('Tabela Passaro'!$Q$2:$Q$1795,$N1073),0)*INDEX('Tabela Passaro'!$P$2:$P$1795,$N1073)</f>
        <v>5</v>
      </c>
      <c r="W1073" s="32" t="n">
        <f aca="false">INDEX('Tabela Passaro'!$R$2:$R$1795,$N1073)</f>
        <v>30</v>
      </c>
      <c r="X1073" s="32" t="n">
        <f aca="false">ROUNDUP(J1073/INDEX('Tabela Passaro'!$T$2:$T$1795,$N1073),0)*INDEX('Tabela Passaro'!$S$2:$S$1795,$N1073)</f>
        <v>0</v>
      </c>
      <c r="Y1073" s="32" t="n">
        <f aca="false">INDEX('Tabela Passaro'!$U$2:$U$1795,$N1073)</f>
        <v>0</v>
      </c>
      <c r="Z1073" s="32" t="n">
        <f aca="false">INDEX('Tabela Passaro'!$V$2:$V$1795,$N1073)</f>
        <v>0</v>
      </c>
      <c r="AA1073" s="32" t="n">
        <f aca="false">SUM(R1073:Z1073)</f>
        <v>281.11547</v>
      </c>
      <c r="AB1073" s="33" t="n">
        <f aca="false">INDEX(Premissas!$B$5:$B$13,MATCH(A1073,Premissas!$A$5:$A$13,0))</f>
        <v>0.07</v>
      </c>
      <c r="AC1073" s="32" t="n">
        <f aca="false">AA1073/(1-AB1073)-AA1073</f>
        <v>21.1592289247312</v>
      </c>
      <c r="AD1073" s="32" t="n">
        <f aca="false">ROUND(AA1073+AC1073,2)</f>
        <v>302.27</v>
      </c>
      <c r="AE1073" s="32" t="n">
        <f aca="false">AD1073-L1073</f>
        <v>143.21</v>
      </c>
      <c r="AF1073" s="34" t="n">
        <f aca="false">IF(L1073=0,0,AE1073/L1073)</f>
        <v>0.900352068401861</v>
      </c>
      <c r="AG1073" s="22" t="str">
        <f aca="false">IF(AD1073&lt;L1073,"PASSARO","ATUAL")</f>
        <v>ATUAL</v>
      </c>
      <c r="AH1073" s="22" t="str">
        <f aca="false">IF(P1073&lt;&gt;A1073,"Faixa cadastrada como "&amp;P1073&amp;" na tabela; preço aplicado pela UF do CEP","")</f>
        <v/>
      </c>
      <c r="AI1073" s="26" t="n">
        <v>317.4</v>
      </c>
      <c r="AJ1073" s="22" t="str">
        <f aca="false">INDEX('Tabela Passaro'!$X$2:$X$1795,$N1073)</f>
        <v>INTERIOR 2</v>
      </c>
    </row>
    <row r="1074" customFormat="false" ht="15" hidden="false" customHeight="false" outlineLevel="0" collapsed="false">
      <c r="A1074" s="22" t="s">
        <v>18</v>
      </c>
      <c r="B1074" s="22" t="n">
        <v>9</v>
      </c>
      <c r="C1074" s="22" t="s">
        <v>127</v>
      </c>
      <c r="D1074" s="22" t="s">
        <v>30</v>
      </c>
      <c r="E1074" s="22" t="s">
        <v>20</v>
      </c>
      <c r="F1074" s="22" t="n">
        <v>840037</v>
      </c>
      <c r="G1074" s="30" t="n">
        <v>46259</v>
      </c>
      <c r="H1074" s="22" t="n">
        <v>32683</v>
      </c>
      <c r="I1074" s="22" t="s">
        <v>8304</v>
      </c>
      <c r="J1074" s="31" t="n">
        <v>22.3</v>
      </c>
      <c r="K1074" s="26" t="n">
        <v>677.66</v>
      </c>
      <c r="L1074" s="26" t="n">
        <v>151.15</v>
      </c>
      <c r="M1074" s="22" t="s">
        <v>3310</v>
      </c>
      <c r="N1074" s="22" t="n">
        <f aca="false">MATCH(M1074,'Tabela Passaro'!$A$2:$A$1795,0)</f>
        <v>767</v>
      </c>
      <c r="O1074" s="22" t="str">
        <f aca="false">INDEX('Tabela Passaro'!$C$2:$C$1795,$N1074)</f>
        <v>BARREIRINHAS</v>
      </c>
      <c r="P1074" s="22" t="str">
        <f aca="false">INDEX('Tabela Passaro'!$B$2:$B$1795,$N1074)</f>
        <v>MA</v>
      </c>
      <c r="Q1074" s="22" t="n">
        <f aca="false">INDEX('Tabela Passaro'!$F$2:$F$1795,$N1074)</f>
        <v>17</v>
      </c>
      <c r="R1074" s="32" t="n">
        <f aca="false">IF(J1074&lt;=10,INDEX('Tabela Passaro'!$G$2:$G$1795,$N1074),IF(J1074&lt;=30,INDEX('Tabela Passaro'!$H$2:$H$1795,$N1074),IF(J1074&lt;=50,INDEX('Tabela Passaro'!$I$2:$I$1795,$N1074),IF(J1074&lt;=70,INDEX('Tabela Passaro'!$J$2:$J$1795,$N1074),IF(J1074&lt;=100,INDEX('Tabela Passaro'!$K$2:$K$1795,$N1074),INDEX('Tabela Passaro'!$K$2:$K$1795,$N1074)+(J1074-100)*INDEX('Tabela Passaro'!$L$2:$L$1795,$N1074))))))</f>
        <v>234.8</v>
      </c>
      <c r="S1074" s="32" t="n">
        <f aca="false">K1074*INDEX('Tabela Passaro'!$M$2:$M$1795,$N1074)</f>
        <v>3.3883</v>
      </c>
      <c r="T1074" s="32" t="n">
        <f aca="false">K1074*INDEX('Tabela Passaro'!$N$2:$N$1795,$N1074)</f>
        <v>1.35532</v>
      </c>
      <c r="U1074" s="32" t="n">
        <f aca="false">INDEX('Tabela Passaro'!$O$2:$O$1795,$N1074)</f>
        <v>5</v>
      </c>
      <c r="V1074" s="32" t="n">
        <f aca="false">ROUNDUP(J1074/INDEX('Tabela Passaro'!$Q$2:$Q$1795,$N1074),0)*INDEX('Tabela Passaro'!$P$2:$P$1795,$N1074)</f>
        <v>5</v>
      </c>
      <c r="W1074" s="32" t="n">
        <f aca="false">INDEX('Tabela Passaro'!$R$2:$R$1795,$N1074)</f>
        <v>30</v>
      </c>
      <c r="X1074" s="32" t="n">
        <f aca="false">ROUNDUP(J1074/INDEX('Tabela Passaro'!$T$2:$T$1795,$N1074),0)*INDEX('Tabela Passaro'!$S$2:$S$1795,$N1074)</f>
        <v>0</v>
      </c>
      <c r="Y1074" s="32" t="n">
        <f aca="false">INDEX('Tabela Passaro'!$U$2:$U$1795,$N1074)</f>
        <v>0</v>
      </c>
      <c r="Z1074" s="32" t="n">
        <f aca="false">INDEX('Tabela Passaro'!$V$2:$V$1795,$N1074)</f>
        <v>0</v>
      </c>
      <c r="AA1074" s="32" t="n">
        <f aca="false">SUM(R1074:Z1074)</f>
        <v>279.54362</v>
      </c>
      <c r="AB1074" s="33" t="n">
        <f aca="false">INDEX(Premissas!$B$5:$B$13,MATCH(A1074,Premissas!$A$5:$A$13,0))</f>
        <v>0.07</v>
      </c>
      <c r="AC1074" s="32" t="n">
        <f aca="false">AA1074/(1-AB1074)-AA1074</f>
        <v>21.0409176344086</v>
      </c>
      <c r="AD1074" s="32" t="n">
        <f aca="false">ROUND(AA1074+AC1074,2)</f>
        <v>300.58</v>
      </c>
      <c r="AE1074" s="32" t="n">
        <f aca="false">AD1074-L1074</f>
        <v>149.43</v>
      </c>
      <c r="AF1074" s="34" t="n">
        <f aca="false">IF(L1074=0,0,AE1074/L1074)</f>
        <v>0.988620575587165</v>
      </c>
      <c r="AG1074" s="22" t="str">
        <f aca="false">IF(AD1074&lt;L1074,"PASSARO","ATUAL")</f>
        <v>ATUAL</v>
      </c>
      <c r="AH1074" s="22" t="str">
        <f aca="false">IF(P1074&lt;&gt;A1074,"Faixa cadastrada como "&amp;P1074&amp;" na tabela; preço aplicado pela UF do CEP","")</f>
        <v/>
      </c>
      <c r="AI1074" s="26" t="n">
        <v>315.71</v>
      </c>
      <c r="AJ1074" s="22" t="str">
        <f aca="false">INDEX('Tabela Passaro'!$X$2:$X$1795,$N1074)</f>
        <v>INTERIOR 2</v>
      </c>
    </row>
    <row r="1075" customFormat="false" ht="15" hidden="false" customHeight="false" outlineLevel="0" collapsed="false">
      <c r="A1075" s="22" t="s">
        <v>18</v>
      </c>
      <c r="B1075" s="22" t="n">
        <v>9</v>
      </c>
      <c r="C1075" s="22" t="s">
        <v>127</v>
      </c>
      <c r="D1075" s="22" t="s">
        <v>30</v>
      </c>
      <c r="E1075" s="22" t="s">
        <v>20</v>
      </c>
      <c r="F1075" s="22" t="n">
        <v>840493</v>
      </c>
      <c r="G1075" s="30" t="n">
        <v>46262</v>
      </c>
      <c r="H1075" s="22" t="n">
        <v>32781</v>
      </c>
      <c r="I1075" s="22" t="s">
        <v>8304</v>
      </c>
      <c r="J1075" s="31" t="n">
        <v>27.6</v>
      </c>
      <c r="K1075" s="26" t="n">
        <v>722.56</v>
      </c>
      <c r="L1075" s="26" t="n">
        <v>151.56</v>
      </c>
      <c r="M1075" s="22" t="s">
        <v>3310</v>
      </c>
      <c r="N1075" s="22" t="n">
        <f aca="false">MATCH(M1075,'Tabela Passaro'!$A$2:$A$1795,0)</f>
        <v>767</v>
      </c>
      <c r="O1075" s="22" t="str">
        <f aca="false">INDEX('Tabela Passaro'!$C$2:$C$1795,$N1075)</f>
        <v>BARREIRINHAS</v>
      </c>
      <c r="P1075" s="22" t="str">
        <f aca="false">INDEX('Tabela Passaro'!$B$2:$B$1795,$N1075)</f>
        <v>MA</v>
      </c>
      <c r="Q1075" s="22" t="n">
        <f aca="false">INDEX('Tabela Passaro'!$F$2:$F$1795,$N1075)</f>
        <v>17</v>
      </c>
      <c r="R1075" s="32" t="n">
        <f aca="false">IF(J1075&lt;=10,INDEX('Tabela Passaro'!$G$2:$G$1795,$N1075),IF(J1075&lt;=30,INDEX('Tabela Passaro'!$H$2:$H$1795,$N1075),IF(J1075&lt;=50,INDEX('Tabela Passaro'!$I$2:$I$1795,$N1075),IF(J1075&lt;=70,INDEX('Tabela Passaro'!$J$2:$J$1795,$N1075),IF(J1075&lt;=100,INDEX('Tabela Passaro'!$K$2:$K$1795,$N1075),INDEX('Tabela Passaro'!$K$2:$K$1795,$N1075)+(J1075-100)*INDEX('Tabela Passaro'!$L$2:$L$1795,$N1075))))))</f>
        <v>234.8</v>
      </c>
      <c r="S1075" s="32" t="n">
        <f aca="false">K1075*INDEX('Tabela Passaro'!$M$2:$M$1795,$N1075)</f>
        <v>3.6128</v>
      </c>
      <c r="T1075" s="32" t="n">
        <f aca="false">K1075*INDEX('Tabela Passaro'!$N$2:$N$1795,$N1075)</f>
        <v>1.44512</v>
      </c>
      <c r="U1075" s="32" t="n">
        <f aca="false">INDEX('Tabela Passaro'!$O$2:$O$1795,$N1075)</f>
        <v>5</v>
      </c>
      <c r="V1075" s="32" t="n">
        <f aca="false">ROUNDUP(J1075/INDEX('Tabela Passaro'!$Q$2:$Q$1795,$N1075),0)*INDEX('Tabela Passaro'!$P$2:$P$1795,$N1075)</f>
        <v>5</v>
      </c>
      <c r="W1075" s="32" t="n">
        <f aca="false">INDEX('Tabela Passaro'!$R$2:$R$1795,$N1075)</f>
        <v>30</v>
      </c>
      <c r="X1075" s="32" t="n">
        <f aca="false">ROUNDUP(J1075/INDEX('Tabela Passaro'!$T$2:$T$1795,$N1075),0)*INDEX('Tabela Passaro'!$S$2:$S$1795,$N1075)</f>
        <v>0</v>
      </c>
      <c r="Y1075" s="32" t="n">
        <f aca="false">INDEX('Tabela Passaro'!$U$2:$U$1795,$N1075)</f>
        <v>0</v>
      </c>
      <c r="Z1075" s="32" t="n">
        <f aca="false">INDEX('Tabela Passaro'!$V$2:$V$1795,$N1075)</f>
        <v>0</v>
      </c>
      <c r="AA1075" s="32" t="n">
        <f aca="false">SUM(R1075:Z1075)</f>
        <v>279.85792</v>
      </c>
      <c r="AB1075" s="33" t="n">
        <f aca="false">INDEX(Premissas!$B$5:$B$13,MATCH(A1075,Premissas!$A$5:$A$13,0))</f>
        <v>0.07</v>
      </c>
      <c r="AC1075" s="32" t="n">
        <f aca="false">AA1075/(1-AB1075)-AA1075</f>
        <v>21.0645746236559</v>
      </c>
      <c r="AD1075" s="32" t="n">
        <f aca="false">ROUND(AA1075+AC1075,2)</f>
        <v>300.92</v>
      </c>
      <c r="AE1075" s="32" t="n">
        <f aca="false">AD1075-L1075</f>
        <v>149.36</v>
      </c>
      <c r="AF1075" s="34" t="n">
        <f aca="false">IF(L1075=0,0,AE1075/L1075)</f>
        <v>0.985484296648192</v>
      </c>
      <c r="AG1075" s="22" t="str">
        <f aca="false">IF(AD1075&lt;L1075,"PASSARO","ATUAL")</f>
        <v>ATUAL</v>
      </c>
      <c r="AH1075" s="22" t="str">
        <f aca="false">IF(P1075&lt;&gt;A1075,"Faixa cadastrada como "&amp;P1075&amp;" na tabela; preço aplicado pela UF do CEP","")</f>
        <v/>
      </c>
      <c r="AI1075" s="26" t="n">
        <v>318.56</v>
      </c>
      <c r="AJ1075" s="22" t="str">
        <f aca="false">INDEX('Tabela Passaro'!$X$2:$X$1795,$N1075)</f>
        <v>INTERIOR 2</v>
      </c>
    </row>
    <row r="1076" customFormat="false" ht="15" hidden="false" customHeight="false" outlineLevel="0" collapsed="false">
      <c r="A1076" s="22" t="s">
        <v>18</v>
      </c>
      <c r="B1076" s="22" t="n">
        <v>10</v>
      </c>
      <c r="C1076" s="22" t="s">
        <v>129</v>
      </c>
      <c r="D1076" s="22" t="s">
        <v>32</v>
      </c>
      <c r="E1076" s="22" t="s">
        <v>7326</v>
      </c>
      <c r="F1076" s="22" t="n">
        <v>900576</v>
      </c>
      <c r="G1076" s="30" t="n">
        <v>46237</v>
      </c>
      <c r="H1076" s="22" t="n">
        <v>619489</v>
      </c>
      <c r="I1076" s="22" t="s">
        <v>8305</v>
      </c>
      <c r="J1076" s="31" t="n">
        <v>73.1</v>
      </c>
      <c r="K1076" s="26" t="n">
        <v>1140.88</v>
      </c>
      <c r="L1076" s="26" t="n">
        <v>224.3</v>
      </c>
      <c r="M1076" s="22" t="s">
        <v>3073</v>
      </c>
      <c r="N1076" s="22" t="n">
        <f aca="false">MATCH(M1076,'Tabela Passaro'!$A$2:$A$1795,0)</f>
        <v>706</v>
      </c>
      <c r="O1076" s="22" t="str">
        <f aca="false">INDEX('Tabela Passaro'!$C$2:$C$1795,$N1076)</f>
        <v>BACABAL</v>
      </c>
      <c r="P1076" s="22" t="str">
        <f aca="false">INDEX('Tabela Passaro'!$B$2:$B$1795,$N1076)</f>
        <v>MA</v>
      </c>
      <c r="Q1076" s="22" t="n">
        <f aca="false">INDEX('Tabela Passaro'!$F$2:$F$1795,$N1076)</f>
        <v>13</v>
      </c>
      <c r="R1076" s="32" t="n">
        <f aca="false">IF(J1076&lt;=10,INDEX('Tabela Passaro'!$G$2:$G$1795,$N1076),IF(J1076&lt;=30,INDEX('Tabela Passaro'!$H$2:$H$1795,$N1076),IF(J1076&lt;=50,INDEX('Tabela Passaro'!$I$2:$I$1795,$N1076),IF(J1076&lt;=70,INDEX('Tabela Passaro'!$J$2:$J$1795,$N1076),IF(J1076&lt;=100,INDEX('Tabela Passaro'!$K$2:$K$1795,$N1076),INDEX('Tabela Passaro'!$K$2:$K$1795,$N1076)+(J1076-100)*INDEX('Tabela Passaro'!$L$2:$L$1795,$N1076))))))</f>
        <v>275.6</v>
      </c>
      <c r="S1076" s="32" t="n">
        <f aca="false">K1076*INDEX('Tabela Passaro'!$M$2:$M$1795,$N1076)</f>
        <v>5.7044</v>
      </c>
      <c r="T1076" s="32" t="n">
        <f aca="false">K1076*INDEX('Tabela Passaro'!$N$2:$N$1795,$N1076)</f>
        <v>2.28176</v>
      </c>
      <c r="U1076" s="32" t="n">
        <f aca="false">INDEX('Tabela Passaro'!$O$2:$O$1795,$N1076)</f>
        <v>5</v>
      </c>
      <c r="V1076" s="32" t="n">
        <f aca="false">ROUNDUP(J1076/INDEX('Tabela Passaro'!$Q$2:$Q$1795,$N1076),0)*INDEX('Tabela Passaro'!$P$2:$P$1795,$N1076)</f>
        <v>5</v>
      </c>
      <c r="W1076" s="32" t="n">
        <f aca="false">INDEX('Tabela Passaro'!$R$2:$R$1795,$N1076)</f>
        <v>30</v>
      </c>
      <c r="X1076" s="32" t="n">
        <f aca="false">ROUNDUP(J1076/INDEX('Tabela Passaro'!$T$2:$T$1795,$N1076),0)*INDEX('Tabela Passaro'!$S$2:$S$1795,$N1076)</f>
        <v>0</v>
      </c>
      <c r="Y1076" s="32" t="n">
        <f aca="false">INDEX('Tabela Passaro'!$U$2:$U$1795,$N1076)</f>
        <v>0</v>
      </c>
      <c r="Z1076" s="32" t="n">
        <f aca="false">INDEX('Tabela Passaro'!$V$2:$V$1795,$N1076)</f>
        <v>0</v>
      </c>
      <c r="AA1076" s="32" t="n">
        <f aca="false">SUM(R1076:Z1076)</f>
        <v>323.58616</v>
      </c>
      <c r="AB1076" s="33" t="n">
        <f aca="false">INDEX(Premissas!$B$5:$B$13,MATCH(A1076,Premissas!$A$5:$A$13,0))</f>
        <v>0.07</v>
      </c>
      <c r="AC1076" s="32" t="n">
        <f aca="false">AA1076/(1-AB1076)-AA1076</f>
        <v>24.3559475268817</v>
      </c>
      <c r="AD1076" s="32" t="n">
        <f aca="false">ROUND(AA1076+AC1076,2)</f>
        <v>347.94</v>
      </c>
      <c r="AE1076" s="32" t="n">
        <f aca="false">AD1076-L1076</f>
        <v>123.64</v>
      </c>
      <c r="AF1076" s="34" t="n">
        <f aca="false">IF(L1076=0,0,AE1076/L1076)</f>
        <v>0.551226036558181</v>
      </c>
      <c r="AG1076" s="22" t="str">
        <f aca="false">IF(AD1076&lt;L1076,"PASSARO","ATUAL")</f>
        <v>ATUAL</v>
      </c>
      <c r="AH1076" s="22" t="str">
        <f aca="false">IF(P1076&lt;&gt;A1076,"Faixa cadastrada como "&amp;P1076&amp;" na tabela; preço aplicado pela UF do CEP","")</f>
        <v/>
      </c>
      <c r="AI1076" s="26" t="n">
        <v>391.05</v>
      </c>
      <c r="AJ1076" s="22" t="str">
        <f aca="false">INDEX('Tabela Passaro'!$X$2:$X$1795,$N1076)</f>
        <v>INTERIOR 1</v>
      </c>
    </row>
    <row r="1077" customFormat="false" ht="15" hidden="false" customHeight="false" outlineLevel="0" collapsed="false">
      <c r="A1077" s="22" t="s">
        <v>18</v>
      </c>
      <c r="B1077" s="22" t="n">
        <v>10</v>
      </c>
      <c r="C1077" s="22" t="s">
        <v>129</v>
      </c>
      <c r="D1077" s="22" t="s">
        <v>32</v>
      </c>
      <c r="E1077" s="22" t="s">
        <v>7326</v>
      </c>
      <c r="F1077" s="22" t="n">
        <v>900578</v>
      </c>
      <c r="G1077" s="30" t="n">
        <v>46237</v>
      </c>
      <c r="H1077" s="22" t="n">
        <v>619529</v>
      </c>
      <c r="I1077" s="22" t="s">
        <v>8305</v>
      </c>
      <c r="J1077" s="31" t="n">
        <v>32.62</v>
      </c>
      <c r="K1077" s="26" t="n">
        <v>1151.18</v>
      </c>
      <c r="L1077" s="26" t="n">
        <v>189.93</v>
      </c>
      <c r="M1077" s="22" t="s">
        <v>3073</v>
      </c>
      <c r="N1077" s="22" t="n">
        <f aca="false">MATCH(M1077,'Tabela Passaro'!$A$2:$A$1795,0)</f>
        <v>706</v>
      </c>
      <c r="O1077" s="22" t="str">
        <f aca="false">INDEX('Tabela Passaro'!$C$2:$C$1795,$N1077)</f>
        <v>BACABAL</v>
      </c>
      <c r="P1077" s="22" t="str">
        <f aca="false">INDEX('Tabela Passaro'!$B$2:$B$1795,$N1077)</f>
        <v>MA</v>
      </c>
      <c r="Q1077" s="22" t="n">
        <f aca="false">INDEX('Tabela Passaro'!$F$2:$F$1795,$N1077)</f>
        <v>13</v>
      </c>
      <c r="R1077" s="32" t="n">
        <f aca="false">IF(J1077&lt;=10,INDEX('Tabela Passaro'!$G$2:$G$1795,$N1077),IF(J1077&lt;=30,INDEX('Tabela Passaro'!$H$2:$H$1795,$N1077),IF(J1077&lt;=50,INDEX('Tabela Passaro'!$I$2:$I$1795,$N1077),IF(J1077&lt;=70,INDEX('Tabela Passaro'!$J$2:$J$1795,$N1077),IF(J1077&lt;=100,INDEX('Tabela Passaro'!$K$2:$K$1795,$N1077),INDEX('Tabela Passaro'!$K$2:$K$1795,$N1077)+(J1077-100)*INDEX('Tabela Passaro'!$L$2:$L$1795,$N1077))))))</f>
        <v>242.41</v>
      </c>
      <c r="S1077" s="32" t="n">
        <f aca="false">K1077*INDEX('Tabela Passaro'!$M$2:$M$1795,$N1077)</f>
        <v>5.7559</v>
      </c>
      <c r="T1077" s="32" t="n">
        <f aca="false">K1077*INDEX('Tabela Passaro'!$N$2:$N$1795,$N1077)</f>
        <v>2.30236</v>
      </c>
      <c r="U1077" s="32" t="n">
        <f aca="false">INDEX('Tabela Passaro'!$O$2:$O$1795,$N1077)</f>
        <v>5</v>
      </c>
      <c r="V1077" s="32" t="n">
        <f aca="false">ROUNDUP(J1077/INDEX('Tabela Passaro'!$Q$2:$Q$1795,$N1077),0)*INDEX('Tabela Passaro'!$P$2:$P$1795,$N1077)</f>
        <v>5</v>
      </c>
      <c r="W1077" s="32" t="n">
        <f aca="false">INDEX('Tabela Passaro'!$R$2:$R$1795,$N1077)</f>
        <v>30</v>
      </c>
      <c r="X1077" s="32" t="n">
        <f aca="false">ROUNDUP(J1077/INDEX('Tabela Passaro'!$T$2:$T$1795,$N1077),0)*INDEX('Tabela Passaro'!$S$2:$S$1795,$N1077)</f>
        <v>0</v>
      </c>
      <c r="Y1077" s="32" t="n">
        <f aca="false">INDEX('Tabela Passaro'!$U$2:$U$1795,$N1077)</f>
        <v>0</v>
      </c>
      <c r="Z1077" s="32" t="n">
        <f aca="false">INDEX('Tabela Passaro'!$V$2:$V$1795,$N1077)</f>
        <v>0</v>
      </c>
      <c r="AA1077" s="32" t="n">
        <f aca="false">SUM(R1077:Z1077)</f>
        <v>290.46826</v>
      </c>
      <c r="AB1077" s="33" t="n">
        <f aca="false">INDEX(Premissas!$B$5:$B$13,MATCH(A1077,Premissas!$A$5:$A$13,0))</f>
        <v>0.07</v>
      </c>
      <c r="AC1077" s="32" t="n">
        <f aca="false">AA1077/(1-AB1077)-AA1077</f>
        <v>21.8632023655914</v>
      </c>
      <c r="AD1077" s="32" t="n">
        <f aca="false">ROUND(AA1077+AC1077,2)</f>
        <v>312.33</v>
      </c>
      <c r="AE1077" s="32" t="n">
        <f aca="false">AD1077-L1077</f>
        <v>122.4</v>
      </c>
      <c r="AF1077" s="34" t="n">
        <f aca="false">IF(L1077=0,0,AE1077/L1077)</f>
        <v>0.644447954509556</v>
      </c>
      <c r="AG1077" s="22" t="str">
        <f aca="false">IF(AD1077&lt;L1077,"PASSARO","ATUAL")</f>
        <v>ATUAL</v>
      </c>
      <c r="AH1077" s="22" t="str">
        <f aca="false">IF(P1077&lt;&gt;A1077,"Faixa cadastrada como "&amp;P1077&amp;" na tabela; preço aplicado pela UF do CEP","")</f>
        <v/>
      </c>
      <c r="AI1077" s="26" t="n">
        <v>333.73</v>
      </c>
      <c r="AJ1077" s="22" t="str">
        <f aca="false">INDEX('Tabela Passaro'!$X$2:$X$1795,$N1077)</f>
        <v>INTERIOR 1</v>
      </c>
    </row>
    <row r="1078" customFormat="false" ht="15" hidden="false" customHeight="false" outlineLevel="0" collapsed="false">
      <c r="A1078" s="22" t="s">
        <v>18</v>
      </c>
      <c r="B1078" s="22" t="n">
        <v>10</v>
      </c>
      <c r="C1078" s="22" t="s">
        <v>129</v>
      </c>
      <c r="D1078" s="22" t="s">
        <v>32</v>
      </c>
      <c r="E1078" s="22" t="s">
        <v>7326</v>
      </c>
      <c r="F1078" s="22" t="n">
        <v>902337</v>
      </c>
      <c r="G1078" s="30" t="n">
        <v>46244</v>
      </c>
      <c r="H1078" s="22" t="n">
        <v>621934</v>
      </c>
      <c r="I1078" s="22" t="s">
        <v>8305</v>
      </c>
      <c r="J1078" s="31" t="n">
        <v>105.3</v>
      </c>
      <c r="K1078" s="26" t="n">
        <v>1827.65</v>
      </c>
      <c r="L1078" s="26" t="n">
        <v>309.67</v>
      </c>
      <c r="M1078" s="22" t="s">
        <v>3073</v>
      </c>
      <c r="N1078" s="22" t="n">
        <f aca="false">MATCH(M1078,'Tabela Passaro'!$A$2:$A$1795,0)</f>
        <v>706</v>
      </c>
      <c r="O1078" s="22" t="str">
        <f aca="false">INDEX('Tabela Passaro'!$C$2:$C$1795,$N1078)</f>
        <v>BACABAL</v>
      </c>
      <c r="P1078" s="22" t="str">
        <f aca="false">INDEX('Tabela Passaro'!$B$2:$B$1795,$N1078)</f>
        <v>MA</v>
      </c>
      <c r="Q1078" s="22" t="n">
        <f aca="false">INDEX('Tabela Passaro'!$F$2:$F$1795,$N1078)</f>
        <v>13</v>
      </c>
      <c r="R1078" s="32" t="n">
        <f aca="false">IF(J1078&lt;=10,INDEX('Tabela Passaro'!$G$2:$G$1795,$N1078),IF(J1078&lt;=30,INDEX('Tabela Passaro'!$H$2:$H$1795,$N1078),IF(J1078&lt;=50,INDEX('Tabela Passaro'!$I$2:$I$1795,$N1078),IF(J1078&lt;=70,INDEX('Tabela Passaro'!$J$2:$J$1795,$N1078),IF(J1078&lt;=100,INDEX('Tabela Passaro'!$K$2:$K$1795,$N1078),INDEX('Tabela Passaro'!$K$2:$K$1795,$N1078)+(J1078-100)*INDEX('Tabela Passaro'!$L$2:$L$1795,$N1078))))))</f>
        <v>288.691</v>
      </c>
      <c r="S1078" s="32" t="n">
        <f aca="false">K1078*INDEX('Tabela Passaro'!$M$2:$M$1795,$N1078)</f>
        <v>9.13825</v>
      </c>
      <c r="T1078" s="32" t="n">
        <f aca="false">K1078*INDEX('Tabela Passaro'!$N$2:$N$1795,$N1078)</f>
        <v>3.6553</v>
      </c>
      <c r="U1078" s="32" t="n">
        <f aca="false">INDEX('Tabela Passaro'!$O$2:$O$1795,$N1078)</f>
        <v>5</v>
      </c>
      <c r="V1078" s="32" t="n">
        <f aca="false">ROUNDUP(J1078/INDEX('Tabela Passaro'!$Q$2:$Q$1795,$N1078),0)*INDEX('Tabela Passaro'!$P$2:$P$1795,$N1078)</f>
        <v>10</v>
      </c>
      <c r="W1078" s="32" t="n">
        <f aca="false">INDEX('Tabela Passaro'!$R$2:$R$1795,$N1078)</f>
        <v>30</v>
      </c>
      <c r="X1078" s="32" t="n">
        <f aca="false">ROUNDUP(J1078/INDEX('Tabela Passaro'!$T$2:$T$1795,$N1078),0)*INDEX('Tabela Passaro'!$S$2:$S$1795,$N1078)</f>
        <v>0</v>
      </c>
      <c r="Y1078" s="32" t="n">
        <f aca="false">INDEX('Tabela Passaro'!$U$2:$U$1795,$N1078)</f>
        <v>0</v>
      </c>
      <c r="Z1078" s="32" t="n">
        <f aca="false">INDEX('Tabela Passaro'!$V$2:$V$1795,$N1078)</f>
        <v>0</v>
      </c>
      <c r="AA1078" s="32" t="n">
        <f aca="false">SUM(R1078:Z1078)</f>
        <v>346.48455</v>
      </c>
      <c r="AB1078" s="33" t="n">
        <f aca="false">INDEX(Premissas!$B$5:$B$13,MATCH(A1078,Premissas!$A$5:$A$13,0))</f>
        <v>0.07</v>
      </c>
      <c r="AC1078" s="32" t="n">
        <f aca="false">AA1078/(1-AB1078)-AA1078</f>
        <v>26.0794822580646</v>
      </c>
      <c r="AD1078" s="32" t="n">
        <f aca="false">ROUND(AA1078+AC1078,2)</f>
        <v>372.56</v>
      </c>
      <c r="AE1078" s="32" t="n">
        <f aca="false">AD1078-L1078</f>
        <v>62.89</v>
      </c>
      <c r="AF1078" s="34" t="n">
        <f aca="false">IF(L1078=0,0,AE1078/L1078)</f>
        <v>0.203087157296477</v>
      </c>
      <c r="AG1078" s="22" t="str">
        <f aca="false">IF(AD1078&lt;L1078,"PASSARO","ATUAL")</f>
        <v>ATUAL</v>
      </c>
      <c r="AH1078" s="22" t="str">
        <f aca="false">IF(P1078&lt;&gt;A1078,"Faixa cadastrada como "&amp;P1078&amp;" na tabela; preço aplicado pela UF do CEP","")</f>
        <v/>
      </c>
      <c r="AI1078" s="26" t="n">
        <v>434.4</v>
      </c>
      <c r="AJ1078" s="22" t="str">
        <f aca="false">INDEX('Tabela Passaro'!$X$2:$X$1795,$N1078)</f>
        <v>INTERIOR 1</v>
      </c>
    </row>
    <row r="1079" customFormat="false" ht="15" hidden="false" customHeight="false" outlineLevel="0" collapsed="false">
      <c r="A1079" s="22" t="s">
        <v>18</v>
      </c>
      <c r="B1079" s="22" t="n">
        <v>10</v>
      </c>
      <c r="C1079" s="22" t="s">
        <v>129</v>
      </c>
      <c r="D1079" s="22" t="s">
        <v>32</v>
      </c>
      <c r="E1079" s="22" t="s">
        <v>7326</v>
      </c>
      <c r="F1079" s="22" t="n">
        <v>903806</v>
      </c>
      <c r="G1079" s="30" t="n">
        <v>46248</v>
      </c>
      <c r="H1079" s="22" t="n">
        <v>625005</v>
      </c>
      <c r="I1079" s="22" t="s">
        <v>8305</v>
      </c>
      <c r="J1079" s="31" t="n">
        <v>33</v>
      </c>
      <c r="K1079" s="26" t="n">
        <v>688.51</v>
      </c>
      <c r="L1079" s="26" t="n">
        <v>183.98</v>
      </c>
      <c r="M1079" s="22" t="s">
        <v>3073</v>
      </c>
      <c r="N1079" s="22" t="n">
        <f aca="false">MATCH(M1079,'Tabela Passaro'!$A$2:$A$1795,0)</f>
        <v>706</v>
      </c>
      <c r="O1079" s="22" t="str">
        <f aca="false">INDEX('Tabela Passaro'!$C$2:$C$1795,$N1079)</f>
        <v>BACABAL</v>
      </c>
      <c r="P1079" s="22" t="str">
        <f aca="false">INDEX('Tabela Passaro'!$B$2:$B$1795,$N1079)</f>
        <v>MA</v>
      </c>
      <c r="Q1079" s="22" t="n">
        <f aca="false">INDEX('Tabela Passaro'!$F$2:$F$1795,$N1079)</f>
        <v>13</v>
      </c>
      <c r="R1079" s="32" t="n">
        <f aca="false">IF(J1079&lt;=10,INDEX('Tabela Passaro'!$G$2:$G$1795,$N1079),IF(J1079&lt;=30,INDEX('Tabela Passaro'!$H$2:$H$1795,$N1079),IF(J1079&lt;=50,INDEX('Tabela Passaro'!$I$2:$I$1795,$N1079),IF(J1079&lt;=70,INDEX('Tabela Passaro'!$J$2:$J$1795,$N1079),IF(J1079&lt;=100,INDEX('Tabela Passaro'!$K$2:$K$1795,$N1079),INDEX('Tabela Passaro'!$K$2:$K$1795,$N1079)+(J1079-100)*INDEX('Tabela Passaro'!$L$2:$L$1795,$N1079))))))</f>
        <v>242.41</v>
      </c>
      <c r="S1079" s="32" t="n">
        <f aca="false">K1079*INDEX('Tabela Passaro'!$M$2:$M$1795,$N1079)</f>
        <v>3.44255</v>
      </c>
      <c r="T1079" s="32" t="n">
        <f aca="false">K1079*INDEX('Tabela Passaro'!$N$2:$N$1795,$N1079)</f>
        <v>1.37702</v>
      </c>
      <c r="U1079" s="32" t="n">
        <f aca="false">INDEX('Tabela Passaro'!$O$2:$O$1795,$N1079)</f>
        <v>5</v>
      </c>
      <c r="V1079" s="32" t="n">
        <f aca="false">ROUNDUP(J1079/INDEX('Tabela Passaro'!$Q$2:$Q$1795,$N1079),0)*INDEX('Tabela Passaro'!$P$2:$P$1795,$N1079)</f>
        <v>5</v>
      </c>
      <c r="W1079" s="32" t="n">
        <f aca="false">INDEX('Tabela Passaro'!$R$2:$R$1795,$N1079)</f>
        <v>30</v>
      </c>
      <c r="X1079" s="32" t="n">
        <f aca="false">ROUNDUP(J1079/INDEX('Tabela Passaro'!$T$2:$T$1795,$N1079),0)*INDEX('Tabela Passaro'!$S$2:$S$1795,$N1079)</f>
        <v>0</v>
      </c>
      <c r="Y1079" s="32" t="n">
        <f aca="false">INDEX('Tabela Passaro'!$U$2:$U$1795,$N1079)</f>
        <v>0</v>
      </c>
      <c r="Z1079" s="32" t="n">
        <f aca="false">INDEX('Tabela Passaro'!$V$2:$V$1795,$N1079)</f>
        <v>0</v>
      </c>
      <c r="AA1079" s="32" t="n">
        <f aca="false">SUM(R1079:Z1079)</f>
        <v>287.22957</v>
      </c>
      <c r="AB1079" s="33" t="n">
        <f aca="false">INDEX(Premissas!$B$5:$B$13,MATCH(A1079,Premissas!$A$5:$A$13,0))</f>
        <v>0.07</v>
      </c>
      <c r="AC1079" s="32" t="n">
        <f aca="false">AA1079/(1-AB1079)-AA1079</f>
        <v>21.61943</v>
      </c>
      <c r="AD1079" s="32" t="n">
        <f aca="false">ROUND(AA1079+AC1079,2)</f>
        <v>308.85</v>
      </c>
      <c r="AE1079" s="32" t="n">
        <f aca="false">AD1079-L1079</f>
        <v>124.87</v>
      </c>
      <c r="AF1079" s="34" t="n">
        <f aca="false">IF(L1079=0,0,AE1079/L1079)</f>
        <v>0.67871507772584</v>
      </c>
      <c r="AG1079" s="22" t="str">
        <f aca="false">IF(AD1079&lt;L1079,"PASSARO","ATUAL")</f>
        <v>ATUAL</v>
      </c>
      <c r="AH1079" s="22" t="str">
        <f aca="false">IF(P1079&lt;&gt;A1079,"Faixa cadastrada como "&amp;P1079&amp;" na tabela; preço aplicado pela UF do CEP","")</f>
        <v/>
      </c>
      <c r="AI1079" s="26" t="n">
        <v>329.25</v>
      </c>
      <c r="AJ1079" s="22" t="str">
        <f aca="false">INDEX('Tabela Passaro'!$X$2:$X$1795,$N1079)</f>
        <v>INTERIOR 1</v>
      </c>
    </row>
    <row r="1080" customFormat="false" ht="15" hidden="false" customHeight="false" outlineLevel="0" collapsed="false">
      <c r="A1080" s="22" t="s">
        <v>18</v>
      </c>
      <c r="B1080" s="22" t="n">
        <v>10</v>
      </c>
      <c r="C1080" s="22" t="s">
        <v>129</v>
      </c>
      <c r="D1080" s="22" t="s">
        <v>30</v>
      </c>
      <c r="E1080" s="22" t="s">
        <v>7328</v>
      </c>
      <c r="F1080" s="22" t="n">
        <v>2313204</v>
      </c>
      <c r="G1080" s="30" t="n">
        <v>46251</v>
      </c>
      <c r="H1080" s="22" t="n">
        <v>133625</v>
      </c>
      <c r="I1080" s="22" t="s">
        <v>8305</v>
      </c>
      <c r="J1080" s="31" t="n">
        <v>27.6</v>
      </c>
      <c r="K1080" s="26" t="n">
        <v>877.7</v>
      </c>
      <c r="L1080" s="26" t="n">
        <v>148.31</v>
      </c>
      <c r="M1080" s="22" t="s">
        <v>3073</v>
      </c>
      <c r="N1080" s="22" t="n">
        <f aca="false">MATCH(M1080,'Tabela Passaro'!$A$2:$A$1795,0)</f>
        <v>706</v>
      </c>
      <c r="O1080" s="22" t="str">
        <f aca="false">INDEX('Tabela Passaro'!$C$2:$C$1795,$N1080)</f>
        <v>BACABAL</v>
      </c>
      <c r="P1080" s="22" t="str">
        <f aca="false">INDEX('Tabela Passaro'!$B$2:$B$1795,$N1080)</f>
        <v>MA</v>
      </c>
      <c r="Q1080" s="22" t="n">
        <f aca="false">INDEX('Tabela Passaro'!$F$2:$F$1795,$N1080)</f>
        <v>13</v>
      </c>
      <c r="R1080" s="32" t="n">
        <f aca="false">IF(J1080&lt;=10,INDEX('Tabela Passaro'!$G$2:$G$1795,$N1080),IF(J1080&lt;=30,INDEX('Tabela Passaro'!$H$2:$H$1795,$N1080),IF(J1080&lt;=50,INDEX('Tabela Passaro'!$I$2:$I$1795,$N1080),IF(J1080&lt;=70,INDEX('Tabela Passaro'!$J$2:$J$1795,$N1080),IF(J1080&lt;=100,INDEX('Tabela Passaro'!$K$2:$K$1795,$N1080),INDEX('Tabela Passaro'!$K$2:$K$1795,$N1080)+(J1080-100)*INDEX('Tabela Passaro'!$L$2:$L$1795,$N1080))))))</f>
        <v>220.27</v>
      </c>
      <c r="S1080" s="32" t="n">
        <f aca="false">K1080*INDEX('Tabela Passaro'!$M$2:$M$1795,$N1080)</f>
        <v>4.3885</v>
      </c>
      <c r="T1080" s="32" t="n">
        <f aca="false">K1080*INDEX('Tabela Passaro'!$N$2:$N$1795,$N1080)</f>
        <v>1.7554</v>
      </c>
      <c r="U1080" s="32" t="n">
        <f aca="false">INDEX('Tabela Passaro'!$O$2:$O$1795,$N1080)</f>
        <v>5</v>
      </c>
      <c r="V1080" s="32" t="n">
        <f aca="false">ROUNDUP(J1080/INDEX('Tabela Passaro'!$Q$2:$Q$1795,$N1080),0)*INDEX('Tabela Passaro'!$P$2:$P$1795,$N1080)</f>
        <v>5</v>
      </c>
      <c r="W1080" s="32" t="n">
        <f aca="false">INDEX('Tabela Passaro'!$R$2:$R$1795,$N1080)</f>
        <v>30</v>
      </c>
      <c r="X1080" s="32" t="n">
        <f aca="false">ROUNDUP(J1080/INDEX('Tabela Passaro'!$T$2:$T$1795,$N1080),0)*INDEX('Tabela Passaro'!$S$2:$S$1795,$N1080)</f>
        <v>0</v>
      </c>
      <c r="Y1080" s="32" t="n">
        <f aca="false">INDEX('Tabela Passaro'!$U$2:$U$1795,$N1080)</f>
        <v>0</v>
      </c>
      <c r="Z1080" s="32" t="n">
        <f aca="false">INDEX('Tabela Passaro'!$V$2:$V$1795,$N1080)</f>
        <v>0</v>
      </c>
      <c r="AA1080" s="32" t="n">
        <f aca="false">SUM(R1080:Z1080)</f>
        <v>266.4139</v>
      </c>
      <c r="AB1080" s="33" t="n">
        <f aca="false">INDEX(Premissas!$B$5:$B$13,MATCH(A1080,Premissas!$A$5:$A$13,0))</f>
        <v>0.07</v>
      </c>
      <c r="AC1080" s="32" t="n">
        <f aca="false">AA1080/(1-AB1080)-AA1080</f>
        <v>20.052659139785</v>
      </c>
      <c r="AD1080" s="32" t="n">
        <f aca="false">ROUND(AA1080+AC1080,2)</f>
        <v>286.47</v>
      </c>
      <c r="AE1080" s="32" t="n">
        <f aca="false">AD1080-L1080</f>
        <v>138.16</v>
      </c>
      <c r="AF1080" s="34" t="n">
        <f aca="false">IF(L1080=0,0,AE1080/L1080)</f>
        <v>0.931562268221968</v>
      </c>
      <c r="AG1080" s="22" t="str">
        <f aca="false">IF(AD1080&lt;L1080,"PASSARO","ATUAL")</f>
        <v>ATUAL</v>
      </c>
      <c r="AH1080" s="22" t="str">
        <f aca="false">IF(P1080&lt;&gt;A1080,"Faixa cadastrada como "&amp;P1080&amp;" na tabela; preço aplicado pela UF do CEP","")</f>
        <v/>
      </c>
      <c r="AI1080" s="26" t="n">
        <v>303.62</v>
      </c>
      <c r="AJ1080" s="22" t="str">
        <f aca="false">INDEX('Tabela Passaro'!$X$2:$X$1795,$N1080)</f>
        <v>INTERIOR 1</v>
      </c>
    </row>
    <row r="1081" customFormat="false" ht="15" hidden="false" customHeight="false" outlineLevel="0" collapsed="false">
      <c r="A1081" s="22" t="s">
        <v>19</v>
      </c>
      <c r="B1081" s="22" t="n">
        <v>1</v>
      </c>
      <c r="C1081" s="22" t="s">
        <v>131</v>
      </c>
      <c r="D1081" s="22" t="s">
        <v>30</v>
      </c>
      <c r="E1081" s="22" t="s">
        <v>20</v>
      </c>
      <c r="F1081" s="22" t="n">
        <v>837649</v>
      </c>
      <c r="G1081" s="30" t="n">
        <v>46237</v>
      </c>
      <c r="H1081" s="22" t="n">
        <v>32326</v>
      </c>
      <c r="I1081" s="22" t="s">
        <v>8306</v>
      </c>
      <c r="J1081" s="31" t="n">
        <v>40</v>
      </c>
      <c r="K1081" s="26" t="n">
        <v>677.64</v>
      </c>
      <c r="L1081" s="26" t="n">
        <v>135.57</v>
      </c>
      <c r="M1081" s="22" t="s">
        <v>3926</v>
      </c>
      <c r="N1081" s="22" t="n">
        <f aca="false">MATCH(M1081,'Tabela Passaro'!$A$2:$A$1795,0)</f>
        <v>923</v>
      </c>
      <c r="O1081" s="22" t="str">
        <f aca="false">INDEX('Tabela Passaro'!$C$2:$C$1795,$N1081)</f>
        <v>JOAO PESSOA</v>
      </c>
      <c r="P1081" s="22" t="str">
        <f aca="false">INDEX('Tabela Passaro'!$B$2:$B$1795,$N1081)</f>
        <v>PB</v>
      </c>
      <c r="Q1081" s="22" t="n">
        <f aca="false">INDEX('Tabela Passaro'!$F$2:$F$1795,$N1081)</f>
        <v>9</v>
      </c>
      <c r="R1081" s="32" t="n">
        <f aca="false">IF(J1081&lt;=10,INDEX('Tabela Passaro'!$G$2:$G$1795,$N1081),IF(J1081&lt;=30,INDEX('Tabela Passaro'!$H$2:$H$1795,$N1081),IF(J1081&lt;=50,INDEX('Tabela Passaro'!$I$2:$I$1795,$N1081),IF(J1081&lt;=70,INDEX('Tabela Passaro'!$J$2:$J$1795,$N1081),IF(J1081&lt;=100,INDEX('Tabela Passaro'!$K$2:$K$1795,$N1081),INDEX('Tabela Passaro'!$K$2:$K$1795,$N1081)+(J1081-100)*INDEX('Tabela Passaro'!$L$2:$L$1795,$N1081))))))</f>
        <v>96.32</v>
      </c>
      <c r="S1081" s="32" t="n">
        <f aca="false">K1081*INDEX('Tabela Passaro'!$M$2:$M$1795,$N1081)</f>
        <v>3.3882</v>
      </c>
      <c r="T1081" s="32" t="n">
        <f aca="false">K1081*INDEX('Tabela Passaro'!$N$2:$N$1795,$N1081)</f>
        <v>1.35528</v>
      </c>
      <c r="U1081" s="32" t="n">
        <f aca="false">INDEX('Tabela Passaro'!$O$2:$O$1795,$N1081)</f>
        <v>5</v>
      </c>
      <c r="V1081" s="32" t="n">
        <f aca="false">ROUNDUP(J1081/INDEX('Tabela Passaro'!$Q$2:$Q$1795,$N1081),0)*INDEX('Tabela Passaro'!$P$2:$P$1795,$N1081)</f>
        <v>5</v>
      </c>
      <c r="W1081" s="32" t="n">
        <f aca="false">INDEX('Tabela Passaro'!$R$2:$R$1795,$N1081)</f>
        <v>30</v>
      </c>
      <c r="X1081" s="32" t="n">
        <f aca="false">ROUNDUP(J1081/INDEX('Tabela Passaro'!$T$2:$T$1795,$N1081),0)*INDEX('Tabela Passaro'!$S$2:$S$1795,$N1081)</f>
        <v>0</v>
      </c>
      <c r="Y1081" s="32" t="n">
        <f aca="false">INDEX('Tabela Passaro'!$U$2:$U$1795,$N1081)</f>
        <v>0</v>
      </c>
      <c r="Z1081" s="32" t="n">
        <f aca="false">INDEX('Tabela Passaro'!$V$2:$V$1795,$N1081)</f>
        <v>0</v>
      </c>
      <c r="AA1081" s="32" t="n">
        <f aca="false">SUM(R1081:Z1081)</f>
        <v>141.06348</v>
      </c>
      <c r="AB1081" s="33" t="n">
        <f aca="false">INDEX(Premissas!$B$5:$B$13,MATCH(A1081,Premissas!$A$5:$A$13,0))</f>
        <v>0.07</v>
      </c>
      <c r="AC1081" s="32" t="n">
        <f aca="false">AA1081/(1-AB1081)-AA1081</f>
        <v>10.6176812903226</v>
      </c>
      <c r="AD1081" s="32" t="n">
        <f aca="false">ROUND(AA1081+AC1081,2)</f>
        <v>151.68</v>
      </c>
      <c r="AE1081" s="32" t="n">
        <f aca="false">AD1081-L1081</f>
        <v>16.11</v>
      </c>
      <c r="AF1081" s="34" t="n">
        <f aca="false">IF(L1081=0,0,AE1081/L1081)</f>
        <v>0.118831599911485</v>
      </c>
      <c r="AG1081" s="22" t="str">
        <f aca="false">IF(AD1081&lt;L1081,"PASSARO","ATUAL")</f>
        <v>ATUAL</v>
      </c>
      <c r="AH1081" s="22" t="str">
        <f aca="false">IF(P1081&lt;&gt;A1081,"Faixa cadastrada como "&amp;P1081&amp;" na tabela; preço aplicado pela UF do CEP","")</f>
        <v/>
      </c>
      <c r="AI1081" s="26" t="n">
        <v>178.6</v>
      </c>
      <c r="AJ1081" s="22" t="str">
        <f aca="false">INDEX('Tabela Passaro'!$X$2:$X$1795,$N1081)</f>
        <v>CAPITAL</v>
      </c>
    </row>
    <row r="1082" customFormat="false" ht="15" hidden="false" customHeight="false" outlineLevel="0" collapsed="false">
      <c r="A1082" s="22" t="s">
        <v>19</v>
      </c>
      <c r="B1082" s="22" t="n">
        <v>1</v>
      </c>
      <c r="C1082" s="22" t="s">
        <v>131</v>
      </c>
      <c r="D1082" s="22" t="s">
        <v>30</v>
      </c>
      <c r="E1082" s="22" t="s">
        <v>20</v>
      </c>
      <c r="F1082" s="22" t="n">
        <v>837652</v>
      </c>
      <c r="G1082" s="30" t="n">
        <v>46237</v>
      </c>
      <c r="H1082" s="22" t="n">
        <v>32329</v>
      </c>
      <c r="I1082" s="22" t="s">
        <v>8307</v>
      </c>
      <c r="J1082" s="31" t="n">
        <v>36.8</v>
      </c>
      <c r="K1082" s="26" t="n">
        <v>634.98</v>
      </c>
      <c r="L1082" s="26" t="n">
        <v>135.18</v>
      </c>
      <c r="M1082" s="22" t="s">
        <v>3926</v>
      </c>
      <c r="N1082" s="22" t="n">
        <f aca="false">MATCH(M1082,'Tabela Passaro'!$A$2:$A$1795,0)</f>
        <v>923</v>
      </c>
      <c r="O1082" s="22" t="str">
        <f aca="false">INDEX('Tabela Passaro'!$C$2:$C$1795,$N1082)</f>
        <v>JOAO PESSOA</v>
      </c>
      <c r="P1082" s="22" t="str">
        <f aca="false">INDEX('Tabela Passaro'!$B$2:$B$1795,$N1082)</f>
        <v>PB</v>
      </c>
      <c r="Q1082" s="22" t="n">
        <f aca="false">INDEX('Tabela Passaro'!$F$2:$F$1795,$N1082)</f>
        <v>9</v>
      </c>
      <c r="R1082" s="32" t="n">
        <f aca="false">IF(J1082&lt;=10,INDEX('Tabela Passaro'!$G$2:$G$1795,$N1082),IF(J1082&lt;=30,INDEX('Tabela Passaro'!$H$2:$H$1795,$N1082),IF(J1082&lt;=50,INDEX('Tabela Passaro'!$I$2:$I$1795,$N1082),IF(J1082&lt;=70,INDEX('Tabela Passaro'!$J$2:$J$1795,$N1082),IF(J1082&lt;=100,INDEX('Tabela Passaro'!$K$2:$K$1795,$N1082),INDEX('Tabela Passaro'!$K$2:$K$1795,$N1082)+(J1082-100)*INDEX('Tabela Passaro'!$L$2:$L$1795,$N1082))))))</f>
        <v>96.32</v>
      </c>
      <c r="S1082" s="32" t="n">
        <f aca="false">K1082*INDEX('Tabela Passaro'!$M$2:$M$1795,$N1082)</f>
        <v>3.1749</v>
      </c>
      <c r="T1082" s="32" t="n">
        <f aca="false">K1082*INDEX('Tabela Passaro'!$N$2:$N$1795,$N1082)</f>
        <v>1.26996</v>
      </c>
      <c r="U1082" s="32" t="n">
        <f aca="false">INDEX('Tabela Passaro'!$O$2:$O$1795,$N1082)</f>
        <v>5</v>
      </c>
      <c r="V1082" s="32" t="n">
        <f aca="false">ROUNDUP(J1082/INDEX('Tabela Passaro'!$Q$2:$Q$1795,$N1082),0)*INDEX('Tabela Passaro'!$P$2:$P$1795,$N1082)</f>
        <v>5</v>
      </c>
      <c r="W1082" s="32" t="n">
        <f aca="false">INDEX('Tabela Passaro'!$R$2:$R$1795,$N1082)</f>
        <v>30</v>
      </c>
      <c r="X1082" s="32" t="n">
        <f aca="false">ROUNDUP(J1082/INDEX('Tabela Passaro'!$T$2:$T$1795,$N1082),0)*INDEX('Tabela Passaro'!$S$2:$S$1795,$N1082)</f>
        <v>0</v>
      </c>
      <c r="Y1082" s="32" t="n">
        <f aca="false">INDEX('Tabela Passaro'!$U$2:$U$1795,$N1082)</f>
        <v>0</v>
      </c>
      <c r="Z1082" s="32" t="n">
        <f aca="false">INDEX('Tabela Passaro'!$V$2:$V$1795,$N1082)</f>
        <v>0</v>
      </c>
      <c r="AA1082" s="32" t="n">
        <f aca="false">SUM(R1082:Z1082)</f>
        <v>140.76486</v>
      </c>
      <c r="AB1082" s="33" t="n">
        <f aca="false">INDEX(Premissas!$B$5:$B$13,MATCH(A1082,Premissas!$A$5:$A$13,0))</f>
        <v>0.07</v>
      </c>
      <c r="AC1082" s="32" t="n">
        <f aca="false">AA1082/(1-AB1082)-AA1082</f>
        <v>10.595204516129</v>
      </c>
      <c r="AD1082" s="32" t="n">
        <f aca="false">ROUND(AA1082+AC1082,2)</f>
        <v>151.36</v>
      </c>
      <c r="AE1082" s="32" t="n">
        <f aca="false">AD1082-L1082</f>
        <v>16.18</v>
      </c>
      <c r="AF1082" s="34" t="n">
        <f aca="false">IF(L1082=0,0,AE1082/L1082)</f>
        <v>0.11969226216896</v>
      </c>
      <c r="AG1082" s="22" t="str">
        <f aca="false">IF(AD1082&lt;L1082,"PASSARO","ATUAL")</f>
        <v>ATUAL</v>
      </c>
      <c r="AH1082" s="22" t="str">
        <f aca="false">IF(P1082&lt;&gt;A1082,"Faixa cadastrada como "&amp;P1082&amp;" na tabela; preço aplicado pela UF do CEP","")</f>
        <v/>
      </c>
      <c r="AI1082" s="26" t="n">
        <v>176.74</v>
      </c>
      <c r="AJ1082" s="22" t="str">
        <f aca="false">INDEX('Tabela Passaro'!$X$2:$X$1795,$N1082)</f>
        <v>CAPITAL</v>
      </c>
    </row>
    <row r="1083" customFormat="false" ht="15" hidden="false" customHeight="false" outlineLevel="0" collapsed="false">
      <c r="A1083" s="22" t="s">
        <v>19</v>
      </c>
      <c r="B1083" s="22" t="n">
        <v>1</v>
      </c>
      <c r="C1083" s="22" t="s">
        <v>131</v>
      </c>
      <c r="D1083" s="22" t="s">
        <v>30</v>
      </c>
      <c r="E1083" s="22" t="s">
        <v>20</v>
      </c>
      <c r="F1083" s="22" t="n">
        <v>837669</v>
      </c>
      <c r="G1083" s="30" t="n">
        <v>46237</v>
      </c>
      <c r="H1083" s="22" t="n">
        <v>32346</v>
      </c>
      <c r="I1083" s="22" t="s">
        <v>8308</v>
      </c>
      <c r="J1083" s="31" t="n">
        <v>51.2</v>
      </c>
      <c r="K1083" s="26" t="n">
        <v>784.64</v>
      </c>
      <c r="L1083" s="26" t="n">
        <v>153.31</v>
      </c>
      <c r="M1083" s="22" t="s">
        <v>3926</v>
      </c>
      <c r="N1083" s="22" t="n">
        <f aca="false">MATCH(M1083,'Tabela Passaro'!$A$2:$A$1795,0)</f>
        <v>923</v>
      </c>
      <c r="O1083" s="22" t="str">
        <f aca="false">INDEX('Tabela Passaro'!$C$2:$C$1795,$N1083)</f>
        <v>JOAO PESSOA</v>
      </c>
      <c r="P1083" s="22" t="str">
        <f aca="false">INDEX('Tabela Passaro'!$B$2:$B$1795,$N1083)</f>
        <v>PB</v>
      </c>
      <c r="Q1083" s="22" t="n">
        <f aca="false">INDEX('Tabela Passaro'!$F$2:$F$1795,$N1083)</f>
        <v>9</v>
      </c>
      <c r="R1083" s="32" t="n">
        <f aca="false">IF(J1083&lt;=10,INDEX('Tabela Passaro'!$G$2:$G$1795,$N1083),IF(J1083&lt;=30,INDEX('Tabela Passaro'!$H$2:$H$1795,$N1083),IF(J1083&lt;=50,INDEX('Tabela Passaro'!$I$2:$I$1795,$N1083),IF(J1083&lt;=70,INDEX('Tabela Passaro'!$J$2:$J$1795,$N1083),IF(J1083&lt;=100,INDEX('Tabela Passaro'!$K$2:$K$1795,$N1083),INDEX('Tabela Passaro'!$K$2:$K$1795,$N1083)+(J1083-100)*INDEX('Tabela Passaro'!$L$2:$L$1795,$N1083))))))</f>
        <v>106.33</v>
      </c>
      <c r="S1083" s="32" t="n">
        <f aca="false">K1083*INDEX('Tabela Passaro'!$M$2:$M$1795,$N1083)</f>
        <v>3.9232</v>
      </c>
      <c r="T1083" s="32" t="n">
        <f aca="false">K1083*INDEX('Tabela Passaro'!$N$2:$N$1795,$N1083)</f>
        <v>1.56928</v>
      </c>
      <c r="U1083" s="32" t="n">
        <f aca="false">INDEX('Tabela Passaro'!$O$2:$O$1795,$N1083)</f>
        <v>5</v>
      </c>
      <c r="V1083" s="32" t="n">
        <f aca="false">ROUNDUP(J1083/INDEX('Tabela Passaro'!$Q$2:$Q$1795,$N1083),0)*INDEX('Tabela Passaro'!$P$2:$P$1795,$N1083)</f>
        <v>5</v>
      </c>
      <c r="W1083" s="32" t="n">
        <f aca="false">INDEX('Tabela Passaro'!$R$2:$R$1795,$N1083)</f>
        <v>30</v>
      </c>
      <c r="X1083" s="32" t="n">
        <f aca="false">ROUNDUP(J1083/INDEX('Tabela Passaro'!$T$2:$T$1795,$N1083),0)*INDEX('Tabela Passaro'!$S$2:$S$1795,$N1083)</f>
        <v>0</v>
      </c>
      <c r="Y1083" s="32" t="n">
        <f aca="false">INDEX('Tabela Passaro'!$U$2:$U$1795,$N1083)</f>
        <v>0</v>
      </c>
      <c r="Z1083" s="32" t="n">
        <f aca="false">INDEX('Tabela Passaro'!$V$2:$V$1795,$N1083)</f>
        <v>0</v>
      </c>
      <c r="AA1083" s="32" t="n">
        <f aca="false">SUM(R1083:Z1083)</f>
        <v>151.82248</v>
      </c>
      <c r="AB1083" s="33" t="n">
        <f aca="false">INDEX(Premissas!$B$5:$B$13,MATCH(A1083,Premissas!$A$5:$A$13,0))</f>
        <v>0.07</v>
      </c>
      <c r="AC1083" s="32" t="n">
        <f aca="false">AA1083/(1-AB1083)-AA1083</f>
        <v>11.4274984946237</v>
      </c>
      <c r="AD1083" s="32" t="n">
        <f aca="false">ROUND(AA1083+AC1083,2)</f>
        <v>163.25</v>
      </c>
      <c r="AE1083" s="32" t="n">
        <f aca="false">AD1083-L1083</f>
        <v>9.94</v>
      </c>
      <c r="AF1083" s="34" t="n">
        <f aca="false">IF(L1083=0,0,AE1083/L1083)</f>
        <v>0.0648359532972409</v>
      </c>
      <c r="AG1083" s="22" t="str">
        <f aca="false">IF(AD1083&lt;L1083,"PASSARO","ATUAL")</f>
        <v>ATUAL</v>
      </c>
      <c r="AH1083" s="22" t="str">
        <f aca="false">IF(P1083&lt;&gt;A1083,"Faixa cadastrada como "&amp;P1083&amp;" na tabela; preço aplicado pela UF do CEP","")</f>
        <v/>
      </c>
      <c r="AI1083" s="26" t="n">
        <v>197.96</v>
      </c>
      <c r="AJ1083" s="22" t="str">
        <f aca="false">INDEX('Tabela Passaro'!$X$2:$X$1795,$N1083)</f>
        <v>CAPITAL</v>
      </c>
    </row>
    <row r="1084" customFormat="false" ht="15" hidden="false" customHeight="false" outlineLevel="0" collapsed="false">
      <c r="A1084" s="22" t="s">
        <v>19</v>
      </c>
      <c r="B1084" s="22" t="n">
        <v>1</v>
      </c>
      <c r="C1084" s="22" t="s">
        <v>131</v>
      </c>
      <c r="D1084" s="22" t="s">
        <v>30</v>
      </c>
      <c r="E1084" s="22" t="s">
        <v>20</v>
      </c>
      <c r="F1084" s="22" t="n">
        <v>837750</v>
      </c>
      <c r="G1084" s="30" t="n">
        <v>46238</v>
      </c>
      <c r="H1084" s="22" t="n">
        <v>32389</v>
      </c>
      <c r="I1084" s="22" t="s">
        <v>8309</v>
      </c>
      <c r="J1084" s="31" t="n">
        <v>21.55</v>
      </c>
      <c r="K1084" s="26" t="n">
        <v>361.4</v>
      </c>
      <c r="L1084" s="26" t="n">
        <v>103.95</v>
      </c>
      <c r="M1084" s="22" t="s">
        <v>3926</v>
      </c>
      <c r="N1084" s="22" t="n">
        <f aca="false">MATCH(M1084,'Tabela Passaro'!$A$2:$A$1795,0)</f>
        <v>923</v>
      </c>
      <c r="O1084" s="22" t="str">
        <f aca="false">INDEX('Tabela Passaro'!$C$2:$C$1795,$N1084)</f>
        <v>JOAO PESSOA</v>
      </c>
      <c r="P1084" s="22" t="str">
        <f aca="false">INDEX('Tabela Passaro'!$B$2:$B$1795,$N1084)</f>
        <v>PB</v>
      </c>
      <c r="Q1084" s="22" t="n">
        <f aca="false">INDEX('Tabela Passaro'!$F$2:$F$1795,$N1084)</f>
        <v>9</v>
      </c>
      <c r="R1084" s="32" t="n">
        <f aca="false">IF(J1084&lt;=10,INDEX('Tabela Passaro'!$G$2:$G$1795,$N1084),IF(J1084&lt;=30,INDEX('Tabela Passaro'!$H$2:$H$1795,$N1084),IF(J1084&lt;=50,INDEX('Tabela Passaro'!$I$2:$I$1795,$N1084),IF(J1084&lt;=70,INDEX('Tabela Passaro'!$J$2:$J$1795,$N1084),IF(J1084&lt;=100,INDEX('Tabela Passaro'!$K$2:$K$1795,$N1084),INDEX('Tabela Passaro'!$K$2:$K$1795,$N1084)+(J1084-100)*INDEX('Tabela Passaro'!$L$2:$L$1795,$N1084))))))</f>
        <v>76.28</v>
      </c>
      <c r="S1084" s="32" t="n">
        <f aca="false">K1084*INDEX('Tabela Passaro'!$M$2:$M$1795,$N1084)</f>
        <v>1.807</v>
      </c>
      <c r="T1084" s="32" t="n">
        <f aca="false">K1084*INDEX('Tabela Passaro'!$N$2:$N$1795,$N1084)</f>
        <v>0.7228</v>
      </c>
      <c r="U1084" s="32" t="n">
        <f aca="false">INDEX('Tabela Passaro'!$O$2:$O$1795,$N1084)</f>
        <v>5</v>
      </c>
      <c r="V1084" s="32" t="n">
        <f aca="false">ROUNDUP(J1084/INDEX('Tabela Passaro'!$Q$2:$Q$1795,$N1084),0)*INDEX('Tabela Passaro'!$P$2:$P$1795,$N1084)</f>
        <v>5</v>
      </c>
      <c r="W1084" s="32" t="n">
        <f aca="false">INDEX('Tabela Passaro'!$R$2:$R$1795,$N1084)</f>
        <v>30</v>
      </c>
      <c r="X1084" s="32" t="n">
        <f aca="false">ROUNDUP(J1084/INDEX('Tabela Passaro'!$T$2:$T$1795,$N1084),0)*INDEX('Tabela Passaro'!$S$2:$S$1795,$N1084)</f>
        <v>0</v>
      </c>
      <c r="Y1084" s="32" t="n">
        <f aca="false">INDEX('Tabela Passaro'!$U$2:$U$1795,$N1084)</f>
        <v>0</v>
      </c>
      <c r="Z1084" s="32" t="n">
        <f aca="false">INDEX('Tabela Passaro'!$V$2:$V$1795,$N1084)</f>
        <v>0</v>
      </c>
      <c r="AA1084" s="32" t="n">
        <f aca="false">SUM(R1084:Z1084)</f>
        <v>118.8098</v>
      </c>
      <c r="AB1084" s="33" t="n">
        <f aca="false">INDEX(Premissas!$B$5:$B$13,MATCH(A1084,Premissas!$A$5:$A$13,0))</f>
        <v>0.07</v>
      </c>
      <c r="AC1084" s="32" t="n">
        <f aca="false">AA1084/(1-AB1084)-AA1084</f>
        <v>8.94267311827957</v>
      </c>
      <c r="AD1084" s="32" t="n">
        <f aca="false">ROUND(AA1084+AC1084,2)</f>
        <v>127.75</v>
      </c>
      <c r="AE1084" s="32" t="n">
        <f aca="false">AD1084-L1084</f>
        <v>23.8</v>
      </c>
      <c r="AF1084" s="34" t="n">
        <f aca="false">IF(L1084=0,0,AE1084/L1084)</f>
        <v>0.228956228956229</v>
      </c>
      <c r="AG1084" s="22" t="str">
        <f aca="false">IF(AD1084&lt;L1084,"PASSARO","ATUAL")</f>
        <v>ATUAL</v>
      </c>
      <c r="AH1084" s="22" t="str">
        <f aca="false">IF(P1084&lt;&gt;A1084,"Faixa cadastrada como "&amp;P1084&amp;" na tabela; preço aplicado pela UF do CEP","")</f>
        <v/>
      </c>
      <c r="AI1084" s="26" t="n">
        <v>141.78</v>
      </c>
      <c r="AJ1084" s="22" t="str">
        <f aca="false">INDEX('Tabela Passaro'!$X$2:$X$1795,$N1084)</f>
        <v>CAPITAL</v>
      </c>
    </row>
    <row r="1085" customFormat="false" ht="15" hidden="false" customHeight="false" outlineLevel="0" collapsed="false">
      <c r="A1085" s="22" t="s">
        <v>19</v>
      </c>
      <c r="B1085" s="22" t="n">
        <v>1</v>
      </c>
      <c r="C1085" s="22" t="s">
        <v>131</v>
      </c>
      <c r="D1085" s="22" t="s">
        <v>30</v>
      </c>
      <c r="E1085" s="22" t="s">
        <v>7328</v>
      </c>
      <c r="F1085" s="22" t="n">
        <v>2307928</v>
      </c>
      <c r="G1085" s="30" t="n">
        <v>46239</v>
      </c>
      <c r="H1085" s="22" t="n">
        <v>131903</v>
      </c>
      <c r="I1085" s="22" t="s">
        <v>8310</v>
      </c>
      <c r="J1085" s="31" t="n">
        <v>35.2</v>
      </c>
      <c r="K1085" s="26" t="n">
        <v>654.94</v>
      </c>
      <c r="L1085" s="26" t="n">
        <v>159.21</v>
      </c>
      <c r="M1085" s="22" t="s">
        <v>3926</v>
      </c>
      <c r="N1085" s="22" t="n">
        <f aca="false">MATCH(M1085,'Tabela Passaro'!$A$2:$A$1795,0)</f>
        <v>923</v>
      </c>
      <c r="O1085" s="22" t="str">
        <f aca="false">INDEX('Tabela Passaro'!$C$2:$C$1795,$N1085)</f>
        <v>JOAO PESSOA</v>
      </c>
      <c r="P1085" s="22" t="str">
        <f aca="false">INDEX('Tabela Passaro'!$B$2:$B$1795,$N1085)</f>
        <v>PB</v>
      </c>
      <c r="Q1085" s="22" t="n">
        <f aca="false">INDEX('Tabela Passaro'!$F$2:$F$1795,$N1085)</f>
        <v>9</v>
      </c>
      <c r="R1085" s="32" t="n">
        <f aca="false">IF(J1085&lt;=10,INDEX('Tabela Passaro'!$G$2:$G$1795,$N1085),IF(J1085&lt;=30,INDEX('Tabela Passaro'!$H$2:$H$1795,$N1085),IF(J1085&lt;=50,INDEX('Tabela Passaro'!$I$2:$I$1795,$N1085),IF(J1085&lt;=70,INDEX('Tabela Passaro'!$J$2:$J$1795,$N1085),IF(J1085&lt;=100,INDEX('Tabela Passaro'!$K$2:$K$1795,$N1085),INDEX('Tabela Passaro'!$K$2:$K$1795,$N1085)+(J1085-100)*INDEX('Tabela Passaro'!$L$2:$L$1795,$N1085))))))</f>
        <v>96.32</v>
      </c>
      <c r="S1085" s="32" t="n">
        <f aca="false">K1085*INDEX('Tabela Passaro'!$M$2:$M$1795,$N1085)</f>
        <v>3.2747</v>
      </c>
      <c r="T1085" s="32" t="n">
        <f aca="false">K1085*INDEX('Tabela Passaro'!$N$2:$N$1795,$N1085)</f>
        <v>1.30988</v>
      </c>
      <c r="U1085" s="32" t="n">
        <f aca="false">INDEX('Tabela Passaro'!$O$2:$O$1795,$N1085)</f>
        <v>5</v>
      </c>
      <c r="V1085" s="32" t="n">
        <f aca="false">ROUNDUP(J1085/INDEX('Tabela Passaro'!$Q$2:$Q$1795,$N1085),0)*INDEX('Tabela Passaro'!$P$2:$P$1795,$N1085)</f>
        <v>5</v>
      </c>
      <c r="W1085" s="32" t="n">
        <f aca="false">INDEX('Tabela Passaro'!$R$2:$R$1795,$N1085)</f>
        <v>30</v>
      </c>
      <c r="X1085" s="32" t="n">
        <f aca="false">ROUNDUP(J1085/INDEX('Tabela Passaro'!$T$2:$T$1795,$N1085),0)*INDEX('Tabela Passaro'!$S$2:$S$1795,$N1085)</f>
        <v>0</v>
      </c>
      <c r="Y1085" s="32" t="n">
        <f aca="false">INDEX('Tabela Passaro'!$U$2:$U$1795,$N1085)</f>
        <v>0</v>
      </c>
      <c r="Z1085" s="32" t="n">
        <f aca="false">INDEX('Tabela Passaro'!$V$2:$V$1795,$N1085)</f>
        <v>0</v>
      </c>
      <c r="AA1085" s="32" t="n">
        <f aca="false">SUM(R1085:Z1085)</f>
        <v>140.90458</v>
      </c>
      <c r="AB1085" s="33" t="n">
        <f aca="false">INDEX(Premissas!$B$5:$B$13,MATCH(A1085,Premissas!$A$5:$A$13,0))</f>
        <v>0.07</v>
      </c>
      <c r="AC1085" s="32" t="n">
        <f aca="false">AA1085/(1-AB1085)-AA1085</f>
        <v>10.6057210752688</v>
      </c>
      <c r="AD1085" s="32" t="n">
        <f aca="false">ROUND(AA1085+AC1085,2)</f>
        <v>151.51</v>
      </c>
      <c r="AE1085" s="32" t="n">
        <f aca="false">AD1085-L1085</f>
        <v>-7.70000000000002</v>
      </c>
      <c r="AF1085" s="34" t="n">
        <f aca="false">IF(L1085=0,0,AE1085/L1085)</f>
        <v>-0.0483637962439546</v>
      </c>
      <c r="AG1085" s="22" t="str">
        <f aca="false">IF(AD1085&lt;L1085,"PASSARO","ATUAL")</f>
        <v>PASSARO</v>
      </c>
      <c r="AH1085" s="22" t="str">
        <f aca="false">IF(P1085&lt;&gt;A1085,"Faixa cadastrada como "&amp;P1085&amp;" na tabela; preço aplicado pela UF do CEP","")</f>
        <v/>
      </c>
      <c r="AI1085" s="26" t="n">
        <v>176.45</v>
      </c>
      <c r="AJ1085" s="22" t="str">
        <f aca="false">INDEX('Tabela Passaro'!$X$2:$X$1795,$N1085)</f>
        <v>CAPITAL</v>
      </c>
    </row>
    <row r="1086" customFormat="false" ht="15" hidden="false" customHeight="false" outlineLevel="0" collapsed="false">
      <c r="A1086" s="22" t="s">
        <v>19</v>
      </c>
      <c r="B1086" s="22" t="n">
        <v>1</v>
      </c>
      <c r="C1086" s="22" t="s">
        <v>131</v>
      </c>
      <c r="D1086" s="22" t="s">
        <v>30</v>
      </c>
      <c r="E1086" s="22" t="s">
        <v>20</v>
      </c>
      <c r="F1086" s="22" t="n">
        <v>838066</v>
      </c>
      <c r="G1086" s="30" t="n">
        <v>46240</v>
      </c>
      <c r="H1086" s="22" t="n">
        <v>32410</v>
      </c>
      <c r="I1086" s="22" t="s">
        <v>8311</v>
      </c>
      <c r="J1086" s="31" t="n">
        <v>45.4</v>
      </c>
      <c r="K1086" s="26" t="n">
        <v>692.65</v>
      </c>
      <c r="L1086" s="26" t="n">
        <v>135.7</v>
      </c>
      <c r="M1086" s="22" t="s">
        <v>3926</v>
      </c>
      <c r="N1086" s="22" t="n">
        <f aca="false">MATCH(M1086,'Tabela Passaro'!$A$2:$A$1795,0)</f>
        <v>923</v>
      </c>
      <c r="O1086" s="22" t="str">
        <f aca="false">INDEX('Tabela Passaro'!$C$2:$C$1795,$N1086)</f>
        <v>JOAO PESSOA</v>
      </c>
      <c r="P1086" s="22" t="str">
        <f aca="false">INDEX('Tabela Passaro'!$B$2:$B$1795,$N1086)</f>
        <v>PB</v>
      </c>
      <c r="Q1086" s="22" t="n">
        <f aca="false">INDEX('Tabela Passaro'!$F$2:$F$1795,$N1086)</f>
        <v>9</v>
      </c>
      <c r="R1086" s="32" t="n">
        <f aca="false">IF(J1086&lt;=10,INDEX('Tabela Passaro'!$G$2:$G$1795,$N1086),IF(J1086&lt;=30,INDEX('Tabela Passaro'!$H$2:$H$1795,$N1086),IF(J1086&lt;=50,INDEX('Tabela Passaro'!$I$2:$I$1795,$N1086),IF(J1086&lt;=70,INDEX('Tabela Passaro'!$J$2:$J$1795,$N1086),IF(J1086&lt;=100,INDEX('Tabela Passaro'!$K$2:$K$1795,$N1086),INDEX('Tabela Passaro'!$K$2:$K$1795,$N1086)+(J1086-100)*INDEX('Tabela Passaro'!$L$2:$L$1795,$N1086))))))</f>
        <v>96.32</v>
      </c>
      <c r="S1086" s="32" t="n">
        <f aca="false">K1086*INDEX('Tabela Passaro'!$M$2:$M$1795,$N1086)</f>
        <v>3.46325</v>
      </c>
      <c r="T1086" s="32" t="n">
        <f aca="false">K1086*INDEX('Tabela Passaro'!$N$2:$N$1795,$N1086)</f>
        <v>1.3853</v>
      </c>
      <c r="U1086" s="32" t="n">
        <f aca="false">INDEX('Tabela Passaro'!$O$2:$O$1795,$N1086)</f>
        <v>5</v>
      </c>
      <c r="V1086" s="32" t="n">
        <f aca="false">ROUNDUP(J1086/INDEX('Tabela Passaro'!$Q$2:$Q$1795,$N1086),0)*INDEX('Tabela Passaro'!$P$2:$P$1795,$N1086)</f>
        <v>5</v>
      </c>
      <c r="W1086" s="32" t="n">
        <f aca="false">INDEX('Tabela Passaro'!$R$2:$R$1795,$N1086)</f>
        <v>30</v>
      </c>
      <c r="X1086" s="32" t="n">
        <f aca="false">ROUNDUP(J1086/INDEX('Tabela Passaro'!$T$2:$T$1795,$N1086),0)*INDEX('Tabela Passaro'!$S$2:$S$1795,$N1086)</f>
        <v>0</v>
      </c>
      <c r="Y1086" s="32" t="n">
        <f aca="false">INDEX('Tabela Passaro'!$U$2:$U$1795,$N1086)</f>
        <v>0</v>
      </c>
      <c r="Z1086" s="32" t="n">
        <f aca="false">INDEX('Tabela Passaro'!$V$2:$V$1795,$N1086)</f>
        <v>0</v>
      </c>
      <c r="AA1086" s="32" t="n">
        <f aca="false">SUM(R1086:Z1086)</f>
        <v>141.16855</v>
      </c>
      <c r="AB1086" s="33" t="n">
        <f aca="false">INDEX(Premissas!$B$5:$B$13,MATCH(A1086,Premissas!$A$5:$A$13,0))</f>
        <v>0.07</v>
      </c>
      <c r="AC1086" s="32" t="n">
        <f aca="false">AA1086/(1-AB1086)-AA1086</f>
        <v>10.6255897849462</v>
      </c>
      <c r="AD1086" s="32" t="n">
        <f aca="false">ROUND(AA1086+AC1086,2)</f>
        <v>151.79</v>
      </c>
      <c r="AE1086" s="32" t="n">
        <f aca="false">AD1086-L1086</f>
        <v>16.09</v>
      </c>
      <c r="AF1086" s="34" t="n">
        <f aca="false">IF(L1086=0,0,AE1086/L1086)</f>
        <v>0.118570375829035</v>
      </c>
      <c r="AG1086" s="22" t="str">
        <f aca="false">IF(AD1086&lt;L1086,"PASSARO","ATUAL")</f>
        <v>ATUAL</v>
      </c>
      <c r="AH1086" s="22" t="str">
        <f aca="false">IF(P1086&lt;&gt;A1086,"Faixa cadastrada como "&amp;P1086&amp;" na tabela; preço aplicado pela UF do CEP","")</f>
        <v/>
      </c>
      <c r="AI1086" s="26" t="n">
        <v>181.65</v>
      </c>
      <c r="AJ1086" s="22" t="str">
        <f aca="false">INDEX('Tabela Passaro'!$X$2:$X$1795,$N1086)</f>
        <v>CAPITAL</v>
      </c>
    </row>
    <row r="1087" customFormat="false" ht="15" hidden="false" customHeight="false" outlineLevel="0" collapsed="false">
      <c r="A1087" s="22" t="s">
        <v>19</v>
      </c>
      <c r="B1087" s="22" t="n">
        <v>1</v>
      </c>
      <c r="C1087" s="22" t="s">
        <v>131</v>
      </c>
      <c r="D1087" s="22" t="s">
        <v>30</v>
      </c>
      <c r="E1087" s="22" t="s">
        <v>20</v>
      </c>
      <c r="F1087" s="22" t="n">
        <v>838078</v>
      </c>
      <c r="G1087" s="30" t="n">
        <v>46240</v>
      </c>
      <c r="H1087" s="22" t="n">
        <v>32422</v>
      </c>
      <c r="I1087" s="22" t="s">
        <v>8312</v>
      </c>
      <c r="J1087" s="31" t="n">
        <v>39.76</v>
      </c>
      <c r="K1087" s="26" t="n">
        <v>774.1</v>
      </c>
      <c r="L1087" s="26" t="n">
        <v>136.44</v>
      </c>
      <c r="M1087" s="22" t="s">
        <v>3926</v>
      </c>
      <c r="N1087" s="22" t="n">
        <f aca="false">MATCH(M1087,'Tabela Passaro'!$A$2:$A$1795,0)</f>
        <v>923</v>
      </c>
      <c r="O1087" s="22" t="str">
        <f aca="false">INDEX('Tabela Passaro'!$C$2:$C$1795,$N1087)</f>
        <v>JOAO PESSOA</v>
      </c>
      <c r="P1087" s="22" t="str">
        <f aca="false">INDEX('Tabela Passaro'!$B$2:$B$1795,$N1087)</f>
        <v>PB</v>
      </c>
      <c r="Q1087" s="22" t="n">
        <f aca="false">INDEX('Tabela Passaro'!$F$2:$F$1795,$N1087)</f>
        <v>9</v>
      </c>
      <c r="R1087" s="32" t="n">
        <f aca="false">IF(J1087&lt;=10,INDEX('Tabela Passaro'!$G$2:$G$1795,$N1087),IF(J1087&lt;=30,INDEX('Tabela Passaro'!$H$2:$H$1795,$N1087),IF(J1087&lt;=50,INDEX('Tabela Passaro'!$I$2:$I$1795,$N1087),IF(J1087&lt;=70,INDEX('Tabela Passaro'!$J$2:$J$1795,$N1087),IF(J1087&lt;=100,INDEX('Tabela Passaro'!$K$2:$K$1795,$N1087),INDEX('Tabela Passaro'!$K$2:$K$1795,$N1087)+(J1087-100)*INDEX('Tabela Passaro'!$L$2:$L$1795,$N1087))))))</f>
        <v>96.32</v>
      </c>
      <c r="S1087" s="32" t="n">
        <f aca="false">K1087*INDEX('Tabela Passaro'!$M$2:$M$1795,$N1087)</f>
        <v>3.8705</v>
      </c>
      <c r="T1087" s="32" t="n">
        <f aca="false">K1087*INDEX('Tabela Passaro'!$N$2:$N$1795,$N1087)</f>
        <v>1.5482</v>
      </c>
      <c r="U1087" s="32" t="n">
        <f aca="false">INDEX('Tabela Passaro'!$O$2:$O$1795,$N1087)</f>
        <v>5</v>
      </c>
      <c r="V1087" s="32" t="n">
        <f aca="false">ROUNDUP(J1087/INDEX('Tabela Passaro'!$Q$2:$Q$1795,$N1087),0)*INDEX('Tabela Passaro'!$P$2:$P$1795,$N1087)</f>
        <v>5</v>
      </c>
      <c r="W1087" s="32" t="n">
        <f aca="false">INDEX('Tabela Passaro'!$R$2:$R$1795,$N1087)</f>
        <v>30</v>
      </c>
      <c r="X1087" s="32" t="n">
        <f aca="false">ROUNDUP(J1087/INDEX('Tabela Passaro'!$T$2:$T$1795,$N1087),0)*INDEX('Tabela Passaro'!$S$2:$S$1795,$N1087)</f>
        <v>0</v>
      </c>
      <c r="Y1087" s="32" t="n">
        <f aca="false">INDEX('Tabela Passaro'!$U$2:$U$1795,$N1087)</f>
        <v>0</v>
      </c>
      <c r="Z1087" s="32" t="n">
        <f aca="false">INDEX('Tabela Passaro'!$V$2:$V$1795,$N1087)</f>
        <v>0</v>
      </c>
      <c r="AA1087" s="32" t="n">
        <f aca="false">SUM(R1087:Z1087)</f>
        <v>141.7387</v>
      </c>
      <c r="AB1087" s="33" t="n">
        <f aca="false">INDEX(Premissas!$B$5:$B$13,MATCH(A1087,Premissas!$A$5:$A$13,0))</f>
        <v>0.07</v>
      </c>
      <c r="AC1087" s="32" t="n">
        <f aca="false">AA1087/(1-AB1087)-AA1087</f>
        <v>10.6685043010753</v>
      </c>
      <c r="AD1087" s="32" t="n">
        <f aca="false">ROUND(AA1087+AC1087,2)</f>
        <v>152.41</v>
      </c>
      <c r="AE1087" s="32" t="n">
        <f aca="false">AD1087-L1087</f>
        <v>15.97</v>
      </c>
      <c r="AF1087" s="34" t="n">
        <f aca="false">IF(L1087=0,0,AE1087/L1087)</f>
        <v>0.117047786572853</v>
      </c>
      <c r="AG1087" s="22" t="str">
        <f aca="false">IF(AD1087&lt;L1087,"PASSARO","ATUAL")</f>
        <v>ATUAL</v>
      </c>
      <c r="AH1087" s="22" t="str">
        <f aca="false">IF(P1087&lt;&gt;A1087,"Faixa cadastrada como "&amp;P1087&amp;" na tabela; preço aplicado pela UF do CEP","")</f>
        <v/>
      </c>
      <c r="AI1087" s="26" t="n">
        <v>179.53</v>
      </c>
      <c r="AJ1087" s="22" t="str">
        <f aca="false">INDEX('Tabela Passaro'!$X$2:$X$1795,$N1087)</f>
        <v>CAPITAL</v>
      </c>
    </row>
    <row r="1088" customFormat="false" ht="15" hidden="false" customHeight="false" outlineLevel="0" collapsed="false">
      <c r="A1088" s="22" t="s">
        <v>19</v>
      </c>
      <c r="B1088" s="22" t="n">
        <v>1</v>
      </c>
      <c r="C1088" s="22" t="s">
        <v>131</v>
      </c>
      <c r="D1088" s="22" t="s">
        <v>30</v>
      </c>
      <c r="E1088" s="22" t="s">
        <v>7328</v>
      </c>
      <c r="F1088" s="22" t="n">
        <v>2309832</v>
      </c>
      <c r="G1088" s="30" t="n">
        <v>46244</v>
      </c>
      <c r="H1088" s="22" t="n">
        <v>132175</v>
      </c>
      <c r="I1088" s="22" t="s">
        <v>8313</v>
      </c>
      <c r="J1088" s="31" t="n">
        <v>116.29</v>
      </c>
      <c r="K1088" s="26" t="n">
        <v>1668.4</v>
      </c>
      <c r="L1088" s="26" t="n">
        <v>291.52</v>
      </c>
      <c r="M1088" s="22" t="s">
        <v>3926</v>
      </c>
      <c r="N1088" s="22" t="n">
        <f aca="false">MATCH(M1088,'Tabela Passaro'!$A$2:$A$1795,0)</f>
        <v>923</v>
      </c>
      <c r="O1088" s="22" t="str">
        <f aca="false">INDEX('Tabela Passaro'!$C$2:$C$1795,$N1088)</f>
        <v>JOAO PESSOA</v>
      </c>
      <c r="P1088" s="22" t="str">
        <f aca="false">INDEX('Tabela Passaro'!$B$2:$B$1795,$N1088)</f>
        <v>PB</v>
      </c>
      <c r="Q1088" s="22" t="n">
        <f aca="false">INDEX('Tabela Passaro'!$F$2:$F$1795,$N1088)</f>
        <v>9</v>
      </c>
      <c r="R1088" s="32" t="n">
        <f aca="false">IF(J1088&lt;=10,INDEX('Tabela Passaro'!$G$2:$G$1795,$N1088),IF(J1088&lt;=30,INDEX('Tabela Passaro'!$H$2:$H$1795,$N1088),IF(J1088&lt;=50,INDEX('Tabela Passaro'!$I$2:$I$1795,$N1088),IF(J1088&lt;=70,INDEX('Tabela Passaro'!$J$2:$J$1795,$N1088),IF(J1088&lt;=100,INDEX('Tabela Passaro'!$K$2:$K$1795,$N1088),INDEX('Tabela Passaro'!$K$2:$K$1795,$N1088)+(J1088-100)*INDEX('Tabela Passaro'!$L$2:$L$1795,$N1088))))))</f>
        <v>147.9127</v>
      </c>
      <c r="S1088" s="32" t="n">
        <f aca="false">K1088*INDEX('Tabela Passaro'!$M$2:$M$1795,$N1088)</f>
        <v>8.342</v>
      </c>
      <c r="T1088" s="32" t="n">
        <f aca="false">K1088*INDEX('Tabela Passaro'!$N$2:$N$1795,$N1088)</f>
        <v>3.3368</v>
      </c>
      <c r="U1088" s="32" t="n">
        <f aca="false">INDEX('Tabela Passaro'!$O$2:$O$1795,$N1088)</f>
        <v>5</v>
      </c>
      <c r="V1088" s="32" t="n">
        <f aca="false">ROUNDUP(J1088/INDEX('Tabela Passaro'!$Q$2:$Q$1795,$N1088),0)*INDEX('Tabela Passaro'!$P$2:$P$1795,$N1088)</f>
        <v>10</v>
      </c>
      <c r="W1088" s="32" t="n">
        <f aca="false">INDEX('Tabela Passaro'!$R$2:$R$1795,$N1088)</f>
        <v>30</v>
      </c>
      <c r="X1088" s="32" t="n">
        <f aca="false">ROUNDUP(J1088/INDEX('Tabela Passaro'!$T$2:$T$1795,$N1088),0)*INDEX('Tabela Passaro'!$S$2:$S$1795,$N1088)</f>
        <v>0</v>
      </c>
      <c r="Y1088" s="32" t="n">
        <f aca="false">INDEX('Tabela Passaro'!$U$2:$U$1795,$N1088)</f>
        <v>0</v>
      </c>
      <c r="Z1088" s="32" t="n">
        <f aca="false">INDEX('Tabela Passaro'!$V$2:$V$1795,$N1088)</f>
        <v>0</v>
      </c>
      <c r="AA1088" s="32" t="n">
        <f aca="false">SUM(R1088:Z1088)</f>
        <v>204.5915</v>
      </c>
      <c r="AB1088" s="33" t="n">
        <f aca="false">INDEX(Premissas!$B$5:$B$13,MATCH(A1088,Premissas!$A$5:$A$13,0))</f>
        <v>0.07</v>
      </c>
      <c r="AC1088" s="32" t="n">
        <f aca="false">AA1088/(1-AB1088)-AA1088</f>
        <v>15.3993602150538</v>
      </c>
      <c r="AD1088" s="32" t="n">
        <f aca="false">ROUND(AA1088+AC1088,2)</f>
        <v>219.99</v>
      </c>
      <c r="AE1088" s="32" t="n">
        <f aca="false">AD1088-L1088</f>
        <v>-71.53</v>
      </c>
      <c r="AF1088" s="34" t="n">
        <f aca="false">IF(L1088=0,0,AE1088/L1088)</f>
        <v>-0.24536909989023</v>
      </c>
      <c r="AG1088" s="22" t="str">
        <f aca="false">IF(AD1088&lt;L1088,"PASSARO","ATUAL")</f>
        <v>PASSARO</v>
      </c>
      <c r="AH1088" s="22" t="str">
        <f aca="false">IF(P1088&lt;&gt;A1088,"Faixa cadastrada como "&amp;P1088&amp;" na tabela; preço aplicado pela UF do CEP","")</f>
        <v/>
      </c>
      <c r="AI1088" s="26" t="n">
        <v>294.19</v>
      </c>
      <c r="AJ1088" s="22" t="str">
        <f aca="false">INDEX('Tabela Passaro'!$X$2:$X$1795,$N1088)</f>
        <v>CAPITAL</v>
      </c>
    </row>
    <row r="1089" customFormat="false" ht="15" hidden="false" customHeight="false" outlineLevel="0" collapsed="false">
      <c r="A1089" s="22" t="s">
        <v>19</v>
      </c>
      <c r="B1089" s="22" t="n">
        <v>1</v>
      </c>
      <c r="C1089" s="22" t="s">
        <v>131</v>
      </c>
      <c r="D1089" s="22" t="s">
        <v>30</v>
      </c>
      <c r="E1089" s="22" t="s">
        <v>7328</v>
      </c>
      <c r="F1089" s="22" t="n">
        <v>2309837</v>
      </c>
      <c r="G1089" s="30" t="n">
        <v>46244</v>
      </c>
      <c r="H1089" s="22" t="n">
        <v>132176</v>
      </c>
      <c r="I1089" s="22" t="s">
        <v>8314</v>
      </c>
      <c r="J1089" s="31" t="n">
        <v>66.4</v>
      </c>
      <c r="K1089" s="26" t="n">
        <v>894.53</v>
      </c>
      <c r="L1089" s="26" t="n">
        <v>190.65</v>
      </c>
      <c r="M1089" s="22" t="s">
        <v>3926</v>
      </c>
      <c r="N1089" s="22" t="n">
        <f aca="false">MATCH(M1089,'Tabela Passaro'!$A$2:$A$1795,0)</f>
        <v>923</v>
      </c>
      <c r="O1089" s="22" t="str">
        <f aca="false">INDEX('Tabela Passaro'!$C$2:$C$1795,$N1089)</f>
        <v>JOAO PESSOA</v>
      </c>
      <c r="P1089" s="22" t="str">
        <f aca="false">INDEX('Tabela Passaro'!$B$2:$B$1795,$N1089)</f>
        <v>PB</v>
      </c>
      <c r="Q1089" s="22" t="n">
        <f aca="false">INDEX('Tabela Passaro'!$F$2:$F$1795,$N1089)</f>
        <v>9</v>
      </c>
      <c r="R1089" s="32" t="n">
        <f aca="false">IF(J1089&lt;=10,INDEX('Tabela Passaro'!$G$2:$G$1795,$N1089),IF(J1089&lt;=30,INDEX('Tabela Passaro'!$H$2:$H$1795,$N1089),IF(J1089&lt;=50,INDEX('Tabela Passaro'!$I$2:$I$1795,$N1089),IF(J1089&lt;=70,INDEX('Tabela Passaro'!$J$2:$J$1795,$N1089),IF(J1089&lt;=100,INDEX('Tabela Passaro'!$K$2:$K$1795,$N1089),INDEX('Tabela Passaro'!$K$2:$K$1795,$N1089)+(J1089-100)*INDEX('Tabela Passaro'!$L$2:$L$1795,$N1089))))))</f>
        <v>106.33</v>
      </c>
      <c r="S1089" s="32" t="n">
        <f aca="false">K1089*INDEX('Tabela Passaro'!$M$2:$M$1795,$N1089)</f>
        <v>4.47265</v>
      </c>
      <c r="T1089" s="32" t="n">
        <f aca="false">K1089*INDEX('Tabela Passaro'!$N$2:$N$1795,$N1089)</f>
        <v>1.78906</v>
      </c>
      <c r="U1089" s="32" t="n">
        <f aca="false">INDEX('Tabela Passaro'!$O$2:$O$1795,$N1089)</f>
        <v>5</v>
      </c>
      <c r="V1089" s="32" t="n">
        <f aca="false">ROUNDUP(J1089/INDEX('Tabela Passaro'!$Q$2:$Q$1795,$N1089),0)*INDEX('Tabela Passaro'!$P$2:$P$1795,$N1089)</f>
        <v>5</v>
      </c>
      <c r="W1089" s="32" t="n">
        <f aca="false">INDEX('Tabela Passaro'!$R$2:$R$1795,$N1089)</f>
        <v>30</v>
      </c>
      <c r="X1089" s="32" t="n">
        <f aca="false">ROUNDUP(J1089/INDEX('Tabela Passaro'!$T$2:$T$1795,$N1089),0)*INDEX('Tabela Passaro'!$S$2:$S$1795,$N1089)</f>
        <v>0</v>
      </c>
      <c r="Y1089" s="32" t="n">
        <f aca="false">INDEX('Tabela Passaro'!$U$2:$U$1795,$N1089)</f>
        <v>0</v>
      </c>
      <c r="Z1089" s="32" t="n">
        <f aca="false">INDEX('Tabela Passaro'!$V$2:$V$1795,$N1089)</f>
        <v>0</v>
      </c>
      <c r="AA1089" s="32" t="n">
        <f aca="false">SUM(R1089:Z1089)</f>
        <v>152.59171</v>
      </c>
      <c r="AB1089" s="33" t="n">
        <f aca="false">INDEX(Premissas!$B$5:$B$13,MATCH(A1089,Premissas!$A$5:$A$13,0))</f>
        <v>0.07</v>
      </c>
      <c r="AC1089" s="32" t="n">
        <f aca="false">AA1089/(1-AB1089)-AA1089</f>
        <v>11.4853975268817</v>
      </c>
      <c r="AD1089" s="32" t="n">
        <f aca="false">ROUND(AA1089+AC1089,2)</f>
        <v>164.08</v>
      </c>
      <c r="AE1089" s="32" t="n">
        <f aca="false">AD1089-L1089</f>
        <v>-26.57</v>
      </c>
      <c r="AF1089" s="34" t="n">
        <f aca="false">IF(L1089=0,0,AE1089/L1089)</f>
        <v>-0.139365329137162</v>
      </c>
      <c r="AG1089" s="22" t="str">
        <f aca="false">IF(AD1089&lt;L1089,"PASSARO","ATUAL")</f>
        <v>PASSARO</v>
      </c>
      <c r="AH1089" s="22" t="str">
        <f aca="false">IF(P1089&lt;&gt;A1089,"Faixa cadastrada como "&amp;P1089&amp;" na tabela; preço aplicado pela UF do CEP","")</f>
        <v/>
      </c>
      <c r="AI1089" s="26" t="n">
        <v>206.28</v>
      </c>
      <c r="AJ1089" s="22" t="str">
        <f aca="false">INDEX('Tabela Passaro'!$X$2:$X$1795,$N1089)</f>
        <v>CAPITAL</v>
      </c>
    </row>
    <row r="1090" customFormat="false" ht="15" hidden="false" customHeight="false" outlineLevel="0" collapsed="false">
      <c r="A1090" s="22" t="s">
        <v>19</v>
      </c>
      <c r="B1090" s="22" t="n">
        <v>1</v>
      </c>
      <c r="C1090" s="22" t="s">
        <v>131</v>
      </c>
      <c r="D1090" s="22" t="s">
        <v>30</v>
      </c>
      <c r="E1090" s="22" t="s">
        <v>7328</v>
      </c>
      <c r="F1090" s="22" t="n">
        <v>2309866</v>
      </c>
      <c r="G1090" s="30" t="n">
        <v>46244</v>
      </c>
      <c r="H1090" s="22" t="n">
        <v>132355</v>
      </c>
      <c r="I1090" s="22" t="s">
        <v>8315</v>
      </c>
      <c r="J1090" s="31" t="n">
        <v>79.26</v>
      </c>
      <c r="K1090" s="26" t="n">
        <v>952.91</v>
      </c>
      <c r="L1090" s="26" t="n">
        <v>240.69</v>
      </c>
      <c r="M1090" s="22" t="s">
        <v>3926</v>
      </c>
      <c r="N1090" s="22" t="n">
        <f aca="false">MATCH(M1090,'Tabela Passaro'!$A$2:$A$1795,0)</f>
        <v>923</v>
      </c>
      <c r="O1090" s="22" t="str">
        <f aca="false">INDEX('Tabela Passaro'!$C$2:$C$1795,$N1090)</f>
        <v>JOAO PESSOA</v>
      </c>
      <c r="P1090" s="22" t="str">
        <f aca="false">INDEX('Tabela Passaro'!$B$2:$B$1795,$N1090)</f>
        <v>PB</v>
      </c>
      <c r="Q1090" s="22" t="n">
        <f aca="false">INDEX('Tabela Passaro'!$F$2:$F$1795,$N1090)</f>
        <v>9</v>
      </c>
      <c r="R1090" s="32" t="n">
        <f aca="false">IF(J1090&lt;=10,INDEX('Tabela Passaro'!$G$2:$G$1795,$N1090),IF(J1090&lt;=30,INDEX('Tabela Passaro'!$H$2:$H$1795,$N1090),IF(J1090&lt;=50,INDEX('Tabela Passaro'!$I$2:$I$1795,$N1090),IF(J1090&lt;=70,INDEX('Tabela Passaro'!$J$2:$J$1795,$N1090),IF(J1090&lt;=100,INDEX('Tabela Passaro'!$K$2:$K$1795,$N1090),INDEX('Tabela Passaro'!$K$2:$K$1795,$N1090)+(J1090-100)*INDEX('Tabela Passaro'!$L$2:$L$1795,$N1090))))))</f>
        <v>121.36</v>
      </c>
      <c r="S1090" s="32" t="n">
        <f aca="false">K1090*INDEX('Tabela Passaro'!$M$2:$M$1795,$N1090)</f>
        <v>4.76455</v>
      </c>
      <c r="T1090" s="32" t="n">
        <f aca="false">K1090*INDEX('Tabela Passaro'!$N$2:$N$1795,$N1090)</f>
        <v>1.90582</v>
      </c>
      <c r="U1090" s="32" t="n">
        <f aca="false">INDEX('Tabela Passaro'!$O$2:$O$1795,$N1090)</f>
        <v>5</v>
      </c>
      <c r="V1090" s="32" t="n">
        <f aca="false">ROUNDUP(J1090/INDEX('Tabela Passaro'!$Q$2:$Q$1795,$N1090),0)*INDEX('Tabela Passaro'!$P$2:$P$1795,$N1090)</f>
        <v>5</v>
      </c>
      <c r="W1090" s="32" t="n">
        <f aca="false">INDEX('Tabela Passaro'!$R$2:$R$1795,$N1090)</f>
        <v>30</v>
      </c>
      <c r="X1090" s="32" t="n">
        <f aca="false">ROUNDUP(J1090/INDEX('Tabela Passaro'!$T$2:$T$1795,$N1090),0)*INDEX('Tabela Passaro'!$S$2:$S$1795,$N1090)</f>
        <v>0</v>
      </c>
      <c r="Y1090" s="32" t="n">
        <f aca="false">INDEX('Tabela Passaro'!$U$2:$U$1795,$N1090)</f>
        <v>0</v>
      </c>
      <c r="Z1090" s="32" t="n">
        <f aca="false">INDEX('Tabela Passaro'!$V$2:$V$1795,$N1090)</f>
        <v>0</v>
      </c>
      <c r="AA1090" s="32" t="n">
        <f aca="false">SUM(R1090:Z1090)</f>
        <v>168.03037</v>
      </c>
      <c r="AB1090" s="33" t="n">
        <f aca="false">INDEX(Premissas!$B$5:$B$13,MATCH(A1090,Premissas!$A$5:$A$13,0))</f>
        <v>0.07</v>
      </c>
      <c r="AC1090" s="32" t="n">
        <f aca="false">AA1090/(1-AB1090)-AA1090</f>
        <v>12.6474472043011</v>
      </c>
      <c r="AD1090" s="32" t="n">
        <f aca="false">ROUND(AA1090+AC1090,2)</f>
        <v>180.68</v>
      </c>
      <c r="AE1090" s="32" t="n">
        <f aca="false">AD1090-L1090</f>
        <v>-60.01</v>
      </c>
      <c r="AF1090" s="34" t="n">
        <f aca="false">IF(L1090=0,0,AE1090/L1090)</f>
        <v>-0.249324857700777</v>
      </c>
      <c r="AG1090" s="22" t="str">
        <f aca="false">IF(AD1090&lt;L1090,"PASSARO","ATUAL")</f>
        <v>PASSARO</v>
      </c>
      <c r="AH1090" s="22" t="str">
        <f aca="false">IF(P1090&lt;&gt;A1090,"Faixa cadastrada como "&amp;P1090&amp;" na tabela; preço aplicado pela UF do CEP","")</f>
        <v/>
      </c>
      <c r="AI1090" s="26" t="n">
        <v>231.93</v>
      </c>
      <c r="AJ1090" s="22" t="str">
        <f aca="false">INDEX('Tabela Passaro'!$X$2:$X$1795,$N1090)</f>
        <v>CAPITAL</v>
      </c>
    </row>
    <row r="1091" customFormat="false" ht="15" hidden="false" customHeight="false" outlineLevel="0" collapsed="false">
      <c r="A1091" s="22" t="s">
        <v>19</v>
      </c>
      <c r="B1091" s="22" t="n">
        <v>1</v>
      </c>
      <c r="C1091" s="22" t="s">
        <v>131</v>
      </c>
      <c r="D1091" s="22" t="s">
        <v>30</v>
      </c>
      <c r="E1091" s="22" t="s">
        <v>7326</v>
      </c>
      <c r="F1091" s="22" t="n">
        <v>523655</v>
      </c>
      <c r="G1091" s="30" t="n">
        <v>46244</v>
      </c>
      <c r="H1091" s="22" t="n">
        <v>622497</v>
      </c>
      <c r="I1091" s="22" t="s">
        <v>8316</v>
      </c>
      <c r="J1091" s="31" t="n">
        <v>45.3</v>
      </c>
      <c r="K1091" s="26" t="n">
        <v>745.22</v>
      </c>
      <c r="L1091" s="26" t="n">
        <v>181.04</v>
      </c>
      <c r="M1091" s="22" t="s">
        <v>3926</v>
      </c>
      <c r="N1091" s="22" t="n">
        <f aca="false">MATCH(M1091,'Tabela Passaro'!$A$2:$A$1795,0)</f>
        <v>923</v>
      </c>
      <c r="O1091" s="22" t="str">
        <f aca="false">INDEX('Tabela Passaro'!$C$2:$C$1795,$N1091)</f>
        <v>JOAO PESSOA</v>
      </c>
      <c r="P1091" s="22" t="str">
        <f aca="false">INDEX('Tabela Passaro'!$B$2:$B$1795,$N1091)</f>
        <v>PB</v>
      </c>
      <c r="Q1091" s="22" t="n">
        <f aca="false">INDEX('Tabela Passaro'!$F$2:$F$1795,$N1091)</f>
        <v>9</v>
      </c>
      <c r="R1091" s="32" t="n">
        <f aca="false">IF(J1091&lt;=10,INDEX('Tabela Passaro'!$G$2:$G$1795,$N1091),IF(J1091&lt;=30,INDEX('Tabela Passaro'!$H$2:$H$1795,$N1091),IF(J1091&lt;=50,INDEX('Tabela Passaro'!$I$2:$I$1795,$N1091),IF(J1091&lt;=70,INDEX('Tabela Passaro'!$J$2:$J$1795,$N1091),IF(J1091&lt;=100,INDEX('Tabela Passaro'!$K$2:$K$1795,$N1091),INDEX('Tabela Passaro'!$K$2:$K$1795,$N1091)+(J1091-100)*INDEX('Tabela Passaro'!$L$2:$L$1795,$N1091))))))</f>
        <v>96.32</v>
      </c>
      <c r="S1091" s="32" t="n">
        <f aca="false">K1091*INDEX('Tabela Passaro'!$M$2:$M$1795,$N1091)</f>
        <v>3.7261</v>
      </c>
      <c r="T1091" s="32" t="n">
        <f aca="false">K1091*INDEX('Tabela Passaro'!$N$2:$N$1795,$N1091)</f>
        <v>1.49044</v>
      </c>
      <c r="U1091" s="32" t="n">
        <f aca="false">INDEX('Tabela Passaro'!$O$2:$O$1795,$N1091)</f>
        <v>5</v>
      </c>
      <c r="V1091" s="32" t="n">
        <f aca="false">ROUNDUP(J1091/INDEX('Tabela Passaro'!$Q$2:$Q$1795,$N1091),0)*INDEX('Tabela Passaro'!$P$2:$P$1795,$N1091)</f>
        <v>5</v>
      </c>
      <c r="W1091" s="32" t="n">
        <f aca="false">INDEX('Tabela Passaro'!$R$2:$R$1795,$N1091)</f>
        <v>30</v>
      </c>
      <c r="X1091" s="32" t="n">
        <f aca="false">ROUNDUP(J1091/INDEX('Tabela Passaro'!$T$2:$T$1795,$N1091),0)*INDEX('Tabela Passaro'!$S$2:$S$1795,$N1091)</f>
        <v>0</v>
      </c>
      <c r="Y1091" s="32" t="n">
        <f aca="false">INDEX('Tabela Passaro'!$U$2:$U$1795,$N1091)</f>
        <v>0</v>
      </c>
      <c r="Z1091" s="32" t="n">
        <f aca="false">INDEX('Tabela Passaro'!$V$2:$V$1795,$N1091)</f>
        <v>0</v>
      </c>
      <c r="AA1091" s="32" t="n">
        <f aca="false">SUM(R1091:Z1091)</f>
        <v>141.53654</v>
      </c>
      <c r="AB1091" s="33" t="n">
        <f aca="false">INDEX(Premissas!$B$5:$B$13,MATCH(A1091,Premissas!$A$5:$A$13,0))</f>
        <v>0.07</v>
      </c>
      <c r="AC1091" s="32" t="n">
        <f aca="false">AA1091/(1-AB1091)-AA1091</f>
        <v>10.6532879569893</v>
      </c>
      <c r="AD1091" s="32" t="n">
        <f aca="false">ROUND(AA1091+AC1091,2)</f>
        <v>152.19</v>
      </c>
      <c r="AE1091" s="32" t="n">
        <f aca="false">AD1091-L1091</f>
        <v>-28.85</v>
      </c>
      <c r="AF1091" s="34" t="n">
        <f aca="false">IF(L1091=0,0,AE1091/L1091)</f>
        <v>-0.159357048166151</v>
      </c>
      <c r="AG1091" s="22" t="str">
        <f aca="false">IF(AD1091&lt;L1091,"PASSARO","ATUAL")</f>
        <v>PASSARO</v>
      </c>
      <c r="AH1091" s="22" t="str">
        <f aca="false">IF(P1091&lt;&gt;A1091,"Faixa cadastrada como "&amp;P1091&amp;" na tabela; preço aplicado pela UF do CEP","")</f>
        <v/>
      </c>
      <c r="AI1091" s="26" t="n">
        <v>182.16</v>
      </c>
      <c r="AJ1091" s="22" t="str">
        <f aca="false">INDEX('Tabela Passaro'!$X$2:$X$1795,$N1091)</f>
        <v>CAPITAL</v>
      </c>
    </row>
    <row r="1092" customFormat="false" ht="15" hidden="false" customHeight="false" outlineLevel="0" collapsed="false">
      <c r="A1092" s="22" t="s">
        <v>19</v>
      </c>
      <c r="B1092" s="22" t="n">
        <v>1</v>
      </c>
      <c r="C1092" s="22" t="s">
        <v>131</v>
      </c>
      <c r="D1092" s="22" t="s">
        <v>30</v>
      </c>
      <c r="E1092" s="22" t="s">
        <v>7326</v>
      </c>
      <c r="F1092" s="22" t="n">
        <v>523730</v>
      </c>
      <c r="G1092" s="30" t="n">
        <v>46244</v>
      </c>
      <c r="H1092" s="22" t="n">
        <v>622525</v>
      </c>
      <c r="I1092" s="22" t="s">
        <v>8317</v>
      </c>
      <c r="J1092" s="31" t="n">
        <v>33</v>
      </c>
      <c r="K1092" s="26" t="n">
        <v>600.09</v>
      </c>
      <c r="L1092" s="26" t="n">
        <v>179.81</v>
      </c>
      <c r="M1092" s="22" t="s">
        <v>3926</v>
      </c>
      <c r="N1092" s="22" t="n">
        <f aca="false">MATCH(M1092,'Tabela Passaro'!$A$2:$A$1795,0)</f>
        <v>923</v>
      </c>
      <c r="O1092" s="22" t="str">
        <f aca="false">INDEX('Tabela Passaro'!$C$2:$C$1795,$N1092)</f>
        <v>JOAO PESSOA</v>
      </c>
      <c r="P1092" s="22" t="str">
        <f aca="false">INDEX('Tabela Passaro'!$B$2:$B$1795,$N1092)</f>
        <v>PB</v>
      </c>
      <c r="Q1092" s="22" t="n">
        <f aca="false">INDEX('Tabela Passaro'!$F$2:$F$1795,$N1092)</f>
        <v>9</v>
      </c>
      <c r="R1092" s="32" t="n">
        <f aca="false">IF(J1092&lt;=10,INDEX('Tabela Passaro'!$G$2:$G$1795,$N1092),IF(J1092&lt;=30,INDEX('Tabela Passaro'!$H$2:$H$1795,$N1092),IF(J1092&lt;=50,INDEX('Tabela Passaro'!$I$2:$I$1795,$N1092),IF(J1092&lt;=70,INDEX('Tabela Passaro'!$J$2:$J$1795,$N1092),IF(J1092&lt;=100,INDEX('Tabela Passaro'!$K$2:$K$1795,$N1092),INDEX('Tabela Passaro'!$K$2:$K$1795,$N1092)+(J1092-100)*INDEX('Tabela Passaro'!$L$2:$L$1795,$N1092))))))</f>
        <v>96.32</v>
      </c>
      <c r="S1092" s="32" t="n">
        <f aca="false">K1092*INDEX('Tabela Passaro'!$M$2:$M$1795,$N1092)</f>
        <v>3.00045</v>
      </c>
      <c r="T1092" s="32" t="n">
        <f aca="false">K1092*INDEX('Tabela Passaro'!$N$2:$N$1795,$N1092)</f>
        <v>1.20018</v>
      </c>
      <c r="U1092" s="32" t="n">
        <f aca="false">INDEX('Tabela Passaro'!$O$2:$O$1795,$N1092)</f>
        <v>5</v>
      </c>
      <c r="V1092" s="32" t="n">
        <f aca="false">ROUNDUP(J1092/INDEX('Tabela Passaro'!$Q$2:$Q$1795,$N1092),0)*INDEX('Tabela Passaro'!$P$2:$P$1795,$N1092)</f>
        <v>5</v>
      </c>
      <c r="W1092" s="32" t="n">
        <f aca="false">INDEX('Tabela Passaro'!$R$2:$R$1795,$N1092)</f>
        <v>30</v>
      </c>
      <c r="X1092" s="32" t="n">
        <f aca="false">ROUNDUP(J1092/INDEX('Tabela Passaro'!$T$2:$T$1795,$N1092),0)*INDEX('Tabela Passaro'!$S$2:$S$1795,$N1092)</f>
        <v>0</v>
      </c>
      <c r="Y1092" s="32" t="n">
        <f aca="false">INDEX('Tabela Passaro'!$U$2:$U$1795,$N1092)</f>
        <v>0</v>
      </c>
      <c r="Z1092" s="32" t="n">
        <f aca="false">INDEX('Tabela Passaro'!$V$2:$V$1795,$N1092)</f>
        <v>0</v>
      </c>
      <c r="AA1092" s="32" t="n">
        <f aca="false">SUM(R1092:Z1092)</f>
        <v>140.52063</v>
      </c>
      <c r="AB1092" s="33" t="n">
        <f aca="false">INDEX(Premissas!$B$5:$B$13,MATCH(A1092,Premissas!$A$5:$A$13,0))</f>
        <v>0.07</v>
      </c>
      <c r="AC1092" s="32" t="n">
        <f aca="false">AA1092/(1-AB1092)-AA1092</f>
        <v>10.5768216129032</v>
      </c>
      <c r="AD1092" s="32" t="n">
        <f aca="false">ROUND(AA1092+AC1092,2)</f>
        <v>151.1</v>
      </c>
      <c r="AE1092" s="32" t="n">
        <f aca="false">AD1092-L1092</f>
        <v>-28.71</v>
      </c>
      <c r="AF1092" s="34" t="n">
        <f aca="false">IF(L1092=0,0,AE1092/L1092)</f>
        <v>-0.159668539013403</v>
      </c>
      <c r="AG1092" s="22" t="str">
        <f aca="false">IF(AD1092&lt;L1092,"PASSARO","ATUAL")</f>
        <v>PASSARO</v>
      </c>
      <c r="AH1092" s="22" t="str">
        <f aca="false">IF(P1092&lt;&gt;A1092,"Faixa cadastrada como "&amp;P1092&amp;" na tabela; preço aplicado pela UF do CEP","")</f>
        <v/>
      </c>
      <c r="AI1092" s="26" t="n">
        <v>174.46</v>
      </c>
      <c r="AJ1092" s="22" t="str">
        <f aca="false">INDEX('Tabela Passaro'!$X$2:$X$1795,$N1092)</f>
        <v>CAPITAL</v>
      </c>
    </row>
    <row r="1093" customFormat="false" ht="15" hidden="false" customHeight="false" outlineLevel="0" collapsed="false">
      <c r="A1093" s="22" t="s">
        <v>19</v>
      </c>
      <c r="B1093" s="22" t="n">
        <v>1</v>
      </c>
      <c r="C1093" s="22" t="s">
        <v>131</v>
      </c>
      <c r="D1093" s="22" t="s">
        <v>30</v>
      </c>
      <c r="E1093" s="22" t="s">
        <v>20</v>
      </c>
      <c r="F1093" s="22" t="n">
        <v>838493</v>
      </c>
      <c r="G1093" s="30" t="n">
        <v>46245</v>
      </c>
      <c r="H1093" s="22" t="n">
        <v>32481</v>
      </c>
      <c r="I1093" s="22" t="s">
        <v>8318</v>
      </c>
      <c r="J1093" s="31" t="n">
        <v>69.11</v>
      </c>
      <c r="K1093" s="26" t="n">
        <v>1055.13</v>
      </c>
      <c r="L1093" s="26" t="n">
        <v>155.76</v>
      </c>
      <c r="M1093" s="22" t="s">
        <v>3926</v>
      </c>
      <c r="N1093" s="22" t="n">
        <f aca="false">MATCH(M1093,'Tabela Passaro'!$A$2:$A$1795,0)</f>
        <v>923</v>
      </c>
      <c r="O1093" s="22" t="str">
        <f aca="false">INDEX('Tabela Passaro'!$C$2:$C$1795,$N1093)</f>
        <v>JOAO PESSOA</v>
      </c>
      <c r="P1093" s="22" t="str">
        <f aca="false">INDEX('Tabela Passaro'!$B$2:$B$1795,$N1093)</f>
        <v>PB</v>
      </c>
      <c r="Q1093" s="22" t="n">
        <f aca="false">INDEX('Tabela Passaro'!$F$2:$F$1795,$N1093)</f>
        <v>9</v>
      </c>
      <c r="R1093" s="32" t="n">
        <f aca="false">IF(J1093&lt;=10,INDEX('Tabela Passaro'!$G$2:$G$1795,$N1093),IF(J1093&lt;=30,INDEX('Tabela Passaro'!$H$2:$H$1795,$N1093),IF(J1093&lt;=50,INDEX('Tabela Passaro'!$I$2:$I$1795,$N1093),IF(J1093&lt;=70,INDEX('Tabela Passaro'!$J$2:$J$1795,$N1093),IF(J1093&lt;=100,INDEX('Tabela Passaro'!$K$2:$K$1795,$N1093),INDEX('Tabela Passaro'!$K$2:$K$1795,$N1093)+(J1093-100)*INDEX('Tabela Passaro'!$L$2:$L$1795,$N1093))))))</f>
        <v>106.33</v>
      </c>
      <c r="S1093" s="32" t="n">
        <f aca="false">K1093*INDEX('Tabela Passaro'!$M$2:$M$1795,$N1093)</f>
        <v>5.27565</v>
      </c>
      <c r="T1093" s="32" t="n">
        <f aca="false">K1093*INDEX('Tabela Passaro'!$N$2:$N$1795,$N1093)</f>
        <v>2.11026</v>
      </c>
      <c r="U1093" s="32" t="n">
        <f aca="false">INDEX('Tabela Passaro'!$O$2:$O$1795,$N1093)</f>
        <v>5</v>
      </c>
      <c r="V1093" s="32" t="n">
        <f aca="false">ROUNDUP(J1093/INDEX('Tabela Passaro'!$Q$2:$Q$1795,$N1093),0)*INDEX('Tabela Passaro'!$P$2:$P$1795,$N1093)</f>
        <v>5</v>
      </c>
      <c r="W1093" s="32" t="n">
        <f aca="false">INDEX('Tabela Passaro'!$R$2:$R$1795,$N1093)</f>
        <v>30</v>
      </c>
      <c r="X1093" s="32" t="n">
        <f aca="false">ROUNDUP(J1093/INDEX('Tabela Passaro'!$T$2:$T$1795,$N1093),0)*INDEX('Tabela Passaro'!$S$2:$S$1795,$N1093)</f>
        <v>0</v>
      </c>
      <c r="Y1093" s="32" t="n">
        <f aca="false">INDEX('Tabela Passaro'!$U$2:$U$1795,$N1093)</f>
        <v>0</v>
      </c>
      <c r="Z1093" s="32" t="n">
        <f aca="false">INDEX('Tabela Passaro'!$V$2:$V$1795,$N1093)</f>
        <v>0</v>
      </c>
      <c r="AA1093" s="32" t="n">
        <f aca="false">SUM(R1093:Z1093)</f>
        <v>153.71591</v>
      </c>
      <c r="AB1093" s="33" t="n">
        <f aca="false">INDEX(Premissas!$B$5:$B$13,MATCH(A1093,Premissas!$A$5:$A$13,0))</f>
        <v>0.07</v>
      </c>
      <c r="AC1093" s="32" t="n">
        <f aca="false">AA1093/(1-AB1093)-AA1093</f>
        <v>11.5700147311828</v>
      </c>
      <c r="AD1093" s="32" t="n">
        <f aca="false">ROUND(AA1093+AC1093,2)</f>
        <v>165.29</v>
      </c>
      <c r="AE1093" s="32" t="n">
        <f aca="false">AD1093-L1093</f>
        <v>9.53</v>
      </c>
      <c r="AF1093" s="34" t="n">
        <f aca="false">IF(L1093=0,0,AE1093/L1093)</f>
        <v>0.0611838726245506</v>
      </c>
      <c r="AG1093" s="22" t="str">
        <f aca="false">IF(AD1093&lt;L1093,"PASSARO","ATUAL")</f>
        <v>ATUAL</v>
      </c>
      <c r="AH1093" s="22" t="str">
        <f aca="false">IF(P1093&lt;&gt;A1093,"Faixa cadastrada como "&amp;P1093&amp;" na tabela; preço aplicado pela UF do CEP","")</f>
        <v/>
      </c>
      <c r="AI1093" s="26" t="n">
        <v>209.29</v>
      </c>
      <c r="AJ1093" s="22" t="str">
        <f aca="false">INDEX('Tabela Passaro'!$X$2:$X$1795,$N1093)</f>
        <v>CAPITAL</v>
      </c>
    </row>
    <row r="1094" customFormat="false" ht="15" hidden="false" customHeight="false" outlineLevel="0" collapsed="false">
      <c r="A1094" s="22" t="s">
        <v>19</v>
      </c>
      <c r="B1094" s="22" t="n">
        <v>1</v>
      </c>
      <c r="C1094" s="22" t="s">
        <v>131</v>
      </c>
      <c r="D1094" s="22" t="s">
        <v>30</v>
      </c>
      <c r="E1094" s="22" t="s">
        <v>20</v>
      </c>
      <c r="F1094" s="22" t="n">
        <v>838731</v>
      </c>
      <c r="G1094" s="30" t="n">
        <v>46246</v>
      </c>
      <c r="H1094" s="22" t="n">
        <v>32498</v>
      </c>
      <c r="I1094" s="22" t="s">
        <v>8313</v>
      </c>
      <c r="J1094" s="31" t="n">
        <v>36.8</v>
      </c>
      <c r="K1094" s="26" t="n">
        <v>642.32</v>
      </c>
      <c r="L1094" s="26" t="n">
        <v>135.26</v>
      </c>
      <c r="M1094" s="22" t="s">
        <v>3926</v>
      </c>
      <c r="N1094" s="22" t="n">
        <f aca="false">MATCH(M1094,'Tabela Passaro'!$A$2:$A$1795,0)</f>
        <v>923</v>
      </c>
      <c r="O1094" s="22" t="str">
        <f aca="false">INDEX('Tabela Passaro'!$C$2:$C$1795,$N1094)</f>
        <v>JOAO PESSOA</v>
      </c>
      <c r="P1094" s="22" t="str">
        <f aca="false">INDEX('Tabela Passaro'!$B$2:$B$1795,$N1094)</f>
        <v>PB</v>
      </c>
      <c r="Q1094" s="22" t="n">
        <f aca="false">INDEX('Tabela Passaro'!$F$2:$F$1795,$N1094)</f>
        <v>9</v>
      </c>
      <c r="R1094" s="32" t="n">
        <f aca="false">IF(J1094&lt;=10,INDEX('Tabela Passaro'!$G$2:$G$1795,$N1094),IF(J1094&lt;=30,INDEX('Tabela Passaro'!$H$2:$H$1795,$N1094),IF(J1094&lt;=50,INDEX('Tabela Passaro'!$I$2:$I$1795,$N1094),IF(J1094&lt;=70,INDEX('Tabela Passaro'!$J$2:$J$1795,$N1094),IF(J1094&lt;=100,INDEX('Tabela Passaro'!$K$2:$K$1795,$N1094),INDEX('Tabela Passaro'!$K$2:$K$1795,$N1094)+(J1094-100)*INDEX('Tabela Passaro'!$L$2:$L$1795,$N1094))))))</f>
        <v>96.32</v>
      </c>
      <c r="S1094" s="32" t="n">
        <f aca="false">K1094*INDEX('Tabela Passaro'!$M$2:$M$1795,$N1094)</f>
        <v>3.2116</v>
      </c>
      <c r="T1094" s="32" t="n">
        <f aca="false">K1094*INDEX('Tabela Passaro'!$N$2:$N$1795,$N1094)</f>
        <v>1.28464</v>
      </c>
      <c r="U1094" s="32" t="n">
        <f aca="false">INDEX('Tabela Passaro'!$O$2:$O$1795,$N1094)</f>
        <v>5</v>
      </c>
      <c r="V1094" s="32" t="n">
        <f aca="false">ROUNDUP(J1094/INDEX('Tabela Passaro'!$Q$2:$Q$1795,$N1094),0)*INDEX('Tabela Passaro'!$P$2:$P$1795,$N1094)</f>
        <v>5</v>
      </c>
      <c r="W1094" s="32" t="n">
        <f aca="false">INDEX('Tabela Passaro'!$R$2:$R$1795,$N1094)</f>
        <v>30</v>
      </c>
      <c r="X1094" s="32" t="n">
        <f aca="false">ROUNDUP(J1094/INDEX('Tabela Passaro'!$T$2:$T$1795,$N1094),0)*INDEX('Tabela Passaro'!$S$2:$S$1795,$N1094)</f>
        <v>0</v>
      </c>
      <c r="Y1094" s="32" t="n">
        <f aca="false">INDEX('Tabela Passaro'!$U$2:$U$1795,$N1094)</f>
        <v>0</v>
      </c>
      <c r="Z1094" s="32" t="n">
        <f aca="false">INDEX('Tabela Passaro'!$V$2:$V$1795,$N1094)</f>
        <v>0</v>
      </c>
      <c r="AA1094" s="32" t="n">
        <f aca="false">SUM(R1094:Z1094)</f>
        <v>140.81624</v>
      </c>
      <c r="AB1094" s="33" t="n">
        <f aca="false">INDEX(Premissas!$B$5:$B$13,MATCH(A1094,Premissas!$A$5:$A$13,0))</f>
        <v>0.07</v>
      </c>
      <c r="AC1094" s="32" t="n">
        <f aca="false">AA1094/(1-AB1094)-AA1094</f>
        <v>10.599071827957</v>
      </c>
      <c r="AD1094" s="32" t="n">
        <f aca="false">ROUND(AA1094+AC1094,2)</f>
        <v>151.42</v>
      </c>
      <c r="AE1094" s="32" t="n">
        <f aca="false">AD1094-L1094</f>
        <v>16.16</v>
      </c>
      <c r="AF1094" s="34" t="n">
        <f aca="false">IF(L1094=0,0,AE1094/L1094)</f>
        <v>0.119473606387698</v>
      </c>
      <c r="AG1094" s="22" t="str">
        <f aca="false">IF(AD1094&lt;L1094,"PASSARO","ATUAL")</f>
        <v>ATUAL</v>
      </c>
      <c r="AH1094" s="22" t="str">
        <f aca="false">IF(P1094&lt;&gt;A1094,"Faixa cadastrada como "&amp;P1094&amp;" na tabela; preço aplicado pela UF do CEP","")</f>
        <v/>
      </c>
      <c r="AI1094" s="26" t="n">
        <v>176.81</v>
      </c>
      <c r="AJ1094" s="22" t="str">
        <f aca="false">INDEX('Tabela Passaro'!$X$2:$X$1795,$N1094)</f>
        <v>CAPITAL</v>
      </c>
    </row>
    <row r="1095" customFormat="false" ht="15" hidden="false" customHeight="false" outlineLevel="0" collapsed="false">
      <c r="A1095" s="22" t="s">
        <v>19</v>
      </c>
      <c r="B1095" s="22" t="n">
        <v>1</v>
      </c>
      <c r="C1095" s="22" t="s">
        <v>131</v>
      </c>
      <c r="D1095" s="22" t="s">
        <v>30</v>
      </c>
      <c r="E1095" s="22" t="s">
        <v>7328</v>
      </c>
      <c r="F1095" s="22" t="n">
        <v>2311228</v>
      </c>
      <c r="G1095" s="30" t="n">
        <v>46246</v>
      </c>
      <c r="H1095" s="22" t="n">
        <v>132508</v>
      </c>
      <c r="I1095" s="22" t="s">
        <v>8319</v>
      </c>
      <c r="J1095" s="31" t="n">
        <v>51.06</v>
      </c>
      <c r="K1095" s="26" t="n">
        <v>928.35</v>
      </c>
      <c r="L1095" s="26" t="n">
        <v>190.91</v>
      </c>
      <c r="M1095" s="22" t="s">
        <v>3926</v>
      </c>
      <c r="N1095" s="22" t="n">
        <f aca="false">MATCH(M1095,'Tabela Passaro'!$A$2:$A$1795,0)</f>
        <v>923</v>
      </c>
      <c r="O1095" s="22" t="str">
        <f aca="false">INDEX('Tabela Passaro'!$C$2:$C$1795,$N1095)</f>
        <v>JOAO PESSOA</v>
      </c>
      <c r="P1095" s="22" t="str">
        <f aca="false">INDEX('Tabela Passaro'!$B$2:$B$1795,$N1095)</f>
        <v>PB</v>
      </c>
      <c r="Q1095" s="22" t="n">
        <f aca="false">INDEX('Tabela Passaro'!$F$2:$F$1795,$N1095)</f>
        <v>9</v>
      </c>
      <c r="R1095" s="32" t="n">
        <f aca="false">IF(J1095&lt;=10,INDEX('Tabela Passaro'!$G$2:$G$1795,$N1095),IF(J1095&lt;=30,INDEX('Tabela Passaro'!$H$2:$H$1795,$N1095),IF(J1095&lt;=50,INDEX('Tabela Passaro'!$I$2:$I$1795,$N1095),IF(J1095&lt;=70,INDEX('Tabela Passaro'!$J$2:$J$1795,$N1095),IF(J1095&lt;=100,INDEX('Tabela Passaro'!$K$2:$K$1795,$N1095),INDEX('Tabela Passaro'!$K$2:$K$1795,$N1095)+(J1095-100)*INDEX('Tabela Passaro'!$L$2:$L$1795,$N1095))))))</f>
        <v>106.33</v>
      </c>
      <c r="S1095" s="32" t="n">
        <f aca="false">K1095*INDEX('Tabela Passaro'!$M$2:$M$1795,$N1095)</f>
        <v>4.64175</v>
      </c>
      <c r="T1095" s="32" t="n">
        <f aca="false">K1095*INDEX('Tabela Passaro'!$N$2:$N$1795,$N1095)</f>
        <v>1.8567</v>
      </c>
      <c r="U1095" s="32" t="n">
        <f aca="false">INDEX('Tabela Passaro'!$O$2:$O$1795,$N1095)</f>
        <v>5</v>
      </c>
      <c r="V1095" s="32" t="n">
        <f aca="false">ROUNDUP(J1095/INDEX('Tabela Passaro'!$Q$2:$Q$1795,$N1095),0)*INDEX('Tabela Passaro'!$P$2:$P$1795,$N1095)</f>
        <v>5</v>
      </c>
      <c r="W1095" s="32" t="n">
        <f aca="false">INDEX('Tabela Passaro'!$R$2:$R$1795,$N1095)</f>
        <v>30</v>
      </c>
      <c r="X1095" s="32" t="n">
        <f aca="false">ROUNDUP(J1095/INDEX('Tabela Passaro'!$T$2:$T$1795,$N1095),0)*INDEX('Tabela Passaro'!$S$2:$S$1795,$N1095)</f>
        <v>0</v>
      </c>
      <c r="Y1095" s="32" t="n">
        <f aca="false">INDEX('Tabela Passaro'!$U$2:$U$1795,$N1095)</f>
        <v>0</v>
      </c>
      <c r="Z1095" s="32" t="n">
        <f aca="false">INDEX('Tabela Passaro'!$V$2:$V$1795,$N1095)</f>
        <v>0</v>
      </c>
      <c r="AA1095" s="32" t="n">
        <f aca="false">SUM(R1095:Z1095)</f>
        <v>152.82845</v>
      </c>
      <c r="AB1095" s="33" t="n">
        <f aca="false">INDEX(Premissas!$B$5:$B$13,MATCH(A1095,Premissas!$A$5:$A$13,0))</f>
        <v>0.07</v>
      </c>
      <c r="AC1095" s="32" t="n">
        <f aca="false">AA1095/(1-AB1095)-AA1095</f>
        <v>11.5032166666667</v>
      </c>
      <c r="AD1095" s="32" t="n">
        <f aca="false">ROUND(AA1095+AC1095,2)</f>
        <v>164.33</v>
      </c>
      <c r="AE1095" s="32" t="n">
        <f aca="false">AD1095-L1095</f>
        <v>-26.58</v>
      </c>
      <c r="AF1095" s="34" t="n">
        <f aca="false">IF(L1095=0,0,AE1095/L1095)</f>
        <v>-0.139227908438531</v>
      </c>
      <c r="AG1095" s="22" t="str">
        <f aca="false">IF(AD1095&lt;L1095,"PASSARO","ATUAL")</f>
        <v>PASSARO</v>
      </c>
      <c r="AH1095" s="22" t="str">
        <f aca="false">IF(P1095&lt;&gt;A1095,"Faixa cadastrada como "&amp;P1095&amp;" na tabela; preço aplicado pela UF do CEP","")</f>
        <v/>
      </c>
      <c r="AI1095" s="26" t="n">
        <v>199.35</v>
      </c>
      <c r="AJ1095" s="22" t="str">
        <f aca="false">INDEX('Tabela Passaro'!$X$2:$X$1795,$N1095)</f>
        <v>CAPITAL</v>
      </c>
    </row>
    <row r="1096" customFormat="false" ht="15" hidden="false" customHeight="false" outlineLevel="0" collapsed="false">
      <c r="A1096" s="22" t="s">
        <v>19</v>
      </c>
      <c r="B1096" s="22" t="n">
        <v>1</v>
      </c>
      <c r="C1096" s="22" t="s">
        <v>131</v>
      </c>
      <c r="D1096" s="22" t="s">
        <v>30</v>
      </c>
      <c r="E1096" s="22" t="s">
        <v>7328</v>
      </c>
      <c r="F1096" s="22" t="n">
        <v>2311219</v>
      </c>
      <c r="G1096" s="30" t="n">
        <v>46246</v>
      </c>
      <c r="H1096" s="22" t="n">
        <v>132517</v>
      </c>
      <c r="I1096" s="22" t="s">
        <v>8320</v>
      </c>
      <c r="J1096" s="31" t="n">
        <v>27.4</v>
      </c>
      <c r="K1096" s="26" t="n">
        <v>516.74</v>
      </c>
      <c r="L1096" s="26" t="n">
        <v>121.19</v>
      </c>
      <c r="M1096" s="22" t="s">
        <v>3926</v>
      </c>
      <c r="N1096" s="22" t="n">
        <f aca="false">MATCH(M1096,'Tabela Passaro'!$A$2:$A$1795,0)</f>
        <v>923</v>
      </c>
      <c r="O1096" s="22" t="str">
        <f aca="false">INDEX('Tabela Passaro'!$C$2:$C$1795,$N1096)</f>
        <v>JOAO PESSOA</v>
      </c>
      <c r="P1096" s="22" t="str">
        <f aca="false">INDEX('Tabela Passaro'!$B$2:$B$1795,$N1096)</f>
        <v>PB</v>
      </c>
      <c r="Q1096" s="22" t="n">
        <f aca="false">INDEX('Tabela Passaro'!$F$2:$F$1795,$N1096)</f>
        <v>9</v>
      </c>
      <c r="R1096" s="32" t="n">
        <f aca="false">IF(J1096&lt;=10,INDEX('Tabela Passaro'!$G$2:$G$1795,$N1096),IF(J1096&lt;=30,INDEX('Tabela Passaro'!$H$2:$H$1795,$N1096),IF(J1096&lt;=50,INDEX('Tabela Passaro'!$I$2:$I$1795,$N1096),IF(J1096&lt;=70,INDEX('Tabela Passaro'!$J$2:$J$1795,$N1096),IF(J1096&lt;=100,INDEX('Tabela Passaro'!$K$2:$K$1795,$N1096),INDEX('Tabela Passaro'!$K$2:$K$1795,$N1096)+(J1096-100)*INDEX('Tabela Passaro'!$L$2:$L$1795,$N1096))))))</f>
        <v>76.28</v>
      </c>
      <c r="S1096" s="32" t="n">
        <f aca="false">K1096*INDEX('Tabela Passaro'!$M$2:$M$1795,$N1096)</f>
        <v>2.5837</v>
      </c>
      <c r="T1096" s="32" t="n">
        <f aca="false">K1096*INDEX('Tabela Passaro'!$N$2:$N$1795,$N1096)</f>
        <v>1.03348</v>
      </c>
      <c r="U1096" s="32" t="n">
        <f aca="false">INDEX('Tabela Passaro'!$O$2:$O$1795,$N1096)</f>
        <v>5</v>
      </c>
      <c r="V1096" s="32" t="n">
        <f aca="false">ROUNDUP(J1096/INDEX('Tabela Passaro'!$Q$2:$Q$1795,$N1096),0)*INDEX('Tabela Passaro'!$P$2:$P$1795,$N1096)</f>
        <v>5</v>
      </c>
      <c r="W1096" s="32" t="n">
        <f aca="false">INDEX('Tabela Passaro'!$R$2:$R$1795,$N1096)</f>
        <v>30</v>
      </c>
      <c r="X1096" s="32" t="n">
        <f aca="false">ROUNDUP(J1096/INDEX('Tabela Passaro'!$T$2:$T$1795,$N1096),0)*INDEX('Tabela Passaro'!$S$2:$S$1795,$N1096)</f>
        <v>0</v>
      </c>
      <c r="Y1096" s="32" t="n">
        <f aca="false">INDEX('Tabela Passaro'!$U$2:$U$1795,$N1096)</f>
        <v>0</v>
      </c>
      <c r="Z1096" s="32" t="n">
        <f aca="false">INDEX('Tabela Passaro'!$V$2:$V$1795,$N1096)</f>
        <v>0</v>
      </c>
      <c r="AA1096" s="32" t="n">
        <f aca="false">SUM(R1096:Z1096)</f>
        <v>119.89718</v>
      </c>
      <c r="AB1096" s="33" t="n">
        <f aca="false">INDEX(Premissas!$B$5:$B$13,MATCH(A1096,Premissas!$A$5:$A$13,0))</f>
        <v>0.07</v>
      </c>
      <c r="AC1096" s="32" t="n">
        <f aca="false">AA1096/(1-AB1096)-AA1096</f>
        <v>9.0245189247312</v>
      </c>
      <c r="AD1096" s="32" t="n">
        <f aca="false">ROUND(AA1096+AC1096,2)</f>
        <v>128.92</v>
      </c>
      <c r="AE1096" s="32" t="n">
        <f aca="false">AD1096-L1096</f>
        <v>7.72999999999999</v>
      </c>
      <c r="AF1096" s="34" t="n">
        <f aca="false">IF(L1096=0,0,AE1096/L1096)</f>
        <v>0.0637841406056605</v>
      </c>
      <c r="AG1096" s="22" t="str">
        <f aca="false">IF(AD1096&lt;L1096,"PASSARO","ATUAL")</f>
        <v>ATUAL</v>
      </c>
      <c r="AH1096" s="22" t="str">
        <f aca="false">IF(P1096&lt;&gt;A1096,"Faixa cadastrada como "&amp;P1096&amp;" na tabela; preço aplicado pela UF do CEP","")</f>
        <v/>
      </c>
      <c r="AI1096" s="26" t="n">
        <v>146.18</v>
      </c>
      <c r="AJ1096" s="22" t="str">
        <f aca="false">INDEX('Tabela Passaro'!$X$2:$X$1795,$N1096)</f>
        <v>CAPITAL</v>
      </c>
    </row>
    <row r="1097" customFormat="false" ht="15" hidden="false" customHeight="false" outlineLevel="0" collapsed="false">
      <c r="A1097" s="22" t="s">
        <v>19</v>
      </c>
      <c r="B1097" s="22" t="n">
        <v>1</v>
      </c>
      <c r="C1097" s="22" t="s">
        <v>131</v>
      </c>
      <c r="D1097" s="22" t="s">
        <v>30</v>
      </c>
      <c r="E1097" s="22" t="s">
        <v>7328</v>
      </c>
      <c r="F1097" s="22" t="n">
        <v>2311222</v>
      </c>
      <c r="G1097" s="30" t="n">
        <v>46246</v>
      </c>
      <c r="H1097" s="22" t="n">
        <v>132518</v>
      </c>
      <c r="I1097" s="22" t="s">
        <v>8321</v>
      </c>
      <c r="J1097" s="31" t="n">
        <v>26.9</v>
      </c>
      <c r="K1097" s="26" t="n">
        <v>494.84</v>
      </c>
      <c r="L1097" s="26" t="n">
        <v>121.02</v>
      </c>
      <c r="M1097" s="22" t="s">
        <v>3926</v>
      </c>
      <c r="N1097" s="22" t="n">
        <f aca="false">MATCH(M1097,'Tabela Passaro'!$A$2:$A$1795,0)</f>
        <v>923</v>
      </c>
      <c r="O1097" s="22" t="str">
        <f aca="false">INDEX('Tabela Passaro'!$C$2:$C$1795,$N1097)</f>
        <v>JOAO PESSOA</v>
      </c>
      <c r="P1097" s="22" t="str">
        <f aca="false">INDEX('Tabela Passaro'!$B$2:$B$1795,$N1097)</f>
        <v>PB</v>
      </c>
      <c r="Q1097" s="22" t="n">
        <f aca="false">INDEX('Tabela Passaro'!$F$2:$F$1795,$N1097)</f>
        <v>9</v>
      </c>
      <c r="R1097" s="32" t="n">
        <f aca="false">IF(J1097&lt;=10,INDEX('Tabela Passaro'!$G$2:$G$1795,$N1097),IF(J1097&lt;=30,INDEX('Tabela Passaro'!$H$2:$H$1795,$N1097),IF(J1097&lt;=50,INDEX('Tabela Passaro'!$I$2:$I$1795,$N1097),IF(J1097&lt;=70,INDEX('Tabela Passaro'!$J$2:$J$1795,$N1097),IF(J1097&lt;=100,INDEX('Tabela Passaro'!$K$2:$K$1795,$N1097),INDEX('Tabela Passaro'!$K$2:$K$1795,$N1097)+(J1097-100)*INDEX('Tabela Passaro'!$L$2:$L$1795,$N1097))))))</f>
        <v>76.28</v>
      </c>
      <c r="S1097" s="32" t="n">
        <f aca="false">K1097*INDEX('Tabela Passaro'!$M$2:$M$1795,$N1097)</f>
        <v>2.4742</v>
      </c>
      <c r="T1097" s="32" t="n">
        <f aca="false">K1097*INDEX('Tabela Passaro'!$N$2:$N$1795,$N1097)</f>
        <v>0.98968</v>
      </c>
      <c r="U1097" s="32" t="n">
        <f aca="false">INDEX('Tabela Passaro'!$O$2:$O$1795,$N1097)</f>
        <v>5</v>
      </c>
      <c r="V1097" s="32" t="n">
        <f aca="false">ROUNDUP(J1097/INDEX('Tabela Passaro'!$Q$2:$Q$1795,$N1097),0)*INDEX('Tabela Passaro'!$P$2:$P$1795,$N1097)</f>
        <v>5</v>
      </c>
      <c r="W1097" s="32" t="n">
        <f aca="false">INDEX('Tabela Passaro'!$R$2:$R$1795,$N1097)</f>
        <v>30</v>
      </c>
      <c r="X1097" s="32" t="n">
        <f aca="false">ROUNDUP(J1097/INDEX('Tabela Passaro'!$T$2:$T$1795,$N1097),0)*INDEX('Tabela Passaro'!$S$2:$S$1795,$N1097)</f>
        <v>0</v>
      </c>
      <c r="Y1097" s="32" t="n">
        <f aca="false">INDEX('Tabela Passaro'!$U$2:$U$1795,$N1097)</f>
        <v>0</v>
      </c>
      <c r="Z1097" s="32" t="n">
        <f aca="false">INDEX('Tabela Passaro'!$V$2:$V$1795,$N1097)</f>
        <v>0</v>
      </c>
      <c r="AA1097" s="32" t="n">
        <f aca="false">SUM(R1097:Z1097)</f>
        <v>119.74388</v>
      </c>
      <c r="AB1097" s="33" t="n">
        <f aca="false">INDEX(Premissas!$B$5:$B$13,MATCH(A1097,Premissas!$A$5:$A$13,0))</f>
        <v>0.07</v>
      </c>
      <c r="AC1097" s="32" t="n">
        <f aca="false">AA1097/(1-AB1097)-AA1097</f>
        <v>9.01298021505376</v>
      </c>
      <c r="AD1097" s="32" t="n">
        <f aca="false">ROUND(AA1097+AC1097,2)</f>
        <v>128.76</v>
      </c>
      <c r="AE1097" s="32" t="n">
        <f aca="false">AD1097-L1097</f>
        <v>7.74</v>
      </c>
      <c r="AF1097" s="34" t="n">
        <f aca="false">IF(L1097=0,0,AE1097/L1097)</f>
        <v>0.0639563708477937</v>
      </c>
      <c r="AG1097" s="22" t="str">
        <f aca="false">IF(AD1097&lt;L1097,"PASSARO","ATUAL")</f>
        <v>ATUAL</v>
      </c>
      <c r="AH1097" s="22" t="str">
        <f aca="false">IF(P1097&lt;&gt;A1097,"Faixa cadastrada como "&amp;P1097&amp;" na tabela; preço aplicado pela UF do CEP","")</f>
        <v/>
      </c>
      <c r="AI1097" s="26" t="n">
        <v>145.49</v>
      </c>
      <c r="AJ1097" s="22" t="str">
        <f aca="false">INDEX('Tabela Passaro'!$X$2:$X$1795,$N1097)</f>
        <v>CAPITAL</v>
      </c>
    </row>
    <row r="1098" customFormat="false" ht="15" hidden="false" customHeight="false" outlineLevel="0" collapsed="false">
      <c r="A1098" s="22" t="s">
        <v>19</v>
      </c>
      <c r="B1098" s="22" t="n">
        <v>1</v>
      </c>
      <c r="C1098" s="22" t="s">
        <v>131</v>
      </c>
      <c r="D1098" s="22" t="s">
        <v>30</v>
      </c>
      <c r="E1098" s="22" t="s">
        <v>7328</v>
      </c>
      <c r="F1098" s="22" t="n">
        <v>2311298</v>
      </c>
      <c r="G1098" s="30" t="n">
        <v>46246</v>
      </c>
      <c r="H1098" s="22" t="n">
        <v>132749</v>
      </c>
      <c r="I1098" s="22" t="s">
        <v>8322</v>
      </c>
      <c r="J1098" s="31" t="n">
        <v>145.8</v>
      </c>
      <c r="K1098" s="26" t="n">
        <v>2556.77</v>
      </c>
      <c r="L1098" s="26" t="n">
        <v>336.83</v>
      </c>
      <c r="M1098" s="22" t="s">
        <v>3926</v>
      </c>
      <c r="N1098" s="22" t="n">
        <f aca="false">MATCH(M1098,'Tabela Passaro'!$A$2:$A$1795,0)</f>
        <v>923</v>
      </c>
      <c r="O1098" s="22" t="str">
        <f aca="false">INDEX('Tabela Passaro'!$C$2:$C$1795,$N1098)</f>
        <v>JOAO PESSOA</v>
      </c>
      <c r="P1098" s="22" t="str">
        <f aca="false">INDEX('Tabela Passaro'!$B$2:$B$1795,$N1098)</f>
        <v>PB</v>
      </c>
      <c r="Q1098" s="22" t="n">
        <f aca="false">INDEX('Tabela Passaro'!$F$2:$F$1795,$N1098)</f>
        <v>9</v>
      </c>
      <c r="R1098" s="32" t="n">
        <f aca="false">IF(J1098&lt;=10,INDEX('Tabela Passaro'!$G$2:$G$1795,$N1098),IF(J1098&lt;=30,INDEX('Tabela Passaro'!$H$2:$H$1795,$N1098),IF(J1098&lt;=50,INDEX('Tabela Passaro'!$I$2:$I$1795,$N1098),IF(J1098&lt;=70,INDEX('Tabela Passaro'!$J$2:$J$1795,$N1098),IF(J1098&lt;=100,INDEX('Tabela Passaro'!$K$2:$K$1795,$N1098),INDEX('Tabela Passaro'!$K$2:$K$1795,$N1098)+(J1098-100)*INDEX('Tabela Passaro'!$L$2:$L$1795,$N1098))))))</f>
        <v>196.014</v>
      </c>
      <c r="S1098" s="32" t="n">
        <f aca="false">K1098*INDEX('Tabela Passaro'!$M$2:$M$1795,$N1098)</f>
        <v>12.78385</v>
      </c>
      <c r="T1098" s="32" t="n">
        <f aca="false">K1098*INDEX('Tabela Passaro'!$N$2:$N$1795,$N1098)</f>
        <v>5.11354</v>
      </c>
      <c r="U1098" s="32" t="n">
        <f aca="false">INDEX('Tabela Passaro'!$O$2:$O$1795,$N1098)</f>
        <v>5</v>
      </c>
      <c r="V1098" s="32" t="n">
        <f aca="false">ROUNDUP(J1098/INDEX('Tabela Passaro'!$Q$2:$Q$1795,$N1098),0)*INDEX('Tabela Passaro'!$P$2:$P$1795,$N1098)</f>
        <v>10</v>
      </c>
      <c r="W1098" s="32" t="n">
        <f aca="false">INDEX('Tabela Passaro'!$R$2:$R$1795,$N1098)</f>
        <v>30</v>
      </c>
      <c r="X1098" s="32" t="n">
        <f aca="false">ROUNDUP(J1098/INDEX('Tabela Passaro'!$T$2:$T$1795,$N1098),0)*INDEX('Tabela Passaro'!$S$2:$S$1795,$N1098)</f>
        <v>0</v>
      </c>
      <c r="Y1098" s="32" t="n">
        <f aca="false">INDEX('Tabela Passaro'!$U$2:$U$1795,$N1098)</f>
        <v>0</v>
      </c>
      <c r="Z1098" s="32" t="n">
        <f aca="false">INDEX('Tabela Passaro'!$V$2:$V$1795,$N1098)</f>
        <v>0</v>
      </c>
      <c r="AA1098" s="32" t="n">
        <f aca="false">SUM(R1098:Z1098)</f>
        <v>258.91139</v>
      </c>
      <c r="AB1098" s="33" t="n">
        <f aca="false">INDEX(Premissas!$B$5:$B$13,MATCH(A1098,Premissas!$A$5:$A$13,0))</f>
        <v>0.07</v>
      </c>
      <c r="AC1098" s="32" t="n">
        <f aca="false">AA1098/(1-AB1098)-AA1098</f>
        <v>19.4879540860215</v>
      </c>
      <c r="AD1098" s="32" t="n">
        <f aca="false">ROUND(AA1098+AC1098,2)</f>
        <v>278.4</v>
      </c>
      <c r="AE1098" s="32" t="n">
        <f aca="false">AD1098-L1098</f>
        <v>-58.43</v>
      </c>
      <c r="AF1098" s="34" t="n">
        <f aca="false">IF(L1098=0,0,AE1098/L1098)</f>
        <v>-0.173470296588784</v>
      </c>
      <c r="AG1098" s="22" t="str">
        <f aca="false">IF(AD1098&lt;L1098,"PASSARO","ATUAL")</f>
        <v>PASSARO</v>
      </c>
      <c r="AH1098" s="22" t="str">
        <f aca="false">IF(P1098&lt;&gt;A1098,"Faixa cadastrada como "&amp;P1098&amp;" na tabela; preço aplicado pela UF do CEP","")</f>
        <v/>
      </c>
      <c r="AI1098" s="26" t="n">
        <v>374.89</v>
      </c>
      <c r="AJ1098" s="22" t="str">
        <f aca="false">INDEX('Tabela Passaro'!$X$2:$X$1795,$N1098)</f>
        <v>CAPITAL</v>
      </c>
    </row>
    <row r="1099" customFormat="false" ht="15" hidden="false" customHeight="false" outlineLevel="0" collapsed="false">
      <c r="A1099" s="22" t="s">
        <v>19</v>
      </c>
      <c r="B1099" s="22" t="n">
        <v>1</v>
      </c>
      <c r="C1099" s="22" t="s">
        <v>131</v>
      </c>
      <c r="D1099" s="22" t="s">
        <v>30</v>
      </c>
      <c r="E1099" s="22" t="s">
        <v>7326</v>
      </c>
      <c r="F1099" s="22" t="n">
        <v>524698</v>
      </c>
      <c r="G1099" s="30" t="n">
        <v>46247</v>
      </c>
      <c r="H1099" s="22" t="n">
        <v>624557</v>
      </c>
      <c r="I1099" s="22" t="s">
        <v>8323</v>
      </c>
      <c r="J1099" s="31" t="n">
        <v>9.4</v>
      </c>
      <c r="K1099" s="26" t="n">
        <v>589.86</v>
      </c>
      <c r="L1099" s="26" t="n">
        <v>75.34</v>
      </c>
      <c r="M1099" s="22" t="s">
        <v>3926</v>
      </c>
      <c r="N1099" s="22" t="n">
        <f aca="false">MATCH(M1099,'Tabela Passaro'!$A$2:$A$1795,0)</f>
        <v>923</v>
      </c>
      <c r="O1099" s="22" t="str">
        <f aca="false">INDEX('Tabela Passaro'!$C$2:$C$1795,$N1099)</f>
        <v>JOAO PESSOA</v>
      </c>
      <c r="P1099" s="22" t="str">
        <f aca="false">INDEX('Tabela Passaro'!$B$2:$B$1795,$N1099)</f>
        <v>PB</v>
      </c>
      <c r="Q1099" s="22" t="n">
        <f aca="false">INDEX('Tabela Passaro'!$F$2:$F$1795,$N1099)</f>
        <v>9</v>
      </c>
      <c r="R1099" s="32" t="n">
        <f aca="false">IF(J1099&lt;=10,INDEX('Tabela Passaro'!$G$2:$G$1795,$N1099),IF(J1099&lt;=30,INDEX('Tabela Passaro'!$H$2:$H$1795,$N1099),IF(J1099&lt;=50,INDEX('Tabela Passaro'!$I$2:$I$1795,$N1099),IF(J1099&lt;=70,INDEX('Tabela Passaro'!$J$2:$J$1795,$N1099),IF(J1099&lt;=100,INDEX('Tabela Passaro'!$K$2:$K$1795,$N1099),INDEX('Tabela Passaro'!$K$2:$K$1795,$N1099)+(J1099-100)*INDEX('Tabela Passaro'!$L$2:$L$1795,$N1099))))))</f>
        <v>66.26</v>
      </c>
      <c r="S1099" s="32" t="n">
        <f aca="false">K1099*INDEX('Tabela Passaro'!$M$2:$M$1795,$N1099)</f>
        <v>2.9493</v>
      </c>
      <c r="T1099" s="32" t="n">
        <f aca="false">K1099*INDEX('Tabela Passaro'!$N$2:$N$1795,$N1099)</f>
        <v>1.17972</v>
      </c>
      <c r="U1099" s="32" t="n">
        <f aca="false">INDEX('Tabela Passaro'!$O$2:$O$1795,$N1099)</f>
        <v>5</v>
      </c>
      <c r="V1099" s="32" t="n">
        <f aca="false">ROUNDUP(J1099/INDEX('Tabela Passaro'!$Q$2:$Q$1795,$N1099),0)*INDEX('Tabela Passaro'!$P$2:$P$1795,$N1099)</f>
        <v>5</v>
      </c>
      <c r="W1099" s="32" t="n">
        <f aca="false">INDEX('Tabela Passaro'!$R$2:$R$1795,$N1099)</f>
        <v>30</v>
      </c>
      <c r="X1099" s="32" t="n">
        <f aca="false">ROUNDUP(J1099/INDEX('Tabela Passaro'!$T$2:$T$1795,$N1099),0)*INDEX('Tabela Passaro'!$S$2:$S$1795,$N1099)</f>
        <v>0</v>
      </c>
      <c r="Y1099" s="32" t="n">
        <f aca="false">INDEX('Tabela Passaro'!$U$2:$U$1795,$N1099)</f>
        <v>0</v>
      </c>
      <c r="Z1099" s="32" t="n">
        <f aca="false">INDEX('Tabela Passaro'!$V$2:$V$1795,$N1099)</f>
        <v>0</v>
      </c>
      <c r="AA1099" s="32" t="n">
        <f aca="false">SUM(R1099:Z1099)</f>
        <v>110.38902</v>
      </c>
      <c r="AB1099" s="33" t="n">
        <f aca="false">INDEX(Premissas!$B$5:$B$13,MATCH(A1099,Premissas!$A$5:$A$13,0))</f>
        <v>0.07</v>
      </c>
      <c r="AC1099" s="32" t="n">
        <f aca="false">AA1099/(1-AB1099)-AA1099</f>
        <v>8.30885096774195</v>
      </c>
      <c r="AD1099" s="32" t="n">
        <f aca="false">ROUND(AA1099+AC1099,2)</f>
        <v>118.7</v>
      </c>
      <c r="AE1099" s="32" t="n">
        <f aca="false">AD1099-L1099</f>
        <v>43.36</v>
      </c>
      <c r="AF1099" s="34" t="n">
        <f aca="false">IF(L1099=0,0,AE1099/L1099)</f>
        <v>0.575524289885851</v>
      </c>
      <c r="AG1099" s="22" t="str">
        <f aca="false">IF(AD1099&lt;L1099,"PASSARO","ATUAL")</f>
        <v>ATUAL</v>
      </c>
      <c r="AH1099" s="22" t="str">
        <f aca="false">IF(P1099&lt;&gt;A1099,"Faixa cadastrada como "&amp;P1099&amp;" na tabela; preço aplicado pela UF do CEP","")</f>
        <v/>
      </c>
      <c r="AI1099" s="26" t="n">
        <v>125.65</v>
      </c>
      <c r="AJ1099" s="22" t="str">
        <f aca="false">INDEX('Tabela Passaro'!$X$2:$X$1795,$N1099)</f>
        <v>CAPITAL</v>
      </c>
    </row>
    <row r="1100" customFormat="false" ht="15" hidden="false" customHeight="false" outlineLevel="0" collapsed="false">
      <c r="A1100" s="22" t="s">
        <v>19</v>
      </c>
      <c r="B1100" s="22" t="n">
        <v>1</v>
      </c>
      <c r="C1100" s="22" t="s">
        <v>131</v>
      </c>
      <c r="D1100" s="22" t="s">
        <v>30</v>
      </c>
      <c r="E1100" s="22" t="s">
        <v>7328</v>
      </c>
      <c r="F1100" s="22" t="n">
        <v>2312344</v>
      </c>
      <c r="G1100" s="30" t="n">
        <v>46248</v>
      </c>
      <c r="H1100" s="22" t="n">
        <v>133246</v>
      </c>
      <c r="I1100" s="22" t="s">
        <v>8324</v>
      </c>
      <c r="J1100" s="31" t="n">
        <v>44.6</v>
      </c>
      <c r="K1100" s="26" t="n">
        <v>723.79</v>
      </c>
      <c r="L1100" s="26" t="n">
        <v>159.76</v>
      </c>
      <c r="M1100" s="22" t="s">
        <v>3926</v>
      </c>
      <c r="N1100" s="22" t="n">
        <f aca="false">MATCH(M1100,'Tabela Passaro'!$A$2:$A$1795,0)</f>
        <v>923</v>
      </c>
      <c r="O1100" s="22" t="str">
        <f aca="false">INDEX('Tabela Passaro'!$C$2:$C$1795,$N1100)</f>
        <v>JOAO PESSOA</v>
      </c>
      <c r="P1100" s="22" t="str">
        <f aca="false">INDEX('Tabela Passaro'!$B$2:$B$1795,$N1100)</f>
        <v>PB</v>
      </c>
      <c r="Q1100" s="22" t="n">
        <f aca="false">INDEX('Tabela Passaro'!$F$2:$F$1795,$N1100)</f>
        <v>9</v>
      </c>
      <c r="R1100" s="32" t="n">
        <f aca="false">IF(J1100&lt;=10,INDEX('Tabela Passaro'!$G$2:$G$1795,$N1100),IF(J1100&lt;=30,INDEX('Tabela Passaro'!$H$2:$H$1795,$N1100),IF(J1100&lt;=50,INDEX('Tabela Passaro'!$I$2:$I$1795,$N1100),IF(J1100&lt;=70,INDEX('Tabela Passaro'!$J$2:$J$1795,$N1100),IF(J1100&lt;=100,INDEX('Tabela Passaro'!$K$2:$K$1795,$N1100),INDEX('Tabela Passaro'!$K$2:$K$1795,$N1100)+(J1100-100)*INDEX('Tabela Passaro'!$L$2:$L$1795,$N1100))))))</f>
        <v>96.32</v>
      </c>
      <c r="S1100" s="32" t="n">
        <f aca="false">K1100*INDEX('Tabela Passaro'!$M$2:$M$1795,$N1100)</f>
        <v>3.61895</v>
      </c>
      <c r="T1100" s="32" t="n">
        <f aca="false">K1100*INDEX('Tabela Passaro'!$N$2:$N$1795,$N1100)</f>
        <v>1.44758</v>
      </c>
      <c r="U1100" s="32" t="n">
        <f aca="false">INDEX('Tabela Passaro'!$O$2:$O$1795,$N1100)</f>
        <v>5</v>
      </c>
      <c r="V1100" s="32" t="n">
        <f aca="false">ROUNDUP(J1100/INDEX('Tabela Passaro'!$Q$2:$Q$1795,$N1100),0)*INDEX('Tabela Passaro'!$P$2:$P$1795,$N1100)</f>
        <v>5</v>
      </c>
      <c r="W1100" s="32" t="n">
        <f aca="false">INDEX('Tabela Passaro'!$R$2:$R$1795,$N1100)</f>
        <v>30</v>
      </c>
      <c r="X1100" s="32" t="n">
        <f aca="false">ROUNDUP(J1100/INDEX('Tabela Passaro'!$T$2:$T$1795,$N1100),0)*INDEX('Tabela Passaro'!$S$2:$S$1795,$N1100)</f>
        <v>0</v>
      </c>
      <c r="Y1100" s="32" t="n">
        <f aca="false">INDEX('Tabela Passaro'!$U$2:$U$1795,$N1100)</f>
        <v>0</v>
      </c>
      <c r="Z1100" s="32" t="n">
        <f aca="false">INDEX('Tabela Passaro'!$V$2:$V$1795,$N1100)</f>
        <v>0</v>
      </c>
      <c r="AA1100" s="32" t="n">
        <f aca="false">SUM(R1100:Z1100)</f>
        <v>141.38653</v>
      </c>
      <c r="AB1100" s="33" t="n">
        <f aca="false">INDEX(Premissas!$B$5:$B$13,MATCH(A1100,Premissas!$A$5:$A$13,0))</f>
        <v>0.07</v>
      </c>
      <c r="AC1100" s="32" t="n">
        <f aca="false">AA1100/(1-AB1100)-AA1100</f>
        <v>10.6419968817204</v>
      </c>
      <c r="AD1100" s="32" t="n">
        <f aca="false">ROUND(AA1100+AC1100,2)</f>
        <v>152.03</v>
      </c>
      <c r="AE1100" s="32" t="n">
        <f aca="false">AD1100-L1100</f>
        <v>-7.72999999999999</v>
      </c>
      <c r="AF1100" s="34" t="n">
        <f aca="false">IF(L1100=0,0,AE1100/L1100)</f>
        <v>-0.0483850776164246</v>
      </c>
      <c r="AG1100" s="22" t="str">
        <f aca="false">IF(AD1100&lt;L1100,"PASSARO","ATUAL")</f>
        <v>PASSARO</v>
      </c>
      <c r="AH1100" s="22" t="str">
        <f aca="false">IF(P1100&lt;&gt;A1100,"Faixa cadastrada como "&amp;P1100&amp;" na tabela; preço aplicado pela UF do CEP","")</f>
        <v/>
      </c>
      <c r="AI1100" s="26" t="n">
        <v>181.47</v>
      </c>
      <c r="AJ1100" s="22" t="str">
        <f aca="false">INDEX('Tabela Passaro'!$X$2:$X$1795,$N1100)</f>
        <v>CAPITAL</v>
      </c>
    </row>
    <row r="1101" customFormat="false" ht="15" hidden="false" customHeight="false" outlineLevel="0" collapsed="false">
      <c r="A1101" s="22" t="s">
        <v>19</v>
      </c>
      <c r="B1101" s="22" t="n">
        <v>1</v>
      </c>
      <c r="C1101" s="22" t="s">
        <v>131</v>
      </c>
      <c r="D1101" s="22" t="s">
        <v>30</v>
      </c>
      <c r="E1101" s="22" t="s">
        <v>7328</v>
      </c>
      <c r="F1101" s="22" t="n">
        <v>2312357</v>
      </c>
      <c r="G1101" s="30" t="n">
        <v>46248</v>
      </c>
      <c r="H1101" s="22" t="n">
        <v>133261</v>
      </c>
      <c r="I1101" s="22" t="s">
        <v>8325</v>
      </c>
      <c r="J1101" s="31" t="n">
        <v>51.06</v>
      </c>
      <c r="K1101" s="26" t="n">
        <v>834.49</v>
      </c>
      <c r="L1101" s="26" t="n">
        <v>190.17</v>
      </c>
      <c r="M1101" s="22" t="s">
        <v>3926</v>
      </c>
      <c r="N1101" s="22" t="n">
        <f aca="false">MATCH(M1101,'Tabela Passaro'!$A$2:$A$1795,0)</f>
        <v>923</v>
      </c>
      <c r="O1101" s="22" t="str">
        <f aca="false">INDEX('Tabela Passaro'!$C$2:$C$1795,$N1101)</f>
        <v>JOAO PESSOA</v>
      </c>
      <c r="P1101" s="22" t="str">
        <f aca="false">INDEX('Tabela Passaro'!$B$2:$B$1795,$N1101)</f>
        <v>PB</v>
      </c>
      <c r="Q1101" s="22" t="n">
        <f aca="false">INDEX('Tabela Passaro'!$F$2:$F$1795,$N1101)</f>
        <v>9</v>
      </c>
      <c r="R1101" s="32" t="n">
        <f aca="false">IF(J1101&lt;=10,INDEX('Tabela Passaro'!$G$2:$G$1795,$N1101),IF(J1101&lt;=30,INDEX('Tabela Passaro'!$H$2:$H$1795,$N1101),IF(J1101&lt;=50,INDEX('Tabela Passaro'!$I$2:$I$1795,$N1101),IF(J1101&lt;=70,INDEX('Tabela Passaro'!$J$2:$J$1795,$N1101),IF(J1101&lt;=100,INDEX('Tabela Passaro'!$K$2:$K$1795,$N1101),INDEX('Tabela Passaro'!$K$2:$K$1795,$N1101)+(J1101-100)*INDEX('Tabela Passaro'!$L$2:$L$1795,$N1101))))))</f>
        <v>106.33</v>
      </c>
      <c r="S1101" s="32" t="n">
        <f aca="false">K1101*INDEX('Tabela Passaro'!$M$2:$M$1795,$N1101)</f>
        <v>4.17245</v>
      </c>
      <c r="T1101" s="32" t="n">
        <f aca="false">K1101*INDEX('Tabela Passaro'!$N$2:$N$1795,$N1101)</f>
        <v>1.66898</v>
      </c>
      <c r="U1101" s="32" t="n">
        <f aca="false">INDEX('Tabela Passaro'!$O$2:$O$1795,$N1101)</f>
        <v>5</v>
      </c>
      <c r="V1101" s="32" t="n">
        <f aca="false">ROUNDUP(J1101/INDEX('Tabela Passaro'!$Q$2:$Q$1795,$N1101),0)*INDEX('Tabela Passaro'!$P$2:$P$1795,$N1101)</f>
        <v>5</v>
      </c>
      <c r="W1101" s="32" t="n">
        <f aca="false">INDEX('Tabela Passaro'!$R$2:$R$1795,$N1101)</f>
        <v>30</v>
      </c>
      <c r="X1101" s="32" t="n">
        <f aca="false">ROUNDUP(J1101/INDEX('Tabela Passaro'!$T$2:$T$1795,$N1101),0)*INDEX('Tabela Passaro'!$S$2:$S$1795,$N1101)</f>
        <v>0</v>
      </c>
      <c r="Y1101" s="32" t="n">
        <f aca="false">INDEX('Tabela Passaro'!$U$2:$U$1795,$N1101)</f>
        <v>0</v>
      </c>
      <c r="Z1101" s="32" t="n">
        <f aca="false">INDEX('Tabela Passaro'!$V$2:$V$1795,$N1101)</f>
        <v>0</v>
      </c>
      <c r="AA1101" s="32" t="n">
        <f aca="false">SUM(R1101:Z1101)</f>
        <v>152.17143</v>
      </c>
      <c r="AB1101" s="33" t="n">
        <f aca="false">INDEX(Premissas!$B$5:$B$13,MATCH(A1101,Premissas!$A$5:$A$13,0))</f>
        <v>0.07</v>
      </c>
      <c r="AC1101" s="32" t="n">
        <f aca="false">AA1101/(1-AB1101)-AA1101</f>
        <v>11.4537635483871</v>
      </c>
      <c r="AD1101" s="32" t="n">
        <f aca="false">ROUND(AA1101+AC1101,2)</f>
        <v>163.63</v>
      </c>
      <c r="AE1101" s="32" t="n">
        <f aca="false">AD1101-L1101</f>
        <v>-26.54</v>
      </c>
      <c r="AF1101" s="34" t="n">
        <f aca="false">IF(L1101=0,0,AE1101/L1101)</f>
        <v>-0.139559341641689</v>
      </c>
      <c r="AG1101" s="22" t="str">
        <f aca="false">IF(AD1101&lt;L1101,"PASSARO","ATUAL")</f>
        <v>PASSARO</v>
      </c>
      <c r="AH1101" s="22" t="str">
        <f aca="false">IF(P1101&lt;&gt;A1101,"Faixa cadastrada como "&amp;P1101&amp;" na tabela; preço aplicado pela UF do CEP","")</f>
        <v/>
      </c>
      <c r="AI1101" s="26" t="n">
        <v>198.44</v>
      </c>
      <c r="AJ1101" s="22" t="str">
        <f aca="false">INDEX('Tabela Passaro'!$X$2:$X$1795,$N1101)</f>
        <v>CAPITAL</v>
      </c>
    </row>
    <row r="1102" customFormat="false" ht="15" hidden="false" customHeight="false" outlineLevel="0" collapsed="false">
      <c r="A1102" s="22" t="s">
        <v>19</v>
      </c>
      <c r="B1102" s="22" t="n">
        <v>1</v>
      </c>
      <c r="C1102" s="22" t="s">
        <v>131</v>
      </c>
      <c r="D1102" s="22" t="s">
        <v>30</v>
      </c>
      <c r="E1102" s="22" t="s">
        <v>7328</v>
      </c>
      <c r="F1102" s="22" t="n">
        <v>2312367</v>
      </c>
      <c r="G1102" s="30" t="n">
        <v>46248</v>
      </c>
      <c r="H1102" s="22" t="n">
        <v>133273</v>
      </c>
      <c r="I1102" s="22" t="s">
        <v>8326</v>
      </c>
      <c r="J1102" s="31" t="n">
        <v>63.98</v>
      </c>
      <c r="K1102" s="26" t="n">
        <v>992.57</v>
      </c>
      <c r="L1102" s="26" t="n">
        <v>191.42</v>
      </c>
      <c r="M1102" s="22" t="s">
        <v>3926</v>
      </c>
      <c r="N1102" s="22" t="n">
        <f aca="false">MATCH(M1102,'Tabela Passaro'!$A$2:$A$1795,0)</f>
        <v>923</v>
      </c>
      <c r="O1102" s="22" t="str">
        <f aca="false">INDEX('Tabela Passaro'!$C$2:$C$1795,$N1102)</f>
        <v>JOAO PESSOA</v>
      </c>
      <c r="P1102" s="22" t="str">
        <f aca="false">INDEX('Tabela Passaro'!$B$2:$B$1795,$N1102)</f>
        <v>PB</v>
      </c>
      <c r="Q1102" s="22" t="n">
        <f aca="false">INDEX('Tabela Passaro'!$F$2:$F$1795,$N1102)</f>
        <v>9</v>
      </c>
      <c r="R1102" s="32" t="n">
        <f aca="false">IF(J1102&lt;=10,INDEX('Tabela Passaro'!$G$2:$G$1795,$N1102),IF(J1102&lt;=30,INDEX('Tabela Passaro'!$H$2:$H$1795,$N1102),IF(J1102&lt;=50,INDEX('Tabela Passaro'!$I$2:$I$1795,$N1102),IF(J1102&lt;=70,INDEX('Tabela Passaro'!$J$2:$J$1795,$N1102),IF(J1102&lt;=100,INDEX('Tabela Passaro'!$K$2:$K$1795,$N1102),INDEX('Tabela Passaro'!$K$2:$K$1795,$N1102)+(J1102-100)*INDEX('Tabela Passaro'!$L$2:$L$1795,$N1102))))))</f>
        <v>106.33</v>
      </c>
      <c r="S1102" s="32" t="n">
        <f aca="false">K1102*INDEX('Tabela Passaro'!$M$2:$M$1795,$N1102)</f>
        <v>4.96285</v>
      </c>
      <c r="T1102" s="32" t="n">
        <f aca="false">K1102*INDEX('Tabela Passaro'!$N$2:$N$1795,$N1102)</f>
        <v>1.98514</v>
      </c>
      <c r="U1102" s="32" t="n">
        <f aca="false">INDEX('Tabela Passaro'!$O$2:$O$1795,$N1102)</f>
        <v>5</v>
      </c>
      <c r="V1102" s="32" t="n">
        <f aca="false">ROUNDUP(J1102/INDEX('Tabela Passaro'!$Q$2:$Q$1795,$N1102),0)*INDEX('Tabela Passaro'!$P$2:$P$1795,$N1102)</f>
        <v>5</v>
      </c>
      <c r="W1102" s="32" t="n">
        <f aca="false">INDEX('Tabela Passaro'!$R$2:$R$1795,$N1102)</f>
        <v>30</v>
      </c>
      <c r="X1102" s="32" t="n">
        <f aca="false">ROUNDUP(J1102/INDEX('Tabela Passaro'!$T$2:$T$1795,$N1102),0)*INDEX('Tabela Passaro'!$S$2:$S$1795,$N1102)</f>
        <v>0</v>
      </c>
      <c r="Y1102" s="32" t="n">
        <f aca="false">INDEX('Tabela Passaro'!$U$2:$U$1795,$N1102)</f>
        <v>0</v>
      </c>
      <c r="Z1102" s="32" t="n">
        <f aca="false">INDEX('Tabela Passaro'!$V$2:$V$1795,$N1102)</f>
        <v>0</v>
      </c>
      <c r="AA1102" s="32" t="n">
        <f aca="false">SUM(R1102:Z1102)</f>
        <v>153.27799</v>
      </c>
      <c r="AB1102" s="33" t="n">
        <f aca="false">INDEX(Premissas!$B$5:$B$13,MATCH(A1102,Premissas!$A$5:$A$13,0))</f>
        <v>0.07</v>
      </c>
      <c r="AC1102" s="32" t="n">
        <f aca="false">AA1102/(1-AB1102)-AA1102</f>
        <v>11.5370530107527</v>
      </c>
      <c r="AD1102" s="32" t="n">
        <f aca="false">ROUND(AA1102+AC1102,2)</f>
        <v>164.82</v>
      </c>
      <c r="AE1102" s="32" t="n">
        <f aca="false">AD1102-L1102</f>
        <v>-26.6</v>
      </c>
      <c r="AF1102" s="34" t="n">
        <f aca="false">IF(L1102=0,0,AE1102/L1102)</f>
        <v>-0.138961446034897</v>
      </c>
      <c r="AG1102" s="22" t="str">
        <f aca="false">IF(AD1102&lt;L1102,"PASSARO","ATUAL")</f>
        <v>PASSARO</v>
      </c>
      <c r="AH1102" s="22" t="str">
        <f aca="false">IF(P1102&lt;&gt;A1102,"Faixa cadastrada como "&amp;P1102&amp;" na tabela; preço aplicado pela UF do CEP","")</f>
        <v/>
      </c>
      <c r="AI1102" s="26" t="n">
        <v>205.78</v>
      </c>
      <c r="AJ1102" s="22" t="str">
        <f aca="false">INDEX('Tabela Passaro'!$X$2:$X$1795,$N1102)</f>
        <v>CAPITAL</v>
      </c>
    </row>
    <row r="1103" customFormat="false" ht="15" hidden="false" customHeight="false" outlineLevel="0" collapsed="false">
      <c r="A1103" s="22" t="s">
        <v>19</v>
      </c>
      <c r="B1103" s="22" t="n">
        <v>1</v>
      </c>
      <c r="C1103" s="22" t="s">
        <v>131</v>
      </c>
      <c r="D1103" s="22" t="s">
        <v>30</v>
      </c>
      <c r="E1103" s="22" t="s">
        <v>7328</v>
      </c>
      <c r="F1103" s="22" t="n">
        <v>2312375</v>
      </c>
      <c r="G1103" s="30" t="n">
        <v>46248</v>
      </c>
      <c r="H1103" s="22" t="n">
        <v>133277</v>
      </c>
      <c r="I1103" s="22" t="s">
        <v>8327</v>
      </c>
      <c r="J1103" s="31" t="n">
        <v>51.06</v>
      </c>
      <c r="K1103" s="26" t="n">
        <v>777.48</v>
      </c>
      <c r="L1103" s="26" t="n">
        <v>189.72</v>
      </c>
      <c r="M1103" s="22" t="s">
        <v>3926</v>
      </c>
      <c r="N1103" s="22" t="n">
        <f aca="false">MATCH(M1103,'Tabela Passaro'!$A$2:$A$1795,0)</f>
        <v>923</v>
      </c>
      <c r="O1103" s="22" t="str">
        <f aca="false">INDEX('Tabela Passaro'!$C$2:$C$1795,$N1103)</f>
        <v>JOAO PESSOA</v>
      </c>
      <c r="P1103" s="22" t="str">
        <f aca="false">INDEX('Tabela Passaro'!$B$2:$B$1795,$N1103)</f>
        <v>PB</v>
      </c>
      <c r="Q1103" s="22" t="n">
        <f aca="false">INDEX('Tabela Passaro'!$F$2:$F$1795,$N1103)</f>
        <v>9</v>
      </c>
      <c r="R1103" s="32" t="n">
        <f aca="false">IF(J1103&lt;=10,INDEX('Tabela Passaro'!$G$2:$G$1795,$N1103),IF(J1103&lt;=30,INDEX('Tabela Passaro'!$H$2:$H$1795,$N1103),IF(J1103&lt;=50,INDEX('Tabela Passaro'!$I$2:$I$1795,$N1103),IF(J1103&lt;=70,INDEX('Tabela Passaro'!$J$2:$J$1795,$N1103),IF(J1103&lt;=100,INDEX('Tabela Passaro'!$K$2:$K$1795,$N1103),INDEX('Tabela Passaro'!$K$2:$K$1795,$N1103)+(J1103-100)*INDEX('Tabela Passaro'!$L$2:$L$1795,$N1103))))))</f>
        <v>106.33</v>
      </c>
      <c r="S1103" s="32" t="n">
        <f aca="false">K1103*INDEX('Tabela Passaro'!$M$2:$M$1795,$N1103)</f>
        <v>3.8874</v>
      </c>
      <c r="T1103" s="32" t="n">
        <f aca="false">K1103*INDEX('Tabela Passaro'!$N$2:$N$1795,$N1103)</f>
        <v>1.55496</v>
      </c>
      <c r="U1103" s="32" t="n">
        <f aca="false">INDEX('Tabela Passaro'!$O$2:$O$1795,$N1103)</f>
        <v>5</v>
      </c>
      <c r="V1103" s="32" t="n">
        <f aca="false">ROUNDUP(J1103/INDEX('Tabela Passaro'!$Q$2:$Q$1795,$N1103),0)*INDEX('Tabela Passaro'!$P$2:$P$1795,$N1103)</f>
        <v>5</v>
      </c>
      <c r="W1103" s="32" t="n">
        <f aca="false">INDEX('Tabela Passaro'!$R$2:$R$1795,$N1103)</f>
        <v>30</v>
      </c>
      <c r="X1103" s="32" t="n">
        <f aca="false">ROUNDUP(J1103/INDEX('Tabela Passaro'!$T$2:$T$1795,$N1103),0)*INDEX('Tabela Passaro'!$S$2:$S$1795,$N1103)</f>
        <v>0</v>
      </c>
      <c r="Y1103" s="32" t="n">
        <f aca="false">INDEX('Tabela Passaro'!$U$2:$U$1795,$N1103)</f>
        <v>0</v>
      </c>
      <c r="Z1103" s="32" t="n">
        <f aca="false">INDEX('Tabela Passaro'!$V$2:$V$1795,$N1103)</f>
        <v>0</v>
      </c>
      <c r="AA1103" s="32" t="n">
        <f aca="false">SUM(R1103:Z1103)</f>
        <v>151.77236</v>
      </c>
      <c r="AB1103" s="33" t="n">
        <f aca="false">INDEX(Premissas!$B$5:$B$13,MATCH(A1103,Premissas!$A$5:$A$13,0))</f>
        <v>0.07</v>
      </c>
      <c r="AC1103" s="32" t="n">
        <f aca="false">AA1103/(1-AB1103)-AA1103</f>
        <v>11.4237260215054</v>
      </c>
      <c r="AD1103" s="32" t="n">
        <f aca="false">ROUND(AA1103+AC1103,2)</f>
        <v>163.2</v>
      </c>
      <c r="AE1103" s="32" t="n">
        <f aca="false">AD1103-L1103</f>
        <v>-26.52</v>
      </c>
      <c r="AF1103" s="34" t="n">
        <f aca="false">IF(L1103=0,0,AE1103/L1103)</f>
        <v>-0.139784946236559</v>
      </c>
      <c r="AG1103" s="22" t="str">
        <f aca="false">IF(AD1103&lt;L1103,"PASSARO","ATUAL")</f>
        <v>PASSARO</v>
      </c>
      <c r="AH1103" s="22" t="str">
        <f aca="false">IF(P1103&lt;&gt;A1103,"Faixa cadastrada como "&amp;P1103&amp;" na tabela; preço aplicado pela UF do CEP","")</f>
        <v/>
      </c>
      <c r="AI1103" s="26" t="n">
        <v>197.89</v>
      </c>
      <c r="AJ1103" s="22" t="str">
        <f aca="false">INDEX('Tabela Passaro'!$X$2:$X$1795,$N1103)</f>
        <v>CAPITAL</v>
      </c>
    </row>
    <row r="1104" customFormat="false" ht="15" hidden="false" customHeight="false" outlineLevel="0" collapsed="false">
      <c r="A1104" s="22" t="s">
        <v>19</v>
      </c>
      <c r="B1104" s="22" t="n">
        <v>1</v>
      </c>
      <c r="C1104" s="22" t="s">
        <v>131</v>
      </c>
      <c r="D1104" s="22" t="s">
        <v>30</v>
      </c>
      <c r="E1104" s="22" t="s">
        <v>7328</v>
      </c>
      <c r="F1104" s="22" t="n">
        <v>2312372</v>
      </c>
      <c r="G1104" s="30" t="n">
        <v>46248</v>
      </c>
      <c r="H1104" s="22" t="n">
        <v>133308</v>
      </c>
      <c r="I1104" s="22" t="s">
        <v>8328</v>
      </c>
      <c r="J1104" s="31" t="n">
        <v>51.06</v>
      </c>
      <c r="K1104" s="26" t="n">
        <v>747.85</v>
      </c>
      <c r="L1104" s="26" t="n">
        <v>189.49</v>
      </c>
      <c r="M1104" s="22" t="s">
        <v>3926</v>
      </c>
      <c r="N1104" s="22" t="n">
        <f aca="false">MATCH(M1104,'Tabela Passaro'!$A$2:$A$1795,0)</f>
        <v>923</v>
      </c>
      <c r="O1104" s="22" t="str">
        <f aca="false">INDEX('Tabela Passaro'!$C$2:$C$1795,$N1104)</f>
        <v>JOAO PESSOA</v>
      </c>
      <c r="P1104" s="22" t="str">
        <f aca="false">INDEX('Tabela Passaro'!$B$2:$B$1795,$N1104)</f>
        <v>PB</v>
      </c>
      <c r="Q1104" s="22" t="n">
        <f aca="false">INDEX('Tabela Passaro'!$F$2:$F$1795,$N1104)</f>
        <v>9</v>
      </c>
      <c r="R1104" s="32" t="n">
        <f aca="false">IF(J1104&lt;=10,INDEX('Tabela Passaro'!$G$2:$G$1795,$N1104),IF(J1104&lt;=30,INDEX('Tabela Passaro'!$H$2:$H$1795,$N1104),IF(J1104&lt;=50,INDEX('Tabela Passaro'!$I$2:$I$1795,$N1104),IF(J1104&lt;=70,INDEX('Tabela Passaro'!$J$2:$J$1795,$N1104),IF(J1104&lt;=100,INDEX('Tabela Passaro'!$K$2:$K$1795,$N1104),INDEX('Tabela Passaro'!$K$2:$K$1795,$N1104)+(J1104-100)*INDEX('Tabela Passaro'!$L$2:$L$1795,$N1104))))))</f>
        <v>106.33</v>
      </c>
      <c r="S1104" s="32" t="n">
        <f aca="false">K1104*INDEX('Tabela Passaro'!$M$2:$M$1795,$N1104)</f>
        <v>3.73925</v>
      </c>
      <c r="T1104" s="32" t="n">
        <f aca="false">K1104*INDEX('Tabela Passaro'!$N$2:$N$1795,$N1104)</f>
        <v>1.4957</v>
      </c>
      <c r="U1104" s="32" t="n">
        <f aca="false">INDEX('Tabela Passaro'!$O$2:$O$1795,$N1104)</f>
        <v>5</v>
      </c>
      <c r="V1104" s="32" t="n">
        <f aca="false">ROUNDUP(J1104/INDEX('Tabela Passaro'!$Q$2:$Q$1795,$N1104),0)*INDEX('Tabela Passaro'!$P$2:$P$1795,$N1104)</f>
        <v>5</v>
      </c>
      <c r="W1104" s="32" t="n">
        <f aca="false">INDEX('Tabela Passaro'!$R$2:$R$1795,$N1104)</f>
        <v>30</v>
      </c>
      <c r="X1104" s="32" t="n">
        <f aca="false">ROUNDUP(J1104/INDEX('Tabela Passaro'!$T$2:$T$1795,$N1104),0)*INDEX('Tabela Passaro'!$S$2:$S$1795,$N1104)</f>
        <v>0</v>
      </c>
      <c r="Y1104" s="32" t="n">
        <f aca="false">INDEX('Tabela Passaro'!$U$2:$U$1795,$N1104)</f>
        <v>0</v>
      </c>
      <c r="Z1104" s="32" t="n">
        <f aca="false">INDEX('Tabela Passaro'!$V$2:$V$1795,$N1104)</f>
        <v>0</v>
      </c>
      <c r="AA1104" s="32" t="n">
        <f aca="false">SUM(R1104:Z1104)</f>
        <v>151.56495</v>
      </c>
      <c r="AB1104" s="33" t="n">
        <f aca="false">INDEX(Premissas!$B$5:$B$13,MATCH(A1104,Premissas!$A$5:$A$13,0))</f>
        <v>0.07</v>
      </c>
      <c r="AC1104" s="32" t="n">
        <f aca="false">AA1104/(1-AB1104)-AA1104</f>
        <v>11.408114516129</v>
      </c>
      <c r="AD1104" s="32" t="n">
        <f aca="false">ROUND(AA1104+AC1104,2)</f>
        <v>162.97</v>
      </c>
      <c r="AE1104" s="32" t="n">
        <f aca="false">AD1104-L1104</f>
        <v>-26.52</v>
      </c>
      <c r="AF1104" s="34" t="n">
        <f aca="false">IF(L1104=0,0,AE1104/L1104)</f>
        <v>-0.139954615019262</v>
      </c>
      <c r="AG1104" s="22" t="str">
        <f aca="false">IF(AD1104&lt;L1104,"PASSARO","ATUAL")</f>
        <v>PASSARO</v>
      </c>
      <c r="AH1104" s="22" t="str">
        <f aca="false">IF(P1104&lt;&gt;A1104,"Faixa cadastrada como "&amp;P1104&amp;" na tabela; preço aplicado pela UF do CEP","")</f>
        <v/>
      </c>
      <c r="AI1104" s="26" t="n">
        <v>197.6</v>
      </c>
      <c r="AJ1104" s="22" t="str">
        <f aca="false">INDEX('Tabela Passaro'!$X$2:$X$1795,$N1104)</f>
        <v>CAPITAL</v>
      </c>
    </row>
    <row r="1105" customFormat="false" ht="15" hidden="false" customHeight="false" outlineLevel="0" collapsed="false">
      <c r="A1105" s="22" t="s">
        <v>19</v>
      </c>
      <c r="B1105" s="22" t="n">
        <v>1</v>
      </c>
      <c r="C1105" s="22" t="s">
        <v>131</v>
      </c>
      <c r="D1105" s="22" t="s">
        <v>30</v>
      </c>
      <c r="E1105" s="22" t="s">
        <v>7328</v>
      </c>
      <c r="F1105" s="22" t="n">
        <v>2312454</v>
      </c>
      <c r="G1105" s="30" t="n">
        <v>46248</v>
      </c>
      <c r="H1105" s="22" t="n">
        <v>133356</v>
      </c>
      <c r="I1105" s="22" t="s">
        <v>8329</v>
      </c>
      <c r="J1105" s="31" t="n">
        <v>43.5</v>
      </c>
      <c r="K1105" s="26" t="n">
        <v>915.45</v>
      </c>
      <c r="L1105" s="26" t="n">
        <v>161.28</v>
      </c>
      <c r="M1105" s="22" t="s">
        <v>3926</v>
      </c>
      <c r="N1105" s="22" t="n">
        <f aca="false">MATCH(M1105,'Tabela Passaro'!$A$2:$A$1795,0)</f>
        <v>923</v>
      </c>
      <c r="O1105" s="22" t="str">
        <f aca="false">INDEX('Tabela Passaro'!$C$2:$C$1795,$N1105)</f>
        <v>JOAO PESSOA</v>
      </c>
      <c r="P1105" s="22" t="str">
        <f aca="false">INDEX('Tabela Passaro'!$B$2:$B$1795,$N1105)</f>
        <v>PB</v>
      </c>
      <c r="Q1105" s="22" t="n">
        <f aca="false">INDEX('Tabela Passaro'!$F$2:$F$1795,$N1105)</f>
        <v>9</v>
      </c>
      <c r="R1105" s="32" t="n">
        <f aca="false">IF(J1105&lt;=10,INDEX('Tabela Passaro'!$G$2:$G$1795,$N1105),IF(J1105&lt;=30,INDEX('Tabela Passaro'!$H$2:$H$1795,$N1105),IF(J1105&lt;=50,INDEX('Tabela Passaro'!$I$2:$I$1795,$N1105),IF(J1105&lt;=70,INDEX('Tabela Passaro'!$J$2:$J$1795,$N1105),IF(J1105&lt;=100,INDEX('Tabela Passaro'!$K$2:$K$1795,$N1105),INDEX('Tabela Passaro'!$K$2:$K$1795,$N1105)+(J1105-100)*INDEX('Tabela Passaro'!$L$2:$L$1795,$N1105))))))</f>
        <v>96.32</v>
      </c>
      <c r="S1105" s="32" t="n">
        <f aca="false">K1105*INDEX('Tabela Passaro'!$M$2:$M$1795,$N1105)</f>
        <v>4.57725</v>
      </c>
      <c r="T1105" s="32" t="n">
        <f aca="false">K1105*INDEX('Tabela Passaro'!$N$2:$N$1795,$N1105)</f>
        <v>1.8309</v>
      </c>
      <c r="U1105" s="32" t="n">
        <f aca="false">INDEX('Tabela Passaro'!$O$2:$O$1795,$N1105)</f>
        <v>5</v>
      </c>
      <c r="V1105" s="32" t="n">
        <f aca="false">ROUNDUP(J1105/INDEX('Tabela Passaro'!$Q$2:$Q$1795,$N1105),0)*INDEX('Tabela Passaro'!$P$2:$P$1795,$N1105)</f>
        <v>5</v>
      </c>
      <c r="W1105" s="32" t="n">
        <f aca="false">INDEX('Tabela Passaro'!$R$2:$R$1795,$N1105)</f>
        <v>30</v>
      </c>
      <c r="X1105" s="32" t="n">
        <f aca="false">ROUNDUP(J1105/INDEX('Tabela Passaro'!$T$2:$T$1795,$N1105),0)*INDEX('Tabela Passaro'!$S$2:$S$1795,$N1105)</f>
        <v>0</v>
      </c>
      <c r="Y1105" s="32" t="n">
        <f aca="false">INDEX('Tabela Passaro'!$U$2:$U$1795,$N1105)</f>
        <v>0</v>
      </c>
      <c r="Z1105" s="32" t="n">
        <f aca="false">INDEX('Tabela Passaro'!$V$2:$V$1795,$N1105)</f>
        <v>0</v>
      </c>
      <c r="AA1105" s="32" t="n">
        <f aca="false">SUM(R1105:Z1105)</f>
        <v>142.72815</v>
      </c>
      <c r="AB1105" s="33" t="n">
        <f aca="false">INDEX(Premissas!$B$5:$B$13,MATCH(A1105,Premissas!$A$5:$A$13,0))</f>
        <v>0.07</v>
      </c>
      <c r="AC1105" s="32" t="n">
        <f aca="false">AA1105/(1-AB1105)-AA1105</f>
        <v>10.7429790322581</v>
      </c>
      <c r="AD1105" s="32" t="n">
        <f aca="false">ROUND(AA1105+AC1105,2)</f>
        <v>153.47</v>
      </c>
      <c r="AE1105" s="32" t="n">
        <f aca="false">AD1105-L1105</f>
        <v>-7.81</v>
      </c>
      <c r="AF1105" s="34" t="n">
        <f aca="false">IF(L1105=0,0,AE1105/L1105)</f>
        <v>-0.0484250992063492</v>
      </c>
      <c r="AG1105" s="22" t="str">
        <f aca="false">IF(AD1105&lt;L1105,"PASSARO","ATUAL")</f>
        <v>PASSARO</v>
      </c>
      <c r="AH1105" s="22" t="str">
        <f aca="false">IF(P1105&lt;&gt;A1105,"Faixa cadastrada como "&amp;P1105&amp;" na tabela; preço aplicado pela UF do CEP","")</f>
        <v/>
      </c>
      <c r="AI1105" s="26" t="n">
        <v>182.84</v>
      </c>
      <c r="AJ1105" s="22" t="str">
        <f aca="false">INDEX('Tabela Passaro'!$X$2:$X$1795,$N1105)</f>
        <v>CAPITAL</v>
      </c>
    </row>
    <row r="1106" customFormat="false" ht="15" hidden="false" customHeight="false" outlineLevel="0" collapsed="false">
      <c r="A1106" s="22" t="s">
        <v>19</v>
      </c>
      <c r="B1106" s="22" t="n">
        <v>1</v>
      </c>
      <c r="C1106" s="22" t="s">
        <v>131</v>
      </c>
      <c r="D1106" s="22" t="s">
        <v>30</v>
      </c>
      <c r="E1106" s="22" t="s">
        <v>7326</v>
      </c>
      <c r="F1106" s="22" t="n">
        <v>525021</v>
      </c>
      <c r="G1106" s="30" t="n">
        <v>46248</v>
      </c>
      <c r="H1106" s="22" t="n">
        <v>624794</v>
      </c>
      <c r="I1106" s="22" t="s">
        <v>8330</v>
      </c>
      <c r="J1106" s="31" t="n">
        <v>34.4</v>
      </c>
      <c r="K1106" s="26" t="n">
        <v>685.59</v>
      </c>
      <c r="L1106" s="26" t="n">
        <v>180.53</v>
      </c>
      <c r="M1106" s="22" t="s">
        <v>3926</v>
      </c>
      <c r="N1106" s="22" t="n">
        <f aca="false">MATCH(M1106,'Tabela Passaro'!$A$2:$A$1795,0)</f>
        <v>923</v>
      </c>
      <c r="O1106" s="22" t="str">
        <f aca="false">INDEX('Tabela Passaro'!$C$2:$C$1795,$N1106)</f>
        <v>JOAO PESSOA</v>
      </c>
      <c r="P1106" s="22" t="str">
        <f aca="false">INDEX('Tabela Passaro'!$B$2:$B$1795,$N1106)</f>
        <v>PB</v>
      </c>
      <c r="Q1106" s="22" t="n">
        <f aca="false">INDEX('Tabela Passaro'!$F$2:$F$1795,$N1106)</f>
        <v>9</v>
      </c>
      <c r="R1106" s="32" t="n">
        <f aca="false">IF(J1106&lt;=10,INDEX('Tabela Passaro'!$G$2:$G$1795,$N1106),IF(J1106&lt;=30,INDEX('Tabela Passaro'!$H$2:$H$1795,$N1106),IF(J1106&lt;=50,INDEX('Tabela Passaro'!$I$2:$I$1795,$N1106),IF(J1106&lt;=70,INDEX('Tabela Passaro'!$J$2:$J$1795,$N1106),IF(J1106&lt;=100,INDEX('Tabela Passaro'!$K$2:$K$1795,$N1106),INDEX('Tabela Passaro'!$K$2:$K$1795,$N1106)+(J1106-100)*INDEX('Tabela Passaro'!$L$2:$L$1795,$N1106))))))</f>
        <v>96.32</v>
      </c>
      <c r="S1106" s="32" t="n">
        <f aca="false">K1106*INDEX('Tabela Passaro'!$M$2:$M$1795,$N1106)</f>
        <v>3.42795</v>
      </c>
      <c r="T1106" s="32" t="n">
        <f aca="false">K1106*INDEX('Tabela Passaro'!$N$2:$N$1795,$N1106)</f>
        <v>1.37118</v>
      </c>
      <c r="U1106" s="32" t="n">
        <f aca="false">INDEX('Tabela Passaro'!$O$2:$O$1795,$N1106)</f>
        <v>5</v>
      </c>
      <c r="V1106" s="32" t="n">
        <f aca="false">ROUNDUP(J1106/INDEX('Tabela Passaro'!$Q$2:$Q$1795,$N1106),0)*INDEX('Tabela Passaro'!$P$2:$P$1795,$N1106)</f>
        <v>5</v>
      </c>
      <c r="W1106" s="32" t="n">
        <f aca="false">INDEX('Tabela Passaro'!$R$2:$R$1795,$N1106)</f>
        <v>30</v>
      </c>
      <c r="X1106" s="32" t="n">
        <f aca="false">ROUNDUP(J1106/INDEX('Tabela Passaro'!$T$2:$T$1795,$N1106),0)*INDEX('Tabela Passaro'!$S$2:$S$1795,$N1106)</f>
        <v>0</v>
      </c>
      <c r="Y1106" s="32" t="n">
        <f aca="false">INDEX('Tabela Passaro'!$U$2:$U$1795,$N1106)</f>
        <v>0</v>
      </c>
      <c r="Z1106" s="32" t="n">
        <f aca="false">INDEX('Tabela Passaro'!$V$2:$V$1795,$N1106)</f>
        <v>0</v>
      </c>
      <c r="AA1106" s="32" t="n">
        <f aca="false">SUM(R1106:Z1106)</f>
        <v>141.11913</v>
      </c>
      <c r="AB1106" s="33" t="n">
        <f aca="false">INDEX(Premissas!$B$5:$B$13,MATCH(A1106,Premissas!$A$5:$A$13,0))</f>
        <v>0.07</v>
      </c>
      <c r="AC1106" s="32" t="n">
        <f aca="false">AA1106/(1-AB1106)-AA1106</f>
        <v>10.62187</v>
      </c>
      <c r="AD1106" s="32" t="n">
        <f aca="false">ROUND(AA1106+AC1106,2)</f>
        <v>151.74</v>
      </c>
      <c r="AE1106" s="32" t="n">
        <f aca="false">AD1106-L1106</f>
        <v>-28.79</v>
      </c>
      <c r="AF1106" s="34" t="n">
        <f aca="false">IF(L1106=0,0,AE1106/L1106)</f>
        <v>-0.159474879521409</v>
      </c>
      <c r="AG1106" s="22" t="str">
        <f aca="false">IF(AD1106&lt;L1106,"PASSARO","ATUAL")</f>
        <v>PASSARO</v>
      </c>
      <c r="AH1106" s="22" t="str">
        <f aca="false">IF(P1106&lt;&gt;A1106,"Faixa cadastrada como "&amp;P1106&amp;" na tabela; preço aplicado pela UF do CEP","")</f>
        <v/>
      </c>
      <c r="AI1106" s="26" t="n">
        <v>176.26</v>
      </c>
      <c r="AJ1106" s="22" t="str">
        <f aca="false">INDEX('Tabela Passaro'!$X$2:$X$1795,$N1106)</f>
        <v>CAPITAL</v>
      </c>
    </row>
    <row r="1107" customFormat="false" ht="15" hidden="false" customHeight="false" outlineLevel="0" collapsed="false">
      <c r="A1107" s="22" t="s">
        <v>19</v>
      </c>
      <c r="B1107" s="22" t="n">
        <v>1</v>
      </c>
      <c r="C1107" s="22" t="s">
        <v>131</v>
      </c>
      <c r="D1107" s="22" t="s">
        <v>30</v>
      </c>
      <c r="E1107" s="22" t="s">
        <v>7326</v>
      </c>
      <c r="F1107" s="22" t="n">
        <v>525032</v>
      </c>
      <c r="G1107" s="30" t="n">
        <v>46248</v>
      </c>
      <c r="H1107" s="22" t="n">
        <v>624803</v>
      </c>
      <c r="I1107" s="22" t="s">
        <v>8331</v>
      </c>
      <c r="J1107" s="31" t="n">
        <v>33</v>
      </c>
      <c r="K1107" s="26" t="n">
        <v>625.22</v>
      </c>
      <c r="L1107" s="26" t="n">
        <v>180.02</v>
      </c>
      <c r="M1107" s="22" t="s">
        <v>3926</v>
      </c>
      <c r="N1107" s="22" t="n">
        <f aca="false">MATCH(M1107,'Tabela Passaro'!$A$2:$A$1795,0)</f>
        <v>923</v>
      </c>
      <c r="O1107" s="22" t="str">
        <f aca="false">INDEX('Tabela Passaro'!$C$2:$C$1795,$N1107)</f>
        <v>JOAO PESSOA</v>
      </c>
      <c r="P1107" s="22" t="str">
        <f aca="false">INDEX('Tabela Passaro'!$B$2:$B$1795,$N1107)</f>
        <v>PB</v>
      </c>
      <c r="Q1107" s="22" t="n">
        <f aca="false">INDEX('Tabela Passaro'!$F$2:$F$1795,$N1107)</f>
        <v>9</v>
      </c>
      <c r="R1107" s="32" t="n">
        <f aca="false">IF(J1107&lt;=10,INDEX('Tabela Passaro'!$G$2:$G$1795,$N1107),IF(J1107&lt;=30,INDEX('Tabela Passaro'!$H$2:$H$1795,$N1107),IF(J1107&lt;=50,INDEX('Tabela Passaro'!$I$2:$I$1795,$N1107),IF(J1107&lt;=70,INDEX('Tabela Passaro'!$J$2:$J$1795,$N1107),IF(J1107&lt;=100,INDEX('Tabela Passaro'!$K$2:$K$1795,$N1107),INDEX('Tabela Passaro'!$K$2:$K$1795,$N1107)+(J1107-100)*INDEX('Tabela Passaro'!$L$2:$L$1795,$N1107))))))</f>
        <v>96.32</v>
      </c>
      <c r="S1107" s="32" t="n">
        <f aca="false">K1107*INDEX('Tabela Passaro'!$M$2:$M$1795,$N1107)</f>
        <v>3.1261</v>
      </c>
      <c r="T1107" s="32" t="n">
        <f aca="false">K1107*INDEX('Tabela Passaro'!$N$2:$N$1795,$N1107)</f>
        <v>1.25044</v>
      </c>
      <c r="U1107" s="32" t="n">
        <f aca="false">INDEX('Tabela Passaro'!$O$2:$O$1795,$N1107)</f>
        <v>5</v>
      </c>
      <c r="V1107" s="32" t="n">
        <f aca="false">ROUNDUP(J1107/INDEX('Tabela Passaro'!$Q$2:$Q$1795,$N1107),0)*INDEX('Tabela Passaro'!$P$2:$P$1795,$N1107)</f>
        <v>5</v>
      </c>
      <c r="W1107" s="32" t="n">
        <f aca="false">INDEX('Tabela Passaro'!$R$2:$R$1795,$N1107)</f>
        <v>30</v>
      </c>
      <c r="X1107" s="32" t="n">
        <f aca="false">ROUNDUP(J1107/INDEX('Tabela Passaro'!$T$2:$T$1795,$N1107),0)*INDEX('Tabela Passaro'!$S$2:$S$1795,$N1107)</f>
        <v>0</v>
      </c>
      <c r="Y1107" s="32" t="n">
        <f aca="false">INDEX('Tabela Passaro'!$U$2:$U$1795,$N1107)</f>
        <v>0</v>
      </c>
      <c r="Z1107" s="32" t="n">
        <f aca="false">INDEX('Tabela Passaro'!$V$2:$V$1795,$N1107)</f>
        <v>0</v>
      </c>
      <c r="AA1107" s="32" t="n">
        <f aca="false">SUM(R1107:Z1107)</f>
        <v>140.69654</v>
      </c>
      <c r="AB1107" s="33" t="n">
        <f aca="false">INDEX(Premissas!$B$5:$B$13,MATCH(A1107,Premissas!$A$5:$A$13,0))</f>
        <v>0.07</v>
      </c>
      <c r="AC1107" s="32" t="n">
        <f aca="false">AA1107/(1-AB1107)-AA1107</f>
        <v>10.5900621505376</v>
      </c>
      <c r="AD1107" s="32" t="n">
        <f aca="false">ROUND(AA1107+AC1107,2)</f>
        <v>151.29</v>
      </c>
      <c r="AE1107" s="32" t="n">
        <f aca="false">AD1107-L1107</f>
        <v>-28.73</v>
      </c>
      <c r="AF1107" s="34" t="n">
        <f aca="false">IF(L1107=0,0,AE1107/L1107)</f>
        <v>-0.159593378513499</v>
      </c>
      <c r="AG1107" s="22" t="str">
        <f aca="false">IF(AD1107&lt;L1107,"PASSARO","ATUAL")</f>
        <v>PASSARO</v>
      </c>
      <c r="AH1107" s="22" t="str">
        <f aca="false">IF(P1107&lt;&gt;A1107,"Faixa cadastrada como "&amp;P1107&amp;" na tabela; preço aplicado pela UF do CEP","")</f>
        <v/>
      </c>
      <c r="AI1107" s="26" t="n">
        <v>174.71</v>
      </c>
      <c r="AJ1107" s="22" t="str">
        <f aca="false">INDEX('Tabela Passaro'!$X$2:$X$1795,$N1107)</f>
        <v>CAPITAL</v>
      </c>
    </row>
    <row r="1108" customFormat="false" ht="15" hidden="false" customHeight="false" outlineLevel="0" collapsed="false">
      <c r="A1108" s="22" t="s">
        <v>19</v>
      </c>
      <c r="B1108" s="22" t="n">
        <v>1</v>
      </c>
      <c r="C1108" s="22" t="s">
        <v>131</v>
      </c>
      <c r="D1108" s="22" t="s">
        <v>30</v>
      </c>
      <c r="E1108" s="22" t="s">
        <v>20</v>
      </c>
      <c r="F1108" s="22" t="n">
        <v>839333</v>
      </c>
      <c r="G1108" s="30" t="n">
        <v>46251</v>
      </c>
      <c r="H1108" s="22" t="n">
        <v>32522</v>
      </c>
      <c r="I1108" s="22" t="s">
        <v>8332</v>
      </c>
      <c r="J1108" s="31" t="n">
        <v>63</v>
      </c>
      <c r="K1108" s="26" t="n">
        <v>989.49</v>
      </c>
      <c r="L1108" s="26" t="n">
        <v>155.16</v>
      </c>
      <c r="M1108" s="22" t="s">
        <v>3926</v>
      </c>
      <c r="N1108" s="22" t="n">
        <f aca="false">MATCH(M1108,'Tabela Passaro'!$A$2:$A$1795,0)</f>
        <v>923</v>
      </c>
      <c r="O1108" s="22" t="str">
        <f aca="false">INDEX('Tabela Passaro'!$C$2:$C$1795,$N1108)</f>
        <v>JOAO PESSOA</v>
      </c>
      <c r="P1108" s="22" t="str">
        <f aca="false">INDEX('Tabela Passaro'!$B$2:$B$1795,$N1108)</f>
        <v>PB</v>
      </c>
      <c r="Q1108" s="22" t="n">
        <f aca="false">INDEX('Tabela Passaro'!$F$2:$F$1795,$N1108)</f>
        <v>9</v>
      </c>
      <c r="R1108" s="32" t="n">
        <f aca="false">IF(J1108&lt;=10,INDEX('Tabela Passaro'!$G$2:$G$1795,$N1108),IF(J1108&lt;=30,INDEX('Tabela Passaro'!$H$2:$H$1795,$N1108),IF(J1108&lt;=50,INDEX('Tabela Passaro'!$I$2:$I$1795,$N1108),IF(J1108&lt;=70,INDEX('Tabela Passaro'!$J$2:$J$1795,$N1108),IF(J1108&lt;=100,INDEX('Tabela Passaro'!$K$2:$K$1795,$N1108),INDEX('Tabela Passaro'!$K$2:$K$1795,$N1108)+(J1108-100)*INDEX('Tabela Passaro'!$L$2:$L$1795,$N1108))))))</f>
        <v>106.33</v>
      </c>
      <c r="S1108" s="32" t="n">
        <f aca="false">K1108*INDEX('Tabela Passaro'!$M$2:$M$1795,$N1108)</f>
        <v>4.94745</v>
      </c>
      <c r="T1108" s="32" t="n">
        <f aca="false">K1108*INDEX('Tabela Passaro'!$N$2:$N$1795,$N1108)</f>
        <v>1.97898</v>
      </c>
      <c r="U1108" s="32" t="n">
        <f aca="false">INDEX('Tabela Passaro'!$O$2:$O$1795,$N1108)</f>
        <v>5</v>
      </c>
      <c r="V1108" s="32" t="n">
        <f aca="false">ROUNDUP(J1108/INDEX('Tabela Passaro'!$Q$2:$Q$1795,$N1108),0)*INDEX('Tabela Passaro'!$P$2:$P$1795,$N1108)</f>
        <v>5</v>
      </c>
      <c r="W1108" s="32" t="n">
        <f aca="false">INDEX('Tabela Passaro'!$R$2:$R$1795,$N1108)</f>
        <v>30</v>
      </c>
      <c r="X1108" s="32" t="n">
        <f aca="false">ROUNDUP(J1108/INDEX('Tabela Passaro'!$T$2:$T$1795,$N1108),0)*INDEX('Tabela Passaro'!$S$2:$S$1795,$N1108)</f>
        <v>0</v>
      </c>
      <c r="Y1108" s="32" t="n">
        <f aca="false">INDEX('Tabela Passaro'!$U$2:$U$1795,$N1108)</f>
        <v>0</v>
      </c>
      <c r="Z1108" s="32" t="n">
        <f aca="false">INDEX('Tabela Passaro'!$V$2:$V$1795,$N1108)</f>
        <v>0</v>
      </c>
      <c r="AA1108" s="32" t="n">
        <f aca="false">SUM(R1108:Z1108)</f>
        <v>153.25643</v>
      </c>
      <c r="AB1108" s="33" t="n">
        <f aca="false">INDEX(Premissas!$B$5:$B$13,MATCH(A1108,Premissas!$A$5:$A$13,0))</f>
        <v>0.07</v>
      </c>
      <c r="AC1108" s="32" t="n">
        <f aca="false">AA1108/(1-AB1108)-AA1108</f>
        <v>11.5354302150538</v>
      </c>
      <c r="AD1108" s="32" t="n">
        <f aca="false">ROUND(AA1108+AC1108,2)</f>
        <v>164.79</v>
      </c>
      <c r="AE1108" s="32" t="n">
        <f aca="false">AD1108-L1108</f>
        <v>9.63</v>
      </c>
      <c r="AF1108" s="34" t="n">
        <f aca="false">IF(L1108=0,0,AE1108/L1108)</f>
        <v>0.0620649651972158</v>
      </c>
      <c r="AG1108" s="22" t="str">
        <f aca="false">IF(AD1108&lt;L1108,"PASSARO","ATUAL")</f>
        <v>ATUAL</v>
      </c>
      <c r="AH1108" s="22" t="str">
        <f aca="false">IF(P1108&lt;&gt;A1108,"Faixa cadastrada como "&amp;P1108&amp;" na tabela; preço aplicado pela UF do CEP","")</f>
        <v/>
      </c>
      <c r="AI1108" s="26" t="n">
        <v>205.26</v>
      </c>
      <c r="AJ1108" s="22" t="str">
        <f aca="false">INDEX('Tabela Passaro'!$X$2:$X$1795,$N1108)</f>
        <v>CAPITAL</v>
      </c>
    </row>
    <row r="1109" customFormat="false" ht="15" hidden="false" customHeight="false" outlineLevel="0" collapsed="false">
      <c r="A1109" s="22" t="s">
        <v>19</v>
      </c>
      <c r="B1109" s="22" t="n">
        <v>1</v>
      </c>
      <c r="C1109" s="22" t="s">
        <v>131</v>
      </c>
      <c r="D1109" s="22" t="s">
        <v>30</v>
      </c>
      <c r="E1109" s="22" t="s">
        <v>20</v>
      </c>
      <c r="F1109" s="22" t="n">
        <v>839342</v>
      </c>
      <c r="G1109" s="30" t="n">
        <v>46251</v>
      </c>
      <c r="H1109" s="22" t="n">
        <v>32529</v>
      </c>
      <c r="I1109" s="22" t="s">
        <v>8333</v>
      </c>
      <c r="J1109" s="31" t="n">
        <v>21.4</v>
      </c>
      <c r="K1109" s="26" t="n">
        <v>420.66</v>
      </c>
      <c r="L1109" s="26" t="n">
        <v>104.48</v>
      </c>
      <c r="M1109" s="22" t="s">
        <v>3926</v>
      </c>
      <c r="N1109" s="22" t="n">
        <f aca="false">MATCH(M1109,'Tabela Passaro'!$A$2:$A$1795,0)</f>
        <v>923</v>
      </c>
      <c r="O1109" s="22" t="str">
        <f aca="false">INDEX('Tabela Passaro'!$C$2:$C$1795,$N1109)</f>
        <v>JOAO PESSOA</v>
      </c>
      <c r="P1109" s="22" t="str">
        <f aca="false">INDEX('Tabela Passaro'!$B$2:$B$1795,$N1109)</f>
        <v>PB</v>
      </c>
      <c r="Q1109" s="22" t="n">
        <f aca="false">INDEX('Tabela Passaro'!$F$2:$F$1795,$N1109)</f>
        <v>9</v>
      </c>
      <c r="R1109" s="32" t="n">
        <f aca="false">IF(J1109&lt;=10,INDEX('Tabela Passaro'!$G$2:$G$1795,$N1109),IF(J1109&lt;=30,INDEX('Tabela Passaro'!$H$2:$H$1795,$N1109),IF(J1109&lt;=50,INDEX('Tabela Passaro'!$I$2:$I$1795,$N1109),IF(J1109&lt;=70,INDEX('Tabela Passaro'!$J$2:$J$1795,$N1109),IF(J1109&lt;=100,INDEX('Tabela Passaro'!$K$2:$K$1795,$N1109),INDEX('Tabela Passaro'!$K$2:$K$1795,$N1109)+(J1109-100)*INDEX('Tabela Passaro'!$L$2:$L$1795,$N1109))))))</f>
        <v>76.28</v>
      </c>
      <c r="S1109" s="32" t="n">
        <f aca="false">K1109*INDEX('Tabela Passaro'!$M$2:$M$1795,$N1109)</f>
        <v>2.1033</v>
      </c>
      <c r="T1109" s="32" t="n">
        <f aca="false">K1109*INDEX('Tabela Passaro'!$N$2:$N$1795,$N1109)</f>
        <v>0.84132</v>
      </c>
      <c r="U1109" s="32" t="n">
        <f aca="false">INDEX('Tabela Passaro'!$O$2:$O$1795,$N1109)</f>
        <v>5</v>
      </c>
      <c r="V1109" s="32" t="n">
        <f aca="false">ROUNDUP(J1109/INDEX('Tabela Passaro'!$Q$2:$Q$1795,$N1109),0)*INDEX('Tabela Passaro'!$P$2:$P$1795,$N1109)</f>
        <v>5</v>
      </c>
      <c r="W1109" s="32" t="n">
        <f aca="false">INDEX('Tabela Passaro'!$R$2:$R$1795,$N1109)</f>
        <v>30</v>
      </c>
      <c r="X1109" s="32" t="n">
        <f aca="false">ROUNDUP(J1109/INDEX('Tabela Passaro'!$T$2:$T$1795,$N1109),0)*INDEX('Tabela Passaro'!$S$2:$S$1795,$N1109)</f>
        <v>0</v>
      </c>
      <c r="Y1109" s="32" t="n">
        <f aca="false">INDEX('Tabela Passaro'!$U$2:$U$1795,$N1109)</f>
        <v>0</v>
      </c>
      <c r="Z1109" s="32" t="n">
        <f aca="false">INDEX('Tabela Passaro'!$V$2:$V$1795,$N1109)</f>
        <v>0</v>
      </c>
      <c r="AA1109" s="32" t="n">
        <f aca="false">SUM(R1109:Z1109)</f>
        <v>119.22462</v>
      </c>
      <c r="AB1109" s="33" t="n">
        <f aca="false">INDEX(Premissas!$B$5:$B$13,MATCH(A1109,Premissas!$A$5:$A$13,0))</f>
        <v>0.07</v>
      </c>
      <c r="AC1109" s="32" t="n">
        <f aca="false">AA1109/(1-AB1109)-AA1109</f>
        <v>8.97389612903227</v>
      </c>
      <c r="AD1109" s="32" t="n">
        <f aca="false">ROUND(AA1109+AC1109,2)</f>
        <v>128.2</v>
      </c>
      <c r="AE1109" s="32" t="n">
        <f aca="false">AD1109-L1109</f>
        <v>23.72</v>
      </c>
      <c r="AF1109" s="34" t="n">
        <f aca="false">IF(L1109=0,0,AE1109/L1109)</f>
        <v>0.227029096477795</v>
      </c>
      <c r="AG1109" s="22" t="str">
        <f aca="false">IF(AD1109&lt;L1109,"PASSARO","ATUAL")</f>
        <v>ATUAL</v>
      </c>
      <c r="AH1109" s="22" t="str">
        <f aca="false">IF(P1109&lt;&gt;A1109,"Faixa cadastrada como "&amp;P1109&amp;" na tabela; preço aplicado pela UF do CEP","")</f>
        <v/>
      </c>
      <c r="AI1109" s="26" t="n">
        <v>142.35</v>
      </c>
      <c r="AJ1109" s="22" t="str">
        <f aca="false">INDEX('Tabela Passaro'!$X$2:$X$1795,$N1109)</f>
        <v>CAPITAL</v>
      </c>
    </row>
    <row r="1110" customFormat="false" ht="15" hidden="false" customHeight="false" outlineLevel="0" collapsed="false">
      <c r="A1110" s="22" t="s">
        <v>19</v>
      </c>
      <c r="B1110" s="22" t="n">
        <v>1</v>
      </c>
      <c r="C1110" s="22" t="s">
        <v>131</v>
      </c>
      <c r="D1110" s="22" t="s">
        <v>30</v>
      </c>
      <c r="E1110" s="22" t="s">
        <v>7328</v>
      </c>
      <c r="F1110" s="22" t="n">
        <v>2313195</v>
      </c>
      <c r="G1110" s="30" t="n">
        <v>46251</v>
      </c>
      <c r="H1110" s="22" t="n">
        <v>133614</v>
      </c>
      <c r="I1110" s="22" t="s">
        <v>8334</v>
      </c>
      <c r="J1110" s="31" t="n">
        <v>35</v>
      </c>
      <c r="K1110" s="26" t="n">
        <v>675.51</v>
      </c>
      <c r="L1110" s="26" t="n">
        <v>159.38</v>
      </c>
      <c r="M1110" s="22" t="s">
        <v>3926</v>
      </c>
      <c r="N1110" s="22" t="n">
        <f aca="false">MATCH(M1110,'Tabela Passaro'!$A$2:$A$1795,0)</f>
        <v>923</v>
      </c>
      <c r="O1110" s="22" t="str">
        <f aca="false">INDEX('Tabela Passaro'!$C$2:$C$1795,$N1110)</f>
        <v>JOAO PESSOA</v>
      </c>
      <c r="P1110" s="22" t="str">
        <f aca="false">INDEX('Tabela Passaro'!$B$2:$B$1795,$N1110)</f>
        <v>PB</v>
      </c>
      <c r="Q1110" s="22" t="n">
        <f aca="false">INDEX('Tabela Passaro'!$F$2:$F$1795,$N1110)</f>
        <v>9</v>
      </c>
      <c r="R1110" s="32" t="n">
        <f aca="false">IF(J1110&lt;=10,INDEX('Tabela Passaro'!$G$2:$G$1795,$N1110),IF(J1110&lt;=30,INDEX('Tabela Passaro'!$H$2:$H$1795,$N1110),IF(J1110&lt;=50,INDEX('Tabela Passaro'!$I$2:$I$1795,$N1110),IF(J1110&lt;=70,INDEX('Tabela Passaro'!$J$2:$J$1795,$N1110),IF(J1110&lt;=100,INDEX('Tabela Passaro'!$K$2:$K$1795,$N1110),INDEX('Tabela Passaro'!$K$2:$K$1795,$N1110)+(J1110-100)*INDEX('Tabela Passaro'!$L$2:$L$1795,$N1110))))))</f>
        <v>96.32</v>
      </c>
      <c r="S1110" s="32" t="n">
        <f aca="false">K1110*INDEX('Tabela Passaro'!$M$2:$M$1795,$N1110)</f>
        <v>3.37755</v>
      </c>
      <c r="T1110" s="32" t="n">
        <f aca="false">K1110*INDEX('Tabela Passaro'!$N$2:$N$1795,$N1110)</f>
        <v>1.35102</v>
      </c>
      <c r="U1110" s="32" t="n">
        <f aca="false">INDEX('Tabela Passaro'!$O$2:$O$1795,$N1110)</f>
        <v>5</v>
      </c>
      <c r="V1110" s="32" t="n">
        <f aca="false">ROUNDUP(J1110/INDEX('Tabela Passaro'!$Q$2:$Q$1795,$N1110),0)*INDEX('Tabela Passaro'!$P$2:$P$1795,$N1110)</f>
        <v>5</v>
      </c>
      <c r="W1110" s="32" t="n">
        <f aca="false">INDEX('Tabela Passaro'!$R$2:$R$1795,$N1110)</f>
        <v>30</v>
      </c>
      <c r="X1110" s="32" t="n">
        <f aca="false">ROUNDUP(J1110/INDEX('Tabela Passaro'!$T$2:$T$1795,$N1110),0)*INDEX('Tabela Passaro'!$S$2:$S$1795,$N1110)</f>
        <v>0</v>
      </c>
      <c r="Y1110" s="32" t="n">
        <f aca="false">INDEX('Tabela Passaro'!$U$2:$U$1795,$N1110)</f>
        <v>0</v>
      </c>
      <c r="Z1110" s="32" t="n">
        <f aca="false">INDEX('Tabela Passaro'!$V$2:$V$1795,$N1110)</f>
        <v>0</v>
      </c>
      <c r="AA1110" s="32" t="n">
        <f aca="false">SUM(R1110:Z1110)</f>
        <v>141.04857</v>
      </c>
      <c r="AB1110" s="33" t="n">
        <f aca="false">INDEX(Premissas!$B$5:$B$13,MATCH(A1110,Premissas!$A$5:$A$13,0))</f>
        <v>0.07</v>
      </c>
      <c r="AC1110" s="32" t="n">
        <f aca="false">AA1110/(1-AB1110)-AA1110</f>
        <v>10.6165590322581</v>
      </c>
      <c r="AD1110" s="32" t="n">
        <f aca="false">ROUND(AA1110+AC1110,2)</f>
        <v>151.67</v>
      </c>
      <c r="AE1110" s="32" t="n">
        <f aca="false">AD1110-L1110</f>
        <v>-7.71000000000001</v>
      </c>
      <c r="AF1110" s="34" t="n">
        <f aca="false">IF(L1110=0,0,AE1110/L1110)</f>
        <v>-0.0483749529426528</v>
      </c>
      <c r="AG1110" s="22" t="str">
        <f aca="false">IF(AD1110&lt;L1110,"PASSARO","ATUAL")</f>
        <v>PASSARO</v>
      </c>
      <c r="AH1110" s="22" t="str">
        <f aca="false">IF(P1110&lt;&gt;A1110,"Faixa cadastrada como "&amp;P1110&amp;" na tabela; preço aplicado pela UF do CEP","")</f>
        <v/>
      </c>
      <c r="AI1110" s="26" t="n">
        <v>176.16</v>
      </c>
      <c r="AJ1110" s="22" t="str">
        <f aca="false">INDEX('Tabela Passaro'!$X$2:$X$1795,$N1110)</f>
        <v>CAPITAL</v>
      </c>
    </row>
    <row r="1111" customFormat="false" ht="15" hidden="false" customHeight="false" outlineLevel="0" collapsed="false">
      <c r="A1111" s="22" t="s">
        <v>19</v>
      </c>
      <c r="B1111" s="22" t="n">
        <v>1</v>
      </c>
      <c r="C1111" s="22" t="s">
        <v>131</v>
      </c>
      <c r="D1111" s="22" t="s">
        <v>30</v>
      </c>
      <c r="E1111" s="22" t="s">
        <v>7328</v>
      </c>
      <c r="F1111" s="22" t="n">
        <v>2313201</v>
      </c>
      <c r="G1111" s="30" t="n">
        <v>46251</v>
      </c>
      <c r="H1111" s="22" t="n">
        <v>133620</v>
      </c>
      <c r="I1111" s="22" t="s">
        <v>8335</v>
      </c>
      <c r="J1111" s="31" t="n">
        <v>29.2</v>
      </c>
      <c r="K1111" s="26" t="n">
        <v>526.3</v>
      </c>
      <c r="L1111" s="26" t="n">
        <v>121.27</v>
      </c>
      <c r="M1111" s="22" t="s">
        <v>3926</v>
      </c>
      <c r="N1111" s="22" t="n">
        <f aca="false">MATCH(M1111,'Tabela Passaro'!$A$2:$A$1795,0)</f>
        <v>923</v>
      </c>
      <c r="O1111" s="22" t="str">
        <f aca="false">INDEX('Tabela Passaro'!$C$2:$C$1795,$N1111)</f>
        <v>JOAO PESSOA</v>
      </c>
      <c r="P1111" s="22" t="str">
        <f aca="false">INDEX('Tabela Passaro'!$B$2:$B$1795,$N1111)</f>
        <v>PB</v>
      </c>
      <c r="Q1111" s="22" t="n">
        <f aca="false">INDEX('Tabela Passaro'!$F$2:$F$1795,$N1111)</f>
        <v>9</v>
      </c>
      <c r="R1111" s="32" t="n">
        <f aca="false">IF(J1111&lt;=10,INDEX('Tabela Passaro'!$G$2:$G$1795,$N1111),IF(J1111&lt;=30,INDEX('Tabela Passaro'!$H$2:$H$1795,$N1111),IF(J1111&lt;=50,INDEX('Tabela Passaro'!$I$2:$I$1795,$N1111),IF(J1111&lt;=70,INDEX('Tabela Passaro'!$J$2:$J$1795,$N1111),IF(J1111&lt;=100,INDEX('Tabela Passaro'!$K$2:$K$1795,$N1111),INDEX('Tabela Passaro'!$K$2:$K$1795,$N1111)+(J1111-100)*INDEX('Tabela Passaro'!$L$2:$L$1795,$N1111))))))</f>
        <v>76.28</v>
      </c>
      <c r="S1111" s="32" t="n">
        <f aca="false">K1111*INDEX('Tabela Passaro'!$M$2:$M$1795,$N1111)</f>
        <v>2.6315</v>
      </c>
      <c r="T1111" s="32" t="n">
        <f aca="false">K1111*INDEX('Tabela Passaro'!$N$2:$N$1795,$N1111)</f>
        <v>1.0526</v>
      </c>
      <c r="U1111" s="32" t="n">
        <f aca="false">INDEX('Tabela Passaro'!$O$2:$O$1795,$N1111)</f>
        <v>5</v>
      </c>
      <c r="V1111" s="32" t="n">
        <f aca="false">ROUNDUP(J1111/INDEX('Tabela Passaro'!$Q$2:$Q$1795,$N1111),0)*INDEX('Tabela Passaro'!$P$2:$P$1795,$N1111)</f>
        <v>5</v>
      </c>
      <c r="W1111" s="32" t="n">
        <f aca="false">INDEX('Tabela Passaro'!$R$2:$R$1795,$N1111)</f>
        <v>30</v>
      </c>
      <c r="X1111" s="32" t="n">
        <f aca="false">ROUNDUP(J1111/INDEX('Tabela Passaro'!$T$2:$T$1795,$N1111),0)*INDEX('Tabela Passaro'!$S$2:$S$1795,$N1111)</f>
        <v>0</v>
      </c>
      <c r="Y1111" s="32" t="n">
        <f aca="false">INDEX('Tabela Passaro'!$U$2:$U$1795,$N1111)</f>
        <v>0</v>
      </c>
      <c r="Z1111" s="32" t="n">
        <f aca="false">INDEX('Tabela Passaro'!$V$2:$V$1795,$N1111)</f>
        <v>0</v>
      </c>
      <c r="AA1111" s="32" t="n">
        <f aca="false">SUM(R1111:Z1111)</f>
        <v>119.9641</v>
      </c>
      <c r="AB1111" s="33" t="n">
        <f aca="false">INDEX(Premissas!$B$5:$B$13,MATCH(A1111,Premissas!$A$5:$A$13,0))</f>
        <v>0.07</v>
      </c>
      <c r="AC1111" s="32" t="n">
        <f aca="false">AA1111/(1-AB1111)-AA1111</f>
        <v>9.0295559139785</v>
      </c>
      <c r="AD1111" s="32" t="n">
        <f aca="false">ROUND(AA1111+AC1111,2)</f>
        <v>128.99</v>
      </c>
      <c r="AE1111" s="32" t="n">
        <f aca="false">AD1111-L1111</f>
        <v>7.72000000000001</v>
      </c>
      <c r="AF1111" s="34" t="n">
        <f aca="false">IF(L1111=0,0,AE1111/L1111)</f>
        <v>0.0636596025397874</v>
      </c>
      <c r="AG1111" s="22" t="str">
        <f aca="false">IF(AD1111&lt;L1111,"PASSARO","ATUAL")</f>
        <v>ATUAL</v>
      </c>
      <c r="AH1111" s="22" t="str">
        <f aca="false">IF(P1111&lt;&gt;A1111,"Faixa cadastrada como "&amp;P1111&amp;" na tabela; preço aplicado pela UF do CEP","")</f>
        <v/>
      </c>
      <c r="AI1111" s="26" t="n">
        <v>147.24</v>
      </c>
      <c r="AJ1111" s="22" t="str">
        <f aca="false">INDEX('Tabela Passaro'!$X$2:$X$1795,$N1111)</f>
        <v>CAPITAL</v>
      </c>
    </row>
    <row r="1112" customFormat="false" ht="15" hidden="false" customHeight="false" outlineLevel="0" collapsed="false">
      <c r="A1112" s="22" t="s">
        <v>19</v>
      </c>
      <c r="B1112" s="22" t="n">
        <v>1</v>
      </c>
      <c r="C1112" s="22" t="s">
        <v>131</v>
      </c>
      <c r="D1112" s="22" t="s">
        <v>30</v>
      </c>
      <c r="E1112" s="22" t="s">
        <v>7328</v>
      </c>
      <c r="F1112" s="22" t="n">
        <v>2313214</v>
      </c>
      <c r="G1112" s="30" t="n">
        <v>46251</v>
      </c>
      <c r="H1112" s="22" t="n">
        <v>133635</v>
      </c>
      <c r="I1112" s="22" t="s">
        <v>8336</v>
      </c>
      <c r="J1112" s="31" t="n">
        <v>37.6</v>
      </c>
      <c r="K1112" s="26" t="n">
        <v>580.61</v>
      </c>
      <c r="L1112" s="26" t="n">
        <v>158.62</v>
      </c>
      <c r="M1112" s="22" t="s">
        <v>3926</v>
      </c>
      <c r="N1112" s="22" t="n">
        <f aca="false">MATCH(M1112,'Tabela Passaro'!$A$2:$A$1795,0)</f>
        <v>923</v>
      </c>
      <c r="O1112" s="22" t="str">
        <f aca="false">INDEX('Tabela Passaro'!$C$2:$C$1795,$N1112)</f>
        <v>JOAO PESSOA</v>
      </c>
      <c r="P1112" s="22" t="str">
        <f aca="false">INDEX('Tabela Passaro'!$B$2:$B$1795,$N1112)</f>
        <v>PB</v>
      </c>
      <c r="Q1112" s="22" t="n">
        <f aca="false">INDEX('Tabela Passaro'!$F$2:$F$1795,$N1112)</f>
        <v>9</v>
      </c>
      <c r="R1112" s="32" t="n">
        <f aca="false">IF(J1112&lt;=10,INDEX('Tabela Passaro'!$G$2:$G$1795,$N1112),IF(J1112&lt;=30,INDEX('Tabela Passaro'!$H$2:$H$1795,$N1112),IF(J1112&lt;=50,INDEX('Tabela Passaro'!$I$2:$I$1795,$N1112),IF(J1112&lt;=70,INDEX('Tabela Passaro'!$J$2:$J$1795,$N1112),IF(J1112&lt;=100,INDEX('Tabela Passaro'!$K$2:$K$1795,$N1112),INDEX('Tabela Passaro'!$K$2:$K$1795,$N1112)+(J1112-100)*INDEX('Tabela Passaro'!$L$2:$L$1795,$N1112))))))</f>
        <v>96.32</v>
      </c>
      <c r="S1112" s="32" t="n">
        <f aca="false">K1112*INDEX('Tabela Passaro'!$M$2:$M$1795,$N1112)</f>
        <v>2.90305</v>
      </c>
      <c r="T1112" s="32" t="n">
        <f aca="false">K1112*INDEX('Tabela Passaro'!$N$2:$N$1795,$N1112)</f>
        <v>1.16122</v>
      </c>
      <c r="U1112" s="32" t="n">
        <f aca="false">INDEX('Tabela Passaro'!$O$2:$O$1795,$N1112)</f>
        <v>5</v>
      </c>
      <c r="V1112" s="32" t="n">
        <f aca="false">ROUNDUP(J1112/INDEX('Tabela Passaro'!$Q$2:$Q$1795,$N1112),0)*INDEX('Tabela Passaro'!$P$2:$P$1795,$N1112)</f>
        <v>5</v>
      </c>
      <c r="W1112" s="32" t="n">
        <f aca="false">INDEX('Tabela Passaro'!$R$2:$R$1795,$N1112)</f>
        <v>30</v>
      </c>
      <c r="X1112" s="32" t="n">
        <f aca="false">ROUNDUP(J1112/INDEX('Tabela Passaro'!$T$2:$T$1795,$N1112),0)*INDEX('Tabela Passaro'!$S$2:$S$1795,$N1112)</f>
        <v>0</v>
      </c>
      <c r="Y1112" s="32" t="n">
        <f aca="false">INDEX('Tabela Passaro'!$U$2:$U$1795,$N1112)</f>
        <v>0</v>
      </c>
      <c r="Z1112" s="32" t="n">
        <f aca="false">INDEX('Tabela Passaro'!$V$2:$V$1795,$N1112)</f>
        <v>0</v>
      </c>
      <c r="AA1112" s="32" t="n">
        <f aca="false">SUM(R1112:Z1112)</f>
        <v>140.38427</v>
      </c>
      <c r="AB1112" s="33" t="n">
        <f aca="false">INDEX(Premissas!$B$5:$B$13,MATCH(A1112,Premissas!$A$5:$A$13,0))</f>
        <v>0.07</v>
      </c>
      <c r="AC1112" s="32" t="n">
        <f aca="false">AA1112/(1-AB1112)-AA1112</f>
        <v>10.5665579569892</v>
      </c>
      <c r="AD1112" s="32" t="n">
        <f aca="false">ROUND(AA1112+AC1112,2)</f>
        <v>150.95</v>
      </c>
      <c r="AE1112" s="32" t="n">
        <f aca="false">AD1112-L1112</f>
        <v>-7.67000000000002</v>
      </c>
      <c r="AF1112" s="34" t="n">
        <f aca="false">IF(L1112=0,0,AE1112/L1112)</f>
        <v>-0.048354558063296</v>
      </c>
      <c r="AG1112" s="22" t="str">
        <f aca="false">IF(AD1112&lt;L1112,"PASSARO","ATUAL")</f>
        <v>PASSARO</v>
      </c>
      <c r="AH1112" s="22" t="str">
        <f aca="false">IF(P1112&lt;&gt;A1112,"Faixa cadastrada como "&amp;P1112&amp;" na tabela; preço aplicado pela UF do CEP","")</f>
        <v/>
      </c>
      <c r="AI1112" s="26" t="n">
        <v>176.69</v>
      </c>
      <c r="AJ1112" s="22" t="str">
        <f aca="false">INDEX('Tabela Passaro'!$X$2:$X$1795,$N1112)</f>
        <v>CAPITAL</v>
      </c>
    </row>
    <row r="1113" customFormat="false" ht="15" hidden="false" customHeight="false" outlineLevel="0" collapsed="false">
      <c r="A1113" s="22" t="s">
        <v>19</v>
      </c>
      <c r="B1113" s="22" t="n">
        <v>1</v>
      </c>
      <c r="C1113" s="22" t="s">
        <v>131</v>
      </c>
      <c r="D1113" s="22" t="s">
        <v>30</v>
      </c>
      <c r="E1113" s="22" t="s">
        <v>7328</v>
      </c>
      <c r="F1113" s="22" t="n">
        <v>2313218</v>
      </c>
      <c r="G1113" s="30" t="n">
        <v>46251</v>
      </c>
      <c r="H1113" s="22" t="n">
        <v>133639</v>
      </c>
      <c r="I1113" s="22" t="s">
        <v>8337</v>
      </c>
      <c r="J1113" s="31" t="n">
        <v>125.8</v>
      </c>
      <c r="K1113" s="26" t="n">
        <v>2381.95</v>
      </c>
      <c r="L1113" s="26" t="n">
        <v>309.49</v>
      </c>
      <c r="M1113" s="22" t="s">
        <v>3926</v>
      </c>
      <c r="N1113" s="22" t="n">
        <f aca="false">MATCH(M1113,'Tabela Passaro'!$A$2:$A$1795,0)</f>
        <v>923</v>
      </c>
      <c r="O1113" s="22" t="str">
        <f aca="false">INDEX('Tabela Passaro'!$C$2:$C$1795,$N1113)</f>
        <v>JOAO PESSOA</v>
      </c>
      <c r="P1113" s="22" t="str">
        <f aca="false">INDEX('Tabela Passaro'!$B$2:$B$1795,$N1113)</f>
        <v>PB</v>
      </c>
      <c r="Q1113" s="22" t="n">
        <f aca="false">INDEX('Tabela Passaro'!$F$2:$F$1795,$N1113)</f>
        <v>9</v>
      </c>
      <c r="R1113" s="32" t="n">
        <f aca="false">IF(J1113&lt;=10,INDEX('Tabela Passaro'!$G$2:$G$1795,$N1113),IF(J1113&lt;=30,INDEX('Tabela Passaro'!$H$2:$H$1795,$N1113),IF(J1113&lt;=50,INDEX('Tabela Passaro'!$I$2:$I$1795,$N1113),IF(J1113&lt;=70,INDEX('Tabela Passaro'!$J$2:$J$1795,$N1113),IF(J1113&lt;=100,INDEX('Tabela Passaro'!$K$2:$K$1795,$N1113),INDEX('Tabela Passaro'!$K$2:$K$1795,$N1113)+(J1113-100)*INDEX('Tabela Passaro'!$L$2:$L$1795,$N1113))))))</f>
        <v>163.414</v>
      </c>
      <c r="S1113" s="32" t="n">
        <f aca="false">K1113*INDEX('Tabela Passaro'!$M$2:$M$1795,$N1113)</f>
        <v>11.90975</v>
      </c>
      <c r="T1113" s="32" t="n">
        <f aca="false">K1113*INDEX('Tabela Passaro'!$N$2:$N$1795,$N1113)</f>
        <v>4.7639</v>
      </c>
      <c r="U1113" s="32" t="n">
        <f aca="false">INDEX('Tabela Passaro'!$O$2:$O$1795,$N1113)</f>
        <v>5</v>
      </c>
      <c r="V1113" s="32" t="n">
        <f aca="false">ROUNDUP(J1113/INDEX('Tabela Passaro'!$Q$2:$Q$1795,$N1113),0)*INDEX('Tabela Passaro'!$P$2:$P$1795,$N1113)</f>
        <v>10</v>
      </c>
      <c r="W1113" s="32" t="n">
        <f aca="false">INDEX('Tabela Passaro'!$R$2:$R$1795,$N1113)</f>
        <v>30</v>
      </c>
      <c r="X1113" s="32" t="n">
        <f aca="false">ROUNDUP(J1113/INDEX('Tabela Passaro'!$T$2:$T$1795,$N1113),0)*INDEX('Tabela Passaro'!$S$2:$S$1795,$N1113)</f>
        <v>0</v>
      </c>
      <c r="Y1113" s="32" t="n">
        <f aca="false">INDEX('Tabela Passaro'!$U$2:$U$1795,$N1113)</f>
        <v>0</v>
      </c>
      <c r="Z1113" s="32" t="n">
        <f aca="false">INDEX('Tabela Passaro'!$V$2:$V$1795,$N1113)</f>
        <v>0</v>
      </c>
      <c r="AA1113" s="32" t="n">
        <f aca="false">SUM(R1113:Z1113)</f>
        <v>225.08765</v>
      </c>
      <c r="AB1113" s="33" t="n">
        <f aca="false">INDEX(Premissas!$B$5:$B$13,MATCH(A1113,Premissas!$A$5:$A$13,0))</f>
        <v>0.07</v>
      </c>
      <c r="AC1113" s="32" t="n">
        <f aca="false">AA1113/(1-AB1113)-AA1113</f>
        <v>16.9420811827957</v>
      </c>
      <c r="AD1113" s="32" t="n">
        <f aca="false">ROUND(AA1113+AC1113,2)</f>
        <v>242.03</v>
      </c>
      <c r="AE1113" s="32" t="n">
        <f aca="false">AD1113-L1113</f>
        <v>-67.46</v>
      </c>
      <c r="AF1113" s="34" t="n">
        <f aca="false">IF(L1113=0,0,AE1113/L1113)</f>
        <v>-0.217971501502472</v>
      </c>
      <c r="AG1113" s="22" t="str">
        <f aca="false">IF(AD1113&lt;L1113,"PASSARO","ATUAL")</f>
        <v>PASSARO</v>
      </c>
      <c r="AH1113" s="22" t="str">
        <f aca="false">IF(P1113&lt;&gt;A1113,"Faixa cadastrada como "&amp;P1113&amp;" na tabela; preço aplicado pela UF do CEP","")</f>
        <v/>
      </c>
      <c r="AI1113" s="26" t="n">
        <v>324.16</v>
      </c>
      <c r="AJ1113" s="22" t="str">
        <f aca="false">INDEX('Tabela Passaro'!$X$2:$X$1795,$N1113)</f>
        <v>CAPITAL</v>
      </c>
    </row>
    <row r="1114" customFormat="false" ht="15" hidden="false" customHeight="false" outlineLevel="0" collapsed="false">
      <c r="A1114" s="22" t="s">
        <v>19</v>
      </c>
      <c r="B1114" s="22" t="n">
        <v>1</v>
      </c>
      <c r="C1114" s="22" t="s">
        <v>131</v>
      </c>
      <c r="D1114" s="22" t="s">
        <v>30</v>
      </c>
      <c r="E1114" s="22" t="s">
        <v>7328</v>
      </c>
      <c r="F1114" s="22" t="n">
        <v>2313257</v>
      </c>
      <c r="G1114" s="30" t="n">
        <v>46251</v>
      </c>
      <c r="H1114" s="22" t="n">
        <v>133676</v>
      </c>
      <c r="I1114" s="22" t="s">
        <v>8336</v>
      </c>
      <c r="J1114" s="31" t="n">
        <v>37.6</v>
      </c>
      <c r="K1114" s="26" t="n">
        <v>580.59</v>
      </c>
      <c r="L1114" s="26" t="n">
        <v>158.62</v>
      </c>
      <c r="M1114" s="22" t="s">
        <v>3926</v>
      </c>
      <c r="N1114" s="22" t="n">
        <f aca="false">MATCH(M1114,'Tabela Passaro'!$A$2:$A$1795,0)</f>
        <v>923</v>
      </c>
      <c r="O1114" s="22" t="str">
        <f aca="false">INDEX('Tabela Passaro'!$C$2:$C$1795,$N1114)</f>
        <v>JOAO PESSOA</v>
      </c>
      <c r="P1114" s="22" t="str">
        <f aca="false">INDEX('Tabela Passaro'!$B$2:$B$1795,$N1114)</f>
        <v>PB</v>
      </c>
      <c r="Q1114" s="22" t="n">
        <f aca="false">INDEX('Tabela Passaro'!$F$2:$F$1795,$N1114)</f>
        <v>9</v>
      </c>
      <c r="R1114" s="32" t="n">
        <f aca="false">IF(J1114&lt;=10,INDEX('Tabela Passaro'!$G$2:$G$1795,$N1114),IF(J1114&lt;=30,INDEX('Tabela Passaro'!$H$2:$H$1795,$N1114),IF(J1114&lt;=50,INDEX('Tabela Passaro'!$I$2:$I$1795,$N1114),IF(J1114&lt;=70,INDEX('Tabela Passaro'!$J$2:$J$1795,$N1114),IF(J1114&lt;=100,INDEX('Tabela Passaro'!$K$2:$K$1795,$N1114),INDEX('Tabela Passaro'!$K$2:$K$1795,$N1114)+(J1114-100)*INDEX('Tabela Passaro'!$L$2:$L$1795,$N1114))))))</f>
        <v>96.32</v>
      </c>
      <c r="S1114" s="32" t="n">
        <f aca="false">K1114*INDEX('Tabela Passaro'!$M$2:$M$1795,$N1114)</f>
        <v>2.90295</v>
      </c>
      <c r="T1114" s="32" t="n">
        <f aca="false">K1114*INDEX('Tabela Passaro'!$N$2:$N$1795,$N1114)</f>
        <v>1.16118</v>
      </c>
      <c r="U1114" s="32" t="n">
        <f aca="false">INDEX('Tabela Passaro'!$O$2:$O$1795,$N1114)</f>
        <v>5</v>
      </c>
      <c r="V1114" s="32" t="n">
        <f aca="false">ROUNDUP(J1114/INDEX('Tabela Passaro'!$Q$2:$Q$1795,$N1114),0)*INDEX('Tabela Passaro'!$P$2:$P$1795,$N1114)</f>
        <v>5</v>
      </c>
      <c r="W1114" s="32" t="n">
        <f aca="false">INDEX('Tabela Passaro'!$R$2:$R$1795,$N1114)</f>
        <v>30</v>
      </c>
      <c r="X1114" s="32" t="n">
        <f aca="false">ROUNDUP(J1114/INDEX('Tabela Passaro'!$T$2:$T$1795,$N1114),0)*INDEX('Tabela Passaro'!$S$2:$S$1795,$N1114)</f>
        <v>0</v>
      </c>
      <c r="Y1114" s="32" t="n">
        <f aca="false">INDEX('Tabela Passaro'!$U$2:$U$1795,$N1114)</f>
        <v>0</v>
      </c>
      <c r="Z1114" s="32" t="n">
        <f aca="false">INDEX('Tabela Passaro'!$V$2:$V$1795,$N1114)</f>
        <v>0</v>
      </c>
      <c r="AA1114" s="32" t="n">
        <f aca="false">SUM(R1114:Z1114)</f>
        <v>140.38413</v>
      </c>
      <c r="AB1114" s="33" t="n">
        <f aca="false">INDEX(Premissas!$B$5:$B$13,MATCH(A1114,Premissas!$A$5:$A$13,0))</f>
        <v>0.07</v>
      </c>
      <c r="AC1114" s="32" t="n">
        <f aca="false">AA1114/(1-AB1114)-AA1114</f>
        <v>10.5665474193549</v>
      </c>
      <c r="AD1114" s="32" t="n">
        <f aca="false">ROUND(AA1114+AC1114,2)</f>
        <v>150.95</v>
      </c>
      <c r="AE1114" s="32" t="n">
        <f aca="false">AD1114-L1114</f>
        <v>-7.67000000000002</v>
      </c>
      <c r="AF1114" s="34" t="n">
        <f aca="false">IF(L1114=0,0,AE1114/L1114)</f>
        <v>-0.048354558063296</v>
      </c>
      <c r="AG1114" s="22" t="str">
        <f aca="false">IF(AD1114&lt;L1114,"PASSARO","ATUAL")</f>
        <v>PASSARO</v>
      </c>
      <c r="AH1114" s="22" t="str">
        <f aca="false">IF(P1114&lt;&gt;A1114,"Faixa cadastrada como "&amp;P1114&amp;" na tabela; preço aplicado pela UF do CEP","")</f>
        <v/>
      </c>
      <c r="AI1114" s="26" t="n">
        <v>176.69</v>
      </c>
      <c r="AJ1114" s="22" t="str">
        <f aca="false">INDEX('Tabela Passaro'!$X$2:$X$1795,$N1114)</f>
        <v>CAPITAL</v>
      </c>
    </row>
    <row r="1115" customFormat="false" ht="15" hidden="false" customHeight="false" outlineLevel="0" collapsed="false">
      <c r="A1115" s="22" t="s">
        <v>19</v>
      </c>
      <c r="B1115" s="22" t="n">
        <v>1</v>
      </c>
      <c r="C1115" s="22" t="s">
        <v>131</v>
      </c>
      <c r="D1115" s="22" t="s">
        <v>30</v>
      </c>
      <c r="E1115" s="22" t="s">
        <v>7326</v>
      </c>
      <c r="F1115" s="22" t="n">
        <v>525348</v>
      </c>
      <c r="G1115" s="30" t="n">
        <v>46251</v>
      </c>
      <c r="H1115" s="22" t="n">
        <v>625546</v>
      </c>
      <c r="I1115" s="22" t="s">
        <v>8338</v>
      </c>
      <c r="J1115" s="31" t="n">
        <v>51.06</v>
      </c>
      <c r="K1115" s="26" t="n">
        <v>873.48</v>
      </c>
      <c r="L1115" s="26" t="n">
        <v>222.97</v>
      </c>
      <c r="M1115" s="22" t="s">
        <v>3926</v>
      </c>
      <c r="N1115" s="22" t="n">
        <f aca="false">MATCH(M1115,'Tabela Passaro'!$A$2:$A$1795,0)</f>
        <v>923</v>
      </c>
      <c r="O1115" s="22" t="str">
        <f aca="false">INDEX('Tabela Passaro'!$C$2:$C$1795,$N1115)</f>
        <v>JOAO PESSOA</v>
      </c>
      <c r="P1115" s="22" t="str">
        <f aca="false">INDEX('Tabela Passaro'!$B$2:$B$1795,$N1115)</f>
        <v>PB</v>
      </c>
      <c r="Q1115" s="22" t="n">
        <f aca="false">INDEX('Tabela Passaro'!$F$2:$F$1795,$N1115)</f>
        <v>9</v>
      </c>
      <c r="R1115" s="32" t="n">
        <f aca="false">IF(J1115&lt;=10,INDEX('Tabela Passaro'!$G$2:$G$1795,$N1115),IF(J1115&lt;=30,INDEX('Tabela Passaro'!$H$2:$H$1795,$N1115),IF(J1115&lt;=50,INDEX('Tabela Passaro'!$I$2:$I$1795,$N1115),IF(J1115&lt;=70,INDEX('Tabela Passaro'!$J$2:$J$1795,$N1115),IF(J1115&lt;=100,INDEX('Tabela Passaro'!$K$2:$K$1795,$N1115),INDEX('Tabela Passaro'!$K$2:$K$1795,$N1115)+(J1115-100)*INDEX('Tabela Passaro'!$L$2:$L$1795,$N1115))))))</f>
        <v>106.33</v>
      </c>
      <c r="S1115" s="32" t="n">
        <f aca="false">K1115*INDEX('Tabela Passaro'!$M$2:$M$1795,$N1115)</f>
        <v>4.3674</v>
      </c>
      <c r="T1115" s="32" t="n">
        <f aca="false">K1115*INDEX('Tabela Passaro'!$N$2:$N$1795,$N1115)</f>
        <v>1.74696</v>
      </c>
      <c r="U1115" s="32" t="n">
        <f aca="false">INDEX('Tabela Passaro'!$O$2:$O$1795,$N1115)</f>
        <v>5</v>
      </c>
      <c r="V1115" s="32" t="n">
        <f aca="false">ROUNDUP(J1115/INDEX('Tabela Passaro'!$Q$2:$Q$1795,$N1115),0)*INDEX('Tabela Passaro'!$P$2:$P$1795,$N1115)</f>
        <v>5</v>
      </c>
      <c r="W1115" s="32" t="n">
        <f aca="false">INDEX('Tabela Passaro'!$R$2:$R$1795,$N1115)</f>
        <v>30</v>
      </c>
      <c r="X1115" s="32" t="n">
        <f aca="false">ROUNDUP(J1115/INDEX('Tabela Passaro'!$T$2:$T$1795,$N1115),0)*INDEX('Tabela Passaro'!$S$2:$S$1795,$N1115)</f>
        <v>0</v>
      </c>
      <c r="Y1115" s="32" t="n">
        <f aca="false">INDEX('Tabela Passaro'!$U$2:$U$1795,$N1115)</f>
        <v>0</v>
      </c>
      <c r="Z1115" s="32" t="n">
        <f aca="false">INDEX('Tabela Passaro'!$V$2:$V$1795,$N1115)</f>
        <v>0</v>
      </c>
      <c r="AA1115" s="32" t="n">
        <f aca="false">SUM(R1115:Z1115)</f>
        <v>152.44436</v>
      </c>
      <c r="AB1115" s="33" t="n">
        <f aca="false">INDEX(Premissas!$B$5:$B$13,MATCH(A1115,Premissas!$A$5:$A$13,0))</f>
        <v>0.07</v>
      </c>
      <c r="AC1115" s="32" t="n">
        <f aca="false">AA1115/(1-AB1115)-AA1115</f>
        <v>11.4743066666667</v>
      </c>
      <c r="AD1115" s="32" t="n">
        <f aca="false">ROUND(AA1115+AC1115,2)</f>
        <v>163.92</v>
      </c>
      <c r="AE1115" s="32" t="n">
        <f aca="false">AD1115-L1115</f>
        <v>-59.05</v>
      </c>
      <c r="AF1115" s="34" t="n">
        <f aca="false">IF(L1115=0,0,AE1115/L1115)</f>
        <v>-0.264833834148092</v>
      </c>
      <c r="AG1115" s="22" t="str">
        <f aca="false">IF(AD1115&lt;L1115,"PASSARO","ATUAL")</f>
        <v>PASSARO</v>
      </c>
      <c r="AH1115" s="22" t="str">
        <f aca="false">IF(P1115&lt;&gt;A1115,"Faixa cadastrada como "&amp;P1115&amp;" na tabela; preço aplicado pela UF do CEP","")</f>
        <v/>
      </c>
      <c r="AI1115" s="26" t="n">
        <v>198.82</v>
      </c>
      <c r="AJ1115" s="22" t="str">
        <f aca="false">INDEX('Tabela Passaro'!$X$2:$X$1795,$N1115)</f>
        <v>CAPITAL</v>
      </c>
    </row>
    <row r="1116" customFormat="false" ht="15" hidden="false" customHeight="false" outlineLevel="0" collapsed="false">
      <c r="A1116" s="22" t="s">
        <v>19</v>
      </c>
      <c r="B1116" s="22" t="n">
        <v>1</v>
      </c>
      <c r="C1116" s="22" t="s">
        <v>131</v>
      </c>
      <c r="D1116" s="22" t="s">
        <v>30</v>
      </c>
      <c r="E1116" s="22" t="s">
        <v>7328</v>
      </c>
      <c r="F1116" s="22" t="n">
        <v>2313810</v>
      </c>
      <c r="G1116" s="30" t="n">
        <v>46253</v>
      </c>
      <c r="H1116" s="22" t="n">
        <v>133902</v>
      </c>
      <c r="I1116" s="22" t="s">
        <v>8339</v>
      </c>
      <c r="J1116" s="31" t="n">
        <v>66.4</v>
      </c>
      <c r="K1116" s="26" t="n">
        <v>1035.27</v>
      </c>
      <c r="L1116" s="26" t="n">
        <v>191.77</v>
      </c>
      <c r="M1116" s="22" t="s">
        <v>3926</v>
      </c>
      <c r="N1116" s="22" t="n">
        <f aca="false">MATCH(M1116,'Tabela Passaro'!$A$2:$A$1795,0)</f>
        <v>923</v>
      </c>
      <c r="O1116" s="22" t="str">
        <f aca="false">INDEX('Tabela Passaro'!$C$2:$C$1795,$N1116)</f>
        <v>JOAO PESSOA</v>
      </c>
      <c r="P1116" s="22" t="str">
        <f aca="false">INDEX('Tabela Passaro'!$B$2:$B$1795,$N1116)</f>
        <v>PB</v>
      </c>
      <c r="Q1116" s="22" t="n">
        <f aca="false">INDEX('Tabela Passaro'!$F$2:$F$1795,$N1116)</f>
        <v>9</v>
      </c>
      <c r="R1116" s="32" t="n">
        <f aca="false">IF(J1116&lt;=10,INDEX('Tabela Passaro'!$G$2:$G$1795,$N1116),IF(J1116&lt;=30,INDEX('Tabela Passaro'!$H$2:$H$1795,$N1116),IF(J1116&lt;=50,INDEX('Tabela Passaro'!$I$2:$I$1795,$N1116),IF(J1116&lt;=70,INDEX('Tabela Passaro'!$J$2:$J$1795,$N1116),IF(J1116&lt;=100,INDEX('Tabela Passaro'!$K$2:$K$1795,$N1116),INDEX('Tabela Passaro'!$K$2:$K$1795,$N1116)+(J1116-100)*INDEX('Tabela Passaro'!$L$2:$L$1795,$N1116))))))</f>
        <v>106.33</v>
      </c>
      <c r="S1116" s="32" t="n">
        <f aca="false">K1116*INDEX('Tabela Passaro'!$M$2:$M$1795,$N1116)</f>
        <v>5.17635</v>
      </c>
      <c r="T1116" s="32" t="n">
        <f aca="false">K1116*INDEX('Tabela Passaro'!$N$2:$N$1795,$N1116)</f>
        <v>2.07054</v>
      </c>
      <c r="U1116" s="32" t="n">
        <f aca="false">INDEX('Tabela Passaro'!$O$2:$O$1795,$N1116)</f>
        <v>5</v>
      </c>
      <c r="V1116" s="32" t="n">
        <f aca="false">ROUNDUP(J1116/INDEX('Tabela Passaro'!$Q$2:$Q$1795,$N1116),0)*INDEX('Tabela Passaro'!$P$2:$P$1795,$N1116)</f>
        <v>5</v>
      </c>
      <c r="W1116" s="32" t="n">
        <f aca="false">INDEX('Tabela Passaro'!$R$2:$R$1795,$N1116)</f>
        <v>30</v>
      </c>
      <c r="X1116" s="32" t="n">
        <f aca="false">ROUNDUP(J1116/INDEX('Tabela Passaro'!$T$2:$T$1795,$N1116),0)*INDEX('Tabela Passaro'!$S$2:$S$1795,$N1116)</f>
        <v>0</v>
      </c>
      <c r="Y1116" s="32" t="n">
        <f aca="false">INDEX('Tabela Passaro'!$U$2:$U$1795,$N1116)</f>
        <v>0</v>
      </c>
      <c r="Z1116" s="32" t="n">
        <f aca="false">INDEX('Tabela Passaro'!$V$2:$V$1795,$N1116)</f>
        <v>0</v>
      </c>
      <c r="AA1116" s="32" t="n">
        <f aca="false">SUM(R1116:Z1116)</f>
        <v>153.57689</v>
      </c>
      <c r="AB1116" s="33" t="n">
        <f aca="false">INDEX(Premissas!$B$5:$B$13,MATCH(A1116,Premissas!$A$5:$A$13,0))</f>
        <v>0.07</v>
      </c>
      <c r="AC1116" s="32" t="n">
        <f aca="false">AA1116/(1-AB1116)-AA1116</f>
        <v>11.5595508602151</v>
      </c>
      <c r="AD1116" s="32" t="n">
        <f aca="false">ROUND(AA1116+AC1116,2)</f>
        <v>165.14</v>
      </c>
      <c r="AE1116" s="32" t="n">
        <f aca="false">AD1116-L1116</f>
        <v>-26.63</v>
      </c>
      <c r="AF1116" s="34" t="n">
        <f aca="false">IF(L1116=0,0,AE1116/L1116)</f>
        <v>-0.138864264483496</v>
      </c>
      <c r="AG1116" s="22" t="str">
        <f aca="false">IF(AD1116&lt;L1116,"PASSARO","ATUAL")</f>
        <v>PASSARO</v>
      </c>
      <c r="AH1116" s="22" t="str">
        <f aca="false">IF(P1116&lt;&gt;A1116,"Faixa cadastrada como "&amp;P1116&amp;" na tabela; preço aplicado pela UF do CEP","")</f>
        <v/>
      </c>
      <c r="AI1116" s="26" t="n">
        <v>207.64</v>
      </c>
      <c r="AJ1116" s="22" t="str">
        <f aca="false">INDEX('Tabela Passaro'!$X$2:$X$1795,$N1116)</f>
        <v>CAPITAL</v>
      </c>
    </row>
    <row r="1117" customFormat="false" ht="15" hidden="false" customHeight="false" outlineLevel="0" collapsed="false">
      <c r="A1117" s="22" t="s">
        <v>19</v>
      </c>
      <c r="B1117" s="22" t="n">
        <v>1</v>
      </c>
      <c r="C1117" s="22" t="s">
        <v>131</v>
      </c>
      <c r="D1117" s="22" t="s">
        <v>30</v>
      </c>
      <c r="E1117" s="22" t="s">
        <v>7326</v>
      </c>
      <c r="F1117" s="22" t="n">
        <v>526082</v>
      </c>
      <c r="G1117" s="30" t="n">
        <v>46253</v>
      </c>
      <c r="H1117" s="22" t="n">
        <v>626767</v>
      </c>
      <c r="I1117" s="22" t="s">
        <v>8340</v>
      </c>
      <c r="J1117" s="31" t="n">
        <v>33</v>
      </c>
      <c r="K1117" s="26" t="n">
        <v>690.79</v>
      </c>
      <c r="L1117" s="26" t="n">
        <v>180.57</v>
      </c>
      <c r="M1117" s="22" t="s">
        <v>3926</v>
      </c>
      <c r="N1117" s="22" t="n">
        <f aca="false">MATCH(M1117,'Tabela Passaro'!$A$2:$A$1795,0)</f>
        <v>923</v>
      </c>
      <c r="O1117" s="22" t="str">
        <f aca="false">INDEX('Tabela Passaro'!$C$2:$C$1795,$N1117)</f>
        <v>JOAO PESSOA</v>
      </c>
      <c r="P1117" s="22" t="str">
        <f aca="false">INDEX('Tabela Passaro'!$B$2:$B$1795,$N1117)</f>
        <v>PB</v>
      </c>
      <c r="Q1117" s="22" t="n">
        <f aca="false">INDEX('Tabela Passaro'!$F$2:$F$1795,$N1117)</f>
        <v>9</v>
      </c>
      <c r="R1117" s="32" t="n">
        <f aca="false">IF(J1117&lt;=10,INDEX('Tabela Passaro'!$G$2:$G$1795,$N1117),IF(J1117&lt;=30,INDEX('Tabela Passaro'!$H$2:$H$1795,$N1117),IF(J1117&lt;=50,INDEX('Tabela Passaro'!$I$2:$I$1795,$N1117),IF(J1117&lt;=70,INDEX('Tabela Passaro'!$J$2:$J$1795,$N1117),IF(J1117&lt;=100,INDEX('Tabela Passaro'!$K$2:$K$1795,$N1117),INDEX('Tabela Passaro'!$K$2:$K$1795,$N1117)+(J1117-100)*INDEX('Tabela Passaro'!$L$2:$L$1795,$N1117))))))</f>
        <v>96.32</v>
      </c>
      <c r="S1117" s="32" t="n">
        <f aca="false">K1117*INDEX('Tabela Passaro'!$M$2:$M$1795,$N1117)</f>
        <v>3.45395</v>
      </c>
      <c r="T1117" s="32" t="n">
        <f aca="false">K1117*INDEX('Tabela Passaro'!$N$2:$N$1795,$N1117)</f>
        <v>1.38158</v>
      </c>
      <c r="U1117" s="32" t="n">
        <f aca="false">INDEX('Tabela Passaro'!$O$2:$O$1795,$N1117)</f>
        <v>5</v>
      </c>
      <c r="V1117" s="32" t="n">
        <f aca="false">ROUNDUP(J1117/INDEX('Tabela Passaro'!$Q$2:$Q$1795,$N1117),0)*INDEX('Tabela Passaro'!$P$2:$P$1795,$N1117)</f>
        <v>5</v>
      </c>
      <c r="W1117" s="32" t="n">
        <f aca="false">INDEX('Tabela Passaro'!$R$2:$R$1795,$N1117)</f>
        <v>30</v>
      </c>
      <c r="X1117" s="32" t="n">
        <f aca="false">ROUNDUP(J1117/INDEX('Tabela Passaro'!$T$2:$T$1795,$N1117),0)*INDEX('Tabela Passaro'!$S$2:$S$1795,$N1117)</f>
        <v>0</v>
      </c>
      <c r="Y1117" s="32" t="n">
        <f aca="false">INDEX('Tabela Passaro'!$U$2:$U$1795,$N1117)</f>
        <v>0</v>
      </c>
      <c r="Z1117" s="32" t="n">
        <f aca="false">INDEX('Tabela Passaro'!$V$2:$V$1795,$N1117)</f>
        <v>0</v>
      </c>
      <c r="AA1117" s="32" t="n">
        <f aca="false">SUM(R1117:Z1117)</f>
        <v>141.15553</v>
      </c>
      <c r="AB1117" s="33" t="n">
        <f aca="false">INDEX(Premissas!$B$5:$B$13,MATCH(A1117,Premissas!$A$5:$A$13,0))</f>
        <v>0.07</v>
      </c>
      <c r="AC1117" s="32" t="n">
        <f aca="false">AA1117/(1-AB1117)-AA1117</f>
        <v>10.6246097849462</v>
      </c>
      <c r="AD1117" s="32" t="n">
        <f aca="false">ROUND(AA1117+AC1117,2)</f>
        <v>151.78</v>
      </c>
      <c r="AE1117" s="32" t="n">
        <f aca="false">AD1117-L1117</f>
        <v>-28.79</v>
      </c>
      <c r="AF1117" s="34" t="n">
        <f aca="false">IF(L1117=0,0,AE1117/L1117)</f>
        <v>-0.159439552528105</v>
      </c>
      <c r="AG1117" s="22" t="str">
        <f aca="false">IF(AD1117&lt;L1117,"PASSARO","ATUAL")</f>
        <v>PASSARO</v>
      </c>
      <c r="AH1117" s="22" t="str">
        <f aca="false">IF(P1117&lt;&gt;A1117,"Faixa cadastrada como "&amp;P1117&amp;" na tabela; preço aplicado pela UF do CEP","")</f>
        <v/>
      </c>
      <c r="AI1117" s="26" t="n">
        <v>175.34</v>
      </c>
      <c r="AJ1117" s="22" t="str">
        <f aca="false">INDEX('Tabela Passaro'!$X$2:$X$1795,$N1117)</f>
        <v>CAPITAL</v>
      </c>
    </row>
    <row r="1118" customFormat="false" ht="15" hidden="false" customHeight="false" outlineLevel="0" collapsed="false">
      <c r="A1118" s="22" t="s">
        <v>19</v>
      </c>
      <c r="B1118" s="22" t="n">
        <v>1</v>
      </c>
      <c r="C1118" s="22" t="s">
        <v>131</v>
      </c>
      <c r="D1118" s="22" t="s">
        <v>30</v>
      </c>
      <c r="E1118" s="22" t="s">
        <v>7326</v>
      </c>
      <c r="F1118" s="22" t="n">
        <v>526119</v>
      </c>
      <c r="G1118" s="30" t="n">
        <v>46253</v>
      </c>
      <c r="H1118" s="22" t="n">
        <v>627015</v>
      </c>
      <c r="I1118" s="22" t="s">
        <v>8341</v>
      </c>
      <c r="J1118" s="31" t="n">
        <v>66</v>
      </c>
      <c r="K1118" s="26" t="n">
        <v>1712.04</v>
      </c>
      <c r="L1118" s="26" t="n">
        <v>230.11</v>
      </c>
      <c r="M1118" s="22" t="s">
        <v>3926</v>
      </c>
      <c r="N1118" s="22" t="n">
        <f aca="false">MATCH(M1118,'Tabela Passaro'!$A$2:$A$1795,0)</f>
        <v>923</v>
      </c>
      <c r="O1118" s="22" t="str">
        <f aca="false">INDEX('Tabela Passaro'!$C$2:$C$1795,$N1118)</f>
        <v>JOAO PESSOA</v>
      </c>
      <c r="P1118" s="22" t="str">
        <f aca="false">INDEX('Tabela Passaro'!$B$2:$B$1795,$N1118)</f>
        <v>PB</v>
      </c>
      <c r="Q1118" s="22" t="n">
        <f aca="false">INDEX('Tabela Passaro'!$F$2:$F$1795,$N1118)</f>
        <v>9</v>
      </c>
      <c r="R1118" s="32" t="n">
        <f aca="false">IF(J1118&lt;=10,INDEX('Tabela Passaro'!$G$2:$G$1795,$N1118),IF(J1118&lt;=30,INDEX('Tabela Passaro'!$H$2:$H$1795,$N1118),IF(J1118&lt;=50,INDEX('Tabela Passaro'!$I$2:$I$1795,$N1118),IF(J1118&lt;=70,INDEX('Tabela Passaro'!$J$2:$J$1795,$N1118),IF(J1118&lt;=100,INDEX('Tabela Passaro'!$K$2:$K$1795,$N1118),INDEX('Tabela Passaro'!$K$2:$K$1795,$N1118)+(J1118-100)*INDEX('Tabela Passaro'!$L$2:$L$1795,$N1118))))))</f>
        <v>106.33</v>
      </c>
      <c r="S1118" s="32" t="n">
        <f aca="false">K1118*INDEX('Tabela Passaro'!$M$2:$M$1795,$N1118)</f>
        <v>8.5602</v>
      </c>
      <c r="T1118" s="32" t="n">
        <f aca="false">K1118*INDEX('Tabela Passaro'!$N$2:$N$1795,$N1118)</f>
        <v>3.42408</v>
      </c>
      <c r="U1118" s="32" t="n">
        <f aca="false">INDEX('Tabela Passaro'!$O$2:$O$1795,$N1118)</f>
        <v>5</v>
      </c>
      <c r="V1118" s="32" t="n">
        <f aca="false">ROUNDUP(J1118/INDEX('Tabela Passaro'!$Q$2:$Q$1795,$N1118),0)*INDEX('Tabela Passaro'!$P$2:$P$1795,$N1118)</f>
        <v>5</v>
      </c>
      <c r="W1118" s="32" t="n">
        <f aca="false">INDEX('Tabela Passaro'!$R$2:$R$1795,$N1118)</f>
        <v>30</v>
      </c>
      <c r="X1118" s="32" t="n">
        <f aca="false">ROUNDUP(J1118/INDEX('Tabela Passaro'!$T$2:$T$1795,$N1118),0)*INDEX('Tabela Passaro'!$S$2:$S$1795,$N1118)</f>
        <v>0</v>
      </c>
      <c r="Y1118" s="32" t="n">
        <f aca="false">INDEX('Tabela Passaro'!$U$2:$U$1795,$N1118)</f>
        <v>0</v>
      </c>
      <c r="Z1118" s="32" t="n">
        <f aca="false">INDEX('Tabela Passaro'!$V$2:$V$1795,$N1118)</f>
        <v>0</v>
      </c>
      <c r="AA1118" s="32" t="n">
        <f aca="false">SUM(R1118:Z1118)</f>
        <v>158.31428</v>
      </c>
      <c r="AB1118" s="33" t="n">
        <f aca="false">INDEX(Premissas!$B$5:$B$13,MATCH(A1118,Premissas!$A$5:$A$13,0))</f>
        <v>0.07</v>
      </c>
      <c r="AC1118" s="32" t="n">
        <f aca="false">AA1118/(1-AB1118)-AA1118</f>
        <v>11.9161286021505</v>
      </c>
      <c r="AD1118" s="32" t="n">
        <f aca="false">ROUND(AA1118+AC1118,2)</f>
        <v>170.23</v>
      </c>
      <c r="AE1118" s="32" t="n">
        <f aca="false">AD1118-L1118</f>
        <v>-59.88</v>
      </c>
      <c r="AF1118" s="34" t="n">
        <f aca="false">IF(L1118=0,0,AE1118/L1118)</f>
        <v>-0.260223371431055</v>
      </c>
      <c r="AG1118" s="22" t="str">
        <f aca="false">IF(AD1118&lt;L1118,"PASSARO","ATUAL")</f>
        <v>PASSARO</v>
      </c>
      <c r="AH1118" s="22" t="str">
        <f aca="false">IF(P1118&lt;&gt;A1118,"Faixa cadastrada como "&amp;P1118&amp;" na tabela; preço aplicado pela UF do CEP","")</f>
        <v/>
      </c>
      <c r="AI1118" s="26" t="n">
        <v>213.71</v>
      </c>
      <c r="AJ1118" s="22" t="str">
        <f aca="false">INDEX('Tabela Passaro'!$X$2:$X$1795,$N1118)</f>
        <v>CAPITAL</v>
      </c>
    </row>
    <row r="1119" customFormat="false" ht="15" hidden="false" customHeight="false" outlineLevel="0" collapsed="false">
      <c r="A1119" s="22" t="s">
        <v>19</v>
      </c>
      <c r="B1119" s="22" t="n">
        <v>1</v>
      </c>
      <c r="C1119" s="22" t="s">
        <v>131</v>
      </c>
      <c r="D1119" s="22" t="s">
        <v>30</v>
      </c>
      <c r="E1119" s="22" t="s">
        <v>7326</v>
      </c>
      <c r="F1119" s="22" t="n">
        <v>526123</v>
      </c>
      <c r="G1119" s="30" t="n">
        <v>46253</v>
      </c>
      <c r="H1119" s="22" t="n">
        <v>627019</v>
      </c>
      <c r="I1119" s="22" t="s">
        <v>8342</v>
      </c>
      <c r="J1119" s="31" t="n">
        <v>26.9</v>
      </c>
      <c r="K1119" s="26" t="n">
        <v>1179.13</v>
      </c>
      <c r="L1119" s="26" t="n">
        <v>137.1</v>
      </c>
      <c r="M1119" s="22" t="s">
        <v>3926</v>
      </c>
      <c r="N1119" s="22" t="n">
        <f aca="false">MATCH(M1119,'Tabela Passaro'!$A$2:$A$1795,0)</f>
        <v>923</v>
      </c>
      <c r="O1119" s="22" t="str">
        <f aca="false">INDEX('Tabela Passaro'!$C$2:$C$1795,$N1119)</f>
        <v>JOAO PESSOA</v>
      </c>
      <c r="P1119" s="22" t="str">
        <f aca="false">INDEX('Tabela Passaro'!$B$2:$B$1795,$N1119)</f>
        <v>PB</v>
      </c>
      <c r="Q1119" s="22" t="n">
        <f aca="false">INDEX('Tabela Passaro'!$F$2:$F$1795,$N1119)</f>
        <v>9</v>
      </c>
      <c r="R1119" s="32" t="n">
        <f aca="false">IF(J1119&lt;=10,INDEX('Tabela Passaro'!$G$2:$G$1795,$N1119),IF(J1119&lt;=30,INDEX('Tabela Passaro'!$H$2:$H$1795,$N1119),IF(J1119&lt;=50,INDEX('Tabela Passaro'!$I$2:$I$1795,$N1119),IF(J1119&lt;=70,INDEX('Tabela Passaro'!$J$2:$J$1795,$N1119),IF(J1119&lt;=100,INDEX('Tabela Passaro'!$K$2:$K$1795,$N1119),INDEX('Tabela Passaro'!$K$2:$K$1795,$N1119)+(J1119-100)*INDEX('Tabela Passaro'!$L$2:$L$1795,$N1119))))))</f>
        <v>76.28</v>
      </c>
      <c r="S1119" s="32" t="n">
        <f aca="false">K1119*INDEX('Tabela Passaro'!$M$2:$M$1795,$N1119)</f>
        <v>5.89565</v>
      </c>
      <c r="T1119" s="32" t="n">
        <f aca="false">K1119*INDEX('Tabela Passaro'!$N$2:$N$1795,$N1119)</f>
        <v>2.35826</v>
      </c>
      <c r="U1119" s="32" t="n">
        <f aca="false">INDEX('Tabela Passaro'!$O$2:$O$1795,$N1119)</f>
        <v>5</v>
      </c>
      <c r="V1119" s="32" t="n">
        <f aca="false">ROUNDUP(J1119/INDEX('Tabela Passaro'!$Q$2:$Q$1795,$N1119),0)*INDEX('Tabela Passaro'!$P$2:$P$1795,$N1119)</f>
        <v>5</v>
      </c>
      <c r="W1119" s="32" t="n">
        <f aca="false">INDEX('Tabela Passaro'!$R$2:$R$1795,$N1119)</f>
        <v>30</v>
      </c>
      <c r="X1119" s="32" t="n">
        <f aca="false">ROUNDUP(J1119/INDEX('Tabela Passaro'!$T$2:$T$1795,$N1119),0)*INDEX('Tabela Passaro'!$S$2:$S$1795,$N1119)</f>
        <v>0</v>
      </c>
      <c r="Y1119" s="32" t="n">
        <f aca="false">INDEX('Tabela Passaro'!$U$2:$U$1795,$N1119)</f>
        <v>0</v>
      </c>
      <c r="Z1119" s="32" t="n">
        <f aca="false">INDEX('Tabela Passaro'!$V$2:$V$1795,$N1119)</f>
        <v>0</v>
      </c>
      <c r="AA1119" s="32" t="n">
        <f aca="false">SUM(R1119:Z1119)</f>
        <v>124.53391</v>
      </c>
      <c r="AB1119" s="33" t="n">
        <f aca="false">INDEX(Premissas!$B$5:$B$13,MATCH(A1119,Premissas!$A$5:$A$13,0))</f>
        <v>0.07</v>
      </c>
      <c r="AC1119" s="32" t="n">
        <f aca="false">AA1119/(1-AB1119)-AA1119</f>
        <v>9.37352010752689</v>
      </c>
      <c r="AD1119" s="32" t="n">
        <f aca="false">ROUND(AA1119+AC1119,2)</f>
        <v>133.91</v>
      </c>
      <c r="AE1119" s="32" t="n">
        <f aca="false">AD1119-L1119</f>
        <v>-3.19</v>
      </c>
      <c r="AF1119" s="34" t="n">
        <f aca="false">IF(L1119=0,0,AE1119/L1119)</f>
        <v>-0.0232676878191101</v>
      </c>
      <c r="AG1119" s="22" t="str">
        <f aca="false">IF(AD1119&lt;L1119,"PASSARO","ATUAL")</f>
        <v>PASSARO</v>
      </c>
      <c r="AH1119" s="22" t="str">
        <f aca="false">IF(P1119&lt;&gt;A1119,"Faixa cadastrada como "&amp;P1119&amp;" na tabela; preço aplicado pela UF do CEP","")</f>
        <v/>
      </c>
      <c r="AI1119" s="26" t="n">
        <v>152.11</v>
      </c>
      <c r="AJ1119" s="22" t="str">
        <f aca="false">INDEX('Tabela Passaro'!$X$2:$X$1795,$N1119)</f>
        <v>CAPITAL</v>
      </c>
    </row>
    <row r="1120" customFormat="false" ht="15" hidden="false" customHeight="false" outlineLevel="0" collapsed="false">
      <c r="A1120" s="22" t="s">
        <v>19</v>
      </c>
      <c r="B1120" s="22" t="n">
        <v>1</v>
      </c>
      <c r="C1120" s="22" t="s">
        <v>131</v>
      </c>
      <c r="D1120" s="22" t="s">
        <v>30</v>
      </c>
      <c r="E1120" s="22" t="s">
        <v>7328</v>
      </c>
      <c r="F1120" s="22" t="n">
        <v>2314444</v>
      </c>
      <c r="G1120" s="30" t="n">
        <v>46254</v>
      </c>
      <c r="H1120" s="22" t="n">
        <v>134274</v>
      </c>
      <c r="I1120" s="22" t="s">
        <v>8343</v>
      </c>
      <c r="J1120" s="31" t="n">
        <v>66.4</v>
      </c>
      <c r="K1120" s="26" t="n">
        <v>1030.69</v>
      </c>
      <c r="L1120" s="26" t="n">
        <v>191.73</v>
      </c>
      <c r="M1120" s="22" t="s">
        <v>3926</v>
      </c>
      <c r="N1120" s="22" t="n">
        <f aca="false">MATCH(M1120,'Tabela Passaro'!$A$2:$A$1795,0)</f>
        <v>923</v>
      </c>
      <c r="O1120" s="22" t="str">
        <f aca="false">INDEX('Tabela Passaro'!$C$2:$C$1795,$N1120)</f>
        <v>JOAO PESSOA</v>
      </c>
      <c r="P1120" s="22" t="str">
        <f aca="false">INDEX('Tabela Passaro'!$B$2:$B$1795,$N1120)</f>
        <v>PB</v>
      </c>
      <c r="Q1120" s="22" t="n">
        <f aca="false">INDEX('Tabela Passaro'!$F$2:$F$1795,$N1120)</f>
        <v>9</v>
      </c>
      <c r="R1120" s="32" t="n">
        <f aca="false">IF(J1120&lt;=10,INDEX('Tabela Passaro'!$G$2:$G$1795,$N1120),IF(J1120&lt;=30,INDEX('Tabela Passaro'!$H$2:$H$1795,$N1120),IF(J1120&lt;=50,INDEX('Tabela Passaro'!$I$2:$I$1795,$N1120),IF(J1120&lt;=70,INDEX('Tabela Passaro'!$J$2:$J$1795,$N1120),IF(J1120&lt;=100,INDEX('Tabela Passaro'!$K$2:$K$1795,$N1120),INDEX('Tabela Passaro'!$K$2:$K$1795,$N1120)+(J1120-100)*INDEX('Tabela Passaro'!$L$2:$L$1795,$N1120))))))</f>
        <v>106.33</v>
      </c>
      <c r="S1120" s="32" t="n">
        <f aca="false">K1120*INDEX('Tabela Passaro'!$M$2:$M$1795,$N1120)</f>
        <v>5.15345</v>
      </c>
      <c r="T1120" s="32" t="n">
        <f aca="false">K1120*INDEX('Tabela Passaro'!$N$2:$N$1795,$N1120)</f>
        <v>2.06138</v>
      </c>
      <c r="U1120" s="32" t="n">
        <f aca="false">INDEX('Tabela Passaro'!$O$2:$O$1795,$N1120)</f>
        <v>5</v>
      </c>
      <c r="V1120" s="32" t="n">
        <f aca="false">ROUNDUP(J1120/INDEX('Tabela Passaro'!$Q$2:$Q$1795,$N1120),0)*INDEX('Tabela Passaro'!$P$2:$P$1795,$N1120)</f>
        <v>5</v>
      </c>
      <c r="W1120" s="32" t="n">
        <f aca="false">INDEX('Tabela Passaro'!$R$2:$R$1795,$N1120)</f>
        <v>30</v>
      </c>
      <c r="X1120" s="32" t="n">
        <f aca="false">ROUNDUP(J1120/INDEX('Tabela Passaro'!$T$2:$T$1795,$N1120),0)*INDEX('Tabela Passaro'!$S$2:$S$1795,$N1120)</f>
        <v>0</v>
      </c>
      <c r="Y1120" s="32" t="n">
        <f aca="false">INDEX('Tabela Passaro'!$U$2:$U$1795,$N1120)</f>
        <v>0</v>
      </c>
      <c r="Z1120" s="32" t="n">
        <f aca="false">INDEX('Tabela Passaro'!$V$2:$V$1795,$N1120)</f>
        <v>0</v>
      </c>
      <c r="AA1120" s="32" t="n">
        <f aca="false">SUM(R1120:Z1120)</f>
        <v>153.54483</v>
      </c>
      <c r="AB1120" s="33" t="n">
        <f aca="false">INDEX(Premissas!$B$5:$B$13,MATCH(A1120,Premissas!$A$5:$A$13,0))</f>
        <v>0.07</v>
      </c>
      <c r="AC1120" s="32" t="n">
        <f aca="false">AA1120/(1-AB1120)-AA1120</f>
        <v>11.5571377419355</v>
      </c>
      <c r="AD1120" s="32" t="n">
        <f aca="false">ROUND(AA1120+AC1120,2)</f>
        <v>165.1</v>
      </c>
      <c r="AE1120" s="32" t="n">
        <f aca="false">AD1120-L1120</f>
        <v>-26.63</v>
      </c>
      <c r="AF1120" s="34" t="n">
        <f aca="false">IF(L1120=0,0,AE1120/L1120)</f>
        <v>-0.138893235278777</v>
      </c>
      <c r="AG1120" s="22" t="str">
        <f aca="false">IF(AD1120&lt;L1120,"PASSARO","ATUAL")</f>
        <v>PASSARO</v>
      </c>
      <c r="AH1120" s="22" t="str">
        <f aca="false">IF(P1120&lt;&gt;A1120,"Faixa cadastrada como "&amp;P1120&amp;" na tabela; preço aplicado pela UF do CEP","")</f>
        <v/>
      </c>
      <c r="AI1120" s="26" t="n">
        <v>207.6</v>
      </c>
      <c r="AJ1120" s="22" t="str">
        <f aca="false">INDEX('Tabela Passaro'!$X$2:$X$1795,$N1120)</f>
        <v>CAPITAL</v>
      </c>
    </row>
    <row r="1121" customFormat="false" ht="15" hidden="false" customHeight="false" outlineLevel="0" collapsed="false">
      <c r="A1121" s="22" t="s">
        <v>19</v>
      </c>
      <c r="B1121" s="22" t="n">
        <v>1</v>
      </c>
      <c r="C1121" s="22" t="s">
        <v>131</v>
      </c>
      <c r="D1121" s="22" t="s">
        <v>30</v>
      </c>
      <c r="E1121" s="22" t="s">
        <v>20</v>
      </c>
      <c r="F1121" s="22" t="n">
        <v>839927</v>
      </c>
      <c r="G1121" s="30" t="n">
        <v>46258</v>
      </c>
      <c r="H1121" s="22" t="n">
        <v>32608</v>
      </c>
      <c r="I1121" s="22" t="s">
        <v>8344</v>
      </c>
      <c r="J1121" s="31" t="n">
        <v>39</v>
      </c>
      <c r="K1121" s="26" t="n">
        <v>768.72</v>
      </c>
      <c r="L1121" s="26" t="n">
        <v>136.39</v>
      </c>
      <c r="M1121" s="22" t="s">
        <v>3926</v>
      </c>
      <c r="N1121" s="22" t="n">
        <f aca="false">MATCH(M1121,'Tabela Passaro'!$A$2:$A$1795,0)</f>
        <v>923</v>
      </c>
      <c r="O1121" s="22" t="str">
        <f aca="false">INDEX('Tabela Passaro'!$C$2:$C$1795,$N1121)</f>
        <v>JOAO PESSOA</v>
      </c>
      <c r="P1121" s="22" t="str">
        <f aca="false">INDEX('Tabela Passaro'!$B$2:$B$1795,$N1121)</f>
        <v>PB</v>
      </c>
      <c r="Q1121" s="22" t="n">
        <f aca="false">INDEX('Tabela Passaro'!$F$2:$F$1795,$N1121)</f>
        <v>9</v>
      </c>
      <c r="R1121" s="32" t="n">
        <f aca="false">IF(J1121&lt;=10,INDEX('Tabela Passaro'!$G$2:$G$1795,$N1121),IF(J1121&lt;=30,INDEX('Tabela Passaro'!$H$2:$H$1795,$N1121),IF(J1121&lt;=50,INDEX('Tabela Passaro'!$I$2:$I$1795,$N1121),IF(J1121&lt;=70,INDEX('Tabela Passaro'!$J$2:$J$1795,$N1121),IF(J1121&lt;=100,INDEX('Tabela Passaro'!$K$2:$K$1795,$N1121),INDEX('Tabela Passaro'!$K$2:$K$1795,$N1121)+(J1121-100)*INDEX('Tabela Passaro'!$L$2:$L$1795,$N1121))))))</f>
        <v>96.32</v>
      </c>
      <c r="S1121" s="32" t="n">
        <f aca="false">K1121*INDEX('Tabela Passaro'!$M$2:$M$1795,$N1121)</f>
        <v>3.8436</v>
      </c>
      <c r="T1121" s="32" t="n">
        <f aca="false">K1121*INDEX('Tabela Passaro'!$N$2:$N$1795,$N1121)</f>
        <v>1.53744</v>
      </c>
      <c r="U1121" s="32" t="n">
        <f aca="false">INDEX('Tabela Passaro'!$O$2:$O$1795,$N1121)</f>
        <v>5</v>
      </c>
      <c r="V1121" s="32" t="n">
        <f aca="false">ROUNDUP(J1121/INDEX('Tabela Passaro'!$Q$2:$Q$1795,$N1121),0)*INDEX('Tabela Passaro'!$P$2:$P$1795,$N1121)</f>
        <v>5</v>
      </c>
      <c r="W1121" s="32" t="n">
        <f aca="false">INDEX('Tabela Passaro'!$R$2:$R$1795,$N1121)</f>
        <v>30</v>
      </c>
      <c r="X1121" s="32" t="n">
        <f aca="false">ROUNDUP(J1121/INDEX('Tabela Passaro'!$T$2:$T$1795,$N1121),0)*INDEX('Tabela Passaro'!$S$2:$S$1795,$N1121)</f>
        <v>0</v>
      </c>
      <c r="Y1121" s="32" t="n">
        <f aca="false">INDEX('Tabela Passaro'!$U$2:$U$1795,$N1121)</f>
        <v>0</v>
      </c>
      <c r="Z1121" s="32" t="n">
        <f aca="false">INDEX('Tabela Passaro'!$V$2:$V$1795,$N1121)</f>
        <v>0</v>
      </c>
      <c r="AA1121" s="32" t="n">
        <f aca="false">SUM(R1121:Z1121)</f>
        <v>141.70104</v>
      </c>
      <c r="AB1121" s="33" t="n">
        <f aca="false">INDEX(Premissas!$B$5:$B$13,MATCH(A1121,Premissas!$A$5:$A$13,0))</f>
        <v>0.07</v>
      </c>
      <c r="AC1121" s="32" t="n">
        <f aca="false">AA1121/(1-AB1121)-AA1121</f>
        <v>10.6656696774194</v>
      </c>
      <c r="AD1121" s="32" t="n">
        <f aca="false">ROUND(AA1121+AC1121,2)</f>
        <v>152.37</v>
      </c>
      <c r="AE1121" s="32" t="n">
        <f aca="false">AD1121-L1121</f>
        <v>15.98</v>
      </c>
      <c r="AF1121" s="34" t="n">
        <f aca="false">IF(L1121=0,0,AE1121/L1121)</f>
        <v>0.117164014957108</v>
      </c>
      <c r="AG1121" s="22" t="str">
        <f aca="false">IF(AD1121&lt;L1121,"PASSARO","ATUAL")</f>
        <v>ATUAL</v>
      </c>
      <c r="AH1121" s="22" t="str">
        <f aca="false">IF(P1121&lt;&gt;A1121,"Faixa cadastrada como "&amp;P1121&amp;" na tabela; preço aplicado pela UF do CEP","")</f>
        <v/>
      </c>
      <c r="AI1121" s="26" t="n">
        <v>179</v>
      </c>
      <c r="AJ1121" s="22" t="str">
        <f aca="false">INDEX('Tabela Passaro'!$X$2:$X$1795,$N1121)</f>
        <v>CAPITAL</v>
      </c>
    </row>
    <row r="1122" customFormat="false" ht="15" hidden="false" customHeight="false" outlineLevel="0" collapsed="false">
      <c r="A1122" s="22" t="s">
        <v>19</v>
      </c>
      <c r="B1122" s="22" t="n">
        <v>1</v>
      </c>
      <c r="C1122" s="22" t="s">
        <v>131</v>
      </c>
      <c r="D1122" s="22" t="s">
        <v>30</v>
      </c>
      <c r="E1122" s="22" t="s">
        <v>20</v>
      </c>
      <c r="F1122" s="22" t="n">
        <v>839945</v>
      </c>
      <c r="G1122" s="30" t="n">
        <v>46258</v>
      </c>
      <c r="H1122" s="22" t="n">
        <v>32612</v>
      </c>
      <c r="I1122" s="22" t="s">
        <v>8345</v>
      </c>
      <c r="J1122" s="31" t="n">
        <v>26.9</v>
      </c>
      <c r="K1122" s="26" t="n">
        <v>519.39</v>
      </c>
      <c r="L1122" s="26" t="n">
        <v>105.38</v>
      </c>
      <c r="M1122" s="22" t="s">
        <v>3926</v>
      </c>
      <c r="N1122" s="22" t="n">
        <f aca="false">MATCH(M1122,'Tabela Passaro'!$A$2:$A$1795,0)</f>
        <v>923</v>
      </c>
      <c r="O1122" s="22" t="str">
        <f aca="false">INDEX('Tabela Passaro'!$C$2:$C$1795,$N1122)</f>
        <v>JOAO PESSOA</v>
      </c>
      <c r="P1122" s="22" t="str">
        <f aca="false">INDEX('Tabela Passaro'!$B$2:$B$1795,$N1122)</f>
        <v>PB</v>
      </c>
      <c r="Q1122" s="22" t="n">
        <f aca="false">INDEX('Tabela Passaro'!$F$2:$F$1795,$N1122)</f>
        <v>9</v>
      </c>
      <c r="R1122" s="32" t="n">
        <f aca="false">IF(J1122&lt;=10,INDEX('Tabela Passaro'!$G$2:$G$1795,$N1122),IF(J1122&lt;=30,INDEX('Tabela Passaro'!$H$2:$H$1795,$N1122),IF(J1122&lt;=50,INDEX('Tabela Passaro'!$I$2:$I$1795,$N1122),IF(J1122&lt;=70,INDEX('Tabela Passaro'!$J$2:$J$1795,$N1122),IF(J1122&lt;=100,INDEX('Tabela Passaro'!$K$2:$K$1795,$N1122),INDEX('Tabela Passaro'!$K$2:$K$1795,$N1122)+(J1122-100)*INDEX('Tabela Passaro'!$L$2:$L$1795,$N1122))))))</f>
        <v>76.28</v>
      </c>
      <c r="S1122" s="32" t="n">
        <f aca="false">K1122*INDEX('Tabela Passaro'!$M$2:$M$1795,$N1122)</f>
        <v>2.59695</v>
      </c>
      <c r="T1122" s="32" t="n">
        <f aca="false">K1122*INDEX('Tabela Passaro'!$N$2:$N$1795,$N1122)</f>
        <v>1.03878</v>
      </c>
      <c r="U1122" s="32" t="n">
        <f aca="false">INDEX('Tabela Passaro'!$O$2:$O$1795,$N1122)</f>
        <v>5</v>
      </c>
      <c r="V1122" s="32" t="n">
        <f aca="false">ROUNDUP(J1122/INDEX('Tabela Passaro'!$Q$2:$Q$1795,$N1122),0)*INDEX('Tabela Passaro'!$P$2:$P$1795,$N1122)</f>
        <v>5</v>
      </c>
      <c r="W1122" s="32" t="n">
        <f aca="false">INDEX('Tabela Passaro'!$R$2:$R$1795,$N1122)</f>
        <v>30</v>
      </c>
      <c r="X1122" s="32" t="n">
        <f aca="false">ROUNDUP(J1122/INDEX('Tabela Passaro'!$T$2:$T$1795,$N1122),0)*INDEX('Tabela Passaro'!$S$2:$S$1795,$N1122)</f>
        <v>0</v>
      </c>
      <c r="Y1122" s="32" t="n">
        <f aca="false">INDEX('Tabela Passaro'!$U$2:$U$1795,$N1122)</f>
        <v>0</v>
      </c>
      <c r="Z1122" s="32" t="n">
        <f aca="false">INDEX('Tabela Passaro'!$V$2:$V$1795,$N1122)</f>
        <v>0</v>
      </c>
      <c r="AA1122" s="32" t="n">
        <f aca="false">SUM(R1122:Z1122)</f>
        <v>119.91573</v>
      </c>
      <c r="AB1122" s="33" t="n">
        <f aca="false">INDEX(Premissas!$B$5:$B$13,MATCH(A1122,Premissas!$A$5:$A$13,0))</f>
        <v>0.07</v>
      </c>
      <c r="AC1122" s="32" t="n">
        <f aca="false">AA1122/(1-AB1122)-AA1122</f>
        <v>9.02591516129033</v>
      </c>
      <c r="AD1122" s="32" t="n">
        <f aca="false">ROUND(AA1122+AC1122,2)</f>
        <v>128.94</v>
      </c>
      <c r="AE1122" s="32" t="n">
        <f aca="false">AD1122-L1122</f>
        <v>23.56</v>
      </c>
      <c r="AF1122" s="34" t="n">
        <f aca="false">IF(L1122=0,0,AE1122/L1122)</f>
        <v>0.223571835262858</v>
      </c>
      <c r="AG1122" s="22" t="str">
        <f aca="false">IF(AD1122&lt;L1122,"PASSARO","ATUAL")</f>
        <v>ATUAL</v>
      </c>
      <c r="AH1122" s="22" t="str">
        <f aca="false">IF(P1122&lt;&gt;A1122,"Faixa cadastrada como "&amp;P1122&amp;" na tabela; preço aplicado pela UF do CEP","")</f>
        <v/>
      </c>
      <c r="AI1122" s="26" t="n">
        <v>145.73</v>
      </c>
      <c r="AJ1122" s="22" t="str">
        <f aca="false">INDEX('Tabela Passaro'!$X$2:$X$1795,$N1122)</f>
        <v>CAPITAL</v>
      </c>
    </row>
    <row r="1123" customFormat="false" ht="15" hidden="false" customHeight="false" outlineLevel="0" collapsed="false">
      <c r="A1123" s="22" t="s">
        <v>19</v>
      </c>
      <c r="B1123" s="22" t="n">
        <v>1</v>
      </c>
      <c r="C1123" s="22" t="s">
        <v>131</v>
      </c>
      <c r="D1123" s="22" t="s">
        <v>30</v>
      </c>
      <c r="E1123" s="22" t="s">
        <v>7328</v>
      </c>
      <c r="F1123" s="22" t="n">
        <v>2315687</v>
      </c>
      <c r="G1123" s="30" t="n">
        <v>46258</v>
      </c>
      <c r="H1123" s="22" t="n">
        <v>134413</v>
      </c>
      <c r="I1123" s="22" t="s">
        <v>8346</v>
      </c>
      <c r="J1123" s="31" t="n">
        <v>33.3</v>
      </c>
      <c r="K1123" s="26" t="n">
        <v>549.98</v>
      </c>
      <c r="L1123" s="26" t="n">
        <v>158.38</v>
      </c>
      <c r="M1123" s="22" t="s">
        <v>3926</v>
      </c>
      <c r="N1123" s="22" t="n">
        <f aca="false">MATCH(M1123,'Tabela Passaro'!$A$2:$A$1795,0)</f>
        <v>923</v>
      </c>
      <c r="O1123" s="22" t="str">
        <f aca="false">INDEX('Tabela Passaro'!$C$2:$C$1795,$N1123)</f>
        <v>JOAO PESSOA</v>
      </c>
      <c r="P1123" s="22" t="str">
        <f aca="false">INDEX('Tabela Passaro'!$B$2:$B$1795,$N1123)</f>
        <v>PB</v>
      </c>
      <c r="Q1123" s="22" t="n">
        <f aca="false">INDEX('Tabela Passaro'!$F$2:$F$1795,$N1123)</f>
        <v>9</v>
      </c>
      <c r="R1123" s="32" t="n">
        <f aca="false">IF(J1123&lt;=10,INDEX('Tabela Passaro'!$G$2:$G$1795,$N1123),IF(J1123&lt;=30,INDEX('Tabela Passaro'!$H$2:$H$1795,$N1123),IF(J1123&lt;=50,INDEX('Tabela Passaro'!$I$2:$I$1795,$N1123),IF(J1123&lt;=70,INDEX('Tabela Passaro'!$J$2:$J$1795,$N1123),IF(J1123&lt;=100,INDEX('Tabela Passaro'!$K$2:$K$1795,$N1123),INDEX('Tabela Passaro'!$K$2:$K$1795,$N1123)+(J1123-100)*INDEX('Tabela Passaro'!$L$2:$L$1795,$N1123))))))</f>
        <v>96.32</v>
      </c>
      <c r="S1123" s="32" t="n">
        <f aca="false">K1123*INDEX('Tabela Passaro'!$M$2:$M$1795,$N1123)</f>
        <v>2.7499</v>
      </c>
      <c r="T1123" s="32" t="n">
        <f aca="false">K1123*INDEX('Tabela Passaro'!$N$2:$N$1795,$N1123)</f>
        <v>1.09996</v>
      </c>
      <c r="U1123" s="32" t="n">
        <f aca="false">INDEX('Tabela Passaro'!$O$2:$O$1795,$N1123)</f>
        <v>5</v>
      </c>
      <c r="V1123" s="32" t="n">
        <f aca="false">ROUNDUP(J1123/INDEX('Tabela Passaro'!$Q$2:$Q$1795,$N1123),0)*INDEX('Tabela Passaro'!$P$2:$P$1795,$N1123)</f>
        <v>5</v>
      </c>
      <c r="W1123" s="32" t="n">
        <f aca="false">INDEX('Tabela Passaro'!$R$2:$R$1795,$N1123)</f>
        <v>30</v>
      </c>
      <c r="X1123" s="32" t="n">
        <f aca="false">ROUNDUP(J1123/INDEX('Tabela Passaro'!$T$2:$T$1795,$N1123),0)*INDEX('Tabela Passaro'!$S$2:$S$1795,$N1123)</f>
        <v>0</v>
      </c>
      <c r="Y1123" s="32" t="n">
        <f aca="false">INDEX('Tabela Passaro'!$U$2:$U$1795,$N1123)</f>
        <v>0</v>
      </c>
      <c r="Z1123" s="32" t="n">
        <f aca="false">INDEX('Tabela Passaro'!$V$2:$V$1795,$N1123)</f>
        <v>0</v>
      </c>
      <c r="AA1123" s="32" t="n">
        <f aca="false">SUM(R1123:Z1123)</f>
        <v>140.16986</v>
      </c>
      <c r="AB1123" s="33" t="n">
        <f aca="false">INDEX(Premissas!$B$5:$B$13,MATCH(A1123,Premissas!$A$5:$A$13,0))</f>
        <v>0.07</v>
      </c>
      <c r="AC1123" s="32" t="n">
        <f aca="false">AA1123/(1-AB1123)-AA1123</f>
        <v>10.5504195698925</v>
      </c>
      <c r="AD1123" s="32" t="n">
        <f aca="false">ROUND(AA1123+AC1123,2)</f>
        <v>150.72</v>
      </c>
      <c r="AE1123" s="32" t="n">
        <f aca="false">AD1123-L1123</f>
        <v>-7.66</v>
      </c>
      <c r="AF1123" s="34" t="n">
        <f aca="false">IF(L1123=0,0,AE1123/L1123)</f>
        <v>-0.0483646925116808</v>
      </c>
      <c r="AG1123" s="22" t="str">
        <f aca="false">IF(AD1123&lt;L1123,"PASSARO","ATUAL")</f>
        <v>PASSARO</v>
      </c>
      <c r="AH1123" s="22" t="str">
        <f aca="false">IF(P1123&lt;&gt;A1123,"Faixa cadastrada como "&amp;P1123&amp;" na tabela; preço aplicado pela UF do CEP","")</f>
        <v/>
      </c>
      <c r="AI1123" s="26" t="n">
        <v>174.46</v>
      </c>
      <c r="AJ1123" s="22" t="str">
        <f aca="false">INDEX('Tabela Passaro'!$X$2:$X$1795,$N1123)</f>
        <v>CAPITAL</v>
      </c>
    </row>
    <row r="1124" customFormat="false" ht="15" hidden="false" customHeight="false" outlineLevel="0" collapsed="false">
      <c r="A1124" s="22" t="s">
        <v>19</v>
      </c>
      <c r="B1124" s="22" t="n">
        <v>1</v>
      </c>
      <c r="C1124" s="22" t="s">
        <v>131</v>
      </c>
      <c r="D1124" s="22" t="s">
        <v>30</v>
      </c>
      <c r="E1124" s="22" t="s">
        <v>7328</v>
      </c>
      <c r="F1124" s="22" t="n">
        <v>2315614</v>
      </c>
      <c r="G1124" s="30" t="n">
        <v>46258</v>
      </c>
      <c r="H1124" s="22" t="n">
        <v>135345</v>
      </c>
      <c r="I1124" s="22" t="s">
        <v>8347</v>
      </c>
      <c r="J1124" s="31" t="n">
        <v>26.9</v>
      </c>
      <c r="K1124" s="26" t="n">
        <v>492.08</v>
      </c>
      <c r="L1124" s="26" t="n">
        <v>121</v>
      </c>
      <c r="M1124" s="22" t="s">
        <v>3926</v>
      </c>
      <c r="N1124" s="22" t="n">
        <f aca="false">MATCH(M1124,'Tabela Passaro'!$A$2:$A$1795,0)</f>
        <v>923</v>
      </c>
      <c r="O1124" s="22" t="str">
        <f aca="false">INDEX('Tabela Passaro'!$C$2:$C$1795,$N1124)</f>
        <v>JOAO PESSOA</v>
      </c>
      <c r="P1124" s="22" t="str">
        <f aca="false">INDEX('Tabela Passaro'!$B$2:$B$1795,$N1124)</f>
        <v>PB</v>
      </c>
      <c r="Q1124" s="22" t="n">
        <f aca="false">INDEX('Tabela Passaro'!$F$2:$F$1795,$N1124)</f>
        <v>9</v>
      </c>
      <c r="R1124" s="32" t="n">
        <f aca="false">IF(J1124&lt;=10,INDEX('Tabela Passaro'!$G$2:$G$1795,$N1124),IF(J1124&lt;=30,INDEX('Tabela Passaro'!$H$2:$H$1795,$N1124),IF(J1124&lt;=50,INDEX('Tabela Passaro'!$I$2:$I$1795,$N1124),IF(J1124&lt;=70,INDEX('Tabela Passaro'!$J$2:$J$1795,$N1124),IF(J1124&lt;=100,INDEX('Tabela Passaro'!$K$2:$K$1795,$N1124),INDEX('Tabela Passaro'!$K$2:$K$1795,$N1124)+(J1124-100)*INDEX('Tabela Passaro'!$L$2:$L$1795,$N1124))))))</f>
        <v>76.28</v>
      </c>
      <c r="S1124" s="32" t="n">
        <f aca="false">K1124*INDEX('Tabela Passaro'!$M$2:$M$1795,$N1124)</f>
        <v>2.4604</v>
      </c>
      <c r="T1124" s="32" t="n">
        <f aca="false">K1124*INDEX('Tabela Passaro'!$N$2:$N$1795,$N1124)</f>
        <v>0.98416</v>
      </c>
      <c r="U1124" s="32" t="n">
        <f aca="false">INDEX('Tabela Passaro'!$O$2:$O$1795,$N1124)</f>
        <v>5</v>
      </c>
      <c r="V1124" s="32" t="n">
        <f aca="false">ROUNDUP(J1124/INDEX('Tabela Passaro'!$Q$2:$Q$1795,$N1124),0)*INDEX('Tabela Passaro'!$P$2:$P$1795,$N1124)</f>
        <v>5</v>
      </c>
      <c r="W1124" s="32" t="n">
        <f aca="false">INDEX('Tabela Passaro'!$R$2:$R$1795,$N1124)</f>
        <v>30</v>
      </c>
      <c r="X1124" s="32" t="n">
        <f aca="false">ROUNDUP(J1124/INDEX('Tabela Passaro'!$T$2:$T$1795,$N1124),0)*INDEX('Tabela Passaro'!$S$2:$S$1795,$N1124)</f>
        <v>0</v>
      </c>
      <c r="Y1124" s="32" t="n">
        <f aca="false">INDEX('Tabela Passaro'!$U$2:$U$1795,$N1124)</f>
        <v>0</v>
      </c>
      <c r="Z1124" s="32" t="n">
        <f aca="false">INDEX('Tabela Passaro'!$V$2:$V$1795,$N1124)</f>
        <v>0</v>
      </c>
      <c r="AA1124" s="32" t="n">
        <f aca="false">SUM(R1124:Z1124)</f>
        <v>119.72456</v>
      </c>
      <c r="AB1124" s="33" t="n">
        <f aca="false">INDEX(Premissas!$B$5:$B$13,MATCH(A1124,Premissas!$A$5:$A$13,0))</f>
        <v>0.07</v>
      </c>
      <c r="AC1124" s="32" t="n">
        <f aca="false">AA1124/(1-AB1124)-AA1124</f>
        <v>9.01152602150538</v>
      </c>
      <c r="AD1124" s="32" t="n">
        <f aca="false">ROUND(AA1124+AC1124,2)</f>
        <v>128.74</v>
      </c>
      <c r="AE1124" s="32" t="n">
        <f aca="false">AD1124-L1124</f>
        <v>7.74000000000001</v>
      </c>
      <c r="AF1124" s="34" t="n">
        <f aca="false">IF(L1124=0,0,AE1124/L1124)</f>
        <v>0.0639669421487604</v>
      </c>
      <c r="AG1124" s="22" t="str">
        <f aca="false">IF(AD1124&lt;L1124,"PASSARO","ATUAL")</f>
        <v>ATUAL</v>
      </c>
      <c r="AH1124" s="22" t="str">
        <f aca="false">IF(P1124&lt;&gt;A1124,"Faixa cadastrada como "&amp;P1124&amp;" na tabela; preço aplicado pela UF do CEP","")</f>
        <v/>
      </c>
      <c r="AI1124" s="26" t="n">
        <v>145.46</v>
      </c>
      <c r="AJ1124" s="22" t="str">
        <f aca="false">INDEX('Tabela Passaro'!$X$2:$X$1795,$N1124)</f>
        <v>CAPITAL</v>
      </c>
    </row>
    <row r="1125" customFormat="false" ht="15" hidden="false" customHeight="false" outlineLevel="0" collapsed="false">
      <c r="A1125" s="22" t="s">
        <v>19</v>
      </c>
      <c r="B1125" s="22" t="n">
        <v>1</v>
      </c>
      <c r="C1125" s="22" t="s">
        <v>131</v>
      </c>
      <c r="D1125" s="22" t="s">
        <v>30</v>
      </c>
      <c r="E1125" s="22" t="s">
        <v>7326</v>
      </c>
      <c r="F1125" s="22" t="n">
        <v>527067</v>
      </c>
      <c r="G1125" s="30" t="n">
        <v>46258</v>
      </c>
      <c r="H1125" s="22" t="n">
        <v>628478</v>
      </c>
      <c r="I1125" s="22" t="s">
        <v>8348</v>
      </c>
      <c r="J1125" s="31" t="n">
        <v>73.1</v>
      </c>
      <c r="K1125" s="26" t="n">
        <v>1072.52</v>
      </c>
      <c r="L1125" s="26" t="n">
        <v>290.45</v>
      </c>
      <c r="M1125" s="22" t="s">
        <v>3926</v>
      </c>
      <c r="N1125" s="22" t="n">
        <f aca="false">MATCH(M1125,'Tabela Passaro'!$A$2:$A$1795,0)</f>
        <v>923</v>
      </c>
      <c r="O1125" s="22" t="str">
        <f aca="false">INDEX('Tabela Passaro'!$C$2:$C$1795,$N1125)</f>
        <v>JOAO PESSOA</v>
      </c>
      <c r="P1125" s="22" t="str">
        <f aca="false">INDEX('Tabela Passaro'!$B$2:$B$1795,$N1125)</f>
        <v>PB</v>
      </c>
      <c r="Q1125" s="22" t="n">
        <f aca="false">INDEX('Tabela Passaro'!$F$2:$F$1795,$N1125)</f>
        <v>9</v>
      </c>
      <c r="R1125" s="32" t="n">
        <f aca="false">IF(J1125&lt;=10,INDEX('Tabela Passaro'!$G$2:$G$1795,$N1125),IF(J1125&lt;=30,INDEX('Tabela Passaro'!$H$2:$H$1795,$N1125),IF(J1125&lt;=50,INDEX('Tabela Passaro'!$I$2:$I$1795,$N1125),IF(J1125&lt;=70,INDEX('Tabela Passaro'!$J$2:$J$1795,$N1125),IF(J1125&lt;=100,INDEX('Tabela Passaro'!$K$2:$K$1795,$N1125),INDEX('Tabela Passaro'!$K$2:$K$1795,$N1125)+(J1125-100)*INDEX('Tabela Passaro'!$L$2:$L$1795,$N1125))))))</f>
        <v>121.36</v>
      </c>
      <c r="S1125" s="32" t="n">
        <f aca="false">K1125*INDEX('Tabela Passaro'!$M$2:$M$1795,$N1125)</f>
        <v>5.3626</v>
      </c>
      <c r="T1125" s="32" t="n">
        <f aca="false">K1125*INDEX('Tabela Passaro'!$N$2:$N$1795,$N1125)</f>
        <v>2.14504</v>
      </c>
      <c r="U1125" s="32" t="n">
        <f aca="false">INDEX('Tabela Passaro'!$O$2:$O$1795,$N1125)</f>
        <v>5</v>
      </c>
      <c r="V1125" s="32" t="n">
        <f aca="false">ROUNDUP(J1125/INDEX('Tabela Passaro'!$Q$2:$Q$1795,$N1125),0)*INDEX('Tabela Passaro'!$P$2:$P$1795,$N1125)</f>
        <v>5</v>
      </c>
      <c r="W1125" s="32" t="n">
        <f aca="false">INDEX('Tabela Passaro'!$R$2:$R$1795,$N1125)</f>
        <v>30</v>
      </c>
      <c r="X1125" s="32" t="n">
        <f aca="false">ROUNDUP(J1125/INDEX('Tabela Passaro'!$T$2:$T$1795,$N1125),0)*INDEX('Tabela Passaro'!$S$2:$S$1795,$N1125)</f>
        <v>0</v>
      </c>
      <c r="Y1125" s="32" t="n">
        <f aca="false">INDEX('Tabela Passaro'!$U$2:$U$1795,$N1125)</f>
        <v>0</v>
      </c>
      <c r="Z1125" s="32" t="n">
        <f aca="false">INDEX('Tabela Passaro'!$V$2:$V$1795,$N1125)</f>
        <v>0</v>
      </c>
      <c r="AA1125" s="32" t="n">
        <f aca="false">SUM(R1125:Z1125)</f>
        <v>168.86764</v>
      </c>
      <c r="AB1125" s="33" t="n">
        <f aca="false">INDEX(Premissas!$B$5:$B$13,MATCH(A1125,Premissas!$A$5:$A$13,0))</f>
        <v>0.07</v>
      </c>
      <c r="AC1125" s="32" t="n">
        <f aca="false">AA1125/(1-AB1125)-AA1125</f>
        <v>12.7104675268817</v>
      </c>
      <c r="AD1125" s="32" t="n">
        <f aca="false">ROUND(AA1125+AC1125,2)</f>
        <v>181.58</v>
      </c>
      <c r="AE1125" s="32" t="n">
        <f aca="false">AD1125-L1125</f>
        <v>-108.87</v>
      </c>
      <c r="AF1125" s="34" t="n">
        <f aca="false">IF(L1125=0,0,AE1125/L1125)</f>
        <v>-0.374832156997762</v>
      </c>
      <c r="AG1125" s="22" t="str">
        <f aca="false">IF(AD1125&lt;L1125,"PASSARO","ATUAL")</f>
        <v>PASSARO</v>
      </c>
      <c r="AH1125" s="22" t="str">
        <f aca="false">IF(P1125&lt;&gt;A1125,"Faixa cadastrada como "&amp;P1125&amp;" na tabela; preço aplicado pela UF do CEP","")</f>
        <v/>
      </c>
      <c r="AI1125" s="26" t="n">
        <v>230.19</v>
      </c>
      <c r="AJ1125" s="22" t="str">
        <f aca="false">INDEX('Tabela Passaro'!$X$2:$X$1795,$N1125)</f>
        <v>CAPITAL</v>
      </c>
    </row>
    <row r="1126" customFormat="false" ht="15" hidden="false" customHeight="false" outlineLevel="0" collapsed="false">
      <c r="A1126" s="22" t="s">
        <v>19</v>
      </c>
      <c r="B1126" s="22" t="n">
        <v>1</v>
      </c>
      <c r="C1126" s="22" t="s">
        <v>131</v>
      </c>
      <c r="D1126" s="22" t="s">
        <v>30</v>
      </c>
      <c r="E1126" s="22" t="s">
        <v>20</v>
      </c>
      <c r="F1126" s="22" t="n">
        <v>840013</v>
      </c>
      <c r="G1126" s="30" t="n">
        <v>46259</v>
      </c>
      <c r="H1126" s="22" t="n">
        <v>32660</v>
      </c>
      <c r="I1126" s="22" t="s">
        <v>8349</v>
      </c>
      <c r="J1126" s="31" t="n">
        <v>52.15</v>
      </c>
      <c r="K1126" s="26" t="n">
        <v>775.02</v>
      </c>
      <c r="L1126" s="26" t="n">
        <v>153.24</v>
      </c>
      <c r="M1126" s="22" t="s">
        <v>3926</v>
      </c>
      <c r="N1126" s="22" t="n">
        <f aca="false">MATCH(M1126,'Tabela Passaro'!$A$2:$A$1795,0)</f>
        <v>923</v>
      </c>
      <c r="O1126" s="22" t="str">
        <f aca="false">INDEX('Tabela Passaro'!$C$2:$C$1795,$N1126)</f>
        <v>JOAO PESSOA</v>
      </c>
      <c r="P1126" s="22" t="str">
        <f aca="false">INDEX('Tabela Passaro'!$B$2:$B$1795,$N1126)</f>
        <v>PB</v>
      </c>
      <c r="Q1126" s="22" t="n">
        <f aca="false">INDEX('Tabela Passaro'!$F$2:$F$1795,$N1126)</f>
        <v>9</v>
      </c>
      <c r="R1126" s="32" t="n">
        <f aca="false">IF(J1126&lt;=10,INDEX('Tabela Passaro'!$G$2:$G$1795,$N1126),IF(J1126&lt;=30,INDEX('Tabela Passaro'!$H$2:$H$1795,$N1126),IF(J1126&lt;=50,INDEX('Tabela Passaro'!$I$2:$I$1795,$N1126),IF(J1126&lt;=70,INDEX('Tabela Passaro'!$J$2:$J$1795,$N1126),IF(J1126&lt;=100,INDEX('Tabela Passaro'!$K$2:$K$1795,$N1126),INDEX('Tabela Passaro'!$K$2:$K$1795,$N1126)+(J1126-100)*INDEX('Tabela Passaro'!$L$2:$L$1795,$N1126))))))</f>
        <v>106.33</v>
      </c>
      <c r="S1126" s="32" t="n">
        <f aca="false">K1126*INDEX('Tabela Passaro'!$M$2:$M$1795,$N1126)</f>
        <v>3.8751</v>
      </c>
      <c r="T1126" s="32" t="n">
        <f aca="false">K1126*INDEX('Tabela Passaro'!$N$2:$N$1795,$N1126)</f>
        <v>1.55004</v>
      </c>
      <c r="U1126" s="32" t="n">
        <f aca="false">INDEX('Tabela Passaro'!$O$2:$O$1795,$N1126)</f>
        <v>5</v>
      </c>
      <c r="V1126" s="32" t="n">
        <f aca="false">ROUNDUP(J1126/INDEX('Tabela Passaro'!$Q$2:$Q$1795,$N1126),0)*INDEX('Tabela Passaro'!$P$2:$P$1795,$N1126)</f>
        <v>5</v>
      </c>
      <c r="W1126" s="32" t="n">
        <f aca="false">INDEX('Tabela Passaro'!$R$2:$R$1795,$N1126)</f>
        <v>30</v>
      </c>
      <c r="X1126" s="32" t="n">
        <f aca="false">ROUNDUP(J1126/INDEX('Tabela Passaro'!$T$2:$T$1795,$N1126),0)*INDEX('Tabela Passaro'!$S$2:$S$1795,$N1126)</f>
        <v>0</v>
      </c>
      <c r="Y1126" s="32" t="n">
        <f aca="false">INDEX('Tabela Passaro'!$U$2:$U$1795,$N1126)</f>
        <v>0</v>
      </c>
      <c r="Z1126" s="32" t="n">
        <f aca="false">INDEX('Tabela Passaro'!$V$2:$V$1795,$N1126)</f>
        <v>0</v>
      </c>
      <c r="AA1126" s="32" t="n">
        <f aca="false">SUM(R1126:Z1126)</f>
        <v>151.75514</v>
      </c>
      <c r="AB1126" s="33" t="n">
        <f aca="false">INDEX(Premissas!$B$5:$B$13,MATCH(A1126,Premissas!$A$5:$A$13,0))</f>
        <v>0.07</v>
      </c>
      <c r="AC1126" s="32" t="n">
        <f aca="false">AA1126/(1-AB1126)-AA1126</f>
        <v>11.4224298924731</v>
      </c>
      <c r="AD1126" s="32" t="n">
        <f aca="false">ROUND(AA1126+AC1126,2)</f>
        <v>163.18</v>
      </c>
      <c r="AE1126" s="32" t="n">
        <f aca="false">AD1126-L1126</f>
        <v>9.94</v>
      </c>
      <c r="AF1126" s="34" t="n">
        <f aca="false">IF(L1126=0,0,AE1126/L1126)</f>
        <v>0.0648655703471678</v>
      </c>
      <c r="AG1126" s="22" t="str">
        <f aca="false">IF(AD1126&lt;L1126,"PASSARO","ATUAL")</f>
        <v>ATUAL</v>
      </c>
      <c r="AH1126" s="22" t="str">
        <f aca="false">IF(P1126&lt;&gt;A1126,"Faixa cadastrada como "&amp;P1126&amp;" na tabela; preço aplicado pela UF do CEP","")</f>
        <v/>
      </c>
      <c r="AI1126" s="26" t="n">
        <v>198.35</v>
      </c>
      <c r="AJ1126" s="22" t="str">
        <f aca="false">INDEX('Tabela Passaro'!$X$2:$X$1795,$N1126)</f>
        <v>CAPITAL</v>
      </c>
    </row>
    <row r="1127" customFormat="false" ht="15" hidden="false" customHeight="false" outlineLevel="0" collapsed="false">
      <c r="A1127" s="22" t="s">
        <v>19</v>
      </c>
      <c r="B1127" s="22" t="n">
        <v>1</v>
      </c>
      <c r="C1127" s="22" t="s">
        <v>131</v>
      </c>
      <c r="D1127" s="22" t="s">
        <v>30</v>
      </c>
      <c r="E1127" s="22" t="s">
        <v>20</v>
      </c>
      <c r="F1127" s="22" t="n">
        <v>840034</v>
      </c>
      <c r="G1127" s="30" t="n">
        <v>46259</v>
      </c>
      <c r="H1127" s="22" t="n">
        <v>32679</v>
      </c>
      <c r="I1127" s="22" t="s">
        <v>8350</v>
      </c>
      <c r="J1127" s="31" t="n">
        <v>34.4</v>
      </c>
      <c r="K1127" s="26" t="n">
        <v>574.75</v>
      </c>
      <c r="L1127" s="26" t="n">
        <v>134.65</v>
      </c>
      <c r="M1127" s="22" t="s">
        <v>3926</v>
      </c>
      <c r="N1127" s="22" t="n">
        <f aca="false">MATCH(M1127,'Tabela Passaro'!$A$2:$A$1795,0)</f>
        <v>923</v>
      </c>
      <c r="O1127" s="22" t="str">
        <f aca="false">INDEX('Tabela Passaro'!$C$2:$C$1795,$N1127)</f>
        <v>JOAO PESSOA</v>
      </c>
      <c r="P1127" s="22" t="str">
        <f aca="false">INDEX('Tabela Passaro'!$B$2:$B$1795,$N1127)</f>
        <v>PB</v>
      </c>
      <c r="Q1127" s="22" t="n">
        <f aca="false">INDEX('Tabela Passaro'!$F$2:$F$1795,$N1127)</f>
        <v>9</v>
      </c>
      <c r="R1127" s="32" t="n">
        <f aca="false">IF(J1127&lt;=10,INDEX('Tabela Passaro'!$G$2:$G$1795,$N1127),IF(J1127&lt;=30,INDEX('Tabela Passaro'!$H$2:$H$1795,$N1127),IF(J1127&lt;=50,INDEX('Tabela Passaro'!$I$2:$I$1795,$N1127),IF(J1127&lt;=70,INDEX('Tabela Passaro'!$J$2:$J$1795,$N1127),IF(J1127&lt;=100,INDEX('Tabela Passaro'!$K$2:$K$1795,$N1127),INDEX('Tabela Passaro'!$K$2:$K$1795,$N1127)+(J1127-100)*INDEX('Tabela Passaro'!$L$2:$L$1795,$N1127))))))</f>
        <v>96.32</v>
      </c>
      <c r="S1127" s="32" t="n">
        <f aca="false">K1127*INDEX('Tabela Passaro'!$M$2:$M$1795,$N1127)</f>
        <v>2.87375</v>
      </c>
      <c r="T1127" s="32" t="n">
        <f aca="false">K1127*INDEX('Tabela Passaro'!$N$2:$N$1795,$N1127)</f>
        <v>1.1495</v>
      </c>
      <c r="U1127" s="32" t="n">
        <f aca="false">INDEX('Tabela Passaro'!$O$2:$O$1795,$N1127)</f>
        <v>5</v>
      </c>
      <c r="V1127" s="32" t="n">
        <f aca="false">ROUNDUP(J1127/INDEX('Tabela Passaro'!$Q$2:$Q$1795,$N1127),0)*INDEX('Tabela Passaro'!$P$2:$P$1795,$N1127)</f>
        <v>5</v>
      </c>
      <c r="W1127" s="32" t="n">
        <f aca="false">INDEX('Tabela Passaro'!$R$2:$R$1795,$N1127)</f>
        <v>30</v>
      </c>
      <c r="X1127" s="32" t="n">
        <f aca="false">ROUNDUP(J1127/INDEX('Tabela Passaro'!$T$2:$T$1795,$N1127),0)*INDEX('Tabela Passaro'!$S$2:$S$1795,$N1127)</f>
        <v>0</v>
      </c>
      <c r="Y1127" s="32" t="n">
        <f aca="false">INDEX('Tabela Passaro'!$U$2:$U$1795,$N1127)</f>
        <v>0</v>
      </c>
      <c r="Z1127" s="32" t="n">
        <f aca="false">INDEX('Tabela Passaro'!$V$2:$V$1795,$N1127)</f>
        <v>0</v>
      </c>
      <c r="AA1127" s="32" t="n">
        <f aca="false">SUM(R1127:Z1127)</f>
        <v>140.34325</v>
      </c>
      <c r="AB1127" s="33" t="n">
        <f aca="false">INDEX(Premissas!$B$5:$B$13,MATCH(A1127,Premissas!$A$5:$A$13,0))</f>
        <v>0.07</v>
      </c>
      <c r="AC1127" s="32" t="n">
        <f aca="false">AA1127/(1-AB1127)-AA1127</f>
        <v>10.5634704301075</v>
      </c>
      <c r="AD1127" s="32" t="n">
        <f aca="false">ROUND(AA1127+AC1127,2)</f>
        <v>150.91</v>
      </c>
      <c r="AE1127" s="32" t="n">
        <f aca="false">AD1127-L1127</f>
        <v>16.26</v>
      </c>
      <c r="AF1127" s="34" t="n">
        <f aca="false">IF(L1127=0,0,AE1127/L1127)</f>
        <v>0.120757519494987</v>
      </c>
      <c r="AG1127" s="22" t="str">
        <f aca="false">IF(AD1127&lt;L1127,"PASSARO","ATUAL")</f>
        <v>ATUAL</v>
      </c>
      <c r="AH1127" s="22" t="str">
        <f aca="false">IF(P1127&lt;&gt;A1127,"Faixa cadastrada como "&amp;P1127&amp;" na tabela; preço aplicado pela UF do CEP","")</f>
        <v/>
      </c>
      <c r="AI1127" s="26" t="n">
        <v>175.19</v>
      </c>
      <c r="AJ1127" s="22" t="str">
        <f aca="false">INDEX('Tabela Passaro'!$X$2:$X$1795,$N1127)</f>
        <v>CAPITAL</v>
      </c>
    </row>
    <row r="1128" customFormat="false" ht="15" hidden="false" customHeight="false" outlineLevel="0" collapsed="false">
      <c r="A1128" s="22" t="s">
        <v>19</v>
      </c>
      <c r="B1128" s="22" t="n">
        <v>1</v>
      </c>
      <c r="C1128" s="22" t="s">
        <v>131</v>
      </c>
      <c r="D1128" s="22" t="s">
        <v>30</v>
      </c>
      <c r="E1128" s="22" t="s">
        <v>7326</v>
      </c>
      <c r="F1128" s="22" t="n">
        <v>527333</v>
      </c>
      <c r="G1128" s="30" t="n">
        <v>46259</v>
      </c>
      <c r="H1128" s="22" t="n">
        <v>628256</v>
      </c>
      <c r="I1128" s="22" t="s">
        <v>8351</v>
      </c>
      <c r="J1128" s="31" t="n">
        <v>16.24</v>
      </c>
      <c r="K1128" s="26" t="n">
        <v>515.55</v>
      </c>
      <c r="L1128" s="26" t="n">
        <v>131.44</v>
      </c>
      <c r="M1128" s="22" t="s">
        <v>3926</v>
      </c>
      <c r="N1128" s="22" t="n">
        <f aca="false">MATCH(M1128,'Tabela Passaro'!$A$2:$A$1795,0)</f>
        <v>923</v>
      </c>
      <c r="O1128" s="22" t="str">
        <f aca="false">INDEX('Tabela Passaro'!$C$2:$C$1795,$N1128)</f>
        <v>JOAO PESSOA</v>
      </c>
      <c r="P1128" s="22" t="str">
        <f aca="false">INDEX('Tabela Passaro'!$B$2:$B$1795,$N1128)</f>
        <v>PB</v>
      </c>
      <c r="Q1128" s="22" t="n">
        <f aca="false">INDEX('Tabela Passaro'!$F$2:$F$1795,$N1128)</f>
        <v>9</v>
      </c>
      <c r="R1128" s="32" t="n">
        <f aca="false">IF(J1128&lt;=10,INDEX('Tabela Passaro'!$G$2:$G$1795,$N1128),IF(J1128&lt;=30,INDEX('Tabela Passaro'!$H$2:$H$1795,$N1128),IF(J1128&lt;=50,INDEX('Tabela Passaro'!$I$2:$I$1795,$N1128),IF(J1128&lt;=70,INDEX('Tabela Passaro'!$J$2:$J$1795,$N1128),IF(J1128&lt;=100,INDEX('Tabela Passaro'!$K$2:$K$1795,$N1128),INDEX('Tabela Passaro'!$K$2:$K$1795,$N1128)+(J1128-100)*INDEX('Tabela Passaro'!$L$2:$L$1795,$N1128))))))</f>
        <v>76.28</v>
      </c>
      <c r="S1128" s="32" t="n">
        <f aca="false">K1128*INDEX('Tabela Passaro'!$M$2:$M$1795,$N1128)</f>
        <v>2.57775</v>
      </c>
      <c r="T1128" s="32" t="n">
        <f aca="false">K1128*INDEX('Tabela Passaro'!$N$2:$N$1795,$N1128)</f>
        <v>1.0311</v>
      </c>
      <c r="U1128" s="32" t="n">
        <f aca="false">INDEX('Tabela Passaro'!$O$2:$O$1795,$N1128)</f>
        <v>5</v>
      </c>
      <c r="V1128" s="32" t="n">
        <f aca="false">ROUNDUP(J1128/INDEX('Tabela Passaro'!$Q$2:$Q$1795,$N1128),0)*INDEX('Tabela Passaro'!$P$2:$P$1795,$N1128)</f>
        <v>5</v>
      </c>
      <c r="W1128" s="32" t="n">
        <f aca="false">INDEX('Tabela Passaro'!$R$2:$R$1795,$N1128)</f>
        <v>30</v>
      </c>
      <c r="X1128" s="32" t="n">
        <f aca="false">ROUNDUP(J1128/INDEX('Tabela Passaro'!$T$2:$T$1795,$N1128),0)*INDEX('Tabela Passaro'!$S$2:$S$1795,$N1128)</f>
        <v>0</v>
      </c>
      <c r="Y1128" s="32" t="n">
        <f aca="false">INDEX('Tabela Passaro'!$U$2:$U$1795,$N1128)</f>
        <v>0</v>
      </c>
      <c r="Z1128" s="32" t="n">
        <f aca="false">INDEX('Tabela Passaro'!$V$2:$V$1795,$N1128)</f>
        <v>0</v>
      </c>
      <c r="AA1128" s="32" t="n">
        <f aca="false">SUM(R1128:Z1128)</f>
        <v>119.88885</v>
      </c>
      <c r="AB1128" s="33" t="n">
        <f aca="false">INDEX(Premissas!$B$5:$B$13,MATCH(A1128,Premissas!$A$5:$A$13,0))</f>
        <v>0.07</v>
      </c>
      <c r="AC1128" s="32" t="n">
        <f aca="false">AA1128/(1-AB1128)-AA1128</f>
        <v>9.02389193548389</v>
      </c>
      <c r="AD1128" s="32" t="n">
        <f aca="false">ROUND(AA1128+AC1128,2)</f>
        <v>128.91</v>
      </c>
      <c r="AE1128" s="32" t="n">
        <f aca="false">AD1128-L1128</f>
        <v>-2.53</v>
      </c>
      <c r="AF1128" s="34" t="n">
        <f aca="false">IF(L1128=0,0,AE1128/L1128)</f>
        <v>-0.0192483262325015</v>
      </c>
      <c r="AG1128" s="22" t="str">
        <f aca="false">IF(AD1128&lt;L1128,"PASSARO","ATUAL")</f>
        <v>PASSARO</v>
      </c>
      <c r="AH1128" s="22" t="str">
        <f aca="false">IF(P1128&lt;&gt;A1128,"Faixa cadastrada como "&amp;P1128&amp;" na tabela; preço aplicado pela UF do CEP","")</f>
        <v/>
      </c>
      <c r="AI1128" s="26" t="n">
        <v>140.85</v>
      </c>
      <c r="AJ1128" s="22" t="str">
        <f aca="false">INDEX('Tabela Passaro'!$X$2:$X$1795,$N1128)</f>
        <v>CAPITAL</v>
      </c>
    </row>
    <row r="1129" customFormat="false" ht="15" hidden="false" customHeight="false" outlineLevel="0" collapsed="false">
      <c r="A1129" s="22" t="s">
        <v>19</v>
      </c>
      <c r="B1129" s="22" t="n">
        <v>1</v>
      </c>
      <c r="C1129" s="22" t="s">
        <v>131</v>
      </c>
      <c r="D1129" s="22" t="s">
        <v>30</v>
      </c>
      <c r="E1129" s="22" t="s">
        <v>7326</v>
      </c>
      <c r="F1129" s="22" t="n">
        <v>527385</v>
      </c>
      <c r="G1129" s="30" t="n">
        <v>46259</v>
      </c>
      <c r="H1129" s="22" t="n">
        <v>629121</v>
      </c>
      <c r="I1129" s="22" t="s">
        <v>8352</v>
      </c>
      <c r="J1129" s="31" t="n">
        <v>51.06</v>
      </c>
      <c r="K1129" s="26" t="n">
        <v>879.49</v>
      </c>
      <c r="L1129" s="26" t="n">
        <v>223.02</v>
      </c>
      <c r="M1129" s="22" t="s">
        <v>3926</v>
      </c>
      <c r="N1129" s="22" t="n">
        <f aca="false">MATCH(M1129,'Tabela Passaro'!$A$2:$A$1795,0)</f>
        <v>923</v>
      </c>
      <c r="O1129" s="22" t="str">
        <f aca="false">INDEX('Tabela Passaro'!$C$2:$C$1795,$N1129)</f>
        <v>JOAO PESSOA</v>
      </c>
      <c r="P1129" s="22" t="str">
        <f aca="false">INDEX('Tabela Passaro'!$B$2:$B$1795,$N1129)</f>
        <v>PB</v>
      </c>
      <c r="Q1129" s="22" t="n">
        <f aca="false">INDEX('Tabela Passaro'!$F$2:$F$1795,$N1129)</f>
        <v>9</v>
      </c>
      <c r="R1129" s="32" t="n">
        <f aca="false">IF(J1129&lt;=10,INDEX('Tabela Passaro'!$G$2:$G$1795,$N1129),IF(J1129&lt;=30,INDEX('Tabela Passaro'!$H$2:$H$1795,$N1129),IF(J1129&lt;=50,INDEX('Tabela Passaro'!$I$2:$I$1795,$N1129),IF(J1129&lt;=70,INDEX('Tabela Passaro'!$J$2:$J$1795,$N1129),IF(J1129&lt;=100,INDEX('Tabela Passaro'!$K$2:$K$1795,$N1129),INDEX('Tabela Passaro'!$K$2:$K$1795,$N1129)+(J1129-100)*INDEX('Tabela Passaro'!$L$2:$L$1795,$N1129))))))</f>
        <v>106.33</v>
      </c>
      <c r="S1129" s="32" t="n">
        <f aca="false">K1129*INDEX('Tabela Passaro'!$M$2:$M$1795,$N1129)</f>
        <v>4.39745</v>
      </c>
      <c r="T1129" s="32" t="n">
        <f aca="false">K1129*INDEX('Tabela Passaro'!$N$2:$N$1795,$N1129)</f>
        <v>1.75898</v>
      </c>
      <c r="U1129" s="32" t="n">
        <f aca="false">INDEX('Tabela Passaro'!$O$2:$O$1795,$N1129)</f>
        <v>5</v>
      </c>
      <c r="V1129" s="32" t="n">
        <f aca="false">ROUNDUP(J1129/INDEX('Tabela Passaro'!$Q$2:$Q$1795,$N1129),0)*INDEX('Tabela Passaro'!$P$2:$P$1795,$N1129)</f>
        <v>5</v>
      </c>
      <c r="W1129" s="32" t="n">
        <f aca="false">INDEX('Tabela Passaro'!$R$2:$R$1795,$N1129)</f>
        <v>30</v>
      </c>
      <c r="X1129" s="32" t="n">
        <f aca="false">ROUNDUP(J1129/INDEX('Tabela Passaro'!$T$2:$T$1795,$N1129),0)*INDEX('Tabela Passaro'!$S$2:$S$1795,$N1129)</f>
        <v>0</v>
      </c>
      <c r="Y1129" s="32" t="n">
        <f aca="false">INDEX('Tabela Passaro'!$U$2:$U$1795,$N1129)</f>
        <v>0</v>
      </c>
      <c r="Z1129" s="32" t="n">
        <f aca="false">INDEX('Tabela Passaro'!$V$2:$V$1795,$N1129)</f>
        <v>0</v>
      </c>
      <c r="AA1129" s="32" t="n">
        <f aca="false">SUM(R1129:Z1129)</f>
        <v>152.48643</v>
      </c>
      <c r="AB1129" s="33" t="n">
        <f aca="false">INDEX(Premissas!$B$5:$B$13,MATCH(A1129,Premissas!$A$5:$A$13,0))</f>
        <v>0.07</v>
      </c>
      <c r="AC1129" s="32" t="n">
        <f aca="false">AA1129/(1-AB1129)-AA1129</f>
        <v>11.4774732258064</v>
      </c>
      <c r="AD1129" s="32" t="n">
        <f aca="false">ROUND(AA1129+AC1129,2)</f>
        <v>163.96</v>
      </c>
      <c r="AE1129" s="32" t="n">
        <f aca="false">AD1129-L1129</f>
        <v>-59.06</v>
      </c>
      <c r="AF1129" s="34" t="n">
        <f aca="false">IF(L1129=0,0,AE1129/L1129)</f>
        <v>-0.264819298717604</v>
      </c>
      <c r="AG1129" s="22" t="str">
        <f aca="false">IF(AD1129&lt;L1129,"PASSARO","ATUAL")</f>
        <v>PASSARO</v>
      </c>
      <c r="AH1129" s="22" t="str">
        <f aca="false">IF(P1129&lt;&gt;A1129,"Faixa cadastrada como "&amp;P1129&amp;" na tabela; preço aplicado pela UF do CEP","")</f>
        <v/>
      </c>
      <c r="AI1129" s="26" t="n">
        <v>198.88</v>
      </c>
      <c r="AJ1129" s="22" t="str">
        <f aca="false">INDEX('Tabela Passaro'!$X$2:$X$1795,$N1129)</f>
        <v>CAPITAL</v>
      </c>
    </row>
    <row r="1130" customFormat="false" ht="15" hidden="false" customHeight="false" outlineLevel="0" collapsed="false">
      <c r="A1130" s="22" t="s">
        <v>19</v>
      </c>
      <c r="B1130" s="22" t="n">
        <v>1</v>
      </c>
      <c r="C1130" s="22" t="s">
        <v>131</v>
      </c>
      <c r="D1130" s="22" t="s">
        <v>30</v>
      </c>
      <c r="E1130" s="22" t="s">
        <v>20</v>
      </c>
      <c r="F1130" s="22" t="n">
        <v>840183</v>
      </c>
      <c r="G1130" s="30" t="n">
        <v>46260</v>
      </c>
      <c r="H1130" s="22" t="n">
        <v>32700</v>
      </c>
      <c r="I1130" s="22" t="s">
        <v>8353</v>
      </c>
      <c r="J1130" s="31" t="n">
        <v>19.4</v>
      </c>
      <c r="K1130" s="26" t="n">
        <v>515.15</v>
      </c>
      <c r="L1130" s="26" t="n">
        <v>105.34</v>
      </c>
      <c r="M1130" s="22" t="s">
        <v>3926</v>
      </c>
      <c r="N1130" s="22" t="n">
        <f aca="false">MATCH(M1130,'Tabela Passaro'!$A$2:$A$1795,0)</f>
        <v>923</v>
      </c>
      <c r="O1130" s="22" t="str">
        <f aca="false">INDEX('Tabela Passaro'!$C$2:$C$1795,$N1130)</f>
        <v>JOAO PESSOA</v>
      </c>
      <c r="P1130" s="22" t="str">
        <f aca="false">INDEX('Tabela Passaro'!$B$2:$B$1795,$N1130)</f>
        <v>PB</v>
      </c>
      <c r="Q1130" s="22" t="n">
        <f aca="false">INDEX('Tabela Passaro'!$F$2:$F$1795,$N1130)</f>
        <v>9</v>
      </c>
      <c r="R1130" s="32" t="n">
        <f aca="false">IF(J1130&lt;=10,INDEX('Tabela Passaro'!$G$2:$G$1795,$N1130),IF(J1130&lt;=30,INDEX('Tabela Passaro'!$H$2:$H$1795,$N1130),IF(J1130&lt;=50,INDEX('Tabela Passaro'!$I$2:$I$1795,$N1130),IF(J1130&lt;=70,INDEX('Tabela Passaro'!$J$2:$J$1795,$N1130),IF(J1130&lt;=100,INDEX('Tabela Passaro'!$K$2:$K$1795,$N1130),INDEX('Tabela Passaro'!$K$2:$K$1795,$N1130)+(J1130-100)*INDEX('Tabela Passaro'!$L$2:$L$1795,$N1130))))))</f>
        <v>76.28</v>
      </c>
      <c r="S1130" s="32" t="n">
        <f aca="false">K1130*INDEX('Tabela Passaro'!$M$2:$M$1795,$N1130)</f>
        <v>2.57575</v>
      </c>
      <c r="T1130" s="32" t="n">
        <f aca="false">K1130*INDEX('Tabela Passaro'!$N$2:$N$1795,$N1130)</f>
        <v>1.0303</v>
      </c>
      <c r="U1130" s="32" t="n">
        <f aca="false">INDEX('Tabela Passaro'!$O$2:$O$1795,$N1130)</f>
        <v>5</v>
      </c>
      <c r="V1130" s="32" t="n">
        <f aca="false">ROUNDUP(J1130/INDEX('Tabela Passaro'!$Q$2:$Q$1795,$N1130),0)*INDEX('Tabela Passaro'!$P$2:$P$1795,$N1130)</f>
        <v>5</v>
      </c>
      <c r="W1130" s="32" t="n">
        <f aca="false">INDEX('Tabela Passaro'!$R$2:$R$1795,$N1130)</f>
        <v>30</v>
      </c>
      <c r="X1130" s="32" t="n">
        <f aca="false">ROUNDUP(J1130/INDEX('Tabela Passaro'!$T$2:$T$1795,$N1130),0)*INDEX('Tabela Passaro'!$S$2:$S$1795,$N1130)</f>
        <v>0</v>
      </c>
      <c r="Y1130" s="32" t="n">
        <f aca="false">INDEX('Tabela Passaro'!$U$2:$U$1795,$N1130)</f>
        <v>0</v>
      </c>
      <c r="Z1130" s="32" t="n">
        <f aca="false">INDEX('Tabela Passaro'!$V$2:$V$1795,$N1130)</f>
        <v>0</v>
      </c>
      <c r="AA1130" s="32" t="n">
        <f aca="false">SUM(R1130:Z1130)</f>
        <v>119.88605</v>
      </c>
      <c r="AB1130" s="33" t="n">
        <f aca="false">INDEX(Premissas!$B$5:$B$13,MATCH(A1130,Premissas!$A$5:$A$13,0))</f>
        <v>0.07</v>
      </c>
      <c r="AC1130" s="32" t="n">
        <f aca="false">AA1130/(1-AB1130)-AA1130</f>
        <v>9.0236811827957</v>
      </c>
      <c r="AD1130" s="32" t="n">
        <f aca="false">ROUND(AA1130+AC1130,2)</f>
        <v>128.91</v>
      </c>
      <c r="AE1130" s="32" t="n">
        <f aca="false">AD1130-L1130</f>
        <v>23.57</v>
      </c>
      <c r="AF1130" s="34" t="n">
        <f aca="false">IF(L1130=0,0,AE1130/L1130)</f>
        <v>0.22375166128726</v>
      </c>
      <c r="AG1130" s="22" t="str">
        <f aca="false">IF(AD1130&lt;L1130,"PASSARO","ATUAL")</f>
        <v>ATUAL</v>
      </c>
      <c r="AH1130" s="22" t="str">
        <f aca="false">IF(P1130&lt;&gt;A1130,"Faixa cadastrada como "&amp;P1130&amp;" na tabela; preço aplicado pela UF do CEP","")</f>
        <v/>
      </c>
      <c r="AI1130" s="26" t="n">
        <v>142.3</v>
      </c>
      <c r="AJ1130" s="22" t="str">
        <f aca="false">INDEX('Tabela Passaro'!$X$2:$X$1795,$N1130)</f>
        <v>CAPITAL</v>
      </c>
    </row>
    <row r="1131" customFormat="false" ht="15" hidden="false" customHeight="false" outlineLevel="0" collapsed="false">
      <c r="A1131" s="22" t="s">
        <v>19</v>
      </c>
      <c r="B1131" s="22" t="n">
        <v>1</v>
      </c>
      <c r="C1131" s="22" t="s">
        <v>131</v>
      </c>
      <c r="D1131" s="22" t="s">
        <v>30</v>
      </c>
      <c r="E1131" s="22" t="s">
        <v>7328</v>
      </c>
      <c r="F1131" s="22" t="n">
        <v>2316592</v>
      </c>
      <c r="G1131" s="30" t="n">
        <v>46260</v>
      </c>
      <c r="H1131" s="22" t="n">
        <v>135907</v>
      </c>
      <c r="I1131" s="22" t="s">
        <v>8354</v>
      </c>
      <c r="J1131" s="31" t="n">
        <v>44.5</v>
      </c>
      <c r="K1131" s="26" t="n">
        <v>884.4</v>
      </c>
      <c r="L1131" s="26" t="n">
        <v>161.02</v>
      </c>
      <c r="M1131" s="22" t="s">
        <v>3926</v>
      </c>
      <c r="N1131" s="22" t="n">
        <f aca="false">MATCH(M1131,'Tabela Passaro'!$A$2:$A$1795,0)</f>
        <v>923</v>
      </c>
      <c r="O1131" s="22" t="str">
        <f aca="false">INDEX('Tabela Passaro'!$C$2:$C$1795,$N1131)</f>
        <v>JOAO PESSOA</v>
      </c>
      <c r="P1131" s="22" t="str">
        <f aca="false">INDEX('Tabela Passaro'!$B$2:$B$1795,$N1131)</f>
        <v>PB</v>
      </c>
      <c r="Q1131" s="22" t="n">
        <f aca="false">INDEX('Tabela Passaro'!$F$2:$F$1795,$N1131)</f>
        <v>9</v>
      </c>
      <c r="R1131" s="32" t="n">
        <f aca="false">IF(J1131&lt;=10,INDEX('Tabela Passaro'!$G$2:$G$1795,$N1131),IF(J1131&lt;=30,INDEX('Tabela Passaro'!$H$2:$H$1795,$N1131),IF(J1131&lt;=50,INDEX('Tabela Passaro'!$I$2:$I$1795,$N1131),IF(J1131&lt;=70,INDEX('Tabela Passaro'!$J$2:$J$1795,$N1131),IF(J1131&lt;=100,INDEX('Tabela Passaro'!$K$2:$K$1795,$N1131),INDEX('Tabela Passaro'!$K$2:$K$1795,$N1131)+(J1131-100)*INDEX('Tabela Passaro'!$L$2:$L$1795,$N1131))))))</f>
        <v>96.32</v>
      </c>
      <c r="S1131" s="32" t="n">
        <f aca="false">K1131*INDEX('Tabela Passaro'!$M$2:$M$1795,$N1131)</f>
        <v>4.422</v>
      </c>
      <c r="T1131" s="32" t="n">
        <f aca="false">K1131*INDEX('Tabela Passaro'!$N$2:$N$1795,$N1131)</f>
        <v>1.7688</v>
      </c>
      <c r="U1131" s="32" t="n">
        <f aca="false">INDEX('Tabela Passaro'!$O$2:$O$1795,$N1131)</f>
        <v>5</v>
      </c>
      <c r="V1131" s="32" t="n">
        <f aca="false">ROUNDUP(J1131/INDEX('Tabela Passaro'!$Q$2:$Q$1795,$N1131),0)*INDEX('Tabela Passaro'!$P$2:$P$1795,$N1131)</f>
        <v>5</v>
      </c>
      <c r="W1131" s="32" t="n">
        <f aca="false">INDEX('Tabela Passaro'!$R$2:$R$1795,$N1131)</f>
        <v>30</v>
      </c>
      <c r="X1131" s="32" t="n">
        <f aca="false">ROUNDUP(J1131/INDEX('Tabela Passaro'!$T$2:$T$1795,$N1131),0)*INDEX('Tabela Passaro'!$S$2:$S$1795,$N1131)</f>
        <v>0</v>
      </c>
      <c r="Y1131" s="32" t="n">
        <f aca="false">INDEX('Tabela Passaro'!$U$2:$U$1795,$N1131)</f>
        <v>0</v>
      </c>
      <c r="Z1131" s="32" t="n">
        <f aca="false">INDEX('Tabela Passaro'!$V$2:$V$1795,$N1131)</f>
        <v>0</v>
      </c>
      <c r="AA1131" s="32" t="n">
        <f aca="false">SUM(R1131:Z1131)</f>
        <v>142.5108</v>
      </c>
      <c r="AB1131" s="33" t="n">
        <f aca="false">INDEX(Premissas!$B$5:$B$13,MATCH(A1131,Premissas!$A$5:$A$13,0))</f>
        <v>0.07</v>
      </c>
      <c r="AC1131" s="32" t="n">
        <f aca="false">AA1131/(1-AB1131)-AA1131</f>
        <v>10.7266193548387</v>
      </c>
      <c r="AD1131" s="32" t="n">
        <f aca="false">ROUND(AA1131+AC1131,2)</f>
        <v>153.24</v>
      </c>
      <c r="AE1131" s="32" t="n">
        <f aca="false">AD1131-L1131</f>
        <v>-7.78</v>
      </c>
      <c r="AF1131" s="34" t="n">
        <f aca="false">IF(L1131=0,0,AE1131/L1131)</f>
        <v>-0.0483169792572351</v>
      </c>
      <c r="AG1131" s="22" t="str">
        <f aca="false">IF(AD1131&lt;L1131,"PASSARO","ATUAL")</f>
        <v>PASSARO</v>
      </c>
      <c r="AH1131" s="22" t="str">
        <f aca="false">IF(P1131&lt;&gt;A1131,"Faixa cadastrada como "&amp;P1131&amp;" na tabela; preço aplicado pela UF do CEP","")</f>
        <v/>
      </c>
      <c r="AI1131" s="26" t="n">
        <v>183.02</v>
      </c>
      <c r="AJ1131" s="22" t="str">
        <f aca="false">INDEX('Tabela Passaro'!$X$2:$X$1795,$N1131)</f>
        <v>CAPITAL</v>
      </c>
    </row>
    <row r="1132" customFormat="false" ht="15" hidden="false" customHeight="false" outlineLevel="0" collapsed="false">
      <c r="A1132" s="22" t="s">
        <v>19</v>
      </c>
      <c r="B1132" s="22" t="n">
        <v>1</v>
      </c>
      <c r="C1132" s="22" t="s">
        <v>131</v>
      </c>
      <c r="D1132" s="22" t="s">
        <v>30</v>
      </c>
      <c r="E1132" s="22" t="s">
        <v>20</v>
      </c>
      <c r="F1132" s="22" t="n">
        <v>840429</v>
      </c>
      <c r="G1132" s="30" t="n">
        <v>46261</v>
      </c>
      <c r="H1132" s="22" t="n">
        <v>32726</v>
      </c>
      <c r="I1132" s="22" t="s">
        <v>8355</v>
      </c>
      <c r="J1132" s="31" t="n">
        <v>66.8</v>
      </c>
      <c r="K1132" s="26" t="n">
        <v>888.31</v>
      </c>
      <c r="L1132" s="26" t="n">
        <v>154.25</v>
      </c>
      <c r="M1132" s="22" t="s">
        <v>3926</v>
      </c>
      <c r="N1132" s="22" t="n">
        <f aca="false">MATCH(M1132,'Tabela Passaro'!$A$2:$A$1795,0)</f>
        <v>923</v>
      </c>
      <c r="O1132" s="22" t="str">
        <f aca="false">INDEX('Tabela Passaro'!$C$2:$C$1795,$N1132)</f>
        <v>JOAO PESSOA</v>
      </c>
      <c r="P1132" s="22" t="str">
        <f aca="false">INDEX('Tabela Passaro'!$B$2:$B$1795,$N1132)</f>
        <v>PB</v>
      </c>
      <c r="Q1132" s="22" t="n">
        <f aca="false">INDEX('Tabela Passaro'!$F$2:$F$1795,$N1132)</f>
        <v>9</v>
      </c>
      <c r="R1132" s="32" t="n">
        <f aca="false">IF(J1132&lt;=10,INDEX('Tabela Passaro'!$G$2:$G$1795,$N1132),IF(J1132&lt;=30,INDEX('Tabela Passaro'!$H$2:$H$1795,$N1132),IF(J1132&lt;=50,INDEX('Tabela Passaro'!$I$2:$I$1795,$N1132),IF(J1132&lt;=70,INDEX('Tabela Passaro'!$J$2:$J$1795,$N1132),IF(J1132&lt;=100,INDEX('Tabela Passaro'!$K$2:$K$1795,$N1132),INDEX('Tabela Passaro'!$K$2:$K$1795,$N1132)+(J1132-100)*INDEX('Tabela Passaro'!$L$2:$L$1795,$N1132))))))</f>
        <v>106.33</v>
      </c>
      <c r="S1132" s="32" t="n">
        <f aca="false">K1132*INDEX('Tabela Passaro'!$M$2:$M$1795,$N1132)</f>
        <v>4.44155</v>
      </c>
      <c r="T1132" s="32" t="n">
        <f aca="false">K1132*INDEX('Tabela Passaro'!$N$2:$N$1795,$N1132)</f>
        <v>1.77662</v>
      </c>
      <c r="U1132" s="32" t="n">
        <f aca="false">INDEX('Tabela Passaro'!$O$2:$O$1795,$N1132)</f>
        <v>5</v>
      </c>
      <c r="V1132" s="32" t="n">
        <f aca="false">ROUNDUP(J1132/INDEX('Tabela Passaro'!$Q$2:$Q$1795,$N1132),0)*INDEX('Tabela Passaro'!$P$2:$P$1795,$N1132)</f>
        <v>5</v>
      </c>
      <c r="W1132" s="32" t="n">
        <f aca="false">INDEX('Tabela Passaro'!$R$2:$R$1795,$N1132)</f>
        <v>30</v>
      </c>
      <c r="X1132" s="32" t="n">
        <f aca="false">ROUNDUP(J1132/INDEX('Tabela Passaro'!$T$2:$T$1795,$N1132),0)*INDEX('Tabela Passaro'!$S$2:$S$1795,$N1132)</f>
        <v>0</v>
      </c>
      <c r="Y1132" s="32" t="n">
        <f aca="false">INDEX('Tabela Passaro'!$U$2:$U$1795,$N1132)</f>
        <v>0</v>
      </c>
      <c r="Z1132" s="32" t="n">
        <f aca="false">INDEX('Tabela Passaro'!$V$2:$V$1795,$N1132)</f>
        <v>0</v>
      </c>
      <c r="AA1132" s="32" t="n">
        <f aca="false">SUM(R1132:Z1132)</f>
        <v>152.54817</v>
      </c>
      <c r="AB1132" s="33" t="n">
        <f aca="false">INDEX(Premissas!$B$5:$B$13,MATCH(A1132,Premissas!$A$5:$A$13,0))</f>
        <v>0.07</v>
      </c>
      <c r="AC1132" s="32" t="n">
        <f aca="false">AA1132/(1-AB1132)-AA1132</f>
        <v>11.4821203225807</v>
      </c>
      <c r="AD1132" s="32" t="n">
        <f aca="false">ROUND(AA1132+AC1132,2)</f>
        <v>164.03</v>
      </c>
      <c r="AE1132" s="32" t="n">
        <f aca="false">AD1132-L1132</f>
        <v>9.78</v>
      </c>
      <c r="AF1132" s="34" t="n">
        <f aca="false">IF(L1132=0,0,AE1132/L1132)</f>
        <v>0.0634035656401945</v>
      </c>
      <c r="AG1132" s="22" t="str">
        <f aca="false">IF(AD1132&lt;L1132,"PASSARO","ATUAL")</f>
        <v>ATUAL</v>
      </c>
      <c r="AH1132" s="22" t="str">
        <f aca="false">IF(P1132&lt;&gt;A1132,"Faixa cadastrada como "&amp;P1132&amp;" na tabela; preço aplicado pela UF do CEP","")</f>
        <v/>
      </c>
      <c r="AI1132" s="26" t="n">
        <v>206.22</v>
      </c>
      <c r="AJ1132" s="22" t="str">
        <f aca="false">INDEX('Tabela Passaro'!$X$2:$X$1795,$N1132)</f>
        <v>CAPITAL</v>
      </c>
    </row>
    <row r="1133" customFormat="false" ht="15" hidden="false" customHeight="false" outlineLevel="0" collapsed="false">
      <c r="A1133" s="22" t="s">
        <v>19</v>
      </c>
      <c r="B1133" s="22" t="n">
        <v>1</v>
      </c>
      <c r="C1133" s="22" t="s">
        <v>131</v>
      </c>
      <c r="D1133" s="22" t="s">
        <v>30</v>
      </c>
      <c r="E1133" s="22" t="s">
        <v>20</v>
      </c>
      <c r="F1133" s="22" t="n">
        <v>840455</v>
      </c>
      <c r="G1133" s="30" t="n">
        <v>46261</v>
      </c>
      <c r="H1133" s="22" t="n">
        <v>32753</v>
      </c>
      <c r="I1133" s="22" t="s">
        <v>8356</v>
      </c>
      <c r="J1133" s="31" t="n">
        <v>45</v>
      </c>
      <c r="K1133" s="26" t="n">
        <v>685.43</v>
      </c>
      <c r="L1133" s="26" t="n">
        <v>135.64</v>
      </c>
      <c r="M1133" s="22" t="s">
        <v>3926</v>
      </c>
      <c r="N1133" s="22" t="n">
        <f aca="false">MATCH(M1133,'Tabela Passaro'!$A$2:$A$1795,0)</f>
        <v>923</v>
      </c>
      <c r="O1133" s="22" t="str">
        <f aca="false">INDEX('Tabela Passaro'!$C$2:$C$1795,$N1133)</f>
        <v>JOAO PESSOA</v>
      </c>
      <c r="P1133" s="22" t="str">
        <f aca="false">INDEX('Tabela Passaro'!$B$2:$B$1795,$N1133)</f>
        <v>PB</v>
      </c>
      <c r="Q1133" s="22" t="n">
        <f aca="false">INDEX('Tabela Passaro'!$F$2:$F$1795,$N1133)</f>
        <v>9</v>
      </c>
      <c r="R1133" s="32" t="n">
        <f aca="false">IF(J1133&lt;=10,INDEX('Tabela Passaro'!$G$2:$G$1795,$N1133),IF(J1133&lt;=30,INDEX('Tabela Passaro'!$H$2:$H$1795,$N1133),IF(J1133&lt;=50,INDEX('Tabela Passaro'!$I$2:$I$1795,$N1133),IF(J1133&lt;=70,INDEX('Tabela Passaro'!$J$2:$J$1795,$N1133),IF(J1133&lt;=100,INDEX('Tabela Passaro'!$K$2:$K$1795,$N1133),INDEX('Tabela Passaro'!$K$2:$K$1795,$N1133)+(J1133-100)*INDEX('Tabela Passaro'!$L$2:$L$1795,$N1133))))))</f>
        <v>96.32</v>
      </c>
      <c r="S1133" s="32" t="n">
        <f aca="false">K1133*INDEX('Tabela Passaro'!$M$2:$M$1795,$N1133)</f>
        <v>3.42715</v>
      </c>
      <c r="T1133" s="32" t="n">
        <f aca="false">K1133*INDEX('Tabela Passaro'!$N$2:$N$1795,$N1133)</f>
        <v>1.37086</v>
      </c>
      <c r="U1133" s="32" t="n">
        <f aca="false">INDEX('Tabela Passaro'!$O$2:$O$1795,$N1133)</f>
        <v>5</v>
      </c>
      <c r="V1133" s="32" t="n">
        <f aca="false">ROUNDUP(J1133/INDEX('Tabela Passaro'!$Q$2:$Q$1795,$N1133),0)*INDEX('Tabela Passaro'!$P$2:$P$1795,$N1133)</f>
        <v>5</v>
      </c>
      <c r="W1133" s="32" t="n">
        <f aca="false">INDEX('Tabela Passaro'!$R$2:$R$1795,$N1133)</f>
        <v>30</v>
      </c>
      <c r="X1133" s="32" t="n">
        <f aca="false">ROUNDUP(J1133/INDEX('Tabela Passaro'!$T$2:$T$1795,$N1133),0)*INDEX('Tabela Passaro'!$S$2:$S$1795,$N1133)</f>
        <v>0</v>
      </c>
      <c r="Y1133" s="32" t="n">
        <f aca="false">INDEX('Tabela Passaro'!$U$2:$U$1795,$N1133)</f>
        <v>0</v>
      </c>
      <c r="Z1133" s="32" t="n">
        <f aca="false">INDEX('Tabela Passaro'!$V$2:$V$1795,$N1133)</f>
        <v>0</v>
      </c>
      <c r="AA1133" s="32" t="n">
        <f aca="false">SUM(R1133:Z1133)</f>
        <v>141.11801</v>
      </c>
      <c r="AB1133" s="33" t="n">
        <f aca="false">INDEX(Premissas!$B$5:$B$13,MATCH(A1133,Premissas!$A$5:$A$13,0))</f>
        <v>0.07</v>
      </c>
      <c r="AC1133" s="32" t="n">
        <f aca="false">AA1133/(1-AB1133)-AA1133</f>
        <v>10.6217856989248</v>
      </c>
      <c r="AD1133" s="32" t="n">
        <f aca="false">ROUND(AA1133+AC1133,2)</f>
        <v>151.74</v>
      </c>
      <c r="AE1133" s="32" t="n">
        <f aca="false">AD1133-L1133</f>
        <v>16.1</v>
      </c>
      <c r="AF1133" s="34" t="n">
        <f aca="false">IF(L1133=0,0,AE1133/L1133)</f>
        <v>0.118696549690357</v>
      </c>
      <c r="AG1133" s="22" t="str">
        <f aca="false">IF(AD1133&lt;L1133,"PASSARO","ATUAL")</f>
        <v>ATUAL</v>
      </c>
      <c r="AH1133" s="22" t="str">
        <f aca="false">IF(P1133&lt;&gt;A1133,"Faixa cadastrada como "&amp;P1133&amp;" na tabela; preço aplicado pela UF do CEP","")</f>
        <v/>
      </c>
      <c r="AI1133" s="26" t="n">
        <v>181.1</v>
      </c>
      <c r="AJ1133" s="22" t="str">
        <f aca="false">INDEX('Tabela Passaro'!$X$2:$X$1795,$N1133)</f>
        <v>CAPITAL</v>
      </c>
    </row>
    <row r="1134" customFormat="false" ht="15" hidden="false" customHeight="false" outlineLevel="0" collapsed="false">
      <c r="A1134" s="22" t="s">
        <v>19</v>
      </c>
      <c r="B1134" s="22" t="n">
        <v>1</v>
      </c>
      <c r="C1134" s="22" t="s">
        <v>131</v>
      </c>
      <c r="D1134" s="22" t="s">
        <v>30</v>
      </c>
      <c r="E1134" s="22" t="s">
        <v>20</v>
      </c>
      <c r="F1134" s="22" t="n">
        <v>840474</v>
      </c>
      <c r="G1134" s="30" t="n">
        <v>46262</v>
      </c>
      <c r="H1134" s="22" t="n">
        <v>32759</v>
      </c>
      <c r="I1134" s="22" t="s">
        <v>8357</v>
      </c>
      <c r="J1134" s="31" t="n">
        <v>20.8</v>
      </c>
      <c r="K1134" s="26" t="n">
        <v>621.86</v>
      </c>
      <c r="L1134" s="26" t="n">
        <v>106.3</v>
      </c>
      <c r="M1134" s="22" t="s">
        <v>3926</v>
      </c>
      <c r="N1134" s="22" t="n">
        <f aca="false">MATCH(M1134,'Tabela Passaro'!$A$2:$A$1795,0)</f>
        <v>923</v>
      </c>
      <c r="O1134" s="22" t="str">
        <f aca="false">INDEX('Tabela Passaro'!$C$2:$C$1795,$N1134)</f>
        <v>JOAO PESSOA</v>
      </c>
      <c r="P1134" s="22" t="str">
        <f aca="false">INDEX('Tabela Passaro'!$B$2:$B$1795,$N1134)</f>
        <v>PB</v>
      </c>
      <c r="Q1134" s="22" t="n">
        <f aca="false">INDEX('Tabela Passaro'!$F$2:$F$1795,$N1134)</f>
        <v>9</v>
      </c>
      <c r="R1134" s="32" t="n">
        <f aca="false">IF(J1134&lt;=10,INDEX('Tabela Passaro'!$G$2:$G$1795,$N1134),IF(J1134&lt;=30,INDEX('Tabela Passaro'!$H$2:$H$1795,$N1134),IF(J1134&lt;=50,INDEX('Tabela Passaro'!$I$2:$I$1795,$N1134),IF(J1134&lt;=70,INDEX('Tabela Passaro'!$J$2:$J$1795,$N1134),IF(J1134&lt;=100,INDEX('Tabela Passaro'!$K$2:$K$1795,$N1134),INDEX('Tabela Passaro'!$K$2:$K$1795,$N1134)+(J1134-100)*INDEX('Tabela Passaro'!$L$2:$L$1795,$N1134))))))</f>
        <v>76.28</v>
      </c>
      <c r="S1134" s="32" t="n">
        <f aca="false">K1134*INDEX('Tabela Passaro'!$M$2:$M$1795,$N1134)</f>
        <v>3.1093</v>
      </c>
      <c r="T1134" s="32" t="n">
        <f aca="false">K1134*INDEX('Tabela Passaro'!$N$2:$N$1795,$N1134)</f>
        <v>1.24372</v>
      </c>
      <c r="U1134" s="32" t="n">
        <f aca="false">INDEX('Tabela Passaro'!$O$2:$O$1795,$N1134)</f>
        <v>5</v>
      </c>
      <c r="V1134" s="32" t="n">
        <f aca="false">ROUNDUP(J1134/INDEX('Tabela Passaro'!$Q$2:$Q$1795,$N1134),0)*INDEX('Tabela Passaro'!$P$2:$P$1795,$N1134)</f>
        <v>5</v>
      </c>
      <c r="W1134" s="32" t="n">
        <f aca="false">INDEX('Tabela Passaro'!$R$2:$R$1795,$N1134)</f>
        <v>30</v>
      </c>
      <c r="X1134" s="32" t="n">
        <f aca="false">ROUNDUP(J1134/INDEX('Tabela Passaro'!$T$2:$T$1795,$N1134),0)*INDEX('Tabela Passaro'!$S$2:$S$1795,$N1134)</f>
        <v>0</v>
      </c>
      <c r="Y1134" s="32" t="n">
        <f aca="false">INDEX('Tabela Passaro'!$U$2:$U$1795,$N1134)</f>
        <v>0</v>
      </c>
      <c r="Z1134" s="32" t="n">
        <f aca="false">INDEX('Tabela Passaro'!$V$2:$V$1795,$N1134)</f>
        <v>0</v>
      </c>
      <c r="AA1134" s="32" t="n">
        <f aca="false">SUM(R1134:Z1134)</f>
        <v>120.63302</v>
      </c>
      <c r="AB1134" s="33" t="n">
        <f aca="false">INDEX(Premissas!$B$5:$B$13,MATCH(A1134,Premissas!$A$5:$A$13,0))</f>
        <v>0.07</v>
      </c>
      <c r="AC1134" s="32" t="n">
        <f aca="false">AA1134/(1-AB1134)-AA1134</f>
        <v>9.07990473118279</v>
      </c>
      <c r="AD1134" s="32" t="n">
        <f aca="false">ROUND(AA1134+AC1134,2)</f>
        <v>129.71</v>
      </c>
      <c r="AE1134" s="32" t="n">
        <f aca="false">AD1134-L1134</f>
        <v>23.41</v>
      </c>
      <c r="AF1134" s="34" t="n">
        <f aca="false">IF(L1134=0,0,AE1134/L1134)</f>
        <v>0.220225776105362</v>
      </c>
      <c r="AG1134" s="22" t="str">
        <f aca="false">IF(AD1134&lt;L1134,"PASSARO","ATUAL")</f>
        <v>ATUAL</v>
      </c>
      <c r="AH1134" s="22" t="str">
        <f aca="false">IF(P1134&lt;&gt;A1134,"Faixa cadastrada como "&amp;P1134&amp;" na tabela; preço aplicado pela UF do CEP","")</f>
        <v/>
      </c>
      <c r="AI1134" s="26" t="n">
        <v>143.81</v>
      </c>
      <c r="AJ1134" s="22" t="str">
        <f aca="false">INDEX('Tabela Passaro'!$X$2:$X$1795,$N1134)</f>
        <v>CAPITAL</v>
      </c>
    </row>
    <row r="1135" customFormat="false" ht="15" hidden="false" customHeight="false" outlineLevel="0" collapsed="false">
      <c r="A1135" s="22" t="s">
        <v>19</v>
      </c>
      <c r="B1135" s="22" t="n">
        <v>1</v>
      </c>
      <c r="C1135" s="22" t="s">
        <v>131</v>
      </c>
      <c r="D1135" s="22" t="s">
        <v>30</v>
      </c>
      <c r="E1135" s="22" t="s">
        <v>20</v>
      </c>
      <c r="F1135" s="22" t="n">
        <v>840488</v>
      </c>
      <c r="G1135" s="30" t="n">
        <v>46262</v>
      </c>
      <c r="H1135" s="22" t="n">
        <v>32775</v>
      </c>
      <c r="I1135" s="22" t="s">
        <v>8358</v>
      </c>
      <c r="J1135" s="31" t="n">
        <v>51.06</v>
      </c>
      <c r="K1135" s="26" t="n">
        <v>958.86</v>
      </c>
      <c r="L1135" s="26" t="n">
        <v>154.89</v>
      </c>
      <c r="M1135" s="22" t="s">
        <v>3926</v>
      </c>
      <c r="N1135" s="22" t="n">
        <f aca="false">MATCH(M1135,'Tabela Passaro'!$A$2:$A$1795,0)</f>
        <v>923</v>
      </c>
      <c r="O1135" s="22" t="str">
        <f aca="false">INDEX('Tabela Passaro'!$C$2:$C$1795,$N1135)</f>
        <v>JOAO PESSOA</v>
      </c>
      <c r="P1135" s="22" t="str">
        <f aca="false">INDEX('Tabela Passaro'!$B$2:$B$1795,$N1135)</f>
        <v>PB</v>
      </c>
      <c r="Q1135" s="22" t="n">
        <f aca="false">INDEX('Tabela Passaro'!$F$2:$F$1795,$N1135)</f>
        <v>9</v>
      </c>
      <c r="R1135" s="32" t="n">
        <f aca="false">IF(J1135&lt;=10,INDEX('Tabela Passaro'!$G$2:$G$1795,$N1135),IF(J1135&lt;=30,INDEX('Tabela Passaro'!$H$2:$H$1795,$N1135),IF(J1135&lt;=50,INDEX('Tabela Passaro'!$I$2:$I$1795,$N1135),IF(J1135&lt;=70,INDEX('Tabela Passaro'!$J$2:$J$1795,$N1135),IF(J1135&lt;=100,INDEX('Tabela Passaro'!$K$2:$K$1795,$N1135),INDEX('Tabela Passaro'!$K$2:$K$1795,$N1135)+(J1135-100)*INDEX('Tabela Passaro'!$L$2:$L$1795,$N1135))))))</f>
        <v>106.33</v>
      </c>
      <c r="S1135" s="32" t="n">
        <f aca="false">K1135*INDEX('Tabela Passaro'!$M$2:$M$1795,$N1135)</f>
        <v>4.7943</v>
      </c>
      <c r="T1135" s="32" t="n">
        <f aca="false">K1135*INDEX('Tabela Passaro'!$N$2:$N$1795,$N1135)</f>
        <v>1.91772</v>
      </c>
      <c r="U1135" s="32" t="n">
        <f aca="false">INDEX('Tabela Passaro'!$O$2:$O$1795,$N1135)</f>
        <v>5</v>
      </c>
      <c r="V1135" s="32" t="n">
        <f aca="false">ROUNDUP(J1135/INDEX('Tabela Passaro'!$Q$2:$Q$1795,$N1135),0)*INDEX('Tabela Passaro'!$P$2:$P$1795,$N1135)</f>
        <v>5</v>
      </c>
      <c r="W1135" s="32" t="n">
        <f aca="false">INDEX('Tabela Passaro'!$R$2:$R$1795,$N1135)</f>
        <v>30</v>
      </c>
      <c r="X1135" s="32" t="n">
        <f aca="false">ROUNDUP(J1135/INDEX('Tabela Passaro'!$T$2:$T$1795,$N1135),0)*INDEX('Tabela Passaro'!$S$2:$S$1795,$N1135)</f>
        <v>0</v>
      </c>
      <c r="Y1135" s="32" t="n">
        <f aca="false">INDEX('Tabela Passaro'!$U$2:$U$1795,$N1135)</f>
        <v>0</v>
      </c>
      <c r="Z1135" s="32" t="n">
        <f aca="false">INDEX('Tabela Passaro'!$V$2:$V$1795,$N1135)</f>
        <v>0</v>
      </c>
      <c r="AA1135" s="32" t="n">
        <f aca="false">SUM(R1135:Z1135)</f>
        <v>153.04202</v>
      </c>
      <c r="AB1135" s="33" t="n">
        <f aca="false">INDEX(Premissas!$B$5:$B$13,MATCH(A1135,Premissas!$A$5:$A$13,0))</f>
        <v>0.07</v>
      </c>
      <c r="AC1135" s="32" t="n">
        <f aca="false">AA1135/(1-AB1135)-AA1135</f>
        <v>11.519291827957</v>
      </c>
      <c r="AD1135" s="32" t="n">
        <f aca="false">ROUND(AA1135+AC1135,2)</f>
        <v>164.56</v>
      </c>
      <c r="AE1135" s="32" t="n">
        <f aca="false">AD1135-L1135</f>
        <v>9.67000000000002</v>
      </c>
      <c r="AF1135" s="34" t="n">
        <f aca="false">IF(L1135=0,0,AE1135/L1135)</f>
        <v>0.0624314029311125</v>
      </c>
      <c r="AG1135" s="22" t="str">
        <f aca="false">IF(AD1135&lt;L1135,"PASSARO","ATUAL")</f>
        <v>ATUAL</v>
      </c>
      <c r="AH1135" s="22" t="str">
        <f aca="false">IF(P1135&lt;&gt;A1135,"Faixa cadastrada como "&amp;P1135&amp;" na tabela; preço aplicado pela UF do CEP","")</f>
        <v/>
      </c>
      <c r="AI1135" s="26" t="n">
        <v>199.64</v>
      </c>
      <c r="AJ1135" s="22" t="str">
        <f aca="false">INDEX('Tabela Passaro'!$X$2:$X$1795,$N1135)</f>
        <v>CAPITAL</v>
      </c>
    </row>
    <row r="1136" customFormat="false" ht="15" hidden="false" customHeight="false" outlineLevel="0" collapsed="false">
      <c r="A1136" s="22" t="s">
        <v>19</v>
      </c>
      <c r="B1136" s="22" t="n">
        <v>1</v>
      </c>
      <c r="C1136" s="22" t="s">
        <v>131</v>
      </c>
      <c r="D1136" s="22" t="s">
        <v>30</v>
      </c>
      <c r="E1136" s="22" t="s">
        <v>20</v>
      </c>
      <c r="F1136" s="22" t="n">
        <v>840500</v>
      </c>
      <c r="G1136" s="30" t="n">
        <v>46262</v>
      </c>
      <c r="H1136" s="22" t="n">
        <v>32787</v>
      </c>
      <c r="I1136" s="22" t="s">
        <v>8359</v>
      </c>
      <c r="J1136" s="31" t="n">
        <v>68.61</v>
      </c>
      <c r="K1136" s="26" t="n">
        <v>1230.65</v>
      </c>
      <c r="L1136" s="26" t="n">
        <v>157.33</v>
      </c>
      <c r="M1136" s="22" t="s">
        <v>3926</v>
      </c>
      <c r="N1136" s="22" t="n">
        <f aca="false">MATCH(M1136,'Tabela Passaro'!$A$2:$A$1795,0)</f>
        <v>923</v>
      </c>
      <c r="O1136" s="22" t="str">
        <f aca="false">INDEX('Tabela Passaro'!$C$2:$C$1795,$N1136)</f>
        <v>JOAO PESSOA</v>
      </c>
      <c r="P1136" s="22" t="str">
        <f aca="false">INDEX('Tabela Passaro'!$B$2:$B$1795,$N1136)</f>
        <v>PB</v>
      </c>
      <c r="Q1136" s="22" t="n">
        <f aca="false">INDEX('Tabela Passaro'!$F$2:$F$1795,$N1136)</f>
        <v>9</v>
      </c>
      <c r="R1136" s="32" t="n">
        <f aca="false">IF(J1136&lt;=10,INDEX('Tabela Passaro'!$G$2:$G$1795,$N1136),IF(J1136&lt;=30,INDEX('Tabela Passaro'!$H$2:$H$1795,$N1136),IF(J1136&lt;=50,INDEX('Tabela Passaro'!$I$2:$I$1795,$N1136),IF(J1136&lt;=70,INDEX('Tabela Passaro'!$J$2:$J$1795,$N1136),IF(J1136&lt;=100,INDEX('Tabela Passaro'!$K$2:$K$1795,$N1136),INDEX('Tabela Passaro'!$K$2:$K$1795,$N1136)+(J1136-100)*INDEX('Tabela Passaro'!$L$2:$L$1795,$N1136))))))</f>
        <v>106.33</v>
      </c>
      <c r="S1136" s="32" t="n">
        <f aca="false">K1136*INDEX('Tabela Passaro'!$M$2:$M$1795,$N1136)</f>
        <v>6.15325</v>
      </c>
      <c r="T1136" s="32" t="n">
        <f aca="false">K1136*INDEX('Tabela Passaro'!$N$2:$N$1795,$N1136)</f>
        <v>2.4613</v>
      </c>
      <c r="U1136" s="32" t="n">
        <f aca="false">INDEX('Tabela Passaro'!$O$2:$O$1795,$N1136)</f>
        <v>5</v>
      </c>
      <c r="V1136" s="32" t="n">
        <f aca="false">ROUNDUP(J1136/INDEX('Tabela Passaro'!$Q$2:$Q$1795,$N1136),0)*INDEX('Tabela Passaro'!$P$2:$P$1795,$N1136)</f>
        <v>5</v>
      </c>
      <c r="W1136" s="32" t="n">
        <f aca="false">INDEX('Tabela Passaro'!$R$2:$R$1795,$N1136)</f>
        <v>30</v>
      </c>
      <c r="X1136" s="32" t="n">
        <f aca="false">ROUNDUP(J1136/INDEX('Tabela Passaro'!$T$2:$T$1795,$N1136),0)*INDEX('Tabela Passaro'!$S$2:$S$1795,$N1136)</f>
        <v>0</v>
      </c>
      <c r="Y1136" s="32" t="n">
        <f aca="false">INDEX('Tabela Passaro'!$U$2:$U$1795,$N1136)</f>
        <v>0</v>
      </c>
      <c r="Z1136" s="32" t="n">
        <f aca="false">INDEX('Tabela Passaro'!$V$2:$V$1795,$N1136)</f>
        <v>0</v>
      </c>
      <c r="AA1136" s="32" t="n">
        <f aca="false">SUM(R1136:Z1136)</f>
        <v>154.94455</v>
      </c>
      <c r="AB1136" s="33" t="n">
        <f aca="false">INDEX(Premissas!$B$5:$B$13,MATCH(A1136,Premissas!$A$5:$A$13,0))</f>
        <v>0.07</v>
      </c>
      <c r="AC1136" s="32" t="n">
        <f aca="false">AA1136/(1-AB1136)-AA1136</f>
        <v>11.6624930107527</v>
      </c>
      <c r="AD1136" s="32" t="n">
        <f aca="false">ROUND(AA1136+AC1136,2)</f>
        <v>166.61</v>
      </c>
      <c r="AE1136" s="32" t="n">
        <f aca="false">AD1136-L1136</f>
        <v>9.28</v>
      </c>
      <c r="AF1136" s="34" t="n">
        <f aca="false">IF(L1136=0,0,AE1136/L1136)</f>
        <v>0.0589843005148414</v>
      </c>
      <c r="AG1136" s="22" t="str">
        <f aca="false">IF(AD1136&lt;L1136,"PASSARO","ATUAL")</f>
        <v>ATUAL</v>
      </c>
      <c r="AH1136" s="22" t="str">
        <f aca="false">IF(P1136&lt;&gt;A1136,"Faixa cadastrada como "&amp;P1136&amp;" na tabela; preço aplicado pela UF do CEP","")</f>
        <v/>
      </c>
      <c r="AI1136" s="26" t="n">
        <v>210.5</v>
      </c>
      <c r="AJ1136" s="22" t="str">
        <f aca="false">INDEX('Tabela Passaro'!$X$2:$X$1795,$N1136)</f>
        <v>CAPITAL</v>
      </c>
    </row>
    <row r="1137" customFormat="false" ht="15" hidden="false" customHeight="false" outlineLevel="0" collapsed="false">
      <c r="A1137" s="22" t="s">
        <v>19</v>
      </c>
      <c r="B1137" s="22" t="n">
        <v>1</v>
      </c>
      <c r="C1137" s="22" t="s">
        <v>131</v>
      </c>
      <c r="D1137" s="22" t="s">
        <v>30</v>
      </c>
      <c r="E1137" s="22" t="s">
        <v>7326</v>
      </c>
      <c r="F1137" s="22" t="n">
        <v>528333</v>
      </c>
      <c r="G1137" s="30" t="n">
        <v>46262</v>
      </c>
      <c r="H1137" s="22" t="n">
        <v>630328</v>
      </c>
      <c r="I1137" s="22" t="s">
        <v>8360</v>
      </c>
      <c r="J1137" s="31" t="n">
        <v>52.9</v>
      </c>
      <c r="K1137" s="26" t="n">
        <v>1607.41</v>
      </c>
      <c r="L1137" s="26" t="n">
        <v>229.22</v>
      </c>
      <c r="M1137" s="22" t="s">
        <v>3926</v>
      </c>
      <c r="N1137" s="22" t="n">
        <f aca="false">MATCH(M1137,'Tabela Passaro'!$A$2:$A$1795,0)</f>
        <v>923</v>
      </c>
      <c r="O1137" s="22" t="str">
        <f aca="false">INDEX('Tabela Passaro'!$C$2:$C$1795,$N1137)</f>
        <v>JOAO PESSOA</v>
      </c>
      <c r="P1137" s="22" t="str">
        <f aca="false">INDEX('Tabela Passaro'!$B$2:$B$1795,$N1137)</f>
        <v>PB</v>
      </c>
      <c r="Q1137" s="22" t="n">
        <f aca="false">INDEX('Tabela Passaro'!$F$2:$F$1795,$N1137)</f>
        <v>9</v>
      </c>
      <c r="R1137" s="32" t="n">
        <f aca="false">IF(J1137&lt;=10,INDEX('Tabela Passaro'!$G$2:$G$1795,$N1137),IF(J1137&lt;=30,INDEX('Tabela Passaro'!$H$2:$H$1795,$N1137),IF(J1137&lt;=50,INDEX('Tabela Passaro'!$I$2:$I$1795,$N1137),IF(J1137&lt;=70,INDEX('Tabela Passaro'!$J$2:$J$1795,$N1137),IF(J1137&lt;=100,INDEX('Tabela Passaro'!$K$2:$K$1795,$N1137),INDEX('Tabela Passaro'!$K$2:$K$1795,$N1137)+(J1137-100)*INDEX('Tabela Passaro'!$L$2:$L$1795,$N1137))))))</f>
        <v>106.33</v>
      </c>
      <c r="S1137" s="32" t="n">
        <f aca="false">K1137*INDEX('Tabela Passaro'!$M$2:$M$1795,$N1137)</f>
        <v>8.03705</v>
      </c>
      <c r="T1137" s="32" t="n">
        <f aca="false">K1137*INDEX('Tabela Passaro'!$N$2:$N$1795,$N1137)</f>
        <v>3.21482</v>
      </c>
      <c r="U1137" s="32" t="n">
        <f aca="false">INDEX('Tabela Passaro'!$O$2:$O$1795,$N1137)</f>
        <v>5</v>
      </c>
      <c r="V1137" s="32" t="n">
        <f aca="false">ROUNDUP(J1137/INDEX('Tabela Passaro'!$Q$2:$Q$1795,$N1137),0)*INDEX('Tabela Passaro'!$P$2:$P$1795,$N1137)</f>
        <v>5</v>
      </c>
      <c r="W1137" s="32" t="n">
        <f aca="false">INDEX('Tabela Passaro'!$R$2:$R$1795,$N1137)</f>
        <v>30</v>
      </c>
      <c r="X1137" s="32" t="n">
        <f aca="false">ROUNDUP(J1137/INDEX('Tabela Passaro'!$T$2:$T$1795,$N1137),0)*INDEX('Tabela Passaro'!$S$2:$S$1795,$N1137)</f>
        <v>0</v>
      </c>
      <c r="Y1137" s="32" t="n">
        <f aca="false">INDEX('Tabela Passaro'!$U$2:$U$1795,$N1137)</f>
        <v>0</v>
      </c>
      <c r="Z1137" s="32" t="n">
        <f aca="false">INDEX('Tabela Passaro'!$V$2:$V$1795,$N1137)</f>
        <v>0</v>
      </c>
      <c r="AA1137" s="32" t="n">
        <f aca="false">SUM(R1137:Z1137)</f>
        <v>157.58187</v>
      </c>
      <c r="AB1137" s="33" t="n">
        <f aca="false">INDEX(Premissas!$B$5:$B$13,MATCH(A1137,Premissas!$A$5:$A$13,0))</f>
        <v>0.07</v>
      </c>
      <c r="AC1137" s="32" t="n">
        <f aca="false">AA1137/(1-AB1137)-AA1137</f>
        <v>11.8610009677419</v>
      </c>
      <c r="AD1137" s="32" t="n">
        <f aca="false">ROUND(AA1137+AC1137,2)</f>
        <v>169.44</v>
      </c>
      <c r="AE1137" s="32" t="n">
        <f aca="false">AD1137-L1137</f>
        <v>-59.78</v>
      </c>
      <c r="AF1137" s="34" t="n">
        <f aca="false">IF(L1137=0,0,AE1137/L1137)</f>
        <v>-0.260797487130268</v>
      </c>
      <c r="AG1137" s="22" t="str">
        <f aca="false">IF(AD1137&lt;L1137,"PASSARO","ATUAL")</f>
        <v>PASSARO</v>
      </c>
      <c r="AH1137" s="22" t="str">
        <f aca="false">IF(P1137&lt;&gt;A1137,"Faixa cadastrada como "&amp;P1137&amp;" na tabela; preço aplicado pela UF do CEP","")</f>
        <v/>
      </c>
      <c r="AI1137" s="26" t="n">
        <v>206.41</v>
      </c>
      <c r="AJ1137" s="22" t="str">
        <f aca="false">INDEX('Tabela Passaro'!$X$2:$X$1795,$N1137)</f>
        <v>CAPITAL</v>
      </c>
    </row>
    <row r="1138" customFormat="false" ht="15" hidden="false" customHeight="false" outlineLevel="0" collapsed="false">
      <c r="A1138" s="22" t="s">
        <v>19</v>
      </c>
      <c r="B1138" s="22" t="n">
        <v>1</v>
      </c>
      <c r="C1138" s="22" t="s">
        <v>131</v>
      </c>
      <c r="D1138" s="22" t="s">
        <v>30</v>
      </c>
      <c r="E1138" s="22" t="s">
        <v>20</v>
      </c>
      <c r="F1138" s="22" t="n">
        <v>840591</v>
      </c>
      <c r="G1138" s="30" t="n">
        <v>46265</v>
      </c>
      <c r="H1138" s="22" t="n">
        <v>32790</v>
      </c>
      <c r="I1138" s="22" t="s">
        <v>8361</v>
      </c>
      <c r="J1138" s="31" t="n">
        <v>32.9</v>
      </c>
      <c r="K1138" s="26" t="n">
        <v>579.83</v>
      </c>
      <c r="L1138" s="26" t="n">
        <v>134.69</v>
      </c>
      <c r="M1138" s="22" t="s">
        <v>3926</v>
      </c>
      <c r="N1138" s="22" t="n">
        <f aca="false">MATCH(M1138,'Tabela Passaro'!$A$2:$A$1795,0)</f>
        <v>923</v>
      </c>
      <c r="O1138" s="22" t="str">
        <f aca="false">INDEX('Tabela Passaro'!$C$2:$C$1795,$N1138)</f>
        <v>JOAO PESSOA</v>
      </c>
      <c r="P1138" s="22" t="str">
        <f aca="false">INDEX('Tabela Passaro'!$B$2:$B$1795,$N1138)</f>
        <v>PB</v>
      </c>
      <c r="Q1138" s="22" t="n">
        <f aca="false">INDEX('Tabela Passaro'!$F$2:$F$1795,$N1138)</f>
        <v>9</v>
      </c>
      <c r="R1138" s="32" t="n">
        <f aca="false">IF(J1138&lt;=10,INDEX('Tabela Passaro'!$G$2:$G$1795,$N1138),IF(J1138&lt;=30,INDEX('Tabela Passaro'!$H$2:$H$1795,$N1138),IF(J1138&lt;=50,INDEX('Tabela Passaro'!$I$2:$I$1795,$N1138),IF(J1138&lt;=70,INDEX('Tabela Passaro'!$J$2:$J$1795,$N1138),IF(J1138&lt;=100,INDEX('Tabela Passaro'!$K$2:$K$1795,$N1138),INDEX('Tabela Passaro'!$K$2:$K$1795,$N1138)+(J1138-100)*INDEX('Tabela Passaro'!$L$2:$L$1795,$N1138))))))</f>
        <v>96.32</v>
      </c>
      <c r="S1138" s="32" t="n">
        <f aca="false">K1138*INDEX('Tabela Passaro'!$M$2:$M$1795,$N1138)</f>
        <v>2.89915</v>
      </c>
      <c r="T1138" s="32" t="n">
        <f aca="false">K1138*INDEX('Tabela Passaro'!$N$2:$N$1795,$N1138)</f>
        <v>1.15966</v>
      </c>
      <c r="U1138" s="32" t="n">
        <f aca="false">INDEX('Tabela Passaro'!$O$2:$O$1795,$N1138)</f>
        <v>5</v>
      </c>
      <c r="V1138" s="32" t="n">
        <f aca="false">ROUNDUP(J1138/INDEX('Tabela Passaro'!$Q$2:$Q$1795,$N1138),0)*INDEX('Tabela Passaro'!$P$2:$P$1795,$N1138)</f>
        <v>5</v>
      </c>
      <c r="W1138" s="32" t="n">
        <f aca="false">INDEX('Tabela Passaro'!$R$2:$R$1795,$N1138)</f>
        <v>30</v>
      </c>
      <c r="X1138" s="32" t="n">
        <f aca="false">ROUNDUP(J1138/INDEX('Tabela Passaro'!$T$2:$T$1795,$N1138),0)*INDEX('Tabela Passaro'!$S$2:$S$1795,$N1138)</f>
        <v>0</v>
      </c>
      <c r="Y1138" s="32" t="n">
        <f aca="false">INDEX('Tabela Passaro'!$U$2:$U$1795,$N1138)</f>
        <v>0</v>
      </c>
      <c r="Z1138" s="32" t="n">
        <f aca="false">INDEX('Tabela Passaro'!$V$2:$V$1795,$N1138)</f>
        <v>0</v>
      </c>
      <c r="AA1138" s="32" t="n">
        <f aca="false">SUM(R1138:Z1138)</f>
        <v>140.37881</v>
      </c>
      <c r="AB1138" s="33" t="n">
        <f aca="false">INDEX(Premissas!$B$5:$B$13,MATCH(A1138,Premissas!$A$5:$A$13,0))</f>
        <v>0.07</v>
      </c>
      <c r="AC1138" s="32" t="n">
        <f aca="false">AA1138/(1-AB1138)-AA1138</f>
        <v>10.5661469892473</v>
      </c>
      <c r="AD1138" s="32" t="n">
        <f aca="false">ROUND(AA1138+AC1138,2)</f>
        <v>150.94</v>
      </c>
      <c r="AE1138" s="32" t="n">
        <f aca="false">AD1138-L1138</f>
        <v>16.25</v>
      </c>
      <c r="AF1138" s="34" t="n">
        <f aca="false">IF(L1138=0,0,AE1138/L1138)</f>
        <v>0.120647412577029</v>
      </c>
      <c r="AG1138" s="22" t="str">
        <f aca="false">IF(AD1138&lt;L1138,"PASSARO","ATUAL")</f>
        <v>ATUAL</v>
      </c>
      <c r="AH1138" s="22" t="str">
        <f aca="false">IF(P1138&lt;&gt;A1138,"Faixa cadastrada como "&amp;P1138&amp;" na tabela; preço aplicado pela UF do CEP","")</f>
        <v/>
      </c>
      <c r="AI1138" s="26" t="n">
        <v>174.27</v>
      </c>
      <c r="AJ1138" s="22" t="str">
        <f aca="false">INDEX('Tabela Passaro'!$X$2:$X$1795,$N1138)</f>
        <v>CAPITAL</v>
      </c>
    </row>
    <row r="1139" customFormat="false" ht="15" hidden="false" customHeight="false" outlineLevel="0" collapsed="false">
      <c r="A1139" s="22" t="s">
        <v>19</v>
      </c>
      <c r="B1139" s="22" t="n">
        <v>1</v>
      </c>
      <c r="C1139" s="22" t="s">
        <v>131</v>
      </c>
      <c r="D1139" s="22" t="s">
        <v>30</v>
      </c>
      <c r="E1139" s="22" t="s">
        <v>20</v>
      </c>
      <c r="F1139" s="22" t="n">
        <v>840590</v>
      </c>
      <c r="G1139" s="30" t="n">
        <v>46265</v>
      </c>
      <c r="H1139" s="22" t="n">
        <v>32791</v>
      </c>
      <c r="I1139" s="22" t="s">
        <v>8361</v>
      </c>
      <c r="J1139" s="31" t="n">
        <v>40</v>
      </c>
      <c r="K1139" s="26" t="n">
        <v>670.61</v>
      </c>
      <c r="L1139" s="26" t="n">
        <v>135.51</v>
      </c>
      <c r="M1139" s="22" t="s">
        <v>3926</v>
      </c>
      <c r="N1139" s="22" t="n">
        <f aca="false">MATCH(M1139,'Tabela Passaro'!$A$2:$A$1795,0)</f>
        <v>923</v>
      </c>
      <c r="O1139" s="22" t="str">
        <f aca="false">INDEX('Tabela Passaro'!$C$2:$C$1795,$N1139)</f>
        <v>JOAO PESSOA</v>
      </c>
      <c r="P1139" s="22" t="str">
        <f aca="false">INDEX('Tabela Passaro'!$B$2:$B$1795,$N1139)</f>
        <v>PB</v>
      </c>
      <c r="Q1139" s="22" t="n">
        <f aca="false">INDEX('Tabela Passaro'!$F$2:$F$1795,$N1139)</f>
        <v>9</v>
      </c>
      <c r="R1139" s="32" t="n">
        <f aca="false">IF(J1139&lt;=10,INDEX('Tabela Passaro'!$G$2:$G$1795,$N1139),IF(J1139&lt;=30,INDEX('Tabela Passaro'!$H$2:$H$1795,$N1139),IF(J1139&lt;=50,INDEX('Tabela Passaro'!$I$2:$I$1795,$N1139),IF(J1139&lt;=70,INDEX('Tabela Passaro'!$J$2:$J$1795,$N1139),IF(J1139&lt;=100,INDEX('Tabela Passaro'!$K$2:$K$1795,$N1139),INDEX('Tabela Passaro'!$K$2:$K$1795,$N1139)+(J1139-100)*INDEX('Tabela Passaro'!$L$2:$L$1795,$N1139))))))</f>
        <v>96.32</v>
      </c>
      <c r="S1139" s="32" t="n">
        <f aca="false">K1139*INDEX('Tabela Passaro'!$M$2:$M$1795,$N1139)</f>
        <v>3.35305</v>
      </c>
      <c r="T1139" s="32" t="n">
        <f aca="false">K1139*INDEX('Tabela Passaro'!$N$2:$N$1795,$N1139)</f>
        <v>1.34122</v>
      </c>
      <c r="U1139" s="32" t="n">
        <f aca="false">INDEX('Tabela Passaro'!$O$2:$O$1795,$N1139)</f>
        <v>5</v>
      </c>
      <c r="V1139" s="32" t="n">
        <f aca="false">ROUNDUP(J1139/INDEX('Tabela Passaro'!$Q$2:$Q$1795,$N1139),0)*INDEX('Tabela Passaro'!$P$2:$P$1795,$N1139)</f>
        <v>5</v>
      </c>
      <c r="W1139" s="32" t="n">
        <f aca="false">INDEX('Tabela Passaro'!$R$2:$R$1795,$N1139)</f>
        <v>30</v>
      </c>
      <c r="X1139" s="32" t="n">
        <f aca="false">ROUNDUP(J1139/INDEX('Tabela Passaro'!$T$2:$T$1795,$N1139),0)*INDEX('Tabela Passaro'!$S$2:$S$1795,$N1139)</f>
        <v>0</v>
      </c>
      <c r="Y1139" s="32" t="n">
        <f aca="false">INDEX('Tabela Passaro'!$U$2:$U$1795,$N1139)</f>
        <v>0</v>
      </c>
      <c r="Z1139" s="32" t="n">
        <f aca="false">INDEX('Tabela Passaro'!$V$2:$V$1795,$N1139)</f>
        <v>0</v>
      </c>
      <c r="AA1139" s="32" t="n">
        <f aca="false">SUM(R1139:Z1139)</f>
        <v>141.01427</v>
      </c>
      <c r="AB1139" s="33" t="n">
        <f aca="false">INDEX(Premissas!$B$5:$B$13,MATCH(A1139,Premissas!$A$5:$A$13,0))</f>
        <v>0.07</v>
      </c>
      <c r="AC1139" s="32" t="n">
        <f aca="false">AA1139/(1-AB1139)-AA1139</f>
        <v>10.613977311828</v>
      </c>
      <c r="AD1139" s="32" t="n">
        <f aca="false">ROUND(AA1139+AC1139,2)</f>
        <v>151.63</v>
      </c>
      <c r="AE1139" s="32" t="n">
        <f aca="false">AD1139-L1139</f>
        <v>16.12</v>
      </c>
      <c r="AF1139" s="34" t="n">
        <f aca="false">IF(L1139=0,0,AE1139/L1139)</f>
        <v>0.118958010478931</v>
      </c>
      <c r="AG1139" s="22" t="str">
        <f aca="false">IF(AD1139&lt;L1139,"PASSARO","ATUAL")</f>
        <v>ATUAL</v>
      </c>
      <c r="AH1139" s="22" t="str">
        <f aca="false">IF(P1139&lt;&gt;A1139,"Faixa cadastrada como "&amp;P1139&amp;" na tabela; preço aplicado pela UF do CEP","")</f>
        <v/>
      </c>
      <c r="AI1139" s="26" t="n">
        <v>178.53</v>
      </c>
      <c r="AJ1139" s="22" t="str">
        <f aca="false">INDEX('Tabela Passaro'!$X$2:$X$1795,$N1139)</f>
        <v>CAPITAL</v>
      </c>
    </row>
    <row r="1140" customFormat="false" ht="15" hidden="false" customHeight="false" outlineLevel="0" collapsed="false">
      <c r="A1140" s="22" t="s">
        <v>19</v>
      </c>
      <c r="B1140" s="22" t="n">
        <v>1</v>
      </c>
      <c r="C1140" s="22" t="s">
        <v>131</v>
      </c>
      <c r="D1140" s="22" t="s">
        <v>30</v>
      </c>
      <c r="E1140" s="22" t="s">
        <v>20</v>
      </c>
      <c r="F1140" s="22" t="n">
        <v>840598</v>
      </c>
      <c r="G1140" s="30" t="n">
        <v>46265</v>
      </c>
      <c r="H1140" s="22" t="n">
        <v>32799</v>
      </c>
      <c r="I1140" s="22" t="s">
        <v>8362</v>
      </c>
      <c r="J1140" s="31" t="n">
        <v>15.11</v>
      </c>
      <c r="K1140" s="26" t="n">
        <v>374.89</v>
      </c>
      <c r="L1140" s="26" t="n">
        <v>104.07</v>
      </c>
      <c r="M1140" s="22" t="s">
        <v>3926</v>
      </c>
      <c r="N1140" s="22" t="n">
        <f aca="false">MATCH(M1140,'Tabela Passaro'!$A$2:$A$1795,0)</f>
        <v>923</v>
      </c>
      <c r="O1140" s="22" t="str">
        <f aca="false">INDEX('Tabela Passaro'!$C$2:$C$1795,$N1140)</f>
        <v>JOAO PESSOA</v>
      </c>
      <c r="P1140" s="22" t="str">
        <f aca="false">INDEX('Tabela Passaro'!$B$2:$B$1795,$N1140)</f>
        <v>PB</v>
      </c>
      <c r="Q1140" s="22" t="n">
        <f aca="false">INDEX('Tabela Passaro'!$F$2:$F$1795,$N1140)</f>
        <v>9</v>
      </c>
      <c r="R1140" s="32" t="n">
        <f aca="false">IF(J1140&lt;=10,INDEX('Tabela Passaro'!$G$2:$G$1795,$N1140),IF(J1140&lt;=30,INDEX('Tabela Passaro'!$H$2:$H$1795,$N1140),IF(J1140&lt;=50,INDEX('Tabela Passaro'!$I$2:$I$1795,$N1140),IF(J1140&lt;=70,INDEX('Tabela Passaro'!$J$2:$J$1795,$N1140),IF(J1140&lt;=100,INDEX('Tabela Passaro'!$K$2:$K$1795,$N1140),INDEX('Tabela Passaro'!$K$2:$K$1795,$N1140)+(J1140-100)*INDEX('Tabela Passaro'!$L$2:$L$1795,$N1140))))))</f>
        <v>76.28</v>
      </c>
      <c r="S1140" s="32" t="n">
        <f aca="false">K1140*INDEX('Tabela Passaro'!$M$2:$M$1795,$N1140)</f>
        <v>1.87445</v>
      </c>
      <c r="T1140" s="32" t="n">
        <f aca="false">K1140*INDEX('Tabela Passaro'!$N$2:$N$1795,$N1140)</f>
        <v>0.74978</v>
      </c>
      <c r="U1140" s="32" t="n">
        <f aca="false">INDEX('Tabela Passaro'!$O$2:$O$1795,$N1140)</f>
        <v>5</v>
      </c>
      <c r="V1140" s="32" t="n">
        <f aca="false">ROUNDUP(J1140/INDEX('Tabela Passaro'!$Q$2:$Q$1795,$N1140),0)*INDEX('Tabela Passaro'!$P$2:$P$1795,$N1140)</f>
        <v>5</v>
      </c>
      <c r="W1140" s="32" t="n">
        <f aca="false">INDEX('Tabela Passaro'!$R$2:$R$1795,$N1140)</f>
        <v>30</v>
      </c>
      <c r="X1140" s="32" t="n">
        <f aca="false">ROUNDUP(J1140/INDEX('Tabela Passaro'!$T$2:$T$1795,$N1140),0)*INDEX('Tabela Passaro'!$S$2:$S$1795,$N1140)</f>
        <v>0</v>
      </c>
      <c r="Y1140" s="32" t="n">
        <f aca="false">INDEX('Tabela Passaro'!$U$2:$U$1795,$N1140)</f>
        <v>0</v>
      </c>
      <c r="Z1140" s="32" t="n">
        <f aca="false">INDEX('Tabela Passaro'!$V$2:$V$1795,$N1140)</f>
        <v>0</v>
      </c>
      <c r="AA1140" s="32" t="n">
        <f aca="false">SUM(R1140:Z1140)</f>
        <v>118.90423</v>
      </c>
      <c r="AB1140" s="33" t="n">
        <f aca="false">INDEX(Premissas!$B$5:$B$13,MATCH(A1140,Premissas!$A$5:$A$13,0))</f>
        <v>0.07</v>
      </c>
      <c r="AC1140" s="32" t="n">
        <f aca="false">AA1140/(1-AB1140)-AA1140</f>
        <v>8.94978075268818</v>
      </c>
      <c r="AD1140" s="32" t="n">
        <f aca="false">ROUND(AA1140+AC1140,2)</f>
        <v>127.85</v>
      </c>
      <c r="AE1140" s="32" t="n">
        <f aca="false">AD1140-L1140</f>
        <v>23.78</v>
      </c>
      <c r="AF1140" s="34" t="n">
        <f aca="false">IF(L1140=0,0,AE1140/L1140)</f>
        <v>0.228500048044585</v>
      </c>
      <c r="AG1140" s="22" t="str">
        <f aca="false">IF(AD1140&lt;L1140,"PASSARO","ATUAL")</f>
        <v>ATUAL</v>
      </c>
      <c r="AH1140" s="22" t="str">
        <f aca="false">IF(P1140&lt;&gt;A1140,"Faixa cadastrada como "&amp;P1140&amp;" na tabela; preço aplicado pela UF do CEP","")</f>
        <v/>
      </c>
      <c r="AI1140" s="26" t="n">
        <v>139</v>
      </c>
      <c r="AJ1140" s="22" t="str">
        <f aca="false">INDEX('Tabela Passaro'!$X$2:$X$1795,$N1140)</f>
        <v>CAPITAL</v>
      </c>
    </row>
    <row r="1141" customFormat="false" ht="15" hidden="false" customHeight="false" outlineLevel="0" collapsed="false">
      <c r="A1141" s="22" t="s">
        <v>19</v>
      </c>
      <c r="B1141" s="22" t="n">
        <v>1</v>
      </c>
      <c r="C1141" s="22" t="s">
        <v>131</v>
      </c>
      <c r="D1141" s="22" t="s">
        <v>30</v>
      </c>
      <c r="E1141" s="22" t="s">
        <v>20</v>
      </c>
      <c r="F1141" s="22" t="n">
        <v>840640</v>
      </c>
      <c r="G1141" s="30" t="n">
        <v>46265</v>
      </c>
      <c r="H1141" s="22" t="n">
        <v>32840</v>
      </c>
      <c r="I1141" s="22" t="s">
        <v>8363</v>
      </c>
      <c r="J1141" s="31" t="n">
        <v>51.06</v>
      </c>
      <c r="K1141" s="26" t="n">
        <v>851.67</v>
      </c>
      <c r="L1141" s="26" t="n">
        <v>153.92</v>
      </c>
      <c r="M1141" s="22" t="s">
        <v>3926</v>
      </c>
      <c r="N1141" s="22" t="n">
        <f aca="false">MATCH(M1141,'Tabela Passaro'!$A$2:$A$1795,0)</f>
        <v>923</v>
      </c>
      <c r="O1141" s="22" t="str">
        <f aca="false">INDEX('Tabela Passaro'!$C$2:$C$1795,$N1141)</f>
        <v>JOAO PESSOA</v>
      </c>
      <c r="P1141" s="22" t="str">
        <f aca="false">INDEX('Tabela Passaro'!$B$2:$B$1795,$N1141)</f>
        <v>PB</v>
      </c>
      <c r="Q1141" s="22" t="n">
        <f aca="false">INDEX('Tabela Passaro'!$F$2:$F$1795,$N1141)</f>
        <v>9</v>
      </c>
      <c r="R1141" s="32" t="n">
        <f aca="false">IF(J1141&lt;=10,INDEX('Tabela Passaro'!$G$2:$G$1795,$N1141),IF(J1141&lt;=30,INDEX('Tabela Passaro'!$H$2:$H$1795,$N1141),IF(J1141&lt;=50,INDEX('Tabela Passaro'!$I$2:$I$1795,$N1141),IF(J1141&lt;=70,INDEX('Tabela Passaro'!$J$2:$J$1795,$N1141),IF(J1141&lt;=100,INDEX('Tabela Passaro'!$K$2:$K$1795,$N1141),INDEX('Tabela Passaro'!$K$2:$K$1795,$N1141)+(J1141-100)*INDEX('Tabela Passaro'!$L$2:$L$1795,$N1141))))))</f>
        <v>106.33</v>
      </c>
      <c r="S1141" s="32" t="n">
        <f aca="false">K1141*INDEX('Tabela Passaro'!$M$2:$M$1795,$N1141)</f>
        <v>4.25835</v>
      </c>
      <c r="T1141" s="32" t="n">
        <f aca="false">K1141*INDEX('Tabela Passaro'!$N$2:$N$1795,$N1141)</f>
        <v>1.70334</v>
      </c>
      <c r="U1141" s="32" t="n">
        <f aca="false">INDEX('Tabela Passaro'!$O$2:$O$1795,$N1141)</f>
        <v>5</v>
      </c>
      <c r="V1141" s="32" t="n">
        <f aca="false">ROUNDUP(J1141/INDEX('Tabela Passaro'!$Q$2:$Q$1795,$N1141),0)*INDEX('Tabela Passaro'!$P$2:$P$1795,$N1141)</f>
        <v>5</v>
      </c>
      <c r="W1141" s="32" t="n">
        <f aca="false">INDEX('Tabela Passaro'!$R$2:$R$1795,$N1141)</f>
        <v>30</v>
      </c>
      <c r="X1141" s="32" t="n">
        <f aca="false">ROUNDUP(J1141/INDEX('Tabela Passaro'!$T$2:$T$1795,$N1141),0)*INDEX('Tabela Passaro'!$S$2:$S$1795,$N1141)</f>
        <v>0</v>
      </c>
      <c r="Y1141" s="32" t="n">
        <f aca="false">INDEX('Tabela Passaro'!$U$2:$U$1795,$N1141)</f>
        <v>0</v>
      </c>
      <c r="Z1141" s="32" t="n">
        <f aca="false">INDEX('Tabela Passaro'!$V$2:$V$1795,$N1141)</f>
        <v>0</v>
      </c>
      <c r="AA1141" s="32" t="n">
        <f aca="false">SUM(R1141:Z1141)</f>
        <v>152.29169</v>
      </c>
      <c r="AB1141" s="33" t="n">
        <f aca="false">INDEX(Premissas!$B$5:$B$13,MATCH(A1141,Premissas!$A$5:$A$13,0))</f>
        <v>0.07</v>
      </c>
      <c r="AC1141" s="32" t="n">
        <f aca="false">AA1141/(1-AB1141)-AA1141</f>
        <v>11.4628153763441</v>
      </c>
      <c r="AD1141" s="32" t="n">
        <f aca="false">ROUND(AA1141+AC1141,2)</f>
        <v>163.75</v>
      </c>
      <c r="AE1141" s="32" t="n">
        <f aca="false">AD1141-L1141</f>
        <v>9.83000000000001</v>
      </c>
      <c r="AF1141" s="34" t="n">
        <f aca="false">IF(L1141=0,0,AE1141/L1141)</f>
        <v>0.0638643451143452</v>
      </c>
      <c r="AG1141" s="22" t="str">
        <f aca="false">IF(AD1141&lt;L1141,"PASSARO","ATUAL")</f>
        <v>ATUAL</v>
      </c>
      <c r="AH1141" s="22" t="str">
        <f aca="false">IF(P1141&lt;&gt;A1141,"Faixa cadastrada como "&amp;P1141&amp;" na tabela; preço aplicado pela UF do CEP","")</f>
        <v/>
      </c>
      <c r="AI1141" s="26" t="n">
        <v>198.61</v>
      </c>
      <c r="AJ1141" s="22" t="str">
        <f aca="false">INDEX('Tabela Passaro'!$X$2:$X$1795,$N1141)</f>
        <v>CAPITAL</v>
      </c>
    </row>
    <row r="1142" customFormat="false" ht="15" hidden="false" customHeight="false" outlineLevel="0" collapsed="false">
      <c r="A1142" s="22" t="s">
        <v>19</v>
      </c>
      <c r="B1142" s="22" t="n">
        <v>1</v>
      </c>
      <c r="C1142" s="22" t="s">
        <v>131</v>
      </c>
      <c r="D1142" s="22" t="s">
        <v>30</v>
      </c>
      <c r="E1142" s="22" t="s">
        <v>20</v>
      </c>
      <c r="F1142" s="22" t="n">
        <v>840660</v>
      </c>
      <c r="G1142" s="30" t="n">
        <v>46265</v>
      </c>
      <c r="H1142" s="22" t="n">
        <v>32860</v>
      </c>
      <c r="I1142" s="22" t="s">
        <v>8364</v>
      </c>
      <c r="J1142" s="31" t="n">
        <v>17.2</v>
      </c>
      <c r="K1142" s="26" t="n">
        <v>325.03</v>
      </c>
      <c r="L1142" s="26" t="n">
        <v>103.63</v>
      </c>
      <c r="M1142" s="22" t="s">
        <v>3926</v>
      </c>
      <c r="N1142" s="22" t="n">
        <f aca="false">MATCH(M1142,'Tabela Passaro'!$A$2:$A$1795,0)</f>
        <v>923</v>
      </c>
      <c r="O1142" s="22" t="str">
        <f aca="false">INDEX('Tabela Passaro'!$C$2:$C$1795,$N1142)</f>
        <v>JOAO PESSOA</v>
      </c>
      <c r="P1142" s="22" t="str">
        <f aca="false">INDEX('Tabela Passaro'!$B$2:$B$1795,$N1142)</f>
        <v>PB</v>
      </c>
      <c r="Q1142" s="22" t="n">
        <f aca="false">INDEX('Tabela Passaro'!$F$2:$F$1795,$N1142)</f>
        <v>9</v>
      </c>
      <c r="R1142" s="32" t="n">
        <f aca="false">IF(J1142&lt;=10,INDEX('Tabela Passaro'!$G$2:$G$1795,$N1142),IF(J1142&lt;=30,INDEX('Tabela Passaro'!$H$2:$H$1795,$N1142),IF(J1142&lt;=50,INDEX('Tabela Passaro'!$I$2:$I$1795,$N1142),IF(J1142&lt;=70,INDEX('Tabela Passaro'!$J$2:$J$1795,$N1142),IF(J1142&lt;=100,INDEX('Tabela Passaro'!$K$2:$K$1795,$N1142),INDEX('Tabela Passaro'!$K$2:$K$1795,$N1142)+(J1142-100)*INDEX('Tabela Passaro'!$L$2:$L$1795,$N1142))))))</f>
        <v>76.28</v>
      </c>
      <c r="S1142" s="32" t="n">
        <f aca="false">K1142*INDEX('Tabela Passaro'!$M$2:$M$1795,$N1142)</f>
        <v>1.62515</v>
      </c>
      <c r="T1142" s="32" t="n">
        <f aca="false">K1142*INDEX('Tabela Passaro'!$N$2:$N$1795,$N1142)</f>
        <v>0.65006</v>
      </c>
      <c r="U1142" s="32" t="n">
        <f aca="false">INDEX('Tabela Passaro'!$O$2:$O$1795,$N1142)</f>
        <v>5</v>
      </c>
      <c r="V1142" s="32" t="n">
        <f aca="false">ROUNDUP(J1142/INDEX('Tabela Passaro'!$Q$2:$Q$1795,$N1142),0)*INDEX('Tabela Passaro'!$P$2:$P$1795,$N1142)</f>
        <v>5</v>
      </c>
      <c r="W1142" s="32" t="n">
        <f aca="false">INDEX('Tabela Passaro'!$R$2:$R$1795,$N1142)</f>
        <v>30</v>
      </c>
      <c r="X1142" s="32" t="n">
        <f aca="false">ROUNDUP(J1142/INDEX('Tabela Passaro'!$T$2:$T$1795,$N1142),0)*INDEX('Tabela Passaro'!$S$2:$S$1795,$N1142)</f>
        <v>0</v>
      </c>
      <c r="Y1142" s="32" t="n">
        <f aca="false">INDEX('Tabela Passaro'!$U$2:$U$1795,$N1142)</f>
        <v>0</v>
      </c>
      <c r="Z1142" s="32" t="n">
        <f aca="false">INDEX('Tabela Passaro'!$V$2:$V$1795,$N1142)</f>
        <v>0</v>
      </c>
      <c r="AA1142" s="32" t="n">
        <f aca="false">SUM(R1142:Z1142)</f>
        <v>118.55521</v>
      </c>
      <c r="AB1142" s="33" t="n">
        <f aca="false">INDEX(Premissas!$B$5:$B$13,MATCH(A1142,Premissas!$A$5:$A$13,0))</f>
        <v>0.07</v>
      </c>
      <c r="AC1142" s="32" t="n">
        <f aca="false">AA1142/(1-AB1142)-AA1142</f>
        <v>8.92351043010754</v>
      </c>
      <c r="AD1142" s="32" t="n">
        <f aca="false">ROUND(AA1142+AC1142,2)</f>
        <v>127.48</v>
      </c>
      <c r="AE1142" s="32" t="n">
        <f aca="false">AD1142-L1142</f>
        <v>23.85</v>
      </c>
      <c r="AF1142" s="34" t="n">
        <f aca="false">IF(L1142=0,0,AE1142/L1142)</f>
        <v>0.230145710701534</v>
      </c>
      <c r="AG1142" s="22" t="str">
        <f aca="false">IF(AD1142&lt;L1142,"PASSARO","ATUAL")</f>
        <v>ATUAL</v>
      </c>
      <c r="AH1142" s="22" t="str">
        <f aca="false">IF(P1142&lt;&gt;A1142,"Faixa cadastrada como "&amp;P1142&amp;" na tabela; preço aplicado pela UF do CEP","")</f>
        <v/>
      </c>
      <c r="AI1142" s="26" t="n">
        <v>139.49</v>
      </c>
      <c r="AJ1142" s="22" t="str">
        <f aca="false">INDEX('Tabela Passaro'!$X$2:$X$1795,$N1142)</f>
        <v>CAPITAL</v>
      </c>
    </row>
    <row r="1143" customFormat="false" ht="15" hidden="false" customHeight="false" outlineLevel="0" collapsed="false">
      <c r="A1143" s="22" t="s">
        <v>19</v>
      </c>
      <c r="B1143" s="22" t="n">
        <v>1</v>
      </c>
      <c r="C1143" s="22" t="s">
        <v>131</v>
      </c>
      <c r="D1143" s="22" t="s">
        <v>30</v>
      </c>
      <c r="E1143" s="22" t="s">
        <v>20</v>
      </c>
      <c r="F1143" s="22" t="n">
        <v>840665</v>
      </c>
      <c r="G1143" s="30" t="n">
        <v>46265</v>
      </c>
      <c r="H1143" s="22" t="n">
        <v>32869</v>
      </c>
      <c r="I1143" s="22" t="s">
        <v>8365</v>
      </c>
      <c r="J1143" s="31" t="n">
        <v>106.5</v>
      </c>
      <c r="K1143" s="26" t="n">
        <v>1508.97</v>
      </c>
      <c r="L1143" s="26" t="n">
        <v>213.6</v>
      </c>
      <c r="M1143" s="22" t="s">
        <v>3926</v>
      </c>
      <c r="N1143" s="22" t="n">
        <f aca="false">MATCH(M1143,'Tabela Passaro'!$A$2:$A$1795,0)</f>
        <v>923</v>
      </c>
      <c r="O1143" s="22" t="str">
        <f aca="false">INDEX('Tabela Passaro'!$C$2:$C$1795,$N1143)</f>
        <v>JOAO PESSOA</v>
      </c>
      <c r="P1143" s="22" t="str">
        <f aca="false">INDEX('Tabela Passaro'!$B$2:$B$1795,$N1143)</f>
        <v>PB</v>
      </c>
      <c r="Q1143" s="22" t="n">
        <f aca="false">INDEX('Tabela Passaro'!$F$2:$F$1795,$N1143)</f>
        <v>9</v>
      </c>
      <c r="R1143" s="32" t="n">
        <f aca="false">IF(J1143&lt;=10,INDEX('Tabela Passaro'!$G$2:$G$1795,$N1143),IF(J1143&lt;=30,INDEX('Tabela Passaro'!$H$2:$H$1795,$N1143),IF(J1143&lt;=50,INDEX('Tabela Passaro'!$I$2:$I$1795,$N1143),IF(J1143&lt;=70,INDEX('Tabela Passaro'!$J$2:$J$1795,$N1143),IF(J1143&lt;=100,INDEX('Tabela Passaro'!$K$2:$K$1795,$N1143),INDEX('Tabela Passaro'!$K$2:$K$1795,$N1143)+(J1143-100)*INDEX('Tabela Passaro'!$L$2:$L$1795,$N1143))))))</f>
        <v>131.955</v>
      </c>
      <c r="S1143" s="32" t="n">
        <f aca="false">K1143*INDEX('Tabela Passaro'!$M$2:$M$1795,$N1143)</f>
        <v>7.54485</v>
      </c>
      <c r="T1143" s="32" t="n">
        <f aca="false">K1143*INDEX('Tabela Passaro'!$N$2:$N$1795,$N1143)</f>
        <v>3.01794</v>
      </c>
      <c r="U1143" s="32" t="n">
        <f aca="false">INDEX('Tabela Passaro'!$O$2:$O$1795,$N1143)</f>
        <v>5</v>
      </c>
      <c r="V1143" s="32" t="n">
        <f aca="false">ROUNDUP(J1143/INDEX('Tabela Passaro'!$Q$2:$Q$1795,$N1143),0)*INDEX('Tabela Passaro'!$P$2:$P$1795,$N1143)</f>
        <v>10</v>
      </c>
      <c r="W1143" s="32" t="n">
        <f aca="false">INDEX('Tabela Passaro'!$R$2:$R$1795,$N1143)</f>
        <v>30</v>
      </c>
      <c r="X1143" s="32" t="n">
        <f aca="false">ROUNDUP(J1143/INDEX('Tabela Passaro'!$T$2:$T$1795,$N1143),0)*INDEX('Tabela Passaro'!$S$2:$S$1795,$N1143)</f>
        <v>0</v>
      </c>
      <c r="Y1143" s="32" t="n">
        <f aca="false">INDEX('Tabela Passaro'!$U$2:$U$1795,$N1143)</f>
        <v>0</v>
      </c>
      <c r="Z1143" s="32" t="n">
        <f aca="false">INDEX('Tabela Passaro'!$V$2:$V$1795,$N1143)</f>
        <v>0</v>
      </c>
      <c r="AA1143" s="32" t="n">
        <f aca="false">SUM(R1143:Z1143)</f>
        <v>187.51779</v>
      </c>
      <c r="AB1143" s="33" t="n">
        <f aca="false">INDEX(Premissas!$B$5:$B$13,MATCH(A1143,Premissas!$A$5:$A$13,0))</f>
        <v>0.07</v>
      </c>
      <c r="AC1143" s="32" t="n">
        <f aca="false">AA1143/(1-AB1143)-AA1143</f>
        <v>14.1142422580645</v>
      </c>
      <c r="AD1143" s="32" t="n">
        <f aca="false">ROUND(AA1143+AC1143,2)</f>
        <v>201.63</v>
      </c>
      <c r="AE1143" s="32" t="n">
        <f aca="false">AD1143-L1143</f>
        <v>-11.97</v>
      </c>
      <c r="AF1143" s="34" t="n">
        <f aca="false">IF(L1143=0,0,AE1143/L1143)</f>
        <v>-0.0560393258426966</v>
      </c>
      <c r="AG1143" s="22" t="str">
        <f aca="false">IF(AD1143&lt;L1143,"PASSARO","ATUAL")</f>
        <v>PASSARO</v>
      </c>
      <c r="AH1143" s="22" t="str">
        <f aca="false">IF(P1143&lt;&gt;A1143,"Faixa cadastrada como "&amp;P1143&amp;" na tabela; preço aplicado pela UF do CEP","")</f>
        <v/>
      </c>
      <c r="AI1143" s="26" t="n">
        <v>268.54</v>
      </c>
      <c r="AJ1143" s="22" t="str">
        <f aca="false">INDEX('Tabela Passaro'!$X$2:$X$1795,$N1143)</f>
        <v>CAPITAL</v>
      </c>
    </row>
    <row r="1144" customFormat="false" ht="15" hidden="false" customHeight="false" outlineLevel="0" collapsed="false">
      <c r="A1144" s="22" t="s">
        <v>19</v>
      </c>
      <c r="B1144" s="22" t="n">
        <v>1</v>
      </c>
      <c r="C1144" s="22" t="s">
        <v>131</v>
      </c>
      <c r="D1144" s="22" t="s">
        <v>30</v>
      </c>
      <c r="E1144" s="22" t="s">
        <v>20</v>
      </c>
      <c r="F1144" s="22" t="n">
        <v>840682</v>
      </c>
      <c r="G1144" s="30" t="n">
        <v>46265</v>
      </c>
      <c r="H1144" s="22" t="n">
        <v>32882</v>
      </c>
      <c r="I1144" s="22" t="s">
        <v>8366</v>
      </c>
      <c r="J1144" s="31" t="n">
        <v>56.7</v>
      </c>
      <c r="K1144" s="26" t="n">
        <v>1017.86</v>
      </c>
      <c r="L1144" s="26" t="n">
        <v>155.41</v>
      </c>
      <c r="M1144" s="22" t="s">
        <v>3926</v>
      </c>
      <c r="N1144" s="22" t="n">
        <f aca="false">MATCH(M1144,'Tabela Passaro'!$A$2:$A$1795,0)</f>
        <v>923</v>
      </c>
      <c r="O1144" s="22" t="str">
        <f aca="false">INDEX('Tabela Passaro'!$C$2:$C$1795,$N1144)</f>
        <v>JOAO PESSOA</v>
      </c>
      <c r="P1144" s="22" t="str">
        <f aca="false">INDEX('Tabela Passaro'!$B$2:$B$1795,$N1144)</f>
        <v>PB</v>
      </c>
      <c r="Q1144" s="22" t="n">
        <f aca="false">INDEX('Tabela Passaro'!$F$2:$F$1795,$N1144)</f>
        <v>9</v>
      </c>
      <c r="R1144" s="32" t="n">
        <f aca="false">IF(J1144&lt;=10,INDEX('Tabela Passaro'!$G$2:$G$1795,$N1144),IF(J1144&lt;=30,INDEX('Tabela Passaro'!$H$2:$H$1795,$N1144),IF(J1144&lt;=50,INDEX('Tabela Passaro'!$I$2:$I$1795,$N1144),IF(J1144&lt;=70,INDEX('Tabela Passaro'!$J$2:$J$1795,$N1144),IF(J1144&lt;=100,INDEX('Tabela Passaro'!$K$2:$K$1795,$N1144),INDEX('Tabela Passaro'!$K$2:$K$1795,$N1144)+(J1144-100)*INDEX('Tabela Passaro'!$L$2:$L$1795,$N1144))))))</f>
        <v>106.33</v>
      </c>
      <c r="S1144" s="32" t="n">
        <f aca="false">K1144*INDEX('Tabela Passaro'!$M$2:$M$1795,$N1144)</f>
        <v>5.0893</v>
      </c>
      <c r="T1144" s="32" t="n">
        <f aca="false">K1144*INDEX('Tabela Passaro'!$N$2:$N$1795,$N1144)</f>
        <v>2.03572</v>
      </c>
      <c r="U1144" s="32" t="n">
        <f aca="false">INDEX('Tabela Passaro'!$O$2:$O$1795,$N1144)</f>
        <v>5</v>
      </c>
      <c r="V1144" s="32" t="n">
        <f aca="false">ROUNDUP(J1144/INDEX('Tabela Passaro'!$Q$2:$Q$1795,$N1144),0)*INDEX('Tabela Passaro'!$P$2:$P$1795,$N1144)</f>
        <v>5</v>
      </c>
      <c r="W1144" s="32" t="n">
        <f aca="false">INDEX('Tabela Passaro'!$R$2:$R$1795,$N1144)</f>
        <v>30</v>
      </c>
      <c r="X1144" s="32" t="n">
        <f aca="false">ROUNDUP(J1144/INDEX('Tabela Passaro'!$T$2:$T$1795,$N1144),0)*INDEX('Tabela Passaro'!$S$2:$S$1795,$N1144)</f>
        <v>0</v>
      </c>
      <c r="Y1144" s="32" t="n">
        <f aca="false">INDEX('Tabela Passaro'!$U$2:$U$1795,$N1144)</f>
        <v>0</v>
      </c>
      <c r="Z1144" s="32" t="n">
        <f aca="false">INDEX('Tabela Passaro'!$V$2:$V$1795,$N1144)</f>
        <v>0</v>
      </c>
      <c r="AA1144" s="32" t="n">
        <f aca="false">SUM(R1144:Z1144)</f>
        <v>153.45502</v>
      </c>
      <c r="AB1144" s="33" t="n">
        <f aca="false">INDEX(Premissas!$B$5:$B$13,MATCH(A1144,Premissas!$A$5:$A$13,0))</f>
        <v>0.07</v>
      </c>
      <c r="AC1144" s="32" t="n">
        <f aca="false">AA1144/(1-AB1144)-AA1144</f>
        <v>11.5503778494624</v>
      </c>
      <c r="AD1144" s="32" t="n">
        <f aca="false">ROUND(AA1144+AC1144,2)</f>
        <v>165.01</v>
      </c>
      <c r="AE1144" s="32" t="n">
        <f aca="false">AD1144-L1144</f>
        <v>9.59999999999999</v>
      </c>
      <c r="AF1144" s="34" t="n">
        <f aca="false">IF(L1144=0,0,AE1144/L1144)</f>
        <v>0.0617720867383051</v>
      </c>
      <c r="AG1144" s="22" t="str">
        <f aca="false">IF(AD1144&lt;L1144,"PASSARO","ATUAL")</f>
        <v>ATUAL</v>
      </c>
      <c r="AH1144" s="22" t="str">
        <f aca="false">IF(P1144&lt;&gt;A1144,"Faixa cadastrada como "&amp;P1144&amp;" na tabela; preço aplicado pela UF do CEP","")</f>
        <v/>
      </c>
      <c r="AI1144" s="26" t="n">
        <v>202.64</v>
      </c>
      <c r="AJ1144" s="22" t="str">
        <f aca="false">INDEX('Tabela Passaro'!$X$2:$X$1795,$N1144)</f>
        <v>CAPITAL</v>
      </c>
    </row>
    <row r="1145" customFormat="false" ht="15" hidden="false" customHeight="false" outlineLevel="0" collapsed="false">
      <c r="A1145" s="22" t="s">
        <v>19</v>
      </c>
      <c r="B1145" s="22" t="n">
        <v>1</v>
      </c>
      <c r="C1145" s="22" t="s">
        <v>131</v>
      </c>
      <c r="D1145" s="22" t="s">
        <v>31</v>
      </c>
      <c r="E1145" s="22" t="s">
        <v>7326</v>
      </c>
      <c r="F1145" s="22" t="n">
        <v>12749591</v>
      </c>
      <c r="G1145" s="30" t="n">
        <v>46241</v>
      </c>
      <c r="H1145" s="22" t="n">
        <v>621458</v>
      </c>
      <c r="I1145" s="22" t="s">
        <v>8367</v>
      </c>
      <c r="J1145" s="31" t="n">
        <v>20.8</v>
      </c>
      <c r="K1145" s="26" t="n">
        <v>570.16</v>
      </c>
      <c r="L1145" s="26" t="n">
        <v>90.94</v>
      </c>
      <c r="M1145" s="22" t="s">
        <v>3926</v>
      </c>
      <c r="N1145" s="22" t="n">
        <f aca="false">MATCH(M1145,'Tabela Passaro'!$A$2:$A$1795,0)</f>
        <v>923</v>
      </c>
      <c r="O1145" s="22" t="str">
        <f aca="false">INDEX('Tabela Passaro'!$C$2:$C$1795,$N1145)</f>
        <v>JOAO PESSOA</v>
      </c>
      <c r="P1145" s="22" t="str">
        <f aca="false">INDEX('Tabela Passaro'!$B$2:$B$1795,$N1145)</f>
        <v>PB</v>
      </c>
      <c r="Q1145" s="22" t="n">
        <f aca="false">INDEX('Tabela Passaro'!$F$2:$F$1795,$N1145)</f>
        <v>9</v>
      </c>
      <c r="R1145" s="32" t="n">
        <f aca="false">IF(J1145&lt;=10,INDEX('Tabela Passaro'!$G$2:$G$1795,$N1145),IF(J1145&lt;=30,INDEX('Tabela Passaro'!$H$2:$H$1795,$N1145),IF(J1145&lt;=50,INDEX('Tabela Passaro'!$I$2:$I$1795,$N1145),IF(J1145&lt;=70,INDEX('Tabela Passaro'!$J$2:$J$1795,$N1145),IF(J1145&lt;=100,INDEX('Tabela Passaro'!$K$2:$K$1795,$N1145),INDEX('Tabela Passaro'!$K$2:$K$1795,$N1145)+(J1145-100)*INDEX('Tabela Passaro'!$L$2:$L$1795,$N1145))))))</f>
        <v>76.28</v>
      </c>
      <c r="S1145" s="32" t="n">
        <f aca="false">K1145*INDEX('Tabela Passaro'!$M$2:$M$1795,$N1145)</f>
        <v>2.8508</v>
      </c>
      <c r="T1145" s="32" t="n">
        <f aca="false">K1145*INDEX('Tabela Passaro'!$N$2:$N$1795,$N1145)</f>
        <v>1.14032</v>
      </c>
      <c r="U1145" s="32" t="n">
        <f aca="false">INDEX('Tabela Passaro'!$O$2:$O$1795,$N1145)</f>
        <v>5</v>
      </c>
      <c r="V1145" s="32" t="n">
        <f aca="false">ROUNDUP(J1145/INDEX('Tabela Passaro'!$Q$2:$Q$1795,$N1145),0)*INDEX('Tabela Passaro'!$P$2:$P$1795,$N1145)</f>
        <v>5</v>
      </c>
      <c r="W1145" s="32" t="n">
        <f aca="false">INDEX('Tabela Passaro'!$R$2:$R$1795,$N1145)</f>
        <v>30</v>
      </c>
      <c r="X1145" s="32" t="n">
        <f aca="false">ROUNDUP(J1145/INDEX('Tabela Passaro'!$T$2:$T$1795,$N1145),0)*INDEX('Tabela Passaro'!$S$2:$S$1795,$N1145)</f>
        <v>0</v>
      </c>
      <c r="Y1145" s="32" t="n">
        <f aca="false">INDEX('Tabela Passaro'!$U$2:$U$1795,$N1145)</f>
        <v>0</v>
      </c>
      <c r="Z1145" s="32" t="n">
        <f aca="false">INDEX('Tabela Passaro'!$V$2:$V$1795,$N1145)</f>
        <v>0</v>
      </c>
      <c r="AA1145" s="32" t="n">
        <f aca="false">SUM(R1145:Z1145)</f>
        <v>120.27112</v>
      </c>
      <c r="AB1145" s="33" t="n">
        <f aca="false">INDEX(Premissas!$B$5:$B$13,MATCH(A1145,Premissas!$A$5:$A$13,0))</f>
        <v>0.07</v>
      </c>
      <c r="AC1145" s="32" t="n">
        <f aca="false">AA1145/(1-AB1145)-AA1145</f>
        <v>9.05266494623658</v>
      </c>
      <c r="AD1145" s="32" t="n">
        <f aca="false">ROUND(AA1145+AC1145,2)</f>
        <v>129.32</v>
      </c>
      <c r="AE1145" s="32" t="n">
        <f aca="false">AD1145-L1145</f>
        <v>38.38</v>
      </c>
      <c r="AF1145" s="34" t="n">
        <f aca="false">IF(L1145=0,0,AE1145/L1145)</f>
        <v>0.42203650758742</v>
      </c>
      <c r="AG1145" s="22" t="str">
        <f aca="false">IF(AD1145&lt;L1145,"PASSARO","ATUAL")</f>
        <v>ATUAL</v>
      </c>
      <c r="AH1145" s="22" t="str">
        <f aca="false">IF(P1145&lt;&gt;A1145,"Faixa cadastrada como "&amp;P1145&amp;" na tabela; preço aplicado pela UF do CEP","")</f>
        <v/>
      </c>
      <c r="AI1145" s="26" t="n">
        <v>143.31</v>
      </c>
      <c r="AJ1145" s="22" t="str">
        <f aca="false">INDEX('Tabela Passaro'!$X$2:$X$1795,$N1145)</f>
        <v>CAPITAL</v>
      </c>
    </row>
    <row r="1146" customFormat="false" ht="15" hidden="false" customHeight="false" outlineLevel="0" collapsed="false">
      <c r="A1146" s="22" t="s">
        <v>19</v>
      </c>
      <c r="B1146" s="22" t="n">
        <v>1</v>
      </c>
      <c r="C1146" s="22" t="s">
        <v>131</v>
      </c>
      <c r="D1146" s="22" t="s">
        <v>31</v>
      </c>
      <c r="E1146" s="22" t="s">
        <v>7326</v>
      </c>
      <c r="F1146" s="22" t="n">
        <v>12766683</v>
      </c>
      <c r="G1146" s="30" t="n">
        <v>46245</v>
      </c>
      <c r="H1146" s="22" t="n">
        <v>622577</v>
      </c>
      <c r="I1146" s="22" t="s">
        <v>8368</v>
      </c>
      <c r="J1146" s="31" t="n">
        <v>8.2</v>
      </c>
      <c r="K1146" s="26" t="n">
        <v>178.21</v>
      </c>
      <c r="L1146" s="26" t="n">
        <v>39.6</v>
      </c>
      <c r="M1146" s="22" t="s">
        <v>3926</v>
      </c>
      <c r="N1146" s="22" t="n">
        <f aca="false">MATCH(M1146,'Tabela Passaro'!$A$2:$A$1795,0)</f>
        <v>923</v>
      </c>
      <c r="O1146" s="22" t="str">
        <f aca="false">INDEX('Tabela Passaro'!$C$2:$C$1795,$N1146)</f>
        <v>JOAO PESSOA</v>
      </c>
      <c r="P1146" s="22" t="str">
        <f aca="false">INDEX('Tabela Passaro'!$B$2:$B$1795,$N1146)</f>
        <v>PB</v>
      </c>
      <c r="Q1146" s="22" t="n">
        <f aca="false">INDEX('Tabela Passaro'!$F$2:$F$1795,$N1146)</f>
        <v>9</v>
      </c>
      <c r="R1146" s="32" t="n">
        <f aca="false">IF(J1146&lt;=10,INDEX('Tabela Passaro'!$G$2:$G$1795,$N1146),IF(J1146&lt;=30,INDEX('Tabela Passaro'!$H$2:$H$1795,$N1146),IF(J1146&lt;=50,INDEX('Tabela Passaro'!$I$2:$I$1795,$N1146),IF(J1146&lt;=70,INDEX('Tabela Passaro'!$J$2:$J$1795,$N1146),IF(J1146&lt;=100,INDEX('Tabela Passaro'!$K$2:$K$1795,$N1146),INDEX('Tabela Passaro'!$K$2:$K$1795,$N1146)+(J1146-100)*INDEX('Tabela Passaro'!$L$2:$L$1795,$N1146))))))</f>
        <v>66.26</v>
      </c>
      <c r="S1146" s="32" t="n">
        <f aca="false">K1146*INDEX('Tabela Passaro'!$M$2:$M$1795,$N1146)</f>
        <v>0.89105</v>
      </c>
      <c r="T1146" s="32" t="n">
        <f aca="false">K1146*INDEX('Tabela Passaro'!$N$2:$N$1795,$N1146)</f>
        <v>0.35642</v>
      </c>
      <c r="U1146" s="32" t="n">
        <f aca="false">INDEX('Tabela Passaro'!$O$2:$O$1795,$N1146)</f>
        <v>5</v>
      </c>
      <c r="V1146" s="32" t="n">
        <f aca="false">ROUNDUP(J1146/INDEX('Tabela Passaro'!$Q$2:$Q$1795,$N1146),0)*INDEX('Tabela Passaro'!$P$2:$P$1795,$N1146)</f>
        <v>5</v>
      </c>
      <c r="W1146" s="32" t="n">
        <f aca="false">INDEX('Tabela Passaro'!$R$2:$R$1795,$N1146)</f>
        <v>30</v>
      </c>
      <c r="X1146" s="32" t="n">
        <f aca="false">ROUNDUP(J1146/INDEX('Tabela Passaro'!$T$2:$T$1795,$N1146),0)*INDEX('Tabela Passaro'!$S$2:$S$1795,$N1146)</f>
        <v>0</v>
      </c>
      <c r="Y1146" s="32" t="n">
        <f aca="false">INDEX('Tabela Passaro'!$U$2:$U$1795,$N1146)</f>
        <v>0</v>
      </c>
      <c r="Z1146" s="32" t="n">
        <f aca="false">INDEX('Tabela Passaro'!$V$2:$V$1795,$N1146)</f>
        <v>0</v>
      </c>
      <c r="AA1146" s="32" t="n">
        <f aca="false">SUM(R1146:Z1146)</f>
        <v>107.50747</v>
      </c>
      <c r="AB1146" s="33" t="n">
        <f aca="false">INDEX(Premissas!$B$5:$B$13,MATCH(A1146,Premissas!$A$5:$A$13,0))</f>
        <v>0.07</v>
      </c>
      <c r="AC1146" s="32" t="n">
        <f aca="false">AA1146/(1-AB1146)-AA1146</f>
        <v>8.09196010752689</v>
      </c>
      <c r="AD1146" s="32" t="n">
        <f aca="false">ROUND(AA1146+AC1146,2)</f>
        <v>115.6</v>
      </c>
      <c r="AE1146" s="32" t="n">
        <f aca="false">AD1146-L1146</f>
        <v>76</v>
      </c>
      <c r="AF1146" s="34" t="n">
        <f aca="false">IF(L1146=0,0,AE1146/L1146)</f>
        <v>1.91919191919192</v>
      </c>
      <c r="AG1146" s="22" t="str">
        <f aca="false">IF(AD1146&lt;L1146,"PASSARO","ATUAL")</f>
        <v>ATUAL</v>
      </c>
      <c r="AH1146" s="22" t="str">
        <f aca="false">IF(P1146&lt;&gt;A1146,"Faixa cadastrada como "&amp;P1146&amp;" na tabela; preço aplicado pela UF do CEP","")</f>
        <v/>
      </c>
      <c r="AI1146" s="26" t="n">
        <v>121.19</v>
      </c>
      <c r="AJ1146" s="22" t="str">
        <f aca="false">INDEX('Tabela Passaro'!$X$2:$X$1795,$N1146)</f>
        <v>CAPITAL</v>
      </c>
    </row>
    <row r="1147" customFormat="false" ht="15" hidden="false" customHeight="false" outlineLevel="0" collapsed="false">
      <c r="A1147" s="22" t="s">
        <v>19</v>
      </c>
      <c r="B1147" s="22" t="n">
        <v>1</v>
      </c>
      <c r="C1147" s="22" t="s">
        <v>131</v>
      </c>
      <c r="D1147" s="22" t="s">
        <v>31</v>
      </c>
      <c r="E1147" s="22" t="s">
        <v>7326</v>
      </c>
      <c r="F1147" s="22" t="n">
        <v>12790725</v>
      </c>
      <c r="G1147" s="30" t="n">
        <v>46248</v>
      </c>
      <c r="H1147" s="22" t="n">
        <v>624927</v>
      </c>
      <c r="I1147" s="22" t="s">
        <v>8369</v>
      </c>
      <c r="J1147" s="31" t="n">
        <v>22.3</v>
      </c>
      <c r="K1147" s="26" t="n">
        <v>618.59</v>
      </c>
      <c r="L1147" s="26" t="n">
        <v>97.63</v>
      </c>
      <c r="M1147" s="22" t="s">
        <v>3926</v>
      </c>
      <c r="N1147" s="22" t="n">
        <f aca="false">MATCH(M1147,'Tabela Passaro'!$A$2:$A$1795,0)</f>
        <v>923</v>
      </c>
      <c r="O1147" s="22" t="str">
        <f aca="false">INDEX('Tabela Passaro'!$C$2:$C$1795,$N1147)</f>
        <v>JOAO PESSOA</v>
      </c>
      <c r="P1147" s="22" t="str">
        <f aca="false">INDEX('Tabela Passaro'!$B$2:$B$1795,$N1147)</f>
        <v>PB</v>
      </c>
      <c r="Q1147" s="22" t="n">
        <f aca="false">INDEX('Tabela Passaro'!$F$2:$F$1795,$N1147)</f>
        <v>9</v>
      </c>
      <c r="R1147" s="32" t="n">
        <f aca="false">IF(J1147&lt;=10,INDEX('Tabela Passaro'!$G$2:$G$1795,$N1147),IF(J1147&lt;=30,INDEX('Tabela Passaro'!$H$2:$H$1795,$N1147),IF(J1147&lt;=50,INDEX('Tabela Passaro'!$I$2:$I$1795,$N1147),IF(J1147&lt;=70,INDEX('Tabela Passaro'!$J$2:$J$1795,$N1147),IF(J1147&lt;=100,INDEX('Tabela Passaro'!$K$2:$K$1795,$N1147),INDEX('Tabela Passaro'!$K$2:$K$1795,$N1147)+(J1147-100)*INDEX('Tabela Passaro'!$L$2:$L$1795,$N1147))))))</f>
        <v>76.28</v>
      </c>
      <c r="S1147" s="32" t="n">
        <f aca="false">K1147*INDEX('Tabela Passaro'!$M$2:$M$1795,$N1147)</f>
        <v>3.09295</v>
      </c>
      <c r="T1147" s="32" t="n">
        <f aca="false">K1147*INDEX('Tabela Passaro'!$N$2:$N$1795,$N1147)</f>
        <v>1.23718</v>
      </c>
      <c r="U1147" s="32" t="n">
        <f aca="false">INDEX('Tabela Passaro'!$O$2:$O$1795,$N1147)</f>
        <v>5</v>
      </c>
      <c r="V1147" s="32" t="n">
        <f aca="false">ROUNDUP(J1147/INDEX('Tabela Passaro'!$Q$2:$Q$1795,$N1147),0)*INDEX('Tabela Passaro'!$P$2:$P$1795,$N1147)</f>
        <v>5</v>
      </c>
      <c r="W1147" s="32" t="n">
        <f aca="false">INDEX('Tabela Passaro'!$R$2:$R$1795,$N1147)</f>
        <v>30</v>
      </c>
      <c r="X1147" s="32" t="n">
        <f aca="false">ROUNDUP(J1147/INDEX('Tabela Passaro'!$T$2:$T$1795,$N1147),0)*INDEX('Tabela Passaro'!$S$2:$S$1795,$N1147)</f>
        <v>0</v>
      </c>
      <c r="Y1147" s="32" t="n">
        <f aca="false">INDEX('Tabela Passaro'!$U$2:$U$1795,$N1147)</f>
        <v>0</v>
      </c>
      <c r="Z1147" s="32" t="n">
        <f aca="false">INDEX('Tabela Passaro'!$V$2:$V$1795,$N1147)</f>
        <v>0</v>
      </c>
      <c r="AA1147" s="32" t="n">
        <f aca="false">SUM(R1147:Z1147)</f>
        <v>120.61013</v>
      </c>
      <c r="AB1147" s="33" t="n">
        <f aca="false">INDEX(Premissas!$B$5:$B$13,MATCH(A1147,Premissas!$A$5:$A$13,0))</f>
        <v>0.07</v>
      </c>
      <c r="AC1147" s="32" t="n">
        <f aca="false">AA1147/(1-AB1147)-AA1147</f>
        <v>9.078181827957</v>
      </c>
      <c r="AD1147" s="32" t="n">
        <f aca="false">ROUND(AA1147+AC1147,2)</f>
        <v>129.69</v>
      </c>
      <c r="AE1147" s="32" t="n">
        <f aca="false">AD1147-L1147</f>
        <v>32.06</v>
      </c>
      <c r="AF1147" s="34" t="n">
        <f aca="false">IF(L1147=0,0,AE1147/L1147)</f>
        <v>0.328382669261498</v>
      </c>
      <c r="AG1147" s="22" t="str">
        <f aca="false">IF(AD1147&lt;L1147,"PASSARO","ATUAL")</f>
        <v>ATUAL</v>
      </c>
      <c r="AH1147" s="22" t="str">
        <f aca="false">IF(P1147&lt;&gt;A1147,"Faixa cadastrada como "&amp;P1147&amp;" na tabela; preço aplicado pela UF do CEP","")</f>
        <v/>
      </c>
      <c r="AI1147" s="26" t="n">
        <v>144.75</v>
      </c>
      <c r="AJ1147" s="22" t="str">
        <f aca="false">INDEX('Tabela Passaro'!$X$2:$X$1795,$N1147)</f>
        <v>CAPITAL</v>
      </c>
    </row>
    <row r="1148" customFormat="false" ht="15" hidden="false" customHeight="false" outlineLevel="0" collapsed="false">
      <c r="A1148" s="22" t="s">
        <v>19</v>
      </c>
      <c r="B1148" s="22" t="n">
        <v>1</v>
      </c>
      <c r="C1148" s="22" t="s">
        <v>131</v>
      </c>
      <c r="D1148" s="22" t="s">
        <v>31</v>
      </c>
      <c r="E1148" s="22" t="s">
        <v>7326</v>
      </c>
      <c r="F1148" s="22" t="n">
        <v>12809466</v>
      </c>
      <c r="G1148" s="30" t="n">
        <v>46252</v>
      </c>
      <c r="H1148" s="22" t="n">
        <v>626442</v>
      </c>
      <c r="I1148" s="22" t="s">
        <v>8370</v>
      </c>
      <c r="J1148" s="31" t="n">
        <v>21.1</v>
      </c>
      <c r="K1148" s="26" t="n">
        <v>694.46</v>
      </c>
      <c r="L1148" s="26" t="n">
        <v>91.4</v>
      </c>
      <c r="M1148" s="22" t="s">
        <v>3926</v>
      </c>
      <c r="N1148" s="22" t="n">
        <f aca="false">MATCH(M1148,'Tabela Passaro'!$A$2:$A$1795,0)</f>
        <v>923</v>
      </c>
      <c r="O1148" s="22" t="str">
        <f aca="false">INDEX('Tabela Passaro'!$C$2:$C$1795,$N1148)</f>
        <v>JOAO PESSOA</v>
      </c>
      <c r="P1148" s="22" t="str">
        <f aca="false">INDEX('Tabela Passaro'!$B$2:$B$1795,$N1148)</f>
        <v>PB</v>
      </c>
      <c r="Q1148" s="22" t="n">
        <f aca="false">INDEX('Tabela Passaro'!$F$2:$F$1795,$N1148)</f>
        <v>9</v>
      </c>
      <c r="R1148" s="32" t="n">
        <f aca="false">IF(J1148&lt;=10,INDEX('Tabela Passaro'!$G$2:$G$1795,$N1148),IF(J1148&lt;=30,INDEX('Tabela Passaro'!$H$2:$H$1795,$N1148),IF(J1148&lt;=50,INDEX('Tabela Passaro'!$I$2:$I$1795,$N1148),IF(J1148&lt;=70,INDEX('Tabela Passaro'!$J$2:$J$1795,$N1148),IF(J1148&lt;=100,INDEX('Tabela Passaro'!$K$2:$K$1795,$N1148),INDEX('Tabela Passaro'!$K$2:$K$1795,$N1148)+(J1148-100)*INDEX('Tabela Passaro'!$L$2:$L$1795,$N1148))))))</f>
        <v>76.28</v>
      </c>
      <c r="S1148" s="32" t="n">
        <f aca="false">K1148*INDEX('Tabela Passaro'!$M$2:$M$1795,$N1148)</f>
        <v>3.4723</v>
      </c>
      <c r="T1148" s="32" t="n">
        <f aca="false">K1148*INDEX('Tabela Passaro'!$N$2:$N$1795,$N1148)</f>
        <v>1.38892</v>
      </c>
      <c r="U1148" s="32" t="n">
        <f aca="false">INDEX('Tabela Passaro'!$O$2:$O$1795,$N1148)</f>
        <v>5</v>
      </c>
      <c r="V1148" s="32" t="n">
        <f aca="false">ROUNDUP(J1148/INDEX('Tabela Passaro'!$Q$2:$Q$1795,$N1148),0)*INDEX('Tabela Passaro'!$P$2:$P$1795,$N1148)</f>
        <v>5</v>
      </c>
      <c r="W1148" s="32" t="n">
        <f aca="false">INDEX('Tabela Passaro'!$R$2:$R$1795,$N1148)</f>
        <v>30</v>
      </c>
      <c r="X1148" s="32" t="n">
        <f aca="false">ROUNDUP(J1148/INDEX('Tabela Passaro'!$T$2:$T$1795,$N1148),0)*INDEX('Tabela Passaro'!$S$2:$S$1795,$N1148)</f>
        <v>0</v>
      </c>
      <c r="Y1148" s="32" t="n">
        <f aca="false">INDEX('Tabela Passaro'!$U$2:$U$1795,$N1148)</f>
        <v>0</v>
      </c>
      <c r="Z1148" s="32" t="n">
        <f aca="false">INDEX('Tabela Passaro'!$V$2:$V$1795,$N1148)</f>
        <v>0</v>
      </c>
      <c r="AA1148" s="32" t="n">
        <f aca="false">SUM(R1148:Z1148)</f>
        <v>121.14122</v>
      </c>
      <c r="AB1148" s="33" t="n">
        <f aca="false">INDEX(Premissas!$B$5:$B$13,MATCH(A1148,Premissas!$A$5:$A$13,0))</f>
        <v>0.07</v>
      </c>
      <c r="AC1148" s="32" t="n">
        <f aca="false">AA1148/(1-AB1148)-AA1148</f>
        <v>9.11815634408603</v>
      </c>
      <c r="AD1148" s="32" t="n">
        <f aca="false">ROUND(AA1148+AC1148,2)</f>
        <v>130.26</v>
      </c>
      <c r="AE1148" s="32" t="n">
        <f aca="false">AD1148-L1148</f>
        <v>38.86</v>
      </c>
      <c r="AF1148" s="34" t="n">
        <f aca="false">IF(L1148=0,0,AE1148/L1148)</f>
        <v>0.425164113785558</v>
      </c>
      <c r="AG1148" s="22" t="str">
        <f aca="false">IF(AD1148&lt;L1148,"PASSARO","ATUAL")</f>
        <v>ATUAL</v>
      </c>
      <c r="AH1148" s="22" t="str">
        <f aca="false">IF(P1148&lt;&gt;A1148,"Faixa cadastrada como "&amp;P1148&amp;" na tabela; preço aplicado pela UF do CEP","")</f>
        <v/>
      </c>
      <c r="AI1148" s="26" t="n">
        <v>145</v>
      </c>
      <c r="AJ1148" s="22" t="str">
        <f aca="false">INDEX('Tabela Passaro'!$X$2:$X$1795,$N1148)</f>
        <v>CAPITAL</v>
      </c>
    </row>
    <row r="1149" customFormat="false" ht="15" hidden="false" customHeight="false" outlineLevel="0" collapsed="false">
      <c r="A1149" s="22" t="s">
        <v>19</v>
      </c>
      <c r="B1149" s="22" t="n">
        <v>1</v>
      </c>
      <c r="C1149" s="22" t="s">
        <v>131</v>
      </c>
      <c r="D1149" s="22" t="s">
        <v>31</v>
      </c>
      <c r="E1149" s="22" t="s">
        <v>7326</v>
      </c>
      <c r="F1149" s="22" t="n">
        <v>12816314</v>
      </c>
      <c r="G1149" s="30" t="n">
        <v>46253</v>
      </c>
      <c r="H1149" s="22" t="n">
        <v>627220</v>
      </c>
      <c r="I1149" s="22" t="s">
        <v>8371</v>
      </c>
      <c r="J1149" s="31" t="n">
        <v>17.2</v>
      </c>
      <c r="K1149" s="26" t="n">
        <v>382.77</v>
      </c>
      <c r="L1149" s="26" t="n">
        <v>72.05</v>
      </c>
      <c r="M1149" s="22" t="s">
        <v>3926</v>
      </c>
      <c r="N1149" s="22" t="n">
        <f aca="false">MATCH(M1149,'Tabela Passaro'!$A$2:$A$1795,0)</f>
        <v>923</v>
      </c>
      <c r="O1149" s="22" t="str">
        <f aca="false">INDEX('Tabela Passaro'!$C$2:$C$1795,$N1149)</f>
        <v>JOAO PESSOA</v>
      </c>
      <c r="P1149" s="22" t="str">
        <f aca="false">INDEX('Tabela Passaro'!$B$2:$B$1795,$N1149)</f>
        <v>PB</v>
      </c>
      <c r="Q1149" s="22" t="n">
        <f aca="false">INDEX('Tabela Passaro'!$F$2:$F$1795,$N1149)</f>
        <v>9</v>
      </c>
      <c r="R1149" s="32" t="n">
        <f aca="false">IF(J1149&lt;=10,INDEX('Tabela Passaro'!$G$2:$G$1795,$N1149),IF(J1149&lt;=30,INDEX('Tabela Passaro'!$H$2:$H$1795,$N1149),IF(J1149&lt;=50,INDEX('Tabela Passaro'!$I$2:$I$1795,$N1149),IF(J1149&lt;=70,INDEX('Tabela Passaro'!$J$2:$J$1795,$N1149),IF(J1149&lt;=100,INDEX('Tabela Passaro'!$K$2:$K$1795,$N1149),INDEX('Tabela Passaro'!$K$2:$K$1795,$N1149)+(J1149-100)*INDEX('Tabela Passaro'!$L$2:$L$1795,$N1149))))))</f>
        <v>76.28</v>
      </c>
      <c r="S1149" s="32" t="n">
        <f aca="false">K1149*INDEX('Tabela Passaro'!$M$2:$M$1795,$N1149)</f>
        <v>1.91385</v>
      </c>
      <c r="T1149" s="32" t="n">
        <f aca="false">K1149*INDEX('Tabela Passaro'!$N$2:$N$1795,$N1149)</f>
        <v>0.76554</v>
      </c>
      <c r="U1149" s="32" t="n">
        <f aca="false">INDEX('Tabela Passaro'!$O$2:$O$1795,$N1149)</f>
        <v>5</v>
      </c>
      <c r="V1149" s="32" t="n">
        <f aca="false">ROUNDUP(J1149/INDEX('Tabela Passaro'!$Q$2:$Q$1795,$N1149),0)*INDEX('Tabela Passaro'!$P$2:$P$1795,$N1149)</f>
        <v>5</v>
      </c>
      <c r="W1149" s="32" t="n">
        <f aca="false">INDEX('Tabela Passaro'!$R$2:$R$1795,$N1149)</f>
        <v>30</v>
      </c>
      <c r="X1149" s="32" t="n">
        <f aca="false">ROUNDUP(J1149/INDEX('Tabela Passaro'!$T$2:$T$1795,$N1149),0)*INDEX('Tabela Passaro'!$S$2:$S$1795,$N1149)</f>
        <v>0</v>
      </c>
      <c r="Y1149" s="32" t="n">
        <f aca="false">INDEX('Tabela Passaro'!$U$2:$U$1795,$N1149)</f>
        <v>0</v>
      </c>
      <c r="Z1149" s="32" t="n">
        <f aca="false">INDEX('Tabela Passaro'!$V$2:$V$1795,$N1149)</f>
        <v>0</v>
      </c>
      <c r="AA1149" s="32" t="n">
        <f aca="false">SUM(R1149:Z1149)</f>
        <v>118.95939</v>
      </c>
      <c r="AB1149" s="33" t="n">
        <f aca="false">INDEX(Premissas!$B$5:$B$13,MATCH(A1149,Premissas!$A$5:$A$13,0))</f>
        <v>0.07</v>
      </c>
      <c r="AC1149" s="32" t="n">
        <f aca="false">AA1149/(1-AB1149)-AA1149</f>
        <v>8.95393258064517</v>
      </c>
      <c r="AD1149" s="32" t="n">
        <f aca="false">ROUND(AA1149+AC1149,2)</f>
        <v>127.91</v>
      </c>
      <c r="AE1149" s="32" t="n">
        <f aca="false">AD1149-L1149</f>
        <v>55.86</v>
      </c>
      <c r="AF1149" s="34" t="n">
        <f aca="false">IF(L1149=0,0,AE1149/L1149)</f>
        <v>0.77529493407356</v>
      </c>
      <c r="AG1149" s="22" t="str">
        <f aca="false">IF(AD1149&lt;L1149,"PASSARO","ATUAL")</f>
        <v>ATUAL</v>
      </c>
      <c r="AH1149" s="22" t="str">
        <f aca="false">IF(P1149&lt;&gt;A1149,"Faixa cadastrada como "&amp;P1149&amp;" na tabela; preço aplicado pela UF do CEP","")</f>
        <v/>
      </c>
      <c r="AI1149" s="26" t="n">
        <v>140.05</v>
      </c>
      <c r="AJ1149" s="22" t="str">
        <f aca="false">INDEX('Tabela Passaro'!$X$2:$X$1795,$N1149)</f>
        <v>CAPITAL</v>
      </c>
    </row>
    <row r="1150" customFormat="false" ht="15" hidden="false" customHeight="false" outlineLevel="0" collapsed="false">
      <c r="A1150" s="22" t="s">
        <v>19</v>
      </c>
      <c r="B1150" s="22" t="n">
        <v>1</v>
      </c>
      <c r="C1150" s="22" t="s">
        <v>131</v>
      </c>
      <c r="D1150" s="22" t="s">
        <v>31</v>
      </c>
      <c r="E1150" s="22" t="s">
        <v>7326</v>
      </c>
      <c r="F1150" s="22" t="n">
        <v>12823000</v>
      </c>
      <c r="G1150" s="30" t="n">
        <v>46254</v>
      </c>
      <c r="H1150" s="22" t="n">
        <v>627568</v>
      </c>
      <c r="I1150" s="22" t="s">
        <v>8372</v>
      </c>
      <c r="J1150" s="31" t="n">
        <v>20.8</v>
      </c>
      <c r="K1150" s="26" t="n">
        <v>703.86</v>
      </c>
      <c r="L1150" s="26" t="n">
        <v>97.9</v>
      </c>
      <c r="M1150" s="22" t="s">
        <v>3926</v>
      </c>
      <c r="N1150" s="22" t="n">
        <f aca="false">MATCH(M1150,'Tabela Passaro'!$A$2:$A$1795,0)</f>
        <v>923</v>
      </c>
      <c r="O1150" s="22" t="str">
        <f aca="false">INDEX('Tabela Passaro'!$C$2:$C$1795,$N1150)</f>
        <v>JOAO PESSOA</v>
      </c>
      <c r="P1150" s="22" t="str">
        <f aca="false">INDEX('Tabela Passaro'!$B$2:$B$1795,$N1150)</f>
        <v>PB</v>
      </c>
      <c r="Q1150" s="22" t="n">
        <f aca="false">INDEX('Tabela Passaro'!$F$2:$F$1795,$N1150)</f>
        <v>9</v>
      </c>
      <c r="R1150" s="32" t="n">
        <f aca="false">IF(J1150&lt;=10,INDEX('Tabela Passaro'!$G$2:$G$1795,$N1150),IF(J1150&lt;=30,INDEX('Tabela Passaro'!$H$2:$H$1795,$N1150),IF(J1150&lt;=50,INDEX('Tabela Passaro'!$I$2:$I$1795,$N1150),IF(J1150&lt;=70,INDEX('Tabela Passaro'!$J$2:$J$1795,$N1150),IF(J1150&lt;=100,INDEX('Tabela Passaro'!$K$2:$K$1795,$N1150),INDEX('Tabela Passaro'!$K$2:$K$1795,$N1150)+(J1150-100)*INDEX('Tabela Passaro'!$L$2:$L$1795,$N1150))))))</f>
        <v>76.28</v>
      </c>
      <c r="S1150" s="32" t="n">
        <f aca="false">K1150*INDEX('Tabela Passaro'!$M$2:$M$1795,$N1150)</f>
        <v>3.5193</v>
      </c>
      <c r="T1150" s="32" t="n">
        <f aca="false">K1150*INDEX('Tabela Passaro'!$N$2:$N$1795,$N1150)</f>
        <v>1.40772</v>
      </c>
      <c r="U1150" s="32" t="n">
        <f aca="false">INDEX('Tabela Passaro'!$O$2:$O$1795,$N1150)</f>
        <v>5</v>
      </c>
      <c r="V1150" s="32" t="n">
        <f aca="false">ROUNDUP(J1150/INDEX('Tabela Passaro'!$Q$2:$Q$1795,$N1150),0)*INDEX('Tabela Passaro'!$P$2:$P$1795,$N1150)</f>
        <v>5</v>
      </c>
      <c r="W1150" s="32" t="n">
        <f aca="false">INDEX('Tabela Passaro'!$R$2:$R$1795,$N1150)</f>
        <v>30</v>
      </c>
      <c r="X1150" s="32" t="n">
        <f aca="false">ROUNDUP(J1150/INDEX('Tabela Passaro'!$T$2:$T$1795,$N1150),0)*INDEX('Tabela Passaro'!$S$2:$S$1795,$N1150)</f>
        <v>0</v>
      </c>
      <c r="Y1150" s="32" t="n">
        <f aca="false">INDEX('Tabela Passaro'!$U$2:$U$1795,$N1150)</f>
        <v>0</v>
      </c>
      <c r="Z1150" s="32" t="n">
        <f aca="false">INDEX('Tabela Passaro'!$V$2:$V$1795,$N1150)</f>
        <v>0</v>
      </c>
      <c r="AA1150" s="32" t="n">
        <f aca="false">SUM(R1150:Z1150)</f>
        <v>121.20702</v>
      </c>
      <c r="AB1150" s="33" t="n">
        <f aca="false">INDEX(Premissas!$B$5:$B$13,MATCH(A1150,Premissas!$A$5:$A$13,0))</f>
        <v>0.07</v>
      </c>
      <c r="AC1150" s="32" t="n">
        <f aca="false">AA1150/(1-AB1150)-AA1150</f>
        <v>9.12310903225807</v>
      </c>
      <c r="AD1150" s="32" t="n">
        <f aca="false">ROUND(AA1150+AC1150,2)</f>
        <v>130.33</v>
      </c>
      <c r="AE1150" s="32" t="n">
        <f aca="false">AD1150-L1150</f>
        <v>32.43</v>
      </c>
      <c r="AF1150" s="34" t="n">
        <f aca="false">IF(L1150=0,0,AE1150/L1150)</f>
        <v>0.331256384065373</v>
      </c>
      <c r="AG1150" s="22" t="str">
        <f aca="false">IF(AD1150&lt;L1150,"PASSARO","ATUAL")</f>
        <v>ATUAL</v>
      </c>
      <c r="AH1150" s="22" t="str">
        <f aca="false">IF(P1150&lt;&gt;A1150,"Faixa cadastrada como "&amp;P1150&amp;" na tabela; preço aplicado pela UF do CEP","")</f>
        <v/>
      </c>
      <c r="AI1150" s="26" t="n">
        <v>144.61</v>
      </c>
      <c r="AJ1150" s="22" t="str">
        <f aca="false">INDEX('Tabela Passaro'!$X$2:$X$1795,$N1150)</f>
        <v>CAPITAL</v>
      </c>
    </row>
    <row r="1151" customFormat="false" ht="15" hidden="false" customHeight="false" outlineLevel="0" collapsed="false">
      <c r="A1151" s="22" t="s">
        <v>19</v>
      </c>
      <c r="B1151" s="22" t="n">
        <v>2</v>
      </c>
      <c r="C1151" s="22" t="s">
        <v>133</v>
      </c>
      <c r="D1151" s="22" t="s">
        <v>30</v>
      </c>
      <c r="E1151" s="22" t="s">
        <v>7326</v>
      </c>
      <c r="F1151" s="22" t="n">
        <v>522850</v>
      </c>
      <c r="G1151" s="30" t="n">
        <v>46240</v>
      </c>
      <c r="H1151" s="22" t="n">
        <v>620942</v>
      </c>
      <c r="I1151" s="22" t="s">
        <v>8373</v>
      </c>
      <c r="J1151" s="31" t="n">
        <v>46.7</v>
      </c>
      <c r="K1151" s="26" t="n">
        <v>864.42</v>
      </c>
      <c r="L1151" s="26" t="n">
        <v>210.41</v>
      </c>
      <c r="M1151" s="22" t="s">
        <v>3987</v>
      </c>
      <c r="N1151" s="22" t="n">
        <f aca="false">MATCH(M1151,'Tabela Passaro'!$A$2:$A$1795,0)</f>
        <v>939</v>
      </c>
      <c r="O1151" s="22" t="str">
        <f aca="false">INDEX('Tabela Passaro'!$C$2:$C$1795,$N1151)</f>
        <v>CAMPINA GRANDE</v>
      </c>
      <c r="P1151" s="22" t="str">
        <f aca="false">INDEX('Tabela Passaro'!$B$2:$B$1795,$N1151)</f>
        <v>PB</v>
      </c>
      <c r="Q1151" s="22" t="n">
        <f aca="false">INDEX('Tabela Passaro'!$F$2:$F$1795,$N1151)</f>
        <v>12</v>
      </c>
      <c r="R1151" s="32" t="n">
        <f aca="false">IF(J1151&lt;=10,INDEX('Tabela Passaro'!$G$2:$G$1795,$N1151),IF(J1151&lt;=30,INDEX('Tabela Passaro'!$H$2:$H$1795,$N1151),IF(J1151&lt;=50,INDEX('Tabela Passaro'!$I$2:$I$1795,$N1151),IF(J1151&lt;=70,INDEX('Tabela Passaro'!$J$2:$J$1795,$N1151),IF(J1151&lt;=100,INDEX('Tabela Passaro'!$K$2:$K$1795,$N1151),INDEX('Tabela Passaro'!$K$2:$K$1795,$N1151)+(J1151-100)*INDEX('Tabela Passaro'!$L$2:$L$1795,$N1151))))))</f>
        <v>108.41</v>
      </c>
      <c r="S1151" s="32" t="n">
        <f aca="false">K1151*INDEX('Tabela Passaro'!$M$2:$M$1795,$N1151)</f>
        <v>4.3221</v>
      </c>
      <c r="T1151" s="32" t="n">
        <f aca="false">K1151*INDEX('Tabela Passaro'!$N$2:$N$1795,$N1151)</f>
        <v>1.72884</v>
      </c>
      <c r="U1151" s="32" t="n">
        <f aca="false">INDEX('Tabela Passaro'!$O$2:$O$1795,$N1151)</f>
        <v>5</v>
      </c>
      <c r="V1151" s="32" t="n">
        <f aca="false">ROUNDUP(J1151/INDEX('Tabela Passaro'!$Q$2:$Q$1795,$N1151),0)*INDEX('Tabela Passaro'!$P$2:$P$1795,$N1151)</f>
        <v>5</v>
      </c>
      <c r="W1151" s="32" t="n">
        <f aca="false">INDEX('Tabela Passaro'!$R$2:$R$1795,$N1151)</f>
        <v>30</v>
      </c>
      <c r="X1151" s="32" t="n">
        <f aca="false">ROUNDUP(J1151/INDEX('Tabela Passaro'!$T$2:$T$1795,$N1151),0)*INDEX('Tabela Passaro'!$S$2:$S$1795,$N1151)</f>
        <v>0</v>
      </c>
      <c r="Y1151" s="32" t="n">
        <f aca="false">INDEX('Tabela Passaro'!$U$2:$U$1795,$N1151)</f>
        <v>0</v>
      </c>
      <c r="Z1151" s="32" t="n">
        <f aca="false">INDEX('Tabela Passaro'!$V$2:$V$1795,$N1151)</f>
        <v>0</v>
      </c>
      <c r="AA1151" s="32" t="n">
        <f aca="false">SUM(R1151:Z1151)</f>
        <v>154.46094</v>
      </c>
      <c r="AB1151" s="33" t="n">
        <f aca="false">INDEX(Premissas!$B$5:$B$13,MATCH(A1151,Premissas!$A$5:$A$13,0))</f>
        <v>0.07</v>
      </c>
      <c r="AC1151" s="32" t="n">
        <f aca="false">AA1151/(1-AB1151)-AA1151</f>
        <v>11.6260922580645</v>
      </c>
      <c r="AD1151" s="32" t="n">
        <f aca="false">ROUND(AA1151+AC1151,2)</f>
        <v>166.09</v>
      </c>
      <c r="AE1151" s="32" t="n">
        <f aca="false">AD1151-L1151</f>
        <v>-44.32</v>
      </c>
      <c r="AF1151" s="34" t="n">
        <f aca="false">IF(L1151=0,0,AE1151/L1151)</f>
        <v>-0.21063637659807</v>
      </c>
      <c r="AG1151" s="22" t="str">
        <f aca="false">IF(AD1151&lt;L1151,"PASSARO","ATUAL")</f>
        <v>PASSARO</v>
      </c>
      <c r="AH1151" s="22" t="str">
        <f aca="false">IF(P1151&lt;&gt;A1151,"Faixa cadastrada como "&amp;P1151&amp;" na tabela; preço aplicado pela UF do CEP","")</f>
        <v/>
      </c>
      <c r="AI1151" s="26" t="n">
        <v>198.91</v>
      </c>
      <c r="AJ1151" s="22" t="str">
        <f aca="false">INDEX('Tabela Passaro'!$X$2:$X$1795,$N1151)</f>
        <v>INTERIOR 1</v>
      </c>
    </row>
    <row r="1152" customFormat="false" ht="15" hidden="false" customHeight="false" outlineLevel="0" collapsed="false">
      <c r="A1152" s="22" t="s">
        <v>19</v>
      </c>
      <c r="B1152" s="22" t="n">
        <v>2</v>
      </c>
      <c r="C1152" s="22" t="s">
        <v>133</v>
      </c>
      <c r="D1152" s="22" t="s">
        <v>30</v>
      </c>
      <c r="E1152" s="22" t="s">
        <v>7326</v>
      </c>
      <c r="F1152" s="22" t="n">
        <v>522853</v>
      </c>
      <c r="G1152" s="30" t="n">
        <v>46240</v>
      </c>
      <c r="H1152" s="22" t="n">
        <v>620943</v>
      </c>
      <c r="I1152" s="22" t="s">
        <v>8373</v>
      </c>
      <c r="J1152" s="31" t="n">
        <v>76.8</v>
      </c>
      <c r="K1152" s="26" t="n">
        <v>1449.56</v>
      </c>
      <c r="L1152" s="26" t="n">
        <v>349.25</v>
      </c>
      <c r="M1152" s="22" t="s">
        <v>3987</v>
      </c>
      <c r="N1152" s="22" t="n">
        <f aca="false">MATCH(M1152,'Tabela Passaro'!$A$2:$A$1795,0)</f>
        <v>939</v>
      </c>
      <c r="O1152" s="22" t="str">
        <f aca="false">INDEX('Tabela Passaro'!$C$2:$C$1795,$N1152)</f>
        <v>CAMPINA GRANDE</v>
      </c>
      <c r="P1152" s="22" t="str">
        <f aca="false">INDEX('Tabela Passaro'!$B$2:$B$1795,$N1152)</f>
        <v>PB</v>
      </c>
      <c r="Q1152" s="22" t="n">
        <f aca="false">INDEX('Tabela Passaro'!$F$2:$F$1795,$N1152)</f>
        <v>12</v>
      </c>
      <c r="R1152" s="32" t="n">
        <f aca="false">IF(J1152&lt;=10,INDEX('Tabela Passaro'!$G$2:$G$1795,$N1152),IF(J1152&lt;=30,INDEX('Tabela Passaro'!$H$2:$H$1795,$N1152),IF(J1152&lt;=50,INDEX('Tabela Passaro'!$I$2:$I$1795,$N1152),IF(J1152&lt;=70,INDEX('Tabela Passaro'!$J$2:$J$1795,$N1152),IF(J1152&lt;=100,INDEX('Tabela Passaro'!$K$2:$K$1795,$N1152),INDEX('Tabela Passaro'!$K$2:$K$1795,$N1152)+(J1152-100)*INDEX('Tabela Passaro'!$L$2:$L$1795,$N1152))))))</f>
        <v>133.46</v>
      </c>
      <c r="S1152" s="32" t="n">
        <f aca="false">K1152*INDEX('Tabela Passaro'!$M$2:$M$1795,$N1152)</f>
        <v>7.2478</v>
      </c>
      <c r="T1152" s="32" t="n">
        <f aca="false">K1152*INDEX('Tabela Passaro'!$N$2:$N$1795,$N1152)</f>
        <v>2.89912</v>
      </c>
      <c r="U1152" s="32" t="n">
        <f aca="false">INDEX('Tabela Passaro'!$O$2:$O$1795,$N1152)</f>
        <v>5</v>
      </c>
      <c r="V1152" s="32" t="n">
        <f aca="false">ROUNDUP(J1152/INDEX('Tabela Passaro'!$Q$2:$Q$1795,$N1152),0)*INDEX('Tabela Passaro'!$P$2:$P$1795,$N1152)</f>
        <v>5</v>
      </c>
      <c r="W1152" s="32" t="n">
        <f aca="false">INDEX('Tabela Passaro'!$R$2:$R$1795,$N1152)</f>
        <v>30</v>
      </c>
      <c r="X1152" s="32" t="n">
        <f aca="false">ROUNDUP(J1152/INDEX('Tabela Passaro'!$T$2:$T$1795,$N1152),0)*INDEX('Tabela Passaro'!$S$2:$S$1795,$N1152)</f>
        <v>0</v>
      </c>
      <c r="Y1152" s="32" t="n">
        <f aca="false">INDEX('Tabela Passaro'!$U$2:$U$1795,$N1152)</f>
        <v>0</v>
      </c>
      <c r="Z1152" s="32" t="n">
        <f aca="false">INDEX('Tabela Passaro'!$V$2:$V$1795,$N1152)</f>
        <v>0</v>
      </c>
      <c r="AA1152" s="32" t="n">
        <f aca="false">SUM(R1152:Z1152)</f>
        <v>183.60692</v>
      </c>
      <c r="AB1152" s="33" t="n">
        <f aca="false">INDEX(Premissas!$B$5:$B$13,MATCH(A1152,Premissas!$A$5:$A$13,0))</f>
        <v>0.07</v>
      </c>
      <c r="AC1152" s="32" t="n">
        <f aca="false">AA1152/(1-AB1152)-AA1152</f>
        <v>13.8198756989247</v>
      </c>
      <c r="AD1152" s="32" t="n">
        <f aca="false">ROUND(AA1152+AC1152,2)</f>
        <v>197.43</v>
      </c>
      <c r="AE1152" s="32" t="n">
        <f aca="false">AD1152-L1152</f>
        <v>-151.82</v>
      </c>
      <c r="AF1152" s="34" t="n">
        <f aca="false">IF(L1152=0,0,AE1152/L1152)</f>
        <v>-0.434702934860415</v>
      </c>
      <c r="AG1152" s="22" t="str">
        <f aca="false">IF(AD1152&lt;L1152,"PASSARO","ATUAL")</f>
        <v>PASSARO</v>
      </c>
      <c r="AH1152" s="22" t="str">
        <f aca="false">IF(P1152&lt;&gt;A1152,"Faixa cadastrada como "&amp;P1152&amp;" na tabela; preço aplicado pela UF do CEP","")</f>
        <v/>
      </c>
      <c r="AI1152" s="26" t="n">
        <v>250.4</v>
      </c>
      <c r="AJ1152" s="22" t="str">
        <f aca="false">INDEX('Tabela Passaro'!$X$2:$X$1795,$N1152)</f>
        <v>INTERIOR 1</v>
      </c>
    </row>
    <row r="1153" customFormat="false" ht="15" hidden="false" customHeight="false" outlineLevel="0" collapsed="false">
      <c r="A1153" s="22" t="s">
        <v>19</v>
      </c>
      <c r="B1153" s="22" t="n">
        <v>2</v>
      </c>
      <c r="C1153" s="22" t="s">
        <v>133</v>
      </c>
      <c r="D1153" s="22" t="s">
        <v>30</v>
      </c>
      <c r="E1153" s="22" t="s">
        <v>7326</v>
      </c>
      <c r="F1153" s="22" t="n">
        <v>522864</v>
      </c>
      <c r="G1153" s="30" t="n">
        <v>46240</v>
      </c>
      <c r="H1153" s="22" t="n">
        <v>621118</v>
      </c>
      <c r="I1153" s="22" t="s">
        <v>8373</v>
      </c>
      <c r="J1153" s="31" t="n">
        <v>34.4</v>
      </c>
      <c r="K1153" s="26" t="n">
        <v>741.54</v>
      </c>
      <c r="L1153" s="26" t="n">
        <v>209.37</v>
      </c>
      <c r="M1153" s="22" t="s">
        <v>3987</v>
      </c>
      <c r="N1153" s="22" t="n">
        <f aca="false">MATCH(M1153,'Tabela Passaro'!$A$2:$A$1795,0)</f>
        <v>939</v>
      </c>
      <c r="O1153" s="22" t="str">
        <f aca="false">INDEX('Tabela Passaro'!$C$2:$C$1795,$N1153)</f>
        <v>CAMPINA GRANDE</v>
      </c>
      <c r="P1153" s="22" t="str">
        <f aca="false">INDEX('Tabela Passaro'!$B$2:$B$1795,$N1153)</f>
        <v>PB</v>
      </c>
      <c r="Q1153" s="22" t="n">
        <f aca="false">INDEX('Tabela Passaro'!$F$2:$F$1795,$N1153)</f>
        <v>12</v>
      </c>
      <c r="R1153" s="32" t="n">
        <f aca="false">IF(J1153&lt;=10,INDEX('Tabela Passaro'!$G$2:$G$1795,$N1153),IF(J1153&lt;=30,INDEX('Tabela Passaro'!$H$2:$H$1795,$N1153),IF(J1153&lt;=50,INDEX('Tabela Passaro'!$I$2:$I$1795,$N1153),IF(J1153&lt;=70,INDEX('Tabela Passaro'!$J$2:$J$1795,$N1153),IF(J1153&lt;=100,INDEX('Tabela Passaro'!$K$2:$K$1795,$N1153),INDEX('Tabela Passaro'!$K$2:$K$1795,$N1153)+(J1153-100)*INDEX('Tabela Passaro'!$L$2:$L$1795,$N1153))))))</f>
        <v>108.41</v>
      </c>
      <c r="S1153" s="32" t="n">
        <f aca="false">K1153*INDEX('Tabela Passaro'!$M$2:$M$1795,$N1153)</f>
        <v>3.7077</v>
      </c>
      <c r="T1153" s="32" t="n">
        <f aca="false">K1153*INDEX('Tabela Passaro'!$N$2:$N$1795,$N1153)</f>
        <v>1.48308</v>
      </c>
      <c r="U1153" s="32" t="n">
        <f aca="false">INDEX('Tabela Passaro'!$O$2:$O$1795,$N1153)</f>
        <v>5</v>
      </c>
      <c r="V1153" s="32" t="n">
        <f aca="false">ROUNDUP(J1153/INDEX('Tabela Passaro'!$Q$2:$Q$1795,$N1153),0)*INDEX('Tabela Passaro'!$P$2:$P$1795,$N1153)</f>
        <v>5</v>
      </c>
      <c r="W1153" s="32" t="n">
        <f aca="false">INDEX('Tabela Passaro'!$R$2:$R$1795,$N1153)</f>
        <v>30</v>
      </c>
      <c r="X1153" s="32" t="n">
        <f aca="false">ROUNDUP(J1153/INDEX('Tabela Passaro'!$T$2:$T$1795,$N1153),0)*INDEX('Tabela Passaro'!$S$2:$S$1795,$N1153)</f>
        <v>0</v>
      </c>
      <c r="Y1153" s="32" t="n">
        <f aca="false">INDEX('Tabela Passaro'!$U$2:$U$1795,$N1153)</f>
        <v>0</v>
      </c>
      <c r="Z1153" s="32" t="n">
        <f aca="false">INDEX('Tabela Passaro'!$V$2:$V$1795,$N1153)</f>
        <v>0</v>
      </c>
      <c r="AA1153" s="32" t="n">
        <f aca="false">SUM(R1153:Z1153)</f>
        <v>153.60078</v>
      </c>
      <c r="AB1153" s="33" t="n">
        <f aca="false">INDEX(Premissas!$B$5:$B$13,MATCH(A1153,Premissas!$A$5:$A$13,0))</f>
        <v>0.07</v>
      </c>
      <c r="AC1153" s="32" t="n">
        <f aca="false">AA1153/(1-AB1153)-AA1153</f>
        <v>11.5613490322581</v>
      </c>
      <c r="AD1153" s="32" t="n">
        <f aca="false">ROUND(AA1153+AC1153,2)</f>
        <v>165.16</v>
      </c>
      <c r="AE1153" s="32" t="n">
        <f aca="false">AD1153-L1153</f>
        <v>-44.21</v>
      </c>
      <c r="AF1153" s="34" t="n">
        <f aca="false">IF(L1153=0,0,AE1153/L1153)</f>
        <v>-0.211157281367913</v>
      </c>
      <c r="AG1153" s="22" t="str">
        <f aca="false">IF(AD1153&lt;L1153,"PASSARO","ATUAL")</f>
        <v>PASSARO</v>
      </c>
      <c r="AH1153" s="22" t="str">
        <f aca="false">IF(P1153&lt;&gt;A1153,"Faixa cadastrada como "&amp;P1153&amp;" na tabela; preço aplicado pela UF do CEP","")</f>
        <v/>
      </c>
      <c r="AI1153" s="26" t="n">
        <v>191.92</v>
      </c>
      <c r="AJ1153" s="22" t="str">
        <f aca="false">INDEX('Tabela Passaro'!$X$2:$X$1795,$N1153)</f>
        <v>INTERIOR 1</v>
      </c>
    </row>
    <row r="1154" customFormat="false" ht="15" hidden="false" customHeight="false" outlineLevel="0" collapsed="false">
      <c r="A1154" s="22" t="s">
        <v>19</v>
      </c>
      <c r="B1154" s="22" t="n">
        <v>2</v>
      </c>
      <c r="C1154" s="22" t="s">
        <v>133</v>
      </c>
      <c r="D1154" s="22" t="s">
        <v>30</v>
      </c>
      <c r="E1154" s="22" t="s">
        <v>7328</v>
      </c>
      <c r="F1154" s="22" t="n">
        <v>2308211</v>
      </c>
      <c r="G1154" s="30" t="n">
        <v>46248</v>
      </c>
      <c r="H1154" s="22" t="n">
        <v>132391</v>
      </c>
      <c r="I1154" s="22" t="s">
        <v>8374</v>
      </c>
      <c r="J1154" s="31" t="n">
        <v>124.2</v>
      </c>
      <c r="K1154" s="26" t="n">
        <v>1979.44</v>
      </c>
      <c r="L1154" s="26" t="n">
        <v>370.72</v>
      </c>
      <c r="M1154" s="22" t="s">
        <v>3987</v>
      </c>
      <c r="N1154" s="22" t="n">
        <f aca="false">MATCH(M1154,'Tabela Passaro'!$A$2:$A$1795,0)</f>
        <v>939</v>
      </c>
      <c r="O1154" s="22" t="str">
        <f aca="false">INDEX('Tabela Passaro'!$C$2:$C$1795,$N1154)</f>
        <v>CAMPINA GRANDE</v>
      </c>
      <c r="P1154" s="22" t="str">
        <f aca="false">INDEX('Tabela Passaro'!$B$2:$B$1795,$N1154)</f>
        <v>PB</v>
      </c>
      <c r="Q1154" s="22" t="n">
        <f aca="false">INDEX('Tabela Passaro'!$F$2:$F$1795,$N1154)</f>
        <v>12</v>
      </c>
      <c r="R1154" s="32" t="n">
        <f aca="false">IF(J1154&lt;=10,INDEX('Tabela Passaro'!$G$2:$G$1795,$N1154),IF(J1154&lt;=30,INDEX('Tabela Passaro'!$H$2:$H$1795,$N1154),IF(J1154&lt;=50,INDEX('Tabela Passaro'!$I$2:$I$1795,$N1154),IF(J1154&lt;=70,INDEX('Tabela Passaro'!$J$2:$J$1795,$N1154),IF(J1154&lt;=100,INDEX('Tabela Passaro'!$K$2:$K$1795,$N1154),INDEX('Tabela Passaro'!$K$2:$K$1795,$N1154)+(J1154-100)*INDEX('Tabela Passaro'!$L$2:$L$1795,$N1154))))))</f>
        <v>180.166</v>
      </c>
      <c r="S1154" s="32" t="n">
        <f aca="false">K1154*INDEX('Tabela Passaro'!$M$2:$M$1795,$N1154)</f>
        <v>9.8972</v>
      </c>
      <c r="T1154" s="32" t="n">
        <f aca="false">K1154*INDEX('Tabela Passaro'!$N$2:$N$1795,$N1154)</f>
        <v>3.95888</v>
      </c>
      <c r="U1154" s="32" t="n">
        <f aca="false">INDEX('Tabela Passaro'!$O$2:$O$1795,$N1154)</f>
        <v>5</v>
      </c>
      <c r="V1154" s="32" t="n">
        <f aca="false">ROUNDUP(J1154/INDEX('Tabela Passaro'!$Q$2:$Q$1795,$N1154),0)*INDEX('Tabela Passaro'!$P$2:$P$1795,$N1154)</f>
        <v>10</v>
      </c>
      <c r="W1154" s="32" t="n">
        <f aca="false">INDEX('Tabela Passaro'!$R$2:$R$1795,$N1154)</f>
        <v>30</v>
      </c>
      <c r="X1154" s="32" t="n">
        <f aca="false">ROUNDUP(J1154/INDEX('Tabela Passaro'!$T$2:$T$1795,$N1154),0)*INDEX('Tabela Passaro'!$S$2:$S$1795,$N1154)</f>
        <v>0</v>
      </c>
      <c r="Y1154" s="32" t="n">
        <f aca="false">INDEX('Tabela Passaro'!$U$2:$U$1795,$N1154)</f>
        <v>0</v>
      </c>
      <c r="Z1154" s="32" t="n">
        <f aca="false">INDEX('Tabela Passaro'!$V$2:$V$1795,$N1154)</f>
        <v>0</v>
      </c>
      <c r="AA1154" s="32" t="n">
        <f aca="false">SUM(R1154:Z1154)</f>
        <v>239.02208</v>
      </c>
      <c r="AB1154" s="33" t="n">
        <f aca="false">INDEX(Premissas!$B$5:$B$13,MATCH(A1154,Premissas!$A$5:$A$13,0))</f>
        <v>0.07</v>
      </c>
      <c r="AC1154" s="32" t="n">
        <f aca="false">AA1154/(1-AB1154)-AA1154</f>
        <v>17.9909092473119</v>
      </c>
      <c r="AD1154" s="32" t="n">
        <f aca="false">ROUND(AA1154+AC1154,2)</f>
        <v>257.01</v>
      </c>
      <c r="AE1154" s="32" t="n">
        <f aca="false">AD1154-L1154</f>
        <v>-113.71</v>
      </c>
      <c r="AF1154" s="34" t="n">
        <f aca="false">IF(L1154=0,0,AE1154/L1154)</f>
        <v>-0.306727449287872</v>
      </c>
      <c r="AG1154" s="22" t="str">
        <f aca="false">IF(AD1154&lt;L1154,"PASSARO","ATUAL")</f>
        <v>PASSARO</v>
      </c>
      <c r="AH1154" s="22" t="str">
        <f aca="false">IF(P1154&lt;&gt;A1154,"Faixa cadastrada como "&amp;P1154&amp;" na tabela; preço aplicado pela UF do CEP","")</f>
        <v/>
      </c>
      <c r="AI1154" s="26" t="n">
        <v>340.6</v>
      </c>
      <c r="AJ1154" s="22" t="str">
        <f aca="false">INDEX('Tabela Passaro'!$X$2:$X$1795,$N1154)</f>
        <v>INTERIOR 1</v>
      </c>
    </row>
    <row r="1155" customFormat="false" ht="15" hidden="false" customHeight="false" outlineLevel="0" collapsed="false">
      <c r="A1155" s="22" t="s">
        <v>19</v>
      </c>
      <c r="B1155" s="22" t="n">
        <v>2</v>
      </c>
      <c r="C1155" s="22" t="s">
        <v>133</v>
      </c>
      <c r="D1155" s="22" t="s">
        <v>30</v>
      </c>
      <c r="E1155" s="22" t="s">
        <v>7328</v>
      </c>
      <c r="F1155" s="22" t="n">
        <v>2312459</v>
      </c>
      <c r="G1155" s="30" t="n">
        <v>46248</v>
      </c>
      <c r="H1155" s="22" t="n">
        <v>133364</v>
      </c>
      <c r="I1155" s="22" t="s">
        <v>8375</v>
      </c>
      <c r="J1155" s="31" t="n">
        <v>27.6</v>
      </c>
      <c r="K1155" s="26" t="n">
        <v>674.44</v>
      </c>
      <c r="L1155" s="26" t="n">
        <v>139.32</v>
      </c>
      <c r="M1155" s="22" t="s">
        <v>3987</v>
      </c>
      <c r="N1155" s="22" t="n">
        <f aca="false">MATCH(M1155,'Tabela Passaro'!$A$2:$A$1795,0)</f>
        <v>939</v>
      </c>
      <c r="O1155" s="22" t="str">
        <f aca="false">INDEX('Tabela Passaro'!$C$2:$C$1795,$N1155)</f>
        <v>CAMPINA GRANDE</v>
      </c>
      <c r="P1155" s="22" t="str">
        <f aca="false">INDEX('Tabela Passaro'!$B$2:$B$1795,$N1155)</f>
        <v>PB</v>
      </c>
      <c r="Q1155" s="22" t="n">
        <f aca="false">INDEX('Tabela Passaro'!$F$2:$F$1795,$N1155)</f>
        <v>12</v>
      </c>
      <c r="R1155" s="32" t="n">
        <f aca="false">IF(J1155&lt;=10,INDEX('Tabela Passaro'!$G$2:$G$1795,$N1155),IF(J1155&lt;=30,INDEX('Tabela Passaro'!$H$2:$H$1795,$N1155),IF(J1155&lt;=50,INDEX('Tabela Passaro'!$I$2:$I$1795,$N1155),IF(J1155&lt;=70,INDEX('Tabela Passaro'!$J$2:$J$1795,$N1155),IF(J1155&lt;=100,INDEX('Tabela Passaro'!$K$2:$K$1795,$N1155),INDEX('Tabela Passaro'!$K$2:$K$1795,$N1155)+(J1155-100)*INDEX('Tabela Passaro'!$L$2:$L$1795,$N1155))))))</f>
        <v>88.38</v>
      </c>
      <c r="S1155" s="32" t="n">
        <f aca="false">K1155*INDEX('Tabela Passaro'!$M$2:$M$1795,$N1155)</f>
        <v>3.3722</v>
      </c>
      <c r="T1155" s="32" t="n">
        <f aca="false">K1155*INDEX('Tabela Passaro'!$N$2:$N$1795,$N1155)</f>
        <v>1.34888</v>
      </c>
      <c r="U1155" s="32" t="n">
        <f aca="false">INDEX('Tabela Passaro'!$O$2:$O$1795,$N1155)</f>
        <v>5</v>
      </c>
      <c r="V1155" s="32" t="n">
        <f aca="false">ROUNDUP(J1155/INDEX('Tabela Passaro'!$Q$2:$Q$1795,$N1155),0)*INDEX('Tabela Passaro'!$P$2:$P$1795,$N1155)</f>
        <v>5</v>
      </c>
      <c r="W1155" s="32" t="n">
        <f aca="false">INDEX('Tabela Passaro'!$R$2:$R$1795,$N1155)</f>
        <v>30</v>
      </c>
      <c r="X1155" s="32" t="n">
        <f aca="false">ROUNDUP(J1155/INDEX('Tabela Passaro'!$T$2:$T$1795,$N1155),0)*INDEX('Tabela Passaro'!$S$2:$S$1795,$N1155)</f>
        <v>0</v>
      </c>
      <c r="Y1155" s="32" t="n">
        <f aca="false">INDEX('Tabela Passaro'!$U$2:$U$1795,$N1155)</f>
        <v>0</v>
      </c>
      <c r="Z1155" s="32" t="n">
        <f aca="false">INDEX('Tabela Passaro'!$V$2:$V$1795,$N1155)</f>
        <v>0</v>
      </c>
      <c r="AA1155" s="32" t="n">
        <f aca="false">SUM(R1155:Z1155)</f>
        <v>133.10108</v>
      </c>
      <c r="AB1155" s="33" t="n">
        <f aca="false">INDEX(Premissas!$B$5:$B$13,MATCH(A1155,Premissas!$A$5:$A$13,0))</f>
        <v>0.07</v>
      </c>
      <c r="AC1155" s="32" t="n">
        <f aca="false">AA1155/(1-AB1155)-AA1155</f>
        <v>10.0183608602151</v>
      </c>
      <c r="AD1155" s="32" t="n">
        <f aca="false">ROUND(AA1155+AC1155,2)</f>
        <v>143.12</v>
      </c>
      <c r="AE1155" s="32" t="n">
        <f aca="false">AD1155-L1155</f>
        <v>3.80000000000001</v>
      </c>
      <c r="AF1155" s="34" t="n">
        <f aca="false">IF(L1155=0,0,AE1155/L1155)</f>
        <v>0.0272753373528568</v>
      </c>
      <c r="AG1155" s="22" t="str">
        <f aca="false">IF(AD1155&lt;L1155,"PASSARO","ATUAL")</f>
        <v>ATUAL</v>
      </c>
      <c r="AH1155" s="22" t="str">
        <f aca="false">IF(P1155&lt;&gt;A1155,"Faixa cadastrada como "&amp;P1155&amp;" na tabela; preço aplicado pela UF do CEP","")</f>
        <v/>
      </c>
      <c r="AI1155" s="26" t="n">
        <v>162.83</v>
      </c>
      <c r="AJ1155" s="22" t="str">
        <f aca="false">INDEX('Tabela Passaro'!$X$2:$X$1795,$N1155)</f>
        <v>INTERIOR 1</v>
      </c>
    </row>
    <row r="1156" customFormat="false" ht="15" hidden="false" customHeight="false" outlineLevel="0" collapsed="false">
      <c r="A1156" s="22" t="s">
        <v>19</v>
      </c>
      <c r="B1156" s="22" t="n">
        <v>2</v>
      </c>
      <c r="C1156" s="22" t="s">
        <v>133</v>
      </c>
      <c r="D1156" s="22" t="s">
        <v>30</v>
      </c>
      <c r="E1156" s="22" t="s">
        <v>20</v>
      </c>
      <c r="F1156" s="22" t="n">
        <v>839843</v>
      </c>
      <c r="G1156" s="30" t="n">
        <v>46255</v>
      </c>
      <c r="H1156" s="22" t="n">
        <v>32597</v>
      </c>
      <c r="I1156" s="22" t="s">
        <v>8376</v>
      </c>
      <c r="J1156" s="31" t="n">
        <v>20.46</v>
      </c>
      <c r="K1156" s="26" t="n">
        <v>434.87</v>
      </c>
      <c r="L1156" s="26" t="n">
        <v>122.59</v>
      </c>
      <c r="M1156" s="22" t="s">
        <v>3987</v>
      </c>
      <c r="N1156" s="22" t="n">
        <f aca="false">MATCH(M1156,'Tabela Passaro'!$A$2:$A$1795,0)</f>
        <v>939</v>
      </c>
      <c r="O1156" s="22" t="str">
        <f aca="false">INDEX('Tabela Passaro'!$C$2:$C$1795,$N1156)</f>
        <v>CAMPINA GRANDE</v>
      </c>
      <c r="P1156" s="22" t="str">
        <f aca="false">INDEX('Tabela Passaro'!$B$2:$B$1795,$N1156)</f>
        <v>PB</v>
      </c>
      <c r="Q1156" s="22" t="n">
        <f aca="false">INDEX('Tabela Passaro'!$F$2:$F$1795,$N1156)</f>
        <v>12</v>
      </c>
      <c r="R1156" s="32" t="n">
        <f aca="false">IF(J1156&lt;=10,INDEX('Tabela Passaro'!$G$2:$G$1795,$N1156),IF(J1156&lt;=30,INDEX('Tabela Passaro'!$H$2:$H$1795,$N1156),IF(J1156&lt;=50,INDEX('Tabela Passaro'!$I$2:$I$1795,$N1156),IF(J1156&lt;=70,INDEX('Tabela Passaro'!$J$2:$J$1795,$N1156),IF(J1156&lt;=100,INDEX('Tabela Passaro'!$K$2:$K$1795,$N1156),INDEX('Tabela Passaro'!$K$2:$K$1795,$N1156)+(J1156-100)*INDEX('Tabela Passaro'!$L$2:$L$1795,$N1156))))))</f>
        <v>88.38</v>
      </c>
      <c r="S1156" s="32" t="n">
        <f aca="false">K1156*INDEX('Tabela Passaro'!$M$2:$M$1795,$N1156)</f>
        <v>2.17435</v>
      </c>
      <c r="T1156" s="32" t="n">
        <f aca="false">K1156*INDEX('Tabela Passaro'!$N$2:$N$1795,$N1156)</f>
        <v>0.86974</v>
      </c>
      <c r="U1156" s="32" t="n">
        <f aca="false">INDEX('Tabela Passaro'!$O$2:$O$1795,$N1156)</f>
        <v>5</v>
      </c>
      <c r="V1156" s="32" t="n">
        <f aca="false">ROUNDUP(J1156/INDEX('Tabela Passaro'!$Q$2:$Q$1795,$N1156),0)*INDEX('Tabela Passaro'!$P$2:$P$1795,$N1156)</f>
        <v>5</v>
      </c>
      <c r="W1156" s="32" t="n">
        <f aca="false">INDEX('Tabela Passaro'!$R$2:$R$1795,$N1156)</f>
        <v>30</v>
      </c>
      <c r="X1156" s="32" t="n">
        <f aca="false">ROUNDUP(J1156/INDEX('Tabela Passaro'!$T$2:$T$1795,$N1156),0)*INDEX('Tabela Passaro'!$S$2:$S$1795,$N1156)</f>
        <v>0</v>
      </c>
      <c r="Y1156" s="32" t="n">
        <f aca="false">INDEX('Tabela Passaro'!$U$2:$U$1795,$N1156)</f>
        <v>0</v>
      </c>
      <c r="Z1156" s="32" t="n">
        <f aca="false">INDEX('Tabela Passaro'!$V$2:$V$1795,$N1156)</f>
        <v>0</v>
      </c>
      <c r="AA1156" s="32" t="n">
        <f aca="false">SUM(R1156:Z1156)</f>
        <v>131.42409</v>
      </c>
      <c r="AB1156" s="33" t="n">
        <f aca="false">INDEX(Premissas!$B$5:$B$13,MATCH(A1156,Premissas!$A$5:$A$13,0))</f>
        <v>0.07</v>
      </c>
      <c r="AC1156" s="32" t="n">
        <f aca="false">AA1156/(1-AB1156)-AA1156</f>
        <v>9.89213580645162</v>
      </c>
      <c r="AD1156" s="32" t="n">
        <f aca="false">ROUND(AA1156+AC1156,2)</f>
        <v>141.32</v>
      </c>
      <c r="AE1156" s="32" t="n">
        <f aca="false">AD1156-L1156</f>
        <v>18.73</v>
      </c>
      <c r="AF1156" s="34" t="n">
        <f aca="false">IF(L1156=0,0,AE1156/L1156)</f>
        <v>0.152785708459091</v>
      </c>
      <c r="AG1156" s="22" t="str">
        <f aca="false">IF(AD1156&lt;L1156,"PASSARO","ATUAL")</f>
        <v>ATUAL</v>
      </c>
      <c r="AH1156" s="22" t="str">
        <f aca="false">IF(P1156&lt;&gt;A1156,"Faixa cadastrada como "&amp;P1156&amp;" na tabela; preço aplicado pela UF do CEP","")</f>
        <v/>
      </c>
      <c r="AI1156" s="26" t="n">
        <v>157.12</v>
      </c>
      <c r="AJ1156" s="22" t="str">
        <f aca="false">INDEX('Tabela Passaro'!$X$2:$X$1795,$N1156)</f>
        <v>INTERIOR 1</v>
      </c>
    </row>
    <row r="1157" customFormat="false" ht="15" hidden="false" customHeight="false" outlineLevel="0" collapsed="false">
      <c r="A1157" s="22" t="s">
        <v>19</v>
      </c>
      <c r="B1157" s="22" t="n">
        <v>2</v>
      </c>
      <c r="C1157" s="22" t="s">
        <v>133</v>
      </c>
      <c r="D1157" s="22" t="s">
        <v>30</v>
      </c>
      <c r="E1157" s="22" t="s">
        <v>20</v>
      </c>
      <c r="F1157" s="22" t="n">
        <v>839834</v>
      </c>
      <c r="G1157" s="30" t="n">
        <v>46255</v>
      </c>
      <c r="H1157" s="22" t="n">
        <v>32598</v>
      </c>
      <c r="I1157" s="22" t="s">
        <v>8377</v>
      </c>
      <c r="J1157" s="31" t="n">
        <v>40</v>
      </c>
      <c r="K1157" s="26" t="n">
        <v>681.97</v>
      </c>
      <c r="L1157" s="26" t="n">
        <v>165.58</v>
      </c>
      <c r="M1157" s="22" t="s">
        <v>3987</v>
      </c>
      <c r="N1157" s="22" t="n">
        <f aca="false">MATCH(M1157,'Tabela Passaro'!$A$2:$A$1795,0)</f>
        <v>939</v>
      </c>
      <c r="O1157" s="22" t="str">
        <f aca="false">INDEX('Tabela Passaro'!$C$2:$C$1795,$N1157)</f>
        <v>CAMPINA GRANDE</v>
      </c>
      <c r="P1157" s="22" t="str">
        <f aca="false">INDEX('Tabela Passaro'!$B$2:$B$1795,$N1157)</f>
        <v>PB</v>
      </c>
      <c r="Q1157" s="22" t="n">
        <f aca="false">INDEX('Tabela Passaro'!$F$2:$F$1795,$N1157)</f>
        <v>12</v>
      </c>
      <c r="R1157" s="32" t="n">
        <f aca="false">IF(J1157&lt;=10,INDEX('Tabela Passaro'!$G$2:$G$1795,$N1157),IF(J1157&lt;=30,INDEX('Tabela Passaro'!$H$2:$H$1795,$N1157),IF(J1157&lt;=50,INDEX('Tabela Passaro'!$I$2:$I$1795,$N1157),IF(J1157&lt;=70,INDEX('Tabela Passaro'!$J$2:$J$1795,$N1157),IF(J1157&lt;=100,INDEX('Tabela Passaro'!$K$2:$K$1795,$N1157),INDEX('Tabela Passaro'!$K$2:$K$1795,$N1157)+(J1157-100)*INDEX('Tabela Passaro'!$L$2:$L$1795,$N1157))))))</f>
        <v>108.41</v>
      </c>
      <c r="S1157" s="32" t="n">
        <f aca="false">K1157*INDEX('Tabela Passaro'!$M$2:$M$1795,$N1157)</f>
        <v>3.40985</v>
      </c>
      <c r="T1157" s="32" t="n">
        <f aca="false">K1157*INDEX('Tabela Passaro'!$N$2:$N$1795,$N1157)</f>
        <v>1.36394</v>
      </c>
      <c r="U1157" s="32" t="n">
        <f aca="false">INDEX('Tabela Passaro'!$O$2:$O$1795,$N1157)</f>
        <v>5</v>
      </c>
      <c r="V1157" s="32" t="n">
        <f aca="false">ROUNDUP(J1157/INDEX('Tabela Passaro'!$Q$2:$Q$1795,$N1157),0)*INDEX('Tabela Passaro'!$P$2:$P$1795,$N1157)</f>
        <v>5</v>
      </c>
      <c r="W1157" s="32" t="n">
        <f aca="false">INDEX('Tabela Passaro'!$R$2:$R$1795,$N1157)</f>
        <v>30</v>
      </c>
      <c r="X1157" s="32" t="n">
        <f aca="false">ROUNDUP(J1157/INDEX('Tabela Passaro'!$T$2:$T$1795,$N1157),0)*INDEX('Tabela Passaro'!$S$2:$S$1795,$N1157)</f>
        <v>0</v>
      </c>
      <c r="Y1157" s="32" t="n">
        <f aca="false">INDEX('Tabela Passaro'!$U$2:$U$1795,$N1157)</f>
        <v>0</v>
      </c>
      <c r="Z1157" s="32" t="n">
        <f aca="false">INDEX('Tabela Passaro'!$V$2:$V$1795,$N1157)</f>
        <v>0</v>
      </c>
      <c r="AA1157" s="32" t="n">
        <f aca="false">SUM(R1157:Z1157)</f>
        <v>153.18379</v>
      </c>
      <c r="AB1157" s="33" t="n">
        <f aca="false">INDEX(Premissas!$B$5:$B$13,MATCH(A1157,Premissas!$A$5:$A$13,0))</f>
        <v>0.07</v>
      </c>
      <c r="AC1157" s="32" t="n">
        <f aca="false">AA1157/(1-AB1157)-AA1157</f>
        <v>11.529962688172</v>
      </c>
      <c r="AD1157" s="32" t="n">
        <f aca="false">ROUND(AA1157+AC1157,2)</f>
        <v>164.71</v>
      </c>
      <c r="AE1157" s="32" t="n">
        <f aca="false">AD1157-L1157</f>
        <v>-0.870000000000005</v>
      </c>
      <c r="AF1157" s="34" t="n">
        <f aca="false">IF(L1157=0,0,AE1157/L1157)</f>
        <v>-0.00525425776059913</v>
      </c>
      <c r="AG1157" s="22" t="str">
        <f aca="false">IF(AD1157&lt;L1157,"PASSARO","ATUAL")</f>
        <v>PASSARO</v>
      </c>
      <c r="AH1157" s="22" t="str">
        <f aca="false">IF(P1157&lt;&gt;A1157,"Faixa cadastrada como "&amp;P1157&amp;" na tabela; preço aplicado pela UF do CEP","")</f>
        <v/>
      </c>
      <c r="AI1157" s="26" t="n">
        <v>193.76</v>
      </c>
      <c r="AJ1157" s="22" t="str">
        <f aca="false">INDEX('Tabela Passaro'!$X$2:$X$1795,$N1157)</f>
        <v>INTERIOR 1</v>
      </c>
    </row>
    <row r="1158" customFormat="false" ht="15" hidden="false" customHeight="false" outlineLevel="0" collapsed="false">
      <c r="A1158" s="22" t="s">
        <v>19</v>
      </c>
      <c r="B1158" s="22" t="n">
        <v>2</v>
      </c>
      <c r="C1158" s="22" t="s">
        <v>133</v>
      </c>
      <c r="D1158" s="22" t="s">
        <v>30</v>
      </c>
      <c r="E1158" s="22" t="s">
        <v>20</v>
      </c>
      <c r="F1158" s="22" t="n">
        <v>839827</v>
      </c>
      <c r="G1158" s="30" t="n">
        <v>46255</v>
      </c>
      <c r="H1158" s="22" t="n">
        <v>32600</v>
      </c>
      <c r="I1158" s="22" t="s">
        <v>8378</v>
      </c>
      <c r="J1158" s="31" t="n">
        <v>134.4</v>
      </c>
      <c r="K1158" s="26" t="n">
        <v>2002.69</v>
      </c>
      <c r="L1158" s="26" t="n">
        <v>312.17</v>
      </c>
      <c r="M1158" s="22" t="s">
        <v>3987</v>
      </c>
      <c r="N1158" s="22" t="n">
        <f aca="false">MATCH(M1158,'Tabela Passaro'!$A$2:$A$1795,0)</f>
        <v>939</v>
      </c>
      <c r="O1158" s="22" t="str">
        <f aca="false">INDEX('Tabela Passaro'!$C$2:$C$1795,$N1158)</f>
        <v>CAMPINA GRANDE</v>
      </c>
      <c r="P1158" s="22" t="str">
        <f aca="false">INDEX('Tabela Passaro'!$B$2:$B$1795,$N1158)</f>
        <v>PB</v>
      </c>
      <c r="Q1158" s="22" t="n">
        <f aca="false">INDEX('Tabela Passaro'!$F$2:$F$1795,$N1158)</f>
        <v>12</v>
      </c>
      <c r="R1158" s="32" t="n">
        <f aca="false">IF(J1158&lt;=10,INDEX('Tabela Passaro'!$G$2:$G$1795,$N1158),IF(J1158&lt;=30,INDEX('Tabela Passaro'!$H$2:$H$1795,$N1158),IF(J1158&lt;=50,INDEX('Tabela Passaro'!$I$2:$I$1795,$N1158),IF(J1158&lt;=70,INDEX('Tabela Passaro'!$J$2:$J$1795,$N1158),IF(J1158&lt;=100,INDEX('Tabela Passaro'!$K$2:$K$1795,$N1158),INDEX('Tabela Passaro'!$K$2:$K$1795,$N1158)+(J1158-100)*INDEX('Tabela Passaro'!$L$2:$L$1795,$N1158))))))</f>
        <v>199.852</v>
      </c>
      <c r="S1158" s="32" t="n">
        <f aca="false">K1158*INDEX('Tabela Passaro'!$M$2:$M$1795,$N1158)</f>
        <v>10.01345</v>
      </c>
      <c r="T1158" s="32" t="n">
        <f aca="false">K1158*INDEX('Tabela Passaro'!$N$2:$N$1795,$N1158)</f>
        <v>4.00538</v>
      </c>
      <c r="U1158" s="32" t="n">
        <f aca="false">INDEX('Tabela Passaro'!$O$2:$O$1795,$N1158)</f>
        <v>5</v>
      </c>
      <c r="V1158" s="32" t="n">
        <f aca="false">ROUNDUP(J1158/INDEX('Tabela Passaro'!$Q$2:$Q$1795,$N1158),0)*INDEX('Tabela Passaro'!$P$2:$P$1795,$N1158)</f>
        <v>10</v>
      </c>
      <c r="W1158" s="32" t="n">
        <f aca="false">INDEX('Tabela Passaro'!$R$2:$R$1795,$N1158)</f>
        <v>30</v>
      </c>
      <c r="X1158" s="32" t="n">
        <f aca="false">ROUNDUP(J1158/INDEX('Tabela Passaro'!$T$2:$T$1795,$N1158),0)*INDEX('Tabela Passaro'!$S$2:$S$1795,$N1158)</f>
        <v>0</v>
      </c>
      <c r="Y1158" s="32" t="n">
        <f aca="false">INDEX('Tabela Passaro'!$U$2:$U$1795,$N1158)</f>
        <v>0</v>
      </c>
      <c r="Z1158" s="32" t="n">
        <f aca="false">INDEX('Tabela Passaro'!$V$2:$V$1795,$N1158)</f>
        <v>0</v>
      </c>
      <c r="AA1158" s="32" t="n">
        <f aca="false">SUM(R1158:Z1158)</f>
        <v>258.87083</v>
      </c>
      <c r="AB1158" s="33" t="n">
        <f aca="false">INDEX(Premissas!$B$5:$B$13,MATCH(A1158,Premissas!$A$5:$A$13,0))</f>
        <v>0.07</v>
      </c>
      <c r="AC1158" s="32" t="n">
        <f aca="false">AA1158/(1-AB1158)-AA1158</f>
        <v>19.4849011827957</v>
      </c>
      <c r="AD1158" s="32" t="n">
        <f aca="false">ROUND(AA1158+AC1158,2)</f>
        <v>278.36</v>
      </c>
      <c r="AE1158" s="32" t="n">
        <f aca="false">AD1158-L1158</f>
        <v>-33.81</v>
      </c>
      <c r="AF1158" s="34" t="n">
        <f aca="false">IF(L1158=0,0,AE1158/L1158)</f>
        <v>-0.108306371528334</v>
      </c>
      <c r="AG1158" s="22" t="str">
        <f aca="false">IF(AD1158&lt;L1158,"PASSARO","ATUAL")</f>
        <v>PASSARO</v>
      </c>
      <c r="AH1158" s="22" t="str">
        <f aca="false">IF(P1158&lt;&gt;A1158,"Faixa cadastrada como "&amp;P1158&amp;" na tabela; preço aplicado pela UF do CEP","")</f>
        <v/>
      </c>
      <c r="AI1158" s="26" t="n">
        <v>369.46</v>
      </c>
      <c r="AJ1158" s="22" t="str">
        <f aca="false">INDEX('Tabela Passaro'!$X$2:$X$1795,$N1158)</f>
        <v>INTERIOR 1</v>
      </c>
    </row>
    <row r="1159" customFormat="false" ht="15" hidden="false" customHeight="false" outlineLevel="0" collapsed="false">
      <c r="A1159" s="22" t="s">
        <v>19</v>
      </c>
      <c r="B1159" s="22" t="n">
        <v>2</v>
      </c>
      <c r="C1159" s="22" t="s">
        <v>133</v>
      </c>
      <c r="D1159" s="22" t="s">
        <v>30</v>
      </c>
      <c r="E1159" s="22" t="s">
        <v>7328</v>
      </c>
      <c r="F1159" s="22" t="n">
        <v>2315803</v>
      </c>
      <c r="G1159" s="30" t="n">
        <v>46258</v>
      </c>
      <c r="H1159" s="22" t="n">
        <v>135317</v>
      </c>
      <c r="I1159" s="22" t="s">
        <v>8379</v>
      </c>
      <c r="J1159" s="31" t="n">
        <v>66.8</v>
      </c>
      <c r="K1159" s="26" t="n">
        <v>953.18</v>
      </c>
      <c r="L1159" s="26" t="n">
        <v>239.64</v>
      </c>
      <c r="M1159" s="22" t="s">
        <v>3987</v>
      </c>
      <c r="N1159" s="22" t="n">
        <f aca="false">MATCH(M1159,'Tabela Passaro'!$A$2:$A$1795,0)</f>
        <v>939</v>
      </c>
      <c r="O1159" s="22" t="str">
        <f aca="false">INDEX('Tabela Passaro'!$C$2:$C$1795,$N1159)</f>
        <v>CAMPINA GRANDE</v>
      </c>
      <c r="P1159" s="22" t="str">
        <f aca="false">INDEX('Tabela Passaro'!$B$2:$B$1795,$N1159)</f>
        <v>PB</v>
      </c>
      <c r="Q1159" s="22" t="n">
        <f aca="false">INDEX('Tabela Passaro'!$F$2:$F$1795,$N1159)</f>
        <v>12</v>
      </c>
      <c r="R1159" s="32" t="n">
        <f aca="false">IF(J1159&lt;=10,INDEX('Tabela Passaro'!$G$2:$G$1795,$N1159),IF(J1159&lt;=30,INDEX('Tabela Passaro'!$H$2:$H$1795,$N1159),IF(J1159&lt;=50,INDEX('Tabela Passaro'!$I$2:$I$1795,$N1159),IF(J1159&lt;=70,INDEX('Tabela Passaro'!$J$2:$J$1795,$N1159),IF(J1159&lt;=100,INDEX('Tabela Passaro'!$K$2:$K$1795,$N1159),INDEX('Tabela Passaro'!$K$2:$K$1795,$N1159)+(J1159-100)*INDEX('Tabela Passaro'!$L$2:$L$1795,$N1159))))))</f>
        <v>118.43</v>
      </c>
      <c r="S1159" s="32" t="n">
        <f aca="false">K1159*INDEX('Tabela Passaro'!$M$2:$M$1795,$N1159)</f>
        <v>4.7659</v>
      </c>
      <c r="T1159" s="32" t="n">
        <f aca="false">K1159*INDEX('Tabela Passaro'!$N$2:$N$1795,$N1159)</f>
        <v>1.90636</v>
      </c>
      <c r="U1159" s="32" t="n">
        <f aca="false">INDEX('Tabela Passaro'!$O$2:$O$1795,$N1159)</f>
        <v>5</v>
      </c>
      <c r="V1159" s="32" t="n">
        <f aca="false">ROUNDUP(J1159/INDEX('Tabela Passaro'!$Q$2:$Q$1795,$N1159),0)*INDEX('Tabela Passaro'!$P$2:$P$1795,$N1159)</f>
        <v>5</v>
      </c>
      <c r="W1159" s="32" t="n">
        <f aca="false">INDEX('Tabela Passaro'!$R$2:$R$1795,$N1159)</f>
        <v>30</v>
      </c>
      <c r="X1159" s="32" t="n">
        <f aca="false">ROUNDUP(J1159/INDEX('Tabela Passaro'!$T$2:$T$1795,$N1159),0)*INDEX('Tabela Passaro'!$S$2:$S$1795,$N1159)</f>
        <v>0</v>
      </c>
      <c r="Y1159" s="32" t="n">
        <f aca="false">INDEX('Tabela Passaro'!$U$2:$U$1795,$N1159)</f>
        <v>0</v>
      </c>
      <c r="Z1159" s="32" t="n">
        <f aca="false">INDEX('Tabela Passaro'!$V$2:$V$1795,$N1159)</f>
        <v>0</v>
      </c>
      <c r="AA1159" s="32" t="n">
        <f aca="false">SUM(R1159:Z1159)</f>
        <v>165.10226</v>
      </c>
      <c r="AB1159" s="33" t="n">
        <f aca="false">INDEX(Premissas!$B$5:$B$13,MATCH(A1159,Premissas!$A$5:$A$13,0))</f>
        <v>0.07</v>
      </c>
      <c r="AC1159" s="32" t="n">
        <f aca="false">AA1159/(1-AB1159)-AA1159</f>
        <v>12.427051827957</v>
      </c>
      <c r="AD1159" s="32" t="n">
        <f aca="false">ROUND(AA1159+AC1159,2)</f>
        <v>177.53</v>
      </c>
      <c r="AE1159" s="32" t="n">
        <f aca="false">AD1159-L1159</f>
        <v>-62.11</v>
      </c>
      <c r="AF1159" s="34" t="n">
        <f aca="false">IF(L1159=0,0,AE1159/L1159)</f>
        <v>-0.259180437322651</v>
      </c>
      <c r="AG1159" s="22" t="str">
        <f aca="false">IF(AD1159&lt;L1159,"PASSARO","ATUAL")</f>
        <v>PASSARO</v>
      </c>
      <c r="AH1159" s="22" t="str">
        <f aca="false">IF(P1159&lt;&gt;A1159,"Faixa cadastrada como "&amp;P1159&amp;" na tabela; preço aplicado pela UF do CEP","")</f>
        <v/>
      </c>
      <c r="AI1159" s="26" t="n">
        <v>221.98</v>
      </c>
      <c r="AJ1159" s="22" t="str">
        <f aca="false">INDEX('Tabela Passaro'!$X$2:$X$1795,$N1159)</f>
        <v>INTERIOR 1</v>
      </c>
    </row>
    <row r="1160" customFormat="false" ht="15" hidden="false" customHeight="false" outlineLevel="0" collapsed="false">
      <c r="A1160" s="22" t="s">
        <v>19</v>
      </c>
      <c r="B1160" s="22" t="n">
        <v>2</v>
      </c>
      <c r="C1160" s="22" t="s">
        <v>133</v>
      </c>
      <c r="D1160" s="22" t="s">
        <v>30</v>
      </c>
      <c r="E1160" s="22" t="s">
        <v>7326</v>
      </c>
      <c r="F1160" s="22" t="n">
        <v>527066</v>
      </c>
      <c r="G1160" s="30" t="n">
        <v>46258</v>
      </c>
      <c r="H1160" s="22" t="n">
        <v>628477</v>
      </c>
      <c r="I1160" s="22" t="s">
        <v>8380</v>
      </c>
      <c r="J1160" s="31" t="n">
        <v>60.69</v>
      </c>
      <c r="K1160" s="26" t="n">
        <v>1155.97</v>
      </c>
      <c r="L1160" s="26" t="n">
        <v>277.56</v>
      </c>
      <c r="M1160" s="22" t="s">
        <v>3987</v>
      </c>
      <c r="N1160" s="22" t="n">
        <f aca="false">MATCH(M1160,'Tabela Passaro'!$A$2:$A$1795,0)</f>
        <v>939</v>
      </c>
      <c r="O1160" s="22" t="str">
        <f aca="false">INDEX('Tabela Passaro'!$C$2:$C$1795,$N1160)</f>
        <v>CAMPINA GRANDE</v>
      </c>
      <c r="P1160" s="22" t="str">
        <f aca="false">INDEX('Tabela Passaro'!$B$2:$B$1795,$N1160)</f>
        <v>PB</v>
      </c>
      <c r="Q1160" s="22" t="n">
        <f aca="false">INDEX('Tabela Passaro'!$F$2:$F$1795,$N1160)</f>
        <v>12</v>
      </c>
      <c r="R1160" s="32" t="n">
        <f aca="false">IF(J1160&lt;=10,INDEX('Tabela Passaro'!$G$2:$G$1795,$N1160),IF(J1160&lt;=30,INDEX('Tabela Passaro'!$H$2:$H$1795,$N1160),IF(J1160&lt;=50,INDEX('Tabela Passaro'!$I$2:$I$1795,$N1160),IF(J1160&lt;=70,INDEX('Tabela Passaro'!$J$2:$J$1795,$N1160),IF(J1160&lt;=100,INDEX('Tabela Passaro'!$K$2:$K$1795,$N1160),INDEX('Tabela Passaro'!$K$2:$K$1795,$N1160)+(J1160-100)*INDEX('Tabela Passaro'!$L$2:$L$1795,$N1160))))))</f>
        <v>118.43</v>
      </c>
      <c r="S1160" s="32" t="n">
        <f aca="false">K1160*INDEX('Tabela Passaro'!$M$2:$M$1795,$N1160)</f>
        <v>5.77985</v>
      </c>
      <c r="T1160" s="32" t="n">
        <f aca="false">K1160*INDEX('Tabela Passaro'!$N$2:$N$1795,$N1160)</f>
        <v>2.31194</v>
      </c>
      <c r="U1160" s="32" t="n">
        <f aca="false">INDEX('Tabela Passaro'!$O$2:$O$1795,$N1160)</f>
        <v>5</v>
      </c>
      <c r="V1160" s="32" t="n">
        <f aca="false">ROUNDUP(J1160/INDEX('Tabela Passaro'!$Q$2:$Q$1795,$N1160),0)*INDEX('Tabela Passaro'!$P$2:$P$1795,$N1160)</f>
        <v>5</v>
      </c>
      <c r="W1160" s="32" t="n">
        <f aca="false">INDEX('Tabela Passaro'!$R$2:$R$1795,$N1160)</f>
        <v>30</v>
      </c>
      <c r="X1160" s="32" t="n">
        <f aca="false">ROUNDUP(J1160/INDEX('Tabela Passaro'!$T$2:$T$1795,$N1160),0)*INDEX('Tabela Passaro'!$S$2:$S$1795,$N1160)</f>
        <v>0</v>
      </c>
      <c r="Y1160" s="32" t="n">
        <f aca="false">INDEX('Tabela Passaro'!$U$2:$U$1795,$N1160)</f>
        <v>0</v>
      </c>
      <c r="Z1160" s="32" t="n">
        <f aca="false">INDEX('Tabela Passaro'!$V$2:$V$1795,$N1160)</f>
        <v>0</v>
      </c>
      <c r="AA1160" s="32" t="n">
        <f aca="false">SUM(R1160:Z1160)</f>
        <v>166.52179</v>
      </c>
      <c r="AB1160" s="33" t="n">
        <f aca="false">INDEX(Premissas!$B$5:$B$13,MATCH(A1160,Premissas!$A$5:$A$13,0))</f>
        <v>0.07</v>
      </c>
      <c r="AC1160" s="32" t="n">
        <f aca="false">AA1160/(1-AB1160)-AA1160</f>
        <v>12.533898172043</v>
      </c>
      <c r="AD1160" s="32" t="n">
        <f aca="false">ROUND(AA1160+AC1160,2)</f>
        <v>179.06</v>
      </c>
      <c r="AE1160" s="32" t="n">
        <f aca="false">AD1160-L1160</f>
        <v>-98.5</v>
      </c>
      <c r="AF1160" s="34" t="n">
        <f aca="false">IF(L1160=0,0,AE1160/L1160)</f>
        <v>-0.35487822452803</v>
      </c>
      <c r="AG1160" s="22" t="str">
        <f aca="false">IF(AD1160&lt;L1160,"PASSARO","ATUAL")</f>
        <v>PASSARO</v>
      </c>
      <c r="AH1160" s="22" t="str">
        <f aca="false">IF(P1160&lt;&gt;A1160,"Faixa cadastrada como "&amp;P1160&amp;" na tabela; preço aplicado pela UF do CEP","")</f>
        <v/>
      </c>
      <c r="AI1160" s="26" t="n">
        <v>221.04</v>
      </c>
      <c r="AJ1160" s="22" t="str">
        <f aca="false">INDEX('Tabela Passaro'!$X$2:$X$1795,$N1160)</f>
        <v>INTERIOR 1</v>
      </c>
    </row>
    <row r="1161" customFormat="false" ht="15" hidden="false" customHeight="false" outlineLevel="0" collapsed="false">
      <c r="A1161" s="22" t="s">
        <v>19</v>
      </c>
      <c r="B1161" s="22" t="n">
        <v>2</v>
      </c>
      <c r="C1161" s="22" t="s">
        <v>133</v>
      </c>
      <c r="D1161" s="22" t="s">
        <v>30</v>
      </c>
      <c r="E1161" s="22" t="s">
        <v>20</v>
      </c>
      <c r="F1161" s="22" t="n">
        <v>840014</v>
      </c>
      <c r="G1161" s="30" t="n">
        <v>46259</v>
      </c>
      <c r="H1161" s="22" t="n">
        <v>32661</v>
      </c>
      <c r="I1161" s="22" t="s">
        <v>8381</v>
      </c>
      <c r="J1161" s="31" t="n">
        <v>78.8</v>
      </c>
      <c r="K1161" s="26" t="n">
        <v>1250.21</v>
      </c>
      <c r="L1161" s="26" t="n">
        <v>251.02</v>
      </c>
      <c r="M1161" s="22" t="s">
        <v>3987</v>
      </c>
      <c r="N1161" s="22" t="n">
        <f aca="false">MATCH(M1161,'Tabela Passaro'!$A$2:$A$1795,0)</f>
        <v>939</v>
      </c>
      <c r="O1161" s="22" t="str">
        <f aca="false">INDEX('Tabela Passaro'!$C$2:$C$1795,$N1161)</f>
        <v>CAMPINA GRANDE</v>
      </c>
      <c r="P1161" s="22" t="str">
        <f aca="false">INDEX('Tabela Passaro'!$B$2:$B$1795,$N1161)</f>
        <v>PB</v>
      </c>
      <c r="Q1161" s="22" t="n">
        <f aca="false">INDEX('Tabela Passaro'!$F$2:$F$1795,$N1161)</f>
        <v>12</v>
      </c>
      <c r="R1161" s="32" t="n">
        <f aca="false">IF(J1161&lt;=10,INDEX('Tabela Passaro'!$G$2:$G$1795,$N1161),IF(J1161&lt;=30,INDEX('Tabela Passaro'!$H$2:$H$1795,$N1161),IF(J1161&lt;=50,INDEX('Tabela Passaro'!$I$2:$I$1795,$N1161),IF(J1161&lt;=70,INDEX('Tabela Passaro'!$J$2:$J$1795,$N1161),IF(J1161&lt;=100,INDEX('Tabela Passaro'!$K$2:$K$1795,$N1161),INDEX('Tabela Passaro'!$K$2:$K$1795,$N1161)+(J1161-100)*INDEX('Tabela Passaro'!$L$2:$L$1795,$N1161))))))</f>
        <v>133.46</v>
      </c>
      <c r="S1161" s="32" t="n">
        <f aca="false">K1161*INDEX('Tabela Passaro'!$M$2:$M$1795,$N1161)</f>
        <v>6.25105</v>
      </c>
      <c r="T1161" s="32" t="n">
        <f aca="false">K1161*INDEX('Tabela Passaro'!$N$2:$N$1795,$N1161)</f>
        <v>2.50042</v>
      </c>
      <c r="U1161" s="32" t="n">
        <f aca="false">INDEX('Tabela Passaro'!$O$2:$O$1795,$N1161)</f>
        <v>5</v>
      </c>
      <c r="V1161" s="32" t="n">
        <f aca="false">ROUNDUP(J1161/INDEX('Tabela Passaro'!$Q$2:$Q$1795,$N1161),0)*INDEX('Tabela Passaro'!$P$2:$P$1795,$N1161)</f>
        <v>5</v>
      </c>
      <c r="W1161" s="32" t="n">
        <f aca="false">INDEX('Tabela Passaro'!$R$2:$R$1795,$N1161)</f>
        <v>30</v>
      </c>
      <c r="X1161" s="32" t="n">
        <f aca="false">ROUNDUP(J1161/INDEX('Tabela Passaro'!$T$2:$T$1795,$N1161),0)*INDEX('Tabela Passaro'!$S$2:$S$1795,$N1161)</f>
        <v>0</v>
      </c>
      <c r="Y1161" s="32" t="n">
        <f aca="false">INDEX('Tabela Passaro'!$U$2:$U$1795,$N1161)</f>
        <v>0</v>
      </c>
      <c r="Z1161" s="32" t="n">
        <f aca="false">INDEX('Tabela Passaro'!$V$2:$V$1795,$N1161)</f>
        <v>0</v>
      </c>
      <c r="AA1161" s="32" t="n">
        <f aca="false">SUM(R1161:Z1161)</f>
        <v>182.21147</v>
      </c>
      <c r="AB1161" s="33" t="n">
        <f aca="false">INDEX(Premissas!$B$5:$B$13,MATCH(A1161,Premissas!$A$5:$A$13,0))</f>
        <v>0.07</v>
      </c>
      <c r="AC1161" s="32" t="n">
        <f aca="false">AA1161/(1-AB1161)-AA1161</f>
        <v>13.714841827957</v>
      </c>
      <c r="AD1161" s="32" t="n">
        <f aca="false">ROUND(AA1161+AC1161,2)</f>
        <v>195.93</v>
      </c>
      <c r="AE1161" s="32" t="n">
        <f aca="false">AD1161-L1161</f>
        <v>-55.09</v>
      </c>
      <c r="AF1161" s="34" t="n">
        <f aca="false">IF(L1161=0,0,AE1161/L1161)</f>
        <v>-0.219464584495259</v>
      </c>
      <c r="AG1161" s="22" t="str">
        <f aca="false">IF(AD1161&lt;L1161,"PASSARO","ATUAL")</f>
        <v>PASSARO</v>
      </c>
      <c r="AH1161" s="22" t="str">
        <f aca="false">IF(P1161&lt;&gt;A1161,"Faixa cadastrada como "&amp;P1161&amp;" na tabela; preço aplicado pela UF do CEP","")</f>
        <v/>
      </c>
      <c r="AI1161" s="26" t="n">
        <v>249.44</v>
      </c>
      <c r="AJ1161" s="22" t="str">
        <f aca="false">INDEX('Tabela Passaro'!$X$2:$X$1795,$N1161)</f>
        <v>INTERIOR 1</v>
      </c>
    </row>
    <row r="1162" customFormat="false" ht="15" hidden="false" customHeight="false" outlineLevel="0" collapsed="false">
      <c r="A1162" s="22" t="s">
        <v>19</v>
      </c>
      <c r="B1162" s="22" t="n">
        <v>2</v>
      </c>
      <c r="C1162" s="22" t="s">
        <v>133</v>
      </c>
      <c r="D1162" s="22" t="s">
        <v>30</v>
      </c>
      <c r="E1162" s="22" t="s">
        <v>7326</v>
      </c>
      <c r="F1162" s="22" t="n">
        <v>527390</v>
      </c>
      <c r="G1162" s="30" t="n">
        <v>46259</v>
      </c>
      <c r="H1162" s="22" t="n">
        <v>629130</v>
      </c>
      <c r="I1162" s="22" t="s">
        <v>8382</v>
      </c>
      <c r="J1162" s="31" t="n">
        <v>51.06</v>
      </c>
      <c r="K1162" s="26" t="n">
        <v>992.51</v>
      </c>
      <c r="L1162" s="26" t="n">
        <v>276.16</v>
      </c>
      <c r="M1162" s="22" t="s">
        <v>3987</v>
      </c>
      <c r="N1162" s="22" t="n">
        <f aca="false">MATCH(M1162,'Tabela Passaro'!$A$2:$A$1795,0)</f>
        <v>939</v>
      </c>
      <c r="O1162" s="22" t="str">
        <f aca="false">INDEX('Tabela Passaro'!$C$2:$C$1795,$N1162)</f>
        <v>CAMPINA GRANDE</v>
      </c>
      <c r="P1162" s="22" t="str">
        <f aca="false">INDEX('Tabela Passaro'!$B$2:$B$1795,$N1162)</f>
        <v>PB</v>
      </c>
      <c r="Q1162" s="22" t="n">
        <f aca="false">INDEX('Tabela Passaro'!$F$2:$F$1795,$N1162)</f>
        <v>12</v>
      </c>
      <c r="R1162" s="32" t="n">
        <f aca="false">IF(J1162&lt;=10,INDEX('Tabela Passaro'!$G$2:$G$1795,$N1162),IF(J1162&lt;=30,INDEX('Tabela Passaro'!$H$2:$H$1795,$N1162),IF(J1162&lt;=50,INDEX('Tabela Passaro'!$I$2:$I$1795,$N1162),IF(J1162&lt;=70,INDEX('Tabela Passaro'!$J$2:$J$1795,$N1162),IF(J1162&lt;=100,INDEX('Tabela Passaro'!$K$2:$K$1795,$N1162),INDEX('Tabela Passaro'!$K$2:$K$1795,$N1162)+(J1162-100)*INDEX('Tabela Passaro'!$L$2:$L$1795,$N1162))))))</f>
        <v>118.43</v>
      </c>
      <c r="S1162" s="32" t="n">
        <f aca="false">K1162*INDEX('Tabela Passaro'!$M$2:$M$1795,$N1162)</f>
        <v>4.96255</v>
      </c>
      <c r="T1162" s="32" t="n">
        <f aca="false">K1162*INDEX('Tabela Passaro'!$N$2:$N$1795,$N1162)</f>
        <v>1.98502</v>
      </c>
      <c r="U1162" s="32" t="n">
        <f aca="false">INDEX('Tabela Passaro'!$O$2:$O$1795,$N1162)</f>
        <v>5</v>
      </c>
      <c r="V1162" s="32" t="n">
        <f aca="false">ROUNDUP(J1162/INDEX('Tabela Passaro'!$Q$2:$Q$1795,$N1162),0)*INDEX('Tabela Passaro'!$P$2:$P$1795,$N1162)</f>
        <v>5</v>
      </c>
      <c r="W1162" s="32" t="n">
        <f aca="false">INDEX('Tabela Passaro'!$R$2:$R$1795,$N1162)</f>
        <v>30</v>
      </c>
      <c r="X1162" s="32" t="n">
        <f aca="false">ROUNDUP(J1162/INDEX('Tabela Passaro'!$T$2:$T$1795,$N1162),0)*INDEX('Tabela Passaro'!$S$2:$S$1795,$N1162)</f>
        <v>0</v>
      </c>
      <c r="Y1162" s="32" t="n">
        <f aca="false">INDEX('Tabela Passaro'!$U$2:$U$1795,$N1162)</f>
        <v>0</v>
      </c>
      <c r="Z1162" s="32" t="n">
        <f aca="false">INDEX('Tabela Passaro'!$V$2:$V$1795,$N1162)</f>
        <v>0</v>
      </c>
      <c r="AA1162" s="32" t="n">
        <f aca="false">SUM(R1162:Z1162)</f>
        <v>165.37757</v>
      </c>
      <c r="AB1162" s="33" t="n">
        <f aca="false">INDEX(Premissas!$B$5:$B$13,MATCH(A1162,Premissas!$A$5:$A$13,0))</f>
        <v>0.07</v>
      </c>
      <c r="AC1162" s="32" t="n">
        <f aca="false">AA1162/(1-AB1162)-AA1162</f>
        <v>12.4477740860215</v>
      </c>
      <c r="AD1162" s="32" t="n">
        <f aca="false">ROUND(AA1162+AC1162,2)</f>
        <v>177.83</v>
      </c>
      <c r="AE1162" s="32" t="n">
        <f aca="false">AD1162-L1162</f>
        <v>-98.33</v>
      </c>
      <c r="AF1162" s="34" t="n">
        <f aca="false">IF(L1162=0,0,AE1162/L1162)</f>
        <v>-0.356061703360371</v>
      </c>
      <c r="AG1162" s="22" t="str">
        <f aca="false">IF(AD1162&lt;L1162,"PASSARO","ATUAL")</f>
        <v>PASSARO</v>
      </c>
      <c r="AH1162" s="22" t="str">
        <f aca="false">IF(P1162&lt;&gt;A1162,"Faixa cadastrada como "&amp;P1162&amp;" na tabela; preço aplicado pela UF do CEP","")</f>
        <v/>
      </c>
      <c r="AI1162" s="26" t="n">
        <v>215.1</v>
      </c>
      <c r="AJ1162" s="22" t="str">
        <f aca="false">INDEX('Tabela Passaro'!$X$2:$X$1795,$N1162)</f>
        <v>INTERIOR 1</v>
      </c>
    </row>
    <row r="1163" customFormat="false" ht="15" hidden="false" customHeight="false" outlineLevel="0" collapsed="false">
      <c r="A1163" s="22" t="s">
        <v>19</v>
      </c>
      <c r="B1163" s="22" t="n">
        <v>2</v>
      </c>
      <c r="C1163" s="22" t="s">
        <v>133</v>
      </c>
      <c r="D1163" s="22" t="s">
        <v>30</v>
      </c>
      <c r="E1163" s="22" t="s">
        <v>7326</v>
      </c>
      <c r="F1163" s="22" t="n">
        <v>528299</v>
      </c>
      <c r="G1163" s="30" t="n">
        <v>46262</v>
      </c>
      <c r="H1163" s="22" t="n">
        <v>630139</v>
      </c>
      <c r="I1163" s="22" t="s">
        <v>8383</v>
      </c>
      <c r="J1163" s="31" t="n">
        <v>33</v>
      </c>
      <c r="K1163" s="26" t="n">
        <v>726.2</v>
      </c>
      <c r="L1163" s="26" t="n">
        <v>209.24</v>
      </c>
      <c r="M1163" s="22" t="s">
        <v>3987</v>
      </c>
      <c r="N1163" s="22" t="n">
        <f aca="false">MATCH(M1163,'Tabela Passaro'!$A$2:$A$1795,0)</f>
        <v>939</v>
      </c>
      <c r="O1163" s="22" t="str">
        <f aca="false">INDEX('Tabela Passaro'!$C$2:$C$1795,$N1163)</f>
        <v>CAMPINA GRANDE</v>
      </c>
      <c r="P1163" s="22" t="str">
        <f aca="false">INDEX('Tabela Passaro'!$B$2:$B$1795,$N1163)</f>
        <v>PB</v>
      </c>
      <c r="Q1163" s="22" t="n">
        <f aca="false">INDEX('Tabela Passaro'!$F$2:$F$1795,$N1163)</f>
        <v>12</v>
      </c>
      <c r="R1163" s="32" t="n">
        <f aca="false">IF(J1163&lt;=10,INDEX('Tabela Passaro'!$G$2:$G$1795,$N1163),IF(J1163&lt;=30,INDEX('Tabela Passaro'!$H$2:$H$1795,$N1163),IF(J1163&lt;=50,INDEX('Tabela Passaro'!$I$2:$I$1795,$N1163),IF(J1163&lt;=70,INDEX('Tabela Passaro'!$J$2:$J$1795,$N1163),IF(J1163&lt;=100,INDEX('Tabela Passaro'!$K$2:$K$1795,$N1163),INDEX('Tabela Passaro'!$K$2:$K$1795,$N1163)+(J1163-100)*INDEX('Tabela Passaro'!$L$2:$L$1795,$N1163))))))</f>
        <v>108.41</v>
      </c>
      <c r="S1163" s="32" t="n">
        <f aca="false">K1163*INDEX('Tabela Passaro'!$M$2:$M$1795,$N1163)</f>
        <v>3.631</v>
      </c>
      <c r="T1163" s="32" t="n">
        <f aca="false">K1163*INDEX('Tabela Passaro'!$N$2:$N$1795,$N1163)</f>
        <v>1.4524</v>
      </c>
      <c r="U1163" s="32" t="n">
        <f aca="false">INDEX('Tabela Passaro'!$O$2:$O$1795,$N1163)</f>
        <v>5</v>
      </c>
      <c r="V1163" s="32" t="n">
        <f aca="false">ROUNDUP(J1163/INDEX('Tabela Passaro'!$Q$2:$Q$1795,$N1163),0)*INDEX('Tabela Passaro'!$P$2:$P$1795,$N1163)</f>
        <v>5</v>
      </c>
      <c r="W1163" s="32" t="n">
        <f aca="false">INDEX('Tabela Passaro'!$R$2:$R$1795,$N1163)</f>
        <v>30</v>
      </c>
      <c r="X1163" s="32" t="n">
        <f aca="false">ROUNDUP(J1163/INDEX('Tabela Passaro'!$T$2:$T$1795,$N1163),0)*INDEX('Tabela Passaro'!$S$2:$S$1795,$N1163)</f>
        <v>0</v>
      </c>
      <c r="Y1163" s="32" t="n">
        <f aca="false">INDEX('Tabela Passaro'!$U$2:$U$1795,$N1163)</f>
        <v>0</v>
      </c>
      <c r="Z1163" s="32" t="n">
        <f aca="false">INDEX('Tabela Passaro'!$V$2:$V$1795,$N1163)</f>
        <v>0</v>
      </c>
      <c r="AA1163" s="32" t="n">
        <f aca="false">SUM(R1163:Z1163)</f>
        <v>153.4934</v>
      </c>
      <c r="AB1163" s="33" t="n">
        <f aca="false">INDEX(Premissas!$B$5:$B$13,MATCH(A1163,Premissas!$A$5:$A$13,0))</f>
        <v>0.07</v>
      </c>
      <c r="AC1163" s="32" t="n">
        <f aca="false">AA1163/(1-AB1163)-AA1163</f>
        <v>11.5532666666667</v>
      </c>
      <c r="AD1163" s="32" t="n">
        <f aca="false">ROUND(AA1163+AC1163,2)</f>
        <v>165.05</v>
      </c>
      <c r="AE1163" s="32" t="n">
        <f aca="false">AD1163-L1163</f>
        <v>-44.19</v>
      </c>
      <c r="AF1163" s="34" t="n">
        <f aca="false">IF(L1163=0,0,AE1163/L1163)</f>
        <v>-0.211192888549035</v>
      </c>
      <c r="AG1163" s="22" t="str">
        <f aca="false">IF(AD1163&lt;L1163,"PASSARO","ATUAL")</f>
        <v>PASSARO</v>
      </c>
      <c r="AH1163" s="22" t="str">
        <f aca="false">IF(P1163&lt;&gt;A1163,"Faixa cadastrada como "&amp;P1163&amp;" na tabela; preço aplicado pela UF do CEP","")</f>
        <v/>
      </c>
      <c r="AI1163" s="26" t="n">
        <v>190.8</v>
      </c>
      <c r="AJ1163" s="22" t="str">
        <f aca="false">INDEX('Tabela Passaro'!$X$2:$X$1795,$N1163)</f>
        <v>INTERIOR 1</v>
      </c>
    </row>
    <row r="1164" customFormat="false" ht="15" hidden="false" customHeight="false" outlineLevel="0" collapsed="false">
      <c r="A1164" s="22" t="s">
        <v>19</v>
      </c>
      <c r="B1164" s="22" t="n">
        <v>2</v>
      </c>
      <c r="C1164" s="22" t="s">
        <v>133</v>
      </c>
      <c r="D1164" s="22" t="s">
        <v>30</v>
      </c>
      <c r="E1164" s="22" t="s">
        <v>20</v>
      </c>
      <c r="F1164" s="22" t="n">
        <v>840645</v>
      </c>
      <c r="G1164" s="30" t="n">
        <v>46265</v>
      </c>
      <c r="H1164" s="22" t="n">
        <v>32847</v>
      </c>
      <c r="I1164" s="22" t="s">
        <v>8384</v>
      </c>
      <c r="J1164" s="31" t="n">
        <v>24.8</v>
      </c>
      <c r="K1164" s="26" t="n">
        <v>508.66</v>
      </c>
      <c r="L1164" s="26" t="n">
        <v>123.25</v>
      </c>
      <c r="M1164" s="22" t="s">
        <v>3987</v>
      </c>
      <c r="N1164" s="22" t="n">
        <f aca="false">MATCH(M1164,'Tabela Passaro'!$A$2:$A$1795,0)</f>
        <v>939</v>
      </c>
      <c r="O1164" s="22" t="str">
        <f aca="false">INDEX('Tabela Passaro'!$C$2:$C$1795,$N1164)</f>
        <v>CAMPINA GRANDE</v>
      </c>
      <c r="P1164" s="22" t="str">
        <f aca="false">INDEX('Tabela Passaro'!$B$2:$B$1795,$N1164)</f>
        <v>PB</v>
      </c>
      <c r="Q1164" s="22" t="n">
        <f aca="false">INDEX('Tabela Passaro'!$F$2:$F$1795,$N1164)</f>
        <v>12</v>
      </c>
      <c r="R1164" s="32" t="n">
        <f aca="false">IF(J1164&lt;=10,INDEX('Tabela Passaro'!$G$2:$G$1795,$N1164),IF(J1164&lt;=30,INDEX('Tabela Passaro'!$H$2:$H$1795,$N1164),IF(J1164&lt;=50,INDEX('Tabela Passaro'!$I$2:$I$1795,$N1164),IF(J1164&lt;=70,INDEX('Tabela Passaro'!$J$2:$J$1795,$N1164),IF(J1164&lt;=100,INDEX('Tabela Passaro'!$K$2:$K$1795,$N1164),INDEX('Tabela Passaro'!$K$2:$K$1795,$N1164)+(J1164-100)*INDEX('Tabela Passaro'!$L$2:$L$1795,$N1164))))))</f>
        <v>88.38</v>
      </c>
      <c r="S1164" s="32" t="n">
        <f aca="false">K1164*INDEX('Tabela Passaro'!$M$2:$M$1795,$N1164)</f>
        <v>2.5433</v>
      </c>
      <c r="T1164" s="32" t="n">
        <f aca="false">K1164*INDEX('Tabela Passaro'!$N$2:$N$1795,$N1164)</f>
        <v>1.01732</v>
      </c>
      <c r="U1164" s="32" t="n">
        <f aca="false">INDEX('Tabela Passaro'!$O$2:$O$1795,$N1164)</f>
        <v>5</v>
      </c>
      <c r="V1164" s="32" t="n">
        <f aca="false">ROUNDUP(J1164/INDEX('Tabela Passaro'!$Q$2:$Q$1795,$N1164),0)*INDEX('Tabela Passaro'!$P$2:$P$1795,$N1164)</f>
        <v>5</v>
      </c>
      <c r="W1164" s="32" t="n">
        <f aca="false">INDEX('Tabela Passaro'!$R$2:$R$1795,$N1164)</f>
        <v>30</v>
      </c>
      <c r="X1164" s="32" t="n">
        <f aca="false">ROUNDUP(J1164/INDEX('Tabela Passaro'!$T$2:$T$1795,$N1164),0)*INDEX('Tabela Passaro'!$S$2:$S$1795,$N1164)</f>
        <v>0</v>
      </c>
      <c r="Y1164" s="32" t="n">
        <f aca="false">INDEX('Tabela Passaro'!$U$2:$U$1795,$N1164)</f>
        <v>0</v>
      </c>
      <c r="Z1164" s="32" t="n">
        <f aca="false">INDEX('Tabela Passaro'!$V$2:$V$1795,$N1164)</f>
        <v>0</v>
      </c>
      <c r="AA1164" s="32" t="n">
        <f aca="false">SUM(R1164:Z1164)</f>
        <v>131.94062</v>
      </c>
      <c r="AB1164" s="33" t="n">
        <f aca="false">INDEX(Premissas!$B$5:$B$13,MATCH(A1164,Premissas!$A$5:$A$13,0))</f>
        <v>0.07</v>
      </c>
      <c r="AC1164" s="32" t="n">
        <f aca="false">AA1164/(1-AB1164)-AA1164</f>
        <v>9.93101440860215</v>
      </c>
      <c r="AD1164" s="32" t="n">
        <f aca="false">ROUND(AA1164+AC1164,2)</f>
        <v>141.87</v>
      </c>
      <c r="AE1164" s="32" t="n">
        <f aca="false">AD1164-L1164</f>
        <v>18.62</v>
      </c>
      <c r="AF1164" s="34" t="n">
        <f aca="false">IF(L1164=0,0,AE1164/L1164)</f>
        <v>0.151075050709939</v>
      </c>
      <c r="AG1164" s="22" t="str">
        <f aca="false">IF(AD1164&lt;L1164,"PASSARO","ATUAL")</f>
        <v>ATUAL</v>
      </c>
      <c r="AH1164" s="22" t="str">
        <f aca="false">IF(P1164&lt;&gt;A1164,"Faixa cadastrada como "&amp;P1164&amp;" na tabela; preço aplicado pela UF do CEP","")</f>
        <v/>
      </c>
      <c r="AI1164" s="26" t="n">
        <v>159.77</v>
      </c>
      <c r="AJ1164" s="22" t="str">
        <f aca="false">INDEX('Tabela Passaro'!$X$2:$X$1795,$N1164)</f>
        <v>INTERIOR 1</v>
      </c>
    </row>
    <row r="1165" customFormat="false" ht="15" hidden="false" customHeight="false" outlineLevel="0" collapsed="false">
      <c r="A1165" s="22" t="s">
        <v>19</v>
      </c>
      <c r="B1165" s="22" t="n">
        <v>2</v>
      </c>
      <c r="C1165" s="22" t="s">
        <v>133</v>
      </c>
      <c r="D1165" s="22" t="s">
        <v>31</v>
      </c>
      <c r="E1165" s="22" t="s">
        <v>7326</v>
      </c>
      <c r="F1165" s="22" t="n">
        <v>12730183</v>
      </c>
      <c r="G1165" s="30" t="n">
        <v>46238</v>
      </c>
      <c r="H1165" s="22" t="n">
        <v>620397</v>
      </c>
      <c r="I1165" s="22" t="s">
        <v>8385</v>
      </c>
      <c r="J1165" s="31" t="n">
        <v>1.6</v>
      </c>
      <c r="K1165" s="26" t="n">
        <v>208.91</v>
      </c>
      <c r="L1165" s="26" t="n">
        <v>17.15</v>
      </c>
      <c r="M1165" s="22" t="s">
        <v>3987</v>
      </c>
      <c r="N1165" s="22" t="n">
        <f aca="false">MATCH(M1165,'Tabela Passaro'!$A$2:$A$1795,0)</f>
        <v>939</v>
      </c>
      <c r="O1165" s="22" t="str">
        <f aca="false">INDEX('Tabela Passaro'!$C$2:$C$1795,$N1165)</f>
        <v>CAMPINA GRANDE</v>
      </c>
      <c r="P1165" s="22" t="str">
        <f aca="false">INDEX('Tabela Passaro'!$B$2:$B$1795,$N1165)</f>
        <v>PB</v>
      </c>
      <c r="Q1165" s="22" t="n">
        <f aca="false">INDEX('Tabela Passaro'!$F$2:$F$1795,$N1165)</f>
        <v>12</v>
      </c>
      <c r="R1165" s="32" t="n">
        <f aca="false">IF(J1165&lt;=10,INDEX('Tabela Passaro'!$G$2:$G$1795,$N1165),IF(J1165&lt;=30,INDEX('Tabela Passaro'!$H$2:$H$1795,$N1165),IF(J1165&lt;=50,INDEX('Tabela Passaro'!$I$2:$I$1795,$N1165),IF(J1165&lt;=70,INDEX('Tabela Passaro'!$J$2:$J$1795,$N1165),IF(J1165&lt;=100,INDEX('Tabela Passaro'!$K$2:$K$1795,$N1165),INDEX('Tabela Passaro'!$K$2:$K$1795,$N1165)+(J1165-100)*INDEX('Tabela Passaro'!$L$2:$L$1795,$N1165))))))</f>
        <v>78.36</v>
      </c>
      <c r="S1165" s="32" t="n">
        <f aca="false">K1165*INDEX('Tabela Passaro'!$M$2:$M$1795,$N1165)</f>
        <v>1.04455</v>
      </c>
      <c r="T1165" s="32" t="n">
        <f aca="false">K1165*INDEX('Tabela Passaro'!$N$2:$N$1795,$N1165)</f>
        <v>0.41782</v>
      </c>
      <c r="U1165" s="32" t="n">
        <f aca="false">INDEX('Tabela Passaro'!$O$2:$O$1795,$N1165)</f>
        <v>5</v>
      </c>
      <c r="V1165" s="32" t="n">
        <f aca="false">ROUNDUP(J1165/INDEX('Tabela Passaro'!$Q$2:$Q$1795,$N1165),0)*INDEX('Tabela Passaro'!$P$2:$P$1795,$N1165)</f>
        <v>5</v>
      </c>
      <c r="W1165" s="32" t="n">
        <f aca="false">INDEX('Tabela Passaro'!$R$2:$R$1795,$N1165)</f>
        <v>30</v>
      </c>
      <c r="X1165" s="32" t="n">
        <f aca="false">ROUNDUP(J1165/INDEX('Tabela Passaro'!$T$2:$T$1795,$N1165),0)*INDEX('Tabela Passaro'!$S$2:$S$1795,$N1165)</f>
        <v>0</v>
      </c>
      <c r="Y1165" s="32" t="n">
        <f aca="false">INDEX('Tabela Passaro'!$U$2:$U$1795,$N1165)</f>
        <v>0</v>
      </c>
      <c r="Z1165" s="32" t="n">
        <f aca="false">INDEX('Tabela Passaro'!$V$2:$V$1795,$N1165)</f>
        <v>0</v>
      </c>
      <c r="AA1165" s="32" t="n">
        <f aca="false">SUM(R1165:Z1165)</f>
        <v>119.82237</v>
      </c>
      <c r="AB1165" s="33" t="n">
        <f aca="false">INDEX(Premissas!$B$5:$B$13,MATCH(A1165,Premissas!$A$5:$A$13,0))</f>
        <v>0.07</v>
      </c>
      <c r="AC1165" s="32" t="n">
        <f aca="false">AA1165/(1-AB1165)-AA1165</f>
        <v>9.01888806451615</v>
      </c>
      <c r="AD1165" s="32" t="n">
        <f aca="false">ROUND(AA1165+AC1165,2)</f>
        <v>128.84</v>
      </c>
      <c r="AE1165" s="32" t="n">
        <f aca="false">AD1165-L1165</f>
        <v>111.69</v>
      </c>
      <c r="AF1165" s="34" t="n">
        <f aca="false">IF(L1165=0,0,AE1165/L1165)</f>
        <v>6.51253644314869</v>
      </c>
      <c r="AG1165" s="22" t="str">
        <f aca="false">IF(AD1165&lt;L1165,"PASSARO","ATUAL")</f>
        <v>ATUAL</v>
      </c>
      <c r="AH1165" s="22" t="str">
        <f aca="false">IF(P1165&lt;&gt;A1165,"Faixa cadastrada como "&amp;P1165&amp;" na tabela; preço aplicado pela UF do CEP","")</f>
        <v/>
      </c>
      <c r="AI1165" s="26" t="n">
        <v>133.23</v>
      </c>
      <c r="AJ1165" s="22" t="str">
        <f aca="false">INDEX('Tabela Passaro'!$X$2:$X$1795,$N1165)</f>
        <v>INTERIOR 1</v>
      </c>
    </row>
    <row r="1166" customFormat="false" ht="15" hidden="false" customHeight="false" outlineLevel="0" collapsed="false">
      <c r="A1166" s="22" t="s">
        <v>19</v>
      </c>
      <c r="B1166" s="22" t="n">
        <v>2</v>
      </c>
      <c r="C1166" s="22" t="s">
        <v>133</v>
      </c>
      <c r="D1166" s="22" t="s">
        <v>31</v>
      </c>
      <c r="E1166" s="22" t="s">
        <v>7326</v>
      </c>
      <c r="F1166" s="22" t="n">
        <v>12767395</v>
      </c>
      <c r="G1166" s="30" t="n">
        <v>46245</v>
      </c>
      <c r="H1166" s="22" t="n">
        <v>622603</v>
      </c>
      <c r="I1166" s="22" t="s">
        <v>8386</v>
      </c>
      <c r="J1166" s="31" t="n">
        <v>10.2</v>
      </c>
      <c r="K1166" s="26" t="n">
        <v>238.44</v>
      </c>
      <c r="L1166" s="26" t="n">
        <v>41.48</v>
      </c>
      <c r="M1166" s="22" t="s">
        <v>3987</v>
      </c>
      <c r="N1166" s="22" t="n">
        <f aca="false">MATCH(M1166,'Tabela Passaro'!$A$2:$A$1795,0)</f>
        <v>939</v>
      </c>
      <c r="O1166" s="22" t="str">
        <f aca="false">INDEX('Tabela Passaro'!$C$2:$C$1795,$N1166)</f>
        <v>CAMPINA GRANDE</v>
      </c>
      <c r="P1166" s="22" t="str">
        <f aca="false">INDEX('Tabela Passaro'!$B$2:$B$1795,$N1166)</f>
        <v>PB</v>
      </c>
      <c r="Q1166" s="22" t="n">
        <f aca="false">INDEX('Tabela Passaro'!$F$2:$F$1795,$N1166)</f>
        <v>12</v>
      </c>
      <c r="R1166" s="32" t="n">
        <f aca="false">IF(J1166&lt;=10,INDEX('Tabela Passaro'!$G$2:$G$1795,$N1166),IF(J1166&lt;=30,INDEX('Tabela Passaro'!$H$2:$H$1795,$N1166),IF(J1166&lt;=50,INDEX('Tabela Passaro'!$I$2:$I$1795,$N1166),IF(J1166&lt;=70,INDEX('Tabela Passaro'!$J$2:$J$1795,$N1166),IF(J1166&lt;=100,INDEX('Tabela Passaro'!$K$2:$K$1795,$N1166),INDEX('Tabela Passaro'!$K$2:$K$1795,$N1166)+(J1166-100)*INDEX('Tabela Passaro'!$L$2:$L$1795,$N1166))))))</f>
        <v>88.38</v>
      </c>
      <c r="S1166" s="32" t="n">
        <f aca="false">K1166*INDEX('Tabela Passaro'!$M$2:$M$1795,$N1166)</f>
        <v>1.1922</v>
      </c>
      <c r="T1166" s="32" t="n">
        <f aca="false">K1166*INDEX('Tabela Passaro'!$N$2:$N$1795,$N1166)</f>
        <v>0.47688</v>
      </c>
      <c r="U1166" s="32" t="n">
        <f aca="false">INDEX('Tabela Passaro'!$O$2:$O$1795,$N1166)</f>
        <v>5</v>
      </c>
      <c r="V1166" s="32" t="n">
        <f aca="false">ROUNDUP(J1166/INDEX('Tabela Passaro'!$Q$2:$Q$1795,$N1166),0)*INDEX('Tabela Passaro'!$P$2:$P$1795,$N1166)</f>
        <v>5</v>
      </c>
      <c r="W1166" s="32" t="n">
        <f aca="false">INDEX('Tabela Passaro'!$R$2:$R$1795,$N1166)</f>
        <v>30</v>
      </c>
      <c r="X1166" s="32" t="n">
        <f aca="false">ROUNDUP(J1166/INDEX('Tabela Passaro'!$T$2:$T$1795,$N1166),0)*INDEX('Tabela Passaro'!$S$2:$S$1795,$N1166)</f>
        <v>0</v>
      </c>
      <c r="Y1166" s="32" t="n">
        <f aca="false">INDEX('Tabela Passaro'!$U$2:$U$1795,$N1166)</f>
        <v>0</v>
      </c>
      <c r="Z1166" s="32" t="n">
        <f aca="false">INDEX('Tabela Passaro'!$V$2:$V$1795,$N1166)</f>
        <v>0</v>
      </c>
      <c r="AA1166" s="32" t="n">
        <f aca="false">SUM(R1166:Z1166)</f>
        <v>130.04908</v>
      </c>
      <c r="AB1166" s="33" t="n">
        <f aca="false">INDEX(Premissas!$B$5:$B$13,MATCH(A1166,Premissas!$A$5:$A$13,0))</f>
        <v>0.07</v>
      </c>
      <c r="AC1166" s="32" t="n">
        <f aca="false">AA1166/(1-AB1166)-AA1166</f>
        <v>9.78864043010753</v>
      </c>
      <c r="AD1166" s="32" t="n">
        <f aca="false">ROUND(AA1166+AC1166,2)</f>
        <v>139.84</v>
      </c>
      <c r="AE1166" s="32" t="n">
        <f aca="false">AD1166-L1166</f>
        <v>98.36</v>
      </c>
      <c r="AF1166" s="34" t="n">
        <f aca="false">IF(L1166=0,0,AE1166/L1166)</f>
        <v>2.37126325940212</v>
      </c>
      <c r="AG1166" s="22" t="str">
        <f aca="false">IF(AD1166&lt;L1166,"PASSARO","ATUAL")</f>
        <v>ATUAL</v>
      </c>
      <c r="AH1166" s="22" t="str">
        <f aca="false">IF(P1166&lt;&gt;A1166,"Faixa cadastrada como "&amp;P1166&amp;" na tabela; preço aplicado pela UF do CEP","")</f>
        <v/>
      </c>
      <c r="AI1166" s="26" t="n">
        <v>150.38</v>
      </c>
      <c r="AJ1166" s="22" t="str">
        <f aca="false">INDEX('Tabela Passaro'!$X$2:$X$1795,$N1166)</f>
        <v>INTERIOR 1</v>
      </c>
    </row>
    <row r="1167" customFormat="false" ht="15" hidden="false" customHeight="false" outlineLevel="0" collapsed="false">
      <c r="A1167" s="22" t="s">
        <v>19</v>
      </c>
      <c r="B1167" s="22" t="n">
        <v>3</v>
      </c>
      <c r="C1167" s="22" t="s">
        <v>135</v>
      </c>
      <c r="D1167" s="22" t="s">
        <v>30</v>
      </c>
      <c r="E1167" s="22" t="s">
        <v>7328</v>
      </c>
      <c r="F1167" s="22" t="n">
        <v>2309848</v>
      </c>
      <c r="G1167" s="30" t="n">
        <v>46244</v>
      </c>
      <c r="H1167" s="22" t="n">
        <v>132337</v>
      </c>
      <c r="I1167" s="22" t="s">
        <v>8387</v>
      </c>
      <c r="J1167" s="31" t="n">
        <v>39.76</v>
      </c>
      <c r="K1167" s="26" t="n">
        <v>759.3</v>
      </c>
      <c r="L1167" s="26" t="n">
        <v>204.35</v>
      </c>
      <c r="M1167" s="22" t="s">
        <v>4464</v>
      </c>
      <c r="N1167" s="22" t="n">
        <f aca="false">MATCH(M1167,'Tabela Passaro'!$A$2:$A$1795,0)</f>
        <v>1062</v>
      </c>
      <c r="O1167" s="22" t="str">
        <f aca="false">INDEX('Tabela Passaro'!$C$2:$C$1795,$N1167)</f>
        <v>PATOS</v>
      </c>
      <c r="P1167" s="22" t="str">
        <f aca="false">INDEX('Tabela Passaro'!$B$2:$B$1795,$N1167)</f>
        <v>PB</v>
      </c>
      <c r="Q1167" s="22" t="n">
        <f aca="false">INDEX('Tabela Passaro'!$F$2:$F$1795,$N1167)</f>
        <v>13</v>
      </c>
      <c r="R1167" s="32" t="n">
        <f aca="false">IF(J1167&lt;=10,INDEX('Tabela Passaro'!$G$2:$G$1795,$N1167),IF(J1167&lt;=30,INDEX('Tabela Passaro'!$H$2:$H$1795,$N1167),IF(J1167&lt;=50,INDEX('Tabela Passaro'!$I$2:$I$1795,$N1167),IF(J1167&lt;=70,INDEX('Tabela Passaro'!$J$2:$J$1795,$N1167),IF(J1167&lt;=100,INDEX('Tabela Passaro'!$K$2:$K$1795,$N1167),INDEX('Tabela Passaro'!$K$2:$K$1795,$N1167)+(J1167-100)*INDEX('Tabela Passaro'!$L$2:$L$1795,$N1167))))))</f>
        <v>129.6</v>
      </c>
      <c r="S1167" s="32" t="n">
        <f aca="false">K1167*INDEX('Tabela Passaro'!$M$2:$M$1795,$N1167)</f>
        <v>3.7965</v>
      </c>
      <c r="T1167" s="32" t="n">
        <f aca="false">K1167*INDEX('Tabela Passaro'!$N$2:$N$1795,$N1167)</f>
        <v>1.5186</v>
      </c>
      <c r="U1167" s="32" t="n">
        <f aca="false">INDEX('Tabela Passaro'!$O$2:$O$1795,$N1167)</f>
        <v>5</v>
      </c>
      <c r="V1167" s="32" t="n">
        <f aca="false">ROUNDUP(J1167/INDEX('Tabela Passaro'!$Q$2:$Q$1795,$N1167),0)*INDEX('Tabela Passaro'!$P$2:$P$1795,$N1167)</f>
        <v>5</v>
      </c>
      <c r="W1167" s="32" t="n">
        <f aca="false">INDEX('Tabela Passaro'!$R$2:$R$1795,$N1167)</f>
        <v>30</v>
      </c>
      <c r="X1167" s="32" t="n">
        <f aca="false">ROUNDUP(J1167/INDEX('Tabela Passaro'!$T$2:$T$1795,$N1167),0)*INDEX('Tabela Passaro'!$S$2:$S$1795,$N1167)</f>
        <v>0</v>
      </c>
      <c r="Y1167" s="32" t="n">
        <f aca="false">INDEX('Tabela Passaro'!$U$2:$U$1795,$N1167)</f>
        <v>0</v>
      </c>
      <c r="Z1167" s="32" t="n">
        <f aca="false">INDEX('Tabela Passaro'!$V$2:$V$1795,$N1167)</f>
        <v>0</v>
      </c>
      <c r="AA1167" s="32" t="n">
        <f aca="false">SUM(R1167:Z1167)</f>
        <v>174.9151</v>
      </c>
      <c r="AB1167" s="33" t="n">
        <f aca="false">INDEX(Premissas!$B$5:$B$13,MATCH(A1167,Premissas!$A$5:$A$13,0))</f>
        <v>0.07</v>
      </c>
      <c r="AC1167" s="32" t="n">
        <f aca="false">AA1167/(1-AB1167)-AA1167</f>
        <v>13.1656526881721</v>
      </c>
      <c r="AD1167" s="32" t="n">
        <f aca="false">ROUND(AA1167+AC1167,2)</f>
        <v>188.08</v>
      </c>
      <c r="AE1167" s="32" t="n">
        <f aca="false">AD1167-L1167</f>
        <v>-16.27</v>
      </c>
      <c r="AF1167" s="34" t="n">
        <f aca="false">IF(L1167=0,0,AE1167/L1167)</f>
        <v>-0.0796183019329581</v>
      </c>
      <c r="AG1167" s="22" t="str">
        <f aca="false">IF(AD1167&lt;L1167,"PASSARO","ATUAL")</f>
        <v>PASSARO</v>
      </c>
      <c r="AH1167" s="22" t="str">
        <f aca="false">IF(P1167&lt;&gt;A1167,"Faixa cadastrada como "&amp;P1167&amp;" na tabela; preço aplicado pela UF do CEP","")</f>
        <v/>
      </c>
      <c r="AI1167" s="26" t="n">
        <v>221</v>
      </c>
      <c r="AJ1167" s="22" t="str">
        <f aca="false">INDEX('Tabela Passaro'!$X$2:$X$1795,$N1167)</f>
        <v>INTERIOR 2</v>
      </c>
    </row>
    <row r="1168" customFormat="false" ht="15" hidden="false" customHeight="false" outlineLevel="0" collapsed="false">
      <c r="A1168" s="22" t="s">
        <v>19</v>
      </c>
      <c r="B1168" s="22" t="n">
        <v>3</v>
      </c>
      <c r="C1168" s="22" t="s">
        <v>135</v>
      </c>
      <c r="D1168" s="22" t="s">
        <v>30</v>
      </c>
      <c r="E1168" s="22" t="s">
        <v>20</v>
      </c>
      <c r="F1168" s="22" t="n">
        <v>838725</v>
      </c>
      <c r="G1168" s="30" t="n">
        <v>46246</v>
      </c>
      <c r="H1168" s="22" t="n">
        <v>32492</v>
      </c>
      <c r="I1168" s="22" t="s">
        <v>8388</v>
      </c>
      <c r="J1168" s="31" t="n">
        <v>117</v>
      </c>
      <c r="K1168" s="26" t="n">
        <v>2380.97</v>
      </c>
      <c r="L1168" s="26" t="n">
        <v>358.66</v>
      </c>
      <c r="M1168" s="22" t="s">
        <v>4464</v>
      </c>
      <c r="N1168" s="22" t="n">
        <f aca="false">MATCH(M1168,'Tabela Passaro'!$A$2:$A$1795,0)</f>
        <v>1062</v>
      </c>
      <c r="O1168" s="22" t="str">
        <f aca="false">INDEX('Tabela Passaro'!$C$2:$C$1795,$N1168)</f>
        <v>PATOS</v>
      </c>
      <c r="P1168" s="22" t="str">
        <f aca="false">INDEX('Tabela Passaro'!$B$2:$B$1795,$N1168)</f>
        <v>PB</v>
      </c>
      <c r="Q1168" s="22" t="n">
        <f aca="false">INDEX('Tabela Passaro'!$F$2:$F$1795,$N1168)</f>
        <v>13</v>
      </c>
      <c r="R1168" s="32" t="n">
        <f aca="false">IF(J1168&lt;=10,INDEX('Tabela Passaro'!$G$2:$G$1795,$N1168),IF(J1168&lt;=30,INDEX('Tabela Passaro'!$H$2:$H$1795,$N1168),IF(J1168&lt;=50,INDEX('Tabela Passaro'!$I$2:$I$1795,$N1168),IF(J1168&lt;=70,INDEX('Tabela Passaro'!$J$2:$J$1795,$N1168),IF(J1168&lt;=100,INDEX('Tabela Passaro'!$K$2:$K$1795,$N1168),INDEX('Tabela Passaro'!$K$2:$K$1795,$N1168)+(J1168-100)*INDEX('Tabela Passaro'!$L$2:$L$1795,$N1168))))))</f>
        <v>189.66</v>
      </c>
      <c r="S1168" s="32" t="n">
        <f aca="false">K1168*INDEX('Tabela Passaro'!$M$2:$M$1795,$N1168)</f>
        <v>11.90485</v>
      </c>
      <c r="T1168" s="32" t="n">
        <f aca="false">K1168*INDEX('Tabela Passaro'!$N$2:$N$1795,$N1168)</f>
        <v>4.76194</v>
      </c>
      <c r="U1168" s="32" t="n">
        <f aca="false">INDEX('Tabela Passaro'!$O$2:$O$1795,$N1168)</f>
        <v>5</v>
      </c>
      <c r="V1168" s="32" t="n">
        <f aca="false">ROUNDUP(J1168/INDEX('Tabela Passaro'!$Q$2:$Q$1795,$N1168),0)*INDEX('Tabela Passaro'!$P$2:$P$1795,$N1168)</f>
        <v>10</v>
      </c>
      <c r="W1168" s="32" t="n">
        <f aca="false">INDEX('Tabela Passaro'!$R$2:$R$1795,$N1168)</f>
        <v>30</v>
      </c>
      <c r="X1168" s="32" t="n">
        <f aca="false">ROUNDUP(J1168/INDEX('Tabela Passaro'!$T$2:$T$1795,$N1168),0)*INDEX('Tabela Passaro'!$S$2:$S$1795,$N1168)</f>
        <v>0</v>
      </c>
      <c r="Y1168" s="32" t="n">
        <f aca="false">INDEX('Tabela Passaro'!$U$2:$U$1795,$N1168)</f>
        <v>0</v>
      </c>
      <c r="Z1168" s="32" t="n">
        <f aca="false">INDEX('Tabela Passaro'!$V$2:$V$1795,$N1168)</f>
        <v>0</v>
      </c>
      <c r="AA1168" s="32" t="n">
        <f aca="false">SUM(R1168:Z1168)</f>
        <v>251.32679</v>
      </c>
      <c r="AB1168" s="33" t="n">
        <f aca="false">INDEX(Premissas!$B$5:$B$13,MATCH(A1168,Premissas!$A$5:$A$13,0))</f>
        <v>0.07</v>
      </c>
      <c r="AC1168" s="32" t="n">
        <f aca="false">AA1168/(1-AB1168)-AA1168</f>
        <v>18.9170702150538</v>
      </c>
      <c r="AD1168" s="32" t="n">
        <f aca="false">ROUND(AA1168+AC1168,2)</f>
        <v>270.24</v>
      </c>
      <c r="AE1168" s="32" t="n">
        <f aca="false">AD1168-L1168</f>
        <v>-88.42</v>
      </c>
      <c r="AF1168" s="34" t="n">
        <f aca="false">IF(L1168=0,0,AE1168/L1168)</f>
        <v>-0.24652874588747</v>
      </c>
      <c r="AG1168" s="22" t="str">
        <f aca="false">IF(AD1168&lt;L1168,"PASSARO","ATUAL")</f>
        <v>PASSARO</v>
      </c>
      <c r="AH1168" s="22" t="str">
        <f aca="false">IF(P1168&lt;&gt;A1168,"Faixa cadastrada como "&amp;P1168&amp;" na tabela; preço aplicado pela UF do CEP","")</f>
        <v/>
      </c>
      <c r="AI1168" s="26" t="n">
        <v>353.05</v>
      </c>
      <c r="AJ1168" s="22" t="str">
        <f aca="false">INDEX('Tabela Passaro'!$X$2:$X$1795,$N1168)</f>
        <v>INTERIOR 2</v>
      </c>
    </row>
    <row r="1169" customFormat="false" ht="15" hidden="false" customHeight="false" outlineLevel="0" collapsed="false">
      <c r="A1169" s="22" t="s">
        <v>19</v>
      </c>
      <c r="B1169" s="22" t="n">
        <v>3</v>
      </c>
      <c r="C1169" s="22" t="s">
        <v>135</v>
      </c>
      <c r="D1169" s="22" t="s">
        <v>30</v>
      </c>
      <c r="E1169" s="22" t="s">
        <v>7328</v>
      </c>
      <c r="F1169" s="22" t="n">
        <v>2315791</v>
      </c>
      <c r="G1169" s="30" t="n">
        <v>46258</v>
      </c>
      <c r="H1169" s="22" t="n">
        <v>135327</v>
      </c>
      <c r="I1169" s="22" t="s">
        <v>8389</v>
      </c>
      <c r="J1169" s="31" t="n">
        <v>27.6</v>
      </c>
      <c r="K1169" s="26" t="n">
        <v>595.32</v>
      </c>
      <c r="L1169" s="26" t="n">
        <v>148.2</v>
      </c>
      <c r="M1169" s="22" t="s">
        <v>4464</v>
      </c>
      <c r="N1169" s="22" t="n">
        <f aca="false">MATCH(M1169,'Tabela Passaro'!$A$2:$A$1795,0)</f>
        <v>1062</v>
      </c>
      <c r="O1169" s="22" t="str">
        <f aca="false">INDEX('Tabela Passaro'!$C$2:$C$1795,$N1169)</f>
        <v>PATOS</v>
      </c>
      <c r="P1169" s="22" t="str">
        <f aca="false">INDEX('Tabela Passaro'!$B$2:$B$1795,$N1169)</f>
        <v>PB</v>
      </c>
      <c r="Q1169" s="22" t="n">
        <f aca="false">INDEX('Tabela Passaro'!$F$2:$F$1795,$N1169)</f>
        <v>13</v>
      </c>
      <c r="R1169" s="32" t="n">
        <f aca="false">IF(J1169&lt;=10,INDEX('Tabela Passaro'!$G$2:$G$1795,$N1169),IF(J1169&lt;=30,INDEX('Tabela Passaro'!$H$2:$H$1795,$N1169),IF(J1169&lt;=50,INDEX('Tabela Passaro'!$I$2:$I$1795,$N1169),IF(J1169&lt;=70,INDEX('Tabela Passaro'!$J$2:$J$1795,$N1169),IF(J1169&lt;=100,INDEX('Tabela Passaro'!$K$2:$K$1795,$N1169),INDEX('Tabela Passaro'!$K$2:$K$1795,$N1169)+(J1169-100)*INDEX('Tabela Passaro'!$L$2:$L$1795,$N1169))))))</f>
        <v>109.56</v>
      </c>
      <c r="S1169" s="32" t="n">
        <f aca="false">K1169*INDEX('Tabela Passaro'!$M$2:$M$1795,$N1169)</f>
        <v>2.9766</v>
      </c>
      <c r="T1169" s="32" t="n">
        <f aca="false">K1169*INDEX('Tabela Passaro'!$N$2:$N$1795,$N1169)</f>
        <v>1.19064</v>
      </c>
      <c r="U1169" s="32" t="n">
        <f aca="false">INDEX('Tabela Passaro'!$O$2:$O$1795,$N1169)</f>
        <v>5</v>
      </c>
      <c r="V1169" s="32" t="n">
        <f aca="false">ROUNDUP(J1169/INDEX('Tabela Passaro'!$Q$2:$Q$1795,$N1169),0)*INDEX('Tabela Passaro'!$P$2:$P$1795,$N1169)</f>
        <v>5</v>
      </c>
      <c r="W1169" s="32" t="n">
        <f aca="false">INDEX('Tabela Passaro'!$R$2:$R$1795,$N1169)</f>
        <v>30</v>
      </c>
      <c r="X1169" s="32" t="n">
        <f aca="false">ROUNDUP(J1169/INDEX('Tabela Passaro'!$T$2:$T$1795,$N1169),0)*INDEX('Tabela Passaro'!$S$2:$S$1795,$N1169)</f>
        <v>0</v>
      </c>
      <c r="Y1169" s="32" t="n">
        <f aca="false">INDEX('Tabela Passaro'!$U$2:$U$1795,$N1169)</f>
        <v>0</v>
      </c>
      <c r="Z1169" s="32" t="n">
        <f aca="false">INDEX('Tabela Passaro'!$V$2:$V$1795,$N1169)</f>
        <v>0</v>
      </c>
      <c r="AA1169" s="32" t="n">
        <f aca="false">SUM(R1169:Z1169)</f>
        <v>153.72724</v>
      </c>
      <c r="AB1169" s="33" t="n">
        <f aca="false">INDEX(Premissas!$B$5:$B$13,MATCH(A1169,Premissas!$A$5:$A$13,0))</f>
        <v>0.07</v>
      </c>
      <c r="AC1169" s="32" t="n">
        <f aca="false">AA1169/(1-AB1169)-AA1169</f>
        <v>11.5708675268817</v>
      </c>
      <c r="AD1169" s="32" t="n">
        <f aca="false">ROUND(AA1169+AC1169,2)</f>
        <v>165.3</v>
      </c>
      <c r="AE1169" s="32" t="n">
        <f aca="false">AD1169-L1169</f>
        <v>17.1</v>
      </c>
      <c r="AF1169" s="34" t="n">
        <f aca="false">IF(L1169=0,0,AE1169/L1169)</f>
        <v>0.115384615384616</v>
      </c>
      <c r="AG1169" s="22" t="str">
        <f aca="false">IF(AD1169&lt;L1169,"PASSARO","ATUAL")</f>
        <v>ATUAL</v>
      </c>
      <c r="AH1169" s="22" t="str">
        <f aca="false">IF(P1169&lt;&gt;A1169,"Faixa cadastrada como "&amp;P1169&amp;" na tabela; preço aplicado pela UF do CEP","")</f>
        <v/>
      </c>
      <c r="AI1169" s="26" t="n">
        <v>188.56</v>
      </c>
      <c r="AJ1169" s="22" t="str">
        <f aca="false">INDEX('Tabela Passaro'!$X$2:$X$1795,$N1169)</f>
        <v>INTERIOR 2</v>
      </c>
    </row>
    <row r="1170" customFormat="false" ht="15" hidden="false" customHeight="false" outlineLevel="0" collapsed="false">
      <c r="A1170" s="22" t="s">
        <v>19</v>
      </c>
      <c r="B1170" s="22" t="n">
        <v>3</v>
      </c>
      <c r="C1170" s="22" t="s">
        <v>135</v>
      </c>
      <c r="D1170" s="22" t="s">
        <v>30</v>
      </c>
      <c r="E1170" s="22" t="s">
        <v>7328</v>
      </c>
      <c r="F1170" s="22" t="n">
        <v>2315613</v>
      </c>
      <c r="G1170" s="30" t="n">
        <v>46258</v>
      </c>
      <c r="H1170" s="22" t="n">
        <v>135346</v>
      </c>
      <c r="I1170" s="22" t="s">
        <v>8390</v>
      </c>
      <c r="J1170" s="31" t="n">
        <v>64.6</v>
      </c>
      <c r="K1170" s="26" t="n">
        <v>1668</v>
      </c>
      <c r="L1170" s="26" t="n">
        <v>269.56</v>
      </c>
      <c r="M1170" s="22" t="s">
        <v>4464</v>
      </c>
      <c r="N1170" s="22" t="n">
        <f aca="false">MATCH(M1170,'Tabela Passaro'!$A$2:$A$1795,0)</f>
        <v>1062</v>
      </c>
      <c r="O1170" s="22" t="str">
        <f aca="false">INDEX('Tabela Passaro'!$C$2:$C$1795,$N1170)</f>
        <v>PATOS</v>
      </c>
      <c r="P1170" s="22" t="str">
        <f aca="false">INDEX('Tabela Passaro'!$B$2:$B$1795,$N1170)</f>
        <v>PB</v>
      </c>
      <c r="Q1170" s="22" t="n">
        <f aca="false">INDEX('Tabela Passaro'!$F$2:$F$1795,$N1170)</f>
        <v>13</v>
      </c>
      <c r="R1170" s="32" t="n">
        <f aca="false">IF(J1170&lt;=10,INDEX('Tabela Passaro'!$G$2:$G$1795,$N1170),IF(J1170&lt;=30,INDEX('Tabela Passaro'!$H$2:$H$1795,$N1170),IF(J1170&lt;=50,INDEX('Tabela Passaro'!$I$2:$I$1795,$N1170),IF(J1170&lt;=70,INDEX('Tabela Passaro'!$J$2:$J$1795,$N1170),IF(J1170&lt;=100,INDEX('Tabela Passaro'!$K$2:$K$1795,$N1170),INDEX('Tabela Passaro'!$K$2:$K$1795,$N1170)+(J1170-100)*INDEX('Tabela Passaro'!$L$2:$L$1795,$N1170))))))</f>
        <v>139.62</v>
      </c>
      <c r="S1170" s="32" t="n">
        <f aca="false">K1170*INDEX('Tabela Passaro'!$M$2:$M$1795,$N1170)</f>
        <v>8.34</v>
      </c>
      <c r="T1170" s="32" t="n">
        <f aca="false">K1170*INDEX('Tabela Passaro'!$N$2:$N$1795,$N1170)</f>
        <v>3.336</v>
      </c>
      <c r="U1170" s="32" t="n">
        <f aca="false">INDEX('Tabela Passaro'!$O$2:$O$1795,$N1170)</f>
        <v>5</v>
      </c>
      <c r="V1170" s="32" t="n">
        <f aca="false">ROUNDUP(J1170/INDEX('Tabela Passaro'!$Q$2:$Q$1795,$N1170),0)*INDEX('Tabela Passaro'!$P$2:$P$1795,$N1170)</f>
        <v>5</v>
      </c>
      <c r="W1170" s="32" t="n">
        <f aca="false">INDEX('Tabela Passaro'!$R$2:$R$1795,$N1170)</f>
        <v>30</v>
      </c>
      <c r="X1170" s="32" t="n">
        <f aca="false">ROUNDUP(J1170/INDEX('Tabela Passaro'!$T$2:$T$1795,$N1170),0)*INDEX('Tabela Passaro'!$S$2:$S$1795,$N1170)</f>
        <v>0</v>
      </c>
      <c r="Y1170" s="32" t="n">
        <f aca="false">INDEX('Tabela Passaro'!$U$2:$U$1795,$N1170)</f>
        <v>0</v>
      </c>
      <c r="Z1170" s="32" t="n">
        <f aca="false">INDEX('Tabela Passaro'!$V$2:$V$1795,$N1170)</f>
        <v>0</v>
      </c>
      <c r="AA1170" s="32" t="n">
        <f aca="false">SUM(R1170:Z1170)</f>
        <v>191.296</v>
      </c>
      <c r="AB1170" s="33" t="n">
        <f aca="false">INDEX(Premissas!$B$5:$B$13,MATCH(A1170,Premissas!$A$5:$A$13,0))</f>
        <v>0.07</v>
      </c>
      <c r="AC1170" s="32" t="n">
        <f aca="false">AA1170/(1-AB1170)-AA1170</f>
        <v>14.398623655914</v>
      </c>
      <c r="AD1170" s="32" t="n">
        <f aca="false">ROUND(AA1170+AC1170,2)</f>
        <v>205.69</v>
      </c>
      <c r="AE1170" s="32" t="n">
        <f aca="false">AD1170-L1170</f>
        <v>-63.87</v>
      </c>
      <c r="AF1170" s="34" t="n">
        <f aca="false">IF(L1170=0,0,AE1170/L1170)</f>
        <v>-0.236941682742247</v>
      </c>
      <c r="AG1170" s="22" t="str">
        <f aca="false">IF(AD1170&lt;L1170,"PASSARO","ATUAL")</f>
        <v>PASSARO</v>
      </c>
      <c r="AH1170" s="22" t="str">
        <f aca="false">IF(P1170&lt;&gt;A1170,"Faixa cadastrada como "&amp;P1170&amp;" na tabela; preço aplicado pela UF do CEP","")</f>
        <v/>
      </c>
      <c r="AI1170" s="26" t="n">
        <v>254.41</v>
      </c>
      <c r="AJ1170" s="22" t="str">
        <f aca="false">INDEX('Tabela Passaro'!$X$2:$X$1795,$N1170)</f>
        <v>INTERIOR 2</v>
      </c>
    </row>
    <row r="1171" customFormat="false" ht="15" hidden="false" customHeight="false" outlineLevel="0" collapsed="false">
      <c r="A1171" s="22" t="s">
        <v>19</v>
      </c>
      <c r="B1171" s="22" t="n">
        <v>3</v>
      </c>
      <c r="C1171" s="22" t="s">
        <v>135</v>
      </c>
      <c r="D1171" s="22" t="s">
        <v>30</v>
      </c>
      <c r="E1171" s="22" t="s">
        <v>20</v>
      </c>
      <c r="F1171" s="22" t="n">
        <v>840445</v>
      </c>
      <c r="G1171" s="30" t="n">
        <v>46261</v>
      </c>
      <c r="H1171" s="22" t="n">
        <v>32743</v>
      </c>
      <c r="I1171" s="22" t="s">
        <v>8391</v>
      </c>
      <c r="J1171" s="31" t="n">
        <v>19.4</v>
      </c>
      <c r="K1171" s="26" t="n">
        <v>510.91</v>
      </c>
      <c r="L1171" s="26" t="n">
        <v>135.27</v>
      </c>
      <c r="M1171" s="22" t="s">
        <v>4464</v>
      </c>
      <c r="N1171" s="22" t="n">
        <f aca="false">MATCH(M1171,'Tabela Passaro'!$A$2:$A$1795,0)</f>
        <v>1062</v>
      </c>
      <c r="O1171" s="22" t="str">
        <f aca="false">INDEX('Tabela Passaro'!$C$2:$C$1795,$N1171)</f>
        <v>PATOS</v>
      </c>
      <c r="P1171" s="22" t="str">
        <f aca="false">INDEX('Tabela Passaro'!$B$2:$B$1795,$N1171)</f>
        <v>PB</v>
      </c>
      <c r="Q1171" s="22" t="n">
        <f aca="false">INDEX('Tabela Passaro'!$F$2:$F$1795,$N1171)</f>
        <v>13</v>
      </c>
      <c r="R1171" s="32" t="n">
        <f aca="false">IF(J1171&lt;=10,INDEX('Tabela Passaro'!$G$2:$G$1795,$N1171),IF(J1171&lt;=30,INDEX('Tabela Passaro'!$H$2:$H$1795,$N1171),IF(J1171&lt;=50,INDEX('Tabela Passaro'!$I$2:$I$1795,$N1171),IF(J1171&lt;=70,INDEX('Tabela Passaro'!$J$2:$J$1795,$N1171),IF(J1171&lt;=100,INDEX('Tabela Passaro'!$K$2:$K$1795,$N1171),INDEX('Tabela Passaro'!$K$2:$K$1795,$N1171)+(J1171-100)*INDEX('Tabela Passaro'!$L$2:$L$1795,$N1171))))))</f>
        <v>109.56</v>
      </c>
      <c r="S1171" s="32" t="n">
        <f aca="false">K1171*INDEX('Tabela Passaro'!$M$2:$M$1795,$N1171)</f>
        <v>2.55455</v>
      </c>
      <c r="T1171" s="32" t="n">
        <f aca="false">K1171*INDEX('Tabela Passaro'!$N$2:$N$1795,$N1171)</f>
        <v>1.02182</v>
      </c>
      <c r="U1171" s="32" t="n">
        <f aca="false">INDEX('Tabela Passaro'!$O$2:$O$1795,$N1171)</f>
        <v>5</v>
      </c>
      <c r="V1171" s="32" t="n">
        <f aca="false">ROUNDUP(J1171/INDEX('Tabela Passaro'!$Q$2:$Q$1795,$N1171),0)*INDEX('Tabela Passaro'!$P$2:$P$1795,$N1171)</f>
        <v>5</v>
      </c>
      <c r="W1171" s="32" t="n">
        <f aca="false">INDEX('Tabela Passaro'!$R$2:$R$1795,$N1171)</f>
        <v>30</v>
      </c>
      <c r="X1171" s="32" t="n">
        <f aca="false">ROUNDUP(J1171/INDEX('Tabela Passaro'!$T$2:$T$1795,$N1171),0)*INDEX('Tabela Passaro'!$S$2:$S$1795,$N1171)</f>
        <v>0</v>
      </c>
      <c r="Y1171" s="32" t="n">
        <f aca="false">INDEX('Tabela Passaro'!$U$2:$U$1795,$N1171)</f>
        <v>0</v>
      </c>
      <c r="Z1171" s="32" t="n">
        <f aca="false">INDEX('Tabela Passaro'!$V$2:$V$1795,$N1171)</f>
        <v>0</v>
      </c>
      <c r="AA1171" s="32" t="n">
        <f aca="false">SUM(R1171:Z1171)</f>
        <v>153.13637</v>
      </c>
      <c r="AB1171" s="33" t="n">
        <f aca="false">INDEX(Premissas!$B$5:$B$13,MATCH(A1171,Premissas!$A$5:$A$13,0))</f>
        <v>0.07</v>
      </c>
      <c r="AC1171" s="32" t="n">
        <f aca="false">AA1171/(1-AB1171)-AA1171</f>
        <v>11.5263934408602</v>
      </c>
      <c r="AD1171" s="32" t="n">
        <f aca="false">ROUND(AA1171+AC1171,2)</f>
        <v>164.66</v>
      </c>
      <c r="AE1171" s="32" t="n">
        <f aca="false">AD1171-L1171</f>
        <v>29.39</v>
      </c>
      <c r="AF1171" s="34" t="n">
        <f aca="false">IF(L1171=0,0,AE1171/L1171)</f>
        <v>0.217269165372958</v>
      </c>
      <c r="AG1171" s="22" t="str">
        <f aca="false">IF(AD1171&lt;L1171,"PASSARO","ATUAL")</f>
        <v>ATUAL</v>
      </c>
      <c r="AH1171" s="22" t="str">
        <f aca="false">IF(P1171&lt;&gt;A1171,"Faixa cadastrada como "&amp;P1171&amp;" na tabela; preço aplicado pela UF do CEP","")</f>
        <v/>
      </c>
      <c r="AI1171" s="26" t="n">
        <v>183.87</v>
      </c>
      <c r="AJ1171" s="22" t="str">
        <f aca="false">INDEX('Tabela Passaro'!$X$2:$X$1795,$N1171)</f>
        <v>INTERIOR 2</v>
      </c>
    </row>
    <row r="1172" customFormat="false" ht="15" hidden="false" customHeight="false" outlineLevel="0" collapsed="false">
      <c r="A1172" s="22" t="s">
        <v>19</v>
      </c>
      <c r="B1172" s="22" t="n">
        <v>3</v>
      </c>
      <c r="C1172" s="22" t="s">
        <v>135</v>
      </c>
      <c r="D1172" s="22" t="s">
        <v>30</v>
      </c>
      <c r="E1172" s="22" t="s">
        <v>20</v>
      </c>
      <c r="F1172" s="22" t="n">
        <v>840448</v>
      </c>
      <c r="G1172" s="30" t="n">
        <v>46261</v>
      </c>
      <c r="H1172" s="22" t="n">
        <v>32744</v>
      </c>
      <c r="I1172" s="22" t="s">
        <v>8392</v>
      </c>
      <c r="J1172" s="31" t="n">
        <v>39.76</v>
      </c>
      <c r="K1172" s="26" t="n">
        <v>685.43</v>
      </c>
      <c r="L1172" s="26" t="n">
        <v>184.8</v>
      </c>
      <c r="M1172" s="22" t="s">
        <v>4464</v>
      </c>
      <c r="N1172" s="22" t="n">
        <f aca="false">MATCH(M1172,'Tabela Passaro'!$A$2:$A$1795,0)</f>
        <v>1062</v>
      </c>
      <c r="O1172" s="22" t="str">
        <f aca="false">INDEX('Tabela Passaro'!$C$2:$C$1795,$N1172)</f>
        <v>PATOS</v>
      </c>
      <c r="P1172" s="22" t="str">
        <f aca="false">INDEX('Tabela Passaro'!$B$2:$B$1795,$N1172)</f>
        <v>PB</v>
      </c>
      <c r="Q1172" s="22" t="n">
        <f aca="false">INDEX('Tabela Passaro'!$F$2:$F$1795,$N1172)</f>
        <v>13</v>
      </c>
      <c r="R1172" s="32" t="n">
        <f aca="false">IF(J1172&lt;=10,INDEX('Tabela Passaro'!$G$2:$G$1795,$N1172),IF(J1172&lt;=30,INDEX('Tabela Passaro'!$H$2:$H$1795,$N1172),IF(J1172&lt;=50,INDEX('Tabela Passaro'!$I$2:$I$1795,$N1172),IF(J1172&lt;=70,INDEX('Tabela Passaro'!$J$2:$J$1795,$N1172),IF(J1172&lt;=100,INDEX('Tabela Passaro'!$K$2:$K$1795,$N1172),INDEX('Tabela Passaro'!$K$2:$K$1795,$N1172)+(J1172-100)*INDEX('Tabela Passaro'!$L$2:$L$1795,$N1172))))))</f>
        <v>129.6</v>
      </c>
      <c r="S1172" s="32" t="n">
        <f aca="false">K1172*INDEX('Tabela Passaro'!$M$2:$M$1795,$N1172)</f>
        <v>3.42715</v>
      </c>
      <c r="T1172" s="32" t="n">
        <f aca="false">K1172*INDEX('Tabela Passaro'!$N$2:$N$1795,$N1172)</f>
        <v>1.37086</v>
      </c>
      <c r="U1172" s="32" t="n">
        <f aca="false">INDEX('Tabela Passaro'!$O$2:$O$1795,$N1172)</f>
        <v>5</v>
      </c>
      <c r="V1172" s="32" t="n">
        <f aca="false">ROUNDUP(J1172/INDEX('Tabela Passaro'!$Q$2:$Q$1795,$N1172),0)*INDEX('Tabela Passaro'!$P$2:$P$1795,$N1172)</f>
        <v>5</v>
      </c>
      <c r="W1172" s="32" t="n">
        <f aca="false">INDEX('Tabela Passaro'!$R$2:$R$1795,$N1172)</f>
        <v>30</v>
      </c>
      <c r="X1172" s="32" t="n">
        <f aca="false">ROUNDUP(J1172/INDEX('Tabela Passaro'!$T$2:$T$1795,$N1172),0)*INDEX('Tabela Passaro'!$S$2:$S$1795,$N1172)</f>
        <v>0</v>
      </c>
      <c r="Y1172" s="32" t="n">
        <f aca="false">INDEX('Tabela Passaro'!$U$2:$U$1795,$N1172)</f>
        <v>0</v>
      </c>
      <c r="Z1172" s="32" t="n">
        <f aca="false">INDEX('Tabela Passaro'!$V$2:$V$1795,$N1172)</f>
        <v>0</v>
      </c>
      <c r="AA1172" s="32" t="n">
        <f aca="false">SUM(R1172:Z1172)</f>
        <v>174.39801</v>
      </c>
      <c r="AB1172" s="33" t="n">
        <f aca="false">INDEX(Premissas!$B$5:$B$13,MATCH(A1172,Premissas!$A$5:$A$13,0))</f>
        <v>0.07</v>
      </c>
      <c r="AC1172" s="32" t="n">
        <f aca="false">AA1172/(1-AB1172)-AA1172</f>
        <v>13.1267319354839</v>
      </c>
      <c r="AD1172" s="32" t="n">
        <f aca="false">ROUND(AA1172+AC1172,2)</f>
        <v>187.52</v>
      </c>
      <c r="AE1172" s="32" t="n">
        <f aca="false">AD1172-L1172</f>
        <v>2.72</v>
      </c>
      <c r="AF1172" s="34" t="n">
        <f aca="false">IF(L1172=0,0,AE1172/L1172)</f>
        <v>0.0147186147186147</v>
      </c>
      <c r="AG1172" s="22" t="str">
        <f aca="false">IF(AD1172&lt;L1172,"PASSARO","ATUAL")</f>
        <v>ATUAL</v>
      </c>
      <c r="AH1172" s="22" t="str">
        <f aca="false">IF(P1172&lt;&gt;A1172,"Faixa cadastrada como "&amp;P1172&amp;" na tabela; preço aplicado pela UF do CEP","")</f>
        <v/>
      </c>
      <c r="AI1172" s="26" t="n">
        <v>220.29</v>
      </c>
      <c r="AJ1172" s="22" t="str">
        <f aca="false">INDEX('Tabela Passaro'!$X$2:$X$1795,$N1172)</f>
        <v>INTERIOR 2</v>
      </c>
    </row>
    <row r="1173" customFormat="false" ht="15" hidden="false" customHeight="false" outlineLevel="0" collapsed="false">
      <c r="A1173" s="22" t="s">
        <v>19</v>
      </c>
      <c r="B1173" s="22" t="n">
        <v>3</v>
      </c>
      <c r="C1173" s="22" t="s">
        <v>135</v>
      </c>
      <c r="D1173" s="22" t="s">
        <v>34</v>
      </c>
      <c r="E1173" s="22" t="s">
        <v>7399</v>
      </c>
      <c r="F1173" s="22" t="n">
        <v>663190</v>
      </c>
      <c r="G1173" s="30" t="n">
        <v>46246</v>
      </c>
      <c r="H1173" s="22" t="n">
        <v>6931</v>
      </c>
      <c r="I1173" s="22" t="s">
        <v>8393</v>
      </c>
      <c r="J1173" s="31" t="n">
        <v>79.26</v>
      </c>
      <c r="K1173" s="26" t="n">
        <v>1084.66</v>
      </c>
      <c r="L1173" s="26" t="n">
        <v>288.15</v>
      </c>
      <c r="M1173" s="22" t="s">
        <v>4464</v>
      </c>
      <c r="N1173" s="22" t="n">
        <f aca="false">MATCH(M1173,'Tabela Passaro'!$A$2:$A$1795,0)</f>
        <v>1062</v>
      </c>
      <c r="O1173" s="22" t="str">
        <f aca="false">INDEX('Tabela Passaro'!$C$2:$C$1795,$N1173)</f>
        <v>PATOS</v>
      </c>
      <c r="P1173" s="22" t="str">
        <f aca="false">INDEX('Tabela Passaro'!$B$2:$B$1795,$N1173)</f>
        <v>PB</v>
      </c>
      <c r="Q1173" s="22" t="n">
        <f aca="false">INDEX('Tabela Passaro'!$F$2:$F$1795,$N1173)</f>
        <v>13</v>
      </c>
      <c r="R1173" s="32" t="n">
        <f aca="false">IF(J1173&lt;=10,INDEX('Tabela Passaro'!$G$2:$G$1795,$N1173),IF(J1173&lt;=30,INDEX('Tabela Passaro'!$H$2:$H$1795,$N1173),IF(J1173&lt;=50,INDEX('Tabela Passaro'!$I$2:$I$1795,$N1173),IF(J1173&lt;=70,INDEX('Tabela Passaro'!$J$2:$J$1795,$N1173),IF(J1173&lt;=100,INDEX('Tabela Passaro'!$K$2:$K$1795,$N1173),INDEX('Tabela Passaro'!$K$2:$K$1795,$N1173)+(J1173-100)*INDEX('Tabela Passaro'!$L$2:$L$1795,$N1173))))))</f>
        <v>154.64</v>
      </c>
      <c r="S1173" s="32" t="n">
        <f aca="false">K1173*INDEX('Tabela Passaro'!$M$2:$M$1795,$N1173)</f>
        <v>5.4233</v>
      </c>
      <c r="T1173" s="32" t="n">
        <f aca="false">K1173*INDEX('Tabela Passaro'!$N$2:$N$1795,$N1173)</f>
        <v>2.16932</v>
      </c>
      <c r="U1173" s="32" t="n">
        <f aca="false">INDEX('Tabela Passaro'!$O$2:$O$1795,$N1173)</f>
        <v>5</v>
      </c>
      <c r="V1173" s="32" t="n">
        <f aca="false">ROUNDUP(J1173/INDEX('Tabela Passaro'!$Q$2:$Q$1795,$N1173),0)*INDEX('Tabela Passaro'!$P$2:$P$1795,$N1173)</f>
        <v>5</v>
      </c>
      <c r="W1173" s="32" t="n">
        <f aca="false">INDEX('Tabela Passaro'!$R$2:$R$1795,$N1173)</f>
        <v>30</v>
      </c>
      <c r="X1173" s="32" t="n">
        <f aca="false">ROUNDUP(J1173/INDEX('Tabela Passaro'!$T$2:$T$1795,$N1173),0)*INDEX('Tabela Passaro'!$S$2:$S$1795,$N1173)</f>
        <v>0</v>
      </c>
      <c r="Y1173" s="32" t="n">
        <f aca="false">INDEX('Tabela Passaro'!$U$2:$U$1795,$N1173)</f>
        <v>0</v>
      </c>
      <c r="Z1173" s="32" t="n">
        <f aca="false">INDEX('Tabela Passaro'!$V$2:$V$1795,$N1173)</f>
        <v>0</v>
      </c>
      <c r="AA1173" s="32" t="n">
        <f aca="false">SUM(R1173:Z1173)</f>
        <v>202.23262</v>
      </c>
      <c r="AB1173" s="33" t="n">
        <f aca="false">INDEX(Premissas!$B$5:$B$13,MATCH(A1173,Premissas!$A$5:$A$13,0))</f>
        <v>0.07</v>
      </c>
      <c r="AC1173" s="32" t="n">
        <f aca="false">AA1173/(1-AB1173)-AA1173</f>
        <v>15.2218101075269</v>
      </c>
      <c r="AD1173" s="32" t="n">
        <f aca="false">ROUND(AA1173+AC1173,2)</f>
        <v>217.45</v>
      </c>
      <c r="AE1173" s="32" t="n">
        <f aca="false">AD1173-L1173</f>
        <v>-70.7</v>
      </c>
      <c r="AF1173" s="34" t="n">
        <f aca="false">IF(L1173=0,0,AE1173/L1173)</f>
        <v>-0.245358320319278</v>
      </c>
      <c r="AG1173" s="22" t="str">
        <f aca="false">IF(AD1173&lt;L1173,"PASSARO","ATUAL")</f>
        <v>PASSARO</v>
      </c>
      <c r="AH1173" s="22" t="str">
        <f aca="false">IF(P1173&lt;&gt;A1173,"Faixa cadastrada como "&amp;P1173&amp;" na tabela; preço aplicado pela UF do CEP","")</f>
        <v/>
      </c>
      <c r="AI1173" s="26" t="n">
        <v>274.82</v>
      </c>
      <c r="AJ1173" s="22" t="str">
        <f aca="false">INDEX('Tabela Passaro'!$X$2:$X$1795,$N1173)</f>
        <v>INTERIOR 2</v>
      </c>
    </row>
    <row r="1174" customFormat="false" ht="15" hidden="false" customHeight="false" outlineLevel="0" collapsed="false">
      <c r="A1174" s="22" t="s">
        <v>19</v>
      </c>
      <c r="B1174" s="22" t="n">
        <v>4</v>
      </c>
      <c r="C1174" s="22" t="s">
        <v>137</v>
      </c>
      <c r="D1174" s="22" t="s">
        <v>30</v>
      </c>
      <c r="E1174" s="22" t="s">
        <v>7326</v>
      </c>
      <c r="F1174" s="22" t="n">
        <v>523653</v>
      </c>
      <c r="G1174" s="30" t="n">
        <v>46244</v>
      </c>
      <c r="H1174" s="22" t="n">
        <v>622496</v>
      </c>
      <c r="I1174" s="22" t="s">
        <v>8394</v>
      </c>
      <c r="J1174" s="31" t="n">
        <v>73.1</v>
      </c>
      <c r="K1174" s="26" t="n">
        <v>1167.96</v>
      </c>
      <c r="L1174" s="26" t="n">
        <v>310.56</v>
      </c>
      <c r="M1174" s="22" t="s">
        <v>3920</v>
      </c>
      <c r="N1174" s="22" t="n">
        <f aca="false">MATCH(M1174,'Tabela Passaro'!$A$2:$A$1795,0)</f>
        <v>921</v>
      </c>
      <c r="O1174" s="22" t="str">
        <f aca="false">INDEX('Tabela Passaro'!$C$2:$C$1795,$N1174)</f>
        <v>BAYEUX</v>
      </c>
      <c r="P1174" s="22" t="str">
        <f aca="false">INDEX('Tabela Passaro'!$B$2:$B$1795,$N1174)</f>
        <v>PB</v>
      </c>
      <c r="Q1174" s="22" t="n">
        <f aca="false">INDEX('Tabela Passaro'!$F$2:$F$1795,$N1174)</f>
        <v>9</v>
      </c>
      <c r="R1174" s="32" t="n">
        <f aca="false">IF(J1174&lt;=10,INDEX('Tabela Passaro'!$G$2:$G$1795,$N1174),IF(J1174&lt;=30,INDEX('Tabela Passaro'!$H$2:$H$1795,$N1174),IF(J1174&lt;=50,INDEX('Tabela Passaro'!$I$2:$I$1795,$N1174),IF(J1174&lt;=70,INDEX('Tabela Passaro'!$J$2:$J$1795,$N1174),IF(J1174&lt;=100,INDEX('Tabela Passaro'!$K$2:$K$1795,$N1174),INDEX('Tabela Passaro'!$K$2:$K$1795,$N1174)+(J1174-100)*INDEX('Tabela Passaro'!$L$2:$L$1795,$N1174))))))</f>
        <v>121.36</v>
      </c>
      <c r="S1174" s="32" t="n">
        <f aca="false">K1174*INDEX('Tabela Passaro'!$M$2:$M$1795,$N1174)</f>
        <v>5.8398</v>
      </c>
      <c r="T1174" s="32" t="n">
        <f aca="false">K1174*INDEX('Tabela Passaro'!$N$2:$N$1795,$N1174)</f>
        <v>2.33592</v>
      </c>
      <c r="U1174" s="32" t="n">
        <f aca="false">INDEX('Tabela Passaro'!$O$2:$O$1795,$N1174)</f>
        <v>5</v>
      </c>
      <c r="V1174" s="32" t="n">
        <f aca="false">ROUNDUP(J1174/INDEX('Tabela Passaro'!$Q$2:$Q$1795,$N1174),0)*INDEX('Tabela Passaro'!$P$2:$P$1795,$N1174)</f>
        <v>5</v>
      </c>
      <c r="W1174" s="32" t="n">
        <f aca="false">INDEX('Tabela Passaro'!$R$2:$R$1795,$N1174)</f>
        <v>30</v>
      </c>
      <c r="X1174" s="32" t="n">
        <f aca="false">ROUNDUP(J1174/INDEX('Tabela Passaro'!$T$2:$T$1795,$N1174),0)*INDEX('Tabela Passaro'!$S$2:$S$1795,$N1174)</f>
        <v>0</v>
      </c>
      <c r="Y1174" s="32" t="n">
        <f aca="false">INDEX('Tabela Passaro'!$U$2:$U$1795,$N1174)</f>
        <v>0</v>
      </c>
      <c r="Z1174" s="32" t="n">
        <f aca="false">INDEX('Tabela Passaro'!$V$2:$V$1795,$N1174)</f>
        <v>0</v>
      </c>
      <c r="AA1174" s="32" t="n">
        <f aca="false">SUM(R1174:Z1174)</f>
        <v>169.53572</v>
      </c>
      <c r="AB1174" s="33" t="n">
        <f aca="false">INDEX(Premissas!$B$5:$B$13,MATCH(A1174,Premissas!$A$5:$A$13,0))</f>
        <v>0.07</v>
      </c>
      <c r="AC1174" s="32" t="n">
        <f aca="false">AA1174/(1-AB1174)-AA1174</f>
        <v>12.7607531182796</v>
      </c>
      <c r="AD1174" s="32" t="n">
        <f aca="false">ROUND(AA1174+AC1174,2)</f>
        <v>182.3</v>
      </c>
      <c r="AE1174" s="32" t="n">
        <f aca="false">AD1174-L1174</f>
        <v>-128.26</v>
      </c>
      <c r="AF1174" s="34" t="n">
        <f aca="false">IF(L1174=0,0,AE1174/L1174)</f>
        <v>-0.412995878413189</v>
      </c>
      <c r="AG1174" s="22" t="str">
        <f aca="false">IF(AD1174&lt;L1174,"PASSARO","ATUAL")</f>
        <v>PASSARO</v>
      </c>
      <c r="AH1174" s="22" t="str">
        <f aca="false">IF(P1174&lt;&gt;A1174,"Faixa cadastrada como "&amp;P1174&amp;" na tabela; preço aplicado pela UF do CEP","")</f>
        <v/>
      </c>
      <c r="AI1174" s="26" t="n">
        <v>231.11</v>
      </c>
      <c r="AJ1174" s="22" t="str">
        <f aca="false">INDEX('Tabela Passaro'!$X$2:$X$1795,$N1174)</f>
        <v>CAPITAL</v>
      </c>
    </row>
    <row r="1175" customFormat="false" ht="15" hidden="false" customHeight="false" outlineLevel="0" collapsed="false">
      <c r="A1175" s="22" t="s">
        <v>19</v>
      </c>
      <c r="B1175" s="22" t="n">
        <v>4</v>
      </c>
      <c r="C1175" s="22" t="s">
        <v>137</v>
      </c>
      <c r="D1175" s="22" t="s">
        <v>30</v>
      </c>
      <c r="E1175" s="22" t="s">
        <v>7326</v>
      </c>
      <c r="F1175" s="22" t="n">
        <v>526122</v>
      </c>
      <c r="G1175" s="30" t="n">
        <v>46253</v>
      </c>
      <c r="H1175" s="22" t="n">
        <v>627020</v>
      </c>
      <c r="I1175" s="22" t="s">
        <v>8395</v>
      </c>
      <c r="J1175" s="31" t="n">
        <v>28.9</v>
      </c>
      <c r="K1175" s="26" t="n">
        <v>1259.4</v>
      </c>
      <c r="L1175" s="26" t="n">
        <v>144.58</v>
      </c>
      <c r="M1175" s="22" t="s">
        <v>3920</v>
      </c>
      <c r="N1175" s="22" t="n">
        <f aca="false">MATCH(M1175,'Tabela Passaro'!$A$2:$A$1795,0)</f>
        <v>921</v>
      </c>
      <c r="O1175" s="22" t="str">
        <f aca="false">INDEX('Tabela Passaro'!$C$2:$C$1795,$N1175)</f>
        <v>BAYEUX</v>
      </c>
      <c r="P1175" s="22" t="str">
        <f aca="false">INDEX('Tabela Passaro'!$B$2:$B$1795,$N1175)</f>
        <v>PB</v>
      </c>
      <c r="Q1175" s="22" t="n">
        <f aca="false">INDEX('Tabela Passaro'!$F$2:$F$1795,$N1175)</f>
        <v>9</v>
      </c>
      <c r="R1175" s="32" t="n">
        <f aca="false">IF(J1175&lt;=10,INDEX('Tabela Passaro'!$G$2:$G$1795,$N1175),IF(J1175&lt;=30,INDEX('Tabela Passaro'!$H$2:$H$1795,$N1175),IF(J1175&lt;=50,INDEX('Tabela Passaro'!$I$2:$I$1795,$N1175),IF(J1175&lt;=70,INDEX('Tabela Passaro'!$J$2:$J$1795,$N1175),IF(J1175&lt;=100,INDEX('Tabela Passaro'!$K$2:$K$1795,$N1175),INDEX('Tabela Passaro'!$K$2:$K$1795,$N1175)+(J1175-100)*INDEX('Tabela Passaro'!$L$2:$L$1795,$N1175))))))</f>
        <v>76.28</v>
      </c>
      <c r="S1175" s="32" t="n">
        <f aca="false">K1175*INDEX('Tabela Passaro'!$M$2:$M$1795,$N1175)</f>
        <v>6.297</v>
      </c>
      <c r="T1175" s="32" t="n">
        <f aca="false">K1175*INDEX('Tabela Passaro'!$N$2:$N$1795,$N1175)</f>
        <v>2.5188</v>
      </c>
      <c r="U1175" s="32" t="n">
        <f aca="false">INDEX('Tabela Passaro'!$O$2:$O$1795,$N1175)</f>
        <v>5</v>
      </c>
      <c r="V1175" s="32" t="n">
        <f aca="false">ROUNDUP(J1175/INDEX('Tabela Passaro'!$Q$2:$Q$1795,$N1175),0)*INDEX('Tabela Passaro'!$P$2:$P$1795,$N1175)</f>
        <v>5</v>
      </c>
      <c r="W1175" s="32" t="n">
        <f aca="false">INDEX('Tabela Passaro'!$R$2:$R$1795,$N1175)</f>
        <v>30</v>
      </c>
      <c r="X1175" s="32" t="n">
        <f aca="false">ROUNDUP(J1175/INDEX('Tabela Passaro'!$T$2:$T$1795,$N1175),0)*INDEX('Tabela Passaro'!$S$2:$S$1795,$N1175)</f>
        <v>0</v>
      </c>
      <c r="Y1175" s="32" t="n">
        <f aca="false">INDEX('Tabela Passaro'!$U$2:$U$1795,$N1175)</f>
        <v>0</v>
      </c>
      <c r="Z1175" s="32" t="n">
        <f aca="false">INDEX('Tabela Passaro'!$V$2:$V$1795,$N1175)</f>
        <v>0</v>
      </c>
      <c r="AA1175" s="32" t="n">
        <f aca="false">SUM(R1175:Z1175)</f>
        <v>125.0958</v>
      </c>
      <c r="AB1175" s="33" t="n">
        <f aca="false">INDEX(Premissas!$B$5:$B$13,MATCH(A1175,Premissas!$A$5:$A$13,0))</f>
        <v>0.07</v>
      </c>
      <c r="AC1175" s="32" t="n">
        <f aca="false">AA1175/(1-AB1175)-AA1175</f>
        <v>9.41581290322583</v>
      </c>
      <c r="AD1175" s="32" t="n">
        <f aca="false">ROUND(AA1175+AC1175,2)</f>
        <v>134.51</v>
      </c>
      <c r="AE1175" s="32" t="n">
        <f aca="false">AD1175-L1175</f>
        <v>-10.07</v>
      </c>
      <c r="AF1175" s="34" t="n">
        <f aca="false">IF(L1175=0,0,AE1175/L1175)</f>
        <v>-0.0696500207497581</v>
      </c>
      <c r="AG1175" s="22" t="str">
        <f aca="false">IF(AD1175&lt;L1175,"PASSARO","ATUAL")</f>
        <v>PASSARO</v>
      </c>
      <c r="AH1175" s="22" t="str">
        <f aca="false">IF(P1175&lt;&gt;A1175,"Faixa cadastrada como "&amp;P1175&amp;" na tabela; preço aplicado pela UF do CEP","")</f>
        <v/>
      </c>
      <c r="AI1175" s="26" t="n">
        <v>153.85</v>
      </c>
      <c r="AJ1175" s="22" t="str">
        <f aca="false">INDEX('Tabela Passaro'!$X$2:$X$1795,$N1175)</f>
        <v>CAPITAL</v>
      </c>
    </row>
    <row r="1176" customFormat="false" ht="15" hidden="false" customHeight="false" outlineLevel="0" collapsed="false">
      <c r="A1176" s="22" t="s">
        <v>19</v>
      </c>
      <c r="B1176" s="22" t="n">
        <v>4</v>
      </c>
      <c r="C1176" s="22" t="s">
        <v>137</v>
      </c>
      <c r="D1176" s="22" t="s">
        <v>30</v>
      </c>
      <c r="E1176" s="22" t="s">
        <v>7328</v>
      </c>
      <c r="F1176" s="22" t="n">
        <v>2315745</v>
      </c>
      <c r="G1176" s="30" t="n">
        <v>46258</v>
      </c>
      <c r="H1176" s="22" t="n">
        <v>134465</v>
      </c>
      <c r="I1176" s="22" t="s">
        <v>8396</v>
      </c>
      <c r="J1176" s="31" t="n">
        <v>29.59</v>
      </c>
      <c r="K1176" s="26" t="n">
        <v>588.46</v>
      </c>
      <c r="L1176" s="26" t="n">
        <v>128.09</v>
      </c>
      <c r="M1176" s="22" t="s">
        <v>3920</v>
      </c>
      <c r="N1176" s="22" t="n">
        <f aca="false">MATCH(M1176,'Tabela Passaro'!$A$2:$A$1795,0)</f>
        <v>921</v>
      </c>
      <c r="O1176" s="22" t="str">
        <f aca="false">INDEX('Tabela Passaro'!$C$2:$C$1795,$N1176)</f>
        <v>BAYEUX</v>
      </c>
      <c r="P1176" s="22" t="str">
        <f aca="false">INDEX('Tabela Passaro'!$B$2:$B$1795,$N1176)</f>
        <v>PB</v>
      </c>
      <c r="Q1176" s="22" t="n">
        <f aca="false">INDEX('Tabela Passaro'!$F$2:$F$1795,$N1176)</f>
        <v>9</v>
      </c>
      <c r="R1176" s="32" t="n">
        <f aca="false">IF(J1176&lt;=10,INDEX('Tabela Passaro'!$G$2:$G$1795,$N1176),IF(J1176&lt;=30,INDEX('Tabela Passaro'!$H$2:$H$1795,$N1176),IF(J1176&lt;=50,INDEX('Tabela Passaro'!$I$2:$I$1795,$N1176),IF(J1176&lt;=70,INDEX('Tabela Passaro'!$J$2:$J$1795,$N1176),IF(J1176&lt;=100,INDEX('Tabela Passaro'!$K$2:$K$1795,$N1176),INDEX('Tabela Passaro'!$K$2:$K$1795,$N1176)+(J1176-100)*INDEX('Tabela Passaro'!$L$2:$L$1795,$N1176))))))</f>
        <v>76.28</v>
      </c>
      <c r="S1176" s="32" t="n">
        <f aca="false">K1176*INDEX('Tabela Passaro'!$M$2:$M$1795,$N1176)</f>
        <v>2.9423</v>
      </c>
      <c r="T1176" s="32" t="n">
        <f aca="false">K1176*INDEX('Tabela Passaro'!$N$2:$N$1795,$N1176)</f>
        <v>1.17692</v>
      </c>
      <c r="U1176" s="32" t="n">
        <f aca="false">INDEX('Tabela Passaro'!$O$2:$O$1795,$N1176)</f>
        <v>5</v>
      </c>
      <c r="V1176" s="32" t="n">
        <f aca="false">ROUNDUP(J1176/INDEX('Tabela Passaro'!$Q$2:$Q$1795,$N1176),0)*INDEX('Tabela Passaro'!$P$2:$P$1795,$N1176)</f>
        <v>5</v>
      </c>
      <c r="W1176" s="32" t="n">
        <f aca="false">INDEX('Tabela Passaro'!$R$2:$R$1795,$N1176)</f>
        <v>30</v>
      </c>
      <c r="X1176" s="32" t="n">
        <f aca="false">ROUNDUP(J1176/INDEX('Tabela Passaro'!$T$2:$T$1795,$N1176),0)*INDEX('Tabela Passaro'!$S$2:$S$1795,$N1176)</f>
        <v>0</v>
      </c>
      <c r="Y1176" s="32" t="n">
        <f aca="false">INDEX('Tabela Passaro'!$U$2:$U$1795,$N1176)</f>
        <v>0</v>
      </c>
      <c r="Z1176" s="32" t="n">
        <f aca="false">INDEX('Tabela Passaro'!$V$2:$V$1795,$N1176)</f>
        <v>0</v>
      </c>
      <c r="AA1176" s="32" t="n">
        <f aca="false">SUM(R1176:Z1176)</f>
        <v>120.39922</v>
      </c>
      <c r="AB1176" s="33" t="n">
        <f aca="false">INDEX(Premissas!$B$5:$B$13,MATCH(A1176,Premissas!$A$5:$A$13,0))</f>
        <v>0.07</v>
      </c>
      <c r="AC1176" s="32" t="n">
        <f aca="false">AA1176/(1-AB1176)-AA1176</f>
        <v>9.06230688172043</v>
      </c>
      <c r="AD1176" s="32" t="n">
        <f aca="false">ROUND(AA1176+AC1176,2)</f>
        <v>129.46</v>
      </c>
      <c r="AE1176" s="32" t="n">
        <f aca="false">AD1176-L1176</f>
        <v>1.37</v>
      </c>
      <c r="AF1176" s="34" t="n">
        <f aca="false">IF(L1176=0,0,AE1176/L1176)</f>
        <v>0.0106956046529784</v>
      </c>
      <c r="AG1176" s="22" t="str">
        <f aca="false">IF(AD1176&lt;L1176,"PASSARO","ATUAL")</f>
        <v>ATUAL</v>
      </c>
      <c r="AH1176" s="22" t="str">
        <f aca="false">IF(P1176&lt;&gt;A1176,"Faixa cadastrada como "&amp;P1176&amp;" na tabela; preço aplicado pela UF do CEP","")</f>
        <v/>
      </c>
      <c r="AI1176" s="26" t="n">
        <v>147.85</v>
      </c>
      <c r="AJ1176" s="22" t="str">
        <f aca="false">INDEX('Tabela Passaro'!$X$2:$X$1795,$N1176)</f>
        <v>CAPITAL</v>
      </c>
    </row>
    <row r="1177" customFormat="false" ht="15" hidden="false" customHeight="false" outlineLevel="0" collapsed="false">
      <c r="A1177" s="22" t="s">
        <v>19</v>
      </c>
      <c r="B1177" s="22" t="n">
        <v>4</v>
      </c>
      <c r="C1177" s="22" t="s">
        <v>137</v>
      </c>
      <c r="D1177" s="22" t="s">
        <v>30</v>
      </c>
      <c r="E1177" s="22" t="s">
        <v>7326</v>
      </c>
      <c r="F1177" s="22" t="n">
        <v>528131</v>
      </c>
      <c r="G1177" s="30" t="n">
        <v>46262</v>
      </c>
      <c r="H1177" s="22" t="n">
        <v>629603</v>
      </c>
      <c r="I1177" s="22" t="s">
        <v>8397</v>
      </c>
      <c r="J1177" s="31" t="n">
        <v>66</v>
      </c>
      <c r="K1177" s="26" t="n">
        <v>1696.15</v>
      </c>
      <c r="L1177" s="26" t="n">
        <v>256.05</v>
      </c>
      <c r="M1177" s="22" t="s">
        <v>3920</v>
      </c>
      <c r="N1177" s="22" t="n">
        <f aca="false">MATCH(M1177,'Tabela Passaro'!$A$2:$A$1795,0)</f>
        <v>921</v>
      </c>
      <c r="O1177" s="22" t="str">
        <f aca="false">INDEX('Tabela Passaro'!$C$2:$C$1795,$N1177)</f>
        <v>BAYEUX</v>
      </c>
      <c r="P1177" s="22" t="str">
        <f aca="false">INDEX('Tabela Passaro'!$B$2:$B$1795,$N1177)</f>
        <v>PB</v>
      </c>
      <c r="Q1177" s="22" t="n">
        <f aca="false">INDEX('Tabela Passaro'!$F$2:$F$1795,$N1177)</f>
        <v>9</v>
      </c>
      <c r="R1177" s="32" t="n">
        <f aca="false">IF(J1177&lt;=10,INDEX('Tabela Passaro'!$G$2:$G$1795,$N1177),IF(J1177&lt;=30,INDEX('Tabela Passaro'!$H$2:$H$1795,$N1177),IF(J1177&lt;=50,INDEX('Tabela Passaro'!$I$2:$I$1795,$N1177),IF(J1177&lt;=70,INDEX('Tabela Passaro'!$J$2:$J$1795,$N1177),IF(J1177&lt;=100,INDEX('Tabela Passaro'!$K$2:$K$1795,$N1177),INDEX('Tabela Passaro'!$K$2:$K$1795,$N1177)+(J1177-100)*INDEX('Tabela Passaro'!$L$2:$L$1795,$N1177))))))</f>
        <v>106.33</v>
      </c>
      <c r="S1177" s="32" t="n">
        <f aca="false">K1177*INDEX('Tabela Passaro'!$M$2:$M$1795,$N1177)</f>
        <v>8.48075</v>
      </c>
      <c r="T1177" s="32" t="n">
        <f aca="false">K1177*INDEX('Tabela Passaro'!$N$2:$N$1795,$N1177)</f>
        <v>3.3923</v>
      </c>
      <c r="U1177" s="32" t="n">
        <f aca="false">INDEX('Tabela Passaro'!$O$2:$O$1795,$N1177)</f>
        <v>5</v>
      </c>
      <c r="V1177" s="32" t="n">
        <f aca="false">ROUNDUP(J1177/INDEX('Tabela Passaro'!$Q$2:$Q$1795,$N1177),0)*INDEX('Tabela Passaro'!$P$2:$P$1795,$N1177)</f>
        <v>5</v>
      </c>
      <c r="W1177" s="32" t="n">
        <f aca="false">INDEX('Tabela Passaro'!$R$2:$R$1795,$N1177)</f>
        <v>30</v>
      </c>
      <c r="X1177" s="32" t="n">
        <f aca="false">ROUNDUP(J1177/INDEX('Tabela Passaro'!$T$2:$T$1795,$N1177),0)*INDEX('Tabela Passaro'!$S$2:$S$1795,$N1177)</f>
        <v>0</v>
      </c>
      <c r="Y1177" s="32" t="n">
        <f aca="false">INDEX('Tabela Passaro'!$U$2:$U$1795,$N1177)</f>
        <v>0</v>
      </c>
      <c r="Z1177" s="32" t="n">
        <f aca="false">INDEX('Tabela Passaro'!$V$2:$V$1795,$N1177)</f>
        <v>0</v>
      </c>
      <c r="AA1177" s="32" t="n">
        <f aca="false">SUM(R1177:Z1177)</f>
        <v>158.20305</v>
      </c>
      <c r="AB1177" s="33" t="n">
        <f aca="false">INDEX(Premissas!$B$5:$B$13,MATCH(A1177,Premissas!$A$5:$A$13,0))</f>
        <v>0.07</v>
      </c>
      <c r="AC1177" s="32" t="n">
        <f aca="false">AA1177/(1-AB1177)-AA1177</f>
        <v>11.9077564516129</v>
      </c>
      <c r="AD1177" s="32" t="n">
        <f aca="false">ROUND(AA1177+AC1177,2)</f>
        <v>170.11</v>
      </c>
      <c r="AE1177" s="32" t="n">
        <f aca="false">AD1177-L1177</f>
        <v>-85.94</v>
      </c>
      <c r="AF1177" s="34" t="n">
        <f aca="false">IF(L1177=0,0,AE1177/L1177)</f>
        <v>-0.335637570786956</v>
      </c>
      <c r="AG1177" s="22" t="str">
        <f aca="false">IF(AD1177&lt;L1177,"PASSARO","ATUAL")</f>
        <v>PASSARO</v>
      </c>
      <c r="AH1177" s="22" t="str">
        <f aca="false">IF(P1177&lt;&gt;A1177,"Faixa cadastrada como "&amp;P1177&amp;" na tabela; preço aplicado pela UF do CEP","")</f>
        <v/>
      </c>
      <c r="AI1177" s="26" t="n">
        <v>213.55</v>
      </c>
      <c r="AJ1177" s="22" t="str">
        <f aca="false">INDEX('Tabela Passaro'!$X$2:$X$1795,$N1177)</f>
        <v>CAPITAL</v>
      </c>
    </row>
    <row r="1178" customFormat="false" ht="15" hidden="false" customHeight="false" outlineLevel="0" collapsed="false">
      <c r="A1178" s="22" t="s">
        <v>19</v>
      </c>
      <c r="B1178" s="22" t="n">
        <v>4</v>
      </c>
      <c r="C1178" s="22" t="s">
        <v>137</v>
      </c>
      <c r="D1178" s="22" t="s">
        <v>31</v>
      </c>
      <c r="E1178" s="22" t="s">
        <v>7326</v>
      </c>
      <c r="F1178" s="22" t="n">
        <v>12829099</v>
      </c>
      <c r="G1178" s="30" t="n">
        <v>46255</v>
      </c>
      <c r="H1178" s="22" t="n">
        <v>627805</v>
      </c>
      <c r="I1178" s="22" t="s">
        <v>8398</v>
      </c>
      <c r="J1178" s="31" t="n">
        <v>20.8</v>
      </c>
      <c r="K1178" s="26" t="n">
        <v>544.67</v>
      </c>
      <c r="L1178" s="26" t="n">
        <v>101.67</v>
      </c>
      <c r="M1178" s="22" t="s">
        <v>3920</v>
      </c>
      <c r="N1178" s="22" t="n">
        <f aca="false">MATCH(M1178,'Tabela Passaro'!$A$2:$A$1795,0)</f>
        <v>921</v>
      </c>
      <c r="O1178" s="22" t="str">
        <f aca="false">INDEX('Tabela Passaro'!$C$2:$C$1795,$N1178)</f>
        <v>BAYEUX</v>
      </c>
      <c r="P1178" s="22" t="str">
        <f aca="false">INDEX('Tabela Passaro'!$B$2:$B$1795,$N1178)</f>
        <v>PB</v>
      </c>
      <c r="Q1178" s="22" t="n">
        <f aca="false">INDEX('Tabela Passaro'!$F$2:$F$1795,$N1178)</f>
        <v>9</v>
      </c>
      <c r="R1178" s="32" t="n">
        <f aca="false">IF(J1178&lt;=10,INDEX('Tabela Passaro'!$G$2:$G$1795,$N1178),IF(J1178&lt;=30,INDEX('Tabela Passaro'!$H$2:$H$1795,$N1178),IF(J1178&lt;=50,INDEX('Tabela Passaro'!$I$2:$I$1795,$N1178),IF(J1178&lt;=70,INDEX('Tabela Passaro'!$J$2:$J$1795,$N1178),IF(J1178&lt;=100,INDEX('Tabela Passaro'!$K$2:$K$1795,$N1178),INDEX('Tabela Passaro'!$K$2:$K$1795,$N1178)+(J1178-100)*INDEX('Tabela Passaro'!$L$2:$L$1795,$N1178))))))</f>
        <v>76.28</v>
      </c>
      <c r="S1178" s="32" t="n">
        <f aca="false">K1178*INDEX('Tabela Passaro'!$M$2:$M$1795,$N1178)</f>
        <v>2.72335</v>
      </c>
      <c r="T1178" s="32" t="n">
        <f aca="false">K1178*INDEX('Tabela Passaro'!$N$2:$N$1795,$N1178)</f>
        <v>1.08934</v>
      </c>
      <c r="U1178" s="32" t="n">
        <f aca="false">INDEX('Tabela Passaro'!$O$2:$O$1795,$N1178)</f>
        <v>5</v>
      </c>
      <c r="V1178" s="32" t="n">
        <f aca="false">ROUNDUP(J1178/INDEX('Tabela Passaro'!$Q$2:$Q$1795,$N1178),0)*INDEX('Tabela Passaro'!$P$2:$P$1795,$N1178)</f>
        <v>5</v>
      </c>
      <c r="W1178" s="32" t="n">
        <f aca="false">INDEX('Tabela Passaro'!$R$2:$R$1795,$N1178)</f>
        <v>30</v>
      </c>
      <c r="X1178" s="32" t="n">
        <f aca="false">ROUNDUP(J1178/INDEX('Tabela Passaro'!$T$2:$T$1795,$N1178),0)*INDEX('Tabela Passaro'!$S$2:$S$1795,$N1178)</f>
        <v>0</v>
      </c>
      <c r="Y1178" s="32" t="n">
        <f aca="false">INDEX('Tabela Passaro'!$U$2:$U$1795,$N1178)</f>
        <v>0</v>
      </c>
      <c r="Z1178" s="32" t="n">
        <f aca="false">INDEX('Tabela Passaro'!$V$2:$V$1795,$N1178)</f>
        <v>0</v>
      </c>
      <c r="AA1178" s="32" t="n">
        <f aca="false">SUM(R1178:Z1178)</f>
        <v>120.09269</v>
      </c>
      <c r="AB1178" s="33" t="n">
        <f aca="false">INDEX(Premissas!$B$5:$B$13,MATCH(A1178,Premissas!$A$5:$A$13,0))</f>
        <v>0.07</v>
      </c>
      <c r="AC1178" s="32" t="n">
        <f aca="false">AA1178/(1-AB1178)-AA1178</f>
        <v>9.0392347311828</v>
      </c>
      <c r="AD1178" s="32" t="n">
        <f aca="false">ROUND(AA1178+AC1178,2)</f>
        <v>129.13</v>
      </c>
      <c r="AE1178" s="32" t="n">
        <f aca="false">AD1178-L1178</f>
        <v>27.46</v>
      </c>
      <c r="AF1178" s="34" t="n">
        <f aca="false">IF(L1178=0,0,AE1178/L1178)</f>
        <v>0.270089505262123</v>
      </c>
      <c r="AG1178" s="22" t="str">
        <f aca="false">IF(AD1178&lt;L1178,"PASSARO","ATUAL")</f>
        <v>ATUAL</v>
      </c>
      <c r="AH1178" s="22" t="str">
        <f aca="false">IF(P1178&lt;&gt;A1178,"Faixa cadastrada como "&amp;P1178&amp;" na tabela; preço aplicado pela UF do CEP","")</f>
        <v/>
      </c>
      <c r="AI1178" s="26" t="n">
        <v>143.07</v>
      </c>
      <c r="AJ1178" s="22" t="str">
        <f aca="false">INDEX('Tabela Passaro'!$X$2:$X$1795,$N1178)</f>
        <v>CAPITAL</v>
      </c>
    </row>
    <row r="1179" customFormat="false" ht="15" hidden="false" customHeight="false" outlineLevel="0" collapsed="false">
      <c r="A1179" s="22" t="s">
        <v>19</v>
      </c>
      <c r="B1179" s="22" t="n">
        <v>5</v>
      </c>
      <c r="C1179" s="22" t="s">
        <v>139</v>
      </c>
      <c r="D1179" s="22" t="s">
        <v>30</v>
      </c>
      <c r="E1179" s="22" t="s">
        <v>20</v>
      </c>
      <c r="F1179" s="22" t="n">
        <v>837684</v>
      </c>
      <c r="G1179" s="30" t="n">
        <v>46237</v>
      </c>
      <c r="H1179" s="22" t="n">
        <v>32361</v>
      </c>
      <c r="I1179" s="22" t="s">
        <v>8399</v>
      </c>
      <c r="J1179" s="31" t="n">
        <v>39</v>
      </c>
      <c r="K1179" s="26" t="n">
        <v>799</v>
      </c>
      <c r="L1179" s="26" t="n">
        <v>147.47</v>
      </c>
      <c r="M1179" s="22" t="s">
        <v>3177</v>
      </c>
      <c r="N1179" s="22" t="n">
        <f aca="false">MATCH(M1179,'Tabela Passaro'!$A$2:$A$1795,0)</f>
        <v>733</v>
      </c>
      <c r="O1179" s="22" t="str">
        <f aca="false">INDEX('Tabela Passaro'!$C$2:$C$1795,$N1179)</f>
        <v>SANTA RITA</v>
      </c>
      <c r="P1179" s="22" t="str">
        <f aca="false">INDEX('Tabela Passaro'!$B$2:$B$1795,$N1179)</f>
        <v>MA</v>
      </c>
      <c r="Q1179" s="22" t="n">
        <f aca="false">INDEX('Tabela Passaro'!$F$2:$F$1795,$N1179)</f>
        <v>13</v>
      </c>
      <c r="R1179" s="32" t="n">
        <f aca="false">IF(J1179&lt;=10,INDEX('Tabela Passaro'!$G$2:$G$1795,$N1179),IF(J1179&lt;=30,INDEX('Tabela Passaro'!$H$2:$H$1795,$N1179),IF(J1179&lt;=50,INDEX('Tabela Passaro'!$I$2:$I$1795,$N1179),IF(J1179&lt;=70,INDEX('Tabela Passaro'!$J$2:$J$1795,$N1179),IF(J1179&lt;=100,INDEX('Tabela Passaro'!$K$2:$K$1795,$N1179),INDEX('Tabela Passaro'!$K$2:$K$1795,$N1179)+(J1179-100)*INDEX('Tabela Passaro'!$L$2:$L$1795,$N1179))))))</f>
        <v>108.41</v>
      </c>
      <c r="S1179" s="32" t="n">
        <f aca="false">K1179*INDEX('Tabela Passaro'!$M$2:$M$1795,$N1179)</f>
        <v>3.995</v>
      </c>
      <c r="T1179" s="32" t="n">
        <f aca="false">K1179*INDEX('Tabela Passaro'!$N$2:$N$1795,$N1179)</f>
        <v>1.598</v>
      </c>
      <c r="U1179" s="32" t="n">
        <f aca="false">INDEX('Tabela Passaro'!$O$2:$O$1795,$N1179)</f>
        <v>5</v>
      </c>
      <c r="V1179" s="32" t="n">
        <f aca="false">ROUNDUP(J1179/INDEX('Tabela Passaro'!$Q$2:$Q$1795,$N1179),0)*INDEX('Tabela Passaro'!$P$2:$P$1795,$N1179)</f>
        <v>5</v>
      </c>
      <c r="W1179" s="32" t="n">
        <f aca="false">INDEX('Tabela Passaro'!$R$2:$R$1795,$N1179)</f>
        <v>30</v>
      </c>
      <c r="X1179" s="32" t="n">
        <f aca="false">ROUNDUP(J1179/INDEX('Tabela Passaro'!$T$2:$T$1795,$N1179),0)*INDEX('Tabela Passaro'!$S$2:$S$1795,$N1179)</f>
        <v>0</v>
      </c>
      <c r="Y1179" s="32" t="n">
        <f aca="false">INDEX('Tabela Passaro'!$U$2:$U$1795,$N1179)</f>
        <v>0</v>
      </c>
      <c r="Z1179" s="32" t="n">
        <f aca="false">INDEX('Tabela Passaro'!$V$2:$V$1795,$N1179)</f>
        <v>0</v>
      </c>
      <c r="AA1179" s="32" t="n">
        <f aca="false">SUM(R1179:Z1179)</f>
        <v>154.003</v>
      </c>
      <c r="AB1179" s="33" t="n">
        <f aca="false">INDEX(Premissas!$B$5:$B$13,MATCH(A1179,Premissas!$A$5:$A$13,0))</f>
        <v>0.07</v>
      </c>
      <c r="AC1179" s="32" t="n">
        <f aca="false">AA1179/(1-AB1179)-AA1179</f>
        <v>11.591623655914</v>
      </c>
      <c r="AD1179" s="32" t="n">
        <f aca="false">ROUND(AA1179+AC1179,2)</f>
        <v>165.59</v>
      </c>
      <c r="AE1179" s="32" t="n">
        <f aca="false">AD1179-L1179</f>
        <v>18.12</v>
      </c>
      <c r="AF1179" s="34" t="n">
        <f aca="false">IF(L1179=0,0,AE1179/L1179)</f>
        <v>0.12287244863362</v>
      </c>
      <c r="AG1179" s="22" t="str">
        <f aca="false">IF(AD1179&lt;L1179,"PASSARO","ATUAL")</f>
        <v>ATUAL</v>
      </c>
      <c r="AH1179" s="22" t="str">
        <f aca="false">IF(P1179&lt;&gt;A1179,"Faixa cadastrada como "&amp;P1179&amp;" na tabela; preço aplicado pela UF do CEP","")</f>
        <v>Faixa cadastrada como MA na tabela; preço aplicado pela UF do CEP</v>
      </c>
      <c r="AI1179" s="26" t="n">
        <v>333.23</v>
      </c>
      <c r="AJ1179" s="22" t="str">
        <f aca="false">INDEX('Tabela Passaro'!$X$2:$X$1795,$N1179)</f>
        <v>INTERIOR 1</v>
      </c>
    </row>
    <row r="1180" customFormat="false" ht="15" hidden="false" customHeight="false" outlineLevel="0" collapsed="false">
      <c r="A1180" s="22" t="s">
        <v>19</v>
      </c>
      <c r="B1180" s="22" t="n">
        <v>5</v>
      </c>
      <c r="C1180" s="22" t="s">
        <v>139</v>
      </c>
      <c r="D1180" s="22" t="s">
        <v>30</v>
      </c>
      <c r="E1180" s="22" t="s">
        <v>20</v>
      </c>
      <c r="F1180" s="22" t="n">
        <v>838163</v>
      </c>
      <c r="G1180" s="30" t="n">
        <v>46241</v>
      </c>
      <c r="H1180" s="22" t="n">
        <v>32423</v>
      </c>
      <c r="I1180" s="22" t="s">
        <v>8400</v>
      </c>
      <c r="J1180" s="31" t="n">
        <v>20.9</v>
      </c>
      <c r="K1180" s="26" t="n">
        <v>459.72</v>
      </c>
      <c r="L1180" s="26" t="n">
        <v>110.83</v>
      </c>
      <c r="M1180" s="22" t="s">
        <v>3177</v>
      </c>
      <c r="N1180" s="22" t="n">
        <f aca="false">MATCH(M1180,'Tabela Passaro'!$A$2:$A$1795,0)</f>
        <v>733</v>
      </c>
      <c r="O1180" s="22" t="str">
        <f aca="false">INDEX('Tabela Passaro'!$C$2:$C$1795,$N1180)</f>
        <v>SANTA RITA</v>
      </c>
      <c r="P1180" s="22" t="str">
        <f aca="false">INDEX('Tabela Passaro'!$B$2:$B$1795,$N1180)</f>
        <v>MA</v>
      </c>
      <c r="Q1180" s="22" t="n">
        <f aca="false">INDEX('Tabela Passaro'!$F$2:$F$1795,$N1180)</f>
        <v>13</v>
      </c>
      <c r="R1180" s="32" t="n">
        <f aca="false">IF(J1180&lt;=10,INDEX('Tabela Passaro'!$G$2:$G$1795,$N1180),IF(J1180&lt;=30,INDEX('Tabela Passaro'!$H$2:$H$1795,$N1180),IF(J1180&lt;=50,INDEX('Tabela Passaro'!$I$2:$I$1795,$N1180),IF(J1180&lt;=70,INDEX('Tabela Passaro'!$J$2:$J$1795,$N1180),IF(J1180&lt;=100,INDEX('Tabela Passaro'!$K$2:$K$1795,$N1180),INDEX('Tabela Passaro'!$K$2:$K$1795,$N1180)+(J1180-100)*INDEX('Tabela Passaro'!$L$2:$L$1795,$N1180))))))</f>
        <v>88.38</v>
      </c>
      <c r="S1180" s="32" t="n">
        <f aca="false">K1180*INDEX('Tabela Passaro'!$M$2:$M$1795,$N1180)</f>
        <v>2.2986</v>
      </c>
      <c r="T1180" s="32" t="n">
        <f aca="false">K1180*INDEX('Tabela Passaro'!$N$2:$N$1795,$N1180)</f>
        <v>0.91944</v>
      </c>
      <c r="U1180" s="32" t="n">
        <f aca="false">INDEX('Tabela Passaro'!$O$2:$O$1795,$N1180)</f>
        <v>5</v>
      </c>
      <c r="V1180" s="32" t="n">
        <f aca="false">ROUNDUP(J1180/INDEX('Tabela Passaro'!$Q$2:$Q$1795,$N1180),0)*INDEX('Tabela Passaro'!$P$2:$P$1795,$N1180)</f>
        <v>5</v>
      </c>
      <c r="W1180" s="32" t="n">
        <f aca="false">INDEX('Tabela Passaro'!$R$2:$R$1795,$N1180)</f>
        <v>30</v>
      </c>
      <c r="X1180" s="32" t="n">
        <f aca="false">ROUNDUP(J1180/INDEX('Tabela Passaro'!$T$2:$T$1795,$N1180),0)*INDEX('Tabela Passaro'!$S$2:$S$1795,$N1180)</f>
        <v>0</v>
      </c>
      <c r="Y1180" s="32" t="n">
        <f aca="false">INDEX('Tabela Passaro'!$U$2:$U$1795,$N1180)</f>
        <v>0</v>
      </c>
      <c r="Z1180" s="32" t="n">
        <f aca="false">INDEX('Tabela Passaro'!$V$2:$V$1795,$N1180)</f>
        <v>0</v>
      </c>
      <c r="AA1180" s="32" t="n">
        <f aca="false">SUM(R1180:Z1180)</f>
        <v>131.59804</v>
      </c>
      <c r="AB1180" s="33" t="n">
        <f aca="false">INDEX(Premissas!$B$5:$B$13,MATCH(A1180,Premissas!$A$5:$A$13,0))</f>
        <v>0.07</v>
      </c>
      <c r="AC1180" s="32" t="n">
        <f aca="false">AA1180/(1-AB1180)-AA1180</f>
        <v>9.90522881720432</v>
      </c>
      <c r="AD1180" s="32" t="n">
        <f aca="false">ROUND(AA1180+AC1180,2)</f>
        <v>141.5</v>
      </c>
      <c r="AE1180" s="32" t="n">
        <f aca="false">AD1180-L1180</f>
        <v>30.67</v>
      </c>
      <c r="AF1180" s="34" t="n">
        <f aca="false">IF(L1180=0,0,AE1180/L1180)</f>
        <v>0.276730127221871</v>
      </c>
      <c r="AG1180" s="22" t="str">
        <f aca="false">IF(AD1180&lt;L1180,"PASSARO","ATUAL")</f>
        <v>ATUAL</v>
      </c>
      <c r="AH1180" s="22" t="str">
        <f aca="false">IF(P1180&lt;&gt;A1180,"Faixa cadastrada como "&amp;P1180&amp;" na tabela; preço aplicado pela UF do CEP","")</f>
        <v>Faixa cadastrada como MA na tabela; preço aplicado pela UF do CEP</v>
      </c>
      <c r="AI1180" s="26" t="n">
        <v>296.19</v>
      </c>
      <c r="AJ1180" s="22" t="str">
        <f aca="false">INDEX('Tabela Passaro'!$X$2:$X$1795,$N1180)</f>
        <v>INTERIOR 1</v>
      </c>
    </row>
    <row r="1181" customFormat="false" ht="15" hidden="false" customHeight="false" outlineLevel="0" collapsed="false">
      <c r="A1181" s="22" t="s">
        <v>19</v>
      </c>
      <c r="B1181" s="22" t="n">
        <v>5</v>
      </c>
      <c r="C1181" s="22" t="s">
        <v>139</v>
      </c>
      <c r="D1181" s="22" t="s">
        <v>30</v>
      </c>
      <c r="E1181" s="22" t="s">
        <v>20</v>
      </c>
      <c r="F1181" s="22" t="n">
        <v>838415</v>
      </c>
      <c r="G1181" s="30" t="n">
        <v>46244</v>
      </c>
      <c r="H1181" s="22" t="n">
        <v>32467</v>
      </c>
      <c r="I1181" s="22" t="s">
        <v>8401</v>
      </c>
      <c r="J1181" s="31" t="n">
        <v>66.5</v>
      </c>
      <c r="K1181" s="26" t="n">
        <v>1032.99</v>
      </c>
      <c r="L1181" s="26" t="n">
        <v>181.92</v>
      </c>
      <c r="M1181" s="22" t="s">
        <v>3177</v>
      </c>
      <c r="N1181" s="22" t="n">
        <f aca="false">MATCH(M1181,'Tabela Passaro'!$A$2:$A$1795,0)</f>
        <v>733</v>
      </c>
      <c r="O1181" s="22" t="str">
        <f aca="false">INDEX('Tabela Passaro'!$C$2:$C$1795,$N1181)</f>
        <v>SANTA RITA</v>
      </c>
      <c r="P1181" s="22" t="str">
        <f aca="false">INDEX('Tabela Passaro'!$B$2:$B$1795,$N1181)</f>
        <v>MA</v>
      </c>
      <c r="Q1181" s="22" t="n">
        <f aca="false">INDEX('Tabela Passaro'!$F$2:$F$1795,$N1181)</f>
        <v>13</v>
      </c>
      <c r="R1181" s="32" t="n">
        <f aca="false">IF(J1181&lt;=10,INDEX('Tabela Passaro'!$G$2:$G$1795,$N1181),IF(J1181&lt;=30,INDEX('Tabela Passaro'!$H$2:$H$1795,$N1181),IF(J1181&lt;=50,INDEX('Tabela Passaro'!$I$2:$I$1795,$N1181),IF(J1181&lt;=70,INDEX('Tabela Passaro'!$J$2:$J$1795,$N1181),IF(J1181&lt;=100,INDEX('Tabela Passaro'!$K$2:$K$1795,$N1181),INDEX('Tabela Passaro'!$K$2:$K$1795,$N1181)+(J1181-100)*INDEX('Tabela Passaro'!$L$2:$L$1795,$N1181))))))</f>
        <v>118.43</v>
      </c>
      <c r="S1181" s="32" t="n">
        <f aca="false">K1181*INDEX('Tabela Passaro'!$M$2:$M$1795,$N1181)</f>
        <v>5.16495</v>
      </c>
      <c r="T1181" s="32" t="n">
        <f aca="false">K1181*INDEX('Tabela Passaro'!$N$2:$N$1795,$N1181)</f>
        <v>2.06598</v>
      </c>
      <c r="U1181" s="32" t="n">
        <f aca="false">INDEX('Tabela Passaro'!$O$2:$O$1795,$N1181)</f>
        <v>5</v>
      </c>
      <c r="V1181" s="32" t="n">
        <f aca="false">ROUNDUP(J1181/INDEX('Tabela Passaro'!$Q$2:$Q$1795,$N1181),0)*INDEX('Tabela Passaro'!$P$2:$P$1795,$N1181)</f>
        <v>5</v>
      </c>
      <c r="W1181" s="32" t="n">
        <f aca="false">INDEX('Tabela Passaro'!$R$2:$R$1795,$N1181)</f>
        <v>30</v>
      </c>
      <c r="X1181" s="32" t="n">
        <f aca="false">ROUNDUP(J1181/INDEX('Tabela Passaro'!$T$2:$T$1795,$N1181),0)*INDEX('Tabela Passaro'!$S$2:$S$1795,$N1181)</f>
        <v>0</v>
      </c>
      <c r="Y1181" s="32" t="n">
        <f aca="false">INDEX('Tabela Passaro'!$U$2:$U$1795,$N1181)</f>
        <v>0</v>
      </c>
      <c r="Z1181" s="32" t="n">
        <f aca="false">INDEX('Tabela Passaro'!$V$2:$V$1795,$N1181)</f>
        <v>0</v>
      </c>
      <c r="AA1181" s="32" t="n">
        <f aca="false">SUM(R1181:Z1181)</f>
        <v>165.66093</v>
      </c>
      <c r="AB1181" s="33" t="n">
        <f aca="false">INDEX(Premissas!$B$5:$B$13,MATCH(A1181,Premissas!$A$5:$A$13,0))</f>
        <v>0.07</v>
      </c>
      <c r="AC1181" s="32" t="n">
        <f aca="false">AA1181/(1-AB1181)-AA1181</f>
        <v>12.4691022580645</v>
      </c>
      <c r="AD1181" s="32" t="n">
        <f aca="false">ROUND(AA1181+AC1181,2)</f>
        <v>178.13</v>
      </c>
      <c r="AE1181" s="32" t="n">
        <f aca="false">AD1181-L1181</f>
        <v>-3.78999999999999</v>
      </c>
      <c r="AF1181" s="34" t="n">
        <f aca="false">IF(L1181=0,0,AE1181/L1181)</f>
        <v>-0.0208333333333333</v>
      </c>
      <c r="AG1181" s="22" t="str">
        <f aca="false">IF(AD1181&lt;L1181,"PASSARO","ATUAL")</f>
        <v>PASSARO</v>
      </c>
      <c r="AH1181" s="22" t="str">
        <f aca="false">IF(P1181&lt;&gt;A1181,"Faixa cadastrada como "&amp;P1181&amp;" na tabela; preço aplicado pela UF do CEP","")</f>
        <v>Faixa cadastrada como MA na tabela; preço aplicado pela UF do CEP</v>
      </c>
      <c r="AI1181" s="26" t="n">
        <v>367.84</v>
      </c>
      <c r="AJ1181" s="22" t="str">
        <f aca="false">INDEX('Tabela Passaro'!$X$2:$X$1795,$N1181)</f>
        <v>INTERIOR 1</v>
      </c>
    </row>
    <row r="1182" customFormat="false" ht="15" hidden="false" customHeight="false" outlineLevel="0" collapsed="false">
      <c r="A1182" s="22" t="s">
        <v>19</v>
      </c>
      <c r="B1182" s="22" t="n">
        <v>5</v>
      </c>
      <c r="C1182" s="22" t="s">
        <v>139</v>
      </c>
      <c r="D1182" s="22" t="s">
        <v>30</v>
      </c>
      <c r="E1182" s="22" t="s">
        <v>7328</v>
      </c>
      <c r="F1182" s="22" t="n">
        <v>2309858</v>
      </c>
      <c r="G1182" s="30" t="n">
        <v>46244</v>
      </c>
      <c r="H1182" s="22" t="n">
        <v>132347</v>
      </c>
      <c r="I1182" s="22" t="s">
        <v>8402</v>
      </c>
      <c r="J1182" s="31" t="n">
        <v>34.4</v>
      </c>
      <c r="K1182" s="26" t="n">
        <v>704.27</v>
      </c>
      <c r="L1182" s="26" t="n">
        <v>169.1</v>
      </c>
      <c r="M1182" s="22" t="s">
        <v>3177</v>
      </c>
      <c r="N1182" s="22" t="n">
        <f aca="false">MATCH(M1182,'Tabela Passaro'!$A$2:$A$1795,0)</f>
        <v>733</v>
      </c>
      <c r="O1182" s="22" t="str">
        <f aca="false">INDEX('Tabela Passaro'!$C$2:$C$1795,$N1182)</f>
        <v>SANTA RITA</v>
      </c>
      <c r="P1182" s="22" t="str">
        <f aca="false">INDEX('Tabela Passaro'!$B$2:$B$1795,$N1182)</f>
        <v>MA</v>
      </c>
      <c r="Q1182" s="22" t="n">
        <f aca="false">INDEX('Tabela Passaro'!$F$2:$F$1795,$N1182)</f>
        <v>13</v>
      </c>
      <c r="R1182" s="32" t="n">
        <f aca="false">IF(J1182&lt;=10,INDEX('Tabela Passaro'!$G$2:$G$1795,$N1182),IF(J1182&lt;=30,INDEX('Tabela Passaro'!$H$2:$H$1795,$N1182),IF(J1182&lt;=50,INDEX('Tabela Passaro'!$I$2:$I$1795,$N1182),IF(J1182&lt;=70,INDEX('Tabela Passaro'!$J$2:$J$1795,$N1182),IF(J1182&lt;=100,INDEX('Tabela Passaro'!$K$2:$K$1795,$N1182),INDEX('Tabela Passaro'!$K$2:$K$1795,$N1182)+(J1182-100)*INDEX('Tabela Passaro'!$L$2:$L$1795,$N1182))))))</f>
        <v>108.41</v>
      </c>
      <c r="S1182" s="32" t="n">
        <f aca="false">K1182*INDEX('Tabela Passaro'!$M$2:$M$1795,$N1182)</f>
        <v>3.52135</v>
      </c>
      <c r="T1182" s="32" t="n">
        <f aca="false">K1182*INDEX('Tabela Passaro'!$N$2:$N$1795,$N1182)</f>
        <v>1.40854</v>
      </c>
      <c r="U1182" s="32" t="n">
        <f aca="false">INDEX('Tabela Passaro'!$O$2:$O$1795,$N1182)</f>
        <v>5</v>
      </c>
      <c r="V1182" s="32" t="n">
        <f aca="false">ROUNDUP(J1182/INDEX('Tabela Passaro'!$Q$2:$Q$1795,$N1182),0)*INDEX('Tabela Passaro'!$P$2:$P$1795,$N1182)</f>
        <v>5</v>
      </c>
      <c r="W1182" s="32" t="n">
        <f aca="false">INDEX('Tabela Passaro'!$R$2:$R$1795,$N1182)</f>
        <v>30</v>
      </c>
      <c r="X1182" s="32" t="n">
        <f aca="false">ROUNDUP(J1182/INDEX('Tabela Passaro'!$T$2:$T$1795,$N1182),0)*INDEX('Tabela Passaro'!$S$2:$S$1795,$N1182)</f>
        <v>0</v>
      </c>
      <c r="Y1182" s="32" t="n">
        <f aca="false">INDEX('Tabela Passaro'!$U$2:$U$1795,$N1182)</f>
        <v>0</v>
      </c>
      <c r="Z1182" s="32" t="n">
        <f aca="false">INDEX('Tabela Passaro'!$V$2:$V$1795,$N1182)</f>
        <v>0</v>
      </c>
      <c r="AA1182" s="32" t="n">
        <f aca="false">SUM(R1182:Z1182)</f>
        <v>153.33989</v>
      </c>
      <c r="AB1182" s="33" t="n">
        <f aca="false">INDEX(Premissas!$B$5:$B$13,MATCH(A1182,Premissas!$A$5:$A$13,0))</f>
        <v>0.07</v>
      </c>
      <c r="AC1182" s="32" t="n">
        <f aca="false">AA1182/(1-AB1182)-AA1182</f>
        <v>11.5417121505376</v>
      </c>
      <c r="AD1182" s="32" t="n">
        <f aca="false">ROUND(AA1182+AC1182,2)</f>
        <v>164.88</v>
      </c>
      <c r="AE1182" s="32" t="n">
        <f aca="false">AD1182-L1182</f>
        <v>-4.22</v>
      </c>
      <c r="AF1182" s="34" t="n">
        <f aca="false">IF(L1182=0,0,AE1182/L1182)</f>
        <v>-0.0249556475458309</v>
      </c>
      <c r="AG1182" s="22" t="str">
        <f aca="false">IF(AD1182&lt;L1182,"PASSARO","ATUAL")</f>
        <v>PASSARO</v>
      </c>
      <c r="AH1182" s="22" t="str">
        <f aca="false">IF(P1182&lt;&gt;A1182,"Faixa cadastrada como "&amp;P1182&amp;" na tabela; preço aplicado pela UF do CEP","")</f>
        <v>Faixa cadastrada como MA na tabela; preço aplicado pela UF do CEP</v>
      </c>
      <c r="AI1182" s="26" t="n">
        <v>330.37</v>
      </c>
      <c r="AJ1182" s="22" t="str">
        <f aca="false">INDEX('Tabela Passaro'!$X$2:$X$1795,$N1182)</f>
        <v>INTERIOR 1</v>
      </c>
    </row>
    <row r="1183" customFormat="false" ht="15" hidden="false" customHeight="false" outlineLevel="0" collapsed="false">
      <c r="A1183" s="22" t="s">
        <v>19</v>
      </c>
      <c r="B1183" s="22" t="n">
        <v>5</v>
      </c>
      <c r="C1183" s="22" t="s">
        <v>139</v>
      </c>
      <c r="D1183" s="22" t="s">
        <v>30</v>
      </c>
      <c r="E1183" s="22" t="s">
        <v>20</v>
      </c>
      <c r="F1183" s="22" t="n">
        <v>839650</v>
      </c>
      <c r="G1183" s="30" t="n">
        <v>46254</v>
      </c>
      <c r="H1183" s="22" t="n">
        <v>32579</v>
      </c>
      <c r="I1183" s="22" t="s">
        <v>8403</v>
      </c>
      <c r="J1183" s="31" t="n">
        <v>66.4</v>
      </c>
      <c r="K1183" s="26" t="n">
        <v>910.95</v>
      </c>
      <c r="L1183" s="26" t="n">
        <v>180.83</v>
      </c>
      <c r="M1183" s="22" t="s">
        <v>3177</v>
      </c>
      <c r="N1183" s="22" t="n">
        <f aca="false">MATCH(M1183,'Tabela Passaro'!$A$2:$A$1795,0)</f>
        <v>733</v>
      </c>
      <c r="O1183" s="22" t="str">
        <f aca="false">INDEX('Tabela Passaro'!$C$2:$C$1795,$N1183)</f>
        <v>SANTA RITA</v>
      </c>
      <c r="P1183" s="22" t="str">
        <f aca="false">INDEX('Tabela Passaro'!$B$2:$B$1795,$N1183)</f>
        <v>MA</v>
      </c>
      <c r="Q1183" s="22" t="n">
        <f aca="false">INDEX('Tabela Passaro'!$F$2:$F$1795,$N1183)</f>
        <v>13</v>
      </c>
      <c r="R1183" s="32" t="n">
        <f aca="false">IF(J1183&lt;=10,INDEX('Tabela Passaro'!$G$2:$G$1795,$N1183),IF(J1183&lt;=30,INDEX('Tabela Passaro'!$H$2:$H$1795,$N1183),IF(J1183&lt;=50,INDEX('Tabela Passaro'!$I$2:$I$1795,$N1183),IF(J1183&lt;=70,INDEX('Tabela Passaro'!$J$2:$J$1795,$N1183),IF(J1183&lt;=100,INDEX('Tabela Passaro'!$K$2:$K$1795,$N1183),INDEX('Tabela Passaro'!$K$2:$K$1795,$N1183)+(J1183-100)*INDEX('Tabela Passaro'!$L$2:$L$1795,$N1183))))))</f>
        <v>118.43</v>
      </c>
      <c r="S1183" s="32" t="n">
        <f aca="false">K1183*INDEX('Tabela Passaro'!$M$2:$M$1795,$N1183)</f>
        <v>4.55475</v>
      </c>
      <c r="T1183" s="32" t="n">
        <f aca="false">K1183*INDEX('Tabela Passaro'!$N$2:$N$1795,$N1183)</f>
        <v>1.8219</v>
      </c>
      <c r="U1183" s="32" t="n">
        <f aca="false">INDEX('Tabela Passaro'!$O$2:$O$1795,$N1183)</f>
        <v>5</v>
      </c>
      <c r="V1183" s="32" t="n">
        <f aca="false">ROUNDUP(J1183/INDEX('Tabela Passaro'!$Q$2:$Q$1795,$N1183),0)*INDEX('Tabela Passaro'!$P$2:$P$1795,$N1183)</f>
        <v>5</v>
      </c>
      <c r="W1183" s="32" t="n">
        <f aca="false">INDEX('Tabela Passaro'!$R$2:$R$1795,$N1183)</f>
        <v>30</v>
      </c>
      <c r="X1183" s="32" t="n">
        <f aca="false">ROUNDUP(J1183/INDEX('Tabela Passaro'!$T$2:$T$1795,$N1183),0)*INDEX('Tabela Passaro'!$S$2:$S$1795,$N1183)</f>
        <v>0</v>
      </c>
      <c r="Y1183" s="32" t="n">
        <f aca="false">INDEX('Tabela Passaro'!$U$2:$U$1795,$N1183)</f>
        <v>0</v>
      </c>
      <c r="Z1183" s="32" t="n">
        <f aca="false">INDEX('Tabela Passaro'!$V$2:$V$1795,$N1183)</f>
        <v>0</v>
      </c>
      <c r="AA1183" s="32" t="n">
        <f aca="false">SUM(R1183:Z1183)</f>
        <v>164.80665</v>
      </c>
      <c r="AB1183" s="33" t="n">
        <f aca="false">INDEX(Premissas!$B$5:$B$13,MATCH(A1183,Premissas!$A$5:$A$13,0))</f>
        <v>0.07</v>
      </c>
      <c r="AC1183" s="32" t="n">
        <f aca="false">AA1183/(1-AB1183)-AA1183</f>
        <v>12.4048016129032</v>
      </c>
      <c r="AD1183" s="32" t="n">
        <f aca="false">ROUND(AA1183+AC1183,2)</f>
        <v>177.21</v>
      </c>
      <c r="AE1183" s="32" t="n">
        <f aca="false">AD1183-L1183</f>
        <v>-3.62</v>
      </c>
      <c r="AF1183" s="34" t="n">
        <f aca="false">IF(L1183=0,0,AE1183/L1183)</f>
        <v>-0.0200188021899021</v>
      </c>
      <c r="AG1183" s="22" t="str">
        <f aca="false">IF(AD1183&lt;L1183,"PASSARO","ATUAL")</f>
        <v>PASSARO</v>
      </c>
      <c r="AH1183" s="22" t="str">
        <f aca="false">IF(P1183&lt;&gt;A1183,"Faixa cadastrada como "&amp;P1183&amp;" na tabela; preço aplicado pela UF do CEP","")</f>
        <v>Faixa cadastrada como MA na tabela; preço aplicado pela UF do CEP</v>
      </c>
      <c r="AI1183" s="26" t="n">
        <v>366.65</v>
      </c>
      <c r="AJ1183" s="22" t="str">
        <f aca="false">INDEX('Tabela Passaro'!$X$2:$X$1795,$N1183)</f>
        <v>INTERIOR 1</v>
      </c>
    </row>
    <row r="1184" customFormat="false" ht="15" hidden="false" customHeight="false" outlineLevel="0" collapsed="false">
      <c r="A1184" s="22" t="s">
        <v>19</v>
      </c>
      <c r="B1184" s="22" t="n">
        <v>6</v>
      </c>
      <c r="C1184" s="22" t="s">
        <v>140</v>
      </c>
      <c r="D1184" s="22" t="s">
        <v>30</v>
      </c>
      <c r="E1184" s="22" t="s">
        <v>20</v>
      </c>
      <c r="F1184" s="22" t="n">
        <v>837690</v>
      </c>
      <c r="G1184" s="30" t="n">
        <v>46237</v>
      </c>
      <c r="H1184" s="22" t="n">
        <v>32367</v>
      </c>
      <c r="I1184" s="22" t="s">
        <v>8404</v>
      </c>
      <c r="J1184" s="31" t="n">
        <v>39</v>
      </c>
      <c r="K1184" s="26" t="n">
        <v>664.32</v>
      </c>
      <c r="L1184" s="26" t="n">
        <v>146.24</v>
      </c>
      <c r="M1184" s="22" t="s">
        <v>3923</v>
      </c>
      <c r="N1184" s="22" t="n">
        <f aca="false">MATCH(M1184,'Tabela Passaro'!$A$2:$A$1795,0)</f>
        <v>922</v>
      </c>
      <c r="O1184" s="22" t="str">
        <f aca="false">INDEX('Tabela Passaro'!$C$2:$C$1795,$N1184)</f>
        <v>CABEDELO</v>
      </c>
      <c r="P1184" s="22" t="str">
        <f aca="false">INDEX('Tabela Passaro'!$B$2:$B$1795,$N1184)</f>
        <v>PB</v>
      </c>
      <c r="Q1184" s="22" t="n">
        <f aca="false">INDEX('Tabela Passaro'!$F$2:$F$1795,$N1184)</f>
        <v>9</v>
      </c>
      <c r="R1184" s="32" t="n">
        <f aca="false">IF(J1184&lt;=10,INDEX('Tabela Passaro'!$G$2:$G$1795,$N1184),IF(J1184&lt;=30,INDEX('Tabela Passaro'!$H$2:$H$1795,$N1184),IF(J1184&lt;=50,INDEX('Tabela Passaro'!$I$2:$I$1795,$N1184),IF(J1184&lt;=70,INDEX('Tabela Passaro'!$J$2:$J$1795,$N1184),IF(J1184&lt;=100,INDEX('Tabela Passaro'!$K$2:$K$1795,$N1184),INDEX('Tabela Passaro'!$K$2:$K$1795,$N1184)+(J1184-100)*INDEX('Tabela Passaro'!$L$2:$L$1795,$N1184))))))</f>
        <v>96.32</v>
      </c>
      <c r="S1184" s="32" t="n">
        <f aca="false">K1184*INDEX('Tabela Passaro'!$M$2:$M$1795,$N1184)</f>
        <v>3.3216</v>
      </c>
      <c r="T1184" s="32" t="n">
        <f aca="false">K1184*INDEX('Tabela Passaro'!$N$2:$N$1795,$N1184)</f>
        <v>1.32864</v>
      </c>
      <c r="U1184" s="32" t="n">
        <f aca="false">INDEX('Tabela Passaro'!$O$2:$O$1795,$N1184)</f>
        <v>5</v>
      </c>
      <c r="V1184" s="32" t="n">
        <f aca="false">ROUNDUP(J1184/INDEX('Tabela Passaro'!$Q$2:$Q$1795,$N1184),0)*INDEX('Tabela Passaro'!$P$2:$P$1795,$N1184)</f>
        <v>5</v>
      </c>
      <c r="W1184" s="32" t="n">
        <f aca="false">INDEX('Tabela Passaro'!$R$2:$R$1795,$N1184)</f>
        <v>30</v>
      </c>
      <c r="X1184" s="32" t="n">
        <f aca="false">ROUNDUP(J1184/INDEX('Tabela Passaro'!$T$2:$T$1795,$N1184),0)*INDEX('Tabela Passaro'!$S$2:$S$1795,$N1184)</f>
        <v>0</v>
      </c>
      <c r="Y1184" s="32" t="n">
        <f aca="false">INDEX('Tabela Passaro'!$U$2:$U$1795,$N1184)</f>
        <v>0</v>
      </c>
      <c r="Z1184" s="32" t="n">
        <f aca="false">INDEX('Tabela Passaro'!$V$2:$V$1795,$N1184)</f>
        <v>0</v>
      </c>
      <c r="AA1184" s="32" t="n">
        <f aca="false">SUM(R1184:Z1184)</f>
        <v>140.97024</v>
      </c>
      <c r="AB1184" s="33" t="n">
        <f aca="false">INDEX(Premissas!$B$5:$B$13,MATCH(A1184,Premissas!$A$5:$A$13,0))</f>
        <v>0.07</v>
      </c>
      <c r="AC1184" s="32" t="n">
        <f aca="false">AA1184/(1-AB1184)-AA1184</f>
        <v>10.6106632258065</v>
      </c>
      <c r="AD1184" s="32" t="n">
        <f aca="false">ROUND(AA1184+AC1184,2)</f>
        <v>151.58</v>
      </c>
      <c r="AE1184" s="32" t="n">
        <f aca="false">AD1184-L1184</f>
        <v>5.34</v>
      </c>
      <c r="AF1184" s="34" t="n">
        <f aca="false">IF(L1184=0,0,AE1184/L1184)</f>
        <v>0.0365153172866521</v>
      </c>
      <c r="AG1184" s="22" t="str">
        <f aca="false">IF(AD1184&lt;L1184,"PASSARO","ATUAL")</f>
        <v>ATUAL</v>
      </c>
      <c r="AH1184" s="22" t="str">
        <f aca="false">IF(P1184&lt;&gt;A1184,"Faixa cadastrada como "&amp;P1184&amp;" na tabela; preço aplicado pela UF do CEP","")</f>
        <v/>
      </c>
      <c r="AI1184" s="26" t="n">
        <v>177.99</v>
      </c>
      <c r="AJ1184" s="22" t="str">
        <f aca="false">INDEX('Tabela Passaro'!$X$2:$X$1795,$N1184)</f>
        <v>CAPITAL</v>
      </c>
    </row>
    <row r="1185" customFormat="false" ht="15" hidden="false" customHeight="false" outlineLevel="0" collapsed="false">
      <c r="A1185" s="22" t="s">
        <v>19</v>
      </c>
      <c r="B1185" s="22" t="n">
        <v>6</v>
      </c>
      <c r="C1185" s="22" t="s">
        <v>140</v>
      </c>
      <c r="D1185" s="22" t="s">
        <v>30</v>
      </c>
      <c r="E1185" s="22" t="s">
        <v>20</v>
      </c>
      <c r="F1185" s="22" t="n">
        <v>838173</v>
      </c>
      <c r="G1185" s="30" t="n">
        <v>46241</v>
      </c>
      <c r="H1185" s="22" t="n">
        <v>32433</v>
      </c>
      <c r="I1185" s="22" t="s">
        <v>8405</v>
      </c>
      <c r="J1185" s="31" t="n">
        <v>37.5</v>
      </c>
      <c r="K1185" s="26" t="n">
        <v>665.73</v>
      </c>
      <c r="L1185" s="26" t="n">
        <v>146.25</v>
      </c>
      <c r="M1185" s="22" t="s">
        <v>3923</v>
      </c>
      <c r="N1185" s="22" t="n">
        <f aca="false">MATCH(M1185,'Tabela Passaro'!$A$2:$A$1795,0)</f>
        <v>922</v>
      </c>
      <c r="O1185" s="22" t="str">
        <f aca="false">INDEX('Tabela Passaro'!$C$2:$C$1795,$N1185)</f>
        <v>CABEDELO</v>
      </c>
      <c r="P1185" s="22" t="str">
        <f aca="false">INDEX('Tabela Passaro'!$B$2:$B$1795,$N1185)</f>
        <v>PB</v>
      </c>
      <c r="Q1185" s="22" t="n">
        <f aca="false">INDEX('Tabela Passaro'!$F$2:$F$1795,$N1185)</f>
        <v>9</v>
      </c>
      <c r="R1185" s="32" t="n">
        <f aca="false">IF(J1185&lt;=10,INDEX('Tabela Passaro'!$G$2:$G$1795,$N1185),IF(J1185&lt;=30,INDEX('Tabela Passaro'!$H$2:$H$1795,$N1185),IF(J1185&lt;=50,INDEX('Tabela Passaro'!$I$2:$I$1795,$N1185),IF(J1185&lt;=70,INDEX('Tabela Passaro'!$J$2:$J$1795,$N1185),IF(J1185&lt;=100,INDEX('Tabela Passaro'!$K$2:$K$1795,$N1185),INDEX('Tabela Passaro'!$K$2:$K$1795,$N1185)+(J1185-100)*INDEX('Tabela Passaro'!$L$2:$L$1795,$N1185))))))</f>
        <v>96.32</v>
      </c>
      <c r="S1185" s="32" t="n">
        <f aca="false">K1185*INDEX('Tabela Passaro'!$M$2:$M$1795,$N1185)</f>
        <v>3.32865</v>
      </c>
      <c r="T1185" s="32" t="n">
        <f aca="false">K1185*INDEX('Tabela Passaro'!$N$2:$N$1795,$N1185)</f>
        <v>1.33146</v>
      </c>
      <c r="U1185" s="32" t="n">
        <f aca="false">INDEX('Tabela Passaro'!$O$2:$O$1795,$N1185)</f>
        <v>5</v>
      </c>
      <c r="V1185" s="32" t="n">
        <f aca="false">ROUNDUP(J1185/INDEX('Tabela Passaro'!$Q$2:$Q$1795,$N1185),0)*INDEX('Tabela Passaro'!$P$2:$P$1795,$N1185)</f>
        <v>5</v>
      </c>
      <c r="W1185" s="32" t="n">
        <f aca="false">INDEX('Tabela Passaro'!$R$2:$R$1795,$N1185)</f>
        <v>30</v>
      </c>
      <c r="X1185" s="32" t="n">
        <f aca="false">ROUNDUP(J1185/INDEX('Tabela Passaro'!$T$2:$T$1795,$N1185),0)*INDEX('Tabela Passaro'!$S$2:$S$1795,$N1185)</f>
        <v>0</v>
      </c>
      <c r="Y1185" s="32" t="n">
        <f aca="false">INDEX('Tabela Passaro'!$U$2:$U$1795,$N1185)</f>
        <v>0</v>
      </c>
      <c r="Z1185" s="32" t="n">
        <f aca="false">INDEX('Tabela Passaro'!$V$2:$V$1795,$N1185)</f>
        <v>0</v>
      </c>
      <c r="AA1185" s="32" t="n">
        <f aca="false">SUM(R1185:Z1185)</f>
        <v>140.98011</v>
      </c>
      <c r="AB1185" s="33" t="n">
        <f aca="false">INDEX(Premissas!$B$5:$B$13,MATCH(A1185,Premissas!$A$5:$A$13,0))</f>
        <v>0.07</v>
      </c>
      <c r="AC1185" s="32" t="n">
        <f aca="false">AA1185/(1-AB1185)-AA1185</f>
        <v>10.6114061290323</v>
      </c>
      <c r="AD1185" s="32" t="n">
        <f aca="false">ROUND(AA1185+AC1185,2)</f>
        <v>151.59</v>
      </c>
      <c r="AE1185" s="32" t="n">
        <f aca="false">AD1185-L1185</f>
        <v>5.34</v>
      </c>
      <c r="AF1185" s="34" t="n">
        <f aca="false">IF(L1185=0,0,AE1185/L1185)</f>
        <v>0.0365128205128205</v>
      </c>
      <c r="AG1185" s="22" t="str">
        <f aca="false">IF(AD1185&lt;L1185,"PASSARO","ATUAL")</f>
        <v>ATUAL</v>
      </c>
      <c r="AH1185" s="22" t="str">
        <f aca="false">IF(P1185&lt;&gt;A1185,"Faixa cadastrada como "&amp;P1185&amp;" na tabela; preço aplicado pela UF do CEP","")</f>
        <v/>
      </c>
      <c r="AI1185" s="26" t="n">
        <v>177.52</v>
      </c>
      <c r="AJ1185" s="22" t="str">
        <f aca="false">INDEX('Tabela Passaro'!$X$2:$X$1795,$N1185)</f>
        <v>CAPITAL</v>
      </c>
    </row>
    <row r="1186" customFormat="false" ht="15" hidden="false" customHeight="false" outlineLevel="0" collapsed="false">
      <c r="A1186" s="22" t="s">
        <v>19</v>
      </c>
      <c r="B1186" s="22" t="n">
        <v>6</v>
      </c>
      <c r="C1186" s="22" t="s">
        <v>140</v>
      </c>
      <c r="D1186" s="22" t="s">
        <v>30</v>
      </c>
      <c r="E1186" s="22" t="s">
        <v>20</v>
      </c>
      <c r="F1186" s="22" t="n">
        <v>838399</v>
      </c>
      <c r="G1186" s="30" t="n">
        <v>46244</v>
      </c>
      <c r="H1186" s="22" t="n">
        <v>32450</v>
      </c>
      <c r="I1186" s="22" t="s">
        <v>8406</v>
      </c>
      <c r="J1186" s="31" t="n">
        <v>29.59</v>
      </c>
      <c r="K1186" s="26" t="n">
        <v>499.85</v>
      </c>
      <c r="L1186" s="26" t="n">
        <v>111.19</v>
      </c>
      <c r="M1186" s="22" t="s">
        <v>3923</v>
      </c>
      <c r="N1186" s="22" t="n">
        <f aca="false">MATCH(M1186,'Tabela Passaro'!$A$2:$A$1795,0)</f>
        <v>922</v>
      </c>
      <c r="O1186" s="22" t="str">
        <f aca="false">INDEX('Tabela Passaro'!$C$2:$C$1795,$N1186)</f>
        <v>CABEDELO</v>
      </c>
      <c r="P1186" s="22" t="str">
        <f aca="false">INDEX('Tabela Passaro'!$B$2:$B$1795,$N1186)</f>
        <v>PB</v>
      </c>
      <c r="Q1186" s="22" t="n">
        <f aca="false">INDEX('Tabela Passaro'!$F$2:$F$1795,$N1186)</f>
        <v>9</v>
      </c>
      <c r="R1186" s="32" t="n">
        <f aca="false">IF(J1186&lt;=10,INDEX('Tabela Passaro'!$G$2:$G$1795,$N1186),IF(J1186&lt;=30,INDEX('Tabela Passaro'!$H$2:$H$1795,$N1186),IF(J1186&lt;=50,INDEX('Tabela Passaro'!$I$2:$I$1795,$N1186),IF(J1186&lt;=70,INDEX('Tabela Passaro'!$J$2:$J$1795,$N1186),IF(J1186&lt;=100,INDEX('Tabela Passaro'!$K$2:$K$1795,$N1186),INDEX('Tabela Passaro'!$K$2:$K$1795,$N1186)+(J1186-100)*INDEX('Tabela Passaro'!$L$2:$L$1795,$N1186))))))</f>
        <v>76.28</v>
      </c>
      <c r="S1186" s="32" t="n">
        <f aca="false">K1186*INDEX('Tabela Passaro'!$M$2:$M$1795,$N1186)</f>
        <v>2.49925</v>
      </c>
      <c r="T1186" s="32" t="n">
        <f aca="false">K1186*INDEX('Tabela Passaro'!$N$2:$N$1795,$N1186)</f>
        <v>0.9997</v>
      </c>
      <c r="U1186" s="32" t="n">
        <f aca="false">INDEX('Tabela Passaro'!$O$2:$O$1795,$N1186)</f>
        <v>5</v>
      </c>
      <c r="V1186" s="32" t="n">
        <f aca="false">ROUNDUP(J1186/INDEX('Tabela Passaro'!$Q$2:$Q$1795,$N1186),0)*INDEX('Tabela Passaro'!$P$2:$P$1795,$N1186)</f>
        <v>5</v>
      </c>
      <c r="W1186" s="32" t="n">
        <f aca="false">INDEX('Tabela Passaro'!$R$2:$R$1795,$N1186)</f>
        <v>30</v>
      </c>
      <c r="X1186" s="32" t="n">
        <f aca="false">ROUNDUP(J1186/INDEX('Tabela Passaro'!$T$2:$T$1795,$N1186),0)*INDEX('Tabela Passaro'!$S$2:$S$1795,$N1186)</f>
        <v>0</v>
      </c>
      <c r="Y1186" s="32" t="n">
        <f aca="false">INDEX('Tabela Passaro'!$U$2:$U$1795,$N1186)</f>
        <v>0</v>
      </c>
      <c r="Z1186" s="32" t="n">
        <f aca="false">INDEX('Tabela Passaro'!$V$2:$V$1795,$N1186)</f>
        <v>0</v>
      </c>
      <c r="AA1186" s="32" t="n">
        <f aca="false">SUM(R1186:Z1186)</f>
        <v>119.77895</v>
      </c>
      <c r="AB1186" s="33" t="n">
        <f aca="false">INDEX(Premissas!$B$5:$B$13,MATCH(A1186,Premissas!$A$5:$A$13,0))</f>
        <v>0.07</v>
      </c>
      <c r="AC1186" s="32" t="n">
        <f aca="false">AA1186/(1-AB1186)-AA1186</f>
        <v>9.01561989247314</v>
      </c>
      <c r="AD1186" s="32" t="n">
        <f aca="false">ROUND(AA1186+AC1186,2)</f>
        <v>128.79</v>
      </c>
      <c r="AE1186" s="32" t="n">
        <f aca="false">AD1186-L1186</f>
        <v>17.6</v>
      </c>
      <c r="AF1186" s="34" t="n">
        <f aca="false">IF(L1186=0,0,AE1186/L1186)</f>
        <v>0.158287615792787</v>
      </c>
      <c r="AG1186" s="22" t="str">
        <f aca="false">IF(AD1186&lt;L1186,"PASSARO","ATUAL")</f>
        <v>ATUAL</v>
      </c>
      <c r="AH1186" s="22" t="str">
        <f aca="false">IF(P1186&lt;&gt;A1186,"Faixa cadastrada como "&amp;P1186&amp;" na tabela; preço aplicado pela UF do CEP","")</f>
        <v/>
      </c>
      <c r="AI1186" s="26" t="n">
        <v>146.99</v>
      </c>
      <c r="AJ1186" s="22" t="str">
        <f aca="false">INDEX('Tabela Passaro'!$X$2:$X$1795,$N1186)</f>
        <v>CAPITAL</v>
      </c>
    </row>
    <row r="1187" customFormat="false" ht="15" hidden="false" customHeight="false" outlineLevel="0" collapsed="false">
      <c r="A1187" s="22" t="s">
        <v>19</v>
      </c>
      <c r="B1187" s="22" t="n">
        <v>6</v>
      </c>
      <c r="C1187" s="22" t="s">
        <v>140</v>
      </c>
      <c r="D1187" s="22" t="s">
        <v>30</v>
      </c>
      <c r="E1187" s="22" t="s">
        <v>7326</v>
      </c>
      <c r="F1187" s="22" t="n">
        <v>525360</v>
      </c>
      <c r="G1187" s="30" t="n">
        <v>46251</v>
      </c>
      <c r="H1187" s="22" t="n">
        <v>625350</v>
      </c>
      <c r="I1187" s="22" t="s">
        <v>8407</v>
      </c>
      <c r="J1187" s="31" t="n">
        <v>45.4</v>
      </c>
      <c r="K1187" s="26" t="n">
        <v>690.79</v>
      </c>
      <c r="L1187" s="26" t="n">
        <v>189.65</v>
      </c>
      <c r="M1187" s="22" t="s">
        <v>3923</v>
      </c>
      <c r="N1187" s="22" t="n">
        <f aca="false">MATCH(M1187,'Tabela Passaro'!$A$2:$A$1795,0)</f>
        <v>922</v>
      </c>
      <c r="O1187" s="22" t="str">
        <f aca="false">INDEX('Tabela Passaro'!$C$2:$C$1795,$N1187)</f>
        <v>CABEDELO</v>
      </c>
      <c r="P1187" s="22" t="str">
        <f aca="false">INDEX('Tabela Passaro'!$B$2:$B$1795,$N1187)</f>
        <v>PB</v>
      </c>
      <c r="Q1187" s="22" t="n">
        <f aca="false">INDEX('Tabela Passaro'!$F$2:$F$1795,$N1187)</f>
        <v>9</v>
      </c>
      <c r="R1187" s="32" t="n">
        <f aca="false">IF(J1187&lt;=10,INDEX('Tabela Passaro'!$G$2:$G$1795,$N1187),IF(J1187&lt;=30,INDEX('Tabela Passaro'!$H$2:$H$1795,$N1187),IF(J1187&lt;=50,INDEX('Tabela Passaro'!$I$2:$I$1795,$N1187),IF(J1187&lt;=70,INDEX('Tabela Passaro'!$J$2:$J$1795,$N1187),IF(J1187&lt;=100,INDEX('Tabela Passaro'!$K$2:$K$1795,$N1187),INDEX('Tabela Passaro'!$K$2:$K$1795,$N1187)+(J1187-100)*INDEX('Tabela Passaro'!$L$2:$L$1795,$N1187))))))</f>
        <v>96.32</v>
      </c>
      <c r="S1187" s="32" t="n">
        <f aca="false">K1187*INDEX('Tabela Passaro'!$M$2:$M$1795,$N1187)</f>
        <v>3.45395</v>
      </c>
      <c r="T1187" s="32" t="n">
        <f aca="false">K1187*INDEX('Tabela Passaro'!$N$2:$N$1795,$N1187)</f>
        <v>1.38158</v>
      </c>
      <c r="U1187" s="32" t="n">
        <f aca="false">INDEX('Tabela Passaro'!$O$2:$O$1795,$N1187)</f>
        <v>5</v>
      </c>
      <c r="V1187" s="32" t="n">
        <f aca="false">ROUNDUP(J1187/INDEX('Tabela Passaro'!$Q$2:$Q$1795,$N1187),0)*INDEX('Tabela Passaro'!$P$2:$P$1795,$N1187)</f>
        <v>5</v>
      </c>
      <c r="W1187" s="32" t="n">
        <f aca="false">INDEX('Tabela Passaro'!$R$2:$R$1795,$N1187)</f>
        <v>30</v>
      </c>
      <c r="X1187" s="32" t="n">
        <f aca="false">ROUNDUP(J1187/INDEX('Tabela Passaro'!$T$2:$T$1795,$N1187),0)*INDEX('Tabela Passaro'!$S$2:$S$1795,$N1187)</f>
        <v>0</v>
      </c>
      <c r="Y1187" s="32" t="n">
        <f aca="false">INDEX('Tabela Passaro'!$U$2:$U$1795,$N1187)</f>
        <v>0</v>
      </c>
      <c r="Z1187" s="32" t="n">
        <f aca="false">INDEX('Tabela Passaro'!$V$2:$V$1795,$N1187)</f>
        <v>0</v>
      </c>
      <c r="AA1187" s="32" t="n">
        <f aca="false">SUM(R1187:Z1187)</f>
        <v>141.15553</v>
      </c>
      <c r="AB1187" s="33" t="n">
        <f aca="false">INDEX(Premissas!$B$5:$B$13,MATCH(A1187,Premissas!$A$5:$A$13,0))</f>
        <v>0.07</v>
      </c>
      <c r="AC1187" s="32" t="n">
        <f aca="false">AA1187/(1-AB1187)-AA1187</f>
        <v>10.6246097849462</v>
      </c>
      <c r="AD1187" s="32" t="n">
        <f aca="false">ROUND(AA1187+AC1187,2)</f>
        <v>151.78</v>
      </c>
      <c r="AE1187" s="32" t="n">
        <f aca="false">AD1187-L1187</f>
        <v>-37.87</v>
      </c>
      <c r="AF1187" s="34" t="n">
        <f aca="false">IF(L1187=0,0,AE1187/L1187)</f>
        <v>-0.199683627735302</v>
      </c>
      <c r="AG1187" s="22" t="str">
        <f aca="false">IF(AD1187&lt;L1187,"PASSARO","ATUAL")</f>
        <v>PASSARO</v>
      </c>
      <c r="AH1187" s="22" t="str">
        <f aca="false">IF(P1187&lt;&gt;A1187,"Faixa cadastrada como "&amp;P1187&amp;" na tabela; preço aplicado pela UF do CEP","")</f>
        <v/>
      </c>
      <c r="AI1187" s="26" t="n">
        <v>181.63</v>
      </c>
      <c r="AJ1187" s="22" t="str">
        <f aca="false">INDEX('Tabela Passaro'!$X$2:$X$1795,$N1187)</f>
        <v>CAPITAL</v>
      </c>
    </row>
    <row r="1188" customFormat="false" ht="15" hidden="false" customHeight="false" outlineLevel="0" collapsed="false">
      <c r="A1188" s="22" t="s">
        <v>19</v>
      </c>
      <c r="B1188" s="22" t="n">
        <v>6</v>
      </c>
      <c r="C1188" s="22" t="s">
        <v>140</v>
      </c>
      <c r="D1188" s="22" t="s">
        <v>30</v>
      </c>
      <c r="E1188" s="22" t="s">
        <v>7328</v>
      </c>
      <c r="F1188" s="22" t="n">
        <v>2315642</v>
      </c>
      <c r="G1188" s="30" t="n">
        <v>46258</v>
      </c>
      <c r="H1188" s="22" t="n">
        <v>134367</v>
      </c>
      <c r="I1188" s="22" t="s">
        <v>8408</v>
      </c>
      <c r="J1188" s="31" t="n">
        <v>27.4</v>
      </c>
      <c r="K1188" s="26" t="n">
        <v>488.37</v>
      </c>
      <c r="L1188" s="26" t="n">
        <v>127.3</v>
      </c>
      <c r="M1188" s="22" t="s">
        <v>3923</v>
      </c>
      <c r="N1188" s="22" t="n">
        <f aca="false">MATCH(M1188,'Tabela Passaro'!$A$2:$A$1795,0)</f>
        <v>922</v>
      </c>
      <c r="O1188" s="22" t="str">
        <f aca="false">INDEX('Tabela Passaro'!$C$2:$C$1795,$N1188)</f>
        <v>CABEDELO</v>
      </c>
      <c r="P1188" s="22" t="str">
        <f aca="false">INDEX('Tabela Passaro'!$B$2:$B$1795,$N1188)</f>
        <v>PB</v>
      </c>
      <c r="Q1188" s="22" t="n">
        <f aca="false">INDEX('Tabela Passaro'!$F$2:$F$1795,$N1188)</f>
        <v>9</v>
      </c>
      <c r="R1188" s="32" t="n">
        <f aca="false">IF(J1188&lt;=10,INDEX('Tabela Passaro'!$G$2:$G$1795,$N1188),IF(J1188&lt;=30,INDEX('Tabela Passaro'!$H$2:$H$1795,$N1188),IF(J1188&lt;=50,INDEX('Tabela Passaro'!$I$2:$I$1795,$N1188),IF(J1188&lt;=70,INDEX('Tabela Passaro'!$J$2:$J$1795,$N1188),IF(J1188&lt;=100,INDEX('Tabela Passaro'!$K$2:$K$1795,$N1188),INDEX('Tabela Passaro'!$K$2:$K$1795,$N1188)+(J1188-100)*INDEX('Tabela Passaro'!$L$2:$L$1795,$N1188))))))</f>
        <v>76.28</v>
      </c>
      <c r="S1188" s="32" t="n">
        <f aca="false">K1188*INDEX('Tabela Passaro'!$M$2:$M$1795,$N1188)</f>
        <v>2.44185</v>
      </c>
      <c r="T1188" s="32" t="n">
        <f aca="false">K1188*INDEX('Tabela Passaro'!$N$2:$N$1795,$N1188)</f>
        <v>0.97674</v>
      </c>
      <c r="U1188" s="32" t="n">
        <f aca="false">INDEX('Tabela Passaro'!$O$2:$O$1795,$N1188)</f>
        <v>5</v>
      </c>
      <c r="V1188" s="32" t="n">
        <f aca="false">ROUNDUP(J1188/INDEX('Tabela Passaro'!$Q$2:$Q$1795,$N1188),0)*INDEX('Tabela Passaro'!$P$2:$P$1795,$N1188)</f>
        <v>5</v>
      </c>
      <c r="W1188" s="32" t="n">
        <f aca="false">INDEX('Tabela Passaro'!$R$2:$R$1795,$N1188)</f>
        <v>30</v>
      </c>
      <c r="X1188" s="32" t="n">
        <f aca="false">ROUNDUP(J1188/INDEX('Tabela Passaro'!$T$2:$T$1795,$N1188),0)*INDEX('Tabela Passaro'!$S$2:$S$1795,$N1188)</f>
        <v>0</v>
      </c>
      <c r="Y1188" s="32" t="n">
        <f aca="false">INDEX('Tabela Passaro'!$U$2:$U$1795,$N1188)</f>
        <v>0</v>
      </c>
      <c r="Z1188" s="32" t="n">
        <f aca="false">INDEX('Tabela Passaro'!$V$2:$V$1795,$N1188)</f>
        <v>0</v>
      </c>
      <c r="AA1188" s="32" t="n">
        <f aca="false">SUM(R1188:Z1188)</f>
        <v>119.69859</v>
      </c>
      <c r="AB1188" s="33" t="n">
        <f aca="false">INDEX(Premissas!$B$5:$B$13,MATCH(A1188,Premissas!$A$5:$A$13,0))</f>
        <v>0.07</v>
      </c>
      <c r="AC1188" s="32" t="n">
        <f aca="false">AA1188/(1-AB1188)-AA1188</f>
        <v>9.00957129032258</v>
      </c>
      <c r="AD1188" s="32" t="n">
        <f aca="false">ROUND(AA1188+AC1188,2)</f>
        <v>128.71</v>
      </c>
      <c r="AE1188" s="32" t="n">
        <f aca="false">AD1188-L1188</f>
        <v>1.41000000000001</v>
      </c>
      <c r="AF1188" s="34" t="n">
        <f aca="false">IF(L1188=0,0,AE1188/L1188)</f>
        <v>0.0110761979575806</v>
      </c>
      <c r="AG1188" s="22" t="str">
        <f aca="false">IF(AD1188&lt;L1188,"PASSARO","ATUAL")</f>
        <v>ATUAL</v>
      </c>
      <c r="AH1188" s="22" t="str">
        <f aca="false">IF(P1188&lt;&gt;A1188,"Faixa cadastrada como "&amp;P1188&amp;" na tabela; preço aplicado pela UF do CEP","")</f>
        <v/>
      </c>
      <c r="AI1188" s="26" t="n">
        <v>145.91</v>
      </c>
      <c r="AJ1188" s="22" t="str">
        <f aca="false">INDEX('Tabela Passaro'!$X$2:$X$1795,$N1188)</f>
        <v>CAPITAL</v>
      </c>
    </row>
    <row r="1189" customFormat="false" ht="15" hidden="false" customHeight="false" outlineLevel="0" collapsed="false">
      <c r="A1189" s="22" t="s">
        <v>19</v>
      </c>
      <c r="B1189" s="22" t="n">
        <v>7</v>
      </c>
      <c r="C1189" s="22" t="s">
        <v>141</v>
      </c>
      <c r="D1189" s="22" t="s">
        <v>30</v>
      </c>
      <c r="E1189" s="22" t="s">
        <v>20</v>
      </c>
      <c r="F1189" s="22" t="n">
        <v>837689</v>
      </c>
      <c r="G1189" s="30" t="n">
        <v>46237</v>
      </c>
      <c r="H1189" s="22" t="n">
        <v>32366</v>
      </c>
      <c r="I1189" s="22" t="s">
        <v>8409</v>
      </c>
      <c r="J1189" s="31" t="n">
        <v>22.4</v>
      </c>
      <c r="K1189" s="26" t="n">
        <v>671.08</v>
      </c>
      <c r="L1189" s="26" t="n">
        <v>136.72</v>
      </c>
      <c r="M1189" s="22" t="s">
        <v>4039</v>
      </c>
      <c r="N1189" s="22" t="n">
        <f aca="false">MATCH(M1189,'Tabela Passaro'!$A$2:$A$1795,0)</f>
        <v>953</v>
      </c>
      <c r="O1189" s="22" t="str">
        <f aca="false">INDEX('Tabela Passaro'!$C$2:$C$1795,$N1189)</f>
        <v>JACARAU</v>
      </c>
      <c r="P1189" s="22" t="str">
        <f aca="false">INDEX('Tabela Passaro'!$B$2:$B$1795,$N1189)</f>
        <v>PB</v>
      </c>
      <c r="Q1189" s="22" t="n">
        <f aca="false">INDEX('Tabela Passaro'!$F$2:$F$1795,$N1189)</f>
        <v>12</v>
      </c>
      <c r="R1189" s="32" t="n">
        <f aca="false">IF(J1189&lt;=10,INDEX('Tabela Passaro'!$G$2:$G$1795,$N1189),IF(J1189&lt;=30,INDEX('Tabela Passaro'!$H$2:$H$1795,$N1189),IF(J1189&lt;=50,INDEX('Tabela Passaro'!$I$2:$I$1795,$N1189),IF(J1189&lt;=70,INDEX('Tabela Passaro'!$J$2:$J$1795,$N1189),IF(J1189&lt;=100,INDEX('Tabela Passaro'!$K$2:$K$1795,$N1189),INDEX('Tabela Passaro'!$K$2:$K$1795,$N1189)+(J1189-100)*INDEX('Tabela Passaro'!$L$2:$L$1795,$N1189))))))</f>
        <v>88.38</v>
      </c>
      <c r="S1189" s="32" t="n">
        <f aca="false">K1189*INDEX('Tabela Passaro'!$M$2:$M$1795,$N1189)</f>
        <v>3.3554</v>
      </c>
      <c r="T1189" s="32" t="n">
        <f aca="false">K1189*INDEX('Tabela Passaro'!$N$2:$N$1795,$N1189)</f>
        <v>1.34216</v>
      </c>
      <c r="U1189" s="32" t="n">
        <f aca="false">INDEX('Tabela Passaro'!$O$2:$O$1795,$N1189)</f>
        <v>5</v>
      </c>
      <c r="V1189" s="32" t="n">
        <f aca="false">ROUNDUP(J1189/INDEX('Tabela Passaro'!$Q$2:$Q$1795,$N1189),0)*INDEX('Tabela Passaro'!$P$2:$P$1795,$N1189)</f>
        <v>5</v>
      </c>
      <c r="W1189" s="32" t="n">
        <f aca="false">INDEX('Tabela Passaro'!$R$2:$R$1795,$N1189)</f>
        <v>30</v>
      </c>
      <c r="X1189" s="32" t="n">
        <f aca="false">ROUNDUP(J1189/INDEX('Tabela Passaro'!$T$2:$T$1795,$N1189),0)*INDEX('Tabela Passaro'!$S$2:$S$1795,$N1189)</f>
        <v>0</v>
      </c>
      <c r="Y1189" s="32" t="n">
        <f aca="false">INDEX('Tabela Passaro'!$U$2:$U$1795,$N1189)</f>
        <v>0</v>
      </c>
      <c r="Z1189" s="32" t="n">
        <f aca="false">INDEX('Tabela Passaro'!$V$2:$V$1795,$N1189)</f>
        <v>0</v>
      </c>
      <c r="AA1189" s="32" t="n">
        <f aca="false">SUM(R1189:Z1189)</f>
        <v>133.07756</v>
      </c>
      <c r="AB1189" s="33" t="n">
        <f aca="false">INDEX(Premissas!$B$5:$B$13,MATCH(A1189,Premissas!$A$5:$A$13,0))</f>
        <v>0.07</v>
      </c>
      <c r="AC1189" s="32" t="n">
        <f aca="false">AA1189/(1-AB1189)-AA1189</f>
        <v>10.0165905376344</v>
      </c>
      <c r="AD1189" s="32" t="n">
        <f aca="false">ROUND(AA1189+AC1189,2)</f>
        <v>143.09</v>
      </c>
      <c r="AE1189" s="32" t="n">
        <f aca="false">AD1189-L1189</f>
        <v>6.37</v>
      </c>
      <c r="AF1189" s="34" t="n">
        <f aca="false">IF(L1189=0,0,AE1189/L1189)</f>
        <v>0.0465915740198947</v>
      </c>
      <c r="AG1189" s="22" t="str">
        <f aca="false">IF(AD1189&lt;L1189,"PASSARO","ATUAL")</f>
        <v>ATUAL</v>
      </c>
      <c r="AH1189" s="22" t="str">
        <f aca="false">IF(P1189&lt;&gt;A1189,"Faixa cadastrada como "&amp;P1189&amp;" na tabela; preço aplicado pela UF do CEP","")</f>
        <v/>
      </c>
      <c r="AI1189" s="26" t="n">
        <v>160.38</v>
      </c>
      <c r="AJ1189" s="22" t="str">
        <f aca="false">INDEX('Tabela Passaro'!$X$2:$X$1795,$N1189)</f>
        <v>INTERIOR 1</v>
      </c>
    </row>
    <row r="1190" customFormat="false" ht="15" hidden="false" customHeight="false" outlineLevel="0" collapsed="false">
      <c r="A1190" s="22" t="s">
        <v>19</v>
      </c>
      <c r="B1190" s="22" t="n">
        <v>7</v>
      </c>
      <c r="C1190" s="22" t="s">
        <v>141</v>
      </c>
      <c r="D1190" s="22" t="s">
        <v>30</v>
      </c>
      <c r="E1190" s="22" t="s">
        <v>7328</v>
      </c>
      <c r="F1190" s="22" t="n">
        <v>2312275</v>
      </c>
      <c r="G1190" s="30" t="n">
        <v>46248</v>
      </c>
      <c r="H1190" s="22" t="n">
        <v>133175</v>
      </c>
      <c r="I1190" s="22" t="s">
        <v>8409</v>
      </c>
      <c r="J1190" s="31" t="n">
        <v>40</v>
      </c>
      <c r="K1190" s="26" t="n">
        <v>1093.66</v>
      </c>
      <c r="L1190" s="26" t="n">
        <v>206.99</v>
      </c>
      <c r="M1190" s="22" t="s">
        <v>4039</v>
      </c>
      <c r="N1190" s="22" t="n">
        <f aca="false">MATCH(M1190,'Tabela Passaro'!$A$2:$A$1795,0)</f>
        <v>953</v>
      </c>
      <c r="O1190" s="22" t="str">
        <f aca="false">INDEX('Tabela Passaro'!$C$2:$C$1795,$N1190)</f>
        <v>JACARAU</v>
      </c>
      <c r="P1190" s="22" t="str">
        <f aca="false">INDEX('Tabela Passaro'!$B$2:$B$1795,$N1190)</f>
        <v>PB</v>
      </c>
      <c r="Q1190" s="22" t="n">
        <f aca="false">INDEX('Tabela Passaro'!$F$2:$F$1795,$N1190)</f>
        <v>12</v>
      </c>
      <c r="R1190" s="32" t="n">
        <f aca="false">IF(J1190&lt;=10,INDEX('Tabela Passaro'!$G$2:$G$1795,$N1190),IF(J1190&lt;=30,INDEX('Tabela Passaro'!$H$2:$H$1795,$N1190),IF(J1190&lt;=50,INDEX('Tabela Passaro'!$I$2:$I$1795,$N1190),IF(J1190&lt;=70,INDEX('Tabela Passaro'!$J$2:$J$1795,$N1190),IF(J1190&lt;=100,INDEX('Tabela Passaro'!$K$2:$K$1795,$N1190),INDEX('Tabela Passaro'!$K$2:$K$1795,$N1190)+(J1190-100)*INDEX('Tabela Passaro'!$L$2:$L$1795,$N1190))))))</f>
        <v>108.41</v>
      </c>
      <c r="S1190" s="32" t="n">
        <f aca="false">K1190*INDEX('Tabela Passaro'!$M$2:$M$1795,$N1190)</f>
        <v>5.4683</v>
      </c>
      <c r="T1190" s="32" t="n">
        <f aca="false">K1190*INDEX('Tabela Passaro'!$N$2:$N$1795,$N1190)</f>
        <v>2.18732</v>
      </c>
      <c r="U1190" s="32" t="n">
        <f aca="false">INDEX('Tabela Passaro'!$O$2:$O$1795,$N1190)</f>
        <v>5</v>
      </c>
      <c r="V1190" s="32" t="n">
        <f aca="false">ROUNDUP(J1190/INDEX('Tabela Passaro'!$Q$2:$Q$1795,$N1190),0)*INDEX('Tabela Passaro'!$P$2:$P$1795,$N1190)</f>
        <v>5</v>
      </c>
      <c r="W1190" s="32" t="n">
        <f aca="false">INDEX('Tabela Passaro'!$R$2:$R$1795,$N1190)</f>
        <v>30</v>
      </c>
      <c r="X1190" s="32" t="n">
        <f aca="false">ROUNDUP(J1190/INDEX('Tabela Passaro'!$T$2:$T$1795,$N1190),0)*INDEX('Tabela Passaro'!$S$2:$S$1795,$N1190)</f>
        <v>0</v>
      </c>
      <c r="Y1190" s="32" t="n">
        <f aca="false">INDEX('Tabela Passaro'!$U$2:$U$1795,$N1190)</f>
        <v>0</v>
      </c>
      <c r="Z1190" s="32" t="n">
        <f aca="false">INDEX('Tabela Passaro'!$V$2:$V$1795,$N1190)</f>
        <v>0</v>
      </c>
      <c r="AA1190" s="32" t="n">
        <f aca="false">SUM(R1190:Z1190)</f>
        <v>156.06562</v>
      </c>
      <c r="AB1190" s="33" t="n">
        <f aca="false">INDEX(Premissas!$B$5:$B$13,MATCH(A1190,Premissas!$A$5:$A$13,0))</f>
        <v>0.07</v>
      </c>
      <c r="AC1190" s="32" t="n">
        <f aca="false">AA1190/(1-AB1190)-AA1190</f>
        <v>11.7468746236559</v>
      </c>
      <c r="AD1190" s="32" t="n">
        <f aca="false">ROUND(AA1190+AC1190,2)</f>
        <v>167.81</v>
      </c>
      <c r="AE1190" s="32" t="n">
        <f aca="false">AD1190-L1190</f>
        <v>-39.18</v>
      </c>
      <c r="AF1190" s="34" t="n">
        <f aca="false">IF(L1190=0,0,AE1190/L1190)</f>
        <v>-0.189284506497898</v>
      </c>
      <c r="AG1190" s="22" t="str">
        <f aca="false">IF(AD1190&lt;L1190,"PASSARO","ATUAL")</f>
        <v>PASSARO</v>
      </c>
      <c r="AH1190" s="22" t="str">
        <f aca="false">IF(P1190&lt;&gt;A1190,"Faixa cadastrada como "&amp;P1190&amp;" na tabela; preço aplicado pela UF do CEP","")</f>
        <v/>
      </c>
      <c r="AI1190" s="26" t="n">
        <v>197.75</v>
      </c>
      <c r="AJ1190" s="22" t="str">
        <f aca="false">INDEX('Tabela Passaro'!$X$2:$X$1795,$N1190)</f>
        <v>INTERIOR 1</v>
      </c>
    </row>
    <row r="1191" customFormat="false" ht="15" hidden="false" customHeight="false" outlineLevel="0" collapsed="false">
      <c r="A1191" s="22" t="s">
        <v>19</v>
      </c>
      <c r="B1191" s="22" t="n">
        <v>7</v>
      </c>
      <c r="C1191" s="22" t="s">
        <v>141</v>
      </c>
      <c r="D1191" s="22" t="s">
        <v>30</v>
      </c>
      <c r="E1191" s="22" t="s">
        <v>7328</v>
      </c>
      <c r="F1191" s="22" t="n">
        <v>2313254</v>
      </c>
      <c r="G1191" s="30" t="n">
        <v>46251</v>
      </c>
      <c r="H1191" s="22" t="n">
        <v>133675</v>
      </c>
      <c r="I1191" s="22" t="s">
        <v>8409</v>
      </c>
      <c r="J1191" s="31" t="n">
        <v>58.9</v>
      </c>
      <c r="K1191" s="26" t="n">
        <v>1042.69</v>
      </c>
      <c r="L1191" s="26" t="n">
        <v>264.62</v>
      </c>
      <c r="M1191" s="22" t="s">
        <v>4039</v>
      </c>
      <c r="N1191" s="22" t="n">
        <f aca="false">MATCH(M1191,'Tabela Passaro'!$A$2:$A$1795,0)</f>
        <v>953</v>
      </c>
      <c r="O1191" s="22" t="str">
        <f aca="false">INDEX('Tabela Passaro'!$C$2:$C$1795,$N1191)</f>
        <v>JACARAU</v>
      </c>
      <c r="P1191" s="22" t="str">
        <f aca="false">INDEX('Tabela Passaro'!$B$2:$B$1795,$N1191)</f>
        <v>PB</v>
      </c>
      <c r="Q1191" s="22" t="n">
        <f aca="false">INDEX('Tabela Passaro'!$F$2:$F$1795,$N1191)</f>
        <v>12</v>
      </c>
      <c r="R1191" s="32" t="n">
        <f aca="false">IF(J1191&lt;=10,INDEX('Tabela Passaro'!$G$2:$G$1795,$N1191),IF(J1191&lt;=30,INDEX('Tabela Passaro'!$H$2:$H$1795,$N1191),IF(J1191&lt;=50,INDEX('Tabela Passaro'!$I$2:$I$1795,$N1191),IF(J1191&lt;=70,INDEX('Tabela Passaro'!$J$2:$J$1795,$N1191),IF(J1191&lt;=100,INDEX('Tabela Passaro'!$K$2:$K$1795,$N1191),INDEX('Tabela Passaro'!$K$2:$K$1795,$N1191)+(J1191-100)*INDEX('Tabela Passaro'!$L$2:$L$1795,$N1191))))))</f>
        <v>118.43</v>
      </c>
      <c r="S1191" s="32" t="n">
        <f aca="false">K1191*INDEX('Tabela Passaro'!$M$2:$M$1795,$N1191)</f>
        <v>5.21345</v>
      </c>
      <c r="T1191" s="32" t="n">
        <f aca="false">K1191*INDEX('Tabela Passaro'!$N$2:$N$1795,$N1191)</f>
        <v>2.08538</v>
      </c>
      <c r="U1191" s="32" t="n">
        <f aca="false">INDEX('Tabela Passaro'!$O$2:$O$1795,$N1191)</f>
        <v>5</v>
      </c>
      <c r="V1191" s="32" t="n">
        <f aca="false">ROUNDUP(J1191/INDEX('Tabela Passaro'!$Q$2:$Q$1795,$N1191),0)*INDEX('Tabela Passaro'!$P$2:$P$1795,$N1191)</f>
        <v>5</v>
      </c>
      <c r="W1191" s="32" t="n">
        <f aca="false">INDEX('Tabela Passaro'!$R$2:$R$1795,$N1191)</f>
        <v>30</v>
      </c>
      <c r="X1191" s="32" t="n">
        <f aca="false">ROUNDUP(J1191/INDEX('Tabela Passaro'!$T$2:$T$1795,$N1191),0)*INDEX('Tabela Passaro'!$S$2:$S$1795,$N1191)</f>
        <v>0</v>
      </c>
      <c r="Y1191" s="32" t="n">
        <f aca="false">INDEX('Tabela Passaro'!$U$2:$U$1795,$N1191)</f>
        <v>0</v>
      </c>
      <c r="Z1191" s="32" t="n">
        <f aca="false">INDEX('Tabela Passaro'!$V$2:$V$1795,$N1191)</f>
        <v>0</v>
      </c>
      <c r="AA1191" s="32" t="n">
        <f aca="false">SUM(R1191:Z1191)</f>
        <v>165.72883</v>
      </c>
      <c r="AB1191" s="33" t="n">
        <f aca="false">INDEX(Premissas!$B$5:$B$13,MATCH(A1191,Premissas!$A$5:$A$13,0))</f>
        <v>0.07</v>
      </c>
      <c r="AC1191" s="32" t="n">
        <f aca="false">AA1191/(1-AB1191)-AA1191</f>
        <v>12.4742130107527</v>
      </c>
      <c r="AD1191" s="32" t="n">
        <f aca="false">ROUND(AA1191+AC1191,2)</f>
        <v>178.2</v>
      </c>
      <c r="AE1191" s="32" t="n">
        <f aca="false">AD1191-L1191</f>
        <v>-86.42</v>
      </c>
      <c r="AF1191" s="34" t="n">
        <f aca="false">IF(L1191=0,0,AE1191/L1191)</f>
        <v>-0.326581513113143</v>
      </c>
      <c r="AG1191" s="22" t="str">
        <f aca="false">IF(AD1191&lt;L1191,"PASSARO","ATUAL")</f>
        <v>PASSARO</v>
      </c>
      <c r="AH1191" s="22" t="str">
        <f aca="false">IF(P1191&lt;&gt;A1191,"Faixa cadastrada como "&amp;P1191&amp;" na tabela; preço aplicado pela UF do CEP","")</f>
        <v/>
      </c>
      <c r="AI1191" s="26" t="n">
        <v>218.97</v>
      </c>
      <c r="AJ1191" s="22" t="str">
        <f aca="false">INDEX('Tabela Passaro'!$X$2:$X$1795,$N1191)</f>
        <v>INTERIOR 1</v>
      </c>
    </row>
    <row r="1192" customFormat="false" ht="15" hidden="false" customHeight="false" outlineLevel="0" collapsed="false">
      <c r="A1192" s="22" t="s">
        <v>19</v>
      </c>
      <c r="B1192" s="22" t="n">
        <v>8</v>
      </c>
      <c r="C1192" s="22" t="s">
        <v>142</v>
      </c>
      <c r="D1192" s="22" t="s">
        <v>33</v>
      </c>
      <c r="E1192" s="22" t="s">
        <v>7326</v>
      </c>
      <c r="F1192" s="22" t="n">
        <v>347866</v>
      </c>
      <c r="G1192" s="30" t="n">
        <v>46239</v>
      </c>
      <c r="H1192" s="22" t="n">
        <v>620448</v>
      </c>
      <c r="I1192" s="22" t="s">
        <v>8410</v>
      </c>
      <c r="J1192" s="31" t="n">
        <v>107.7</v>
      </c>
      <c r="K1192" s="26" t="n">
        <v>1888.36</v>
      </c>
      <c r="L1192" s="26" t="n">
        <v>425.96</v>
      </c>
      <c r="M1192" s="22" t="s">
        <v>3994</v>
      </c>
      <c r="N1192" s="22" t="n">
        <f aca="false">MATCH(M1192,'Tabela Passaro'!$A$2:$A$1795,0)</f>
        <v>941</v>
      </c>
      <c r="O1192" s="22" t="str">
        <f aca="false">INDEX('Tabela Passaro'!$C$2:$C$1795,$N1192)</f>
        <v>CONDE</v>
      </c>
      <c r="P1192" s="22" t="str">
        <f aca="false">INDEX('Tabela Passaro'!$B$2:$B$1795,$N1192)</f>
        <v>PB</v>
      </c>
      <c r="Q1192" s="22" t="n">
        <f aca="false">INDEX('Tabela Passaro'!$F$2:$F$1795,$N1192)</f>
        <v>9</v>
      </c>
      <c r="R1192" s="32" t="n">
        <f aca="false">IF(J1192&lt;=10,INDEX('Tabela Passaro'!$G$2:$G$1795,$N1192),IF(J1192&lt;=30,INDEX('Tabela Passaro'!$H$2:$H$1795,$N1192),IF(J1192&lt;=50,INDEX('Tabela Passaro'!$I$2:$I$1795,$N1192),IF(J1192&lt;=70,INDEX('Tabela Passaro'!$J$2:$J$1795,$N1192),IF(J1192&lt;=100,INDEX('Tabela Passaro'!$K$2:$K$1795,$N1192),INDEX('Tabela Passaro'!$K$2:$K$1795,$N1192)+(J1192-100)*INDEX('Tabela Passaro'!$L$2:$L$1795,$N1192))))))</f>
        <v>148.321</v>
      </c>
      <c r="S1192" s="32" t="n">
        <f aca="false">K1192*INDEX('Tabela Passaro'!$M$2:$M$1795,$N1192)</f>
        <v>9.4418</v>
      </c>
      <c r="T1192" s="32" t="n">
        <f aca="false">K1192*INDEX('Tabela Passaro'!$N$2:$N$1795,$N1192)</f>
        <v>3.77672</v>
      </c>
      <c r="U1192" s="32" t="n">
        <f aca="false">INDEX('Tabela Passaro'!$O$2:$O$1795,$N1192)</f>
        <v>5</v>
      </c>
      <c r="V1192" s="32" t="n">
        <f aca="false">ROUNDUP(J1192/INDEX('Tabela Passaro'!$Q$2:$Q$1795,$N1192),0)*INDEX('Tabela Passaro'!$P$2:$P$1795,$N1192)</f>
        <v>10</v>
      </c>
      <c r="W1192" s="32" t="n">
        <f aca="false">INDEX('Tabela Passaro'!$R$2:$R$1795,$N1192)</f>
        <v>30</v>
      </c>
      <c r="X1192" s="32" t="n">
        <f aca="false">ROUNDUP(J1192/INDEX('Tabela Passaro'!$T$2:$T$1795,$N1192),0)*INDEX('Tabela Passaro'!$S$2:$S$1795,$N1192)</f>
        <v>0</v>
      </c>
      <c r="Y1192" s="32" t="n">
        <f aca="false">INDEX('Tabela Passaro'!$U$2:$U$1795,$N1192)</f>
        <v>0</v>
      </c>
      <c r="Z1192" s="32" t="n">
        <f aca="false">INDEX('Tabela Passaro'!$V$2:$V$1795,$N1192)</f>
        <v>0</v>
      </c>
      <c r="AA1192" s="32" t="n">
        <f aca="false">SUM(R1192:Z1192)</f>
        <v>206.53952</v>
      </c>
      <c r="AB1192" s="33" t="n">
        <f aca="false">INDEX(Premissas!$B$5:$B$13,MATCH(A1192,Premissas!$A$5:$A$13,0))</f>
        <v>0.07</v>
      </c>
      <c r="AC1192" s="32" t="n">
        <f aca="false">AA1192/(1-AB1192)-AA1192</f>
        <v>15.5459853763441</v>
      </c>
      <c r="AD1192" s="32" t="n">
        <f aca="false">ROUND(AA1192+AC1192,2)</f>
        <v>222.09</v>
      </c>
      <c r="AE1192" s="32" t="n">
        <f aca="false">AD1192-L1192</f>
        <v>-203.87</v>
      </c>
      <c r="AF1192" s="34" t="n">
        <f aca="false">IF(L1192=0,0,AE1192/L1192)</f>
        <v>-0.478613015306602</v>
      </c>
      <c r="AG1192" s="22" t="str">
        <f aca="false">IF(AD1192&lt;L1192,"PASSARO","ATUAL")</f>
        <v>PASSARO</v>
      </c>
      <c r="AH1192" s="22" t="str">
        <f aca="false">IF(P1192&lt;&gt;A1192,"Faixa cadastrada como "&amp;P1192&amp;" na tabela; preço aplicado pela UF do CEP","")</f>
        <v/>
      </c>
      <c r="AI1192" s="26" t="n">
        <v>292.99</v>
      </c>
      <c r="AJ1192" s="22" t="str">
        <f aca="false">INDEX('Tabela Passaro'!$X$2:$X$1795,$N1192)</f>
        <v>INTERIOR 1</v>
      </c>
    </row>
    <row r="1193" customFormat="false" ht="15" hidden="false" customHeight="false" outlineLevel="0" collapsed="false">
      <c r="A1193" s="22" t="s">
        <v>19</v>
      </c>
      <c r="B1193" s="22" t="n">
        <v>8</v>
      </c>
      <c r="C1193" s="22" t="s">
        <v>142</v>
      </c>
      <c r="D1193" s="22" t="s">
        <v>33</v>
      </c>
      <c r="E1193" s="22" t="s">
        <v>7326</v>
      </c>
      <c r="F1193" s="22" t="n">
        <v>349213</v>
      </c>
      <c r="G1193" s="30" t="n">
        <v>46248</v>
      </c>
      <c r="H1193" s="22" t="n">
        <v>624261</v>
      </c>
      <c r="I1193" s="22" t="s">
        <v>8410</v>
      </c>
      <c r="J1193" s="31" t="n">
        <v>18.5</v>
      </c>
      <c r="K1193" s="26" t="n">
        <v>461.44</v>
      </c>
      <c r="L1193" s="26" t="n">
        <v>152.67</v>
      </c>
      <c r="M1193" s="22" t="s">
        <v>3994</v>
      </c>
      <c r="N1193" s="22" t="n">
        <f aca="false">MATCH(M1193,'Tabela Passaro'!$A$2:$A$1795,0)</f>
        <v>941</v>
      </c>
      <c r="O1193" s="22" t="str">
        <f aca="false">INDEX('Tabela Passaro'!$C$2:$C$1795,$N1193)</f>
        <v>CONDE</v>
      </c>
      <c r="P1193" s="22" t="str">
        <f aca="false">INDEX('Tabela Passaro'!$B$2:$B$1795,$N1193)</f>
        <v>PB</v>
      </c>
      <c r="Q1193" s="22" t="n">
        <f aca="false">INDEX('Tabela Passaro'!$F$2:$F$1795,$N1193)</f>
        <v>9</v>
      </c>
      <c r="R1193" s="32" t="n">
        <f aca="false">IF(J1193&lt;=10,INDEX('Tabela Passaro'!$G$2:$G$1795,$N1193),IF(J1193&lt;=30,INDEX('Tabela Passaro'!$H$2:$H$1795,$N1193),IF(J1193&lt;=50,INDEX('Tabela Passaro'!$I$2:$I$1795,$N1193),IF(J1193&lt;=70,INDEX('Tabela Passaro'!$J$2:$J$1795,$N1193),IF(J1193&lt;=100,INDEX('Tabela Passaro'!$K$2:$K$1795,$N1193),INDEX('Tabela Passaro'!$K$2:$K$1795,$N1193)+(J1193-100)*INDEX('Tabela Passaro'!$L$2:$L$1795,$N1193))))))</f>
        <v>88.38</v>
      </c>
      <c r="S1193" s="32" t="n">
        <f aca="false">K1193*INDEX('Tabela Passaro'!$M$2:$M$1795,$N1193)</f>
        <v>2.3072</v>
      </c>
      <c r="T1193" s="32" t="n">
        <f aca="false">K1193*INDEX('Tabela Passaro'!$N$2:$N$1795,$N1193)</f>
        <v>0.92288</v>
      </c>
      <c r="U1193" s="32" t="n">
        <f aca="false">INDEX('Tabela Passaro'!$O$2:$O$1795,$N1193)</f>
        <v>5</v>
      </c>
      <c r="V1193" s="32" t="n">
        <f aca="false">ROUNDUP(J1193/INDEX('Tabela Passaro'!$Q$2:$Q$1795,$N1193),0)*INDEX('Tabela Passaro'!$P$2:$P$1795,$N1193)</f>
        <v>5</v>
      </c>
      <c r="W1193" s="32" t="n">
        <f aca="false">INDEX('Tabela Passaro'!$R$2:$R$1795,$N1193)</f>
        <v>30</v>
      </c>
      <c r="X1193" s="32" t="n">
        <f aca="false">ROUNDUP(J1193/INDEX('Tabela Passaro'!$T$2:$T$1795,$N1193),0)*INDEX('Tabela Passaro'!$S$2:$S$1795,$N1193)</f>
        <v>0</v>
      </c>
      <c r="Y1193" s="32" t="n">
        <f aca="false">INDEX('Tabela Passaro'!$U$2:$U$1795,$N1193)</f>
        <v>0</v>
      </c>
      <c r="Z1193" s="32" t="n">
        <f aca="false">INDEX('Tabela Passaro'!$V$2:$V$1795,$N1193)</f>
        <v>0</v>
      </c>
      <c r="AA1193" s="32" t="n">
        <f aca="false">SUM(R1193:Z1193)</f>
        <v>131.61008</v>
      </c>
      <c r="AB1193" s="33" t="n">
        <f aca="false">INDEX(Premissas!$B$5:$B$13,MATCH(A1193,Premissas!$A$5:$A$13,0))</f>
        <v>0.07</v>
      </c>
      <c r="AC1193" s="32" t="n">
        <f aca="false">AA1193/(1-AB1193)-AA1193</f>
        <v>9.90613505376345</v>
      </c>
      <c r="AD1193" s="32" t="n">
        <f aca="false">ROUND(AA1193+AC1193,2)</f>
        <v>141.52</v>
      </c>
      <c r="AE1193" s="32" t="n">
        <f aca="false">AD1193-L1193</f>
        <v>-11.15</v>
      </c>
      <c r="AF1193" s="34" t="n">
        <f aca="false">IF(L1193=0,0,AE1193/L1193)</f>
        <v>-0.0730333398834085</v>
      </c>
      <c r="AG1193" s="22" t="str">
        <f aca="false">IF(AD1193&lt;L1193,"PASSARO","ATUAL")</f>
        <v>PASSARO</v>
      </c>
      <c r="AH1193" s="22" t="str">
        <f aca="false">IF(P1193&lt;&gt;A1193,"Faixa cadastrada como "&amp;P1193&amp;" na tabela; preço aplicado pela UF do CEP","")</f>
        <v/>
      </c>
      <c r="AI1193" s="26" t="n">
        <v>156.41</v>
      </c>
      <c r="AJ1193" s="22" t="str">
        <f aca="false">INDEX('Tabela Passaro'!$X$2:$X$1795,$N1193)</f>
        <v>INTERIOR 1</v>
      </c>
    </row>
    <row r="1194" customFormat="false" ht="15" hidden="false" customHeight="false" outlineLevel="0" collapsed="false">
      <c r="A1194" s="22" t="s">
        <v>19</v>
      </c>
      <c r="B1194" s="22" t="n">
        <v>9</v>
      </c>
      <c r="C1194" s="22" t="s">
        <v>144</v>
      </c>
      <c r="D1194" s="22" t="s">
        <v>30</v>
      </c>
      <c r="E1194" s="22" t="s">
        <v>7328</v>
      </c>
      <c r="F1194" s="22" t="n">
        <v>2315704</v>
      </c>
      <c r="G1194" s="30" t="n">
        <v>46258</v>
      </c>
      <c r="H1194" s="22" t="n">
        <v>134434</v>
      </c>
      <c r="I1194" s="22" t="s">
        <v>8411</v>
      </c>
      <c r="J1194" s="31" t="n">
        <v>20.8</v>
      </c>
      <c r="K1194" s="26" t="n">
        <v>698.49</v>
      </c>
      <c r="L1194" s="26" t="n">
        <v>149.01</v>
      </c>
      <c r="M1194" s="22" t="s">
        <v>4013</v>
      </c>
      <c r="N1194" s="22" t="n">
        <f aca="false">MATCH(M1194,'Tabela Passaro'!$A$2:$A$1795,0)</f>
        <v>946</v>
      </c>
      <c r="O1194" s="22" t="str">
        <f aca="false">INDEX('Tabela Passaro'!$C$2:$C$1795,$N1194)</f>
        <v>ESPERANCA</v>
      </c>
      <c r="P1194" s="22" t="str">
        <f aca="false">INDEX('Tabela Passaro'!$B$2:$B$1795,$N1194)</f>
        <v>PB</v>
      </c>
      <c r="Q1194" s="22" t="n">
        <f aca="false">INDEX('Tabela Passaro'!$F$2:$F$1795,$N1194)</f>
        <v>12</v>
      </c>
      <c r="R1194" s="32" t="n">
        <f aca="false">IF(J1194&lt;=10,INDEX('Tabela Passaro'!$G$2:$G$1795,$N1194),IF(J1194&lt;=30,INDEX('Tabela Passaro'!$H$2:$H$1795,$N1194),IF(J1194&lt;=50,INDEX('Tabela Passaro'!$I$2:$I$1795,$N1194),IF(J1194&lt;=70,INDEX('Tabela Passaro'!$J$2:$J$1795,$N1194),IF(J1194&lt;=100,INDEX('Tabela Passaro'!$K$2:$K$1795,$N1194),INDEX('Tabela Passaro'!$K$2:$K$1795,$N1194)+(J1194-100)*INDEX('Tabela Passaro'!$L$2:$L$1795,$N1194))))))</f>
        <v>88.38</v>
      </c>
      <c r="S1194" s="32" t="n">
        <f aca="false">K1194*INDEX('Tabela Passaro'!$M$2:$M$1795,$N1194)</f>
        <v>3.49245</v>
      </c>
      <c r="T1194" s="32" t="n">
        <f aca="false">K1194*INDEX('Tabela Passaro'!$N$2:$N$1795,$N1194)</f>
        <v>1.39698</v>
      </c>
      <c r="U1194" s="32" t="n">
        <f aca="false">INDEX('Tabela Passaro'!$O$2:$O$1795,$N1194)</f>
        <v>5</v>
      </c>
      <c r="V1194" s="32" t="n">
        <f aca="false">ROUNDUP(J1194/INDEX('Tabela Passaro'!$Q$2:$Q$1795,$N1194),0)*INDEX('Tabela Passaro'!$P$2:$P$1795,$N1194)</f>
        <v>5</v>
      </c>
      <c r="W1194" s="32" t="n">
        <f aca="false">INDEX('Tabela Passaro'!$R$2:$R$1795,$N1194)</f>
        <v>30</v>
      </c>
      <c r="X1194" s="32" t="n">
        <f aca="false">ROUNDUP(J1194/INDEX('Tabela Passaro'!$T$2:$T$1795,$N1194),0)*INDEX('Tabela Passaro'!$S$2:$S$1795,$N1194)</f>
        <v>0</v>
      </c>
      <c r="Y1194" s="32" t="n">
        <f aca="false">INDEX('Tabela Passaro'!$U$2:$U$1795,$N1194)</f>
        <v>0</v>
      </c>
      <c r="Z1194" s="32" t="n">
        <f aca="false">INDEX('Tabela Passaro'!$V$2:$V$1795,$N1194)</f>
        <v>0</v>
      </c>
      <c r="AA1194" s="32" t="n">
        <f aca="false">SUM(R1194:Z1194)</f>
        <v>133.26943</v>
      </c>
      <c r="AB1194" s="33" t="n">
        <f aca="false">INDEX(Premissas!$B$5:$B$13,MATCH(A1194,Premissas!$A$5:$A$13,0))</f>
        <v>0.07</v>
      </c>
      <c r="AC1194" s="32" t="n">
        <f aca="false">AA1194/(1-AB1194)-AA1194</f>
        <v>10.0310323655914</v>
      </c>
      <c r="AD1194" s="32" t="n">
        <f aca="false">ROUND(AA1194+AC1194,2)</f>
        <v>143.3</v>
      </c>
      <c r="AE1194" s="32" t="n">
        <f aca="false">AD1194-L1194</f>
        <v>-5.70999999999998</v>
      </c>
      <c r="AF1194" s="34" t="n">
        <f aca="false">IF(L1194=0,0,AE1194/L1194)</f>
        <v>-0.0383195758673913</v>
      </c>
      <c r="AG1194" s="22" t="str">
        <f aca="false">IF(AD1194&lt;L1194,"PASSARO","ATUAL")</f>
        <v>PASSARO</v>
      </c>
      <c r="AH1194" s="22" t="str">
        <f aca="false">IF(P1194&lt;&gt;A1194,"Faixa cadastrada como "&amp;P1194&amp;" na tabela; preço aplicado pela UF do CEP","")</f>
        <v/>
      </c>
      <c r="AI1194" s="26" t="n">
        <v>159.67</v>
      </c>
      <c r="AJ1194" s="22" t="str">
        <f aca="false">INDEX('Tabela Passaro'!$X$2:$X$1795,$N1194)</f>
        <v>INTERIOR 1</v>
      </c>
    </row>
    <row r="1195" customFormat="false" ht="15" hidden="false" customHeight="false" outlineLevel="0" collapsed="false">
      <c r="A1195" s="22" t="s">
        <v>19</v>
      </c>
      <c r="B1195" s="22" t="n">
        <v>9</v>
      </c>
      <c r="C1195" s="22" t="s">
        <v>144</v>
      </c>
      <c r="D1195" s="22" t="s">
        <v>30</v>
      </c>
      <c r="E1195" s="22" t="s">
        <v>7326</v>
      </c>
      <c r="F1195" s="22" t="n">
        <v>527331</v>
      </c>
      <c r="G1195" s="30" t="n">
        <v>46259</v>
      </c>
      <c r="H1195" s="22" t="n">
        <v>628254</v>
      </c>
      <c r="I1195" s="22" t="s">
        <v>8411</v>
      </c>
      <c r="J1195" s="31" t="n">
        <v>85</v>
      </c>
      <c r="K1195" s="26" t="n">
        <v>1797.99</v>
      </c>
      <c r="L1195" s="26" t="n">
        <v>389.65</v>
      </c>
      <c r="M1195" s="22" t="s">
        <v>4013</v>
      </c>
      <c r="N1195" s="22" t="n">
        <f aca="false">MATCH(M1195,'Tabela Passaro'!$A$2:$A$1795,0)</f>
        <v>946</v>
      </c>
      <c r="O1195" s="22" t="str">
        <f aca="false">INDEX('Tabela Passaro'!$C$2:$C$1795,$N1195)</f>
        <v>ESPERANCA</v>
      </c>
      <c r="P1195" s="22" t="str">
        <f aca="false">INDEX('Tabela Passaro'!$B$2:$B$1795,$N1195)</f>
        <v>PB</v>
      </c>
      <c r="Q1195" s="22" t="n">
        <f aca="false">INDEX('Tabela Passaro'!$F$2:$F$1795,$N1195)</f>
        <v>12</v>
      </c>
      <c r="R1195" s="32" t="n">
        <f aca="false">IF(J1195&lt;=10,INDEX('Tabela Passaro'!$G$2:$G$1795,$N1195),IF(J1195&lt;=30,INDEX('Tabela Passaro'!$H$2:$H$1795,$N1195),IF(J1195&lt;=50,INDEX('Tabela Passaro'!$I$2:$I$1795,$N1195),IF(J1195&lt;=70,INDEX('Tabela Passaro'!$J$2:$J$1795,$N1195),IF(J1195&lt;=100,INDEX('Tabela Passaro'!$K$2:$K$1795,$N1195),INDEX('Tabela Passaro'!$K$2:$K$1795,$N1195)+(J1195-100)*INDEX('Tabela Passaro'!$L$2:$L$1795,$N1195))))))</f>
        <v>133.46</v>
      </c>
      <c r="S1195" s="32" t="n">
        <f aca="false">K1195*INDEX('Tabela Passaro'!$M$2:$M$1795,$N1195)</f>
        <v>8.98995</v>
      </c>
      <c r="T1195" s="32" t="n">
        <f aca="false">K1195*INDEX('Tabela Passaro'!$N$2:$N$1795,$N1195)</f>
        <v>3.59598</v>
      </c>
      <c r="U1195" s="32" t="n">
        <f aca="false">INDEX('Tabela Passaro'!$O$2:$O$1795,$N1195)</f>
        <v>5</v>
      </c>
      <c r="V1195" s="32" t="n">
        <f aca="false">ROUNDUP(J1195/INDEX('Tabela Passaro'!$Q$2:$Q$1795,$N1195),0)*INDEX('Tabela Passaro'!$P$2:$P$1795,$N1195)</f>
        <v>5</v>
      </c>
      <c r="W1195" s="32" t="n">
        <f aca="false">INDEX('Tabela Passaro'!$R$2:$R$1795,$N1195)</f>
        <v>30</v>
      </c>
      <c r="X1195" s="32" t="n">
        <f aca="false">ROUNDUP(J1195/INDEX('Tabela Passaro'!$T$2:$T$1795,$N1195),0)*INDEX('Tabela Passaro'!$S$2:$S$1795,$N1195)</f>
        <v>0</v>
      </c>
      <c r="Y1195" s="32" t="n">
        <f aca="false">INDEX('Tabela Passaro'!$U$2:$U$1795,$N1195)</f>
        <v>0</v>
      </c>
      <c r="Z1195" s="32" t="n">
        <f aca="false">INDEX('Tabela Passaro'!$V$2:$V$1795,$N1195)</f>
        <v>0</v>
      </c>
      <c r="AA1195" s="32" t="n">
        <f aca="false">SUM(R1195:Z1195)</f>
        <v>186.04593</v>
      </c>
      <c r="AB1195" s="33" t="n">
        <f aca="false">INDEX(Premissas!$B$5:$B$13,MATCH(A1195,Premissas!$A$5:$A$13,0))</f>
        <v>0.07</v>
      </c>
      <c r="AC1195" s="32" t="n">
        <f aca="false">AA1195/(1-AB1195)-AA1195</f>
        <v>14.0034570967742</v>
      </c>
      <c r="AD1195" s="32" t="n">
        <f aca="false">ROUND(AA1195+AC1195,2)</f>
        <v>200.05</v>
      </c>
      <c r="AE1195" s="32" t="n">
        <f aca="false">AD1195-L1195</f>
        <v>-189.6</v>
      </c>
      <c r="AF1195" s="34" t="n">
        <f aca="false">IF(L1195=0,0,AE1195/L1195)</f>
        <v>-0.486590529962787</v>
      </c>
      <c r="AG1195" s="22" t="str">
        <f aca="false">IF(AD1195&lt;L1195,"PASSARO","ATUAL")</f>
        <v>PASSARO</v>
      </c>
      <c r="AH1195" s="22" t="str">
        <f aca="false">IF(P1195&lt;&gt;A1195,"Faixa cadastrada como "&amp;P1195&amp;" na tabela; preço aplicado pela UF do CEP","")</f>
        <v/>
      </c>
      <c r="AI1195" s="26" t="n">
        <v>257.65</v>
      </c>
      <c r="AJ1195" s="22" t="str">
        <f aca="false">INDEX('Tabela Passaro'!$X$2:$X$1795,$N1195)</f>
        <v>INTERIOR 1</v>
      </c>
    </row>
    <row r="1196" customFormat="false" ht="15" hidden="false" customHeight="false" outlineLevel="0" collapsed="false">
      <c r="A1196" s="22" t="s">
        <v>19</v>
      </c>
      <c r="B1196" s="22" t="n">
        <v>10</v>
      </c>
      <c r="C1196" s="22" t="s">
        <v>146</v>
      </c>
      <c r="D1196" s="22" t="s">
        <v>30</v>
      </c>
      <c r="E1196" s="22" t="s">
        <v>19</v>
      </c>
      <c r="F1196" s="22" t="n">
        <v>172238</v>
      </c>
      <c r="G1196" s="30" t="n">
        <v>46241</v>
      </c>
      <c r="H1196" s="22" t="n">
        <v>614103</v>
      </c>
      <c r="I1196" s="22" t="s">
        <v>8412</v>
      </c>
      <c r="J1196" s="31" t="n">
        <v>69.11</v>
      </c>
      <c r="K1196" s="26" t="n">
        <v>1239.98</v>
      </c>
      <c r="L1196" s="26" t="n">
        <v>322.85</v>
      </c>
      <c r="M1196" s="22" t="s">
        <v>4701</v>
      </c>
      <c r="N1196" s="22" t="n">
        <f aca="false">MATCH(M1196,'Tabela Passaro'!$A$2:$A$1795,0)</f>
        <v>1123</v>
      </c>
      <c r="O1196" s="22" t="str">
        <f aca="false">INDEX('Tabela Passaro'!$C$2:$C$1795,$N1196)</f>
        <v>SERRA REDONDA</v>
      </c>
      <c r="P1196" s="22" t="str">
        <f aca="false">INDEX('Tabela Passaro'!$B$2:$B$1795,$N1196)</f>
        <v>PB</v>
      </c>
      <c r="Q1196" s="22" t="n">
        <f aca="false">INDEX('Tabela Passaro'!$F$2:$F$1795,$N1196)</f>
        <v>13</v>
      </c>
      <c r="R1196" s="32" t="n">
        <f aca="false">IF(J1196&lt;=10,INDEX('Tabela Passaro'!$G$2:$G$1795,$N1196),IF(J1196&lt;=30,INDEX('Tabela Passaro'!$H$2:$H$1795,$N1196),IF(J1196&lt;=50,INDEX('Tabela Passaro'!$I$2:$I$1795,$N1196),IF(J1196&lt;=70,INDEX('Tabela Passaro'!$J$2:$J$1795,$N1196),IF(J1196&lt;=100,INDEX('Tabela Passaro'!$K$2:$K$1795,$N1196),INDEX('Tabela Passaro'!$K$2:$K$1795,$N1196)+(J1196-100)*INDEX('Tabela Passaro'!$L$2:$L$1795,$N1196))))))</f>
        <v>139.62</v>
      </c>
      <c r="S1196" s="32" t="n">
        <f aca="false">K1196*INDEX('Tabela Passaro'!$M$2:$M$1795,$N1196)</f>
        <v>6.1999</v>
      </c>
      <c r="T1196" s="32" t="n">
        <f aca="false">K1196*INDEX('Tabela Passaro'!$N$2:$N$1795,$N1196)</f>
        <v>2.47996</v>
      </c>
      <c r="U1196" s="32" t="n">
        <f aca="false">INDEX('Tabela Passaro'!$O$2:$O$1795,$N1196)</f>
        <v>5</v>
      </c>
      <c r="V1196" s="32" t="n">
        <f aca="false">ROUNDUP(J1196/INDEX('Tabela Passaro'!$Q$2:$Q$1795,$N1196),0)*INDEX('Tabela Passaro'!$P$2:$P$1795,$N1196)</f>
        <v>5</v>
      </c>
      <c r="W1196" s="32" t="n">
        <f aca="false">INDEX('Tabela Passaro'!$R$2:$R$1795,$N1196)</f>
        <v>30</v>
      </c>
      <c r="X1196" s="32" t="n">
        <f aca="false">ROUNDUP(J1196/INDEX('Tabela Passaro'!$T$2:$T$1795,$N1196),0)*INDEX('Tabela Passaro'!$S$2:$S$1795,$N1196)</f>
        <v>0</v>
      </c>
      <c r="Y1196" s="32" t="n">
        <f aca="false">INDEX('Tabela Passaro'!$U$2:$U$1795,$N1196)</f>
        <v>0</v>
      </c>
      <c r="Z1196" s="32" t="n">
        <f aca="false">INDEX('Tabela Passaro'!$V$2:$V$1795,$N1196)</f>
        <v>0</v>
      </c>
      <c r="AA1196" s="32" t="n">
        <f aca="false">SUM(R1196:Z1196)</f>
        <v>188.29986</v>
      </c>
      <c r="AB1196" s="33" t="n">
        <f aca="false">INDEX(Premissas!$B$5:$B$13,MATCH(A1196,Premissas!$A$5:$A$13,0))</f>
        <v>0.07</v>
      </c>
      <c r="AC1196" s="32" t="n">
        <f aca="false">AA1196/(1-AB1196)-AA1196</f>
        <v>14.1731077419355</v>
      </c>
      <c r="AD1196" s="32" t="n">
        <f aca="false">ROUND(AA1196+AC1196,2)</f>
        <v>202.47</v>
      </c>
      <c r="AE1196" s="32" t="n">
        <f aca="false">AD1196-L1196</f>
        <v>-120.38</v>
      </c>
      <c r="AF1196" s="34" t="n">
        <f aca="false">IF(L1196=0,0,AE1196/L1196)</f>
        <v>-0.372866656341955</v>
      </c>
      <c r="AG1196" s="22" t="str">
        <f aca="false">IF(AD1196&lt;L1196,"PASSARO","ATUAL")</f>
        <v>PASSARO</v>
      </c>
      <c r="AH1196" s="22" t="str">
        <f aca="false">IF(P1196&lt;&gt;A1196,"Faixa cadastrada como "&amp;P1196&amp;" na tabela; preço aplicado pela UF do CEP","")</f>
        <v/>
      </c>
      <c r="AI1196" s="26" t="n">
        <v>252.69</v>
      </c>
      <c r="AJ1196" s="22" t="str">
        <f aca="false">INDEX('Tabela Passaro'!$X$2:$X$1795,$N1196)</f>
        <v>INTERIOR 2</v>
      </c>
    </row>
    <row r="1197" customFormat="false" ht="15" hidden="false" customHeight="false" outlineLevel="0" collapsed="false">
      <c r="A1197" s="22" t="s">
        <v>19</v>
      </c>
      <c r="B1197" s="22" t="n">
        <v>10</v>
      </c>
      <c r="C1197" s="22" t="s">
        <v>146</v>
      </c>
      <c r="D1197" s="22" t="s">
        <v>30</v>
      </c>
      <c r="E1197" s="22" t="s">
        <v>20</v>
      </c>
      <c r="F1197" s="22" t="n">
        <v>839405</v>
      </c>
      <c r="G1197" s="30" t="n">
        <v>46252</v>
      </c>
      <c r="H1197" s="22" t="n">
        <v>32543</v>
      </c>
      <c r="I1197" s="22" t="s">
        <v>8412</v>
      </c>
      <c r="J1197" s="31" t="n">
        <v>45.5</v>
      </c>
      <c r="K1197" s="26" t="n">
        <v>760.37</v>
      </c>
      <c r="L1197" s="26" t="n">
        <v>185.47</v>
      </c>
      <c r="M1197" s="22" t="s">
        <v>4701</v>
      </c>
      <c r="N1197" s="22" t="n">
        <f aca="false">MATCH(M1197,'Tabela Passaro'!$A$2:$A$1795,0)</f>
        <v>1123</v>
      </c>
      <c r="O1197" s="22" t="str">
        <f aca="false">INDEX('Tabela Passaro'!$C$2:$C$1795,$N1197)</f>
        <v>SERRA REDONDA</v>
      </c>
      <c r="P1197" s="22" t="str">
        <f aca="false">INDEX('Tabela Passaro'!$B$2:$B$1795,$N1197)</f>
        <v>PB</v>
      </c>
      <c r="Q1197" s="22" t="n">
        <f aca="false">INDEX('Tabela Passaro'!$F$2:$F$1795,$N1197)</f>
        <v>13</v>
      </c>
      <c r="R1197" s="32" t="n">
        <f aca="false">IF(J1197&lt;=10,INDEX('Tabela Passaro'!$G$2:$G$1795,$N1197),IF(J1197&lt;=30,INDEX('Tabela Passaro'!$H$2:$H$1795,$N1197),IF(J1197&lt;=50,INDEX('Tabela Passaro'!$I$2:$I$1795,$N1197),IF(J1197&lt;=70,INDEX('Tabela Passaro'!$J$2:$J$1795,$N1197),IF(J1197&lt;=100,INDEX('Tabela Passaro'!$K$2:$K$1795,$N1197),INDEX('Tabela Passaro'!$K$2:$K$1795,$N1197)+(J1197-100)*INDEX('Tabela Passaro'!$L$2:$L$1795,$N1197))))))</f>
        <v>129.6</v>
      </c>
      <c r="S1197" s="32" t="n">
        <f aca="false">K1197*INDEX('Tabela Passaro'!$M$2:$M$1795,$N1197)</f>
        <v>3.80185</v>
      </c>
      <c r="T1197" s="32" t="n">
        <f aca="false">K1197*INDEX('Tabela Passaro'!$N$2:$N$1795,$N1197)</f>
        <v>1.52074</v>
      </c>
      <c r="U1197" s="32" t="n">
        <f aca="false">INDEX('Tabela Passaro'!$O$2:$O$1795,$N1197)</f>
        <v>5</v>
      </c>
      <c r="V1197" s="32" t="n">
        <f aca="false">ROUNDUP(J1197/INDEX('Tabela Passaro'!$Q$2:$Q$1795,$N1197),0)*INDEX('Tabela Passaro'!$P$2:$P$1795,$N1197)</f>
        <v>5</v>
      </c>
      <c r="W1197" s="32" t="n">
        <f aca="false">INDEX('Tabela Passaro'!$R$2:$R$1795,$N1197)</f>
        <v>30</v>
      </c>
      <c r="X1197" s="32" t="n">
        <f aca="false">ROUNDUP(J1197/INDEX('Tabela Passaro'!$T$2:$T$1795,$N1197),0)*INDEX('Tabela Passaro'!$S$2:$S$1795,$N1197)</f>
        <v>0</v>
      </c>
      <c r="Y1197" s="32" t="n">
        <f aca="false">INDEX('Tabela Passaro'!$U$2:$U$1795,$N1197)</f>
        <v>0</v>
      </c>
      <c r="Z1197" s="32" t="n">
        <f aca="false">INDEX('Tabela Passaro'!$V$2:$V$1795,$N1197)</f>
        <v>0</v>
      </c>
      <c r="AA1197" s="32" t="n">
        <f aca="false">SUM(R1197:Z1197)</f>
        <v>174.92259</v>
      </c>
      <c r="AB1197" s="33" t="n">
        <f aca="false">INDEX(Premissas!$B$5:$B$13,MATCH(A1197,Premissas!$A$5:$A$13,0))</f>
        <v>0.07</v>
      </c>
      <c r="AC1197" s="32" t="n">
        <f aca="false">AA1197/(1-AB1197)-AA1197</f>
        <v>13.1662164516129</v>
      </c>
      <c r="AD1197" s="32" t="n">
        <f aca="false">ROUND(AA1197+AC1197,2)</f>
        <v>188.09</v>
      </c>
      <c r="AE1197" s="32" t="n">
        <f aca="false">AD1197-L1197</f>
        <v>2.62</v>
      </c>
      <c r="AF1197" s="34" t="n">
        <f aca="false">IF(L1197=0,0,AE1197/L1197)</f>
        <v>0.0141262737909096</v>
      </c>
      <c r="AG1197" s="22" t="str">
        <f aca="false">IF(AD1197&lt;L1197,"PASSARO","ATUAL")</f>
        <v>ATUAL</v>
      </c>
      <c r="AH1197" s="22" t="str">
        <f aca="false">IF(P1197&lt;&gt;A1197,"Faixa cadastrada como "&amp;P1197&amp;" na tabela; preço aplicado pela UF do CEP","")</f>
        <v/>
      </c>
      <c r="AI1197" s="26" t="n">
        <v>223.92</v>
      </c>
      <c r="AJ1197" s="22" t="str">
        <f aca="false">INDEX('Tabela Passaro'!$X$2:$X$1795,$N1197)</f>
        <v>INTERIOR 2</v>
      </c>
    </row>
    <row r="1198" customFormat="false" ht="15" hidden="false" customHeight="false" outlineLevel="0" collapsed="false">
      <c r="A1198" s="22" t="s">
        <v>20</v>
      </c>
      <c r="B1198" s="22" t="n">
        <v>1</v>
      </c>
      <c r="C1198" s="22" t="s">
        <v>147</v>
      </c>
      <c r="D1198" s="22" t="s">
        <v>30</v>
      </c>
      <c r="E1198" s="22" t="s">
        <v>20</v>
      </c>
      <c r="F1198" s="22" t="n">
        <v>837653</v>
      </c>
      <c r="G1198" s="30" t="n">
        <v>46237</v>
      </c>
      <c r="H1198" s="22" t="n">
        <v>32330</v>
      </c>
      <c r="I1198" s="22" t="s">
        <v>8413</v>
      </c>
      <c r="J1198" s="31" t="n">
        <v>87.79</v>
      </c>
      <c r="K1198" s="26" t="n">
        <v>1225.53</v>
      </c>
      <c r="L1198" s="26" t="n">
        <v>131.02</v>
      </c>
      <c r="M1198" s="22" t="s">
        <v>4802</v>
      </c>
      <c r="N1198" s="22" t="n">
        <f aca="false">MATCH(M1198,'Tabela Passaro'!$A$2:$A$1795,0)</f>
        <v>1150</v>
      </c>
      <c r="O1198" s="22" t="str">
        <f aca="false">INDEX('Tabela Passaro'!$C$2:$C$1795,$N1198)</f>
        <v>RECIFE</v>
      </c>
      <c r="P1198" s="22" t="str">
        <f aca="false">INDEX('Tabela Passaro'!$B$2:$B$1795,$N1198)</f>
        <v>PE</v>
      </c>
      <c r="Q1198" s="22" t="n">
        <f aca="false">INDEX('Tabela Passaro'!$F$2:$F$1795,$N1198)</f>
        <v>8</v>
      </c>
      <c r="R1198" s="32" t="n">
        <f aca="false">IF(J1198&lt;=10,INDEX('Tabela Passaro'!$G$2:$G$1795,$N1198),IF(J1198&lt;=30,INDEX('Tabela Passaro'!$H$2:$H$1795,$N1198),IF(J1198&lt;=50,INDEX('Tabela Passaro'!$I$2:$I$1795,$N1198),IF(J1198&lt;=70,INDEX('Tabela Passaro'!$J$2:$J$1795,$N1198),IF(J1198&lt;=100,INDEX('Tabela Passaro'!$K$2:$K$1795,$N1198),INDEX('Tabela Passaro'!$K$2:$K$1795,$N1198)+(J1198-100)*INDEX('Tabela Passaro'!$L$2:$L$1795,$N1198))))))</f>
        <v>116.14</v>
      </c>
      <c r="S1198" s="32" t="n">
        <f aca="false">K1198*INDEX('Tabela Passaro'!$M$2:$M$1795,$N1198)</f>
        <v>6.12765</v>
      </c>
      <c r="T1198" s="32" t="n">
        <f aca="false">K1198*INDEX('Tabela Passaro'!$N$2:$N$1795,$N1198)</f>
        <v>2.45106</v>
      </c>
      <c r="U1198" s="32" t="n">
        <f aca="false">INDEX('Tabela Passaro'!$O$2:$O$1795,$N1198)</f>
        <v>5</v>
      </c>
      <c r="V1198" s="32" t="n">
        <f aca="false">ROUNDUP(J1198/INDEX('Tabela Passaro'!$Q$2:$Q$1795,$N1198),0)*INDEX('Tabela Passaro'!$P$2:$P$1795,$N1198)</f>
        <v>5</v>
      </c>
      <c r="W1198" s="32" t="n">
        <f aca="false">INDEX('Tabela Passaro'!$R$2:$R$1795,$N1198)</f>
        <v>30</v>
      </c>
      <c r="X1198" s="32" t="n">
        <f aca="false">ROUNDUP(J1198/INDEX('Tabela Passaro'!$T$2:$T$1795,$N1198),0)*INDEX('Tabela Passaro'!$S$2:$S$1795,$N1198)</f>
        <v>0</v>
      </c>
      <c r="Y1198" s="32" t="n">
        <f aca="false">INDEX('Tabela Passaro'!$U$2:$U$1795,$N1198)</f>
        <v>0</v>
      </c>
      <c r="Z1198" s="32" t="n">
        <f aca="false">INDEX('Tabela Passaro'!$V$2:$V$1795,$N1198)</f>
        <v>0</v>
      </c>
      <c r="AA1198" s="32" t="n">
        <f aca="false">SUM(R1198:Z1198)</f>
        <v>164.71871</v>
      </c>
      <c r="AB1198" s="33" t="n">
        <f aca="false">INDEX(Premissas!$B$5:$B$13,MATCH(A1198,Premissas!$A$5:$A$13,0))</f>
        <v>0.07</v>
      </c>
      <c r="AC1198" s="32" t="n">
        <f aca="false">AA1198/(1-AB1198)-AA1198</f>
        <v>12.3981824731183</v>
      </c>
      <c r="AD1198" s="32" t="n">
        <f aca="false">ROUND(AA1198+AC1198,2)</f>
        <v>177.12</v>
      </c>
      <c r="AE1198" s="32" t="n">
        <f aca="false">AD1198-L1198</f>
        <v>46.1</v>
      </c>
      <c r="AF1198" s="34" t="n">
        <f aca="false">IF(L1198=0,0,AE1198/L1198)</f>
        <v>0.351854678675011</v>
      </c>
      <c r="AG1198" s="22" t="str">
        <f aca="false">IF(AD1198&lt;L1198,"PASSARO","ATUAL")</f>
        <v>ATUAL</v>
      </c>
      <c r="AH1198" s="22" t="str">
        <f aca="false">IF(P1198&lt;&gt;A1198,"Faixa cadastrada como "&amp;P1198&amp;" na tabela; preço aplicado pela UF do CEP","")</f>
        <v/>
      </c>
      <c r="AI1198" s="26" t="n">
        <v>234.84</v>
      </c>
      <c r="AJ1198" s="22" t="str">
        <f aca="false">INDEX('Tabela Passaro'!$X$2:$X$1795,$N1198)</f>
        <v>CAPITAL</v>
      </c>
    </row>
    <row r="1199" customFormat="false" ht="15" hidden="false" customHeight="false" outlineLevel="0" collapsed="false">
      <c r="A1199" s="22" t="s">
        <v>20</v>
      </c>
      <c r="B1199" s="22" t="n">
        <v>1</v>
      </c>
      <c r="C1199" s="22" t="s">
        <v>147</v>
      </c>
      <c r="D1199" s="22" t="s">
        <v>30</v>
      </c>
      <c r="E1199" s="22" t="s">
        <v>20</v>
      </c>
      <c r="F1199" s="22" t="n">
        <v>837655</v>
      </c>
      <c r="G1199" s="30" t="n">
        <v>46237</v>
      </c>
      <c r="H1199" s="22" t="n">
        <v>32332</v>
      </c>
      <c r="I1199" s="22" t="s">
        <v>8414</v>
      </c>
      <c r="J1199" s="31" t="n">
        <v>17.2</v>
      </c>
      <c r="K1199" s="26" t="n">
        <v>342.48</v>
      </c>
      <c r="L1199" s="26" t="n">
        <v>79.73</v>
      </c>
      <c r="M1199" s="22" t="s">
        <v>4802</v>
      </c>
      <c r="N1199" s="22" t="n">
        <f aca="false">MATCH(M1199,'Tabela Passaro'!$A$2:$A$1795,0)</f>
        <v>1150</v>
      </c>
      <c r="O1199" s="22" t="str">
        <f aca="false">INDEX('Tabela Passaro'!$C$2:$C$1795,$N1199)</f>
        <v>RECIFE</v>
      </c>
      <c r="P1199" s="22" t="str">
        <f aca="false">INDEX('Tabela Passaro'!$B$2:$B$1795,$N1199)</f>
        <v>PE</v>
      </c>
      <c r="Q1199" s="22" t="n">
        <f aca="false">INDEX('Tabela Passaro'!$F$2:$F$1795,$N1199)</f>
        <v>8</v>
      </c>
      <c r="R1199" s="32" t="n">
        <f aca="false">IF(J1199&lt;=10,INDEX('Tabela Passaro'!$G$2:$G$1795,$N1199),IF(J1199&lt;=30,INDEX('Tabela Passaro'!$H$2:$H$1795,$N1199),IF(J1199&lt;=50,INDEX('Tabela Passaro'!$I$2:$I$1795,$N1199),IF(J1199&lt;=70,INDEX('Tabela Passaro'!$J$2:$J$1795,$N1199),IF(J1199&lt;=100,INDEX('Tabela Passaro'!$K$2:$K$1795,$N1199),INDEX('Tabela Passaro'!$K$2:$K$1795,$N1199)+(J1199-100)*INDEX('Tabela Passaro'!$L$2:$L$1795,$N1199))))))</f>
        <v>66.55</v>
      </c>
      <c r="S1199" s="32" t="n">
        <f aca="false">K1199*INDEX('Tabela Passaro'!$M$2:$M$1795,$N1199)</f>
        <v>1.7124</v>
      </c>
      <c r="T1199" s="32" t="n">
        <f aca="false">K1199*INDEX('Tabela Passaro'!$N$2:$N$1795,$N1199)</f>
        <v>0.68496</v>
      </c>
      <c r="U1199" s="32" t="n">
        <f aca="false">INDEX('Tabela Passaro'!$O$2:$O$1795,$N1199)</f>
        <v>5</v>
      </c>
      <c r="V1199" s="32" t="n">
        <f aca="false">ROUNDUP(J1199/INDEX('Tabela Passaro'!$Q$2:$Q$1795,$N1199),0)*INDEX('Tabela Passaro'!$P$2:$P$1795,$N1199)</f>
        <v>5</v>
      </c>
      <c r="W1199" s="32" t="n">
        <f aca="false">INDEX('Tabela Passaro'!$R$2:$R$1795,$N1199)</f>
        <v>30</v>
      </c>
      <c r="X1199" s="32" t="n">
        <f aca="false">ROUNDUP(J1199/INDEX('Tabela Passaro'!$T$2:$T$1795,$N1199),0)*INDEX('Tabela Passaro'!$S$2:$S$1795,$N1199)</f>
        <v>0</v>
      </c>
      <c r="Y1199" s="32" t="n">
        <f aca="false">INDEX('Tabela Passaro'!$U$2:$U$1795,$N1199)</f>
        <v>0</v>
      </c>
      <c r="Z1199" s="32" t="n">
        <f aca="false">INDEX('Tabela Passaro'!$V$2:$V$1795,$N1199)</f>
        <v>0</v>
      </c>
      <c r="AA1199" s="32" t="n">
        <f aca="false">SUM(R1199:Z1199)</f>
        <v>108.94736</v>
      </c>
      <c r="AB1199" s="33" t="n">
        <f aca="false">INDEX(Premissas!$B$5:$B$13,MATCH(A1199,Premissas!$A$5:$A$13,0))</f>
        <v>0.07</v>
      </c>
      <c r="AC1199" s="32" t="n">
        <f aca="false">AA1199/(1-AB1199)-AA1199</f>
        <v>8.20033892473118</v>
      </c>
      <c r="AD1199" s="32" t="n">
        <f aca="false">ROUND(AA1199+AC1199,2)</f>
        <v>117.15</v>
      </c>
      <c r="AE1199" s="32" t="n">
        <f aca="false">AD1199-L1199</f>
        <v>37.42</v>
      </c>
      <c r="AF1199" s="34" t="n">
        <f aca="false">IF(L1199=0,0,AE1199/L1199)</f>
        <v>0.469334002257619</v>
      </c>
      <c r="AG1199" s="22" t="str">
        <f aca="false">IF(AD1199&lt;L1199,"PASSARO","ATUAL")</f>
        <v>ATUAL</v>
      </c>
      <c r="AH1199" s="22" t="str">
        <f aca="false">IF(P1199&lt;&gt;A1199,"Faixa cadastrada como "&amp;P1199&amp;" na tabela; preço aplicado pela UF do CEP","")</f>
        <v/>
      </c>
      <c r="AI1199" s="26" t="n">
        <v>136.06</v>
      </c>
      <c r="AJ1199" s="22" t="str">
        <f aca="false">INDEX('Tabela Passaro'!$X$2:$X$1795,$N1199)</f>
        <v>CAPITAL</v>
      </c>
    </row>
    <row r="1200" customFormat="false" ht="15" hidden="false" customHeight="false" outlineLevel="0" collapsed="false">
      <c r="A1200" s="22" t="s">
        <v>20</v>
      </c>
      <c r="B1200" s="22" t="n">
        <v>1</v>
      </c>
      <c r="C1200" s="22" t="s">
        <v>147</v>
      </c>
      <c r="D1200" s="22" t="s">
        <v>30</v>
      </c>
      <c r="E1200" s="22" t="s">
        <v>20</v>
      </c>
      <c r="F1200" s="22" t="n">
        <v>837674</v>
      </c>
      <c r="G1200" s="30" t="n">
        <v>46237</v>
      </c>
      <c r="H1200" s="22" t="n">
        <v>32351</v>
      </c>
      <c r="I1200" s="22" t="s">
        <v>8415</v>
      </c>
      <c r="J1200" s="31" t="n">
        <v>19.5</v>
      </c>
      <c r="K1200" s="26" t="n">
        <v>545.48</v>
      </c>
      <c r="L1200" s="26" t="n">
        <v>81.33</v>
      </c>
      <c r="M1200" s="22" t="s">
        <v>4802</v>
      </c>
      <c r="N1200" s="22" t="n">
        <f aca="false">MATCH(M1200,'Tabela Passaro'!$A$2:$A$1795,0)</f>
        <v>1150</v>
      </c>
      <c r="O1200" s="22" t="str">
        <f aca="false">INDEX('Tabela Passaro'!$C$2:$C$1795,$N1200)</f>
        <v>RECIFE</v>
      </c>
      <c r="P1200" s="22" t="str">
        <f aca="false">INDEX('Tabela Passaro'!$B$2:$B$1795,$N1200)</f>
        <v>PE</v>
      </c>
      <c r="Q1200" s="22" t="n">
        <f aca="false">INDEX('Tabela Passaro'!$F$2:$F$1795,$N1200)</f>
        <v>8</v>
      </c>
      <c r="R1200" s="32" t="n">
        <f aca="false">IF(J1200&lt;=10,INDEX('Tabela Passaro'!$G$2:$G$1795,$N1200),IF(J1200&lt;=30,INDEX('Tabela Passaro'!$H$2:$H$1795,$N1200),IF(J1200&lt;=50,INDEX('Tabela Passaro'!$I$2:$I$1795,$N1200),IF(J1200&lt;=70,INDEX('Tabela Passaro'!$J$2:$J$1795,$N1200),IF(J1200&lt;=100,INDEX('Tabela Passaro'!$K$2:$K$1795,$N1200),INDEX('Tabela Passaro'!$K$2:$K$1795,$N1200)+(J1200-100)*INDEX('Tabela Passaro'!$L$2:$L$1795,$N1200))))))</f>
        <v>66.55</v>
      </c>
      <c r="S1200" s="32" t="n">
        <f aca="false">K1200*INDEX('Tabela Passaro'!$M$2:$M$1795,$N1200)</f>
        <v>2.7274</v>
      </c>
      <c r="T1200" s="32" t="n">
        <f aca="false">K1200*INDEX('Tabela Passaro'!$N$2:$N$1795,$N1200)</f>
        <v>1.09096</v>
      </c>
      <c r="U1200" s="32" t="n">
        <f aca="false">INDEX('Tabela Passaro'!$O$2:$O$1795,$N1200)</f>
        <v>5</v>
      </c>
      <c r="V1200" s="32" t="n">
        <f aca="false">ROUNDUP(J1200/INDEX('Tabela Passaro'!$Q$2:$Q$1795,$N1200),0)*INDEX('Tabela Passaro'!$P$2:$P$1795,$N1200)</f>
        <v>5</v>
      </c>
      <c r="W1200" s="32" t="n">
        <f aca="false">INDEX('Tabela Passaro'!$R$2:$R$1795,$N1200)</f>
        <v>30</v>
      </c>
      <c r="X1200" s="32" t="n">
        <f aca="false">ROUNDUP(J1200/INDEX('Tabela Passaro'!$T$2:$T$1795,$N1200),0)*INDEX('Tabela Passaro'!$S$2:$S$1795,$N1200)</f>
        <v>0</v>
      </c>
      <c r="Y1200" s="32" t="n">
        <f aca="false">INDEX('Tabela Passaro'!$U$2:$U$1795,$N1200)</f>
        <v>0</v>
      </c>
      <c r="Z1200" s="32" t="n">
        <f aca="false">INDEX('Tabela Passaro'!$V$2:$V$1795,$N1200)</f>
        <v>0</v>
      </c>
      <c r="AA1200" s="32" t="n">
        <f aca="false">SUM(R1200:Z1200)</f>
        <v>110.36836</v>
      </c>
      <c r="AB1200" s="33" t="n">
        <f aca="false">INDEX(Premissas!$B$5:$B$13,MATCH(A1200,Premissas!$A$5:$A$13,0))</f>
        <v>0.07</v>
      </c>
      <c r="AC1200" s="32" t="n">
        <f aca="false">AA1200/(1-AB1200)-AA1200</f>
        <v>8.30729591397851</v>
      </c>
      <c r="AD1200" s="32" t="n">
        <f aca="false">ROUND(AA1200+AC1200,2)</f>
        <v>118.68</v>
      </c>
      <c r="AE1200" s="32" t="n">
        <f aca="false">AD1200-L1200</f>
        <v>37.35</v>
      </c>
      <c r="AF1200" s="34" t="n">
        <f aca="false">IF(L1200=0,0,AE1200/L1200)</f>
        <v>0.459240132792328</v>
      </c>
      <c r="AG1200" s="22" t="str">
        <f aca="false">IF(AD1200&lt;L1200,"PASSARO","ATUAL")</f>
        <v>ATUAL</v>
      </c>
      <c r="AH1200" s="22" t="str">
        <f aca="false">IF(P1200&lt;&gt;A1200,"Faixa cadastrada como "&amp;P1200&amp;" na tabela; preço aplicado pela UF do CEP","")</f>
        <v/>
      </c>
      <c r="AI1200" s="26" t="n">
        <v>138.99</v>
      </c>
      <c r="AJ1200" s="22" t="str">
        <f aca="false">INDEX('Tabela Passaro'!$X$2:$X$1795,$N1200)</f>
        <v>CAPITAL</v>
      </c>
    </row>
    <row r="1201" customFormat="false" ht="15" hidden="false" customHeight="false" outlineLevel="0" collapsed="false">
      <c r="A1201" s="22" t="s">
        <v>20</v>
      </c>
      <c r="B1201" s="22" t="n">
        <v>1</v>
      </c>
      <c r="C1201" s="22" t="s">
        <v>147</v>
      </c>
      <c r="D1201" s="22" t="s">
        <v>30</v>
      </c>
      <c r="E1201" s="22" t="s">
        <v>20</v>
      </c>
      <c r="F1201" s="22" t="n">
        <v>837675</v>
      </c>
      <c r="G1201" s="30" t="n">
        <v>46237</v>
      </c>
      <c r="H1201" s="22" t="n">
        <v>32352</v>
      </c>
      <c r="I1201" s="22" t="s">
        <v>8416</v>
      </c>
      <c r="J1201" s="31" t="n">
        <v>37.59</v>
      </c>
      <c r="K1201" s="26" t="n">
        <v>649.94</v>
      </c>
      <c r="L1201" s="26" t="n">
        <v>101.14</v>
      </c>
      <c r="M1201" s="22" t="s">
        <v>4802</v>
      </c>
      <c r="N1201" s="22" t="n">
        <f aca="false">MATCH(M1201,'Tabela Passaro'!$A$2:$A$1795,0)</f>
        <v>1150</v>
      </c>
      <c r="O1201" s="22" t="str">
        <f aca="false">INDEX('Tabela Passaro'!$C$2:$C$1795,$N1201)</f>
        <v>RECIFE</v>
      </c>
      <c r="P1201" s="22" t="str">
        <f aca="false">INDEX('Tabela Passaro'!$B$2:$B$1795,$N1201)</f>
        <v>PE</v>
      </c>
      <c r="Q1201" s="22" t="n">
        <f aca="false">INDEX('Tabela Passaro'!$F$2:$F$1795,$N1201)</f>
        <v>8</v>
      </c>
      <c r="R1201" s="32" t="n">
        <f aca="false">IF(J1201&lt;=10,INDEX('Tabela Passaro'!$G$2:$G$1795,$N1201),IF(J1201&lt;=30,INDEX('Tabela Passaro'!$H$2:$H$1795,$N1201),IF(J1201&lt;=50,INDEX('Tabela Passaro'!$I$2:$I$1795,$N1201),IF(J1201&lt;=70,INDEX('Tabela Passaro'!$J$2:$J$1795,$N1201),IF(J1201&lt;=100,INDEX('Tabela Passaro'!$K$2:$K$1795,$N1201),INDEX('Tabela Passaro'!$K$2:$K$1795,$N1201)+(J1201-100)*INDEX('Tabela Passaro'!$L$2:$L$1795,$N1201))))))</f>
        <v>88.59</v>
      </c>
      <c r="S1201" s="32" t="n">
        <f aca="false">K1201*INDEX('Tabela Passaro'!$M$2:$M$1795,$N1201)</f>
        <v>3.2497</v>
      </c>
      <c r="T1201" s="32" t="n">
        <f aca="false">K1201*INDEX('Tabela Passaro'!$N$2:$N$1795,$N1201)</f>
        <v>1.29988</v>
      </c>
      <c r="U1201" s="32" t="n">
        <f aca="false">INDEX('Tabela Passaro'!$O$2:$O$1795,$N1201)</f>
        <v>5</v>
      </c>
      <c r="V1201" s="32" t="n">
        <f aca="false">ROUNDUP(J1201/INDEX('Tabela Passaro'!$Q$2:$Q$1795,$N1201),0)*INDEX('Tabela Passaro'!$P$2:$P$1795,$N1201)</f>
        <v>5</v>
      </c>
      <c r="W1201" s="32" t="n">
        <f aca="false">INDEX('Tabela Passaro'!$R$2:$R$1795,$N1201)</f>
        <v>30</v>
      </c>
      <c r="X1201" s="32" t="n">
        <f aca="false">ROUNDUP(J1201/INDEX('Tabela Passaro'!$T$2:$T$1795,$N1201),0)*INDEX('Tabela Passaro'!$S$2:$S$1795,$N1201)</f>
        <v>0</v>
      </c>
      <c r="Y1201" s="32" t="n">
        <f aca="false">INDEX('Tabela Passaro'!$U$2:$U$1795,$N1201)</f>
        <v>0</v>
      </c>
      <c r="Z1201" s="32" t="n">
        <f aca="false">INDEX('Tabela Passaro'!$V$2:$V$1795,$N1201)</f>
        <v>0</v>
      </c>
      <c r="AA1201" s="32" t="n">
        <f aca="false">SUM(R1201:Z1201)</f>
        <v>133.13958</v>
      </c>
      <c r="AB1201" s="33" t="n">
        <f aca="false">INDEX(Premissas!$B$5:$B$13,MATCH(A1201,Premissas!$A$5:$A$13,0))</f>
        <v>0.07</v>
      </c>
      <c r="AC1201" s="32" t="n">
        <f aca="false">AA1201/(1-AB1201)-AA1201</f>
        <v>10.0212587096774</v>
      </c>
      <c r="AD1201" s="32" t="n">
        <f aca="false">ROUND(AA1201+AC1201,2)</f>
        <v>143.16</v>
      </c>
      <c r="AE1201" s="32" t="n">
        <f aca="false">AD1201-L1201</f>
        <v>42.02</v>
      </c>
      <c r="AF1201" s="34" t="n">
        <f aca="false">IF(L1201=0,0,AE1201/L1201)</f>
        <v>0.415463713664228</v>
      </c>
      <c r="AG1201" s="22" t="str">
        <f aca="false">IF(AD1201&lt;L1201,"PASSARO","ATUAL")</f>
        <v>ATUAL</v>
      </c>
      <c r="AH1201" s="22" t="str">
        <f aca="false">IF(P1201&lt;&gt;A1201,"Faixa cadastrada como "&amp;P1201&amp;" na tabela; preço aplicado pela UF do CEP","")</f>
        <v/>
      </c>
      <c r="AI1201" s="26" t="n">
        <v>173.76</v>
      </c>
      <c r="AJ1201" s="22" t="str">
        <f aca="false">INDEX('Tabela Passaro'!$X$2:$X$1795,$N1201)</f>
        <v>CAPITAL</v>
      </c>
    </row>
    <row r="1202" customFormat="false" ht="15" hidden="false" customHeight="false" outlineLevel="0" collapsed="false">
      <c r="A1202" s="22" t="s">
        <v>20</v>
      </c>
      <c r="B1202" s="22" t="n">
        <v>1</v>
      </c>
      <c r="C1202" s="22" t="s">
        <v>147</v>
      </c>
      <c r="D1202" s="22" t="s">
        <v>30</v>
      </c>
      <c r="E1202" s="22" t="s">
        <v>20</v>
      </c>
      <c r="F1202" s="22" t="n">
        <v>837692</v>
      </c>
      <c r="G1202" s="30" t="n">
        <v>46237</v>
      </c>
      <c r="H1202" s="22" t="n">
        <v>32369</v>
      </c>
      <c r="I1202" s="22" t="s">
        <v>8417</v>
      </c>
      <c r="J1202" s="31" t="n">
        <v>21.3</v>
      </c>
      <c r="K1202" s="26" t="n">
        <v>453.98</v>
      </c>
      <c r="L1202" s="26" t="n">
        <v>80.6</v>
      </c>
      <c r="M1202" s="22" t="s">
        <v>4802</v>
      </c>
      <c r="N1202" s="22" t="n">
        <f aca="false">MATCH(M1202,'Tabela Passaro'!$A$2:$A$1795,0)</f>
        <v>1150</v>
      </c>
      <c r="O1202" s="22" t="str">
        <f aca="false">INDEX('Tabela Passaro'!$C$2:$C$1795,$N1202)</f>
        <v>RECIFE</v>
      </c>
      <c r="P1202" s="22" t="str">
        <f aca="false">INDEX('Tabela Passaro'!$B$2:$B$1795,$N1202)</f>
        <v>PE</v>
      </c>
      <c r="Q1202" s="22" t="n">
        <f aca="false">INDEX('Tabela Passaro'!$F$2:$F$1795,$N1202)</f>
        <v>8</v>
      </c>
      <c r="R1202" s="32" t="n">
        <f aca="false">IF(J1202&lt;=10,INDEX('Tabela Passaro'!$G$2:$G$1795,$N1202),IF(J1202&lt;=30,INDEX('Tabela Passaro'!$H$2:$H$1795,$N1202),IF(J1202&lt;=50,INDEX('Tabela Passaro'!$I$2:$I$1795,$N1202),IF(J1202&lt;=70,INDEX('Tabela Passaro'!$J$2:$J$1795,$N1202),IF(J1202&lt;=100,INDEX('Tabela Passaro'!$K$2:$K$1795,$N1202),INDEX('Tabela Passaro'!$K$2:$K$1795,$N1202)+(J1202-100)*INDEX('Tabela Passaro'!$L$2:$L$1795,$N1202))))))</f>
        <v>66.55</v>
      </c>
      <c r="S1202" s="32" t="n">
        <f aca="false">K1202*INDEX('Tabela Passaro'!$M$2:$M$1795,$N1202)</f>
        <v>2.2699</v>
      </c>
      <c r="T1202" s="32" t="n">
        <f aca="false">K1202*INDEX('Tabela Passaro'!$N$2:$N$1795,$N1202)</f>
        <v>0.90796</v>
      </c>
      <c r="U1202" s="32" t="n">
        <f aca="false">INDEX('Tabela Passaro'!$O$2:$O$1795,$N1202)</f>
        <v>5</v>
      </c>
      <c r="V1202" s="32" t="n">
        <f aca="false">ROUNDUP(J1202/INDEX('Tabela Passaro'!$Q$2:$Q$1795,$N1202),0)*INDEX('Tabela Passaro'!$P$2:$P$1795,$N1202)</f>
        <v>5</v>
      </c>
      <c r="W1202" s="32" t="n">
        <f aca="false">INDEX('Tabela Passaro'!$R$2:$R$1795,$N1202)</f>
        <v>30</v>
      </c>
      <c r="X1202" s="32" t="n">
        <f aca="false">ROUNDUP(J1202/INDEX('Tabela Passaro'!$T$2:$T$1795,$N1202),0)*INDEX('Tabela Passaro'!$S$2:$S$1795,$N1202)</f>
        <v>0</v>
      </c>
      <c r="Y1202" s="32" t="n">
        <f aca="false">INDEX('Tabela Passaro'!$U$2:$U$1795,$N1202)</f>
        <v>0</v>
      </c>
      <c r="Z1202" s="32" t="n">
        <f aca="false">INDEX('Tabela Passaro'!$V$2:$V$1795,$N1202)</f>
        <v>0</v>
      </c>
      <c r="AA1202" s="32" t="n">
        <f aca="false">SUM(R1202:Z1202)</f>
        <v>109.72786</v>
      </c>
      <c r="AB1202" s="33" t="n">
        <f aca="false">INDEX(Premissas!$B$5:$B$13,MATCH(A1202,Premissas!$A$5:$A$13,0))</f>
        <v>0.07</v>
      </c>
      <c r="AC1202" s="32" t="n">
        <f aca="false">AA1202/(1-AB1202)-AA1202</f>
        <v>8.25908623655914</v>
      </c>
      <c r="AD1202" s="32" t="n">
        <f aca="false">ROUND(AA1202+AC1202,2)</f>
        <v>117.99</v>
      </c>
      <c r="AE1202" s="32" t="n">
        <f aca="false">AD1202-L1202</f>
        <v>37.39</v>
      </c>
      <c r="AF1202" s="34" t="n">
        <f aca="false">IF(L1202=0,0,AE1202/L1202)</f>
        <v>0.463895781637717</v>
      </c>
      <c r="AG1202" s="22" t="str">
        <f aca="false">IF(AD1202&lt;L1202,"PASSARO","ATUAL")</f>
        <v>ATUAL</v>
      </c>
      <c r="AH1202" s="22" t="str">
        <f aca="false">IF(P1202&lt;&gt;A1202,"Faixa cadastrada como "&amp;P1202&amp;" na tabela; preço aplicado pela UF do CEP","")</f>
        <v/>
      </c>
      <c r="AI1202" s="26" t="n">
        <v>139.07</v>
      </c>
      <c r="AJ1202" s="22" t="str">
        <f aca="false">INDEX('Tabela Passaro'!$X$2:$X$1795,$N1202)</f>
        <v>CAPITAL</v>
      </c>
    </row>
    <row r="1203" customFormat="false" ht="15" hidden="false" customHeight="false" outlineLevel="0" collapsed="false">
      <c r="A1203" s="22" t="s">
        <v>20</v>
      </c>
      <c r="B1203" s="22" t="n">
        <v>1</v>
      </c>
      <c r="C1203" s="22" t="s">
        <v>147</v>
      </c>
      <c r="D1203" s="22" t="s">
        <v>30</v>
      </c>
      <c r="E1203" s="22" t="s">
        <v>20</v>
      </c>
      <c r="F1203" s="22" t="n">
        <v>837699</v>
      </c>
      <c r="G1203" s="30" t="n">
        <v>46237</v>
      </c>
      <c r="H1203" s="22" t="n">
        <v>32376</v>
      </c>
      <c r="I1203" s="22" t="s">
        <v>8418</v>
      </c>
      <c r="J1203" s="31" t="n">
        <v>15</v>
      </c>
      <c r="K1203" s="26" t="n">
        <v>349.98</v>
      </c>
      <c r="L1203" s="26" t="n">
        <v>51.29</v>
      </c>
      <c r="M1203" s="22" t="s">
        <v>4802</v>
      </c>
      <c r="N1203" s="22" t="n">
        <f aca="false">MATCH(M1203,'Tabela Passaro'!$A$2:$A$1795,0)</f>
        <v>1150</v>
      </c>
      <c r="O1203" s="22" t="str">
        <f aca="false">INDEX('Tabela Passaro'!$C$2:$C$1795,$N1203)</f>
        <v>RECIFE</v>
      </c>
      <c r="P1203" s="22" t="str">
        <f aca="false">INDEX('Tabela Passaro'!$B$2:$B$1795,$N1203)</f>
        <v>PE</v>
      </c>
      <c r="Q1203" s="22" t="n">
        <f aca="false">INDEX('Tabela Passaro'!$F$2:$F$1795,$N1203)</f>
        <v>8</v>
      </c>
      <c r="R1203" s="32" t="n">
        <f aca="false">IF(J1203&lt;=10,INDEX('Tabela Passaro'!$G$2:$G$1795,$N1203),IF(J1203&lt;=30,INDEX('Tabela Passaro'!$H$2:$H$1795,$N1203),IF(J1203&lt;=50,INDEX('Tabela Passaro'!$I$2:$I$1795,$N1203),IF(J1203&lt;=70,INDEX('Tabela Passaro'!$J$2:$J$1795,$N1203),IF(J1203&lt;=100,INDEX('Tabela Passaro'!$K$2:$K$1795,$N1203),INDEX('Tabela Passaro'!$K$2:$K$1795,$N1203)+(J1203-100)*INDEX('Tabela Passaro'!$L$2:$L$1795,$N1203))))))</f>
        <v>66.55</v>
      </c>
      <c r="S1203" s="32" t="n">
        <f aca="false">K1203*INDEX('Tabela Passaro'!$M$2:$M$1795,$N1203)</f>
        <v>1.7499</v>
      </c>
      <c r="T1203" s="32" t="n">
        <f aca="false">K1203*INDEX('Tabela Passaro'!$N$2:$N$1795,$N1203)</f>
        <v>0.69996</v>
      </c>
      <c r="U1203" s="32" t="n">
        <f aca="false">INDEX('Tabela Passaro'!$O$2:$O$1795,$N1203)</f>
        <v>5</v>
      </c>
      <c r="V1203" s="32" t="n">
        <f aca="false">ROUNDUP(J1203/INDEX('Tabela Passaro'!$Q$2:$Q$1795,$N1203),0)*INDEX('Tabela Passaro'!$P$2:$P$1795,$N1203)</f>
        <v>5</v>
      </c>
      <c r="W1203" s="32" t="n">
        <f aca="false">INDEX('Tabela Passaro'!$R$2:$R$1795,$N1203)</f>
        <v>30</v>
      </c>
      <c r="X1203" s="32" t="n">
        <f aca="false">ROUNDUP(J1203/INDEX('Tabela Passaro'!$T$2:$T$1795,$N1203),0)*INDEX('Tabela Passaro'!$S$2:$S$1795,$N1203)</f>
        <v>0</v>
      </c>
      <c r="Y1203" s="32" t="n">
        <f aca="false">INDEX('Tabela Passaro'!$U$2:$U$1795,$N1203)</f>
        <v>0</v>
      </c>
      <c r="Z1203" s="32" t="n">
        <f aca="false">INDEX('Tabela Passaro'!$V$2:$V$1795,$N1203)</f>
        <v>0</v>
      </c>
      <c r="AA1203" s="32" t="n">
        <f aca="false">SUM(R1203:Z1203)</f>
        <v>108.99986</v>
      </c>
      <c r="AB1203" s="33" t="n">
        <f aca="false">INDEX(Premissas!$B$5:$B$13,MATCH(A1203,Premissas!$A$5:$A$13,0))</f>
        <v>0.07</v>
      </c>
      <c r="AC1203" s="32" t="n">
        <f aca="false">AA1203/(1-AB1203)-AA1203</f>
        <v>8.20429053763442</v>
      </c>
      <c r="AD1203" s="32" t="n">
        <f aca="false">ROUND(AA1203+AC1203,2)</f>
        <v>117.2</v>
      </c>
      <c r="AE1203" s="32" t="n">
        <f aca="false">AD1203-L1203</f>
        <v>65.91</v>
      </c>
      <c r="AF1203" s="34" t="n">
        <f aca="false">IF(L1203=0,0,AE1203/L1203)</f>
        <v>1.28504581789823</v>
      </c>
      <c r="AG1203" s="22" t="str">
        <f aca="false">IF(AD1203&lt;L1203,"PASSARO","ATUAL")</f>
        <v>ATUAL</v>
      </c>
      <c r="AH1203" s="22" t="str">
        <f aca="false">IF(P1203&lt;&gt;A1203,"Faixa cadastrada como "&amp;P1203&amp;" na tabela; preço aplicado pela UF do CEP","")</f>
        <v/>
      </c>
      <c r="AI1203" s="26" t="n">
        <v>134.68</v>
      </c>
      <c r="AJ1203" s="22" t="str">
        <f aca="false">INDEX('Tabela Passaro'!$X$2:$X$1795,$N1203)</f>
        <v>CAPITAL</v>
      </c>
    </row>
    <row r="1204" customFormat="false" ht="15" hidden="false" customHeight="false" outlineLevel="0" collapsed="false">
      <c r="A1204" s="22" t="s">
        <v>20</v>
      </c>
      <c r="B1204" s="22" t="n">
        <v>1</v>
      </c>
      <c r="C1204" s="22" t="s">
        <v>147</v>
      </c>
      <c r="D1204" s="22" t="s">
        <v>30</v>
      </c>
      <c r="E1204" s="22" t="s">
        <v>20</v>
      </c>
      <c r="F1204" s="22" t="n">
        <v>837746</v>
      </c>
      <c r="G1204" s="30" t="n">
        <v>46238</v>
      </c>
      <c r="H1204" s="22" t="n">
        <v>32385</v>
      </c>
      <c r="I1204" s="22" t="s">
        <v>8419</v>
      </c>
      <c r="J1204" s="31" t="n">
        <v>21.4</v>
      </c>
      <c r="K1204" s="26" t="n">
        <v>444.98</v>
      </c>
      <c r="L1204" s="26" t="n">
        <v>80.53</v>
      </c>
      <c r="M1204" s="22" t="s">
        <v>4802</v>
      </c>
      <c r="N1204" s="22" t="n">
        <f aca="false">MATCH(M1204,'Tabela Passaro'!$A$2:$A$1795,0)</f>
        <v>1150</v>
      </c>
      <c r="O1204" s="22" t="str">
        <f aca="false">INDEX('Tabela Passaro'!$C$2:$C$1795,$N1204)</f>
        <v>RECIFE</v>
      </c>
      <c r="P1204" s="22" t="str">
        <f aca="false">INDEX('Tabela Passaro'!$B$2:$B$1795,$N1204)</f>
        <v>PE</v>
      </c>
      <c r="Q1204" s="22" t="n">
        <f aca="false">INDEX('Tabela Passaro'!$F$2:$F$1795,$N1204)</f>
        <v>8</v>
      </c>
      <c r="R1204" s="32" t="n">
        <f aca="false">IF(J1204&lt;=10,INDEX('Tabela Passaro'!$G$2:$G$1795,$N1204),IF(J1204&lt;=30,INDEX('Tabela Passaro'!$H$2:$H$1795,$N1204),IF(J1204&lt;=50,INDEX('Tabela Passaro'!$I$2:$I$1795,$N1204),IF(J1204&lt;=70,INDEX('Tabela Passaro'!$J$2:$J$1795,$N1204),IF(J1204&lt;=100,INDEX('Tabela Passaro'!$K$2:$K$1795,$N1204),INDEX('Tabela Passaro'!$K$2:$K$1795,$N1204)+(J1204-100)*INDEX('Tabela Passaro'!$L$2:$L$1795,$N1204))))))</f>
        <v>66.55</v>
      </c>
      <c r="S1204" s="32" t="n">
        <f aca="false">K1204*INDEX('Tabela Passaro'!$M$2:$M$1795,$N1204)</f>
        <v>2.2249</v>
      </c>
      <c r="T1204" s="32" t="n">
        <f aca="false">K1204*INDEX('Tabela Passaro'!$N$2:$N$1795,$N1204)</f>
        <v>0.88996</v>
      </c>
      <c r="U1204" s="32" t="n">
        <f aca="false">INDEX('Tabela Passaro'!$O$2:$O$1795,$N1204)</f>
        <v>5</v>
      </c>
      <c r="V1204" s="32" t="n">
        <f aca="false">ROUNDUP(J1204/INDEX('Tabela Passaro'!$Q$2:$Q$1795,$N1204),0)*INDEX('Tabela Passaro'!$P$2:$P$1795,$N1204)</f>
        <v>5</v>
      </c>
      <c r="W1204" s="32" t="n">
        <f aca="false">INDEX('Tabela Passaro'!$R$2:$R$1795,$N1204)</f>
        <v>30</v>
      </c>
      <c r="X1204" s="32" t="n">
        <f aca="false">ROUNDUP(J1204/INDEX('Tabela Passaro'!$T$2:$T$1795,$N1204),0)*INDEX('Tabela Passaro'!$S$2:$S$1795,$N1204)</f>
        <v>0</v>
      </c>
      <c r="Y1204" s="32" t="n">
        <f aca="false">INDEX('Tabela Passaro'!$U$2:$U$1795,$N1204)</f>
        <v>0</v>
      </c>
      <c r="Z1204" s="32" t="n">
        <f aca="false">INDEX('Tabela Passaro'!$V$2:$V$1795,$N1204)</f>
        <v>0</v>
      </c>
      <c r="AA1204" s="32" t="n">
        <f aca="false">SUM(R1204:Z1204)</f>
        <v>109.66486</v>
      </c>
      <c r="AB1204" s="33" t="n">
        <f aca="false">INDEX(Premissas!$B$5:$B$13,MATCH(A1204,Premissas!$A$5:$A$13,0))</f>
        <v>0.07</v>
      </c>
      <c r="AC1204" s="32" t="n">
        <f aca="false">AA1204/(1-AB1204)-AA1204</f>
        <v>8.25434430107528</v>
      </c>
      <c r="AD1204" s="32" t="n">
        <f aca="false">ROUND(AA1204+AC1204,2)</f>
        <v>117.92</v>
      </c>
      <c r="AE1204" s="32" t="n">
        <f aca="false">AD1204-L1204</f>
        <v>37.39</v>
      </c>
      <c r="AF1204" s="34" t="n">
        <f aca="false">IF(L1204=0,0,AE1204/L1204)</f>
        <v>0.464299018999131</v>
      </c>
      <c r="AG1204" s="22" t="str">
        <f aca="false">IF(AD1204&lt;L1204,"PASSARO","ATUAL")</f>
        <v>ATUAL</v>
      </c>
      <c r="AH1204" s="22" t="str">
        <f aca="false">IF(P1204&lt;&gt;A1204,"Faixa cadastrada como "&amp;P1204&amp;" na tabela; preço aplicado pela UF do CEP","")</f>
        <v/>
      </c>
      <c r="AI1204" s="26" t="n">
        <v>138.98</v>
      </c>
      <c r="AJ1204" s="22" t="str">
        <f aca="false">INDEX('Tabela Passaro'!$X$2:$X$1795,$N1204)</f>
        <v>CAPITAL</v>
      </c>
    </row>
    <row r="1205" customFormat="false" ht="15" hidden="false" customHeight="false" outlineLevel="0" collapsed="false">
      <c r="A1205" s="22" t="s">
        <v>20</v>
      </c>
      <c r="B1205" s="22" t="n">
        <v>1</v>
      </c>
      <c r="C1205" s="22" t="s">
        <v>147</v>
      </c>
      <c r="D1205" s="22" t="s">
        <v>30</v>
      </c>
      <c r="E1205" s="22" t="s">
        <v>20</v>
      </c>
      <c r="F1205" s="22" t="n">
        <v>837754</v>
      </c>
      <c r="G1205" s="30" t="n">
        <v>46238</v>
      </c>
      <c r="H1205" s="22" t="n">
        <v>32393</v>
      </c>
      <c r="I1205" s="22" t="s">
        <v>8420</v>
      </c>
      <c r="J1205" s="31" t="n">
        <v>15</v>
      </c>
      <c r="K1205" s="26" t="n">
        <v>328.03</v>
      </c>
      <c r="L1205" s="26" t="n">
        <v>51.13</v>
      </c>
      <c r="M1205" s="22" t="s">
        <v>4802</v>
      </c>
      <c r="N1205" s="22" t="n">
        <f aca="false">MATCH(M1205,'Tabela Passaro'!$A$2:$A$1795,0)</f>
        <v>1150</v>
      </c>
      <c r="O1205" s="22" t="str">
        <f aca="false">INDEX('Tabela Passaro'!$C$2:$C$1795,$N1205)</f>
        <v>RECIFE</v>
      </c>
      <c r="P1205" s="22" t="str">
        <f aca="false">INDEX('Tabela Passaro'!$B$2:$B$1795,$N1205)</f>
        <v>PE</v>
      </c>
      <c r="Q1205" s="22" t="n">
        <f aca="false">INDEX('Tabela Passaro'!$F$2:$F$1795,$N1205)</f>
        <v>8</v>
      </c>
      <c r="R1205" s="32" t="n">
        <f aca="false">IF(J1205&lt;=10,INDEX('Tabela Passaro'!$G$2:$G$1795,$N1205),IF(J1205&lt;=30,INDEX('Tabela Passaro'!$H$2:$H$1795,$N1205),IF(J1205&lt;=50,INDEX('Tabela Passaro'!$I$2:$I$1795,$N1205),IF(J1205&lt;=70,INDEX('Tabela Passaro'!$J$2:$J$1795,$N1205),IF(J1205&lt;=100,INDEX('Tabela Passaro'!$K$2:$K$1795,$N1205),INDEX('Tabela Passaro'!$K$2:$K$1795,$N1205)+(J1205-100)*INDEX('Tabela Passaro'!$L$2:$L$1795,$N1205))))))</f>
        <v>66.55</v>
      </c>
      <c r="S1205" s="32" t="n">
        <f aca="false">K1205*INDEX('Tabela Passaro'!$M$2:$M$1795,$N1205)</f>
        <v>1.64015</v>
      </c>
      <c r="T1205" s="32" t="n">
        <f aca="false">K1205*INDEX('Tabela Passaro'!$N$2:$N$1795,$N1205)</f>
        <v>0.65606</v>
      </c>
      <c r="U1205" s="32" t="n">
        <f aca="false">INDEX('Tabela Passaro'!$O$2:$O$1795,$N1205)</f>
        <v>5</v>
      </c>
      <c r="V1205" s="32" t="n">
        <f aca="false">ROUNDUP(J1205/INDEX('Tabela Passaro'!$Q$2:$Q$1795,$N1205),0)*INDEX('Tabela Passaro'!$P$2:$P$1795,$N1205)</f>
        <v>5</v>
      </c>
      <c r="W1205" s="32" t="n">
        <f aca="false">INDEX('Tabela Passaro'!$R$2:$R$1795,$N1205)</f>
        <v>30</v>
      </c>
      <c r="X1205" s="32" t="n">
        <f aca="false">ROUNDUP(J1205/INDEX('Tabela Passaro'!$T$2:$T$1795,$N1205),0)*INDEX('Tabela Passaro'!$S$2:$S$1795,$N1205)</f>
        <v>0</v>
      </c>
      <c r="Y1205" s="32" t="n">
        <f aca="false">INDEX('Tabela Passaro'!$U$2:$U$1795,$N1205)</f>
        <v>0</v>
      </c>
      <c r="Z1205" s="32" t="n">
        <f aca="false">INDEX('Tabela Passaro'!$V$2:$V$1795,$N1205)</f>
        <v>0</v>
      </c>
      <c r="AA1205" s="32" t="n">
        <f aca="false">SUM(R1205:Z1205)</f>
        <v>108.84621</v>
      </c>
      <c r="AB1205" s="33" t="n">
        <f aca="false">INDEX(Premissas!$B$5:$B$13,MATCH(A1205,Premissas!$A$5:$A$13,0))</f>
        <v>0.07</v>
      </c>
      <c r="AC1205" s="32" t="n">
        <f aca="false">AA1205/(1-AB1205)-AA1205</f>
        <v>8.19272548387097</v>
      </c>
      <c r="AD1205" s="32" t="n">
        <f aca="false">ROUND(AA1205+AC1205,2)</f>
        <v>117.04</v>
      </c>
      <c r="AE1205" s="32" t="n">
        <f aca="false">AD1205-L1205</f>
        <v>65.91</v>
      </c>
      <c r="AF1205" s="34" t="n">
        <f aca="false">IF(L1205=0,0,AE1205/L1205)</f>
        <v>1.28906708390377</v>
      </c>
      <c r="AG1205" s="22" t="str">
        <f aca="false">IF(AD1205&lt;L1205,"PASSARO","ATUAL")</f>
        <v>ATUAL</v>
      </c>
      <c r="AH1205" s="22" t="str">
        <f aca="false">IF(P1205&lt;&gt;A1205,"Faixa cadastrada como "&amp;P1205&amp;" na tabela; preço aplicado pela UF do CEP","")</f>
        <v/>
      </c>
      <c r="AI1205" s="26" t="n">
        <v>134.46</v>
      </c>
      <c r="AJ1205" s="22" t="str">
        <f aca="false">INDEX('Tabela Passaro'!$X$2:$X$1795,$N1205)</f>
        <v>CAPITAL</v>
      </c>
    </row>
    <row r="1206" customFormat="false" ht="15" hidden="false" customHeight="false" outlineLevel="0" collapsed="false">
      <c r="A1206" s="22" t="s">
        <v>20</v>
      </c>
      <c r="B1206" s="22" t="n">
        <v>1</v>
      </c>
      <c r="C1206" s="22" t="s">
        <v>147</v>
      </c>
      <c r="D1206" s="22" t="s">
        <v>30</v>
      </c>
      <c r="E1206" s="22" t="s">
        <v>7328</v>
      </c>
      <c r="F1206" s="22" t="n">
        <v>2307440</v>
      </c>
      <c r="G1206" s="30" t="n">
        <v>46238</v>
      </c>
      <c r="H1206" s="22" t="n">
        <v>131299</v>
      </c>
      <c r="I1206" s="22" t="s">
        <v>8421</v>
      </c>
      <c r="J1206" s="31" t="n">
        <v>67.3</v>
      </c>
      <c r="K1206" s="26" t="n">
        <v>877.59</v>
      </c>
      <c r="L1206" s="26" t="n">
        <v>185.24</v>
      </c>
      <c r="M1206" s="22" t="s">
        <v>4802</v>
      </c>
      <c r="N1206" s="22" t="n">
        <f aca="false">MATCH(M1206,'Tabela Passaro'!$A$2:$A$1795,0)</f>
        <v>1150</v>
      </c>
      <c r="O1206" s="22" t="str">
        <f aca="false">INDEX('Tabela Passaro'!$C$2:$C$1795,$N1206)</f>
        <v>RECIFE</v>
      </c>
      <c r="P1206" s="22" t="str">
        <f aca="false">INDEX('Tabela Passaro'!$B$2:$B$1795,$N1206)</f>
        <v>PE</v>
      </c>
      <c r="Q1206" s="22" t="n">
        <f aca="false">INDEX('Tabela Passaro'!$F$2:$F$1795,$N1206)</f>
        <v>8</v>
      </c>
      <c r="R1206" s="32" t="n">
        <f aca="false">IF(J1206&lt;=10,INDEX('Tabela Passaro'!$G$2:$G$1795,$N1206),IF(J1206&lt;=30,INDEX('Tabela Passaro'!$H$2:$H$1795,$N1206),IF(J1206&lt;=50,INDEX('Tabela Passaro'!$I$2:$I$1795,$N1206),IF(J1206&lt;=70,INDEX('Tabela Passaro'!$J$2:$J$1795,$N1206),IF(J1206&lt;=100,INDEX('Tabela Passaro'!$K$2:$K$1795,$N1206),INDEX('Tabela Passaro'!$K$2:$K$1795,$N1206)+(J1206-100)*INDEX('Tabela Passaro'!$L$2:$L$1795,$N1206))))))</f>
        <v>99.61</v>
      </c>
      <c r="S1206" s="32" t="n">
        <f aca="false">K1206*INDEX('Tabela Passaro'!$M$2:$M$1795,$N1206)</f>
        <v>4.38795</v>
      </c>
      <c r="T1206" s="32" t="n">
        <f aca="false">K1206*INDEX('Tabela Passaro'!$N$2:$N$1795,$N1206)</f>
        <v>1.75518</v>
      </c>
      <c r="U1206" s="32" t="n">
        <f aca="false">INDEX('Tabela Passaro'!$O$2:$O$1795,$N1206)</f>
        <v>5</v>
      </c>
      <c r="V1206" s="32" t="n">
        <f aca="false">ROUNDUP(J1206/INDEX('Tabela Passaro'!$Q$2:$Q$1795,$N1206),0)*INDEX('Tabela Passaro'!$P$2:$P$1795,$N1206)</f>
        <v>5</v>
      </c>
      <c r="W1206" s="32" t="n">
        <f aca="false">INDEX('Tabela Passaro'!$R$2:$R$1795,$N1206)</f>
        <v>30</v>
      </c>
      <c r="X1206" s="32" t="n">
        <f aca="false">ROUNDUP(J1206/INDEX('Tabela Passaro'!$T$2:$T$1795,$N1206),0)*INDEX('Tabela Passaro'!$S$2:$S$1795,$N1206)</f>
        <v>0</v>
      </c>
      <c r="Y1206" s="32" t="n">
        <f aca="false">INDEX('Tabela Passaro'!$U$2:$U$1795,$N1206)</f>
        <v>0</v>
      </c>
      <c r="Z1206" s="32" t="n">
        <f aca="false">INDEX('Tabela Passaro'!$V$2:$V$1795,$N1206)</f>
        <v>0</v>
      </c>
      <c r="AA1206" s="32" t="n">
        <f aca="false">SUM(R1206:Z1206)</f>
        <v>145.75313</v>
      </c>
      <c r="AB1206" s="33" t="n">
        <f aca="false">INDEX(Premissas!$B$5:$B$13,MATCH(A1206,Premissas!$A$5:$A$13,0))</f>
        <v>0.07</v>
      </c>
      <c r="AC1206" s="32" t="n">
        <f aca="false">AA1206/(1-AB1206)-AA1206</f>
        <v>10.9706656989247</v>
      </c>
      <c r="AD1206" s="32" t="n">
        <f aca="false">ROUND(AA1206+AC1206,2)</f>
        <v>156.72</v>
      </c>
      <c r="AE1206" s="32" t="n">
        <f aca="false">AD1206-L1206</f>
        <v>-28.52</v>
      </c>
      <c r="AF1206" s="34" t="n">
        <f aca="false">IF(L1206=0,0,AE1206/L1206)</f>
        <v>-0.153962427121572</v>
      </c>
      <c r="AG1206" s="22" t="str">
        <f aca="false">IF(AD1206&lt;L1206,"PASSARO","ATUAL")</f>
        <v>PASSARO</v>
      </c>
      <c r="AH1206" s="22" t="str">
        <f aca="false">IF(P1206&lt;&gt;A1206,"Faixa cadastrada como "&amp;P1206&amp;" na tabela; preço aplicado pela UF do CEP","")</f>
        <v/>
      </c>
      <c r="AI1206" s="26" t="n">
        <v>203.01</v>
      </c>
      <c r="AJ1206" s="22" t="str">
        <f aca="false">INDEX('Tabela Passaro'!$X$2:$X$1795,$N1206)</f>
        <v>CAPITAL</v>
      </c>
    </row>
    <row r="1207" customFormat="false" ht="15" hidden="false" customHeight="false" outlineLevel="0" collapsed="false">
      <c r="A1207" s="22" t="s">
        <v>20</v>
      </c>
      <c r="B1207" s="22" t="n">
        <v>1</v>
      </c>
      <c r="C1207" s="22" t="s">
        <v>147</v>
      </c>
      <c r="D1207" s="22" t="s">
        <v>30</v>
      </c>
      <c r="E1207" s="22" t="s">
        <v>7328</v>
      </c>
      <c r="F1207" s="22" t="n">
        <v>2307441</v>
      </c>
      <c r="G1207" s="30" t="n">
        <v>46238</v>
      </c>
      <c r="H1207" s="22" t="n">
        <v>131300</v>
      </c>
      <c r="I1207" s="22" t="s">
        <v>8422</v>
      </c>
      <c r="J1207" s="31" t="n">
        <v>124.2</v>
      </c>
      <c r="K1207" s="26" t="n">
        <v>1924.76</v>
      </c>
      <c r="L1207" s="26" t="n">
        <v>292.11</v>
      </c>
      <c r="M1207" s="22" t="s">
        <v>4802</v>
      </c>
      <c r="N1207" s="22" t="n">
        <f aca="false">MATCH(M1207,'Tabela Passaro'!$A$2:$A$1795,0)</f>
        <v>1150</v>
      </c>
      <c r="O1207" s="22" t="str">
        <f aca="false">INDEX('Tabela Passaro'!$C$2:$C$1795,$N1207)</f>
        <v>RECIFE</v>
      </c>
      <c r="P1207" s="22" t="str">
        <f aca="false">INDEX('Tabela Passaro'!$B$2:$B$1795,$N1207)</f>
        <v>PE</v>
      </c>
      <c r="Q1207" s="22" t="n">
        <f aca="false">INDEX('Tabela Passaro'!$F$2:$F$1795,$N1207)</f>
        <v>8</v>
      </c>
      <c r="R1207" s="32" t="n">
        <f aca="false">IF(J1207&lt;=10,INDEX('Tabela Passaro'!$G$2:$G$1795,$N1207),IF(J1207&lt;=30,INDEX('Tabela Passaro'!$H$2:$H$1795,$N1207),IF(J1207&lt;=50,INDEX('Tabela Passaro'!$I$2:$I$1795,$N1207),IF(J1207&lt;=70,INDEX('Tabela Passaro'!$J$2:$J$1795,$N1207),IF(J1207&lt;=100,INDEX('Tabela Passaro'!$K$2:$K$1795,$N1207),INDEX('Tabela Passaro'!$K$2:$K$1795,$N1207)+(J1207-100)*INDEX('Tabela Passaro'!$L$2:$L$1795,$N1207))))))</f>
        <v>155.586</v>
      </c>
      <c r="S1207" s="32" t="n">
        <f aca="false">K1207*INDEX('Tabela Passaro'!$M$2:$M$1795,$N1207)</f>
        <v>9.6238</v>
      </c>
      <c r="T1207" s="32" t="n">
        <f aca="false">K1207*INDEX('Tabela Passaro'!$N$2:$N$1795,$N1207)</f>
        <v>3.84952</v>
      </c>
      <c r="U1207" s="32" t="n">
        <f aca="false">INDEX('Tabela Passaro'!$O$2:$O$1795,$N1207)</f>
        <v>5</v>
      </c>
      <c r="V1207" s="32" t="n">
        <f aca="false">ROUNDUP(J1207/INDEX('Tabela Passaro'!$Q$2:$Q$1795,$N1207),0)*INDEX('Tabela Passaro'!$P$2:$P$1795,$N1207)</f>
        <v>10</v>
      </c>
      <c r="W1207" s="32" t="n">
        <f aca="false">INDEX('Tabela Passaro'!$R$2:$R$1795,$N1207)</f>
        <v>30</v>
      </c>
      <c r="X1207" s="32" t="n">
        <f aca="false">ROUNDUP(J1207/INDEX('Tabela Passaro'!$T$2:$T$1795,$N1207),0)*INDEX('Tabela Passaro'!$S$2:$S$1795,$N1207)</f>
        <v>0</v>
      </c>
      <c r="Y1207" s="32" t="n">
        <f aca="false">INDEX('Tabela Passaro'!$U$2:$U$1795,$N1207)</f>
        <v>0</v>
      </c>
      <c r="Z1207" s="32" t="n">
        <f aca="false">INDEX('Tabela Passaro'!$V$2:$V$1795,$N1207)</f>
        <v>0</v>
      </c>
      <c r="AA1207" s="32" t="n">
        <f aca="false">SUM(R1207:Z1207)</f>
        <v>214.05932</v>
      </c>
      <c r="AB1207" s="33" t="n">
        <f aca="false">INDEX(Premissas!$B$5:$B$13,MATCH(A1207,Premissas!$A$5:$A$13,0))</f>
        <v>0.07</v>
      </c>
      <c r="AC1207" s="32" t="n">
        <f aca="false">AA1207/(1-AB1207)-AA1207</f>
        <v>16.111991827957</v>
      </c>
      <c r="AD1207" s="32" t="n">
        <f aca="false">ROUND(AA1207+AC1207,2)</f>
        <v>230.17</v>
      </c>
      <c r="AE1207" s="32" t="n">
        <f aca="false">AD1207-L1207</f>
        <v>-61.94</v>
      </c>
      <c r="AF1207" s="34" t="n">
        <f aca="false">IF(L1207=0,0,AE1207/L1207)</f>
        <v>-0.212043408305091</v>
      </c>
      <c r="AG1207" s="22" t="str">
        <f aca="false">IF(AD1207&lt;L1207,"PASSARO","ATUAL")</f>
        <v>PASSARO</v>
      </c>
      <c r="AH1207" s="22" t="str">
        <f aca="false">IF(P1207&lt;&gt;A1207,"Faixa cadastrada como "&amp;P1207&amp;" na tabela; preço aplicado pela UF do CEP","")</f>
        <v/>
      </c>
      <c r="AI1207" s="26" t="n">
        <v>312.5</v>
      </c>
      <c r="AJ1207" s="22" t="str">
        <f aca="false">INDEX('Tabela Passaro'!$X$2:$X$1795,$N1207)</f>
        <v>CAPITAL</v>
      </c>
    </row>
    <row r="1208" customFormat="false" ht="15" hidden="false" customHeight="false" outlineLevel="0" collapsed="false">
      <c r="A1208" s="22" t="s">
        <v>20</v>
      </c>
      <c r="B1208" s="22" t="n">
        <v>1</v>
      </c>
      <c r="C1208" s="22" t="s">
        <v>147</v>
      </c>
      <c r="D1208" s="22" t="s">
        <v>30</v>
      </c>
      <c r="E1208" s="22" t="s">
        <v>7328</v>
      </c>
      <c r="F1208" s="22" t="n">
        <v>2307478</v>
      </c>
      <c r="G1208" s="30" t="n">
        <v>46238</v>
      </c>
      <c r="H1208" s="22" t="n">
        <v>131475</v>
      </c>
      <c r="I1208" s="22" t="s">
        <v>8423</v>
      </c>
      <c r="J1208" s="31" t="n">
        <v>51.06</v>
      </c>
      <c r="K1208" s="26" t="n">
        <v>914.94</v>
      </c>
      <c r="L1208" s="26" t="n">
        <v>185.53</v>
      </c>
      <c r="M1208" s="22" t="s">
        <v>4802</v>
      </c>
      <c r="N1208" s="22" t="n">
        <f aca="false">MATCH(M1208,'Tabela Passaro'!$A$2:$A$1795,0)</f>
        <v>1150</v>
      </c>
      <c r="O1208" s="22" t="str">
        <f aca="false">INDEX('Tabela Passaro'!$C$2:$C$1795,$N1208)</f>
        <v>RECIFE</v>
      </c>
      <c r="P1208" s="22" t="str">
        <f aca="false">INDEX('Tabela Passaro'!$B$2:$B$1795,$N1208)</f>
        <v>PE</v>
      </c>
      <c r="Q1208" s="22" t="n">
        <f aca="false">INDEX('Tabela Passaro'!$F$2:$F$1795,$N1208)</f>
        <v>8</v>
      </c>
      <c r="R1208" s="32" t="n">
        <f aca="false">IF(J1208&lt;=10,INDEX('Tabela Passaro'!$G$2:$G$1795,$N1208),IF(J1208&lt;=30,INDEX('Tabela Passaro'!$H$2:$H$1795,$N1208),IF(J1208&lt;=50,INDEX('Tabela Passaro'!$I$2:$I$1795,$N1208),IF(J1208&lt;=70,INDEX('Tabela Passaro'!$J$2:$J$1795,$N1208),IF(J1208&lt;=100,INDEX('Tabela Passaro'!$K$2:$K$1795,$N1208),INDEX('Tabela Passaro'!$K$2:$K$1795,$N1208)+(J1208-100)*INDEX('Tabela Passaro'!$L$2:$L$1795,$N1208))))))</f>
        <v>99.61</v>
      </c>
      <c r="S1208" s="32" t="n">
        <f aca="false">K1208*INDEX('Tabela Passaro'!$M$2:$M$1795,$N1208)</f>
        <v>4.5747</v>
      </c>
      <c r="T1208" s="32" t="n">
        <f aca="false">K1208*INDEX('Tabela Passaro'!$N$2:$N$1795,$N1208)</f>
        <v>1.82988</v>
      </c>
      <c r="U1208" s="32" t="n">
        <f aca="false">INDEX('Tabela Passaro'!$O$2:$O$1795,$N1208)</f>
        <v>5</v>
      </c>
      <c r="V1208" s="32" t="n">
        <f aca="false">ROUNDUP(J1208/INDEX('Tabela Passaro'!$Q$2:$Q$1795,$N1208),0)*INDEX('Tabela Passaro'!$P$2:$P$1795,$N1208)</f>
        <v>5</v>
      </c>
      <c r="W1208" s="32" t="n">
        <f aca="false">INDEX('Tabela Passaro'!$R$2:$R$1795,$N1208)</f>
        <v>30</v>
      </c>
      <c r="X1208" s="32" t="n">
        <f aca="false">ROUNDUP(J1208/INDEX('Tabela Passaro'!$T$2:$T$1795,$N1208),0)*INDEX('Tabela Passaro'!$S$2:$S$1795,$N1208)</f>
        <v>0</v>
      </c>
      <c r="Y1208" s="32" t="n">
        <f aca="false">INDEX('Tabela Passaro'!$U$2:$U$1795,$N1208)</f>
        <v>0</v>
      </c>
      <c r="Z1208" s="32" t="n">
        <f aca="false">INDEX('Tabela Passaro'!$V$2:$V$1795,$N1208)</f>
        <v>0</v>
      </c>
      <c r="AA1208" s="32" t="n">
        <f aca="false">SUM(R1208:Z1208)</f>
        <v>146.01458</v>
      </c>
      <c r="AB1208" s="33" t="n">
        <f aca="false">INDEX(Premissas!$B$5:$B$13,MATCH(A1208,Premissas!$A$5:$A$13,0))</f>
        <v>0.07</v>
      </c>
      <c r="AC1208" s="32" t="n">
        <f aca="false">AA1208/(1-AB1208)-AA1208</f>
        <v>10.9903447311828</v>
      </c>
      <c r="AD1208" s="32" t="n">
        <f aca="false">ROUND(AA1208+AC1208,2)</f>
        <v>157</v>
      </c>
      <c r="AE1208" s="32" t="n">
        <f aca="false">AD1208-L1208</f>
        <v>-28.53</v>
      </c>
      <c r="AF1208" s="34" t="n">
        <f aca="false">IF(L1208=0,0,AE1208/L1208)</f>
        <v>-0.153775669703013</v>
      </c>
      <c r="AG1208" s="22" t="str">
        <f aca="false">IF(AD1208&lt;L1208,"PASSARO","ATUAL")</f>
        <v>PASSARO</v>
      </c>
      <c r="AH1208" s="22" t="str">
        <f aca="false">IF(P1208&lt;&gt;A1208,"Faixa cadastrada como "&amp;P1208&amp;" na tabela; preço aplicado pela UF do CEP","")</f>
        <v/>
      </c>
      <c r="AI1208" s="26" t="n">
        <v>195.63</v>
      </c>
      <c r="AJ1208" s="22" t="str">
        <f aca="false">INDEX('Tabela Passaro'!$X$2:$X$1795,$N1208)</f>
        <v>CAPITAL</v>
      </c>
    </row>
    <row r="1209" customFormat="false" ht="15" hidden="false" customHeight="false" outlineLevel="0" collapsed="false">
      <c r="A1209" s="22" t="s">
        <v>20</v>
      </c>
      <c r="B1209" s="22" t="n">
        <v>1</v>
      </c>
      <c r="C1209" s="22" t="s">
        <v>147</v>
      </c>
      <c r="D1209" s="22" t="s">
        <v>30</v>
      </c>
      <c r="E1209" s="22" t="s">
        <v>7326</v>
      </c>
      <c r="F1209" s="22" t="n">
        <v>522238</v>
      </c>
      <c r="G1209" s="30" t="n">
        <v>46238</v>
      </c>
      <c r="H1209" s="22" t="n">
        <v>619724</v>
      </c>
      <c r="I1209" s="22" t="s">
        <v>8424</v>
      </c>
      <c r="J1209" s="31" t="n">
        <v>37.3</v>
      </c>
      <c r="K1209" s="26" t="n">
        <v>608.9</v>
      </c>
      <c r="L1209" s="26" t="n">
        <v>176.47</v>
      </c>
      <c r="M1209" s="22" t="s">
        <v>4802</v>
      </c>
      <c r="N1209" s="22" t="n">
        <f aca="false">MATCH(M1209,'Tabela Passaro'!$A$2:$A$1795,0)</f>
        <v>1150</v>
      </c>
      <c r="O1209" s="22" t="str">
        <f aca="false">INDEX('Tabela Passaro'!$C$2:$C$1795,$N1209)</f>
        <v>RECIFE</v>
      </c>
      <c r="P1209" s="22" t="str">
        <f aca="false">INDEX('Tabela Passaro'!$B$2:$B$1795,$N1209)</f>
        <v>PE</v>
      </c>
      <c r="Q1209" s="22" t="n">
        <f aca="false">INDEX('Tabela Passaro'!$F$2:$F$1795,$N1209)</f>
        <v>8</v>
      </c>
      <c r="R1209" s="32" t="n">
        <f aca="false">IF(J1209&lt;=10,INDEX('Tabela Passaro'!$G$2:$G$1795,$N1209),IF(J1209&lt;=30,INDEX('Tabela Passaro'!$H$2:$H$1795,$N1209),IF(J1209&lt;=50,INDEX('Tabela Passaro'!$I$2:$I$1795,$N1209),IF(J1209&lt;=70,INDEX('Tabela Passaro'!$J$2:$J$1795,$N1209),IF(J1209&lt;=100,INDEX('Tabela Passaro'!$K$2:$K$1795,$N1209),INDEX('Tabela Passaro'!$K$2:$K$1795,$N1209)+(J1209-100)*INDEX('Tabela Passaro'!$L$2:$L$1795,$N1209))))))</f>
        <v>88.59</v>
      </c>
      <c r="S1209" s="32" t="n">
        <f aca="false">K1209*INDEX('Tabela Passaro'!$M$2:$M$1795,$N1209)</f>
        <v>3.0445</v>
      </c>
      <c r="T1209" s="32" t="n">
        <f aca="false">K1209*INDEX('Tabela Passaro'!$N$2:$N$1795,$N1209)</f>
        <v>1.2178</v>
      </c>
      <c r="U1209" s="32" t="n">
        <f aca="false">INDEX('Tabela Passaro'!$O$2:$O$1795,$N1209)</f>
        <v>5</v>
      </c>
      <c r="V1209" s="32" t="n">
        <f aca="false">ROUNDUP(J1209/INDEX('Tabela Passaro'!$Q$2:$Q$1795,$N1209),0)*INDEX('Tabela Passaro'!$P$2:$P$1795,$N1209)</f>
        <v>5</v>
      </c>
      <c r="W1209" s="32" t="n">
        <f aca="false">INDEX('Tabela Passaro'!$R$2:$R$1795,$N1209)</f>
        <v>30</v>
      </c>
      <c r="X1209" s="32" t="n">
        <f aca="false">ROUNDUP(J1209/INDEX('Tabela Passaro'!$T$2:$T$1795,$N1209),0)*INDEX('Tabela Passaro'!$S$2:$S$1795,$N1209)</f>
        <v>0</v>
      </c>
      <c r="Y1209" s="32" t="n">
        <f aca="false">INDEX('Tabela Passaro'!$U$2:$U$1795,$N1209)</f>
        <v>0</v>
      </c>
      <c r="Z1209" s="32" t="n">
        <f aca="false">INDEX('Tabela Passaro'!$V$2:$V$1795,$N1209)</f>
        <v>0</v>
      </c>
      <c r="AA1209" s="32" t="n">
        <f aca="false">SUM(R1209:Z1209)</f>
        <v>132.8523</v>
      </c>
      <c r="AB1209" s="33" t="n">
        <f aca="false">INDEX(Premissas!$B$5:$B$13,MATCH(A1209,Premissas!$A$5:$A$13,0))</f>
        <v>0.07</v>
      </c>
      <c r="AC1209" s="32" t="n">
        <f aca="false">AA1209/(1-AB1209)-AA1209</f>
        <v>9.99963548387098</v>
      </c>
      <c r="AD1209" s="32" t="n">
        <f aca="false">ROUND(AA1209+AC1209,2)</f>
        <v>142.85</v>
      </c>
      <c r="AE1209" s="32" t="n">
        <f aca="false">AD1209-L1209</f>
        <v>-33.62</v>
      </c>
      <c r="AF1209" s="34" t="n">
        <f aca="false">IF(L1209=0,0,AE1209/L1209)</f>
        <v>-0.190513968379895</v>
      </c>
      <c r="AG1209" s="22" t="str">
        <f aca="false">IF(AD1209&lt;L1209,"PASSARO","ATUAL")</f>
        <v>PASSARO</v>
      </c>
      <c r="AH1209" s="22" t="str">
        <f aca="false">IF(P1209&lt;&gt;A1209,"Faixa cadastrada como "&amp;P1209&amp;" na tabela; preço aplicado pela UF do CEP","")</f>
        <v/>
      </c>
      <c r="AI1209" s="26" t="n">
        <v>173.37</v>
      </c>
      <c r="AJ1209" s="22" t="str">
        <f aca="false">INDEX('Tabela Passaro'!$X$2:$X$1795,$N1209)</f>
        <v>CAPITAL</v>
      </c>
    </row>
    <row r="1210" customFormat="false" ht="15" hidden="false" customHeight="false" outlineLevel="0" collapsed="false">
      <c r="A1210" s="22" t="s">
        <v>20</v>
      </c>
      <c r="B1210" s="22" t="n">
        <v>1</v>
      </c>
      <c r="C1210" s="22" t="s">
        <v>147</v>
      </c>
      <c r="D1210" s="22" t="s">
        <v>30</v>
      </c>
      <c r="E1210" s="22" t="s">
        <v>7326</v>
      </c>
      <c r="F1210" s="22" t="n">
        <v>522244</v>
      </c>
      <c r="G1210" s="30" t="n">
        <v>46238</v>
      </c>
      <c r="H1210" s="22" t="n">
        <v>619728</v>
      </c>
      <c r="I1210" s="22" t="s">
        <v>8425</v>
      </c>
      <c r="J1210" s="31" t="n">
        <v>33</v>
      </c>
      <c r="K1210" s="26" t="n">
        <v>609.99</v>
      </c>
      <c r="L1210" s="26" t="n">
        <v>176.48</v>
      </c>
      <c r="M1210" s="22" t="s">
        <v>4802</v>
      </c>
      <c r="N1210" s="22" t="n">
        <f aca="false">MATCH(M1210,'Tabela Passaro'!$A$2:$A$1795,0)</f>
        <v>1150</v>
      </c>
      <c r="O1210" s="22" t="str">
        <f aca="false">INDEX('Tabela Passaro'!$C$2:$C$1795,$N1210)</f>
        <v>RECIFE</v>
      </c>
      <c r="P1210" s="22" t="str">
        <f aca="false">INDEX('Tabela Passaro'!$B$2:$B$1795,$N1210)</f>
        <v>PE</v>
      </c>
      <c r="Q1210" s="22" t="n">
        <f aca="false">INDEX('Tabela Passaro'!$F$2:$F$1795,$N1210)</f>
        <v>8</v>
      </c>
      <c r="R1210" s="32" t="n">
        <f aca="false">IF(J1210&lt;=10,INDEX('Tabela Passaro'!$G$2:$G$1795,$N1210),IF(J1210&lt;=30,INDEX('Tabela Passaro'!$H$2:$H$1795,$N1210),IF(J1210&lt;=50,INDEX('Tabela Passaro'!$I$2:$I$1795,$N1210),IF(J1210&lt;=70,INDEX('Tabela Passaro'!$J$2:$J$1795,$N1210),IF(J1210&lt;=100,INDEX('Tabela Passaro'!$K$2:$K$1795,$N1210),INDEX('Tabela Passaro'!$K$2:$K$1795,$N1210)+(J1210-100)*INDEX('Tabela Passaro'!$L$2:$L$1795,$N1210))))))</f>
        <v>88.59</v>
      </c>
      <c r="S1210" s="32" t="n">
        <f aca="false">K1210*INDEX('Tabela Passaro'!$M$2:$M$1795,$N1210)</f>
        <v>3.04995</v>
      </c>
      <c r="T1210" s="32" t="n">
        <f aca="false">K1210*INDEX('Tabela Passaro'!$N$2:$N$1795,$N1210)</f>
        <v>1.21998</v>
      </c>
      <c r="U1210" s="32" t="n">
        <f aca="false">INDEX('Tabela Passaro'!$O$2:$O$1795,$N1210)</f>
        <v>5</v>
      </c>
      <c r="V1210" s="32" t="n">
        <f aca="false">ROUNDUP(J1210/INDEX('Tabela Passaro'!$Q$2:$Q$1795,$N1210),0)*INDEX('Tabela Passaro'!$P$2:$P$1795,$N1210)</f>
        <v>5</v>
      </c>
      <c r="W1210" s="32" t="n">
        <f aca="false">INDEX('Tabela Passaro'!$R$2:$R$1795,$N1210)</f>
        <v>30</v>
      </c>
      <c r="X1210" s="32" t="n">
        <f aca="false">ROUNDUP(J1210/INDEX('Tabela Passaro'!$T$2:$T$1795,$N1210),0)*INDEX('Tabela Passaro'!$S$2:$S$1795,$N1210)</f>
        <v>0</v>
      </c>
      <c r="Y1210" s="32" t="n">
        <f aca="false">INDEX('Tabela Passaro'!$U$2:$U$1795,$N1210)</f>
        <v>0</v>
      </c>
      <c r="Z1210" s="32" t="n">
        <f aca="false">INDEX('Tabela Passaro'!$V$2:$V$1795,$N1210)</f>
        <v>0</v>
      </c>
      <c r="AA1210" s="32" t="n">
        <f aca="false">SUM(R1210:Z1210)</f>
        <v>132.85993</v>
      </c>
      <c r="AB1210" s="33" t="n">
        <f aca="false">INDEX(Premissas!$B$5:$B$13,MATCH(A1210,Premissas!$A$5:$A$13,0))</f>
        <v>0.07</v>
      </c>
      <c r="AC1210" s="32" t="n">
        <f aca="false">AA1210/(1-AB1210)-AA1210</f>
        <v>10.0002097849462</v>
      </c>
      <c r="AD1210" s="32" t="n">
        <f aca="false">ROUND(AA1210+AC1210,2)</f>
        <v>142.86</v>
      </c>
      <c r="AE1210" s="32" t="n">
        <f aca="false">AD1210-L1210</f>
        <v>-33.62</v>
      </c>
      <c r="AF1210" s="34" t="n">
        <f aca="false">IF(L1210=0,0,AE1210/L1210)</f>
        <v>-0.190503173164098</v>
      </c>
      <c r="AG1210" s="22" t="str">
        <f aca="false">IF(AD1210&lt;L1210,"PASSARO","ATUAL")</f>
        <v>PASSARO</v>
      </c>
      <c r="AH1210" s="22" t="str">
        <f aca="false">IF(P1210&lt;&gt;A1210,"Faixa cadastrada como "&amp;P1210&amp;" na tabela; preço aplicado pela UF do CEP","")</f>
        <v/>
      </c>
      <c r="AI1210" s="26" t="n">
        <v>170.96</v>
      </c>
      <c r="AJ1210" s="22" t="str">
        <f aca="false">INDEX('Tabela Passaro'!$X$2:$X$1795,$N1210)</f>
        <v>CAPITAL</v>
      </c>
    </row>
    <row r="1211" customFormat="false" ht="15" hidden="false" customHeight="false" outlineLevel="0" collapsed="false">
      <c r="A1211" s="22" t="s">
        <v>20</v>
      </c>
      <c r="B1211" s="22" t="n">
        <v>1</v>
      </c>
      <c r="C1211" s="22" t="s">
        <v>147</v>
      </c>
      <c r="D1211" s="22" t="s">
        <v>30</v>
      </c>
      <c r="E1211" s="22" t="s">
        <v>7326</v>
      </c>
      <c r="F1211" s="22" t="n">
        <v>522247</v>
      </c>
      <c r="G1211" s="30" t="n">
        <v>46238</v>
      </c>
      <c r="H1211" s="22" t="n">
        <v>619729</v>
      </c>
      <c r="I1211" s="22" t="s">
        <v>8426</v>
      </c>
      <c r="J1211" s="31" t="n">
        <v>37.5</v>
      </c>
      <c r="K1211" s="26" t="n">
        <v>589.98</v>
      </c>
      <c r="L1211" s="26" t="n">
        <v>176.31</v>
      </c>
      <c r="M1211" s="22" t="s">
        <v>4802</v>
      </c>
      <c r="N1211" s="22" t="n">
        <f aca="false">MATCH(M1211,'Tabela Passaro'!$A$2:$A$1795,0)</f>
        <v>1150</v>
      </c>
      <c r="O1211" s="22" t="str">
        <f aca="false">INDEX('Tabela Passaro'!$C$2:$C$1795,$N1211)</f>
        <v>RECIFE</v>
      </c>
      <c r="P1211" s="22" t="str">
        <f aca="false">INDEX('Tabela Passaro'!$B$2:$B$1795,$N1211)</f>
        <v>PE</v>
      </c>
      <c r="Q1211" s="22" t="n">
        <f aca="false">INDEX('Tabela Passaro'!$F$2:$F$1795,$N1211)</f>
        <v>8</v>
      </c>
      <c r="R1211" s="32" t="n">
        <f aca="false">IF(J1211&lt;=10,INDEX('Tabela Passaro'!$G$2:$G$1795,$N1211),IF(J1211&lt;=30,INDEX('Tabela Passaro'!$H$2:$H$1795,$N1211),IF(J1211&lt;=50,INDEX('Tabela Passaro'!$I$2:$I$1795,$N1211),IF(J1211&lt;=70,INDEX('Tabela Passaro'!$J$2:$J$1795,$N1211),IF(J1211&lt;=100,INDEX('Tabela Passaro'!$K$2:$K$1795,$N1211),INDEX('Tabela Passaro'!$K$2:$K$1795,$N1211)+(J1211-100)*INDEX('Tabela Passaro'!$L$2:$L$1795,$N1211))))))</f>
        <v>88.59</v>
      </c>
      <c r="S1211" s="32" t="n">
        <f aca="false">K1211*INDEX('Tabela Passaro'!$M$2:$M$1795,$N1211)</f>
        <v>2.9499</v>
      </c>
      <c r="T1211" s="32" t="n">
        <f aca="false">K1211*INDEX('Tabela Passaro'!$N$2:$N$1795,$N1211)</f>
        <v>1.17996</v>
      </c>
      <c r="U1211" s="32" t="n">
        <f aca="false">INDEX('Tabela Passaro'!$O$2:$O$1795,$N1211)</f>
        <v>5</v>
      </c>
      <c r="V1211" s="32" t="n">
        <f aca="false">ROUNDUP(J1211/INDEX('Tabela Passaro'!$Q$2:$Q$1795,$N1211),0)*INDEX('Tabela Passaro'!$P$2:$P$1795,$N1211)</f>
        <v>5</v>
      </c>
      <c r="W1211" s="32" t="n">
        <f aca="false">INDEX('Tabela Passaro'!$R$2:$R$1795,$N1211)</f>
        <v>30</v>
      </c>
      <c r="X1211" s="32" t="n">
        <f aca="false">ROUNDUP(J1211/INDEX('Tabela Passaro'!$T$2:$T$1795,$N1211),0)*INDEX('Tabela Passaro'!$S$2:$S$1795,$N1211)</f>
        <v>0</v>
      </c>
      <c r="Y1211" s="32" t="n">
        <f aca="false">INDEX('Tabela Passaro'!$U$2:$U$1795,$N1211)</f>
        <v>0</v>
      </c>
      <c r="Z1211" s="32" t="n">
        <f aca="false">INDEX('Tabela Passaro'!$V$2:$V$1795,$N1211)</f>
        <v>0</v>
      </c>
      <c r="AA1211" s="32" t="n">
        <f aca="false">SUM(R1211:Z1211)</f>
        <v>132.71986</v>
      </c>
      <c r="AB1211" s="33" t="n">
        <f aca="false">INDEX(Premissas!$B$5:$B$13,MATCH(A1211,Premissas!$A$5:$A$13,0))</f>
        <v>0.07</v>
      </c>
      <c r="AC1211" s="32" t="n">
        <f aca="false">AA1211/(1-AB1211)-AA1211</f>
        <v>9.98966688172044</v>
      </c>
      <c r="AD1211" s="32" t="n">
        <f aca="false">ROUND(AA1211+AC1211,2)</f>
        <v>142.71</v>
      </c>
      <c r="AE1211" s="32" t="n">
        <f aca="false">AD1211-L1211</f>
        <v>-33.6</v>
      </c>
      <c r="AF1211" s="34" t="n">
        <f aca="false">IF(L1211=0,0,AE1211/L1211)</f>
        <v>-0.190573421813851</v>
      </c>
      <c r="AG1211" s="22" t="str">
        <f aca="false">IF(AD1211&lt;L1211,"PASSARO","ATUAL")</f>
        <v>PASSARO</v>
      </c>
      <c r="AH1211" s="22" t="str">
        <f aca="false">IF(P1211&lt;&gt;A1211,"Faixa cadastrada como "&amp;P1211&amp;" na tabela; preço aplicado pela UF do CEP","")</f>
        <v/>
      </c>
      <c r="AI1211" s="26" t="n">
        <v>173.18</v>
      </c>
      <c r="AJ1211" s="22" t="str">
        <f aca="false">INDEX('Tabela Passaro'!$X$2:$X$1795,$N1211)</f>
        <v>CAPITAL</v>
      </c>
    </row>
    <row r="1212" customFormat="false" ht="15" hidden="false" customHeight="false" outlineLevel="0" collapsed="false">
      <c r="A1212" s="22" t="s">
        <v>20</v>
      </c>
      <c r="B1212" s="22" t="n">
        <v>1</v>
      </c>
      <c r="C1212" s="22" t="s">
        <v>147</v>
      </c>
      <c r="D1212" s="22" t="s">
        <v>30</v>
      </c>
      <c r="E1212" s="22" t="s">
        <v>7326</v>
      </c>
      <c r="F1212" s="22" t="n">
        <v>522252</v>
      </c>
      <c r="G1212" s="30" t="n">
        <v>46238</v>
      </c>
      <c r="H1212" s="22" t="n">
        <v>619734</v>
      </c>
      <c r="I1212" s="22" t="s">
        <v>8427</v>
      </c>
      <c r="J1212" s="31" t="n">
        <v>42.4</v>
      </c>
      <c r="K1212" s="26" t="n">
        <v>784.98</v>
      </c>
      <c r="L1212" s="26" t="n">
        <v>177.97</v>
      </c>
      <c r="M1212" s="22" t="s">
        <v>4802</v>
      </c>
      <c r="N1212" s="22" t="n">
        <f aca="false">MATCH(M1212,'Tabela Passaro'!$A$2:$A$1795,0)</f>
        <v>1150</v>
      </c>
      <c r="O1212" s="22" t="str">
        <f aca="false">INDEX('Tabela Passaro'!$C$2:$C$1795,$N1212)</f>
        <v>RECIFE</v>
      </c>
      <c r="P1212" s="22" t="str">
        <f aca="false">INDEX('Tabela Passaro'!$B$2:$B$1795,$N1212)</f>
        <v>PE</v>
      </c>
      <c r="Q1212" s="22" t="n">
        <f aca="false">INDEX('Tabela Passaro'!$F$2:$F$1795,$N1212)</f>
        <v>8</v>
      </c>
      <c r="R1212" s="32" t="n">
        <f aca="false">IF(J1212&lt;=10,INDEX('Tabela Passaro'!$G$2:$G$1795,$N1212),IF(J1212&lt;=30,INDEX('Tabela Passaro'!$H$2:$H$1795,$N1212),IF(J1212&lt;=50,INDEX('Tabela Passaro'!$I$2:$I$1795,$N1212),IF(J1212&lt;=70,INDEX('Tabela Passaro'!$J$2:$J$1795,$N1212),IF(J1212&lt;=100,INDEX('Tabela Passaro'!$K$2:$K$1795,$N1212),INDEX('Tabela Passaro'!$K$2:$K$1795,$N1212)+(J1212-100)*INDEX('Tabela Passaro'!$L$2:$L$1795,$N1212))))))</f>
        <v>88.59</v>
      </c>
      <c r="S1212" s="32" t="n">
        <f aca="false">K1212*INDEX('Tabela Passaro'!$M$2:$M$1795,$N1212)</f>
        <v>3.9249</v>
      </c>
      <c r="T1212" s="32" t="n">
        <f aca="false">K1212*INDEX('Tabela Passaro'!$N$2:$N$1795,$N1212)</f>
        <v>1.56996</v>
      </c>
      <c r="U1212" s="32" t="n">
        <f aca="false">INDEX('Tabela Passaro'!$O$2:$O$1795,$N1212)</f>
        <v>5</v>
      </c>
      <c r="V1212" s="32" t="n">
        <f aca="false">ROUNDUP(J1212/INDEX('Tabela Passaro'!$Q$2:$Q$1795,$N1212),0)*INDEX('Tabela Passaro'!$P$2:$P$1795,$N1212)</f>
        <v>5</v>
      </c>
      <c r="W1212" s="32" t="n">
        <f aca="false">INDEX('Tabela Passaro'!$R$2:$R$1795,$N1212)</f>
        <v>30</v>
      </c>
      <c r="X1212" s="32" t="n">
        <f aca="false">ROUNDUP(J1212/INDEX('Tabela Passaro'!$T$2:$T$1795,$N1212),0)*INDEX('Tabela Passaro'!$S$2:$S$1795,$N1212)</f>
        <v>0</v>
      </c>
      <c r="Y1212" s="32" t="n">
        <f aca="false">INDEX('Tabela Passaro'!$U$2:$U$1795,$N1212)</f>
        <v>0</v>
      </c>
      <c r="Z1212" s="32" t="n">
        <f aca="false">INDEX('Tabela Passaro'!$V$2:$V$1795,$N1212)</f>
        <v>0</v>
      </c>
      <c r="AA1212" s="32" t="n">
        <f aca="false">SUM(R1212:Z1212)</f>
        <v>134.08486</v>
      </c>
      <c r="AB1212" s="33" t="n">
        <f aca="false">INDEX(Premissas!$B$5:$B$13,MATCH(A1212,Premissas!$A$5:$A$13,0))</f>
        <v>0.07</v>
      </c>
      <c r="AC1212" s="32" t="n">
        <f aca="false">AA1212/(1-AB1212)-AA1212</f>
        <v>10.0924088172043</v>
      </c>
      <c r="AD1212" s="32" t="n">
        <f aca="false">ROUND(AA1212+AC1212,2)</f>
        <v>144.18</v>
      </c>
      <c r="AE1212" s="32" t="n">
        <f aca="false">AD1212-L1212</f>
        <v>-33.79</v>
      </c>
      <c r="AF1212" s="34" t="n">
        <f aca="false">IF(L1212=0,0,AE1212/L1212)</f>
        <v>-0.18986346013373</v>
      </c>
      <c r="AG1212" s="22" t="str">
        <f aca="false">IF(AD1212&lt;L1212,"PASSARO","ATUAL")</f>
        <v>PASSARO</v>
      </c>
      <c r="AH1212" s="22" t="str">
        <f aca="false">IF(P1212&lt;&gt;A1212,"Faixa cadastrada como "&amp;P1212&amp;" na tabela; preço aplicado pela UF do CEP","")</f>
        <v/>
      </c>
      <c r="AI1212" s="26" t="n">
        <v>177.49</v>
      </c>
      <c r="AJ1212" s="22" t="str">
        <f aca="false">INDEX('Tabela Passaro'!$X$2:$X$1795,$N1212)</f>
        <v>CAPITAL</v>
      </c>
    </row>
    <row r="1213" customFormat="false" ht="15" hidden="false" customHeight="false" outlineLevel="0" collapsed="false">
      <c r="A1213" s="22" t="s">
        <v>20</v>
      </c>
      <c r="B1213" s="22" t="n">
        <v>1</v>
      </c>
      <c r="C1213" s="22" t="s">
        <v>147</v>
      </c>
      <c r="D1213" s="22" t="s">
        <v>30</v>
      </c>
      <c r="E1213" s="22" t="s">
        <v>20</v>
      </c>
      <c r="F1213" s="22" t="n">
        <v>837953</v>
      </c>
      <c r="G1213" s="30" t="n">
        <v>46239</v>
      </c>
      <c r="H1213" s="22" t="n">
        <v>32399</v>
      </c>
      <c r="I1213" s="22" t="s">
        <v>8428</v>
      </c>
      <c r="J1213" s="31" t="n">
        <v>29.59</v>
      </c>
      <c r="K1213" s="26" t="n">
        <v>516.39</v>
      </c>
      <c r="L1213" s="26" t="n">
        <v>81.1</v>
      </c>
      <c r="M1213" s="22" t="s">
        <v>4802</v>
      </c>
      <c r="N1213" s="22" t="n">
        <f aca="false">MATCH(M1213,'Tabela Passaro'!$A$2:$A$1795,0)</f>
        <v>1150</v>
      </c>
      <c r="O1213" s="22" t="str">
        <f aca="false">INDEX('Tabela Passaro'!$C$2:$C$1795,$N1213)</f>
        <v>RECIFE</v>
      </c>
      <c r="P1213" s="22" t="str">
        <f aca="false">INDEX('Tabela Passaro'!$B$2:$B$1795,$N1213)</f>
        <v>PE</v>
      </c>
      <c r="Q1213" s="22" t="n">
        <f aca="false">INDEX('Tabela Passaro'!$F$2:$F$1795,$N1213)</f>
        <v>8</v>
      </c>
      <c r="R1213" s="32" t="n">
        <f aca="false">IF(J1213&lt;=10,INDEX('Tabela Passaro'!$G$2:$G$1795,$N1213),IF(J1213&lt;=30,INDEX('Tabela Passaro'!$H$2:$H$1795,$N1213),IF(J1213&lt;=50,INDEX('Tabela Passaro'!$I$2:$I$1795,$N1213),IF(J1213&lt;=70,INDEX('Tabela Passaro'!$J$2:$J$1795,$N1213),IF(J1213&lt;=100,INDEX('Tabela Passaro'!$K$2:$K$1795,$N1213),INDEX('Tabela Passaro'!$K$2:$K$1795,$N1213)+(J1213-100)*INDEX('Tabela Passaro'!$L$2:$L$1795,$N1213))))))</f>
        <v>66.55</v>
      </c>
      <c r="S1213" s="32" t="n">
        <f aca="false">K1213*INDEX('Tabela Passaro'!$M$2:$M$1795,$N1213)</f>
        <v>2.58195</v>
      </c>
      <c r="T1213" s="32" t="n">
        <f aca="false">K1213*INDEX('Tabela Passaro'!$N$2:$N$1795,$N1213)</f>
        <v>1.03278</v>
      </c>
      <c r="U1213" s="32" t="n">
        <f aca="false">INDEX('Tabela Passaro'!$O$2:$O$1795,$N1213)</f>
        <v>5</v>
      </c>
      <c r="V1213" s="32" t="n">
        <f aca="false">ROUNDUP(J1213/INDEX('Tabela Passaro'!$Q$2:$Q$1795,$N1213),0)*INDEX('Tabela Passaro'!$P$2:$P$1795,$N1213)</f>
        <v>5</v>
      </c>
      <c r="W1213" s="32" t="n">
        <f aca="false">INDEX('Tabela Passaro'!$R$2:$R$1795,$N1213)</f>
        <v>30</v>
      </c>
      <c r="X1213" s="32" t="n">
        <f aca="false">ROUNDUP(J1213/INDEX('Tabela Passaro'!$T$2:$T$1795,$N1213),0)*INDEX('Tabela Passaro'!$S$2:$S$1795,$N1213)</f>
        <v>0</v>
      </c>
      <c r="Y1213" s="32" t="n">
        <f aca="false">INDEX('Tabela Passaro'!$U$2:$U$1795,$N1213)</f>
        <v>0</v>
      </c>
      <c r="Z1213" s="32" t="n">
        <f aca="false">INDEX('Tabela Passaro'!$V$2:$V$1795,$N1213)</f>
        <v>0</v>
      </c>
      <c r="AA1213" s="32" t="n">
        <f aca="false">SUM(R1213:Z1213)</f>
        <v>110.16473</v>
      </c>
      <c r="AB1213" s="33" t="n">
        <f aca="false">INDEX(Premissas!$B$5:$B$13,MATCH(A1213,Premissas!$A$5:$A$13,0))</f>
        <v>0.07</v>
      </c>
      <c r="AC1213" s="32" t="n">
        <f aca="false">AA1213/(1-AB1213)-AA1213</f>
        <v>8.29196892473119</v>
      </c>
      <c r="AD1213" s="32" t="n">
        <f aca="false">ROUND(AA1213+AC1213,2)</f>
        <v>118.46</v>
      </c>
      <c r="AE1213" s="32" t="n">
        <f aca="false">AD1213-L1213</f>
        <v>37.36</v>
      </c>
      <c r="AF1213" s="34" t="n">
        <f aca="false">IF(L1213=0,0,AE1213/L1213)</f>
        <v>0.460665844636252</v>
      </c>
      <c r="AG1213" s="22" t="str">
        <f aca="false">IF(AD1213&lt;L1213,"PASSARO","ATUAL")</f>
        <v>ATUAL</v>
      </c>
      <c r="AH1213" s="22" t="str">
        <f aca="false">IF(P1213&lt;&gt;A1213,"Faixa cadastrada como "&amp;P1213&amp;" na tabela; preço aplicado pela UF do CEP","")</f>
        <v/>
      </c>
      <c r="AI1213" s="26" t="n">
        <v>143.55</v>
      </c>
      <c r="AJ1213" s="22" t="str">
        <f aca="false">INDEX('Tabela Passaro'!$X$2:$X$1795,$N1213)</f>
        <v>CAPITAL</v>
      </c>
    </row>
    <row r="1214" customFormat="false" ht="15" hidden="false" customHeight="false" outlineLevel="0" collapsed="false">
      <c r="A1214" s="22" t="s">
        <v>20</v>
      </c>
      <c r="B1214" s="22" t="n">
        <v>1</v>
      </c>
      <c r="C1214" s="22" t="s">
        <v>147</v>
      </c>
      <c r="D1214" s="22" t="s">
        <v>30</v>
      </c>
      <c r="E1214" s="22" t="s">
        <v>7328</v>
      </c>
      <c r="F1214" s="22" t="n">
        <v>2307882</v>
      </c>
      <c r="G1214" s="30" t="n">
        <v>46239</v>
      </c>
      <c r="H1214" s="22" t="n">
        <v>131866</v>
      </c>
      <c r="I1214" s="22" t="s">
        <v>8429</v>
      </c>
      <c r="J1214" s="31" t="n">
        <v>34.4</v>
      </c>
      <c r="K1214" s="26" t="n">
        <v>554.99</v>
      </c>
      <c r="L1214" s="26" t="n">
        <v>155.25</v>
      </c>
      <c r="M1214" s="22" t="s">
        <v>4802</v>
      </c>
      <c r="N1214" s="22" t="n">
        <f aca="false">MATCH(M1214,'Tabela Passaro'!$A$2:$A$1795,0)</f>
        <v>1150</v>
      </c>
      <c r="O1214" s="22" t="str">
        <f aca="false">INDEX('Tabela Passaro'!$C$2:$C$1795,$N1214)</f>
        <v>RECIFE</v>
      </c>
      <c r="P1214" s="22" t="str">
        <f aca="false">INDEX('Tabela Passaro'!$B$2:$B$1795,$N1214)</f>
        <v>PE</v>
      </c>
      <c r="Q1214" s="22" t="n">
        <f aca="false">INDEX('Tabela Passaro'!$F$2:$F$1795,$N1214)</f>
        <v>8</v>
      </c>
      <c r="R1214" s="32" t="n">
        <f aca="false">IF(J1214&lt;=10,INDEX('Tabela Passaro'!$G$2:$G$1795,$N1214),IF(J1214&lt;=30,INDEX('Tabela Passaro'!$H$2:$H$1795,$N1214),IF(J1214&lt;=50,INDEX('Tabela Passaro'!$I$2:$I$1795,$N1214),IF(J1214&lt;=70,INDEX('Tabela Passaro'!$J$2:$J$1795,$N1214),IF(J1214&lt;=100,INDEX('Tabela Passaro'!$K$2:$K$1795,$N1214),INDEX('Tabela Passaro'!$K$2:$K$1795,$N1214)+(J1214-100)*INDEX('Tabela Passaro'!$L$2:$L$1795,$N1214))))))</f>
        <v>88.59</v>
      </c>
      <c r="S1214" s="32" t="n">
        <f aca="false">K1214*INDEX('Tabela Passaro'!$M$2:$M$1795,$N1214)</f>
        <v>2.77495</v>
      </c>
      <c r="T1214" s="32" t="n">
        <f aca="false">K1214*INDEX('Tabela Passaro'!$N$2:$N$1795,$N1214)</f>
        <v>1.10998</v>
      </c>
      <c r="U1214" s="32" t="n">
        <f aca="false">INDEX('Tabela Passaro'!$O$2:$O$1795,$N1214)</f>
        <v>5</v>
      </c>
      <c r="V1214" s="32" t="n">
        <f aca="false">ROUNDUP(J1214/INDEX('Tabela Passaro'!$Q$2:$Q$1795,$N1214),0)*INDEX('Tabela Passaro'!$P$2:$P$1795,$N1214)</f>
        <v>5</v>
      </c>
      <c r="W1214" s="32" t="n">
        <f aca="false">INDEX('Tabela Passaro'!$R$2:$R$1795,$N1214)</f>
        <v>30</v>
      </c>
      <c r="X1214" s="32" t="n">
        <f aca="false">ROUNDUP(J1214/INDEX('Tabela Passaro'!$T$2:$T$1795,$N1214),0)*INDEX('Tabela Passaro'!$S$2:$S$1795,$N1214)</f>
        <v>0</v>
      </c>
      <c r="Y1214" s="32" t="n">
        <f aca="false">INDEX('Tabela Passaro'!$U$2:$U$1795,$N1214)</f>
        <v>0</v>
      </c>
      <c r="Z1214" s="32" t="n">
        <f aca="false">INDEX('Tabela Passaro'!$V$2:$V$1795,$N1214)</f>
        <v>0</v>
      </c>
      <c r="AA1214" s="32" t="n">
        <f aca="false">SUM(R1214:Z1214)</f>
        <v>132.47493</v>
      </c>
      <c r="AB1214" s="33" t="n">
        <f aca="false">INDEX(Premissas!$B$5:$B$13,MATCH(A1214,Premissas!$A$5:$A$13,0))</f>
        <v>0.07</v>
      </c>
      <c r="AC1214" s="32" t="n">
        <f aca="false">AA1214/(1-AB1214)-AA1214</f>
        <v>9.97123129032258</v>
      </c>
      <c r="AD1214" s="32" t="n">
        <f aca="false">ROUND(AA1214+AC1214,2)</f>
        <v>142.45</v>
      </c>
      <c r="AE1214" s="32" t="n">
        <f aca="false">AD1214-L1214</f>
        <v>-12.8</v>
      </c>
      <c r="AF1214" s="34" t="n">
        <f aca="false">IF(L1214=0,0,AE1214/L1214)</f>
        <v>-0.0824476650563608</v>
      </c>
      <c r="AG1214" s="22" t="str">
        <f aca="false">IF(AD1214&lt;L1214,"PASSARO","ATUAL")</f>
        <v>PASSARO</v>
      </c>
      <c r="AH1214" s="22" t="str">
        <f aca="false">IF(P1214&lt;&gt;A1214,"Faixa cadastrada como "&amp;P1214&amp;" na tabela; preço aplicado pela UF do CEP","")</f>
        <v/>
      </c>
      <c r="AI1214" s="26" t="n">
        <v>171.39</v>
      </c>
      <c r="AJ1214" s="22" t="str">
        <f aca="false">INDEX('Tabela Passaro'!$X$2:$X$1795,$N1214)</f>
        <v>CAPITAL</v>
      </c>
    </row>
    <row r="1215" customFormat="false" ht="15" hidden="false" customHeight="false" outlineLevel="0" collapsed="false">
      <c r="A1215" s="22" t="s">
        <v>20</v>
      </c>
      <c r="B1215" s="22" t="n">
        <v>1</v>
      </c>
      <c r="C1215" s="22" t="s">
        <v>147</v>
      </c>
      <c r="D1215" s="22" t="s">
        <v>30</v>
      </c>
      <c r="E1215" s="22" t="s">
        <v>7328</v>
      </c>
      <c r="F1215" s="22" t="n">
        <v>2307891</v>
      </c>
      <c r="G1215" s="30" t="n">
        <v>46239</v>
      </c>
      <c r="H1215" s="22" t="n">
        <v>131877</v>
      </c>
      <c r="I1215" s="22" t="s">
        <v>8430</v>
      </c>
      <c r="J1215" s="31" t="n">
        <v>125.8</v>
      </c>
      <c r="K1215" s="26" t="n">
        <v>2419.98</v>
      </c>
      <c r="L1215" s="26" t="n">
        <v>297.95</v>
      </c>
      <c r="M1215" s="22" t="s">
        <v>4802</v>
      </c>
      <c r="N1215" s="22" t="n">
        <f aca="false">MATCH(M1215,'Tabela Passaro'!$A$2:$A$1795,0)</f>
        <v>1150</v>
      </c>
      <c r="O1215" s="22" t="str">
        <f aca="false">INDEX('Tabela Passaro'!$C$2:$C$1795,$N1215)</f>
        <v>RECIFE</v>
      </c>
      <c r="P1215" s="22" t="str">
        <f aca="false">INDEX('Tabela Passaro'!$B$2:$B$1795,$N1215)</f>
        <v>PE</v>
      </c>
      <c r="Q1215" s="22" t="n">
        <f aca="false">INDEX('Tabela Passaro'!$F$2:$F$1795,$N1215)</f>
        <v>8</v>
      </c>
      <c r="R1215" s="32" t="n">
        <f aca="false">IF(J1215&lt;=10,INDEX('Tabela Passaro'!$G$2:$G$1795,$N1215),IF(J1215&lt;=30,INDEX('Tabela Passaro'!$H$2:$H$1795,$N1215),IF(J1215&lt;=50,INDEX('Tabela Passaro'!$I$2:$I$1795,$N1215),IF(J1215&lt;=70,INDEX('Tabela Passaro'!$J$2:$J$1795,$N1215),IF(J1215&lt;=100,INDEX('Tabela Passaro'!$K$2:$K$1795,$N1215),INDEX('Tabela Passaro'!$K$2:$K$1795,$N1215)+(J1215-100)*INDEX('Tabela Passaro'!$L$2:$L$1795,$N1215))))))</f>
        <v>158.194</v>
      </c>
      <c r="S1215" s="32" t="n">
        <f aca="false">K1215*INDEX('Tabela Passaro'!$M$2:$M$1795,$N1215)</f>
        <v>12.0999</v>
      </c>
      <c r="T1215" s="32" t="n">
        <f aca="false">K1215*INDEX('Tabela Passaro'!$N$2:$N$1795,$N1215)</f>
        <v>4.83996</v>
      </c>
      <c r="U1215" s="32" t="n">
        <f aca="false">INDEX('Tabela Passaro'!$O$2:$O$1795,$N1215)</f>
        <v>5</v>
      </c>
      <c r="V1215" s="32" t="n">
        <f aca="false">ROUNDUP(J1215/INDEX('Tabela Passaro'!$Q$2:$Q$1795,$N1215),0)*INDEX('Tabela Passaro'!$P$2:$P$1795,$N1215)</f>
        <v>10</v>
      </c>
      <c r="W1215" s="32" t="n">
        <f aca="false">INDEX('Tabela Passaro'!$R$2:$R$1795,$N1215)</f>
        <v>30</v>
      </c>
      <c r="X1215" s="32" t="n">
        <f aca="false">ROUNDUP(J1215/INDEX('Tabela Passaro'!$T$2:$T$1795,$N1215),0)*INDEX('Tabela Passaro'!$S$2:$S$1795,$N1215)</f>
        <v>0</v>
      </c>
      <c r="Y1215" s="32" t="n">
        <f aca="false">INDEX('Tabela Passaro'!$U$2:$U$1795,$N1215)</f>
        <v>0</v>
      </c>
      <c r="Z1215" s="32" t="n">
        <f aca="false">INDEX('Tabela Passaro'!$V$2:$V$1795,$N1215)</f>
        <v>0</v>
      </c>
      <c r="AA1215" s="32" t="n">
        <f aca="false">SUM(R1215:Z1215)</f>
        <v>220.13386</v>
      </c>
      <c r="AB1215" s="33" t="n">
        <f aca="false">INDEX(Premissas!$B$5:$B$13,MATCH(A1215,Premissas!$A$5:$A$13,0))</f>
        <v>0.07</v>
      </c>
      <c r="AC1215" s="32" t="n">
        <f aca="false">AA1215/(1-AB1215)-AA1215</f>
        <v>16.5692152688172</v>
      </c>
      <c r="AD1215" s="32" t="n">
        <f aca="false">ROUND(AA1215+AC1215,2)</f>
        <v>236.7</v>
      </c>
      <c r="AE1215" s="32" t="n">
        <f aca="false">AD1215-L1215</f>
        <v>-61.25</v>
      </c>
      <c r="AF1215" s="34" t="n">
        <f aca="false">IF(L1215=0,0,AE1215/L1215)</f>
        <v>-0.205571404598087</v>
      </c>
      <c r="AG1215" s="22" t="str">
        <f aca="false">IF(AD1215&lt;L1215,"PASSARO","ATUAL")</f>
        <v>PASSARO</v>
      </c>
      <c r="AH1215" s="22" t="str">
        <f aca="false">IF(P1215&lt;&gt;A1215,"Faixa cadastrada como "&amp;P1215&amp;" na tabela; preço aplicado pela UF do CEP","")</f>
        <v/>
      </c>
      <c r="AI1215" s="26" t="n">
        <v>320.93</v>
      </c>
      <c r="AJ1215" s="22" t="str">
        <f aca="false">INDEX('Tabela Passaro'!$X$2:$X$1795,$N1215)</f>
        <v>CAPITAL</v>
      </c>
    </row>
    <row r="1216" customFormat="false" ht="15" hidden="false" customHeight="false" outlineLevel="0" collapsed="false">
      <c r="A1216" s="22" t="s">
        <v>20</v>
      </c>
      <c r="B1216" s="22" t="n">
        <v>1</v>
      </c>
      <c r="C1216" s="22" t="s">
        <v>147</v>
      </c>
      <c r="D1216" s="22" t="s">
        <v>30</v>
      </c>
      <c r="E1216" s="22" t="s">
        <v>7328</v>
      </c>
      <c r="F1216" s="22" t="n">
        <v>2307907</v>
      </c>
      <c r="G1216" s="30" t="n">
        <v>46239</v>
      </c>
      <c r="H1216" s="22" t="n">
        <v>131885</v>
      </c>
      <c r="I1216" s="22" t="s">
        <v>8431</v>
      </c>
      <c r="J1216" s="31" t="n">
        <v>29.2</v>
      </c>
      <c r="K1216" s="26" t="n">
        <v>607.98</v>
      </c>
      <c r="L1216" s="26" t="n">
        <v>119.81</v>
      </c>
      <c r="M1216" s="22" t="s">
        <v>4802</v>
      </c>
      <c r="N1216" s="22" t="n">
        <f aca="false">MATCH(M1216,'Tabela Passaro'!$A$2:$A$1795,0)</f>
        <v>1150</v>
      </c>
      <c r="O1216" s="22" t="str">
        <f aca="false">INDEX('Tabela Passaro'!$C$2:$C$1795,$N1216)</f>
        <v>RECIFE</v>
      </c>
      <c r="P1216" s="22" t="str">
        <f aca="false">INDEX('Tabela Passaro'!$B$2:$B$1795,$N1216)</f>
        <v>PE</v>
      </c>
      <c r="Q1216" s="22" t="n">
        <f aca="false">INDEX('Tabela Passaro'!$F$2:$F$1795,$N1216)</f>
        <v>8</v>
      </c>
      <c r="R1216" s="32" t="n">
        <f aca="false">IF(J1216&lt;=10,INDEX('Tabela Passaro'!$G$2:$G$1795,$N1216),IF(J1216&lt;=30,INDEX('Tabela Passaro'!$H$2:$H$1795,$N1216),IF(J1216&lt;=50,INDEX('Tabela Passaro'!$I$2:$I$1795,$N1216),IF(J1216&lt;=70,INDEX('Tabela Passaro'!$J$2:$J$1795,$N1216),IF(J1216&lt;=100,INDEX('Tabela Passaro'!$K$2:$K$1795,$N1216),INDEX('Tabela Passaro'!$K$2:$K$1795,$N1216)+(J1216-100)*INDEX('Tabela Passaro'!$L$2:$L$1795,$N1216))))))</f>
        <v>66.55</v>
      </c>
      <c r="S1216" s="32" t="n">
        <f aca="false">K1216*INDEX('Tabela Passaro'!$M$2:$M$1795,$N1216)</f>
        <v>3.0399</v>
      </c>
      <c r="T1216" s="32" t="n">
        <f aca="false">K1216*INDEX('Tabela Passaro'!$N$2:$N$1795,$N1216)</f>
        <v>1.21596</v>
      </c>
      <c r="U1216" s="32" t="n">
        <f aca="false">INDEX('Tabela Passaro'!$O$2:$O$1795,$N1216)</f>
        <v>5</v>
      </c>
      <c r="V1216" s="32" t="n">
        <f aca="false">ROUNDUP(J1216/INDEX('Tabela Passaro'!$Q$2:$Q$1795,$N1216),0)*INDEX('Tabela Passaro'!$P$2:$P$1795,$N1216)</f>
        <v>5</v>
      </c>
      <c r="W1216" s="32" t="n">
        <f aca="false">INDEX('Tabela Passaro'!$R$2:$R$1795,$N1216)</f>
        <v>30</v>
      </c>
      <c r="X1216" s="32" t="n">
        <f aca="false">ROUNDUP(J1216/INDEX('Tabela Passaro'!$T$2:$T$1795,$N1216),0)*INDEX('Tabela Passaro'!$S$2:$S$1795,$N1216)</f>
        <v>0</v>
      </c>
      <c r="Y1216" s="32" t="n">
        <f aca="false">INDEX('Tabela Passaro'!$U$2:$U$1795,$N1216)</f>
        <v>0</v>
      </c>
      <c r="Z1216" s="32" t="n">
        <f aca="false">INDEX('Tabela Passaro'!$V$2:$V$1795,$N1216)</f>
        <v>0</v>
      </c>
      <c r="AA1216" s="32" t="n">
        <f aca="false">SUM(R1216:Z1216)</f>
        <v>110.80586</v>
      </c>
      <c r="AB1216" s="33" t="n">
        <f aca="false">INDEX(Premissas!$B$5:$B$13,MATCH(A1216,Premissas!$A$5:$A$13,0))</f>
        <v>0.07</v>
      </c>
      <c r="AC1216" s="32" t="n">
        <f aca="false">AA1216/(1-AB1216)-AA1216</f>
        <v>8.34022602150539</v>
      </c>
      <c r="AD1216" s="32" t="n">
        <f aca="false">ROUND(AA1216+AC1216,2)</f>
        <v>119.15</v>
      </c>
      <c r="AE1216" s="32" t="n">
        <f aca="false">AD1216-L1216</f>
        <v>-0.659999999999997</v>
      </c>
      <c r="AF1216" s="34" t="n">
        <f aca="false">IF(L1216=0,0,AE1216/L1216)</f>
        <v>-0.00550872214339368</v>
      </c>
      <c r="AG1216" s="22" t="str">
        <f aca="false">IF(AD1216&lt;L1216,"PASSARO","ATUAL")</f>
        <v>PASSARO</v>
      </c>
      <c r="AH1216" s="22" t="str">
        <f aca="false">IF(P1216&lt;&gt;A1216,"Faixa cadastrada como "&amp;P1216&amp;" na tabela; preço aplicado pela UF do CEP","")</f>
        <v/>
      </c>
      <c r="AI1216" s="26" t="n">
        <v>144.43</v>
      </c>
      <c r="AJ1216" s="22" t="str">
        <f aca="false">INDEX('Tabela Passaro'!$X$2:$X$1795,$N1216)</f>
        <v>CAPITAL</v>
      </c>
    </row>
    <row r="1217" customFormat="false" ht="15" hidden="false" customHeight="false" outlineLevel="0" collapsed="false">
      <c r="A1217" s="22" t="s">
        <v>20</v>
      </c>
      <c r="B1217" s="22" t="n">
        <v>1</v>
      </c>
      <c r="C1217" s="22" t="s">
        <v>147</v>
      </c>
      <c r="D1217" s="22" t="s">
        <v>30</v>
      </c>
      <c r="E1217" s="22" t="s">
        <v>7328</v>
      </c>
      <c r="F1217" s="22" t="n">
        <v>2307929</v>
      </c>
      <c r="G1217" s="30" t="n">
        <v>46239</v>
      </c>
      <c r="H1217" s="22" t="n">
        <v>131902</v>
      </c>
      <c r="I1217" s="22" t="s">
        <v>8432</v>
      </c>
      <c r="J1217" s="31" t="n">
        <v>65</v>
      </c>
      <c r="K1217" s="26" t="n">
        <v>1119.98</v>
      </c>
      <c r="L1217" s="26" t="n">
        <v>187.16</v>
      </c>
      <c r="M1217" s="22" t="s">
        <v>4802</v>
      </c>
      <c r="N1217" s="22" t="n">
        <f aca="false">MATCH(M1217,'Tabela Passaro'!$A$2:$A$1795,0)</f>
        <v>1150</v>
      </c>
      <c r="O1217" s="22" t="str">
        <f aca="false">INDEX('Tabela Passaro'!$C$2:$C$1795,$N1217)</f>
        <v>RECIFE</v>
      </c>
      <c r="P1217" s="22" t="str">
        <f aca="false">INDEX('Tabela Passaro'!$B$2:$B$1795,$N1217)</f>
        <v>PE</v>
      </c>
      <c r="Q1217" s="22" t="n">
        <f aca="false">INDEX('Tabela Passaro'!$F$2:$F$1795,$N1217)</f>
        <v>8</v>
      </c>
      <c r="R1217" s="32" t="n">
        <f aca="false">IF(J1217&lt;=10,INDEX('Tabela Passaro'!$G$2:$G$1795,$N1217),IF(J1217&lt;=30,INDEX('Tabela Passaro'!$H$2:$H$1795,$N1217),IF(J1217&lt;=50,INDEX('Tabela Passaro'!$I$2:$I$1795,$N1217),IF(J1217&lt;=70,INDEX('Tabela Passaro'!$J$2:$J$1795,$N1217),IF(J1217&lt;=100,INDEX('Tabela Passaro'!$K$2:$K$1795,$N1217),INDEX('Tabela Passaro'!$K$2:$K$1795,$N1217)+(J1217-100)*INDEX('Tabela Passaro'!$L$2:$L$1795,$N1217))))))</f>
        <v>99.61</v>
      </c>
      <c r="S1217" s="32" t="n">
        <f aca="false">K1217*INDEX('Tabela Passaro'!$M$2:$M$1795,$N1217)</f>
        <v>5.5999</v>
      </c>
      <c r="T1217" s="32" t="n">
        <f aca="false">K1217*INDEX('Tabela Passaro'!$N$2:$N$1795,$N1217)</f>
        <v>2.23996</v>
      </c>
      <c r="U1217" s="32" t="n">
        <f aca="false">INDEX('Tabela Passaro'!$O$2:$O$1795,$N1217)</f>
        <v>5</v>
      </c>
      <c r="V1217" s="32" t="n">
        <f aca="false">ROUNDUP(J1217/INDEX('Tabela Passaro'!$Q$2:$Q$1795,$N1217),0)*INDEX('Tabela Passaro'!$P$2:$P$1795,$N1217)</f>
        <v>5</v>
      </c>
      <c r="W1217" s="32" t="n">
        <f aca="false">INDEX('Tabela Passaro'!$R$2:$R$1795,$N1217)</f>
        <v>30</v>
      </c>
      <c r="X1217" s="32" t="n">
        <f aca="false">ROUNDUP(J1217/INDEX('Tabela Passaro'!$T$2:$T$1795,$N1217),0)*INDEX('Tabela Passaro'!$S$2:$S$1795,$N1217)</f>
        <v>0</v>
      </c>
      <c r="Y1217" s="32" t="n">
        <f aca="false">INDEX('Tabela Passaro'!$U$2:$U$1795,$N1217)</f>
        <v>0</v>
      </c>
      <c r="Z1217" s="32" t="n">
        <f aca="false">INDEX('Tabela Passaro'!$V$2:$V$1795,$N1217)</f>
        <v>0</v>
      </c>
      <c r="AA1217" s="32" t="n">
        <f aca="false">SUM(R1217:Z1217)</f>
        <v>147.44986</v>
      </c>
      <c r="AB1217" s="33" t="n">
        <f aca="false">INDEX(Premissas!$B$5:$B$13,MATCH(A1217,Premissas!$A$5:$A$13,0))</f>
        <v>0.07</v>
      </c>
      <c r="AC1217" s="32" t="n">
        <f aca="false">AA1217/(1-AB1217)-AA1217</f>
        <v>11.0983765591398</v>
      </c>
      <c r="AD1217" s="32" t="n">
        <f aca="false">ROUND(AA1217+AC1217,2)</f>
        <v>158.55</v>
      </c>
      <c r="AE1217" s="32" t="n">
        <f aca="false">AD1217-L1217</f>
        <v>-28.61</v>
      </c>
      <c r="AF1217" s="34" t="n">
        <f aca="false">IF(L1217=0,0,AE1217/L1217)</f>
        <v>-0.152863859799102</v>
      </c>
      <c r="AG1217" s="22" t="str">
        <f aca="false">IF(AD1217&lt;L1217,"PASSARO","ATUAL")</f>
        <v>PASSARO</v>
      </c>
      <c r="AH1217" s="22" t="str">
        <f aca="false">IF(P1217&lt;&gt;A1217,"Faixa cadastrada como "&amp;P1217&amp;" na tabela; preço aplicado pela UF do CEP","")</f>
        <v/>
      </c>
      <c r="AI1217" s="26" t="n">
        <v>203.9</v>
      </c>
      <c r="AJ1217" s="22" t="str">
        <f aca="false">INDEX('Tabela Passaro'!$X$2:$X$1795,$N1217)</f>
        <v>CAPITAL</v>
      </c>
    </row>
    <row r="1218" customFormat="false" ht="15" hidden="false" customHeight="false" outlineLevel="0" collapsed="false">
      <c r="A1218" s="22" t="s">
        <v>20</v>
      </c>
      <c r="B1218" s="22" t="n">
        <v>1</v>
      </c>
      <c r="C1218" s="22" t="s">
        <v>147</v>
      </c>
      <c r="D1218" s="22" t="s">
        <v>30</v>
      </c>
      <c r="E1218" s="22" t="s">
        <v>7328</v>
      </c>
      <c r="F1218" s="22" t="n">
        <v>2307978</v>
      </c>
      <c r="G1218" s="30" t="n">
        <v>46239</v>
      </c>
      <c r="H1218" s="22" t="n">
        <v>131910</v>
      </c>
      <c r="I1218" s="22" t="s">
        <v>8433</v>
      </c>
      <c r="J1218" s="31" t="n">
        <v>63</v>
      </c>
      <c r="K1218" s="26" t="n">
        <v>1072.23</v>
      </c>
      <c r="L1218" s="26" t="n">
        <v>186.78</v>
      </c>
      <c r="M1218" s="22" t="s">
        <v>4802</v>
      </c>
      <c r="N1218" s="22" t="n">
        <f aca="false">MATCH(M1218,'Tabela Passaro'!$A$2:$A$1795,0)</f>
        <v>1150</v>
      </c>
      <c r="O1218" s="22" t="str">
        <f aca="false">INDEX('Tabela Passaro'!$C$2:$C$1795,$N1218)</f>
        <v>RECIFE</v>
      </c>
      <c r="P1218" s="22" t="str">
        <f aca="false">INDEX('Tabela Passaro'!$B$2:$B$1795,$N1218)</f>
        <v>PE</v>
      </c>
      <c r="Q1218" s="22" t="n">
        <f aca="false">INDEX('Tabela Passaro'!$F$2:$F$1795,$N1218)</f>
        <v>8</v>
      </c>
      <c r="R1218" s="32" t="n">
        <f aca="false">IF(J1218&lt;=10,INDEX('Tabela Passaro'!$G$2:$G$1795,$N1218),IF(J1218&lt;=30,INDEX('Tabela Passaro'!$H$2:$H$1795,$N1218),IF(J1218&lt;=50,INDEX('Tabela Passaro'!$I$2:$I$1795,$N1218),IF(J1218&lt;=70,INDEX('Tabela Passaro'!$J$2:$J$1795,$N1218),IF(J1218&lt;=100,INDEX('Tabela Passaro'!$K$2:$K$1795,$N1218),INDEX('Tabela Passaro'!$K$2:$K$1795,$N1218)+(J1218-100)*INDEX('Tabela Passaro'!$L$2:$L$1795,$N1218))))))</f>
        <v>99.61</v>
      </c>
      <c r="S1218" s="32" t="n">
        <f aca="false">K1218*INDEX('Tabela Passaro'!$M$2:$M$1795,$N1218)</f>
        <v>5.36115</v>
      </c>
      <c r="T1218" s="32" t="n">
        <f aca="false">K1218*INDEX('Tabela Passaro'!$N$2:$N$1795,$N1218)</f>
        <v>2.14446</v>
      </c>
      <c r="U1218" s="32" t="n">
        <f aca="false">INDEX('Tabela Passaro'!$O$2:$O$1795,$N1218)</f>
        <v>5</v>
      </c>
      <c r="V1218" s="32" t="n">
        <f aca="false">ROUNDUP(J1218/INDEX('Tabela Passaro'!$Q$2:$Q$1795,$N1218),0)*INDEX('Tabela Passaro'!$P$2:$P$1795,$N1218)</f>
        <v>5</v>
      </c>
      <c r="W1218" s="32" t="n">
        <f aca="false">INDEX('Tabela Passaro'!$R$2:$R$1795,$N1218)</f>
        <v>30</v>
      </c>
      <c r="X1218" s="32" t="n">
        <f aca="false">ROUNDUP(J1218/INDEX('Tabela Passaro'!$T$2:$T$1795,$N1218),0)*INDEX('Tabela Passaro'!$S$2:$S$1795,$N1218)</f>
        <v>0</v>
      </c>
      <c r="Y1218" s="32" t="n">
        <f aca="false">INDEX('Tabela Passaro'!$U$2:$U$1795,$N1218)</f>
        <v>0</v>
      </c>
      <c r="Z1218" s="32" t="n">
        <f aca="false">INDEX('Tabela Passaro'!$V$2:$V$1795,$N1218)</f>
        <v>0</v>
      </c>
      <c r="AA1218" s="32" t="n">
        <f aca="false">SUM(R1218:Z1218)</f>
        <v>147.11561</v>
      </c>
      <c r="AB1218" s="33" t="n">
        <f aca="false">INDEX(Premissas!$B$5:$B$13,MATCH(A1218,Premissas!$A$5:$A$13,0))</f>
        <v>0.07</v>
      </c>
      <c r="AC1218" s="32" t="n">
        <f aca="false">AA1218/(1-AB1218)-AA1218</f>
        <v>11.0732179569893</v>
      </c>
      <c r="AD1218" s="32" t="n">
        <f aca="false">ROUND(AA1218+AC1218,2)</f>
        <v>158.19</v>
      </c>
      <c r="AE1218" s="32" t="n">
        <f aca="false">AD1218-L1218</f>
        <v>-28.59</v>
      </c>
      <c r="AF1218" s="34" t="n">
        <f aca="false">IF(L1218=0,0,AE1218/L1218)</f>
        <v>-0.153067780276261</v>
      </c>
      <c r="AG1218" s="22" t="str">
        <f aca="false">IF(AD1218&lt;L1218,"PASSARO","ATUAL")</f>
        <v>PASSARO</v>
      </c>
      <c r="AH1218" s="22" t="str">
        <f aca="false">IF(P1218&lt;&gt;A1218,"Faixa cadastrada como "&amp;P1218&amp;" na tabela; preço aplicado pela UF do CEP","")</f>
        <v/>
      </c>
      <c r="AI1218" s="26" t="n">
        <v>202.47</v>
      </c>
      <c r="AJ1218" s="22" t="str">
        <f aca="false">INDEX('Tabela Passaro'!$X$2:$X$1795,$N1218)</f>
        <v>CAPITAL</v>
      </c>
    </row>
    <row r="1219" customFormat="false" ht="15" hidden="false" customHeight="false" outlineLevel="0" collapsed="false">
      <c r="A1219" s="22" t="s">
        <v>20</v>
      </c>
      <c r="B1219" s="22" t="n">
        <v>1</v>
      </c>
      <c r="C1219" s="22" t="s">
        <v>147</v>
      </c>
      <c r="D1219" s="22" t="s">
        <v>30</v>
      </c>
      <c r="E1219" s="22" t="s">
        <v>7328</v>
      </c>
      <c r="F1219" s="22" t="n">
        <v>2307912</v>
      </c>
      <c r="G1219" s="30" t="n">
        <v>46239</v>
      </c>
      <c r="H1219" s="22" t="n">
        <v>131920</v>
      </c>
      <c r="I1219" s="22" t="s">
        <v>8434</v>
      </c>
      <c r="J1219" s="31" t="n">
        <v>27.4</v>
      </c>
      <c r="K1219" s="26" t="n">
        <v>507.23</v>
      </c>
      <c r="L1219" s="26" t="n">
        <v>119.01</v>
      </c>
      <c r="M1219" s="22" t="s">
        <v>4802</v>
      </c>
      <c r="N1219" s="22" t="n">
        <f aca="false">MATCH(M1219,'Tabela Passaro'!$A$2:$A$1795,0)</f>
        <v>1150</v>
      </c>
      <c r="O1219" s="22" t="str">
        <f aca="false">INDEX('Tabela Passaro'!$C$2:$C$1795,$N1219)</f>
        <v>RECIFE</v>
      </c>
      <c r="P1219" s="22" t="str">
        <f aca="false">INDEX('Tabela Passaro'!$B$2:$B$1795,$N1219)</f>
        <v>PE</v>
      </c>
      <c r="Q1219" s="22" t="n">
        <f aca="false">INDEX('Tabela Passaro'!$F$2:$F$1795,$N1219)</f>
        <v>8</v>
      </c>
      <c r="R1219" s="32" t="n">
        <f aca="false">IF(J1219&lt;=10,INDEX('Tabela Passaro'!$G$2:$G$1795,$N1219),IF(J1219&lt;=30,INDEX('Tabela Passaro'!$H$2:$H$1795,$N1219),IF(J1219&lt;=50,INDEX('Tabela Passaro'!$I$2:$I$1795,$N1219),IF(J1219&lt;=70,INDEX('Tabela Passaro'!$J$2:$J$1795,$N1219),IF(J1219&lt;=100,INDEX('Tabela Passaro'!$K$2:$K$1795,$N1219),INDEX('Tabela Passaro'!$K$2:$K$1795,$N1219)+(J1219-100)*INDEX('Tabela Passaro'!$L$2:$L$1795,$N1219))))))</f>
        <v>66.55</v>
      </c>
      <c r="S1219" s="32" t="n">
        <f aca="false">K1219*INDEX('Tabela Passaro'!$M$2:$M$1795,$N1219)</f>
        <v>2.53615</v>
      </c>
      <c r="T1219" s="32" t="n">
        <f aca="false">K1219*INDEX('Tabela Passaro'!$N$2:$N$1795,$N1219)</f>
        <v>1.01446</v>
      </c>
      <c r="U1219" s="32" t="n">
        <f aca="false">INDEX('Tabela Passaro'!$O$2:$O$1795,$N1219)</f>
        <v>5</v>
      </c>
      <c r="V1219" s="32" t="n">
        <f aca="false">ROUNDUP(J1219/INDEX('Tabela Passaro'!$Q$2:$Q$1795,$N1219),0)*INDEX('Tabela Passaro'!$P$2:$P$1795,$N1219)</f>
        <v>5</v>
      </c>
      <c r="W1219" s="32" t="n">
        <f aca="false">INDEX('Tabela Passaro'!$R$2:$R$1795,$N1219)</f>
        <v>30</v>
      </c>
      <c r="X1219" s="32" t="n">
        <f aca="false">ROUNDUP(J1219/INDEX('Tabela Passaro'!$T$2:$T$1795,$N1219),0)*INDEX('Tabela Passaro'!$S$2:$S$1795,$N1219)</f>
        <v>0</v>
      </c>
      <c r="Y1219" s="32" t="n">
        <f aca="false">INDEX('Tabela Passaro'!$U$2:$U$1795,$N1219)</f>
        <v>0</v>
      </c>
      <c r="Z1219" s="32" t="n">
        <f aca="false">INDEX('Tabela Passaro'!$V$2:$V$1795,$N1219)</f>
        <v>0</v>
      </c>
      <c r="AA1219" s="32" t="n">
        <f aca="false">SUM(R1219:Z1219)</f>
        <v>110.10061</v>
      </c>
      <c r="AB1219" s="33" t="n">
        <f aca="false">INDEX(Premissas!$B$5:$B$13,MATCH(A1219,Premissas!$A$5:$A$13,0))</f>
        <v>0.07</v>
      </c>
      <c r="AC1219" s="32" t="n">
        <f aca="false">AA1219/(1-AB1219)-AA1219</f>
        <v>8.28714268817205</v>
      </c>
      <c r="AD1219" s="32" t="n">
        <f aca="false">ROUND(AA1219+AC1219,2)</f>
        <v>118.39</v>
      </c>
      <c r="AE1219" s="32" t="n">
        <f aca="false">AD1219-L1219</f>
        <v>-0.620000000000005</v>
      </c>
      <c r="AF1219" s="34" t="n">
        <f aca="false">IF(L1219=0,0,AE1219/L1219)</f>
        <v>-0.00520964624821447</v>
      </c>
      <c r="AG1219" s="22" t="str">
        <f aca="false">IF(AD1219&lt;L1219,"PASSARO","ATUAL")</f>
        <v>PASSARO</v>
      </c>
      <c r="AH1219" s="22" t="str">
        <f aca="false">IF(P1219&lt;&gt;A1219,"Faixa cadastrada como "&amp;P1219&amp;" na tabela; preço aplicado pela UF do CEP","")</f>
        <v/>
      </c>
      <c r="AI1219" s="26" t="n">
        <v>142.49</v>
      </c>
      <c r="AJ1219" s="22" t="str">
        <f aca="false">INDEX('Tabela Passaro'!$X$2:$X$1795,$N1219)</f>
        <v>CAPITAL</v>
      </c>
    </row>
    <row r="1220" customFormat="false" ht="15" hidden="false" customHeight="false" outlineLevel="0" collapsed="false">
      <c r="A1220" s="22" t="s">
        <v>20</v>
      </c>
      <c r="B1220" s="22" t="n">
        <v>1</v>
      </c>
      <c r="C1220" s="22" t="s">
        <v>147</v>
      </c>
      <c r="D1220" s="22" t="s">
        <v>30</v>
      </c>
      <c r="E1220" s="22" t="s">
        <v>7328</v>
      </c>
      <c r="F1220" s="22" t="n">
        <v>2307935</v>
      </c>
      <c r="G1220" s="30" t="n">
        <v>46239</v>
      </c>
      <c r="H1220" s="22" t="n">
        <v>131922</v>
      </c>
      <c r="I1220" s="22" t="s">
        <v>8435</v>
      </c>
      <c r="J1220" s="31" t="n">
        <v>51.06</v>
      </c>
      <c r="K1220" s="26" t="n">
        <v>825.94</v>
      </c>
      <c r="L1220" s="26" t="n">
        <v>184.83</v>
      </c>
      <c r="M1220" s="22" t="s">
        <v>4802</v>
      </c>
      <c r="N1220" s="22" t="n">
        <f aca="false">MATCH(M1220,'Tabela Passaro'!$A$2:$A$1795,0)</f>
        <v>1150</v>
      </c>
      <c r="O1220" s="22" t="str">
        <f aca="false">INDEX('Tabela Passaro'!$C$2:$C$1795,$N1220)</f>
        <v>RECIFE</v>
      </c>
      <c r="P1220" s="22" t="str">
        <f aca="false">INDEX('Tabela Passaro'!$B$2:$B$1795,$N1220)</f>
        <v>PE</v>
      </c>
      <c r="Q1220" s="22" t="n">
        <f aca="false">INDEX('Tabela Passaro'!$F$2:$F$1795,$N1220)</f>
        <v>8</v>
      </c>
      <c r="R1220" s="32" t="n">
        <f aca="false">IF(J1220&lt;=10,INDEX('Tabela Passaro'!$G$2:$G$1795,$N1220),IF(J1220&lt;=30,INDEX('Tabela Passaro'!$H$2:$H$1795,$N1220),IF(J1220&lt;=50,INDEX('Tabela Passaro'!$I$2:$I$1795,$N1220),IF(J1220&lt;=70,INDEX('Tabela Passaro'!$J$2:$J$1795,$N1220),IF(J1220&lt;=100,INDEX('Tabela Passaro'!$K$2:$K$1795,$N1220),INDEX('Tabela Passaro'!$K$2:$K$1795,$N1220)+(J1220-100)*INDEX('Tabela Passaro'!$L$2:$L$1795,$N1220))))))</f>
        <v>99.61</v>
      </c>
      <c r="S1220" s="32" t="n">
        <f aca="false">K1220*INDEX('Tabela Passaro'!$M$2:$M$1795,$N1220)</f>
        <v>4.1297</v>
      </c>
      <c r="T1220" s="32" t="n">
        <f aca="false">K1220*INDEX('Tabela Passaro'!$N$2:$N$1795,$N1220)</f>
        <v>1.65188</v>
      </c>
      <c r="U1220" s="32" t="n">
        <f aca="false">INDEX('Tabela Passaro'!$O$2:$O$1795,$N1220)</f>
        <v>5</v>
      </c>
      <c r="V1220" s="32" t="n">
        <f aca="false">ROUNDUP(J1220/INDEX('Tabela Passaro'!$Q$2:$Q$1795,$N1220),0)*INDEX('Tabela Passaro'!$P$2:$P$1795,$N1220)</f>
        <v>5</v>
      </c>
      <c r="W1220" s="32" t="n">
        <f aca="false">INDEX('Tabela Passaro'!$R$2:$R$1795,$N1220)</f>
        <v>30</v>
      </c>
      <c r="X1220" s="32" t="n">
        <f aca="false">ROUNDUP(J1220/INDEX('Tabela Passaro'!$T$2:$T$1795,$N1220),0)*INDEX('Tabela Passaro'!$S$2:$S$1795,$N1220)</f>
        <v>0</v>
      </c>
      <c r="Y1220" s="32" t="n">
        <f aca="false">INDEX('Tabela Passaro'!$U$2:$U$1795,$N1220)</f>
        <v>0</v>
      </c>
      <c r="Z1220" s="32" t="n">
        <f aca="false">INDEX('Tabela Passaro'!$V$2:$V$1795,$N1220)</f>
        <v>0</v>
      </c>
      <c r="AA1220" s="32" t="n">
        <f aca="false">SUM(R1220:Z1220)</f>
        <v>145.39158</v>
      </c>
      <c r="AB1220" s="33" t="n">
        <f aca="false">INDEX(Premissas!$B$5:$B$13,MATCH(A1220,Premissas!$A$5:$A$13,0))</f>
        <v>0.07</v>
      </c>
      <c r="AC1220" s="32" t="n">
        <f aca="false">AA1220/(1-AB1220)-AA1220</f>
        <v>10.9434522580645</v>
      </c>
      <c r="AD1220" s="32" t="n">
        <f aca="false">ROUND(AA1220+AC1220,2)</f>
        <v>156.34</v>
      </c>
      <c r="AE1220" s="32" t="n">
        <f aca="false">AD1220-L1220</f>
        <v>-28.49</v>
      </c>
      <c r="AF1220" s="34" t="n">
        <f aca="false">IF(L1220=0,0,AE1220/L1220)</f>
        <v>-0.154141643672564</v>
      </c>
      <c r="AG1220" s="22" t="str">
        <f aca="false">IF(AD1220&lt;L1220,"PASSARO","ATUAL")</f>
        <v>PASSARO</v>
      </c>
      <c r="AH1220" s="22" t="str">
        <f aca="false">IF(P1220&lt;&gt;A1220,"Faixa cadastrada como "&amp;P1220&amp;" na tabela; preço aplicado pela UF do CEP","")</f>
        <v/>
      </c>
      <c r="AI1220" s="26" t="n">
        <v>194.77</v>
      </c>
      <c r="AJ1220" s="22" t="str">
        <f aca="false">INDEX('Tabela Passaro'!$X$2:$X$1795,$N1220)</f>
        <v>CAPITAL</v>
      </c>
    </row>
    <row r="1221" customFormat="false" ht="15" hidden="false" customHeight="false" outlineLevel="0" collapsed="false">
      <c r="A1221" s="22" t="s">
        <v>20</v>
      </c>
      <c r="B1221" s="22" t="n">
        <v>1</v>
      </c>
      <c r="C1221" s="22" t="s">
        <v>147</v>
      </c>
      <c r="D1221" s="22" t="s">
        <v>30</v>
      </c>
      <c r="E1221" s="22" t="s">
        <v>7328</v>
      </c>
      <c r="F1221" s="22" t="n">
        <v>2307941</v>
      </c>
      <c r="G1221" s="30" t="n">
        <v>46239</v>
      </c>
      <c r="H1221" s="22" t="n">
        <v>131926</v>
      </c>
      <c r="I1221" s="22" t="s">
        <v>8436</v>
      </c>
      <c r="J1221" s="31" t="n">
        <v>51.06</v>
      </c>
      <c r="K1221" s="26" t="n">
        <v>894.16</v>
      </c>
      <c r="L1221" s="26" t="n">
        <v>185.37</v>
      </c>
      <c r="M1221" s="22" t="s">
        <v>4802</v>
      </c>
      <c r="N1221" s="22" t="n">
        <f aca="false">MATCH(M1221,'Tabela Passaro'!$A$2:$A$1795,0)</f>
        <v>1150</v>
      </c>
      <c r="O1221" s="22" t="str">
        <f aca="false">INDEX('Tabela Passaro'!$C$2:$C$1795,$N1221)</f>
        <v>RECIFE</v>
      </c>
      <c r="P1221" s="22" t="str">
        <f aca="false">INDEX('Tabela Passaro'!$B$2:$B$1795,$N1221)</f>
        <v>PE</v>
      </c>
      <c r="Q1221" s="22" t="n">
        <f aca="false">INDEX('Tabela Passaro'!$F$2:$F$1795,$N1221)</f>
        <v>8</v>
      </c>
      <c r="R1221" s="32" t="n">
        <f aca="false">IF(J1221&lt;=10,INDEX('Tabela Passaro'!$G$2:$G$1795,$N1221),IF(J1221&lt;=30,INDEX('Tabela Passaro'!$H$2:$H$1795,$N1221),IF(J1221&lt;=50,INDEX('Tabela Passaro'!$I$2:$I$1795,$N1221),IF(J1221&lt;=70,INDEX('Tabela Passaro'!$J$2:$J$1795,$N1221),IF(J1221&lt;=100,INDEX('Tabela Passaro'!$K$2:$K$1795,$N1221),INDEX('Tabela Passaro'!$K$2:$K$1795,$N1221)+(J1221-100)*INDEX('Tabela Passaro'!$L$2:$L$1795,$N1221))))))</f>
        <v>99.61</v>
      </c>
      <c r="S1221" s="32" t="n">
        <f aca="false">K1221*INDEX('Tabela Passaro'!$M$2:$M$1795,$N1221)</f>
        <v>4.4708</v>
      </c>
      <c r="T1221" s="32" t="n">
        <f aca="false">K1221*INDEX('Tabela Passaro'!$N$2:$N$1795,$N1221)</f>
        <v>1.78832</v>
      </c>
      <c r="U1221" s="32" t="n">
        <f aca="false">INDEX('Tabela Passaro'!$O$2:$O$1795,$N1221)</f>
        <v>5</v>
      </c>
      <c r="V1221" s="32" t="n">
        <f aca="false">ROUNDUP(J1221/INDEX('Tabela Passaro'!$Q$2:$Q$1795,$N1221),0)*INDEX('Tabela Passaro'!$P$2:$P$1795,$N1221)</f>
        <v>5</v>
      </c>
      <c r="W1221" s="32" t="n">
        <f aca="false">INDEX('Tabela Passaro'!$R$2:$R$1795,$N1221)</f>
        <v>30</v>
      </c>
      <c r="X1221" s="32" t="n">
        <f aca="false">ROUNDUP(J1221/INDEX('Tabela Passaro'!$T$2:$T$1795,$N1221),0)*INDEX('Tabela Passaro'!$S$2:$S$1795,$N1221)</f>
        <v>0</v>
      </c>
      <c r="Y1221" s="32" t="n">
        <f aca="false">INDEX('Tabela Passaro'!$U$2:$U$1795,$N1221)</f>
        <v>0</v>
      </c>
      <c r="Z1221" s="32" t="n">
        <f aca="false">INDEX('Tabela Passaro'!$V$2:$V$1795,$N1221)</f>
        <v>0</v>
      </c>
      <c r="AA1221" s="32" t="n">
        <f aca="false">SUM(R1221:Z1221)</f>
        <v>145.86912</v>
      </c>
      <c r="AB1221" s="33" t="n">
        <f aca="false">INDEX(Premissas!$B$5:$B$13,MATCH(A1221,Premissas!$A$5:$A$13,0))</f>
        <v>0.07</v>
      </c>
      <c r="AC1221" s="32" t="n">
        <f aca="false">AA1221/(1-AB1221)-AA1221</f>
        <v>10.9793961290323</v>
      </c>
      <c r="AD1221" s="32" t="n">
        <f aca="false">ROUND(AA1221+AC1221,2)</f>
        <v>156.85</v>
      </c>
      <c r="AE1221" s="32" t="n">
        <f aca="false">AD1221-L1221</f>
        <v>-28.52</v>
      </c>
      <c r="AF1221" s="34" t="n">
        <f aca="false">IF(L1221=0,0,AE1221/L1221)</f>
        <v>-0.153854453255651</v>
      </c>
      <c r="AG1221" s="22" t="str">
        <f aca="false">IF(AD1221&lt;L1221,"PASSARO","ATUAL")</f>
        <v>PASSARO</v>
      </c>
      <c r="AH1221" s="22" t="str">
        <f aca="false">IF(P1221&lt;&gt;A1221,"Faixa cadastrada como "&amp;P1221&amp;" na tabela; preço aplicado pela UF do CEP","")</f>
        <v/>
      </c>
      <c r="AI1221" s="26" t="n">
        <v>195.43</v>
      </c>
      <c r="AJ1221" s="22" t="str">
        <f aca="false">INDEX('Tabela Passaro'!$X$2:$X$1795,$N1221)</f>
        <v>CAPITAL</v>
      </c>
    </row>
    <row r="1222" customFormat="false" ht="15" hidden="false" customHeight="false" outlineLevel="0" collapsed="false">
      <c r="A1222" s="22" t="s">
        <v>20</v>
      </c>
      <c r="B1222" s="22" t="n">
        <v>1</v>
      </c>
      <c r="C1222" s="22" t="s">
        <v>147</v>
      </c>
      <c r="D1222" s="22" t="s">
        <v>30</v>
      </c>
      <c r="E1222" s="22" t="s">
        <v>7328</v>
      </c>
      <c r="F1222" s="22" t="n">
        <v>2307951</v>
      </c>
      <c r="G1222" s="30" t="n">
        <v>46239</v>
      </c>
      <c r="H1222" s="22" t="n">
        <v>131939</v>
      </c>
      <c r="I1222" s="22" t="s">
        <v>8437</v>
      </c>
      <c r="J1222" s="31" t="n">
        <v>33</v>
      </c>
      <c r="K1222" s="26" t="n">
        <v>829.98</v>
      </c>
      <c r="L1222" s="26" t="n">
        <v>157.43</v>
      </c>
      <c r="M1222" s="22" t="s">
        <v>4802</v>
      </c>
      <c r="N1222" s="22" t="n">
        <f aca="false">MATCH(M1222,'Tabela Passaro'!$A$2:$A$1795,0)</f>
        <v>1150</v>
      </c>
      <c r="O1222" s="22" t="str">
        <f aca="false">INDEX('Tabela Passaro'!$C$2:$C$1795,$N1222)</f>
        <v>RECIFE</v>
      </c>
      <c r="P1222" s="22" t="str">
        <f aca="false">INDEX('Tabela Passaro'!$B$2:$B$1795,$N1222)</f>
        <v>PE</v>
      </c>
      <c r="Q1222" s="22" t="n">
        <f aca="false">INDEX('Tabela Passaro'!$F$2:$F$1795,$N1222)</f>
        <v>8</v>
      </c>
      <c r="R1222" s="32" t="n">
        <f aca="false">IF(J1222&lt;=10,INDEX('Tabela Passaro'!$G$2:$G$1795,$N1222),IF(J1222&lt;=30,INDEX('Tabela Passaro'!$H$2:$H$1795,$N1222),IF(J1222&lt;=50,INDEX('Tabela Passaro'!$I$2:$I$1795,$N1222),IF(J1222&lt;=70,INDEX('Tabela Passaro'!$J$2:$J$1795,$N1222),IF(J1222&lt;=100,INDEX('Tabela Passaro'!$K$2:$K$1795,$N1222),INDEX('Tabela Passaro'!$K$2:$K$1795,$N1222)+(J1222-100)*INDEX('Tabela Passaro'!$L$2:$L$1795,$N1222))))))</f>
        <v>88.59</v>
      </c>
      <c r="S1222" s="32" t="n">
        <f aca="false">K1222*INDEX('Tabela Passaro'!$M$2:$M$1795,$N1222)</f>
        <v>4.1499</v>
      </c>
      <c r="T1222" s="32" t="n">
        <f aca="false">K1222*INDEX('Tabela Passaro'!$N$2:$N$1795,$N1222)</f>
        <v>1.65996</v>
      </c>
      <c r="U1222" s="32" t="n">
        <f aca="false">INDEX('Tabela Passaro'!$O$2:$O$1795,$N1222)</f>
        <v>5</v>
      </c>
      <c r="V1222" s="32" t="n">
        <f aca="false">ROUNDUP(J1222/INDEX('Tabela Passaro'!$Q$2:$Q$1795,$N1222),0)*INDEX('Tabela Passaro'!$P$2:$P$1795,$N1222)</f>
        <v>5</v>
      </c>
      <c r="W1222" s="32" t="n">
        <f aca="false">INDEX('Tabela Passaro'!$R$2:$R$1795,$N1222)</f>
        <v>30</v>
      </c>
      <c r="X1222" s="32" t="n">
        <f aca="false">ROUNDUP(J1222/INDEX('Tabela Passaro'!$T$2:$T$1795,$N1222),0)*INDEX('Tabela Passaro'!$S$2:$S$1795,$N1222)</f>
        <v>0</v>
      </c>
      <c r="Y1222" s="32" t="n">
        <f aca="false">INDEX('Tabela Passaro'!$U$2:$U$1795,$N1222)</f>
        <v>0</v>
      </c>
      <c r="Z1222" s="32" t="n">
        <f aca="false">INDEX('Tabela Passaro'!$V$2:$V$1795,$N1222)</f>
        <v>0</v>
      </c>
      <c r="AA1222" s="32" t="n">
        <f aca="false">SUM(R1222:Z1222)</f>
        <v>134.39986</v>
      </c>
      <c r="AB1222" s="33" t="n">
        <f aca="false">INDEX(Premissas!$B$5:$B$13,MATCH(A1222,Premissas!$A$5:$A$13,0))</f>
        <v>0.07</v>
      </c>
      <c r="AC1222" s="32" t="n">
        <f aca="false">AA1222/(1-AB1222)-AA1222</f>
        <v>10.1161184946237</v>
      </c>
      <c r="AD1222" s="32" t="n">
        <f aca="false">ROUND(AA1222+AC1222,2)</f>
        <v>144.52</v>
      </c>
      <c r="AE1222" s="32" t="n">
        <f aca="false">AD1222-L1222</f>
        <v>-12.91</v>
      </c>
      <c r="AF1222" s="34" t="n">
        <f aca="false">IF(L1222=0,0,AE1222/L1222)</f>
        <v>-0.0820047005018103</v>
      </c>
      <c r="AG1222" s="22" t="str">
        <f aca="false">IF(AD1222&lt;L1222,"PASSARO","ATUAL")</f>
        <v>PASSARO</v>
      </c>
      <c r="AH1222" s="22" t="str">
        <f aca="false">IF(P1222&lt;&gt;A1222,"Faixa cadastrada como "&amp;P1222&amp;" na tabela; preço aplicado pela UF do CEP","")</f>
        <v/>
      </c>
      <c r="AI1222" s="26" t="n">
        <v>173.09</v>
      </c>
      <c r="AJ1222" s="22" t="str">
        <f aca="false">INDEX('Tabela Passaro'!$X$2:$X$1795,$N1222)</f>
        <v>CAPITAL</v>
      </c>
    </row>
    <row r="1223" customFormat="false" ht="15" hidden="false" customHeight="false" outlineLevel="0" collapsed="false">
      <c r="A1223" s="22" t="s">
        <v>20</v>
      </c>
      <c r="B1223" s="22" t="n">
        <v>1</v>
      </c>
      <c r="C1223" s="22" t="s">
        <v>147</v>
      </c>
      <c r="D1223" s="22" t="s">
        <v>30</v>
      </c>
      <c r="E1223" s="22" t="s">
        <v>7328</v>
      </c>
      <c r="F1223" s="22" t="n">
        <v>2307956</v>
      </c>
      <c r="G1223" s="30" t="n">
        <v>46239</v>
      </c>
      <c r="H1223" s="22" t="n">
        <v>131944</v>
      </c>
      <c r="I1223" s="22" t="s">
        <v>8438</v>
      </c>
      <c r="J1223" s="31" t="n">
        <v>45.5</v>
      </c>
      <c r="K1223" s="26" t="n">
        <v>725.69</v>
      </c>
      <c r="L1223" s="26" t="n">
        <v>156.6</v>
      </c>
      <c r="M1223" s="22" t="s">
        <v>4802</v>
      </c>
      <c r="N1223" s="22" t="n">
        <f aca="false">MATCH(M1223,'Tabela Passaro'!$A$2:$A$1795,0)</f>
        <v>1150</v>
      </c>
      <c r="O1223" s="22" t="str">
        <f aca="false">INDEX('Tabela Passaro'!$C$2:$C$1795,$N1223)</f>
        <v>RECIFE</v>
      </c>
      <c r="P1223" s="22" t="str">
        <f aca="false">INDEX('Tabela Passaro'!$B$2:$B$1795,$N1223)</f>
        <v>PE</v>
      </c>
      <c r="Q1223" s="22" t="n">
        <f aca="false">INDEX('Tabela Passaro'!$F$2:$F$1795,$N1223)</f>
        <v>8</v>
      </c>
      <c r="R1223" s="32" t="n">
        <f aca="false">IF(J1223&lt;=10,INDEX('Tabela Passaro'!$G$2:$G$1795,$N1223),IF(J1223&lt;=30,INDEX('Tabela Passaro'!$H$2:$H$1795,$N1223),IF(J1223&lt;=50,INDEX('Tabela Passaro'!$I$2:$I$1795,$N1223),IF(J1223&lt;=70,INDEX('Tabela Passaro'!$J$2:$J$1795,$N1223),IF(J1223&lt;=100,INDEX('Tabela Passaro'!$K$2:$K$1795,$N1223),INDEX('Tabela Passaro'!$K$2:$K$1795,$N1223)+(J1223-100)*INDEX('Tabela Passaro'!$L$2:$L$1795,$N1223))))))</f>
        <v>88.59</v>
      </c>
      <c r="S1223" s="32" t="n">
        <f aca="false">K1223*INDEX('Tabela Passaro'!$M$2:$M$1795,$N1223)</f>
        <v>3.62845</v>
      </c>
      <c r="T1223" s="32" t="n">
        <f aca="false">K1223*INDEX('Tabela Passaro'!$N$2:$N$1795,$N1223)</f>
        <v>1.45138</v>
      </c>
      <c r="U1223" s="32" t="n">
        <f aca="false">INDEX('Tabela Passaro'!$O$2:$O$1795,$N1223)</f>
        <v>5</v>
      </c>
      <c r="V1223" s="32" t="n">
        <f aca="false">ROUNDUP(J1223/INDEX('Tabela Passaro'!$Q$2:$Q$1795,$N1223),0)*INDEX('Tabela Passaro'!$P$2:$P$1795,$N1223)</f>
        <v>5</v>
      </c>
      <c r="W1223" s="32" t="n">
        <f aca="false">INDEX('Tabela Passaro'!$R$2:$R$1795,$N1223)</f>
        <v>30</v>
      </c>
      <c r="X1223" s="32" t="n">
        <f aca="false">ROUNDUP(J1223/INDEX('Tabela Passaro'!$T$2:$T$1795,$N1223),0)*INDEX('Tabela Passaro'!$S$2:$S$1795,$N1223)</f>
        <v>0</v>
      </c>
      <c r="Y1223" s="32" t="n">
        <f aca="false">INDEX('Tabela Passaro'!$U$2:$U$1795,$N1223)</f>
        <v>0</v>
      </c>
      <c r="Z1223" s="32" t="n">
        <f aca="false">INDEX('Tabela Passaro'!$V$2:$V$1795,$N1223)</f>
        <v>0</v>
      </c>
      <c r="AA1223" s="32" t="n">
        <f aca="false">SUM(R1223:Z1223)</f>
        <v>133.66983</v>
      </c>
      <c r="AB1223" s="33" t="n">
        <f aca="false">INDEX(Premissas!$B$5:$B$13,MATCH(A1223,Premissas!$A$5:$A$13,0))</f>
        <v>0.07</v>
      </c>
      <c r="AC1223" s="32" t="n">
        <f aca="false">AA1223/(1-AB1223)-AA1223</f>
        <v>10.06117</v>
      </c>
      <c r="AD1223" s="32" t="n">
        <f aca="false">ROUND(AA1223+AC1223,2)</f>
        <v>143.73</v>
      </c>
      <c r="AE1223" s="32" t="n">
        <f aca="false">AD1223-L1223</f>
        <v>-12.87</v>
      </c>
      <c r="AF1223" s="34" t="n">
        <f aca="false">IF(L1223=0,0,AE1223/L1223)</f>
        <v>-0.082183908045977</v>
      </c>
      <c r="AG1223" s="22" t="str">
        <f aca="false">IF(AD1223&lt;L1223,"PASSARO","ATUAL")</f>
        <v>PASSARO</v>
      </c>
      <c r="AH1223" s="22" t="str">
        <f aca="false">IF(P1223&lt;&gt;A1223,"Faixa cadastrada como "&amp;P1223&amp;" na tabela; preço aplicado pela UF do CEP","")</f>
        <v/>
      </c>
      <c r="AI1223" s="26" t="n">
        <v>178.37</v>
      </c>
      <c r="AJ1223" s="22" t="str">
        <f aca="false">INDEX('Tabela Passaro'!$X$2:$X$1795,$N1223)</f>
        <v>CAPITAL</v>
      </c>
    </row>
    <row r="1224" customFormat="false" ht="15" hidden="false" customHeight="false" outlineLevel="0" collapsed="false">
      <c r="A1224" s="22" t="s">
        <v>20</v>
      </c>
      <c r="B1224" s="22" t="n">
        <v>1</v>
      </c>
      <c r="C1224" s="22" t="s">
        <v>147</v>
      </c>
      <c r="D1224" s="22" t="s">
        <v>30</v>
      </c>
      <c r="E1224" s="22" t="s">
        <v>7328</v>
      </c>
      <c r="F1224" s="22" t="n">
        <v>2307968</v>
      </c>
      <c r="G1224" s="30" t="n">
        <v>46239</v>
      </c>
      <c r="H1224" s="22" t="n">
        <v>131956</v>
      </c>
      <c r="I1224" s="22" t="s">
        <v>8439</v>
      </c>
      <c r="J1224" s="31" t="n">
        <v>37.59</v>
      </c>
      <c r="K1224" s="26" t="n">
        <v>586.37</v>
      </c>
      <c r="L1224" s="26" t="n">
        <v>155.51</v>
      </c>
      <c r="M1224" s="22" t="s">
        <v>4802</v>
      </c>
      <c r="N1224" s="22" t="n">
        <f aca="false">MATCH(M1224,'Tabela Passaro'!$A$2:$A$1795,0)</f>
        <v>1150</v>
      </c>
      <c r="O1224" s="22" t="str">
        <f aca="false">INDEX('Tabela Passaro'!$C$2:$C$1795,$N1224)</f>
        <v>RECIFE</v>
      </c>
      <c r="P1224" s="22" t="str">
        <f aca="false">INDEX('Tabela Passaro'!$B$2:$B$1795,$N1224)</f>
        <v>PE</v>
      </c>
      <c r="Q1224" s="22" t="n">
        <f aca="false">INDEX('Tabela Passaro'!$F$2:$F$1795,$N1224)</f>
        <v>8</v>
      </c>
      <c r="R1224" s="32" t="n">
        <f aca="false">IF(J1224&lt;=10,INDEX('Tabela Passaro'!$G$2:$G$1795,$N1224),IF(J1224&lt;=30,INDEX('Tabela Passaro'!$H$2:$H$1795,$N1224),IF(J1224&lt;=50,INDEX('Tabela Passaro'!$I$2:$I$1795,$N1224),IF(J1224&lt;=70,INDEX('Tabela Passaro'!$J$2:$J$1795,$N1224),IF(J1224&lt;=100,INDEX('Tabela Passaro'!$K$2:$K$1795,$N1224),INDEX('Tabela Passaro'!$K$2:$K$1795,$N1224)+(J1224-100)*INDEX('Tabela Passaro'!$L$2:$L$1795,$N1224))))))</f>
        <v>88.59</v>
      </c>
      <c r="S1224" s="32" t="n">
        <f aca="false">K1224*INDEX('Tabela Passaro'!$M$2:$M$1795,$N1224)</f>
        <v>2.93185</v>
      </c>
      <c r="T1224" s="32" t="n">
        <f aca="false">K1224*INDEX('Tabela Passaro'!$N$2:$N$1795,$N1224)</f>
        <v>1.17274</v>
      </c>
      <c r="U1224" s="32" t="n">
        <f aca="false">INDEX('Tabela Passaro'!$O$2:$O$1795,$N1224)</f>
        <v>5</v>
      </c>
      <c r="V1224" s="32" t="n">
        <f aca="false">ROUNDUP(J1224/INDEX('Tabela Passaro'!$Q$2:$Q$1795,$N1224),0)*INDEX('Tabela Passaro'!$P$2:$P$1795,$N1224)</f>
        <v>5</v>
      </c>
      <c r="W1224" s="32" t="n">
        <f aca="false">INDEX('Tabela Passaro'!$R$2:$R$1795,$N1224)</f>
        <v>30</v>
      </c>
      <c r="X1224" s="32" t="n">
        <f aca="false">ROUNDUP(J1224/INDEX('Tabela Passaro'!$T$2:$T$1795,$N1224),0)*INDEX('Tabela Passaro'!$S$2:$S$1795,$N1224)</f>
        <v>0</v>
      </c>
      <c r="Y1224" s="32" t="n">
        <f aca="false">INDEX('Tabela Passaro'!$U$2:$U$1795,$N1224)</f>
        <v>0</v>
      </c>
      <c r="Z1224" s="32" t="n">
        <f aca="false">INDEX('Tabela Passaro'!$V$2:$V$1795,$N1224)</f>
        <v>0</v>
      </c>
      <c r="AA1224" s="32" t="n">
        <f aca="false">SUM(R1224:Z1224)</f>
        <v>132.69459</v>
      </c>
      <c r="AB1224" s="33" t="n">
        <f aca="false">INDEX(Premissas!$B$5:$B$13,MATCH(A1224,Premissas!$A$5:$A$13,0))</f>
        <v>0.07</v>
      </c>
      <c r="AC1224" s="32" t="n">
        <f aca="false">AA1224/(1-AB1224)-AA1224</f>
        <v>9.98776483870969</v>
      </c>
      <c r="AD1224" s="32" t="n">
        <f aca="false">ROUND(AA1224+AC1224,2)</f>
        <v>142.68</v>
      </c>
      <c r="AE1224" s="32" t="n">
        <f aca="false">AD1224-L1224</f>
        <v>-12.83</v>
      </c>
      <c r="AF1224" s="34" t="n">
        <f aca="false">IF(L1224=0,0,AE1224/L1224)</f>
        <v>-0.082502732943219</v>
      </c>
      <c r="AG1224" s="22" t="str">
        <f aca="false">IF(AD1224&lt;L1224,"PASSARO","ATUAL")</f>
        <v>PASSARO</v>
      </c>
      <c r="AH1224" s="22" t="str">
        <f aca="false">IF(P1224&lt;&gt;A1224,"Faixa cadastrada como "&amp;P1224&amp;" na tabela; preço aplicado pela UF do CEP","")</f>
        <v/>
      </c>
      <c r="AI1224" s="26" t="n">
        <v>173.15</v>
      </c>
      <c r="AJ1224" s="22" t="str">
        <f aca="false">INDEX('Tabela Passaro'!$X$2:$X$1795,$N1224)</f>
        <v>CAPITAL</v>
      </c>
    </row>
    <row r="1225" customFormat="false" ht="15" hidden="false" customHeight="false" outlineLevel="0" collapsed="false">
      <c r="A1225" s="22" t="s">
        <v>20</v>
      </c>
      <c r="B1225" s="22" t="n">
        <v>1</v>
      </c>
      <c r="C1225" s="22" t="s">
        <v>147</v>
      </c>
      <c r="D1225" s="22" t="s">
        <v>30</v>
      </c>
      <c r="E1225" s="22" t="s">
        <v>7326</v>
      </c>
      <c r="F1225" s="22" t="n">
        <v>522612</v>
      </c>
      <c r="G1225" s="30" t="n">
        <v>46239</v>
      </c>
      <c r="H1225" s="22" t="n">
        <v>620519</v>
      </c>
      <c r="I1225" s="22" t="s">
        <v>8440</v>
      </c>
      <c r="J1225" s="31" t="n">
        <v>190.11</v>
      </c>
      <c r="K1225" s="26" t="n">
        <v>2850.41</v>
      </c>
      <c r="L1225" s="26" t="n">
        <v>490.26</v>
      </c>
      <c r="M1225" s="22" t="s">
        <v>4802</v>
      </c>
      <c r="N1225" s="22" t="n">
        <f aca="false">MATCH(M1225,'Tabela Passaro'!$A$2:$A$1795,0)</f>
        <v>1150</v>
      </c>
      <c r="O1225" s="22" t="str">
        <f aca="false">INDEX('Tabela Passaro'!$C$2:$C$1795,$N1225)</f>
        <v>RECIFE</v>
      </c>
      <c r="P1225" s="22" t="str">
        <f aca="false">INDEX('Tabela Passaro'!$B$2:$B$1795,$N1225)</f>
        <v>PE</v>
      </c>
      <c r="Q1225" s="22" t="n">
        <f aca="false">INDEX('Tabela Passaro'!$F$2:$F$1795,$N1225)</f>
        <v>8</v>
      </c>
      <c r="R1225" s="32" t="n">
        <f aca="false">IF(J1225&lt;=10,INDEX('Tabela Passaro'!$G$2:$G$1795,$N1225),IF(J1225&lt;=30,INDEX('Tabela Passaro'!$H$2:$H$1795,$N1225),IF(J1225&lt;=50,INDEX('Tabela Passaro'!$I$2:$I$1795,$N1225),IF(J1225&lt;=70,INDEX('Tabela Passaro'!$J$2:$J$1795,$N1225),IF(J1225&lt;=100,INDEX('Tabela Passaro'!$K$2:$K$1795,$N1225),INDEX('Tabela Passaro'!$K$2:$K$1795,$N1225)+(J1225-100)*INDEX('Tabela Passaro'!$L$2:$L$1795,$N1225))))))</f>
        <v>263.0193</v>
      </c>
      <c r="S1225" s="32" t="n">
        <f aca="false">K1225*INDEX('Tabela Passaro'!$M$2:$M$1795,$N1225)</f>
        <v>14.25205</v>
      </c>
      <c r="T1225" s="32" t="n">
        <f aca="false">K1225*INDEX('Tabela Passaro'!$N$2:$N$1795,$N1225)</f>
        <v>5.70082</v>
      </c>
      <c r="U1225" s="32" t="n">
        <f aca="false">INDEX('Tabela Passaro'!$O$2:$O$1795,$N1225)</f>
        <v>5</v>
      </c>
      <c r="V1225" s="32" t="n">
        <f aca="false">ROUNDUP(J1225/INDEX('Tabela Passaro'!$Q$2:$Q$1795,$N1225),0)*INDEX('Tabela Passaro'!$P$2:$P$1795,$N1225)</f>
        <v>10</v>
      </c>
      <c r="W1225" s="32" t="n">
        <f aca="false">INDEX('Tabela Passaro'!$R$2:$R$1795,$N1225)</f>
        <v>30</v>
      </c>
      <c r="X1225" s="32" t="n">
        <f aca="false">ROUNDUP(J1225/INDEX('Tabela Passaro'!$T$2:$T$1795,$N1225),0)*INDEX('Tabela Passaro'!$S$2:$S$1795,$N1225)</f>
        <v>0</v>
      </c>
      <c r="Y1225" s="32" t="n">
        <f aca="false">INDEX('Tabela Passaro'!$U$2:$U$1795,$N1225)</f>
        <v>0</v>
      </c>
      <c r="Z1225" s="32" t="n">
        <f aca="false">INDEX('Tabela Passaro'!$V$2:$V$1795,$N1225)</f>
        <v>0</v>
      </c>
      <c r="AA1225" s="32" t="n">
        <f aca="false">SUM(R1225:Z1225)</f>
        <v>327.97217</v>
      </c>
      <c r="AB1225" s="33" t="n">
        <f aca="false">INDEX(Premissas!$B$5:$B$13,MATCH(A1225,Premissas!$A$5:$A$13,0))</f>
        <v>0.07</v>
      </c>
      <c r="AC1225" s="32" t="n">
        <f aca="false">AA1225/(1-AB1225)-AA1225</f>
        <v>24.686077311828</v>
      </c>
      <c r="AD1225" s="32" t="n">
        <f aca="false">ROUND(AA1225+AC1225,2)</f>
        <v>352.66</v>
      </c>
      <c r="AE1225" s="32" t="n">
        <f aca="false">AD1225-L1225</f>
        <v>-137.6</v>
      </c>
      <c r="AF1225" s="34" t="n">
        <f aca="false">IF(L1225=0,0,AE1225/L1225)</f>
        <v>-0.280667400970913</v>
      </c>
      <c r="AG1225" s="22" t="str">
        <f aca="false">IF(AD1225&lt;L1225,"PASSARO","ATUAL")</f>
        <v>PASSARO</v>
      </c>
      <c r="AH1225" s="22" t="str">
        <f aca="false">IF(P1225&lt;&gt;A1225,"Faixa cadastrada como "&amp;P1225&amp;" na tabela; preço aplicado pela UF do CEP","")</f>
        <v/>
      </c>
      <c r="AI1225" s="26" t="n">
        <v>483.09</v>
      </c>
      <c r="AJ1225" s="22" t="str">
        <f aca="false">INDEX('Tabela Passaro'!$X$2:$X$1795,$N1225)</f>
        <v>CAPITAL</v>
      </c>
    </row>
    <row r="1226" customFormat="false" ht="15" hidden="false" customHeight="false" outlineLevel="0" collapsed="false">
      <c r="A1226" s="22" t="s">
        <v>20</v>
      </c>
      <c r="B1226" s="22" t="n">
        <v>1</v>
      </c>
      <c r="C1226" s="22" t="s">
        <v>147</v>
      </c>
      <c r="D1226" s="22" t="s">
        <v>30</v>
      </c>
      <c r="E1226" s="22" t="s">
        <v>7326</v>
      </c>
      <c r="F1226" s="22" t="n">
        <v>522845</v>
      </c>
      <c r="G1226" s="30" t="n">
        <v>46240</v>
      </c>
      <c r="H1226" s="22" t="n">
        <v>620649</v>
      </c>
      <c r="I1226" s="22" t="s">
        <v>8441</v>
      </c>
      <c r="J1226" s="31" t="n">
        <v>110.7</v>
      </c>
      <c r="K1226" s="26" t="n">
        <v>1725.97</v>
      </c>
      <c r="L1226" s="26" t="n">
        <v>338.35</v>
      </c>
      <c r="M1226" s="22" t="s">
        <v>4802</v>
      </c>
      <c r="N1226" s="22" t="n">
        <f aca="false">MATCH(M1226,'Tabela Passaro'!$A$2:$A$1795,0)</f>
        <v>1150</v>
      </c>
      <c r="O1226" s="22" t="str">
        <f aca="false">INDEX('Tabela Passaro'!$C$2:$C$1795,$N1226)</f>
        <v>RECIFE</v>
      </c>
      <c r="P1226" s="22" t="str">
        <f aca="false">INDEX('Tabela Passaro'!$B$2:$B$1795,$N1226)</f>
        <v>PE</v>
      </c>
      <c r="Q1226" s="22" t="n">
        <f aca="false">INDEX('Tabela Passaro'!$F$2:$F$1795,$N1226)</f>
        <v>8</v>
      </c>
      <c r="R1226" s="32" t="n">
        <f aca="false">IF(J1226&lt;=10,INDEX('Tabela Passaro'!$G$2:$G$1795,$N1226),IF(J1226&lt;=30,INDEX('Tabela Passaro'!$H$2:$H$1795,$N1226),IF(J1226&lt;=50,INDEX('Tabela Passaro'!$I$2:$I$1795,$N1226),IF(J1226&lt;=70,INDEX('Tabela Passaro'!$J$2:$J$1795,$N1226),IF(J1226&lt;=100,INDEX('Tabela Passaro'!$K$2:$K$1795,$N1226),INDEX('Tabela Passaro'!$K$2:$K$1795,$N1226)+(J1226-100)*INDEX('Tabela Passaro'!$L$2:$L$1795,$N1226))))))</f>
        <v>133.581</v>
      </c>
      <c r="S1226" s="32" t="n">
        <f aca="false">K1226*INDEX('Tabela Passaro'!$M$2:$M$1795,$N1226)</f>
        <v>8.62985</v>
      </c>
      <c r="T1226" s="32" t="n">
        <f aca="false">K1226*INDEX('Tabela Passaro'!$N$2:$N$1795,$N1226)</f>
        <v>3.45194</v>
      </c>
      <c r="U1226" s="32" t="n">
        <f aca="false">INDEX('Tabela Passaro'!$O$2:$O$1795,$N1226)</f>
        <v>5</v>
      </c>
      <c r="V1226" s="32" t="n">
        <f aca="false">ROUNDUP(J1226/INDEX('Tabela Passaro'!$Q$2:$Q$1795,$N1226),0)*INDEX('Tabela Passaro'!$P$2:$P$1795,$N1226)</f>
        <v>10</v>
      </c>
      <c r="W1226" s="32" t="n">
        <f aca="false">INDEX('Tabela Passaro'!$R$2:$R$1795,$N1226)</f>
        <v>30</v>
      </c>
      <c r="X1226" s="32" t="n">
        <f aca="false">ROUNDUP(J1226/INDEX('Tabela Passaro'!$T$2:$T$1795,$N1226),0)*INDEX('Tabela Passaro'!$S$2:$S$1795,$N1226)</f>
        <v>0</v>
      </c>
      <c r="Y1226" s="32" t="n">
        <f aca="false">INDEX('Tabela Passaro'!$U$2:$U$1795,$N1226)</f>
        <v>0</v>
      </c>
      <c r="Z1226" s="32" t="n">
        <f aca="false">INDEX('Tabela Passaro'!$V$2:$V$1795,$N1226)</f>
        <v>0</v>
      </c>
      <c r="AA1226" s="32" t="n">
        <f aca="false">SUM(R1226:Z1226)</f>
        <v>190.66279</v>
      </c>
      <c r="AB1226" s="33" t="n">
        <f aca="false">INDEX(Premissas!$B$5:$B$13,MATCH(A1226,Premissas!$A$5:$A$13,0))</f>
        <v>0.07</v>
      </c>
      <c r="AC1226" s="32" t="n">
        <f aca="false">AA1226/(1-AB1226)-AA1226</f>
        <v>14.350962688172</v>
      </c>
      <c r="AD1226" s="32" t="n">
        <f aca="false">ROUND(AA1226+AC1226,2)</f>
        <v>205.01</v>
      </c>
      <c r="AE1226" s="32" t="n">
        <f aca="false">AD1226-L1226</f>
        <v>-133.34</v>
      </c>
      <c r="AF1226" s="34" t="n">
        <f aca="false">IF(L1226=0,0,AE1226/L1226)</f>
        <v>-0.39408896113492</v>
      </c>
      <c r="AG1226" s="22" t="str">
        <f aca="false">IF(AD1226&lt;L1226,"PASSARO","ATUAL")</f>
        <v>PASSARO</v>
      </c>
      <c r="AH1226" s="22" t="str">
        <f aca="false">IF(P1226&lt;&gt;A1226,"Faixa cadastrada como "&amp;P1226&amp;" na tabela; preço aplicado pela UF do CEP","")</f>
        <v/>
      </c>
      <c r="AI1226" s="26" t="n">
        <v>277.24</v>
      </c>
      <c r="AJ1226" s="22" t="str">
        <f aca="false">INDEX('Tabela Passaro'!$X$2:$X$1795,$N1226)</f>
        <v>CAPITAL</v>
      </c>
    </row>
    <row r="1227" customFormat="false" ht="15" hidden="false" customHeight="false" outlineLevel="0" collapsed="false">
      <c r="A1227" s="22" t="s">
        <v>20</v>
      </c>
      <c r="B1227" s="22" t="n">
        <v>1</v>
      </c>
      <c r="C1227" s="22" t="s">
        <v>147</v>
      </c>
      <c r="D1227" s="22" t="s">
        <v>30</v>
      </c>
      <c r="E1227" s="22" t="s">
        <v>7326</v>
      </c>
      <c r="F1227" s="22" t="n">
        <v>522871</v>
      </c>
      <c r="G1227" s="30" t="n">
        <v>46240</v>
      </c>
      <c r="H1227" s="22" t="n">
        <v>621210</v>
      </c>
      <c r="I1227" s="22" t="s">
        <v>8442</v>
      </c>
      <c r="J1227" s="31" t="n">
        <v>16</v>
      </c>
      <c r="K1227" s="26" t="n">
        <v>493.73</v>
      </c>
      <c r="L1227" s="26" t="n">
        <v>128.98</v>
      </c>
      <c r="M1227" s="22" t="s">
        <v>4802</v>
      </c>
      <c r="N1227" s="22" t="n">
        <f aca="false">MATCH(M1227,'Tabela Passaro'!$A$2:$A$1795,0)</f>
        <v>1150</v>
      </c>
      <c r="O1227" s="22" t="str">
        <f aca="false">INDEX('Tabela Passaro'!$C$2:$C$1795,$N1227)</f>
        <v>RECIFE</v>
      </c>
      <c r="P1227" s="22" t="str">
        <f aca="false">INDEX('Tabela Passaro'!$B$2:$B$1795,$N1227)</f>
        <v>PE</v>
      </c>
      <c r="Q1227" s="22" t="n">
        <f aca="false">INDEX('Tabela Passaro'!$F$2:$F$1795,$N1227)</f>
        <v>8</v>
      </c>
      <c r="R1227" s="32" t="n">
        <f aca="false">IF(J1227&lt;=10,INDEX('Tabela Passaro'!$G$2:$G$1795,$N1227),IF(J1227&lt;=30,INDEX('Tabela Passaro'!$H$2:$H$1795,$N1227),IF(J1227&lt;=50,INDEX('Tabela Passaro'!$I$2:$I$1795,$N1227),IF(J1227&lt;=70,INDEX('Tabela Passaro'!$J$2:$J$1795,$N1227),IF(J1227&lt;=100,INDEX('Tabela Passaro'!$K$2:$K$1795,$N1227),INDEX('Tabela Passaro'!$K$2:$K$1795,$N1227)+(J1227-100)*INDEX('Tabela Passaro'!$L$2:$L$1795,$N1227))))))</f>
        <v>66.55</v>
      </c>
      <c r="S1227" s="32" t="n">
        <f aca="false">K1227*INDEX('Tabela Passaro'!$M$2:$M$1795,$N1227)</f>
        <v>2.46865</v>
      </c>
      <c r="T1227" s="32" t="n">
        <f aca="false">K1227*INDEX('Tabela Passaro'!$N$2:$N$1795,$N1227)</f>
        <v>0.98746</v>
      </c>
      <c r="U1227" s="32" t="n">
        <f aca="false">INDEX('Tabela Passaro'!$O$2:$O$1795,$N1227)</f>
        <v>5</v>
      </c>
      <c r="V1227" s="32" t="n">
        <f aca="false">ROUNDUP(J1227/INDEX('Tabela Passaro'!$Q$2:$Q$1795,$N1227),0)*INDEX('Tabela Passaro'!$P$2:$P$1795,$N1227)</f>
        <v>5</v>
      </c>
      <c r="W1227" s="32" t="n">
        <f aca="false">INDEX('Tabela Passaro'!$R$2:$R$1795,$N1227)</f>
        <v>30</v>
      </c>
      <c r="X1227" s="32" t="n">
        <f aca="false">ROUNDUP(J1227/INDEX('Tabela Passaro'!$T$2:$T$1795,$N1227),0)*INDEX('Tabela Passaro'!$S$2:$S$1795,$N1227)</f>
        <v>0</v>
      </c>
      <c r="Y1227" s="32" t="n">
        <f aca="false">INDEX('Tabela Passaro'!$U$2:$U$1795,$N1227)</f>
        <v>0</v>
      </c>
      <c r="Z1227" s="32" t="n">
        <f aca="false">INDEX('Tabela Passaro'!$V$2:$V$1795,$N1227)</f>
        <v>0</v>
      </c>
      <c r="AA1227" s="32" t="n">
        <f aca="false">SUM(R1227:Z1227)</f>
        <v>110.00611</v>
      </c>
      <c r="AB1227" s="33" t="n">
        <f aca="false">INDEX(Premissas!$B$5:$B$13,MATCH(A1227,Premissas!$A$5:$A$13,0))</f>
        <v>0.07</v>
      </c>
      <c r="AC1227" s="32" t="n">
        <f aca="false">AA1227/(1-AB1227)-AA1227</f>
        <v>8.28002978494625</v>
      </c>
      <c r="AD1227" s="32" t="n">
        <f aca="false">ROUND(AA1227+AC1227,2)</f>
        <v>118.29</v>
      </c>
      <c r="AE1227" s="32" t="n">
        <f aca="false">AD1227-L1227</f>
        <v>-10.69</v>
      </c>
      <c r="AF1227" s="34" t="n">
        <f aca="false">IF(L1227=0,0,AE1227/L1227)</f>
        <v>-0.0828810668320669</v>
      </c>
      <c r="AG1227" s="22" t="str">
        <f aca="false">IF(AD1227&lt;L1227,"PASSARO","ATUAL")</f>
        <v>PASSARO</v>
      </c>
      <c r="AH1227" s="22" t="str">
        <f aca="false">IF(P1227&lt;&gt;A1227,"Faixa cadastrada como "&amp;P1227&amp;" na tabela; preço aplicado pela UF do CEP","")</f>
        <v/>
      </c>
      <c r="AI1227" s="26" t="n">
        <v>136.55</v>
      </c>
      <c r="AJ1227" s="22" t="str">
        <f aca="false">INDEX('Tabela Passaro'!$X$2:$X$1795,$N1227)</f>
        <v>CAPITAL</v>
      </c>
    </row>
    <row r="1228" customFormat="false" ht="15" hidden="false" customHeight="false" outlineLevel="0" collapsed="false">
      <c r="A1228" s="22" t="s">
        <v>20</v>
      </c>
      <c r="B1228" s="22" t="n">
        <v>1</v>
      </c>
      <c r="C1228" s="22" t="s">
        <v>147</v>
      </c>
      <c r="D1228" s="22" t="s">
        <v>30</v>
      </c>
      <c r="E1228" s="22" t="s">
        <v>20</v>
      </c>
      <c r="F1228" s="22" t="n">
        <v>838171</v>
      </c>
      <c r="G1228" s="30" t="n">
        <v>46241</v>
      </c>
      <c r="H1228" s="22" t="n">
        <v>32431</v>
      </c>
      <c r="I1228" s="22" t="s">
        <v>8443</v>
      </c>
      <c r="J1228" s="31" t="n">
        <v>24.8</v>
      </c>
      <c r="K1228" s="26" t="n">
        <v>461.26</v>
      </c>
      <c r="L1228" s="26" t="n">
        <v>80.67</v>
      </c>
      <c r="M1228" s="22" t="s">
        <v>4802</v>
      </c>
      <c r="N1228" s="22" t="n">
        <f aca="false">MATCH(M1228,'Tabela Passaro'!$A$2:$A$1795,0)</f>
        <v>1150</v>
      </c>
      <c r="O1228" s="22" t="str">
        <f aca="false">INDEX('Tabela Passaro'!$C$2:$C$1795,$N1228)</f>
        <v>RECIFE</v>
      </c>
      <c r="P1228" s="22" t="str">
        <f aca="false">INDEX('Tabela Passaro'!$B$2:$B$1795,$N1228)</f>
        <v>PE</v>
      </c>
      <c r="Q1228" s="22" t="n">
        <f aca="false">INDEX('Tabela Passaro'!$F$2:$F$1795,$N1228)</f>
        <v>8</v>
      </c>
      <c r="R1228" s="32" t="n">
        <f aca="false">IF(J1228&lt;=10,INDEX('Tabela Passaro'!$G$2:$G$1795,$N1228),IF(J1228&lt;=30,INDEX('Tabela Passaro'!$H$2:$H$1795,$N1228),IF(J1228&lt;=50,INDEX('Tabela Passaro'!$I$2:$I$1795,$N1228),IF(J1228&lt;=70,INDEX('Tabela Passaro'!$J$2:$J$1795,$N1228),IF(J1228&lt;=100,INDEX('Tabela Passaro'!$K$2:$K$1795,$N1228),INDEX('Tabela Passaro'!$K$2:$K$1795,$N1228)+(J1228-100)*INDEX('Tabela Passaro'!$L$2:$L$1795,$N1228))))))</f>
        <v>66.55</v>
      </c>
      <c r="S1228" s="32" t="n">
        <f aca="false">K1228*INDEX('Tabela Passaro'!$M$2:$M$1795,$N1228)</f>
        <v>2.3063</v>
      </c>
      <c r="T1228" s="32" t="n">
        <f aca="false">K1228*INDEX('Tabela Passaro'!$N$2:$N$1795,$N1228)</f>
        <v>0.92252</v>
      </c>
      <c r="U1228" s="32" t="n">
        <f aca="false">INDEX('Tabela Passaro'!$O$2:$O$1795,$N1228)</f>
        <v>5</v>
      </c>
      <c r="V1228" s="32" t="n">
        <f aca="false">ROUNDUP(J1228/INDEX('Tabela Passaro'!$Q$2:$Q$1795,$N1228),0)*INDEX('Tabela Passaro'!$P$2:$P$1795,$N1228)</f>
        <v>5</v>
      </c>
      <c r="W1228" s="32" t="n">
        <f aca="false">INDEX('Tabela Passaro'!$R$2:$R$1795,$N1228)</f>
        <v>30</v>
      </c>
      <c r="X1228" s="32" t="n">
        <f aca="false">ROUNDUP(J1228/INDEX('Tabela Passaro'!$T$2:$T$1795,$N1228),0)*INDEX('Tabela Passaro'!$S$2:$S$1795,$N1228)</f>
        <v>0</v>
      </c>
      <c r="Y1228" s="32" t="n">
        <f aca="false">INDEX('Tabela Passaro'!$U$2:$U$1795,$N1228)</f>
        <v>0</v>
      </c>
      <c r="Z1228" s="32" t="n">
        <f aca="false">INDEX('Tabela Passaro'!$V$2:$V$1795,$N1228)</f>
        <v>0</v>
      </c>
      <c r="AA1228" s="32" t="n">
        <f aca="false">SUM(R1228:Z1228)</f>
        <v>109.77882</v>
      </c>
      <c r="AB1228" s="33" t="n">
        <f aca="false">INDEX(Premissas!$B$5:$B$13,MATCH(A1228,Premissas!$A$5:$A$13,0))</f>
        <v>0.07</v>
      </c>
      <c r="AC1228" s="32" t="n">
        <f aca="false">AA1228/(1-AB1228)-AA1228</f>
        <v>8.26292193548387</v>
      </c>
      <c r="AD1228" s="32" t="n">
        <f aca="false">ROUND(AA1228+AC1228,2)</f>
        <v>118.04</v>
      </c>
      <c r="AE1228" s="32" t="n">
        <f aca="false">AD1228-L1228</f>
        <v>37.37</v>
      </c>
      <c r="AF1228" s="34" t="n">
        <f aca="false">IF(L1228=0,0,AE1228/L1228)</f>
        <v>0.463245320441304</v>
      </c>
      <c r="AG1228" s="22" t="str">
        <f aca="false">IF(AD1228&lt;L1228,"PASSARO","ATUAL")</f>
        <v>ATUAL</v>
      </c>
      <c r="AH1228" s="22" t="str">
        <f aca="false">IF(P1228&lt;&gt;A1228,"Faixa cadastrada como "&amp;P1228&amp;" na tabela; preço aplicado pela UF do CEP","")</f>
        <v/>
      </c>
      <c r="AI1228" s="26" t="n">
        <v>140.59</v>
      </c>
      <c r="AJ1228" s="22" t="str">
        <f aca="false">INDEX('Tabela Passaro'!$X$2:$X$1795,$N1228)</f>
        <v>CAPITAL</v>
      </c>
    </row>
    <row r="1229" customFormat="false" ht="15" hidden="false" customHeight="false" outlineLevel="0" collapsed="false">
      <c r="A1229" s="22" t="s">
        <v>20</v>
      </c>
      <c r="B1229" s="22" t="n">
        <v>1</v>
      </c>
      <c r="C1229" s="22" t="s">
        <v>147</v>
      </c>
      <c r="D1229" s="22" t="s">
        <v>30</v>
      </c>
      <c r="E1229" s="22" t="s">
        <v>20</v>
      </c>
      <c r="F1229" s="22" t="n">
        <v>838389</v>
      </c>
      <c r="G1229" s="30" t="n">
        <v>46244</v>
      </c>
      <c r="H1229" s="22" t="n">
        <v>32437</v>
      </c>
      <c r="I1229" s="22" t="s">
        <v>8444</v>
      </c>
      <c r="J1229" s="31" t="n">
        <v>37.2</v>
      </c>
      <c r="K1229" s="26" t="n">
        <v>507.99</v>
      </c>
      <c r="L1229" s="26" t="n">
        <v>100.02</v>
      </c>
      <c r="M1229" s="22" t="s">
        <v>4802</v>
      </c>
      <c r="N1229" s="22" t="n">
        <f aca="false">MATCH(M1229,'Tabela Passaro'!$A$2:$A$1795,0)</f>
        <v>1150</v>
      </c>
      <c r="O1229" s="22" t="str">
        <f aca="false">INDEX('Tabela Passaro'!$C$2:$C$1795,$N1229)</f>
        <v>RECIFE</v>
      </c>
      <c r="P1229" s="22" t="str">
        <f aca="false">INDEX('Tabela Passaro'!$B$2:$B$1795,$N1229)</f>
        <v>PE</v>
      </c>
      <c r="Q1229" s="22" t="n">
        <f aca="false">INDEX('Tabela Passaro'!$F$2:$F$1795,$N1229)</f>
        <v>8</v>
      </c>
      <c r="R1229" s="32" t="n">
        <f aca="false">IF(J1229&lt;=10,INDEX('Tabela Passaro'!$G$2:$G$1795,$N1229),IF(J1229&lt;=30,INDEX('Tabela Passaro'!$H$2:$H$1795,$N1229),IF(J1229&lt;=50,INDEX('Tabela Passaro'!$I$2:$I$1795,$N1229),IF(J1229&lt;=70,INDEX('Tabela Passaro'!$J$2:$J$1795,$N1229),IF(J1229&lt;=100,INDEX('Tabela Passaro'!$K$2:$K$1795,$N1229),INDEX('Tabela Passaro'!$K$2:$K$1795,$N1229)+(J1229-100)*INDEX('Tabela Passaro'!$L$2:$L$1795,$N1229))))))</f>
        <v>88.59</v>
      </c>
      <c r="S1229" s="32" t="n">
        <f aca="false">K1229*INDEX('Tabela Passaro'!$M$2:$M$1795,$N1229)</f>
        <v>2.53995</v>
      </c>
      <c r="T1229" s="32" t="n">
        <f aca="false">K1229*INDEX('Tabela Passaro'!$N$2:$N$1795,$N1229)</f>
        <v>1.01598</v>
      </c>
      <c r="U1229" s="32" t="n">
        <f aca="false">INDEX('Tabela Passaro'!$O$2:$O$1795,$N1229)</f>
        <v>5</v>
      </c>
      <c r="V1229" s="32" t="n">
        <f aca="false">ROUNDUP(J1229/INDEX('Tabela Passaro'!$Q$2:$Q$1795,$N1229),0)*INDEX('Tabela Passaro'!$P$2:$P$1795,$N1229)</f>
        <v>5</v>
      </c>
      <c r="W1229" s="32" t="n">
        <f aca="false">INDEX('Tabela Passaro'!$R$2:$R$1795,$N1229)</f>
        <v>30</v>
      </c>
      <c r="X1229" s="32" t="n">
        <f aca="false">ROUNDUP(J1229/INDEX('Tabela Passaro'!$T$2:$T$1795,$N1229),0)*INDEX('Tabela Passaro'!$S$2:$S$1795,$N1229)</f>
        <v>0</v>
      </c>
      <c r="Y1229" s="32" t="n">
        <f aca="false">INDEX('Tabela Passaro'!$U$2:$U$1795,$N1229)</f>
        <v>0</v>
      </c>
      <c r="Z1229" s="32" t="n">
        <f aca="false">INDEX('Tabela Passaro'!$V$2:$V$1795,$N1229)</f>
        <v>0</v>
      </c>
      <c r="AA1229" s="32" t="n">
        <f aca="false">SUM(R1229:Z1229)</f>
        <v>132.14593</v>
      </c>
      <c r="AB1229" s="33" t="n">
        <f aca="false">INDEX(Premissas!$B$5:$B$13,MATCH(A1229,Premissas!$A$5:$A$13,0))</f>
        <v>0.07</v>
      </c>
      <c r="AC1229" s="32" t="n">
        <f aca="false">AA1229/(1-AB1229)-AA1229</f>
        <v>9.94646784946238</v>
      </c>
      <c r="AD1229" s="32" t="n">
        <f aca="false">ROUND(AA1229+AC1229,2)</f>
        <v>142.09</v>
      </c>
      <c r="AE1229" s="32" t="n">
        <f aca="false">AD1229-L1229</f>
        <v>42.07</v>
      </c>
      <c r="AF1229" s="34" t="n">
        <f aca="false">IF(L1229=0,0,AE1229/L1229)</f>
        <v>0.420615876824635</v>
      </c>
      <c r="AG1229" s="22" t="str">
        <f aca="false">IF(AD1229&lt;L1229,"PASSARO","ATUAL")</f>
        <v>ATUAL</v>
      </c>
      <c r="AH1229" s="22" t="str">
        <f aca="false">IF(P1229&lt;&gt;A1229,"Faixa cadastrada como "&amp;P1229&amp;" na tabela; preço aplicado pela UF do CEP","")</f>
        <v/>
      </c>
      <c r="AI1229" s="26" t="n">
        <v>172.39</v>
      </c>
      <c r="AJ1229" s="22" t="str">
        <f aca="false">INDEX('Tabela Passaro'!$X$2:$X$1795,$N1229)</f>
        <v>CAPITAL</v>
      </c>
    </row>
    <row r="1230" customFormat="false" ht="15" hidden="false" customHeight="false" outlineLevel="0" collapsed="false">
      <c r="A1230" s="22" t="s">
        <v>20</v>
      </c>
      <c r="B1230" s="22" t="n">
        <v>1</v>
      </c>
      <c r="C1230" s="22" t="s">
        <v>147</v>
      </c>
      <c r="D1230" s="22" t="s">
        <v>30</v>
      </c>
      <c r="E1230" s="22" t="s">
        <v>20</v>
      </c>
      <c r="F1230" s="22" t="n">
        <v>838406</v>
      </c>
      <c r="G1230" s="30" t="n">
        <v>46244</v>
      </c>
      <c r="H1230" s="22" t="n">
        <v>32453</v>
      </c>
      <c r="I1230" s="22" t="s">
        <v>8445</v>
      </c>
      <c r="J1230" s="31" t="n">
        <v>37.2</v>
      </c>
      <c r="K1230" s="26" t="n">
        <v>472.9</v>
      </c>
      <c r="L1230" s="26" t="n">
        <v>99.74</v>
      </c>
      <c r="M1230" s="22" t="s">
        <v>4802</v>
      </c>
      <c r="N1230" s="22" t="n">
        <f aca="false">MATCH(M1230,'Tabela Passaro'!$A$2:$A$1795,0)</f>
        <v>1150</v>
      </c>
      <c r="O1230" s="22" t="str">
        <f aca="false">INDEX('Tabela Passaro'!$C$2:$C$1795,$N1230)</f>
        <v>RECIFE</v>
      </c>
      <c r="P1230" s="22" t="str">
        <f aca="false">INDEX('Tabela Passaro'!$B$2:$B$1795,$N1230)</f>
        <v>PE</v>
      </c>
      <c r="Q1230" s="22" t="n">
        <f aca="false">INDEX('Tabela Passaro'!$F$2:$F$1795,$N1230)</f>
        <v>8</v>
      </c>
      <c r="R1230" s="32" t="n">
        <f aca="false">IF(J1230&lt;=10,INDEX('Tabela Passaro'!$G$2:$G$1795,$N1230),IF(J1230&lt;=30,INDEX('Tabela Passaro'!$H$2:$H$1795,$N1230),IF(J1230&lt;=50,INDEX('Tabela Passaro'!$I$2:$I$1795,$N1230),IF(J1230&lt;=70,INDEX('Tabela Passaro'!$J$2:$J$1795,$N1230),IF(J1230&lt;=100,INDEX('Tabela Passaro'!$K$2:$K$1795,$N1230),INDEX('Tabela Passaro'!$K$2:$K$1795,$N1230)+(J1230-100)*INDEX('Tabela Passaro'!$L$2:$L$1795,$N1230))))))</f>
        <v>88.59</v>
      </c>
      <c r="S1230" s="32" t="n">
        <f aca="false">K1230*INDEX('Tabela Passaro'!$M$2:$M$1795,$N1230)</f>
        <v>2.3645</v>
      </c>
      <c r="T1230" s="32" t="n">
        <f aca="false">K1230*INDEX('Tabela Passaro'!$N$2:$N$1795,$N1230)</f>
        <v>0.9458</v>
      </c>
      <c r="U1230" s="32" t="n">
        <f aca="false">INDEX('Tabela Passaro'!$O$2:$O$1795,$N1230)</f>
        <v>5</v>
      </c>
      <c r="V1230" s="32" t="n">
        <f aca="false">ROUNDUP(J1230/INDEX('Tabela Passaro'!$Q$2:$Q$1795,$N1230),0)*INDEX('Tabela Passaro'!$P$2:$P$1795,$N1230)</f>
        <v>5</v>
      </c>
      <c r="W1230" s="32" t="n">
        <f aca="false">INDEX('Tabela Passaro'!$R$2:$R$1795,$N1230)</f>
        <v>30</v>
      </c>
      <c r="X1230" s="32" t="n">
        <f aca="false">ROUNDUP(J1230/INDEX('Tabela Passaro'!$T$2:$T$1795,$N1230),0)*INDEX('Tabela Passaro'!$S$2:$S$1795,$N1230)</f>
        <v>0</v>
      </c>
      <c r="Y1230" s="32" t="n">
        <f aca="false">INDEX('Tabela Passaro'!$U$2:$U$1795,$N1230)</f>
        <v>0</v>
      </c>
      <c r="Z1230" s="32" t="n">
        <f aca="false">INDEX('Tabela Passaro'!$V$2:$V$1795,$N1230)</f>
        <v>0</v>
      </c>
      <c r="AA1230" s="32" t="n">
        <f aca="false">SUM(R1230:Z1230)</f>
        <v>131.9003</v>
      </c>
      <c r="AB1230" s="33" t="n">
        <f aca="false">INDEX(Premissas!$B$5:$B$13,MATCH(A1230,Premissas!$A$5:$A$13,0))</f>
        <v>0.07</v>
      </c>
      <c r="AC1230" s="32" t="n">
        <f aca="false">AA1230/(1-AB1230)-AA1230</f>
        <v>9.92797956989247</v>
      </c>
      <c r="AD1230" s="32" t="n">
        <f aca="false">ROUND(AA1230+AC1230,2)</f>
        <v>141.83</v>
      </c>
      <c r="AE1230" s="32" t="n">
        <f aca="false">AD1230-L1230</f>
        <v>42.09</v>
      </c>
      <c r="AF1230" s="34" t="n">
        <f aca="false">IF(L1230=0,0,AE1230/L1230)</f>
        <v>0.421997192701023</v>
      </c>
      <c r="AG1230" s="22" t="str">
        <f aca="false">IF(AD1230&lt;L1230,"PASSARO","ATUAL")</f>
        <v>ATUAL</v>
      </c>
      <c r="AH1230" s="22" t="str">
        <f aca="false">IF(P1230&lt;&gt;A1230,"Faixa cadastrada como "&amp;P1230&amp;" na tabela; preço aplicado pela UF do CEP","")</f>
        <v/>
      </c>
      <c r="AI1230" s="26" t="n">
        <v>172.05</v>
      </c>
      <c r="AJ1230" s="22" t="str">
        <f aca="false">INDEX('Tabela Passaro'!$X$2:$X$1795,$N1230)</f>
        <v>CAPITAL</v>
      </c>
    </row>
    <row r="1231" customFormat="false" ht="15" hidden="false" customHeight="false" outlineLevel="0" collapsed="false">
      <c r="A1231" s="22" t="s">
        <v>20</v>
      </c>
      <c r="B1231" s="22" t="n">
        <v>1</v>
      </c>
      <c r="C1231" s="22" t="s">
        <v>147</v>
      </c>
      <c r="D1231" s="22" t="s">
        <v>30</v>
      </c>
      <c r="E1231" s="22" t="s">
        <v>20</v>
      </c>
      <c r="F1231" s="22" t="n">
        <v>838414</v>
      </c>
      <c r="G1231" s="30" t="n">
        <v>46244</v>
      </c>
      <c r="H1231" s="22" t="n">
        <v>32460</v>
      </c>
      <c r="I1231" s="22" t="s">
        <v>8446</v>
      </c>
      <c r="J1231" s="31" t="n">
        <v>19.5</v>
      </c>
      <c r="K1231" s="26" t="n">
        <v>539.98</v>
      </c>
      <c r="L1231" s="26" t="n">
        <v>81.29</v>
      </c>
      <c r="M1231" s="22" t="s">
        <v>4802</v>
      </c>
      <c r="N1231" s="22" t="n">
        <f aca="false">MATCH(M1231,'Tabela Passaro'!$A$2:$A$1795,0)</f>
        <v>1150</v>
      </c>
      <c r="O1231" s="22" t="str">
        <f aca="false">INDEX('Tabela Passaro'!$C$2:$C$1795,$N1231)</f>
        <v>RECIFE</v>
      </c>
      <c r="P1231" s="22" t="str">
        <f aca="false">INDEX('Tabela Passaro'!$B$2:$B$1795,$N1231)</f>
        <v>PE</v>
      </c>
      <c r="Q1231" s="22" t="n">
        <f aca="false">INDEX('Tabela Passaro'!$F$2:$F$1795,$N1231)</f>
        <v>8</v>
      </c>
      <c r="R1231" s="32" t="n">
        <f aca="false">IF(J1231&lt;=10,INDEX('Tabela Passaro'!$G$2:$G$1795,$N1231),IF(J1231&lt;=30,INDEX('Tabela Passaro'!$H$2:$H$1795,$N1231),IF(J1231&lt;=50,INDEX('Tabela Passaro'!$I$2:$I$1795,$N1231),IF(J1231&lt;=70,INDEX('Tabela Passaro'!$J$2:$J$1795,$N1231),IF(J1231&lt;=100,INDEX('Tabela Passaro'!$K$2:$K$1795,$N1231),INDEX('Tabela Passaro'!$K$2:$K$1795,$N1231)+(J1231-100)*INDEX('Tabela Passaro'!$L$2:$L$1795,$N1231))))))</f>
        <v>66.55</v>
      </c>
      <c r="S1231" s="32" t="n">
        <f aca="false">K1231*INDEX('Tabela Passaro'!$M$2:$M$1795,$N1231)</f>
        <v>2.6999</v>
      </c>
      <c r="T1231" s="32" t="n">
        <f aca="false">K1231*INDEX('Tabela Passaro'!$N$2:$N$1795,$N1231)</f>
        <v>1.07996</v>
      </c>
      <c r="U1231" s="32" t="n">
        <f aca="false">INDEX('Tabela Passaro'!$O$2:$O$1795,$N1231)</f>
        <v>5</v>
      </c>
      <c r="V1231" s="32" t="n">
        <f aca="false">ROUNDUP(J1231/INDEX('Tabela Passaro'!$Q$2:$Q$1795,$N1231),0)*INDEX('Tabela Passaro'!$P$2:$P$1795,$N1231)</f>
        <v>5</v>
      </c>
      <c r="W1231" s="32" t="n">
        <f aca="false">INDEX('Tabela Passaro'!$R$2:$R$1795,$N1231)</f>
        <v>30</v>
      </c>
      <c r="X1231" s="32" t="n">
        <f aca="false">ROUNDUP(J1231/INDEX('Tabela Passaro'!$T$2:$T$1795,$N1231),0)*INDEX('Tabela Passaro'!$S$2:$S$1795,$N1231)</f>
        <v>0</v>
      </c>
      <c r="Y1231" s="32" t="n">
        <f aca="false">INDEX('Tabela Passaro'!$U$2:$U$1795,$N1231)</f>
        <v>0</v>
      </c>
      <c r="Z1231" s="32" t="n">
        <f aca="false">INDEX('Tabela Passaro'!$V$2:$V$1795,$N1231)</f>
        <v>0</v>
      </c>
      <c r="AA1231" s="32" t="n">
        <f aca="false">SUM(R1231:Z1231)</f>
        <v>110.32986</v>
      </c>
      <c r="AB1231" s="33" t="n">
        <f aca="false">INDEX(Premissas!$B$5:$B$13,MATCH(A1231,Premissas!$A$5:$A$13,0))</f>
        <v>0.07</v>
      </c>
      <c r="AC1231" s="32" t="n">
        <f aca="false">AA1231/(1-AB1231)-AA1231</f>
        <v>8.30439806451614</v>
      </c>
      <c r="AD1231" s="32" t="n">
        <f aca="false">ROUND(AA1231+AC1231,2)</f>
        <v>118.63</v>
      </c>
      <c r="AE1231" s="32" t="n">
        <f aca="false">AD1231-L1231</f>
        <v>37.34</v>
      </c>
      <c r="AF1231" s="34" t="n">
        <f aca="false">IF(L1231=0,0,AE1231/L1231)</f>
        <v>0.45934309263132</v>
      </c>
      <c r="AG1231" s="22" t="str">
        <f aca="false">IF(AD1231&lt;L1231,"PASSARO","ATUAL")</f>
        <v>ATUAL</v>
      </c>
      <c r="AH1231" s="22" t="str">
        <f aca="false">IF(P1231&lt;&gt;A1231,"Faixa cadastrada como "&amp;P1231&amp;" na tabela; preço aplicado pela UF do CEP","")</f>
        <v/>
      </c>
      <c r="AI1231" s="26" t="n">
        <v>138.94</v>
      </c>
      <c r="AJ1231" s="22" t="str">
        <f aca="false">INDEX('Tabela Passaro'!$X$2:$X$1795,$N1231)</f>
        <v>CAPITAL</v>
      </c>
    </row>
    <row r="1232" customFormat="false" ht="15" hidden="false" customHeight="false" outlineLevel="0" collapsed="false">
      <c r="A1232" s="22" t="s">
        <v>20</v>
      </c>
      <c r="B1232" s="22" t="n">
        <v>1</v>
      </c>
      <c r="C1232" s="22" t="s">
        <v>147</v>
      </c>
      <c r="D1232" s="22" t="s">
        <v>30</v>
      </c>
      <c r="E1232" s="22" t="s">
        <v>7328</v>
      </c>
      <c r="F1232" s="22" t="n">
        <v>2309801</v>
      </c>
      <c r="G1232" s="30" t="n">
        <v>46244</v>
      </c>
      <c r="H1232" s="22" t="n">
        <v>132168</v>
      </c>
      <c r="I1232" s="22" t="s">
        <v>8447</v>
      </c>
      <c r="J1232" s="31" t="n">
        <v>27.4</v>
      </c>
      <c r="K1232" s="26" t="n">
        <v>481.39</v>
      </c>
      <c r="L1232" s="26" t="n">
        <v>118.8</v>
      </c>
      <c r="M1232" s="22" t="s">
        <v>4802</v>
      </c>
      <c r="N1232" s="22" t="n">
        <f aca="false">MATCH(M1232,'Tabela Passaro'!$A$2:$A$1795,0)</f>
        <v>1150</v>
      </c>
      <c r="O1232" s="22" t="str">
        <f aca="false">INDEX('Tabela Passaro'!$C$2:$C$1795,$N1232)</f>
        <v>RECIFE</v>
      </c>
      <c r="P1232" s="22" t="str">
        <f aca="false">INDEX('Tabela Passaro'!$B$2:$B$1795,$N1232)</f>
        <v>PE</v>
      </c>
      <c r="Q1232" s="22" t="n">
        <f aca="false">INDEX('Tabela Passaro'!$F$2:$F$1795,$N1232)</f>
        <v>8</v>
      </c>
      <c r="R1232" s="32" t="n">
        <f aca="false">IF(J1232&lt;=10,INDEX('Tabela Passaro'!$G$2:$G$1795,$N1232),IF(J1232&lt;=30,INDEX('Tabela Passaro'!$H$2:$H$1795,$N1232),IF(J1232&lt;=50,INDEX('Tabela Passaro'!$I$2:$I$1795,$N1232),IF(J1232&lt;=70,INDEX('Tabela Passaro'!$J$2:$J$1795,$N1232),IF(J1232&lt;=100,INDEX('Tabela Passaro'!$K$2:$K$1795,$N1232),INDEX('Tabela Passaro'!$K$2:$K$1795,$N1232)+(J1232-100)*INDEX('Tabela Passaro'!$L$2:$L$1795,$N1232))))))</f>
        <v>66.55</v>
      </c>
      <c r="S1232" s="32" t="n">
        <f aca="false">K1232*INDEX('Tabela Passaro'!$M$2:$M$1795,$N1232)</f>
        <v>2.40695</v>
      </c>
      <c r="T1232" s="32" t="n">
        <f aca="false">K1232*INDEX('Tabela Passaro'!$N$2:$N$1795,$N1232)</f>
        <v>0.96278</v>
      </c>
      <c r="U1232" s="32" t="n">
        <f aca="false">INDEX('Tabela Passaro'!$O$2:$O$1795,$N1232)</f>
        <v>5</v>
      </c>
      <c r="V1232" s="32" t="n">
        <f aca="false">ROUNDUP(J1232/INDEX('Tabela Passaro'!$Q$2:$Q$1795,$N1232),0)*INDEX('Tabela Passaro'!$P$2:$P$1795,$N1232)</f>
        <v>5</v>
      </c>
      <c r="W1232" s="32" t="n">
        <f aca="false">INDEX('Tabela Passaro'!$R$2:$R$1795,$N1232)</f>
        <v>30</v>
      </c>
      <c r="X1232" s="32" t="n">
        <f aca="false">ROUNDUP(J1232/INDEX('Tabela Passaro'!$T$2:$T$1795,$N1232),0)*INDEX('Tabela Passaro'!$S$2:$S$1795,$N1232)</f>
        <v>0</v>
      </c>
      <c r="Y1232" s="32" t="n">
        <f aca="false">INDEX('Tabela Passaro'!$U$2:$U$1795,$N1232)</f>
        <v>0</v>
      </c>
      <c r="Z1232" s="32" t="n">
        <f aca="false">INDEX('Tabela Passaro'!$V$2:$V$1795,$N1232)</f>
        <v>0</v>
      </c>
      <c r="AA1232" s="32" t="n">
        <f aca="false">SUM(R1232:Z1232)</f>
        <v>109.91973</v>
      </c>
      <c r="AB1232" s="33" t="n">
        <f aca="false">INDEX(Premissas!$B$5:$B$13,MATCH(A1232,Premissas!$A$5:$A$13,0))</f>
        <v>0.07</v>
      </c>
      <c r="AC1232" s="32" t="n">
        <f aca="false">AA1232/(1-AB1232)-AA1232</f>
        <v>8.27352806451614</v>
      </c>
      <c r="AD1232" s="32" t="n">
        <f aca="false">ROUND(AA1232+AC1232,2)</f>
        <v>118.19</v>
      </c>
      <c r="AE1232" s="32" t="n">
        <f aca="false">AD1232-L1232</f>
        <v>-0.609999999999999</v>
      </c>
      <c r="AF1232" s="34" t="n">
        <f aca="false">IF(L1232=0,0,AE1232/L1232)</f>
        <v>-0.00513468013468013</v>
      </c>
      <c r="AG1232" s="22" t="str">
        <f aca="false">IF(AD1232&lt;L1232,"PASSARO","ATUAL")</f>
        <v>PASSARO</v>
      </c>
      <c r="AH1232" s="22" t="str">
        <f aca="false">IF(P1232&lt;&gt;A1232,"Faixa cadastrada como "&amp;P1232&amp;" na tabela; preço aplicado pela UF do CEP","")</f>
        <v/>
      </c>
      <c r="AI1232" s="26" t="n">
        <v>142.24</v>
      </c>
      <c r="AJ1232" s="22" t="str">
        <f aca="false">INDEX('Tabela Passaro'!$X$2:$X$1795,$N1232)</f>
        <v>CAPITAL</v>
      </c>
    </row>
    <row r="1233" customFormat="false" ht="15" hidden="false" customHeight="false" outlineLevel="0" collapsed="false">
      <c r="A1233" s="22" t="s">
        <v>20</v>
      </c>
      <c r="B1233" s="22" t="n">
        <v>1</v>
      </c>
      <c r="C1233" s="22" t="s">
        <v>147</v>
      </c>
      <c r="D1233" s="22" t="s">
        <v>30</v>
      </c>
      <c r="E1233" s="22" t="s">
        <v>7328</v>
      </c>
      <c r="F1233" s="22" t="n">
        <v>2309853</v>
      </c>
      <c r="G1233" s="30" t="n">
        <v>46244</v>
      </c>
      <c r="H1233" s="22" t="n">
        <v>132334</v>
      </c>
      <c r="I1233" s="22" t="s">
        <v>8448</v>
      </c>
      <c r="J1233" s="31" t="n">
        <v>51.06</v>
      </c>
      <c r="K1233" s="26" t="n">
        <v>919.98</v>
      </c>
      <c r="L1233" s="26" t="n">
        <v>185.57</v>
      </c>
      <c r="M1233" s="22" t="s">
        <v>4802</v>
      </c>
      <c r="N1233" s="22" t="n">
        <f aca="false">MATCH(M1233,'Tabela Passaro'!$A$2:$A$1795,0)</f>
        <v>1150</v>
      </c>
      <c r="O1233" s="22" t="str">
        <f aca="false">INDEX('Tabela Passaro'!$C$2:$C$1795,$N1233)</f>
        <v>RECIFE</v>
      </c>
      <c r="P1233" s="22" t="str">
        <f aca="false">INDEX('Tabela Passaro'!$B$2:$B$1795,$N1233)</f>
        <v>PE</v>
      </c>
      <c r="Q1233" s="22" t="n">
        <f aca="false">INDEX('Tabela Passaro'!$F$2:$F$1795,$N1233)</f>
        <v>8</v>
      </c>
      <c r="R1233" s="32" t="n">
        <f aca="false">IF(J1233&lt;=10,INDEX('Tabela Passaro'!$G$2:$G$1795,$N1233),IF(J1233&lt;=30,INDEX('Tabela Passaro'!$H$2:$H$1795,$N1233),IF(J1233&lt;=50,INDEX('Tabela Passaro'!$I$2:$I$1795,$N1233),IF(J1233&lt;=70,INDEX('Tabela Passaro'!$J$2:$J$1795,$N1233),IF(J1233&lt;=100,INDEX('Tabela Passaro'!$K$2:$K$1795,$N1233),INDEX('Tabela Passaro'!$K$2:$K$1795,$N1233)+(J1233-100)*INDEX('Tabela Passaro'!$L$2:$L$1795,$N1233))))))</f>
        <v>99.61</v>
      </c>
      <c r="S1233" s="32" t="n">
        <f aca="false">K1233*INDEX('Tabela Passaro'!$M$2:$M$1795,$N1233)</f>
        <v>4.5999</v>
      </c>
      <c r="T1233" s="32" t="n">
        <f aca="false">K1233*INDEX('Tabela Passaro'!$N$2:$N$1795,$N1233)</f>
        <v>1.83996</v>
      </c>
      <c r="U1233" s="32" t="n">
        <f aca="false">INDEX('Tabela Passaro'!$O$2:$O$1795,$N1233)</f>
        <v>5</v>
      </c>
      <c r="V1233" s="32" t="n">
        <f aca="false">ROUNDUP(J1233/INDEX('Tabela Passaro'!$Q$2:$Q$1795,$N1233),0)*INDEX('Tabela Passaro'!$P$2:$P$1795,$N1233)</f>
        <v>5</v>
      </c>
      <c r="W1233" s="32" t="n">
        <f aca="false">INDEX('Tabela Passaro'!$R$2:$R$1795,$N1233)</f>
        <v>30</v>
      </c>
      <c r="X1233" s="32" t="n">
        <f aca="false">ROUNDUP(J1233/INDEX('Tabela Passaro'!$T$2:$T$1795,$N1233),0)*INDEX('Tabela Passaro'!$S$2:$S$1795,$N1233)</f>
        <v>0</v>
      </c>
      <c r="Y1233" s="32" t="n">
        <f aca="false">INDEX('Tabela Passaro'!$U$2:$U$1795,$N1233)</f>
        <v>0</v>
      </c>
      <c r="Z1233" s="32" t="n">
        <f aca="false">INDEX('Tabela Passaro'!$V$2:$V$1795,$N1233)</f>
        <v>0</v>
      </c>
      <c r="AA1233" s="32" t="n">
        <f aca="false">SUM(R1233:Z1233)</f>
        <v>146.04986</v>
      </c>
      <c r="AB1233" s="33" t="n">
        <f aca="false">INDEX(Premissas!$B$5:$B$13,MATCH(A1233,Premissas!$A$5:$A$13,0))</f>
        <v>0.07</v>
      </c>
      <c r="AC1233" s="32" t="n">
        <f aca="false">AA1233/(1-AB1233)-AA1233</f>
        <v>10.9930002150538</v>
      </c>
      <c r="AD1233" s="32" t="n">
        <f aca="false">ROUND(AA1233+AC1233,2)</f>
        <v>157.04</v>
      </c>
      <c r="AE1233" s="32" t="n">
        <f aca="false">AD1233-L1233</f>
        <v>-28.53</v>
      </c>
      <c r="AF1233" s="34" t="n">
        <f aca="false">IF(L1233=0,0,AE1233/L1233)</f>
        <v>-0.153742523037129</v>
      </c>
      <c r="AG1233" s="22" t="str">
        <f aca="false">IF(AD1233&lt;L1233,"PASSARO","ATUAL")</f>
        <v>PASSARO</v>
      </c>
      <c r="AH1233" s="22" t="str">
        <f aca="false">IF(P1233&lt;&gt;A1233,"Faixa cadastrada como "&amp;P1233&amp;" na tabela; preço aplicado pela UF do CEP","")</f>
        <v/>
      </c>
      <c r="AI1233" s="26" t="n">
        <v>195.68</v>
      </c>
      <c r="AJ1233" s="22" t="str">
        <f aca="false">INDEX('Tabela Passaro'!$X$2:$X$1795,$N1233)</f>
        <v>CAPITAL</v>
      </c>
    </row>
    <row r="1234" customFormat="false" ht="15" hidden="false" customHeight="false" outlineLevel="0" collapsed="false">
      <c r="A1234" s="22" t="s">
        <v>20</v>
      </c>
      <c r="B1234" s="22" t="n">
        <v>1</v>
      </c>
      <c r="C1234" s="22" t="s">
        <v>147</v>
      </c>
      <c r="D1234" s="22" t="s">
        <v>30</v>
      </c>
      <c r="E1234" s="22" t="s">
        <v>7328</v>
      </c>
      <c r="F1234" s="22" t="n">
        <v>2309867</v>
      </c>
      <c r="G1234" s="30" t="n">
        <v>46244</v>
      </c>
      <c r="H1234" s="22" t="n">
        <v>132346</v>
      </c>
      <c r="I1234" s="22" t="s">
        <v>8449</v>
      </c>
      <c r="J1234" s="31" t="n">
        <v>116.29</v>
      </c>
      <c r="K1234" s="26" t="n">
        <v>1566.96</v>
      </c>
      <c r="L1234" s="26" t="n">
        <v>279.76</v>
      </c>
      <c r="M1234" s="22" t="s">
        <v>4802</v>
      </c>
      <c r="N1234" s="22" t="n">
        <f aca="false">MATCH(M1234,'Tabela Passaro'!$A$2:$A$1795,0)</f>
        <v>1150</v>
      </c>
      <c r="O1234" s="22" t="str">
        <f aca="false">INDEX('Tabela Passaro'!$C$2:$C$1795,$N1234)</f>
        <v>RECIFE</v>
      </c>
      <c r="P1234" s="22" t="str">
        <f aca="false">INDEX('Tabela Passaro'!$B$2:$B$1795,$N1234)</f>
        <v>PE</v>
      </c>
      <c r="Q1234" s="22" t="n">
        <f aca="false">INDEX('Tabela Passaro'!$F$2:$F$1795,$N1234)</f>
        <v>8</v>
      </c>
      <c r="R1234" s="32" t="n">
        <f aca="false">IF(J1234&lt;=10,INDEX('Tabela Passaro'!$G$2:$G$1795,$N1234),IF(J1234&lt;=30,INDEX('Tabela Passaro'!$H$2:$H$1795,$N1234),IF(J1234&lt;=50,INDEX('Tabela Passaro'!$I$2:$I$1795,$N1234),IF(J1234&lt;=70,INDEX('Tabela Passaro'!$J$2:$J$1795,$N1234),IF(J1234&lt;=100,INDEX('Tabela Passaro'!$K$2:$K$1795,$N1234),INDEX('Tabela Passaro'!$K$2:$K$1795,$N1234)+(J1234-100)*INDEX('Tabela Passaro'!$L$2:$L$1795,$N1234))))))</f>
        <v>142.6927</v>
      </c>
      <c r="S1234" s="32" t="n">
        <f aca="false">K1234*INDEX('Tabela Passaro'!$M$2:$M$1795,$N1234)</f>
        <v>7.8348</v>
      </c>
      <c r="T1234" s="32" t="n">
        <f aca="false">K1234*INDEX('Tabela Passaro'!$N$2:$N$1795,$N1234)</f>
        <v>3.13392</v>
      </c>
      <c r="U1234" s="32" t="n">
        <f aca="false">INDEX('Tabela Passaro'!$O$2:$O$1795,$N1234)</f>
        <v>5</v>
      </c>
      <c r="V1234" s="32" t="n">
        <f aca="false">ROUNDUP(J1234/INDEX('Tabela Passaro'!$Q$2:$Q$1795,$N1234),0)*INDEX('Tabela Passaro'!$P$2:$P$1795,$N1234)</f>
        <v>10</v>
      </c>
      <c r="W1234" s="32" t="n">
        <f aca="false">INDEX('Tabela Passaro'!$R$2:$R$1795,$N1234)</f>
        <v>30</v>
      </c>
      <c r="X1234" s="32" t="n">
        <f aca="false">ROUNDUP(J1234/INDEX('Tabela Passaro'!$T$2:$T$1795,$N1234),0)*INDEX('Tabela Passaro'!$S$2:$S$1795,$N1234)</f>
        <v>0</v>
      </c>
      <c r="Y1234" s="32" t="n">
        <f aca="false">INDEX('Tabela Passaro'!$U$2:$U$1795,$N1234)</f>
        <v>0</v>
      </c>
      <c r="Z1234" s="32" t="n">
        <f aca="false">INDEX('Tabela Passaro'!$V$2:$V$1795,$N1234)</f>
        <v>0</v>
      </c>
      <c r="AA1234" s="32" t="n">
        <f aca="false">SUM(R1234:Z1234)</f>
        <v>198.66142</v>
      </c>
      <c r="AB1234" s="33" t="n">
        <f aca="false">INDEX(Premissas!$B$5:$B$13,MATCH(A1234,Premissas!$A$5:$A$13,0))</f>
        <v>0.07</v>
      </c>
      <c r="AC1234" s="32" t="n">
        <f aca="false">AA1234/(1-AB1234)-AA1234</f>
        <v>14.9530101075269</v>
      </c>
      <c r="AD1234" s="32" t="n">
        <f aca="false">ROUND(AA1234+AC1234,2)</f>
        <v>213.61</v>
      </c>
      <c r="AE1234" s="32" t="n">
        <f aca="false">AD1234-L1234</f>
        <v>-66.15</v>
      </c>
      <c r="AF1234" s="34" t="n">
        <f aca="false">IF(L1234=0,0,AE1234/L1234)</f>
        <v>-0.236452673720332</v>
      </c>
      <c r="AG1234" s="22" t="str">
        <f aca="false">IF(AD1234&lt;L1234,"PASSARO","ATUAL")</f>
        <v>PASSARO</v>
      </c>
      <c r="AH1234" s="22" t="str">
        <f aca="false">IF(P1234&lt;&gt;A1234,"Faixa cadastrada como "&amp;P1234&amp;" na tabela; preço aplicado pela UF do CEP","")</f>
        <v/>
      </c>
      <c r="AI1234" s="26" t="n">
        <v>289.61</v>
      </c>
      <c r="AJ1234" s="22" t="str">
        <f aca="false">INDEX('Tabela Passaro'!$X$2:$X$1795,$N1234)</f>
        <v>CAPITAL</v>
      </c>
    </row>
    <row r="1235" customFormat="false" ht="15" hidden="false" customHeight="false" outlineLevel="0" collapsed="false">
      <c r="A1235" s="22" t="s">
        <v>20</v>
      </c>
      <c r="B1235" s="22" t="n">
        <v>1</v>
      </c>
      <c r="C1235" s="22" t="s">
        <v>147</v>
      </c>
      <c r="D1235" s="22" t="s">
        <v>30</v>
      </c>
      <c r="E1235" s="22" t="s">
        <v>7328</v>
      </c>
      <c r="F1235" s="22" t="n">
        <v>2309908</v>
      </c>
      <c r="G1235" s="30" t="n">
        <v>46244</v>
      </c>
      <c r="H1235" s="22" t="n">
        <v>132396</v>
      </c>
      <c r="I1235" s="22" t="s">
        <v>8450</v>
      </c>
      <c r="J1235" s="31" t="n">
        <v>37.59</v>
      </c>
      <c r="K1235" s="26" t="n">
        <v>553.98</v>
      </c>
      <c r="L1235" s="26" t="n">
        <v>155.24</v>
      </c>
      <c r="M1235" s="22" t="s">
        <v>4802</v>
      </c>
      <c r="N1235" s="22" t="n">
        <f aca="false">MATCH(M1235,'Tabela Passaro'!$A$2:$A$1795,0)</f>
        <v>1150</v>
      </c>
      <c r="O1235" s="22" t="str">
        <f aca="false">INDEX('Tabela Passaro'!$C$2:$C$1795,$N1235)</f>
        <v>RECIFE</v>
      </c>
      <c r="P1235" s="22" t="str">
        <f aca="false">INDEX('Tabela Passaro'!$B$2:$B$1795,$N1235)</f>
        <v>PE</v>
      </c>
      <c r="Q1235" s="22" t="n">
        <f aca="false">INDEX('Tabela Passaro'!$F$2:$F$1795,$N1235)</f>
        <v>8</v>
      </c>
      <c r="R1235" s="32" t="n">
        <f aca="false">IF(J1235&lt;=10,INDEX('Tabela Passaro'!$G$2:$G$1795,$N1235),IF(J1235&lt;=30,INDEX('Tabela Passaro'!$H$2:$H$1795,$N1235),IF(J1235&lt;=50,INDEX('Tabela Passaro'!$I$2:$I$1795,$N1235),IF(J1235&lt;=70,INDEX('Tabela Passaro'!$J$2:$J$1795,$N1235),IF(J1235&lt;=100,INDEX('Tabela Passaro'!$K$2:$K$1795,$N1235),INDEX('Tabela Passaro'!$K$2:$K$1795,$N1235)+(J1235-100)*INDEX('Tabela Passaro'!$L$2:$L$1795,$N1235))))))</f>
        <v>88.59</v>
      </c>
      <c r="S1235" s="32" t="n">
        <f aca="false">K1235*INDEX('Tabela Passaro'!$M$2:$M$1795,$N1235)</f>
        <v>2.7699</v>
      </c>
      <c r="T1235" s="32" t="n">
        <f aca="false">K1235*INDEX('Tabela Passaro'!$N$2:$N$1795,$N1235)</f>
        <v>1.10796</v>
      </c>
      <c r="U1235" s="32" t="n">
        <f aca="false">INDEX('Tabela Passaro'!$O$2:$O$1795,$N1235)</f>
        <v>5</v>
      </c>
      <c r="V1235" s="32" t="n">
        <f aca="false">ROUNDUP(J1235/INDEX('Tabela Passaro'!$Q$2:$Q$1795,$N1235),0)*INDEX('Tabela Passaro'!$P$2:$P$1795,$N1235)</f>
        <v>5</v>
      </c>
      <c r="W1235" s="32" t="n">
        <f aca="false">INDEX('Tabela Passaro'!$R$2:$R$1795,$N1235)</f>
        <v>30</v>
      </c>
      <c r="X1235" s="32" t="n">
        <f aca="false">ROUNDUP(J1235/INDEX('Tabela Passaro'!$T$2:$T$1795,$N1235),0)*INDEX('Tabela Passaro'!$S$2:$S$1795,$N1235)</f>
        <v>0</v>
      </c>
      <c r="Y1235" s="32" t="n">
        <f aca="false">INDEX('Tabela Passaro'!$U$2:$U$1795,$N1235)</f>
        <v>0</v>
      </c>
      <c r="Z1235" s="32" t="n">
        <f aca="false">INDEX('Tabela Passaro'!$V$2:$V$1795,$N1235)</f>
        <v>0</v>
      </c>
      <c r="AA1235" s="32" t="n">
        <f aca="false">SUM(R1235:Z1235)</f>
        <v>132.46786</v>
      </c>
      <c r="AB1235" s="33" t="n">
        <f aca="false">INDEX(Premissas!$B$5:$B$13,MATCH(A1235,Premissas!$A$5:$A$13,0))</f>
        <v>0.07</v>
      </c>
      <c r="AC1235" s="32" t="n">
        <f aca="false">AA1235/(1-AB1235)-AA1235</f>
        <v>9.97069913978496</v>
      </c>
      <c r="AD1235" s="32" t="n">
        <f aca="false">ROUND(AA1235+AC1235,2)</f>
        <v>142.44</v>
      </c>
      <c r="AE1235" s="32" t="n">
        <f aca="false">AD1235-L1235</f>
        <v>-12.8</v>
      </c>
      <c r="AF1235" s="34" t="n">
        <f aca="false">IF(L1235=0,0,AE1235/L1235)</f>
        <v>-0.0824529760371039</v>
      </c>
      <c r="AG1235" s="22" t="str">
        <f aca="false">IF(AD1235&lt;L1235,"PASSARO","ATUAL")</f>
        <v>PASSARO</v>
      </c>
      <c r="AH1235" s="22" t="str">
        <f aca="false">IF(P1235&lt;&gt;A1235,"Faixa cadastrada como "&amp;P1235&amp;" na tabela; preço aplicado pela UF do CEP","")</f>
        <v/>
      </c>
      <c r="AI1235" s="26" t="n">
        <v>172.83</v>
      </c>
      <c r="AJ1235" s="22" t="str">
        <f aca="false">INDEX('Tabela Passaro'!$X$2:$X$1795,$N1235)</f>
        <v>CAPITAL</v>
      </c>
    </row>
    <row r="1236" customFormat="false" ht="15" hidden="false" customHeight="false" outlineLevel="0" collapsed="false">
      <c r="A1236" s="22" t="s">
        <v>20</v>
      </c>
      <c r="B1236" s="22" t="n">
        <v>1</v>
      </c>
      <c r="C1236" s="22" t="s">
        <v>147</v>
      </c>
      <c r="D1236" s="22" t="s">
        <v>30</v>
      </c>
      <c r="E1236" s="22" t="s">
        <v>7326</v>
      </c>
      <c r="F1236" s="22" t="n">
        <v>523658</v>
      </c>
      <c r="G1236" s="30" t="n">
        <v>46244</v>
      </c>
      <c r="H1236" s="22" t="n">
        <v>621814</v>
      </c>
      <c r="I1236" s="22" t="s">
        <v>8451</v>
      </c>
      <c r="J1236" s="31" t="n">
        <v>26.4</v>
      </c>
      <c r="K1236" s="26" t="n">
        <v>521.98</v>
      </c>
      <c r="L1236" s="26" t="n">
        <v>129.23</v>
      </c>
      <c r="M1236" s="22" t="s">
        <v>4802</v>
      </c>
      <c r="N1236" s="22" t="n">
        <f aca="false">MATCH(M1236,'Tabela Passaro'!$A$2:$A$1795,0)</f>
        <v>1150</v>
      </c>
      <c r="O1236" s="22" t="str">
        <f aca="false">INDEX('Tabela Passaro'!$C$2:$C$1795,$N1236)</f>
        <v>RECIFE</v>
      </c>
      <c r="P1236" s="22" t="str">
        <f aca="false">INDEX('Tabela Passaro'!$B$2:$B$1795,$N1236)</f>
        <v>PE</v>
      </c>
      <c r="Q1236" s="22" t="n">
        <f aca="false">INDEX('Tabela Passaro'!$F$2:$F$1795,$N1236)</f>
        <v>8</v>
      </c>
      <c r="R1236" s="32" t="n">
        <f aca="false">IF(J1236&lt;=10,INDEX('Tabela Passaro'!$G$2:$G$1795,$N1236),IF(J1236&lt;=30,INDEX('Tabela Passaro'!$H$2:$H$1795,$N1236),IF(J1236&lt;=50,INDEX('Tabela Passaro'!$I$2:$I$1795,$N1236),IF(J1236&lt;=70,INDEX('Tabela Passaro'!$J$2:$J$1795,$N1236),IF(J1236&lt;=100,INDEX('Tabela Passaro'!$K$2:$K$1795,$N1236),INDEX('Tabela Passaro'!$K$2:$K$1795,$N1236)+(J1236-100)*INDEX('Tabela Passaro'!$L$2:$L$1795,$N1236))))))</f>
        <v>66.55</v>
      </c>
      <c r="S1236" s="32" t="n">
        <f aca="false">K1236*INDEX('Tabela Passaro'!$M$2:$M$1795,$N1236)</f>
        <v>2.6099</v>
      </c>
      <c r="T1236" s="32" t="n">
        <f aca="false">K1236*INDEX('Tabela Passaro'!$N$2:$N$1795,$N1236)</f>
        <v>1.04396</v>
      </c>
      <c r="U1236" s="32" t="n">
        <f aca="false">INDEX('Tabela Passaro'!$O$2:$O$1795,$N1236)</f>
        <v>5</v>
      </c>
      <c r="V1236" s="32" t="n">
        <f aca="false">ROUNDUP(J1236/INDEX('Tabela Passaro'!$Q$2:$Q$1795,$N1236),0)*INDEX('Tabela Passaro'!$P$2:$P$1795,$N1236)</f>
        <v>5</v>
      </c>
      <c r="W1236" s="32" t="n">
        <f aca="false">INDEX('Tabela Passaro'!$R$2:$R$1795,$N1236)</f>
        <v>30</v>
      </c>
      <c r="X1236" s="32" t="n">
        <f aca="false">ROUNDUP(J1236/INDEX('Tabela Passaro'!$T$2:$T$1795,$N1236),0)*INDEX('Tabela Passaro'!$S$2:$S$1795,$N1236)</f>
        <v>0</v>
      </c>
      <c r="Y1236" s="32" t="n">
        <f aca="false">INDEX('Tabela Passaro'!$U$2:$U$1795,$N1236)</f>
        <v>0</v>
      </c>
      <c r="Z1236" s="32" t="n">
        <f aca="false">INDEX('Tabela Passaro'!$V$2:$V$1795,$N1236)</f>
        <v>0</v>
      </c>
      <c r="AA1236" s="32" t="n">
        <f aca="false">SUM(R1236:Z1236)</f>
        <v>110.20386</v>
      </c>
      <c r="AB1236" s="33" t="n">
        <f aca="false">INDEX(Premissas!$B$5:$B$13,MATCH(A1236,Premissas!$A$5:$A$13,0))</f>
        <v>0.07</v>
      </c>
      <c r="AC1236" s="32" t="n">
        <f aca="false">AA1236/(1-AB1236)-AA1236</f>
        <v>8.29491419354839</v>
      </c>
      <c r="AD1236" s="32" t="n">
        <f aca="false">ROUND(AA1236+AC1236,2)</f>
        <v>118.5</v>
      </c>
      <c r="AE1236" s="32" t="n">
        <f aca="false">AD1236-L1236</f>
        <v>-10.73</v>
      </c>
      <c r="AF1236" s="34" t="n">
        <f aca="false">IF(L1236=0,0,AE1236/L1236)</f>
        <v>-0.0830302561324769</v>
      </c>
      <c r="AG1236" s="22" t="str">
        <f aca="false">IF(AD1236&lt;L1236,"PASSARO","ATUAL")</f>
        <v>PASSARO</v>
      </c>
      <c r="AH1236" s="22" t="str">
        <f aca="false">IF(P1236&lt;&gt;A1236,"Faixa cadastrada como "&amp;P1236&amp;" na tabela; preço aplicado pela UF do CEP","")</f>
        <v/>
      </c>
      <c r="AI1236" s="26" t="n">
        <v>142.15</v>
      </c>
      <c r="AJ1236" s="22" t="str">
        <f aca="false">INDEX('Tabela Passaro'!$X$2:$X$1795,$N1236)</f>
        <v>CAPITAL</v>
      </c>
    </row>
    <row r="1237" customFormat="false" ht="15" hidden="false" customHeight="false" outlineLevel="0" collapsed="false">
      <c r="A1237" s="22" t="s">
        <v>20</v>
      </c>
      <c r="B1237" s="22" t="n">
        <v>1</v>
      </c>
      <c r="C1237" s="22" t="s">
        <v>147</v>
      </c>
      <c r="D1237" s="22" t="s">
        <v>30</v>
      </c>
      <c r="E1237" s="22" t="s">
        <v>7326</v>
      </c>
      <c r="F1237" s="22" t="n">
        <v>523677</v>
      </c>
      <c r="G1237" s="30" t="n">
        <v>46244</v>
      </c>
      <c r="H1237" s="22" t="n">
        <v>621829</v>
      </c>
      <c r="I1237" s="22" t="s">
        <v>8452</v>
      </c>
      <c r="J1237" s="31" t="n">
        <v>77.35</v>
      </c>
      <c r="K1237" s="26" t="n">
        <v>1299.98</v>
      </c>
      <c r="L1237" s="26" t="n">
        <v>284.45</v>
      </c>
      <c r="M1237" s="22" t="s">
        <v>4802</v>
      </c>
      <c r="N1237" s="22" t="n">
        <f aca="false">MATCH(M1237,'Tabela Passaro'!$A$2:$A$1795,0)</f>
        <v>1150</v>
      </c>
      <c r="O1237" s="22" t="str">
        <f aca="false">INDEX('Tabela Passaro'!$C$2:$C$1795,$N1237)</f>
        <v>RECIFE</v>
      </c>
      <c r="P1237" s="22" t="str">
        <f aca="false">INDEX('Tabela Passaro'!$B$2:$B$1795,$N1237)</f>
        <v>PE</v>
      </c>
      <c r="Q1237" s="22" t="n">
        <f aca="false">INDEX('Tabela Passaro'!$F$2:$F$1795,$N1237)</f>
        <v>8</v>
      </c>
      <c r="R1237" s="32" t="n">
        <f aca="false">IF(J1237&lt;=10,INDEX('Tabela Passaro'!$G$2:$G$1795,$N1237),IF(J1237&lt;=30,INDEX('Tabela Passaro'!$H$2:$H$1795,$N1237),IF(J1237&lt;=50,INDEX('Tabela Passaro'!$I$2:$I$1795,$N1237),IF(J1237&lt;=70,INDEX('Tabela Passaro'!$J$2:$J$1795,$N1237),IF(J1237&lt;=100,INDEX('Tabela Passaro'!$K$2:$K$1795,$N1237),INDEX('Tabela Passaro'!$K$2:$K$1795,$N1237)+(J1237-100)*INDEX('Tabela Passaro'!$L$2:$L$1795,$N1237))))))</f>
        <v>116.14</v>
      </c>
      <c r="S1237" s="32" t="n">
        <f aca="false">K1237*INDEX('Tabela Passaro'!$M$2:$M$1795,$N1237)</f>
        <v>6.4999</v>
      </c>
      <c r="T1237" s="32" t="n">
        <f aca="false">K1237*INDEX('Tabela Passaro'!$N$2:$N$1795,$N1237)</f>
        <v>2.59996</v>
      </c>
      <c r="U1237" s="32" t="n">
        <f aca="false">INDEX('Tabela Passaro'!$O$2:$O$1795,$N1237)</f>
        <v>5</v>
      </c>
      <c r="V1237" s="32" t="n">
        <f aca="false">ROUNDUP(J1237/INDEX('Tabela Passaro'!$Q$2:$Q$1795,$N1237),0)*INDEX('Tabela Passaro'!$P$2:$P$1795,$N1237)</f>
        <v>5</v>
      </c>
      <c r="W1237" s="32" t="n">
        <f aca="false">INDEX('Tabela Passaro'!$R$2:$R$1795,$N1237)</f>
        <v>30</v>
      </c>
      <c r="X1237" s="32" t="n">
        <f aca="false">ROUNDUP(J1237/INDEX('Tabela Passaro'!$T$2:$T$1795,$N1237),0)*INDEX('Tabela Passaro'!$S$2:$S$1795,$N1237)</f>
        <v>0</v>
      </c>
      <c r="Y1237" s="32" t="n">
        <f aca="false">INDEX('Tabela Passaro'!$U$2:$U$1795,$N1237)</f>
        <v>0</v>
      </c>
      <c r="Z1237" s="32" t="n">
        <f aca="false">INDEX('Tabela Passaro'!$V$2:$V$1795,$N1237)</f>
        <v>0</v>
      </c>
      <c r="AA1237" s="32" t="n">
        <f aca="false">SUM(R1237:Z1237)</f>
        <v>165.23986</v>
      </c>
      <c r="AB1237" s="33" t="n">
        <f aca="false">INDEX(Premissas!$B$5:$B$13,MATCH(A1237,Premissas!$A$5:$A$13,0))</f>
        <v>0.07</v>
      </c>
      <c r="AC1237" s="32" t="n">
        <f aca="false">AA1237/(1-AB1237)-AA1237</f>
        <v>12.4374088172043</v>
      </c>
      <c r="AD1237" s="32" t="n">
        <f aca="false">ROUND(AA1237+AC1237,2)</f>
        <v>177.68</v>
      </c>
      <c r="AE1237" s="32" t="n">
        <f aca="false">AD1237-L1237</f>
        <v>-106.77</v>
      </c>
      <c r="AF1237" s="34" t="n">
        <f aca="false">IF(L1237=0,0,AE1237/L1237)</f>
        <v>-0.3753559500791</v>
      </c>
      <c r="AG1237" s="22" t="str">
        <f aca="false">IF(AD1237&lt;L1237,"PASSARO","ATUAL")</f>
        <v>PASSARO</v>
      </c>
      <c r="AH1237" s="22" t="str">
        <f aca="false">IF(P1237&lt;&gt;A1237,"Faixa cadastrada como "&amp;P1237&amp;" na tabela; preço aplicado pela UF do CEP","")</f>
        <v/>
      </c>
      <c r="AI1237" s="26" t="n">
        <v>230.72</v>
      </c>
      <c r="AJ1237" s="22" t="str">
        <f aca="false">INDEX('Tabela Passaro'!$X$2:$X$1795,$N1237)</f>
        <v>CAPITAL</v>
      </c>
    </row>
    <row r="1238" customFormat="false" ht="15" hidden="false" customHeight="false" outlineLevel="0" collapsed="false">
      <c r="A1238" s="22" t="s">
        <v>20</v>
      </c>
      <c r="B1238" s="22" t="n">
        <v>1</v>
      </c>
      <c r="C1238" s="22" t="s">
        <v>147</v>
      </c>
      <c r="D1238" s="22" t="s">
        <v>30</v>
      </c>
      <c r="E1238" s="22" t="s">
        <v>7326</v>
      </c>
      <c r="F1238" s="22" t="n">
        <v>523722</v>
      </c>
      <c r="G1238" s="30" t="n">
        <v>46244</v>
      </c>
      <c r="H1238" s="22" t="n">
        <v>622517</v>
      </c>
      <c r="I1238" s="22" t="s">
        <v>8453</v>
      </c>
      <c r="J1238" s="31" t="n">
        <v>33</v>
      </c>
      <c r="K1238" s="26" t="n">
        <v>709.98</v>
      </c>
      <c r="L1238" s="26" t="n">
        <v>177.33</v>
      </c>
      <c r="M1238" s="22" t="s">
        <v>4802</v>
      </c>
      <c r="N1238" s="22" t="n">
        <f aca="false">MATCH(M1238,'Tabela Passaro'!$A$2:$A$1795,0)</f>
        <v>1150</v>
      </c>
      <c r="O1238" s="22" t="str">
        <f aca="false">INDEX('Tabela Passaro'!$C$2:$C$1795,$N1238)</f>
        <v>RECIFE</v>
      </c>
      <c r="P1238" s="22" t="str">
        <f aca="false">INDEX('Tabela Passaro'!$B$2:$B$1795,$N1238)</f>
        <v>PE</v>
      </c>
      <c r="Q1238" s="22" t="n">
        <f aca="false">INDEX('Tabela Passaro'!$F$2:$F$1795,$N1238)</f>
        <v>8</v>
      </c>
      <c r="R1238" s="32" t="n">
        <f aca="false">IF(J1238&lt;=10,INDEX('Tabela Passaro'!$G$2:$G$1795,$N1238),IF(J1238&lt;=30,INDEX('Tabela Passaro'!$H$2:$H$1795,$N1238),IF(J1238&lt;=50,INDEX('Tabela Passaro'!$I$2:$I$1795,$N1238),IF(J1238&lt;=70,INDEX('Tabela Passaro'!$J$2:$J$1795,$N1238),IF(J1238&lt;=100,INDEX('Tabela Passaro'!$K$2:$K$1795,$N1238),INDEX('Tabela Passaro'!$K$2:$K$1795,$N1238)+(J1238-100)*INDEX('Tabela Passaro'!$L$2:$L$1795,$N1238))))))</f>
        <v>88.59</v>
      </c>
      <c r="S1238" s="32" t="n">
        <f aca="false">K1238*INDEX('Tabela Passaro'!$M$2:$M$1795,$N1238)</f>
        <v>3.5499</v>
      </c>
      <c r="T1238" s="32" t="n">
        <f aca="false">K1238*INDEX('Tabela Passaro'!$N$2:$N$1795,$N1238)</f>
        <v>1.41996</v>
      </c>
      <c r="U1238" s="32" t="n">
        <f aca="false">INDEX('Tabela Passaro'!$O$2:$O$1795,$N1238)</f>
        <v>5</v>
      </c>
      <c r="V1238" s="32" t="n">
        <f aca="false">ROUNDUP(J1238/INDEX('Tabela Passaro'!$Q$2:$Q$1795,$N1238),0)*INDEX('Tabela Passaro'!$P$2:$P$1795,$N1238)</f>
        <v>5</v>
      </c>
      <c r="W1238" s="32" t="n">
        <f aca="false">INDEX('Tabela Passaro'!$R$2:$R$1795,$N1238)</f>
        <v>30</v>
      </c>
      <c r="X1238" s="32" t="n">
        <f aca="false">ROUNDUP(J1238/INDEX('Tabela Passaro'!$T$2:$T$1795,$N1238),0)*INDEX('Tabela Passaro'!$S$2:$S$1795,$N1238)</f>
        <v>0</v>
      </c>
      <c r="Y1238" s="32" t="n">
        <f aca="false">INDEX('Tabela Passaro'!$U$2:$U$1795,$N1238)</f>
        <v>0</v>
      </c>
      <c r="Z1238" s="32" t="n">
        <f aca="false">INDEX('Tabela Passaro'!$V$2:$V$1795,$N1238)</f>
        <v>0</v>
      </c>
      <c r="AA1238" s="32" t="n">
        <f aca="false">SUM(R1238:Z1238)</f>
        <v>133.55986</v>
      </c>
      <c r="AB1238" s="33" t="n">
        <f aca="false">INDEX(Premissas!$B$5:$B$13,MATCH(A1238,Premissas!$A$5:$A$13,0))</f>
        <v>0.07</v>
      </c>
      <c r="AC1238" s="32" t="n">
        <f aca="false">AA1238/(1-AB1238)-AA1238</f>
        <v>10.0528926881721</v>
      </c>
      <c r="AD1238" s="32" t="n">
        <f aca="false">ROUND(AA1238+AC1238,2)</f>
        <v>143.61</v>
      </c>
      <c r="AE1238" s="32" t="n">
        <f aca="false">AD1238-L1238</f>
        <v>-33.72</v>
      </c>
      <c r="AF1238" s="34" t="n">
        <f aca="false">IF(L1238=0,0,AE1238/L1238)</f>
        <v>-0.190153950262223</v>
      </c>
      <c r="AG1238" s="22" t="str">
        <f aca="false">IF(AD1238&lt;L1238,"PASSARO","ATUAL")</f>
        <v>PASSARO</v>
      </c>
      <c r="AH1238" s="22" t="str">
        <f aca="false">IF(P1238&lt;&gt;A1238,"Faixa cadastrada como "&amp;P1238&amp;" na tabela; preço aplicado pela UF do CEP","")</f>
        <v/>
      </c>
      <c r="AI1238" s="26" t="n">
        <v>171.92</v>
      </c>
      <c r="AJ1238" s="22" t="str">
        <f aca="false">INDEX('Tabela Passaro'!$X$2:$X$1795,$N1238)</f>
        <v>CAPITAL</v>
      </c>
    </row>
    <row r="1239" customFormat="false" ht="15" hidden="false" customHeight="false" outlineLevel="0" collapsed="false">
      <c r="A1239" s="22" t="s">
        <v>20</v>
      </c>
      <c r="B1239" s="22" t="n">
        <v>1</v>
      </c>
      <c r="C1239" s="22" t="s">
        <v>147</v>
      </c>
      <c r="D1239" s="22" t="s">
        <v>30</v>
      </c>
      <c r="E1239" s="22" t="s">
        <v>20</v>
      </c>
      <c r="F1239" s="22" t="n">
        <v>838491</v>
      </c>
      <c r="G1239" s="30" t="n">
        <v>46245</v>
      </c>
      <c r="H1239" s="22" t="n">
        <v>32478</v>
      </c>
      <c r="I1239" s="22" t="s">
        <v>8454</v>
      </c>
      <c r="J1239" s="31" t="n">
        <v>26</v>
      </c>
      <c r="K1239" s="26" t="n">
        <v>769.98</v>
      </c>
      <c r="L1239" s="26" t="n">
        <v>83.1</v>
      </c>
      <c r="M1239" s="22" t="s">
        <v>4802</v>
      </c>
      <c r="N1239" s="22" t="n">
        <f aca="false">MATCH(M1239,'Tabela Passaro'!$A$2:$A$1795,0)</f>
        <v>1150</v>
      </c>
      <c r="O1239" s="22" t="str">
        <f aca="false">INDEX('Tabela Passaro'!$C$2:$C$1795,$N1239)</f>
        <v>RECIFE</v>
      </c>
      <c r="P1239" s="22" t="str">
        <f aca="false">INDEX('Tabela Passaro'!$B$2:$B$1795,$N1239)</f>
        <v>PE</v>
      </c>
      <c r="Q1239" s="22" t="n">
        <f aca="false">INDEX('Tabela Passaro'!$F$2:$F$1795,$N1239)</f>
        <v>8</v>
      </c>
      <c r="R1239" s="32" t="n">
        <f aca="false">IF(J1239&lt;=10,INDEX('Tabela Passaro'!$G$2:$G$1795,$N1239),IF(J1239&lt;=30,INDEX('Tabela Passaro'!$H$2:$H$1795,$N1239),IF(J1239&lt;=50,INDEX('Tabela Passaro'!$I$2:$I$1795,$N1239),IF(J1239&lt;=70,INDEX('Tabela Passaro'!$J$2:$J$1795,$N1239),IF(J1239&lt;=100,INDEX('Tabela Passaro'!$K$2:$K$1795,$N1239),INDEX('Tabela Passaro'!$K$2:$K$1795,$N1239)+(J1239-100)*INDEX('Tabela Passaro'!$L$2:$L$1795,$N1239))))))</f>
        <v>66.55</v>
      </c>
      <c r="S1239" s="32" t="n">
        <f aca="false">K1239*INDEX('Tabela Passaro'!$M$2:$M$1795,$N1239)</f>
        <v>3.8499</v>
      </c>
      <c r="T1239" s="32" t="n">
        <f aca="false">K1239*INDEX('Tabela Passaro'!$N$2:$N$1795,$N1239)</f>
        <v>1.53996</v>
      </c>
      <c r="U1239" s="32" t="n">
        <f aca="false">INDEX('Tabela Passaro'!$O$2:$O$1795,$N1239)</f>
        <v>5</v>
      </c>
      <c r="V1239" s="32" t="n">
        <f aca="false">ROUNDUP(J1239/INDEX('Tabela Passaro'!$Q$2:$Q$1795,$N1239),0)*INDEX('Tabela Passaro'!$P$2:$P$1795,$N1239)</f>
        <v>5</v>
      </c>
      <c r="W1239" s="32" t="n">
        <f aca="false">INDEX('Tabela Passaro'!$R$2:$R$1795,$N1239)</f>
        <v>30</v>
      </c>
      <c r="X1239" s="32" t="n">
        <f aca="false">ROUNDUP(J1239/INDEX('Tabela Passaro'!$T$2:$T$1795,$N1239),0)*INDEX('Tabela Passaro'!$S$2:$S$1795,$N1239)</f>
        <v>0</v>
      </c>
      <c r="Y1239" s="32" t="n">
        <f aca="false">INDEX('Tabela Passaro'!$U$2:$U$1795,$N1239)</f>
        <v>0</v>
      </c>
      <c r="Z1239" s="32" t="n">
        <f aca="false">INDEX('Tabela Passaro'!$V$2:$V$1795,$N1239)</f>
        <v>0</v>
      </c>
      <c r="AA1239" s="32" t="n">
        <f aca="false">SUM(R1239:Z1239)</f>
        <v>111.93986</v>
      </c>
      <c r="AB1239" s="33" t="n">
        <f aca="false">INDEX(Premissas!$B$5:$B$13,MATCH(A1239,Premissas!$A$5:$A$13,0))</f>
        <v>0.07</v>
      </c>
      <c r="AC1239" s="32" t="n">
        <f aca="false">AA1239/(1-AB1239)-AA1239</f>
        <v>8.42558086021506</v>
      </c>
      <c r="AD1239" s="32" t="n">
        <f aca="false">ROUND(AA1239+AC1239,2)</f>
        <v>120.37</v>
      </c>
      <c r="AE1239" s="32" t="n">
        <f aca="false">AD1239-L1239</f>
        <v>37.27</v>
      </c>
      <c r="AF1239" s="34" t="n">
        <f aca="false">IF(L1239=0,0,AE1239/L1239)</f>
        <v>0.44849578820698</v>
      </c>
      <c r="AG1239" s="22" t="str">
        <f aca="false">IF(AD1239&lt;L1239,"PASSARO","ATUAL")</f>
        <v>ATUAL</v>
      </c>
      <c r="AH1239" s="22" t="str">
        <f aca="false">IF(P1239&lt;&gt;A1239,"Faixa cadastrada como "&amp;P1239&amp;" na tabela; preço aplicado pela UF do CEP","")</f>
        <v/>
      </c>
      <c r="AI1239" s="26" t="n">
        <v>144.06</v>
      </c>
      <c r="AJ1239" s="22" t="str">
        <f aca="false">INDEX('Tabela Passaro'!$X$2:$X$1795,$N1239)</f>
        <v>CAPITAL</v>
      </c>
    </row>
    <row r="1240" customFormat="false" ht="15" hidden="false" customHeight="false" outlineLevel="0" collapsed="false">
      <c r="A1240" s="22" t="s">
        <v>20</v>
      </c>
      <c r="B1240" s="22" t="n">
        <v>1</v>
      </c>
      <c r="C1240" s="22" t="s">
        <v>147</v>
      </c>
      <c r="D1240" s="22" t="s">
        <v>30</v>
      </c>
      <c r="E1240" s="22" t="s">
        <v>20</v>
      </c>
      <c r="F1240" s="22" t="n">
        <v>838496</v>
      </c>
      <c r="G1240" s="30" t="n">
        <v>46245</v>
      </c>
      <c r="H1240" s="22" t="n">
        <v>32484</v>
      </c>
      <c r="I1240" s="22" t="s">
        <v>8455</v>
      </c>
      <c r="J1240" s="31" t="n">
        <v>26.9</v>
      </c>
      <c r="K1240" s="26" t="n">
        <v>519.98</v>
      </c>
      <c r="L1240" s="26" t="n">
        <v>81.13</v>
      </c>
      <c r="M1240" s="22" t="s">
        <v>4802</v>
      </c>
      <c r="N1240" s="22" t="n">
        <f aca="false">MATCH(M1240,'Tabela Passaro'!$A$2:$A$1795,0)</f>
        <v>1150</v>
      </c>
      <c r="O1240" s="22" t="str">
        <f aca="false">INDEX('Tabela Passaro'!$C$2:$C$1795,$N1240)</f>
        <v>RECIFE</v>
      </c>
      <c r="P1240" s="22" t="str">
        <f aca="false">INDEX('Tabela Passaro'!$B$2:$B$1795,$N1240)</f>
        <v>PE</v>
      </c>
      <c r="Q1240" s="22" t="n">
        <f aca="false">INDEX('Tabela Passaro'!$F$2:$F$1795,$N1240)</f>
        <v>8</v>
      </c>
      <c r="R1240" s="32" t="n">
        <f aca="false">IF(J1240&lt;=10,INDEX('Tabela Passaro'!$G$2:$G$1795,$N1240),IF(J1240&lt;=30,INDEX('Tabela Passaro'!$H$2:$H$1795,$N1240),IF(J1240&lt;=50,INDEX('Tabela Passaro'!$I$2:$I$1795,$N1240),IF(J1240&lt;=70,INDEX('Tabela Passaro'!$J$2:$J$1795,$N1240),IF(J1240&lt;=100,INDEX('Tabela Passaro'!$K$2:$K$1795,$N1240),INDEX('Tabela Passaro'!$K$2:$K$1795,$N1240)+(J1240-100)*INDEX('Tabela Passaro'!$L$2:$L$1795,$N1240))))))</f>
        <v>66.55</v>
      </c>
      <c r="S1240" s="32" t="n">
        <f aca="false">K1240*INDEX('Tabela Passaro'!$M$2:$M$1795,$N1240)</f>
        <v>2.5999</v>
      </c>
      <c r="T1240" s="32" t="n">
        <f aca="false">K1240*INDEX('Tabela Passaro'!$N$2:$N$1795,$N1240)</f>
        <v>1.03996</v>
      </c>
      <c r="U1240" s="32" t="n">
        <f aca="false">INDEX('Tabela Passaro'!$O$2:$O$1795,$N1240)</f>
        <v>5</v>
      </c>
      <c r="V1240" s="32" t="n">
        <f aca="false">ROUNDUP(J1240/INDEX('Tabela Passaro'!$Q$2:$Q$1795,$N1240),0)*INDEX('Tabela Passaro'!$P$2:$P$1795,$N1240)</f>
        <v>5</v>
      </c>
      <c r="W1240" s="32" t="n">
        <f aca="false">INDEX('Tabela Passaro'!$R$2:$R$1795,$N1240)</f>
        <v>30</v>
      </c>
      <c r="X1240" s="32" t="n">
        <f aca="false">ROUNDUP(J1240/INDEX('Tabela Passaro'!$T$2:$T$1795,$N1240),0)*INDEX('Tabela Passaro'!$S$2:$S$1795,$N1240)</f>
        <v>0</v>
      </c>
      <c r="Y1240" s="32" t="n">
        <f aca="false">INDEX('Tabela Passaro'!$U$2:$U$1795,$N1240)</f>
        <v>0</v>
      </c>
      <c r="Z1240" s="32" t="n">
        <f aca="false">INDEX('Tabela Passaro'!$V$2:$V$1795,$N1240)</f>
        <v>0</v>
      </c>
      <c r="AA1240" s="32" t="n">
        <f aca="false">SUM(R1240:Z1240)</f>
        <v>110.18986</v>
      </c>
      <c r="AB1240" s="33" t="n">
        <f aca="false">INDEX(Premissas!$B$5:$B$13,MATCH(A1240,Premissas!$A$5:$A$13,0))</f>
        <v>0.07</v>
      </c>
      <c r="AC1240" s="32" t="n">
        <f aca="false">AA1240/(1-AB1240)-AA1240</f>
        <v>8.29386043010753</v>
      </c>
      <c r="AD1240" s="32" t="n">
        <f aca="false">ROUND(AA1240+AC1240,2)</f>
        <v>118.48</v>
      </c>
      <c r="AE1240" s="32" t="n">
        <f aca="false">AD1240-L1240</f>
        <v>37.35</v>
      </c>
      <c r="AF1240" s="34" t="n">
        <f aca="false">IF(L1240=0,0,AE1240/L1240)</f>
        <v>0.460372242080612</v>
      </c>
      <c r="AG1240" s="22" t="str">
        <f aca="false">IF(AD1240&lt;L1240,"PASSARO","ATUAL")</f>
        <v>ATUAL</v>
      </c>
      <c r="AH1240" s="22" t="str">
        <f aca="false">IF(P1240&lt;&gt;A1240,"Faixa cadastrada como "&amp;P1240&amp;" na tabela; preço aplicado pela UF do CEP","")</f>
        <v/>
      </c>
      <c r="AI1240" s="26" t="n">
        <v>142.13</v>
      </c>
      <c r="AJ1240" s="22" t="str">
        <f aca="false">INDEX('Tabela Passaro'!$X$2:$X$1795,$N1240)</f>
        <v>CAPITAL</v>
      </c>
    </row>
    <row r="1241" customFormat="false" ht="15" hidden="false" customHeight="false" outlineLevel="0" collapsed="false">
      <c r="A1241" s="22" t="s">
        <v>20</v>
      </c>
      <c r="B1241" s="22" t="n">
        <v>1</v>
      </c>
      <c r="C1241" s="22" t="s">
        <v>147</v>
      </c>
      <c r="D1241" s="22" t="s">
        <v>30</v>
      </c>
      <c r="E1241" s="22" t="s">
        <v>7326</v>
      </c>
      <c r="F1241" s="22" t="n">
        <v>523837</v>
      </c>
      <c r="G1241" s="30" t="n">
        <v>46245</v>
      </c>
      <c r="H1241" s="22" t="n">
        <v>623261</v>
      </c>
      <c r="I1241" s="22" t="s">
        <v>8456</v>
      </c>
      <c r="J1241" s="31" t="n">
        <v>35.5</v>
      </c>
      <c r="K1241" s="26" t="n">
        <v>619.98</v>
      </c>
      <c r="L1241" s="26" t="n">
        <v>176.57</v>
      </c>
      <c r="M1241" s="22" t="s">
        <v>4802</v>
      </c>
      <c r="N1241" s="22" t="n">
        <f aca="false">MATCH(M1241,'Tabela Passaro'!$A$2:$A$1795,0)</f>
        <v>1150</v>
      </c>
      <c r="O1241" s="22" t="str">
        <f aca="false">INDEX('Tabela Passaro'!$C$2:$C$1795,$N1241)</f>
        <v>RECIFE</v>
      </c>
      <c r="P1241" s="22" t="str">
        <f aca="false">INDEX('Tabela Passaro'!$B$2:$B$1795,$N1241)</f>
        <v>PE</v>
      </c>
      <c r="Q1241" s="22" t="n">
        <f aca="false">INDEX('Tabela Passaro'!$F$2:$F$1795,$N1241)</f>
        <v>8</v>
      </c>
      <c r="R1241" s="32" t="n">
        <f aca="false">IF(J1241&lt;=10,INDEX('Tabela Passaro'!$G$2:$G$1795,$N1241),IF(J1241&lt;=30,INDEX('Tabela Passaro'!$H$2:$H$1795,$N1241),IF(J1241&lt;=50,INDEX('Tabela Passaro'!$I$2:$I$1795,$N1241),IF(J1241&lt;=70,INDEX('Tabela Passaro'!$J$2:$J$1795,$N1241),IF(J1241&lt;=100,INDEX('Tabela Passaro'!$K$2:$K$1795,$N1241),INDEX('Tabela Passaro'!$K$2:$K$1795,$N1241)+(J1241-100)*INDEX('Tabela Passaro'!$L$2:$L$1795,$N1241))))))</f>
        <v>88.59</v>
      </c>
      <c r="S1241" s="32" t="n">
        <f aca="false">K1241*INDEX('Tabela Passaro'!$M$2:$M$1795,$N1241)</f>
        <v>3.0999</v>
      </c>
      <c r="T1241" s="32" t="n">
        <f aca="false">K1241*INDEX('Tabela Passaro'!$N$2:$N$1795,$N1241)</f>
        <v>1.23996</v>
      </c>
      <c r="U1241" s="32" t="n">
        <f aca="false">INDEX('Tabela Passaro'!$O$2:$O$1795,$N1241)</f>
        <v>5</v>
      </c>
      <c r="V1241" s="32" t="n">
        <f aca="false">ROUNDUP(J1241/INDEX('Tabela Passaro'!$Q$2:$Q$1795,$N1241),0)*INDEX('Tabela Passaro'!$P$2:$P$1795,$N1241)</f>
        <v>5</v>
      </c>
      <c r="W1241" s="32" t="n">
        <f aca="false">INDEX('Tabela Passaro'!$R$2:$R$1795,$N1241)</f>
        <v>30</v>
      </c>
      <c r="X1241" s="32" t="n">
        <f aca="false">ROUNDUP(J1241/INDEX('Tabela Passaro'!$T$2:$T$1795,$N1241),0)*INDEX('Tabela Passaro'!$S$2:$S$1795,$N1241)</f>
        <v>0</v>
      </c>
      <c r="Y1241" s="32" t="n">
        <f aca="false">INDEX('Tabela Passaro'!$U$2:$U$1795,$N1241)</f>
        <v>0</v>
      </c>
      <c r="Z1241" s="32" t="n">
        <f aca="false">INDEX('Tabela Passaro'!$V$2:$V$1795,$N1241)</f>
        <v>0</v>
      </c>
      <c r="AA1241" s="32" t="n">
        <f aca="false">SUM(R1241:Z1241)</f>
        <v>132.92986</v>
      </c>
      <c r="AB1241" s="33" t="n">
        <f aca="false">INDEX(Premissas!$B$5:$B$13,MATCH(A1241,Premissas!$A$5:$A$13,0))</f>
        <v>0.07</v>
      </c>
      <c r="AC1241" s="32" t="n">
        <f aca="false">AA1241/(1-AB1241)-AA1241</f>
        <v>10.0054733333334</v>
      </c>
      <c r="AD1241" s="32" t="n">
        <f aca="false">ROUND(AA1241+AC1241,2)</f>
        <v>142.94</v>
      </c>
      <c r="AE1241" s="32" t="n">
        <f aca="false">AD1241-L1241</f>
        <v>-33.63</v>
      </c>
      <c r="AF1241" s="34" t="n">
        <f aca="false">IF(L1241=0,0,AE1241/L1241)</f>
        <v>-0.190462706008948</v>
      </c>
      <c r="AG1241" s="22" t="str">
        <f aca="false">IF(AD1241&lt;L1241,"PASSARO","ATUAL")</f>
        <v>PASSARO</v>
      </c>
      <c r="AH1241" s="22" t="str">
        <f aca="false">IF(P1241&lt;&gt;A1241,"Faixa cadastrada como "&amp;P1241&amp;" na tabela; preço aplicado pela UF do CEP","")</f>
        <v/>
      </c>
      <c r="AI1241" s="26" t="n">
        <v>172.51</v>
      </c>
      <c r="AJ1241" s="22" t="str">
        <f aca="false">INDEX('Tabela Passaro'!$X$2:$X$1795,$N1241)</f>
        <v>CAPITAL</v>
      </c>
    </row>
    <row r="1242" customFormat="false" ht="15" hidden="false" customHeight="false" outlineLevel="0" collapsed="false">
      <c r="A1242" s="22" t="s">
        <v>20</v>
      </c>
      <c r="B1242" s="22" t="n">
        <v>1</v>
      </c>
      <c r="C1242" s="22" t="s">
        <v>147</v>
      </c>
      <c r="D1242" s="22" t="s">
        <v>30</v>
      </c>
      <c r="E1242" s="22" t="s">
        <v>20</v>
      </c>
      <c r="F1242" s="22" t="n">
        <v>838726</v>
      </c>
      <c r="G1242" s="30" t="n">
        <v>46246</v>
      </c>
      <c r="H1242" s="22" t="n">
        <v>32493</v>
      </c>
      <c r="I1242" s="22" t="s">
        <v>8457</v>
      </c>
      <c r="J1242" s="31" t="n">
        <v>17.2</v>
      </c>
      <c r="K1242" s="26" t="n">
        <v>311.18</v>
      </c>
      <c r="L1242" s="26" t="n">
        <v>79.48</v>
      </c>
      <c r="M1242" s="22" t="s">
        <v>4802</v>
      </c>
      <c r="N1242" s="22" t="n">
        <f aca="false">MATCH(M1242,'Tabela Passaro'!$A$2:$A$1795,0)</f>
        <v>1150</v>
      </c>
      <c r="O1242" s="22" t="str">
        <f aca="false">INDEX('Tabela Passaro'!$C$2:$C$1795,$N1242)</f>
        <v>RECIFE</v>
      </c>
      <c r="P1242" s="22" t="str">
        <f aca="false">INDEX('Tabela Passaro'!$B$2:$B$1795,$N1242)</f>
        <v>PE</v>
      </c>
      <c r="Q1242" s="22" t="n">
        <f aca="false">INDEX('Tabela Passaro'!$F$2:$F$1795,$N1242)</f>
        <v>8</v>
      </c>
      <c r="R1242" s="32" t="n">
        <f aca="false">IF(J1242&lt;=10,INDEX('Tabela Passaro'!$G$2:$G$1795,$N1242),IF(J1242&lt;=30,INDEX('Tabela Passaro'!$H$2:$H$1795,$N1242),IF(J1242&lt;=50,INDEX('Tabela Passaro'!$I$2:$I$1795,$N1242),IF(J1242&lt;=70,INDEX('Tabela Passaro'!$J$2:$J$1795,$N1242),IF(J1242&lt;=100,INDEX('Tabela Passaro'!$K$2:$K$1795,$N1242),INDEX('Tabela Passaro'!$K$2:$K$1795,$N1242)+(J1242-100)*INDEX('Tabela Passaro'!$L$2:$L$1795,$N1242))))))</f>
        <v>66.55</v>
      </c>
      <c r="S1242" s="32" t="n">
        <f aca="false">K1242*INDEX('Tabela Passaro'!$M$2:$M$1795,$N1242)</f>
        <v>1.5559</v>
      </c>
      <c r="T1242" s="32" t="n">
        <f aca="false">K1242*INDEX('Tabela Passaro'!$N$2:$N$1795,$N1242)</f>
        <v>0.62236</v>
      </c>
      <c r="U1242" s="32" t="n">
        <f aca="false">INDEX('Tabela Passaro'!$O$2:$O$1795,$N1242)</f>
        <v>5</v>
      </c>
      <c r="V1242" s="32" t="n">
        <f aca="false">ROUNDUP(J1242/INDEX('Tabela Passaro'!$Q$2:$Q$1795,$N1242),0)*INDEX('Tabela Passaro'!$P$2:$P$1795,$N1242)</f>
        <v>5</v>
      </c>
      <c r="W1242" s="32" t="n">
        <f aca="false">INDEX('Tabela Passaro'!$R$2:$R$1795,$N1242)</f>
        <v>30</v>
      </c>
      <c r="X1242" s="32" t="n">
        <f aca="false">ROUNDUP(J1242/INDEX('Tabela Passaro'!$T$2:$T$1795,$N1242),0)*INDEX('Tabela Passaro'!$S$2:$S$1795,$N1242)</f>
        <v>0</v>
      </c>
      <c r="Y1242" s="32" t="n">
        <f aca="false">INDEX('Tabela Passaro'!$U$2:$U$1795,$N1242)</f>
        <v>0</v>
      </c>
      <c r="Z1242" s="32" t="n">
        <f aca="false">INDEX('Tabela Passaro'!$V$2:$V$1795,$N1242)</f>
        <v>0</v>
      </c>
      <c r="AA1242" s="32" t="n">
        <f aca="false">SUM(R1242:Z1242)</f>
        <v>108.72826</v>
      </c>
      <c r="AB1242" s="33" t="n">
        <f aca="false">INDEX(Premissas!$B$5:$B$13,MATCH(A1242,Premissas!$A$5:$A$13,0))</f>
        <v>0.07</v>
      </c>
      <c r="AC1242" s="32" t="n">
        <f aca="false">AA1242/(1-AB1242)-AA1242</f>
        <v>8.18384752688172</v>
      </c>
      <c r="AD1242" s="32" t="n">
        <f aca="false">ROUND(AA1242+AC1242,2)</f>
        <v>116.91</v>
      </c>
      <c r="AE1242" s="32" t="n">
        <f aca="false">AD1242-L1242</f>
        <v>37.43</v>
      </c>
      <c r="AF1242" s="34" t="n">
        <f aca="false">IF(L1242=0,0,AE1242/L1242)</f>
        <v>0.470936084549572</v>
      </c>
      <c r="AG1242" s="22" t="str">
        <f aca="false">IF(AD1242&lt;L1242,"PASSARO","ATUAL")</f>
        <v>ATUAL</v>
      </c>
      <c r="AH1242" s="22" t="str">
        <f aca="false">IF(P1242&lt;&gt;A1242,"Faixa cadastrada como "&amp;P1242&amp;" na tabela; preço aplicado pela UF do CEP","")</f>
        <v/>
      </c>
      <c r="AI1242" s="26" t="n">
        <v>135.75</v>
      </c>
      <c r="AJ1242" s="22" t="str">
        <f aca="false">INDEX('Tabela Passaro'!$X$2:$X$1795,$N1242)</f>
        <v>CAPITAL</v>
      </c>
    </row>
    <row r="1243" customFormat="false" ht="15" hidden="false" customHeight="false" outlineLevel="0" collapsed="false">
      <c r="A1243" s="22" t="s">
        <v>20</v>
      </c>
      <c r="B1243" s="22" t="n">
        <v>1</v>
      </c>
      <c r="C1243" s="22" t="s">
        <v>147</v>
      </c>
      <c r="D1243" s="22" t="s">
        <v>30</v>
      </c>
      <c r="E1243" s="22" t="s">
        <v>7328</v>
      </c>
      <c r="F1243" s="22" t="n">
        <v>2311221</v>
      </c>
      <c r="G1243" s="30" t="n">
        <v>46246</v>
      </c>
      <c r="H1243" s="22" t="n">
        <v>132519</v>
      </c>
      <c r="I1243" s="22" t="s">
        <v>8458</v>
      </c>
      <c r="J1243" s="31" t="n">
        <v>66.4</v>
      </c>
      <c r="K1243" s="26" t="n">
        <v>835.07</v>
      </c>
      <c r="L1243" s="26" t="n">
        <v>184.91</v>
      </c>
      <c r="M1243" s="22" t="s">
        <v>4802</v>
      </c>
      <c r="N1243" s="22" t="n">
        <f aca="false">MATCH(M1243,'Tabela Passaro'!$A$2:$A$1795,0)</f>
        <v>1150</v>
      </c>
      <c r="O1243" s="22" t="str">
        <f aca="false">INDEX('Tabela Passaro'!$C$2:$C$1795,$N1243)</f>
        <v>RECIFE</v>
      </c>
      <c r="P1243" s="22" t="str">
        <f aca="false">INDEX('Tabela Passaro'!$B$2:$B$1795,$N1243)</f>
        <v>PE</v>
      </c>
      <c r="Q1243" s="22" t="n">
        <f aca="false">INDEX('Tabela Passaro'!$F$2:$F$1795,$N1243)</f>
        <v>8</v>
      </c>
      <c r="R1243" s="32" t="n">
        <f aca="false">IF(J1243&lt;=10,INDEX('Tabela Passaro'!$G$2:$G$1795,$N1243),IF(J1243&lt;=30,INDEX('Tabela Passaro'!$H$2:$H$1795,$N1243),IF(J1243&lt;=50,INDEX('Tabela Passaro'!$I$2:$I$1795,$N1243),IF(J1243&lt;=70,INDEX('Tabela Passaro'!$J$2:$J$1795,$N1243),IF(J1243&lt;=100,INDEX('Tabela Passaro'!$K$2:$K$1795,$N1243),INDEX('Tabela Passaro'!$K$2:$K$1795,$N1243)+(J1243-100)*INDEX('Tabela Passaro'!$L$2:$L$1795,$N1243))))))</f>
        <v>99.61</v>
      </c>
      <c r="S1243" s="32" t="n">
        <f aca="false">K1243*INDEX('Tabela Passaro'!$M$2:$M$1795,$N1243)</f>
        <v>4.17535</v>
      </c>
      <c r="T1243" s="32" t="n">
        <f aca="false">K1243*INDEX('Tabela Passaro'!$N$2:$N$1795,$N1243)</f>
        <v>1.67014</v>
      </c>
      <c r="U1243" s="32" t="n">
        <f aca="false">INDEX('Tabela Passaro'!$O$2:$O$1795,$N1243)</f>
        <v>5</v>
      </c>
      <c r="V1243" s="32" t="n">
        <f aca="false">ROUNDUP(J1243/INDEX('Tabela Passaro'!$Q$2:$Q$1795,$N1243),0)*INDEX('Tabela Passaro'!$P$2:$P$1795,$N1243)</f>
        <v>5</v>
      </c>
      <c r="W1243" s="32" t="n">
        <f aca="false">INDEX('Tabela Passaro'!$R$2:$R$1795,$N1243)</f>
        <v>30</v>
      </c>
      <c r="X1243" s="32" t="n">
        <f aca="false">ROUNDUP(J1243/INDEX('Tabela Passaro'!$T$2:$T$1795,$N1243),0)*INDEX('Tabela Passaro'!$S$2:$S$1795,$N1243)</f>
        <v>0</v>
      </c>
      <c r="Y1243" s="32" t="n">
        <f aca="false">INDEX('Tabela Passaro'!$U$2:$U$1795,$N1243)</f>
        <v>0</v>
      </c>
      <c r="Z1243" s="32" t="n">
        <f aca="false">INDEX('Tabela Passaro'!$V$2:$V$1795,$N1243)</f>
        <v>0</v>
      </c>
      <c r="AA1243" s="32" t="n">
        <f aca="false">SUM(R1243:Z1243)</f>
        <v>145.45549</v>
      </c>
      <c r="AB1243" s="33" t="n">
        <f aca="false">INDEX(Premissas!$B$5:$B$13,MATCH(A1243,Premissas!$A$5:$A$13,0))</f>
        <v>0.07</v>
      </c>
      <c r="AC1243" s="32" t="n">
        <f aca="false">AA1243/(1-AB1243)-AA1243</f>
        <v>10.9482626881721</v>
      </c>
      <c r="AD1243" s="32" t="n">
        <f aca="false">ROUND(AA1243+AC1243,2)</f>
        <v>156.4</v>
      </c>
      <c r="AE1243" s="32" t="n">
        <f aca="false">AD1243-L1243</f>
        <v>-28.51</v>
      </c>
      <c r="AF1243" s="34" t="n">
        <f aca="false">IF(L1243=0,0,AE1243/L1243)</f>
        <v>-0.15418311611054</v>
      </c>
      <c r="AG1243" s="22" t="str">
        <f aca="false">IF(AD1243&lt;L1243,"PASSARO","ATUAL")</f>
        <v>PASSARO</v>
      </c>
      <c r="AH1243" s="22" t="str">
        <f aca="false">IF(P1243&lt;&gt;A1243,"Faixa cadastrada como "&amp;P1243&amp;" na tabela; preço aplicado pela UF do CEP","")</f>
        <v/>
      </c>
      <c r="AI1243" s="26" t="n">
        <v>202.11</v>
      </c>
      <c r="AJ1243" s="22" t="str">
        <f aca="false">INDEX('Tabela Passaro'!$X$2:$X$1795,$N1243)</f>
        <v>CAPITAL</v>
      </c>
    </row>
    <row r="1244" customFormat="false" ht="15" hidden="false" customHeight="false" outlineLevel="0" collapsed="false">
      <c r="A1244" s="22" t="s">
        <v>20</v>
      </c>
      <c r="B1244" s="22" t="n">
        <v>1</v>
      </c>
      <c r="C1244" s="22" t="s">
        <v>147</v>
      </c>
      <c r="D1244" s="22" t="s">
        <v>30</v>
      </c>
      <c r="E1244" s="22" t="s">
        <v>7328</v>
      </c>
      <c r="F1244" s="22" t="n">
        <v>2311287</v>
      </c>
      <c r="G1244" s="30" t="n">
        <v>46246</v>
      </c>
      <c r="H1244" s="22" t="n">
        <v>132740</v>
      </c>
      <c r="I1244" s="22" t="s">
        <v>8459</v>
      </c>
      <c r="J1244" s="31" t="n">
        <v>51.06</v>
      </c>
      <c r="K1244" s="26" t="n">
        <v>740.71</v>
      </c>
      <c r="L1244" s="26" t="n">
        <v>184.15</v>
      </c>
      <c r="M1244" s="22" t="s">
        <v>4802</v>
      </c>
      <c r="N1244" s="22" t="n">
        <f aca="false">MATCH(M1244,'Tabela Passaro'!$A$2:$A$1795,0)</f>
        <v>1150</v>
      </c>
      <c r="O1244" s="22" t="str">
        <f aca="false">INDEX('Tabela Passaro'!$C$2:$C$1795,$N1244)</f>
        <v>RECIFE</v>
      </c>
      <c r="P1244" s="22" t="str">
        <f aca="false">INDEX('Tabela Passaro'!$B$2:$B$1795,$N1244)</f>
        <v>PE</v>
      </c>
      <c r="Q1244" s="22" t="n">
        <f aca="false">INDEX('Tabela Passaro'!$F$2:$F$1795,$N1244)</f>
        <v>8</v>
      </c>
      <c r="R1244" s="32" t="n">
        <f aca="false">IF(J1244&lt;=10,INDEX('Tabela Passaro'!$G$2:$G$1795,$N1244),IF(J1244&lt;=30,INDEX('Tabela Passaro'!$H$2:$H$1795,$N1244),IF(J1244&lt;=50,INDEX('Tabela Passaro'!$I$2:$I$1795,$N1244),IF(J1244&lt;=70,INDEX('Tabela Passaro'!$J$2:$J$1795,$N1244),IF(J1244&lt;=100,INDEX('Tabela Passaro'!$K$2:$K$1795,$N1244),INDEX('Tabela Passaro'!$K$2:$K$1795,$N1244)+(J1244-100)*INDEX('Tabela Passaro'!$L$2:$L$1795,$N1244))))))</f>
        <v>99.61</v>
      </c>
      <c r="S1244" s="32" t="n">
        <f aca="false">K1244*INDEX('Tabela Passaro'!$M$2:$M$1795,$N1244)</f>
        <v>3.70355</v>
      </c>
      <c r="T1244" s="32" t="n">
        <f aca="false">K1244*INDEX('Tabela Passaro'!$N$2:$N$1795,$N1244)</f>
        <v>1.48142</v>
      </c>
      <c r="U1244" s="32" t="n">
        <f aca="false">INDEX('Tabela Passaro'!$O$2:$O$1795,$N1244)</f>
        <v>5</v>
      </c>
      <c r="V1244" s="32" t="n">
        <f aca="false">ROUNDUP(J1244/INDEX('Tabela Passaro'!$Q$2:$Q$1795,$N1244),0)*INDEX('Tabela Passaro'!$P$2:$P$1795,$N1244)</f>
        <v>5</v>
      </c>
      <c r="W1244" s="32" t="n">
        <f aca="false">INDEX('Tabela Passaro'!$R$2:$R$1795,$N1244)</f>
        <v>30</v>
      </c>
      <c r="X1244" s="32" t="n">
        <f aca="false">ROUNDUP(J1244/INDEX('Tabela Passaro'!$T$2:$T$1795,$N1244),0)*INDEX('Tabela Passaro'!$S$2:$S$1795,$N1244)</f>
        <v>0</v>
      </c>
      <c r="Y1244" s="32" t="n">
        <f aca="false">INDEX('Tabela Passaro'!$U$2:$U$1795,$N1244)</f>
        <v>0</v>
      </c>
      <c r="Z1244" s="32" t="n">
        <f aca="false">INDEX('Tabela Passaro'!$V$2:$V$1795,$N1244)</f>
        <v>0</v>
      </c>
      <c r="AA1244" s="32" t="n">
        <f aca="false">SUM(R1244:Z1244)</f>
        <v>144.79497</v>
      </c>
      <c r="AB1244" s="33" t="n">
        <f aca="false">INDEX(Premissas!$B$5:$B$13,MATCH(A1244,Premissas!$A$5:$A$13,0))</f>
        <v>0.07</v>
      </c>
      <c r="AC1244" s="32" t="n">
        <f aca="false">AA1244/(1-AB1244)-AA1244</f>
        <v>10.8985461290323</v>
      </c>
      <c r="AD1244" s="32" t="n">
        <f aca="false">ROUND(AA1244+AC1244,2)</f>
        <v>155.69</v>
      </c>
      <c r="AE1244" s="32" t="n">
        <f aca="false">AD1244-L1244</f>
        <v>-28.46</v>
      </c>
      <c r="AF1244" s="34" t="n">
        <f aca="false">IF(L1244=0,0,AE1244/L1244)</f>
        <v>-0.154547922888949</v>
      </c>
      <c r="AG1244" s="22" t="str">
        <f aca="false">IF(AD1244&lt;L1244,"PASSARO","ATUAL")</f>
        <v>PASSARO</v>
      </c>
      <c r="AH1244" s="22" t="str">
        <f aca="false">IF(P1244&lt;&gt;A1244,"Faixa cadastrada como "&amp;P1244&amp;" na tabela; preço aplicado pela UF do CEP","")</f>
        <v/>
      </c>
      <c r="AI1244" s="26" t="n">
        <v>193.94</v>
      </c>
      <c r="AJ1244" s="22" t="str">
        <f aca="false">INDEX('Tabela Passaro'!$X$2:$X$1795,$N1244)</f>
        <v>CAPITAL</v>
      </c>
    </row>
    <row r="1245" customFormat="false" ht="15" hidden="false" customHeight="false" outlineLevel="0" collapsed="false">
      <c r="A1245" s="22" t="s">
        <v>20</v>
      </c>
      <c r="B1245" s="22" t="n">
        <v>1</v>
      </c>
      <c r="C1245" s="22" t="s">
        <v>147</v>
      </c>
      <c r="D1245" s="22" t="s">
        <v>30</v>
      </c>
      <c r="E1245" s="22" t="s">
        <v>7328</v>
      </c>
      <c r="F1245" s="22" t="n">
        <v>2311313</v>
      </c>
      <c r="G1245" s="30" t="n">
        <v>46246</v>
      </c>
      <c r="H1245" s="22" t="n">
        <v>132764</v>
      </c>
      <c r="I1245" s="22" t="s">
        <v>8460</v>
      </c>
      <c r="J1245" s="31" t="n">
        <v>59.9</v>
      </c>
      <c r="K1245" s="26" t="n">
        <v>941.82</v>
      </c>
      <c r="L1245" s="26" t="n">
        <v>185.74</v>
      </c>
      <c r="M1245" s="22" t="s">
        <v>4802</v>
      </c>
      <c r="N1245" s="22" t="n">
        <f aca="false">MATCH(M1245,'Tabela Passaro'!$A$2:$A$1795,0)</f>
        <v>1150</v>
      </c>
      <c r="O1245" s="22" t="str">
        <f aca="false">INDEX('Tabela Passaro'!$C$2:$C$1795,$N1245)</f>
        <v>RECIFE</v>
      </c>
      <c r="P1245" s="22" t="str">
        <f aca="false">INDEX('Tabela Passaro'!$B$2:$B$1795,$N1245)</f>
        <v>PE</v>
      </c>
      <c r="Q1245" s="22" t="n">
        <f aca="false">INDEX('Tabela Passaro'!$F$2:$F$1795,$N1245)</f>
        <v>8</v>
      </c>
      <c r="R1245" s="32" t="n">
        <f aca="false">IF(J1245&lt;=10,INDEX('Tabela Passaro'!$G$2:$G$1795,$N1245),IF(J1245&lt;=30,INDEX('Tabela Passaro'!$H$2:$H$1795,$N1245),IF(J1245&lt;=50,INDEX('Tabela Passaro'!$I$2:$I$1795,$N1245),IF(J1245&lt;=70,INDEX('Tabela Passaro'!$J$2:$J$1795,$N1245),IF(J1245&lt;=100,INDEX('Tabela Passaro'!$K$2:$K$1795,$N1245),INDEX('Tabela Passaro'!$K$2:$K$1795,$N1245)+(J1245-100)*INDEX('Tabela Passaro'!$L$2:$L$1795,$N1245))))))</f>
        <v>99.61</v>
      </c>
      <c r="S1245" s="32" t="n">
        <f aca="false">K1245*INDEX('Tabela Passaro'!$M$2:$M$1795,$N1245)</f>
        <v>4.7091</v>
      </c>
      <c r="T1245" s="32" t="n">
        <f aca="false">K1245*INDEX('Tabela Passaro'!$N$2:$N$1795,$N1245)</f>
        <v>1.88364</v>
      </c>
      <c r="U1245" s="32" t="n">
        <f aca="false">INDEX('Tabela Passaro'!$O$2:$O$1795,$N1245)</f>
        <v>5</v>
      </c>
      <c r="V1245" s="32" t="n">
        <f aca="false">ROUNDUP(J1245/INDEX('Tabela Passaro'!$Q$2:$Q$1795,$N1245),0)*INDEX('Tabela Passaro'!$P$2:$P$1795,$N1245)</f>
        <v>5</v>
      </c>
      <c r="W1245" s="32" t="n">
        <f aca="false">INDEX('Tabela Passaro'!$R$2:$R$1795,$N1245)</f>
        <v>30</v>
      </c>
      <c r="X1245" s="32" t="n">
        <f aca="false">ROUNDUP(J1245/INDEX('Tabela Passaro'!$T$2:$T$1795,$N1245),0)*INDEX('Tabela Passaro'!$S$2:$S$1795,$N1245)</f>
        <v>0</v>
      </c>
      <c r="Y1245" s="32" t="n">
        <f aca="false">INDEX('Tabela Passaro'!$U$2:$U$1795,$N1245)</f>
        <v>0</v>
      </c>
      <c r="Z1245" s="32" t="n">
        <f aca="false">INDEX('Tabela Passaro'!$V$2:$V$1795,$N1245)</f>
        <v>0</v>
      </c>
      <c r="AA1245" s="32" t="n">
        <f aca="false">SUM(R1245:Z1245)</f>
        <v>146.20274</v>
      </c>
      <c r="AB1245" s="33" t="n">
        <f aca="false">INDEX(Premissas!$B$5:$B$13,MATCH(A1245,Premissas!$A$5:$A$13,0))</f>
        <v>0.07</v>
      </c>
      <c r="AC1245" s="32" t="n">
        <f aca="false">AA1245/(1-AB1245)-AA1245</f>
        <v>11.004507311828</v>
      </c>
      <c r="AD1245" s="32" t="n">
        <f aca="false">ROUND(AA1245+AC1245,2)</f>
        <v>157.21</v>
      </c>
      <c r="AE1245" s="32" t="n">
        <f aca="false">AD1245-L1245</f>
        <v>-28.53</v>
      </c>
      <c r="AF1245" s="34" t="n">
        <f aca="false">IF(L1245=0,0,AE1245/L1245)</f>
        <v>-0.153601808980295</v>
      </c>
      <c r="AG1245" s="22" t="str">
        <f aca="false">IF(AD1245&lt;L1245,"PASSARO","ATUAL")</f>
        <v>PASSARO</v>
      </c>
      <c r="AH1245" s="22" t="str">
        <f aca="false">IF(P1245&lt;&gt;A1245,"Faixa cadastrada como "&amp;P1245&amp;" na tabela; preço aplicado pela UF do CEP","")</f>
        <v/>
      </c>
      <c r="AI1245" s="26" t="n">
        <v>199.76</v>
      </c>
      <c r="AJ1245" s="22" t="str">
        <f aca="false">INDEX('Tabela Passaro'!$X$2:$X$1795,$N1245)</f>
        <v>CAPITAL</v>
      </c>
    </row>
    <row r="1246" customFormat="false" ht="15" hidden="false" customHeight="false" outlineLevel="0" collapsed="false">
      <c r="A1246" s="22" t="s">
        <v>20</v>
      </c>
      <c r="B1246" s="22" t="n">
        <v>1</v>
      </c>
      <c r="C1246" s="22" t="s">
        <v>147</v>
      </c>
      <c r="D1246" s="22" t="s">
        <v>30</v>
      </c>
      <c r="E1246" s="22" t="s">
        <v>7326</v>
      </c>
      <c r="F1246" s="22" t="n">
        <v>524702</v>
      </c>
      <c r="G1246" s="30" t="n">
        <v>46247</v>
      </c>
      <c r="H1246" s="22" t="n">
        <v>624563</v>
      </c>
      <c r="I1246" s="22" t="s">
        <v>8461</v>
      </c>
      <c r="J1246" s="31" t="n">
        <v>22</v>
      </c>
      <c r="K1246" s="26" t="n">
        <v>777.23</v>
      </c>
      <c r="L1246" s="26" t="n">
        <v>131.4</v>
      </c>
      <c r="M1246" s="22" t="s">
        <v>4802</v>
      </c>
      <c r="N1246" s="22" t="n">
        <f aca="false">MATCH(M1246,'Tabela Passaro'!$A$2:$A$1795,0)</f>
        <v>1150</v>
      </c>
      <c r="O1246" s="22" t="str">
        <f aca="false">INDEX('Tabela Passaro'!$C$2:$C$1795,$N1246)</f>
        <v>RECIFE</v>
      </c>
      <c r="P1246" s="22" t="str">
        <f aca="false">INDEX('Tabela Passaro'!$B$2:$B$1795,$N1246)</f>
        <v>PE</v>
      </c>
      <c r="Q1246" s="22" t="n">
        <f aca="false">INDEX('Tabela Passaro'!$F$2:$F$1795,$N1246)</f>
        <v>8</v>
      </c>
      <c r="R1246" s="32" t="n">
        <f aca="false">IF(J1246&lt;=10,INDEX('Tabela Passaro'!$G$2:$G$1795,$N1246),IF(J1246&lt;=30,INDEX('Tabela Passaro'!$H$2:$H$1795,$N1246),IF(J1246&lt;=50,INDEX('Tabela Passaro'!$I$2:$I$1795,$N1246),IF(J1246&lt;=70,INDEX('Tabela Passaro'!$J$2:$J$1795,$N1246),IF(J1246&lt;=100,INDEX('Tabela Passaro'!$K$2:$K$1795,$N1246),INDEX('Tabela Passaro'!$K$2:$K$1795,$N1246)+(J1246-100)*INDEX('Tabela Passaro'!$L$2:$L$1795,$N1246))))))</f>
        <v>66.55</v>
      </c>
      <c r="S1246" s="32" t="n">
        <f aca="false">K1246*INDEX('Tabela Passaro'!$M$2:$M$1795,$N1246)</f>
        <v>3.88615</v>
      </c>
      <c r="T1246" s="32" t="n">
        <f aca="false">K1246*INDEX('Tabela Passaro'!$N$2:$N$1795,$N1246)</f>
        <v>1.55446</v>
      </c>
      <c r="U1246" s="32" t="n">
        <f aca="false">INDEX('Tabela Passaro'!$O$2:$O$1795,$N1246)</f>
        <v>5</v>
      </c>
      <c r="V1246" s="32" t="n">
        <f aca="false">ROUNDUP(J1246/INDEX('Tabela Passaro'!$Q$2:$Q$1795,$N1246),0)*INDEX('Tabela Passaro'!$P$2:$P$1795,$N1246)</f>
        <v>5</v>
      </c>
      <c r="W1246" s="32" t="n">
        <f aca="false">INDEX('Tabela Passaro'!$R$2:$R$1795,$N1246)</f>
        <v>30</v>
      </c>
      <c r="X1246" s="32" t="n">
        <f aca="false">ROUNDUP(J1246/INDEX('Tabela Passaro'!$T$2:$T$1795,$N1246),0)*INDEX('Tabela Passaro'!$S$2:$S$1795,$N1246)</f>
        <v>0</v>
      </c>
      <c r="Y1246" s="32" t="n">
        <f aca="false">INDEX('Tabela Passaro'!$U$2:$U$1795,$N1246)</f>
        <v>0</v>
      </c>
      <c r="Z1246" s="32" t="n">
        <f aca="false">INDEX('Tabela Passaro'!$V$2:$V$1795,$N1246)</f>
        <v>0</v>
      </c>
      <c r="AA1246" s="32" t="n">
        <f aca="false">SUM(R1246:Z1246)</f>
        <v>111.99061</v>
      </c>
      <c r="AB1246" s="33" t="n">
        <f aca="false">INDEX(Premissas!$B$5:$B$13,MATCH(A1246,Premissas!$A$5:$A$13,0))</f>
        <v>0.07</v>
      </c>
      <c r="AC1246" s="32" t="n">
        <f aca="false">AA1246/(1-AB1246)-AA1246</f>
        <v>8.42940075268818</v>
      </c>
      <c r="AD1246" s="32" t="n">
        <f aca="false">ROUND(AA1246+AC1246,2)</f>
        <v>120.42</v>
      </c>
      <c r="AE1246" s="32" t="n">
        <f aca="false">AD1246-L1246</f>
        <v>-10.98</v>
      </c>
      <c r="AF1246" s="34" t="n">
        <f aca="false">IF(L1246=0,0,AE1246/L1246)</f>
        <v>-0.0835616438356165</v>
      </c>
      <c r="AG1246" s="22" t="str">
        <f aca="false">IF(AD1246&lt;L1246,"PASSARO","ATUAL")</f>
        <v>PASSARO</v>
      </c>
      <c r="AH1246" s="22" t="str">
        <f aca="false">IF(P1246&lt;&gt;A1246,"Faixa cadastrada como "&amp;P1246&amp;" na tabela; preço aplicado pela UF do CEP","")</f>
        <v/>
      </c>
      <c r="AI1246" s="26" t="n">
        <v>142.2</v>
      </c>
      <c r="AJ1246" s="22" t="str">
        <f aca="false">INDEX('Tabela Passaro'!$X$2:$X$1795,$N1246)</f>
        <v>CAPITAL</v>
      </c>
    </row>
    <row r="1247" customFormat="false" ht="15" hidden="false" customHeight="false" outlineLevel="0" collapsed="false">
      <c r="A1247" s="22" t="s">
        <v>20</v>
      </c>
      <c r="B1247" s="22" t="n">
        <v>1</v>
      </c>
      <c r="C1247" s="22" t="s">
        <v>147</v>
      </c>
      <c r="D1247" s="22" t="s">
        <v>30</v>
      </c>
      <c r="E1247" s="22" t="s">
        <v>7328</v>
      </c>
      <c r="F1247" s="22" t="n">
        <v>2312274</v>
      </c>
      <c r="G1247" s="30" t="n">
        <v>46248</v>
      </c>
      <c r="H1247" s="22" t="n">
        <v>133180</v>
      </c>
      <c r="I1247" s="22" t="s">
        <v>8462</v>
      </c>
      <c r="J1247" s="31" t="n">
        <v>66.4</v>
      </c>
      <c r="K1247" s="26" t="n">
        <v>950.98</v>
      </c>
      <c r="L1247" s="26" t="n">
        <v>185.82</v>
      </c>
      <c r="M1247" s="22" t="s">
        <v>4802</v>
      </c>
      <c r="N1247" s="22" t="n">
        <f aca="false">MATCH(M1247,'Tabela Passaro'!$A$2:$A$1795,0)</f>
        <v>1150</v>
      </c>
      <c r="O1247" s="22" t="str">
        <f aca="false">INDEX('Tabela Passaro'!$C$2:$C$1795,$N1247)</f>
        <v>RECIFE</v>
      </c>
      <c r="P1247" s="22" t="str">
        <f aca="false">INDEX('Tabela Passaro'!$B$2:$B$1795,$N1247)</f>
        <v>PE</v>
      </c>
      <c r="Q1247" s="22" t="n">
        <f aca="false">INDEX('Tabela Passaro'!$F$2:$F$1795,$N1247)</f>
        <v>8</v>
      </c>
      <c r="R1247" s="32" t="n">
        <f aca="false">IF(J1247&lt;=10,INDEX('Tabela Passaro'!$G$2:$G$1795,$N1247),IF(J1247&lt;=30,INDEX('Tabela Passaro'!$H$2:$H$1795,$N1247),IF(J1247&lt;=50,INDEX('Tabela Passaro'!$I$2:$I$1795,$N1247),IF(J1247&lt;=70,INDEX('Tabela Passaro'!$J$2:$J$1795,$N1247),IF(J1247&lt;=100,INDEX('Tabela Passaro'!$K$2:$K$1795,$N1247),INDEX('Tabela Passaro'!$K$2:$K$1795,$N1247)+(J1247-100)*INDEX('Tabela Passaro'!$L$2:$L$1795,$N1247))))))</f>
        <v>99.61</v>
      </c>
      <c r="S1247" s="32" t="n">
        <f aca="false">K1247*INDEX('Tabela Passaro'!$M$2:$M$1795,$N1247)</f>
        <v>4.7549</v>
      </c>
      <c r="T1247" s="32" t="n">
        <f aca="false">K1247*INDEX('Tabela Passaro'!$N$2:$N$1795,$N1247)</f>
        <v>1.90196</v>
      </c>
      <c r="U1247" s="32" t="n">
        <f aca="false">INDEX('Tabela Passaro'!$O$2:$O$1795,$N1247)</f>
        <v>5</v>
      </c>
      <c r="V1247" s="32" t="n">
        <f aca="false">ROUNDUP(J1247/INDEX('Tabela Passaro'!$Q$2:$Q$1795,$N1247),0)*INDEX('Tabela Passaro'!$P$2:$P$1795,$N1247)</f>
        <v>5</v>
      </c>
      <c r="W1247" s="32" t="n">
        <f aca="false">INDEX('Tabela Passaro'!$R$2:$R$1795,$N1247)</f>
        <v>30</v>
      </c>
      <c r="X1247" s="32" t="n">
        <f aca="false">ROUNDUP(J1247/INDEX('Tabela Passaro'!$T$2:$T$1795,$N1247),0)*INDEX('Tabela Passaro'!$S$2:$S$1795,$N1247)</f>
        <v>0</v>
      </c>
      <c r="Y1247" s="32" t="n">
        <f aca="false">INDEX('Tabela Passaro'!$U$2:$U$1795,$N1247)</f>
        <v>0</v>
      </c>
      <c r="Z1247" s="32" t="n">
        <f aca="false">INDEX('Tabela Passaro'!$V$2:$V$1795,$N1247)</f>
        <v>0</v>
      </c>
      <c r="AA1247" s="32" t="n">
        <f aca="false">SUM(R1247:Z1247)</f>
        <v>146.26686</v>
      </c>
      <c r="AB1247" s="33" t="n">
        <f aca="false">INDEX(Premissas!$B$5:$B$13,MATCH(A1247,Premissas!$A$5:$A$13,0))</f>
        <v>0.07</v>
      </c>
      <c r="AC1247" s="32" t="n">
        <f aca="false">AA1247/(1-AB1247)-AA1247</f>
        <v>11.0093335483871</v>
      </c>
      <c r="AD1247" s="32" t="n">
        <f aca="false">ROUND(AA1247+AC1247,2)</f>
        <v>157.28</v>
      </c>
      <c r="AE1247" s="32" t="n">
        <f aca="false">AD1247-L1247</f>
        <v>-28.54</v>
      </c>
      <c r="AF1247" s="34" t="n">
        <f aca="false">IF(L1247=0,0,AE1247/L1247)</f>
        <v>-0.153589495210419</v>
      </c>
      <c r="AG1247" s="22" t="str">
        <f aca="false">IF(AD1247&lt;L1247,"PASSARO","ATUAL")</f>
        <v>PASSARO</v>
      </c>
      <c r="AH1247" s="22" t="str">
        <f aca="false">IF(P1247&lt;&gt;A1247,"Faixa cadastrada como "&amp;P1247&amp;" na tabela; preço aplicado pela UF do CEP","")</f>
        <v/>
      </c>
      <c r="AI1247" s="26" t="n">
        <v>203.24</v>
      </c>
      <c r="AJ1247" s="22" t="str">
        <f aca="false">INDEX('Tabela Passaro'!$X$2:$X$1795,$N1247)</f>
        <v>CAPITAL</v>
      </c>
    </row>
    <row r="1248" customFormat="false" ht="15" hidden="false" customHeight="false" outlineLevel="0" collapsed="false">
      <c r="A1248" s="22" t="s">
        <v>20</v>
      </c>
      <c r="B1248" s="22" t="n">
        <v>1</v>
      </c>
      <c r="C1248" s="22" t="s">
        <v>147</v>
      </c>
      <c r="D1248" s="22" t="s">
        <v>30</v>
      </c>
      <c r="E1248" s="22" t="s">
        <v>7328</v>
      </c>
      <c r="F1248" s="22" t="n">
        <v>2312276</v>
      </c>
      <c r="G1248" s="30" t="n">
        <v>46248</v>
      </c>
      <c r="H1248" s="22" t="n">
        <v>133181</v>
      </c>
      <c r="I1248" s="22" t="s">
        <v>8463</v>
      </c>
      <c r="J1248" s="31" t="n">
        <v>27.4</v>
      </c>
      <c r="K1248" s="26" t="n">
        <v>520.98</v>
      </c>
      <c r="L1248" s="26" t="n">
        <v>119.11</v>
      </c>
      <c r="M1248" s="22" t="s">
        <v>4802</v>
      </c>
      <c r="N1248" s="22" t="n">
        <f aca="false">MATCH(M1248,'Tabela Passaro'!$A$2:$A$1795,0)</f>
        <v>1150</v>
      </c>
      <c r="O1248" s="22" t="str">
        <f aca="false">INDEX('Tabela Passaro'!$C$2:$C$1795,$N1248)</f>
        <v>RECIFE</v>
      </c>
      <c r="P1248" s="22" t="str">
        <f aca="false">INDEX('Tabela Passaro'!$B$2:$B$1795,$N1248)</f>
        <v>PE</v>
      </c>
      <c r="Q1248" s="22" t="n">
        <f aca="false">INDEX('Tabela Passaro'!$F$2:$F$1795,$N1248)</f>
        <v>8</v>
      </c>
      <c r="R1248" s="32" t="n">
        <f aca="false">IF(J1248&lt;=10,INDEX('Tabela Passaro'!$G$2:$G$1795,$N1248),IF(J1248&lt;=30,INDEX('Tabela Passaro'!$H$2:$H$1795,$N1248),IF(J1248&lt;=50,INDEX('Tabela Passaro'!$I$2:$I$1795,$N1248),IF(J1248&lt;=70,INDEX('Tabela Passaro'!$J$2:$J$1795,$N1248),IF(J1248&lt;=100,INDEX('Tabela Passaro'!$K$2:$K$1795,$N1248),INDEX('Tabela Passaro'!$K$2:$K$1795,$N1248)+(J1248-100)*INDEX('Tabela Passaro'!$L$2:$L$1795,$N1248))))))</f>
        <v>66.55</v>
      </c>
      <c r="S1248" s="32" t="n">
        <f aca="false">K1248*INDEX('Tabela Passaro'!$M$2:$M$1795,$N1248)</f>
        <v>2.6049</v>
      </c>
      <c r="T1248" s="32" t="n">
        <f aca="false">K1248*INDEX('Tabela Passaro'!$N$2:$N$1795,$N1248)</f>
        <v>1.04196</v>
      </c>
      <c r="U1248" s="32" t="n">
        <f aca="false">INDEX('Tabela Passaro'!$O$2:$O$1795,$N1248)</f>
        <v>5</v>
      </c>
      <c r="V1248" s="32" t="n">
        <f aca="false">ROUNDUP(J1248/INDEX('Tabela Passaro'!$Q$2:$Q$1795,$N1248),0)*INDEX('Tabela Passaro'!$P$2:$P$1795,$N1248)</f>
        <v>5</v>
      </c>
      <c r="W1248" s="32" t="n">
        <f aca="false">INDEX('Tabela Passaro'!$R$2:$R$1795,$N1248)</f>
        <v>30</v>
      </c>
      <c r="X1248" s="32" t="n">
        <f aca="false">ROUNDUP(J1248/INDEX('Tabela Passaro'!$T$2:$T$1795,$N1248),0)*INDEX('Tabela Passaro'!$S$2:$S$1795,$N1248)</f>
        <v>0</v>
      </c>
      <c r="Y1248" s="32" t="n">
        <f aca="false">INDEX('Tabela Passaro'!$U$2:$U$1795,$N1248)</f>
        <v>0</v>
      </c>
      <c r="Z1248" s="32" t="n">
        <f aca="false">INDEX('Tabela Passaro'!$V$2:$V$1795,$N1248)</f>
        <v>0</v>
      </c>
      <c r="AA1248" s="32" t="n">
        <f aca="false">SUM(R1248:Z1248)</f>
        <v>110.19686</v>
      </c>
      <c r="AB1248" s="33" t="n">
        <f aca="false">INDEX(Premissas!$B$5:$B$13,MATCH(A1248,Premissas!$A$5:$A$13,0))</f>
        <v>0.07</v>
      </c>
      <c r="AC1248" s="32" t="n">
        <f aca="false">AA1248/(1-AB1248)-AA1248</f>
        <v>8.29438731182796</v>
      </c>
      <c r="AD1248" s="32" t="n">
        <f aca="false">ROUND(AA1248+AC1248,2)</f>
        <v>118.49</v>
      </c>
      <c r="AE1248" s="32" t="n">
        <f aca="false">AD1248-L1248</f>
        <v>-0.620000000000005</v>
      </c>
      <c r="AF1248" s="34" t="n">
        <f aca="false">IF(L1248=0,0,AE1248/L1248)</f>
        <v>-0.00520527243724292</v>
      </c>
      <c r="AG1248" s="22" t="str">
        <f aca="false">IF(AD1248&lt;L1248,"PASSARO","ATUAL")</f>
        <v>PASSARO</v>
      </c>
      <c r="AH1248" s="22" t="str">
        <f aca="false">IF(P1248&lt;&gt;A1248,"Faixa cadastrada como "&amp;P1248&amp;" na tabela; preço aplicado pela UF do CEP","")</f>
        <v/>
      </c>
      <c r="AI1248" s="26" t="n">
        <v>142.62</v>
      </c>
      <c r="AJ1248" s="22" t="str">
        <f aca="false">INDEX('Tabela Passaro'!$X$2:$X$1795,$N1248)</f>
        <v>CAPITAL</v>
      </c>
    </row>
    <row r="1249" customFormat="false" ht="15" hidden="false" customHeight="false" outlineLevel="0" collapsed="false">
      <c r="A1249" s="22" t="s">
        <v>20</v>
      </c>
      <c r="B1249" s="22" t="n">
        <v>1</v>
      </c>
      <c r="C1249" s="22" t="s">
        <v>147</v>
      </c>
      <c r="D1249" s="22" t="s">
        <v>30</v>
      </c>
      <c r="E1249" s="22" t="s">
        <v>7328</v>
      </c>
      <c r="F1249" s="22" t="n">
        <v>2312287</v>
      </c>
      <c r="G1249" s="30" t="n">
        <v>46248</v>
      </c>
      <c r="H1249" s="22" t="n">
        <v>133188</v>
      </c>
      <c r="I1249" s="22" t="s">
        <v>8464</v>
      </c>
      <c r="J1249" s="31" t="n">
        <v>51.06</v>
      </c>
      <c r="K1249" s="26" t="n">
        <v>894.98</v>
      </c>
      <c r="L1249" s="26" t="n">
        <v>185.37</v>
      </c>
      <c r="M1249" s="22" t="s">
        <v>4802</v>
      </c>
      <c r="N1249" s="22" t="n">
        <f aca="false">MATCH(M1249,'Tabela Passaro'!$A$2:$A$1795,0)</f>
        <v>1150</v>
      </c>
      <c r="O1249" s="22" t="str">
        <f aca="false">INDEX('Tabela Passaro'!$C$2:$C$1795,$N1249)</f>
        <v>RECIFE</v>
      </c>
      <c r="P1249" s="22" t="str">
        <f aca="false">INDEX('Tabela Passaro'!$B$2:$B$1795,$N1249)</f>
        <v>PE</v>
      </c>
      <c r="Q1249" s="22" t="n">
        <f aca="false">INDEX('Tabela Passaro'!$F$2:$F$1795,$N1249)</f>
        <v>8</v>
      </c>
      <c r="R1249" s="32" t="n">
        <f aca="false">IF(J1249&lt;=10,INDEX('Tabela Passaro'!$G$2:$G$1795,$N1249),IF(J1249&lt;=30,INDEX('Tabela Passaro'!$H$2:$H$1795,$N1249),IF(J1249&lt;=50,INDEX('Tabela Passaro'!$I$2:$I$1795,$N1249),IF(J1249&lt;=70,INDEX('Tabela Passaro'!$J$2:$J$1795,$N1249),IF(J1249&lt;=100,INDEX('Tabela Passaro'!$K$2:$K$1795,$N1249),INDEX('Tabela Passaro'!$K$2:$K$1795,$N1249)+(J1249-100)*INDEX('Tabela Passaro'!$L$2:$L$1795,$N1249))))))</f>
        <v>99.61</v>
      </c>
      <c r="S1249" s="32" t="n">
        <f aca="false">K1249*INDEX('Tabela Passaro'!$M$2:$M$1795,$N1249)</f>
        <v>4.4749</v>
      </c>
      <c r="T1249" s="32" t="n">
        <f aca="false">K1249*INDEX('Tabela Passaro'!$N$2:$N$1795,$N1249)</f>
        <v>1.78996</v>
      </c>
      <c r="U1249" s="32" t="n">
        <f aca="false">INDEX('Tabela Passaro'!$O$2:$O$1795,$N1249)</f>
        <v>5</v>
      </c>
      <c r="V1249" s="32" t="n">
        <f aca="false">ROUNDUP(J1249/INDEX('Tabela Passaro'!$Q$2:$Q$1795,$N1249),0)*INDEX('Tabela Passaro'!$P$2:$P$1795,$N1249)</f>
        <v>5</v>
      </c>
      <c r="W1249" s="32" t="n">
        <f aca="false">INDEX('Tabela Passaro'!$R$2:$R$1795,$N1249)</f>
        <v>30</v>
      </c>
      <c r="X1249" s="32" t="n">
        <f aca="false">ROUNDUP(J1249/INDEX('Tabela Passaro'!$T$2:$T$1795,$N1249),0)*INDEX('Tabela Passaro'!$S$2:$S$1795,$N1249)</f>
        <v>0</v>
      </c>
      <c r="Y1249" s="32" t="n">
        <f aca="false">INDEX('Tabela Passaro'!$U$2:$U$1795,$N1249)</f>
        <v>0</v>
      </c>
      <c r="Z1249" s="32" t="n">
        <f aca="false">INDEX('Tabela Passaro'!$V$2:$V$1795,$N1249)</f>
        <v>0</v>
      </c>
      <c r="AA1249" s="32" t="n">
        <f aca="false">SUM(R1249:Z1249)</f>
        <v>145.87486</v>
      </c>
      <c r="AB1249" s="33" t="n">
        <f aca="false">INDEX(Premissas!$B$5:$B$13,MATCH(A1249,Premissas!$A$5:$A$13,0))</f>
        <v>0.07</v>
      </c>
      <c r="AC1249" s="32" t="n">
        <f aca="false">AA1249/(1-AB1249)-AA1249</f>
        <v>10.979828172043</v>
      </c>
      <c r="AD1249" s="32" t="n">
        <f aca="false">ROUND(AA1249+AC1249,2)</f>
        <v>156.85</v>
      </c>
      <c r="AE1249" s="32" t="n">
        <f aca="false">AD1249-L1249</f>
        <v>-28.52</v>
      </c>
      <c r="AF1249" s="34" t="n">
        <f aca="false">IF(L1249=0,0,AE1249/L1249)</f>
        <v>-0.153854453255651</v>
      </c>
      <c r="AG1249" s="22" t="str">
        <f aca="false">IF(AD1249&lt;L1249,"PASSARO","ATUAL")</f>
        <v>PASSARO</v>
      </c>
      <c r="AH1249" s="22" t="str">
        <f aca="false">IF(P1249&lt;&gt;A1249,"Faixa cadastrada como "&amp;P1249&amp;" na tabela; preço aplicado pela UF do CEP","")</f>
        <v/>
      </c>
      <c r="AI1249" s="26" t="n">
        <v>195.44</v>
      </c>
      <c r="AJ1249" s="22" t="str">
        <f aca="false">INDEX('Tabela Passaro'!$X$2:$X$1795,$N1249)</f>
        <v>CAPITAL</v>
      </c>
    </row>
    <row r="1250" customFormat="false" ht="15" hidden="false" customHeight="false" outlineLevel="0" collapsed="false">
      <c r="A1250" s="22" t="s">
        <v>20</v>
      </c>
      <c r="B1250" s="22" t="n">
        <v>1</v>
      </c>
      <c r="C1250" s="22" t="s">
        <v>147</v>
      </c>
      <c r="D1250" s="22" t="s">
        <v>30</v>
      </c>
      <c r="E1250" s="22" t="s">
        <v>7328</v>
      </c>
      <c r="F1250" s="22" t="n">
        <v>2312308</v>
      </c>
      <c r="G1250" s="30" t="n">
        <v>46248</v>
      </c>
      <c r="H1250" s="22" t="n">
        <v>133215</v>
      </c>
      <c r="I1250" s="22" t="s">
        <v>8465</v>
      </c>
      <c r="J1250" s="31" t="n">
        <v>51.06</v>
      </c>
      <c r="K1250" s="26" t="n">
        <v>811.98</v>
      </c>
      <c r="L1250" s="26" t="n">
        <v>184.72</v>
      </c>
      <c r="M1250" s="22" t="s">
        <v>4802</v>
      </c>
      <c r="N1250" s="22" t="n">
        <f aca="false">MATCH(M1250,'Tabela Passaro'!$A$2:$A$1795,0)</f>
        <v>1150</v>
      </c>
      <c r="O1250" s="22" t="str">
        <f aca="false">INDEX('Tabela Passaro'!$C$2:$C$1795,$N1250)</f>
        <v>RECIFE</v>
      </c>
      <c r="P1250" s="22" t="str">
        <f aca="false">INDEX('Tabela Passaro'!$B$2:$B$1795,$N1250)</f>
        <v>PE</v>
      </c>
      <c r="Q1250" s="22" t="n">
        <f aca="false">INDEX('Tabela Passaro'!$F$2:$F$1795,$N1250)</f>
        <v>8</v>
      </c>
      <c r="R1250" s="32" t="n">
        <f aca="false">IF(J1250&lt;=10,INDEX('Tabela Passaro'!$G$2:$G$1795,$N1250),IF(J1250&lt;=30,INDEX('Tabela Passaro'!$H$2:$H$1795,$N1250),IF(J1250&lt;=50,INDEX('Tabela Passaro'!$I$2:$I$1795,$N1250),IF(J1250&lt;=70,INDEX('Tabela Passaro'!$J$2:$J$1795,$N1250),IF(J1250&lt;=100,INDEX('Tabela Passaro'!$K$2:$K$1795,$N1250),INDEX('Tabela Passaro'!$K$2:$K$1795,$N1250)+(J1250-100)*INDEX('Tabela Passaro'!$L$2:$L$1795,$N1250))))))</f>
        <v>99.61</v>
      </c>
      <c r="S1250" s="32" t="n">
        <f aca="false">K1250*INDEX('Tabela Passaro'!$M$2:$M$1795,$N1250)</f>
        <v>4.0599</v>
      </c>
      <c r="T1250" s="32" t="n">
        <f aca="false">K1250*INDEX('Tabela Passaro'!$N$2:$N$1795,$N1250)</f>
        <v>1.62396</v>
      </c>
      <c r="U1250" s="32" t="n">
        <f aca="false">INDEX('Tabela Passaro'!$O$2:$O$1795,$N1250)</f>
        <v>5</v>
      </c>
      <c r="V1250" s="32" t="n">
        <f aca="false">ROUNDUP(J1250/INDEX('Tabela Passaro'!$Q$2:$Q$1795,$N1250),0)*INDEX('Tabela Passaro'!$P$2:$P$1795,$N1250)</f>
        <v>5</v>
      </c>
      <c r="W1250" s="32" t="n">
        <f aca="false">INDEX('Tabela Passaro'!$R$2:$R$1795,$N1250)</f>
        <v>30</v>
      </c>
      <c r="X1250" s="32" t="n">
        <f aca="false">ROUNDUP(J1250/INDEX('Tabela Passaro'!$T$2:$T$1795,$N1250),0)*INDEX('Tabela Passaro'!$S$2:$S$1795,$N1250)</f>
        <v>0</v>
      </c>
      <c r="Y1250" s="32" t="n">
        <f aca="false">INDEX('Tabela Passaro'!$U$2:$U$1795,$N1250)</f>
        <v>0</v>
      </c>
      <c r="Z1250" s="32" t="n">
        <f aca="false">INDEX('Tabela Passaro'!$V$2:$V$1795,$N1250)</f>
        <v>0</v>
      </c>
      <c r="AA1250" s="32" t="n">
        <f aca="false">SUM(R1250:Z1250)</f>
        <v>145.29386</v>
      </c>
      <c r="AB1250" s="33" t="n">
        <f aca="false">INDEX(Premissas!$B$5:$B$13,MATCH(A1250,Premissas!$A$5:$A$13,0))</f>
        <v>0.07</v>
      </c>
      <c r="AC1250" s="32" t="n">
        <f aca="false">AA1250/(1-AB1250)-AA1250</f>
        <v>10.9360969892473</v>
      </c>
      <c r="AD1250" s="32" t="n">
        <f aca="false">ROUND(AA1250+AC1250,2)</f>
        <v>156.23</v>
      </c>
      <c r="AE1250" s="32" t="n">
        <f aca="false">AD1250-L1250</f>
        <v>-28.49</v>
      </c>
      <c r="AF1250" s="34" t="n">
        <f aca="false">IF(L1250=0,0,AE1250/L1250)</f>
        <v>-0.154233434387181</v>
      </c>
      <c r="AG1250" s="22" t="str">
        <f aca="false">IF(AD1250&lt;L1250,"PASSARO","ATUAL")</f>
        <v>PASSARO</v>
      </c>
      <c r="AH1250" s="22" t="str">
        <f aca="false">IF(P1250&lt;&gt;A1250,"Faixa cadastrada como "&amp;P1250&amp;" na tabela; preço aplicado pela UF do CEP","")</f>
        <v/>
      </c>
      <c r="AI1250" s="26" t="n">
        <v>194.63</v>
      </c>
      <c r="AJ1250" s="22" t="str">
        <f aca="false">INDEX('Tabela Passaro'!$X$2:$X$1795,$N1250)</f>
        <v>CAPITAL</v>
      </c>
    </row>
    <row r="1251" customFormat="false" ht="15" hidden="false" customHeight="false" outlineLevel="0" collapsed="false">
      <c r="A1251" s="22" t="s">
        <v>20</v>
      </c>
      <c r="B1251" s="22" t="n">
        <v>1</v>
      </c>
      <c r="C1251" s="22" t="s">
        <v>147</v>
      </c>
      <c r="D1251" s="22" t="s">
        <v>30</v>
      </c>
      <c r="E1251" s="22" t="s">
        <v>7328</v>
      </c>
      <c r="F1251" s="22" t="n">
        <v>2312342</v>
      </c>
      <c r="G1251" s="30" t="n">
        <v>46248</v>
      </c>
      <c r="H1251" s="22" t="n">
        <v>133245</v>
      </c>
      <c r="I1251" s="22" t="s">
        <v>8466</v>
      </c>
      <c r="J1251" s="31" t="n">
        <v>134.4</v>
      </c>
      <c r="K1251" s="26" t="n">
        <v>2239.98</v>
      </c>
      <c r="L1251" s="26" t="n">
        <v>306.88</v>
      </c>
      <c r="M1251" s="22" t="s">
        <v>4802</v>
      </c>
      <c r="N1251" s="22" t="n">
        <f aca="false">MATCH(M1251,'Tabela Passaro'!$A$2:$A$1795,0)</f>
        <v>1150</v>
      </c>
      <c r="O1251" s="22" t="str">
        <f aca="false">INDEX('Tabela Passaro'!$C$2:$C$1795,$N1251)</f>
        <v>RECIFE</v>
      </c>
      <c r="P1251" s="22" t="str">
        <f aca="false">INDEX('Tabela Passaro'!$B$2:$B$1795,$N1251)</f>
        <v>PE</v>
      </c>
      <c r="Q1251" s="22" t="n">
        <f aca="false">INDEX('Tabela Passaro'!$F$2:$F$1795,$N1251)</f>
        <v>8</v>
      </c>
      <c r="R1251" s="32" t="n">
        <f aca="false">IF(J1251&lt;=10,INDEX('Tabela Passaro'!$G$2:$G$1795,$N1251),IF(J1251&lt;=30,INDEX('Tabela Passaro'!$H$2:$H$1795,$N1251),IF(J1251&lt;=50,INDEX('Tabela Passaro'!$I$2:$I$1795,$N1251),IF(J1251&lt;=70,INDEX('Tabela Passaro'!$J$2:$J$1795,$N1251),IF(J1251&lt;=100,INDEX('Tabela Passaro'!$K$2:$K$1795,$N1251),INDEX('Tabela Passaro'!$K$2:$K$1795,$N1251)+(J1251-100)*INDEX('Tabela Passaro'!$L$2:$L$1795,$N1251))))))</f>
        <v>172.212</v>
      </c>
      <c r="S1251" s="32" t="n">
        <f aca="false">K1251*INDEX('Tabela Passaro'!$M$2:$M$1795,$N1251)</f>
        <v>11.1999</v>
      </c>
      <c r="T1251" s="32" t="n">
        <f aca="false">K1251*INDEX('Tabela Passaro'!$N$2:$N$1795,$N1251)</f>
        <v>4.47996</v>
      </c>
      <c r="U1251" s="32" t="n">
        <f aca="false">INDEX('Tabela Passaro'!$O$2:$O$1795,$N1251)</f>
        <v>5</v>
      </c>
      <c r="V1251" s="32" t="n">
        <f aca="false">ROUNDUP(J1251/INDEX('Tabela Passaro'!$Q$2:$Q$1795,$N1251),0)*INDEX('Tabela Passaro'!$P$2:$P$1795,$N1251)</f>
        <v>10</v>
      </c>
      <c r="W1251" s="32" t="n">
        <f aca="false">INDEX('Tabela Passaro'!$R$2:$R$1795,$N1251)</f>
        <v>30</v>
      </c>
      <c r="X1251" s="32" t="n">
        <f aca="false">ROUNDUP(J1251/INDEX('Tabela Passaro'!$T$2:$T$1795,$N1251),0)*INDEX('Tabela Passaro'!$S$2:$S$1795,$N1251)</f>
        <v>0</v>
      </c>
      <c r="Y1251" s="32" t="n">
        <f aca="false">INDEX('Tabela Passaro'!$U$2:$U$1795,$N1251)</f>
        <v>0</v>
      </c>
      <c r="Z1251" s="32" t="n">
        <f aca="false">INDEX('Tabela Passaro'!$V$2:$V$1795,$N1251)</f>
        <v>0</v>
      </c>
      <c r="AA1251" s="32" t="n">
        <f aca="false">SUM(R1251:Z1251)</f>
        <v>232.89186</v>
      </c>
      <c r="AB1251" s="33" t="n">
        <f aca="false">INDEX(Premissas!$B$5:$B$13,MATCH(A1251,Premissas!$A$5:$A$13,0))</f>
        <v>0.07</v>
      </c>
      <c r="AC1251" s="32" t="n">
        <f aca="false">AA1251/(1-AB1251)-AA1251</f>
        <v>17.5294948387097</v>
      </c>
      <c r="AD1251" s="32" t="n">
        <f aca="false">ROUND(AA1251+AC1251,2)</f>
        <v>250.42</v>
      </c>
      <c r="AE1251" s="32" t="n">
        <f aca="false">AD1251-L1251</f>
        <v>-56.46</v>
      </c>
      <c r="AF1251" s="34" t="n">
        <f aca="false">IF(L1251=0,0,AE1251/L1251)</f>
        <v>-0.18398070907195</v>
      </c>
      <c r="AG1251" s="22" t="str">
        <f aca="false">IF(AD1251&lt;L1251,"PASSARO","ATUAL")</f>
        <v>PASSARO</v>
      </c>
      <c r="AH1251" s="22" t="str">
        <f aca="false">IF(P1251&lt;&gt;A1251,"Faixa cadastrada como "&amp;P1251&amp;" na tabela; preço aplicado pela UF do CEP","")</f>
        <v/>
      </c>
      <c r="AI1251" s="26" t="n">
        <v>340.46</v>
      </c>
      <c r="AJ1251" s="22" t="str">
        <f aca="false">INDEX('Tabela Passaro'!$X$2:$X$1795,$N1251)</f>
        <v>CAPITAL</v>
      </c>
    </row>
    <row r="1252" customFormat="false" ht="15" hidden="false" customHeight="false" outlineLevel="0" collapsed="false">
      <c r="A1252" s="22" t="s">
        <v>20</v>
      </c>
      <c r="B1252" s="22" t="n">
        <v>1</v>
      </c>
      <c r="C1252" s="22" t="s">
        <v>147</v>
      </c>
      <c r="D1252" s="22" t="s">
        <v>30</v>
      </c>
      <c r="E1252" s="22" t="s">
        <v>7328</v>
      </c>
      <c r="F1252" s="22" t="n">
        <v>2312383</v>
      </c>
      <c r="G1252" s="30" t="n">
        <v>46248</v>
      </c>
      <c r="H1252" s="22" t="n">
        <v>133288</v>
      </c>
      <c r="I1252" s="22" t="s">
        <v>8467</v>
      </c>
      <c r="J1252" s="31" t="n">
        <v>27.6</v>
      </c>
      <c r="K1252" s="26" t="n">
        <v>656.77</v>
      </c>
      <c r="L1252" s="26" t="n">
        <v>120.19</v>
      </c>
      <c r="M1252" s="22" t="s">
        <v>4802</v>
      </c>
      <c r="N1252" s="22" t="n">
        <f aca="false">MATCH(M1252,'Tabela Passaro'!$A$2:$A$1795,0)</f>
        <v>1150</v>
      </c>
      <c r="O1252" s="22" t="str">
        <f aca="false">INDEX('Tabela Passaro'!$C$2:$C$1795,$N1252)</f>
        <v>RECIFE</v>
      </c>
      <c r="P1252" s="22" t="str">
        <f aca="false">INDEX('Tabela Passaro'!$B$2:$B$1795,$N1252)</f>
        <v>PE</v>
      </c>
      <c r="Q1252" s="22" t="n">
        <f aca="false">INDEX('Tabela Passaro'!$F$2:$F$1795,$N1252)</f>
        <v>8</v>
      </c>
      <c r="R1252" s="32" t="n">
        <f aca="false">IF(J1252&lt;=10,INDEX('Tabela Passaro'!$G$2:$G$1795,$N1252),IF(J1252&lt;=30,INDEX('Tabela Passaro'!$H$2:$H$1795,$N1252),IF(J1252&lt;=50,INDEX('Tabela Passaro'!$I$2:$I$1795,$N1252),IF(J1252&lt;=70,INDEX('Tabela Passaro'!$J$2:$J$1795,$N1252),IF(J1252&lt;=100,INDEX('Tabela Passaro'!$K$2:$K$1795,$N1252),INDEX('Tabela Passaro'!$K$2:$K$1795,$N1252)+(J1252-100)*INDEX('Tabela Passaro'!$L$2:$L$1795,$N1252))))))</f>
        <v>66.55</v>
      </c>
      <c r="S1252" s="32" t="n">
        <f aca="false">K1252*INDEX('Tabela Passaro'!$M$2:$M$1795,$N1252)</f>
        <v>3.28385</v>
      </c>
      <c r="T1252" s="32" t="n">
        <f aca="false">K1252*INDEX('Tabela Passaro'!$N$2:$N$1795,$N1252)</f>
        <v>1.31354</v>
      </c>
      <c r="U1252" s="32" t="n">
        <f aca="false">INDEX('Tabela Passaro'!$O$2:$O$1795,$N1252)</f>
        <v>5</v>
      </c>
      <c r="V1252" s="32" t="n">
        <f aca="false">ROUNDUP(J1252/INDEX('Tabela Passaro'!$Q$2:$Q$1795,$N1252),0)*INDEX('Tabela Passaro'!$P$2:$P$1795,$N1252)</f>
        <v>5</v>
      </c>
      <c r="W1252" s="32" t="n">
        <f aca="false">INDEX('Tabela Passaro'!$R$2:$R$1795,$N1252)</f>
        <v>30</v>
      </c>
      <c r="X1252" s="32" t="n">
        <f aca="false">ROUNDUP(J1252/INDEX('Tabela Passaro'!$T$2:$T$1795,$N1252),0)*INDEX('Tabela Passaro'!$S$2:$S$1795,$N1252)</f>
        <v>0</v>
      </c>
      <c r="Y1252" s="32" t="n">
        <f aca="false">INDEX('Tabela Passaro'!$U$2:$U$1795,$N1252)</f>
        <v>0</v>
      </c>
      <c r="Z1252" s="32" t="n">
        <f aca="false">INDEX('Tabela Passaro'!$V$2:$V$1795,$N1252)</f>
        <v>0</v>
      </c>
      <c r="AA1252" s="32" t="n">
        <f aca="false">SUM(R1252:Z1252)</f>
        <v>111.14739</v>
      </c>
      <c r="AB1252" s="33" t="n">
        <f aca="false">INDEX(Premissas!$B$5:$B$13,MATCH(A1252,Premissas!$A$5:$A$13,0))</f>
        <v>0.07</v>
      </c>
      <c r="AC1252" s="32" t="n">
        <f aca="false">AA1252/(1-AB1252)-AA1252</f>
        <v>8.36593258064517</v>
      </c>
      <c r="AD1252" s="32" t="n">
        <f aca="false">ROUND(AA1252+AC1252,2)</f>
        <v>119.51</v>
      </c>
      <c r="AE1252" s="32" t="n">
        <f aca="false">AD1252-L1252</f>
        <v>-0.679999999999993</v>
      </c>
      <c r="AF1252" s="34" t="n">
        <f aca="false">IF(L1252=0,0,AE1252/L1252)</f>
        <v>-0.0056577086280056</v>
      </c>
      <c r="AG1252" s="22" t="str">
        <f aca="false">IF(AD1252&lt;L1252,"PASSARO","ATUAL")</f>
        <v>PASSARO</v>
      </c>
      <c r="AH1252" s="22" t="str">
        <f aca="false">IF(P1252&lt;&gt;A1252,"Faixa cadastrada como "&amp;P1252&amp;" na tabela; preço aplicado pela UF do CEP","")</f>
        <v/>
      </c>
      <c r="AI1252" s="26" t="n">
        <v>143.94</v>
      </c>
      <c r="AJ1252" s="22" t="str">
        <f aca="false">INDEX('Tabela Passaro'!$X$2:$X$1795,$N1252)</f>
        <v>CAPITAL</v>
      </c>
    </row>
    <row r="1253" customFormat="false" ht="15" hidden="false" customHeight="false" outlineLevel="0" collapsed="false">
      <c r="A1253" s="22" t="s">
        <v>20</v>
      </c>
      <c r="B1253" s="22" t="n">
        <v>1</v>
      </c>
      <c r="C1253" s="22" t="s">
        <v>147</v>
      </c>
      <c r="D1253" s="22" t="s">
        <v>30</v>
      </c>
      <c r="E1253" s="22" t="s">
        <v>7328</v>
      </c>
      <c r="F1253" s="22" t="n">
        <v>2312389</v>
      </c>
      <c r="G1253" s="30" t="n">
        <v>46248</v>
      </c>
      <c r="H1253" s="22" t="n">
        <v>133291</v>
      </c>
      <c r="I1253" s="22" t="s">
        <v>8468</v>
      </c>
      <c r="J1253" s="31" t="n">
        <v>69.11</v>
      </c>
      <c r="K1253" s="26" t="n">
        <v>946.99</v>
      </c>
      <c r="L1253" s="26" t="n">
        <v>185.79</v>
      </c>
      <c r="M1253" s="22" t="s">
        <v>4802</v>
      </c>
      <c r="N1253" s="22" t="n">
        <f aca="false">MATCH(M1253,'Tabela Passaro'!$A$2:$A$1795,0)</f>
        <v>1150</v>
      </c>
      <c r="O1253" s="22" t="str">
        <f aca="false">INDEX('Tabela Passaro'!$C$2:$C$1795,$N1253)</f>
        <v>RECIFE</v>
      </c>
      <c r="P1253" s="22" t="str">
        <f aca="false">INDEX('Tabela Passaro'!$B$2:$B$1795,$N1253)</f>
        <v>PE</v>
      </c>
      <c r="Q1253" s="22" t="n">
        <f aca="false">INDEX('Tabela Passaro'!$F$2:$F$1795,$N1253)</f>
        <v>8</v>
      </c>
      <c r="R1253" s="32" t="n">
        <f aca="false">IF(J1253&lt;=10,INDEX('Tabela Passaro'!$G$2:$G$1795,$N1253),IF(J1253&lt;=30,INDEX('Tabela Passaro'!$H$2:$H$1795,$N1253),IF(J1253&lt;=50,INDEX('Tabela Passaro'!$I$2:$I$1795,$N1253),IF(J1253&lt;=70,INDEX('Tabela Passaro'!$J$2:$J$1795,$N1253),IF(J1253&lt;=100,INDEX('Tabela Passaro'!$K$2:$K$1795,$N1253),INDEX('Tabela Passaro'!$K$2:$K$1795,$N1253)+(J1253-100)*INDEX('Tabela Passaro'!$L$2:$L$1795,$N1253))))))</f>
        <v>99.61</v>
      </c>
      <c r="S1253" s="32" t="n">
        <f aca="false">K1253*INDEX('Tabela Passaro'!$M$2:$M$1795,$N1253)</f>
        <v>4.73495</v>
      </c>
      <c r="T1253" s="32" t="n">
        <f aca="false">K1253*INDEX('Tabela Passaro'!$N$2:$N$1795,$N1253)</f>
        <v>1.89398</v>
      </c>
      <c r="U1253" s="32" t="n">
        <f aca="false">INDEX('Tabela Passaro'!$O$2:$O$1795,$N1253)</f>
        <v>5</v>
      </c>
      <c r="V1253" s="32" t="n">
        <f aca="false">ROUNDUP(J1253/INDEX('Tabela Passaro'!$Q$2:$Q$1795,$N1253),0)*INDEX('Tabela Passaro'!$P$2:$P$1795,$N1253)</f>
        <v>5</v>
      </c>
      <c r="W1253" s="32" t="n">
        <f aca="false">INDEX('Tabela Passaro'!$R$2:$R$1795,$N1253)</f>
        <v>30</v>
      </c>
      <c r="X1253" s="32" t="n">
        <f aca="false">ROUNDUP(J1253/INDEX('Tabela Passaro'!$T$2:$T$1795,$N1253),0)*INDEX('Tabela Passaro'!$S$2:$S$1795,$N1253)</f>
        <v>0</v>
      </c>
      <c r="Y1253" s="32" t="n">
        <f aca="false">INDEX('Tabela Passaro'!$U$2:$U$1795,$N1253)</f>
        <v>0</v>
      </c>
      <c r="Z1253" s="32" t="n">
        <f aca="false">INDEX('Tabela Passaro'!$V$2:$V$1795,$N1253)</f>
        <v>0</v>
      </c>
      <c r="AA1253" s="32" t="n">
        <f aca="false">SUM(R1253:Z1253)</f>
        <v>146.23893</v>
      </c>
      <c r="AB1253" s="33" t="n">
        <f aca="false">INDEX(Premissas!$B$5:$B$13,MATCH(A1253,Premissas!$A$5:$A$13,0))</f>
        <v>0.07</v>
      </c>
      <c r="AC1253" s="32" t="n">
        <f aca="false">AA1253/(1-AB1253)-AA1253</f>
        <v>11.0072312903226</v>
      </c>
      <c r="AD1253" s="32" t="n">
        <f aca="false">ROUND(AA1253+AC1253,2)</f>
        <v>157.25</v>
      </c>
      <c r="AE1253" s="32" t="n">
        <f aca="false">AD1253-L1253</f>
        <v>-28.54</v>
      </c>
      <c r="AF1253" s="34" t="n">
        <f aca="false">IF(L1253=0,0,AE1253/L1253)</f>
        <v>-0.15361429571021</v>
      </c>
      <c r="AG1253" s="22" t="str">
        <f aca="false">IF(AD1253&lt;L1253,"PASSARO","ATUAL")</f>
        <v>PASSARO</v>
      </c>
      <c r="AH1253" s="22" t="str">
        <f aca="false">IF(P1253&lt;&gt;A1253,"Faixa cadastrada como "&amp;P1253&amp;" na tabela; preço aplicado pela UF do CEP","")</f>
        <v/>
      </c>
      <c r="AI1253" s="26" t="n">
        <v>204.65</v>
      </c>
      <c r="AJ1253" s="22" t="str">
        <f aca="false">INDEX('Tabela Passaro'!$X$2:$X$1795,$N1253)</f>
        <v>CAPITAL</v>
      </c>
    </row>
    <row r="1254" customFormat="false" ht="15" hidden="false" customHeight="false" outlineLevel="0" collapsed="false">
      <c r="A1254" s="22" t="s">
        <v>20</v>
      </c>
      <c r="B1254" s="22" t="n">
        <v>1</v>
      </c>
      <c r="C1254" s="22" t="s">
        <v>147</v>
      </c>
      <c r="D1254" s="22" t="s">
        <v>30</v>
      </c>
      <c r="E1254" s="22" t="s">
        <v>7328</v>
      </c>
      <c r="F1254" s="22" t="n">
        <v>2312413</v>
      </c>
      <c r="G1254" s="30" t="n">
        <v>46248</v>
      </c>
      <c r="H1254" s="22" t="n">
        <v>133302</v>
      </c>
      <c r="I1254" s="22" t="s">
        <v>8469</v>
      </c>
      <c r="J1254" s="31" t="n">
        <v>37.59</v>
      </c>
      <c r="K1254" s="26" t="n">
        <v>488.28</v>
      </c>
      <c r="L1254" s="26" t="n">
        <v>154.73</v>
      </c>
      <c r="M1254" s="22" t="s">
        <v>4802</v>
      </c>
      <c r="N1254" s="22" t="n">
        <f aca="false">MATCH(M1254,'Tabela Passaro'!$A$2:$A$1795,0)</f>
        <v>1150</v>
      </c>
      <c r="O1254" s="22" t="str">
        <f aca="false">INDEX('Tabela Passaro'!$C$2:$C$1795,$N1254)</f>
        <v>RECIFE</v>
      </c>
      <c r="P1254" s="22" t="str">
        <f aca="false">INDEX('Tabela Passaro'!$B$2:$B$1795,$N1254)</f>
        <v>PE</v>
      </c>
      <c r="Q1254" s="22" t="n">
        <f aca="false">INDEX('Tabela Passaro'!$F$2:$F$1795,$N1254)</f>
        <v>8</v>
      </c>
      <c r="R1254" s="32" t="n">
        <f aca="false">IF(J1254&lt;=10,INDEX('Tabela Passaro'!$G$2:$G$1795,$N1254),IF(J1254&lt;=30,INDEX('Tabela Passaro'!$H$2:$H$1795,$N1254),IF(J1254&lt;=50,INDEX('Tabela Passaro'!$I$2:$I$1795,$N1254),IF(J1254&lt;=70,INDEX('Tabela Passaro'!$J$2:$J$1795,$N1254),IF(J1254&lt;=100,INDEX('Tabela Passaro'!$K$2:$K$1795,$N1254),INDEX('Tabela Passaro'!$K$2:$K$1795,$N1254)+(J1254-100)*INDEX('Tabela Passaro'!$L$2:$L$1795,$N1254))))))</f>
        <v>88.59</v>
      </c>
      <c r="S1254" s="32" t="n">
        <f aca="false">K1254*INDEX('Tabela Passaro'!$M$2:$M$1795,$N1254)</f>
        <v>2.4414</v>
      </c>
      <c r="T1254" s="32" t="n">
        <f aca="false">K1254*INDEX('Tabela Passaro'!$N$2:$N$1795,$N1254)</f>
        <v>0.97656</v>
      </c>
      <c r="U1254" s="32" t="n">
        <f aca="false">INDEX('Tabela Passaro'!$O$2:$O$1795,$N1254)</f>
        <v>5</v>
      </c>
      <c r="V1254" s="32" t="n">
        <f aca="false">ROUNDUP(J1254/INDEX('Tabela Passaro'!$Q$2:$Q$1795,$N1254),0)*INDEX('Tabela Passaro'!$P$2:$P$1795,$N1254)</f>
        <v>5</v>
      </c>
      <c r="W1254" s="32" t="n">
        <f aca="false">INDEX('Tabela Passaro'!$R$2:$R$1795,$N1254)</f>
        <v>30</v>
      </c>
      <c r="X1254" s="32" t="n">
        <f aca="false">ROUNDUP(J1254/INDEX('Tabela Passaro'!$T$2:$T$1795,$N1254),0)*INDEX('Tabela Passaro'!$S$2:$S$1795,$N1254)</f>
        <v>0</v>
      </c>
      <c r="Y1254" s="32" t="n">
        <f aca="false">INDEX('Tabela Passaro'!$U$2:$U$1795,$N1254)</f>
        <v>0</v>
      </c>
      <c r="Z1254" s="32" t="n">
        <f aca="false">INDEX('Tabela Passaro'!$V$2:$V$1795,$N1254)</f>
        <v>0</v>
      </c>
      <c r="AA1254" s="32" t="n">
        <f aca="false">SUM(R1254:Z1254)</f>
        <v>132.00796</v>
      </c>
      <c r="AB1254" s="33" t="n">
        <f aca="false">INDEX(Premissas!$B$5:$B$13,MATCH(A1254,Premissas!$A$5:$A$13,0))</f>
        <v>0.07</v>
      </c>
      <c r="AC1254" s="32" t="n">
        <f aca="false">AA1254/(1-AB1254)-AA1254</f>
        <v>9.9360830107527</v>
      </c>
      <c r="AD1254" s="32" t="n">
        <f aca="false">ROUND(AA1254+AC1254,2)</f>
        <v>141.94</v>
      </c>
      <c r="AE1254" s="32" t="n">
        <f aca="false">AD1254-L1254</f>
        <v>-12.79</v>
      </c>
      <c r="AF1254" s="34" t="n">
        <f aca="false">IF(L1254=0,0,AE1254/L1254)</f>
        <v>-0.0826601176242486</v>
      </c>
      <c r="AG1254" s="22" t="str">
        <f aca="false">IF(AD1254&lt;L1254,"PASSARO","ATUAL")</f>
        <v>PASSARO</v>
      </c>
      <c r="AH1254" s="22" t="str">
        <f aca="false">IF(P1254&lt;&gt;A1254,"Faixa cadastrada como "&amp;P1254&amp;" na tabela; preço aplicado pela UF do CEP","")</f>
        <v/>
      </c>
      <c r="AI1254" s="26" t="n">
        <v>172.2</v>
      </c>
      <c r="AJ1254" s="22" t="str">
        <f aca="false">INDEX('Tabela Passaro'!$X$2:$X$1795,$N1254)</f>
        <v>CAPITAL</v>
      </c>
    </row>
    <row r="1255" customFormat="false" ht="15" hidden="false" customHeight="false" outlineLevel="0" collapsed="false">
      <c r="A1255" s="22" t="s">
        <v>20</v>
      </c>
      <c r="B1255" s="22" t="n">
        <v>1</v>
      </c>
      <c r="C1255" s="22" t="s">
        <v>147</v>
      </c>
      <c r="D1255" s="22" t="s">
        <v>30</v>
      </c>
      <c r="E1255" s="22" t="s">
        <v>7328</v>
      </c>
      <c r="F1255" s="22" t="n">
        <v>2312428</v>
      </c>
      <c r="G1255" s="30" t="n">
        <v>46248</v>
      </c>
      <c r="H1255" s="22" t="n">
        <v>133336</v>
      </c>
      <c r="I1255" s="22" t="s">
        <v>8470</v>
      </c>
      <c r="J1255" s="31" t="n">
        <v>134.4</v>
      </c>
      <c r="K1255" s="26" t="n">
        <v>2065.88</v>
      </c>
      <c r="L1255" s="26" t="n">
        <v>305.5</v>
      </c>
      <c r="M1255" s="22" t="s">
        <v>4802</v>
      </c>
      <c r="N1255" s="22" t="n">
        <f aca="false">MATCH(M1255,'Tabela Passaro'!$A$2:$A$1795,0)</f>
        <v>1150</v>
      </c>
      <c r="O1255" s="22" t="str">
        <f aca="false">INDEX('Tabela Passaro'!$C$2:$C$1795,$N1255)</f>
        <v>RECIFE</v>
      </c>
      <c r="P1255" s="22" t="str">
        <f aca="false">INDEX('Tabela Passaro'!$B$2:$B$1795,$N1255)</f>
        <v>PE</v>
      </c>
      <c r="Q1255" s="22" t="n">
        <f aca="false">INDEX('Tabela Passaro'!$F$2:$F$1795,$N1255)</f>
        <v>8</v>
      </c>
      <c r="R1255" s="32" t="n">
        <f aca="false">IF(J1255&lt;=10,INDEX('Tabela Passaro'!$G$2:$G$1795,$N1255),IF(J1255&lt;=30,INDEX('Tabela Passaro'!$H$2:$H$1795,$N1255),IF(J1255&lt;=50,INDEX('Tabela Passaro'!$I$2:$I$1795,$N1255),IF(J1255&lt;=70,INDEX('Tabela Passaro'!$J$2:$J$1795,$N1255),IF(J1255&lt;=100,INDEX('Tabela Passaro'!$K$2:$K$1795,$N1255),INDEX('Tabela Passaro'!$K$2:$K$1795,$N1255)+(J1255-100)*INDEX('Tabela Passaro'!$L$2:$L$1795,$N1255))))))</f>
        <v>172.212</v>
      </c>
      <c r="S1255" s="32" t="n">
        <f aca="false">K1255*INDEX('Tabela Passaro'!$M$2:$M$1795,$N1255)</f>
        <v>10.3294</v>
      </c>
      <c r="T1255" s="32" t="n">
        <f aca="false">K1255*INDEX('Tabela Passaro'!$N$2:$N$1795,$N1255)</f>
        <v>4.13176</v>
      </c>
      <c r="U1255" s="32" t="n">
        <f aca="false">INDEX('Tabela Passaro'!$O$2:$O$1795,$N1255)</f>
        <v>5</v>
      </c>
      <c r="V1255" s="32" t="n">
        <f aca="false">ROUNDUP(J1255/INDEX('Tabela Passaro'!$Q$2:$Q$1795,$N1255),0)*INDEX('Tabela Passaro'!$P$2:$P$1795,$N1255)</f>
        <v>10</v>
      </c>
      <c r="W1255" s="32" t="n">
        <f aca="false">INDEX('Tabela Passaro'!$R$2:$R$1795,$N1255)</f>
        <v>30</v>
      </c>
      <c r="X1255" s="32" t="n">
        <f aca="false">ROUNDUP(J1255/INDEX('Tabela Passaro'!$T$2:$T$1795,$N1255),0)*INDEX('Tabela Passaro'!$S$2:$S$1795,$N1255)</f>
        <v>0</v>
      </c>
      <c r="Y1255" s="32" t="n">
        <f aca="false">INDEX('Tabela Passaro'!$U$2:$U$1795,$N1255)</f>
        <v>0</v>
      </c>
      <c r="Z1255" s="32" t="n">
        <f aca="false">INDEX('Tabela Passaro'!$V$2:$V$1795,$N1255)</f>
        <v>0</v>
      </c>
      <c r="AA1255" s="32" t="n">
        <f aca="false">SUM(R1255:Z1255)</f>
        <v>231.67316</v>
      </c>
      <c r="AB1255" s="33" t="n">
        <f aca="false">INDEX(Premissas!$B$5:$B$13,MATCH(A1255,Premissas!$A$5:$A$13,0))</f>
        <v>0.07</v>
      </c>
      <c r="AC1255" s="32" t="n">
        <f aca="false">AA1255/(1-AB1255)-AA1255</f>
        <v>17.4377647311828</v>
      </c>
      <c r="AD1255" s="32" t="n">
        <f aca="false">ROUND(AA1255+AC1255,2)</f>
        <v>249.11</v>
      </c>
      <c r="AE1255" s="32" t="n">
        <f aca="false">AD1255-L1255</f>
        <v>-56.39</v>
      </c>
      <c r="AF1255" s="34" t="n">
        <f aca="false">IF(L1255=0,0,AE1255/L1255)</f>
        <v>-0.184582651391162</v>
      </c>
      <c r="AG1255" s="22" t="str">
        <f aca="false">IF(AD1255&lt;L1255,"PASSARO","ATUAL")</f>
        <v>PASSARO</v>
      </c>
      <c r="AH1255" s="22" t="str">
        <f aca="false">IF(P1255&lt;&gt;A1255,"Faixa cadastrada como "&amp;P1255&amp;" na tabela; preço aplicado pela UF do CEP","")</f>
        <v/>
      </c>
      <c r="AI1255" s="26" t="n">
        <v>338.78</v>
      </c>
      <c r="AJ1255" s="22" t="str">
        <f aca="false">INDEX('Tabela Passaro'!$X$2:$X$1795,$N1255)</f>
        <v>CAPITAL</v>
      </c>
    </row>
    <row r="1256" customFormat="false" ht="15" hidden="false" customHeight="false" outlineLevel="0" collapsed="false">
      <c r="A1256" s="22" t="s">
        <v>20</v>
      </c>
      <c r="B1256" s="22" t="n">
        <v>1</v>
      </c>
      <c r="C1256" s="22" t="s">
        <v>147</v>
      </c>
      <c r="D1256" s="22" t="s">
        <v>30</v>
      </c>
      <c r="E1256" s="22" t="s">
        <v>7328</v>
      </c>
      <c r="F1256" s="22" t="n">
        <v>2312452</v>
      </c>
      <c r="G1256" s="30" t="n">
        <v>46248</v>
      </c>
      <c r="H1256" s="22" t="n">
        <v>133360</v>
      </c>
      <c r="I1256" s="22" t="s">
        <v>8471</v>
      </c>
      <c r="J1256" s="31" t="n">
        <v>51.06</v>
      </c>
      <c r="K1256" s="26" t="n">
        <v>880.62</v>
      </c>
      <c r="L1256" s="26" t="n">
        <v>185.26</v>
      </c>
      <c r="M1256" s="22" t="s">
        <v>4802</v>
      </c>
      <c r="N1256" s="22" t="n">
        <f aca="false">MATCH(M1256,'Tabela Passaro'!$A$2:$A$1795,0)</f>
        <v>1150</v>
      </c>
      <c r="O1256" s="22" t="str">
        <f aca="false">INDEX('Tabela Passaro'!$C$2:$C$1795,$N1256)</f>
        <v>RECIFE</v>
      </c>
      <c r="P1256" s="22" t="str">
        <f aca="false">INDEX('Tabela Passaro'!$B$2:$B$1795,$N1256)</f>
        <v>PE</v>
      </c>
      <c r="Q1256" s="22" t="n">
        <f aca="false">INDEX('Tabela Passaro'!$F$2:$F$1795,$N1256)</f>
        <v>8</v>
      </c>
      <c r="R1256" s="32" t="n">
        <f aca="false">IF(J1256&lt;=10,INDEX('Tabela Passaro'!$G$2:$G$1795,$N1256),IF(J1256&lt;=30,INDEX('Tabela Passaro'!$H$2:$H$1795,$N1256),IF(J1256&lt;=50,INDEX('Tabela Passaro'!$I$2:$I$1795,$N1256),IF(J1256&lt;=70,INDEX('Tabela Passaro'!$J$2:$J$1795,$N1256),IF(J1256&lt;=100,INDEX('Tabela Passaro'!$K$2:$K$1795,$N1256),INDEX('Tabela Passaro'!$K$2:$K$1795,$N1256)+(J1256-100)*INDEX('Tabela Passaro'!$L$2:$L$1795,$N1256))))))</f>
        <v>99.61</v>
      </c>
      <c r="S1256" s="32" t="n">
        <f aca="false">K1256*INDEX('Tabela Passaro'!$M$2:$M$1795,$N1256)</f>
        <v>4.4031</v>
      </c>
      <c r="T1256" s="32" t="n">
        <f aca="false">K1256*INDEX('Tabela Passaro'!$N$2:$N$1795,$N1256)</f>
        <v>1.76124</v>
      </c>
      <c r="U1256" s="32" t="n">
        <f aca="false">INDEX('Tabela Passaro'!$O$2:$O$1795,$N1256)</f>
        <v>5</v>
      </c>
      <c r="V1256" s="32" t="n">
        <f aca="false">ROUNDUP(J1256/INDEX('Tabela Passaro'!$Q$2:$Q$1795,$N1256),0)*INDEX('Tabela Passaro'!$P$2:$P$1795,$N1256)</f>
        <v>5</v>
      </c>
      <c r="W1256" s="32" t="n">
        <f aca="false">INDEX('Tabela Passaro'!$R$2:$R$1795,$N1256)</f>
        <v>30</v>
      </c>
      <c r="X1256" s="32" t="n">
        <f aca="false">ROUNDUP(J1256/INDEX('Tabela Passaro'!$T$2:$T$1795,$N1256),0)*INDEX('Tabela Passaro'!$S$2:$S$1795,$N1256)</f>
        <v>0</v>
      </c>
      <c r="Y1256" s="32" t="n">
        <f aca="false">INDEX('Tabela Passaro'!$U$2:$U$1795,$N1256)</f>
        <v>0</v>
      </c>
      <c r="Z1256" s="32" t="n">
        <f aca="false">INDEX('Tabela Passaro'!$V$2:$V$1795,$N1256)</f>
        <v>0</v>
      </c>
      <c r="AA1256" s="32" t="n">
        <f aca="false">SUM(R1256:Z1256)</f>
        <v>145.77434</v>
      </c>
      <c r="AB1256" s="33" t="n">
        <f aca="false">INDEX(Premissas!$B$5:$B$13,MATCH(A1256,Premissas!$A$5:$A$13,0))</f>
        <v>0.07</v>
      </c>
      <c r="AC1256" s="32" t="n">
        <f aca="false">AA1256/(1-AB1256)-AA1256</f>
        <v>10.9722621505376</v>
      </c>
      <c r="AD1256" s="32" t="n">
        <f aca="false">ROUND(AA1256+AC1256,2)</f>
        <v>156.75</v>
      </c>
      <c r="AE1256" s="32" t="n">
        <f aca="false">AD1256-L1256</f>
        <v>-28.51</v>
      </c>
      <c r="AF1256" s="34" t="n">
        <f aca="false">IF(L1256=0,0,AE1256/L1256)</f>
        <v>-0.153891827701609</v>
      </c>
      <c r="AG1256" s="22" t="str">
        <f aca="false">IF(AD1256&lt;L1256,"PASSARO","ATUAL")</f>
        <v>PASSARO</v>
      </c>
      <c r="AH1256" s="22" t="str">
        <f aca="false">IF(P1256&lt;&gt;A1256,"Faixa cadastrada como "&amp;P1256&amp;" na tabela; preço aplicado pela UF do CEP","")</f>
        <v/>
      </c>
      <c r="AI1256" s="26" t="n">
        <v>195.3</v>
      </c>
      <c r="AJ1256" s="22" t="str">
        <f aca="false">INDEX('Tabela Passaro'!$X$2:$X$1795,$N1256)</f>
        <v>CAPITAL</v>
      </c>
    </row>
    <row r="1257" customFormat="false" ht="15" hidden="false" customHeight="false" outlineLevel="0" collapsed="false">
      <c r="A1257" s="22" t="s">
        <v>20</v>
      </c>
      <c r="B1257" s="22" t="n">
        <v>1</v>
      </c>
      <c r="C1257" s="22" t="s">
        <v>147</v>
      </c>
      <c r="D1257" s="22" t="s">
        <v>30</v>
      </c>
      <c r="E1257" s="22" t="s">
        <v>7328</v>
      </c>
      <c r="F1257" s="22" t="n">
        <v>2312469</v>
      </c>
      <c r="G1257" s="30" t="n">
        <v>46248</v>
      </c>
      <c r="H1257" s="22" t="n">
        <v>133376</v>
      </c>
      <c r="I1257" s="22" t="s">
        <v>8472</v>
      </c>
      <c r="J1257" s="31" t="n">
        <v>37.59</v>
      </c>
      <c r="K1257" s="26" t="n">
        <v>577.98</v>
      </c>
      <c r="L1257" s="26" t="n">
        <v>155.43</v>
      </c>
      <c r="M1257" s="22" t="s">
        <v>4802</v>
      </c>
      <c r="N1257" s="22" t="n">
        <f aca="false">MATCH(M1257,'Tabela Passaro'!$A$2:$A$1795,0)</f>
        <v>1150</v>
      </c>
      <c r="O1257" s="22" t="str">
        <f aca="false">INDEX('Tabela Passaro'!$C$2:$C$1795,$N1257)</f>
        <v>RECIFE</v>
      </c>
      <c r="P1257" s="22" t="str">
        <f aca="false">INDEX('Tabela Passaro'!$B$2:$B$1795,$N1257)</f>
        <v>PE</v>
      </c>
      <c r="Q1257" s="22" t="n">
        <f aca="false">INDEX('Tabela Passaro'!$F$2:$F$1795,$N1257)</f>
        <v>8</v>
      </c>
      <c r="R1257" s="32" t="n">
        <f aca="false">IF(J1257&lt;=10,INDEX('Tabela Passaro'!$G$2:$G$1795,$N1257),IF(J1257&lt;=30,INDEX('Tabela Passaro'!$H$2:$H$1795,$N1257),IF(J1257&lt;=50,INDEX('Tabela Passaro'!$I$2:$I$1795,$N1257),IF(J1257&lt;=70,INDEX('Tabela Passaro'!$J$2:$J$1795,$N1257),IF(J1257&lt;=100,INDEX('Tabela Passaro'!$K$2:$K$1795,$N1257),INDEX('Tabela Passaro'!$K$2:$K$1795,$N1257)+(J1257-100)*INDEX('Tabela Passaro'!$L$2:$L$1795,$N1257))))))</f>
        <v>88.59</v>
      </c>
      <c r="S1257" s="32" t="n">
        <f aca="false">K1257*INDEX('Tabela Passaro'!$M$2:$M$1795,$N1257)</f>
        <v>2.8899</v>
      </c>
      <c r="T1257" s="32" t="n">
        <f aca="false">K1257*INDEX('Tabela Passaro'!$N$2:$N$1795,$N1257)</f>
        <v>1.15596</v>
      </c>
      <c r="U1257" s="32" t="n">
        <f aca="false">INDEX('Tabela Passaro'!$O$2:$O$1795,$N1257)</f>
        <v>5</v>
      </c>
      <c r="V1257" s="32" t="n">
        <f aca="false">ROUNDUP(J1257/INDEX('Tabela Passaro'!$Q$2:$Q$1795,$N1257),0)*INDEX('Tabela Passaro'!$P$2:$P$1795,$N1257)</f>
        <v>5</v>
      </c>
      <c r="W1257" s="32" t="n">
        <f aca="false">INDEX('Tabela Passaro'!$R$2:$R$1795,$N1257)</f>
        <v>30</v>
      </c>
      <c r="X1257" s="32" t="n">
        <f aca="false">ROUNDUP(J1257/INDEX('Tabela Passaro'!$T$2:$T$1795,$N1257),0)*INDEX('Tabela Passaro'!$S$2:$S$1795,$N1257)</f>
        <v>0</v>
      </c>
      <c r="Y1257" s="32" t="n">
        <f aca="false">INDEX('Tabela Passaro'!$U$2:$U$1795,$N1257)</f>
        <v>0</v>
      </c>
      <c r="Z1257" s="32" t="n">
        <f aca="false">INDEX('Tabela Passaro'!$V$2:$V$1795,$N1257)</f>
        <v>0</v>
      </c>
      <c r="AA1257" s="32" t="n">
        <f aca="false">SUM(R1257:Z1257)</f>
        <v>132.63586</v>
      </c>
      <c r="AB1257" s="33" t="n">
        <f aca="false">INDEX(Premissas!$B$5:$B$13,MATCH(A1257,Premissas!$A$5:$A$13,0))</f>
        <v>0.07</v>
      </c>
      <c r="AC1257" s="32" t="n">
        <f aca="false">AA1257/(1-AB1257)-AA1257</f>
        <v>9.98334430107528</v>
      </c>
      <c r="AD1257" s="32" t="n">
        <f aca="false">ROUND(AA1257+AC1257,2)</f>
        <v>142.62</v>
      </c>
      <c r="AE1257" s="32" t="n">
        <f aca="false">AD1257-L1257</f>
        <v>-12.81</v>
      </c>
      <c r="AF1257" s="34" t="n">
        <f aca="false">IF(L1257=0,0,AE1257/L1257)</f>
        <v>-0.0824165219069678</v>
      </c>
      <c r="AG1257" s="22" t="str">
        <f aca="false">IF(AD1257&lt;L1257,"PASSARO","ATUAL")</f>
        <v>PASSARO</v>
      </c>
      <c r="AH1257" s="22" t="str">
        <f aca="false">IF(P1257&lt;&gt;A1257,"Faixa cadastrada como "&amp;P1257&amp;" na tabela; preço aplicado pela UF do CEP","")</f>
        <v/>
      </c>
      <c r="AI1257" s="26" t="n">
        <v>173.07</v>
      </c>
      <c r="AJ1257" s="22" t="str">
        <f aca="false">INDEX('Tabela Passaro'!$X$2:$X$1795,$N1257)</f>
        <v>CAPITAL</v>
      </c>
    </row>
    <row r="1258" customFormat="false" ht="15" hidden="false" customHeight="false" outlineLevel="0" collapsed="false">
      <c r="A1258" s="22" t="s">
        <v>20</v>
      </c>
      <c r="B1258" s="22" t="n">
        <v>1</v>
      </c>
      <c r="C1258" s="22" t="s">
        <v>147</v>
      </c>
      <c r="D1258" s="22" t="s">
        <v>30</v>
      </c>
      <c r="E1258" s="22" t="s">
        <v>7328</v>
      </c>
      <c r="F1258" s="22" t="n">
        <v>2312478</v>
      </c>
      <c r="G1258" s="30" t="n">
        <v>46248</v>
      </c>
      <c r="H1258" s="22" t="n">
        <v>133447</v>
      </c>
      <c r="I1258" s="22" t="s">
        <v>8473</v>
      </c>
      <c r="J1258" s="31" t="n">
        <v>48</v>
      </c>
      <c r="K1258" s="26" t="n">
        <v>1124.98</v>
      </c>
      <c r="L1258" s="26" t="n">
        <v>159.76</v>
      </c>
      <c r="M1258" s="22" t="s">
        <v>4802</v>
      </c>
      <c r="N1258" s="22" t="n">
        <f aca="false">MATCH(M1258,'Tabela Passaro'!$A$2:$A$1795,0)</f>
        <v>1150</v>
      </c>
      <c r="O1258" s="22" t="str">
        <f aca="false">INDEX('Tabela Passaro'!$C$2:$C$1795,$N1258)</f>
        <v>RECIFE</v>
      </c>
      <c r="P1258" s="22" t="str">
        <f aca="false">INDEX('Tabela Passaro'!$B$2:$B$1795,$N1258)</f>
        <v>PE</v>
      </c>
      <c r="Q1258" s="22" t="n">
        <f aca="false">INDEX('Tabela Passaro'!$F$2:$F$1795,$N1258)</f>
        <v>8</v>
      </c>
      <c r="R1258" s="32" t="n">
        <f aca="false">IF(J1258&lt;=10,INDEX('Tabela Passaro'!$G$2:$G$1795,$N1258),IF(J1258&lt;=30,INDEX('Tabela Passaro'!$H$2:$H$1795,$N1258),IF(J1258&lt;=50,INDEX('Tabela Passaro'!$I$2:$I$1795,$N1258),IF(J1258&lt;=70,INDEX('Tabela Passaro'!$J$2:$J$1795,$N1258),IF(J1258&lt;=100,INDEX('Tabela Passaro'!$K$2:$K$1795,$N1258),INDEX('Tabela Passaro'!$K$2:$K$1795,$N1258)+(J1258-100)*INDEX('Tabela Passaro'!$L$2:$L$1795,$N1258))))))</f>
        <v>88.59</v>
      </c>
      <c r="S1258" s="32" t="n">
        <f aca="false">K1258*INDEX('Tabela Passaro'!$M$2:$M$1795,$N1258)</f>
        <v>5.6249</v>
      </c>
      <c r="T1258" s="32" t="n">
        <f aca="false">K1258*INDEX('Tabela Passaro'!$N$2:$N$1795,$N1258)</f>
        <v>2.24996</v>
      </c>
      <c r="U1258" s="32" t="n">
        <f aca="false">INDEX('Tabela Passaro'!$O$2:$O$1795,$N1258)</f>
        <v>5</v>
      </c>
      <c r="V1258" s="32" t="n">
        <f aca="false">ROUNDUP(J1258/INDEX('Tabela Passaro'!$Q$2:$Q$1795,$N1258),0)*INDEX('Tabela Passaro'!$P$2:$P$1795,$N1258)</f>
        <v>5</v>
      </c>
      <c r="W1258" s="32" t="n">
        <f aca="false">INDEX('Tabela Passaro'!$R$2:$R$1795,$N1258)</f>
        <v>30</v>
      </c>
      <c r="X1258" s="32" t="n">
        <f aca="false">ROUNDUP(J1258/INDEX('Tabela Passaro'!$T$2:$T$1795,$N1258),0)*INDEX('Tabela Passaro'!$S$2:$S$1795,$N1258)</f>
        <v>0</v>
      </c>
      <c r="Y1258" s="32" t="n">
        <f aca="false">INDEX('Tabela Passaro'!$U$2:$U$1795,$N1258)</f>
        <v>0</v>
      </c>
      <c r="Z1258" s="32" t="n">
        <f aca="false">INDEX('Tabela Passaro'!$V$2:$V$1795,$N1258)</f>
        <v>0</v>
      </c>
      <c r="AA1258" s="32" t="n">
        <f aca="false">SUM(R1258:Z1258)</f>
        <v>136.46486</v>
      </c>
      <c r="AB1258" s="33" t="n">
        <f aca="false">INDEX(Premissas!$B$5:$B$13,MATCH(A1258,Premissas!$A$5:$A$13,0))</f>
        <v>0.07</v>
      </c>
      <c r="AC1258" s="32" t="n">
        <f aca="false">AA1258/(1-AB1258)-AA1258</f>
        <v>10.2715486021505</v>
      </c>
      <c r="AD1258" s="32" t="n">
        <f aca="false">ROUND(AA1258+AC1258,2)</f>
        <v>146.74</v>
      </c>
      <c r="AE1258" s="32" t="n">
        <f aca="false">AD1258-L1258</f>
        <v>-13.02</v>
      </c>
      <c r="AF1258" s="34" t="n">
        <f aca="false">IF(L1258=0,0,AE1258/L1258)</f>
        <v>-0.0814972458688031</v>
      </c>
      <c r="AG1258" s="22" t="str">
        <f aca="false">IF(AD1258&lt;L1258,"PASSARO","ATUAL")</f>
        <v>PASSARO</v>
      </c>
      <c r="AH1258" s="22" t="str">
        <f aca="false">IF(P1258&lt;&gt;A1258,"Faixa cadastrada como "&amp;P1258&amp;" na tabela; preço aplicado pela UF do CEP","")</f>
        <v/>
      </c>
      <c r="AI1258" s="26" t="n">
        <v>183.2</v>
      </c>
      <c r="AJ1258" s="22" t="str">
        <f aca="false">INDEX('Tabela Passaro'!$X$2:$X$1795,$N1258)</f>
        <v>CAPITAL</v>
      </c>
    </row>
    <row r="1259" customFormat="false" ht="15" hidden="false" customHeight="false" outlineLevel="0" collapsed="false">
      <c r="A1259" s="22" t="s">
        <v>20</v>
      </c>
      <c r="B1259" s="22" t="n">
        <v>1</v>
      </c>
      <c r="C1259" s="22" t="s">
        <v>147</v>
      </c>
      <c r="D1259" s="22" t="s">
        <v>30</v>
      </c>
      <c r="E1259" s="22" t="s">
        <v>7328</v>
      </c>
      <c r="F1259" s="22" t="n">
        <v>2312481</v>
      </c>
      <c r="G1259" s="30" t="n">
        <v>46248</v>
      </c>
      <c r="H1259" s="22" t="n">
        <v>133453</v>
      </c>
      <c r="I1259" s="22" t="s">
        <v>8474</v>
      </c>
      <c r="J1259" s="31" t="n">
        <v>48</v>
      </c>
      <c r="K1259" s="26" t="n">
        <v>1009.98</v>
      </c>
      <c r="L1259" s="26" t="n">
        <v>158.85</v>
      </c>
      <c r="M1259" s="22" t="s">
        <v>4802</v>
      </c>
      <c r="N1259" s="22" t="n">
        <f aca="false">MATCH(M1259,'Tabela Passaro'!$A$2:$A$1795,0)</f>
        <v>1150</v>
      </c>
      <c r="O1259" s="22" t="str">
        <f aca="false">INDEX('Tabela Passaro'!$C$2:$C$1795,$N1259)</f>
        <v>RECIFE</v>
      </c>
      <c r="P1259" s="22" t="str">
        <f aca="false">INDEX('Tabela Passaro'!$B$2:$B$1795,$N1259)</f>
        <v>PE</v>
      </c>
      <c r="Q1259" s="22" t="n">
        <f aca="false">INDEX('Tabela Passaro'!$F$2:$F$1795,$N1259)</f>
        <v>8</v>
      </c>
      <c r="R1259" s="32" t="n">
        <f aca="false">IF(J1259&lt;=10,INDEX('Tabela Passaro'!$G$2:$G$1795,$N1259),IF(J1259&lt;=30,INDEX('Tabela Passaro'!$H$2:$H$1795,$N1259),IF(J1259&lt;=50,INDEX('Tabela Passaro'!$I$2:$I$1795,$N1259),IF(J1259&lt;=70,INDEX('Tabela Passaro'!$J$2:$J$1795,$N1259),IF(J1259&lt;=100,INDEX('Tabela Passaro'!$K$2:$K$1795,$N1259),INDEX('Tabela Passaro'!$K$2:$K$1795,$N1259)+(J1259-100)*INDEX('Tabela Passaro'!$L$2:$L$1795,$N1259))))))</f>
        <v>88.59</v>
      </c>
      <c r="S1259" s="32" t="n">
        <f aca="false">K1259*INDEX('Tabela Passaro'!$M$2:$M$1795,$N1259)</f>
        <v>5.0499</v>
      </c>
      <c r="T1259" s="32" t="n">
        <f aca="false">K1259*INDEX('Tabela Passaro'!$N$2:$N$1795,$N1259)</f>
        <v>2.01996</v>
      </c>
      <c r="U1259" s="32" t="n">
        <f aca="false">INDEX('Tabela Passaro'!$O$2:$O$1795,$N1259)</f>
        <v>5</v>
      </c>
      <c r="V1259" s="32" t="n">
        <f aca="false">ROUNDUP(J1259/INDEX('Tabela Passaro'!$Q$2:$Q$1795,$N1259),0)*INDEX('Tabela Passaro'!$P$2:$P$1795,$N1259)</f>
        <v>5</v>
      </c>
      <c r="W1259" s="32" t="n">
        <f aca="false">INDEX('Tabela Passaro'!$R$2:$R$1795,$N1259)</f>
        <v>30</v>
      </c>
      <c r="X1259" s="32" t="n">
        <f aca="false">ROUNDUP(J1259/INDEX('Tabela Passaro'!$T$2:$T$1795,$N1259),0)*INDEX('Tabela Passaro'!$S$2:$S$1795,$N1259)</f>
        <v>0</v>
      </c>
      <c r="Y1259" s="32" t="n">
        <f aca="false">INDEX('Tabela Passaro'!$U$2:$U$1795,$N1259)</f>
        <v>0</v>
      </c>
      <c r="Z1259" s="32" t="n">
        <f aca="false">INDEX('Tabela Passaro'!$V$2:$V$1795,$N1259)</f>
        <v>0</v>
      </c>
      <c r="AA1259" s="32" t="n">
        <f aca="false">SUM(R1259:Z1259)</f>
        <v>135.65986</v>
      </c>
      <c r="AB1259" s="33" t="n">
        <f aca="false">INDEX(Premissas!$B$5:$B$13,MATCH(A1259,Premissas!$A$5:$A$13,0))</f>
        <v>0.07</v>
      </c>
      <c r="AC1259" s="32" t="n">
        <f aca="false">AA1259/(1-AB1259)-AA1259</f>
        <v>10.2109572043011</v>
      </c>
      <c r="AD1259" s="32" t="n">
        <f aca="false">ROUND(AA1259+AC1259,2)</f>
        <v>145.87</v>
      </c>
      <c r="AE1259" s="32" t="n">
        <f aca="false">AD1259-L1259</f>
        <v>-12.98</v>
      </c>
      <c r="AF1259" s="34" t="n">
        <f aca="false">IF(L1259=0,0,AE1259/L1259)</f>
        <v>-0.0817123072080579</v>
      </c>
      <c r="AG1259" s="22" t="str">
        <f aca="false">IF(AD1259&lt;L1259,"PASSARO","ATUAL")</f>
        <v>PASSARO</v>
      </c>
      <c r="AH1259" s="22" t="str">
        <f aca="false">IF(P1259&lt;&gt;A1259,"Faixa cadastrada como "&amp;P1259&amp;" na tabela; preço aplicado pela UF do CEP","")</f>
        <v/>
      </c>
      <c r="AI1259" s="26" t="n">
        <v>182.09</v>
      </c>
      <c r="AJ1259" s="22" t="str">
        <f aca="false">INDEX('Tabela Passaro'!$X$2:$X$1795,$N1259)</f>
        <v>CAPITAL</v>
      </c>
    </row>
    <row r="1260" customFormat="false" ht="15" hidden="false" customHeight="false" outlineLevel="0" collapsed="false">
      <c r="A1260" s="22" t="s">
        <v>20</v>
      </c>
      <c r="B1260" s="22" t="n">
        <v>1</v>
      </c>
      <c r="C1260" s="22" t="s">
        <v>147</v>
      </c>
      <c r="D1260" s="22" t="s">
        <v>30</v>
      </c>
      <c r="E1260" s="22" t="s">
        <v>7326</v>
      </c>
      <c r="F1260" s="22" t="n">
        <v>525026</v>
      </c>
      <c r="G1260" s="30" t="n">
        <v>46248</v>
      </c>
      <c r="H1260" s="22" t="n">
        <v>624797</v>
      </c>
      <c r="I1260" s="22" t="s">
        <v>8475</v>
      </c>
      <c r="J1260" s="31" t="n">
        <v>43.5</v>
      </c>
      <c r="K1260" s="26" t="n">
        <v>693.26</v>
      </c>
      <c r="L1260" s="26" t="n">
        <v>177.19</v>
      </c>
      <c r="M1260" s="22" t="s">
        <v>4802</v>
      </c>
      <c r="N1260" s="22" t="n">
        <f aca="false">MATCH(M1260,'Tabela Passaro'!$A$2:$A$1795,0)</f>
        <v>1150</v>
      </c>
      <c r="O1260" s="22" t="str">
        <f aca="false">INDEX('Tabela Passaro'!$C$2:$C$1795,$N1260)</f>
        <v>RECIFE</v>
      </c>
      <c r="P1260" s="22" t="str">
        <f aca="false">INDEX('Tabela Passaro'!$B$2:$B$1795,$N1260)</f>
        <v>PE</v>
      </c>
      <c r="Q1260" s="22" t="n">
        <f aca="false">INDEX('Tabela Passaro'!$F$2:$F$1795,$N1260)</f>
        <v>8</v>
      </c>
      <c r="R1260" s="32" t="n">
        <f aca="false">IF(J1260&lt;=10,INDEX('Tabela Passaro'!$G$2:$G$1795,$N1260),IF(J1260&lt;=30,INDEX('Tabela Passaro'!$H$2:$H$1795,$N1260),IF(J1260&lt;=50,INDEX('Tabela Passaro'!$I$2:$I$1795,$N1260),IF(J1260&lt;=70,INDEX('Tabela Passaro'!$J$2:$J$1795,$N1260),IF(J1260&lt;=100,INDEX('Tabela Passaro'!$K$2:$K$1795,$N1260),INDEX('Tabela Passaro'!$K$2:$K$1795,$N1260)+(J1260-100)*INDEX('Tabela Passaro'!$L$2:$L$1795,$N1260))))))</f>
        <v>88.59</v>
      </c>
      <c r="S1260" s="32" t="n">
        <f aca="false">K1260*INDEX('Tabela Passaro'!$M$2:$M$1795,$N1260)</f>
        <v>3.4663</v>
      </c>
      <c r="T1260" s="32" t="n">
        <f aca="false">K1260*INDEX('Tabela Passaro'!$N$2:$N$1795,$N1260)</f>
        <v>1.38652</v>
      </c>
      <c r="U1260" s="32" t="n">
        <f aca="false">INDEX('Tabela Passaro'!$O$2:$O$1795,$N1260)</f>
        <v>5</v>
      </c>
      <c r="V1260" s="32" t="n">
        <f aca="false">ROUNDUP(J1260/INDEX('Tabela Passaro'!$Q$2:$Q$1795,$N1260),0)*INDEX('Tabela Passaro'!$P$2:$P$1795,$N1260)</f>
        <v>5</v>
      </c>
      <c r="W1260" s="32" t="n">
        <f aca="false">INDEX('Tabela Passaro'!$R$2:$R$1795,$N1260)</f>
        <v>30</v>
      </c>
      <c r="X1260" s="32" t="n">
        <f aca="false">ROUNDUP(J1260/INDEX('Tabela Passaro'!$T$2:$T$1795,$N1260),0)*INDEX('Tabela Passaro'!$S$2:$S$1795,$N1260)</f>
        <v>0</v>
      </c>
      <c r="Y1260" s="32" t="n">
        <f aca="false">INDEX('Tabela Passaro'!$U$2:$U$1795,$N1260)</f>
        <v>0</v>
      </c>
      <c r="Z1260" s="32" t="n">
        <f aca="false">INDEX('Tabela Passaro'!$V$2:$V$1795,$N1260)</f>
        <v>0</v>
      </c>
      <c r="AA1260" s="32" t="n">
        <f aca="false">SUM(R1260:Z1260)</f>
        <v>133.44282</v>
      </c>
      <c r="AB1260" s="33" t="n">
        <f aca="false">INDEX(Premissas!$B$5:$B$13,MATCH(A1260,Premissas!$A$5:$A$13,0))</f>
        <v>0.07</v>
      </c>
      <c r="AC1260" s="32" t="n">
        <f aca="false">AA1260/(1-AB1260)-AA1260</f>
        <v>10.0440832258064</v>
      </c>
      <c r="AD1260" s="32" t="n">
        <f aca="false">ROUND(AA1260+AC1260,2)</f>
        <v>143.49</v>
      </c>
      <c r="AE1260" s="32" t="n">
        <f aca="false">AD1260-L1260</f>
        <v>-33.7</v>
      </c>
      <c r="AF1260" s="34" t="n">
        <f aca="false">IF(L1260=0,0,AE1260/L1260)</f>
        <v>-0.190191320051922</v>
      </c>
      <c r="AG1260" s="22" t="str">
        <f aca="false">IF(AD1260&lt;L1260,"PASSARO","ATUAL")</f>
        <v>PASSARO</v>
      </c>
      <c r="AH1260" s="22" t="str">
        <f aca="false">IF(P1260&lt;&gt;A1260,"Faixa cadastrada como "&amp;P1260&amp;" na tabela; preço aplicado pela UF do CEP","")</f>
        <v/>
      </c>
      <c r="AI1260" s="26" t="n">
        <v>177.09</v>
      </c>
      <c r="AJ1260" s="22" t="str">
        <f aca="false">INDEX('Tabela Passaro'!$X$2:$X$1795,$N1260)</f>
        <v>CAPITAL</v>
      </c>
    </row>
    <row r="1261" customFormat="false" ht="15" hidden="false" customHeight="false" outlineLevel="0" collapsed="false">
      <c r="A1261" s="22" t="s">
        <v>20</v>
      </c>
      <c r="B1261" s="22" t="n">
        <v>1</v>
      </c>
      <c r="C1261" s="22" t="s">
        <v>147</v>
      </c>
      <c r="D1261" s="22" t="s">
        <v>30</v>
      </c>
      <c r="E1261" s="22" t="s">
        <v>7326</v>
      </c>
      <c r="F1261" s="22" t="n">
        <v>525054</v>
      </c>
      <c r="G1261" s="30" t="n">
        <v>46248</v>
      </c>
      <c r="H1261" s="22" t="n">
        <v>624825</v>
      </c>
      <c r="I1261" s="22" t="s">
        <v>8476</v>
      </c>
      <c r="J1261" s="31" t="n">
        <v>49.6</v>
      </c>
      <c r="K1261" s="26" t="n">
        <v>969.98</v>
      </c>
      <c r="L1261" s="26" t="n">
        <v>179.54</v>
      </c>
      <c r="M1261" s="22" t="s">
        <v>4802</v>
      </c>
      <c r="N1261" s="22" t="n">
        <f aca="false">MATCH(M1261,'Tabela Passaro'!$A$2:$A$1795,0)</f>
        <v>1150</v>
      </c>
      <c r="O1261" s="22" t="str">
        <f aca="false">INDEX('Tabela Passaro'!$C$2:$C$1795,$N1261)</f>
        <v>RECIFE</v>
      </c>
      <c r="P1261" s="22" t="str">
        <f aca="false">INDEX('Tabela Passaro'!$B$2:$B$1795,$N1261)</f>
        <v>PE</v>
      </c>
      <c r="Q1261" s="22" t="n">
        <f aca="false">INDEX('Tabela Passaro'!$F$2:$F$1795,$N1261)</f>
        <v>8</v>
      </c>
      <c r="R1261" s="32" t="n">
        <f aca="false">IF(J1261&lt;=10,INDEX('Tabela Passaro'!$G$2:$G$1795,$N1261),IF(J1261&lt;=30,INDEX('Tabela Passaro'!$H$2:$H$1795,$N1261),IF(J1261&lt;=50,INDEX('Tabela Passaro'!$I$2:$I$1795,$N1261),IF(J1261&lt;=70,INDEX('Tabela Passaro'!$J$2:$J$1795,$N1261),IF(J1261&lt;=100,INDEX('Tabela Passaro'!$K$2:$K$1795,$N1261),INDEX('Tabela Passaro'!$K$2:$K$1795,$N1261)+(J1261-100)*INDEX('Tabela Passaro'!$L$2:$L$1795,$N1261))))))</f>
        <v>88.59</v>
      </c>
      <c r="S1261" s="32" t="n">
        <f aca="false">K1261*INDEX('Tabela Passaro'!$M$2:$M$1795,$N1261)</f>
        <v>4.8499</v>
      </c>
      <c r="T1261" s="32" t="n">
        <f aca="false">K1261*INDEX('Tabela Passaro'!$N$2:$N$1795,$N1261)</f>
        <v>1.93996</v>
      </c>
      <c r="U1261" s="32" t="n">
        <f aca="false">INDEX('Tabela Passaro'!$O$2:$O$1795,$N1261)</f>
        <v>5</v>
      </c>
      <c r="V1261" s="32" t="n">
        <f aca="false">ROUNDUP(J1261/INDEX('Tabela Passaro'!$Q$2:$Q$1795,$N1261),0)*INDEX('Tabela Passaro'!$P$2:$P$1795,$N1261)</f>
        <v>5</v>
      </c>
      <c r="W1261" s="32" t="n">
        <f aca="false">INDEX('Tabela Passaro'!$R$2:$R$1795,$N1261)</f>
        <v>30</v>
      </c>
      <c r="X1261" s="32" t="n">
        <f aca="false">ROUNDUP(J1261/INDEX('Tabela Passaro'!$T$2:$T$1795,$N1261),0)*INDEX('Tabela Passaro'!$S$2:$S$1795,$N1261)</f>
        <v>0</v>
      </c>
      <c r="Y1261" s="32" t="n">
        <f aca="false">INDEX('Tabela Passaro'!$U$2:$U$1795,$N1261)</f>
        <v>0</v>
      </c>
      <c r="Z1261" s="32" t="n">
        <f aca="false">INDEX('Tabela Passaro'!$V$2:$V$1795,$N1261)</f>
        <v>0</v>
      </c>
      <c r="AA1261" s="32" t="n">
        <f aca="false">SUM(R1261:Z1261)</f>
        <v>135.37986</v>
      </c>
      <c r="AB1261" s="33" t="n">
        <f aca="false">INDEX(Premissas!$B$5:$B$13,MATCH(A1261,Premissas!$A$5:$A$13,0))</f>
        <v>0.07</v>
      </c>
      <c r="AC1261" s="32" t="n">
        <f aca="false">AA1261/(1-AB1261)-AA1261</f>
        <v>10.1898819354839</v>
      </c>
      <c r="AD1261" s="32" t="n">
        <f aca="false">ROUND(AA1261+AC1261,2)</f>
        <v>145.57</v>
      </c>
      <c r="AE1261" s="32" t="n">
        <f aca="false">AD1261-L1261</f>
        <v>-33.97</v>
      </c>
      <c r="AF1261" s="34" t="n">
        <f aca="false">IF(L1261=0,0,AE1261/L1261)</f>
        <v>-0.189205748022725</v>
      </c>
      <c r="AG1261" s="22" t="str">
        <f aca="false">IF(AD1261&lt;L1261,"PASSARO","ATUAL")</f>
        <v>PASSARO</v>
      </c>
      <c r="AH1261" s="22" t="str">
        <f aca="false">IF(P1261&lt;&gt;A1261,"Faixa cadastrada como "&amp;P1261&amp;" na tabela; preço aplicado pela UF do CEP","")</f>
        <v/>
      </c>
      <c r="AI1261" s="26" t="n">
        <v>182.67</v>
      </c>
      <c r="AJ1261" s="22" t="str">
        <f aca="false">INDEX('Tabela Passaro'!$X$2:$X$1795,$N1261)</f>
        <v>CAPITAL</v>
      </c>
    </row>
    <row r="1262" customFormat="false" ht="15" hidden="false" customHeight="false" outlineLevel="0" collapsed="false">
      <c r="A1262" s="22" t="s">
        <v>20</v>
      </c>
      <c r="B1262" s="22" t="n">
        <v>1</v>
      </c>
      <c r="C1262" s="22" t="s">
        <v>147</v>
      </c>
      <c r="D1262" s="22" t="s">
        <v>30</v>
      </c>
      <c r="E1262" s="22" t="s">
        <v>7326</v>
      </c>
      <c r="F1262" s="22" t="n">
        <v>525009</v>
      </c>
      <c r="G1262" s="30" t="n">
        <v>46248</v>
      </c>
      <c r="H1262" s="22" t="n">
        <v>625219</v>
      </c>
      <c r="I1262" s="22" t="s">
        <v>8477</v>
      </c>
      <c r="J1262" s="31" t="n">
        <v>7.14</v>
      </c>
      <c r="K1262" s="26" t="n">
        <v>645.18</v>
      </c>
      <c r="L1262" s="26" t="n">
        <v>74.69</v>
      </c>
      <c r="M1262" s="22" t="s">
        <v>4802</v>
      </c>
      <c r="N1262" s="22" t="n">
        <f aca="false">MATCH(M1262,'Tabela Passaro'!$A$2:$A$1795,0)</f>
        <v>1150</v>
      </c>
      <c r="O1262" s="22" t="str">
        <f aca="false">INDEX('Tabela Passaro'!$C$2:$C$1795,$N1262)</f>
        <v>RECIFE</v>
      </c>
      <c r="P1262" s="22" t="str">
        <f aca="false">INDEX('Tabela Passaro'!$B$2:$B$1795,$N1262)</f>
        <v>PE</v>
      </c>
      <c r="Q1262" s="22" t="n">
        <f aca="false">INDEX('Tabela Passaro'!$F$2:$F$1795,$N1262)</f>
        <v>8</v>
      </c>
      <c r="R1262" s="32" t="n">
        <f aca="false">IF(J1262&lt;=10,INDEX('Tabela Passaro'!$G$2:$G$1795,$N1262),IF(J1262&lt;=30,INDEX('Tabela Passaro'!$H$2:$H$1795,$N1262),IF(J1262&lt;=50,INDEX('Tabela Passaro'!$I$2:$I$1795,$N1262),IF(J1262&lt;=70,INDEX('Tabela Passaro'!$J$2:$J$1795,$N1262),IF(J1262&lt;=100,INDEX('Tabela Passaro'!$K$2:$K$1795,$N1262),INDEX('Tabela Passaro'!$K$2:$K$1795,$N1262)+(J1262-100)*INDEX('Tabela Passaro'!$L$2:$L$1795,$N1262))))))</f>
        <v>55.54</v>
      </c>
      <c r="S1262" s="32" t="n">
        <f aca="false">K1262*INDEX('Tabela Passaro'!$M$2:$M$1795,$N1262)</f>
        <v>3.2259</v>
      </c>
      <c r="T1262" s="32" t="n">
        <f aca="false">K1262*INDEX('Tabela Passaro'!$N$2:$N$1795,$N1262)</f>
        <v>1.29036</v>
      </c>
      <c r="U1262" s="32" t="n">
        <f aca="false">INDEX('Tabela Passaro'!$O$2:$O$1795,$N1262)</f>
        <v>5</v>
      </c>
      <c r="V1262" s="32" t="n">
        <f aca="false">ROUNDUP(J1262/INDEX('Tabela Passaro'!$Q$2:$Q$1795,$N1262),0)*INDEX('Tabela Passaro'!$P$2:$P$1795,$N1262)</f>
        <v>5</v>
      </c>
      <c r="W1262" s="32" t="n">
        <f aca="false">INDEX('Tabela Passaro'!$R$2:$R$1795,$N1262)</f>
        <v>30</v>
      </c>
      <c r="X1262" s="32" t="n">
        <f aca="false">ROUNDUP(J1262/INDEX('Tabela Passaro'!$T$2:$T$1795,$N1262),0)*INDEX('Tabela Passaro'!$S$2:$S$1795,$N1262)</f>
        <v>0</v>
      </c>
      <c r="Y1262" s="32" t="n">
        <f aca="false">INDEX('Tabela Passaro'!$U$2:$U$1795,$N1262)</f>
        <v>0</v>
      </c>
      <c r="Z1262" s="32" t="n">
        <f aca="false">INDEX('Tabela Passaro'!$V$2:$V$1795,$N1262)</f>
        <v>0</v>
      </c>
      <c r="AA1262" s="32" t="n">
        <f aca="false">SUM(R1262:Z1262)</f>
        <v>100.05626</v>
      </c>
      <c r="AB1262" s="33" t="n">
        <f aca="false">INDEX(Premissas!$B$5:$B$13,MATCH(A1262,Premissas!$A$5:$A$13,0))</f>
        <v>0.07</v>
      </c>
      <c r="AC1262" s="32" t="n">
        <f aca="false">AA1262/(1-AB1262)-AA1262</f>
        <v>7.53111634408603</v>
      </c>
      <c r="AD1262" s="32" t="n">
        <f aca="false">ROUND(AA1262+AC1262,2)</f>
        <v>107.59</v>
      </c>
      <c r="AE1262" s="32" t="n">
        <f aca="false">AD1262-L1262</f>
        <v>32.9</v>
      </c>
      <c r="AF1262" s="34" t="n">
        <f aca="false">IF(L1262=0,0,AE1262/L1262)</f>
        <v>0.440487347703843</v>
      </c>
      <c r="AG1262" s="22" t="str">
        <f aca="false">IF(AD1262&lt;L1262,"PASSARO","ATUAL")</f>
        <v>ATUAL</v>
      </c>
      <c r="AH1262" s="22" t="str">
        <f aca="false">IF(P1262&lt;&gt;A1262,"Faixa cadastrada como "&amp;P1262&amp;" na tabela; preço aplicado pela UF do CEP","")</f>
        <v/>
      </c>
      <c r="AI1262" s="26" t="n">
        <v>121.63</v>
      </c>
      <c r="AJ1262" s="22" t="str">
        <f aca="false">INDEX('Tabela Passaro'!$X$2:$X$1795,$N1262)</f>
        <v>CAPITAL</v>
      </c>
    </row>
    <row r="1263" customFormat="false" ht="15" hidden="false" customHeight="false" outlineLevel="0" collapsed="false">
      <c r="A1263" s="22" t="s">
        <v>20</v>
      </c>
      <c r="B1263" s="22" t="n">
        <v>1</v>
      </c>
      <c r="C1263" s="22" t="s">
        <v>147</v>
      </c>
      <c r="D1263" s="22" t="s">
        <v>30</v>
      </c>
      <c r="E1263" s="22" t="s">
        <v>20</v>
      </c>
      <c r="F1263" s="22" t="n">
        <v>839326</v>
      </c>
      <c r="G1263" s="30" t="n">
        <v>46251</v>
      </c>
      <c r="H1263" s="22" t="n">
        <v>32513</v>
      </c>
      <c r="I1263" s="22" t="s">
        <v>8478</v>
      </c>
      <c r="J1263" s="31" t="n">
        <v>45.4</v>
      </c>
      <c r="K1263" s="26" t="n">
        <v>607.09</v>
      </c>
      <c r="L1263" s="26" t="n">
        <v>100.82</v>
      </c>
      <c r="M1263" s="22" t="s">
        <v>4802</v>
      </c>
      <c r="N1263" s="22" t="n">
        <f aca="false">MATCH(M1263,'Tabela Passaro'!$A$2:$A$1795,0)</f>
        <v>1150</v>
      </c>
      <c r="O1263" s="22" t="str">
        <f aca="false">INDEX('Tabela Passaro'!$C$2:$C$1795,$N1263)</f>
        <v>RECIFE</v>
      </c>
      <c r="P1263" s="22" t="str">
        <f aca="false">INDEX('Tabela Passaro'!$B$2:$B$1795,$N1263)</f>
        <v>PE</v>
      </c>
      <c r="Q1263" s="22" t="n">
        <f aca="false">INDEX('Tabela Passaro'!$F$2:$F$1795,$N1263)</f>
        <v>8</v>
      </c>
      <c r="R1263" s="32" t="n">
        <f aca="false">IF(J1263&lt;=10,INDEX('Tabela Passaro'!$G$2:$G$1795,$N1263),IF(J1263&lt;=30,INDEX('Tabela Passaro'!$H$2:$H$1795,$N1263),IF(J1263&lt;=50,INDEX('Tabela Passaro'!$I$2:$I$1795,$N1263),IF(J1263&lt;=70,INDEX('Tabela Passaro'!$J$2:$J$1795,$N1263),IF(J1263&lt;=100,INDEX('Tabela Passaro'!$K$2:$K$1795,$N1263),INDEX('Tabela Passaro'!$K$2:$K$1795,$N1263)+(J1263-100)*INDEX('Tabela Passaro'!$L$2:$L$1795,$N1263))))))</f>
        <v>88.59</v>
      </c>
      <c r="S1263" s="32" t="n">
        <f aca="false">K1263*INDEX('Tabela Passaro'!$M$2:$M$1795,$N1263)</f>
        <v>3.03545</v>
      </c>
      <c r="T1263" s="32" t="n">
        <f aca="false">K1263*INDEX('Tabela Passaro'!$N$2:$N$1795,$N1263)</f>
        <v>1.21418</v>
      </c>
      <c r="U1263" s="32" t="n">
        <f aca="false">INDEX('Tabela Passaro'!$O$2:$O$1795,$N1263)</f>
        <v>5</v>
      </c>
      <c r="V1263" s="32" t="n">
        <f aca="false">ROUNDUP(J1263/INDEX('Tabela Passaro'!$Q$2:$Q$1795,$N1263),0)*INDEX('Tabela Passaro'!$P$2:$P$1795,$N1263)</f>
        <v>5</v>
      </c>
      <c r="W1263" s="32" t="n">
        <f aca="false">INDEX('Tabela Passaro'!$R$2:$R$1795,$N1263)</f>
        <v>30</v>
      </c>
      <c r="X1263" s="32" t="n">
        <f aca="false">ROUNDUP(J1263/INDEX('Tabela Passaro'!$T$2:$T$1795,$N1263),0)*INDEX('Tabela Passaro'!$S$2:$S$1795,$N1263)</f>
        <v>0</v>
      </c>
      <c r="Y1263" s="32" t="n">
        <f aca="false">INDEX('Tabela Passaro'!$U$2:$U$1795,$N1263)</f>
        <v>0</v>
      </c>
      <c r="Z1263" s="32" t="n">
        <f aca="false">INDEX('Tabela Passaro'!$V$2:$V$1795,$N1263)</f>
        <v>0</v>
      </c>
      <c r="AA1263" s="32" t="n">
        <f aca="false">SUM(R1263:Z1263)</f>
        <v>132.83963</v>
      </c>
      <c r="AB1263" s="33" t="n">
        <f aca="false">INDEX(Premissas!$B$5:$B$13,MATCH(A1263,Premissas!$A$5:$A$13,0))</f>
        <v>0.07</v>
      </c>
      <c r="AC1263" s="32" t="n">
        <f aca="false">AA1263/(1-AB1263)-AA1263</f>
        <v>9.998681827957</v>
      </c>
      <c r="AD1263" s="32" t="n">
        <f aca="false">ROUND(AA1263+AC1263,2)</f>
        <v>142.84</v>
      </c>
      <c r="AE1263" s="32" t="n">
        <f aca="false">AD1263-L1263</f>
        <v>42.02</v>
      </c>
      <c r="AF1263" s="34" t="n">
        <f aca="false">IF(L1263=0,0,AE1263/L1263)</f>
        <v>0.41678238444753</v>
      </c>
      <c r="AG1263" s="22" t="str">
        <f aca="false">IF(AD1263&lt;L1263,"PASSARO","ATUAL")</f>
        <v>ATUAL</v>
      </c>
      <c r="AH1263" s="22" t="str">
        <f aca="false">IF(P1263&lt;&gt;A1263,"Faixa cadastrada como "&amp;P1263&amp;" na tabela; preço aplicado pela UF do CEP","")</f>
        <v/>
      </c>
      <c r="AI1263" s="26" t="n">
        <v>177.22</v>
      </c>
      <c r="AJ1263" s="22" t="str">
        <f aca="false">INDEX('Tabela Passaro'!$X$2:$X$1795,$N1263)</f>
        <v>CAPITAL</v>
      </c>
    </row>
    <row r="1264" customFormat="false" ht="15" hidden="false" customHeight="false" outlineLevel="0" collapsed="false">
      <c r="A1264" s="22" t="s">
        <v>20</v>
      </c>
      <c r="B1264" s="22" t="n">
        <v>1</v>
      </c>
      <c r="C1264" s="22" t="s">
        <v>147</v>
      </c>
      <c r="D1264" s="22" t="s">
        <v>30</v>
      </c>
      <c r="E1264" s="22" t="s">
        <v>20</v>
      </c>
      <c r="F1264" s="22" t="n">
        <v>839338</v>
      </c>
      <c r="G1264" s="30" t="n">
        <v>46251</v>
      </c>
      <c r="H1264" s="22" t="n">
        <v>32525</v>
      </c>
      <c r="I1264" s="22" t="s">
        <v>8467</v>
      </c>
      <c r="J1264" s="31" t="n">
        <v>83.9</v>
      </c>
      <c r="K1264" s="26" t="n">
        <v>1379.98</v>
      </c>
      <c r="L1264" s="26" t="n">
        <v>132.24</v>
      </c>
      <c r="M1264" s="22" t="s">
        <v>4802</v>
      </c>
      <c r="N1264" s="22" t="n">
        <f aca="false">MATCH(M1264,'Tabela Passaro'!$A$2:$A$1795,0)</f>
        <v>1150</v>
      </c>
      <c r="O1264" s="22" t="str">
        <f aca="false">INDEX('Tabela Passaro'!$C$2:$C$1795,$N1264)</f>
        <v>RECIFE</v>
      </c>
      <c r="P1264" s="22" t="str">
        <f aca="false">INDEX('Tabela Passaro'!$B$2:$B$1795,$N1264)</f>
        <v>PE</v>
      </c>
      <c r="Q1264" s="22" t="n">
        <f aca="false">INDEX('Tabela Passaro'!$F$2:$F$1795,$N1264)</f>
        <v>8</v>
      </c>
      <c r="R1264" s="32" t="n">
        <f aca="false">IF(J1264&lt;=10,INDEX('Tabela Passaro'!$G$2:$G$1795,$N1264),IF(J1264&lt;=30,INDEX('Tabela Passaro'!$H$2:$H$1795,$N1264),IF(J1264&lt;=50,INDEX('Tabela Passaro'!$I$2:$I$1795,$N1264),IF(J1264&lt;=70,INDEX('Tabela Passaro'!$J$2:$J$1795,$N1264),IF(J1264&lt;=100,INDEX('Tabela Passaro'!$K$2:$K$1795,$N1264),INDEX('Tabela Passaro'!$K$2:$K$1795,$N1264)+(J1264-100)*INDEX('Tabela Passaro'!$L$2:$L$1795,$N1264))))))</f>
        <v>116.14</v>
      </c>
      <c r="S1264" s="32" t="n">
        <f aca="false">K1264*INDEX('Tabela Passaro'!$M$2:$M$1795,$N1264)</f>
        <v>6.8999</v>
      </c>
      <c r="T1264" s="32" t="n">
        <f aca="false">K1264*INDEX('Tabela Passaro'!$N$2:$N$1795,$N1264)</f>
        <v>2.75996</v>
      </c>
      <c r="U1264" s="32" t="n">
        <f aca="false">INDEX('Tabela Passaro'!$O$2:$O$1795,$N1264)</f>
        <v>5</v>
      </c>
      <c r="V1264" s="32" t="n">
        <f aca="false">ROUNDUP(J1264/INDEX('Tabela Passaro'!$Q$2:$Q$1795,$N1264),0)*INDEX('Tabela Passaro'!$P$2:$P$1795,$N1264)</f>
        <v>5</v>
      </c>
      <c r="W1264" s="32" t="n">
        <f aca="false">INDEX('Tabela Passaro'!$R$2:$R$1795,$N1264)</f>
        <v>30</v>
      </c>
      <c r="X1264" s="32" t="n">
        <f aca="false">ROUNDUP(J1264/INDEX('Tabela Passaro'!$T$2:$T$1795,$N1264),0)*INDEX('Tabela Passaro'!$S$2:$S$1795,$N1264)</f>
        <v>0</v>
      </c>
      <c r="Y1264" s="32" t="n">
        <f aca="false">INDEX('Tabela Passaro'!$U$2:$U$1795,$N1264)</f>
        <v>0</v>
      </c>
      <c r="Z1264" s="32" t="n">
        <f aca="false">INDEX('Tabela Passaro'!$V$2:$V$1795,$N1264)</f>
        <v>0</v>
      </c>
      <c r="AA1264" s="32" t="n">
        <f aca="false">SUM(R1264:Z1264)</f>
        <v>165.79986</v>
      </c>
      <c r="AB1264" s="33" t="n">
        <f aca="false">INDEX(Premissas!$B$5:$B$13,MATCH(A1264,Premissas!$A$5:$A$13,0))</f>
        <v>0.07</v>
      </c>
      <c r="AC1264" s="32" t="n">
        <f aca="false">AA1264/(1-AB1264)-AA1264</f>
        <v>12.4795593548387</v>
      </c>
      <c r="AD1264" s="32" t="n">
        <f aca="false">ROUND(AA1264+AC1264,2)</f>
        <v>178.28</v>
      </c>
      <c r="AE1264" s="32" t="n">
        <f aca="false">AD1264-L1264</f>
        <v>46.04</v>
      </c>
      <c r="AF1264" s="34" t="n">
        <f aca="false">IF(L1264=0,0,AE1264/L1264)</f>
        <v>0.348154869933454</v>
      </c>
      <c r="AG1264" s="22" t="str">
        <f aca="false">IF(AD1264&lt;L1264,"PASSARO","ATUAL")</f>
        <v>ATUAL</v>
      </c>
      <c r="AH1264" s="22" t="str">
        <f aca="false">IF(P1264&lt;&gt;A1264,"Faixa cadastrada como "&amp;P1264&amp;" na tabela; preço aplicado pela UF do CEP","")</f>
        <v/>
      </c>
      <c r="AI1264" s="26" t="n">
        <v>234.4</v>
      </c>
      <c r="AJ1264" s="22" t="str">
        <f aca="false">INDEX('Tabela Passaro'!$X$2:$X$1795,$N1264)</f>
        <v>CAPITAL</v>
      </c>
    </row>
    <row r="1265" customFormat="false" ht="15" hidden="false" customHeight="false" outlineLevel="0" collapsed="false">
      <c r="A1265" s="22" t="s">
        <v>20</v>
      </c>
      <c r="B1265" s="22" t="n">
        <v>1</v>
      </c>
      <c r="C1265" s="22" t="s">
        <v>147</v>
      </c>
      <c r="D1265" s="22" t="s">
        <v>30</v>
      </c>
      <c r="E1265" s="22" t="s">
        <v>20</v>
      </c>
      <c r="F1265" s="22" t="n">
        <v>839344</v>
      </c>
      <c r="G1265" s="30" t="n">
        <v>46251</v>
      </c>
      <c r="H1265" s="22" t="n">
        <v>32531</v>
      </c>
      <c r="I1265" s="22" t="s">
        <v>8479</v>
      </c>
      <c r="J1265" s="31" t="n">
        <v>66.5</v>
      </c>
      <c r="K1265" s="26" t="n">
        <v>895.34</v>
      </c>
      <c r="L1265" s="26" t="n">
        <v>108.37</v>
      </c>
      <c r="M1265" s="22" t="s">
        <v>4802</v>
      </c>
      <c r="N1265" s="22" t="n">
        <f aca="false">MATCH(M1265,'Tabela Passaro'!$A$2:$A$1795,0)</f>
        <v>1150</v>
      </c>
      <c r="O1265" s="22" t="str">
        <f aca="false">INDEX('Tabela Passaro'!$C$2:$C$1795,$N1265)</f>
        <v>RECIFE</v>
      </c>
      <c r="P1265" s="22" t="str">
        <f aca="false">INDEX('Tabela Passaro'!$B$2:$B$1795,$N1265)</f>
        <v>PE</v>
      </c>
      <c r="Q1265" s="22" t="n">
        <f aca="false">INDEX('Tabela Passaro'!$F$2:$F$1795,$N1265)</f>
        <v>8</v>
      </c>
      <c r="R1265" s="32" t="n">
        <f aca="false">IF(J1265&lt;=10,INDEX('Tabela Passaro'!$G$2:$G$1795,$N1265),IF(J1265&lt;=30,INDEX('Tabela Passaro'!$H$2:$H$1795,$N1265),IF(J1265&lt;=50,INDEX('Tabela Passaro'!$I$2:$I$1795,$N1265),IF(J1265&lt;=70,INDEX('Tabela Passaro'!$J$2:$J$1795,$N1265),IF(J1265&lt;=100,INDEX('Tabela Passaro'!$K$2:$K$1795,$N1265),INDEX('Tabela Passaro'!$K$2:$K$1795,$N1265)+(J1265-100)*INDEX('Tabela Passaro'!$L$2:$L$1795,$N1265))))))</f>
        <v>99.61</v>
      </c>
      <c r="S1265" s="32" t="n">
        <f aca="false">K1265*INDEX('Tabela Passaro'!$M$2:$M$1795,$N1265)</f>
        <v>4.4767</v>
      </c>
      <c r="T1265" s="32" t="n">
        <f aca="false">K1265*INDEX('Tabela Passaro'!$N$2:$N$1795,$N1265)</f>
        <v>1.79068</v>
      </c>
      <c r="U1265" s="32" t="n">
        <f aca="false">INDEX('Tabela Passaro'!$O$2:$O$1795,$N1265)</f>
        <v>5</v>
      </c>
      <c r="V1265" s="32" t="n">
        <f aca="false">ROUNDUP(J1265/INDEX('Tabela Passaro'!$Q$2:$Q$1795,$N1265),0)*INDEX('Tabela Passaro'!$P$2:$P$1795,$N1265)</f>
        <v>5</v>
      </c>
      <c r="W1265" s="32" t="n">
        <f aca="false">INDEX('Tabela Passaro'!$R$2:$R$1795,$N1265)</f>
        <v>30</v>
      </c>
      <c r="X1265" s="32" t="n">
        <f aca="false">ROUNDUP(J1265/INDEX('Tabela Passaro'!$T$2:$T$1795,$N1265),0)*INDEX('Tabela Passaro'!$S$2:$S$1795,$N1265)</f>
        <v>0</v>
      </c>
      <c r="Y1265" s="32" t="n">
        <f aca="false">INDEX('Tabela Passaro'!$U$2:$U$1795,$N1265)</f>
        <v>0</v>
      </c>
      <c r="Z1265" s="32" t="n">
        <f aca="false">INDEX('Tabela Passaro'!$V$2:$V$1795,$N1265)</f>
        <v>0</v>
      </c>
      <c r="AA1265" s="32" t="n">
        <f aca="false">SUM(R1265:Z1265)</f>
        <v>145.87738</v>
      </c>
      <c r="AB1265" s="33" t="n">
        <f aca="false">INDEX(Premissas!$B$5:$B$13,MATCH(A1265,Premissas!$A$5:$A$13,0))</f>
        <v>0.07</v>
      </c>
      <c r="AC1265" s="32" t="n">
        <f aca="false">AA1265/(1-AB1265)-AA1265</f>
        <v>10.9800178494624</v>
      </c>
      <c r="AD1265" s="32" t="n">
        <f aca="false">ROUND(AA1265+AC1265,2)</f>
        <v>156.86</v>
      </c>
      <c r="AE1265" s="32" t="n">
        <f aca="false">AD1265-L1265</f>
        <v>48.49</v>
      </c>
      <c r="AF1265" s="34" t="n">
        <f aca="false">IF(L1265=0,0,AE1265/L1265)</f>
        <v>0.447448555873397</v>
      </c>
      <c r="AG1265" s="22" t="str">
        <f aca="false">IF(AD1265&lt;L1265,"PASSARO","ATUAL")</f>
        <v>ATUAL</v>
      </c>
      <c r="AH1265" s="22" t="str">
        <f aca="false">IF(P1265&lt;&gt;A1265,"Faixa cadastrada como "&amp;P1265&amp;" na tabela; preço aplicado pela UF do CEP","")</f>
        <v/>
      </c>
      <c r="AI1265" s="26" t="n">
        <v>202.7</v>
      </c>
      <c r="AJ1265" s="22" t="str">
        <f aca="false">INDEX('Tabela Passaro'!$X$2:$X$1795,$N1265)</f>
        <v>CAPITAL</v>
      </c>
    </row>
    <row r="1266" customFormat="false" ht="15" hidden="false" customHeight="false" outlineLevel="0" collapsed="false">
      <c r="A1266" s="22" t="s">
        <v>20</v>
      </c>
      <c r="B1266" s="22" t="n">
        <v>1</v>
      </c>
      <c r="C1266" s="22" t="s">
        <v>147</v>
      </c>
      <c r="D1266" s="22" t="s">
        <v>30</v>
      </c>
      <c r="E1266" s="22" t="s">
        <v>7328</v>
      </c>
      <c r="F1266" s="22" t="n">
        <v>2313200</v>
      </c>
      <c r="G1266" s="30" t="n">
        <v>46251</v>
      </c>
      <c r="H1266" s="22" t="n">
        <v>133621</v>
      </c>
      <c r="I1266" s="22" t="s">
        <v>8480</v>
      </c>
      <c r="J1266" s="31" t="n">
        <v>61.3</v>
      </c>
      <c r="K1266" s="26" t="n">
        <v>1036.93</v>
      </c>
      <c r="L1266" s="26" t="n">
        <v>186.49</v>
      </c>
      <c r="M1266" s="22" t="s">
        <v>4802</v>
      </c>
      <c r="N1266" s="22" t="n">
        <f aca="false">MATCH(M1266,'Tabela Passaro'!$A$2:$A$1795,0)</f>
        <v>1150</v>
      </c>
      <c r="O1266" s="22" t="str">
        <f aca="false">INDEX('Tabela Passaro'!$C$2:$C$1795,$N1266)</f>
        <v>RECIFE</v>
      </c>
      <c r="P1266" s="22" t="str">
        <f aca="false">INDEX('Tabela Passaro'!$B$2:$B$1795,$N1266)</f>
        <v>PE</v>
      </c>
      <c r="Q1266" s="22" t="n">
        <f aca="false">INDEX('Tabela Passaro'!$F$2:$F$1795,$N1266)</f>
        <v>8</v>
      </c>
      <c r="R1266" s="32" t="n">
        <f aca="false">IF(J1266&lt;=10,INDEX('Tabela Passaro'!$G$2:$G$1795,$N1266),IF(J1266&lt;=30,INDEX('Tabela Passaro'!$H$2:$H$1795,$N1266),IF(J1266&lt;=50,INDEX('Tabela Passaro'!$I$2:$I$1795,$N1266),IF(J1266&lt;=70,INDEX('Tabela Passaro'!$J$2:$J$1795,$N1266),IF(J1266&lt;=100,INDEX('Tabela Passaro'!$K$2:$K$1795,$N1266),INDEX('Tabela Passaro'!$K$2:$K$1795,$N1266)+(J1266-100)*INDEX('Tabela Passaro'!$L$2:$L$1795,$N1266))))))</f>
        <v>99.61</v>
      </c>
      <c r="S1266" s="32" t="n">
        <f aca="false">K1266*INDEX('Tabela Passaro'!$M$2:$M$1795,$N1266)</f>
        <v>5.18465</v>
      </c>
      <c r="T1266" s="32" t="n">
        <f aca="false">K1266*INDEX('Tabela Passaro'!$N$2:$N$1795,$N1266)</f>
        <v>2.07386</v>
      </c>
      <c r="U1266" s="32" t="n">
        <f aca="false">INDEX('Tabela Passaro'!$O$2:$O$1795,$N1266)</f>
        <v>5</v>
      </c>
      <c r="V1266" s="32" t="n">
        <f aca="false">ROUNDUP(J1266/INDEX('Tabela Passaro'!$Q$2:$Q$1795,$N1266),0)*INDEX('Tabela Passaro'!$P$2:$P$1795,$N1266)</f>
        <v>5</v>
      </c>
      <c r="W1266" s="32" t="n">
        <f aca="false">INDEX('Tabela Passaro'!$R$2:$R$1795,$N1266)</f>
        <v>30</v>
      </c>
      <c r="X1266" s="32" t="n">
        <f aca="false">ROUNDUP(J1266/INDEX('Tabela Passaro'!$T$2:$T$1795,$N1266),0)*INDEX('Tabela Passaro'!$S$2:$S$1795,$N1266)</f>
        <v>0</v>
      </c>
      <c r="Y1266" s="32" t="n">
        <f aca="false">INDEX('Tabela Passaro'!$U$2:$U$1795,$N1266)</f>
        <v>0</v>
      </c>
      <c r="Z1266" s="32" t="n">
        <f aca="false">INDEX('Tabela Passaro'!$V$2:$V$1795,$N1266)</f>
        <v>0</v>
      </c>
      <c r="AA1266" s="32" t="n">
        <f aca="false">SUM(R1266:Z1266)</f>
        <v>146.86851</v>
      </c>
      <c r="AB1266" s="33" t="n">
        <f aca="false">INDEX(Premissas!$B$5:$B$13,MATCH(A1266,Premissas!$A$5:$A$13,0))</f>
        <v>0.07</v>
      </c>
      <c r="AC1266" s="32" t="n">
        <f aca="false">AA1266/(1-AB1266)-AA1266</f>
        <v>11.0546190322581</v>
      </c>
      <c r="AD1266" s="32" t="n">
        <f aca="false">ROUND(AA1266+AC1266,2)</f>
        <v>157.92</v>
      </c>
      <c r="AE1266" s="32" t="n">
        <f aca="false">AD1266-L1266</f>
        <v>-28.57</v>
      </c>
      <c r="AF1266" s="34" t="n">
        <f aca="false">IF(L1266=0,0,AE1266/L1266)</f>
        <v>-0.153198562925626</v>
      </c>
      <c r="AG1266" s="22" t="str">
        <f aca="false">IF(AD1266&lt;L1266,"PASSARO","ATUAL")</f>
        <v>PASSARO</v>
      </c>
      <c r="AH1266" s="22" t="str">
        <f aca="false">IF(P1266&lt;&gt;A1266,"Faixa cadastrada como "&amp;P1266&amp;" na tabela; preço aplicado pela UF do CEP","")</f>
        <v/>
      </c>
      <c r="AI1266" s="26" t="n">
        <v>201.65</v>
      </c>
      <c r="AJ1266" s="22" t="str">
        <f aca="false">INDEX('Tabela Passaro'!$X$2:$X$1795,$N1266)</f>
        <v>CAPITAL</v>
      </c>
    </row>
    <row r="1267" customFormat="false" ht="15" hidden="false" customHeight="false" outlineLevel="0" collapsed="false">
      <c r="A1267" s="22" t="s">
        <v>20</v>
      </c>
      <c r="B1267" s="22" t="n">
        <v>1</v>
      </c>
      <c r="C1267" s="22" t="s">
        <v>147</v>
      </c>
      <c r="D1267" s="22" t="s">
        <v>30</v>
      </c>
      <c r="E1267" s="22" t="s">
        <v>7328</v>
      </c>
      <c r="F1267" s="22" t="n">
        <v>2313205</v>
      </c>
      <c r="G1267" s="30" t="n">
        <v>46251</v>
      </c>
      <c r="H1267" s="22" t="n">
        <v>133622</v>
      </c>
      <c r="I1267" s="22" t="s">
        <v>8481</v>
      </c>
      <c r="J1267" s="31" t="n">
        <v>29.2</v>
      </c>
      <c r="K1267" s="26" t="n">
        <v>529.97</v>
      </c>
      <c r="L1267" s="26" t="n">
        <v>119.18</v>
      </c>
      <c r="M1267" s="22" t="s">
        <v>4802</v>
      </c>
      <c r="N1267" s="22" t="n">
        <f aca="false">MATCH(M1267,'Tabela Passaro'!$A$2:$A$1795,0)</f>
        <v>1150</v>
      </c>
      <c r="O1267" s="22" t="str">
        <f aca="false">INDEX('Tabela Passaro'!$C$2:$C$1795,$N1267)</f>
        <v>RECIFE</v>
      </c>
      <c r="P1267" s="22" t="str">
        <f aca="false">INDEX('Tabela Passaro'!$B$2:$B$1795,$N1267)</f>
        <v>PE</v>
      </c>
      <c r="Q1267" s="22" t="n">
        <f aca="false">INDEX('Tabela Passaro'!$F$2:$F$1795,$N1267)</f>
        <v>8</v>
      </c>
      <c r="R1267" s="32" t="n">
        <f aca="false">IF(J1267&lt;=10,INDEX('Tabela Passaro'!$G$2:$G$1795,$N1267),IF(J1267&lt;=30,INDEX('Tabela Passaro'!$H$2:$H$1795,$N1267),IF(J1267&lt;=50,INDEX('Tabela Passaro'!$I$2:$I$1795,$N1267),IF(J1267&lt;=70,INDEX('Tabela Passaro'!$J$2:$J$1795,$N1267),IF(J1267&lt;=100,INDEX('Tabela Passaro'!$K$2:$K$1795,$N1267),INDEX('Tabela Passaro'!$K$2:$K$1795,$N1267)+(J1267-100)*INDEX('Tabela Passaro'!$L$2:$L$1795,$N1267))))))</f>
        <v>66.55</v>
      </c>
      <c r="S1267" s="32" t="n">
        <f aca="false">K1267*INDEX('Tabela Passaro'!$M$2:$M$1795,$N1267)</f>
        <v>2.64985</v>
      </c>
      <c r="T1267" s="32" t="n">
        <f aca="false">K1267*INDEX('Tabela Passaro'!$N$2:$N$1795,$N1267)</f>
        <v>1.05994</v>
      </c>
      <c r="U1267" s="32" t="n">
        <f aca="false">INDEX('Tabela Passaro'!$O$2:$O$1795,$N1267)</f>
        <v>5</v>
      </c>
      <c r="V1267" s="32" t="n">
        <f aca="false">ROUNDUP(J1267/INDEX('Tabela Passaro'!$Q$2:$Q$1795,$N1267),0)*INDEX('Tabela Passaro'!$P$2:$P$1795,$N1267)</f>
        <v>5</v>
      </c>
      <c r="W1267" s="32" t="n">
        <f aca="false">INDEX('Tabela Passaro'!$R$2:$R$1795,$N1267)</f>
        <v>30</v>
      </c>
      <c r="X1267" s="32" t="n">
        <f aca="false">ROUNDUP(J1267/INDEX('Tabela Passaro'!$T$2:$T$1795,$N1267),0)*INDEX('Tabela Passaro'!$S$2:$S$1795,$N1267)</f>
        <v>0</v>
      </c>
      <c r="Y1267" s="32" t="n">
        <f aca="false">INDEX('Tabela Passaro'!$U$2:$U$1795,$N1267)</f>
        <v>0</v>
      </c>
      <c r="Z1267" s="32" t="n">
        <f aca="false">INDEX('Tabela Passaro'!$V$2:$V$1795,$N1267)</f>
        <v>0</v>
      </c>
      <c r="AA1267" s="32" t="n">
        <f aca="false">SUM(R1267:Z1267)</f>
        <v>110.25979</v>
      </c>
      <c r="AB1267" s="33" t="n">
        <f aca="false">INDEX(Premissas!$B$5:$B$13,MATCH(A1267,Premissas!$A$5:$A$13,0))</f>
        <v>0.07</v>
      </c>
      <c r="AC1267" s="32" t="n">
        <f aca="false">AA1267/(1-AB1267)-AA1267</f>
        <v>8.29912397849463</v>
      </c>
      <c r="AD1267" s="32" t="n">
        <f aca="false">ROUND(AA1267+AC1267,2)</f>
        <v>118.56</v>
      </c>
      <c r="AE1267" s="32" t="n">
        <f aca="false">AD1267-L1267</f>
        <v>-0.620000000000005</v>
      </c>
      <c r="AF1267" s="34" t="n">
        <f aca="false">IF(L1267=0,0,AE1267/L1267)</f>
        <v>-0.00520221513676795</v>
      </c>
      <c r="AG1267" s="22" t="str">
        <f aca="false">IF(AD1267&lt;L1267,"PASSARO","ATUAL")</f>
        <v>PASSARO</v>
      </c>
      <c r="AH1267" s="22" t="str">
        <f aca="false">IF(P1267&lt;&gt;A1267,"Faixa cadastrada como "&amp;P1267&amp;" na tabela; preço aplicado pela UF do CEP","")</f>
        <v/>
      </c>
      <c r="AI1267" s="26" t="n">
        <v>143.68</v>
      </c>
      <c r="AJ1267" s="22" t="str">
        <f aca="false">INDEX('Tabela Passaro'!$X$2:$X$1795,$N1267)</f>
        <v>CAPITAL</v>
      </c>
    </row>
    <row r="1268" customFormat="false" ht="15" hidden="false" customHeight="false" outlineLevel="0" collapsed="false">
      <c r="A1268" s="22" t="s">
        <v>20</v>
      </c>
      <c r="B1268" s="22" t="n">
        <v>1</v>
      </c>
      <c r="C1268" s="22" t="s">
        <v>147</v>
      </c>
      <c r="D1268" s="22" t="s">
        <v>30</v>
      </c>
      <c r="E1268" s="22" t="s">
        <v>7328</v>
      </c>
      <c r="F1268" s="22" t="n">
        <v>2313247</v>
      </c>
      <c r="G1268" s="30" t="n">
        <v>46251</v>
      </c>
      <c r="H1268" s="22" t="n">
        <v>133666</v>
      </c>
      <c r="I1268" s="22" t="s">
        <v>8482</v>
      </c>
      <c r="J1268" s="31" t="n">
        <v>51.06</v>
      </c>
      <c r="K1268" s="26" t="n">
        <v>890.17</v>
      </c>
      <c r="L1268" s="26" t="n">
        <v>185.34</v>
      </c>
      <c r="M1268" s="22" t="s">
        <v>4802</v>
      </c>
      <c r="N1268" s="22" t="n">
        <f aca="false">MATCH(M1268,'Tabela Passaro'!$A$2:$A$1795,0)</f>
        <v>1150</v>
      </c>
      <c r="O1268" s="22" t="str">
        <f aca="false">INDEX('Tabela Passaro'!$C$2:$C$1795,$N1268)</f>
        <v>RECIFE</v>
      </c>
      <c r="P1268" s="22" t="str">
        <f aca="false">INDEX('Tabela Passaro'!$B$2:$B$1795,$N1268)</f>
        <v>PE</v>
      </c>
      <c r="Q1268" s="22" t="n">
        <f aca="false">INDEX('Tabela Passaro'!$F$2:$F$1795,$N1268)</f>
        <v>8</v>
      </c>
      <c r="R1268" s="32" t="n">
        <f aca="false">IF(J1268&lt;=10,INDEX('Tabela Passaro'!$G$2:$G$1795,$N1268),IF(J1268&lt;=30,INDEX('Tabela Passaro'!$H$2:$H$1795,$N1268),IF(J1268&lt;=50,INDEX('Tabela Passaro'!$I$2:$I$1795,$N1268),IF(J1268&lt;=70,INDEX('Tabela Passaro'!$J$2:$J$1795,$N1268),IF(J1268&lt;=100,INDEX('Tabela Passaro'!$K$2:$K$1795,$N1268),INDEX('Tabela Passaro'!$K$2:$K$1795,$N1268)+(J1268-100)*INDEX('Tabela Passaro'!$L$2:$L$1795,$N1268))))))</f>
        <v>99.61</v>
      </c>
      <c r="S1268" s="32" t="n">
        <f aca="false">K1268*INDEX('Tabela Passaro'!$M$2:$M$1795,$N1268)</f>
        <v>4.45085</v>
      </c>
      <c r="T1268" s="32" t="n">
        <f aca="false">K1268*INDEX('Tabela Passaro'!$N$2:$N$1795,$N1268)</f>
        <v>1.78034</v>
      </c>
      <c r="U1268" s="32" t="n">
        <f aca="false">INDEX('Tabela Passaro'!$O$2:$O$1795,$N1268)</f>
        <v>5</v>
      </c>
      <c r="V1268" s="32" t="n">
        <f aca="false">ROUNDUP(J1268/INDEX('Tabela Passaro'!$Q$2:$Q$1795,$N1268),0)*INDEX('Tabela Passaro'!$P$2:$P$1795,$N1268)</f>
        <v>5</v>
      </c>
      <c r="W1268" s="32" t="n">
        <f aca="false">INDEX('Tabela Passaro'!$R$2:$R$1795,$N1268)</f>
        <v>30</v>
      </c>
      <c r="X1268" s="32" t="n">
        <f aca="false">ROUNDUP(J1268/INDEX('Tabela Passaro'!$T$2:$T$1795,$N1268),0)*INDEX('Tabela Passaro'!$S$2:$S$1795,$N1268)</f>
        <v>0</v>
      </c>
      <c r="Y1268" s="32" t="n">
        <f aca="false">INDEX('Tabela Passaro'!$U$2:$U$1795,$N1268)</f>
        <v>0</v>
      </c>
      <c r="Z1268" s="32" t="n">
        <f aca="false">INDEX('Tabela Passaro'!$V$2:$V$1795,$N1268)</f>
        <v>0</v>
      </c>
      <c r="AA1268" s="32" t="n">
        <f aca="false">SUM(R1268:Z1268)</f>
        <v>145.84119</v>
      </c>
      <c r="AB1268" s="33" t="n">
        <f aca="false">INDEX(Premissas!$B$5:$B$13,MATCH(A1268,Premissas!$A$5:$A$13,0))</f>
        <v>0.07</v>
      </c>
      <c r="AC1268" s="32" t="n">
        <f aca="false">AA1268/(1-AB1268)-AA1268</f>
        <v>10.9772938709677</v>
      </c>
      <c r="AD1268" s="32" t="n">
        <f aca="false">ROUND(AA1268+AC1268,2)</f>
        <v>156.82</v>
      </c>
      <c r="AE1268" s="32" t="n">
        <f aca="false">AD1268-L1268</f>
        <v>-28.52</v>
      </c>
      <c r="AF1268" s="34" t="n">
        <f aca="false">IF(L1268=0,0,AE1268/L1268)</f>
        <v>-0.153879356857667</v>
      </c>
      <c r="AG1268" s="22" t="str">
        <f aca="false">IF(AD1268&lt;L1268,"PASSARO","ATUAL")</f>
        <v>PASSARO</v>
      </c>
      <c r="AH1268" s="22" t="str">
        <f aca="false">IF(P1268&lt;&gt;A1268,"Faixa cadastrada como "&amp;P1268&amp;" na tabela; preço aplicado pela UF do CEP","")</f>
        <v/>
      </c>
      <c r="AI1268" s="26" t="n">
        <v>195.39</v>
      </c>
      <c r="AJ1268" s="22" t="str">
        <f aca="false">INDEX('Tabela Passaro'!$X$2:$X$1795,$N1268)</f>
        <v>CAPITAL</v>
      </c>
    </row>
    <row r="1269" customFormat="false" ht="15" hidden="false" customHeight="false" outlineLevel="0" collapsed="false">
      <c r="A1269" s="22" t="s">
        <v>20</v>
      </c>
      <c r="B1269" s="22" t="n">
        <v>1</v>
      </c>
      <c r="C1269" s="22" t="s">
        <v>147</v>
      </c>
      <c r="D1269" s="22" t="s">
        <v>30</v>
      </c>
      <c r="E1269" s="22" t="s">
        <v>7326</v>
      </c>
      <c r="F1269" s="22" t="n">
        <v>525381</v>
      </c>
      <c r="G1269" s="30" t="n">
        <v>46251</v>
      </c>
      <c r="H1269" s="22" t="n">
        <v>625643</v>
      </c>
      <c r="I1269" s="22" t="s">
        <v>8483</v>
      </c>
      <c r="J1269" s="31" t="n">
        <v>16.24</v>
      </c>
      <c r="K1269" s="26" t="n">
        <v>491.98</v>
      </c>
      <c r="L1269" s="26" t="n">
        <v>128.97</v>
      </c>
      <c r="M1269" s="22" t="s">
        <v>4802</v>
      </c>
      <c r="N1269" s="22" t="n">
        <f aca="false">MATCH(M1269,'Tabela Passaro'!$A$2:$A$1795,0)</f>
        <v>1150</v>
      </c>
      <c r="O1269" s="22" t="str">
        <f aca="false">INDEX('Tabela Passaro'!$C$2:$C$1795,$N1269)</f>
        <v>RECIFE</v>
      </c>
      <c r="P1269" s="22" t="str">
        <f aca="false">INDEX('Tabela Passaro'!$B$2:$B$1795,$N1269)</f>
        <v>PE</v>
      </c>
      <c r="Q1269" s="22" t="n">
        <f aca="false">INDEX('Tabela Passaro'!$F$2:$F$1795,$N1269)</f>
        <v>8</v>
      </c>
      <c r="R1269" s="32" t="n">
        <f aca="false">IF(J1269&lt;=10,INDEX('Tabela Passaro'!$G$2:$G$1795,$N1269),IF(J1269&lt;=30,INDEX('Tabela Passaro'!$H$2:$H$1795,$N1269),IF(J1269&lt;=50,INDEX('Tabela Passaro'!$I$2:$I$1795,$N1269),IF(J1269&lt;=70,INDEX('Tabela Passaro'!$J$2:$J$1795,$N1269),IF(J1269&lt;=100,INDEX('Tabela Passaro'!$K$2:$K$1795,$N1269),INDEX('Tabela Passaro'!$K$2:$K$1795,$N1269)+(J1269-100)*INDEX('Tabela Passaro'!$L$2:$L$1795,$N1269))))))</f>
        <v>66.55</v>
      </c>
      <c r="S1269" s="32" t="n">
        <f aca="false">K1269*INDEX('Tabela Passaro'!$M$2:$M$1795,$N1269)</f>
        <v>2.4599</v>
      </c>
      <c r="T1269" s="32" t="n">
        <f aca="false">K1269*INDEX('Tabela Passaro'!$N$2:$N$1795,$N1269)</f>
        <v>0.98396</v>
      </c>
      <c r="U1269" s="32" t="n">
        <f aca="false">INDEX('Tabela Passaro'!$O$2:$O$1795,$N1269)</f>
        <v>5</v>
      </c>
      <c r="V1269" s="32" t="n">
        <f aca="false">ROUNDUP(J1269/INDEX('Tabela Passaro'!$Q$2:$Q$1795,$N1269),0)*INDEX('Tabela Passaro'!$P$2:$P$1795,$N1269)</f>
        <v>5</v>
      </c>
      <c r="W1269" s="32" t="n">
        <f aca="false">INDEX('Tabela Passaro'!$R$2:$R$1795,$N1269)</f>
        <v>30</v>
      </c>
      <c r="X1269" s="32" t="n">
        <f aca="false">ROUNDUP(J1269/INDEX('Tabela Passaro'!$T$2:$T$1795,$N1269),0)*INDEX('Tabela Passaro'!$S$2:$S$1795,$N1269)</f>
        <v>0</v>
      </c>
      <c r="Y1269" s="32" t="n">
        <f aca="false">INDEX('Tabela Passaro'!$U$2:$U$1795,$N1269)</f>
        <v>0</v>
      </c>
      <c r="Z1269" s="32" t="n">
        <f aca="false">INDEX('Tabela Passaro'!$V$2:$V$1795,$N1269)</f>
        <v>0</v>
      </c>
      <c r="AA1269" s="32" t="n">
        <f aca="false">SUM(R1269:Z1269)</f>
        <v>109.99386</v>
      </c>
      <c r="AB1269" s="33" t="n">
        <f aca="false">INDEX(Premissas!$B$5:$B$13,MATCH(A1269,Premissas!$A$5:$A$13,0))</f>
        <v>0.07</v>
      </c>
      <c r="AC1269" s="32" t="n">
        <f aca="false">AA1269/(1-AB1269)-AA1269</f>
        <v>8.27910774193549</v>
      </c>
      <c r="AD1269" s="32" t="n">
        <f aca="false">ROUND(AA1269+AC1269,2)</f>
        <v>118.27</v>
      </c>
      <c r="AE1269" s="32" t="n">
        <f aca="false">AD1269-L1269</f>
        <v>-10.7</v>
      </c>
      <c r="AF1269" s="34" t="n">
        <f aca="false">IF(L1269=0,0,AE1269/L1269)</f>
        <v>-0.0829650306272777</v>
      </c>
      <c r="AG1269" s="22" t="str">
        <f aca="false">IF(AD1269&lt;L1269,"PASSARO","ATUAL")</f>
        <v>PASSARO</v>
      </c>
      <c r="AH1269" s="22" t="str">
        <f aca="false">IF(P1269&lt;&gt;A1269,"Faixa cadastrada como "&amp;P1269&amp;" na tabela; preço aplicado pela UF do CEP","")</f>
        <v/>
      </c>
      <c r="AI1269" s="26" t="n">
        <v>137.02</v>
      </c>
      <c r="AJ1269" s="22" t="str">
        <f aca="false">INDEX('Tabela Passaro'!$X$2:$X$1795,$N1269)</f>
        <v>CAPITAL</v>
      </c>
    </row>
    <row r="1270" customFormat="false" ht="15" hidden="false" customHeight="false" outlineLevel="0" collapsed="false">
      <c r="A1270" s="22" t="s">
        <v>20</v>
      </c>
      <c r="B1270" s="22" t="n">
        <v>1</v>
      </c>
      <c r="C1270" s="22" t="s">
        <v>147</v>
      </c>
      <c r="D1270" s="22" t="s">
        <v>30</v>
      </c>
      <c r="E1270" s="22" t="s">
        <v>7328</v>
      </c>
      <c r="F1270" s="22" t="n">
        <v>2313781</v>
      </c>
      <c r="G1270" s="30" t="n">
        <v>46253</v>
      </c>
      <c r="H1270" s="22" t="n">
        <v>133866</v>
      </c>
      <c r="I1270" s="22" t="s">
        <v>8484</v>
      </c>
      <c r="J1270" s="31" t="n">
        <v>36.9</v>
      </c>
      <c r="K1270" s="26" t="n">
        <v>590.98</v>
      </c>
      <c r="L1270" s="26" t="n">
        <v>155.54</v>
      </c>
      <c r="M1270" s="22" t="s">
        <v>4802</v>
      </c>
      <c r="N1270" s="22" t="n">
        <f aca="false">MATCH(M1270,'Tabela Passaro'!$A$2:$A$1795,0)</f>
        <v>1150</v>
      </c>
      <c r="O1270" s="22" t="str">
        <f aca="false">INDEX('Tabela Passaro'!$C$2:$C$1795,$N1270)</f>
        <v>RECIFE</v>
      </c>
      <c r="P1270" s="22" t="str">
        <f aca="false">INDEX('Tabela Passaro'!$B$2:$B$1795,$N1270)</f>
        <v>PE</v>
      </c>
      <c r="Q1270" s="22" t="n">
        <f aca="false">INDEX('Tabela Passaro'!$F$2:$F$1795,$N1270)</f>
        <v>8</v>
      </c>
      <c r="R1270" s="32" t="n">
        <f aca="false">IF(J1270&lt;=10,INDEX('Tabela Passaro'!$G$2:$G$1795,$N1270),IF(J1270&lt;=30,INDEX('Tabela Passaro'!$H$2:$H$1795,$N1270),IF(J1270&lt;=50,INDEX('Tabela Passaro'!$I$2:$I$1795,$N1270),IF(J1270&lt;=70,INDEX('Tabela Passaro'!$J$2:$J$1795,$N1270),IF(J1270&lt;=100,INDEX('Tabela Passaro'!$K$2:$K$1795,$N1270),INDEX('Tabela Passaro'!$K$2:$K$1795,$N1270)+(J1270-100)*INDEX('Tabela Passaro'!$L$2:$L$1795,$N1270))))))</f>
        <v>88.59</v>
      </c>
      <c r="S1270" s="32" t="n">
        <f aca="false">K1270*INDEX('Tabela Passaro'!$M$2:$M$1795,$N1270)</f>
        <v>2.9549</v>
      </c>
      <c r="T1270" s="32" t="n">
        <f aca="false">K1270*INDEX('Tabela Passaro'!$N$2:$N$1795,$N1270)</f>
        <v>1.18196</v>
      </c>
      <c r="U1270" s="32" t="n">
        <f aca="false">INDEX('Tabela Passaro'!$O$2:$O$1795,$N1270)</f>
        <v>5</v>
      </c>
      <c r="V1270" s="32" t="n">
        <f aca="false">ROUNDUP(J1270/INDEX('Tabela Passaro'!$Q$2:$Q$1795,$N1270),0)*INDEX('Tabela Passaro'!$P$2:$P$1795,$N1270)</f>
        <v>5</v>
      </c>
      <c r="W1270" s="32" t="n">
        <f aca="false">INDEX('Tabela Passaro'!$R$2:$R$1795,$N1270)</f>
        <v>30</v>
      </c>
      <c r="X1270" s="32" t="n">
        <f aca="false">ROUNDUP(J1270/INDEX('Tabela Passaro'!$T$2:$T$1795,$N1270),0)*INDEX('Tabela Passaro'!$S$2:$S$1795,$N1270)</f>
        <v>0</v>
      </c>
      <c r="Y1270" s="32" t="n">
        <f aca="false">INDEX('Tabela Passaro'!$U$2:$U$1795,$N1270)</f>
        <v>0</v>
      </c>
      <c r="Z1270" s="32" t="n">
        <f aca="false">INDEX('Tabela Passaro'!$V$2:$V$1795,$N1270)</f>
        <v>0</v>
      </c>
      <c r="AA1270" s="32" t="n">
        <f aca="false">SUM(R1270:Z1270)</f>
        <v>132.72686</v>
      </c>
      <c r="AB1270" s="33" t="n">
        <f aca="false">INDEX(Premissas!$B$5:$B$13,MATCH(A1270,Premissas!$A$5:$A$13,0))</f>
        <v>0.07</v>
      </c>
      <c r="AC1270" s="32" t="n">
        <f aca="false">AA1270/(1-AB1270)-AA1270</f>
        <v>9.99019376344086</v>
      </c>
      <c r="AD1270" s="32" t="n">
        <f aca="false">ROUND(AA1270+AC1270,2)</f>
        <v>142.72</v>
      </c>
      <c r="AE1270" s="32" t="n">
        <f aca="false">AD1270-L1270</f>
        <v>-12.82</v>
      </c>
      <c r="AF1270" s="34" t="n">
        <f aca="false">IF(L1270=0,0,AE1270/L1270)</f>
        <v>-0.0824225279670824</v>
      </c>
      <c r="AG1270" s="22" t="str">
        <f aca="false">IF(AD1270&lt;L1270,"PASSARO","ATUAL")</f>
        <v>PASSARO</v>
      </c>
      <c r="AH1270" s="22" t="str">
        <f aca="false">IF(P1270&lt;&gt;A1270,"Faixa cadastrada como "&amp;P1270&amp;" na tabela; preço aplicado pela UF do CEP","")</f>
        <v/>
      </c>
      <c r="AI1270" s="26" t="n">
        <v>172.71</v>
      </c>
      <c r="AJ1270" s="22" t="str">
        <f aca="false">INDEX('Tabela Passaro'!$X$2:$X$1795,$N1270)</f>
        <v>CAPITAL</v>
      </c>
    </row>
    <row r="1271" customFormat="false" ht="15" hidden="false" customHeight="false" outlineLevel="0" collapsed="false">
      <c r="A1271" s="22" t="s">
        <v>20</v>
      </c>
      <c r="B1271" s="22" t="n">
        <v>1</v>
      </c>
      <c r="C1271" s="22" t="s">
        <v>147</v>
      </c>
      <c r="D1271" s="22" t="s">
        <v>30</v>
      </c>
      <c r="E1271" s="22" t="s">
        <v>7328</v>
      </c>
      <c r="F1271" s="22" t="n">
        <v>2313764</v>
      </c>
      <c r="G1271" s="30" t="n">
        <v>46253</v>
      </c>
      <c r="H1271" s="22" t="n">
        <v>133871</v>
      </c>
      <c r="I1271" s="22" t="s">
        <v>8485</v>
      </c>
      <c r="J1271" s="31" t="n">
        <v>37.2</v>
      </c>
      <c r="K1271" s="26" t="n">
        <v>484.89</v>
      </c>
      <c r="L1271" s="26" t="n">
        <v>154.69</v>
      </c>
      <c r="M1271" s="22" t="s">
        <v>4802</v>
      </c>
      <c r="N1271" s="22" t="n">
        <f aca="false">MATCH(M1271,'Tabela Passaro'!$A$2:$A$1795,0)</f>
        <v>1150</v>
      </c>
      <c r="O1271" s="22" t="str">
        <f aca="false">INDEX('Tabela Passaro'!$C$2:$C$1795,$N1271)</f>
        <v>RECIFE</v>
      </c>
      <c r="P1271" s="22" t="str">
        <f aca="false">INDEX('Tabela Passaro'!$B$2:$B$1795,$N1271)</f>
        <v>PE</v>
      </c>
      <c r="Q1271" s="22" t="n">
        <f aca="false">INDEX('Tabela Passaro'!$F$2:$F$1795,$N1271)</f>
        <v>8</v>
      </c>
      <c r="R1271" s="32" t="n">
        <f aca="false">IF(J1271&lt;=10,INDEX('Tabela Passaro'!$G$2:$G$1795,$N1271),IF(J1271&lt;=30,INDEX('Tabela Passaro'!$H$2:$H$1795,$N1271),IF(J1271&lt;=50,INDEX('Tabela Passaro'!$I$2:$I$1795,$N1271),IF(J1271&lt;=70,INDEX('Tabela Passaro'!$J$2:$J$1795,$N1271),IF(J1271&lt;=100,INDEX('Tabela Passaro'!$K$2:$K$1795,$N1271),INDEX('Tabela Passaro'!$K$2:$K$1795,$N1271)+(J1271-100)*INDEX('Tabela Passaro'!$L$2:$L$1795,$N1271))))))</f>
        <v>88.59</v>
      </c>
      <c r="S1271" s="32" t="n">
        <f aca="false">K1271*INDEX('Tabela Passaro'!$M$2:$M$1795,$N1271)</f>
        <v>2.42445</v>
      </c>
      <c r="T1271" s="32" t="n">
        <f aca="false">K1271*INDEX('Tabela Passaro'!$N$2:$N$1795,$N1271)</f>
        <v>0.96978</v>
      </c>
      <c r="U1271" s="32" t="n">
        <f aca="false">INDEX('Tabela Passaro'!$O$2:$O$1795,$N1271)</f>
        <v>5</v>
      </c>
      <c r="V1271" s="32" t="n">
        <f aca="false">ROUNDUP(J1271/INDEX('Tabela Passaro'!$Q$2:$Q$1795,$N1271),0)*INDEX('Tabela Passaro'!$P$2:$P$1795,$N1271)</f>
        <v>5</v>
      </c>
      <c r="W1271" s="32" t="n">
        <f aca="false">INDEX('Tabela Passaro'!$R$2:$R$1795,$N1271)</f>
        <v>30</v>
      </c>
      <c r="X1271" s="32" t="n">
        <f aca="false">ROUNDUP(J1271/INDEX('Tabela Passaro'!$T$2:$T$1795,$N1271),0)*INDEX('Tabela Passaro'!$S$2:$S$1795,$N1271)</f>
        <v>0</v>
      </c>
      <c r="Y1271" s="32" t="n">
        <f aca="false">INDEX('Tabela Passaro'!$U$2:$U$1795,$N1271)</f>
        <v>0</v>
      </c>
      <c r="Z1271" s="32" t="n">
        <f aca="false">INDEX('Tabela Passaro'!$V$2:$V$1795,$N1271)</f>
        <v>0</v>
      </c>
      <c r="AA1271" s="32" t="n">
        <f aca="false">SUM(R1271:Z1271)</f>
        <v>131.98423</v>
      </c>
      <c r="AB1271" s="33" t="n">
        <f aca="false">INDEX(Premissas!$B$5:$B$13,MATCH(A1271,Premissas!$A$5:$A$13,0))</f>
        <v>0.07</v>
      </c>
      <c r="AC1271" s="32" t="n">
        <f aca="false">AA1271/(1-AB1271)-AA1271</f>
        <v>9.93429688172043</v>
      </c>
      <c r="AD1271" s="32" t="n">
        <f aca="false">ROUND(AA1271+AC1271,2)</f>
        <v>141.92</v>
      </c>
      <c r="AE1271" s="32" t="n">
        <f aca="false">AD1271-L1271</f>
        <v>-12.77</v>
      </c>
      <c r="AF1271" s="34" t="n">
        <f aca="false">IF(L1271=0,0,AE1271/L1271)</f>
        <v>-0.0825522011765467</v>
      </c>
      <c r="AG1271" s="22" t="str">
        <f aca="false">IF(AD1271&lt;L1271,"PASSARO","ATUAL")</f>
        <v>PASSARO</v>
      </c>
      <c r="AH1271" s="22" t="str">
        <f aca="false">IF(P1271&lt;&gt;A1271,"Faixa cadastrada como "&amp;P1271&amp;" na tabela; preço aplicado pela UF do CEP","")</f>
        <v/>
      </c>
      <c r="AI1271" s="26" t="n">
        <v>172.17</v>
      </c>
      <c r="AJ1271" s="22" t="str">
        <f aca="false">INDEX('Tabela Passaro'!$X$2:$X$1795,$N1271)</f>
        <v>CAPITAL</v>
      </c>
    </row>
    <row r="1272" customFormat="false" ht="15" hidden="false" customHeight="false" outlineLevel="0" collapsed="false">
      <c r="A1272" s="22" t="s">
        <v>20</v>
      </c>
      <c r="B1272" s="22" t="n">
        <v>1</v>
      </c>
      <c r="C1272" s="22" t="s">
        <v>147</v>
      </c>
      <c r="D1272" s="22" t="s">
        <v>30</v>
      </c>
      <c r="E1272" s="22" t="s">
        <v>7328</v>
      </c>
      <c r="F1272" s="22" t="n">
        <v>2313767</v>
      </c>
      <c r="G1272" s="30" t="n">
        <v>46253</v>
      </c>
      <c r="H1272" s="22" t="n">
        <v>133876</v>
      </c>
      <c r="I1272" s="22" t="s">
        <v>8486</v>
      </c>
      <c r="J1272" s="31" t="n">
        <v>124.2</v>
      </c>
      <c r="K1272" s="26" t="n">
        <v>2179.98</v>
      </c>
      <c r="L1272" s="26" t="n">
        <v>294.13</v>
      </c>
      <c r="M1272" s="22" t="s">
        <v>4802</v>
      </c>
      <c r="N1272" s="22" t="n">
        <f aca="false">MATCH(M1272,'Tabela Passaro'!$A$2:$A$1795,0)</f>
        <v>1150</v>
      </c>
      <c r="O1272" s="22" t="str">
        <f aca="false">INDEX('Tabela Passaro'!$C$2:$C$1795,$N1272)</f>
        <v>RECIFE</v>
      </c>
      <c r="P1272" s="22" t="str">
        <f aca="false">INDEX('Tabela Passaro'!$B$2:$B$1795,$N1272)</f>
        <v>PE</v>
      </c>
      <c r="Q1272" s="22" t="n">
        <f aca="false">INDEX('Tabela Passaro'!$F$2:$F$1795,$N1272)</f>
        <v>8</v>
      </c>
      <c r="R1272" s="32" t="n">
        <f aca="false">IF(J1272&lt;=10,INDEX('Tabela Passaro'!$G$2:$G$1795,$N1272),IF(J1272&lt;=30,INDEX('Tabela Passaro'!$H$2:$H$1795,$N1272),IF(J1272&lt;=50,INDEX('Tabela Passaro'!$I$2:$I$1795,$N1272),IF(J1272&lt;=70,INDEX('Tabela Passaro'!$J$2:$J$1795,$N1272),IF(J1272&lt;=100,INDEX('Tabela Passaro'!$K$2:$K$1795,$N1272),INDEX('Tabela Passaro'!$K$2:$K$1795,$N1272)+(J1272-100)*INDEX('Tabela Passaro'!$L$2:$L$1795,$N1272))))))</f>
        <v>155.586</v>
      </c>
      <c r="S1272" s="32" t="n">
        <f aca="false">K1272*INDEX('Tabela Passaro'!$M$2:$M$1795,$N1272)</f>
        <v>10.8999</v>
      </c>
      <c r="T1272" s="32" t="n">
        <f aca="false">K1272*INDEX('Tabela Passaro'!$N$2:$N$1795,$N1272)</f>
        <v>4.35996</v>
      </c>
      <c r="U1272" s="32" t="n">
        <f aca="false">INDEX('Tabela Passaro'!$O$2:$O$1795,$N1272)</f>
        <v>5</v>
      </c>
      <c r="V1272" s="32" t="n">
        <f aca="false">ROUNDUP(J1272/INDEX('Tabela Passaro'!$Q$2:$Q$1795,$N1272),0)*INDEX('Tabela Passaro'!$P$2:$P$1795,$N1272)</f>
        <v>10</v>
      </c>
      <c r="W1272" s="32" t="n">
        <f aca="false">INDEX('Tabela Passaro'!$R$2:$R$1795,$N1272)</f>
        <v>30</v>
      </c>
      <c r="X1272" s="32" t="n">
        <f aca="false">ROUNDUP(J1272/INDEX('Tabela Passaro'!$T$2:$T$1795,$N1272),0)*INDEX('Tabela Passaro'!$S$2:$S$1795,$N1272)</f>
        <v>0</v>
      </c>
      <c r="Y1272" s="32" t="n">
        <f aca="false">INDEX('Tabela Passaro'!$U$2:$U$1795,$N1272)</f>
        <v>0</v>
      </c>
      <c r="Z1272" s="32" t="n">
        <f aca="false">INDEX('Tabela Passaro'!$V$2:$V$1795,$N1272)</f>
        <v>0</v>
      </c>
      <c r="AA1272" s="32" t="n">
        <f aca="false">SUM(R1272:Z1272)</f>
        <v>215.84586</v>
      </c>
      <c r="AB1272" s="33" t="n">
        <f aca="false">INDEX(Premissas!$B$5:$B$13,MATCH(A1272,Premissas!$A$5:$A$13,0))</f>
        <v>0.07</v>
      </c>
      <c r="AC1272" s="32" t="n">
        <f aca="false">AA1272/(1-AB1272)-AA1272</f>
        <v>16.2464625806452</v>
      </c>
      <c r="AD1272" s="32" t="n">
        <f aca="false">ROUND(AA1272+AC1272,2)</f>
        <v>232.09</v>
      </c>
      <c r="AE1272" s="32" t="n">
        <f aca="false">AD1272-L1272</f>
        <v>-62.04</v>
      </c>
      <c r="AF1272" s="34" t="n">
        <f aca="false">IF(L1272=0,0,AE1272/L1272)</f>
        <v>-0.210927141060075</v>
      </c>
      <c r="AG1272" s="22" t="str">
        <f aca="false">IF(AD1272&lt;L1272,"PASSARO","ATUAL")</f>
        <v>PASSARO</v>
      </c>
      <c r="AH1272" s="22" t="str">
        <f aca="false">IF(P1272&lt;&gt;A1272,"Faixa cadastrada como "&amp;P1272&amp;" na tabela; preço aplicado pela UF do CEP","")</f>
        <v/>
      </c>
      <c r="AI1272" s="26" t="n">
        <v>314.97</v>
      </c>
      <c r="AJ1272" s="22" t="str">
        <f aca="false">INDEX('Tabela Passaro'!$X$2:$X$1795,$N1272)</f>
        <v>CAPITAL</v>
      </c>
    </row>
    <row r="1273" customFormat="false" ht="15" hidden="false" customHeight="false" outlineLevel="0" collapsed="false">
      <c r="A1273" s="22" t="s">
        <v>20</v>
      </c>
      <c r="B1273" s="22" t="n">
        <v>1</v>
      </c>
      <c r="C1273" s="22" t="s">
        <v>147</v>
      </c>
      <c r="D1273" s="22" t="s">
        <v>30</v>
      </c>
      <c r="E1273" s="22" t="s">
        <v>7328</v>
      </c>
      <c r="F1273" s="22" t="n">
        <v>2313819</v>
      </c>
      <c r="G1273" s="30" t="n">
        <v>46253</v>
      </c>
      <c r="H1273" s="22" t="n">
        <v>133909</v>
      </c>
      <c r="I1273" s="22" t="s">
        <v>8487</v>
      </c>
      <c r="J1273" s="31" t="n">
        <v>27.3</v>
      </c>
      <c r="K1273" s="26" t="n">
        <v>430.99</v>
      </c>
      <c r="L1273" s="26" t="n">
        <v>118.4</v>
      </c>
      <c r="M1273" s="22" t="s">
        <v>4802</v>
      </c>
      <c r="N1273" s="22" t="n">
        <f aca="false">MATCH(M1273,'Tabela Passaro'!$A$2:$A$1795,0)</f>
        <v>1150</v>
      </c>
      <c r="O1273" s="22" t="str">
        <f aca="false">INDEX('Tabela Passaro'!$C$2:$C$1795,$N1273)</f>
        <v>RECIFE</v>
      </c>
      <c r="P1273" s="22" t="str">
        <f aca="false">INDEX('Tabela Passaro'!$B$2:$B$1795,$N1273)</f>
        <v>PE</v>
      </c>
      <c r="Q1273" s="22" t="n">
        <f aca="false">INDEX('Tabela Passaro'!$F$2:$F$1795,$N1273)</f>
        <v>8</v>
      </c>
      <c r="R1273" s="32" t="n">
        <f aca="false">IF(J1273&lt;=10,INDEX('Tabela Passaro'!$G$2:$G$1795,$N1273),IF(J1273&lt;=30,INDEX('Tabela Passaro'!$H$2:$H$1795,$N1273),IF(J1273&lt;=50,INDEX('Tabela Passaro'!$I$2:$I$1795,$N1273),IF(J1273&lt;=70,INDEX('Tabela Passaro'!$J$2:$J$1795,$N1273),IF(J1273&lt;=100,INDEX('Tabela Passaro'!$K$2:$K$1795,$N1273),INDEX('Tabela Passaro'!$K$2:$K$1795,$N1273)+(J1273-100)*INDEX('Tabela Passaro'!$L$2:$L$1795,$N1273))))))</f>
        <v>66.55</v>
      </c>
      <c r="S1273" s="32" t="n">
        <f aca="false">K1273*INDEX('Tabela Passaro'!$M$2:$M$1795,$N1273)</f>
        <v>2.15495</v>
      </c>
      <c r="T1273" s="32" t="n">
        <f aca="false">K1273*INDEX('Tabela Passaro'!$N$2:$N$1795,$N1273)</f>
        <v>0.86198</v>
      </c>
      <c r="U1273" s="32" t="n">
        <f aca="false">INDEX('Tabela Passaro'!$O$2:$O$1795,$N1273)</f>
        <v>5</v>
      </c>
      <c r="V1273" s="32" t="n">
        <f aca="false">ROUNDUP(J1273/INDEX('Tabela Passaro'!$Q$2:$Q$1795,$N1273),0)*INDEX('Tabela Passaro'!$P$2:$P$1795,$N1273)</f>
        <v>5</v>
      </c>
      <c r="W1273" s="32" t="n">
        <f aca="false">INDEX('Tabela Passaro'!$R$2:$R$1795,$N1273)</f>
        <v>30</v>
      </c>
      <c r="X1273" s="32" t="n">
        <f aca="false">ROUNDUP(J1273/INDEX('Tabela Passaro'!$T$2:$T$1795,$N1273),0)*INDEX('Tabela Passaro'!$S$2:$S$1795,$N1273)</f>
        <v>0</v>
      </c>
      <c r="Y1273" s="32" t="n">
        <f aca="false">INDEX('Tabela Passaro'!$U$2:$U$1795,$N1273)</f>
        <v>0</v>
      </c>
      <c r="Z1273" s="32" t="n">
        <f aca="false">INDEX('Tabela Passaro'!$V$2:$V$1795,$N1273)</f>
        <v>0</v>
      </c>
      <c r="AA1273" s="32" t="n">
        <f aca="false">SUM(R1273:Z1273)</f>
        <v>109.56693</v>
      </c>
      <c r="AB1273" s="33" t="n">
        <f aca="false">INDEX(Premissas!$B$5:$B$13,MATCH(A1273,Premissas!$A$5:$A$13,0))</f>
        <v>0.07</v>
      </c>
      <c r="AC1273" s="32" t="n">
        <f aca="false">AA1273/(1-AB1273)-AA1273</f>
        <v>8.24697322580646</v>
      </c>
      <c r="AD1273" s="32" t="n">
        <f aca="false">ROUND(AA1273+AC1273,2)</f>
        <v>117.81</v>
      </c>
      <c r="AE1273" s="32" t="n">
        <f aca="false">AD1273-L1273</f>
        <v>-0.590000000000003</v>
      </c>
      <c r="AF1273" s="34" t="n">
        <f aca="false">IF(L1273=0,0,AE1273/L1273)</f>
        <v>-0.00498310810810814</v>
      </c>
      <c r="AG1273" s="22" t="str">
        <f aca="false">IF(AD1273&lt;L1273,"PASSARO","ATUAL")</f>
        <v>PASSARO</v>
      </c>
      <c r="AH1273" s="22" t="str">
        <f aca="false">IF(P1273&lt;&gt;A1273,"Faixa cadastrada como "&amp;P1273&amp;" na tabela; preço aplicado pela UF do CEP","")</f>
        <v/>
      </c>
      <c r="AI1273" s="26" t="n">
        <v>141.75</v>
      </c>
      <c r="AJ1273" s="22" t="str">
        <f aca="false">INDEX('Tabela Passaro'!$X$2:$X$1795,$N1273)</f>
        <v>CAPITAL</v>
      </c>
    </row>
    <row r="1274" customFormat="false" ht="15" hidden="false" customHeight="false" outlineLevel="0" collapsed="false">
      <c r="A1274" s="22" t="s">
        <v>20</v>
      </c>
      <c r="B1274" s="22" t="n">
        <v>1</v>
      </c>
      <c r="C1274" s="22" t="s">
        <v>147</v>
      </c>
      <c r="D1274" s="22" t="s">
        <v>30</v>
      </c>
      <c r="E1274" s="22" t="s">
        <v>7328</v>
      </c>
      <c r="F1274" s="22" t="n">
        <v>2313831</v>
      </c>
      <c r="G1274" s="30" t="n">
        <v>46253</v>
      </c>
      <c r="H1274" s="22" t="n">
        <v>133925</v>
      </c>
      <c r="I1274" s="22" t="s">
        <v>8488</v>
      </c>
      <c r="J1274" s="31" t="n">
        <v>48</v>
      </c>
      <c r="K1274" s="26" t="n">
        <v>1007.53</v>
      </c>
      <c r="L1274" s="26" t="n">
        <v>158.84</v>
      </c>
      <c r="M1274" s="22" t="s">
        <v>4802</v>
      </c>
      <c r="N1274" s="22" t="n">
        <f aca="false">MATCH(M1274,'Tabela Passaro'!$A$2:$A$1795,0)</f>
        <v>1150</v>
      </c>
      <c r="O1274" s="22" t="str">
        <f aca="false">INDEX('Tabela Passaro'!$C$2:$C$1795,$N1274)</f>
        <v>RECIFE</v>
      </c>
      <c r="P1274" s="22" t="str">
        <f aca="false">INDEX('Tabela Passaro'!$B$2:$B$1795,$N1274)</f>
        <v>PE</v>
      </c>
      <c r="Q1274" s="22" t="n">
        <f aca="false">INDEX('Tabela Passaro'!$F$2:$F$1795,$N1274)</f>
        <v>8</v>
      </c>
      <c r="R1274" s="32" t="n">
        <f aca="false">IF(J1274&lt;=10,INDEX('Tabela Passaro'!$G$2:$G$1795,$N1274),IF(J1274&lt;=30,INDEX('Tabela Passaro'!$H$2:$H$1795,$N1274),IF(J1274&lt;=50,INDEX('Tabela Passaro'!$I$2:$I$1795,$N1274),IF(J1274&lt;=70,INDEX('Tabela Passaro'!$J$2:$J$1795,$N1274),IF(J1274&lt;=100,INDEX('Tabela Passaro'!$K$2:$K$1795,$N1274),INDEX('Tabela Passaro'!$K$2:$K$1795,$N1274)+(J1274-100)*INDEX('Tabela Passaro'!$L$2:$L$1795,$N1274))))))</f>
        <v>88.59</v>
      </c>
      <c r="S1274" s="32" t="n">
        <f aca="false">K1274*INDEX('Tabela Passaro'!$M$2:$M$1795,$N1274)</f>
        <v>5.03765</v>
      </c>
      <c r="T1274" s="32" t="n">
        <f aca="false">K1274*INDEX('Tabela Passaro'!$N$2:$N$1795,$N1274)</f>
        <v>2.01506</v>
      </c>
      <c r="U1274" s="32" t="n">
        <f aca="false">INDEX('Tabela Passaro'!$O$2:$O$1795,$N1274)</f>
        <v>5</v>
      </c>
      <c r="V1274" s="32" t="n">
        <f aca="false">ROUNDUP(J1274/INDEX('Tabela Passaro'!$Q$2:$Q$1795,$N1274),0)*INDEX('Tabela Passaro'!$P$2:$P$1795,$N1274)</f>
        <v>5</v>
      </c>
      <c r="W1274" s="32" t="n">
        <f aca="false">INDEX('Tabela Passaro'!$R$2:$R$1795,$N1274)</f>
        <v>30</v>
      </c>
      <c r="X1274" s="32" t="n">
        <f aca="false">ROUNDUP(J1274/INDEX('Tabela Passaro'!$T$2:$T$1795,$N1274),0)*INDEX('Tabela Passaro'!$S$2:$S$1795,$N1274)</f>
        <v>0</v>
      </c>
      <c r="Y1274" s="32" t="n">
        <f aca="false">INDEX('Tabela Passaro'!$U$2:$U$1795,$N1274)</f>
        <v>0</v>
      </c>
      <c r="Z1274" s="32" t="n">
        <f aca="false">INDEX('Tabela Passaro'!$V$2:$V$1795,$N1274)</f>
        <v>0</v>
      </c>
      <c r="AA1274" s="32" t="n">
        <f aca="false">SUM(R1274:Z1274)</f>
        <v>135.64271</v>
      </c>
      <c r="AB1274" s="33" t="n">
        <f aca="false">INDEX(Premissas!$B$5:$B$13,MATCH(A1274,Premissas!$A$5:$A$13,0))</f>
        <v>0.07</v>
      </c>
      <c r="AC1274" s="32" t="n">
        <f aca="false">AA1274/(1-AB1274)-AA1274</f>
        <v>10.209666344086</v>
      </c>
      <c r="AD1274" s="32" t="n">
        <f aca="false">ROUND(AA1274+AC1274,2)</f>
        <v>145.85</v>
      </c>
      <c r="AE1274" s="32" t="n">
        <f aca="false">AD1274-L1274</f>
        <v>-12.99</v>
      </c>
      <c r="AF1274" s="34" t="n">
        <f aca="false">IF(L1274=0,0,AE1274/L1274)</f>
        <v>-0.0817804079576933</v>
      </c>
      <c r="AG1274" s="22" t="str">
        <f aca="false">IF(AD1274&lt;L1274,"PASSARO","ATUAL")</f>
        <v>PASSARO</v>
      </c>
      <c r="AH1274" s="22" t="str">
        <f aca="false">IF(P1274&lt;&gt;A1274,"Faixa cadastrada como "&amp;P1274&amp;" na tabela; preço aplicado pela UF do CEP","")</f>
        <v/>
      </c>
      <c r="AI1274" s="26" t="n">
        <v>182.06</v>
      </c>
      <c r="AJ1274" s="22" t="str">
        <f aca="false">INDEX('Tabela Passaro'!$X$2:$X$1795,$N1274)</f>
        <v>CAPITAL</v>
      </c>
    </row>
    <row r="1275" customFormat="false" ht="15" hidden="false" customHeight="false" outlineLevel="0" collapsed="false">
      <c r="A1275" s="22" t="s">
        <v>20</v>
      </c>
      <c r="B1275" s="22" t="n">
        <v>1</v>
      </c>
      <c r="C1275" s="22" t="s">
        <v>147</v>
      </c>
      <c r="D1275" s="22" t="s">
        <v>30</v>
      </c>
      <c r="E1275" s="22" t="s">
        <v>7326</v>
      </c>
      <c r="F1275" s="22" t="n">
        <v>526100</v>
      </c>
      <c r="G1275" s="30" t="n">
        <v>46253</v>
      </c>
      <c r="H1275" s="22" t="n">
        <v>626998</v>
      </c>
      <c r="I1275" s="22" t="s">
        <v>8489</v>
      </c>
      <c r="J1275" s="31" t="n">
        <v>22</v>
      </c>
      <c r="K1275" s="26" t="n">
        <v>882.23</v>
      </c>
      <c r="L1275" s="26" t="n">
        <v>132.29</v>
      </c>
      <c r="M1275" s="22" t="s">
        <v>4802</v>
      </c>
      <c r="N1275" s="22" t="n">
        <f aca="false">MATCH(M1275,'Tabela Passaro'!$A$2:$A$1795,0)</f>
        <v>1150</v>
      </c>
      <c r="O1275" s="22" t="str">
        <f aca="false">INDEX('Tabela Passaro'!$C$2:$C$1795,$N1275)</f>
        <v>RECIFE</v>
      </c>
      <c r="P1275" s="22" t="str">
        <f aca="false">INDEX('Tabela Passaro'!$B$2:$B$1795,$N1275)</f>
        <v>PE</v>
      </c>
      <c r="Q1275" s="22" t="n">
        <f aca="false">INDEX('Tabela Passaro'!$F$2:$F$1795,$N1275)</f>
        <v>8</v>
      </c>
      <c r="R1275" s="32" t="n">
        <f aca="false">IF(J1275&lt;=10,INDEX('Tabela Passaro'!$G$2:$G$1795,$N1275),IF(J1275&lt;=30,INDEX('Tabela Passaro'!$H$2:$H$1795,$N1275),IF(J1275&lt;=50,INDEX('Tabela Passaro'!$I$2:$I$1795,$N1275),IF(J1275&lt;=70,INDEX('Tabela Passaro'!$J$2:$J$1795,$N1275),IF(J1275&lt;=100,INDEX('Tabela Passaro'!$K$2:$K$1795,$N1275),INDEX('Tabela Passaro'!$K$2:$K$1795,$N1275)+(J1275-100)*INDEX('Tabela Passaro'!$L$2:$L$1795,$N1275))))))</f>
        <v>66.55</v>
      </c>
      <c r="S1275" s="32" t="n">
        <f aca="false">K1275*INDEX('Tabela Passaro'!$M$2:$M$1795,$N1275)</f>
        <v>4.41115</v>
      </c>
      <c r="T1275" s="32" t="n">
        <f aca="false">K1275*INDEX('Tabela Passaro'!$N$2:$N$1795,$N1275)</f>
        <v>1.76446</v>
      </c>
      <c r="U1275" s="32" t="n">
        <f aca="false">INDEX('Tabela Passaro'!$O$2:$O$1795,$N1275)</f>
        <v>5</v>
      </c>
      <c r="V1275" s="32" t="n">
        <f aca="false">ROUNDUP(J1275/INDEX('Tabela Passaro'!$Q$2:$Q$1795,$N1275),0)*INDEX('Tabela Passaro'!$P$2:$P$1795,$N1275)</f>
        <v>5</v>
      </c>
      <c r="W1275" s="32" t="n">
        <f aca="false">INDEX('Tabela Passaro'!$R$2:$R$1795,$N1275)</f>
        <v>30</v>
      </c>
      <c r="X1275" s="32" t="n">
        <f aca="false">ROUNDUP(J1275/INDEX('Tabela Passaro'!$T$2:$T$1795,$N1275),0)*INDEX('Tabela Passaro'!$S$2:$S$1795,$N1275)</f>
        <v>0</v>
      </c>
      <c r="Y1275" s="32" t="n">
        <f aca="false">INDEX('Tabela Passaro'!$U$2:$U$1795,$N1275)</f>
        <v>0</v>
      </c>
      <c r="Z1275" s="32" t="n">
        <f aca="false">INDEX('Tabela Passaro'!$V$2:$V$1795,$N1275)</f>
        <v>0</v>
      </c>
      <c r="AA1275" s="32" t="n">
        <f aca="false">SUM(R1275:Z1275)</f>
        <v>112.72561</v>
      </c>
      <c r="AB1275" s="33" t="n">
        <f aca="false">INDEX(Premissas!$B$5:$B$13,MATCH(A1275,Premissas!$A$5:$A$13,0))</f>
        <v>0.07</v>
      </c>
      <c r="AC1275" s="32" t="n">
        <f aca="false">AA1275/(1-AB1275)-AA1275</f>
        <v>8.48472333333334</v>
      </c>
      <c r="AD1275" s="32" t="n">
        <f aca="false">ROUND(AA1275+AC1275,2)</f>
        <v>121.21</v>
      </c>
      <c r="AE1275" s="32" t="n">
        <f aca="false">AD1275-L1275</f>
        <v>-11.08</v>
      </c>
      <c r="AF1275" s="34" t="n">
        <f aca="false">IF(L1275=0,0,AE1275/L1275)</f>
        <v>-0.0837553858946254</v>
      </c>
      <c r="AG1275" s="22" t="str">
        <f aca="false">IF(AD1275&lt;L1275,"PASSARO","ATUAL")</f>
        <v>PASSARO</v>
      </c>
      <c r="AH1275" s="22" t="str">
        <f aca="false">IF(P1275&lt;&gt;A1275,"Faixa cadastrada como "&amp;P1275&amp;" na tabela; preço aplicado pela UF do CEP","")</f>
        <v/>
      </c>
      <c r="AI1275" s="26" t="n">
        <v>143.22</v>
      </c>
      <c r="AJ1275" s="22" t="str">
        <f aca="false">INDEX('Tabela Passaro'!$X$2:$X$1795,$N1275)</f>
        <v>CAPITAL</v>
      </c>
    </row>
    <row r="1276" customFormat="false" ht="15" hidden="false" customHeight="false" outlineLevel="0" collapsed="false">
      <c r="A1276" s="22" t="s">
        <v>20</v>
      </c>
      <c r="B1276" s="22" t="n">
        <v>1</v>
      </c>
      <c r="C1276" s="22" t="s">
        <v>147</v>
      </c>
      <c r="D1276" s="22" t="s">
        <v>30</v>
      </c>
      <c r="E1276" s="22" t="s">
        <v>7326</v>
      </c>
      <c r="F1276" s="22" t="n">
        <v>526110</v>
      </c>
      <c r="G1276" s="30" t="n">
        <v>46253</v>
      </c>
      <c r="H1276" s="22" t="n">
        <v>627008</v>
      </c>
      <c r="I1276" s="22" t="s">
        <v>8490</v>
      </c>
      <c r="J1276" s="31" t="n">
        <v>57</v>
      </c>
      <c r="K1276" s="26" t="n">
        <v>957.52</v>
      </c>
      <c r="L1276" s="26" t="n">
        <v>218.01</v>
      </c>
      <c r="M1276" s="22" t="s">
        <v>4802</v>
      </c>
      <c r="N1276" s="22" t="n">
        <f aca="false">MATCH(M1276,'Tabela Passaro'!$A$2:$A$1795,0)</f>
        <v>1150</v>
      </c>
      <c r="O1276" s="22" t="str">
        <f aca="false">INDEX('Tabela Passaro'!$C$2:$C$1795,$N1276)</f>
        <v>RECIFE</v>
      </c>
      <c r="P1276" s="22" t="str">
        <f aca="false">INDEX('Tabela Passaro'!$B$2:$B$1795,$N1276)</f>
        <v>PE</v>
      </c>
      <c r="Q1276" s="22" t="n">
        <f aca="false">INDEX('Tabela Passaro'!$F$2:$F$1795,$N1276)</f>
        <v>8</v>
      </c>
      <c r="R1276" s="32" t="n">
        <f aca="false">IF(J1276&lt;=10,INDEX('Tabela Passaro'!$G$2:$G$1795,$N1276),IF(J1276&lt;=30,INDEX('Tabela Passaro'!$H$2:$H$1795,$N1276),IF(J1276&lt;=50,INDEX('Tabela Passaro'!$I$2:$I$1795,$N1276),IF(J1276&lt;=70,INDEX('Tabela Passaro'!$J$2:$J$1795,$N1276),IF(J1276&lt;=100,INDEX('Tabela Passaro'!$K$2:$K$1795,$N1276),INDEX('Tabela Passaro'!$K$2:$K$1795,$N1276)+(J1276-100)*INDEX('Tabela Passaro'!$L$2:$L$1795,$N1276))))))</f>
        <v>99.61</v>
      </c>
      <c r="S1276" s="32" t="n">
        <f aca="false">K1276*INDEX('Tabela Passaro'!$M$2:$M$1795,$N1276)</f>
        <v>4.7876</v>
      </c>
      <c r="T1276" s="32" t="n">
        <f aca="false">K1276*INDEX('Tabela Passaro'!$N$2:$N$1795,$N1276)</f>
        <v>1.91504</v>
      </c>
      <c r="U1276" s="32" t="n">
        <f aca="false">INDEX('Tabela Passaro'!$O$2:$O$1795,$N1276)</f>
        <v>5</v>
      </c>
      <c r="V1276" s="32" t="n">
        <f aca="false">ROUNDUP(J1276/INDEX('Tabela Passaro'!$Q$2:$Q$1795,$N1276),0)*INDEX('Tabela Passaro'!$P$2:$P$1795,$N1276)</f>
        <v>5</v>
      </c>
      <c r="W1276" s="32" t="n">
        <f aca="false">INDEX('Tabela Passaro'!$R$2:$R$1795,$N1276)</f>
        <v>30</v>
      </c>
      <c r="X1276" s="32" t="n">
        <f aca="false">ROUNDUP(J1276/INDEX('Tabela Passaro'!$T$2:$T$1795,$N1276),0)*INDEX('Tabela Passaro'!$S$2:$S$1795,$N1276)</f>
        <v>0</v>
      </c>
      <c r="Y1276" s="32" t="n">
        <f aca="false">INDEX('Tabela Passaro'!$U$2:$U$1795,$N1276)</f>
        <v>0</v>
      </c>
      <c r="Z1276" s="32" t="n">
        <f aca="false">INDEX('Tabela Passaro'!$V$2:$V$1795,$N1276)</f>
        <v>0</v>
      </c>
      <c r="AA1276" s="32" t="n">
        <f aca="false">SUM(R1276:Z1276)</f>
        <v>146.31264</v>
      </c>
      <c r="AB1276" s="33" t="n">
        <f aca="false">INDEX(Premissas!$B$5:$B$13,MATCH(A1276,Premissas!$A$5:$A$13,0))</f>
        <v>0.07</v>
      </c>
      <c r="AC1276" s="32" t="n">
        <f aca="false">AA1276/(1-AB1276)-AA1276</f>
        <v>11.0127793548387</v>
      </c>
      <c r="AD1276" s="32" t="n">
        <f aca="false">ROUND(AA1276+AC1276,2)</f>
        <v>157.33</v>
      </c>
      <c r="AE1276" s="32" t="n">
        <f aca="false">AD1276-L1276</f>
        <v>-60.68</v>
      </c>
      <c r="AF1276" s="34" t="n">
        <f aca="false">IF(L1276=0,0,AE1276/L1276)</f>
        <v>-0.278335856153387</v>
      </c>
      <c r="AG1276" s="22" t="str">
        <f aca="false">IF(AD1276&lt;L1276,"PASSARO","ATUAL")</f>
        <v>PASSARO</v>
      </c>
      <c r="AH1276" s="22" t="str">
        <f aca="false">IF(P1276&lt;&gt;A1276,"Faixa cadastrada como "&amp;P1276&amp;" na tabela; preço aplicado pela UF do CEP","")</f>
        <v/>
      </c>
      <c r="AI1276" s="26" t="n">
        <v>198.46</v>
      </c>
      <c r="AJ1276" s="22" t="str">
        <f aca="false">INDEX('Tabela Passaro'!$X$2:$X$1795,$N1276)</f>
        <v>CAPITAL</v>
      </c>
    </row>
    <row r="1277" customFormat="false" ht="15" hidden="false" customHeight="false" outlineLevel="0" collapsed="false">
      <c r="A1277" s="22" t="s">
        <v>20</v>
      </c>
      <c r="B1277" s="22" t="n">
        <v>1</v>
      </c>
      <c r="C1277" s="22" t="s">
        <v>147</v>
      </c>
      <c r="D1277" s="22" t="s">
        <v>30</v>
      </c>
      <c r="E1277" s="22" t="s">
        <v>7326</v>
      </c>
      <c r="F1277" s="22" t="n">
        <v>526139</v>
      </c>
      <c r="G1277" s="30" t="n">
        <v>46253</v>
      </c>
      <c r="H1277" s="22" t="n">
        <v>627151</v>
      </c>
      <c r="I1277" s="22" t="s">
        <v>8491</v>
      </c>
      <c r="J1277" s="31" t="n">
        <v>25.4</v>
      </c>
      <c r="K1277" s="26" t="n">
        <v>475.12</v>
      </c>
      <c r="L1277" s="26" t="n">
        <v>128.84</v>
      </c>
      <c r="M1277" s="22" t="s">
        <v>4802</v>
      </c>
      <c r="N1277" s="22" t="n">
        <f aca="false">MATCH(M1277,'Tabela Passaro'!$A$2:$A$1795,0)</f>
        <v>1150</v>
      </c>
      <c r="O1277" s="22" t="str">
        <f aca="false">INDEX('Tabela Passaro'!$C$2:$C$1795,$N1277)</f>
        <v>RECIFE</v>
      </c>
      <c r="P1277" s="22" t="str">
        <f aca="false">INDEX('Tabela Passaro'!$B$2:$B$1795,$N1277)</f>
        <v>PE</v>
      </c>
      <c r="Q1277" s="22" t="n">
        <f aca="false">INDEX('Tabela Passaro'!$F$2:$F$1795,$N1277)</f>
        <v>8</v>
      </c>
      <c r="R1277" s="32" t="n">
        <f aca="false">IF(J1277&lt;=10,INDEX('Tabela Passaro'!$G$2:$G$1795,$N1277),IF(J1277&lt;=30,INDEX('Tabela Passaro'!$H$2:$H$1795,$N1277),IF(J1277&lt;=50,INDEX('Tabela Passaro'!$I$2:$I$1795,$N1277),IF(J1277&lt;=70,INDEX('Tabela Passaro'!$J$2:$J$1795,$N1277),IF(J1277&lt;=100,INDEX('Tabela Passaro'!$K$2:$K$1795,$N1277),INDEX('Tabela Passaro'!$K$2:$K$1795,$N1277)+(J1277-100)*INDEX('Tabela Passaro'!$L$2:$L$1795,$N1277))))))</f>
        <v>66.55</v>
      </c>
      <c r="S1277" s="32" t="n">
        <f aca="false">K1277*INDEX('Tabela Passaro'!$M$2:$M$1795,$N1277)</f>
        <v>2.3756</v>
      </c>
      <c r="T1277" s="32" t="n">
        <f aca="false">K1277*INDEX('Tabela Passaro'!$N$2:$N$1795,$N1277)</f>
        <v>0.95024</v>
      </c>
      <c r="U1277" s="32" t="n">
        <f aca="false">INDEX('Tabela Passaro'!$O$2:$O$1795,$N1277)</f>
        <v>5</v>
      </c>
      <c r="V1277" s="32" t="n">
        <f aca="false">ROUNDUP(J1277/INDEX('Tabela Passaro'!$Q$2:$Q$1795,$N1277),0)*INDEX('Tabela Passaro'!$P$2:$P$1795,$N1277)</f>
        <v>5</v>
      </c>
      <c r="W1277" s="32" t="n">
        <f aca="false">INDEX('Tabela Passaro'!$R$2:$R$1795,$N1277)</f>
        <v>30</v>
      </c>
      <c r="X1277" s="32" t="n">
        <f aca="false">ROUNDUP(J1277/INDEX('Tabela Passaro'!$T$2:$T$1795,$N1277),0)*INDEX('Tabela Passaro'!$S$2:$S$1795,$N1277)</f>
        <v>0</v>
      </c>
      <c r="Y1277" s="32" t="n">
        <f aca="false">INDEX('Tabela Passaro'!$U$2:$U$1795,$N1277)</f>
        <v>0</v>
      </c>
      <c r="Z1277" s="32" t="n">
        <f aca="false">INDEX('Tabela Passaro'!$V$2:$V$1795,$N1277)</f>
        <v>0</v>
      </c>
      <c r="AA1277" s="32" t="n">
        <f aca="false">SUM(R1277:Z1277)</f>
        <v>109.87584</v>
      </c>
      <c r="AB1277" s="33" t="n">
        <f aca="false">INDEX(Premissas!$B$5:$B$13,MATCH(A1277,Premissas!$A$5:$A$13,0))</f>
        <v>0.07</v>
      </c>
      <c r="AC1277" s="32" t="n">
        <f aca="false">AA1277/(1-AB1277)-AA1277</f>
        <v>8.27022451612903</v>
      </c>
      <c r="AD1277" s="32" t="n">
        <f aca="false">ROUND(AA1277+AC1277,2)</f>
        <v>118.15</v>
      </c>
      <c r="AE1277" s="32" t="n">
        <f aca="false">AD1277-L1277</f>
        <v>-10.69</v>
      </c>
      <c r="AF1277" s="34" t="n">
        <f aca="false">IF(L1277=0,0,AE1277/L1277)</f>
        <v>-0.082971126979199</v>
      </c>
      <c r="AG1277" s="22" t="str">
        <f aca="false">IF(AD1277&lt;L1277,"PASSARO","ATUAL")</f>
        <v>PASSARO</v>
      </c>
      <c r="AH1277" s="22" t="str">
        <f aca="false">IF(P1277&lt;&gt;A1277,"Faixa cadastrada como "&amp;P1277&amp;" na tabela; preço aplicado pela UF do CEP","")</f>
        <v/>
      </c>
      <c r="AI1277" s="26" t="n">
        <v>141.21</v>
      </c>
      <c r="AJ1277" s="22" t="str">
        <f aca="false">INDEX('Tabela Passaro'!$X$2:$X$1795,$N1277)</f>
        <v>CAPITAL</v>
      </c>
    </row>
    <row r="1278" customFormat="false" ht="15" hidden="false" customHeight="false" outlineLevel="0" collapsed="false">
      <c r="A1278" s="22" t="s">
        <v>20</v>
      </c>
      <c r="B1278" s="22" t="n">
        <v>1</v>
      </c>
      <c r="C1278" s="22" t="s">
        <v>147</v>
      </c>
      <c r="D1278" s="22" t="s">
        <v>30</v>
      </c>
      <c r="E1278" s="22" t="s">
        <v>20</v>
      </c>
      <c r="F1278" s="22" t="n">
        <v>839633</v>
      </c>
      <c r="G1278" s="30" t="n">
        <v>46254</v>
      </c>
      <c r="H1278" s="22" t="n">
        <v>32558</v>
      </c>
      <c r="I1278" s="22" t="s">
        <v>8492</v>
      </c>
      <c r="J1278" s="31" t="n">
        <v>39</v>
      </c>
      <c r="K1278" s="26" t="n">
        <v>605.04</v>
      </c>
      <c r="L1278" s="26" t="n">
        <v>100.79</v>
      </c>
      <c r="M1278" s="22" t="s">
        <v>4802</v>
      </c>
      <c r="N1278" s="22" t="n">
        <f aca="false">MATCH(M1278,'Tabela Passaro'!$A$2:$A$1795,0)</f>
        <v>1150</v>
      </c>
      <c r="O1278" s="22" t="str">
        <f aca="false">INDEX('Tabela Passaro'!$C$2:$C$1795,$N1278)</f>
        <v>RECIFE</v>
      </c>
      <c r="P1278" s="22" t="str">
        <f aca="false">INDEX('Tabela Passaro'!$B$2:$B$1795,$N1278)</f>
        <v>PE</v>
      </c>
      <c r="Q1278" s="22" t="n">
        <f aca="false">INDEX('Tabela Passaro'!$F$2:$F$1795,$N1278)</f>
        <v>8</v>
      </c>
      <c r="R1278" s="32" t="n">
        <f aca="false">IF(J1278&lt;=10,INDEX('Tabela Passaro'!$G$2:$G$1795,$N1278),IF(J1278&lt;=30,INDEX('Tabela Passaro'!$H$2:$H$1795,$N1278),IF(J1278&lt;=50,INDEX('Tabela Passaro'!$I$2:$I$1795,$N1278),IF(J1278&lt;=70,INDEX('Tabela Passaro'!$J$2:$J$1795,$N1278),IF(J1278&lt;=100,INDEX('Tabela Passaro'!$K$2:$K$1795,$N1278),INDEX('Tabela Passaro'!$K$2:$K$1795,$N1278)+(J1278-100)*INDEX('Tabela Passaro'!$L$2:$L$1795,$N1278))))))</f>
        <v>88.59</v>
      </c>
      <c r="S1278" s="32" t="n">
        <f aca="false">K1278*INDEX('Tabela Passaro'!$M$2:$M$1795,$N1278)</f>
        <v>3.0252</v>
      </c>
      <c r="T1278" s="32" t="n">
        <f aca="false">K1278*INDEX('Tabela Passaro'!$N$2:$N$1795,$N1278)</f>
        <v>1.21008</v>
      </c>
      <c r="U1278" s="32" t="n">
        <f aca="false">INDEX('Tabela Passaro'!$O$2:$O$1795,$N1278)</f>
        <v>5</v>
      </c>
      <c r="V1278" s="32" t="n">
        <f aca="false">ROUNDUP(J1278/INDEX('Tabela Passaro'!$Q$2:$Q$1795,$N1278),0)*INDEX('Tabela Passaro'!$P$2:$P$1795,$N1278)</f>
        <v>5</v>
      </c>
      <c r="W1278" s="32" t="n">
        <f aca="false">INDEX('Tabela Passaro'!$R$2:$R$1795,$N1278)</f>
        <v>30</v>
      </c>
      <c r="X1278" s="32" t="n">
        <f aca="false">ROUNDUP(J1278/INDEX('Tabela Passaro'!$T$2:$T$1795,$N1278),0)*INDEX('Tabela Passaro'!$S$2:$S$1795,$N1278)</f>
        <v>0</v>
      </c>
      <c r="Y1278" s="32" t="n">
        <f aca="false">INDEX('Tabela Passaro'!$U$2:$U$1795,$N1278)</f>
        <v>0</v>
      </c>
      <c r="Z1278" s="32" t="n">
        <f aca="false">INDEX('Tabela Passaro'!$V$2:$V$1795,$N1278)</f>
        <v>0</v>
      </c>
      <c r="AA1278" s="32" t="n">
        <f aca="false">SUM(R1278:Z1278)</f>
        <v>132.82528</v>
      </c>
      <c r="AB1278" s="33" t="n">
        <f aca="false">INDEX(Premissas!$B$5:$B$13,MATCH(A1278,Premissas!$A$5:$A$13,0))</f>
        <v>0.07</v>
      </c>
      <c r="AC1278" s="32" t="n">
        <f aca="false">AA1278/(1-AB1278)-AA1278</f>
        <v>9.99760172043011</v>
      </c>
      <c r="AD1278" s="32" t="n">
        <f aca="false">ROUND(AA1278+AC1278,2)</f>
        <v>142.82</v>
      </c>
      <c r="AE1278" s="32" t="n">
        <f aca="false">AD1278-L1278</f>
        <v>42.03</v>
      </c>
      <c r="AF1278" s="34" t="n">
        <f aca="false">IF(L1278=0,0,AE1278/L1278)</f>
        <v>0.417005655322949</v>
      </c>
      <c r="AG1278" s="22" t="str">
        <f aca="false">IF(AD1278&lt;L1278,"PASSARO","ATUAL")</f>
        <v>ATUAL</v>
      </c>
      <c r="AH1278" s="22" t="str">
        <f aca="false">IF(P1278&lt;&gt;A1278,"Faixa cadastrada como "&amp;P1278&amp;" na tabela; preço aplicado pela UF do CEP","")</f>
        <v/>
      </c>
      <c r="AI1278" s="26" t="n">
        <v>173.81</v>
      </c>
      <c r="AJ1278" s="22" t="str">
        <f aca="false">INDEX('Tabela Passaro'!$X$2:$X$1795,$N1278)</f>
        <v>CAPITAL</v>
      </c>
    </row>
    <row r="1279" customFormat="false" ht="15" hidden="false" customHeight="false" outlineLevel="0" collapsed="false">
      <c r="A1279" s="22" t="s">
        <v>20</v>
      </c>
      <c r="B1279" s="22" t="n">
        <v>1</v>
      </c>
      <c r="C1279" s="22" t="s">
        <v>147</v>
      </c>
      <c r="D1279" s="22" t="s">
        <v>30</v>
      </c>
      <c r="E1279" s="22" t="s">
        <v>7328</v>
      </c>
      <c r="F1279" s="22" t="n">
        <v>2314422</v>
      </c>
      <c r="G1279" s="30" t="n">
        <v>46254</v>
      </c>
      <c r="H1279" s="22" t="n">
        <v>134086</v>
      </c>
      <c r="I1279" s="22" t="s">
        <v>8493</v>
      </c>
      <c r="J1279" s="31" t="n">
        <v>38.15</v>
      </c>
      <c r="K1279" s="26" t="n">
        <v>591.03</v>
      </c>
      <c r="L1279" s="26" t="n">
        <v>155.55</v>
      </c>
      <c r="M1279" s="22" t="s">
        <v>4802</v>
      </c>
      <c r="N1279" s="22" t="n">
        <f aca="false">MATCH(M1279,'Tabela Passaro'!$A$2:$A$1795,0)</f>
        <v>1150</v>
      </c>
      <c r="O1279" s="22" t="str">
        <f aca="false">INDEX('Tabela Passaro'!$C$2:$C$1795,$N1279)</f>
        <v>RECIFE</v>
      </c>
      <c r="P1279" s="22" t="str">
        <f aca="false">INDEX('Tabela Passaro'!$B$2:$B$1795,$N1279)</f>
        <v>PE</v>
      </c>
      <c r="Q1279" s="22" t="n">
        <f aca="false">INDEX('Tabela Passaro'!$F$2:$F$1795,$N1279)</f>
        <v>8</v>
      </c>
      <c r="R1279" s="32" t="n">
        <f aca="false">IF(J1279&lt;=10,INDEX('Tabela Passaro'!$G$2:$G$1795,$N1279),IF(J1279&lt;=30,INDEX('Tabela Passaro'!$H$2:$H$1795,$N1279),IF(J1279&lt;=50,INDEX('Tabela Passaro'!$I$2:$I$1795,$N1279),IF(J1279&lt;=70,INDEX('Tabela Passaro'!$J$2:$J$1795,$N1279),IF(J1279&lt;=100,INDEX('Tabela Passaro'!$K$2:$K$1795,$N1279),INDEX('Tabela Passaro'!$K$2:$K$1795,$N1279)+(J1279-100)*INDEX('Tabela Passaro'!$L$2:$L$1795,$N1279))))))</f>
        <v>88.59</v>
      </c>
      <c r="S1279" s="32" t="n">
        <f aca="false">K1279*INDEX('Tabela Passaro'!$M$2:$M$1795,$N1279)</f>
        <v>2.95515</v>
      </c>
      <c r="T1279" s="32" t="n">
        <f aca="false">K1279*INDEX('Tabela Passaro'!$N$2:$N$1795,$N1279)</f>
        <v>1.18206</v>
      </c>
      <c r="U1279" s="32" t="n">
        <f aca="false">INDEX('Tabela Passaro'!$O$2:$O$1795,$N1279)</f>
        <v>5</v>
      </c>
      <c r="V1279" s="32" t="n">
        <f aca="false">ROUNDUP(J1279/INDEX('Tabela Passaro'!$Q$2:$Q$1795,$N1279),0)*INDEX('Tabela Passaro'!$P$2:$P$1795,$N1279)</f>
        <v>5</v>
      </c>
      <c r="W1279" s="32" t="n">
        <f aca="false">INDEX('Tabela Passaro'!$R$2:$R$1795,$N1279)</f>
        <v>30</v>
      </c>
      <c r="X1279" s="32" t="n">
        <f aca="false">ROUNDUP(J1279/INDEX('Tabela Passaro'!$T$2:$T$1795,$N1279),0)*INDEX('Tabela Passaro'!$S$2:$S$1795,$N1279)</f>
        <v>0</v>
      </c>
      <c r="Y1279" s="32" t="n">
        <f aca="false">INDEX('Tabela Passaro'!$U$2:$U$1795,$N1279)</f>
        <v>0</v>
      </c>
      <c r="Z1279" s="32" t="n">
        <f aca="false">INDEX('Tabela Passaro'!$V$2:$V$1795,$N1279)</f>
        <v>0</v>
      </c>
      <c r="AA1279" s="32" t="n">
        <f aca="false">SUM(R1279:Z1279)</f>
        <v>132.72721</v>
      </c>
      <c r="AB1279" s="33" t="n">
        <f aca="false">INDEX(Premissas!$B$5:$B$13,MATCH(A1279,Premissas!$A$5:$A$13,0))</f>
        <v>0.07</v>
      </c>
      <c r="AC1279" s="32" t="n">
        <f aca="false">AA1279/(1-AB1279)-AA1279</f>
        <v>9.99022010752688</v>
      </c>
      <c r="AD1279" s="32" t="n">
        <f aca="false">ROUND(AA1279+AC1279,2)</f>
        <v>142.72</v>
      </c>
      <c r="AE1279" s="32" t="n">
        <f aca="false">AD1279-L1279</f>
        <v>-12.83</v>
      </c>
      <c r="AF1279" s="34" t="n">
        <f aca="false">IF(L1279=0,0,AE1279/L1279)</f>
        <v>-0.0824815171970428</v>
      </c>
      <c r="AG1279" s="22" t="str">
        <f aca="false">IF(AD1279&lt;L1279,"PASSARO","ATUAL")</f>
        <v>PASSARO</v>
      </c>
      <c r="AH1279" s="22" t="str">
        <f aca="false">IF(P1279&lt;&gt;A1279,"Faixa cadastrada como "&amp;P1279&amp;" na tabela; preço aplicado pela UF do CEP","")</f>
        <v/>
      </c>
      <c r="AI1279" s="26" t="n">
        <v>173.68</v>
      </c>
      <c r="AJ1279" s="22" t="str">
        <f aca="false">INDEX('Tabela Passaro'!$X$2:$X$1795,$N1279)</f>
        <v>CAPITAL</v>
      </c>
    </row>
    <row r="1280" customFormat="false" ht="15" hidden="false" customHeight="false" outlineLevel="0" collapsed="false">
      <c r="A1280" s="22" t="s">
        <v>20</v>
      </c>
      <c r="B1280" s="22" t="n">
        <v>1</v>
      </c>
      <c r="C1280" s="22" t="s">
        <v>147</v>
      </c>
      <c r="D1280" s="22" t="s">
        <v>30</v>
      </c>
      <c r="E1280" s="22" t="s">
        <v>20</v>
      </c>
      <c r="F1280" s="22" t="n">
        <v>839830</v>
      </c>
      <c r="G1280" s="30" t="n">
        <v>46255</v>
      </c>
      <c r="H1280" s="22" t="n">
        <v>32590</v>
      </c>
      <c r="I1280" s="22" t="s">
        <v>8494</v>
      </c>
      <c r="J1280" s="31" t="n">
        <v>22.4</v>
      </c>
      <c r="K1280" s="26" t="n">
        <v>446.48</v>
      </c>
      <c r="L1280" s="26" t="n">
        <v>80.55</v>
      </c>
      <c r="M1280" s="22" t="s">
        <v>4802</v>
      </c>
      <c r="N1280" s="22" t="n">
        <f aca="false">MATCH(M1280,'Tabela Passaro'!$A$2:$A$1795,0)</f>
        <v>1150</v>
      </c>
      <c r="O1280" s="22" t="str">
        <f aca="false">INDEX('Tabela Passaro'!$C$2:$C$1795,$N1280)</f>
        <v>RECIFE</v>
      </c>
      <c r="P1280" s="22" t="str">
        <f aca="false">INDEX('Tabela Passaro'!$B$2:$B$1795,$N1280)</f>
        <v>PE</v>
      </c>
      <c r="Q1280" s="22" t="n">
        <f aca="false">INDEX('Tabela Passaro'!$F$2:$F$1795,$N1280)</f>
        <v>8</v>
      </c>
      <c r="R1280" s="32" t="n">
        <f aca="false">IF(J1280&lt;=10,INDEX('Tabela Passaro'!$G$2:$G$1795,$N1280),IF(J1280&lt;=30,INDEX('Tabela Passaro'!$H$2:$H$1795,$N1280),IF(J1280&lt;=50,INDEX('Tabela Passaro'!$I$2:$I$1795,$N1280),IF(J1280&lt;=70,INDEX('Tabela Passaro'!$J$2:$J$1795,$N1280),IF(J1280&lt;=100,INDEX('Tabela Passaro'!$K$2:$K$1795,$N1280),INDEX('Tabela Passaro'!$K$2:$K$1795,$N1280)+(J1280-100)*INDEX('Tabela Passaro'!$L$2:$L$1795,$N1280))))))</f>
        <v>66.55</v>
      </c>
      <c r="S1280" s="32" t="n">
        <f aca="false">K1280*INDEX('Tabela Passaro'!$M$2:$M$1795,$N1280)</f>
        <v>2.2324</v>
      </c>
      <c r="T1280" s="32" t="n">
        <f aca="false">K1280*INDEX('Tabela Passaro'!$N$2:$N$1795,$N1280)</f>
        <v>0.89296</v>
      </c>
      <c r="U1280" s="32" t="n">
        <f aca="false">INDEX('Tabela Passaro'!$O$2:$O$1795,$N1280)</f>
        <v>5</v>
      </c>
      <c r="V1280" s="32" t="n">
        <f aca="false">ROUNDUP(J1280/INDEX('Tabela Passaro'!$Q$2:$Q$1795,$N1280),0)*INDEX('Tabela Passaro'!$P$2:$P$1795,$N1280)</f>
        <v>5</v>
      </c>
      <c r="W1280" s="32" t="n">
        <f aca="false">INDEX('Tabela Passaro'!$R$2:$R$1795,$N1280)</f>
        <v>30</v>
      </c>
      <c r="X1280" s="32" t="n">
        <f aca="false">ROUNDUP(J1280/INDEX('Tabela Passaro'!$T$2:$T$1795,$N1280),0)*INDEX('Tabela Passaro'!$S$2:$S$1795,$N1280)</f>
        <v>0</v>
      </c>
      <c r="Y1280" s="32" t="n">
        <f aca="false">INDEX('Tabela Passaro'!$U$2:$U$1795,$N1280)</f>
        <v>0</v>
      </c>
      <c r="Z1280" s="32" t="n">
        <f aca="false">INDEX('Tabela Passaro'!$V$2:$V$1795,$N1280)</f>
        <v>0</v>
      </c>
      <c r="AA1280" s="32" t="n">
        <f aca="false">SUM(R1280:Z1280)</f>
        <v>109.67536</v>
      </c>
      <c r="AB1280" s="33" t="n">
        <f aca="false">INDEX(Premissas!$B$5:$B$13,MATCH(A1280,Premissas!$A$5:$A$13,0))</f>
        <v>0.07</v>
      </c>
      <c r="AC1280" s="32" t="n">
        <f aca="false">AA1280/(1-AB1280)-AA1280</f>
        <v>8.25513462365592</v>
      </c>
      <c r="AD1280" s="32" t="n">
        <f aca="false">ROUND(AA1280+AC1280,2)</f>
        <v>117.93</v>
      </c>
      <c r="AE1280" s="32" t="n">
        <f aca="false">AD1280-L1280</f>
        <v>37.38</v>
      </c>
      <c r="AF1280" s="34" t="n">
        <f aca="false">IF(L1280=0,0,AE1280/L1280)</f>
        <v>0.464059590316574</v>
      </c>
      <c r="AG1280" s="22" t="str">
        <f aca="false">IF(AD1280&lt;L1280,"PASSARO","ATUAL")</f>
        <v>ATUAL</v>
      </c>
      <c r="AH1280" s="22" t="str">
        <f aca="false">IF(P1280&lt;&gt;A1280,"Faixa cadastrada como "&amp;P1280&amp;" na tabela; preço aplicado pela UF do CEP","")</f>
        <v/>
      </c>
      <c r="AI1280" s="26" t="n">
        <v>139.48</v>
      </c>
      <c r="AJ1280" s="22" t="str">
        <f aca="false">INDEX('Tabela Passaro'!$X$2:$X$1795,$N1280)</f>
        <v>CAPITAL</v>
      </c>
    </row>
    <row r="1281" customFormat="false" ht="15" hidden="false" customHeight="false" outlineLevel="0" collapsed="false">
      <c r="A1281" s="22" t="s">
        <v>20</v>
      </c>
      <c r="B1281" s="22" t="n">
        <v>1</v>
      </c>
      <c r="C1281" s="22" t="s">
        <v>147</v>
      </c>
      <c r="D1281" s="22" t="s">
        <v>30</v>
      </c>
      <c r="E1281" s="22" t="s">
        <v>7326</v>
      </c>
      <c r="F1281" s="22" t="n">
        <v>526679</v>
      </c>
      <c r="G1281" s="30" t="n">
        <v>46255</v>
      </c>
      <c r="H1281" s="22" t="n">
        <v>627725</v>
      </c>
      <c r="I1281" s="22" t="s">
        <v>8436</v>
      </c>
      <c r="J1281" s="31" t="n">
        <v>33</v>
      </c>
      <c r="K1281" s="26" t="n">
        <v>670.99</v>
      </c>
      <c r="L1281" s="26" t="n">
        <v>177</v>
      </c>
      <c r="M1281" s="22" t="s">
        <v>4802</v>
      </c>
      <c r="N1281" s="22" t="n">
        <f aca="false">MATCH(M1281,'Tabela Passaro'!$A$2:$A$1795,0)</f>
        <v>1150</v>
      </c>
      <c r="O1281" s="22" t="str">
        <f aca="false">INDEX('Tabela Passaro'!$C$2:$C$1795,$N1281)</f>
        <v>RECIFE</v>
      </c>
      <c r="P1281" s="22" t="str">
        <f aca="false">INDEX('Tabela Passaro'!$B$2:$B$1795,$N1281)</f>
        <v>PE</v>
      </c>
      <c r="Q1281" s="22" t="n">
        <f aca="false">INDEX('Tabela Passaro'!$F$2:$F$1795,$N1281)</f>
        <v>8</v>
      </c>
      <c r="R1281" s="32" t="n">
        <f aca="false">IF(J1281&lt;=10,INDEX('Tabela Passaro'!$G$2:$G$1795,$N1281),IF(J1281&lt;=30,INDEX('Tabela Passaro'!$H$2:$H$1795,$N1281),IF(J1281&lt;=50,INDEX('Tabela Passaro'!$I$2:$I$1795,$N1281),IF(J1281&lt;=70,INDEX('Tabela Passaro'!$J$2:$J$1795,$N1281),IF(J1281&lt;=100,INDEX('Tabela Passaro'!$K$2:$K$1795,$N1281),INDEX('Tabela Passaro'!$K$2:$K$1795,$N1281)+(J1281-100)*INDEX('Tabela Passaro'!$L$2:$L$1795,$N1281))))))</f>
        <v>88.59</v>
      </c>
      <c r="S1281" s="32" t="n">
        <f aca="false">K1281*INDEX('Tabela Passaro'!$M$2:$M$1795,$N1281)</f>
        <v>3.35495</v>
      </c>
      <c r="T1281" s="32" t="n">
        <f aca="false">K1281*INDEX('Tabela Passaro'!$N$2:$N$1795,$N1281)</f>
        <v>1.34198</v>
      </c>
      <c r="U1281" s="32" t="n">
        <f aca="false">INDEX('Tabela Passaro'!$O$2:$O$1795,$N1281)</f>
        <v>5</v>
      </c>
      <c r="V1281" s="32" t="n">
        <f aca="false">ROUNDUP(J1281/INDEX('Tabela Passaro'!$Q$2:$Q$1795,$N1281),0)*INDEX('Tabela Passaro'!$P$2:$P$1795,$N1281)</f>
        <v>5</v>
      </c>
      <c r="W1281" s="32" t="n">
        <f aca="false">INDEX('Tabela Passaro'!$R$2:$R$1795,$N1281)</f>
        <v>30</v>
      </c>
      <c r="X1281" s="32" t="n">
        <f aca="false">ROUNDUP(J1281/INDEX('Tabela Passaro'!$T$2:$T$1795,$N1281),0)*INDEX('Tabela Passaro'!$S$2:$S$1795,$N1281)</f>
        <v>0</v>
      </c>
      <c r="Y1281" s="32" t="n">
        <f aca="false">INDEX('Tabela Passaro'!$U$2:$U$1795,$N1281)</f>
        <v>0</v>
      </c>
      <c r="Z1281" s="32" t="n">
        <f aca="false">INDEX('Tabela Passaro'!$V$2:$V$1795,$N1281)</f>
        <v>0</v>
      </c>
      <c r="AA1281" s="32" t="n">
        <f aca="false">SUM(R1281:Z1281)</f>
        <v>133.28693</v>
      </c>
      <c r="AB1281" s="33" t="n">
        <f aca="false">INDEX(Premissas!$B$5:$B$13,MATCH(A1281,Premissas!$A$5:$A$13,0))</f>
        <v>0.07</v>
      </c>
      <c r="AC1281" s="32" t="n">
        <f aca="false">AA1281/(1-AB1281)-AA1281</f>
        <v>10.0323495698925</v>
      </c>
      <c r="AD1281" s="32" t="n">
        <f aca="false">ROUND(AA1281+AC1281,2)</f>
        <v>143.32</v>
      </c>
      <c r="AE1281" s="32" t="n">
        <f aca="false">AD1281-L1281</f>
        <v>-33.68</v>
      </c>
      <c r="AF1281" s="34" t="n">
        <f aca="false">IF(L1281=0,0,AE1281/L1281)</f>
        <v>-0.190282485875706</v>
      </c>
      <c r="AG1281" s="22" t="str">
        <f aca="false">IF(AD1281&lt;L1281,"PASSARO","ATUAL")</f>
        <v>PASSARO</v>
      </c>
      <c r="AH1281" s="22" t="str">
        <f aca="false">IF(P1281&lt;&gt;A1281,"Faixa cadastrada como "&amp;P1281&amp;" na tabela; preço aplicado pela UF do CEP","")</f>
        <v/>
      </c>
      <c r="AI1281" s="26" t="n">
        <v>171.55</v>
      </c>
      <c r="AJ1281" s="22" t="str">
        <f aca="false">INDEX('Tabela Passaro'!$X$2:$X$1795,$N1281)</f>
        <v>CAPITAL</v>
      </c>
    </row>
    <row r="1282" customFormat="false" ht="15" hidden="false" customHeight="false" outlineLevel="0" collapsed="false">
      <c r="A1282" s="22" t="s">
        <v>20</v>
      </c>
      <c r="B1282" s="22" t="n">
        <v>1</v>
      </c>
      <c r="C1282" s="22" t="s">
        <v>147</v>
      </c>
      <c r="D1282" s="22" t="s">
        <v>30</v>
      </c>
      <c r="E1282" s="22" t="s">
        <v>7326</v>
      </c>
      <c r="F1282" s="22" t="n">
        <v>526633</v>
      </c>
      <c r="G1282" s="30" t="n">
        <v>46255</v>
      </c>
      <c r="H1282" s="22" t="n">
        <v>627737</v>
      </c>
      <c r="I1282" s="22" t="s">
        <v>8495</v>
      </c>
      <c r="J1282" s="31" t="n">
        <v>63</v>
      </c>
      <c r="K1282" s="26" t="n">
        <v>1189.98</v>
      </c>
      <c r="L1282" s="26" t="n">
        <v>219.99</v>
      </c>
      <c r="M1282" s="22" t="s">
        <v>4802</v>
      </c>
      <c r="N1282" s="22" t="n">
        <f aca="false">MATCH(M1282,'Tabela Passaro'!$A$2:$A$1795,0)</f>
        <v>1150</v>
      </c>
      <c r="O1282" s="22" t="str">
        <f aca="false">INDEX('Tabela Passaro'!$C$2:$C$1795,$N1282)</f>
        <v>RECIFE</v>
      </c>
      <c r="P1282" s="22" t="str">
        <f aca="false">INDEX('Tabela Passaro'!$B$2:$B$1795,$N1282)</f>
        <v>PE</v>
      </c>
      <c r="Q1282" s="22" t="n">
        <f aca="false">INDEX('Tabela Passaro'!$F$2:$F$1795,$N1282)</f>
        <v>8</v>
      </c>
      <c r="R1282" s="32" t="n">
        <f aca="false">IF(J1282&lt;=10,INDEX('Tabela Passaro'!$G$2:$G$1795,$N1282),IF(J1282&lt;=30,INDEX('Tabela Passaro'!$H$2:$H$1795,$N1282),IF(J1282&lt;=50,INDEX('Tabela Passaro'!$I$2:$I$1795,$N1282),IF(J1282&lt;=70,INDEX('Tabela Passaro'!$J$2:$J$1795,$N1282),IF(J1282&lt;=100,INDEX('Tabela Passaro'!$K$2:$K$1795,$N1282),INDEX('Tabela Passaro'!$K$2:$K$1795,$N1282)+(J1282-100)*INDEX('Tabela Passaro'!$L$2:$L$1795,$N1282))))))</f>
        <v>99.61</v>
      </c>
      <c r="S1282" s="32" t="n">
        <f aca="false">K1282*INDEX('Tabela Passaro'!$M$2:$M$1795,$N1282)</f>
        <v>5.9499</v>
      </c>
      <c r="T1282" s="32" t="n">
        <f aca="false">K1282*INDEX('Tabela Passaro'!$N$2:$N$1795,$N1282)</f>
        <v>2.37996</v>
      </c>
      <c r="U1282" s="32" t="n">
        <f aca="false">INDEX('Tabela Passaro'!$O$2:$O$1795,$N1282)</f>
        <v>5</v>
      </c>
      <c r="V1282" s="32" t="n">
        <f aca="false">ROUNDUP(J1282/INDEX('Tabela Passaro'!$Q$2:$Q$1795,$N1282),0)*INDEX('Tabela Passaro'!$P$2:$P$1795,$N1282)</f>
        <v>5</v>
      </c>
      <c r="W1282" s="32" t="n">
        <f aca="false">INDEX('Tabela Passaro'!$R$2:$R$1795,$N1282)</f>
        <v>30</v>
      </c>
      <c r="X1282" s="32" t="n">
        <f aca="false">ROUNDUP(J1282/INDEX('Tabela Passaro'!$T$2:$T$1795,$N1282),0)*INDEX('Tabela Passaro'!$S$2:$S$1795,$N1282)</f>
        <v>0</v>
      </c>
      <c r="Y1282" s="32" t="n">
        <f aca="false">INDEX('Tabela Passaro'!$U$2:$U$1795,$N1282)</f>
        <v>0</v>
      </c>
      <c r="Z1282" s="32" t="n">
        <f aca="false">INDEX('Tabela Passaro'!$V$2:$V$1795,$N1282)</f>
        <v>0</v>
      </c>
      <c r="AA1282" s="32" t="n">
        <f aca="false">SUM(R1282:Z1282)</f>
        <v>147.93986</v>
      </c>
      <c r="AB1282" s="33" t="n">
        <f aca="false">INDEX(Premissas!$B$5:$B$13,MATCH(A1282,Premissas!$A$5:$A$13,0))</f>
        <v>0.07</v>
      </c>
      <c r="AC1282" s="32" t="n">
        <f aca="false">AA1282/(1-AB1282)-AA1282</f>
        <v>11.1352582795699</v>
      </c>
      <c r="AD1282" s="32" t="n">
        <f aca="false">ROUND(AA1282+AC1282,2)</f>
        <v>159.08</v>
      </c>
      <c r="AE1282" s="32" t="n">
        <f aca="false">AD1282-L1282</f>
        <v>-60.91</v>
      </c>
      <c r="AF1282" s="34" t="n">
        <f aca="false">IF(L1282=0,0,AE1282/L1282)</f>
        <v>-0.276876221646438</v>
      </c>
      <c r="AG1282" s="22" t="str">
        <f aca="false">IF(AD1282&lt;L1282,"PASSARO","ATUAL")</f>
        <v>PASSARO</v>
      </c>
      <c r="AH1282" s="22" t="str">
        <f aca="false">IF(P1282&lt;&gt;A1282,"Faixa cadastrada como "&amp;P1282&amp;" na tabela; preço aplicado pela UF do CEP","")</f>
        <v/>
      </c>
      <c r="AI1282" s="26" t="n">
        <v>203.61</v>
      </c>
      <c r="AJ1282" s="22" t="str">
        <f aca="false">INDEX('Tabela Passaro'!$X$2:$X$1795,$N1282)</f>
        <v>CAPITAL</v>
      </c>
    </row>
    <row r="1283" customFormat="false" ht="15" hidden="false" customHeight="false" outlineLevel="0" collapsed="false">
      <c r="A1283" s="22" t="s">
        <v>20</v>
      </c>
      <c r="B1283" s="22" t="n">
        <v>1</v>
      </c>
      <c r="C1283" s="22" t="s">
        <v>147</v>
      </c>
      <c r="D1283" s="22" t="s">
        <v>30</v>
      </c>
      <c r="E1283" s="22" t="s">
        <v>20</v>
      </c>
      <c r="F1283" s="22" t="n">
        <v>839944</v>
      </c>
      <c r="G1283" s="30" t="n">
        <v>46258</v>
      </c>
      <c r="H1283" s="22" t="n">
        <v>32604</v>
      </c>
      <c r="I1283" s="22" t="s">
        <v>8496</v>
      </c>
      <c r="J1283" s="31" t="n">
        <v>69.11</v>
      </c>
      <c r="K1283" s="26" t="n">
        <v>1039.98</v>
      </c>
      <c r="L1283" s="26" t="n">
        <v>109.51</v>
      </c>
      <c r="M1283" s="22" t="s">
        <v>4802</v>
      </c>
      <c r="N1283" s="22" t="n">
        <f aca="false">MATCH(M1283,'Tabela Passaro'!$A$2:$A$1795,0)</f>
        <v>1150</v>
      </c>
      <c r="O1283" s="22" t="str">
        <f aca="false">INDEX('Tabela Passaro'!$C$2:$C$1795,$N1283)</f>
        <v>RECIFE</v>
      </c>
      <c r="P1283" s="22" t="str">
        <f aca="false">INDEX('Tabela Passaro'!$B$2:$B$1795,$N1283)</f>
        <v>PE</v>
      </c>
      <c r="Q1283" s="22" t="n">
        <f aca="false">INDEX('Tabela Passaro'!$F$2:$F$1795,$N1283)</f>
        <v>8</v>
      </c>
      <c r="R1283" s="32" t="n">
        <f aca="false">IF(J1283&lt;=10,INDEX('Tabela Passaro'!$G$2:$G$1795,$N1283),IF(J1283&lt;=30,INDEX('Tabela Passaro'!$H$2:$H$1795,$N1283),IF(J1283&lt;=50,INDEX('Tabela Passaro'!$I$2:$I$1795,$N1283),IF(J1283&lt;=70,INDEX('Tabela Passaro'!$J$2:$J$1795,$N1283),IF(J1283&lt;=100,INDEX('Tabela Passaro'!$K$2:$K$1795,$N1283),INDEX('Tabela Passaro'!$K$2:$K$1795,$N1283)+(J1283-100)*INDEX('Tabela Passaro'!$L$2:$L$1795,$N1283))))))</f>
        <v>99.61</v>
      </c>
      <c r="S1283" s="32" t="n">
        <f aca="false">K1283*INDEX('Tabela Passaro'!$M$2:$M$1795,$N1283)</f>
        <v>5.1999</v>
      </c>
      <c r="T1283" s="32" t="n">
        <f aca="false">K1283*INDEX('Tabela Passaro'!$N$2:$N$1795,$N1283)</f>
        <v>2.07996</v>
      </c>
      <c r="U1283" s="32" t="n">
        <f aca="false">INDEX('Tabela Passaro'!$O$2:$O$1795,$N1283)</f>
        <v>5</v>
      </c>
      <c r="V1283" s="32" t="n">
        <f aca="false">ROUNDUP(J1283/INDEX('Tabela Passaro'!$Q$2:$Q$1795,$N1283),0)*INDEX('Tabela Passaro'!$P$2:$P$1795,$N1283)</f>
        <v>5</v>
      </c>
      <c r="W1283" s="32" t="n">
        <f aca="false">INDEX('Tabela Passaro'!$R$2:$R$1795,$N1283)</f>
        <v>30</v>
      </c>
      <c r="X1283" s="32" t="n">
        <f aca="false">ROUNDUP(J1283/INDEX('Tabela Passaro'!$T$2:$T$1795,$N1283),0)*INDEX('Tabela Passaro'!$S$2:$S$1795,$N1283)</f>
        <v>0</v>
      </c>
      <c r="Y1283" s="32" t="n">
        <f aca="false">INDEX('Tabela Passaro'!$U$2:$U$1795,$N1283)</f>
        <v>0</v>
      </c>
      <c r="Z1283" s="32" t="n">
        <f aca="false">INDEX('Tabela Passaro'!$V$2:$V$1795,$N1283)</f>
        <v>0</v>
      </c>
      <c r="AA1283" s="32" t="n">
        <f aca="false">SUM(R1283:Z1283)</f>
        <v>146.88986</v>
      </c>
      <c r="AB1283" s="33" t="n">
        <f aca="false">INDEX(Premissas!$B$5:$B$13,MATCH(A1283,Premissas!$A$5:$A$13,0))</f>
        <v>0.07</v>
      </c>
      <c r="AC1283" s="32" t="n">
        <f aca="false">AA1283/(1-AB1283)-AA1283</f>
        <v>11.0562260215054</v>
      </c>
      <c r="AD1283" s="32" t="n">
        <f aca="false">ROUND(AA1283+AC1283,2)</f>
        <v>157.95</v>
      </c>
      <c r="AE1283" s="32" t="n">
        <f aca="false">AD1283-L1283</f>
        <v>48.44</v>
      </c>
      <c r="AF1283" s="34" t="n">
        <f aca="false">IF(L1283=0,0,AE1283/L1283)</f>
        <v>0.442334033421605</v>
      </c>
      <c r="AG1283" s="22" t="str">
        <f aca="false">IF(AD1283&lt;L1283,"PASSARO","ATUAL")</f>
        <v>ATUAL</v>
      </c>
      <c r="AH1283" s="22" t="str">
        <f aca="false">IF(P1283&lt;&gt;A1283,"Faixa cadastrada como "&amp;P1283&amp;" na tabela; preço aplicado pela UF do CEP","")</f>
        <v/>
      </c>
      <c r="AI1283" s="26" t="n">
        <v>205.55</v>
      </c>
      <c r="AJ1283" s="22" t="str">
        <f aca="false">INDEX('Tabela Passaro'!$X$2:$X$1795,$N1283)</f>
        <v>CAPITAL</v>
      </c>
    </row>
    <row r="1284" customFormat="false" ht="15" hidden="false" customHeight="false" outlineLevel="0" collapsed="false">
      <c r="A1284" s="22" t="s">
        <v>20</v>
      </c>
      <c r="B1284" s="22" t="n">
        <v>1</v>
      </c>
      <c r="C1284" s="22" t="s">
        <v>147</v>
      </c>
      <c r="D1284" s="22" t="s">
        <v>30</v>
      </c>
      <c r="E1284" s="22" t="s">
        <v>20</v>
      </c>
      <c r="F1284" s="22" t="n">
        <v>839928</v>
      </c>
      <c r="G1284" s="30" t="n">
        <v>46258</v>
      </c>
      <c r="H1284" s="22" t="n">
        <v>32615</v>
      </c>
      <c r="I1284" s="22" t="s">
        <v>8497</v>
      </c>
      <c r="J1284" s="31" t="n">
        <v>19.4</v>
      </c>
      <c r="K1284" s="26" t="n">
        <v>451.48</v>
      </c>
      <c r="L1284" s="26" t="n">
        <v>80.59</v>
      </c>
      <c r="M1284" s="22" t="s">
        <v>4802</v>
      </c>
      <c r="N1284" s="22" t="n">
        <f aca="false">MATCH(M1284,'Tabela Passaro'!$A$2:$A$1795,0)</f>
        <v>1150</v>
      </c>
      <c r="O1284" s="22" t="str">
        <f aca="false">INDEX('Tabela Passaro'!$C$2:$C$1795,$N1284)</f>
        <v>RECIFE</v>
      </c>
      <c r="P1284" s="22" t="str">
        <f aca="false">INDEX('Tabela Passaro'!$B$2:$B$1795,$N1284)</f>
        <v>PE</v>
      </c>
      <c r="Q1284" s="22" t="n">
        <f aca="false">INDEX('Tabela Passaro'!$F$2:$F$1795,$N1284)</f>
        <v>8</v>
      </c>
      <c r="R1284" s="32" t="n">
        <f aca="false">IF(J1284&lt;=10,INDEX('Tabela Passaro'!$G$2:$G$1795,$N1284),IF(J1284&lt;=30,INDEX('Tabela Passaro'!$H$2:$H$1795,$N1284),IF(J1284&lt;=50,INDEX('Tabela Passaro'!$I$2:$I$1795,$N1284),IF(J1284&lt;=70,INDEX('Tabela Passaro'!$J$2:$J$1795,$N1284),IF(J1284&lt;=100,INDEX('Tabela Passaro'!$K$2:$K$1795,$N1284),INDEX('Tabela Passaro'!$K$2:$K$1795,$N1284)+(J1284-100)*INDEX('Tabela Passaro'!$L$2:$L$1795,$N1284))))))</f>
        <v>66.55</v>
      </c>
      <c r="S1284" s="32" t="n">
        <f aca="false">K1284*INDEX('Tabela Passaro'!$M$2:$M$1795,$N1284)</f>
        <v>2.2574</v>
      </c>
      <c r="T1284" s="32" t="n">
        <f aca="false">K1284*INDEX('Tabela Passaro'!$N$2:$N$1795,$N1284)</f>
        <v>0.90296</v>
      </c>
      <c r="U1284" s="32" t="n">
        <f aca="false">INDEX('Tabela Passaro'!$O$2:$O$1795,$N1284)</f>
        <v>5</v>
      </c>
      <c r="V1284" s="32" t="n">
        <f aca="false">ROUNDUP(J1284/INDEX('Tabela Passaro'!$Q$2:$Q$1795,$N1284),0)*INDEX('Tabela Passaro'!$P$2:$P$1795,$N1284)</f>
        <v>5</v>
      </c>
      <c r="W1284" s="32" t="n">
        <f aca="false">INDEX('Tabela Passaro'!$R$2:$R$1795,$N1284)</f>
        <v>30</v>
      </c>
      <c r="X1284" s="32" t="n">
        <f aca="false">ROUNDUP(J1284/INDEX('Tabela Passaro'!$T$2:$T$1795,$N1284),0)*INDEX('Tabela Passaro'!$S$2:$S$1795,$N1284)</f>
        <v>0</v>
      </c>
      <c r="Y1284" s="32" t="n">
        <f aca="false">INDEX('Tabela Passaro'!$U$2:$U$1795,$N1284)</f>
        <v>0</v>
      </c>
      <c r="Z1284" s="32" t="n">
        <f aca="false">INDEX('Tabela Passaro'!$V$2:$V$1795,$N1284)</f>
        <v>0</v>
      </c>
      <c r="AA1284" s="32" t="n">
        <f aca="false">SUM(R1284:Z1284)</f>
        <v>109.71036</v>
      </c>
      <c r="AB1284" s="33" t="n">
        <f aca="false">INDEX(Premissas!$B$5:$B$13,MATCH(A1284,Premissas!$A$5:$A$13,0))</f>
        <v>0.07</v>
      </c>
      <c r="AC1284" s="32" t="n">
        <f aca="false">AA1284/(1-AB1284)-AA1284</f>
        <v>8.25776903225807</v>
      </c>
      <c r="AD1284" s="32" t="n">
        <f aca="false">ROUND(AA1284+AC1284,2)</f>
        <v>117.97</v>
      </c>
      <c r="AE1284" s="32" t="n">
        <f aca="false">AD1284-L1284</f>
        <v>37.38</v>
      </c>
      <c r="AF1284" s="34" t="n">
        <f aca="false">IF(L1284=0,0,AE1284/L1284)</f>
        <v>0.463829259213302</v>
      </c>
      <c r="AG1284" s="22" t="str">
        <f aca="false">IF(AD1284&lt;L1284,"PASSARO","ATUAL")</f>
        <v>ATUAL</v>
      </c>
      <c r="AH1284" s="22" t="str">
        <f aca="false">IF(P1284&lt;&gt;A1284,"Faixa cadastrada como "&amp;P1284&amp;" na tabela; preço aplicado pela UF do CEP","")</f>
        <v/>
      </c>
      <c r="AI1284" s="26" t="n">
        <v>138.08</v>
      </c>
      <c r="AJ1284" s="22" t="str">
        <f aca="false">INDEX('Tabela Passaro'!$X$2:$X$1795,$N1284)</f>
        <v>CAPITAL</v>
      </c>
    </row>
    <row r="1285" customFormat="false" ht="15" hidden="false" customHeight="false" outlineLevel="0" collapsed="false">
      <c r="A1285" s="22" t="s">
        <v>20</v>
      </c>
      <c r="B1285" s="22" t="n">
        <v>1</v>
      </c>
      <c r="C1285" s="22" t="s">
        <v>147</v>
      </c>
      <c r="D1285" s="22" t="s">
        <v>30</v>
      </c>
      <c r="E1285" s="22" t="s">
        <v>7328</v>
      </c>
      <c r="F1285" s="22" t="n">
        <v>2315625</v>
      </c>
      <c r="G1285" s="30" t="n">
        <v>46258</v>
      </c>
      <c r="H1285" s="22" t="n">
        <v>131937</v>
      </c>
      <c r="I1285" s="22" t="s">
        <v>8424</v>
      </c>
      <c r="J1285" s="31" t="n">
        <v>35.2</v>
      </c>
      <c r="K1285" s="26" t="n">
        <v>606.7</v>
      </c>
      <c r="L1285" s="26" t="n">
        <v>155.67</v>
      </c>
      <c r="M1285" s="22" t="s">
        <v>4802</v>
      </c>
      <c r="N1285" s="22" t="n">
        <f aca="false">MATCH(M1285,'Tabela Passaro'!$A$2:$A$1795,0)</f>
        <v>1150</v>
      </c>
      <c r="O1285" s="22" t="str">
        <f aca="false">INDEX('Tabela Passaro'!$C$2:$C$1795,$N1285)</f>
        <v>RECIFE</v>
      </c>
      <c r="P1285" s="22" t="str">
        <f aca="false">INDEX('Tabela Passaro'!$B$2:$B$1795,$N1285)</f>
        <v>PE</v>
      </c>
      <c r="Q1285" s="22" t="n">
        <f aca="false">INDEX('Tabela Passaro'!$F$2:$F$1795,$N1285)</f>
        <v>8</v>
      </c>
      <c r="R1285" s="32" t="n">
        <f aca="false">IF(J1285&lt;=10,INDEX('Tabela Passaro'!$G$2:$G$1795,$N1285),IF(J1285&lt;=30,INDEX('Tabela Passaro'!$H$2:$H$1795,$N1285),IF(J1285&lt;=50,INDEX('Tabela Passaro'!$I$2:$I$1795,$N1285),IF(J1285&lt;=70,INDEX('Tabela Passaro'!$J$2:$J$1795,$N1285),IF(J1285&lt;=100,INDEX('Tabela Passaro'!$K$2:$K$1795,$N1285),INDEX('Tabela Passaro'!$K$2:$K$1795,$N1285)+(J1285-100)*INDEX('Tabela Passaro'!$L$2:$L$1795,$N1285))))))</f>
        <v>88.59</v>
      </c>
      <c r="S1285" s="32" t="n">
        <f aca="false">K1285*INDEX('Tabela Passaro'!$M$2:$M$1795,$N1285)</f>
        <v>3.0335</v>
      </c>
      <c r="T1285" s="32" t="n">
        <f aca="false">K1285*INDEX('Tabela Passaro'!$N$2:$N$1795,$N1285)</f>
        <v>1.2134</v>
      </c>
      <c r="U1285" s="32" t="n">
        <f aca="false">INDEX('Tabela Passaro'!$O$2:$O$1795,$N1285)</f>
        <v>5</v>
      </c>
      <c r="V1285" s="32" t="n">
        <f aca="false">ROUNDUP(J1285/INDEX('Tabela Passaro'!$Q$2:$Q$1795,$N1285),0)*INDEX('Tabela Passaro'!$P$2:$P$1795,$N1285)</f>
        <v>5</v>
      </c>
      <c r="W1285" s="32" t="n">
        <f aca="false">INDEX('Tabela Passaro'!$R$2:$R$1795,$N1285)</f>
        <v>30</v>
      </c>
      <c r="X1285" s="32" t="n">
        <f aca="false">ROUNDUP(J1285/INDEX('Tabela Passaro'!$T$2:$T$1795,$N1285),0)*INDEX('Tabela Passaro'!$S$2:$S$1795,$N1285)</f>
        <v>0</v>
      </c>
      <c r="Y1285" s="32" t="n">
        <f aca="false">INDEX('Tabela Passaro'!$U$2:$U$1795,$N1285)</f>
        <v>0</v>
      </c>
      <c r="Z1285" s="32" t="n">
        <f aca="false">INDEX('Tabela Passaro'!$V$2:$V$1795,$N1285)</f>
        <v>0</v>
      </c>
      <c r="AA1285" s="32" t="n">
        <f aca="false">SUM(R1285:Z1285)</f>
        <v>132.8369</v>
      </c>
      <c r="AB1285" s="33" t="n">
        <f aca="false">INDEX(Premissas!$B$5:$B$13,MATCH(A1285,Premissas!$A$5:$A$13,0))</f>
        <v>0.07</v>
      </c>
      <c r="AC1285" s="32" t="n">
        <f aca="false">AA1285/(1-AB1285)-AA1285</f>
        <v>9.99847634408604</v>
      </c>
      <c r="AD1285" s="32" t="n">
        <f aca="false">ROUND(AA1285+AC1285,2)</f>
        <v>142.84</v>
      </c>
      <c r="AE1285" s="32" t="n">
        <f aca="false">AD1285-L1285</f>
        <v>-12.83</v>
      </c>
      <c r="AF1285" s="34" t="n">
        <f aca="false">IF(L1285=0,0,AE1285/L1285)</f>
        <v>-0.0824179353761161</v>
      </c>
      <c r="AG1285" s="22" t="str">
        <f aca="false">IF(AD1285&lt;L1285,"PASSARO","ATUAL")</f>
        <v>PASSARO</v>
      </c>
      <c r="AH1285" s="22" t="str">
        <f aca="false">IF(P1285&lt;&gt;A1285,"Faixa cadastrada como "&amp;P1285&amp;" na tabela; preço aplicado pela UF do CEP","")</f>
        <v/>
      </c>
      <c r="AI1285" s="26" t="n">
        <v>172.38</v>
      </c>
      <c r="AJ1285" s="22" t="str">
        <f aca="false">INDEX('Tabela Passaro'!$X$2:$X$1795,$N1285)</f>
        <v>CAPITAL</v>
      </c>
    </row>
    <row r="1286" customFormat="false" ht="15" hidden="false" customHeight="false" outlineLevel="0" collapsed="false">
      <c r="A1286" s="22" t="s">
        <v>20</v>
      </c>
      <c r="B1286" s="22" t="n">
        <v>1</v>
      </c>
      <c r="C1286" s="22" t="s">
        <v>147</v>
      </c>
      <c r="D1286" s="22" t="s">
        <v>30</v>
      </c>
      <c r="E1286" s="22" t="s">
        <v>7328</v>
      </c>
      <c r="F1286" s="22" t="n">
        <v>2315674</v>
      </c>
      <c r="G1286" s="30" t="n">
        <v>46258</v>
      </c>
      <c r="H1286" s="22" t="n">
        <v>134402</v>
      </c>
      <c r="I1286" s="22" t="s">
        <v>8498</v>
      </c>
      <c r="J1286" s="31" t="n">
        <v>27.4</v>
      </c>
      <c r="K1286" s="26" t="n">
        <v>511.47</v>
      </c>
      <c r="L1286" s="26" t="n">
        <v>119.05</v>
      </c>
      <c r="M1286" s="22" t="s">
        <v>4802</v>
      </c>
      <c r="N1286" s="22" t="n">
        <f aca="false">MATCH(M1286,'Tabela Passaro'!$A$2:$A$1795,0)</f>
        <v>1150</v>
      </c>
      <c r="O1286" s="22" t="str">
        <f aca="false">INDEX('Tabela Passaro'!$C$2:$C$1795,$N1286)</f>
        <v>RECIFE</v>
      </c>
      <c r="P1286" s="22" t="str">
        <f aca="false">INDEX('Tabela Passaro'!$B$2:$B$1795,$N1286)</f>
        <v>PE</v>
      </c>
      <c r="Q1286" s="22" t="n">
        <f aca="false">INDEX('Tabela Passaro'!$F$2:$F$1795,$N1286)</f>
        <v>8</v>
      </c>
      <c r="R1286" s="32" t="n">
        <f aca="false">IF(J1286&lt;=10,INDEX('Tabela Passaro'!$G$2:$G$1795,$N1286),IF(J1286&lt;=30,INDEX('Tabela Passaro'!$H$2:$H$1795,$N1286),IF(J1286&lt;=50,INDEX('Tabela Passaro'!$I$2:$I$1795,$N1286),IF(J1286&lt;=70,INDEX('Tabela Passaro'!$J$2:$J$1795,$N1286),IF(J1286&lt;=100,INDEX('Tabela Passaro'!$K$2:$K$1795,$N1286),INDEX('Tabela Passaro'!$K$2:$K$1795,$N1286)+(J1286-100)*INDEX('Tabela Passaro'!$L$2:$L$1795,$N1286))))))</f>
        <v>66.55</v>
      </c>
      <c r="S1286" s="32" t="n">
        <f aca="false">K1286*INDEX('Tabela Passaro'!$M$2:$M$1795,$N1286)</f>
        <v>2.55735</v>
      </c>
      <c r="T1286" s="32" t="n">
        <f aca="false">K1286*INDEX('Tabela Passaro'!$N$2:$N$1795,$N1286)</f>
        <v>1.02294</v>
      </c>
      <c r="U1286" s="32" t="n">
        <f aca="false">INDEX('Tabela Passaro'!$O$2:$O$1795,$N1286)</f>
        <v>5</v>
      </c>
      <c r="V1286" s="32" t="n">
        <f aca="false">ROUNDUP(J1286/INDEX('Tabela Passaro'!$Q$2:$Q$1795,$N1286),0)*INDEX('Tabela Passaro'!$P$2:$P$1795,$N1286)</f>
        <v>5</v>
      </c>
      <c r="W1286" s="32" t="n">
        <f aca="false">INDEX('Tabela Passaro'!$R$2:$R$1795,$N1286)</f>
        <v>30</v>
      </c>
      <c r="X1286" s="32" t="n">
        <f aca="false">ROUNDUP(J1286/INDEX('Tabela Passaro'!$T$2:$T$1795,$N1286),0)*INDEX('Tabela Passaro'!$S$2:$S$1795,$N1286)</f>
        <v>0</v>
      </c>
      <c r="Y1286" s="32" t="n">
        <f aca="false">INDEX('Tabela Passaro'!$U$2:$U$1795,$N1286)</f>
        <v>0</v>
      </c>
      <c r="Z1286" s="32" t="n">
        <f aca="false">INDEX('Tabela Passaro'!$V$2:$V$1795,$N1286)</f>
        <v>0</v>
      </c>
      <c r="AA1286" s="32" t="n">
        <f aca="false">SUM(R1286:Z1286)</f>
        <v>110.13029</v>
      </c>
      <c r="AB1286" s="33" t="n">
        <f aca="false">INDEX(Premissas!$B$5:$B$13,MATCH(A1286,Premissas!$A$5:$A$13,0))</f>
        <v>0.07</v>
      </c>
      <c r="AC1286" s="32" t="n">
        <f aca="false">AA1286/(1-AB1286)-AA1286</f>
        <v>8.28937666666667</v>
      </c>
      <c r="AD1286" s="32" t="n">
        <f aca="false">ROUND(AA1286+AC1286,2)</f>
        <v>118.42</v>
      </c>
      <c r="AE1286" s="32" t="n">
        <f aca="false">AD1286-L1286</f>
        <v>-0.629999999999996</v>
      </c>
      <c r="AF1286" s="34" t="n">
        <f aca="false">IF(L1286=0,0,AE1286/L1286)</f>
        <v>-0.00529189416211672</v>
      </c>
      <c r="AG1286" s="22" t="str">
        <f aca="false">IF(AD1286&lt;L1286,"PASSARO","ATUAL")</f>
        <v>PASSARO</v>
      </c>
      <c r="AH1286" s="22" t="str">
        <f aca="false">IF(P1286&lt;&gt;A1286,"Faixa cadastrada como "&amp;P1286&amp;" na tabela; preço aplicado pela UF do CEP","")</f>
        <v/>
      </c>
      <c r="AI1286" s="26" t="n">
        <v>142.53</v>
      </c>
      <c r="AJ1286" s="22" t="str">
        <f aca="false">INDEX('Tabela Passaro'!$X$2:$X$1795,$N1286)</f>
        <v>CAPITAL</v>
      </c>
    </row>
    <row r="1287" customFormat="false" ht="15" hidden="false" customHeight="false" outlineLevel="0" collapsed="false">
      <c r="A1287" s="22" t="s">
        <v>20</v>
      </c>
      <c r="B1287" s="22" t="n">
        <v>1</v>
      </c>
      <c r="C1287" s="22" t="s">
        <v>147</v>
      </c>
      <c r="D1287" s="22" t="s">
        <v>30</v>
      </c>
      <c r="E1287" s="22" t="s">
        <v>7328</v>
      </c>
      <c r="F1287" s="22" t="n">
        <v>2315682</v>
      </c>
      <c r="G1287" s="30" t="n">
        <v>46258</v>
      </c>
      <c r="H1287" s="22" t="n">
        <v>134410</v>
      </c>
      <c r="I1287" s="22" t="s">
        <v>8499</v>
      </c>
      <c r="J1287" s="31" t="n">
        <v>66.4</v>
      </c>
      <c r="K1287" s="26" t="n">
        <v>955.66</v>
      </c>
      <c r="L1287" s="26" t="n">
        <v>185.86</v>
      </c>
      <c r="M1287" s="22" t="s">
        <v>4802</v>
      </c>
      <c r="N1287" s="22" t="n">
        <f aca="false">MATCH(M1287,'Tabela Passaro'!$A$2:$A$1795,0)</f>
        <v>1150</v>
      </c>
      <c r="O1287" s="22" t="str">
        <f aca="false">INDEX('Tabela Passaro'!$C$2:$C$1795,$N1287)</f>
        <v>RECIFE</v>
      </c>
      <c r="P1287" s="22" t="str">
        <f aca="false">INDEX('Tabela Passaro'!$B$2:$B$1795,$N1287)</f>
        <v>PE</v>
      </c>
      <c r="Q1287" s="22" t="n">
        <f aca="false">INDEX('Tabela Passaro'!$F$2:$F$1795,$N1287)</f>
        <v>8</v>
      </c>
      <c r="R1287" s="32" t="n">
        <f aca="false">IF(J1287&lt;=10,INDEX('Tabela Passaro'!$G$2:$G$1795,$N1287),IF(J1287&lt;=30,INDEX('Tabela Passaro'!$H$2:$H$1795,$N1287),IF(J1287&lt;=50,INDEX('Tabela Passaro'!$I$2:$I$1795,$N1287),IF(J1287&lt;=70,INDEX('Tabela Passaro'!$J$2:$J$1795,$N1287),IF(J1287&lt;=100,INDEX('Tabela Passaro'!$K$2:$K$1795,$N1287),INDEX('Tabela Passaro'!$K$2:$K$1795,$N1287)+(J1287-100)*INDEX('Tabela Passaro'!$L$2:$L$1795,$N1287))))))</f>
        <v>99.61</v>
      </c>
      <c r="S1287" s="32" t="n">
        <f aca="false">K1287*INDEX('Tabela Passaro'!$M$2:$M$1795,$N1287)</f>
        <v>4.7783</v>
      </c>
      <c r="T1287" s="32" t="n">
        <f aca="false">K1287*INDEX('Tabela Passaro'!$N$2:$N$1795,$N1287)</f>
        <v>1.91132</v>
      </c>
      <c r="U1287" s="32" t="n">
        <f aca="false">INDEX('Tabela Passaro'!$O$2:$O$1795,$N1287)</f>
        <v>5</v>
      </c>
      <c r="V1287" s="32" t="n">
        <f aca="false">ROUNDUP(J1287/INDEX('Tabela Passaro'!$Q$2:$Q$1795,$N1287),0)*INDEX('Tabela Passaro'!$P$2:$P$1795,$N1287)</f>
        <v>5</v>
      </c>
      <c r="W1287" s="32" t="n">
        <f aca="false">INDEX('Tabela Passaro'!$R$2:$R$1795,$N1287)</f>
        <v>30</v>
      </c>
      <c r="X1287" s="32" t="n">
        <f aca="false">ROUNDUP(J1287/INDEX('Tabela Passaro'!$T$2:$T$1795,$N1287),0)*INDEX('Tabela Passaro'!$S$2:$S$1795,$N1287)</f>
        <v>0</v>
      </c>
      <c r="Y1287" s="32" t="n">
        <f aca="false">INDEX('Tabela Passaro'!$U$2:$U$1795,$N1287)</f>
        <v>0</v>
      </c>
      <c r="Z1287" s="32" t="n">
        <f aca="false">INDEX('Tabela Passaro'!$V$2:$V$1795,$N1287)</f>
        <v>0</v>
      </c>
      <c r="AA1287" s="32" t="n">
        <f aca="false">SUM(R1287:Z1287)</f>
        <v>146.29962</v>
      </c>
      <c r="AB1287" s="33" t="n">
        <f aca="false">INDEX(Premissas!$B$5:$B$13,MATCH(A1287,Premissas!$A$5:$A$13,0))</f>
        <v>0.07</v>
      </c>
      <c r="AC1287" s="32" t="n">
        <f aca="false">AA1287/(1-AB1287)-AA1287</f>
        <v>11.0117993548387</v>
      </c>
      <c r="AD1287" s="32" t="n">
        <f aca="false">ROUND(AA1287+AC1287,2)</f>
        <v>157.31</v>
      </c>
      <c r="AE1287" s="32" t="n">
        <f aca="false">AD1287-L1287</f>
        <v>-28.55</v>
      </c>
      <c r="AF1287" s="34" t="n">
        <f aca="false">IF(L1287=0,0,AE1287/L1287)</f>
        <v>-0.153610244269881</v>
      </c>
      <c r="AG1287" s="22" t="str">
        <f aca="false">IF(AD1287&lt;L1287,"PASSARO","ATUAL")</f>
        <v>PASSARO</v>
      </c>
      <c r="AH1287" s="22" t="str">
        <f aca="false">IF(P1287&lt;&gt;A1287,"Faixa cadastrada como "&amp;P1287&amp;" na tabela; preço aplicado pela UF do CEP","")</f>
        <v/>
      </c>
      <c r="AI1287" s="26" t="n">
        <v>203.28</v>
      </c>
      <c r="AJ1287" s="22" t="str">
        <f aca="false">INDEX('Tabela Passaro'!$X$2:$X$1795,$N1287)</f>
        <v>CAPITAL</v>
      </c>
    </row>
    <row r="1288" customFormat="false" ht="15" hidden="false" customHeight="false" outlineLevel="0" collapsed="false">
      <c r="A1288" s="22" t="s">
        <v>20</v>
      </c>
      <c r="B1288" s="22" t="n">
        <v>1</v>
      </c>
      <c r="C1288" s="22" t="s">
        <v>147</v>
      </c>
      <c r="D1288" s="22" t="s">
        <v>30</v>
      </c>
      <c r="E1288" s="22" t="s">
        <v>7328</v>
      </c>
      <c r="F1288" s="22" t="n">
        <v>2315722</v>
      </c>
      <c r="G1288" s="30" t="n">
        <v>46258</v>
      </c>
      <c r="H1288" s="22" t="n">
        <v>134448</v>
      </c>
      <c r="I1288" s="22" t="s">
        <v>8500</v>
      </c>
      <c r="J1288" s="31" t="n">
        <v>66.4</v>
      </c>
      <c r="K1288" s="26" t="n">
        <v>955.97</v>
      </c>
      <c r="L1288" s="26" t="n">
        <v>185.86</v>
      </c>
      <c r="M1288" s="22" t="s">
        <v>4802</v>
      </c>
      <c r="N1288" s="22" t="n">
        <f aca="false">MATCH(M1288,'Tabela Passaro'!$A$2:$A$1795,0)</f>
        <v>1150</v>
      </c>
      <c r="O1288" s="22" t="str">
        <f aca="false">INDEX('Tabela Passaro'!$C$2:$C$1795,$N1288)</f>
        <v>RECIFE</v>
      </c>
      <c r="P1288" s="22" t="str">
        <f aca="false">INDEX('Tabela Passaro'!$B$2:$B$1795,$N1288)</f>
        <v>PE</v>
      </c>
      <c r="Q1288" s="22" t="n">
        <f aca="false">INDEX('Tabela Passaro'!$F$2:$F$1795,$N1288)</f>
        <v>8</v>
      </c>
      <c r="R1288" s="32" t="n">
        <f aca="false">IF(J1288&lt;=10,INDEX('Tabela Passaro'!$G$2:$G$1795,$N1288),IF(J1288&lt;=30,INDEX('Tabela Passaro'!$H$2:$H$1795,$N1288),IF(J1288&lt;=50,INDEX('Tabela Passaro'!$I$2:$I$1795,$N1288),IF(J1288&lt;=70,INDEX('Tabela Passaro'!$J$2:$J$1795,$N1288),IF(J1288&lt;=100,INDEX('Tabela Passaro'!$K$2:$K$1795,$N1288),INDEX('Tabela Passaro'!$K$2:$K$1795,$N1288)+(J1288-100)*INDEX('Tabela Passaro'!$L$2:$L$1795,$N1288))))))</f>
        <v>99.61</v>
      </c>
      <c r="S1288" s="32" t="n">
        <f aca="false">K1288*INDEX('Tabela Passaro'!$M$2:$M$1795,$N1288)</f>
        <v>4.77985</v>
      </c>
      <c r="T1288" s="32" t="n">
        <f aca="false">K1288*INDEX('Tabela Passaro'!$N$2:$N$1795,$N1288)</f>
        <v>1.91194</v>
      </c>
      <c r="U1288" s="32" t="n">
        <f aca="false">INDEX('Tabela Passaro'!$O$2:$O$1795,$N1288)</f>
        <v>5</v>
      </c>
      <c r="V1288" s="32" t="n">
        <f aca="false">ROUNDUP(J1288/INDEX('Tabela Passaro'!$Q$2:$Q$1795,$N1288),0)*INDEX('Tabela Passaro'!$P$2:$P$1795,$N1288)</f>
        <v>5</v>
      </c>
      <c r="W1288" s="32" t="n">
        <f aca="false">INDEX('Tabela Passaro'!$R$2:$R$1795,$N1288)</f>
        <v>30</v>
      </c>
      <c r="X1288" s="32" t="n">
        <f aca="false">ROUNDUP(J1288/INDEX('Tabela Passaro'!$T$2:$T$1795,$N1288),0)*INDEX('Tabela Passaro'!$S$2:$S$1795,$N1288)</f>
        <v>0</v>
      </c>
      <c r="Y1288" s="32" t="n">
        <f aca="false">INDEX('Tabela Passaro'!$U$2:$U$1795,$N1288)</f>
        <v>0</v>
      </c>
      <c r="Z1288" s="32" t="n">
        <f aca="false">INDEX('Tabela Passaro'!$V$2:$V$1795,$N1288)</f>
        <v>0</v>
      </c>
      <c r="AA1288" s="32" t="n">
        <f aca="false">SUM(R1288:Z1288)</f>
        <v>146.30179</v>
      </c>
      <c r="AB1288" s="33" t="n">
        <f aca="false">INDEX(Premissas!$B$5:$B$13,MATCH(A1288,Premissas!$A$5:$A$13,0))</f>
        <v>0.07</v>
      </c>
      <c r="AC1288" s="32" t="n">
        <f aca="false">AA1288/(1-AB1288)-AA1288</f>
        <v>11.011962688172</v>
      </c>
      <c r="AD1288" s="32" t="n">
        <f aca="false">ROUND(AA1288+AC1288,2)</f>
        <v>157.31</v>
      </c>
      <c r="AE1288" s="32" t="n">
        <f aca="false">AD1288-L1288</f>
        <v>-28.55</v>
      </c>
      <c r="AF1288" s="34" t="n">
        <f aca="false">IF(L1288=0,0,AE1288/L1288)</f>
        <v>-0.153610244269881</v>
      </c>
      <c r="AG1288" s="22" t="str">
        <f aca="false">IF(AD1288&lt;L1288,"PASSARO","ATUAL")</f>
        <v>PASSARO</v>
      </c>
      <c r="AH1288" s="22" t="str">
        <f aca="false">IF(P1288&lt;&gt;A1288,"Faixa cadastrada como "&amp;P1288&amp;" na tabela; preço aplicado pela UF do CEP","")</f>
        <v/>
      </c>
      <c r="AI1288" s="26" t="n">
        <v>203.28</v>
      </c>
      <c r="AJ1288" s="22" t="str">
        <f aca="false">INDEX('Tabela Passaro'!$X$2:$X$1795,$N1288)</f>
        <v>CAPITAL</v>
      </c>
    </row>
    <row r="1289" customFormat="false" ht="15" hidden="false" customHeight="false" outlineLevel="0" collapsed="false">
      <c r="A1289" s="22" t="s">
        <v>20</v>
      </c>
      <c r="B1289" s="22" t="n">
        <v>1</v>
      </c>
      <c r="C1289" s="22" t="s">
        <v>147</v>
      </c>
      <c r="D1289" s="22" t="s">
        <v>30</v>
      </c>
      <c r="E1289" s="22" t="s">
        <v>7328</v>
      </c>
      <c r="F1289" s="22" t="n">
        <v>2315729</v>
      </c>
      <c r="G1289" s="30" t="n">
        <v>46258</v>
      </c>
      <c r="H1289" s="22" t="n">
        <v>134451</v>
      </c>
      <c r="I1289" s="22" t="s">
        <v>8501</v>
      </c>
      <c r="J1289" s="31" t="n">
        <v>43.5</v>
      </c>
      <c r="K1289" s="26" t="n">
        <v>948.34</v>
      </c>
      <c r="L1289" s="26" t="n">
        <v>158.37</v>
      </c>
      <c r="M1289" s="22" t="s">
        <v>4802</v>
      </c>
      <c r="N1289" s="22" t="n">
        <f aca="false">MATCH(M1289,'Tabela Passaro'!$A$2:$A$1795,0)</f>
        <v>1150</v>
      </c>
      <c r="O1289" s="22" t="str">
        <f aca="false">INDEX('Tabela Passaro'!$C$2:$C$1795,$N1289)</f>
        <v>RECIFE</v>
      </c>
      <c r="P1289" s="22" t="str">
        <f aca="false">INDEX('Tabela Passaro'!$B$2:$B$1795,$N1289)</f>
        <v>PE</v>
      </c>
      <c r="Q1289" s="22" t="n">
        <f aca="false">INDEX('Tabela Passaro'!$F$2:$F$1795,$N1289)</f>
        <v>8</v>
      </c>
      <c r="R1289" s="32" t="n">
        <f aca="false">IF(J1289&lt;=10,INDEX('Tabela Passaro'!$G$2:$G$1795,$N1289),IF(J1289&lt;=30,INDEX('Tabela Passaro'!$H$2:$H$1795,$N1289),IF(J1289&lt;=50,INDEX('Tabela Passaro'!$I$2:$I$1795,$N1289),IF(J1289&lt;=70,INDEX('Tabela Passaro'!$J$2:$J$1795,$N1289),IF(J1289&lt;=100,INDEX('Tabela Passaro'!$K$2:$K$1795,$N1289),INDEX('Tabela Passaro'!$K$2:$K$1795,$N1289)+(J1289-100)*INDEX('Tabela Passaro'!$L$2:$L$1795,$N1289))))))</f>
        <v>88.59</v>
      </c>
      <c r="S1289" s="32" t="n">
        <f aca="false">K1289*INDEX('Tabela Passaro'!$M$2:$M$1795,$N1289)</f>
        <v>4.7417</v>
      </c>
      <c r="T1289" s="32" t="n">
        <f aca="false">K1289*INDEX('Tabela Passaro'!$N$2:$N$1795,$N1289)</f>
        <v>1.89668</v>
      </c>
      <c r="U1289" s="32" t="n">
        <f aca="false">INDEX('Tabela Passaro'!$O$2:$O$1795,$N1289)</f>
        <v>5</v>
      </c>
      <c r="V1289" s="32" t="n">
        <f aca="false">ROUNDUP(J1289/INDEX('Tabela Passaro'!$Q$2:$Q$1795,$N1289),0)*INDEX('Tabela Passaro'!$P$2:$P$1795,$N1289)</f>
        <v>5</v>
      </c>
      <c r="W1289" s="32" t="n">
        <f aca="false">INDEX('Tabela Passaro'!$R$2:$R$1795,$N1289)</f>
        <v>30</v>
      </c>
      <c r="X1289" s="32" t="n">
        <f aca="false">ROUNDUP(J1289/INDEX('Tabela Passaro'!$T$2:$T$1795,$N1289),0)*INDEX('Tabela Passaro'!$S$2:$S$1795,$N1289)</f>
        <v>0</v>
      </c>
      <c r="Y1289" s="32" t="n">
        <f aca="false">INDEX('Tabela Passaro'!$U$2:$U$1795,$N1289)</f>
        <v>0</v>
      </c>
      <c r="Z1289" s="32" t="n">
        <f aca="false">INDEX('Tabela Passaro'!$V$2:$V$1795,$N1289)</f>
        <v>0</v>
      </c>
      <c r="AA1289" s="32" t="n">
        <f aca="false">SUM(R1289:Z1289)</f>
        <v>135.22838</v>
      </c>
      <c r="AB1289" s="33" t="n">
        <f aca="false">INDEX(Premissas!$B$5:$B$13,MATCH(A1289,Premissas!$A$5:$A$13,0))</f>
        <v>0.07</v>
      </c>
      <c r="AC1289" s="32" t="n">
        <f aca="false">AA1289/(1-AB1289)-AA1289</f>
        <v>10.1784802150538</v>
      </c>
      <c r="AD1289" s="32" t="n">
        <f aca="false">ROUND(AA1289+AC1289,2)</f>
        <v>145.41</v>
      </c>
      <c r="AE1289" s="32" t="n">
        <f aca="false">AD1289-L1289</f>
        <v>-12.96</v>
      </c>
      <c r="AF1289" s="34" t="n">
        <f aca="false">IF(L1289=0,0,AE1289/L1289)</f>
        <v>-0.0818336806213298</v>
      </c>
      <c r="AG1289" s="22" t="str">
        <f aca="false">IF(AD1289&lt;L1289,"PASSARO","ATUAL")</f>
        <v>PASSARO</v>
      </c>
      <c r="AH1289" s="22" t="str">
        <f aca="false">IF(P1289&lt;&gt;A1289,"Faixa cadastrada como "&amp;P1289&amp;" na tabela; preço aplicado pela UF do CEP","")</f>
        <v/>
      </c>
      <c r="AI1289" s="26" t="n">
        <v>179.55</v>
      </c>
      <c r="AJ1289" s="22" t="str">
        <f aca="false">INDEX('Tabela Passaro'!$X$2:$X$1795,$N1289)</f>
        <v>CAPITAL</v>
      </c>
    </row>
    <row r="1290" customFormat="false" ht="15" hidden="false" customHeight="false" outlineLevel="0" collapsed="false">
      <c r="A1290" s="22" t="s">
        <v>20</v>
      </c>
      <c r="B1290" s="22" t="n">
        <v>1</v>
      </c>
      <c r="C1290" s="22" t="s">
        <v>147</v>
      </c>
      <c r="D1290" s="22" t="s">
        <v>30</v>
      </c>
      <c r="E1290" s="22" t="s">
        <v>7328</v>
      </c>
      <c r="F1290" s="22" t="n">
        <v>2315738</v>
      </c>
      <c r="G1290" s="30" t="n">
        <v>46258</v>
      </c>
      <c r="H1290" s="22" t="n">
        <v>134904</v>
      </c>
      <c r="I1290" s="22" t="s">
        <v>8502</v>
      </c>
      <c r="J1290" s="31" t="n">
        <v>66.8</v>
      </c>
      <c r="K1290" s="26" t="n">
        <v>859.98</v>
      </c>
      <c r="L1290" s="26" t="n">
        <v>185.1</v>
      </c>
      <c r="M1290" s="22" t="s">
        <v>4802</v>
      </c>
      <c r="N1290" s="22" t="n">
        <f aca="false">MATCH(M1290,'Tabela Passaro'!$A$2:$A$1795,0)</f>
        <v>1150</v>
      </c>
      <c r="O1290" s="22" t="str">
        <f aca="false">INDEX('Tabela Passaro'!$C$2:$C$1795,$N1290)</f>
        <v>RECIFE</v>
      </c>
      <c r="P1290" s="22" t="str">
        <f aca="false">INDEX('Tabela Passaro'!$B$2:$B$1795,$N1290)</f>
        <v>PE</v>
      </c>
      <c r="Q1290" s="22" t="n">
        <f aca="false">INDEX('Tabela Passaro'!$F$2:$F$1795,$N1290)</f>
        <v>8</v>
      </c>
      <c r="R1290" s="32" t="n">
        <f aca="false">IF(J1290&lt;=10,INDEX('Tabela Passaro'!$G$2:$G$1795,$N1290),IF(J1290&lt;=30,INDEX('Tabela Passaro'!$H$2:$H$1795,$N1290),IF(J1290&lt;=50,INDEX('Tabela Passaro'!$I$2:$I$1795,$N1290),IF(J1290&lt;=70,INDEX('Tabela Passaro'!$J$2:$J$1795,$N1290),IF(J1290&lt;=100,INDEX('Tabela Passaro'!$K$2:$K$1795,$N1290),INDEX('Tabela Passaro'!$K$2:$K$1795,$N1290)+(J1290-100)*INDEX('Tabela Passaro'!$L$2:$L$1795,$N1290))))))</f>
        <v>99.61</v>
      </c>
      <c r="S1290" s="32" t="n">
        <f aca="false">K1290*INDEX('Tabela Passaro'!$M$2:$M$1795,$N1290)</f>
        <v>4.2999</v>
      </c>
      <c r="T1290" s="32" t="n">
        <f aca="false">K1290*INDEX('Tabela Passaro'!$N$2:$N$1795,$N1290)</f>
        <v>1.71996</v>
      </c>
      <c r="U1290" s="32" t="n">
        <f aca="false">INDEX('Tabela Passaro'!$O$2:$O$1795,$N1290)</f>
        <v>5</v>
      </c>
      <c r="V1290" s="32" t="n">
        <f aca="false">ROUNDUP(J1290/INDEX('Tabela Passaro'!$Q$2:$Q$1795,$N1290),0)*INDEX('Tabela Passaro'!$P$2:$P$1795,$N1290)</f>
        <v>5</v>
      </c>
      <c r="W1290" s="32" t="n">
        <f aca="false">INDEX('Tabela Passaro'!$R$2:$R$1795,$N1290)</f>
        <v>30</v>
      </c>
      <c r="X1290" s="32" t="n">
        <f aca="false">ROUNDUP(J1290/INDEX('Tabela Passaro'!$T$2:$T$1795,$N1290),0)*INDEX('Tabela Passaro'!$S$2:$S$1795,$N1290)</f>
        <v>0</v>
      </c>
      <c r="Y1290" s="32" t="n">
        <f aca="false">INDEX('Tabela Passaro'!$U$2:$U$1795,$N1290)</f>
        <v>0</v>
      </c>
      <c r="Z1290" s="32" t="n">
        <f aca="false">INDEX('Tabela Passaro'!$V$2:$V$1795,$N1290)</f>
        <v>0</v>
      </c>
      <c r="AA1290" s="32" t="n">
        <f aca="false">SUM(R1290:Z1290)</f>
        <v>145.62986</v>
      </c>
      <c r="AB1290" s="33" t="n">
        <f aca="false">INDEX(Premissas!$B$5:$B$13,MATCH(A1290,Premissas!$A$5:$A$13,0))</f>
        <v>0.07</v>
      </c>
      <c r="AC1290" s="32" t="n">
        <f aca="false">AA1290/(1-AB1290)-AA1290</f>
        <v>10.961387311828</v>
      </c>
      <c r="AD1290" s="32" t="n">
        <f aca="false">ROUND(AA1290+AC1290,2)</f>
        <v>156.59</v>
      </c>
      <c r="AE1290" s="32" t="n">
        <f aca="false">AD1290-L1290</f>
        <v>-28.51</v>
      </c>
      <c r="AF1290" s="34" t="n">
        <f aca="false">IF(L1290=0,0,AE1290/L1290)</f>
        <v>-0.154024851431659</v>
      </c>
      <c r="AG1290" s="22" t="str">
        <f aca="false">IF(AD1290&lt;L1290,"PASSARO","ATUAL")</f>
        <v>PASSARO</v>
      </c>
      <c r="AH1290" s="22" t="str">
        <f aca="false">IF(P1290&lt;&gt;A1290,"Faixa cadastrada como "&amp;P1290&amp;" na tabela; preço aplicado pela UF do CEP","")</f>
        <v/>
      </c>
      <c r="AI1290" s="26" t="n">
        <v>202.35</v>
      </c>
      <c r="AJ1290" s="22" t="str">
        <f aca="false">INDEX('Tabela Passaro'!$X$2:$X$1795,$N1290)</f>
        <v>CAPITAL</v>
      </c>
    </row>
    <row r="1291" customFormat="false" ht="15" hidden="false" customHeight="false" outlineLevel="0" collapsed="false">
      <c r="A1291" s="22" t="s">
        <v>20</v>
      </c>
      <c r="B1291" s="22" t="n">
        <v>1</v>
      </c>
      <c r="C1291" s="22" t="s">
        <v>147</v>
      </c>
      <c r="D1291" s="22" t="s">
        <v>30</v>
      </c>
      <c r="E1291" s="22" t="s">
        <v>7328</v>
      </c>
      <c r="F1291" s="22" t="n">
        <v>2315753</v>
      </c>
      <c r="G1291" s="30" t="n">
        <v>46258</v>
      </c>
      <c r="H1291" s="22" t="n">
        <v>134909</v>
      </c>
      <c r="I1291" s="22" t="s">
        <v>8469</v>
      </c>
      <c r="J1291" s="31" t="n">
        <v>34.4</v>
      </c>
      <c r="K1291" s="26" t="n">
        <v>592.98</v>
      </c>
      <c r="L1291" s="26" t="n">
        <v>155.55</v>
      </c>
      <c r="M1291" s="22" t="s">
        <v>4802</v>
      </c>
      <c r="N1291" s="22" t="n">
        <f aca="false">MATCH(M1291,'Tabela Passaro'!$A$2:$A$1795,0)</f>
        <v>1150</v>
      </c>
      <c r="O1291" s="22" t="str">
        <f aca="false">INDEX('Tabela Passaro'!$C$2:$C$1795,$N1291)</f>
        <v>RECIFE</v>
      </c>
      <c r="P1291" s="22" t="str">
        <f aca="false">INDEX('Tabela Passaro'!$B$2:$B$1795,$N1291)</f>
        <v>PE</v>
      </c>
      <c r="Q1291" s="22" t="n">
        <f aca="false">INDEX('Tabela Passaro'!$F$2:$F$1795,$N1291)</f>
        <v>8</v>
      </c>
      <c r="R1291" s="32" t="n">
        <f aca="false">IF(J1291&lt;=10,INDEX('Tabela Passaro'!$G$2:$G$1795,$N1291),IF(J1291&lt;=30,INDEX('Tabela Passaro'!$H$2:$H$1795,$N1291),IF(J1291&lt;=50,INDEX('Tabela Passaro'!$I$2:$I$1795,$N1291),IF(J1291&lt;=70,INDEX('Tabela Passaro'!$J$2:$J$1795,$N1291),IF(J1291&lt;=100,INDEX('Tabela Passaro'!$K$2:$K$1795,$N1291),INDEX('Tabela Passaro'!$K$2:$K$1795,$N1291)+(J1291-100)*INDEX('Tabela Passaro'!$L$2:$L$1795,$N1291))))))</f>
        <v>88.59</v>
      </c>
      <c r="S1291" s="32" t="n">
        <f aca="false">K1291*INDEX('Tabela Passaro'!$M$2:$M$1795,$N1291)</f>
        <v>2.9649</v>
      </c>
      <c r="T1291" s="32" t="n">
        <f aca="false">K1291*INDEX('Tabela Passaro'!$N$2:$N$1795,$N1291)</f>
        <v>1.18596</v>
      </c>
      <c r="U1291" s="32" t="n">
        <f aca="false">INDEX('Tabela Passaro'!$O$2:$O$1795,$N1291)</f>
        <v>5</v>
      </c>
      <c r="V1291" s="32" t="n">
        <f aca="false">ROUNDUP(J1291/INDEX('Tabela Passaro'!$Q$2:$Q$1795,$N1291),0)*INDEX('Tabela Passaro'!$P$2:$P$1795,$N1291)</f>
        <v>5</v>
      </c>
      <c r="W1291" s="32" t="n">
        <f aca="false">INDEX('Tabela Passaro'!$R$2:$R$1795,$N1291)</f>
        <v>30</v>
      </c>
      <c r="X1291" s="32" t="n">
        <f aca="false">ROUNDUP(J1291/INDEX('Tabela Passaro'!$T$2:$T$1795,$N1291),0)*INDEX('Tabela Passaro'!$S$2:$S$1795,$N1291)</f>
        <v>0</v>
      </c>
      <c r="Y1291" s="32" t="n">
        <f aca="false">INDEX('Tabela Passaro'!$U$2:$U$1795,$N1291)</f>
        <v>0</v>
      </c>
      <c r="Z1291" s="32" t="n">
        <f aca="false">INDEX('Tabela Passaro'!$V$2:$V$1795,$N1291)</f>
        <v>0</v>
      </c>
      <c r="AA1291" s="32" t="n">
        <f aca="false">SUM(R1291:Z1291)</f>
        <v>132.74086</v>
      </c>
      <c r="AB1291" s="33" t="n">
        <f aca="false">INDEX(Premissas!$B$5:$B$13,MATCH(A1291,Premissas!$A$5:$A$13,0))</f>
        <v>0.07</v>
      </c>
      <c r="AC1291" s="32" t="n">
        <f aca="false">AA1291/(1-AB1291)-AA1291</f>
        <v>9.99124752688172</v>
      </c>
      <c r="AD1291" s="32" t="n">
        <f aca="false">ROUND(AA1291+AC1291,2)</f>
        <v>142.73</v>
      </c>
      <c r="AE1291" s="32" t="n">
        <f aca="false">AD1291-L1291</f>
        <v>-12.82</v>
      </c>
      <c r="AF1291" s="34" t="n">
        <f aca="false">IF(L1291=0,0,AE1291/L1291)</f>
        <v>-0.0824172291867568</v>
      </c>
      <c r="AG1291" s="22" t="str">
        <f aca="false">IF(AD1291&lt;L1291,"PASSARO","ATUAL")</f>
        <v>PASSARO</v>
      </c>
      <c r="AH1291" s="22" t="str">
        <f aca="false">IF(P1291&lt;&gt;A1291,"Faixa cadastrada como "&amp;P1291&amp;" na tabela; preço aplicado pela UF do CEP","")</f>
        <v/>
      </c>
      <c r="AI1291" s="26" t="n">
        <v>171.76</v>
      </c>
      <c r="AJ1291" s="22" t="str">
        <f aca="false">INDEX('Tabela Passaro'!$X$2:$X$1795,$N1291)</f>
        <v>CAPITAL</v>
      </c>
    </row>
    <row r="1292" customFormat="false" ht="15" hidden="false" customHeight="false" outlineLevel="0" collapsed="false">
      <c r="A1292" s="22" t="s">
        <v>20</v>
      </c>
      <c r="B1292" s="22" t="n">
        <v>1</v>
      </c>
      <c r="C1292" s="22" t="s">
        <v>147</v>
      </c>
      <c r="D1292" s="22" t="s">
        <v>30</v>
      </c>
      <c r="E1292" s="22" t="s">
        <v>7328</v>
      </c>
      <c r="F1292" s="22" t="n">
        <v>2315756</v>
      </c>
      <c r="G1292" s="30" t="n">
        <v>46258</v>
      </c>
      <c r="H1292" s="22" t="n">
        <v>134916</v>
      </c>
      <c r="I1292" s="22" t="s">
        <v>8503</v>
      </c>
      <c r="J1292" s="31" t="n">
        <v>56.7</v>
      </c>
      <c r="K1292" s="26" t="n">
        <v>1059.98</v>
      </c>
      <c r="L1292" s="26" t="n">
        <v>186.68</v>
      </c>
      <c r="M1292" s="22" t="s">
        <v>4802</v>
      </c>
      <c r="N1292" s="22" t="n">
        <f aca="false">MATCH(M1292,'Tabela Passaro'!$A$2:$A$1795,0)</f>
        <v>1150</v>
      </c>
      <c r="O1292" s="22" t="str">
        <f aca="false">INDEX('Tabela Passaro'!$C$2:$C$1795,$N1292)</f>
        <v>RECIFE</v>
      </c>
      <c r="P1292" s="22" t="str">
        <f aca="false">INDEX('Tabela Passaro'!$B$2:$B$1795,$N1292)</f>
        <v>PE</v>
      </c>
      <c r="Q1292" s="22" t="n">
        <f aca="false">INDEX('Tabela Passaro'!$F$2:$F$1795,$N1292)</f>
        <v>8</v>
      </c>
      <c r="R1292" s="32" t="n">
        <f aca="false">IF(J1292&lt;=10,INDEX('Tabela Passaro'!$G$2:$G$1795,$N1292),IF(J1292&lt;=30,INDEX('Tabela Passaro'!$H$2:$H$1795,$N1292),IF(J1292&lt;=50,INDEX('Tabela Passaro'!$I$2:$I$1795,$N1292),IF(J1292&lt;=70,INDEX('Tabela Passaro'!$J$2:$J$1795,$N1292),IF(J1292&lt;=100,INDEX('Tabela Passaro'!$K$2:$K$1795,$N1292),INDEX('Tabela Passaro'!$K$2:$K$1795,$N1292)+(J1292-100)*INDEX('Tabela Passaro'!$L$2:$L$1795,$N1292))))))</f>
        <v>99.61</v>
      </c>
      <c r="S1292" s="32" t="n">
        <f aca="false">K1292*INDEX('Tabela Passaro'!$M$2:$M$1795,$N1292)</f>
        <v>5.2999</v>
      </c>
      <c r="T1292" s="32" t="n">
        <f aca="false">K1292*INDEX('Tabela Passaro'!$N$2:$N$1795,$N1292)</f>
        <v>2.11996</v>
      </c>
      <c r="U1292" s="32" t="n">
        <f aca="false">INDEX('Tabela Passaro'!$O$2:$O$1795,$N1292)</f>
        <v>5</v>
      </c>
      <c r="V1292" s="32" t="n">
        <f aca="false">ROUNDUP(J1292/INDEX('Tabela Passaro'!$Q$2:$Q$1795,$N1292),0)*INDEX('Tabela Passaro'!$P$2:$P$1795,$N1292)</f>
        <v>5</v>
      </c>
      <c r="W1292" s="32" t="n">
        <f aca="false">INDEX('Tabela Passaro'!$R$2:$R$1795,$N1292)</f>
        <v>30</v>
      </c>
      <c r="X1292" s="32" t="n">
        <f aca="false">ROUNDUP(J1292/INDEX('Tabela Passaro'!$T$2:$T$1795,$N1292),0)*INDEX('Tabela Passaro'!$S$2:$S$1795,$N1292)</f>
        <v>0</v>
      </c>
      <c r="Y1292" s="32" t="n">
        <f aca="false">INDEX('Tabela Passaro'!$U$2:$U$1795,$N1292)</f>
        <v>0</v>
      </c>
      <c r="Z1292" s="32" t="n">
        <f aca="false">INDEX('Tabela Passaro'!$V$2:$V$1795,$N1292)</f>
        <v>0</v>
      </c>
      <c r="AA1292" s="32" t="n">
        <f aca="false">SUM(R1292:Z1292)</f>
        <v>147.02986</v>
      </c>
      <c r="AB1292" s="33" t="n">
        <f aca="false">INDEX(Premissas!$B$5:$B$13,MATCH(A1292,Premissas!$A$5:$A$13,0))</f>
        <v>0.07</v>
      </c>
      <c r="AC1292" s="32" t="n">
        <f aca="false">AA1292/(1-AB1292)-AA1292</f>
        <v>11.066763655914</v>
      </c>
      <c r="AD1292" s="32" t="n">
        <f aca="false">ROUND(AA1292+AC1292,2)</f>
        <v>158.1</v>
      </c>
      <c r="AE1292" s="32" t="n">
        <f aca="false">AD1292-L1292</f>
        <v>-28.58</v>
      </c>
      <c r="AF1292" s="34" t="n">
        <f aca="false">IF(L1292=0,0,AE1292/L1292)</f>
        <v>-0.153096207413756</v>
      </c>
      <c r="AG1292" s="22" t="str">
        <f aca="false">IF(AD1292&lt;L1292,"PASSARO","ATUAL")</f>
        <v>PASSARO</v>
      </c>
      <c r="AH1292" s="22" t="str">
        <f aca="false">IF(P1292&lt;&gt;A1292,"Faixa cadastrada como "&amp;P1292&amp;" na tabela; preço aplicado pela UF do CEP","")</f>
        <v/>
      </c>
      <c r="AI1292" s="26" t="n">
        <v>199.45</v>
      </c>
      <c r="AJ1292" s="22" t="str">
        <f aca="false">INDEX('Tabela Passaro'!$X$2:$X$1795,$N1292)</f>
        <v>CAPITAL</v>
      </c>
    </row>
    <row r="1293" customFormat="false" ht="15" hidden="false" customHeight="false" outlineLevel="0" collapsed="false">
      <c r="A1293" s="22" t="s">
        <v>20</v>
      </c>
      <c r="B1293" s="22" t="n">
        <v>1</v>
      </c>
      <c r="C1293" s="22" t="s">
        <v>147</v>
      </c>
      <c r="D1293" s="22" t="s">
        <v>30</v>
      </c>
      <c r="E1293" s="22" t="s">
        <v>7328</v>
      </c>
      <c r="F1293" s="22" t="n">
        <v>2315797</v>
      </c>
      <c r="G1293" s="30" t="n">
        <v>46258</v>
      </c>
      <c r="H1293" s="22" t="n">
        <v>134947</v>
      </c>
      <c r="I1293" s="22" t="s">
        <v>8504</v>
      </c>
      <c r="J1293" s="31" t="n">
        <v>61.3</v>
      </c>
      <c r="K1293" s="26" t="n">
        <v>1011.93</v>
      </c>
      <c r="L1293" s="26" t="n">
        <v>186.3</v>
      </c>
      <c r="M1293" s="22" t="s">
        <v>4802</v>
      </c>
      <c r="N1293" s="22" t="n">
        <f aca="false">MATCH(M1293,'Tabela Passaro'!$A$2:$A$1795,0)</f>
        <v>1150</v>
      </c>
      <c r="O1293" s="22" t="str">
        <f aca="false">INDEX('Tabela Passaro'!$C$2:$C$1795,$N1293)</f>
        <v>RECIFE</v>
      </c>
      <c r="P1293" s="22" t="str">
        <f aca="false">INDEX('Tabela Passaro'!$B$2:$B$1795,$N1293)</f>
        <v>PE</v>
      </c>
      <c r="Q1293" s="22" t="n">
        <f aca="false">INDEX('Tabela Passaro'!$F$2:$F$1795,$N1293)</f>
        <v>8</v>
      </c>
      <c r="R1293" s="32" t="n">
        <f aca="false">IF(J1293&lt;=10,INDEX('Tabela Passaro'!$G$2:$G$1795,$N1293),IF(J1293&lt;=30,INDEX('Tabela Passaro'!$H$2:$H$1795,$N1293),IF(J1293&lt;=50,INDEX('Tabela Passaro'!$I$2:$I$1795,$N1293),IF(J1293&lt;=70,INDEX('Tabela Passaro'!$J$2:$J$1795,$N1293),IF(J1293&lt;=100,INDEX('Tabela Passaro'!$K$2:$K$1795,$N1293),INDEX('Tabela Passaro'!$K$2:$K$1795,$N1293)+(J1293-100)*INDEX('Tabela Passaro'!$L$2:$L$1795,$N1293))))))</f>
        <v>99.61</v>
      </c>
      <c r="S1293" s="32" t="n">
        <f aca="false">K1293*INDEX('Tabela Passaro'!$M$2:$M$1795,$N1293)</f>
        <v>5.05965</v>
      </c>
      <c r="T1293" s="32" t="n">
        <f aca="false">K1293*INDEX('Tabela Passaro'!$N$2:$N$1795,$N1293)</f>
        <v>2.02386</v>
      </c>
      <c r="U1293" s="32" t="n">
        <f aca="false">INDEX('Tabela Passaro'!$O$2:$O$1795,$N1293)</f>
        <v>5</v>
      </c>
      <c r="V1293" s="32" t="n">
        <f aca="false">ROUNDUP(J1293/INDEX('Tabela Passaro'!$Q$2:$Q$1795,$N1293),0)*INDEX('Tabela Passaro'!$P$2:$P$1795,$N1293)</f>
        <v>5</v>
      </c>
      <c r="W1293" s="32" t="n">
        <f aca="false">INDEX('Tabela Passaro'!$R$2:$R$1795,$N1293)</f>
        <v>30</v>
      </c>
      <c r="X1293" s="32" t="n">
        <f aca="false">ROUNDUP(J1293/INDEX('Tabela Passaro'!$T$2:$T$1795,$N1293),0)*INDEX('Tabela Passaro'!$S$2:$S$1795,$N1293)</f>
        <v>0</v>
      </c>
      <c r="Y1293" s="32" t="n">
        <f aca="false">INDEX('Tabela Passaro'!$U$2:$U$1795,$N1293)</f>
        <v>0</v>
      </c>
      <c r="Z1293" s="32" t="n">
        <f aca="false">INDEX('Tabela Passaro'!$V$2:$V$1795,$N1293)</f>
        <v>0</v>
      </c>
      <c r="AA1293" s="32" t="n">
        <f aca="false">SUM(R1293:Z1293)</f>
        <v>146.69351</v>
      </c>
      <c r="AB1293" s="33" t="n">
        <f aca="false">INDEX(Premissas!$B$5:$B$13,MATCH(A1293,Premissas!$A$5:$A$13,0))</f>
        <v>0.07</v>
      </c>
      <c r="AC1293" s="32" t="n">
        <f aca="false">AA1293/(1-AB1293)-AA1293</f>
        <v>11.0414469892473</v>
      </c>
      <c r="AD1293" s="32" t="n">
        <f aca="false">ROUND(AA1293+AC1293,2)</f>
        <v>157.73</v>
      </c>
      <c r="AE1293" s="32" t="n">
        <f aca="false">AD1293-L1293</f>
        <v>-28.57</v>
      </c>
      <c r="AF1293" s="34" t="n">
        <f aca="false">IF(L1293=0,0,AE1293/L1293)</f>
        <v>-0.153354804079442</v>
      </c>
      <c r="AG1293" s="22" t="str">
        <f aca="false">IF(AD1293&lt;L1293,"PASSARO","ATUAL")</f>
        <v>PASSARO</v>
      </c>
      <c r="AH1293" s="22" t="str">
        <f aca="false">IF(P1293&lt;&gt;A1293,"Faixa cadastrada como "&amp;P1293&amp;" na tabela; preço aplicado pela UF do CEP","")</f>
        <v/>
      </c>
      <c r="AI1293" s="26" t="n">
        <v>201.41</v>
      </c>
      <c r="AJ1293" s="22" t="str">
        <f aca="false">INDEX('Tabela Passaro'!$X$2:$X$1795,$N1293)</f>
        <v>CAPITAL</v>
      </c>
    </row>
    <row r="1294" customFormat="false" ht="15" hidden="false" customHeight="false" outlineLevel="0" collapsed="false">
      <c r="A1294" s="22" t="s">
        <v>20</v>
      </c>
      <c r="B1294" s="22" t="n">
        <v>1</v>
      </c>
      <c r="C1294" s="22" t="s">
        <v>147</v>
      </c>
      <c r="D1294" s="22" t="s">
        <v>30</v>
      </c>
      <c r="E1294" s="22" t="s">
        <v>7328</v>
      </c>
      <c r="F1294" s="22" t="n">
        <v>2315832</v>
      </c>
      <c r="G1294" s="30" t="n">
        <v>46258</v>
      </c>
      <c r="H1294" s="22" t="n">
        <v>135099</v>
      </c>
      <c r="I1294" s="22" t="s">
        <v>8505</v>
      </c>
      <c r="J1294" s="31" t="n">
        <v>66.4</v>
      </c>
      <c r="K1294" s="26" t="n">
        <v>937.38</v>
      </c>
      <c r="L1294" s="26" t="n">
        <v>185.71</v>
      </c>
      <c r="M1294" s="22" t="s">
        <v>4802</v>
      </c>
      <c r="N1294" s="22" t="n">
        <f aca="false">MATCH(M1294,'Tabela Passaro'!$A$2:$A$1795,0)</f>
        <v>1150</v>
      </c>
      <c r="O1294" s="22" t="str">
        <f aca="false">INDEX('Tabela Passaro'!$C$2:$C$1795,$N1294)</f>
        <v>RECIFE</v>
      </c>
      <c r="P1294" s="22" t="str">
        <f aca="false">INDEX('Tabela Passaro'!$B$2:$B$1795,$N1294)</f>
        <v>PE</v>
      </c>
      <c r="Q1294" s="22" t="n">
        <f aca="false">INDEX('Tabela Passaro'!$F$2:$F$1795,$N1294)</f>
        <v>8</v>
      </c>
      <c r="R1294" s="32" t="n">
        <f aca="false">IF(J1294&lt;=10,INDEX('Tabela Passaro'!$G$2:$G$1795,$N1294),IF(J1294&lt;=30,INDEX('Tabela Passaro'!$H$2:$H$1795,$N1294),IF(J1294&lt;=50,INDEX('Tabela Passaro'!$I$2:$I$1795,$N1294),IF(J1294&lt;=70,INDEX('Tabela Passaro'!$J$2:$J$1795,$N1294),IF(J1294&lt;=100,INDEX('Tabela Passaro'!$K$2:$K$1795,$N1294),INDEX('Tabela Passaro'!$K$2:$K$1795,$N1294)+(J1294-100)*INDEX('Tabela Passaro'!$L$2:$L$1795,$N1294))))))</f>
        <v>99.61</v>
      </c>
      <c r="S1294" s="32" t="n">
        <f aca="false">K1294*INDEX('Tabela Passaro'!$M$2:$M$1795,$N1294)</f>
        <v>4.6869</v>
      </c>
      <c r="T1294" s="32" t="n">
        <f aca="false">K1294*INDEX('Tabela Passaro'!$N$2:$N$1795,$N1294)</f>
        <v>1.87476</v>
      </c>
      <c r="U1294" s="32" t="n">
        <f aca="false">INDEX('Tabela Passaro'!$O$2:$O$1795,$N1294)</f>
        <v>5</v>
      </c>
      <c r="V1294" s="32" t="n">
        <f aca="false">ROUNDUP(J1294/INDEX('Tabela Passaro'!$Q$2:$Q$1795,$N1294),0)*INDEX('Tabela Passaro'!$P$2:$P$1795,$N1294)</f>
        <v>5</v>
      </c>
      <c r="W1294" s="32" t="n">
        <f aca="false">INDEX('Tabela Passaro'!$R$2:$R$1795,$N1294)</f>
        <v>30</v>
      </c>
      <c r="X1294" s="32" t="n">
        <f aca="false">ROUNDUP(J1294/INDEX('Tabela Passaro'!$T$2:$T$1795,$N1294),0)*INDEX('Tabela Passaro'!$S$2:$S$1795,$N1294)</f>
        <v>0</v>
      </c>
      <c r="Y1294" s="32" t="n">
        <f aca="false">INDEX('Tabela Passaro'!$U$2:$U$1795,$N1294)</f>
        <v>0</v>
      </c>
      <c r="Z1294" s="32" t="n">
        <f aca="false">INDEX('Tabela Passaro'!$V$2:$V$1795,$N1294)</f>
        <v>0</v>
      </c>
      <c r="AA1294" s="32" t="n">
        <f aca="false">SUM(R1294:Z1294)</f>
        <v>146.17166</v>
      </c>
      <c r="AB1294" s="33" t="n">
        <f aca="false">INDEX(Premissas!$B$5:$B$13,MATCH(A1294,Premissas!$A$5:$A$13,0))</f>
        <v>0.07</v>
      </c>
      <c r="AC1294" s="32" t="n">
        <f aca="false">AA1294/(1-AB1294)-AA1294</f>
        <v>11.0021679569893</v>
      </c>
      <c r="AD1294" s="32" t="n">
        <f aca="false">ROUND(AA1294+AC1294,2)</f>
        <v>157.17</v>
      </c>
      <c r="AE1294" s="32" t="n">
        <f aca="false">AD1294-L1294</f>
        <v>-28.54</v>
      </c>
      <c r="AF1294" s="34" t="n">
        <f aca="false">IF(L1294=0,0,AE1294/L1294)</f>
        <v>-0.153680469549297</v>
      </c>
      <c r="AG1294" s="22" t="str">
        <f aca="false">IF(AD1294&lt;L1294,"PASSARO","ATUAL")</f>
        <v>PASSARO</v>
      </c>
      <c r="AH1294" s="22" t="str">
        <f aca="false">IF(P1294&lt;&gt;A1294,"Faixa cadastrada como "&amp;P1294&amp;" na tabela; preço aplicado pela UF do CEP","")</f>
        <v/>
      </c>
      <c r="AI1294" s="26" t="n">
        <v>203.1</v>
      </c>
      <c r="AJ1294" s="22" t="str">
        <f aca="false">INDEX('Tabela Passaro'!$X$2:$X$1795,$N1294)</f>
        <v>CAPITAL</v>
      </c>
    </row>
    <row r="1295" customFormat="false" ht="15" hidden="false" customHeight="false" outlineLevel="0" collapsed="false">
      <c r="A1295" s="22" t="s">
        <v>20</v>
      </c>
      <c r="B1295" s="22" t="n">
        <v>1</v>
      </c>
      <c r="C1295" s="22" t="s">
        <v>147</v>
      </c>
      <c r="D1295" s="22" t="s">
        <v>30</v>
      </c>
      <c r="E1295" s="22" t="s">
        <v>7328</v>
      </c>
      <c r="F1295" s="22" t="n">
        <v>2315857</v>
      </c>
      <c r="G1295" s="30" t="n">
        <v>46258</v>
      </c>
      <c r="H1295" s="22" t="n">
        <v>135125</v>
      </c>
      <c r="I1295" s="22" t="s">
        <v>8506</v>
      </c>
      <c r="J1295" s="31" t="n">
        <v>51.06</v>
      </c>
      <c r="K1295" s="26" t="n">
        <v>837.63</v>
      </c>
      <c r="L1295" s="26" t="n">
        <v>184.92</v>
      </c>
      <c r="M1295" s="22" t="s">
        <v>4802</v>
      </c>
      <c r="N1295" s="22" t="n">
        <f aca="false">MATCH(M1295,'Tabela Passaro'!$A$2:$A$1795,0)</f>
        <v>1150</v>
      </c>
      <c r="O1295" s="22" t="str">
        <f aca="false">INDEX('Tabela Passaro'!$C$2:$C$1795,$N1295)</f>
        <v>RECIFE</v>
      </c>
      <c r="P1295" s="22" t="str">
        <f aca="false">INDEX('Tabela Passaro'!$B$2:$B$1795,$N1295)</f>
        <v>PE</v>
      </c>
      <c r="Q1295" s="22" t="n">
        <f aca="false">INDEX('Tabela Passaro'!$F$2:$F$1795,$N1295)</f>
        <v>8</v>
      </c>
      <c r="R1295" s="32" t="n">
        <f aca="false">IF(J1295&lt;=10,INDEX('Tabela Passaro'!$G$2:$G$1795,$N1295),IF(J1295&lt;=30,INDEX('Tabela Passaro'!$H$2:$H$1795,$N1295),IF(J1295&lt;=50,INDEX('Tabela Passaro'!$I$2:$I$1795,$N1295),IF(J1295&lt;=70,INDEX('Tabela Passaro'!$J$2:$J$1795,$N1295),IF(J1295&lt;=100,INDEX('Tabela Passaro'!$K$2:$K$1795,$N1295),INDEX('Tabela Passaro'!$K$2:$K$1795,$N1295)+(J1295-100)*INDEX('Tabela Passaro'!$L$2:$L$1795,$N1295))))))</f>
        <v>99.61</v>
      </c>
      <c r="S1295" s="32" t="n">
        <f aca="false">K1295*INDEX('Tabela Passaro'!$M$2:$M$1795,$N1295)</f>
        <v>4.18815</v>
      </c>
      <c r="T1295" s="32" t="n">
        <f aca="false">K1295*INDEX('Tabela Passaro'!$N$2:$N$1795,$N1295)</f>
        <v>1.67526</v>
      </c>
      <c r="U1295" s="32" t="n">
        <f aca="false">INDEX('Tabela Passaro'!$O$2:$O$1795,$N1295)</f>
        <v>5</v>
      </c>
      <c r="V1295" s="32" t="n">
        <f aca="false">ROUNDUP(J1295/INDEX('Tabela Passaro'!$Q$2:$Q$1795,$N1295),0)*INDEX('Tabela Passaro'!$P$2:$P$1795,$N1295)</f>
        <v>5</v>
      </c>
      <c r="W1295" s="32" t="n">
        <f aca="false">INDEX('Tabela Passaro'!$R$2:$R$1795,$N1295)</f>
        <v>30</v>
      </c>
      <c r="X1295" s="32" t="n">
        <f aca="false">ROUNDUP(J1295/INDEX('Tabela Passaro'!$T$2:$T$1795,$N1295),0)*INDEX('Tabela Passaro'!$S$2:$S$1795,$N1295)</f>
        <v>0</v>
      </c>
      <c r="Y1295" s="32" t="n">
        <f aca="false">INDEX('Tabela Passaro'!$U$2:$U$1795,$N1295)</f>
        <v>0</v>
      </c>
      <c r="Z1295" s="32" t="n">
        <f aca="false">INDEX('Tabela Passaro'!$V$2:$V$1795,$N1295)</f>
        <v>0</v>
      </c>
      <c r="AA1295" s="32" t="n">
        <f aca="false">SUM(R1295:Z1295)</f>
        <v>145.47341</v>
      </c>
      <c r="AB1295" s="33" t="n">
        <f aca="false">INDEX(Premissas!$B$5:$B$13,MATCH(A1295,Premissas!$A$5:$A$13,0))</f>
        <v>0.07</v>
      </c>
      <c r="AC1295" s="32" t="n">
        <f aca="false">AA1295/(1-AB1295)-AA1295</f>
        <v>10.9496115053764</v>
      </c>
      <c r="AD1295" s="32" t="n">
        <f aca="false">ROUND(AA1295+AC1295,2)</f>
        <v>156.42</v>
      </c>
      <c r="AE1295" s="32" t="n">
        <f aca="false">AD1295-L1295</f>
        <v>-28.5</v>
      </c>
      <c r="AF1295" s="34" t="n">
        <f aca="false">IF(L1295=0,0,AE1295/L1295)</f>
        <v>-0.154120700843608</v>
      </c>
      <c r="AG1295" s="22" t="str">
        <f aca="false">IF(AD1295&lt;L1295,"PASSARO","ATUAL")</f>
        <v>PASSARO</v>
      </c>
      <c r="AH1295" s="22" t="str">
        <f aca="false">IF(P1295&lt;&gt;A1295,"Faixa cadastrada como "&amp;P1295&amp;" na tabela; preço aplicado pela UF do CEP","")</f>
        <v/>
      </c>
      <c r="AI1295" s="26" t="n">
        <v>194.88</v>
      </c>
      <c r="AJ1295" s="22" t="str">
        <f aca="false">INDEX('Tabela Passaro'!$X$2:$X$1795,$N1295)</f>
        <v>CAPITAL</v>
      </c>
    </row>
    <row r="1296" customFormat="false" ht="15" hidden="false" customHeight="false" outlineLevel="0" collapsed="false">
      <c r="A1296" s="22" t="s">
        <v>20</v>
      </c>
      <c r="B1296" s="22" t="n">
        <v>1</v>
      </c>
      <c r="C1296" s="22" t="s">
        <v>147</v>
      </c>
      <c r="D1296" s="22" t="s">
        <v>30</v>
      </c>
      <c r="E1296" s="22" t="s">
        <v>7328</v>
      </c>
      <c r="F1296" s="22" t="n">
        <v>2315861</v>
      </c>
      <c r="G1296" s="30" t="n">
        <v>46258</v>
      </c>
      <c r="H1296" s="22" t="n">
        <v>135129</v>
      </c>
      <c r="I1296" s="22" t="s">
        <v>8507</v>
      </c>
      <c r="J1296" s="31" t="n">
        <v>43.5</v>
      </c>
      <c r="K1296" s="26" t="n">
        <v>834.96</v>
      </c>
      <c r="L1296" s="26" t="n">
        <v>157.47</v>
      </c>
      <c r="M1296" s="22" t="s">
        <v>4802</v>
      </c>
      <c r="N1296" s="22" t="n">
        <f aca="false">MATCH(M1296,'Tabela Passaro'!$A$2:$A$1795,0)</f>
        <v>1150</v>
      </c>
      <c r="O1296" s="22" t="str">
        <f aca="false">INDEX('Tabela Passaro'!$C$2:$C$1795,$N1296)</f>
        <v>RECIFE</v>
      </c>
      <c r="P1296" s="22" t="str">
        <f aca="false">INDEX('Tabela Passaro'!$B$2:$B$1795,$N1296)</f>
        <v>PE</v>
      </c>
      <c r="Q1296" s="22" t="n">
        <f aca="false">INDEX('Tabela Passaro'!$F$2:$F$1795,$N1296)</f>
        <v>8</v>
      </c>
      <c r="R1296" s="32" t="n">
        <f aca="false">IF(J1296&lt;=10,INDEX('Tabela Passaro'!$G$2:$G$1795,$N1296),IF(J1296&lt;=30,INDEX('Tabela Passaro'!$H$2:$H$1795,$N1296),IF(J1296&lt;=50,INDEX('Tabela Passaro'!$I$2:$I$1795,$N1296),IF(J1296&lt;=70,INDEX('Tabela Passaro'!$J$2:$J$1795,$N1296),IF(J1296&lt;=100,INDEX('Tabela Passaro'!$K$2:$K$1795,$N1296),INDEX('Tabela Passaro'!$K$2:$K$1795,$N1296)+(J1296-100)*INDEX('Tabela Passaro'!$L$2:$L$1795,$N1296))))))</f>
        <v>88.59</v>
      </c>
      <c r="S1296" s="32" t="n">
        <f aca="false">K1296*INDEX('Tabela Passaro'!$M$2:$M$1795,$N1296)</f>
        <v>4.1748</v>
      </c>
      <c r="T1296" s="32" t="n">
        <f aca="false">K1296*INDEX('Tabela Passaro'!$N$2:$N$1795,$N1296)</f>
        <v>1.66992</v>
      </c>
      <c r="U1296" s="32" t="n">
        <f aca="false">INDEX('Tabela Passaro'!$O$2:$O$1795,$N1296)</f>
        <v>5</v>
      </c>
      <c r="V1296" s="32" t="n">
        <f aca="false">ROUNDUP(J1296/INDEX('Tabela Passaro'!$Q$2:$Q$1795,$N1296),0)*INDEX('Tabela Passaro'!$P$2:$P$1795,$N1296)</f>
        <v>5</v>
      </c>
      <c r="W1296" s="32" t="n">
        <f aca="false">INDEX('Tabela Passaro'!$R$2:$R$1795,$N1296)</f>
        <v>30</v>
      </c>
      <c r="X1296" s="32" t="n">
        <f aca="false">ROUNDUP(J1296/INDEX('Tabela Passaro'!$T$2:$T$1795,$N1296),0)*INDEX('Tabela Passaro'!$S$2:$S$1795,$N1296)</f>
        <v>0</v>
      </c>
      <c r="Y1296" s="32" t="n">
        <f aca="false">INDEX('Tabela Passaro'!$U$2:$U$1795,$N1296)</f>
        <v>0</v>
      </c>
      <c r="Z1296" s="32" t="n">
        <f aca="false">INDEX('Tabela Passaro'!$V$2:$V$1795,$N1296)</f>
        <v>0</v>
      </c>
      <c r="AA1296" s="32" t="n">
        <f aca="false">SUM(R1296:Z1296)</f>
        <v>134.43472</v>
      </c>
      <c r="AB1296" s="33" t="n">
        <f aca="false">INDEX(Premissas!$B$5:$B$13,MATCH(A1296,Premissas!$A$5:$A$13,0))</f>
        <v>0.07</v>
      </c>
      <c r="AC1296" s="32" t="n">
        <f aca="false">AA1296/(1-AB1296)-AA1296</f>
        <v>10.1187423655914</v>
      </c>
      <c r="AD1296" s="32" t="n">
        <f aca="false">ROUND(AA1296+AC1296,2)</f>
        <v>144.55</v>
      </c>
      <c r="AE1296" s="32" t="n">
        <f aca="false">AD1296-L1296</f>
        <v>-12.92</v>
      </c>
      <c r="AF1296" s="34" t="n">
        <f aca="false">IF(L1296=0,0,AE1296/L1296)</f>
        <v>-0.0820473741030037</v>
      </c>
      <c r="AG1296" s="22" t="str">
        <f aca="false">IF(AD1296&lt;L1296,"PASSARO","ATUAL")</f>
        <v>PASSARO</v>
      </c>
      <c r="AH1296" s="22" t="str">
        <f aca="false">IF(P1296&lt;&gt;A1296,"Faixa cadastrada como "&amp;P1296&amp;" na tabela; preço aplicado pela UF do CEP","")</f>
        <v/>
      </c>
      <c r="AI1296" s="26" t="n">
        <v>178.46</v>
      </c>
      <c r="AJ1296" s="22" t="str">
        <f aca="false">INDEX('Tabela Passaro'!$X$2:$X$1795,$N1296)</f>
        <v>CAPITAL</v>
      </c>
    </row>
    <row r="1297" customFormat="false" ht="15" hidden="false" customHeight="false" outlineLevel="0" collapsed="false">
      <c r="A1297" s="22" t="s">
        <v>20</v>
      </c>
      <c r="B1297" s="22" t="n">
        <v>1</v>
      </c>
      <c r="C1297" s="22" t="s">
        <v>147</v>
      </c>
      <c r="D1297" s="22" t="s">
        <v>30</v>
      </c>
      <c r="E1297" s="22" t="s">
        <v>7328</v>
      </c>
      <c r="F1297" s="22" t="n">
        <v>2315855</v>
      </c>
      <c r="G1297" s="30" t="n">
        <v>46258</v>
      </c>
      <c r="H1297" s="22" t="n">
        <v>135319</v>
      </c>
      <c r="I1297" s="22" t="s">
        <v>8508</v>
      </c>
      <c r="J1297" s="31" t="n">
        <v>49.6</v>
      </c>
      <c r="K1297" s="26" t="n">
        <v>969.98</v>
      </c>
      <c r="L1297" s="26" t="n">
        <v>158.53</v>
      </c>
      <c r="M1297" s="22" t="s">
        <v>4802</v>
      </c>
      <c r="N1297" s="22" t="n">
        <f aca="false">MATCH(M1297,'Tabela Passaro'!$A$2:$A$1795,0)</f>
        <v>1150</v>
      </c>
      <c r="O1297" s="22" t="str">
        <f aca="false">INDEX('Tabela Passaro'!$C$2:$C$1795,$N1297)</f>
        <v>RECIFE</v>
      </c>
      <c r="P1297" s="22" t="str">
        <f aca="false">INDEX('Tabela Passaro'!$B$2:$B$1795,$N1297)</f>
        <v>PE</v>
      </c>
      <c r="Q1297" s="22" t="n">
        <f aca="false">INDEX('Tabela Passaro'!$F$2:$F$1795,$N1297)</f>
        <v>8</v>
      </c>
      <c r="R1297" s="32" t="n">
        <f aca="false">IF(J1297&lt;=10,INDEX('Tabela Passaro'!$G$2:$G$1795,$N1297),IF(J1297&lt;=30,INDEX('Tabela Passaro'!$H$2:$H$1795,$N1297),IF(J1297&lt;=50,INDEX('Tabela Passaro'!$I$2:$I$1795,$N1297),IF(J1297&lt;=70,INDEX('Tabela Passaro'!$J$2:$J$1795,$N1297),IF(J1297&lt;=100,INDEX('Tabela Passaro'!$K$2:$K$1795,$N1297),INDEX('Tabela Passaro'!$K$2:$K$1795,$N1297)+(J1297-100)*INDEX('Tabela Passaro'!$L$2:$L$1795,$N1297))))))</f>
        <v>88.59</v>
      </c>
      <c r="S1297" s="32" t="n">
        <f aca="false">K1297*INDEX('Tabela Passaro'!$M$2:$M$1795,$N1297)</f>
        <v>4.8499</v>
      </c>
      <c r="T1297" s="32" t="n">
        <f aca="false">K1297*INDEX('Tabela Passaro'!$N$2:$N$1795,$N1297)</f>
        <v>1.93996</v>
      </c>
      <c r="U1297" s="32" t="n">
        <f aca="false">INDEX('Tabela Passaro'!$O$2:$O$1795,$N1297)</f>
        <v>5</v>
      </c>
      <c r="V1297" s="32" t="n">
        <f aca="false">ROUNDUP(J1297/INDEX('Tabela Passaro'!$Q$2:$Q$1795,$N1297),0)*INDEX('Tabela Passaro'!$P$2:$P$1795,$N1297)</f>
        <v>5</v>
      </c>
      <c r="W1297" s="32" t="n">
        <f aca="false">INDEX('Tabela Passaro'!$R$2:$R$1795,$N1297)</f>
        <v>30</v>
      </c>
      <c r="X1297" s="32" t="n">
        <f aca="false">ROUNDUP(J1297/INDEX('Tabela Passaro'!$T$2:$T$1795,$N1297),0)*INDEX('Tabela Passaro'!$S$2:$S$1795,$N1297)</f>
        <v>0</v>
      </c>
      <c r="Y1297" s="32" t="n">
        <f aca="false">INDEX('Tabela Passaro'!$U$2:$U$1795,$N1297)</f>
        <v>0</v>
      </c>
      <c r="Z1297" s="32" t="n">
        <f aca="false">INDEX('Tabela Passaro'!$V$2:$V$1795,$N1297)</f>
        <v>0</v>
      </c>
      <c r="AA1297" s="32" t="n">
        <f aca="false">SUM(R1297:Z1297)</f>
        <v>135.37986</v>
      </c>
      <c r="AB1297" s="33" t="n">
        <f aca="false">INDEX(Premissas!$B$5:$B$13,MATCH(A1297,Premissas!$A$5:$A$13,0))</f>
        <v>0.07</v>
      </c>
      <c r="AC1297" s="32" t="n">
        <f aca="false">AA1297/(1-AB1297)-AA1297</f>
        <v>10.1898819354839</v>
      </c>
      <c r="AD1297" s="32" t="n">
        <f aca="false">ROUND(AA1297+AC1297,2)</f>
        <v>145.57</v>
      </c>
      <c r="AE1297" s="32" t="n">
        <f aca="false">AD1297-L1297</f>
        <v>-12.96</v>
      </c>
      <c r="AF1297" s="34" t="n">
        <f aca="false">IF(L1297=0,0,AE1297/L1297)</f>
        <v>-0.0817510881221221</v>
      </c>
      <c r="AG1297" s="22" t="str">
        <f aca="false">IF(AD1297&lt;L1297,"PASSARO","ATUAL")</f>
        <v>PASSARO</v>
      </c>
      <c r="AH1297" s="22" t="str">
        <f aca="false">IF(P1297&lt;&gt;A1297,"Faixa cadastrada como "&amp;P1297&amp;" na tabela; preço aplicado pela UF do CEP","")</f>
        <v/>
      </c>
      <c r="AI1297" s="26" t="n">
        <v>182.67</v>
      </c>
      <c r="AJ1297" s="22" t="str">
        <f aca="false">INDEX('Tabela Passaro'!$X$2:$X$1795,$N1297)</f>
        <v>CAPITAL</v>
      </c>
    </row>
    <row r="1298" customFormat="false" ht="15" hidden="false" customHeight="false" outlineLevel="0" collapsed="false">
      <c r="A1298" s="22" t="s">
        <v>20</v>
      </c>
      <c r="B1298" s="22" t="n">
        <v>1</v>
      </c>
      <c r="C1298" s="22" t="s">
        <v>147</v>
      </c>
      <c r="D1298" s="22" t="s">
        <v>30</v>
      </c>
      <c r="E1298" s="22" t="s">
        <v>7328</v>
      </c>
      <c r="F1298" s="22" t="n">
        <v>2315829</v>
      </c>
      <c r="G1298" s="30" t="n">
        <v>46258</v>
      </c>
      <c r="H1298" s="22" t="n">
        <v>135323</v>
      </c>
      <c r="I1298" s="22" t="s">
        <v>8509</v>
      </c>
      <c r="J1298" s="31" t="n">
        <v>29.97</v>
      </c>
      <c r="K1298" s="26" t="n">
        <v>519.98</v>
      </c>
      <c r="L1298" s="26" t="n">
        <v>119.11</v>
      </c>
      <c r="M1298" s="22" t="s">
        <v>4802</v>
      </c>
      <c r="N1298" s="22" t="n">
        <f aca="false">MATCH(M1298,'Tabela Passaro'!$A$2:$A$1795,0)</f>
        <v>1150</v>
      </c>
      <c r="O1298" s="22" t="str">
        <f aca="false">INDEX('Tabela Passaro'!$C$2:$C$1795,$N1298)</f>
        <v>RECIFE</v>
      </c>
      <c r="P1298" s="22" t="str">
        <f aca="false">INDEX('Tabela Passaro'!$B$2:$B$1795,$N1298)</f>
        <v>PE</v>
      </c>
      <c r="Q1298" s="22" t="n">
        <f aca="false">INDEX('Tabela Passaro'!$F$2:$F$1795,$N1298)</f>
        <v>8</v>
      </c>
      <c r="R1298" s="32" t="n">
        <f aca="false">IF(J1298&lt;=10,INDEX('Tabela Passaro'!$G$2:$G$1795,$N1298),IF(J1298&lt;=30,INDEX('Tabela Passaro'!$H$2:$H$1795,$N1298),IF(J1298&lt;=50,INDEX('Tabela Passaro'!$I$2:$I$1795,$N1298),IF(J1298&lt;=70,INDEX('Tabela Passaro'!$J$2:$J$1795,$N1298),IF(J1298&lt;=100,INDEX('Tabela Passaro'!$K$2:$K$1795,$N1298),INDEX('Tabela Passaro'!$K$2:$K$1795,$N1298)+(J1298-100)*INDEX('Tabela Passaro'!$L$2:$L$1795,$N1298))))))</f>
        <v>66.55</v>
      </c>
      <c r="S1298" s="32" t="n">
        <f aca="false">K1298*INDEX('Tabela Passaro'!$M$2:$M$1795,$N1298)</f>
        <v>2.5999</v>
      </c>
      <c r="T1298" s="32" t="n">
        <f aca="false">K1298*INDEX('Tabela Passaro'!$N$2:$N$1795,$N1298)</f>
        <v>1.03996</v>
      </c>
      <c r="U1298" s="32" t="n">
        <f aca="false">INDEX('Tabela Passaro'!$O$2:$O$1795,$N1298)</f>
        <v>5</v>
      </c>
      <c r="V1298" s="32" t="n">
        <f aca="false">ROUNDUP(J1298/INDEX('Tabela Passaro'!$Q$2:$Q$1795,$N1298),0)*INDEX('Tabela Passaro'!$P$2:$P$1795,$N1298)</f>
        <v>5</v>
      </c>
      <c r="W1298" s="32" t="n">
        <f aca="false">INDEX('Tabela Passaro'!$R$2:$R$1795,$N1298)</f>
        <v>30</v>
      </c>
      <c r="X1298" s="32" t="n">
        <f aca="false">ROUNDUP(J1298/INDEX('Tabela Passaro'!$T$2:$T$1795,$N1298),0)*INDEX('Tabela Passaro'!$S$2:$S$1795,$N1298)</f>
        <v>0</v>
      </c>
      <c r="Y1298" s="32" t="n">
        <f aca="false">INDEX('Tabela Passaro'!$U$2:$U$1795,$N1298)</f>
        <v>0</v>
      </c>
      <c r="Z1298" s="32" t="n">
        <f aca="false">INDEX('Tabela Passaro'!$V$2:$V$1795,$N1298)</f>
        <v>0</v>
      </c>
      <c r="AA1298" s="32" t="n">
        <f aca="false">SUM(R1298:Z1298)</f>
        <v>110.18986</v>
      </c>
      <c r="AB1298" s="33" t="n">
        <f aca="false">INDEX(Premissas!$B$5:$B$13,MATCH(A1298,Premissas!$A$5:$A$13,0))</f>
        <v>0.07</v>
      </c>
      <c r="AC1298" s="32" t="n">
        <f aca="false">AA1298/(1-AB1298)-AA1298</f>
        <v>8.29386043010753</v>
      </c>
      <c r="AD1298" s="32" t="n">
        <f aca="false">ROUND(AA1298+AC1298,2)</f>
        <v>118.48</v>
      </c>
      <c r="AE1298" s="32" t="n">
        <f aca="false">AD1298-L1298</f>
        <v>-0.629999999999996</v>
      </c>
      <c r="AF1298" s="34" t="n">
        <f aca="false">IF(L1298=0,0,AE1298/L1298)</f>
        <v>-0.00528922844429515</v>
      </c>
      <c r="AG1298" s="22" t="str">
        <f aca="false">IF(AD1298&lt;L1298,"PASSARO","ATUAL")</f>
        <v>PASSARO</v>
      </c>
      <c r="AH1298" s="22" t="str">
        <f aca="false">IF(P1298&lt;&gt;A1298,"Faixa cadastrada como "&amp;P1298&amp;" na tabela; preço aplicado pela UF do CEP","")</f>
        <v/>
      </c>
      <c r="AI1298" s="26" t="n">
        <v>143.58</v>
      </c>
      <c r="AJ1298" s="22" t="str">
        <f aca="false">INDEX('Tabela Passaro'!$X$2:$X$1795,$N1298)</f>
        <v>CAPITAL</v>
      </c>
    </row>
    <row r="1299" customFormat="false" ht="15" hidden="false" customHeight="false" outlineLevel="0" collapsed="false">
      <c r="A1299" s="22" t="s">
        <v>20</v>
      </c>
      <c r="B1299" s="22" t="n">
        <v>1</v>
      </c>
      <c r="C1299" s="22" t="s">
        <v>147</v>
      </c>
      <c r="D1299" s="22" t="s">
        <v>30</v>
      </c>
      <c r="E1299" s="22" t="s">
        <v>7326</v>
      </c>
      <c r="F1299" s="22" t="n">
        <v>526890</v>
      </c>
      <c r="G1299" s="30" t="n">
        <v>46258</v>
      </c>
      <c r="H1299" s="22" t="n">
        <v>627925</v>
      </c>
      <c r="I1299" s="22" t="s">
        <v>8510</v>
      </c>
      <c r="J1299" s="31" t="n">
        <v>18.99</v>
      </c>
      <c r="K1299" s="26" t="n">
        <v>1828.8</v>
      </c>
      <c r="L1299" s="26" t="n">
        <v>140.33</v>
      </c>
      <c r="M1299" s="22" t="s">
        <v>4802</v>
      </c>
      <c r="N1299" s="22" t="n">
        <f aca="false">MATCH(M1299,'Tabela Passaro'!$A$2:$A$1795,0)</f>
        <v>1150</v>
      </c>
      <c r="O1299" s="22" t="str">
        <f aca="false">INDEX('Tabela Passaro'!$C$2:$C$1795,$N1299)</f>
        <v>RECIFE</v>
      </c>
      <c r="P1299" s="22" t="str">
        <f aca="false">INDEX('Tabela Passaro'!$B$2:$B$1795,$N1299)</f>
        <v>PE</v>
      </c>
      <c r="Q1299" s="22" t="n">
        <f aca="false">INDEX('Tabela Passaro'!$F$2:$F$1795,$N1299)</f>
        <v>8</v>
      </c>
      <c r="R1299" s="32" t="n">
        <f aca="false">IF(J1299&lt;=10,INDEX('Tabela Passaro'!$G$2:$G$1795,$N1299),IF(J1299&lt;=30,INDEX('Tabela Passaro'!$H$2:$H$1795,$N1299),IF(J1299&lt;=50,INDEX('Tabela Passaro'!$I$2:$I$1795,$N1299),IF(J1299&lt;=70,INDEX('Tabela Passaro'!$J$2:$J$1795,$N1299),IF(J1299&lt;=100,INDEX('Tabela Passaro'!$K$2:$K$1795,$N1299),INDEX('Tabela Passaro'!$K$2:$K$1795,$N1299)+(J1299-100)*INDEX('Tabela Passaro'!$L$2:$L$1795,$N1299))))))</f>
        <v>66.55</v>
      </c>
      <c r="S1299" s="32" t="n">
        <f aca="false">K1299*INDEX('Tabela Passaro'!$M$2:$M$1795,$N1299)</f>
        <v>9.144</v>
      </c>
      <c r="T1299" s="32" t="n">
        <f aca="false">K1299*INDEX('Tabela Passaro'!$N$2:$N$1795,$N1299)</f>
        <v>3.6576</v>
      </c>
      <c r="U1299" s="32" t="n">
        <f aca="false">INDEX('Tabela Passaro'!$O$2:$O$1795,$N1299)</f>
        <v>5</v>
      </c>
      <c r="V1299" s="32" t="n">
        <f aca="false">ROUNDUP(J1299/INDEX('Tabela Passaro'!$Q$2:$Q$1795,$N1299),0)*INDEX('Tabela Passaro'!$P$2:$P$1795,$N1299)</f>
        <v>5</v>
      </c>
      <c r="W1299" s="32" t="n">
        <f aca="false">INDEX('Tabela Passaro'!$R$2:$R$1795,$N1299)</f>
        <v>30</v>
      </c>
      <c r="X1299" s="32" t="n">
        <f aca="false">ROUNDUP(J1299/INDEX('Tabela Passaro'!$T$2:$T$1795,$N1299),0)*INDEX('Tabela Passaro'!$S$2:$S$1795,$N1299)</f>
        <v>0</v>
      </c>
      <c r="Y1299" s="32" t="n">
        <f aca="false">INDEX('Tabela Passaro'!$U$2:$U$1795,$N1299)</f>
        <v>0</v>
      </c>
      <c r="Z1299" s="32" t="n">
        <f aca="false">INDEX('Tabela Passaro'!$V$2:$V$1795,$N1299)</f>
        <v>0</v>
      </c>
      <c r="AA1299" s="32" t="n">
        <f aca="false">SUM(R1299:Z1299)</f>
        <v>119.3516</v>
      </c>
      <c r="AB1299" s="33" t="n">
        <f aca="false">INDEX(Premissas!$B$5:$B$13,MATCH(A1299,Premissas!$A$5:$A$13,0))</f>
        <v>0.07</v>
      </c>
      <c r="AC1299" s="32" t="n">
        <f aca="false">AA1299/(1-AB1299)-AA1299</f>
        <v>8.98345376344088</v>
      </c>
      <c r="AD1299" s="32" t="n">
        <f aca="false">ROUND(AA1299+AC1299,2)</f>
        <v>128.34</v>
      </c>
      <c r="AE1299" s="32" t="n">
        <f aca="false">AD1299-L1299</f>
        <v>-11.99</v>
      </c>
      <c r="AF1299" s="34" t="n">
        <f aca="false">IF(L1299=0,0,AE1299/L1299)</f>
        <v>-0.0854414594170884</v>
      </c>
      <c r="AG1299" s="22" t="str">
        <f aca="false">IF(AD1299&lt;L1299,"PASSARO","ATUAL")</f>
        <v>PASSARO</v>
      </c>
      <c r="AH1299" s="22" t="str">
        <f aca="false">IF(P1299&lt;&gt;A1299,"Faixa cadastrada como "&amp;P1299&amp;" na tabela; preço aplicado pela UF do CEP","")</f>
        <v/>
      </c>
      <c r="AI1299" s="26" t="n">
        <v>150.92</v>
      </c>
      <c r="AJ1299" s="22" t="str">
        <f aca="false">INDEX('Tabela Passaro'!$X$2:$X$1795,$N1299)</f>
        <v>CAPITAL</v>
      </c>
    </row>
    <row r="1300" customFormat="false" ht="15" hidden="false" customHeight="false" outlineLevel="0" collapsed="false">
      <c r="A1300" s="22" t="s">
        <v>20</v>
      </c>
      <c r="B1300" s="22" t="n">
        <v>1</v>
      </c>
      <c r="C1300" s="22" t="s">
        <v>147</v>
      </c>
      <c r="D1300" s="22" t="s">
        <v>30</v>
      </c>
      <c r="E1300" s="22" t="s">
        <v>7326</v>
      </c>
      <c r="F1300" s="22" t="n">
        <v>527065</v>
      </c>
      <c r="G1300" s="30" t="n">
        <v>46258</v>
      </c>
      <c r="H1300" s="22" t="n">
        <v>628476</v>
      </c>
      <c r="I1300" s="22" t="s">
        <v>8511</v>
      </c>
      <c r="J1300" s="31" t="n">
        <v>26.9</v>
      </c>
      <c r="K1300" s="26" t="n">
        <v>485.86</v>
      </c>
      <c r="L1300" s="26" t="n">
        <v>128.91</v>
      </c>
      <c r="M1300" s="22" t="s">
        <v>4802</v>
      </c>
      <c r="N1300" s="22" t="n">
        <f aca="false">MATCH(M1300,'Tabela Passaro'!$A$2:$A$1795,0)</f>
        <v>1150</v>
      </c>
      <c r="O1300" s="22" t="str">
        <f aca="false">INDEX('Tabela Passaro'!$C$2:$C$1795,$N1300)</f>
        <v>RECIFE</v>
      </c>
      <c r="P1300" s="22" t="str">
        <f aca="false">INDEX('Tabela Passaro'!$B$2:$B$1795,$N1300)</f>
        <v>PE</v>
      </c>
      <c r="Q1300" s="22" t="n">
        <f aca="false">INDEX('Tabela Passaro'!$F$2:$F$1795,$N1300)</f>
        <v>8</v>
      </c>
      <c r="R1300" s="32" t="n">
        <f aca="false">IF(J1300&lt;=10,INDEX('Tabela Passaro'!$G$2:$G$1795,$N1300),IF(J1300&lt;=30,INDEX('Tabela Passaro'!$H$2:$H$1795,$N1300),IF(J1300&lt;=50,INDEX('Tabela Passaro'!$I$2:$I$1795,$N1300),IF(J1300&lt;=70,INDEX('Tabela Passaro'!$J$2:$J$1795,$N1300),IF(J1300&lt;=100,INDEX('Tabela Passaro'!$K$2:$K$1795,$N1300),INDEX('Tabela Passaro'!$K$2:$K$1795,$N1300)+(J1300-100)*INDEX('Tabela Passaro'!$L$2:$L$1795,$N1300))))))</f>
        <v>66.55</v>
      </c>
      <c r="S1300" s="32" t="n">
        <f aca="false">K1300*INDEX('Tabela Passaro'!$M$2:$M$1795,$N1300)</f>
        <v>2.4293</v>
      </c>
      <c r="T1300" s="32" t="n">
        <f aca="false">K1300*INDEX('Tabela Passaro'!$N$2:$N$1795,$N1300)</f>
        <v>0.97172</v>
      </c>
      <c r="U1300" s="32" t="n">
        <f aca="false">INDEX('Tabela Passaro'!$O$2:$O$1795,$N1300)</f>
        <v>5</v>
      </c>
      <c r="V1300" s="32" t="n">
        <f aca="false">ROUNDUP(J1300/INDEX('Tabela Passaro'!$Q$2:$Q$1795,$N1300),0)*INDEX('Tabela Passaro'!$P$2:$P$1795,$N1300)</f>
        <v>5</v>
      </c>
      <c r="W1300" s="32" t="n">
        <f aca="false">INDEX('Tabela Passaro'!$R$2:$R$1795,$N1300)</f>
        <v>30</v>
      </c>
      <c r="X1300" s="32" t="n">
        <f aca="false">ROUNDUP(J1300/INDEX('Tabela Passaro'!$T$2:$T$1795,$N1300),0)*INDEX('Tabela Passaro'!$S$2:$S$1795,$N1300)</f>
        <v>0</v>
      </c>
      <c r="Y1300" s="32" t="n">
        <f aca="false">INDEX('Tabela Passaro'!$U$2:$U$1795,$N1300)</f>
        <v>0</v>
      </c>
      <c r="Z1300" s="32" t="n">
        <f aca="false">INDEX('Tabela Passaro'!$V$2:$V$1795,$N1300)</f>
        <v>0</v>
      </c>
      <c r="AA1300" s="32" t="n">
        <f aca="false">SUM(R1300:Z1300)</f>
        <v>109.95102</v>
      </c>
      <c r="AB1300" s="33" t="n">
        <f aca="false">INDEX(Premissas!$B$5:$B$13,MATCH(A1300,Premissas!$A$5:$A$13,0))</f>
        <v>0.07</v>
      </c>
      <c r="AC1300" s="32" t="n">
        <f aca="false">AA1300/(1-AB1300)-AA1300</f>
        <v>8.27588322580645</v>
      </c>
      <c r="AD1300" s="32" t="n">
        <f aca="false">ROUND(AA1300+AC1300,2)</f>
        <v>118.23</v>
      </c>
      <c r="AE1300" s="32" t="n">
        <f aca="false">AD1300-L1300</f>
        <v>-10.68</v>
      </c>
      <c r="AF1300" s="34" t="n">
        <f aca="false">IF(L1300=0,0,AE1300/L1300)</f>
        <v>-0.0828484989527577</v>
      </c>
      <c r="AG1300" s="22" t="str">
        <f aca="false">IF(AD1300&lt;L1300,"PASSARO","ATUAL")</f>
        <v>PASSARO</v>
      </c>
      <c r="AH1300" s="22" t="str">
        <f aca="false">IF(P1300&lt;&gt;A1300,"Faixa cadastrada como "&amp;P1300&amp;" na tabela; preço aplicado pela UF do CEP","")</f>
        <v/>
      </c>
      <c r="AI1300" s="26" t="n">
        <v>141.8</v>
      </c>
      <c r="AJ1300" s="22" t="str">
        <f aca="false">INDEX('Tabela Passaro'!$X$2:$X$1795,$N1300)</f>
        <v>CAPITAL</v>
      </c>
    </row>
    <row r="1301" customFormat="false" ht="15" hidden="false" customHeight="false" outlineLevel="0" collapsed="false">
      <c r="A1301" s="22" t="s">
        <v>20</v>
      </c>
      <c r="B1301" s="22" t="n">
        <v>1</v>
      </c>
      <c r="C1301" s="22" t="s">
        <v>147</v>
      </c>
      <c r="D1301" s="22" t="s">
        <v>30</v>
      </c>
      <c r="E1301" s="22" t="s">
        <v>7326</v>
      </c>
      <c r="F1301" s="22" t="n">
        <v>527088</v>
      </c>
      <c r="G1301" s="30" t="n">
        <v>46259</v>
      </c>
      <c r="H1301" s="22" t="n">
        <v>627930</v>
      </c>
      <c r="I1301" s="22" t="s">
        <v>8512</v>
      </c>
      <c r="J1301" s="31" t="n">
        <v>28.9</v>
      </c>
      <c r="K1301" s="26" t="n">
        <v>1210.1</v>
      </c>
      <c r="L1301" s="26" t="n">
        <v>135.09</v>
      </c>
      <c r="M1301" s="22" t="s">
        <v>4802</v>
      </c>
      <c r="N1301" s="22" t="n">
        <f aca="false">MATCH(M1301,'Tabela Passaro'!$A$2:$A$1795,0)</f>
        <v>1150</v>
      </c>
      <c r="O1301" s="22" t="str">
        <f aca="false">INDEX('Tabela Passaro'!$C$2:$C$1795,$N1301)</f>
        <v>RECIFE</v>
      </c>
      <c r="P1301" s="22" t="str">
        <f aca="false">INDEX('Tabela Passaro'!$B$2:$B$1795,$N1301)</f>
        <v>PE</v>
      </c>
      <c r="Q1301" s="22" t="n">
        <f aca="false">INDEX('Tabela Passaro'!$F$2:$F$1795,$N1301)</f>
        <v>8</v>
      </c>
      <c r="R1301" s="32" t="n">
        <f aca="false">IF(J1301&lt;=10,INDEX('Tabela Passaro'!$G$2:$G$1795,$N1301),IF(J1301&lt;=30,INDEX('Tabela Passaro'!$H$2:$H$1795,$N1301),IF(J1301&lt;=50,INDEX('Tabela Passaro'!$I$2:$I$1795,$N1301),IF(J1301&lt;=70,INDEX('Tabela Passaro'!$J$2:$J$1795,$N1301),IF(J1301&lt;=100,INDEX('Tabela Passaro'!$K$2:$K$1795,$N1301),INDEX('Tabela Passaro'!$K$2:$K$1795,$N1301)+(J1301-100)*INDEX('Tabela Passaro'!$L$2:$L$1795,$N1301))))))</f>
        <v>66.55</v>
      </c>
      <c r="S1301" s="32" t="n">
        <f aca="false">K1301*INDEX('Tabela Passaro'!$M$2:$M$1795,$N1301)</f>
        <v>6.0505</v>
      </c>
      <c r="T1301" s="32" t="n">
        <f aca="false">K1301*INDEX('Tabela Passaro'!$N$2:$N$1795,$N1301)</f>
        <v>2.4202</v>
      </c>
      <c r="U1301" s="32" t="n">
        <f aca="false">INDEX('Tabela Passaro'!$O$2:$O$1795,$N1301)</f>
        <v>5</v>
      </c>
      <c r="V1301" s="32" t="n">
        <f aca="false">ROUNDUP(J1301/INDEX('Tabela Passaro'!$Q$2:$Q$1795,$N1301),0)*INDEX('Tabela Passaro'!$P$2:$P$1795,$N1301)</f>
        <v>5</v>
      </c>
      <c r="W1301" s="32" t="n">
        <f aca="false">INDEX('Tabela Passaro'!$R$2:$R$1795,$N1301)</f>
        <v>30</v>
      </c>
      <c r="X1301" s="32" t="n">
        <f aca="false">ROUNDUP(J1301/INDEX('Tabela Passaro'!$T$2:$T$1795,$N1301),0)*INDEX('Tabela Passaro'!$S$2:$S$1795,$N1301)</f>
        <v>0</v>
      </c>
      <c r="Y1301" s="32" t="n">
        <f aca="false">INDEX('Tabela Passaro'!$U$2:$U$1795,$N1301)</f>
        <v>0</v>
      </c>
      <c r="Z1301" s="32" t="n">
        <f aca="false">INDEX('Tabela Passaro'!$V$2:$V$1795,$N1301)</f>
        <v>0</v>
      </c>
      <c r="AA1301" s="32" t="n">
        <f aca="false">SUM(R1301:Z1301)</f>
        <v>115.0207</v>
      </c>
      <c r="AB1301" s="33" t="n">
        <f aca="false">INDEX(Premissas!$B$5:$B$13,MATCH(A1301,Premissas!$A$5:$A$13,0))</f>
        <v>0.07</v>
      </c>
      <c r="AC1301" s="32" t="n">
        <f aca="false">AA1301/(1-AB1301)-AA1301</f>
        <v>8.65747204301076</v>
      </c>
      <c r="AD1301" s="32" t="n">
        <f aca="false">ROUND(AA1301+AC1301,2)</f>
        <v>123.68</v>
      </c>
      <c r="AE1301" s="32" t="n">
        <f aca="false">AD1301-L1301</f>
        <v>-11.41</v>
      </c>
      <c r="AF1301" s="34" t="n">
        <f aca="false">IF(L1301=0,0,AE1301/L1301)</f>
        <v>-0.0844622103782663</v>
      </c>
      <c r="AG1301" s="22" t="str">
        <f aca="false">IF(AD1301&lt;L1301,"PASSARO","ATUAL")</f>
        <v>PASSARO</v>
      </c>
      <c r="AH1301" s="22" t="str">
        <f aca="false">IF(P1301&lt;&gt;A1301,"Faixa cadastrada como "&amp;P1301&amp;" na tabela; preço aplicado pela UF do CEP","")</f>
        <v/>
      </c>
      <c r="AI1301" s="26" t="n">
        <v>149.78</v>
      </c>
      <c r="AJ1301" s="22" t="str">
        <f aca="false">INDEX('Tabela Passaro'!$X$2:$X$1795,$N1301)</f>
        <v>CAPITAL</v>
      </c>
    </row>
    <row r="1302" customFormat="false" ht="15" hidden="false" customHeight="false" outlineLevel="0" collapsed="false">
      <c r="A1302" s="22" t="s">
        <v>20</v>
      </c>
      <c r="B1302" s="22" t="n">
        <v>1</v>
      </c>
      <c r="C1302" s="22" t="s">
        <v>147</v>
      </c>
      <c r="D1302" s="22" t="s">
        <v>30</v>
      </c>
      <c r="E1302" s="22" t="s">
        <v>7326</v>
      </c>
      <c r="F1302" s="22" t="n">
        <v>527375</v>
      </c>
      <c r="G1302" s="30" t="n">
        <v>46259</v>
      </c>
      <c r="H1302" s="22" t="n">
        <v>629113</v>
      </c>
      <c r="I1302" s="22" t="s">
        <v>8513</v>
      </c>
      <c r="J1302" s="31" t="n">
        <v>45.4</v>
      </c>
      <c r="K1302" s="26" t="n">
        <v>609.98</v>
      </c>
      <c r="L1302" s="26" t="n">
        <v>176.48</v>
      </c>
      <c r="M1302" s="22" t="s">
        <v>4802</v>
      </c>
      <c r="N1302" s="22" t="n">
        <f aca="false">MATCH(M1302,'Tabela Passaro'!$A$2:$A$1795,0)</f>
        <v>1150</v>
      </c>
      <c r="O1302" s="22" t="str">
        <f aca="false">INDEX('Tabela Passaro'!$C$2:$C$1795,$N1302)</f>
        <v>RECIFE</v>
      </c>
      <c r="P1302" s="22" t="str">
        <f aca="false">INDEX('Tabela Passaro'!$B$2:$B$1795,$N1302)</f>
        <v>PE</v>
      </c>
      <c r="Q1302" s="22" t="n">
        <f aca="false">INDEX('Tabela Passaro'!$F$2:$F$1795,$N1302)</f>
        <v>8</v>
      </c>
      <c r="R1302" s="32" t="n">
        <f aca="false">IF(J1302&lt;=10,INDEX('Tabela Passaro'!$G$2:$G$1795,$N1302),IF(J1302&lt;=30,INDEX('Tabela Passaro'!$H$2:$H$1795,$N1302),IF(J1302&lt;=50,INDEX('Tabela Passaro'!$I$2:$I$1795,$N1302),IF(J1302&lt;=70,INDEX('Tabela Passaro'!$J$2:$J$1795,$N1302),IF(J1302&lt;=100,INDEX('Tabela Passaro'!$K$2:$K$1795,$N1302),INDEX('Tabela Passaro'!$K$2:$K$1795,$N1302)+(J1302-100)*INDEX('Tabela Passaro'!$L$2:$L$1795,$N1302))))))</f>
        <v>88.59</v>
      </c>
      <c r="S1302" s="32" t="n">
        <f aca="false">K1302*INDEX('Tabela Passaro'!$M$2:$M$1795,$N1302)</f>
        <v>3.0499</v>
      </c>
      <c r="T1302" s="32" t="n">
        <f aca="false">K1302*INDEX('Tabela Passaro'!$N$2:$N$1795,$N1302)</f>
        <v>1.21996</v>
      </c>
      <c r="U1302" s="32" t="n">
        <f aca="false">INDEX('Tabela Passaro'!$O$2:$O$1795,$N1302)</f>
        <v>5</v>
      </c>
      <c r="V1302" s="32" t="n">
        <f aca="false">ROUNDUP(J1302/INDEX('Tabela Passaro'!$Q$2:$Q$1795,$N1302),0)*INDEX('Tabela Passaro'!$P$2:$P$1795,$N1302)</f>
        <v>5</v>
      </c>
      <c r="W1302" s="32" t="n">
        <f aca="false">INDEX('Tabela Passaro'!$R$2:$R$1795,$N1302)</f>
        <v>30</v>
      </c>
      <c r="X1302" s="32" t="n">
        <f aca="false">ROUNDUP(J1302/INDEX('Tabela Passaro'!$T$2:$T$1795,$N1302),0)*INDEX('Tabela Passaro'!$S$2:$S$1795,$N1302)</f>
        <v>0</v>
      </c>
      <c r="Y1302" s="32" t="n">
        <f aca="false">INDEX('Tabela Passaro'!$U$2:$U$1795,$N1302)</f>
        <v>0</v>
      </c>
      <c r="Z1302" s="32" t="n">
        <f aca="false">INDEX('Tabela Passaro'!$V$2:$V$1795,$N1302)</f>
        <v>0</v>
      </c>
      <c r="AA1302" s="32" t="n">
        <f aca="false">SUM(R1302:Z1302)</f>
        <v>132.85986</v>
      </c>
      <c r="AB1302" s="33" t="n">
        <f aca="false">INDEX(Premissas!$B$5:$B$13,MATCH(A1302,Premissas!$A$5:$A$13,0))</f>
        <v>0.07</v>
      </c>
      <c r="AC1302" s="32" t="n">
        <f aca="false">AA1302/(1-AB1302)-AA1302</f>
        <v>10.000204516129</v>
      </c>
      <c r="AD1302" s="32" t="n">
        <f aca="false">ROUND(AA1302+AC1302,2)</f>
        <v>142.86</v>
      </c>
      <c r="AE1302" s="32" t="n">
        <f aca="false">AD1302-L1302</f>
        <v>-33.62</v>
      </c>
      <c r="AF1302" s="34" t="n">
        <f aca="false">IF(L1302=0,0,AE1302/L1302)</f>
        <v>-0.190503173164098</v>
      </c>
      <c r="AG1302" s="22" t="str">
        <f aca="false">IF(AD1302&lt;L1302,"PASSARO","ATUAL")</f>
        <v>PASSARO</v>
      </c>
      <c r="AH1302" s="22" t="str">
        <f aca="false">IF(P1302&lt;&gt;A1302,"Faixa cadastrada como "&amp;P1302&amp;" na tabela; preço aplicado pela UF do CEP","")</f>
        <v/>
      </c>
      <c r="AI1302" s="26" t="n">
        <v>177.25</v>
      </c>
      <c r="AJ1302" s="22" t="str">
        <f aca="false">INDEX('Tabela Passaro'!$X$2:$X$1795,$N1302)</f>
        <v>CAPITAL</v>
      </c>
    </row>
    <row r="1303" customFormat="false" ht="15" hidden="false" customHeight="false" outlineLevel="0" collapsed="false">
      <c r="A1303" s="22" t="s">
        <v>20</v>
      </c>
      <c r="B1303" s="22" t="n">
        <v>1</v>
      </c>
      <c r="C1303" s="22" t="s">
        <v>147</v>
      </c>
      <c r="D1303" s="22" t="s">
        <v>30</v>
      </c>
      <c r="E1303" s="22" t="s">
        <v>20</v>
      </c>
      <c r="F1303" s="22" t="n">
        <v>840166</v>
      </c>
      <c r="G1303" s="30" t="n">
        <v>46260</v>
      </c>
      <c r="H1303" s="22" t="n">
        <v>32713</v>
      </c>
      <c r="I1303" s="22" t="s">
        <v>8514</v>
      </c>
      <c r="J1303" s="31" t="n">
        <v>27.6</v>
      </c>
      <c r="K1303" s="26" t="n">
        <v>764.98</v>
      </c>
      <c r="L1303" s="26" t="n">
        <v>83.06</v>
      </c>
      <c r="M1303" s="22" t="s">
        <v>4802</v>
      </c>
      <c r="N1303" s="22" t="n">
        <f aca="false">MATCH(M1303,'Tabela Passaro'!$A$2:$A$1795,0)</f>
        <v>1150</v>
      </c>
      <c r="O1303" s="22" t="str">
        <f aca="false">INDEX('Tabela Passaro'!$C$2:$C$1795,$N1303)</f>
        <v>RECIFE</v>
      </c>
      <c r="P1303" s="22" t="str">
        <f aca="false">INDEX('Tabela Passaro'!$B$2:$B$1795,$N1303)</f>
        <v>PE</v>
      </c>
      <c r="Q1303" s="22" t="n">
        <f aca="false">INDEX('Tabela Passaro'!$F$2:$F$1795,$N1303)</f>
        <v>8</v>
      </c>
      <c r="R1303" s="32" t="n">
        <f aca="false">IF(J1303&lt;=10,INDEX('Tabela Passaro'!$G$2:$G$1795,$N1303),IF(J1303&lt;=30,INDEX('Tabela Passaro'!$H$2:$H$1795,$N1303),IF(J1303&lt;=50,INDEX('Tabela Passaro'!$I$2:$I$1795,$N1303),IF(J1303&lt;=70,INDEX('Tabela Passaro'!$J$2:$J$1795,$N1303),IF(J1303&lt;=100,INDEX('Tabela Passaro'!$K$2:$K$1795,$N1303),INDEX('Tabela Passaro'!$K$2:$K$1795,$N1303)+(J1303-100)*INDEX('Tabela Passaro'!$L$2:$L$1795,$N1303))))))</f>
        <v>66.55</v>
      </c>
      <c r="S1303" s="32" t="n">
        <f aca="false">K1303*INDEX('Tabela Passaro'!$M$2:$M$1795,$N1303)</f>
        <v>3.8249</v>
      </c>
      <c r="T1303" s="32" t="n">
        <f aca="false">K1303*INDEX('Tabela Passaro'!$N$2:$N$1795,$N1303)</f>
        <v>1.52996</v>
      </c>
      <c r="U1303" s="32" t="n">
        <f aca="false">INDEX('Tabela Passaro'!$O$2:$O$1795,$N1303)</f>
        <v>5</v>
      </c>
      <c r="V1303" s="32" t="n">
        <f aca="false">ROUNDUP(J1303/INDEX('Tabela Passaro'!$Q$2:$Q$1795,$N1303),0)*INDEX('Tabela Passaro'!$P$2:$P$1795,$N1303)</f>
        <v>5</v>
      </c>
      <c r="W1303" s="32" t="n">
        <f aca="false">INDEX('Tabela Passaro'!$R$2:$R$1795,$N1303)</f>
        <v>30</v>
      </c>
      <c r="X1303" s="32" t="n">
        <f aca="false">ROUNDUP(J1303/INDEX('Tabela Passaro'!$T$2:$T$1795,$N1303),0)*INDEX('Tabela Passaro'!$S$2:$S$1795,$N1303)</f>
        <v>0</v>
      </c>
      <c r="Y1303" s="32" t="n">
        <f aca="false">INDEX('Tabela Passaro'!$U$2:$U$1795,$N1303)</f>
        <v>0</v>
      </c>
      <c r="Z1303" s="32" t="n">
        <f aca="false">INDEX('Tabela Passaro'!$V$2:$V$1795,$N1303)</f>
        <v>0</v>
      </c>
      <c r="AA1303" s="32" t="n">
        <f aca="false">SUM(R1303:Z1303)</f>
        <v>111.90486</v>
      </c>
      <c r="AB1303" s="33" t="n">
        <f aca="false">INDEX(Premissas!$B$5:$B$13,MATCH(A1303,Premissas!$A$5:$A$13,0))</f>
        <v>0.07</v>
      </c>
      <c r="AC1303" s="32" t="n">
        <f aca="false">AA1303/(1-AB1303)-AA1303</f>
        <v>8.42294645161292</v>
      </c>
      <c r="AD1303" s="32" t="n">
        <f aca="false">ROUND(AA1303+AC1303,2)</f>
        <v>120.33</v>
      </c>
      <c r="AE1303" s="32" t="n">
        <f aca="false">AD1303-L1303</f>
        <v>37.27</v>
      </c>
      <c r="AF1303" s="34" t="n">
        <f aca="false">IF(L1303=0,0,AE1303/L1303)</f>
        <v>0.448711774620756</v>
      </c>
      <c r="AG1303" s="22" t="str">
        <f aca="false">IF(AD1303&lt;L1303,"PASSARO","ATUAL")</f>
        <v>ATUAL</v>
      </c>
      <c r="AH1303" s="22" t="str">
        <f aca="false">IF(P1303&lt;&gt;A1303,"Faixa cadastrada como "&amp;P1303&amp;" na tabela; preço aplicado pela UF do CEP","")</f>
        <v/>
      </c>
      <c r="AI1303" s="26" t="n">
        <v>144.98</v>
      </c>
      <c r="AJ1303" s="22" t="str">
        <f aca="false">INDEX('Tabela Passaro'!$X$2:$X$1795,$N1303)</f>
        <v>CAPITAL</v>
      </c>
    </row>
    <row r="1304" customFormat="false" ht="15" hidden="false" customHeight="false" outlineLevel="0" collapsed="false">
      <c r="A1304" s="22" t="s">
        <v>20</v>
      </c>
      <c r="B1304" s="22" t="n">
        <v>1</v>
      </c>
      <c r="C1304" s="22" t="s">
        <v>147</v>
      </c>
      <c r="D1304" s="22" t="s">
        <v>30</v>
      </c>
      <c r="E1304" s="22" t="s">
        <v>20</v>
      </c>
      <c r="F1304" s="22" t="n">
        <v>840198</v>
      </c>
      <c r="G1304" s="30" t="n">
        <v>46260</v>
      </c>
      <c r="H1304" s="22" t="n">
        <v>32723</v>
      </c>
      <c r="I1304" s="22" t="s">
        <v>8515</v>
      </c>
      <c r="J1304" s="31" t="n">
        <v>21.4</v>
      </c>
      <c r="K1304" s="26" t="n">
        <v>489.98</v>
      </c>
      <c r="L1304" s="26" t="n">
        <v>80.89</v>
      </c>
      <c r="M1304" s="22" t="s">
        <v>4802</v>
      </c>
      <c r="N1304" s="22" t="n">
        <f aca="false">MATCH(M1304,'Tabela Passaro'!$A$2:$A$1795,0)</f>
        <v>1150</v>
      </c>
      <c r="O1304" s="22" t="str">
        <f aca="false">INDEX('Tabela Passaro'!$C$2:$C$1795,$N1304)</f>
        <v>RECIFE</v>
      </c>
      <c r="P1304" s="22" t="str">
        <f aca="false">INDEX('Tabela Passaro'!$B$2:$B$1795,$N1304)</f>
        <v>PE</v>
      </c>
      <c r="Q1304" s="22" t="n">
        <f aca="false">INDEX('Tabela Passaro'!$F$2:$F$1795,$N1304)</f>
        <v>8</v>
      </c>
      <c r="R1304" s="32" t="n">
        <f aca="false">IF(J1304&lt;=10,INDEX('Tabela Passaro'!$G$2:$G$1795,$N1304),IF(J1304&lt;=30,INDEX('Tabela Passaro'!$H$2:$H$1795,$N1304),IF(J1304&lt;=50,INDEX('Tabela Passaro'!$I$2:$I$1795,$N1304),IF(J1304&lt;=70,INDEX('Tabela Passaro'!$J$2:$J$1795,$N1304),IF(J1304&lt;=100,INDEX('Tabela Passaro'!$K$2:$K$1795,$N1304),INDEX('Tabela Passaro'!$K$2:$K$1795,$N1304)+(J1304-100)*INDEX('Tabela Passaro'!$L$2:$L$1795,$N1304))))))</f>
        <v>66.55</v>
      </c>
      <c r="S1304" s="32" t="n">
        <f aca="false">K1304*INDEX('Tabela Passaro'!$M$2:$M$1795,$N1304)</f>
        <v>2.4499</v>
      </c>
      <c r="T1304" s="32" t="n">
        <f aca="false">K1304*INDEX('Tabela Passaro'!$N$2:$N$1795,$N1304)</f>
        <v>0.97996</v>
      </c>
      <c r="U1304" s="32" t="n">
        <f aca="false">INDEX('Tabela Passaro'!$O$2:$O$1795,$N1304)</f>
        <v>5</v>
      </c>
      <c r="V1304" s="32" t="n">
        <f aca="false">ROUNDUP(J1304/INDEX('Tabela Passaro'!$Q$2:$Q$1795,$N1304),0)*INDEX('Tabela Passaro'!$P$2:$P$1795,$N1304)</f>
        <v>5</v>
      </c>
      <c r="W1304" s="32" t="n">
        <f aca="false">INDEX('Tabela Passaro'!$R$2:$R$1795,$N1304)</f>
        <v>30</v>
      </c>
      <c r="X1304" s="32" t="n">
        <f aca="false">ROUNDUP(J1304/INDEX('Tabela Passaro'!$T$2:$T$1795,$N1304),0)*INDEX('Tabela Passaro'!$S$2:$S$1795,$N1304)</f>
        <v>0</v>
      </c>
      <c r="Y1304" s="32" t="n">
        <f aca="false">INDEX('Tabela Passaro'!$U$2:$U$1795,$N1304)</f>
        <v>0</v>
      </c>
      <c r="Z1304" s="32" t="n">
        <f aca="false">INDEX('Tabela Passaro'!$V$2:$V$1795,$N1304)</f>
        <v>0</v>
      </c>
      <c r="AA1304" s="32" t="n">
        <f aca="false">SUM(R1304:Z1304)</f>
        <v>109.97986</v>
      </c>
      <c r="AB1304" s="33" t="n">
        <f aca="false">INDEX(Premissas!$B$5:$B$13,MATCH(A1304,Premissas!$A$5:$A$13,0))</f>
        <v>0.07</v>
      </c>
      <c r="AC1304" s="32" t="n">
        <f aca="false">AA1304/(1-AB1304)-AA1304</f>
        <v>8.27805397849463</v>
      </c>
      <c r="AD1304" s="32" t="n">
        <f aca="false">ROUND(AA1304+AC1304,2)</f>
        <v>118.26</v>
      </c>
      <c r="AE1304" s="32" t="n">
        <f aca="false">AD1304-L1304</f>
        <v>37.37</v>
      </c>
      <c r="AF1304" s="34" t="n">
        <f aca="false">IF(L1304=0,0,AE1304/L1304)</f>
        <v>0.461985412288293</v>
      </c>
      <c r="AG1304" s="22" t="str">
        <f aca="false">IF(AD1304&lt;L1304,"PASSARO","ATUAL")</f>
        <v>ATUAL</v>
      </c>
      <c r="AH1304" s="22" t="str">
        <f aca="false">IF(P1304&lt;&gt;A1304,"Faixa cadastrada como "&amp;P1304&amp;" na tabela; preço aplicado pela UF do CEP","")</f>
        <v/>
      </c>
      <c r="AI1304" s="26" t="n">
        <v>139.42</v>
      </c>
      <c r="AJ1304" s="22" t="str">
        <f aca="false">INDEX('Tabela Passaro'!$X$2:$X$1795,$N1304)</f>
        <v>CAPITAL</v>
      </c>
    </row>
    <row r="1305" customFormat="false" ht="15" hidden="false" customHeight="false" outlineLevel="0" collapsed="false">
      <c r="A1305" s="22" t="s">
        <v>20</v>
      </c>
      <c r="B1305" s="22" t="n">
        <v>1</v>
      </c>
      <c r="C1305" s="22" t="s">
        <v>147</v>
      </c>
      <c r="D1305" s="22" t="s">
        <v>30</v>
      </c>
      <c r="E1305" s="22" t="s">
        <v>7328</v>
      </c>
      <c r="F1305" s="22" t="n">
        <v>2316524</v>
      </c>
      <c r="G1305" s="30" t="n">
        <v>46260</v>
      </c>
      <c r="H1305" s="22" t="n">
        <v>135532</v>
      </c>
      <c r="I1305" s="22" t="s">
        <v>8516</v>
      </c>
      <c r="J1305" s="31" t="n">
        <v>33</v>
      </c>
      <c r="K1305" s="26" t="n">
        <v>664.54</v>
      </c>
      <c r="L1305" s="26" t="n">
        <v>156.12</v>
      </c>
      <c r="M1305" s="22" t="s">
        <v>4802</v>
      </c>
      <c r="N1305" s="22" t="n">
        <f aca="false">MATCH(M1305,'Tabela Passaro'!$A$2:$A$1795,0)</f>
        <v>1150</v>
      </c>
      <c r="O1305" s="22" t="str">
        <f aca="false">INDEX('Tabela Passaro'!$C$2:$C$1795,$N1305)</f>
        <v>RECIFE</v>
      </c>
      <c r="P1305" s="22" t="str">
        <f aca="false">INDEX('Tabela Passaro'!$B$2:$B$1795,$N1305)</f>
        <v>PE</v>
      </c>
      <c r="Q1305" s="22" t="n">
        <f aca="false">INDEX('Tabela Passaro'!$F$2:$F$1795,$N1305)</f>
        <v>8</v>
      </c>
      <c r="R1305" s="32" t="n">
        <f aca="false">IF(J1305&lt;=10,INDEX('Tabela Passaro'!$G$2:$G$1795,$N1305),IF(J1305&lt;=30,INDEX('Tabela Passaro'!$H$2:$H$1795,$N1305),IF(J1305&lt;=50,INDEX('Tabela Passaro'!$I$2:$I$1795,$N1305),IF(J1305&lt;=70,INDEX('Tabela Passaro'!$J$2:$J$1795,$N1305),IF(J1305&lt;=100,INDEX('Tabela Passaro'!$K$2:$K$1795,$N1305),INDEX('Tabela Passaro'!$K$2:$K$1795,$N1305)+(J1305-100)*INDEX('Tabela Passaro'!$L$2:$L$1795,$N1305))))))</f>
        <v>88.59</v>
      </c>
      <c r="S1305" s="32" t="n">
        <f aca="false">K1305*INDEX('Tabela Passaro'!$M$2:$M$1795,$N1305)</f>
        <v>3.3227</v>
      </c>
      <c r="T1305" s="32" t="n">
        <f aca="false">K1305*INDEX('Tabela Passaro'!$N$2:$N$1795,$N1305)</f>
        <v>1.32908</v>
      </c>
      <c r="U1305" s="32" t="n">
        <f aca="false">INDEX('Tabela Passaro'!$O$2:$O$1795,$N1305)</f>
        <v>5</v>
      </c>
      <c r="V1305" s="32" t="n">
        <f aca="false">ROUNDUP(J1305/INDEX('Tabela Passaro'!$Q$2:$Q$1795,$N1305),0)*INDEX('Tabela Passaro'!$P$2:$P$1795,$N1305)</f>
        <v>5</v>
      </c>
      <c r="W1305" s="32" t="n">
        <f aca="false">INDEX('Tabela Passaro'!$R$2:$R$1795,$N1305)</f>
        <v>30</v>
      </c>
      <c r="X1305" s="32" t="n">
        <f aca="false">ROUNDUP(J1305/INDEX('Tabela Passaro'!$T$2:$T$1795,$N1305),0)*INDEX('Tabela Passaro'!$S$2:$S$1795,$N1305)</f>
        <v>0</v>
      </c>
      <c r="Y1305" s="32" t="n">
        <f aca="false">INDEX('Tabela Passaro'!$U$2:$U$1795,$N1305)</f>
        <v>0</v>
      </c>
      <c r="Z1305" s="32" t="n">
        <f aca="false">INDEX('Tabela Passaro'!$V$2:$V$1795,$N1305)</f>
        <v>0</v>
      </c>
      <c r="AA1305" s="32" t="n">
        <f aca="false">SUM(R1305:Z1305)</f>
        <v>133.24178</v>
      </c>
      <c r="AB1305" s="33" t="n">
        <f aca="false">INDEX(Premissas!$B$5:$B$13,MATCH(A1305,Premissas!$A$5:$A$13,0))</f>
        <v>0.07</v>
      </c>
      <c r="AC1305" s="32" t="n">
        <f aca="false">AA1305/(1-AB1305)-AA1305</f>
        <v>10.0289511827957</v>
      </c>
      <c r="AD1305" s="32" t="n">
        <f aca="false">ROUND(AA1305+AC1305,2)</f>
        <v>143.27</v>
      </c>
      <c r="AE1305" s="32" t="n">
        <f aca="false">AD1305-L1305</f>
        <v>-12.85</v>
      </c>
      <c r="AF1305" s="34" t="n">
        <f aca="false">IF(L1305=0,0,AE1305/L1305)</f>
        <v>-0.0823084806559057</v>
      </c>
      <c r="AG1305" s="22" t="str">
        <f aca="false">IF(AD1305&lt;L1305,"PASSARO","ATUAL")</f>
        <v>PASSARO</v>
      </c>
      <c r="AH1305" s="22" t="str">
        <f aca="false">IF(P1305&lt;&gt;A1305,"Faixa cadastrada como "&amp;P1305&amp;" na tabela; preço aplicado pela UF do CEP","")</f>
        <v/>
      </c>
      <c r="AI1305" s="26" t="n">
        <v>171.48</v>
      </c>
      <c r="AJ1305" s="22" t="str">
        <f aca="false">INDEX('Tabela Passaro'!$X$2:$X$1795,$N1305)</f>
        <v>CAPITAL</v>
      </c>
    </row>
    <row r="1306" customFormat="false" ht="15" hidden="false" customHeight="false" outlineLevel="0" collapsed="false">
      <c r="A1306" s="22" t="s">
        <v>20</v>
      </c>
      <c r="B1306" s="22" t="n">
        <v>1</v>
      </c>
      <c r="C1306" s="22" t="s">
        <v>147</v>
      </c>
      <c r="D1306" s="22" t="s">
        <v>30</v>
      </c>
      <c r="E1306" s="22" t="s">
        <v>7328</v>
      </c>
      <c r="F1306" s="22" t="n">
        <v>2316541</v>
      </c>
      <c r="G1306" s="30" t="n">
        <v>46260</v>
      </c>
      <c r="H1306" s="22" t="n">
        <v>135856</v>
      </c>
      <c r="I1306" s="22" t="s">
        <v>8517</v>
      </c>
      <c r="J1306" s="31" t="n">
        <v>58.5</v>
      </c>
      <c r="K1306" s="26" t="n">
        <v>1115.94</v>
      </c>
      <c r="L1306" s="26" t="n">
        <v>187.13</v>
      </c>
      <c r="M1306" s="22" t="s">
        <v>4802</v>
      </c>
      <c r="N1306" s="22" t="n">
        <f aca="false">MATCH(M1306,'Tabela Passaro'!$A$2:$A$1795,0)</f>
        <v>1150</v>
      </c>
      <c r="O1306" s="22" t="str">
        <f aca="false">INDEX('Tabela Passaro'!$C$2:$C$1795,$N1306)</f>
        <v>RECIFE</v>
      </c>
      <c r="P1306" s="22" t="str">
        <f aca="false">INDEX('Tabela Passaro'!$B$2:$B$1795,$N1306)</f>
        <v>PE</v>
      </c>
      <c r="Q1306" s="22" t="n">
        <f aca="false">INDEX('Tabela Passaro'!$F$2:$F$1795,$N1306)</f>
        <v>8</v>
      </c>
      <c r="R1306" s="32" t="n">
        <f aca="false">IF(J1306&lt;=10,INDEX('Tabela Passaro'!$G$2:$G$1795,$N1306),IF(J1306&lt;=30,INDEX('Tabela Passaro'!$H$2:$H$1795,$N1306),IF(J1306&lt;=50,INDEX('Tabela Passaro'!$I$2:$I$1795,$N1306),IF(J1306&lt;=70,INDEX('Tabela Passaro'!$J$2:$J$1795,$N1306),IF(J1306&lt;=100,INDEX('Tabela Passaro'!$K$2:$K$1795,$N1306),INDEX('Tabela Passaro'!$K$2:$K$1795,$N1306)+(J1306-100)*INDEX('Tabela Passaro'!$L$2:$L$1795,$N1306))))))</f>
        <v>99.61</v>
      </c>
      <c r="S1306" s="32" t="n">
        <f aca="false">K1306*INDEX('Tabela Passaro'!$M$2:$M$1795,$N1306)</f>
        <v>5.5797</v>
      </c>
      <c r="T1306" s="32" t="n">
        <f aca="false">K1306*INDEX('Tabela Passaro'!$N$2:$N$1795,$N1306)</f>
        <v>2.23188</v>
      </c>
      <c r="U1306" s="32" t="n">
        <f aca="false">INDEX('Tabela Passaro'!$O$2:$O$1795,$N1306)</f>
        <v>5</v>
      </c>
      <c r="V1306" s="32" t="n">
        <f aca="false">ROUNDUP(J1306/INDEX('Tabela Passaro'!$Q$2:$Q$1795,$N1306),0)*INDEX('Tabela Passaro'!$P$2:$P$1795,$N1306)</f>
        <v>5</v>
      </c>
      <c r="W1306" s="32" t="n">
        <f aca="false">INDEX('Tabela Passaro'!$R$2:$R$1795,$N1306)</f>
        <v>30</v>
      </c>
      <c r="X1306" s="32" t="n">
        <f aca="false">ROUNDUP(J1306/INDEX('Tabela Passaro'!$T$2:$T$1795,$N1306),0)*INDEX('Tabela Passaro'!$S$2:$S$1795,$N1306)</f>
        <v>0</v>
      </c>
      <c r="Y1306" s="32" t="n">
        <f aca="false">INDEX('Tabela Passaro'!$U$2:$U$1795,$N1306)</f>
        <v>0</v>
      </c>
      <c r="Z1306" s="32" t="n">
        <f aca="false">INDEX('Tabela Passaro'!$V$2:$V$1795,$N1306)</f>
        <v>0</v>
      </c>
      <c r="AA1306" s="32" t="n">
        <f aca="false">SUM(R1306:Z1306)</f>
        <v>147.42158</v>
      </c>
      <c r="AB1306" s="33" t="n">
        <f aca="false">INDEX(Premissas!$B$5:$B$13,MATCH(A1306,Premissas!$A$5:$A$13,0))</f>
        <v>0.07</v>
      </c>
      <c r="AC1306" s="32" t="n">
        <f aca="false">AA1306/(1-AB1306)-AA1306</f>
        <v>11.0962479569893</v>
      </c>
      <c r="AD1306" s="32" t="n">
        <f aca="false">ROUND(AA1306+AC1306,2)</f>
        <v>158.52</v>
      </c>
      <c r="AE1306" s="32" t="n">
        <f aca="false">AD1306-L1306</f>
        <v>-28.61</v>
      </c>
      <c r="AF1306" s="34" t="n">
        <f aca="false">IF(L1306=0,0,AE1306/L1306)</f>
        <v>-0.152888366376316</v>
      </c>
      <c r="AG1306" s="22" t="str">
        <f aca="false">IF(AD1306&lt;L1306,"PASSARO","ATUAL")</f>
        <v>PASSARO</v>
      </c>
      <c r="AH1306" s="22" t="str">
        <f aca="false">IF(P1306&lt;&gt;A1306,"Faixa cadastrada como "&amp;P1306&amp;" na tabela; preço aplicado pela UF do CEP","")</f>
        <v/>
      </c>
      <c r="AI1306" s="26" t="n">
        <v>200.96</v>
      </c>
      <c r="AJ1306" s="22" t="str">
        <f aca="false">INDEX('Tabela Passaro'!$X$2:$X$1795,$N1306)</f>
        <v>CAPITAL</v>
      </c>
    </row>
    <row r="1307" customFormat="false" ht="15" hidden="false" customHeight="false" outlineLevel="0" collapsed="false">
      <c r="A1307" s="22" t="s">
        <v>20</v>
      </c>
      <c r="B1307" s="22" t="n">
        <v>1</v>
      </c>
      <c r="C1307" s="22" t="s">
        <v>147</v>
      </c>
      <c r="D1307" s="22" t="s">
        <v>30</v>
      </c>
      <c r="E1307" s="22" t="s">
        <v>20</v>
      </c>
      <c r="F1307" s="22" t="n">
        <v>840443</v>
      </c>
      <c r="G1307" s="30" t="n">
        <v>46261</v>
      </c>
      <c r="H1307" s="22" t="n">
        <v>32741</v>
      </c>
      <c r="I1307" s="22" t="s">
        <v>8518</v>
      </c>
      <c r="J1307" s="31" t="n">
        <v>36.9</v>
      </c>
      <c r="K1307" s="26" t="n">
        <v>555.98</v>
      </c>
      <c r="L1307" s="26" t="n">
        <v>100.4</v>
      </c>
      <c r="M1307" s="22" t="s">
        <v>4802</v>
      </c>
      <c r="N1307" s="22" t="n">
        <f aca="false">MATCH(M1307,'Tabela Passaro'!$A$2:$A$1795,0)</f>
        <v>1150</v>
      </c>
      <c r="O1307" s="22" t="str">
        <f aca="false">INDEX('Tabela Passaro'!$C$2:$C$1795,$N1307)</f>
        <v>RECIFE</v>
      </c>
      <c r="P1307" s="22" t="str">
        <f aca="false">INDEX('Tabela Passaro'!$B$2:$B$1795,$N1307)</f>
        <v>PE</v>
      </c>
      <c r="Q1307" s="22" t="n">
        <f aca="false">INDEX('Tabela Passaro'!$F$2:$F$1795,$N1307)</f>
        <v>8</v>
      </c>
      <c r="R1307" s="32" t="n">
        <f aca="false">IF(J1307&lt;=10,INDEX('Tabela Passaro'!$G$2:$G$1795,$N1307),IF(J1307&lt;=30,INDEX('Tabela Passaro'!$H$2:$H$1795,$N1307),IF(J1307&lt;=50,INDEX('Tabela Passaro'!$I$2:$I$1795,$N1307),IF(J1307&lt;=70,INDEX('Tabela Passaro'!$J$2:$J$1795,$N1307),IF(J1307&lt;=100,INDEX('Tabela Passaro'!$K$2:$K$1795,$N1307),INDEX('Tabela Passaro'!$K$2:$K$1795,$N1307)+(J1307-100)*INDEX('Tabela Passaro'!$L$2:$L$1795,$N1307))))))</f>
        <v>88.59</v>
      </c>
      <c r="S1307" s="32" t="n">
        <f aca="false">K1307*INDEX('Tabela Passaro'!$M$2:$M$1795,$N1307)</f>
        <v>2.7799</v>
      </c>
      <c r="T1307" s="32" t="n">
        <f aca="false">K1307*INDEX('Tabela Passaro'!$N$2:$N$1795,$N1307)</f>
        <v>1.11196</v>
      </c>
      <c r="U1307" s="32" t="n">
        <f aca="false">INDEX('Tabela Passaro'!$O$2:$O$1795,$N1307)</f>
        <v>5</v>
      </c>
      <c r="V1307" s="32" t="n">
        <f aca="false">ROUNDUP(J1307/INDEX('Tabela Passaro'!$Q$2:$Q$1795,$N1307),0)*INDEX('Tabela Passaro'!$P$2:$P$1795,$N1307)</f>
        <v>5</v>
      </c>
      <c r="W1307" s="32" t="n">
        <f aca="false">INDEX('Tabela Passaro'!$R$2:$R$1795,$N1307)</f>
        <v>30</v>
      </c>
      <c r="X1307" s="32" t="n">
        <f aca="false">ROUNDUP(J1307/INDEX('Tabela Passaro'!$T$2:$T$1795,$N1307),0)*INDEX('Tabela Passaro'!$S$2:$S$1795,$N1307)</f>
        <v>0</v>
      </c>
      <c r="Y1307" s="32" t="n">
        <f aca="false">INDEX('Tabela Passaro'!$U$2:$U$1795,$N1307)</f>
        <v>0</v>
      </c>
      <c r="Z1307" s="32" t="n">
        <f aca="false">INDEX('Tabela Passaro'!$V$2:$V$1795,$N1307)</f>
        <v>0</v>
      </c>
      <c r="AA1307" s="32" t="n">
        <f aca="false">SUM(R1307:Z1307)</f>
        <v>132.48186</v>
      </c>
      <c r="AB1307" s="33" t="n">
        <f aca="false">INDEX(Premissas!$B$5:$B$13,MATCH(A1307,Premissas!$A$5:$A$13,0))</f>
        <v>0.07</v>
      </c>
      <c r="AC1307" s="32" t="n">
        <f aca="false">AA1307/(1-AB1307)-AA1307</f>
        <v>9.97175290322582</v>
      </c>
      <c r="AD1307" s="32" t="n">
        <f aca="false">ROUND(AA1307+AC1307,2)</f>
        <v>142.45</v>
      </c>
      <c r="AE1307" s="32" t="n">
        <f aca="false">AD1307-L1307</f>
        <v>42.05</v>
      </c>
      <c r="AF1307" s="34" t="n">
        <f aca="false">IF(L1307=0,0,AE1307/L1307)</f>
        <v>0.418824701195219</v>
      </c>
      <c r="AG1307" s="22" t="str">
        <f aca="false">IF(AD1307&lt;L1307,"PASSARO","ATUAL")</f>
        <v>ATUAL</v>
      </c>
      <c r="AH1307" s="22" t="str">
        <f aca="false">IF(P1307&lt;&gt;A1307,"Faixa cadastrada como "&amp;P1307&amp;" na tabela; preço aplicado pela UF do CEP","")</f>
        <v/>
      </c>
      <c r="AI1307" s="26" t="n">
        <v>172.37</v>
      </c>
      <c r="AJ1307" s="22" t="str">
        <f aca="false">INDEX('Tabela Passaro'!$X$2:$X$1795,$N1307)</f>
        <v>CAPITAL</v>
      </c>
    </row>
    <row r="1308" customFormat="false" ht="15" hidden="false" customHeight="false" outlineLevel="0" collapsed="false">
      <c r="A1308" s="22" t="s">
        <v>20</v>
      </c>
      <c r="B1308" s="22" t="n">
        <v>1</v>
      </c>
      <c r="C1308" s="22" t="s">
        <v>147</v>
      </c>
      <c r="D1308" s="22" t="s">
        <v>30</v>
      </c>
      <c r="E1308" s="22" t="s">
        <v>20</v>
      </c>
      <c r="F1308" s="22" t="n">
        <v>840490</v>
      </c>
      <c r="G1308" s="30" t="n">
        <v>46262</v>
      </c>
      <c r="H1308" s="22" t="n">
        <v>32772</v>
      </c>
      <c r="I1308" s="22" t="s">
        <v>8519</v>
      </c>
      <c r="J1308" s="31" t="n">
        <v>50.99</v>
      </c>
      <c r="K1308" s="26" t="n">
        <v>822.59</v>
      </c>
      <c r="L1308" s="26" t="n">
        <v>107.79</v>
      </c>
      <c r="M1308" s="22" t="s">
        <v>4802</v>
      </c>
      <c r="N1308" s="22" t="n">
        <f aca="false">MATCH(M1308,'Tabela Passaro'!$A$2:$A$1795,0)</f>
        <v>1150</v>
      </c>
      <c r="O1308" s="22" t="str">
        <f aca="false">INDEX('Tabela Passaro'!$C$2:$C$1795,$N1308)</f>
        <v>RECIFE</v>
      </c>
      <c r="P1308" s="22" t="str">
        <f aca="false">INDEX('Tabela Passaro'!$B$2:$B$1795,$N1308)</f>
        <v>PE</v>
      </c>
      <c r="Q1308" s="22" t="n">
        <f aca="false">INDEX('Tabela Passaro'!$F$2:$F$1795,$N1308)</f>
        <v>8</v>
      </c>
      <c r="R1308" s="32" t="n">
        <f aca="false">IF(J1308&lt;=10,INDEX('Tabela Passaro'!$G$2:$G$1795,$N1308),IF(J1308&lt;=30,INDEX('Tabela Passaro'!$H$2:$H$1795,$N1308),IF(J1308&lt;=50,INDEX('Tabela Passaro'!$I$2:$I$1795,$N1308),IF(J1308&lt;=70,INDEX('Tabela Passaro'!$J$2:$J$1795,$N1308),IF(J1308&lt;=100,INDEX('Tabela Passaro'!$K$2:$K$1795,$N1308),INDEX('Tabela Passaro'!$K$2:$K$1795,$N1308)+(J1308-100)*INDEX('Tabela Passaro'!$L$2:$L$1795,$N1308))))))</f>
        <v>99.61</v>
      </c>
      <c r="S1308" s="32" t="n">
        <f aca="false">K1308*INDEX('Tabela Passaro'!$M$2:$M$1795,$N1308)</f>
        <v>4.11295</v>
      </c>
      <c r="T1308" s="32" t="n">
        <f aca="false">K1308*INDEX('Tabela Passaro'!$N$2:$N$1795,$N1308)</f>
        <v>1.64518</v>
      </c>
      <c r="U1308" s="32" t="n">
        <f aca="false">INDEX('Tabela Passaro'!$O$2:$O$1795,$N1308)</f>
        <v>5</v>
      </c>
      <c r="V1308" s="32" t="n">
        <f aca="false">ROUNDUP(J1308/INDEX('Tabela Passaro'!$Q$2:$Q$1795,$N1308),0)*INDEX('Tabela Passaro'!$P$2:$P$1795,$N1308)</f>
        <v>5</v>
      </c>
      <c r="W1308" s="32" t="n">
        <f aca="false">INDEX('Tabela Passaro'!$R$2:$R$1795,$N1308)</f>
        <v>30</v>
      </c>
      <c r="X1308" s="32" t="n">
        <f aca="false">ROUNDUP(J1308/INDEX('Tabela Passaro'!$T$2:$T$1795,$N1308),0)*INDEX('Tabela Passaro'!$S$2:$S$1795,$N1308)</f>
        <v>0</v>
      </c>
      <c r="Y1308" s="32" t="n">
        <f aca="false">INDEX('Tabela Passaro'!$U$2:$U$1795,$N1308)</f>
        <v>0</v>
      </c>
      <c r="Z1308" s="32" t="n">
        <f aca="false">INDEX('Tabela Passaro'!$V$2:$V$1795,$N1308)</f>
        <v>0</v>
      </c>
      <c r="AA1308" s="32" t="n">
        <f aca="false">SUM(R1308:Z1308)</f>
        <v>145.36813</v>
      </c>
      <c r="AB1308" s="33" t="n">
        <f aca="false">INDEX(Premissas!$B$5:$B$13,MATCH(A1308,Premissas!$A$5:$A$13,0))</f>
        <v>0.07</v>
      </c>
      <c r="AC1308" s="32" t="n">
        <f aca="false">AA1308/(1-AB1308)-AA1308</f>
        <v>10.9416872043011</v>
      </c>
      <c r="AD1308" s="32" t="n">
        <f aca="false">ROUND(AA1308+AC1308,2)</f>
        <v>156.31</v>
      </c>
      <c r="AE1308" s="32" t="n">
        <f aca="false">AD1308-L1308</f>
        <v>48.52</v>
      </c>
      <c r="AF1308" s="34" t="n">
        <f aca="false">IF(L1308=0,0,AE1308/L1308)</f>
        <v>0.450134520827535</v>
      </c>
      <c r="AG1308" s="22" t="str">
        <f aca="false">IF(AD1308&lt;L1308,"PASSARO","ATUAL")</f>
        <v>ATUAL</v>
      </c>
      <c r="AH1308" s="22" t="str">
        <f aca="false">IF(P1308&lt;&gt;A1308,"Faixa cadastrada como "&amp;P1308&amp;" na tabela; preço aplicado pela UF do CEP","")</f>
        <v/>
      </c>
      <c r="AI1308" s="26" t="n">
        <v>194.25</v>
      </c>
      <c r="AJ1308" s="22" t="str">
        <f aca="false">INDEX('Tabela Passaro'!$X$2:$X$1795,$N1308)</f>
        <v>CAPITAL</v>
      </c>
    </row>
    <row r="1309" customFormat="false" ht="15" hidden="false" customHeight="false" outlineLevel="0" collapsed="false">
      <c r="A1309" s="22" t="s">
        <v>20</v>
      </c>
      <c r="B1309" s="22" t="n">
        <v>1</v>
      </c>
      <c r="C1309" s="22" t="s">
        <v>147</v>
      </c>
      <c r="D1309" s="22" t="s">
        <v>30</v>
      </c>
      <c r="E1309" s="22" t="s">
        <v>7326</v>
      </c>
      <c r="F1309" s="22" t="n">
        <v>528234</v>
      </c>
      <c r="G1309" s="30" t="n">
        <v>46262</v>
      </c>
      <c r="H1309" s="22" t="n">
        <v>629611</v>
      </c>
      <c r="I1309" s="22" t="s">
        <v>8520</v>
      </c>
      <c r="J1309" s="31" t="n">
        <v>3.96</v>
      </c>
      <c r="K1309" s="26" t="n">
        <v>371.74</v>
      </c>
      <c r="L1309" s="26" t="n">
        <v>72.37</v>
      </c>
      <c r="M1309" s="22" t="s">
        <v>4802</v>
      </c>
      <c r="N1309" s="22" t="n">
        <f aca="false">MATCH(M1309,'Tabela Passaro'!$A$2:$A$1795,0)</f>
        <v>1150</v>
      </c>
      <c r="O1309" s="22" t="str">
        <f aca="false">INDEX('Tabela Passaro'!$C$2:$C$1795,$N1309)</f>
        <v>RECIFE</v>
      </c>
      <c r="P1309" s="22" t="str">
        <f aca="false">INDEX('Tabela Passaro'!$B$2:$B$1795,$N1309)</f>
        <v>PE</v>
      </c>
      <c r="Q1309" s="22" t="n">
        <f aca="false">INDEX('Tabela Passaro'!$F$2:$F$1795,$N1309)</f>
        <v>8</v>
      </c>
      <c r="R1309" s="32" t="n">
        <f aca="false">IF(J1309&lt;=10,INDEX('Tabela Passaro'!$G$2:$G$1795,$N1309),IF(J1309&lt;=30,INDEX('Tabela Passaro'!$H$2:$H$1795,$N1309),IF(J1309&lt;=50,INDEX('Tabela Passaro'!$I$2:$I$1795,$N1309),IF(J1309&lt;=70,INDEX('Tabela Passaro'!$J$2:$J$1795,$N1309),IF(J1309&lt;=100,INDEX('Tabela Passaro'!$K$2:$K$1795,$N1309),INDEX('Tabela Passaro'!$K$2:$K$1795,$N1309)+(J1309-100)*INDEX('Tabela Passaro'!$L$2:$L$1795,$N1309))))))</f>
        <v>55.54</v>
      </c>
      <c r="S1309" s="32" t="n">
        <f aca="false">K1309*INDEX('Tabela Passaro'!$M$2:$M$1795,$N1309)</f>
        <v>1.8587</v>
      </c>
      <c r="T1309" s="32" t="n">
        <f aca="false">K1309*INDEX('Tabela Passaro'!$N$2:$N$1795,$N1309)</f>
        <v>0.74348</v>
      </c>
      <c r="U1309" s="32" t="n">
        <f aca="false">INDEX('Tabela Passaro'!$O$2:$O$1795,$N1309)</f>
        <v>5</v>
      </c>
      <c r="V1309" s="32" t="n">
        <f aca="false">ROUNDUP(J1309/INDEX('Tabela Passaro'!$Q$2:$Q$1795,$N1309),0)*INDEX('Tabela Passaro'!$P$2:$P$1795,$N1309)</f>
        <v>5</v>
      </c>
      <c r="W1309" s="32" t="n">
        <f aca="false">INDEX('Tabela Passaro'!$R$2:$R$1795,$N1309)</f>
        <v>30</v>
      </c>
      <c r="X1309" s="32" t="n">
        <f aca="false">ROUNDUP(J1309/INDEX('Tabela Passaro'!$T$2:$T$1795,$N1309),0)*INDEX('Tabela Passaro'!$S$2:$S$1795,$N1309)</f>
        <v>0</v>
      </c>
      <c r="Y1309" s="32" t="n">
        <f aca="false">INDEX('Tabela Passaro'!$U$2:$U$1795,$N1309)</f>
        <v>0</v>
      </c>
      <c r="Z1309" s="32" t="n">
        <f aca="false">INDEX('Tabela Passaro'!$V$2:$V$1795,$N1309)</f>
        <v>0</v>
      </c>
      <c r="AA1309" s="32" t="n">
        <f aca="false">SUM(R1309:Z1309)</f>
        <v>98.14218</v>
      </c>
      <c r="AB1309" s="33" t="n">
        <f aca="false">INDEX(Premissas!$B$5:$B$13,MATCH(A1309,Premissas!$A$5:$A$13,0))</f>
        <v>0.07</v>
      </c>
      <c r="AC1309" s="32" t="n">
        <f aca="false">AA1309/(1-AB1309)-AA1309</f>
        <v>7.38704580645162</v>
      </c>
      <c r="AD1309" s="32" t="n">
        <f aca="false">ROUND(AA1309+AC1309,2)</f>
        <v>105.53</v>
      </c>
      <c r="AE1309" s="32" t="n">
        <f aca="false">AD1309-L1309</f>
        <v>33.16</v>
      </c>
      <c r="AF1309" s="34" t="n">
        <f aca="false">IF(L1309=0,0,AE1309/L1309)</f>
        <v>0.458200911980102</v>
      </c>
      <c r="AG1309" s="22" t="str">
        <f aca="false">IF(AD1309&lt;L1309,"PASSARO","ATUAL")</f>
        <v>ATUAL</v>
      </c>
      <c r="AH1309" s="22" t="str">
        <f aca="false">IF(P1309&lt;&gt;A1309,"Faixa cadastrada como "&amp;P1309&amp;" na tabela; preço aplicado pela UF do CEP","")</f>
        <v/>
      </c>
      <c r="AI1309" s="26" t="n">
        <v>117.05</v>
      </c>
      <c r="AJ1309" s="22" t="str">
        <f aca="false">INDEX('Tabela Passaro'!$X$2:$X$1795,$N1309)</f>
        <v>CAPITAL</v>
      </c>
    </row>
    <row r="1310" customFormat="false" ht="15" hidden="false" customHeight="false" outlineLevel="0" collapsed="false">
      <c r="A1310" s="22" t="s">
        <v>20</v>
      </c>
      <c r="B1310" s="22" t="n">
        <v>1</v>
      </c>
      <c r="C1310" s="22" t="s">
        <v>147</v>
      </c>
      <c r="D1310" s="22" t="s">
        <v>30</v>
      </c>
      <c r="E1310" s="22" t="s">
        <v>7326</v>
      </c>
      <c r="F1310" s="22" t="n">
        <v>528271</v>
      </c>
      <c r="G1310" s="30" t="n">
        <v>46262</v>
      </c>
      <c r="H1310" s="22" t="n">
        <v>630026</v>
      </c>
      <c r="I1310" s="22" t="s">
        <v>8521</v>
      </c>
      <c r="J1310" s="31" t="n">
        <v>34.2</v>
      </c>
      <c r="K1310" s="26" t="n">
        <v>756.74</v>
      </c>
      <c r="L1310" s="26" t="n">
        <v>177.73</v>
      </c>
      <c r="M1310" s="22" t="s">
        <v>4802</v>
      </c>
      <c r="N1310" s="22" t="n">
        <f aca="false">MATCH(M1310,'Tabela Passaro'!$A$2:$A$1795,0)</f>
        <v>1150</v>
      </c>
      <c r="O1310" s="22" t="str">
        <f aca="false">INDEX('Tabela Passaro'!$C$2:$C$1795,$N1310)</f>
        <v>RECIFE</v>
      </c>
      <c r="P1310" s="22" t="str">
        <f aca="false">INDEX('Tabela Passaro'!$B$2:$B$1795,$N1310)</f>
        <v>PE</v>
      </c>
      <c r="Q1310" s="22" t="n">
        <f aca="false">INDEX('Tabela Passaro'!$F$2:$F$1795,$N1310)</f>
        <v>8</v>
      </c>
      <c r="R1310" s="32" t="n">
        <f aca="false">IF(J1310&lt;=10,INDEX('Tabela Passaro'!$G$2:$G$1795,$N1310),IF(J1310&lt;=30,INDEX('Tabela Passaro'!$H$2:$H$1795,$N1310),IF(J1310&lt;=50,INDEX('Tabela Passaro'!$I$2:$I$1795,$N1310),IF(J1310&lt;=70,INDEX('Tabela Passaro'!$J$2:$J$1795,$N1310),IF(J1310&lt;=100,INDEX('Tabela Passaro'!$K$2:$K$1795,$N1310),INDEX('Tabela Passaro'!$K$2:$K$1795,$N1310)+(J1310-100)*INDEX('Tabela Passaro'!$L$2:$L$1795,$N1310))))))</f>
        <v>88.59</v>
      </c>
      <c r="S1310" s="32" t="n">
        <f aca="false">K1310*INDEX('Tabela Passaro'!$M$2:$M$1795,$N1310)</f>
        <v>3.7837</v>
      </c>
      <c r="T1310" s="32" t="n">
        <f aca="false">K1310*INDEX('Tabela Passaro'!$N$2:$N$1795,$N1310)</f>
        <v>1.51348</v>
      </c>
      <c r="U1310" s="32" t="n">
        <f aca="false">INDEX('Tabela Passaro'!$O$2:$O$1795,$N1310)</f>
        <v>5</v>
      </c>
      <c r="V1310" s="32" t="n">
        <f aca="false">ROUNDUP(J1310/INDEX('Tabela Passaro'!$Q$2:$Q$1795,$N1310),0)*INDEX('Tabela Passaro'!$P$2:$P$1795,$N1310)</f>
        <v>5</v>
      </c>
      <c r="W1310" s="32" t="n">
        <f aca="false">INDEX('Tabela Passaro'!$R$2:$R$1795,$N1310)</f>
        <v>30</v>
      </c>
      <c r="X1310" s="32" t="n">
        <f aca="false">ROUNDUP(J1310/INDEX('Tabela Passaro'!$T$2:$T$1795,$N1310),0)*INDEX('Tabela Passaro'!$S$2:$S$1795,$N1310)</f>
        <v>0</v>
      </c>
      <c r="Y1310" s="32" t="n">
        <f aca="false">INDEX('Tabela Passaro'!$U$2:$U$1795,$N1310)</f>
        <v>0</v>
      </c>
      <c r="Z1310" s="32" t="n">
        <f aca="false">INDEX('Tabela Passaro'!$V$2:$V$1795,$N1310)</f>
        <v>0</v>
      </c>
      <c r="AA1310" s="32" t="n">
        <f aca="false">SUM(R1310:Z1310)</f>
        <v>133.88718</v>
      </c>
      <c r="AB1310" s="33" t="n">
        <f aca="false">INDEX(Premissas!$B$5:$B$13,MATCH(A1310,Premissas!$A$5:$A$13,0))</f>
        <v>0.07</v>
      </c>
      <c r="AC1310" s="32" t="n">
        <f aca="false">AA1310/(1-AB1310)-AA1310</f>
        <v>10.0775296774194</v>
      </c>
      <c r="AD1310" s="32" t="n">
        <f aca="false">ROUND(AA1310+AC1310,2)</f>
        <v>143.96</v>
      </c>
      <c r="AE1310" s="32" t="n">
        <f aca="false">AD1310-L1310</f>
        <v>-33.77</v>
      </c>
      <c r="AF1310" s="34" t="n">
        <f aca="false">IF(L1310=0,0,AE1310/L1310)</f>
        <v>-0.190007314465763</v>
      </c>
      <c r="AG1310" s="22" t="str">
        <f aca="false">IF(AD1310&lt;L1310,"PASSARO","ATUAL")</f>
        <v>PASSARO</v>
      </c>
      <c r="AH1310" s="22" t="str">
        <f aca="false">IF(P1310&lt;&gt;A1310,"Faixa cadastrada como "&amp;P1310&amp;" na tabela; preço aplicado pela UF do CEP","")</f>
        <v/>
      </c>
      <c r="AI1310" s="26" t="n">
        <v>173.34</v>
      </c>
      <c r="AJ1310" s="22" t="str">
        <f aca="false">INDEX('Tabela Passaro'!$X$2:$X$1795,$N1310)</f>
        <v>CAPITAL</v>
      </c>
    </row>
    <row r="1311" customFormat="false" ht="15" hidden="false" customHeight="false" outlineLevel="0" collapsed="false">
      <c r="A1311" s="22" t="s">
        <v>20</v>
      </c>
      <c r="B1311" s="22" t="n">
        <v>1</v>
      </c>
      <c r="C1311" s="22" t="s">
        <v>147</v>
      </c>
      <c r="D1311" s="22" t="s">
        <v>30</v>
      </c>
      <c r="E1311" s="22" t="s">
        <v>20</v>
      </c>
      <c r="F1311" s="22" t="n">
        <v>840593</v>
      </c>
      <c r="G1311" s="30" t="n">
        <v>46265</v>
      </c>
      <c r="H1311" s="22" t="n">
        <v>32792</v>
      </c>
      <c r="I1311" s="22" t="s">
        <v>8522</v>
      </c>
      <c r="J1311" s="31" t="n">
        <v>79.26</v>
      </c>
      <c r="K1311" s="26" t="n">
        <v>1089.98</v>
      </c>
      <c r="L1311" s="26" t="n">
        <v>129.94</v>
      </c>
      <c r="M1311" s="22" t="s">
        <v>4802</v>
      </c>
      <c r="N1311" s="22" t="n">
        <f aca="false">MATCH(M1311,'Tabela Passaro'!$A$2:$A$1795,0)</f>
        <v>1150</v>
      </c>
      <c r="O1311" s="22" t="str">
        <f aca="false">INDEX('Tabela Passaro'!$C$2:$C$1795,$N1311)</f>
        <v>RECIFE</v>
      </c>
      <c r="P1311" s="22" t="str">
        <f aca="false">INDEX('Tabela Passaro'!$B$2:$B$1795,$N1311)</f>
        <v>PE</v>
      </c>
      <c r="Q1311" s="22" t="n">
        <f aca="false">INDEX('Tabela Passaro'!$F$2:$F$1795,$N1311)</f>
        <v>8</v>
      </c>
      <c r="R1311" s="32" t="n">
        <f aca="false">IF(J1311&lt;=10,INDEX('Tabela Passaro'!$G$2:$G$1795,$N1311),IF(J1311&lt;=30,INDEX('Tabela Passaro'!$H$2:$H$1795,$N1311),IF(J1311&lt;=50,INDEX('Tabela Passaro'!$I$2:$I$1795,$N1311),IF(J1311&lt;=70,INDEX('Tabela Passaro'!$J$2:$J$1795,$N1311),IF(J1311&lt;=100,INDEX('Tabela Passaro'!$K$2:$K$1795,$N1311),INDEX('Tabela Passaro'!$K$2:$K$1795,$N1311)+(J1311-100)*INDEX('Tabela Passaro'!$L$2:$L$1795,$N1311))))))</f>
        <v>116.14</v>
      </c>
      <c r="S1311" s="32" t="n">
        <f aca="false">K1311*INDEX('Tabela Passaro'!$M$2:$M$1795,$N1311)</f>
        <v>5.4499</v>
      </c>
      <c r="T1311" s="32" t="n">
        <f aca="false">K1311*INDEX('Tabela Passaro'!$N$2:$N$1795,$N1311)</f>
        <v>2.17996</v>
      </c>
      <c r="U1311" s="32" t="n">
        <f aca="false">INDEX('Tabela Passaro'!$O$2:$O$1795,$N1311)</f>
        <v>5</v>
      </c>
      <c r="V1311" s="32" t="n">
        <f aca="false">ROUNDUP(J1311/INDEX('Tabela Passaro'!$Q$2:$Q$1795,$N1311),0)*INDEX('Tabela Passaro'!$P$2:$P$1795,$N1311)</f>
        <v>5</v>
      </c>
      <c r="W1311" s="32" t="n">
        <f aca="false">INDEX('Tabela Passaro'!$R$2:$R$1795,$N1311)</f>
        <v>30</v>
      </c>
      <c r="X1311" s="32" t="n">
        <f aca="false">ROUNDUP(J1311/INDEX('Tabela Passaro'!$T$2:$T$1795,$N1311),0)*INDEX('Tabela Passaro'!$S$2:$S$1795,$N1311)</f>
        <v>0</v>
      </c>
      <c r="Y1311" s="32" t="n">
        <f aca="false">INDEX('Tabela Passaro'!$U$2:$U$1795,$N1311)</f>
        <v>0</v>
      </c>
      <c r="Z1311" s="32" t="n">
        <f aca="false">INDEX('Tabela Passaro'!$V$2:$V$1795,$N1311)</f>
        <v>0</v>
      </c>
      <c r="AA1311" s="32" t="n">
        <f aca="false">SUM(R1311:Z1311)</f>
        <v>163.76986</v>
      </c>
      <c r="AB1311" s="33" t="n">
        <f aca="false">INDEX(Premissas!$B$5:$B$13,MATCH(A1311,Premissas!$A$5:$A$13,0))</f>
        <v>0.07</v>
      </c>
      <c r="AC1311" s="32" t="n">
        <f aca="false">AA1311/(1-AB1311)-AA1311</f>
        <v>12.326763655914</v>
      </c>
      <c r="AD1311" s="32" t="n">
        <f aca="false">ROUND(AA1311+AC1311,2)</f>
        <v>176.1</v>
      </c>
      <c r="AE1311" s="32" t="n">
        <f aca="false">AD1311-L1311</f>
        <v>46.16</v>
      </c>
      <c r="AF1311" s="34" t="n">
        <f aca="false">IF(L1311=0,0,AE1311/L1311)</f>
        <v>0.355240880406341</v>
      </c>
      <c r="AG1311" s="22" t="str">
        <f aca="false">IF(AD1311&lt;L1311,"PASSARO","ATUAL")</f>
        <v>ATUAL</v>
      </c>
      <c r="AH1311" s="22" t="str">
        <f aca="false">IF(P1311&lt;&gt;A1311,"Faixa cadastrada como "&amp;P1311&amp;" na tabela; preço aplicado pela UF do CEP","")</f>
        <v/>
      </c>
      <c r="AI1311" s="26" t="n">
        <v>229.66</v>
      </c>
      <c r="AJ1311" s="22" t="str">
        <f aca="false">INDEX('Tabela Passaro'!$X$2:$X$1795,$N1311)</f>
        <v>CAPITAL</v>
      </c>
    </row>
    <row r="1312" customFormat="false" ht="15" hidden="false" customHeight="false" outlineLevel="0" collapsed="false">
      <c r="A1312" s="22" t="s">
        <v>20</v>
      </c>
      <c r="B1312" s="22" t="n">
        <v>1</v>
      </c>
      <c r="C1312" s="22" t="s">
        <v>147</v>
      </c>
      <c r="D1312" s="22" t="s">
        <v>30</v>
      </c>
      <c r="E1312" s="22" t="s">
        <v>20</v>
      </c>
      <c r="F1312" s="22" t="n">
        <v>840597</v>
      </c>
      <c r="G1312" s="30" t="n">
        <v>46265</v>
      </c>
      <c r="H1312" s="22" t="n">
        <v>32796</v>
      </c>
      <c r="I1312" s="22" t="s">
        <v>8523</v>
      </c>
      <c r="J1312" s="31" t="n">
        <v>17.2</v>
      </c>
      <c r="K1312" s="26" t="n">
        <v>346.98</v>
      </c>
      <c r="L1312" s="26" t="n">
        <v>79.76</v>
      </c>
      <c r="M1312" s="22" t="s">
        <v>4802</v>
      </c>
      <c r="N1312" s="22" t="n">
        <f aca="false">MATCH(M1312,'Tabela Passaro'!$A$2:$A$1795,0)</f>
        <v>1150</v>
      </c>
      <c r="O1312" s="22" t="str">
        <f aca="false">INDEX('Tabela Passaro'!$C$2:$C$1795,$N1312)</f>
        <v>RECIFE</v>
      </c>
      <c r="P1312" s="22" t="str">
        <f aca="false">INDEX('Tabela Passaro'!$B$2:$B$1795,$N1312)</f>
        <v>PE</v>
      </c>
      <c r="Q1312" s="22" t="n">
        <f aca="false">INDEX('Tabela Passaro'!$F$2:$F$1795,$N1312)</f>
        <v>8</v>
      </c>
      <c r="R1312" s="32" t="n">
        <f aca="false">IF(J1312&lt;=10,INDEX('Tabela Passaro'!$G$2:$G$1795,$N1312),IF(J1312&lt;=30,INDEX('Tabela Passaro'!$H$2:$H$1795,$N1312),IF(J1312&lt;=50,INDEX('Tabela Passaro'!$I$2:$I$1795,$N1312),IF(J1312&lt;=70,INDEX('Tabela Passaro'!$J$2:$J$1795,$N1312),IF(J1312&lt;=100,INDEX('Tabela Passaro'!$K$2:$K$1795,$N1312),INDEX('Tabela Passaro'!$K$2:$K$1795,$N1312)+(J1312-100)*INDEX('Tabela Passaro'!$L$2:$L$1795,$N1312))))))</f>
        <v>66.55</v>
      </c>
      <c r="S1312" s="32" t="n">
        <f aca="false">K1312*INDEX('Tabela Passaro'!$M$2:$M$1795,$N1312)</f>
        <v>1.7349</v>
      </c>
      <c r="T1312" s="32" t="n">
        <f aca="false">K1312*INDEX('Tabela Passaro'!$N$2:$N$1795,$N1312)</f>
        <v>0.69396</v>
      </c>
      <c r="U1312" s="32" t="n">
        <f aca="false">INDEX('Tabela Passaro'!$O$2:$O$1795,$N1312)</f>
        <v>5</v>
      </c>
      <c r="V1312" s="32" t="n">
        <f aca="false">ROUNDUP(J1312/INDEX('Tabela Passaro'!$Q$2:$Q$1795,$N1312),0)*INDEX('Tabela Passaro'!$P$2:$P$1795,$N1312)</f>
        <v>5</v>
      </c>
      <c r="W1312" s="32" t="n">
        <f aca="false">INDEX('Tabela Passaro'!$R$2:$R$1795,$N1312)</f>
        <v>30</v>
      </c>
      <c r="X1312" s="32" t="n">
        <f aca="false">ROUNDUP(J1312/INDEX('Tabela Passaro'!$T$2:$T$1795,$N1312),0)*INDEX('Tabela Passaro'!$S$2:$S$1795,$N1312)</f>
        <v>0</v>
      </c>
      <c r="Y1312" s="32" t="n">
        <f aca="false">INDEX('Tabela Passaro'!$U$2:$U$1795,$N1312)</f>
        <v>0</v>
      </c>
      <c r="Z1312" s="32" t="n">
        <f aca="false">INDEX('Tabela Passaro'!$V$2:$V$1795,$N1312)</f>
        <v>0</v>
      </c>
      <c r="AA1312" s="32" t="n">
        <f aca="false">SUM(R1312:Z1312)</f>
        <v>108.97886</v>
      </c>
      <c r="AB1312" s="33" t="n">
        <f aca="false">INDEX(Premissas!$B$5:$B$13,MATCH(A1312,Premissas!$A$5:$A$13,0))</f>
        <v>0.07</v>
      </c>
      <c r="AC1312" s="32" t="n">
        <f aca="false">AA1312/(1-AB1312)-AA1312</f>
        <v>8.20270989247312</v>
      </c>
      <c r="AD1312" s="32" t="n">
        <f aca="false">ROUND(AA1312+AC1312,2)</f>
        <v>117.18</v>
      </c>
      <c r="AE1312" s="32" t="n">
        <f aca="false">AD1312-L1312</f>
        <v>37.42</v>
      </c>
      <c r="AF1312" s="34" t="n">
        <f aca="false">IF(L1312=0,0,AE1312/L1312)</f>
        <v>0.469157472417252</v>
      </c>
      <c r="AG1312" s="22" t="str">
        <f aca="false">IF(AD1312&lt;L1312,"PASSARO","ATUAL")</f>
        <v>ATUAL</v>
      </c>
      <c r="AH1312" s="22" t="str">
        <f aca="false">IF(P1312&lt;&gt;A1312,"Faixa cadastrada como "&amp;P1312&amp;" na tabela; preço aplicado pela UF do CEP","")</f>
        <v/>
      </c>
      <c r="AI1312" s="26" t="n">
        <v>136.1</v>
      </c>
      <c r="AJ1312" s="22" t="str">
        <f aca="false">INDEX('Tabela Passaro'!$X$2:$X$1795,$N1312)</f>
        <v>CAPITAL</v>
      </c>
    </row>
    <row r="1313" customFormat="false" ht="15" hidden="false" customHeight="false" outlineLevel="0" collapsed="false">
      <c r="A1313" s="22" t="s">
        <v>20</v>
      </c>
      <c r="B1313" s="22" t="n">
        <v>1</v>
      </c>
      <c r="C1313" s="22" t="s">
        <v>147</v>
      </c>
      <c r="D1313" s="22" t="s">
        <v>30</v>
      </c>
      <c r="E1313" s="22" t="s">
        <v>20</v>
      </c>
      <c r="F1313" s="22" t="n">
        <v>840599</v>
      </c>
      <c r="G1313" s="30" t="n">
        <v>46265</v>
      </c>
      <c r="H1313" s="22" t="n">
        <v>32798</v>
      </c>
      <c r="I1313" s="22" t="s">
        <v>8524</v>
      </c>
      <c r="J1313" s="31" t="n">
        <v>17.2</v>
      </c>
      <c r="K1313" s="26" t="n">
        <v>369.98</v>
      </c>
      <c r="L1313" s="26" t="n">
        <v>79.94</v>
      </c>
      <c r="M1313" s="22" t="s">
        <v>4802</v>
      </c>
      <c r="N1313" s="22" t="n">
        <f aca="false">MATCH(M1313,'Tabela Passaro'!$A$2:$A$1795,0)</f>
        <v>1150</v>
      </c>
      <c r="O1313" s="22" t="str">
        <f aca="false">INDEX('Tabela Passaro'!$C$2:$C$1795,$N1313)</f>
        <v>RECIFE</v>
      </c>
      <c r="P1313" s="22" t="str">
        <f aca="false">INDEX('Tabela Passaro'!$B$2:$B$1795,$N1313)</f>
        <v>PE</v>
      </c>
      <c r="Q1313" s="22" t="n">
        <f aca="false">INDEX('Tabela Passaro'!$F$2:$F$1795,$N1313)</f>
        <v>8</v>
      </c>
      <c r="R1313" s="32" t="n">
        <f aca="false">IF(J1313&lt;=10,INDEX('Tabela Passaro'!$G$2:$G$1795,$N1313),IF(J1313&lt;=30,INDEX('Tabela Passaro'!$H$2:$H$1795,$N1313),IF(J1313&lt;=50,INDEX('Tabela Passaro'!$I$2:$I$1795,$N1313),IF(J1313&lt;=70,INDEX('Tabela Passaro'!$J$2:$J$1795,$N1313),IF(J1313&lt;=100,INDEX('Tabela Passaro'!$K$2:$K$1795,$N1313),INDEX('Tabela Passaro'!$K$2:$K$1795,$N1313)+(J1313-100)*INDEX('Tabela Passaro'!$L$2:$L$1795,$N1313))))))</f>
        <v>66.55</v>
      </c>
      <c r="S1313" s="32" t="n">
        <f aca="false">K1313*INDEX('Tabela Passaro'!$M$2:$M$1795,$N1313)</f>
        <v>1.8499</v>
      </c>
      <c r="T1313" s="32" t="n">
        <f aca="false">K1313*INDEX('Tabela Passaro'!$N$2:$N$1795,$N1313)</f>
        <v>0.73996</v>
      </c>
      <c r="U1313" s="32" t="n">
        <f aca="false">INDEX('Tabela Passaro'!$O$2:$O$1795,$N1313)</f>
        <v>5</v>
      </c>
      <c r="V1313" s="32" t="n">
        <f aca="false">ROUNDUP(J1313/INDEX('Tabela Passaro'!$Q$2:$Q$1795,$N1313),0)*INDEX('Tabela Passaro'!$P$2:$P$1795,$N1313)</f>
        <v>5</v>
      </c>
      <c r="W1313" s="32" t="n">
        <f aca="false">INDEX('Tabela Passaro'!$R$2:$R$1795,$N1313)</f>
        <v>30</v>
      </c>
      <c r="X1313" s="32" t="n">
        <f aca="false">ROUNDUP(J1313/INDEX('Tabela Passaro'!$T$2:$T$1795,$N1313),0)*INDEX('Tabela Passaro'!$S$2:$S$1795,$N1313)</f>
        <v>0</v>
      </c>
      <c r="Y1313" s="32" t="n">
        <f aca="false">INDEX('Tabela Passaro'!$U$2:$U$1795,$N1313)</f>
        <v>0</v>
      </c>
      <c r="Z1313" s="32" t="n">
        <f aca="false">INDEX('Tabela Passaro'!$V$2:$V$1795,$N1313)</f>
        <v>0</v>
      </c>
      <c r="AA1313" s="32" t="n">
        <f aca="false">SUM(R1313:Z1313)</f>
        <v>109.13986</v>
      </c>
      <c r="AB1313" s="33" t="n">
        <f aca="false">INDEX(Premissas!$B$5:$B$13,MATCH(A1313,Premissas!$A$5:$A$13,0))</f>
        <v>0.07</v>
      </c>
      <c r="AC1313" s="32" t="n">
        <f aca="false">AA1313/(1-AB1313)-AA1313</f>
        <v>8.21482817204301</v>
      </c>
      <c r="AD1313" s="32" t="n">
        <f aca="false">ROUND(AA1313+AC1313,2)</f>
        <v>117.35</v>
      </c>
      <c r="AE1313" s="32" t="n">
        <f aca="false">AD1313-L1313</f>
        <v>37.41</v>
      </c>
      <c r="AF1313" s="34" t="n">
        <f aca="false">IF(L1313=0,0,AE1313/L1313)</f>
        <v>0.46797598198649</v>
      </c>
      <c r="AG1313" s="22" t="str">
        <f aca="false">IF(AD1313&lt;L1313,"PASSARO","ATUAL")</f>
        <v>ATUAL</v>
      </c>
      <c r="AH1313" s="22" t="str">
        <f aca="false">IF(P1313&lt;&gt;A1313,"Faixa cadastrada como "&amp;P1313&amp;" na tabela; preço aplicado pela UF do CEP","")</f>
        <v/>
      </c>
      <c r="AI1313" s="26" t="n">
        <v>136.32</v>
      </c>
      <c r="AJ1313" s="22" t="str">
        <f aca="false">INDEX('Tabela Passaro'!$X$2:$X$1795,$N1313)</f>
        <v>CAPITAL</v>
      </c>
    </row>
    <row r="1314" customFormat="false" ht="15" hidden="false" customHeight="false" outlineLevel="0" collapsed="false">
      <c r="A1314" s="22" t="s">
        <v>20</v>
      </c>
      <c r="B1314" s="22" t="n">
        <v>1</v>
      </c>
      <c r="C1314" s="22" t="s">
        <v>147</v>
      </c>
      <c r="D1314" s="22" t="s">
        <v>30</v>
      </c>
      <c r="E1314" s="22" t="s">
        <v>20</v>
      </c>
      <c r="F1314" s="22" t="n">
        <v>840603</v>
      </c>
      <c r="G1314" s="30" t="n">
        <v>46265</v>
      </c>
      <c r="H1314" s="22" t="n">
        <v>32802</v>
      </c>
      <c r="I1314" s="22" t="s">
        <v>8525</v>
      </c>
      <c r="J1314" s="31" t="n">
        <v>26.9</v>
      </c>
      <c r="K1314" s="26" t="n">
        <v>483.48</v>
      </c>
      <c r="L1314" s="26" t="n">
        <v>80.84</v>
      </c>
      <c r="M1314" s="22" t="s">
        <v>4802</v>
      </c>
      <c r="N1314" s="22" t="n">
        <f aca="false">MATCH(M1314,'Tabela Passaro'!$A$2:$A$1795,0)</f>
        <v>1150</v>
      </c>
      <c r="O1314" s="22" t="str">
        <f aca="false">INDEX('Tabela Passaro'!$C$2:$C$1795,$N1314)</f>
        <v>RECIFE</v>
      </c>
      <c r="P1314" s="22" t="str">
        <f aca="false">INDEX('Tabela Passaro'!$B$2:$B$1795,$N1314)</f>
        <v>PE</v>
      </c>
      <c r="Q1314" s="22" t="n">
        <f aca="false">INDEX('Tabela Passaro'!$F$2:$F$1795,$N1314)</f>
        <v>8</v>
      </c>
      <c r="R1314" s="32" t="n">
        <f aca="false">IF(J1314&lt;=10,INDEX('Tabela Passaro'!$G$2:$G$1795,$N1314),IF(J1314&lt;=30,INDEX('Tabela Passaro'!$H$2:$H$1795,$N1314),IF(J1314&lt;=50,INDEX('Tabela Passaro'!$I$2:$I$1795,$N1314),IF(J1314&lt;=70,INDEX('Tabela Passaro'!$J$2:$J$1795,$N1314),IF(J1314&lt;=100,INDEX('Tabela Passaro'!$K$2:$K$1795,$N1314),INDEX('Tabela Passaro'!$K$2:$K$1795,$N1314)+(J1314-100)*INDEX('Tabela Passaro'!$L$2:$L$1795,$N1314))))))</f>
        <v>66.55</v>
      </c>
      <c r="S1314" s="32" t="n">
        <f aca="false">K1314*INDEX('Tabela Passaro'!$M$2:$M$1795,$N1314)</f>
        <v>2.4174</v>
      </c>
      <c r="T1314" s="32" t="n">
        <f aca="false">K1314*INDEX('Tabela Passaro'!$N$2:$N$1795,$N1314)</f>
        <v>0.96696</v>
      </c>
      <c r="U1314" s="32" t="n">
        <f aca="false">INDEX('Tabela Passaro'!$O$2:$O$1795,$N1314)</f>
        <v>5</v>
      </c>
      <c r="V1314" s="32" t="n">
        <f aca="false">ROUNDUP(J1314/INDEX('Tabela Passaro'!$Q$2:$Q$1795,$N1314),0)*INDEX('Tabela Passaro'!$P$2:$P$1795,$N1314)</f>
        <v>5</v>
      </c>
      <c r="W1314" s="32" t="n">
        <f aca="false">INDEX('Tabela Passaro'!$R$2:$R$1795,$N1314)</f>
        <v>30</v>
      </c>
      <c r="X1314" s="32" t="n">
        <f aca="false">ROUNDUP(J1314/INDEX('Tabela Passaro'!$T$2:$T$1795,$N1314),0)*INDEX('Tabela Passaro'!$S$2:$S$1795,$N1314)</f>
        <v>0</v>
      </c>
      <c r="Y1314" s="32" t="n">
        <f aca="false">INDEX('Tabela Passaro'!$U$2:$U$1795,$N1314)</f>
        <v>0</v>
      </c>
      <c r="Z1314" s="32" t="n">
        <f aca="false">INDEX('Tabela Passaro'!$V$2:$V$1795,$N1314)</f>
        <v>0</v>
      </c>
      <c r="AA1314" s="32" t="n">
        <f aca="false">SUM(R1314:Z1314)</f>
        <v>109.93436</v>
      </c>
      <c r="AB1314" s="33" t="n">
        <f aca="false">INDEX(Premissas!$B$5:$B$13,MATCH(A1314,Premissas!$A$5:$A$13,0))</f>
        <v>0.07</v>
      </c>
      <c r="AC1314" s="32" t="n">
        <f aca="false">AA1314/(1-AB1314)-AA1314</f>
        <v>8.27462924731184</v>
      </c>
      <c r="AD1314" s="32" t="n">
        <f aca="false">ROUND(AA1314+AC1314,2)</f>
        <v>118.21</v>
      </c>
      <c r="AE1314" s="32" t="n">
        <f aca="false">AD1314-L1314</f>
        <v>37.37</v>
      </c>
      <c r="AF1314" s="34" t="n">
        <f aca="false">IF(L1314=0,0,AE1314/L1314)</f>
        <v>0.462271152894607</v>
      </c>
      <c r="AG1314" s="22" t="str">
        <f aca="false">IF(AD1314&lt;L1314,"PASSARO","ATUAL")</f>
        <v>ATUAL</v>
      </c>
      <c r="AH1314" s="22" t="str">
        <f aca="false">IF(P1314&lt;&gt;A1314,"Faixa cadastrada como "&amp;P1314&amp;" na tabela; preço aplicado pela UF do CEP","")</f>
        <v/>
      </c>
      <c r="AI1314" s="26" t="n">
        <v>141.78</v>
      </c>
      <c r="AJ1314" s="22" t="str">
        <f aca="false">INDEX('Tabela Passaro'!$X$2:$X$1795,$N1314)</f>
        <v>CAPITAL</v>
      </c>
    </row>
    <row r="1315" customFormat="false" ht="15" hidden="false" customHeight="false" outlineLevel="0" collapsed="false">
      <c r="A1315" s="22" t="s">
        <v>20</v>
      </c>
      <c r="B1315" s="22" t="n">
        <v>1</v>
      </c>
      <c r="C1315" s="22" t="s">
        <v>147</v>
      </c>
      <c r="D1315" s="22" t="s">
        <v>30</v>
      </c>
      <c r="E1315" s="22" t="s">
        <v>20</v>
      </c>
      <c r="F1315" s="22" t="n">
        <v>840609</v>
      </c>
      <c r="G1315" s="30" t="n">
        <v>46265</v>
      </c>
      <c r="H1315" s="22" t="n">
        <v>32808</v>
      </c>
      <c r="I1315" s="22" t="s">
        <v>8526</v>
      </c>
      <c r="J1315" s="31" t="n">
        <v>20.8</v>
      </c>
      <c r="K1315" s="26" t="n">
        <v>729.98</v>
      </c>
      <c r="L1315" s="26" t="n">
        <v>82.79</v>
      </c>
      <c r="M1315" s="22" t="s">
        <v>4802</v>
      </c>
      <c r="N1315" s="22" t="n">
        <f aca="false">MATCH(M1315,'Tabela Passaro'!$A$2:$A$1795,0)</f>
        <v>1150</v>
      </c>
      <c r="O1315" s="22" t="str">
        <f aca="false">INDEX('Tabela Passaro'!$C$2:$C$1795,$N1315)</f>
        <v>RECIFE</v>
      </c>
      <c r="P1315" s="22" t="str">
        <f aca="false">INDEX('Tabela Passaro'!$B$2:$B$1795,$N1315)</f>
        <v>PE</v>
      </c>
      <c r="Q1315" s="22" t="n">
        <f aca="false">INDEX('Tabela Passaro'!$F$2:$F$1795,$N1315)</f>
        <v>8</v>
      </c>
      <c r="R1315" s="32" t="n">
        <f aca="false">IF(J1315&lt;=10,INDEX('Tabela Passaro'!$G$2:$G$1795,$N1315),IF(J1315&lt;=30,INDEX('Tabela Passaro'!$H$2:$H$1795,$N1315),IF(J1315&lt;=50,INDEX('Tabela Passaro'!$I$2:$I$1795,$N1315),IF(J1315&lt;=70,INDEX('Tabela Passaro'!$J$2:$J$1795,$N1315),IF(J1315&lt;=100,INDEX('Tabela Passaro'!$K$2:$K$1795,$N1315),INDEX('Tabela Passaro'!$K$2:$K$1795,$N1315)+(J1315-100)*INDEX('Tabela Passaro'!$L$2:$L$1795,$N1315))))))</f>
        <v>66.55</v>
      </c>
      <c r="S1315" s="32" t="n">
        <f aca="false">K1315*INDEX('Tabela Passaro'!$M$2:$M$1795,$N1315)</f>
        <v>3.6499</v>
      </c>
      <c r="T1315" s="32" t="n">
        <f aca="false">K1315*INDEX('Tabela Passaro'!$N$2:$N$1795,$N1315)</f>
        <v>1.45996</v>
      </c>
      <c r="U1315" s="32" t="n">
        <f aca="false">INDEX('Tabela Passaro'!$O$2:$O$1795,$N1315)</f>
        <v>5</v>
      </c>
      <c r="V1315" s="32" t="n">
        <f aca="false">ROUNDUP(J1315/INDEX('Tabela Passaro'!$Q$2:$Q$1795,$N1315),0)*INDEX('Tabela Passaro'!$P$2:$P$1795,$N1315)</f>
        <v>5</v>
      </c>
      <c r="W1315" s="32" t="n">
        <f aca="false">INDEX('Tabela Passaro'!$R$2:$R$1795,$N1315)</f>
        <v>30</v>
      </c>
      <c r="X1315" s="32" t="n">
        <f aca="false">ROUNDUP(J1315/INDEX('Tabela Passaro'!$T$2:$T$1795,$N1315),0)*INDEX('Tabela Passaro'!$S$2:$S$1795,$N1315)</f>
        <v>0</v>
      </c>
      <c r="Y1315" s="32" t="n">
        <f aca="false">INDEX('Tabela Passaro'!$U$2:$U$1795,$N1315)</f>
        <v>0</v>
      </c>
      <c r="Z1315" s="32" t="n">
        <f aca="false">INDEX('Tabela Passaro'!$V$2:$V$1795,$N1315)</f>
        <v>0</v>
      </c>
      <c r="AA1315" s="32" t="n">
        <f aca="false">SUM(R1315:Z1315)</f>
        <v>111.65986</v>
      </c>
      <c r="AB1315" s="33" t="n">
        <f aca="false">INDEX(Premissas!$B$5:$B$13,MATCH(A1315,Premissas!$A$5:$A$13,0))</f>
        <v>0.07</v>
      </c>
      <c r="AC1315" s="32" t="n">
        <f aca="false">AA1315/(1-AB1315)-AA1315</f>
        <v>8.40450559139785</v>
      </c>
      <c r="AD1315" s="32" t="n">
        <f aca="false">ROUND(AA1315+AC1315,2)</f>
        <v>120.06</v>
      </c>
      <c r="AE1315" s="32" t="n">
        <f aca="false">AD1315-L1315</f>
        <v>37.27</v>
      </c>
      <c r="AF1315" s="34" t="n">
        <f aca="false">IF(L1315=0,0,AE1315/L1315)</f>
        <v>0.450175141925353</v>
      </c>
      <c r="AG1315" s="22" t="str">
        <f aca="false">IF(AD1315&lt;L1315,"PASSARO","ATUAL")</f>
        <v>ATUAL</v>
      </c>
      <c r="AH1315" s="22" t="str">
        <f aca="false">IF(P1315&lt;&gt;A1315,"Faixa cadastrada como "&amp;P1315&amp;" na tabela; preço aplicado pela UF do CEP","")</f>
        <v/>
      </c>
      <c r="AI1315" s="26" t="n">
        <v>141.26</v>
      </c>
      <c r="AJ1315" s="22" t="str">
        <f aca="false">INDEX('Tabela Passaro'!$X$2:$X$1795,$N1315)</f>
        <v>CAPITAL</v>
      </c>
    </row>
    <row r="1316" customFormat="false" ht="15" hidden="false" customHeight="false" outlineLevel="0" collapsed="false">
      <c r="A1316" s="22" t="s">
        <v>20</v>
      </c>
      <c r="B1316" s="22" t="n">
        <v>1</v>
      </c>
      <c r="C1316" s="22" t="s">
        <v>147</v>
      </c>
      <c r="D1316" s="22" t="s">
        <v>30</v>
      </c>
      <c r="E1316" s="22" t="s">
        <v>20</v>
      </c>
      <c r="F1316" s="22" t="n">
        <v>840642</v>
      </c>
      <c r="G1316" s="30" t="n">
        <v>46265</v>
      </c>
      <c r="H1316" s="22" t="n">
        <v>32842</v>
      </c>
      <c r="I1316" s="22" t="s">
        <v>8527</v>
      </c>
      <c r="J1316" s="31" t="n">
        <v>39.76</v>
      </c>
      <c r="K1316" s="26" t="n">
        <v>761.48</v>
      </c>
      <c r="L1316" s="26" t="n">
        <v>102.03</v>
      </c>
      <c r="M1316" s="22" t="s">
        <v>4802</v>
      </c>
      <c r="N1316" s="22" t="n">
        <f aca="false">MATCH(M1316,'Tabela Passaro'!$A$2:$A$1795,0)</f>
        <v>1150</v>
      </c>
      <c r="O1316" s="22" t="str">
        <f aca="false">INDEX('Tabela Passaro'!$C$2:$C$1795,$N1316)</f>
        <v>RECIFE</v>
      </c>
      <c r="P1316" s="22" t="str">
        <f aca="false">INDEX('Tabela Passaro'!$B$2:$B$1795,$N1316)</f>
        <v>PE</v>
      </c>
      <c r="Q1316" s="22" t="n">
        <f aca="false">INDEX('Tabela Passaro'!$F$2:$F$1795,$N1316)</f>
        <v>8</v>
      </c>
      <c r="R1316" s="32" t="n">
        <f aca="false">IF(J1316&lt;=10,INDEX('Tabela Passaro'!$G$2:$G$1795,$N1316),IF(J1316&lt;=30,INDEX('Tabela Passaro'!$H$2:$H$1795,$N1316),IF(J1316&lt;=50,INDEX('Tabela Passaro'!$I$2:$I$1795,$N1316),IF(J1316&lt;=70,INDEX('Tabela Passaro'!$J$2:$J$1795,$N1316),IF(J1316&lt;=100,INDEX('Tabela Passaro'!$K$2:$K$1795,$N1316),INDEX('Tabela Passaro'!$K$2:$K$1795,$N1316)+(J1316-100)*INDEX('Tabela Passaro'!$L$2:$L$1795,$N1316))))))</f>
        <v>88.59</v>
      </c>
      <c r="S1316" s="32" t="n">
        <f aca="false">K1316*INDEX('Tabela Passaro'!$M$2:$M$1795,$N1316)</f>
        <v>3.8074</v>
      </c>
      <c r="T1316" s="32" t="n">
        <f aca="false">K1316*INDEX('Tabela Passaro'!$N$2:$N$1795,$N1316)</f>
        <v>1.52296</v>
      </c>
      <c r="U1316" s="32" t="n">
        <f aca="false">INDEX('Tabela Passaro'!$O$2:$O$1795,$N1316)</f>
        <v>5</v>
      </c>
      <c r="V1316" s="32" t="n">
        <f aca="false">ROUNDUP(J1316/INDEX('Tabela Passaro'!$Q$2:$Q$1795,$N1316),0)*INDEX('Tabela Passaro'!$P$2:$P$1795,$N1316)</f>
        <v>5</v>
      </c>
      <c r="W1316" s="32" t="n">
        <f aca="false">INDEX('Tabela Passaro'!$R$2:$R$1795,$N1316)</f>
        <v>30</v>
      </c>
      <c r="X1316" s="32" t="n">
        <f aca="false">ROUNDUP(J1316/INDEX('Tabela Passaro'!$T$2:$T$1795,$N1316),0)*INDEX('Tabela Passaro'!$S$2:$S$1795,$N1316)</f>
        <v>0</v>
      </c>
      <c r="Y1316" s="32" t="n">
        <f aca="false">INDEX('Tabela Passaro'!$U$2:$U$1795,$N1316)</f>
        <v>0</v>
      </c>
      <c r="Z1316" s="32" t="n">
        <f aca="false">INDEX('Tabela Passaro'!$V$2:$V$1795,$N1316)</f>
        <v>0</v>
      </c>
      <c r="AA1316" s="32" t="n">
        <f aca="false">SUM(R1316:Z1316)</f>
        <v>133.92036</v>
      </c>
      <c r="AB1316" s="33" t="n">
        <f aca="false">INDEX(Premissas!$B$5:$B$13,MATCH(A1316,Premissas!$A$5:$A$13,0))</f>
        <v>0.07</v>
      </c>
      <c r="AC1316" s="32" t="n">
        <f aca="false">AA1316/(1-AB1316)-AA1316</f>
        <v>10.0800270967742</v>
      </c>
      <c r="AD1316" s="32" t="n">
        <f aca="false">ROUND(AA1316+AC1316,2)</f>
        <v>144</v>
      </c>
      <c r="AE1316" s="32" t="n">
        <f aca="false">AD1316-L1316</f>
        <v>41.97</v>
      </c>
      <c r="AF1316" s="34" t="n">
        <f aca="false">IF(L1316=0,0,AE1316/L1316)</f>
        <v>0.411349603057924</v>
      </c>
      <c r="AG1316" s="22" t="str">
        <f aca="false">IF(AD1316&lt;L1316,"PASSARO","ATUAL")</f>
        <v>ATUAL</v>
      </c>
      <c r="AH1316" s="22" t="str">
        <f aca="false">IF(P1316&lt;&gt;A1316,"Faixa cadastrada como "&amp;P1316&amp;" na tabela; preço aplicado pela UF do CEP","")</f>
        <v/>
      </c>
      <c r="AI1316" s="26" t="n">
        <v>175.81</v>
      </c>
      <c r="AJ1316" s="22" t="str">
        <f aca="false">INDEX('Tabela Passaro'!$X$2:$X$1795,$N1316)</f>
        <v>CAPITAL</v>
      </c>
    </row>
    <row r="1317" customFormat="false" ht="15" hidden="false" customHeight="false" outlineLevel="0" collapsed="false">
      <c r="A1317" s="22" t="s">
        <v>20</v>
      </c>
      <c r="B1317" s="22" t="n">
        <v>1</v>
      </c>
      <c r="C1317" s="22" t="s">
        <v>147</v>
      </c>
      <c r="D1317" s="22" t="s">
        <v>30</v>
      </c>
      <c r="E1317" s="22" t="s">
        <v>20</v>
      </c>
      <c r="F1317" s="22" t="n">
        <v>840679</v>
      </c>
      <c r="G1317" s="30" t="n">
        <v>46265</v>
      </c>
      <c r="H1317" s="22" t="n">
        <v>32878</v>
      </c>
      <c r="I1317" s="22" t="s">
        <v>8528</v>
      </c>
      <c r="J1317" s="31" t="n">
        <v>51.06</v>
      </c>
      <c r="K1317" s="26" t="n">
        <v>866.04</v>
      </c>
      <c r="L1317" s="26" t="n">
        <v>108.14</v>
      </c>
      <c r="M1317" s="22" t="s">
        <v>4802</v>
      </c>
      <c r="N1317" s="22" t="n">
        <f aca="false">MATCH(M1317,'Tabela Passaro'!$A$2:$A$1795,0)</f>
        <v>1150</v>
      </c>
      <c r="O1317" s="22" t="str">
        <f aca="false">INDEX('Tabela Passaro'!$C$2:$C$1795,$N1317)</f>
        <v>RECIFE</v>
      </c>
      <c r="P1317" s="22" t="str">
        <f aca="false">INDEX('Tabela Passaro'!$B$2:$B$1795,$N1317)</f>
        <v>PE</v>
      </c>
      <c r="Q1317" s="22" t="n">
        <f aca="false">INDEX('Tabela Passaro'!$F$2:$F$1795,$N1317)</f>
        <v>8</v>
      </c>
      <c r="R1317" s="32" t="n">
        <f aca="false">IF(J1317&lt;=10,INDEX('Tabela Passaro'!$G$2:$G$1795,$N1317),IF(J1317&lt;=30,INDEX('Tabela Passaro'!$H$2:$H$1795,$N1317),IF(J1317&lt;=50,INDEX('Tabela Passaro'!$I$2:$I$1795,$N1317),IF(J1317&lt;=70,INDEX('Tabela Passaro'!$J$2:$J$1795,$N1317),IF(J1317&lt;=100,INDEX('Tabela Passaro'!$K$2:$K$1795,$N1317),INDEX('Tabela Passaro'!$K$2:$K$1795,$N1317)+(J1317-100)*INDEX('Tabela Passaro'!$L$2:$L$1795,$N1317))))))</f>
        <v>99.61</v>
      </c>
      <c r="S1317" s="32" t="n">
        <f aca="false">K1317*INDEX('Tabela Passaro'!$M$2:$M$1795,$N1317)</f>
        <v>4.3302</v>
      </c>
      <c r="T1317" s="32" t="n">
        <f aca="false">K1317*INDEX('Tabela Passaro'!$N$2:$N$1795,$N1317)</f>
        <v>1.73208</v>
      </c>
      <c r="U1317" s="32" t="n">
        <f aca="false">INDEX('Tabela Passaro'!$O$2:$O$1795,$N1317)</f>
        <v>5</v>
      </c>
      <c r="V1317" s="32" t="n">
        <f aca="false">ROUNDUP(J1317/INDEX('Tabela Passaro'!$Q$2:$Q$1795,$N1317),0)*INDEX('Tabela Passaro'!$P$2:$P$1795,$N1317)</f>
        <v>5</v>
      </c>
      <c r="W1317" s="32" t="n">
        <f aca="false">INDEX('Tabela Passaro'!$R$2:$R$1795,$N1317)</f>
        <v>30</v>
      </c>
      <c r="X1317" s="32" t="n">
        <f aca="false">ROUNDUP(J1317/INDEX('Tabela Passaro'!$T$2:$T$1795,$N1317),0)*INDEX('Tabela Passaro'!$S$2:$S$1795,$N1317)</f>
        <v>0</v>
      </c>
      <c r="Y1317" s="32" t="n">
        <f aca="false">INDEX('Tabela Passaro'!$U$2:$U$1795,$N1317)</f>
        <v>0</v>
      </c>
      <c r="Z1317" s="32" t="n">
        <f aca="false">INDEX('Tabela Passaro'!$V$2:$V$1795,$N1317)</f>
        <v>0</v>
      </c>
      <c r="AA1317" s="32" t="n">
        <f aca="false">SUM(R1317:Z1317)</f>
        <v>145.67228</v>
      </c>
      <c r="AB1317" s="33" t="n">
        <f aca="false">INDEX(Premissas!$B$5:$B$13,MATCH(A1317,Premissas!$A$5:$A$13,0))</f>
        <v>0.07</v>
      </c>
      <c r="AC1317" s="32" t="n">
        <f aca="false">AA1317/(1-AB1317)-AA1317</f>
        <v>10.9645802150538</v>
      </c>
      <c r="AD1317" s="32" t="n">
        <f aca="false">ROUND(AA1317+AC1317,2)</f>
        <v>156.64</v>
      </c>
      <c r="AE1317" s="32" t="n">
        <f aca="false">AD1317-L1317</f>
        <v>48.5</v>
      </c>
      <c r="AF1317" s="34" t="n">
        <f aca="false">IF(L1317=0,0,AE1317/L1317)</f>
        <v>0.448492694655077</v>
      </c>
      <c r="AG1317" s="22" t="str">
        <f aca="false">IF(AD1317&lt;L1317,"PASSARO","ATUAL")</f>
        <v>ATUAL</v>
      </c>
      <c r="AH1317" s="22" t="str">
        <f aca="false">IF(P1317&lt;&gt;A1317,"Faixa cadastrada como "&amp;P1317&amp;" na tabela; preço aplicado pela UF do CEP","")</f>
        <v/>
      </c>
      <c r="AI1317" s="26" t="n">
        <v>195.16</v>
      </c>
      <c r="AJ1317" s="22" t="str">
        <f aca="false">INDEX('Tabela Passaro'!$X$2:$X$1795,$N1317)</f>
        <v>CAPITAL</v>
      </c>
    </row>
    <row r="1318" customFormat="false" ht="15" hidden="false" customHeight="false" outlineLevel="0" collapsed="false">
      <c r="A1318" s="22" t="s">
        <v>20</v>
      </c>
      <c r="B1318" s="22" t="n">
        <v>1</v>
      </c>
      <c r="C1318" s="22" t="s">
        <v>147</v>
      </c>
      <c r="D1318" s="22" t="s">
        <v>31</v>
      </c>
      <c r="E1318" s="22" t="s">
        <v>7326</v>
      </c>
      <c r="F1318" s="22" t="n">
        <v>111844</v>
      </c>
      <c r="G1318" s="30" t="n">
        <v>46238</v>
      </c>
      <c r="H1318" s="22" t="n">
        <v>584058</v>
      </c>
      <c r="I1318" s="22" t="s">
        <v>8529</v>
      </c>
      <c r="J1318" s="31" t="n">
        <v>20.8</v>
      </c>
      <c r="K1318" s="26" t="n">
        <v>462.99</v>
      </c>
      <c r="L1318" s="26" t="n">
        <v>94.94</v>
      </c>
      <c r="M1318" s="22" t="s">
        <v>4802</v>
      </c>
      <c r="N1318" s="22" t="n">
        <f aca="false">MATCH(M1318,'Tabela Passaro'!$A$2:$A$1795,0)</f>
        <v>1150</v>
      </c>
      <c r="O1318" s="22" t="str">
        <f aca="false">INDEX('Tabela Passaro'!$C$2:$C$1795,$N1318)</f>
        <v>RECIFE</v>
      </c>
      <c r="P1318" s="22" t="str">
        <f aca="false">INDEX('Tabela Passaro'!$B$2:$B$1795,$N1318)</f>
        <v>PE</v>
      </c>
      <c r="Q1318" s="22" t="n">
        <f aca="false">INDEX('Tabela Passaro'!$F$2:$F$1795,$N1318)</f>
        <v>8</v>
      </c>
      <c r="R1318" s="32" t="n">
        <f aca="false">IF(J1318&lt;=10,INDEX('Tabela Passaro'!$G$2:$G$1795,$N1318),IF(J1318&lt;=30,INDEX('Tabela Passaro'!$H$2:$H$1795,$N1318),IF(J1318&lt;=50,INDEX('Tabela Passaro'!$I$2:$I$1795,$N1318),IF(J1318&lt;=70,INDEX('Tabela Passaro'!$J$2:$J$1795,$N1318),IF(J1318&lt;=100,INDEX('Tabela Passaro'!$K$2:$K$1795,$N1318),INDEX('Tabela Passaro'!$K$2:$K$1795,$N1318)+(J1318-100)*INDEX('Tabela Passaro'!$L$2:$L$1795,$N1318))))))</f>
        <v>66.55</v>
      </c>
      <c r="S1318" s="32" t="n">
        <f aca="false">K1318*INDEX('Tabela Passaro'!$M$2:$M$1795,$N1318)</f>
        <v>2.31495</v>
      </c>
      <c r="T1318" s="32" t="n">
        <f aca="false">K1318*INDEX('Tabela Passaro'!$N$2:$N$1795,$N1318)</f>
        <v>0.92598</v>
      </c>
      <c r="U1318" s="32" t="n">
        <f aca="false">INDEX('Tabela Passaro'!$O$2:$O$1795,$N1318)</f>
        <v>5</v>
      </c>
      <c r="V1318" s="32" t="n">
        <f aca="false">ROUNDUP(J1318/INDEX('Tabela Passaro'!$Q$2:$Q$1795,$N1318),0)*INDEX('Tabela Passaro'!$P$2:$P$1795,$N1318)</f>
        <v>5</v>
      </c>
      <c r="W1318" s="32" t="n">
        <f aca="false">INDEX('Tabela Passaro'!$R$2:$R$1795,$N1318)</f>
        <v>30</v>
      </c>
      <c r="X1318" s="32" t="n">
        <f aca="false">ROUNDUP(J1318/INDEX('Tabela Passaro'!$T$2:$T$1795,$N1318),0)*INDEX('Tabela Passaro'!$S$2:$S$1795,$N1318)</f>
        <v>0</v>
      </c>
      <c r="Y1318" s="32" t="n">
        <f aca="false">INDEX('Tabela Passaro'!$U$2:$U$1795,$N1318)</f>
        <v>0</v>
      </c>
      <c r="Z1318" s="32" t="n">
        <f aca="false">INDEX('Tabela Passaro'!$V$2:$V$1795,$N1318)</f>
        <v>0</v>
      </c>
      <c r="AA1318" s="32" t="n">
        <f aca="false">SUM(R1318:Z1318)</f>
        <v>109.79093</v>
      </c>
      <c r="AB1318" s="33" t="n">
        <f aca="false">INDEX(Premissas!$B$5:$B$13,MATCH(A1318,Premissas!$A$5:$A$13,0))</f>
        <v>0.07</v>
      </c>
      <c r="AC1318" s="32" t="n">
        <f aca="false">AA1318/(1-AB1318)-AA1318</f>
        <v>8.26383344086023</v>
      </c>
      <c r="AD1318" s="32" t="n">
        <f aca="false">ROUND(AA1318+AC1318,2)</f>
        <v>118.05</v>
      </c>
      <c r="AE1318" s="32" t="n">
        <f aca="false">AD1318-L1318</f>
        <v>23.11</v>
      </c>
      <c r="AF1318" s="34" t="n">
        <f aca="false">IF(L1318=0,0,AE1318/L1318)</f>
        <v>0.243416894880977</v>
      </c>
      <c r="AG1318" s="22" t="str">
        <f aca="false">IF(AD1318&lt;L1318,"PASSARO","ATUAL")</f>
        <v>ATUAL</v>
      </c>
      <c r="AH1318" s="22" t="str">
        <f aca="false">IF(P1318&lt;&gt;A1318,"Faixa cadastrada como "&amp;P1318&amp;" na tabela; preço aplicado pela UF do CEP","")</f>
        <v/>
      </c>
      <c r="AI1318" s="26" t="n">
        <v>138.67</v>
      </c>
      <c r="AJ1318" s="22" t="str">
        <f aca="false">INDEX('Tabela Passaro'!$X$2:$X$1795,$N1318)</f>
        <v>CAPITAL</v>
      </c>
    </row>
    <row r="1319" customFormat="false" ht="15" hidden="false" customHeight="false" outlineLevel="0" collapsed="false">
      <c r="A1319" s="22" t="s">
        <v>20</v>
      </c>
      <c r="B1319" s="22" t="n">
        <v>1</v>
      </c>
      <c r="C1319" s="22" t="s">
        <v>147</v>
      </c>
      <c r="D1319" s="22" t="s">
        <v>31</v>
      </c>
      <c r="E1319" s="22" t="s">
        <v>7326</v>
      </c>
      <c r="F1319" s="22" t="n">
        <v>12730055</v>
      </c>
      <c r="G1319" s="30" t="n">
        <v>46238</v>
      </c>
      <c r="H1319" s="22" t="n">
        <v>619845</v>
      </c>
      <c r="I1319" s="22" t="s">
        <v>8424</v>
      </c>
      <c r="J1319" s="31" t="n">
        <v>18.95</v>
      </c>
      <c r="K1319" s="26" t="n">
        <v>387.92</v>
      </c>
      <c r="L1319" s="26" t="n">
        <v>87.3</v>
      </c>
      <c r="M1319" s="22" t="s">
        <v>4802</v>
      </c>
      <c r="N1319" s="22" t="n">
        <f aca="false">MATCH(M1319,'Tabela Passaro'!$A$2:$A$1795,0)</f>
        <v>1150</v>
      </c>
      <c r="O1319" s="22" t="str">
        <f aca="false">INDEX('Tabela Passaro'!$C$2:$C$1795,$N1319)</f>
        <v>RECIFE</v>
      </c>
      <c r="P1319" s="22" t="str">
        <f aca="false">INDEX('Tabela Passaro'!$B$2:$B$1795,$N1319)</f>
        <v>PE</v>
      </c>
      <c r="Q1319" s="22" t="n">
        <f aca="false">INDEX('Tabela Passaro'!$F$2:$F$1795,$N1319)</f>
        <v>8</v>
      </c>
      <c r="R1319" s="32" t="n">
        <f aca="false">IF(J1319&lt;=10,INDEX('Tabela Passaro'!$G$2:$G$1795,$N1319),IF(J1319&lt;=30,INDEX('Tabela Passaro'!$H$2:$H$1795,$N1319),IF(J1319&lt;=50,INDEX('Tabela Passaro'!$I$2:$I$1795,$N1319),IF(J1319&lt;=70,INDEX('Tabela Passaro'!$J$2:$J$1795,$N1319),IF(J1319&lt;=100,INDEX('Tabela Passaro'!$K$2:$K$1795,$N1319),INDEX('Tabela Passaro'!$K$2:$K$1795,$N1319)+(J1319-100)*INDEX('Tabela Passaro'!$L$2:$L$1795,$N1319))))))</f>
        <v>66.55</v>
      </c>
      <c r="S1319" s="32" t="n">
        <f aca="false">K1319*INDEX('Tabela Passaro'!$M$2:$M$1795,$N1319)</f>
        <v>1.9396</v>
      </c>
      <c r="T1319" s="32" t="n">
        <f aca="false">K1319*INDEX('Tabela Passaro'!$N$2:$N$1795,$N1319)</f>
        <v>0.77584</v>
      </c>
      <c r="U1319" s="32" t="n">
        <f aca="false">INDEX('Tabela Passaro'!$O$2:$O$1795,$N1319)</f>
        <v>5</v>
      </c>
      <c r="V1319" s="32" t="n">
        <f aca="false">ROUNDUP(J1319/INDEX('Tabela Passaro'!$Q$2:$Q$1795,$N1319),0)*INDEX('Tabela Passaro'!$P$2:$P$1795,$N1319)</f>
        <v>5</v>
      </c>
      <c r="W1319" s="32" t="n">
        <f aca="false">INDEX('Tabela Passaro'!$R$2:$R$1795,$N1319)</f>
        <v>30</v>
      </c>
      <c r="X1319" s="32" t="n">
        <f aca="false">ROUNDUP(J1319/INDEX('Tabela Passaro'!$T$2:$T$1795,$N1319),0)*INDEX('Tabela Passaro'!$S$2:$S$1795,$N1319)</f>
        <v>0</v>
      </c>
      <c r="Y1319" s="32" t="n">
        <f aca="false">INDEX('Tabela Passaro'!$U$2:$U$1795,$N1319)</f>
        <v>0</v>
      </c>
      <c r="Z1319" s="32" t="n">
        <f aca="false">INDEX('Tabela Passaro'!$V$2:$V$1795,$N1319)</f>
        <v>0</v>
      </c>
      <c r="AA1319" s="32" t="n">
        <f aca="false">SUM(R1319:Z1319)</f>
        <v>109.26544</v>
      </c>
      <c r="AB1319" s="33" t="n">
        <f aca="false">INDEX(Premissas!$B$5:$B$13,MATCH(A1319,Premissas!$A$5:$A$13,0))</f>
        <v>0.07</v>
      </c>
      <c r="AC1319" s="32" t="n">
        <f aca="false">AA1319/(1-AB1319)-AA1319</f>
        <v>8.22428043010754</v>
      </c>
      <c r="AD1319" s="32" t="n">
        <f aca="false">ROUND(AA1319+AC1319,2)</f>
        <v>117.49</v>
      </c>
      <c r="AE1319" s="32" t="n">
        <f aca="false">AD1319-L1319</f>
        <v>30.19</v>
      </c>
      <c r="AF1319" s="34" t="n">
        <f aca="false">IF(L1319=0,0,AE1319/L1319)</f>
        <v>0.34581901489118</v>
      </c>
      <c r="AG1319" s="22" t="str">
        <f aca="false">IF(AD1319&lt;L1319,"PASSARO","ATUAL")</f>
        <v>ATUAL</v>
      </c>
      <c r="AH1319" s="22" t="str">
        <f aca="false">IF(P1319&lt;&gt;A1319,"Faixa cadastrada como "&amp;P1319&amp;" na tabela; preço aplicado pela UF do CEP","")</f>
        <v/>
      </c>
      <c r="AI1319" s="26" t="n">
        <v>136.98</v>
      </c>
      <c r="AJ1319" s="22" t="str">
        <f aca="false">INDEX('Tabela Passaro'!$X$2:$X$1795,$N1319)</f>
        <v>CAPITAL</v>
      </c>
    </row>
    <row r="1320" customFormat="false" ht="15" hidden="false" customHeight="false" outlineLevel="0" collapsed="false">
      <c r="A1320" s="22" t="s">
        <v>20</v>
      </c>
      <c r="B1320" s="22" t="n">
        <v>1</v>
      </c>
      <c r="C1320" s="22" t="s">
        <v>147</v>
      </c>
      <c r="D1320" s="22" t="s">
        <v>31</v>
      </c>
      <c r="E1320" s="22" t="s">
        <v>7326</v>
      </c>
      <c r="F1320" s="22" t="n">
        <v>12730088</v>
      </c>
      <c r="G1320" s="30" t="n">
        <v>46238</v>
      </c>
      <c r="H1320" s="22" t="n">
        <v>620190</v>
      </c>
      <c r="I1320" s="22" t="s">
        <v>8530</v>
      </c>
      <c r="J1320" s="31" t="n">
        <v>17.2</v>
      </c>
      <c r="K1320" s="26" t="n">
        <v>306.56</v>
      </c>
      <c r="L1320" s="26" t="n">
        <v>70.02</v>
      </c>
      <c r="M1320" s="22" t="s">
        <v>4802</v>
      </c>
      <c r="N1320" s="22" t="n">
        <f aca="false">MATCH(M1320,'Tabela Passaro'!$A$2:$A$1795,0)</f>
        <v>1150</v>
      </c>
      <c r="O1320" s="22" t="str">
        <f aca="false">INDEX('Tabela Passaro'!$C$2:$C$1795,$N1320)</f>
        <v>RECIFE</v>
      </c>
      <c r="P1320" s="22" t="str">
        <f aca="false">INDEX('Tabela Passaro'!$B$2:$B$1795,$N1320)</f>
        <v>PE</v>
      </c>
      <c r="Q1320" s="22" t="n">
        <f aca="false">INDEX('Tabela Passaro'!$F$2:$F$1795,$N1320)</f>
        <v>8</v>
      </c>
      <c r="R1320" s="32" t="n">
        <f aca="false">IF(J1320&lt;=10,INDEX('Tabela Passaro'!$G$2:$G$1795,$N1320),IF(J1320&lt;=30,INDEX('Tabela Passaro'!$H$2:$H$1795,$N1320),IF(J1320&lt;=50,INDEX('Tabela Passaro'!$I$2:$I$1795,$N1320),IF(J1320&lt;=70,INDEX('Tabela Passaro'!$J$2:$J$1795,$N1320),IF(J1320&lt;=100,INDEX('Tabela Passaro'!$K$2:$K$1795,$N1320),INDEX('Tabela Passaro'!$K$2:$K$1795,$N1320)+(J1320-100)*INDEX('Tabela Passaro'!$L$2:$L$1795,$N1320))))))</f>
        <v>66.55</v>
      </c>
      <c r="S1320" s="32" t="n">
        <f aca="false">K1320*INDEX('Tabela Passaro'!$M$2:$M$1795,$N1320)</f>
        <v>1.5328</v>
      </c>
      <c r="T1320" s="32" t="n">
        <f aca="false">K1320*INDEX('Tabela Passaro'!$N$2:$N$1795,$N1320)</f>
        <v>0.61312</v>
      </c>
      <c r="U1320" s="32" t="n">
        <f aca="false">INDEX('Tabela Passaro'!$O$2:$O$1795,$N1320)</f>
        <v>5</v>
      </c>
      <c r="V1320" s="32" t="n">
        <f aca="false">ROUNDUP(J1320/INDEX('Tabela Passaro'!$Q$2:$Q$1795,$N1320),0)*INDEX('Tabela Passaro'!$P$2:$P$1795,$N1320)</f>
        <v>5</v>
      </c>
      <c r="W1320" s="32" t="n">
        <f aca="false">INDEX('Tabela Passaro'!$R$2:$R$1795,$N1320)</f>
        <v>30</v>
      </c>
      <c r="X1320" s="32" t="n">
        <f aca="false">ROUNDUP(J1320/INDEX('Tabela Passaro'!$T$2:$T$1795,$N1320),0)*INDEX('Tabela Passaro'!$S$2:$S$1795,$N1320)</f>
        <v>0</v>
      </c>
      <c r="Y1320" s="32" t="n">
        <f aca="false">INDEX('Tabela Passaro'!$U$2:$U$1795,$N1320)</f>
        <v>0</v>
      </c>
      <c r="Z1320" s="32" t="n">
        <f aca="false">INDEX('Tabela Passaro'!$V$2:$V$1795,$N1320)</f>
        <v>0</v>
      </c>
      <c r="AA1320" s="32" t="n">
        <f aca="false">SUM(R1320:Z1320)</f>
        <v>108.69592</v>
      </c>
      <c r="AB1320" s="33" t="n">
        <f aca="false">INDEX(Premissas!$B$5:$B$13,MATCH(A1320,Premissas!$A$5:$A$13,0))</f>
        <v>0.07</v>
      </c>
      <c r="AC1320" s="32" t="n">
        <f aca="false">AA1320/(1-AB1320)-AA1320</f>
        <v>8.18141333333334</v>
      </c>
      <c r="AD1320" s="32" t="n">
        <f aca="false">ROUND(AA1320+AC1320,2)</f>
        <v>116.88</v>
      </c>
      <c r="AE1320" s="32" t="n">
        <f aca="false">AD1320-L1320</f>
        <v>46.86</v>
      </c>
      <c r="AF1320" s="34" t="n">
        <f aca="false">IF(L1320=0,0,AE1320/L1320)</f>
        <v>0.66923736075407</v>
      </c>
      <c r="AG1320" s="22" t="str">
        <f aca="false">IF(AD1320&lt;L1320,"PASSARO","ATUAL")</f>
        <v>ATUAL</v>
      </c>
      <c r="AH1320" s="22" t="str">
        <f aca="false">IF(P1320&lt;&gt;A1320,"Faixa cadastrada como "&amp;P1320&amp;" na tabela; preço aplicado pela UF do CEP","")</f>
        <v/>
      </c>
      <c r="AI1320" s="26" t="n">
        <v>135.71</v>
      </c>
      <c r="AJ1320" s="22" t="str">
        <f aca="false">INDEX('Tabela Passaro'!$X$2:$X$1795,$N1320)</f>
        <v>CAPITAL</v>
      </c>
    </row>
    <row r="1321" customFormat="false" ht="15" hidden="false" customHeight="false" outlineLevel="0" collapsed="false">
      <c r="A1321" s="22" t="s">
        <v>20</v>
      </c>
      <c r="B1321" s="22" t="n">
        <v>1</v>
      </c>
      <c r="C1321" s="22" t="s">
        <v>147</v>
      </c>
      <c r="D1321" s="22" t="s">
        <v>31</v>
      </c>
      <c r="E1321" s="22" t="s">
        <v>7326</v>
      </c>
      <c r="F1321" s="22" t="n">
        <v>112494</v>
      </c>
      <c r="G1321" s="30" t="n">
        <v>46239</v>
      </c>
      <c r="H1321" s="22" t="n">
        <v>594896</v>
      </c>
      <c r="I1321" s="22" t="s">
        <v>8531</v>
      </c>
      <c r="J1321" s="31" t="n">
        <v>18</v>
      </c>
      <c r="K1321" s="26" t="n">
        <v>359.49</v>
      </c>
      <c r="L1321" s="26" t="n">
        <v>87.09</v>
      </c>
      <c r="M1321" s="22" t="s">
        <v>4802</v>
      </c>
      <c r="N1321" s="22" t="n">
        <f aca="false">MATCH(M1321,'Tabela Passaro'!$A$2:$A$1795,0)</f>
        <v>1150</v>
      </c>
      <c r="O1321" s="22" t="str">
        <f aca="false">INDEX('Tabela Passaro'!$C$2:$C$1795,$N1321)</f>
        <v>RECIFE</v>
      </c>
      <c r="P1321" s="22" t="str">
        <f aca="false">INDEX('Tabela Passaro'!$B$2:$B$1795,$N1321)</f>
        <v>PE</v>
      </c>
      <c r="Q1321" s="22" t="n">
        <f aca="false">INDEX('Tabela Passaro'!$F$2:$F$1795,$N1321)</f>
        <v>8</v>
      </c>
      <c r="R1321" s="32" t="n">
        <f aca="false">IF(J1321&lt;=10,INDEX('Tabela Passaro'!$G$2:$G$1795,$N1321),IF(J1321&lt;=30,INDEX('Tabela Passaro'!$H$2:$H$1795,$N1321),IF(J1321&lt;=50,INDEX('Tabela Passaro'!$I$2:$I$1795,$N1321),IF(J1321&lt;=70,INDEX('Tabela Passaro'!$J$2:$J$1795,$N1321),IF(J1321&lt;=100,INDEX('Tabela Passaro'!$K$2:$K$1795,$N1321),INDEX('Tabela Passaro'!$K$2:$K$1795,$N1321)+(J1321-100)*INDEX('Tabela Passaro'!$L$2:$L$1795,$N1321))))))</f>
        <v>66.55</v>
      </c>
      <c r="S1321" s="32" t="n">
        <f aca="false">K1321*INDEX('Tabela Passaro'!$M$2:$M$1795,$N1321)</f>
        <v>1.79745</v>
      </c>
      <c r="T1321" s="32" t="n">
        <f aca="false">K1321*INDEX('Tabela Passaro'!$N$2:$N$1795,$N1321)</f>
        <v>0.71898</v>
      </c>
      <c r="U1321" s="32" t="n">
        <f aca="false">INDEX('Tabela Passaro'!$O$2:$O$1795,$N1321)</f>
        <v>5</v>
      </c>
      <c r="V1321" s="32" t="n">
        <f aca="false">ROUNDUP(J1321/INDEX('Tabela Passaro'!$Q$2:$Q$1795,$N1321),0)*INDEX('Tabela Passaro'!$P$2:$P$1795,$N1321)</f>
        <v>5</v>
      </c>
      <c r="W1321" s="32" t="n">
        <f aca="false">INDEX('Tabela Passaro'!$R$2:$R$1795,$N1321)</f>
        <v>30</v>
      </c>
      <c r="X1321" s="32" t="n">
        <f aca="false">ROUNDUP(J1321/INDEX('Tabela Passaro'!$T$2:$T$1795,$N1321),0)*INDEX('Tabela Passaro'!$S$2:$S$1795,$N1321)</f>
        <v>0</v>
      </c>
      <c r="Y1321" s="32" t="n">
        <f aca="false">INDEX('Tabela Passaro'!$U$2:$U$1795,$N1321)</f>
        <v>0</v>
      </c>
      <c r="Z1321" s="32" t="n">
        <f aca="false">INDEX('Tabela Passaro'!$V$2:$V$1795,$N1321)</f>
        <v>0</v>
      </c>
      <c r="AA1321" s="32" t="n">
        <f aca="false">SUM(R1321:Z1321)</f>
        <v>109.06643</v>
      </c>
      <c r="AB1321" s="33" t="n">
        <f aca="false">INDEX(Premissas!$B$5:$B$13,MATCH(A1321,Premissas!$A$5:$A$13,0))</f>
        <v>0.07</v>
      </c>
      <c r="AC1321" s="32" t="n">
        <f aca="false">AA1321/(1-AB1321)-AA1321</f>
        <v>8.20930118279571</v>
      </c>
      <c r="AD1321" s="32" t="n">
        <f aca="false">ROUND(AA1321+AC1321,2)</f>
        <v>117.28</v>
      </c>
      <c r="AE1321" s="32" t="n">
        <f aca="false">AD1321-L1321</f>
        <v>30.19</v>
      </c>
      <c r="AF1321" s="34" t="n">
        <f aca="false">IF(L1321=0,0,AE1321/L1321)</f>
        <v>0.346652887817201</v>
      </c>
      <c r="AG1321" s="22" t="str">
        <f aca="false">IF(AD1321&lt;L1321,"PASSARO","ATUAL")</f>
        <v>ATUAL</v>
      </c>
      <c r="AH1321" s="22" t="str">
        <f aca="false">IF(P1321&lt;&gt;A1321,"Faixa cadastrada como "&amp;P1321&amp;" na tabela; preço aplicado pela UF do CEP","")</f>
        <v/>
      </c>
      <c r="AI1321" s="26" t="n">
        <v>136.22</v>
      </c>
      <c r="AJ1321" s="22" t="str">
        <f aca="false">INDEX('Tabela Passaro'!$X$2:$X$1795,$N1321)</f>
        <v>CAPITAL</v>
      </c>
    </row>
    <row r="1322" customFormat="false" ht="15" hidden="false" customHeight="false" outlineLevel="0" collapsed="false">
      <c r="A1322" s="22" t="s">
        <v>20</v>
      </c>
      <c r="B1322" s="22" t="n">
        <v>1</v>
      </c>
      <c r="C1322" s="22" t="s">
        <v>147</v>
      </c>
      <c r="D1322" s="22" t="s">
        <v>31</v>
      </c>
      <c r="E1322" s="22" t="s">
        <v>7326</v>
      </c>
      <c r="F1322" s="22" t="n">
        <v>12736863</v>
      </c>
      <c r="G1322" s="30" t="n">
        <v>46239</v>
      </c>
      <c r="H1322" s="22" t="n">
        <v>620608</v>
      </c>
      <c r="I1322" s="22" t="s">
        <v>8532</v>
      </c>
      <c r="J1322" s="31" t="n">
        <v>17.2</v>
      </c>
      <c r="K1322" s="26" t="n">
        <v>314.31</v>
      </c>
      <c r="L1322" s="26" t="n">
        <v>69.74</v>
      </c>
      <c r="M1322" s="22" t="s">
        <v>4802</v>
      </c>
      <c r="N1322" s="22" t="n">
        <f aca="false">MATCH(M1322,'Tabela Passaro'!$A$2:$A$1795,0)</f>
        <v>1150</v>
      </c>
      <c r="O1322" s="22" t="str">
        <f aca="false">INDEX('Tabela Passaro'!$C$2:$C$1795,$N1322)</f>
        <v>RECIFE</v>
      </c>
      <c r="P1322" s="22" t="str">
        <f aca="false">INDEX('Tabela Passaro'!$B$2:$B$1795,$N1322)</f>
        <v>PE</v>
      </c>
      <c r="Q1322" s="22" t="n">
        <f aca="false">INDEX('Tabela Passaro'!$F$2:$F$1795,$N1322)</f>
        <v>8</v>
      </c>
      <c r="R1322" s="32" t="n">
        <f aca="false">IF(J1322&lt;=10,INDEX('Tabela Passaro'!$G$2:$G$1795,$N1322),IF(J1322&lt;=30,INDEX('Tabela Passaro'!$H$2:$H$1795,$N1322),IF(J1322&lt;=50,INDEX('Tabela Passaro'!$I$2:$I$1795,$N1322),IF(J1322&lt;=70,INDEX('Tabela Passaro'!$J$2:$J$1795,$N1322),IF(J1322&lt;=100,INDEX('Tabela Passaro'!$K$2:$K$1795,$N1322),INDEX('Tabela Passaro'!$K$2:$K$1795,$N1322)+(J1322-100)*INDEX('Tabela Passaro'!$L$2:$L$1795,$N1322))))))</f>
        <v>66.55</v>
      </c>
      <c r="S1322" s="32" t="n">
        <f aca="false">K1322*INDEX('Tabela Passaro'!$M$2:$M$1795,$N1322)</f>
        <v>1.57155</v>
      </c>
      <c r="T1322" s="32" t="n">
        <f aca="false">K1322*INDEX('Tabela Passaro'!$N$2:$N$1795,$N1322)</f>
        <v>0.62862</v>
      </c>
      <c r="U1322" s="32" t="n">
        <f aca="false">INDEX('Tabela Passaro'!$O$2:$O$1795,$N1322)</f>
        <v>5</v>
      </c>
      <c r="V1322" s="32" t="n">
        <f aca="false">ROUNDUP(J1322/INDEX('Tabela Passaro'!$Q$2:$Q$1795,$N1322),0)*INDEX('Tabela Passaro'!$P$2:$P$1795,$N1322)</f>
        <v>5</v>
      </c>
      <c r="W1322" s="32" t="n">
        <f aca="false">INDEX('Tabela Passaro'!$R$2:$R$1795,$N1322)</f>
        <v>30</v>
      </c>
      <c r="X1322" s="32" t="n">
        <f aca="false">ROUNDUP(J1322/INDEX('Tabela Passaro'!$T$2:$T$1795,$N1322),0)*INDEX('Tabela Passaro'!$S$2:$S$1795,$N1322)</f>
        <v>0</v>
      </c>
      <c r="Y1322" s="32" t="n">
        <f aca="false">INDEX('Tabela Passaro'!$U$2:$U$1795,$N1322)</f>
        <v>0</v>
      </c>
      <c r="Z1322" s="32" t="n">
        <f aca="false">INDEX('Tabela Passaro'!$V$2:$V$1795,$N1322)</f>
        <v>0</v>
      </c>
      <c r="AA1322" s="32" t="n">
        <f aca="false">SUM(R1322:Z1322)</f>
        <v>108.75017</v>
      </c>
      <c r="AB1322" s="33" t="n">
        <f aca="false">INDEX(Premissas!$B$5:$B$13,MATCH(A1322,Premissas!$A$5:$A$13,0))</f>
        <v>0.07</v>
      </c>
      <c r="AC1322" s="32" t="n">
        <f aca="false">AA1322/(1-AB1322)-AA1322</f>
        <v>8.18549666666668</v>
      </c>
      <c r="AD1322" s="32" t="n">
        <f aca="false">ROUND(AA1322+AC1322,2)</f>
        <v>116.94</v>
      </c>
      <c r="AE1322" s="32" t="n">
        <f aca="false">AD1322-L1322</f>
        <v>47.2</v>
      </c>
      <c r="AF1322" s="34" t="n">
        <f aca="false">IF(L1322=0,0,AE1322/L1322)</f>
        <v>0.676799541152854</v>
      </c>
      <c r="AG1322" s="22" t="str">
        <f aca="false">IF(AD1322&lt;L1322,"PASSARO","ATUAL")</f>
        <v>ATUAL</v>
      </c>
      <c r="AH1322" s="22" t="str">
        <f aca="false">IF(P1322&lt;&gt;A1322,"Faixa cadastrada como "&amp;P1322&amp;" na tabela; preço aplicado pela UF do CEP","")</f>
        <v/>
      </c>
      <c r="AI1322" s="26" t="n">
        <v>135.78</v>
      </c>
      <c r="AJ1322" s="22" t="str">
        <f aca="false">INDEX('Tabela Passaro'!$X$2:$X$1795,$N1322)</f>
        <v>CAPITAL</v>
      </c>
    </row>
    <row r="1323" customFormat="false" ht="15" hidden="false" customHeight="false" outlineLevel="0" collapsed="false">
      <c r="A1323" s="22" t="s">
        <v>20</v>
      </c>
      <c r="B1323" s="22" t="n">
        <v>1</v>
      </c>
      <c r="C1323" s="22" t="s">
        <v>147</v>
      </c>
      <c r="D1323" s="22" t="s">
        <v>31</v>
      </c>
      <c r="E1323" s="22" t="s">
        <v>7326</v>
      </c>
      <c r="F1323" s="22" t="n">
        <v>12743749</v>
      </c>
      <c r="G1323" s="30" t="n">
        <v>46240</v>
      </c>
      <c r="H1323" s="22" t="n">
        <v>621027</v>
      </c>
      <c r="I1323" s="22" t="s">
        <v>8533</v>
      </c>
      <c r="J1323" s="31" t="n">
        <v>17.2</v>
      </c>
      <c r="K1323" s="26" t="n">
        <v>310.68</v>
      </c>
      <c r="L1323" s="26" t="n">
        <v>69.52</v>
      </c>
      <c r="M1323" s="22" t="s">
        <v>4802</v>
      </c>
      <c r="N1323" s="22" t="n">
        <f aca="false">MATCH(M1323,'Tabela Passaro'!$A$2:$A$1795,0)</f>
        <v>1150</v>
      </c>
      <c r="O1323" s="22" t="str">
        <f aca="false">INDEX('Tabela Passaro'!$C$2:$C$1795,$N1323)</f>
        <v>RECIFE</v>
      </c>
      <c r="P1323" s="22" t="str">
        <f aca="false">INDEX('Tabela Passaro'!$B$2:$B$1795,$N1323)</f>
        <v>PE</v>
      </c>
      <c r="Q1323" s="22" t="n">
        <f aca="false">INDEX('Tabela Passaro'!$F$2:$F$1795,$N1323)</f>
        <v>8</v>
      </c>
      <c r="R1323" s="32" t="n">
        <f aca="false">IF(J1323&lt;=10,INDEX('Tabela Passaro'!$G$2:$G$1795,$N1323),IF(J1323&lt;=30,INDEX('Tabela Passaro'!$H$2:$H$1795,$N1323),IF(J1323&lt;=50,INDEX('Tabela Passaro'!$I$2:$I$1795,$N1323),IF(J1323&lt;=70,INDEX('Tabela Passaro'!$J$2:$J$1795,$N1323),IF(J1323&lt;=100,INDEX('Tabela Passaro'!$K$2:$K$1795,$N1323),INDEX('Tabela Passaro'!$K$2:$K$1795,$N1323)+(J1323-100)*INDEX('Tabela Passaro'!$L$2:$L$1795,$N1323))))))</f>
        <v>66.55</v>
      </c>
      <c r="S1323" s="32" t="n">
        <f aca="false">K1323*INDEX('Tabela Passaro'!$M$2:$M$1795,$N1323)</f>
        <v>1.5534</v>
      </c>
      <c r="T1323" s="32" t="n">
        <f aca="false">K1323*INDEX('Tabela Passaro'!$N$2:$N$1795,$N1323)</f>
        <v>0.62136</v>
      </c>
      <c r="U1323" s="32" t="n">
        <f aca="false">INDEX('Tabela Passaro'!$O$2:$O$1795,$N1323)</f>
        <v>5</v>
      </c>
      <c r="V1323" s="32" t="n">
        <f aca="false">ROUNDUP(J1323/INDEX('Tabela Passaro'!$Q$2:$Q$1795,$N1323),0)*INDEX('Tabela Passaro'!$P$2:$P$1795,$N1323)</f>
        <v>5</v>
      </c>
      <c r="W1323" s="32" t="n">
        <f aca="false">INDEX('Tabela Passaro'!$R$2:$R$1795,$N1323)</f>
        <v>30</v>
      </c>
      <c r="X1323" s="32" t="n">
        <f aca="false">ROUNDUP(J1323/INDEX('Tabela Passaro'!$T$2:$T$1795,$N1323),0)*INDEX('Tabela Passaro'!$S$2:$S$1795,$N1323)</f>
        <v>0</v>
      </c>
      <c r="Y1323" s="32" t="n">
        <f aca="false">INDEX('Tabela Passaro'!$U$2:$U$1795,$N1323)</f>
        <v>0</v>
      </c>
      <c r="Z1323" s="32" t="n">
        <f aca="false">INDEX('Tabela Passaro'!$V$2:$V$1795,$N1323)</f>
        <v>0</v>
      </c>
      <c r="AA1323" s="32" t="n">
        <f aca="false">SUM(R1323:Z1323)</f>
        <v>108.72476</v>
      </c>
      <c r="AB1323" s="33" t="n">
        <f aca="false">INDEX(Premissas!$B$5:$B$13,MATCH(A1323,Premissas!$A$5:$A$13,0))</f>
        <v>0.07</v>
      </c>
      <c r="AC1323" s="32" t="n">
        <f aca="false">AA1323/(1-AB1323)-AA1323</f>
        <v>8.18358408602151</v>
      </c>
      <c r="AD1323" s="32" t="n">
        <f aca="false">ROUND(AA1323+AC1323,2)</f>
        <v>116.91</v>
      </c>
      <c r="AE1323" s="32" t="n">
        <f aca="false">AD1323-L1323</f>
        <v>47.39</v>
      </c>
      <c r="AF1323" s="34" t="n">
        <f aca="false">IF(L1323=0,0,AE1323/L1323)</f>
        <v>0.681674338319908</v>
      </c>
      <c r="AG1323" s="22" t="str">
        <f aca="false">IF(AD1323&lt;L1323,"PASSARO","ATUAL")</f>
        <v>ATUAL</v>
      </c>
      <c r="AH1323" s="22" t="str">
        <f aca="false">IF(P1323&lt;&gt;A1323,"Faixa cadastrada como "&amp;P1323&amp;" na tabela; preço aplicado pela UF do CEP","")</f>
        <v/>
      </c>
      <c r="AI1323" s="26" t="n">
        <v>135.75</v>
      </c>
      <c r="AJ1323" s="22" t="str">
        <f aca="false">INDEX('Tabela Passaro'!$X$2:$X$1795,$N1323)</f>
        <v>CAPITAL</v>
      </c>
    </row>
    <row r="1324" customFormat="false" ht="15" hidden="false" customHeight="false" outlineLevel="0" collapsed="false">
      <c r="A1324" s="22" t="s">
        <v>20</v>
      </c>
      <c r="B1324" s="22" t="n">
        <v>1</v>
      </c>
      <c r="C1324" s="22" t="s">
        <v>147</v>
      </c>
      <c r="D1324" s="22" t="s">
        <v>31</v>
      </c>
      <c r="E1324" s="22" t="s">
        <v>7326</v>
      </c>
      <c r="F1324" s="22" t="n">
        <v>12773536</v>
      </c>
      <c r="G1324" s="30" t="n">
        <v>46246</v>
      </c>
      <c r="H1324" s="22" t="n">
        <v>624008</v>
      </c>
      <c r="I1324" s="22" t="s">
        <v>8534</v>
      </c>
      <c r="J1324" s="31" t="n">
        <v>22.3</v>
      </c>
      <c r="K1324" s="26" t="n">
        <v>644.97</v>
      </c>
      <c r="L1324" s="26" t="n">
        <v>96.39</v>
      </c>
      <c r="M1324" s="22" t="s">
        <v>4802</v>
      </c>
      <c r="N1324" s="22" t="n">
        <f aca="false">MATCH(M1324,'Tabela Passaro'!$A$2:$A$1795,0)</f>
        <v>1150</v>
      </c>
      <c r="O1324" s="22" t="str">
        <f aca="false">INDEX('Tabela Passaro'!$C$2:$C$1795,$N1324)</f>
        <v>RECIFE</v>
      </c>
      <c r="P1324" s="22" t="str">
        <f aca="false">INDEX('Tabela Passaro'!$B$2:$B$1795,$N1324)</f>
        <v>PE</v>
      </c>
      <c r="Q1324" s="22" t="n">
        <f aca="false">INDEX('Tabela Passaro'!$F$2:$F$1795,$N1324)</f>
        <v>8</v>
      </c>
      <c r="R1324" s="32" t="n">
        <f aca="false">IF(J1324&lt;=10,INDEX('Tabela Passaro'!$G$2:$G$1795,$N1324),IF(J1324&lt;=30,INDEX('Tabela Passaro'!$H$2:$H$1795,$N1324),IF(J1324&lt;=50,INDEX('Tabela Passaro'!$I$2:$I$1795,$N1324),IF(J1324&lt;=70,INDEX('Tabela Passaro'!$J$2:$J$1795,$N1324),IF(J1324&lt;=100,INDEX('Tabela Passaro'!$K$2:$K$1795,$N1324),INDEX('Tabela Passaro'!$K$2:$K$1795,$N1324)+(J1324-100)*INDEX('Tabela Passaro'!$L$2:$L$1795,$N1324))))))</f>
        <v>66.55</v>
      </c>
      <c r="S1324" s="32" t="n">
        <f aca="false">K1324*INDEX('Tabela Passaro'!$M$2:$M$1795,$N1324)</f>
        <v>3.22485</v>
      </c>
      <c r="T1324" s="32" t="n">
        <f aca="false">K1324*INDEX('Tabela Passaro'!$N$2:$N$1795,$N1324)</f>
        <v>1.28994</v>
      </c>
      <c r="U1324" s="32" t="n">
        <f aca="false">INDEX('Tabela Passaro'!$O$2:$O$1795,$N1324)</f>
        <v>5</v>
      </c>
      <c r="V1324" s="32" t="n">
        <f aca="false">ROUNDUP(J1324/INDEX('Tabela Passaro'!$Q$2:$Q$1795,$N1324),0)*INDEX('Tabela Passaro'!$P$2:$P$1795,$N1324)</f>
        <v>5</v>
      </c>
      <c r="W1324" s="32" t="n">
        <f aca="false">INDEX('Tabela Passaro'!$R$2:$R$1795,$N1324)</f>
        <v>30</v>
      </c>
      <c r="X1324" s="32" t="n">
        <f aca="false">ROUNDUP(J1324/INDEX('Tabela Passaro'!$T$2:$T$1795,$N1324),0)*INDEX('Tabela Passaro'!$S$2:$S$1795,$N1324)</f>
        <v>0</v>
      </c>
      <c r="Y1324" s="32" t="n">
        <f aca="false">INDEX('Tabela Passaro'!$U$2:$U$1795,$N1324)</f>
        <v>0</v>
      </c>
      <c r="Z1324" s="32" t="n">
        <f aca="false">INDEX('Tabela Passaro'!$V$2:$V$1795,$N1324)</f>
        <v>0</v>
      </c>
      <c r="AA1324" s="32" t="n">
        <f aca="false">SUM(R1324:Z1324)</f>
        <v>111.06479</v>
      </c>
      <c r="AB1324" s="33" t="n">
        <f aca="false">INDEX(Premissas!$B$5:$B$13,MATCH(A1324,Premissas!$A$5:$A$13,0))</f>
        <v>0.07</v>
      </c>
      <c r="AC1324" s="32" t="n">
        <f aca="false">AA1324/(1-AB1324)-AA1324</f>
        <v>8.3597153763441</v>
      </c>
      <c r="AD1324" s="32" t="n">
        <f aca="false">ROUND(AA1324+AC1324,2)</f>
        <v>119.42</v>
      </c>
      <c r="AE1324" s="32" t="n">
        <f aca="false">AD1324-L1324</f>
        <v>23.03</v>
      </c>
      <c r="AF1324" s="34" t="n">
        <f aca="false">IF(L1324=0,0,AE1324/L1324)</f>
        <v>0.238925199709513</v>
      </c>
      <c r="AG1324" s="22" t="str">
        <f aca="false">IF(AD1324&lt;L1324,"PASSARO","ATUAL")</f>
        <v>ATUAL</v>
      </c>
      <c r="AH1324" s="22" t="str">
        <f aca="false">IF(P1324&lt;&gt;A1324,"Faixa cadastrada como "&amp;P1324&amp;" na tabela; preço aplicado pela UF do CEP","")</f>
        <v/>
      </c>
      <c r="AI1324" s="26" t="n">
        <v>141.4</v>
      </c>
      <c r="AJ1324" s="22" t="str">
        <f aca="false">INDEX('Tabela Passaro'!$X$2:$X$1795,$N1324)</f>
        <v>CAPITAL</v>
      </c>
    </row>
    <row r="1325" customFormat="false" ht="15" hidden="false" customHeight="false" outlineLevel="0" collapsed="false">
      <c r="A1325" s="22" t="s">
        <v>20</v>
      </c>
      <c r="B1325" s="22" t="n">
        <v>1</v>
      </c>
      <c r="C1325" s="22" t="s">
        <v>147</v>
      </c>
      <c r="D1325" s="22" t="s">
        <v>31</v>
      </c>
      <c r="E1325" s="22" t="s">
        <v>7326</v>
      </c>
      <c r="F1325" s="22" t="n">
        <v>12790097</v>
      </c>
      <c r="G1325" s="30" t="n">
        <v>46248</v>
      </c>
      <c r="H1325" s="22" t="n">
        <v>625150</v>
      </c>
      <c r="I1325" s="22" t="s">
        <v>8535</v>
      </c>
      <c r="J1325" s="31" t="n">
        <v>19.5</v>
      </c>
      <c r="K1325" s="26" t="n">
        <v>546.07</v>
      </c>
      <c r="L1325" s="26" t="n">
        <v>90.63</v>
      </c>
      <c r="M1325" s="22" t="s">
        <v>4802</v>
      </c>
      <c r="N1325" s="22" t="n">
        <f aca="false">MATCH(M1325,'Tabela Passaro'!$A$2:$A$1795,0)</f>
        <v>1150</v>
      </c>
      <c r="O1325" s="22" t="str">
        <f aca="false">INDEX('Tabela Passaro'!$C$2:$C$1795,$N1325)</f>
        <v>RECIFE</v>
      </c>
      <c r="P1325" s="22" t="str">
        <f aca="false">INDEX('Tabela Passaro'!$B$2:$B$1795,$N1325)</f>
        <v>PE</v>
      </c>
      <c r="Q1325" s="22" t="n">
        <f aca="false">INDEX('Tabela Passaro'!$F$2:$F$1795,$N1325)</f>
        <v>8</v>
      </c>
      <c r="R1325" s="32" t="n">
        <f aca="false">IF(J1325&lt;=10,INDEX('Tabela Passaro'!$G$2:$G$1795,$N1325),IF(J1325&lt;=30,INDEX('Tabela Passaro'!$H$2:$H$1795,$N1325),IF(J1325&lt;=50,INDEX('Tabela Passaro'!$I$2:$I$1795,$N1325),IF(J1325&lt;=70,INDEX('Tabela Passaro'!$J$2:$J$1795,$N1325),IF(J1325&lt;=100,INDEX('Tabela Passaro'!$K$2:$K$1795,$N1325),INDEX('Tabela Passaro'!$K$2:$K$1795,$N1325)+(J1325-100)*INDEX('Tabela Passaro'!$L$2:$L$1795,$N1325))))))</f>
        <v>66.55</v>
      </c>
      <c r="S1325" s="32" t="n">
        <f aca="false">K1325*INDEX('Tabela Passaro'!$M$2:$M$1795,$N1325)</f>
        <v>2.73035</v>
      </c>
      <c r="T1325" s="32" t="n">
        <f aca="false">K1325*INDEX('Tabela Passaro'!$N$2:$N$1795,$N1325)</f>
        <v>1.09214</v>
      </c>
      <c r="U1325" s="32" t="n">
        <f aca="false">INDEX('Tabela Passaro'!$O$2:$O$1795,$N1325)</f>
        <v>5</v>
      </c>
      <c r="V1325" s="32" t="n">
        <f aca="false">ROUNDUP(J1325/INDEX('Tabela Passaro'!$Q$2:$Q$1795,$N1325),0)*INDEX('Tabela Passaro'!$P$2:$P$1795,$N1325)</f>
        <v>5</v>
      </c>
      <c r="W1325" s="32" t="n">
        <f aca="false">INDEX('Tabela Passaro'!$R$2:$R$1795,$N1325)</f>
        <v>30</v>
      </c>
      <c r="X1325" s="32" t="n">
        <f aca="false">ROUNDUP(J1325/INDEX('Tabela Passaro'!$T$2:$T$1795,$N1325),0)*INDEX('Tabela Passaro'!$S$2:$S$1795,$N1325)</f>
        <v>0</v>
      </c>
      <c r="Y1325" s="32" t="n">
        <f aca="false">INDEX('Tabela Passaro'!$U$2:$U$1795,$N1325)</f>
        <v>0</v>
      </c>
      <c r="Z1325" s="32" t="n">
        <f aca="false">INDEX('Tabela Passaro'!$V$2:$V$1795,$N1325)</f>
        <v>0</v>
      </c>
      <c r="AA1325" s="32" t="n">
        <f aca="false">SUM(R1325:Z1325)</f>
        <v>110.37249</v>
      </c>
      <c r="AB1325" s="33" t="n">
        <f aca="false">INDEX(Premissas!$B$5:$B$13,MATCH(A1325,Premissas!$A$5:$A$13,0))</f>
        <v>0.07</v>
      </c>
      <c r="AC1325" s="32" t="n">
        <f aca="false">AA1325/(1-AB1325)-AA1325</f>
        <v>8.30760677419356</v>
      </c>
      <c r="AD1325" s="32" t="n">
        <f aca="false">ROUND(AA1325+AC1325,2)</f>
        <v>118.68</v>
      </c>
      <c r="AE1325" s="32" t="n">
        <f aca="false">AD1325-L1325</f>
        <v>28.05</v>
      </c>
      <c r="AF1325" s="34" t="n">
        <f aca="false">IF(L1325=0,0,AE1325/L1325)</f>
        <v>0.30950016550811</v>
      </c>
      <c r="AG1325" s="22" t="str">
        <f aca="false">IF(AD1325&lt;L1325,"PASSARO","ATUAL")</f>
        <v>ATUAL</v>
      </c>
      <c r="AH1325" s="22" t="str">
        <f aca="false">IF(P1325&lt;&gt;A1325,"Faixa cadastrada como "&amp;P1325&amp;" na tabela; preço aplicado pela UF do CEP","")</f>
        <v/>
      </c>
      <c r="AI1325" s="26" t="n">
        <v>138.99</v>
      </c>
      <c r="AJ1325" s="22" t="str">
        <f aca="false">INDEX('Tabela Passaro'!$X$2:$X$1795,$N1325)</f>
        <v>CAPITAL</v>
      </c>
    </row>
    <row r="1326" customFormat="false" ht="15" hidden="false" customHeight="false" outlineLevel="0" collapsed="false">
      <c r="A1326" s="22" t="s">
        <v>20</v>
      </c>
      <c r="B1326" s="22" t="n">
        <v>1</v>
      </c>
      <c r="C1326" s="22" t="s">
        <v>147</v>
      </c>
      <c r="D1326" s="22" t="s">
        <v>31</v>
      </c>
      <c r="E1326" s="22" t="s">
        <v>7326</v>
      </c>
      <c r="F1326" s="22" t="n">
        <v>12808895</v>
      </c>
      <c r="G1326" s="30" t="n">
        <v>46252</v>
      </c>
      <c r="H1326" s="22" t="n">
        <v>626058</v>
      </c>
      <c r="I1326" s="22" t="s">
        <v>8536</v>
      </c>
      <c r="J1326" s="31" t="n">
        <v>17.2</v>
      </c>
      <c r="K1326" s="26" t="n">
        <v>346.49</v>
      </c>
      <c r="L1326" s="26" t="n">
        <v>66.51</v>
      </c>
      <c r="M1326" s="22" t="s">
        <v>4802</v>
      </c>
      <c r="N1326" s="22" t="n">
        <f aca="false">MATCH(M1326,'Tabela Passaro'!$A$2:$A$1795,0)</f>
        <v>1150</v>
      </c>
      <c r="O1326" s="22" t="str">
        <f aca="false">INDEX('Tabela Passaro'!$C$2:$C$1795,$N1326)</f>
        <v>RECIFE</v>
      </c>
      <c r="P1326" s="22" t="str">
        <f aca="false">INDEX('Tabela Passaro'!$B$2:$B$1795,$N1326)</f>
        <v>PE</v>
      </c>
      <c r="Q1326" s="22" t="n">
        <f aca="false">INDEX('Tabela Passaro'!$F$2:$F$1795,$N1326)</f>
        <v>8</v>
      </c>
      <c r="R1326" s="32" t="n">
        <f aca="false">IF(J1326&lt;=10,INDEX('Tabela Passaro'!$G$2:$G$1795,$N1326),IF(J1326&lt;=30,INDEX('Tabela Passaro'!$H$2:$H$1795,$N1326),IF(J1326&lt;=50,INDEX('Tabela Passaro'!$I$2:$I$1795,$N1326),IF(J1326&lt;=70,INDEX('Tabela Passaro'!$J$2:$J$1795,$N1326),IF(J1326&lt;=100,INDEX('Tabela Passaro'!$K$2:$K$1795,$N1326),INDEX('Tabela Passaro'!$K$2:$K$1795,$N1326)+(J1326-100)*INDEX('Tabela Passaro'!$L$2:$L$1795,$N1326))))))</f>
        <v>66.55</v>
      </c>
      <c r="S1326" s="32" t="n">
        <f aca="false">K1326*INDEX('Tabela Passaro'!$M$2:$M$1795,$N1326)</f>
        <v>1.73245</v>
      </c>
      <c r="T1326" s="32" t="n">
        <f aca="false">K1326*INDEX('Tabela Passaro'!$N$2:$N$1795,$N1326)</f>
        <v>0.69298</v>
      </c>
      <c r="U1326" s="32" t="n">
        <f aca="false">INDEX('Tabela Passaro'!$O$2:$O$1795,$N1326)</f>
        <v>5</v>
      </c>
      <c r="V1326" s="32" t="n">
        <f aca="false">ROUNDUP(J1326/INDEX('Tabela Passaro'!$Q$2:$Q$1795,$N1326),0)*INDEX('Tabela Passaro'!$P$2:$P$1795,$N1326)</f>
        <v>5</v>
      </c>
      <c r="W1326" s="32" t="n">
        <f aca="false">INDEX('Tabela Passaro'!$R$2:$R$1795,$N1326)</f>
        <v>30</v>
      </c>
      <c r="X1326" s="32" t="n">
        <f aca="false">ROUNDUP(J1326/INDEX('Tabela Passaro'!$T$2:$T$1795,$N1326),0)*INDEX('Tabela Passaro'!$S$2:$S$1795,$N1326)</f>
        <v>0</v>
      </c>
      <c r="Y1326" s="32" t="n">
        <f aca="false">INDEX('Tabela Passaro'!$U$2:$U$1795,$N1326)</f>
        <v>0</v>
      </c>
      <c r="Z1326" s="32" t="n">
        <f aca="false">INDEX('Tabela Passaro'!$V$2:$V$1795,$N1326)</f>
        <v>0</v>
      </c>
      <c r="AA1326" s="32" t="n">
        <f aca="false">SUM(R1326:Z1326)</f>
        <v>108.97543</v>
      </c>
      <c r="AB1326" s="33" t="n">
        <f aca="false">INDEX(Premissas!$B$5:$B$13,MATCH(A1326,Premissas!$A$5:$A$13,0))</f>
        <v>0.07</v>
      </c>
      <c r="AC1326" s="32" t="n">
        <f aca="false">AA1326/(1-AB1326)-AA1326</f>
        <v>8.20245172043012</v>
      </c>
      <c r="AD1326" s="32" t="n">
        <f aca="false">ROUND(AA1326+AC1326,2)</f>
        <v>117.18</v>
      </c>
      <c r="AE1326" s="32" t="n">
        <f aca="false">AD1326-L1326</f>
        <v>50.67</v>
      </c>
      <c r="AF1326" s="34" t="n">
        <f aca="false">IF(L1326=0,0,AE1326/L1326)</f>
        <v>0.761840324763194</v>
      </c>
      <c r="AG1326" s="22" t="str">
        <f aca="false">IF(AD1326&lt;L1326,"PASSARO","ATUAL")</f>
        <v>ATUAL</v>
      </c>
      <c r="AH1326" s="22" t="str">
        <f aca="false">IF(P1326&lt;&gt;A1326,"Faixa cadastrada como "&amp;P1326&amp;" na tabela; preço aplicado pela UF do CEP","")</f>
        <v/>
      </c>
      <c r="AI1326" s="26" t="n">
        <v>136.1</v>
      </c>
      <c r="AJ1326" s="22" t="str">
        <f aca="false">INDEX('Tabela Passaro'!$X$2:$X$1795,$N1326)</f>
        <v>CAPITAL</v>
      </c>
    </row>
    <row r="1327" customFormat="false" ht="15" hidden="false" customHeight="false" outlineLevel="0" collapsed="false">
      <c r="A1327" s="22" t="s">
        <v>20</v>
      </c>
      <c r="B1327" s="22" t="n">
        <v>1</v>
      </c>
      <c r="C1327" s="22" t="s">
        <v>147</v>
      </c>
      <c r="D1327" s="22" t="s">
        <v>31</v>
      </c>
      <c r="E1327" s="22" t="s">
        <v>7326</v>
      </c>
      <c r="F1327" s="22" t="n">
        <v>12809011</v>
      </c>
      <c r="G1327" s="30" t="n">
        <v>46252</v>
      </c>
      <c r="H1327" s="22" t="n">
        <v>626449</v>
      </c>
      <c r="I1327" s="22" t="s">
        <v>8537</v>
      </c>
      <c r="J1327" s="31" t="n">
        <v>20.8</v>
      </c>
      <c r="K1327" s="26" t="n">
        <v>610.42</v>
      </c>
      <c r="L1327" s="26" t="n">
        <v>95.37</v>
      </c>
      <c r="M1327" s="22" t="s">
        <v>4802</v>
      </c>
      <c r="N1327" s="22" t="n">
        <f aca="false">MATCH(M1327,'Tabela Passaro'!$A$2:$A$1795,0)</f>
        <v>1150</v>
      </c>
      <c r="O1327" s="22" t="str">
        <f aca="false">INDEX('Tabela Passaro'!$C$2:$C$1795,$N1327)</f>
        <v>RECIFE</v>
      </c>
      <c r="P1327" s="22" t="str">
        <f aca="false">INDEX('Tabela Passaro'!$B$2:$B$1795,$N1327)</f>
        <v>PE</v>
      </c>
      <c r="Q1327" s="22" t="n">
        <f aca="false">INDEX('Tabela Passaro'!$F$2:$F$1795,$N1327)</f>
        <v>8</v>
      </c>
      <c r="R1327" s="32" t="n">
        <f aca="false">IF(J1327&lt;=10,INDEX('Tabela Passaro'!$G$2:$G$1795,$N1327),IF(J1327&lt;=30,INDEX('Tabela Passaro'!$H$2:$H$1795,$N1327),IF(J1327&lt;=50,INDEX('Tabela Passaro'!$I$2:$I$1795,$N1327),IF(J1327&lt;=70,INDEX('Tabela Passaro'!$J$2:$J$1795,$N1327),IF(J1327&lt;=100,INDEX('Tabela Passaro'!$K$2:$K$1795,$N1327),INDEX('Tabela Passaro'!$K$2:$K$1795,$N1327)+(J1327-100)*INDEX('Tabela Passaro'!$L$2:$L$1795,$N1327))))))</f>
        <v>66.55</v>
      </c>
      <c r="S1327" s="32" t="n">
        <f aca="false">K1327*INDEX('Tabela Passaro'!$M$2:$M$1795,$N1327)</f>
        <v>3.0521</v>
      </c>
      <c r="T1327" s="32" t="n">
        <f aca="false">K1327*INDEX('Tabela Passaro'!$N$2:$N$1795,$N1327)</f>
        <v>1.22084</v>
      </c>
      <c r="U1327" s="32" t="n">
        <f aca="false">INDEX('Tabela Passaro'!$O$2:$O$1795,$N1327)</f>
        <v>5</v>
      </c>
      <c r="V1327" s="32" t="n">
        <f aca="false">ROUNDUP(J1327/INDEX('Tabela Passaro'!$Q$2:$Q$1795,$N1327),0)*INDEX('Tabela Passaro'!$P$2:$P$1795,$N1327)</f>
        <v>5</v>
      </c>
      <c r="W1327" s="32" t="n">
        <f aca="false">INDEX('Tabela Passaro'!$R$2:$R$1795,$N1327)</f>
        <v>30</v>
      </c>
      <c r="X1327" s="32" t="n">
        <f aca="false">ROUNDUP(J1327/INDEX('Tabela Passaro'!$T$2:$T$1795,$N1327),0)*INDEX('Tabela Passaro'!$S$2:$S$1795,$N1327)</f>
        <v>0</v>
      </c>
      <c r="Y1327" s="32" t="n">
        <f aca="false">INDEX('Tabela Passaro'!$U$2:$U$1795,$N1327)</f>
        <v>0</v>
      </c>
      <c r="Z1327" s="32" t="n">
        <f aca="false">INDEX('Tabela Passaro'!$V$2:$V$1795,$N1327)</f>
        <v>0</v>
      </c>
      <c r="AA1327" s="32" t="n">
        <f aca="false">SUM(R1327:Z1327)</f>
        <v>110.82294</v>
      </c>
      <c r="AB1327" s="33" t="n">
        <f aca="false">INDEX(Premissas!$B$5:$B$13,MATCH(A1327,Premissas!$A$5:$A$13,0))</f>
        <v>0.07</v>
      </c>
      <c r="AC1327" s="32" t="n">
        <f aca="false">AA1327/(1-AB1327)-AA1327</f>
        <v>8.34151161290323</v>
      </c>
      <c r="AD1327" s="32" t="n">
        <f aca="false">ROUND(AA1327+AC1327,2)</f>
        <v>119.16</v>
      </c>
      <c r="AE1327" s="32" t="n">
        <f aca="false">AD1327-L1327</f>
        <v>23.79</v>
      </c>
      <c r="AF1327" s="34" t="n">
        <f aca="false">IF(L1327=0,0,AE1327/L1327)</f>
        <v>0.249449512425291</v>
      </c>
      <c r="AG1327" s="22" t="str">
        <f aca="false">IF(AD1327&lt;L1327,"PASSARO","ATUAL")</f>
        <v>ATUAL</v>
      </c>
      <c r="AH1327" s="22" t="str">
        <f aca="false">IF(P1327&lt;&gt;A1327,"Faixa cadastrada como "&amp;P1327&amp;" na tabela; preço aplicado pela UF do CEP","")</f>
        <v/>
      </c>
      <c r="AI1327" s="26" t="n">
        <v>140.1</v>
      </c>
      <c r="AJ1327" s="22" t="str">
        <f aca="false">INDEX('Tabela Passaro'!$X$2:$X$1795,$N1327)</f>
        <v>CAPITAL</v>
      </c>
    </row>
    <row r="1328" customFormat="false" ht="15" hidden="false" customHeight="false" outlineLevel="0" collapsed="false">
      <c r="A1328" s="22" t="s">
        <v>20</v>
      </c>
      <c r="B1328" s="22" t="n">
        <v>1</v>
      </c>
      <c r="C1328" s="22" t="s">
        <v>147</v>
      </c>
      <c r="D1328" s="22" t="s">
        <v>31</v>
      </c>
      <c r="E1328" s="22" t="s">
        <v>7326</v>
      </c>
      <c r="F1328" s="22" t="n">
        <v>12808758</v>
      </c>
      <c r="G1328" s="30" t="n">
        <v>46252</v>
      </c>
      <c r="H1328" s="22" t="n">
        <v>626468</v>
      </c>
      <c r="I1328" s="22" t="s">
        <v>8439</v>
      </c>
      <c r="J1328" s="31" t="n">
        <v>17.2</v>
      </c>
      <c r="K1328" s="26" t="n">
        <v>301.3</v>
      </c>
      <c r="L1328" s="26" t="n">
        <v>69.3</v>
      </c>
      <c r="M1328" s="22" t="s">
        <v>4802</v>
      </c>
      <c r="N1328" s="22" t="n">
        <f aca="false">MATCH(M1328,'Tabela Passaro'!$A$2:$A$1795,0)</f>
        <v>1150</v>
      </c>
      <c r="O1328" s="22" t="str">
        <f aca="false">INDEX('Tabela Passaro'!$C$2:$C$1795,$N1328)</f>
        <v>RECIFE</v>
      </c>
      <c r="P1328" s="22" t="str">
        <f aca="false">INDEX('Tabela Passaro'!$B$2:$B$1795,$N1328)</f>
        <v>PE</v>
      </c>
      <c r="Q1328" s="22" t="n">
        <f aca="false">INDEX('Tabela Passaro'!$F$2:$F$1795,$N1328)</f>
        <v>8</v>
      </c>
      <c r="R1328" s="32" t="n">
        <f aca="false">IF(J1328&lt;=10,INDEX('Tabela Passaro'!$G$2:$G$1795,$N1328),IF(J1328&lt;=30,INDEX('Tabela Passaro'!$H$2:$H$1795,$N1328),IF(J1328&lt;=50,INDEX('Tabela Passaro'!$I$2:$I$1795,$N1328),IF(J1328&lt;=70,INDEX('Tabela Passaro'!$J$2:$J$1795,$N1328),IF(J1328&lt;=100,INDEX('Tabela Passaro'!$K$2:$K$1795,$N1328),INDEX('Tabela Passaro'!$K$2:$K$1795,$N1328)+(J1328-100)*INDEX('Tabela Passaro'!$L$2:$L$1795,$N1328))))))</f>
        <v>66.55</v>
      </c>
      <c r="S1328" s="32" t="n">
        <f aca="false">K1328*INDEX('Tabela Passaro'!$M$2:$M$1795,$N1328)</f>
        <v>1.5065</v>
      </c>
      <c r="T1328" s="32" t="n">
        <f aca="false">K1328*INDEX('Tabela Passaro'!$N$2:$N$1795,$N1328)</f>
        <v>0.6026</v>
      </c>
      <c r="U1328" s="32" t="n">
        <f aca="false">INDEX('Tabela Passaro'!$O$2:$O$1795,$N1328)</f>
        <v>5</v>
      </c>
      <c r="V1328" s="32" t="n">
        <f aca="false">ROUNDUP(J1328/INDEX('Tabela Passaro'!$Q$2:$Q$1795,$N1328),0)*INDEX('Tabela Passaro'!$P$2:$P$1795,$N1328)</f>
        <v>5</v>
      </c>
      <c r="W1328" s="32" t="n">
        <f aca="false">INDEX('Tabela Passaro'!$R$2:$R$1795,$N1328)</f>
        <v>30</v>
      </c>
      <c r="X1328" s="32" t="n">
        <f aca="false">ROUNDUP(J1328/INDEX('Tabela Passaro'!$T$2:$T$1795,$N1328),0)*INDEX('Tabela Passaro'!$S$2:$S$1795,$N1328)</f>
        <v>0</v>
      </c>
      <c r="Y1328" s="32" t="n">
        <f aca="false">INDEX('Tabela Passaro'!$U$2:$U$1795,$N1328)</f>
        <v>0</v>
      </c>
      <c r="Z1328" s="32" t="n">
        <f aca="false">INDEX('Tabela Passaro'!$V$2:$V$1795,$N1328)</f>
        <v>0</v>
      </c>
      <c r="AA1328" s="32" t="n">
        <f aca="false">SUM(R1328:Z1328)</f>
        <v>108.6591</v>
      </c>
      <c r="AB1328" s="33" t="n">
        <f aca="false">INDEX(Premissas!$B$5:$B$13,MATCH(A1328,Premissas!$A$5:$A$13,0))</f>
        <v>0.07</v>
      </c>
      <c r="AC1328" s="32" t="n">
        <f aca="false">AA1328/(1-AB1328)-AA1328</f>
        <v>8.17864193548388</v>
      </c>
      <c r="AD1328" s="32" t="n">
        <f aca="false">ROUND(AA1328+AC1328,2)</f>
        <v>116.84</v>
      </c>
      <c r="AE1328" s="32" t="n">
        <f aca="false">AD1328-L1328</f>
        <v>47.54</v>
      </c>
      <c r="AF1328" s="34" t="n">
        <f aca="false">IF(L1328=0,0,AE1328/L1328)</f>
        <v>0.686002886002886</v>
      </c>
      <c r="AG1328" s="22" t="str">
        <f aca="false">IF(AD1328&lt;L1328,"PASSARO","ATUAL")</f>
        <v>ATUAL</v>
      </c>
      <c r="AH1328" s="22" t="str">
        <f aca="false">IF(P1328&lt;&gt;A1328,"Faixa cadastrada como "&amp;P1328&amp;" na tabela; preço aplicado pela UF do CEP","")</f>
        <v/>
      </c>
      <c r="AI1328" s="26" t="n">
        <v>135.66</v>
      </c>
      <c r="AJ1328" s="22" t="str">
        <f aca="false">INDEX('Tabela Passaro'!$X$2:$X$1795,$N1328)</f>
        <v>CAPITAL</v>
      </c>
    </row>
    <row r="1329" customFormat="false" ht="15" hidden="false" customHeight="false" outlineLevel="0" collapsed="false">
      <c r="A1329" s="22" t="s">
        <v>20</v>
      </c>
      <c r="B1329" s="22" t="n">
        <v>1</v>
      </c>
      <c r="C1329" s="22" t="s">
        <v>147</v>
      </c>
      <c r="D1329" s="22" t="s">
        <v>31</v>
      </c>
      <c r="E1329" s="22" t="s">
        <v>7326</v>
      </c>
      <c r="F1329" s="22" t="n">
        <v>12816249</v>
      </c>
      <c r="G1329" s="30" t="n">
        <v>46253</v>
      </c>
      <c r="H1329" s="22" t="n">
        <v>626866</v>
      </c>
      <c r="I1329" s="22" t="s">
        <v>8538</v>
      </c>
      <c r="J1329" s="31" t="n">
        <v>17.2</v>
      </c>
      <c r="K1329" s="26" t="n">
        <v>342.98</v>
      </c>
      <c r="L1329" s="26" t="n">
        <v>69.7</v>
      </c>
      <c r="M1329" s="22" t="s">
        <v>4802</v>
      </c>
      <c r="N1329" s="22" t="n">
        <f aca="false">MATCH(M1329,'Tabela Passaro'!$A$2:$A$1795,0)</f>
        <v>1150</v>
      </c>
      <c r="O1329" s="22" t="str">
        <f aca="false">INDEX('Tabela Passaro'!$C$2:$C$1795,$N1329)</f>
        <v>RECIFE</v>
      </c>
      <c r="P1329" s="22" t="str">
        <f aca="false">INDEX('Tabela Passaro'!$B$2:$B$1795,$N1329)</f>
        <v>PE</v>
      </c>
      <c r="Q1329" s="22" t="n">
        <f aca="false">INDEX('Tabela Passaro'!$F$2:$F$1795,$N1329)</f>
        <v>8</v>
      </c>
      <c r="R1329" s="32" t="n">
        <f aca="false">IF(J1329&lt;=10,INDEX('Tabela Passaro'!$G$2:$G$1795,$N1329),IF(J1329&lt;=30,INDEX('Tabela Passaro'!$H$2:$H$1795,$N1329),IF(J1329&lt;=50,INDEX('Tabela Passaro'!$I$2:$I$1795,$N1329),IF(J1329&lt;=70,INDEX('Tabela Passaro'!$J$2:$J$1795,$N1329),IF(J1329&lt;=100,INDEX('Tabela Passaro'!$K$2:$K$1795,$N1329),INDEX('Tabela Passaro'!$K$2:$K$1795,$N1329)+(J1329-100)*INDEX('Tabela Passaro'!$L$2:$L$1795,$N1329))))))</f>
        <v>66.55</v>
      </c>
      <c r="S1329" s="32" t="n">
        <f aca="false">K1329*INDEX('Tabela Passaro'!$M$2:$M$1795,$N1329)</f>
        <v>1.7149</v>
      </c>
      <c r="T1329" s="32" t="n">
        <f aca="false">K1329*INDEX('Tabela Passaro'!$N$2:$N$1795,$N1329)</f>
        <v>0.68596</v>
      </c>
      <c r="U1329" s="32" t="n">
        <f aca="false">INDEX('Tabela Passaro'!$O$2:$O$1795,$N1329)</f>
        <v>5</v>
      </c>
      <c r="V1329" s="32" t="n">
        <f aca="false">ROUNDUP(J1329/INDEX('Tabela Passaro'!$Q$2:$Q$1795,$N1329),0)*INDEX('Tabela Passaro'!$P$2:$P$1795,$N1329)</f>
        <v>5</v>
      </c>
      <c r="W1329" s="32" t="n">
        <f aca="false">INDEX('Tabela Passaro'!$R$2:$R$1795,$N1329)</f>
        <v>30</v>
      </c>
      <c r="X1329" s="32" t="n">
        <f aca="false">ROUNDUP(J1329/INDEX('Tabela Passaro'!$T$2:$T$1795,$N1329),0)*INDEX('Tabela Passaro'!$S$2:$S$1795,$N1329)</f>
        <v>0</v>
      </c>
      <c r="Y1329" s="32" t="n">
        <f aca="false">INDEX('Tabela Passaro'!$U$2:$U$1795,$N1329)</f>
        <v>0</v>
      </c>
      <c r="Z1329" s="32" t="n">
        <f aca="false">INDEX('Tabela Passaro'!$V$2:$V$1795,$N1329)</f>
        <v>0</v>
      </c>
      <c r="AA1329" s="32" t="n">
        <f aca="false">SUM(R1329:Z1329)</f>
        <v>108.95086</v>
      </c>
      <c r="AB1329" s="33" t="n">
        <f aca="false">INDEX(Premissas!$B$5:$B$13,MATCH(A1329,Premissas!$A$5:$A$13,0))</f>
        <v>0.07</v>
      </c>
      <c r="AC1329" s="32" t="n">
        <f aca="false">AA1329/(1-AB1329)-AA1329</f>
        <v>8.20060236559141</v>
      </c>
      <c r="AD1329" s="32" t="n">
        <f aca="false">ROUND(AA1329+AC1329,2)</f>
        <v>117.15</v>
      </c>
      <c r="AE1329" s="32" t="n">
        <f aca="false">AD1329-L1329</f>
        <v>47.45</v>
      </c>
      <c r="AF1329" s="34" t="n">
        <f aca="false">IF(L1329=0,0,AE1329/L1329)</f>
        <v>0.68077474892396</v>
      </c>
      <c r="AG1329" s="22" t="str">
        <f aca="false">IF(AD1329&lt;L1329,"PASSARO","ATUAL")</f>
        <v>ATUAL</v>
      </c>
      <c r="AH1329" s="22" t="str">
        <f aca="false">IF(P1329&lt;&gt;A1329,"Faixa cadastrada como "&amp;P1329&amp;" na tabela; preço aplicado pela UF do CEP","")</f>
        <v/>
      </c>
      <c r="AI1329" s="26" t="n">
        <v>136.06</v>
      </c>
      <c r="AJ1329" s="22" t="str">
        <f aca="false">INDEX('Tabela Passaro'!$X$2:$X$1795,$N1329)</f>
        <v>CAPITAL</v>
      </c>
    </row>
    <row r="1330" customFormat="false" ht="15" hidden="false" customHeight="false" outlineLevel="0" collapsed="false">
      <c r="A1330" s="22" t="s">
        <v>20</v>
      </c>
      <c r="B1330" s="22" t="n">
        <v>1</v>
      </c>
      <c r="C1330" s="22" t="s">
        <v>147</v>
      </c>
      <c r="D1330" s="22" t="s">
        <v>31</v>
      </c>
      <c r="E1330" s="22" t="s">
        <v>7326</v>
      </c>
      <c r="F1330" s="22" t="n">
        <v>12829118</v>
      </c>
      <c r="G1330" s="30" t="n">
        <v>46255</v>
      </c>
      <c r="H1330" s="22" t="n">
        <v>627799</v>
      </c>
      <c r="I1330" s="22" t="s">
        <v>8539</v>
      </c>
      <c r="J1330" s="31" t="n">
        <v>21.75</v>
      </c>
      <c r="K1330" s="26" t="n">
        <v>672.62</v>
      </c>
      <c r="L1330" s="26" t="n">
        <v>101.85</v>
      </c>
      <c r="M1330" s="22" t="s">
        <v>4802</v>
      </c>
      <c r="N1330" s="22" t="n">
        <f aca="false">MATCH(M1330,'Tabela Passaro'!$A$2:$A$1795,0)</f>
        <v>1150</v>
      </c>
      <c r="O1330" s="22" t="str">
        <f aca="false">INDEX('Tabela Passaro'!$C$2:$C$1795,$N1330)</f>
        <v>RECIFE</v>
      </c>
      <c r="P1330" s="22" t="str">
        <f aca="false">INDEX('Tabela Passaro'!$B$2:$B$1795,$N1330)</f>
        <v>PE</v>
      </c>
      <c r="Q1330" s="22" t="n">
        <f aca="false">INDEX('Tabela Passaro'!$F$2:$F$1795,$N1330)</f>
        <v>8</v>
      </c>
      <c r="R1330" s="32" t="n">
        <f aca="false">IF(J1330&lt;=10,INDEX('Tabela Passaro'!$G$2:$G$1795,$N1330),IF(J1330&lt;=30,INDEX('Tabela Passaro'!$H$2:$H$1795,$N1330),IF(J1330&lt;=50,INDEX('Tabela Passaro'!$I$2:$I$1795,$N1330),IF(J1330&lt;=70,INDEX('Tabela Passaro'!$J$2:$J$1795,$N1330),IF(J1330&lt;=100,INDEX('Tabela Passaro'!$K$2:$K$1795,$N1330),INDEX('Tabela Passaro'!$K$2:$K$1795,$N1330)+(J1330-100)*INDEX('Tabela Passaro'!$L$2:$L$1795,$N1330))))))</f>
        <v>66.55</v>
      </c>
      <c r="S1330" s="32" t="n">
        <f aca="false">K1330*INDEX('Tabela Passaro'!$M$2:$M$1795,$N1330)</f>
        <v>3.3631</v>
      </c>
      <c r="T1330" s="32" t="n">
        <f aca="false">K1330*INDEX('Tabela Passaro'!$N$2:$N$1795,$N1330)</f>
        <v>1.34524</v>
      </c>
      <c r="U1330" s="32" t="n">
        <f aca="false">INDEX('Tabela Passaro'!$O$2:$O$1795,$N1330)</f>
        <v>5</v>
      </c>
      <c r="V1330" s="32" t="n">
        <f aca="false">ROUNDUP(J1330/INDEX('Tabela Passaro'!$Q$2:$Q$1795,$N1330),0)*INDEX('Tabela Passaro'!$P$2:$P$1795,$N1330)</f>
        <v>5</v>
      </c>
      <c r="W1330" s="32" t="n">
        <f aca="false">INDEX('Tabela Passaro'!$R$2:$R$1795,$N1330)</f>
        <v>30</v>
      </c>
      <c r="X1330" s="32" t="n">
        <f aca="false">ROUNDUP(J1330/INDEX('Tabela Passaro'!$T$2:$T$1795,$N1330),0)*INDEX('Tabela Passaro'!$S$2:$S$1795,$N1330)</f>
        <v>0</v>
      </c>
      <c r="Y1330" s="32" t="n">
        <f aca="false">INDEX('Tabela Passaro'!$U$2:$U$1795,$N1330)</f>
        <v>0</v>
      </c>
      <c r="Z1330" s="32" t="n">
        <f aca="false">INDEX('Tabela Passaro'!$V$2:$V$1795,$N1330)</f>
        <v>0</v>
      </c>
      <c r="AA1330" s="32" t="n">
        <f aca="false">SUM(R1330:Z1330)</f>
        <v>111.25834</v>
      </c>
      <c r="AB1330" s="33" t="n">
        <f aca="false">INDEX(Premissas!$B$5:$B$13,MATCH(A1330,Premissas!$A$5:$A$13,0))</f>
        <v>0.07</v>
      </c>
      <c r="AC1330" s="32" t="n">
        <f aca="false">AA1330/(1-AB1330)-AA1330</f>
        <v>8.37428365591399</v>
      </c>
      <c r="AD1330" s="32" t="n">
        <f aca="false">ROUND(AA1330+AC1330,2)</f>
        <v>119.63</v>
      </c>
      <c r="AE1330" s="32" t="n">
        <f aca="false">AD1330-L1330</f>
        <v>17.78</v>
      </c>
      <c r="AF1330" s="34" t="n">
        <f aca="false">IF(L1330=0,0,AE1330/L1330)</f>
        <v>0.174570446735395</v>
      </c>
      <c r="AG1330" s="22" t="str">
        <f aca="false">IF(AD1330&lt;L1330,"PASSARO","ATUAL")</f>
        <v>ATUAL</v>
      </c>
      <c r="AH1330" s="22" t="str">
        <f aca="false">IF(P1330&lt;&gt;A1330,"Faixa cadastrada como "&amp;P1330&amp;" na tabela; preço aplicado pela UF do CEP","")</f>
        <v/>
      </c>
      <c r="AI1330" s="26" t="n">
        <v>141.19</v>
      </c>
      <c r="AJ1330" s="22" t="str">
        <f aca="false">INDEX('Tabela Passaro'!$X$2:$X$1795,$N1330)</f>
        <v>CAPITAL</v>
      </c>
    </row>
    <row r="1331" customFormat="false" ht="15" hidden="false" customHeight="false" outlineLevel="0" collapsed="false">
      <c r="A1331" s="22" t="s">
        <v>20</v>
      </c>
      <c r="B1331" s="22" t="n">
        <v>1</v>
      </c>
      <c r="C1331" s="22" t="s">
        <v>147</v>
      </c>
      <c r="D1331" s="22" t="s">
        <v>31</v>
      </c>
      <c r="E1331" s="22" t="s">
        <v>7326</v>
      </c>
      <c r="F1331" s="22" t="n">
        <v>12835688</v>
      </c>
      <c r="G1331" s="30" t="n">
        <v>46258</v>
      </c>
      <c r="H1331" s="22" t="n">
        <v>628208</v>
      </c>
      <c r="I1331" s="22" t="s">
        <v>8540</v>
      </c>
      <c r="J1331" s="31" t="n">
        <v>21.3</v>
      </c>
      <c r="K1331" s="26" t="n">
        <v>479.98</v>
      </c>
      <c r="L1331" s="26" t="n">
        <v>99.6</v>
      </c>
      <c r="M1331" s="22" t="s">
        <v>4802</v>
      </c>
      <c r="N1331" s="22" t="n">
        <f aca="false">MATCH(M1331,'Tabela Passaro'!$A$2:$A$1795,0)</f>
        <v>1150</v>
      </c>
      <c r="O1331" s="22" t="str">
        <f aca="false">INDEX('Tabela Passaro'!$C$2:$C$1795,$N1331)</f>
        <v>RECIFE</v>
      </c>
      <c r="P1331" s="22" t="str">
        <f aca="false">INDEX('Tabela Passaro'!$B$2:$B$1795,$N1331)</f>
        <v>PE</v>
      </c>
      <c r="Q1331" s="22" t="n">
        <f aca="false">INDEX('Tabela Passaro'!$F$2:$F$1795,$N1331)</f>
        <v>8</v>
      </c>
      <c r="R1331" s="32" t="n">
        <f aca="false">IF(J1331&lt;=10,INDEX('Tabela Passaro'!$G$2:$G$1795,$N1331),IF(J1331&lt;=30,INDEX('Tabela Passaro'!$H$2:$H$1795,$N1331),IF(J1331&lt;=50,INDEX('Tabela Passaro'!$I$2:$I$1795,$N1331),IF(J1331&lt;=70,INDEX('Tabela Passaro'!$J$2:$J$1795,$N1331),IF(J1331&lt;=100,INDEX('Tabela Passaro'!$K$2:$K$1795,$N1331),INDEX('Tabela Passaro'!$K$2:$K$1795,$N1331)+(J1331-100)*INDEX('Tabela Passaro'!$L$2:$L$1795,$N1331))))))</f>
        <v>66.55</v>
      </c>
      <c r="S1331" s="32" t="n">
        <f aca="false">K1331*INDEX('Tabela Passaro'!$M$2:$M$1795,$N1331)</f>
        <v>2.3999</v>
      </c>
      <c r="T1331" s="32" t="n">
        <f aca="false">K1331*INDEX('Tabela Passaro'!$N$2:$N$1795,$N1331)</f>
        <v>0.95996</v>
      </c>
      <c r="U1331" s="32" t="n">
        <f aca="false">INDEX('Tabela Passaro'!$O$2:$O$1795,$N1331)</f>
        <v>5</v>
      </c>
      <c r="V1331" s="32" t="n">
        <f aca="false">ROUNDUP(J1331/INDEX('Tabela Passaro'!$Q$2:$Q$1795,$N1331),0)*INDEX('Tabela Passaro'!$P$2:$P$1795,$N1331)</f>
        <v>5</v>
      </c>
      <c r="W1331" s="32" t="n">
        <f aca="false">INDEX('Tabela Passaro'!$R$2:$R$1795,$N1331)</f>
        <v>30</v>
      </c>
      <c r="X1331" s="32" t="n">
        <f aca="false">ROUNDUP(J1331/INDEX('Tabela Passaro'!$T$2:$T$1795,$N1331),0)*INDEX('Tabela Passaro'!$S$2:$S$1795,$N1331)</f>
        <v>0</v>
      </c>
      <c r="Y1331" s="32" t="n">
        <f aca="false">INDEX('Tabela Passaro'!$U$2:$U$1795,$N1331)</f>
        <v>0</v>
      </c>
      <c r="Z1331" s="32" t="n">
        <f aca="false">INDEX('Tabela Passaro'!$V$2:$V$1795,$N1331)</f>
        <v>0</v>
      </c>
      <c r="AA1331" s="32" t="n">
        <f aca="false">SUM(R1331:Z1331)</f>
        <v>109.90986</v>
      </c>
      <c r="AB1331" s="33" t="n">
        <f aca="false">INDEX(Premissas!$B$5:$B$13,MATCH(A1331,Premissas!$A$5:$A$13,0))</f>
        <v>0.07</v>
      </c>
      <c r="AC1331" s="32" t="n">
        <f aca="false">AA1331/(1-AB1331)-AA1331</f>
        <v>8.27278516129033</v>
      </c>
      <c r="AD1331" s="32" t="n">
        <f aca="false">ROUND(AA1331+AC1331,2)</f>
        <v>118.18</v>
      </c>
      <c r="AE1331" s="32" t="n">
        <f aca="false">AD1331-L1331</f>
        <v>18.58</v>
      </c>
      <c r="AF1331" s="34" t="n">
        <f aca="false">IF(L1331=0,0,AE1331/L1331)</f>
        <v>0.186546184738956</v>
      </c>
      <c r="AG1331" s="22" t="str">
        <f aca="false">IF(AD1331&lt;L1331,"PASSARO","ATUAL")</f>
        <v>ATUAL</v>
      </c>
      <c r="AH1331" s="22" t="str">
        <f aca="false">IF(P1331&lt;&gt;A1331,"Faixa cadastrada como "&amp;P1331&amp;" na tabela; preço aplicado pela UF do CEP","")</f>
        <v/>
      </c>
      <c r="AI1331" s="26" t="n">
        <v>139.32</v>
      </c>
      <c r="AJ1331" s="22" t="str">
        <f aca="false">INDEX('Tabela Passaro'!$X$2:$X$1795,$N1331)</f>
        <v>CAPITAL</v>
      </c>
    </row>
    <row r="1332" customFormat="false" ht="15" hidden="false" customHeight="false" outlineLevel="0" collapsed="false">
      <c r="A1332" s="22" t="s">
        <v>20</v>
      </c>
      <c r="B1332" s="22" t="n">
        <v>2</v>
      </c>
      <c r="C1332" s="22" t="s">
        <v>149</v>
      </c>
      <c r="D1332" s="22" t="s">
        <v>30</v>
      </c>
      <c r="E1332" s="22" t="s">
        <v>7328</v>
      </c>
      <c r="F1332" s="22" t="n">
        <v>2307411</v>
      </c>
      <c r="G1332" s="30" t="n">
        <v>46238</v>
      </c>
      <c r="H1332" s="22" t="n">
        <v>131319</v>
      </c>
      <c r="I1332" s="22" t="s">
        <v>8541</v>
      </c>
      <c r="J1332" s="31" t="n">
        <v>39.76</v>
      </c>
      <c r="K1332" s="26" t="n">
        <v>735.19</v>
      </c>
      <c r="L1332" s="26" t="n">
        <v>165.13</v>
      </c>
      <c r="M1332" s="22" t="s">
        <v>4793</v>
      </c>
      <c r="N1332" s="22" t="n">
        <f aca="false">MATCH(M1332,'Tabela Passaro'!$A$2:$A$1795,0)</f>
        <v>1147</v>
      </c>
      <c r="O1332" s="22" t="str">
        <f aca="false">INDEX('Tabela Passaro'!$C$2:$C$1795,$N1332)</f>
        <v>JABOATAO DOS GUARARAPES</v>
      </c>
      <c r="P1332" s="22" t="str">
        <f aca="false">INDEX('Tabela Passaro'!$B$2:$B$1795,$N1332)</f>
        <v>PE</v>
      </c>
      <c r="Q1332" s="22" t="n">
        <f aca="false">INDEX('Tabela Passaro'!$F$2:$F$1795,$N1332)</f>
        <v>8</v>
      </c>
      <c r="R1332" s="32" t="n">
        <f aca="false">IF(J1332&lt;=10,INDEX('Tabela Passaro'!$G$2:$G$1795,$N1332),IF(J1332&lt;=30,INDEX('Tabela Passaro'!$H$2:$H$1795,$N1332),IF(J1332&lt;=50,INDEX('Tabela Passaro'!$I$2:$I$1795,$N1332),IF(J1332&lt;=70,INDEX('Tabela Passaro'!$J$2:$J$1795,$N1332),IF(J1332&lt;=100,INDEX('Tabela Passaro'!$K$2:$K$1795,$N1332),INDEX('Tabela Passaro'!$K$2:$K$1795,$N1332)+(J1332-100)*INDEX('Tabela Passaro'!$L$2:$L$1795,$N1332))))))</f>
        <v>88.59</v>
      </c>
      <c r="S1332" s="32" t="n">
        <f aca="false">K1332*INDEX('Tabela Passaro'!$M$2:$M$1795,$N1332)</f>
        <v>3.67595</v>
      </c>
      <c r="T1332" s="32" t="n">
        <f aca="false">K1332*INDEX('Tabela Passaro'!$N$2:$N$1795,$N1332)</f>
        <v>1.47038</v>
      </c>
      <c r="U1332" s="32" t="n">
        <f aca="false">INDEX('Tabela Passaro'!$O$2:$O$1795,$N1332)</f>
        <v>5</v>
      </c>
      <c r="V1332" s="32" t="n">
        <f aca="false">ROUNDUP(J1332/INDEX('Tabela Passaro'!$Q$2:$Q$1795,$N1332),0)*INDEX('Tabela Passaro'!$P$2:$P$1795,$N1332)</f>
        <v>5</v>
      </c>
      <c r="W1332" s="32" t="n">
        <f aca="false">INDEX('Tabela Passaro'!$R$2:$R$1795,$N1332)</f>
        <v>30</v>
      </c>
      <c r="X1332" s="32" t="n">
        <f aca="false">ROUNDUP(J1332/INDEX('Tabela Passaro'!$T$2:$T$1795,$N1332),0)*INDEX('Tabela Passaro'!$S$2:$S$1795,$N1332)</f>
        <v>0</v>
      </c>
      <c r="Y1332" s="32" t="n">
        <f aca="false">INDEX('Tabela Passaro'!$U$2:$U$1795,$N1332)</f>
        <v>0</v>
      </c>
      <c r="Z1332" s="32" t="n">
        <f aca="false">INDEX('Tabela Passaro'!$V$2:$V$1795,$N1332)</f>
        <v>0</v>
      </c>
      <c r="AA1332" s="32" t="n">
        <f aca="false">SUM(R1332:Z1332)</f>
        <v>133.73633</v>
      </c>
      <c r="AB1332" s="33" t="n">
        <f aca="false">INDEX(Premissas!$B$5:$B$13,MATCH(A1332,Premissas!$A$5:$A$13,0))</f>
        <v>0.07</v>
      </c>
      <c r="AC1332" s="32" t="n">
        <f aca="false">AA1332/(1-AB1332)-AA1332</f>
        <v>10.0661753763441</v>
      </c>
      <c r="AD1332" s="32" t="n">
        <f aca="false">ROUND(AA1332+AC1332,2)</f>
        <v>143.8</v>
      </c>
      <c r="AE1332" s="32" t="n">
        <f aca="false">AD1332-L1332</f>
        <v>-21.33</v>
      </c>
      <c r="AF1332" s="34" t="n">
        <f aca="false">IF(L1332=0,0,AE1332/L1332)</f>
        <v>-0.129170956216314</v>
      </c>
      <c r="AG1332" s="22" t="str">
        <f aca="false">IF(AD1332&lt;L1332,"PASSARO","ATUAL")</f>
        <v>PASSARO</v>
      </c>
      <c r="AH1332" s="22" t="str">
        <f aca="false">IF(P1332&lt;&gt;A1332,"Faixa cadastrada como "&amp;P1332&amp;" na tabela; preço aplicado pela UF do CEP","")</f>
        <v/>
      </c>
      <c r="AI1332" s="26" t="n">
        <v>175.56</v>
      </c>
      <c r="AJ1332" s="22" t="str">
        <f aca="false">INDEX('Tabela Passaro'!$X$2:$X$1795,$N1332)</f>
        <v>CAPITAL</v>
      </c>
    </row>
    <row r="1333" customFormat="false" ht="15" hidden="false" customHeight="false" outlineLevel="0" collapsed="false">
      <c r="A1333" s="22" t="s">
        <v>20</v>
      </c>
      <c r="B1333" s="22" t="n">
        <v>2</v>
      </c>
      <c r="C1333" s="22" t="s">
        <v>149</v>
      </c>
      <c r="D1333" s="22" t="s">
        <v>30</v>
      </c>
      <c r="E1333" s="22" t="s">
        <v>20</v>
      </c>
      <c r="F1333" s="22" t="n">
        <v>838067</v>
      </c>
      <c r="G1333" s="30" t="n">
        <v>46240</v>
      </c>
      <c r="H1333" s="22" t="n">
        <v>32411</v>
      </c>
      <c r="I1333" s="22" t="s">
        <v>8542</v>
      </c>
      <c r="J1333" s="31" t="n">
        <v>19.5</v>
      </c>
      <c r="K1333" s="26" t="n">
        <v>585.18</v>
      </c>
      <c r="L1333" s="26" t="n">
        <v>86.92</v>
      </c>
      <c r="M1333" s="22" t="s">
        <v>4793</v>
      </c>
      <c r="N1333" s="22" t="n">
        <f aca="false">MATCH(M1333,'Tabela Passaro'!$A$2:$A$1795,0)</f>
        <v>1147</v>
      </c>
      <c r="O1333" s="22" t="str">
        <f aca="false">INDEX('Tabela Passaro'!$C$2:$C$1795,$N1333)</f>
        <v>JABOATAO DOS GUARARAPES</v>
      </c>
      <c r="P1333" s="22" t="str">
        <f aca="false">INDEX('Tabela Passaro'!$B$2:$B$1795,$N1333)</f>
        <v>PE</v>
      </c>
      <c r="Q1333" s="22" t="n">
        <f aca="false">INDEX('Tabela Passaro'!$F$2:$F$1795,$N1333)</f>
        <v>8</v>
      </c>
      <c r="R1333" s="32" t="n">
        <f aca="false">IF(J1333&lt;=10,INDEX('Tabela Passaro'!$G$2:$G$1795,$N1333),IF(J1333&lt;=30,INDEX('Tabela Passaro'!$H$2:$H$1795,$N1333),IF(J1333&lt;=50,INDEX('Tabela Passaro'!$I$2:$I$1795,$N1333),IF(J1333&lt;=70,INDEX('Tabela Passaro'!$J$2:$J$1795,$N1333),IF(J1333&lt;=100,INDEX('Tabela Passaro'!$K$2:$K$1795,$N1333),INDEX('Tabela Passaro'!$K$2:$K$1795,$N1333)+(J1333-100)*INDEX('Tabela Passaro'!$L$2:$L$1795,$N1333))))))</f>
        <v>66.55</v>
      </c>
      <c r="S1333" s="32" t="n">
        <f aca="false">K1333*INDEX('Tabela Passaro'!$M$2:$M$1795,$N1333)</f>
        <v>2.9259</v>
      </c>
      <c r="T1333" s="32" t="n">
        <f aca="false">K1333*INDEX('Tabela Passaro'!$N$2:$N$1795,$N1333)</f>
        <v>1.17036</v>
      </c>
      <c r="U1333" s="32" t="n">
        <f aca="false">INDEX('Tabela Passaro'!$O$2:$O$1795,$N1333)</f>
        <v>5</v>
      </c>
      <c r="V1333" s="32" t="n">
        <f aca="false">ROUNDUP(J1333/INDEX('Tabela Passaro'!$Q$2:$Q$1795,$N1333),0)*INDEX('Tabela Passaro'!$P$2:$P$1795,$N1333)</f>
        <v>5</v>
      </c>
      <c r="W1333" s="32" t="n">
        <f aca="false">INDEX('Tabela Passaro'!$R$2:$R$1795,$N1333)</f>
        <v>30</v>
      </c>
      <c r="X1333" s="32" t="n">
        <f aca="false">ROUNDUP(J1333/INDEX('Tabela Passaro'!$T$2:$T$1795,$N1333),0)*INDEX('Tabela Passaro'!$S$2:$S$1795,$N1333)</f>
        <v>0</v>
      </c>
      <c r="Y1333" s="32" t="n">
        <f aca="false">INDEX('Tabela Passaro'!$U$2:$U$1795,$N1333)</f>
        <v>0</v>
      </c>
      <c r="Z1333" s="32" t="n">
        <f aca="false">INDEX('Tabela Passaro'!$V$2:$V$1795,$N1333)</f>
        <v>0</v>
      </c>
      <c r="AA1333" s="32" t="n">
        <f aca="false">SUM(R1333:Z1333)</f>
        <v>110.64626</v>
      </c>
      <c r="AB1333" s="33" t="n">
        <f aca="false">INDEX(Premissas!$B$5:$B$13,MATCH(A1333,Premissas!$A$5:$A$13,0))</f>
        <v>0.07</v>
      </c>
      <c r="AC1333" s="32" t="n">
        <f aca="false">AA1333/(1-AB1333)-AA1333</f>
        <v>8.32821311827958</v>
      </c>
      <c r="AD1333" s="32" t="n">
        <f aca="false">ROUND(AA1333+AC1333,2)</f>
        <v>118.97</v>
      </c>
      <c r="AE1333" s="32" t="n">
        <f aca="false">AD1333-L1333</f>
        <v>32.05</v>
      </c>
      <c r="AF1333" s="34" t="n">
        <f aca="false">IF(L1333=0,0,AE1333/L1333)</f>
        <v>0.368729866543948</v>
      </c>
      <c r="AG1333" s="22" t="str">
        <f aca="false">IF(AD1333&lt;L1333,"PASSARO","ATUAL")</f>
        <v>ATUAL</v>
      </c>
      <c r="AH1333" s="22" t="str">
        <f aca="false">IF(P1333&lt;&gt;A1333,"Faixa cadastrada como "&amp;P1333&amp;" na tabela; preço aplicado pela UF do CEP","")</f>
        <v/>
      </c>
      <c r="AI1333" s="26" t="n">
        <v>139.37</v>
      </c>
      <c r="AJ1333" s="22" t="str">
        <f aca="false">INDEX('Tabela Passaro'!$X$2:$X$1795,$N1333)</f>
        <v>CAPITAL</v>
      </c>
    </row>
    <row r="1334" customFormat="false" ht="15" hidden="false" customHeight="false" outlineLevel="0" collapsed="false">
      <c r="A1334" s="22" t="s">
        <v>20</v>
      </c>
      <c r="B1334" s="22" t="n">
        <v>2</v>
      </c>
      <c r="C1334" s="22" t="s">
        <v>149</v>
      </c>
      <c r="D1334" s="22" t="s">
        <v>30</v>
      </c>
      <c r="E1334" s="22" t="s">
        <v>7328</v>
      </c>
      <c r="F1334" s="22" t="n">
        <v>2309851</v>
      </c>
      <c r="G1334" s="30" t="n">
        <v>46244</v>
      </c>
      <c r="H1334" s="22" t="n">
        <v>132333</v>
      </c>
      <c r="I1334" s="22" t="s">
        <v>8543</v>
      </c>
      <c r="J1334" s="31" t="n">
        <v>48.6</v>
      </c>
      <c r="K1334" s="26" t="n">
        <v>883.98</v>
      </c>
      <c r="L1334" s="26" t="n">
        <v>166.3</v>
      </c>
      <c r="M1334" s="22" t="s">
        <v>4793</v>
      </c>
      <c r="N1334" s="22" t="n">
        <f aca="false">MATCH(M1334,'Tabela Passaro'!$A$2:$A$1795,0)</f>
        <v>1147</v>
      </c>
      <c r="O1334" s="22" t="str">
        <f aca="false">INDEX('Tabela Passaro'!$C$2:$C$1795,$N1334)</f>
        <v>JABOATAO DOS GUARARAPES</v>
      </c>
      <c r="P1334" s="22" t="str">
        <f aca="false">INDEX('Tabela Passaro'!$B$2:$B$1795,$N1334)</f>
        <v>PE</v>
      </c>
      <c r="Q1334" s="22" t="n">
        <f aca="false">INDEX('Tabela Passaro'!$F$2:$F$1795,$N1334)</f>
        <v>8</v>
      </c>
      <c r="R1334" s="32" t="n">
        <f aca="false">IF(J1334&lt;=10,INDEX('Tabela Passaro'!$G$2:$G$1795,$N1334),IF(J1334&lt;=30,INDEX('Tabela Passaro'!$H$2:$H$1795,$N1334),IF(J1334&lt;=50,INDEX('Tabela Passaro'!$I$2:$I$1795,$N1334),IF(J1334&lt;=70,INDEX('Tabela Passaro'!$J$2:$J$1795,$N1334),IF(J1334&lt;=100,INDEX('Tabela Passaro'!$K$2:$K$1795,$N1334),INDEX('Tabela Passaro'!$K$2:$K$1795,$N1334)+(J1334-100)*INDEX('Tabela Passaro'!$L$2:$L$1795,$N1334))))))</f>
        <v>88.59</v>
      </c>
      <c r="S1334" s="32" t="n">
        <f aca="false">K1334*INDEX('Tabela Passaro'!$M$2:$M$1795,$N1334)</f>
        <v>4.4199</v>
      </c>
      <c r="T1334" s="32" t="n">
        <f aca="false">K1334*INDEX('Tabela Passaro'!$N$2:$N$1795,$N1334)</f>
        <v>1.76796</v>
      </c>
      <c r="U1334" s="32" t="n">
        <f aca="false">INDEX('Tabela Passaro'!$O$2:$O$1795,$N1334)</f>
        <v>5</v>
      </c>
      <c r="V1334" s="32" t="n">
        <f aca="false">ROUNDUP(J1334/INDEX('Tabela Passaro'!$Q$2:$Q$1795,$N1334),0)*INDEX('Tabela Passaro'!$P$2:$P$1795,$N1334)</f>
        <v>5</v>
      </c>
      <c r="W1334" s="32" t="n">
        <f aca="false">INDEX('Tabela Passaro'!$R$2:$R$1795,$N1334)</f>
        <v>30</v>
      </c>
      <c r="X1334" s="32" t="n">
        <f aca="false">ROUNDUP(J1334/INDEX('Tabela Passaro'!$T$2:$T$1795,$N1334),0)*INDEX('Tabela Passaro'!$S$2:$S$1795,$N1334)</f>
        <v>0</v>
      </c>
      <c r="Y1334" s="32" t="n">
        <f aca="false">INDEX('Tabela Passaro'!$U$2:$U$1795,$N1334)</f>
        <v>0</v>
      </c>
      <c r="Z1334" s="32" t="n">
        <f aca="false">INDEX('Tabela Passaro'!$V$2:$V$1795,$N1334)</f>
        <v>0</v>
      </c>
      <c r="AA1334" s="32" t="n">
        <f aca="false">SUM(R1334:Z1334)</f>
        <v>134.77786</v>
      </c>
      <c r="AB1334" s="33" t="n">
        <f aca="false">INDEX(Premissas!$B$5:$B$13,MATCH(A1334,Premissas!$A$5:$A$13,0))</f>
        <v>0.07</v>
      </c>
      <c r="AC1334" s="32" t="n">
        <f aca="false">AA1334/(1-AB1334)-AA1334</f>
        <v>10.1445701075269</v>
      </c>
      <c r="AD1334" s="32" t="n">
        <f aca="false">ROUND(AA1334+AC1334,2)</f>
        <v>144.92</v>
      </c>
      <c r="AE1334" s="32" t="n">
        <f aca="false">AD1334-L1334</f>
        <v>-21.38</v>
      </c>
      <c r="AF1334" s="34" t="n">
        <f aca="false">IF(L1334=0,0,AE1334/L1334)</f>
        <v>-0.128562838244137</v>
      </c>
      <c r="AG1334" s="22" t="str">
        <f aca="false">IF(AD1334&lt;L1334,"PASSARO","ATUAL")</f>
        <v>PASSARO</v>
      </c>
      <c r="AH1334" s="22" t="str">
        <f aca="false">IF(P1334&lt;&gt;A1334,"Faixa cadastrada como "&amp;P1334&amp;" na tabela; preço aplicado pela UF do CEP","")</f>
        <v/>
      </c>
      <c r="AI1334" s="26" t="n">
        <v>181.35</v>
      </c>
      <c r="AJ1334" s="22" t="str">
        <f aca="false">INDEX('Tabela Passaro'!$X$2:$X$1795,$N1334)</f>
        <v>CAPITAL</v>
      </c>
    </row>
    <row r="1335" customFormat="false" ht="15" hidden="false" customHeight="false" outlineLevel="0" collapsed="false">
      <c r="A1335" s="22" t="s">
        <v>20</v>
      </c>
      <c r="B1335" s="22" t="n">
        <v>2</v>
      </c>
      <c r="C1335" s="22" t="s">
        <v>149</v>
      </c>
      <c r="D1335" s="22" t="s">
        <v>30</v>
      </c>
      <c r="E1335" s="22" t="s">
        <v>7326</v>
      </c>
      <c r="F1335" s="22" t="n">
        <v>523691</v>
      </c>
      <c r="G1335" s="30" t="n">
        <v>46244</v>
      </c>
      <c r="H1335" s="22" t="n">
        <v>622119</v>
      </c>
      <c r="I1335" s="22" t="s">
        <v>8544</v>
      </c>
      <c r="J1335" s="31" t="n">
        <v>65.06</v>
      </c>
      <c r="K1335" s="26" t="n">
        <v>2265.73</v>
      </c>
      <c r="L1335" s="26" t="n">
        <v>255.23</v>
      </c>
      <c r="M1335" s="22" t="s">
        <v>4793</v>
      </c>
      <c r="N1335" s="22" t="n">
        <f aca="false">MATCH(M1335,'Tabela Passaro'!$A$2:$A$1795,0)</f>
        <v>1147</v>
      </c>
      <c r="O1335" s="22" t="str">
        <f aca="false">INDEX('Tabela Passaro'!$C$2:$C$1795,$N1335)</f>
        <v>JABOATAO DOS GUARARAPES</v>
      </c>
      <c r="P1335" s="22" t="str">
        <f aca="false">INDEX('Tabela Passaro'!$B$2:$B$1795,$N1335)</f>
        <v>PE</v>
      </c>
      <c r="Q1335" s="22" t="n">
        <f aca="false">INDEX('Tabela Passaro'!$F$2:$F$1795,$N1335)</f>
        <v>8</v>
      </c>
      <c r="R1335" s="32" t="n">
        <f aca="false">IF(J1335&lt;=10,INDEX('Tabela Passaro'!$G$2:$G$1795,$N1335),IF(J1335&lt;=30,INDEX('Tabela Passaro'!$H$2:$H$1795,$N1335),IF(J1335&lt;=50,INDEX('Tabela Passaro'!$I$2:$I$1795,$N1335),IF(J1335&lt;=70,INDEX('Tabela Passaro'!$J$2:$J$1795,$N1335),IF(J1335&lt;=100,INDEX('Tabela Passaro'!$K$2:$K$1795,$N1335),INDEX('Tabela Passaro'!$K$2:$K$1795,$N1335)+(J1335-100)*INDEX('Tabela Passaro'!$L$2:$L$1795,$N1335))))))</f>
        <v>99.61</v>
      </c>
      <c r="S1335" s="32" t="n">
        <f aca="false">K1335*INDEX('Tabela Passaro'!$M$2:$M$1795,$N1335)</f>
        <v>11.32865</v>
      </c>
      <c r="T1335" s="32" t="n">
        <f aca="false">K1335*INDEX('Tabela Passaro'!$N$2:$N$1795,$N1335)</f>
        <v>4.53146</v>
      </c>
      <c r="U1335" s="32" t="n">
        <f aca="false">INDEX('Tabela Passaro'!$O$2:$O$1795,$N1335)</f>
        <v>5</v>
      </c>
      <c r="V1335" s="32" t="n">
        <f aca="false">ROUNDUP(J1335/INDEX('Tabela Passaro'!$Q$2:$Q$1795,$N1335),0)*INDEX('Tabela Passaro'!$P$2:$P$1795,$N1335)</f>
        <v>5</v>
      </c>
      <c r="W1335" s="32" t="n">
        <f aca="false">INDEX('Tabela Passaro'!$R$2:$R$1795,$N1335)</f>
        <v>30</v>
      </c>
      <c r="X1335" s="32" t="n">
        <f aca="false">ROUNDUP(J1335/INDEX('Tabela Passaro'!$T$2:$T$1795,$N1335),0)*INDEX('Tabela Passaro'!$S$2:$S$1795,$N1335)</f>
        <v>0</v>
      </c>
      <c r="Y1335" s="32" t="n">
        <f aca="false">INDEX('Tabela Passaro'!$U$2:$U$1795,$N1335)</f>
        <v>0</v>
      </c>
      <c r="Z1335" s="32" t="n">
        <f aca="false">INDEX('Tabela Passaro'!$V$2:$V$1795,$N1335)</f>
        <v>0</v>
      </c>
      <c r="AA1335" s="32" t="n">
        <f aca="false">SUM(R1335:Z1335)</f>
        <v>155.47011</v>
      </c>
      <c r="AB1335" s="33" t="n">
        <f aca="false">INDEX(Premissas!$B$5:$B$13,MATCH(A1335,Premissas!$A$5:$A$13,0))</f>
        <v>0.07</v>
      </c>
      <c r="AC1335" s="32" t="n">
        <f aca="false">AA1335/(1-AB1335)-AA1335</f>
        <v>11.7020512903226</v>
      </c>
      <c r="AD1335" s="32" t="n">
        <f aca="false">ROUND(AA1335+AC1335,2)</f>
        <v>167.17</v>
      </c>
      <c r="AE1335" s="32" t="n">
        <f aca="false">AD1335-L1335</f>
        <v>-88.06</v>
      </c>
      <c r="AF1335" s="34" t="n">
        <f aca="false">IF(L1335=0,0,AE1335/L1335)</f>
        <v>-0.345022136896133</v>
      </c>
      <c r="AG1335" s="22" t="str">
        <f aca="false">IF(AD1335&lt;L1335,"PASSARO","ATUAL")</f>
        <v>PASSARO</v>
      </c>
      <c r="AH1335" s="22" t="str">
        <f aca="false">IF(P1335&lt;&gt;A1335,"Faixa cadastrada como "&amp;P1335&amp;" na tabela; preço aplicado pela UF do CEP","")</f>
        <v/>
      </c>
      <c r="AI1335" s="26" t="n">
        <v>215.47</v>
      </c>
      <c r="AJ1335" s="22" t="str">
        <f aca="false">INDEX('Tabela Passaro'!$X$2:$X$1795,$N1335)</f>
        <v>CAPITAL</v>
      </c>
    </row>
    <row r="1336" customFormat="false" ht="15" hidden="false" customHeight="false" outlineLevel="0" collapsed="false">
      <c r="A1336" s="22" t="s">
        <v>20</v>
      </c>
      <c r="B1336" s="22" t="n">
        <v>2</v>
      </c>
      <c r="C1336" s="22" t="s">
        <v>149</v>
      </c>
      <c r="D1336" s="22" t="s">
        <v>30</v>
      </c>
      <c r="E1336" s="22" t="s">
        <v>7326</v>
      </c>
      <c r="F1336" s="22" t="n">
        <v>523651</v>
      </c>
      <c r="G1336" s="30" t="n">
        <v>46244</v>
      </c>
      <c r="H1336" s="22" t="n">
        <v>622506</v>
      </c>
      <c r="I1336" s="22" t="s">
        <v>8545</v>
      </c>
      <c r="J1336" s="31" t="n">
        <v>33</v>
      </c>
      <c r="K1336" s="26" t="n">
        <v>505.89</v>
      </c>
      <c r="L1336" s="26" t="n">
        <v>183.54</v>
      </c>
      <c r="M1336" s="22" t="s">
        <v>4793</v>
      </c>
      <c r="N1336" s="22" t="n">
        <f aca="false">MATCH(M1336,'Tabela Passaro'!$A$2:$A$1795,0)</f>
        <v>1147</v>
      </c>
      <c r="O1336" s="22" t="str">
        <f aca="false">INDEX('Tabela Passaro'!$C$2:$C$1795,$N1336)</f>
        <v>JABOATAO DOS GUARARAPES</v>
      </c>
      <c r="P1336" s="22" t="str">
        <f aca="false">INDEX('Tabela Passaro'!$B$2:$B$1795,$N1336)</f>
        <v>PE</v>
      </c>
      <c r="Q1336" s="22" t="n">
        <f aca="false">INDEX('Tabela Passaro'!$F$2:$F$1795,$N1336)</f>
        <v>8</v>
      </c>
      <c r="R1336" s="32" t="n">
        <f aca="false">IF(J1336&lt;=10,INDEX('Tabela Passaro'!$G$2:$G$1795,$N1336),IF(J1336&lt;=30,INDEX('Tabela Passaro'!$H$2:$H$1795,$N1336),IF(J1336&lt;=50,INDEX('Tabela Passaro'!$I$2:$I$1795,$N1336),IF(J1336&lt;=70,INDEX('Tabela Passaro'!$J$2:$J$1795,$N1336),IF(J1336&lt;=100,INDEX('Tabela Passaro'!$K$2:$K$1795,$N1336),INDEX('Tabela Passaro'!$K$2:$K$1795,$N1336)+(J1336-100)*INDEX('Tabela Passaro'!$L$2:$L$1795,$N1336))))))</f>
        <v>88.59</v>
      </c>
      <c r="S1336" s="32" t="n">
        <f aca="false">K1336*INDEX('Tabela Passaro'!$M$2:$M$1795,$N1336)</f>
        <v>2.52945</v>
      </c>
      <c r="T1336" s="32" t="n">
        <f aca="false">K1336*INDEX('Tabela Passaro'!$N$2:$N$1795,$N1336)</f>
        <v>1.01178</v>
      </c>
      <c r="U1336" s="32" t="n">
        <f aca="false">INDEX('Tabela Passaro'!$O$2:$O$1795,$N1336)</f>
        <v>5</v>
      </c>
      <c r="V1336" s="32" t="n">
        <f aca="false">ROUNDUP(J1336/INDEX('Tabela Passaro'!$Q$2:$Q$1795,$N1336),0)*INDEX('Tabela Passaro'!$P$2:$P$1795,$N1336)</f>
        <v>5</v>
      </c>
      <c r="W1336" s="32" t="n">
        <f aca="false">INDEX('Tabela Passaro'!$R$2:$R$1795,$N1336)</f>
        <v>30</v>
      </c>
      <c r="X1336" s="32" t="n">
        <f aca="false">ROUNDUP(J1336/INDEX('Tabela Passaro'!$T$2:$T$1795,$N1336),0)*INDEX('Tabela Passaro'!$S$2:$S$1795,$N1336)</f>
        <v>0</v>
      </c>
      <c r="Y1336" s="32" t="n">
        <f aca="false">INDEX('Tabela Passaro'!$U$2:$U$1795,$N1336)</f>
        <v>0</v>
      </c>
      <c r="Z1336" s="32" t="n">
        <f aca="false">INDEX('Tabela Passaro'!$V$2:$V$1795,$N1336)</f>
        <v>0</v>
      </c>
      <c r="AA1336" s="32" t="n">
        <f aca="false">SUM(R1336:Z1336)</f>
        <v>132.13123</v>
      </c>
      <c r="AB1336" s="33" t="n">
        <f aca="false">INDEX(Premissas!$B$5:$B$13,MATCH(A1336,Premissas!$A$5:$A$13,0))</f>
        <v>0.07</v>
      </c>
      <c r="AC1336" s="32" t="n">
        <f aca="false">AA1336/(1-AB1336)-AA1336</f>
        <v>9.94536139784947</v>
      </c>
      <c r="AD1336" s="32" t="n">
        <f aca="false">ROUND(AA1336+AC1336,2)</f>
        <v>142.08</v>
      </c>
      <c r="AE1336" s="32" t="n">
        <f aca="false">AD1336-L1336</f>
        <v>-41.46</v>
      </c>
      <c r="AF1336" s="34" t="n">
        <f aca="false">IF(L1336=0,0,AE1336/L1336)</f>
        <v>-0.2258908139915</v>
      </c>
      <c r="AG1336" s="22" t="str">
        <f aca="false">IF(AD1336&lt;L1336,"PASSARO","ATUAL")</f>
        <v>PASSARO</v>
      </c>
      <c r="AH1336" s="22" t="str">
        <f aca="false">IF(P1336&lt;&gt;A1336,"Faixa cadastrada como "&amp;P1336&amp;" na tabela; preço aplicado pela UF do CEP","")</f>
        <v/>
      </c>
      <c r="AI1336" s="26" t="n">
        <v>169.95</v>
      </c>
      <c r="AJ1336" s="22" t="str">
        <f aca="false">INDEX('Tabela Passaro'!$X$2:$X$1795,$N1336)</f>
        <v>CAPITAL</v>
      </c>
    </row>
    <row r="1337" customFormat="false" ht="15" hidden="false" customHeight="false" outlineLevel="0" collapsed="false">
      <c r="A1337" s="22" t="s">
        <v>20</v>
      </c>
      <c r="B1337" s="22" t="n">
        <v>2</v>
      </c>
      <c r="C1337" s="22" t="s">
        <v>149</v>
      </c>
      <c r="D1337" s="22" t="s">
        <v>30</v>
      </c>
      <c r="E1337" s="22" t="s">
        <v>7326</v>
      </c>
      <c r="F1337" s="22" t="n">
        <v>523832</v>
      </c>
      <c r="G1337" s="30" t="n">
        <v>46245</v>
      </c>
      <c r="H1337" s="22" t="n">
        <v>623254</v>
      </c>
      <c r="I1337" s="22" t="s">
        <v>8546</v>
      </c>
      <c r="J1337" s="31" t="n">
        <v>149.8</v>
      </c>
      <c r="K1337" s="26" t="n">
        <v>1444.98</v>
      </c>
      <c r="L1337" s="26" t="n">
        <v>425.32</v>
      </c>
      <c r="M1337" s="22" t="s">
        <v>4793</v>
      </c>
      <c r="N1337" s="22" t="n">
        <f aca="false">MATCH(M1337,'Tabela Passaro'!$A$2:$A$1795,0)</f>
        <v>1147</v>
      </c>
      <c r="O1337" s="22" t="str">
        <f aca="false">INDEX('Tabela Passaro'!$C$2:$C$1795,$N1337)</f>
        <v>JABOATAO DOS GUARARAPES</v>
      </c>
      <c r="P1337" s="22" t="str">
        <f aca="false">INDEX('Tabela Passaro'!$B$2:$B$1795,$N1337)</f>
        <v>PE</v>
      </c>
      <c r="Q1337" s="22" t="n">
        <f aca="false">INDEX('Tabela Passaro'!$F$2:$F$1795,$N1337)</f>
        <v>8</v>
      </c>
      <c r="R1337" s="32" t="n">
        <f aca="false">IF(J1337&lt;=10,INDEX('Tabela Passaro'!$G$2:$G$1795,$N1337),IF(J1337&lt;=30,INDEX('Tabela Passaro'!$H$2:$H$1795,$N1337),IF(J1337&lt;=50,INDEX('Tabela Passaro'!$I$2:$I$1795,$N1337),IF(J1337&lt;=70,INDEX('Tabela Passaro'!$J$2:$J$1795,$N1337),IF(J1337&lt;=100,INDEX('Tabela Passaro'!$K$2:$K$1795,$N1337),INDEX('Tabela Passaro'!$K$2:$K$1795,$N1337)+(J1337-100)*INDEX('Tabela Passaro'!$L$2:$L$1795,$N1337))))))</f>
        <v>197.314</v>
      </c>
      <c r="S1337" s="32" t="n">
        <f aca="false">K1337*INDEX('Tabela Passaro'!$M$2:$M$1795,$N1337)</f>
        <v>7.2249</v>
      </c>
      <c r="T1337" s="32" t="n">
        <f aca="false">K1337*INDEX('Tabela Passaro'!$N$2:$N$1795,$N1337)</f>
        <v>2.88996</v>
      </c>
      <c r="U1337" s="32" t="n">
        <f aca="false">INDEX('Tabela Passaro'!$O$2:$O$1795,$N1337)</f>
        <v>5</v>
      </c>
      <c r="V1337" s="32" t="n">
        <f aca="false">ROUNDUP(J1337/INDEX('Tabela Passaro'!$Q$2:$Q$1795,$N1337),0)*INDEX('Tabela Passaro'!$P$2:$P$1795,$N1337)</f>
        <v>10</v>
      </c>
      <c r="W1337" s="32" t="n">
        <f aca="false">INDEX('Tabela Passaro'!$R$2:$R$1795,$N1337)</f>
        <v>30</v>
      </c>
      <c r="X1337" s="32" t="n">
        <f aca="false">ROUNDUP(J1337/INDEX('Tabela Passaro'!$T$2:$T$1795,$N1337),0)*INDEX('Tabela Passaro'!$S$2:$S$1795,$N1337)</f>
        <v>0</v>
      </c>
      <c r="Y1337" s="32" t="n">
        <f aca="false">INDEX('Tabela Passaro'!$U$2:$U$1795,$N1337)</f>
        <v>0</v>
      </c>
      <c r="Z1337" s="32" t="n">
        <f aca="false">INDEX('Tabela Passaro'!$V$2:$V$1795,$N1337)</f>
        <v>0</v>
      </c>
      <c r="AA1337" s="32" t="n">
        <f aca="false">SUM(R1337:Z1337)</f>
        <v>252.42886</v>
      </c>
      <c r="AB1337" s="33" t="n">
        <f aca="false">INDEX(Premissas!$B$5:$B$13,MATCH(A1337,Premissas!$A$5:$A$13,0))</f>
        <v>0.07</v>
      </c>
      <c r="AC1337" s="32" t="n">
        <f aca="false">AA1337/(1-AB1337)-AA1337</f>
        <v>19.0000217204301</v>
      </c>
      <c r="AD1337" s="32" t="n">
        <f aca="false">ROUND(AA1337+AC1337,2)</f>
        <v>271.43</v>
      </c>
      <c r="AE1337" s="32" t="n">
        <f aca="false">AD1337-L1337</f>
        <v>-153.89</v>
      </c>
      <c r="AF1337" s="34" t="n">
        <f aca="false">IF(L1337=0,0,AE1337/L1337)</f>
        <v>-0.361821687200226</v>
      </c>
      <c r="AG1337" s="22" t="str">
        <f aca="false">IF(AD1337&lt;L1337,"PASSARO","ATUAL")</f>
        <v>PASSARO</v>
      </c>
      <c r="AH1337" s="22" t="str">
        <f aca="false">IF(P1337&lt;&gt;A1337,"Faixa cadastrada como "&amp;P1337&amp;" na tabela; preço aplicado pela UF do CEP","")</f>
        <v/>
      </c>
      <c r="AI1337" s="26" t="n">
        <v>370.33</v>
      </c>
      <c r="AJ1337" s="22" t="str">
        <f aca="false">INDEX('Tabela Passaro'!$X$2:$X$1795,$N1337)</f>
        <v>CAPITAL</v>
      </c>
    </row>
    <row r="1338" customFormat="false" ht="15" hidden="false" customHeight="false" outlineLevel="0" collapsed="false">
      <c r="A1338" s="22" t="s">
        <v>20</v>
      </c>
      <c r="B1338" s="22" t="n">
        <v>2</v>
      </c>
      <c r="C1338" s="22" t="s">
        <v>149</v>
      </c>
      <c r="D1338" s="22" t="s">
        <v>30</v>
      </c>
      <c r="E1338" s="22" t="s">
        <v>20</v>
      </c>
      <c r="F1338" s="22" t="n">
        <v>838796</v>
      </c>
      <c r="G1338" s="30" t="n">
        <v>46246</v>
      </c>
      <c r="H1338" s="22" t="n">
        <v>614673</v>
      </c>
      <c r="I1338" s="22" t="s">
        <v>8547</v>
      </c>
      <c r="J1338" s="31" t="n">
        <v>66.8</v>
      </c>
      <c r="K1338" s="26" t="n">
        <v>917.97</v>
      </c>
      <c r="L1338" s="26" t="n">
        <v>257.61</v>
      </c>
      <c r="M1338" s="22" t="s">
        <v>4793</v>
      </c>
      <c r="N1338" s="22" t="n">
        <f aca="false">MATCH(M1338,'Tabela Passaro'!$A$2:$A$1795,0)</f>
        <v>1147</v>
      </c>
      <c r="O1338" s="22" t="str">
        <f aca="false">INDEX('Tabela Passaro'!$C$2:$C$1795,$N1338)</f>
        <v>JABOATAO DOS GUARARAPES</v>
      </c>
      <c r="P1338" s="22" t="str">
        <f aca="false">INDEX('Tabela Passaro'!$B$2:$B$1795,$N1338)</f>
        <v>PE</v>
      </c>
      <c r="Q1338" s="22" t="n">
        <f aca="false">INDEX('Tabela Passaro'!$F$2:$F$1795,$N1338)</f>
        <v>8</v>
      </c>
      <c r="R1338" s="32" t="n">
        <f aca="false">IF(J1338&lt;=10,INDEX('Tabela Passaro'!$G$2:$G$1795,$N1338),IF(J1338&lt;=30,INDEX('Tabela Passaro'!$H$2:$H$1795,$N1338),IF(J1338&lt;=50,INDEX('Tabela Passaro'!$I$2:$I$1795,$N1338),IF(J1338&lt;=70,INDEX('Tabela Passaro'!$J$2:$J$1795,$N1338),IF(J1338&lt;=100,INDEX('Tabela Passaro'!$K$2:$K$1795,$N1338),INDEX('Tabela Passaro'!$K$2:$K$1795,$N1338)+(J1338-100)*INDEX('Tabela Passaro'!$L$2:$L$1795,$N1338))))))</f>
        <v>99.61</v>
      </c>
      <c r="S1338" s="32" t="n">
        <f aca="false">K1338*INDEX('Tabela Passaro'!$M$2:$M$1795,$N1338)</f>
        <v>4.58985</v>
      </c>
      <c r="T1338" s="32" t="n">
        <f aca="false">K1338*INDEX('Tabela Passaro'!$N$2:$N$1795,$N1338)</f>
        <v>1.83594</v>
      </c>
      <c r="U1338" s="32" t="n">
        <f aca="false">INDEX('Tabela Passaro'!$O$2:$O$1795,$N1338)</f>
        <v>5</v>
      </c>
      <c r="V1338" s="32" t="n">
        <f aca="false">ROUNDUP(J1338/INDEX('Tabela Passaro'!$Q$2:$Q$1795,$N1338),0)*INDEX('Tabela Passaro'!$P$2:$P$1795,$N1338)</f>
        <v>5</v>
      </c>
      <c r="W1338" s="32" t="n">
        <f aca="false">INDEX('Tabela Passaro'!$R$2:$R$1795,$N1338)</f>
        <v>30</v>
      </c>
      <c r="X1338" s="32" t="n">
        <f aca="false">ROUNDUP(J1338/INDEX('Tabela Passaro'!$T$2:$T$1795,$N1338),0)*INDEX('Tabela Passaro'!$S$2:$S$1795,$N1338)</f>
        <v>0</v>
      </c>
      <c r="Y1338" s="32" t="n">
        <f aca="false">INDEX('Tabela Passaro'!$U$2:$U$1795,$N1338)</f>
        <v>0</v>
      </c>
      <c r="Z1338" s="32" t="n">
        <f aca="false">INDEX('Tabela Passaro'!$V$2:$V$1795,$N1338)</f>
        <v>0</v>
      </c>
      <c r="AA1338" s="32" t="n">
        <f aca="false">SUM(R1338:Z1338)</f>
        <v>146.03579</v>
      </c>
      <c r="AB1338" s="33" t="n">
        <f aca="false">INDEX(Premissas!$B$5:$B$13,MATCH(A1338,Premissas!$A$5:$A$13,0))</f>
        <v>0.07</v>
      </c>
      <c r="AC1338" s="32" t="n">
        <f aca="false">AA1338/(1-AB1338)-AA1338</f>
        <v>10.9919411827957</v>
      </c>
      <c r="AD1338" s="32" t="n">
        <f aca="false">ROUND(AA1338+AC1338,2)</f>
        <v>157.03</v>
      </c>
      <c r="AE1338" s="32" t="n">
        <f aca="false">AD1338-L1338</f>
        <v>-100.58</v>
      </c>
      <c r="AF1338" s="34" t="n">
        <f aca="false">IF(L1338=0,0,AE1338/L1338)</f>
        <v>-0.390435153914833</v>
      </c>
      <c r="AG1338" s="22" t="str">
        <f aca="false">IF(AD1338&lt;L1338,"PASSARO","ATUAL")</f>
        <v>PASSARO</v>
      </c>
      <c r="AH1338" s="22" t="str">
        <f aca="false">IF(P1338&lt;&gt;A1338,"Faixa cadastrada como "&amp;P1338&amp;" na tabela; preço aplicado pela UF do CEP","")</f>
        <v/>
      </c>
      <c r="AI1338" s="26" t="n">
        <v>202.92</v>
      </c>
      <c r="AJ1338" s="22" t="str">
        <f aca="false">INDEX('Tabela Passaro'!$X$2:$X$1795,$N1338)</f>
        <v>CAPITAL</v>
      </c>
    </row>
    <row r="1339" customFormat="false" ht="15" hidden="false" customHeight="false" outlineLevel="0" collapsed="false">
      <c r="A1339" s="22" t="s">
        <v>20</v>
      </c>
      <c r="B1339" s="22" t="n">
        <v>2</v>
      </c>
      <c r="C1339" s="22" t="s">
        <v>149</v>
      </c>
      <c r="D1339" s="22" t="s">
        <v>30</v>
      </c>
      <c r="E1339" s="22" t="s">
        <v>7326</v>
      </c>
      <c r="F1339" s="22" t="n">
        <v>524664</v>
      </c>
      <c r="G1339" s="30" t="n">
        <v>46247</v>
      </c>
      <c r="H1339" s="22" t="n">
        <v>621680</v>
      </c>
      <c r="I1339" s="22" t="s">
        <v>8548</v>
      </c>
      <c r="J1339" s="31" t="n">
        <v>11</v>
      </c>
      <c r="K1339" s="26" t="n">
        <v>547.93</v>
      </c>
      <c r="L1339" s="26" t="n">
        <v>87.47</v>
      </c>
      <c r="M1339" s="22" t="s">
        <v>4793</v>
      </c>
      <c r="N1339" s="22" t="n">
        <f aca="false">MATCH(M1339,'Tabela Passaro'!$A$2:$A$1795,0)</f>
        <v>1147</v>
      </c>
      <c r="O1339" s="22" t="str">
        <f aca="false">INDEX('Tabela Passaro'!$C$2:$C$1795,$N1339)</f>
        <v>JABOATAO DOS GUARARAPES</v>
      </c>
      <c r="P1339" s="22" t="str">
        <f aca="false">INDEX('Tabela Passaro'!$B$2:$B$1795,$N1339)</f>
        <v>PE</v>
      </c>
      <c r="Q1339" s="22" t="n">
        <f aca="false">INDEX('Tabela Passaro'!$F$2:$F$1795,$N1339)</f>
        <v>8</v>
      </c>
      <c r="R1339" s="32" t="n">
        <f aca="false">IF(J1339&lt;=10,INDEX('Tabela Passaro'!$G$2:$G$1795,$N1339),IF(J1339&lt;=30,INDEX('Tabela Passaro'!$H$2:$H$1795,$N1339),IF(J1339&lt;=50,INDEX('Tabela Passaro'!$I$2:$I$1795,$N1339),IF(J1339&lt;=70,INDEX('Tabela Passaro'!$J$2:$J$1795,$N1339),IF(J1339&lt;=100,INDEX('Tabela Passaro'!$K$2:$K$1795,$N1339),INDEX('Tabela Passaro'!$K$2:$K$1795,$N1339)+(J1339-100)*INDEX('Tabela Passaro'!$L$2:$L$1795,$N1339))))))</f>
        <v>66.55</v>
      </c>
      <c r="S1339" s="32" t="n">
        <f aca="false">K1339*INDEX('Tabela Passaro'!$M$2:$M$1795,$N1339)</f>
        <v>2.73965</v>
      </c>
      <c r="T1339" s="32" t="n">
        <f aca="false">K1339*INDEX('Tabela Passaro'!$N$2:$N$1795,$N1339)</f>
        <v>1.09586</v>
      </c>
      <c r="U1339" s="32" t="n">
        <f aca="false">INDEX('Tabela Passaro'!$O$2:$O$1795,$N1339)</f>
        <v>5</v>
      </c>
      <c r="V1339" s="32" t="n">
        <f aca="false">ROUNDUP(J1339/INDEX('Tabela Passaro'!$Q$2:$Q$1795,$N1339),0)*INDEX('Tabela Passaro'!$P$2:$P$1795,$N1339)</f>
        <v>5</v>
      </c>
      <c r="W1339" s="32" t="n">
        <f aca="false">INDEX('Tabela Passaro'!$R$2:$R$1795,$N1339)</f>
        <v>30</v>
      </c>
      <c r="X1339" s="32" t="n">
        <f aca="false">ROUNDUP(J1339/INDEX('Tabela Passaro'!$T$2:$T$1795,$N1339),0)*INDEX('Tabela Passaro'!$S$2:$S$1795,$N1339)</f>
        <v>0</v>
      </c>
      <c r="Y1339" s="32" t="n">
        <f aca="false">INDEX('Tabela Passaro'!$U$2:$U$1795,$N1339)</f>
        <v>0</v>
      </c>
      <c r="Z1339" s="32" t="n">
        <f aca="false">INDEX('Tabela Passaro'!$V$2:$V$1795,$N1339)</f>
        <v>0</v>
      </c>
      <c r="AA1339" s="32" t="n">
        <f aca="false">SUM(R1339:Z1339)</f>
        <v>110.38551</v>
      </c>
      <c r="AB1339" s="33" t="n">
        <f aca="false">INDEX(Premissas!$B$5:$B$13,MATCH(A1339,Premissas!$A$5:$A$13,0))</f>
        <v>0.07</v>
      </c>
      <c r="AC1339" s="32" t="n">
        <f aca="false">AA1339/(1-AB1339)-AA1339</f>
        <v>8.30858677419356</v>
      </c>
      <c r="AD1339" s="32" t="n">
        <f aca="false">ROUND(AA1339+AC1339,2)</f>
        <v>118.69</v>
      </c>
      <c r="AE1339" s="32" t="n">
        <f aca="false">AD1339-L1339</f>
        <v>31.22</v>
      </c>
      <c r="AF1339" s="34" t="n">
        <f aca="false">IF(L1339=0,0,AE1339/L1339)</f>
        <v>0.356922373385161</v>
      </c>
      <c r="AG1339" s="22" t="str">
        <f aca="false">IF(AD1339&lt;L1339,"PASSARO","ATUAL")</f>
        <v>ATUAL</v>
      </c>
      <c r="AH1339" s="22" t="str">
        <f aca="false">IF(P1339&lt;&gt;A1339,"Faixa cadastrada como "&amp;P1339&amp;" na tabela; preço aplicado pela UF do CEP","")</f>
        <v/>
      </c>
      <c r="AI1339" s="26" t="n">
        <v>134.66</v>
      </c>
      <c r="AJ1339" s="22" t="str">
        <f aca="false">INDEX('Tabela Passaro'!$X$2:$X$1795,$N1339)</f>
        <v>CAPITAL</v>
      </c>
    </row>
    <row r="1340" customFormat="false" ht="15" hidden="false" customHeight="false" outlineLevel="0" collapsed="false">
      <c r="A1340" s="22" t="s">
        <v>20</v>
      </c>
      <c r="B1340" s="22" t="n">
        <v>2</v>
      </c>
      <c r="C1340" s="22" t="s">
        <v>149</v>
      </c>
      <c r="D1340" s="22" t="s">
        <v>30</v>
      </c>
      <c r="E1340" s="22" t="s">
        <v>7328</v>
      </c>
      <c r="F1340" s="22" t="n">
        <v>2312165</v>
      </c>
      <c r="G1340" s="30" t="n">
        <v>46248</v>
      </c>
      <c r="H1340" s="22" t="n">
        <v>131505</v>
      </c>
      <c r="I1340" s="22" t="s">
        <v>8549</v>
      </c>
      <c r="J1340" s="31" t="n">
        <v>48</v>
      </c>
      <c r="K1340" s="26" t="n">
        <v>1104.98</v>
      </c>
      <c r="L1340" s="26" t="n">
        <v>168.04</v>
      </c>
      <c r="M1340" s="22" t="s">
        <v>4793</v>
      </c>
      <c r="N1340" s="22" t="n">
        <f aca="false">MATCH(M1340,'Tabela Passaro'!$A$2:$A$1795,0)</f>
        <v>1147</v>
      </c>
      <c r="O1340" s="22" t="str">
        <f aca="false">INDEX('Tabela Passaro'!$C$2:$C$1795,$N1340)</f>
        <v>JABOATAO DOS GUARARAPES</v>
      </c>
      <c r="P1340" s="22" t="str">
        <f aca="false">INDEX('Tabela Passaro'!$B$2:$B$1795,$N1340)</f>
        <v>PE</v>
      </c>
      <c r="Q1340" s="22" t="n">
        <f aca="false">INDEX('Tabela Passaro'!$F$2:$F$1795,$N1340)</f>
        <v>8</v>
      </c>
      <c r="R1340" s="32" t="n">
        <f aca="false">IF(J1340&lt;=10,INDEX('Tabela Passaro'!$G$2:$G$1795,$N1340),IF(J1340&lt;=30,INDEX('Tabela Passaro'!$H$2:$H$1795,$N1340),IF(J1340&lt;=50,INDEX('Tabela Passaro'!$I$2:$I$1795,$N1340),IF(J1340&lt;=70,INDEX('Tabela Passaro'!$J$2:$J$1795,$N1340),IF(J1340&lt;=100,INDEX('Tabela Passaro'!$K$2:$K$1795,$N1340),INDEX('Tabela Passaro'!$K$2:$K$1795,$N1340)+(J1340-100)*INDEX('Tabela Passaro'!$L$2:$L$1795,$N1340))))))</f>
        <v>88.59</v>
      </c>
      <c r="S1340" s="32" t="n">
        <f aca="false">K1340*INDEX('Tabela Passaro'!$M$2:$M$1795,$N1340)</f>
        <v>5.5249</v>
      </c>
      <c r="T1340" s="32" t="n">
        <f aca="false">K1340*INDEX('Tabela Passaro'!$N$2:$N$1795,$N1340)</f>
        <v>2.20996</v>
      </c>
      <c r="U1340" s="32" t="n">
        <f aca="false">INDEX('Tabela Passaro'!$O$2:$O$1795,$N1340)</f>
        <v>5</v>
      </c>
      <c r="V1340" s="32" t="n">
        <f aca="false">ROUNDUP(J1340/INDEX('Tabela Passaro'!$Q$2:$Q$1795,$N1340),0)*INDEX('Tabela Passaro'!$P$2:$P$1795,$N1340)</f>
        <v>5</v>
      </c>
      <c r="W1340" s="32" t="n">
        <f aca="false">INDEX('Tabela Passaro'!$R$2:$R$1795,$N1340)</f>
        <v>30</v>
      </c>
      <c r="X1340" s="32" t="n">
        <f aca="false">ROUNDUP(J1340/INDEX('Tabela Passaro'!$T$2:$T$1795,$N1340),0)*INDEX('Tabela Passaro'!$S$2:$S$1795,$N1340)</f>
        <v>0</v>
      </c>
      <c r="Y1340" s="32" t="n">
        <f aca="false">INDEX('Tabela Passaro'!$U$2:$U$1795,$N1340)</f>
        <v>0</v>
      </c>
      <c r="Z1340" s="32" t="n">
        <f aca="false">INDEX('Tabela Passaro'!$V$2:$V$1795,$N1340)</f>
        <v>0</v>
      </c>
      <c r="AA1340" s="32" t="n">
        <f aca="false">SUM(R1340:Z1340)</f>
        <v>136.32486</v>
      </c>
      <c r="AB1340" s="33" t="n">
        <f aca="false">INDEX(Premissas!$B$5:$B$13,MATCH(A1340,Premissas!$A$5:$A$13,0))</f>
        <v>0.07</v>
      </c>
      <c r="AC1340" s="32" t="n">
        <f aca="false">AA1340/(1-AB1340)-AA1340</f>
        <v>10.261010967742</v>
      </c>
      <c r="AD1340" s="32" t="n">
        <f aca="false">ROUND(AA1340+AC1340,2)</f>
        <v>146.59</v>
      </c>
      <c r="AE1340" s="32" t="n">
        <f aca="false">AD1340-L1340</f>
        <v>-21.45</v>
      </c>
      <c r="AF1340" s="34" t="n">
        <f aca="false">IF(L1340=0,0,AE1340/L1340)</f>
        <v>-0.127648179004999</v>
      </c>
      <c r="AG1340" s="22" t="str">
        <f aca="false">IF(AD1340&lt;L1340,"PASSARO","ATUAL")</f>
        <v>PASSARO</v>
      </c>
      <c r="AH1340" s="22" t="str">
        <f aca="false">IF(P1340&lt;&gt;A1340,"Faixa cadastrada como "&amp;P1340&amp;" na tabela; preço aplicado pela UF do CEP","")</f>
        <v/>
      </c>
      <c r="AI1340" s="26" t="n">
        <v>183.01</v>
      </c>
      <c r="AJ1340" s="22" t="str">
        <f aca="false">INDEX('Tabela Passaro'!$X$2:$X$1795,$N1340)</f>
        <v>CAPITAL</v>
      </c>
    </row>
    <row r="1341" customFormat="false" ht="15" hidden="false" customHeight="false" outlineLevel="0" collapsed="false">
      <c r="A1341" s="22" t="s">
        <v>20</v>
      </c>
      <c r="B1341" s="22" t="n">
        <v>2</v>
      </c>
      <c r="C1341" s="22" t="s">
        <v>149</v>
      </c>
      <c r="D1341" s="22" t="s">
        <v>30</v>
      </c>
      <c r="E1341" s="22" t="s">
        <v>7328</v>
      </c>
      <c r="F1341" s="22" t="n">
        <v>2312307</v>
      </c>
      <c r="G1341" s="30" t="n">
        <v>46248</v>
      </c>
      <c r="H1341" s="22" t="n">
        <v>133204</v>
      </c>
      <c r="I1341" s="22" t="s">
        <v>8550</v>
      </c>
      <c r="J1341" s="31" t="n">
        <v>66.4</v>
      </c>
      <c r="K1341" s="26" t="n">
        <v>924.11</v>
      </c>
      <c r="L1341" s="26" t="n">
        <v>209.87</v>
      </c>
      <c r="M1341" s="22" t="s">
        <v>4793</v>
      </c>
      <c r="N1341" s="22" t="n">
        <f aca="false">MATCH(M1341,'Tabela Passaro'!$A$2:$A$1795,0)</f>
        <v>1147</v>
      </c>
      <c r="O1341" s="22" t="str">
        <f aca="false">INDEX('Tabela Passaro'!$C$2:$C$1795,$N1341)</f>
        <v>JABOATAO DOS GUARARAPES</v>
      </c>
      <c r="P1341" s="22" t="str">
        <f aca="false">INDEX('Tabela Passaro'!$B$2:$B$1795,$N1341)</f>
        <v>PE</v>
      </c>
      <c r="Q1341" s="22" t="n">
        <f aca="false">INDEX('Tabela Passaro'!$F$2:$F$1795,$N1341)</f>
        <v>8</v>
      </c>
      <c r="R1341" s="32" t="n">
        <f aca="false">IF(J1341&lt;=10,INDEX('Tabela Passaro'!$G$2:$G$1795,$N1341),IF(J1341&lt;=30,INDEX('Tabela Passaro'!$H$2:$H$1795,$N1341),IF(J1341&lt;=50,INDEX('Tabela Passaro'!$I$2:$I$1795,$N1341),IF(J1341&lt;=70,INDEX('Tabela Passaro'!$J$2:$J$1795,$N1341),IF(J1341&lt;=100,INDEX('Tabela Passaro'!$K$2:$K$1795,$N1341),INDEX('Tabela Passaro'!$K$2:$K$1795,$N1341)+(J1341-100)*INDEX('Tabela Passaro'!$L$2:$L$1795,$N1341))))))</f>
        <v>99.61</v>
      </c>
      <c r="S1341" s="32" t="n">
        <f aca="false">K1341*INDEX('Tabela Passaro'!$M$2:$M$1795,$N1341)</f>
        <v>4.62055</v>
      </c>
      <c r="T1341" s="32" t="n">
        <f aca="false">K1341*INDEX('Tabela Passaro'!$N$2:$N$1795,$N1341)</f>
        <v>1.84822</v>
      </c>
      <c r="U1341" s="32" t="n">
        <f aca="false">INDEX('Tabela Passaro'!$O$2:$O$1795,$N1341)</f>
        <v>5</v>
      </c>
      <c r="V1341" s="32" t="n">
        <f aca="false">ROUNDUP(J1341/INDEX('Tabela Passaro'!$Q$2:$Q$1795,$N1341),0)*INDEX('Tabela Passaro'!$P$2:$P$1795,$N1341)</f>
        <v>5</v>
      </c>
      <c r="W1341" s="32" t="n">
        <f aca="false">INDEX('Tabela Passaro'!$R$2:$R$1795,$N1341)</f>
        <v>30</v>
      </c>
      <c r="X1341" s="32" t="n">
        <f aca="false">ROUNDUP(J1341/INDEX('Tabela Passaro'!$T$2:$T$1795,$N1341),0)*INDEX('Tabela Passaro'!$S$2:$S$1795,$N1341)</f>
        <v>0</v>
      </c>
      <c r="Y1341" s="32" t="n">
        <f aca="false">INDEX('Tabela Passaro'!$U$2:$U$1795,$N1341)</f>
        <v>0</v>
      </c>
      <c r="Z1341" s="32" t="n">
        <f aca="false">INDEX('Tabela Passaro'!$V$2:$V$1795,$N1341)</f>
        <v>0</v>
      </c>
      <c r="AA1341" s="32" t="n">
        <f aca="false">SUM(R1341:Z1341)</f>
        <v>146.07877</v>
      </c>
      <c r="AB1341" s="33" t="n">
        <f aca="false">INDEX(Premissas!$B$5:$B$13,MATCH(A1341,Premissas!$A$5:$A$13,0))</f>
        <v>0.07</v>
      </c>
      <c r="AC1341" s="32" t="n">
        <f aca="false">AA1341/(1-AB1341)-AA1341</f>
        <v>10.9951762365592</v>
      </c>
      <c r="AD1341" s="32" t="n">
        <f aca="false">ROUND(AA1341+AC1341,2)</f>
        <v>157.07</v>
      </c>
      <c r="AE1341" s="32" t="n">
        <f aca="false">AD1341-L1341</f>
        <v>-52.8</v>
      </c>
      <c r="AF1341" s="34" t="n">
        <f aca="false">IF(L1341=0,0,AE1341/L1341)</f>
        <v>-0.251584314099204</v>
      </c>
      <c r="AG1341" s="22" t="str">
        <f aca="false">IF(AD1341&lt;L1341,"PASSARO","ATUAL")</f>
        <v>PASSARO</v>
      </c>
      <c r="AH1341" s="22" t="str">
        <f aca="false">IF(P1341&lt;&gt;A1341,"Faixa cadastrada como "&amp;P1341&amp;" na tabela; preço aplicado pela UF do CEP","")</f>
        <v/>
      </c>
      <c r="AI1341" s="26" t="n">
        <v>202.98</v>
      </c>
      <c r="AJ1341" s="22" t="str">
        <f aca="false">INDEX('Tabela Passaro'!$X$2:$X$1795,$N1341)</f>
        <v>CAPITAL</v>
      </c>
    </row>
    <row r="1342" customFormat="false" ht="15" hidden="false" customHeight="false" outlineLevel="0" collapsed="false">
      <c r="A1342" s="22" t="s">
        <v>20</v>
      </c>
      <c r="B1342" s="22" t="n">
        <v>2</v>
      </c>
      <c r="C1342" s="22" t="s">
        <v>149</v>
      </c>
      <c r="D1342" s="22" t="s">
        <v>30</v>
      </c>
      <c r="E1342" s="22" t="s">
        <v>7328</v>
      </c>
      <c r="F1342" s="22" t="n">
        <v>2313765</v>
      </c>
      <c r="G1342" s="30" t="n">
        <v>46253</v>
      </c>
      <c r="H1342" s="22" t="n">
        <v>133874</v>
      </c>
      <c r="I1342" s="22" t="s">
        <v>8551</v>
      </c>
      <c r="J1342" s="31" t="n">
        <v>51.06</v>
      </c>
      <c r="K1342" s="26" t="n">
        <v>902.64</v>
      </c>
      <c r="L1342" s="26" t="n">
        <v>209.7</v>
      </c>
      <c r="M1342" s="22" t="s">
        <v>4793</v>
      </c>
      <c r="N1342" s="22" t="n">
        <f aca="false">MATCH(M1342,'Tabela Passaro'!$A$2:$A$1795,0)</f>
        <v>1147</v>
      </c>
      <c r="O1342" s="22" t="str">
        <f aca="false">INDEX('Tabela Passaro'!$C$2:$C$1795,$N1342)</f>
        <v>JABOATAO DOS GUARARAPES</v>
      </c>
      <c r="P1342" s="22" t="str">
        <f aca="false">INDEX('Tabela Passaro'!$B$2:$B$1795,$N1342)</f>
        <v>PE</v>
      </c>
      <c r="Q1342" s="22" t="n">
        <f aca="false">INDEX('Tabela Passaro'!$F$2:$F$1795,$N1342)</f>
        <v>8</v>
      </c>
      <c r="R1342" s="32" t="n">
        <f aca="false">IF(J1342&lt;=10,INDEX('Tabela Passaro'!$G$2:$G$1795,$N1342),IF(J1342&lt;=30,INDEX('Tabela Passaro'!$H$2:$H$1795,$N1342),IF(J1342&lt;=50,INDEX('Tabela Passaro'!$I$2:$I$1795,$N1342),IF(J1342&lt;=70,INDEX('Tabela Passaro'!$J$2:$J$1795,$N1342),IF(J1342&lt;=100,INDEX('Tabela Passaro'!$K$2:$K$1795,$N1342),INDEX('Tabela Passaro'!$K$2:$K$1795,$N1342)+(J1342-100)*INDEX('Tabela Passaro'!$L$2:$L$1795,$N1342))))))</f>
        <v>99.61</v>
      </c>
      <c r="S1342" s="32" t="n">
        <f aca="false">K1342*INDEX('Tabela Passaro'!$M$2:$M$1795,$N1342)</f>
        <v>4.5132</v>
      </c>
      <c r="T1342" s="32" t="n">
        <f aca="false">K1342*INDEX('Tabela Passaro'!$N$2:$N$1795,$N1342)</f>
        <v>1.80528</v>
      </c>
      <c r="U1342" s="32" t="n">
        <f aca="false">INDEX('Tabela Passaro'!$O$2:$O$1795,$N1342)</f>
        <v>5</v>
      </c>
      <c r="V1342" s="32" t="n">
        <f aca="false">ROUNDUP(J1342/INDEX('Tabela Passaro'!$Q$2:$Q$1795,$N1342),0)*INDEX('Tabela Passaro'!$P$2:$P$1795,$N1342)</f>
        <v>5</v>
      </c>
      <c r="W1342" s="32" t="n">
        <f aca="false">INDEX('Tabela Passaro'!$R$2:$R$1795,$N1342)</f>
        <v>30</v>
      </c>
      <c r="X1342" s="32" t="n">
        <f aca="false">ROUNDUP(J1342/INDEX('Tabela Passaro'!$T$2:$T$1795,$N1342),0)*INDEX('Tabela Passaro'!$S$2:$S$1795,$N1342)</f>
        <v>0</v>
      </c>
      <c r="Y1342" s="32" t="n">
        <f aca="false">INDEX('Tabela Passaro'!$U$2:$U$1795,$N1342)</f>
        <v>0</v>
      </c>
      <c r="Z1342" s="32" t="n">
        <f aca="false">INDEX('Tabela Passaro'!$V$2:$V$1795,$N1342)</f>
        <v>0</v>
      </c>
      <c r="AA1342" s="32" t="n">
        <f aca="false">SUM(R1342:Z1342)</f>
        <v>145.92848</v>
      </c>
      <c r="AB1342" s="33" t="n">
        <f aca="false">INDEX(Premissas!$B$5:$B$13,MATCH(A1342,Premissas!$A$5:$A$13,0))</f>
        <v>0.07</v>
      </c>
      <c r="AC1342" s="32" t="n">
        <f aca="false">AA1342/(1-AB1342)-AA1342</f>
        <v>10.9838640860215</v>
      </c>
      <c r="AD1342" s="32" t="n">
        <f aca="false">ROUND(AA1342+AC1342,2)</f>
        <v>156.91</v>
      </c>
      <c r="AE1342" s="32" t="n">
        <f aca="false">AD1342-L1342</f>
        <v>-52.79</v>
      </c>
      <c r="AF1342" s="34" t="n">
        <f aca="false">IF(L1342=0,0,AE1342/L1342)</f>
        <v>-0.2517405817835</v>
      </c>
      <c r="AG1342" s="22" t="str">
        <f aca="false">IF(AD1342&lt;L1342,"PASSARO","ATUAL")</f>
        <v>PASSARO</v>
      </c>
      <c r="AH1342" s="22" t="str">
        <f aca="false">IF(P1342&lt;&gt;A1342,"Faixa cadastrada como "&amp;P1342&amp;" na tabela; preço aplicado pela UF do CEP","")</f>
        <v/>
      </c>
      <c r="AI1342" s="26" t="n">
        <v>195.51</v>
      </c>
      <c r="AJ1342" s="22" t="str">
        <f aca="false">INDEX('Tabela Passaro'!$X$2:$X$1795,$N1342)</f>
        <v>CAPITAL</v>
      </c>
    </row>
    <row r="1343" customFormat="false" ht="15" hidden="false" customHeight="false" outlineLevel="0" collapsed="false">
      <c r="A1343" s="22" t="s">
        <v>20</v>
      </c>
      <c r="B1343" s="22" t="n">
        <v>2</v>
      </c>
      <c r="C1343" s="22" t="s">
        <v>149</v>
      </c>
      <c r="D1343" s="22" t="s">
        <v>30</v>
      </c>
      <c r="E1343" s="22" t="s">
        <v>7328</v>
      </c>
      <c r="F1343" s="22" t="n">
        <v>2313791</v>
      </c>
      <c r="G1343" s="30" t="n">
        <v>46253</v>
      </c>
      <c r="H1343" s="22" t="n">
        <v>133881</v>
      </c>
      <c r="I1343" s="22" t="s">
        <v>8552</v>
      </c>
      <c r="J1343" s="31" t="n">
        <v>32.7</v>
      </c>
      <c r="K1343" s="26" t="n">
        <v>538.19</v>
      </c>
      <c r="L1343" s="26" t="n">
        <v>163.57</v>
      </c>
      <c r="M1343" s="22" t="s">
        <v>4793</v>
      </c>
      <c r="N1343" s="22" t="n">
        <f aca="false">MATCH(M1343,'Tabela Passaro'!$A$2:$A$1795,0)</f>
        <v>1147</v>
      </c>
      <c r="O1343" s="22" t="str">
        <f aca="false">INDEX('Tabela Passaro'!$C$2:$C$1795,$N1343)</f>
        <v>JABOATAO DOS GUARARAPES</v>
      </c>
      <c r="P1343" s="22" t="str">
        <f aca="false">INDEX('Tabela Passaro'!$B$2:$B$1795,$N1343)</f>
        <v>PE</v>
      </c>
      <c r="Q1343" s="22" t="n">
        <f aca="false">INDEX('Tabela Passaro'!$F$2:$F$1795,$N1343)</f>
        <v>8</v>
      </c>
      <c r="R1343" s="32" t="n">
        <f aca="false">IF(J1343&lt;=10,INDEX('Tabela Passaro'!$G$2:$G$1795,$N1343),IF(J1343&lt;=30,INDEX('Tabela Passaro'!$H$2:$H$1795,$N1343),IF(J1343&lt;=50,INDEX('Tabela Passaro'!$I$2:$I$1795,$N1343),IF(J1343&lt;=70,INDEX('Tabela Passaro'!$J$2:$J$1795,$N1343),IF(J1343&lt;=100,INDEX('Tabela Passaro'!$K$2:$K$1795,$N1343),INDEX('Tabela Passaro'!$K$2:$K$1795,$N1343)+(J1343-100)*INDEX('Tabela Passaro'!$L$2:$L$1795,$N1343))))))</f>
        <v>88.59</v>
      </c>
      <c r="S1343" s="32" t="n">
        <f aca="false">K1343*INDEX('Tabela Passaro'!$M$2:$M$1795,$N1343)</f>
        <v>2.69095</v>
      </c>
      <c r="T1343" s="32" t="n">
        <f aca="false">K1343*INDEX('Tabela Passaro'!$N$2:$N$1795,$N1343)</f>
        <v>1.07638</v>
      </c>
      <c r="U1343" s="32" t="n">
        <f aca="false">INDEX('Tabela Passaro'!$O$2:$O$1795,$N1343)</f>
        <v>5</v>
      </c>
      <c r="V1343" s="32" t="n">
        <f aca="false">ROUNDUP(J1343/INDEX('Tabela Passaro'!$Q$2:$Q$1795,$N1343),0)*INDEX('Tabela Passaro'!$P$2:$P$1795,$N1343)</f>
        <v>5</v>
      </c>
      <c r="W1343" s="32" t="n">
        <f aca="false">INDEX('Tabela Passaro'!$R$2:$R$1795,$N1343)</f>
        <v>30</v>
      </c>
      <c r="X1343" s="32" t="n">
        <f aca="false">ROUNDUP(J1343/INDEX('Tabela Passaro'!$T$2:$T$1795,$N1343),0)*INDEX('Tabela Passaro'!$S$2:$S$1795,$N1343)</f>
        <v>0</v>
      </c>
      <c r="Y1343" s="32" t="n">
        <f aca="false">INDEX('Tabela Passaro'!$U$2:$U$1795,$N1343)</f>
        <v>0</v>
      </c>
      <c r="Z1343" s="32" t="n">
        <f aca="false">INDEX('Tabela Passaro'!$V$2:$V$1795,$N1343)</f>
        <v>0</v>
      </c>
      <c r="AA1343" s="32" t="n">
        <f aca="false">SUM(R1343:Z1343)</f>
        <v>132.35733</v>
      </c>
      <c r="AB1343" s="33" t="n">
        <f aca="false">INDEX(Premissas!$B$5:$B$13,MATCH(A1343,Premissas!$A$5:$A$13,0))</f>
        <v>0.07</v>
      </c>
      <c r="AC1343" s="32" t="n">
        <f aca="false">AA1343/(1-AB1343)-AA1343</f>
        <v>9.96237967741936</v>
      </c>
      <c r="AD1343" s="32" t="n">
        <f aca="false">ROUND(AA1343+AC1343,2)</f>
        <v>142.32</v>
      </c>
      <c r="AE1343" s="32" t="n">
        <f aca="false">AD1343-L1343</f>
        <v>-21.25</v>
      </c>
      <c r="AF1343" s="34" t="n">
        <f aca="false">IF(L1343=0,0,AE1343/L1343)</f>
        <v>-0.129913798373785</v>
      </c>
      <c r="AG1343" s="22" t="str">
        <f aca="false">IF(AD1343&lt;L1343,"PASSARO","ATUAL")</f>
        <v>PASSARO</v>
      </c>
      <c r="AH1343" s="22" t="str">
        <f aca="false">IF(P1343&lt;&gt;A1343,"Faixa cadastrada como "&amp;P1343&amp;" na tabela; preço aplicado pela UF do CEP","")</f>
        <v/>
      </c>
      <c r="AI1343" s="26" t="n">
        <v>170.26</v>
      </c>
      <c r="AJ1343" s="22" t="str">
        <f aca="false">INDEX('Tabela Passaro'!$X$2:$X$1795,$N1343)</f>
        <v>CAPITAL</v>
      </c>
    </row>
    <row r="1344" customFormat="false" ht="15" hidden="false" customHeight="false" outlineLevel="0" collapsed="false">
      <c r="A1344" s="22" t="s">
        <v>20</v>
      </c>
      <c r="B1344" s="22" t="n">
        <v>2</v>
      </c>
      <c r="C1344" s="22" t="s">
        <v>149</v>
      </c>
      <c r="D1344" s="22" t="s">
        <v>30</v>
      </c>
      <c r="E1344" s="22" t="s">
        <v>7326</v>
      </c>
      <c r="F1344" s="22" t="n">
        <v>526075</v>
      </c>
      <c r="G1344" s="30" t="n">
        <v>46253</v>
      </c>
      <c r="H1344" s="22" t="n">
        <v>625922</v>
      </c>
      <c r="I1344" s="22" t="s">
        <v>8553</v>
      </c>
      <c r="J1344" s="31" t="n">
        <v>107.7</v>
      </c>
      <c r="K1344" s="26" t="n">
        <v>1744.58</v>
      </c>
      <c r="L1344" s="26" t="n">
        <v>352.43</v>
      </c>
      <c r="M1344" s="22" t="s">
        <v>4793</v>
      </c>
      <c r="N1344" s="22" t="n">
        <f aca="false">MATCH(M1344,'Tabela Passaro'!$A$2:$A$1795,0)</f>
        <v>1147</v>
      </c>
      <c r="O1344" s="22" t="str">
        <f aca="false">INDEX('Tabela Passaro'!$C$2:$C$1795,$N1344)</f>
        <v>JABOATAO DOS GUARARAPES</v>
      </c>
      <c r="P1344" s="22" t="str">
        <f aca="false">INDEX('Tabela Passaro'!$B$2:$B$1795,$N1344)</f>
        <v>PE</v>
      </c>
      <c r="Q1344" s="22" t="n">
        <f aca="false">INDEX('Tabela Passaro'!$F$2:$F$1795,$N1344)</f>
        <v>8</v>
      </c>
      <c r="R1344" s="32" t="n">
        <f aca="false">IF(J1344&lt;=10,INDEX('Tabela Passaro'!$G$2:$G$1795,$N1344),IF(J1344&lt;=30,INDEX('Tabela Passaro'!$H$2:$H$1795,$N1344),IF(J1344&lt;=50,INDEX('Tabela Passaro'!$I$2:$I$1795,$N1344),IF(J1344&lt;=70,INDEX('Tabela Passaro'!$J$2:$J$1795,$N1344),IF(J1344&lt;=100,INDEX('Tabela Passaro'!$K$2:$K$1795,$N1344),INDEX('Tabela Passaro'!$K$2:$K$1795,$N1344)+(J1344-100)*INDEX('Tabela Passaro'!$L$2:$L$1795,$N1344))))))</f>
        <v>128.691</v>
      </c>
      <c r="S1344" s="32" t="n">
        <f aca="false">K1344*INDEX('Tabela Passaro'!$M$2:$M$1795,$N1344)</f>
        <v>8.7229</v>
      </c>
      <c r="T1344" s="32" t="n">
        <f aca="false">K1344*INDEX('Tabela Passaro'!$N$2:$N$1795,$N1344)</f>
        <v>3.48916</v>
      </c>
      <c r="U1344" s="32" t="n">
        <f aca="false">INDEX('Tabela Passaro'!$O$2:$O$1795,$N1344)</f>
        <v>5</v>
      </c>
      <c r="V1344" s="32" t="n">
        <f aca="false">ROUNDUP(J1344/INDEX('Tabela Passaro'!$Q$2:$Q$1795,$N1344),0)*INDEX('Tabela Passaro'!$P$2:$P$1795,$N1344)</f>
        <v>10</v>
      </c>
      <c r="W1344" s="32" t="n">
        <f aca="false">INDEX('Tabela Passaro'!$R$2:$R$1795,$N1344)</f>
        <v>30</v>
      </c>
      <c r="X1344" s="32" t="n">
        <f aca="false">ROUNDUP(J1344/INDEX('Tabela Passaro'!$T$2:$T$1795,$N1344),0)*INDEX('Tabela Passaro'!$S$2:$S$1795,$N1344)</f>
        <v>0</v>
      </c>
      <c r="Y1344" s="32" t="n">
        <f aca="false">INDEX('Tabela Passaro'!$U$2:$U$1795,$N1344)</f>
        <v>0</v>
      </c>
      <c r="Z1344" s="32" t="n">
        <f aca="false">INDEX('Tabela Passaro'!$V$2:$V$1795,$N1344)</f>
        <v>0</v>
      </c>
      <c r="AA1344" s="32" t="n">
        <f aca="false">SUM(R1344:Z1344)</f>
        <v>185.90306</v>
      </c>
      <c r="AB1344" s="33" t="n">
        <f aca="false">INDEX(Premissas!$B$5:$B$13,MATCH(A1344,Premissas!$A$5:$A$13,0))</f>
        <v>0.07</v>
      </c>
      <c r="AC1344" s="32" t="n">
        <f aca="false">AA1344/(1-AB1344)-AA1344</f>
        <v>13.9927034408602</v>
      </c>
      <c r="AD1344" s="32" t="n">
        <f aca="false">ROUND(AA1344+AC1344,2)</f>
        <v>199.9</v>
      </c>
      <c r="AE1344" s="32" t="n">
        <f aca="false">AD1344-L1344</f>
        <v>-152.53</v>
      </c>
      <c r="AF1344" s="34" t="n">
        <f aca="false">IF(L1344=0,0,AE1344/L1344)</f>
        <v>-0.432795164997304</v>
      </c>
      <c r="AG1344" s="22" t="str">
        <f aca="false">IF(AD1344&lt;L1344,"PASSARO","ATUAL")</f>
        <v>PASSARO</v>
      </c>
      <c r="AH1344" s="22" t="str">
        <f aca="false">IF(P1344&lt;&gt;A1344,"Faixa cadastrada como "&amp;P1344&amp;" na tabela; preço aplicado pela UF do CEP","")</f>
        <v/>
      </c>
      <c r="AI1344" s="26" t="n">
        <v>270.07</v>
      </c>
      <c r="AJ1344" s="22" t="str">
        <f aca="false">INDEX('Tabela Passaro'!$X$2:$X$1795,$N1344)</f>
        <v>CAPITAL</v>
      </c>
    </row>
    <row r="1345" customFormat="false" ht="15" hidden="false" customHeight="false" outlineLevel="0" collapsed="false">
      <c r="A1345" s="22" t="s">
        <v>20</v>
      </c>
      <c r="B1345" s="22" t="n">
        <v>2</v>
      </c>
      <c r="C1345" s="22" t="s">
        <v>149</v>
      </c>
      <c r="D1345" s="22" t="s">
        <v>30</v>
      </c>
      <c r="E1345" s="22" t="s">
        <v>7326</v>
      </c>
      <c r="F1345" s="22" t="n">
        <v>526074</v>
      </c>
      <c r="G1345" s="30" t="n">
        <v>46253</v>
      </c>
      <c r="H1345" s="22" t="n">
        <v>625925</v>
      </c>
      <c r="I1345" s="22" t="s">
        <v>8554</v>
      </c>
      <c r="J1345" s="31" t="n">
        <v>34.6</v>
      </c>
      <c r="K1345" s="26" t="n">
        <v>827.39</v>
      </c>
      <c r="L1345" s="26" t="n">
        <v>186.28</v>
      </c>
      <c r="M1345" s="22" t="s">
        <v>4793</v>
      </c>
      <c r="N1345" s="22" t="n">
        <f aca="false">MATCH(M1345,'Tabela Passaro'!$A$2:$A$1795,0)</f>
        <v>1147</v>
      </c>
      <c r="O1345" s="22" t="str">
        <f aca="false">INDEX('Tabela Passaro'!$C$2:$C$1795,$N1345)</f>
        <v>JABOATAO DOS GUARARAPES</v>
      </c>
      <c r="P1345" s="22" t="str">
        <f aca="false">INDEX('Tabela Passaro'!$B$2:$B$1795,$N1345)</f>
        <v>PE</v>
      </c>
      <c r="Q1345" s="22" t="n">
        <f aca="false">INDEX('Tabela Passaro'!$F$2:$F$1795,$N1345)</f>
        <v>8</v>
      </c>
      <c r="R1345" s="32" t="n">
        <f aca="false">IF(J1345&lt;=10,INDEX('Tabela Passaro'!$G$2:$G$1795,$N1345),IF(J1345&lt;=30,INDEX('Tabela Passaro'!$H$2:$H$1795,$N1345),IF(J1345&lt;=50,INDEX('Tabela Passaro'!$I$2:$I$1795,$N1345),IF(J1345&lt;=70,INDEX('Tabela Passaro'!$J$2:$J$1795,$N1345),IF(J1345&lt;=100,INDEX('Tabela Passaro'!$K$2:$K$1795,$N1345),INDEX('Tabela Passaro'!$K$2:$K$1795,$N1345)+(J1345-100)*INDEX('Tabela Passaro'!$L$2:$L$1795,$N1345))))))</f>
        <v>88.59</v>
      </c>
      <c r="S1345" s="32" t="n">
        <f aca="false">K1345*INDEX('Tabela Passaro'!$M$2:$M$1795,$N1345)</f>
        <v>4.13695</v>
      </c>
      <c r="T1345" s="32" t="n">
        <f aca="false">K1345*INDEX('Tabela Passaro'!$N$2:$N$1795,$N1345)</f>
        <v>1.65478</v>
      </c>
      <c r="U1345" s="32" t="n">
        <f aca="false">INDEX('Tabela Passaro'!$O$2:$O$1795,$N1345)</f>
        <v>5</v>
      </c>
      <c r="V1345" s="32" t="n">
        <f aca="false">ROUNDUP(J1345/INDEX('Tabela Passaro'!$Q$2:$Q$1795,$N1345),0)*INDEX('Tabela Passaro'!$P$2:$P$1795,$N1345)</f>
        <v>5</v>
      </c>
      <c r="W1345" s="32" t="n">
        <f aca="false">INDEX('Tabela Passaro'!$R$2:$R$1795,$N1345)</f>
        <v>30</v>
      </c>
      <c r="X1345" s="32" t="n">
        <f aca="false">ROUNDUP(J1345/INDEX('Tabela Passaro'!$T$2:$T$1795,$N1345),0)*INDEX('Tabela Passaro'!$S$2:$S$1795,$N1345)</f>
        <v>0</v>
      </c>
      <c r="Y1345" s="32" t="n">
        <f aca="false">INDEX('Tabela Passaro'!$U$2:$U$1795,$N1345)</f>
        <v>0</v>
      </c>
      <c r="Z1345" s="32" t="n">
        <f aca="false">INDEX('Tabela Passaro'!$V$2:$V$1795,$N1345)</f>
        <v>0</v>
      </c>
      <c r="AA1345" s="32" t="n">
        <f aca="false">SUM(R1345:Z1345)</f>
        <v>134.38173</v>
      </c>
      <c r="AB1345" s="33" t="n">
        <f aca="false">INDEX(Premissas!$B$5:$B$13,MATCH(A1345,Premissas!$A$5:$A$13,0))</f>
        <v>0.07</v>
      </c>
      <c r="AC1345" s="32" t="n">
        <f aca="false">AA1345/(1-AB1345)-AA1345</f>
        <v>10.1147538709677</v>
      </c>
      <c r="AD1345" s="32" t="n">
        <f aca="false">ROUND(AA1345+AC1345,2)</f>
        <v>144.5</v>
      </c>
      <c r="AE1345" s="32" t="n">
        <f aca="false">AD1345-L1345</f>
        <v>-41.78</v>
      </c>
      <c r="AF1345" s="34" t="n">
        <f aca="false">IF(L1345=0,0,AE1345/L1345)</f>
        <v>-0.22428602104359</v>
      </c>
      <c r="AG1345" s="22" t="str">
        <f aca="false">IF(AD1345&lt;L1345,"PASSARO","ATUAL")</f>
        <v>PASSARO</v>
      </c>
      <c r="AH1345" s="22" t="str">
        <f aca="false">IF(P1345&lt;&gt;A1345,"Faixa cadastrada como "&amp;P1345&amp;" na tabela; preço aplicado pela UF do CEP","")</f>
        <v/>
      </c>
      <c r="AI1345" s="26" t="n">
        <v>174.03</v>
      </c>
      <c r="AJ1345" s="22" t="str">
        <f aca="false">INDEX('Tabela Passaro'!$X$2:$X$1795,$N1345)</f>
        <v>CAPITAL</v>
      </c>
    </row>
    <row r="1346" customFormat="false" ht="15" hidden="false" customHeight="false" outlineLevel="0" collapsed="false">
      <c r="A1346" s="22" t="s">
        <v>20</v>
      </c>
      <c r="B1346" s="22" t="n">
        <v>2</v>
      </c>
      <c r="C1346" s="22" t="s">
        <v>149</v>
      </c>
      <c r="D1346" s="22" t="s">
        <v>30</v>
      </c>
      <c r="E1346" s="22" t="s">
        <v>20</v>
      </c>
      <c r="F1346" s="22" t="n">
        <v>839630</v>
      </c>
      <c r="G1346" s="30" t="n">
        <v>46254</v>
      </c>
      <c r="H1346" s="22" t="n">
        <v>32560</v>
      </c>
      <c r="I1346" s="22" t="s">
        <v>8555</v>
      </c>
      <c r="J1346" s="31" t="n">
        <v>19.4</v>
      </c>
      <c r="K1346" s="26" t="n">
        <v>489.98</v>
      </c>
      <c r="L1346" s="26" t="n">
        <v>86.16</v>
      </c>
      <c r="M1346" s="22" t="s">
        <v>4793</v>
      </c>
      <c r="N1346" s="22" t="n">
        <f aca="false">MATCH(M1346,'Tabela Passaro'!$A$2:$A$1795,0)</f>
        <v>1147</v>
      </c>
      <c r="O1346" s="22" t="str">
        <f aca="false">INDEX('Tabela Passaro'!$C$2:$C$1795,$N1346)</f>
        <v>JABOATAO DOS GUARARAPES</v>
      </c>
      <c r="P1346" s="22" t="str">
        <f aca="false">INDEX('Tabela Passaro'!$B$2:$B$1795,$N1346)</f>
        <v>PE</v>
      </c>
      <c r="Q1346" s="22" t="n">
        <f aca="false">INDEX('Tabela Passaro'!$F$2:$F$1795,$N1346)</f>
        <v>8</v>
      </c>
      <c r="R1346" s="32" t="n">
        <f aca="false">IF(J1346&lt;=10,INDEX('Tabela Passaro'!$G$2:$G$1795,$N1346),IF(J1346&lt;=30,INDEX('Tabela Passaro'!$H$2:$H$1795,$N1346),IF(J1346&lt;=50,INDEX('Tabela Passaro'!$I$2:$I$1795,$N1346),IF(J1346&lt;=70,INDEX('Tabela Passaro'!$J$2:$J$1795,$N1346),IF(J1346&lt;=100,INDEX('Tabela Passaro'!$K$2:$K$1795,$N1346),INDEX('Tabela Passaro'!$K$2:$K$1795,$N1346)+(J1346-100)*INDEX('Tabela Passaro'!$L$2:$L$1795,$N1346))))))</f>
        <v>66.55</v>
      </c>
      <c r="S1346" s="32" t="n">
        <f aca="false">K1346*INDEX('Tabela Passaro'!$M$2:$M$1795,$N1346)</f>
        <v>2.4499</v>
      </c>
      <c r="T1346" s="32" t="n">
        <f aca="false">K1346*INDEX('Tabela Passaro'!$N$2:$N$1795,$N1346)</f>
        <v>0.97996</v>
      </c>
      <c r="U1346" s="32" t="n">
        <f aca="false">INDEX('Tabela Passaro'!$O$2:$O$1795,$N1346)</f>
        <v>5</v>
      </c>
      <c r="V1346" s="32" t="n">
        <f aca="false">ROUNDUP(J1346/INDEX('Tabela Passaro'!$Q$2:$Q$1795,$N1346),0)*INDEX('Tabela Passaro'!$P$2:$P$1795,$N1346)</f>
        <v>5</v>
      </c>
      <c r="W1346" s="32" t="n">
        <f aca="false">INDEX('Tabela Passaro'!$R$2:$R$1795,$N1346)</f>
        <v>30</v>
      </c>
      <c r="X1346" s="32" t="n">
        <f aca="false">ROUNDUP(J1346/INDEX('Tabela Passaro'!$T$2:$T$1795,$N1346),0)*INDEX('Tabela Passaro'!$S$2:$S$1795,$N1346)</f>
        <v>0</v>
      </c>
      <c r="Y1346" s="32" t="n">
        <f aca="false">INDEX('Tabela Passaro'!$U$2:$U$1795,$N1346)</f>
        <v>0</v>
      </c>
      <c r="Z1346" s="32" t="n">
        <f aca="false">INDEX('Tabela Passaro'!$V$2:$V$1795,$N1346)</f>
        <v>0</v>
      </c>
      <c r="AA1346" s="32" t="n">
        <f aca="false">SUM(R1346:Z1346)</f>
        <v>109.97986</v>
      </c>
      <c r="AB1346" s="33" t="n">
        <f aca="false">INDEX(Premissas!$B$5:$B$13,MATCH(A1346,Premissas!$A$5:$A$13,0))</f>
        <v>0.07</v>
      </c>
      <c r="AC1346" s="32" t="n">
        <f aca="false">AA1346/(1-AB1346)-AA1346</f>
        <v>8.27805397849463</v>
      </c>
      <c r="AD1346" s="32" t="n">
        <f aca="false">ROUND(AA1346+AC1346,2)</f>
        <v>118.26</v>
      </c>
      <c r="AE1346" s="32" t="n">
        <f aca="false">AD1346-L1346</f>
        <v>32.1</v>
      </c>
      <c r="AF1346" s="34" t="n">
        <f aca="false">IF(L1346=0,0,AE1346/L1346)</f>
        <v>0.372562674094708</v>
      </c>
      <c r="AG1346" s="22" t="str">
        <f aca="false">IF(AD1346&lt;L1346,"PASSARO","ATUAL")</f>
        <v>ATUAL</v>
      </c>
      <c r="AH1346" s="22" t="str">
        <f aca="false">IF(P1346&lt;&gt;A1346,"Faixa cadastrada como "&amp;P1346&amp;" na tabela; preço aplicado pela UF do CEP","")</f>
        <v/>
      </c>
      <c r="AI1346" s="26" t="n">
        <v>138.45</v>
      </c>
      <c r="AJ1346" s="22" t="str">
        <f aca="false">INDEX('Tabela Passaro'!$X$2:$X$1795,$N1346)</f>
        <v>CAPITAL</v>
      </c>
    </row>
    <row r="1347" customFormat="false" ht="15" hidden="false" customHeight="false" outlineLevel="0" collapsed="false">
      <c r="A1347" s="22" t="s">
        <v>20</v>
      </c>
      <c r="B1347" s="22" t="n">
        <v>2</v>
      </c>
      <c r="C1347" s="22" t="s">
        <v>149</v>
      </c>
      <c r="D1347" s="22" t="s">
        <v>30</v>
      </c>
      <c r="E1347" s="22" t="s">
        <v>20</v>
      </c>
      <c r="F1347" s="22" t="n">
        <v>839795</v>
      </c>
      <c r="G1347" s="30" t="n">
        <v>46254</v>
      </c>
      <c r="H1347" s="22" t="n">
        <v>32583</v>
      </c>
      <c r="I1347" s="22" t="s">
        <v>8556</v>
      </c>
      <c r="J1347" s="31" t="n">
        <v>120.3</v>
      </c>
      <c r="K1347" s="26" t="n">
        <v>1059.65</v>
      </c>
      <c r="L1347" s="26" t="n">
        <v>139.13</v>
      </c>
      <c r="M1347" s="22" t="s">
        <v>4793</v>
      </c>
      <c r="N1347" s="22" t="n">
        <f aca="false">MATCH(M1347,'Tabela Passaro'!$A$2:$A$1795,0)</f>
        <v>1147</v>
      </c>
      <c r="O1347" s="22" t="str">
        <f aca="false">INDEX('Tabela Passaro'!$C$2:$C$1795,$N1347)</f>
        <v>JABOATAO DOS GUARARAPES</v>
      </c>
      <c r="P1347" s="22" t="str">
        <f aca="false">INDEX('Tabela Passaro'!$B$2:$B$1795,$N1347)</f>
        <v>PE</v>
      </c>
      <c r="Q1347" s="22" t="n">
        <f aca="false">INDEX('Tabela Passaro'!$F$2:$F$1795,$N1347)</f>
        <v>8</v>
      </c>
      <c r="R1347" s="32" t="n">
        <f aca="false">IF(J1347&lt;=10,INDEX('Tabela Passaro'!$G$2:$G$1795,$N1347),IF(J1347&lt;=30,INDEX('Tabela Passaro'!$H$2:$H$1795,$N1347),IF(J1347&lt;=50,INDEX('Tabela Passaro'!$I$2:$I$1795,$N1347),IF(J1347&lt;=70,INDEX('Tabela Passaro'!$J$2:$J$1795,$N1347),IF(J1347&lt;=100,INDEX('Tabela Passaro'!$K$2:$K$1795,$N1347),INDEX('Tabela Passaro'!$K$2:$K$1795,$N1347)+(J1347-100)*INDEX('Tabela Passaro'!$L$2:$L$1795,$N1347))))))</f>
        <v>149.229</v>
      </c>
      <c r="S1347" s="32" t="n">
        <f aca="false">K1347*INDEX('Tabela Passaro'!$M$2:$M$1795,$N1347)</f>
        <v>5.29825</v>
      </c>
      <c r="T1347" s="32" t="n">
        <f aca="false">K1347*INDEX('Tabela Passaro'!$N$2:$N$1795,$N1347)</f>
        <v>2.1193</v>
      </c>
      <c r="U1347" s="32" t="n">
        <f aca="false">INDEX('Tabela Passaro'!$O$2:$O$1795,$N1347)</f>
        <v>5</v>
      </c>
      <c r="V1347" s="32" t="n">
        <f aca="false">ROUNDUP(J1347/INDEX('Tabela Passaro'!$Q$2:$Q$1795,$N1347),0)*INDEX('Tabela Passaro'!$P$2:$P$1795,$N1347)</f>
        <v>10</v>
      </c>
      <c r="W1347" s="32" t="n">
        <f aca="false">INDEX('Tabela Passaro'!$R$2:$R$1795,$N1347)</f>
        <v>30</v>
      </c>
      <c r="X1347" s="32" t="n">
        <f aca="false">ROUNDUP(J1347/INDEX('Tabela Passaro'!$T$2:$T$1795,$N1347),0)*INDEX('Tabela Passaro'!$S$2:$S$1795,$N1347)</f>
        <v>0</v>
      </c>
      <c r="Y1347" s="32" t="n">
        <f aca="false">INDEX('Tabela Passaro'!$U$2:$U$1795,$N1347)</f>
        <v>0</v>
      </c>
      <c r="Z1347" s="32" t="n">
        <f aca="false">INDEX('Tabela Passaro'!$V$2:$V$1795,$N1347)</f>
        <v>0</v>
      </c>
      <c r="AA1347" s="32" t="n">
        <f aca="false">SUM(R1347:Z1347)</f>
        <v>201.64655</v>
      </c>
      <c r="AB1347" s="33" t="n">
        <f aca="false">INDEX(Premissas!$B$5:$B$13,MATCH(A1347,Premissas!$A$5:$A$13,0))</f>
        <v>0.07</v>
      </c>
      <c r="AC1347" s="32" t="n">
        <f aca="false">AA1347/(1-AB1347)-AA1347</f>
        <v>15.177697311828</v>
      </c>
      <c r="AD1347" s="32" t="n">
        <f aca="false">ROUND(AA1347+AC1347,2)</f>
        <v>216.82</v>
      </c>
      <c r="AE1347" s="32" t="n">
        <f aca="false">AD1347-L1347</f>
        <v>77.69</v>
      </c>
      <c r="AF1347" s="34" t="n">
        <f aca="false">IF(L1347=0,0,AE1347/L1347)</f>
        <v>0.558398619995688</v>
      </c>
      <c r="AG1347" s="22" t="str">
        <f aca="false">IF(AD1347&lt;L1347,"PASSARO","ATUAL")</f>
        <v>ATUAL</v>
      </c>
      <c r="AH1347" s="22" t="str">
        <f aca="false">IF(P1347&lt;&gt;A1347,"Faixa cadastrada como "&amp;P1347&amp;" na tabela; preço aplicado pela UF do CEP","")</f>
        <v/>
      </c>
      <c r="AI1347" s="26" t="n">
        <v>294.52</v>
      </c>
      <c r="AJ1347" s="22" t="str">
        <f aca="false">INDEX('Tabela Passaro'!$X$2:$X$1795,$N1347)</f>
        <v>CAPITAL</v>
      </c>
    </row>
    <row r="1348" customFormat="false" ht="15" hidden="false" customHeight="false" outlineLevel="0" collapsed="false">
      <c r="A1348" s="22" t="s">
        <v>20</v>
      </c>
      <c r="B1348" s="22" t="n">
        <v>2</v>
      </c>
      <c r="C1348" s="22" t="s">
        <v>149</v>
      </c>
      <c r="D1348" s="22" t="s">
        <v>30</v>
      </c>
      <c r="E1348" s="22" t="s">
        <v>7328</v>
      </c>
      <c r="F1348" s="22" t="n">
        <v>2314437</v>
      </c>
      <c r="G1348" s="30" t="n">
        <v>46254</v>
      </c>
      <c r="H1348" s="22" t="n">
        <v>134267</v>
      </c>
      <c r="I1348" s="22" t="s">
        <v>8557</v>
      </c>
      <c r="J1348" s="31" t="n">
        <v>60.1</v>
      </c>
      <c r="K1348" s="26" t="n">
        <v>1369.98</v>
      </c>
      <c r="L1348" s="26" t="n">
        <v>213.39</v>
      </c>
      <c r="M1348" s="22" t="s">
        <v>4793</v>
      </c>
      <c r="N1348" s="22" t="n">
        <f aca="false">MATCH(M1348,'Tabela Passaro'!$A$2:$A$1795,0)</f>
        <v>1147</v>
      </c>
      <c r="O1348" s="22" t="str">
        <f aca="false">INDEX('Tabela Passaro'!$C$2:$C$1795,$N1348)</f>
        <v>JABOATAO DOS GUARARAPES</v>
      </c>
      <c r="P1348" s="22" t="str">
        <f aca="false">INDEX('Tabela Passaro'!$B$2:$B$1795,$N1348)</f>
        <v>PE</v>
      </c>
      <c r="Q1348" s="22" t="n">
        <f aca="false">INDEX('Tabela Passaro'!$F$2:$F$1795,$N1348)</f>
        <v>8</v>
      </c>
      <c r="R1348" s="32" t="n">
        <f aca="false">IF(J1348&lt;=10,INDEX('Tabela Passaro'!$G$2:$G$1795,$N1348),IF(J1348&lt;=30,INDEX('Tabela Passaro'!$H$2:$H$1795,$N1348),IF(J1348&lt;=50,INDEX('Tabela Passaro'!$I$2:$I$1795,$N1348),IF(J1348&lt;=70,INDEX('Tabela Passaro'!$J$2:$J$1795,$N1348),IF(J1348&lt;=100,INDEX('Tabela Passaro'!$K$2:$K$1795,$N1348),INDEX('Tabela Passaro'!$K$2:$K$1795,$N1348)+(J1348-100)*INDEX('Tabela Passaro'!$L$2:$L$1795,$N1348))))))</f>
        <v>99.61</v>
      </c>
      <c r="S1348" s="32" t="n">
        <f aca="false">K1348*INDEX('Tabela Passaro'!$M$2:$M$1795,$N1348)</f>
        <v>6.8499</v>
      </c>
      <c r="T1348" s="32" t="n">
        <f aca="false">K1348*INDEX('Tabela Passaro'!$N$2:$N$1795,$N1348)</f>
        <v>2.73996</v>
      </c>
      <c r="U1348" s="32" t="n">
        <f aca="false">INDEX('Tabela Passaro'!$O$2:$O$1795,$N1348)</f>
        <v>5</v>
      </c>
      <c r="V1348" s="32" t="n">
        <f aca="false">ROUNDUP(J1348/INDEX('Tabela Passaro'!$Q$2:$Q$1795,$N1348),0)*INDEX('Tabela Passaro'!$P$2:$P$1795,$N1348)</f>
        <v>5</v>
      </c>
      <c r="W1348" s="32" t="n">
        <f aca="false">INDEX('Tabela Passaro'!$R$2:$R$1795,$N1348)</f>
        <v>30</v>
      </c>
      <c r="X1348" s="32" t="n">
        <f aca="false">ROUNDUP(J1348/INDEX('Tabela Passaro'!$T$2:$T$1795,$N1348),0)*INDEX('Tabela Passaro'!$S$2:$S$1795,$N1348)</f>
        <v>0</v>
      </c>
      <c r="Y1348" s="32" t="n">
        <f aca="false">INDEX('Tabela Passaro'!$U$2:$U$1795,$N1348)</f>
        <v>0</v>
      </c>
      <c r="Z1348" s="32" t="n">
        <f aca="false">INDEX('Tabela Passaro'!$V$2:$V$1795,$N1348)</f>
        <v>0</v>
      </c>
      <c r="AA1348" s="32" t="n">
        <f aca="false">SUM(R1348:Z1348)</f>
        <v>149.19986</v>
      </c>
      <c r="AB1348" s="33" t="n">
        <f aca="false">INDEX(Premissas!$B$5:$B$13,MATCH(A1348,Premissas!$A$5:$A$13,0))</f>
        <v>0.07</v>
      </c>
      <c r="AC1348" s="32" t="n">
        <f aca="false">AA1348/(1-AB1348)-AA1348</f>
        <v>11.2300969892473</v>
      </c>
      <c r="AD1348" s="32" t="n">
        <f aca="false">ROUND(AA1348+AC1348,2)</f>
        <v>160.43</v>
      </c>
      <c r="AE1348" s="32" t="n">
        <f aca="false">AD1348-L1348</f>
        <v>-52.96</v>
      </c>
      <c r="AF1348" s="34" t="n">
        <f aca="false">IF(L1348=0,0,AE1348/L1348)</f>
        <v>-0.248184076104785</v>
      </c>
      <c r="AG1348" s="22" t="str">
        <f aca="false">IF(AD1348&lt;L1348,"PASSARO","ATUAL")</f>
        <v>PASSARO</v>
      </c>
      <c r="AH1348" s="22" t="str">
        <f aca="false">IF(P1348&lt;&gt;A1348,"Faixa cadastrada como "&amp;P1348&amp;" na tabela; preço aplicado pela UF do CEP","")</f>
        <v/>
      </c>
      <c r="AI1348" s="26" t="n">
        <v>204.39</v>
      </c>
      <c r="AJ1348" s="22" t="str">
        <f aca="false">INDEX('Tabela Passaro'!$X$2:$X$1795,$N1348)</f>
        <v>CAPITAL</v>
      </c>
    </row>
    <row r="1349" customFormat="false" ht="15" hidden="false" customHeight="false" outlineLevel="0" collapsed="false">
      <c r="A1349" s="22" t="s">
        <v>20</v>
      </c>
      <c r="B1349" s="22" t="n">
        <v>2</v>
      </c>
      <c r="C1349" s="22" t="s">
        <v>149</v>
      </c>
      <c r="D1349" s="22" t="s">
        <v>30</v>
      </c>
      <c r="E1349" s="22" t="s">
        <v>20</v>
      </c>
      <c r="F1349" s="22" t="n">
        <v>839929</v>
      </c>
      <c r="G1349" s="30" t="n">
        <v>46258</v>
      </c>
      <c r="H1349" s="22" t="n">
        <v>32610</v>
      </c>
      <c r="I1349" s="22" t="s">
        <v>8558</v>
      </c>
      <c r="J1349" s="31" t="n">
        <v>19.4</v>
      </c>
      <c r="K1349" s="26" t="n">
        <v>443.79</v>
      </c>
      <c r="L1349" s="26" t="n">
        <v>85.8</v>
      </c>
      <c r="M1349" s="22" t="s">
        <v>4793</v>
      </c>
      <c r="N1349" s="22" t="n">
        <f aca="false">MATCH(M1349,'Tabela Passaro'!$A$2:$A$1795,0)</f>
        <v>1147</v>
      </c>
      <c r="O1349" s="22" t="str">
        <f aca="false">INDEX('Tabela Passaro'!$C$2:$C$1795,$N1349)</f>
        <v>JABOATAO DOS GUARARAPES</v>
      </c>
      <c r="P1349" s="22" t="str">
        <f aca="false">INDEX('Tabela Passaro'!$B$2:$B$1795,$N1349)</f>
        <v>PE</v>
      </c>
      <c r="Q1349" s="22" t="n">
        <f aca="false">INDEX('Tabela Passaro'!$F$2:$F$1795,$N1349)</f>
        <v>8</v>
      </c>
      <c r="R1349" s="32" t="n">
        <f aca="false">IF(J1349&lt;=10,INDEX('Tabela Passaro'!$G$2:$G$1795,$N1349),IF(J1349&lt;=30,INDEX('Tabela Passaro'!$H$2:$H$1795,$N1349),IF(J1349&lt;=50,INDEX('Tabela Passaro'!$I$2:$I$1795,$N1349),IF(J1349&lt;=70,INDEX('Tabela Passaro'!$J$2:$J$1795,$N1349),IF(J1349&lt;=100,INDEX('Tabela Passaro'!$K$2:$K$1795,$N1349),INDEX('Tabela Passaro'!$K$2:$K$1795,$N1349)+(J1349-100)*INDEX('Tabela Passaro'!$L$2:$L$1795,$N1349))))))</f>
        <v>66.55</v>
      </c>
      <c r="S1349" s="32" t="n">
        <f aca="false">K1349*INDEX('Tabela Passaro'!$M$2:$M$1795,$N1349)</f>
        <v>2.21895</v>
      </c>
      <c r="T1349" s="32" t="n">
        <f aca="false">K1349*INDEX('Tabela Passaro'!$N$2:$N$1795,$N1349)</f>
        <v>0.88758</v>
      </c>
      <c r="U1349" s="32" t="n">
        <f aca="false">INDEX('Tabela Passaro'!$O$2:$O$1795,$N1349)</f>
        <v>5</v>
      </c>
      <c r="V1349" s="32" t="n">
        <f aca="false">ROUNDUP(J1349/INDEX('Tabela Passaro'!$Q$2:$Q$1795,$N1349),0)*INDEX('Tabela Passaro'!$P$2:$P$1795,$N1349)</f>
        <v>5</v>
      </c>
      <c r="W1349" s="32" t="n">
        <f aca="false">INDEX('Tabela Passaro'!$R$2:$R$1795,$N1349)</f>
        <v>30</v>
      </c>
      <c r="X1349" s="32" t="n">
        <f aca="false">ROUNDUP(J1349/INDEX('Tabela Passaro'!$T$2:$T$1795,$N1349),0)*INDEX('Tabela Passaro'!$S$2:$S$1795,$N1349)</f>
        <v>0</v>
      </c>
      <c r="Y1349" s="32" t="n">
        <f aca="false">INDEX('Tabela Passaro'!$U$2:$U$1795,$N1349)</f>
        <v>0</v>
      </c>
      <c r="Z1349" s="32" t="n">
        <f aca="false">INDEX('Tabela Passaro'!$V$2:$V$1795,$N1349)</f>
        <v>0</v>
      </c>
      <c r="AA1349" s="32" t="n">
        <f aca="false">SUM(R1349:Z1349)</f>
        <v>109.65653</v>
      </c>
      <c r="AB1349" s="33" t="n">
        <f aca="false">INDEX(Premissas!$B$5:$B$13,MATCH(A1349,Premissas!$A$5:$A$13,0))</f>
        <v>0.07</v>
      </c>
      <c r="AC1349" s="32" t="n">
        <f aca="false">AA1349/(1-AB1349)-AA1349</f>
        <v>8.25371731182797</v>
      </c>
      <c r="AD1349" s="32" t="n">
        <f aca="false">ROUND(AA1349+AC1349,2)</f>
        <v>117.91</v>
      </c>
      <c r="AE1349" s="32" t="n">
        <f aca="false">AD1349-L1349</f>
        <v>32.11</v>
      </c>
      <c r="AF1349" s="34" t="n">
        <f aca="false">IF(L1349=0,0,AE1349/L1349)</f>
        <v>0.374242424242424</v>
      </c>
      <c r="AG1349" s="22" t="str">
        <f aca="false">IF(AD1349&lt;L1349,"PASSARO","ATUAL")</f>
        <v>ATUAL</v>
      </c>
      <c r="AH1349" s="22" t="str">
        <f aca="false">IF(P1349&lt;&gt;A1349,"Faixa cadastrada como "&amp;P1349&amp;" na tabela; preço aplicado pela UF do CEP","")</f>
        <v/>
      </c>
      <c r="AI1349" s="26" t="n">
        <v>138</v>
      </c>
      <c r="AJ1349" s="22" t="str">
        <f aca="false">INDEX('Tabela Passaro'!$X$2:$X$1795,$N1349)</f>
        <v>CAPITAL</v>
      </c>
    </row>
    <row r="1350" customFormat="false" ht="15" hidden="false" customHeight="false" outlineLevel="0" collapsed="false">
      <c r="A1350" s="22" t="s">
        <v>20</v>
      </c>
      <c r="B1350" s="22" t="n">
        <v>2</v>
      </c>
      <c r="C1350" s="22" t="s">
        <v>149</v>
      </c>
      <c r="D1350" s="22" t="s">
        <v>30</v>
      </c>
      <c r="E1350" s="22" t="s">
        <v>7328</v>
      </c>
      <c r="F1350" s="22" t="n">
        <v>2315637</v>
      </c>
      <c r="G1350" s="30" t="n">
        <v>46258</v>
      </c>
      <c r="H1350" s="22" t="n">
        <v>134364</v>
      </c>
      <c r="I1350" s="22" t="s">
        <v>8559</v>
      </c>
      <c r="J1350" s="31" t="n">
        <v>34.7</v>
      </c>
      <c r="K1350" s="26" t="n">
        <v>616.48</v>
      </c>
      <c r="L1350" s="26" t="n">
        <v>164.18</v>
      </c>
      <c r="M1350" s="22" t="s">
        <v>4793</v>
      </c>
      <c r="N1350" s="22" t="n">
        <f aca="false">MATCH(M1350,'Tabela Passaro'!$A$2:$A$1795,0)</f>
        <v>1147</v>
      </c>
      <c r="O1350" s="22" t="str">
        <f aca="false">INDEX('Tabela Passaro'!$C$2:$C$1795,$N1350)</f>
        <v>JABOATAO DOS GUARARAPES</v>
      </c>
      <c r="P1350" s="22" t="str">
        <f aca="false">INDEX('Tabela Passaro'!$B$2:$B$1795,$N1350)</f>
        <v>PE</v>
      </c>
      <c r="Q1350" s="22" t="n">
        <f aca="false">INDEX('Tabela Passaro'!$F$2:$F$1795,$N1350)</f>
        <v>8</v>
      </c>
      <c r="R1350" s="32" t="n">
        <f aca="false">IF(J1350&lt;=10,INDEX('Tabela Passaro'!$G$2:$G$1795,$N1350),IF(J1350&lt;=30,INDEX('Tabela Passaro'!$H$2:$H$1795,$N1350),IF(J1350&lt;=50,INDEX('Tabela Passaro'!$I$2:$I$1795,$N1350),IF(J1350&lt;=70,INDEX('Tabela Passaro'!$J$2:$J$1795,$N1350),IF(J1350&lt;=100,INDEX('Tabela Passaro'!$K$2:$K$1795,$N1350),INDEX('Tabela Passaro'!$K$2:$K$1795,$N1350)+(J1350-100)*INDEX('Tabela Passaro'!$L$2:$L$1795,$N1350))))))</f>
        <v>88.59</v>
      </c>
      <c r="S1350" s="32" t="n">
        <f aca="false">K1350*INDEX('Tabela Passaro'!$M$2:$M$1795,$N1350)</f>
        <v>3.0824</v>
      </c>
      <c r="T1350" s="32" t="n">
        <f aca="false">K1350*INDEX('Tabela Passaro'!$N$2:$N$1795,$N1350)</f>
        <v>1.23296</v>
      </c>
      <c r="U1350" s="32" t="n">
        <f aca="false">INDEX('Tabela Passaro'!$O$2:$O$1795,$N1350)</f>
        <v>5</v>
      </c>
      <c r="V1350" s="32" t="n">
        <f aca="false">ROUNDUP(J1350/INDEX('Tabela Passaro'!$Q$2:$Q$1795,$N1350),0)*INDEX('Tabela Passaro'!$P$2:$P$1795,$N1350)</f>
        <v>5</v>
      </c>
      <c r="W1350" s="32" t="n">
        <f aca="false">INDEX('Tabela Passaro'!$R$2:$R$1795,$N1350)</f>
        <v>30</v>
      </c>
      <c r="X1350" s="32" t="n">
        <f aca="false">ROUNDUP(J1350/INDEX('Tabela Passaro'!$T$2:$T$1795,$N1350),0)*INDEX('Tabela Passaro'!$S$2:$S$1795,$N1350)</f>
        <v>0</v>
      </c>
      <c r="Y1350" s="32" t="n">
        <f aca="false">INDEX('Tabela Passaro'!$U$2:$U$1795,$N1350)</f>
        <v>0</v>
      </c>
      <c r="Z1350" s="32" t="n">
        <f aca="false">INDEX('Tabela Passaro'!$V$2:$V$1795,$N1350)</f>
        <v>0</v>
      </c>
      <c r="AA1350" s="32" t="n">
        <f aca="false">SUM(R1350:Z1350)</f>
        <v>132.90536</v>
      </c>
      <c r="AB1350" s="33" t="n">
        <f aca="false">INDEX(Premissas!$B$5:$B$13,MATCH(A1350,Premissas!$A$5:$A$13,0))</f>
        <v>0.07</v>
      </c>
      <c r="AC1350" s="32" t="n">
        <f aca="false">AA1350/(1-AB1350)-AA1350</f>
        <v>10.0036292473118</v>
      </c>
      <c r="AD1350" s="32" t="n">
        <f aca="false">ROUND(AA1350+AC1350,2)</f>
        <v>142.91</v>
      </c>
      <c r="AE1350" s="32" t="n">
        <f aca="false">AD1350-L1350</f>
        <v>-21.27</v>
      </c>
      <c r="AF1350" s="34" t="n">
        <f aca="false">IF(L1350=0,0,AE1350/L1350)</f>
        <v>-0.129552929711293</v>
      </c>
      <c r="AG1350" s="22" t="str">
        <f aca="false">IF(AD1350&lt;L1350,"PASSARO","ATUAL")</f>
        <v>PASSARO</v>
      </c>
      <c r="AH1350" s="22" t="str">
        <f aca="false">IF(P1350&lt;&gt;A1350,"Faixa cadastrada como "&amp;P1350&amp;" na tabela; preço aplicado pela UF do CEP","")</f>
        <v/>
      </c>
      <c r="AI1350" s="26" t="n">
        <v>171.99</v>
      </c>
      <c r="AJ1350" s="22" t="str">
        <f aca="false">INDEX('Tabela Passaro'!$X$2:$X$1795,$N1350)</f>
        <v>CAPITAL</v>
      </c>
    </row>
    <row r="1351" customFormat="false" ht="15" hidden="false" customHeight="false" outlineLevel="0" collapsed="false">
      <c r="A1351" s="22" t="s">
        <v>20</v>
      </c>
      <c r="B1351" s="22" t="n">
        <v>2</v>
      </c>
      <c r="C1351" s="22" t="s">
        <v>149</v>
      </c>
      <c r="D1351" s="22" t="s">
        <v>30</v>
      </c>
      <c r="E1351" s="22" t="s">
        <v>7328</v>
      </c>
      <c r="F1351" s="22" t="n">
        <v>2315671</v>
      </c>
      <c r="G1351" s="30" t="n">
        <v>46258</v>
      </c>
      <c r="H1351" s="22" t="n">
        <v>134397</v>
      </c>
      <c r="I1351" s="22" t="s">
        <v>8560</v>
      </c>
      <c r="J1351" s="31" t="n">
        <v>130.3</v>
      </c>
      <c r="K1351" s="26" t="n">
        <v>1737.14</v>
      </c>
      <c r="L1351" s="26" t="n">
        <v>315.9</v>
      </c>
      <c r="M1351" s="22" t="s">
        <v>4793</v>
      </c>
      <c r="N1351" s="22" t="n">
        <f aca="false">MATCH(M1351,'Tabela Passaro'!$A$2:$A$1795,0)</f>
        <v>1147</v>
      </c>
      <c r="O1351" s="22" t="str">
        <f aca="false">INDEX('Tabela Passaro'!$C$2:$C$1795,$N1351)</f>
        <v>JABOATAO DOS GUARARAPES</v>
      </c>
      <c r="P1351" s="22" t="str">
        <f aca="false">INDEX('Tabela Passaro'!$B$2:$B$1795,$N1351)</f>
        <v>PE</v>
      </c>
      <c r="Q1351" s="22" t="n">
        <f aca="false">INDEX('Tabela Passaro'!$F$2:$F$1795,$N1351)</f>
        <v>8</v>
      </c>
      <c r="R1351" s="32" t="n">
        <f aca="false">IF(J1351&lt;=10,INDEX('Tabela Passaro'!$G$2:$G$1795,$N1351),IF(J1351&lt;=30,INDEX('Tabela Passaro'!$H$2:$H$1795,$N1351),IF(J1351&lt;=50,INDEX('Tabela Passaro'!$I$2:$I$1795,$N1351),IF(J1351&lt;=70,INDEX('Tabela Passaro'!$J$2:$J$1795,$N1351),IF(J1351&lt;=100,INDEX('Tabela Passaro'!$K$2:$K$1795,$N1351),INDEX('Tabela Passaro'!$K$2:$K$1795,$N1351)+(J1351-100)*INDEX('Tabela Passaro'!$L$2:$L$1795,$N1351))))))</f>
        <v>165.529</v>
      </c>
      <c r="S1351" s="32" t="n">
        <f aca="false">K1351*INDEX('Tabela Passaro'!$M$2:$M$1795,$N1351)</f>
        <v>8.6857</v>
      </c>
      <c r="T1351" s="32" t="n">
        <f aca="false">K1351*INDEX('Tabela Passaro'!$N$2:$N$1795,$N1351)</f>
        <v>3.47428</v>
      </c>
      <c r="U1351" s="32" t="n">
        <f aca="false">INDEX('Tabela Passaro'!$O$2:$O$1795,$N1351)</f>
        <v>5</v>
      </c>
      <c r="V1351" s="32" t="n">
        <f aca="false">ROUNDUP(J1351/INDEX('Tabela Passaro'!$Q$2:$Q$1795,$N1351),0)*INDEX('Tabela Passaro'!$P$2:$P$1795,$N1351)</f>
        <v>10</v>
      </c>
      <c r="W1351" s="32" t="n">
        <f aca="false">INDEX('Tabela Passaro'!$R$2:$R$1795,$N1351)</f>
        <v>30</v>
      </c>
      <c r="X1351" s="32" t="n">
        <f aca="false">ROUNDUP(J1351/INDEX('Tabela Passaro'!$T$2:$T$1795,$N1351),0)*INDEX('Tabela Passaro'!$S$2:$S$1795,$N1351)</f>
        <v>0</v>
      </c>
      <c r="Y1351" s="32" t="n">
        <f aca="false">INDEX('Tabela Passaro'!$U$2:$U$1795,$N1351)</f>
        <v>0</v>
      </c>
      <c r="Z1351" s="32" t="n">
        <f aca="false">INDEX('Tabela Passaro'!$V$2:$V$1795,$N1351)</f>
        <v>0</v>
      </c>
      <c r="AA1351" s="32" t="n">
        <f aca="false">SUM(R1351:Z1351)</f>
        <v>222.68898</v>
      </c>
      <c r="AB1351" s="33" t="n">
        <f aca="false">INDEX(Premissas!$B$5:$B$13,MATCH(A1351,Premissas!$A$5:$A$13,0))</f>
        <v>0.07</v>
      </c>
      <c r="AC1351" s="32" t="n">
        <f aca="false">AA1351/(1-AB1351)-AA1351</f>
        <v>16.7615361290323</v>
      </c>
      <c r="AD1351" s="32" t="n">
        <f aca="false">ROUND(AA1351+AC1351,2)</f>
        <v>239.45</v>
      </c>
      <c r="AE1351" s="32" t="n">
        <f aca="false">AD1351-L1351</f>
        <v>-76.45</v>
      </c>
      <c r="AF1351" s="34" t="n">
        <f aca="false">IF(L1351=0,0,AE1351/L1351)</f>
        <v>-0.242006964229186</v>
      </c>
      <c r="AG1351" s="22" t="str">
        <f aca="false">IF(AD1351&lt;L1351,"PASSARO","ATUAL")</f>
        <v>PASSARO</v>
      </c>
      <c r="AH1351" s="22" t="str">
        <f aca="false">IF(P1351&lt;&gt;A1351,"Faixa cadastrada como "&amp;P1351&amp;" na tabela; preço aplicado pela UF do CEP","")</f>
        <v/>
      </c>
      <c r="AI1351" s="26" t="n">
        <v>325.59</v>
      </c>
      <c r="AJ1351" s="22" t="str">
        <f aca="false">INDEX('Tabela Passaro'!$X$2:$X$1795,$N1351)</f>
        <v>CAPITAL</v>
      </c>
    </row>
    <row r="1352" customFormat="false" ht="15" hidden="false" customHeight="false" outlineLevel="0" collapsed="false">
      <c r="A1352" s="22" t="s">
        <v>20</v>
      </c>
      <c r="B1352" s="22" t="n">
        <v>2</v>
      </c>
      <c r="C1352" s="22" t="s">
        <v>149</v>
      </c>
      <c r="D1352" s="22" t="s">
        <v>30</v>
      </c>
      <c r="E1352" s="22" t="s">
        <v>7328</v>
      </c>
      <c r="F1352" s="22" t="n">
        <v>2315708</v>
      </c>
      <c r="G1352" s="30" t="n">
        <v>46258</v>
      </c>
      <c r="H1352" s="22" t="n">
        <v>134436</v>
      </c>
      <c r="I1352" s="22" t="s">
        <v>8561</v>
      </c>
      <c r="J1352" s="31" t="n">
        <v>24.8</v>
      </c>
      <c r="K1352" s="26" t="n">
        <v>528.52</v>
      </c>
      <c r="L1352" s="26" t="n">
        <v>125.5</v>
      </c>
      <c r="M1352" s="22" t="s">
        <v>4793</v>
      </c>
      <c r="N1352" s="22" t="n">
        <f aca="false">MATCH(M1352,'Tabela Passaro'!$A$2:$A$1795,0)</f>
        <v>1147</v>
      </c>
      <c r="O1352" s="22" t="str">
        <f aca="false">INDEX('Tabela Passaro'!$C$2:$C$1795,$N1352)</f>
        <v>JABOATAO DOS GUARARAPES</v>
      </c>
      <c r="P1352" s="22" t="str">
        <f aca="false">INDEX('Tabela Passaro'!$B$2:$B$1795,$N1352)</f>
        <v>PE</v>
      </c>
      <c r="Q1352" s="22" t="n">
        <f aca="false">INDEX('Tabela Passaro'!$F$2:$F$1795,$N1352)</f>
        <v>8</v>
      </c>
      <c r="R1352" s="32" t="n">
        <f aca="false">IF(J1352&lt;=10,INDEX('Tabela Passaro'!$G$2:$G$1795,$N1352),IF(J1352&lt;=30,INDEX('Tabela Passaro'!$H$2:$H$1795,$N1352),IF(J1352&lt;=50,INDEX('Tabela Passaro'!$I$2:$I$1795,$N1352),IF(J1352&lt;=70,INDEX('Tabela Passaro'!$J$2:$J$1795,$N1352),IF(J1352&lt;=100,INDEX('Tabela Passaro'!$K$2:$K$1795,$N1352),INDEX('Tabela Passaro'!$K$2:$K$1795,$N1352)+(J1352-100)*INDEX('Tabela Passaro'!$L$2:$L$1795,$N1352))))))</f>
        <v>66.55</v>
      </c>
      <c r="S1352" s="32" t="n">
        <f aca="false">K1352*INDEX('Tabela Passaro'!$M$2:$M$1795,$N1352)</f>
        <v>2.6426</v>
      </c>
      <c r="T1352" s="32" t="n">
        <f aca="false">K1352*INDEX('Tabela Passaro'!$N$2:$N$1795,$N1352)</f>
        <v>1.05704</v>
      </c>
      <c r="U1352" s="32" t="n">
        <f aca="false">INDEX('Tabela Passaro'!$O$2:$O$1795,$N1352)</f>
        <v>5</v>
      </c>
      <c r="V1352" s="32" t="n">
        <f aca="false">ROUNDUP(J1352/INDEX('Tabela Passaro'!$Q$2:$Q$1795,$N1352),0)*INDEX('Tabela Passaro'!$P$2:$P$1795,$N1352)</f>
        <v>5</v>
      </c>
      <c r="W1352" s="32" t="n">
        <f aca="false">INDEX('Tabela Passaro'!$R$2:$R$1795,$N1352)</f>
        <v>30</v>
      </c>
      <c r="X1352" s="32" t="n">
        <f aca="false">ROUNDUP(J1352/INDEX('Tabela Passaro'!$T$2:$T$1795,$N1352),0)*INDEX('Tabela Passaro'!$S$2:$S$1795,$N1352)</f>
        <v>0</v>
      </c>
      <c r="Y1352" s="32" t="n">
        <f aca="false">INDEX('Tabela Passaro'!$U$2:$U$1795,$N1352)</f>
        <v>0</v>
      </c>
      <c r="Z1352" s="32" t="n">
        <f aca="false">INDEX('Tabela Passaro'!$V$2:$V$1795,$N1352)</f>
        <v>0</v>
      </c>
      <c r="AA1352" s="32" t="n">
        <f aca="false">SUM(R1352:Z1352)</f>
        <v>110.24964</v>
      </c>
      <c r="AB1352" s="33" t="n">
        <f aca="false">INDEX(Premissas!$B$5:$B$13,MATCH(A1352,Premissas!$A$5:$A$13,0))</f>
        <v>0.07</v>
      </c>
      <c r="AC1352" s="32" t="n">
        <f aca="false">AA1352/(1-AB1352)-AA1352</f>
        <v>8.29836</v>
      </c>
      <c r="AD1352" s="32" t="n">
        <f aca="false">ROUND(AA1352+AC1352,2)</f>
        <v>118.55</v>
      </c>
      <c r="AE1352" s="32" t="n">
        <f aca="false">AD1352-L1352</f>
        <v>-6.95</v>
      </c>
      <c r="AF1352" s="34" t="n">
        <f aca="false">IF(L1352=0,0,AE1352/L1352)</f>
        <v>-0.0553784860557769</v>
      </c>
      <c r="AG1352" s="22" t="str">
        <f aca="false">IF(AD1352&lt;L1352,"PASSARO","ATUAL")</f>
        <v>PASSARO</v>
      </c>
      <c r="AH1352" s="22" t="str">
        <f aca="false">IF(P1352&lt;&gt;A1352,"Faixa cadastrada como "&amp;P1352&amp;" na tabela; preço aplicado pela UF do CEP","")</f>
        <v/>
      </c>
      <c r="AI1352" s="26" t="n">
        <v>141.24</v>
      </c>
      <c r="AJ1352" s="22" t="str">
        <f aca="false">INDEX('Tabela Passaro'!$X$2:$X$1795,$N1352)</f>
        <v>CAPITAL</v>
      </c>
    </row>
    <row r="1353" customFormat="false" ht="15" hidden="false" customHeight="false" outlineLevel="0" collapsed="false">
      <c r="A1353" s="22" t="s">
        <v>20</v>
      </c>
      <c r="B1353" s="22" t="n">
        <v>2</v>
      </c>
      <c r="C1353" s="22" t="s">
        <v>149</v>
      </c>
      <c r="D1353" s="22" t="s">
        <v>30</v>
      </c>
      <c r="E1353" s="22" t="s">
        <v>7328</v>
      </c>
      <c r="F1353" s="22" t="n">
        <v>2315743</v>
      </c>
      <c r="G1353" s="30" t="n">
        <v>46258</v>
      </c>
      <c r="H1353" s="22" t="n">
        <v>134463</v>
      </c>
      <c r="I1353" s="22" t="s">
        <v>8562</v>
      </c>
      <c r="J1353" s="31" t="n">
        <v>66.8</v>
      </c>
      <c r="K1353" s="26" t="n">
        <v>1024.97</v>
      </c>
      <c r="L1353" s="26" t="n">
        <v>210.66</v>
      </c>
      <c r="M1353" s="22" t="s">
        <v>4793</v>
      </c>
      <c r="N1353" s="22" t="n">
        <f aca="false">MATCH(M1353,'Tabela Passaro'!$A$2:$A$1795,0)</f>
        <v>1147</v>
      </c>
      <c r="O1353" s="22" t="str">
        <f aca="false">INDEX('Tabela Passaro'!$C$2:$C$1795,$N1353)</f>
        <v>JABOATAO DOS GUARARAPES</v>
      </c>
      <c r="P1353" s="22" t="str">
        <f aca="false">INDEX('Tabela Passaro'!$B$2:$B$1795,$N1353)</f>
        <v>PE</v>
      </c>
      <c r="Q1353" s="22" t="n">
        <f aca="false">INDEX('Tabela Passaro'!$F$2:$F$1795,$N1353)</f>
        <v>8</v>
      </c>
      <c r="R1353" s="32" t="n">
        <f aca="false">IF(J1353&lt;=10,INDEX('Tabela Passaro'!$G$2:$G$1795,$N1353),IF(J1353&lt;=30,INDEX('Tabela Passaro'!$H$2:$H$1795,$N1353),IF(J1353&lt;=50,INDEX('Tabela Passaro'!$I$2:$I$1795,$N1353),IF(J1353&lt;=70,INDEX('Tabela Passaro'!$J$2:$J$1795,$N1353),IF(J1353&lt;=100,INDEX('Tabela Passaro'!$K$2:$K$1795,$N1353),INDEX('Tabela Passaro'!$K$2:$K$1795,$N1353)+(J1353-100)*INDEX('Tabela Passaro'!$L$2:$L$1795,$N1353))))))</f>
        <v>99.61</v>
      </c>
      <c r="S1353" s="32" t="n">
        <f aca="false">K1353*INDEX('Tabela Passaro'!$M$2:$M$1795,$N1353)</f>
        <v>5.12485</v>
      </c>
      <c r="T1353" s="32" t="n">
        <f aca="false">K1353*INDEX('Tabela Passaro'!$N$2:$N$1795,$N1353)</f>
        <v>2.04994</v>
      </c>
      <c r="U1353" s="32" t="n">
        <f aca="false">INDEX('Tabela Passaro'!$O$2:$O$1795,$N1353)</f>
        <v>5</v>
      </c>
      <c r="V1353" s="32" t="n">
        <f aca="false">ROUNDUP(J1353/INDEX('Tabela Passaro'!$Q$2:$Q$1795,$N1353),0)*INDEX('Tabela Passaro'!$P$2:$P$1795,$N1353)</f>
        <v>5</v>
      </c>
      <c r="W1353" s="32" t="n">
        <f aca="false">INDEX('Tabela Passaro'!$R$2:$R$1795,$N1353)</f>
        <v>30</v>
      </c>
      <c r="X1353" s="32" t="n">
        <f aca="false">ROUNDUP(J1353/INDEX('Tabela Passaro'!$T$2:$T$1795,$N1353),0)*INDEX('Tabela Passaro'!$S$2:$S$1795,$N1353)</f>
        <v>0</v>
      </c>
      <c r="Y1353" s="32" t="n">
        <f aca="false">INDEX('Tabela Passaro'!$U$2:$U$1795,$N1353)</f>
        <v>0</v>
      </c>
      <c r="Z1353" s="32" t="n">
        <f aca="false">INDEX('Tabela Passaro'!$V$2:$V$1795,$N1353)</f>
        <v>0</v>
      </c>
      <c r="AA1353" s="32" t="n">
        <f aca="false">SUM(R1353:Z1353)</f>
        <v>146.78479</v>
      </c>
      <c r="AB1353" s="33" t="n">
        <f aca="false">INDEX(Premissas!$B$5:$B$13,MATCH(A1353,Premissas!$A$5:$A$13,0))</f>
        <v>0.07</v>
      </c>
      <c r="AC1353" s="32" t="n">
        <f aca="false">AA1353/(1-AB1353)-AA1353</f>
        <v>11.0483175268817</v>
      </c>
      <c r="AD1353" s="32" t="n">
        <f aca="false">ROUND(AA1353+AC1353,2)</f>
        <v>157.83</v>
      </c>
      <c r="AE1353" s="32" t="n">
        <f aca="false">AD1353-L1353</f>
        <v>-52.83</v>
      </c>
      <c r="AF1353" s="34" t="n">
        <f aca="false">IF(L1353=0,0,AE1353/L1353)</f>
        <v>-0.250783252634577</v>
      </c>
      <c r="AG1353" s="22" t="str">
        <f aca="false">IF(AD1353&lt;L1353,"PASSARO","ATUAL")</f>
        <v>PASSARO</v>
      </c>
      <c r="AH1353" s="22" t="str">
        <f aca="false">IF(P1353&lt;&gt;A1353,"Faixa cadastrada como "&amp;P1353&amp;" na tabela; preço aplicado pela UF do CEP","")</f>
        <v/>
      </c>
      <c r="AI1353" s="26" t="n">
        <v>203.95</v>
      </c>
      <c r="AJ1353" s="22" t="str">
        <f aca="false">INDEX('Tabela Passaro'!$X$2:$X$1795,$N1353)</f>
        <v>CAPITAL</v>
      </c>
    </row>
    <row r="1354" customFormat="false" ht="15" hidden="false" customHeight="false" outlineLevel="0" collapsed="false">
      <c r="A1354" s="22" t="s">
        <v>20</v>
      </c>
      <c r="B1354" s="22" t="n">
        <v>2</v>
      </c>
      <c r="C1354" s="22" t="s">
        <v>149</v>
      </c>
      <c r="D1354" s="22" t="s">
        <v>30</v>
      </c>
      <c r="E1354" s="22" t="s">
        <v>7328</v>
      </c>
      <c r="F1354" s="22" t="n">
        <v>2315780</v>
      </c>
      <c r="G1354" s="30" t="n">
        <v>46258</v>
      </c>
      <c r="H1354" s="22" t="n">
        <v>134940</v>
      </c>
      <c r="I1354" s="22" t="s">
        <v>8557</v>
      </c>
      <c r="J1354" s="31" t="n">
        <v>45.4</v>
      </c>
      <c r="K1354" s="26" t="n">
        <v>615.96</v>
      </c>
      <c r="L1354" s="26" t="n">
        <v>164.18</v>
      </c>
      <c r="M1354" s="22" t="s">
        <v>4793</v>
      </c>
      <c r="N1354" s="22" t="n">
        <f aca="false">MATCH(M1354,'Tabela Passaro'!$A$2:$A$1795,0)</f>
        <v>1147</v>
      </c>
      <c r="O1354" s="22" t="str">
        <f aca="false">INDEX('Tabela Passaro'!$C$2:$C$1795,$N1354)</f>
        <v>JABOATAO DOS GUARARAPES</v>
      </c>
      <c r="P1354" s="22" t="str">
        <f aca="false">INDEX('Tabela Passaro'!$B$2:$B$1795,$N1354)</f>
        <v>PE</v>
      </c>
      <c r="Q1354" s="22" t="n">
        <f aca="false">INDEX('Tabela Passaro'!$F$2:$F$1795,$N1354)</f>
        <v>8</v>
      </c>
      <c r="R1354" s="32" t="n">
        <f aca="false">IF(J1354&lt;=10,INDEX('Tabela Passaro'!$G$2:$G$1795,$N1354),IF(J1354&lt;=30,INDEX('Tabela Passaro'!$H$2:$H$1795,$N1354),IF(J1354&lt;=50,INDEX('Tabela Passaro'!$I$2:$I$1795,$N1354),IF(J1354&lt;=70,INDEX('Tabela Passaro'!$J$2:$J$1795,$N1354),IF(J1354&lt;=100,INDEX('Tabela Passaro'!$K$2:$K$1795,$N1354),INDEX('Tabela Passaro'!$K$2:$K$1795,$N1354)+(J1354-100)*INDEX('Tabela Passaro'!$L$2:$L$1795,$N1354))))))</f>
        <v>88.59</v>
      </c>
      <c r="S1354" s="32" t="n">
        <f aca="false">K1354*INDEX('Tabela Passaro'!$M$2:$M$1795,$N1354)</f>
        <v>3.0798</v>
      </c>
      <c r="T1354" s="32" t="n">
        <f aca="false">K1354*INDEX('Tabela Passaro'!$N$2:$N$1795,$N1354)</f>
        <v>1.23192</v>
      </c>
      <c r="U1354" s="32" t="n">
        <f aca="false">INDEX('Tabela Passaro'!$O$2:$O$1795,$N1354)</f>
        <v>5</v>
      </c>
      <c r="V1354" s="32" t="n">
        <f aca="false">ROUNDUP(J1354/INDEX('Tabela Passaro'!$Q$2:$Q$1795,$N1354),0)*INDEX('Tabela Passaro'!$P$2:$P$1795,$N1354)</f>
        <v>5</v>
      </c>
      <c r="W1354" s="32" t="n">
        <f aca="false">INDEX('Tabela Passaro'!$R$2:$R$1795,$N1354)</f>
        <v>30</v>
      </c>
      <c r="X1354" s="32" t="n">
        <f aca="false">ROUNDUP(J1354/INDEX('Tabela Passaro'!$T$2:$T$1795,$N1354),0)*INDEX('Tabela Passaro'!$S$2:$S$1795,$N1354)</f>
        <v>0</v>
      </c>
      <c r="Y1354" s="32" t="n">
        <f aca="false">INDEX('Tabela Passaro'!$U$2:$U$1795,$N1354)</f>
        <v>0</v>
      </c>
      <c r="Z1354" s="32" t="n">
        <f aca="false">INDEX('Tabela Passaro'!$V$2:$V$1795,$N1354)</f>
        <v>0</v>
      </c>
      <c r="AA1354" s="32" t="n">
        <f aca="false">SUM(R1354:Z1354)</f>
        <v>132.90172</v>
      </c>
      <c r="AB1354" s="33" t="n">
        <f aca="false">INDEX(Premissas!$B$5:$B$13,MATCH(A1354,Premissas!$A$5:$A$13,0))</f>
        <v>0.07</v>
      </c>
      <c r="AC1354" s="32" t="n">
        <f aca="false">AA1354/(1-AB1354)-AA1354</f>
        <v>10.0033552688172</v>
      </c>
      <c r="AD1354" s="32" t="n">
        <f aca="false">ROUND(AA1354+AC1354,2)</f>
        <v>142.91</v>
      </c>
      <c r="AE1354" s="32" t="n">
        <f aca="false">AD1354-L1354</f>
        <v>-21.27</v>
      </c>
      <c r="AF1354" s="34" t="n">
        <f aca="false">IF(L1354=0,0,AE1354/L1354)</f>
        <v>-0.129552929711293</v>
      </c>
      <c r="AG1354" s="22" t="str">
        <f aca="false">IF(AD1354&lt;L1354,"PASSARO","ATUAL")</f>
        <v>PASSARO</v>
      </c>
      <c r="AH1354" s="22" t="str">
        <f aca="false">IF(P1354&lt;&gt;A1354,"Faixa cadastrada como "&amp;P1354&amp;" na tabela; preço aplicado pela UF do CEP","")</f>
        <v/>
      </c>
      <c r="AI1354" s="26" t="n">
        <v>177.3</v>
      </c>
      <c r="AJ1354" s="22" t="str">
        <f aca="false">INDEX('Tabela Passaro'!$X$2:$X$1795,$N1354)</f>
        <v>CAPITAL</v>
      </c>
    </row>
    <row r="1355" customFormat="false" ht="15" hidden="false" customHeight="false" outlineLevel="0" collapsed="false">
      <c r="A1355" s="22" t="s">
        <v>20</v>
      </c>
      <c r="B1355" s="22" t="n">
        <v>2</v>
      </c>
      <c r="C1355" s="22" t="s">
        <v>149</v>
      </c>
      <c r="D1355" s="22" t="s">
        <v>30</v>
      </c>
      <c r="E1355" s="22" t="s">
        <v>7328</v>
      </c>
      <c r="F1355" s="22" t="n">
        <v>2315820</v>
      </c>
      <c r="G1355" s="30" t="n">
        <v>46258</v>
      </c>
      <c r="H1355" s="22" t="n">
        <v>134960</v>
      </c>
      <c r="I1355" s="22" t="s">
        <v>8557</v>
      </c>
      <c r="J1355" s="31" t="n">
        <v>45.4</v>
      </c>
      <c r="K1355" s="26" t="n">
        <v>607.85</v>
      </c>
      <c r="L1355" s="26" t="n">
        <v>164.12</v>
      </c>
      <c r="M1355" s="22" t="s">
        <v>4793</v>
      </c>
      <c r="N1355" s="22" t="n">
        <f aca="false">MATCH(M1355,'Tabela Passaro'!$A$2:$A$1795,0)</f>
        <v>1147</v>
      </c>
      <c r="O1355" s="22" t="str">
        <f aca="false">INDEX('Tabela Passaro'!$C$2:$C$1795,$N1355)</f>
        <v>JABOATAO DOS GUARARAPES</v>
      </c>
      <c r="P1355" s="22" t="str">
        <f aca="false">INDEX('Tabela Passaro'!$B$2:$B$1795,$N1355)</f>
        <v>PE</v>
      </c>
      <c r="Q1355" s="22" t="n">
        <f aca="false">INDEX('Tabela Passaro'!$F$2:$F$1795,$N1355)</f>
        <v>8</v>
      </c>
      <c r="R1355" s="32" t="n">
        <f aca="false">IF(J1355&lt;=10,INDEX('Tabela Passaro'!$G$2:$G$1795,$N1355),IF(J1355&lt;=30,INDEX('Tabela Passaro'!$H$2:$H$1795,$N1355),IF(J1355&lt;=50,INDEX('Tabela Passaro'!$I$2:$I$1795,$N1355),IF(J1355&lt;=70,INDEX('Tabela Passaro'!$J$2:$J$1795,$N1355),IF(J1355&lt;=100,INDEX('Tabela Passaro'!$K$2:$K$1795,$N1355),INDEX('Tabela Passaro'!$K$2:$K$1795,$N1355)+(J1355-100)*INDEX('Tabela Passaro'!$L$2:$L$1795,$N1355))))))</f>
        <v>88.59</v>
      </c>
      <c r="S1355" s="32" t="n">
        <f aca="false">K1355*INDEX('Tabela Passaro'!$M$2:$M$1795,$N1355)</f>
        <v>3.03925</v>
      </c>
      <c r="T1355" s="32" t="n">
        <f aca="false">K1355*INDEX('Tabela Passaro'!$N$2:$N$1795,$N1355)</f>
        <v>1.2157</v>
      </c>
      <c r="U1355" s="32" t="n">
        <f aca="false">INDEX('Tabela Passaro'!$O$2:$O$1795,$N1355)</f>
        <v>5</v>
      </c>
      <c r="V1355" s="32" t="n">
        <f aca="false">ROUNDUP(J1355/INDEX('Tabela Passaro'!$Q$2:$Q$1795,$N1355),0)*INDEX('Tabela Passaro'!$P$2:$P$1795,$N1355)</f>
        <v>5</v>
      </c>
      <c r="W1355" s="32" t="n">
        <f aca="false">INDEX('Tabela Passaro'!$R$2:$R$1795,$N1355)</f>
        <v>30</v>
      </c>
      <c r="X1355" s="32" t="n">
        <f aca="false">ROUNDUP(J1355/INDEX('Tabela Passaro'!$T$2:$T$1795,$N1355),0)*INDEX('Tabela Passaro'!$S$2:$S$1795,$N1355)</f>
        <v>0</v>
      </c>
      <c r="Y1355" s="32" t="n">
        <f aca="false">INDEX('Tabela Passaro'!$U$2:$U$1795,$N1355)</f>
        <v>0</v>
      </c>
      <c r="Z1355" s="32" t="n">
        <f aca="false">INDEX('Tabela Passaro'!$V$2:$V$1795,$N1355)</f>
        <v>0</v>
      </c>
      <c r="AA1355" s="32" t="n">
        <f aca="false">SUM(R1355:Z1355)</f>
        <v>132.84495</v>
      </c>
      <c r="AB1355" s="33" t="n">
        <f aca="false">INDEX(Premissas!$B$5:$B$13,MATCH(A1355,Premissas!$A$5:$A$13,0))</f>
        <v>0.07</v>
      </c>
      <c r="AC1355" s="32" t="n">
        <f aca="false">AA1355/(1-AB1355)-AA1355</f>
        <v>9.99908225806453</v>
      </c>
      <c r="AD1355" s="32" t="n">
        <f aca="false">ROUND(AA1355+AC1355,2)</f>
        <v>142.84</v>
      </c>
      <c r="AE1355" s="32" t="n">
        <f aca="false">AD1355-L1355</f>
        <v>-21.28</v>
      </c>
      <c r="AF1355" s="34" t="n">
        <f aca="false">IF(L1355=0,0,AE1355/L1355)</f>
        <v>-0.129661223495004</v>
      </c>
      <c r="AG1355" s="22" t="str">
        <f aca="false">IF(AD1355&lt;L1355,"PASSARO","ATUAL")</f>
        <v>PASSARO</v>
      </c>
      <c r="AH1355" s="22" t="str">
        <f aca="false">IF(P1355&lt;&gt;A1355,"Faixa cadastrada como "&amp;P1355&amp;" na tabela; preço aplicado pela UF do CEP","")</f>
        <v/>
      </c>
      <c r="AI1355" s="26" t="n">
        <v>177.23</v>
      </c>
      <c r="AJ1355" s="22" t="str">
        <f aca="false">INDEX('Tabela Passaro'!$X$2:$X$1795,$N1355)</f>
        <v>CAPITAL</v>
      </c>
    </row>
    <row r="1356" customFormat="false" ht="15" hidden="false" customHeight="false" outlineLevel="0" collapsed="false">
      <c r="A1356" s="22" t="s">
        <v>20</v>
      </c>
      <c r="B1356" s="22" t="n">
        <v>2</v>
      </c>
      <c r="C1356" s="22" t="s">
        <v>149</v>
      </c>
      <c r="D1356" s="22" t="s">
        <v>30</v>
      </c>
      <c r="E1356" s="22" t="s">
        <v>7328</v>
      </c>
      <c r="F1356" s="22" t="n">
        <v>2315873</v>
      </c>
      <c r="G1356" s="30" t="n">
        <v>46258</v>
      </c>
      <c r="H1356" s="22" t="n">
        <v>135335</v>
      </c>
      <c r="I1356" s="22" t="s">
        <v>8563</v>
      </c>
      <c r="J1356" s="31" t="n">
        <v>26.9</v>
      </c>
      <c r="K1356" s="26" t="n">
        <v>469.05</v>
      </c>
      <c r="L1356" s="26" t="n">
        <v>125.04</v>
      </c>
      <c r="M1356" s="22" t="s">
        <v>4793</v>
      </c>
      <c r="N1356" s="22" t="n">
        <f aca="false">MATCH(M1356,'Tabela Passaro'!$A$2:$A$1795,0)</f>
        <v>1147</v>
      </c>
      <c r="O1356" s="22" t="str">
        <f aca="false">INDEX('Tabela Passaro'!$C$2:$C$1795,$N1356)</f>
        <v>JABOATAO DOS GUARARAPES</v>
      </c>
      <c r="P1356" s="22" t="str">
        <f aca="false">INDEX('Tabela Passaro'!$B$2:$B$1795,$N1356)</f>
        <v>PE</v>
      </c>
      <c r="Q1356" s="22" t="n">
        <f aca="false">INDEX('Tabela Passaro'!$F$2:$F$1795,$N1356)</f>
        <v>8</v>
      </c>
      <c r="R1356" s="32" t="n">
        <f aca="false">IF(J1356&lt;=10,INDEX('Tabela Passaro'!$G$2:$G$1795,$N1356),IF(J1356&lt;=30,INDEX('Tabela Passaro'!$H$2:$H$1795,$N1356),IF(J1356&lt;=50,INDEX('Tabela Passaro'!$I$2:$I$1795,$N1356),IF(J1356&lt;=70,INDEX('Tabela Passaro'!$J$2:$J$1795,$N1356),IF(J1356&lt;=100,INDEX('Tabela Passaro'!$K$2:$K$1795,$N1356),INDEX('Tabela Passaro'!$K$2:$K$1795,$N1356)+(J1356-100)*INDEX('Tabela Passaro'!$L$2:$L$1795,$N1356))))))</f>
        <v>66.55</v>
      </c>
      <c r="S1356" s="32" t="n">
        <f aca="false">K1356*INDEX('Tabela Passaro'!$M$2:$M$1795,$N1356)</f>
        <v>2.34525</v>
      </c>
      <c r="T1356" s="32" t="n">
        <f aca="false">K1356*INDEX('Tabela Passaro'!$N$2:$N$1795,$N1356)</f>
        <v>0.9381</v>
      </c>
      <c r="U1356" s="32" t="n">
        <f aca="false">INDEX('Tabela Passaro'!$O$2:$O$1795,$N1356)</f>
        <v>5</v>
      </c>
      <c r="V1356" s="32" t="n">
        <f aca="false">ROUNDUP(J1356/INDEX('Tabela Passaro'!$Q$2:$Q$1795,$N1356),0)*INDEX('Tabela Passaro'!$P$2:$P$1795,$N1356)</f>
        <v>5</v>
      </c>
      <c r="W1356" s="32" t="n">
        <f aca="false">INDEX('Tabela Passaro'!$R$2:$R$1795,$N1356)</f>
        <v>30</v>
      </c>
      <c r="X1356" s="32" t="n">
        <f aca="false">ROUNDUP(J1356/INDEX('Tabela Passaro'!$T$2:$T$1795,$N1356),0)*INDEX('Tabela Passaro'!$S$2:$S$1795,$N1356)</f>
        <v>0</v>
      </c>
      <c r="Y1356" s="32" t="n">
        <f aca="false">INDEX('Tabela Passaro'!$U$2:$U$1795,$N1356)</f>
        <v>0</v>
      </c>
      <c r="Z1356" s="32" t="n">
        <f aca="false">INDEX('Tabela Passaro'!$V$2:$V$1795,$N1356)</f>
        <v>0</v>
      </c>
      <c r="AA1356" s="32" t="n">
        <f aca="false">SUM(R1356:Z1356)</f>
        <v>109.83335</v>
      </c>
      <c r="AB1356" s="33" t="n">
        <f aca="false">INDEX(Premissas!$B$5:$B$13,MATCH(A1356,Premissas!$A$5:$A$13,0))</f>
        <v>0.07</v>
      </c>
      <c r="AC1356" s="32" t="n">
        <f aca="false">AA1356/(1-AB1356)-AA1356</f>
        <v>8.26702634408603</v>
      </c>
      <c r="AD1356" s="32" t="n">
        <f aca="false">ROUND(AA1356+AC1356,2)</f>
        <v>118.1</v>
      </c>
      <c r="AE1356" s="32" t="n">
        <f aca="false">AD1356-L1356</f>
        <v>-6.94000000000001</v>
      </c>
      <c r="AF1356" s="34" t="n">
        <f aca="false">IF(L1356=0,0,AE1356/L1356)</f>
        <v>-0.0555022392834294</v>
      </c>
      <c r="AG1356" s="22" t="str">
        <f aca="false">IF(AD1356&lt;L1356,"PASSARO","ATUAL")</f>
        <v>PASSARO</v>
      </c>
      <c r="AH1356" s="22" t="str">
        <f aca="false">IF(P1356&lt;&gt;A1356,"Faixa cadastrada como "&amp;P1356&amp;" na tabela; preço aplicado pela UF do CEP","")</f>
        <v/>
      </c>
      <c r="AI1356" s="26" t="n">
        <v>141.64</v>
      </c>
      <c r="AJ1356" s="22" t="str">
        <f aca="false">INDEX('Tabela Passaro'!$X$2:$X$1795,$N1356)</f>
        <v>CAPITAL</v>
      </c>
    </row>
    <row r="1357" customFormat="false" ht="15" hidden="false" customHeight="false" outlineLevel="0" collapsed="false">
      <c r="A1357" s="22" t="s">
        <v>20</v>
      </c>
      <c r="B1357" s="22" t="n">
        <v>2</v>
      </c>
      <c r="C1357" s="22" t="s">
        <v>149</v>
      </c>
      <c r="D1357" s="22" t="s">
        <v>30</v>
      </c>
      <c r="E1357" s="22" t="s">
        <v>7326</v>
      </c>
      <c r="F1357" s="22" t="n">
        <v>526910</v>
      </c>
      <c r="G1357" s="30" t="n">
        <v>46258</v>
      </c>
      <c r="H1357" s="22" t="n">
        <v>627943</v>
      </c>
      <c r="I1357" s="22" t="s">
        <v>8564</v>
      </c>
      <c r="J1357" s="31" t="n">
        <v>26.9</v>
      </c>
      <c r="K1357" s="26" t="n">
        <v>1252.88</v>
      </c>
      <c r="L1357" s="26" t="n">
        <v>142.25</v>
      </c>
      <c r="M1357" s="22" t="s">
        <v>4793</v>
      </c>
      <c r="N1357" s="22" t="n">
        <f aca="false">MATCH(M1357,'Tabela Passaro'!$A$2:$A$1795,0)</f>
        <v>1147</v>
      </c>
      <c r="O1357" s="22" t="str">
        <f aca="false">INDEX('Tabela Passaro'!$C$2:$C$1795,$N1357)</f>
        <v>JABOATAO DOS GUARARAPES</v>
      </c>
      <c r="P1357" s="22" t="str">
        <f aca="false">INDEX('Tabela Passaro'!$B$2:$B$1795,$N1357)</f>
        <v>PE</v>
      </c>
      <c r="Q1357" s="22" t="n">
        <f aca="false">INDEX('Tabela Passaro'!$F$2:$F$1795,$N1357)</f>
        <v>8</v>
      </c>
      <c r="R1357" s="32" t="n">
        <f aca="false">IF(J1357&lt;=10,INDEX('Tabela Passaro'!$G$2:$G$1795,$N1357),IF(J1357&lt;=30,INDEX('Tabela Passaro'!$H$2:$H$1795,$N1357),IF(J1357&lt;=50,INDEX('Tabela Passaro'!$I$2:$I$1795,$N1357),IF(J1357&lt;=70,INDEX('Tabela Passaro'!$J$2:$J$1795,$N1357),IF(J1357&lt;=100,INDEX('Tabela Passaro'!$K$2:$K$1795,$N1357),INDEX('Tabela Passaro'!$K$2:$K$1795,$N1357)+(J1357-100)*INDEX('Tabela Passaro'!$L$2:$L$1795,$N1357))))))</f>
        <v>66.55</v>
      </c>
      <c r="S1357" s="32" t="n">
        <f aca="false">K1357*INDEX('Tabela Passaro'!$M$2:$M$1795,$N1357)</f>
        <v>6.2644</v>
      </c>
      <c r="T1357" s="32" t="n">
        <f aca="false">K1357*INDEX('Tabela Passaro'!$N$2:$N$1795,$N1357)</f>
        <v>2.50576</v>
      </c>
      <c r="U1357" s="32" t="n">
        <f aca="false">INDEX('Tabela Passaro'!$O$2:$O$1795,$N1357)</f>
        <v>5</v>
      </c>
      <c r="V1357" s="32" t="n">
        <f aca="false">ROUNDUP(J1357/INDEX('Tabela Passaro'!$Q$2:$Q$1795,$N1357),0)*INDEX('Tabela Passaro'!$P$2:$P$1795,$N1357)</f>
        <v>5</v>
      </c>
      <c r="W1357" s="32" t="n">
        <f aca="false">INDEX('Tabela Passaro'!$R$2:$R$1795,$N1357)</f>
        <v>30</v>
      </c>
      <c r="X1357" s="32" t="n">
        <f aca="false">ROUNDUP(J1357/INDEX('Tabela Passaro'!$T$2:$T$1795,$N1357),0)*INDEX('Tabela Passaro'!$S$2:$S$1795,$N1357)</f>
        <v>0</v>
      </c>
      <c r="Y1357" s="32" t="n">
        <f aca="false">INDEX('Tabela Passaro'!$U$2:$U$1795,$N1357)</f>
        <v>0</v>
      </c>
      <c r="Z1357" s="32" t="n">
        <f aca="false">INDEX('Tabela Passaro'!$V$2:$V$1795,$N1357)</f>
        <v>0</v>
      </c>
      <c r="AA1357" s="32" t="n">
        <f aca="false">SUM(R1357:Z1357)</f>
        <v>115.32016</v>
      </c>
      <c r="AB1357" s="33" t="n">
        <f aca="false">INDEX(Premissas!$B$5:$B$13,MATCH(A1357,Premissas!$A$5:$A$13,0))</f>
        <v>0.07</v>
      </c>
      <c r="AC1357" s="32" t="n">
        <f aca="false">AA1357/(1-AB1357)-AA1357</f>
        <v>8.68001204301076</v>
      </c>
      <c r="AD1357" s="32" t="n">
        <f aca="false">ROUND(AA1357+AC1357,2)</f>
        <v>124</v>
      </c>
      <c r="AE1357" s="32" t="n">
        <f aca="false">AD1357-L1357</f>
        <v>-18.25</v>
      </c>
      <c r="AF1357" s="34" t="n">
        <f aca="false">IF(L1357=0,0,AE1357/L1357)</f>
        <v>-0.12829525483304</v>
      </c>
      <c r="AG1357" s="22" t="str">
        <f aca="false">IF(AD1357&lt;L1357,"PASSARO","ATUAL")</f>
        <v>PASSARO</v>
      </c>
      <c r="AH1357" s="22" t="str">
        <f aca="false">IF(P1357&lt;&gt;A1357,"Faixa cadastrada como "&amp;P1357&amp;" na tabela; preço aplicado pela UF do CEP","")</f>
        <v/>
      </c>
      <c r="AI1357" s="26" t="n">
        <v>149.22</v>
      </c>
      <c r="AJ1357" s="22" t="str">
        <f aca="false">INDEX('Tabela Passaro'!$X$2:$X$1795,$N1357)</f>
        <v>CAPITAL</v>
      </c>
    </row>
    <row r="1358" customFormat="false" ht="15" hidden="false" customHeight="false" outlineLevel="0" collapsed="false">
      <c r="A1358" s="22" t="s">
        <v>20</v>
      </c>
      <c r="B1358" s="22" t="n">
        <v>2</v>
      </c>
      <c r="C1358" s="22" t="s">
        <v>149</v>
      </c>
      <c r="D1358" s="22" t="s">
        <v>30</v>
      </c>
      <c r="E1358" s="22" t="s">
        <v>7326</v>
      </c>
      <c r="F1358" s="22" t="n">
        <v>526913</v>
      </c>
      <c r="G1358" s="30" t="n">
        <v>46258</v>
      </c>
      <c r="H1358" s="22" t="n">
        <v>627948</v>
      </c>
      <c r="I1358" s="22" t="s">
        <v>8565</v>
      </c>
      <c r="J1358" s="31" t="n">
        <v>24.3</v>
      </c>
      <c r="K1358" s="26" t="n">
        <v>1301.19</v>
      </c>
      <c r="L1358" s="26" t="n">
        <v>142.67</v>
      </c>
      <c r="M1358" s="22" t="s">
        <v>4793</v>
      </c>
      <c r="N1358" s="22" t="n">
        <f aca="false">MATCH(M1358,'Tabela Passaro'!$A$2:$A$1795,0)</f>
        <v>1147</v>
      </c>
      <c r="O1358" s="22" t="str">
        <f aca="false">INDEX('Tabela Passaro'!$C$2:$C$1795,$N1358)</f>
        <v>JABOATAO DOS GUARARAPES</v>
      </c>
      <c r="P1358" s="22" t="str">
        <f aca="false">INDEX('Tabela Passaro'!$B$2:$B$1795,$N1358)</f>
        <v>PE</v>
      </c>
      <c r="Q1358" s="22" t="n">
        <f aca="false">INDEX('Tabela Passaro'!$F$2:$F$1795,$N1358)</f>
        <v>8</v>
      </c>
      <c r="R1358" s="32" t="n">
        <f aca="false">IF(J1358&lt;=10,INDEX('Tabela Passaro'!$G$2:$G$1795,$N1358),IF(J1358&lt;=30,INDEX('Tabela Passaro'!$H$2:$H$1795,$N1358),IF(J1358&lt;=50,INDEX('Tabela Passaro'!$I$2:$I$1795,$N1358),IF(J1358&lt;=70,INDEX('Tabela Passaro'!$J$2:$J$1795,$N1358),IF(J1358&lt;=100,INDEX('Tabela Passaro'!$K$2:$K$1795,$N1358),INDEX('Tabela Passaro'!$K$2:$K$1795,$N1358)+(J1358-100)*INDEX('Tabela Passaro'!$L$2:$L$1795,$N1358))))))</f>
        <v>66.55</v>
      </c>
      <c r="S1358" s="32" t="n">
        <f aca="false">K1358*INDEX('Tabela Passaro'!$M$2:$M$1795,$N1358)</f>
        <v>6.50595</v>
      </c>
      <c r="T1358" s="32" t="n">
        <f aca="false">K1358*INDEX('Tabela Passaro'!$N$2:$N$1795,$N1358)</f>
        <v>2.60238</v>
      </c>
      <c r="U1358" s="32" t="n">
        <f aca="false">INDEX('Tabela Passaro'!$O$2:$O$1795,$N1358)</f>
        <v>5</v>
      </c>
      <c r="V1358" s="32" t="n">
        <f aca="false">ROUNDUP(J1358/INDEX('Tabela Passaro'!$Q$2:$Q$1795,$N1358),0)*INDEX('Tabela Passaro'!$P$2:$P$1795,$N1358)</f>
        <v>5</v>
      </c>
      <c r="W1358" s="32" t="n">
        <f aca="false">INDEX('Tabela Passaro'!$R$2:$R$1795,$N1358)</f>
        <v>30</v>
      </c>
      <c r="X1358" s="32" t="n">
        <f aca="false">ROUNDUP(J1358/INDEX('Tabela Passaro'!$T$2:$T$1795,$N1358),0)*INDEX('Tabela Passaro'!$S$2:$S$1795,$N1358)</f>
        <v>0</v>
      </c>
      <c r="Y1358" s="32" t="n">
        <f aca="false">INDEX('Tabela Passaro'!$U$2:$U$1795,$N1358)</f>
        <v>0</v>
      </c>
      <c r="Z1358" s="32" t="n">
        <f aca="false">INDEX('Tabela Passaro'!$V$2:$V$1795,$N1358)</f>
        <v>0</v>
      </c>
      <c r="AA1358" s="32" t="n">
        <f aca="false">SUM(R1358:Z1358)</f>
        <v>115.65833</v>
      </c>
      <c r="AB1358" s="33" t="n">
        <f aca="false">INDEX(Premissas!$B$5:$B$13,MATCH(A1358,Premissas!$A$5:$A$13,0))</f>
        <v>0.07</v>
      </c>
      <c r="AC1358" s="32" t="n">
        <f aca="false">AA1358/(1-AB1358)-AA1358</f>
        <v>8.70546569892474</v>
      </c>
      <c r="AD1358" s="32" t="n">
        <f aca="false">ROUND(AA1358+AC1358,2)</f>
        <v>124.36</v>
      </c>
      <c r="AE1358" s="32" t="n">
        <f aca="false">AD1358-L1358</f>
        <v>-18.31</v>
      </c>
      <c r="AF1358" s="34" t="n">
        <f aca="false">IF(L1358=0,0,AE1358/L1358)</f>
        <v>-0.128338122941053</v>
      </c>
      <c r="AG1358" s="22" t="str">
        <f aca="false">IF(AD1358&lt;L1358,"PASSARO","ATUAL")</f>
        <v>PASSARO</v>
      </c>
      <c r="AH1358" s="22" t="str">
        <f aca="false">IF(P1358&lt;&gt;A1358,"Faixa cadastrada como "&amp;P1358&amp;" na tabela; preço aplicado pela UF do CEP","")</f>
        <v/>
      </c>
      <c r="AI1358" s="26" t="n">
        <v>148.72</v>
      </c>
      <c r="AJ1358" s="22" t="str">
        <f aca="false">INDEX('Tabela Passaro'!$X$2:$X$1795,$N1358)</f>
        <v>CAPITAL</v>
      </c>
    </row>
    <row r="1359" customFormat="false" ht="15" hidden="false" customHeight="false" outlineLevel="0" collapsed="false">
      <c r="A1359" s="22" t="s">
        <v>20</v>
      </c>
      <c r="B1359" s="22" t="n">
        <v>2</v>
      </c>
      <c r="C1359" s="22" t="s">
        <v>149</v>
      </c>
      <c r="D1359" s="22" t="s">
        <v>30</v>
      </c>
      <c r="E1359" s="22" t="s">
        <v>7326</v>
      </c>
      <c r="F1359" s="22" t="n">
        <v>527411</v>
      </c>
      <c r="G1359" s="30" t="n">
        <v>46259</v>
      </c>
      <c r="H1359" s="22" t="n">
        <v>629262</v>
      </c>
      <c r="I1359" s="22" t="s">
        <v>8566</v>
      </c>
      <c r="J1359" s="31" t="n">
        <v>57.5</v>
      </c>
      <c r="K1359" s="26" t="n">
        <v>1534.97</v>
      </c>
      <c r="L1359" s="26" t="n">
        <v>249.01</v>
      </c>
      <c r="M1359" s="22" t="s">
        <v>4793</v>
      </c>
      <c r="N1359" s="22" t="n">
        <f aca="false">MATCH(M1359,'Tabela Passaro'!$A$2:$A$1795,0)</f>
        <v>1147</v>
      </c>
      <c r="O1359" s="22" t="str">
        <f aca="false">INDEX('Tabela Passaro'!$C$2:$C$1795,$N1359)</f>
        <v>JABOATAO DOS GUARARAPES</v>
      </c>
      <c r="P1359" s="22" t="str">
        <f aca="false">INDEX('Tabela Passaro'!$B$2:$B$1795,$N1359)</f>
        <v>PE</v>
      </c>
      <c r="Q1359" s="22" t="n">
        <f aca="false">INDEX('Tabela Passaro'!$F$2:$F$1795,$N1359)</f>
        <v>8</v>
      </c>
      <c r="R1359" s="32" t="n">
        <f aca="false">IF(J1359&lt;=10,INDEX('Tabela Passaro'!$G$2:$G$1795,$N1359),IF(J1359&lt;=30,INDEX('Tabela Passaro'!$H$2:$H$1795,$N1359),IF(J1359&lt;=50,INDEX('Tabela Passaro'!$I$2:$I$1795,$N1359),IF(J1359&lt;=70,INDEX('Tabela Passaro'!$J$2:$J$1795,$N1359),IF(J1359&lt;=100,INDEX('Tabela Passaro'!$K$2:$K$1795,$N1359),INDEX('Tabela Passaro'!$K$2:$K$1795,$N1359)+(J1359-100)*INDEX('Tabela Passaro'!$L$2:$L$1795,$N1359))))))</f>
        <v>99.61</v>
      </c>
      <c r="S1359" s="32" t="n">
        <f aca="false">K1359*INDEX('Tabela Passaro'!$M$2:$M$1795,$N1359)</f>
        <v>7.67485</v>
      </c>
      <c r="T1359" s="32" t="n">
        <f aca="false">K1359*INDEX('Tabela Passaro'!$N$2:$N$1795,$N1359)</f>
        <v>3.06994</v>
      </c>
      <c r="U1359" s="32" t="n">
        <f aca="false">INDEX('Tabela Passaro'!$O$2:$O$1795,$N1359)</f>
        <v>5</v>
      </c>
      <c r="V1359" s="32" t="n">
        <f aca="false">ROUNDUP(J1359/INDEX('Tabela Passaro'!$Q$2:$Q$1795,$N1359),0)*INDEX('Tabela Passaro'!$P$2:$P$1795,$N1359)</f>
        <v>5</v>
      </c>
      <c r="W1359" s="32" t="n">
        <f aca="false">INDEX('Tabela Passaro'!$R$2:$R$1795,$N1359)</f>
        <v>30</v>
      </c>
      <c r="X1359" s="32" t="n">
        <f aca="false">ROUNDUP(J1359/INDEX('Tabela Passaro'!$T$2:$T$1795,$N1359),0)*INDEX('Tabela Passaro'!$S$2:$S$1795,$N1359)</f>
        <v>0</v>
      </c>
      <c r="Y1359" s="32" t="n">
        <f aca="false">INDEX('Tabela Passaro'!$U$2:$U$1795,$N1359)</f>
        <v>0</v>
      </c>
      <c r="Z1359" s="32" t="n">
        <f aca="false">INDEX('Tabela Passaro'!$V$2:$V$1795,$N1359)</f>
        <v>0</v>
      </c>
      <c r="AA1359" s="32" t="n">
        <f aca="false">SUM(R1359:Z1359)</f>
        <v>150.35479</v>
      </c>
      <c r="AB1359" s="33" t="n">
        <f aca="false">INDEX(Premissas!$B$5:$B$13,MATCH(A1359,Premissas!$A$5:$A$13,0))</f>
        <v>0.07</v>
      </c>
      <c r="AC1359" s="32" t="n">
        <f aca="false">AA1359/(1-AB1359)-AA1359</f>
        <v>11.3170272043011</v>
      </c>
      <c r="AD1359" s="32" t="n">
        <f aca="false">ROUND(AA1359+AC1359,2)</f>
        <v>161.67</v>
      </c>
      <c r="AE1359" s="32" t="n">
        <f aca="false">AD1359-L1359</f>
        <v>-87.34</v>
      </c>
      <c r="AF1359" s="34" t="n">
        <f aca="false">IF(L1359=0,0,AE1359/L1359)</f>
        <v>-0.350748965904984</v>
      </c>
      <c r="AG1359" s="22" t="str">
        <f aca="false">IF(AD1359&lt;L1359,"PASSARO","ATUAL")</f>
        <v>PASSARO</v>
      </c>
      <c r="AH1359" s="22" t="str">
        <f aca="false">IF(P1359&lt;&gt;A1359,"Faixa cadastrada como "&amp;P1359&amp;" na tabela; preço aplicado pela UF do CEP","")</f>
        <v/>
      </c>
      <c r="AI1359" s="26" t="n">
        <v>204.53</v>
      </c>
      <c r="AJ1359" s="22" t="str">
        <f aca="false">INDEX('Tabela Passaro'!$X$2:$X$1795,$N1359)</f>
        <v>CAPITAL</v>
      </c>
    </row>
    <row r="1360" customFormat="false" ht="15" hidden="false" customHeight="false" outlineLevel="0" collapsed="false">
      <c r="A1360" s="22" t="s">
        <v>20</v>
      </c>
      <c r="B1360" s="22" t="n">
        <v>2</v>
      </c>
      <c r="C1360" s="22" t="s">
        <v>149</v>
      </c>
      <c r="D1360" s="22" t="s">
        <v>30</v>
      </c>
      <c r="E1360" s="22" t="s">
        <v>7326</v>
      </c>
      <c r="F1360" s="22" t="n">
        <v>527417</v>
      </c>
      <c r="G1360" s="30" t="n">
        <v>46259</v>
      </c>
      <c r="H1360" s="22" t="n">
        <v>629271</v>
      </c>
      <c r="I1360" s="22" t="s">
        <v>8567</v>
      </c>
      <c r="J1360" s="31" t="n">
        <v>43.6</v>
      </c>
      <c r="K1360" s="26" t="n">
        <v>848.98</v>
      </c>
      <c r="L1360" s="26" t="n">
        <v>186.45</v>
      </c>
      <c r="M1360" s="22" t="s">
        <v>4793</v>
      </c>
      <c r="N1360" s="22" t="n">
        <f aca="false">MATCH(M1360,'Tabela Passaro'!$A$2:$A$1795,0)</f>
        <v>1147</v>
      </c>
      <c r="O1360" s="22" t="str">
        <f aca="false">INDEX('Tabela Passaro'!$C$2:$C$1795,$N1360)</f>
        <v>JABOATAO DOS GUARARAPES</v>
      </c>
      <c r="P1360" s="22" t="str">
        <f aca="false">INDEX('Tabela Passaro'!$B$2:$B$1795,$N1360)</f>
        <v>PE</v>
      </c>
      <c r="Q1360" s="22" t="n">
        <f aca="false">INDEX('Tabela Passaro'!$F$2:$F$1795,$N1360)</f>
        <v>8</v>
      </c>
      <c r="R1360" s="32" t="n">
        <f aca="false">IF(J1360&lt;=10,INDEX('Tabela Passaro'!$G$2:$G$1795,$N1360),IF(J1360&lt;=30,INDEX('Tabela Passaro'!$H$2:$H$1795,$N1360),IF(J1360&lt;=50,INDEX('Tabela Passaro'!$I$2:$I$1795,$N1360),IF(J1360&lt;=70,INDEX('Tabela Passaro'!$J$2:$J$1795,$N1360),IF(J1360&lt;=100,INDEX('Tabela Passaro'!$K$2:$K$1795,$N1360),INDEX('Tabela Passaro'!$K$2:$K$1795,$N1360)+(J1360-100)*INDEX('Tabela Passaro'!$L$2:$L$1795,$N1360))))))</f>
        <v>88.59</v>
      </c>
      <c r="S1360" s="32" t="n">
        <f aca="false">K1360*INDEX('Tabela Passaro'!$M$2:$M$1795,$N1360)</f>
        <v>4.2449</v>
      </c>
      <c r="T1360" s="32" t="n">
        <f aca="false">K1360*INDEX('Tabela Passaro'!$N$2:$N$1795,$N1360)</f>
        <v>1.69796</v>
      </c>
      <c r="U1360" s="32" t="n">
        <f aca="false">INDEX('Tabela Passaro'!$O$2:$O$1795,$N1360)</f>
        <v>5</v>
      </c>
      <c r="V1360" s="32" t="n">
        <f aca="false">ROUNDUP(J1360/INDEX('Tabela Passaro'!$Q$2:$Q$1795,$N1360),0)*INDEX('Tabela Passaro'!$P$2:$P$1795,$N1360)</f>
        <v>5</v>
      </c>
      <c r="W1360" s="32" t="n">
        <f aca="false">INDEX('Tabela Passaro'!$R$2:$R$1795,$N1360)</f>
        <v>30</v>
      </c>
      <c r="X1360" s="32" t="n">
        <f aca="false">ROUNDUP(J1360/INDEX('Tabela Passaro'!$T$2:$T$1795,$N1360),0)*INDEX('Tabela Passaro'!$S$2:$S$1795,$N1360)</f>
        <v>0</v>
      </c>
      <c r="Y1360" s="32" t="n">
        <f aca="false">INDEX('Tabela Passaro'!$U$2:$U$1795,$N1360)</f>
        <v>0</v>
      </c>
      <c r="Z1360" s="32" t="n">
        <f aca="false">INDEX('Tabela Passaro'!$V$2:$V$1795,$N1360)</f>
        <v>0</v>
      </c>
      <c r="AA1360" s="32" t="n">
        <f aca="false">SUM(R1360:Z1360)</f>
        <v>134.53286</v>
      </c>
      <c r="AB1360" s="33" t="n">
        <f aca="false">INDEX(Premissas!$B$5:$B$13,MATCH(A1360,Premissas!$A$5:$A$13,0))</f>
        <v>0.07</v>
      </c>
      <c r="AC1360" s="32" t="n">
        <f aca="false">AA1360/(1-AB1360)-AA1360</f>
        <v>10.1261292473118</v>
      </c>
      <c r="AD1360" s="32" t="n">
        <f aca="false">ROUND(AA1360+AC1360,2)</f>
        <v>144.66</v>
      </c>
      <c r="AE1360" s="32" t="n">
        <f aca="false">AD1360-L1360</f>
        <v>-41.79</v>
      </c>
      <c r="AF1360" s="34" t="n">
        <f aca="false">IF(L1360=0,0,AE1360/L1360)</f>
        <v>-0.22413515687852</v>
      </c>
      <c r="AG1360" s="22" t="str">
        <f aca="false">IF(AD1360&lt;L1360,"PASSARO","ATUAL")</f>
        <v>PASSARO</v>
      </c>
      <c r="AH1360" s="22" t="str">
        <f aca="false">IF(P1360&lt;&gt;A1360,"Faixa cadastrada como "&amp;P1360&amp;" na tabela; preço aplicado pela UF do CEP","")</f>
        <v/>
      </c>
      <c r="AI1360" s="26" t="n">
        <v>178.59</v>
      </c>
      <c r="AJ1360" s="22" t="str">
        <f aca="false">INDEX('Tabela Passaro'!$X$2:$X$1795,$N1360)</f>
        <v>CAPITAL</v>
      </c>
    </row>
    <row r="1361" customFormat="false" ht="15" hidden="false" customHeight="false" outlineLevel="0" collapsed="false">
      <c r="A1361" s="22" t="s">
        <v>20</v>
      </c>
      <c r="B1361" s="22" t="n">
        <v>2</v>
      </c>
      <c r="C1361" s="22" t="s">
        <v>149</v>
      </c>
      <c r="D1361" s="22" t="s">
        <v>30</v>
      </c>
      <c r="E1361" s="22" t="s">
        <v>20</v>
      </c>
      <c r="F1361" s="22" t="n">
        <v>840440</v>
      </c>
      <c r="G1361" s="30" t="n">
        <v>46261</v>
      </c>
      <c r="H1361" s="22" t="n">
        <v>32736</v>
      </c>
      <c r="I1361" s="22" t="s">
        <v>8568</v>
      </c>
      <c r="J1361" s="31" t="n">
        <v>60.9</v>
      </c>
      <c r="K1361" s="26" t="n">
        <v>1334.98</v>
      </c>
      <c r="L1361" s="26" t="n">
        <v>136.11</v>
      </c>
      <c r="M1361" s="22" t="s">
        <v>4793</v>
      </c>
      <c r="N1361" s="22" t="n">
        <f aca="false">MATCH(M1361,'Tabela Passaro'!$A$2:$A$1795,0)</f>
        <v>1147</v>
      </c>
      <c r="O1361" s="22" t="str">
        <f aca="false">INDEX('Tabela Passaro'!$C$2:$C$1795,$N1361)</f>
        <v>JABOATAO DOS GUARARAPES</v>
      </c>
      <c r="P1361" s="22" t="str">
        <f aca="false">INDEX('Tabela Passaro'!$B$2:$B$1795,$N1361)</f>
        <v>PE</v>
      </c>
      <c r="Q1361" s="22" t="n">
        <f aca="false">INDEX('Tabela Passaro'!$F$2:$F$1795,$N1361)</f>
        <v>8</v>
      </c>
      <c r="R1361" s="32" t="n">
        <f aca="false">IF(J1361&lt;=10,INDEX('Tabela Passaro'!$G$2:$G$1795,$N1361),IF(J1361&lt;=30,INDEX('Tabela Passaro'!$H$2:$H$1795,$N1361),IF(J1361&lt;=50,INDEX('Tabela Passaro'!$I$2:$I$1795,$N1361),IF(J1361&lt;=70,INDEX('Tabela Passaro'!$J$2:$J$1795,$N1361),IF(J1361&lt;=100,INDEX('Tabela Passaro'!$K$2:$K$1795,$N1361),INDEX('Tabela Passaro'!$K$2:$K$1795,$N1361)+(J1361-100)*INDEX('Tabela Passaro'!$L$2:$L$1795,$N1361))))))</f>
        <v>99.61</v>
      </c>
      <c r="S1361" s="32" t="n">
        <f aca="false">K1361*INDEX('Tabela Passaro'!$M$2:$M$1795,$N1361)</f>
        <v>6.6749</v>
      </c>
      <c r="T1361" s="32" t="n">
        <f aca="false">K1361*INDEX('Tabela Passaro'!$N$2:$N$1795,$N1361)</f>
        <v>2.66996</v>
      </c>
      <c r="U1361" s="32" t="n">
        <f aca="false">INDEX('Tabela Passaro'!$O$2:$O$1795,$N1361)</f>
        <v>5</v>
      </c>
      <c r="V1361" s="32" t="n">
        <f aca="false">ROUNDUP(J1361/INDEX('Tabela Passaro'!$Q$2:$Q$1795,$N1361),0)*INDEX('Tabela Passaro'!$P$2:$P$1795,$N1361)</f>
        <v>5</v>
      </c>
      <c r="W1361" s="32" t="n">
        <f aca="false">INDEX('Tabela Passaro'!$R$2:$R$1795,$N1361)</f>
        <v>30</v>
      </c>
      <c r="X1361" s="32" t="n">
        <f aca="false">ROUNDUP(J1361/INDEX('Tabela Passaro'!$T$2:$T$1795,$N1361),0)*INDEX('Tabela Passaro'!$S$2:$S$1795,$N1361)</f>
        <v>0</v>
      </c>
      <c r="Y1361" s="32" t="n">
        <f aca="false">INDEX('Tabela Passaro'!$U$2:$U$1795,$N1361)</f>
        <v>0</v>
      </c>
      <c r="Z1361" s="32" t="n">
        <f aca="false">INDEX('Tabela Passaro'!$V$2:$V$1795,$N1361)</f>
        <v>0</v>
      </c>
      <c r="AA1361" s="32" t="n">
        <f aca="false">SUM(R1361:Z1361)</f>
        <v>148.95486</v>
      </c>
      <c r="AB1361" s="33" t="n">
        <f aca="false">INDEX(Premissas!$B$5:$B$13,MATCH(A1361,Premissas!$A$5:$A$13,0))</f>
        <v>0.07</v>
      </c>
      <c r="AC1361" s="32" t="n">
        <f aca="false">AA1361/(1-AB1361)-AA1361</f>
        <v>11.2116561290323</v>
      </c>
      <c r="AD1361" s="32" t="n">
        <f aca="false">ROUND(AA1361+AC1361,2)</f>
        <v>160.17</v>
      </c>
      <c r="AE1361" s="32" t="n">
        <f aca="false">AD1361-L1361</f>
        <v>24.06</v>
      </c>
      <c r="AF1361" s="34" t="n">
        <f aca="false">IF(L1361=0,0,AE1361/L1361)</f>
        <v>0.176768789949306</v>
      </c>
      <c r="AG1361" s="22" t="str">
        <f aca="false">IF(AD1361&lt;L1361,"PASSARO","ATUAL")</f>
        <v>ATUAL</v>
      </c>
      <c r="AH1361" s="22" t="str">
        <f aca="false">IF(P1361&lt;&gt;A1361,"Faixa cadastrada como "&amp;P1361&amp;" na tabela; preço aplicado pela UF do CEP","")</f>
        <v/>
      </c>
      <c r="AI1361" s="26" t="n">
        <v>204.05</v>
      </c>
      <c r="AJ1361" s="22" t="str">
        <f aca="false">INDEX('Tabela Passaro'!$X$2:$X$1795,$N1361)</f>
        <v>CAPITAL</v>
      </c>
    </row>
    <row r="1362" customFormat="false" ht="15" hidden="false" customHeight="false" outlineLevel="0" collapsed="false">
      <c r="A1362" s="22" t="s">
        <v>20</v>
      </c>
      <c r="B1362" s="22" t="n">
        <v>2</v>
      </c>
      <c r="C1362" s="22" t="s">
        <v>149</v>
      </c>
      <c r="D1362" s="22" t="s">
        <v>30</v>
      </c>
      <c r="E1362" s="22" t="s">
        <v>20</v>
      </c>
      <c r="F1362" s="22" t="n">
        <v>840476</v>
      </c>
      <c r="G1362" s="30" t="n">
        <v>46262</v>
      </c>
      <c r="H1362" s="22" t="n">
        <v>32761</v>
      </c>
      <c r="I1362" s="22" t="s">
        <v>8569</v>
      </c>
      <c r="J1362" s="31" t="n">
        <v>19.4</v>
      </c>
      <c r="K1362" s="26" t="n">
        <v>470.98</v>
      </c>
      <c r="L1362" s="26" t="n">
        <v>86.01</v>
      </c>
      <c r="M1362" s="22" t="s">
        <v>4793</v>
      </c>
      <c r="N1362" s="22" t="n">
        <f aca="false">MATCH(M1362,'Tabela Passaro'!$A$2:$A$1795,0)</f>
        <v>1147</v>
      </c>
      <c r="O1362" s="22" t="str">
        <f aca="false">INDEX('Tabela Passaro'!$C$2:$C$1795,$N1362)</f>
        <v>JABOATAO DOS GUARARAPES</v>
      </c>
      <c r="P1362" s="22" t="str">
        <f aca="false">INDEX('Tabela Passaro'!$B$2:$B$1795,$N1362)</f>
        <v>PE</v>
      </c>
      <c r="Q1362" s="22" t="n">
        <f aca="false">INDEX('Tabela Passaro'!$F$2:$F$1795,$N1362)</f>
        <v>8</v>
      </c>
      <c r="R1362" s="32" t="n">
        <f aca="false">IF(J1362&lt;=10,INDEX('Tabela Passaro'!$G$2:$G$1795,$N1362),IF(J1362&lt;=30,INDEX('Tabela Passaro'!$H$2:$H$1795,$N1362),IF(J1362&lt;=50,INDEX('Tabela Passaro'!$I$2:$I$1795,$N1362),IF(J1362&lt;=70,INDEX('Tabela Passaro'!$J$2:$J$1795,$N1362),IF(J1362&lt;=100,INDEX('Tabela Passaro'!$K$2:$K$1795,$N1362),INDEX('Tabela Passaro'!$K$2:$K$1795,$N1362)+(J1362-100)*INDEX('Tabela Passaro'!$L$2:$L$1795,$N1362))))))</f>
        <v>66.55</v>
      </c>
      <c r="S1362" s="32" t="n">
        <f aca="false">K1362*INDEX('Tabela Passaro'!$M$2:$M$1795,$N1362)</f>
        <v>2.3549</v>
      </c>
      <c r="T1362" s="32" t="n">
        <f aca="false">K1362*INDEX('Tabela Passaro'!$N$2:$N$1795,$N1362)</f>
        <v>0.94196</v>
      </c>
      <c r="U1362" s="32" t="n">
        <f aca="false">INDEX('Tabela Passaro'!$O$2:$O$1795,$N1362)</f>
        <v>5</v>
      </c>
      <c r="V1362" s="32" t="n">
        <f aca="false">ROUNDUP(J1362/INDEX('Tabela Passaro'!$Q$2:$Q$1795,$N1362),0)*INDEX('Tabela Passaro'!$P$2:$P$1795,$N1362)</f>
        <v>5</v>
      </c>
      <c r="W1362" s="32" t="n">
        <f aca="false">INDEX('Tabela Passaro'!$R$2:$R$1795,$N1362)</f>
        <v>30</v>
      </c>
      <c r="X1362" s="32" t="n">
        <f aca="false">ROUNDUP(J1362/INDEX('Tabela Passaro'!$T$2:$T$1795,$N1362),0)*INDEX('Tabela Passaro'!$S$2:$S$1795,$N1362)</f>
        <v>0</v>
      </c>
      <c r="Y1362" s="32" t="n">
        <f aca="false">INDEX('Tabela Passaro'!$U$2:$U$1795,$N1362)</f>
        <v>0</v>
      </c>
      <c r="Z1362" s="32" t="n">
        <f aca="false">INDEX('Tabela Passaro'!$V$2:$V$1795,$N1362)</f>
        <v>0</v>
      </c>
      <c r="AA1362" s="32" t="n">
        <f aca="false">SUM(R1362:Z1362)</f>
        <v>109.84686</v>
      </c>
      <c r="AB1362" s="33" t="n">
        <f aca="false">INDEX(Premissas!$B$5:$B$13,MATCH(A1362,Premissas!$A$5:$A$13,0))</f>
        <v>0.07</v>
      </c>
      <c r="AC1362" s="32" t="n">
        <f aca="false">AA1362/(1-AB1362)-AA1362</f>
        <v>8.26804322580647</v>
      </c>
      <c r="AD1362" s="32" t="n">
        <f aca="false">ROUND(AA1362+AC1362,2)</f>
        <v>118.11</v>
      </c>
      <c r="AE1362" s="32" t="n">
        <f aca="false">AD1362-L1362</f>
        <v>32.1</v>
      </c>
      <c r="AF1362" s="34" t="n">
        <f aca="false">IF(L1362=0,0,AE1362/L1362)</f>
        <v>0.373212417160795</v>
      </c>
      <c r="AG1362" s="22" t="str">
        <f aca="false">IF(AD1362&lt;L1362,"PASSARO","ATUAL")</f>
        <v>ATUAL</v>
      </c>
      <c r="AH1362" s="22" t="str">
        <f aca="false">IF(P1362&lt;&gt;A1362,"Faixa cadastrada como "&amp;P1362&amp;" na tabela; preço aplicado pela UF do CEP","")</f>
        <v/>
      </c>
      <c r="AI1362" s="26" t="n">
        <v>138.27</v>
      </c>
      <c r="AJ1362" s="22" t="str">
        <f aca="false">INDEX('Tabela Passaro'!$X$2:$X$1795,$N1362)</f>
        <v>CAPITAL</v>
      </c>
    </row>
    <row r="1363" customFormat="false" ht="15" hidden="false" customHeight="false" outlineLevel="0" collapsed="false">
      <c r="A1363" s="22" t="s">
        <v>20</v>
      </c>
      <c r="B1363" s="22" t="n">
        <v>2</v>
      </c>
      <c r="C1363" s="22" t="s">
        <v>149</v>
      </c>
      <c r="D1363" s="22" t="s">
        <v>30</v>
      </c>
      <c r="E1363" s="22" t="s">
        <v>7326</v>
      </c>
      <c r="F1363" s="22" t="n">
        <v>528284</v>
      </c>
      <c r="G1363" s="30" t="n">
        <v>46262</v>
      </c>
      <c r="H1363" s="22" t="n">
        <v>629822</v>
      </c>
      <c r="I1363" s="22" t="s">
        <v>8570</v>
      </c>
      <c r="J1363" s="31" t="n">
        <v>59.88</v>
      </c>
      <c r="K1363" s="26" t="n">
        <v>871.79</v>
      </c>
      <c r="L1363" s="26" t="n">
        <v>243.38</v>
      </c>
      <c r="M1363" s="22" t="s">
        <v>4793</v>
      </c>
      <c r="N1363" s="22" t="n">
        <f aca="false">MATCH(M1363,'Tabela Passaro'!$A$2:$A$1795,0)</f>
        <v>1147</v>
      </c>
      <c r="O1363" s="22" t="str">
        <f aca="false">INDEX('Tabela Passaro'!$C$2:$C$1795,$N1363)</f>
        <v>JABOATAO DOS GUARARAPES</v>
      </c>
      <c r="P1363" s="22" t="str">
        <f aca="false">INDEX('Tabela Passaro'!$B$2:$B$1795,$N1363)</f>
        <v>PE</v>
      </c>
      <c r="Q1363" s="22" t="n">
        <f aca="false">INDEX('Tabela Passaro'!$F$2:$F$1795,$N1363)</f>
        <v>8</v>
      </c>
      <c r="R1363" s="32" t="n">
        <f aca="false">IF(J1363&lt;=10,INDEX('Tabela Passaro'!$G$2:$G$1795,$N1363),IF(J1363&lt;=30,INDEX('Tabela Passaro'!$H$2:$H$1795,$N1363),IF(J1363&lt;=50,INDEX('Tabela Passaro'!$I$2:$I$1795,$N1363),IF(J1363&lt;=70,INDEX('Tabela Passaro'!$J$2:$J$1795,$N1363),IF(J1363&lt;=100,INDEX('Tabela Passaro'!$K$2:$K$1795,$N1363),INDEX('Tabela Passaro'!$K$2:$K$1795,$N1363)+(J1363-100)*INDEX('Tabela Passaro'!$L$2:$L$1795,$N1363))))))</f>
        <v>99.61</v>
      </c>
      <c r="S1363" s="32" t="n">
        <f aca="false">K1363*INDEX('Tabela Passaro'!$M$2:$M$1795,$N1363)</f>
        <v>4.35895</v>
      </c>
      <c r="T1363" s="32" t="n">
        <f aca="false">K1363*INDEX('Tabela Passaro'!$N$2:$N$1795,$N1363)</f>
        <v>1.74358</v>
      </c>
      <c r="U1363" s="32" t="n">
        <f aca="false">INDEX('Tabela Passaro'!$O$2:$O$1795,$N1363)</f>
        <v>5</v>
      </c>
      <c r="V1363" s="32" t="n">
        <f aca="false">ROUNDUP(J1363/INDEX('Tabela Passaro'!$Q$2:$Q$1795,$N1363),0)*INDEX('Tabela Passaro'!$P$2:$P$1795,$N1363)</f>
        <v>5</v>
      </c>
      <c r="W1363" s="32" t="n">
        <f aca="false">INDEX('Tabela Passaro'!$R$2:$R$1795,$N1363)</f>
        <v>30</v>
      </c>
      <c r="X1363" s="32" t="n">
        <f aca="false">ROUNDUP(J1363/INDEX('Tabela Passaro'!$T$2:$T$1795,$N1363),0)*INDEX('Tabela Passaro'!$S$2:$S$1795,$N1363)</f>
        <v>0</v>
      </c>
      <c r="Y1363" s="32" t="n">
        <f aca="false">INDEX('Tabela Passaro'!$U$2:$U$1795,$N1363)</f>
        <v>0</v>
      </c>
      <c r="Z1363" s="32" t="n">
        <f aca="false">INDEX('Tabela Passaro'!$V$2:$V$1795,$N1363)</f>
        <v>0</v>
      </c>
      <c r="AA1363" s="32" t="n">
        <f aca="false">SUM(R1363:Z1363)</f>
        <v>145.71253</v>
      </c>
      <c r="AB1363" s="33" t="n">
        <f aca="false">INDEX(Premissas!$B$5:$B$13,MATCH(A1363,Premissas!$A$5:$A$13,0))</f>
        <v>0.07</v>
      </c>
      <c r="AC1363" s="32" t="n">
        <f aca="false">AA1363/(1-AB1363)-AA1363</f>
        <v>10.9676097849463</v>
      </c>
      <c r="AD1363" s="32" t="n">
        <f aca="false">ROUND(AA1363+AC1363,2)</f>
        <v>156.68</v>
      </c>
      <c r="AE1363" s="32" t="n">
        <f aca="false">AD1363-L1363</f>
        <v>-86.7</v>
      </c>
      <c r="AF1363" s="34" t="n">
        <f aca="false">IF(L1363=0,0,AE1363/L1363)</f>
        <v>-0.356233051195661</v>
      </c>
      <c r="AG1363" s="22" t="str">
        <f aca="false">IF(AD1363&lt;L1363,"PASSARO","ATUAL")</f>
        <v>PASSARO</v>
      </c>
      <c r="AH1363" s="22" t="str">
        <f aca="false">IF(P1363&lt;&gt;A1363,"Faixa cadastrada como "&amp;P1363&amp;" na tabela; preço aplicado pela UF do CEP","")</f>
        <v/>
      </c>
      <c r="AI1363" s="26" t="n">
        <v>199.08</v>
      </c>
      <c r="AJ1363" s="22" t="str">
        <f aca="false">INDEX('Tabela Passaro'!$X$2:$X$1795,$N1363)</f>
        <v>CAPITAL</v>
      </c>
    </row>
    <row r="1364" customFormat="false" ht="15" hidden="false" customHeight="false" outlineLevel="0" collapsed="false">
      <c r="A1364" s="22" t="s">
        <v>20</v>
      </c>
      <c r="B1364" s="22" t="n">
        <v>2</v>
      </c>
      <c r="C1364" s="22" t="s">
        <v>149</v>
      </c>
      <c r="D1364" s="22" t="s">
        <v>30</v>
      </c>
      <c r="E1364" s="22" t="s">
        <v>20</v>
      </c>
      <c r="F1364" s="22" t="n">
        <v>840605</v>
      </c>
      <c r="G1364" s="30" t="n">
        <v>46265</v>
      </c>
      <c r="H1364" s="22" t="n">
        <v>32804</v>
      </c>
      <c r="I1364" s="22" t="s">
        <v>8571</v>
      </c>
      <c r="J1364" s="31" t="n">
        <v>23</v>
      </c>
      <c r="K1364" s="26" t="n">
        <v>512.48</v>
      </c>
      <c r="L1364" s="26" t="n">
        <v>86.34</v>
      </c>
      <c r="M1364" s="22" t="s">
        <v>4793</v>
      </c>
      <c r="N1364" s="22" t="n">
        <f aca="false">MATCH(M1364,'Tabela Passaro'!$A$2:$A$1795,0)</f>
        <v>1147</v>
      </c>
      <c r="O1364" s="22" t="str">
        <f aca="false">INDEX('Tabela Passaro'!$C$2:$C$1795,$N1364)</f>
        <v>JABOATAO DOS GUARARAPES</v>
      </c>
      <c r="P1364" s="22" t="str">
        <f aca="false">INDEX('Tabela Passaro'!$B$2:$B$1795,$N1364)</f>
        <v>PE</v>
      </c>
      <c r="Q1364" s="22" t="n">
        <f aca="false">INDEX('Tabela Passaro'!$F$2:$F$1795,$N1364)</f>
        <v>8</v>
      </c>
      <c r="R1364" s="32" t="n">
        <f aca="false">IF(J1364&lt;=10,INDEX('Tabela Passaro'!$G$2:$G$1795,$N1364),IF(J1364&lt;=30,INDEX('Tabela Passaro'!$H$2:$H$1795,$N1364),IF(J1364&lt;=50,INDEX('Tabela Passaro'!$I$2:$I$1795,$N1364),IF(J1364&lt;=70,INDEX('Tabela Passaro'!$J$2:$J$1795,$N1364),IF(J1364&lt;=100,INDEX('Tabela Passaro'!$K$2:$K$1795,$N1364),INDEX('Tabela Passaro'!$K$2:$K$1795,$N1364)+(J1364-100)*INDEX('Tabela Passaro'!$L$2:$L$1795,$N1364))))))</f>
        <v>66.55</v>
      </c>
      <c r="S1364" s="32" t="n">
        <f aca="false">K1364*INDEX('Tabela Passaro'!$M$2:$M$1795,$N1364)</f>
        <v>2.5624</v>
      </c>
      <c r="T1364" s="32" t="n">
        <f aca="false">K1364*INDEX('Tabela Passaro'!$N$2:$N$1795,$N1364)</f>
        <v>1.02496</v>
      </c>
      <c r="U1364" s="32" t="n">
        <f aca="false">INDEX('Tabela Passaro'!$O$2:$O$1795,$N1364)</f>
        <v>5</v>
      </c>
      <c r="V1364" s="32" t="n">
        <f aca="false">ROUNDUP(J1364/INDEX('Tabela Passaro'!$Q$2:$Q$1795,$N1364),0)*INDEX('Tabela Passaro'!$P$2:$P$1795,$N1364)</f>
        <v>5</v>
      </c>
      <c r="W1364" s="32" t="n">
        <f aca="false">INDEX('Tabela Passaro'!$R$2:$R$1795,$N1364)</f>
        <v>30</v>
      </c>
      <c r="X1364" s="32" t="n">
        <f aca="false">ROUNDUP(J1364/INDEX('Tabela Passaro'!$T$2:$T$1795,$N1364),0)*INDEX('Tabela Passaro'!$S$2:$S$1795,$N1364)</f>
        <v>0</v>
      </c>
      <c r="Y1364" s="32" t="n">
        <f aca="false">INDEX('Tabela Passaro'!$U$2:$U$1795,$N1364)</f>
        <v>0</v>
      </c>
      <c r="Z1364" s="32" t="n">
        <f aca="false">INDEX('Tabela Passaro'!$V$2:$V$1795,$N1364)</f>
        <v>0</v>
      </c>
      <c r="AA1364" s="32" t="n">
        <f aca="false">SUM(R1364:Z1364)</f>
        <v>110.13736</v>
      </c>
      <c r="AB1364" s="33" t="n">
        <f aca="false">INDEX(Premissas!$B$5:$B$13,MATCH(A1364,Premissas!$A$5:$A$13,0))</f>
        <v>0.07</v>
      </c>
      <c r="AC1364" s="32" t="n">
        <f aca="false">AA1364/(1-AB1364)-AA1364</f>
        <v>8.28990881720431</v>
      </c>
      <c r="AD1364" s="32" t="n">
        <f aca="false">ROUND(AA1364+AC1364,2)</f>
        <v>118.43</v>
      </c>
      <c r="AE1364" s="32" t="n">
        <f aca="false">AD1364-L1364</f>
        <v>32.09</v>
      </c>
      <c r="AF1364" s="34" t="n">
        <f aca="false">IF(L1364=0,0,AE1364/L1364)</f>
        <v>0.37167014130183</v>
      </c>
      <c r="AG1364" s="22" t="str">
        <f aca="false">IF(AD1364&lt;L1364,"PASSARO","ATUAL")</f>
        <v>ATUAL</v>
      </c>
      <c r="AH1364" s="22" t="str">
        <f aca="false">IF(P1364&lt;&gt;A1364,"Faixa cadastrada como "&amp;P1364&amp;" na tabela; preço aplicado pela UF do CEP","")</f>
        <v/>
      </c>
      <c r="AI1364" s="26" t="n">
        <v>140.12</v>
      </c>
      <c r="AJ1364" s="22" t="str">
        <f aca="false">INDEX('Tabela Passaro'!$X$2:$X$1795,$N1364)</f>
        <v>CAPITAL</v>
      </c>
    </row>
    <row r="1365" customFormat="false" ht="15" hidden="false" customHeight="false" outlineLevel="0" collapsed="false">
      <c r="A1365" s="22" t="s">
        <v>20</v>
      </c>
      <c r="B1365" s="22" t="n">
        <v>2</v>
      </c>
      <c r="C1365" s="22" t="s">
        <v>149</v>
      </c>
      <c r="D1365" s="22" t="s">
        <v>31</v>
      </c>
      <c r="E1365" s="22" t="s">
        <v>7326</v>
      </c>
      <c r="F1365" s="22" t="n">
        <v>12721699</v>
      </c>
      <c r="G1365" s="30" t="n">
        <v>46237</v>
      </c>
      <c r="H1365" s="22" t="n">
        <v>619375</v>
      </c>
      <c r="I1365" s="22" t="s">
        <v>8572</v>
      </c>
      <c r="J1365" s="31" t="n">
        <v>19.4</v>
      </c>
      <c r="K1365" s="26" t="n">
        <v>423.39</v>
      </c>
      <c r="L1365" s="26" t="n">
        <v>87.95</v>
      </c>
      <c r="M1365" s="22" t="s">
        <v>4793</v>
      </c>
      <c r="N1365" s="22" t="n">
        <f aca="false">MATCH(M1365,'Tabela Passaro'!$A$2:$A$1795,0)</f>
        <v>1147</v>
      </c>
      <c r="O1365" s="22" t="str">
        <f aca="false">INDEX('Tabela Passaro'!$C$2:$C$1795,$N1365)</f>
        <v>JABOATAO DOS GUARARAPES</v>
      </c>
      <c r="P1365" s="22" t="str">
        <f aca="false">INDEX('Tabela Passaro'!$B$2:$B$1795,$N1365)</f>
        <v>PE</v>
      </c>
      <c r="Q1365" s="22" t="n">
        <f aca="false">INDEX('Tabela Passaro'!$F$2:$F$1795,$N1365)</f>
        <v>8</v>
      </c>
      <c r="R1365" s="32" t="n">
        <f aca="false">IF(J1365&lt;=10,INDEX('Tabela Passaro'!$G$2:$G$1795,$N1365),IF(J1365&lt;=30,INDEX('Tabela Passaro'!$H$2:$H$1795,$N1365),IF(J1365&lt;=50,INDEX('Tabela Passaro'!$I$2:$I$1795,$N1365),IF(J1365&lt;=70,INDEX('Tabela Passaro'!$J$2:$J$1795,$N1365),IF(J1365&lt;=100,INDEX('Tabela Passaro'!$K$2:$K$1795,$N1365),INDEX('Tabela Passaro'!$K$2:$K$1795,$N1365)+(J1365-100)*INDEX('Tabela Passaro'!$L$2:$L$1795,$N1365))))))</f>
        <v>66.55</v>
      </c>
      <c r="S1365" s="32" t="n">
        <f aca="false">K1365*INDEX('Tabela Passaro'!$M$2:$M$1795,$N1365)</f>
        <v>2.11695</v>
      </c>
      <c r="T1365" s="32" t="n">
        <f aca="false">K1365*INDEX('Tabela Passaro'!$N$2:$N$1795,$N1365)</f>
        <v>0.84678</v>
      </c>
      <c r="U1365" s="32" t="n">
        <f aca="false">INDEX('Tabela Passaro'!$O$2:$O$1795,$N1365)</f>
        <v>5</v>
      </c>
      <c r="V1365" s="32" t="n">
        <f aca="false">ROUNDUP(J1365/INDEX('Tabela Passaro'!$Q$2:$Q$1795,$N1365),0)*INDEX('Tabela Passaro'!$P$2:$P$1795,$N1365)</f>
        <v>5</v>
      </c>
      <c r="W1365" s="32" t="n">
        <f aca="false">INDEX('Tabela Passaro'!$R$2:$R$1795,$N1365)</f>
        <v>30</v>
      </c>
      <c r="X1365" s="32" t="n">
        <f aca="false">ROUNDUP(J1365/INDEX('Tabela Passaro'!$T$2:$T$1795,$N1365),0)*INDEX('Tabela Passaro'!$S$2:$S$1795,$N1365)</f>
        <v>0</v>
      </c>
      <c r="Y1365" s="32" t="n">
        <f aca="false">INDEX('Tabela Passaro'!$U$2:$U$1795,$N1365)</f>
        <v>0</v>
      </c>
      <c r="Z1365" s="32" t="n">
        <f aca="false">INDEX('Tabela Passaro'!$V$2:$V$1795,$N1365)</f>
        <v>0</v>
      </c>
      <c r="AA1365" s="32" t="n">
        <f aca="false">SUM(R1365:Z1365)</f>
        <v>109.51373</v>
      </c>
      <c r="AB1365" s="33" t="n">
        <f aca="false">INDEX(Premissas!$B$5:$B$13,MATCH(A1365,Premissas!$A$5:$A$13,0))</f>
        <v>0.07</v>
      </c>
      <c r="AC1365" s="32" t="n">
        <f aca="false">AA1365/(1-AB1365)-AA1365</f>
        <v>8.24296892473119</v>
      </c>
      <c r="AD1365" s="32" t="n">
        <f aca="false">ROUND(AA1365+AC1365,2)</f>
        <v>117.76</v>
      </c>
      <c r="AE1365" s="32" t="n">
        <f aca="false">AD1365-L1365</f>
        <v>29.81</v>
      </c>
      <c r="AF1365" s="34" t="n">
        <f aca="false">IF(L1365=0,0,AE1365/L1365)</f>
        <v>0.338942581011939</v>
      </c>
      <c r="AG1365" s="22" t="str">
        <f aca="false">IF(AD1365&lt;L1365,"PASSARO","ATUAL")</f>
        <v>ATUAL</v>
      </c>
      <c r="AH1365" s="22" t="str">
        <f aca="false">IF(P1365&lt;&gt;A1365,"Faixa cadastrada como "&amp;P1365&amp;" na tabela; preço aplicado pela UF do CEP","")</f>
        <v/>
      </c>
      <c r="AI1365" s="26" t="n">
        <v>137.81</v>
      </c>
      <c r="AJ1365" s="22" t="str">
        <f aca="false">INDEX('Tabela Passaro'!$X$2:$X$1795,$N1365)</f>
        <v>CAPITAL</v>
      </c>
    </row>
    <row r="1366" customFormat="false" ht="15" hidden="false" customHeight="false" outlineLevel="0" collapsed="false">
      <c r="A1366" s="22" t="s">
        <v>20</v>
      </c>
      <c r="B1366" s="22" t="n">
        <v>2</v>
      </c>
      <c r="C1366" s="22" t="s">
        <v>149</v>
      </c>
      <c r="D1366" s="22" t="s">
        <v>31</v>
      </c>
      <c r="E1366" s="22" t="s">
        <v>7326</v>
      </c>
      <c r="F1366" s="22" t="n">
        <v>12721708</v>
      </c>
      <c r="G1366" s="30" t="n">
        <v>46237</v>
      </c>
      <c r="H1366" s="22" t="n">
        <v>619377</v>
      </c>
      <c r="I1366" s="22" t="s">
        <v>8573</v>
      </c>
      <c r="J1366" s="31" t="n">
        <v>19.4</v>
      </c>
      <c r="K1366" s="26" t="n">
        <v>440.98</v>
      </c>
      <c r="L1366" s="26" t="n">
        <v>87.95</v>
      </c>
      <c r="M1366" s="22" t="s">
        <v>4793</v>
      </c>
      <c r="N1366" s="22" t="n">
        <f aca="false">MATCH(M1366,'Tabela Passaro'!$A$2:$A$1795,0)</f>
        <v>1147</v>
      </c>
      <c r="O1366" s="22" t="str">
        <f aca="false">INDEX('Tabela Passaro'!$C$2:$C$1795,$N1366)</f>
        <v>JABOATAO DOS GUARARAPES</v>
      </c>
      <c r="P1366" s="22" t="str">
        <f aca="false">INDEX('Tabela Passaro'!$B$2:$B$1795,$N1366)</f>
        <v>PE</v>
      </c>
      <c r="Q1366" s="22" t="n">
        <f aca="false">INDEX('Tabela Passaro'!$F$2:$F$1795,$N1366)</f>
        <v>8</v>
      </c>
      <c r="R1366" s="32" t="n">
        <f aca="false">IF(J1366&lt;=10,INDEX('Tabela Passaro'!$G$2:$G$1795,$N1366),IF(J1366&lt;=30,INDEX('Tabela Passaro'!$H$2:$H$1795,$N1366),IF(J1366&lt;=50,INDEX('Tabela Passaro'!$I$2:$I$1795,$N1366),IF(J1366&lt;=70,INDEX('Tabela Passaro'!$J$2:$J$1795,$N1366),IF(J1366&lt;=100,INDEX('Tabela Passaro'!$K$2:$K$1795,$N1366),INDEX('Tabela Passaro'!$K$2:$K$1795,$N1366)+(J1366-100)*INDEX('Tabela Passaro'!$L$2:$L$1795,$N1366))))))</f>
        <v>66.55</v>
      </c>
      <c r="S1366" s="32" t="n">
        <f aca="false">K1366*INDEX('Tabela Passaro'!$M$2:$M$1795,$N1366)</f>
        <v>2.2049</v>
      </c>
      <c r="T1366" s="32" t="n">
        <f aca="false">K1366*INDEX('Tabela Passaro'!$N$2:$N$1795,$N1366)</f>
        <v>0.88196</v>
      </c>
      <c r="U1366" s="32" t="n">
        <f aca="false">INDEX('Tabela Passaro'!$O$2:$O$1795,$N1366)</f>
        <v>5</v>
      </c>
      <c r="V1366" s="32" t="n">
        <f aca="false">ROUNDUP(J1366/INDEX('Tabela Passaro'!$Q$2:$Q$1795,$N1366),0)*INDEX('Tabela Passaro'!$P$2:$P$1795,$N1366)</f>
        <v>5</v>
      </c>
      <c r="W1366" s="32" t="n">
        <f aca="false">INDEX('Tabela Passaro'!$R$2:$R$1795,$N1366)</f>
        <v>30</v>
      </c>
      <c r="X1366" s="32" t="n">
        <f aca="false">ROUNDUP(J1366/INDEX('Tabela Passaro'!$T$2:$T$1795,$N1366),0)*INDEX('Tabela Passaro'!$S$2:$S$1795,$N1366)</f>
        <v>0</v>
      </c>
      <c r="Y1366" s="32" t="n">
        <f aca="false">INDEX('Tabela Passaro'!$U$2:$U$1795,$N1366)</f>
        <v>0</v>
      </c>
      <c r="Z1366" s="32" t="n">
        <f aca="false">INDEX('Tabela Passaro'!$V$2:$V$1795,$N1366)</f>
        <v>0</v>
      </c>
      <c r="AA1366" s="32" t="n">
        <f aca="false">SUM(R1366:Z1366)</f>
        <v>109.63686</v>
      </c>
      <c r="AB1366" s="33" t="n">
        <f aca="false">INDEX(Premissas!$B$5:$B$13,MATCH(A1366,Premissas!$A$5:$A$13,0))</f>
        <v>0.07</v>
      </c>
      <c r="AC1366" s="32" t="n">
        <f aca="false">AA1366/(1-AB1366)-AA1366</f>
        <v>8.25223677419356</v>
      </c>
      <c r="AD1366" s="32" t="n">
        <f aca="false">ROUND(AA1366+AC1366,2)</f>
        <v>117.89</v>
      </c>
      <c r="AE1366" s="32" t="n">
        <f aca="false">AD1366-L1366</f>
        <v>29.94</v>
      </c>
      <c r="AF1366" s="34" t="n">
        <f aca="false">IF(L1366=0,0,AE1366/L1366)</f>
        <v>0.340420693575895</v>
      </c>
      <c r="AG1366" s="22" t="str">
        <f aca="false">IF(AD1366&lt;L1366,"PASSARO","ATUAL")</f>
        <v>ATUAL</v>
      </c>
      <c r="AH1366" s="22" t="str">
        <f aca="false">IF(P1366&lt;&gt;A1366,"Faixa cadastrada como "&amp;P1366&amp;" na tabela; preço aplicado pela UF do CEP","")</f>
        <v/>
      </c>
      <c r="AI1366" s="26" t="n">
        <v>137.98</v>
      </c>
      <c r="AJ1366" s="22" t="str">
        <f aca="false">INDEX('Tabela Passaro'!$X$2:$X$1795,$N1366)</f>
        <v>CAPITAL</v>
      </c>
    </row>
    <row r="1367" customFormat="false" ht="15" hidden="false" customHeight="false" outlineLevel="0" collapsed="false">
      <c r="A1367" s="22" t="s">
        <v>20</v>
      </c>
      <c r="B1367" s="22" t="n">
        <v>2</v>
      </c>
      <c r="C1367" s="22" t="s">
        <v>149</v>
      </c>
      <c r="D1367" s="22" t="s">
        <v>31</v>
      </c>
      <c r="E1367" s="22" t="s">
        <v>7326</v>
      </c>
      <c r="F1367" s="22" t="n">
        <v>12729702</v>
      </c>
      <c r="G1367" s="30" t="n">
        <v>46238</v>
      </c>
      <c r="H1367" s="22" t="n">
        <v>619860</v>
      </c>
      <c r="I1367" s="22" t="s">
        <v>8574</v>
      </c>
      <c r="J1367" s="31" t="n">
        <v>19.4</v>
      </c>
      <c r="K1367" s="26" t="n">
        <v>464.88</v>
      </c>
      <c r="L1367" s="26" t="n">
        <v>87.76</v>
      </c>
      <c r="M1367" s="22" t="s">
        <v>4793</v>
      </c>
      <c r="N1367" s="22" t="n">
        <f aca="false">MATCH(M1367,'Tabela Passaro'!$A$2:$A$1795,0)</f>
        <v>1147</v>
      </c>
      <c r="O1367" s="22" t="str">
        <f aca="false">INDEX('Tabela Passaro'!$C$2:$C$1795,$N1367)</f>
        <v>JABOATAO DOS GUARARAPES</v>
      </c>
      <c r="P1367" s="22" t="str">
        <f aca="false">INDEX('Tabela Passaro'!$B$2:$B$1795,$N1367)</f>
        <v>PE</v>
      </c>
      <c r="Q1367" s="22" t="n">
        <f aca="false">INDEX('Tabela Passaro'!$F$2:$F$1795,$N1367)</f>
        <v>8</v>
      </c>
      <c r="R1367" s="32" t="n">
        <f aca="false">IF(J1367&lt;=10,INDEX('Tabela Passaro'!$G$2:$G$1795,$N1367),IF(J1367&lt;=30,INDEX('Tabela Passaro'!$H$2:$H$1795,$N1367),IF(J1367&lt;=50,INDEX('Tabela Passaro'!$I$2:$I$1795,$N1367),IF(J1367&lt;=70,INDEX('Tabela Passaro'!$J$2:$J$1795,$N1367),IF(J1367&lt;=100,INDEX('Tabela Passaro'!$K$2:$K$1795,$N1367),INDEX('Tabela Passaro'!$K$2:$K$1795,$N1367)+(J1367-100)*INDEX('Tabela Passaro'!$L$2:$L$1795,$N1367))))))</f>
        <v>66.55</v>
      </c>
      <c r="S1367" s="32" t="n">
        <f aca="false">K1367*INDEX('Tabela Passaro'!$M$2:$M$1795,$N1367)</f>
        <v>2.3244</v>
      </c>
      <c r="T1367" s="32" t="n">
        <f aca="false">K1367*INDEX('Tabela Passaro'!$N$2:$N$1795,$N1367)</f>
        <v>0.92976</v>
      </c>
      <c r="U1367" s="32" t="n">
        <f aca="false">INDEX('Tabela Passaro'!$O$2:$O$1795,$N1367)</f>
        <v>5</v>
      </c>
      <c r="V1367" s="32" t="n">
        <f aca="false">ROUNDUP(J1367/INDEX('Tabela Passaro'!$Q$2:$Q$1795,$N1367),0)*INDEX('Tabela Passaro'!$P$2:$P$1795,$N1367)</f>
        <v>5</v>
      </c>
      <c r="W1367" s="32" t="n">
        <f aca="false">INDEX('Tabela Passaro'!$R$2:$R$1795,$N1367)</f>
        <v>30</v>
      </c>
      <c r="X1367" s="32" t="n">
        <f aca="false">ROUNDUP(J1367/INDEX('Tabela Passaro'!$T$2:$T$1795,$N1367),0)*INDEX('Tabela Passaro'!$S$2:$S$1795,$N1367)</f>
        <v>0</v>
      </c>
      <c r="Y1367" s="32" t="n">
        <f aca="false">INDEX('Tabela Passaro'!$U$2:$U$1795,$N1367)</f>
        <v>0</v>
      </c>
      <c r="Z1367" s="32" t="n">
        <f aca="false">INDEX('Tabela Passaro'!$V$2:$V$1795,$N1367)</f>
        <v>0</v>
      </c>
      <c r="AA1367" s="32" t="n">
        <f aca="false">SUM(R1367:Z1367)</f>
        <v>109.80416</v>
      </c>
      <c r="AB1367" s="33" t="n">
        <f aca="false">INDEX(Premissas!$B$5:$B$13,MATCH(A1367,Premissas!$A$5:$A$13,0))</f>
        <v>0.07</v>
      </c>
      <c r="AC1367" s="32" t="n">
        <f aca="false">AA1367/(1-AB1367)-AA1367</f>
        <v>8.26482924731184</v>
      </c>
      <c r="AD1367" s="32" t="n">
        <f aca="false">ROUND(AA1367+AC1367,2)</f>
        <v>118.07</v>
      </c>
      <c r="AE1367" s="32" t="n">
        <f aca="false">AD1367-L1367</f>
        <v>30.31</v>
      </c>
      <c r="AF1367" s="34" t="n">
        <f aca="false">IF(L1367=0,0,AE1367/L1367)</f>
        <v>0.345373746581586</v>
      </c>
      <c r="AG1367" s="22" t="str">
        <f aca="false">IF(AD1367&lt;L1367,"PASSARO","ATUAL")</f>
        <v>ATUAL</v>
      </c>
      <c r="AH1367" s="22" t="str">
        <f aca="false">IF(P1367&lt;&gt;A1367,"Faixa cadastrada como "&amp;P1367&amp;" na tabela; preço aplicado pela UF do CEP","")</f>
        <v/>
      </c>
      <c r="AI1367" s="26" t="n">
        <v>138.21</v>
      </c>
      <c r="AJ1367" s="22" t="str">
        <f aca="false">INDEX('Tabela Passaro'!$X$2:$X$1795,$N1367)</f>
        <v>CAPITAL</v>
      </c>
    </row>
    <row r="1368" customFormat="false" ht="15" hidden="false" customHeight="false" outlineLevel="0" collapsed="false">
      <c r="A1368" s="22" t="s">
        <v>20</v>
      </c>
      <c r="B1368" s="22" t="n">
        <v>2</v>
      </c>
      <c r="C1368" s="22" t="s">
        <v>149</v>
      </c>
      <c r="D1368" s="22" t="s">
        <v>31</v>
      </c>
      <c r="E1368" s="22" t="s">
        <v>7326</v>
      </c>
      <c r="F1368" s="22" t="n">
        <v>12730071</v>
      </c>
      <c r="G1368" s="30" t="n">
        <v>46238</v>
      </c>
      <c r="H1368" s="22" t="n">
        <v>619917</v>
      </c>
      <c r="I1368" s="22" t="s">
        <v>8575</v>
      </c>
      <c r="J1368" s="31" t="n">
        <v>20.8</v>
      </c>
      <c r="K1368" s="26" t="n">
        <v>584.53</v>
      </c>
      <c r="L1368" s="26" t="n">
        <v>95.87</v>
      </c>
      <c r="M1368" s="22" t="s">
        <v>4793</v>
      </c>
      <c r="N1368" s="22" t="n">
        <f aca="false">MATCH(M1368,'Tabela Passaro'!$A$2:$A$1795,0)</f>
        <v>1147</v>
      </c>
      <c r="O1368" s="22" t="str">
        <f aca="false">INDEX('Tabela Passaro'!$C$2:$C$1795,$N1368)</f>
        <v>JABOATAO DOS GUARARAPES</v>
      </c>
      <c r="P1368" s="22" t="str">
        <f aca="false">INDEX('Tabela Passaro'!$B$2:$B$1795,$N1368)</f>
        <v>PE</v>
      </c>
      <c r="Q1368" s="22" t="n">
        <f aca="false">INDEX('Tabela Passaro'!$F$2:$F$1795,$N1368)</f>
        <v>8</v>
      </c>
      <c r="R1368" s="32" t="n">
        <f aca="false">IF(J1368&lt;=10,INDEX('Tabela Passaro'!$G$2:$G$1795,$N1368),IF(J1368&lt;=30,INDEX('Tabela Passaro'!$H$2:$H$1795,$N1368),IF(J1368&lt;=50,INDEX('Tabela Passaro'!$I$2:$I$1795,$N1368),IF(J1368&lt;=70,INDEX('Tabela Passaro'!$J$2:$J$1795,$N1368),IF(J1368&lt;=100,INDEX('Tabela Passaro'!$K$2:$K$1795,$N1368),INDEX('Tabela Passaro'!$K$2:$K$1795,$N1368)+(J1368-100)*INDEX('Tabela Passaro'!$L$2:$L$1795,$N1368))))))</f>
        <v>66.55</v>
      </c>
      <c r="S1368" s="32" t="n">
        <f aca="false">K1368*INDEX('Tabela Passaro'!$M$2:$M$1795,$N1368)</f>
        <v>2.92265</v>
      </c>
      <c r="T1368" s="32" t="n">
        <f aca="false">K1368*INDEX('Tabela Passaro'!$N$2:$N$1795,$N1368)</f>
        <v>1.16906</v>
      </c>
      <c r="U1368" s="32" t="n">
        <f aca="false">INDEX('Tabela Passaro'!$O$2:$O$1795,$N1368)</f>
        <v>5</v>
      </c>
      <c r="V1368" s="32" t="n">
        <f aca="false">ROUNDUP(J1368/INDEX('Tabela Passaro'!$Q$2:$Q$1795,$N1368),0)*INDEX('Tabela Passaro'!$P$2:$P$1795,$N1368)</f>
        <v>5</v>
      </c>
      <c r="W1368" s="32" t="n">
        <f aca="false">INDEX('Tabela Passaro'!$R$2:$R$1795,$N1368)</f>
        <v>30</v>
      </c>
      <c r="X1368" s="32" t="n">
        <f aca="false">ROUNDUP(J1368/INDEX('Tabela Passaro'!$T$2:$T$1795,$N1368),0)*INDEX('Tabela Passaro'!$S$2:$S$1795,$N1368)</f>
        <v>0</v>
      </c>
      <c r="Y1368" s="32" t="n">
        <f aca="false">INDEX('Tabela Passaro'!$U$2:$U$1795,$N1368)</f>
        <v>0</v>
      </c>
      <c r="Z1368" s="32" t="n">
        <f aca="false">INDEX('Tabela Passaro'!$V$2:$V$1795,$N1368)</f>
        <v>0</v>
      </c>
      <c r="AA1368" s="32" t="n">
        <f aca="false">SUM(R1368:Z1368)</f>
        <v>110.64171</v>
      </c>
      <c r="AB1368" s="33" t="n">
        <f aca="false">INDEX(Premissas!$B$5:$B$13,MATCH(A1368,Premissas!$A$5:$A$13,0))</f>
        <v>0.07</v>
      </c>
      <c r="AC1368" s="32" t="n">
        <f aca="false">AA1368/(1-AB1368)-AA1368</f>
        <v>8.3278706451613</v>
      </c>
      <c r="AD1368" s="32" t="n">
        <f aca="false">ROUND(AA1368+AC1368,2)</f>
        <v>118.97</v>
      </c>
      <c r="AE1368" s="32" t="n">
        <f aca="false">AD1368-L1368</f>
        <v>23.1</v>
      </c>
      <c r="AF1368" s="34" t="n">
        <f aca="false">IF(L1368=0,0,AE1368/L1368)</f>
        <v>0.240951288202775</v>
      </c>
      <c r="AG1368" s="22" t="str">
        <f aca="false">IF(AD1368&lt;L1368,"PASSARO","ATUAL")</f>
        <v>ATUAL</v>
      </c>
      <c r="AH1368" s="22" t="str">
        <f aca="false">IF(P1368&lt;&gt;A1368,"Faixa cadastrada como "&amp;P1368&amp;" na tabela; preço aplicado pela UF do CEP","")</f>
        <v/>
      </c>
      <c r="AI1368" s="26" t="n">
        <v>139.85</v>
      </c>
      <c r="AJ1368" s="22" t="str">
        <f aca="false">INDEX('Tabela Passaro'!$X$2:$X$1795,$N1368)</f>
        <v>CAPITAL</v>
      </c>
    </row>
    <row r="1369" customFormat="false" ht="15" hidden="false" customHeight="false" outlineLevel="0" collapsed="false">
      <c r="A1369" s="22" t="s">
        <v>20</v>
      </c>
      <c r="B1369" s="22" t="n">
        <v>2</v>
      </c>
      <c r="C1369" s="22" t="s">
        <v>149</v>
      </c>
      <c r="D1369" s="22" t="s">
        <v>31</v>
      </c>
      <c r="E1369" s="22" t="s">
        <v>7326</v>
      </c>
      <c r="F1369" s="22" t="n">
        <v>12743756</v>
      </c>
      <c r="G1369" s="30" t="n">
        <v>46240</v>
      </c>
      <c r="H1369" s="22" t="n">
        <v>621016</v>
      </c>
      <c r="I1369" s="22" t="s">
        <v>8576</v>
      </c>
      <c r="J1369" s="31" t="n">
        <v>19.5</v>
      </c>
      <c r="K1369" s="26" t="n">
        <v>689.98</v>
      </c>
      <c r="L1369" s="26" t="n">
        <v>92.1</v>
      </c>
      <c r="M1369" s="22" t="s">
        <v>4793</v>
      </c>
      <c r="N1369" s="22" t="n">
        <f aca="false">MATCH(M1369,'Tabela Passaro'!$A$2:$A$1795,0)</f>
        <v>1147</v>
      </c>
      <c r="O1369" s="22" t="str">
        <f aca="false">INDEX('Tabela Passaro'!$C$2:$C$1795,$N1369)</f>
        <v>JABOATAO DOS GUARARAPES</v>
      </c>
      <c r="P1369" s="22" t="str">
        <f aca="false">INDEX('Tabela Passaro'!$B$2:$B$1795,$N1369)</f>
        <v>PE</v>
      </c>
      <c r="Q1369" s="22" t="n">
        <f aca="false">INDEX('Tabela Passaro'!$F$2:$F$1795,$N1369)</f>
        <v>8</v>
      </c>
      <c r="R1369" s="32" t="n">
        <f aca="false">IF(J1369&lt;=10,INDEX('Tabela Passaro'!$G$2:$G$1795,$N1369),IF(J1369&lt;=30,INDEX('Tabela Passaro'!$H$2:$H$1795,$N1369),IF(J1369&lt;=50,INDEX('Tabela Passaro'!$I$2:$I$1795,$N1369),IF(J1369&lt;=70,INDEX('Tabela Passaro'!$J$2:$J$1795,$N1369),IF(J1369&lt;=100,INDEX('Tabela Passaro'!$K$2:$K$1795,$N1369),INDEX('Tabela Passaro'!$K$2:$K$1795,$N1369)+(J1369-100)*INDEX('Tabela Passaro'!$L$2:$L$1795,$N1369))))))</f>
        <v>66.55</v>
      </c>
      <c r="S1369" s="32" t="n">
        <f aca="false">K1369*INDEX('Tabela Passaro'!$M$2:$M$1795,$N1369)</f>
        <v>3.4499</v>
      </c>
      <c r="T1369" s="32" t="n">
        <f aca="false">K1369*INDEX('Tabela Passaro'!$N$2:$N$1795,$N1369)</f>
        <v>1.37996</v>
      </c>
      <c r="U1369" s="32" t="n">
        <f aca="false">INDEX('Tabela Passaro'!$O$2:$O$1795,$N1369)</f>
        <v>5</v>
      </c>
      <c r="V1369" s="32" t="n">
        <f aca="false">ROUNDUP(J1369/INDEX('Tabela Passaro'!$Q$2:$Q$1795,$N1369),0)*INDEX('Tabela Passaro'!$P$2:$P$1795,$N1369)</f>
        <v>5</v>
      </c>
      <c r="W1369" s="32" t="n">
        <f aca="false">INDEX('Tabela Passaro'!$R$2:$R$1795,$N1369)</f>
        <v>30</v>
      </c>
      <c r="X1369" s="32" t="n">
        <f aca="false">ROUNDUP(J1369/INDEX('Tabela Passaro'!$T$2:$T$1795,$N1369),0)*INDEX('Tabela Passaro'!$S$2:$S$1795,$N1369)</f>
        <v>0</v>
      </c>
      <c r="Y1369" s="32" t="n">
        <f aca="false">INDEX('Tabela Passaro'!$U$2:$U$1795,$N1369)</f>
        <v>0</v>
      </c>
      <c r="Z1369" s="32" t="n">
        <f aca="false">INDEX('Tabela Passaro'!$V$2:$V$1795,$N1369)</f>
        <v>0</v>
      </c>
      <c r="AA1369" s="32" t="n">
        <f aca="false">SUM(R1369:Z1369)</f>
        <v>111.37986</v>
      </c>
      <c r="AB1369" s="33" t="n">
        <f aca="false">INDEX(Premissas!$B$5:$B$13,MATCH(A1369,Premissas!$A$5:$A$13,0))</f>
        <v>0.07</v>
      </c>
      <c r="AC1369" s="32" t="n">
        <f aca="false">AA1369/(1-AB1369)-AA1369</f>
        <v>8.38343032258065</v>
      </c>
      <c r="AD1369" s="32" t="n">
        <f aca="false">ROUND(AA1369+AC1369,2)</f>
        <v>119.76</v>
      </c>
      <c r="AE1369" s="32" t="n">
        <f aca="false">AD1369-L1369</f>
        <v>27.66</v>
      </c>
      <c r="AF1369" s="34" t="n">
        <f aca="false">IF(L1369=0,0,AE1369/L1369)</f>
        <v>0.300325732899023</v>
      </c>
      <c r="AG1369" s="22" t="str">
        <f aca="false">IF(AD1369&lt;L1369,"PASSARO","ATUAL")</f>
        <v>ATUAL</v>
      </c>
      <c r="AH1369" s="22" t="str">
        <f aca="false">IF(P1369&lt;&gt;A1369,"Faixa cadastrada como "&amp;P1369&amp;" na tabela; preço aplicado pela UF do CEP","")</f>
        <v/>
      </c>
      <c r="AI1369" s="26" t="n">
        <v>140.39</v>
      </c>
      <c r="AJ1369" s="22" t="str">
        <f aca="false">INDEX('Tabela Passaro'!$X$2:$X$1795,$N1369)</f>
        <v>CAPITAL</v>
      </c>
    </row>
    <row r="1370" customFormat="false" ht="15" hidden="false" customHeight="false" outlineLevel="0" collapsed="false">
      <c r="A1370" s="22" t="s">
        <v>20</v>
      </c>
      <c r="B1370" s="22" t="n">
        <v>2</v>
      </c>
      <c r="C1370" s="22" t="s">
        <v>149</v>
      </c>
      <c r="D1370" s="22" t="s">
        <v>31</v>
      </c>
      <c r="E1370" s="22" t="s">
        <v>7326</v>
      </c>
      <c r="F1370" s="22" t="n">
        <v>12773238</v>
      </c>
      <c r="G1370" s="30" t="n">
        <v>46246</v>
      </c>
      <c r="H1370" s="22" t="n">
        <v>623459</v>
      </c>
      <c r="I1370" s="22" t="s">
        <v>8577</v>
      </c>
      <c r="J1370" s="31" t="n">
        <v>19.5</v>
      </c>
      <c r="K1370" s="26" t="n">
        <v>551.07</v>
      </c>
      <c r="L1370" s="26" t="n">
        <v>90.63</v>
      </c>
      <c r="M1370" s="22" t="s">
        <v>4793</v>
      </c>
      <c r="N1370" s="22" t="n">
        <f aca="false">MATCH(M1370,'Tabela Passaro'!$A$2:$A$1795,0)</f>
        <v>1147</v>
      </c>
      <c r="O1370" s="22" t="str">
        <f aca="false">INDEX('Tabela Passaro'!$C$2:$C$1795,$N1370)</f>
        <v>JABOATAO DOS GUARARAPES</v>
      </c>
      <c r="P1370" s="22" t="str">
        <f aca="false">INDEX('Tabela Passaro'!$B$2:$B$1795,$N1370)</f>
        <v>PE</v>
      </c>
      <c r="Q1370" s="22" t="n">
        <f aca="false">INDEX('Tabela Passaro'!$F$2:$F$1795,$N1370)</f>
        <v>8</v>
      </c>
      <c r="R1370" s="32" t="n">
        <f aca="false">IF(J1370&lt;=10,INDEX('Tabela Passaro'!$G$2:$G$1795,$N1370),IF(J1370&lt;=30,INDEX('Tabela Passaro'!$H$2:$H$1795,$N1370),IF(J1370&lt;=50,INDEX('Tabela Passaro'!$I$2:$I$1795,$N1370),IF(J1370&lt;=70,INDEX('Tabela Passaro'!$J$2:$J$1795,$N1370),IF(J1370&lt;=100,INDEX('Tabela Passaro'!$K$2:$K$1795,$N1370),INDEX('Tabela Passaro'!$K$2:$K$1795,$N1370)+(J1370-100)*INDEX('Tabela Passaro'!$L$2:$L$1795,$N1370))))))</f>
        <v>66.55</v>
      </c>
      <c r="S1370" s="32" t="n">
        <f aca="false">K1370*INDEX('Tabela Passaro'!$M$2:$M$1795,$N1370)</f>
        <v>2.75535</v>
      </c>
      <c r="T1370" s="32" t="n">
        <f aca="false">K1370*INDEX('Tabela Passaro'!$N$2:$N$1795,$N1370)</f>
        <v>1.10214</v>
      </c>
      <c r="U1370" s="32" t="n">
        <f aca="false">INDEX('Tabela Passaro'!$O$2:$O$1795,$N1370)</f>
        <v>5</v>
      </c>
      <c r="V1370" s="32" t="n">
        <f aca="false">ROUNDUP(J1370/INDEX('Tabela Passaro'!$Q$2:$Q$1795,$N1370),0)*INDEX('Tabela Passaro'!$P$2:$P$1795,$N1370)</f>
        <v>5</v>
      </c>
      <c r="W1370" s="32" t="n">
        <f aca="false">INDEX('Tabela Passaro'!$R$2:$R$1795,$N1370)</f>
        <v>30</v>
      </c>
      <c r="X1370" s="32" t="n">
        <f aca="false">ROUNDUP(J1370/INDEX('Tabela Passaro'!$T$2:$T$1795,$N1370),0)*INDEX('Tabela Passaro'!$S$2:$S$1795,$N1370)</f>
        <v>0</v>
      </c>
      <c r="Y1370" s="32" t="n">
        <f aca="false">INDEX('Tabela Passaro'!$U$2:$U$1795,$N1370)</f>
        <v>0</v>
      </c>
      <c r="Z1370" s="32" t="n">
        <f aca="false">INDEX('Tabela Passaro'!$V$2:$V$1795,$N1370)</f>
        <v>0</v>
      </c>
      <c r="AA1370" s="32" t="n">
        <f aca="false">SUM(R1370:Z1370)</f>
        <v>110.40749</v>
      </c>
      <c r="AB1370" s="33" t="n">
        <f aca="false">INDEX(Premissas!$B$5:$B$13,MATCH(A1370,Premissas!$A$5:$A$13,0))</f>
        <v>0.07</v>
      </c>
      <c r="AC1370" s="32" t="n">
        <f aca="false">AA1370/(1-AB1370)-AA1370</f>
        <v>8.31024118279571</v>
      </c>
      <c r="AD1370" s="32" t="n">
        <f aca="false">ROUND(AA1370+AC1370,2)</f>
        <v>118.72</v>
      </c>
      <c r="AE1370" s="32" t="n">
        <f aca="false">AD1370-L1370</f>
        <v>28.09</v>
      </c>
      <c r="AF1370" s="34" t="n">
        <f aca="false">IF(L1370=0,0,AE1370/L1370)</f>
        <v>0.309941520467836</v>
      </c>
      <c r="AG1370" s="22" t="str">
        <f aca="false">IF(AD1370&lt;L1370,"PASSARO","ATUAL")</f>
        <v>ATUAL</v>
      </c>
      <c r="AH1370" s="22" t="str">
        <f aca="false">IF(P1370&lt;&gt;A1370,"Faixa cadastrada como "&amp;P1370&amp;" na tabela; preço aplicado pela UF do CEP","")</f>
        <v/>
      </c>
      <c r="AI1370" s="26" t="n">
        <v>139.04</v>
      </c>
      <c r="AJ1370" s="22" t="str">
        <f aca="false">INDEX('Tabela Passaro'!$X$2:$X$1795,$N1370)</f>
        <v>CAPITAL</v>
      </c>
    </row>
    <row r="1371" customFormat="false" ht="15" hidden="false" customHeight="false" outlineLevel="0" collapsed="false">
      <c r="A1371" s="22" t="s">
        <v>20</v>
      </c>
      <c r="B1371" s="22" t="n">
        <v>2</v>
      </c>
      <c r="C1371" s="22" t="s">
        <v>149</v>
      </c>
      <c r="D1371" s="22" t="s">
        <v>31</v>
      </c>
      <c r="E1371" s="22" t="s">
        <v>7326</v>
      </c>
      <c r="F1371" s="22" t="n">
        <v>12798346</v>
      </c>
      <c r="G1371" s="30" t="n">
        <v>46251</v>
      </c>
      <c r="H1371" s="22" t="n">
        <v>625567</v>
      </c>
      <c r="I1371" s="22" t="s">
        <v>8578</v>
      </c>
      <c r="J1371" s="31" t="n">
        <v>19.5</v>
      </c>
      <c r="K1371" s="26" t="n">
        <v>689.98</v>
      </c>
      <c r="L1371" s="26" t="n">
        <v>91.88</v>
      </c>
      <c r="M1371" s="22" t="s">
        <v>4793</v>
      </c>
      <c r="N1371" s="22" t="n">
        <f aca="false">MATCH(M1371,'Tabela Passaro'!$A$2:$A$1795,0)</f>
        <v>1147</v>
      </c>
      <c r="O1371" s="22" t="str">
        <f aca="false">INDEX('Tabela Passaro'!$C$2:$C$1795,$N1371)</f>
        <v>JABOATAO DOS GUARARAPES</v>
      </c>
      <c r="P1371" s="22" t="str">
        <f aca="false">INDEX('Tabela Passaro'!$B$2:$B$1795,$N1371)</f>
        <v>PE</v>
      </c>
      <c r="Q1371" s="22" t="n">
        <f aca="false">INDEX('Tabela Passaro'!$F$2:$F$1795,$N1371)</f>
        <v>8</v>
      </c>
      <c r="R1371" s="32" t="n">
        <f aca="false">IF(J1371&lt;=10,INDEX('Tabela Passaro'!$G$2:$G$1795,$N1371),IF(J1371&lt;=30,INDEX('Tabela Passaro'!$H$2:$H$1795,$N1371),IF(J1371&lt;=50,INDEX('Tabela Passaro'!$I$2:$I$1795,$N1371),IF(J1371&lt;=70,INDEX('Tabela Passaro'!$J$2:$J$1795,$N1371),IF(J1371&lt;=100,INDEX('Tabela Passaro'!$K$2:$K$1795,$N1371),INDEX('Tabela Passaro'!$K$2:$K$1795,$N1371)+(J1371-100)*INDEX('Tabela Passaro'!$L$2:$L$1795,$N1371))))))</f>
        <v>66.55</v>
      </c>
      <c r="S1371" s="32" t="n">
        <f aca="false">K1371*INDEX('Tabela Passaro'!$M$2:$M$1795,$N1371)</f>
        <v>3.4499</v>
      </c>
      <c r="T1371" s="32" t="n">
        <f aca="false">K1371*INDEX('Tabela Passaro'!$N$2:$N$1795,$N1371)</f>
        <v>1.37996</v>
      </c>
      <c r="U1371" s="32" t="n">
        <f aca="false">INDEX('Tabela Passaro'!$O$2:$O$1795,$N1371)</f>
        <v>5</v>
      </c>
      <c r="V1371" s="32" t="n">
        <f aca="false">ROUNDUP(J1371/INDEX('Tabela Passaro'!$Q$2:$Q$1795,$N1371),0)*INDEX('Tabela Passaro'!$P$2:$P$1795,$N1371)</f>
        <v>5</v>
      </c>
      <c r="W1371" s="32" t="n">
        <f aca="false">INDEX('Tabela Passaro'!$R$2:$R$1795,$N1371)</f>
        <v>30</v>
      </c>
      <c r="X1371" s="32" t="n">
        <f aca="false">ROUNDUP(J1371/INDEX('Tabela Passaro'!$T$2:$T$1795,$N1371),0)*INDEX('Tabela Passaro'!$S$2:$S$1795,$N1371)</f>
        <v>0</v>
      </c>
      <c r="Y1371" s="32" t="n">
        <f aca="false">INDEX('Tabela Passaro'!$U$2:$U$1795,$N1371)</f>
        <v>0</v>
      </c>
      <c r="Z1371" s="32" t="n">
        <f aca="false">INDEX('Tabela Passaro'!$V$2:$V$1795,$N1371)</f>
        <v>0</v>
      </c>
      <c r="AA1371" s="32" t="n">
        <f aca="false">SUM(R1371:Z1371)</f>
        <v>111.37986</v>
      </c>
      <c r="AB1371" s="33" t="n">
        <f aca="false">INDEX(Premissas!$B$5:$B$13,MATCH(A1371,Premissas!$A$5:$A$13,0))</f>
        <v>0.07</v>
      </c>
      <c r="AC1371" s="32" t="n">
        <f aca="false">AA1371/(1-AB1371)-AA1371</f>
        <v>8.38343032258065</v>
      </c>
      <c r="AD1371" s="32" t="n">
        <f aca="false">ROUND(AA1371+AC1371,2)</f>
        <v>119.76</v>
      </c>
      <c r="AE1371" s="32" t="n">
        <f aca="false">AD1371-L1371</f>
        <v>27.88</v>
      </c>
      <c r="AF1371" s="34" t="n">
        <f aca="false">IF(L1371=0,0,AE1371/L1371)</f>
        <v>0.303439268611232</v>
      </c>
      <c r="AG1371" s="22" t="str">
        <f aca="false">IF(AD1371&lt;L1371,"PASSARO","ATUAL")</f>
        <v>ATUAL</v>
      </c>
      <c r="AH1371" s="22" t="str">
        <f aca="false">IF(P1371&lt;&gt;A1371,"Faixa cadastrada como "&amp;P1371&amp;" na tabela; preço aplicado pela UF do CEP","")</f>
        <v/>
      </c>
      <c r="AI1371" s="26" t="n">
        <v>140.39</v>
      </c>
      <c r="AJ1371" s="22" t="str">
        <f aca="false">INDEX('Tabela Passaro'!$X$2:$X$1795,$N1371)</f>
        <v>CAPITAL</v>
      </c>
    </row>
    <row r="1372" customFormat="false" ht="15" hidden="false" customHeight="false" outlineLevel="0" collapsed="false">
      <c r="A1372" s="22" t="s">
        <v>20</v>
      </c>
      <c r="B1372" s="22" t="n">
        <v>2</v>
      </c>
      <c r="C1372" s="22" t="s">
        <v>149</v>
      </c>
      <c r="D1372" s="22" t="s">
        <v>31</v>
      </c>
      <c r="E1372" s="22" t="s">
        <v>7326</v>
      </c>
      <c r="F1372" s="22" t="n">
        <v>12862785</v>
      </c>
      <c r="G1372" s="30" t="n">
        <v>46262</v>
      </c>
      <c r="H1372" s="22" t="n">
        <v>630181</v>
      </c>
      <c r="I1372" s="22" t="s">
        <v>8579</v>
      </c>
      <c r="J1372" s="31" t="n">
        <v>17.7</v>
      </c>
      <c r="K1372" s="26" t="n">
        <v>379.98</v>
      </c>
      <c r="L1372" s="26" t="n">
        <v>70.27</v>
      </c>
      <c r="M1372" s="22" t="s">
        <v>4793</v>
      </c>
      <c r="N1372" s="22" t="n">
        <f aca="false">MATCH(M1372,'Tabela Passaro'!$A$2:$A$1795,0)</f>
        <v>1147</v>
      </c>
      <c r="O1372" s="22" t="str">
        <f aca="false">INDEX('Tabela Passaro'!$C$2:$C$1795,$N1372)</f>
        <v>JABOATAO DOS GUARARAPES</v>
      </c>
      <c r="P1372" s="22" t="str">
        <f aca="false">INDEX('Tabela Passaro'!$B$2:$B$1795,$N1372)</f>
        <v>PE</v>
      </c>
      <c r="Q1372" s="22" t="n">
        <f aca="false">INDEX('Tabela Passaro'!$F$2:$F$1795,$N1372)</f>
        <v>8</v>
      </c>
      <c r="R1372" s="32" t="n">
        <f aca="false">IF(J1372&lt;=10,INDEX('Tabela Passaro'!$G$2:$G$1795,$N1372),IF(J1372&lt;=30,INDEX('Tabela Passaro'!$H$2:$H$1795,$N1372),IF(J1372&lt;=50,INDEX('Tabela Passaro'!$I$2:$I$1795,$N1372),IF(J1372&lt;=70,INDEX('Tabela Passaro'!$J$2:$J$1795,$N1372),IF(J1372&lt;=100,INDEX('Tabela Passaro'!$K$2:$K$1795,$N1372),INDEX('Tabela Passaro'!$K$2:$K$1795,$N1372)+(J1372-100)*INDEX('Tabela Passaro'!$L$2:$L$1795,$N1372))))))</f>
        <v>66.55</v>
      </c>
      <c r="S1372" s="32" t="n">
        <f aca="false">K1372*INDEX('Tabela Passaro'!$M$2:$M$1795,$N1372)</f>
        <v>1.8999</v>
      </c>
      <c r="T1372" s="32" t="n">
        <f aca="false">K1372*INDEX('Tabela Passaro'!$N$2:$N$1795,$N1372)</f>
        <v>0.75996</v>
      </c>
      <c r="U1372" s="32" t="n">
        <f aca="false">INDEX('Tabela Passaro'!$O$2:$O$1795,$N1372)</f>
        <v>5</v>
      </c>
      <c r="V1372" s="32" t="n">
        <f aca="false">ROUNDUP(J1372/INDEX('Tabela Passaro'!$Q$2:$Q$1795,$N1372),0)*INDEX('Tabela Passaro'!$P$2:$P$1795,$N1372)</f>
        <v>5</v>
      </c>
      <c r="W1372" s="32" t="n">
        <f aca="false">INDEX('Tabela Passaro'!$R$2:$R$1795,$N1372)</f>
        <v>30</v>
      </c>
      <c r="X1372" s="32" t="n">
        <f aca="false">ROUNDUP(J1372/INDEX('Tabela Passaro'!$T$2:$T$1795,$N1372),0)*INDEX('Tabela Passaro'!$S$2:$S$1795,$N1372)</f>
        <v>0</v>
      </c>
      <c r="Y1372" s="32" t="n">
        <f aca="false">INDEX('Tabela Passaro'!$U$2:$U$1795,$N1372)</f>
        <v>0</v>
      </c>
      <c r="Z1372" s="32" t="n">
        <f aca="false">INDEX('Tabela Passaro'!$V$2:$V$1795,$N1372)</f>
        <v>0</v>
      </c>
      <c r="AA1372" s="32" t="n">
        <f aca="false">SUM(R1372:Z1372)</f>
        <v>109.20986</v>
      </c>
      <c r="AB1372" s="33" t="n">
        <f aca="false">INDEX(Premissas!$B$5:$B$13,MATCH(A1372,Premissas!$A$5:$A$13,0))</f>
        <v>0.07</v>
      </c>
      <c r="AC1372" s="32" t="n">
        <f aca="false">AA1372/(1-AB1372)-AA1372</f>
        <v>8.22009698924732</v>
      </c>
      <c r="AD1372" s="32" t="n">
        <f aca="false">ROUND(AA1372+AC1372,2)</f>
        <v>117.43</v>
      </c>
      <c r="AE1372" s="32" t="n">
        <f aca="false">AD1372-L1372</f>
        <v>47.16</v>
      </c>
      <c r="AF1372" s="34" t="n">
        <f aca="false">IF(L1372=0,0,AE1372/L1372)</f>
        <v>0.671125658175609</v>
      </c>
      <c r="AG1372" s="22" t="str">
        <f aca="false">IF(AD1372&lt;L1372,"PASSARO","ATUAL")</f>
        <v>ATUAL</v>
      </c>
      <c r="AH1372" s="22" t="str">
        <f aca="false">IF(P1372&lt;&gt;A1372,"Faixa cadastrada como "&amp;P1372&amp;" na tabela; preço aplicado pela UF do CEP","")</f>
        <v/>
      </c>
      <c r="AI1372" s="26" t="n">
        <v>136.42</v>
      </c>
      <c r="AJ1372" s="22" t="str">
        <f aca="false">INDEX('Tabela Passaro'!$X$2:$X$1795,$N1372)</f>
        <v>CAPITAL</v>
      </c>
    </row>
    <row r="1373" customFormat="false" ht="15" hidden="false" customHeight="false" outlineLevel="0" collapsed="false">
      <c r="A1373" s="22" t="s">
        <v>20</v>
      </c>
      <c r="B1373" s="22" t="n">
        <v>3</v>
      </c>
      <c r="C1373" s="22" t="s">
        <v>151</v>
      </c>
      <c r="D1373" s="22" t="s">
        <v>30</v>
      </c>
      <c r="E1373" s="22" t="s">
        <v>7326</v>
      </c>
      <c r="F1373" s="22" t="n">
        <v>521731</v>
      </c>
      <c r="G1373" s="30" t="n">
        <v>46237</v>
      </c>
      <c r="H1373" s="22" t="n">
        <v>619001</v>
      </c>
      <c r="I1373" s="22" t="s">
        <v>8580</v>
      </c>
      <c r="J1373" s="31" t="n">
        <v>33.3</v>
      </c>
      <c r="K1373" s="26" t="n">
        <v>593.17</v>
      </c>
      <c r="L1373" s="26" t="n">
        <v>184.28</v>
      </c>
      <c r="M1373" s="22" t="s">
        <v>3929</v>
      </c>
      <c r="N1373" s="22" t="n">
        <f aca="false">MATCH(M1373,'Tabela Passaro'!$A$2:$A$1795,0)</f>
        <v>924</v>
      </c>
      <c r="O1373" s="22" t="str">
        <f aca="false">INDEX('Tabela Passaro'!$C$2:$C$1795,$N1373)</f>
        <v>PAULISTA</v>
      </c>
      <c r="P1373" s="22" t="str">
        <f aca="false">INDEX('Tabela Passaro'!$B$2:$B$1795,$N1373)</f>
        <v>PB</v>
      </c>
      <c r="Q1373" s="22" t="n">
        <f aca="false">INDEX('Tabela Passaro'!$F$2:$F$1795,$N1373)</f>
        <v>13</v>
      </c>
      <c r="R1373" s="32" t="n">
        <f aca="false">IF(J1373&lt;=10,INDEX('Tabela Passaro'!$G$2:$G$1795,$N1373),IF(J1373&lt;=30,INDEX('Tabela Passaro'!$H$2:$H$1795,$N1373),IF(J1373&lt;=50,INDEX('Tabela Passaro'!$I$2:$I$1795,$N1373),IF(J1373&lt;=70,INDEX('Tabela Passaro'!$J$2:$J$1795,$N1373),IF(J1373&lt;=100,INDEX('Tabela Passaro'!$K$2:$K$1795,$N1373),INDEX('Tabela Passaro'!$K$2:$K$1795,$N1373)+(J1373-100)*INDEX('Tabela Passaro'!$L$2:$L$1795,$N1373))))))</f>
        <v>88.59</v>
      </c>
      <c r="S1373" s="32" t="n">
        <f aca="false">K1373*INDEX('Tabela Passaro'!$M$2:$M$1795,$N1373)</f>
        <v>2.96585</v>
      </c>
      <c r="T1373" s="32" t="n">
        <f aca="false">K1373*INDEX('Tabela Passaro'!$N$2:$N$1795,$N1373)</f>
        <v>1.18634</v>
      </c>
      <c r="U1373" s="32" t="n">
        <f aca="false">INDEX('Tabela Passaro'!$O$2:$O$1795,$N1373)</f>
        <v>5</v>
      </c>
      <c r="V1373" s="32" t="n">
        <f aca="false">ROUNDUP(J1373/INDEX('Tabela Passaro'!$Q$2:$Q$1795,$N1373),0)*INDEX('Tabela Passaro'!$P$2:$P$1795,$N1373)</f>
        <v>5</v>
      </c>
      <c r="W1373" s="32" t="n">
        <f aca="false">INDEX('Tabela Passaro'!$R$2:$R$1795,$N1373)</f>
        <v>30</v>
      </c>
      <c r="X1373" s="32" t="n">
        <f aca="false">ROUNDUP(J1373/INDEX('Tabela Passaro'!$T$2:$T$1795,$N1373),0)*INDEX('Tabela Passaro'!$S$2:$S$1795,$N1373)</f>
        <v>0</v>
      </c>
      <c r="Y1373" s="32" t="n">
        <f aca="false">INDEX('Tabela Passaro'!$U$2:$U$1795,$N1373)</f>
        <v>0</v>
      </c>
      <c r="Z1373" s="32" t="n">
        <f aca="false">INDEX('Tabela Passaro'!$V$2:$V$1795,$N1373)</f>
        <v>0</v>
      </c>
      <c r="AA1373" s="32" t="n">
        <f aca="false">SUM(R1373:Z1373)</f>
        <v>132.74219</v>
      </c>
      <c r="AB1373" s="33" t="n">
        <f aca="false">INDEX(Premissas!$B$5:$B$13,MATCH(A1373,Premissas!$A$5:$A$13,0))</f>
        <v>0.07</v>
      </c>
      <c r="AC1373" s="32" t="n">
        <f aca="false">AA1373/(1-AB1373)-AA1373</f>
        <v>9.99134763440861</v>
      </c>
      <c r="AD1373" s="32" t="n">
        <f aca="false">ROUND(AA1373+AC1373,2)</f>
        <v>142.73</v>
      </c>
      <c r="AE1373" s="32" t="n">
        <f aca="false">AD1373-L1373</f>
        <v>-41.55</v>
      </c>
      <c r="AF1373" s="34" t="n">
        <f aca="false">IF(L1373=0,0,AE1373/L1373)</f>
        <v>-0.225472107662253</v>
      </c>
      <c r="AG1373" s="22" t="str">
        <f aca="false">IF(AD1373&lt;L1373,"PASSARO","ATUAL")</f>
        <v>PASSARO</v>
      </c>
      <c r="AH1373" s="22" t="str">
        <f aca="false">IF(P1373&lt;&gt;A1373,"Faixa cadastrada como "&amp;P1373&amp;" na tabela; preço aplicado pela UF do CEP","")</f>
        <v>Faixa cadastrada como PB na tabela; preço aplicado pela UF do CEP</v>
      </c>
      <c r="AI1373" s="26" t="n">
        <v>174.88</v>
      </c>
      <c r="AJ1373" s="22" t="str">
        <f aca="false">INDEX('Tabela Passaro'!$X$2:$X$1795,$N1373)</f>
        <v>CAPITAL</v>
      </c>
    </row>
    <row r="1374" customFormat="false" ht="15" hidden="false" customHeight="false" outlineLevel="0" collapsed="false">
      <c r="A1374" s="22" t="s">
        <v>20</v>
      </c>
      <c r="B1374" s="22" t="n">
        <v>3</v>
      </c>
      <c r="C1374" s="22" t="s">
        <v>151</v>
      </c>
      <c r="D1374" s="22" t="s">
        <v>30</v>
      </c>
      <c r="E1374" s="22" t="s">
        <v>7326</v>
      </c>
      <c r="F1374" s="22" t="n">
        <v>521726</v>
      </c>
      <c r="G1374" s="30" t="n">
        <v>46237</v>
      </c>
      <c r="H1374" s="22" t="n">
        <v>619007</v>
      </c>
      <c r="I1374" s="22" t="s">
        <v>8581</v>
      </c>
      <c r="J1374" s="31" t="n">
        <v>41.8</v>
      </c>
      <c r="K1374" s="26" t="n">
        <v>947.98</v>
      </c>
      <c r="L1374" s="26" t="n">
        <v>187.3</v>
      </c>
      <c r="M1374" s="22" t="s">
        <v>3929</v>
      </c>
      <c r="N1374" s="22" t="n">
        <f aca="false">MATCH(M1374,'Tabela Passaro'!$A$2:$A$1795,0)</f>
        <v>924</v>
      </c>
      <c r="O1374" s="22" t="str">
        <f aca="false">INDEX('Tabela Passaro'!$C$2:$C$1795,$N1374)</f>
        <v>PAULISTA</v>
      </c>
      <c r="P1374" s="22" t="str">
        <f aca="false">INDEX('Tabela Passaro'!$B$2:$B$1795,$N1374)</f>
        <v>PB</v>
      </c>
      <c r="Q1374" s="22" t="n">
        <f aca="false">INDEX('Tabela Passaro'!$F$2:$F$1795,$N1374)</f>
        <v>13</v>
      </c>
      <c r="R1374" s="32" t="n">
        <f aca="false">IF(J1374&lt;=10,INDEX('Tabela Passaro'!$G$2:$G$1795,$N1374),IF(J1374&lt;=30,INDEX('Tabela Passaro'!$H$2:$H$1795,$N1374),IF(J1374&lt;=50,INDEX('Tabela Passaro'!$I$2:$I$1795,$N1374),IF(J1374&lt;=70,INDEX('Tabela Passaro'!$J$2:$J$1795,$N1374),IF(J1374&lt;=100,INDEX('Tabela Passaro'!$K$2:$K$1795,$N1374),INDEX('Tabela Passaro'!$K$2:$K$1795,$N1374)+(J1374-100)*INDEX('Tabela Passaro'!$L$2:$L$1795,$N1374))))))</f>
        <v>88.59</v>
      </c>
      <c r="S1374" s="32" t="n">
        <f aca="false">K1374*INDEX('Tabela Passaro'!$M$2:$M$1795,$N1374)</f>
        <v>4.7399</v>
      </c>
      <c r="T1374" s="32" t="n">
        <f aca="false">K1374*INDEX('Tabela Passaro'!$N$2:$N$1795,$N1374)</f>
        <v>1.89596</v>
      </c>
      <c r="U1374" s="32" t="n">
        <f aca="false">INDEX('Tabela Passaro'!$O$2:$O$1795,$N1374)</f>
        <v>5</v>
      </c>
      <c r="V1374" s="32" t="n">
        <f aca="false">ROUNDUP(J1374/INDEX('Tabela Passaro'!$Q$2:$Q$1795,$N1374),0)*INDEX('Tabela Passaro'!$P$2:$P$1795,$N1374)</f>
        <v>5</v>
      </c>
      <c r="W1374" s="32" t="n">
        <f aca="false">INDEX('Tabela Passaro'!$R$2:$R$1795,$N1374)</f>
        <v>30</v>
      </c>
      <c r="X1374" s="32" t="n">
        <f aca="false">ROUNDUP(J1374/INDEX('Tabela Passaro'!$T$2:$T$1795,$N1374),0)*INDEX('Tabela Passaro'!$S$2:$S$1795,$N1374)</f>
        <v>0</v>
      </c>
      <c r="Y1374" s="32" t="n">
        <f aca="false">INDEX('Tabela Passaro'!$U$2:$U$1795,$N1374)</f>
        <v>0</v>
      </c>
      <c r="Z1374" s="32" t="n">
        <f aca="false">INDEX('Tabela Passaro'!$V$2:$V$1795,$N1374)</f>
        <v>0</v>
      </c>
      <c r="AA1374" s="32" t="n">
        <f aca="false">SUM(R1374:Z1374)</f>
        <v>135.22586</v>
      </c>
      <c r="AB1374" s="33" t="n">
        <f aca="false">INDEX(Premissas!$B$5:$B$13,MATCH(A1374,Premissas!$A$5:$A$13,0))</f>
        <v>0.07</v>
      </c>
      <c r="AC1374" s="32" t="n">
        <f aca="false">AA1374/(1-AB1374)-AA1374</f>
        <v>10.1782905376344</v>
      </c>
      <c r="AD1374" s="32" t="n">
        <f aca="false">ROUND(AA1374+AC1374,2)</f>
        <v>145.4</v>
      </c>
      <c r="AE1374" s="32" t="n">
        <f aca="false">AD1374-L1374</f>
        <v>-41.9</v>
      </c>
      <c r="AF1374" s="34" t="n">
        <f aca="false">IF(L1374=0,0,AE1374/L1374)</f>
        <v>-0.223705285638014</v>
      </c>
      <c r="AG1374" s="22" t="str">
        <f aca="false">IF(AD1374&lt;L1374,"PASSARO","ATUAL")</f>
        <v>PASSARO</v>
      </c>
      <c r="AH1374" s="22" t="str">
        <f aca="false">IF(P1374&lt;&gt;A1374,"Faixa cadastrada como "&amp;P1374&amp;" na tabela; preço aplicado pela UF do CEP","")</f>
        <v>Faixa cadastrada como PB na tabela; preço aplicado pela UF do CEP</v>
      </c>
      <c r="AI1374" s="26" t="n">
        <v>182.18</v>
      </c>
      <c r="AJ1374" s="22" t="str">
        <f aca="false">INDEX('Tabela Passaro'!$X$2:$X$1795,$N1374)</f>
        <v>CAPITAL</v>
      </c>
    </row>
    <row r="1375" customFormat="false" ht="15" hidden="false" customHeight="false" outlineLevel="0" collapsed="false">
      <c r="A1375" s="22" t="s">
        <v>20</v>
      </c>
      <c r="B1375" s="22" t="n">
        <v>3</v>
      </c>
      <c r="C1375" s="22" t="s">
        <v>151</v>
      </c>
      <c r="D1375" s="22" t="s">
        <v>30</v>
      </c>
      <c r="E1375" s="22" t="s">
        <v>7326</v>
      </c>
      <c r="F1375" s="22" t="n">
        <v>522291</v>
      </c>
      <c r="G1375" s="30" t="n">
        <v>46238</v>
      </c>
      <c r="H1375" s="22" t="n">
        <v>619743</v>
      </c>
      <c r="I1375" s="22" t="s">
        <v>8582</v>
      </c>
      <c r="J1375" s="31" t="n">
        <v>107.7</v>
      </c>
      <c r="K1375" s="26" t="n">
        <v>1699.34</v>
      </c>
      <c r="L1375" s="26" t="n">
        <v>352.05</v>
      </c>
      <c r="M1375" s="22" t="s">
        <v>3929</v>
      </c>
      <c r="N1375" s="22" t="n">
        <f aca="false">MATCH(M1375,'Tabela Passaro'!$A$2:$A$1795,0)</f>
        <v>924</v>
      </c>
      <c r="O1375" s="22" t="str">
        <f aca="false">INDEX('Tabela Passaro'!$C$2:$C$1795,$N1375)</f>
        <v>PAULISTA</v>
      </c>
      <c r="P1375" s="22" t="str">
        <f aca="false">INDEX('Tabela Passaro'!$B$2:$B$1795,$N1375)</f>
        <v>PB</v>
      </c>
      <c r="Q1375" s="22" t="n">
        <f aca="false">INDEX('Tabela Passaro'!$F$2:$F$1795,$N1375)</f>
        <v>13</v>
      </c>
      <c r="R1375" s="32" t="n">
        <f aca="false">IF(J1375&lt;=10,INDEX('Tabela Passaro'!$G$2:$G$1795,$N1375),IF(J1375&lt;=30,INDEX('Tabela Passaro'!$H$2:$H$1795,$N1375),IF(J1375&lt;=50,INDEX('Tabela Passaro'!$I$2:$I$1795,$N1375),IF(J1375&lt;=70,INDEX('Tabela Passaro'!$J$2:$J$1795,$N1375),IF(J1375&lt;=100,INDEX('Tabela Passaro'!$K$2:$K$1795,$N1375),INDEX('Tabela Passaro'!$K$2:$K$1795,$N1375)+(J1375-100)*INDEX('Tabela Passaro'!$L$2:$L$1795,$N1375))))))</f>
        <v>128.691</v>
      </c>
      <c r="S1375" s="32" t="n">
        <f aca="false">K1375*INDEX('Tabela Passaro'!$M$2:$M$1795,$N1375)</f>
        <v>8.4967</v>
      </c>
      <c r="T1375" s="32" t="n">
        <f aca="false">K1375*INDEX('Tabela Passaro'!$N$2:$N$1795,$N1375)</f>
        <v>3.39868</v>
      </c>
      <c r="U1375" s="32" t="n">
        <f aca="false">INDEX('Tabela Passaro'!$O$2:$O$1795,$N1375)</f>
        <v>5</v>
      </c>
      <c r="V1375" s="32" t="n">
        <f aca="false">ROUNDUP(J1375/INDEX('Tabela Passaro'!$Q$2:$Q$1795,$N1375),0)*INDEX('Tabela Passaro'!$P$2:$P$1795,$N1375)</f>
        <v>10</v>
      </c>
      <c r="W1375" s="32" t="n">
        <f aca="false">INDEX('Tabela Passaro'!$R$2:$R$1795,$N1375)</f>
        <v>30</v>
      </c>
      <c r="X1375" s="32" t="n">
        <f aca="false">ROUNDUP(J1375/INDEX('Tabela Passaro'!$T$2:$T$1795,$N1375),0)*INDEX('Tabela Passaro'!$S$2:$S$1795,$N1375)</f>
        <v>0</v>
      </c>
      <c r="Y1375" s="32" t="n">
        <f aca="false">INDEX('Tabela Passaro'!$U$2:$U$1795,$N1375)</f>
        <v>0</v>
      </c>
      <c r="Z1375" s="32" t="n">
        <f aca="false">INDEX('Tabela Passaro'!$V$2:$V$1795,$N1375)</f>
        <v>0</v>
      </c>
      <c r="AA1375" s="32" t="n">
        <f aca="false">SUM(R1375:Z1375)</f>
        <v>185.58638</v>
      </c>
      <c r="AB1375" s="33" t="n">
        <f aca="false">INDEX(Premissas!$B$5:$B$13,MATCH(A1375,Premissas!$A$5:$A$13,0))</f>
        <v>0.07</v>
      </c>
      <c r="AC1375" s="32" t="n">
        <f aca="false">AA1375/(1-AB1375)-AA1375</f>
        <v>13.968867311828</v>
      </c>
      <c r="AD1375" s="32" t="n">
        <f aca="false">ROUND(AA1375+AC1375,2)</f>
        <v>199.56</v>
      </c>
      <c r="AE1375" s="32" t="n">
        <f aca="false">AD1375-L1375</f>
        <v>-152.49</v>
      </c>
      <c r="AF1375" s="34" t="n">
        <f aca="false">IF(L1375=0,0,AE1375/L1375)</f>
        <v>-0.433148700468683</v>
      </c>
      <c r="AG1375" s="22" t="str">
        <f aca="false">IF(AD1375&lt;L1375,"PASSARO","ATUAL")</f>
        <v>PASSARO</v>
      </c>
      <c r="AH1375" s="22" t="str">
        <f aca="false">IF(P1375&lt;&gt;A1375,"Faixa cadastrada como "&amp;P1375&amp;" na tabela; preço aplicado pela UF do CEP","")</f>
        <v>Faixa cadastrada como PB na tabela; preço aplicado pela UF do CEP</v>
      </c>
      <c r="AI1375" s="26" t="n">
        <v>273.23</v>
      </c>
      <c r="AJ1375" s="22" t="str">
        <f aca="false">INDEX('Tabela Passaro'!$X$2:$X$1795,$N1375)</f>
        <v>CAPITAL</v>
      </c>
    </row>
    <row r="1376" customFormat="false" ht="15" hidden="false" customHeight="false" outlineLevel="0" collapsed="false">
      <c r="A1376" s="22" t="s">
        <v>20</v>
      </c>
      <c r="B1376" s="22" t="n">
        <v>3</v>
      </c>
      <c r="C1376" s="22" t="s">
        <v>151</v>
      </c>
      <c r="D1376" s="22" t="s">
        <v>30</v>
      </c>
      <c r="E1376" s="22" t="s">
        <v>7326</v>
      </c>
      <c r="F1376" s="22" t="n">
        <v>522264</v>
      </c>
      <c r="G1376" s="30" t="n">
        <v>46238</v>
      </c>
      <c r="H1376" s="22" t="n">
        <v>620121</v>
      </c>
      <c r="I1376" s="22" t="s">
        <v>8583</v>
      </c>
      <c r="J1376" s="31" t="n">
        <v>37.5</v>
      </c>
      <c r="K1376" s="26" t="n">
        <v>540.48</v>
      </c>
      <c r="L1376" s="26" t="n">
        <v>183.83</v>
      </c>
      <c r="M1376" s="22" t="s">
        <v>3929</v>
      </c>
      <c r="N1376" s="22" t="n">
        <f aca="false">MATCH(M1376,'Tabela Passaro'!$A$2:$A$1795,0)</f>
        <v>924</v>
      </c>
      <c r="O1376" s="22" t="str">
        <f aca="false">INDEX('Tabela Passaro'!$C$2:$C$1795,$N1376)</f>
        <v>PAULISTA</v>
      </c>
      <c r="P1376" s="22" t="str">
        <f aca="false">INDEX('Tabela Passaro'!$B$2:$B$1795,$N1376)</f>
        <v>PB</v>
      </c>
      <c r="Q1376" s="22" t="n">
        <f aca="false">INDEX('Tabela Passaro'!$F$2:$F$1795,$N1376)</f>
        <v>13</v>
      </c>
      <c r="R1376" s="32" t="n">
        <f aca="false">IF(J1376&lt;=10,INDEX('Tabela Passaro'!$G$2:$G$1795,$N1376),IF(J1376&lt;=30,INDEX('Tabela Passaro'!$H$2:$H$1795,$N1376),IF(J1376&lt;=50,INDEX('Tabela Passaro'!$I$2:$I$1795,$N1376),IF(J1376&lt;=70,INDEX('Tabela Passaro'!$J$2:$J$1795,$N1376),IF(J1376&lt;=100,INDEX('Tabela Passaro'!$K$2:$K$1795,$N1376),INDEX('Tabela Passaro'!$K$2:$K$1795,$N1376)+(J1376-100)*INDEX('Tabela Passaro'!$L$2:$L$1795,$N1376))))))</f>
        <v>88.59</v>
      </c>
      <c r="S1376" s="32" t="n">
        <f aca="false">K1376*INDEX('Tabela Passaro'!$M$2:$M$1795,$N1376)</f>
        <v>2.7024</v>
      </c>
      <c r="T1376" s="32" t="n">
        <f aca="false">K1376*INDEX('Tabela Passaro'!$N$2:$N$1795,$N1376)</f>
        <v>1.08096</v>
      </c>
      <c r="U1376" s="32" t="n">
        <f aca="false">INDEX('Tabela Passaro'!$O$2:$O$1795,$N1376)</f>
        <v>5</v>
      </c>
      <c r="V1376" s="32" t="n">
        <f aca="false">ROUNDUP(J1376/INDEX('Tabela Passaro'!$Q$2:$Q$1795,$N1376),0)*INDEX('Tabela Passaro'!$P$2:$P$1795,$N1376)</f>
        <v>5</v>
      </c>
      <c r="W1376" s="32" t="n">
        <f aca="false">INDEX('Tabela Passaro'!$R$2:$R$1795,$N1376)</f>
        <v>30</v>
      </c>
      <c r="X1376" s="32" t="n">
        <f aca="false">ROUNDUP(J1376/INDEX('Tabela Passaro'!$T$2:$T$1795,$N1376),0)*INDEX('Tabela Passaro'!$S$2:$S$1795,$N1376)</f>
        <v>0</v>
      </c>
      <c r="Y1376" s="32" t="n">
        <f aca="false">INDEX('Tabela Passaro'!$U$2:$U$1795,$N1376)</f>
        <v>0</v>
      </c>
      <c r="Z1376" s="32" t="n">
        <f aca="false">INDEX('Tabela Passaro'!$V$2:$V$1795,$N1376)</f>
        <v>0</v>
      </c>
      <c r="AA1376" s="32" t="n">
        <f aca="false">SUM(R1376:Z1376)</f>
        <v>132.37336</v>
      </c>
      <c r="AB1376" s="33" t="n">
        <f aca="false">INDEX(Premissas!$B$5:$B$13,MATCH(A1376,Premissas!$A$5:$A$13,0))</f>
        <v>0.07</v>
      </c>
      <c r="AC1376" s="32" t="n">
        <f aca="false">AA1376/(1-AB1376)-AA1376</f>
        <v>9.96358623655914</v>
      </c>
      <c r="AD1376" s="32" t="n">
        <f aca="false">ROUND(AA1376+AC1376,2)</f>
        <v>142.34</v>
      </c>
      <c r="AE1376" s="32" t="n">
        <f aca="false">AD1376-L1376</f>
        <v>-41.49</v>
      </c>
      <c r="AF1376" s="34" t="n">
        <f aca="false">IF(L1376=0,0,AE1376/L1376)</f>
        <v>-0.225697655442528</v>
      </c>
      <c r="AG1376" s="22" t="str">
        <f aca="false">IF(AD1376&lt;L1376,"PASSARO","ATUAL")</f>
        <v>PASSARO</v>
      </c>
      <c r="AH1376" s="22" t="str">
        <f aca="false">IF(P1376&lt;&gt;A1376,"Faixa cadastrada como "&amp;P1376&amp;" na tabela; preço aplicado pela UF do CEP","")</f>
        <v>Faixa cadastrada como PB na tabela; preço aplicado pela UF do CEP</v>
      </c>
      <c r="AI1376" s="26" t="n">
        <v>176.31</v>
      </c>
      <c r="AJ1376" s="22" t="str">
        <f aca="false">INDEX('Tabela Passaro'!$X$2:$X$1795,$N1376)</f>
        <v>CAPITAL</v>
      </c>
    </row>
    <row r="1377" customFormat="false" ht="15" hidden="false" customHeight="false" outlineLevel="0" collapsed="false">
      <c r="A1377" s="22" t="s">
        <v>20</v>
      </c>
      <c r="B1377" s="22" t="n">
        <v>3</v>
      </c>
      <c r="C1377" s="22" t="s">
        <v>151</v>
      </c>
      <c r="D1377" s="22" t="s">
        <v>30</v>
      </c>
      <c r="E1377" s="22" t="s">
        <v>7328</v>
      </c>
      <c r="F1377" s="22" t="n">
        <v>2307880</v>
      </c>
      <c r="G1377" s="30" t="n">
        <v>46239</v>
      </c>
      <c r="H1377" s="22" t="n">
        <v>131864</v>
      </c>
      <c r="I1377" s="22" t="s">
        <v>8584</v>
      </c>
      <c r="J1377" s="31" t="n">
        <v>66.8</v>
      </c>
      <c r="K1377" s="26" t="n">
        <v>878.99</v>
      </c>
      <c r="L1377" s="26" t="n">
        <v>209.51</v>
      </c>
      <c r="M1377" s="22" t="s">
        <v>3929</v>
      </c>
      <c r="N1377" s="22" t="n">
        <f aca="false">MATCH(M1377,'Tabela Passaro'!$A$2:$A$1795,0)</f>
        <v>924</v>
      </c>
      <c r="O1377" s="22" t="str">
        <f aca="false">INDEX('Tabela Passaro'!$C$2:$C$1795,$N1377)</f>
        <v>PAULISTA</v>
      </c>
      <c r="P1377" s="22" t="str">
        <f aca="false">INDEX('Tabela Passaro'!$B$2:$B$1795,$N1377)</f>
        <v>PB</v>
      </c>
      <c r="Q1377" s="22" t="n">
        <f aca="false">INDEX('Tabela Passaro'!$F$2:$F$1795,$N1377)</f>
        <v>13</v>
      </c>
      <c r="R1377" s="32" t="n">
        <f aca="false">IF(J1377&lt;=10,INDEX('Tabela Passaro'!$G$2:$G$1795,$N1377),IF(J1377&lt;=30,INDEX('Tabela Passaro'!$H$2:$H$1795,$N1377),IF(J1377&lt;=50,INDEX('Tabela Passaro'!$I$2:$I$1795,$N1377),IF(J1377&lt;=70,INDEX('Tabela Passaro'!$J$2:$J$1795,$N1377),IF(J1377&lt;=100,INDEX('Tabela Passaro'!$K$2:$K$1795,$N1377),INDEX('Tabela Passaro'!$K$2:$K$1795,$N1377)+(J1377-100)*INDEX('Tabela Passaro'!$L$2:$L$1795,$N1377))))))</f>
        <v>99.61</v>
      </c>
      <c r="S1377" s="32" t="n">
        <f aca="false">K1377*INDEX('Tabela Passaro'!$M$2:$M$1795,$N1377)</f>
        <v>4.39495</v>
      </c>
      <c r="T1377" s="32" t="n">
        <f aca="false">K1377*INDEX('Tabela Passaro'!$N$2:$N$1795,$N1377)</f>
        <v>1.75798</v>
      </c>
      <c r="U1377" s="32" t="n">
        <f aca="false">INDEX('Tabela Passaro'!$O$2:$O$1795,$N1377)</f>
        <v>5</v>
      </c>
      <c r="V1377" s="32" t="n">
        <f aca="false">ROUNDUP(J1377/INDEX('Tabela Passaro'!$Q$2:$Q$1795,$N1377),0)*INDEX('Tabela Passaro'!$P$2:$P$1795,$N1377)</f>
        <v>5</v>
      </c>
      <c r="W1377" s="32" t="n">
        <f aca="false">INDEX('Tabela Passaro'!$R$2:$R$1795,$N1377)</f>
        <v>30</v>
      </c>
      <c r="X1377" s="32" t="n">
        <f aca="false">ROUNDUP(J1377/INDEX('Tabela Passaro'!$T$2:$T$1795,$N1377),0)*INDEX('Tabela Passaro'!$S$2:$S$1795,$N1377)</f>
        <v>0</v>
      </c>
      <c r="Y1377" s="32" t="n">
        <f aca="false">INDEX('Tabela Passaro'!$U$2:$U$1795,$N1377)</f>
        <v>0</v>
      </c>
      <c r="Z1377" s="32" t="n">
        <f aca="false">INDEX('Tabela Passaro'!$V$2:$V$1795,$N1377)</f>
        <v>0</v>
      </c>
      <c r="AA1377" s="32" t="n">
        <f aca="false">SUM(R1377:Z1377)</f>
        <v>145.76293</v>
      </c>
      <c r="AB1377" s="33" t="n">
        <f aca="false">INDEX(Premissas!$B$5:$B$13,MATCH(A1377,Premissas!$A$5:$A$13,0))</f>
        <v>0.07</v>
      </c>
      <c r="AC1377" s="32" t="n">
        <f aca="false">AA1377/(1-AB1377)-AA1377</f>
        <v>10.9714033333333</v>
      </c>
      <c r="AD1377" s="32" t="n">
        <f aca="false">ROUND(AA1377+AC1377,2)</f>
        <v>156.73</v>
      </c>
      <c r="AE1377" s="32" t="n">
        <f aca="false">AD1377-L1377</f>
        <v>-52.78</v>
      </c>
      <c r="AF1377" s="34" t="n">
        <f aca="false">IF(L1377=0,0,AE1377/L1377)</f>
        <v>-0.25192114934848</v>
      </c>
      <c r="AG1377" s="22" t="str">
        <f aca="false">IF(AD1377&lt;L1377,"PASSARO","ATUAL")</f>
        <v>PASSARO</v>
      </c>
      <c r="AH1377" s="22" t="str">
        <f aca="false">IF(P1377&lt;&gt;A1377,"Faixa cadastrada como "&amp;P1377&amp;" na tabela; preço aplicado pela UF do CEP","")</f>
        <v>Faixa cadastrada como PB na tabela; preço aplicado pela UF do CEP</v>
      </c>
      <c r="AI1377" s="26" t="n">
        <v>206.13</v>
      </c>
      <c r="AJ1377" s="22" t="str">
        <f aca="false">INDEX('Tabela Passaro'!$X$2:$X$1795,$N1377)</f>
        <v>CAPITAL</v>
      </c>
    </row>
    <row r="1378" customFormat="false" ht="15" hidden="false" customHeight="false" outlineLevel="0" collapsed="false">
      <c r="A1378" s="22" t="s">
        <v>20</v>
      </c>
      <c r="B1378" s="22" t="n">
        <v>3</v>
      </c>
      <c r="C1378" s="22" t="s">
        <v>151</v>
      </c>
      <c r="D1378" s="22" t="s">
        <v>30</v>
      </c>
      <c r="E1378" s="22" t="s">
        <v>7328</v>
      </c>
      <c r="F1378" s="22" t="n">
        <v>2307911</v>
      </c>
      <c r="G1378" s="30" t="n">
        <v>46239</v>
      </c>
      <c r="H1378" s="22" t="n">
        <v>131889</v>
      </c>
      <c r="I1378" s="22" t="s">
        <v>8585</v>
      </c>
      <c r="J1378" s="31" t="n">
        <v>106.5</v>
      </c>
      <c r="K1378" s="26" t="n">
        <v>1534.95</v>
      </c>
      <c r="L1378" s="26" t="n">
        <v>285.67</v>
      </c>
      <c r="M1378" s="22" t="s">
        <v>3929</v>
      </c>
      <c r="N1378" s="22" t="n">
        <f aca="false">MATCH(M1378,'Tabela Passaro'!$A$2:$A$1795,0)</f>
        <v>924</v>
      </c>
      <c r="O1378" s="22" t="str">
        <f aca="false">INDEX('Tabela Passaro'!$C$2:$C$1795,$N1378)</f>
        <v>PAULISTA</v>
      </c>
      <c r="P1378" s="22" t="str">
        <f aca="false">INDEX('Tabela Passaro'!$B$2:$B$1795,$N1378)</f>
        <v>PB</v>
      </c>
      <c r="Q1378" s="22" t="n">
        <f aca="false">INDEX('Tabela Passaro'!$F$2:$F$1795,$N1378)</f>
        <v>13</v>
      </c>
      <c r="R1378" s="32" t="n">
        <f aca="false">IF(J1378&lt;=10,INDEX('Tabela Passaro'!$G$2:$G$1795,$N1378),IF(J1378&lt;=30,INDEX('Tabela Passaro'!$H$2:$H$1795,$N1378),IF(J1378&lt;=50,INDEX('Tabela Passaro'!$I$2:$I$1795,$N1378),IF(J1378&lt;=70,INDEX('Tabela Passaro'!$J$2:$J$1795,$N1378),IF(J1378&lt;=100,INDEX('Tabela Passaro'!$K$2:$K$1795,$N1378),INDEX('Tabela Passaro'!$K$2:$K$1795,$N1378)+(J1378-100)*INDEX('Tabela Passaro'!$L$2:$L$1795,$N1378))))))</f>
        <v>126.735</v>
      </c>
      <c r="S1378" s="32" t="n">
        <f aca="false">K1378*INDEX('Tabela Passaro'!$M$2:$M$1795,$N1378)</f>
        <v>7.67475</v>
      </c>
      <c r="T1378" s="32" t="n">
        <f aca="false">K1378*INDEX('Tabela Passaro'!$N$2:$N$1795,$N1378)</f>
        <v>3.0699</v>
      </c>
      <c r="U1378" s="32" t="n">
        <f aca="false">INDEX('Tabela Passaro'!$O$2:$O$1795,$N1378)</f>
        <v>5</v>
      </c>
      <c r="V1378" s="32" t="n">
        <f aca="false">ROUNDUP(J1378/INDEX('Tabela Passaro'!$Q$2:$Q$1795,$N1378),0)*INDEX('Tabela Passaro'!$P$2:$P$1795,$N1378)</f>
        <v>10</v>
      </c>
      <c r="W1378" s="32" t="n">
        <f aca="false">INDEX('Tabela Passaro'!$R$2:$R$1795,$N1378)</f>
        <v>30</v>
      </c>
      <c r="X1378" s="32" t="n">
        <f aca="false">ROUNDUP(J1378/INDEX('Tabela Passaro'!$T$2:$T$1795,$N1378),0)*INDEX('Tabela Passaro'!$S$2:$S$1795,$N1378)</f>
        <v>0</v>
      </c>
      <c r="Y1378" s="32" t="n">
        <f aca="false">INDEX('Tabela Passaro'!$U$2:$U$1795,$N1378)</f>
        <v>0</v>
      </c>
      <c r="Z1378" s="32" t="n">
        <f aca="false">INDEX('Tabela Passaro'!$V$2:$V$1795,$N1378)</f>
        <v>0</v>
      </c>
      <c r="AA1378" s="32" t="n">
        <f aca="false">SUM(R1378:Z1378)</f>
        <v>182.47965</v>
      </c>
      <c r="AB1378" s="33" t="n">
        <f aca="false">INDEX(Premissas!$B$5:$B$13,MATCH(A1378,Premissas!$A$5:$A$13,0))</f>
        <v>0.07</v>
      </c>
      <c r="AC1378" s="32" t="n">
        <f aca="false">AA1378/(1-AB1378)-AA1378</f>
        <v>13.7350274193549</v>
      </c>
      <c r="AD1378" s="32" t="n">
        <f aca="false">ROUND(AA1378+AC1378,2)</f>
        <v>196.21</v>
      </c>
      <c r="AE1378" s="32" t="n">
        <f aca="false">AD1378-L1378</f>
        <v>-89.46</v>
      </c>
      <c r="AF1378" s="34" t="n">
        <f aca="false">IF(L1378=0,0,AE1378/L1378)</f>
        <v>-0.313158539573634</v>
      </c>
      <c r="AG1378" s="22" t="str">
        <f aca="false">IF(AD1378&lt;L1378,"PASSARO","ATUAL")</f>
        <v>PASSARO</v>
      </c>
      <c r="AH1378" s="22" t="str">
        <f aca="false">IF(P1378&lt;&gt;A1378,"Faixa cadastrada como "&amp;P1378&amp;" na tabela; preço aplicado pela UF do CEP","")</f>
        <v>Faixa cadastrada como PB na tabela; preço aplicado pela UF do CEP</v>
      </c>
      <c r="AI1378" s="26" t="n">
        <v>268.8</v>
      </c>
      <c r="AJ1378" s="22" t="str">
        <f aca="false">INDEX('Tabela Passaro'!$X$2:$X$1795,$N1378)</f>
        <v>CAPITAL</v>
      </c>
    </row>
    <row r="1379" customFormat="false" ht="15" hidden="false" customHeight="false" outlineLevel="0" collapsed="false">
      <c r="A1379" s="22" t="s">
        <v>20</v>
      </c>
      <c r="B1379" s="22" t="n">
        <v>3</v>
      </c>
      <c r="C1379" s="22" t="s">
        <v>151</v>
      </c>
      <c r="D1379" s="22" t="s">
        <v>30</v>
      </c>
      <c r="E1379" s="22" t="s">
        <v>7328</v>
      </c>
      <c r="F1379" s="22" t="n">
        <v>2307919</v>
      </c>
      <c r="G1379" s="30" t="n">
        <v>46239</v>
      </c>
      <c r="H1379" s="22" t="n">
        <v>131892</v>
      </c>
      <c r="I1379" s="22" t="s">
        <v>8586</v>
      </c>
      <c r="J1379" s="31" t="n">
        <v>54.8</v>
      </c>
      <c r="K1379" s="26" t="n">
        <v>964.97</v>
      </c>
      <c r="L1379" s="26" t="n">
        <v>210.19</v>
      </c>
      <c r="M1379" s="22" t="s">
        <v>3929</v>
      </c>
      <c r="N1379" s="22" t="n">
        <f aca="false">MATCH(M1379,'Tabela Passaro'!$A$2:$A$1795,0)</f>
        <v>924</v>
      </c>
      <c r="O1379" s="22" t="str">
        <f aca="false">INDEX('Tabela Passaro'!$C$2:$C$1795,$N1379)</f>
        <v>PAULISTA</v>
      </c>
      <c r="P1379" s="22" t="str">
        <f aca="false">INDEX('Tabela Passaro'!$B$2:$B$1795,$N1379)</f>
        <v>PB</v>
      </c>
      <c r="Q1379" s="22" t="n">
        <f aca="false">INDEX('Tabela Passaro'!$F$2:$F$1795,$N1379)</f>
        <v>13</v>
      </c>
      <c r="R1379" s="32" t="n">
        <f aca="false">IF(J1379&lt;=10,INDEX('Tabela Passaro'!$G$2:$G$1795,$N1379),IF(J1379&lt;=30,INDEX('Tabela Passaro'!$H$2:$H$1795,$N1379),IF(J1379&lt;=50,INDEX('Tabela Passaro'!$I$2:$I$1795,$N1379),IF(J1379&lt;=70,INDEX('Tabela Passaro'!$J$2:$J$1795,$N1379),IF(J1379&lt;=100,INDEX('Tabela Passaro'!$K$2:$K$1795,$N1379),INDEX('Tabela Passaro'!$K$2:$K$1795,$N1379)+(J1379-100)*INDEX('Tabela Passaro'!$L$2:$L$1795,$N1379))))))</f>
        <v>99.61</v>
      </c>
      <c r="S1379" s="32" t="n">
        <f aca="false">K1379*INDEX('Tabela Passaro'!$M$2:$M$1795,$N1379)</f>
        <v>4.82485</v>
      </c>
      <c r="T1379" s="32" t="n">
        <f aca="false">K1379*INDEX('Tabela Passaro'!$N$2:$N$1795,$N1379)</f>
        <v>1.92994</v>
      </c>
      <c r="U1379" s="32" t="n">
        <f aca="false">INDEX('Tabela Passaro'!$O$2:$O$1795,$N1379)</f>
        <v>5</v>
      </c>
      <c r="V1379" s="32" t="n">
        <f aca="false">ROUNDUP(J1379/INDEX('Tabela Passaro'!$Q$2:$Q$1795,$N1379),0)*INDEX('Tabela Passaro'!$P$2:$P$1795,$N1379)</f>
        <v>5</v>
      </c>
      <c r="W1379" s="32" t="n">
        <f aca="false">INDEX('Tabela Passaro'!$R$2:$R$1795,$N1379)</f>
        <v>30</v>
      </c>
      <c r="X1379" s="32" t="n">
        <f aca="false">ROUNDUP(J1379/INDEX('Tabela Passaro'!$T$2:$T$1795,$N1379),0)*INDEX('Tabela Passaro'!$S$2:$S$1795,$N1379)</f>
        <v>0</v>
      </c>
      <c r="Y1379" s="32" t="n">
        <f aca="false">INDEX('Tabela Passaro'!$U$2:$U$1795,$N1379)</f>
        <v>0</v>
      </c>
      <c r="Z1379" s="32" t="n">
        <f aca="false">INDEX('Tabela Passaro'!$V$2:$V$1795,$N1379)</f>
        <v>0</v>
      </c>
      <c r="AA1379" s="32" t="n">
        <f aca="false">SUM(R1379:Z1379)</f>
        <v>146.36479</v>
      </c>
      <c r="AB1379" s="33" t="n">
        <f aca="false">INDEX(Premissas!$B$5:$B$13,MATCH(A1379,Premissas!$A$5:$A$13,0))</f>
        <v>0.07</v>
      </c>
      <c r="AC1379" s="32" t="n">
        <f aca="false">AA1379/(1-AB1379)-AA1379</f>
        <v>11.0167046236559</v>
      </c>
      <c r="AD1379" s="32" t="n">
        <f aca="false">ROUND(AA1379+AC1379,2)</f>
        <v>157.38</v>
      </c>
      <c r="AE1379" s="32" t="n">
        <f aca="false">AD1379-L1379</f>
        <v>-52.81</v>
      </c>
      <c r="AF1379" s="34" t="n">
        <f aca="false">IF(L1379=0,0,AE1379/L1379)</f>
        <v>-0.251248870069937</v>
      </c>
      <c r="AG1379" s="22" t="str">
        <f aca="false">IF(AD1379&lt;L1379,"PASSARO","ATUAL")</f>
        <v>PASSARO</v>
      </c>
      <c r="AH1379" s="22" t="str">
        <f aca="false">IF(P1379&lt;&gt;A1379,"Faixa cadastrada como "&amp;P1379&amp;" na tabela; preço aplicado pela UF do CEP","")</f>
        <v>Faixa cadastrada como PB na tabela; preço aplicado pela UF do CEP</v>
      </c>
      <c r="AI1379" s="26" t="n">
        <v>201.16</v>
      </c>
      <c r="AJ1379" s="22" t="str">
        <f aca="false">INDEX('Tabela Passaro'!$X$2:$X$1795,$N1379)</f>
        <v>CAPITAL</v>
      </c>
    </row>
    <row r="1380" customFormat="false" ht="15" hidden="false" customHeight="false" outlineLevel="0" collapsed="false">
      <c r="A1380" s="22" t="s">
        <v>20</v>
      </c>
      <c r="B1380" s="22" t="n">
        <v>3</v>
      </c>
      <c r="C1380" s="22" t="s">
        <v>151</v>
      </c>
      <c r="D1380" s="22" t="s">
        <v>30</v>
      </c>
      <c r="E1380" s="22" t="s">
        <v>7326</v>
      </c>
      <c r="F1380" s="22" t="n">
        <v>522858</v>
      </c>
      <c r="G1380" s="30" t="n">
        <v>46240</v>
      </c>
      <c r="H1380" s="22" t="n">
        <v>620950</v>
      </c>
      <c r="I1380" s="22" t="s">
        <v>8587</v>
      </c>
      <c r="J1380" s="31" t="n">
        <v>84.9</v>
      </c>
      <c r="K1380" s="26" t="n">
        <v>1409.98</v>
      </c>
      <c r="L1380" s="26" t="n">
        <v>303.54</v>
      </c>
      <c r="M1380" s="22" t="s">
        <v>3929</v>
      </c>
      <c r="N1380" s="22" t="n">
        <f aca="false">MATCH(M1380,'Tabela Passaro'!$A$2:$A$1795,0)</f>
        <v>924</v>
      </c>
      <c r="O1380" s="22" t="str">
        <f aca="false">INDEX('Tabela Passaro'!$C$2:$C$1795,$N1380)</f>
        <v>PAULISTA</v>
      </c>
      <c r="P1380" s="22" t="str">
        <f aca="false">INDEX('Tabela Passaro'!$B$2:$B$1795,$N1380)</f>
        <v>PB</v>
      </c>
      <c r="Q1380" s="22" t="n">
        <f aca="false">INDEX('Tabela Passaro'!$F$2:$F$1795,$N1380)</f>
        <v>13</v>
      </c>
      <c r="R1380" s="32" t="n">
        <f aca="false">IF(J1380&lt;=10,INDEX('Tabela Passaro'!$G$2:$G$1795,$N1380),IF(J1380&lt;=30,INDEX('Tabela Passaro'!$H$2:$H$1795,$N1380),IF(J1380&lt;=50,INDEX('Tabela Passaro'!$I$2:$I$1795,$N1380),IF(J1380&lt;=70,INDEX('Tabela Passaro'!$J$2:$J$1795,$N1380),IF(J1380&lt;=100,INDEX('Tabela Passaro'!$K$2:$K$1795,$N1380),INDEX('Tabela Passaro'!$K$2:$K$1795,$N1380)+(J1380-100)*INDEX('Tabela Passaro'!$L$2:$L$1795,$N1380))))))</f>
        <v>116.14</v>
      </c>
      <c r="S1380" s="32" t="n">
        <f aca="false">K1380*INDEX('Tabela Passaro'!$M$2:$M$1795,$N1380)</f>
        <v>7.0499</v>
      </c>
      <c r="T1380" s="32" t="n">
        <f aca="false">K1380*INDEX('Tabela Passaro'!$N$2:$N$1795,$N1380)</f>
        <v>2.81996</v>
      </c>
      <c r="U1380" s="32" t="n">
        <f aca="false">INDEX('Tabela Passaro'!$O$2:$O$1795,$N1380)</f>
        <v>5</v>
      </c>
      <c r="V1380" s="32" t="n">
        <f aca="false">ROUNDUP(J1380/INDEX('Tabela Passaro'!$Q$2:$Q$1795,$N1380),0)*INDEX('Tabela Passaro'!$P$2:$P$1795,$N1380)</f>
        <v>5</v>
      </c>
      <c r="W1380" s="32" t="n">
        <f aca="false">INDEX('Tabela Passaro'!$R$2:$R$1795,$N1380)</f>
        <v>30</v>
      </c>
      <c r="X1380" s="32" t="n">
        <f aca="false">ROUNDUP(J1380/INDEX('Tabela Passaro'!$T$2:$T$1795,$N1380),0)*INDEX('Tabela Passaro'!$S$2:$S$1795,$N1380)</f>
        <v>0</v>
      </c>
      <c r="Y1380" s="32" t="n">
        <f aca="false">INDEX('Tabela Passaro'!$U$2:$U$1795,$N1380)</f>
        <v>0</v>
      </c>
      <c r="Z1380" s="32" t="n">
        <f aca="false">INDEX('Tabela Passaro'!$V$2:$V$1795,$N1380)</f>
        <v>0</v>
      </c>
      <c r="AA1380" s="32" t="n">
        <f aca="false">SUM(R1380:Z1380)</f>
        <v>166.00986</v>
      </c>
      <c r="AB1380" s="33" t="n">
        <f aca="false">INDEX(Premissas!$B$5:$B$13,MATCH(A1380,Premissas!$A$5:$A$13,0))</f>
        <v>0.07</v>
      </c>
      <c r="AC1380" s="32" t="n">
        <f aca="false">AA1380/(1-AB1380)-AA1380</f>
        <v>12.4953658064516</v>
      </c>
      <c r="AD1380" s="32" t="n">
        <f aca="false">ROUND(AA1380+AC1380,2)</f>
        <v>178.51</v>
      </c>
      <c r="AE1380" s="32" t="n">
        <f aca="false">AD1380-L1380</f>
        <v>-125.03</v>
      </c>
      <c r="AF1380" s="34" t="n">
        <f aca="false">IF(L1380=0,0,AE1380/L1380)</f>
        <v>-0.411906173815642</v>
      </c>
      <c r="AG1380" s="22" t="str">
        <f aca="false">IF(AD1380&lt;L1380,"PASSARO","ATUAL")</f>
        <v>PASSARO</v>
      </c>
      <c r="AH1380" s="22" t="str">
        <f aca="false">IF(P1380&lt;&gt;A1380,"Faixa cadastrada como "&amp;P1380&amp;" na tabela; preço aplicado pela UF do CEP","")</f>
        <v>Faixa cadastrada como PB na tabela; preço aplicado pela UF do CEP</v>
      </c>
      <c r="AI1380" s="26" t="n">
        <v>238.77</v>
      </c>
      <c r="AJ1380" s="22" t="str">
        <f aca="false">INDEX('Tabela Passaro'!$X$2:$X$1795,$N1380)</f>
        <v>CAPITAL</v>
      </c>
    </row>
    <row r="1381" customFormat="false" ht="15" hidden="false" customHeight="false" outlineLevel="0" collapsed="false">
      <c r="A1381" s="22" t="s">
        <v>20</v>
      </c>
      <c r="B1381" s="22" t="n">
        <v>3</v>
      </c>
      <c r="C1381" s="22" t="s">
        <v>151</v>
      </c>
      <c r="D1381" s="22" t="s">
        <v>30</v>
      </c>
      <c r="E1381" s="22" t="s">
        <v>7326</v>
      </c>
      <c r="F1381" s="22" t="n">
        <v>522879</v>
      </c>
      <c r="G1381" s="30" t="n">
        <v>46240</v>
      </c>
      <c r="H1381" s="22" t="n">
        <v>621218</v>
      </c>
      <c r="I1381" s="22" t="s">
        <v>8588</v>
      </c>
      <c r="J1381" s="31" t="n">
        <v>52.9</v>
      </c>
      <c r="K1381" s="26" t="n">
        <v>1838.88</v>
      </c>
      <c r="L1381" s="26" t="n">
        <v>251.6</v>
      </c>
      <c r="M1381" s="22" t="s">
        <v>3929</v>
      </c>
      <c r="N1381" s="22" t="n">
        <f aca="false">MATCH(M1381,'Tabela Passaro'!$A$2:$A$1795,0)</f>
        <v>924</v>
      </c>
      <c r="O1381" s="22" t="str">
        <f aca="false">INDEX('Tabela Passaro'!$C$2:$C$1795,$N1381)</f>
        <v>PAULISTA</v>
      </c>
      <c r="P1381" s="22" t="str">
        <f aca="false">INDEX('Tabela Passaro'!$B$2:$B$1795,$N1381)</f>
        <v>PB</v>
      </c>
      <c r="Q1381" s="22" t="n">
        <f aca="false">INDEX('Tabela Passaro'!$F$2:$F$1795,$N1381)</f>
        <v>13</v>
      </c>
      <c r="R1381" s="32" t="n">
        <f aca="false">IF(J1381&lt;=10,INDEX('Tabela Passaro'!$G$2:$G$1795,$N1381),IF(J1381&lt;=30,INDEX('Tabela Passaro'!$H$2:$H$1795,$N1381),IF(J1381&lt;=50,INDEX('Tabela Passaro'!$I$2:$I$1795,$N1381),IF(J1381&lt;=70,INDEX('Tabela Passaro'!$J$2:$J$1795,$N1381),IF(J1381&lt;=100,INDEX('Tabela Passaro'!$K$2:$K$1795,$N1381),INDEX('Tabela Passaro'!$K$2:$K$1795,$N1381)+(J1381-100)*INDEX('Tabela Passaro'!$L$2:$L$1795,$N1381))))))</f>
        <v>99.61</v>
      </c>
      <c r="S1381" s="32" t="n">
        <f aca="false">K1381*INDEX('Tabela Passaro'!$M$2:$M$1795,$N1381)</f>
        <v>9.1944</v>
      </c>
      <c r="T1381" s="32" t="n">
        <f aca="false">K1381*INDEX('Tabela Passaro'!$N$2:$N$1795,$N1381)</f>
        <v>3.67776</v>
      </c>
      <c r="U1381" s="32" t="n">
        <f aca="false">INDEX('Tabela Passaro'!$O$2:$O$1795,$N1381)</f>
        <v>5</v>
      </c>
      <c r="V1381" s="32" t="n">
        <f aca="false">ROUNDUP(J1381/INDEX('Tabela Passaro'!$Q$2:$Q$1795,$N1381),0)*INDEX('Tabela Passaro'!$P$2:$P$1795,$N1381)</f>
        <v>5</v>
      </c>
      <c r="W1381" s="32" t="n">
        <f aca="false">INDEX('Tabela Passaro'!$R$2:$R$1795,$N1381)</f>
        <v>30</v>
      </c>
      <c r="X1381" s="32" t="n">
        <f aca="false">ROUNDUP(J1381/INDEX('Tabela Passaro'!$T$2:$T$1795,$N1381),0)*INDEX('Tabela Passaro'!$S$2:$S$1795,$N1381)</f>
        <v>0</v>
      </c>
      <c r="Y1381" s="32" t="n">
        <f aca="false">INDEX('Tabela Passaro'!$U$2:$U$1795,$N1381)</f>
        <v>0</v>
      </c>
      <c r="Z1381" s="32" t="n">
        <f aca="false">INDEX('Tabela Passaro'!$V$2:$V$1795,$N1381)</f>
        <v>0</v>
      </c>
      <c r="AA1381" s="32" t="n">
        <f aca="false">SUM(R1381:Z1381)</f>
        <v>152.48216</v>
      </c>
      <c r="AB1381" s="33" t="n">
        <f aca="false">INDEX(Premissas!$B$5:$B$13,MATCH(A1381,Premissas!$A$5:$A$13,0))</f>
        <v>0.07</v>
      </c>
      <c r="AC1381" s="32" t="n">
        <f aca="false">AA1381/(1-AB1381)-AA1381</f>
        <v>11.477151827957</v>
      </c>
      <c r="AD1381" s="32" t="n">
        <f aca="false">ROUND(AA1381+AC1381,2)</f>
        <v>163.96</v>
      </c>
      <c r="AE1381" s="32" t="n">
        <f aca="false">AD1381-L1381</f>
        <v>-87.64</v>
      </c>
      <c r="AF1381" s="34" t="n">
        <f aca="false">IF(L1381=0,0,AE1381/L1381)</f>
        <v>-0.348330683624801</v>
      </c>
      <c r="AG1381" s="22" t="str">
        <f aca="false">IF(AD1381&lt;L1381,"PASSARO","ATUAL")</f>
        <v>PASSARO</v>
      </c>
      <c r="AH1381" s="22" t="str">
        <f aca="false">IF(P1381&lt;&gt;A1381,"Faixa cadastrada como "&amp;P1381&amp;" na tabela; preço aplicado pela UF do CEP","")</f>
        <v>Faixa cadastrada como PB na tabela; preço aplicado pela UF do CEP</v>
      </c>
      <c r="AI1381" s="26" t="n">
        <v>208.65</v>
      </c>
      <c r="AJ1381" s="22" t="str">
        <f aca="false">INDEX('Tabela Passaro'!$X$2:$X$1795,$N1381)</f>
        <v>CAPITAL</v>
      </c>
    </row>
    <row r="1382" customFormat="false" ht="15" hidden="false" customHeight="false" outlineLevel="0" collapsed="false">
      <c r="A1382" s="22" t="s">
        <v>20</v>
      </c>
      <c r="B1382" s="22" t="n">
        <v>3</v>
      </c>
      <c r="C1382" s="22" t="s">
        <v>151</v>
      </c>
      <c r="D1382" s="22" t="s">
        <v>30</v>
      </c>
      <c r="E1382" s="22" t="s">
        <v>7326</v>
      </c>
      <c r="F1382" s="22" t="n">
        <v>522880</v>
      </c>
      <c r="G1382" s="30" t="n">
        <v>46240</v>
      </c>
      <c r="H1382" s="22" t="n">
        <v>621221</v>
      </c>
      <c r="I1382" s="22" t="s">
        <v>8589</v>
      </c>
      <c r="J1382" s="31" t="n">
        <v>27.2</v>
      </c>
      <c r="K1382" s="26" t="n">
        <v>1019.98</v>
      </c>
      <c r="L1382" s="26" t="n">
        <v>140.27</v>
      </c>
      <c r="M1382" s="22" t="s">
        <v>3929</v>
      </c>
      <c r="N1382" s="22" t="n">
        <f aca="false">MATCH(M1382,'Tabela Passaro'!$A$2:$A$1795,0)</f>
        <v>924</v>
      </c>
      <c r="O1382" s="22" t="str">
        <f aca="false">INDEX('Tabela Passaro'!$C$2:$C$1795,$N1382)</f>
        <v>PAULISTA</v>
      </c>
      <c r="P1382" s="22" t="str">
        <f aca="false">INDEX('Tabela Passaro'!$B$2:$B$1795,$N1382)</f>
        <v>PB</v>
      </c>
      <c r="Q1382" s="22" t="n">
        <f aca="false">INDEX('Tabela Passaro'!$F$2:$F$1795,$N1382)</f>
        <v>13</v>
      </c>
      <c r="R1382" s="32" t="n">
        <f aca="false">IF(J1382&lt;=10,INDEX('Tabela Passaro'!$G$2:$G$1795,$N1382),IF(J1382&lt;=30,INDEX('Tabela Passaro'!$H$2:$H$1795,$N1382),IF(J1382&lt;=50,INDEX('Tabela Passaro'!$I$2:$I$1795,$N1382),IF(J1382&lt;=70,INDEX('Tabela Passaro'!$J$2:$J$1795,$N1382),IF(J1382&lt;=100,INDEX('Tabela Passaro'!$K$2:$K$1795,$N1382),INDEX('Tabela Passaro'!$K$2:$K$1795,$N1382)+(J1382-100)*INDEX('Tabela Passaro'!$L$2:$L$1795,$N1382))))))</f>
        <v>66.55</v>
      </c>
      <c r="S1382" s="32" t="n">
        <f aca="false">K1382*INDEX('Tabela Passaro'!$M$2:$M$1795,$N1382)</f>
        <v>5.0999</v>
      </c>
      <c r="T1382" s="32" t="n">
        <f aca="false">K1382*INDEX('Tabela Passaro'!$N$2:$N$1795,$N1382)</f>
        <v>2.03996</v>
      </c>
      <c r="U1382" s="32" t="n">
        <f aca="false">INDEX('Tabela Passaro'!$O$2:$O$1795,$N1382)</f>
        <v>5</v>
      </c>
      <c r="V1382" s="32" t="n">
        <f aca="false">ROUNDUP(J1382/INDEX('Tabela Passaro'!$Q$2:$Q$1795,$N1382),0)*INDEX('Tabela Passaro'!$P$2:$P$1795,$N1382)</f>
        <v>5</v>
      </c>
      <c r="W1382" s="32" t="n">
        <f aca="false">INDEX('Tabela Passaro'!$R$2:$R$1795,$N1382)</f>
        <v>30</v>
      </c>
      <c r="X1382" s="32" t="n">
        <f aca="false">ROUNDUP(J1382/INDEX('Tabela Passaro'!$T$2:$T$1795,$N1382),0)*INDEX('Tabela Passaro'!$S$2:$S$1795,$N1382)</f>
        <v>0</v>
      </c>
      <c r="Y1382" s="32" t="n">
        <f aca="false">INDEX('Tabela Passaro'!$U$2:$U$1795,$N1382)</f>
        <v>0</v>
      </c>
      <c r="Z1382" s="32" t="n">
        <f aca="false">INDEX('Tabela Passaro'!$V$2:$V$1795,$N1382)</f>
        <v>0</v>
      </c>
      <c r="AA1382" s="32" t="n">
        <f aca="false">SUM(R1382:Z1382)</f>
        <v>113.68986</v>
      </c>
      <c r="AB1382" s="33" t="n">
        <f aca="false">INDEX(Premissas!$B$5:$B$13,MATCH(A1382,Premissas!$A$5:$A$13,0))</f>
        <v>0.07</v>
      </c>
      <c r="AC1382" s="32" t="n">
        <f aca="false">AA1382/(1-AB1382)-AA1382</f>
        <v>8.55730129032258</v>
      </c>
      <c r="AD1382" s="32" t="n">
        <f aca="false">ROUND(AA1382+AC1382,2)</f>
        <v>122.25</v>
      </c>
      <c r="AE1382" s="32" t="n">
        <f aca="false">AD1382-L1382</f>
        <v>-18.02</v>
      </c>
      <c r="AF1382" s="34" t="n">
        <f aca="false">IF(L1382=0,0,AE1382/L1382)</f>
        <v>-0.128466528837243</v>
      </c>
      <c r="AG1382" s="22" t="str">
        <f aca="false">IF(AD1382&lt;L1382,"PASSARO","ATUAL")</f>
        <v>PASSARO</v>
      </c>
      <c r="AH1382" s="22" t="str">
        <f aca="false">IF(P1382&lt;&gt;A1382,"Faixa cadastrada como "&amp;P1382&amp;" na tabela; preço aplicado pela UF do CEP","")</f>
        <v>Faixa cadastrada como PB na tabela; preço aplicado pela UF do CEP</v>
      </c>
      <c r="AI1382" s="26" t="n">
        <v>151.05</v>
      </c>
      <c r="AJ1382" s="22" t="str">
        <f aca="false">INDEX('Tabela Passaro'!$X$2:$X$1795,$N1382)</f>
        <v>CAPITAL</v>
      </c>
    </row>
    <row r="1383" customFormat="false" ht="15" hidden="false" customHeight="false" outlineLevel="0" collapsed="false">
      <c r="A1383" s="22" t="s">
        <v>20</v>
      </c>
      <c r="B1383" s="22" t="n">
        <v>3</v>
      </c>
      <c r="C1383" s="22" t="s">
        <v>151</v>
      </c>
      <c r="D1383" s="22" t="s">
        <v>30</v>
      </c>
      <c r="E1383" s="22" t="s">
        <v>7328</v>
      </c>
      <c r="F1383" s="22" t="n">
        <v>2309862</v>
      </c>
      <c r="G1383" s="30" t="n">
        <v>46244</v>
      </c>
      <c r="H1383" s="22" t="n">
        <v>132351</v>
      </c>
      <c r="I1383" s="22" t="s">
        <v>8590</v>
      </c>
      <c r="J1383" s="31" t="n">
        <v>61.4</v>
      </c>
      <c r="K1383" s="26" t="n">
        <v>1108.04</v>
      </c>
      <c r="L1383" s="26" t="n">
        <v>211.33</v>
      </c>
      <c r="M1383" s="22" t="s">
        <v>3929</v>
      </c>
      <c r="N1383" s="22" t="n">
        <f aca="false">MATCH(M1383,'Tabela Passaro'!$A$2:$A$1795,0)</f>
        <v>924</v>
      </c>
      <c r="O1383" s="22" t="str">
        <f aca="false">INDEX('Tabela Passaro'!$C$2:$C$1795,$N1383)</f>
        <v>PAULISTA</v>
      </c>
      <c r="P1383" s="22" t="str">
        <f aca="false">INDEX('Tabela Passaro'!$B$2:$B$1795,$N1383)</f>
        <v>PB</v>
      </c>
      <c r="Q1383" s="22" t="n">
        <f aca="false">INDEX('Tabela Passaro'!$F$2:$F$1795,$N1383)</f>
        <v>13</v>
      </c>
      <c r="R1383" s="32" t="n">
        <f aca="false">IF(J1383&lt;=10,INDEX('Tabela Passaro'!$G$2:$G$1795,$N1383),IF(J1383&lt;=30,INDEX('Tabela Passaro'!$H$2:$H$1795,$N1383),IF(J1383&lt;=50,INDEX('Tabela Passaro'!$I$2:$I$1795,$N1383),IF(J1383&lt;=70,INDEX('Tabela Passaro'!$J$2:$J$1795,$N1383),IF(J1383&lt;=100,INDEX('Tabela Passaro'!$K$2:$K$1795,$N1383),INDEX('Tabela Passaro'!$K$2:$K$1795,$N1383)+(J1383-100)*INDEX('Tabela Passaro'!$L$2:$L$1795,$N1383))))))</f>
        <v>99.61</v>
      </c>
      <c r="S1383" s="32" t="n">
        <f aca="false">K1383*INDEX('Tabela Passaro'!$M$2:$M$1795,$N1383)</f>
        <v>5.5402</v>
      </c>
      <c r="T1383" s="32" t="n">
        <f aca="false">K1383*INDEX('Tabela Passaro'!$N$2:$N$1795,$N1383)</f>
        <v>2.21608</v>
      </c>
      <c r="U1383" s="32" t="n">
        <f aca="false">INDEX('Tabela Passaro'!$O$2:$O$1795,$N1383)</f>
        <v>5</v>
      </c>
      <c r="V1383" s="32" t="n">
        <f aca="false">ROUNDUP(J1383/INDEX('Tabela Passaro'!$Q$2:$Q$1795,$N1383),0)*INDEX('Tabela Passaro'!$P$2:$P$1795,$N1383)</f>
        <v>5</v>
      </c>
      <c r="W1383" s="32" t="n">
        <f aca="false">INDEX('Tabela Passaro'!$R$2:$R$1795,$N1383)</f>
        <v>30</v>
      </c>
      <c r="X1383" s="32" t="n">
        <f aca="false">ROUNDUP(J1383/INDEX('Tabela Passaro'!$T$2:$T$1795,$N1383),0)*INDEX('Tabela Passaro'!$S$2:$S$1795,$N1383)</f>
        <v>0</v>
      </c>
      <c r="Y1383" s="32" t="n">
        <f aca="false">INDEX('Tabela Passaro'!$U$2:$U$1795,$N1383)</f>
        <v>0</v>
      </c>
      <c r="Z1383" s="32" t="n">
        <f aca="false">INDEX('Tabela Passaro'!$V$2:$V$1795,$N1383)</f>
        <v>0</v>
      </c>
      <c r="AA1383" s="32" t="n">
        <f aca="false">SUM(R1383:Z1383)</f>
        <v>147.36628</v>
      </c>
      <c r="AB1383" s="33" t="n">
        <f aca="false">INDEX(Premissas!$B$5:$B$13,MATCH(A1383,Premissas!$A$5:$A$13,0))</f>
        <v>0.07</v>
      </c>
      <c r="AC1383" s="32" t="n">
        <f aca="false">AA1383/(1-AB1383)-AA1383</f>
        <v>11.0920855913979</v>
      </c>
      <c r="AD1383" s="32" t="n">
        <f aca="false">ROUND(AA1383+AC1383,2)</f>
        <v>158.46</v>
      </c>
      <c r="AE1383" s="32" t="n">
        <f aca="false">AD1383-L1383</f>
        <v>-52.87</v>
      </c>
      <c r="AF1383" s="34" t="n">
        <f aca="false">IF(L1383=0,0,AE1383/L1383)</f>
        <v>-0.250177447593811</v>
      </c>
      <c r="AG1383" s="22" t="str">
        <f aca="false">IF(AD1383&lt;L1383,"PASSARO","ATUAL")</f>
        <v>PASSARO</v>
      </c>
      <c r="AH1383" s="22" t="str">
        <f aca="false">IF(P1383&lt;&gt;A1383,"Faixa cadastrada como "&amp;P1383&amp;" na tabela; preço aplicado pela UF do CEP","")</f>
        <v>Faixa cadastrada como PB na tabela; preço aplicado pela UF do CEP</v>
      </c>
      <c r="AI1383" s="26" t="n">
        <v>205.93</v>
      </c>
      <c r="AJ1383" s="22" t="str">
        <f aca="false">INDEX('Tabela Passaro'!$X$2:$X$1795,$N1383)</f>
        <v>CAPITAL</v>
      </c>
    </row>
    <row r="1384" customFormat="false" ht="15" hidden="false" customHeight="false" outlineLevel="0" collapsed="false">
      <c r="A1384" s="22" t="s">
        <v>20</v>
      </c>
      <c r="B1384" s="22" t="n">
        <v>3</v>
      </c>
      <c r="C1384" s="22" t="s">
        <v>151</v>
      </c>
      <c r="D1384" s="22" t="s">
        <v>30</v>
      </c>
      <c r="E1384" s="22" t="s">
        <v>7328</v>
      </c>
      <c r="F1384" s="22" t="n">
        <v>2309891</v>
      </c>
      <c r="G1384" s="30" t="n">
        <v>46244</v>
      </c>
      <c r="H1384" s="22" t="n">
        <v>132370</v>
      </c>
      <c r="I1384" s="22" t="s">
        <v>8591</v>
      </c>
      <c r="J1384" s="31" t="n">
        <v>27.6</v>
      </c>
      <c r="K1384" s="26" t="n">
        <v>706.98</v>
      </c>
      <c r="L1384" s="26" t="n">
        <v>126.92</v>
      </c>
      <c r="M1384" s="22" t="s">
        <v>3929</v>
      </c>
      <c r="N1384" s="22" t="n">
        <f aca="false">MATCH(M1384,'Tabela Passaro'!$A$2:$A$1795,0)</f>
        <v>924</v>
      </c>
      <c r="O1384" s="22" t="str">
        <f aca="false">INDEX('Tabela Passaro'!$C$2:$C$1795,$N1384)</f>
        <v>PAULISTA</v>
      </c>
      <c r="P1384" s="22" t="str">
        <f aca="false">INDEX('Tabela Passaro'!$B$2:$B$1795,$N1384)</f>
        <v>PB</v>
      </c>
      <c r="Q1384" s="22" t="n">
        <f aca="false">INDEX('Tabela Passaro'!$F$2:$F$1795,$N1384)</f>
        <v>13</v>
      </c>
      <c r="R1384" s="32" t="n">
        <f aca="false">IF(J1384&lt;=10,INDEX('Tabela Passaro'!$G$2:$G$1795,$N1384),IF(J1384&lt;=30,INDEX('Tabela Passaro'!$H$2:$H$1795,$N1384),IF(J1384&lt;=50,INDEX('Tabela Passaro'!$I$2:$I$1795,$N1384),IF(J1384&lt;=70,INDEX('Tabela Passaro'!$J$2:$J$1795,$N1384),IF(J1384&lt;=100,INDEX('Tabela Passaro'!$K$2:$K$1795,$N1384),INDEX('Tabela Passaro'!$K$2:$K$1795,$N1384)+(J1384-100)*INDEX('Tabela Passaro'!$L$2:$L$1795,$N1384))))))</f>
        <v>66.55</v>
      </c>
      <c r="S1384" s="32" t="n">
        <f aca="false">K1384*INDEX('Tabela Passaro'!$M$2:$M$1795,$N1384)</f>
        <v>3.5349</v>
      </c>
      <c r="T1384" s="32" t="n">
        <f aca="false">K1384*INDEX('Tabela Passaro'!$N$2:$N$1795,$N1384)</f>
        <v>1.41396</v>
      </c>
      <c r="U1384" s="32" t="n">
        <f aca="false">INDEX('Tabela Passaro'!$O$2:$O$1795,$N1384)</f>
        <v>5</v>
      </c>
      <c r="V1384" s="32" t="n">
        <f aca="false">ROUNDUP(J1384/INDEX('Tabela Passaro'!$Q$2:$Q$1795,$N1384),0)*INDEX('Tabela Passaro'!$P$2:$P$1795,$N1384)</f>
        <v>5</v>
      </c>
      <c r="W1384" s="32" t="n">
        <f aca="false">INDEX('Tabela Passaro'!$R$2:$R$1795,$N1384)</f>
        <v>30</v>
      </c>
      <c r="X1384" s="32" t="n">
        <f aca="false">ROUNDUP(J1384/INDEX('Tabela Passaro'!$T$2:$T$1795,$N1384),0)*INDEX('Tabela Passaro'!$S$2:$S$1795,$N1384)</f>
        <v>0</v>
      </c>
      <c r="Y1384" s="32" t="n">
        <f aca="false">INDEX('Tabela Passaro'!$U$2:$U$1795,$N1384)</f>
        <v>0</v>
      </c>
      <c r="Z1384" s="32" t="n">
        <f aca="false">INDEX('Tabela Passaro'!$V$2:$V$1795,$N1384)</f>
        <v>0</v>
      </c>
      <c r="AA1384" s="32" t="n">
        <f aca="false">SUM(R1384:Z1384)</f>
        <v>111.49886</v>
      </c>
      <c r="AB1384" s="33" t="n">
        <f aca="false">INDEX(Premissas!$B$5:$B$13,MATCH(A1384,Premissas!$A$5:$A$13,0))</f>
        <v>0.07</v>
      </c>
      <c r="AC1384" s="32" t="n">
        <f aca="false">AA1384/(1-AB1384)-AA1384</f>
        <v>8.39238731182796</v>
      </c>
      <c r="AD1384" s="32" t="n">
        <f aca="false">ROUND(AA1384+AC1384,2)</f>
        <v>119.89</v>
      </c>
      <c r="AE1384" s="32" t="n">
        <f aca="false">AD1384-L1384</f>
        <v>-7.03</v>
      </c>
      <c r="AF1384" s="34" t="n">
        <f aca="false">IF(L1384=0,0,AE1384/L1384)</f>
        <v>-0.0553892215568862</v>
      </c>
      <c r="AG1384" s="22" t="str">
        <f aca="false">IF(AD1384&lt;L1384,"PASSARO","ATUAL")</f>
        <v>PASSARO</v>
      </c>
      <c r="AH1384" s="22" t="str">
        <f aca="false">IF(P1384&lt;&gt;A1384,"Faixa cadastrada como "&amp;P1384&amp;" na tabela; preço aplicado pela UF do CEP","")</f>
        <v>Faixa cadastrada como PB na tabela; preço aplicado pela UF do CEP</v>
      </c>
      <c r="AI1384" s="26" t="n">
        <v>148.02</v>
      </c>
      <c r="AJ1384" s="22" t="str">
        <f aca="false">INDEX('Tabela Passaro'!$X$2:$X$1795,$N1384)</f>
        <v>CAPITAL</v>
      </c>
    </row>
    <row r="1385" customFormat="false" ht="15" hidden="false" customHeight="false" outlineLevel="0" collapsed="false">
      <c r="A1385" s="22" t="s">
        <v>20</v>
      </c>
      <c r="B1385" s="22" t="n">
        <v>3</v>
      </c>
      <c r="C1385" s="22" t="s">
        <v>151</v>
      </c>
      <c r="D1385" s="22" t="s">
        <v>30</v>
      </c>
      <c r="E1385" s="22" t="s">
        <v>7328</v>
      </c>
      <c r="F1385" s="22" t="n">
        <v>2309901</v>
      </c>
      <c r="G1385" s="30" t="n">
        <v>46244</v>
      </c>
      <c r="H1385" s="22" t="n">
        <v>132381</v>
      </c>
      <c r="I1385" s="22" t="s">
        <v>8592</v>
      </c>
      <c r="J1385" s="31" t="n">
        <v>29.2</v>
      </c>
      <c r="K1385" s="26" t="n">
        <v>496.77</v>
      </c>
      <c r="L1385" s="26" t="n">
        <v>125.25</v>
      </c>
      <c r="M1385" s="22" t="s">
        <v>3929</v>
      </c>
      <c r="N1385" s="22" t="n">
        <f aca="false">MATCH(M1385,'Tabela Passaro'!$A$2:$A$1795,0)</f>
        <v>924</v>
      </c>
      <c r="O1385" s="22" t="str">
        <f aca="false">INDEX('Tabela Passaro'!$C$2:$C$1795,$N1385)</f>
        <v>PAULISTA</v>
      </c>
      <c r="P1385" s="22" t="str">
        <f aca="false">INDEX('Tabela Passaro'!$B$2:$B$1795,$N1385)</f>
        <v>PB</v>
      </c>
      <c r="Q1385" s="22" t="n">
        <f aca="false">INDEX('Tabela Passaro'!$F$2:$F$1795,$N1385)</f>
        <v>13</v>
      </c>
      <c r="R1385" s="32" t="n">
        <f aca="false">IF(J1385&lt;=10,INDEX('Tabela Passaro'!$G$2:$G$1795,$N1385),IF(J1385&lt;=30,INDEX('Tabela Passaro'!$H$2:$H$1795,$N1385),IF(J1385&lt;=50,INDEX('Tabela Passaro'!$I$2:$I$1795,$N1385),IF(J1385&lt;=70,INDEX('Tabela Passaro'!$J$2:$J$1795,$N1385),IF(J1385&lt;=100,INDEX('Tabela Passaro'!$K$2:$K$1795,$N1385),INDEX('Tabela Passaro'!$K$2:$K$1795,$N1385)+(J1385-100)*INDEX('Tabela Passaro'!$L$2:$L$1795,$N1385))))))</f>
        <v>66.55</v>
      </c>
      <c r="S1385" s="32" t="n">
        <f aca="false">K1385*INDEX('Tabela Passaro'!$M$2:$M$1795,$N1385)</f>
        <v>2.48385</v>
      </c>
      <c r="T1385" s="32" t="n">
        <f aca="false">K1385*INDEX('Tabela Passaro'!$N$2:$N$1795,$N1385)</f>
        <v>0.99354</v>
      </c>
      <c r="U1385" s="32" t="n">
        <f aca="false">INDEX('Tabela Passaro'!$O$2:$O$1795,$N1385)</f>
        <v>5</v>
      </c>
      <c r="V1385" s="32" t="n">
        <f aca="false">ROUNDUP(J1385/INDEX('Tabela Passaro'!$Q$2:$Q$1795,$N1385),0)*INDEX('Tabela Passaro'!$P$2:$P$1795,$N1385)</f>
        <v>5</v>
      </c>
      <c r="W1385" s="32" t="n">
        <f aca="false">INDEX('Tabela Passaro'!$R$2:$R$1795,$N1385)</f>
        <v>30</v>
      </c>
      <c r="X1385" s="32" t="n">
        <f aca="false">ROUNDUP(J1385/INDEX('Tabela Passaro'!$T$2:$T$1795,$N1385),0)*INDEX('Tabela Passaro'!$S$2:$S$1795,$N1385)</f>
        <v>0</v>
      </c>
      <c r="Y1385" s="32" t="n">
        <f aca="false">INDEX('Tabela Passaro'!$U$2:$U$1795,$N1385)</f>
        <v>0</v>
      </c>
      <c r="Z1385" s="32" t="n">
        <f aca="false">INDEX('Tabela Passaro'!$V$2:$V$1795,$N1385)</f>
        <v>0</v>
      </c>
      <c r="AA1385" s="32" t="n">
        <f aca="false">SUM(R1385:Z1385)</f>
        <v>110.02739</v>
      </c>
      <c r="AB1385" s="33" t="n">
        <f aca="false">INDEX(Premissas!$B$5:$B$13,MATCH(A1385,Premissas!$A$5:$A$13,0))</f>
        <v>0.07</v>
      </c>
      <c r="AC1385" s="32" t="n">
        <f aca="false">AA1385/(1-AB1385)-AA1385</f>
        <v>8.28163150537635</v>
      </c>
      <c r="AD1385" s="32" t="n">
        <f aca="false">ROUND(AA1385+AC1385,2)</f>
        <v>118.31</v>
      </c>
      <c r="AE1385" s="32" t="n">
        <f aca="false">AD1385-L1385</f>
        <v>-6.94</v>
      </c>
      <c r="AF1385" s="34" t="n">
        <f aca="false">IF(L1385=0,0,AE1385/L1385)</f>
        <v>-0.0554091816367265</v>
      </c>
      <c r="AG1385" s="22" t="str">
        <f aca="false">IF(AD1385&lt;L1385,"PASSARO","ATUAL")</f>
        <v>PASSARO</v>
      </c>
      <c r="AH1385" s="22" t="str">
        <f aca="false">IF(P1385&lt;&gt;A1385,"Faixa cadastrada como "&amp;P1385&amp;" na tabela; preço aplicado pela UF do CEP","")</f>
        <v>Faixa cadastrada como PB na tabela; preço aplicado pela UF do CEP</v>
      </c>
      <c r="AI1385" s="26" t="n">
        <v>146.96</v>
      </c>
      <c r="AJ1385" s="22" t="str">
        <f aca="false">INDEX('Tabela Passaro'!$X$2:$X$1795,$N1385)</f>
        <v>CAPITAL</v>
      </c>
    </row>
    <row r="1386" customFormat="false" ht="15" hidden="false" customHeight="false" outlineLevel="0" collapsed="false">
      <c r="A1386" s="22" t="s">
        <v>20</v>
      </c>
      <c r="B1386" s="22" t="n">
        <v>3</v>
      </c>
      <c r="C1386" s="22" t="s">
        <v>151</v>
      </c>
      <c r="D1386" s="22" t="s">
        <v>30</v>
      </c>
      <c r="E1386" s="22" t="s">
        <v>7326</v>
      </c>
      <c r="F1386" s="22" t="n">
        <v>523724</v>
      </c>
      <c r="G1386" s="30" t="n">
        <v>46244</v>
      </c>
      <c r="H1386" s="22" t="n">
        <v>622519</v>
      </c>
      <c r="I1386" s="22" t="s">
        <v>8593</v>
      </c>
      <c r="J1386" s="31" t="n">
        <v>73.1</v>
      </c>
      <c r="K1386" s="26" t="n">
        <v>979.98</v>
      </c>
      <c r="L1386" s="26" t="n">
        <v>299.88</v>
      </c>
      <c r="M1386" s="22" t="s">
        <v>3929</v>
      </c>
      <c r="N1386" s="22" t="n">
        <f aca="false">MATCH(M1386,'Tabela Passaro'!$A$2:$A$1795,0)</f>
        <v>924</v>
      </c>
      <c r="O1386" s="22" t="str">
        <f aca="false">INDEX('Tabela Passaro'!$C$2:$C$1795,$N1386)</f>
        <v>PAULISTA</v>
      </c>
      <c r="P1386" s="22" t="str">
        <f aca="false">INDEX('Tabela Passaro'!$B$2:$B$1795,$N1386)</f>
        <v>PB</v>
      </c>
      <c r="Q1386" s="22" t="n">
        <f aca="false">INDEX('Tabela Passaro'!$F$2:$F$1795,$N1386)</f>
        <v>13</v>
      </c>
      <c r="R1386" s="32" t="n">
        <f aca="false">IF(J1386&lt;=10,INDEX('Tabela Passaro'!$G$2:$G$1795,$N1386),IF(J1386&lt;=30,INDEX('Tabela Passaro'!$H$2:$H$1795,$N1386),IF(J1386&lt;=50,INDEX('Tabela Passaro'!$I$2:$I$1795,$N1386),IF(J1386&lt;=70,INDEX('Tabela Passaro'!$J$2:$J$1795,$N1386),IF(J1386&lt;=100,INDEX('Tabela Passaro'!$K$2:$K$1795,$N1386),INDEX('Tabela Passaro'!$K$2:$K$1795,$N1386)+(J1386-100)*INDEX('Tabela Passaro'!$L$2:$L$1795,$N1386))))))</f>
        <v>116.14</v>
      </c>
      <c r="S1386" s="32" t="n">
        <f aca="false">K1386*INDEX('Tabela Passaro'!$M$2:$M$1795,$N1386)</f>
        <v>4.8999</v>
      </c>
      <c r="T1386" s="32" t="n">
        <f aca="false">K1386*INDEX('Tabela Passaro'!$N$2:$N$1795,$N1386)</f>
        <v>1.95996</v>
      </c>
      <c r="U1386" s="32" t="n">
        <f aca="false">INDEX('Tabela Passaro'!$O$2:$O$1795,$N1386)</f>
        <v>5</v>
      </c>
      <c r="V1386" s="32" t="n">
        <f aca="false">ROUNDUP(J1386/INDEX('Tabela Passaro'!$Q$2:$Q$1795,$N1386),0)*INDEX('Tabela Passaro'!$P$2:$P$1795,$N1386)</f>
        <v>5</v>
      </c>
      <c r="W1386" s="32" t="n">
        <f aca="false">INDEX('Tabela Passaro'!$R$2:$R$1795,$N1386)</f>
        <v>30</v>
      </c>
      <c r="X1386" s="32" t="n">
        <f aca="false">ROUNDUP(J1386/INDEX('Tabela Passaro'!$T$2:$T$1795,$N1386),0)*INDEX('Tabela Passaro'!$S$2:$S$1795,$N1386)</f>
        <v>0</v>
      </c>
      <c r="Y1386" s="32" t="n">
        <f aca="false">INDEX('Tabela Passaro'!$U$2:$U$1795,$N1386)</f>
        <v>0</v>
      </c>
      <c r="Z1386" s="32" t="n">
        <f aca="false">INDEX('Tabela Passaro'!$V$2:$V$1795,$N1386)</f>
        <v>0</v>
      </c>
      <c r="AA1386" s="32" t="n">
        <f aca="false">SUM(R1386:Z1386)</f>
        <v>162.99986</v>
      </c>
      <c r="AB1386" s="33" t="n">
        <f aca="false">INDEX(Premissas!$B$5:$B$13,MATCH(A1386,Premissas!$A$5:$A$13,0))</f>
        <v>0.07</v>
      </c>
      <c r="AC1386" s="32" t="n">
        <f aca="false">AA1386/(1-AB1386)-AA1386</f>
        <v>12.2688066666667</v>
      </c>
      <c r="AD1386" s="32" t="n">
        <f aca="false">ROUND(AA1386+AC1386,2)</f>
        <v>175.27</v>
      </c>
      <c r="AE1386" s="32" t="n">
        <f aca="false">AD1386-L1386</f>
        <v>-124.61</v>
      </c>
      <c r="AF1386" s="34" t="n">
        <f aca="false">IF(L1386=0,0,AE1386/L1386)</f>
        <v>-0.415532879818594</v>
      </c>
      <c r="AG1386" s="22" t="str">
        <f aca="false">IF(AD1386&lt;L1386,"PASSARO","ATUAL")</f>
        <v>PASSARO</v>
      </c>
      <c r="AH1386" s="22" t="str">
        <f aca="false">IF(P1386&lt;&gt;A1386,"Faixa cadastrada como "&amp;P1386&amp;" na tabela; preço aplicado pela UF do CEP","")</f>
        <v>Faixa cadastrada como PB na tabela; preço aplicado pela UF do CEP</v>
      </c>
      <c r="AI1386" s="26" t="n">
        <v>229.29</v>
      </c>
      <c r="AJ1386" s="22" t="str">
        <f aca="false">INDEX('Tabela Passaro'!$X$2:$X$1795,$N1386)</f>
        <v>CAPITAL</v>
      </c>
    </row>
    <row r="1387" customFormat="false" ht="15" hidden="false" customHeight="false" outlineLevel="0" collapsed="false">
      <c r="A1387" s="22" t="s">
        <v>20</v>
      </c>
      <c r="B1387" s="22" t="n">
        <v>3</v>
      </c>
      <c r="C1387" s="22" t="s">
        <v>151</v>
      </c>
      <c r="D1387" s="22" t="s">
        <v>30</v>
      </c>
      <c r="E1387" s="22" t="s">
        <v>7326</v>
      </c>
      <c r="F1387" s="22" t="n">
        <v>523732</v>
      </c>
      <c r="G1387" s="30" t="n">
        <v>46244</v>
      </c>
      <c r="H1387" s="22" t="n">
        <v>622527</v>
      </c>
      <c r="I1387" s="22" t="s">
        <v>8594</v>
      </c>
      <c r="J1387" s="31" t="n">
        <v>35.1</v>
      </c>
      <c r="K1387" s="26" t="n">
        <v>629.71</v>
      </c>
      <c r="L1387" s="26" t="n">
        <v>184.59</v>
      </c>
      <c r="M1387" s="22" t="s">
        <v>3929</v>
      </c>
      <c r="N1387" s="22" t="n">
        <f aca="false">MATCH(M1387,'Tabela Passaro'!$A$2:$A$1795,0)</f>
        <v>924</v>
      </c>
      <c r="O1387" s="22" t="str">
        <f aca="false">INDEX('Tabela Passaro'!$C$2:$C$1795,$N1387)</f>
        <v>PAULISTA</v>
      </c>
      <c r="P1387" s="22" t="str">
        <f aca="false">INDEX('Tabela Passaro'!$B$2:$B$1795,$N1387)</f>
        <v>PB</v>
      </c>
      <c r="Q1387" s="22" t="n">
        <f aca="false">INDEX('Tabela Passaro'!$F$2:$F$1795,$N1387)</f>
        <v>13</v>
      </c>
      <c r="R1387" s="32" t="n">
        <f aca="false">IF(J1387&lt;=10,INDEX('Tabela Passaro'!$G$2:$G$1795,$N1387),IF(J1387&lt;=30,INDEX('Tabela Passaro'!$H$2:$H$1795,$N1387),IF(J1387&lt;=50,INDEX('Tabela Passaro'!$I$2:$I$1795,$N1387),IF(J1387&lt;=70,INDEX('Tabela Passaro'!$J$2:$J$1795,$N1387),IF(J1387&lt;=100,INDEX('Tabela Passaro'!$K$2:$K$1795,$N1387),INDEX('Tabela Passaro'!$K$2:$K$1795,$N1387)+(J1387-100)*INDEX('Tabela Passaro'!$L$2:$L$1795,$N1387))))))</f>
        <v>88.59</v>
      </c>
      <c r="S1387" s="32" t="n">
        <f aca="false">K1387*INDEX('Tabela Passaro'!$M$2:$M$1795,$N1387)</f>
        <v>3.14855</v>
      </c>
      <c r="T1387" s="32" t="n">
        <f aca="false">K1387*INDEX('Tabela Passaro'!$N$2:$N$1795,$N1387)</f>
        <v>1.25942</v>
      </c>
      <c r="U1387" s="32" t="n">
        <f aca="false">INDEX('Tabela Passaro'!$O$2:$O$1795,$N1387)</f>
        <v>5</v>
      </c>
      <c r="V1387" s="32" t="n">
        <f aca="false">ROUNDUP(J1387/INDEX('Tabela Passaro'!$Q$2:$Q$1795,$N1387),0)*INDEX('Tabela Passaro'!$P$2:$P$1795,$N1387)</f>
        <v>5</v>
      </c>
      <c r="W1387" s="32" t="n">
        <f aca="false">INDEX('Tabela Passaro'!$R$2:$R$1795,$N1387)</f>
        <v>30</v>
      </c>
      <c r="X1387" s="32" t="n">
        <f aca="false">ROUNDUP(J1387/INDEX('Tabela Passaro'!$T$2:$T$1795,$N1387),0)*INDEX('Tabela Passaro'!$S$2:$S$1795,$N1387)</f>
        <v>0</v>
      </c>
      <c r="Y1387" s="32" t="n">
        <f aca="false">INDEX('Tabela Passaro'!$U$2:$U$1795,$N1387)</f>
        <v>0</v>
      </c>
      <c r="Z1387" s="32" t="n">
        <f aca="false">INDEX('Tabela Passaro'!$V$2:$V$1795,$N1387)</f>
        <v>0</v>
      </c>
      <c r="AA1387" s="32" t="n">
        <f aca="false">SUM(R1387:Z1387)</f>
        <v>132.99797</v>
      </c>
      <c r="AB1387" s="33" t="n">
        <f aca="false">INDEX(Premissas!$B$5:$B$13,MATCH(A1387,Premissas!$A$5:$A$13,0))</f>
        <v>0.07</v>
      </c>
      <c r="AC1387" s="32" t="n">
        <f aca="false">AA1387/(1-AB1387)-AA1387</f>
        <v>10.0105998924731</v>
      </c>
      <c r="AD1387" s="32" t="n">
        <f aca="false">ROUND(AA1387+AC1387,2)</f>
        <v>143.01</v>
      </c>
      <c r="AE1387" s="32" t="n">
        <f aca="false">AD1387-L1387</f>
        <v>-41.58</v>
      </c>
      <c r="AF1387" s="34" t="n">
        <f aca="false">IF(L1387=0,0,AE1387/L1387)</f>
        <v>-0.225255972696246</v>
      </c>
      <c r="AG1387" s="22" t="str">
        <f aca="false">IF(AD1387&lt;L1387,"PASSARO","ATUAL")</f>
        <v>PASSARO</v>
      </c>
      <c r="AH1387" s="22" t="str">
        <f aca="false">IF(P1387&lt;&gt;A1387,"Faixa cadastrada como "&amp;P1387&amp;" na tabela; preço aplicado pela UF do CEP","")</f>
        <v>Faixa cadastrada como PB na tabela; preço aplicado pela UF do CEP</v>
      </c>
      <c r="AI1387" s="26" t="n">
        <v>176.2</v>
      </c>
      <c r="AJ1387" s="22" t="str">
        <f aca="false">INDEX('Tabela Passaro'!$X$2:$X$1795,$N1387)</f>
        <v>CAPITAL</v>
      </c>
    </row>
    <row r="1388" customFormat="false" ht="15" hidden="false" customHeight="false" outlineLevel="0" collapsed="false">
      <c r="A1388" s="22" t="s">
        <v>20</v>
      </c>
      <c r="B1388" s="22" t="n">
        <v>3</v>
      </c>
      <c r="C1388" s="22" t="s">
        <v>151</v>
      </c>
      <c r="D1388" s="22" t="s">
        <v>30</v>
      </c>
      <c r="E1388" s="22" t="s">
        <v>20</v>
      </c>
      <c r="F1388" s="22" t="n">
        <v>838494</v>
      </c>
      <c r="G1388" s="30" t="n">
        <v>46245</v>
      </c>
      <c r="H1388" s="22" t="n">
        <v>32482</v>
      </c>
      <c r="I1388" s="22" t="s">
        <v>8595</v>
      </c>
      <c r="J1388" s="31" t="n">
        <v>29.59</v>
      </c>
      <c r="K1388" s="26" t="n">
        <v>605.73</v>
      </c>
      <c r="L1388" s="26" t="n">
        <v>87.08</v>
      </c>
      <c r="M1388" s="22" t="s">
        <v>3929</v>
      </c>
      <c r="N1388" s="22" t="n">
        <f aca="false">MATCH(M1388,'Tabela Passaro'!$A$2:$A$1795,0)</f>
        <v>924</v>
      </c>
      <c r="O1388" s="22" t="str">
        <f aca="false">INDEX('Tabela Passaro'!$C$2:$C$1795,$N1388)</f>
        <v>PAULISTA</v>
      </c>
      <c r="P1388" s="22" t="str">
        <f aca="false">INDEX('Tabela Passaro'!$B$2:$B$1795,$N1388)</f>
        <v>PB</v>
      </c>
      <c r="Q1388" s="22" t="n">
        <f aca="false">INDEX('Tabela Passaro'!$F$2:$F$1795,$N1388)</f>
        <v>13</v>
      </c>
      <c r="R1388" s="32" t="n">
        <f aca="false">IF(J1388&lt;=10,INDEX('Tabela Passaro'!$G$2:$G$1795,$N1388),IF(J1388&lt;=30,INDEX('Tabela Passaro'!$H$2:$H$1795,$N1388),IF(J1388&lt;=50,INDEX('Tabela Passaro'!$I$2:$I$1795,$N1388),IF(J1388&lt;=70,INDEX('Tabela Passaro'!$J$2:$J$1795,$N1388),IF(J1388&lt;=100,INDEX('Tabela Passaro'!$K$2:$K$1795,$N1388),INDEX('Tabela Passaro'!$K$2:$K$1795,$N1388)+(J1388-100)*INDEX('Tabela Passaro'!$L$2:$L$1795,$N1388))))))</f>
        <v>66.55</v>
      </c>
      <c r="S1388" s="32" t="n">
        <f aca="false">K1388*INDEX('Tabela Passaro'!$M$2:$M$1795,$N1388)</f>
        <v>3.02865</v>
      </c>
      <c r="T1388" s="32" t="n">
        <f aca="false">K1388*INDEX('Tabela Passaro'!$N$2:$N$1795,$N1388)</f>
        <v>1.21146</v>
      </c>
      <c r="U1388" s="32" t="n">
        <f aca="false">INDEX('Tabela Passaro'!$O$2:$O$1795,$N1388)</f>
        <v>5</v>
      </c>
      <c r="V1388" s="32" t="n">
        <f aca="false">ROUNDUP(J1388/INDEX('Tabela Passaro'!$Q$2:$Q$1795,$N1388),0)*INDEX('Tabela Passaro'!$P$2:$P$1795,$N1388)</f>
        <v>5</v>
      </c>
      <c r="W1388" s="32" t="n">
        <f aca="false">INDEX('Tabela Passaro'!$R$2:$R$1795,$N1388)</f>
        <v>30</v>
      </c>
      <c r="X1388" s="32" t="n">
        <f aca="false">ROUNDUP(J1388/INDEX('Tabela Passaro'!$T$2:$T$1795,$N1388),0)*INDEX('Tabela Passaro'!$S$2:$S$1795,$N1388)</f>
        <v>0</v>
      </c>
      <c r="Y1388" s="32" t="n">
        <f aca="false">INDEX('Tabela Passaro'!$U$2:$U$1795,$N1388)</f>
        <v>0</v>
      </c>
      <c r="Z1388" s="32" t="n">
        <f aca="false">INDEX('Tabela Passaro'!$V$2:$V$1795,$N1388)</f>
        <v>0</v>
      </c>
      <c r="AA1388" s="32" t="n">
        <f aca="false">SUM(R1388:Z1388)</f>
        <v>110.79011</v>
      </c>
      <c r="AB1388" s="33" t="n">
        <f aca="false">INDEX(Premissas!$B$5:$B$13,MATCH(A1388,Premissas!$A$5:$A$13,0))</f>
        <v>0.07</v>
      </c>
      <c r="AC1388" s="32" t="n">
        <f aca="false">AA1388/(1-AB1388)-AA1388</f>
        <v>8.33904053763442</v>
      </c>
      <c r="AD1388" s="32" t="n">
        <f aca="false">ROUND(AA1388+AC1388,2)</f>
        <v>119.13</v>
      </c>
      <c r="AE1388" s="32" t="n">
        <f aca="false">AD1388-L1388</f>
        <v>32.05</v>
      </c>
      <c r="AF1388" s="34" t="n">
        <f aca="false">IF(L1388=0,0,AE1388/L1388)</f>
        <v>0.36805236564079</v>
      </c>
      <c r="AG1388" s="22" t="str">
        <f aca="false">IF(AD1388&lt;L1388,"PASSARO","ATUAL")</f>
        <v>ATUAL</v>
      </c>
      <c r="AH1388" s="22" t="str">
        <f aca="false">IF(P1388&lt;&gt;A1388,"Faixa cadastrada como "&amp;P1388&amp;" na tabela; preço aplicado pela UF do CEP","")</f>
        <v>Faixa cadastrada como PB na tabela; preço aplicado pela UF do CEP</v>
      </c>
      <c r="AI1388" s="26" t="n">
        <v>148.01</v>
      </c>
      <c r="AJ1388" s="22" t="str">
        <f aca="false">INDEX('Tabela Passaro'!$X$2:$X$1795,$N1388)</f>
        <v>CAPITAL</v>
      </c>
    </row>
    <row r="1389" customFormat="false" ht="15" hidden="false" customHeight="false" outlineLevel="0" collapsed="false">
      <c r="A1389" s="22" t="s">
        <v>20</v>
      </c>
      <c r="B1389" s="22" t="n">
        <v>3</v>
      </c>
      <c r="C1389" s="22" t="s">
        <v>151</v>
      </c>
      <c r="D1389" s="22" t="s">
        <v>30</v>
      </c>
      <c r="E1389" s="22" t="s">
        <v>7326</v>
      </c>
      <c r="F1389" s="22" t="n">
        <v>523859</v>
      </c>
      <c r="G1389" s="30" t="n">
        <v>46245</v>
      </c>
      <c r="H1389" s="22" t="n">
        <v>623704</v>
      </c>
      <c r="I1389" s="22" t="s">
        <v>8596</v>
      </c>
      <c r="J1389" s="31" t="n">
        <v>56.2</v>
      </c>
      <c r="K1389" s="26" t="n">
        <v>1779.08</v>
      </c>
      <c r="L1389" s="26" t="n">
        <v>251.1</v>
      </c>
      <c r="M1389" s="22" t="s">
        <v>3929</v>
      </c>
      <c r="N1389" s="22" t="n">
        <f aca="false">MATCH(M1389,'Tabela Passaro'!$A$2:$A$1795,0)</f>
        <v>924</v>
      </c>
      <c r="O1389" s="22" t="str">
        <f aca="false">INDEX('Tabela Passaro'!$C$2:$C$1795,$N1389)</f>
        <v>PAULISTA</v>
      </c>
      <c r="P1389" s="22" t="str">
        <f aca="false">INDEX('Tabela Passaro'!$B$2:$B$1795,$N1389)</f>
        <v>PB</v>
      </c>
      <c r="Q1389" s="22" t="n">
        <f aca="false">INDEX('Tabela Passaro'!$F$2:$F$1795,$N1389)</f>
        <v>13</v>
      </c>
      <c r="R1389" s="32" t="n">
        <f aca="false">IF(J1389&lt;=10,INDEX('Tabela Passaro'!$G$2:$G$1795,$N1389),IF(J1389&lt;=30,INDEX('Tabela Passaro'!$H$2:$H$1795,$N1389),IF(J1389&lt;=50,INDEX('Tabela Passaro'!$I$2:$I$1795,$N1389),IF(J1389&lt;=70,INDEX('Tabela Passaro'!$J$2:$J$1795,$N1389),IF(J1389&lt;=100,INDEX('Tabela Passaro'!$K$2:$K$1795,$N1389),INDEX('Tabela Passaro'!$K$2:$K$1795,$N1389)+(J1389-100)*INDEX('Tabela Passaro'!$L$2:$L$1795,$N1389))))))</f>
        <v>99.61</v>
      </c>
      <c r="S1389" s="32" t="n">
        <f aca="false">K1389*INDEX('Tabela Passaro'!$M$2:$M$1795,$N1389)</f>
        <v>8.8954</v>
      </c>
      <c r="T1389" s="32" t="n">
        <f aca="false">K1389*INDEX('Tabela Passaro'!$N$2:$N$1795,$N1389)</f>
        <v>3.55816</v>
      </c>
      <c r="U1389" s="32" t="n">
        <f aca="false">INDEX('Tabela Passaro'!$O$2:$O$1795,$N1389)</f>
        <v>5</v>
      </c>
      <c r="V1389" s="32" t="n">
        <f aca="false">ROUNDUP(J1389/INDEX('Tabela Passaro'!$Q$2:$Q$1795,$N1389),0)*INDEX('Tabela Passaro'!$P$2:$P$1795,$N1389)</f>
        <v>5</v>
      </c>
      <c r="W1389" s="32" t="n">
        <f aca="false">INDEX('Tabela Passaro'!$R$2:$R$1795,$N1389)</f>
        <v>30</v>
      </c>
      <c r="X1389" s="32" t="n">
        <f aca="false">ROUNDUP(J1389/INDEX('Tabela Passaro'!$T$2:$T$1795,$N1389),0)*INDEX('Tabela Passaro'!$S$2:$S$1795,$N1389)</f>
        <v>0</v>
      </c>
      <c r="Y1389" s="32" t="n">
        <f aca="false">INDEX('Tabela Passaro'!$U$2:$U$1795,$N1389)</f>
        <v>0</v>
      </c>
      <c r="Z1389" s="32" t="n">
        <f aca="false">INDEX('Tabela Passaro'!$V$2:$V$1795,$N1389)</f>
        <v>0</v>
      </c>
      <c r="AA1389" s="32" t="n">
        <f aca="false">SUM(R1389:Z1389)</f>
        <v>152.06356</v>
      </c>
      <c r="AB1389" s="33" t="n">
        <f aca="false">INDEX(Premissas!$B$5:$B$13,MATCH(A1389,Premissas!$A$5:$A$13,0))</f>
        <v>0.07</v>
      </c>
      <c r="AC1389" s="32" t="n">
        <f aca="false">AA1389/(1-AB1389)-AA1389</f>
        <v>11.4456443010753</v>
      </c>
      <c r="AD1389" s="32" t="n">
        <f aca="false">ROUND(AA1389+AC1389,2)</f>
        <v>163.51</v>
      </c>
      <c r="AE1389" s="32" t="n">
        <f aca="false">AD1389-L1389</f>
        <v>-87.59</v>
      </c>
      <c r="AF1389" s="34" t="n">
        <f aca="false">IF(L1389=0,0,AE1389/L1389)</f>
        <v>-0.348825169255277</v>
      </c>
      <c r="AG1389" s="22" t="str">
        <f aca="false">IF(AD1389&lt;L1389,"PASSARO","ATUAL")</f>
        <v>PASSARO</v>
      </c>
      <c r="AH1389" s="22" t="str">
        <f aca="false">IF(P1389&lt;&gt;A1389,"Faixa cadastrada como "&amp;P1389&amp;" na tabela; preço aplicado pela UF do CEP","")</f>
        <v>Faixa cadastrada como PB na tabela; preço aplicado pela UF do CEP</v>
      </c>
      <c r="AI1389" s="26" t="n">
        <v>210</v>
      </c>
      <c r="AJ1389" s="22" t="str">
        <f aca="false">INDEX('Tabela Passaro'!$X$2:$X$1795,$N1389)</f>
        <v>CAPITAL</v>
      </c>
    </row>
    <row r="1390" customFormat="false" ht="15" hidden="false" customHeight="false" outlineLevel="0" collapsed="false">
      <c r="A1390" s="22" t="s">
        <v>20</v>
      </c>
      <c r="B1390" s="22" t="n">
        <v>3</v>
      </c>
      <c r="C1390" s="22" t="s">
        <v>151</v>
      </c>
      <c r="D1390" s="22" t="s">
        <v>30</v>
      </c>
      <c r="E1390" s="22" t="s">
        <v>7328</v>
      </c>
      <c r="F1390" s="22" t="n">
        <v>2311217</v>
      </c>
      <c r="G1390" s="30" t="n">
        <v>46246</v>
      </c>
      <c r="H1390" s="22" t="n">
        <v>132505</v>
      </c>
      <c r="I1390" s="22" t="s">
        <v>8597</v>
      </c>
      <c r="J1390" s="31" t="n">
        <v>45.56</v>
      </c>
      <c r="K1390" s="26" t="n">
        <v>714.98</v>
      </c>
      <c r="L1390" s="26" t="n">
        <v>164.96</v>
      </c>
      <c r="M1390" s="22" t="s">
        <v>3929</v>
      </c>
      <c r="N1390" s="22" t="n">
        <f aca="false">MATCH(M1390,'Tabela Passaro'!$A$2:$A$1795,0)</f>
        <v>924</v>
      </c>
      <c r="O1390" s="22" t="str">
        <f aca="false">INDEX('Tabela Passaro'!$C$2:$C$1795,$N1390)</f>
        <v>PAULISTA</v>
      </c>
      <c r="P1390" s="22" t="str">
        <f aca="false">INDEX('Tabela Passaro'!$B$2:$B$1795,$N1390)</f>
        <v>PB</v>
      </c>
      <c r="Q1390" s="22" t="n">
        <f aca="false">INDEX('Tabela Passaro'!$F$2:$F$1795,$N1390)</f>
        <v>13</v>
      </c>
      <c r="R1390" s="32" t="n">
        <f aca="false">IF(J1390&lt;=10,INDEX('Tabela Passaro'!$G$2:$G$1795,$N1390),IF(J1390&lt;=30,INDEX('Tabela Passaro'!$H$2:$H$1795,$N1390),IF(J1390&lt;=50,INDEX('Tabela Passaro'!$I$2:$I$1795,$N1390),IF(J1390&lt;=70,INDEX('Tabela Passaro'!$J$2:$J$1795,$N1390),IF(J1390&lt;=100,INDEX('Tabela Passaro'!$K$2:$K$1795,$N1390),INDEX('Tabela Passaro'!$K$2:$K$1795,$N1390)+(J1390-100)*INDEX('Tabela Passaro'!$L$2:$L$1795,$N1390))))))</f>
        <v>88.59</v>
      </c>
      <c r="S1390" s="32" t="n">
        <f aca="false">K1390*INDEX('Tabela Passaro'!$M$2:$M$1795,$N1390)</f>
        <v>3.5749</v>
      </c>
      <c r="T1390" s="32" t="n">
        <f aca="false">K1390*INDEX('Tabela Passaro'!$N$2:$N$1795,$N1390)</f>
        <v>1.42996</v>
      </c>
      <c r="U1390" s="32" t="n">
        <f aca="false">INDEX('Tabela Passaro'!$O$2:$O$1795,$N1390)</f>
        <v>5</v>
      </c>
      <c r="V1390" s="32" t="n">
        <f aca="false">ROUNDUP(J1390/INDEX('Tabela Passaro'!$Q$2:$Q$1795,$N1390),0)*INDEX('Tabela Passaro'!$P$2:$P$1795,$N1390)</f>
        <v>5</v>
      </c>
      <c r="W1390" s="32" t="n">
        <f aca="false">INDEX('Tabela Passaro'!$R$2:$R$1795,$N1390)</f>
        <v>30</v>
      </c>
      <c r="X1390" s="32" t="n">
        <f aca="false">ROUNDUP(J1390/INDEX('Tabela Passaro'!$T$2:$T$1795,$N1390),0)*INDEX('Tabela Passaro'!$S$2:$S$1795,$N1390)</f>
        <v>0</v>
      </c>
      <c r="Y1390" s="32" t="n">
        <f aca="false">INDEX('Tabela Passaro'!$U$2:$U$1795,$N1390)</f>
        <v>0</v>
      </c>
      <c r="Z1390" s="32" t="n">
        <f aca="false">INDEX('Tabela Passaro'!$V$2:$V$1795,$N1390)</f>
        <v>0</v>
      </c>
      <c r="AA1390" s="32" t="n">
        <f aca="false">SUM(R1390:Z1390)</f>
        <v>133.59486</v>
      </c>
      <c r="AB1390" s="33" t="n">
        <f aca="false">INDEX(Premissas!$B$5:$B$13,MATCH(A1390,Premissas!$A$5:$A$13,0))</f>
        <v>0.07</v>
      </c>
      <c r="AC1390" s="32" t="n">
        <f aca="false">AA1390/(1-AB1390)-AA1390</f>
        <v>10.0555270967742</v>
      </c>
      <c r="AD1390" s="32" t="n">
        <f aca="false">ROUND(AA1390+AC1390,2)</f>
        <v>143.65</v>
      </c>
      <c r="AE1390" s="32" t="n">
        <f aca="false">AD1390-L1390</f>
        <v>-21.31</v>
      </c>
      <c r="AF1390" s="34" t="n">
        <f aca="false">IF(L1390=0,0,AE1390/L1390)</f>
        <v>-0.129182832201746</v>
      </c>
      <c r="AG1390" s="22" t="str">
        <f aca="false">IF(AD1390&lt;L1390,"PASSARO","ATUAL")</f>
        <v>PASSARO</v>
      </c>
      <c r="AH1390" s="22" t="str">
        <f aca="false">IF(P1390&lt;&gt;A1390,"Faixa cadastrada como "&amp;P1390&amp;" na tabela; preço aplicado pela UF do CEP","")</f>
        <v>Faixa cadastrada como PB na tabela; preço aplicado pela UF do CEP</v>
      </c>
      <c r="AI1390" s="26" t="n">
        <v>181.87</v>
      </c>
      <c r="AJ1390" s="22" t="str">
        <f aca="false">INDEX('Tabela Passaro'!$X$2:$X$1795,$N1390)</f>
        <v>CAPITAL</v>
      </c>
    </row>
    <row r="1391" customFormat="false" ht="15" hidden="false" customHeight="false" outlineLevel="0" collapsed="false">
      <c r="A1391" s="22" t="s">
        <v>20</v>
      </c>
      <c r="B1391" s="22" t="n">
        <v>3</v>
      </c>
      <c r="C1391" s="22" t="s">
        <v>151</v>
      </c>
      <c r="D1391" s="22" t="s">
        <v>30</v>
      </c>
      <c r="E1391" s="22" t="s">
        <v>20</v>
      </c>
      <c r="F1391" s="22" t="n">
        <v>838975</v>
      </c>
      <c r="G1391" s="30" t="n">
        <v>46247</v>
      </c>
      <c r="H1391" s="22" t="n">
        <v>32504</v>
      </c>
      <c r="I1391" s="22" t="s">
        <v>8598</v>
      </c>
      <c r="J1391" s="31" t="n">
        <v>21.4</v>
      </c>
      <c r="K1391" s="26" t="n">
        <v>464.97</v>
      </c>
      <c r="L1391" s="26" t="n">
        <v>85.96</v>
      </c>
      <c r="M1391" s="22" t="s">
        <v>3929</v>
      </c>
      <c r="N1391" s="22" t="n">
        <f aca="false">MATCH(M1391,'Tabela Passaro'!$A$2:$A$1795,0)</f>
        <v>924</v>
      </c>
      <c r="O1391" s="22" t="str">
        <f aca="false">INDEX('Tabela Passaro'!$C$2:$C$1795,$N1391)</f>
        <v>PAULISTA</v>
      </c>
      <c r="P1391" s="22" t="str">
        <f aca="false">INDEX('Tabela Passaro'!$B$2:$B$1795,$N1391)</f>
        <v>PB</v>
      </c>
      <c r="Q1391" s="22" t="n">
        <f aca="false">INDEX('Tabela Passaro'!$F$2:$F$1795,$N1391)</f>
        <v>13</v>
      </c>
      <c r="R1391" s="32" t="n">
        <f aca="false">IF(J1391&lt;=10,INDEX('Tabela Passaro'!$G$2:$G$1795,$N1391),IF(J1391&lt;=30,INDEX('Tabela Passaro'!$H$2:$H$1795,$N1391),IF(J1391&lt;=50,INDEX('Tabela Passaro'!$I$2:$I$1795,$N1391),IF(J1391&lt;=70,INDEX('Tabela Passaro'!$J$2:$J$1795,$N1391),IF(J1391&lt;=100,INDEX('Tabela Passaro'!$K$2:$K$1795,$N1391),INDEX('Tabela Passaro'!$K$2:$K$1795,$N1391)+(J1391-100)*INDEX('Tabela Passaro'!$L$2:$L$1795,$N1391))))))</f>
        <v>66.55</v>
      </c>
      <c r="S1391" s="32" t="n">
        <f aca="false">K1391*INDEX('Tabela Passaro'!$M$2:$M$1795,$N1391)</f>
        <v>2.32485</v>
      </c>
      <c r="T1391" s="32" t="n">
        <f aca="false">K1391*INDEX('Tabela Passaro'!$N$2:$N$1795,$N1391)</f>
        <v>0.92994</v>
      </c>
      <c r="U1391" s="32" t="n">
        <f aca="false">INDEX('Tabela Passaro'!$O$2:$O$1795,$N1391)</f>
        <v>5</v>
      </c>
      <c r="V1391" s="32" t="n">
        <f aca="false">ROUNDUP(J1391/INDEX('Tabela Passaro'!$Q$2:$Q$1795,$N1391),0)*INDEX('Tabela Passaro'!$P$2:$P$1795,$N1391)</f>
        <v>5</v>
      </c>
      <c r="W1391" s="32" t="n">
        <f aca="false">INDEX('Tabela Passaro'!$R$2:$R$1795,$N1391)</f>
        <v>30</v>
      </c>
      <c r="X1391" s="32" t="n">
        <f aca="false">ROUNDUP(J1391/INDEX('Tabela Passaro'!$T$2:$T$1795,$N1391),0)*INDEX('Tabela Passaro'!$S$2:$S$1795,$N1391)</f>
        <v>0</v>
      </c>
      <c r="Y1391" s="32" t="n">
        <f aca="false">INDEX('Tabela Passaro'!$U$2:$U$1795,$N1391)</f>
        <v>0</v>
      </c>
      <c r="Z1391" s="32" t="n">
        <f aca="false">INDEX('Tabela Passaro'!$V$2:$V$1795,$N1391)</f>
        <v>0</v>
      </c>
      <c r="AA1391" s="32" t="n">
        <f aca="false">SUM(R1391:Z1391)</f>
        <v>109.80479</v>
      </c>
      <c r="AB1391" s="33" t="n">
        <f aca="false">INDEX(Premissas!$B$5:$B$13,MATCH(A1391,Premissas!$A$5:$A$13,0))</f>
        <v>0.07</v>
      </c>
      <c r="AC1391" s="32" t="n">
        <f aca="false">AA1391/(1-AB1391)-AA1391</f>
        <v>8.26487666666668</v>
      </c>
      <c r="AD1391" s="32" t="n">
        <f aca="false">ROUND(AA1391+AC1391,2)</f>
        <v>118.07</v>
      </c>
      <c r="AE1391" s="32" t="n">
        <f aca="false">AD1391-L1391</f>
        <v>32.11</v>
      </c>
      <c r="AF1391" s="34" t="n">
        <f aca="false">IF(L1391=0,0,AE1391/L1391)</f>
        <v>0.37354583527222</v>
      </c>
      <c r="AG1391" s="22" t="str">
        <f aca="false">IF(AD1391&lt;L1391,"PASSARO","ATUAL")</f>
        <v>ATUAL</v>
      </c>
      <c r="AH1391" s="22" t="str">
        <f aca="false">IF(P1391&lt;&gt;A1391,"Faixa cadastrada como "&amp;P1391&amp;" na tabela; preço aplicado pela UF do CEP","")</f>
        <v>Faixa cadastrada como PB na tabela; preço aplicado pela UF do CEP</v>
      </c>
      <c r="AI1391" s="26" t="n">
        <v>142.78</v>
      </c>
      <c r="AJ1391" s="22" t="str">
        <f aca="false">INDEX('Tabela Passaro'!$X$2:$X$1795,$N1391)</f>
        <v>CAPITAL</v>
      </c>
    </row>
    <row r="1392" customFormat="false" ht="15" hidden="false" customHeight="false" outlineLevel="0" collapsed="false">
      <c r="A1392" s="22" t="s">
        <v>20</v>
      </c>
      <c r="B1392" s="22" t="n">
        <v>3</v>
      </c>
      <c r="C1392" s="22" t="s">
        <v>151</v>
      </c>
      <c r="D1392" s="22" t="s">
        <v>30</v>
      </c>
      <c r="E1392" s="22" t="s">
        <v>7326</v>
      </c>
      <c r="F1392" s="22" t="n">
        <v>524693</v>
      </c>
      <c r="G1392" s="30" t="n">
        <v>46247</v>
      </c>
      <c r="H1392" s="22" t="n">
        <v>624554</v>
      </c>
      <c r="I1392" s="22" t="s">
        <v>8599</v>
      </c>
      <c r="J1392" s="31" t="n">
        <v>17.3</v>
      </c>
      <c r="K1392" s="26" t="n">
        <v>1199.87</v>
      </c>
      <c r="L1392" s="26" t="n">
        <v>141.81</v>
      </c>
      <c r="M1392" s="22" t="s">
        <v>3929</v>
      </c>
      <c r="N1392" s="22" t="n">
        <f aca="false">MATCH(M1392,'Tabela Passaro'!$A$2:$A$1795,0)</f>
        <v>924</v>
      </c>
      <c r="O1392" s="22" t="str">
        <f aca="false">INDEX('Tabela Passaro'!$C$2:$C$1795,$N1392)</f>
        <v>PAULISTA</v>
      </c>
      <c r="P1392" s="22" t="str">
        <f aca="false">INDEX('Tabela Passaro'!$B$2:$B$1795,$N1392)</f>
        <v>PB</v>
      </c>
      <c r="Q1392" s="22" t="n">
        <f aca="false">INDEX('Tabela Passaro'!$F$2:$F$1795,$N1392)</f>
        <v>13</v>
      </c>
      <c r="R1392" s="32" t="n">
        <f aca="false">IF(J1392&lt;=10,INDEX('Tabela Passaro'!$G$2:$G$1795,$N1392),IF(J1392&lt;=30,INDEX('Tabela Passaro'!$H$2:$H$1795,$N1392),IF(J1392&lt;=50,INDEX('Tabela Passaro'!$I$2:$I$1795,$N1392),IF(J1392&lt;=70,INDEX('Tabela Passaro'!$J$2:$J$1795,$N1392),IF(J1392&lt;=100,INDEX('Tabela Passaro'!$K$2:$K$1795,$N1392),INDEX('Tabela Passaro'!$K$2:$K$1795,$N1392)+(J1392-100)*INDEX('Tabela Passaro'!$L$2:$L$1795,$N1392))))))</f>
        <v>66.55</v>
      </c>
      <c r="S1392" s="32" t="n">
        <f aca="false">K1392*INDEX('Tabela Passaro'!$M$2:$M$1795,$N1392)</f>
        <v>5.99935</v>
      </c>
      <c r="T1392" s="32" t="n">
        <f aca="false">K1392*INDEX('Tabela Passaro'!$N$2:$N$1795,$N1392)</f>
        <v>2.39974</v>
      </c>
      <c r="U1392" s="32" t="n">
        <f aca="false">INDEX('Tabela Passaro'!$O$2:$O$1795,$N1392)</f>
        <v>5</v>
      </c>
      <c r="V1392" s="32" t="n">
        <f aca="false">ROUNDUP(J1392/INDEX('Tabela Passaro'!$Q$2:$Q$1795,$N1392),0)*INDEX('Tabela Passaro'!$P$2:$P$1795,$N1392)</f>
        <v>5</v>
      </c>
      <c r="W1392" s="32" t="n">
        <f aca="false">INDEX('Tabela Passaro'!$R$2:$R$1795,$N1392)</f>
        <v>30</v>
      </c>
      <c r="X1392" s="32" t="n">
        <f aca="false">ROUNDUP(J1392/INDEX('Tabela Passaro'!$T$2:$T$1795,$N1392),0)*INDEX('Tabela Passaro'!$S$2:$S$1795,$N1392)</f>
        <v>0</v>
      </c>
      <c r="Y1392" s="32" t="n">
        <f aca="false">INDEX('Tabela Passaro'!$U$2:$U$1795,$N1392)</f>
        <v>0</v>
      </c>
      <c r="Z1392" s="32" t="n">
        <f aca="false">INDEX('Tabela Passaro'!$V$2:$V$1795,$N1392)</f>
        <v>0</v>
      </c>
      <c r="AA1392" s="32" t="n">
        <f aca="false">SUM(R1392:Z1392)</f>
        <v>114.94909</v>
      </c>
      <c r="AB1392" s="33" t="n">
        <f aca="false">INDEX(Premissas!$B$5:$B$13,MATCH(A1392,Premissas!$A$5:$A$13,0))</f>
        <v>0.07</v>
      </c>
      <c r="AC1392" s="32" t="n">
        <f aca="false">AA1392/(1-AB1392)-AA1392</f>
        <v>8.65208204301077</v>
      </c>
      <c r="AD1392" s="32" t="n">
        <f aca="false">ROUND(AA1392+AC1392,2)</f>
        <v>123.6</v>
      </c>
      <c r="AE1392" s="32" t="n">
        <f aca="false">AD1392-L1392</f>
        <v>-18.21</v>
      </c>
      <c r="AF1392" s="34" t="n">
        <f aca="false">IF(L1392=0,0,AE1392/L1392)</f>
        <v>-0.128411254495452</v>
      </c>
      <c r="AG1392" s="22" t="str">
        <f aca="false">IF(AD1392&lt;L1392,"PASSARO","ATUAL")</f>
        <v>PASSARO</v>
      </c>
      <c r="AH1392" s="22" t="str">
        <f aca="false">IF(P1392&lt;&gt;A1392,"Faixa cadastrada como "&amp;P1392&amp;" na tabela; preço aplicado pela UF do CEP","")</f>
        <v>Faixa cadastrada como PB na tabela; preço aplicado pela UF do CEP</v>
      </c>
      <c r="AI1392" s="26" t="n">
        <v>147.96</v>
      </c>
      <c r="AJ1392" s="22" t="str">
        <f aca="false">INDEX('Tabela Passaro'!$X$2:$X$1795,$N1392)</f>
        <v>CAPITAL</v>
      </c>
    </row>
    <row r="1393" customFormat="false" ht="15" hidden="false" customHeight="false" outlineLevel="0" collapsed="false">
      <c r="A1393" s="22" t="s">
        <v>20</v>
      </c>
      <c r="B1393" s="22" t="n">
        <v>3</v>
      </c>
      <c r="C1393" s="22" t="s">
        <v>151</v>
      </c>
      <c r="D1393" s="22" t="s">
        <v>30</v>
      </c>
      <c r="E1393" s="22" t="s">
        <v>7328</v>
      </c>
      <c r="F1393" s="22" t="n">
        <v>2313255</v>
      </c>
      <c r="G1393" s="30" t="n">
        <v>46251</v>
      </c>
      <c r="H1393" s="22" t="n">
        <v>133674</v>
      </c>
      <c r="I1393" s="22" t="s">
        <v>8600</v>
      </c>
      <c r="J1393" s="31" t="n">
        <v>38.15</v>
      </c>
      <c r="K1393" s="26" t="n">
        <v>443.4</v>
      </c>
      <c r="L1393" s="26" t="n">
        <v>162.82</v>
      </c>
      <c r="M1393" s="22" t="s">
        <v>3929</v>
      </c>
      <c r="N1393" s="22" t="n">
        <f aca="false">MATCH(M1393,'Tabela Passaro'!$A$2:$A$1795,0)</f>
        <v>924</v>
      </c>
      <c r="O1393" s="22" t="str">
        <f aca="false">INDEX('Tabela Passaro'!$C$2:$C$1795,$N1393)</f>
        <v>PAULISTA</v>
      </c>
      <c r="P1393" s="22" t="str">
        <f aca="false">INDEX('Tabela Passaro'!$B$2:$B$1795,$N1393)</f>
        <v>PB</v>
      </c>
      <c r="Q1393" s="22" t="n">
        <f aca="false">INDEX('Tabela Passaro'!$F$2:$F$1795,$N1393)</f>
        <v>13</v>
      </c>
      <c r="R1393" s="32" t="n">
        <f aca="false">IF(J1393&lt;=10,INDEX('Tabela Passaro'!$G$2:$G$1795,$N1393),IF(J1393&lt;=30,INDEX('Tabela Passaro'!$H$2:$H$1795,$N1393),IF(J1393&lt;=50,INDEX('Tabela Passaro'!$I$2:$I$1795,$N1393),IF(J1393&lt;=70,INDEX('Tabela Passaro'!$J$2:$J$1795,$N1393),IF(J1393&lt;=100,INDEX('Tabela Passaro'!$K$2:$K$1795,$N1393),INDEX('Tabela Passaro'!$K$2:$K$1795,$N1393)+(J1393-100)*INDEX('Tabela Passaro'!$L$2:$L$1795,$N1393))))))</f>
        <v>88.59</v>
      </c>
      <c r="S1393" s="32" t="n">
        <f aca="false">K1393*INDEX('Tabela Passaro'!$M$2:$M$1795,$N1393)</f>
        <v>2.217</v>
      </c>
      <c r="T1393" s="32" t="n">
        <f aca="false">K1393*INDEX('Tabela Passaro'!$N$2:$N$1795,$N1393)</f>
        <v>0.8868</v>
      </c>
      <c r="U1393" s="32" t="n">
        <f aca="false">INDEX('Tabela Passaro'!$O$2:$O$1795,$N1393)</f>
        <v>5</v>
      </c>
      <c r="V1393" s="32" t="n">
        <f aca="false">ROUNDUP(J1393/INDEX('Tabela Passaro'!$Q$2:$Q$1795,$N1393),0)*INDEX('Tabela Passaro'!$P$2:$P$1795,$N1393)</f>
        <v>5</v>
      </c>
      <c r="W1393" s="32" t="n">
        <f aca="false">INDEX('Tabela Passaro'!$R$2:$R$1795,$N1393)</f>
        <v>30</v>
      </c>
      <c r="X1393" s="32" t="n">
        <f aca="false">ROUNDUP(J1393/INDEX('Tabela Passaro'!$T$2:$T$1795,$N1393),0)*INDEX('Tabela Passaro'!$S$2:$S$1795,$N1393)</f>
        <v>0</v>
      </c>
      <c r="Y1393" s="32" t="n">
        <f aca="false">INDEX('Tabela Passaro'!$U$2:$U$1795,$N1393)</f>
        <v>0</v>
      </c>
      <c r="Z1393" s="32" t="n">
        <f aca="false">INDEX('Tabela Passaro'!$V$2:$V$1795,$N1393)</f>
        <v>0</v>
      </c>
      <c r="AA1393" s="32" t="n">
        <f aca="false">SUM(R1393:Z1393)</f>
        <v>131.6938</v>
      </c>
      <c r="AB1393" s="33" t="n">
        <f aca="false">INDEX(Premissas!$B$5:$B$13,MATCH(A1393,Premissas!$A$5:$A$13,0))</f>
        <v>0.07</v>
      </c>
      <c r="AC1393" s="32" t="n">
        <f aca="false">AA1393/(1-AB1393)-AA1393</f>
        <v>9.91243655913979</v>
      </c>
      <c r="AD1393" s="32" t="n">
        <f aca="false">ROUND(AA1393+AC1393,2)</f>
        <v>141.61</v>
      </c>
      <c r="AE1393" s="32" t="n">
        <f aca="false">AD1393-L1393</f>
        <v>-21.21</v>
      </c>
      <c r="AF1393" s="34" t="n">
        <f aca="false">IF(L1393=0,0,AE1393/L1393)</f>
        <v>-0.130266552020636</v>
      </c>
      <c r="AG1393" s="22" t="str">
        <f aca="false">IF(AD1393&lt;L1393,"PASSARO","ATUAL")</f>
        <v>PASSARO</v>
      </c>
      <c r="AH1393" s="22" t="str">
        <f aca="false">IF(P1393&lt;&gt;A1393,"Faixa cadastrada como "&amp;P1393&amp;" na tabela; preço aplicado pela UF do CEP","")</f>
        <v>Faixa cadastrada como PB na tabela; preço aplicado pela UF do CEP</v>
      </c>
      <c r="AI1393" s="26" t="n">
        <v>175.85</v>
      </c>
      <c r="AJ1393" s="22" t="str">
        <f aca="false">INDEX('Tabela Passaro'!$X$2:$X$1795,$N1393)</f>
        <v>CAPITAL</v>
      </c>
    </row>
    <row r="1394" customFormat="false" ht="15" hidden="false" customHeight="false" outlineLevel="0" collapsed="false">
      <c r="A1394" s="22" t="s">
        <v>20</v>
      </c>
      <c r="B1394" s="22" t="n">
        <v>3</v>
      </c>
      <c r="C1394" s="22" t="s">
        <v>151</v>
      </c>
      <c r="D1394" s="22" t="s">
        <v>30</v>
      </c>
      <c r="E1394" s="22" t="s">
        <v>7326</v>
      </c>
      <c r="F1394" s="22" t="n">
        <v>525316</v>
      </c>
      <c r="G1394" s="30" t="n">
        <v>46251</v>
      </c>
      <c r="H1394" s="22" t="n">
        <v>621245</v>
      </c>
      <c r="I1394" s="22" t="s">
        <v>8601</v>
      </c>
      <c r="J1394" s="31" t="n">
        <v>12</v>
      </c>
      <c r="K1394" s="26" t="n">
        <v>438.85</v>
      </c>
      <c r="L1394" s="26" t="n">
        <v>86.55</v>
      </c>
      <c r="M1394" s="22" t="s">
        <v>3929</v>
      </c>
      <c r="N1394" s="22" t="n">
        <f aca="false">MATCH(M1394,'Tabela Passaro'!$A$2:$A$1795,0)</f>
        <v>924</v>
      </c>
      <c r="O1394" s="22" t="str">
        <f aca="false">INDEX('Tabela Passaro'!$C$2:$C$1795,$N1394)</f>
        <v>PAULISTA</v>
      </c>
      <c r="P1394" s="22" t="str">
        <f aca="false">INDEX('Tabela Passaro'!$B$2:$B$1795,$N1394)</f>
        <v>PB</v>
      </c>
      <c r="Q1394" s="22" t="n">
        <f aca="false">INDEX('Tabela Passaro'!$F$2:$F$1795,$N1394)</f>
        <v>13</v>
      </c>
      <c r="R1394" s="32" t="n">
        <f aca="false">IF(J1394&lt;=10,INDEX('Tabela Passaro'!$G$2:$G$1795,$N1394),IF(J1394&lt;=30,INDEX('Tabela Passaro'!$H$2:$H$1795,$N1394),IF(J1394&lt;=50,INDEX('Tabela Passaro'!$I$2:$I$1795,$N1394),IF(J1394&lt;=70,INDEX('Tabela Passaro'!$J$2:$J$1795,$N1394),IF(J1394&lt;=100,INDEX('Tabela Passaro'!$K$2:$K$1795,$N1394),INDEX('Tabela Passaro'!$K$2:$K$1795,$N1394)+(J1394-100)*INDEX('Tabela Passaro'!$L$2:$L$1795,$N1394))))))</f>
        <v>66.55</v>
      </c>
      <c r="S1394" s="32" t="n">
        <f aca="false">K1394*INDEX('Tabela Passaro'!$M$2:$M$1795,$N1394)</f>
        <v>2.19425</v>
      </c>
      <c r="T1394" s="32" t="n">
        <f aca="false">K1394*INDEX('Tabela Passaro'!$N$2:$N$1795,$N1394)</f>
        <v>0.8777</v>
      </c>
      <c r="U1394" s="32" t="n">
        <f aca="false">INDEX('Tabela Passaro'!$O$2:$O$1795,$N1394)</f>
        <v>5</v>
      </c>
      <c r="V1394" s="32" t="n">
        <f aca="false">ROUNDUP(J1394/INDEX('Tabela Passaro'!$Q$2:$Q$1795,$N1394),0)*INDEX('Tabela Passaro'!$P$2:$P$1795,$N1394)</f>
        <v>5</v>
      </c>
      <c r="W1394" s="32" t="n">
        <f aca="false">INDEX('Tabela Passaro'!$R$2:$R$1795,$N1394)</f>
        <v>30</v>
      </c>
      <c r="X1394" s="32" t="n">
        <f aca="false">ROUNDUP(J1394/INDEX('Tabela Passaro'!$T$2:$T$1795,$N1394),0)*INDEX('Tabela Passaro'!$S$2:$S$1795,$N1394)</f>
        <v>0</v>
      </c>
      <c r="Y1394" s="32" t="n">
        <f aca="false">INDEX('Tabela Passaro'!$U$2:$U$1795,$N1394)</f>
        <v>0</v>
      </c>
      <c r="Z1394" s="32" t="n">
        <f aca="false">INDEX('Tabela Passaro'!$V$2:$V$1795,$N1394)</f>
        <v>0</v>
      </c>
      <c r="AA1394" s="32" t="n">
        <f aca="false">SUM(R1394:Z1394)</f>
        <v>109.62195</v>
      </c>
      <c r="AB1394" s="33" t="n">
        <f aca="false">INDEX(Premissas!$B$5:$B$13,MATCH(A1394,Premissas!$A$5:$A$13,0))</f>
        <v>0.07</v>
      </c>
      <c r="AC1394" s="32" t="n">
        <f aca="false">AA1394/(1-AB1394)-AA1394</f>
        <v>8.25111451612904</v>
      </c>
      <c r="AD1394" s="32" t="n">
        <f aca="false">ROUND(AA1394+AC1394,2)</f>
        <v>117.87</v>
      </c>
      <c r="AE1394" s="32" t="n">
        <f aca="false">AD1394-L1394</f>
        <v>31.32</v>
      </c>
      <c r="AF1394" s="34" t="n">
        <f aca="false">IF(L1394=0,0,AE1394/L1394)</f>
        <v>0.361871750433276</v>
      </c>
      <c r="AG1394" s="22" t="str">
        <f aca="false">IF(AD1394&lt;L1394,"PASSARO","ATUAL")</f>
        <v>ATUAL</v>
      </c>
      <c r="AH1394" s="22" t="str">
        <f aca="false">IF(P1394&lt;&gt;A1394,"Faixa cadastrada como "&amp;P1394&amp;" na tabela; preço aplicado pela UF do CEP","")</f>
        <v>Faixa cadastrada como PB na tabela; preço aplicado pela UF do CEP</v>
      </c>
      <c r="AI1394" s="26" t="n">
        <v>137.69</v>
      </c>
      <c r="AJ1394" s="22" t="str">
        <f aca="false">INDEX('Tabela Passaro'!$X$2:$X$1795,$N1394)</f>
        <v>CAPITAL</v>
      </c>
    </row>
    <row r="1395" customFormat="false" ht="15" hidden="false" customHeight="false" outlineLevel="0" collapsed="false">
      <c r="A1395" s="22" t="s">
        <v>20</v>
      </c>
      <c r="B1395" s="22" t="n">
        <v>3</v>
      </c>
      <c r="C1395" s="22" t="s">
        <v>151</v>
      </c>
      <c r="D1395" s="22" t="s">
        <v>30</v>
      </c>
      <c r="E1395" s="22" t="s">
        <v>7326</v>
      </c>
      <c r="F1395" s="22" t="n">
        <v>525367</v>
      </c>
      <c r="G1395" s="30" t="n">
        <v>46251</v>
      </c>
      <c r="H1395" s="22" t="n">
        <v>625355</v>
      </c>
      <c r="I1395" s="22" t="s">
        <v>8602</v>
      </c>
      <c r="J1395" s="31" t="n">
        <v>29.2</v>
      </c>
      <c r="K1395" s="26" t="n">
        <v>497.65</v>
      </c>
      <c r="L1395" s="26" t="n">
        <v>135.83</v>
      </c>
      <c r="M1395" s="22" t="s">
        <v>3929</v>
      </c>
      <c r="N1395" s="22" t="n">
        <f aca="false">MATCH(M1395,'Tabela Passaro'!$A$2:$A$1795,0)</f>
        <v>924</v>
      </c>
      <c r="O1395" s="22" t="str">
        <f aca="false">INDEX('Tabela Passaro'!$C$2:$C$1795,$N1395)</f>
        <v>PAULISTA</v>
      </c>
      <c r="P1395" s="22" t="str">
        <f aca="false">INDEX('Tabela Passaro'!$B$2:$B$1795,$N1395)</f>
        <v>PB</v>
      </c>
      <c r="Q1395" s="22" t="n">
        <f aca="false">INDEX('Tabela Passaro'!$F$2:$F$1795,$N1395)</f>
        <v>13</v>
      </c>
      <c r="R1395" s="32" t="n">
        <f aca="false">IF(J1395&lt;=10,INDEX('Tabela Passaro'!$G$2:$G$1795,$N1395),IF(J1395&lt;=30,INDEX('Tabela Passaro'!$H$2:$H$1795,$N1395),IF(J1395&lt;=50,INDEX('Tabela Passaro'!$I$2:$I$1795,$N1395),IF(J1395&lt;=70,INDEX('Tabela Passaro'!$J$2:$J$1795,$N1395),IF(J1395&lt;=100,INDEX('Tabela Passaro'!$K$2:$K$1795,$N1395),INDEX('Tabela Passaro'!$K$2:$K$1795,$N1395)+(J1395-100)*INDEX('Tabela Passaro'!$L$2:$L$1795,$N1395))))))</f>
        <v>66.55</v>
      </c>
      <c r="S1395" s="32" t="n">
        <f aca="false">K1395*INDEX('Tabela Passaro'!$M$2:$M$1795,$N1395)</f>
        <v>2.48825</v>
      </c>
      <c r="T1395" s="32" t="n">
        <f aca="false">K1395*INDEX('Tabela Passaro'!$N$2:$N$1795,$N1395)</f>
        <v>0.9953</v>
      </c>
      <c r="U1395" s="32" t="n">
        <f aca="false">INDEX('Tabela Passaro'!$O$2:$O$1795,$N1395)</f>
        <v>5</v>
      </c>
      <c r="V1395" s="32" t="n">
        <f aca="false">ROUNDUP(J1395/INDEX('Tabela Passaro'!$Q$2:$Q$1795,$N1395),0)*INDEX('Tabela Passaro'!$P$2:$P$1795,$N1395)</f>
        <v>5</v>
      </c>
      <c r="W1395" s="32" t="n">
        <f aca="false">INDEX('Tabela Passaro'!$R$2:$R$1795,$N1395)</f>
        <v>30</v>
      </c>
      <c r="X1395" s="32" t="n">
        <f aca="false">ROUNDUP(J1395/INDEX('Tabela Passaro'!$T$2:$T$1795,$N1395),0)*INDEX('Tabela Passaro'!$S$2:$S$1795,$N1395)</f>
        <v>0</v>
      </c>
      <c r="Y1395" s="32" t="n">
        <f aca="false">INDEX('Tabela Passaro'!$U$2:$U$1795,$N1395)</f>
        <v>0</v>
      </c>
      <c r="Z1395" s="32" t="n">
        <f aca="false">INDEX('Tabela Passaro'!$V$2:$V$1795,$N1395)</f>
        <v>0</v>
      </c>
      <c r="AA1395" s="32" t="n">
        <f aca="false">SUM(R1395:Z1395)</f>
        <v>110.03355</v>
      </c>
      <c r="AB1395" s="33" t="n">
        <f aca="false">INDEX(Premissas!$B$5:$B$13,MATCH(A1395,Premissas!$A$5:$A$13,0))</f>
        <v>0.07</v>
      </c>
      <c r="AC1395" s="32" t="n">
        <f aca="false">AA1395/(1-AB1395)-AA1395</f>
        <v>8.28209516129033</v>
      </c>
      <c r="AD1395" s="32" t="n">
        <f aca="false">ROUND(AA1395+AC1395,2)</f>
        <v>118.32</v>
      </c>
      <c r="AE1395" s="32" t="n">
        <f aca="false">AD1395-L1395</f>
        <v>-17.51</v>
      </c>
      <c r="AF1395" s="34" t="n">
        <f aca="false">IF(L1395=0,0,AE1395/L1395)</f>
        <v>-0.128911138923655</v>
      </c>
      <c r="AG1395" s="22" t="str">
        <f aca="false">IF(AD1395&lt;L1395,"PASSARO","ATUAL")</f>
        <v>PASSARO</v>
      </c>
      <c r="AH1395" s="22" t="str">
        <f aca="false">IF(P1395&lt;&gt;A1395,"Faixa cadastrada como "&amp;P1395&amp;" na tabela; preço aplicado pela UF do CEP","")</f>
        <v>Faixa cadastrada como PB na tabela; preço aplicado pela UF do CEP</v>
      </c>
      <c r="AI1395" s="26" t="n">
        <v>146.97</v>
      </c>
      <c r="AJ1395" s="22" t="str">
        <f aca="false">INDEX('Tabela Passaro'!$X$2:$X$1795,$N1395)</f>
        <v>CAPITAL</v>
      </c>
    </row>
    <row r="1396" customFormat="false" ht="15" hidden="false" customHeight="false" outlineLevel="0" collapsed="false">
      <c r="A1396" s="22" t="s">
        <v>20</v>
      </c>
      <c r="B1396" s="22" t="n">
        <v>3</v>
      </c>
      <c r="C1396" s="22" t="s">
        <v>151</v>
      </c>
      <c r="D1396" s="22" t="s">
        <v>30</v>
      </c>
      <c r="E1396" s="22" t="s">
        <v>7326</v>
      </c>
      <c r="F1396" s="22" t="n">
        <v>525727</v>
      </c>
      <c r="G1396" s="30" t="n">
        <v>46252</v>
      </c>
      <c r="H1396" s="22" t="n">
        <v>626345</v>
      </c>
      <c r="I1396" s="22" t="s">
        <v>8603</v>
      </c>
      <c r="J1396" s="31" t="n">
        <v>24.4</v>
      </c>
      <c r="K1396" s="26" t="n">
        <v>519.98</v>
      </c>
      <c r="L1396" s="26" t="n">
        <v>136.01</v>
      </c>
      <c r="M1396" s="22" t="s">
        <v>3929</v>
      </c>
      <c r="N1396" s="22" t="n">
        <f aca="false">MATCH(M1396,'Tabela Passaro'!$A$2:$A$1795,0)</f>
        <v>924</v>
      </c>
      <c r="O1396" s="22" t="str">
        <f aca="false">INDEX('Tabela Passaro'!$C$2:$C$1795,$N1396)</f>
        <v>PAULISTA</v>
      </c>
      <c r="P1396" s="22" t="str">
        <f aca="false">INDEX('Tabela Passaro'!$B$2:$B$1795,$N1396)</f>
        <v>PB</v>
      </c>
      <c r="Q1396" s="22" t="n">
        <f aca="false">INDEX('Tabela Passaro'!$F$2:$F$1795,$N1396)</f>
        <v>13</v>
      </c>
      <c r="R1396" s="32" t="n">
        <f aca="false">IF(J1396&lt;=10,INDEX('Tabela Passaro'!$G$2:$G$1795,$N1396),IF(J1396&lt;=30,INDEX('Tabela Passaro'!$H$2:$H$1795,$N1396),IF(J1396&lt;=50,INDEX('Tabela Passaro'!$I$2:$I$1795,$N1396),IF(J1396&lt;=70,INDEX('Tabela Passaro'!$J$2:$J$1795,$N1396),IF(J1396&lt;=100,INDEX('Tabela Passaro'!$K$2:$K$1795,$N1396),INDEX('Tabela Passaro'!$K$2:$K$1795,$N1396)+(J1396-100)*INDEX('Tabela Passaro'!$L$2:$L$1795,$N1396))))))</f>
        <v>66.55</v>
      </c>
      <c r="S1396" s="32" t="n">
        <f aca="false">K1396*INDEX('Tabela Passaro'!$M$2:$M$1795,$N1396)</f>
        <v>2.5999</v>
      </c>
      <c r="T1396" s="32" t="n">
        <f aca="false">K1396*INDEX('Tabela Passaro'!$N$2:$N$1795,$N1396)</f>
        <v>1.03996</v>
      </c>
      <c r="U1396" s="32" t="n">
        <f aca="false">INDEX('Tabela Passaro'!$O$2:$O$1795,$N1396)</f>
        <v>5</v>
      </c>
      <c r="V1396" s="32" t="n">
        <f aca="false">ROUNDUP(J1396/INDEX('Tabela Passaro'!$Q$2:$Q$1795,$N1396),0)*INDEX('Tabela Passaro'!$P$2:$P$1795,$N1396)</f>
        <v>5</v>
      </c>
      <c r="W1396" s="32" t="n">
        <f aca="false">INDEX('Tabela Passaro'!$R$2:$R$1795,$N1396)</f>
        <v>30</v>
      </c>
      <c r="X1396" s="32" t="n">
        <f aca="false">ROUNDUP(J1396/INDEX('Tabela Passaro'!$T$2:$T$1795,$N1396),0)*INDEX('Tabela Passaro'!$S$2:$S$1795,$N1396)</f>
        <v>0</v>
      </c>
      <c r="Y1396" s="32" t="n">
        <f aca="false">INDEX('Tabela Passaro'!$U$2:$U$1795,$N1396)</f>
        <v>0</v>
      </c>
      <c r="Z1396" s="32" t="n">
        <f aca="false">INDEX('Tabela Passaro'!$V$2:$V$1795,$N1396)</f>
        <v>0</v>
      </c>
      <c r="AA1396" s="32" t="n">
        <f aca="false">SUM(R1396:Z1396)</f>
        <v>110.18986</v>
      </c>
      <c r="AB1396" s="33" t="n">
        <f aca="false">INDEX(Premissas!$B$5:$B$13,MATCH(A1396,Premissas!$A$5:$A$13,0))</f>
        <v>0.07</v>
      </c>
      <c r="AC1396" s="32" t="n">
        <f aca="false">AA1396/(1-AB1396)-AA1396</f>
        <v>8.29386043010753</v>
      </c>
      <c r="AD1396" s="32" t="n">
        <f aca="false">ROUND(AA1396+AC1396,2)</f>
        <v>118.48</v>
      </c>
      <c r="AE1396" s="32" t="n">
        <f aca="false">AD1396-L1396</f>
        <v>-17.53</v>
      </c>
      <c r="AF1396" s="34" t="n">
        <f aca="false">IF(L1396=0,0,AE1396/L1396)</f>
        <v>-0.128887581795456</v>
      </c>
      <c r="AG1396" s="22" t="str">
        <f aca="false">IF(AD1396&lt;L1396,"PASSARO","ATUAL")</f>
        <v>PASSARO</v>
      </c>
      <c r="AH1396" s="22" t="str">
        <f aca="false">IF(P1396&lt;&gt;A1396,"Faixa cadastrada como "&amp;P1396&amp;" na tabela; preço aplicado pela UF do CEP","")</f>
        <v>Faixa cadastrada como PB na tabela; preço aplicado pela UF do CEP</v>
      </c>
      <c r="AI1396" s="26" t="n">
        <v>144.76</v>
      </c>
      <c r="AJ1396" s="22" t="str">
        <f aca="false">INDEX('Tabela Passaro'!$X$2:$X$1795,$N1396)</f>
        <v>CAPITAL</v>
      </c>
    </row>
    <row r="1397" customFormat="false" ht="15" hidden="false" customHeight="false" outlineLevel="0" collapsed="false">
      <c r="A1397" s="22" t="s">
        <v>20</v>
      </c>
      <c r="B1397" s="22" t="n">
        <v>3</v>
      </c>
      <c r="C1397" s="22" t="s">
        <v>151</v>
      </c>
      <c r="D1397" s="22" t="s">
        <v>30</v>
      </c>
      <c r="E1397" s="22" t="s">
        <v>7328</v>
      </c>
      <c r="F1397" s="22" t="n">
        <v>2313766</v>
      </c>
      <c r="G1397" s="30" t="n">
        <v>46253</v>
      </c>
      <c r="H1397" s="22" t="n">
        <v>133875</v>
      </c>
      <c r="I1397" s="22" t="s">
        <v>8604</v>
      </c>
      <c r="J1397" s="31" t="n">
        <v>59.9</v>
      </c>
      <c r="K1397" s="26" t="n">
        <v>1069.98</v>
      </c>
      <c r="L1397" s="26" t="n">
        <v>211.02</v>
      </c>
      <c r="M1397" s="22" t="s">
        <v>3929</v>
      </c>
      <c r="N1397" s="22" t="n">
        <f aca="false">MATCH(M1397,'Tabela Passaro'!$A$2:$A$1795,0)</f>
        <v>924</v>
      </c>
      <c r="O1397" s="22" t="str">
        <f aca="false">INDEX('Tabela Passaro'!$C$2:$C$1795,$N1397)</f>
        <v>PAULISTA</v>
      </c>
      <c r="P1397" s="22" t="str">
        <f aca="false">INDEX('Tabela Passaro'!$B$2:$B$1795,$N1397)</f>
        <v>PB</v>
      </c>
      <c r="Q1397" s="22" t="n">
        <f aca="false">INDEX('Tabela Passaro'!$F$2:$F$1795,$N1397)</f>
        <v>13</v>
      </c>
      <c r="R1397" s="32" t="n">
        <f aca="false">IF(J1397&lt;=10,INDEX('Tabela Passaro'!$G$2:$G$1795,$N1397),IF(J1397&lt;=30,INDEX('Tabela Passaro'!$H$2:$H$1795,$N1397),IF(J1397&lt;=50,INDEX('Tabela Passaro'!$I$2:$I$1795,$N1397),IF(J1397&lt;=70,INDEX('Tabela Passaro'!$J$2:$J$1795,$N1397),IF(J1397&lt;=100,INDEX('Tabela Passaro'!$K$2:$K$1795,$N1397),INDEX('Tabela Passaro'!$K$2:$K$1795,$N1397)+(J1397-100)*INDEX('Tabela Passaro'!$L$2:$L$1795,$N1397))))))</f>
        <v>99.61</v>
      </c>
      <c r="S1397" s="32" t="n">
        <f aca="false">K1397*INDEX('Tabela Passaro'!$M$2:$M$1795,$N1397)</f>
        <v>5.3499</v>
      </c>
      <c r="T1397" s="32" t="n">
        <f aca="false">K1397*INDEX('Tabela Passaro'!$N$2:$N$1795,$N1397)</f>
        <v>2.13996</v>
      </c>
      <c r="U1397" s="32" t="n">
        <f aca="false">INDEX('Tabela Passaro'!$O$2:$O$1795,$N1397)</f>
        <v>5</v>
      </c>
      <c r="V1397" s="32" t="n">
        <f aca="false">ROUNDUP(J1397/INDEX('Tabela Passaro'!$Q$2:$Q$1795,$N1397),0)*INDEX('Tabela Passaro'!$P$2:$P$1795,$N1397)</f>
        <v>5</v>
      </c>
      <c r="W1397" s="32" t="n">
        <f aca="false">INDEX('Tabela Passaro'!$R$2:$R$1795,$N1397)</f>
        <v>30</v>
      </c>
      <c r="X1397" s="32" t="n">
        <f aca="false">ROUNDUP(J1397/INDEX('Tabela Passaro'!$T$2:$T$1795,$N1397),0)*INDEX('Tabela Passaro'!$S$2:$S$1795,$N1397)</f>
        <v>0</v>
      </c>
      <c r="Y1397" s="32" t="n">
        <f aca="false">INDEX('Tabela Passaro'!$U$2:$U$1795,$N1397)</f>
        <v>0</v>
      </c>
      <c r="Z1397" s="32" t="n">
        <f aca="false">INDEX('Tabela Passaro'!$V$2:$V$1795,$N1397)</f>
        <v>0</v>
      </c>
      <c r="AA1397" s="32" t="n">
        <f aca="false">SUM(R1397:Z1397)</f>
        <v>147.09986</v>
      </c>
      <c r="AB1397" s="33" t="n">
        <f aca="false">INDEX(Premissas!$B$5:$B$13,MATCH(A1397,Premissas!$A$5:$A$13,0))</f>
        <v>0.07</v>
      </c>
      <c r="AC1397" s="32" t="n">
        <f aca="false">AA1397/(1-AB1397)-AA1397</f>
        <v>11.0720324731183</v>
      </c>
      <c r="AD1397" s="32" t="n">
        <f aca="false">ROUND(AA1397+AC1397,2)</f>
        <v>158.17</v>
      </c>
      <c r="AE1397" s="32" t="n">
        <f aca="false">AD1397-L1397</f>
        <v>-52.85</v>
      </c>
      <c r="AF1397" s="34" t="n">
        <f aca="false">IF(L1397=0,0,AE1397/L1397)</f>
        <v>-0.25045019429438</v>
      </c>
      <c r="AG1397" s="22" t="str">
        <f aca="false">IF(AD1397&lt;L1397,"PASSARO","ATUAL")</f>
        <v>PASSARO</v>
      </c>
      <c r="AH1397" s="22" t="str">
        <f aca="false">IF(P1397&lt;&gt;A1397,"Faixa cadastrada como "&amp;P1397&amp;" na tabela; preço aplicado pela UF do CEP","")</f>
        <v>Faixa cadastrada como PB na tabela; preço aplicado pela UF do CEP</v>
      </c>
      <c r="AI1397" s="26" t="n">
        <v>204.59</v>
      </c>
      <c r="AJ1397" s="22" t="str">
        <f aca="false">INDEX('Tabela Passaro'!$X$2:$X$1795,$N1397)</f>
        <v>CAPITAL</v>
      </c>
    </row>
    <row r="1398" customFormat="false" ht="15" hidden="false" customHeight="false" outlineLevel="0" collapsed="false">
      <c r="A1398" s="22" t="s">
        <v>20</v>
      </c>
      <c r="B1398" s="22" t="n">
        <v>3</v>
      </c>
      <c r="C1398" s="22" t="s">
        <v>151</v>
      </c>
      <c r="D1398" s="22" t="s">
        <v>30</v>
      </c>
      <c r="E1398" s="22" t="s">
        <v>7326</v>
      </c>
      <c r="F1398" s="22" t="n">
        <v>526104</v>
      </c>
      <c r="G1398" s="30" t="n">
        <v>46253</v>
      </c>
      <c r="H1398" s="22" t="n">
        <v>627002</v>
      </c>
      <c r="I1398" s="22" t="s">
        <v>8605</v>
      </c>
      <c r="J1398" s="31" t="n">
        <v>21.75</v>
      </c>
      <c r="K1398" s="26" t="n">
        <v>595.99</v>
      </c>
      <c r="L1398" s="26" t="n">
        <v>136.67</v>
      </c>
      <c r="M1398" s="22" t="s">
        <v>3929</v>
      </c>
      <c r="N1398" s="22" t="n">
        <f aca="false">MATCH(M1398,'Tabela Passaro'!$A$2:$A$1795,0)</f>
        <v>924</v>
      </c>
      <c r="O1398" s="22" t="str">
        <f aca="false">INDEX('Tabela Passaro'!$C$2:$C$1795,$N1398)</f>
        <v>PAULISTA</v>
      </c>
      <c r="P1398" s="22" t="str">
        <f aca="false">INDEX('Tabela Passaro'!$B$2:$B$1795,$N1398)</f>
        <v>PB</v>
      </c>
      <c r="Q1398" s="22" t="n">
        <f aca="false">INDEX('Tabela Passaro'!$F$2:$F$1795,$N1398)</f>
        <v>13</v>
      </c>
      <c r="R1398" s="32" t="n">
        <f aca="false">IF(J1398&lt;=10,INDEX('Tabela Passaro'!$G$2:$G$1795,$N1398),IF(J1398&lt;=30,INDEX('Tabela Passaro'!$H$2:$H$1795,$N1398),IF(J1398&lt;=50,INDEX('Tabela Passaro'!$I$2:$I$1795,$N1398),IF(J1398&lt;=70,INDEX('Tabela Passaro'!$J$2:$J$1795,$N1398),IF(J1398&lt;=100,INDEX('Tabela Passaro'!$K$2:$K$1795,$N1398),INDEX('Tabela Passaro'!$K$2:$K$1795,$N1398)+(J1398-100)*INDEX('Tabela Passaro'!$L$2:$L$1795,$N1398))))))</f>
        <v>66.55</v>
      </c>
      <c r="S1398" s="32" t="n">
        <f aca="false">K1398*INDEX('Tabela Passaro'!$M$2:$M$1795,$N1398)</f>
        <v>2.97995</v>
      </c>
      <c r="T1398" s="32" t="n">
        <f aca="false">K1398*INDEX('Tabela Passaro'!$N$2:$N$1795,$N1398)</f>
        <v>1.19198</v>
      </c>
      <c r="U1398" s="32" t="n">
        <f aca="false">INDEX('Tabela Passaro'!$O$2:$O$1795,$N1398)</f>
        <v>5</v>
      </c>
      <c r="V1398" s="32" t="n">
        <f aca="false">ROUNDUP(J1398/INDEX('Tabela Passaro'!$Q$2:$Q$1795,$N1398),0)*INDEX('Tabela Passaro'!$P$2:$P$1795,$N1398)</f>
        <v>5</v>
      </c>
      <c r="W1398" s="32" t="n">
        <f aca="false">INDEX('Tabela Passaro'!$R$2:$R$1795,$N1398)</f>
        <v>30</v>
      </c>
      <c r="X1398" s="32" t="n">
        <f aca="false">ROUNDUP(J1398/INDEX('Tabela Passaro'!$T$2:$T$1795,$N1398),0)*INDEX('Tabela Passaro'!$S$2:$S$1795,$N1398)</f>
        <v>0</v>
      </c>
      <c r="Y1398" s="32" t="n">
        <f aca="false">INDEX('Tabela Passaro'!$U$2:$U$1795,$N1398)</f>
        <v>0</v>
      </c>
      <c r="Z1398" s="32" t="n">
        <f aca="false">INDEX('Tabela Passaro'!$V$2:$V$1795,$N1398)</f>
        <v>0</v>
      </c>
      <c r="AA1398" s="32" t="n">
        <f aca="false">SUM(R1398:Z1398)</f>
        <v>110.72193</v>
      </c>
      <c r="AB1398" s="33" t="n">
        <f aca="false">INDEX(Premissas!$B$5:$B$13,MATCH(A1398,Premissas!$A$5:$A$13,0))</f>
        <v>0.07</v>
      </c>
      <c r="AC1398" s="32" t="n">
        <f aca="false">AA1398/(1-AB1398)-AA1398</f>
        <v>8.33390870967743</v>
      </c>
      <c r="AD1398" s="32" t="n">
        <f aca="false">ROUND(AA1398+AC1398,2)</f>
        <v>119.06</v>
      </c>
      <c r="AE1398" s="32" t="n">
        <f aca="false">AD1398-L1398</f>
        <v>-17.61</v>
      </c>
      <c r="AF1398" s="34" t="n">
        <f aca="false">IF(L1398=0,0,AE1398/L1398)</f>
        <v>-0.128850515841077</v>
      </c>
      <c r="AG1398" s="22" t="str">
        <f aca="false">IF(AD1398&lt;L1398,"PASSARO","ATUAL")</f>
        <v>PASSARO</v>
      </c>
      <c r="AH1398" s="22" t="str">
        <f aca="false">IF(P1398&lt;&gt;A1398,"Faixa cadastrada como "&amp;P1398&amp;" na tabela; preço aplicado pela UF do CEP","")</f>
        <v>Faixa cadastrada como PB na tabela; preço aplicado pela UF do CEP</v>
      </c>
      <c r="AI1398" s="26" t="n">
        <v>144.05</v>
      </c>
      <c r="AJ1398" s="22" t="str">
        <f aca="false">INDEX('Tabela Passaro'!$X$2:$X$1795,$N1398)</f>
        <v>CAPITAL</v>
      </c>
    </row>
    <row r="1399" customFormat="false" ht="15" hidden="false" customHeight="false" outlineLevel="0" collapsed="false">
      <c r="A1399" s="22" t="s">
        <v>20</v>
      </c>
      <c r="B1399" s="22" t="n">
        <v>3</v>
      </c>
      <c r="C1399" s="22" t="s">
        <v>151</v>
      </c>
      <c r="D1399" s="22" t="s">
        <v>30</v>
      </c>
      <c r="E1399" s="22" t="s">
        <v>7326</v>
      </c>
      <c r="F1399" s="22" t="n">
        <v>526121</v>
      </c>
      <c r="G1399" s="30" t="n">
        <v>46253</v>
      </c>
      <c r="H1399" s="22" t="n">
        <v>627017</v>
      </c>
      <c r="I1399" s="22" t="s">
        <v>8606</v>
      </c>
      <c r="J1399" s="31" t="n">
        <v>14.28</v>
      </c>
      <c r="K1399" s="26" t="n">
        <v>1078.66</v>
      </c>
      <c r="L1399" s="26" t="n">
        <v>91.99</v>
      </c>
      <c r="M1399" s="22" t="s">
        <v>3929</v>
      </c>
      <c r="N1399" s="22" t="n">
        <f aca="false">MATCH(M1399,'Tabela Passaro'!$A$2:$A$1795,0)</f>
        <v>924</v>
      </c>
      <c r="O1399" s="22" t="str">
        <f aca="false">INDEX('Tabela Passaro'!$C$2:$C$1795,$N1399)</f>
        <v>PAULISTA</v>
      </c>
      <c r="P1399" s="22" t="str">
        <f aca="false">INDEX('Tabela Passaro'!$B$2:$B$1795,$N1399)</f>
        <v>PB</v>
      </c>
      <c r="Q1399" s="22" t="n">
        <f aca="false">INDEX('Tabela Passaro'!$F$2:$F$1795,$N1399)</f>
        <v>13</v>
      </c>
      <c r="R1399" s="32" t="n">
        <f aca="false">IF(J1399&lt;=10,INDEX('Tabela Passaro'!$G$2:$G$1795,$N1399),IF(J1399&lt;=30,INDEX('Tabela Passaro'!$H$2:$H$1795,$N1399),IF(J1399&lt;=50,INDEX('Tabela Passaro'!$I$2:$I$1795,$N1399),IF(J1399&lt;=70,INDEX('Tabela Passaro'!$J$2:$J$1795,$N1399),IF(J1399&lt;=100,INDEX('Tabela Passaro'!$K$2:$K$1795,$N1399),INDEX('Tabela Passaro'!$K$2:$K$1795,$N1399)+(J1399-100)*INDEX('Tabela Passaro'!$L$2:$L$1795,$N1399))))))</f>
        <v>66.55</v>
      </c>
      <c r="S1399" s="32" t="n">
        <f aca="false">K1399*INDEX('Tabela Passaro'!$M$2:$M$1795,$N1399)</f>
        <v>5.3933</v>
      </c>
      <c r="T1399" s="32" t="n">
        <f aca="false">K1399*INDEX('Tabela Passaro'!$N$2:$N$1795,$N1399)</f>
        <v>2.15732</v>
      </c>
      <c r="U1399" s="32" t="n">
        <f aca="false">INDEX('Tabela Passaro'!$O$2:$O$1795,$N1399)</f>
        <v>5</v>
      </c>
      <c r="V1399" s="32" t="n">
        <f aca="false">ROUNDUP(J1399/INDEX('Tabela Passaro'!$Q$2:$Q$1795,$N1399),0)*INDEX('Tabela Passaro'!$P$2:$P$1795,$N1399)</f>
        <v>5</v>
      </c>
      <c r="W1399" s="32" t="n">
        <f aca="false">INDEX('Tabela Passaro'!$R$2:$R$1795,$N1399)</f>
        <v>30</v>
      </c>
      <c r="X1399" s="32" t="n">
        <f aca="false">ROUNDUP(J1399/INDEX('Tabela Passaro'!$T$2:$T$1795,$N1399),0)*INDEX('Tabela Passaro'!$S$2:$S$1795,$N1399)</f>
        <v>0</v>
      </c>
      <c r="Y1399" s="32" t="n">
        <f aca="false">INDEX('Tabela Passaro'!$U$2:$U$1795,$N1399)</f>
        <v>0</v>
      </c>
      <c r="Z1399" s="32" t="n">
        <f aca="false">INDEX('Tabela Passaro'!$V$2:$V$1795,$N1399)</f>
        <v>0</v>
      </c>
      <c r="AA1399" s="32" t="n">
        <f aca="false">SUM(R1399:Z1399)</f>
        <v>114.10062</v>
      </c>
      <c r="AB1399" s="33" t="n">
        <f aca="false">INDEX(Premissas!$B$5:$B$13,MATCH(A1399,Premissas!$A$5:$A$13,0))</f>
        <v>0.07</v>
      </c>
      <c r="AC1399" s="32" t="n">
        <f aca="false">AA1399/(1-AB1399)-AA1399</f>
        <v>8.58821870967742</v>
      </c>
      <c r="AD1399" s="32" t="n">
        <f aca="false">ROUND(AA1399+AC1399,2)</f>
        <v>122.69</v>
      </c>
      <c r="AE1399" s="32" t="n">
        <f aca="false">AD1399-L1399</f>
        <v>30.7</v>
      </c>
      <c r="AF1399" s="34" t="n">
        <f aca="false">IF(L1399=0,0,AE1399/L1399)</f>
        <v>0.333731927383411</v>
      </c>
      <c r="AG1399" s="22" t="str">
        <f aca="false">IF(AD1399&lt;L1399,"PASSARO","ATUAL")</f>
        <v>ATUAL</v>
      </c>
      <c r="AH1399" s="22" t="str">
        <f aca="false">IF(P1399&lt;&gt;A1399,"Faixa cadastrada como "&amp;P1399&amp;" na tabela; preço aplicado pela UF do CEP","")</f>
        <v>Faixa cadastrada como PB na tabela; preço aplicado pela UF do CEP</v>
      </c>
      <c r="AI1399" s="26" t="n">
        <v>145.33</v>
      </c>
      <c r="AJ1399" s="22" t="str">
        <f aca="false">INDEX('Tabela Passaro'!$X$2:$X$1795,$N1399)</f>
        <v>CAPITAL</v>
      </c>
    </row>
    <row r="1400" customFormat="false" ht="15" hidden="false" customHeight="false" outlineLevel="0" collapsed="false">
      <c r="A1400" s="22" t="s">
        <v>20</v>
      </c>
      <c r="B1400" s="22" t="n">
        <v>3</v>
      </c>
      <c r="C1400" s="22" t="s">
        <v>151</v>
      </c>
      <c r="D1400" s="22" t="s">
        <v>30</v>
      </c>
      <c r="E1400" s="22" t="s">
        <v>7326</v>
      </c>
      <c r="F1400" s="22" t="n">
        <v>526182</v>
      </c>
      <c r="G1400" s="30" t="n">
        <v>46253</v>
      </c>
      <c r="H1400" s="22" t="n">
        <v>627368</v>
      </c>
      <c r="I1400" s="22" t="s">
        <v>8607</v>
      </c>
      <c r="J1400" s="31" t="n">
        <v>46.8</v>
      </c>
      <c r="K1400" s="26" t="n">
        <v>679.98</v>
      </c>
      <c r="L1400" s="26" t="n">
        <v>185.02</v>
      </c>
      <c r="M1400" s="22" t="s">
        <v>3929</v>
      </c>
      <c r="N1400" s="22" t="n">
        <f aca="false">MATCH(M1400,'Tabela Passaro'!$A$2:$A$1795,0)</f>
        <v>924</v>
      </c>
      <c r="O1400" s="22" t="str">
        <f aca="false">INDEX('Tabela Passaro'!$C$2:$C$1795,$N1400)</f>
        <v>PAULISTA</v>
      </c>
      <c r="P1400" s="22" t="str">
        <f aca="false">INDEX('Tabela Passaro'!$B$2:$B$1795,$N1400)</f>
        <v>PB</v>
      </c>
      <c r="Q1400" s="22" t="n">
        <f aca="false">INDEX('Tabela Passaro'!$F$2:$F$1795,$N1400)</f>
        <v>13</v>
      </c>
      <c r="R1400" s="32" t="n">
        <f aca="false">IF(J1400&lt;=10,INDEX('Tabela Passaro'!$G$2:$G$1795,$N1400),IF(J1400&lt;=30,INDEX('Tabela Passaro'!$H$2:$H$1795,$N1400),IF(J1400&lt;=50,INDEX('Tabela Passaro'!$I$2:$I$1795,$N1400),IF(J1400&lt;=70,INDEX('Tabela Passaro'!$J$2:$J$1795,$N1400),IF(J1400&lt;=100,INDEX('Tabela Passaro'!$K$2:$K$1795,$N1400),INDEX('Tabela Passaro'!$K$2:$K$1795,$N1400)+(J1400-100)*INDEX('Tabela Passaro'!$L$2:$L$1795,$N1400))))))</f>
        <v>88.59</v>
      </c>
      <c r="S1400" s="32" t="n">
        <f aca="false">K1400*INDEX('Tabela Passaro'!$M$2:$M$1795,$N1400)</f>
        <v>3.3999</v>
      </c>
      <c r="T1400" s="32" t="n">
        <f aca="false">K1400*INDEX('Tabela Passaro'!$N$2:$N$1795,$N1400)</f>
        <v>1.35996</v>
      </c>
      <c r="U1400" s="32" t="n">
        <f aca="false">INDEX('Tabela Passaro'!$O$2:$O$1795,$N1400)</f>
        <v>5</v>
      </c>
      <c r="V1400" s="32" t="n">
        <f aca="false">ROUNDUP(J1400/INDEX('Tabela Passaro'!$Q$2:$Q$1795,$N1400),0)*INDEX('Tabela Passaro'!$P$2:$P$1795,$N1400)</f>
        <v>5</v>
      </c>
      <c r="W1400" s="32" t="n">
        <f aca="false">INDEX('Tabela Passaro'!$R$2:$R$1795,$N1400)</f>
        <v>30</v>
      </c>
      <c r="X1400" s="32" t="n">
        <f aca="false">ROUNDUP(J1400/INDEX('Tabela Passaro'!$T$2:$T$1795,$N1400),0)*INDEX('Tabela Passaro'!$S$2:$S$1795,$N1400)</f>
        <v>0</v>
      </c>
      <c r="Y1400" s="32" t="n">
        <f aca="false">INDEX('Tabela Passaro'!$U$2:$U$1795,$N1400)</f>
        <v>0</v>
      </c>
      <c r="Z1400" s="32" t="n">
        <f aca="false">INDEX('Tabela Passaro'!$V$2:$V$1795,$N1400)</f>
        <v>0</v>
      </c>
      <c r="AA1400" s="32" t="n">
        <f aca="false">SUM(R1400:Z1400)</f>
        <v>133.34986</v>
      </c>
      <c r="AB1400" s="33" t="n">
        <f aca="false">INDEX(Premissas!$B$5:$B$13,MATCH(A1400,Premissas!$A$5:$A$13,0))</f>
        <v>0.07</v>
      </c>
      <c r="AC1400" s="32" t="n">
        <f aca="false">AA1400/(1-AB1400)-AA1400</f>
        <v>10.0370862365592</v>
      </c>
      <c r="AD1400" s="32" t="n">
        <f aca="false">ROUND(AA1400+AC1400,2)</f>
        <v>143.39</v>
      </c>
      <c r="AE1400" s="32" t="n">
        <f aca="false">AD1400-L1400</f>
        <v>-41.63</v>
      </c>
      <c r="AF1400" s="34" t="n">
        <f aca="false">IF(L1400=0,0,AE1400/L1400)</f>
        <v>-0.22500270241055</v>
      </c>
      <c r="AG1400" s="22" t="str">
        <f aca="false">IF(AD1400&lt;L1400,"PASSARO","ATUAL")</f>
        <v>PASSARO</v>
      </c>
      <c r="AH1400" s="22" t="str">
        <f aca="false">IF(P1400&lt;&gt;A1400,"Faixa cadastrada como "&amp;P1400&amp;" na tabela; preço aplicado pela UF do CEP","")</f>
        <v>Faixa cadastrada como PB na tabela; preço aplicado pela UF do CEP</v>
      </c>
      <c r="AI1400" s="26" t="n">
        <v>182.01</v>
      </c>
      <c r="AJ1400" s="22" t="str">
        <f aca="false">INDEX('Tabela Passaro'!$X$2:$X$1795,$N1400)</f>
        <v>CAPITAL</v>
      </c>
    </row>
    <row r="1401" customFormat="false" ht="15" hidden="false" customHeight="false" outlineLevel="0" collapsed="false">
      <c r="A1401" s="22" t="s">
        <v>20</v>
      </c>
      <c r="B1401" s="22" t="n">
        <v>3</v>
      </c>
      <c r="C1401" s="22" t="s">
        <v>151</v>
      </c>
      <c r="D1401" s="22" t="s">
        <v>30</v>
      </c>
      <c r="E1401" s="22" t="s">
        <v>7328</v>
      </c>
      <c r="F1401" s="22" t="n">
        <v>2314455</v>
      </c>
      <c r="G1401" s="30" t="n">
        <v>46254</v>
      </c>
      <c r="H1401" s="22" t="n">
        <v>134281</v>
      </c>
      <c r="I1401" s="22" t="s">
        <v>8608</v>
      </c>
      <c r="J1401" s="31" t="n">
        <v>53.4</v>
      </c>
      <c r="K1401" s="26" t="n">
        <v>852.95</v>
      </c>
      <c r="L1401" s="26" t="n">
        <v>209.3</v>
      </c>
      <c r="M1401" s="22" t="s">
        <v>3929</v>
      </c>
      <c r="N1401" s="22" t="n">
        <f aca="false">MATCH(M1401,'Tabela Passaro'!$A$2:$A$1795,0)</f>
        <v>924</v>
      </c>
      <c r="O1401" s="22" t="str">
        <f aca="false">INDEX('Tabela Passaro'!$C$2:$C$1795,$N1401)</f>
        <v>PAULISTA</v>
      </c>
      <c r="P1401" s="22" t="str">
        <f aca="false">INDEX('Tabela Passaro'!$B$2:$B$1795,$N1401)</f>
        <v>PB</v>
      </c>
      <c r="Q1401" s="22" t="n">
        <f aca="false">INDEX('Tabela Passaro'!$F$2:$F$1795,$N1401)</f>
        <v>13</v>
      </c>
      <c r="R1401" s="32" t="n">
        <f aca="false">IF(J1401&lt;=10,INDEX('Tabela Passaro'!$G$2:$G$1795,$N1401),IF(J1401&lt;=30,INDEX('Tabela Passaro'!$H$2:$H$1795,$N1401),IF(J1401&lt;=50,INDEX('Tabela Passaro'!$I$2:$I$1795,$N1401),IF(J1401&lt;=70,INDEX('Tabela Passaro'!$J$2:$J$1795,$N1401),IF(J1401&lt;=100,INDEX('Tabela Passaro'!$K$2:$K$1795,$N1401),INDEX('Tabela Passaro'!$K$2:$K$1795,$N1401)+(J1401-100)*INDEX('Tabela Passaro'!$L$2:$L$1795,$N1401))))))</f>
        <v>99.61</v>
      </c>
      <c r="S1401" s="32" t="n">
        <f aca="false">K1401*INDEX('Tabela Passaro'!$M$2:$M$1795,$N1401)</f>
        <v>4.26475</v>
      </c>
      <c r="T1401" s="32" t="n">
        <f aca="false">K1401*INDEX('Tabela Passaro'!$N$2:$N$1795,$N1401)</f>
        <v>1.7059</v>
      </c>
      <c r="U1401" s="32" t="n">
        <f aca="false">INDEX('Tabela Passaro'!$O$2:$O$1795,$N1401)</f>
        <v>5</v>
      </c>
      <c r="V1401" s="32" t="n">
        <f aca="false">ROUNDUP(J1401/INDEX('Tabela Passaro'!$Q$2:$Q$1795,$N1401),0)*INDEX('Tabela Passaro'!$P$2:$P$1795,$N1401)</f>
        <v>5</v>
      </c>
      <c r="W1401" s="32" t="n">
        <f aca="false">INDEX('Tabela Passaro'!$R$2:$R$1795,$N1401)</f>
        <v>30</v>
      </c>
      <c r="X1401" s="32" t="n">
        <f aca="false">ROUNDUP(J1401/INDEX('Tabela Passaro'!$T$2:$T$1795,$N1401),0)*INDEX('Tabela Passaro'!$S$2:$S$1795,$N1401)</f>
        <v>0</v>
      </c>
      <c r="Y1401" s="32" t="n">
        <f aca="false">INDEX('Tabela Passaro'!$U$2:$U$1795,$N1401)</f>
        <v>0</v>
      </c>
      <c r="Z1401" s="32" t="n">
        <f aca="false">INDEX('Tabela Passaro'!$V$2:$V$1795,$N1401)</f>
        <v>0</v>
      </c>
      <c r="AA1401" s="32" t="n">
        <f aca="false">SUM(R1401:Z1401)</f>
        <v>145.58065</v>
      </c>
      <c r="AB1401" s="33" t="n">
        <f aca="false">INDEX(Premissas!$B$5:$B$13,MATCH(A1401,Premissas!$A$5:$A$13,0))</f>
        <v>0.07</v>
      </c>
      <c r="AC1401" s="32" t="n">
        <f aca="false">AA1401/(1-AB1401)-AA1401</f>
        <v>10.9576833333333</v>
      </c>
      <c r="AD1401" s="32" t="n">
        <f aca="false">ROUND(AA1401+AC1401,2)</f>
        <v>156.54</v>
      </c>
      <c r="AE1401" s="32" t="n">
        <f aca="false">AD1401-L1401</f>
        <v>-52.76</v>
      </c>
      <c r="AF1401" s="34" t="n">
        <f aca="false">IF(L1401=0,0,AE1401/L1401)</f>
        <v>-0.252078356426183</v>
      </c>
      <c r="AG1401" s="22" t="str">
        <f aca="false">IF(AD1401&lt;L1401,"PASSARO","ATUAL")</f>
        <v>PASSARO</v>
      </c>
      <c r="AH1401" s="22" t="str">
        <f aca="false">IF(P1401&lt;&gt;A1401,"Faixa cadastrada como "&amp;P1401&amp;" na tabela; preço aplicado pela UF do CEP","")</f>
        <v>Faixa cadastrada como PB na tabela; preço aplicado pela UF do CEP</v>
      </c>
      <c r="AI1401" s="26" t="n">
        <v>199.59</v>
      </c>
      <c r="AJ1401" s="22" t="str">
        <f aca="false">INDEX('Tabela Passaro'!$X$2:$X$1795,$N1401)</f>
        <v>CAPITAL</v>
      </c>
    </row>
    <row r="1402" customFormat="false" ht="15" hidden="false" customHeight="false" outlineLevel="0" collapsed="false">
      <c r="A1402" s="22" t="s">
        <v>20</v>
      </c>
      <c r="B1402" s="22" t="n">
        <v>3</v>
      </c>
      <c r="C1402" s="22" t="s">
        <v>151</v>
      </c>
      <c r="D1402" s="22" t="s">
        <v>30</v>
      </c>
      <c r="E1402" s="22" t="s">
        <v>7328</v>
      </c>
      <c r="F1402" s="22" t="n">
        <v>2315658</v>
      </c>
      <c r="G1402" s="30" t="n">
        <v>46258</v>
      </c>
      <c r="H1402" s="22" t="n">
        <v>134383</v>
      </c>
      <c r="I1402" s="22" t="s">
        <v>8609</v>
      </c>
      <c r="J1402" s="31" t="n">
        <v>29.2</v>
      </c>
      <c r="K1402" s="26" t="n">
        <v>597.48</v>
      </c>
      <c r="L1402" s="26" t="n">
        <v>126.05</v>
      </c>
      <c r="M1402" s="22" t="s">
        <v>3929</v>
      </c>
      <c r="N1402" s="22" t="n">
        <f aca="false">MATCH(M1402,'Tabela Passaro'!$A$2:$A$1795,0)</f>
        <v>924</v>
      </c>
      <c r="O1402" s="22" t="str">
        <f aca="false">INDEX('Tabela Passaro'!$C$2:$C$1795,$N1402)</f>
        <v>PAULISTA</v>
      </c>
      <c r="P1402" s="22" t="str">
        <f aca="false">INDEX('Tabela Passaro'!$B$2:$B$1795,$N1402)</f>
        <v>PB</v>
      </c>
      <c r="Q1402" s="22" t="n">
        <f aca="false">INDEX('Tabela Passaro'!$F$2:$F$1795,$N1402)</f>
        <v>13</v>
      </c>
      <c r="R1402" s="32" t="n">
        <f aca="false">IF(J1402&lt;=10,INDEX('Tabela Passaro'!$G$2:$G$1795,$N1402),IF(J1402&lt;=30,INDEX('Tabela Passaro'!$H$2:$H$1795,$N1402),IF(J1402&lt;=50,INDEX('Tabela Passaro'!$I$2:$I$1795,$N1402),IF(J1402&lt;=70,INDEX('Tabela Passaro'!$J$2:$J$1795,$N1402),IF(J1402&lt;=100,INDEX('Tabela Passaro'!$K$2:$K$1795,$N1402),INDEX('Tabela Passaro'!$K$2:$K$1795,$N1402)+(J1402-100)*INDEX('Tabela Passaro'!$L$2:$L$1795,$N1402))))))</f>
        <v>66.55</v>
      </c>
      <c r="S1402" s="32" t="n">
        <f aca="false">K1402*INDEX('Tabela Passaro'!$M$2:$M$1795,$N1402)</f>
        <v>2.9874</v>
      </c>
      <c r="T1402" s="32" t="n">
        <f aca="false">K1402*INDEX('Tabela Passaro'!$N$2:$N$1795,$N1402)</f>
        <v>1.19496</v>
      </c>
      <c r="U1402" s="32" t="n">
        <f aca="false">INDEX('Tabela Passaro'!$O$2:$O$1795,$N1402)</f>
        <v>5</v>
      </c>
      <c r="V1402" s="32" t="n">
        <f aca="false">ROUNDUP(J1402/INDEX('Tabela Passaro'!$Q$2:$Q$1795,$N1402),0)*INDEX('Tabela Passaro'!$P$2:$P$1795,$N1402)</f>
        <v>5</v>
      </c>
      <c r="W1402" s="32" t="n">
        <f aca="false">INDEX('Tabela Passaro'!$R$2:$R$1795,$N1402)</f>
        <v>30</v>
      </c>
      <c r="X1402" s="32" t="n">
        <f aca="false">ROUNDUP(J1402/INDEX('Tabela Passaro'!$T$2:$T$1795,$N1402),0)*INDEX('Tabela Passaro'!$S$2:$S$1795,$N1402)</f>
        <v>0</v>
      </c>
      <c r="Y1402" s="32" t="n">
        <f aca="false">INDEX('Tabela Passaro'!$U$2:$U$1795,$N1402)</f>
        <v>0</v>
      </c>
      <c r="Z1402" s="32" t="n">
        <f aca="false">INDEX('Tabela Passaro'!$V$2:$V$1795,$N1402)</f>
        <v>0</v>
      </c>
      <c r="AA1402" s="32" t="n">
        <f aca="false">SUM(R1402:Z1402)</f>
        <v>110.73236</v>
      </c>
      <c r="AB1402" s="33" t="n">
        <f aca="false">INDEX(Premissas!$B$5:$B$13,MATCH(A1402,Premissas!$A$5:$A$13,0))</f>
        <v>0.07</v>
      </c>
      <c r="AC1402" s="32" t="n">
        <f aca="false">AA1402/(1-AB1402)-AA1402</f>
        <v>8.33469376344087</v>
      </c>
      <c r="AD1402" s="32" t="n">
        <f aca="false">ROUND(AA1402+AC1402,2)</f>
        <v>119.07</v>
      </c>
      <c r="AE1402" s="32" t="n">
        <f aca="false">AD1402-L1402</f>
        <v>-6.98</v>
      </c>
      <c r="AF1402" s="34" t="n">
        <f aca="false">IF(L1402=0,0,AE1402/L1402)</f>
        <v>-0.0553748512495042</v>
      </c>
      <c r="AG1402" s="22" t="str">
        <f aca="false">IF(AD1402&lt;L1402,"PASSARO","ATUAL")</f>
        <v>PASSARO</v>
      </c>
      <c r="AH1402" s="22" t="str">
        <f aca="false">IF(P1402&lt;&gt;A1402,"Faixa cadastrada como "&amp;P1402&amp;" na tabela; preço aplicado pela UF do CEP","")</f>
        <v>Faixa cadastrada como PB na tabela; preço aplicado pela UF do CEP</v>
      </c>
      <c r="AI1402" s="26" t="n">
        <v>147.93</v>
      </c>
      <c r="AJ1402" s="22" t="str">
        <f aca="false">INDEX('Tabela Passaro'!$X$2:$X$1795,$N1402)</f>
        <v>CAPITAL</v>
      </c>
    </row>
    <row r="1403" customFormat="false" ht="15" hidden="false" customHeight="false" outlineLevel="0" collapsed="false">
      <c r="A1403" s="22" t="s">
        <v>20</v>
      </c>
      <c r="B1403" s="22" t="n">
        <v>3</v>
      </c>
      <c r="C1403" s="22" t="s">
        <v>151</v>
      </c>
      <c r="D1403" s="22" t="s">
        <v>30</v>
      </c>
      <c r="E1403" s="22" t="s">
        <v>7326</v>
      </c>
      <c r="F1403" s="22" t="n">
        <v>526906</v>
      </c>
      <c r="G1403" s="30" t="n">
        <v>46258</v>
      </c>
      <c r="H1403" s="22" t="n">
        <v>627934</v>
      </c>
      <c r="I1403" s="22" t="s">
        <v>8610</v>
      </c>
      <c r="J1403" s="31" t="n">
        <v>25.95</v>
      </c>
      <c r="K1403" s="26" t="n">
        <v>1196.48</v>
      </c>
      <c r="L1403" s="26" t="n">
        <v>141.76</v>
      </c>
      <c r="M1403" s="22" t="s">
        <v>3929</v>
      </c>
      <c r="N1403" s="22" t="n">
        <f aca="false">MATCH(M1403,'Tabela Passaro'!$A$2:$A$1795,0)</f>
        <v>924</v>
      </c>
      <c r="O1403" s="22" t="str">
        <f aca="false">INDEX('Tabela Passaro'!$C$2:$C$1795,$N1403)</f>
        <v>PAULISTA</v>
      </c>
      <c r="P1403" s="22" t="str">
        <f aca="false">INDEX('Tabela Passaro'!$B$2:$B$1795,$N1403)</f>
        <v>PB</v>
      </c>
      <c r="Q1403" s="22" t="n">
        <f aca="false">INDEX('Tabela Passaro'!$F$2:$F$1795,$N1403)</f>
        <v>13</v>
      </c>
      <c r="R1403" s="32" t="n">
        <f aca="false">IF(J1403&lt;=10,INDEX('Tabela Passaro'!$G$2:$G$1795,$N1403),IF(J1403&lt;=30,INDEX('Tabela Passaro'!$H$2:$H$1795,$N1403),IF(J1403&lt;=50,INDEX('Tabela Passaro'!$I$2:$I$1795,$N1403),IF(J1403&lt;=70,INDEX('Tabela Passaro'!$J$2:$J$1795,$N1403),IF(J1403&lt;=100,INDEX('Tabela Passaro'!$K$2:$K$1795,$N1403),INDEX('Tabela Passaro'!$K$2:$K$1795,$N1403)+(J1403-100)*INDEX('Tabela Passaro'!$L$2:$L$1795,$N1403))))))</f>
        <v>66.55</v>
      </c>
      <c r="S1403" s="32" t="n">
        <f aca="false">K1403*INDEX('Tabela Passaro'!$M$2:$M$1795,$N1403)</f>
        <v>5.9824</v>
      </c>
      <c r="T1403" s="32" t="n">
        <f aca="false">K1403*INDEX('Tabela Passaro'!$N$2:$N$1795,$N1403)</f>
        <v>2.39296</v>
      </c>
      <c r="U1403" s="32" t="n">
        <f aca="false">INDEX('Tabela Passaro'!$O$2:$O$1795,$N1403)</f>
        <v>5</v>
      </c>
      <c r="V1403" s="32" t="n">
        <f aca="false">ROUNDUP(J1403/INDEX('Tabela Passaro'!$Q$2:$Q$1795,$N1403),0)*INDEX('Tabela Passaro'!$P$2:$P$1795,$N1403)</f>
        <v>5</v>
      </c>
      <c r="W1403" s="32" t="n">
        <f aca="false">INDEX('Tabela Passaro'!$R$2:$R$1795,$N1403)</f>
        <v>30</v>
      </c>
      <c r="X1403" s="32" t="n">
        <f aca="false">ROUNDUP(J1403/INDEX('Tabela Passaro'!$T$2:$T$1795,$N1403),0)*INDEX('Tabela Passaro'!$S$2:$S$1795,$N1403)</f>
        <v>0</v>
      </c>
      <c r="Y1403" s="32" t="n">
        <f aca="false">INDEX('Tabela Passaro'!$U$2:$U$1795,$N1403)</f>
        <v>0</v>
      </c>
      <c r="Z1403" s="32" t="n">
        <f aca="false">INDEX('Tabela Passaro'!$V$2:$V$1795,$N1403)</f>
        <v>0</v>
      </c>
      <c r="AA1403" s="32" t="n">
        <f aca="false">SUM(R1403:Z1403)</f>
        <v>114.92536</v>
      </c>
      <c r="AB1403" s="33" t="n">
        <f aca="false">INDEX(Premissas!$B$5:$B$13,MATCH(A1403,Premissas!$A$5:$A$13,0))</f>
        <v>0.07</v>
      </c>
      <c r="AC1403" s="32" t="n">
        <f aca="false">AA1403/(1-AB1403)-AA1403</f>
        <v>8.6502959139785</v>
      </c>
      <c r="AD1403" s="32" t="n">
        <f aca="false">ROUND(AA1403+AC1403,2)</f>
        <v>123.58</v>
      </c>
      <c r="AE1403" s="32" t="n">
        <f aca="false">AD1403-L1403</f>
        <v>-18.18</v>
      </c>
      <c r="AF1403" s="34" t="n">
        <f aca="false">IF(L1403=0,0,AE1403/L1403)</f>
        <v>-0.128244920993228</v>
      </c>
      <c r="AG1403" s="22" t="str">
        <f aca="false">IF(AD1403&lt;L1403,"PASSARO","ATUAL")</f>
        <v>PASSARO</v>
      </c>
      <c r="AH1403" s="22" t="str">
        <f aca="false">IF(P1403&lt;&gt;A1403,"Faixa cadastrada como "&amp;P1403&amp;" na tabela; preço aplicado pela UF do CEP","")</f>
        <v>Faixa cadastrada como PB na tabela; preço aplicado pela UF do CEP</v>
      </c>
      <c r="AI1403" s="26" t="n">
        <v>151.79</v>
      </c>
      <c r="AJ1403" s="22" t="str">
        <f aca="false">INDEX('Tabela Passaro'!$X$2:$X$1795,$N1403)</f>
        <v>CAPITAL</v>
      </c>
    </row>
    <row r="1404" customFormat="false" ht="15" hidden="false" customHeight="false" outlineLevel="0" collapsed="false">
      <c r="A1404" s="22" t="s">
        <v>20</v>
      </c>
      <c r="B1404" s="22" t="n">
        <v>3</v>
      </c>
      <c r="C1404" s="22" t="s">
        <v>151</v>
      </c>
      <c r="D1404" s="22" t="s">
        <v>30</v>
      </c>
      <c r="E1404" s="22" t="s">
        <v>7326</v>
      </c>
      <c r="F1404" s="22" t="n">
        <v>527765</v>
      </c>
      <c r="G1404" s="30" t="n">
        <v>46260</v>
      </c>
      <c r="H1404" s="22" t="n">
        <v>629463</v>
      </c>
      <c r="I1404" s="22" t="s">
        <v>8611</v>
      </c>
      <c r="J1404" s="31" t="n">
        <v>66.4</v>
      </c>
      <c r="K1404" s="26" t="n">
        <v>985.42</v>
      </c>
      <c r="L1404" s="26" t="n">
        <v>244.34</v>
      </c>
      <c r="M1404" s="22" t="s">
        <v>3929</v>
      </c>
      <c r="N1404" s="22" t="n">
        <f aca="false">MATCH(M1404,'Tabela Passaro'!$A$2:$A$1795,0)</f>
        <v>924</v>
      </c>
      <c r="O1404" s="22" t="str">
        <f aca="false">INDEX('Tabela Passaro'!$C$2:$C$1795,$N1404)</f>
        <v>PAULISTA</v>
      </c>
      <c r="P1404" s="22" t="str">
        <f aca="false">INDEX('Tabela Passaro'!$B$2:$B$1795,$N1404)</f>
        <v>PB</v>
      </c>
      <c r="Q1404" s="22" t="n">
        <f aca="false">INDEX('Tabela Passaro'!$F$2:$F$1795,$N1404)</f>
        <v>13</v>
      </c>
      <c r="R1404" s="32" t="n">
        <f aca="false">IF(J1404&lt;=10,INDEX('Tabela Passaro'!$G$2:$G$1795,$N1404),IF(J1404&lt;=30,INDEX('Tabela Passaro'!$H$2:$H$1795,$N1404),IF(J1404&lt;=50,INDEX('Tabela Passaro'!$I$2:$I$1795,$N1404),IF(J1404&lt;=70,INDEX('Tabela Passaro'!$J$2:$J$1795,$N1404),IF(J1404&lt;=100,INDEX('Tabela Passaro'!$K$2:$K$1795,$N1404),INDEX('Tabela Passaro'!$K$2:$K$1795,$N1404)+(J1404-100)*INDEX('Tabela Passaro'!$L$2:$L$1795,$N1404))))))</f>
        <v>99.61</v>
      </c>
      <c r="S1404" s="32" t="n">
        <f aca="false">K1404*INDEX('Tabela Passaro'!$M$2:$M$1795,$N1404)</f>
        <v>4.9271</v>
      </c>
      <c r="T1404" s="32" t="n">
        <f aca="false">K1404*INDEX('Tabela Passaro'!$N$2:$N$1795,$N1404)</f>
        <v>1.97084</v>
      </c>
      <c r="U1404" s="32" t="n">
        <f aca="false">INDEX('Tabela Passaro'!$O$2:$O$1795,$N1404)</f>
        <v>5</v>
      </c>
      <c r="V1404" s="32" t="n">
        <f aca="false">ROUNDUP(J1404/INDEX('Tabela Passaro'!$Q$2:$Q$1795,$N1404),0)*INDEX('Tabela Passaro'!$P$2:$P$1795,$N1404)</f>
        <v>5</v>
      </c>
      <c r="W1404" s="32" t="n">
        <f aca="false">INDEX('Tabela Passaro'!$R$2:$R$1795,$N1404)</f>
        <v>30</v>
      </c>
      <c r="X1404" s="32" t="n">
        <f aca="false">ROUNDUP(J1404/INDEX('Tabela Passaro'!$T$2:$T$1795,$N1404),0)*INDEX('Tabela Passaro'!$S$2:$S$1795,$N1404)</f>
        <v>0</v>
      </c>
      <c r="Y1404" s="32" t="n">
        <f aca="false">INDEX('Tabela Passaro'!$U$2:$U$1795,$N1404)</f>
        <v>0</v>
      </c>
      <c r="Z1404" s="32" t="n">
        <f aca="false">INDEX('Tabela Passaro'!$V$2:$V$1795,$N1404)</f>
        <v>0</v>
      </c>
      <c r="AA1404" s="32" t="n">
        <f aca="false">SUM(R1404:Z1404)</f>
        <v>146.50794</v>
      </c>
      <c r="AB1404" s="33" t="n">
        <f aca="false">INDEX(Premissas!$B$5:$B$13,MATCH(A1404,Premissas!$A$5:$A$13,0))</f>
        <v>0.07</v>
      </c>
      <c r="AC1404" s="32" t="n">
        <f aca="false">AA1404/(1-AB1404)-AA1404</f>
        <v>11.0274793548387</v>
      </c>
      <c r="AD1404" s="32" t="n">
        <f aca="false">ROUND(AA1404+AC1404,2)</f>
        <v>157.54</v>
      </c>
      <c r="AE1404" s="32" t="n">
        <f aca="false">AD1404-L1404</f>
        <v>-86.8</v>
      </c>
      <c r="AF1404" s="34" t="n">
        <f aca="false">IF(L1404=0,0,AE1404/L1404)</f>
        <v>-0.355242694605877</v>
      </c>
      <c r="AG1404" s="22" t="str">
        <f aca="false">IF(AD1404&lt;L1404,"PASSARO","ATUAL")</f>
        <v>PASSARO</v>
      </c>
      <c r="AH1404" s="22" t="str">
        <f aca="false">IF(P1404&lt;&gt;A1404,"Faixa cadastrada como "&amp;P1404&amp;" na tabela; preço aplicado pela UF do CEP","")</f>
        <v>Faixa cadastrada como PB na tabela; preço aplicado pela UF do CEP</v>
      </c>
      <c r="AI1404" s="26" t="n">
        <v>207.16</v>
      </c>
      <c r="AJ1404" s="22" t="str">
        <f aca="false">INDEX('Tabela Passaro'!$X$2:$X$1795,$N1404)</f>
        <v>CAPITAL</v>
      </c>
    </row>
    <row r="1405" customFormat="false" ht="15" hidden="false" customHeight="false" outlineLevel="0" collapsed="false">
      <c r="A1405" s="22" t="s">
        <v>20</v>
      </c>
      <c r="B1405" s="22" t="n">
        <v>3</v>
      </c>
      <c r="C1405" s="22" t="s">
        <v>151</v>
      </c>
      <c r="D1405" s="22" t="s">
        <v>30</v>
      </c>
      <c r="E1405" s="22" t="s">
        <v>20</v>
      </c>
      <c r="F1405" s="22" t="n">
        <v>840483</v>
      </c>
      <c r="G1405" s="30" t="n">
        <v>46262</v>
      </c>
      <c r="H1405" s="22" t="n">
        <v>32766</v>
      </c>
      <c r="I1405" s="22" t="s">
        <v>8612</v>
      </c>
      <c r="J1405" s="31" t="n">
        <v>22.3</v>
      </c>
      <c r="K1405" s="26" t="n">
        <v>679.98</v>
      </c>
      <c r="L1405" s="26" t="n">
        <v>87.67</v>
      </c>
      <c r="M1405" s="22" t="s">
        <v>3929</v>
      </c>
      <c r="N1405" s="22" t="n">
        <f aca="false">MATCH(M1405,'Tabela Passaro'!$A$2:$A$1795,0)</f>
        <v>924</v>
      </c>
      <c r="O1405" s="22" t="str">
        <f aca="false">INDEX('Tabela Passaro'!$C$2:$C$1795,$N1405)</f>
        <v>PAULISTA</v>
      </c>
      <c r="P1405" s="22" t="str">
        <f aca="false">INDEX('Tabela Passaro'!$B$2:$B$1795,$N1405)</f>
        <v>PB</v>
      </c>
      <c r="Q1405" s="22" t="n">
        <f aca="false">INDEX('Tabela Passaro'!$F$2:$F$1795,$N1405)</f>
        <v>13</v>
      </c>
      <c r="R1405" s="32" t="n">
        <f aca="false">IF(J1405&lt;=10,INDEX('Tabela Passaro'!$G$2:$G$1795,$N1405),IF(J1405&lt;=30,INDEX('Tabela Passaro'!$H$2:$H$1795,$N1405),IF(J1405&lt;=50,INDEX('Tabela Passaro'!$I$2:$I$1795,$N1405),IF(J1405&lt;=70,INDEX('Tabela Passaro'!$J$2:$J$1795,$N1405),IF(J1405&lt;=100,INDEX('Tabela Passaro'!$K$2:$K$1795,$N1405),INDEX('Tabela Passaro'!$K$2:$K$1795,$N1405)+(J1405-100)*INDEX('Tabela Passaro'!$L$2:$L$1795,$N1405))))))</f>
        <v>66.55</v>
      </c>
      <c r="S1405" s="32" t="n">
        <f aca="false">K1405*INDEX('Tabela Passaro'!$M$2:$M$1795,$N1405)</f>
        <v>3.3999</v>
      </c>
      <c r="T1405" s="32" t="n">
        <f aca="false">K1405*INDEX('Tabela Passaro'!$N$2:$N$1795,$N1405)</f>
        <v>1.35996</v>
      </c>
      <c r="U1405" s="32" t="n">
        <f aca="false">INDEX('Tabela Passaro'!$O$2:$O$1795,$N1405)</f>
        <v>5</v>
      </c>
      <c r="V1405" s="32" t="n">
        <f aca="false">ROUNDUP(J1405/INDEX('Tabela Passaro'!$Q$2:$Q$1795,$N1405),0)*INDEX('Tabela Passaro'!$P$2:$P$1795,$N1405)</f>
        <v>5</v>
      </c>
      <c r="W1405" s="32" t="n">
        <f aca="false">INDEX('Tabela Passaro'!$R$2:$R$1795,$N1405)</f>
        <v>30</v>
      </c>
      <c r="X1405" s="32" t="n">
        <f aca="false">ROUNDUP(J1405/INDEX('Tabela Passaro'!$T$2:$T$1795,$N1405),0)*INDEX('Tabela Passaro'!$S$2:$S$1795,$N1405)</f>
        <v>0</v>
      </c>
      <c r="Y1405" s="32" t="n">
        <f aca="false">INDEX('Tabela Passaro'!$U$2:$U$1795,$N1405)</f>
        <v>0</v>
      </c>
      <c r="Z1405" s="32" t="n">
        <f aca="false">INDEX('Tabela Passaro'!$V$2:$V$1795,$N1405)</f>
        <v>0</v>
      </c>
      <c r="AA1405" s="32" t="n">
        <f aca="false">SUM(R1405:Z1405)</f>
        <v>111.30986</v>
      </c>
      <c r="AB1405" s="33" t="n">
        <f aca="false">INDEX(Premissas!$B$5:$B$13,MATCH(A1405,Premissas!$A$5:$A$13,0))</f>
        <v>0.07</v>
      </c>
      <c r="AC1405" s="32" t="n">
        <f aca="false">AA1405/(1-AB1405)-AA1405</f>
        <v>8.37816150537636</v>
      </c>
      <c r="AD1405" s="32" t="n">
        <f aca="false">ROUND(AA1405+AC1405,2)</f>
        <v>119.69</v>
      </c>
      <c r="AE1405" s="32" t="n">
        <f aca="false">AD1405-L1405</f>
        <v>32.02</v>
      </c>
      <c r="AF1405" s="34" t="n">
        <f aca="false">IF(L1405=0,0,AE1405/L1405)</f>
        <v>0.365233261092734</v>
      </c>
      <c r="AG1405" s="22" t="str">
        <f aca="false">IF(AD1405&lt;L1405,"PASSARO","ATUAL")</f>
        <v>ATUAL</v>
      </c>
      <c r="AH1405" s="22" t="str">
        <f aca="false">IF(P1405&lt;&gt;A1405,"Faixa cadastrada como "&amp;P1405&amp;" na tabela; preço aplicado pela UF do CEP","")</f>
        <v>Faixa cadastrada como PB na tabela; preço aplicado pela UF do CEP</v>
      </c>
      <c r="AI1405" s="26" t="n">
        <v>145.34</v>
      </c>
      <c r="AJ1405" s="22" t="str">
        <f aca="false">INDEX('Tabela Passaro'!$X$2:$X$1795,$N1405)</f>
        <v>CAPITAL</v>
      </c>
    </row>
    <row r="1406" customFormat="false" ht="15" hidden="false" customHeight="false" outlineLevel="0" collapsed="false">
      <c r="A1406" s="22" t="s">
        <v>20</v>
      </c>
      <c r="B1406" s="22" t="n">
        <v>3</v>
      </c>
      <c r="C1406" s="22" t="s">
        <v>151</v>
      </c>
      <c r="D1406" s="22" t="s">
        <v>30</v>
      </c>
      <c r="E1406" s="22" t="s">
        <v>7326</v>
      </c>
      <c r="F1406" s="22" t="n">
        <v>528133</v>
      </c>
      <c r="G1406" s="30" t="n">
        <v>46262</v>
      </c>
      <c r="H1406" s="22" t="n">
        <v>629601</v>
      </c>
      <c r="I1406" s="22" t="s">
        <v>8613</v>
      </c>
      <c r="J1406" s="31" t="n">
        <v>61.95</v>
      </c>
      <c r="K1406" s="26" t="n">
        <v>929.98</v>
      </c>
      <c r="L1406" s="26" t="n">
        <v>243.86</v>
      </c>
      <c r="M1406" s="22" t="s">
        <v>3929</v>
      </c>
      <c r="N1406" s="22" t="n">
        <f aca="false">MATCH(M1406,'Tabela Passaro'!$A$2:$A$1795,0)</f>
        <v>924</v>
      </c>
      <c r="O1406" s="22" t="str">
        <f aca="false">INDEX('Tabela Passaro'!$C$2:$C$1795,$N1406)</f>
        <v>PAULISTA</v>
      </c>
      <c r="P1406" s="22" t="str">
        <f aca="false">INDEX('Tabela Passaro'!$B$2:$B$1795,$N1406)</f>
        <v>PB</v>
      </c>
      <c r="Q1406" s="22" t="n">
        <f aca="false">INDEX('Tabela Passaro'!$F$2:$F$1795,$N1406)</f>
        <v>13</v>
      </c>
      <c r="R1406" s="32" t="n">
        <f aca="false">IF(J1406&lt;=10,INDEX('Tabela Passaro'!$G$2:$G$1795,$N1406),IF(J1406&lt;=30,INDEX('Tabela Passaro'!$H$2:$H$1795,$N1406),IF(J1406&lt;=50,INDEX('Tabela Passaro'!$I$2:$I$1795,$N1406),IF(J1406&lt;=70,INDEX('Tabela Passaro'!$J$2:$J$1795,$N1406),IF(J1406&lt;=100,INDEX('Tabela Passaro'!$K$2:$K$1795,$N1406),INDEX('Tabela Passaro'!$K$2:$K$1795,$N1406)+(J1406-100)*INDEX('Tabela Passaro'!$L$2:$L$1795,$N1406))))))</f>
        <v>99.61</v>
      </c>
      <c r="S1406" s="32" t="n">
        <f aca="false">K1406*INDEX('Tabela Passaro'!$M$2:$M$1795,$N1406)</f>
        <v>4.6499</v>
      </c>
      <c r="T1406" s="32" t="n">
        <f aca="false">K1406*INDEX('Tabela Passaro'!$N$2:$N$1795,$N1406)</f>
        <v>1.85996</v>
      </c>
      <c r="U1406" s="32" t="n">
        <f aca="false">INDEX('Tabela Passaro'!$O$2:$O$1795,$N1406)</f>
        <v>5</v>
      </c>
      <c r="V1406" s="32" t="n">
        <f aca="false">ROUNDUP(J1406/INDEX('Tabela Passaro'!$Q$2:$Q$1795,$N1406),0)*INDEX('Tabela Passaro'!$P$2:$P$1795,$N1406)</f>
        <v>5</v>
      </c>
      <c r="W1406" s="32" t="n">
        <f aca="false">INDEX('Tabela Passaro'!$R$2:$R$1795,$N1406)</f>
        <v>30</v>
      </c>
      <c r="X1406" s="32" t="n">
        <f aca="false">ROUNDUP(J1406/INDEX('Tabela Passaro'!$T$2:$T$1795,$N1406),0)*INDEX('Tabela Passaro'!$S$2:$S$1795,$N1406)</f>
        <v>0</v>
      </c>
      <c r="Y1406" s="32" t="n">
        <f aca="false">INDEX('Tabela Passaro'!$U$2:$U$1795,$N1406)</f>
        <v>0</v>
      </c>
      <c r="Z1406" s="32" t="n">
        <f aca="false">INDEX('Tabela Passaro'!$V$2:$V$1795,$N1406)</f>
        <v>0</v>
      </c>
      <c r="AA1406" s="32" t="n">
        <f aca="false">SUM(R1406:Z1406)</f>
        <v>146.11986</v>
      </c>
      <c r="AB1406" s="33" t="n">
        <f aca="false">INDEX(Premissas!$B$5:$B$13,MATCH(A1406,Premissas!$A$5:$A$13,0))</f>
        <v>0.07</v>
      </c>
      <c r="AC1406" s="32" t="n">
        <f aca="false">AA1406/(1-AB1406)-AA1406</f>
        <v>10.9982690322581</v>
      </c>
      <c r="AD1406" s="32" t="n">
        <f aca="false">ROUND(AA1406+AC1406,2)</f>
        <v>157.12</v>
      </c>
      <c r="AE1406" s="32" t="n">
        <f aca="false">AD1406-L1406</f>
        <v>-86.74</v>
      </c>
      <c r="AF1406" s="34" t="n">
        <f aca="false">IF(L1406=0,0,AE1406/L1406)</f>
        <v>-0.355695891085049</v>
      </c>
      <c r="AG1406" s="22" t="str">
        <f aca="false">IF(AD1406&lt;L1406,"PASSARO","ATUAL")</f>
        <v>PASSARO</v>
      </c>
      <c r="AH1406" s="22" t="str">
        <f aca="false">IF(P1406&lt;&gt;A1406,"Faixa cadastrada como "&amp;P1406&amp;" na tabela; preço aplicado pela UF do CEP","")</f>
        <v>Faixa cadastrada como PB na tabela; preço aplicado pela UF do CEP</v>
      </c>
      <c r="AI1406" s="26" t="n">
        <v>204.2</v>
      </c>
      <c r="AJ1406" s="22" t="str">
        <f aca="false">INDEX('Tabela Passaro'!$X$2:$X$1795,$N1406)</f>
        <v>CAPITAL</v>
      </c>
    </row>
    <row r="1407" customFormat="false" ht="15" hidden="false" customHeight="false" outlineLevel="0" collapsed="false">
      <c r="A1407" s="22" t="s">
        <v>20</v>
      </c>
      <c r="B1407" s="22" t="n">
        <v>3</v>
      </c>
      <c r="C1407" s="22" t="s">
        <v>151</v>
      </c>
      <c r="D1407" s="22" t="s">
        <v>30</v>
      </c>
      <c r="E1407" s="22" t="s">
        <v>7326</v>
      </c>
      <c r="F1407" s="22" t="n">
        <v>528320</v>
      </c>
      <c r="G1407" s="30" t="n">
        <v>46262</v>
      </c>
      <c r="H1407" s="22" t="n">
        <v>630317</v>
      </c>
      <c r="I1407" s="22" t="s">
        <v>8614</v>
      </c>
      <c r="J1407" s="31" t="n">
        <v>60.9</v>
      </c>
      <c r="K1407" s="26" t="n">
        <v>1082.66</v>
      </c>
      <c r="L1407" s="26" t="n">
        <v>245.17</v>
      </c>
      <c r="M1407" s="22" t="s">
        <v>3929</v>
      </c>
      <c r="N1407" s="22" t="n">
        <f aca="false">MATCH(M1407,'Tabela Passaro'!$A$2:$A$1795,0)</f>
        <v>924</v>
      </c>
      <c r="O1407" s="22" t="str">
        <f aca="false">INDEX('Tabela Passaro'!$C$2:$C$1795,$N1407)</f>
        <v>PAULISTA</v>
      </c>
      <c r="P1407" s="22" t="str">
        <f aca="false">INDEX('Tabela Passaro'!$B$2:$B$1795,$N1407)</f>
        <v>PB</v>
      </c>
      <c r="Q1407" s="22" t="n">
        <f aca="false">INDEX('Tabela Passaro'!$F$2:$F$1795,$N1407)</f>
        <v>13</v>
      </c>
      <c r="R1407" s="32" t="n">
        <f aca="false">IF(J1407&lt;=10,INDEX('Tabela Passaro'!$G$2:$G$1795,$N1407),IF(J1407&lt;=30,INDEX('Tabela Passaro'!$H$2:$H$1795,$N1407),IF(J1407&lt;=50,INDEX('Tabela Passaro'!$I$2:$I$1795,$N1407),IF(J1407&lt;=70,INDEX('Tabela Passaro'!$J$2:$J$1795,$N1407),IF(J1407&lt;=100,INDEX('Tabela Passaro'!$K$2:$K$1795,$N1407),INDEX('Tabela Passaro'!$K$2:$K$1795,$N1407)+(J1407-100)*INDEX('Tabela Passaro'!$L$2:$L$1795,$N1407))))))</f>
        <v>99.61</v>
      </c>
      <c r="S1407" s="32" t="n">
        <f aca="false">K1407*INDEX('Tabela Passaro'!$M$2:$M$1795,$N1407)</f>
        <v>5.4133</v>
      </c>
      <c r="T1407" s="32" t="n">
        <f aca="false">K1407*INDEX('Tabela Passaro'!$N$2:$N$1795,$N1407)</f>
        <v>2.16532</v>
      </c>
      <c r="U1407" s="32" t="n">
        <f aca="false">INDEX('Tabela Passaro'!$O$2:$O$1795,$N1407)</f>
        <v>5</v>
      </c>
      <c r="V1407" s="32" t="n">
        <f aca="false">ROUNDUP(J1407/INDEX('Tabela Passaro'!$Q$2:$Q$1795,$N1407),0)*INDEX('Tabela Passaro'!$P$2:$P$1795,$N1407)</f>
        <v>5</v>
      </c>
      <c r="W1407" s="32" t="n">
        <f aca="false">INDEX('Tabela Passaro'!$R$2:$R$1795,$N1407)</f>
        <v>30</v>
      </c>
      <c r="X1407" s="32" t="n">
        <f aca="false">ROUNDUP(J1407/INDEX('Tabela Passaro'!$T$2:$T$1795,$N1407),0)*INDEX('Tabela Passaro'!$S$2:$S$1795,$N1407)</f>
        <v>0</v>
      </c>
      <c r="Y1407" s="32" t="n">
        <f aca="false">INDEX('Tabela Passaro'!$U$2:$U$1795,$N1407)</f>
        <v>0</v>
      </c>
      <c r="Z1407" s="32" t="n">
        <f aca="false">INDEX('Tabela Passaro'!$V$2:$V$1795,$N1407)</f>
        <v>0</v>
      </c>
      <c r="AA1407" s="32" t="n">
        <f aca="false">SUM(R1407:Z1407)</f>
        <v>147.18862</v>
      </c>
      <c r="AB1407" s="33" t="n">
        <f aca="false">INDEX(Premissas!$B$5:$B$13,MATCH(A1407,Premissas!$A$5:$A$13,0))</f>
        <v>0.07</v>
      </c>
      <c r="AC1407" s="32" t="n">
        <f aca="false">AA1407/(1-AB1407)-AA1407</f>
        <v>11.0787133333334</v>
      </c>
      <c r="AD1407" s="32" t="n">
        <f aca="false">ROUND(AA1407+AC1407,2)</f>
        <v>158.27</v>
      </c>
      <c r="AE1407" s="32" t="n">
        <f aca="false">AD1407-L1407</f>
        <v>-86.9</v>
      </c>
      <c r="AF1407" s="34" t="n">
        <f aca="false">IF(L1407=0,0,AE1407/L1407)</f>
        <v>-0.354447934086552</v>
      </c>
      <c r="AG1407" s="22" t="str">
        <f aca="false">IF(AD1407&lt;L1407,"PASSARO","ATUAL")</f>
        <v>PASSARO</v>
      </c>
      <c r="AH1407" s="22" t="str">
        <f aca="false">IF(P1407&lt;&gt;A1407,"Faixa cadastrada como "&amp;P1407&amp;" na tabela; preço aplicado pela UF do CEP","")</f>
        <v>Faixa cadastrada como PB na tabela; preço aplicado pela UF do CEP</v>
      </c>
      <c r="AI1407" s="26" t="n">
        <v>205.2</v>
      </c>
      <c r="AJ1407" s="22" t="str">
        <f aca="false">INDEX('Tabela Passaro'!$X$2:$X$1795,$N1407)</f>
        <v>CAPITAL</v>
      </c>
    </row>
    <row r="1408" customFormat="false" ht="15" hidden="false" customHeight="false" outlineLevel="0" collapsed="false">
      <c r="A1408" s="22" t="s">
        <v>20</v>
      </c>
      <c r="B1408" s="22" t="n">
        <v>3</v>
      </c>
      <c r="C1408" s="22" t="s">
        <v>151</v>
      </c>
      <c r="D1408" s="22" t="s">
        <v>31</v>
      </c>
      <c r="E1408" s="22" t="s">
        <v>7326</v>
      </c>
      <c r="F1408" s="22" t="n">
        <v>12730073</v>
      </c>
      <c r="G1408" s="30" t="n">
        <v>46238</v>
      </c>
      <c r="H1408" s="22" t="n">
        <v>619912</v>
      </c>
      <c r="I1408" s="22" t="s">
        <v>8615</v>
      </c>
      <c r="J1408" s="31" t="n">
        <v>20.8</v>
      </c>
      <c r="K1408" s="26" t="n">
        <v>663.88</v>
      </c>
      <c r="L1408" s="26" t="n">
        <v>100.45</v>
      </c>
      <c r="M1408" s="22" t="s">
        <v>3929</v>
      </c>
      <c r="N1408" s="22" t="n">
        <f aca="false">MATCH(M1408,'Tabela Passaro'!$A$2:$A$1795,0)</f>
        <v>924</v>
      </c>
      <c r="O1408" s="22" t="str">
        <f aca="false">INDEX('Tabela Passaro'!$C$2:$C$1795,$N1408)</f>
        <v>PAULISTA</v>
      </c>
      <c r="P1408" s="22" t="str">
        <f aca="false">INDEX('Tabela Passaro'!$B$2:$B$1795,$N1408)</f>
        <v>PB</v>
      </c>
      <c r="Q1408" s="22" t="n">
        <f aca="false">INDEX('Tabela Passaro'!$F$2:$F$1795,$N1408)</f>
        <v>13</v>
      </c>
      <c r="R1408" s="32" t="n">
        <f aca="false">IF(J1408&lt;=10,INDEX('Tabela Passaro'!$G$2:$G$1795,$N1408),IF(J1408&lt;=30,INDEX('Tabela Passaro'!$H$2:$H$1795,$N1408),IF(J1408&lt;=50,INDEX('Tabela Passaro'!$I$2:$I$1795,$N1408),IF(J1408&lt;=70,INDEX('Tabela Passaro'!$J$2:$J$1795,$N1408),IF(J1408&lt;=100,INDEX('Tabela Passaro'!$K$2:$K$1795,$N1408),INDEX('Tabela Passaro'!$K$2:$K$1795,$N1408)+(J1408-100)*INDEX('Tabela Passaro'!$L$2:$L$1795,$N1408))))))</f>
        <v>66.55</v>
      </c>
      <c r="S1408" s="32" t="n">
        <f aca="false">K1408*INDEX('Tabela Passaro'!$M$2:$M$1795,$N1408)</f>
        <v>3.3194</v>
      </c>
      <c r="T1408" s="32" t="n">
        <f aca="false">K1408*INDEX('Tabela Passaro'!$N$2:$N$1795,$N1408)</f>
        <v>1.32776</v>
      </c>
      <c r="U1408" s="32" t="n">
        <f aca="false">INDEX('Tabela Passaro'!$O$2:$O$1795,$N1408)</f>
        <v>5</v>
      </c>
      <c r="V1408" s="32" t="n">
        <f aca="false">ROUNDUP(J1408/INDEX('Tabela Passaro'!$Q$2:$Q$1795,$N1408),0)*INDEX('Tabela Passaro'!$P$2:$P$1795,$N1408)</f>
        <v>5</v>
      </c>
      <c r="W1408" s="32" t="n">
        <f aca="false">INDEX('Tabela Passaro'!$R$2:$R$1795,$N1408)</f>
        <v>30</v>
      </c>
      <c r="X1408" s="32" t="n">
        <f aca="false">ROUNDUP(J1408/INDEX('Tabela Passaro'!$T$2:$T$1795,$N1408),0)*INDEX('Tabela Passaro'!$S$2:$S$1795,$N1408)</f>
        <v>0</v>
      </c>
      <c r="Y1408" s="32" t="n">
        <f aca="false">INDEX('Tabela Passaro'!$U$2:$U$1795,$N1408)</f>
        <v>0</v>
      </c>
      <c r="Z1408" s="32" t="n">
        <f aca="false">INDEX('Tabela Passaro'!$V$2:$V$1795,$N1408)</f>
        <v>0</v>
      </c>
      <c r="AA1408" s="32" t="n">
        <f aca="false">SUM(R1408:Z1408)</f>
        <v>111.19716</v>
      </c>
      <c r="AB1408" s="33" t="n">
        <f aca="false">INDEX(Premissas!$B$5:$B$13,MATCH(A1408,Premissas!$A$5:$A$13,0))</f>
        <v>0.07</v>
      </c>
      <c r="AC1408" s="32" t="n">
        <f aca="false">AA1408/(1-AB1408)-AA1408</f>
        <v>8.36967870967743</v>
      </c>
      <c r="AD1408" s="32" t="n">
        <f aca="false">ROUND(AA1408+AC1408,2)</f>
        <v>119.57</v>
      </c>
      <c r="AE1408" s="32" t="n">
        <f aca="false">AD1408-L1408</f>
        <v>19.12</v>
      </c>
      <c r="AF1408" s="34" t="n">
        <f aca="false">IF(L1408=0,0,AE1408/L1408)</f>
        <v>0.190343454454953</v>
      </c>
      <c r="AG1408" s="22" t="str">
        <f aca="false">IF(AD1408&lt;L1408,"PASSARO","ATUAL")</f>
        <v>ATUAL</v>
      </c>
      <c r="AH1408" s="22" t="str">
        <f aca="false">IF(P1408&lt;&gt;A1408,"Faixa cadastrada como "&amp;P1408&amp;" na tabela; preço aplicado pela UF do CEP","")</f>
        <v>Faixa cadastrada como PB na tabela; preço aplicado pela UF do CEP</v>
      </c>
      <c r="AI1408" s="26" t="n">
        <v>144.22</v>
      </c>
      <c r="AJ1408" s="22" t="str">
        <f aca="false">INDEX('Tabela Passaro'!$X$2:$X$1795,$N1408)</f>
        <v>CAPITAL</v>
      </c>
    </row>
    <row r="1409" customFormat="false" ht="15" hidden="false" customHeight="false" outlineLevel="0" collapsed="false">
      <c r="A1409" s="22" t="s">
        <v>20</v>
      </c>
      <c r="B1409" s="22" t="n">
        <v>3</v>
      </c>
      <c r="C1409" s="22" t="s">
        <v>151</v>
      </c>
      <c r="D1409" s="22" t="s">
        <v>31</v>
      </c>
      <c r="E1409" s="22" t="s">
        <v>7326</v>
      </c>
      <c r="F1409" s="22" t="n">
        <v>12736922</v>
      </c>
      <c r="G1409" s="30" t="n">
        <v>46239</v>
      </c>
      <c r="H1409" s="22" t="n">
        <v>620585</v>
      </c>
      <c r="I1409" s="22" t="s">
        <v>8616</v>
      </c>
      <c r="J1409" s="31" t="n">
        <v>22.4</v>
      </c>
      <c r="K1409" s="26" t="n">
        <v>588.66</v>
      </c>
      <c r="L1409" s="26" t="n">
        <v>99.84</v>
      </c>
      <c r="M1409" s="22" t="s">
        <v>3929</v>
      </c>
      <c r="N1409" s="22" t="n">
        <f aca="false">MATCH(M1409,'Tabela Passaro'!$A$2:$A$1795,0)</f>
        <v>924</v>
      </c>
      <c r="O1409" s="22" t="str">
        <f aca="false">INDEX('Tabela Passaro'!$C$2:$C$1795,$N1409)</f>
        <v>PAULISTA</v>
      </c>
      <c r="P1409" s="22" t="str">
        <f aca="false">INDEX('Tabela Passaro'!$B$2:$B$1795,$N1409)</f>
        <v>PB</v>
      </c>
      <c r="Q1409" s="22" t="n">
        <f aca="false">INDEX('Tabela Passaro'!$F$2:$F$1795,$N1409)</f>
        <v>13</v>
      </c>
      <c r="R1409" s="32" t="n">
        <f aca="false">IF(J1409&lt;=10,INDEX('Tabela Passaro'!$G$2:$G$1795,$N1409),IF(J1409&lt;=30,INDEX('Tabela Passaro'!$H$2:$H$1795,$N1409),IF(J1409&lt;=50,INDEX('Tabela Passaro'!$I$2:$I$1795,$N1409),IF(J1409&lt;=70,INDEX('Tabela Passaro'!$J$2:$J$1795,$N1409),IF(J1409&lt;=100,INDEX('Tabela Passaro'!$K$2:$K$1795,$N1409),INDEX('Tabela Passaro'!$K$2:$K$1795,$N1409)+(J1409-100)*INDEX('Tabela Passaro'!$L$2:$L$1795,$N1409))))))</f>
        <v>66.55</v>
      </c>
      <c r="S1409" s="32" t="n">
        <f aca="false">K1409*INDEX('Tabela Passaro'!$M$2:$M$1795,$N1409)</f>
        <v>2.9433</v>
      </c>
      <c r="T1409" s="32" t="n">
        <f aca="false">K1409*INDEX('Tabela Passaro'!$N$2:$N$1795,$N1409)</f>
        <v>1.17732</v>
      </c>
      <c r="U1409" s="32" t="n">
        <f aca="false">INDEX('Tabela Passaro'!$O$2:$O$1795,$N1409)</f>
        <v>5</v>
      </c>
      <c r="V1409" s="32" t="n">
        <f aca="false">ROUNDUP(J1409/INDEX('Tabela Passaro'!$Q$2:$Q$1795,$N1409),0)*INDEX('Tabela Passaro'!$P$2:$P$1795,$N1409)</f>
        <v>5</v>
      </c>
      <c r="W1409" s="32" t="n">
        <f aca="false">INDEX('Tabela Passaro'!$R$2:$R$1795,$N1409)</f>
        <v>30</v>
      </c>
      <c r="X1409" s="32" t="n">
        <f aca="false">ROUNDUP(J1409/INDEX('Tabela Passaro'!$T$2:$T$1795,$N1409),0)*INDEX('Tabela Passaro'!$S$2:$S$1795,$N1409)</f>
        <v>0</v>
      </c>
      <c r="Y1409" s="32" t="n">
        <f aca="false">INDEX('Tabela Passaro'!$U$2:$U$1795,$N1409)</f>
        <v>0</v>
      </c>
      <c r="Z1409" s="32" t="n">
        <f aca="false">INDEX('Tabela Passaro'!$V$2:$V$1795,$N1409)</f>
        <v>0</v>
      </c>
      <c r="AA1409" s="32" t="n">
        <f aca="false">SUM(R1409:Z1409)</f>
        <v>110.67062</v>
      </c>
      <c r="AB1409" s="33" t="n">
        <f aca="false">INDEX(Premissas!$B$5:$B$13,MATCH(A1409,Premissas!$A$5:$A$13,0))</f>
        <v>0.07</v>
      </c>
      <c r="AC1409" s="32" t="n">
        <f aca="false">AA1409/(1-AB1409)-AA1409</f>
        <v>8.33004666666668</v>
      </c>
      <c r="AD1409" s="32" t="n">
        <f aca="false">ROUND(AA1409+AC1409,2)</f>
        <v>119</v>
      </c>
      <c r="AE1409" s="32" t="n">
        <f aca="false">AD1409-L1409</f>
        <v>19.16</v>
      </c>
      <c r="AF1409" s="34" t="n">
        <f aca="false">IF(L1409=0,0,AE1409/L1409)</f>
        <v>0.191907051282051</v>
      </c>
      <c r="AG1409" s="22" t="str">
        <f aca="false">IF(AD1409&lt;L1409,"PASSARO","ATUAL")</f>
        <v>ATUAL</v>
      </c>
      <c r="AH1409" s="22" t="str">
        <f aca="false">IF(P1409&lt;&gt;A1409,"Faixa cadastrada como "&amp;P1409&amp;" na tabela; preço aplicado pela UF do CEP","")</f>
        <v>Faixa cadastrada como PB na tabela; preço aplicado pela UF do CEP</v>
      </c>
      <c r="AI1409" s="26" t="n">
        <v>144.46</v>
      </c>
      <c r="AJ1409" s="22" t="str">
        <f aca="false">INDEX('Tabela Passaro'!$X$2:$X$1795,$N1409)</f>
        <v>CAPITAL</v>
      </c>
    </row>
    <row r="1410" customFormat="false" ht="15" hidden="false" customHeight="false" outlineLevel="0" collapsed="false">
      <c r="A1410" s="22" t="s">
        <v>20</v>
      </c>
      <c r="B1410" s="22" t="n">
        <v>3</v>
      </c>
      <c r="C1410" s="22" t="s">
        <v>151</v>
      </c>
      <c r="D1410" s="22" t="s">
        <v>31</v>
      </c>
      <c r="E1410" s="22" t="s">
        <v>7326</v>
      </c>
      <c r="F1410" s="22" t="n">
        <v>12809403</v>
      </c>
      <c r="G1410" s="30" t="n">
        <v>46252</v>
      </c>
      <c r="H1410" s="22" t="n">
        <v>626067</v>
      </c>
      <c r="I1410" s="22" t="s">
        <v>8617</v>
      </c>
      <c r="J1410" s="31" t="n">
        <v>22.4</v>
      </c>
      <c r="K1410" s="26" t="n">
        <v>451.4</v>
      </c>
      <c r="L1410" s="26" t="n">
        <v>99.1</v>
      </c>
      <c r="M1410" s="22" t="s">
        <v>3929</v>
      </c>
      <c r="N1410" s="22" t="n">
        <f aca="false">MATCH(M1410,'Tabela Passaro'!$A$2:$A$1795,0)</f>
        <v>924</v>
      </c>
      <c r="O1410" s="22" t="str">
        <f aca="false">INDEX('Tabela Passaro'!$C$2:$C$1795,$N1410)</f>
        <v>PAULISTA</v>
      </c>
      <c r="P1410" s="22" t="str">
        <f aca="false">INDEX('Tabela Passaro'!$B$2:$B$1795,$N1410)</f>
        <v>PB</v>
      </c>
      <c r="Q1410" s="22" t="n">
        <f aca="false">INDEX('Tabela Passaro'!$F$2:$F$1795,$N1410)</f>
        <v>13</v>
      </c>
      <c r="R1410" s="32" t="n">
        <f aca="false">IF(J1410&lt;=10,INDEX('Tabela Passaro'!$G$2:$G$1795,$N1410),IF(J1410&lt;=30,INDEX('Tabela Passaro'!$H$2:$H$1795,$N1410),IF(J1410&lt;=50,INDEX('Tabela Passaro'!$I$2:$I$1795,$N1410),IF(J1410&lt;=70,INDEX('Tabela Passaro'!$J$2:$J$1795,$N1410),IF(J1410&lt;=100,INDEX('Tabela Passaro'!$K$2:$K$1795,$N1410),INDEX('Tabela Passaro'!$K$2:$K$1795,$N1410)+(J1410-100)*INDEX('Tabela Passaro'!$L$2:$L$1795,$N1410))))))</f>
        <v>66.55</v>
      </c>
      <c r="S1410" s="32" t="n">
        <f aca="false">K1410*INDEX('Tabela Passaro'!$M$2:$M$1795,$N1410)</f>
        <v>2.257</v>
      </c>
      <c r="T1410" s="32" t="n">
        <f aca="false">K1410*INDEX('Tabela Passaro'!$N$2:$N$1795,$N1410)</f>
        <v>0.9028</v>
      </c>
      <c r="U1410" s="32" t="n">
        <f aca="false">INDEX('Tabela Passaro'!$O$2:$O$1795,$N1410)</f>
        <v>5</v>
      </c>
      <c r="V1410" s="32" t="n">
        <f aca="false">ROUNDUP(J1410/INDEX('Tabela Passaro'!$Q$2:$Q$1795,$N1410),0)*INDEX('Tabela Passaro'!$P$2:$P$1795,$N1410)</f>
        <v>5</v>
      </c>
      <c r="W1410" s="32" t="n">
        <f aca="false">INDEX('Tabela Passaro'!$R$2:$R$1795,$N1410)</f>
        <v>30</v>
      </c>
      <c r="X1410" s="32" t="n">
        <f aca="false">ROUNDUP(J1410/INDEX('Tabela Passaro'!$T$2:$T$1795,$N1410),0)*INDEX('Tabela Passaro'!$S$2:$S$1795,$N1410)</f>
        <v>0</v>
      </c>
      <c r="Y1410" s="32" t="n">
        <f aca="false">INDEX('Tabela Passaro'!$U$2:$U$1795,$N1410)</f>
        <v>0</v>
      </c>
      <c r="Z1410" s="32" t="n">
        <f aca="false">INDEX('Tabela Passaro'!$V$2:$V$1795,$N1410)</f>
        <v>0</v>
      </c>
      <c r="AA1410" s="32" t="n">
        <f aca="false">SUM(R1410:Z1410)</f>
        <v>109.7098</v>
      </c>
      <c r="AB1410" s="33" t="n">
        <f aca="false">INDEX(Premissas!$B$5:$B$13,MATCH(A1410,Premissas!$A$5:$A$13,0))</f>
        <v>0.07</v>
      </c>
      <c r="AC1410" s="32" t="n">
        <f aca="false">AA1410/(1-AB1410)-AA1410</f>
        <v>8.25772688172044</v>
      </c>
      <c r="AD1410" s="32" t="n">
        <f aca="false">ROUND(AA1410+AC1410,2)</f>
        <v>117.97</v>
      </c>
      <c r="AE1410" s="32" t="n">
        <f aca="false">AD1410-L1410</f>
        <v>18.87</v>
      </c>
      <c r="AF1410" s="34" t="n">
        <f aca="false">IF(L1410=0,0,AE1410/L1410)</f>
        <v>0.190413723511605</v>
      </c>
      <c r="AG1410" s="22" t="str">
        <f aca="false">IF(AD1410&lt;L1410,"PASSARO","ATUAL")</f>
        <v>ATUAL</v>
      </c>
      <c r="AH1410" s="22" t="str">
        <f aca="false">IF(P1410&lt;&gt;A1410,"Faixa cadastrada como "&amp;P1410&amp;" na tabela; preço aplicado pela UF do CEP","")</f>
        <v>Faixa cadastrada como PB na tabela; preço aplicado pela UF do CEP</v>
      </c>
      <c r="AI1410" s="26" t="n">
        <v>143.13</v>
      </c>
      <c r="AJ1410" s="22" t="str">
        <f aca="false">INDEX('Tabela Passaro'!$X$2:$X$1795,$N1410)</f>
        <v>CAPITAL</v>
      </c>
    </row>
    <row r="1411" customFormat="false" ht="15" hidden="false" customHeight="false" outlineLevel="0" collapsed="false">
      <c r="A1411" s="22" t="s">
        <v>20</v>
      </c>
      <c r="B1411" s="22" t="n">
        <v>3</v>
      </c>
      <c r="C1411" s="22" t="s">
        <v>151</v>
      </c>
      <c r="D1411" s="22" t="s">
        <v>31</v>
      </c>
      <c r="E1411" s="22" t="s">
        <v>7326</v>
      </c>
      <c r="F1411" s="22" t="n">
        <v>12869001</v>
      </c>
      <c r="G1411" s="30" t="n">
        <v>46265</v>
      </c>
      <c r="H1411" s="22" t="n">
        <v>630625</v>
      </c>
      <c r="I1411" s="22" t="s">
        <v>8618</v>
      </c>
      <c r="J1411" s="31" t="n">
        <v>20.46</v>
      </c>
      <c r="K1411" s="26" t="n">
        <v>379.98</v>
      </c>
      <c r="L1411" s="26" t="n">
        <v>98.61</v>
      </c>
      <c r="M1411" s="22" t="s">
        <v>3929</v>
      </c>
      <c r="N1411" s="22" t="n">
        <f aca="false">MATCH(M1411,'Tabela Passaro'!$A$2:$A$1795,0)</f>
        <v>924</v>
      </c>
      <c r="O1411" s="22" t="str">
        <f aca="false">INDEX('Tabela Passaro'!$C$2:$C$1795,$N1411)</f>
        <v>PAULISTA</v>
      </c>
      <c r="P1411" s="22" t="str">
        <f aca="false">INDEX('Tabela Passaro'!$B$2:$B$1795,$N1411)</f>
        <v>PB</v>
      </c>
      <c r="Q1411" s="22" t="n">
        <f aca="false">INDEX('Tabela Passaro'!$F$2:$F$1795,$N1411)</f>
        <v>13</v>
      </c>
      <c r="R1411" s="32" t="n">
        <f aca="false">IF(J1411&lt;=10,INDEX('Tabela Passaro'!$G$2:$G$1795,$N1411),IF(J1411&lt;=30,INDEX('Tabela Passaro'!$H$2:$H$1795,$N1411),IF(J1411&lt;=50,INDEX('Tabela Passaro'!$I$2:$I$1795,$N1411),IF(J1411&lt;=70,INDEX('Tabela Passaro'!$J$2:$J$1795,$N1411),IF(J1411&lt;=100,INDEX('Tabela Passaro'!$K$2:$K$1795,$N1411),INDEX('Tabela Passaro'!$K$2:$K$1795,$N1411)+(J1411-100)*INDEX('Tabela Passaro'!$L$2:$L$1795,$N1411))))))</f>
        <v>66.55</v>
      </c>
      <c r="S1411" s="32" t="n">
        <f aca="false">K1411*INDEX('Tabela Passaro'!$M$2:$M$1795,$N1411)</f>
        <v>1.8999</v>
      </c>
      <c r="T1411" s="32" t="n">
        <f aca="false">K1411*INDEX('Tabela Passaro'!$N$2:$N$1795,$N1411)</f>
        <v>0.75996</v>
      </c>
      <c r="U1411" s="32" t="n">
        <f aca="false">INDEX('Tabela Passaro'!$O$2:$O$1795,$N1411)</f>
        <v>5</v>
      </c>
      <c r="V1411" s="32" t="n">
        <f aca="false">ROUNDUP(J1411/INDEX('Tabela Passaro'!$Q$2:$Q$1795,$N1411),0)*INDEX('Tabela Passaro'!$P$2:$P$1795,$N1411)</f>
        <v>5</v>
      </c>
      <c r="W1411" s="32" t="n">
        <f aca="false">INDEX('Tabela Passaro'!$R$2:$R$1795,$N1411)</f>
        <v>30</v>
      </c>
      <c r="X1411" s="32" t="n">
        <f aca="false">ROUNDUP(J1411/INDEX('Tabela Passaro'!$T$2:$T$1795,$N1411),0)*INDEX('Tabela Passaro'!$S$2:$S$1795,$N1411)</f>
        <v>0</v>
      </c>
      <c r="Y1411" s="32" t="n">
        <f aca="false">INDEX('Tabela Passaro'!$U$2:$U$1795,$N1411)</f>
        <v>0</v>
      </c>
      <c r="Z1411" s="32" t="n">
        <f aca="false">INDEX('Tabela Passaro'!$V$2:$V$1795,$N1411)</f>
        <v>0</v>
      </c>
      <c r="AA1411" s="32" t="n">
        <f aca="false">SUM(R1411:Z1411)</f>
        <v>109.20986</v>
      </c>
      <c r="AB1411" s="33" t="n">
        <f aca="false">INDEX(Premissas!$B$5:$B$13,MATCH(A1411,Premissas!$A$5:$A$13,0))</f>
        <v>0.07</v>
      </c>
      <c r="AC1411" s="32" t="n">
        <f aca="false">AA1411/(1-AB1411)-AA1411</f>
        <v>8.22009698924732</v>
      </c>
      <c r="AD1411" s="32" t="n">
        <f aca="false">ROUND(AA1411+AC1411,2)</f>
        <v>117.43</v>
      </c>
      <c r="AE1411" s="32" t="n">
        <f aca="false">AD1411-L1411</f>
        <v>18.82</v>
      </c>
      <c r="AF1411" s="34" t="n">
        <f aca="false">IF(L1411=0,0,AE1411/L1411)</f>
        <v>0.190852854680053</v>
      </c>
      <c r="AG1411" s="22" t="str">
        <f aca="false">IF(AD1411&lt;L1411,"PASSARO","ATUAL")</f>
        <v>ATUAL</v>
      </c>
      <c r="AH1411" s="22" t="str">
        <f aca="false">IF(P1411&lt;&gt;A1411,"Faixa cadastrada como "&amp;P1411&amp;" na tabela; preço aplicado pela UF do CEP","")</f>
        <v>Faixa cadastrada como PB na tabela; preço aplicado pela UF do CEP</v>
      </c>
      <c r="AI1411" s="26" t="n">
        <v>141.47</v>
      </c>
      <c r="AJ1411" s="22" t="str">
        <f aca="false">INDEX('Tabela Passaro'!$X$2:$X$1795,$N1411)</f>
        <v>CAPITAL</v>
      </c>
    </row>
    <row r="1412" customFormat="false" ht="15" hidden="false" customHeight="false" outlineLevel="0" collapsed="false">
      <c r="A1412" s="22" t="s">
        <v>20</v>
      </c>
      <c r="B1412" s="22" t="n">
        <v>4</v>
      </c>
      <c r="C1412" s="22" t="s">
        <v>153</v>
      </c>
      <c r="D1412" s="22" t="s">
        <v>30</v>
      </c>
      <c r="E1412" s="22" t="s">
        <v>7328</v>
      </c>
      <c r="F1412" s="22" t="n">
        <v>2307872</v>
      </c>
      <c r="G1412" s="30" t="n">
        <v>46239</v>
      </c>
      <c r="H1412" s="22" t="n">
        <v>131851</v>
      </c>
      <c r="I1412" s="22" t="s">
        <v>8619</v>
      </c>
      <c r="J1412" s="31" t="n">
        <v>37.2</v>
      </c>
      <c r="K1412" s="26" t="n">
        <v>536.55</v>
      </c>
      <c r="L1412" s="26" t="n">
        <v>155.11</v>
      </c>
      <c r="M1412" s="22" t="s">
        <v>4796</v>
      </c>
      <c r="N1412" s="22" t="n">
        <f aca="false">MATCH(M1412,'Tabela Passaro'!$A$2:$A$1795,0)</f>
        <v>1148</v>
      </c>
      <c r="O1412" s="22" t="str">
        <f aca="false">INDEX('Tabela Passaro'!$C$2:$C$1795,$N1412)</f>
        <v>OLINDA</v>
      </c>
      <c r="P1412" s="22" t="str">
        <f aca="false">INDEX('Tabela Passaro'!$B$2:$B$1795,$N1412)</f>
        <v>PE</v>
      </c>
      <c r="Q1412" s="22" t="n">
        <f aca="false">INDEX('Tabela Passaro'!$F$2:$F$1795,$N1412)</f>
        <v>8</v>
      </c>
      <c r="R1412" s="32" t="n">
        <f aca="false">IF(J1412&lt;=10,INDEX('Tabela Passaro'!$G$2:$G$1795,$N1412),IF(J1412&lt;=30,INDEX('Tabela Passaro'!$H$2:$H$1795,$N1412),IF(J1412&lt;=50,INDEX('Tabela Passaro'!$I$2:$I$1795,$N1412),IF(J1412&lt;=70,INDEX('Tabela Passaro'!$J$2:$J$1795,$N1412),IF(J1412&lt;=100,INDEX('Tabela Passaro'!$K$2:$K$1795,$N1412),INDEX('Tabela Passaro'!$K$2:$K$1795,$N1412)+(J1412-100)*INDEX('Tabela Passaro'!$L$2:$L$1795,$N1412))))))</f>
        <v>88.59</v>
      </c>
      <c r="S1412" s="32" t="n">
        <f aca="false">K1412*INDEX('Tabela Passaro'!$M$2:$M$1795,$N1412)</f>
        <v>2.68275</v>
      </c>
      <c r="T1412" s="32" t="n">
        <f aca="false">K1412*INDEX('Tabela Passaro'!$N$2:$N$1795,$N1412)</f>
        <v>1.0731</v>
      </c>
      <c r="U1412" s="32" t="n">
        <f aca="false">INDEX('Tabela Passaro'!$O$2:$O$1795,$N1412)</f>
        <v>5</v>
      </c>
      <c r="V1412" s="32" t="n">
        <f aca="false">ROUNDUP(J1412/INDEX('Tabela Passaro'!$Q$2:$Q$1795,$N1412),0)*INDEX('Tabela Passaro'!$P$2:$P$1795,$N1412)</f>
        <v>5</v>
      </c>
      <c r="W1412" s="32" t="n">
        <f aca="false">INDEX('Tabela Passaro'!$R$2:$R$1795,$N1412)</f>
        <v>30</v>
      </c>
      <c r="X1412" s="32" t="n">
        <f aca="false">ROUNDUP(J1412/INDEX('Tabela Passaro'!$T$2:$T$1795,$N1412),0)*INDEX('Tabela Passaro'!$S$2:$S$1795,$N1412)</f>
        <v>0</v>
      </c>
      <c r="Y1412" s="32" t="n">
        <f aca="false">INDEX('Tabela Passaro'!$U$2:$U$1795,$N1412)</f>
        <v>0</v>
      </c>
      <c r="Z1412" s="32" t="n">
        <f aca="false">INDEX('Tabela Passaro'!$V$2:$V$1795,$N1412)</f>
        <v>0</v>
      </c>
      <c r="AA1412" s="32" t="n">
        <f aca="false">SUM(R1412:Z1412)</f>
        <v>132.34585</v>
      </c>
      <c r="AB1412" s="33" t="n">
        <f aca="false">INDEX(Premissas!$B$5:$B$13,MATCH(A1412,Premissas!$A$5:$A$13,0))</f>
        <v>0.07</v>
      </c>
      <c r="AC1412" s="32" t="n">
        <f aca="false">AA1412/(1-AB1412)-AA1412</f>
        <v>9.96151559139787</v>
      </c>
      <c r="AD1412" s="32" t="n">
        <f aca="false">ROUND(AA1412+AC1412,2)</f>
        <v>142.31</v>
      </c>
      <c r="AE1412" s="32" t="n">
        <f aca="false">AD1412-L1412</f>
        <v>-12.8</v>
      </c>
      <c r="AF1412" s="34" t="n">
        <f aca="false">IF(L1412=0,0,AE1412/L1412)</f>
        <v>-0.0825220811037329</v>
      </c>
      <c r="AG1412" s="22" t="str">
        <f aca="false">IF(AD1412&lt;L1412,"PASSARO","ATUAL")</f>
        <v>PASSARO</v>
      </c>
      <c r="AH1412" s="22" t="str">
        <f aca="false">IF(P1412&lt;&gt;A1412,"Faixa cadastrada como "&amp;P1412&amp;" na tabela; preço aplicado pela UF do CEP","")</f>
        <v/>
      </c>
      <c r="AI1412" s="26" t="n">
        <v>172.67</v>
      </c>
      <c r="AJ1412" s="22" t="str">
        <f aca="false">INDEX('Tabela Passaro'!$X$2:$X$1795,$N1412)</f>
        <v>CAPITAL</v>
      </c>
    </row>
    <row r="1413" customFormat="false" ht="15" hidden="false" customHeight="false" outlineLevel="0" collapsed="false">
      <c r="A1413" s="22" t="s">
        <v>20</v>
      </c>
      <c r="B1413" s="22" t="n">
        <v>4</v>
      </c>
      <c r="C1413" s="22" t="s">
        <v>153</v>
      </c>
      <c r="D1413" s="22" t="s">
        <v>30</v>
      </c>
      <c r="E1413" s="22" t="s">
        <v>7328</v>
      </c>
      <c r="F1413" s="22" t="n">
        <v>2307969</v>
      </c>
      <c r="G1413" s="30" t="n">
        <v>46239</v>
      </c>
      <c r="H1413" s="22" t="n">
        <v>131957</v>
      </c>
      <c r="I1413" s="22" t="s">
        <v>8620</v>
      </c>
      <c r="J1413" s="31" t="n">
        <v>27.3</v>
      </c>
      <c r="K1413" s="26" t="n">
        <v>457.48</v>
      </c>
      <c r="L1413" s="26" t="n">
        <v>118.61</v>
      </c>
      <c r="M1413" s="22" t="s">
        <v>4796</v>
      </c>
      <c r="N1413" s="22" t="n">
        <f aca="false">MATCH(M1413,'Tabela Passaro'!$A$2:$A$1795,0)</f>
        <v>1148</v>
      </c>
      <c r="O1413" s="22" t="str">
        <f aca="false">INDEX('Tabela Passaro'!$C$2:$C$1795,$N1413)</f>
        <v>OLINDA</v>
      </c>
      <c r="P1413" s="22" t="str">
        <f aca="false">INDEX('Tabela Passaro'!$B$2:$B$1795,$N1413)</f>
        <v>PE</v>
      </c>
      <c r="Q1413" s="22" t="n">
        <f aca="false">INDEX('Tabela Passaro'!$F$2:$F$1795,$N1413)</f>
        <v>8</v>
      </c>
      <c r="R1413" s="32" t="n">
        <f aca="false">IF(J1413&lt;=10,INDEX('Tabela Passaro'!$G$2:$G$1795,$N1413),IF(J1413&lt;=30,INDEX('Tabela Passaro'!$H$2:$H$1795,$N1413),IF(J1413&lt;=50,INDEX('Tabela Passaro'!$I$2:$I$1795,$N1413),IF(J1413&lt;=70,INDEX('Tabela Passaro'!$J$2:$J$1795,$N1413),IF(J1413&lt;=100,INDEX('Tabela Passaro'!$K$2:$K$1795,$N1413),INDEX('Tabela Passaro'!$K$2:$K$1795,$N1413)+(J1413-100)*INDEX('Tabela Passaro'!$L$2:$L$1795,$N1413))))))</f>
        <v>66.55</v>
      </c>
      <c r="S1413" s="32" t="n">
        <f aca="false">K1413*INDEX('Tabela Passaro'!$M$2:$M$1795,$N1413)</f>
        <v>2.2874</v>
      </c>
      <c r="T1413" s="32" t="n">
        <f aca="false">K1413*INDEX('Tabela Passaro'!$N$2:$N$1795,$N1413)</f>
        <v>0.91496</v>
      </c>
      <c r="U1413" s="32" t="n">
        <f aca="false">INDEX('Tabela Passaro'!$O$2:$O$1795,$N1413)</f>
        <v>5</v>
      </c>
      <c r="V1413" s="32" t="n">
        <f aca="false">ROUNDUP(J1413/INDEX('Tabela Passaro'!$Q$2:$Q$1795,$N1413),0)*INDEX('Tabela Passaro'!$P$2:$P$1795,$N1413)</f>
        <v>5</v>
      </c>
      <c r="W1413" s="32" t="n">
        <f aca="false">INDEX('Tabela Passaro'!$R$2:$R$1795,$N1413)</f>
        <v>30</v>
      </c>
      <c r="X1413" s="32" t="n">
        <f aca="false">ROUNDUP(J1413/INDEX('Tabela Passaro'!$T$2:$T$1795,$N1413),0)*INDEX('Tabela Passaro'!$S$2:$S$1795,$N1413)</f>
        <v>0</v>
      </c>
      <c r="Y1413" s="32" t="n">
        <f aca="false">INDEX('Tabela Passaro'!$U$2:$U$1795,$N1413)</f>
        <v>0</v>
      </c>
      <c r="Z1413" s="32" t="n">
        <f aca="false">INDEX('Tabela Passaro'!$V$2:$V$1795,$N1413)</f>
        <v>0</v>
      </c>
      <c r="AA1413" s="32" t="n">
        <f aca="false">SUM(R1413:Z1413)</f>
        <v>109.75236</v>
      </c>
      <c r="AB1413" s="33" t="n">
        <f aca="false">INDEX(Premissas!$B$5:$B$13,MATCH(A1413,Premissas!$A$5:$A$13,0))</f>
        <v>0.07</v>
      </c>
      <c r="AC1413" s="32" t="n">
        <f aca="false">AA1413/(1-AB1413)-AA1413</f>
        <v>8.26093032258065</v>
      </c>
      <c r="AD1413" s="32" t="n">
        <f aca="false">ROUND(AA1413+AC1413,2)</f>
        <v>118.01</v>
      </c>
      <c r="AE1413" s="32" t="n">
        <f aca="false">AD1413-L1413</f>
        <v>-0.599999999999994</v>
      </c>
      <c r="AF1413" s="34" t="n">
        <f aca="false">IF(L1413=0,0,AE1413/L1413)</f>
        <v>-0.00505859539667814</v>
      </c>
      <c r="AG1413" s="22" t="str">
        <f aca="false">IF(AD1413&lt;L1413,"PASSARO","ATUAL")</f>
        <v>PASSARO</v>
      </c>
      <c r="AH1413" s="22" t="str">
        <f aca="false">IF(P1413&lt;&gt;A1413,"Faixa cadastrada como "&amp;P1413&amp;" na tabela; preço aplicado pela UF do CEP","")</f>
        <v/>
      </c>
      <c r="AI1413" s="26" t="n">
        <v>142.01</v>
      </c>
      <c r="AJ1413" s="22" t="str">
        <f aca="false">INDEX('Tabela Passaro'!$X$2:$X$1795,$N1413)</f>
        <v>CAPITAL</v>
      </c>
    </row>
    <row r="1414" customFormat="false" ht="15" hidden="false" customHeight="false" outlineLevel="0" collapsed="false">
      <c r="A1414" s="22" t="s">
        <v>20</v>
      </c>
      <c r="B1414" s="22" t="n">
        <v>4</v>
      </c>
      <c r="C1414" s="22" t="s">
        <v>153</v>
      </c>
      <c r="D1414" s="22" t="s">
        <v>30</v>
      </c>
      <c r="E1414" s="22" t="s">
        <v>7326</v>
      </c>
      <c r="F1414" s="22" t="n">
        <v>522623</v>
      </c>
      <c r="G1414" s="30" t="n">
        <v>46239</v>
      </c>
      <c r="H1414" s="22" t="n">
        <v>620531</v>
      </c>
      <c r="I1414" s="22" t="s">
        <v>8621</v>
      </c>
      <c r="J1414" s="31" t="n">
        <v>24.4</v>
      </c>
      <c r="K1414" s="26" t="n">
        <v>511.98</v>
      </c>
      <c r="L1414" s="26" t="n">
        <v>129.14</v>
      </c>
      <c r="M1414" s="22" t="s">
        <v>4796</v>
      </c>
      <c r="N1414" s="22" t="n">
        <f aca="false">MATCH(M1414,'Tabela Passaro'!$A$2:$A$1795,0)</f>
        <v>1148</v>
      </c>
      <c r="O1414" s="22" t="str">
        <f aca="false">INDEX('Tabela Passaro'!$C$2:$C$1795,$N1414)</f>
        <v>OLINDA</v>
      </c>
      <c r="P1414" s="22" t="str">
        <f aca="false">INDEX('Tabela Passaro'!$B$2:$B$1795,$N1414)</f>
        <v>PE</v>
      </c>
      <c r="Q1414" s="22" t="n">
        <f aca="false">INDEX('Tabela Passaro'!$F$2:$F$1795,$N1414)</f>
        <v>8</v>
      </c>
      <c r="R1414" s="32" t="n">
        <f aca="false">IF(J1414&lt;=10,INDEX('Tabela Passaro'!$G$2:$G$1795,$N1414),IF(J1414&lt;=30,INDEX('Tabela Passaro'!$H$2:$H$1795,$N1414),IF(J1414&lt;=50,INDEX('Tabela Passaro'!$I$2:$I$1795,$N1414),IF(J1414&lt;=70,INDEX('Tabela Passaro'!$J$2:$J$1795,$N1414),IF(J1414&lt;=100,INDEX('Tabela Passaro'!$K$2:$K$1795,$N1414),INDEX('Tabela Passaro'!$K$2:$K$1795,$N1414)+(J1414-100)*INDEX('Tabela Passaro'!$L$2:$L$1795,$N1414))))))</f>
        <v>66.55</v>
      </c>
      <c r="S1414" s="32" t="n">
        <f aca="false">K1414*INDEX('Tabela Passaro'!$M$2:$M$1795,$N1414)</f>
        <v>2.5599</v>
      </c>
      <c r="T1414" s="32" t="n">
        <f aca="false">K1414*INDEX('Tabela Passaro'!$N$2:$N$1795,$N1414)</f>
        <v>1.02396</v>
      </c>
      <c r="U1414" s="32" t="n">
        <f aca="false">INDEX('Tabela Passaro'!$O$2:$O$1795,$N1414)</f>
        <v>5</v>
      </c>
      <c r="V1414" s="32" t="n">
        <f aca="false">ROUNDUP(J1414/INDEX('Tabela Passaro'!$Q$2:$Q$1795,$N1414),0)*INDEX('Tabela Passaro'!$P$2:$P$1795,$N1414)</f>
        <v>5</v>
      </c>
      <c r="W1414" s="32" t="n">
        <f aca="false">INDEX('Tabela Passaro'!$R$2:$R$1795,$N1414)</f>
        <v>30</v>
      </c>
      <c r="X1414" s="32" t="n">
        <f aca="false">ROUNDUP(J1414/INDEX('Tabela Passaro'!$T$2:$T$1795,$N1414),0)*INDEX('Tabela Passaro'!$S$2:$S$1795,$N1414)</f>
        <v>0</v>
      </c>
      <c r="Y1414" s="32" t="n">
        <f aca="false">INDEX('Tabela Passaro'!$U$2:$U$1795,$N1414)</f>
        <v>0</v>
      </c>
      <c r="Z1414" s="32" t="n">
        <f aca="false">INDEX('Tabela Passaro'!$V$2:$V$1795,$N1414)</f>
        <v>0</v>
      </c>
      <c r="AA1414" s="32" t="n">
        <f aca="false">SUM(R1414:Z1414)</f>
        <v>110.13386</v>
      </c>
      <c r="AB1414" s="33" t="n">
        <f aca="false">INDEX(Premissas!$B$5:$B$13,MATCH(A1414,Premissas!$A$5:$A$13,0))</f>
        <v>0.07</v>
      </c>
      <c r="AC1414" s="32" t="n">
        <f aca="false">AA1414/(1-AB1414)-AA1414</f>
        <v>8.2896453763441</v>
      </c>
      <c r="AD1414" s="32" t="n">
        <f aca="false">ROUND(AA1414+AC1414,2)</f>
        <v>118.42</v>
      </c>
      <c r="AE1414" s="32" t="n">
        <f aca="false">AD1414-L1414</f>
        <v>-10.72</v>
      </c>
      <c r="AF1414" s="34" t="n">
        <f aca="false">IF(L1414=0,0,AE1414/L1414)</f>
        <v>-0.0830106860771255</v>
      </c>
      <c r="AG1414" s="22" t="str">
        <f aca="false">IF(AD1414&lt;L1414,"PASSARO","ATUAL")</f>
        <v>PASSARO</v>
      </c>
      <c r="AH1414" s="22" t="str">
        <f aca="false">IF(P1414&lt;&gt;A1414,"Faixa cadastrada como "&amp;P1414&amp;" na tabela; preço aplicado pela UF do CEP","")</f>
        <v/>
      </c>
      <c r="AI1414" s="26" t="n">
        <v>141.08</v>
      </c>
      <c r="AJ1414" s="22" t="str">
        <f aca="false">INDEX('Tabela Passaro'!$X$2:$X$1795,$N1414)</f>
        <v>CAPITAL</v>
      </c>
    </row>
    <row r="1415" customFormat="false" ht="15" hidden="false" customHeight="false" outlineLevel="0" collapsed="false">
      <c r="A1415" s="22" t="s">
        <v>20</v>
      </c>
      <c r="B1415" s="22" t="n">
        <v>4</v>
      </c>
      <c r="C1415" s="22" t="s">
        <v>153</v>
      </c>
      <c r="D1415" s="22" t="s">
        <v>30</v>
      </c>
      <c r="E1415" s="22" t="s">
        <v>7326</v>
      </c>
      <c r="F1415" s="22" t="n">
        <v>522848</v>
      </c>
      <c r="G1415" s="30" t="n">
        <v>46240</v>
      </c>
      <c r="H1415" s="22" t="n">
        <v>620940</v>
      </c>
      <c r="I1415" s="22" t="s">
        <v>8622</v>
      </c>
      <c r="J1415" s="31" t="n">
        <v>33</v>
      </c>
      <c r="K1415" s="26" t="n">
        <v>681.02</v>
      </c>
      <c r="L1415" s="26" t="n">
        <v>177.1</v>
      </c>
      <c r="M1415" s="22" t="s">
        <v>4796</v>
      </c>
      <c r="N1415" s="22" t="n">
        <f aca="false">MATCH(M1415,'Tabela Passaro'!$A$2:$A$1795,0)</f>
        <v>1148</v>
      </c>
      <c r="O1415" s="22" t="str">
        <f aca="false">INDEX('Tabela Passaro'!$C$2:$C$1795,$N1415)</f>
        <v>OLINDA</v>
      </c>
      <c r="P1415" s="22" t="str">
        <f aca="false">INDEX('Tabela Passaro'!$B$2:$B$1795,$N1415)</f>
        <v>PE</v>
      </c>
      <c r="Q1415" s="22" t="n">
        <f aca="false">INDEX('Tabela Passaro'!$F$2:$F$1795,$N1415)</f>
        <v>8</v>
      </c>
      <c r="R1415" s="32" t="n">
        <f aca="false">IF(J1415&lt;=10,INDEX('Tabela Passaro'!$G$2:$G$1795,$N1415),IF(J1415&lt;=30,INDEX('Tabela Passaro'!$H$2:$H$1795,$N1415),IF(J1415&lt;=50,INDEX('Tabela Passaro'!$I$2:$I$1795,$N1415),IF(J1415&lt;=70,INDEX('Tabela Passaro'!$J$2:$J$1795,$N1415),IF(J1415&lt;=100,INDEX('Tabela Passaro'!$K$2:$K$1795,$N1415),INDEX('Tabela Passaro'!$K$2:$K$1795,$N1415)+(J1415-100)*INDEX('Tabela Passaro'!$L$2:$L$1795,$N1415))))))</f>
        <v>88.59</v>
      </c>
      <c r="S1415" s="32" t="n">
        <f aca="false">K1415*INDEX('Tabela Passaro'!$M$2:$M$1795,$N1415)</f>
        <v>3.4051</v>
      </c>
      <c r="T1415" s="32" t="n">
        <f aca="false">K1415*INDEX('Tabela Passaro'!$N$2:$N$1795,$N1415)</f>
        <v>1.36204</v>
      </c>
      <c r="U1415" s="32" t="n">
        <f aca="false">INDEX('Tabela Passaro'!$O$2:$O$1795,$N1415)</f>
        <v>5</v>
      </c>
      <c r="V1415" s="32" t="n">
        <f aca="false">ROUNDUP(J1415/INDEX('Tabela Passaro'!$Q$2:$Q$1795,$N1415),0)*INDEX('Tabela Passaro'!$P$2:$P$1795,$N1415)</f>
        <v>5</v>
      </c>
      <c r="W1415" s="32" t="n">
        <f aca="false">INDEX('Tabela Passaro'!$R$2:$R$1795,$N1415)</f>
        <v>30</v>
      </c>
      <c r="X1415" s="32" t="n">
        <f aca="false">ROUNDUP(J1415/INDEX('Tabela Passaro'!$T$2:$T$1795,$N1415),0)*INDEX('Tabela Passaro'!$S$2:$S$1795,$N1415)</f>
        <v>0</v>
      </c>
      <c r="Y1415" s="32" t="n">
        <f aca="false">INDEX('Tabela Passaro'!$U$2:$U$1795,$N1415)</f>
        <v>0</v>
      </c>
      <c r="Z1415" s="32" t="n">
        <f aca="false">INDEX('Tabela Passaro'!$V$2:$V$1795,$N1415)</f>
        <v>0</v>
      </c>
      <c r="AA1415" s="32" t="n">
        <f aca="false">SUM(R1415:Z1415)</f>
        <v>133.35714</v>
      </c>
      <c r="AB1415" s="33" t="n">
        <f aca="false">INDEX(Premissas!$B$5:$B$13,MATCH(A1415,Premissas!$A$5:$A$13,0))</f>
        <v>0.07</v>
      </c>
      <c r="AC1415" s="32" t="n">
        <f aca="false">AA1415/(1-AB1415)-AA1415</f>
        <v>10.0376341935484</v>
      </c>
      <c r="AD1415" s="32" t="n">
        <f aca="false">ROUND(AA1415+AC1415,2)</f>
        <v>143.39</v>
      </c>
      <c r="AE1415" s="32" t="n">
        <f aca="false">AD1415-L1415</f>
        <v>-33.71</v>
      </c>
      <c r="AF1415" s="34" t="n">
        <f aca="false">IF(L1415=0,0,AE1415/L1415)</f>
        <v>-0.190344438170525</v>
      </c>
      <c r="AG1415" s="22" t="str">
        <f aca="false">IF(AD1415&lt;L1415,"PASSARO","ATUAL")</f>
        <v>PASSARO</v>
      </c>
      <c r="AH1415" s="22" t="str">
        <f aca="false">IF(P1415&lt;&gt;A1415,"Faixa cadastrada como "&amp;P1415&amp;" na tabela; preço aplicado pela UF do CEP","")</f>
        <v/>
      </c>
      <c r="AI1415" s="26" t="n">
        <v>171.64</v>
      </c>
      <c r="AJ1415" s="22" t="str">
        <f aca="false">INDEX('Tabela Passaro'!$X$2:$X$1795,$N1415)</f>
        <v>CAPITAL</v>
      </c>
    </row>
    <row r="1416" customFormat="false" ht="15" hidden="false" customHeight="false" outlineLevel="0" collapsed="false">
      <c r="A1416" s="22" t="s">
        <v>20</v>
      </c>
      <c r="B1416" s="22" t="n">
        <v>4</v>
      </c>
      <c r="C1416" s="22" t="s">
        <v>153</v>
      </c>
      <c r="D1416" s="22" t="s">
        <v>30</v>
      </c>
      <c r="E1416" s="22" t="s">
        <v>7326</v>
      </c>
      <c r="F1416" s="22" t="n">
        <v>523073</v>
      </c>
      <c r="G1416" s="30" t="n">
        <v>46241</v>
      </c>
      <c r="H1416" s="22" t="n">
        <v>621369</v>
      </c>
      <c r="I1416" s="22" t="s">
        <v>8623</v>
      </c>
      <c r="J1416" s="31" t="n">
        <v>125.6</v>
      </c>
      <c r="K1416" s="26" t="n">
        <v>2209.97</v>
      </c>
      <c r="L1416" s="26" t="n">
        <v>369.18</v>
      </c>
      <c r="M1416" s="22" t="s">
        <v>4796</v>
      </c>
      <c r="N1416" s="22" t="n">
        <f aca="false">MATCH(M1416,'Tabela Passaro'!$A$2:$A$1795,0)</f>
        <v>1148</v>
      </c>
      <c r="O1416" s="22" t="str">
        <f aca="false">INDEX('Tabela Passaro'!$C$2:$C$1795,$N1416)</f>
        <v>OLINDA</v>
      </c>
      <c r="P1416" s="22" t="str">
        <f aca="false">INDEX('Tabela Passaro'!$B$2:$B$1795,$N1416)</f>
        <v>PE</v>
      </c>
      <c r="Q1416" s="22" t="n">
        <f aca="false">INDEX('Tabela Passaro'!$F$2:$F$1795,$N1416)</f>
        <v>8</v>
      </c>
      <c r="R1416" s="32" t="n">
        <f aca="false">IF(J1416&lt;=10,INDEX('Tabela Passaro'!$G$2:$G$1795,$N1416),IF(J1416&lt;=30,INDEX('Tabela Passaro'!$H$2:$H$1795,$N1416),IF(J1416&lt;=50,INDEX('Tabela Passaro'!$I$2:$I$1795,$N1416),IF(J1416&lt;=70,INDEX('Tabela Passaro'!$J$2:$J$1795,$N1416),IF(J1416&lt;=100,INDEX('Tabela Passaro'!$K$2:$K$1795,$N1416),INDEX('Tabela Passaro'!$K$2:$K$1795,$N1416)+(J1416-100)*INDEX('Tabela Passaro'!$L$2:$L$1795,$N1416))))))</f>
        <v>157.868</v>
      </c>
      <c r="S1416" s="32" t="n">
        <f aca="false">K1416*INDEX('Tabela Passaro'!$M$2:$M$1795,$N1416)</f>
        <v>11.04985</v>
      </c>
      <c r="T1416" s="32" t="n">
        <f aca="false">K1416*INDEX('Tabela Passaro'!$N$2:$N$1795,$N1416)</f>
        <v>4.41994</v>
      </c>
      <c r="U1416" s="32" t="n">
        <f aca="false">INDEX('Tabela Passaro'!$O$2:$O$1795,$N1416)</f>
        <v>5</v>
      </c>
      <c r="V1416" s="32" t="n">
        <f aca="false">ROUNDUP(J1416/INDEX('Tabela Passaro'!$Q$2:$Q$1795,$N1416),0)*INDEX('Tabela Passaro'!$P$2:$P$1795,$N1416)</f>
        <v>10</v>
      </c>
      <c r="W1416" s="32" t="n">
        <f aca="false">INDEX('Tabela Passaro'!$R$2:$R$1795,$N1416)</f>
        <v>30</v>
      </c>
      <c r="X1416" s="32" t="n">
        <f aca="false">ROUNDUP(J1416/INDEX('Tabela Passaro'!$T$2:$T$1795,$N1416),0)*INDEX('Tabela Passaro'!$S$2:$S$1795,$N1416)</f>
        <v>0</v>
      </c>
      <c r="Y1416" s="32" t="n">
        <f aca="false">INDEX('Tabela Passaro'!$U$2:$U$1795,$N1416)</f>
        <v>0</v>
      </c>
      <c r="Z1416" s="32" t="n">
        <f aca="false">INDEX('Tabela Passaro'!$V$2:$V$1795,$N1416)</f>
        <v>0</v>
      </c>
      <c r="AA1416" s="32" t="n">
        <f aca="false">SUM(R1416:Z1416)</f>
        <v>218.33779</v>
      </c>
      <c r="AB1416" s="33" t="n">
        <f aca="false">INDEX(Premissas!$B$5:$B$13,MATCH(A1416,Premissas!$A$5:$A$13,0))</f>
        <v>0.07</v>
      </c>
      <c r="AC1416" s="32" t="n">
        <f aca="false">AA1416/(1-AB1416)-AA1416</f>
        <v>16.4340272043011</v>
      </c>
      <c r="AD1416" s="32" t="n">
        <f aca="false">ROUND(AA1416+AC1416,2)</f>
        <v>234.77</v>
      </c>
      <c r="AE1416" s="32" t="n">
        <f aca="false">AD1416-L1416</f>
        <v>-134.41</v>
      </c>
      <c r="AF1416" s="34" t="n">
        <f aca="false">IF(L1416=0,0,AE1416/L1416)</f>
        <v>-0.364077143940625</v>
      </c>
      <c r="AG1416" s="22" t="str">
        <f aca="false">IF(AD1416&lt;L1416,"PASSARO","ATUAL")</f>
        <v>PASSARO</v>
      </c>
      <c r="AH1416" s="22" t="str">
        <f aca="false">IF(P1416&lt;&gt;A1416,"Faixa cadastrada como "&amp;P1416&amp;" na tabela; preço aplicado pela UF do CEP","")</f>
        <v/>
      </c>
      <c r="AI1416" s="26" t="n">
        <v>318.5</v>
      </c>
      <c r="AJ1416" s="22" t="str">
        <f aca="false">INDEX('Tabela Passaro'!$X$2:$X$1795,$N1416)</f>
        <v>CAPITAL</v>
      </c>
    </row>
    <row r="1417" customFormat="false" ht="15" hidden="false" customHeight="false" outlineLevel="0" collapsed="false">
      <c r="A1417" s="22" t="s">
        <v>20</v>
      </c>
      <c r="B1417" s="22" t="n">
        <v>4</v>
      </c>
      <c r="C1417" s="22" t="s">
        <v>153</v>
      </c>
      <c r="D1417" s="22" t="s">
        <v>30</v>
      </c>
      <c r="E1417" s="22" t="s">
        <v>7326</v>
      </c>
      <c r="F1417" s="22" t="n">
        <v>523680</v>
      </c>
      <c r="G1417" s="30" t="n">
        <v>46244</v>
      </c>
      <c r="H1417" s="22" t="n">
        <v>622504</v>
      </c>
      <c r="I1417" s="22" t="s">
        <v>8624</v>
      </c>
      <c r="J1417" s="31" t="n">
        <v>107.7</v>
      </c>
      <c r="K1417" s="26" t="n">
        <v>1654.98</v>
      </c>
      <c r="L1417" s="26" t="n">
        <v>332.39</v>
      </c>
      <c r="M1417" s="22" t="s">
        <v>4796</v>
      </c>
      <c r="N1417" s="22" t="n">
        <f aca="false">MATCH(M1417,'Tabela Passaro'!$A$2:$A$1795,0)</f>
        <v>1148</v>
      </c>
      <c r="O1417" s="22" t="str">
        <f aca="false">INDEX('Tabela Passaro'!$C$2:$C$1795,$N1417)</f>
        <v>OLINDA</v>
      </c>
      <c r="P1417" s="22" t="str">
        <f aca="false">INDEX('Tabela Passaro'!$B$2:$B$1795,$N1417)</f>
        <v>PE</v>
      </c>
      <c r="Q1417" s="22" t="n">
        <f aca="false">INDEX('Tabela Passaro'!$F$2:$F$1795,$N1417)</f>
        <v>8</v>
      </c>
      <c r="R1417" s="32" t="n">
        <f aca="false">IF(J1417&lt;=10,INDEX('Tabela Passaro'!$G$2:$G$1795,$N1417),IF(J1417&lt;=30,INDEX('Tabela Passaro'!$H$2:$H$1795,$N1417),IF(J1417&lt;=50,INDEX('Tabela Passaro'!$I$2:$I$1795,$N1417),IF(J1417&lt;=70,INDEX('Tabela Passaro'!$J$2:$J$1795,$N1417),IF(J1417&lt;=100,INDEX('Tabela Passaro'!$K$2:$K$1795,$N1417),INDEX('Tabela Passaro'!$K$2:$K$1795,$N1417)+(J1417-100)*INDEX('Tabela Passaro'!$L$2:$L$1795,$N1417))))))</f>
        <v>128.691</v>
      </c>
      <c r="S1417" s="32" t="n">
        <f aca="false">K1417*INDEX('Tabela Passaro'!$M$2:$M$1795,$N1417)</f>
        <v>8.2749</v>
      </c>
      <c r="T1417" s="32" t="n">
        <f aca="false">K1417*INDEX('Tabela Passaro'!$N$2:$N$1795,$N1417)</f>
        <v>3.30996</v>
      </c>
      <c r="U1417" s="32" t="n">
        <f aca="false">INDEX('Tabela Passaro'!$O$2:$O$1795,$N1417)</f>
        <v>5</v>
      </c>
      <c r="V1417" s="32" t="n">
        <f aca="false">ROUNDUP(J1417/INDEX('Tabela Passaro'!$Q$2:$Q$1795,$N1417),0)*INDEX('Tabela Passaro'!$P$2:$P$1795,$N1417)</f>
        <v>10</v>
      </c>
      <c r="W1417" s="32" t="n">
        <f aca="false">INDEX('Tabela Passaro'!$R$2:$R$1795,$N1417)</f>
        <v>30</v>
      </c>
      <c r="X1417" s="32" t="n">
        <f aca="false">ROUNDUP(J1417/INDEX('Tabela Passaro'!$T$2:$T$1795,$N1417),0)*INDEX('Tabela Passaro'!$S$2:$S$1795,$N1417)</f>
        <v>0</v>
      </c>
      <c r="Y1417" s="32" t="n">
        <f aca="false">INDEX('Tabela Passaro'!$U$2:$U$1795,$N1417)</f>
        <v>0</v>
      </c>
      <c r="Z1417" s="32" t="n">
        <f aca="false">INDEX('Tabela Passaro'!$V$2:$V$1795,$N1417)</f>
        <v>0</v>
      </c>
      <c r="AA1417" s="32" t="n">
        <f aca="false">SUM(R1417:Z1417)</f>
        <v>185.27586</v>
      </c>
      <c r="AB1417" s="33" t="n">
        <f aca="false">INDEX(Premissas!$B$5:$B$13,MATCH(A1417,Premissas!$A$5:$A$13,0))</f>
        <v>0.07</v>
      </c>
      <c r="AC1417" s="32" t="n">
        <f aca="false">AA1417/(1-AB1417)-AA1417</f>
        <v>13.9454948387097</v>
      </c>
      <c r="AD1417" s="32" t="n">
        <f aca="false">ROUND(AA1417+AC1417,2)</f>
        <v>199.22</v>
      </c>
      <c r="AE1417" s="32" t="n">
        <f aca="false">AD1417-L1417</f>
        <v>-133.17</v>
      </c>
      <c r="AF1417" s="34" t="n">
        <f aca="false">IF(L1417=0,0,AE1417/L1417)</f>
        <v>-0.400643822016306</v>
      </c>
      <c r="AG1417" s="22" t="str">
        <f aca="false">IF(AD1417&lt;L1417,"PASSARO","ATUAL")</f>
        <v>PASSARO</v>
      </c>
      <c r="AH1417" s="22" t="str">
        <f aca="false">IF(P1417&lt;&gt;A1417,"Faixa cadastrada como "&amp;P1417&amp;" na tabela; preço aplicado pela UF do CEP","")</f>
        <v/>
      </c>
      <c r="AI1417" s="26" t="n">
        <v>269.2</v>
      </c>
      <c r="AJ1417" s="22" t="str">
        <f aca="false">INDEX('Tabela Passaro'!$X$2:$X$1795,$N1417)</f>
        <v>CAPITAL</v>
      </c>
    </row>
    <row r="1418" customFormat="false" ht="15" hidden="false" customHeight="false" outlineLevel="0" collapsed="false">
      <c r="A1418" s="22" t="s">
        <v>20</v>
      </c>
      <c r="B1418" s="22" t="n">
        <v>4</v>
      </c>
      <c r="C1418" s="22" t="s">
        <v>153</v>
      </c>
      <c r="D1418" s="22" t="s">
        <v>30</v>
      </c>
      <c r="E1418" s="22" t="s">
        <v>7326</v>
      </c>
      <c r="F1418" s="22" t="n">
        <v>523875</v>
      </c>
      <c r="G1418" s="30" t="n">
        <v>46245</v>
      </c>
      <c r="H1418" s="22" t="n">
        <v>623718</v>
      </c>
      <c r="I1418" s="22" t="s">
        <v>8625</v>
      </c>
      <c r="J1418" s="31" t="n">
        <v>7.14</v>
      </c>
      <c r="K1418" s="26" t="n">
        <v>630.18</v>
      </c>
      <c r="L1418" s="26" t="n">
        <v>74.57</v>
      </c>
      <c r="M1418" s="22" t="s">
        <v>4796</v>
      </c>
      <c r="N1418" s="22" t="n">
        <f aca="false">MATCH(M1418,'Tabela Passaro'!$A$2:$A$1795,0)</f>
        <v>1148</v>
      </c>
      <c r="O1418" s="22" t="str">
        <f aca="false">INDEX('Tabela Passaro'!$C$2:$C$1795,$N1418)</f>
        <v>OLINDA</v>
      </c>
      <c r="P1418" s="22" t="str">
        <f aca="false">INDEX('Tabela Passaro'!$B$2:$B$1795,$N1418)</f>
        <v>PE</v>
      </c>
      <c r="Q1418" s="22" t="n">
        <f aca="false">INDEX('Tabela Passaro'!$F$2:$F$1795,$N1418)</f>
        <v>8</v>
      </c>
      <c r="R1418" s="32" t="n">
        <f aca="false">IF(J1418&lt;=10,INDEX('Tabela Passaro'!$G$2:$G$1795,$N1418),IF(J1418&lt;=30,INDEX('Tabela Passaro'!$H$2:$H$1795,$N1418),IF(J1418&lt;=50,INDEX('Tabela Passaro'!$I$2:$I$1795,$N1418),IF(J1418&lt;=70,INDEX('Tabela Passaro'!$J$2:$J$1795,$N1418),IF(J1418&lt;=100,INDEX('Tabela Passaro'!$K$2:$K$1795,$N1418),INDEX('Tabela Passaro'!$K$2:$K$1795,$N1418)+(J1418-100)*INDEX('Tabela Passaro'!$L$2:$L$1795,$N1418))))))</f>
        <v>55.54</v>
      </c>
      <c r="S1418" s="32" t="n">
        <f aca="false">K1418*INDEX('Tabela Passaro'!$M$2:$M$1795,$N1418)</f>
        <v>3.1509</v>
      </c>
      <c r="T1418" s="32" t="n">
        <f aca="false">K1418*INDEX('Tabela Passaro'!$N$2:$N$1795,$N1418)</f>
        <v>1.26036</v>
      </c>
      <c r="U1418" s="32" t="n">
        <f aca="false">INDEX('Tabela Passaro'!$O$2:$O$1795,$N1418)</f>
        <v>5</v>
      </c>
      <c r="V1418" s="32" t="n">
        <f aca="false">ROUNDUP(J1418/INDEX('Tabela Passaro'!$Q$2:$Q$1795,$N1418),0)*INDEX('Tabela Passaro'!$P$2:$P$1795,$N1418)</f>
        <v>5</v>
      </c>
      <c r="W1418" s="32" t="n">
        <f aca="false">INDEX('Tabela Passaro'!$R$2:$R$1795,$N1418)</f>
        <v>30</v>
      </c>
      <c r="X1418" s="32" t="n">
        <f aca="false">ROUNDUP(J1418/INDEX('Tabela Passaro'!$T$2:$T$1795,$N1418),0)*INDEX('Tabela Passaro'!$S$2:$S$1795,$N1418)</f>
        <v>0</v>
      </c>
      <c r="Y1418" s="32" t="n">
        <f aca="false">INDEX('Tabela Passaro'!$U$2:$U$1795,$N1418)</f>
        <v>0</v>
      </c>
      <c r="Z1418" s="32" t="n">
        <f aca="false">INDEX('Tabela Passaro'!$V$2:$V$1795,$N1418)</f>
        <v>0</v>
      </c>
      <c r="AA1418" s="32" t="n">
        <f aca="false">SUM(R1418:Z1418)</f>
        <v>99.95126</v>
      </c>
      <c r="AB1418" s="33" t="n">
        <f aca="false">INDEX(Premissas!$B$5:$B$13,MATCH(A1418,Premissas!$A$5:$A$13,0))</f>
        <v>0.07</v>
      </c>
      <c r="AC1418" s="32" t="n">
        <f aca="false">AA1418/(1-AB1418)-AA1418</f>
        <v>7.52321311827957</v>
      </c>
      <c r="AD1418" s="32" t="n">
        <f aca="false">ROUND(AA1418+AC1418,2)</f>
        <v>107.47</v>
      </c>
      <c r="AE1418" s="32" t="n">
        <f aca="false">AD1418-L1418</f>
        <v>32.9</v>
      </c>
      <c r="AF1418" s="34" t="n">
        <f aca="false">IF(L1418=0,0,AE1418/L1418)</f>
        <v>0.441196191497922</v>
      </c>
      <c r="AG1418" s="22" t="str">
        <f aca="false">IF(AD1418&lt;L1418,"PASSARO","ATUAL")</f>
        <v>ATUAL</v>
      </c>
      <c r="AH1418" s="22" t="str">
        <f aca="false">IF(P1418&lt;&gt;A1418,"Faixa cadastrada como "&amp;P1418&amp;" na tabela; preço aplicado pela UF do CEP","")</f>
        <v/>
      </c>
      <c r="AI1418" s="26" t="n">
        <v>121.49</v>
      </c>
      <c r="AJ1418" s="22" t="str">
        <f aca="false">INDEX('Tabela Passaro'!$X$2:$X$1795,$N1418)</f>
        <v>CAPITAL</v>
      </c>
    </row>
    <row r="1419" customFormat="false" ht="15" hidden="false" customHeight="false" outlineLevel="0" collapsed="false">
      <c r="A1419" s="22" t="s">
        <v>20</v>
      </c>
      <c r="B1419" s="22" t="n">
        <v>4</v>
      </c>
      <c r="C1419" s="22" t="s">
        <v>153</v>
      </c>
      <c r="D1419" s="22" t="s">
        <v>30</v>
      </c>
      <c r="E1419" s="22" t="s">
        <v>20</v>
      </c>
      <c r="F1419" s="22" t="n">
        <v>838732</v>
      </c>
      <c r="G1419" s="30" t="n">
        <v>46246</v>
      </c>
      <c r="H1419" s="22" t="n">
        <v>32499</v>
      </c>
      <c r="I1419" s="22" t="s">
        <v>8626</v>
      </c>
      <c r="J1419" s="31" t="n">
        <v>21.4</v>
      </c>
      <c r="K1419" s="26" t="n">
        <v>464.97</v>
      </c>
      <c r="L1419" s="26" t="n">
        <v>80.69</v>
      </c>
      <c r="M1419" s="22" t="s">
        <v>4796</v>
      </c>
      <c r="N1419" s="22" t="n">
        <f aca="false">MATCH(M1419,'Tabela Passaro'!$A$2:$A$1795,0)</f>
        <v>1148</v>
      </c>
      <c r="O1419" s="22" t="str">
        <f aca="false">INDEX('Tabela Passaro'!$C$2:$C$1795,$N1419)</f>
        <v>OLINDA</v>
      </c>
      <c r="P1419" s="22" t="str">
        <f aca="false">INDEX('Tabela Passaro'!$B$2:$B$1795,$N1419)</f>
        <v>PE</v>
      </c>
      <c r="Q1419" s="22" t="n">
        <f aca="false">INDEX('Tabela Passaro'!$F$2:$F$1795,$N1419)</f>
        <v>8</v>
      </c>
      <c r="R1419" s="32" t="n">
        <f aca="false">IF(J1419&lt;=10,INDEX('Tabela Passaro'!$G$2:$G$1795,$N1419),IF(J1419&lt;=30,INDEX('Tabela Passaro'!$H$2:$H$1795,$N1419),IF(J1419&lt;=50,INDEX('Tabela Passaro'!$I$2:$I$1795,$N1419),IF(J1419&lt;=70,INDEX('Tabela Passaro'!$J$2:$J$1795,$N1419),IF(J1419&lt;=100,INDEX('Tabela Passaro'!$K$2:$K$1795,$N1419),INDEX('Tabela Passaro'!$K$2:$K$1795,$N1419)+(J1419-100)*INDEX('Tabela Passaro'!$L$2:$L$1795,$N1419))))))</f>
        <v>66.55</v>
      </c>
      <c r="S1419" s="32" t="n">
        <f aca="false">K1419*INDEX('Tabela Passaro'!$M$2:$M$1795,$N1419)</f>
        <v>2.32485</v>
      </c>
      <c r="T1419" s="32" t="n">
        <f aca="false">K1419*INDEX('Tabela Passaro'!$N$2:$N$1795,$N1419)</f>
        <v>0.92994</v>
      </c>
      <c r="U1419" s="32" t="n">
        <f aca="false">INDEX('Tabela Passaro'!$O$2:$O$1795,$N1419)</f>
        <v>5</v>
      </c>
      <c r="V1419" s="32" t="n">
        <f aca="false">ROUNDUP(J1419/INDEX('Tabela Passaro'!$Q$2:$Q$1795,$N1419),0)*INDEX('Tabela Passaro'!$P$2:$P$1795,$N1419)</f>
        <v>5</v>
      </c>
      <c r="W1419" s="32" t="n">
        <f aca="false">INDEX('Tabela Passaro'!$R$2:$R$1795,$N1419)</f>
        <v>30</v>
      </c>
      <c r="X1419" s="32" t="n">
        <f aca="false">ROUNDUP(J1419/INDEX('Tabela Passaro'!$T$2:$T$1795,$N1419),0)*INDEX('Tabela Passaro'!$S$2:$S$1795,$N1419)</f>
        <v>0</v>
      </c>
      <c r="Y1419" s="32" t="n">
        <f aca="false">INDEX('Tabela Passaro'!$U$2:$U$1795,$N1419)</f>
        <v>0</v>
      </c>
      <c r="Z1419" s="32" t="n">
        <f aca="false">INDEX('Tabela Passaro'!$V$2:$V$1795,$N1419)</f>
        <v>0</v>
      </c>
      <c r="AA1419" s="32" t="n">
        <f aca="false">SUM(R1419:Z1419)</f>
        <v>109.80479</v>
      </c>
      <c r="AB1419" s="33" t="n">
        <f aca="false">INDEX(Premissas!$B$5:$B$13,MATCH(A1419,Premissas!$A$5:$A$13,0))</f>
        <v>0.07</v>
      </c>
      <c r="AC1419" s="32" t="n">
        <f aca="false">AA1419/(1-AB1419)-AA1419</f>
        <v>8.26487666666668</v>
      </c>
      <c r="AD1419" s="32" t="n">
        <f aca="false">ROUND(AA1419+AC1419,2)</f>
        <v>118.07</v>
      </c>
      <c r="AE1419" s="32" t="n">
        <f aca="false">AD1419-L1419</f>
        <v>37.38</v>
      </c>
      <c r="AF1419" s="34" t="n">
        <f aca="false">IF(L1419=0,0,AE1419/L1419)</f>
        <v>0.463254430536622</v>
      </c>
      <c r="AG1419" s="22" t="str">
        <f aca="false">IF(AD1419&lt;L1419,"PASSARO","ATUAL")</f>
        <v>ATUAL</v>
      </c>
      <c r="AH1419" s="22" t="str">
        <f aca="false">IF(P1419&lt;&gt;A1419,"Faixa cadastrada como "&amp;P1419&amp;" na tabela; preço aplicado pela UF do CEP","")</f>
        <v/>
      </c>
      <c r="AI1419" s="26" t="n">
        <v>139.18</v>
      </c>
      <c r="AJ1419" s="22" t="str">
        <f aca="false">INDEX('Tabela Passaro'!$X$2:$X$1795,$N1419)</f>
        <v>CAPITAL</v>
      </c>
    </row>
    <row r="1420" customFormat="false" ht="15" hidden="false" customHeight="false" outlineLevel="0" collapsed="false">
      <c r="A1420" s="22" t="s">
        <v>20</v>
      </c>
      <c r="B1420" s="22" t="n">
        <v>4</v>
      </c>
      <c r="C1420" s="22" t="s">
        <v>153</v>
      </c>
      <c r="D1420" s="22" t="s">
        <v>30</v>
      </c>
      <c r="E1420" s="22" t="s">
        <v>7328</v>
      </c>
      <c r="F1420" s="22" t="n">
        <v>2311245</v>
      </c>
      <c r="G1420" s="30" t="n">
        <v>46246</v>
      </c>
      <c r="H1420" s="22" t="n">
        <v>132533</v>
      </c>
      <c r="I1420" s="22" t="s">
        <v>8627</v>
      </c>
      <c r="J1420" s="31" t="n">
        <v>59.9</v>
      </c>
      <c r="K1420" s="26" t="n">
        <v>1134.98</v>
      </c>
      <c r="L1420" s="26" t="n">
        <v>187.27</v>
      </c>
      <c r="M1420" s="22" t="s">
        <v>4796</v>
      </c>
      <c r="N1420" s="22" t="n">
        <f aca="false">MATCH(M1420,'Tabela Passaro'!$A$2:$A$1795,0)</f>
        <v>1148</v>
      </c>
      <c r="O1420" s="22" t="str">
        <f aca="false">INDEX('Tabela Passaro'!$C$2:$C$1795,$N1420)</f>
        <v>OLINDA</v>
      </c>
      <c r="P1420" s="22" t="str">
        <f aca="false">INDEX('Tabela Passaro'!$B$2:$B$1795,$N1420)</f>
        <v>PE</v>
      </c>
      <c r="Q1420" s="22" t="n">
        <f aca="false">INDEX('Tabela Passaro'!$F$2:$F$1795,$N1420)</f>
        <v>8</v>
      </c>
      <c r="R1420" s="32" t="n">
        <f aca="false">IF(J1420&lt;=10,INDEX('Tabela Passaro'!$G$2:$G$1795,$N1420),IF(J1420&lt;=30,INDEX('Tabela Passaro'!$H$2:$H$1795,$N1420),IF(J1420&lt;=50,INDEX('Tabela Passaro'!$I$2:$I$1795,$N1420),IF(J1420&lt;=70,INDEX('Tabela Passaro'!$J$2:$J$1795,$N1420),IF(J1420&lt;=100,INDEX('Tabela Passaro'!$K$2:$K$1795,$N1420),INDEX('Tabela Passaro'!$K$2:$K$1795,$N1420)+(J1420-100)*INDEX('Tabela Passaro'!$L$2:$L$1795,$N1420))))))</f>
        <v>99.61</v>
      </c>
      <c r="S1420" s="32" t="n">
        <f aca="false">K1420*INDEX('Tabela Passaro'!$M$2:$M$1795,$N1420)</f>
        <v>5.6749</v>
      </c>
      <c r="T1420" s="32" t="n">
        <f aca="false">K1420*INDEX('Tabela Passaro'!$N$2:$N$1795,$N1420)</f>
        <v>2.26996</v>
      </c>
      <c r="U1420" s="32" t="n">
        <f aca="false">INDEX('Tabela Passaro'!$O$2:$O$1795,$N1420)</f>
        <v>5</v>
      </c>
      <c r="V1420" s="32" t="n">
        <f aca="false">ROUNDUP(J1420/INDEX('Tabela Passaro'!$Q$2:$Q$1795,$N1420),0)*INDEX('Tabela Passaro'!$P$2:$P$1795,$N1420)</f>
        <v>5</v>
      </c>
      <c r="W1420" s="32" t="n">
        <f aca="false">INDEX('Tabela Passaro'!$R$2:$R$1795,$N1420)</f>
        <v>30</v>
      </c>
      <c r="X1420" s="32" t="n">
        <f aca="false">ROUNDUP(J1420/INDEX('Tabela Passaro'!$T$2:$T$1795,$N1420),0)*INDEX('Tabela Passaro'!$S$2:$S$1795,$N1420)</f>
        <v>0</v>
      </c>
      <c r="Y1420" s="32" t="n">
        <f aca="false">INDEX('Tabela Passaro'!$U$2:$U$1795,$N1420)</f>
        <v>0</v>
      </c>
      <c r="Z1420" s="32" t="n">
        <f aca="false">INDEX('Tabela Passaro'!$V$2:$V$1795,$N1420)</f>
        <v>0</v>
      </c>
      <c r="AA1420" s="32" t="n">
        <f aca="false">SUM(R1420:Z1420)</f>
        <v>147.55486</v>
      </c>
      <c r="AB1420" s="33" t="n">
        <f aca="false">INDEX(Premissas!$B$5:$B$13,MATCH(A1420,Premissas!$A$5:$A$13,0))</f>
        <v>0.07</v>
      </c>
      <c r="AC1420" s="32" t="n">
        <f aca="false">AA1420/(1-AB1420)-AA1420</f>
        <v>11.1062797849463</v>
      </c>
      <c r="AD1420" s="32" t="n">
        <f aca="false">ROUND(AA1420+AC1420,2)</f>
        <v>158.66</v>
      </c>
      <c r="AE1420" s="32" t="n">
        <f aca="false">AD1420-L1420</f>
        <v>-28.61</v>
      </c>
      <c r="AF1420" s="34" t="n">
        <f aca="false">IF(L1420=0,0,AE1420/L1420)</f>
        <v>-0.152774069525284</v>
      </c>
      <c r="AG1420" s="22" t="str">
        <f aca="false">IF(AD1420&lt;L1420,"PASSARO","ATUAL")</f>
        <v>PASSARO</v>
      </c>
      <c r="AH1420" s="22" t="str">
        <f aca="false">IF(P1420&lt;&gt;A1420,"Faixa cadastrada como "&amp;P1420&amp;" na tabela; preço aplicado pela UF do CEP","")</f>
        <v/>
      </c>
      <c r="AI1420" s="26" t="n">
        <v>201.63</v>
      </c>
      <c r="AJ1420" s="22" t="str">
        <f aca="false">INDEX('Tabela Passaro'!$X$2:$X$1795,$N1420)</f>
        <v>CAPITAL</v>
      </c>
    </row>
    <row r="1421" customFormat="false" ht="15" hidden="false" customHeight="false" outlineLevel="0" collapsed="false">
      <c r="A1421" s="22" t="s">
        <v>20</v>
      </c>
      <c r="B1421" s="22" t="n">
        <v>4</v>
      </c>
      <c r="C1421" s="22" t="s">
        <v>153</v>
      </c>
      <c r="D1421" s="22" t="s">
        <v>30</v>
      </c>
      <c r="E1421" s="22" t="s">
        <v>7328</v>
      </c>
      <c r="F1421" s="22" t="n">
        <v>2311293</v>
      </c>
      <c r="G1421" s="30" t="n">
        <v>46246</v>
      </c>
      <c r="H1421" s="22" t="n">
        <v>132752</v>
      </c>
      <c r="I1421" s="22" t="s">
        <v>8628</v>
      </c>
      <c r="J1421" s="31" t="n">
        <v>67.8</v>
      </c>
      <c r="K1421" s="26" t="n">
        <v>1107.27</v>
      </c>
      <c r="L1421" s="26" t="n">
        <v>187.06</v>
      </c>
      <c r="M1421" s="22" t="s">
        <v>4796</v>
      </c>
      <c r="N1421" s="22" t="n">
        <f aca="false">MATCH(M1421,'Tabela Passaro'!$A$2:$A$1795,0)</f>
        <v>1148</v>
      </c>
      <c r="O1421" s="22" t="str">
        <f aca="false">INDEX('Tabela Passaro'!$C$2:$C$1795,$N1421)</f>
        <v>OLINDA</v>
      </c>
      <c r="P1421" s="22" t="str">
        <f aca="false">INDEX('Tabela Passaro'!$B$2:$B$1795,$N1421)</f>
        <v>PE</v>
      </c>
      <c r="Q1421" s="22" t="n">
        <f aca="false">INDEX('Tabela Passaro'!$F$2:$F$1795,$N1421)</f>
        <v>8</v>
      </c>
      <c r="R1421" s="32" t="n">
        <f aca="false">IF(J1421&lt;=10,INDEX('Tabela Passaro'!$G$2:$G$1795,$N1421),IF(J1421&lt;=30,INDEX('Tabela Passaro'!$H$2:$H$1795,$N1421),IF(J1421&lt;=50,INDEX('Tabela Passaro'!$I$2:$I$1795,$N1421),IF(J1421&lt;=70,INDEX('Tabela Passaro'!$J$2:$J$1795,$N1421),IF(J1421&lt;=100,INDEX('Tabela Passaro'!$K$2:$K$1795,$N1421),INDEX('Tabela Passaro'!$K$2:$K$1795,$N1421)+(J1421-100)*INDEX('Tabela Passaro'!$L$2:$L$1795,$N1421))))))</f>
        <v>99.61</v>
      </c>
      <c r="S1421" s="32" t="n">
        <f aca="false">K1421*INDEX('Tabela Passaro'!$M$2:$M$1795,$N1421)</f>
        <v>5.53635</v>
      </c>
      <c r="T1421" s="32" t="n">
        <f aca="false">K1421*INDEX('Tabela Passaro'!$N$2:$N$1795,$N1421)</f>
        <v>2.21454</v>
      </c>
      <c r="U1421" s="32" t="n">
        <f aca="false">INDEX('Tabela Passaro'!$O$2:$O$1795,$N1421)</f>
        <v>5</v>
      </c>
      <c r="V1421" s="32" t="n">
        <f aca="false">ROUNDUP(J1421/INDEX('Tabela Passaro'!$Q$2:$Q$1795,$N1421),0)*INDEX('Tabela Passaro'!$P$2:$P$1795,$N1421)</f>
        <v>5</v>
      </c>
      <c r="W1421" s="32" t="n">
        <f aca="false">INDEX('Tabela Passaro'!$R$2:$R$1795,$N1421)</f>
        <v>30</v>
      </c>
      <c r="X1421" s="32" t="n">
        <f aca="false">ROUNDUP(J1421/INDEX('Tabela Passaro'!$T$2:$T$1795,$N1421),0)*INDEX('Tabela Passaro'!$S$2:$S$1795,$N1421)</f>
        <v>0</v>
      </c>
      <c r="Y1421" s="32" t="n">
        <f aca="false">INDEX('Tabela Passaro'!$U$2:$U$1795,$N1421)</f>
        <v>0</v>
      </c>
      <c r="Z1421" s="32" t="n">
        <f aca="false">INDEX('Tabela Passaro'!$V$2:$V$1795,$N1421)</f>
        <v>0</v>
      </c>
      <c r="AA1421" s="32" t="n">
        <f aca="false">SUM(R1421:Z1421)</f>
        <v>147.36089</v>
      </c>
      <c r="AB1421" s="33" t="n">
        <f aca="false">INDEX(Premissas!$B$5:$B$13,MATCH(A1421,Premissas!$A$5:$A$13,0))</f>
        <v>0.07</v>
      </c>
      <c r="AC1421" s="32" t="n">
        <f aca="false">AA1421/(1-AB1421)-AA1421</f>
        <v>11.0916798924731</v>
      </c>
      <c r="AD1421" s="32" t="n">
        <f aca="false">ROUND(AA1421+AC1421,2)</f>
        <v>158.45</v>
      </c>
      <c r="AE1421" s="32" t="n">
        <f aca="false">AD1421-L1421</f>
        <v>-28.61</v>
      </c>
      <c r="AF1421" s="34" t="n">
        <f aca="false">IF(L1421=0,0,AE1421/L1421)</f>
        <v>-0.152945578958623</v>
      </c>
      <c r="AG1421" s="22" t="str">
        <f aca="false">IF(AD1421&lt;L1421,"PASSARO","ATUAL")</f>
        <v>PASSARO</v>
      </c>
      <c r="AH1421" s="22" t="str">
        <f aca="false">IF(P1421&lt;&gt;A1421,"Faixa cadastrada como "&amp;P1421&amp;" na tabela; preço aplicado pela UF do CEP","")</f>
        <v/>
      </c>
      <c r="AI1421" s="26" t="n">
        <v>205.23</v>
      </c>
      <c r="AJ1421" s="22" t="str">
        <f aca="false">INDEX('Tabela Passaro'!$X$2:$X$1795,$N1421)</f>
        <v>CAPITAL</v>
      </c>
    </row>
    <row r="1422" customFormat="false" ht="15" hidden="false" customHeight="false" outlineLevel="0" collapsed="false">
      <c r="A1422" s="22" t="s">
        <v>20</v>
      </c>
      <c r="B1422" s="22" t="n">
        <v>4</v>
      </c>
      <c r="C1422" s="22" t="s">
        <v>153</v>
      </c>
      <c r="D1422" s="22" t="s">
        <v>30</v>
      </c>
      <c r="E1422" s="22" t="s">
        <v>7328</v>
      </c>
      <c r="F1422" s="22" t="n">
        <v>2312314</v>
      </c>
      <c r="G1422" s="30" t="n">
        <v>46248</v>
      </c>
      <c r="H1422" s="22" t="n">
        <v>133218</v>
      </c>
      <c r="I1422" s="22" t="s">
        <v>8629</v>
      </c>
      <c r="J1422" s="31" t="n">
        <v>58.5</v>
      </c>
      <c r="K1422" s="26" t="n">
        <v>1008.19</v>
      </c>
      <c r="L1422" s="26" t="n">
        <v>186.27</v>
      </c>
      <c r="M1422" s="22" t="s">
        <v>4796</v>
      </c>
      <c r="N1422" s="22" t="n">
        <f aca="false">MATCH(M1422,'Tabela Passaro'!$A$2:$A$1795,0)</f>
        <v>1148</v>
      </c>
      <c r="O1422" s="22" t="str">
        <f aca="false">INDEX('Tabela Passaro'!$C$2:$C$1795,$N1422)</f>
        <v>OLINDA</v>
      </c>
      <c r="P1422" s="22" t="str">
        <f aca="false">INDEX('Tabela Passaro'!$B$2:$B$1795,$N1422)</f>
        <v>PE</v>
      </c>
      <c r="Q1422" s="22" t="n">
        <f aca="false">INDEX('Tabela Passaro'!$F$2:$F$1795,$N1422)</f>
        <v>8</v>
      </c>
      <c r="R1422" s="32" t="n">
        <f aca="false">IF(J1422&lt;=10,INDEX('Tabela Passaro'!$G$2:$G$1795,$N1422),IF(J1422&lt;=30,INDEX('Tabela Passaro'!$H$2:$H$1795,$N1422),IF(J1422&lt;=50,INDEX('Tabela Passaro'!$I$2:$I$1795,$N1422),IF(J1422&lt;=70,INDEX('Tabela Passaro'!$J$2:$J$1795,$N1422),IF(J1422&lt;=100,INDEX('Tabela Passaro'!$K$2:$K$1795,$N1422),INDEX('Tabela Passaro'!$K$2:$K$1795,$N1422)+(J1422-100)*INDEX('Tabela Passaro'!$L$2:$L$1795,$N1422))))))</f>
        <v>99.61</v>
      </c>
      <c r="S1422" s="32" t="n">
        <f aca="false">K1422*INDEX('Tabela Passaro'!$M$2:$M$1795,$N1422)</f>
        <v>5.04095</v>
      </c>
      <c r="T1422" s="32" t="n">
        <f aca="false">K1422*INDEX('Tabela Passaro'!$N$2:$N$1795,$N1422)</f>
        <v>2.01638</v>
      </c>
      <c r="U1422" s="32" t="n">
        <f aca="false">INDEX('Tabela Passaro'!$O$2:$O$1795,$N1422)</f>
        <v>5</v>
      </c>
      <c r="V1422" s="32" t="n">
        <f aca="false">ROUNDUP(J1422/INDEX('Tabela Passaro'!$Q$2:$Q$1795,$N1422),0)*INDEX('Tabela Passaro'!$P$2:$P$1795,$N1422)</f>
        <v>5</v>
      </c>
      <c r="W1422" s="32" t="n">
        <f aca="false">INDEX('Tabela Passaro'!$R$2:$R$1795,$N1422)</f>
        <v>30</v>
      </c>
      <c r="X1422" s="32" t="n">
        <f aca="false">ROUNDUP(J1422/INDEX('Tabela Passaro'!$T$2:$T$1795,$N1422),0)*INDEX('Tabela Passaro'!$S$2:$S$1795,$N1422)</f>
        <v>0</v>
      </c>
      <c r="Y1422" s="32" t="n">
        <f aca="false">INDEX('Tabela Passaro'!$U$2:$U$1795,$N1422)</f>
        <v>0</v>
      </c>
      <c r="Z1422" s="32" t="n">
        <f aca="false">INDEX('Tabela Passaro'!$V$2:$V$1795,$N1422)</f>
        <v>0</v>
      </c>
      <c r="AA1422" s="32" t="n">
        <f aca="false">SUM(R1422:Z1422)</f>
        <v>146.66733</v>
      </c>
      <c r="AB1422" s="33" t="n">
        <f aca="false">INDEX(Premissas!$B$5:$B$13,MATCH(A1422,Premissas!$A$5:$A$13,0))</f>
        <v>0.07</v>
      </c>
      <c r="AC1422" s="32" t="n">
        <f aca="false">AA1422/(1-AB1422)-AA1422</f>
        <v>11.0394764516129</v>
      </c>
      <c r="AD1422" s="32" t="n">
        <f aca="false">ROUND(AA1422+AC1422,2)</f>
        <v>157.71</v>
      </c>
      <c r="AE1422" s="32" t="n">
        <f aca="false">AD1422-L1422</f>
        <v>-28.56</v>
      </c>
      <c r="AF1422" s="34" t="n">
        <f aca="false">IF(L1422=0,0,AE1422/L1422)</f>
        <v>-0.153325817361894</v>
      </c>
      <c r="AG1422" s="22" t="str">
        <f aca="false">IF(AD1422&lt;L1422,"PASSARO","ATUAL")</f>
        <v>PASSARO</v>
      </c>
      <c r="AH1422" s="22" t="str">
        <f aca="false">IF(P1422&lt;&gt;A1422,"Faixa cadastrada como "&amp;P1422&amp;" na tabela; preço aplicado pela UF do CEP","")</f>
        <v/>
      </c>
      <c r="AI1422" s="26" t="n">
        <v>199.92</v>
      </c>
      <c r="AJ1422" s="22" t="str">
        <f aca="false">INDEX('Tabela Passaro'!$X$2:$X$1795,$N1422)</f>
        <v>CAPITAL</v>
      </c>
    </row>
    <row r="1423" customFormat="false" ht="15" hidden="false" customHeight="false" outlineLevel="0" collapsed="false">
      <c r="A1423" s="22" t="s">
        <v>20</v>
      </c>
      <c r="B1423" s="22" t="n">
        <v>4</v>
      </c>
      <c r="C1423" s="22" t="s">
        <v>153</v>
      </c>
      <c r="D1423" s="22" t="s">
        <v>30</v>
      </c>
      <c r="E1423" s="22" t="s">
        <v>7328</v>
      </c>
      <c r="F1423" s="22" t="n">
        <v>2312334</v>
      </c>
      <c r="G1423" s="30" t="n">
        <v>46248</v>
      </c>
      <c r="H1423" s="22" t="n">
        <v>133242</v>
      </c>
      <c r="I1423" s="22" t="s">
        <v>8630</v>
      </c>
      <c r="J1423" s="31" t="n">
        <v>38.15</v>
      </c>
      <c r="K1423" s="26" t="n">
        <v>511.09</v>
      </c>
      <c r="L1423" s="26" t="n">
        <v>154.92</v>
      </c>
      <c r="M1423" s="22" t="s">
        <v>4796</v>
      </c>
      <c r="N1423" s="22" t="n">
        <f aca="false">MATCH(M1423,'Tabela Passaro'!$A$2:$A$1795,0)</f>
        <v>1148</v>
      </c>
      <c r="O1423" s="22" t="str">
        <f aca="false">INDEX('Tabela Passaro'!$C$2:$C$1795,$N1423)</f>
        <v>OLINDA</v>
      </c>
      <c r="P1423" s="22" t="str">
        <f aca="false">INDEX('Tabela Passaro'!$B$2:$B$1795,$N1423)</f>
        <v>PE</v>
      </c>
      <c r="Q1423" s="22" t="n">
        <f aca="false">INDEX('Tabela Passaro'!$F$2:$F$1795,$N1423)</f>
        <v>8</v>
      </c>
      <c r="R1423" s="32" t="n">
        <f aca="false">IF(J1423&lt;=10,INDEX('Tabela Passaro'!$G$2:$G$1795,$N1423),IF(J1423&lt;=30,INDEX('Tabela Passaro'!$H$2:$H$1795,$N1423),IF(J1423&lt;=50,INDEX('Tabela Passaro'!$I$2:$I$1795,$N1423),IF(J1423&lt;=70,INDEX('Tabela Passaro'!$J$2:$J$1795,$N1423),IF(J1423&lt;=100,INDEX('Tabela Passaro'!$K$2:$K$1795,$N1423),INDEX('Tabela Passaro'!$K$2:$K$1795,$N1423)+(J1423-100)*INDEX('Tabela Passaro'!$L$2:$L$1795,$N1423))))))</f>
        <v>88.59</v>
      </c>
      <c r="S1423" s="32" t="n">
        <f aca="false">K1423*INDEX('Tabela Passaro'!$M$2:$M$1795,$N1423)</f>
        <v>2.55545</v>
      </c>
      <c r="T1423" s="32" t="n">
        <f aca="false">K1423*INDEX('Tabela Passaro'!$N$2:$N$1795,$N1423)</f>
        <v>1.02218</v>
      </c>
      <c r="U1423" s="32" t="n">
        <f aca="false">INDEX('Tabela Passaro'!$O$2:$O$1795,$N1423)</f>
        <v>5</v>
      </c>
      <c r="V1423" s="32" t="n">
        <f aca="false">ROUNDUP(J1423/INDEX('Tabela Passaro'!$Q$2:$Q$1795,$N1423),0)*INDEX('Tabela Passaro'!$P$2:$P$1795,$N1423)</f>
        <v>5</v>
      </c>
      <c r="W1423" s="32" t="n">
        <f aca="false">INDEX('Tabela Passaro'!$R$2:$R$1795,$N1423)</f>
        <v>30</v>
      </c>
      <c r="X1423" s="32" t="n">
        <f aca="false">ROUNDUP(J1423/INDEX('Tabela Passaro'!$T$2:$T$1795,$N1423),0)*INDEX('Tabela Passaro'!$S$2:$S$1795,$N1423)</f>
        <v>0</v>
      </c>
      <c r="Y1423" s="32" t="n">
        <f aca="false">INDEX('Tabela Passaro'!$U$2:$U$1795,$N1423)</f>
        <v>0</v>
      </c>
      <c r="Z1423" s="32" t="n">
        <f aca="false">INDEX('Tabela Passaro'!$V$2:$V$1795,$N1423)</f>
        <v>0</v>
      </c>
      <c r="AA1423" s="32" t="n">
        <f aca="false">SUM(R1423:Z1423)</f>
        <v>132.16763</v>
      </c>
      <c r="AB1423" s="33" t="n">
        <f aca="false">INDEX(Premissas!$B$5:$B$13,MATCH(A1423,Premissas!$A$5:$A$13,0))</f>
        <v>0.07</v>
      </c>
      <c r="AC1423" s="32" t="n">
        <f aca="false">AA1423/(1-AB1423)-AA1423</f>
        <v>9.94810118279571</v>
      </c>
      <c r="AD1423" s="32" t="n">
        <f aca="false">ROUND(AA1423+AC1423,2)</f>
        <v>142.12</v>
      </c>
      <c r="AE1423" s="32" t="n">
        <f aca="false">AD1423-L1423</f>
        <v>-12.8</v>
      </c>
      <c r="AF1423" s="34" t="n">
        <f aca="false">IF(L1423=0,0,AE1423/L1423)</f>
        <v>-0.0826232894397107</v>
      </c>
      <c r="AG1423" s="22" t="str">
        <f aca="false">IF(AD1423&lt;L1423,"PASSARO","ATUAL")</f>
        <v>PASSARO</v>
      </c>
      <c r="AH1423" s="22" t="str">
        <f aca="false">IF(P1423&lt;&gt;A1423,"Faixa cadastrada como "&amp;P1423&amp;" na tabela; preço aplicado pela UF do CEP","")</f>
        <v/>
      </c>
      <c r="AI1423" s="26" t="n">
        <v>172.9</v>
      </c>
      <c r="AJ1423" s="22" t="str">
        <f aca="false">INDEX('Tabela Passaro'!$X$2:$X$1795,$N1423)</f>
        <v>CAPITAL</v>
      </c>
    </row>
    <row r="1424" customFormat="false" ht="15" hidden="false" customHeight="false" outlineLevel="0" collapsed="false">
      <c r="A1424" s="22" t="s">
        <v>20</v>
      </c>
      <c r="B1424" s="22" t="n">
        <v>4</v>
      </c>
      <c r="C1424" s="22" t="s">
        <v>153</v>
      </c>
      <c r="D1424" s="22" t="s">
        <v>30</v>
      </c>
      <c r="E1424" s="22" t="s">
        <v>7328</v>
      </c>
      <c r="F1424" s="22" t="n">
        <v>2312363</v>
      </c>
      <c r="G1424" s="30" t="n">
        <v>46248</v>
      </c>
      <c r="H1424" s="22" t="n">
        <v>133271</v>
      </c>
      <c r="I1424" s="22" t="s">
        <v>8631</v>
      </c>
      <c r="J1424" s="31" t="n">
        <v>35</v>
      </c>
      <c r="K1424" s="26" t="n">
        <v>562.73</v>
      </c>
      <c r="L1424" s="26" t="n">
        <v>155.32</v>
      </c>
      <c r="M1424" s="22" t="s">
        <v>4796</v>
      </c>
      <c r="N1424" s="22" t="n">
        <f aca="false">MATCH(M1424,'Tabela Passaro'!$A$2:$A$1795,0)</f>
        <v>1148</v>
      </c>
      <c r="O1424" s="22" t="str">
        <f aca="false">INDEX('Tabela Passaro'!$C$2:$C$1795,$N1424)</f>
        <v>OLINDA</v>
      </c>
      <c r="P1424" s="22" t="str">
        <f aca="false">INDEX('Tabela Passaro'!$B$2:$B$1795,$N1424)</f>
        <v>PE</v>
      </c>
      <c r="Q1424" s="22" t="n">
        <f aca="false">INDEX('Tabela Passaro'!$F$2:$F$1795,$N1424)</f>
        <v>8</v>
      </c>
      <c r="R1424" s="32" t="n">
        <f aca="false">IF(J1424&lt;=10,INDEX('Tabela Passaro'!$G$2:$G$1795,$N1424),IF(J1424&lt;=30,INDEX('Tabela Passaro'!$H$2:$H$1795,$N1424),IF(J1424&lt;=50,INDEX('Tabela Passaro'!$I$2:$I$1795,$N1424),IF(J1424&lt;=70,INDEX('Tabela Passaro'!$J$2:$J$1795,$N1424),IF(J1424&lt;=100,INDEX('Tabela Passaro'!$K$2:$K$1795,$N1424),INDEX('Tabela Passaro'!$K$2:$K$1795,$N1424)+(J1424-100)*INDEX('Tabela Passaro'!$L$2:$L$1795,$N1424))))))</f>
        <v>88.59</v>
      </c>
      <c r="S1424" s="32" t="n">
        <f aca="false">K1424*INDEX('Tabela Passaro'!$M$2:$M$1795,$N1424)</f>
        <v>2.81365</v>
      </c>
      <c r="T1424" s="32" t="n">
        <f aca="false">K1424*INDEX('Tabela Passaro'!$N$2:$N$1795,$N1424)</f>
        <v>1.12546</v>
      </c>
      <c r="U1424" s="32" t="n">
        <f aca="false">INDEX('Tabela Passaro'!$O$2:$O$1795,$N1424)</f>
        <v>5</v>
      </c>
      <c r="V1424" s="32" t="n">
        <f aca="false">ROUNDUP(J1424/INDEX('Tabela Passaro'!$Q$2:$Q$1795,$N1424),0)*INDEX('Tabela Passaro'!$P$2:$P$1795,$N1424)</f>
        <v>5</v>
      </c>
      <c r="W1424" s="32" t="n">
        <f aca="false">INDEX('Tabela Passaro'!$R$2:$R$1795,$N1424)</f>
        <v>30</v>
      </c>
      <c r="X1424" s="32" t="n">
        <f aca="false">ROUNDUP(J1424/INDEX('Tabela Passaro'!$T$2:$T$1795,$N1424),0)*INDEX('Tabela Passaro'!$S$2:$S$1795,$N1424)</f>
        <v>0</v>
      </c>
      <c r="Y1424" s="32" t="n">
        <f aca="false">INDEX('Tabela Passaro'!$U$2:$U$1795,$N1424)</f>
        <v>0</v>
      </c>
      <c r="Z1424" s="32" t="n">
        <f aca="false">INDEX('Tabela Passaro'!$V$2:$V$1795,$N1424)</f>
        <v>0</v>
      </c>
      <c r="AA1424" s="32" t="n">
        <f aca="false">SUM(R1424:Z1424)</f>
        <v>132.52911</v>
      </c>
      <c r="AB1424" s="33" t="n">
        <f aca="false">INDEX(Premissas!$B$5:$B$13,MATCH(A1424,Premissas!$A$5:$A$13,0))</f>
        <v>0.07</v>
      </c>
      <c r="AC1424" s="32" t="n">
        <f aca="false">AA1424/(1-AB1424)-AA1424</f>
        <v>9.97530935483871</v>
      </c>
      <c r="AD1424" s="32" t="n">
        <f aca="false">ROUND(AA1424+AC1424,2)</f>
        <v>142.5</v>
      </c>
      <c r="AE1424" s="32" t="n">
        <f aca="false">AD1424-L1424</f>
        <v>-12.82</v>
      </c>
      <c r="AF1424" s="34" t="n">
        <f aca="false">IF(L1424=0,0,AE1424/L1424)</f>
        <v>-0.082539273757404</v>
      </c>
      <c r="AG1424" s="22" t="str">
        <f aca="false">IF(AD1424&lt;L1424,"PASSARO","ATUAL")</f>
        <v>PASSARO</v>
      </c>
      <c r="AH1424" s="22" t="str">
        <f aca="false">IF(P1424&lt;&gt;A1424,"Faixa cadastrada como "&amp;P1424&amp;" na tabela; preço aplicado pela UF do CEP","")</f>
        <v/>
      </c>
      <c r="AI1424" s="26" t="n">
        <v>171.47</v>
      </c>
      <c r="AJ1424" s="22" t="str">
        <f aca="false">INDEX('Tabela Passaro'!$X$2:$X$1795,$N1424)</f>
        <v>CAPITAL</v>
      </c>
    </row>
    <row r="1425" customFormat="false" ht="15" hidden="false" customHeight="false" outlineLevel="0" collapsed="false">
      <c r="A1425" s="22" t="s">
        <v>20</v>
      </c>
      <c r="B1425" s="22" t="n">
        <v>4</v>
      </c>
      <c r="C1425" s="22" t="s">
        <v>153</v>
      </c>
      <c r="D1425" s="22" t="s">
        <v>30</v>
      </c>
      <c r="E1425" s="22" t="s">
        <v>7328</v>
      </c>
      <c r="F1425" s="22" t="n">
        <v>2312467</v>
      </c>
      <c r="G1425" s="30" t="n">
        <v>46248</v>
      </c>
      <c r="H1425" s="22" t="n">
        <v>133375</v>
      </c>
      <c r="I1425" s="22" t="s">
        <v>8632</v>
      </c>
      <c r="J1425" s="31" t="n">
        <v>39.9</v>
      </c>
      <c r="K1425" s="26" t="n">
        <v>719.98</v>
      </c>
      <c r="L1425" s="26" t="n">
        <v>156.56</v>
      </c>
      <c r="M1425" s="22" t="s">
        <v>4796</v>
      </c>
      <c r="N1425" s="22" t="n">
        <f aca="false">MATCH(M1425,'Tabela Passaro'!$A$2:$A$1795,0)</f>
        <v>1148</v>
      </c>
      <c r="O1425" s="22" t="str">
        <f aca="false">INDEX('Tabela Passaro'!$C$2:$C$1795,$N1425)</f>
        <v>OLINDA</v>
      </c>
      <c r="P1425" s="22" t="str">
        <f aca="false">INDEX('Tabela Passaro'!$B$2:$B$1795,$N1425)</f>
        <v>PE</v>
      </c>
      <c r="Q1425" s="22" t="n">
        <f aca="false">INDEX('Tabela Passaro'!$F$2:$F$1795,$N1425)</f>
        <v>8</v>
      </c>
      <c r="R1425" s="32" t="n">
        <f aca="false">IF(J1425&lt;=10,INDEX('Tabela Passaro'!$G$2:$G$1795,$N1425),IF(J1425&lt;=30,INDEX('Tabela Passaro'!$H$2:$H$1795,$N1425),IF(J1425&lt;=50,INDEX('Tabela Passaro'!$I$2:$I$1795,$N1425),IF(J1425&lt;=70,INDEX('Tabela Passaro'!$J$2:$J$1795,$N1425),IF(J1425&lt;=100,INDEX('Tabela Passaro'!$K$2:$K$1795,$N1425),INDEX('Tabela Passaro'!$K$2:$K$1795,$N1425)+(J1425-100)*INDEX('Tabela Passaro'!$L$2:$L$1795,$N1425))))))</f>
        <v>88.59</v>
      </c>
      <c r="S1425" s="32" t="n">
        <f aca="false">K1425*INDEX('Tabela Passaro'!$M$2:$M$1795,$N1425)</f>
        <v>3.5999</v>
      </c>
      <c r="T1425" s="32" t="n">
        <f aca="false">K1425*INDEX('Tabela Passaro'!$N$2:$N$1795,$N1425)</f>
        <v>1.43996</v>
      </c>
      <c r="U1425" s="32" t="n">
        <f aca="false">INDEX('Tabela Passaro'!$O$2:$O$1795,$N1425)</f>
        <v>5</v>
      </c>
      <c r="V1425" s="32" t="n">
        <f aca="false">ROUNDUP(J1425/INDEX('Tabela Passaro'!$Q$2:$Q$1795,$N1425),0)*INDEX('Tabela Passaro'!$P$2:$P$1795,$N1425)</f>
        <v>5</v>
      </c>
      <c r="W1425" s="32" t="n">
        <f aca="false">INDEX('Tabela Passaro'!$R$2:$R$1795,$N1425)</f>
        <v>30</v>
      </c>
      <c r="X1425" s="32" t="n">
        <f aca="false">ROUNDUP(J1425/INDEX('Tabela Passaro'!$T$2:$T$1795,$N1425),0)*INDEX('Tabela Passaro'!$S$2:$S$1795,$N1425)</f>
        <v>0</v>
      </c>
      <c r="Y1425" s="32" t="n">
        <f aca="false">INDEX('Tabela Passaro'!$U$2:$U$1795,$N1425)</f>
        <v>0</v>
      </c>
      <c r="Z1425" s="32" t="n">
        <f aca="false">INDEX('Tabela Passaro'!$V$2:$V$1795,$N1425)</f>
        <v>0</v>
      </c>
      <c r="AA1425" s="32" t="n">
        <f aca="false">SUM(R1425:Z1425)</f>
        <v>133.62986</v>
      </c>
      <c r="AB1425" s="33" t="n">
        <f aca="false">INDEX(Premissas!$B$5:$B$13,MATCH(A1425,Premissas!$A$5:$A$13,0))</f>
        <v>0.07</v>
      </c>
      <c r="AC1425" s="32" t="n">
        <f aca="false">AA1425/(1-AB1425)-AA1425</f>
        <v>10.0581615053763</v>
      </c>
      <c r="AD1425" s="32" t="n">
        <f aca="false">ROUND(AA1425+AC1425,2)</f>
        <v>143.69</v>
      </c>
      <c r="AE1425" s="32" t="n">
        <f aca="false">AD1425-L1425</f>
        <v>-12.87</v>
      </c>
      <c r="AF1425" s="34" t="n">
        <f aca="false">IF(L1425=0,0,AE1425/L1425)</f>
        <v>-0.0822049054675524</v>
      </c>
      <c r="AG1425" s="22" t="str">
        <f aca="false">IF(AD1425&lt;L1425,"PASSARO","ATUAL")</f>
        <v>PASSARO</v>
      </c>
      <c r="AH1425" s="22" t="str">
        <f aca="false">IF(P1425&lt;&gt;A1425,"Faixa cadastrada como "&amp;P1425&amp;" na tabela; preço aplicado pela UF do CEP","")</f>
        <v/>
      </c>
      <c r="AI1425" s="26" t="n">
        <v>175.41</v>
      </c>
      <c r="AJ1425" s="22" t="str">
        <f aca="false">INDEX('Tabela Passaro'!$X$2:$X$1795,$N1425)</f>
        <v>CAPITAL</v>
      </c>
    </row>
    <row r="1426" customFormat="false" ht="15" hidden="false" customHeight="false" outlineLevel="0" collapsed="false">
      <c r="A1426" s="22" t="s">
        <v>20</v>
      </c>
      <c r="B1426" s="22" t="n">
        <v>4</v>
      </c>
      <c r="C1426" s="22" t="s">
        <v>153</v>
      </c>
      <c r="D1426" s="22" t="s">
        <v>30</v>
      </c>
      <c r="E1426" s="22" t="s">
        <v>7326</v>
      </c>
      <c r="F1426" s="22" t="n">
        <v>525024</v>
      </c>
      <c r="G1426" s="30" t="n">
        <v>46248</v>
      </c>
      <c r="H1426" s="22" t="n">
        <v>624795</v>
      </c>
      <c r="I1426" s="22" t="s">
        <v>8633</v>
      </c>
      <c r="J1426" s="31" t="n">
        <v>107.7</v>
      </c>
      <c r="K1426" s="26" t="n">
        <v>1834.98</v>
      </c>
      <c r="L1426" s="26" t="n">
        <v>333.91</v>
      </c>
      <c r="M1426" s="22" t="s">
        <v>4796</v>
      </c>
      <c r="N1426" s="22" t="n">
        <f aca="false">MATCH(M1426,'Tabela Passaro'!$A$2:$A$1795,0)</f>
        <v>1148</v>
      </c>
      <c r="O1426" s="22" t="str">
        <f aca="false">INDEX('Tabela Passaro'!$C$2:$C$1795,$N1426)</f>
        <v>OLINDA</v>
      </c>
      <c r="P1426" s="22" t="str">
        <f aca="false">INDEX('Tabela Passaro'!$B$2:$B$1795,$N1426)</f>
        <v>PE</v>
      </c>
      <c r="Q1426" s="22" t="n">
        <f aca="false">INDEX('Tabela Passaro'!$F$2:$F$1795,$N1426)</f>
        <v>8</v>
      </c>
      <c r="R1426" s="32" t="n">
        <f aca="false">IF(J1426&lt;=10,INDEX('Tabela Passaro'!$G$2:$G$1795,$N1426),IF(J1426&lt;=30,INDEX('Tabela Passaro'!$H$2:$H$1795,$N1426),IF(J1426&lt;=50,INDEX('Tabela Passaro'!$I$2:$I$1795,$N1426),IF(J1426&lt;=70,INDEX('Tabela Passaro'!$J$2:$J$1795,$N1426),IF(J1426&lt;=100,INDEX('Tabela Passaro'!$K$2:$K$1795,$N1426),INDEX('Tabela Passaro'!$K$2:$K$1795,$N1426)+(J1426-100)*INDEX('Tabela Passaro'!$L$2:$L$1795,$N1426))))))</f>
        <v>128.691</v>
      </c>
      <c r="S1426" s="32" t="n">
        <f aca="false">K1426*INDEX('Tabela Passaro'!$M$2:$M$1795,$N1426)</f>
        <v>9.1749</v>
      </c>
      <c r="T1426" s="32" t="n">
        <f aca="false">K1426*INDEX('Tabela Passaro'!$N$2:$N$1795,$N1426)</f>
        <v>3.66996</v>
      </c>
      <c r="U1426" s="32" t="n">
        <f aca="false">INDEX('Tabela Passaro'!$O$2:$O$1795,$N1426)</f>
        <v>5</v>
      </c>
      <c r="V1426" s="32" t="n">
        <f aca="false">ROUNDUP(J1426/INDEX('Tabela Passaro'!$Q$2:$Q$1795,$N1426),0)*INDEX('Tabela Passaro'!$P$2:$P$1795,$N1426)</f>
        <v>10</v>
      </c>
      <c r="W1426" s="32" t="n">
        <f aca="false">INDEX('Tabela Passaro'!$R$2:$R$1795,$N1426)</f>
        <v>30</v>
      </c>
      <c r="X1426" s="32" t="n">
        <f aca="false">ROUNDUP(J1426/INDEX('Tabela Passaro'!$T$2:$T$1795,$N1426),0)*INDEX('Tabela Passaro'!$S$2:$S$1795,$N1426)</f>
        <v>0</v>
      </c>
      <c r="Y1426" s="32" t="n">
        <f aca="false">INDEX('Tabela Passaro'!$U$2:$U$1795,$N1426)</f>
        <v>0</v>
      </c>
      <c r="Z1426" s="32" t="n">
        <f aca="false">INDEX('Tabela Passaro'!$V$2:$V$1795,$N1426)</f>
        <v>0</v>
      </c>
      <c r="AA1426" s="32" t="n">
        <f aca="false">SUM(R1426:Z1426)</f>
        <v>186.53586</v>
      </c>
      <c r="AB1426" s="33" t="n">
        <f aca="false">INDEX(Premissas!$B$5:$B$13,MATCH(A1426,Premissas!$A$5:$A$13,0))</f>
        <v>0.07</v>
      </c>
      <c r="AC1426" s="32" t="n">
        <f aca="false">AA1426/(1-AB1426)-AA1426</f>
        <v>14.0403335483871</v>
      </c>
      <c r="AD1426" s="32" t="n">
        <f aca="false">ROUND(AA1426+AC1426,2)</f>
        <v>200.58</v>
      </c>
      <c r="AE1426" s="32" t="n">
        <f aca="false">AD1426-L1426</f>
        <v>-133.33</v>
      </c>
      <c r="AF1426" s="34" t="n">
        <f aca="false">IF(L1426=0,0,AE1426/L1426)</f>
        <v>-0.399299212362613</v>
      </c>
      <c r="AG1426" s="22" t="str">
        <f aca="false">IF(AD1426&lt;L1426,"PASSARO","ATUAL")</f>
        <v>PASSARO</v>
      </c>
      <c r="AH1426" s="22" t="str">
        <f aca="false">IF(P1426&lt;&gt;A1426,"Faixa cadastrada como "&amp;P1426&amp;" na tabela; preço aplicado pela UF do CEP","")</f>
        <v/>
      </c>
      <c r="AI1426" s="26" t="n">
        <v>270.94</v>
      </c>
      <c r="AJ1426" s="22" t="str">
        <f aca="false">INDEX('Tabela Passaro'!$X$2:$X$1795,$N1426)</f>
        <v>CAPITAL</v>
      </c>
    </row>
    <row r="1427" customFormat="false" ht="15" hidden="false" customHeight="false" outlineLevel="0" collapsed="false">
      <c r="A1427" s="22" t="s">
        <v>20</v>
      </c>
      <c r="B1427" s="22" t="n">
        <v>4</v>
      </c>
      <c r="C1427" s="22" t="s">
        <v>153</v>
      </c>
      <c r="D1427" s="22" t="s">
        <v>30</v>
      </c>
      <c r="E1427" s="22" t="s">
        <v>7326</v>
      </c>
      <c r="F1427" s="22" t="n">
        <v>525012</v>
      </c>
      <c r="G1427" s="30" t="n">
        <v>46248</v>
      </c>
      <c r="H1427" s="22" t="n">
        <v>625220</v>
      </c>
      <c r="I1427" s="22" t="s">
        <v>8634</v>
      </c>
      <c r="J1427" s="31" t="n">
        <v>6.33</v>
      </c>
      <c r="K1427" s="26" t="n">
        <v>471.73</v>
      </c>
      <c r="L1427" s="26" t="n">
        <v>73.22</v>
      </c>
      <c r="M1427" s="22" t="s">
        <v>4796</v>
      </c>
      <c r="N1427" s="22" t="n">
        <f aca="false">MATCH(M1427,'Tabela Passaro'!$A$2:$A$1795,0)</f>
        <v>1148</v>
      </c>
      <c r="O1427" s="22" t="str">
        <f aca="false">INDEX('Tabela Passaro'!$C$2:$C$1795,$N1427)</f>
        <v>OLINDA</v>
      </c>
      <c r="P1427" s="22" t="str">
        <f aca="false">INDEX('Tabela Passaro'!$B$2:$B$1795,$N1427)</f>
        <v>PE</v>
      </c>
      <c r="Q1427" s="22" t="n">
        <f aca="false">INDEX('Tabela Passaro'!$F$2:$F$1795,$N1427)</f>
        <v>8</v>
      </c>
      <c r="R1427" s="32" t="n">
        <f aca="false">IF(J1427&lt;=10,INDEX('Tabela Passaro'!$G$2:$G$1795,$N1427),IF(J1427&lt;=30,INDEX('Tabela Passaro'!$H$2:$H$1795,$N1427),IF(J1427&lt;=50,INDEX('Tabela Passaro'!$I$2:$I$1795,$N1427),IF(J1427&lt;=70,INDEX('Tabela Passaro'!$J$2:$J$1795,$N1427),IF(J1427&lt;=100,INDEX('Tabela Passaro'!$K$2:$K$1795,$N1427),INDEX('Tabela Passaro'!$K$2:$K$1795,$N1427)+(J1427-100)*INDEX('Tabela Passaro'!$L$2:$L$1795,$N1427))))))</f>
        <v>55.54</v>
      </c>
      <c r="S1427" s="32" t="n">
        <f aca="false">K1427*INDEX('Tabela Passaro'!$M$2:$M$1795,$N1427)</f>
        <v>2.35865</v>
      </c>
      <c r="T1427" s="32" t="n">
        <f aca="false">K1427*INDEX('Tabela Passaro'!$N$2:$N$1795,$N1427)</f>
        <v>0.94346</v>
      </c>
      <c r="U1427" s="32" t="n">
        <f aca="false">INDEX('Tabela Passaro'!$O$2:$O$1795,$N1427)</f>
        <v>5</v>
      </c>
      <c r="V1427" s="32" t="n">
        <f aca="false">ROUNDUP(J1427/INDEX('Tabela Passaro'!$Q$2:$Q$1795,$N1427),0)*INDEX('Tabela Passaro'!$P$2:$P$1795,$N1427)</f>
        <v>5</v>
      </c>
      <c r="W1427" s="32" t="n">
        <f aca="false">INDEX('Tabela Passaro'!$R$2:$R$1795,$N1427)</f>
        <v>30</v>
      </c>
      <c r="X1427" s="32" t="n">
        <f aca="false">ROUNDUP(J1427/INDEX('Tabela Passaro'!$T$2:$T$1795,$N1427),0)*INDEX('Tabela Passaro'!$S$2:$S$1795,$N1427)</f>
        <v>0</v>
      </c>
      <c r="Y1427" s="32" t="n">
        <f aca="false">INDEX('Tabela Passaro'!$U$2:$U$1795,$N1427)</f>
        <v>0</v>
      </c>
      <c r="Z1427" s="32" t="n">
        <f aca="false">INDEX('Tabela Passaro'!$V$2:$V$1795,$N1427)</f>
        <v>0</v>
      </c>
      <c r="AA1427" s="32" t="n">
        <f aca="false">SUM(R1427:Z1427)</f>
        <v>98.84211</v>
      </c>
      <c r="AB1427" s="33" t="n">
        <f aca="false">INDEX(Premissas!$B$5:$B$13,MATCH(A1427,Premissas!$A$5:$A$13,0))</f>
        <v>0.07</v>
      </c>
      <c r="AC1427" s="32" t="n">
        <f aca="false">AA1427/(1-AB1427)-AA1427</f>
        <v>7.43972870967743</v>
      </c>
      <c r="AD1427" s="32" t="n">
        <f aca="false">ROUND(AA1427+AC1427,2)</f>
        <v>106.28</v>
      </c>
      <c r="AE1427" s="32" t="n">
        <f aca="false">AD1427-L1427</f>
        <v>33.06</v>
      </c>
      <c r="AF1427" s="34" t="n">
        <f aca="false">IF(L1427=0,0,AE1427/L1427)</f>
        <v>0.451515979240645</v>
      </c>
      <c r="AG1427" s="22" t="str">
        <f aca="false">IF(AD1427&lt;L1427,"PASSARO","ATUAL")</f>
        <v>ATUAL</v>
      </c>
      <c r="AH1427" s="22" t="str">
        <f aca="false">IF(P1427&lt;&gt;A1427,"Faixa cadastrada como "&amp;P1427&amp;" na tabela; preço aplicado pela UF do CEP","")</f>
        <v/>
      </c>
      <c r="AI1427" s="26" t="n">
        <v>119.47</v>
      </c>
      <c r="AJ1427" s="22" t="str">
        <f aca="false">INDEX('Tabela Passaro'!$X$2:$X$1795,$N1427)</f>
        <v>CAPITAL</v>
      </c>
    </row>
    <row r="1428" customFormat="false" ht="15" hidden="false" customHeight="false" outlineLevel="0" collapsed="false">
      <c r="A1428" s="22" t="s">
        <v>20</v>
      </c>
      <c r="B1428" s="22" t="n">
        <v>4</v>
      </c>
      <c r="C1428" s="22" t="s">
        <v>153</v>
      </c>
      <c r="D1428" s="22" t="s">
        <v>30</v>
      </c>
      <c r="E1428" s="22" t="s">
        <v>20</v>
      </c>
      <c r="F1428" s="22" t="n">
        <v>839337</v>
      </c>
      <c r="G1428" s="30" t="n">
        <v>46251</v>
      </c>
      <c r="H1428" s="22" t="n">
        <v>32526</v>
      </c>
      <c r="I1428" s="22" t="s">
        <v>8635</v>
      </c>
      <c r="J1428" s="31" t="n">
        <v>51.2</v>
      </c>
      <c r="K1428" s="26" t="n">
        <v>815.99</v>
      </c>
      <c r="L1428" s="26" t="n">
        <v>107.74</v>
      </c>
      <c r="M1428" s="22" t="s">
        <v>4796</v>
      </c>
      <c r="N1428" s="22" t="n">
        <f aca="false">MATCH(M1428,'Tabela Passaro'!$A$2:$A$1795,0)</f>
        <v>1148</v>
      </c>
      <c r="O1428" s="22" t="str">
        <f aca="false">INDEX('Tabela Passaro'!$C$2:$C$1795,$N1428)</f>
        <v>OLINDA</v>
      </c>
      <c r="P1428" s="22" t="str">
        <f aca="false">INDEX('Tabela Passaro'!$B$2:$B$1795,$N1428)</f>
        <v>PE</v>
      </c>
      <c r="Q1428" s="22" t="n">
        <f aca="false">INDEX('Tabela Passaro'!$F$2:$F$1795,$N1428)</f>
        <v>8</v>
      </c>
      <c r="R1428" s="32" t="n">
        <f aca="false">IF(J1428&lt;=10,INDEX('Tabela Passaro'!$G$2:$G$1795,$N1428),IF(J1428&lt;=30,INDEX('Tabela Passaro'!$H$2:$H$1795,$N1428),IF(J1428&lt;=50,INDEX('Tabela Passaro'!$I$2:$I$1795,$N1428),IF(J1428&lt;=70,INDEX('Tabela Passaro'!$J$2:$J$1795,$N1428),IF(J1428&lt;=100,INDEX('Tabela Passaro'!$K$2:$K$1795,$N1428),INDEX('Tabela Passaro'!$K$2:$K$1795,$N1428)+(J1428-100)*INDEX('Tabela Passaro'!$L$2:$L$1795,$N1428))))))</f>
        <v>99.61</v>
      </c>
      <c r="S1428" s="32" t="n">
        <f aca="false">K1428*INDEX('Tabela Passaro'!$M$2:$M$1795,$N1428)</f>
        <v>4.07995</v>
      </c>
      <c r="T1428" s="32" t="n">
        <f aca="false">K1428*INDEX('Tabela Passaro'!$N$2:$N$1795,$N1428)</f>
        <v>1.63198</v>
      </c>
      <c r="U1428" s="32" t="n">
        <f aca="false">INDEX('Tabela Passaro'!$O$2:$O$1795,$N1428)</f>
        <v>5</v>
      </c>
      <c r="V1428" s="32" t="n">
        <f aca="false">ROUNDUP(J1428/INDEX('Tabela Passaro'!$Q$2:$Q$1795,$N1428),0)*INDEX('Tabela Passaro'!$P$2:$P$1795,$N1428)</f>
        <v>5</v>
      </c>
      <c r="W1428" s="32" t="n">
        <f aca="false">INDEX('Tabela Passaro'!$R$2:$R$1795,$N1428)</f>
        <v>30</v>
      </c>
      <c r="X1428" s="32" t="n">
        <f aca="false">ROUNDUP(J1428/INDEX('Tabela Passaro'!$T$2:$T$1795,$N1428),0)*INDEX('Tabela Passaro'!$S$2:$S$1795,$N1428)</f>
        <v>0</v>
      </c>
      <c r="Y1428" s="32" t="n">
        <f aca="false">INDEX('Tabela Passaro'!$U$2:$U$1795,$N1428)</f>
        <v>0</v>
      </c>
      <c r="Z1428" s="32" t="n">
        <f aca="false">INDEX('Tabela Passaro'!$V$2:$V$1795,$N1428)</f>
        <v>0</v>
      </c>
      <c r="AA1428" s="32" t="n">
        <f aca="false">SUM(R1428:Z1428)</f>
        <v>145.32193</v>
      </c>
      <c r="AB1428" s="33" t="n">
        <f aca="false">INDEX(Premissas!$B$5:$B$13,MATCH(A1428,Premissas!$A$5:$A$13,0))</f>
        <v>0.07</v>
      </c>
      <c r="AC1428" s="32" t="n">
        <f aca="false">AA1428/(1-AB1428)-AA1428</f>
        <v>10.9382097849463</v>
      </c>
      <c r="AD1428" s="32" t="n">
        <f aca="false">ROUND(AA1428+AC1428,2)</f>
        <v>156.26</v>
      </c>
      <c r="AE1428" s="32" t="n">
        <f aca="false">AD1428-L1428</f>
        <v>48.52</v>
      </c>
      <c r="AF1428" s="34" t="n">
        <f aca="false">IF(L1428=0,0,AE1428/L1428)</f>
        <v>0.450343419342862</v>
      </c>
      <c r="AG1428" s="22" t="str">
        <f aca="false">IF(AD1428&lt;L1428,"PASSARO","ATUAL")</f>
        <v>ATUAL</v>
      </c>
      <c r="AH1428" s="22" t="str">
        <f aca="false">IF(P1428&lt;&gt;A1428,"Faixa cadastrada como "&amp;P1428&amp;" na tabela; preço aplicado pela UF do CEP","")</f>
        <v/>
      </c>
      <c r="AI1428" s="26" t="n">
        <v>194.67</v>
      </c>
      <c r="AJ1428" s="22" t="str">
        <f aca="false">INDEX('Tabela Passaro'!$X$2:$X$1795,$N1428)</f>
        <v>CAPITAL</v>
      </c>
    </row>
    <row r="1429" customFormat="false" ht="15" hidden="false" customHeight="false" outlineLevel="0" collapsed="false">
      <c r="A1429" s="22" t="s">
        <v>20</v>
      </c>
      <c r="B1429" s="22" t="n">
        <v>4</v>
      </c>
      <c r="C1429" s="22" t="s">
        <v>153</v>
      </c>
      <c r="D1429" s="22" t="s">
        <v>30</v>
      </c>
      <c r="E1429" s="22" t="s">
        <v>7326</v>
      </c>
      <c r="F1429" s="22" t="n">
        <v>525355</v>
      </c>
      <c r="G1429" s="30" t="n">
        <v>46251</v>
      </c>
      <c r="H1429" s="22" t="n">
        <v>625639</v>
      </c>
      <c r="I1429" s="22" t="s">
        <v>8636</v>
      </c>
      <c r="J1429" s="31" t="n">
        <v>19.75</v>
      </c>
      <c r="K1429" s="26" t="n">
        <v>460.48</v>
      </c>
      <c r="L1429" s="26" t="n">
        <v>128.7</v>
      </c>
      <c r="M1429" s="22" t="s">
        <v>4796</v>
      </c>
      <c r="N1429" s="22" t="n">
        <f aca="false">MATCH(M1429,'Tabela Passaro'!$A$2:$A$1795,0)</f>
        <v>1148</v>
      </c>
      <c r="O1429" s="22" t="str">
        <f aca="false">INDEX('Tabela Passaro'!$C$2:$C$1795,$N1429)</f>
        <v>OLINDA</v>
      </c>
      <c r="P1429" s="22" t="str">
        <f aca="false">INDEX('Tabela Passaro'!$B$2:$B$1795,$N1429)</f>
        <v>PE</v>
      </c>
      <c r="Q1429" s="22" t="n">
        <f aca="false">INDEX('Tabela Passaro'!$F$2:$F$1795,$N1429)</f>
        <v>8</v>
      </c>
      <c r="R1429" s="32" t="n">
        <f aca="false">IF(J1429&lt;=10,INDEX('Tabela Passaro'!$G$2:$G$1795,$N1429),IF(J1429&lt;=30,INDEX('Tabela Passaro'!$H$2:$H$1795,$N1429),IF(J1429&lt;=50,INDEX('Tabela Passaro'!$I$2:$I$1795,$N1429),IF(J1429&lt;=70,INDEX('Tabela Passaro'!$J$2:$J$1795,$N1429),IF(J1429&lt;=100,INDEX('Tabela Passaro'!$K$2:$K$1795,$N1429),INDEX('Tabela Passaro'!$K$2:$K$1795,$N1429)+(J1429-100)*INDEX('Tabela Passaro'!$L$2:$L$1795,$N1429))))))</f>
        <v>66.55</v>
      </c>
      <c r="S1429" s="32" t="n">
        <f aca="false">K1429*INDEX('Tabela Passaro'!$M$2:$M$1795,$N1429)</f>
        <v>2.3024</v>
      </c>
      <c r="T1429" s="32" t="n">
        <f aca="false">K1429*INDEX('Tabela Passaro'!$N$2:$N$1795,$N1429)</f>
        <v>0.92096</v>
      </c>
      <c r="U1429" s="32" t="n">
        <f aca="false">INDEX('Tabela Passaro'!$O$2:$O$1795,$N1429)</f>
        <v>5</v>
      </c>
      <c r="V1429" s="32" t="n">
        <f aca="false">ROUNDUP(J1429/INDEX('Tabela Passaro'!$Q$2:$Q$1795,$N1429),0)*INDEX('Tabela Passaro'!$P$2:$P$1795,$N1429)</f>
        <v>5</v>
      </c>
      <c r="W1429" s="32" t="n">
        <f aca="false">INDEX('Tabela Passaro'!$R$2:$R$1795,$N1429)</f>
        <v>30</v>
      </c>
      <c r="X1429" s="32" t="n">
        <f aca="false">ROUNDUP(J1429/INDEX('Tabela Passaro'!$T$2:$T$1795,$N1429),0)*INDEX('Tabela Passaro'!$S$2:$S$1795,$N1429)</f>
        <v>0</v>
      </c>
      <c r="Y1429" s="32" t="n">
        <f aca="false">INDEX('Tabela Passaro'!$U$2:$U$1795,$N1429)</f>
        <v>0</v>
      </c>
      <c r="Z1429" s="32" t="n">
        <f aca="false">INDEX('Tabela Passaro'!$V$2:$V$1795,$N1429)</f>
        <v>0</v>
      </c>
      <c r="AA1429" s="32" t="n">
        <f aca="false">SUM(R1429:Z1429)</f>
        <v>109.77336</v>
      </c>
      <c r="AB1429" s="33" t="n">
        <f aca="false">INDEX(Premissas!$B$5:$B$13,MATCH(A1429,Premissas!$A$5:$A$13,0))</f>
        <v>0.07</v>
      </c>
      <c r="AC1429" s="32" t="n">
        <f aca="false">AA1429/(1-AB1429)-AA1429</f>
        <v>8.26251096774195</v>
      </c>
      <c r="AD1429" s="32" t="n">
        <f aca="false">ROUND(AA1429+AC1429,2)</f>
        <v>118.04</v>
      </c>
      <c r="AE1429" s="32" t="n">
        <f aca="false">AD1429-L1429</f>
        <v>-10.66</v>
      </c>
      <c r="AF1429" s="34" t="n">
        <f aca="false">IF(L1429=0,0,AE1429/L1429)</f>
        <v>-0.0828282828282827</v>
      </c>
      <c r="AG1429" s="22" t="str">
        <f aca="false">IF(AD1429&lt;L1429,"PASSARO","ATUAL")</f>
        <v>PASSARO</v>
      </c>
      <c r="AH1429" s="22" t="str">
        <f aca="false">IF(P1429&lt;&gt;A1429,"Faixa cadastrada como "&amp;P1429&amp;" na tabela; preço aplicado pela UF do CEP","")</f>
        <v/>
      </c>
      <c r="AI1429" s="26" t="n">
        <v>138.17</v>
      </c>
      <c r="AJ1429" s="22" t="str">
        <f aca="false">INDEX('Tabela Passaro'!$X$2:$X$1795,$N1429)</f>
        <v>CAPITAL</v>
      </c>
    </row>
    <row r="1430" customFormat="false" ht="15" hidden="false" customHeight="false" outlineLevel="0" collapsed="false">
      <c r="A1430" s="22" t="s">
        <v>20</v>
      </c>
      <c r="B1430" s="22" t="n">
        <v>4</v>
      </c>
      <c r="C1430" s="22" t="s">
        <v>153</v>
      </c>
      <c r="D1430" s="22" t="s">
        <v>30</v>
      </c>
      <c r="E1430" s="22" t="s">
        <v>7326</v>
      </c>
      <c r="F1430" s="22" t="n">
        <v>525724</v>
      </c>
      <c r="G1430" s="30" t="n">
        <v>46252</v>
      </c>
      <c r="H1430" s="22" t="n">
        <v>626340</v>
      </c>
      <c r="I1430" s="22" t="s">
        <v>8637</v>
      </c>
      <c r="J1430" s="31" t="n">
        <v>75.4</v>
      </c>
      <c r="K1430" s="26" t="n">
        <v>1349.99</v>
      </c>
      <c r="L1430" s="26" t="n">
        <v>284.87</v>
      </c>
      <c r="M1430" s="22" t="s">
        <v>4796</v>
      </c>
      <c r="N1430" s="22" t="n">
        <f aca="false">MATCH(M1430,'Tabela Passaro'!$A$2:$A$1795,0)</f>
        <v>1148</v>
      </c>
      <c r="O1430" s="22" t="str">
        <f aca="false">INDEX('Tabela Passaro'!$C$2:$C$1795,$N1430)</f>
        <v>OLINDA</v>
      </c>
      <c r="P1430" s="22" t="str">
        <f aca="false">INDEX('Tabela Passaro'!$B$2:$B$1795,$N1430)</f>
        <v>PE</v>
      </c>
      <c r="Q1430" s="22" t="n">
        <f aca="false">INDEX('Tabela Passaro'!$F$2:$F$1795,$N1430)</f>
        <v>8</v>
      </c>
      <c r="R1430" s="32" t="n">
        <f aca="false">IF(J1430&lt;=10,INDEX('Tabela Passaro'!$G$2:$G$1795,$N1430),IF(J1430&lt;=30,INDEX('Tabela Passaro'!$H$2:$H$1795,$N1430),IF(J1430&lt;=50,INDEX('Tabela Passaro'!$I$2:$I$1795,$N1430),IF(J1430&lt;=70,INDEX('Tabela Passaro'!$J$2:$J$1795,$N1430),IF(J1430&lt;=100,INDEX('Tabela Passaro'!$K$2:$K$1795,$N1430),INDEX('Tabela Passaro'!$K$2:$K$1795,$N1430)+(J1430-100)*INDEX('Tabela Passaro'!$L$2:$L$1795,$N1430))))))</f>
        <v>116.14</v>
      </c>
      <c r="S1430" s="32" t="n">
        <f aca="false">K1430*INDEX('Tabela Passaro'!$M$2:$M$1795,$N1430)</f>
        <v>6.74995</v>
      </c>
      <c r="T1430" s="32" t="n">
        <f aca="false">K1430*INDEX('Tabela Passaro'!$N$2:$N$1795,$N1430)</f>
        <v>2.69998</v>
      </c>
      <c r="U1430" s="32" t="n">
        <f aca="false">INDEX('Tabela Passaro'!$O$2:$O$1795,$N1430)</f>
        <v>5</v>
      </c>
      <c r="V1430" s="32" t="n">
        <f aca="false">ROUNDUP(J1430/INDEX('Tabela Passaro'!$Q$2:$Q$1795,$N1430),0)*INDEX('Tabela Passaro'!$P$2:$P$1795,$N1430)</f>
        <v>5</v>
      </c>
      <c r="W1430" s="32" t="n">
        <f aca="false">INDEX('Tabela Passaro'!$R$2:$R$1795,$N1430)</f>
        <v>30</v>
      </c>
      <c r="X1430" s="32" t="n">
        <f aca="false">ROUNDUP(J1430/INDEX('Tabela Passaro'!$T$2:$T$1795,$N1430),0)*INDEX('Tabela Passaro'!$S$2:$S$1795,$N1430)</f>
        <v>0</v>
      </c>
      <c r="Y1430" s="32" t="n">
        <f aca="false">INDEX('Tabela Passaro'!$U$2:$U$1795,$N1430)</f>
        <v>0</v>
      </c>
      <c r="Z1430" s="32" t="n">
        <f aca="false">INDEX('Tabela Passaro'!$V$2:$V$1795,$N1430)</f>
        <v>0</v>
      </c>
      <c r="AA1430" s="32" t="n">
        <f aca="false">SUM(R1430:Z1430)</f>
        <v>165.58993</v>
      </c>
      <c r="AB1430" s="33" t="n">
        <f aca="false">INDEX(Premissas!$B$5:$B$13,MATCH(A1430,Premissas!$A$5:$A$13,0))</f>
        <v>0.07</v>
      </c>
      <c r="AC1430" s="32" t="n">
        <f aca="false">AA1430/(1-AB1430)-AA1430</f>
        <v>12.463758172043</v>
      </c>
      <c r="AD1430" s="32" t="n">
        <f aca="false">ROUND(AA1430+AC1430,2)</f>
        <v>178.05</v>
      </c>
      <c r="AE1430" s="32" t="n">
        <f aca="false">AD1430-L1430</f>
        <v>-106.82</v>
      </c>
      <c r="AF1430" s="34" t="n">
        <f aca="false">IF(L1430=0,0,AE1430/L1430)</f>
        <v>-0.374978060167796</v>
      </c>
      <c r="AG1430" s="22" t="str">
        <f aca="false">IF(AD1430&lt;L1430,"PASSARO","ATUAL")</f>
        <v>PASSARO</v>
      </c>
      <c r="AH1430" s="22" t="str">
        <f aca="false">IF(P1430&lt;&gt;A1430,"Faixa cadastrada como "&amp;P1430&amp;" na tabela; preço aplicado pela UF do CEP","")</f>
        <v/>
      </c>
      <c r="AI1430" s="26" t="n">
        <v>230.24</v>
      </c>
      <c r="AJ1430" s="22" t="str">
        <f aca="false">INDEX('Tabela Passaro'!$X$2:$X$1795,$N1430)</f>
        <v>CAPITAL</v>
      </c>
    </row>
    <row r="1431" customFormat="false" ht="15" hidden="false" customHeight="false" outlineLevel="0" collapsed="false">
      <c r="A1431" s="22" t="s">
        <v>20</v>
      </c>
      <c r="B1431" s="22" t="n">
        <v>4</v>
      </c>
      <c r="C1431" s="22" t="s">
        <v>153</v>
      </c>
      <c r="D1431" s="22" t="s">
        <v>30</v>
      </c>
      <c r="E1431" s="22" t="s">
        <v>7326</v>
      </c>
      <c r="F1431" s="22" t="n">
        <v>525723</v>
      </c>
      <c r="G1431" s="30" t="n">
        <v>46252</v>
      </c>
      <c r="H1431" s="22" t="n">
        <v>626341</v>
      </c>
      <c r="I1431" s="22" t="s">
        <v>8638</v>
      </c>
      <c r="J1431" s="31" t="n">
        <v>36</v>
      </c>
      <c r="K1431" s="26" t="n">
        <v>788.98</v>
      </c>
      <c r="L1431" s="26" t="n">
        <v>178</v>
      </c>
      <c r="M1431" s="22" t="s">
        <v>4796</v>
      </c>
      <c r="N1431" s="22" t="n">
        <f aca="false">MATCH(M1431,'Tabela Passaro'!$A$2:$A$1795,0)</f>
        <v>1148</v>
      </c>
      <c r="O1431" s="22" t="str">
        <f aca="false">INDEX('Tabela Passaro'!$C$2:$C$1795,$N1431)</f>
        <v>OLINDA</v>
      </c>
      <c r="P1431" s="22" t="str">
        <f aca="false">INDEX('Tabela Passaro'!$B$2:$B$1795,$N1431)</f>
        <v>PE</v>
      </c>
      <c r="Q1431" s="22" t="n">
        <f aca="false">INDEX('Tabela Passaro'!$F$2:$F$1795,$N1431)</f>
        <v>8</v>
      </c>
      <c r="R1431" s="32" t="n">
        <f aca="false">IF(J1431&lt;=10,INDEX('Tabela Passaro'!$G$2:$G$1795,$N1431),IF(J1431&lt;=30,INDEX('Tabela Passaro'!$H$2:$H$1795,$N1431),IF(J1431&lt;=50,INDEX('Tabela Passaro'!$I$2:$I$1795,$N1431),IF(J1431&lt;=70,INDEX('Tabela Passaro'!$J$2:$J$1795,$N1431),IF(J1431&lt;=100,INDEX('Tabela Passaro'!$K$2:$K$1795,$N1431),INDEX('Tabela Passaro'!$K$2:$K$1795,$N1431)+(J1431-100)*INDEX('Tabela Passaro'!$L$2:$L$1795,$N1431))))))</f>
        <v>88.59</v>
      </c>
      <c r="S1431" s="32" t="n">
        <f aca="false">K1431*INDEX('Tabela Passaro'!$M$2:$M$1795,$N1431)</f>
        <v>3.9449</v>
      </c>
      <c r="T1431" s="32" t="n">
        <f aca="false">K1431*INDEX('Tabela Passaro'!$N$2:$N$1795,$N1431)</f>
        <v>1.57796</v>
      </c>
      <c r="U1431" s="32" t="n">
        <f aca="false">INDEX('Tabela Passaro'!$O$2:$O$1795,$N1431)</f>
        <v>5</v>
      </c>
      <c r="V1431" s="32" t="n">
        <f aca="false">ROUNDUP(J1431/INDEX('Tabela Passaro'!$Q$2:$Q$1795,$N1431),0)*INDEX('Tabela Passaro'!$P$2:$P$1795,$N1431)</f>
        <v>5</v>
      </c>
      <c r="W1431" s="32" t="n">
        <f aca="false">INDEX('Tabela Passaro'!$R$2:$R$1795,$N1431)</f>
        <v>30</v>
      </c>
      <c r="X1431" s="32" t="n">
        <f aca="false">ROUNDUP(J1431/INDEX('Tabela Passaro'!$T$2:$T$1795,$N1431),0)*INDEX('Tabela Passaro'!$S$2:$S$1795,$N1431)</f>
        <v>0</v>
      </c>
      <c r="Y1431" s="32" t="n">
        <f aca="false">INDEX('Tabela Passaro'!$U$2:$U$1795,$N1431)</f>
        <v>0</v>
      </c>
      <c r="Z1431" s="32" t="n">
        <f aca="false">INDEX('Tabela Passaro'!$V$2:$V$1795,$N1431)</f>
        <v>0</v>
      </c>
      <c r="AA1431" s="32" t="n">
        <f aca="false">SUM(R1431:Z1431)</f>
        <v>134.11286</v>
      </c>
      <c r="AB1431" s="33" t="n">
        <f aca="false">INDEX(Premissas!$B$5:$B$13,MATCH(A1431,Premissas!$A$5:$A$13,0))</f>
        <v>0.07</v>
      </c>
      <c r="AC1431" s="32" t="n">
        <f aca="false">AA1431/(1-AB1431)-AA1431</f>
        <v>10.094516344086</v>
      </c>
      <c r="AD1431" s="32" t="n">
        <f aca="false">ROUND(AA1431+AC1431,2)</f>
        <v>144.21</v>
      </c>
      <c r="AE1431" s="32" t="n">
        <f aca="false">AD1431-L1431</f>
        <v>-33.79</v>
      </c>
      <c r="AF1431" s="34" t="n">
        <f aca="false">IF(L1431=0,0,AE1431/L1431)</f>
        <v>-0.189831460674157</v>
      </c>
      <c r="AG1431" s="22" t="str">
        <f aca="false">IF(AD1431&lt;L1431,"PASSARO","ATUAL")</f>
        <v>PASSARO</v>
      </c>
      <c r="AH1431" s="22" t="str">
        <f aca="false">IF(P1431&lt;&gt;A1431,"Faixa cadastrada como "&amp;P1431&amp;" na tabela; preço aplicado pela UF do CEP","")</f>
        <v/>
      </c>
      <c r="AI1431" s="26" t="n">
        <v>174.14</v>
      </c>
      <c r="AJ1431" s="22" t="str">
        <f aca="false">INDEX('Tabela Passaro'!$X$2:$X$1795,$N1431)</f>
        <v>CAPITAL</v>
      </c>
    </row>
    <row r="1432" customFormat="false" ht="15" hidden="false" customHeight="false" outlineLevel="0" collapsed="false">
      <c r="A1432" s="22" t="s">
        <v>20</v>
      </c>
      <c r="B1432" s="22" t="n">
        <v>4</v>
      </c>
      <c r="C1432" s="22" t="s">
        <v>153</v>
      </c>
      <c r="D1432" s="22" t="s">
        <v>30</v>
      </c>
      <c r="E1432" s="22" t="s">
        <v>7328</v>
      </c>
      <c r="F1432" s="22" t="n">
        <v>2313794</v>
      </c>
      <c r="G1432" s="30" t="n">
        <v>46253</v>
      </c>
      <c r="H1432" s="22" t="n">
        <v>133886</v>
      </c>
      <c r="I1432" s="22" t="s">
        <v>8639</v>
      </c>
      <c r="J1432" s="31" t="n">
        <v>51.06</v>
      </c>
      <c r="K1432" s="26" t="n">
        <v>796.77</v>
      </c>
      <c r="L1432" s="26" t="n">
        <v>184.59</v>
      </c>
      <c r="M1432" s="22" t="s">
        <v>4796</v>
      </c>
      <c r="N1432" s="22" t="n">
        <f aca="false">MATCH(M1432,'Tabela Passaro'!$A$2:$A$1795,0)</f>
        <v>1148</v>
      </c>
      <c r="O1432" s="22" t="str">
        <f aca="false">INDEX('Tabela Passaro'!$C$2:$C$1795,$N1432)</f>
        <v>OLINDA</v>
      </c>
      <c r="P1432" s="22" t="str">
        <f aca="false">INDEX('Tabela Passaro'!$B$2:$B$1795,$N1432)</f>
        <v>PE</v>
      </c>
      <c r="Q1432" s="22" t="n">
        <f aca="false">INDEX('Tabela Passaro'!$F$2:$F$1795,$N1432)</f>
        <v>8</v>
      </c>
      <c r="R1432" s="32" t="n">
        <f aca="false">IF(J1432&lt;=10,INDEX('Tabela Passaro'!$G$2:$G$1795,$N1432),IF(J1432&lt;=30,INDEX('Tabela Passaro'!$H$2:$H$1795,$N1432),IF(J1432&lt;=50,INDEX('Tabela Passaro'!$I$2:$I$1795,$N1432),IF(J1432&lt;=70,INDEX('Tabela Passaro'!$J$2:$J$1795,$N1432),IF(J1432&lt;=100,INDEX('Tabela Passaro'!$K$2:$K$1795,$N1432),INDEX('Tabela Passaro'!$K$2:$K$1795,$N1432)+(J1432-100)*INDEX('Tabela Passaro'!$L$2:$L$1795,$N1432))))))</f>
        <v>99.61</v>
      </c>
      <c r="S1432" s="32" t="n">
        <f aca="false">K1432*INDEX('Tabela Passaro'!$M$2:$M$1795,$N1432)</f>
        <v>3.98385</v>
      </c>
      <c r="T1432" s="32" t="n">
        <f aca="false">K1432*INDEX('Tabela Passaro'!$N$2:$N$1795,$N1432)</f>
        <v>1.59354</v>
      </c>
      <c r="U1432" s="32" t="n">
        <f aca="false">INDEX('Tabela Passaro'!$O$2:$O$1795,$N1432)</f>
        <v>5</v>
      </c>
      <c r="V1432" s="32" t="n">
        <f aca="false">ROUNDUP(J1432/INDEX('Tabela Passaro'!$Q$2:$Q$1795,$N1432),0)*INDEX('Tabela Passaro'!$P$2:$P$1795,$N1432)</f>
        <v>5</v>
      </c>
      <c r="W1432" s="32" t="n">
        <f aca="false">INDEX('Tabela Passaro'!$R$2:$R$1795,$N1432)</f>
        <v>30</v>
      </c>
      <c r="X1432" s="32" t="n">
        <f aca="false">ROUNDUP(J1432/INDEX('Tabela Passaro'!$T$2:$T$1795,$N1432),0)*INDEX('Tabela Passaro'!$S$2:$S$1795,$N1432)</f>
        <v>0</v>
      </c>
      <c r="Y1432" s="32" t="n">
        <f aca="false">INDEX('Tabela Passaro'!$U$2:$U$1795,$N1432)</f>
        <v>0</v>
      </c>
      <c r="Z1432" s="32" t="n">
        <f aca="false">INDEX('Tabela Passaro'!$V$2:$V$1795,$N1432)</f>
        <v>0</v>
      </c>
      <c r="AA1432" s="32" t="n">
        <f aca="false">SUM(R1432:Z1432)</f>
        <v>145.18739</v>
      </c>
      <c r="AB1432" s="33" t="n">
        <f aca="false">INDEX(Premissas!$B$5:$B$13,MATCH(A1432,Premissas!$A$5:$A$13,0))</f>
        <v>0.07</v>
      </c>
      <c r="AC1432" s="32" t="n">
        <f aca="false">AA1432/(1-AB1432)-AA1432</f>
        <v>10.9280831182796</v>
      </c>
      <c r="AD1432" s="32" t="n">
        <f aca="false">ROUND(AA1432+AC1432,2)</f>
        <v>156.12</v>
      </c>
      <c r="AE1432" s="32" t="n">
        <f aca="false">AD1432-L1432</f>
        <v>-28.47</v>
      </c>
      <c r="AF1432" s="34" t="n">
        <f aca="false">IF(L1432=0,0,AE1432/L1432)</f>
        <v>-0.154233707134731</v>
      </c>
      <c r="AG1432" s="22" t="str">
        <f aca="false">IF(AD1432&lt;L1432,"PASSARO","ATUAL")</f>
        <v>PASSARO</v>
      </c>
      <c r="AH1432" s="22" t="str">
        <f aca="false">IF(P1432&lt;&gt;A1432,"Faixa cadastrada como "&amp;P1432&amp;" na tabela; preço aplicado pela UF do CEP","")</f>
        <v/>
      </c>
      <c r="AI1432" s="26" t="n">
        <v>194.48</v>
      </c>
      <c r="AJ1432" s="22" t="str">
        <f aca="false">INDEX('Tabela Passaro'!$X$2:$X$1795,$N1432)</f>
        <v>CAPITAL</v>
      </c>
    </row>
    <row r="1433" customFormat="false" ht="15" hidden="false" customHeight="false" outlineLevel="0" collapsed="false">
      <c r="A1433" s="22" t="s">
        <v>20</v>
      </c>
      <c r="B1433" s="22" t="n">
        <v>4</v>
      </c>
      <c r="C1433" s="22" t="s">
        <v>153</v>
      </c>
      <c r="D1433" s="22" t="s">
        <v>30</v>
      </c>
      <c r="E1433" s="22" t="s">
        <v>7328</v>
      </c>
      <c r="F1433" s="22" t="n">
        <v>2315654</v>
      </c>
      <c r="G1433" s="30" t="n">
        <v>46258</v>
      </c>
      <c r="H1433" s="22" t="n">
        <v>134379</v>
      </c>
      <c r="I1433" s="22" t="s">
        <v>8640</v>
      </c>
      <c r="J1433" s="31" t="n">
        <v>31.3</v>
      </c>
      <c r="K1433" s="26" t="n">
        <v>629.98</v>
      </c>
      <c r="L1433" s="26" t="n">
        <v>155.84</v>
      </c>
      <c r="M1433" s="22" t="s">
        <v>4796</v>
      </c>
      <c r="N1433" s="22" t="n">
        <f aca="false">MATCH(M1433,'Tabela Passaro'!$A$2:$A$1795,0)</f>
        <v>1148</v>
      </c>
      <c r="O1433" s="22" t="str">
        <f aca="false">INDEX('Tabela Passaro'!$C$2:$C$1795,$N1433)</f>
        <v>OLINDA</v>
      </c>
      <c r="P1433" s="22" t="str">
        <f aca="false">INDEX('Tabela Passaro'!$B$2:$B$1795,$N1433)</f>
        <v>PE</v>
      </c>
      <c r="Q1433" s="22" t="n">
        <f aca="false">INDEX('Tabela Passaro'!$F$2:$F$1795,$N1433)</f>
        <v>8</v>
      </c>
      <c r="R1433" s="32" t="n">
        <f aca="false">IF(J1433&lt;=10,INDEX('Tabela Passaro'!$G$2:$G$1795,$N1433),IF(J1433&lt;=30,INDEX('Tabela Passaro'!$H$2:$H$1795,$N1433),IF(J1433&lt;=50,INDEX('Tabela Passaro'!$I$2:$I$1795,$N1433),IF(J1433&lt;=70,INDEX('Tabela Passaro'!$J$2:$J$1795,$N1433),IF(J1433&lt;=100,INDEX('Tabela Passaro'!$K$2:$K$1795,$N1433),INDEX('Tabela Passaro'!$K$2:$K$1795,$N1433)+(J1433-100)*INDEX('Tabela Passaro'!$L$2:$L$1795,$N1433))))))</f>
        <v>88.59</v>
      </c>
      <c r="S1433" s="32" t="n">
        <f aca="false">K1433*INDEX('Tabela Passaro'!$M$2:$M$1795,$N1433)</f>
        <v>3.1499</v>
      </c>
      <c r="T1433" s="32" t="n">
        <f aca="false">K1433*INDEX('Tabela Passaro'!$N$2:$N$1795,$N1433)</f>
        <v>1.25996</v>
      </c>
      <c r="U1433" s="32" t="n">
        <f aca="false">INDEX('Tabela Passaro'!$O$2:$O$1795,$N1433)</f>
        <v>5</v>
      </c>
      <c r="V1433" s="32" t="n">
        <f aca="false">ROUNDUP(J1433/INDEX('Tabela Passaro'!$Q$2:$Q$1795,$N1433),0)*INDEX('Tabela Passaro'!$P$2:$P$1795,$N1433)</f>
        <v>5</v>
      </c>
      <c r="W1433" s="32" t="n">
        <f aca="false">INDEX('Tabela Passaro'!$R$2:$R$1795,$N1433)</f>
        <v>30</v>
      </c>
      <c r="X1433" s="32" t="n">
        <f aca="false">ROUNDUP(J1433/INDEX('Tabela Passaro'!$T$2:$T$1795,$N1433),0)*INDEX('Tabela Passaro'!$S$2:$S$1795,$N1433)</f>
        <v>0</v>
      </c>
      <c r="Y1433" s="32" t="n">
        <f aca="false">INDEX('Tabela Passaro'!$U$2:$U$1795,$N1433)</f>
        <v>0</v>
      </c>
      <c r="Z1433" s="32" t="n">
        <f aca="false">INDEX('Tabela Passaro'!$V$2:$V$1795,$N1433)</f>
        <v>0</v>
      </c>
      <c r="AA1433" s="32" t="n">
        <f aca="false">SUM(R1433:Z1433)</f>
        <v>132.99986</v>
      </c>
      <c r="AB1433" s="33" t="n">
        <f aca="false">INDEX(Premissas!$B$5:$B$13,MATCH(A1433,Premissas!$A$5:$A$13,0))</f>
        <v>0.07</v>
      </c>
      <c r="AC1433" s="32" t="n">
        <f aca="false">AA1433/(1-AB1433)-AA1433</f>
        <v>10.0107421505377</v>
      </c>
      <c r="AD1433" s="32" t="n">
        <f aca="false">ROUND(AA1433+AC1433,2)</f>
        <v>143.01</v>
      </c>
      <c r="AE1433" s="32" t="n">
        <f aca="false">AD1433-L1433</f>
        <v>-12.83</v>
      </c>
      <c r="AF1433" s="34" t="n">
        <f aca="false">IF(L1433=0,0,AE1433/L1433)</f>
        <v>-0.0823280287474334</v>
      </c>
      <c r="AG1433" s="22" t="str">
        <f aca="false">IF(AD1433&lt;L1433,"PASSARO","ATUAL")</f>
        <v>PASSARO</v>
      </c>
      <c r="AH1433" s="22" t="str">
        <f aca="false">IF(P1433&lt;&gt;A1433,"Faixa cadastrada como "&amp;P1433&amp;" na tabela; preço aplicado pela UF do CEP","")</f>
        <v/>
      </c>
      <c r="AI1433" s="26" t="n">
        <v>170.67</v>
      </c>
      <c r="AJ1433" s="22" t="str">
        <f aca="false">INDEX('Tabela Passaro'!$X$2:$X$1795,$N1433)</f>
        <v>CAPITAL</v>
      </c>
    </row>
    <row r="1434" customFormat="false" ht="15" hidden="false" customHeight="false" outlineLevel="0" collapsed="false">
      <c r="A1434" s="22" t="s">
        <v>20</v>
      </c>
      <c r="B1434" s="22" t="n">
        <v>4</v>
      </c>
      <c r="C1434" s="22" t="s">
        <v>153</v>
      </c>
      <c r="D1434" s="22" t="s">
        <v>30</v>
      </c>
      <c r="E1434" s="22" t="s">
        <v>7328</v>
      </c>
      <c r="F1434" s="22" t="n">
        <v>2315670</v>
      </c>
      <c r="G1434" s="30" t="n">
        <v>46258</v>
      </c>
      <c r="H1434" s="22" t="n">
        <v>134396</v>
      </c>
      <c r="I1434" s="22" t="s">
        <v>8641</v>
      </c>
      <c r="J1434" s="31" t="n">
        <v>66.4</v>
      </c>
      <c r="K1434" s="26" t="n">
        <v>906.55</v>
      </c>
      <c r="L1434" s="26" t="n">
        <v>185.47</v>
      </c>
      <c r="M1434" s="22" t="s">
        <v>4796</v>
      </c>
      <c r="N1434" s="22" t="n">
        <f aca="false">MATCH(M1434,'Tabela Passaro'!$A$2:$A$1795,0)</f>
        <v>1148</v>
      </c>
      <c r="O1434" s="22" t="str">
        <f aca="false">INDEX('Tabela Passaro'!$C$2:$C$1795,$N1434)</f>
        <v>OLINDA</v>
      </c>
      <c r="P1434" s="22" t="str">
        <f aca="false">INDEX('Tabela Passaro'!$B$2:$B$1795,$N1434)</f>
        <v>PE</v>
      </c>
      <c r="Q1434" s="22" t="n">
        <f aca="false">INDEX('Tabela Passaro'!$F$2:$F$1795,$N1434)</f>
        <v>8</v>
      </c>
      <c r="R1434" s="32" t="n">
        <f aca="false">IF(J1434&lt;=10,INDEX('Tabela Passaro'!$G$2:$G$1795,$N1434),IF(J1434&lt;=30,INDEX('Tabela Passaro'!$H$2:$H$1795,$N1434),IF(J1434&lt;=50,INDEX('Tabela Passaro'!$I$2:$I$1795,$N1434),IF(J1434&lt;=70,INDEX('Tabela Passaro'!$J$2:$J$1795,$N1434),IF(J1434&lt;=100,INDEX('Tabela Passaro'!$K$2:$K$1795,$N1434),INDEX('Tabela Passaro'!$K$2:$K$1795,$N1434)+(J1434-100)*INDEX('Tabela Passaro'!$L$2:$L$1795,$N1434))))))</f>
        <v>99.61</v>
      </c>
      <c r="S1434" s="32" t="n">
        <f aca="false">K1434*INDEX('Tabela Passaro'!$M$2:$M$1795,$N1434)</f>
        <v>4.53275</v>
      </c>
      <c r="T1434" s="32" t="n">
        <f aca="false">K1434*INDEX('Tabela Passaro'!$N$2:$N$1795,$N1434)</f>
        <v>1.8131</v>
      </c>
      <c r="U1434" s="32" t="n">
        <f aca="false">INDEX('Tabela Passaro'!$O$2:$O$1795,$N1434)</f>
        <v>5</v>
      </c>
      <c r="V1434" s="32" t="n">
        <f aca="false">ROUNDUP(J1434/INDEX('Tabela Passaro'!$Q$2:$Q$1795,$N1434),0)*INDEX('Tabela Passaro'!$P$2:$P$1795,$N1434)</f>
        <v>5</v>
      </c>
      <c r="W1434" s="32" t="n">
        <f aca="false">INDEX('Tabela Passaro'!$R$2:$R$1795,$N1434)</f>
        <v>30</v>
      </c>
      <c r="X1434" s="32" t="n">
        <f aca="false">ROUNDUP(J1434/INDEX('Tabela Passaro'!$T$2:$T$1795,$N1434),0)*INDEX('Tabela Passaro'!$S$2:$S$1795,$N1434)</f>
        <v>0</v>
      </c>
      <c r="Y1434" s="32" t="n">
        <f aca="false">INDEX('Tabela Passaro'!$U$2:$U$1795,$N1434)</f>
        <v>0</v>
      </c>
      <c r="Z1434" s="32" t="n">
        <f aca="false">INDEX('Tabela Passaro'!$V$2:$V$1795,$N1434)</f>
        <v>0</v>
      </c>
      <c r="AA1434" s="32" t="n">
        <f aca="false">SUM(R1434:Z1434)</f>
        <v>145.95585</v>
      </c>
      <c r="AB1434" s="33" t="n">
        <f aca="false">INDEX(Premissas!$B$5:$B$13,MATCH(A1434,Premissas!$A$5:$A$13,0))</f>
        <v>0.07</v>
      </c>
      <c r="AC1434" s="32" t="n">
        <f aca="false">AA1434/(1-AB1434)-AA1434</f>
        <v>10.9859241935484</v>
      </c>
      <c r="AD1434" s="32" t="n">
        <f aca="false">ROUND(AA1434+AC1434,2)</f>
        <v>156.94</v>
      </c>
      <c r="AE1434" s="32" t="n">
        <f aca="false">AD1434-L1434</f>
        <v>-28.53</v>
      </c>
      <c r="AF1434" s="34" t="n">
        <f aca="false">IF(L1434=0,0,AE1434/L1434)</f>
        <v>-0.153825416509409</v>
      </c>
      <c r="AG1434" s="22" t="str">
        <f aca="false">IF(AD1434&lt;L1434,"PASSARO","ATUAL")</f>
        <v>PASSARO</v>
      </c>
      <c r="AH1434" s="22" t="str">
        <f aca="false">IF(P1434&lt;&gt;A1434,"Faixa cadastrada como "&amp;P1434&amp;" na tabela; preço aplicado pela UF do CEP","")</f>
        <v/>
      </c>
      <c r="AI1434" s="26" t="n">
        <v>202.81</v>
      </c>
      <c r="AJ1434" s="22" t="str">
        <f aca="false">INDEX('Tabela Passaro'!$X$2:$X$1795,$N1434)</f>
        <v>CAPITAL</v>
      </c>
    </row>
    <row r="1435" customFormat="false" ht="15" hidden="false" customHeight="false" outlineLevel="0" collapsed="false">
      <c r="A1435" s="22" t="s">
        <v>20</v>
      </c>
      <c r="B1435" s="22" t="n">
        <v>4</v>
      </c>
      <c r="C1435" s="22" t="s">
        <v>153</v>
      </c>
      <c r="D1435" s="22" t="s">
        <v>30</v>
      </c>
      <c r="E1435" s="22" t="s">
        <v>7328</v>
      </c>
      <c r="F1435" s="22" t="n">
        <v>2315686</v>
      </c>
      <c r="G1435" s="30" t="n">
        <v>46258</v>
      </c>
      <c r="H1435" s="22" t="n">
        <v>134414</v>
      </c>
      <c r="I1435" s="22" t="s">
        <v>8642</v>
      </c>
      <c r="J1435" s="31" t="n">
        <v>26.9</v>
      </c>
      <c r="K1435" s="26" t="n">
        <v>502.47</v>
      </c>
      <c r="L1435" s="26" t="n">
        <v>118.97</v>
      </c>
      <c r="M1435" s="22" t="s">
        <v>4796</v>
      </c>
      <c r="N1435" s="22" t="n">
        <f aca="false">MATCH(M1435,'Tabela Passaro'!$A$2:$A$1795,0)</f>
        <v>1148</v>
      </c>
      <c r="O1435" s="22" t="str">
        <f aca="false">INDEX('Tabela Passaro'!$C$2:$C$1795,$N1435)</f>
        <v>OLINDA</v>
      </c>
      <c r="P1435" s="22" t="str">
        <f aca="false">INDEX('Tabela Passaro'!$B$2:$B$1795,$N1435)</f>
        <v>PE</v>
      </c>
      <c r="Q1435" s="22" t="n">
        <f aca="false">INDEX('Tabela Passaro'!$F$2:$F$1795,$N1435)</f>
        <v>8</v>
      </c>
      <c r="R1435" s="32" t="n">
        <f aca="false">IF(J1435&lt;=10,INDEX('Tabela Passaro'!$G$2:$G$1795,$N1435),IF(J1435&lt;=30,INDEX('Tabela Passaro'!$H$2:$H$1795,$N1435),IF(J1435&lt;=50,INDEX('Tabela Passaro'!$I$2:$I$1795,$N1435),IF(J1435&lt;=70,INDEX('Tabela Passaro'!$J$2:$J$1795,$N1435),IF(J1435&lt;=100,INDEX('Tabela Passaro'!$K$2:$K$1795,$N1435),INDEX('Tabela Passaro'!$K$2:$K$1795,$N1435)+(J1435-100)*INDEX('Tabela Passaro'!$L$2:$L$1795,$N1435))))))</f>
        <v>66.55</v>
      </c>
      <c r="S1435" s="32" t="n">
        <f aca="false">K1435*INDEX('Tabela Passaro'!$M$2:$M$1795,$N1435)</f>
        <v>2.51235</v>
      </c>
      <c r="T1435" s="32" t="n">
        <f aca="false">K1435*INDEX('Tabela Passaro'!$N$2:$N$1795,$N1435)</f>
        <v>1.00494</v>
      </c>
      <c r="U1435" s="32" t="n">
        <f aca="false">INDEX('Tabela Passaro'!$O$2:$O$1795,$N1435)</f>
        <v>5</v>
      </c>
      <c r="V1435" s="32" t="n">
        <f aca="false">ROUNDUP(J1435/INDEX('Tabela Passaro'!$Q$2:$Q$1795,$N1435),0)*INDEX('Tabela Passaro'!$P$2:$P$1795,$N1435)</f>
        <v>5</v>
      </c>
      <c r="W1435" s="32" t="n">
        <f aca="false">INDEX('Tabela Passaro'!$R$2:$R$1795,$N1435)</f>
        <v>30</v>
      </c>
      <c r="X1435" s="32" t="n">
        <f aca="false">ROUNDUP(J1435/INDEX('Tabela Passaro'!$T$2:$T$1795,$N1435),0)*INDEX('Tabela Passaro'!$S$2:$S$1795,$N1435)</f>
        <v>0</v>
      </c>
      <c r="Y1435" s="32" t="n">
        <f aca="false">INDEX('Tabela Passaro'!$U$2:$U$1795,$N1435)</f>
        <v>0</v>
      </c>
      <c r="Z1435" s="32" t="n">
        <f aca="false">INDEX('Tabela Passaro'!$V$2:$V$1795,$N1435)</f>
        <v>0</v>
      </c>
      <c r="AA1435" s="32" t="n">
        <f aca="false">SUM(R1435:Z1435)</f>
        <v>110.06729</v>
      </c>
      <c r="AB1435" s="33" t="n">
        <f aca="false">INDEX(Premissas!$B$5:$B$13,MATCH(A1435,Premissas!$A$5:$A$13,0))</f>
        <v>0.07</v>
      </c>
      <c r="AC1435" s="32" t="n">
        <f aca="false">AA1435/(1-AB1435)-AA1435</f>
        <v>8.28463473118281</v>
      </c>
      <c r="AD1435" s="32" t="n">
        <f aca="false">ROUND(AA1435+AC1435,2)</f>
        <v>118.35</v>
      </c>
      <c r="AE1435" s="32" t="n">
        <f aca="false">AD1435-L1435</f>
        <v>-0.620000000000005</v>
      </c>
      <c r="AF1435" s="34" t="n">
        <f aca="false">IF(L1435=0,0,AE1435/L1435)</f>
        <v>-0.0052113978313861</v>
      </c>
      <c r="AG1435" s="22" t="str">
        <f aca="false">IF(AD1435&lt;L1435,"PASSARO","ATUAL")</f>
        <v>PASSARO</v>
      </c>
      <c r="AH1435" s="22" t="str">
        <f aca="false">IF(P1435&lt;&gt;A1435,"Faixa cadastrada como "&amp;P1435&amp;" na tabela; preço aplicado pela UF do CEP","")</f>
        <v/>
      </c>
      <c r="AI1435" s="26" t="n">
        <v>141.96</v>
      </c>
      <c r="AJ1435" s="22" t="str">
        <f aca="false">INDEX('Tabela Passaro'!$X$2:$X$1795,$N1435)</f>
        <v>CAPITAL</v>
      </c>
    </row>
    <row r="1436" customFormat="false" ht="15" hidden="false" customHeight="false" outlineLevel="0" collapsed="false">
      <c r="A1436" s="22" t="s">
        <v>20</v>
      </c>
      <c r="B1436" s="22" t="n">
        <v>4</v>
      </c>
      <c r="C1436" s="22" t="s">
        <v>153</v>
      </c>
      <c r="D1436" s="22" t="s">
        <v>30</v>
      </c>
      <c r="E1436" s="22" t="s">
        <v>7328</v>
      </c>
      <c r="F1436" s="22" t="n">
        <v>2315690</v>
      </c>
      <c r="G1436" s="30" t="n">
        <v>46258</v>
      </c>
      <c r="H1436" s="22" t="n">
        <v>134418</v>
      </c>
      <c r="I1436" s="22" t="s">
        <v>8643</v>
      </c>
      <c r="J1436" s="31" t="n">
        <v>134.4</v>
      </c>
      <c r="K1436" s="26" t="n">
        <v>2189.98</v>
      </c>
      <c r="L1436" s="26" t="n">
        <v>306.48</v>
      </c>
      <c r="M1436" s="22" t="s">
        <v>4796</v>
      </c>
      <c r="N1436" s="22" t="n">
        <f aca="false">MATCH(M1436,'Tabela Passaro'!$A$2:$A$1795,0)</f>
        <v>1148</v>
      </c>
      <c r="O1436" s="22" t="str">
        <f aca="false">INDEX('Tabela Passaro'!$C$2:$C$1795,$N1436)</f>
        <v>OLINDA</v>
      </c>
      <c r="P1436" s="22" t="str">
        <f aca="false">INDEX('Tabela Passaro'!$B$2:$B$1795,$N1436)</f>
        <v>PE</v>
      </c>
      <c r="Q1436" s="22" t="n">
        <f aca="false">INDEX('Tabela Passaro'!$F$2:$F$1795,$N1436)</f>
        <v>8</v>
      </c>
      <c r="R1436" s="32" t="n">
        <f aca="false">IF(J1436&lt;=10,INDEX('Tabela Passaro'!$G$2:$G$1795,$N1436),IF(J1436&lt;=30,INDEX('Tabela Passaro'!$H$2:$H$1795,$N1436),IF(J1436&lt;=50,INDEX('Tabela Passaro'!$I$2:$I$1795,$N1436),IF(J1436&lt;=70,INDEX('Tabela Passaro'!$J$2:$J$1795,$N1436),IF(J1436&lt;=100,INDEX('Tabela Passaro'!$K$2:$K$1795,$N1436),INDEX('Tabela Passaro'!$K$2:$K$1795,$N1436)+(J1436-100)*INDEX('Tabela Passaro'!$L$2:$L$1795,$N1436))))))</f>
        <v>172.212</v>
      </c>
      <c r="S1436" s="32" t="n">
        <f aca="false">K1436*INDEX('Tabela Passaro'!$M$2:$M$1795,$N1436)</f>
        <v>10.9499</v>
      </c>
      <c r="T1436" s="32" t="n">
        <f aca="false">K1436*INDEX('Tabela Passaro'!$N$2:$N$1795,$N1436)</f>
        <v>4.37996</v>
      </c>
      <c r="U1436" s="32" t="n">
        <f aca="false">INDEX('Tabela Passaro'!$O$2:$O$1795,$N1436)</f>
        <v>5</v>
      </c>
      <c r="V1436" s="32" t="n">
        <f aca="false">ROUNDUP(J1436/INDEX('Tabela Passaro'!$Q$2:$Q$1795,$N1436),0)*INDEX('Tabela Passaro'!$P$2:$P$1795,$N1436)</f>
        <v>10</v>
      </c>
      <c r="W1436" s="32" t="n">
        <f aca="false">INDEX('Tabela Passaro'!$R$2:$R$1795,$N1436)</f>
        <v>30</v>
      </c>
      <c r="X1436" s="32" t="n">
        <f aca="false">ROUNDUP(J1436/INDEX('Tabela Passaro'!$T$2:$T$1795,$N1436),0)*INDEX('Tabela Passaro'!$S$2:$S$1795,$N1436)</f>
        <v>0</v>
      </c>
      <c r="Y1436" s="32" t="n">
        <f aca="false">INDEX('Tabela Passaro'!$U$2:$U$1795,$N1436)</f>
        <v>0</v>
      </c>
      <c r="Z1436" s="32" t="n">
        <f aca="false">INDEX('Tabela Passaro'!$V$2:$V$1795,$N1436)</f>
        <v>0</v>
      </c>
      <c r="AA1436" s="32" t="n">
        <f aca="false">SUM(R1436:Z1436)</f>
        <v>232.54186</v>
      </c>
      <c r="AB1436" s="33" t="n">
        <f aca="false">INDEX(Premissas!$B$5:$B$13,MATCH(A1436,Premissas!$A$5:$A$13,0))</f>
        <v>0.07</v>
      </c>
      <c r="AC1436" s="32" t="n">
        <f aca="false">AA1436/(1-AB1436)-AA1436</f>
        <v>17.5031507526882</v>
      </c>
      <c r="AD1436" s="32" t="n">
        <f aca="false">ROUND(AA1436+AC1436,2)</f>
        <v>250.05</v>
      </c>
      <c r="AE1436" s="32" t="n">
        <f aca="false">AD1436-L1436</f>
        <v>-56.43</v>
      </c>
      <c r="AF1436" s="34" t="n">
        <f aca="false">IF(L1436=0,0,AE1436/L1436)</f>
        <v>-0.18412294440094</v>
      </c>
      <c r="AG1436" s="22" t="str">
        <f aca="false">IF(AD1436&lt;L1436,"PASSARO","ATUAL")</f>
        <v>PASSARO</v>
      </c>
      <c r="AH1436" s="22" t="str">
        <f aca="false">IF(P1436&lt;&gt;A1436,"Faixa cadastrada como "&amp;P1436&amp;" na tabela; preço aplicado pela UF do CEP","")</f>
        <v/>
      </c>
      <c r="AI1436" s="26" t="n">
        <v>339.98</v>
      </c>
      <c r="AJ1436" s="22" t="str">
        <f aca="false">INDEX('Tabela Passaro'!$X$2:$X$1795,$N1436)</f>
        <v>CAPITAL</v>
      </c>
    </row>
    <row r="1437" customFormat="false" ht="15" hidden="false" customHeight="false" outlineLevel="0" collapsed="false">
      <c r="A1437" s="22" t="s">
        <v>20</v>
      </c>
      <c r="B1437" s="22" t="n">
        <v>4</v>
      </c>
      <c r="C1437" s="22" t="s">
        <v>153</v>
      </c>
      <c r="D1437" s="22" t="s">
        <v>30</v>
      </c>
      <c r="E1437" s="22" t="s">
        <v>7328</v>
      </c>
      <c r="F1437" s="22" t="n">
        <v>2315621</v>
      </c>
      <c r="G1437" s="30" t="n">
        <v>46258</v>
      </c>
      <c r="H1437" s="22" t="n">
        <v>134910</v>
      </c>
      <c r="I1437" s="22" t="s">
        <v>8644</v>
      </c>
      <c r="J1437" s="31" t="n">
        <v>69.11</v>
      </c>
      <c r="K1437" s="26" t="n">
        <v>1009.98</v>
      </c>
      <c r="L1437" s="26" t="n">
        <v>186.28</v>
      </c>
      <c r="M1437" s="22" t="s">
        <v>4796</v>
      </c>
      <c r="N1437" s="22" t="n">
        <f aca="false">MATCH(M1437,'Tabela Passaro'!$A$2:$A$1795,0)</f>
        <v>1148</v>
      </c>
      <c r="O1437" s="22" t="str">
        <f aca="false">INDEX('Tabela Passaro'!$C$2:$C$1795,$N1437)</f>
        <v>OLINDA</v>
      </c>
      <c r="P1437" s="22" t="str">
        <f aca="false">INDEX('Tabela Passaro'!$B$2:$B$1795,$N1437)</f>
        <v>PE</v>
      </c>
      <c r="Q1437" s="22" t="n">
        <f aca="false">INDEX('Tabela Passaro'!$F$2:$F$1795,$N1437)</f>
        <v>8</v>
      </c>
      <c r="R1437" s="32" t="n">
        <f aca="false">IF(J1437&lt;=10,INDEX('Tabela Passaro'!$G$2:$G$1795,$N1437),IF(J1437&lt;=30,INDEX('Tabela Passaro'!$H$2:$H$1795,$N1437),IF(J1437&lt;=50,INDEX('Tabela Passaro'!$I$2:$I$1795,$N1437),IF(J1437&lt;=70,INDEX('Tabela Passaro'!$J$2:$J$1795,$N1437),IF(J1437&lt;=100,INDEX('Tabela Passaro'!$K$2:$K$1795,$N1437),INDEX('Tabela Passaro'!$K$2:$K$1795,$N1437)+(J1437-100)*INDEX('Tabela Passaro'!$L$2:$L$1795,$N1437))))))</f>
        <v>99.61</v>
      </c>
      <c r="S1437" s="32" t="n">
        <f aca="false">K1437*INDEX('Tabela Passaro'!$M$2:$M$1795,$N1437)</f>
        <v>5.0499</v>
      </c>
      <c r="T1437" s="32" t="n">
        <f aca="false">K1437*INDEX('Tabela Passaro'!$N$2:$N$1795,$N1437)</f>
        <v>2.01996</v>
      </c>
      <c r="U1437" s="32" t="n">
        <f aca="false">INDEX('Tabela Passaro'!$O$2:$O$1795,$N1437)</f>
        <v>5</v>
      </c>
      <c r="V1437" s="32" t="n">
        <f aca="false">ROUNDUP(J1437/INDEX('Tabela Passaro'!$Q$2:$Q$1795,$N1437),0)*INDEX('Tabela Passaro'!$P$2:$P$1795,$N1437)</f>
        <v>5</v>
      </c>
      <c r="W1437" s="32" t="n">
        <f aca="false">INDEX('Tabela Passaro'!$R$2:$R$1795,$N1437)</f>
        <v>30</v>
      </c>
      <c r="X1437" s="32" t="n">
        <f aca="false">ROUNDUP(J1437/INDEX('Tabela Passaro'!$T$2:$T$1795,$N1437),0)*INDEX('Tabela Passaro'!$S$2:$S$1795,$N1437)</f>
        <v>0</v>
      </c>
      <c r="Y1437" s="32" t="n">
        <f aca="false">INDEX('Tabela Passaro'!$U$2:$U$1795,$N1437)</f>
        <v>0</v>
      </c>
      <c r="Z1437" s="32" t="n">
        <f aca="false">INDEX('Tabela Passaro'!$V$2:$V$1795,$N1437)</f>
        <v>0</v>
      </c>
      <c r="AA1437" s="32" t="n">
        <f aca="false">SUM(R1437:Z1437)</f>
        <v>146.67986</v>
      </c>
      <c r="AB1437" s="33" t="n">
        <f aca="false">INDEX(Premissas!$B$5:$B$13,MATCH(A1437,Premissas!$A$5:$A$13,0))</f>
        <v>0.07</v>
      </c>
      <c r="AC1437" s="32" t="n">
        <f aca="false">AA1437/(1-AB1437)-AA1437</f>
        <v>11.0404195698925</v>
      </c>
      <c r="AD1437" s="32" t="n">
        <f aca="false">ROUND(AA1437+AC1437,2)</f>
        <v>157.72</v>
      </c>
      <c r="AE1437" s="32" t="n">
        <f aca="false">AD1437-L1437</f>
        <v>-28.56</v>
      </c>
      <c r="AF1437" s="34" t="n">
        <f aca="false">IF(L1437=0,0,AE1437/L1437)</f>
        <v>-0.153317586429032</v>
      </c>
      <c r="AG1437" s="22" t="str">
        <f aca="false">IF(AD1437&lt;L1437,"PASSARO","ATUAL")</f>
        <v>PASSARO</v>
      </c>
      <c r="AH1437" s="22" t="str">
        <f aca="false">IF(P1437&lt;&gt;A1437,"Faixa cadastrada como "&amp;P1437&amp;" na tabela; preço aplicado pela UF do CEP","")</f>
        <v/>
      </c>
      <c r="AI1437" s="26" t="n">
        <v>205.26</v>
      </c>
      <c r="AJ1437" s="22" t="str">
        <f aca="false">INDEX('Tabela Passaro'!$X$2:$X$1795,$N1437)</f>
        <v>CAPITAL</v>
      </c>
    </row>
    <row r="1438" customFormat="false" ht="15" hidden="false" customHeight="false" outlineLevel="0" collapsed="false">
      <c r="A1438" s="22" t="s">
        <v>20</v>
      </c>
      <c r="B1438" s="22" t="n">
        <v>4</v>
      </c>
      <c r="C1438" s="22" t="s">
        <v>153</v>
      </c>
      <c r="D1438" s="22" t="s">
        <v>30</v>
      </c>
      <c r="E1438" s="22" t="s">
        <v>7328</v>
      </c>
      <c r="F1438" s="22" t="n">
        <v>2315814</v>
      </c>
      <c r="G1438" s="30" t="n">
        <v>46258</v>
      </c>
      <c r="H1438" s="22" t="n">
        <v>134954</v>
      </c>
      <c r="I1438" s="22" t="s">
        <v>8645</v>
      </c>
      <c r="J1438" s="31" t="n">
        <v>59.05</v>
      </c>
      <c r="K1438" s="26" t="n">
        <v>883.09</v>
      </c>
      <c r="L1438" s="26" t="n">
        <v>185.29</v>
      </c>
      <c r="M1438" s="22" t="s">
        <v>4796</v>
      </c>
      <c r="N1438" s="22" t="n">
        <f aca="false">MATCH(M1438,'Tabela Passaro'!$A$2:$A$1795,0)</f>
        <v>1148</v>
      </c>
      <c r="O1438" s="22" t="str">
        <f aca="false">INDEX('Tabela Passaro'!$C$2:$C$1795,$N1438)</f>
        <v>OLINDA</v>
      </c>
      <c r="P1438" s="22" t="str">
        <f aca="false">INDEX('Tabela Passaro'!$B$2:$B$1795,$N1438)</f>
        <v>PE</v>
      </c>
      <c r="Q1438" s="22" t="n">
        <f aca="false">INDEX('Tabela Passaro'!$F$2:$F$1795,$N1438)</f>
        <v>8</v>
      </c>
      <c r="R1438" s="32" t="n">
        <f aca="false">IF(J1438&lt;=10,INDEX('Tabela Passaro'!$G$2:$G$1795,$N1438),IF(J1438&lt;=30,INDEX('Tabela Passaro'!$H$2:$H$1795,$N1438),IF(J1438&lt;=50,INDEX('Tabela Passaro'!$I$2:$I$1795,$N1438),IF(J1438&lt;=70,INDEX('Tabela Passaro'!$J$2:$J$1795,$N1438),IF(J1438&lt;=100,INDEX('Tabela Passaro'!$K$2:$K$1795,$N1438),INDEX('Tabela Passaro'!$K$2:$K$1795,$N1438)+(J1438-100)*INDEX('Tabela Passaro'!$L$2:$L$1795,$N1438))))))</f>
        <v>99.61</v>
      </c>
      <c r="S1438" s="32" t="n">
        <f aca="false">K1438*INDEX('Tabela Passaro'!$M$2:$M$1795,$N1438)</f>
        <v>4.41545</v>
      </c>
      <c r="T1438" s="32" t="n">
        <f aca="false">K1438*INDEX('Tabela Passaro'!$N$2:$N$1795,$N1438)</f>
        <v>1.76618</v>
      </c>
      <c r="U1438" s="32" t="n">
        <f aca="false">INDEX('Tabela Passaro'!$O$2:$O$1795,$N1438)</f>
        <v>5</v>
      </c>
      <c r="V1438" s="32" t="n">
        <f aca="false">ROUNDUP(J1438/INDEX('Tabela Passaro'!$Q$2:$Q$1795,$N1438),0)*INDEX('Tabela Passaro'!$P$2:$P$1795,$N1438)</f>
        <v>5</v>
      </c>
      <c r="W1438" s="32" t="n">
        <f aca="false">INDEX('Tabela Passaro'!$R$2:$R$1795,$N1438)</f>
        <v>30</v>
      </c>
      <c r="X1438" s="32" t="n">
        <f aca="false">ROUNDUP(J1438/INDEX('Tabela Passaro'!$T$2:$T$1795,$N1438),0)*INDEX('Tabela Passaro'!$S$2:$S$1795,$N1438)</f>
        <v>0</v>
      </c>
      <c r="Y1438" s="32" t="n">
        <f aca="false">INDEX('Tabela Passaro'!$U$2:$U$1795,$N1438)</f>
        <v>0</v>
      </c>
      <c r="Z1438" s="32" t="n">
        <f aca="false">INDEX('Tabela Passaro'!$V$2:$V$1795,$N1438)</f>
        <v>0</v>
      </c>
      <c r="AA1438" s="32" t="n">
        <f aca="false">SUM(R1438:Z1438)</f>
        <v>145.79163</v>
      </c>
      <c r="AB1438" s="33" t="n">
        <f aca="false">INDEX(Premissas!$B$5:$B$13,MATCH(A1438,Premissas!$A$5:$A$13,0))</f>
        <v>0.07</v>
      </c>
      <c r="AC1438" s="32" t="n">
        <f aca="false">AA1438/(1-AB1438)-AA1438</f>
        <v>10.9735635483871</v>
      </c>
      <c r="AD1438" s="32" t="n">
        <f aca="false">ROUND(AA1438+AC1438,2)</f>
        <v>156.77</v>
      </c>
      <c r="AE1438" s="32" t="n">
        <f aca="false">AD1438-L1438</f>
        <v>-28.52</v>
      </c>
      <c r="AF1438" s="34" t="n">
        <f aca="false">IF(L1438=0,0,AE1438/L1438)</f>
        <v>-0.153920880781478</v>
      </c>
      <c r="AG1438" s="22" t="str">
        <f aca="false">IF(AD1438&lt;L1438,"PASSARO","ATUAL")</f>
        <v>PASSARO</v>
      </c>
      <c r="AH1438" s="22" t="str">
        <f aca="false">IF(P1438&lt;&gt;A1438,"Faixa cadastrada como "&amp;P1438&amp;" na tabela; preço aplicado pela UF do CEP","")</f>
        <v/>
      </c>
      <c r="AI1438" s="26" t="n">
        <v>199.19</v>
      </c>
      <c r="AJ1438" s="22" t="str">
        <f aca="false">INDEX('Tabela Passaro'!$X$2:$X$1795,$N1438)</f>
        <v>CAPITAL</v>
      </c>
    </row>
    <row r="1439" customFormat="false" ht="15" hidden="false" customHeight="false" outlineLevel="0" collapsed="false">
      <c r="A1439" s="22" t="s">
        <v>20</v>
      </c>
      <c r="B1439" s="22" t="n">
        <v>4</v>
      </c>
      <c r="C1439" s="22" t="s">
        <v>153</v>
      </c>
      <c r="D1439" s="22" t="s">
        <v>30</v>
      </c>
      <c r="E1439" s="22" t="s">
        <v>7326</v>
      </c>
      <c r="F1439" s="22" t="n">
        <v>527342</v>
      </c>
      <c r="G1439" s="30" t="n">
        <v>46259</v>
      </c>
      <c r="H1439" s="22" t="n">
        <v>628797</v>
      </c>
      <c r="I1439" s="22" t="s">
        <v>8646</v>
      </c>
      <c r="J1439" s="31" t="n">
        <v>46.8</v>
      </c>
      <c r="K1439" s="26" t="n">
        <v>572.16</v>
      </c>
      <c r="L1439" s="26" t="n">
        <v>176.16</v>
      </c>
      <c r="M1439" s="22" t="s">
        <v>4796</v>
      </c>
      <c r="N1439" s="22" t="n">
        <f aca="false">MATCH(M1439,'Tabela Passaro'!$A$2:$A$1795,0)</f>
        <v>1148</v>
      </c>
      <c r="O1439" s="22" t="str">
        <f aca="false">INDEX('Tabela Passaro'!$C$2:$C$1795,$N1439)</f>
        <v>OLINDA</v>
      </c>
      <c r="P1439" s="22" t="str">
        <f aca="false">INDEX('Tabela Passaro'!$B$2:$B$1795,$N1439)</f>
        <v>PE</v>
      </c>
      <c r="Q1439" s="22" t="n">
        <f aca="false">INDEX('Tabela Passaro'!$F$2:$F$1795,$N1439)</f>
        <v>8</v>
      </c>
      <c r="R1439" s="32" t="n">
        <f aca="false">IF(J1439&lt;=10,INDEX('Tabela Passaro'!$G$2:$G$1795,$N1439),IF(J1439&lt;=30,INDEX('Tabela Passaro'!$H$2:$H$1795,$N1439),IF(J1439&lt;=50,INDEX('Tabela Passaro'!$I$2:$I$1795,$N1439),IF(J1439&lt;=70,INDEX('Tabela Passaro'!$J$2:$J$1795,$N1439),IF(J1439&lt;=100,INDEX('Tabela Passaro'!$K$2:$K$1795,$N1439),INDEX('Tabela Passaro'!$K$2:$K$1795,$N1439)+(J1439-100)*INDEX('Tabela Passaro'!$L$2:$L$1795,$N1439))))))</f>
        <v>88.59</v>
      </c>
      <c r="S1439" s="32" t="n">
        <f aca="false">K1439*INDEX('Tabela Passaro'!$M$2:$M$1795,$N1439)</f>
        <v>2.8608</v>
      </c>
      <c r="T1439" s="32" t="n">
        <f aca="false">K1439*INDEX('Tabela Passaro'!$N$2:$N$1795,$N1439)</f>
        <v>1.14432</v>
      </c>
      <c r="U1439" s="32" t="n">
        <f aca="false">INDEX('Tabela Passaro'!$O$2:$O$1795,$N1439)</f>
        <v>5</v>
      </c>
      <c r="V1439" s="32" t="n">
        <f aca="false">ROUNDUP(J1439/INDEX('Tabela Passaro'!$Q$2:$Q$1795,$N1439),0)*INDEX('Tabela Passaro'!$P$2:$P$1795,$N1439)</f>
        <v>5</v>
      </c>
      <c r="W1439" s="32" t="n">
        <f aca="false">INDEX('Tabela Passaro'!$R$2:$R$1795,$N1439)</f>
        <v>30</v>
      </c>
      <c r="X1439" s="32" t="n">
        <f aca="false">ROUNDUP(J1439/INDEX('Tabela Passaro'!$T$2:$T$1795,$N1439),0)*INDEX('Tabela Passaro'!$S$2:$S$1795,$N1439)</f>
        <v>0</v>
      </c>
      <c r="Y1439" s="32" t="n">
        <f aca="false">INDEX('Tabela Passaro'!$U$2:$U$1795,$N1439)</f>
        <v>0</v>
      </c>
      <c r="Z1439" s="32" t="n">
        <f aca="false">INDEX('Tabela Passaro'!$V$2:$V$1795,$N1439)</f>
        <v>0</v>
      </c>
      <c r="AA1439" s="32" t="n">
        <f aca="false">SUM(R1439:Z1439)</f>
        <v>132.59512</v>
      </c>
      <c r="AB1439" s="33" t="n">
        <f aca="false">INDEX(Premissas!$B$5:$B$13,MATCH(A1439,Premissas!$A$5:$A$13,0))</f>
        <v>0.07</v>
      </c>
      <c r="AC1439" s="32" t="n">
        <f aca="false">AA1439/(1-AB1439)-AA1439</f>
        <v>9.98027784946237</v>
      </c>
      <c r="AD1439" s="32" t="n">
        <f aca="false">ROUND(AA1439+AC1439,2)</f>
        <v>142.58</v>
      </c>
      <c r="AE1439" s="32" t="n">
        <f aca="false">AD1439-L1439</f>
        <v>-33.58</v>
      </c>
      <c r="AF1439" s="34" t="n">
        <f aca="false">IF(L1439=0,0,AE1439/L1439)</f>
        <v>-0.190622161671208</v>
      </c>
      <c r="AG1439" s="22" t="str">
        <f aca="false">IF(AD1439&lt;L1439,"PASSARO","ATUAL")</f>
        <v>PASSARO</v>
      </c>
      <c r="AH1439" s="22" t="str">
        <f aca="false">IF(P1439&lt;&gt;A1439,"Faixa cadastrada como "&amp;P1439&amp;" na tabela; preço aplicado pela UF do CEP","")</f>
        <v/>
      </c>
      <c r="AI1439" s="26" t="n">
        <v>177.36</v>
      </c>
      <c r="AJ1439" s="22" t="str">
        <f aca="false">INDEX('Tabela Passaro'!$X$2:$X$1795,$N1439)</f>
        <v>CAPITAL</v>
      </c>
    </row>
    <row r="1440" customFormat="false" ht="15" hidden="false" customHeight="false" outlineLevel="0" collapsed="false">
      <c r="A1440" s="22" t="s">
        <v>20</v>
      </c>
      <c r="B1440" s="22" t="n">
        <v>4</v>
      </c>
      <c r="C1440" s="22" t="s">
        <v>153</v>
      </c>
      <c r="D1440" s="22" t="s">
        <v>30</v>
      </c>
      <c r="E1440" s="22" t="s">
        <v>7328</v>
      </c>
      <c r="F1440" s="22" t="n">
        <v>2316560</v>
      </c>
      <c r="G1440" s="30" t="n">
        <v>46260</v>
      </c>
      <c r="H1440" s="22" t="n">
        <v>135873</v>
      </c>
      <c r="I1440" s="22" t="s">
        <v>8647</v>
      </c>
      <c r="J1440" s="31" t="n">
        <v>69</v>
      </c>
      <c r="K1440" s="26" t="n">
        <v>1099.98</v>
      </c>
      <c r="L1440" s="26" t="n">
        <v>187</v>
      </c>
      <c r="M1440" s="22" t="s">
        <v>4796</v>
      </c>
      <c r="N1440" s="22" t="n">
        <f aca="false">MATCH(M1440,'Tabela Passaro'!$A$2:$A$1795,0)</f>
        <v>1148</v>
      </c>
      <c r="O1440" s="22" t="str">
        <f aca="false">INDEX('Tabela Passaro'!$C$2:$C$1795,$N1440)</f>
        <v>OLINDA</v>
      </c>
      <c r="P1440" s="22" t="str">
        <f aca="false">INDEX('Tabela Passaro'!$B$2:$B$1795,$N1440)</f>
        <v>PE</v>
      </c>
      <c r="Q1440" s="22" t="n">
        <f aca="false">INDEX('Tabela Passaro'!$F$2:$F$1795,$N1440)</f>
        <v>8</v>
      </c>
      <c r="R1440" s="32" t="n">
        <f aca="false">IF(J1440&lt;=10,INDEX('Tabela Passaro'!$G$2:$G$1795,$N1440),IF(J1440&lt;=30,INDEX('Tabela Passaro'!$H$2:$H$1795,$N1440),IF(J1440&lt;=50,INDEX('Tabela Passaro'!$I$2:$I$1795,$N1440),IF(J1440&lt;=70,INDEX('Tabela Passaro'!$J$2:$J$1795,$N1440),IF(J1440&lt;=100,INDEX('Tabela Passaro'!$K$2:$K$1795,$N1440),INDEX('Tabela Passaro'!$K$2:$K$1795,$N1440)+(J1440-100)*INDEX('Tabela Passaro'!$L$2:$L$1795,$N1440))))))</f>
        <v>99.61</v>
      </c>
      <c r="S1440" s="32" t="n">
        <f aca="false">K1440*INDEX('Tabela Passaro'!$M$2:$M$1795,$N1440)</f>
        <v>5.4999</v>
      </c>
      <c r="T1440" s="32" t="n">
        <f aca="false">K1440*INDEX('Tabela Passaro'!$N$2:$N$1795,$N1440)</f>
        <v>2.19996</v>
      </c>
      <c r="U1440" s="32" t="n">
        <f aca="false">INDEX('Tabela Passaro'!$O$2:$O$1795,$N1440)</f>
        <v>5</v>
      </c>
      <c r="V1440" s="32" t="n">
        <f aca="false">ROUNDUP(J1440/INDEX('Tabela Passaro'!$Q$2:$Q$1795,$N1440),0)*INDEX('Tabela Passaro'!$P$2:$P$1795,$N1440)</f>
        <v>5</v>
      </c>
      <c r="W1440" s="32" t="n">
        <f aca="false">INDEX('Tabela Passaro'!$R$2:$R$1795,$N1440)</f>
        <v>30</v>
      </c>
      <c r="X1440" s="32" t="n">
        <f aca="false">ROUNDUP(J1440/INDEX('Tabela Passaro'!$T$2:$T$1795,$N1440),0)*INDEX('Tabela Passaro'!$S$2:$S$1795,$N1440)</f>
        <v>0</v>
      </c>
      <c r="Y1440" s="32" t="n">
        <f aca="false">INDEX('Tabela Passaro'!$U$2:$U$1795,$N1440)</f>
        <v>0</v>
      </c>
      <c r="Z1440" s="32" t="n">
        <f aca="false">INDEX('Tabela Passaro'!$V$2:$V$1795,$N1440)</f>
        <v>0</v>
      </c>
      <c r="AA1440" s="32" t="n">
        <f aca="false">SUM(R1440:Z1440)</f>
        <v>147.30986</v>
      </c>
      <c r="AB1440" s="33" t="n">
        <f aca="false">INDEX(Premissas!$B$5:$B$13,MATCH(A1440,Premissas!$A$5:$A$13,0))</f>
        <v>0.07</v>
      </c>
      <c r="AC1440" s="32" t="n">
        <f aca="false">AA1440/(1-AB1440)-AA1440</f>
        <v>11.0878389247312</v>
      </c>
      <c r="AD1440" s="32" t="n">
        <f aca="false">ROUND(AA1440+AC1440,2)</f>
        <v>158.4</v>
      </c>
      <c r="AE1440" s="32" t="n">
        <f aca="false">AD1440-L1440</f>
        <v>-28.6</v>
      </c>
      <c r="AF1440" s="34" t="n">
        <f aca="false">IF(L1440=0,0,AE1440/L1440)</f>
        <v>-0.152941176470588</v>
      </c>
      <c r="AG1440" s="22" t="str">
        <f aca="false">IF(AD1440&lt;L1440,"PASSARO","ATUAL")</f>
        <v>PASSARO</v>
      </c>
      <c r="AH1440" s="22" t="str">
        <f aca="false">IF(P1440&lt;&gt;A1440,"Faixa cadastrada como "&amp;P1440&amp;" na tabela; preço aplicado pela UF do CEP","")</f>
        <v/>
      </c>
      <c r="AI1440" s="26" t="n">
        <v>205.64</v>
      </c>
      <c r="AJ1440" s="22" t="str">
        <f aca="false">INDEX('Tabela Passaro'!$X$2:$X$1795,$N1440)</f>
        <v>CAPITAL</v>
      </c>
    </row>
    <row r="1441" customFormat="false" ht="15" hidden="false" customHeight="false" outlineLevel="0" collapsed="false">
      <c r="A1441" s="22" t="s">
        <v>20</v>
      </c>
      <c r="B1441" s="22" t="n">
        <v>4</v>
      </c>
      <c r="C1441" s="22" t="s">
        <v>153</v>
      </c>
      <c r="D1441" s="22" t="s">
        <v>30</v>
      </c>
      <c r="E1441" s="22" t="s">
        <v>20</v>
      </c>
      <c r="F1441" s="22" t="n">
        <v>840614</v>
      </c>
      <c r="G1441" s="30" t="n">
        <v>46265</v>
      </c>
      <c r="H1441" s="22" t="n">
        <v>32814</v>
      </c>
      <c r="I1441" s="22" t="s">
        <v>8648</v>
      </c>
      <c r="J1441" s="31" t="n">
        <v>21.1</v>
      </c>
      <c r="K1441" s="26" t="n">
        <v>729.98</v>
      </c>
      <c r="L1441" s="26" t="n">
        <v>82.79</v>
      </c>
      <c r="M1441" s="22" t="s">
        <v>4796</v>
      </c>
      <c r="N1441" s="22" t="n">
        <f aca="false">MATCH(M1441,'Tabela Passaro'!$A$2:$A$1795,0)</f>
        <v>1148</v>
      </c>
      <c r="O1441" s="22" t="str">
        <f aca="false">INDEX('Tabela Passaro'!$C$2:$C$1795,$N1441)</f>
        <v>OLINDA</v>
      </c>
      <c r="P1441" s="22" t="str">
        <f aca="false">INDEX('Tabela Passaro'!$B$2:$B$1795,$N1441)</f>
        <v>PE</v>
      </c>
      <c r="Q1441" s="22" t="n">
        <f aca="false">INDEX('Tabela Passaro'!$F$2:$F$1795,$N1441)</f>
        <v>8</v>
      </c>
      <c r="R1441" s="32" t="n">
        <f aca="false">IF(J1441&lt;=10,INDEX('Tabela Passaro'!$G$2:$G$1795,$N1441),IF(J1441&lt;=30,INDEX('Tabela Passaro'!$H$2:$H$1795,$N1441),IF(J1441&lt;=50,INDEX('Tabela Passaro'!$I$2:$I$1795,$N1441),IF(J1441&lt;=70,INDEX('Tabela Passaro'!$J$2:$J$1795,$N1441),IF(J1441&lt;=100,INDEX('Tabela Passaro'!$K$2:$K$1795,$N1441),INDEX('Tabela Passaro'!$K$2:$K$1795,$N1441)+(J1441-100)*INDEX('Tabela Passaro'!$L$2:$L$1795,$N1441))))))</f>
        <v>66.55</v>
      </c>
      <c r="S1441" s="32" t="n">
        <f aca="false">K1441*INDEX('Tabela Passaro'!$M$2:$M$1795,$N1441)</f>
        <v>3.6499</v>
      </c>
      <c r="T1441" s="32" t="n">
        <f aca="false">K1441*INDEX('Tabela Passaro'!$N$2:$N$1795,$N1441)</f>
        <v>1.45996</v>
      </c>
      <c r="U1441" s="32" t="n">
        <f aca="false">INDEX('Tabela Passaro'!$O$2:$O$1795,$N1441)</f>
        <v>5</v>
      </c>
      <c r="V1441" s="32" t="n">
        <f aca="false">ROUNDUP(J1441/INDEX('Tabela Passaro'!$Q$2:$Q$1795,$N1441),0)*INDEX('Tabela Passaro'!$P$2:$P$1795,$N1441)</f>
        <v>5</v>
      </c>
      <c r="W1441" s="32" t="n">
        <f aca="false">INDEX('Tabela Passaro'!$R$2:$R$1795,$N1441)</f>
        <v>30</v>
      </c>
      <c r="X1441" s="32" t="n">
        <f aca="false">ROUNDUP(J1441/INDEX('Tabela Passaro'!$T$2:$T$1795,$N1441),0)*INDEX('Tabela Passaro'!$S$2:$S$1795,$N1441)</f>
        <v>0</v>
      </c>
      <c r="Y1441" s="32" t="n">
        <f aca="false">INDEX('Tabela Passaro'!$U$2:$U$1795,$N1441)</f>
        <v>0</v>
      </c>
      <c r="Z1441" s="32" t="n">
        <f aca="false">INDEX('Tabela Passaro'!$V$2:$V$1795,$N1441)</f>
        <v>0</v>
      </c>
      <c r="AA1441" s="32" t="n">
        <f aca="false">SUM(R1441:Z1441)</f>
        <v>111.65986</v>
      </c>
      <c r="AB1441" s="33" t="n">
        <f aca="false">INDEX(Premissas!$B$5:$B$13,MATCH(A1441,Premissas!$A$5:$A$13,0))</f>
        <v>0.07</v>
      </c>
      <c r="AC1441" s="32" t="n">
        <f aca="false">AA1441/(1-AB1441)-AA1441</f>
        <v>8.40450559139785</v>
      </c>
      <c r="AD1441" s="32" t="n">
        <f aca="false">ROUND(AA1441+AC1441,2)</f>
        <v>120.06</v>
      </c>
      <c r="AE1441" s="32" t="n">
        <f aca="false">AD1441-L1441</f>
        <v>37.27</v>
      </c>
      <c r="AF1441" s="34" t="n">
        <f aca="false">IF(L1441=0,0,AE1441/L1441)</f>
        <v>0.450175141925353</v>
      </c>
      <c r="AG1441" s="22" t="str">
        <f aca="false">IF(AD1441&lt;L1441,"PASSARO","ATUAL")</f>
        <v>ATUAL</v>
      </c>
      <c r="AH1441" s="22" t="str">
        <f aca="false">IF(P1441&lt;&gt;A1441,"Faixa cadastrada como "&amp;P1441&amp;" na tabela; preço aplicado pela UF do CEP","")</f>
        <v/>
      </c>
      <c r="AI1441" s="26" t="n">
        <v>141.74</v>
      </c>
      <c r="AJ1441" s="22" t="str">
        <f aca="false">INDEX('Tabela Passaro'!$X$2:$X$1795,$N1441)</f>
        <v>CAPITAL</v>
      </c>
    </row>
    <row r="1442" customFormat="false" ht="15" hidden="false" customHeight="false" outlineLevel="0" collapsed="false">
      <c r="A1442" s="22" t="s">
        <v>20</v>
      </c>
      <c r="B1442" s="22" t="n">
        <v>4</v>
      </c>
      <c r="C1442" s="22" t="s">
        <v>153</v>
      </c>
      <c r="D1442" s="22" t="s">
        <v>30</v>
      </c>
      <c r="E1442" s="22" t="s">
        <v>20</v>
      </c>
      <c r="F1442" s="22" t="n">
        <v>840624</v>
      </c>
      <c r="G1442" s="30" t="n">
        <v>46265</v>
      </c>
      <c r="H1442" s="22" t="n">
        <v>32827</v>
      </c>
      <c r="I1442" s="22" t="s">
        <v>8649</v>
      </c>
      <c r="J1442" s="31" t="n">
        <v>34.4</v>
      </c>
      <c r="K1442" s="26" t="n">
        <v>598.11</v>
      </c>
      <c r="L1442" s="26" t="n">
        <v>100.74</v>
      </c>
      <c r="M1442" s="22" t="s">
        <v>4796</v>
      </c>
      <c r="N1442" s="22" t="n">
        <f aca="false">MATCH(M1442,'Tabela Passaro'!$A$2:$A$1795,0)</f>
        <v>1148</v>
      </c>
      <c r="O1442" s="22" t="str">
        <f aca="false">INDEX('Tabela Passaro'!$C$2:$C$1795,$N1442)</f>
        <v>OLINDA</v>
      </c>
      <c r="P1442" s="22" t="str">
        <f aca="false">INDEX('Tabela Passaro'!$B$2:$B$1795,$N1442)</f>
        <v>PE</v>
      </c>
      <c r="Q1442" s="22" t="n">
        <f aca="false">INDEX('Tabela Passaro'!$F$2:$F$1795,$N1442)</f>
        <v>8</v>
      </c>
      <c r="R1442" s="32" t="n">
        <f aca="false">IF(J1442&lt;=10,INDEX('Tabela Passaro'!$G$2:$G$1795,$N1442),IF(J1442&lt;=30,INDEX('Tabela Passaro'!$H$2:$H$1795,$N1442),IF(J1442&lt;=50,INDEX('Tabela Passaro'!$I$2:$I$1795,$N1442),IF(J1442&lt;=70,INDEX('Tabela Passaro'!$J$2:$J$1795,$N1442),IF(J1442&lt;=100,INDEX('Tabela Passaro'!$K$2:$K$1795,$N1442),INDEX('Tabela Passaro'!$K$2:$K$1795,$N1442)+(J1442-100)*INDEX('Tabela Passaro'!$L$2:$L$1795,$N1442))))))</f>
        <v>88.59</v>
      </c>
      <c r="S1442" s="32" t="n">
        <f aca="false">K1442*INDEX('Tabela Passaro'!$M$2:$M$1795,$N1442)</f>
        <v>2.99055</v>
      </c>
      <c r="T1442" s="32" t="n">
        <f aca="false">K1442*INDEX('Tabela Passaro'!$N$2:$N$1795,$N1442)</f>
        <v>1.19622</v>
      </c>
      <c r="U1442" s="32" t="n">
        <f aca="false">INDEX('Tabela Passaro'!$O$2:$O$1795,$N1442)</f>
        <v>5</v>
      </c>
      <c r="V1442" s="32" t="n">
        <f aca="false">ROUNDUP(J1442/INDEX('Tabela Passaro'!$Q$2:$Q$1795,$N1442),0)*INDEX('Tabela Passaro'!$P$2:$P$1795,$N1442)</f>
        <v>5</v>
      </c>
      <c r="W1442" s="32" t="n">
        <f aca="false">INDEX('Tabela Passaro'!$R$2:$R$1795,$N1442)</f>
        <v>30</v>
      </c>
      <c r="X1442" s="32" t="n">
        <f aca="false">ROUNDUP(J1442/INDEX('Tabela Passaro'!$T$2:$T$1795,$N1442),0)*INDEX('Tabela Passaro'!$S$2:$S$1795,$N1442)</f>
        <v>0</v>
      </c>
      <c r="Y1442" s="32" t="n">
        <f aca="false">INDEX('Tabela Passaro'!$U$2:$U$1795,$N1442)</f>
        <v>0</v>
      </c>
      <c r="Z1442" s="32" t="n">
        <f aca="false">INDEX('Tabela Passaro'!$V$2:$V$1795,$N1442)</f>
        <v>0</v>
      </c>
      <c r="AA1442" s="32" t="n">
        <f aca="false">SUM(R1442:Z1442)</f>
        <v>132.77677</v>
      </c>
      <c r="AB1442" s="33" t="n">
        <f aca="false">INDEX(Premissas!$B$5:$B$13,MATCH(A1442,Premissas!$A$5:$A$13,0))</f>
        <v>0.07</v>
      </c>
      <c r="AC1442" s="32" t="n">
        <f aca="false">AA1442/(1-AB1442)-AA1442</f>
        <v>9.99395043010753</v>
      </c>
      <c r="AD1442" s="32" t="n">
        <f aca="false">ROUND(AA1442+AC1442,2)</f>
        <v>142.77</v>
      </c>
      <c r="AE1442" s="32" t="n">
        <f aca="false">AD1442-L1442</f>
        <v>42.03</v>
      </c>
      <c r="AF1442" s="34" t="n">
        <f aca="false">IF(L1442=0,0,AE1442/L1442)</f>
        <v>0.417212626563431</v>
      </c>
      <c r="AG1442" s="22" t="str">
        <f aca="false">IF(AD1442&lt;L1442,"PASSARO","ATUAL")</f>
        <v>ATUAL</v>
      </c>
      <c r="AH1442" s="22" t="str">
        <f aca="false">IF(P1442&lt;&gt;A1442,"Faixa cadastrada como "&amp;P1442&amp;" na tabela; preço aplicado pela UF do CEP","")</f>
        <v/>
      </c>
      <c r="AI1442" s="26" t="n">
        <v>171.81</v>
      </c>
      <c r="AJ1442" s="22" t="str">
        <f aca="false">INDEX('Tabela Passaro'!$X$2:$X$1795,$N1442)</f>
        <v>CAPITAL</v>
      </c>
    </row>
    <row r="1443" customFormat="false" ht="15" hidden="false" customHeight="false" outlineLevel="0" collapsed="false">
      <c r="A1443" s="22" t="s">
        <v>20</v>
      </c>
      <c r="B1443" s="22" t="n">
        <v>4</v>
      </c>
      <c r="C1443" s="22" t="s">
        <v>153</v>
      </c>
      <c r="D1443" s="22" t="s">
        <v>30</v>
      </c>
      <c r="E1443" s="22" t="s">
        <v>20</v>
      </c>
      <c r="F1443" s="22" t="n">
        <v>840647</v>
      </c>
      <c r="G1443" s="30" t="n">
        <v>46265</v>
      </c>
      <c r="H1443" s="22" t="n">
        <v>32851</v>
      </c>
      <c r="I1443" s="22" t="s">
        <v>8650</v>
      </c>
      <c r="J1443" s="31" t="n">
        <v>66.8</v>
      </c>
      <c r="K1443" s="26" t="n">
        <v>909.25</v>
      </c>
      <c r="L1443" s="26" t="n">
        <v>108.48</v>
      </c>
      <c r="M1443" s="22" t="s">
        <v>4796</v>
      </c>
      <c r="N1443" s="22" t="n">
        <f aca="false">MATCH(M1443,'Tabela Passaro'!$A$2:$A$1795,0)</f>
        <v>1148</v>
      </c>
      <c r="O1443" s="22" t="str">
        <f aca="false">INDEX('Tabela Passaro'!$C$2:$C$1795,$N1443)</f>
        <v>OLINDA</v>
      </c>
      <c r="P1443" s="22" t="str">
        <f aca="false">INDEX('Tabela Passaro'!$B$2:$B$1795,$N1443)</f>
        <v>PE</v>
      </c>
      <c r="Q1443" s="22" t="n">
        <f aca="false">INDEX('Tabela Passaro'!$F$2:$F$1795,$N1443)</f>
        <v>8</v>
      </c>
      <c r="R1443" s="32" t="n">
        <f aca="false">IF(J1443&lt;=10,INDEX('Tabela Passaro'!$G$2:$G$1795,$N1443),IF(J1443&lt;=30,INDEX('Tabela Passaro'!$H$2:$H$1795,$N1443),IF(J1443&lt;=50,INDEX('Tabela Passaro'!$I$2:$I$1795,$N1443),IF(J1443&lt;=70,INDEX('Tabela Passaro'!$J$2:$J$1795,$N1443),IF(J1443&lt;=100,INDEX('Tabela Passaro'!$K$2:$K$1795,$N1443),INDEX('Tabela Passaro'!$K$2:$K$1795,$N1443)+(J1443-100)*INDEX('Tabela Passaro'!$L$2:$L$1795,$N1443))))))</f>
        <v>99.61</v>
      </c>
      <c r="S1443" s="32" t="n">
        <f aca="false">K1443*INDEX('Tabela Passaro'!$M$2:$M$1795,$N1443)</f>
        <v>4.54625</v>
      </c>
      <c r="T1443" s="32" t="n">
        <f aca="false">K1443*INDEX('Tabela Passaro'!$N$2:$N$1795,$N1443)</f>
        <v>1.8185</v>
      </c>
      <c r="U1443" s="32" t="n">
        <f aca="false">INDEX('Tabela Passaro'!$O$2:$O$1795,$N1443)</f>
        <v>5</v>
      </c>
      <c r="V1443" s="32" t="n">
        <f aca="false">ROUNDUP(J1443/INDEX('Tabela Passaro'!$Q$2:$Q$1795,$N1443),0)*INDEX('Tabela Passaro'!$P$2:$P$1795,$N1443)</f>
        <v>5</v>
      </c>
      <c r="W1443" s="32" t="n">
        <f aca="false">INDEX('Tabela Passaro'!$R$2:$R$1795,$N1443)</f>
        <v>30</v>
      </c>
      <c r="X1443" s="32" t="n">
        <f aca="false">ROUNDUP(J1443/INDEX('Tabela Passaro'!$T$2:$T$1795,$N1443),0)*INDEX('Tabela Passaro'!$S$2:$S$1795,$N1443)</f>
        <v>0</v>
      </c>
      <c r="Y1443" s="32" t="n">
        <f aca="false">INDEX('Tabela Passaro'!$U$2:$U$1795,$N1443)</f>
        <v>0</v>
      </c>
      <c r="Z1443" s="32" t="n">
        <f aca="false">INDEX('Tabela Passaro'!$V$2:$V$1795,$N1443)</f>
        <v>0</v>
      </c>
      <c r="AA1443" s="32" t="n">
        <f aca="false">SUM(R1443:Z1443)</f>
        <v>145.97475</v>
      </c>
      <c r="AB1443" s="33" t="n">
        <f aca="false">INDEX(Premissas!$B$5:$B$13,MATCH(A1443,Premissas!$A$5:$A$13,0))</f>
        <v>0.07</v>
      </c>
      <c r="AC1443" s="32" t="n">
        <f aca="false">AA1443/(1-AB1443)-AA1443</f>
        <v>10.9873467741936</v>
      </c>
      <c r="AD1443" s="32" t="n">
        <f aca="false">ROUND(AA1443+AC1443,2)</f>
        <v>156.96</v>
      </c>
      <c r="AE1443" s="32" t="n">
        <f aca="false">AD1443-L1443</f>
        <v>48.48</v>
      </c>
      <c r="AF1443" s="34" t="n">
        <f aca="false">IF(L1443=0,0,AE1443/L1443)</f>
        <v>0.446902654867257</v>
      </c>
      <c r="AG1443" s="22" t="str">
        <f aca="false">IF(AD1443&lt;L1443,"PASSARO","ATUAL")</f>
        <v>ATUAL</v>
      </c>
      <c r="AH1443" s="22" t="str">
        <f aca="false">IF(P1443&lt;&gt;A1443,"Faixa cadastrada como "&amp;P1443&amp;" na tabela; preço aplicado pela UF do CEP","")</f>
        <v/>
      </c>
      <c r="AI1443" s="26" t="n">
        <v>202.83</v>
      </c>
      <c r="AJ1443" s="22" t="str">
        <f aca="false">INDEX('Tabela Passaro'!$X$2:$X$1795,$N1443)</f>
        <v>CAPITAL</v>
      </c>
    </row>
    <row r="1444" customFormat="false" ht="15" hidden="false" customHeight="false" outlineLevel="0" collapsed="false">
      <c r="A1444" s="22" t="s">
        <v>20</v>
      </c>
      <c r="B1444" s="22" t="n">
        <v>4</v>
      </c>
      <c r="C1444" s="22" t="s">
        <v>153</v>
      </c>
      <c r="D1444" s="22" t="s">
        <v>30</v>
      </c>
      <c r="E1444" s="22" t="s">
        <v>20</v>
      </c>
      <c r="F1444" s="22" t="n">
        <v>840654</v>
      </c>
      <c r="G1444" s="30" t="n">
        <v>46265</v>
      </c>
      <c r="H1444" s="22" t="n">
        <v>32854</v>
      </c>
      <c r="I1444" s="22" t="s">
        <v>8651</v>
      </c>
      <c r="J1444" s="31" t="n">
        <v>44.5</v>
      </c>
      <c r="K1444" s="26" t="n">
        <v>805.49</v>
      </c>
      <c r="L1444" s="26" t="n">
        <v>102.38</v>
      </c>
      <c r="M1444" s="22" t="s">
        <v>4796</v>
      </c>
      <c r="N1444" s="22" t="n">
        <f aca="false">MATCH(M1444,'Tabela Passaro'!$A$2:$A$1795,0)</f>
        <v>1148</v>
      </c>
      <c r="O1444" s="22" t="str">
        <f aca="false">INDEX('Tabela Passaro'!$C$2:$C$1795,$N1444)</f>
        <v>OLINDA</v>
      </c>
      <c r="P1444" s="22" t="str">
        <f aca="false">INDEX('Tabela Passaro'!$B$2:$B$1795,$N1444)</f>
        <v>PE</v>
      </c>
      <c r="Q1444" s="22" t="n">
        <f aca="false">INDEX('Tabela Passaro'!$F$2:$F$1795,$N1444)</f>
        <v>8</v>
      </c>
      <c r="R1444" s="32" t="n">
        <f aca="false">IF(J1444&lt;=10,INDEX('Tabela Passaro'!$G$2:$G$1795,$N1444),IF(J1444&lt;=30,INDEX('Tabela Passaro'!$H$2:$H$1795,$N1444),IF(J1444&lt;=50,INDEX('Tabela Passaro'!$I$2:$I$1795,$N1444),IF(J1444&lt;=70,INDEX('Tabela Passaro'!$J$2:$J$1795,$N1444),IF(J1444&lt;=100,INDEX('Tabela Passaro'!$K$2:$K$1795,$N1444),INDEX('Tabela Passaro'!$K$2:$K$1795,$N1444)+(J1444-100)*INDEX('Tabela Passaro'!$L$2:$L$1795,$N1444))))))</f>
        <v>88.59</v>
      </c>
      <c r="S1444" s="32" t="n">
        <f aca="false">K1444*INDEX('Tabela Passaro'!$M$2:$M$1795,$N1444)</f>
        <v>4.02745</v>
      </c>
      <c r="T1444" s="32" t="n">
        <f aca="false">K1444*INDEX('Tabela Passaro'!$N$2:$N$1795,$N1444)</f>
        <v>1.61098</v>
      </c>
      <c r="U1444" s="32" t="n">
        <f aca="false">INDEX('Tabela Passaro'!$O$2:$O$1795,$N1444)</f>
        <v>5</v>
      </c>
      <c r="V1444" s="32" t="n">
        <f aca="false">ROUNDUP(J1444/INDEX('Tabela Passaro'!$Q$2:$Q$1795,$N1444),0)*INDEX('Tabela Passaro'!$P$2:$P$1795,$N1444)</f>
        <v>5</v>
      </c>
      <c r="W1444" s="32" t="n">
        <f aca="false">INDEX('Tabela Passaro'!$R$2:$R$1795,$N1444)</f>
        <v>30</v>
      </c>
      <c r="X1444" s="32" t="n">
        <f aca="false">ROUNDUP(J1444/INDEX('Tabela Passaro'!$T$2:$T$1795,$N1444),0)*INDEX('Tabela Passaro'!$S$2:$S$1795,$N1444)</f>
        <v>0</v>
      </c>
      <c r="Y1444" s="32" t="n">
        <f aca="false">INDEX('Tabela Passaro'!$U$2:$U$1795,$N1444)</f>
        <v>0</v>
      </c>
      <c r="Z1444" s="32" t="n">
        <f aca="false">INDEX('Tabela Passaro'!$V$2:$V$1795,$N1444)</f>
        <v>0</v>
      </c>
      <c r="AA1444" s="32" t="n">
        <f aca="false">SUM(R1444:Z1444)</f>
        <v>134.22843</v>
      </c>
      <c r="AB1444" s="33" t="n">
        <f aca="false">INDEX(Premissas!$B$5:$B$13,MATCH(A1444,Premissas!$A$5:$A$13,0))</f>
        <v>0.07</v>
      </c>
      <c r="AC1444" s="32" t="n">
        <f aca="false">AA1444/(1-AB1444)-AA1444</f>
        <v>10.1032151612903</v>
      </c>
      <c r="AD1444" s="32" t="n">
        <f aca="false">ROUND(AA1444+AC1444,2)</f>
        <v>144.33</v>
      </c>
      <c r="AE1444" s="32" t="n">
        <f aca="false">AD1444-L1444</f>
        <v>41.95</v>
      </c>
      <c r="AF1444" s="34" t="n">
        <f aca="false">IF(L1444=0,0,AE1444/L1444)</f>
        <v>0.409747997655792</v>
      </c>
      <c r="AG1444" s="22" t="str">
        <f aca="false">IF(AD1444&lt;L1444,"PASSARO","ATUAL")</f>
        <v>ATUAL</v>
      </c>
      <c r="AH1444" s="22" t="str">
        <f aca="false">IF(P1444&lt;&gt;A1444,"Faixa cadastrada como "&amp;P1444&amp;" na tabela; preço aplicado pela UF do CEP","")</f>
        <v/>
      </c>
      <c r="AI1444" s="26" t="n">
        <v>178.66</v>
      </c>
      <c r="AJ1444" s="22" t="str">
        <f aca="false">INDEX('Tabela Passaro'!$X$2:$X$1795,$N1444)</f>
        <v>CAPITAL</v>
      </c>
    </row>
    <row r="1445" customFormat="false" ht="15" hidden="false" customHeight="false" outlineLevel="0" collapsed="false">
      <c r="A1445" s="22" t="s">
        <v>20</v>
      </c>
      <c r="B1445" s="22" t="n">
        <v>4</v>
      </c>
      <c r="C1445" s="22" t="s">
        <v>153</v>
      </c>
      <c r="D1445" s="22" t="s">
        <v>31</v>
      </c>
      <c r="E1445" s="22" t="s">
        <v>7326</v>
      </c>
      <c r="F1445" s="22" t="n">
        <v>12749538</v>
      </c>
      <c r="G1445" s="30" t="n">
        <v>46241</v>
      </c>
      <c r="H1445" s="22" t="n">
        <v>621445</v>
      </c>
      <c r="I1445" s="22" t="s">
        <v>8652</v>
      </c>
      <c r="J1445" s="31" t="n">
        <v>22.4</v>
      </c>
      <c r="K1445" s="26" t="n">
        <v>789.98</v>
      </c>
      <c r="L1445" s="26" t="n">
        <v>98.4</v>
      </c>
      <c r="M1445" s="22" t="s">
        <v>4796</v>
      </c>
      <c r="N1445" s="22" t="n">
        <f aca="false">MATCH(M1445,'Tabela Passaro'!$A$2:$A$1795,0)</f>
        <v>1148</v>
      </c>
      <c r="O1445" s="22" t="str">
        <f aca="false">INDEX('Tabela Passaro'!$C$2:$C$1795,$N1445)</f>
        <v>OLINDA</v>
      </c>
      <c r="P1445" s="22" t="str">
        <f aca="false">INDEX('Tabela Passaro'!$B$2:$B$1795,$N1445)</f>
        <v>PE</v>
      </c>
      <c r="Q1445" s="22" t="n">
        <f aca="false">INDEX('Tabela Passaro'!$F$2:$F$1795,$N1445)</f>
        <v>8</v>
      </c>
      <c r="R1445" s="32" t="n">
        <f aca="false">IF(J1445&lt;=10,INDEX('Tabela Passaro'!$G$2:$G$1795,$N1445),IF(J1445&lt;=30,INDEX('Tabela Passaro'!$H$2:$H$1795,$N1445),IF(J1445&lt;=50,INDEX('Tabela Passaro'!$I$2:$I$1795,$N1445),IF(J1445&lt;=70,INDEX('Tabela Passaro'!$J$2:$J$1795,$N1445),IF(J1445&lt;=100,INDEX('Tabela Passaro'!$K$2:$K$1795,$N1445),INDEX('Tabela Passaro'!$K$2:$K$1795,$N1445)+(J1445-100)*INDEX('Tabela Passaro'!$L$2:$L$1795,$N1445))))))</f>
        <v>66.55</v>
      </c>
      <c r="S1445" s="32" t="n">
        <f aca="false">K1445*INDEX('Tabela Passaro'!$M$2:$M$1795,$N1445)</f>
        <v>3.9499</v>
      </c>
      <c r="T1445" s="32" t="n">
        <f aca="false">K1445*INDEX('Tabela Passaro'!$N$2:$N$1795,$N1445)</f>
        <v>1.57996</v>
      </c>
      <c r="U1445" s="32" t="n">
        <f aca="false">INDEX('Tabela Passaro'!$O$2:$O$1795,$N1445)</f>
        <v>5</v>
      </c>
      <c r="V1445" s="32" t="n">
        <f aca="false">ROUNDUP(J1445/INDEX('Tabela Passaro'!$Q$2:$Q$1795,$N1445),0)*INDEX('Tabela Passaro'!$P$2:$P$1795,$N1445)</f>
        <v>5</v>
      </c>
      <c r="W1445" s="32" t="n">
        <f aca="false">INDEX('Tabela Passaro'!$R$2:$R$1795,$N1445)</f>
        <v>30</v>
      </c>
      <c r="X1445" s="32" t="n">
        <f aca="false">ROUNDUP(J1445/INDEX('Tabela Passaro'!$T$2:$T$1795,$N1445),0)*INDEX('Tabela Passaro'!$S$2:$S$1795,$N1445)</f>
        <v>0</v>
      </c>
      <c r="Y1445" s="32" t="n">
        <f aca="false">INDEX('Tabela Passaro'!$U$2:$U$1795,$N1445)</f>
        <v>0</v>
      </c>
      <c r="Z1445" s="32" t="n">
        <f aca="false">INDEX('Tabela Passaro'!$V$2:$V$1795,$N1445)</f>
        <v>0</v>
      </c>
      <c r="AA1445" s="32" t="n">
        <f aca="false">SUM(R1445:Z1445)</f>
        <v>112.07986</v>
      </c>
      <c r="AB1445" s="33" t="n">
        <f aca="false">INDEX(Premissas!$B$5:$B$13,MATCH(A1445,Premissas!$A$5:$A$13,0))</f>
        <v>0.07</v>
      </c>
      <c r="AC1445" s="32" t="n">
        <f aca="false">AA1445/(1-AB1445)-AA1445</f>
        <v>8.43611849462367</v>
      </c>
      <c r="AD1445" s="32" t="n">
        <f aca="false">ROUND(AA1445+AC1445,2)</f>
        <v>120.52</v>
      </c>
      <c r="AE1445" s="32" t="n">
        <f aca="false">AD1445-L1445</f>
        <v>22.12</v>
      </c>
      <c r="AF1445" s="34" t="n">
        <f aca="false">IF(L1445=0,0,AE1445/L1445)</f>
        <v>0.22479674796748</v>
      </c>
      <c r="AG1445" s="22" t="str">
        <f aca="false">IF(AD1445&lt;L1445,"PASSARO","ATUAL")</f>
        <v>ATUAL</v>
      </c>
      <c r="AH1445" s="22" t="str">
        <f aca="false">IF(P1445&lt;&gt;A1445,"Faixa cadastrada como "&amp;P1445&amp;" na tabela; preço aplicado pela UF do CEP","")</f>
        <v/>
      </c>
      <c r="AI1445" s="26" t="n">
        <v>142.81</v>
      </c>
      <c r="AJ1445" s="22" t="str">
        <f aca="false">INDEX('Tabela Passaro'!$X$2:$X$1795,$N1445)</f>
        <v>CAPITAL</v>
      </c>
    </row>
    <row r="1446" customFormat="false" ht="15" hidden="false" customHeight="false" outlineLevel="0" collapsed="false">
      <c r="A1446" s="22" t="s">
        <v>20</v>
      </c>
      <c r="B1446" s="22" t="n">
        <v>4</v>
      </c>
      <c r="C1446" s="22" t="s">
        <v>153</v>
      </c>
      <c r="D1446" s="22" t="s">
        <v>31</v>
      </c>
      <c r="E1446" s="22" t="s">
        <v>7326</v>
      </c>
      <c r="F1446" s="22" t="n">
        <v>12773605</v>
      </c>
      <c r="G1446" s="30" t="n">
        <v>46246</v>
      </c>
      <c r="H1446" s="22" t="n">
        <v>624187</v>
      </c>
      <c r="I1446" s="22" t="s">
        <v>8653</v>
      </c>
      <c r="J1446" s="31" t="n">
        <v>17.2</v>
      </c>
      <c r="K1446" s="26" t="n">
        <v>293.39</v>
      </c>
      <c r="L1446" s="26" t="n">
        <v>67.16</v>
      </c>
      <c r="M1446" s="22" t="s">
        <v>4796</v>
      </c>
      <c r="N1446" s="22" t="n">
        <f aca="false">MATCH(M1446,'Tabela Passaro'!$A$2:$A$1795,0)</f>
        <v>1148</v>
      </c>
      <c r="O1446" s="22" t="str">
        <f aca="false">INDEX('Tabela Passaro'!$C$2:$C$1795,$N1446)</f>
        <v>OLINDA</v>
      </c>
      <c r="P1446" s="22" t="str">
        <f aca="false">INDEX('Tabela Passaro'!$B$2:$B$1795,$N1446)</f>
        <v>PE</v>
      </c>
      <c r="Q1446" s="22" t="n">
        <f aca="false">INDEX('Tabela Passaro'!$F$2:$F$1795,$N1446)</f>
        <v>8</v>
      </c>
      <c r="R1446" s="32" t="n">
        <f aca="false">IF(J1446&lt;=10,INDEX('Tabela Passaro'!$G$2:$G$1795,$N1446),IF(J1446&lt;=30,INDEX('Tabela Passaro'!$H$2:$H$1795,$N1446),IF(J1446&lt;=50,INDEX('Tabela Passaro'!$I$2:$I$1795,$N1446),IF(J1446&lt;=70,INDEX('Tabela Passaro'!$J$2:$J$1795,$N1446),IF(J1446&lt;=100,INDEX('Tabela Passaro'!$K$2:$K$1795,$N1446),INDEX('Tabela Passaro'!$K$2:$K$1795,$N1446)+(J1446-100)*INDEX('Tabela Passaro'!$L$2:$L$1795,$N1446))))))</f>
        <v>66.55</v>
      </c>
      <c r="S1446" s="32" t="n">
        <f aca="false">K1446*INDEX('Tabela Passaro'!$M$2:$M$1795,$N1446)</f>
        <v>1.46695</v>
      </c>
      <c r="T1446" s="32" t="n">
        <f aca="false">K1446*INDEX('Tabela Passaro'!$N$2:$N$1795,$N1446)</f>
        <v>0.58678</v>
      </c>
      <c r="U1446" s="32" t="n">
        <f aca="false">INDEX('Tabela Passaro'!$O$2:$O$1795,$N1446)</f>
        <v>5</v>
      </c>
      <c r="V1446" s="32" t="n">
        <f aca="false">ROUNDUP(J1446/INDEX('Tabela Passaro'!$Q$2:$Q$1795,$N1446),0)*INDEX('Tabela Passaro'!$P$2:$P$1795,$N1446)</f>
        <v>5</v>
      </c>
      <c r="W1446" s="32" t="n">
        <f aca="false">INDEX('Tabela Passaro'!$R$2:$R$1795,$N1446)</f>
        <v>30</v>
      </c>
      <c r="X1446" s="32" t="n">
        <f aca="false">ROUNDUP(J1446/INDEX('Tabela Passaro'!$T$2:$T$1795,$N1446),0)*INDEX('Tabela Passaro'!$S$2:$S$1795,$N1446)</f>
        <v>0</v>
      </c>
      <c r="Y1446" s="32" t="n">
        <f aca="false">INDEX('Tabela Passaro'!$U$2:$U$1795,$N1446)</f>
        <v>0</v>
      </c>
      <c r="Z1446" s="32" t="n">
        <f aca="false">INDEX('Tabela Passaro'!$V$2:$V$1795,$N1446)</f>
        <v>0</v>
      </c>
      <c r="AA1446" s="32" t="n">
        <f aca="false">SUM(R1446:Z1446)</f>
        <v>108.60373</v>
      </c>
      <c r="AB1446" s="33" t="n">
        <f aca="false">INDEX(Premissas!$B$5:$B$13,MATCH(A1446,Premissas!$A$5:$A$13,0))</f>
        <v>0.07</v>
      </c>
      <c r="AC1446" s="32" t="n">
        <f aca="false">AA1446/(1-AB1446)-AA1446</f>
        <v>8.17447430107528</v>
      </c>
      <c r="AD1446" s="32" t="n">
        <f aca="false">ROUND(AA1446+AC1446,2)</f>
        <v>116.78</v>
      </c>
      <c r="AE1446" s="32" t="n">
        <f aca="false">AD1446-L1446</f>
        <v>49.62</v>
      </c>
      <c r="AF1446" s="34" t="n">
        <f aca="false">IF(L1446=0,0,AE1446/L1446)</f>
        <v>0.738832638475283</v>
      </c>
      <c r="AG1446" s="22" t="str">
        <f aca="false">IF(AD1446&lt;L1446,"PASSARO","ATUAL")</f>
        <v>ATUAL</v>
      </c>
      <c r="AH1446" s="22" t="str">
        <f aca="false">IF(P1446&lt;&gt;A1446,"Faixa cadastrada como "&amp;P1446&amp;" na tabela; preço aplicado pela UF do CEP","")</f>
        <v/>
      </c>
      <c r="AI1446" s="26" t="n">
        <v>135.58</v>
      </c>
      <c r="AJ1446" s="22" t="str">
        <f aca="false">INDEX('Tabela Passaro'!$X$2:$X$1795,$N1446)</f>
        <v>CAPITAL</v>
      </c>
    </row>
    <row r="1447" customFormat="false" ht="15" hidden="false" customHeight="false" outlineLevel="0" collapsed="false">
      <c r="A1447" s="22" t="s">
        <v>20</v>
      </c>
      <c r="B1447" s="22" t="n">
        <v>4</v>
      </c>
      <c r="C1447" s="22" t="s">
        <v>153</v>
      </c>
      <c r="D1447" s="22" t="s">
        <v>31</v>
      </c>
      <c r="E1447" s="22" t="s">
        <v>7326</v>
      </c>
      <c r="F1447" s="22" t="n">
        <v>115593</v>
      </c>
      <c r="G1447" s="30" t="n">
        <v>46253</v>
      </c>
      <c r="H1447" s="22" t="n">
        <v>599152</v>
      </c>
      <c r="I1447" s="22" t="s">
        <v>8654</v>
      </c>
      <c r="J1447" s="31" t="n">
        <v>18</v>
      </c>
      <c r="K1447" s="26" t="n">
        <v>435.14</v>
      </c>
      <c r="L1447" s="26" t="n">
        <v>84.39</v>
      </c>
      <c r="M1447" s="22" t="s">
        <v>4796</v>
      </c>
      <c r="N1447" s="22" t="n">
        <f aca="false">MATCH(M1447,'Tabela Passaro'!$A$2:$A$1795,0)</f>
        <v>1148</v>
      </c>
      <c r="O1447" s="22" t="str">
        <f aca="false">INDEX('Tabela Passaro'!$C$2:$C$1795,$N1447)</f>
        <v>OLINDA</v>
      </c>
      <c r="P1447" s="22" t="str">
        <f aca="false">INDEX('Tabela Passaro'!$B$2:$B$1795,$N1447)</f>
        <v>PE</v>
      </c>
      <c r="Q1447" s="22" t="n">
        <f aca="false">INDEX('Tabela Passaro'!$F$2:$F$1795,$N1447)</f>
        <v>8</v>
      </c>
      <c r="R1447" s="32" t="n">
        <f aca="false">IF(J1447&lt;=10,INDEX('Tabela Passaro'!$G$2:$G$1795,$N1447),IF(J1447&lt;=30,INDEX('Tabela Passaro'!$H$2:$H$1795,$N1447),IF(J1447&lt;=50,INDEX('Tabela Passaro'!$I$2:$I$1795,$N1447),IF(J1447&lt;=70,INDEX('Tabela Passaro'!$J$2:$J$1795,$N1447),IF(J1447&lt;=100,INDEX('Tabela Passaro'!$K$2:$K$1795,$N1447),INDEX('Tabela Passaro'!$K$2:$K$1795,$N1447)+(J1447-100)*INDEX('Tabela Passaro'!$L$2:$L$1795,$N1447))))))</f>
        <v>66.55</v>
      </c>
      <c r="S1447" s="32" t="n">
        <f aca="false">K1447*INDEX('Tabela Passaro'!$M$2:$M$1795,$N1447)</f>
        <v>2.1757</v>
      </c>
      <c r="T1447" s="32" t="n">
        <f aca="false">K1447*INDEX('Tabela Passaro'!$N$2:$N$1795,$N1447)</f>
        <v>0.87028</v>
      </c>
      <c r="U1447" s="32" t="n">
        <f aca="false">INDEX('Tabela Passaro'!$O$2:$O$1795,$N1447)</f>
        <v>5</v>
      </c>
      <c r="V1447" s="32" t="n">
        <f aca="false">ROUNDUP(J1447/INDEX('Tabela Passaro'!$Q$2:$Q$1795,$N1447),0)*INDEX('Tabela Passaro'!$P$2:$P$1795,$N1447)</f>
        <v>5</v>
      </c>
      <c r="W1447" s="32" t="n">
        <f aca="false">INDEX('Tabela Passaro'!$R$2:$R$1795,$N1447)</f>
        <v>30</v>
      </c>
      <c r="X1447" s="32" t="n">
        <f aca="false">ROUNDUP(J1447/INDEX('Tabela Passaro'!$T$2:$T$1795,$N1447),0)*INDEX('Tabela Passaro'!$S$2:$S$1795,$N1447)</f>
        <v>0</v>
      </c>
      <c r="Y1447" s="32" t="n">
        <f aca="false">INDEX('Tabela Passaro'!$U$2:$U$1795,$N1447)</f>
        <v>0</v>
      </c>
      <c r="Z1447" s="32" t="n">
        <f aca="false">INDEX('Tabela Passaro'!$V$2:$V$1795,$N1447)</f>
        <v>0</v>
      </c>
      <c r="AA1447" s="32" t="n">
        <f aca="false">SUM(R1447:Z1447)</f>
        <v>109.59598</v>
      </c>
      <c r="AB1447" s="33" t="n">
        <f aca="false">INDEX(Premissas!$B$5:$B$13,MATCH(A1447,Premissas!$A$5:$A$13,0))</f>
        <v>0.07</v>
      </c>
      <c r="AC1447" s="32" t="n">
        <f aca="false">AA1447/(1-AB1447)-AA1447</f>
        <v>8.24915978494624</v>
      </c>
      <c r="AD1447" s="32" t="n">
        <f aca="false">ROUND(AA1447+AC1447,2)</f>
        <v>117.85</v>
      </c>
      <c r="AE1447" s="32" t="n">
        <f aca="false">AD1447-L1447</f>
        <v>33.46</v>
      </c>
      <c r="AF1447" s="34" t="n">
        <f aca="false">IF(L1447=0,0,AE1447/L1447)</f>
        <v>0.396492475411779</v>
      </c>
      <c r="AG1447" s="22" t="str">
        <f aca="false">IF(AD1447&lt;L1447,"PASSARO","ATUAL")</f>
        <v>ATUAL</v>
      </c>
      <c r="AH1447" s="22" t="str">
        <f aca="false">IF(P1447&lt;&gt;A1447,"Faixa cadastrada como "&amp;P1447&amp;" na tabela; preço aplicado pela UF do CEP","")</f>
        <v/>
      </c>
      <c r="AI1447" s="26" t="n">
        <v>136.95</v>
      </c>
      <c r="AJ1447" s="22" t="str">
        <f aca="false">INDEX('Tabela Passaro'!$X$2:$X$1795,$N1447)</f>
        <v>CAPITAL</v>
      </c>
    </row>
    <row r="1448" customFormat="false" ht="15" hidden="false" customHeight="false" outlineLevel="0" collapsed="false">
      <c r="A1448" s="22" t="s">
        <v>20</v>
      </c>
      <c r="B1448" s="22" t="n">
        <v>5</v>
      </c>
      <c r="C1448" s="22" t="s">
        <v>155</v>
      </c>
      <c r="D1448" s="22" t="s">
        <v>30</v>
      </c>
      <c r="E1448" s="22" t="s">
        <v>7328</v>
      </c>
      <c r="F1448" s="22" t="n">
        <v>2307874</v>
      </c>
      <c r="G1448" s="30" t="n">
        <v>46239</v>
      </c>
      <c r="H1448" s="22" t="n">
        <v>131853</v>
      </c>
      <c r="I1448" s="22" t="s">
        <v>8655</v>
      </c>
      <c r="J1448" s="31" t="n">
        <v>124.2</v>
      </c>
      <c r="K1448" s="26" t="n">
        <v>2289.98</v>
      </c>
      <c r="L1448" s="26" t="n">
        <v>409.99</v>
      </c>
      <c r="M1448" s="22" t="s">
        <v>5316</v>
      </c>
      <c r="N1448" s="22" t="n">
        <f aca="false">MATCH(M1448,'Tabela Passaro'!$A$2:$A$1795,0)</f>
        <v>1282</v>
      </c>
      <c r="O1448" s="22" t="str">
        <f aca="false">INDEX('Tabela Passaro'!$C$2:$C$1795,$N1448)</f>
        <v>PETROLINA</v>
      </c>
      <c r="P1448" s="22" t="str">
        <f aca="false">INDEX('Tabela Passaro'!$B$2:$B$1795,$N1448)</f>
        <v>PE</v>
      </c>
      <c r="Q1448" s="22" t="n">
        <f aca="false">INDEX('Tabela Passaro'!$F$2:$F$1795,$N1448)</f>
        <v>12</v>
      </c>
      <c r="R1448" s="32" t="n">
        <f aca="false">IF(J1448&lt;=10,INDEX('Tabela Passaro'!$G$2:$G$1795,$N1448),IF(J1448&lt;=30,INDEX('Tabela Passaro'!$H$2:$H$1795,$N1448),IF(J1448&lt;=50,INDEX('Tabela Passaro'!$I$2:$I$1795,$N1448),IF(J1448&lt;=70,INDEX('Tabela Passaro'!$J$2:$J$1795,$N1448),IF(J1448&lt;=100,INDEX('Tabela Passaro'!$K$2:$K$1795,$N1448),INDEX('Tabela Passaro'!$K$2:$K$1795,$N1448)+(J1448-100)*INDEX('Tabela Passaro'!$L$2:$L$1795,$N1448))))))</f>
        <v>219.962</v>
      </c>
      <c r="S1448" s="32" t="n">
        <f aca="false">K1448*INDEX('Tabela Passaro'!$M$2:$M$1795,$N1448)</f>
        <v>11.4499</v>
      </c>
      <c r="T1448" s="32" t="n">
        <f aca="false">K1448*INDEX('Tabela Passaro'!$N$2:$N$1795,$N1448)</f>
        <v>4.57996</v>
      </c>
      <c r="U1448" s="32" t="n">
        <f aca="false">INDEX('Tabela Passaro'!$O$2:$O$1795,$N1448)</f>
        <v>5</v>
      </c>
      <c r="V1448" s="32" t="n">
        <f aca="false">ROUNDUP(J1448/INDEX('Tabela Passaro'!$Q$2:$Q$1795,$N1448),0)*INDEX('Tabela Passaro'!$P$2:$P$1795,$N1448)</f>
        <v>10</v>
      </c>
      <c r="W1448" s="32" t="n">
        <f aca="false">INDEX('Tabela Passaro'!$R$2:$R$1795,$N1448)</f>
        <v>30</v>
      </c>
      <c r="X1448" s="32" t="n">
        <f aca="false">ROUNDUP(J1448/INDEX('Tabela Passaro'!$T$2:$T$1795,$N1448),0)*INDEX('Tabela Passaro'!$S$2:$S$1795,$N1448)</f>
        <v>0</v>
      </c>
      <c r="Y1448" s="32" t="n">
        <f aca="false">INDEX('Tabela Passaro'!$U$2:$U$1795,$N1448)</f>
        <v>0</v>
      </c>
      <c r="Z1448" s="32" t="n">
        <f aca="false">INDEX('Tabela Passaro'!$V$2:$V$1795,$N1448)</f>
        <v>0</v>
      </c>
      <c r="AA1448" s="32" t="n">
        <f aca="false">SUM(R1448:Z1448)</f>
        <v>280.99186</v>
      </c>
      <c r="AB1448" s="33" t="n">
        <f aca="false">INDEX(Premissas!$B$5:$B$13,MATCH(A1448,Premissas!$A$5:$A$13,0))</f>
        <v>0.07</v>
      </c>
      <c r="AC1448" s="32" t="n">
        <f aca="false">AA1448/(1-AB1448)-AA1448</f>
        <v>21.1499249462366</v>
      </c>
      <c r="AD1448" s="32" t="n">
        <f aca="false">ROUND(AA1448+AC1448,2)</f>
        <v>302.14</v>
      </c>
      <c r="AE1448" s="32" t="n">
        <f aca="false">AD1448-L1448</f>
        <v>-107.85</v>
      </c>
      <c r="AF1448" s="34" t="n">
        <f aca="false">IF(L1448=0,0,AE1448/L1448)</f>
        <v>-0.263055196468207</v>
      </c>
      <c r="AG1448" s="22" t="str">
        <f aca="false">IF(AD1448&lt;L1448,"PASSARO","ATUAL")</f>
        <v>PASSARO</v>
      </c>
      <c r="AH1448" s="22" t="str">
        <f aca="false">IF(P1448&lt;&gt;A1448,"Faixa cadastrada como "&amp;P1448&amp;" na tabela; preço aplicado pela UF do CEP","")</f>
        <v/>
      </c>
      <c r="AI1448" s="26" t="n">
        <v>374</v>
      </c>
      <c r="AJ1448" s="22" t="str">
        <f aca="false">INDEX('Tabela Passaro'!$X$2:$X$1795,$N1448)</f>
        <v>INTERIOR 2</v>
      </c>
    </row>
    <row r="1449" customFormat="false" ht="15" hidden="false" customHeight="false" outlineLevel="0" collapsed="false">
      <c r="A1449" s="22" t="s">
        <v>20</v>
      </c>
      <c r="B1449" s="22" t="n">
        <v>5</v>
      </c>
      <c r="C1449" s="22" t="s">
        <v>155</v>
      </c>
      <c r="D1449" s="22" t="s">
        <v>30</v>
      </c>
      <c r="E1449" s="22" t="s">
        <v>20</v>
      </c>
      <c r="F1449" s="22" t="n">
        <v>838070</v>
      </c>
      <c r="G1449" s="30" t="n">
        <v>46240</v>
      </c>
      <c r="H1449" s="22" t="n">
        <v>32414</v>
      </c>
      <c r="I1449" s="22" t="s">
        <v>8656</v>
      </c>
      <c r="J1449" s="31" t="n">
        <v>106.8</v>
      </c>
      <c r="K1449" s="26" t="n">
        <v>1479.99</v>
      </c>
      <c r="L1449" s="26" t="n">
        <v>256.03</v>
      </c>
      <c r="M1449" s="22" t="s">
        <v>5316</v>
      </c>
      <c r="N1449" s="22" t="n">
        <f aca="false">MATCH(M1449,'Tabela Passaro'!$A$2:$A$1795,0)</f>
        <v>1282</v>
      </c>
      <c r="O1449" s="22" t="str">
        <f aca="false">INDEX('Tabela Passaro'!$C$2:$C$1795,$N1449)</f>
        <v>PETROLINA</v>
      </c>
      <c r="P1449" s="22" t="str">
        <f aca="false">INDEX('Tabela Passaro'!$B$2:$B$1795,$N1449)</f>
        <v>PE</v>
      </c>
      <c r="Q1449" s="22" t="n">
        <f aca="false">INDEX('Tabela Passaro'!$F$2:$F$1795,$N1449)</f>
        <v>12</v>
      </c>
      <c r="R1449" s="32" t="n">
        <f aca="false">IF(J1449&lt;=10,INDEX('Tabela Passaro'!$G$2:$G$1795,$N1449),IF(J1449&lt;=30,INDEX('Tabela Passaro'!$H$2:$H$1795,$N1449),IF(J1449&lt;=50,INDEX('Tabela Passaro'!$I$2:$I$1795,$N1449),IF(J1449&lt;=70,INDEX('Tabela Passaro'!$J$2:$J$1795,$N1449),IF(J1449&lt;=100,INDEX('Tabela Passaro'!$K$2:$K$1795,$N1449),INDEX('Tabela Passaro'!$K$2:$K$1795,$N1449)+(J1449-100)*INDEX('Tabela Passaro'!$L$2:$L$1795,$N1449))))))</f>
        <v>184.118</v>
      </c>
      <c r="S1449" s="32" t="n">
        <f aca="false">K1449*INDEX('Tabela Passaro'!$M$2:$M$1795,$N1449)</f>
        <v>7.39995</v>
      </c>
      <c r="T1449" s="32" t="n">
        <f aca="false">K1449*INDEX('Tabela Passaro'!$N$2:$N$1795,$N1449)</f>
        <v>2.95998</v>
      </c>
      <c r="U1449" s="32" t="n">
        <f aca="false">INDEX('Tabela Passaro'!$O$2:$O$1795,$N1449)</f>
        <v>5</v>
      </c>
      <c r="V1449" s="32" t="n">
        <f aca="false">ROUNDUP(J1449/INDEX('Tabela Passaro'!$Q$2:$Q$1795,$N1449),0)*INDEX('Tabela Passaro'!$P$2:$P$1795,$N1449)</f>
        <v>10</v>
      </c>
      <c r="W1449" s="32" t="n">
        <f aca="false">INDEX('Tabela Passaro'!$R$2:$R$1795,$N1449)</f>
        <v>30</v>
      </c>
      <c r="X1449" s="32" t="n">
        <f aca="false">ROUNDUP(J1449/INDEX('Tabela Passaro'!$T$2:$T$1795,$N1449),0)*INDEX('Tabela Passaro'!$S$2:$S$1795,$N1449)</f>
        <v>0</v>
      </c>
      <c r="Y1449" s="32" t="n">
        <f aca="false">INDEX('Tabela Passaro'!$U$2:$U$1795,$N1449)</f>
        <v>0</v>
      </c>
      <c r="Z1449" s="32" t="n">
        <f aca="false">INDEX('Tabela Passaro'!$V$2:$V$1795,$N1449)</f>
        <v>0</v>
      </c>
      <c r="AA1449" s="32" t="n">
        <f aca="false">SUM(R1449:Z1449)</f>
        <v>239.47793</v>
      </c>
      <c r="AB1449" s="33" t="n">
        <f aca="false">INDEX(Premissas!$B$5:$B$13,MATCH(A1449,Premissas!$A$5:$A$13,0))</f>
        <v>0.07</v>
      </c>
      <c r="AC1449" s="32" t="n">
        <f aca="false">AA1449/(1-AB1449)-AA1449</f>
        <v>18.0252205376344</v>
      </c>
      <c r="AD1449" s="32" t="n">
        <f aca="false">ROUND(AA1449+AC1449,2)</f>
        <v>257.5</v>
      </c>
      <c r="AE1449" s="32" t="n">
        <f aca="false">AD1449-L1449</f>
        <v>1.47000000000003</v>
      </c>
      <c r="AF1449" s="34" t="n">
        <f aca="false">IF(L1449=0,0,AE1449/L1449)</f>
        <v>0.00574151466625016</v>
      </c>
      <c r="AG1449" s="22" t="str">
        <f aca="false">IF(AD1449&lt;L1449,"PASSARO","ATUAL")</f>
        <v>ATUAL</v>
      </c>
      <c r="AH1449" s="22" t="str">
        <f aca="false">IF(P1449&lt;&gt;A1449,"Faixa cadastrada como "&amp;P1449&amp;" na tabela; preço aplicado pela UF do CEP","")</f>
        <v/>
      </c>
      <c r="AI1449" s="26" t="n">
        <v>314.05</v>
      </c>
      <c r="AJ1449" s="22" t="str">
        <f aca="false">INDEX('Tabela Passaro'!$X$2:$X$1795,$N1449)</f>
        <v>INTERIOR 2</v>
      </c>
    </row>
    <row r="1450" customFormat="false" ht="15" hidden="false" customHeight="false" outlineLevel="0" collapsed="false">
      <c r="A1450" s="22" t="s">
        <v>20</v>
      </c>
      <c r="B1450" s="22" t="n">
        <v>5</v>
      </c>
      <c r="C1450" s="22" t="s">
        <v>155</v>
      </c>
      <c r="D1450" s="22" t="s">
        <v>30</v>
      </c>
      <c r="E1450" s="22" t="s">
        <v>20</v>
      </c>
      <c r="F1450" s="22" t="n">
        <v>838404</v>
      </c>
      <c r="G1450" s="30" t="n">
        <v>46244</v>
      </c>
      <c r="H1450" s="22" t="n">
        <v>32452</v>
      </c>
      <c r="I1450" s="22" t="s">
        <v>8657</v>
      </c>
      <c r="J1450" s="31" t="n">
        <v>50.99</v>
      </c>
      <c r="K1450" s="26" t="n">
        <v>939.98</v>
      </c>
      <c r="L1450" s="26" t="n">
        <v>181.51</v>
      </c>
      <c r="M1450" s="22" t="s">
        <v>5316</v>
      </c>
      <c r="N1450" s="22" t="n">
        <f aca="false">MATCH(M1450,'Tabela Passaro'!$A$2:$A$1795,0)</f>
        <v>1282</v>
      </c>
      <c r="O1450" s="22" t="str">
        <f aca="false">INDEX('Tabela Passaro'!$C$2:$C$1795,$N1450)</f>
        <v>PETROLINA</v>
      </c>
      <c r="P1450" s="22" t="str">
        <f aca="false">INDEX('Tabela Passaro'!$B$2:$B$1795,$N1450)</f>
        <v>PE</v>
      </c>
      <c r="Q1450" s="22" t="n">
        <f aca="false">INDEX('Tabela Passaro'!$F$2:$F$1795,$N1450)</f>
        <v>12</v>
      </c>
      <c r="R1450" s="32" t="n">
        <f aca="false">IF(J1450&lt;=10,INDEX('Tabela Passaro'!$G$2:$G$1795,$N1450),IF(J1450&lt;=30,INDEX('Tabela Passaro'!$H$2:$H$1795,$N1450),IF(J1450&lt;=50,INDEX('Tabela Passaro'!$I$2:$I$1795,$N1450),IF(J1450&lt;=70,INDEX('Tabela Passaro'!$J$2:$J$1795,$N1450),IF(J1450&lt;=100,INDEX('Tabela Passaro'!$K$2:$K$1795,$N1450),INDEX('Tabela Passaro'!$K$2:$K$1795,$N1450)+(J1450-100)*INDEX('Tabela Passaro'!$L$2:$L$1795,$N1450))))))</f>
        <v>153.58</v>
      </c>
      <c r="S1450" s="32" t="n">
        <f aca="false">K1450*INDEX('Tabela Passaro'!$M$2:$M$1795,$N1450)</f>
        <v>4.6999</v>
      </c>
      <c r="T1450" s="32" t="n">
        <f aca="false">K1450*INDEX('Tabela Passaro'!$N$2:$N$1795,$N1450)</f>
        <v>1.87996</v>
      </c>
      <c r="U1450" s="32" t="n">
        <f aca="false">INDEX('Tabela Passaro'!$O$2:$O$1795,$N1450)</f>
        <v>5</v>
      </c>
      <c r="V1450" s="32" t="n">
        <f aca="false">ROUNDUP(J1450/INDEX('Tabela Passaro'!$Q$2:$Q$1795,$N1450),0)*INDEX('Tabela Passaro'!$P$2:$P$1795,$N1450)</f>
        <v>5</v>
      </c>
      <c r="W1450" s="32" t="n">
        <f aca="false">INDEX('Tabela Passaro'!$R$2:$R$1795,$N1450)</f>
        <v>30</v>
      </c>
      <c r="X1450" s="32" t="n">
        <f aca="false">ROUNDUP(J1450/INDEX('Tabela Passaro'!$T$2:$T$1795,$N1450),0)*INDEX('Tabela Passaro'!$S$2:$S$1795,$N1450)</f>
        <v>0</v>
      </c>
      <c r="Y1450" s="32" t="n">
        <f aca="false">INDEX('Tabela Passaro'!$U$2:$U$1795,$N1450)</f>
        <v>0</v>
      </c>
      <c r="Z1450" s="32" t="n">
        <f aca="false">INDEX('Tabela Passaro'!$V$2:$V$1795,$N1450)</f>
        <v>0</v>
      </c>
      <c r="AA1450" s="32" t="n">
        <f aca="false">SUM(R1450:Z1450)</f>
        <v>200.15986</v>
      </c>
      <c r="AB1450" s="33" t="n">
        <f aca="false">INDEX(Premissas!$B$5:$B$13,MATCH(A1450,Premissas!$A$5:$A$13,0))</f>
        <v>0.07</v>
      </c>
      <c r="AC1450" s="32" t="n">
        <f aca="false">AA1450/(1-AB1450)-AA1450</f>
        <v>15.0657959139785</v>
      </c>
      <c r="AD1450" s="32" t="n">
        <f aca="false">ROUND(AA1450+AC1450,2)</f>
        <v>215.23</v>
      </c>
      <c r="AE1450" s="32" t="n">
        <f aca="false">AD1450-L1450</f>
        <v>33.72</v>
      </c>
      <c r="AF1450" s="34" t="n">
        <f aca="false">IF(L1450=0,0,AE1450/L1450)</f>
        <v>0.185774888435899</v>
      </c>
      <c r="AG1450" s="22" t="str">
        <f aca="false">IF(AD1450&lt;L1450,"PASSARO","ATUAL")</f>
        <v>ATUAL</v>
      </c>
      <c r="AH1450" s="22" t="str">
        <f aca="false">IF(P1450&lt;&gt;A1450,"Faixa cadastrada como "&amp;P1450&amp;" na tabela; preço aplicado pela UF do CEP","")</f>
        <v/>
      </c>
      <c r="AI1450" s="26" t="n">
        <v>240.59</v>
      </c>
      <c r="AJ1450" s="22" t="str">
        <f aca="false">INDEX('Tabela Passaro'!$X$2:$X$1795,$N1450)</f>
        <v>INTERIOR 2</v>
      </c>
    </row>
    <row r="1451" customFormat="false" ht="15" hidden="false" customHeight="false" outlineLevel="0" collapsed="false">
      <c r="A1451" s="22" t="s">
        <v>20</v>
      </c>
      <c r="B1451" s="22" t="n">
        <v>5</v>
      </c>
      <c r="C1451" s="22" t="s">
        <v>155</v>
      </c>
      <c r="D1451" s="22" t="s">
        <v>30</v>
      </c>
      <c r="E1451" s="22" t="s">
        <v>7326</v>
      </c>
      <c r="F1451" s="22" t="n">
        <v>523727</v>
      </c>
      <c r="G1451" s="30" t="n">
        <v>46244</v>
      </c>
      <c r="H1451" s="22" t="n">
        <v>622522</v>
      </c>
      <c r="I1451" s="22" t="s">
        <v>8658</v>
      </c>
      <c r="J1451" s="31" t="n">
        <v>33</v>
      </c>
      <c r="K1451" s="26" t="n">
        <v>578.05</v>
      </c>
      <c r="L1451" s="26" t="n">
        <v>221.59</v>
      </c>
      <c r="M1451" s="22" t="s">
        <v>5316</v>
      </c>
      <c r="N1451" s="22" t="n">
        <f aca="false">MATCH(M1451,'Tabela Passaro'!$A$2:$A$1795,0)</f>
        <v>1282</v>
      </c>
      <c r="O1451" s="22" t="str">
        <f aca="false">INDEX('Tabela Passaro'!$C$2:$C$1795,$N1451)</f>
        <v>PETROLINA</v>
      </c>
      <c r="P1451" s="22" t="str">
        <f aca="false">INDEX('Tabela Passaro'!$B$2:$B$1795,$N1451)</f>
        <v>PE</v>
      </c>
      <c r="Q1451" s="22" t="n">
        <f aca="false">INDEX('Tabela Passaro'!$F$2:$F$1795,$N1451)</f>
        <v>12</v>
      </c>
      <c r="R1451" s="32" t="n">
        <f aca="false">IF(J1451&lt;=10,INDEX('Tabela Passaro'!$G$2:$G$1795,$N1451),IF(J1451&lt;=30,INDEX('Tabela Passaro'!$H$2:$H$1795,$N1451),IF(J1451&lt;=50,INDEX('Tabela Passaro'!$I$2:$I$1795,$N1451),IF(J1451&lt;=70,INDEX('Tabela Passaro'!$J$2:$J$1795,$N1451),IF(J1451&lt;=100,INDEX('Tabela Passaro'!$K$2:$K$1795,$N1451),INDEX('Tabela Passaro'!$K$2:$K$1795,$N1451)+(J1451-100)*INDEX('Tabela Passaro'!$L$2:$L$1795,$N1451))))))</f>
        <v>142.56</v>
      </c>
      <c r="S1451" s="32" t="n">
        <f aca="false">K1451*INDEX('Tabela Passaro'!$M$2:$M$1795,$N1451)</f>
        <v>2.89025</v>
      </c>
      <c r="T1451" s="32" t="n">
        <f aca="false">K1451*INDEX('Tabela Passaro'!$N$2:$N$1795,$N1451)</f>
        <v>1.1561</v>
      </c>
      <c r="U1451" s="32" t="n">
        <f aca="false">INDEX('Tabela Passaro'!$O$2:$O$1795,$N1451)</f>
        <v>5</v>
      </c>
      <c r="V1451" s="32" t="n">
        <f aca="false">ROUNDUP(J1451/INDEX('Tabela Passaro'!$Q$2:$Q$1795,$N1451),0)*INDEX('Tabela Passaro'!$P$2:$P$1795,$N1451)</f>
        <v>5</v>
      </c>
      <c r="W1451" s="32" t="n">
        <f aca="false">INDEX('Tabela Passaro'!$R$2:$R$1795,$N1451)</f>
        <v>30</v>
      </c>
      <c r="X1451" s="32" t="n">
        <f aca="false">ROUNDUP(J1451/INDEX('Tabela Passaro'!$T$2:$T$1795,$N1451),0)*INDEX('Tabela Passaro'!$S$2:$S$1795,$N1451)</f>
        <v>0</v>
      </c>
      <c r="Y1451" s="32" t="n">
        <f aca="false">INDEX('Tabela Passaro'!$U$2:$U$1795,$N1451)</f>
        <v>0</v>
      </c>
      <c r="Z1451" s="32" t="n">
        <f aca="false">INDEX('Tabela Passaro'!$V$2:$V$1795,$N1451)</f>
        <v>0</v>
      </c>
      <c r="AA1451" s="32" t="n">
        <f aca="false">SUM(R1451:Z1451)</f>
        <v>186.60635</v>
      </c>
      <c r="AB1451" s="33" t="n">
        <f aca="false">INDEX(Premissas!$B$5:$B$13,MATCH(A1451,Premissas!$A$5:$A$13,0))</f>
        <v>0.07</v>
      </c>
      <c r="AC1451" s="32" t="n">
        <f aca="false">AA1451/(1-AB1451)-AA1451</f>
        <v>14.0456392473118</v>
      </c>
      <c r="AD1451" s="32" t="n">
        <f aca="false">ROUND(AA1451+AC1451,2)</f>
        <v>200.65</v>
      </c>
      <c r="AE1451" s="32" t="n">
        <f aca="false">AD1451-L1451</f>
        <v>-20.94</v>
      </c>
      <c r="AF1451" s="34" t="n">
        <f aca="false">IF(L1451=0,0,AE1451/L1451)</f>
        <v>-0.0944988492260481</v>
      </c>
      <c r="AG1451" s="22" t="str">
        <f aca="false">IF(AD1451&lt;L1451,"PASSARO","ATUAL")</f>
        <v>PASSARO</v>
      </c>
      <c r="AH1451" s="22" t="str">
        <f aca="false">IF(P1451&lt;&gt;A1451,"Faixa cadastrada como "&amp;P1451&amp;" na tabela; preço aplicado pela UF do CEP","")</f>
        <v/>
      </c>
      <c r="AI1451" s="26" t="n">
        <v>215.86</v>
      </c>
      <c r="AJ1451" s="22" t="str">
        <f aca="false">INDEX('Tabela Passaro'!$X$2:$X$1795,$N1451)</f>
        <v>INTERIOR 2</v>
      </c>
    </row>
    <row r="1452" customFormat="false" ht="15" hidden="false" customHeight="false" outlineLevel="0" collapsed="false">
      <c r="A1452" s="22" t="s">
        <v>20</v>
      </c>
      <c r="B1452" s="22" t="n">
        <v>5</v>
      </c>
      <c r="C1452" s="22" t="s">
        <v>155</v>
      </c>
      <c r="D1452" s="22" t="s">
        <v>30</v>
      </c>
      <c r="E1452" s="22" t="s">
        <v>7326</v>
      </c>
      <c r="F1452" s="22" t="n">
        <v>523728</v>
      </c>
      <c r="G1452" s="30" t="n">
        <v>46244</v>
      </c>
      <c r="H1452" s="22" t="n">
        <v>622523</v>
      </c>
      <c r="I1452" s="22" t="s">
        <v>8658</v>
      </c>
      <c r="J1452" s="31" t="n">
        <v>33</v>
      </c>
      <c r="K1452" s="26" t="n">
        <v>578.06</v>
      </c>
      <c r="L1452" s="26" t="n">
        <v>221.59</v>
      </c>
      <c r="M1452" s="22" t="s">
        <v>5316</v>
      </c>
      <c r="N1452" s="22" t="n">
        <f aca="false">MATCH(M1452,'Tabela Passaro'!$A$2:$A$1795,0)</f>
        <v>1282</v>
      </c>
      <c r="O1452" s="22" t="str">
        <f aca="false">INDEX('Tabela Passaro'!$C$2:$C$1795,$N1452)</f>
        <v>PETROLINA</v>
      </c>
      <c r="P1452" s="22" t="str">
        <f aca="false">INDEX('Tabela Passaro'!$B$2:$B$1795,$N1452)</f>
        <v>PE</v>
      </c>
      <c r="Q1452" s="22" t="n">
        <f aca="false">INDEX('Tabela Passaro'!$F$2:$F$1795,$N1452)</f>
        <v>12</v>
      </c>
      <c r="R1452" s="32" t="n">
        <f aca="false">IF(J1452&lt;=10,INDEX('Tabela Passaro'!$G$2:$G$1795,$N1452),IF(J1452&lt;=30,INDEX('Tabela Passaro'!$H$2:$H$1795,$N1452),IF(J1452&lt;=50,INDEX('Tabela Passaro'!$I$2:$I$1795,$N1452),IF(J1452&lt;=70,INDEX('Tabela Passaro'!$J$2:$J$1795,$N1452),IF(J1452&lt;=100,INDEX('Tabela Passaro'!$K$2:$K$1795,$N1452),INDEX('Tabela Passaro'!$K$2:$K$1795,$N1452)+(J1452-100)*INDEX('Tabela Passaro'!$L$2:$L$1795,$N1452))))))</f>
        <v>142.56</v>
      </c>
      <c r="S1452" s="32" t="n">
        <f aca="false">K1452*INDEX('Tabela Passaro'!$M$2:$M$1795,$N1452)</f>
        <v>2.8903</v>
      </c>
      <c r="T1452" s="32" t="n">
        <f aca="false">K1452*INDEX('Tabela Passaro'!$N$2:$N$1795,$N1452)</f>
        <v>1.15612</v>
      </c>
      <c r="U1452" s="32" t="n">
        <f aca="false">INDEX('Tabela Passaro'!$O$2:$O$1795,$N1452)</f>
        <v>5</v>
      </c>
      <c r="V1452" s="32" t="n">
        <f aca="false">ROUNDUP(J1452/INDEX('Tabela Passaro'!$Q$2:$Q$1795,$N1452),0)*INDEX('Tabela Passaro'!$P$2:$P$1795,$N1452)</f>
        <v>5</v>
      </c>
      <c r="W1452" s="32" t="n">
        <f aca="false">INDEX('Tabela Passaro'!$R$2:$R$1795,$N1452)</f>
        <v>30</v>
      </c>
      <c r="X1452" s="32" t="n">
        <f aca="false">ROUNDUP(J1452/INDEX('Tabela Passaro'!$T$2:$T$1795,$N1452),0)*INDEX('Tabela Passaro'!$S$2:$S$1795,$N1452)</f>
        <v>0</v>
      </c>
      <c r="Y1452" s="32" t="n">
        <f aca="false">INDEX('Tabela Passaro'!$U$2:$U$1795,$N1452)</f>
        <v>0</v>
      </c>
      <c r="Z1452" s="32" t="n">
        <f aca="false">INDEX('Tabela Passaro'!$V$2:$V$1795,$N1452)</f>
        <v>0</v>
      </c>
      <c r="AA1452" s="32" t="n">
        <f aca="false">SUM(R1452:Z1452)</f>
        <v>186.60642</v>
      </c>
      <c r="AB1452" s="33" t="n">
        <f aca="false">INDEX(Premissas!$B$5:$B$13,MATCH(A1452,Premissas!$A$5:$A$13,0))</f>
        <v>0.07</v>
      </c>
      <c r="AC1452" s="32" t="n">
        <f aca="false">AA1452/(1-AB1452)-AA1452</f>
        <v>14.045644516129</v>
      </c>
      <c r="AD1452" s="32" t="n">
        <f aca="false">ROUND(AA1452+AC1452,2)</f>
        <v>200.65</v>
      </c>
      <c r="AE1452" s="32" t="n">
        <f aca="false">AD1452-L1452</f>
        <v>-20.94</v>
      </c>
      <c r="AF1452" s="34" t="n">
        <f aca="false">IF(L1452=0,0,AE1452/L1452)</f>
        <v>-0.0944988492260481</v>
      </c>
      <c r="AG1452" s="22" t="str">
        <f aca="false">IF(AD1452&lt;L1452,"PASSARO","ATUAL")</f>
        <v>PASSARO</v>
      </c>
      <c r="AH1452" s="22" t="str">
        <f aca="false">IF(P1452&lt;&gt;A1452,"Faixa cadastrada como "&amp;P1452&amp;" na tabela; preço aplicado pela UF do CEP","")</f>
        <v/>
      </c>
      <c r="AI1452" s="26" t="n">
        <v>215.86</v>
      </c>
      <c r="AJ1452" s="22" t="str">
        <f aca="false">INDEX('Tabela Passaro'!$X$2:$X$1795,$N1452)</f>
        <v>INTERIOR 2</v>
      </c>
    </row>
    <row r="1453" customFormat="false" ht="15" hidden="false" customHeight="false" outlineLevel="0" collapsed="false">
      <c r="A1453" s="22" t="s">
        <v>20</v>
      </c>
      <c r="B1453" s="22" t="n">
        <v>5</v>
      </c>
      <c r="C1453" s="22" t="s">
        <v>155</v>
      </c>
      <c r="D1453" s="22" t="s">
        <v>30</v>
      </c>
      <c r="E1453" s="22" t="s">
        <v>7328</v>
      </c>
      <c r="F1453" s="22" t="n">
        <v>2311296</v>
      </c>
      <c r="G1453" s="30" t="n">
        <v>46246</v>
      </c>
      <c r="H1453" s="22" t="n">
        <v>132747</v>
      </c>
      <c r="I1453" s="22" t="s">
        <v>8659</v>
      </c>
      <c r="J1453" s="31" t="n">
        <v>69</v>
      </c>
      <c r="K1453" s="26" t="n">
        <v>1036.81</v>
      </c>
      <c r="L1453" s="26" t="n">
        <v>259.29</v>
      </c>
      <c r="M1453" s="22" t="s">
        <v>5316</v>
      </c>
      <c r="N1453" s="22" t="n">
        <f aca="false">MATCH(M1453,'Tabela Passaro'!$A$2:$A$1795,0)</f>
        <v>1282</v>
      </c>
      <c r="O1453" s="22" t="str">
        <f aca="false">INDEX('Tabela Passaro'!$C$2:$C$1795,$N1453)</f>
        <v>PETROLINA</v>
      </c>
      <c r="P1453" s="22" t="str">
        <f aca="false">INDEX('Tabela Passaro'!$B$2:$B$1795,$N1453)</f>
        <v>PE</v>
      </c>
      <c r="Q1453" s="22" t="n">
        <f aca="false">INDEX('Tabela Passaro'!$F$2:$F$1795,$N1453)</f>
        <v>12</v>
      </c>
      <c r="R1453" s="32" t="n">
        <f aca="false">IF(J1453&lt;=10,INDEX('Tabela Passaro'!$G$2:$G$1795,$N1453),IF(J1453&lt;=30,INDEX('Tabela Passaro'!$H$2:$H$1795,$N1453),IF(J1453&lt;=50,INDEX('Tabela Passaro'!$I$2:$I$1795,$N1453),IF(J1453&lt;=70,INDEX('Tabela Passaro'!$J$2:$J$1795,$N1453),IF(J1453&lt;=100,INDEX('Tabela Passaro'!$K$2:$K$1795,$N1453),INDEX('Tabela Passaro'!$K$2:$K$1795,$N1453)+(J1453-100)*INDEX('Tabela Passaro'!$L$2:$L$1795,$N1453))))))</f>
        <v>153.58</v>
      </c>
      <c r="S1453" s="32" t="n">
        <f aca="false">K1453*INDEX('Tabela Passaro'!$M$2:$M$1795,$N1453)</f>
        <v>5.18405</v>
      </c>
      <c r="T1453" s="32" t="n">
        <f aca="false">K1453*INDEX('Tabela Passaro'!$N$2:$N$1795,$N1453)</f>
        <v>2.07362</v>
      </c>
      <c r="U1453" s="32" t="n">
        <f aca="false">INDEX('Tabela Passaro'!$O$2:$O$1795,$N1453)</f>
        <v>5</v>
      </c>
      <c r="V1453" s="32" t="n">
        <f aca="false">ROUNDUP(J1453/INDEX('Tabela Passaro'!$Q$2:$Q$1795,$N1453),0)*INDEX('Tabela Passaro'!$P$2:$P$1795,$N1453)</f>
        <v>5</v>
      </c>
      <c r="W1453" s="32" t="n">
        <f aca="false">INDEX('Tabela Passaro'!$R$2:$R$1795,$N1453)</f>
        <v>30</v>
      </c>
      <c r="X1453" s="32" t="n">
        <f aca="false">ROUNDUP(J1453/INDEX('Tabela Passaro'!$T$2:$T$1795,$N1453),0)*INDEX('Tabela Passaro'!$S$2:$S$1795,$N1453)</f>
        <v>0</v>
      </c>
      <c r="Y1453" s="32" t="n">
        <f aca="false">INDEX('Tabela Passaro'!$U$2:$U$1795,$N1453)</f>
        <v>0</v>
      </c>
      <c r="Z1453" s="32" t="n">
        <f aca="false">INDEX('Tabela Passaro'!$V$2:$V$1795,$N1453)</f>
        <v>0</v>
      </c>
      <c r="AA1453" s="32" t="n">
        <f aca="false">SUM(R1453:Z1453)</f>
        <v>200.83767</v>
      </c>
      <c r="AB1453" s="33" t="n">
        <f aca="false">INDEX(Premissas!$B$5:$B$13,MATCH(A1453,Premissas!$A$5:$A$13,0))</f>
        <v>0.07</v>
      </c>
      <c r="AC1453" s="32" t="n">
        <f aca="false">AA1453/(1-AB1453)-AA1453</f>
        <v>15.1168138709677</v>
      </c>
      <c r="AD1453" s="32" t="n">
        <f aca="false">ROUND(AA1453+AC1453,2)</f>
        <v>215.95</v>
      </c>
      <c r="AE1453" s="32" t="n">
        <f aca="false">AD1453-L1453</f>
        <v>-43.34</v>
      </c>
      <c r="AF1453" s="34" t="n">
        <f aca="false">IF(L1453=0,0,AE1453/L1453)</f>
        <v>-0.16714875236222</v>
      </c>
      <c r="AG1453" s="22" t="str">
        <f aca="false">IF(AD1453&lt;L1453,"PASSARO","ATUAL")</f>
        <v>PASSARO</v>
      </c>
      <c r="AH1453" s="22" t="str">
        <f aca="false">IF(P1453&lt;&gt;A1453,"Faixa cadastrada como "&amp;P1453&amp;" na tabela; preço aplicado pela UF do CEP","")</f>
        <v/>
      </c>
      <c r="AI1453" s="26" t="n">
        <v>250.24</v>
      </c>
      <c r="AJ1453" s="22" t="str">
        <f aca="false">INDEX('Tabela Passaro'!$X$2:$X$1795,$N1453)</f>
        <v>INTERIOR 2</v>
      </c>
    </row>
    <row r="1454" customFormat="false" ht="15" hidden="false" customHeight="false" outlineLevel="0" collapsed="false">
      <c r="A1454" s="22" t="s">
        <v>20</v>
      </c>
      <c r="B1454" s="22" t="n">
        <v>5</v>
      </c>
      <c r="C1454" s="22" t="s">
        <v>155</v>
      </c>
      <c r="D1454" s="22" t="s">
        <v>30</v>
      </c>
      <c r="E1454" s="22" t="s">
        <v>7326</v>
      </c>
      <c r="F1454" s="22" t="n">
        <v>524471</v>
      </c>
      <c r="G1454" s="30" t="n">
        <v>46246</v>
      </c>
      <c r="H1454" s="22" t="n">
        <v>623913</v>
      </c>
      <c r="I1454" s="22" t="s">
        <v>8660</v>
      </c>
      <c r="J1454" s="31" t="n">
        <v>63</v>
      </c>
      <c r="K1454" s="26" t="n">
        <v>1392.81</v>
      </c>
      <c r="L1454" s="26" t="n">
        <v>301.12</v>
      </c>
      <c r="M1454" s="22" t="s">
        <v>5316</v>
      </c>
      <c r="N1454" s="22" t="n">
        <f aca="false">MATCH(M1454,'Tabela Passaro'!$A$2:$A$1795,0)</f>
        <v>1282</v>
      </c>
      <c r="O1454" s="22" t="str">
        <f aca="false">INDEX('Tabela Passaro'!$C$2:$C$1795,$N1454)</f>
        <v>PETROLINA</v>
      </c>
      <c r="P1454" s="22" t="str">
        <f aca="false">INDEX('Tabela Passaro'!$B$2:$B$1795,$N1454)</f>
        <v>PE</v>
      </c>
      <c r="Q1454" s="22" t="n">
        <f aca="false">INDEX('Tabela Passaro'!$F$2:$F$1795,$N1454)</f>
        <v>12</v>
      </c>
      <c r="R1454" s="32" t="n">
        <f aca="false">IF(J1454&lt;=10,INDEX('Tabela Passaro'!$G$2:$G$1795,$N1454),IF(J1454&lt;=30,INDEX('Tabela Passaro'!$H$2:$H$1795,$N1454),IF(J1454&lt;=50,INDEX('Tabela Passaro'!$I$2:$I$1795,$N1454),IF(J1454&lt;=70,INDEX('Tabela Passaro'!$J$2:$J$1795,$N1454),IF(J1454&lt;=100,INDEX('Tabela Passaro'!$K$2:$K$1795,$N1454),INDEX('Tabela Passaro'!$K$2:$K$1795,$N1454)+(J1454-100)*INDEX('Tabela Passaro'!$L$2:$L$1795,$N1454))))))</f>
        <v>153.58</v>
      </c>
      <c r="S1454" s="32" t="n">
        <f aca="false">K1454*INDEX('Tabela Passaro'!$M$2:$M$1795,$N1454)</f>
        <v>6.96405</v>
      </c>
      <c r="T1454" s="32" t="n">
        <f aca="false">K1454*INDEX('Tabela Passaro'!$N$2:$N$1795,$N1454)</f>
        <v>2.78562</v>
      </c>
      <c r="U1454" s="32" t="n">
        <f aca="false">INDEX('Tabela Passaro'!$O$2:$O$1795,$N1454)</f>
        <v>5</v>
      </c>
      <c r="V1454" s="32" t="n">
        <f aca="false">ROUNDUP(J1454/INDEX('Tabela Passaro'!$Q$2:$Q$1795,$N1454),0)*INDEX('Tabela Passaro'!$P$2:$P$1795,$N1454)</f>
        <v>5</v>
      </c>
      <c r="W1454" s="32" t="n">
        <f aca="false">INDEX('Tabela Passaro'!$R$2:$R$1795,$N1454)</f>
        <v>30</v>
      </c>
      <c r="X1454" s="32" t="n">
        <f aca="false">ROUNDUP(J1454/INDEX('Tabela Passaro'!$T$2:$T$1795,$N1454),0)*INDEX('Tabela Passaro'!$S$2:$S$1795,$N1454)</f>
        <v>0</v>
      </c>
      <c r="Y1454" s="32" t="n">
        <f aca="false">INDEX('Tabela Passaro'!$U$2:$U$1795,$N1454)</f>
        <v>0</v>
      </c>
      <c r="Z1454" s="32" t="n">
        <f aca="false">INDEX('Tabela Passaro'!$V$2:$V$1795,$N1454)</f>
        <v>0</v>
      </c>
      <c r="AA1454" s="32" t="n">
        <f aca="false">SUM(R1454:Z1454)</f>
        <v>203.32967</v>
      </c>
      <c r="AB1454" s="33" t="n">
        <f aca="false">INDEX(Premissas!$B$5:$B$13,MATCH(A1454,Premissas!$A$5:$A$13,0))</f>
        <v>0.07</v>
      </c>
      <c r="AC1454" s="32" t="n">
        <f aca="false">AA1454/(1-AB1454)-AA1454</f>
        <v>15.3043837634409</v>
      </c>
      <c r="AD1454" s="32" t="n">
        <f aca="false">ROUND(AA1454+AC1454,2)</f>
        <v>218.63</v>
      </c>
      <c r="AE1454" s="32" t="n">
        <f aca="false">AD1454-L1454</f>
        <v>-82.49</v>
      </c>
      <c r="AF1454" s="34" t="n">
        <f aca="false">IF(L1454=0,0,AE1454/L1454)</f>
        <v>-0.27394394261424</v>
      </c>
      <c r="AG1454" s="22" t="str">
        <f aca="false">IF(AD1454&lt;L1454,"PASSARO","ATUAL")</f>
        <v>PASSARO</v>
      </c>
      <c r="AH1454" s="22" t="str">
        <f aca="false">IF(P1454&lt;&gt;A1454,"Faixa cadastrada como "&amp;P1454&amp;" na tabela; preço aplicado pela UF do CEP","")</f>
        <v/>
      </c>
      <c r="AI1454" s="26" t="n">
        <v>250.78</v>
      </c>
      <c r="AJ1454" s="22" t="str">
        <f aca="false">INDEX('Tabela Passaro'!$X$2:$X$1795,$N1454)</f>
        <v>INTERIOR 2</v>
      </c>
    </row>
    <row r="1455" customFormat="false" ht="15" hidden="false" customHeight="false" outlineLevel="0" collapsed="false">
      <c r="A1455" s="22" t="s">
        <v>20</v>
      </c>
      <c r="B1455" s="22" t="n">
        <v>5</v>
      </c>
      <c r="C1455" s="22" t="s">
        <v>155</v>
      </c>
      <c r="D1455" s="22" t="s">
        <v>30</v>
      </c>
      <c r="E1455" s="22" t="s">
        <v>7326</v>
      </c>
      <c r="F1455" s="22" t="n">
        <v>524483</v>
      </c>
      <c r="G1455" s="30" t="n">
        <v>46246</v>
      </c>
      <c r="H1455" s="22" t="n">
        <v>623925</v>
      </c>
      <c r="I1455" s="22" t="s">
        <v>8661</v>
      </c>
      <c r="J1455" s="31" t="n">
        <v>77.35</v>
      </c>
      <c r="K1455" s="26" t="n">
        <v>1244.98</v>
      </c>
      <c r="L1455" s="26" t="n">
        <v>377</v>
      </c>
      <c r="M1455" s="22" t="s">
        <v>5316</v>
      </c>
      <c r="N1455" s="22" t="n">
        <f aca="false">MATCH(M1455,'Tabela Passaro'!$A$2:$A$1795,0)</f>
        <v>1282</v>
      </c>
      <c r="O1455" s="22" t="str">
        <f aca="false">INDEX('Tabela Passaro'!$C$2:$C$1795,$N1455)</f>
        <v>PETROLINA</v>
      </c>
      <c r="P1455" s="22" t="str">
        <f aca="false">INDEX('Tabela Passaro'!$B$2:$B$1795,$N1455)</f>
        <v>PE</v>
      </c>
      <c r="Q1455" s="22" t="n">
        <f aca="false">INDEX('Tabela Passaro'!$F$2:$F$1795,$N1455)</f>
        <v>12</v>
      </c>
      <c r="R1455" s="32" t="n">
        <f aca="false">IF(J1455&lt;=10,INDEX('Tabela Passaro'!$G$2:$G$1795,$N1455),IF(J1455&lt;=30,INDEX('Tabela Passaro'!$H$2:$H$1795,$N1455),IF(J1455&lt;=50,INDEX('Tabela Passaro'!$I$2:$I$1795,$N1455),IF(J1455&lt;=70,INDEX('Tabela Passaro'!$J$2:$J$1795,$N1455),IF(J1455&lt;=100,INDEX('Tabela Passaro'!$K$2:$K$1795,$N1455),INDEX('Tabela Passaro'!$K$2:$K$1795,$N1455)+(J1455-100)*INDEX('Tabela Passaro'!$L$2:$L$1795,$N1455))))))</f>
        <v>170.11</v>
      </c>
      <c r="S1455" s="32" t="n">
        <f aca="false">K1455*INDEX('Tabela Passaro'!$M$2:$M$1795,$N1455)</f>
        <v>6.2249</v>
      </c>
      <c r="T1455" s="32" t="n">
        <f aca="false">K1455*INDEX('Tabela Passaro'!$N$2:$N$1795,$N1455)</f>
        <v>2.48996</v>
      </c>
      <c r="U1455" s="32" t="n">
        <f aca="false">INDEX('Tabela Passaro'!$O$2:$O$1795,$N1455)</f>
        <v>5</v>
      </c>
      <c r="V1455" s="32" t="n">
        <f aca="false">ROUNDUP(J1455/INDEX('Tabela Passaro'!$Q$2:$Q$1795,$N1455),0)*INDEX('Tabela Passaro'!$P$2:$P$1795,$N1455)</f>
        <v>5</v>
      </c>
      <c r="W1455" s="32" t="n">
        <f aca="false">INDEX('Tabela Passaro'!$R$2:$R$1795,$N1455)</f>
        <v>30</v>
      </c>
      <c r="X1455" s="32" t="n">
        <f aca="false">ROUNDUP(J1455/INDEX('Tabela Passaro'!$T$2:$T$1795,$N1455),0)*INDEX('Tabela Passaro'!$S$2:$S$1795,$N1455)</f>
        <v>0</v>
      </c>
      <c r="Y1455" s="32" t="n">
        <f aca="false">INDEX('Tabela Passaro'!$U$2:$U$1795,$N1455)</f>
        <v>0</v>
      </c>
      <c r="Z1455" s="32" t="n">
        <f aca="false">INDEX('Tabela Passaro'!$V$2:$V$1795,$N1455)</f>
        <v>0</v>
      </c>
      <c r="AA1455" s="32" t="n">
        <f aca="false">SUM(R1455:Z1455)</f>
        <v>218.82486</v>
      </c>
      <c r="AB1455" s="33" t="n">
        <f aca="false">INDEX(Premissas!$B$5:$B$13,MATCH(A1455,Premissas!$A$5:$A$13,0))</f>
        <v>0.07</v>
      </c>
      <c r="AC1455" s="32" t="n">
        <f aca="false">AA1455/(1-AB1455)-AA1455</f>
        <v>16.4706883870968</v>
      </c>
      <c r="AD1455" s="32" t="n">
        <f aca="false">ROUND(AA1455+AC1455,2)</f>
        <v>235.3</v>
      </c>
      <c r="AE1455" s="32" t="n">
        <f aca="false">AD1455-L1455</f>
        <v>-141.7</v>
      </c>
      <c r="AF1455" s="34" t="n">
        <f aca="false">IF(L1455=0,0,AE1455/L1455)</f>
        <v>-0.375862068965517</v>
      </c>
      <c r="AG1455" s="22" t="str">
        <f aca="false">IF(AD1455&lt;L1455,"PASSARO","ATUAL")</f>
        <v>PASSARO</v>
      </c>
      <c r="AH1455" s="22" t="str">
        <f aca="false">IF(P1455&lt;&gt;A1455,"Faixa cadastrada como "&amp;P1455&amp;" na tabela; preço aplicado pela UF do CEP","")</f>
        <v/>
      </c>
      <c r="AI1455" s="26" t="n">
        <v>275.4</v>
      </c>
      <c r="AJ1455" s="22" t="str">
        <f aca="false">INDEX('Tabela Passaro'!$X$2:$X$1795,$N1455)</f>
        <v>INTERIOR 2</v>
      </c>
    </row>
    <row r="1456" customFormat="false" ht="15" hidden="false" customHeight="false" outlineLevel="0" collapsed="false">
      <c r="A1456" s="22" t="s">
        <v>20</v>
      </c>
      <c r="B1456" s="22" t="n">
        <v>5</v>
      </c>
      <c r="C1456" s="22" t="s">
        <v>155</v>
      </c>
      <c r="D1456" s="22" t="s">
        <v>30</v>
      </c>
      <c r="E1456" s="22" t="s">
        <v>7326</v>
      </c>
      <c r="F1456" s="22" t="n">
        <v>524485</v>
      </c>
      <c r="G1456" s="30" t="n">
        <v>46246</v>
      </c>
      <c r="H1456" s="22" t="n">
        <v>623927</v>
      </c>
      <c r="I1456" s="22" t="s">
        <v>8662</v>
      </c>
      <c r="J1456" s="31" t="n">
        <v>143.27</v>
      </c>
      <c r="K1456" s="26" t="n">
        <v>2409.98</v>
      </c>
      <c r="L1456" s="26" t="n">
        <v>526.2</v>
      </c>
      <c r="M1456" s="22" t="s">
        <v>5316</v>
      </c>
      <c r="N1456" s="22" t="n">
        <f aca="false">MATCH(M1456,'Tabela Passaro'!$A$2:$A$1795,0)</f>
        <v>1282</v>
      </c>
      <c r="O1456" s="22" t="str">
        <f aca="false">INDEX('Tabela Passaro'!$C$2:$C$1795,$N1456)</f>
        <v>PETROLINA</v>
      </c>
      <c r="P1456" s="22" t="str">
        <f aca="false">INDEX('Tabela Passaro'!$B$2:$B$1795,$N1456)</f>
        <v>PE</v>
      </c>
      <c r="Q1456" s="22" t="n">
        <f aca="false">INDEX('Tabela Passaro'!$F$2:$F$1795,$N1456)</f>
        <v>12</v>
      </c>
      <c r="R1456" s="32" t="n">
        <f aca="false">IF(J1456&lt;=10,INDEX('Tabela Passaro'!$G$2:$G$1795,$N1456),IF(J1456&lt;=30,INDEX('Tabela Passaro'!$H$2:$H$1795,$N1456),IF(J1456&lt;=50,INDEX('Tabela Passaro'!$I$2:$I$1795,$N1456),IF(J1456&lt;=70,INDEX('Tabela Passaro'!$J$2:$J$1795,$N1456),IF(J1456&lt;=100,INDEX('Tabela Passaro'!$K$2:$K$1795,$N1456),INDEX('Tabela Passaro'!$K$2:$K$1795,$N1456)+(J1456-100)*INDEX('Tabela Passaro'!$L$2:$L$1795,$N1456))))))</f>
        <v>259.2462</v>
      </c>
      <c r="S1456" s="32" t="n">
        <f aca="false">K1456*INDEX('Tabela Passaro'!$M$2:$M$1795,$N1456)</f>
        <v>12.0499</v>
      </c>
      <c r="T1456" s="32" t="n">
        <f aca="false">K1456*INDEX('Tabela Passaro'!$N$2:$N$1795,$N1456)</f>
        <v>4.81996</v>
      </c>
      <c r="U1456" s="32" t="n">
        <f aca="false">INDEX('Tabela Passaro'!$O$2:$O$1795,$N1456)</f>
        <v>5</v>
      </c>
      <c r="V1456" s="32" t="n">
        <f aca="false">ROUNDUP(J1456/INDEX('Tabela Passaro'!$Q$2:$Q$1795,$N1456),0)*INDEX('Tabela Passaro'!$P$2:$P$1795,$N1456)</f>
        <v>10</v>
      </c>
      <c r="W1456" s="32" t="n">
        <f aca="false">INDEX('Tabela Passaro'!$R$2:$R$1795,$N1456)</f>
        <v>30</v>
      </c>
      <c r="X1456" s="32" t="n">
        <f aca="false">ROUNDUP(J1456/INDEX('Tabela Passaro'!$T$2:$T$1795,$N1456),0)*INDEX('Tabela Passaro'!$S$2:$S$1795,$N1456)</f>
        <v>0</v>
      </c>
      <c r="Y1456" s="32" t="n">
        <f aca="false">INDEX('Tabela Passaro'!$U$2:$U$1795,$N1456)</f>
        <v>0</v>
      </c>
      <c r="Z1456" s="32" t="n">
        <f aca="false">INDEX('Tabela Passaro'!$V$2:$V$1795,$N1456)</f>
        <v>0</v>
      </c>
      <c r="AA1456" s="32" t="n">
        <f aca="false">SUM(R1456:Z1456)</f>
        <v>321.11606</v>
      </c>
      <c r="AB1456" s="33" t="n">
        <f aca="false">INDEX(Premissas!$B$5:$B$13,MATCH(A1456,Premissas!$A$5:$A$13,0))</f>
        <v>0.07</v>
      </c>
      <c r="AC1456" s="32" t="n">
        <f aca="false">AA1456/(1-AB1456)-AA1456</f>
        <v>24.1700260215054</v>
      </c>
      <c r="AD1456" s="32" t="n">
        <f aca="false">ROUND(AA1456+AC1456,2)</f>
        <v>345.29</v>
      </c>
      <c r="AE1456" s="32" t="n">
        <f aca="false">AD1456-L1456</f>
        <v>-180.91</v>
      </c>
      <c r="AF1456" s="34" t="n">
        <f aca="false">IF(L1456=0,0,AE1456/L1456)</f>
        <v>-0.343804637020144</v>
      </c>
      <c r="AG1456" s="22" t="str">
        <f aca="false">IF(AD1456&lt;L1456,"PASSARO","ATUAL")</f>
        <v>PASSARO</v>
      </c>
      <c r="AH1456" s="22" t="str">
        <f aca="false">IF(P1456&lt;&gt;A1456,"Faixa cadastrada como "&amp;P1456&amp;" na tabela; preço aplicado pela UF do CEP","")</f>
        <v/>
      </c>
      <c r="AI1456" s="26" t="n">
        <v>431.93</v>
      </c>
      <c r="AJ1456" s="22" t="str">
        <f aca="false">INDEX('Tabela Passaro'!$X$2:$X$1795,$N1456)</f>
        <v>INTERIOR 2</v>
      </c>
    </row>
    <row r="1457" customFormat="false" ht="15" hidden="false" customHeight="false" outlineLevel="0" collapsed="false">
      <c r="A1457" s="22" t="s">
        <v>20</v>
      </c>
      <c r="B1457" s="22" t="n">
        <v>5</v>
      </c>
      <c r="C1457" s="22" t="s">
        <v>155</v>
      </c>
      <c r="D1457" s="22" t="s">
        <v>30</v>
      </c>
      <c r="E1457" s="22" t="s">
        <v>7328</v>
      </c>
      <c r="F1457" s="22" t="n">
        <v>2312316</v>
      </c>
      <c r="G1457" s="30" t="n">
        <v>46248</v>
      </c>
      <c r="H1457" s="22" t="n">
        <v>133232</v>
      </c>
      <c r="I1457" s="22" t="s">
        <v>8663</v>
      </c>
      <c r="J1457" s="31" t="n">
        <v>51.06</v>
      </c>
      <c r="K1457" s="26" t="n">
        <v>881.93</v>
      </c>
      <c r="L1457" s="26" t="n">
        <v>258.06</v>
      </c>
      <c r="M1457" s="22" t="s">
        <v>5316</v>
      </c>
      <c r="N1457" s="22" t="n">
        <f aca="false">MATCH(M1457,'Tabela Passaro'!$A$2:$A$1795,0)</f>
        <v>1282</v>
      </c>
      <c r="O1457" s="22" t="str">
        <f aca="false">INDEX('Tabela Passaro'!$C$2:$C$1795,$N1457)</f>
        <v>PETROLINA</v>
      </c>
      <c r="P1457" s="22" t="str">
        <f aca="false">INDEX('Tabela Passaro'!$B$2:$B$1795,$N1457)</f>
        <v>PE</v>
      </c>
      <c r="Q1457" s="22" t="n">
        <f aca="false">INDEX('Tabela Passaro'!$F$2:$F$1795,$N1457)</f>
        <v>12</v>
      </c>
      <c r="R1457" s="32" t="n">
        <f aca="false">IF(J1457&lt;=10,INDEX('Tabela Passaro'!$G$2:$G$1795,$N1457),IF(J1457&lt;=30,INDEX('Tabela Passaro'!$H$2:$H$1795,$N1457),IF(J1457&lt;=50,INDEX('Tabela Passaro'!$I$2:$I$1795,$N1457),IF(J1457&lt;=70,INDEX('Tabela Passaro'!$J$2:$J$1795,$N1457),IF(J1457&lt;=100,INDEX('Tabela Passaro'!$K$2:$K$1795,$N1457),INDEX('Tabela Passaro'!$K$2:$K$1795,$N1457)+(J1457-100)*INDEX('Tabela Passaro'!$L$2:$L$1795,$N1457))))))</f>
        <v>153.58</v>
      </c>
      <c r="S1457" s="32" t="n">
        <f aca="false">K1457*INDEX('Tabela Passaro'!$M$2:$M$1795,$N1457)</f>
        <v>4.40965</v>
      </c>
      <c r="T1457" s="32" t="n">
        <f aca="false">K1457*INDEX('Tabela Passaro'!$N$2:$N$1795,$N1457)</f>
        <v>1.76386</v>
      </c>
      <c r="U1457" s="32" t="n">
        <f aca="false">INDEX('Tabela Passaro'!$O$2:$O$1795,$N1457)</f>
        <v>5</v>
      </c>
      <c r="V1457" s="32" t="n">
        <f aca="false">ROUNDUP(J1457/INDEX('Tabela Passaro'!$Q$2:$Q$1795,$N1457),0)*INDEX('Tabela Passaro'!$P$2:$P$1795,$N1457)</f>
        <v>5</v>
      </c>
      <c r="W1457" s="32" t="n">
        <f aca="false">INDEX('Tabela Passaro'!$R$2:$R$1795,$N1457)</f>
        <v>30</v>
      </c>
      <c r="X1457" s="32" t="n">
        <f aca="false">ROUNDUP(J1457/INDEX('Tabela Passaro'!$T$2:$T$1795,$N1457),0)*INDEX('Tabela Passaro'!$S$2:$S$1795,$N1457)</f>
        <v>0</v>
      </c>
      <c r="Y1457" s="32" t="n">
        <f aca="false">INDEX('Tabela Passaro'!$U$2:$U$1795,$N1457)</f>
        <v>0</v>
      </c>
      <c r="Z1457" s="32" t="n">
        <f aca="false">INDEX('Tabela Passaro'!$V$2:$V$1795,$N1457)</f>
        <v>0</v>
      </c>
      <c r="AA1457" s="32" t="n">
        <f aca="false">SUM(R1457:Z1457)</f>
        <v>199.75351</v>
      </c>
      <c r="AB1457" s="33" t="n">
        <f aca="false">INDEX(Premissas!$B$5:$B$13,MATCH(A1457,Premissas!$A$5:$A$13,0))</f>
        <v>0.07</v>
      </c>
      <c r="AC1457" s="32" t="n">
        <f aca="false">AA1457/(1-AB1457)-AA1457</f>
        <v>15.0352104301076</v>
      </c>
      <c r="AD1457" s="32" t="n">
        <f aca="false">ROUND(AA1457+AC1457,2)</f>
        <v>214.79</v>
      </c>
      <c r="AE1457" s="32" t="n">
        <f aca="false">AD1457-L1457</f>
        <v>-43.27</v>
      </c>
      <c r="AF1457" s="34" t="n">
        <f aca="false">IF(L1457=0,0,AE1457/L1457)</f>
        <v>-0.167674184298225</v>
      </c>
      <c r="AG1457" s="22" t="str">
        <f aca="false">IF(AD1457&lt;L1457,"PASSARO","ATUAL")</f>
        <v>PASSARO</v>
      </c>
      <c r="AH1457" s="22" t="str">
        <f aca="false">IF(P1457&lt;&gt;A1457,"Faixa cadastrada como "&amp;P1457&amp;" na tabela; preço aplicado pela UF do CEP","")</f>
        <v/>
      </c>
      <c r="AI1457" s="26" t="n">
        <v>240.51</v>
      </c>
      <c r="AJ1457" s="22" t="str">
        <f aca="false">INDEX('Tabela Passaro'!$X$2:$X$1795,$N1457)</f>
        <v>INTERIOR 2</v>
      </c>
    </row>
    <row r="1458" customFormat="false" ht="15" hidden="false" customHeight="false" outlineLevel="0" collapsed="false">
      <c r="A1458" s="22" t="s">
        <v>20</v>
      </c>
      <c r="B1458" s="22" t="n">
        <v>5</v>
      </c>
      <c r="C1458" s="22" t="s">
        <v>155</v>
      </c>
      <c r="D1458" s="22" t="s">
        <v>30</v>
      </c>
      <c r="E1458" s="22" t="s">
        <v>7328</v>
      </c>
      <c r="F1458" s="22" t="n">
        <v>2312421</v>
      </c>
      <c r="G1458" s="30" t="n">
        <v>46248</v>
      </c>
      <c r="H1458" s="22" t="n">
        <v>133318</v>
      </c>
      <c r="I1458" s="22" t="s">
        <v>8656</v>
      </c>
      <c r="J1458" s="31" t="n">
        <v>59.88</v>
      </c>
      <c r="K1458" s="26" t="n">
        <v>948.39</v>
      </c>
      <c r="L1458" s="26" t="n">
        <v>258.59</v>
      </c>
      <c r="M1458" s="22" t="s">
        <v>5316</v>
      </c>
      <c r="N1458" s="22" t="n">
        <f aca="false">MATCH(M1458,'Tabela Passaro'!$A$2:$A$1795,0)</f>
        <v>1282</v>
      </c>
      <c r="O1458" s="22" t="str">
        <f aca="false">INDEX('Tabela Passaro'!$C$2:$C$1795,$N1458)</f>
        <v>PETROLINA</v>
      </c>
      <c r="P1458" s="22" t="str">
        <f aca="false">INDEX('Tabela Passaro'!$B$2:$B$1795,$N1458)</f>
        <v>PE</v>
      </c>
      <c r="Q1458" s="22" t="n">
        <f aca="false">INDEX('Tabela Passaro'!$F$2:$F$1795,$N1458)</f>
        <v>12</v>
      </c>
      <c r="R1458" s="32" t="n">
        <f aca="false">IF(J1458&lt;=10,INDEX('Tabela Passaro'!$G$2:$G$1795,$N1458),IF(J1458&lt;=30,INDEX('Tabela Passaro'!$H$2:$H$1795,$N1458),IF(J1458&lt;=50,INDEX('Tabela Passaro'!$I$2:$I$1795,$N1458),IF(J1458&lt;=70,INDEX('Tabela Passaro'!$J$2:$J$1795,$N1458),IF(J1458&lt;=100,INDEX('Tabela Passaro'!$K$2:$K$1795,$N1458),INDEX('Tabela Passaro'!$K$2:$K$1795,$N1458)+(J1458-100)*INDEX('Tabela Passaro'!$L$2:$L$1795,$N1458))))))</f>
        <v>153.58</v>
      </c>
      <c r="S1458" s="32" t="n">
        <f aca="false">K1458*INDEX('Tabela Passaro'!$M$2:$M$1795,$N1458)</f>
        <v>4.74195</v>
      </c>
      <c r="T1458" s="32" t="n">
        <f aca="false">K1458*INDEX('Tabela Passaro'!$N$2:$N$1795,$N1458)</f>
        <v>1.89678</v>
      </c>
      <c r="U1458" s="32" t="n">
        <f aca="false">INDEX('Tabela Passaro'!$O$2:$O$1795,$N1458)</f>
        <v>5</v>
      </c>
      <c r="V1458" s="32" t="n">
        <f aca="false">ROUNDUP(J1458/INDEX('Tabela Passaro'!$Q$2:$Q$1795,$N1458),0)*INDEX('Tabela Passaro'!$P$2:$P$1795,$N1458)</f>
        <v>5</v>
      </c>
      <c r="W1458" s="32" t="n">
        <f aca="false">INDEX('Tabela Passaro'!$R$2:$R$1795,$N1458)</f>
        <v>30</v>
      </c>
      <c r="X1458" s="32" t="n">
        <f aca="false">ROUNDUP(J1458/INDEX('Tabela Passaro'!$T$2:$T$1795,$N1458),0)*INDEX('Tabela Passaro'!$S$2:$S$1795,$N1458)</f>
        <v>0</v>
      </c>
      <c r="Y1458" s="32" t="n">
        <f aca="false">INDEX('Tabela Passaro'!$U$2:$U$1795,$N1458)</f>
        <v>0</v>
      </c>
      <c r="Z1458" s="32" t="n">
        <f aca="false">INDEX('Tabela Passaro'!$V$2:$V$1795,$N1458)</f>
        <v>0</v>
      </c>
      <c r="AA1458" s="32" t="n">
        <f aca="false">SUM(R1458:Z1458)</f>
        <v>200.21873</v>
      </c>
      <c r="AB1458" s="33" t="n">
        <f aca="false">INDEX(Premissas!$B$5:$B$13,MATCH(A1458,Premissas!$A$5:$A$13,0))</f>
        <v>0.07</v>
      </c>
      <c r="AC1458" s="32" t="n">
        <f aca="false">AA1458/(1-AB1458)-AA1458</f>
        <v>15.0702269892473</v>
      </c>
      <c r="AD1458" s="32" t="n">
        <f aca="false">ROUND(AA1458+AC1458,2)</f>
        <v>215.29</v>
      </c>
      <c r="AE1458" s="32" t="n">
        <f aca="false">AD1458-L1458</f>
        <v>-43.3</v>
      </c>
      <c r="AF1458" s="34" t="n">
        <f aca="false">IF(L1458=0,0,AE1458/L1458)</f>
        <v>-0.167446536989056</v>
      </c>
      <c r="AG1458" s="22" t="str">
        <f aca="false">IF(AD1458&lt;L1458,"PASSARO","ATUAL")</f>
        <v>PASSARO</v>
      </c>
      <c r="AH1458" s="22" t="str">
        <f aca="false">IF(P1458&lt;&gt;A1458,"Faixa cadastrada como "&amp;P1458&amp;" na tabela; preço aplicado pela UF do CEP","")</f>
        <v/>
      </c>
      <c r="AI1458" s="26" t="n">
        <v>245.03</v>
      </c>
      <c r="AJ1458" s="22" t="str">
        <f aca="false">INDEX('Tabela Passaro'!$X$2:$X$1795,$N1458)</f>
        <v>INTERIOR 2</v>
      </c>
    </row>
    <row r="1459" customFormat="false" ht="15" hidden="false" customHeight="false" outlineLevel="0" collapsed="false">
      <c r="A1459" s="22" t="s">
        <v>20</v>
      </c>
      <c r="B1459" s="22" t="n">
        <v>5</v>
      </c>
      <c r="C1459" s="22" t="s">
        <v>155</v>
      </c>
      <c r="D1459" s="22" t="s">
        <v>30</v>
      </c>
      <c r="E1459" s="22" t="s">
        <v>7326</v>
      </c>
      <c r="F1459" s="22" t="n">
        <v>525034</v>
      </c>
      <c r="G1459" s="30" t="n">
        <v>46248</v>
      </c>
      <c r="H1459" s="22" t="n">
        <v>624805</v>
      </c>
      <c r="I1459" s="22" t="s">
        <v>8664</v>
      </c>
      <c r="J1459" s="31" t="n">
        <v>33</v>
      </c>
      <c r="K1459" s="26" t="n">
        <v>759.98</v>
      </c>
      <c r="L1459" s="26" t="n">
        <v>223.14</v>
      </c>
      <c r="M1459" s="22" t="s">
        <v>5316</v>
      </c>
      <c r="N1459" s="22" t="n">
        <f aca="false">MATCH(M1459,'Tabela Passaro'!$A$2:$A$1795,0)</f>
        <v>1282</v>
      </c>
      <c r="O1459" s="22" t="str">
        <f aca="false">INDEX('Tabela Passaro'!$C$2:$C$1795,$N1459)</f>
        <v>PETROLINA</v>
      </c>
      <c r="P1459" s="22" t="str">
        <f aca="false">INDEX('Tabela Passaro'!$B$2:$B$1795,$N1459)</f>
        <v>PE</v>
      </c>
      <c r="Q1459" s="22" t="n">
        <f aca="false">INDEX('Tabela Passaro'!$F$2:$F$1795,$N1459)</f>
        <v>12</v>
      </c>
      <c r="R1459" s="32" t="n">
        <f aca="false">IF(J1459&lt;=10,INDEX('Tabela Passaro'!$G$2:$G$1795,$N1459),IF(J1459&lt;=30,INDEX('Tabela Passaro'!$H$2:$H$1795,$N1459),IF(J1459&lt;=50,INDEX('Tabela Passaro'!$I$2:$I$1795,$N1459),IF(J1459&lt;=70,INDEX('Tabela Passaro'!$J$2:$J$1795,$N1459),IF(J1459&lt;=100,INDEX('Tabela Passaro'!$K$2:$K$1795,$N1459),INDEX('Tabela Passaro'!$K$2:$K$1795,$N1459)+(J1459-100)*INDEX('Tabela Passaro'!$L$2:$L$1795,$N1459))))))</f>
        <v>142.56</v>
      </c>
      <c r="S1459" s="32" t="n">
        <f aca="false">K1459*INDEX('Tabela Passaro'!$M$2:$M$1795,$N1459)</f>
        <v>3.7999</v>
      </c>
      <c r="T1459" s="32" t="n">
        <f aca="false">K1459*INDEX('Tabela Passaro'!$N$2:$N$1795,$N1459)</f>
        <v>1.51996</v>
      </c>
      <c r="U1459" s="32" t="n">
        <f aca="false">INDEX('Tabela Passaro'!$O$2:$O$1795,$N1459)</f>
        <v>5</v>
      </c>
      <c r="V1459" s="32" t="n">
        <f aca="false">ROUNDUP(J1459/INDEX('Tabela Passaro'!$Q$2:$Q$1795,$N1459),0)*INDEX('Tabela Passaro'!$P$2:$P$1795,$N1459)</f>
        <v>5</v>
      </c>
      <c r="W1459" s="32" t="n">
        <f aca="false">INDEX('Tabela Passaro'!$R$2:$R$1795,$N1459)</f>
        <v>30</v>
      </c>
      <c r="X1459" s="32" t="n">
        <f aca="false">ROUNDUP(J1459/INDEX('Tabela Passaro'!$T$2:$T$1795,$N1459),0)*INDEX('Tabela Passaro'!$S$2:$S$1795,$N1459)</f>
        <v>0</v>
      </c>
      <c r="Y1459" s="32" t="n">
        <f aca="false">INDEX('Tabela Passaro'!$U$2:$U$1795,$N1459)</f>
        <v>0</v>
      </c>
      <c r="Z1459" s="32" t="n">
        <f aca="false">INDEX('Tabela Passaro'!$V$2:$V$1795,$N1459)</f>
        <v>0</v>
      </c>
      <c r="AA1459" s="32" t="n">
        <f aca="false">SUM(R1459:Z1459)</f>
        <v>187.87986</v>
      </c>
      <c r="AB1459" s="33" t="n">
        <f aca="false">INDEX(Premissas!$B$5:$B$13,MATCH(A1459,Premissas!$A$5:$A$13,0))</f>
        <v>0.07</v>
      </c>
      <c r="AC1459" s="32" t="n">
        <f aca="false">AA1459/(1-AB1459)-AA1459</f>
        <v>14.1414948387097</v>
      </c>
      <c r="AD1459" s="32" t="n">
        <f aca="false">ROUND(AA1459+AC1459,2)</f>
        <v>202.02</v>
      </c>
      <c r="AE1459" s="32" t="n">
        <f aca="false">AD1459-L1459</f>
        <v>-21.12</v>
      </c>
      <c r="AF1459" s="34" t="n">
        <f aca="false">IF(L1459=0,0,AE1459/L1459)</f>
        <v>-0.0946490992202204</v>
      </c>
      <c r="AG1459" s="22" t="str">
        <f aca="false">IF(AD1459&lt;L1459,"PASSARO","ATUAL")</f>
        <v>PASSARO</v>
      </c>
      <c r="AH1459" s="22" t="str">
        <f aca="false">IF(P1459&lt;&gt;A1459,"Faixa cadastrada como "&amp;P1459&amp;" na tabela; preço aplicado pela UF do CEP","")</f>
        <v/>
      </c>
      <c r="AI1459" s="26" t="n">
        <v>217.62</v>
      </c>
      <c r="AJ1459" s="22" t="str">
        <f aca="false">INDEX('Tabela Passaro'!$X$2:$X$1795,$N1459)</f>
        <v>INTERIOR 2</v>
      </c>
    </row>
    <row r="1460" customFormat="false" ht="15" hidden="false" customHeight="false" outlineLevel="0" collapsed="false">
      <c r="A1460" s="22" t="s">
        <v>20</v>
      </c>
      <c r="B1460" s="22" t="n">
        <v>5</v>
      </c>
      <c r="C1460" s="22" t="s">
        <v>155</v>
      </c>
      <c r="D1460" s="22" t="s">
        <v>30</v>
      </c>
      <c r="E1460" s="22" t="s">
        <v>7326</v>
      </c>
      <c r="F1460" s="22" t="n">
        <v>525721</v>
      </c>
      <c r="G1460" s="30" t="n">
        <v>46252</v>
      </c>
      <c r="H1460" s="22" t="n">
        <v>626339</v>
      </c>
      <c r="I1460" s="22" t="s">
        <v>8665</v>
      </c>
      <c r="J1460" s="31" t="n">
        <v>66.4</v>
      </c>
      <c r="K1460" s="26" t="n">
        <v>1055.97</v>
      </c>
      <c r="L1460" s="26" t="n">
        <v>298.26</v>
      </c>
      <c r="M1460" s="22" t="s">
        <v>5316</v>
      </c>
      <c r="N1460" s="22" t="n">
        <f aca="false">MATCH(M1460,'Tabela Passaro'!$A$2:$A$1795,0)</f>
        <v>1282</v>
      </c>
      <c r="O1460" s="22" t="str">
        <f aca="false">INDEX('Tabela Passaro'!$C$2:$C$1795,$N1460)</f>
        <v>PETROLINA</v>
      </c>
      <c r="P1460" s="22" t="str">
        <f aca="false">INDEX('Tabela Passaro'!$B$2:$B$1795,$N1460)</f>
        <v>PE</v>
      </c>
      <c r="Q1460" s="22" t="n">
        <f aca="false">INDEX('Tabela Passaro'!$F$2:$F$1795,$N1460)</f>
        <v>12</v>
      </c>
      <c r="R1460" s="32" t="n">
        <f aca="false">IF(J1460&lt;=10,INDEX('Tabela Passaro'!$G$2:$G$1795,$N1460),IF(J1460&lt;=30,INDEX('Tabela Passaro'!$H$2:$H$1795,$N1460),IF(J1460&lt;=50,INDEX('Tabela Passaro'!$I$2:$I$1795,$N1460),IF(J1460&lt;=70,INDEX('Tabela Passaro'!$J$2:$J$1795,$N1460),IF(J1460&lt;=100,INDEX('Tabela Passaro'!$K$2:$K$1795,$N1460),INDEX('Tabela Passaro'!$K$2:$K$1795,$N1460)+(J1460-100)*INDEX('Tabela Passaro'!$L$2:$L$1795,$N1460))))))</f>
        <v>153.58</v>
      </c>
      <c r="S1460" s="32" t="n">
        <f aca="false">K1460*INDEX('Tabela Passaro'!$M$2:$M$1795,$N1460)</f>
        <v>5.27985</v>
      </c>
      <c r="T1460" s="32" t="n">
        <f aca="false">K1460*INDEX('Tabela Passaro'!$N$2:$N$1795,$N1460)</f>
        <v>2.11194</v>
      </c>
      <c r="U1460" s="32" t="n">
        <f aca="false">INDEX('Tabela Passaro'!$O$2:$O$1795,$N1460)</f>
        <v>5</v>
      </c>
      <c r="V1460" s="32" t="n">
        <f aca="false">ROUNDUP(J1460/INDEX('Tabela Passaro'!$Q$2:$Q$1795,$N1460),0)*INDEX('Tabela Passaro'!$P$2:$P$1795,$N1460)</f>
        <v>5</v>
      </c>
      <c r="W1460" s="32" t="n">
        <f aca="false">INDEX('Tabela Passaro'!$R$2:$R$1795,$N1460)</f>
        <v>30</v>
      </c>
      <c r="X1460" s="32" t="n">
        <f aca="false">ROUNDUP(J1460/INDEX('Tabela Passaro'!$T$2:$T$1795,$N1460),0)*INDEX('Tabela Passaro'!$S$2:$S$1795,$N1460)</f>
        <v>0</v>
      </c>
      <c r="Y1460" s="32" t="n">
        <f aca="false">INDEX('Tabela Passaro'!$U$2:$U$1795,$N1460)</f>
        <v>0</v>
      </c>
      <c r="Z1460" s="32" t="n">
        <f aca="false">INDEX('Tabela Passaro'!$V$2:$V$1795,$N1460)</f>
        <v>0</v>
      </c>
      <c r="AA1460" s="32" t="n">
        <f aca="false">SUM(R1460:Z1460)</f>
        <v>200.97179</v>
      </c>
      <c r="AB1460" s="33" t="n">
        <f aca="false">INDEX(Premissas!$B$5:$B$13,MATCH(A1460,Premissas!$A$5:$A$13,0))</f>
        <v>0.07</v>
      </c>
      <c r="AC1460" s="32" t="n">
        <f aca="false">AA1460/(1-AB1460)-AA1460</f>
        <v>15.1269089247312</v>
      </c>
      <c r="AD1460" s="32" t="n">
        <f aca="false">ROUND(AA1460+AC1460,2)</f>
        <v>216.1</v>
      </c>
      <c r="AE1460" s="32" t="n">
        <f aca="false">AD1460-L1460</f>
        <v>-82.16</v>
      </c>
      <c r="AF1460" s="34" t="n">
        <f aca="false">IF(L1460=0,0,AE1460/L1460)</f>
        <v>-0.275464359954402</v>
      </c>
      <c r="AG1460" s="22" t="str">
        <f aca="false">IF(AD1460&lt;L1460,"PASSARO","ATUAL")</f>
        <v>PASSARO</v>
      </c>
      <c r="AH1460" s="22" t="str">
        <f aca="false">IF(P1460&lt;&gt;A1460,"Faixa cadastrada como "&amp;P1460&amp;" na tabela; preço aplicado pela UF do CEP","")</f>
        <v/>
      </c>
      <c r="AI1460" s="26" t="n">
        <v>249.46</v>
      </c>
      <c r="AJ1460" s="22" t="str">
        <f aca="false">INDEX('Tabela Passaro'!$X$2:$X$1795,$N1460)</f>
        <v>INTERIOR 2</v>
      </c>
    </row>
    <row r="1461" customFormat="false" ht="15" hidden="false" customHeight="false" outlineLevel="0" collapsed="false">
      <c r="A1461" s="22" t="s">
        <v>20</v>
      </c>
      <c r="B1461" s="22" t="n">
        <v>5</v>
      </c>
      <c r="C1461" s="22" t="s">
        <v>155</v>
      </c>
      <c r="D1461" s="22" t="s">
        <v>30</v>
      </c>
      <c r="E1461" s="22" t="s">
        <v>7326</v>
      </c>
      <c r="F1461" s="22" t="n">
        <v>526159</v>
      </c>
      <c r="G1461" s="30" t="n">
        <v>46253</v>
      </c>
      <c r="H1461" s="22" t="n">
        <v>627344</v>
      </c>
      <c r="I1461" s="22" t="s">
        <v>8666</v>
      </c>
      <c r="J1461" s="31" t="n">
        <v>39.4</v>
      </c>
      <c r="K1461" s="26" t="n">
        <v>839.28</v>
      </c>
      <c r="L1461" s="26" t="n">
        <v>223.82</v>
      </c>
      <c r="M1461" s="22" t="s">
        <v>5316</v>
      </c>
      <c r="N1461" s="22" t="n">
        <f aca="false">MATCH(M1461,'Tabela Passaro'!$A$2:$A$1795,0)</f>
        <v>1282</v>
      </c>
      <c r="O1461" s="22" t="str">
        <f aca="false">INDEX('Tabela Passaro'!$C$2:$C$1795,$N1461)</f>
        <v>PETROLINA</v>
      </c>
      <c r="P1461" s="22" t="str">
        <f aca="false">INDEX('Tabela Passaro'!$B$2:$B$1795,$N1461)</f>
        <v>PE</v>
      </c>
      <c r="Q1461" s="22" t="n">
        <f aca="false">INDEX('Tabela Passaro'!$F$2:$F$1795,$N1461)</f>
        <v>12</v>
      </c>
      <c r="R1461" s="32" t="n">
        <f aca="false">IF(J1461&lt;=10,INDEX('Tabela Passaro'!$G$2:$G$1795,$N1461),IF(J1461&lt;=30,INDEX('Tabela Passaro'!$H$2:$H$1795,$N1461),IF(J1461&lt;=50,INDEX('Tabela Passaro'!$I$2:$I$1795,$N1461),IF(J1461&lt;=70,INDEX('Tabela Passaro'!$J$2:$J$1795,$N1461),IF(J1461&lt;=100,INDEX('Tabela Passaro'!$K$2:$K$1795,$N1461),INDEX('Tabela Passaro'!$K$2:$K$1795,$N1461)+(J1461-100)*INDEX('Tabela Passaro'!$L$2:$L$1795,$N1461))))))</f>
        <v>142.56</v>
      </c>
      <c r="S1461" s="32" t="n">
        <f aca="false">K1461*INDEX('Tabela Passaro'!$M$2:$M$1795,$N1461)</f>
        <v>4.1964</v>
      </c>
      <c r="T1461" s="32" t="n">
        <f aca="false">K1461*INDEX('Tabela Passaro'!$N$2:$N$1795,$N1461)</f>
        <v>1.67856</v>
      </c>
      <c r="U1461" s="32" t="n">
        <f aca="false">INDEX('Tabela Passaro'!$O$2:$O$1795,$N1461)</f>
        <v>5</v>
      </c>
      <c r="V1461" s="32" t="n">
        <f aca="false">ROUNDUP(J1461/INDEX('Tabela Passaro'!$Q$2:$Q$1795,$N1461),0)*INDEX('Tabela Passaro'!$P$2:$P$1795,$N1461)</f>
        <v>5</v>
      </c>
      <c r="W1461" s="32" t="n">
        <f aca="false">INDEX('Tabela Passaro'!$R$2:$R$1795,$N1461)</f>
        <v>30</v>
      </c>
      <c r="X1461" s="32" t="n">
        <f aca="false">ROUNDUP(J1461/INDEX('Tabela Passaro'!$T$2:$T$1795,$N1461),0)*INDEX('Tabela Passaro'!$S$2:$S$1795,$N1461)</f>
        <v>0</v>
      </c>
      <c r="Y1461" s="32" t="n">
        <f aca="false">INDEX('Tabela Passaro'!$U$2:$U$1795,$N1461)</f>
        <v>0</v>
      </c>
      <c r="Z1461" s="32" t="n">
        <f aca="false">INDEX('Tabela Passaro'!$V$2:$V$1795,$N1461)</f>
        <v>0</v>
      </c>
      <c r="AA1461" s="32" t="n">
        <f aca="false">SUM(R1461:Z1461)</f>
        <v>188.43496</v>
      </c>
      <c r="AB1461" s="33" t="n">
        <f aca="false">INDEX(Premissas!$B$5:$B$13,MATCH(A1461,Premissas!$A$5:$A$13,0))</f>
        <v>0.07</v>
      </c>
      <c r="AC1461" s="32" t="n">
        <f aca="false">AA1461/(1-AB1461)-AA1461</f>
        <v>14.1832765591398</v>
      </c>
      <c r="AD1461" s="32" t="n">
        <f aca="false">ROUND(AA1461+AC1461,2)</f>
        <v>202.62</v>
      </c>
      <c r="AE1461" s="32" t="n">
        <f aca="false">AD1461-L1461</f>
        <v>-21.2</v>
      </c>
      <c r="AF1461" s="34" t="n">
        <f aca="false">IF(L1461=0,0,AE1461/L1461)</f>
        <v>-0.0947189706013761</v>
      </c>
      <c r="AG1461" s="22" t="str">
        <f aca="false">IF(AD1461&lt;L1461,"PASSARO","ATUAL")</f>
        <v>PASSARO</v>
      </c>
      <c r="AH1461" s="22" t="str">
        <f aca="false">IF(P1461&lt;&gt;A1461,"Faixa cadastrada como "&amp;P1461&amp;" na tabela; preço aplicado pela UF do CEP","")</f>
        <v/>
      </c>
      <c r="AI1461" s="26" t="n">
        <v>221.78</v>
      </c>
      <c r="AJ1461" s="22" t="str">
        <f aca="false">INDEX('Tabela Passaro'!$X$2:$X$1795,$N1461)</f>
        <v>INTERIOR 2</v>
      </c>
    </row>
    <row r="1462" customFormat="false" ht="15" hidden="false" customHeight="false" outlineLevel="0" collapsed="false">
      <c r="A1462" s="22" t="s">
        <v>20</v>
      </c>
      <c r="B1462" s="22" t="n">
        <v>5</v>
      </c>
      <c r="C1462" s="22" t="s">
        <v>155</v>
      </c>
      <c r="D1462" s="22" t="s">
        <v>30</v>
      </c>
      <c r="E1462" s="22" t="s">
        <v>7328</v>
      </c>
      <c r="F1462" s="22" t="n">
        <v>2314419</v>
      </c>
      <c r="G1462" s="30" t="n">
        <v>46254</v>
      </c>
      <c r="H1462" s="22" t="n">
        <v>134081</v>
      </c>
      <c r="I1462" s="22" t="s">
        <v>8664</v>
      </c>
      <c r="J1462" s="31" t="n">
        <v>27.4</v>
      </c>
      <c r="K1462" s="26" t="n">
        <v>679.98</v>
      </c>
      <c r="L1462" s="26" t="n">
        <v>146.75</v>
      </c>
      <c r="M1462" s="22" t="s">
        <v>5316</v>
      </c>
      <c r="N1462" s="22" t="n">
        <f aca="false">MATCH(M1462,'Tabela Passaro'!$A$2:$A$1795,0)</f>
        <v>1282</v>
      </c>
      <c r="O1462" s="22" t="str">
        <f aca="false">INDEX('Tabela Passaro'!$C$2:$C$1795,$N1462)</f>
        <v>PETROLINA</v>
      </c>
      <c r="P1462" s="22" t="str">
        <f aca="false">INDEX('Tabela Passaro'!$B$2:$B$1795,$N1462)</f>
        <v>PE</v>
      </c>
      <c r="Q1462" s="22" t="n">
        <f aca="false">INDEX('Tabela Passaro'!$F$2:$F$1795,$N1462)</f>
        <v>12</v>
      </c>
      <c r="R1462" s="32" t="n">
        <f aca="false">IF(J1462&lt;=10,INDEX('Tabela Passaro'!$G$2:$G$1795,$N1462),IF(J1462&lt;=30,INDEX('Tabela Passaro'!$H$2:$H$1795,$N1462),IF(J1462&lt;=50,INDEX('Tabela Passaro'!$I$2:$I$1795,$N1462),IF(J1462&lt;=70,INDEX('Tabela Passaro'!$J$2:$J$1795,$N1462),IF(J1462&lt;=100,INDEX('Tabela Passaro'!$K$2:$K$1795,$N1462),INDEX('Tabela Passaro'!$K$2:$K$1795,$N1462)+(J1462-100)*INDEX('Tabela Passaro'!$L$2:$L$1795,$N1462))))))</f>
        <v>120.52</v>
      </c>
      <c r="S1462" s="32" t="n">
        <f aca="false">K1462*INDEX('Tabela Passaro'!$M$2:$M$1795,$N1462)</f>
        <v>3.3999</v>
      </c>
      <c r="T1462" s="32" t="n">
        <f aca="false">K1462*INDEX('Tabela Passaro'!$N$2:$N$1795,$N1462)</f>
        <v>1.35996</v>
      </c>
      <c r="U1462" s="32" t="n">
        <f aca="false">INDEX('Tabela Passaro'!$O$2:$O$1795,$N1462)</f>
        <v>5</v>
      </c>
      <c r="V1462" s="32" t="n">
        <f aca="false">ROUNDUP(J1462/INDEX('Tabela Passaro'!$Q$2:$Q$1795,$N1462),0)*INDEX('Tabela Passaro'!$P$2:$P$1795,$N1462)</f>
        <v>5</v>
      </c>
      <c r="W1462" s="32" t="n">
        <f aca="false">INDEX('Tabela Passaro'!$R$2:$R$1795,$N1462)</f>
        <v>30</v>
      </c>
      <c r="X1462" s="32" t="n">
        <f aca="false">ROUNDUP(J1462/INDEX('Tabela Passaro'!$T$2:$T$1795,$N1462),0)*INDEX('Tabela Passaro'!$S$2:$S$1795,$N1462)</f>
        <v>0</v>
      </c>
      <c r="Y1462" s="32" t="n">
        <f aca="false">INDEX('Tabela Passaro'!$U$2:$U$1795,$N1462)</f>
        <v>0</v>
      </c>
      <c r="Z1462" s="32" t="n">
        <f aca="false">INDEX('Tabela Passaro'!$V$2:$V$1795,$N1462)</f>
        <v>0</v>
      </c>
      <c r="AA1462" s="32" t="n">
        <f aca="false">SUM(R1462:Z1462)</f>
        <v>165.27986</v>
      </c>
      <c r="AB1462" s="33" t="n">
        <f aca="false">INDEX(Premissas!$B$5:$B$13,MATCH(A1462,Premissas!$A$5:$A$13,0))</f>
        <v>0.07</v>
      </c>
      <c r="AC1462" s="32" t="n">
        <f aca="false">AA1462/(1-AB1462)-AA1462</f>
        <v>12.4404195698925</v>
      </c>
      <c r="AD1462" s="32" t="n">
        <f aca="false">ROUND(AA1462+AC1462,2)</f>
        <v>177.72</v>
      </c>
      <c r="AE1462" s="32" t="n">
        <f aca="false">AD1462-L1462</f>
        <v>30.97</v>
      </c>
      <c r="AF1462" s="34" t="n">
        <f aca="false">IF(L1462=0,0,AE1462/L1462)</f>
        <v>0.211039182282794</v>
      </c>
      <c r="AG1462" s="22" t="str">
        <f aca="false">IF(AD1462&lt;L1462,"PASSARO","ATUAL")</f>
        <v>ATUAL</v>
      </c>
      <c r="AH1462" s="22" t="str">
        <f aca="false">IF(P1462&lt;&gt;A1462,"Faixa cadastrada como "&amp;P1462&amp;" na tabela; preço aplicado pela UF do CEP","")</f>
        <v/>
      </c>
      <c r="AI1462" s="26" t="n">
        <v>189.38</v>
      </c>
      <c r="AJ1462" s="22" t="str">
        <f aca="false">INDEX('Tabela Passaro'!$X$2:$X$1795,$N1462)</f>
        <v>INTERIOR 2</v>
      </c>
    </row>
    <row r="1463" customFormat="false" ht="15" hidden="false" customHeight="false" outlineLevel="0" collapsed="false">
      <c r="A1463" s="22" t="s">
        <v>20</v>
      </c>
      <c r="B1463" s="22" t="n">
        <v>5</v>
      </c>
      <c r="C1463" s="22" t="s">
        <v>155</v>
      </c>
      <c r="D1463" s="22" t="s">
        <v>30</v>
      </c>
      <c r="E1463" s="22" t="s">
        <v>20</v>
      </c>
      <c r="F1463" s="22" t="n">
        <v>839840</v>
      </c>
      <c r="G1463" s="30" t="n">
        <v>46255</v>
      </c>
      <c r="H1463" s="22" t="n">
        <v>32591</v>
      </c>
      <c r="I1463" s="22" t="s">
        <v>8667</v>
      </c>
      <c r="J1463" s="31" t="n">
        <v>34.1</v>
      </c>
      <c r="K1463" s="26" t="n">
        <v>528.47</v>
      </c>
      <c r="L1463" s="26" t="n">
        <v>143.44</v>
      </c>
      <c r="M1463" s="22" t="s">
        <v>5316</v>
      </c>
      <c r="N1463" s="22" t="n">
        <f aca="false">MATCH(M1463,'Tabela Passaro'!$A$2:$A$1795,0)</f>
        <v>1282</v>
      </c>
      <c r="O1463" s="22" t="str">
        <f aca="false">INDEX('Tabela Passaro'!$C$2:$C$1795,$N1463)</f>
        <v>PETROLINA</v>
      </c>
      <c r="P1463" s="22" t="str">
        <f aca="false">INDEX('Tabela Passaro'!$B$2:$B$1795,$N1463)</f>
        <v>PE</v>
      </c>
      <c r="Q1463" s="22" t="n">
        <f aca="false">INDEX('Tabela Passaro'!$F$2:$F$1795,$N1463)</f>
        <v>12</v>
      </c>
      <c r="R1463" s="32" t="n">
        <f aca="false">IF(J1463&lt;=10,INDEX('Tabela Passaro'!$G$2:$G$1795,$N1463),IF(J1463&lt;=30,INDEX('Tabela Passaro'!$H$2:$H$1795,$N1463),IF(J1463&lt;=50,INDEX('Tabela Passaro'!$I$2:$I$1795,$N1463),IF(J1463&lt;=70,INDEX('Tabela Passaro'!$J$2:$J$1795,$N1463),IF(J1463&lt;=100,INDEX('Tabela Passaro'!$K$2:$K$1795,$N1463),INDEX('Tabela Passaro'!$K$2:$K$1795,$N1463)+(J1463-100)*INDEX('Tabela Passaro'!$L$2:$L$1795,$N1463))))))</f>
        <v>142.56</v>
      </c>
      <c r="S1463" s="32" t="n">
        <f aca="false">K1463*INDEX('Tabela Passaro'!$M$2:$M$1795,$N1463)</f>
        <v>2.64235</v>
      </c>
      <c r="T1463" s="32" t="n">
        <f aca="false">K1463*INDEX('Tabela Passaro'!$N$2:$N$1795,$N1463)</f>
        <v>1.05694</v>
      </c>
      <c r="U1463" s="32" t="n">
        <f aca="false">INDEX('Tabela Passaro'!$O$2:$O$1795,$N1463)</f>
        <v>5</v>
      </c>
      <c r="V1463" s="32" t="n">
        <f aca="false">ROUNDUP(J1463/INDEX('Tabela Passaro'!$Q$2:$Q$1795,$N1463),0)*INDEX('Tabela Passaro'!$P$2:$P$1795,$N1463)</f>
        <v>5</v>
      </c>
      <c r="W1463" s="32" t="n">
        <f aca="false">INDEX('Tabela Passaro'!$R$2:$R$1795,$N1463)</f>
        <v>30</v>
      </c>
      <c r="X1463" s="32" t="n">
        <f aca="false">ROUNDUP(J1463/INDEX('Tabela Passaro'!$T$2:$T$1795,$N1463),0)*INDEX('Tabela Passaro'!$S$2:$S$1795,$N1463)</f>
        <v>0</v>
      </c>
      <c r="Y1463" s="32" t="n">
        <f aca="false">INDEX('Tabela Passaro'!$U$2:$U$1795,$N1463)</f>
        <v>0</v>
      </c>
      <c r="Z1463" s="32" t="n">
        <f aca="false">INDEX('Tabela Passaro'!$V$2:$V$1795,$N1463)</f>
        <v>0</v>
      </c>
      <c r="AA1463" s="32" t="n">
        <f aca="false">SUM(R1463:Z1463)</f>
        <v>186.25929</v>
      </c>
      <c r="AB1463" s="33" t="n">
        <f aca="false">INDEX(Premissas!$B$5:$B$13,MATCH(A1463,Premissas!$A$5:$A$13,0))</f>
        <v>0.07</v>
      </c>
      <c r="AC1463" s="32" t="n">
        <f aca="false">AA1463/(1-AB1463)-AA1463</f>
        <v>14.0195164516129</v>
      </c>
      <c r="AD1463" s="32" t="n">
        <f aca="false">ROUND(AA1463+AC1463,2)</f>
        <v>200.28</v>
      </c>
      <c r="AE1463" s="32" t="n">
        <f aca="false">AD1463-L1463</f>
        <v>56.84</v>
      </c>
      <c r="AF1463" s="34" t="n">
        <f aca="false">IF(L1463=0,0,AE1463/L1463)</f>
        <v>0.396263245956498</v>
      </c>
      <c r="AG1463" s="22" t="str">
        <f aca="false">IF(AD1463&lt;L1463,"PASSARO","ATUAL")</f>
        <v>ATUAL</v>
      </c>
      <c r="AH1463" s="22" t="str">
        <f aca="false">IF(P1463&lt;&gt;A1463,"Faixa cadastrada como "&amp;P1463&amp;" na tabela; preço aplicado pela UF do CEP","")</f>
        <v/>
      </c>
      <c r="AI1463" s="26" t="n">
        <v>216.35</v>
      </c>
      <c r="AJ1463" s="22" t="str">
        <f aca="false">INDEX('Tabela Passaro'!$X$2:$X$1795,$N1463)</f>
        <v>INTERIOR 2</v>
      </c>
    </row>
    <row r="1464" customFormat="false" ht="15" hidden="false" customHeight="false" outlineLevel="0" collapsed="false">
      <c r="A1464" s="22" t="s">
        <v>20</v>
      </c>
      <c r="B1464" s="22" t="n">
        <v>5</v>
      </c>
      <c r="C1464" s="22" t="s">
        <v>155</v>
      </c>
      <c r="D1464" s="22" t="s">
        <v>30</v>
      </c>
      <c r="E1464" s="22" t="s">
        <v>7328</v>
      </c>
      <c r="F1464" s="22" t="n">
        <v>2315717</v>
      </c>
      <c r="G1464" s="30" t="n">
        <v>46258</v>
      </c>
      <c r="H1464" s="22" t="n">
        <v>134441</v>
      </c>
      <c r="I1464" s="22" t="s">
        <v>8668</v>
      </c>
      <c r="J1464" s="31" t="n">
        <v>39.9</v>
      </c>
      <c r="K1464" s="26" t="n">
        <v>760.85</v>
      </c>
      <c r="L1464" s="26" t="n">
        <v>200.13</v>
      </c>
      <c r="M1464" s="22" t="s">
        <v>5316</v>
      </c>
      <c r="N1464" s="22" t="n">
        <f aca="false">MATCH(M1464,'Tabela Passaro'!$A$2:$A$1795,0)</f>
        <v>1282</v>
      </c>
      <c r="O1464" s="22" t="str">
        <f aca="false">INDEX('Tabela Passaro'!$C$2:$C$1795,$N1464)</f>
        <v>PETROLINA</v>
      </c>
      <c r="P1464" s="22" t="str">
        <f aca="false">INDEX('Tabela Passaro'!$B$2:$B$1795,$N1464)</f>
        <v>PE</v>
      </c>
      <c r="Q1464" s="22" t="n">
        <f aca="false">INDEX('Tabela Passaro'!$F$2:$F$1795,$N1464)</f>
        <v>12</v>
      </c>
      <c r="R1464" s="32" t="n">
        <f aca="false">IF(J1464&lt;=10,INDEX('Tabela Passaro'!$G$2:$G$1795,$N1464),IF(J1464&lt;=30,INDEX('Tabela Passaro'!$H$2:$H$1795,$N1464),IF(J1464&lt;=50,INDEX('Tabela Passaro'!$I$2:$I$1795,$N1464),IF(J1464&lt;=70,INDEX('Tabela Passaro'!$J$2:$J$1795,$N1464),IF(J1464&lt;=100,INDEX('Tabela Passaro'!$K$2:$K$1795,$N1464),INDEX('Tabela Passaro'!$K$2:$K$1795,$N1464)+(J1464-100)*INDEX('Tabela Passaro'!$L$2:$L$1795,$N1464))))))</f>
        <v>142.56</v>
      </c>
      <c r="S1464" s="32" t="n">
        <f aca="false">K1464*INDEX('Tabela Passaro'!$M$2:$M$1795,$N1464)</f>
        <v>3.80425</v>
      </c>
      <c r="T1464" s="32" t="n">
        <f aca="false">K1464*INDEX('Tabela Passaro'!$N$2:$N$1795,$N1464)</f>
        <v>1.5217</v>
      </c>
      <c r="U1464" s="32" t="n">
        <f aca="false">INDEX('Tabela Passaro'!$O$2:$O$1795,$N1464)</f>
        <v>5</v>
      </c>
      <c r="V1464" s="32" t="n">
        <f aca="false">ROUNDUP(J1464/INDEX('Tabela Passaro'!$Q$2:$Q$1795,$N1464),0)*INDEX('Tabela Passaro'!$P$2:$P$1795,$N1464)</f>
        <v>5</v>
      </c>
      <c r="W1464" s="32" t="n">
        <f aca="false">INDEX('Tabela Passaro'!$R$2:$R$1795,$N1464)</f>
        <v>30</v>
      </c>
      <c r="X1464" s="32" t="n">
        <f aca="false">ROUNDUP(J1464/INDEX('Tabela Passaro'!$T$2:$T$1795,$N1464),0)*INDEX('Tabela Passaro'!$S$2:$S$1795,$N1464)</f>
        <v>0</v>
      </c>
      <c r="Y1464" s="32" t="n">
        <f aca="false">INDEX('Tabela Passaro'!$U$2:$U$1795,$N1464)</f>
        <v>0</v>
      </c>
      <c r="Z1464" s="32" t="n">
        <f aca="false">INDEX('Tabela Passaro'!$V$2:$V$1795,$N1464)</f>
        <v>0</v>
      </c>
      <c r="AA1464" s="32" t="n">
        <f aca="false">SUM(R1464:Z1464)</f>
        <v>187.88595</v>
      </c>
      <c r="AB1464" s="33" t="n">
        <f aca="false">INDEX(Premissas!$B$5:$B$13,MATCH(A1464,Premissas!$A$5:$A$13,0))</f>
        <v>0.07</v>
      </c>
      <c r="AC1464" s="32" t="n">
        <f aca="false">AA1464/(1-AB1464)-AA1464</f>
        <v>14.1419532258065</v>
      </c>
      <c r="AD1464" s="32" t="n">
        <f aca="false">ROUND(AA1464+AC1464,2)</f>
        <v>202.03</v>
      </c>
      <c r="AE1464" s="32" t="n">
        <f aca="false">AD1464-L1464</f>
        <v>1.90000000000001</v>
      </c>
      <c r="AF1464" s="34" t="n">
        <f aca="false">IF(L1464=0,0,AE1464/L1464)</f>
        <v>0.00949382901114279</v>
      </c>
      <c r="AG1464" s="22" t="str">
        <f aca="false">IF(AD1464&lt;L1464,"PASSARO","ATUAL")</f>
        <v>ATUAL</v>
      </c>
      <c r="AH1464" s="22" t="str">
        <f aca="false">IF(P1464&lt;&gt;A1464,"Faixa cadastrada como "&amp;P1464&amp;" na tabela; preço aplicado pela UF do CEP","")</f>
        <v/>
      </c>
      <c r="AI1464" s="26" t="n">
        <v>221.02</v>
      </c>
      <c r="AJ1464" s="22" t="str">
        <f aca="false">INDEX('Tabela Passaro'!$X$2:$X$1795,$N1464)</f>
        <v>INTERIOR 2</v>
      </c>
    </row>
    <row r="1465" customFormat="false" ht="15" hidden="false" customHeight="false" outlineLevel="0" collapsed="false">
      <c r="A1465" s="22" t="s">
        <v>20</v>
      </c>
      <c r="B1465" s="22" t="n">
        <v>5</v>
      </c>
      <c r="C1465" s="22" t="s">
        <v>155</v>
      </c>
      <c r="D1465" s="22" t="s">
        <v>30</v>
      </c>
      <c r="E1465" s="22" t="s">
        <v>7328</v>
      </c>
      <c r="F1465" s="22" t="n">
        <v>2315732</v>
      </c>
      <c r="G1465" s="30" t="n">
        <v>46258</v>
      </c>
      <c r="H1465" s="22" t="n">
        <v>134456</v>
      </c>
      <c r="I1465" s="22" t="s">
        <v>8669</v>
      </c>
      <c r="J1465" s="31" t="n">
        <v>66.4</v>
      </c>
      <c r="K1465" s="26" t="n">
        <v>1124.98</v>
      </c>
      <c r="L1465" s="26" t="n">
        <v>259.98</v>
      </c>
      <c r="M1465" s="22" t="s">
        <v>5316</v>
      </c>
      <c r="N1465" s="22" t="n">
        <f aca="false">MATCH(M1465,'Tabela Passaro'!$A$2:$A$1795,0)</f>
        <v>1282</v>
      </c>
      <c r="O1465" s="22" t="str">
        <f aca="false">INDEX('Tabela Passaro'!$C$2:$C$1795,$N1465)</f>
        <v>PETROLINA</v>
      </c>
      <c r="P1465" s="22" t="str">
        <f aca="false">INDEX('Tabela Passaro'!$B$2:$B$1795,$N1465)</f>
        <v>PE</v>
      </c>
      <c r="Q1465" s="22" t="n">
        <f aca="false">INDEX('Tabela Passaro'!$F$2:$F$1795,$N1465)</f>
        <v>12</v>
      </c>
      <c r="R1465" s="32" t="n">
        <f aca="false">IF(J1465&lt;=10,INDEX('Tabela Passaro'!$G$2:$G$1795,$N1465),IF(J1465&lt;=30,INDEX('Tabela Passaro'!$H$2:$H$1795,$N1465),IF(J1465&lt;=50,INDEX('Tabela Passaro'!$I$2:$I$1795,$N1465),IF(J1465&lt;=70,INDEX('Tabela Passaro'!$J$2:$J$1795,$N1465),IF(J1465&lt;=100,INDEX('Tabela Passaro'!$K$2:$K$1795,$N1465),INDEX('Tabela Passaro'!$K$2:$K$1795,$N1465)+(J1465-100)*INDEX('Tabela Passaro'!$L$2:$L$1795,$N1465))))))</f>
        <v>153.58</v>
      </c>
      <c r="S1465" s="32" t="n">
        <f aca="false">K1465*INDEX('Tabela Passaro'!$M$2:$M$1795,$N1465)</f>
        <v>5.6249</v>
      </c>
      <c r="T1465" s="32" t="n">
        <f aca="false">K1465*INDEX('Tabela Passaro'!$N$2:$N$1795,$N1465)</f>
        <v>2.24996</v>
      </c>
      <c r="U1465" s="32" t="n">
        <f aca="false">INDEX('Tabela Passaro'!$O$2:$O$1795,$N1465)</f>
        <v>5</v>
      </c>
      <c r="V1465" s="32" t="n">
        <f aca="false">ROUNDUP(J1465/INDEX('Tabela Passaro'!$Q$2:$Q$1795,$N1465),0)*INDEX('Tabela Passaro'!$P$2:$P$1795,$N1465)</f>
        <v>5</v>
      </c>
      <c r="W1465" s="32" t="n">
        <f aca="false">INDEX('Tabela Passaro'!$R$2:$R$1795,$N1465)</f>
        <v>30</v>
      </c>
      <c r="X1465" s="32" t="n">
        <f aca="false">ROUNDUP(J1465/INDEX('Tabela Passaro'!$T$2:$T$1795,$N1465),0)*INDEX('Tabela Passaro'!$S$2:$S$1795,$N1465)</f>
        <v>0</v>
      </c>
      <c r="Y1465" s="32" t="n">
        <f aca="false">INDEX('Tabela Passaro'!$U$2:$U$1795,$N1465)</f>
        <v>0</v>
      </c>
      <c r="Z1465" s="32" t="n">
        <f aca="false">INDEX('Tabela Passaro'!$V$2:$V$1795,$N1465)</f>
        <v>0</v>
      </c>
      <c r="AA1465" s="32" t="n">
        <f aca="false">SUM(R1465:Z1465)</f>
        <v>201.45486</v>
      </c>
      <c r="AB1465" s="33" t="n">
        <f aca="false">INDEX(Premissas!$B$5:$B$13,MATCH(A1465,Premissas!$A$5:$A$13,0))</f>
        <v>0.07</v>
      </c>
      <c r="AC1465" s="32" t="n">
        <f aca="false">AA1465/(1-AB1465)-AA1465</f>
        <v>15.1632690322581</v>
      </c>
      <c r="AD1465" s="32" t="n">
        <f aca="false">ROUND(AA1465+AC1465,2)</f>
        <v>216.62</v>
      </c>
      <c r="AE1465" s="32" t="n">
        <f aca="false">AD1465-L1465</f>
        <v>-43.36</v>
      </c>
      <c r="AF1465" s="34" t="n">
        <f aca="false">IF(L1465=0,0,AE1465/L1465)</f>
        <v>-0.166782060158474</v>
      </c>
      <c r="AG1465" s="22" t="str">
        <f aca="false">IF(AD1465&lt;L1465,"PASSARO","ATUAL")</f>
        <v>PASSARO</v>
      </c>
      <c r="AH1465" s="22" t="str">
        <f aca="false">IF(P1465&lt;&gt;A1465,"Faixa cadastrada como "&amp;P1465&amp;" na tabela; preço aplicado pela UF do CEP","")</f>
        <v/>
      </c>
      <c r="AI1465" s="26" t="n">
        <v>250.12</v>
      </c>
      <c r="AJ1465" s="22" t="str">
        <f aca="false">INDEX('Tabela Passaro'!$X$2:$X$1795,$N1465)</f>
        <v>INTERIOR 2</v>
      </c>
    </row>
    <row r="1466" customFormat="false" ht="15" hidden="false" customHeight="false" outlineLevel="0" collapsed="false">
      <c r="A1466" s="22" t="s">
        <v>20</v>
      </c>
      <c r="B1466" s="22" t="n">
        <v>5</v>
      </c>
      <c r="C1466" s="22" t="s">
        <v>155</v>
      </c>
      <c r="D1466" s="22" t="s">
        <v>30</v>
      </c>
      <c r="E1466" s="22" t="s">
        <v>20</v>
      </c>
      <c r="F1466" s="22" t="n">
        <v>840004</v>
      </c>
      <c r="G1466" s="30" t="n">
        <v>46259</v>
      </c>
      <c r="H1466" s="22" t="n">
        <v>32651</v>
      </c>
      <c r="I1466" s="22" t="s">
        <v>8670</v>
      </c>
      <c r="J1466" s="31" t="n">
        <v>51.06</v>
      </c>
      <c r="K1466" s="26" t="n">
        <v>805.38</v>
      </c>
      <c r="L1466" s="26" t="n">
        <v>180.45</v>
      </c>
      <c r="M1466" s="22" t="s">
        <v>5316</v>
      </c>
      <c r="N1466" s="22" t="n">
        <f aca="false">MATCH(M1466,'Tabela Passaro'!$A$2:$A$1795,0)</f>
        <v>1282</v>
      </c>
      <c r="O1466" s="22" t="str">
        <f aca="false">INDEX('Tabela Passaro'!$C$2:$C$1795,$N1466)</f>
        <v>PETROLINA</v>
      </c>
      <c r="P1466" s="22" t="str">
        <f aca="false">INDEX('Tabela Passaro'!$B$2:$B$1795,$N1466)</f>
        <v>PE</v>
      </c>
      <c r="Q1466" s="22" t="n">
        <f aca="false">INDEX('Tabela Passaro'!$F$2:$F$1795,$N1466)</f>
        <v>12</v>
      </c>
      <c r="R1466" s="32" t="n">
        <f aca="false">IF(J1466&lt;=10,INDEX('Tabela Passaro'!$G$2:$G$1795,$N1466),IF(J1466&lt;=30,INDEX('Tabela Passaro'!$H$2:$H$1795,$N1466),IF(J1466&lt;=50,INDEX('Tabela Passaro'!$I$2:$I$1795,$N1466),IF(J1466&lt;=70,INDEX('Tabela Passaro'!$J$2:$J$1795,$N1466),IF(J1466&lt;=100,INDEX('Tabela Passaro'!$K$2:$K$1795,$N1466),INDEX('Tabela Passaro'!$K$2:$K$1795,$N1466)+(J1466-100)*INDEX('Tabela Passaro'!$L$2:$L$1795,$N1466))))))</f>
        <v>153.58</v>
      </c>
      <c r="S1466" s="32" t="n">
        <f aca="false">K1466*INDEX('Tabela Passaro'!$M$2:$M$1795,$N1466)</f>
        <v>4.0269</v>
      </c>
      <c r="T1466" s="32" t="n">
        <f aca="false">K1466*INDEX('Tabela Passaro'!$N$2:$N$1795,$N1466)</f>
        <v>1.61076</v>
      </c>
      <c r="U1466" s="32" t="n">
        <f aca="false">INDEX('Tabela Passaro'!$O$2:$O$1795,$N1466)</f>
        <v>5</v>
      </c>
      <c r="V1466" s="32" t="n">
        <f aca="false">ROUNDUP(J1466/INDEX('Tabela Passaro'!$Q$2:$Q$1795,$N1466),0)*INDEX('Tabela Passaro'!$P$2:$P$1795,$N1466)</f>
        <v>5</v>
      </c>
      <c r="W1466" s="32" t="n">
        <f aca="false">INDEX('Tabela Passaro'!$R$2:$R$1795,$N1466)</f>
        <v>30</v>
      </c>
      <c r="X1466" s="32" t="n">
        <f aca="false">ROUNDUP(J1466/INDEX('Tabela Passaro'!$T$2:$T$1795,$N1466),0)*INDEX('Tabela Passaro'!$S$2:$S$1795,$N1466)</f>
        <v>0</v>
      </c>
      <c r="Y1466" s="32" t="n">
        <f aca="false">INDEX('Tabela Passaro'!$U$2:$U$1795,$N1466)</f>
        <v>0</v>
      </c>
      <c r="Z1466" s="32" t="n">
        <f aca="false">INDEX('Tabela Passaro'!$V$2:$V$1795,$N1466)</f>
        <v>0</v>
      </c>
      <c r="AA1466" s="32" t="n">
        <f aca="false">SUM(R1466:Z1466)</f>
        <v>199.21766</v>
      </c>
      <c r="AB1466" s="33" t="n">
        <f aca="false">INDEX(Premissas!$B$5:$B$13,MATCH(A1466,Premissas!$A$5:$A$13,0))</f>
        <v>0.07</v>
      </c>
      <c r="AC1466" s="32" t="n">
        <f aca="false">AA1466/(1-AB1466)-AA1466</f>
        <v>14.9948776344086</v>
      </c>
      <c r="AD1466" s="32" t="n">
        <f aca="false">ROUND(AA1466+AC1466,2)</f>
        <v>214.21</v>
      </c>
      <c r="AE1466" s="32" t="n">
        <f aca="false">AD1466-L1466</f>
        <v>33.76</v>
      </c>
      <c r="AF1466" s="34" t="n">
        <f aca="false">IF(L1466=0,0,AE1466/L1466)</f>
        <v>0.187087835965642</v>
      </c>
      <c r="AG1466" s="22" t="str">
        <f aca="false">IF(AD1466&lt;L1466,"PASSARO","ATUAL")</f>
        <v>ATUAL</v>
      </c>
      <c r="AH1466" s="22" t="str">
        <f aca="false">IF(P1466&lt;&gt;A1466,"Faixa cadastrada como "&amp;P1466&amp;" na tabela; preço aplicado pela UF do CEP","")</f>
        <v/>
      </c>
      <c r="AI1466" s="26" t="n">
        <v>239.77</v>
      </c>
      <c r="AJ1466" s="22" t="str">
        <f aca="false">INDEX('Tabela Passaro'!$X$2:$X$1795,$N1466)</f>
        <v>INTERIOR 2</v>
      </c>
    </row>
    <row r="1467" customFormat="false" ht="15" hidden="false" customHeight="false" outlineLevel="0" collapsed="false">
      <c r="A1467" s="22" t="s">
        <v>20</v>
      </c>
      <c r="B1467" s="22" t="n">
        <v>5</v>
      </c>
      <c r="C1467" s="22" t="s">
        <v>155</v>
      </c>
      <c r="D1467" s="22" t="s">
        <v>30</v>
      </c>
      <c r="E1467" s="22" t="s">
        <v>7326</v>
      </c>
      <c r="F1467" s="22" t="n">
        <v>527348</v>
      </c>
      <c r="G1467" s="30" t="n">
        <v>46259</v>
      </c>
      <c r="H1467" s="22" t="n">
        <v>628803</v>
      </c>
      <c r="I1467" s="22" t="s">
        <v>8671</v>
      </c>
      <c r="J1467" s="31" t="n">
        <v>51.06</v>
      </c>
      <c r="K1467" s="26" t="n">
        <v>934.55</v>
      </c>
      <c r="L1467" s="26" t="n">
        <v>297.23</v>
      </c>
      <c r="M1467" s="22" t="s">
        <v>5316</v>
      </c>
      <c r="N1467" s="22" t="n">
        <f aca="false">MATCH(M1467,'Tabela Passaro'!$A$2:$A$1795,0)</f>
        <v>1282</v>
      </c>
      <c r="O1467" s="22" t="str">
        <f aca="false">INDEX('Tabela Passaro'!$C$2:$C$1795,$N1467)</f>
        <v>PETROLINA</v>
      </c>
      <c r="P1467" s="22" t="str">
        <f aca="false">INDEX('Tabela Passaro'!$B$2:$B$1795,$N1467)</f>
        <v>PE</v>
      </c>
      <c r="Q1467" s="22" t="n">
        <f aca="false">INDEX('Tabela Passaro'!$F$2:$F$1795,$N1467)</f>
        <v>12</v>
      </c>
      <c r="R1467" s="32" t="n">
        <f aca="false">IF(J1467&lt;=10,INDEX('Tabela Passaro'!$G$2:$G$1795,$N1467),IF(J1467&lt;=30,INDEX('Tabela Passaro'!$H$2:$H$1795,$N1467),IF(J1467&lt;=50,INDEX('Tabela Passaro'!$I$2:$I$1795,$N1467),IF(J1467&lt;=70,INDEX('Tabela Passaro'!$J$2:$J$1795,$N1467),IF(J1467&lt;=100,INDEX('Tabela Passaro'!$K$2:$K$1795,$N1467),INDEX('Tabela Passaro'!$K$2:$K$1795,$N1467)+(J1467-100)*INDEX('Tabela Passaro'!$L$2:$L$1795,$N1467))))))</f>
        <v>153.58</v>
      </c>
      <c r="S1467" s="32" t="n">
        <f aca="false">K1467*INDEX('Tabela Passaro'!$M$2:$M$1795,$N1467)</f>
        <v>4.67275</v>
      </c>
      <c r="T1467" s="32" t="n">
        <f aca="false">K1467*INDEX('Tabela Passaro'!$N$2:$N$1795,$N1467)</f>
        <v>1.8691</v>
      </c>
      <c r="U1467" s="32" t="n">
        <f aca="false">INDEX('Tabela Passaro'!$O$2:$O$1795,$N1467)</f>
        <v>5</v>
      </c>
      <c r="V1467" s="32" t="n">
        <f aca="false">ROUNDUP(J1467/INDEX('Tabela Passaro'!$Q$2:$Q$1795,$N1467),0)*INDEX('Tabela Passaro'!$P$2:$P$1795,$N1467)</f>
        <v>5</v>
      </c>
      <c r="W1467" s="32" t="n">
        <f aca="false">INDEX('Tabela Passaro'!$R$2:$R$1795,$N1467)</f>
        <v>30</v>
      </c>
      <c r="X1467" s="32" t="n">
        <f aca="false">ROUNDUP(J1467/INDEX('Tabela Passaro'!$T$2:$T$1795,$N1467),0)*INDEX('Tabela Passaro'!$S$2:$S$1795,$N1467)</f>
        <v>0</v>
      </c>
      <c r="Y1467" s="32" t="n">
        <f aca="false">INDEX('Tabela Passaro'!$U$2:$U$1795,$N1467)</f>
        <v>0</v>
      </c>
      <c r="Z1467" s="32" t="n">
        <f aca="false">INDEX('Tabela Passaro'!$V$2:$V$1795,$N1467)</f>
        <v>0</v>
      </c>
      <c r="AA1467" s="32" t="n">
        <f aca="false">SUM(R1467:Z1467)</f>
        <v>200.12185</v>
      </c>
      <c r="AB1467" s="33" t="n">
        <f aca="false">INDEX(Premissas!$B$5:$B$13,MATCH(A1467,Premissas!$A$5:$A$13,0))</f>
        <v>0.07</v>
      </c>
      <c r="AC1467" s="32" t="n">
        <f aca="false">AA1467/(1-AB1467)-AA1467</f>
        <v>15.0629349462366</v>
      </c>
      <c r="AD1467" s="32" t="n">
        <f aca="false">ROUND(AA1467+AC1467,2)</f>
        <v>215.18</v>
      </c>
      <c r="AE1467" s="32" t="n">
        <f aca="false">AD1467-L1467</f>
        <v>-82.05</v>
      </c>
      <c r="AF1467" s="34" t="n">
        <f aca="false">IF(L1467=0,0,AE1467/L1467)</f>
        <v>-0.276048851058103</v>
      </c>
      <c r="AG1467" s="22" t="str">
        <f aca="false">IF(AD1467&lt;L1467,"PASSARO","ATUAL")</f>
        <v>PASSARO</v>
      </c>
      <c r="AH1467" s="22" t="str">
        <f aca="false">IF(P1467&lt;&gt;A1467,"Faixa cadastrada como "&amp;P1467&amp;" na tabela; preço aplicado pela UF do CEP","")</f>
        <v/>
      </c>
      <c r="AI1467" s="26" t="n">
        <v>241.02</v>
      </c>
      <c r="AJ1467" s="22" t="str">
        <f aca="false">INDEX('Tabela Passaro'!$X$2:$X$1795,$N1467)</f>
        <v>INTERIOR 2</v>
      </c>
    </row>
    <row r="1468" customFormat="false" ht="15" hidden="false" customHeight="false" outlineLevel="0" collapsed="false">
      <c r="A1468" s="22" t="s">
        <v>20</v>
      </c>
      <c r="B1468" s="22" t="n">
        <v>5</v>
      </c>
      <c r="C1468" s="22" t="s">
        <v>155</v>
      </c>
      <c r="D1468" s="22" t="s">
        <v>30</v>
      </c>
      <c r="E1468" s="22" t="s">
        <v>7326</v>
      </c>
      <c r="F1468" s="22" t="n">
        <v>527357</v>
      </c>
      <c r="G1468" s="30" t="n">
        <v>46259</v>
      </c>
      <c r="H1468" s="22" t="n">
        <v>628810</v>
      </c>
      <c r="I1468" s="22" t="s">
        <v>8656</v>
      </c>
      <c r="J1468" s="31" t="n">
        <v>174.3</v>
      </c>
      <c r="K1468" s="26" t="n">
        <v>2572.81</v>
      </c>
      <c r="L1468" s="26" t="n">
        <v>583.2</v>
      </c>
      <c r="M1468" s="22" t="s">
        <v>5316</v>
      </c>
      <c r="N1468" s="22" t="n">
        <f aca="false">MATCH(M1468,'Tabela Passaro'!$A$2:$A$1795,0)</f>
        <v>1282</v>
      </c>
      <c r="O1468" s="22" t="str">
        <f aca="false">INDEX('Tabela Passaro'!$C$2:$C$1795,$N1468)</f>
        <v>PETROLINA</v>
      </c>
      <c r="P1468" s="22" t="str">
        <f aca="false">INDEX('Tabela Passaro'!$B$2:$B$1795,$N1468)</f>
        <v>PE</v>
      </c>
      <c r="Q1468" s="22" t="n">
        <f aca="false">INDEX('Tabela Passaro'!$F$2:$F$1795,$N1468)</f>
        <v>12</v>
      </c>
      <c r="R1468" s="32" t="n">
        <f aca="false">IF(J1468&lt;=10,INDEX('Tabela Passaro'!$G$2:$G$1795,$N1468),IF(J1468&lt;=30,INDEX('Tabela Passaro'!$H$2:$H$1795,$N1468),IF(J1468&lt;=50,INDEX('Tabela Passaro'!$I$2:$I$1795,$N1468),IF(J1468&lt;=70,INDEX('Tabela Passaro'!$J$2:$J$1795,$N1468),IF(J1468&lt;=100,INDEX('Tabela Passaro'!$K$2:$K$1795,$N1468),INDEX('Tabela Passaro'!$K$2:$K$1795,$N1468)+(J1468-100)*INDEX('Tabela Passaro'!$L$2:$L$1795,$N1468))))))</f>
        <v>323.168</v>
      </c>
      <c r="S1468" s="32" t="n">
        <f aca="false">K1468*INDEX('Tabela Passaro'!$M$2:$M$1795,$N1468)</f>
        <v>12.86405</v>
      </c>
      <c r="T1468" s="32" t="n">
        <f aca="false">K1468*INDEX('Tabela Passaro'!$N$2:$N$1795,$N1468)</f>
        <v>5.14562</v>
      </c>
      <c r="U1468" s="32" t="n">
        <f aca="false">INDEX('Tabela Passaro'!$O$2:$O$1795,$N1468)</f>
        <v>5</v>
      </c>
      <c r="V1468" s="32" t="n">
        <f aca="false">ROUNDUP(J1468/INDEX('Tabela Passaro'!$Q$2:$Q$1795,$N1468),0)*INDEX('Tabela Passaro'!$P$2:$P$1795,$N1468)</f>
        <v>10</v>
      </c>
      <c r="W1468" s="32" t="n">
        <f aca="false">INDEX('Tabela Passaro'!$R$2:$R$1795,$N1468)</f>
        <v>30</v>
      </c>
      <c r="X1468" s="32" t="n">
        <f aca="false">ROUNDUP(J1468/INDEX('Tabela Passaro'!$T$2:$T$1795,$N1468),0)*INDEX('Tabela Passaro'!$S$2:$S$1795,$N1468)</f>
        <v>0</v>
      </c>
      <c r="Y1468" s="32" t="n">
        <f aca="false">INDEX('Tabela Passaro'!$U$2:$U$1795,$N1468)</f>
        <v>0</v>
      </c>
      <c r="Z1468" s="32" t="n">
        <f aca="false">INDEX('Tabela Passaro'!$V$2:$V$1795,$N1468)</f>
        <v>0</v>
      </c>
      <c r="AA1468" s="32" t="n">
        <f aca="false">SUM(R1468:Z1468)</f>
        <v>386.17767</v>
      </c>
      <c r="AB1468" s="33" t="n">
        <f aca="false">INDEX(Premissas!$B$5:$B$13,MATCH(A1468,Premissas!$A$5:$A$13,0))</f>
        <v>0.07</v>
      </c>
      <c r="AC1468" s="32" t="n">
        <f aca="false">AA1468/(1-AB1468)-AA1468</f>
        <v>29.067136451613</v>
      </c>
      <c r="AD1468" s="32" t="n">
        <f aca="false">ROUND(AA1468+AC1468,2)</f>
        <v>415.24</v>
      </c>
      <c r="AE1468" s="32" t="n">
        <f aca="false">AD1468-L1468</f>
        <v>-167.96</v>
      </c>
      <c r="AF1468" s="34" t="n">
        <f aca="false">IF(L1468=0,0,AE1468/L1468)</f>
        <v>-0.287997256515775</v>
      </c>
      <c r="AG1468" s="22" t="str">
        <f aca="false">IF(AD1468&lt;L1468,"PASSARO","ATUAL")</f>
        <v>PASSARO</v>
      </c>
      <c r="AH1468" s="22" t="str">
        <f aca="false">IF(P1468&lt;&gt;A1468,"Faixa cadastrada como "&amp;P1468&amp;" na tabela; preço aplicado pela UF do CEP","")</f>
        <v/>
      </c>
      <c r="AI1468" s="26" t="n">
        <v>525.92</v>
      </c>
      <c r="AJ1468" s="22" t="str">
        <f aca="false">INDEX('Tabela Passaro'!$X$2:$X$1795,$N1468)</f>
        <v>INTERIOR 2</v>
      </c>
    </row>
    <row r="1469" customFormat="false" ht="15" hidden="false" customHeight="false" outlineLevel="0" collapsed="false">
      <c r="A1469" s="22" t="s">
        <v>20</v>
      </c>
      <c r="B1469" s="22" t="n">
        <v>5</v>
      </c>
      <c r="C1469" s="22" t="s">
        <v>155</v>
      </c>
      <c r="D1469" s="22" t="s">
        <v>30</v>
      </c>
      <c r="E1469" s="22" t="s">
        <v>7326</v>
      </c>
      <c r="F1469" s="22" t="n">
        <v>527372</v>
      </c>
      <c r="G1469" s="30" t="n">
        <v>46259</v>
      </c>
      <c r="H1469" s="22" t="n">
        <v>629111</v>
      </c>
      <c r="I1469" s="22" t="s">
        <v>8672</v>
      </c>
      <c r="J1469" s="31" t="n">
        <v>73.1</v>
      </c>
      <c r="K1469" s="26" t="n">
        <v>1178.11</v>
      </c>
      <c r="L1469" s="26" t="n">
        <v>376.44</v>
      </c>
      <c r="M1469" s="22" t="s">
        <v>5316</v>
      </c>
      <c r="N1469" s="22" t="n">
        <f aca="false">MATCH(M1469,'Tabela Passaro'!$A$2:$A$1795,0)</f>
        <v>1282</v>
      </c>
      <c r="O1469" s="22" t="str">
        <f aca="false">INDEX('Tabela Passaro'!$C$2:$C$1795,$N1469)</f>
        <v>PETROLINA</v>
      </c>
      <c r="P1469" s="22" t="str">
        <f aca="false">INDEX('Tabela Passaro'!$B$2:$B$1795,$N1469)</f>
        <v>PE</v>
      </c>
      <c r="Q1469" s="22" t="n">
        <f aca="false">INDEX('Tabela Passaro'!$F$2:$F$1795,$N1469)</f>
        <v>12</v>
      </c>
      <c r="R1469" s="32" t="n">
        <f aca="false">IF(J1469&lt;=10,INDEX('Tabela Passaro'!$G$2:$G$1795,$N1469),IF(J1469&lt;=30,INDEX('Tabela Passaro'!$H$2:$H$1795,$N1469),IF(J1469&lt;=50,INDEX('Tabela Passaro'!$I$2:$I$1795,$N1469),IF(J1469&lt;=70,INDEX('Tabela Passaro'!$J$2:$J$1795,$N1469),IF(J1469&lt;=100,INDEX('Tabela Passaro'!$K$2:$K$1795,$N1469),INDEX('Tabela Passaro'!$K$2:$K$1795,$N1469)+(J1469-100)*INDEX('Tabela Passaro'!$L$2:$L$1795,$N1469))))))</f>
        <v>170.11</v>
      </c>
      <c r="S1469" s="32" t="n">
        <f aca="false">K1469*INDEX('Tabela Passaro'!$M$2:$M$1795,$N1469)</f>
        <v>5.89055</v>
      </c>
      <c r="T1469" s="32" t="n">
        <f aca="false">K1469*INDEX('Tabela Passaro'!$N$2:$N$1795,$N1469)</f>
        <v>2.35622</v>
      </c>
      <c r="U1469" s="32" t="n">
        <f aca="false">INDEX('Tabela Passaro'!$O$2:$O$1795,$N1469)</f>
        <v>5</v>
      </c>
      <c r="V1469" s="32" t="n">
        <f aca="false">ROUNDUP(J1469/INDEX('Tabela Passaro'!$Q$2:$Q$1795,$N1469),0)*INDEX('Tabela Passaro'!$P$2:$P$1795,$N1469)</f>
        <v>5</v>
      </c>
      <c r="W1469" s="32" t="n">
        <f aca="false">INDEX('Tabela Passaro'!$R$2:$R$1795,$N1469)</f>
        <v>30</v>
      </c>
      <c r="X1469" s="32" t="n">
        <f aca="false">ROUNDUP(J1469/INDEX('Tabela Passaro'!$T$2:$T$1795,$N1469),0)*INDEX('Tabela Passaro'!$S$2:$S$1795,$N1469)</f>
        <v>0</v>
      </c>
      <c r="Y1469" s="32" t="n">
        <f aca="false">INDEX('Tabela Passaro'!$U$2:$U$1795,$N1469)</f>
        <v>0</v>
      </c>
      <c r="Z1469" s="32" t="n">
        <f aca="false">INDEX('Tabela Passaro'!$V$2:$V$1795,$N1469)</f>
        <v>0</v>
      </c>
      <c r="AA1469" s="32" t="n">
        <f aca="false">SUM(R1469:Z1469)</f>
        <v>218.35677</v>
      </c>
      <c r="AB1469" s="33" t="n">
        <f aca="false">INDEX(Premissas!$B$5:$B$13,MATCH(A1469,Premissas!$A$5:$A$13,0))</f>
        <v>0.07</v>
      </c>
      <c r="AC1469" s="32" t="n">
        <f aca="false">AA1469/(1-AB1469)-AA1469</f>
        <v>16.4354558064516</v>
      </c>
      <c r="AD1469" s="32" t="n">
        <f aca="false">ROUND(AA1469+AC1469,2)</f>
        <v>234.79</v>
      </c>
      <c r="AE1469" s="32" t="n">
        <f aca="false">AD1469-L1469</f>
        <v>-141.65</v>
      </c>
      <c r="AF1469" s="34" t="n">
        <f aca="false">IF(L1469=0,0,AE1469/L1469)</f>
        <v>-0.376288385931357</v>
      </c>
      <c r="AG1469" s="22" t="str">
        <f aca="false">IF(AD1469&lt;L1469,"PASSARO","ATUAL")</f>
        <v>PASSARO</v>
      </c>
      <c r="AH1469" s="22" t="str">
        <f aca="false">IF(P1469&lt;&gt;A1469,"Faixa cadastrada como "&amp;P1469&amp;" na tabela; preço aplicado pela UF do CEP","")</f>
        <v/>
      </c>
      <c r="AI1469" s="26" t="n">
        <v>272.82</v>
      </c>
      <c r="AJ1469" s="22" t="str">
        <f aca="false">INDEX('Tabela Passaro'!$X$2:$X$1795,$N1469)</f>
        <v>INTERIOR 2</v>
      </c>
    </row>
    <row r="1470" customFormat="false" ht="15" hidden="false" customHeight="false" outlineLevel="0" collapsed="false">
      <c r="A1470" s="22" t="s">
        <v>20</v>
      </c>
      <c r="B1470" s="22" t="n">
        <v>5</v>
      </c>
      <c r="C1470" s="22" t="s">
        <v>155</v>
      </c>
      <c r="D1470" s="22" t="s">
        <v>30</v>
      </c>
      <c r="E1470" s="22" t="s">
        <v>7326</v>
      </c>
      <c r="F1470" s="22" t="n">
        <v>527378</v>
      </c>
      <c r="G1470" s="30" t="n">
        <v>46259</v>
      </c>
      <c r="H1470" s="22" t="n">
        <v>629118</v>
      </c>
      <c r="I1470" s="22" t="s">
        <v>8656</v>
      </c>
      <c r="J1470" s="31" t="n">
        <v>29.59</v>
      </c>
      <c r="K1470" s="26" t="n">
        <v>609.98</v>
      </c>
      <c r="L1470" s="26" t="n">
        <v>158.33</v>
      </c>
      <c r="M1470" s="22" t="s">
        <v>5316</v>
      </c>
      <c r="N1470" s="22" t="n">
        <f aca="false">MATCH(M1470,'Tabela Passaro'!$A$2:$A$1795,0)</f>
        <v>1282</v>
      </c>
      <c r="O1470" s="22" t="str">
        <f aca="false">INDEX('Tabela Passaro'!$C$2:$C$1795,$N1470)</f>
        <v>PETROLINA</v>
      </c>
      <c r="P1470" s="22" t="str">
        <f aca="false">INDEX('Tabela Passaro'!$B$2:$B$1795,$N1470)</f>
        <v>PE</v>
      </c>
      <c r="Q1470" s="22" t="n">
        <f aca="false">INDEX('Tabela Passaro'!$F$2:$F$1795,$N1470)</f>
        <v>12</v>
      </c>
      <c r="R1470" s="32" t="n">
        <f aca="false">IF(J1470&lt;=10,INDEX('Tabela Passaro'!$G$2:$G$1795,$N1470),IF(J1470&lt;=30,INDEX('Tabela Passaro'!$H$2:$H$1795,$N1470),IF(J1470&lt;=50,INDEX('Tabela Passaro'!$I$2:$I$1795,$N1470),IF(J1470&lt;=70,INDEX('Tabela Passaro'!$J$2:$J$1795,$N1470),IF(J1470&lt;=100,INDEX('Tabela Passaro'!$K$2:$K$1795,$N1470),INDEX('Tabela Passaro'!$K$2:$K$1795,$N1470)+(J1470-100)*INDEX('Tabela Passaro'!$L$2:$L$1795,$N1470))))))</f>
        <v>120.52</v>
      </c>
      <c r="S1470" s="32" t="n">
        <f aca="false">K1470*INDEX('Tabela Passaro'!$M$2:$M$1795,$N1470)</f>
        <v>3.0499</v>
      </c>
      <c r="T1470" s="32" t="n">
        <f aca="false">K1470*INDEX('Tabela Passaro'!$N$2:$N$1795,$N1470)</f>
        <v>1.21996</v>
      </c>
      <c r="U1470" s="32" t="n">
        <f aca="false">INDEX('Tabela Passaro'!$O$2:$O$1795,$N1470)</f>
        <v>5</v>
      </c>
      <c r="V1470" s="32" t="n">
        <f aca="false">ROUNDUP(J1470/INDEX('Tabela Passaro'!$Q$2:$Q$1795,$N1470),0)*INDEX('Tabela Passaro'!$P$2:$P$1795,$N1470)</f>
        <v>5</v>
      </c>
      <c r="W1470" s="32" t="n">
        <f aca="false">INDEX('Tabela Passaro'!$R$2:$R$1795,$N1470)</f>
        <v>30</v>
      </c>
      <c r="X1470" s="32" t="n">
        <f aca="false">ROUNDUP(J1470/INDEX('Tabela Passaro'!$T$2:$T$1795,$N1470),0)*INDEX('Tabela Passaro'!$S$2:$S$1795,$N1470)</f>
        <v>0</v>
      </c>
      <c r="Y1470" s="32" t="n">
        <f aca="false">INDEX('Tabela Passaro'!$U$2:$U$1795,$N1470)</f>
        <v>0</v>
      </c>
      <c r="Z1470" s="32" t="n">
        <f aca="false">INDEX('Tabela Passaro'!$V$2:$V$1795,$N1470)</f>
        <v>0</v>
      </c>
      <c r="AA1470" s="32" t="n">
        <f aca="false">SUM(R1470:Z1470)</f>
        <v>164.78986</v>
      </c>
      <c r="AB1470" s="33" t="n">
        <f aca="false">INDEX(Premissas!$B$5:$B$13,MATCH(A1470,Premissas!$A$5:$A$13,0))</f>
        <v>0.07</v>
      </c>
      <c r="AC1470" s="32" t="n">
        <f aca="false">AA1470/(1-AB1470)-AA1470</f>
        <v>12.4035378494624</v>
      </c>
      <c r="AD1470" s="32" t="n">
        <f aca="false">ROUND(AA1470+AC1470,2)</f>
        <v>177.19</v>
      </c>
      <c r="AE1470" s="32" t="n">
        <f aca="false">AD1470-L1470</f>
        <v>18.86</v>
      </c>
      <c r="AF1470" s="34" t="n">
        <f aca="false">IF(L1470=0,0,AE1470/L1470)</f>
        <v>0.11911829722731</v>
      </c>
      <c r="AG1470" s="22" t="str">
        <f aca="false">IF(AD1470&lt;L1470,"PASSARO","ATUAL")</f>
        <v>ATUAL</v>
      </c>
      <c r="AH1470" s="22" t="str">
        <f aca="false">IF(P1470&lt;&gt;A1470,"Faixa cadastrada como "&amp;P1470&amp;" na tabela; preço aplicado pela UF do CEP","")</f>
        <v/>
      </c>
      <c r="AI1470" s="26" t="n">
        <v>189.67</v>
      </c>
      <c r="AJ1470" s="22" t="str">
        <f aca="false">INDEX('Tabela Passaro'!$X$2:$X$1795,$N1470)</f>
        <v>INTERIOR 2</v>
      </c>
    </row>
    <row r="1471" customFormat="false" ht="15" hidden="false" customHeight="false" outlineLevel="0" collapsed="false">
      <c r="A1471" s="22" t="s">
        <v>20</v>
      </c>
      <c r="B1471" s="22" t="n">
        <v>5</v>
      </c>
      <c r="C1471" s="22" t="s">
        <v>155</v>
      </c>
      <c r="D1471" s="22" t="s">
        <v>30</v>
      </c>
      <c r="E1471" s="22" t="s">
        <v>7328</v>
      </c>
      <c r="F1471" s="22" t="n">
        <v>2316527</v>
      </c>
      <c r="G1471" s="30" t="n">
        <v>46260</v>
      </c>
      <c r="H1471" s="22" t="n">
        <v>135538</v>
      </c>
      <c r="I1471" s="22" t="s">
        <v>8667</v>
      </c>
      <c r="J1471" s="31" t="n">
        <v>29</v>
      </c>
      <c r="K1471" s="26" t="n">
        <v>568.47</v>
      </c>
      <c r="L1471" s="26" t="n">
        <v>145.86</v>
      </c>
      <c r="M1471" s="22" t="s">
        <v>5316</v>
      </c>
      <c r="N1471" s="22" t="n">
        <f aca="false">MATCH(M1471,'Tabela Passaro'!$A$2:$A$1795,0)</f>
        <v>1282</v>
      </c>
      <c r="O1471" s="22" t="str">
        <f aca="false">INDEX('Tabela Passaro'!$C$2:$C$1795,$N1471)</f>
        <v>PETROLINA</v>
      </c>
      <c r="P1471" s="22" t="str">
        <f aca="false">INDEX('Tabela Passaro'!$B$2:$B$1795,$N1471)</f>
        <v>PE</v>
      </c>
      <c r="Q1471" s="22" t="n">
        <f aca="false">INDEX('Tabela Passaro'!$F$2:$F$1795,$N1471)</f>
        <v>12</v>
      </c>
      <c r="R1471" s="32" t="n">
        <f aca="false">IF(J1471&lt;=10,INDEX('Tabela Passaro'!$G$2:$G$1795,$N1471),IF(J1471&lt;=30,INDEX('Tabela Passaro'!$H$2:$H$1795,$N1471),IF(J1471&lt;=50,INDEX('Tabela Passaro'!$I$2:$I$1795,$N1471),IF(J1471&lt;=70,INDEX('Tabela Passaro'!$J$2:$J$1795,$N1471),IF(J1471&lt;=100,INDEX('Tabela Passaro'!$K$2:$K$1795,$N1471),INDEX('Tabela Passaro'!$K$2:$K$1795,$N1471)+(J1471-100)*INDEX('Tabela Passaro'!$L$2:$L$1795,$N1471))))))</f>
        <v>120.52</v>
      </c>
      <c r="S1471" s="32" t="n">
        <f aca="false">K1471*INDEX('Tabela Passaro'!$M$2:$M$1795,$N1471)</f>
        <v>2.84235</v>
      </c>
      <c r="T1471" s="32" t="n">
        <f aca="false">K1471*INDEX('Tabela Passaro'!$N$2:$N$1795,$N1471)</f>
        <v>1.13694</v>
      </c>
      <c r="U1471" s="32" t="n">
        <f aca="false">INDEX('Tabela Passaro'!$O$2:$O$1795,$N1471)</f>
        <v>5</v>
      </c>
      <c r="V1471" s="32" t="n">
        <f aca="false">ROUNDUP(J1471/INDEX('Tabela Passaro'!$Q$2:$Q$1795,$N1471),0)*INDEX('Tabela Passaro'!$P$2:$P$1795,$N1471)</f>
        <v>5</v>
      </c>
      <c r="W1471" s="32" t="n">
        <f aca="false">INDEX('Tabela Passaro'!$R$2:$R$1795,$N1471)</f>
        <v>30</v>
      </c>
      <c r="X1471" s="32" t="n">
        <f aca="false">ROUNDUP(J1471/INDEX('Tabela Passaro'!$T$2:$T$1795,$N1471),0)*INDEX('Tabela Passaro'!$S$2:$S$1795,$N1471)</f>
        <v>0</v>
      </c>
      <c r="Y1471" s="32" t="n">
        <f aca="false">INDEX('Tabela Passaro'!$U$2:$U$1795,$N1471)</f>
        <v>0</v>
      </c>
      <c r="Z1471" s="32" t="n">
        <f aca="false">INDEX('Tabela Passaro'!$V$2:$V$1795,$N1471)</f>
        <v>0</v>
      </c>
      <c r="AA1471" s="32" t="n">
        <f aca="false">SUM(R1471:Z1471)</f>
        <v>164.49929</v>
      </c>
      <c r="AB1471" s="33" t="n">
        <f aca="false">INDEX(Premissas!$B$5:$B$13,MATCH(A1471,Premissas!$A$5:$A$13,0))</f>
        <v>0.07</v>
      </c>
      <c r="AC1471" s="32" t="n">
        <f aca="false">AA1471/(1-AB1471)-AA1471</f>
        <v>12.3816669892473</v>
      </c>
      <c r="AD1471" s="32" t="n">
        <f aca="false">ROUND(AA1471+AC1471,2)</f>
        <v>176.88</v>
      </c>
      <c r="AE1471" s="32" t="n">
        <f aca="false">AD1471-L1471</f>
        <v>31.02</v>
      </c>
      <c r="AF1471" s="34" t="n">
        <f aca="false">IF(L1471=0,0,AE1471/L1471)</f>
        <v>0.212669683257918</v>
      </c>
      <c r="AG1471" s="22" t="str">
        <f aca="false">IF(AD1471&lt;L1471,"PASSARO","ATUAL")</f>
        <v>ATUAL</v>
      </c>
      <c r="AH1471" s="22" t="str">
        <f aca="false">IF(P1471&lt;&gt;A1471,"Faixa cadastrada como "&amp;P1471&amp;" na tabela; preço aplicado pela UF do CEP","")</f>
        <v/>
      </c>
      <c r="AI1471" s="26" t="n">
        <v>188.78</v>
      </c>
      <c r="AJ1471" s="22" t="str">
        <f aca="false">INDEX('Tabela Passaro'!$X$2:$X$1795,$N1471)</f>
        <v>INTERIOR 2</v>
      </c>
    </row>
    <row r="1472" customFormat="false" ht="15" hidden="false" customHeight="false" outlineLevel="0" collapsed="false">
      <c r="A1472" s="22" t="s">
        <v>20</v>
      </c>
      <c r="B1472" s="22" t="n">
        <v>5</v>
      </c>
      <c r="C1472" s="22" t="s">
        <v>155</v>
      </c>
      <c r="D1472" s="22" t="s">
        <v>30</v>
      </c>
      <c r="E1472" s="22" t="s">
        <v>7328</v>
      </c>
      <c r="F1472" s="22" t="n">
        <v>2316548</v>
      </c>
      <c r="G1472" s="30" t="n">
        <v>46260</v>
      </c>
      <c r="H1472" s="22" t="n">
        <v>135847</v>
      </c>
      <c r="I1472" s="22" t="s">
        <v>8673</v>
      </c>
      <c r="J1472" s="31" t="n">
        <v>66.4</v>
      </c>
      <c r="K1472" s="26" t="n">
        <v>1115.98</v>
      </c>
      <c r="L1472" s="26" t="n">
        <v>259.92</v>
      </c>
      <c r="M1472" s="22" t="s">
        <v>5316</v>
      </c>
      <c r="N1472" s="22" t="n">
        <f aca="false">MATCH(M1472,'Tabela Passaro'!$A$2:$A$1795,0)</f>
        <v>1282</v>
      </c>
      <c r="O1472" s="22" t="str">
        <f aca="false">INDEX('Tabela Passaro'!$C$2:$C$1795,$N1472)</f>
        <v>PETROLINA</v>
      </c>
      <c r="P1472" s="22" t="str">
        <f aca="false">INDEX('Tabela Passaro'!$B$2:$B$1795,$N1472)</f>
        <v>PE</v>
      </c>
      <c r="Q1472" s="22" t="n">
        <f aca="false">INDEX('Tabela Passaro'!$F$2:$F$1795,$N1472)</f>
        <v>12</v>
      </c>
      <c r="R1472" s="32" t="n">
        <f aca="false">IF(J1472&lt;=10,INDEX('Tabela Passaro'!$G$2:$G$1795,$N1472),IF(J1472&lt;=30,INDEX('Tabela Passaro'!$H$2:$H$1795,$N1472),IF(J1472&lt;=50,INDEX('Tabela Passaro'!$I$2:$I$1795,$N1472),IF(J1472&lt;=70,INDEX('Tabela Passaro'!$J$2:$J$1795,$N1472),IF(J1472&lt;=100,INDEX('Tabela Passaro'!$K$2:$K$1795,$N1472),INDEX('Tabela Passaro'!$K$2:$K$1795,$N1472)+(J1472-100)*INDEX('Tabela Passaro'!$L$2:$L$1795,$N1472))))))</f>
        <v>153.58</v>
      </c>
      <c r="S1472" s="32" t="n">
        <f aca="false">K1472*INDEX('Tabela Passaro'!$M$2:$M$1795,$N1472)</f>
        <v>5.5799</v>
      </c>
      <c r="T1472" s="32" t="n">
        <f aca="false">K1472*INDEX('Tabela Passaro'!$N$2:$N$1795,$N1472)</f>
        <v>2.23196</v>
      </c>
      <c r="U1472" s="32" t="n">
        <f aca="false">INDEX('Tabela Passaro'!$O$2:$O$1795,$N1472)</f>
        <v>5</v>
      </c>
      <c r="V1472" s="32" t="n">
        <f aca="false">ROUNDUP(J1472/INDEX('Tabela Passaro'!$Q$2:$Q$1795,$N1472),0)*INDEX('Tabela Passaro'!$P$2:$P$1795,$N1472)</f>
        <v>5</v>
      </c>
      <c r="W1472" s="32" t="n">
        <f aca="false">INDEX('Tabela Passaro'!$R$2:$R$1795,$N1472)</f>
        <v>30</v>
      </c>
      <c r="X1472" s="32" t="n">
        <f aca="false">ROUNDUP(J1472/INDEX('Tabela Passaro'!$T$2:$T$1795,$N1472),0)*INDEX('Tabela Passaro'!$S$2:$S$1795,$N1472)</f>
        <v>0</v>
      </c>
      <c r="Y1472" s="32" t="n">
        <f aca="false">INDEX('Tabela Passaro'!$U$2:$U$1795,$N1472)</f>
        <v>0</v>
      </c>
      <c r="Z1472" s="32" t="n">
        <f aca="false">INDEX('Tabela Passaro'!$V$2:$V$1795,$N1472)</f>
        <v>0</v>
      </c>
      <c r="AA1472" s="32" t="n">
        <f aca="false">SUM(R1472:Z1472)</f>
        <v>201.39186</v>
      </c>
      <c r="AB1472" s="33" t="n">
        <f aca="false">INDEX(Premissas!$B$5:$B$13,MATCH(A1472,Premissas!$A$5:$A$13,0))</f>
        <v>0.07</v>
      </c>
      <c r="AC1472" s="32" t="n">
        <f aca="false">AA1472/(1-AB1472)-AA1472</f>
        <v>15.1585270967742</v>
      </c>
      <c r="AD1472" s="32" t="n">
        <f aca="false">ROUND(AA1472+AC1472,2)</f>
        <v>216.55</v>
      </c>
      <c r="AE1472" s="32" t="n">
        <f aca="false">AD1472-L1472</f>
        <v>-43.37</v>
      </c>
      <c r="AF1472" s="34" t="n">
        <f aca="false">IF(L1472=0,0,AE1472/L1472)</f>
        <v>-0.166859033548784</v>
      </c>
      <c r="AG1472" s="22" t="str">
        <f aca="false">IF(AD1472&lt;L1472,"PASSARO","ATUAL")</f>
        <v>PASSARO</v>
      </c>
      <c r="AH1472" s="22" t="str">
        <f aca="false">IF(P1472&lt;&gt;A1472,"Faixa cadastrada como "&amp;P1472&amp;" na tabela; preço aplicado pela UF do CEP","")</f>
        <v/>
      </c>
      <c r="AI1472" s="26" t="n">
        <v>250.04</v>
      </c>
      <c r="AJ1472" s="22" t="str">
        <f aca="false">INDEX('Tabela Passaro'!$X$2:$X$1795,$N1472)</f>
        <v>INTERIOR 2</v>
      </c>
    </row>
    <row r="1473" customFormat="false" ht="15" hidden="false" customHeight="false" outlineLevel="0" collapsed="false">
      <c r="A1473" s="22" t="s">
        <v>20</v>
      </c>
      <c r="B1473" s="22" t="n">
        <v>5</v>
      </c>
      <c r="C1473" s="22" t="s">
        <v>155</v>
      </c>
      <c r="D1473" s="22" t="s">
        <v>30</v>
      </c>
      <c r="E1473" s="22" t="s">
        <v>20</v>
      </c>
      <c r="F1473" s="22" t="n">
        <v>840487</v>
      </c>
      <c r="G1473" s="30" t="n">
        <v>46262</v>
      </c>
      <c r="H1473" s="22" t="n">
        <v>32770</v>
      </c>
      <c r="I1473" s="22" t="s">
        <v>8674</v>
      </c>
      <c r="J1473" s="31" t="n">
        <v>36.8</v>
      </c>
      <c r="K1473" s="26" t="n">
        <v>676.45</v>
      </c>
      <c r="L1473" s="26" t="n">
        <v>144.61</v>
      </c>
      <c r="M1473" s="22" t="s">
        <v>5316</v>
      </c>
      <c r="N1473" s="22" t="n">
        <f aca="false">MATCH(M1473,'Tabela Passaro'!$A$2:$A$1795,0)</f>
        <v>1282</v>
      </c>
      <c r="O1473" s="22" t="str">
        <f aca="false">INDEX('Tabela Passaro'!$C$2:$C$1795,$N1473)</f>
        <v>PETROLINA</v>
      </c>
      <c r="P1473" s="22" t="str">
        <f aca="false">INDEX('Tabela Passaro'!$B$2:$B$1795,$N1473)</f>
        <v>PE</v>
      </c>
      <c r="Q1473" s="22" t="n">
        <f aca="false">INDEX('Tabela Passaro'!$F$2:$F$1795,$N1473)</f>
        <v>12</v>
      </c>
      <c r="R1473" s="32" t="n">
        <f aca="false">IF(J1473&lt;=10,INDEX('Tabela Passaro'!$G$2:$G$1795,$N1473),IF(J1473&lt;=30,INDEX('Tabela Passaro'!$H$2:$H$1795,$N1473),IF(J1473&lt;=50,INDEX('Tabela Passaro'!$I$2:$I$1795,$N1473),IF(J1473&lt;=70,INDEX('Tabela Passaro'!$J$2:$J$1795,$N1473),IF(J1473&lt;=100,INDEX('Tabela Passaro'!$K$2:$K$1795,$N1473),INDEX('Tabela Passaro'!$K$2:$K$1795,$N1473)+(J1473-100)*INDEX('Tabela Passaro'!$L$2:$L$1795,$N1473))))))</f>
        <v>142.56</v>
      </c>
      <c r="S1473" s="32" t="n">
        <f aca="false">K1473*INDEX('Tabela Passaro'!$M$2:$M$1795,$N1473)</f>
        <v>3.38225</v>
      </c>
      <c r="T1473" s="32" t="n">
        <f aca="false">K1473*INDEX('Tabela Passaro'!$N$2:$N$1795,$N1473)</f>
        <v>1.3529</v>
      </c>
      <c r="U1473" s="32" t="n">
        <f aca="false">INDEX('Tabela Passaro'!$O$2:$O$1795,$N1473)</f>
        <v>5</v>
      </c>
      <c r="V1473" s="32" t="n">
        <f aca="false">ROUNDUP(J1473/INDEX('Tabela Passaro'!$Q$2:$Q$1795,$N1473),0)*INDEX('Tabela Passaro'!$P$2:$P$1795,$N1473)</f>
        <v>5</v>
      </c>
      <c r="W1473" s="32" t="n">
        <f aca="false">INDEX('Tabela Passaro'!$R$2:$R$1795,$N1473)</f>
        <v>30</v>
      </c>
      <c r="X1473" s="32" t="n">
        <f aca="false">ROUNDUP(J1473/INDEX('Tabela Passaro'!$T$2:$T$1795,$N1473),0)*INDEX('Tabela Passaro'!$S$2:$S$1795,$N1473)</f>
        <v>0</v>
      </c>
      <c r="Y1473" s="32" t="n">
        <f aca="false">INDEX('Tabela Passaro'!$U$2:$U$1795,$N1473)</f>
        <v>0</v>
      </c>
      <c r="Z1473" s="32" t="n">
        <f aca="false">INDEX('Tabela Passaro'!$V$2:$V$1795,$N1473)</f>
        <v>0</v>
      </c>
      <c r="AA1473" s="32" t="n">
        <f aca="false">SUM(R1473:Z1473)</f>
        <v>187.29515</v>
      </c>
      <c r="AB1473" s="33" t="n">
        <f aca="false">INDEX(Premissas!$B$5:$B$13,MATCH(A1473,Premissas!$A$5:$A$13,0))</f>
        <v>0.07</v>
      </c>
      <c r="AC1473" s="32" t="n">
        <f aca="false">AA1473/(1-AB1473)-AA1473</f>
        <v>14.0974844086022</v>
      </c>
      <c r="AD1473" s="32" t="n">
        <f aca="false">ROUND(AA1473+AC1473,2)</f>
        <v>201.39</v>
      </c>
      <c r="AE1473" s="32" t="n">
        <f aca="false">AD1473-L1473</f>
        <v>56.78</v>
      </c>
      <c r="AF1473" s="34" t="n">
        <f aca="false">IF(L1473=0,0,AE1473/L1473)</f>
        <v>0.392642279233801</v>
      </c>
      <c r="AG1473" s="22" t="str">
        <f aca="false">IF(AD1473&lt;L1473,"PASSARO","ATUAL")</f>
        <v>ATUAL</v>
      </c>
      <c r="AH1473" s="22" t="str">
        <f aca="false">IF(P1473&lt;&gt;A1473,"Faixa cadastrada como "&amp;P1473&amp;" na tabela; preço aplicado pela UF do CEP","")</f>
        <v/>
      </c>
      <c r="AI1473" s="26" t="n">
        <v>218.75</v>
      </c>
      <c r="AJ1473" s="22" t="str">
        <f aca="false">INDEX('Tabela Passaro'!$X$2:$X$1795,$N1473)</f>
        <v>INTERIOR 2</v>
      </c>
    </row>
    <row r="1474" customFormat="false" ht="15" hidden="false" customHeight="false" outlineLevel="0" collapsed="false">
      <c r="A1474" s="22" t="s">
        <v>20</v>
      </c>
      <c r="B1474" s="22" t="n">
        <v>5</v>
      </c>
      <c r="C1474" s="22" t="s">
        <v>155</v>
      </c>
      <c r="D1474" s="22" t="s">
        <v>30</v>
      </c>
      <c r="E1474" s="22" t="s">
        <v>7326</v>
      </c>
      <c r="F1474" s="22" t="n">
        <v>528302</v>
      </c>
      <c r="G1474" s="30" t="n">
        <v>46262</v>
      </c>
      <c r="H1474" s="22" t="n">
        <v>630144</v>
      </c>
      <c r="I1474" s="22" t="s">
        <v>8675</v>
      </c>
      <c r="J1474" s="31" t="n">
        <v>51.06</v>
      </c>
      <c r="K1474" s="26" t="n">
        <v>793.79</v>
      </c>
      <c r="L1474" s="26" t="n">
        <v>296.02</v>
      </c>
      <c r="M1474" s="22" t="s">
        <v>5316</v>
      </c>
      <c r="N1474" s="22" t="n">
        <f aca="false">MATCH(M1474,'Tabela Passaro'!$A$2:$A$1795,0)</f>
        <v>1282</v>
      </c>
      <c r="O1474" s="22" t="str">
        <f aca="false">INDEX('Tabela Passaro'!$C$2:$C$1795,$N1474)</f>
        <v>PETROLINA</v>
      </c>
      <c r="P1474" s="22" t="str">
        <f aca="false">INDEX('Tabela Passaro'!$B$2:$B$1795,$N1474)</f>
        <v>PE</v>
      </c>
      <c r="Q1474" s="22" t="n">
        <f aca="false">INDEX('Tabela Passaro'!$F$2:$F$1795,$N1474)</f>
        <v>12</v>
      </c>
      <c r="R1474" s="32" t="n">
        <f aca="false">IF(J1474&lt;=10,INDEX('Tabela Passaro'!$G$2:$G$1795,$N1474),IF(J1474&lt;=30,INDEX('Tabela Passaro'!$H$2:$H$1795,$N1474),IF(J1474&lt;=50,INDEX('Tabela Passaro'!$I$2:$I$1795,$N1474),IF(J1474&lt;=70,INDEX('Tabela Passaro'!$J$2:$J$1795,$N1474),IF(J1474&lt;=100,INDEX('Tabela Passaro'!$K$2:$K$1795,$N1474),INDEX('Tabela Passaro'!$K$2:$K$1795,$N1474)+(J1474-100)*INDEX('Tabela Passaro'!$L$2:$L$1795,$N1474))))))</f>
        <v>153.58</v>
      </c>
      <c r="S1474" s="32" t="n">
        <f aca="false">K1474*INDEX('Tabela Passaro'!$M$2:$M$1795,$N1474)</f>
        <v>3.96895</v>
      </c>
      <c r="T1474" s="32" t="n">
        <f aca="false">K1474*INDEX('Tabela Passaro'!$N$2:$N$1795,$N1474)</f>
        <v>1.58758</v>
      </c>
      <c r="U1474" s="32" t="n">
        <f aca="false">INDEX('Tabela Passaro'!$O$2:$O$1795,$N1474)</f>
        <v>5</v>
      </c>
      <c r="V1474" s="32" t="n">
        <f aca="false">ROUNDUP(J1474/INDEX('Tabela Passaro'!$Q$2:$Q$1795,$N1474),0)*INDEX('Tabela Passaro'!$P$2:$P$1795,$N1474)</f>
        <v>5</v>
      </c>
      <c r="W1474" s="32" t="n">
        <f aca="false">INDEX('Tabela Passaro'!$R$2:$R$1795,$N1474)</f>
        <v>30</v>
      </c>
      <c r="X1474" s="32" t="n">
        <f aca="false">ROUNDUP(J1474/INDEX('Tabela Passaro'!$T$2:$T$1795,$N1474),0)*INDEX('Tabela Passaro'!$S$2:$S$1795,$N1474)</f>
        <v>0</v>
      </c>
      <c r="Y1474" s="32" t="n">
        <f aca="false">INDEX('Tabela Passaro'!$U$2:$U$1795,$N1474)</f>
        <v>0</v>
      </c>
      <c r="Z1474" s="32" t="n">
        <f aca="false">INDEX('Tabela Passaro'!$V$2:$V$1795,$N1474)</f>
        <v>0</v>
      </c>
      <c r="AA1474" s="32" t="n">
        <f aca="false">SUM(R1474:Z1474)</f>
        <v>199.13653</v>
      </c>
      <c r="AB1474" s="33" t="n">
        <f aca="false">INDEX(Premissas!$B$5:$B$13,MATCH(A1474,Premissas!$A$5:$A$13,0))</f>
        <v>0.07</v>
      </c>
      <c r="AC1474" s="32" t="n">
        <f aca="false">AA1474/(1-AB1474)-AA1474</f>
        <v>14.9887710752688</v>
      </c>
      <c r="AD1474" s="32" t="n">
        <f aca="false">ROUND(AA1474+AC1474,2)</f>
        <v>214.13</v>
      </c>
      <c r="AE1474" s="32" t="n">
        <f aca="false">AD1474-L1474</f>
        <v>-81.89</v>
      </c>
      <c r="AF1474" s="34" t="n">
        <f aca="false">IF(L1474=0,0,AE1474/L1474)</f>
        <v>-0.276636713735558</v>
      </c>
      <c r="AG1474" s="22" t="str">
        <f aca="false">IF(AD1474&lt;L1474,"PASSARO","ATUAL")</f>
        <v>PASSARO</v>
      </c>
      <c r="AH1474" s="22" t="str">
        <f aca="false">IF(P1474&lt;&gt;A1474,"Faixa cadastrada como "&amp;P1474&amp;" na tabela; preço aplicado pela UF do CEP","")</f>
        <v/>
      </c>
      <c r="AI1474" s="26" t="n">
        <v>239.66</v>
      </c>
      <c r="AJ1474" s="22" t="str">
        <f aca="false">INDEX('Tabela Passaro'!$X$2:$X$1795,$N1474)</f>
        <v>INTERIOR 2</v>
      </c>
    </row>
    <row r="1475" customFormat="false" ht="15" hidden="false" customHeight="false" outlineLevel="0" collapsed="false">
      <c r="A1475" s="22" t="s">
        <v>20</v>
      </c>
      <c r="B1475" s="22" t="n">
        <v>5</v>
      </c>
      <c r="C1475" s="22" t="s">
        <v>155</v>
      </c>
      <c r="D1475" s="22" t="s">
        <v>30</v>
      </c>
      <c r="E1475" s="22" t="s">
        <v>20</v>
      </c>
      <c r="F1475" s="22" t="n">
        <v>840658</v>
      </c>
      <c r="G1475" s="30" t="n">
        <v>46265</v>
      </c>
      <c r="H1475" s="22" t="n">
        <v>32858</v>
      </c>
      <c r="I1475" s="22" t="s">
        <v>8676</v>
      </c>
      <c r="J1475" s="31" t="n">
        <v>27.6</v>
      </c>
      <c r="K1475" s="26" t="n">
        <v>802.74</v>
      </c>
      <c r="L1475" s="26" t="n">
        <v>109.74</v>
      </c>
      <c r="M1475" s="22" t="s">
        <v>5316</v>
      </c>
      <c r="N1475" s="22" t="n">
        <f aca="false">MATCH(M1475,'Tabela Passaro'!$A$2:$A$1795,0)</f>
        <v>1282</v>
      </c>
      <c r="O1475" s="22" t="str">
        <f aca="false">INDEX('Tabela Passaro'!$C$2:$C$1795,$N1475)</f>
        <v>PETROLINA</v>
      </c>
      <c r="P1475" s="22" t="str">
        <f aca="false">INDEX('Tabela Passaro'!$B$2:$B$1795,$N1475)</f>
        <v>PE</v>
      </c>
      <c r="Q1475" s="22" t="n">
        <f aca="false">INDEX('Tabela Passaro'!$F$2:$F$1795,$N1475)</f>
        <v>12</v>
      </c>
      <c r="R1475" s="32" t="n">
        <f aca="false">IF(J1475&lt;=10,INDEX('Tabela Passaro'!$G$2:$G$1795,$N1475),IF(J1475&lt;=30,INDEX('Tabela Passaro'!$H$2:$H$1795,$N1475),IF(J1475&lt;=50,INDEX('Tabela Passaro'!$I$2:$I$1795,$N1475),IF(J1475&lt;=70,INDEX('Tabela Passaro'!$J$2:$J$1795,$N1475),IF(J1475&lt;=100,INDEX('Tabela Passaro'!$K$2:$K$1795,$N1475),INDEX('Tabela Passaro'!$K$2:$K$1795,$N1475)+(J1475-100)*INDEX('Tabela Passaro'!$L$2:$L$1795,$N1475))))))</f>
        <v>120.52</v>
      </c>
      <c r="S1475" s="32" t="n">
        <f aca="false">K1475*INDEX('Tabela Passaro'!$M$2:$M$1795,$N1475)</f>
        <v>4.0137</v>
      </c>
      <c r="T1475" s="32" t="n">
        <f aca="false">K1475*INDEX('Tabela Passaro'!$N$2:$N$1795,$N1475)</f>
        <v>1.60548</v>
      </c>
      <c r="U1475" s="32" t="n">
        <f aca="false">INDEX('Tabela Passaro'!$O$2:$O$1795,$N1475)</f>
        <v>5</v>
      </c>
      <c r="V1475" s="32" t="n">
        <f aca="false">ROUNDUP(J1475/INDEX('Tabela Passaro'!$Q$2:$Q$1795,$N1475),0)*INDEX('Tabela Passaro'!$P$2:$P$1795,$N1475)</f>
        <v>5</v>
      </c>
      <c r="W1475" s="32" t="n">
        <f aca="false">INDEX('Tabela Passaro'!$R$2:$R$1795,$N1475)</f>
        <v>30</v>
      </c>
      <c r="X1475" s="32" t="n">
        <f aca="false">ROUNDUP(J1475/INDEX('Tabela Passaro'!$T$2:$T$1795,$N1475),0)*INDEX('Tabela Passaro'!$S$2:$S$1795,$N1475)</f>
        <v>0</v>
      </c>
      <c r="Y1475" s="32" t="n">
        <f aca="false">INDEX('Tabela Passaro'!$U$2:$U$1795,$N1475)</f>
        <v>0</v>
      </c>
      <c r="Z1475" s="32" t="n">
        <f aca="false">INDEX('Tabela Passaro'!$V$2:$V$1795,$N1475)</f>
        <v>0</v>
      </c>
      <c r="AA1475" s="32" t="n">
        <f aca="false">SUM(R1475:Z1475)</f>
        <v>166.13918</v>
      </c>
      <c r="AB1475" s="33" t="n">
        <f aca="false">INDEX(Premissas!$B$5:$B$13,MATCH(A1475,Premissas!$A$5:$A$13,0))</f>
        <v>0.07</v>
      </c>
      <c r="AC1475" s="32" t="n">
        <f aca="false">AA1475/(1-AB1475)-AA1475</f>
        <v>12.5050995698925</v>
      </c>
      <c r="AD1475" s="32" t="n">
        <f aca="false">ROUND(AA1475+AC1475,2)</f>
        <v>178.64</v>
      </c>
      <c r="AE1475" s="32" t="n">
        <f aca="false">AD1475-L1475</f>
        <v>68.9</v>
      </c>
      <c r="AF1475" s="34" t="n">
        <f aca="false">IF(L1475=0,0,AE1475/L1475)</f>
        <v>0.627847639876071</v>
      </c>
      <c r="AG1475" s="22" t="str">
        <f aca="false">IF(AD1475&lt;L1475,"PASSARO","ATUAL")</f>
        <v>ATUAL</v>
      </c>
      <c r="AH1475" s="22" t="str">
        <f aca="false">IF(P1475&lt;&gt;A1475,"Faixa cadastrada como "&amp;P1475&amp;" na tabela; preço aplicado pela UF do CEP","")</f>
        <v/>
      </c>
      <c r="AI1475" s="26" t="n">
        <v>190.56</v>
      </c>
      <c r="AJ1475" s="22" t="str">
        <f aca="false">INDEX('Tabela Passaro'!$X$2:$X$1795,$N1475)</f>
        <v>INTERIOR 2</v>
      </c>
    </row>
    <row r="1476" customFormat="false" ht="15" hidden="false" customHeight="false" outlineLevel="0" collapsed="false">
      <c r="A1476" s="22" t="s">
        <v>20</v>
      </c>
      <c r="B1476" s="22" t="n">
        <v>5</v>
      </c>
      <c r="C1476" s="22" t="s">
        <v>155</v>
      </c>
      <c r="D1476" s="22" t="s">
        <v>34</v>
      </c>
      <c r="E1476" s="22" t="s">
        <v>7399</v>
      </c>
      <c r="F1476" s="22" t="n">
        <v>667557</v>
      </c>
      <c r="G1476" s="30" t="n">
        <v>46262</v>
      </c>
      <c r="H1476" s="22" t="n">
        <v>8645</v>
      </c>
      <c r="I1476" s="22" t="s">
        <v>8677</v>
      </c>
      <c r="J1476" s="31" t="n">
        <v>130.3</v>
      </c>
      <c r="K1476" s="26" t="n">
        <v>1934.01</v>
      </c>
      <c r="L1476" s="26" t="n">
        <v>352.95</v>
      </c>
      <c r="M1476" s="22" t="s">
        <v>5316</v>
      </c>
      <c r="N1476" s="22" t="n">
        <f aca="false">MATCH(M1476,'Tabela Passaro'!$A$2:$A$1795,0)</f>
        <v>1282</v>
      </c>
      <c r="O1476" s="22" t="str">
        <f aca="false">INDEX('Tabela Passaro'!$C$2:$C$1795,$N1476)</f>
        <v>PETROLINA</v>
      </c>
      <c r="P1476" s="22" t="str">
        <f aca="false">INDEX('Tabela Passaro'!$B$2:$B$1795,$N1476)</f>
        <v>PE</v>
      </c>
      <c r="Q1476" s="22" t="n">
        <f aca="false">INDEX('Tabela Passaro'!$F$2:$F$1795,$N1476)</f>
        <v>12</v>
      </c>
      <c r="R1476" s="32" t="n">
        <f aca="false">IF(J1476&lt;=10,INDEX('Tabela Passaro'!$G$2:$G$1795,$N1476),IF(J1476&lt;=30,INDEX('Tabela Passaro'!$H$2:$H$1795,$N1476),IF(J1476&lt;=50,INDEX('Tabela Passaro'!$I$2:$I$1795,$N1476),IF(J1476&lt;=70,INDEX('Tabela Passaro'!$J$2:$J$1795,$N1476),IF(J1476&lt;=100,INDEX('Tabela Passaro'!$K$2:$K$1795,$N1476),INDEX('Tabela Passaro'!$K$2:$K$1795,$N1476)+(J1476-100)*INDEX('Tabela Passaro'!$L$2:$L$1795,$N1476))))))</f>
        <v>232.528</v>
      </c>
      <c r="S1476" s="32" t="n">
        <f aca="false">K1476*INDEX('Tabela Passaro'!$M$2:$M$1795,$N1476)</f>
        <v>9.67005</v>
      </c>
      <c r="T1476" s="32" t="n">
        <f aca="false">K1476*INDEX('Tabela Passaro'!$N$2:$N$1795,$N1476)</f>
        <v>3.86802</v>
      </c>
      <c r="U1476" s="32" t="n">
        <f aca="false">INDEX('Tabela Passaro'!$O$2:$O$1795,$N1476)</f>
        <v>5</v>
      </c>
      <c r="V1476" s="32" t="n">
        <f aca="false">ROUNDUP(J1476/INDEX('Tabela Passaro'!$Q$2:$Q$1795,$N1476),0)*INDEX('Tabela Passaro'!$P$2:$P$1795,$N1476)</f>
        <v>10</v>
      </c>
      <c r="W1476" s="32" t="n">
        <f aca="false">INDEX('Tabela Passaro'!$R$2:$R$1795,$N1476)</f>
        <v>30</v>
      </c>
      <c r="X1476" s="32" t="n">
        <f aca="false">ROUNDUP(J1476/INDEX('Tabela Passaro'!$T$2:$T$1795,$N1476),0)*INDEX('Tabela Passaro'!$S$2:$S$1795,$N1476)</f>
        <v>0</v>
      </c>
      <c r="Y1476" s="32" t="n">
        <f aca="false">INDEX('Tabela Passaro'!$U$2:$U$1795,$N1476)</f>
        <v>0</v>
      </c>
      <c r="Z1476" s="32" t="n">
        <f aca="false">INDEX('Tabela Passaro'!$V$2:$V$1795,$N1476)</f>
        <v>0</v>
      </c>
      <c r="AA1476" s="32" t="n">
        <f aca="false">SUM(R1476:Z1476)</f>
        <v>291.06607</v>
      </c>
      <c r="AB1476" s="33" t="n">
        <f aca="false">INDEX(Premissas!$B$5:$B$13,MATCH(A1476,Premissas!$A$5:$A$13,0))</f>
        <v>0.07</v>
      </c>
      <c r="AC1476" s="32" t="n">
        <f aca="false">AA1476/(1-AB1476)-AA1476</f>
        <v>21.9081988172043</v>
      </c>
      <c r="AD1476" s="32" t="n">
        <f aca="false">ROUND(AA1476+AC1476,2)</f>
        <v>312.97</v>
      </c>
      <c r="AE1476" s="32" t="n">
        <f aca="false">AD1476-L1476</f>
        <v>-39.98</v>
      </c>
      <c r="AF1476" s="34" t="n">
        <f aca="false">IF(L1476=0,0,AE1476/L1476)</f>
        <v>-0.113273834820796</v>
      </c>
      <c r="AG1476" s="22" t="str">
        <f aca="false">IF(AD1476&lt;L1476,"PASSARO","ATUAL")</f>
        <v>PASSARO</v>
      </c>
      <c r="AH1476" s="22" t="str">
        <f aca="false">IF(P1476&lt;&gt;A1476,"Faixa cadastrada como "&amp;P1476&amp;" na tabela; preço aplicado pela UF do CEP","")</f>
        <v/>
      </c>
      <c r="AI1476" s="26" t="n">
        <v>388.68</v>
      </c>
      <c r="AJ1476" s="22" t="str">
        <f aca="false">INDEX('Tabela Passaro'!$X$2:$X$1795,$N1476)</f>
        <v>INTERIOR 2</v>
      </c>
    </row>
    <row r="1477" customFormat="false" ht="15" hidden="false" customHeight="false" outlineLevel="0" collapsed="false">
      <c r="A1477" s="22" t="s">
        <v>20</v>
      </c>
      <c r="B1477" s="22" t="n">
        <v>5</v>
      </c>
      <c r="C1477" s="22" t="s">
        <v>155</v>
      </c>
      <c r="D1477" s="22" t="s">
        <v>31</v>
      </c>
      <c r="E1477" s="22" t="s">
        <v>7326</v>
      </c>
      <c r="F1477" s="22" t="n">
        <v>12737278</v>
      </c>
      <c r="G1477" s="30" t="n">
        <v>46239</v>
      </c>
      <c r="H1477" s="22" t="n">
        <v>620675</v>
      </c>
      <c r="I1477" s="22" t="s">
        <v>8678</v>
      </c>
      <c r="J1477" s="31" t="n">
        <v>22</v>
      </c>
      <c r="K1477" s="26" t="n">
        <v>1021.17</v>
      </c>
      <c r="L1477" s="26" t="n">
        <v>90.15</v>
      </c>
      <c r="M1477" s="22" t="s">
        <v>5316</v>
      </c>
      <c r="N1477" s="22" t="n">
        <f aca="false">MATCH(M1477,'Tabela Passaro'!$A$2:$A$1795,0)</f>
        <v>1282</v>
      </c>
      <c r="O1477" s="22" t="str">
        <f aca="false">INDEX('Tabela Passaro'!$C$2:$C$1795,$N1477)</f>
        <v>PETROLINA</v>
      </c>
      <c r="P1477" s="22" t="str">
        <f aca="false">INDEX('Tabela Passaro'!$B$2:$B$1795,$N1477)</f>
        <v>PE</v>
      </c>
      <c r="Q1477" s="22" t="n">
        <f aca="false">INDEX('Tabela Passaro'!$F$2:$F$1795,$N1477)</f>
        <v>12</v>
      </c>
      <c r="R1477" s="32" t="n">
        <f aca="false">IF(J1477&lt;=10,INDEX('Tabela Passaro'!$G$2:$G$1795,$N1477),IF(J1477&lt;=30,INDEX('Tabela Passaro'!$H$2:$H$1795,$N1477),IF(J1477&lt;=50,INDEX('Tabela Passaro'!$I$2:$I$1795,$N1477),IF(J1477&lt;=70,INDEX('Tabela Passaro'!$J$2:$J$1795,$N1477),IF(J1477&lt;=100,INDEX('Tabela Passaro'!$K$2:$K$1795,$N1477),INDEX('Tabela Passaro'!$K$2:$K$1795,$N1477)+(J1477-100)*INDEX('Tabela Passaro'!$L$2:$L$1795,$N1477))))))</f>
        <v>120.52</v>
      </c>
      <c r="S1477" s="32" t="n">
        <f aca="false">K1477*INDEX('Tabela Passaro'!$M$2:$M$1795,$N1477)</f>
        <v>5.10585</v>
      </c>
      <c r="T1477" s="32" t="n">
        <f aca="false">K1477*INDEX('Tabela Passaro'!$N$2:$N$1795,$N1477)</f>
        <v>2.04234</v>
      </c>
      <c r="U1477" s="32" t="n">
        <f aca="false">INDEX('Tabela Passaro'!$O$2:$O$1795,$N1477)</f>
        <v>5</v>
      </c>
      <c r="V1477" s="32" t="n">
        <f aca="false">ROUNDUP(J1477/INDEX('Tabela Passaro'!$Q$2:$Q$1795,$N1477),0)*INDEX('Tabela Passaro'!$P$2:$P$1795,$N1477)</f>
        <v>5</v>
      </c>
      <c r="W1477" s="32" t="n">
        <f aca="false">INDEX('Tabela Passaro'!$R$2:$R$1795,$N1477)</f>
        <v>30</v>
      </c>
      <c r="X1477" s="32" t="n">
        <f aca="false">ROUNDUP(J1477/INDEX('Tabela Passaro'!$T$2:$T$1795,$N1477),0)*INDEX('Tabela Passaro'!$S$2:$S$1795,$N1477)</f>
        <v>0</v>
      </c>
      <c r="Y1477" s="32" t="n">
        <f aca="false">INDEX('Tabela Passaro'!$U$2:$U$1795,$N1477)</f>
        <v>0</v>
      </c>
      <c r="Z1477" s="32" t="n">
        <f aca="false">INDEX('Tabela Passaro'!$V$2:$V$1795,$N1477)</f>
        <v>0</v>
      </c>
      <c r="AA1477" s="32" t="n">
        <f aca="false">SUM(R1477:Z1477)</f>
        <v>167.66819</v>
      </c>
      <c r="AB1477" s="33" t="n">
        <f aca="false">INDEX(Premissas!$B$5:$B$13,MATCH(A1477,Premissas!$A$5:$A$13,0))</f>
        <v>0.07</v>
      </c>
      <c r="AC1477" s="32" t="n">
        <f aca="false">AA1477/(1-AB1477)-AA1477</f>
        <v>12.620186344086</v>
      </c>
      <c r="AD1477" s="32" t="n">
        <f aca="false">ROUND(AA1477+AC1477,2)</f>
        <v>180.29</v>
      </c>
      <c r="AE1477" s="32" t="n">
        <f aca="false">AD1477-L1477</f>
        <v>90.14</v>
      </c>
      <c r="AF1477" s="34" t="n">
        <f aca="false">IF(L1477=0,0,AE1477/L1477)</f>
        <v>0.999889073765945</v>
      </c>
      <c r="AG1477" s="22" t="str">
        <f aca="false">IF(AD1477&lt;L1477,"PASSARO","ATUAL")</f>
        <v>ATUAL</v>
      </c>
      <c r="AH1477" s="22" t="str">
        <f aca="false">IF(P1477&lt;&gt;A1477,"Faixa cadastrada como "&amp;P1477&amp;" na tabela; preço aplicado pela UF do CEP","")</f>
        <v/>
      </c>
      <c r="AI1477" s="26" t="n">
        <v>189.77</v>
      </c>
      <c r="AJ1477" s="22" t="str">
        <f aca="false">INDEX('Tabela Passaro'!$X$2:$X$1795,$N1477)</f>
        <v>INTERIOR 2</v>
      </c>
    </row>
    <row r="1478" customFormat="false" ht="15" hidden="false" customHeight="false" outlineLevel="0" collapsed="false">
      <c r="A1478" s="22" t="s">
        <v>20</v>
      </c>
      <c r="B1478" s="22" t="n">
        <v>5</v>
      </c>
      <c r="C1478" s="22" t="s">
        <v>155</v>
      </c>
      <c r="D1478" s="22" t="s">
        <v>31</v>
      </c>
      <c r="E1478" s="22" t="s">
        <v>7326</v>
      </c>
      <c r="F1478" s="22" t="n">
        <v>12755994</v>
      </c>
      <c r="G1478" s="30" t="n">
        <v>46244</v>
      </c>
      <c r="H1478" s="22" t="n">
        <v>621874</v>
      </c>
      <c r="I1478" s="22" t="s">
        <v>8679</v>
      </c>
      <c r="J1478" s="31" t="n">
        <v>19.4</v>
      </c>
      <c r="K1478" s="26" t="n">
        <v>471.99</v>
      </c>
      <c r="L1478" s="26" t="n">
        <v>87.09</v>
      </c>
      <c r="M1478" s="22" t="s">
        <v>5316</v>
      </c>
      <c r="N1478" s="22" t="n">
        <f aca="false">MATCH(M1478,'Tabela Passaro'!$A$2:$A$1795,0)</f>
        <v>1282</v>
      </c>
      <c r="O1478" s="22" t="str">
        <f aca="false">INDEX('Tabela Passaro'!$C$2:$C$1795,$N1478)</f>
        <v>PETROLINA</v>
      </c>
      <c r="P1478" s="22" t="str">
        <f aca="false">INDEX('Tabela Passaro'!$B$2:$B$1795,$N1478)</f>
        <v>PE</v>
      </c>
      <c r="Q1478" s="22" t="n">
        <f aca="false">INDEX('Tabela Passaro'!$F$2:$F$1795,$N1478)</f>
        <v>12</v>
      </c>
      <c r="R1478" s="32" t="n">
        <f aca="false">IF(J1478&lt;=10,INDEX('Tabela Passaro'!$G$2:$G$1795,$N1478),IF(J1478&lt;=30,INDEX('Tabela Passaro'!$H$2:$H$1795,$N1478),IF(J1478&lt;=50,INDEX('Tabela Passaro'!$I$2:$I$1795,$N1478),IF(J1478&lt;=70,INDEX('Tabela Passaro'!$J$2:$J$1795,$N1478),IF(J1478&lt;=100,INDEX('Tabela Passaro'!$K$2:$K$1795,$N1478),INDEX('Tabela Passaro'!$K$2:$K$1795,$N1478)+(J1478-100)*INDEX('Tabela Passaro'!$L$2:$L$1795,$N1478))))))</f>
        <v>120.52</v>
      </c>
      <c r="S1478" s="32" t="n">
        <f aca="false">K1478*INDEX('Tabela Passaro'!$M$2:$M$1795,$N1478)</f>
        <v>2.35995</v>
      </c>
      <c r="T1478" s="32" t="n">
        <f aca="false">K1478*INDEX('Tabela Passaro'!$N$2:$N$1795,$N1478)</f>
        <v>0.94398</v>
      </c>
      <c r="U1478" s="32" t="n">
        <f aca="false">INDEX('Tabela Passaro'!$O$2:$O$1795,$N1478)</f>
        <v>5</v>
      </c>
      <c r="V1478" s="32" t="n">
        <f aca="false">ROUNDUP(J1478/INDEX('Tabela Passaro'!$Q$2:$Q$1795,$N1478),0)*INDEX('Tabela Passaro'!$P$2:$P$1795,$N1478)</f>
        <v>5</v>
      </c>
      <c r="W1478" s="32" t="n">
        <f aca="false">INDEX('Tabela Passaro'!$R$2:$R$1795,$N1478)</f>
        <v>30</v>
      </c>
      <c r="X1478" s="32" t="n">
        <f aca="false">ROUNDUP(J1478/INDEX('Tabela Passaro'!$T$2:$T$1795,$N1478),0)*INDEX('Tabela Passaro'!$S$2:$S$1795,$N1478)</f>
        <v>0</v>
      </c>
      <c r="Y1478" s="32" t="n">
        <f aca="false">INDEX('Tabela Passaro'!$U$2:$U$1795,$N1478)</f>
        <v>0</v>
      </c>
      <c r="Z1478" s="32" t="n">
        <f aca="false">INDEX('Tabela Passaro'!$V$2:$V$1795,$N1478)</f>
        <v>0</v>
      </c>
      <c r="AA1478" s="32" t="n">
        <f aca="false">SUM(R1478:Z1478)</f>
        <v>163.82393</v>
      </c>
      <c r="AB1478" s="33" t="n">
        <f aca="false">INDEX(Premissas!$B$5:$B$13,MATCH(A1478,Premissas!$A$5:$A$13,0))</f>
        <v>0.07</v>
      </c>
      <c r="AC1478" s="32" t="n">
        <f aca="false">AA1478/(1-AB1478)-AA1478</f>
        <v>12.3308334408602</v>
      </c>
      <c r="AD1478" s="32" t="n">
        <f aca="false">ROUND(AA1478+AC1478,2)</f>
        <v>176.15</v>
      </c>
      <c r="AE1478" s="32" t="n">
        <f aca="false">AD1478-L1478</f>
        <v>89.06</v>
      </c>
      <c r="AF1478" s="34" t="n">
        <f aca="false">IF(L1478=0,0,AE1478/L1478)</f>
        <v>1.02262027787346</v>
      </c>
      <c r="AG1478" s="22" t="str">
        <f aca="false">IF(AD1478&lt;L1478,"PASSARO","ATUAL")</f>
        <v>ATUAL</v>
      </c>
      <c r="AH1478" s="22" t="str">
        <f aca="false">IF(P1478&lt;&gt;A1478,"Faixa cadastrada como "&amp;P1478&amp;" na tabela; preço aplicado pela UF do CEP","")</f>
        <v/>
      </c>
      <c r="AI1478" s="26" t="n">
        <v>183.49</v>
      </c>
      <c r="AJ1478" s="22" t="str">
        <f aca="false">INDEX('Tabela Passaro'!$X$2:$X$1795,$N1478)</f>
        <v>INTERIOR 2</v>
      </c>
    </row>
    <row r="1479" customFormat="false" ht="15" hidden="false" customHeight="false" outlineLevel="0" collapsed="false">
      <c r="A1479" s="22" t="s">
        <v>20</v>
      </c>
      <c r="B1479" s="22" t="n">
        <v>6</v>
      </c>
      <c r="C1479" s="22" t="s">
        <v>157</v>
      </c>
      <c r="D1479" s="22" t="s">
        <v>30</v>
      </c>
      <c r="E1479" s="22" t="s">
        <v>7326</v>
      </c>
      <c r="F1479" s="22" t="n">
        <v>522262</v>
      </c>
      <c r="G1479" s="30" t="n">
        <v>46238</v>
      </c>
      <c r="H1479" s="22" t="n">
        <v>620119</v>
      </c>
      <c r="I1479" s="22" t="s">
        <v>8680</v>
      </c>
      <c r="J1479" s="31" t="n">
        <v>36.9</v>
      </c>
      <c r="K1479" s="26" t="n">
        <v>679.98</v>
      </c>
      <c r="L1479" s="26" t="n">
        <v>205.44</v>
      </c>
      <c r="M1479" s="22" t="s">
        <v>4839</v>
      </c>
      <c r="N1479" s="22" t="n">
        <f aca="false">MATCH(M1479,'Tabela Passaro'!$A$2:$A$1795,0)</f>
        <v>1160</v>
      </c>
      <c r="O1479" s="22" t="str">
        <f aca="false">INDEX('Tabela Passaro'!$C$2:$C$1795,$N1479)</f>
        <v>CARUARU</v>
      </c>
      <c r="P1479" s="22" t="str">
        <f aca="false">INDEX('Tabela Passaro'!$B$2:$B$1795,$N1479)</f>
        <v>PE</v>
      </c>
      <c r="Q1479" s="22" t="n">
        <f aca="false">INDEX('Tabela Passaro'!$F$2:$F$1795,$N1479)</f>
        <v>11</v>
      </c>
      <c r="R1479" s="32" t="n">
        <f aca="false">IF(J1479&lt;=10,INDEX('Tabela Passaro'!$G$2:$G$1795,$N1479),IF(J1479&lt;=30,INDEX('Tabela Passaro'!$H$2:$H$1795,$N1479),IF(J1479&lt;=50,INDEX('Tabela Passaro'!$I$2:$I$1795,$N1479),IF(J1479&lt;=70,INDEX('Tabela Passaro'!$J$2:$J$1795,$N1479),IF(J1479&lt;=100,INDEX('Tabela Passaro'!$K$2:$K$1795,$N1479),INDEX('Tabela Passaro'!$K$2:$K$1795,$N1479)+(J1479-100)*INDEX('Tabela Passaro'!$L$2:$L$1795,$N1479))))))</f>
        <v>111.04</v>
      </c>
      <c r="S1479" s="32" t="n">
        <f aca="false">K1479*INDEX('Tabela Passaro'!$M$2:$M$1795,$N1479)</f>
        <v>3.3999</v>
      </c>
      <c r="T1479" s="32" t="n">
        <f aca="false">K1479*INDEX('Tabela Passaro'!$N$2:$N$1795,$N1479)</f>
        <v>1.35996</v>
      </c>
      <c r="U1479" s="32" t="n">
        <f aca="false">INDEX('Tabela Passaro'!$O$2:$O$1795,$N1479)</f>
        <v>5</v>
      </c>
      <c r="V1479" s="32" t="n">
        <f aca="false">ROUNDUP(J1479/INDEX('Tabela Passaro'!$Q$2:$Q$1795,$N1479),0)*INDEX('Tabela Passaro'!$P$2:$P$1795,$N1479)</f>
        <v>5</v>
      </c>
      <c r="W1479" s="32" t="n">
        <f aca="false">INDEX('Tabela Passaro'!$R$2:$R$1795,$N1479)</f>
        <v>30</v>
      </c>
      <c r="X1479" s="32" t="n">
        <f aca="false">ROUNDUP(J1479/INDEX('Tabela Passaro'!$T$2:$T$1795,$N1479),0)*INDEX('Tabela Passaro'!$S$2:$S$1795,$N1479)</f>
        <v>0</v>
      </c>
      <c r="Y1479" s="32" t="n">
        <f aca="false">INDEX('Tabela Passaro'!$U$2:$U$1795,$N1479)</f>
        <v>0</v>
      </c>
      <c r="Z1479" s="32" t="n">
        <f aca="false">INDEX('Tabela Passaro'!$V$2:$V$1795,$N1479)</f>
        <v>0</v>
      </c>
      <c r="AA1479" s="32" t="n">
        <f aca="false">SUM(R1479:Z1479)</f>
        <v>155.79986</v>
      </c>
      <c r="AB1479" s="33" t="n">
        <f aca="false">INDEX(Premissas!$B$5:$B$13,MATCH(A1479,Premissas!$A$5:$A$13,0))</f>
        <v>0.07</v>
      </c>
      <c r="AC1479" s="32" t="n">
        <f aca="false">AA1479/(1-AB1479)-AA1479</f>
        <v>11.7268711827957</v>
      </c>
      <c r="AD1479" s="32" t="n">
        <f aca="false">ROUND(AA1479+AC1479,2)</f>
        <v>167.53</v>
      </c>
      <c r="AE1479" s="32" t="n">
        <f aca="false">AD1479-L1479</f>
        <v>-37.91</v>
      </c>
      <c r="AF1479" s="34" t="n">
        <f aca="false">IF(L1479=0,0,AE1479/L1479)</f>
        <v>-0.184530763239875</v>
      </c>
      <c r="AG1479" s="22" t="str">
        <f aca="false">IF(AD1479&lt;L1479,"PASSARO","ATUAL")</f>
        <v>PASSARO</v>
      </c>
      <c r="AH1479" s="22" t="str">
        <f aca="false">IF(P1479&lt;&gt;A1479,"Faixa cadastrada como "&amp;P1479&amp;" na tabela; preço aplicado pela UF do CEP","")</f>
        <v/>
      </c>
      <c r="AI1479" s="26" t="n">
        <v>182.96</v>
      </c>
      <c r="AJ1479" s="22" t="str">
        <f aca="false">INDEX('Tabela Passaro'!$X$2:$X$1795,$N1479)</f>
        <v>INTERIOR 1</v>
      </c>
    </row>
    <row r="1480" customFormat="false" ht="15" hidden="false" customHeight="false" outlineLevel="0" collapsed="false">
      <c r="A1480" s="22" t="s">
        <v>20</v>
      </c>
      <c r="B1480" s="22" t="n">
        <v>6</v>
      </c>
      <c r="C1480" s="22" t="s">
        <v>157</v>
      </c>
      <c r="D1480" s="22" t="s">
        <v>30</v>
      </c>
      <c r="E1480" s="22" t="s">
        <v>7328</v>
      </c>
      <c r="F1480" s="22" t="n">
        <v>2307876</v>
      </c>
      <c r="G1480" s="30" t="n">
        <v>46239</v>
      </c>
      <c r="H1480" s="22" t="n">
        <v>131855</v>
      </c>
      <c r="I1480" s="22" t="s">
        <v>8681</v>
      </c>
      <c r="J1480" s="31" t="n">
        <v>30.9</v>
      </c>
      <c r="K1480" s="26" t="n">
        <v>503.48</v>
      </c>
      <c r="L1480" s="26" t="n">
        <v>181.23</v>
      </c>
      <c r="M1480" s="22" t="s">
        <v>4839</v>
      </c>
      <c r="N1480" s="22" t="n">
        <f aca="false">MATCH(M1480,'Tabela Passaro'!$A$2:$A$1795,0)</f>
        <v>1160</v>
      </c>
      <c r="O1480" s="22" t="str">
        <f aca="false">INDEX('Tabela Passaro'!$C$2:$C$1795,$N1480)</f>
        <v>CARUARU</v>
      </c>
      <c r="P1480" s="22" t="str">
        <f aca="false">INDEX('Tabela Passaro'!$B$2:$B$1795,$N1480)</f>
        <v>PE</v>
      </c>
      <c r="Q1480" s="22" t="n">
        <f aca="false">INDEX('Tabela Passaro'!$F$2:$F$1795,$N1480)</f>
        <v>11</v>
      </c>
      <c r="R1480" s="32" t="n">
        <f aca="false">IF(J1480&lt;=10,INDEX('Tabela Passaro'!$G$2:$G$1795,$N1480),IF(J1480&lt;=30,INDEX('Tabela Passaro'!$H$2:$H$1795,$N1480),IF(J1480&lt;=50,INDEX('Tabela Passaro'!$I$2:$I$1795,$N1480),IF(J1480&lt;=70,INDEX('Tabela Passaro'!$J$2:$J$1795,$N1480),IF(J1480&lt;=100,INDEX('Tabela Passaro'!$K$2:$K$1795,$N1480),INDEX('Tabela Passaro'!$K$2:$K$1795,$N1480)+(J1480-100)*INDEX('Tabela Passaro'!$L$2:$L$1795,$N1480))))))</f>
        <v>111.04</v>
      </c>
      <c r="S1480" s="32" t="n">
        <f aca="false">K1480*INDEX('Tabela Passaro'!$M$2:$M$1795,$N1480)</f>
        <v>2.5174</v>
      </c>
      <c r="T1480" s="32" t="n">
        <f aca="false">K1480*INDEX('Tabela Passaro'!$N$2:$N$1795,$N1480)</f>
        <v>1.00696</v>
      </c>
      <c r="U1480" s="32" t="n">
        <f aca="false">INDEX('Tabela Passaro'!$O$2:$O$1795,$N1480)</f>
        <v>5</v>
      </c>
      <c r="V1480" s="32" t="n">
        <f aca="false">ROUNDUP(J1480/INDEX('Tabela Passaro'!$Q$2:$Q$1795,$N1480),0)*INDEX('Tabela Passaro'!$P$2:$P$1795,$N1480)</f>
        <v>5</v>
      </c>
      <c r="W1480" s="32" t="n">
        <f aca="false">INDEX('Tabela Passaro'!$R$2:$R$1795,$N1480)</f>
        <v>30</v>
      </c>
      <c r="X1480" s="32" t="n">
        <f aca="false">ROUNDUP(J1480/INDEX('Tabela Passaro'!$T$2:$T$1795,$N1480),0)*INDEX('Tabela Passaro'!$S$2:$S$1795,$N1480)</f>
        <v>0</v>
      </c>
      <c r="Y1480" s="32" t="n">
        <f aca="false">INDEX('Tabela Passaro'!$U$2:$U$1795,$N1480)</f>
        <v>0</v>
      </c>
      <c r="Z1480" s="32" t="n">
        <f aca="false">INDEX('Tabela Passaro'!$V$2:$V$1795,$N1480)</f>
        <v>0</v>
      </c>
      <c r="AA1480" s="32" t="n">
        <f aca="false">SUM(R1480:Z1480)</f>
        <v>154.56436</v>
      </c>
      <c r="AB1480" s="33" t="n">
        <f aca="false">INDEX(Premissas!$B$5:$B$13,MATCH(A1480,Premissas!$A$5:$A$13,0))</f>
        <v>0.07</v>
      </c>
      <c r="AC1480" s="32" t="n">
        <f aca="false">AA1480/(1-AB1480)-AA1480</f>
        <v>11.6338765591398</v>
      </c>
      <c r="AD1480" s="32" t="n">
        <f aca="false">ROUND(AA1480+AC1480,2)</f>
        <v>166.2</v>
      </c>
      <c r="AE1480" s="32" t="n">
        <f aca="false">AD1480-L1480</f>
        <v>-15.03</v>
      </c>
      <c r="AF1480" s="34" t="n">
        <f aca="false">IF(L1480=0,0,AE1480/L1480)</f>
        <v>-0.0829332891905314</v>
      </c>
      <c r="AG1480" s="22" t="str">
        <f aca="false">IF(AD1480&lt;L1480,"PASSARO","ATUAL")</f>
        <v>PASSARO</v>
      </c>
      <c r="AH1480" s="22" t="str">
        <f aca="false">IF(P1480&lt;&gt;A1480,"Faixa cadastrada como "&amp;P1480&amp;" na tabela; preço aplicado pela UF do CEP","")</f>
        <v/>
      </c>
      <c r="AI1480" s="26" t="n">
        <v>178.35</v>
      </c>
      <c r="AJ1480" s="22" t="str">
        <f aca="false">INDEX('Tabela Passaro'!$X$2:$X$1795,$N1480)</f>
        <v>INTERIOR 1</v>
      </c>
    </row>
    <row r="1481" customFormat="false" ht="15" hidden="false" customHeight="false" outlineLevel="0" collapsed="false">
      <c r="A1481" s="22" t="s">
        <v>20</v>
      </c>
      <c r="B1481" s="22" t="n">
        <v>6</v>
      </c>
      <c r="C1481" s="22" t="s">
        <v>157</v>
      </c>
      <c r="D1481" s="22" t="s">
        <v>30</v>
      </c>
      <c r="E1481" s="22" t="s">
        <v>7328</v>
      </c>
      <c r="F1481" s="22" t="n">
        <v>2307897</v>
      </c>
      <c r="G1481" s="30" t="n">
        <v>46239</v>
      </c>
      <c r="H1481" s="22" t="n">
        <v>131915</v>
      </c>
      <c r="I1481" s="22" t="s">
        <v>8682</v>
      </c>
      <c r="J1481" s="31" t="n">
        <v>45.3</v>
      </c>
      <c r="K1481" s="26" t="n">
        <v>885.01</v>
      </c>
      <c r="L1481" s="26" t="n">
        <v>184.25</v>
      </c>
      <c r="M1481" s="22" t="s">
        <v>4839</v>
      </c>
      <c r="N1481" s="22" t="n">
        <f aca="false">MATCH(M1481,'Tabela Passaro'!$A$2:$A$1795,0)</f>
        <v>1160</v>
      </c>
      <c r="O1481" s="22" t="str">
        <f aca="false">INDEX('Tabela Passaro'!$C$2:$C$1795,$N1481)</f>
        <v>CARUARU</v>
      </c>
      <c r="P1481" s="22" t="str">
        <f aca="false">INDEX('Tabela Passaro'!$B$2:$B$1795,$N1481)</f>
        <v>PE</v>
      </c>
      <c r="Q1481" s="22" t="n">
        <f aca="false">INDEX('Tabela Passaro'!$F$2:$F$1795,$N1481)</f>
        <v>11</v>
      </c>
      <c r="R1481" s="32" t="n">
        <f aca="false">IF(J1481&lt;=10,INDEX('Tabela Passaro'!$G$2:$G$1795,$N1481),IF(J1481&lt;=30,INDEX('Tabela Passaro'!$H$2:$H$1795,$N1481),IF(J1481&lt;=50,INDEX('Tabela Passaro'!$I$2:$I$1795,$N1481),IF(J1481&lt;=70,INDEX('Tabela Passaro'!$J$2:$J$1795,$N1481),IF(J1481&lt;=100,INDEX('Tabela Passaro'!$K$2:$K$1795,$N1481),INDEX('Tabela Passaro'!$K$2:$K$1795,$N1481)+(J1481-100)*INDEX('Tabela Passaro'!$L$2:$L$1795,$N1481))))))</f>
        <v>111.04</v>
      </c>
      <c r="S1481" s="32" t="n">
        <f aca="false">K1481*INDEX('Tabela Passaro'!$M$2:$M$1795,$N1481)</f>
        <v>4.42505</v>
      </c>
      <c r="T1481" s="32" t="n">
        <f aca="false">K1481*INDEX('Tabela Passaro'!$N$2:$N$1795,$N1481)</f>
        <v>1.77002</v>
      </c>
      <c r="U1481" s="32" t="n">
        <f aca="false">INDEX('Tabela Passaro'!$O$2:$O$1795,$N1481)</f>
        <v>5</v>
      </c>
      <c r="V1481" s="32" t="n">
        <f aca="false">ROUNDUP(J1481/INDEX('Tabela Passaro'!$Q$2:$Q$1795,$N1481),0)*INDEX('Tabela Passaro'!$P$2:$P$1795,$N1481)</f>
        <v>5</v>
      </c>
      <c r="W1481" s="32" t="n">
        <f aca="false">INDEX('Tabela Passaro'!$R$2:$R$1795,$N1481)</f>
        <v>30</v>
      </c>
      <c r="X1481" s="32" t="n">
        <f aca="false">ROUNDUP(J1481/INDEX('Tabela Passaro'!$T$2:$T$1795,$N1481),0)*INDEX('Tabela Passaro'!$S$2:$S$1795,$N1481)</f>
        <v>0</v>
      </c>
      <c r="Y1481" s="32" t="n">
        <f aca="false">INDEX('Tabela Passaro'!$U$2:$U$1795,$N1481)</f>
        <v>0</v>
      </c>
      <c r="Z1481" s="32" t="n">
        <f aca="false">INDEX('Tabela Passaro'!$V$2:$V$1795,$N1481)</f>
        <v>0</v>
      </c>
      <c r="AA1481" s="32" t="n">
        <f aca="false">SUM(R1481:Z1481)</f>
        <v>157.23507</v>
      </c>
      <c r="AB1481" s="33" t="n">
        <f aca="false">INDEX(Premissas!$B$5:$B$13,MATCH(A1481,Premissas!$A$5:$A$13,0))</f>
        <v>0.07</v>
      </c>
      <c r="AC1481" s="32" t="n">
        <f aca="false">AA1481/(1-AB1481)-AA1481</f>
        <v>11.8348977419355</v>
      </c>
      <c r="AD1481" s="32" t="n">
        <f aca="false">ROUND(AA1481+AC1481,2)</f>
        <v>169.07</v>
      </c>
      <c r="AE1481" s="32" t="n">
        <f aca="false">AD1481-L1481</f>
        <v>-15.18</v>
      </c>
      <c r="AF1481" s="34" t="n">
        <f aca="false">IF(L1481=0,0,AE1481/L1481)</f>
        <v>-0.0823880597014926</v>
      </c>
      <c r="AG1481" s="22" t="str">
        <f aca="false">IF(AD1481&lt;L1481,"PASSARO","ATUAL")</f>
        <v>PASSARO</v>
      </c>
      <c r="AH1481" s="22" t="str">
        <f aca="false">IF(P1481&lt;&gt;A1481,"Faixa cadastrada como "&amp;P1481&amp;" na tabela; preço aplicado pela UF do CEP","")</f>
        <v/>
      </c>
      <c r="AI1481" s="26" t="n">
        <v>189.3</v>
      </c>
      <c r="AJ1481" s="22" t="str">
        <f aca="false">INDEX('Tabela Passaro'!$X$2:$X$1795,$N1481)</f>
        <v>INTERIOR 1</v>
      </c>
    </row>
    <row r="1482" customFormat="false" ht="15" hidden="false" customHeight="false" outlineLevel="0" collapsed="false">
      <c r="A1482" s="22" t="s">
        <v>20</v>
      </c>
      <c r="B1482" s="22" t="n">
        <v>6</v>
      </c>
      <c r="C1482" s="22" t="s">
        <v>157</v>
      </c>
      <c r="D1482" s="22" t="s">
        <v>30</v>
      </c>
      <c r="E1482" s="22" t="s">
        <v>7326</v>
      </c>
      <c r="F1482" s="22" t="n">
        <v>522856</v>
      </c>
      <c r="G1482" s="30" t="n">
        <v>46240</v>
      </c>
      <c r="H1482" s="22" t="n">
        <v>620948</v>
      </c>
      <c r="I1482" s="22" t="s">
        <v>8683</v>
      </c>
      <c r="J1482" s="31" t="n">
        <v>54.1</v>
      </c>
      <c r="K1482" s="26" t="n">
        <v>1197.79</v>
      </c>
      <c r="L1482" s="26" t="n">
        <v>272.24</v>
      </c>
      <c r="M1482" s="22" t="s">
        <v>4839</v>
      </c>
      <c r="N1482" s="22" t="n">
        <f aca="false">MATCH(M1482,'Tabela Passaro'!$A$2:$A$1795,0)</f>
        <v>1160</v>
      </c>
      <c r="O1482" s="22" t="str">
        <f aca="false">INDEX('Tabela Passaro'!$C$2:$C$1795,$N1482)</f>
        <v>CARUARU</v>
      </c>
      <c r="P1482" s="22" t="str">
        <f aca="false">INDEX('Tabela Passaro'!$B$2:$B$1795,$N1482)</f>
        <v>PE</v>
      </c>
      <c r="Q1482" s="22" t="n">
        <f aca="false">INDEX('Tabela Passaro'!$F$2:$F$1795,$N1482)</f>
        <v>11</v>
      </c>
      <c r="R1482" s="32" t="n">
        <f aca="false">IF(J1482&lt;=10,INDEX('Tabela Passaro'!$G$2:$G$1795,$N1482),IF(J1482&lt;=30,INDEX('Tabela Passaro'!$H$2:$H$1795,$N1482),IF(J1482&lt;=50,INDEX('Tabela Passaro'!$I$2:$I$1795,$N1482),IF(J1482&lt;=70,INDEX('Tabela Passaro'!$J$2:$J$1795,$N1482),IF(J1482&lt;=100,INDEX('Tabela Passaro'!$K$2:$K$1795,$N1482),INDEX('Tabela Passaro'!$K$2:$K$1795,$N1482)+(J1482-100)*INDEX('Tabela Passaro'!$L$2:$L$1795,$N1482))))))</f>
        <v>122.06</v>
      </c>
      <c r="S1482" s="32" t="n">
        <f aca="false">K1482*INDEX('Tabela Passaro'!$M$2:$M$1795,$N1482)</f>
        <v>5.98895</v>
      </c>
      <c r="T1482" s="32" t="n">
        <f aca="false">K1482*INDEX('Tabela Passaro'!$N$2:$N$1795,$N1482)</f>
        <v>2.39558</v>
      </c>
      <c r="U1482" s="32" t="n">
        <f aca="false">INDEX('Tabela Passaro'!$O$2:$O$1795,$N1482)</f>
        <v>5</v>
      </c>
      <c r="V1482" s="32" t="n">
        <f aca="false">ROUNDUP(J1482/INDEX('Tabela Passaro'!$Q$2:$Q$1795,$N1482),0)*INDEX('Tabela Passaro'!$P$2:$P$1795,$N1482)</f>
        <v>5</v>
      </c>
      <c r="W1482" s="32" t="n">
        <f aca="false">INDEX('Tabela Passaro'!$R$2:$R$1795,$N1482)</f>
        <v>30</v>
      </c>
      <c r="X1482" s="32" t="n">
        <f aca="false">ROUNDUP(J1482/INDEX('Tabela Passaro'!$T$2:$T$1795,$N1482),0)*INDEX('Tabela Passaro'!$S$2:$S$1795,$N1482)</f>
        <v>0</v>
      </c>
      <c r="Y1482" s="32" t="n">
        <f aca="false">INDEX('Tabela Passaro'!$U$2:$U$1795,$N1482)</f>
        <v>0</v>
      </c>
      <c r="Z1482" s="32" t="n">
        <f aca="false">INDEX('Tabela Passaro'!$V$2:$V$1795,$N1482)</f>
        <v>0</v>
      </c>
      <c r="AA1482" s="32" t="n">
        <f aca="false">SUM(R1482:Z1482)</f>
        <v>170.44453</v>
      </c>
      <c r="AB1482" s="33" t="n">
        <f aca="false">INDEX(Premissas!$B$5:$B$13,MATCH(A1482,Premissas!$A$5:$A$13,0))</f>
        <v>0.07</v>
      </c>
      <c r="AC1482" s="32" t="n">
        <f aca="false">AA1482/(1-AB1482)-AA1482</f>
        <v>12.829158172043</v>
      </c>
      <c r="AD1482" s="32" t="n">
        <f aca="false">ROUND(AA1482+AC1482,2)</f>
        <v>183.27</v>
      </c>
      <c r="AE1482" s="32" t="n">
        <f aca="false">AD1482-L1482</f>
        <v>-88.97</v>
      </c>
      <c r="AF1482" s="34" t="n">
        <f aca="false">IF(L1482=0,0,AE1482/L1482)</f>
        <v>-0.326807228915663</v>
      </c>
      <c r="AG1482" s="22" t="str">
        <f aca="false">IF(AD1482&lt;L1482,"PASSARO","ATUAL")</f>
        <v>PASSARO</v>
      </c>
      <c r="AH1482" s="22" t="str">
        <f aca="false">IF(P1482&lt;&gt;A1482,"Faixa cadastrada como "&amp;P1482&amp;" na tabela; preço aplicado pela UF do CEP","")</f>
        <v/>
      </c>
      <c r="AI1482" s="26" t="n">
        <v>209.2</v>
      </c>
      <c r="AJ1482" s="22" t="str">
        <f aca="false">INDEX('Tabela Passaro'!$X$2:$X$1795,$N1482)</f>
        <v>INTERIOR 1</v>
      </c>
    </row>
    <row r="1483" customFormat="false" ht="15" hidden="false" customHeight="false" outlineLevel="0" collapsed="false">
      <c r="A1483" s="22" t="s">
        <v>20</v>
      </c>
      <c r="B1483" s="22" t="n">
        <v>6</v>
      </c>
      <c r="C1483" s="22" t="s">
        <v>157</v>
      </c>
      <c r="D1483" s="22" t="s">
        <v>30</v>
      </c>
      <c r="E1483" s="22" t="s">
        <v>20</v>
      </c>
      <c r="F1483" s="22" t="n">
        <v>838419</v>
      </c>
      <c r="G1483" s="30" t="n">
        <v>46244</v>
      </c>
      <c r="H1483" s="22" t="n">
        <v>32471</v>
      </c>
      <c r="I1483" s="22" t="s">
        <v>8684</v>
      </c>
      <c r="J1483" s="31" t="n">
        <v>15</v>
      </c>
      <c r="K1483" s="26" t="n">
        <v>397.48</v>
      </c>
      <c r="L1483" s="26" t="n">
        <v>70.66</v>
      </c>
      <c r="M1483" s="22" t="s">
        <v>4839</v>
      </c>
      <c r="N1483" s="22" t="n">
        <f aca="false">MATCH(M1483,'Tabela Passaro'!$A$2:$A$1795,0)</f>
        <v>1160</v>
      </c>
      <c r="O1483" s="22" t="str">
        <f aca="false">INDEX('Tabela Passaro'!$C$2:$C$1795,$N1483)</f>
        <v>CARUARU</v>
      </c>
      <c r="P1483" s="22" t="str">
        <f aca="false">INDEX('Tabela Passaro'!$B$2:$B$1795,$N1483)</f>
        <v>PE</v>
      </c>
      <c r="Q1483" s="22" t="n">
        <f aca="false">INDEX('Tabela Passaro'!$F$2:$F$1795,$N1483)</f>
        <v>11</v>
      </c>
      <c r="R1483" s="32" t="n">
        <f aca="false">IF(J1483&lt;=10,INDEX('Tabela Passaro'!$G$2:$G$1795,$N1483),IF(J1483&lt;=30,INDEX('Tabela Passaro'!$H$2:$H$1795,$N1483),IF(J1483&lt;=50,INDEX('Tabela Passaro'!$I$2:$I$1795,$N1483),IF(J1483&lt;=70,INDEX('Tabela Passaro'!$J$2:$J$1795,$N1483),IF(J1483&lt;=100,INDEX('Tabela Passaro'!$K$2:$K$1795,$N1483),INDEX('Tabela Passaro'!$K$2:$K$1795,$N1483)+(J1483-100)*INDEX('Tabela Passaro'!$L$2:$L$1795,$N1483))))))</f>
        <v>89.01</v>
      </c>
      <c r="S1483" s="32" t="n">
        <f aca="false">K1483*INDEX('Tabela Passaro'!$M$2:$M$1795,$N1483)</f>
        <v>1.9874</v>
      </c>
      <c r="T1483" s="32" t="n">
        <f aca="false">K1483*INDEX('Tabela Passaro'!$N$2:$N$1795,$N1483)</f>
        <v>0.79496</v>
      </c>
      <c r="U1483" s="32" t="n">
        <f aca="false">INDEX('Tabela Passaro'!$O$2:$O$1795,$N1483)</f>
        <v>5</v>
      </c>
      <c r="V1483" s="32" t="n">
        <f aca="false">ROUNDUP(J1483/INDEX('Tabela Passaro'!$Q$2:$Q$1795,$N1483),0)*INDEX('Tabela Passaro'!$P$2:$P$1795,$N1483)</f>
        <v>5</v>
      </c>
      <c r="W1483" s="32" t="n">
        <f aca="false">INDEX('Tabela Passaro'!$R$2:$R$1795,$N1483)</f>
        <v>30</v>
      </c>
      <c r="X1483" s="32" t="n">
        <f aca="false">ROUNDUP(J1483/INDEX('Tabela Passaro'!$T$2:$T$1795,$N1483),0)*INDEX('Tabela Passaro'!$S$2:$S$1795,$N1483)</f>
        <v>0</v>
      </c>
      <c r="Y1483" s="32" t="n">
        <f aca="false">INDEX('Tabela Passaro'!$U$2:$U$1795,$N1483)</f>
        <v>0</v>
      </c>
      <c r="Z1483" s="32" t="n">
        <f aca="false">INDEX('Tabela Passaro'!$V$2:$V$1795,$N1483)</f>
        <v>0</v>
      </c>
      <c r="AA1483" s="32" t="n">
        <f aca="false">SUM(R1483:Z1483)</f>
        <v>131.79236</v>
      </c>
      <c r="AB1483" s="33" t="n">
        <f aca="false">INDEX(Premissas!$B$5:$B$13,MATCH(A1483,Premissas!$A$5:$A$13,0))</f>
        <v>0.07</v>
      </c>
      <c r="AC1483" s="32" t="n">
        <f aca="false">AA1483/(1-AB1483)-AA1483</f>
        <v>9.91985505376346</v>
      </c>
      <c r="AD1483" s="32" t="n">
        <f aca="false">ROUND(AA1483+AC1483,2)</f>
        <v>141.71</v>
      </c>
      <c r="AE1483" s="32" t="n">
        <f aca="false">AD1483-L1483</f>
        <v>71.05</v>
      </c>
      <c r="AF1483" s="34" t="n">
        <f aca="false">IF(L1483=0,0,AE1483/L1483)</f>
        <v>1.00551938862157</v>
      </c>
      <c r="AG1483" s="22" t="str">
        <f aca="false">IF(AD1483&lt;L1483,"PASSARO","ATUAL")</f>
        <v>ATUAL</v>
      </c>
      <c r="AH1483" s="22" t="str">
        <f aca="false">IF(P1483&lt;&gt;A1483,"Faixa cadastrada como "&amp;P1483&amp;" na tabela; preço aplicado pela UF do CEP","")</f>
        <v/>
      </c>
      <c r="AI1483" s="26" t="n">
        <v>144.53</v>
      </c>
      <c r="AJ1483" s="22" t="str">
        <f aca="false">INDEX('Tabela Passaro'!$X$2:$X$1795,$N1483)</f>
        <v>INTERIOR 1</v>
      </c>
    </row>
    <row r="1484" customFormat="false" ht="15" hidden="false" customHeight="false" outlineLevel="0" collapsed="false">
      <c r="A1484" s="22" t="s">
        <v>20</v>
      </c>
      <c r="B1484" s="22" t="n">
        <v>6</v>
      </c>
      <c r="C1484" s="22" t="s">
        <v>157</v>
      </c>
      <c r="D1484" s="22" t="s">
        <v>30</v>
      </c>
      <c r="E1484" s="22" t="s">
        <v>7328</v>
      </c>
      <c r="F1484" s="22" t="n">
        <v>2309910</v>
      </c>
      <c r="G1484" s="30" t="n">
        <v>46244</v>
      </c>
      <c r="H1484" s="22" t="n">
        <v>132398</v>
      </c>
      <c r="I1484" s="22" t="s">
        <v>8685</v>
      </c>
      <c r="J1484" s="31" t="n">
        <v>34.4</v>
      </c>
      <c r="K1484" s="26" t="n">
        <v>658.81</v>
      </c>
      <c r="L1484" s="26" t="n">
        <v>182.45</v>
      </c>
      <c r="M1484" s="22" t="s">
        <v>4839</v>
      </c>
      <c r="N1484" s="22" t="n">
        <f aca="false">MATCH(M1484,'Tabela Passaro'!$A$2:$A$1795,0)</f>
        <v>1160</v>
      </c>
      <c r="O1484" s="22" t="str">
        <f aca="false">INDEX('Tabela Passaro'!$C$2:$C$1795,$N1484)</f>
        <v>CARUARU</v>
      </c>
      <c r="P1484" s="22" t="str">
        <f aca="false">INDEX('Tabela Passaro'!$B$2:$B$1795,$N1484)</f>
        <v>PE</v>
      </c>
      <c r="Q1484" s="22" t="n">
        <f aca="false">INDEX('Tabela Passaro'!$F$2:$F$1795,$N1484)</f>
        <v>11</v>
      </c>
      <c r="R1484" s="32" t="n">
        <f aca="false">IF(J1484&lt;=10,INDEX('Tabela Passaro'!$G$2:$G$1795,$N1484),IF(J1484&lt;=30,INDEX('Tabela Passaro'!$H$2:$H$1795,$N1484),IF(J1484&lt;=50,INDEX('Tabela Passaro'!$I$2:$I$1795,$N1484),IF(J1484&lt;=70,INDEX('Tabela Passaro'!$J$2:$J$1795,$N1484),IF(J1484&lt;=100,INDEX('Tabela Passaro'!$K$2:$K$1795,$N1484),INDEX('Tabela Passaro'!$K$2:$K$1795,$N1484)+(J1484-100)*INDEX('Tabela Passaro'!$L$2:$L$1795,$N1484))))))</f>
        <v>111.04</v>
      </c>
      <c r="S1484" s="32" t="n">
        <f aca="false">K1484*INDEX('Tabela Passaro'!$M$2:$M$1795,$N1484)</f>
        <v>3.29405</v>
      </c>
      <c r="T1484" s="32" t="n">
        <f aca="false">K1484*INDEX('Tabela Passaro'!$N$2:$N$1795,$N1484)</f>
        <v>1.31762</v>
      </c>
      <c r="U1484" s="32" t="n">
        <f aca="false">INDEX('Tabela Passaro'!$O$2:$O$1795,$N1484)</f>
        <v>5</v>
      </c>
      <c r="V1484" s="32" t="n">
        <f aca="false">ROUNDUP(J1484/INDEX('Tabela Passaro'!$Q$2:$Q$1795,$N1484),0)*INDEX('Tabela Passaro'!$P$2:$P$1795,$N1484)</f>
        <v>5</v>
      </c>
      <c r="W1484" s="32" t="n">
        <f aca="false">INDEX('Tabela Passaro'!$R$2:$R$1795,$N1484)</f>
        <v>30</v>
      </c>
      <c r="X1484" s="32" t="n">
        <f aca="false">ROUNDUP(J1484/INDEX('Tabela Passaro'!$T$2:$T$1795,$N1484),0)*INDEX('Tabela Passaro'!$S$2:$S$1795,$N1484)</f>
        <v>0</v>
      </c>
      <c r="Y1484" s="32" t="n">
        <f aca="false">INDEX('Tabela Passaro'!$U$2:$U$1795,$N1484)</f>
        <v>0</v>
      </c>
      <c r="Z1484" s="32" t="n">
        <f aca="false">INDEX('Tabela Passaro'!$V$2:$V$1795,$N1484)</f>
        <v>0</v>
      </c>
      <c r="AA1484" s="32" t="n">
        <f aca="false">SUM(R1484:Z1484)</f>
        <v>155.65167</v>
      </c>
      <c r="AB1484" s="33" t="n">
        <f aca="false">INDEX(Premissas!$B$5:$B$13,MATCH(A1484,Premissas!$A$5:$A$13,0))</f>
        <v>0.07</v>
      </c>
      <c r="AC1484" s="32" t="n">
        <f aca="false">AA1484/(1-AB1484)-AA1484</f>
        <v>11.7157170967742</v>
      </c>
      <c r="AD1484" s="32" t="n">
        <f aca="false">ROUND(AA1484+AC1484,2)</f>
        <v>167.37</v>
      </c>
      <c r="AE1484" s="32" t="n">
        <f aca="false">AD1484-L1484</f>
        <v>-15.08</v>
      </c>
      <c r="AF1484" s="34" t="n">
        <f aca="false">IF(L1484=0,0,AE1484/L1484)</f>
        <v>-0.0826527815839955</v>
      </c>
      <c r="AG1484" s="22" t="str">
        <f aca="false">IF(AD1484&lt;L1484,"PASSARO","ATUAL")</f>
        <v>PASSARO</v>
      </c>
      <c r="AH1484" s="22" t="str">
        <f aca="false">IF(P1484&lt;&gt;A1484,"Faixa cadastrada como "&amp;P1484&amp;" na tabela; preço aplicado pela UF do CEP","")</f>
        <v/>
      </c>
      <c r="AI1484" s="26" t="n">
        <v>181.78</v>
      </c>
      <c r="AJ1484" s="22" t="str">
        <f aca="false">INDEX('Tabela Passaro'!$X$2:$X$1795,$N1484)</f>
        <v>INTERIOR 1</v>
      </c>
    </row>
    <row r="1485" customFormat="false" ht="15" hidden="false" customHeight="false" outlineLevel="0" collapsed="false">
      <c r="A1485" s="22" t="s">
        <v>20</v>
      </c>
      <c r="B1485" s="22" t="n">
        <v>6</v>
      </c>
      <c r="C1485" s="22" t="s">
        <v>157</v>
      </c>
      <c r="D1485" s="22" t="s">
        <v>30</v>
      </c>
      <c r="E1485" s="22" t="s">
        <v>7326</v>
      </c>
      <c r="F1485" s="22" t="n">
        <v>523676</v>
      </c>
      <c r="G1485" s="30" t="n">
        <v>46244</v>
      </c>
      <c r="H1485" s="22" t="n">
        <v>621830</v>
      </c>
      <c r="I1485" s="22" t="s">
        <v>8686</v>
      </c>
      <c r="J1485" s="31" t="n">
        <v>145.8</v>
      </c>
      <c r="K1485" s="26" t="n">
        <v>2367.73</v>
      </c>
      <c r="L1485" s="26" t="n">
        <v>479.33</v>
      </c>
      <c r="M1485" s="22" t="s">
        <v>4839</v>
      </c>
      <c r="N1485" s="22" t="n">
        <f aca="false">MATCH(M1485,'Tabela Passaro'!$A$2:$A$1795,0)</f>
        <v>1160</v>
      </c>
      <c r="O1485" s="22" t="str">
        <f aca="false">INDEX('Tabela Passaro'!$C$2:$C$1795,$N1485)</f>
        <v>CARUARU</v>
      </c>
      <c r="P1485" s="22" t="str">
        <f aca="false">INDEX('Tabela Passaro'!$B$2:$B$1795,$N1485)</f>
        <v>PE</v>
      </c>
      <c r="Q1485" s="22" t="n">
        <f aca="false">INDEX('Tabela Passaro'!$F$2:$F$1795,$N1485)</f>
        <v>11</v>
      </c>
      <c r="R1485" s="32" t="n">
        <f aca="false">IF(J1485&lt;=10,INDEX('Tabela Passaro'!$G$2:$G$1795,$N1485),IF(J1485&lt;=30,INDEX('Tabela Passaro'!$H$2:$H$1795,$N1485),IF(J1485&lt;=50,INDEX('Tabela Passaro'!$I$2:$I$1795,$N1485),IF(J1485&lt;=70,INDEX('Tabela Passaro'!$J$2:$J$1795,$N1485),IF(J1485&lt;=100,INDEX('Tabela Passaro'!$K$2:$K$1795,$N1485),INDEX('Tabela Passaro'!$K$2:$K$1795,$N1485)+(J1485-100)*INDEX('Tabela Passaro'!$L$2:$L$1795,$N1485))))))</f>
        <v>226.984</v>
      </c>
      <c r="S1485" s="32" t="n">
        <f aca="false">K1485*INDEX('Tabela Passaro'!$M$2:$M$1795,$N1485)</f>
        <v>11.83865</v>
      </c>
      <c r="T1485" s="32" t="n">
        <f aca="false">K1485*INDEX('Tabela Passaro'!$N$2:$N$1795,$N1485)</f>
        <v>4.73546</v>
      </c>
      <c r="U1485" s="32" t="n">
        <f aca="false">INDEX('Tabela Passaro'!$O$2:$O$1795,$N1485)</f>
        <v>5</v>
      </c>
      <c r="V1485" s="32" t="n">
        <f aca="false">ROUNDUP(J1485/INDEX('Tabela Passaro'!$Q$2:$Q$1795,$N1485),0)*INDEX('Tabela Passaro'!$P$2:$P$1795,$N1485)</f>
        <v>10</v>
      </c>
      <c r="W1485" s="32" t="n">
        <f aca="false">INDEX('Tabela Passaro'!$R$2:$R$1795,$N1485)</f>
        <v>30</v>
      </c>
      <c r="X1485" s="32" t="n">
        <f aca="false">ROUNDUP(J1485/INDEX('Tabela Passaro'!$T$2:$T$1795,$N1485),0)*INDEX('Tabela Passaro'!$S$2:$S$1795,$N1485)</f>
        <v>0</v>
      </c>
      <c r="Y1485" s="32" t="n">
        <f aca="false">INDEX('Tabela Passaro'!$U$2:$U$1795,$N1485)</f>
        <v>0</v>
      </c>
      <c r="Z1485" s="32" t="n">
        <f aca="false">INDEX('Tabela Passaro'!$V$2:$V$1795,$N1485)</f>
        <v>0</v>
      </c>
      <c r="AA1485" s="32" t="n">
        <f aca="false">SUM(R1485:Z1485)</f>
        <v>288.55811</v>
      </c>
      <c r="AB1485" s="33" t="n">
        <f aca="false">INDEX(Premissas!$B$5:$B$13,MATCH(A1485,Premissas!$A$5:$A$13,0))</f>
        <v>0.07</v>
      </c>
      <c r="AC1485" s="32" t="n">
        <f aca="false">AA1485/(1-AB1485)-AA1485</f>
        <v>21.7194276344086</v>
      </c>
      <c r="AD1485" s="32" t="n">
        <f aca="false">ROUND(AA1485+AC1485,2)</f>
        <v>310.28</v>
      </c>
      <c r="AE1485" s="32" t="n">
        <f aca="false">AD1485-L1485</f>
        <v>-169.05</v>
      </c>
      <c r="AF1485" s="34" t="n">
        <f aca="false">IF(L1485=0,0,AE1485/L1485)</f>
        <v>-0.352679782195982</v>
      </c>
      <c r="AG1485" s="22" t="str">
        <f aca="false">IF(AD1485&lt;L1485,"PASSARO","ATUAL")</f>
        <v>PASSARO</v>
      </c>
      <c r="AH1485" s="22" t="str">
        <f aca="false">IF(P1485&lt;&gt;A1485,"Faixa cadastrada como "&amp;P1485&amp;" na tabela; preço aplicado pela UF do CEP","")</f>
        <v/>
      </c>
      <c r="AI1485" s="26" t="n">
        <v>395.59</v>
      </c>
      <c r="AJ1485" s="22" t="str">
        <f aca="false">INDEX('Tabela Passaro'!$X$2:$X$1795,$N1485)</f>
        <v>INTERIOR 1</v>
      </c>
    </row>
    <row r="1486" customFormat="false" ht="15" hidden="false" customHeight="false" outlineLevel="0" collapsed="false">
      <c r="A1486" s="22" t="s">
        <v>20</v>
      </c>
      <c r="B1486" s="22" t="n">
        <v>6</v>
      </c>
      <c r="C1486" s="22" t="s">
        <v>157</v>
      </c>
      <c r="D1486" s="22" t="s">
        <v>30</v>
      </c>
      <c r="E1486" s="22" t="s">
        <v>7326</v>
      </c>
      <c r="F1486" s="22" t="n">
        <v>524473</v>
      </c>
      <c r="G1486" s="30" t="n">
        <v>46246</v>
      </c>
      <c r="H1486" s="22" t="n">
        <v>623915</v>
      </c>
      <c r="I1486" s="22" t="s">
        <v>8687</v>
      </c>
      <c r="J1486" s="31" t="n">
        <v>35.2</v>
      </c>
      <c r="K1486" s="26" t="n">
        <v>779.98</v>
      </c>
      <c r="L1486" s="26" t="n">
        <v>206.29</v>
      </c>
      <c r="M1486" s="22" t="s">
        <v>4839</v>
      </c>
      <c r="N1486" s="22" t="n">
        <f aca="false">MATCH(M1486,'Tabela Passaro'!$A$2:$A$1795,0)</f>
        <v>1160</v>
      </c>
      <c r="O1486" s="22" t="str">
        <f aca="false">INDEX('Tabela Passaro'!$C$2:$C$1795,$N1486)</f>
        <v>CARUARU</v>
      </c>
      <c r="P1486" s="22" t="str">
        <f aca="false">INDEX('Tabela Passaro'!$B$2:$B$1795,$N1486)</f>
        <v>PE</v>
      </c>
      <c r="Q1486" s="22" t="n">
        <f aca="false">INDEX('Tabela Passaro'!$F$2:$F$1795,$N1486)</f>
        <v>11</v>
      </c>
      <c r="R1486" s="32" t="n">
        <f aca="false">IF(J1486&lt;=10,INDEX('Tabela Passaro'!$G$2:$G$1795,$N1486),IF(J1486&lt;=30,INDEX('Tabela Passaro'!$H$2:$H$1795,$N1486),IF(J1486&lt;=50,INDEX('Tabela Passaro'!$I$2:$I$1795,$N1486),IF(J1486&lt;=70,INDEX('Tabela Passaro'!$J$2:$J$1795,$N1486),IF(J1486&lt;=100,INDEX('Tabela Passaro'!$K$2:$K$1795,$N1486),INDEX('Tabela Passaro'!$K$2:$K$1795,$N1486)+(J1486-100)*INDEX('Tabela Passaro'!$L$2:$L$1795,$N1486))))))</f>
        <v>111.04</v>
      </c>
      <c r="S1486" s="32" t="n">
        <f aca="false">K1486*INDEX('Tabela Passaro'!$M$2:$M$1795,$N1486)</f>
        <v>3.8999</v>
      </c>
      <c r="T1486" s="32" t="n">
        <f aca="false">K1486*INDEX('Tabela Passaro'!$N$2:$N$1795,$N1486)</f>
        <v>1.55996</v>
      </c>
      <c r="U1486" s="32" t="n">
        <f aca="false">INDEX('Tabela Passaro'!$O$2:$O$1795,$N1486)</f>
        <v>5</v>
      </c>
      <c r="V1486" s="32" t="n">
        <f aca="false">ROUNDUP(J1486/INDEX('Tabela Passaro'!$Q$2:$Q$1795,$N1486),0)*INDEX('Tabela Passaro'!$P$2:$P$1795,$N1486)</f>
        <v>5</v>
      </c>
      <c r="W1486" s="32" t="n">
        <f aca="false">INDEX('Tabela Passaro'!$R$2:$R$1795,$N1486)</f>
        <v>30</v>
      </c>
      <c r="X1486" s="32" t="n">
        <f aca="false">ROUNDUP(J1486/INDEX('Tabela Passaro'!$T$2:$T$1795,$N1486),0)*INDEX('Tabela Passaro'!$S$2:$S$1795,$N1486)</f>
        <v>0</v>
      </c>
      <c r="Y1486" s="32" t="n">
        <f aca="false">INDEX('Tabela Passaro'!$U$2:$U$1795,$N1486)</f>
        <v>0</v>
      </c>
      <c r="Z1486" s="32" t="n">
        <f aca="false">INDEX('Tabela Passaro'!$V$2:$V$1795,$N1486)</f>
        <v>0</v>
      </c>
      <c r="AA1486" s="32" t="n">
        <f aca="false">SUM(R1486:Z1486)</f>
        <v>156.49986</v>
      </c>
      <c r="AB1486" s="33" t="n">
        <f aca="false">INDEX(Premissas!$B$5:$B$13,MATCH(A1486,Premissas!$A$5:$A$13,0))</f>
        <v>0.07</v>
      </c>
      <c r="AC1486" s="32" t="n">
        <f aca="false">AA1486/(1-AB1486)-AA1486</f>
        <v>11.7795593548387</v>
      </c>
      <c r="AD1486" s="32" t="n">
        <f aca="false">ROUND(AA1486+AC1486,2)</f>
        <v>168.28</v>
      </c>
      <c r="AE1486" s="32" t="n">
        <f aca="false">AD1486-L1486</f>
        <v>-38.01</v>
      </c>
      <c r="AF1486" s="34" t="n">
        <f aca="false">IF(L1486=0,0,AE1486/L1486)</f>
        <v>-0.184255174753987</v>
      </c>
      <c r="AG1486" s="22" t="str">
        <f aca="false">IF(AD1486&lt;L1486,"PASSARO","ATUAL")</f>
        <v>PASSARO</v>
      </c>
      <c r="AH1486" s="22" t="str">
        <f aca="false">IF(P1486&lt;&gt;A1486,"Faixa cadastrada como "&amp;P1486&amp;" na tabela; preço aplicado pela UF do CEP","")</f>
        <v/>
      </c>
      <c r="AI1486" s="26" t="n">
        <v>183.44</v>
      </c>
      <c r="AJ1486" s="22" t="str">
        <f aca="false">INDEX('Tabela Passaro'!$X$2:$X$1795,$N1486)</f>
        <v>INTERIOR 1</v>
      </c>
    </row>
    <row r="1487" customFormat="false" ht="15" hidden="false" customHeight="false" outlineLevel="0" collapsed="false">
      <c r="A1487" s="22" t="s">
        <v>20</v>
      </c>
      <c r="B1487" s="22" t="n">
        <v>6</v>
      </c>
      <c r="C1487" s="22" t="s">
        <v>157</v>
      </c>
      <c r="D1487" s="22" t="s">
        <v>30</v>
      </c>
      <c r="E1487" s="22" t="s">
        <v>7328</v>
      </c>
      <c r="F1487" s="22" t="n">
        <v>2312315</v>
      </c>
      <c r="G1487" s="30" t="n">
        <v>46248</v>
      </c>
      <c r="H1487" s="22" t="n">
        <v>133220</v>
      </c>
      <c r="I1487" s="22" t="s">
        <v>8688</v>
      </c>
      <c r="J1487" s="31" t="n">
        <v>51.06</v>
      </c>
      <c r="K1487" s="26" t="n">
        <v>831.92</v>
      </c>
      <c r="L1487" s="26" t="n">
        <v>233.41</v>
      </c>
      <c r="M1487" s="22" t="s">
        <v>4839</v>
      </c>
      <c r="N1487" s="22" t="n">
        <f aca="false">MATCH(M1487,'Tabela Passaro'!$A$2:$A$1795,0)</f>
        <v>1160</v>
      </c>
      <c r="O1487" s="22" t="str">
        <f aca="false">INDEX('Tabela Passaro'!$C$2:$C$1795,$N1487)</f>
        <v>CARUARU</v>
      </c>
      <c r="P1487" s="22" t="str">
        <f aca="false">INDEX('Tabela Passaro'!$B$2:$B$1795,$N1487)</f>
        <v>PE</v>
      </c>
      <c r="Q1487" s="22" t="n">
        <f aca="false">INDEX('Tabela Passaro'!$F$2:$F$1795,$N1487)</f>
        <v>11</v>
      </c>
      <c r="R1487" s="32" t="n">
        <f aca="false">IF(J1487&lt;=10,INDEX('Tabela Passaro'!$G$2:$G$1795,$N1487),IF(J1487&lt;=30,INDEX('Tabela Passaro'!$H$2:$H$1795,$N1487),IF(J1487&lt;=50,INDEX('Tabela Passaro'!$I$2:$I$1795,$N1487),IF(J1487&lt;=70,INDEX('Tabela Passaro'!$J$2:$J$1795,$N1487),IF(J1487&lt;=100,INDEX('Tabela Passaro'!$K$2:$K$1795,$N1487),INDEX('Tabela Passaro'!$K$2:$K$1795,$N1487)+(J1487-100)*INDEX('Tabela Passaro'!$L$2:$L$1795,$N1487))))))</f>
        <v>122.06</v>
      </c>
      <c r="S1487" s="32" t="n">
        <f aca="false">K1487*INDEX('Tabela Passaro'!$M$2:$M$1795,$N1487)</f>
        <v>4.1596</v>
      </c>
      <c r="T1487" s="32" t="n">
        <f aca="false">K1487*INDEX('Tabela Passaro'!$N$2:$N$1795,$N1487)</f>
        <v>1.66384</v>
      </c>
      <c r="U1487" s="32" t="n">
        <f aca="false">INDEX('Tabela Passaro'!$O$2:$O$1795,$N1487)</f>
        <v>5</v>
      </c>
      <c r="V1487" s="32" t="n">
        <f aca="false">ROUNDUP(J1487/INDEX('Tabela Passaro'!$Q$2:$Q$1795,$N1487),0)*INDEX('Tabela Passaro'!$P$2:$P$1795,$N1487)</f>
        <v>5</v>
      </c>
      <c r="W1487" s="32" t="n">
        <f aca="false">INDEX('Tabela Passaro'!$R$2:$R$1795,$N1487)</f>
        <v>30</v>
      </c>
      <c r="X1487" s="32" t="n">
        <f aca="false">ROUNDUP(J1487/INDEX('Tabela Passaro'!$T$2:$T$1795,$N1487),0)*INDEX('Tabela Passaro'!$S$2:$S$1795,$N1487)</f>
        <v>0</v>
      </c>
      <c r="Y1487" s="32" t="n">
        <f aca="false">INDEX('Tabela Passaro'!$U$2:$U$1795,$N1487)</f>
        <v>0</v>
      </c>
      <c r="Z1487" s="32" t="n">
        <f aca="false">INDEX('Tabela Passaro'!$V$2:$V$1795,$N1487)</f>
        <v>0</v>
      </c>
      <c r="AA1487" s="32" t="n">
        <f aca="false">SUM(R1487:Z1487)</f>
        <v>167.88344</v>
      </c>
      <c r="AB1487" s="33" t="n">
        <f aca="false">INDEX(Premissas!$B$5:$B$13,MATCH(A1487,Premissas!$A$5:$A$13,0))</f>
        <v>0.07</v>
      </c>
      <c r="AC1487" s="32" t="n">
        <f aca="false">AA1487/(1-AB1487)-AA1487</f>
        <v>12.6363879569893</v>
      </c>
      <c r="AD1487" s="32" t="n">
        <f aca="false">ROUND(AA1487+AC1487,2)</f>
        <v>180.52</v>
      </c>
      <c r="AE1487" s="32" t="n">
        <f aca="false">AD1487-L1487</f>
        <v>-52.89</v>
      </c>
      <c r="AF1487" s="34" t="n">
        <f aca="false">IF(L1487=0,0,AE1487/L1487)</f>
        <v>-0.226596975279551</v>
      </c>
      <c r="AG1487" s="22" t="str">
        <f aca="false">IF(AD1487&lt;L1487,"PASSARO","ATUAL")</f>
        <v>PASSARO</v>
      </c>
      <c r="AH1487" s="22" t="str">
        <f aca="false">IF(P1487&lt;&gt;A1487,"Faixa cadastrada como "&amp;P1487&amp;" na tabela; preço aplicado pela UF do CEP","")</f>
        <v/>
      </c>
      <c r="AI1487" s="26" t="n">
        <v>204.21</v>
      </c>
      <c r="AJ1487" s="22" t="str">
        <f aca="false">INDEX('Tabela Passaro'!$X$2:$X$1795,$N1487)</f>
        <v>INTERIOR 1</v>
      </c>
    </row>
    <row r="1488" customFormat="false" ht="15" hidden="false" customHeight="false" outlineLevel="0" collapsed="false">
      <c r="A1488" s="22" t="s">
        <v>20</v>
      </c>
      <c r="B1488" s="22" t="n">
        <v>6</v>
      </c>
      <c r="C1488" s="22" t="s">
        <v>157</v>
      </c>
      <c r="D1488" s="22" t="s">
        <v>30</v>
      </c>
      <c r="E1488" s="22" t="s">
        <v>7328</v>
      </c>
      <c r="F1488" s="22" t="n">
        <v>2312393</v>
      </c>
      <c r="G1488" s="30" t="n">
        <v>46248</v>
      </c>
      <c r="H1488" s="22" t="n">
        <v>133293</v>
      </c>
      <c r="I1488" s="22" t="s">
        <v>8689</v>
      </c>
      <c r="J1488" s="31" t="n">
        <v>51.06</v>
      </c>
      <c r="K1488" s="26" t="n">
        <v>651.63</v>
      </c>
      <c r="L1488" s="26" t="n">
        <v>231.98</v>
      </c>
      <c r="M1488" s="22" t="s">
        <v>4839</v>
      </c>
      <c r="N1488" s="22" t="n">
        <f aca="false">MATCH(M1488,'Tabela Passaro'!$A$2:$A$1795,0)</f>
        <v>1160</v>
      </c>
      <c r="O1488" s="22" t="str">
        <f aca="false">INDEX('Tabela Passaro'!$C$2:$C$1795,$N1488)</f>
        <v>CARUARU</v>
      </c>
      <c r="P1488" s="22" t="str">
        <f aca="false">INDEX('Tabela Passaro'!$B$2:$B$1795,$N1488)</f>
        <v>PE</v>
      </c>
      <c r="Q1488" s="22" t="n">
        <f aca="false">INDEX('Tabela Passaro'!$F$2:$F$1795,$N1488)</f>
        <v>11</v>
      </c>
      <c r="R1488" s="32" t="n">
        <f aca="false">IF(J1488&lt;=10,INDEX('Tabela Passaro'!$G$2:$G$1795,$N1488),IF(J1488&lt;=30,INDEX('Tabela Passaro'!$H$2:$H$1795,$N1488),IF(J1488&lt;=50,INDEX('Tabela Passaro'!$I$2:$I$1795,$N1488),IF(J1488&lt;=70,INDEX('Tabela Passaro'!$J$2:$J$1795,$N1488),IF(J1488&lt;=100,INDEX('Tabela Passaro'!$K$2:$K$1795,$N1488),INDEX('Tabela Passaro'!$K$2:$K$1795,$N1488)+(J1488-100)*INDEX('Tabela Passaro'!$L$2:$L$1795,$N1488))))))</f>
        <v>122.06</v>
      </c>
      <c r="S1488" s="32" t="n">
        <f aca="false">K1488*INDEX('Tabela Passaro'!$M$2:$M$1795,$N1488)</f>
        <v>3.25815</v>
      </c>
      <c r="T1488" s="32" t="n">
        <f aca="false">K1488*INDEX('Tabela Passaro'!$N$2:$N$1795,$N1488)</f>
        <v>1.30326</v>
      </c>
      <c r="U1488" s="32" t="n">
        <f aca="false">INDEX('Tabela Passaro'!$O$2:$O$1795,$N1488)</f>
        <v>5</v>
      </c>
      <c r="V1488" s="32" t="n">
        <f aca="false">ROUNDUP(J1488/INDEX('Tabela Passaro'!$Q$2:$Q$1795,$N1488),0)*INDEX('Tabela Passaro'!$P$2:$P$1795,$N1488)</f>
        <v>5</v>
      </c>
      <c r="W1488" s="32" t="n">
        <f aca="false">INDEX('Tabela Passaro'!$R$2:$R$1795,$N1488)</f>
        <v>30</v>
      </c>
      <c r="X1488" s="32" t="n">
        <f aca="false">ROUNDUP(J1488/INDEX('Tabela Passaro'!$T$2:$T$1795,$N1488),0)*INDEX('Tabela Passaro'!$S$2:$S$1795,$N1488)</f>
        <v>0</v>
      </c>
      <c r="Y1488" s="32" t="n">
        <f aca="false">INDEX('Tabela Passaro'!$U$2:$U$1795,$N1488)</f>
        <v>0</v>
      </c>
      <c r="Z1488" s="32" t="n">
        <f aca="false">INDEX('Tabela Passaro'!$V$2:$V$1795,$N1488)</f>
        <v>0</v>
      </c>
      <c r="AA1488" s="32" t="n">
        <f aca="false">SUM(R1488:Z1488)</f>
        <v>166.62141</v>
      </c>
      <c r="AB1488" s="33" t="n">
        <f aca="false">INDEX(Premissas!$B$5:$B$13,MATCH(A1488,Premissas!$A$5:$A$13,0))</f>
        <v>0.07</v>
      </c>
      <c r="AC1488" s="32" t="n">
        <f aca="false">AA1488/(1-AB1488)-AA1488</f>
        <v>12.5413964516129</v>
      </c>
      <c r="AD1488" s="32" t="n">
        <f aca="false">ROUND(AA1488+AC1488,2)</f>
        <v>179.16</v>
      </c>
      <c r="AE1488" s="32" t="n">
        <f aca="false">AD1488-L1488</f>
        <v>-52.82</v>
      </c>
      <c r="AF1488" s="34" t="n">
        <f aca="false">IF(L1488=0,0,AE1488/L1488)</f>
        <v>-0.22769204241745</v>
      </c>
      <c r="AG1488" s="22" t="str">
        <f aca="false">IF(AD1488&lt;L1488,"PASSARO","ATUAL")</f>
        <v>PASSARO</v>
      </c>
      <c r="AH1488" s="22" t="str">
        <f aca="false">IF(P1488&lt;&gt;A1488,"Faixa cadastrada como "&amp;P1488&amp;" na tabela; preço aplicado pela UF do CEP","")</f>
        <v/>
      </c>
      <c r="AI1488" s="26" t="n">
        <v>202.47</v>
      </c>
      <c r="AJ1488" s="22" t="str">
        <f aca="false">INDEX('Tabela Passaro'!$X$2:$X$1795,$N1488)</f>
        <v>INTERIOR 1</v>
      </c>
    </row>
    <row r="1489" customFormat="false" ht="15" hidden="false" customHeight="false" outlineLevel="0" collapsed="false">
      <c r="A1489" s="22" t="s">
        <v>20</v>
      </c>
      <c r="B1489" s="22" t="n">
        <v>6</v>
      </c>
      <c r="C1489" s="22" t="s">
        <v>157</v>
      </c>
      <c r="D1489" s="22" t="s">
        <v>30</v>
      </c>
      <c r="E1489" s="22" t="s">
        <v>7326</v>
      </c>
      <c r="F1489" s="22" t="n">
        <v>526083</v>
      </c>
      <c r="G1489" s="30" t="n">
        <v>46253</v>
      </c>
      <c r="H1489" s="22" t="n">
        <v>626768</v>
      </c>
      <c r="I1489" s="22" t="s">
        <v>8690</v>
      </c>
      <c r="J1489" s="31" t="n">
        <v>97.2</v>
      </c>
      <c r="K1489" s="26" t="n">
        <v>1649.99</v>
      </c>
      <c r="L1489" s="26" t="n">
        <v>343.01</v>
      </c>
      <c r="M1489" s="22" t="s">
        <v>4839</v>
      </c>
      <c r="N1489" s="22" t="n">
        <f aca="false">MATCH(M1489,'Tabela Passaro'!$A$2:$A$1795,0)</f>
        <v>1160</v>
      </c>
      <c r="O1489" s="22" t="str">
        <f aca="false">INDEX('Tabela Passaro'!$C$2:$C$1795,$N1489)</f>
        <v>CARUARU</v>
      </c>
      <c r="P1489" s="22" t="str">
        <f aca="false">INDEX('Tabela Passaro'!$B$2:$B$1795,$N1489)</f>
        <v>PE</v>
      </c>
      <c r="Q1489" s="22" t="n">
        <f aca="false">INDEX('Tabela Passaro'!$F$2:$F$1795,$N1489)</f>
        <v>11</v>
      </c>
      <c r="R1489" s="32" t="n">
        <f aca="false">IF(J1489&lt;=10,INDEX('Tabela Passaro'!$G$2:$G$1795,$N1489),IF(J1489&lt;=30,INDEX('Tabela Passaro'!$H$2:$H$1795,$N1489),IF(J1489&lt;=50,INDEX('Tabela Passaro'!$I$2:$I$1795,$N1489),IF(J1489&lt;=70,INDEX('Tabela Passaro'!$J$2:$J$1795,$N1489),IF(J1489&lt;=100,INDEX('Tabela Passaro'!$K$2:$K$1795,$N1489),INDEX('Tabela Passaro'!$K$2:$K$1795,$N1489)+(J1489-100)*INDEX('Tabela Passaro'!$L$2:$L$1795,$N1489))))))</f>
        <v>138.59</v>
      </c>
      <c r="S1489" s="32" t="n">
        <f aca="false">K1489*INDEX('Tabela Passaro'!$M$2:$M$1795,$N1489)</f>
        <v>8.24995</v>
      </c>
      <c r="T1489" s="32" t="n">
        <f aca="false">K1489*INDEX('Tabela Passaro'!$N$2:$N$1795,$N1489)</f>
        <v>3.29998</v>
      </c>
      <c r="U1489" s="32" t="n">
        <f aca="false">INDEX('Tabela Passaro'!$O$2:$O$1795,$N1489)</f>
        <v>5</v>
      </c>
      <c r="V1489" s="32" t="n">
        <f aca="false">ROUNDUP(J1489/INDEX('Tabela Passaro'!$Q$2:$Q$1795,$N1489),0)*INDEX('Tabela Passaro'!$P$2:$P$1795,$N1489)</f>
        <v>5</v>
      </c>
      <c r="W1489" s="32" t="n">
        <f aca="false">INDEX('Tabela Passaro'!$R$2:$R$1795,$N1489)</f>
        <v>30</v>
      </c>
      <c r="X1489" s="32" t="n">
        <f aca="false">ROUNDUP(J1489/INDEX('Tabela Passaro'!$T$2:$T$1795,$N1489),0)*INDEX('Tabela Passaro'!$S$2:$S$1795,$N1489)</f>
        <v>0</v>
      </c>
      <c r="Y1489" s="32" t="n">
        <f aca="false">INDEX('Tabela Passaro'!$U$2:$U$1795,$N1489)</f>
        <v>0</v>
      </c>
      <c r="Z1489" s="32" t="n">
        <f aca="false">INDEX('Tabela Passaro'!$V$2:$V$1795,$N1489)</f>
        <v>0</v>
      </c>
      <c r="AA1489" s="32" t="n">
        <f aca="false">SUM(R1489:Z1489)</f>
        <v>190.13993</v>
      </c>
      <c r="AB1489" s="33" t="n">
        <f aca="false">INDEX(Premissas!$B$5:$B$13,MATCH(A1489,Premissas!$A$5:$A$13,0))</f>
        <v>0.07</v>
      </c>
      <c r="AC1489" s="32" t="n">
        <f aca="false">AA1489/(1-AB1489)-AA1489</f>
        <v>14.3116076344086</v>
      </c>
      <c r="AD1489" s="32" t="n">
        <f aca="false">ROUND(AA1489+AC1489,2)</f>
        <v>204.45</v>
      </c>
      <c r="AE1489" s="32" t="n">
        <f aca="false">AD1489-L1489</f>
        <v>-138.56</v>
      </c>
      <c r="AF1489" s="34" t="n">
        <f aca="false">IF(L1489=0,0,AE1489/L1489)</f>
        <v>-0.403953237514941</v>
      </c>
      <c r="AG1489" s="22" t="str">
        <f aca="false">IF(AD1489&lt;L1489,"PASSARO","ATUAL")</f>
        <v>PASSARO</v>
      </c>
      <c r="AH1489" s="22" t="str">
        <f aca="false">IF(P1489&lt;&gt;A1489,"Faixa cadastrada como "&amp;P1489&amp;" na tabela; preço aplicado pela UF do CEP","")</f>
        <v/>
      </c>
      <c r="AI1489" s="26" t="n">
        <v>253.17</v>
      </c>
      <c r="AJ1489" s="22" t="str">
        <f aca="false">INDEX('Tabela Passaro'!$X$2:$X$1795,$N1489)</f>
        <v>INTERIOR 1</v>
      </c>
    </row>
    <row r="1490" customFormat="false" ht="15" hidden="false" customHeight="false" outlineLevel="0" collapsed="false">
      <c r="A1490" s="22" t="s">
        <v>20</v>
      </c>
      <c r="B1490" s="22" t="n">
        <v>6</v>
      </c>
      <c r="C1490" s="22" t="s">
        <v>157</v>
      </c>
      <c r="D1490" s="22" t="s">
        <v>30</v>
      </c>
      <c r="E1490" s="22" t="s">
        <v>7326</v>
      </c>
      <c r="F1490" s="22" t="n">
        <v>528280</v>
      </c>
      <c r="G1490" s="30" t="n">
        <v>46262</v>
      </c>
      <c r="H1490" s="22" t="n">
        <v>629818</v>
      </c>
      <c r="I1490" s="22" t="s">
        <v>8691</v>
      </c>
      <c r="J1490" s="31" t="n">
        <v>125.8</v>
      </c>
      <c r="K1490" s="26" t="n">
        <v>2234.98</v>
      </c>
      <c r="L1490" s="26" t="n">
        <v>442.35</v>
      </c>
      <c r="M1490" s="22" t="s">
        <v>4839</v>
      </c>
      <c r="N1490" s="22" t="n">
        <f aca="false">MATCH(M1490,'Tabela Passaro'!$A$2:$A$1795,0)</f>
        <v>1160</v>
      </c>
      <c r="O1490" s="22" t="str">
        <f aca="false">INDEX('Tabela Passaro'!$C$2:$C$1795,$N1490)</f>
        <v>CARUARU</v>
      </c>
      <c r="P1490" s="22" t="str">
        <f aca="false">INDEX('Tabela Passaro'!$B$2:$B$1795,$N1490)</f>
        <v>PE</v>
      </c>
      <c r="Q1490" s="22" t="n">
        <f aca="false">INDEX('Tabela Passaro'!$F$2:$F$1795,$N1490)</f>
        <v>11</v>
      </c>
      <c r="R1490" s="32" t="n">
        <f aca="false">IF(J1490&lt;=10,INDEX('Tabela Passaro'!$G$2:$G$1795,$N1490),IF(J1490&lt;=30,INDEX('Tabela Passaro'!$H$2:$H$1795,$N1490),IF(J1490&lt;=50,INDEX('Tabela Passaro'!$I$2:$I$1795,$N1490),IF(J1490&lt;=70,INDEX('Tabela Passaro'!$J$2:$J$1795,$N1490),IF(J1490&lt;=100,INDEX('Tabela Passaro'!$K$2:$K$1795,$N1490),INDEX('Tabela Passaro'!$K$2:$K$1795,$N1490)+(J1490-100)*INDEX('Tabela Passaro'!$L$2:$L$1795,$N1490))))))</f>
        <v>188.384</v>
      </c>
      <c r="S1490" s="32" t="n">
        <f aca="false">K1490*INDEX('Tabela Passaro'!$M$2:$M$1795,$N1490)</f>
        <v>11.1749</v>
      </c>
      <c r="T1490" s="32" t="n">
        <f aca="false">K1490*INDEX('Tabela Passaro'!$N$2:$N$1795,$N1490)</f>
        <v>4.46996</v>
      </c>
      <c r="U1490" s="32" t="n">
        <f aca="false">INDEX('Tabela Passaro'!$O$2:$O$1795,$N1490)</f>
        <v>5</v>
      </c>
      <c r="V1490" s="32" t="n">
        <f aca="false">ROUNDUP(J1490/INDEX('Tabela Passaro'!$Q$2:$Q$1795,$N1490),0)*INDEX('Tabela Passaro'!$P$2:$P$1795,$N1490)</f>
        <v>10</v>
      </c>
      <c r="W1490" s="32" t="n">
        <f aca="false">INDEX('Tabela Passaro'!$R$2:$R$1795,$N1490)</f>
        <v>30</v>
      </c>
      <c r="X1490" s="32" t="n">
        <f aca="false">ROUNDUP(J1490/INDEX('Tabela Passaro'!$T$2:$T$1795,$N1490),0)*INDEX('Tabela Passaro'!$S$2:$S$1795,$N1490)</f>
        <v>0</v>
      </c>
      <c r="Y1490" s="32" t="n">
        <f aca="false">INDEX('Tabela Passaro'!$U$2:$U$1795,$N1490)</f>
        <v>0</v>
      </c>
      <c r="Z1490" s="32" t="n">
        <f aca="false">INDEX('Tabela Passaro'!$V$2:$V$1795,$N1490)</f>
        <v>0</v>
      </c>
      <c r="AA1490" s="32" t="n">
        <f aca="false">SUM(R1490:Z1490)</f>
        <v>249.02886</v>
      </c>
      <c r="AB1490" s="33" t="n">
        <f aca="false">INDEX(Premissas!$B$5:$B$13,MATCH(A1490,Premissas!$A$5:$A$13,0))</f>
        <v>0.07</v>
      </c>
      <c r="AC1490" s="32" t="n">
        <f aca="false">AA1490/(1-AB1490)-AA1490</f>
        <v>18.7441077419355</v>
      </c>
      <c r="AD1490" s="32" t="n">
        <f aca="false">ROUND(AA1490+AC1490,2)</f>
        <v>267.77</v>
      </c>
      <c r="AE1490" s="32" t="n">
        <f aca="false">AD1490-L1490</f>
        <v>-174.58</v>
      </c>
      <c r="AF1490" s="34" t="n">
        <f aca="false">IF(L1490=0,0,AE1490/L1490)</f>
        <v>-0.394664858144004</v>
      </c>
      <c r="AG1490" s="22" t="str">
        <f aca="false">IF(AD1490&lt;L1490,"PASSARO","ATUAL")</f>
        <v>PASSARO</v>
      </c>
      <c r="AH1490" s="22" t="str">
        <f aca="false">IF(P1490&lt;&gt;A1490,"Faixa cadastrada como "&amp;P1490&amp;" na tabela; preço aplicado pela UF do CEP","")</f>
        <v/>
      </c>
      <c r="AI1490" s="26" t="n">
        <v>337.96</v>
      </c>
      <c r="AJ1490" s="22" t="str">
        <f aca="false">INDEX('Tabela Passaro'!$X$2:$X$1795,$N1490)</f>
        <v>INTERIOR 1</v>
      </c>
    </row>
    <row r="1491" customFormat="false" ht="15" hidden="false" customHeight="false" outlineLevel="0" collapsed="false">
      <c r="A1491" s="22" t="s">
        <v>20</v>
      </c>
      <c r="B1491" s="22" t="n">
        <v>6</v>
      </c>
      <c r="C1491" s="22" t="s">
        <v>157</v>
      </c>
      <c r="D1491" s="22" t="s">
        <v>30</v>
      </c>
      <c r="E1491" s="22" t="s">
        <v>20</v>
      </c>
      <c r="F1491" s="22" t="n">
        <v>840607</v>
      </c>
      <c r="G1491" s="30" t="n">
        <v>46265</v>
      </c>
      <c r="H1491" s="22" t="n">
        <v>32806</v>
      </c>
      <c r="I1491" s="22" t="s">
        <v>8692</v>
      </c>
      <c r="J1491" s="31" t="n">
        <v>61.3</v>
      </c>
      <c r="K1491" s="26" t="n">
        <v>947.94</v>
      </c>
      <c r="L1491" s="26" t="n">
        <v>157.31</v>
      </c>
      <c r="M1491" s="22" t="s">
        <v>4839</v>
      </c>
      <c r="N1491" s="22" t="n">
        <f aca="false">MATCH(M1491,'Tabela Passaro'!$A$2:$A$1795,0)</f>
        <v>1160</v>
      </c>
      <c r="O1491" s="22" t="str">
        <f aca="false">INDEX('Tabela Passaro'!$C$2:$C$1795,$N1491)</f>
        <v>CARUARU</v>
      </c>
      <c r="P1491" s="22" t="str">
        <f aca="false">INDEX('Tabela Passaro'!$B$2:$B$1795,$N1491)</f>
        <v>PE</v>
      </c>
      <c r="Q1491" s="22" t="n">
        <f aca="false">INDEX('Tabela Passaro'!$F$2:$F$1795,$N1491)</f>
        <v>11</v>
      </c>
      <c r="R1491" s="32" t="n">
        <f aca="false">IF(J1491&lt;=10,INDEX('Tabela Passaro'!$G$2:$G$1795,$N1491),IF(J1491&lt;=30,INDEX('Tabela Passaro'!$H$2:$H$1795,$N1491),IF(J1491&lt;=50,INDEX('Tabela Passaro'!$I$2:$I$1795,$N1491),IF(J1491&lt;=70,INDEX('Tabela Passaro'!$J$2:$J$1795,$N1491),IF(J1491&lt;=100,INDEX('Tabela Passaro'!$K$2:$K$1795,$N1491),INDEX('Tabela Passaro'!$K$2:$K$1795,$N1491)+(J1491-100)*INDEX('Tabela Passaro'!$L$2:$L$1795,$N1491))))))</f>
        <v>122.06</v>
      </c>
      <c r="S1491" s="32" t="n">
        <f aca="false">K1491*INDEX('Tabela Passaro'!$M$2:$M$1795,$N1491)</f>
        <v>4.7397</v>
      </c>
      <c r="T1491" s="32" t="n">
        <f aca="false">K1491*INDEX('Tabela Passaro'!$N$2:$N$1795,$N1491)</f>
        <v>1.89588</v>
      </c>
      <c r="U1491" s="32" t="n">
        <f aca="false">INDEX('Tabela Passaro'!$O$2:$O$1795,$N1491)</f>
        <v>5</v>
      </c>
      <c r="V1491" s="32" t="n">
        <f aca="false">ROUNDUP(J1491/INDEX('Tabela Passaro'!$Q$2:$Q$1795,$N1491),0)*INDEX('Tabela Passaro'!$P$2:$P$1795,$N1491)</f>
        <v>5</v>
      </c>
      <c r="W1491" s="32" t="n">
        <f aca="false">INDEX('Tabela Passaro'!$R$2:$R$1795,$N1491)</f>
        <v>30</v>
      </c>
      <c r="X1491" s="32" t="n">
        <f aca="false">ROUNDUP(J1491/INDEX('Tabela Passaro'!$T$2:$T$1795,$N1491),0)*INDEX('Tabela Passaro'!$S$2:$S$1795,$N1491)</f>
        <v>0</v>
      </c>
      <c r="Y1491" s="32" t="n">
        <f aca="false">INDEX('Tabela Passaro'!$U$2:$U$1795,$N1491)</f>
        <v>0</v>
      </c>
      <c r="Z1491" s="32" t="n">
        <f aca="false">INDEX('Tabela Passaro'!$V$2:$V$1795,$N1491)</f>
        <v>0</v>
      </c>
      <c r="AA1491" s="32" t="n">
        <f aca="false">SUM(R1491:Z1491)</f>
        <v>168.69558</v>
      </c>
      <c r="AB1491" s="33" t="n">
        <f aca="false">INDEX(Premissas!$B$5:$B$13,MATCH(A1491,Premissas!$A$5:$A$13,0))</f>
        <v>0.07</v>
      </c>
      <c r="AC1491" s="32" t="n">
        <f aca="false">AA1491/(1-AB1491)-AA1491</f>
        <v>12.6975167741936</v>
      </c>
      <c r="AD1491" s="32" t="n">
        <f aca="false">ROUND(AA1491+AC1491,2)</f>
        <v>181.39</v>
      </c>
      <c r="AE1491" s="32" t="n">
        <f aca="false">AD1491-L1491</f>
        <v>24.08</v>
      </c>
      <c r="AF1491" s="34" t="n">
        <f aca="false">IF(L1491=0,0,AE1491/L1491)</f>
        <v>0.15307354904329</v>
      </c>
      <c r="AG1491" s="22" t="str">
        <f aca="false">IF(AD1491&lt;L1491,"PASSARO","ATUAL")</f>
        <v>ATUAL</v>
      </c>
      <c r="AH1491" s="22" t="str">
        <f aca="false">IF(P1491&lt;&gt;A1491,"Faixa cadastrada como "&amp;P1491&amp;" na tabela; preço aplicado pela UF do CEP","")</f>
        <v/>
      </c>
      <c r="AI1491" s="26" t="n">
        <v>210.17</v>
      </c>
      <c r="AJ1491" s="22" t="str">
        <f aca="false">INDEX('Tabela Passaro'!$X$2:$X$1795,$N1491)</f>
        <v>INTERIOR 1</v>
      </c>
    </row>
    <row r="1492" customFormat="false" ht="15" hidden="false" customHeight="false" outlineLevel="0" collapsed="false">
      <c r="A1492" s="22" t="s">
        <v>20</v>
      </c>
      <c r="B1492" s="22" t="n">
        <v>6</v>
      </c>
      <c r="C1492" s="22" t="s">
        <v>157</v>
      </c>
      <c r="D1492" s="22" t="s">
        <v>34</v>
      </c>
      <c r="E1492" s="22" t="s">
        <v>7399</v>
      </c>
      <c r="F1492" s="22" t="n">
        <v>665817</v>
      </c>
      <c r="G1492" s="30" t="n">
        <v>46256</v>
      </c>
      <c r="H1492" s="22" t="n">
        <v>7866</v>
      </c>
      <c r="I1492" s="22" t="s">
        <v>8693</v>
      </c>
      <c r="J1492" s="31" t="n">
        <v>29.97</v>
      </c>
      <c r="K1492" s="26" t="n">
        <v>499.58</v>
      </c>
      <c r="L1492" s="26" t="n">
        <v>162.62</v>
      </c>
      <c r="M1492" s="22" t="s">
        <v>4839</v>
      </c>
      <c r="N1492" s="22" t="n">
        <f aca="false">MATCH(M1492,'Tabela Passaro'!$A$2:$A$1795,0)</f>
        <v>1160</v>
      </c>
      <c r="O1492" s="22" t="str">
        <f aca="false">INDEX('Tabela Passaro'!$C$2:$C$1795,$N1492)</f>
        <v>CARUARU</v>
      </c>
      <c r="P1492" s="22" t="str">
        <f aca="false">INDEX('Tabela Passaro'!$B$2:$B$1795,$N1492)</f>
        <v>PE</v>
      </c>
      <c r="Q1492" s="22" t="n">
        <f aca="false">INDEX('Tabela Passaro'!$F$2:$F$1795,$N1492)</f>
        <v>11</v>
      </c>
      <c r="R1492" s="32" t="n">
        <f aca="false">IF(J1492&lt;=10,INDEX('Tabela Passaro'!$G$2:$G$1795,$N1492),IF(J1492&lt;=30,INDEX('Tabela Passaro'!$H$2:$H$1795,$N1492),IF(J1492&lt;=50,INDEX('Tabela Passaro'!$I$2:$I$1795,$N1492),IF(J1492&lt;=70,INDEX('Tabela Passaro'!$J$2:$J$1795,$N1492),IF(J1492&lt;=100,INDEX('Tabela Passaro'!$K$2:$K$1795,$N1492),INDEX('Tabela Passaro'!$K$2:$K$1795,$N1492)+(J1492-100)*INDEX('Tabela Passaro'!$L$2:$L$1795,$N1492))))))</f>
        <v>89.01</v>
      </c>
      <c r="S1492" s="32" t="n">
        <f aca="false">K1492*INDEX('Tabela Passaro'!$M$2:$M$1795,$N1492)</f>
        <v>2.4979</v>
      </c>
      <c r="T1492" s="32" t="n">
        <f aca="false">K1492*INDEX('Tabela Passaro'!$N$2:$N$1795,$N1492)</f>
        <v>0.99916</v>
      </c>
      <c r="U1492" s="32" t="n">
        <f aca="false">INDEX('Tabela Passaro'!$O$2:$O$1795,$N1492)</f>
        <v>5</v>
      </c>
      <c r="V1492" s="32" t="n">
        <f aca="false">ROUNDUP(J1492/INDEX('Tabela Passaro'!$Q$2:$Q$1795,$N1492),0)*INDEX('Tabela Passaro'!$P$2:$P$1795,$N1492)</f>
        <v>5</v>
      </c>
      <c r="W1492" s="32" t="n">
        <f aca="false">INDEX('Tabela Passaro'!$R$2:$R$1795,$N1492)</f>
        <v>30</v>
      </c>
      <c r="X1492" s="32" t="n">
        <f aca="false">ROUNDUP(J1492/INDEX('Tabela Passaro'!$T$2:$T$1795,$N1492),0)*INDEX('Tabela Passaro'!$S$2:$S$1795,$N1492)</f>
        <v>0</v>
      </c>
      <c r="Y1492" s="32" t="n">
        <f aca="false">INDEX('Tabela Passaro'!$U$2:$U$1795,$N1492)</f>
        <v>0</v>
      </c>
      <c r="Z1492" s="32" t="n">
        <f aca="false">INDEX('Tabela Passaro'!$V$2:$V$1795,$N1492)</f>
        <v>0</v>
      </c>
      <c r="AA1492" s="32" t="n">
        <f aca="false">SUM(R1492:Z1492)</f>
        <v>132.50706</v>
      </c>
      <c r="AB1492" s="33" t="n">
        <f aca="false">INDEX(Premissas!$B$5:$B$13,MATCH(A1492,Premissas!$A$5:$A$13,0))</f>
        <v>0.07</v>
      </c>
      <c r="AC1492" s="32" t="n">
        <f aca="false">AA1492/(1-AB1492)-AA1492</f>
        <v>9.97364967741936</v>
      </c>
      <c r="AD1492" s="32" t="n">
        <f aca="false">ROUND(AA1492+AC1492,2)</f>
        <v>142.48</v>
      </c>
      <c r="AE1492" s="32" t="n">
        <f aca="false">AD1492-L1492</f>
        <v>-20.14</v>
      </c>
      <c r="AF1492" s="34" t="n">
        <f aca="false">IF(L1492=0,0,AE1492/L1492)</f>
        <v>-0.123847005288402</v>
      </c>
      <c r="AG1492" s="22" t="str">
        <f aca="false">IF(AD1492&lt;L1492,"PASSARO","ATUAL")</f>
        <v>PASSARO</v>
      </c>
      <c r="AH1492" s="22" t="str">
        <f aca="false">IF(P1492&lt;&gt;A1492,"Faixa cadastrada como "&amp;P1492&amp;" na tabela; preço aplicado pela UF do CEP","")</f>
        <v/>
      </c>
      <c r="AI1492" s="26" t="n">
        <v>152.78</v>
      </c>
      <c r="AJ1492" s="22" t="str">
        <f aca="false">INDEX('Tabela Passaro'!$X$2:$X$1795,$N1492)</f>
        <v>INTERIOR 1</v>
      </c>
    </row>
    <row r="1493" customFormat="false" ht="15" hidden="false" customHeight="false" outlineLevel="0" collapsed="false">
      <c r="A1493" s="22" t="s">
        <v>20</v>
      </c>
      <c r="B1493" s="22" t="n">
        <v>6</v>
      </c>
      <c r="C1493" s="22" t="s">
        <v>157</v>
      </c>
      <c r="D1493" s="22" t="s">
        <v>34</v>
      </c>
      <c r="E1493" s="22" t="s">
        <v>7399</v>
      </c>
      <c r="F1493" s="22" t="n">
        <v>666441</v>
      </c>
      <c r="G1493" s="30" t="n">
        <v>46259</v>
      </c>
      <c r="H1493" s="22" t="n">
        <v>8349</v>
      </c>
      <c r="I1493" s="22" t="s">
        <v>8694</v>
      </c>
      <c r="J1493" s="31" t="n">
        <v>116.29</v>
      </c>
      <c r="K1493" s="26" t="n">
        <v>1809.98</v>
      </c>
      <c r="L1493" s="26" t="n">
        <v>282.04</v>
      </c>
      <c r="M1493" s="22" t="s">
        <v>4839</v>
      </c>
      <c r="N1493" s="22" t="n">
        <f aca="false">MATCH(M1493,'Tabela Passaro'!$A$2:$A$1795,0)</f>
        <v>1160</v>
      </c>
      <c r="O1493" s="22" t="str">
        <f aca="false">INDEX('Tabela Passaro'!$C$2:$C$1795,$N1493)</f>
        <v>CARUARU</v>
      </c>
      <c r="P1493" s="22" t="str">
        <f aca="false">INDEX('Tabela Passaro'!$B$2:$B$1795,$N1493)</f>
        <v>PE</v>
      </c>
      <c r="Q1493" s="22" t="n">
        <f aca="false">INDEX('Tabela Passaro'!$F$2:$F$1795,$N1493)</f>
        <v>11</v>
      </c>
      <c r="R1493" s="32" t="n">
        <f aca="false">IF(J1493&lt;=10,INDEX('Tabela Passaro'!$G$2:$G$1795,$N1493),IF(J1493&lt;=30,INDEX('Tabela Passaro'!$H$2:$H$1795,$N1493),IF(J1493&lt;=50,INDEX('Tabela Passaro'!$I$2:$I$1795,$N1493),IF(J1493&lt;=70,INDEX('Tabela Passaro'!$J$2:$J$1795,$N1493),IF(J1493&lt;=100,INDEX('Tabela Passaro'!$K$2:$K$1795,$N1493),INDEX('Tabela Passaro'!$K$2:$K$1795,$N1493)+(J1493-100)*INDEX('Tabela Passaro'!$L$2:$L$1795,$N1493))))))</f>
        <v>170.0297</v>
      </c>
      <c r="S1493" s="32" t="n">
        <f aca="false">K1493*INDEX('Tabela Passaro'!$M$2:$M$1795,$N1493)</f>
        <v>9.0499</v>
      </c>
      <c r="T1493" s="32" t="n">
        <f aca="false">K1493*INDEX('Tabela Passaro'!$N$2:$N$1795,$N1493)</f>
        <v>3.61996</v>
      </c>
      <c r="U1493" s="32" t="n">
        <f aca="false">INDEX('Tabela Passaro'!$O$2:$O$1795,$N1493)</f>
        <v>5</v>
      </c>
      <c r="V1493" s="32" t="n">
        <f aca="false">ROUNDUP(J1493/INDEX('Tabela Passaro'!$Q$2:$Q$1795,$N1493),0)*INDEX('Tabela Passaro'!$P$2:$P$1795,$N1493)</f>
        <v>10</v>
      </c>
      <c r="W1493" s="32" t="n">
        <f aca="false">INDEX('Tabela Passaro'!$R$2:$R$1795,$N1493)</f>
        <v>30</v>
      </c>
      <c r="X1493" s="32" t="n">
        <f aca="false">ROUNDUP(J1493/INDEX('Tabela Passaro'!$T$2:$T$1795,$N1493),0)*INDEX('Tabela Passaro'!$S$2:$S$1795,$N1493)</f>
        <v>0</v>
      </c>
      <c r="Y1493" s="32" t="n">
        <f aca="false">INDEX('Tabela Passaro'!$U$2:$U$1795,$N1493)</f>
        <v>0</v>
      </c>
      <c r="Z1493" s="32" t="n">
        <f aca="false">INDEX('Tabela Passaro'!$V$2:$V$1795,$N1493)</f>
        <v>0</v>
      </c>
      <c r="AA1493" s="32" t="n">
        <f aca="false">SUM(R1493:Z1493)</f>
        <v>227.69956</v>
      </c>
      <c r="AB1493" s="33" t="n">
        <f aca="false">INDEX(Premissas!$B$5:$B$13,MATCH(A1493,Premissas!$A$5:$A$13,0))</f>
        <v>0.07</v>
      </c>
      <c r="AC1493" s="32" t="n">
        <f aca="false">AA1493/(1-AB1493)-AA1493</f>
        <v>17.1386765591398</v>
      </c>
      <c r="AD1493" s="32" t="n">
        <f aca="false">ROUND(AA1493+AC1493,2)</f>
        <v>244.84</v>
      </c>
      <c r="AE1493" s="32" t="n">
        <f aca="false">AD1493-L1493</f>
        <v>-37.2</v>
      </c>
      <c r="AF1493" s="34" t="n">
        <f aca="false">IF(L1493=0,0,AE1493/L1493)</f>
        <v>-0.131896184938307</v>
      </c>
      <c r="AG1493" s="22" t="str">
        <f aca="false">IF(AD1493&lt;L1493,"PASSARO","ATUAL")</f>
        <v>PASSARO</v>
      </c>
      <c r="AH1493" s="22" t="str">
        <f aca="false">IF(P1493&lt;&gt;A1493,"Faixa cadastrada como "&amp;P1493&amp;" na tabela; preço aplicado pela UF do CEP","")</f>
        <v/>
      </c>
      <c r="AI1493" s="26" t="n">
        <v>307.3</v>
      </c>
      <c r="AJ1493" s="22" t="str">
        <f aca="false">INDEX('Tabela Passaro'!$X$2:$X$1795,$N1493)</f>
        <v>INTERIOR 1</v>
      </c>
    </row>
    <row r="1494" customFormat="false" ht="15" hidden="false" customHeight="false" outlineLevel="0" collapsed="false">
      <c r="A1494" s="22" t="s">
        <v>20</v>
      </c>
      <c r="B1494" s="22" t="n">
        <v>6</v>
      </c>
      <c r="C1494" s="22" t="s">
        <v>157</v>
      </c>
      <c r="D1494" s="22" t="s">
        <v>34</v>
      </c>
      <c r="E1494" s="22" t="s">
        <v>7399</v>
      </c>
      <c r="F1494" s="22" t="n">
        <v>666440</v>
      </c>
      <c r="G1494" s="30" t="n">
        <v>46259</v>
      </c>
      <c r="H1494" s="22" t="n">
        <v>8536</v>
      </c>
      <c r="I1494" s="22" t="s">
        <v>8695</v>
      </c>
      <c r="J1494" s="31" t="n">
        <v>57</v>
      </c>
      <c r="K1494" s="26" t="n">
        <v>939.98</v>
      </c>
      <c r="L1494" s="26" t="n">
        <v>215.51</v>
      </c>
      <c r="M1494" s="22" t="s">
        <v>4839</v>
      </c>
      <c r="N1494" s="22" t="n">
        <f aca="false">MATCH(M1494,'Tabela Passaro'!$A$2:$A$1795,0)</f>
        <v>1160</v>
      </c>
      <c r="O1494" s="22" t="str">
        <f aca="false">INDEX('Tabela Passaro'!$C$2:$C$1795,$N1494)</f>
        <v>CARUARU</v>
      </c>
      <c r="P1494" s="22" t="str">
        <f aca="false">INDEX('Tabela Passaro'!$B$2:$B$1795,$N1494)</f>
        <v>PE</v>
      </c>
      <c r="Q1494" s="22" t="n">
        <f aca="false">INDEX('Tabela Passaro'!$F$2:$F$1795,$N1494)</f>
        <v>11</v>
      </c>
      <c r="R1494" s="32" t="n">
        <f aca="false">IF(J1494&lt;=10,INDEX('Tabela Passaro'!$G$2:$G$1795,$N1494),IF(J1494&lt;=30,INDEX('Tabela Passaro'!$H$2:$H$1795,$N1494),IF(J1494&lt;=50,INDEX('Tabela Passaro'!$I$2:$I$1795,$N1494),IF(J1494&lt;=70,INDEX('Tabela Passaro'!$J$2:$J$1795,$N1494),IF(J1494&lt;=100,INDEX('Tabela Passaro'!$K$2:$K$1795,$N1494),INDEX('Tabela Passaro'!$K$2:$K$1795,$N1494)+(J1494-100)*INDEX('Tabela Passaro'!$L$2:$L$1795,$N1494))))))</f>
        <v>122.06</v>
      </c>
      <c r="S1494" s="32" t="n">
        <f aca="false">K1494*INDEX('Tabela Passaro'!$M$2:$M$1795,$N1494)</f>
        <v>4.6999</v>
      </c>
      <c r="T1494" s="32" t="n">
        <f aca="false">K1494*INDEX('Tabela Passaro'!$N$2:$N$1795,$N1494)</f>
        <v>1.87996</v>
      </c>
      <c r="U1494" s="32" t="n">
        <f aca="false">INDEX('Tabela Passaro'!$O$2:$O$1795,$N1494)</f>
        <v>5</v>
      </c>
      <c r="V1494" s="32" t="n">
        <f aca="false">ROUNDUP(J1494/INDEX('Tabela Passaro'!$Q$2:$Q$1795,$N1494),0)*INDEX('Tabela Passaro'!$P$2:$P$1795,$N1494)</f>
        <v>5</v>
      </c>
      <c r="W1494" s="32" t="n">
        <f aca="false">INDEX('Tabela Passaro'!$R$2:$R$1795,$N1494)</f>
        <v>30</v>
      </c>
      <c r="X1494" s="32" t="n">
        <f aca="false">ROUNDUP(J1494/INDEX('Tabela Passaro'!$T$2:$T$1795,$N1494),0)*INDEX('Tabela Passaro'!$S$2:$S$1795,$N1494)</f>
        <v>0</v>
      </c>
      <c r="Y1494" s="32" t="n">
        <f aca="false">INDEX('Tabela Passaro'!$U$2:$U$1795,$N1494)</f>
        <v>0</v>
      </c>
      <c r="Z1494" s="32" t="n">
        <f aca="false">INDEX('Tabela Passaro'!$V$2:$V$1795,$N1494)</f>
        <v>0</v>
      </c>
      <c r="AA1494" s="32" t="n">
        <f aca="false">SUM(R1494:Z1494)</f>
        <v>168.63986</v>
      </c>
      <c r="AB1494" s="33" t="n">
        <f aca="false">INDEX(Premissas!$B$5:$B$13,MATCH(A1494,Premissas!$A$5:$A$13,0))</f>
        <v>0.07</v>
      </c>
      <c r="AC1494" s="32" t="n">
        <f aca="false">AA1494/(1-AB1494)-AA1494</f>
        <v>12.6933227956989</v>
      </c>
      <c r="AD1494" s="32" t="n">
        <f aca="false">ROUND(AA1494+AC1494,2)</f>
        <v>181.33</v>
      </c>
      <c r="AE1494" s="32" t="n">
        <f aca="false">AD1494-L1494</f>
        <v>-34.18</v>
      </c>
      <c r="AF1494" s="34" t="n">
        <f aca="false">IF(L1494=0,0,AE1494/L1494)</f>
        <v>-0.158600528977774</v>
      </c>
      <c r="AG1494" s="22" t="str">
        <f aca="false">IF(AD1494&lt;L1494,"PASSARO","ATUAL")</f>
        <v>PASSARO</v>
      </c>
      <c r="AH1494" s="22" t="str">
        <f aca="false">IF(P1494&lt;&gt;A1494,"Faixa cadastrada como "&amp;P1494&amp;" na tabela; preço aplicado pela UF do CEP","")</f>
        <v/>
      </c>
      <c r="AI1494" s="26" t="n">
        <v>207.68</v>
      </c>
      <c r="AJ1494" s="22" t="str">
        <f aca="false">INDEX('Tabela Passaro'!$X$2:$X$1795,$N1494)</f>
        <v>INTERIOR 1</v>
      </c>
    </row>
    <row r="1495" customFormat="false" ht="15" hidden="false" customHeight="false" outlineLevel="0" collapsed="false">
      <c r="A1495" s="22" t="s">
        <v>20</v>
      </c>
      <c r="B1495" s="22" t="n">
        <v>6</v>
      </c>
      <c r="C1495" s="22" t="s">
        <v>157</v>
      </c>
      <c r="D1495" s="22" t="s">
        <v>31</v>
      </c>
      <c r="E1495" s="22" t="s">
        <v>7326</v>
      </c>
      <c r="F1495" s="22" t="n">
        <v>12756107</v>
      </c>
      <c r="G1495" s="30" t="n">
        <v>46244</v>
      </c>
      <c r="H1495" s="22" t="n">
        <v>622027</v>
      </c>
      <c r="I1495" s="22" t="s">
        <v>8696</v>
      </c>
      <c r="J1495" s="31" t="n">
        <v>17.2</v>
      </c>
      <c r="K1495" s="26" t="n">
        <v>376.48</v>
      </c>
      <c r="L1495" s="26" t="n">
        <v>69.73</v>
      </c>
      <c r="M1495" s="22" t="s">
        <v>4839</v>
      </c>
      <c r="N1495" s="22" t="n">
        <f aca="false">MATCH(M1495,'Tabela Passaro'!$A$2:$A$1795,0)</f>
        <v>1160</v>
      </c>
      <c r="O1495" s="22" t="str">
        <f aca="false">INDEX('Tabela Passaro'!$C$2:$C$1795,$N1495)</f>
        <v>CARUARU</v>
      </c>
      <c r="P1495" s="22" t="str">
        <f aca="false">INDEX('Tabela Passaro'!$B$2:$B$1795,$N1495)</f>
        <v>PE</v>
      </c>
      <c r="Q1495" s="22" t="n">
        <f aca="false">INDEX('Tabela Passaro'!$F$2:$F$1795,$N1495)</f>
        <v>11</v>
      </c>
      <c r="R1495" s="32" t="n">
        <f aca="false">IF(J1495&lt;=10,INDEX('Tabela Passaro'!$G$2:$G$1795,$N1495),IF(J1495&lt;=30,INDEX('Tabela Passaro'!$H$2:$H$1795,$N1495),IF(J1495&lt;=50,INDEX('Tabela Passaro'!$I$2:$I$1795,$N1495),IF(J1495&lt;=70,INDEX('Tabela Passaro'!$J$2:$J$1795,$N1495),IF(J1495&lt;=100,INDEX('Tabela Passaro'!$K$2:$K$1795,$N1495),INDEX('Tabela Passaro'!$K$2:$K$1795,$N1495)+(J1495-100)*INDEX('Tabela Passaro'!$L$2:$L$1795,$N1495))))))</f>
        <v>89.01</v>
      </c>
      <c r="S1495" s="32" t="n">
        <f aca="false">K1495*INDEX('Tabela Passaro'!$M$2:$M$1795,$N1495)</f>
        <v>1.8824</v>
      </c>
      <c r="T1495" s="32" t="n">
        <f aca="false">K1495*INDEX('Tabela Passaro'!$N$2:$N$1795,$N1495)</f>
        <v>0.75296</v>
      </c>
      <c r="U1495" s="32" t="n">
        <f aca="false">INDEX('Tabela Passaro'!$O$2:$O$1795,$N1495)</f>
        <v>5</v>
      </c>
      <c r="V1495" s="32" t="n">
        <f aca="false">ROUNDUP(J1495/INDEX('Tabela Passaro'!$Q$2:$Q$1795,$N1495),0)*INDEX('Tabela Passaro'!$P$2:$P$1795,$N1495)</f>
        <v>5</v>
      </c>
      <c r="W1495" s="32" t="n">
        <f aca="false">INDEX('Tabela Passaro'!$R$2:$R$1795,$N1495)</f>
        <v>30</v>
      </c>
      <c r="X1495" s="32" t="n">
        <f aca="false">ROUNDUP(J1495/INDEX('Tabela Passaro'!$T$2:$T$1795,$N1495),0)*INDEX('Tabela Passaro'!$S$2:$S$1795,$N1495)</f>
        <v>0</v>
      </c>
      <c r="Y1495" s="32" t="n">
        <f aca="false">INDEX('Tabela Passaro'!$U$2:$U$1795,$N1495)</f>
        <v>0</v>
      </c>
      <c r="Z1495" s="32" t="n">
        <f aca="false">INDEX('Tabela Passaro'!$V$2:$V$1795,$N1495)</f>
        <v>0</v>
      </c>
      <c r="AA1495" s="32" t="n">
        <f aca="false">SUM(R1495:Z1495)</f>
        <v>131.64536</v>
      </c>
      <c r="AB1495" s="33" t="n">
        <f aca="false">INDEX(Premissas!$B$5:$B$13,MATCH(A1495,Premissas!$A$5:$A$13,0))</f>
        <v>0.07</v>
      </c>
      <c r="AC1495" s="32" t="n">
        <f aca="false">AA1495/(1-AB1495)-AA1495</f>
        <v>9.90879053763442</v>
      </c>
      <c r="AD1495" s="32" t="n">
        <f aca="false">ROUND(AA1495+AC1495,2)</f>
        <v>141.55</v>
      </c>
      <c r="AE1495" s="32" t="n">
        <f aca="false">AD1495-L1495</f>
        <v>71.82</v>
      </c>
      <c r="AF1495" s="34" t="n">
        <f aca="false">IF(L1495=0,0,AE1495/L1495)</f>
        <v>1.0299727520436</v>
      </c>
      <c r="AG1495" s="22" t="str">
        <f aca="false">IF(AD1495&lt;L1495,"PASSARO","ATUAL")</f>
        <v>ATUAL</v>
      </c>
      <c r="AH1495" s="22" t="str">
        <f aca="false">IF(P1495&lt;&gt;A1495,"Faixa cadastrada como "&amp;P1495&amp;" na tabela; preço aplicado pela UF do CEP","")</f>
        <v/>
      </c>
      <c r="AI1495" s="26" t="n">
        <v>145.78</v>
      </c>
      <c r="AJ1495" s="22" t="str">
        <f aca="false">INDEX('Tabela Passaro'!$X$2:$X$1795,$N1495)</f>
        <v>INTERIOR 1</v>
      </c>
    </row>
    <row r="1496" customFormat="false" ht="15" hidden="false" customHeight="false" outlineLevel="0" collapsed="false">
      <c r="A1496" s="22" t="s">
        <v>20</v>
      </c>
      <c r="B1496" s="22" t="n">
        <v>6</v>
      </c>
      <c r="C1496" s="22" t="s">
        <v>157</v>
      </c>
      <c r="D1496" s="22" t="s">
        <v>31</v>
      </c>
      <c r="E1496" s="22" t="s">
        <v>7326</v>
      </c>
      <c r="F1496" s="22" t="n">
        <v>12766280</v>
      </c>
      <c r="G1496" s="30" t="n">
        <v>46245</v>
      </c>
      <c r="H1496" s="22" t="n">
        <v>622648</v>
      </c>
      <c r="I1496" s="22" t="s">
        <v>8697</v>
      </c>
      <c r="J1496" s="31" t="n">
        <v>19.4</v>
      </c>
      <c r="K1496" s="26" t="n">
        <v>422.58</v>
      </c>
      <c r="L1496" s="26" t="n">
        <v>86.76</v>
      </c>
      <c r="M1496" s="22" t="s">
        <v>4839</v>
      </c>
      <c r="N1496" s="22" t="n">
        <f aca="false">MATCH(M1496,'Tabela Passaro'!$A$2:$A$1795,0)</f>
        <v>1160</v>
      </c>
      <c r="O1496" s="22" t="str">
        <f aca="false">INDEX('Tabela Passaro'!$C$2:$C$1795,$N1496)</f>
        <v>CARUARU</v>
      </c>
      <c r="P1496" s="22" t="str">
        <f aca="false">INDEX('Tabela Passaro'!$B$2:$B$1795,$N1496)</f>
        <v>PE</v>
      </c>
      <c r="Q1496" s="22" t="n">
        <f aca="false">INDEX('Tabela Passaro'!$F$2:$F$1795,$N1496)</f>
        <v>11</v>
      </c>
      <c r="R1496" s="32" t="n">
        <f aca="false">IF(J1496&lt;=10,INDEX('Tabela Passaro'!$G$2:$G$1795,$N1496),IF(J1496&lt;=30,INDEX('Tabela Passaro'!$H$2:$H$1795,$N1496),IF(J1496&lt;=50,INDEX('Tabela Passaro'!$I$2:$I$1795,$N1496),IF(J1496&lt;=70,INDEX('Tabela Passaro'!$J$2:$J$1795,$N1496),IF(J1496&lt;=100,INDEX('Tabela Passaro'!$K$2:$K$1795,$N1496),INDEX('Tabela Passaro'!$K$2:$K$1795,$N1496)+(J1496-100)*INDEX('Tabela Passaro'!$L$2:$L$1795,$N1496))))))</f>
        <v>89.01</v>
      </c>
      <c r="S1496" s="32" t="n">
        <f aca="false">K1496*INDEX('Tabela Passaro'!$M$2:$M$1795,$N1496)</f>
        <v>2.1129</v>
      </c>
      <c r="T1496" s="32" t="n">
        <f aca="false">K1496*INDEX('Tabela Passaro'!$N$2:$N$1795,$N1496)</f>
        <v>0.84516</v>
      </c>
      <c r="U1496" s="32" t="n">
        <f aca="false">INDEX('Tabela Passaro'!$O$2:$O$1795,$N1496)</f>
        <v>5</v>
      </c>
      <c r="V1496" s="32" t="n">
        <f aca="false">ROUNDUP(J1496/INDEX('Tabela Passaro'!$Q$2:$Q$1795,$N1496),0)*INDEX('Tabela Passaro'!$P$2:$P$1795,$N1496)</f>
        <v>5</v>
      </c>
      <c r="W1496" s="32" t="n">
        <f aca="false">INDEX('Tabela Passaro'!$R$2:$R$1795,$N1496)</f>
        <v>30</v>
      </c>
      <c r="X1496" s="32" t="n">
        <f aca="false">ROUNDUP(J1496/INDEX('Tabela Passaro'!$T$2:$T$1795,$N1496),0)*INDEX('Tabela Passaro'!$S$2:$S$1795,$N1496)</f>
        <v>0</v>
      </c>
      <c r="Y1496" s="32" t="n">
        <f aca="false">INDEX('Tabela Passaro'!$U$2:$U$1795,$N1496)</f>
        <v>0</v>
      </c>
      <c r="Z1496" s="32" t="n">
        <f aca="false">INDEX('Tabela Passaro'!$V$2:$V$1795,$N1496)</f>
        <v>0</v>
      </c>
      <c r="AA1496" s="32" t="n">
        <f aca="false">SUM(R1496:Z1496)</f>
        <v>131.96806</v>
      </c>
      <c r="AB1496" s="33" t="n">
        <f aca="false">INDEX(Premissas!$B$5:$B$13,MATCH(A1496,Premissas!$A$5:$A$13,0))</f>
        <v>0.07</v>
      </c>
      <c r="AC1496" s="32" t="n">
        <f aca="false">AA1496/(1-AB1496)-AA1496</f>
        <v>9.93307978494624</v>
      </c>
      <c r="AD1496" s="32" t="n">
        <f aca="false">ROUND(AA1496+AC1496,2)</f>
        <v>141.9</v>
      </c>
      <c r="AE1496" s="32" t="n">
        <f aca="false">AD1496-L1496</f>
        <v>55.14</v>
      </c>
      <c r="AF1496" s="34" t="n">
        <f aca="false">IF(L1496=0,0,AE1496/L1496)</f>
        <v>0.635546334716459</v>
      </c>
      <c r="AG1496" s="22" t="str">
        <f aca="false">IF(AD1496&lt;L1496,"PASSARO","ATUAL")</f>
        <v>ATUAL</v>
      </c>
      <c r="AH1496" s="22" t="str">
        <f aca="false">IF(P1496&lt;&gt;A1496,"Faixa cadastrada como "&amp;P1496&amp;" na tabela; preço aplicado pela UF do CEP","")</f>
        <v/>
      </c>
      <c r="AI1496" s="26" t="n">
        <v>147.2</v>
      </c>
      <c r="AJ1496" s="22" t="str">
        <f aca="false">INDEX('Tabela Passaro'!$X$2:$X$1795,$N1496)</f>
        <v>INTERIOR 1</v>
      </c>
    </row>
    <row r="1497" customFormat="false" ht="15" hidden="false" customHeight="false" outlineLevel="0" collapsed="false">
      <c r="A1497" s="22" t="s">
        <v>20</v>
      </c>
      <c r="B1497" s="22" t="n">
        <v>6</v>
      </c>
      <c r="C1497" s="22" t="s">
        <v>157</v>
      </c>
      <c r="D1497" s="22" t="s">
        <v>31</v>
      </c>
      <c r="E1497" s="22" t="s">
        <v>7326</v>
      </c>
      <c r="F1497" s="22" t="n">
        <v>12809518</v>
      </c>
      <c r="G1497" s="30" t="n">
        <v>46252</v>
      </c>
      <c r="H1497" s="22" t="n">
        <v>626429</v>
      </c>
      <c r="I1497" s="22" t="s">
        <v>8698</v>
      </c>
      <c r="J1497" s="31" t="n">
        <v>22.3</v>
      </c>
      <c r="K1497" s="26" t="n">
        <v>637.47</v>
      </c>
      <c r="L1497" s="26" t="n">
        <v>99.48</v>
      </c>
      <c r="M1497" s="22" t="s">
        <v>4839</v>
      </c>
      <c r="N1497" s="22" t="n">
        <f aca="false">MATCH(M1497,'Tabela Passaro'!$A$2:$A$1795,0)</f>
        <v>1160</v>
      </c>
      <c r="O1497" s="22" t="str">
        <f aca="false">INDEX('Tabela Passaro'!$C$2:$C$1795,$N1497)</f>
        <v>CARUARU</v>
      </c>
      <c r="P1497" s="22" t="str">
        <f aca="false">INDEX('Tabela Passaro'!$B$2:$B$1795,$N1497)</f>
        <v>PE</v>
      </c>
      <c r="Q1497" s="22" t="n">
        <f aca="false">INDEX('Tabela Passaro'!$F$2:$F$1795,$N1497)</f>
        <v>11</v>
      </c>
      <c r="R1497" s="32" t="n">
        <f aca="false">IF(J1497&lt;=10,INDEX('Tabela Passaro'!$G$2:$G$1795,$N1497),IF(J1497&lt;=30,INDEX('Tabela Passaro'!$H$2:$H$1795,$N1497),IF(J1497&lt;=50,INDEX('Tabela Passaro'!$I$2:$I$1795,$N1497),IF(J1497&lt;=70,INDEX('Tabela Passaro'!$J$2:$J$1795,$N1497),IF(J1497&lt;=100,INDEX('Tabela Passaro'!$K$2:$K$1795,$N1497),INDEX('Tabela Passaro'!$K$2:$K$1795,$N1497)+(J1497-100)*INDEX('Tabela Passaro'!$L$2:$L$1795,$N1497))))))</f>
        <v>89.01</v>
      </c>
      <c r="S1497" s="32" t="n">
        <f aca="false">K1497*INDEX('Tabela Passaro'!$M$2:$M$1795,$N1497)</f>
        <v>3.18735</v>
      </c>
      <c r="T1497" s="32" t="n">
        <f aca="false">K1497*INDEX('Tabela Passaro'!$N$2:$N$1795,$N1497)</f>
        <v>1.27494</v>
      </c>
      <c r="U1497" s="32" t="n">
        <f aca="false">INDEX('Tabela Passaro'!$O$2:$O$1795,$N1497)</f>
        <v>5</v>
      </c>
      <c r="V1497" s="32" t="n">
        <f aca="false">ROUNDUP(J1497/INDEX('Tabela Passaro'!$Q$2:$Q$1795,$N1497),0)*INDEX('Tabela Passaro'!$P$2:$P$1795,$N1497)</f>
        <v>5</v>
      </c>
      <c r="W1497" s="32" t="n">
        <f aca="false">INDEX('Tabela Passaro'!$R$2:$R$1795,$N1497)</f>
        <v>30</v>
      </c>
      <c r="X1497" s="32" t="n">
        <f aca="false">ROUNDUP(J1497/INDEX('Tabela Passaro'!$T$2:$T$1795,$N1497),0)*INDEX('Tabela Passaro'!$S$2:$S$1795,$N1497)</f>
        <v>0</v>
      </c>
      <c r="Y1497" s="32" t="n">
        <f aca="false">INDEX('Tabela Passaro'!$U$2:$U$1795,$N1497)</f>
        <v>0</v>
      </c>
      <c r="Z1497" s="32" t="n">
        <f aca="false">INDEX('Tabela Passaro'!$V$2:$V$1795,$N1497)</f>
        <v>0</v>
      </c>
      <c r="AA1497" s="32" t="n">
        <f aca="false">SUM(R1497:Z1497)</f>
        <v>133.47229</v>
      </c>
      <c r="AB1497" s="33" t="n">
        <f aca="false">INDEX(Premissas!$B$5:$B$13,MATCH(A1497,Premissas!$A$5:$A$13,0))</f>
        <v>0.07</v>
      </c>
      <c r="AC1497" s="32" t="n">
        <f aca="false">AA1497/(1-AB1497)-AA1497</f>
        <v>10.0463013978495</v>
      </c>
      <c r="AD1497" s="32" t="n">
        <f aca="false">ROUND(AA1497+AC1497,2)</f>
        <v>143.52</v>
      </c>
      <c r="AE1497" s="32" t="n">
        <f aca="false">AD1497-L1497</f>
        <v>44.04</v>
      </c>
      <c r="AF1497" s="34" t="n">
        <f aca="false">IF(L1497=0,0,AE1497/L1497)</f>
        <v>0.44270205066345</v>
      </c>
      <c r="AG1497" s="22" t="str">
        <f aca="false">IF(AD1497&lt;L1497,"PASSARO","ATUAL")</f>
        <v>ATUAL</v>
      </c>
      <c r="AH1497" s="22" t="str">
        <f aca="false">IF(P1497&lt;&gt;A1497,"Faixa cadastrada como "&amp;P1497&amp;" na tabela; preço aplicado pela UF do CEP","")</f>
        <v/>
      </c>
      <c r="AI1497" s="26" t="n">
        <v>150.73</v>
      </c>
      <c r="AJ1497" s="22" t="str">
        <f aca="false">INDEX('Tabela Passaro'!$X$2:$X$1795,$N1497)</f>
        <v>INTERIOR 1</v>
      </c>
    </row>
    <row r="1498" customFormat="false" ht="15" hidden="false" customHeight="false" outlineLevel="0" collapsed="false">
      <c r="A1498" s="22" t="s">
        <v>20</v>
      </c>
      <c r="B1498" s="22" t="n">
        <v>6</v>
      </c>
      <c r="C1498" s="22" t="s">
        <v>157</v>
      </c>
      <c r="D1498" s="22" t="s">
        <v>31</v>
      </c>
      <c r="E1498" s="22" t="s">
        <v>7326</v>
      </c>
      <c r="F1498" s="22" t="n">
        <v>12816357</v>
      </c>
      <c r="G1498" s="30" t="n">
        <v>46253</v>
      </c>
      <c r="H1498" s="22" t="n">
        <v>627201</v>
      </c>
      <c r="I1498" s="22" t="s">
        <v>8699</v>
      </c>
      <c r="J1498" s="31" t="n">
        <v>19.5</v>
      </c>
      <c r="K1498" s="26" t="n">
        <v>432.08</v>
      </c>
      <c r="L1498" s="26" t="n">
        <v>87.31</v>
      </c>
      <c r="M1498" s="22" t="s">
        <v>4839</v>
      </c>
      <c r="N1498" s="22" t="n">
        <f aca="false">MATCH(M1498,'Tabela Passaro'!$A$2:$A$1795,0)</f>
        <v>1160</v>
      </c>
      <c r="O1498" s="22" t="str">
        <f aca="false">INDEX('Tabela Passaro'!$C$2:$C$1795,$N1498)</f>
        <v>CARUARU</v>
      </c>
      <c r="P1498" s="22" t="str">
        <f aca="false">INDEX('Tabela Passaro'!$B$2:$B$1795,$N1498)</f>
        <v>PE</v>
      </c>
      <c r="Q1498" s="22" t="n">
        <f aca="false">INDEX('Tabela Passaro'!$F$2:$F$1795,$N1498)</f>
        <v>11</v>
      </c>
      <c r="R1498" s="32" t="n">
        <f aca="false">IF(J1498&lt;=10,INDEX('Tabela Passaro'!$G$2:$G$1795,$N1498),IF(J1498&lt;=30,INDEX('Tabela Passaro'!$H$2:$H$1795,$N1498),IF(J1498&lt;=50,INDEX('Tabela Passaro'!$I$2:$I$1795,$N1498),IF(J1498&lt;=70,INDEX('Tabela Passaro'!$J$2:$J$1795,$N1498),IF(J1498&lt;=100,INDEX('Tabela Passaro'!$K$2:$K$1795,$N1498),INDEX('Tabela Passaro'!$K$2:$K$1795,$N1498)+(J1498-100)*INDEX('Tabela Passaro'!$L$2:$L$1795,$N1498))))))</f>
        <v>89.01</v>
      </c>
      <c r="S1498" s="32" t="n">
        <f aca="false">K1498*INDEX('Tabela Passaro'!$M$2:$M$1795,$N1498)</f>
        <v>2.1604</v>
      </c>
      <c r="T1498" s="32" t="n">
        <f aca="false">K1498*INDEX('Tabela Passaro'!$N$2:$N$1795,$N1498)</f>
        <v>0.86416</v>
      </c>
      <c r="U1498" s="32" t="n">
        <f aca="false">INDEX('Tabela Passaro'!$O$2:$O$1795,$N1498)</f>
        <v>5</v>
      </c>
      <c r="V1498" s="32" t="n">
        <f aca="false">ROUNDUP(J1498/INDEX('Tabela Passaro'!$Q$2:$Q$1795,$N1498),0)*INDEX('Tabela Passaro'!$P$2:$P$1795,$N1498)</f>
        <v>5</v>
      </c>
      <c r="W1498" s="32" t="n">
        <f aca="false">INDEX('Tabela Passaro'!$R$2:$R$1795,$N1498)</f>
        <v>30</v>
      </c>
      <c r="X1498" s="32" t="n">
        <f aca="false">ROUNDUP(J1498/INDEX('Tabela Passaro'!$T$2:$T$1795,$N1498),0)*INDEX('Tabela Passaro'!$S$2:$S$1795,$N1498)</f>
        <v>0</v>
      </c>
      <c r="Y1498" s="32" t="n">
        <f aca="false">INDEX('Tabela Passaro'!$U$2:$U$1795,$N1498)</f>
        <v>0</v>
      </c>
      <c r="Z1498" s="32" t="n">
        <f aca="false">INDEX('Tabela Passaro'!$V$2:$V$1795,$N1498)</f>
        <v>0</v>
      </c>
      <c r="AA1498" s="32" t="n">
        <f aca="false">SUM(R1498:Z1498)</f>
        <v>132.03456</v>
      </c>
      <c r="AB1498" s="33" t="n">
        <f aca="false">INDEX(Premissas!$B$5:$B$13,MATCH(A1498,Premissas!$A$5:$A$13,0))</f>
        <v>0.07</v>
      </c>
      <c r="AC1498" s="32" t="n">
        <f aca="false">AA1498/(1-AB1498)-AA1498</f>
        <v>9.93808516129033</v>
      </c>
      <c r="AD1498" s="32" t="n">
        <f aca="false">ROUND(AA1498+AC1498,2)</f>
        <v>141.97</v>
      </c>
      <c r="AE1498" s="32" t="n">
        <f aca="false">AD1498-L1498</f>
        <v>54.66</v>
      </c>
      <c r="AF1498" s="34" t="n">
        <f aca="false">IF(L1498=0,0,AE1498/L1498)</f>
        <v>0.626045126560531</v>
      </c>
      <c r="AG1498" s="22" t="str">
        <f aca="false">IF(AD1498&lt;L1498,"PASSARO","ATUAL")</f>
        <v>ATUAL</v>
      </c>
      <c r="AH1498" s="22" t="str">
        <f aca="false">IF(P1498&lt;&gt;A1498,"Faixa cadastrada como "&amp;P1498&amp;" na tabela; preço aplicado pela UF do CEP","")</f>
        <v/>
      </c>
      <c r="AI1498" s="26" t="n">
        <v>147.29</v>
      </c>
      <c r="AJ1498" s="22" t="str">
        <f aca="false">INDEX('Tabela Passaro'!$X$2:$X$1795,$N1498)</f>
        <v>INTERIOR 1</v>
      </c>
    </row>
    <row r="1499" customFormat="false" ht="15" hidden="false" customHeight="false" outlineLevel="0" collapsed="false">
      <c r="A1499" s="22" t="s">
        <v>20</v>
      </c>
      <c r="B1499" s="22" t="n">
        <v>7</v>
      </c>
      <c r="C1499" s="22" t="s">
        <v>159</v>
      </c>
      <c r="D1499" s="22" t="s">
        <v>30</v>
      </c>
      <c r="E1499" s="22" t="s">
        <v>7328</v>
      </c>
      <c r="F1499" s="22" t="n">
        <v>2307975</v>
      </c>
      <c r="G1499" s="30" t="n">
        <v>46239</v>
      </c>
      <c r="H1499" s="22" t="n">
        <v>131963</v>
      </c>
      <c r="I1499" s="22" t="s">
        <v>8700</v>
      </c>
      <c r="J1499" s="31" t="n">
        <v>59.8</v>
      </c>
      <c r="K1499" s="26" t="n">
        <v>1140.84</v>
      </c>
      <c r="L1499" s="26" t="n">
        <v>211.58</v>
      </c>
      <c r="M1499" s="22" t="s">
        <v>4832</v>
      </c>
      <c r="N1499" s="22" t="n">
        <f aca="false">MATCH(M1499,'Tabela Passaro'!$A$2:$A$1795,0)</f>
        <v>1158</v>
      </c>
      <c r="O1499" s="22" t="str">
        <f aca="false">INDEX('Tabela Passaro'!$C$2:$C$1795,$N1499)</f>
        <v>CABO DE SANTO AGOSTINHO</v>
      </c>
      <c r="P1499" s="22" t="str">
        <f aca="false">INDEX('Tabela Passaro'!$B$2:$B$1795,$N1499)</f>
        <v>PE</v>
      </c>
      <c r="Q1499" s="22" t="n">
        <f aca="false">INDEX('Tabela Passaro'!$F$2:$F$1795,$N1499)</f>
        <v>11</v>
      </c>
      <c r="R1499" s="32" t="n">
        <f aca="false">IF(J1499&lt;=10,INDEX('Tabela Passaro'!$G$2:$G$1795,$N1499),IF(J1499&lt;=30,INDEX('Tabela Passaro'!$H$2:$H$1795,$N1499),IF(J1499&lt;=50,INDEX('Tabela Passaro'!$I$2:$I$1795,$N1499),IF(J1499&lt;=70,INDEX('Tabela Passaro'!$J$2:$J$1795,$N1499),IF(J1499&lt;=100,INDEX('Tabela Passaro'!$K$2:$K$1795,$N1499),INDEX('Tabela Passaro'!$K$2:$K$1795,$N1499)+(J1499-100)*INDEX('Tabela Passaro'!$L$2:$L$1795,$N1499))))))</f>
        <v>122.06</v>
      </c>
      <c r="S1499" s="32" t="n">
        <f aca="false">K1499*INDEX('Tabela Passaro'!$M$2:$M$1795,$N1499)</f>
        <v>5.7042</v>
      </c>
      <c r="T1499" s="32" t="n">
        <f aca="false">K1499*INDEX('Tabela Passaro'!$N$2:$N$1795,$N1499)</f>
        <v>2.28168</v>
      </c>
      <c r="U1499" s="32" t="n">
        <f aca="false">INDEX('Tabela Passaro'!$O$2:$O$1795,$N1499)</f>
        <v>5</v>
      </c>
      <c r="V1499" s="32" t="n">
        <f aca="false">ROUNDUP(J1499/INDEX('Tabela Passaro'!$Q$2:$Q$1795,$N1499),0)*INDEX('Tabela Passaro'!$P$2:$P$1795,$N1499)</f>
        <v>5</v>
      </c>
      <c r="W1499" s="32" t="n">
        <f aca="false">INDEX('Tabela Passaro'!$R$2:$R$1795,$N1499)</f>
        <v>30</v>
      </c>
      <c r="X1499" s="32" t="n">
        <f aca="false">ROUNDUP(J1499/INDEX('Tabela Passaro'!$T$2:$T$1795,$N1499),0)*INDEX('Tabela Passaro'!$S$2:$S$1795,$N1499)</f>
        <v>0</v>
      </c>
      <c r="Y1499" s="32" t="n">
        <f aca="false">INDEX('Tabela Passaro'!$U$2:$U$1795,$N1499)</f>
        <v>0</v>
      </c>
      <c r="Z1499" s="32" t="n">
        <f aca="false">INDEX('Tabela Passaro'!$V$2:$V$1795,$N1499)</f>
        <v>0</v>
      </c>
      <c r="AA1499" s="32" t="n">
        <f aca="false">SUM(R1499:Z1499)</f>
        <v>170.04588</v>
      </c>
      <c r="AB1499" s="33" t="n">
        <f aca="false">INDEX(Premissas!$B$5:$B$13,MATCH(A1499,Premissas!$A$5:$A$13,0))</f>
        <v>0.07</v>
      </c>
      <c r="AC1499" s="32" t="n">
        <f aca="false">AA1499/(1-AB1499)-AA1499</f>
        <v>12.7991522580645</v>
      </c>
      <c r="AD1499" s="32" t="n">
        <f aca="false">ROUND(AA1499+AC1499,2)</f>
        <v>182.85</v>
      </c>
      <c r="AE1499" s="32" t="n">
        <f aca="false">AD1499-L1499</f>
        <v>-28.73</v>
      </c>
      <c r="AF1499" s="34" t="n">
        <f aca="false">IF(L1499=0,0,AE1499/L1499)</f>
        <v>-0.13578788165233</v>
      </c>
      <c r="AG1499" s="22" t="str">
        <f aca="false">IF(AD1499&lt;L1499,"PASSARO","ATUAL")</f>
        <v>PASSARO</v>
      </c>
      <c r="AH1499" s="22" t="str">
        <f aca="false">IF(P1499&lt;&gt;A1499,"Faixa cadastrada como "&amp;P1499&amp;" na tabela; preço aplicado pela UF do CEP","")</f>
        <v/>
      </c>
      <c r="AI1499" s="26" t="n">
        <v>211.07</v>
      </c>
      <c r="AJ1499" s="22" t="str">
        <f aca="false">INDEX('Tabela Passaro'!$X$2:$X$1795,$N1499)</f>
        <v>INTERIOR 1</v>
      </c>
    </row>
    <row r="1500" customFormat="false" ht="15" hidden="false" customHeight="false" outlineLevel="0" collapsed="false">
      <c r="A1500" s="22" t="s">
        <v>20</v>
      </c>
      <c r="B1500" s="22" t="n">
        <v>7</v>
      </c>
      <c r="C1500" s="22" t="s">
        <v>159</v>
      </c>
      <c r="D1500" s="22" t="s">
        <v>30</v>
      </c>
      <c r="E1500" s="22" t="s">
        <v>7328</v>
      </c>
      <c r="F1500" s="22" t="n">
        <v>2309792</v>
      </c>
      <c r="G1500" s="30" t="n">
        <v>46244</v>
      </c>
      <c r="H1500" s="22" t="n">
        <v>132157</v>
      </c>
      <c r="I1500" s="22" t="s">
        <v>8701</v>
      </c>
      <c r="J1500" s="31" t="n">
        <v>51.2</v>
      </c>
      <c r="K1500" s="26" t="n">
        <v>881.98</v>
      </c>
      <c r="L1500" s="26" t="n">
        <v>209.53</v>
      </c>
      <c r="M1500" s="22" t="s">
        <v>4832</v>
      </c>
      <c r="N1500" s="22" t="n">
        <f aca="false">MATCH(M1500,'Tabela Passaro'!$A$2:$A$1795,0)</f>
        <v>1158</v>
      </c>
      <c r="O1500" s="22" t="str">
        <f aca="false">INDEX('Tabela Passaro'!$C$2:$C$1795,$N1500)</f>
        <v>CABO DE SANTO AGOSTINHO</v>
      </c>
      <c r="P1500" s="22" t="str">
        <f aca="false">INDEX('Tabela Passaro'!$B$2:$B$1795,$N1500)</f>
        <v>PE</v>
      </c>
      <c r="Q1500" s="22" t="n">
        <f aca="false">INDEX('Tabela Passaro'!$F$2:$F$1795,$N1500)</f>
        <v>11</v>
      </c>
      <c r="R1500" s="32" t="n">
        <f aca="false">IF(J1500&lt;=10,INDEX('Tabela Passaro'!$G$2:$G$1795,$N1500),IF(J1500&lt;=30,INDEX('Tabela Passaro'!$H$2:$H$1795,$N1500),IF(J1500&lt;=50,INDEX('Tabela Passaro'!$I$2:$I$1795,$N1500),IF(J1500&lt;=70,INDEX('Tabela Passaro'!$J$2:$J$1795,$N1500),IF(J1500&lt;=100,INDEX('Tabela Passaro'!$K$2:$K$1795,$N1500),INDEX('Tabela Passaro'!$K$2:$K$1795,$N1500)+(J1500-100)*INDEX('Tabela Passaro'!$L$2:$L$1795,$N1500))))))</f>
        <v>122.06</v>
      </c>
      <c r="S1500" s="32" t="n">
        <f aca="false">K1500*INDEX('Tabela Passaro'!$M$2:$M$1795,$N1500)</f>
        <v>4.4099</v>
      </c>
      <c r="T1500" s="32" t="n">
        <f aca="false">K1500*INDEX('Tabela Passaro'!$N$2:$N$1795,$N1500)</f>
        <v>1.76396</v>
      </c>
      <c r="U1500" s="32" t="n">
        <f aca="false">INDEX('Tabela Passaro'!$O$2:$O$1795,$N1500)</f>
        <v>5</v>
      </c>
      <c r="V1500" s="32" t="n">
        <f aca="false">ROUNDUP(J1500/INDEX('Tabela Passaro'!$Q$2:$Q$1795,$N1500),0)*INDEX('Tabela Passaro'!$P$2:$P$1795,$N1500)</f>
        <v>5</v>
      </c>
      <c r="W1500" s="32" t="n">
        <f aca="false">INDEX('Tabela Passaro'!$R$2:$R$1795,$N1500)</f>
        <v>30</v>
      </c>
      <c r="X1500" s="32" t="n">
        <f aca="false">ROUNDUP(J1500/INDEX('Tabela Passaro'!$T$2:$T$1795,$N1500),0)*INDEX('Tabela Passaro'!$S$2:$S$1795,$N1500)</f>
        <v>0</v>
      </c>
      <c r="Y1500" s="32" t="n">
        <f aca="false">INDEX('Tabela Passaro'!$U$2:$U$1795,$N1500)</f>
        <v>0</v>
      </c>
      <c r="Z1500" s="32" t="n">
        <f aca="false">INDEX('Tabela Passaro'!$V$2:$V$1795,$N1500)</f>
        <v>0</v>
      </c>
      <c r="AA1500" s="32" t="n">
        <f aca="false">SUM(R1500:Z1500)</f>
        <v>168.23386</v>
      </c>
      <c r="AB1500" s="33" t="n">
        <f aca="false">INDEX(Premissas!$B$5:$B$13,MATCH(A1500,Premissas!$A$5:$A$13,0))</f>
        <v>0.07</v>
      </c>
      <c r="AC1500" s="32" t="n">
        <f aca="false">AA1500/(1-AB1500)-AA1500</f>
        <v>12.662763655914</v>
      </c>
      <c r="AD1500" s="32" t="n">
        <f aca="false">ROUND(AA1500+AC1500,2)</f>
        <v>180.9</v>
      </c>
      <c r="AE1500" s="32" t="n">
        <f aca="false">AD1500-L1500</f>
        <v>-28.63</v>
      </c>
      <c r="AF1500" s="34" t="n">
        <f aca="false">IF(L1500=0,0,AE1500/L1500)</f>
        <v>-0.136639144752541</v>
      </c>
      <c r="AG1500" s="22" t="str">
        <f aca="false">IF(AD1500&lt;L1500,"PASSARO","ATUAL")</f>
        <v>PASSARO</v>
      </c>
      <c r="AH1500" s="22" t="str">
        <f aca="false">IF(P1500&lt;&gt;A1500,"Faixa cadastrada como "&amp;P1500&amp;" na tabela; preço aplicado pela UF do CEP","")</f>
        <v/>
      </c>
      <c r="AI1500" s="26" t="n">
        <v>204.7</v>
      </c>
      <c r="AJ1500" s="22" t="str">
        <f aca="false">INDEX('Tabela Passaro'!$X$2:$X$1795,$N1500)</f>
        <v>INTERIOR 1</v>
      </c>
    </row>
    <row r="1501" customFormat="false" ht="15" hidden="false" customHeight="false" outlineLevel="0" collapsed="false">
      <c r="A1501" s="22" t="s">
        <v>20</v>
      </c>
      <c r="B1501" s="22" t="n">
        <v>7</v>
      </c>
      <c r="C1501" s="22" t="s">
        <v>159</v>
      </c>
      <c r="D1501" s="22" t="s">
        <v>30</v>
      </c>
      <c r="E1501" s="22" t="s">
        <v>7326</v>
      </c>
      <c r="F1501" s="22" t="n">
        <v>523696</v>
      </c>
      <c r="G1501" s="30" t="n">
        <v>46244</v>
      </c>
      <c r="H1501" s="22" t="n">
        <v>622126</v>
      </c>
      <c r="I1501" s="22" t="s">
        <v>8702</v>
      </c>
      <c r="J1501" s="31" t="n">
        <v>16.24</v>
      </c>
      <c r="K1501" s="26" t="n">
        <v>540.98</v>
      </c>
      <c r="L1501" s="26" t="n">
        <v>136.18</v>
      </c>
      <c r="M1501" s="22" t="s">
        <v>4832</v>
      </c>
      <c r="N1501" s="22" t="n">
        <f aca="false">MATCH(M1501,'Tabela Passaro'!$A$2:$A$1795,0)</f>
        <v>1158</v>
      </c>
      <c r="O1501" s="22" t="str">
        <f aca="false">INDEX('Tabela Passaro'!$C$2:$C$1795,$N1501)</f>
        <v>CABO DE SANTO AGOSTINHO</v>
      </c>
      <c r="P1501" s="22" t="str">
        <f aca="false">INDEX('Tabela Passaro'!$B$2:$B$1795,$N1501)</f>
        <v>PE</v>
      </c>
      <c r="Q1501" s="22" t="n">
        <f aca="false">INDEX('Tabela Passaro'!$F$2:$F$1795,$N1501)</f>
        <v>11</v>
      </c>
      <c r="R1501" s="32" t="n">
        <f aca="false">IF(J1501&lt;=10,INDEX('Tabela Passaro'!$G$2:$G$1795,$N1501),IF(J1501&lt;=30,INDEX('Tabela Passaro'!$H$2:$H$1795,$N1501),IF(J1501&lt;=50,INDEX('Tabela Passaro'!$I$2:$I$1795,$N1501),IF(J1501&lt;=70,INDEX('Tabela Passaro'!$J$2:$J$1795,$N1501),IF(J1501&lt;=100,INDEX('Tabela Passaro'!$K$2:$K$1795,$N1501),INDEX('Tabela Passaro'!$K$2:$K$1795,$N1501)+(J1501-100)*INDEX('Tabela Passaro'!$L$2:$L$1795,$N1501))))))</f>
        <v>89.01</v>
      </c>
      <c r="S1501" s="32" t="n">
        <f aca="false">K1501*INDEX('Tabela Passaro'!$M$2:$M$1795,$N1501)</f>
        <v>2.7049</v>
      </c>
      <c r="T1501" s="32" t="n">
        <f aca="false">K1501*INDEX('Tabela Passaro'!$N$2:$N$1795,$N1501)</f>
        <v>1.08196</v>
      </c>
      <c r="U1501" s="32" t="n">
        <f aca="false">INDEX('Tabela Passaro'!$O$2:$O$1795,$N1501)</f>
        <v>5</v>
      </c>
      <c r="V1501" s="32" t="n">
        <f aca="false">ROUNDUP(J1501/INDEX('Tabela Passaro'!$Q$2:$Q$1795,$N1501),0)*INDEX('Tabela Passaro'!$P$2:$P$1795,$N1501)</f>
        <v>5</v>
      </c>
      <c r="W1501" s="32" t="n">
        <f aca="false">INDEX('Tabela Passaro'!$R$2:$R$1795,$N1501)</f>
        <v>30</v>
      </c>
      <c r="X1501" s="32" t="n">
        <f aca="false">ROUNDUP(J1501/INDEX('Tabela Passaro'!$T$2:$T$1795,$N1501),0)*INDEX('Tabela Passaro'!$S$2:$S$1795,$N1501)</f>
        <v>0</v>
      </c>
      <c r="Y1501" s="32" t="n">
        <f aca="false">INDEX('Tabela Passaro'!$U$2:$U$1795,$N1501)</f>
        <v>0</v>
      </c>
      <c r="Z1501" s="32" t="n">
        <f aca="false">INDEX('Tabela Passaro'!$V$2:$V$1795,$N1501)</f>
        <v>0</v>
      </c>
      <c r="AA1501" s="32" t="n">
        <f aca="false">SUM(R1501:Z1501)</f>
        <v>132.79686</v>
      </c>
      <c r="AB1501" s="33" t="n">
        <f aca="false">INDEX(Premissas!$B$5:$B$13,MATCH(A1501,Premissas!$A$5:$A$13,0))</f>
        <v>0.07</v>
      </c>
      <c r="AC1501" s="32" t="n">
        <f aca="false">AA1501/(1-AB1501)-AA1501</f>
        <v>9.99546258064518</v>
      </c>
      <c r="AD1501" s="32" t="n">
        <f aca="false">ROUND(AA1501+AC1501,2)</f>
        <v>142.79</v>
      </c>
      <c r="AE1501" s="32" t="n">
        <f aca="false">AD1501-L1501</f>
        <v>6.60999999999999</v>
      </c>
      <c r="AF1501" s="34" t="n">
        <f aca="false">IF(L1501=0,0,AE1501/L1501)</f>
        <v>0.048538698781025</v>
      </c>
      <c r="AG1501" s="22" t="str">
        <f aca="false">IF(AD1501&lt;L1501,"PASSARO","ATUAL")</f>
        <v>ATUAL</v>
      </c>
      <c r="AH1501" s="22" t="str">
        <f aca="false">IF(P1501&lt;&gt;A1501,"Faixa cadastrada como "&amp;P1501&amp;" na tabela; preço aplicado pela UF do CEP","")</f>
        <v/>
      </c>
      <c r="AI1501" s="26" t="n">
        <v>146.89</v>
      </c>
      <c r="AJ1501" s="22" t="str">
        <f aca="false">INDEX('Tabela Passaro'!$X$2:$X$1795,$N1501)</f>
        <v>INTERIOR 1</v>
      </c>
    </row>
    <row r="1502" customFormat="false" ht="15" hidden="false" customHeight="false" outlineLevel="0" collapsed="false">
      <c r="A1502" s="22" t="s">
        <v>20</v>
      </c>
      <c r="B1502" s="22" t="n">
        <v>7</v>
      </c>
      <c r="C1502" s="22" t="s">
        <v>159</v>
      </c>
      <c r="D1502" s="22" t="s">
        <v>30</v>
      </c>
      <c r="E1502" s="22" t="s">
        <v>7328</v>
      </c>
      <c r="F1502" s="22" t="n">
        <v>2312429</v>
      </c>
      <c r="G1502" s="30" t="n">
        <v>46248</v>
      </c>
      <c r="H1502" s="22" t="n">
        <v>133328</v>
      </c>
      <c r="I1502" s="22" t="s">
        <v>8703</v>
      </c>
      <c r="J1502" s="31" t="n">
        <v>69.3</v>
      </c>
      <c r="K1502" s="26" t="n">
        <v>1058.7</v>
      </c>
      <c r="L1502" s="26" t="n">
        <v>210.94</v>
      </c>
      <c r="M1502" s="22" t="s">
        <v>4832</v>
      </c>
      <c r="N1502" s="22" t="n">
        <f aca="false">MATCH(M1502,'Tabela Passaro'!$A$2:$A$1795,0)</f>
        <v>1158</v>
      </c>
      <c r="O1502" s="22" t="str">
        <f aca="false">INDEX('Tabela Passaro'!$C$2:$C$1795,$N1502)</f>
        <v>CABO DE SANTO AGOSTINHO</v>
      </c>
      <c r="P1502" s="22" t="str">
        <f aca="false">INDEX('Tabela Passaro'!$B$2:$B$1795,$N1502)</f>
        <v>PE</v>
      </c>
      <c r="Q1502" s="22" t="n">
        <f aca="false">INDEX('Tabela Passaro'!$F$2:$F$1795,$N1502)</f>
        <v>11</v>
      </c>
      <c r="R1502" s="32" t="n">
        <f aca="false">IF(J1502&lt;=10,INDEX('Tabela Passaro'!$G$2:$G$1795,$N1502),IF(J1502&lt;=30,INDEX('Tabela Passaro'!$H$2:$H$1795,$N1502),IF(J1502&lt;=50,INDEX('Tabela Passaro'!$I$2:$I$1795,$N1502),IF(J1502&lt;=70,INDEX('Tabela Passaro'!$J$2:$J$1795,$N1502),IF(J1502&lt;=100,INDEX('Tabela Passaro'!$K$2:$K$1795,$N1502),INDEX('Tabela Passaro'!$K$2:$K$1795,$N1502)+(J1502-100)*INDEX('Tabela Passaro'!$L$2:$L$1795,$N1502))))))</f>
        <v>122.06</v>
      </c>
      <c r="S1502" s="32" t="n">
        <f aca="false">K1502*INDEX('Tabela Passaro'!$M$2:$M$1795,$N1502)</f>
        <v>5.2935</v>
      </c>
      <c r="T1502" s="32" t="n">
        <f aca="false">K1502*INDEX('Tabela Passaro'!$N$2:$N$1795,$N1502)</f>
        <v>2.1174</v>
      </c>
      <c r="U1502" s="32" t="n">
        <f aca="false">INDEX('Tabela Passaro'!$O$2:$O$1795,$N1502)</f>
        <v>5</v>
      </c>
      <c r="V1502" s="32" t="n">
        <f aca="false">ROUNDUP(J1502/INDEX('Tabela Passaro'!$Q$2:$Q$1795,$N1502),0)*INDEX('Tabela Passaro'!$P$2:$P$1795,$N1502)</f>
        <v>5</v>
      </c>
      <c r="W1502" s="32" t="n">
        <f aca="false">INDEX('Tabela Passaro'!$R$2:$R$1795,$N1502)</f>
        <v>30</v>
      </c>
      <c r="X1502" s="32" t="n">
        <f aca="false">ROUNDUP(J1502/INDEX('Tabela Passaro'!$T$2:$T$1795,$N1502),0)*INDEX('Tabela Passaro'!$S$2:$S$1795,$N1502)</f>
        <v>0</v>
      </c>
      <c r="Y1502" s="32" t="n">
        <f aca="false">INDEX('Tabela Passaro'!$U$2:$U$1795,$N1502)</f>
        <v>0</v>
      </c>
      <c r="Z1502" s="32" t="n">
        <f aca="false">INDEX('Tabela Passaro'!$V$2:$V$1795,$N1502)</f>
        <v>0</v>
      </c>
      <c r="AA1502" s="32" t="n">
        <f aca="false">SUM(R1502:Z1502)</f>
        <v>169.4709</v>
      </c>
      <c r="AB1502" s="33" t="n">
        <f aca="false">INDEX(Premissas!$B$5:$B$13,MATCH(A1502,Premissas!$A$5:$A$13,0))</f>
        <v>0.07</v>
      </c>
      <c r="AC1502" s="32" t="n">
        <f aca="false">AA1502/(1-AB1502)-AA1502</f>
        <v>12.7558741935484</v>
      </c>
      <c r="AD1502" s="32" t="n">
        <f aca="false">ROUND(AA1502+AC1502,2)</f>
        <v>182.23</v>
      </c>
      <c r="AE1502" s="32" t="n">
        <f aca="false">AD1502-L1502</f>
        <v>-28.71</v>
      </c>
      <c r="AF1502" s="34" t="n">
        <f aca="false">IF(L1502=0,0,AE1502/L1502)</f>
        <v>-0.136105053569736</v>
      </c>
      <c r="AG1502" s="22" t="str">
        <f aca="false">IF(AD1502&lt;L1502,"PASSARO","ATUAL")</f>
        <v>PASSARO</v>
      </c>
      <c r="AH1502" s="22" t="str">
        <f aca="false">IF(P1502&lt;&gt;A1502,"Faixa cadastrada como "&amp;P1502&amp;" na tabela; preço aplicado pela UF do CEP","")</f>
        <v/>
      </c>
      <c r="AI1502" s="26" t="n">
        <v>215.12</v>
      </c>
      <c r="AJ1502" s="22" t="str">
        <f aca="false">INDEX('Tabela Passaro'!$X$2:$X$1795,$N1502)</f>
        <v>INTERIOR 1</v>
      </c>
    </row>
    <row r="1503" customFormat="false" ht="15" hidden="false" customHeight="false" outlineLevel="0" collapsed="false">
      <c r="A1503" s="22" t="s">
        <v>20</v>
      </c>
      <c r="B1503" s="22" t="n">
        <v>7</v>
      </c>
      <c r="C1503" s="22" t="s">
        <v>159</v>
      </c>
      <c r="D1503" s="22" t="s">
        <v>30</v>
      </c>
      <c r="E1503" s="22" t="s">
        <v>7328</v>
      </c>
      <c r="F1503" s="22" t="n">
        <v>2312450</v>
      </c>
      <c r="G1503" s="30" t="n">
        <v>46248</v>
      </c>
      <c r="H1503" s="22" t="n">
        <v>133359</v>
      </c>
      <c r="I1503" s="22" t="s">
        <v>8704</v>
      </c>
      <c r="J1503" s="31" t="n">
        <v>124.2</v>
      </c>
      <c r="K1503" s="26" t="n">
        <v>2059.98</v>
      </c>
      <c r="L1503" s="26" t="n">
        <v>311.12</v>
      </c>
      <c r="M1503" s="22" t="s">
        <v>4832</v>
      </c>
      <c r="N1503" s="22" t="n">
        <f aca="false">MATCH(M1503,'Tabela Passaro'!$A$2:$A$1795,0)</f>
        <v>1158</v>
      </c>
      <c r="O1503" s="22" t="str">
        <f aca="false">INDEX('Tabela Passaro'!$C$2:$C$1795,$N1503)</f>
        <v>CABO DE SANTO AGOSTINHO</v>
      </c>
      <c r="P1503" s="22" t="str">
        <f aca="false">INDEX('Tabela Passaro'!$B$2:$B$1795,$N1503)</f>
        <v>PE</v>
      </c>
      <c r="Q1503" s="22" t="n">
        <f aca="false">INDEX('Tabela Passaro'!$F$2:$F$1795,$N1503)</f>
        <v>11</v>
      </c>
      <c r="R1503" s="32" t="n">
        <f aca="false">IF(J1503&lt;=10,INDEX('Tabela Passaro'!$G$2:$G$1795,$N1503),IF(J1503&lt;=30,INDEX('Tabela Passaro'!$H$2:$H$1795,$N1503),IF(J1503&lt;=50,INDEX('Tabela Passaro'!$I$2:$I$1795,$N1503),IF(J1503&lt;=70,INDEX('Tabela Passaro'!$J$2:$J$1795,$N1503),IF(J1503&lt;=100,INDEX('Tabela Passaro'!$K$2:$K$1795,$N1503),INDEX('Tabela Passaro'!$K$2:$K$1795,$N1503)+(J1503-100)*INDEX('Tabela Passaro'!$L$2:$L$1795,$N1503))))))</f>
        <v>185.296</v>
      </c>
      <c r="S1503" s="32" t="n">
        <f aca="false">K1503*INDEX('Tabela Passaro'!$M$2:$M$1795,$N1503)</f>
        <v>10.2999</v>
      </c>
      <c r="T1503" s="32" t="n">
        <f aca="false">K1503*INDEX('Tabela Passaro'!$N$2:$N$1795,$N1503)</f>
        <v>4.11996</v>
      </c>
      <c r="U1503" s="32" t="n">
        <f aca="false">INDEX('Tabela Passaro'!$O$2:$O$1795,$N1503)</f>
        <v>5</v>
      </c>
      <c r="V1503" s="32" t="n">
        <f aca="false">ROUNDUP(J1503/INDEX('Tabela Passaro'!$Q$2:$Q$1795,$N1503),0)*INDEX('Tabela Passaro'!$P$2:$P$1795,$N1503)</f>
        <v>10</v>
      </c>
      <c r="W1503" s="32" t="n">
        <f aca="false">INDEX('Tabela Passaro'!$R$2:$R$1795,$N1503)</f>
        <v>30</v>
      </c>
      <c r="X1503" s="32" t="n">
        <f aca="false">ROUNDUP(J1503/INDEX('Tabela Passaro'!$T$2:$T$1795,$N1503),0)*INDEX('Tabela Passaro'!$S$2:$S$1795,$N1503)</f>
        <v>0</v>
      </c>
      <c r="Y1503" s="32" t="n">
        <f aca="false">INDEX('Tabela Passaro'!$U$2:$U$1795,$N1503)</f>
        <v>0</v>
      </c>
      <c r="Z1503" s="32" t="n">
        <f aca="false">INDEX('Tabela Passaro'!$V$2:$V$1795,$N1503)</f>
        <v>0</v>
      </c>
      <c r="AA1503" s="32" t="n">
        <f aca="false">SUM(R1503:Z1503)</f>
        <v>244.71586</v>
      </c>
      <c r="AB1503" s="33" t="n">
        <f aca="false">INDEX(Premissas!$B$5:$B$13,MATCH(A1503,Premissas!$A$5:$A$13,0))</f>
        <v>0.07</v>
      </c>
      <c r="AC1503" s="32" t="n">
        <f aca="false">AA1503/(1-AB1503)-AA1503</f>
        <v>18.4194733333333</v>
      </c>
      <c r="AD1503" s="32" t="n">
        <f aca="false">ROUND(AA1503+AC1503,2)</f>
        <v>263.14</v>
      </c>
      <c r="AE1503" s="32" t="n">
        <f aca="false">AD1503-L1503</f>
        <v>-47.98</v>
      </c>
      <c r="AF1503" s="34" t="n">
        <f aca="false">IF(L1503=0,0,AE1503/L1503)</f>
        <v>-0.154217022370789</v>
      </c>
      <c r="AG1503" s="22" t="str">
        <f aca="false">IF(AD1503&lt;L1503,"PASSARO","ATUAL")</f>
        <v>PASSARO</v>
      </c>
      <c r="AH1503" s="22" t="str">
        <f aca="false">IF(P1503&lt;&gt;A1503,"Faixa cadastrada como "&amp;P1503&amp;" na tabela; preço aplicado pela UF do CEP","")</f>
        <v/>
      </c>
      <c r="AI1503" s="26" t="n">
        <v>332.05</v>
      </c>
      <c r="AJ1503" s="22" t="str">
        <f aca="false">INDEX('Tabela Passaro'!$X$2:$X$1795,$N1503)</f>
        <v>INTERIOR 1</v>
      </c>
    </row>
    <row r="1504" customFormat="false" ht="15" hidden="false" customHeight="false" outlineLevel="0" collapsed="false">
      <c r="A1504" s="22" t="s">
        <v>20</v>
      </c>
      <c r="B1504" s="22" t="n">
        <v>7</v>
      </c>
      <c r="C1504" s="22" t="s">
        <v>159</v>
      </c>
      <c r="D1504" s="22" t="s">
        <v>30</v>
      </c>
      <c r="E1504" s="22" t="s">
        <v>7328</v>
      </c>
      <c r="F1504" s="22" t="n">
        <v>2313801</v>
      </c>
      <c r="G1504" s="30" t="n">
        <v>46253</v>
      </c>
      <c r="H1504" s="22" t="n">
        <v>133891</v>
      </c>
      <c r="I1504" s="22" t="s">
        <v>8705</v>
      </c>
      <c r="J1504" s="31" t="n">
        <v>20.8</v>
      </c>
      <c r="K1504" s="26" t="n">
        <v>634.59</v>
      </c>
      <c r="L1504" s="26" t="n">
        <v>126.35</v>
      </c>
      <c r="M1504" s="22" t="s">
        <v>4832</v>
      </c>
      <c r="N1504" s="22" t="n">
        <f aca="false">MATCH(M1504,'Tabela Passaro'!$A$2:$A$1795,0)</f>
        <v>1158</v>
      </c>
      <c r="O1504" s="22" t="str">
        <f aca="false">INDEX('Tabela Passaro'!$C$2:$C$1795,$N1504)</f>
        <v>CABO DE SANTO AGOSTINHO</v>
      </c>
      <c r="P1504" s="22" t="str">
        <f aca="false">INDEX('Tabela Passaro'!$B$2:$B$1795,$N1504)</f>
        <v>PE</v>
      </c>
      <c r="Q1504" s="22" t="n">
        <f aca="false">INDEX('Tabela Passaro'!$F$2:$F$1795,$N1504)</f>
        <v>11</v>
      </c>
      <c r="R1504" s="32" t="n">
        <f aca="false">IF(J1504&lt;=10,INDEX('Tabela Passaro'!$G$2:$G$1795,$N1504),IF(J1504&lt;=30,INDEX('Tabela Passaro'!$H$2:$H$1795,$N1504),IF(J1504&lt;=50,INDEX('Tabela Passaro'!$I$2:$I$1795,$N1504),IF(J1504&lt;=70,INDEX('Tabela Passaro'!$J$2:$J$1795,$N1504),IF(J1504&lt;=100,INDEX('Tabela Passaro'!$K$2:$K$1795,$N1504),INDEX('Tabela Passaro'!$K$2:$K$1795,$N1504)+(J1504-100)*INDEX('Tabela Passaro'!$L$2:$L$1795,$N1504))))))</f>
        <v>89.01</v>
      </c>
      <c r="S1504" s="32" t="n">
        <f aca="false">K1504*INDEX('Tabela Passaro'!$M$2:$M$1795,$N1504)</f>
        <v>3.17295</v>
      </c>
      <c r="T1504" s="32" t="n">
        <f aca="false">K1504*INDEX('Tabela Passaro'!$N$2:$N$1795,$N1504)</f>
        <v>1.26918</v>
      </c>
      <c r="U1504" s="32" t="n">
        <f aca="false">INDEX('Tabela Passaro'!$O$2:$O$1795,$N1504)</f>
        <v>5</v>
      </c>
      <c r="V1504" s="32" t="n">
        <f aca="false">ROUNDUP(J1504/INDEX('Tabela Passaro'!$Q$2:$Q$1795,$N1504),0)*INDEX('Tabela Passaro'!$P$2:$P$1795,$N1504)</f>
        <v>5</v>
      </c>
      <c r="W1504" s="32" t="n">
        <f aca="false">INDEX('Tabela Passaro'!$R$2:$R$1795,$N1504)</f>
        <v>30</v>
      </c>
      <c r="X1504" s="32" t="n">
        <f aca="false">ROUNDUP(J1504/INDEX('Tabela Passaro'!$T$2:$T$1795,$N1504),0)*INDEX('Tabela Passaro'!$S$2:$S$1795,$N1504)</f>
        <v>0</v>
      </c>
      <c r="Y1504" s="32" t="n">
        <f aca="false">INDEX('Tabela Passaro'!$U$2:$U$1795,$N1504)</f>
        <v>0</v>
      </c>
      <c r="Z1504" s="32" t="n">
        <f aca="false">INDEX('Tabela Passaro'!$V$2:$V$1795,$N1504)</f>
        <v>0</v>
      </c>
      <c r="AA1504" s="32" t="n">
        <f aca="false">SUM(R1504:Z1504)</f>
        <v>133.45213</v>
      </c>
      <c r="AB1504" s="33" t="n">
        <f aca="false">INDEX(Premissas!$B$5:$B$13,MATCH(A1504,Premissas!$A$5:$A$13,0))</f>
        <v>0.07</v>
      </c>
      <c r="AC1504" s="32" t="n">
        <f aca="false">AA1504/(1-AB1504)-AA1504</f>
        <v>10.0447839784946</v>
      </c>
      <c r="AD1504" s="32" t="n">
        <f aca="false">ROUND(AA1504+AC1504,2)</f>
        <v>143.5</v>
      </c>
      <c r="AE1504" s="32" t="n">
        <f aca="false">AD1504-L1504</f>
        <v>17.15</v>
      </c>
      <c r="AF1504" s="34" t="n">
        <f aca="false">IF(L1504=0,0,AE1504/L1504)</f>
        <v>0.135734072022161</v>
      </c>
      <c r="AG1504" s="22" t="str">
        <f aca="false">IF(AD1504&lt;L1504,"PASSARO","ATUAL")</f>
        <v>ATUAL</v>
      </c>
      <c r="AH1504" s="22" t="str">
        <f aca="false">IF(P1504&lt;&gt;A1504,"Faixa cadastrada como "&amp;P1504&amp;" na tabela; preço aplicado pela UF do CEP","")</f>
        <v/>
      </c>
      <c r="AI1504" s="26" t="n">
        <v>149.73</v>
      </c>
      <c r="AJ1504" s="22" t="str">
        <f aca="false">INDEX('Tabela Passaro'!$X$2:$X$1795,$N1504)</f>
        <v>INTERIOR 1</v>
      </c>
    </row>
    <row r="1505" customFormat="false" ht="15" hidden="false" customHeight="false" outlineLevel="0" collapsed="false">
      <c r="A1505" s="22" t="s">
        <v>20</v>
      </c>
      <c r="B1505" s="22" t="n">
        <v>7</v>
      </c>
      <c r="C1505" s="22" t="s">
        <v>159</v>
      </c>
      <c r="D1505" s="22" t="s">
        <v>30</v>
      </c>
      <c r="E1505" s="22" t="s">
        <v>7328</v>
      </c>
      <c r="F1505" s="22" t="n">
        <v>2313820</v>
      </c>
      <c r="G1505" s="30" t="n">
        <v>46253</v>
      </c>
      <c r="H1505" s="22" t="n">
        <v>133912</v>
      </c>
      <c r="I1505" s="22" t="s">
        <v>8706</v>
      </c>
      <c r="J1505" s="31" t="n">
        <v>66.4</v>
      </c>
      <c r="K1505" s="26" t="n">
        <v>1030.03</v>
      </c>
      <c r="L1505" s="26" t="n">
        <v>210.72</v>
      </c>
      <c r="M1505" s="22" t="s">
        <v>4832</v>
      </c>
      <c r="N1505" s="22" t="n">
        <f aca="false">MATCH(M1505,'Tabela Passaro'!$A$2:$A$1795,0)</f>
        <v>1158</v>
      </c>
      <c r="O1505" s="22" t="str">
        <f aca="false">INDEX('Tabela Passaro'!$C$2:$C$1795,$N1505)</f>
        <v>CABO DE SANTO AGOSTINHO</v>
      </c>
      <c r="P1505" s="22" t="str">
        <f aca="false">INDEX('Tabela Passaro'!$B$2:$B$1795,$N1505)</f>
        <v>PE</v>
      </c>
      <c r="Q1505" s="22" t="n">
        <f aca="false">INDEX('Tabela Passaro'!$F$2:$F$1795,$N1505)</f>
        <v>11</v>
      </c>
      <c r="R1505" s="32" t="n">
        <f aca="false">IF(J1505&lt;=10,INDEX('Tabela Passaro'!$G$2:$G$1795,$N1505),IF(J1505&lt;=30,INDEX('Tabela Passaro'!$H$2:$H$1795,$N1505),IF(J1505&lt;=50,INDEX('Tabela Passaro'!$I$2:$I$1795,$N1505),IF(J1505&lt;=70,INDEX('Tabela Passaro'!$J$2:$J$1795,$N1505),IF(J1505&lt;=100,INDEX('Tabela Passaro'!$K$2:$K$1795,$N1505),INDEX('Tabela Passaro'!$K$2:$K$1795,$N1505)+(J1505-100)*INDEX('Tabela Passaro'!$L$2:$L$1795,$N1505))))))</f>
        <v>122.06</v>
      </c>
      <c r="S1505" s="32" t="n">
        <f aca="false">K1505*INDEX('Tabela Passaro'!$M$2:$M$1795,$N1505)</f>
        <v>5.15015</v>
      </c>
      <c r="T1505" s="32" t="n">
        <f aca="false">K1505*INDEX('Tabela Passaro'!$N$2:$N$1795,$N1505)</f>
        <v>2.06006</v>
      </c>
      <c r="U1505" s="32" t="n">
        <f aca="false">INDEX('Tabela Passaro'!$O$2:$O$1795,$N1505)</f>
        <v>5</v>
      </c>
      <c r="V1505" s="32" t="n">
        <f aca="false">ROUNDUP(J1505/INDEX('Tabela Passaro'!$Q$2:$Q$1795,$N1505),0)*INDEX('Tabela Passaro'!$P$2:$P$1795,$N1505)</f>
        <v>5</v>
      </c>
      <c r="W1505" s="32" t="n">
        <f aca="false">INDEX('Tabela Passaro'!$R$2:$R$1795,$N1505)</f>
        <v>30</v>
      </c>
      <c r="X1505" s="32" t="n">
        <f aca="false">ROUNDUP(J1505/INDEX('Tabela Passaro'!$T$2:$T$1795,$N1505),0)*INDEX('Tabela Passaro'!$S$2:$S$1795,$N1505)</f>
        <v>0</v>
      </c>
      <c r="Y1505" s="32" t="n">
        <f aca="false">INDEX('Tabela Passaro'!$U$2:$U$1795,$N1505)</f>
        <v>0</v>
      </c>
      <c r="Z1505" s="32" t="n">
        <f aca="false">INDEX('Tabela Passaro'!$V$2:$V$1795,$N1505)</f>
        <v>0</v>
      </c>
      <c r="AA1505" s="32" t="n">
        <f aca="false">SUM(R1505:Z1505)</f>
        <v>169.27021</v>
      </c>
      <c r="AB1505" s="33" t="n">
        <f aca="false">INDEX(Premissas!$B$5:$B$13,MATCH(A1505,Premissas!$A$5:$A$13,0))</f>
        <v>0.07</v>
      </c>
      <c r="AC1505" s="32" t="n">
        <f aca="false">AA1505/(1-AB1505)-AA1505</f>
        <v>12.7407684946237</v>
      </c>
      <c r="AD1505" s="32" t="n">
        <f aca="false">ROUND(AA1505+AC1505,2)</f>
        <v>182.01</v>
      </c>
      <c r="AE1505" s="32" t="n">
        <f aca="false">AD1505-L1505</f>
        <v>-28.71</v>
      </c>
      <c r="AF1505" s="34" t="n">
        <f aca="false">IF(L1505=0,0,AE1505/L1505)</f>
        <v>-0.13624715261959</v>
      </c>
      <c r="AG1505" s="22" t="str">
        <f aca="false">IF(AD1505&lt;L1505,"PASSARO","ATUAL")</f>
        <v>PASSARO</v>
      </c>
      <c r="AH1505" s="22" t="str">
        <f aca="false">IF(P1505&lt;&gt;A1505,"Faixa cadastrada como "&amp;P1505&amp;" na tabela; preço aplicado pela UF do CEP","")</f>
        <v/>
      </c>
      <c r="AI1505" s="26" t="n">
        <v>213.39</v>
      </c>
      <c r="AJ1505" s="22" t="str">
        <f aca="false">INDEX('Tabela Passaro'!$X$2:$X$1795,$N1505)</f>
        <v>INTERIOR 1</v>
      </c>
    </row>
    <row r="1506" customFormat="false" ht="15" hidden="false" customHeight="false" outlineLevel="0" collapsed="false">
      <c r="A1506" s="22" t="s">
        <v>20</v>
      </c>
      <c r="B1506" s="22" t="n">
        <v>7</v>
      </c>
      <c r="C1506" s="22" t="s">
        <v>159</v>
      </c>
      <c r="D1506" s="22" t="s">
        <v>30</v>
      </c>
      <c r="E1506" s="22" t="s">
        <v>7326</v>
      </c>
      <c r="F1506" s="22" t="n">
        <v>526042</v>
      </c>
      <c r="G1506" s="30" t="n">
        <v>46253</v>
      </c>
      <c r="H1506" s="22" t="n">
        <v>625929</v>
      </c>
      <c r="I1506" s="22" t="s">
        <v>8707</v>
      </c>
      <c r="J1506" s="31" t="n">
        <v>107.7</v>
      </c>
      <c r="K1506" s="26" t="n">
        <v>1614.98</v>
      </c>
      <c r="L1506" s="26" t="n">
        <v>351.32</v>
      </c>
      <c r="M1506" s="22" t="s">
        <v>4832</v>
      </c>
      <c r="N1506" s="22" t="n">
        <f aca="false">MATCH(M1506,'Tabela Passaro'!$A$2:$A$1795,0)</f>
        <v>1158</v>
      </c>
      <c r="O1506" s="22" t="str">
        <f aca="false">INDEX('Tabela Passaro'!$C$2:$C$1795,$N1506)</f>
        <v>CABO DE SANTO AGOSTINHO</v>
      </c>
      <c r="P1506" s="22" t="str">
        <f aca="false">INDEX('Tabela Passaro'!$B$2:$B$1795,$N1506)</f>
        <v>PE</v>
      </c>
      <c r="Q1506" s="22" t="n">
        <f aca="false">INDEX('Tabela Passaro'!$F$2:$F$1795,$N1506)</f>
        <v>11</v>
      </c>
      <c r="R1506" s="32" t="n">
        <f aca="false">IF(J1506&lt;=10,INDEX('Tabela Passaro'!$G$2:$G$1795,$N1506),IF(J1506&lt;=30,INDEX('Tabela Passaro'!$H$2:$H$1795,$N1506),IF(J1506&lt;=50,INDEX('Tabela Passaro'!$I$2:$I$1795,$N1506),IF(J1506&lt;=70,INDEX('Tabela Passaro'!$J$2:$J$1795,$N1506),IF(J1506&lt;=100,INDEX('Tabela Passaro'!$K$2:$K$1795,$N1506),INDEX('Tabela Passaro'!$K$2:$K$1795,$N1506)+(J1506-100)*INDEX('Tabela Passaro'!$L$2:$L$1795,$N1506))))))</f>
        <v>153.451</v>
      </c>
      <c r="S1506" s="32" t="n">
        <f aca="false">K1506*INDEX('Tabela Passaro'!$M$2:$M$1795,$N1506)</f>
        <v>8.0749</v>
      </c>
      <c r="T1506" s="32" t="n">
        <f aca="false">K1506*INDEX('Tabela Passaro'!$N$2:$N$1795,$N1506)</f>
        <v>3.22996</v>
      </c>
      <c r="U1506" s="32" t="n">
        <f aca="false">INDEX('Tabela Passaro'!$O$2:$O$1795,$N1506)</f>
        <v>5</v>
      </c>
      <c r="V1506" s="32" t="n">
        <f aca="false">ROUNDUP(J1506/INDEX('Tabela Passaro'!$Q$2:$Q$1795,$N1506),0)*INDEX('Tabela Passaro'!$P$2:$P$1795,$N1506)</f>
        <v>10</v>
      </c>
      <c r="W1506" s="32" t="n">
        <f aca="false">INDEX('Tabela Passaro'!$R$2:$R$1795,$N1506)</f>
        <v>30</v>
      </c>
      <c r="X1506" s="32" t="n">
        <f aca="false">ROUNDUP(J1506/INDEX('Tabela Passaro'!$T$2:$T$1795,$N1506),0)*INDEX('Tabela Passaro'!$S$2:$S$1795,$N1506)</f>
        <v>0</v>
      </c>
      <c r="Y1506" s="32" t="n">
        <f aca="false">INDEX('Tabela Passaro'!$U$2:$U$1795,$N1506)</f>
        <v>0</v>
      </c>
      <c r="Z1506" s="32" t="n">
        <f aca="false">INDEX('Tabela Passaro'!$V$2:$V$1795,$N1506)</f>
        <v>0</v>
      </c>
      <c r="AA1506" s="32" t="n">
        <f aca="false">SUM(R1506:Z1506)</f>
        <v>209.75586</v>
      </c>
      <c r="AB1506" s="33" t="n">
        <f aca="false">INDEX(Premissas!$B$5:$B$13,MATCH(A1506,Premissas!$A$5:$A$13,0))</f>
        <v>0.07</v>
      </c>
      <c r="AC1506" s="32" t="n">
        <f aca="false">AA1506/(1-AB1506)-AA1506</f>
        <v>15.788075483871</v>
      </c>
      <c r="AD1506" s="32" t="n">
        <f aca="false">ROUND(AA1506+AC1506,2)</f>
        <v>225.54</v>
      </c>
      <c r="AE1506" s="32" t="n">
        <f aca="false">AD1506-L1506</f>
        <v>-125.78</v>
      </c>
      <c r="AF1506" s="34" t="n">
        <f aca="false">IF(L1506=0,0,AE1506/L1506)</f>
        <v>-0.35802117727428</v>
      </c>
      <c r="AG1506" s="22" t="str">
        <f aca="false">IF(AD1506&lt;L1506,"PASSARO","ATUAL")</f>
        <v>PASSARO</v>
      </c>
      <c r="AH1506" s="22" t="str">
        <f aca="false">IF(P1506&lt;&gt;A1506,"Faixa cadastrada como "&amp;P1506&amp;" na tabela; preço aplicado pela UF do CEP","")</f>
        <v/>
      </c>
      <c r="AI1506" s="26" t="n">
        <v>281.01</v>
      </c>
      <c r="AJ1506" s="22" t="str">
        <f aca="false">INDEX('Tabela Passaro'!$X$2:$X$1795,$N1506)</f>
        <v>INTERIOR 1</v>
      </c>
    </row>
    <row r="1507" customFormat="false" ht="15" hidden="false" customHeight="false" outlineLevel="0" collapsed="false">
      <c r="A1507" s="22" t="s">
        <v>20</v>
      </c>
      <c r="B1507" s="22" t="n">
        <v>7</v>
      </c>
      <c r="C1507" s="22" t="s">
        <v>159</v>
      </c>
      <c r="D1507" s="22" t="s">
        <v>30</v>
      </c>
      <c r="E1507" s="22" t="s">
        <v>7328</v>
      </c>
      <c r="F1507" s="22" t="n">
        <v>2314431</v>
      </c>
      <c r="G1507" s="30" t="n">
        <v>46254</v>
      </c>
      <c r="H1507" s="22" t="n">
        <v>134111</v>
      </c>
      <c r="I1507" s="22" t="s">
        <v>8708</v>
      </c>
      <c r="J1507" s="31" t="n">
        <v>44.5</v>
      </c>
      <c r="K1507" s="26" t="n">
        <v>930.23</v>
      </c>
      <c r="L1507" s="26" t="n">
        <v>166.67</v>
      </c>
      <c r="M1507" s="22" t="s">
        <v>4832</v>
      </c>
      <c r="N1507" s="22" t="n">
        <f aca="false">MATCH(M1507,'Tabela Passaro'!$A$2:$A$1795,0)</f>
        <v>1158</v>
      </c>
      <c r="O1507" s="22" t="str">
        <f aca="false">INDEX('Tabela Passaro'!$C$2:$C$1795,$N1507)</f>
        <v>CABO DE SANTO AGOSTINHO</v>
      </c>
      <c r="P1507" s="22" t="str">
        <f aca="false">INDEX('Tabela Passaro'!$B$2:$B$1795,$N1507)</f>
        <v>PE</v>
      </c>
      <c r="Q1507" s="22" t="n">
        <f aca="false">INDEX('Tabela Passaro'!$F$2:$F$1795,$N1507)</f>
        <v>11</v>
      </c>
      <c r="R1507" s="32" t="n">
        <f aca="false">IF(J1507&lt;=10,INDEX('Tabela Passaro'!$G$2:$G$1795,$N1507),IF(J1507&lt;=30,INDEX('Tabela Passaro'!$H$2:$H$1795,$N1507),IF(J1507&lt;=50,INDEX('Tabela Passaro'!$I$2:$I$1795,$N1507),IF(J1507&lt;=70,INDEX('Tabela Passaro'!$J$2:$J$1795,$N1507),IF(J1507&lt;=100,INDEX('Tabela Passaro'!$K$2:$K$1795,$N1507),INDEX('Tabela Passaro'!$K$2:$K$1795,$N1507)+(J1507-100)*INDEX('Tabela Passaro'!$L$2:$L$1795,$N1507))))))</f>
        <v>111.04</v>
      </c>
      <c r="S1507" s="32" t="n">
        <f aca="false">K1507*INDEX('Tabela Passaro'!$M$2:$M$1795,$N1507)</f>
        <v>4.65115</v>
      </c>
      <c r="T1507" s="32" t="n">
        <f aca="false">K1507*INDEX('Tabela Passaro'!$N$2:$N$1795,$N1507)</f>
        <v>1.86046</v>
      </c>
      <c r="U1507" s="32" t="n">
        <f aca="false">INDEX('Tabela Passaro'!$O$2:$O$1795,$N1507)</f>
        <v>5</v>
      </c>
      <c r="V1507" s="32" t="n">
        <f aca="false">ROUNDUP(J1507/INDEX('Tabela Passaro'!$Q$2:$Q$1795,$N1507),0)*INDEX('Tabela Passaro'!$P$2:$P$1795,$N1507)</f>
        <v>5</v>
      </c>
      <c r="W1507" s="32" t="n">
        <f aca="false">INDEX('Tabela Passaro'!$R$2:$R$1795,$N1507)</f>
        <v>30</v>
      </c>
      <c r="X1507" s="32" t="n">
        <f aca="false">ROUNDUP(J1507/INDEX('Tabela Passaro'!$T$2:$T$1795,$N1507),0)*INDEX('Tabela Passaro'!$S$2:$S$1795,$N1507)</f>
        <v>0</v>
      </c>
      <c r="Y1507" s="32" t="n">
        <f aca="false">INDEX('Tabela Passaro'!$U$2:$U$1795,$N1507)</f>
        <v>0</v>
      </c>
      <c r="Z1507" s="32" t="n">
        <f aca="false">INDEX('Tabela Passaro'!$V$2:$V$1795,$N1507)</f>
        <v>0</v>
      </c>
      <c r="AA1507" s="32" t="n">
        <f aca="false">SUM(R1507:Z1507)</f>
        <v>157.55161</v>
      </c>
      <c r="AB1507" s="33" t="n">
        <f aca="false">INDEX(Premissas!$B$5:$B$13,MATCH(A1507,Premissas!$A$5:$A$13,0))</f>
        <v>0.07</v>
      </c>
      <c r="AC1507" s="32" t="n">
        <f aca="false">AA1507/(1-AB1507)-AA1507</f>
        <v>11.8587233333334</v>
      </c>
      <c r="AD1507" s="32" t="n">
        <f aca="false">ROUND(AA1507+AC1507,2)</f>
        <v>169.41</v>
      </c>
      <c r="AE1507" s="32" t="n">
        <f aca="false">AD1507-L1507</f>
        <v>2.74000000000001</v>
      </c>
      <c r="AF1507" s="34" t="n">
        <f aca="false">IF(L1507=0,0,AE1507/L1507)</f>
        <v>0.0164396712065759</v>
      </c>
      <c r="AG1507" s="22" t="str">
        <f aca="false">IF(AD1507&lt;L1507,"PASSARO","ATUAL")</f>
        <v>ATUAL</v>
      </c>
      <c r="AH1507" s="22" t="str">
        <f aca="false">IF(P1507&lt;&gt;A1507,"Faixa cadastrada como "&amp;P1507&amp;" na tabela; preço aplicado pela UF do CEP","")</f>
        <v/>
      </c>
      <c r="AI1507" s="26" t="n">
        <v>189.25</v>
      </c>
      <c r="AJ1507" s="22" t="str">
        <f aca="false">INDEX('Tabela Passaro'!$X$2:$X$1795,$N1507)</f>
        <v>INTERIOR 1</v>
      </c>
    </row>
    <row r="1508" customFormat="false" ht="15" hidden="false" customHeight="false" outlineLevel="0" collapsed="false">
      <c r="A1508" s="22" t="s">
        <v>20</v>
      </c>
      <c r="B1508" s="22" t="n">
        <v>7</v>
      </c>
      <c r="C1508" s="22" t="s">
        <v>159</v>
      </c>
      <c r="D1508" s="22" t="s">
        <v>30</v>
      </c>
      <c r="E1508" s="22" t="s">
        <v>7328</v>
      </c>
      <c r="F1508" s="22" t="n">
        <v>2315645</v>
      </c>
      <c r="G1508" s="30" t="n">
        <v>46258</v>
      </c>
      <c r="H1508" s="22" t="n">
        <v>134371</v>
      </c>
      <c r="I1508" s="22" t="s">
        <v>8709</v>
      </c>
      <c r="J1508" s="31" t="n">
        <v>106.5</v>
      </c>
      <c r="K1508" s="26" t="n">
        <v>1412.28</v>
      </c>
      <c r="L1508" s="26" t="n">
        <v>284.7</v>
      </c>
      <c r="M1508" s="22" t="s">
        <v>4832</v>
      </c>
      <c r="N1508" s="22" t="n">
        <f aca="false">MATCH(M1508,'Tabela Passaro'!$A$2:$A$1795,0)</f>
        <v>1158</v>
      </c>
      <c r="O1508" s="22" t="str">
        <f aca="false">INDEX('Tabela Passaro'!$C$2:$C$1795,$N1508)</f>
        <v>CABO DE SANTO AGOSTINHO</v>
      </c>
      <c r="P1508" s="22" t="str">
        <f aca="false">INDEX('Tabela Passaro'!$B$2:$B$1795,$N1508)</f>
        <v>PE</v>
      </c>
      <c r="Q1508" s="22" t="n">
        <f aca="false">INDEX('Tabela Passaro'!$F$2:$F$1795,$N1508)</f>
        <v>11</v>
      </c>
      <c r="R1508" s="32" t="n">
        <f aca="false">IF(J1508&lt;=10,INDEX('Tabela Passaro'!$G$2:$G$1795,$N1508),IF(J1508&lt;=30,INDEX('Tabela Passaro'!$H$2:$H$1795,$N1508),IF(J1508&lt;=50,INDEX('Tabela Passaro'!$I$2:$I$1795,$N1508),IF(J1508&lt;=70,INDEX('Tabela Passaro'!$J$2:$J$1795,$N1508),IF(J1508&lt;=100,INDEX('Tabela Passaro'!$K$2:$K$1795,$N1508),INDEX('Tabela Passaro'!$K$2:$K$1795,$N1508)+(J1508-100)*INDEX('Tabela Passaro'!$L$2:$L$1795,$N1508))))))</f>
        <v>151.135</v>
      </c>
      <c r="S1508" s="32" t="n">
        <f aca="false">K1508*INDEX('Tabela Passaro'!$M$2:$M$1795,$N1508)</f>
        <v>7.0614</v>
      </c>
      <c r="T1508" s="32" t="n">
        <f aca="false">K1508*INDEX('Tabela Passaro'!$N$2:$N$1795,$N1508)</f>
        <v>2.82456</v>
      </c>
      <c r="U1508" s="32" t="n">
        <f aca="false">INDEX('Tabela Passaro'!$O$2:$O$1795,$N1508)</f>
        <v>5</v>
      </c>
      <c r="V1508" s="32" t="n">
        <f aca="false">ROUNDUP(J1508/INDEX('Tabela Passaro'!$Q$2:$Q$1795,$N1508),0)*INDEX('Tabela Passaro'!$P$2:$P$1795,$N1508)</f>
        <v>10</v>
      </c>
      <c r="W1508" s="32" t="n">
        <f aca="false">INDEX('Tabela Passaro'!$R$2:$R$1795,$N1508)</f>
        <v>30</v>
      </c>
      <c r="X1508" s="32" t="n">
        <f aca="false">ROUNDUP(J1508/INDEX('Tabela Passaro'!$T$2:$T$1795,$N1508),0)*INDEX('Tabela Passaro'!$S$2:$S$1795,$N1508)</f>
        <v>0</v>
      </c>
      <c r="Y1508" s="32" t="n">
        <f aca="false">INDEX('Tabela Passaro'!$U$2:$U$1795,$N1508)</f>
        <v>0</v>
      </c>
      <c r="Z1508" s="32" t="n">
        <f aca="false">INDEX('Tabela Passaro'!$V$2:$V$1795,$N1508)</f>
        <v>0</v>
      </c>
      <c r="AA1508" s="32" t="n">
        <f aca="false">SUM(R1508:Z1508)</f>
        <v>206.02096</v>
      </c>
      <c r="AB1508" s="33" t="n">
        <f aca="false">INDEX(Premissas!$B$5:$B$13,MATCH(A1508,Premissas!$A$5:$A$13,0))</f>
        <v>0.07</v>
      </c>
      <c r="AC1508" s="32" t="n">
        <f aca="false">AA1508/(1-AB1508)-AA1508</f>
        <v>15.5069539784946</v>
      </c>
      <c r="AD1508" s="32" t="n">
        <f aca="false">ROUND(AA1508+AC1508,2)</f>
        <v>221.53</v>
      </c>
      <c r="AE1508" s="32" t="n">
        <f aca="false">AD1508-L1508</f>
        <v>-63.17</v>
      </c>
      <c r="AF1508" s="34" t="n">
        <f aca="false">IF(L1508=0,0,AE1508/L1508)</f>
        <v>-0.221882683526519</v>
      </c>
      <c r="AG1508" s="22" t="str">
        <f aca="false">IF(AD1508&lt;L1508,"PASSARO","ATUAL")</f>
        <v>PASSARO</v>
      </c>
      <c r="AH1508" s="22" t="str">
        <f aca="false">IF(P1508&lt;&gt;A1508,"Faixa cadastrada como "&amp;P1508&amp;" na tabela; preço aplicado pela UF do CEP","")</f>
        <v/>
      </c>
      <c r="AI1508" s="26" t="n">
        <v>275.77</v>
      </c>
      <c r="AJ1508" s="22" t="str">
        <f aca="false">INDEX('Tabela Passaro'!$X$2:$X$1795,$N1508)</f>
        <v>INTERIOR 1</v>
      </c>
    </row>
    <row r="1509" customFormat="false" ht="15" hidden="false" customHeight="false" outlineLevel="0" collapsed="false">
      <c r="A1509" s="22" t="s">
        <v>20</v>
      </c>
      <c r="B1509" s="22" t="n">
        <v>7</v>
      </c>
      <c r="C1509" s="22" t="s">
        <v>159</v>
      </c>
      <c r="D1509" s="22" t="s">
        <v>30</v>
      </c>
      <c r="E1509" s="22" t="s">
        <v>7328</v>
      </c>
      <c r="F1509" s="22" t="n">
        <v>2315734</v>
      </c>
      <c r="G1509" s="30" t="n">
        <v>46258</v>
      </c>
      <c r="H1509" s="22" t="n">
        <v>134458</v>
      </c>
      <c r="I1509" s="22" t="s">
        <v>8710</v>
      </c>
      <c r="J1509" s="31" t="n">
        <v>66.4</v>
      </c>
      <c r="K1509" s="26" t="n">
        <v>1050.97</v>
      </c>
      <c r="L1509" s="26" t="n">
        <v>210.87</v>
      </c>
      <c r="M1509" s="22" t="s">
        <v>4832</v>
      </c>
      <c r="N1509" s="22" t="n">
        <f aca="false">MATCH(M1509,'Tabela Passaro'!$A$2:$A$1795,0)</f>
        <v>1158</v>
      </c>
      <c r="O1509" s="22" t="str">
        <f aca="false">INDEX('Tabela Passaro'!$C$2:$C$1795,$N1509)</f>
        <v>CABO DE SANTO AGOSTINHO</v>
      </c>
      <c r="P1509" s="22" t="str">
        <f aca="false">INDEX('Tabela Passaro'!$B$2:$B$1795,$N1509)</f>
        <v>PE</v>
      </c>
      <c r="Q1509" s="22" t="n">
        <f aca="false">INDEX('Tabela Passaro'!$F$2:$F$1795,$N1509)</f>
        <v>11</v>
      </c>
      <c r="R1509" s="32" t="n">
        <f aca="false">IF(J1509&lt;=10,INDEX('Tabela Passaro'!$G$2:$G$1795,$N1509),IF(J1509&lt;=30,INDEX('Tabela Passaro'!$H$2:$H$1795,$N1509),IF(J1509&lt;=50,INDEX('Tabela Passaro'!$I$2:$I$1795,$N1509),IF(J1509&lt;=70,INDEX('Tabela Passaro'!$J$2:$J$1795,$N1509),IF(J1509&lt;=100,INDEX('Tabela Passaro'!$K$2:$K$1795,$N1509),INDEX('Tabela Passaro'!$K$2:$K$1795,$N1509)+(J1509-100)*INDEX('Tabela Passaro'!$L$2:$L$1795,$N1509))))))</f>
        <v>122.06</v>
      </c>
      <c r="S1509" s="32" t="n">
        <f aca="false">K1509*INDEX('Tabela Passaro'!$M$2:$M$1795,$N1509)</f>
        <v>5.25485</v>
      </c>
      <c r="T1509" s="32" t="n">
        <f aca="false">K1509*INDEX('Tabela Passaro'!$N$2:$N$1795,$N1509)</f>
        <v>2.10194</v>
      </c>
      <c r="U1509" s="32" t="n">
        <f aca="false">INDEX('Tabela Passaro'!$O$2:$O$1795,$N1509)</f>
        <v>5</v>
      </c>
      <c r="V1509" s="32" t="n">
        <f aca="false">ROUNDUP(J1509/INDEX('Tabela Passaro'!$Q$2:$Q$1795,$N1509),0)*INDEX('Tabela Passaro'!$P$2:$P$1795,$N1509)</f>
        <v>5</v>
      </c>
      <c r="W1509" s="32" t="n">
        <f aca="false">INDEX('Tabela Passaro'!$R$2:$R$1795,$N1509)</f>
        <v>30</v>
      </c>
      <c r="X1509" s="32" t="n">
        <f aca="false">ROUNDUP(J1509/INDEX('Tabela Passaro'!$T$2:$T$1795,$N1509),0)*INDEX('Tabela Passaro'!$S$2:$S$1795,$N1509)</f>
        <v>0</v>
      </c>
      <c r="Y1509" s="32" t="n">
        <f aca="false">INDEX('Tabela Passaro'!$U$2:$U$1795,$N1509)</f>
        <v>0</v>
      </c>
      <c r="Z1509" s="32" t="n">
        <f aca="false">INDEX('Tabela Passaro'!$V$2:$V$1795,$N1509)</f>
        <v>0</v>
      </c>
      <c r="AA1509" s="32" t="n">
        <f aca="false">SUM(R1509:Z1509)</f>
        <v>169.41679</v>
      </c>
      <c r="AB1509" s="33" t="n">
        <f aca="false">INDEX(Premissas!$B$5:$B$13,MATCH(A1509,Premissas!$A$5:$A$13,0))</f>
        <v>0.07</v>
      </c>
      <c r="AC1509" s="32" t="n">
        <f aca="false">AA1509/(1-AB1509)-AA1509</f>
        <v>12.7518013978495</v>
      </c>
      <c r="AD1509" s="32" t="n">
        <f aca="false">ROUND(AA1509+AC1509,2)</f>
        <v>182.17</v>
      </c>
      <c r="AE1509" s="32" t="n">
        <f aca="false">AD1509-L1509</f>
        <v>-28.7</v>
      </c>
      <c r="AF1509" s="34" t="n">
        <f aca="false">IF(L1509=0,0,AE1509/L1509)</f>
        <v>-0.13610281215915</v>
      </c>
      <c r="AG1509" s="22" t="str">
        <f aca="false">IF(AD1509&lt;L1509,"PASSARO","ATUAL")</f>
        <v>PASSARO</v>
      </c>
      <c r="AH1509" s="22" t="str">
        <f aca="false">IF(P1509&lt;&gt;A1509,"Faixa cadastrada como "&amp;P1509&amp;" na tabela; preço aplicado pela UF do CEP","")</f>
        <v/>
      </c>
      <c r="AI1509" s="26" t="n">
        <v>213.59</v>
      </c>
      <c r="AJ1509" s="22" t="str">
        <f aca="false">INDEX('Tabela Passaro'!$X$2:$X$1795,$N1509)</f>
        <v>INTERIOR 1</v>
      </c>
    </row>
    <row r="1510" customFormat="false" ht="15" hidden="false" customHeight="false" outlineLevel="0" collapsed="false">
      <c r="A1510" s="22" t="s">
        <v>20</v>
      </c>
      <c r="B1510" s="22" t="n">
        <v>7</v>
      </c>
      <c r="C1510" s="22" t="s">
        <v>159</v>
      </c>
      <c r="D1510" s="22" t="s">
        <v>30</v>
      </c>
      <c r="E1510" s="22" t="s">
        <v>7328</v>
      </c>
      <c r="F1510" s="22" t="n">
        <v>2315620</v>
      </c>
      <c r="G1510" s="30" t="n">
        <v>46258</v>
      </c>
      <c r="H1510" s="22" t="n">
        <v>134937</v>
      </c>
      <c r="I1510" s="22" t="s">
        <v>8707</v>
      </c>
      <c r="J1510" s="31" t="n">
        <v>69</v>
      </c>
      <c r="K1510" s="26" t="n">
        <v>944.99</v>
      </c>
      <c r="L1510" s="26" t="n">
        <v>210.03</v>
      </c>
      <c r="M1510" s="22" t="s">
        <v>4832</v>
      </c>
      <c r="N1510" s="22" t="n">
        <f aca="false">MATCH(M1510,'Tabela Passaro'!$A$2:$A$1795,0)</f>
        <v>1158</v>
      </c>
      <c r="O1510" s="22" t="str">
        <f aca="false">INDEX('Tabela Passaro'!$C$2:$C$1795,$N1510)</f>
        <v>CABO DE SANTO AGOSTINHO</v>
      </c>
      <c r="P1510" s="22" t="str">
        <f aca="false">INDEX('Tabela Passaro'!$B$2:$B$1795,$N1510)</f>
        <v>PE</v>
      </c>
      <c r="Q1510" s="22" t="n">
        <f aca="false">INDEX('Tabela Passaro'!$F$2:$F$1795,$N1510)</f>
        <v>11</v>
      </c>
      <c r="R1510" s="32" t="n">
        <f aca="false">IF(J1510&lt;=10,INDEX('Tabela Passaro'!$G$2:$G$1795,$N1510),IF(J1510&lt;=30,INDEX('Tabela Passaro'!$H$2:$H$1795,$N1510),IF(J1510&lt;=50,INDEX('Tabela Passaro'!$I$2:$I$1795,$N1510),IF(J1510&lt;=70,INDEX('Tabela Passaro'!$J$2:$J$1795,$N1510),IF(J1510&lt;=100,INDEX('Tabela Passaro'!$K$2:$K$1795,$N1510),INDEX('Tabela Passaro'!$K$2:$K$1795,$N1510)+(J1510-100)*INDEX('Tabela Passaro'!$L$2:$L$1795,$N1510))))))</f>
        <v>122.06</v>
      </c>
      <c r="S1510" s="32" t="n">
        <f aca="false">K1510*INDEX('Tabela Passaro'!$M$2:$M$1795,$N1510)</f>
        <v>4.72495</v>
      </c>
      <c r="T1510" s="32" t="n">
        <f aca="false">K1510*INDEX('Tabela Passaro'!$N$2:$N$1795,$N1510)</f>
        <v>1.88998</v>
      </c>
      <c r="U1510" s="32" t="n">
        <f aca="false">INDEX('Tabela Passaro'!$O$2:$O$1795,$N1510)</f>
        <v>5</v>
      </c>
      <c r="V1510" s="32" t="n">
        <f aca="false">ROUNDUP(J1510/INDEX('Tabela Passaro'!$Q$2:$Q$1795,$N1510),0)*INDEX('Tabela Passaro'!$P$2:$P$1795,$N1510)</f>
        <v>5</v>
      </c>
      <c r="W1510" s="32" t="n">
        <f aca="false">INDEX('Tabela Passaro'!$R$2:$R$1795,$N1510)</f>
        <v>30</v>
      </c>
      <c r="X1510" s="32" t="n">
        <f aca="false">ROUNDUP(J1510/INDEX('Tabela Passaro'!$T$2:$T$1795,$N1510),0)*INDEX('Tabela Passaro'!$S$2:$S$1795,$N1510)</f>
        <v>0</v>
      </c>
      <c r="Y1510" s="32" t="n">
        <f aca="false">INDEX('Tabela Passaro'!$U$2:$U$1795,$N1510)</f>
        <v>0</v>
      </c>
      <c r="Z1510" s="32" t="n">
        <f aca="false">INDEX('Tabela Passaro'!$V$2:$V$1795,$N1510)</f>
        <v>0</v>
      </c>
      <c r="AA1510" s="32" t="n">
        <f aca="false">SUM(R1510:Z1510)</f>
        <v>168.67493</v>
      </c>
      <c r="AB1510" s="33" t="n">
        <f aca="false">INDEX(Premissas!$B$5:$B$13,MATCH(A1510,Premissas!$A$5:$A$13,0))</f>
        <v>0.07</v>
      </c>
      <c r="AC1510" s="32" t="n">
        <f aca="false">AA1510/(1-AB1510)-AA1510</f>
        <v>12.6959624731183</v>
      </c>
      <c r="AD1510" s="32" t="n">
        <f aca="false">ROUND(AA1510+AC1510,2)</f>
        <v>181.37</v>
      </c>
      <c r="AE1510" s="32" t="n">
        <f aca="false">AD1510-L1510</f>
        <v>-28.66</v>
      </c>
      <c r="AF1510" s="34" t="n">
        <f aca="false">IF(L1510=0,0,AE1510/L1510)</f>
        <v>-0.136456696662382</v>
      </c>
      <c r="AG1510" s="22" t="str">
        <f aca="false">IF(AD1510&lt;L1510,"PASSARO","ATUAL")</f>
        <v>PASSARO</v>
      </c>
      <c r="AH1510" s="22" t="str">
        <f aca="false">IF(P1510&lt;&gt;A1510,"Faixa cadastrada como "&amp;P1510&amp;" na tabela; preço aplicado pela UF do CEP","")</f>
        <v/>
      </c>
      <c r="AI1510" s="26" t="n">
        <v>213.53</v>
      </c>
      <c r="AJ1510" s="22" t="str">
        <f aca="false">INDEX('Tabela Passaro'!$X$2:$X$1795,$N1510)</f>
        <v>INTERIOR 1</v>
      </c>
    </row>
    <row r="1511" customFormat="false" ht="15" hidden="false" customHeight="false" outlineLevel="0" collapsed="false">
      <c r="A1511" s="22" t="s">
        <v>20</v>
      </c>
      <c r="B1511" s="22" t="n">
        <v>7</v>
      </c>
      <c r="C1511" s="22" t="s">
        <v>159</v>
      </c>
      <c r="D1511" s="22" t="s">
        <v>30</v>
      </c>
      <c r="E1511" s="22" t="s">
        <v>7326</v>
      </c>
      <c r="F1511" s="22" t="n">
        <v>528139</v>
      </c>
      <c r="G1511" s="30" t="n">
        <v>46262</v>
      </c>
      <c r="H1511" s="22" t="n">
        <v>629602</v>
      </c>
      <c r="I1511" s="22" t="s">
        <v>8711</v>
      </c>
      <c r="J1511" s="31" t="n">
        <v>13.49</v>
      </c>
      <c r="K1511" s="26" t="n">
        <v>1074.17</v>
      </c>
      <c r="L1511" s="26" t="n">
        <v>91.96</v>
      </c>
      <c r="M1511" s="22" t="s">
        <v>4832</v>
      </c>
      <c r="N1511" s="22" t="n">
        <f aca="false">MATCH(M1511,'Tabela Passaro'!$A$2:$A$1795,0)</f>
        <v>1158</v>
      </c>
      <c r="O1511" s="22" t="str">
        <f aca="false">INDEX('Tabela Passaro'!$C$2:$C$1795,$N1511)</f>
        <v>CABO DE SANTO AGOSTINHO</v>
      </c>
      <c r="P1511" s="22" t="str">
        <f aca="false">INDEX('Tabela Passaro'!$B$2:$B$1795,$N1511)</f>
        <v>PE</v>
      </c>
      <c r="Q1511" s="22" t="n">
        <f aca="false">INDEX('Tabela Passaro'!$F$2:$F$1795,$N1511)</f>
        <v>11</v>
      </c>
      <c r="R1511" s="32" t="n">
        <f aca="false">IF(J1511&lt;=10,INDEX('Tabela Passaro'!$G$2:$G$1795,$N1511),IF(J1511&lt;=30,INDEX('Tabela Passaro'!$H$2:$H$1795,$N1511),IF(J1511&lt;=50,INDEX('Tabela Passaro'!$I$2:$I$1795,$N1511),IF(J1511&lt;=70,INDEX('Tabela Passaro'!$J$2:$J$1795,$N1511),IF(J1511&lt;=100,INDEX('Tabela Passaro'!$K$2:$K$1795,$N1511),INDEX('Tabela Passaro'!$K$2:$K$1795,$N1511)+(J1511-100)*INDEX('Tabela Passaro'!$L$2:$L$1795,$N1511))))))</f>
        <v>89.01</v>
      </c>
      <c r="S1511" s="32" t="n">
        <f aca="false">K1511*INDEX('Tabela Passaro'!$M$2:$M$1795,$N1511)</f>
        <v>5.37085</v>
      </c>
      <c r="T1511" s="32" t="n">
        <f aca="false">K1511*INDEX('Tabela Passaro'!$N$2:$N$1795,$N1511)</f>
        <v>2.14834</v>
      </c>
      <c r="U1511" s="32" t="n">
        <f aca="false">INDEX('Tabela Passaro'!$O$2:$O$1795,$N1511)</f>
        <v>5</v>
      </c>
      <c r="V1511" s="32" t="n">
        <f aca="false">ROUNDUP(J1511/INDEX('Tabela Passaro'!$Q$2:$Q$1795,$N1511),0)*INDEX('Tabela Passaro'!$P$2:$P$1795,$N1511)</f>
        <v>5</v>
      </c>
      <c r="W1511" s="32" t="n">
        <f aca="false">INDEX('Tabela Passaro'!$R$2:$R$1795,$N1511)</f>
        <v>30</v>
      </c>
      <c r="X1511" s="32" t="n">
        <f aca="false">ROUNDUP(J1511/INDEX('Tabela Passaro'!$T$2:$T$1795,$N1511),0)*INDEX('Tabela Passaro'!$S$2:$S$1795,$N1511)</f>
        <v>0</v>
      </c>
      <c r="Y1511" s="32" t="n">
        <f aca="false">INDEX('Tabela Passaro'!$U$2:$U$1795,$N1511)</f>
        <v>0</v>
      </c>
      <c r="Z1511" s="32" t="n">
        <f aca="false">INDEX('Tabela Passaro'!$V$2:$V$1795,$N1511)</f>
        <v>0</v>
      </c>
      <c r="AA1511" s="32" t="n">
        <f aca="false">SUM(R1511:Z1511)</f>
        <v>136.52919</v>
      </c>
      <c r="AB1511" s="33" t="n">
        <f aca="false">INDEX(Premissas!$B$5:$B$13,MATCH(A1511,Premissas!$A$5:$A$13,0))</f>
        <v>0.07</v>
      </c>
      <c r="AC1511" s="32" t="n">
        <f aca="false">AA1511/(1-AB1511)-AA1511</f>
        <v>10.2763906451613</v>
      </c>
      <c r="AD1511" s="32" t="n">
        <f aca="false">ROUND(AA1511+AC1511,2)</f>
        <v>146.81</v>
      </c>
      <c r="AE1511" s="32" t="n">
        <f aca="false">AD1511-L1511</f>
        <v>54.85</v>
      </c>
      <c r="AF1511" s="34" t="n">
        <f aca="false">IF(L1511=0,0,AE1511/L1511)</f>
        <v>0.596454980426272</v>
      </c>
      <c r="AG1511" s="22" t="str">
        <f aca="false">IF(AD1511&lt;L1511,"PASSARO","ATUAL")</f>
        <v>ATUAL</v>
      </c>
      <c r="AH1511" s="22" t="str">
        <f aca="false">IF(P1511&lt;&gt;A1511,"Faixa cadastrada como "&amp;P1511&amp;" na tabela; preço aplicado pela UF do CEP","")</f>
        <v/>
      </c>
      <c r="AI1511" s="26" t="n">
        <v>150.6</v>
      </c>
      <c r="AJ1511" s="22" t="str">
        <f aca="false">INDEX('Tabela Passaro'!$X$2:$X$1795,$N1511)</f>
        <v>INTERIOR 1</v>
      </c>
    </row>
    <row r="1512" customFormat="false" ht="15" hidden="false" customHeight="false" outlineLevel="0" collapsed="false">
      <c r="A1512" s="22" t="s">
        <v>20</v>
      </c>
      <c r="B1512" s="22" t="n">
        <v>8</v>
      </c>
      <c r="C1512" s="22" t="s">
        <v>161</v>
      </c>
      <c r="D1512" s="22" t="s">
        <v>30</v>
      </c>
      <c r="E1512" s="22" t="s">
        <v>7326</v>
      </c>
      <c r="F1512" s="22" t="n">
        <v>523687</v>
      </c>
      <c r="G1512" s="30" t="n">
        <v>46244</v>
      </c>
      <c r="H1512" s="22" t="n">
        <v>622505</v>
      </c>
      <c r="I1512" s="22" t="s">
        <v>8712</v>
      </c>
      <c r="J1512" s="31" t="n">
        <v>66.4</v>
      </c>
      <c r="K1512" s="26" t="n">
        <v>876.27</v>
      </c>
      <c r="L1512" s="26" t="n">
        <v>243.41</v>
      </c>
      <c r="M1512" s="22" t="s">
        <v>4787</v>
      </c>
      <c r="N1512" s="22" t="n">
        <f aca="false">MATCH(M1512,'Tabela Passaro'!$A$2:$A$1795,0)</f>
        <v>1145</v>
      </c>
      <c r="O1512" s="22" t="str">
        <f aca="false">INDEX('Tabela Passaro'!$C$2:$C$1795,$N1512)</f>
        <v>CAMARAGIBE</v>
      </c>
      <c r="P1512" s="22" t="str">
        <f aca="false">INDEX('Tabela Passaro'!$B$2:$B$1795,$N1512)</f>
        <v>PE</v>
      </c>
      <c r="Q1512" s="22" t="n">
        <f aca="false">INDEX('Tabela Passaro'!$F$2:$F$1795,$N1512)</f>
        <v>8</v>
      </c>
      <c r="R1512" s="32" t="n">
        <f aca="false">IF(J1512&lt;=10,INDEX('Tabela Passaro'!$G$2:$G$1795,$N1512),IF(J1512&lt;=30,INDEX('Tabela Passaro'!$H$2:$H$1795,$N1512),IF(J1512&lt;=50,INDEX('Tabela Passaro'!$I$2:$I$1795,$N1512),IF(J1512&lt;=70,INDEX('Tabela Passaro'!$J$2:$J$1795,$N1512),IF(J1512&lt;=100,INDEX('Tabela Passaro'!$K$2:$K$1795,$N1512),INDEX('Tabela Passaro'!$K$2:$K$1795,$N1512)+(J1512-100)*INDEX('Tabela Passaro'!$L$2:$L$1795,$N1512))))))</f>
        <v>99.61</v>
      </c>
      <c r="S1512" s="32" t="n">
        <f aca="false">K1512*INDEX('Tabela Passaro'!$M$2:$M$1795,$N1512)</f>
        <v>4.38135</v>
      </c>
      <c r="T1512" s="32" t="n">
        <f aca="false">K1512*INDEX('Tabela Passaro'!$N$2:$N$1795,$N1512)</f>
        <v>1.75254</v>
      </c>
      <c r="U1512" s="32" t="n">
        <f aca="false">INDEX('Tabela Passaro'!$O$2:$O$1795,$N1512)</f>
        <v>5</v>
      </c>
      <c r="V1512" s="32" t="n">
        <f aca="false">ROUNDUP(J1512/INDEX('Tabela Passaro'!$Q$2:$Q$1795,$N1512),0)*INDEX('Tabela Passaro'!$P$2:$P$1795,$N1512)</f>
        <v>5</v>
      </c>
      <c r="W1512" s="32" t="n">
        <f aca="false">INDEX('Tabela Passaro'!$R$2:$R$1795,$N1512)</f>
        <v>30</v>
      </c>
      <c r="X1512" s="32" t="n">
        <f aca="false">ROUNDUP(J1512/INDEX('Tabela Passaro'!$T$2:$T$1795,$N1512),0)*INDEX('Tabela Passaro'!$S$2:$S$1795,$N1512)</f>
        <v>0</v>
      </c>
      <c r="Y1512" s="32" t="n">
        <f aca="false">INDEX('Tabela Passaro'!$U$2:$U$1795,$N1512)</f>
        <v>0</v>
      </c>
      <c r="Z1512" s="32" t="n">
        <f aca="false">INDEX('Tabela Passaro'!$V$2:$V$1795,$N1512)</f>
        <v>0</v>
      </c>
      <c r="AA1512" s="32" t="n">
        <f aca="false">SUM(R1512:Z1512)</f>
        <v>145.74389</v>
      </c>
      <c r="AB1512" s="33" t="n">
        <f aca="false">INDEX(Premissas!$B$5:$B$13,MATCH(A1512,Premissas!$A$5:$A$13,0))</f>
        <v>0.07</v>
      </c>
      <c r="AC1512" s="32" t="n">
        <f aca="false">AA1512/(1-AB1512)-AA1512</f>
        <v>10.9699702150538</v>
      </c>
      <c r="AD1512" s="32" t="n">
        <f aca="false">ROUND(AA1512+AC1512,2)</f>
        <v>156.71</v>
      </c>
      <c r="AE1512" s="32" t="n">
        <f aca="false">AD1512-L1512</f>
        <v>-86.7</v>
      </c>
      <c r="AF1512" s="34" t="n">
        <f aca="false">IF(L1512=0,0,AE1512/L1512)</f>
        <v>-0.356189145885543</v>
      </c>
      <c r="AG1512" s="22" t="str">
        <f aca="false">IF(AD1512&lt;L1512,"PASSARO","ATUAL")</f>
        <v>PASSARO</v>
      </c>
      <c r="AH1512" s="22" t="str">
        <f aca="false">IF(P1512&lt;&gt;A1512,"Faixa cadastrada como "&amp;P1512&amp;" na tabela; preço aplicado pela UF do CEP","")</f>
        <v/>
      </c>
      <c r="AI1512" s="26" t="n">
        <v>202.51</v>
      </c>
      <c r="AJ1512" s="22" t="str">
        <f aca="false">INDEX('Tabela Passaro'!$X$2:$X$1795,$N1512)</f>
        <v>CAPITAL</v>
      </c>
    </row>
    <row r="1513" customFormat="false" ht="15" hidden="false" customHeight="false" outlineLevel="0" collapsed="false">
      <c r="A1513" s="22" t="s">
        <v>20</v>
      </c>
      <c r="B1513" s="22" t="n">
        <v>8</v>
      </c>
      <c r="C1513" s="22" t="s">
        <v>161</v>
      </c>
      <c r="D1513" s="22" t="s">
        <v>30</v>
      </c>
      <c r="E1513" s="22" t="s">
        <v>7328</v>
      </c>
      <c r="F1513" s="22" t="n">
        <v>2312279</v>
      </c>
      <c r="G1513" s="30" t="n">
        <v>46248</v>
      </c>
      <c r="H1513" s="22" t="n">
        <v>133177</v>
      </c>
      <c r="I1513" s="22" t="s">
        <v>8713</v>
      </c>
      <c r="J1513" s="31" t="n">
        <v>66.4</v>
      </c>
      <c r="K1513" s="26" t="n">
        <v>1035.98</v>
      </c>
      <c r="L1513" s="26" t="n">
        <v>210.76</v>
      </c>
      <c r="M1513" s="22" t="s">
        <v>4787</v>
      </c>
      <c r="N1513" s="22" t="n">
        <f aca="false">MATCH(M1513,'Tabela Passaro'!$A$2:$A$1795,0)</f>
        <v>1145</v>
      </c>
      <c r="O1513" s="22" t="str">
        <f aca="false">INDEX('Tabela Passaro'!$C$2:$C$1795,$N1513)</f>
        <v>CAMARAGIBE</v>
      </c>
      <c r="P1513" s="22" t="str">
        <f aca="false">INDEX('Tabela Passaro'!$B$2:$B$1795,$N1513)</f>
        <v>PE</v>
      </c>
      <c r="Q1513" s="22" t="n">
        <f aca="false">INDEX('Tabela Passaro'!$F$2:$F$1795,$N1513)</f>
        <v>8</v>
      </c>
      <c r="R1513" s="32" t="n">
        <f aca="false">IF(J1513&lt;=10,INDEX('Tabela Passaro'!$G$2:$G$1795,$N1513),IF(J1513&lt;=30,INDEX('Tabela Passaro'!$H$2:$H$1795,$N1513),IF(J1513&lt;=50,INDEX('Tabela Passaro'!$I$2:$I$1795,$N1513),IF(J1513&lt;=70,INDEX('Tabela Passaro'!$J$2:$J$1795,$N1513),IF(J1513&lt;=100,INDEX('Tabela Passaro'!$K$2:$K$1795,$N1513),INDEX('Tabela Passaro'!$K$2:$K$1795,$N1513)+(J1513-100)*INDEX('Tabela Passaro'!$L$2:$L$1795,$N1513))))))</f>
        <v>99.61</v>
      </c>
      <c r="S1513" s="32" t="n">
        <f aca="false">K1513*INDEX('Tabela Passaro'!$M$2:$M$1795,$N1513)</f>
        <v>5.1799</v>
      </c>
      <c r="T1513" s="32" t="n">
        <f aca="false">K1513*INDEX('Tabela Passaro'!$N$2:$N$1795,$N1513)</f>
        <v>2.07196</v>
      </c>
      <c r="U1513" s="32" t="n">
        <f aca="false">INDEX('Tabela Passaro'!$O$2:$O$1795,$N1513)</f>
        <v>5</v>
      </c>
      <c r="V1513" s="32" t="n">
        <f aca="false">ROUNDUP(J1513/INDEX('Tabela Passaro'!$Q$2:$Q$1795,$N1513),0)*INDEX('Tabela Passaro'!$P$2:$P$1795,$N1513)</f>
        <v>5</v>
      </c>
      <c r="W1513" s="32" t="n">
        <f aca="false">INDEX('Tabela Passaro'!$R$2:$R$1795,$N1513)</f>
        <v>30</v>
      </c>
      <c r="X1513" s="32" t="n">
        <f aca="false">ROUNDUP(J1513/INDEX('Tabela Passaro'!$T$2:$T$1795,$N1513),0)*INDEX('Tabela Passaro'!$S$2:$S$1795,$N1513)</f>
        <v>0</v>
      </c>
      <c r="Y1513" s="32" t="n">
        <f aca="false">INDEX('Tabela Passaro'!$U$2:$U$1795,$N1513)</f>
        <v>0</v>
      </c>
      <c r="Z1513" s="32" t="n">
        <f aca="false">INDEX('Tabela Passaro'!$V$2:$V$1795,$N1513)</f>
        <v>0</v>
      </c>
      <c r="AA1513" s="32" t="n">
        <f aca="false">SUM(R1513:Z1513)</f>
        <v>146.86186</v>
      </c>
      <c r="AB1513" s="33" t="n">
        <f aca="false">INDEX(Premissas!$B$5:$B$13,MATCH(A1513,Premissas!$A$5:$A$13,0))</f>
        <v>0.07</v>
      </c>
      <c r="AC1513" s="32" t="n">
        <f aca="false">AA1513/(1-AB1513)-AA1513</f>
        <v>11.0541184946237</v>
      </c>
      <c r="AD1513" s="32" t="n">
        <f aca="false">ROUND(AA1513+AC1513,2)</f>
        <v>157.92</v>
      </c>
      <c r="AE1513" s="32" t="n">
        <f aca="false">AD1513-L1513</f>
        <v>-52.84</v>
      </c>
      <c r="AF1513" s="34" t="n">
        <f aca="false">IF(L1513=0,0,AE1513/L1513)</f>
        <v>-0.250711710001898</v>
      </c>
      <c r="AG1513" s="22" t="str">
        <f aca="false">IF(AD1513&lt;L1513,"PASSARO","ATUAL")</f>
        <v>PASSARO</v>
      </c>
      <c r="AH1513" s="22" t="str">
        <f aca="false">IF(P1513&lt;&gt;A1513,"Faixa cadastrada como "&amp;P1513&amp;" na tabela; preço aplicado pela UF do CEP","")</f>
        <v/>
      </c>
      <c r="AI1513" s="26" t="n">
        <v>204.06</v>
      </c>
      <c r="AJ1513" s="22" t="str">
        <f aca="false">INDEX('Tabela Passaro'!$X$2:$X$1795,$N1513)</f>
        <v>CAPITAL</v>
      </c>
    </row>
    <row r="1514" customFormat="false" ht="15" hidden="false" customHeight="false" outlineLevel="0" collapsed="false">
      <c r="A1514" s="22" t="s">
        <v>20</v>
      </c>
      <c r="B1514" s="22" t="n">
        <v>8</v>
      </c>
      <c r="C1514" s="22" t="s">
        <v>161</v>
      </c>
      <c r="D1514" s="22" t="s">
        <v>30</v>
      </c>
      <c r="E1514" s="22" t="s">
        <v>7328</v>
      </c>
      <c r="F1514" s="22" t="n">
        <v>2312460</v>
      </c>
      <c r="G1514" s="30" t="n">
        <v>46248</v>
      </c>
      <c r="H1514" s="22" t="n">
        <v>133366</v>
      </c>
      <c r="I1514" s="22" t="s">
        <v>8714</v>
      </c>
      <c r="J1514" s="31" t="n">
        <v>30.98</v>
      </c>
      <c r="K1514" s="26" t="n">
        <v>654.83</v>
      </c>
      <c r="L1514" s="26" t="n">
        <v>164.49</v>
      </c>
      <c r="M1514" s="22" t="s">
        <v>4787</v>
      </c>
      <c r="N1514" s="22" t="n">
        <f aca="false">MATCH(M1514,'Tabela Passaro'!$A$2:$A$1795,0)</f>
        <v>1145</v>
      </c>
      <c r="O1514" s="22" t="str">
        <f aca="false">INDEX('Tabela Passaro'!$C$2:$C$1795,$N1514)</f>
        <v>CAMARAGIBE</v>
      </c>
      <c r="P1514" s="22" t="str">
        <f aca="false">INDEX('Tabela Passaro'!$B$2:$B$1795,$N1514)</f>
        <v>PE</v>
      </c>
      <c r="Q1514" s="22" t="n">
        <f aca="false">INDEX('Tabela Passaro'!$F$2:$F$1795,$N1514)</f>
        <v>8</v>
      </c>
      <c r="R1514" s="32" t="n">
        <f aca="false">IF(J1514&lt;=10,INDEX('Tabela Passaro'!$G$2:$G$1795,$N1514),IF(J1514&lt;=30,INDEX('Tabela Passaro'!$H$2:$H$1795,$N1514),IF(J1514&lt;=50,INDEX('Tabela Passaro'!$I$2:$I$1795,$N1514),IF(J1514&lt;=70,INDEX('Tabela Passaro'!$J$2:$J$1795,$N1514),IF(J1514&lt;=100,INDEX('Tabela Passaro'!$K$2:$K$1795,$N1514),INDEX('Tabela Passaro'!$K$2:$K$1795,$N1514)+(J1514-100)*INDEX('Tabela Passaro'!$L$2:$L$1795,$N1514))))))</f>
        <v>88.59</v>
      </c>
      <c r="S1514" s="32" t="n">
        <f aca="false">K1514*INDEX('Tabela Passaro'!$M$2:$M$1795,$N1514)</f>
        <v>3.27415</v>
      </c>
      <c r="T1514" s="32" t="n">
        <f aca="false">K1514*INDEX('Tabela Passaro'!$N$2:$N$1795,$N1514)</f>
        <v>1.30966</v>
      </c>
      <c r="U1514" s="32" t="n">
        <f aca="false">INDEX('Tabela Passaro'!$O$2:$O$1795,$N1514)</f>
        <v>5</v>
      </c>
      <c r="V1514" s="32" t="n">
        <f aca="false">ROUNDUP(J1514/INDEX('Tabela Passaro'!$Q$2:$Q$1795,$N1514),0)*INDEX('Tabela Passaro'!$P$2:$P$1795,$N1514)</f>
        <v>5</v>
      </c>
      <c r="W1514" s="32" t="n">
        <f aca="false">INDEX('Tabela Passaro'!$R$2:$R$1795,$N1514)</f>
        <v>30</v>
      </c>
      <c r="X1514" s="32" t="n">
        <f aca="false">ROUNDUP(J1514/INDEX('Tabela Passaro'!$T$2:$T$1795,$N1514),0)*INDEX('Tabela Passaro'!$S$2:$S$1795,$N1514)</f>
        <v>0</v>
      </c>
      <c r="Y1514" s="32" t="n">
        <f aca="false">INDEX('Tabela Passaro'!$U$2:$U$1795,$N1514)</f>
        <v>0</v>
      </c>
      <c r="Z1514" s="32" t="n">
        <f aca="false">INDEX('Tabela Passaro'!$V$2:$V$1795,$N1514)</f>
        <v>0</v>
      </c>
      <c r="AA1514" s="32" t="n">
        <f aca="false">SUM(R1514:Z1514)</f>
        <v>133.17381</v>
      </c>
      <c r="AB1514" s="33" t="n">
        <f aca="false">INDEX(Premissas!$B$5:$B$13,MATCH(A1514,Premissas!$A$5:$A$13,0))</f>
        <v>0.07</v>
      </c>
      <c r="AC1514" s="32" t="n">
        <f aca="false">AA1514/(1-AB1514)-AA1514</f>
        <v>10.0238351612903</v>
      </c>
      <c r="AD1514" s="32" t="n">
        <f aca="false">ROUND(AA1514+AC1514,2)</f>
        <v>143.2</v>
      </c>
      <c r="AE1514" s="32" t="n">
        <f aca="false">AD1514-L1514</f>
        <v>-21.29</v>
      </c>
      <c r="AF1514" s="34" t="n">
        <f aca="false">IF(L1514=0,0,AE1514/L1514)</f>
        <v>-0.129430360508238</v>
      </c>
      <c r="AG1514" s="22" t="str">
        <f aca="false">IF(AD1514&lt;L1514,"PASSARO","ATUAL")</f>
        <v>PASSARO</v>
      </c>
      <c r="AH1514" s="22" t="str">
        <f aca="false">IF(P1514&lt;&gt;A1514,"Faixa cadastrada como "&amp;P1514&amp;" na tabela; preço aplicado pela UF do CEP","")</f>
        <v/>
      </c>
      <c r="AI1514" s="26" t="n">
        <v>170.42</v>
      </c>
      <c r="AJ1514" s="22" t="str">
        <f aca="false">INDEX('Tabela Passaro'!$X$2:$X$1795,$N1514)</f>
        <v>CAPITAL</v>
      </c>
    </row>
    <row r="1515" customFormat="false" ht="15" hidden="false" customHeight="false" outlineLevel="0" collapsed="false">
      <c r="A1515" s="22" t="s">
        <v>20</v>
      </c>
      <c r="B1515" s="22" t="n">
        <v>8</v>
      </c>
      <c r="C1515" s="22" t="s">
        <v>161</v>
      </c>
      <c r="D1515" s="22" t="s">
        <v>30</v>
      </c>
      <c r="E1515" s="22" t="s">
        <v>7328</v>
      </c>
      <c r="F1515" s="22" t="n">
        <v>2313207</v>
      </c>
      <c r="G1515" s="30" t="n">
        <v>46251</v>
      </c>
      <c r="H1515" s="22" t="n">
        <v>133624</v>
      </c>
      <c r="I1515" s="22" t="s">
        <v>8715</v>
      </c>
      <c r="J1515" s="31" t="n">
        <v>59.3</v>
      </c>
      <c r="K1515" s="26" t="n">
        <v>1137.85</v>
      </c>
      <c r="L1515" s="26" t="n">
        <v>211.56</v>
      </c>
      <c r="M1515" s="22" t="s">
        <v>4787</v>
      </c>
      <c r="N1515" s="22" t="n">
        <f aca="false">MATCH(M1515,'Tabela Passaro'!$A$2:$A$1795,0)</f>
        <v>1145</v>
      </c>
      <c r="O1515" s="22" t="str">
        <f aca="false">INDEX('Tabela Passaro'!$C$2:$C$1795,$N1515)</f>
        <v>CAMARAGIBE</v>
      </c>
      <c r="P1515" s="22" t="str">
        <f aca="false">INDEX('Tabela Passaro'!$B$2:$B$1795,$N1515)</f>
        <v>PE</v>
      </c>
      <c r="Q1515" s="22" t="n">
        <f aca="false">INDEX('Tabela Passaro'!$F$2:$F$1795,$N1515)</f>
        <v>8</v>
      </c>
      <c r="R1515" s="32" t="n">
        <f aca="false">IF(J1515&lt;=10,INDEX('Tabela Passaro'!$G$2:$G$1795,$N1515),IF(J1515&lt;=30,INDEX('Tabela Passaro'!$H$2:$H$1795,$N1515),IF(J1515&lt;=50,INDEX('Tabela Passaro'!$I$2:$I$1795,$N1515),IF(J1515&lt;=70,INDEX('Tabela Passaro'!$J$2:$J$1795,$N1515),IF(J1515&lt;=100,INDEX('Tabela Passaro'!$K$2:$K$1795,$N1515),INDEX('Tabela Passaro'!$K$2:$K$1795,$N1515)+(J1515-100)*INDEX('Tabela Passaro'!$L$2:$L$1795,$N1515))))))</f>
        <v>99.61</v>
      </c>
      <c r="S1515" s="32" t="n">
        <f aca="false">K1515*INDEX('Tabela Passaro'!$M$2:$M$1795,$N1515)</f>
        <v>5.68925</v>
      </c>
      <c r="T1515" s="32" t="n">
        <f aca="false">K1515*INDEX('Tabela Passaro'!$N$2:$N$1795,$N1515)</f>
        <v>2.2757</v>
      </c>
      <c r="U1515" s="32" t="n">
        <f aca="false">INDEX('Tabela Passaro'!$O$2:$O$1795,$N1515)</f>
        <v>5</v>
      </c>
      <c r="V1515" s="32" t="n">
        <f aca="false">ROUNDUP(J1515/INDEX('Tabela Passaro'!$Q$2:$Q$1795,$N1515),0)*INDEX('Tabela Passaro'!$P$2:$P$1795,$N1515)</f>
        <v>5</v>
      </c>
      <c r="W1515" s="32" t="n">
        <f aca="false">INDEX('Tabela Passaro'!$R$2:$R$1795,$N1515)</f>
        <v>30</v>
      </c>
      <c r="X1515" s="32" t="n">
        <f aca="false">ROUNDUP(J1515/INDEX('Tabela Passaro'!$T$2:$T$1795,$N1515),0)*INDEX('Tabela Passaro'!$S$2:$S$1795,$N1515)</f>
        <v>0</v>
      </c>
      <c r="Y1515" s="32" t="n">
        <f aca="false">INDEX('Tabela Passaro'!$U$2:$U$1795,$N1515)</f>
        <v>0</v>
      </c>
      <c r="Z1515" s="32" t="n">
        <f aca="false">INDEX('Tabela Passaro'!$V$2:$V$1795,$N1515)</f>
        <v>0</v>
      </c>
      <c r="AA1515" s="32" t="n">
        <f aca="false">SUM(R1515:Z1515)</f>
        <v>147.57495</v>
      </c>
      <c r="AB1515" s="33" t="n">
        <f aca="false">INDEX(Premissas!$B$5:$B$13,MATCH(A1515,Premissas!$A$5:$A$13,0))</f>
        <v>0.07</v>
      </c>
      <c r="AC1515" s="32" t="n">
        <f aca="false">AA1515/(1-AB1515)-AA1515</f>
        <v>11.1077919354839</v>
      </c>
      <c r="AD1515" s="32" t="n">
        <f aca="false">ROUND(AA1515+AC1515,2)</f>
        <v>158.68</v>
      </c>
      <c r="AE1515" s="32" t="n">
        <f aca="false">AD1515-L1515</f>
        <v>-52.88</v>
      </c>
      <c r="AF1515" s="34" t="n">
        <f aca="false">IF(L1515=0,0,AE1515/L1515)</f>
        <v>-0.24995273208546</v>
      </c>
      <c r="AG1515" s="22" t="str">
        <f aca="false">IF(AD1515&lt;L1515,"PASSARO","ATUAL")</f>
        <v>PASSARO</v>
      </c>
      <c r="AH1515" s="22" t="str">
        <f aca="false">IF(P1515&lt;&gt;A1515,"Faixa cadastrada como "&amp;P1515&amp;" na tabela; preço aplicado pela UF do CEP","")</f>
        <v/>
      </c>
      <c r="AI1515" s="26" t="n">
        <v>201.66</v>
      </c>
      <c r="AJ1515" s="22" t="str">
        <f aca="false">INDEX('Tabela Passaro'!$X$2:$X$1795,$N1515)</f>
        <v>CAPITAL</v>
      </c>
    </row>
    <row r="1516" customFormat="false" ht="15" hidden="false" customHeight="false" outlineLevel="0" collapsed="false">
      <c r="A1516" s="22" t="s">
        <v>20</v>
      </c>
      <c r="B1516" s="22" t="n">
        <v>8</v>
      </c>
      <c r="C1516" s="22" t="s">
        <v>161</v>
      </c>
      <c r="D1516" s="22" t="s">
        <v>30</v>
      </c>
      <c r="E1516" s="22" t="s">
        <v>7326</v>
      </c>
      <c r="F1516" s="22" t="n">
        <v>526098</v>
      </c>
      <c r="G1516" s="30" t="n">
        <v>46253</v>
      </c>
      <c r="H1516" s="22" t="n">
        <v>626996</v>
      </c>
      <c r="I1516" s="22" t="s">
        <v>8716</v>
      </c>
      <c r="J1516" s="31" t="n">
        <v>17.3</v>
      </c>
      <c r="K1516" s="26" t="n">
        <v>1298.04</v>
      </c>
      <c r="L1516" s="26" t="n">
        <v>142.65</v>
      </c>
      <c r="M1516" s="22" t="s">
        <v>4787</v>
      </c>
      <c r="N1516" s="22" t="n">
        <f aca="false">MATCH(M1516,'Tabela Passaro'!$A$2:$A$1795,0)</f>
        <v>1145</v>
      </c>
      <c r="O1516" s="22" t="str">
        <f aca="false">INDEX('Tabela Passaro'!$C$2:$C$1795,$N1516)</f>
        <v>CAMARAGIBE</v>
      </c>
      <c r="P1516" s="22" t="str">
        <f aca="false">INDEX('Tabela Passaro'!$B$2:$B$1795,$N1516)</f>
        <v>PE</v>
      </c>
      <c r="Q1516" s="22" t="n">
        <f aca="false">INDEX('Tabela Passaro'!$F$2:$F$1795,$N1516)</f>
        <v>8</v>
      </c>
      <c r="R1516" s="32" t="n">
        <f aca="false">IF(J1516&lt;=10,INDEX('Tabela Passaro'!$G$2:$G$1795,$N1516),IF(J1516&lt;=30,INDEX('Tabela Passaro'!$H$2:$H$1795,$N1516),IF(J1516&lt;=50,INDEX('Tabela Passaro'!$I$2:$I$1795,$N1516),IF(J1516&lt;=70,INDEX('Tabela Passaro'!$J$2:$J$1795,$N1516),IF(J1516&lt;=100,INDEX('Tabela Passaro'!$K$2:$K$1795,$N1516),INDEX('Tabela Passaro'!$K$2:$K$1795,$N1516)+(J1516-100)*INDEX('Tabela Passaro'!$L$2:$L$1795,$N1516))))))</f>
        <v>66.55</v>
      </c>
      <c r="S1516" s="32" t="n">
        <f aca="false">K1516*INDEX('Tabela Passaro'!$M$2:$M$1795,$N1516)</f>
        <v>6.4902</v>
      </c>
      <c r="T1516" s="32" t="n">
        <f aca="false">K1516*INDEX('Tabela Passaro'!$N$2:$N$1795,$N1516)</f>
        <v>2.59608</v>
      </c>
      <c r="U1516" s="32" t="n">
        <f aca="false">INDEX('Tabela Passaro'!$O$2:$O$1795,$N1516)</f>
        <v>5</v>
      </c>
      <c r="V1516" s="32" t="n">
        <f aca="false">ROUNDUP(J1516/INDEX('Tabela Passaro'!$Q$2:$Q$1795,$N1516),0)*INDEX('Tabela Passaro'!$P$2:$P$1795,$N1516)</f>
        <v>5</v>
      </c>
      <c r="W1516" s="32" t="n">
        <f aca="false">INDEX('Tabela Passaro'!$R$2:$R$1795,$N1516)</f>
        <v>30</v>
      </c>
      <c r="X1516" s="32" t="n">
        <f aca="false">ROUNDUP(J1516/INDEX('Tabela Passaro'!$T$2:$T$1795,$N1516),0)*INDEX('Tabela Passaro'!$S$2:$S$1795,$N1516)</f>
        <v>0</v>
      </c>
      <c r="Y1516" s="32" t="n">
        <f aca="false">INDEX('Tabela Passaro'!$U$2:$U$1795,$N1516)</f>
        <v>0</v>
      </c>
      <c r="Z1516" s="32" t="n">
        <f aca="false">INDEX('Tabela Passaro'!$V$2:$V$1795,$N1516)</f>
        <v>0</v>
      </c>
      <c r="AA1516" s="32" t="n">
        <f aca="false">SUM(R1516:Z1516)</f>
        <v>115.63628</v>
      </c>
      <c r="AB1516" s="33" t="n">
        <f aca="false">INDEX(Premissas!$B$5:$B$13,MATCH(A1516,Premissas!$A$5:$A$13,0))</f>
        <v>0.07</v>
      </c>
      <c r="AC1516" s="32" t="n">
        <f aca="false">AA1516/(1-AB1516)-AA1516</f>
        <v>8.70380602150539</v>
      </c>
      <c r="AD1516" s="32" t="n">
        <f aca="false">ROUND(AA1516+AC1516,2)</f>
        <v>124.34</v>
      </c>
      <c r="AE1516" s="32" t="n">
        <f aca="false">AD1516-L1516</f>
        <v>-18.31</v>
      </c>
      <c r="AF1516" s="34" t="n">
        <f aca="false">IF(L1516=0,0,AE1516/L1516)</f>
        <v>-0.128356116368735</v>
      </c>
      <c r="AG1516" s="22" t="str">
        <f aca="false">IF(AD1516&lt;L1516,"PASSARO","ATUAL")</f>
        <v>PASSARO</v>
      </c>
      <c r="AH1516" s="22" t="str">
        <f aca="false">IF(P1516&lt;&gt;A1516,"Faixa cadastrada como "&amp;P1516&amp;" na tabela; preço aplicado pela UF do CEP","")</f>
        <v/>
      </c>
      <c r="AI1516" s="26" t="n">
        <v>145.3</v>
      </c>
      <c r="AJ1516" s="22" t="str">
        <f aca="false">INDEX('Tabela Passaro'!$X$2:$X$1795,$N1516)</f>
        <v>CAPITAL</v>
      </c>
    </row>
    <row r="1517" customFormat="false" ht="15" hidden="false" customHeight="false" outlineLevel="0" collapsed="false">
      <c r="A1517" s="22" t="s">
        <v>20</v>
      </c>
      <c r="B1517" s="22" t="n">
        <v>8</v>
      </c>
      <c r="C1517" s="22" t="s">
        <v>161</v>
      </c>
      <c r="D1517" s="22" t="s">
        <v>30</v>
      </c>
      <c r="E1517" s="22" t="s">
        <v>7328</v>
      </c>
      <c r="F1517" s="22" t="n">
        <v>2315664</v>
      </c>
      <c r="G1517" s="30" t="n">
        <v>46258</v>
      </c>
      <c r="H1517" s="22" t="n">
        <v>134389</v>
      </c>
      <c r="I1517" s="22" t="s">
        <v>8717</v>
      </c>
      <c r="J1517" s="31" t="n">
        <v>59.8</v>
      </c>
      <c r="K1517" s="26" t="n">
        <v>1054.45</v>
      </c>
      <c r="L1517" s="26" t="n">
        <v>210.91</v>
      </c>
      <c r="M1517" s="22" t="s">
        <v>4787</v>
      </c>
      <c r="N1517" s="22" t="n">
        <f aca="false">MATCH(M1517,'Tabela Passaro'!$A$2:$A$1795,0)</f>
        <v>1145</v>
      </c>
      <c r="O1517" s="22" t="str">
        <f aca="false">INDEX('Tabela Passaro'!$C$2:$C$1795,$N1517)</f>
        <v>CAMARAGIBE</v>
      </c>
      <c r="P1517" s="22" t="str">
        <f aca="false">INDEX('Tabela Passaro'!$B$2:$B$1795,$N1517)</f>
        <v>PE</v>
      </c>
      <c r="Q1517" s="22" t="n">
        <f aca="false">INDEX('Tabela Passaro'!$F$2:$F$1795,$N1517)</f>
        <v>8</v>
      </c>
      <c r="R1517" s="32" t="n">
        <f aca="false">IF(J1517&lt;=10,INDEX('Tabela Passaro'!$G$2:$G$1795,$N1517),IF(J1517&lt;=30,INDEX('Tabela Passaro'!$H$2:$H$1795,$N1517),IF(J1517&lt;=50,INDEX('Tabela Passaro'!$I$2:$I$1795,$N1517),IF(J1517&lt;=70,INDEX('Tabela Passaro'!$J$2:$J$1795,$N1517),IF(J1517&lt;=100,INDEX('Tabela Passaro'!$K$2:$K$1795,$N1517),INDEX('Tabela Passaro'!$K$2:$K$1795,$N1517)+(J1517-100)*INDEX('Tabela Passaro'!$L$2:$L$1795,$N1517))))))</f>
        <v>99.61</v>
      </c>
      <c r="S1517" s="32" t="n">
        <f aca="false">K1517*INDEX('Tabela Passaro'!$M$2:$M$1795,$N1517)</f>
        <v>5.27225</v>
      </c>
      <c r="T1517" s="32" t="n">
        <f aca="false">K1517*INDEX('Tabela Passaro'!$N$2:$N$1795,$N1517)</f>
        <v>2.1089</v>
      </c>
      <c r="U1517" s="32" t="n">
        <f aca="false">INDEX('Tabela Passaro'!$O$2:$O$1795,$N1517)</f>
        <v>5</v>
      </c>
      <c r="V1517" s="32" t="n">
        <f aca="false">ROUNDUP(J1517/INDEX('Tabela Passaro'!$Q$2:$Q$1795,$N1517),0)*INDEX('Tabela Passaro'!$P$2:$P$1795,$N1517)</f>
        <v>5</v>
      </c>
      <c r="W1517" s="32" t="n">
        <f aca="false">INDEX('Tabela Passaro'!$R$2:$R$1795,$N1517)</f>
        <v>30</v>
      </c>
      <c r="X1517" s="32" t="n">
        <f aca="false">ROUNDUP(J1517/INDEX('Tabela Passaro'!$T$2:$T$1795,$N1517),0)*INDEX('Tabela Passaro'!$S$2:$S$1795,$N1517)</f>
        <v>0</v>
      </c>
      <c r="Y1517" s="32" t="n">
        <f aca="false">INDEX('Tabela Passaro'!$U$2:$U$1795,$N1517)</f>
        <v>0</v>
      </c>
      <c r="Z1517" s="32" t="n">
        <f aca="false">INDEX('Tabela Passaro'!$V$2:$V$1795,$N1517)</f>
        <v>0</v>
      </c>
      <c r="AA1517" s="32" t="n">
        <f aca="false">SUM(R1517:Z1517)</f>
        <v>146.99115</v>
      </c>
      <c r="AB1517" s="33" t="n">
        <f aca="false">INDEX(Premissas!$B$5:$B$13,MATCH(A1517,Premissas!$A$5:$A$13,0))</f>
        <v>0.07</v>
      </c>
      <c r="AC1517" s="32" t="n">
        <f aca="false">AA1517/(1-AB1517)-AA1517</f>
        <v>11.06385</v>
      </c>
      <c r="AD1517" s="32" t="n">
        <f aca="false">ROUND(AA1517+AC1517,2)</f>
        <v>158.06</v>
      </c>
      <c r="AE1517" s="32" t="n">
        <f aca="false">AD1517-L1517</f>
        <v>-52.85</v>
      </c>
      <c r="AF1517" s="34" t="n">
        <f aca="false">IF(L1517=0,0,AE1517/L1517)</f>
        <v>-0.250580816461998</v>
      </c>
      <c r="AG1517" s="22" t="str">
        <f aca="false">IF(AD1517&lt;L1517,"PASSARO","ATUAL")</f>
        <v>PASSARO</v>
      </c>
      <c r="AH1517" s="22" t="str">
        <f aca="false">IF(P1517&lt;&gt;A1517,"Faixa cadastrada como "&amp;P1517&amp;" na tabela; preço aplicado pela UF do CEP","")</f>
        <v/>
      </c>
      <c r="AI1517" s="26" t="n">
        <v>200.85</v>
      </c>
      <c r="AJ1517" s="22" t="str">
        <f aca="false">INDEX('Tabela Passaro'!$X$2:$X$1795,$N1517)</f>
        <v>CAPITAL</v>
      </c>
    </row>
    <row r="1518" customFormat="false" ht="15" hidden="false" customHeight="false" outlineLevel="0" collapsed="false">
      <c r="A1518" s="22" t="s">
        <v>20</v>
      </c>
      <c r="B1518" s="22" t="n">
        <v>8</v>
      </c>
      <c r="C1518" s="22" t="s">
        <v>161</v>
      </c>
      <c r="D1518" s="22" t="s">
        <v>30</v>
      </c>
      <c r="E1518" s="22" t="s">
        <v>7328</v>
      </c>
      <c r="F1518" s="22" t="n">
        <v>2315764</v>
      </c>
      <c r="G1518" s="30" t="n">
        <v>46258</v>
      </c>
      <c r="H1518" s="22" t="n">
        <v>134924</v>
      </c>
      <c r="I1518" s="22" t="s">
        <v>8718</v>
      </c>
      <c r="J1518" s="31" t="n">
        <v>27.5</v>
      </c>
      <c r="K1518" s="26" t="n">
        <v>501.86</v>
      </c>
      <c r="L1518" s="26" t="n">
        <v>125.29</v>
      </c>
      <c r="M1518" s="22" t="s">
        <v>4787</v>
      </c>
      <c r="N1518" s="22" t="n">
        <f aca="false">MATCH(M1518,'Tabela Passaro'!$A$2:$A$1795,0)</f>
        <v>1145</v>
      </c>
      <c r="O1518" s="22" t="str">
        <f aca="false">INDEX('Tabela Passaro'!$C$2:$C$1795,$N1518)</f>
        <v>CAMARAGIBE</v>
      </c>
      <c r="P1518" s="22" t="str">
        <f aca="false">INDEX('Tabela Passaro'!$B$2:$B$1795,$N1518)</f>
        <v>PE</v>
      </c>
      <c r="Q1518" s="22" t="n">
        <f aca="false">INDEX('Tabela Passaro'!$F$2:$F$1795,$N1518)</f>
        <v>8</v>
      </c>
      <c r="R1518" s="32" t="n">
        <f aca="false">IF(J1518&lt;=10,INDEX('Tabela Passaro'!$G$2:$G$1795,$N1518),IF(J1518&lt;=30,INDEX('Tabela Passaro'!$H$2:$H$1795,$N1518),IF(J1518&lt;=50,INDEX('Tabela Passaro'!$I$2:$I$1795,$N1518),IF(J1518&lt;=70,INDEX('Tabela Passaro'!$J$2:$J$1795,$N1518),IF(J1518&lt;=100,INDEX('Tabela Passaro'!$K$2:$K$1795,$N1518),INDEX('Tabela Passaro'!$K$2:$K$1795,$N1518)+(J1518-100)*INDEX('Tabela Passaro'!$L$2:$L$1795,$N1518))))))</f>
        <v>66.55</v>
      </c>
      <c r="S1518" s="32" t="n">
        <f aca="false">K1518*INDEX('Tabela Passaro'!$M$2:$M$1795,$N1518)</f>
        <v>2.5093</v>
      </c>
      <c r="T1518" s="32" t="n">
        <f aca="false">K1518*INDEX('Tabela Passaro'!$N$2:$N$1795,$N1518)</f>
        <v>1.00372</v>
      </c>
      <c r="U1518" s="32" t="n">
        <f aca="false">INDEX('Tabela Passaro'!$O$2:$O$1795,$N1518)</f>
        <v>5</v>
      </c>
      <c r="V1518" s="32" t="n">
        <f aca="false">ROUNDUP(J1518/INDEX('Tabela Passaro'!$Q$2:$Q$1795,$N1518),0)*INDEX('Tabela Passaro'!$P$2:$P$1795,$N1518)</f>
        <v>5</v>
      </c>
      <c r="W1518" s="32" t="n">
        <f aca="false">INDEX('Tabela Passaro'!$R$2:$R$1795,$N1518)</f>
        <v>30</v>
      </c>
      <c r="X1518" s="32" t="n">
        <f aca="false">ROUNDUP(J1518/INDEX('Tabela Passaro'!$T$2:$T$1795,$N1518),0)*INDEX('Tabela Passaro'!$S$2:$S$1795,$N1518)</f>
        <v>0</v>
      </c>
      <c r="Y1518" s="32" t="n">
        <f aca="false">INDEX('Tabela Passaro'!$U$2:$U$1795,$N1518)</f>
        <v>0</v>
      </c>
      <c r="Z1518" s="32" t="n">
        <f aca="false">INDEX('Tabela Passaro'!$V$2:$V$1795,$N1518)</f>
        <v>0</v>
      </c>
      <c r="AA1518" s="32" t="n">
        <f aca="false">SUM(R1518:Z1518)</f>
        <v>110.06302</v>
      </c>
      <c r="AB1518" s="33" t="n">
        <f aca="false">INDEX(Premissas!$B$5:$B$13,MATCH(A1518,Premissas!$A$5:$A$13,0))</f>
        <v>0.07</v>
      </c>
      <c r="AC1518" s="32" t="n">
        <f aca="false">AA1518/(1-AB1518)-AA1518</f>
        <v>8.28431333333334</v>
      </c>
      <c r="AD1518" s="32" t="n">
        <f aca="false">ROUND(AA1518+AC1518,2)</f>
        <v>118.35</v>
      </c>
      <c r="AE1518" s="32" t="n">
        <f aca="false">AD1518-L1518</f>
        <v>-6.94000000000001</v>
      </c>
      <c r="AF1518" s="34" t="n">
        <f aca="false">IF(L1518=0,0,AE1518/L1518)</f>
        <v>-0.0553914917391652</v>
      </c>
      <c r="AG1518" s="22" t="str">
        <f aca="false">IF(AD1518&lt;L1518,"PASSARO","ATUAL")</f>
        <v>PASSARO</v>
      </c>
      <c r="AH1518" s="22" t="str">
        <f aca="false">IF(P1518&lt;&gt;A1518,"Faixa cadastrada como "&amp;P1518&amp;" na tabela; preço aplicado pela UF do CEP","")</f>
        <v/>
      </c>
      <c r="AI1518" s="26" t="n">
        <v>142.44</v>
      </c>
      <c r="AJ1518" s="22" t="str">
        <f aca="false">INDEX('Tabela Passaro'!$X$2:$X$1795,$N1518)</f>
        <v>CAPITAL</v>
      </c>
    </row>
    <row r="1519" customFormat="false" ht="15" hidden="false" customHeight="false" outlineLevel="0" collapsed="false">
      <c r="A1519" s="22" t="s">
        <v>20</v>
      </c>
      <c r="B1519" s="22" t="n">
        <v>8</v>
      </c>
      <c r="C1519" s="22" t="s">
        <v>161</v>
      </c>
      <c r="D1519" s="22" t="s">
        <v>30</v>
      </c>
      <c r="E1519" s="22" t="s">
        <v>20</v>
      </c>
      <c r="F1519" s="22" t="n">
        <v>840170</v>
      </c>
      <c r="G1519" s="30" t="n">
        <v>46260</v>
      </c>
      <c r="H1519" s="22" t="n">
        <v>32717</v>
      </c>
      <c r="I1519" s="22" t="s">
        <v>8719</v>
      </c>
      <c r="J1519" s="31" t="n">
        <v>59.8</v>
      </c>
      <c r="K1519" s="26" t="n">
        <v>921.16</v>
      </c>
      <c r="L1519" s="26" t="n">
        <v>132.84</v>
      </c>
      <c r="M1519" s="22" t="s">
        <v>4787</v>
      </c>
      <c r="N1519" s="22" t="n">
        <f aca="false">MATCH(M1519,'Tabela Passaro'!$A$2:$A$1795,0)</f>
        <v>1145</v>
      </c>
      <c r="O1519" s="22" t="str">
        <f aca="false">INDEX('Tabela Passaro'!$C$2:$C$1795,$N1519)</f>
        <v>CAMARAGIBE</v>
      </c>
      <c r="P1519" s="22" t="str">
        <f aca="false">INDEX('Tabela Passaro'!$B$2:$B$1795,$N1519)</f>
        <v>PE</v>
      </c>
      <c r="Q1519" s="22" t="n">
        <f aca="false">INDEX('Tabela Passaro'!$F$2:$F$1795,$N1519)</f>
        <v>8</v>
      </c>
      <c r="R1519" s="32" t="n">
        <f aca="false">IF(J1519&lt;=10,INDEX('Tabela Passaro'!$G$2:$G$1795,$N1519),IF(J1519&lt;=30,INDEX('Tabela Passaro'!$H$2:$H$1795,$N1519),IF(J1519&lt;=50,INDEX('Tabela Passaro'!$I$2:$I$1795,$N1519),IF(J1519&lt;=70,INDEX('Tabela Passaro'!$J$2:$J$1795,$N1519),IF(J1519&lt;=100,INDEX('Tabela Passaro'!$K$2:$K$1795,$N1519),INDEX('Tabela Passaro'!$K$2:$K$1795,$N1519)+(J1519-100)*INDEX('Tabela Passaro'!$L$2:$L$1795,$N1519))))))</f>
        <v>99.61</v>
      </c>
      <c r="S1519" s="32" t="n">
        <f aca="false">K1519*INDEX('Tabela Passaro'!$M$2:$M$1795,$N1519)</f>
        <v>4.6058</v>
      </c>
      <c r="T1519" s="32" t="n">
        <f aca="false">K1519*INDEX('Tabela Passaro'!$N$2:$N$1795,$N1519)</f>
        <v>1.84232</v>
      </c>
      <c r="U1519" s="32" t="n">
        <f aca="false">INDEX('Tabela Passaro'!$O$2:$O$1795,$N1519)</f>
        <v>5</v>
      </c>
      <c r="V1519" s="32" t="n">
        <f aca="false">ROUNDUP(J1519/INDEX('Tabela Passaro'!$Q$2:$Q$1795,$N1519),0)*INDEX('Tabela Passaro'!$P$2:$P$1795,$N1519)</f>
        <v>5</v>
      </c>
      <c r="W1519" s="32" t="n">
        <f aca="false">INDEX('Tabela Passaro'!$R$2:$R$1795,$N1519)</f>
        <v>30</v>
      </c>
      <c r="X1519" s="32" t="n">
        <f aca="false">ROUNDUP(J1519/INDEX('Tabela Passaro'!$T$2:$T$1795,$N1519),0)*INDEX('Tabela Passaro'!$S$2:$S$1795,$N1519)</f>
        <v>0</v>
      </c>
      <c r="Y1519" s="32" t="n">
        <f aca="false">INDEX('Tabela Passaro'!$U$2:$U$1795,$N1519)</f>
        <v>0</v>
      </c>
      <c r="Z1519" s="32" t="n">
        <f aca="false">INDEX('Tabela Passaro'!$V$2:$V$1795,$N1519)</f>
        <v>0</v>
      </c>
      <c r="AA1519" s="32" t="n">
        <f aca="false">SUM(R1519:Z1519)</f>
        <v>146.05812</v>
      </c>
      <c r="AB1519" s="33" t="n">
        <f aca="false">INDEX(Premissas!$B$5:$B$13,MATCH(A1519,Premissas!$A$5:$A$13,0))</f>
        <v>0.07</v>
      </c>
      <c r="AC1519" s="32" t="n">
        <f aca="false">AA1519/(1-AB1519)-AA1519</f>
        <v>10.9936219354839</v>
      </c>
      <c r="AD1519" s="32" t="n">
        <f aca="false">ROUND(AA1519+AC1519,2)</f>
        <v>157.05</v>
      </c>
      <c r="AE1519" s="32" t="n">
        <f aca="false">AD1519-L1519</f>
        <v>24.21</v>
      </c>
      <c r="AF1519" s="34" t="n">
        <f aca="false">IF(L1519=0,0,AE1519/L1519)</f>
        <v>0.182249322493225</v>
      </c>
      <c r="AG1519" s="22" t="str">
        <f aca="false">IF(AD1519&lt;L1519,"PASSARO","ATUAL")</f>
        <v>ATUAL</v>
      </c>
      <c r="AH1519" s="22" t="str">
        <f aca="false">IF(P1519&lt;&gt;A1519,"Faixa cadastrada como "&amp;P1519&amp;" na tabela; preço aplicado pela UF do CEP","")</f>
        <v/>
      </c>
      <c r="AI1519" s="26" t="n">
        <v>199.56</v>
      </c>
      <c r="AJ1519" s="22" t="str">
        <f aca="false">INDEX('Tabela Passaro'!$X$2:$X$1795,$N1519)</f>
        <v>CAPITAL</v>
      </c>
    </row>
    <row r="1520" customFormat="false" ht="15" hidden="false" customHeight="false" outlineLevel="0" collapsed="false">
      <c r="A1520" s="22" t="s">
        <v>20</v>
      </c>
      <c r="B1520" s="22" t="n">
        <v>8</v>
      </c>
      <c r="C1520" s="22" t="s">
        <v>161</v>
      </c>
      <c r="D1520" s="22" t="s">
        <v>30</v>
      </c>
      <c r="E1520" s="22" t="s">
        <v>7328</v>
      </c>
      <c r="F1520" s="22" t="n">
        <v>2316577</v>
      </c>
      <c r="G1520" s="30" t="n">
        <v>46260</v>
      </c>
      <c r="H1520" s="22" t="n">
        <v>135886</v>
      </c>
      <c r="I1520" s="22" t="s">
        <v>8720</v>
      </c>
      <c r="J1520" s="31" t="n">
        <v>69.11</v>
      </c>
      <c r="K1520" s="26" t="n">
        <v>975.98</v>
      </c>
      <c r="L1520" s="26" t="n">
        <v>210.28</v>
      </c>
      <c r="M1520" s="22" t="s">
        <v>4787</v>
      </c>
      <c r="N1520" s="22" t="n">
        <f aca="false">MATCH(M1520,'Tabela Passaro'!$A$2:$A$1795,0)</f>
        <v>1145</v>
      </c>
      <c r="O1520" s="22" t="str">
        <f aca="false">INDEX('Tabela Passaro'!$C$2:$C$1795,$N1520)</f>
        <v>CAMARAGIBE</v>
      </c>
      <c r="P1520" s="22" t="str">
        <f aca="false">INDEX('Tabela Passaro'!$B$2:$B$1795,$N1520)</f>
        <v>PE</v>
      </c>
      <c r="Q1520" s="22" t="n">
        <f aca="false">INDEX('Tabela Passaro'!$F$2:$F$1795,$N1520)</f>
        <v>8</v>
      </c>
      <c r="R1520" s="32" t="n">
        <f aca="false">IF(J1520&lt;=10,INDEX('Tabela Passaro'!$G$2:$G$1795,$N1520),IF(J1520&lt;=30,INDEX('Tabela Passaro'!$H$2:$H$1795,$N1520),IF(J1520&lt;=50,INDEX('Tabela Passaro'!$I$2:$I$1795,$N1520),IF(J1520&lt;=70,INDEX('Tabela Passaro'!$J$2:$J$1795,$N1520),IF(J1520&lt;=100,INDEX('Tabela Passaro'!$K$2:$K$1795,$N1520),INDEX('Tabela Passaro'!$K$2:$K$1795,$N1520)+(J1520-100)*INDEX('Tabela Passaro'!$L$2:$L$1795,$N1520))))))</f>
        <v>99.61</v>
      </c>
      <c r="S1520" s="32" t="n">
        <f aca="false">K1520*INDEX('Tabela Passaro'!$M$2:$M$1795,$N1520)</f>
        <v>4.8799</v>
      </c>
      <c r="T1520" s="32" t="n">
        <f aca="false">K1520*INDEX('Tabela Passaro'!$N$2:$N$1795,$N1520)</f>
        <v>1.95196</v>
      </c>
      <c r="U1520" s="32" t="n">
        <f aca="false">INDEX('Tabela Passaro'!$O$2:$O$1795,$N1520)</f>
        <v>5</v>
      </c>
      <c r="V1520" s="32" t="n">
        <f aca="false">ROUNDUP(J1520/INDEX('Tabela Passaro'!$Q$2:$Q$1795,$N1520),0)*INDEX('Tabela Passaro'!$P$2:$P$1795,$N1520)</f>
        <v>5</v>
      </c>
      <c r="W1520" s="32" t="n">
        <f aca="false">INDEX('Tabela Passaro'!$R$2:$R$1795,$N1520)</f>
        <v>30</v>
      </c>
      <c r="X1520" s="32" t="n">
        <f aca="false">ROUNDUP(J1520/INDEX('Tabela Passaro'!$T$2:$T$1795,$N1520),0)*INDEX('Tabela Passaro'!$S$2:$S$1795,$N1520)</f>
        <v>0</v>
      </c>
      <c r="Y1520" s="32" t="n">
        <f aca="false">INDEX('Tabela Passaro'!$U$2:$U$1795,$N1520)</f>
        <v>0</v>
      </c>
      <c r="Z1520" s="32" t="n">
        <f aca="false">INDEX('Tabela Passaro'!$V$2:$V$1795,$N1520)</f>
        <v>0</v>
      </c>
      <c r="AA1520" s="32" t="n">
        <f aca="false">SUM(R1520:Z1520)</f>
        <v>146.44186</v>
      </c>
      <c r="AB1520" s="33" t="n">
        <f aca="false">INDEX(Premissas!$B$5:$B$13,MATCH(A1520,Premissas!$A$5:$A$13,0))</f>
        <v>0.07</v>
      </c>
      <c r="AC1520" s="32" t="n">
        <f aca="false">AA1520/(1-AB1520)-AA1520</f>
        <v>11.0225055913979</v>
      </c>
      <c r="AD1520" s="32" t="n">
        <f aca="false">ROUND(AA1520+AC1520,2)</f>
        <v>157.46</v>
      </c>
      <c r="AE1520" s="32" t="n">
        <f aca="false">AD1520-L1520</f>
        <v>-52.82</v>
      </c>
      <c r="AF1520" s="34" t="n">
        <f aca="false">IF(L1520=0,0,AE1520/L1520)</f>
        <v>-0.251188891002473</v>
      </c>
      <c r="AG1520" s="22" t="str">
        <f aca="false">IF(AD1520&lt;L1520,"PASSARO","ATUAL")</f>
        <v>PASSARO</v>
      </c>
      <c r="AH1520" s="22" t="str">
        <f aca="false">IF(P1520&lt;&gt;A1520,"Faixa cadastrada como "&amp;P1520&amp;" na tabela; preço aplicado pela UF do CEP","")</f>
        <v/>
      </c>
      <c r="AI1520" s="26" t="n">
        <v>204.93</v>
      </c>
      <c r="AJ1520" s="22" t="str">
        <f aca="false">INDEX('Tabela Passaro'!$X$2:$X$1795,$N1520)</f>
        <v>CAPITAL</v>
      </c>
    </row>
    <row r="1521" customFormat="false" ht="15" hidden="false" customHeight="false" outlineLevel="0" collapsed="false">
      <c r="A1521" s="22" t="s">
        <v>20</v>
      </c>
      <c r="B1521" s="22" t="n">
        <v>8</v>
      </c>
      <c r="C1521" s="22" t="s">
        <v>161</v>
      </c>
      <c r="D1521" s="22" t="s">
        <v>30</v>
      </c>
      <c r="E1521" s="22" t="s">
        <v>20</v>
      </c>
      <c r="F1521" s="22" t="n">
        <v>840663</v>
      </c>
      <c r="G1521" s="30" t="n">
        <v>46265</v>
      </c>
      <c r="H1521" s="22" t="n">
        <v>32867</v>
      </c>
      <c r="I1521" s="22" t="s">
        <v>8721</v>
      </c>
      <c r="J1521" s="31" t="n">
        <v>66.8</v>
      </c>
      <c r="K1521" s="26" t="n">
        <v>929.98</v>
      </c>
      <c r="L1521" s="26" t="n">
        <v>132.9</v>
      </c>
      <c r="M1521" s="22" t="s">
        <v>4787</v>
      </c>
      <c r="N1521" s="22" t="n">
        <f aca="false">MATCH(M1521,'Tabela Passaro'!$A$2:$A$1795,0)</f>
        <v>1145</v>
      </c>
      <c r="O1521" s="22" t="str">
        <f aca="false">INDEX('Tabela Passaro'!$C$2:$C$1795,$N1521)</f>
        <v>CAMARAGIBE</v>
      </c>
      <c r="P1521" s="22" t="str">
        <f aca="false">INDEX('Tabela Passaro'!$B$2:$B$1795,$N1521)</f>
        <v>PE</v>
      </c>
      <c r="Q1521" s="22" t="n">
        <f aca="false">INDEX('Tabela Passaro'!$F$2:$F$1795,$N1521)</f>
        <v>8</v>
      </c>
      <c r="R1521" s="32" t="n">
        <f aca="false">IF(J1521&lt;=10,INDEX('Tabela Passaro'!$G$2:$G$1795,$N1521),IF(J1521&lt;=30,INDEX('Tabela Passaro'!$H$2:$H$1795,$N1521),IF(J1521&lt;=50,INDEX('Tabela Passaro'!$I$2:$I$1795,$N1521),IF(J1521&lt;=70,INDEX('Tabela Passaro'!$J$2:$J$1795,$N1521),IF(J1521&lt;=100,INDEX('Tabela Passaro'!$K$2:$K$1795,$N1521),INDEX('Tabela Passaro'!$K$2:$K$1795,$N1521)+(J1521-100)*INDEX('Tabela Passaro'!$L$2:$L$1795,$N1521))))))</f>
        <v>99.61</v>
      </c>
      <c r="S1521" s="32" t="n">
        <f aca="false">K1521*INDEX('Tabela Passaro'!$M$2:$M$1795,$N1521)</f>
        <v>4.6499</v>
      </c>
      <c r="T1521" s="32" t="n">
        <f aca="false">K1521*INDEX('Tabela Passaro'!$N$2:$N$1795,$N1521)</f>
        <v>1.85996</v>
      </c>
      <c r="U1521" s="32" t="n">
        <f aca="false">INDEX('Tabela Passaro'!$O$2:$O$1795,$N1521)</f>
        <v>5</v>
      </c>
      <c r="V1521" s="32" t="n">
        <f aca="false">ROUNDUP(J1521/INDEX('Tabela Passaro'!$Q$2:$Q$1795,$N1521),0)*INDEX('Tabela Passaro'!$P$2:$P$1795,$N1521)</f>
        <v>5</v>
      </c>
      <c r="W1521" s="32" t="n">
        <f aca="false">INDEX('Tabela Passaro'!$R$2:$R$1795,$N1521)</f>
        <v>30</v>
      </c>
      <c r="X1521" s="32" t="n">
        <f aca="false">ROUNDUP(J1521/INDEX('Tabela Passaro'!$T$2:$T$1795,$N1521),0)*INDEX('Tabela Passaro'!$S$2:$S$1795,$N1521)</f>
        <v>0</v>
      </c>
      <c r="Y1521" s="32" t="n">
        <f aca="false">INDEX('Tabela Passaro'!$U$2:$U$1795,$N1521)</f>
        <v>0</v>
      </c>
      <c r="Z1521" s="32" t="n">
        <f aca="false">INDEX('Tabela Passaro'!$V$2:$V$1795,$N1521)</f>
        <v>0</v>
      </c>
      <c r="AA1521" s="32" t="n">
        <f aca="false">SUM(R1521:Z1521)</f>
        <v>146.11986</v>
      </c>
      <c r="AB1521" s="33" t="n">
        <f aca="false">INDEX(Premissas!$B$5:$B$13,MATCH(A1521,Premissas!$A$5:$A$13,0))</f>
        <v>0.07</v>
      </c>
      <c r="AC1521" s="32" t="n">
        <f aca="false">AA1521/(1-AB1521)-AA1521</f>
        <v>10.9982690322581</v>
      </c>
      <c r="AD1521" s="32" t="n">
        <f aca="false">ROUND(AA1521+AC1521,2)</f>
        <v>157.12</v>
      </c>
      <c r="AE1521" s="32" t="n">
        <f aca="false">AD1521-L1521</f>
        <v>24.22</v>
      </c>
      <c r="AF1521" s="34" t="n">
        <f aca="false">IF(L1521=0,0,AE1521/L1521)</f>
        <v>0.182242287434161</v>
      </c>
      <c r="AG1521" s="22" t="str">
        <f aca="false">IF(AD1521&lt;L1521,"PASSARO","ATUAL")</f>
        <v>ATUAL</v>
      </c>
      <c r="AH1521" s="22" t="str">
        <f aca="false">IF(P1521&lt;&gt;A1521,"Faixa cadastrada como "&amp;P1521&amp;" na tabela; preço aplicado pela UF do CEP","")</f>
        <v/>
      </c>
      <c r="AI1521" s="26" t="n">
        <v>203.03</v>
      </c>
      <c r="AJ1521" s="22" t="str">
        <f aca="false">INDEX('Tabela Passaro'!$X$2:$X$1795,$N1521)</f>
        <v>CAPITAL</v>
      </c>
    </row>
    <row r="1522" customFormat="false" ht="15" hidden="false" customHeight="false" outlineLevel="0" collapsed="false">
      <c r="A1522" s="22" t="s">
        <v>20</v>
      </c>
      <c r="B1522" s="22" t="n">
        <v>8</v>
      </c>
      <c r="C1522" s="22" t="s">
        <v>161</v>
      </c>
      <c r="D1522" s="22" t="s">
        <v>34</v>
      </c>
      <c r="E1522" s="22" t="s">
        <v>7399</v>
      </c>
      <c r="F1522" s="22" t="n">
        <v>667553</v>
      </c>
      <c r="G1522" s="30" t="n">
        <v>46262</v>
      </c>
      <c r="H1522" s="22" t="n">
        <v>8649</v>
      </c>
      <c r="I1522" s="22" t="s">
        <v>8722</v>
      </c>
      <c r="J1522" s="31" t="n">
        <v>73.3</v>
      </c>
      <c r="K1522" s="26" t="n">
        <v>1214.02</v>
      </c>
      <c r="L1522" s="26" t="n">
        <v>234.2</v>
      </c>
      <c r="M1522" s="22" t="s">
        <v>4787</v>
      </c>
      <c r="N1522" s="22" t="n">
        <f aca="false">MATCH(M1522,'Tabela Passaro'!$A$2:$A$1795,0)</f>
        <v>1145</v>
      </c>
      <c r="O1522" s="22" t="str">
        <f aca="false">INDEX('Tabela Passaro'!$C$2:$C$1795,$N1522)</f>
        <v>CAMARAGIBE</v>
      </c>
      <c r="P1522" s="22" t="str">
        <f aca="false">INDEX('Tabela Passaro'!$B$2:$B$1795,$N1522)</f>
        <v>PE</v>
      </c>
      <c r="Q1522" s="22" t="n">
        <f aca="false">INDEX('Tabela Passaro'!$F$2:$F$1795,$N1522)</f>
        <v>8</v>
      </c>
      <c r="R1522" s="32" t="n">
        <f aca="false">IF(J1522&lt;=10,INDEX('Tabela Passaro'!$G$2:$G$1795,$N1522),IF(J1522&lt;=30,INDEX('Tabela Passaro'!$H$2:$H$1795,$N1522),IF(J1522&lt;=50,INDEX('Tabela Passaro'!$I$2:$I$1795,$N1522),IF(J1522&lt;=70,INDEX('Tabela Passaro'!$J$2:$J$1795,$N1522),IF(J1522&lt;=100,INDEX('Tabela Passaro'!$K$2:$K$1795,$N1522),INDEX('Tabela Passaro'!$K$2:$K$1795,$N1522)+(J1522-100)*INDEX('Tabela Passaro'!$L$2:$L$1795,$N1522))))))</f>
        <v>116.14</v>
      </c>
      <c r="S1522" s="32" t="n">
        <f aca="false">K1522*INDEX('Tabela Passaro'!$M$2:$M$1795,$N1522)</f>
        <v>6.0701</v>
      </c>
      <c r="T1522" s="32" t="n">
        <f aca="false">K1522*INDEX('Tabela Passaro'!$N$2:$N$1795,$N1522)</f>
        <v>2.42804</v>
      </c>
      <c r="U1522" s="32" t="n">
        <f aca="false">INDEX('Tabela Passaro'!$O$2:$O$1795,$N1522)</f>
        <v>5</v>
      </c>
      <c r="V1522" s="32" t="n">
        <f aca="false">ROUNDUP(J1522/INDEX('Tabela Passaro'!$Q$2:$Q$1795,$N1522),0)*INDEX('Tabela Passaro'!$P$2:$P$1795,$N1522)</f>
        <v>5</v>
      </c>
      <c r="W1522" s="32" t="n">
        <f aca="false">INDEX('Tabela Passaro'!$R$2:$R$1795,$N1522)</f>
        <v>30</v>
      </c>
      <c r="X1522" s="32" t="n">
        <f aca="false">ROUNDUP(J1522/INDEX('Tabela Passaro'!$T$2:$T$1795,$N1522),0)*INDEX('Tabela Passaro'!$S$2:$S$1795,$N1522)</f>
        <v>0</v>
      </c>
      <c r="Y1522" s="32" t="n">
        <f aca="false">INDEX('Tabela Passaro'!$U$2:$U$1795,$N1522)</f>
        <v>0</v>
      </c>
      <c r="Z1522" s="32" t="n">
        <f aca="false">INDEX('Tabela Passaro'!$V$2:$V$1795,$N1522)</f>
        <v>0</v>
      </c>
      <c r="AA1522" s="32" t="n">
        <f aca="false">SUM(R1522:Z1522)</f>
        <v>164.63814</v>
      </c>
      <c r="AB1522" s="33" t="n">
        <f aca="false">INDEX(Premissas!$B$5:$B$13,MATCH(A1522,Premissas!$A$5:$A$13,0))</f>
        <v>0.07</v>
      </c>
      <c r="AC1522" s="32" t="n">
        <f aca="false">AA1522/(1-AB1522)-AA1522</f>
        <v>12.3921180645162</v>
      </c>
      <c r="AD1522" s="32" t="n">
        <f aca="false">ROUND(AA1522+AC1522,2)</f>
        <v>177.03</v>
      </c>
      <c r="AE1522" s="32" t="n">
        <f aca="false">AD1522-L1522</f>
        <v>-57.17</v>
      </c>
      <c r="AF1522" s="34" t="n">
        <f aca="false">IF(L1522=0,0,AE1522/L1522)</f>
        <v>-0.244107600341588</v>
      </c>
      <c r="AG1522" s="22" t="str">
        <f aca="false">IF(AD1522&lt;L1522,"PASSARO","ATUAL")</f>
        <v>PASSARO</v>
      </c>
      <c r="AH1522" s="22" t="str">
        <f aca="false">IF(P1522&lt;&gt;A1522,"Faixa cadastrada como "&amp;P1522&amp;" na tabela; preço aplicado pela UF do CEP","")</f>
        <v/>
      </c>
      <c r="AI1522" s="26" t="n">
        <v>227.95</v>
      </c>
      <c r="AJ1522" s="22" t="str">
        <f aca="false">INDEX('Tabela Passaro'!$X$2:$X$1795,$N1522)</f>
        <v>CAPITAL</v>
      </c>
    </row>
    <row r="1523" customFormat="false" ht="15" hidden="false" customHeight="false" outlineLevel="0" collapsed="false">
      <c r="A1523" s="22" t="s">
        <v>20</v>
      </c>
      <c r="B1523" s="22" t="n">
        <v>8</v>
      </c>
      <c r="C1523" s="22" t="s">
        <v>161</v>
      </c>
      <c r="D1523" s="22" t="s">
        <v>31</v>
      </c>
      <c r="E1523" s="22" t="s">
        <v>7326</v>
      </c>
      <c r="F1523" s="22" t="n">
        <v>12730875</v>
      </c>
      <c r="G1523" s="30" t="n">
        <v>46238</v>
      </c>
      <c r="H1523" s="22" t="n">
        <v>620310</v>
      </c>
      <c r="I1523" s="22" t="s">
        <v>8723</v>
      </c>
      <c r="J1523" s="31" t="n">
        <v>20.8</v>
      </c>
      <c r="K1523" s="26" t="n">
        <v>502.3</v>
      </c>
      <c r="L1523" s="26" t="n">
        <v>97.75</v>
      </c>
      <c r="M1523" s="22" t="s">
        <v>4787</v>
      </c>
      <c r="N1523" s="22" t="n">
        <f aca="false">MATCH(M1523,'Tabela Passaro'!$A$2:$A$1795,0)</f>
        <v>1145</v>
      </c>
      <c r="O1523" s="22" t="str">
        <f aca="false">INDEX('Tabela Passaro'!$C$2:$C$1795,$N1523)</f>
        <v>CAMARAGIBE</v>
      </c>
      <c r="P1523" s="22" t="str">
        <f aca="false">INDEX('Tabela Passaro'!$B$2:$B$1795,$N1523)</f>
        <v>PE</v>
      </c>
      <c r="Q1523" s="22" t="n">
        <f aca="false">INDEX('Tabela Passaro'!$F$2:$F$1795,$N1523)</f>
        <v>8</v>
      </c>
      <c r="R1523" s="32" t="n">
        <f aca="false">IF(J1523&lt;=10,INDEX('Tabela Passaro'!$G$2:$G$1795,$N1523),IF(J1523&lt;=30,INDEX('Tabela Passaro'!$H$2:$H$1795,$N1523),IF(J1523&lt;=50,INDEX('Tabela Passaro'!$I$2:$I$1795,$N1523),IF(J1523&lt;=70,INDEX('Tabela Passaro'!$J$2:$J$1795,$N1523),IF(J1523&lt;=100,INDEX('Tabela Passaro'!$K$2:$K$1795,$N1523),INDEX('Tabela Passaro'!$K$2:$K$1795,$N1523)+(J1523-100)*INDEX('Tabela Passaro'!$L$2:$L$1795,$N1523))))))</f>
        <v>66.55</v>
      </c>
      <c r="S1523" s="32" t="n">
        <f aca="false">K1523*INDEX('Tabela Passaro'!$M$2:$M$1795,$N1523)</f>
        <v>2.5115</v>
      </c>
      <c r="T1523" s="32" t="n">
        <f aca="false">K1523*INDEX('Tabela Passaro'!$N$2:$N$1795,$N1523)</f>
        <v>1.0046</v>
      </c>
      <c r="U1523" s="32" t="n">
        <f aca="false">INDEX('Tabela Passaro'!$O$2:$O$1795,$N1523)</f>
        <v>5</v>
      </c>
      <c r="V1523" s="32" t="n">
        <f aca="false">ROUNDUP(J1523/INDEX('Tabela Passaro'!$Q$2:$Q$1795,$N1523),0)*INDEX('Tabela Passaro'!$P$2:$P$1795,$N1523)</f>
        <v>5</v>
      </c>
      <c r="W1523" s="32" t="n">
        <f aca="false">INDEX('Tabela Passaro'!$R$2:$R$1795,$N1523)</f>
        <v>30</v>
      </c>
      <c r="X1523" s="32" t="n">
        <f aca="false">ROUNDUP(J1523/INDEX('Tabela Passaro'!$T$2:$T$1795,$N1523),0)*INDEX('Tabela Passaro'!$S$2:$S$1795,$N1523)</f>
        <v>0</v>
      </c>
      <c r="Y1523" s="32" t="n">
        <f aca="false">INDEX('Tabela Passaro'!$U$2:$U$1795,$N1523)</f>
        <v>0</v>
      </c>
      <c r="Z1523" s="32" t="n">
        <f aca="false">INDEX('Tabela Passaro'!$V$2:$V$1795,$N1523)</f>
        <v>0</v>
      </c>
      <c r="AA1523" s="32" t="n">
        <f aca="false">SUM(R1523:Z1523)</f>
        <v>110.0661</v>
      </c>
      <c r="AB1523" s="33" t="n">
        <f aca="false">INDEX(Premissas!$B$5:$B$13,MATCH(A1523,Premissas!$A$5:$A$13,0))</f>
        <v>0.07</v>
      </c>
      <c r="AC1523" s="32" t="n">
        <f aca="false">AA1523/(1-AB1523)-AA1523</f>
        <v>8.28454516129033</v>
      </c>
      <c r="AD1523" s="32" t="n">
        <f aca="false">ROUND(AA1523+AC1523,2)</f>
        <v>118.35</v>
      </c>
      <c r="AE1523" s="32" t="n">
        <f aca="false">AD1523-L1523</f>
        <v>20.6</v>
      </c>
      <c r="AF1523" s="34" t="n">
        <f aca="false">IF(L1523=0,0,AE1523/L1523)</f>
        <v>0.21074168797954</v>
      </c>
      <c r="AG1523" s="22" t="str">
        <f aca="false">IF(AD1523&lt;L1523,"PASSARO","ATUAL")</f>
        <v>ATUAL</v>
      </c>
      <c r="AH1523" s="22" t="str">
        <f aca="false">IF(P1523&lt;&gt;A1523,"Faixa cadastrada como "&amp;P1523&amp;" na tabela; preço aplicado pela UF do CEP","")</f>
        <v/>
      </c>
      <c r="AI1523" s="26" t="n">
        <v>139.05</v>
      </c>
      <c r="AJ1523" s="22" t="str">
        <f aca="false">INDEX('Tabela Passaro'!$X$2:$X$1795,$N1523)</f>
        <v>CAPITAL</v>
      </c>
    </row>
    <row r="1524" customFormat="false" ht="15" hidden="false" customHeight="false" outlineLevel="0" collapsed="false">
      <c r="A1524" s="22" t="s">
        <v>20</v>
      </c>
      <c r="B1524" s="22" t="n">
        <v>8</v>
      </c>
      <c r="C1524" s="22" t="s">
        <v>161</v>
      </c>
      <c r="D1524" s="22" t="s">
        <v>31</v>
      </c>
      <c r="E1524" s="22" t="s">
        <v>7326</v>
      </c>
      <c r="F1524" s="22" t="n">
        <v>12782135</v>
      </c>
      <c r="G1524" s="30" t="n">
        <v>46247</v>
      </c>
      <c r="H1524" s="22" t="n">
        <v>624439</v>
      </c>
      <c r="I1524" s="22" t="s">
        <v>8724</v>
      </c>
      <c r="J1524" s="31" t="n">
        <v>19.4</v>
      </c>
      <c r="K1524" s="26" t="n">
        <v>460.98</v>
      </c>
      <c r="L1524" s="26" t="n">
        <v>96.75</v>
      </c>
      <c r="M1524" s="22" t="s">
        <v>4787</v>
      </c>
      <c r="N1524" s="22" t="n">
        <f aca="false">MATCH(M1524,'Tabela Passaro'!$A$2:$A$1795,0)</f>
        <v>1145</v>
      </c>
      <c r="O1524" s="22" t="str">
        <f aca="false">INDEX('Tabela Passaro'!$C$2:$C$1795,$N1524)</f>
        <v>CAMARAGIBE</v>
      </c>
      <c r="P1524" s="22" t="str">
        <f aca="false">INDEX('Tabela Passaro'!$B$2:$B$1795,$N1524)</f>
        <v>PE</v>
      </c>
      <c r="Q1524" s="22" t="n">
        <f aca="false">INDEX('Tabela Passaro'!$F$2:$F$1795,$N1524)</f>
        <v>8</v>
      </c>
      <c r="R1524" s="32" t="n">
        <f aca="false">IF(J1524&lt;=10,INDEX('Tabela Passaro'!$G$2:$G$1795,$N1524),IF(J1524&lt;=30,INDEX('Tabela Passaro'!$H$2:$H$1795,$N1524),IF(J1524&lt;=50,INDEX('Tabela Passaro'!$I$2:$I$1795,$N1524),IF(J1524&lt;=70,INDEX('Tabela Passaro'!$J$2:$J$1795,$N1524),IF(J1524&lt;=100,INDEX('Tabela Passaro'!$K$2:$K$1795,$N1524),INDEX('Tabela Passaro'!$K$2:$K$1795,$N1524)+(J1524-100)*INDEX('Tabela Passaro'!$L$2:$L$1795,$N1524))))))</f>
        <v>66.55</v>
      </c>
      <c r="S1524" s="32" t="n">
        <f aca="false">K1524*INDEX('Tabela Passaro'!$M$2:$M$1795,$N1524)</f>
        <v>2.3049</v>
      </c>
      <c r="T1524" s="32" t="n">
        <f aca="false">K1524*INDEX('Tabela Passaro'!$N$2:$N$1795,$N1524)</f>
        <v>0.92196</v>
      </c>
      <c r="U1524" s="32" t="n">
        <f aca="false">INDEX('Tabela Passaro'!$O$2:$O$1795,$N1524)</f>
        <v>5</v>
      </c>
      <c r="V1524" s="32" t="n">
        <f aca="false">ROUNDUP(J1524/INDEX('Tabela Passaro'!$Q$2:$Q$1795,$N1524),0)*INDEX('Tabela Passaro'!$P$2:$P$1795,$N1524)</f>
        <v>5</v>
      </c>
      <c r="W1524" s="32" t="n">
        <f aca="false">INDEX('Tabela Passaro'!$R$2:$R$1795,$N1524)</f>
        <v>30</v>
      </c>
      <c r="X1524" s="32" t="n">
        <f aca="false">ROUNDUP(J1524/INDEX('Tabela Passaro'!$T$2:$T$1795,$N1524),0)*INDEX('Tabela Passaro'!$S$2:$S$1795,$N1524)</f>
        <v>0</v>
      </c>
      <c r="Y1524" s="32" t="n">
        <f aca="false">INDEX('Tabela Passaro'!$U$2:$U$1795,$N1524)</f>
        <v>0</v>
      </c>
      <c r="Z1524" s="32" t="n">
        <f aca="false">INDEX('Tabela Passaro'!$V$2:$V$1795,$N1524)</f>
        <v>0</v>
      </c>
      <c r="AA1524" s="32" t="n">
        <f aca="false">SUM(R1524:Z1524)</f>
        <v>109.77686</v>
      </c>
      <c r="AB1524" s="33" t="n">
        <f aca="false">INDEX(Premissas!$B$5:$B$13,MATCH(A1524,Premissas!$A$5:$A$13,0))</f>
        <v>0.07</v>
      </c>
      <c r="AC1524" s="32" t="n">
        <f aca="false">AA1524/(1-AB1524)-AA1524</f>
        <v>8.26277440860216</v>
      </c>
      <c r="AD1524" s="32" t="n">
        <f aca="false">ROUND(AA1524+AC1524,2)</f>
        <v>118.04</v>
      </c>
      <c r="AE1524" s="32" t="n">
        <f aca="false">AD1524-L1524</f>
        <v>21.29</v>
      </c>
      <c r="AF1524" s="34" t="n">
        <f aca="false">IF(L1524=0,0,AE1524/L1524)</f>
        <v>0.220051679586563</v>
      </c>
      <c r="AG1524" s="22" t="str">
        <f aca="false">IF(AD1524&lt;L1524,"PASSARO","ATUAL")</f>
        <v>ATUAL</v>
      </c>
      <c r="AH1524" s="22" t="str">
        <f aca="false">IF(P1524&lt;&gt;A1524,"Faixa cadastrada como "&amp;P1524&amp;" na tabela; preço aplicado pela UF do CEP","")</f>
        <v/>
      </c>
      <c r="AI1524" s="26" t="n">
        <v>138.17</v>
      </c>
      <c r="AJ1524" s="22" t="str">
        <f aca="false">INDEX('Tabela Passaro'!$X$2:$X$1795,$N1524)</f>
        <v>CAPITAL</v>
      </c>
    </row>
    <row r="1525" customFormat="false" ht="15" hidden="false" customHeight="false" outlineLevel="0" collapsed="false">
      <c r="A1525" s="22" t="s">
        <v>20</v>
      </c>
      <c r="B1525" s="22" t="n">
        <v>9</v>
      </c>
      <c r="C1525" s="22" t="s">
        <v>163</v>
      </c>
      <c r="D1525" s="22" t="s">
        <v>30</v>
      </c>
      <c r="E1525" s="22" t="s">
        <v>7326</v>
      </c>
      <c r="F1525" s="22" t="n">
        <v>523083</v>
      </c>
      <c r="G1525" s="30" t="n">
        <v>46241</v>
      </c>
      <c r="H1525" s="22" t="n">
        <v>621572</v>
      </c>
      <c r="I1525" s="22" t="s">
        <v>8725</v>
      </c>
      <c r="J1525" s="31" t="n">
        <v>156.4</v>
      </c>
      <c r="K1525" s="26" t="n">
        <v>2483.98</v>
      </c>
      <c r="L1525" s="26" t="n">
        <v>499.32</v>
      </c>
      <c r="M1525" s="22" t="s">
        <v>5140</v>
      </c>
      <c r="N1525" s="22" t="n">
        <f aca="false">MATCH(M1525,'Tabela Passaro'!$A$2:$A$1795,0)</f>
        <v>1237</v>
      </c>
      <c r="O1525" s="22" t="str">
        <f aca="false">INDEX('Tabela Passaro'!$C$2:$C$1795,$N1525)</f>
        <v>GARANHUNS</v>
      </c>
      <c r="P1525" s="22" t="str">
        <f aca="false">INDEX('Tabela Passaro'!$B$2:$B$1795,$N1525)</f>
        <v>PE</v>
      </c>
      <c r="Q1525" s="22" t="n">
        <f aca="false">INDEX('Tabela Passaro'!$F$2:$F$1795,$N1525)</f>
        <v>13</v>
      </c>
      <c r="R1525" s="32" t="n">
        <f aca="false">IF(J1525&lt;=10,INDEX('Tabela Passaro'!$G$2:$G$1795,$N1525),IF(J1525&lt;=30,INDEX('Tabela Passaro'!$H$2:$H$1795,$N1525),IF(J1525&lt;=50,INDEX('Tabela Passaro'!$I$2:$I$1795,$N1525),IF(J1525&lt;=70,INDEX('Tabela Passaro'!$J$2:$J$1795,$N1525),IF(J1525&lt;=100,INDEX('Tabela Passaro'!$K$2:$K$1795,$N1525),INDEX('Tabela Passaro'!$K$2:$K$1795,$N1525)+(J1525-100)*INDEX('Tabela Passaro'!$L$2:$L$1795,$N1525))))))</f>
        <v>286.294</v>
      </c>
      <c r="S1525" s="32" t="n">
        <f aca="false">K1525*INDEX('Tabela Passaro'!$M$2:$M$1795,$N1525)</f>
        <v>12.4199</v>
      </c>
      <c r="T1525" s="32" t="n">
        <f aca="false">K1525*INDEX('Tabela Passaro'!$N$2:$N$1795,$N1525)</f>
        <v>4.96796</v>
      </c>
      <c r="U1525" s="32" t="n">
        <f aca="false">INDEX('Tabela Passaro'!$O$2:$O$1795,$N1525)</f>
        <v>5</v>
      </c>
      <c r="V1525" s="32" t="n">
        <f aca="false">ROUNDUP(J1525/INDEX('Tabela Passaro'!$Q$2:$Q$1795,$N1525),0)*INDEX('Tabela Passaro'!$P$2:$P$1795,$N1525)</f>
        <v>10</v>
      </c>
      <c r="W1525" s="32" t="n">
        <f aca="false">INDEX('Tabela Passaro'!$R$2:$R$1795,$N1525)</f>
        <v>30</v>
      </c>
      <c r="X1525" s="32" t="n">
        <f aca="false">ROUNDUP(J1525/INDEX('Tabela Passaro'!$T$2:$T$1795,$N1525),0)*INDEX('Tabela Passaro'!$S$2:$S$1795,$N1525)</f>
        <v>0</v>
      </c>
      <c r="Y1525" s="32" t="n">
        <f aca="false">INDEX('Tabela Passaro'!$U$2:$U$1795,$N1525)</f>
        <v>0</v>
      </c>
      <c r="Z1525" s="32" t="n">
        <f aca="false">INDEX('Tabela Passaro'!$V$2:$V$1795,$N1525)</f>
        <v>0</v>
      </c>
      <c r="AA1525" s="32" t="n">
        <f aca="false">SUM(R1525:Z1525)</f>
        <v>348.68186</v>
      </c>
      <c r="AB1525" s="33" t="n">
        <f aca="false">INDEX(Premissas!$B$5:$B$13,MATCH(A1525,Premissas!$A$5:$A$13,0))</f>
        <v>0.07</v>
      </c>
      <c r="AC1525" s="32" t="n">
        <f aca="false">AA1525/(1-AB1525)-AA1525</f>
        <v>26.2448711827957</v>
      </c>
      <c r="AD1525" s="32" t="n">
        <f aca="false">ROUND(AA1525+AC1525,2)</f>
        <v>374.93</v>
      </c>
      <c r="AE1525" s="32" t="n">
        <f aca="false">AD1525-L1525</f>
        <v>-124.39</v>
      </c>
      <c r="AF1525" s="34" t="n">
        <f aca="false">IF(L1525=0,0,AE1525/L1525)</f>
        <v>-0.249118801570135</v>
      </c>
      <c r="AG1525" s="22" t="str">
        <f aca="false">IF(AD1525&lt;L1525,"PASSARO","ATUAL")</f>
        <v>PASSARO</v>
      </c>
      <c r="AH1525" s="22" t="str">
        <f aca="false">IF(P1525&lt;&gt;A1525,"Faixa cadastrada como "&amp;P1525&amp;" na tabela; preço aplicado pela UF do CEP","")</f>
        <v/>
      </c>
      <c r="AI1525" s="26" t="n">
        <v>471.69</v>
      </c>
      <c r="AJ1525" s="22" t="str">
        <f aca="false">INDEX('Tabela Passaro'!$X$2:$X$1795,$N1525)</f>
        <v>INTERIOR 2</v>
      </c>
    </row>
    <row r="1526" customFormat="false" ht="15" hidden="false" customHeight="false" outlineLevel="0" collapsed="false">
      <c r="A1526" s="22" t="s">
        <v>20</v>
      </c>
      <c r="B1526" s="22" t="n">
        <v>9</v>
      </c>
      <c r="C1526" s="22" t="s">
        <v>163</v>
      </c>
      <c r="D1526" s="22" t="s">
        <v>30</v>
      </c>
      <c r="E1526" s="22" t="s">
        <v>7326</v>
      </c>
      <c r="F1526" s="22" t="n">
        <v>523660</v>
      </c>
      <c r="G1526" s="30" t="n">
        <v>46244</v>
      </c>
      <c r="H1526" s="22" t="n">
        <v>621816</v>
      </c>
      <c r="I1526" s="22" t="s">
        <v>8726</v>
      </c>
      <c r="J1526" s="31" t="n">
        <v>107.7</v>
      </c>
      <c r="K1526" s="26" t="n">
        <v>1729.98</v>
      </c>
      <c r="L1526" s="26" t="n">
        <v>405.62</v>
      </c>
      <c r="M1526" s="22" t="s">
        <v>5140</v>
      </c>
      <c r="N1526" s="22" t="n">
        <f aca="false">MATCH(M1526,'Tabela Passaro'!$A$2:$A$1795,0)</f>
        <v>1237</v>
      </c>
      <c r="O1526" s="22" t="str">
        <f aca="false">INDEX('Tabela Passaro'!$C$2:$C$1795,$N1526)</f>
        <v>GARANHUNS</v>
      </c>
      <c r="P1526" s="22" t="str">
        <f aca="false">INDEX('Tabela Passaro'!$B$2:$B$1795,$N1526)</f>
        <v>PE</v>
      </c>
      <c r="Q1526" s="22" t="n">
        <f aca="false">INDEX('Tabela Passaro'!$F$2:$F$1795,$N1526)</f>
        <v>13</v>
      </c>
      <c r="R1526" s="32" t="n">
        <f aca="false">IF(J1526&lt;=10,INDEX('Tabela Passaro'!$G$2:$G$1795,$N1526),IF(J1526&lt;=30,INDEX('Tabela Passaro'!$H$2:$H$1795,$N1526),IF(J1526&lt;=50,INDEX('Tabela Passaro'!$I$2:$I$1795,$N1526),IF(J1526&lt;=70,INDEX('Tabela Passaro'!$J$2:$J$1795,$N1526),IF(J1526&lt;=100,INDEX('Tabela Passaro'!$K$2:$K$1795,$N1526),INDEX('Tabela Passaro'!$K$2:$K$1795,$N1526)+(J1526-100)*INDEX('Tabela Passaro'!$L$2:$L$1795,$N1526))))))</f>
        <v>185.972</v>
      </c>
      <c r="S1526" s="32" t="n">
        <f aca="false">K1526*INDEX('Tabela Passaro'!$M$2:$M$1795,$N1526)</f>
        <v>8.6499</v>
      </c>
      <c r="T1526" s="32" t="n">
        <f aca="false">K1526*INDEX('Tabela Passaro'!$N$2:$N$1795,$N1526)</f>
        <v>3.45996</v>
      </c>
      <c r="U1526" s="32" t="n">
        <f aca="false">INDEX('Tabela Passaro'!$O$2:$O$1795,$N1526)</f>
        <v>5</v>
      </c>
      <c r="V1526" s="32" t="n">
        <f aca="false">ROUNDUP(J1526/INDEX('Tabela Passaro'!$Q$2:$Q$1795,$N1526),0)*INDEX('Tabela Passaro'!$P$2:$P$1795,$N1526)</f>
        <v>10</v>
      </c>
      <c r="W1526" s="32" t="n">
        <f aca="false">INDEX('Tabela Passaro'!$R$2:$R$1795,$N1526)</f>
        <v>30</v>
      </c>
      <c r="X1526" s="32" t="n">
        <f aca="false">ROUNDUP(J1526/INDEX('Tabela Passaro'!$T$2:$T$1795,$N1526),0)*INDEX('Tabela Passaro'!$S$2:$S$1795,$N1526)</f>
        <v>0</v>
      </c>
      <c r="Y1526" s="32" t="n">
        <f aca="false">INDEX('Tabela Passaro'!$U$2:$U$1795,$N1526)</f>
        <v>0</v>
      </c>
      <c r="Z1526" s="32" t="n">
        <f aca="false">INDEX('Tabela Passaro'!$V$2:$V$1795,$N1526)</f>
        <v>0</v>
      </c>
      <c r="AA1526" s="32" t="n">
        <f aca="false">SUM(R1526:Z1526)</f>
        <v>243.08186</v>
      </c>
      <c r="AB1526" s="33" t="n">
        <f aca="false">INDEX(Premissas!$B$5:$B$13,MATCH(A1526,Premissas!$A$5:$A$13,0))</f>
        <v>0.07</v>
      </c>
      <c r="AC1526" s="32" t="n">
        <f aca="false">AA1526/(1-AB1526)-AA1526</f>
        <v>18.2964840860215</v>
      </c>
      <c r="AD1526" s="32" t="n">
        <f aca="false">ROUND(AA1526+AC1526,2)</f>
        <v>261.38</v>
      </c>
      <c r="AE1526" s="32" t="n">
        <f aca="false">AD1526-L1526</f>
        <v>-144.24</v>
      </c>
      <c r="AF1526" s="34" t="n">
        <f aca="false">IF(L1526=0,0,AE1526/L1526)</f>
        <v>-0.35560376707263</v>
      </c>
      <c r="AG1526" s="22" t="str">
        <f aca="false">IF(AD1526&lt;L1526,"PASSARO","ATUAL")</f>
        <v>PASSARO</v>
      </c>
      <c r="AH1526" s="22" t="str">
        <f aca="false">IF(P1526&lt;&gt;A1526,"Faixa cadastrada como "&amp;P1526&amp;" na tabela; preço aplicado pela UF do CEP","")</f>
        <v/>
      </c>
      <c r="AI1526" s="26" t="n">
        <v>319.2</v>
      </c>
      <c r="AJ1526" s="22" t="str">
        <f aca="false">INDEX('Tabela Passaro'!$X$2:$X$1795,$N1526)</f>
        <v>INTERIOR 2</v>
      </c>
    </row>
    <row r="1527" customFormat="false" ht="15" hidden="false" customHeight="false" outlineLevel="0" collapsed="false">
      <c r="A1527" s="22" t="s">
        <v>20</v>
      </c>
      <c r="B1527" s="22" t="n">
        <v>9</v>
      </c>
      <c r="C1527" s="22" t="s">
        <v>163</v>
      </c>
      <c r="D1527" s="22" t="s">
        <v>30</v>
      </c>
      <c r="E1527" s="22" t="s">
        <v>7326</v>
      </c>
      <c r="F1527" s="22" t="n">
        <v>526112</v>
      </c>
      <c r="G1527" s="30" t="n">
        <v>46253</v>
      </c>
      <c r="H1527" s="22" t="n">
        <v>627010</v>
      </c>
      <c r="I1527" s="22" t="s">
        <v>8727</v>
      </c>
      <c r="J1527" s="31" t="n">
        <v>32</v>
      </c>
      <c r="K1527" s="26" t="n">
        <v>1157.72</v>
      </c>
      <c r="L1527" s="26" t="n">
        <v>209.51</v>
      </c>
      <c r="M1527" s="22" t="s">
        <v>5140</v>
      </c>
      <c r="N1527" s="22" t="n">
        <f aca="false">MATCH(M1527,'Tabela Passaro'!$A$2:$A$1795,0)</f>
        <v>1237</v>
      </c>
      <c r="O1527" s="22" t="str">
        <f aca="false">INDEX('Tabela Passaro'!$C$2:$C$1795,$N1527)</f>
        <v>GARANHUNS</v>
      </c>
      <c r="P1527" s="22" t="str">
        <f aca="false">INDEX('Tabela Passaro'!$B$2:$B$1795,$N1527)</f>
        <v>PE</v>
      </c>
      <c r="Q1527" s="22" t="n">
        <f aca="false">INDEX('Tabela Passaro'!$F$2:$F$1795,$N1527)</f>
        <v>13</v>
      </c>
      <c r="R1527" s="32" t="n">
        <f aca="false">IF(J1527&lt;=10,INDEX('Tabela Passaro'!$G$2:$G$1795,$N1527),IF(J1527&lt;=30,INDEX('Tabela Passaro'!$H$2:$H$1795,$N1527),IF(J1527&lt;=50,INDEX('Tabela Passaro'!$I$2:$I$1795,$N1527),IF(J1527&lt;=70,INDEX('Tabela Passaro'!$J$2:$J$1795,$N1527),IF(J1527&lt;=100,INDEX('Tabela Passaro'!$K$2:$K$1795,$N1527),INDEX('Tabela Passaro'!$K$2:$K$1795,$N1527)+(J1527-100)*INDEX('Tabela Passaro'!$L$2:$L$1795,$N1527))))))</f>
        <v>142.56</v>
      </c>
      <c r="S1527" s="32" t="n">
        <f aca="false">K1527*INDEX('Tabela Passaro'!$M$2:$M$1795,$N1527)</f>
        <v>5.7886</v>
      </c>
      <c r="T1527" s="32" t="n">
        <f aca="false">K1527*INDEX('Tabela Passaro'!$N$2:$N$1795,$N1527)</f>
        <v>2.31544</v>
      </c>
      <c r="U1527" s="32" t="n">
        <f aca="false">INDEX('Tabela Passaro'!$O$2:$O$1795,$N1527)</f>
        <v>5</v>
      </c>
      <c r="V1527" s="32" t="n">
        <f aca="false">ROUNDUP(J1527/INDEX('Tabela Passaro'!$Q$2:$Q$1795,$N1527),0)*INDEX('Tabela Passaro'!$P$2:$P$1795,$N1527)</f>
        <v>5</v>
      </c>
      <c r="W1527" s="32" t="n">
        <f aca="false">INDEX('Tabela Passaro'!$R$2:$R$1795,$N1527)</f>
        <v>30</v>
      </c>
      <c r="X1527" s="32" t="n">
        <f aca="false">ROUNDUP(J1527/INDEX('Tabela Passaro'!$T$2:$T$1795,$N1527),0)*INDEX('Tabela Passaro'!$S$2:$S$1795,$N1527)</f>
        <v>0</v>
      </c>
      <c r="Y1527" s="32" t="n">
        <f aca="false">INDEX('Tabela Passaro'!$U$2:$U$1795,$N1527)</f>
        <v>0</v>
      </c>
      <c r="Z1527" s="32" t="n">
        <f aca="false">INDEX('Tabela Passaro'!$V$2:$V$1795,$N1527)</f>
        <v>0</v>
      </c>
      <c r="AA1527" s="32" t="n">
        <f aca="false">SUM(R1527:Z1527)</f>
        <v>190.66404</v>
      </c>
      <c r="AB1527" s="33" t="n">
        <f aca="false">INDEX(Premissas!$B$5:$B$13,MATCH(A1527,Premissas!$A$5:$A$13,0))</f>
        <v>0.07</v>
      </c>
      <c r="AC1527" s="32" t="n">
        <f aca="false">AA1527/(1-AB1527)-AA1527</f>
        <v>14.3510567741936</v>
      </c>
      <c r="AD1527" s="32" t="n">
        <f aca="false">ROUND(AA1527+AC1527,2)</f>
        <v>205.02</v>
      </c>
      <c r="AE1527" s="32" t="n">
        <f aca="false">AD1527-L1527</f>
        <v>-4.48999999999998</v>
      </c>
      <c r="AF1527" s="34" t="n">
        <f aca="false">IF(L1527=0,0,AE1527/L1527)</f>
        <v>-0.0214309579495011</v>
      </c>
      <c r="AG1527" s="22" t="str">
        <f aca="false">IF(AD1527&lt;L1527,"PASSARO","ATUAL")</f>
        <v>PASSARO</v>
      </c>
      <c r="AH1527" s="22" t="str">
        <f aca="false">IF(P1527&lt;&gt;A1527,"Faixa cadastrada como "&amp;P1527&amp;" na tabela; preço aplicado pela UF do CEP","")</f>
        <v/>
      </c>
      <c r="AI1527" s="26" t="n">
        <v>220.99</v>
      </c>
      <c r="AJ1527" s="22" t="str">
        <f aca="false">INDEX('Tabela Passaro'!$X$2:$X$1795,$N1527)</f>
        <v>INTERIOR 2</v>
      </c>
    </row>
    <row r="1528" customFormat="false" ht="15" hidden="false" customHeight="false" outlineLevel="0" collapsed="false">
      <c r="A1528" s="22" t="s">
        <v>20</v>
      </c>
      <c r="B1528" s="22" t="n">
        <v>9</v>
      </c>
      <c r="C1528" s="22" t="s">
        <v>163</v>
      </c>
      <c r="D1528" s="22" t="s">
        <v>30</v>
      </c>
      <c r="E1528" s="22" t="s">
        <v>7326</v>
      </c>
      <c r="F1528" s="22" t="n">
        <v>526177</v>
      </c>
      <c r="G1528" s="30" t="n">
        <v>46253</v>
      </c>
      <c r="H1528" s="22" t="n">
        <v>627361</v>
      </c>
      <c r="I1528" s="22" t="s">
        <v>8728</v>
      </c>
      <c r="J1528" s="31" t="n">
        <v>124.2</v>
      </c>
      <c r="K1528" s="26" t="n">
        <v>2348.55</v>
      </c>
      <c r="L1528" s="26" t="n">
        <v>440.45</v>
      </c>
      <c r="M1528" s="22" t="s">
        <v>5140</v>
      </c>
      <c r="N1528" s="22" t="n">
        <f aca="false">MATCH(M1528,'Tabela Passaro'!$A$2:$A$1795,0)</f>
        <v>1237</v>
      </c>
      <c r="O1528" s="22" t="str">
        <f aca="false">INDEX('Tabela Passaro'!$C$2:$C$1795,$N1528)</f>
        <v>GARANHUNS</v>
      </c>
      <c r="P1528" s="22" t="str">
        <f aca="false">INDEX('Tabela Passaro'!$B$2:$B$1795,$N1528)</f>
        <v>PE</v>
      </c>
      <c r="Q1528" s="22" t="n">
        <f aca="false">INDEX('Tabela Passaro'!$F$2:$F$1795,$N1528)</f>
        <v>13</v>
      </c>
      <c r="R1528" s="32" t="n">
        <f aca="false">IF(J1528&lt;=10,INDEX('Tabela Passaro'!$G$2:$G$1795,$N1528),IF(J1528&lt;=30,INDEX('Tabela Passaro'!$H$2:$H$1795,$N1528),IF(J1528&lt;=50,INDEX('Tabela Passaro'!$I$2:$I$1795,$N1528),IF(J1528&lt;=70,INDEX('Tabela Passaro'!$J$2:$J$1795,$N1528),IF(J1528&lt;=100,INDEX('Tabela Passaro'!$K$2:$K$1795,$N1528),INDEX('Tabela Passaro'!$K$2:$K$1795,$N1528)+(J1528-100)*INDEX('Tabela Passaro'!$L$2:$L$1795,$N1528))))))</f>
        <v>219.962</v>
      </c>
      <c r="S1528" s="32" t="n">
        <f aca="false">K1528*INDEX('Tabela Passaro'!$M$2:$M$1795,$N1528)</f>
        <v>11.74275</v>
      </c>
      <c r="T1528" s="32" t="n">
        <f aca="false">K1528*INDEX('Tabela Passaro'!$N$2:$N$1795,$N1528)</f>
        <v>4.6971</v>
      </c>
      <c r="U1528" s="32" t="n">
        <f aca="false">INDEX('Tabela Passaro'!$O$2:$O$1795,$N1528)</f>
        <v>5</v>
      </c>
      <c r="V1528" s="32" t="n">
        <f aca="false">ROUNDUP(J1528/INDEX('Tabela Passaro'!$Q$2:$Q$1795,$N1528),0)*INDEX('Tabela Passaro'!$P$2:$P$1795,$N1528)</f>
        <v>10</v>
      </c>
      <c r="W1528" s="32" t="n">
        <f aca="false">INDEX('Tabela Passaro'!$R$2:$R$1795,$N1528)</f>
        <v>30</v>
      </c>
      <c r="X1528" s="32" t="n">
        <f aca="false">ROUNDUP(J1528/INDEX('Tabela Passaro'!$T$2:$T$1795,$N1528),0)*INDEX('Tabela Passaro'!$S$2:$S$1795,$N1528)</f>
        <v>0</v>
      </c>
      <c r="Y1528" s="32" t="n">
        <f aca="false">INDEX('Tabela Passaro'!$U$2:$U$1795,$N1528)</f>
        <v>0</v>
      </c>
      <c r="Z1528" s="32" t="n">
        <f aca="false">INDEX('Tabela Passaro'!$V$2:$V$1795,$N1528)</f>
        <v>0</v>
      </c>
      <c r="AA1528" s="32" t="n">
        <f aca="false">SUM(R1528:Z1528)</f>
        <v>281.40185</v>
      </c>
      <c r="AB1528" s="33" t="n">
        <f aca="false">INDEX(Premissas!$B$5:$B$13,MATCH(A1528,Premissas!$A$5:$A$13,0))</f>
        <v>0.07</v>
      </c>
      <c r="AC1528" s="32" t="n">
        <f aca="false">AA1528/(1-AB1528)-AA1528</f>
        <v>21.1807844086022</v>
      </c>
      <c r="AD1528" s="32" t="n">
        <f aca="false">ROUND(AA1528+AC1528,2)</f>
        <v>302.58</v>
      </c>
      <c r="AE1528" s="32" t="n">
        <f aca="false">AD1528-L1528</f>
        <v>-137.87</v>
      </c>
      <c r="AF1528" s="34" t="n">
        <f aca="false">IF(L1528=0,0,AE1528/L1528)</f>
        <v>-0.313020774208196</v>
      </c>
      <c r="AG1528" s="22" t="str">
        <f aca="false">IF(AD1528&lt;L1528,"PASSARO","ATUAL")</f>
        <v>PASSARO</v>
      </c>
      <c r="AH1528" s="22" t="str">
        <f aca="false">IF(P1528&lt;&gt;A1528,"Faixa cadastrada como "&amp;P1528&amp;" na tabela; preço aplicado pela UF do CEP","")</f>
        <v/>
      </c>
      <c r="AI1528" s="26" t="n">
        <v>374.57</v>
      </c>
      <c r="AJ1528" s="22" t="str">
        <f aca="false">INDEX('Tabela Passaro'!$X$2:$X$1795,$N1528)</f>
        <v>INTERIOR 2</v>
      </c>
    </row>
    <row r="1529" customFormat="false" ht="15" hidden="false" customHeight="false" outlineLevel="0" collapsed="false">
      <c r="A1529" s="22" t="s">
        <v>20</v>
      </c>
      <c r="B1529" s="22" t="n">
        <v>9</v>
      </c>
      <c r="C1529" s="22" t="s">
        <v>163</v>
      </c>
      <c r="D1529" s="22" t="s">
        <v>30</v>
      </c>
      <c r="E1529" s="22" t="s">
        <v>7326</v>
      </c>
      <c r="F1529" s="22" t="n">
        <v>526682</v>
      </c>
      <c r="G1529" s="30" t="n">
        <v>46255</v>
      </c>
      <c r="H1529" s="22" t="n">
        <v>627729</v>
      </c>
      <c r="I1529" s="22" t="s">
        <v>8729</v>
      </c>
      <c r="J1529" s="31" t="n">
        <v>107.7</v>
      </c>
      <c r="K1529" s="26" t="n">
        <v>1997.98</v>
      </c>
      <c r="L1529" s="26" t="n">
        <v>407.9</v>
      </c>
      <c r="M1529" s="22" t="s">
        <v>5140</v>
      </c>
      <c r="N1529" s="22" t="n">
        <f aca="false">MATCH(M1529,'Tabela Passaro'!$A$2:$A$1795,0)</f>
        <v>1237</v>
      </c>
      <c r="O1529" s="22" t="str">
        <f aca="false">INDEX('Tabela Passaro'!$C$2:$C$1795,$N1529)</f>
        <v>GARANHUNS</v>
      </c>
      <c r="P1529" s="22" t="str">
        <f aca="false">INDEX('Tabela Passaro'!$B$2:$B$1795,$N1529)</f>
        <v>PE</v>
      </c>
      <c r="Q1529" s="22" t="n">
        <f aca="false">INDEX('Tabela Passaro'!$F$2:$F$1795,$N1529)</f>
        <v>13</v>
      </c>
      <c r="R1529" s="32" t="n">
        <f aca="false">IF(J1529&lt;=10,INDEX('Tabela Passaro'!$G$2:$G$1795,$N1529),IF(J1529&lt;=30,INDEX('Tabela Passaro'!$H$2:$H$1795,$N1529),IF(J1529&lt;=50,INDEX('Tabela Passaro'!$I$2:$I$1795,$N1529),IF(J1529&lt;=70,INDEX('Tabela Passaro'!$J$2:$J$1795,$N1529),IF(J1529&lt;=100,INDEX('Tabela Passaro'!$K$2:$K$1795,$N1529),INDEX('Tabela Passaro'!$K$2:$K$1795,$N1529)+(J1529-100)*INDEX('Tabela Passaro'!$L$2:$L$1795,$N1529))))))</f>
        <v>185.972</v>
      </c>
      <c r="S1529" s="32" t="n">
        <f aca="false">K1529*INDEX('Tabela Passaro'!$M$2:$M$1795,$N1529)</f>
        <v>9.9899</v>
      </c>
      <c r="T1529" s="32" t="n">
        <f aca="false">K1529*INDEX('Tabela Passaro'!$N$2:$N$1795,$N1529)</f>
        <v>3.99596</v>
      </c>
      <c r="U1529" s="32" t="n">
        <f aca="false">INDEX('Tabela Passaro'!$O$2:$O$1795,$N1529)</f>
        <v>5</v>
      </c>
      <c r="V1529" s="32" t="n">
        <f aca="false">ROUNDUP(J1529/INDEX('Tabela Passaro'!$Q$2:$Q$1795,$N1529),0)*INDEX('Tabela Passaro'!$P$2:$P$1795,$N1529)</f>
        <v>10</v>
      </c>
      <c r="W1529" s="32" t="n">
        <f aca="false">INDEX('Tabela Passaro'!$R$2:$R$1795,$N1529)</f>
        <v>30</v>
      </c>
      <c r="X1529" s="32" t="n">
        <f aca="false">ROUNDUP(J1529/INDEX('Tabela Passaro'!$T$2:$T$1795,$N1529),0)*INDEX('Tabela Passaro'!$S$2:$S$1795,$N1529)</f>
        <v>0</v>
      </c>
      <c r="Y1529" s="32" t="n">
        <f aca="false">INDEX('Tabela Passaro'!$U$2:$U$1795,$N1529)</f>
        <v>0</v>
      </c>
      <c r="Z1529" s="32" t="n">
        <f aca="false">INDEX('Tabela Passaro'!$V$2:$V$1795,$N1529)</f>
        <v>0</v>
      </c>
      <c r="AA1529" s="32" t="n">
        <f aca="false">SUM(R1529:Z1529)</f>
        <v>244.95786</v>
      </c>
      <c r="AB1529" s="33" t="n">
        <f aca="false">INDEX(Premissas!$B$5:$B$13,MATCH(A1529,Premissas!$A$5:$A$13,0))</f>
        <v>0.07</v>
      </c>
      <c r="AC1529" s="32" t="n">
        <f aca="false">AA1529/(1-AB1529)-AA1529</f>
        <v>18.4376883870968</v>
      </c>
      <c r="AD1529" s="32" t="n">
        <f aca="false">ROUND(AA1529+AC1529,2)</f>
        <v>263.4</v>
      </c>
      <c r="AE1529" s="32" t="n">
        <f aca="false">AD1529-L1529</f>
        <v>-144.5</v>
      </c>
      <c r="AF1529" s="34" t="n">
        <f aca="false">IF(L1529=0,0,AE1529/L1529)</f>
        <v>-0.35425349350331</v>
      </c>
      <c r="AG1529" s="22" t="str">
        <f aca="false">IF(AD1529&lt;L1529,"PASSARO","ATUAL")</f>
        <v>PASSARO</v>
      </c>
      <c r="AH1529" s="22" t="str">
        <f aca="false">IF(P1529&lt;&gt;A1529,"Faixa cadastrada como "&amp;P1529&amp;" na tabela; preço aplicado pela UF do CEP","")</f>
        <v/>
      </c>
      <c r="AI1529" s="26" t="n">
        <v>321.79</v>
      </c>
      <c r="AJ1529" s="22" t="str">
        <f aca="false">INDEX('Tabela Passaro'!$X$2:$X$1795,$N1529)</f>
        <v>INTERIOR 2</v>
      </c>
    </row>
    <row r="1530" customFormat="false" ht="15" hidden="false" customHeight="false" outlineLevel="0" collapsed="false">
      <c r="A1530" s="22" t="s">
        <v>20</v>
      </c>
      <c r="B1530" s="22" t="n">
        <v>9</v>
      </c>
      <c r="C1530" s="22" t="s">
        <v>163</v>
      </c>
      <c r="D1530" s="22" t="s">
        <v>30</v>
      </c>
      <c r="E1530" s="22" t="s">
        <v>20</v>
      </c>
      <c r="F1530" s="22" t="n">
        <v>839940</v>
      </c>
      <c r="G1530" s="30" t="n">
        <v>46258</v>
      </c>
      <c r="H1530" s="22" t="n">
        <v>32603</v>
      </c>
      <c r="I1530" s="22" t="s">
        <v>8730</v>
      </c>
      <c r="J1530" s="31" t="n">
        <v>19.4</v>
      </c>
      <c r="K1530" s="26" t="n">
        <v>355.64</v>
      </c>
      <c r="L1530" s="26" t="n">
        <v>95.66</v>
      </c>
      <c r="M1530" s="22" t="s">
        <v>5140</v>
      </c>
      <c r="N1530" s="22" t="n">
        <f aca="false">MATCH(M1530,'Tabela Passaro'!$A$2:$A$1795,0)</f>
        <v>1237</v>
      </c>
      <c r="O1530" s="22" t="str">
        <f aca="false">INDEX('Tabela Passaro'!$C$2:$C$1795,$N1530)</f>
        <v>GARANHUNS</v>
      </c>
      <c r="P1530" s="22" t="str">
        <f aca="false">INDEX('Tabela Passaro'!$B$2:$B$1795,$N1530)</f>
        <v>PE</v>
      </c>
      <c r="Q1530" s="22" t="n">
        <f aca="false">INDEX('Tabela Passaro'!$F$2:$F$1795,$N1530)</f>
        <v>13</v>
      </c>
      <c r="R1530" s="32" t="n">
        <f aca="false">IF(J1530&lt;=10,INDEX('Tabela Passaro'!$G$2:$G$1795,$N1530),IF(J1530&lt;=30,INDEX('Tabela Passaro'!$H$2:$H$1795,$N1530),IF(J1530&lt;=50,INDEX('Tabela Passaro'!$I$2:$I$1795,$N1530),IF(J1530&lt;=70,INDEX('Tabela Passaro'!$J$2:$J$1795,$N1530),IF(J1530&lt;=100,INDEX('Tabela Passaro'!$K$2:$K$1795,$N1530),INDEX('Tabela Passaro'!$K$2:$K$1795,$N1530)+(J1530-100)*INDEX('Tabela Passaro'!$L$2:$L$1795,$N1530))))))</f>
        <v>120.52</v>
      </c>
      <c r="S1530" s="32" t="n">
        <f aca="false">K1530*INDEX('Tabela Passaro'!$M$2:$M$1795,$N1530)</f>
        <v>1.7782</v>
      </c>
      <c r="T1530" s="32" t="n">
        <f aca="false">K1530*INDEX('Tabela Passaro'!$N$2:$N$1795,$N1530)</f>
        <v>0.71128</v>
      </c>
      <c r="U1530" s="32" t="n">
        <f aca="false">INDEX('Tabela Passaro'!$O$2:$O$1795,$N1530)</f>
        <v>5</v>
      </c>
      <c r="V1530" s="32" t="n">
        <f aca="false">ROUNDUP(J1530/INDEX('Tabela Passaro'!$Q$2:$Q$1795,$N1530),0)*INDEX('Tabela Passaro'!$P$2:$P$1795,$N1530)</f>
        <v>5</v>
      </c>
      <c r="W1530" s="32" t="n">
        <f aca="false">INDEX('Tabela Passaro'!$R$2:$R$1795,$N1530)</f>
        <v>30</v>
      </c>
      <c r="X1530" s="32" t="n">
        <f aca="false">ROUNDUP(J1530/INDEX('Tabela Passaro'!$T$2:$T$1795,$N1530),0)*INDEX('Tabela Passaro'!$S$2:$S$1795,$N1530)</f>
        <v>0</v>
      </c>
      <c r="Y1530" s="32" t="n">
        <f aca="false">INDEX('Tabela Passaro'!$U$2:$U$1795,$N1530)</f>
        <v>0</v>
      </c>
      <c r="Z1530" s="32" t="n">
        <f aca="false">INDEX('Tabela Passaro'!$V$2:$V$1795,$N1530)</f>
        <v>0</v>
      </c>
      <c r="AA1530" s="32" t="n">
        <f aca="false">SUM(R1530:Z1530)</f>
        <v>163.00948</v>
      </c>
      <c r="AB1530" s="33" t="n">
        <f aca="false">INDEX(Premissas!$B$5:$B$13,MATCH(A1530,Premissas!$A$5:$A$13,0))</f>
        <v>0.07</v>
      </c>
      <c r="AC1530" s="32" t="n">
        <f aca="false">AA1530/(1-AB1530)-AA1530</f>
        <v>12.2695307526882</v>
      </c>
      <c r="AD1530" s="32" t="n">
        <f aca="false">ROUND(AA1530+AC1530,2)</f>
        <v>175.28</v>
      </c>
      <c r="AE1530" s="32" t="n">
        <f aca="false">AD1530-L1530</f>
        <v>79.62</v>
      </c>
      <c r="AF1530" s="34" t="n">
        <f aca="false">IF(L1530=0,0,AE1530/L1530)</f>
        <v>0.832322809951913</v>
      </c>
      <c r="AG1530" s="22" t="str">
        <f aca="false">IF(AD1530&lt;L1530,"PASSARO","ATUAL")</f>
        <v>ATUAL</v>
      </c>
      <c r="AH1530" s="22" t="str">
        <f aca="false">IF(P1530&lt;&gt;A1530,"Faixa cadastrada como "&amp;P1530&amp;" na tabela; preço aplicado pela UF do CEP","")</f>
        <v/>
      </c>
      <c r="AI1530" s="26" t="n">
        <v>182.37</v>
      </c>
      <c r="AJ1530" s="22" t="str">
        <f aca="false">INDEX('Tabela Passaro'!$X$2:$X$1795,$N1530)</f>
        <v>INTERIOR 2</v>
      </c>
    </row>
    <row r="1531" customFormat="false" ht="15" hidden="false" customHeight="false" outlineLevel="0" collapsed="false">
      <c r="A1531" s="22" t="s">
        <v>20</v>
      </c>
      <c r="B1531" s="22" t="n">
        <v>9</v>
      </c>
      <c r="C1531" s="22" t="s">
        <v>163</v>
      </c>
      <c r="D1531" s="22" t="s">
        <v>30</v>
      </c>
      <c r="E1531" s="22" t="s">
        <v>7328</v>
      </c>
      <c r="F1531" s="22" t="n">
        <v>2315741</v>
      </c>
      <c r="G1531" s="30" t="n">
        <v>46258</v>
      </c>
      <c r="H1531" s="22" t="n">
        <v>134461</v>
      </c>
      <c r="I1531" s="22" t="s">
        <v>8731</v>
      </c>
      <c r="J1531" s="31" t="n">
        <v>124.2</v>
      </c>
      <c r="K1531" s="26" t="n">
        <v>2096.9</v>
      </c>
      <c r="L1531" s="26" t="n">
        <v>360.99</v>
      </c>
      <c r="M1531" s="22" t="s">
        <v>5140</v>
      </c>
      <c r="N1531" s="22" t="n">
        <f aca="false">MATCH(M1531,'Tabela Passaro'!$A$2:$A$1795,0)</f>
        <v>1237</v>
      </c>
      <c r="O1531" s="22" t="str">
        <f aca="false">INDEX('Tabela Passaro'!$C$2:$C$1795,$N1531)</f>
        <v>GARANHUNS</v>
      </c>
      <c r="P1531" s="22" t="str">
        <f aca="false">INDEX('Tabela Passaro'!$B$2:$B$1795,$N1531)</f>
        <v>PE</v>
      </c>
      <c r="Q1531" s="22" t="n">
        <f aca="false">INDEX('Tabela Passaro'!$F$2:$F$1795,$N1531)</f>
        <v>13</v>
      </c>
      <c r="R1531" s="32" t="n">
        <f aca="false">IF(J1531&lt;=10,INDEX('Tabela Passaro'!$G$2:$G$1795,$N1531),IF(J1531&lt;=30,INDEX('Tabela Passaro'!$H$2:$H$1795,$N1531),IF(J1531&lt;=50,INDEX('Tabela Passaro'!$I$2:$I$1795,$N1531),IF(J1531&lt;=70,INDEX('Tabela Passaro'!$J$2:$J$1795,$N1531),IF(J1531&lt;=100,INDEX('Tabela Passaro'!$K$2:$K$1795,$N1531),INDEX('Tabela Passaro'!$K$2:$K$1795,$N1531)+(J1531-100)*INDEX('Tabela Passaro'!$L$2:$L$1795,$N1531))))))</f>
        <v>219.962</v>
      </c>
      <c r="S1531" s="32" t="n">
        <f aca="false">K1531*INDEX('Tabela Passaro'!$M$2:$M$1795,$N1531)</f>
        <v>10.4845</v>
      </c>
      <c r="T1531" s="32" t="n">
        <f aca="false">K1531*INDEX('Tabela Passaro'!$N$2:$N$1795,$N1531)</f>
        <v>4.1938</v>
      </c>
      <c r="U1531" s="32" t="n">
        <f aca="false">INDEX('Tabela Passaro'!$O$2:$O$1795,$N1531)</f>
        <v>5</v>
      </c>
      <c r="V1531" s="32" t="n">
        <f aca="false">ROUNDUP(J1531/INDEX('Tabela Passaro'!$Q$2:$Q$1795,$N1531),0)*INDEX('Tabela Passaro'!$P$2:$P$1795,$N1531)</f>
        <v>10</v>
      </c>
      <c r="W1531" s="32" t="n">
        <f aca="false">INDEX('Tabela Passaro'!$R$2:$R$1795,$N1531)</f>
        <v>30</v>
      </c>
      <c r="X1531" s="32" t="n">
        <f aca="false">ROUNDUP(J1531/INDEX('Tabela Passaro'!$T$2:$T$1795,$N1531),0)*INDEX('Tabela Passaro'!$S$2:$S$1795,$N1531)</f>
        <v>0</v>
      </c>
      <c r="Y1531" s="32" t="n">
        <f aca="false">INDEX('Tabela Passaro'!$U$2:$U$1795,$N1531)</f>
        <v>0</v>
      </c>
      <c r="Z1531" s="32" t="n">
        <f aca="false">INDEX('Tabela Passaro'!$V$2:$V$1795,$N1531)</f>
        <v>0</v>
      </c>
      <c r="AA1531" s="32" t="n">
        <f aca="false">SUM(R1531:Z1531)</f>
        <v>279.6403</v>
      </c>
      <c r="AB1531" s="33" t="n">
        <f aca="false">INDEX(Premissas!$B$5:$B$13,MATCH(A1531,Premissas!$A$5:$A$13,0))</f>
        <v>0.07</v>
      </c>
      <c r="AC1531" s="32" t="n">
        <f aca="false">AA1531/(1-AB1531)-AA1531</f>
        <v>21.0481946236559</v>
      </c>
      <c r="AD1531" s="32" t="n">
        <f aca="false">ROUND(AA1531+AC1531,2)</f>
        <v>300.69</v>
      </c>
      <c r="AE1531" s="32" t="n">
        <f aca="false">AD1531-L1531</f>
        <v>-60.3</v>
      </c>
      <c r="AF1531" s="34" t="n">
        <f aca="false">IF(L1531=0,0,AE1531/L1531)</f>
        <v>-0.167040638244827</v>
      </c>
      <c r="AG1531" s="22" t="str">
        <f aca="false">IF(AD1531&lt;L1531,"PASSARO","ATUAL")</f>
        <v>PASSARO</v>
      </c>
      <c r="AH1531" s="22" t="str">
        <f aca="false">IF(P1531&lt;&gt;A1531,"Faixa cadastrada como "&amp;P1531&amp;" na tabela; preço aplicado pela UF do CEP","")</f>
        <v/>
      </c>
      <c r="AI1531" s="26" t="n">
        <v>372.14</v>
      </c>
      <c r="AJ1531" s="22" t="str">
        <f aca="false">INDEX('Tabela Passaro'!$X$2:$X$1795,$N1531)</f>
        <v>INTERIOR 2</v>
      </c>
    </row>
    <row r="1532" customFormat="false" ht="15" hidden="false" customHeight="false" outlineLevel="0" collapsed="false">
      <c r="A1532" s="22" t="s">
        <v>20</v>
      </c>
      <c r="B1532" s="22" t="n">
        <v>9</v>
      </c>
      <c r="C1532" s="22" t="s">
        <v>163</v>
      </c>
      <c r="D1532" s="22" t="s">
        <v>30</v>
      </c>
      <c r="E1532" s="22" t="s">
        <v>7326</v>
      </c>
      <c r="F1532" s="22" t="n">
        <v>527356</v>
      </c>
      <c r="G1532" s="30" t="n">
        <v>46259</v>
      </c>
      <c r="H1532" s="22" t="n">
        <v>628811</v>
      </c>
      <c r="I1532" s="22" t="s">
        <v>8732</v>
      </c>
      <c r="J1532" s="31" t="n">
        <v>29.2</v>
      </c>
      <c r="K1532" s="26" t="n">
        <v>606.56</v>
      </c>
      <c r="L1532" s="26" t="n">
        <v>145.83</v>
      </c>
      <c r="M1532" s="22" t="s">
        <v>5140</v>
      </c>
      <c r="N1532" s="22" t="n">
        <f aca="false">MATCH(M1532,'Tabela Passaro'!$A$2:$A$1795,0)</f>
        <v>1237</v>
      </c>
      <c r="O1532" s="22" t="str">
        <f aca="false">INDEX('Tabela Passaro'!$C$2:$C$1795,$N1532)</f>
        <v>GARANHUNS</v>
      </c>
      <c r="P1532" s="22" t="str">
        <f aca="false">INDEX('Tabela Passaro'!$B$2:$B$1795,$N1532)</f>
        <v>PE</v>
      </c>
      <c r="Q1532" s="22" t="n">
        <f aca="false">INDEX('Tabela Passaro'!$F$2:$F$1795,$N1532)</f>
        <v>13</v>
      </c>
      <c r="R1532" s="32" t="n">
        <f aca="false">IF(J1532&lt;=10,INDEX('Tabela Passaro'!$G$2:$G$1795,$N1532),IF(J1532&lt;=30,INDEX('Tabela Passaro'!$H$2:$H$1795,$N1532),IF(J1532&lt;=50,INDEX('Tabela Passaro'!$I$2:$I$1795,$N1532),IF(J1532&lt;=70,INDEX('Tabela Passaro'!$J$2:$J$1795,$N1532),IF(J1532&lt;=100,INDEX('Tabela Passaro'!$K$2:$K$1795,$N1532),INDEX('Tabela Passaro'!$K$2:$K$1795,$N1532)+(J1532-100)*INDEX('Tabela Passaro'!$L$2:$L$1795,$N1532))))))</f>
        <v>120.52</v>
      </c>
      <c r="S1532" s="32" t="n">
        <f aca="false">K1532*INDEX('Tabela Passaro'!$M$2:$M$1795,$N1532)</f>
        <v>3.0328</v>
      </c>
      <c r="T1532" s="32" t="n">
        <f aca="false">K1532*INDEX('Tabela Passaro'!$N$2:$N$1795,$N1532)</f>
        <v>1.21312</v>
      </c>
      <c r="U1532" s="32" t="n">
        <f aca="false">INDEX('Tabela Passaro'!$O$2:$O$1795,$N1532)</f>
        <v>5</v>
      </c>
      <c r="V1532" s="32" t="n">
        <f aca="false">ROUNDUP(J1532/INDEX('Tabela Passaro'!$Q$2:$Q$1795,$N1532),0)*INDEX('Tabela Passaro'!$P$2:$P$1795,$N1532)</f>
        <v>5</v>
      </c>
      <c r="W1532" s="32" t="n">
        <f aca="false">INDEX('Tabela Passaro'!$R$2:$R$1795,$N1532)</f>
        <v>30</v>
      </c>
      <c r="X1532" s="32" t="n">
        <f aca="false">ROUNDUP(J1532/INDEX('Tabela Passaro'!$T$2:$T$1795,$N1532),0)*INDEX('Tabela Passaro'!$S$2:$S$1795,$N1532)</f>
        <v>0</v>
      </c>
      <c r="Y1532" s="32" t="n">
        <f aca="false">INDEX('Tabela Passaro'!$U$2:$U$1795,$N1532)</f>
        <v>0</v>
      </c>
      <c r="Z1532" s="32" t="n">
        <f aca="false">INDEX('Tabela Passaro'!$V$2:$V$1795,$N1532)</f>
        <v>0</v>
      </c>
      <c r="AA1532" s="32" t="n">
        <f aca="false">SUM(R1532:Z1532)</f>
        <v>164.76592</v>
      </c>
      <c r="AB1532" s="33" t="n">
        <f aca="false">INDEX(Premissas!$B$5:$B$13,MATCH(A1532,Premissas!$A$5:$A$13,0))</f>
        <v>0.07</v>
      </c>
      <c r="AC1532" s="32" t="n">
        <f aca="false">AA1532/(1-AB1532)-AA1532</f>
        <v>12.4017359139785</v>
      </c>
      <c r="AD1532" s="32" t="n">
        <f aca="false">ROUND(AA1532+AC1532,2)</f>
        <v>177.17</v>
      </c>
      <c r="AE1532" s="32" t="n">
        <f aca="false">AD1532-L1532</f>
        <v>31.34</v>
      </c>
      <c r="AF1532" s="34" t="n">
        <f aca="false">IF(L1532=0,0,AE1532/L1532)</f>
        <v>0.214907769320441</v>
      </c>
      <c r="AG1532" s="22" t="str">
        <f aca="false">IF(AD1532&lt;L1532,"PASSARO","ATUAL")</f>
        <v>ATUAL</v>
      </c>
      <c r="AH1532" s="22" t="str">
        <f aca="false">IF(P1532&lt;&gt;A1532,"Faixa cadastrada como "&amp;P1532&amp;" na tabela; preço aplicado pela UF do CEP","")</f>
        <v/>
      </c>
      <c r="AI1532" s="26" t="n">
        <v>189.63</v>
      </c>
      <c r="AJ1532" s="22" t="str">
        <f aca="false">INDEX('Tabela Passaro'!$X$2:$X$1795,$N1532)</f>
        <v>INTERIOR 2</v>
      </c>
    </row>
    <row r="1533" customFormat="false" ht="15" hidden="false" customHeight="false" outlineLevel="0" collapsed="false">
      <c r="A1533" s="22" t="s">
        <v>20</v>
      </c>
      <c r="B1533" s="22" t="n">
        <v>9</v>
      </c>
      <c r="C1533" s="22" t="s">
        <v>163</v>
      </c>
      <c r="D1533" s="22" t="s">
        <v>30</v>
      </c>
      <c r="E1533" s="22" t="s">
        <v>7326</v>
      </c>
      <c r="F1533" s="22" t="n">
        <v>527794</v>
      </c>
      <c r="G1533" s="30" t="n">
        <v>46260</v>
      </c>
      <c r="H1533" s="22" t="n">
        <v>629677</v>
      </c>
      <c r="I1533" s="22" t="s">
        <v>8733</v>
      </c>
      <c r="J1533" s="31" t="n">
        <v>27.4</v>
      </c>
      <c r="K1533" s="26" t="n">
        <v>543.91</v>
      </c>
      <c r="L1533" s="26" t="n">
        <v>145.29</v>
      </c>
      <c r="M1533" s="22" t="s">
        <v>5140</v>
      </c>
      <c r="N1533" s="22" t="n">
        <f aca="false">MATCH(M1533,'Tabela Passaro'!$A$2:$A$1795,0)</f>
        <v>1237</v>
      </c>
      <c r="O1533" s="22" t="str">
        <f aca="false">INDEX('Tabela Passaro'!$C$2:$C$1795,$N1533)</f>
        <v>GARANHUNS</v>
      </c>
      <c r="P1533" s="22" t="str">
        <f aca="false">INDEX('Tabela Passaro'!$B$2:$B$1795,$N1533)</f>
        <v>PE</v>
      </c>
      <c r="Q1533" s="22" t="n">
        <f aca="false">INDEX('Tabela Passaro'!$F$2:$F$1795,$N1533)</f>
        <v>13</v>
      </c>
      <c r="R1533" s="32" t="n">
        <f aca="false">IF(J1533&lt;=10,INDEX('Tabela Passaro'!$G$2:$G$1795,$N1533),IF(J1533&lt;=30,INDEX('Tabela Passaro'!$H$2:$H$1795,$N1533),IF(J1533&lt;=50,INDEX('Tabela Passaro'!$I$2:$I$1795,$N1533),IF(J1533&lt;=70,INDEX('Tabela Passaro'!$J$2:$J$1795,$N1533),IF(J1533&lt;=100,INDEX('Tabela Passaro'!$K$2:$K$1795,$N1533),INDEX('Tabela Passaro'!$K$2:$K$1795,$N1533)+(J1533-100)*INDEX('Tabela Passaro'!$L$2:$L$1795,$N1533))))))</f>
        <v>120.52</v>
      </c>
      <c r="S1533" s="32" t="n">
        <f aca="false">K1533*INDEX('Tabela Passaro'!$M$2:$M$1795,$N1533)</f>
        <v>2.71955</v>
      </c>
      <c r="T1533" s="32" t="n">
        <f aca="false">K1533*INDEX('Tabela Passaro'!$N$2:$N$1795,$N1533)</f>
        <v>1.08782</v>
      </c>
      <c r="U1533" s="32" t="n">
        <f aca="false">INDEX('Tabela Passaro'!$O$2:$O$1795,$N1533)</f>
        <v>5</v>
      </c>
      <c r="V1533" s="32" t="n">
        <f aca="false">ROUNDUP(J1533/INDEX('Tabela Passaro'!$Q$2:$Q$1795,$N1533),0)*INDEX('Tabela Passaro'!$P$2:$P$1795,$N1533)</f>
        <v>5</v>
      </c>
      <c r="W1533" s="32" t="n">
        <f aca="false">INDEX('Tabela Passaro'!$R$2:$R$1795,$N1533)</f>
        <v>30</v>
      </c>
      <c r="X1533" s="32" t="n">
        <f aca="false">ROUNDUP(J1533/INDEX('Tabela Passaro'!$T$2:$T$1795,$N1533),0)*INDEX('Tabela Passaro'!$S$2:$S$1795,$N1533)</f>
        <v>0</v>
      </c>
      <c r="Y1533" s="32" t="n">
        <f aca="false">INDEX('Tabela Passaro'!$U$2:$U$1795,$N1533)</f>
        <v>0</v>
      </c>
      <c r="Z1533" s="32" t="n">
        <f aca="false">INDEX('Tabela Passaro'!$V$2:$V$1795,$N1533)</f>
        <v>0</v>
      </c>
      <c r="AA1533" s="32" t="n">
        <f aca="false">SUM(R1533:Z1533)</f>
        <v>164.32737</v>
      </c>
      <c r="AB1533" s="33" t="n">
        <f aca="false">INDEX(Premissas!$B$5:$B$13,MATCH(A1533,Premissas!$A$5:$A$13,0))</f>
        <v>0.07</v>
      </c>
      <c r="AC1533" s="32" t="n">
        <f aca="false">AA1533/(1-AB1533)-AA1533</f>
        <v>12.3687267741936</v>
      </c>
      <c r="AD1533" s="32" t="n">
        <f aca="false">ROUND(AA1533+AC1533,2)</f>
        <v>176.7</v>
      </c>
      <c r="AE1533" s="32" t="n">
        <f aca="false">AD1533-L1533</f>
        <v>31.41</v>
      </c>
      <c r="AF1533" s="34" t="n">
        <f aca="false">IF(L1533=0,0,AE1533/L1533)</f>
        <v>0.216188313029114</v>
      </c>
      <c r="AG1533" s="22" t="str">
        <f aca="false">IF(AD1533&lt;L1533,"PASSARO","ATUAL")</f>
        <v>ATUAL</v>
      </c>
      <c r="AH1533" s="22" t="str">
        <f aca="false">IF(P1533&lt;&gt;A1533,"Faixa cadastrada como "&amp;P1533&amp;" na tabela; preço aplicado pela UF do CEP","")</f>
        <v/>
      </c>
      <c r="AI1533" s="26" t="n">
        <v>188.06</v>
      </c>
      <c r="AJ1533" s="22" t="str">
        <f aca="false">INDEX('Tabela Passaro'!$X$2:$X$1795,$N1533)</f>
        <v>INTERIOR 2</v>
      </c>
    </row>
    <row r="1534" customFormat="false" ht="15" hidden="false" customHeight="false" outlineLevel="0" collapsed="false">
      <c r="A1534" s="22" t="s">
        <v>20</v>
      </c>
      <c r="B1534" s="22" t="n">
        <v>9</v>
      </c>
      <c r="C1534" s="22" t="s">
        <v>163</v>
      </c>
      <c r="D1534" s="22" t="s">
        <v>30</v>
      </c>
      <c r="E1534" s="22" t="s">
        <v>20</v>
      </c>
      <c r="F1534" s="22" t="n">
        <v>840457</v>
      </c>
      <c r="G1534" s="30" t="n">
        <v>46261</v>
      </c>
      <c r="H1534" s="22" t="n">
        <v>32755</v>
      </c>
      <c r="I1534" s="22" t="s">
        <v>8734</v>
      </c>
      <c r="J1534" s="31" t="n">
        <v>51.2</v>
      </c>
      <c r="K1534" s="26" t="n">
        <v>934.98</v>
      </c>
      <c r="L1534" s="26" t="n">
        <v>157.21</v>
      </c>
      <c r="M1534" s="22" t="s">
        <v>5140</v>
      </c>
      <c r="N1534" s="22" t="n">
        <f aca="false">MATCH(M1534,'Tabela Passaro'!$A$2:$A$1795,0)</f>
        <v>1237</v>
      </c>
      <c r="O1534" s="22" t="str">
        <f aca="false">INDEX('Tabela Passaro'!$C$2:$C$1795,$N1534)</f>
        <v>GARANHUNS</v>
      </c>
      <c r="P1534" s="22" t="str">
        <f aca="false">INDEX('Tabela Passaro'!$B$2:$B$1795,$N1534)</f>
        <v>PE</v>
      </c>
      <c r="Q1534" s="22" t="n">
        <f aca="false">INDEX('Tabela Passaro'!$F$2:$F$1795,$N1534)</f>
        <v>13</v>
      </c>
      <c r="R1534" s="32" t="n">
        <f aca="false">IF(J1534&lt;=10,INDEX('Tabela Passaro'!$G$2:$G$1795,$N1534),IF(J1534&lt;=30,INDEX('Tabela Passaro'!$H$2:$H$1795,$N1534),IF(J1534&lt;=50,INDEX('Tabela Passaro'!$I$2:$I$1795,$N1534),IF(J1534&lt;=70,INDEX('Tabela Passaro'!$J$2:$J$1795,$N1534),IF(J1534&lt;=100,INDEX('Tabela Passaro'!$K$2:$K$1795,$N1534),INDEX('Tabela Passaro'!$K$2:$K$1795,$N1534)+(J1534-100)*INDEX('Tabela Passaro'!$L$2:$L$1795,$N1534))))))</f>
        <v>153.58</v>
      </c>
      <c r="S1534" s="32" t="n">
        <f aca="false">K1534*INDEX('Tabela Passaro'!$M$2:$M$1795,$N1534)</f>
        <v>4.6749</v>
      </c>
      <c r="T1534" s="32" t="n">
        <f aca="false">K1534*INDEX('Tabela Passaro'!$N$2:$N$1795,$N1534)</f>
        <v>1.86996</v>
      </c>
      <c r="U1534" s="32" t="n">
        <f aca="false">INDEX('Tabela Passaro'!$O$2:$O$1795,$N1534)</f>
        <v>5</v>
      </c>
      <c r="V1534" s="32" t="n">
        <f aca="false">ROUNDUP(J1534/INDEX('Tabela Passaro'!$Q$2:$Q$1795,$N1534),0)*INDEX('Tabela Passaro'!$P$2:$P$1795,$N1534)</f>
        <v>5</v>
      </c>
      <c r="W1534" s="32" t="n">
        <f aca="false">INDEX('Tabela Passaro'!$R$2:$R$1795,$N1534)</f>
        <v>30</v>
      </c>
      <c r="X1534" s="32" t="n">
        <f aca="false">ROUNDUP(J1534/INDEX('Tabela Passaro'!$T$2:$T$1795,$N1534),0)*INDEX('Tabela Passaro'!$S$2:$S$1795,$N1534)</f>
        <v>0</v>
      </c>
      <c r="Y1534" s="32" t="n">
        <f aca="false">INDEX('Tabela Passaro'!$U$2:$U$1795,$N1534)</f>
        <v>0</v>
      </c>
      <c r="Z1534" s="32" t="n">
        <f aca="false">INDEX('Tabela Passaro'!$V$2:$V$1795,$N1534)</f>
        <v>0</v>
      </c>
      <c r="AA1534" s="32" t="n">
        <f aca="false">SUM(R1534:Z1534)</f>
        <v>200.12486</v>
      </c>
      <c r="AB1534" s="33" t="n">
        <f aca="false">INDEX(Premissas!$B$5:$B$13,MATCH(A1534,Premissas!$A$5:$A$13,0))</f>
        <v>0.07</v>
      </c>
      <c r="AC1534" s="32" t="n">
        <f aca="false">AA1534/(1-AB1534)-AA1534</f>
        <v>15.0631615053764</v>
      </c>
      <c r="AD1534" s="32" t="n">
        <f aca="false">ROUND(AA1534+AC1534,2)</f>
        <v>215.19</v>
      </c>
      <c r="AE1534" s="32" t="n">
        <f aca="false">AD1534-L1534</f>
        <v>57.98</v>
      </c>
      <c r="AF1534" s="34" t="n">
        <f aca="false">IF(L1534=0,0,AE1534/L1534)</f>
        <v>0.368806055594428</v>
      </c>
      <c r="AG1534" s="22" t="str">
        <f aca="false">IF(AD1534&lt;L1534,"PASSARO","ATUAL")</f>
        <v>ATUAL</v>
      </c>
      <c r="AH1534" s="22" t="str">
        <f aca="false">IF(P1534&lt;&gt;A1534,"Faixa cadastrada como "&amp;P1534&amp;" na tabela; preço aplicado pela UF do CEP","")</f>
        <v/>
      </c>
      <c r="AI1534" s="26" t="n">
        <v>241.03</v>
      </c>
      <c r="AJ1534" s="22" t="str">
        <f aca="false">INDEX('Tabela Passaro'!$X$2:$X$1795,$N1534)</f>
        <v>INTERIOR 2</v>
      </c>
    </row>
    <row r="1535" customFormat="false" ht="15" hidden="false" customHeight="false" outlineLevel="0" collapsed="false">
      <c r="A1535" s="22" t="s">
        <v>20</v>
      </c>
      <c r="B1535" s="22" t="n">
        <v>9</v>
      </c>
      <c r="C1535" s="22" t="s">
        <v>163</v>
      </c>
      <c r="D1535" s="22" t="s">
        <v>31</v>
      </c>
      <c r="E1535" s="22" t="s">
        <v>7326</v>
      </c>
      <c r="F1535" s="22" t="n">
        <v>12790707</v>
      </c>
      <c r="G1535" s="30" t="n">
        <v>46248</v>
      </c>
      <c r="H1535" s="22" t="n">
        <v>624925</v>
      </c>
      <c r="I1535" s="22" t="s">
        <v>8735</v>
      </c>
      <c r="J1535" s="31" t="n">
        <v>22.3</v>
      </c>
      <c r="K1535" s="26" t="n">
        <v>684.97</v>
      </c>
      <c r="L1535" s="26" t="n">
        <v>96.06</v>
      </c>
      <c r="M1535" s="22" t="s">
        <v>5140</v>
      </c>
      <c r="N1535" s="22" t="n">
        <f aca="false">MATCH(M1535,'Tabela Passaro'!$A$2:$A$1795,0)</f>
        <v>1237</v>
      </c>
      <c r="O1535" s="22" t="str">
        <f aca="false">INDEX('Tabela Passaro'!$C$2:$C$1795,$N1535)</f>
        <v>GARANHUNS</v>
      </c>
      <c r="P1535" s="22" t="str">
        <f aca="false">INDEX('Tabela Passaro'!$B$2:$B$1795,$N1535)</f>
        <v>PE</v>
      </c>
      <c r="Q1535" s="22" t="n">
        <f aca="false">INDEX('Tabela Passaro'!$F$2:$F$1795,$N1535)</f>
        <v>13</v>
      </c>
      <c r="R1535" s="32" t="n">
        <f aca="false">IF(J1535&lt;=10,INDEX('Tabela Passaro'!$G$2:$G$1795,$N1535),IF(J1535&lt;=30,INDEX('Tabela Passaro'!$H$2:$H$1795,$N1535),IF(J1535&lt;=50,INDEX('Tabela Passaro'!$I$2:$I$1795,$N1535),IF(J1535&lt;=70,INDEX('Tabela Passaro'!$J$2:$J$1795,$N1535),IF(J1535&lt;=100,INDEX('Tabela Passaro'!$K$2:$K$1795,$N1535),INDEX('Tabela Passaro'!$K$2:$K$1795,$N1535)+(J1535-100)*INDEX('Tabela Passaro'!$L$2:$L$1795,$N1535))))))</f>
        <v>120.52</v>
      </c>
      <c r="S1535" s="32" t="n">
        <f aca="false">K1535*INDEX('Tabela Passaro'!$M$2:$M$1795,$N1535)</f>
        <v>3.42485</v>
      </c>
      <c r="T1535" s="32" t="n">
        <f aca="false">K1535*INDEX('Tabela Passaro'!$N$2:$N$1795,$N1535)</f>
        <v>1.36994</v>
      </c>
      <c r="U1535" s="32" t="n">
        <f aca="false">INDEX('Tabela Passaro'!$O$2:$O$1795,$N1535)</f>
        <v>5</v>
      </c>
      <c r="V1535" s="32" t="n">
        <f aca="false">ROUNDUP(J1535/INDEX('Tabela Passaro'!$Q$2:$Q$1795,$N1535),0)*INDEX('Tabela Passaro'!$P$2:$P$1795,$N1535)</f>
        <v>5</v>
      </c>
      <c r="W1535" s="32" t="n">
        <f aca="false">INDEX('Tabela Passaro'!$R$2:$R$1795,$N1535)</f>
        <v>30</v>
      </c>
      <c r="X1535" s="32" t="n">
        <f aca="false">ROUNDUP(J1535/INDEX('Tabela Passaro'!$T$2:$T$1795,$N1535),0)*INDEX('Tabela Passaro'!$S$2:$S$1795,$N1535)</f>
        <v>0</v>
      </c>
      <c r="Y1535" s="32" t="n">
        <f aca="false">INDEX('Tabela Passaro'!$U$2:$U$1795,$N1535)</f>
        <v>0</v>
      </c>
      <c r="Z1535" s="32" t="n">
        <f aca="false">INDEX('Tabela Passaro'!$V$2:$V$1795,$N1535)</f>
        <v>0</v>
      </c>
      <c r="AA1535" s="32" t="n">
        <f aca="false">SUM(R1535:Z1535)</f>
        <v>165.31479</v>
      </c>
      <c r="AB1535" s="33" t="n">
        <f aca="false">INDEX(Premissas!$B$5:$B$13,MATCH(A1535,Premissas!$A$5:$A$13,0))</f>
        <v>0.07</v>
      </c>
      <c r="AC1535" s="32" t="n">
        <f aca="false">AA1535/(1-AB1535)-AA1535</f>
        <v>12.4430487096774</v>
      </c>
      <c r="AD1535" s="32" t="n">
        <f aca="false">ROUND(AA1535+AC1535,2)</f>
        <v>177.76</v>
      </c>
      <c r="AE1535" s="32" t="n">
        <f aca="false">AD1535-L1535</f>
        <v>81.7</v>
      </c>
      <c r="AF1535" s="34" t="n">
        <f aca="false">IF(L1535=0,0,AE1535/L1535)</f>
        <v>0.850510097855507</v>
      </c>
      <c r="AG1535" s="22" t="str">
        <f aca="false">IF(AD1535&lt;L1535,"PASSARO","ATUAL")</f>
        <v>ATUAL</v>
      </c>
      <c r="AH1535" s="22" t="str">
        <f aca="false">IF(P1535&lt;&gt;A1535,"Faixa cadastrada como "&amp;P1535&amp;" na tabela; preço aplicado pela UF do CEP","")</f>
        <v/>
      </c>
      <c r="AI1535" s="26" t="n">
        <v>187.01</v>
      </c>
      <c r="AJ1535" s="22" t="str">
        <f aca="false">INDEX('Tabela Passaro'!$X$2:$X$1795,$N1535)</f>
        <v>INTERIOR 2</v>
      </c>
    </row>
    <row r="1536" customFormat="false" ht="15" hidden="false" customHeight="false" outlineLevel="0" collapsed="false">
      <c r="A1536" s="22" t="s">
        <v>20</v>
      </c>
      <c r="B1536" s="22" t="n">
        <v>10</v>
      </c>
      <c r="C1536" s="22" t="s">
        <v>165</v>
      </c>
      <c r="D1536" s="22" t="s">
        <v>30</v>
      </c>
      <c r="E1536" s="22" t="s">
        <v>7328</v>
      </c>
      <c r="F1536" s="22" t="n">
        <v>2307449</v>
      </c>
      <c r="G1536" s="30" t="n">
        <v>46238</v>
      </c>
      <c r="H1536" s="22" t="n">
        <v>131308</v>
      </c>
      <c r="I1536" s="22" t="s">
        <v>8736</v>
      </c>
      <c r="J1536" s="31" t="n">
        <v>35.2</v>
      </c>
      <c r="K1536" s="26" t="n">
        <v>668.99</v>
      </c>
      <c r="L1536" s="26" t="n">
        <v>182.53</v>
      </c>
      <c r="M1536" s="22" t="s">
        <v>4790</v>
      </c>
      <c r="N1536" s="22" t="n">
        <f aca="false">MATCH(M1536,'Tabela Passaro'!$A$2:$A$1795,0)</f>
        <v>1146</v>
      </c>
      <c r="O1536" s="22" t="str">
        <f aca="false">INDEX('Tabela Passaro'!$C$2:$C$1795,$N1536)</f>
        <v>IGARASSU</v>
      </c>
      <c r="P1536" s="22" t="str">
        <f aca="false">INDEX('Tabela Passaro'!$B$2:$B$1795,$N1536)</f>
        <v>PE</v>
      </c>
      <c r="Q1536" s="22" t="n">
        <f aca="false">INDEX('Tabela Passaro'!$F$2:$F$1795,$N1536)</f>
        <v>8</v>
      </c>
      <c r="R1536" s="32" t="n">
        <f aca="false">IF(J1536&lt;=10,INDEX('Tabela Passaro'!$G$2:$G$1795,$N1536),IF(J1536&lt;=30,INDEX('Tabela Passaro'!$H$2:$H$1795,$N1536),IF(J1536&lt;=50,INDEX('Tabela Passaro'!$I$2:$I$1795,$N1536),IF(J1536&lt;=70,INDEX('Tabela Passaro'!$J$2:$J$1795,$N1536),IF(J1536&lt;=100,INDEX('Tabela Passaro'!$K$2:$K$1795,$N1536),INDEX('Tabela Passaro'!$K$2:$K$1795,$N1536)+(J1536-100)*INDEX('Tabela Passaro'!$L$2:$L$1795,$N1536))))))</f>
        <v>88.59</v>
      </c>
      <c r="S1536" s="32" t="n">
        <f aca="false">K1536*INDEX('Tabela Passaro'!$M$2:$M$1795,$N1536)</f>
        <v>3.34495</v>
      </c>
      <c r="T1536" s="32" t="n">
        <f aca="false">K1536*INDEX('Tabela Passaro'!$N$2:$N$1795,$N1536)</f>
        <v>1.33798</v>
      </c>
      <c r="U1536" s="32" t="n">
        <f aca="false">INDEX('Tabela Passaro'!$O$2:$O$1795,$N1536)</f>
        <v>5</v>
      </c>
      <c r="V1536" s="32" t="n">
        <f aca="false">ROUNDUP(J1536/INDEX('Tabela Passaro'!$Q$2:$Q$1795,$N1536),0)*INDEX('Tabela Passaro'!$P$2:$P$1795,$N1536)</f>
        <v>5</v>
      </c>
      <c r="W1536" s="32" t="n">
        <f aca="false">INDEX('Tabela Passaro'!$R$2:$R$1795,$N1536)</f>
        <v>30</v>
      </c>
      <c r="X1536" s="32" t="n">
        <f aca="false">ROUNDUP(J1536/INDEX('Tabela Passaro'!$T$2:$T$1795,$N1536),0)*INDEX('Tabela Passaro'!$S$2:$S$1795,$N1536)</f>
        <v>0</v>
      </c>
      <c r="Y1536" s="32" t="n">
        <f aca="false">INDEX('Tabela Passaro'!$U$2:$U$1795,$N1536)</f>
        <v>0</v>
      </c>
      <c r="Z1536" s="32" t="n">
        <f aca="false">INDEX('Tabela Passaro'!$V$2:$V$1795,$N1536)</f>
        <v>0</v>
      </c>
      <c r="AA1536" s="32" t="n">
        <f aca="false">SUM(R1536:Z1536)</f>
        <v>133.27293</v>
      </c>
      <c r="AB1536" s="33" t="n">
        <f aca="false">INDEX(Premissas!$B$5:$B$13,MATCH(A1536,Premissas!$A$5:$A$13,0))</f>
        <v>0.07</v>
      </c>
      <c r="AC1536" s="32" t="n">
        <f aca="false">AA1536/(1-AB1536)-AA1536</f>
        <v>10.0312958064516</v>
      </c>
      <c r="AD1536" s="32" t="n">
        <f aca="false">ROUND(AA1536+AC1536,2)</f>
        <v>143.3</v>
      </c>
      <c r="AE1536" s="32" t="n">
        <f aca="false">AD1536-L1536</f>
        <v>-39.23</v>
      </c>
      <c r="AF1536" s="34" t="n">
        <f aca="false">IF(L1536=0,0,AE1536/L1536)</f>
        <v>-0.21492357420698</v>
      </c>
      <c r="AG1536" s="22" t="str">
        <f aca="false">IF(AD1536&lt;L1536,"PASSARO","ATUAL")</f>
        <v>PASSARO</v>
      </c>
      <c r="AH1536" s="22" t="str">
        <f aca="false">IF(P1536&lt;&gt;A1536,"Faixa cadastrada como "&amp;P1536&amp;" na tabela; preço aplicado pela UF do CEP","")</f>
        <v/>
      </c>
      <c r="AI1536" s="26" t="n">
        <v>172.98</v>
      </c>
      <c r="AJ1536" s="22" t="str">
        <f aca="false">INDEX('Tabela Passaro'!$X$2:$X$1795,$N1536)</f>
        <v>CAPITAL</v>
      </c>
    </row>
    <row r="1537" customFormat="false" ht="15" hidden="false" customHeight="false" outlineLevel="0" collapsed="false">
      <c r="A1537" s="22" t="s">
        <v>20</v>
      </c>
      <c r="B1537" s="22" t="n">
        <v>10</v>
      </c>
      <c r="C1537" s="22" t="s">
        <v>165</v>
      </c>
      <c r="D1537" s="22" t="s">
        <v>30</v>
      </c>
      <c r="E1537" s="22" t="s">
        <v>20</v>
      </c>
      <c r="F1537" s="22" t="n">
        <v>838168</v>
      </c>
      <c r="G1537" s="30" t="n">
        <v>46241</v>
      </c>
      <c r="H1537" s="22" t="n">
        <v>32428</v>
      </c>
      <c r="I1537" s="22" t="s">
        <v>8737</v>
      </c>
      <c r="J1537" s="31" t="n">
        <v>29.59</v>
      </c>
      <c r="K1537" s="26" t="n">
        <v>613.58</v>
      </c>
      <c r="L1537" s="26" t="n">
        <v>97.69</v>
      </c>
      <c r="M1537" s="22" t="s">
        <v>4790</v>
      </c>
      <c r="N1537" s="22" t="n">
        <f aca="false">MATCH(M1537,'Tabela Passaro'!$A$2:$A$1795,0)</f>
        <v>1146</v>
      </c>
      <c r="O1537" s="22" t="str">
        <f aca="false">INDEX('Tabela Passaro'!$C$2:$C$1795,$N1537)</f>
        <v>IGARASSU</v>
      </c>
      <c r="P1537" s="22" t="str">
        <f aca="false">INDEX('Tabela Passaro'!$B$2:$B$1795,$N1537)</f>
        <v>PE</v>
      </c>
      <c r="Q1537" s="22" t="n">
        <f aca="false">INDEX('Tabela Passaro'!$F$2:$F$1795,$N1537)</f>
        <v>8</v>
      </c>
      <c r="R1537" s="32" t="n">
        <f aca="false">IF(J1537&lt;=10,INDEX('Tabela Passaro'!$G$2:$G$1795,$N1537),IF(J1537&lt;=30,INDEX('Tabela Passaro'!$H$2:$H$1795,$N1537),IF(J1537&lt;=50,INDEX('Tabela Passaro'!$I$2:$I$1795,$N1537),IF(J1537&lt;=70,INDEX('Tabela Passaro'!$J$2:$J$1795,$N1537),IF(J1537&lt;=100,INDEX('Tabela Passaro'!$K$2:$K$1795,$N1537),INDEX('Tabela Passaro'!$K$2:$K$1795,$N1537)+(J1537-100)*INDEX('Tabela Passaro'!$L$2:$L$1795,$N1537))))))</f>
        <v>66.55</v>
      </c>
      <c r="S1537" s="32" t="n">
        <f aca="false">K1537*INDEX('Tabela Passaro'!$M$2:$M$1795,$N1537)</f>
        <v>3.0679</v>
      </c>
      <c r="T1537" s="32" t="n">
        <f aca="false">K1537*INDEX('Tabela Passaro'!$N$2:$N$1795,$N1537)</f>
        <v>1.22716</v>
      </c>
      <c r="U1537" s="32" t="n">
        <f aca="false">INDEX('Tabela Passaro'!$O$2:$O$1795,$N1537)</f>
        <v>5</v>
      </c>
      <c r="V1537" s="32" t="n">
        <f aca="false">ROUNDUP(J1537/INDEX('Tabela Passaro'!$Q$2:$Q$1795,$N1537),0)*INDEX('Tabela Passaro'!$P$2:$P$1795,$N1537)</f>
        <v>5</v>
      </c>
      <c r="W1537" s="32" t="n">
        <f aca="false">INDEX('Tabela Passaro'!$R$2:$R$1795,$N1537)</f>
        <v>30</v>
      </c>
      <c r="X1537" s="32" t="n">
        <f aca="false">ROUNDUP(J1537/INDEX('Tabela Passaro'!$T$2:$T$1795,$N1537),0)*INDEX('Tabela Passaro'!$S$2:$S$1795,$N1537)</f>
        <v>0</v>
      </c>
      <c r="Y1537" s="32" t="n">
        <f aca="false">INDEX('Tabela Passaro'!$U$2:$U$1795,$N1537)</f>
        <v>0</v>
      </c>
      <c r="Z1537" s="32" t="n">
        <f aca="false">INDEX('Tabela Passaro'!$V$2:$V$1795,$N1537)</f>
        <v>0</v>
      </c>
      <c r="AA1537" s="32" t="n">
        <f aca="false">SUM(R1537:Z1537)</f>
        <v>110.84506</v>
      </c>
      <c r="AB1537" s="33" t="n">
        <f aca="false">INDEX(Premissas!$B$5:$B$13,MATCH(A1537,Premissas!$A$5:$A$13,0))</f>
        <v>0.07</v>
      </c>
      <c r="AC1537" s="32" t="n">
        <f aca="false">AA1537/(1-AB1537)-AA1537</f>
        <v>8.34317655913979</v>
      </c>
      <c r="AD1537" s="32" t="n">
        <f aca="false">ROUND(AA1537+AC1537,2)</f>
        <v>119.19</v>
      </c>
      <c r="AE1537" s="32" t="n">
        <f aca="false">AD1537-L1537</f>
        <v>21.5</v>
      </c>
      <c r="AF1537" s="34" t="n">
        <f aca="false">IF(L1537=0,0,AE1537/L1537)</f>
        <v>0.220083938990685</v>
      </c>
      <c r="AG1537" s="22" t="str">
        <f aca="false">IF(AD1537&lt;L1537,"PASSARO","ATUAL")</f>
        <v>ATUAL</v>
      </c>
      <c r="AH1537" s="22" t="str">
        <f aca="false">IF(P1537&lt;&gt;A1537,"Faixa cadastrada como "&amp;P1537&amp;" na tabela; preço aplicado pela UF do CEP","")</f>
        <v/>
      </c>
      <c r="AI1537" s="26" t="n">
        <v>144.49</v>
      </c>
      <c r="AJ1537" s="22" t="str">
        <f aca="false">INDEX('Tabela Passaro'!$X$2:$X$1795,$N1537)</f>
        <v>CAPITAL</v>
      </c>
    </row>
    <row r="1538" customFormat="false" ht="15" hidden="false" customHeight="false" outlineLevel="0" collapsed="false">
      <c r="A1538" s="22" t="s">
        <v>20</v>
      </c>
      <c r="B1538" s="22" t="n">
        <v>10</v>
      </c>
      <c r="C1538" s="22" t="s">
        <v>165</v>
      </c>
      <c r="D1538" s="22" t="s">
        <v>30</v>
      </c>
      <c r="E1538" s="22" t="s">
        <v>7328</v>
      </c>
      <c r="F1538" s="22" t="n">
        <v>2309813</v>
      </c>
      <c r="G1538" s="30" t="n">
        <v>46244</v>
      </c>
      <c r="H1538" s="22" t="n">
        <v>132133</v>
      </c>
      <c r="I1538" s="22" t="s">
        <v>8738</v>
      </c>
      <c r="J1538" s="31" t="n">
        <v>35.2</v>
      </c>
      <c r="K1538" s="26" t="n">
        <v>621.81</v>
      </c>
      <c r="L1538" s="26" t="n">
        <v>182.16</v>
      </c>
      <c r="M1538" s="22" t="s">
        <v>4790</v>
      </c>
      <c r="N1538" s="22" t="n">
        <f aca="false">MATCH(M1538,'Tabela Passaro'!$A$2:$A$1795,0)</f>
        <v>1146</v>
      </c>
      <c r="O1538" s="22" t="str">
        <f aca="false">INDEX('Tabela Passaro'!$C$2:$C$1795,$N1538)</f>
        <v>IGARASSU</v>
      </c>
      <c r="P1538" s="22" t="str">
        <f aca="false">INDEX('Tabela Passaro'!$B$2:$B$1795,$N1538)</f>
        <v>PE</v>
      </c>
      <c r="Q1538" s="22" t="n">
        <f aca="false">INDEX('Tabela Passaro'!$F$2:$F$1795,$N1538)</f>
        <v>8</v>
      </c>
      <c r="R1538" s="32" t="n">
        <f aca="false">IF(J1538&lt;=10,INDEX('Tabela Passaro'!$G$2:$G$1795,$N1538),IF(J1538&lt;=30,INDEX('Tabela Passaro'!$H$2:$H$1795,$N1538),IF(J1538&lt;=50,INDEX('Tabela Passaro'!$I$2:$I$1795,$N1538),IF(J1538&lt;=70,INDEX('Tabela Passaro'!$J$2:$J$1795,$N1538),IF(J1538&lt;=100,INDEX('Tabela Passaro'!$K$2:$K$1795,$N1538),INDEX('Tabela Passaro'!$K$2:$K$1795,$N1538)+(J1538-100)*INDEX('Tabela Passaro'!$L$2:$L$1795,$N1538))))))</f>
        <v>88.59</v>
      </c>
      <c r="S1538" s="32" t="n">
        <f aca="false">K1538*INDEX('Tabela Passaro'!$M$2:$M$1795,$N1538)</f>
        <v>3.10905</v>
      </c>
      <c r="T1538" s="32" t="n">
        <f aca="false">K1538*INDEX('Tabela Passaro'!$N$2:$N$1795,$N1538)</f>
        <v>1.24362</v>
      </c>
      <c r="U1538" s="32" t="n">
        <f aca="false">INDEX('Tabela Passaro'!$O$2:$O$1795,$N1538)</f>
        <v>5</v>
      </c>
      <c r="V1538" s="32" t="n">
        <f aca="false">ROUNDUP(J1538/INDEX('Tabela Passaro'!$Q$2:$Q$1795,$N1538),0)*INDEX('Tabela Passaro'!$P$2:$P$1795,$N1538)</f>
        <v>5</v>
      </c>
      <c r="W1538" s="32" t="n">
        <f aca="false">INDEX('Tabela Passaro'!$R$2:$R$1795,$N1538)</f>
        <v>30</v>
      </c>
      <c r="X1538" s="32" t="n">
        <f aca="false">ROUNDUP(J1538/INDEX('Tabela Passaro'!$T$2:$T$1795,$N1538),0)*INDEX('Tabela Passaro'!$S$2:$S$1795,$N1538)</f>
        <v>0</v>
      </c>
      <c r="Y1538" s="32" t="n">
        <f aca="false">INDEX('Tabela Passaro'!$U$2:$U$1795,$N1538)</f>
        <v>0</v>
      </c>
      <c r="Z1538" s="32" t="n">
        <f aca="false">INDEX('Tabela Passaro'!$V$2:$V$1795,$N1538)</f>
        <v>0</v>
      </c>
      <c r="AA1538" s="32" t="n">
        <f aca="false">SUM(R1538:Z1538)</f>
        <v>132.94267</v>
      </c>
      <c r="AB1538" s="33" t="n">
        <f aca="false">INDEX(Premissas!$B$5:$B$13,MATCH(A1538,Premissas!$A$5:$A$13,0))</f>
        <v>0.07</v>
      </c>
      <c r="AC1538" s="32" t="n">
        <f aca="false">AA1538/(1-AB1538)-AA1538</f>
        <v>10.0064375268817</v>
      </c>
      <c r="AD1538" s="32" t="n">
        <f aca="false">ROUND(AA1538+AC1538,2)</f>
        <v>142.95</v>
      </c>
      <c r="AE1538" s="32" t="n">
        <f aca="false">AD1538-L1538</f>
        <v>-39.21</v>
      </c>
      <c r="AF1538" s="34" t="n">
        <f aca="false">IF(L1538=0,0,AE1538/L1538)</f>
        <v>-0.215250329380764</v>
      </c>
      <c r="AG1538" s="22" t="str">
        <f aca="false">IF(AD1538&lt;L1538,"PASSARO","ATUAL")</f>
        <v>PASSARO</v>
      </c>
      <c r="AH1538" s="22" t="str">
        <f aca="false">IF(P1538&lt;&gt;A1538,"Faixa cadastrada como "&amp;P1538&amp;" na tabela; preço aplicado pela UF do CEP","")</f>
        <v/>
      </c>
      <c r="AI1538" s="26" t="n">
        <v>172.52</v>
      </c>
      <c r="AJ1538" s="22" t="str">
        <f aca="false">INDEX('Tabela Passaro'!$X$2:$X$1795,$N1538)</f>
        <v>CAPITAL</v>
      </c>
    </row>
    <row r="1539" customFormat="false" ht="15" hidden="false" customHeight="false" outlineLevel="0" collapsed="false">
      <c r="A1539" s="22" t="s">
        <v>20</v>
      </c>
      <c r="B1539" s="22" t="n">
        <v>10</v>
      </c>
      <c r="C1539" s="22" t="s">
        <v>165</v>
      </c>
      <c r="D1539" s="22" t="s">
        <v>30</v>
      </c>
      <c r="E1539" s="22" t="s">
        <v>7326</v>
      </c>
      <c r="F1539" s="22" t="n">
        <v>524686</v>
      </c>
      <c r="G1539" s="30" t="n">
        <v>46247</v>
      </c>
      <c r="H1539" s="22" t="n">
        <v>624356</v>
      </c>
      <c r="I1539" s="22" t="s">
        <v>8739</v>
      </c>
      <c r="J1539" s="31" t="n">
        <v>125.8</v>
      </c>
      <c r="K1539" s="26" t="n">
        <v>2059.98</v>
      </c>
      <c r="L1539" s="26" t="n">
        <v>440.86</v>
      </c>
      <c r="M1539" s="22" t="s">
        <v>4790</v>
      </c>
      <c r="N1539" s="22" t="n">
        <f aca="false">MATCH(M1539,'Tabela Passaro'!$A$2:$A$1795,0)</f>
        <v>1146</v>
      </c>
      <c r="O1539" s="22" t="str">
        <f aca="false">INDEX('Tabela Passaro'!$C$2:$C$1795,$N1539)</f>
        <v>IGARASSU</v>
      </c>
      <c r="P1539" s="22" t="str">
        <f aca="false">INDEX('Tabela Passaro'!$B$2:$B$1795,$N1539)</f>
        <v>PE</v>
      </c>
      <c r="Q1539" s="22" t="n">
        <f aca="false">INDEX('Tabela Passaro'!$F$2:$F$1795,$N1539)</f>
        <v>8</v>
      </c>
      <c r="R1539" s="32" t="n">
        <f aca="false">IF(J1539&lt;=10,INDEX('Tabela Passaro'!$G$2:$G$1795,$N1539),IF(J1539&lt;=30,INDEX('Tabela Passaro'!$H$2:$H$1795,$N1539),IF(J1539&lt;=50,INDEX('Tabela Passaro'!$I$2:$I$1795,$N1539),IF(J1539&lt;=70,INDEX('Tabela Passaro'!$J$2:$J$1795,$N1539),IF(J1539&lt;=100,INDEX('Tabela Passaro'!$K$2:$K$1795,$N1539),INDEX('Tabela Passaro'!$K$2:$K$1795,$N1539)+(J1539-100)*INDEX('Tabela Passaro'!$L$2:$L$1795,$N1539))))))</f>
        <v>158.194</v>
      </c>
      <c r="S1539" s="32" t="n">
        <f aca="false">K1539*INDEX('Tabela Passaro'!$M$2:$M$1795,$N1539)</f>
        <v>10.2999</v>
      </c>
      <c r="T1539" s="32" t="n">
        <f aca="false">K1539*INDEX('Tabela Passaro'!$N$2:$N$1795,$N1539)</f>
        <v>4.11996</v>
      </c>
      <c r="U1539" s="32" t="n">
        <f aca="false">INDEX('Tabela Passaro'!$O$2:$O$1795,$N1539)</f>
        <v>5</v>
      </c>
      <c r="V1539" s="32" t="n">
        <f aca="false">ROUNDUP(J1539/INDEX('Tabela Passaro'!$Q$2:$Q$1795,$N1539),0)*INDEX('Tabela Passaro'!$P$2:$P$1795,$N1539)</f>
        <v>10</v>
      </c>
      <c r="W1539" s="32" t="n">
        <f aca="false">INDEX('Tabela Passaro'!$R$2:$R$1795,$N1539)</f>
        <v>30</v>
      </c>
      <c r="X1539" s="32" t="n">
        <f aca="false">ROUNDUP(J1539/INDEX('Tabela Passaro'!$T$2:$T$1795,$N1539),0)*INDEX('Tabela Passaro'!$S$2:$S$1795,$N1539)</f>
        <v>0</v>
      </c>
      <c r="Y1539" s="32" t="n">
        <f aca="false">INDEX('Tabela Passaro'!$U$2:$U$1795,$N1539)</f>
        <v>0</v>
      </c>
      <c r="Z1539" s="32" t="n">
        <f aca="false">INDEX('Tabela Passaro'!$V$2:$V$1795,$N1539)</f>
        <v>0</v>
      </c>
      <c r="AA1539" s="32" t="n">
        <f aca="false">SUM(R1539:Z1539)</f>
        <v>217.61386</v>
      </c>
      <c r="AB1539" s="33" t="n">
        <f aca="false">INDEX(Premissas!$B$5:$B$13,MATCH(A1539,Premissas!$A$5:$A$13,0))</f>
        <v>0.07</v>
      </c>
      <c r="AC1539" s="32" t="n">
        <f aca="false">AA1539/(1-AB1539)-AA1539</f>
        <v>16.3795378494624</v>
      </c>
      <c r="AD1539" s="32" t="n">
        <f aca="false">ROUND(AA1539+AC1539,2)</f>
        <v>233.99</v>
      </c>
      <c r="AE1539" s="32" t="n">
        <f aca="false">AD1539-L1539</f>
        <v>-206.87</v>
      </c>
      <c r="AF1539" s="34" t="n">
        <f aca="false">IF(L1539=0,0,AE1539/L1539)</f>
        <v>-0.469241936215579</v>
      </c>
      <c r="AG1539" s="22" t="str">
        <f aca="false">IF(AD1539&lt;L1539,"PASSARO","ATUAL")</f>
        <v>PASSARO</v>
      </c>
      <c r="AH1539" s="22" t="str">
        <f aca="false">IF(P1539&lt;&gt;A1539,"Faixa cadastrada como "&amp;P1539&amp;" na tabela; preço aplicado pela UF do CEP","")</f>
        <v/>
      </c>
      <c r="AI1539" s="26" t="n">
        <v>317.44</v>
      </c>
      <c r="AJ1539" s="22" t="str">
        <f aca="false">INDEX('Tabela Passaro'!$X$2:$X$1795,$N1539)</f>
        <v>CAPITAL</v>
      </c>
    </row>
    <row r="1540" customFormat="false" ht="15" hidden="false" customHeight="false" outlineLevel="0" collapsed="false">
      <c r="A1540" s="22" t="s">
        <v>20</v>
      </c>
      <c r="B1540" s="22" t="n">
        <v>10</v>
      </c>
      <c r="C1540" s="22" t="s">
        <v>165</v>
      </c>
      <c r="D1540" s="22" t="s">
        <v>30</v>
      </c>
      <c r="E1540" s="22" t="s">
        <v>7328</v>
      </c>
      <c r="F1540" s="22" t="n">
        <v>2312303</v>
      </c>
      <c r="G1540" s="30" t="n">
        <v>46248</v>
      </c>
      <c r="H1540" s="22" t="n">
        <v>133202</v>
      </c>
      <c r="I1540" s="22" t="s">
        <v>8740</v>
      </c>
      <c r="J1540" s="31" t="n">
        <v>66.4</v>
      </c>
      <c r="K1540" s="26" t="n">
        <v>951.53</v>
      </c>
      <c r="L1540" s="26" t="n">
        <v>234.36</v>
      </c>
      <c r="M1540" s="22" t="s">
        <v>4790</v>
      </c>
      <c r="N1540" s="22" t="n">
        <f aca="false">MATCH(M1540,'Tabela Passaro'!$A$2:$A$1795,0)</f>
        <v>1146</v>
      </c>
      <c r="O1540" s="22" t="str">
        <f aca="false">INDEX('Tabela Passaro'!$C$2:$C$1795,$N1540)</f>
        <v>IGARASSU</v>
      </c>
      <c r="P1540" s="22" t="str">
        <f aca="false">INDEX('Tabela Passaro'!$B$2:$B$1795,$N1540)</f>
        <v>PE</v>
      </c>
      <c r="Q1540" s="22" t="n">
        <f aca="false">INDEX('Tabela Passaro'!$F$2:$F$1795,$N1540)</f>
        <v>8</v>
      </c>
      <c r="R1540" s="32" t="n">
        <f aca="false">IF(J1540&lt;=10,INDEX('Tabela Passaro'!$G$2:$G$1795,$N1540),IF(J1540&lt;=30,INDEX('Tabela Passaro'!$H$2:$H$1795,$N1540),IF(J1540&lt;=50,INDEX('Tabela Passaro'!$I$2:$I$1795,$N1540),IF(J1540&lt;=70,INDEX('Tabela Passaro'!$J$2:$J$1795,$N1540),IF(J1540&lt;=100,INDEX('Tabela Passaro'!$K$2:$K$1795,$N1540),INDEX('Tabela Passaro'!$K$2:$K$1795,$N1540)+(J1540-100)*INDEX('Tabela Passaro'!$L$2:$L$1795,$N1540))))))</f>
        <v>99.61</v>
      </c>
      <c r="S1540" s="32" t="n">
        <f aca="false">K1540*INDEX('Tabela Passaro'!$M$2:$M$1795,$N1540)</f>
        <v>4.75765</v>
      </c>
      <c r="T1540" s="32" t="n">
        <f aca="false">K1540*INDEX('Tabela Passaro'!$N$2:$N$1795,$N1540)</f>
        <v>1.90306</v>
      </c>
      <c r="U1540" s="32" t="n">
        <f aca="false">INDEX('Tabela Passaro'!$O$2:$O$1795,$N1540)</f>
        <v>5</v>
      </c>
      <c r="V1540" s="32" t="n">
        <f aca="false">ROUNDUP(J1540/INDEX('Tabela Passaro'!$Q$2:$Q$1795,$N1540),0)*INDEX('Tabela Passaro'!$P$2:$P$1795,$N1540)</f>
        <v>5</v>
      </c>
      <c r="W1540" s="32" t="n">
        <f aca="false">INDEX('Tabela Passaro'!$R$2:$R$1795,$N1540)</f>
        <v>30</v>
      </c>
      <c r="X1540" s="32" t="n">
        <f aca="false">ROUNDUP(J1540/INDEX('Tabela Passaro'!$T$2:$T$1795,$N1540),0)*INDEX('Tabela Passaro'!$S$2:$S$1795,$N1540)</f>
        <v>0</v>
      </c>
      <c r="Y1540" s="32" t="n">
        <f aca="false">INDEX('Tabela Passaro'!$U$2:$U$1795,$N1540)</f>
        <v>0</v>
      </c>
      <c r="Z1540" s="32" t="n">
        <f aca="false">INDEX('Tabela Passaro'!$V$2:$V$1795,$N1540)</f>
        <v>0</v>
      </c>
      <c r="AA1540" s="32" t="n">
        <f aca="false">SUM(R1540:Z1540)</f>
        <v>146.27071</v>
      </c>
      <c r="AB1540" s="33" t="n">
        <f aca="false">INDEX(Premissas!$B$5:$B$13,MATCH(A1540,Premissas!$A$5:$A$13,0))</f>
        <v>0.07</v>
      </c>
      <c r="AC1540" s="32" t="n">
        <f aca="false">AA1540/(1-AB1540)-AA1540</f>
        <v>11.0096233333333</v>
      </c>
      <c r="AD1540" s="32" t="n">
        <f aca="false">ROUND(AA1540+AC1540,2)</f>
        <v>157.28</v>
      </c>
      <c r="AE1540" s="32" t="n">
        <f aca="false">AD1540-L1540</f>
        <v>-77.08</v>
      </c>
      <c r="AF1540" s="34" t="n">
        <f aca="false">IF(L1540=0,0,AE1540/L1540)</f>
        <v>-0.32889571599249</v>
      </c>
      <c r="AG1540" s="22" t="str">
        <f aca="false">IF(AD1540&lt;L1540,"PASSARO","ATUAL")</f>
        <v>PASSARO</v>
      </c>
      <c r="AH1540" s="22" t="str">
        <f aca="false">IF(P1540&lt;&gt;A1540,"Faixa cadastrada como "&amp;P1540&amp;" na tabela; preço aplicado pela UF do CEP","")</f>
        <v/>
      </c>
      <c r="AI1540" s="26" t="n">
        <v>203.24</v>
      </c>
      <c r="AJ1540" s="22" t="str">
        <f aca="false">INDEX('Tabela Passaro'!$X$2:$X$1795,$N1540)</f>
        <v>CAPITAL</v>
      </c>
    </row>
    <row r="1541" customFormat="false" ht="15" hidden="false" customHeight="false" outlineLevel="0" collapsed="false">
      <c r="A1541" s="22" t="s">
        <v>20</v>
      </c>
      <c r="B1541" s="22" t="n">
        <v>10</v>
      </c>
      <c r="C1541" s="22" t="s">
        <v>165</v>
      </c>
      <c r="D1541" s="22" t="s">
        <v>30</v>
      </c>
      <c r="E1541" s="22" t="s">
        <v>7326</v>
      </c>
      <c r="F1541" s="22" t="n">
        <v>525352</v>
      </c>
      <c r="G1541" s="30" t="n">
        <v>46251</v>
      </c>
      <c r="H1541" s="22" t="n">
        <v>625636</v>
      </c>
      <c r="I1541" s="22" t="s">
        <v>8741</v>
      </c>
      <c r="J1541" s="31" t="n">
        <v>28.8</v>
      </c>
      <c r="K1541" s="26" t="n">
        <v>991.71</v>
      </c>
      <c r="L1541" s="26" t="n">
        <v>149.11</v>
      </c>
      <c r="M1541" s="22" t="s">
        <v>4790</v>
      </c>
      <c r="N1541" s="22" t="n">
        <f aca="false">MATCH(M1541,'Tabela Passaro'!$A$2:$A$1795,0)</f>
        <v>1146</v>
      </c>
      <c r="O1541" s="22" t="str">
        <f aca="false">INDEX('Tabela Passaro'!$C$2:$C$1795,$N1541)</f>
        <v>IGARASSU</v>
      </c>
      <c r="P1541" s="22" t="str">
        <f aca="false">INDEX('Tabela Passaro'!$B$2:$B$1795,$N1541)</f>
        <v>PE</v>
      </c>
      <c r="Q1541" s="22" t="n">
        <f aca="false">INDEX('Tabela Passaro'!$F$2:$F$1795,$N1541)</f>
        <v>8</v>
      </c>
      <c r="R1541" s="32" t="n">
        <f aca="false">IF(J1541&lt;=10,INDEX('Tabela Passaro'!$G$2:$G$1795,$N1541),IF(J1541&lt;=30,INDEX('Tabela Passaro'!$H$2:$H$1795,$N1541),IF(J1541&lt;=50,INDEX('Tabela Passaro'!$I$2:$I$1795,$N1541),IF(J1541&lt;=70,INDEX('Tabela Passaro'!$J$2:$J$1795,$N1541),IF(J1541&lt;=100,INDEX('Tabela Passaro'!$K$2:$K$1795,$N1541),INDEX('Tabela Passaro'!$K$2:$K$1795,$N1541)+(J1541-100)*INDEX('Tabela Passaro'!$L$2:$L$1795,$N1541))))))</f>
        <v>66.55</v>
      </c>
      <c r="S1541" s="32" t="n">
        <f aca="false">K1541*INDEX('Tabela Passaro'!$M$2:$M$1795,$N1541)</f>
        <v>4.95855</v>
      </c>
      <c r="T1541" s="32" t="n">
        <f aca="false">K1541*INDEX('Tabela Passaro'!$N$2:$N$1795,$N1541)</f>
        <v>1.98342</v>
      </c>
      <c r="U1541" s="32" t="n">
        <f aca="false">INDEX('Tabela Passaro'!$O$2:$O$1795,$N1541)</f>
        <v>5</v>
      </c>
      <c r="V1541" s="32" t="n">
        <f aca="false">ROUNDUP(J1541/INDEX('Tabela Passaro'!$Q$2:$Q$1795,$N1541),0)*INDEX('Tabela Passaro'!$P$2:$P$1795,$N1541)</f>
        <v>5</v>
      </c>
      <c r="W1541" s="32" t="n">
        <f aca="false">INDEX('Tabela Passaro'!$R$2:$R$1795,$N1541)</f>
        <v>30</v>
      </c>
      <c r="X1541" s="32" t="n">
        <f aca="false">ROUNDUP(J1541/INDEX('Tabela Passaro'!$T$2:$T$1795,$N1541),0)*INDEX('Tabela Passaro'!$S$2:$S$1795,$N1541)</f>
        <v>0</v>
      </c>
      <c r="Y1541" s="32" t="n">
        <f aca="false">INDEX('Tabela Passaro'!$U$2:$U$1795,$N1541)</f>
        <v>0</v>
      </c>
      <c r="Z1541" s="32" t="n">
        <f aca="false">INDEX('Tabela Passaro'!$V$2:$V$1795,$N1541)</f>
        <v>0</v>
      </c>
      <c r="AA1541" s="32" t="n">
        <f aca="false">SUM(R1541:Z1541)</f>
        <v>113.49197</v>
      </c>
      <c r="AB1541" s="33" t="n">
        <f aca="false">INDEX(Premissas!$B$5:$B$13,MATCH(A1541,Premissas!$A$5:$A$13,0))</f>
        <v>0.07</v>
      </c>
      <c r="AC1541" s="32" t="n">
        <f aca="false">AA1541/(1-AB1541)-AA1541</f>
        <v>8.54240634408603</v>
      </c>
      <c r="AD1541" s="32" t="n">
        <f aca="false">ROUND(AA1541+AC1541,2)</f>
        <v>122.03</v>
      </c>
      <c r="AE1541" s="32" t="n">
        <f aca="false">AD1541-L1541</f>
        <v>-27.08</v>
      </c>
      <c r="AF1541" s="34" t="n">
        <f aca="false">IF(L1541=0,0,AE1541/L1541)</f>
        <v>-0.181610891288311</v>
      </c>
      <c r="AG1541" s="22" t="str">
        <f aca="false">IF(AD1541&lt;L1541,"PASSARO","ATUAL")</f>
        <v>PASSARO</v>
      </c>
      <c r="AH1541" s="22" t="str">
        <f aca="false">IF(P1541&lt;&gt;A1541,"Faixa cadastrada como "&amp;P1541&amp;" na tabela; preço aplicado pela UF do CEP","")</f>
        <v/>
      </c>
      <c r="AI1541" s="26" t="n">
        <v>147.66</v>
      </c>
      <c r="AJ1541" s="22" t="str">
        <f aca="false">INDEX('Tabela Passaro'!$X$2:$X$1795,$N1541)</f>
        <v>CAPITAL</v>
      </c>
    </row>
    <row r="1542" customFormat="false" ht="15" hidden="false" customHeight="false" outlineLevel="0" collapsed="false">
      <c r="A1542" s="22" t="s">
        <v>20</v>
      </c>
      <c r="B1542" s="22" t="n">
        <v>10</v>
      </c>
      <c r="C1542" s="22" t="s">
        <v>165</v>
      </c>
      <c r="D1542" s="22" t="s">
        <v>30</v>
      </c>
      <c r="E1542" s="22" t="s">
        <v>7326</v>
      </c>
      <c r="F1542" s="22" t="n">
        <v>526646</v>
      </c>
      <c r="G1542" s="30" t="n">
        <v>46255</v>
      </c>
      <c r="H1542" s="22" t="n">
        <v>628026</v>
      </c>
      <c r="I1542" s="22" t="s">
        <v>8742</v>
      </c>
      <c r="J1542" s="31" t="n">
        <v>73.1</v>
      </c>
      <c r="K1542" s="26" t="n">
        <v>1297.7</v>
      </c>
      <c r="L1542" s="26" t="n">
        <v>340.02</v>
      </c>
      <c r="M1542" s="22" t="s">
        <v>4790</v>
      </c>
      <c r="N1542" s="22" t="n">
        <f aca="false">MATCH(M1542,'Tabela Passaro'!$A$2:$A$1795,0)</f>
        <v>1146</v>
      </c>
      <c r="O1542" s="22" t="str">
        <f aca="false">INDEX('Tabela Passaro'!$C$2:$C$1795,$N1542)</f>
        <v>IGARASSU</v>
      </c>
      <c r="P1542" s="22" t="str">
        <f aca="false">INDEX('Tabela Passaro'!$B$2:$B$1795,$N1542)</f>
        <v>PE</v>
      </c>
      <c r="Q1542" s="22" t="n">
        <f aca="false">INDEX('Tabela Passaro'!$F$2:$F$1795,$N1542)</f>
        <v>8</v>
      </c>
      <c r="R1542" s="32" t="n">
        <f aca="false">IF(J1542&lt;=10,INDEX('Tabela Passaro'!$G$2:$G$1795,$N1542),IF(J1542&lt;=30,INDEX('Tabela Passaro'!$H$2:$H$1795,$N1542),IF(J1542&lt;=50,INDEX('Tabela Passaro'!$I$2:$I$1795,$N1542),IF(J1542&lt;=70,INDEX('Tabela Passaro'!$J$2:$J$1795,$N1542),IF(J1542&lt;=100,INDEX('Tabela Passaro'!$K$2:$K$1795,$N1542),INDEX('Tabela Passaro'!$K$2:$K$1795,$N1542)+(J1542-100)*INDEX('Tabela Passaro'!$L$2:$L$1795,$N1542))))))</f>
        <v>116.14</v>
      </c>
      <c r="S1542" s="32" t="n">
        <f aca="false">K1542*INDEX('Tabela Passaro'!$M$2:$M$1795,$N1542)</f>
        <v>6.4885</v>
      </c>
      <c r="T1542" s="32" t="n">
        <f aca="false">K1542*INDEX('Tabela Passaro'!$N$2:$N$1795,$N1542)</f>
        <v>2.5954</v>
      </c>
      <c r="U1542" s="32" t="n">
        <f aca="false">INDEX('Tabela Passaro'!$O$2:$O$1795,$N1542)</f>
        <v>5</v>
      </c>
      <c r="V1542" s="32" t="n">
        <f aca="false">ROUNDUP(J1542/INDEX('Tabela Passaro'!$Q$2:$Q$1795,$N1542),0)*INDEX('Tabela Passaro'!$P$2:$P$1795,$N1542)</f>
        <v>5</v>
      </c>
      <c r="W1542" s="32" t="n">
        <f aca="false">INDEX('Tabela Passaro'!$R$2:$R$1795,$N1542)</f>
        <v>30</v>
      </c>
      <c r="X1542" s="32" t="n">
        <f aca="false">ROUNDUP(J1542/INDEX('Tabela Passaro'!$T$2:$T$1795,$N1542),0)*INDEX('Tabela Passaro'!$S$2:$S$1795,$N1542)</f>
        <v>0</v>
      </c>
      <c r="Y1542" s="32" t="n">
        <f aca="false">INDEX('Tabela Passaro'!$U$2:$U$1795,$N1542)</f>
        <v>0</v>
      </c>
      <c r="Z1542" s="32" t="n">
        <f aca="false">INDEX('Tabela Passaro'!$V$2:$V$1795,$N1542)</f>
        <v>0</v>
      </c>
      <c r="AA1542" s="32" t="n">
        <f aca="false">SUM(R1542:Z1542)</f>
        <v>165.2239</v>
      </c>
      <c r="AB1542" s="33" t="n">
        <f aca="false">INDEX(Premissas!$B$5:$B$13,MATCH(A1542,Premissas!$A$5:$A$13,0))</f>
        <v>0.07</v>
      </c>
      <c r="AC1542" s="32" t="n">
        <f aca="false">AA1542/(1-AB1542)-AA1542</f>
        <v>12.4362075268817</v>
      </c>
      <c r="AD1542" s="32" t="n">
        <f aca="false">ROUND(AA1542+AC1542,2)</f>
        <v>177.66</v>
      </c>
      <c r="AE1542" s="32" t="n">
        <f aca="false">AD1542-L1542</f>
        <v>-162.36</v>
      </c>
      <c r="AF1542" s="34" t="n">
        <f aca="false">IF(L1542=0,0,AE1542/L1542)</f>
        <v>-0.477501323451562</v>
      </c>
      <c r="AG1542" s="22" t="str">
        <f aca="false">IF(AD1542&lt;L1542,"PASSARO","ATUAL")</f>
        <v>PASSARO</v>
      </c>
      <c r="AH1542" s="22" t="str">
        <f aca="false">IF(P1542&lt;&gt;A1542,"Faixa cadastrada como "&amp;P1542&amp;" na tabela; preço aplicado pela UF do CEP","")</f>
        <v/>
      </c>
      <c r="AI1542" s="26" t="n">
        <v>228.76</v>
      </c>
      <c r="AJ1542" s="22" t="str">
        <f aca="false">INDEX('Tabela Passaro'!$X$2:$X$1795,$N1542)</f>
        <v>CAPITAL</v>
      </c>
    </row>
    <row r="1543" customFormat="false" ht="15" hidden="false" customHeight="false" outlineLevel="0" collapsed="false">
      <c r="A1543" s="22" t="s">
        <v>20</v>
      </c>
      <c r="B1543" s="22" t="n">
        <v>10</v>
      </c>
      <c r="C1543" s="22" t="s">
        <v>165</v>
      </c>
      <c r="D1543" s="22" t="s">
        <v>30</v>
      </c>
      <c r="E1543" s="22" t="s">
        <v>7326</v>
      </c>
      <c r="F1543" s="22" t="n">
        <v>526903</v>
      </c>
      <c r="G1543" s="30" t="n">
        <v>46258</v>
      </c>
      <c r="H1543" s="22" t="n">
        <v>627928</v>
      </c>
      <c r="I1543" s="22" t="s">
        <v>8743</v>
      </c>
      <c r="J1543" s="31" t="n">
        <v>66</v>
      </c>
      <c r="K1543" s="26" t="n">
        <v>1625.98</v>
      </c>
      <c r="L1543" s="26" t="n">
        <v>275.88</v>
      </c>
      <c r="M1543" s="22" t="s">
        <v>4790</v>
      </c>
      <c r="N1543" s="22" t="n">
        <f aca="false">MATCH(M1543,'Tabela Passaro'!$A$2:$A$1795,0)</f>
        <v>1146</v>
      </c>
      <c r="O1543" s="22" t="str">
        <f aca="false">INDEX('Tabela Passaro'!$C$2:$C$1795,$N1543)</f>
        <v>IGARASSU</v>
      </c>
      <c r="P1543" s="22" t="str">
        <f aca="false">INDEX('Tabela Passaro'!$B$2:$B$1795,$N1543)</f>
        <v>PE</v>
      </c>
      <c r="Q1543" s="22" t="n">
        <f aca="false">INDEX('Tabela Passaro'!$F$2:$F$1795,$N1543)</f>
        <v>8</v>
      </c>
      <c r="R1543" s="32" t="n">
        <f aca="false">IF(J1543&lt;=10,INDEX('Tabela Passaro'!$G$2:$G$1795,$N1543),IF(J1543&lt;=30,INDEX('Tabela Passaro'!$H$2:$H$1795,$N1543),IF(J1543&lt;=50,INDEX('Tabela Passaro'!$I$2:$I$1795,$N1543),IF(J1543&lt;=70,INDEX('Tabela Passaro'!$J$2:$J$1795,$N1543),IF(J1543&lt;=100,INDEX('Tabela Passaro'!$K$2:$K$1795,$N1543),INDEX('Tabela Passaro'!$K$2:$K$1795,$N1543)+(J1543-100)*INDEX('Tabela Passaro'!$L$2:$L$1795,$N1543))))))</f>
        <v>99.61</v>
      </c>
      <c r="S1543" s="32" t="n">
        <f aca="false">K1543*INDEX('Tabela Passaro'!$M$2:$M$1795,$N1543)</f>
        <v>8.1299</v>
      </c>
      <c r="T1543" s="32" t="n">
        <f aca="false">K1543*INDEX('Tabela Passaro'!$N$2:$N$1795,$N1543)</f>
        <v>3.25196</v>
      </c>
      <c r="U1543" s="32" t="n">
        <f aca="false">INDEX('Tabela Passaro'!$O$2:$O$1795,$N1543)</f>
        <v>5</v>
      </c>
      <c r="V1543" s="32" t="n">
        <f aca="false">ROUNDUP(J1543/INDEX('Tabela Passaro'!$Q$2:$Q$1795,$N1543),0)*INDEX('Tabela Passaro'!$P$2:$P$1795,$N1543)</f>
        <v>5</v>
      </c>
      <c r="W1543" s="32" t="n">
        <f aca="false">INDEX('Tabela Passaro'!$R$2:$R$1795,$N1543)</f>
        <v>30</v>
      </c>
      <c r="X1543" s="32" t="n">
        <f aca="false">ROUNDUP(J1543/INDEX('Tabela Passaro'!$T$2:$T$1795,$N1543),0)*INDEX('Tabela Passaro'!$S$2:$S$1795,$N1543)</f>
        <v>0</v>
      </c>
      <c r="Y1543" s="32" t="n">
        <f aca="false">INDEX('Tabela Passaro'!$U$2:$U$1795,$N1543)</f>
        <v>0</v>
      </c>
      <c r="Z1543" s="32" t="n">
        <f aca="false">INDEX('Tabela Passaro'!$V$2:$V$1795,$N1543)</f>
        <v>0</v>
      </c>
      <c r="AA1543" s="32" t="n">
        <f aca="false">SUM(R1543:Z1543)</f>
        <v>150.99186</v>
      </c>
      <c r="AB1543" s="33" t="n">
        <f aca="false">INDEX(Premissas!$B$5:$B$13,MATCH(A1543,Premissas!$A$5:$A$13,0))</f>
        <v>0.07</v>
      </c>
      <c r="AC1543" s="32" t="n">
        <f aca="false">AA1543/(1-AB1543)-AA1543</f>
        <v>11.3649787096774</v>
      </c>
      <c r="AD1543" s="32" t="n">
        <f aca="false">ROUND(AA1543+AC1543,2)</f>
        <v>162.36</v>
      </c>
      <c r="AE1543" s="32" t="n">
        <f aca="false">AD1543-L1543</f>
        <v>-113.52</v>
      </c>
      <c r="AF1543" s="34" t="n">
        <f aca="false">IF(L1543=0,0,AE1543/L1543)</f>
        <v>-0.411483253588517</v>
      </c>
      <c r="AG1543" s="22" t="str">
        <f aca="false">IF(AD1543&lt;L1543,"PASSARO","ATUAL")</f>
        <v>PASSARO</v>
      </c>
      <c r="AH1543" s="22" t="str">
        <f aca="false">IF(P1543&lt;&gt;A1543,"Faixa cadastrada como "&amp;P1543&amp;" na tabela; preço aplicado pela UF do CEP","")</f>
        <v/>
      </c>
      <c r="AI1543" s="26" t="n">
        <v>209.28</v>
      </c>
      <c r="AJ1543" s="22" t="str">
        <f aca="false">INDEX('Tabela Passaro'!$X$2:$X$1795,$N1543)</f>
        <v>CAPITAL</v>
      </c>
    </row>
    <row r="1544" customFormat="false" ht="15" hidden="false" customHeight="false" outlineLevel="0" collapsed="false">
      <c r="A1544" s="22" t="s">
        <v>20</v>
      </c>
      <c r="B1544" s="22" t="n">
        <v>10</v>
      </c>
      <c r="C1544" s="22" t="s">
        <v>165</v>
      </c>
      <c r="D1544" s="22" t="s">
        <v>30</v>
      </c>
      <c r="E1544" s="22" t="s">
        <v>20</v>
      </c>
      <c r="F1544" s="22" t="n">
        <v>839999</v>
      </c>
      <c r="G1544" s="30" t="n">
        <v>46259</v>
      </c>
      <c r="H1544" s="22" t="n">
        <v>32646</v>
      </c>
      <c r="I1544" s="22" t="s">
        <v>8744</v>
      </c>
      <c r="J1544" s="31" t="n">
        <v>38.6</v>
      </c>
      <c r="K1544" s="26" t="n">
        <v>746.9</v>
      </c>
      <c r="L1544" s="26" t="n">
        <v>128.29</v>
      </c>
      <c r="M1544" s="22" t="s">
        <v>4790</v>
      </c>
      <c r="N1544" s="22" t="n">
        <f aca="false">MATCH(M1544,'Tabela Passaro'!$A$2:$A$1795,0)</f>
        <v>1146</v>
      </c>
      <c r="O1544" s="22" t="str">
        <f aca="false">INDEX('Tabela Passaro'!$C$2:$C$1795,$N1544)</f>
        <v>IGARASSU</v>
      </c>
      <c r="P1544" s="22" t="str">
        <f aca="false">INDEX('Tabela Passaro'!$B$2:$B$1795,$N1544)</f>
        <v>PE</v>
      </c>
      <c r="Q1544" s="22" t="n">
        <f aca="false">INDEX('Tabela Passaro'!$F$2:$F$1795,$N1544)</f>
        <v>8</v>
      </c>
      <c r="R1544" s="32" t="n">
        <f aca="false">IF(J1544&lt;=10,INDEX('Tabela Passaro'!$G$2:$G$1795,$N1544),IF(J1544&lt;=30,INDEX('Tabela Passaro'!$H$2:$H$1795,$N1544),IF(J1544&lt;=50,INDEX('Tabela Passaro'!$I$2:$I$1795,$N1544),IF(J1544&lt;=70,INDEX('Tabela Passaro'!$J$2:$J$1795,$N1544),IF(J1544&lt;=100,INDEX('Tabela Passaro'!$K$2:$K$1795,$N1544),INDEX('Tabela Passaro'!$K$2:$K$1795,$N1544)+(J1544-100)*INDEX('Tabela Passaro'!$L$2:$L$1795,$N1544))))))</f>
        <v>88.59</v>
      </c>
      <c r="S1544" s="32" t="n">
        <f aca="false">K1544*INDEX('Tabela Passaro'!$M$2:$M$1795,$N1544)</f>
        <v>3.7345</v>
      </c>
      <c r="T1544" s="32" t="n">
        <f aca="false">K1544*INDEX('Tabela Passaro'!$N$2:$N$1795,$N1544)</f>
        <v>1.4938</v>
      </c>
      <c r="U1544" s="32" t="n">
        <f aca="false">INDEX('Tabela Passaro'!$O$2:$O$1795,$N1544)</f>
        <v>5</v>
      </c>
      <c r="V1544" s="32" t="n">
        <f aca="false">ROUNDUP(J1544/INDEX('Tabela Passaro'!$Q$2:$Q$1795,$N1544),0)*INDEX('Tabela Passaro'!$P$2:$P$1795,$N1544)</f>
        <v>5</v>
      </c>
      <c r="W1544" s="32" t="n">
        <f aca="false">INDEX('Tabela Passaro'!$R$2:$R$1795,$N1544)</f>
        <v>30</v>
      </c>
      <c r="X1544" s="32" t="n">
        <f aca="false">ROUNDUP(J1544/INDEX('Tabela Passaro'!$T$2:$T$1795,$N1544),0)*INDEX('Tabela Passaro'!$S$2:$S$1795,$N1544)</f>
        <v>0</v>
      </c>
      <c r="Y1544" s="32" t="n">
        <f aca="false">INDEX('Tabela Passaro'!$U$2:$U$1795,$N1544)</f>
        <v>0</v>
      </c>
      <c r="Z1544" s="32" t="n">
        <f aca="false">INDEX('Tabela Passaro'!$V$2:$V$1795,$N1544)</f>
        <v>0</v>
      </c>
      <c r="AA1544" s="32" t="n">
        <f aca="false">SUM(R1544:Z1544)</f>
        <v>133.8183</v>
      </c>
      <c r="AB1544" s="33" t="n">
        <f aca="false">INDEX(Premissas!$B$5:$B$13,MATCH(A1544,Premissas!$A$5:$A$13,0))</f>
        <v>0.07</v>
      </c>
      <c r="AC1544" s="32" t="n">
        <f aca="false">AA1544/(1-AB1544)-AA1544</f>
        <v>10.0723451612903</v>
      </c>
      <c r="AD1544" s="32" t="n">
        <f aca="false">ROUND(AA1544+AC1544,2)</f>
        <v>143.89</v>
      </c>
      <c r="AE1544" s="32" t="n">
        <f aca="false">AD1544-L1544</f>
        <v>15.6</v>
      </c>
      <c r="AF1544" s="34" t="n">
        <f aca="false">IF(L1544=0,0,AE1544/L1544)</f>
        <v>0.121599501130252</v>
      </c>
      <c r="AG1544" s="22" t="str">
        <f aca="false">IF(AD1544&lt;L1544,"PASSARO","ATUAL")</f>
        <v>ATUAL</v>
      </c>
      <c r="AH1544" s="22" t="str">
        <f aca="false">IF(P1544&lt;&gt;A1544,"Faixa cadastrada como "&amp;P1544&amp;" na tabela; preço aplicado pela UF do CEP","")</f>
        <v/>
      </c>
      <c r="AI1544" s="26" t="n">
        <v>175.19</v>
      </c>
      <c r="AJ1544" s="22" t="str">
        <f aca="false">INDEX('Tabela Passaro'!$X$2:$X$1795,$N1544)</f>
        <v>CAPITAL</v>
      </c>
    </row>
    <row r="1545" customFormat="false" ht="15" hidden="false" customHeight="false" outlineLevel="0" collapsed="false">
      <c r="A1545" s="22" t="s">
        <v>20</v>
      </c>
      <c r="B1545" s="22" t="n">
        <v>10</v>
      </c>
      <c r="C1545" s="22" t="s">
        <v>165</v>
      </c>
      <c r="D1545" s="22" t="s">
        <v>34</v>
      </c>
      <c r="E1545" s="22" t="s">
        <v>7399</v>
      </c>
      <c r="F1545" s="22" t="n">
        <v>665818</v>
      </c>
      <c r="G1545" s="30" t="n">
        <v>46256</v>
      </c>
      <c r="H1545" s="22" t="n">
        <v>7865</v>
      </c>
      <c r="I1545" s="22" t="s">
        <v>8745</v>
      </c>
      <c r="J1545" s="31" t="n">
        <v>51.06</v>
      </c>
      <c r="K1545" s="26" t="n">
        <v>822.11</v>
      </c>
      <c r="L1545" s="26" t="n">
        <v>207.72</v>
      </c>
      <c r="M1545" s="22" t="s">
        <v>4790</v>
      </c>
      <c r="N1545" s="22" t="n">
        <f aca="false">MATCH(M1545,'Tabela Passaro'!$A$2:$A$1795,0)</f>
        <v>1146</v>
      </c>
      <c r="O1545" s="22" t="str">
        <f aca="false">INDEX('Tabela Passaro'!$C$2:$C$1795,$N1545)</f>
        <v>IGARASSU</v>
      </c>
      <c r="P1545" s="22" t="str">
        <f aca="false">INDEX('Tabela Passaro'!$B$2:$B$1795,$N1545)</f>
        <v>PE</v>
      </c>
      <c r="Q1545" s="22" t="n">
        <f aca="false">INDEX('Tabela Passaro'!$F$2:$F$1795,$N1545)</f>
        <v>8</v>
      </c>
      <c r="R1545" s="32" t="n">
        <f aca="false">IF(J1545&lt;=10,INDEX('Tabela Passaro'!$G$2:$G$1795,$N1545),IF(J1545&lt;=30,INDEX('Tabela Passaro'!$H$2:$H$1795,$N1545),IF(J1545&lt;=50,INDEX('Tabela Passaro'!$I$2:$I$1795,$N1545),IF(J1545&lt;=70,INDEX('Tabela Passaro'!$J$2:$J$1795,$N1545),IF(J1545&lt;=100,INDEX('Tabela Passaro'!$K$2:$K$1795,$N1545),INDEX('Tabela Passaro'!$K$2:$K$1795,$N1545)+(J1545-100)*INDEX('Tabela Passaro'!$L$2:$L$1795,$N1545))))))</f>
        <v>99.61</v>
      </c>
      <c r="S1545" s="32" t="n">
        <f aca="false">K1545*INDEX('Tabela Passaro'!$M$2:$M$1795,$N1545)</f>
        <v>4.11055</v>
      </c>
      <c r="T1545" s="32" t="n">
        <f aca="false">K1545*INDEX('Tabela Passaro'!$N$2:$N$1795,$N1545)</f>
        <v>1.64422</v>
      </c>
      <c r="U1545" s="32" t="n">
        <f aca="false">INDEX('Tabela Passaro'!$O$2:$O$1795,$N1545)</f>
        <v>5</v>
      </c>
      <c r="V1545" s="32" t="n">
        <f aca="false">ROUNDUP(J1545/INDEX('Tabela Passaro'!$Q$2:$Q$1795,$N1545),0)*INDEX('Tabela Passaro'!$P$2:$P$1795,$N1545)</f>
        <v>5</v>
      </c>
      <c r="W1545" s="32" t="n">
        <f aca="false">INDEX('Tabela Passaro'!$R$2:$R$1795,$N1545)</f>
        <v>30</v>
      </c>
      <c r="X1545" s="32" t="n">
        <f aca="false">ROUNDUP(J1545/INDEX('Tabela Passaro'!$T$2:$T$1795,$N1545),0)*INDEX('Tabela Passaro'!$S$2:$S$1795,$N1545)</f>
        <v>0</v>
      </c>
      <c r="Y1545" s="32" t="n">
        <f aca="false">INDEX('Tabela Passaro'!$U$2:$U$1795,$N1545)</f>
        <v>0</v>
      </c>
      <c r="Z1545" s="32" t="n">
        <f aca="false">INDEX('Tabela Passaro'!$V$2:$V$1795,$N1545)</f>
        <v>0</v>
      </c>
      <c r="AA1545" s="32" t="n">
        <f aca="false">SUM(R1545:Z1545)</f>
        <v>145.36477</v>
      </c>
      <c r="AB1545" s="33" t="n">
        <f aca="false">INDEX(Premissas!$B$5:$B$13,MATCH(A1545,Premissas!$A$5:$A$13,0))</f>
        <v>0.07</v>
      </c>
      <c r="AC1545" s="32" t="n">
        <f aca="false">AA1545/(1-AB1545)-AA1545</f>
        <v>10.9414343010753</v>
      </c>
      <c r="AD1545" s="32" t="n">
        <f aca="false">ROUND(AA1545+AC1545,2)</f>
        <v>156.31</v>
      </c>
      <c r="AE1545" s="32" t="n">
        <f aca="false">AD1545-L1545</f>
        <v>-51.41</v>
      </c>
      <c r="AF1545" s="34" t="n">
        <f aca="false">IF(L1545=0,0,AE1545/L1545)</f>
        <v>-0.247496630078952</v>
      </c>
      <c r="AG1545" s="22" t="str">
        <f aca="false">IF(AD1545&lt;L1545,"PASSARO","ATUAL")</f>
        <v>PASSARO</v>
      </c>
      <c r="AH1545" s="22" t="str">
        <f aca="false">IF(P1545&lt;&gt;A1545,"Faixa cadastrada como "&amp;P1545&amp;" na tabela; preço aplicado pela UF do CEP","")</f>
        <v/>
      </c>
      <c r="AI1545" s="26" t="n">
        <v>194.73</v>
      </c>
      <c r="AJ1545" s="22" t="str">
        <f aca="false">INDEX('Tabela Passaro'!$X$2:$X$1795,$N1545)</f>
        <v>CAPITAL</v>
      </c>
    </row>
    <row r="1546" customFormat="false" ht="15" hidden="false" customHeight="false" outlineLevel="0" collapsed="false">
      <c r="A1546" s="22" t="s">
        <v>20</v>
      </c>
      <c r="B1546" s="22" t="n">
        <v>10</v>
      </c>
      <c r="C1546" s="22" t="s">
        <v>165</v>
      </c>
      <c r="D1546" s="22" t="s">
        <v>31</v>
      </c>
      <c r="E1546" s="22" t="s">
        <v>7326</v>
      </c>
      <c r="F1546" s="22" t="n">
        <v>12782130</v>
      </c>
      <c r="G1546" s="30" t="n">
        <v>46247</v>
      </c>
      <c r="H1546" s="22" t="n">
        <v>624435</v>
      </c>
      <c r="I1546" s="22" t="s">
        <v>8746</v>
      </c>
      <c r="J1546" s="31" t="n">
        <v>19.4</v>
      </c>
      <c r="K1546" s="26" t="n">
        <v>470.98</v>
      </c>
      <c r="L1546" s="26" t="n">
        <v>96.75</v>
      </c>
      <c r="M1546" s="22" t="s">
        <v>4790</v>
      </c>
      <c r="N1546" s="22" t="n">
        <f aca="false">MATCH(M1546,'Tabela Passaro'!$A$2:$A$1795,0)</f>
        <v>1146</v>
      </c>
      <c r="O1546" s="22" t="str">
        <f aca="false">INDEX('Tabela Passaro'!$C$2:$C$1795,$N1546)</f>
        <v>IGARASSU</v>
      </c>
      <c r="P1546" s="22" t="str">
        <f aca="false">INDEX('Tabela Passaro'!$B$2:$B$1795,$N1546)</f>
        <v>PE</v>
      </c>
      <c r="Q1546" s="22" t="n">
        <f aca="false">INDEX('Tabela Passaro'!$F$2:$F$1795,$N1546)</f>
        <v>8</v>
      </c>
      <c r="R1546" s="32" t="n">
        <f aca="false">IF(J1546&lt;=10,INDEX('Tabela Passaro'!$G$2:$G$1795,$N1546),IF(J1546&lt;=30,INDEX('Tabela Passaro'!$H$2:$H$1795,$N1546),IF(J1546&lt;=50,INDEX('Tabela Passaro'!$I$2:$I$1795,$N1546),IF(J1546&lt;=70,INDEX('Tabela Passaro'!$J$2:$J$1795,$N1546),IF(J1546&lt;=100,INDEX('Tabela Passaro'!$K$2:$K$1795,$N1546),INDEX('Tabela Passaro'!$K$2:$K$1795,$N1546)+(J1546-100)*INDEX('Tabela Passaro'!$L$2:$L$1795,$N1546))))))</f>
        <v>66.55</v>
      </c>
      <c r="S1546" s="32" t="n">
        <f aca="false">K1546*INDEX('Tabela Passaro'!$M$2:$M$1795,$N1546)</f>
        <v>2.3549</v>
      </c>
      <c r="T1546" s="32" t="n">
        <f aca="false">K1546*INDEX('Tabela Passaro'!$N$2:$N$1795,$N1546)</f>
        <v>0.94196</v>
      </c>
      <c r="U1546" s="32" t="n">
        <f aca="false">INDEX('Tabela Passaro'!$O$2:$O$1795,$N1546)</f>
        <v>5</v>
      </c>
      <c r="V1546" s="32" t="n">
        <f aca="false">ROUNDUP(J1546/INDEX('Tabela Passaro'!$Q$2:$Q$1795,$N1546),0)*INDEX('Tabela Passaro'!$P$2:$P$1795,$N1546)</f>
        <v>5</v>
      </c>
      <c r="W1546" s="32" t="n">
        <f aca="false">INDEX('Tabela Passaro'!$R$2:$R$1795,$N1546)</f>
        <v>30</v>
      </c>
      <c r="X1546" s="32" t="n">
        <f aca="false">ROUNDUP(J1546/INDEX('Tabela Passaro'!$T$2:$T$1795,$N1546),0)*INDEX('Tabela Passaro'!$S$2:$S$1795,$N1546)</f>
        <v>0</v>
      </c>
      <c r="Y1546" s="32" t="n">
        <f aca="false">INDEX('Tabela Passaro'!$U$2:$U$1795,$N1546)</f>
        <v>0</v>
      </c>
      <c r="Z1546" s="32" t="n">
        <f aca="false">INDEX('Tabela Passaro'!$V$2:$V$1795,$N1546)</f>
        <v>0</v>
      </c>
      <c r="AA1546" s="32" t="n">
        <f aca="false">SUM(R1546:Z1546)</f>
        <v>109.84686</v>
      </c>
      <c r="AB1546" s="33" t="n">
        <f aca="false">INDEX(Premissas!$B$5:$B$13,MATCH(A1546,Premissas!$A$5:$A$13,0))</f>
        <v>0.07</v>
      </c>
      <c r="AC1546" s="32" t="n">
        <f aca="false">AA1546/(1-AB1546)-AA1546</f>
        <v>8.26804322580647</v>
      </c>
      <c r="AD1546" s="32" t="n">
        <f aca="false">ROUND(AA1546+AC1546,2)</f>
        <v>118.11</v>
      </c>
      <c r="AE1546" s="32" t="n">
        <f aca="false">AD1546-L1546</f>
        <v>21.36</v>
      </c>
      <c r="AF1546" s="34" t="n">
        <f aca="false">IF(L1546=0,0,AE1546/L1546)</f>
        <v>0.22077519379845</v>
      </c>
      <c r="AG1546" s="22" t="str">
        <f aca="false">IF(AD1546&lt;L1546,"PASSARO","ATUAL")</f>
        <v>ATUAL</v>
      </c>
      <c r="AH1546" s="22" t="str">
        <f aca="false">IF(P1546&lt;&gt;A1546,"Faixa cadastrada como "&amp;P1546&amp;" na tabela; preço aplicado pela UF do CEP","")</f>
        <v/>
      </c>
      <c r="AI1546" s="26" t="n">
        <v>138.27</v>
      </c>
      <c r="AJ1546" s="22" t="str">
        <f aca="false">INDEX('Tabela Passaro'!$X$2:$X$1795,$N1546)</f>
        <v>CAPITAL</v>
      </c>
    </row>
    <row r="1547" customFormat="false" ht="15" hidden="false" customHeight="false" outlineLevel="0" collapsed="false">
      <c r="A1547" s="22" t="s">
        <v>21</v>
      </c>
      <c r="B1547" s="22" t="n">
        <v>1</v>
      </c>
      <c r="C1547" s="22" t="s">
        <v>167</v>
      </c>
      <c r="D1547" s="22" t="s">
        <v>32</v>
      </c>
      <c r="E1547" s="22" t="s">
        <v>7326</v>
      </c>
      <c r="F1547" s="22" t="n">
        <v>900572</v>
      </c>
      <c r="G1547" s="30" t="n">
        <v>46237</v>
      </c>
      <c r="H1547" s="22" t="n">
        <v>619391</v>
      </c>
      <c r="I1547" s="22" t="s">
        <v>8747</v>
      </c>
      <c r="J1547" s="31" t="n">
        <v>107.7</v>
      </c>
      <c r="K1547" s="26" t="n">
        <v>1519.47</v>
      </c>
      <c r="L1547" s="26" t="n">
        <v>257.37</v>
      </c>
      <c r="M1547" s="22" t="s">
        <v>5498</v>
      </c>
      <c r="N1547" s="22" t="n">
        <f aca="false">MATCH(M1547,'Tabela Passaro'!$A$2:$A$1795,0)</f>
        <v>1329</v>
      </c>
      <c r="O1547" s="22" t="str">
        <f aca="false">INDEX('Tabela Passaro'!$C$2:$C$1795,$N1547)</f>
        <v>TERESINA</v>
      </c>
      <c r="P1547" s="22" t="str">
        <f aca="false">INDEX('Tabela Passaro'!$B$2:$B$1795,$N1547)</f>
        <v>PI</v>
      </c>
      <c r="Q1547" s="22" t="n">
        <f aca="false">INDEX('Tabela Passaro'!$F$2:$F$1795,$N1547)</f>
        <v>10</v>
      </c>
      <c r="R1547" s="32" t="n">
        <f aca="false">IF(J1547&lt;=10,INDEX('Tabela Passaro'!$G$2:$G$1795,$N1547),IF(J1547&lt;=30,INDEX('Tabela Passaro'!$H$2:$H$1795,$N1547),IF(J1547&lt;=50,INDEX('Tabela Passaro'!$I$2:$I$1795,$N1547),IF(J1547&lt;=70,INDEX('Tabela Passaro'!$J$2:$J$1795,$N1547),IF(J1547&lt;=100,INDEX('Tabela Passaro'!$K$2:$K$1795,$N1547),INDEX('Tabela Passaro'!$K$2:$K$1795,$N1547)+(J1547-100)*INDEX('Tabela Passaro'!$L$2:$L$1795,$N1547))))))</f>
        <v>271.867</v>
      </c>
      <c r="S1547" s="32" t="n">
        <f aca="false">K1547*INDEX('Tabela Passaro'!$M$2:$M$1795,$N1547)</f>
        <v>7.59735</v>
      </c>
      <c r="T1547" s="32" t="n">
        <f aca="false">K1547*INDEX('Tabela Passaro'!$N$2:$N$1795,$N1547)</f>
        <v>3.03894</v>
      </c>
      <c r="U1547" s="32" t="n">
        <f aca="false">INDEX('Tabela Passaro'!$O$2:$O$1795,$N1547)</f>
        <v>5</v>
      </c>
      <c r="V1547" s="32" t="n">
        <f aca="false">ROUNDUP(J1547/INDEX('Tabela Passaro'!$Q$2:$Q$1795,$N1547),0)*INDEX('Tabela Passaro'!$P$2:$P$1795,$N1547)</f>
        <v>10</v>
      </c>
      <c r="W1547" s="32" t="n">
        <f aca="false">INDEX('Tabela Passaro'!$R$2:$R$1795,$N1547)</f>
        <v>30</v>
      </c>
      <c r="X1547" s="32" t="n">
        <f aca="false">ROUNDUP(J1547/INDEX('Tabela Passaro'!$T$2:$T$1795,$N1547),0)*INDEX('Tabela Passaro'!$S$2:$S$1795,$N1547)</f>
        <v>0</v>
      </c>
      <c r="Y1547" s="32" t="n">
        <f aca="false">INDEX('Tabela Passaro'!$U$2:$U$1795,$N1547)</f>
        <v>0</v>
      </c>
      <c r="Z1547" s="32" t="n">
        <f aca="false">INDEX('Tabela Passaro'!$V$2:$V$1795,$N1547)</f>
        <v>0</v>
      </c>
      <c r="AA1547" s="32" t="n">
        <f aca="false">SUM(R1547:Z1547)</f>
        <v>327.50329</v>
      </c>
      <c r="AB1547" s="33" t="n">
        <f aca="false">INDEX(Premissas!$B$5:$B$13,MATCH(A1547,Premissas!$A$5:$A$13,0))</f>
        <v>0.07</v>
      </c>
      <c r="AC1547" s="32" t="n">
        <f aca="false">AA1547/(1-AB1547)-AA1547</f>
        <v>24.6507852688172</v>
      </c>
      <c r="AD1547" s="32" t="n">
        <f aca="false">ROUND(AA1547+AC1547,2)</f>
        <v>352.15</v>
      </c>
      <c r="AE1547" s="32" t="n">
        <f aca="false">AD1547-L1547</f>
        <v>94.78</v>
      </c>
      <c r="AF1547" s="34" t="n">
        <f aca="false">IF(L1547=0,0,AE1547/L1547)</f>
        <v>0.368263589384932</v>
      </c>
      <c r="AG1547" s="22" t="str">
        <f aca="false">IF(AD1547&lt;L1547,"PASSARO","ATUAL")</f>
        <v>ATUAL</v>
      </c>
      <c r="AH1547" s="22" t="str">
        <f aca="false">IF(P1547&lt;&gt;A1547,"Faixa cadastrada como "&amp;P1547&amp;" na tabela; preço aplicado pela UF do CEP","")</f>
        <v/>
      </c>
      <c r="AI1547" s="26" t="n">
        <v>429.8</v>
      </c>
      <c r="AJ1547" s="22" t="str">
        <f aca="false">INDEX('Tabela Passaro'!$X$2:$X$1795,$N1547)</f>
        <v>CAPITAL</v>
      </c>
    </row>
    <row r="1548" customFormat="false" ht="15" hidden="false" customHeight="false" outlineLevel="0" collapsed="false">
      <c r="A1548" s="22" t="s">
        <v>21</v>
      </c>
      <c r="B1548" s="22" t="n">
        <v>1</v>
      </c>
      <c r="C1548" s="22" t="s">
        <v>167</v>
      </c>
      <c r="D1548" s="22" t="s">
        <v>32</v>
      </c>
      <c r="E1548" s="22" t="s">
        <v>7326</v>
      </c>
      <c r="F1548" s="22" t="n">
        <v>900837</v>
      </c>
      <c r="G1548" s="30" t="n">
        <v>46238</v>
      </c>
      <c r="H1548" s="22" t="n">
        <v>619940</v>
      </c>
      <c r="I1548" s="22" t="s">
        <v>8748</v>
      </c>
      <c r="J1548" s="31" t="n">
        <v>129.3</v>
      </c>
      <c r="K1548" s="26" t="n">
        <v>1816.39</v>
      </c>
      <c r="L1548" s="26" t="n">
        <v>304.01</v>
      </c>
      <c r="M1548" s="22" t="s">
        <v>5498</v>
      </c>
      <c r="N1548" s="22" t="n">
        <f aca="false">MATCH(M1548,'Tabela Passaro'!$A$2:$A$1795,0)</f>
        <v>1329</v>
      </c>
      <c r="O1548" s="22" t="str">
        <f aca="false">INDEX('Tabela Passaro'!$C$2:$C$1795,$N1548)</f>
        <v>TERESINA</v>
      </c>
      <c r="P1548" s="22" t="str">
        <f aca="false">INDEX('Tabela Passaro'!$B$2:$B$1795,$N1548)</f>
        <v>PI</v>
      </c>
      <c r="Q1548" s="22" t="n">
        <f aca="false">INDEX('Tabela Passaro'!$F$2:$F$1795,$N1548)</f>
        <v>10</v>
      </c>
      <c r="R1548" s="32" t="n">
        <f aca="false">IF(J1548&lt;=10,INDEX('Tabela Passaro'!$G$2:$G$1795,$N1548),IF(J1548&lt;=30,INDEX('Tabela Passaro'!$H$2:$H$1795,$N1548),IF(J1548&lt;=50,INDEX('Tabela Passaro'!$I$2:$I$1795,$N1548),IF(J1548&lt;=70,INDEX('Tabela Passaro'!$J$2:$J$1795,$N1548),IF(J1548&lt;=100,INDEX('Tabela Passaro'!$K$2:$K$1795,$N1548),INDEX('Tabela Passaro'!$K$2:$K$1795,$N1548)+(J1548-100)*INDEX('Tabela Passaro'!$L$2:$L$1795,$N1548))))))</f>
        <v>319.603</v>
      </c>
      <c r="S1548" s="32" t="n">
        <f aca="false">K1548*INDEX('Tabela Passaro'!$M$2:$M$1795,$N1548)</f>
        <v>9.08195</v>
      </c>
      <c r="T1548" s="32" t="n">
        <f aca="false">K1548*INDEX('Tabela Passaro'!$N$2:$N$1795,$N1548)</f>
        <v>3.63278</v>
      </c>
      <c r="U1548" s="32" t="n">
        <f aca="false">INDEX('Tabela Passaro'!$O$2:$O$1795,$N1548)</f>
        <v>5</v>
      </c>
      <c r="V1548" s="32" t="n">
        <f aca="false">ROUNDUP(J1548/INDEX('Tabela Passaro'!$Q$2:$Q$1795,$N1548),0)*INDEX('Tabela Passaro'!$P$2:$P$1795,$N1548)</f>
        <v>10</v>
      </c>
      <c r="W1548" s="32" t="n">
        <f aca="false">INDEX('Tabela Passaro'!$R$2:$R$1795,$N1548)</f>
        <v>30</v>
      </c>
      <c r="X1548" s="32" t="n">
        <f aca="false">ROUNDUP(J1548/INDEX('Tabela Passaro'!$T$2:$T$1795,$N1548),0)*INDEX('Tabela Passaro'!$S$2:$S$1795,$N1548)</f>
        <v>0</v>
      </c>
      <c r="Y1548" s="32" t="n">
        <f aca="false">INDEX('Tabela Passaro'!$U$2:$U$1795,$N1548)</f>
        <v>0</v>
      </c>
      <c r="Z1548" s="32" t="n">
        <f aca="false">INDEX('Tabela Passaro'!$V$2:$V$1795,$N1548)</f>
        <v>0</v>
      </c>
      <c r="AA1548" s="32" t="n">
        <f aca="false">SUM(R1548:Z1548)</f>
        <v>377.31773</v>
      </c>
      <c r="AB1548" s="33" t="n">
        <f aca="false">INDEX(Premissas!$B$5:$B$13,MATCH(A1548,Premissas!$A$5:$A$13,0))</f>
        <v>0.07</v>
      </c>
      <c r="AC1548" s="32" t="n">
        <f aca="false">AA1548/(1-AB1548)-AA1548</f>
        <v>28.4002592473119</v>
      </c>
      <c r="AD1548" s="32" t="n">
        <f aca="false">ROUND(AA1548+AC1548,2)</f>
        <v>405.72</v>
      </c>
      <c r="AE1548" s="32" t="n">
        <f aca="false">AD1548-L1548</f>
        <v>101.71</v>
      </c>
      <c r="AF1548" s="34" t="n">
        <f aca="false">IF(L1548=0,0,AE1548/L1548)</f>
        <v>0.334561363113056</v>
      </c>
      <c r="AG1548" s="22" t="str">
        <f aca="false">IF(AD1548&lt;L1548,"PASSARO","ATUAL")</f>
        <v>ATUAL</v>
      </c>
      <c r="AH1548" s="22" t="str">
        <f aca="false">IF(P1548&lt;&gt;A1548,"Faixa cadastrada como "&amp;P1548&amp;" na tabela; preço aplicado pela UF do CEP","")</f>
        <v/>
      </c>
      <c r="AI1548" s="26" t="n">
        <v>501.16</v>
      </c>
      <c r="AJ1548" s="22" t="str">
        <f aca="false">INDEX('Tabela Passaro'!$X$2:$X$1795,$N1548)</f>
        <v>CAPITAL</v>
      </c>
    </row>
    <row r="1549" customFormat="false" ht="15" hidden="false" customHeight="false" outlineLevel="0" collapsed="false">
      <c r="A1549" s="22" t="s">
        <v>21</v>
      </c>
      <c r="B1549" s="22" t="n">
        <v>1</v>
      </c>
      <c r="C1549" s="22" t="s">
        <v>167</v>
      </c>
      <c r="D1549" s="22" t="s">
        <v>32</v>
      </c>
      <c r="E1549" s="22" t="s">
        <v>7326</v>
      </c>
      <c r="F1549" s="22" t="n">
        <v>900801</v>
      </c>
      <c r="G1549" s="30" t="n">
        <v>46238</v>
      </c>
      <c r="H1549" s="22" t="n">
        <v>620331</v>
      </c>
      <c r="I1549" s="22" t="s">
        <v>8749</v>
      </c>
      <c r="J1549" s="31" t="n">
        <v>124.2</v>
      </c>
      <c r="K1549" s="26" t="n">
        <v>2040.16</v>
      </c>
      <c r="L1549" s="26" t="n">
        <v>264.08</v>
      </c>
      <c r="M1549" s="22" t="s">
        <v>5498</v>
      </c>
      <c r="N1549" s="22" t="n">
        <f aca="false">MATCH(M1549,'Tabela Passaro'!$A$2:$A$1795,0)</f>
        <v>1329</v>
      </c>
      <c r="O1549" s="22" t="str">
        <f aca="false">INDEX('Tabela Passaro'!$C$2:$C$1795,$N1549)</f>
        <v>TERESINA</v>
      </c>
      <c r="P1549" s="22" t="str">
        <f aca="false">INDEX('Tabela Passaro'!$B$2:$B$1795,$N1549)</f>
        <v>PI</v>
      </c>
      <c r="Q1549" s="22" t="n">
        <f aca="false">INDEX('Tabela Passaro'!$F$2:$F$1795,$N1549)</f>
        <v>10</v>
      </c>
      <c r="R1549" s="32" t="n">
        <f aca="false">IF(J1549&lt;=10,INDEX('Tabela Passaro'!$G$2:$G$1795,$N1549),IF(J1549&lt;=30,INDEX('Tabela Passaro'!$H$2:$H$1795,$N1549),IF(J1549&lt;=50,INDEX('Tabela Passaro'!$I$2:$I$1795,$N1549),IF(J1549&lt;=70,INDEX('Tabela Passaro'!$J$2:$J$1795,$N1549),IF(J1549&lt;=100,INDEX('Tabela Passaro'!$K$2:$K$1795,$N1549),INDEX('Tabela Passaro'!$K$2:$K$1795,$N1549)+(J1549-100)*INDEX('Tabela Passaro'!$L$2:$L$1795,$N1549))))))</f>
        <v>308.332</v>
      </c>
      <c r="S1549" s="32" t="n">
        <f aca="false">K1549*INDEX('Tabela Passaro'!$M$2:$M$1795,$N1549)</f>
        <v>10.2008</v>
      </c>
      <c r="T1549" s="32" t="n">
        <f aca="false">K1549*INDEX('Tabela Passaro'!$N$2:$N$1795,$N1549)</f>
        <v>4.08032</v>
      </c>
      <c r="U1549" s="32" t="n">
        <f aca="false">INDEX('Tabela Passaro'!$O$2:$O$1795,$N1549)</f>
        <v>5</v>
      </c>
      <c r="V1549" s="32" t="n">
        <f aca="false">ROUNDUP(J1549/INDEX('Tabela Passaro'!$Q$2:$Q$1795,$N1549),0)*INDEX('Tabela Passaro'!$P$2:$P$1795,$N1549)</f>
        <v>10</v>
      </c>
      <c r="W1549" s="32" t="n">
        <f aca="false">INDEX('Tabela Passaro'!$R$2:$R$1795,$N1549)</f>
        <v>30</v>
      </c>
      <c r="X1549" s="32" t="n">
        <f aca="false">ROUNDUP(J1549/INDEX('Tabela Passaro'!$T$2:$T$1795,$N1549),0)*INDEX('Tabela Passaro'!$S$2:$S$1795,$N1549)</f>
        <v>0</v>
      </c>
      <c r="Y1549" s="32" t="n">
        <f aca="false">INDEX('Tabela Passaro'!$U$2:$U$1795,$N1549)</f>
        <v>0</v>
      </c>
      <c r="Z1549" s="32" t="n">
        <f aca="false">INDEX('Tabela Passaro'!$V$2:$V$1795,$N1549)</f>
        <v>0</v>
      </c>
      <c r="AA1549" s="32" t="n">
        <f aca="false">SUM(R1549:Z1549)</f>
        <v>367.61312</v>
      </c>
      <c r="AB1549" s="33" t="n">
        <f aca="false">INDEX(Premissas!$B$5:$B$13,MATCH(A1549,Premissas!$A$5:$A$13,0))</f>
        <v>0.07</v>
      </c>
      <c r="AC1549" s="32" t="n">
        <f aca="false">AA1549/(1-AB1549)-AA1549</f>
        <v>27.6698047311828</v>
      </c>
      <c r="AD1549" s="32" t="n">
        <f aca="false">ROUND(AA1549+AC1549,2)</f>
        <v>395.28</v>
      </c>
      <c r="AE1549" s="32" t="n">
        <f aca="false">AD1549-L1549</f>
        <v>131.2</v>
      </c>
      <c r="AF1549" s="34" t="n">
        <f aca="false">IF(L1549=0,0,AE1549/L1549)</f>
        <v>0.49681914571342</v>
      </c>
      <c r="AG1549" s="22" t="str">
        <f aca="false">IF(AD1549&lt;L1549,"PASSARO","ATUAL")</f>
        <v>ATUAL</v>
      </c>
      <c r="AH1549" s="22" t="str">
        <f aca="false">IF(P1549&lt;&gt;A1549,"Faixa cadastrada como "&amp;P1549&amp;" na tabela; preço aplicado pela UF do CEP","")</f>
        <v/>
      </c>
      <c r="AI1549" s="26" t="n">
        <v>487.25</v>
      </c>
      <c r="AJ1549" s="22" t="str">
        <f aca="false">INDEX('Tabela Passaro'!$X$2:$X$1795,$N1549)</f>
        <v>CAPITAL</v>
      </c>
    </row>
    <row r="1550" customFormat="false" ht="15" hidden="false" customHeight="false" outlineLevel="0" collapsed="false">
      <c r="A1550" s="22" t="s">
        <v>21</v>
      </c>
      <c r="B1550" s="22" t="n">
        <v>1</v>
      </c>
      <c r="C1550" s="22" t="s">
        <v>167</v>
      </c>
      <c r="D1550" s="22" t="s">
        <v>32</v>
      </c>
      <c r="E1550" s="22" t="s">
        <v>7326</v>
      </c>
      <c r="F1550" s="22" t="n">
        <v>901315</v>
      </c>
      <c r="G1550" s="30" t="n">
        <v>46239</v>
      </c>
      <c r="H1550" s="22" t="n">
        <v>620811</v>
      </c>
      <c r="I1550" s="22" t="s">
        <v>8750</v>
      </c>
      <c r="J1550" s="31" t="n">
        <v>43.5</v>
      </c>
      <c r="K1550" s="26" t="n">
        <v>887.96</v>
      </c>
      <c r="L1550" s="26" t="n">
        <v>179.63</v>
      </c>
      <c r="M1550" s="22" t="s">
        <v>5498</v>
      </c>
      <c r="N1550" s="22" t="n">
        <f aca="false">MATCH(M1550,'Tabela Passaro'!$A$2:$A$1795,0)</f>
        <v>1329</v>
      </c>
      <c r="O1550" s="22" t="str">
        <f aca="false">INDEX('Tabela Passaro'!$C$2:$C$1795,$N1550)</f>
        <v>TERESINA</v>
      </c>
      <c r="P1550" s="22" t="str">
        <f aca="false">INDEX('Tabela Passaro'!$B$2:$B$1795,$N1550)</f>
        <v>PI</v>
      </c>
      <c r="Q1550" s="22" t="n">
        <f aca="false">INDEX('Tabela Passaro'!$F$2:$F$1795,$N1550)</f>
        <v>10</v>
      </c>
      <c r="R1550" s="32" t="n">
        <f aca="false">IF(J1550&lt;=10,INDEX('Tabela Passaro'!$G$2:$G$1795,$N1550),IF(J1550&lt;=30,INDEX('Tabela Passaro'!$H$2:$H$1795,$N1550),IF(J1550&lt;=50,INDEX('Tabela Passaro'!$I$2:$I$1795,$N1550),IF(J1550&lt;=70,INDEX('Tabela Passaro'!$J$2:$J$1795,$N1550),IF(J1550&lt;=100,INDEX('Tabela Passaro'!$K$2:$K$1795,$N1550),INDEX('Tabela Passaro'!$K$2:$K$1795,$N1550)+(J1550-100)*INDEX('Tabela Passaro'!$L$2:$L$1795,$N1550))))))</f>
        <v>221.66</v>
      </c>
      <c r="S1550" s="32" t="n">
        <f aca="false">K1550*INDEX('Tabela Passaro'!$M$2:$M$1795,$N1550)</f>
        <v>4.4398</v>
      </c>
      <c r="T1550" s="32" t="n">
        <f aca="false">K1550*INDEX('Tabela Passaro'!$N$2:$N$1795,$N1550)</f>
        <v>1.77592</v>
      </c>
      <c r="U1550" s="32" t="n">
        <f aca="false">INDEX('Tabela Passaro'!$O$2:$O$1795,$N1550)</f>
        <v>5</v>
      </c>
      <c r="V1550" s="32" t="n">
        <f aca="false">ROUNDUP(J1550/INDEX('Tabela Passaro'!$Q$2:$Q$1795,$N1550),0)*INDEX('Tabela Passaro'!$P$2:$P$1795,$N1550)</f>
        <v>5</v>
      </c>
      <c r="W1550" s="32" t="n">
        <f aca="false">INDEX('Tabela Passaro'!$R$2:$R$1795,$N1550)</f>
        <v>30</v>
      </c>
      <c r="X1550" s="32" t="n">
        <f aca="false">ROUNDUP(J1550/INDEX('Tabela Passaro'!$T$2:$T$1795,$N1550),0)*INDEX('Tabela Passaro'!$S$2:$S$1795,$N1550)</f>
        <v>0</v>
      </c>
      <c r="Y1550" s="32" t="n">
        <f aca="false">INDEX('Tabela Passaro'!$U$2:$U$1795,$N1550)</f>
        <v>0</v>
      </c>
      <c r="Z1550" s="32" t="n">
        <f aca="false">INDEX('Tabela Passaro'!$V$2:$V$1795,$N1550)</f>
        <v>0</v>
      </c>
      <c r="AA1550" s="32" t="n">
        <f aca="false">SUM(R1550:Z1550)</f>
        <v>267.87572</v>
      </c>
      <c r="AB1550" s="33" t="n">
        <f aca="false">INDEX(Premissas!$B$5:$B$13,MATCH(A1550,Premissas!$A$5:$A$13,0))</f>
        <v>0.07</v>
      </c>
      <c r="AC1550" s="32" t="n">
        <f aca="false">AA1550/(1-AB1550)-AA1550</f>
        <v>20.1626886021506</v>
      </c>
      <c r="AD1550" s="32" t="n">
        <f aca="false">ROUND(AA1550+AC1550,2)</f>
        <v>288.04</v>
      </c>
      <c r="AE1550" s="32" t="n">
        <f aca="false">AD1550-L1550</f>
        <v>108.41</v>
      </c>
      <c r="AF1550" s="34" t="n">
        <f aca="false">IF(L1550=0,0,AE1550/L1550)</f>
        <v>0.603518343261148</v>
      </c>
      <c r="AG1550" s="22" t="str">
        <f aca="false">IF(AD1550&lt;L1550,"PASSARO","ATUAL")</f>
        <v>ATUAL</v>
      </c>
      <c r="AH1550" s="22" t="str">
        <f aca="false">IF(P1550&lt;&gt;A1550,"Faixa cadastrada como "&amp;P1550&amp;" na tabela; preço aplicado pela UF do CEP","")</f>
        <v/>
      </c>
      <c r="AI1550" s="26" t="n">
        <v>329.15</v>
      </c>
      <c r="AJ1550" s="22" t="str">
        <f aca="false">INDEX('Tabela Passaro'!$X$2:$X$1795,$N1550)</f>
        <v>CAPITAL</v>
      </c>
    </row>
    <row r="1551" customFormat="false" ht="15" hidden="false" customHeight="false" outlineLevel="0" collapsed="false">
      <c r="A1551" s="22" t="s">
        <v>21</v>
      </c>
      <c r="B1551" s="22" t="n">
        <v>1</v>
      </c>
      <c r="C1551" s="22" t="s">
        <v>167</v>
      </c>
      <c r="D1551" s="22" t="s">
        <v>32</v>
      </c>
      <c r="E1551" s="22" t="s">
        <v>7326</v>
      </c>
      <c r="F1551" s="22" t="n">
        <v>901695</v>
      </c>
      <c r="G1551" s="30" t="n">
        <v>46240</v>
      </c>
      <c r="H1551" s="22" t="n">
        <v>621158</v>
      </c>
      <c r="I1551" s="22" t="s">
        <v>8751</v>
      </c>
      <c r="J1551" s="31" t="n">
        <v>107.7</v>
      </c>
      <c r="K1551" s="26" t="n">
        <v>1597.13</v>
      </c>
      <c r="L1551" s="26" t="n">
        <v>258.36</v>
      </c>
      <c r="M1551" s="22" t="s">
        <v>5498</v>
      </c>
      <c r="N1551" s="22" t="n">
        <f aca="false">MATCH(M1551,'Tabela Passaro'!$A$2:$A$1795,0)</f>
        <v>1329</v>
      </c>
      <c r="O1551" s="22" t="str">
        <f aca="false">INDEX('Tabela Passaro'!$C$2:$C$1795,$N1551)</f>
        <v>TERESINA</v>
      </c>
      <c r="P1551" s="22" t="str">
        <f aca="false">INDEX('Tabela Passaro'!$B$2:$B$1795,$N1551)</f>
        <v>PI</v>
      </c>
      <c r="Q1551" s="22" t="n">
        <f aca="false">INDEX('Tabela Passaro'!$F$2:$F$1795,$N1551)</f>
        <v>10</v>
      </c>
      <c r="R1551" s="32" t="n">
        <f aca="false">IF(J1551&lt;=10,INDEX('Tabela Passaro'!$G$2:$G$1795,$N1551),IF(J1551&lt;=30,INDEX('Tabela Passaro'!$H$2:$H$1795,$N1551),IF(J1551&lt;=50,INDEX('Tabela Passaro'!$I$2:$I$1795,$N1551),IF(J1551&lt;=70,INDEX('Tabela Passaro'!$J$2:$J$1795,$N1551),IF(J1551&lt;=100,INDEX('Tabela Passaro'!$K$2:$K$1795,$N1551),INDEX('Tabela Passaro'!$K$2:$K$1795,$N1551)+(J1551-100)*INDEX('Tabela Passaro'!$L$2:$L$1795,$N1551))))))</f>
        <v>271.867</v>
      </c>
      <c r="S1551" s="32" t="n">
        <f aca="false">K1551*INDEX('Tabela Passaro'!$M$2:$M$1795,$N1551)</f>
        <v>7.98565</v>
      </c>
      <c r="T1551" s="32" t="n">
        <f aca="false">K1551*INDEX('Tabela Passaro'!$N$2:$N$1795,$N1551)</f>
        <v>3.19426</v>
      </c>
      <c r="U1551" s="32" t="n">
        <f aca="false">INDEX('Tabela Passaro'!$O$2:$O$1795,$N1551)</f>
        <v>5</v>
      </c>
      <c r="V1551" s="32" t="n">
        <f aca="false">ROUNDUP(J1551/INDEX('Tabela Passaro'!$Q$2:$Q$1795,$N1551),0)*INDEX('Tabela Passaro'!$P$2:$P$1795,$N1551)</f>
        <v>10</v>
      </c>
      <c r="W1551" s="32" t="n">
        <f aca="false">INDEX('Tabela Passaro'!$R$2:$R$1795,$N1551)</f>
        <v>30</v>
      </c>
      <c r="X1551" s="32" t="n">
        <f aca="false">ROUNDUP(J1551/INDEX('Tabela Passaro'!$T$2:$T$1795,$N1551),0)*INDEX('Tabela Passaro'!$S$2:$S$1795,$N1551)</f>
        <v>0</v>
      </c>
      <c r="Y1551" s="32" t="n">
        <f aca="false">INDEX('Tabela Passaro'!$U$2:$U$1795,$N1551)</f>
        <v>0</v>
      </c>
      <c r="Z1551" s="32" t="n">
        <f aca="false">INDEX('Tabela Passaro'!$V$2:$V$1795,$N1551)</f>
        <v>0</v>
      </c>
      <c r="AA1551" s="32" t="n">
        <f aca="false">SUM(R1551:Z1551)</f>
        <v>328.04691</v>
      </c>
      <c r="AB1551" s="33" t="n">
        <f aca="false">INDEX(Premissas!$B$5:$B$13,MATCH(A1551,Premissas!$A$5:$A$13,0))</f>
        <v>0.07</v>
      </c>
      <c r="AC1551" s="32" t="n">
        <f aca="false">AA1551/(1-AB1551)-AA1551</f>
        <v>24.6917029032259</v>
      </c>
      <c r="AD1551" s="32" t="n">
        <f aca="false">ROUND(AA1551+AC1551,2)</f>
        <v>352.74</v>
      </c>
      <c r="AE1551" s="32" t="n">
        <f aca="false">AD1551-L1551</f>
        <v>94.38</v>
      </c>
      <c r="AF1551" s="34" t="n">
        <f aca="false">IF(L1551=0,0,AE1551/L1551)</f>
        <v>0.365304226660474</v>
      </c>
      <c r="AG1551" s="22" t="str">
        <f aca="false">IF(AD1551&lt;L1551,"PASSARO","ATUAL")</f>
        <v>ATUAL</v>
      </c>
      <c r="AH1551" s="22" t="str">
        <f aca="false">IF(P1551&lt;&gt;A1551,"Faixa cadastrada como "&amp;P1551&amp;" na tabela; preço aplicado pela UF do CEP","")</f>
        <v/>
      </c>
      <c r="AI1551" s="26" t="n">
        <v>430.56</v>
      </c>
      <c r="AJ1551" s="22" t="str">
        <f aca="false">INDEX('Tabela Passaro'!$X$2:$X$1795,$N1551)</f>
        <v>CAPITAL</v>
      </c>
    </row>
    <row r="1552" customFormat="false" ht="15" hidden="false" customHeight="false" outlineLevel="0" collapsed="false">
      <c r="A1552" s="22" t="s">
        <v>21</v>
      </c>
      <c r="B1552" s="22" t="n">
        <v>1</v>
      </c>
      <c r="C1552" s="22" t="s">
        <v>167</v>
      </c>
      <c r="D1552" s="22" t="s">
        <v>32</v>
      </c>
      <c r="E1552" s="22" t="s">
        <v>7326</v>
      </c>
      <c r="F1552" s="22" t="n">
        <v>901995</v>
      </c>
      <c r="G1552" s="30" t="n">
        <v>46241</v>
      </c>
      <c r="H1552" s="22" t="n">
        <v>621489</v>
      </c>
      <c r="I1552" s="22" t="s">
        <v>8752</v>
      </c>
      <c r="J1552" s="31" t="n">
        <v>45.9</v>
      </c>
      <c r="K1552" s="26" t="n">
        <v>1324.73</v>
      </c>
      <c r="L1552" s="26" t="n">
        <v>185.27</v>
      </c>
      <c r="M1552" s="22" t="s">
        <v>5498</v>
      </c>
      <c r="N1552" s="22" t="n">
        <f aca="false">MATCH(M1552,'Tabela Passaro'!$A$2:$A$1795,0)</f>
        <v>1329</v>
      </c>
      <c r="O1552" s="22" t="str">
        <f aca="false">INDEX('Tabela Passaro'!$C$2:$C$1795,$N1552)</f>
        <v>TERESINA</v>
      </c>
      <c r="P1552" s="22" t="str">
        <f aca="false">INDEX('Tabela Passaro'!$B$2:$B$1795,$N1552)</f>
        <v>PI</v>
      </c>
      <c r="Q1552" s="22" t="n">
        <f aca="false">INDEX('Tabela Passaro'!$F$2:$F$1795,$N1552)</f>
        <v>10</v>
      </c>
      <c r="R1552" s="32" t="n">
        <f aca="false">IF(J1552&lt;=10,INDEX('Tabela Passaro'!$G$2:$G$1795,$N1552),IF(J1552&lt;=30,INDEX('Tabela Passaro'!$H$2:$H$1795,$N1552),IF(J1552&lt;=50,INDEX('Tabela Passaro'!$I$2:$I$1795,$N1552),IF(J1552&lt;=70,INDEX('Tabela Passaro'!$J$2:$J$1795,$N1552),IF(J1552&lt;=100,INDEX('Tabela Passaro'!$K$2:$K$1795,$N1552),INDEX('Tabela Passaro'!$K$2:$K$1795,$N1552)+(J1552-100)*INDEX('Tabela Passaro'!$L$2:$L$1795,$N1552))))))</f>
        <v>221.66</v>
      </c>
      <c r="S1552" s="32" t="n">
        <f aca="false">K1552*INDEX('Tabela Passaro'!$M$2:$M$1795,$N1552)</f>
        <v>6.62365</v>
      </c>
      <c r="T1552" s="32" t="n">
        <f aca="false">K1552*INDEX('Tabela Passaro'!$N$2:$N$1795,$N1552)</f>
        <v>2.64946</v>
      </c>
      <c r="U1552" s="32" t="n">
        <f aca="false">INDEX('Tabela Passaro'!$O$2:$O$1795,$N1552)</f>
        <v>5</v>
      </c>
      <c r="V1552" s="32" t="n">
        <f aca="false">ROUNDUP(J1552/INDEX('Tabela Passaro'!$Q$2:$Q$1795,$N1552),0)*INDEX('Tabela Passaro'!$P$2:$P$1795,$N1552)</f>
        <v>5</v>
      </c>
      <c r="W1552" s="32" t="n">
        <f aca="false">INDEX('Tabela Passaro'!$R$2:$R$1795,$N1552)</f>
        <v>30</v>
      </c>
      <c r="X1552" s="32" t="n">
        <f aca="false">ROUNDUP(J1552/INDEX('Tabela Passaro'!$T$2:$T$1795,$N1552),0)*INDEX('Tabela Passaro'!$S$2:$S$1795,$N1552)</f>
        <v>0</v>
      </c>
      <c r="Y1552" s="32" t="n">
        <f aca="false">INDEX('Tabela Passaro'!$U$2:$U$1795,$N1552)</f>
        <v>0</v>
      </c>
      <c r="Z1552" s="32" t="n">
        <f aca="false">INDEX('Tabela Passaro'!$V$2:$V$1795,$N1552)</f>
        <v>0</v>
      </c>
      <c r="AA1552" s="32" t="n">
        <f aca="false">SUM(R1552:Z1552)</f>
        <v>270.93311</v>
      </c>
      <c r="AB1552" s="33" t="n">
        <f aca="false">INDEX(Premissas!$B$5:$B$13,MATCH(A1552,Premissas!$A$5:$A$13,0))</f>
        <v>0.07</v>
      </c>
      <c r="AC1552" s="32" t="n">
        <f aca="false">AA1552/(1-AB1552)-AA1552</f>
        <v>20.3928147311828</v>
      </c>
      <c r="AD1552" s="32" t="n">
        <f aca="false">ROUND(AA1552+AC1552,2)</f>
        <v>291.33</v>
      </c>
      <c r="AE1552" s="32" t="n">
        <f aca="false">AD1552-L1552</f>
        <v>106.06</v>
      </c>
      <c r="AF1552" s="34" t="n">
        <f aca="false">IF(L1552=0,0,AE1552/L1552)</f>
        <v>0.57246181248988</v>
      </c>
      <c r="AG1552" s="22" t="str">
        <f aca="false">IF(AD1552&lt;L1552,"PASSARO","ATUAL")</f>
        <v>ATUAL</v>
      </c>
      <c r="AH1552" s="22" t="str">
        <f aca="false">IF(P1552&lt;&gt;A1552,"Faixa cadastrada como "&amp;P1552&amp;" na tabela; preço aplicado pela UF do CEP","")</f>
        <v/>
      </c>
      <c r="AI1552" s="26" t="n">
        <v>334.35</v>
      </c>
      <c r="AJ1552" s="22" t="str">
        <f aca="false">INDEX('Tabela Passaro'!$X$2:$X$1795,$N1552)</f>
        <v>CAPITAL</v>
      </c>
    </row>
    <row r="1553" customFormat="false" ht="15" hidden="false" customHeight="false" outlineLevel="0" collapsed="false">
      <c r="A1553" s="22" t="s">
        <v>21</v>
      </c>
      <c r="B1553" s="22" t="n">
        <v>1</v>
      </c>
      <c r="C1553" s="22" t="s">
        <v>167</v>
      </c>
      <c r="D1553" s="22" t="s">
        <v>32</v>
      </c>
      <c r="E1553" s="22" t="s">
        <v>7326</v>
      </c>
      <c r="F1553" s="22" t="n">
        <v>902617</v>
      </c>
      <c r="G1553" s="30" t="n">
        <v>46245</v>
      </c>
      <c r="H1553" s="22" t="n">
        <v>622196</v>
      </c>
      <c r="I1553" s="22" t="s">
        <v>8753</v>
      </c>
      <c r="J1553" s="31" t="n">
        <v>37.5</v>
      </c>
      <c r="K1553" s="26" t="n">
        <v>695.44</v>
      </c>
      <c r="L1553" s="26" t="n">
        <v>177.16</v>
      </c>
      <c r="M1553" s="22" t="s">
        <v>5498</v>
      </c>
      <c r="N1553" s="22" t="n">
        <f aca="false">MATCH(M1553,'Tabela Passaro'!$A$2:$A$1795,0)</f>
        <v>1329</v>
      </c>
      <c r="O1553" s="22" t="str">
        <f aca="false">INDEX('Tabela Passaro'!$C$2:$C$1795,$N1553)</f>
        <v>TERESINA</v>
      </c>
      <c r="P1553" s="22" t="str">
        <f aca="false">INDEX('Tabela Passaro'!$B$2:$B$1795,$N1553)</f>
        <v>PI</v>
      </c>
      <c r="Q1553" s="22" t="n">
        <f aca="false">INDEX('Tabela Passaro'!$F$2:$F$1795,$N1553)</f>
        <v>10</v>
      </c>
      <c r="R1553" s="32" t="n">
        <f aca="false">IF(J1553&lt;=10,INDEX('Tabela Passaro'!$G$2:$G$1795,$N1553),IF(J1553&lt;=30,INDEX('Tabela Passaro'!$H$2:$H$1795,$N1553),IF(J1553&lt;=50,INDEX('Tabela Passaro'!$I$2:$I$1795,$N1553),IF(J1553&lt;=70,INDEX('Tabela Passaro'!$J$2:$J$1795,$N1553),IF(J1553&lt;=100,INDEX('Tabela Passaro'!$K$2:$K$1795,$N1553),INDEX('Tabela Passaro'!$K$2:$K$1795,$N1553)+(J1553-100)*INDEX('Tabela Passaro'!$L$2:$L$1795,$N1553))))))</f>
        <v>221.66</v>
      </c>
      <c r="S1553" s="32" t="n">
        <f aca="false">K1553*INDEX('Tabela Passaro'!$M$2:$M$1795,$N1553)</f>
        <v>3.4772</v>
      </c>
      <c r="T1553" s="32" t="n">
        <f aca="false">K1553*INDEX('Tabela Passaro'!$N$2:$N$1795,$N1553)</f>
        <v>1.39088</v>
      </c>
      <c r="U1553" s="32" t="n">
        <f aca="false">INDEX('Tabela Passaro'!$O$2:$O$1795,$N1553)</f>
        <v>5</v>
      </c>
      <c r="V1553" s="32" t="n">
        <f aca="false">ROUNDUP(J1553/INDEX('Tabela Passaro'!$Q$2:$Q$1795,$N1553),0)*INDEX('Tabela Passaro'!$P$2:$P$1795,$N1553)</f>
        <v>5</v>
      </c>
      <c r="W1553" s="32" t="n">
        <f aca="false">INDEX('Tabela Passaro'!$R$2:$R$1795,$N1553)</f>
        <v>30</v>
      </c>
      <c r="X1553" s="32" t="n">
        <f aca="false">ROUNDUP(J1553/INDEX('Tabela Passaro'!$T$2:$T$1795,$N1553),0)*INDEX('Tabela Passaro'!$S$2:$S$1795,$N1553)</f>
        <v>0</v>
      </c>
      <c r="Y1553" s="32" t="n">
        <f aca="false">INDEX('Tabela Passaro'!$U$2:$U$1795,$N1553)</f>
        <v>0</v>
      </c>
      <c r="Z1553" s="32" t="n">
        <f aca="false">INDEX('Tabela Passaro'!$V$2:$V$1795,$N1553)</f>
        <v>0</v>
      </c>
      <c r="AA1553" s="32" t="n">
        <f aca="false">SUM(R1553:Z1553)</f>
        <v>266.52808</v>
      </c>
      <c r="AB1553" s="33" t="n">
        <f aca="false">INDEX(Premissas!$B$5:$B$13,MATCH(A1553,Premissas!$A$5:$A$13,0))</f>
        <v>0.07</v>
      </c>
      <c r="AC1553" s="32" t="n">
        <f aca="false">AA1553/(1-AB1553)-AA1553</f>
        <v>20.0612533333334</v>
      </c>
      <c r="AD1553" s="32" t="n">
        <f aca="false">ROUND(AA1553+AC1553,2)</f>
        <v>286.59</v>
      </c>
      <c r="AE1553" s="32" t="n">
        <f aca="false">AD1553-L1553</f>
        <v>109.43</v>
      </c>
      <c r="AF1553" s="34" t="n">
        <f aca="false">IF(L1553=0,0,AE1553/L1553)</f>
        <v>0.617690223526755</v>
      </c>
      <c r="AG1553" s="22" t="str">
        <f aca="false">IF(AD1553&lt;L1553,"PASSARO","ATUAL")</f>
        <v>ATUAL</v>
      </c>
      <c r="AH1553" s="22" t="str">
        <f aca="false">IF(P1553&lt;&gt;A1553,"Faixa cadastrada como "&amp;P1553&amp;" na tabela; preço aplicado pela UF do CEP","")</f>
        <v/>
      </c>
      <c r="AI1553" s="26" t="n">
        <v>324.39</v>
      </c>
      <c r="AJ1553" s="22" t="str">
        <f aca="false">INDEX('Tabela Passaro'!$X$2:$X$1795,$N1553)</f>
        <v>CAPITAL</v>
      </c>
    </row>
    <row r="1554" customFormat="false" ht="15" hidden="false" customHeight="false" outlineLevel="0" collapsed="false">
      <c r="A1554" s="22" t="s">
        <v>21</v>
      </c>
      <c r="B1554" s="22" t="n">
        <v>1</v>
      </c>
      <c r="C1554" s="22" t="s">
        <v>167</v>
      </c>
      <c r="D1554" s="22" t="s">
        <v>32</v>
      </c>
      <c r="E1554" s="22" t="s">
        <v>7326</v>
      </c>
      <c r="F1554" s="22" t="n">
        <v>902594</v>
      </c>
      <c r="G1554" s="30" t="n">
        <v>46245</v>
      </c>
      <c r="H1554" s="22" t="n">
        <v>623478</v>
      </c>
      <c r="I1554" s="22" t="s">
        <v>8754</v>
      </c>
      <c r="J1554" s="31" t="n">
        <v>63</v>
      </c>
      <c r="K1554" s="26" t="n">
        <v>1217.46</v>
      </c>
      <c r="L1554" s="26" t="n">
        <v>199.06</v>
      </c>
      <c r="M1554" s="22" t="s">
        <v>5498</v>
      </c>
      <c r="N1554" s="22" t="n">
        <f aca="false">MATCH(M1554,'Tabela Passaro'!$A$2:$A$1795,0)</f>
        <v>1329</v>
      </c>
      <c r="O1554" s="22" t="str">
        <f aca="false">INDEX('Tabela Passaro'!$C$2:$C$1795,$N1554)</f>
        <v>TERESINA</v>
      </c>
      <c r="P1554" s="22" t="str">
        <f aca="false">INDEX('Tabela Passaro'!$B$2:$B$1795,$N1554)</f>
        <v>PI</v>
      </c>
      <c r="Q1554" s="22" t="n">
        <f aca="false">INDEX('Tabela Passaro'!$F$2:$F$1795,$N1554)</f>
        <v>10</v>
      </c>
      <c r="R1554" s="32" t="n">
        <f aca="false">IF(J1554&lt;=10,INDEX('Tabela Passaro'!$G$2:$G$1795,$N1554),IF(J1554&lt;=30,INDEX('Tabela Passaro'!$H$2:$H$1795,$N1554),IF(J1554&lt;=50,INDEX('Tabela Passaro'!$I$2:$I$1795,$N1554),IF(J1554&lt;=70,INDEX('Tabela Passaro'!$J$2:$J$1795,$N1554),IF(J1554&lt;=100,INDEX('Tabela Passaro'!$K$2:$K$1795,$N1554),INDEX('Tabela Passaro'!$K$2:$K$1795,$N1554)+(J1554-100)*INDEX('Tabela Passaro'!$L$2:$L$1795,$N1554))))))</f>
        <v>238.26</v>
      </c>
      <c r="S1554" s="32" t="n">
        <f aca="false">K1554*INDEX('Tabela Passaro'!$M$2:$M$1795,$N1554)</f>
        <v>6.0873</v>
      </c>
      <c r="T1554" s="32" t="n">
        <f aca="false">K1554*INDEX('Tabela Passaro'!$N$2:$N$1795,$N1554)</f>
        <v>2.43492</v>
      </c>
      <c r="U1554" s="32" t="n">
        <f aca="false">INDEX('Tabela Passaro'!$O$2:$O$1795,$N1554)</f>
        <v>5</v>
      </c>
      <c r="V1554" s="32" t="n">
        <f aca="false">ROUNDUP(J1554/INDEX('Tabela Passaro'!$Q$2:$Q$1795,$N1554),0)*INDEX('Tabela Passaro'!$P$2:$P$1795,$N1554)</f>
        <v>5</v>
      </c>
      <c r="W1554" s="32" t="n">
        <f aca="false">INDEX('Tabela Passaro'!$R$2:$R$1795,$N1554)</f>
        <v>30</v>
      </c>
      <c r="X1554" s="32" t="n">
        <f aca="false">ROUNDUP(J1554/INDEX('Tabela Passaro'!$T$2:$T$1795,$N1554),0)*INDEX('Tabela Passaro'!$S$2:$S$1795,$N1554)</f>
        <v>0</v>
      </c>
      <c r="Y1554" s="32" t="n">
        <f aca="false">INDEX('Tabela Passaro'!$U$2:$U$1795,$N1554)</f>
        <v>0</v>
      </c>
      <c r="Z1554" s="32" t="n">
        <f aca="false">INDEX('Tabela Passaro'!$V$2:$V$1795,$N1554)</f>
        <v>0</v>
      </c>
      <c r="AA1554" s="32" t="n">
        <f aca="false">SUM(R1554:Z1554)</f>
        <v>286.78222</v>
      </c>
      <c r="AB1554" s="33" t="n">
        <f aca="false">INDEX(Premissas!$B$5:$B$13,MATCH(A1554,Premissas!$A$5:$A$13,0))</f>
        <v>0.07</v>
      </c>
      <c r="AC1554" s="32" t="n">
        <f aca="false">AA1554/(1-AB1554)-AA1554</f>
        <v>21.5857584946237</v>
      </c>
      <c r="AD1554" s="32" t="n">
        <f aca="false">ROUND(AA1554+AC1554,2)</f>
        <v>308.37</v>
      </c>
      <c r="AE1554" s="32" t="n">
        <f aca="false">AD1554-L1554</f>
        <v>109.31</v>
      </c>
      <c r="AF1554" s="34" t="n">
        <f aca="false">IF(L1554=0,0,AE1554/L1554)</f>
        <v>0.549130915301919</v>
      </c>
      <c r="AG1554" s="22" t="str">
        <f aca="false">IF(AD1554&lt;L1554,"PASSARO","ATUAL")</f>
        <v>ATUAL</v>
      </c>
      <c r="AH1554" s="22" t="str">
        <f aca="false">IF(P1554&lt;&gt;A1554,"Faixa cadastrada como "&amp;P1554&amp;" na tabela; preço aplicado pela UF do CEP","")</f>
        <v/>
      </c>
      <c r="AI1554" s="26" t="n">
        <v>360.33</v>
      </c>
      <c r="AJ1554" s="22" t="str">
        <f aca="false">INDEX('Tabela Passaro'!$X$2:$X$1795,$N1554)</f>
        <v>CAPITAL</v>
      </c>
    </row>
    <row r="1555" customFormat="false" ht="15" hidden="false" customHeight="false" outlineLevel="0" collapsed="false">
      <c r="A1555" s="22" t="s">
        <v>21</v>
      </c>
      <c r="B1555" s="22" t="n">
        <v>1</v>
      </c>
      <c r="C1555" s="22" t="s">
        <v>167</v>
      </c>
      <c r="D1555" s="22" t="s">
        <v>32</v>
      </c>
      <c r="E1555" s="22" t="s">
        <v>7326</v>
      </c>
      <c r="F1555" s="22" t="n">
        <v>903157</v>
      </c>
      <c r="G1555" s="30" t="n">
        <v>46246</v>
      </c>
      <c r="H1555" s="22" t="n">
        <v>624203</v>
      </c>
      <c r="I1555" s="22" t="s">
        <v>8755</v>
      </c>
      <c r="J1555" s="31" t="n">
        <v>107.7</v>
      </c>
      <c r="K1555" s="26" t="n">
        <v>1697.16</v>
      </c>
      <c r="L1555" s="26" t="n">
        <v>259.65</v>
      </c>
      <c r="M1555" s="22" t="s">
        <v>5498</v>
      </c>
      <c r="N1555" s="22" t="n">
        <f aca="false">MATCH(M1555,'Tabela Passaro'!$A$2:$A$1795,0)</f>
        <v>1329</v>
      </c>
      <c r="O1555" s="22" t="str">
        <f aca="false">INDEX('Tabela Passaro'!$C$2:$C$1795,$N1555)</f>
        <v>TERESINA</v>
      </c>
      <c r="P1555" s="22" t="str">
        <f aca="false">INDEX('Tabela Passaro'!$B$2:$B$1795,$N1555)</f>
        <v>PI</v>
      </c>
      <c r="Q1555" s="22" t="n">
        <f aca="false">INDEX('Tabela Passaro'!$F$2:$F$1795,$N1555)</f>
        <v>10</v>
      </c>
      <c r="R1555" s="32" t="n">
        <f aca="false">IF(J1555&lt;=10,INDEX('Tabela Passaro'!$G$2:$G$1795,$N1555),IF(J1555&lt;=30,INDEX('Tabela Passaro'!$H$2:$H$1795,$N1555),IF(J1555&lt;=50,INDEX('Tabela Passaro'!$I$2:$I$1795,$N1555),IF(J1555&lt;=70,INDEX('Tabela Passaro'!$J$2:$J$1795,$N1555),IF(J1555&lt;=100,INDEX('Tabela Passaro'!$K$2:$K$1795,$N1555),INDEX('Tabela Passaro'!$K$2:$K$1795,$N1555)+(J1555-100)*INDEX('Tabela Passaro'!$L$2:$L$1795,$N1555))))))</f>
        <v>271.867</v>
      </c>
      <c r="S1555" s="32" t="n">
        <f aca="false">K1555*INDEX('Tabela Passaro'!$M$2:$M$1795,$N1555)</f>
        <v>8.4858</v>
      </c>
      <c r="T1555" s="32" t="n">
        <f aca="false">K1555*INDEX('Tabela Passaro'!$N$2:$N$1795,$N1555)</f>
        <v>3.39432</v>
      </c>
      <c r="U1555" s="32" t="n">
        <f aca="false">INDEX('Tabela Passaro'!$O$2:$O$1795,$N1555)</f>
        <v>5</v>
      </c>
      <c r="V1555" s="32" t="n">
        <f aca="false">ROUNDUP(J1555/INDEX('Tabela Passaro'!$Q$2:$Q$1795,$N1555),0)*INDEX('Tabela Passaro'!$P$2:$P$1795,$N1555)</f>
        <v>10</v>
      </c>
      <c r="W1555" s="32" t="n">
        <f aca="false">INDEX('Tabela Passaro'!$R$2:$R$1795,$N1555)</f>
        <v>30</v>
      </c>
      <c r="X1555" s="32" t="n">
        <f aca="false">ROUNDUP(J1555/INDEX('Tabela Passaro'!$T$2:$T$1795,$N1555),0)*INDEX('Tabela Passaro'!$S$2:$S$1795,$N1555)</f>
        <v>0</v>
      </c>
      <c r="Y1555" s="32" t="n">
        <f aca="false">INDEX('Tabela Passaro'!$U$2:$U$1795,$N1555)</f>
        <v>0</v>
      </c>
      <c r="Z1555" s="32" t="n">
        <f aca="false">INDEX('Tabela Passaro'!$V$2:$V$1795,$N1555)</f>
        <v>0</v>
      </c>
      <c r="AA1555" s="32" t="n">
        <f aca="false">SUM(R1555:Z1555)</f>
        <v>328.74712</v>
      </c>
      <c r="AB1555" s="33" t="n">
        <f aca="false">INDEX(Premissas!$B$5:$B$13,MATCH(A1555,Premissas!$A$5:$A$13,0))</f>
        <v>0.07</v>
      </c>
      <c r="AC1555" s="32" t="n">
        <f aca="false">AA1555/(1-AB1555)-AA1555</f>
        <v>24.7444068817205</v>
      </c>
      <c r="AD1555" s="32" t="n">
        <f aca="false">ROUND(AA1555+AC1555,2)</f>
        <v>353.49</v>
      </c>
      <c r="AE1555" s="32" t="n">
        <f aca="false">AD1555-L1555</f>
        <v>93.84</v>
      </c>
      <c r="AF1555" s="34" t="n">
        <f aca="false">IF(L1555=0,0,AE1555/L1555)</f>
        <v>0.361409589832467</v>
      </c>
      <c r="AG1555" s="22" t="str">
        <f aca="false">IF(AD1555&lt;L1555,"PASSARO","ATUAL")</f>
        <v>ATUAL</v>
      </c>
      <c r="AH1555" s="22" t="str">
        <f aca="false">IF(P1555&lt;&gt;A1555,"Faixa cadastrada como "&amp;P1555&amp;" na tabela; preço aplicado pela UF do CEP","")</f>
        <v/>
      </c>
      <c r="AI1555" s="26" t="n">
        <v>431.52</v>
      </c>
      <c r="AJ1555" s="22" t="str">
        <f aca="false">INDEX('Tabela Passaro'!$X$2:$X$1795,$N1555)</f>
        <v>CAPITAL</v>
      </c>
    </row>
    <row r="1556" customFormat="false" ht="15" hidden="false" customHeight="false" outlineLevel="0" collapsed="false">
      <c r="A1556" s="22" t="s">
        <v>21</v>
      </c>
      <c r="B1556" s="22" t="n">
        <v>1</v>
      </c>
      <c r="C1556" s="22" t="s">
        <v>167</v>
      </c>
      <c r="D1556" s="22" t="s">
        <v>32</v>
      </c>
      <c r="E1556" s="22" t="s">
        <v>7326</v>
      </c>
      <c r="F1556" s="22" t="n">
        <v>903536</v>
      </c>
      <c r="G1556" s="30" t="n">
        <v>46247</v>
      </c>
      <c r="H1556" s="22" t="n">
        <v>624474</v>
      </c>
      <c r="I1556" s="22" t="s">
        <v>8756</v>
      </c>
      <c r="J1556" s="31" t="n">
        <v>107.7</v>
      </c>
      <c r="K1556" s="26" t="n">
        <v>1676.06</v>
      </c>
      <c r="L1556" s="26" t="n">
        <v>259.39</v>
      </c>
      <c r="M1556" s="22" t="s">
        <v>5498</v>
      </c>
      <c r="N1556" s="22" t="n">
        <f aca="false">MATCH(M1556,'Tabela Passaro'!$A$2:$A$1795,0)</f>
        <v>1329</v>
      </c>
      <c r="O1556" s="22" t="str">
        <f aca="false">INDEX('Tabela Passaro'!$C$2:$C$1795,$N1556)</f>
        <v>TERESINA</v>
      </c>
      <c r="P1556" s="22" t="str">
        <f aca="false">INDEX('Tabela Passaro'!$B$2:$B$1795,$N1556)</f>
        <v>PI</v>
      </c>
      <c r="Q1556" s="22" t="n">
        <f aca="false">INDEX('Tabela Passaro'!$F$2:$F$1795,$N1556)</f>
        <v>10</v>
      </c>
      <c r="R1556" s="32" t="n">
        <f aca="false">IF(J1556&lt;=10,INDEX('Tabela Passaro'!$G$2:$G$1795,$N1556),IF(J1556&lt;=30,INDEX('Tabela Passaro'!$H$2:$H$1795,$N1556),IF(J1556&lt;=50,INDEX('Tabela Passaro'!$I$2:$I$1795,$N1556),IF(J1556&lt;=70,INDEX('Tabela Passaro'!$J$2:$J$1795,$N1556),IF(J1556&lt;=100,INDEX('Tabela Passaro'!$K$2:$K$1795,$N1556),INDEX('Tabela Passaro'!$K$2:$K$1795,$N1556)+(J1556-100)*INDEX('Tabela Passaro'!$L$2:$L$1795,$N1556))))))</f>
        <v>271.867</v>
      </c>
      <c r="S1556" s="32" t="n">
        <f aca="false">K1556*INDEX('Tabela Passaro'!$M$2:$M$1795,$N1556)</f>
        <v>8.3803</v>
      </c>
      <c r="T1556" s="32" t="n">
        <f aca="false">K1556*INDEX('Tabela Passaro'!$N$2:$N$1795,$N1556)</f>
        <v>3.35212</v>
      </c>
      <c r="U1556" s="32" t="n">
        <f aca="false">INDEX('Tabela Passaro'!$O$2:$O$1795,$N1556)</f>
        <v>5</v>
      </c>
      <c r="V1556" s="32" t="n">
        <f aca="false">ROUNDUP(J1556/INDEX('Tabela Passaro'!$Q$2:$Q$1795,$N1556),0)*INDEX('Tabela Passaro'!$P$2:$P$1795,$N1556)</f>
        <v>10</v>
      </c>
      <c r="W1556" s="32" t="n">
        <f aca="false">INDEX('Tabela Passaro'!$R$2:$R$1795,$N1556)</f>
        <v>30</v>
      </c>
      <c r="X1556" s="32" t="n">
        <f aca="false">ROUNDUP(J1556/INDEX('Tabela Passaro'!$T$2:$T$1795,$N1556),0)*INDEX('Tabela Passaro'!$S$2:$S$1795,$N1556)</f>
        <v>0</v>
      </c>
      <c r="Y1556" s="32" t="n">
        <f aca="false">INDEX('Tabela Passaro'!$U$2:$U$1795,$N1556)</f>
        <v>0</v>
      </c>
      <c r="Z1556" s="32" t="n">
        <f aca="false">INDEX('Tabela Passaro'!$V$2:$V$1795,$N1556)</f>
        <v>0</v>
      </c>
      <c r="AA1556" s="32" t="n">
        <f aca="false">SUM(R1556:Z1556)</f>
        <v>328.59942</v>
      </c>
      <c r="AB1556" s="33" t="n">
        <f aca="false">INDEX(Premissas!$B$5:$B$13,MATCH(A1556,Premissas!$A$5:$A$13,0))</f>
        <v>0.07</v>
      </c>
      <c r="AC1556" s="32" t="n">
        <f aca="false">AA1556/(1-AB1556)-AA1556</f>
        <v>24.7332896774194</v>
      </c>
      <c r="AD1556" s="32" t="n">
        <f aca="false">ROUND(AA1556+AC1556,2)</f>
        <v>353.33</v>
      </c>
      <c r="AE1556" s="32" t="n">
        <f aca="false">AD1556-L1556</f>
        <v>93.94</v>
      </c>
      <c r="AF1556" s="34" t="n">
        <f aca="false">IF(L1556=0,0,AE1556/L1556)</f>
        <v>0.362157369212383</v>
      </c>
      <c r="AG1556" s="22" t="str">
        <f aca="false">IF(AD1556&lt;L1556,"PASSARO","ATUAL")</f>
        <v>ATUAL</v>
      </c>
      <c r="AH1556" s="22" t="str">
        <f aca="false">IF(P1556&lt;&gt;A1556,"Faixa cadastrada como "&amp;P1556&amp;" na tabela; preço aplicado pela UF do CEP","")</f>
        <v/>
      </c>
      <c r="AI1556" s="26" t="n">
        <v>431.32</v>
      </c>
      <c r="AJ1556" s="22" t="str">
        <f aca="false">INDEX('Tabela Passaro'!$X$2:$X$1795,$N1556)</f>
        <v>CAPITAL</v>
      </c>
    </row>
    <row r="1557" customFormat="false" ht="15" hidden="false" customHeight="false" outlineLevel="0" collapsed="false">
      <c r="A1557" s="22" t="s">
        <v>21</v>
      </c>
      <c r="B1557" s="22" t="n">
        <v>1</v>
      </c>
      <c r="C1557" s="22" t="s">
        <v>167</v>
      </c>
      <c r="D1557" s="22" t="s">
        <v>32</v>
      </c>
      <c r="E1557" s="22" t="s">
        <v>7326</v>
      </c>
      <c r="F1557" s="22" t="n">
        <v>904189</v>
      </c>
      <c r="G1557" s="30" t="n">
        <v>46251</v>
      </c>
      <c r="H1557" s="22" t="n">
        <v>625582</v>
      </c>
      <c r="I1557" s="22" t="s">
        <v>8757</v>
      </c>
      <c r="J1557" s="31" t="n">
        <v>66.4</v>
      </c>
      <c r="K1557" s="26" t="n">
        <v>903.29</v>
      </c>
      <c r="L1557" s="26" t="n">
        <v>195.01</v>
      </c>
      <c r="M1557" s="22" t="s">
        <v>5498</v>
      </c>
      <c r="N1557" s="22" t="n">
        <f aca="false">MATCH(M1557,'Tabela Passaro'!$A$2:$A$1795,0)</f>
        <v>1329</v>
      </c>
      <c r="O1557" s="22" t="str">
        <f aca="false">INDEX('Tabela Passaro'!$C$2:$C$1795,$N1557)</f>
        <v>TERESINA</v>
      </c>
      <c r="P1557" s="22" t="str">
        <f aca="false">INDEX('Tabela Passaro'!$B$2:$B$1795,$N1557)</f>
        <v>PI</v>
      </c>
      <c r="Q1557" s="22" t="n">
        <f aca="false">INDEX('Tabela Passaro'!$F$2:$F$1795,$N1557)</f>
        <v>10</v>
      </c>
      <c r="R1557" s="32" t="n">
        <f aca="false">IF(J1557&lt;=10,INDEX('Tabela Passaro'!$G$2:$G$1795,$N1557),IF(J1557&lt;=30,INDEX('Tabela Passaro'!$H$2:$H$1795,$N1557),IF(J1557&lt;=50,INDEX('Tabela Passaro'!$I$2:$I$1795,$N1557),IF(J1557&lt;=70,INDEX('Tabela Passaro'!$J$2:$J$1795,$N1557),IF(J1557&lt;=100,INDEX('Tabela Passaro'!$K$2:$K$1795,$N1557),INDEX('Tabela Passaro'!$K$2:$K$1795,$N1557)+(J1557-100)*INDEX('Tabela Passaro'!$L$2:$L$1795,$N1557))))))</f>
        <v>238.26</v>
      </c>
      <c r="S1557" s="32" t="n">
        <f aca="false">K1557*INDEX('Tabela Passaro'!$M$2:$M$1795,$N1557)</f>
        <v>4.51645</v>
      </c>
      <c r="T1557" s="32" t="n">
        <f aca="false">K1557*INDEX('Tabela Passaro'!$N$2:$N$1795,$N1557)</f>
        <v>1.80658</v>
      </c>
      <c r="U1557" s="32" t="n">
        <f aca="false">INDEX('Tabela Passaro'!$O$2:$O$1795,$N1557)</f>
        <v>5</v>
      </c>
      <c r="V1557" s="32" t="n">
        <f aca="false">ROUNDUP(J1557/INDEX('Tabela Passaro'!$Q$2:$Q$1795,$N1557),0)*INDEX('Tabela Passaro'!$P$2:$P$1795,$N1557)</f>
        <v>5</v>
      </c>
      <c r="W1557" s="32" t="n">
        <f aca="false">INDEX('Tabela Passaro'!$R$2:$R$1795,$N1557)</f>
        <v>30</v>
      </c>
      <c r="X1557" s="32" t="n">
        <f aca="false">ROUNDUP(J1557/INDEX('Tabela Passaro'!$T$2:$T$1795,$N1557),0)*INDEX('Tabela Passaro'!$S$2:$S$1795,$N1557)</f>
        <v>0</v>
      </c>
      <c r="Y1557" s="32" t="n">
        <f aca="false">INDEX('Tabela Passaro'!$U$2:$U$1795,$N1557)</f>
        <v>0</v>
      </c>
      <c r="Z1557" s="32" t="n">
        <f aca="false">INDEX('Tabela Passaro'!$V$2:$V$1795,$N1557)</f>
        <v>0</v>
      </c>
      <c r="AA1557" s="32" t="n">
        <f aca="false">SUM(R1557:Z1557)</f>
        <v>284.58303</v>
      </c>
      <c r="AB1557" s="33" t="n">
        <f aca="false">INDEX(Premissas!$B$5:$B$13,MATCH(A1557,Premissas!$A$5:$A$13,0))</f>
        <v>0.07</v>
      </c>
      <c r="AC1557" s="32" t="n">
        <f aca="false">AA1557/(1-AB1557)-AA1557</f>
        <v>21.4202280645162</v>
      </c>
      <c r="AD1557" s="32" t="n">
        <f aca="false">ROUND(AA1557+AC1557,2)</f>
        <v>306</v>
      </c>
      <c r="AE1557" s="32" t="n">
        <f aca="false">AD1557-L1557</f>
        <v>110.99</v>
      </c>
      <c r="AF1557" s="34" t="n">
        <f aca="false">IF(L1557=0,0,AE1557/L1557)</f>
        <v>0.569150299984616</v>
      </c>
      <c r="AG1557" s="22" t="str">
        <f aca="false">IF(AD1557&lt;L1557,"PASSARO","ATUAL")</f>
        <v>ATUAL</v>
      </c>
      <c r="AH1557" s="22" t="str">
        <f aca="false">IF(P1557&lt;&gt;A1557,"Faixa cadastrada como "&amp;P1557&amp;" na tabela; preço aplicado pela UF do CEP","")</f>
        <v/>
      </c>
      <c r="AI1557" s="26" t="n">
        <v>359.23</v>
      </c>
      <c r="AJ1557" s="22" t="str">
        <f aca="false">INDEX('Tabela Passaro'!$X$2:$X$1795,$N1557)</f>
        <v>CAPITAL</v>
      </c>
    </row>
    <row r="1558" customFormat="false" ht="15" hidden="false" customHeight="false" outlineLevel="0" collapsed="false">
      <c r="A1558" s="22" t="s">
        <v>21</v>
      </c>
      <c r="B1558" s="22" t="n">
        <v>1</v>
      </c>
      <c r="C1558" s="22" t="s">
        <v>167</v>
      </c>
      <c r="D1558" s="22" t="s">
        <v>32</v>
      </c>
      <c r="E1558" s="22" t="s">
        <v>7326</v>
      </c>
      <c r="F1558" s="22" t="n">
        <v>905171</v>
      </c>
      <c r="G1558" s="30" t="n">
        <v>46253</v>
      </c>
      <c r="H1558" s="22" t="n">
        <v>627229</v>
      </c>
      <c r="I1558" s="22" t="s">
        <v>8758</v>
      </c>
      <c r="J1558" s="31" t="n">
        <v>63</v>
      </c>
      <c r="K1558" s="26" t="n">
        <v>1332.52</v>
      </c>
      <c r="L1558" s="26" t="n">
        <v>200.55</v>
      </c>
      <c r="M1558" s="22" t="s">
        <v>5498</v>
      </c>
      <c r="N1558" s="22" t="n">
        <f aca="false">MATCH(M1558,'Tabela Passaro'!$A$2:$A$1795,0)</f>
        <v>1329</v>
      </c>
      <c r="O1558" s="22" t="str">
        <f aca="false">INDEX('Tabela Passaro'!$C$2:$C$1795,$N1558)</f>
        <v>TERESINA</v>
      </c>
      <c r="P1558" s="22" t="str">
        <f aca="false">INDEX('Tabela Passaro'!$B$2:$B$1795,$N1558)</f>
        <v>PI</v>
      </c>
      <c r="Q1558" s="22" t="n">
        <f aca="false">INDEX('Tabela Passaro'!$F$2:$F$1795,$N1558)</f>
        <v>10</v>
      </c>
      <c r="R1558" s="32" t="n">
        <f aca="false">IF(J1558&lt;=10,INDEX('Tabela Passaro'!$G$2:$G$1795,$N1558),IF(J1558&lt;=30,INDEX('Tabela Passaro'!$H$2:$H$1795,$N1558),IF(J1558&lt;=50,INDEX('Tabela Passaro'!$I$2:$I$1795,$N1558),IF(J1558&lt;=70,INDEX('Tabela Passaro'!$J$2:$J$1795,$N1558),IF(J1558&lt;=100,INDEX('Tabela Passaro'!$K$2:$K$1795,$N1558),INDEX('Tabela Passaro'!$K$2:$K$1795,$N1558)+(J1558-100)*INDEX('Tabela Passaro'!$L$2:$L$1795,$N1558))))))</f>
        <v>238.26</v>
      </c>
      <c r="S1558" s="32" t="n">
        <f aca="false">K1558*INDEX('Tabela Passaro'!$M$2:$M$1795,$N1558)</f>
        <v>6.6626</v>
      </c>
      <c r="T1558" s="32" t="n">
        <f aca="false">K1558*INDEX('Tabela Passaro'!$N$2:$N$1795,$N1558)</f>
        <v>2.66504</v>
      </c>
      <c r="U1558" s="32" t="n">
        <f aca="false">INDEX('Tabela Passaro'!$O$2:$O$1795,$N1558)</f>
        <v>5</v>
      </c>
      <c r="V1558" s="32" t="n">
        <f aca="false">ROUNDUP(J1558/INDEX('Tabela Passaro'!$Q$2:$Q$1795,$N1558),0)*INDEX('Tabela Passaro'!$P$2:$P$1795,$N1558)</f>
        <v>5</v>
      </c>
      <c r="W1558" s="32" t="n">
        <f aca="false">INDEX('Tabela Passaro'!$R$2:$R$1795,$N1558)</f>
        <v>30</v>
      </c>
      <c r="X1558" s="32" t="n">
        <f aca="false">ROUNDUP(J1558/INDEX('Tabela Passaro'!$T$2:$T$1795,$N1558),0)*INDEX('Tabela Passaro'!$S$2:$S$1795,$N1558)</f>
        <v>0</v>
      </c>
      <c r="Y1558" s="32" t="n">
        <f aca="false">INDEX('Tabela Passaro'!$U$2:$U$1795,$N1558)</f>
        <v>0</v>
      </c>
      <c r="Z1558" s="32" t="n">
        <f aca="false">INDEX('Tabela Passaro'!$V$2:$V$1795,$N1558)</f>
        <v>0</v>
      </c>
      <c r="AA1558" s="32" t="n">
        <f aca="false">SUM(R1558:Z1558)</f>
        <v>287.58764</v>
      </c>
      <c r="AB1558" s="33" t="n">
        <f aca="false">INDEX(Premissas!$B$5:$B$13,MATCH(A1558,Premissas!$A$5:$A$13,0))</f>
        <v>0.07</v>
      </c>
      <c r="AC1558" s="32" t="n">
        <f aca="false">AA1558/(1-AB1558)-AA1558</f>
        <v>21.6463815053764</v>
      </c>
      <c r="AD1558" s="32" t="n">
        <f aca="false">ROUND(AA1558+AC1558,2)</f>
        <v>309.23</v>
      </c>
      <c r="AE1558" s="32" t="n">
        <f aca="false">AD1558-L1558</f>
        <v>108.68</v>
      </c>
      <c r="AF1558" s="34" t="n">
        <f aca="false">IF(L1558=0,0,AE1558/L1558)</f>
        <v>0.541909748192471</v>
      </c>
      <c r="AG1558" s="22" t="str">
        <f aca="false">IF(AD1558&lt;L1558,"PASSARO","ATUAL")</f>
        <v>ATUAL</v>
      </c>
      <c r="AH1558" s="22" t="str">
        <f aca="false">IF(P1558&lt;&gt;A1558,"Faixa cadastrada como "&amp;P1558&amp;" na tabela; preço aplicado pela UF do CEP","")</f>
        <v/>
      </c>
      <c r="AI1558" s="26" t="n">
        <v>361.44</v>
      </c>
      <c r="AJ1558" s="22" t="str">
        <f aca="false">INDEX('Tabela Passaro'!$X$2:$X$1795,$N1558)</f>
        <v>CAPITAL</v>
      </c>
    </row>
    <row r="1559" customFormat="false" ht="15" hidden="false" customHeight="false" outlineLevel="0" collapsed="false">
      <c r="A1559" s="22" t="s">
        <v>21</v>
      </c>
      <c r="B1559" s="22" t="n">
        <v>1</v>
      </c>
      <c r="C1559" s="22" t="s">
        <v>167</v>
      </c>
      <c r="D1559" s="22" t="s">
        <v>32</v>
      </c>
      <c r="E1559" s="22" t="s">
        <v>7326</v>
      </c>
      <c r="F1559" s="22" t="n">
        <v>906676</v>
      </c>
      <c r="G1559" s="30" t="n">
        <v>46259</v>
      </c>
      <c r="H1559" s="22" t="n">
        <v>629007</v>
      </c>
      <c r="I1559" s="22" t="s">
        <v>8759</v>
      </c>
      <c r="J1559" s="31" t="n">
        <v>63.3</v>
      </c>
      <c r="K1559" s="26" t="n">
        <v>1013.12</v>
      </c>
      <c r="L1559" s="26" t="n">
        <v>196.44</v>
      </c>
      <c r="M1559" s="22" t="s">
        <v>5498</v>
      </c>
      <c r="N1559" s="22" t="n">
        <f aca="false">MATCH(M1559,'Tabela Passaro'!$A$2:$A$1795,0)</f>
        <v>1329</v>
      </c>
      <c r="O1559" s="22" t="str">
        <f aca="false">INDEX('Tabela Passaro'!$C$2:$C$1795,$N1559)</f>
        <v>TERESINA</v>
      </c>
      <c r="P1559" s="22" t="str">
        <f aca="false">INDEX('Tabela Passaro'!$B$2:$B$1795,$N1559)</f>
        <v>PI</v>
      </c>
      <c r="Q1559" s="22" t="n">
        <f aca="false">INDEX('Tabela Passaro'!$F$2:$F$1795,$N1559)</f>
        <v>10</v>
      </c>
      <c r="R1559" s="32" t="n">
        <f aca="false">IF(J1559&lt;=10,INDEX('Tabela Passaro'!$G$2:$G$1795,$N1559),IF(J1559&lt;=30,INDEX('Tabela Passaro'!$H$2:$H$1795,$N1559),IF(J1559&lt;=50,INDEX('Tabela Passaro'!$I$2:$I$1795,$N1559),IF(J1559&lt;=70,INDEX('Tabela Passaro'!$J$2:$J$1795,$N1559),IF(J1559&lt;=100,INDEX('Tabela Passaro'!$K$2:$K$1795,$N1559),INDEX('Tabela Passaro'!$K$2:$K$1795,$N1559)+(J1559-100)*INDEX('Tabela Passaro'!$L$2:$L$1795,$N1559))))))</f>
        <v>238.26</v>
      </c>
      <c r="S1559" s="32" t="n">
        <f aca="false">K1559*INDEX('Tabela Passaro'!$M$2:$M$1795,$N1559)</f>
        <v>5.0656</v>
      </c>
      <c r="T1559" s="32" t="n">
        <f aca="false">K1559*INDEX('Tabela Passaro'!$N$2:$N$1795,$N1559)</f>
        <v>2.02624</v>
      </c>
      <c r="U1559" s="32" t="n">
        <f aca="false">INDEX('Tabela Passaro'!$O$2:$O$1795,$N1559)</f>
        <v>5</v>
      </c>
      <c r="V1559" s="32" t="n">
        <f aca="false">ROUNDUP(J1559/INDEX('Tabela Passaro'!$Q$2:$Q$1795,$N1559),0)*INDEX('Tabela Passaro'!$P$2:$P$1795,$N1559)</f>
        <v>5</v>
      </c>
      <c r="W1559" s="32" t="n">
        <f aca="false">INDEX('Tabela Passaro'!$R$2:$R$1795,$N1559)</f>
        <v>30</v>
      </c>
      <c r="X1559" s="32" t="n">
        <f aca="false">ROUNDUP(J1559/INDEX('Tabela Passaro'!$T$2:$T$1795,$N1559),0)*INDEX('Tabela Passaro'!$S$2:$S$1795,$N1559)</f>
        <v>0</v>
      </c>
      <c r="Y1559" s="32" t="n">
        <f aca="false">INDEX('Tabela Passaro'!$U$2:$U$1795,$N1559)</f>
        <v>0</v>
      </c>
      <c r="Z1559" s="32" t="n">
        <f aca="false">INDEX('Tabela Passaro'!$V$2:$V$1795,$N1559)</f>
        <v>0</v>
      </c>
      <c r="AA1559" s="32" t="n">
        <f aca="false">SUM(R1559:Z1559)</f>
        <v>285.35184</v>
      </c>
      <c r="AB1559" s="33" t="n">
        <f aca="false">INDEX(Premissas!$B$5:$B$13,MATCH(A1559,Premissas!$A$5:$A$13,0))</f>
        <v>0.07</v>
      </c>
      <c r="AC1559" s="32" t="n">
        <f aca="false">AA1559/(1-AB1559)-AA1559</f>
        <v>21.478095483871</v>
      </c>
      <c r="AD1559" s="32" t="n">
        <f aca="false">ROUND(AA1559+AC1559,2)</f>
        <v>306.83</v>
      </c>
      <c r="AE1559" s="32" t="n">
        <f aca="false">AD1559-L1559</f>
        <v>110.39</v>
      </c>
      <c r="AF1559" s="34" t="n">
        <f aca="false">IF(L1559=0,0,AE1559/L1559)</f>
        <v>0.561952759112197</v>
      </c>
      <c r="AG1559" s="22" t="str">
        <f aca="false">IF(AD1559&lt;L1559,"PASSARO","ATUAL")</f>
        <v>ATUAL</v>
      </c>
      <c r="AH1559" s="22" t="str">
        <f aca="false">IF(P1559&lt;&gt;A1559,"Faixa cadastrada como "&amp;P1559&amp;" na tabela; preço aplicado pela UF do CEP","")</f>
        <v/>
      </c>
      <c r="AI1559" s="26" t="n">
        <v>358.84</v>
      </c>
      <c r="AJ1559" s="22" t="str">
        <f aca="false">INDEX('Tabela Passaro'!$X$2:$X$1795,$N1559)</f>
        <v>CAPITAL</v>
      </c>
    </row>
    <row r="1560" customFormat="false" ht="15" hidden="false" customHeight="false" outlineLevel="0" collapsed="false">
      <c r="A1560" s="22" t="s">
        <v>21</v>
      </c>
      <c r="B1560" s="22" t="n">
        <v>1</v>
      </c>
      <c r="C1560" s="22" t="s">
        <v>167</v>
      </c>
      <c r="D1560" s="22" t="s">
        <v>32</v>
      </c>
      <c r="E1560" s="22" t="s">
        <v>7326</v>
      </c>
      <c r="F1560" s="22" t="n">
        <v>907093</v>
      </c>
      <c r="G1560" s="30" t="n">
        <v>46260</v>
      </c>
      <c r="H1560" s="22" t="n">
        <v>629721</v>
      </c>
      <c r="I1560" s="22" t="s">
        <v>8760</v>
      </c>
      <c r="J1560" s="31" t="n">
        <v>106.3</v>
      </c>
      <c r="K1560" s="26" t="n">
        <v>1977.3</v>
      </c>
      <c r="L1560" s="26" t="n">
        <v>263.28</v>
      </c>
      <c r="M1560" s="22" t="s">
        <v>5498</v>
      </c>
      <c r="N1560" s="22" t="n">
        <f aca="false">MATCH(M1560,'Tabela Passaro'!$A$2:$A$1795,0)</f>
        <v>1329</v>
      </c>
      <c r="O1560" s="22" t="str">
        <f aca="false">INDEX('Tabela Passaro'!$C$2:$C$1795,$N1560)</f>
        <v>TERESINA</v>
      </c>
      <c r="P1560" s="22" t="str">
        <f aca="false">INDEX('Tabela Passaro'!$B$2:$B$1795,$N1560)</f>
        <v>PI</v>
      </c>
      <c r="Q1560" s="22" t="n">
        <f aca="false">INDEX('Tabela Passaro'!$F$2:$F$1795,$N1560)</f>
        <v>10</v>
      </c>
      <c r="R1560" s="32" t="n">
        <f aca="false">IF(J1560&lt;=10,INDEX('Tabela Passaro'!$G$2:$G$1795,$N1560),IF(J1560&lt;=30,INDEX('Tabela Passaro'!$H$2:$H$1795,$N1560),IF(J1560&lt;=50,INDEX('Tabela Passaro'!$I$2:$I$1795,$N1560),IF(J1560&lt;=70,INDEX('Tabela Passaro'!$J$2:$J$1795,$N1560),IF(J1560&lt;=100,INDEX('Tabela Passaro'!$K$2:$K$1795,$N1560),INDEX('Tabela Passaro'!$K$2:$K$1795,$N1560)+(J1560-100)*INDEX('Tabela Passaro'!$L$2:$L$1795,$N1560))))))</f>
        <v>268.773</v>
      </c>
      <c r="S1560" s="32" t="n">
        <f aca="false">K1560*INDEX('Tabela Passaro'!$M$2:$M$1795,$N1560)</f>
        <v>9.8865</v>
      </c>
      <c r="T1560" s="32" t="n">
        <f aca="false">K1560*INDEX('Tabela Passaro'!$N$2:$N$1795,$N1560)</f>
        <v>3.9546</v>
      </c>
      <c r="U1560" s="32" t="n">
        <f aca="false">INDEX('Tabela Passaro'!$O$2:$O$1795,$N1560)</f>
        <v>5</v>
      </c>
      <c r="V1560" s="32" t="n">
        <f aca="false">ROUNDUP(J1560/INDEX('Tabela Passaro'!$Q$2:$Q$1795,$N1560),0)*INDEX('Tabela Passaro'!$P$2:$P$1795,$N1560)</f>
        <v>10</v>
      </c>
      <c r="W1560" s="32" t="n">
        <f aca="false">INDEX('Tabela Passaro'!$R$2:$R$1795,$N1560)</f>
        <v>30</v>
      </c>
      <c r="X1560" s="32" t="n">
        <f aca="false">ROUNDUP(J1560/INDEX('Tabela Passaro'!$T$2:$T$1795,$N1560),0)*INDEX('Tabela Passaro'!$S$2:$S$1795,$N1560)</f>
        <v>0</v>
      </c>
      <c r="Y1560" s="32" t="n">
        <f aca="false">INDEX('Tabela Passaro'!$U$2:$U$1795,$N1560)</f>
        <v>0</v>
      </c>
      <c r="Z1560" s="32" t="n">
        <f aca="false">INDEX('Tabela Passaro'!$V$2:$V$1795,$N1560)</f>
        <v>0</v>
      </c>
      <c r="AA1560" s="32" t="n">
        <f aca="false">SUM(R1560:Z1560)</f>
        <v>327.6141</v>
      </c>
      <c r="AB1560" s="33" t="n">
        <f aca="false">INDEX(Premissas!$B$5:$B$13,MATCH(A1560,Premissas!$A$5:$A$13,0))</f>
        <v>0.07</v>
      </c>
      <c r="AC1560" s="32" t="n">
        <f aca="false">AA1560/(1-AB1560)-AA1560</f>
        <v>24.6591258064516</v>
      </c>
      <c r="AD1560" s="32" t="n">
        <f aca="false">ROUND(AA1560+AC1560,2)</f>
        <v>352.27</v>
      </c>
      <c r="AE1560" s="32" t="n">
        <f aca="false">AD1560-L1560</f>
        <v>88.99</v>
      </c>
      <c r="AF1560" s="34" t="n">
        <f aca="false">IF(L1560=0,0,AE1560/L1560)</f>
        <v>0.33800516560316</v>
      </c>
      <c r="AG1560" s="22" t="str">
        <f aca="false">IF(AD1560&lt;L1560,"PASSARO","ATUAL")</f>
        <v>ATUAL</v>
      </c>
      <c r="AH1560" s="22" t="str">
        <f aca="false">IF(P1560&lt;&gt;A1560,"Faixa cadastrada como "&amp;P1560&amp;" na tabela; preço aplicado pela UF do CEP","")</f>
        <v/>
      </c>
      <c r="AI1560" s="26" t="n">
        <v>430</v>
      </c>
      <c r="AJ1560" s="22" t="str">
        <f aca="false">INDEX('Tabela Passaro'!$X$2:$X$1795,$N1560)</f>
        <v>CAPITAL</v>
      </c>
    </row>
    <row r="1561" customFormat="false" ht="15" hidden="false" customHeight="false" outlineLevel="0" collapsed="false">
      <c r="A1561" s="22" t="s">
        <v>21</v>
      </c>
      <c r="B1561" s="22" t="n">
        <v>1</v>
      </c>
      <c r="C1561" s="22" t="s">
        <v>167</v>
      </c>
      <c r="D1561" s="22" t="s">
        <v>32</v>
      </c>
      <c r="E1561" s="22" t="s">
        <v>7326</v>
      </c>
      <c r="F1561" s="22" t="n">
        <v>907880</v>
      </c>
      <c r="G1561" s="30" t="n">
        <v>46262</v>
      </c>
      <c r="H1561" s="22" t="n">
        <v>630503</v>
      </c>
      <c r="I1561" s="22" t="s">
        <v>8761</v>
      </c>
      <c r="J1561" s="31" t="n">
        <v>124.2</v>
      </c>
      <c r="K1561" s="26" t="n">
        <v>1826.71</v>
      </c>
      <c r="L1561" s="26" t="n">
        <v>261.33</v>
      </c>
      <c r="M1561" s="22" t="s">
        <v>5498</v>
      </c>
      <c r="N1561" s="22" t="n">
        <f aca="false">MATCH(M1561,'Tabela Passaro'!$A$2:$A$1795,0)</f>
        <v>1329</v>
      </c>
      <c r="O1561" s="22" t="str">
        <f aca="false">INDEX('Tabela Passaro'!$C$2:$C$1795,$N1561)</f>
        <v>TERESINA</v>
      </c>
      <c r="P1561" s="22" t="str">
        <f aca="false">INDEX('Tabela Passaro'!$B$2:$B$1795,$N1561)</f>
        <v>PI</v>
      </c>
      <c r="Q1561" s="22" t="n">
        <f aca="false">INDEX('Tabela Passaro'!$F$2:$F$1795,$N1561)</f>
        <v>10</v>
      </c>
      <c r="R1561" s="32" t="n">
        <f aca="false">IF(J1561&lt;=10,INDEX('Tabela Passaro'!$G$2:$G$1795,$N1561),IF(J1561&lt;=30,INDEX('Tabela Passaro'!$H$2:$H$1795,$N1561),IF(J1561&lt;=50,INDEX('Tabela Passaro'!$I$2:$I$1795,$N1561),IF(J1561&lt;=70,INDEX('Tabela Passaro'!$J$2:$J$1795,$N1561),IF(J1561&lt;=100,INDEX('Tabela Passaro'!$K$2:$K$1795,$N1561),INDEX('Tabela Passaro'!$K$2:$K$1795,$N1561)+(J1561-100)*INDEX('Tabela Passaro'!$L$2:$L$1795,$N1561))))))</f>
        <v>308.332</v>
      </c>
      <c r="S1561" s="32" t="n">
        <f aca="false">K1561*INDEX('Tabela Passaro'!$M$2:$M$1795,$N1561)</f>
        <v>9.13355</v>
      </c>
      <c r="T1561" s="32" t="n">
        <f aca="false">K1561*INDEX('Tabela Passaro'!$N$2:$N$1795,$N1561)</f>
        <v>3.65342</v>
      </c>
      <c r="U1561" s="32" t="n">
        <f aca="false">INDEX('Tabela Passaro'!$O$2:$O$1795,$N1561)</f>
        <v>5</v>
      </c>
      <c r="V1561" s="32" t="n">
        <f aca="false">ROUNDUP(J1561/INDEX('Tabela Passaro'!$Q$2:$Q$1795,$N1561),0)*INDEX('Tabela Passaro'!$P$2:$P$1795,$N1561)</f>
        <v>10</v>
      </c>
      <c r="W1561" s="32" t="n">
        <f aca="false">INDEX('Tabela Passaro'!$R$2:$R$1795,$N1561)</f>
        <v>30</v>
      </c>
      <c r="X1561" s="32" t="n">
        <f aca="false">ROUNDUP(J1561/INDEX('Tabela Passaro'!$T$2:$T$1795,$N1561),0)*INDEX('Tabela Passaro'!$S$2:$S$1795,$N1561)</f>
        <v>0</v>
      </c>
      <c r="Y1561" s="32" t="n">
        <f aca="false">INDEX('Tabela Passaro'!$U$2:$U$1795,$N1561)</f>
        <v>0</v>
      </c>
      <c r="Z1561" s="32" t="n">
        <f aca="false">INDEX('Tabela Passaro'!$V$2:$V$1795,$N1561)</f>
        <v>0</v>
      </c>
      <c r="AA1561" s="32" t="n">
        <f aca="false">SUM(R1561:Z1561)</f>
        <v>366.11897</v>
      </c>
      <c r="AB1561" s="33" t="n">
        <f aca="false">INDEX(Premissas!$B$5:$B$13,MATCH(A1561,Premissas!$A$5:$A$13,0))</f>
        <v>0.07</v>
      </c>
      <c r="AC1561" s="32" t="n">
        <f aca="false">AA1561/(1-AB1561)-AA1561</f>
        <v>27.557341827957</v>
      </c>
      <c r="AD1561" s="32" t="n">
        <f aca="false">ROUND(AA1561+AC1561,2)</f>
        <v>393.68</v>
      </c>
      <c r="AE1561" s="32" t="n">
        <f aca="false">AD1561-L1561</f>
        <v>132.35</v>
      </c>
      <c r="AF1561" s="34" t="n">
        <f aca="false">IF(L1561=0,0,AE1561/L1561)</f>
        <v>0.506447786323805</v>
      </c>
      <c r="AG1561" s="22" t="str">
        <f aca="false">IF(AD1561&lt;L1561,"PASSARO","ATUAL")</f>
        <v>ATUAL</v>
      </c>
      <c r="AH1561" s="22" t="str">
        <f aca="false">IF(P1561&lt;&gt;A1561,"Faixa cadastrada como "&amp;P1561&amp;" na tabela; preço aplicado pela UF do CEP","")</f>
        <v/>
      </c>
      <c r="AI1561" s="26" t="n">
        <v>485.18</v>
      </c>
      <c r="AJ1561" s="22" t="str">
        <f aca="false">INDEX('Tabela Passaro'!$X$2:$X$1795,$N1561)</f>
        <v>CAPITAL</v>
      </c>
    </row>
    <row r="1562" customFormat="false" ht="15" hidden="false" customHeight="false" outlineLevel="0" collapsed="false">
      <c r="A1562" s="22" t="s">
        <v>21</v>
      </c>
      <c r="B1562" s="22" t="n">
        <v>1</v>
      </c>
      <c r="C1562" s="22" t="s">
        <v>167</v>
      </c>
      <c r="D1562" s="22" t="s">
        <v>30</v>
      </c>
      <c r="E1562" s="22" t="s">
        <v>20</v>
      </c>
      <c r="F1562" s="22" t="n">
        <v>837661</v>
      </c>
      <c r="G1562" s="30" t="n">
        <v>46237</v>
      </c>
      <c r="H1562" s="22" t="n">
        <v>32338</v>
      </c>
      <c r="I1562" s="22" t="s">
        <v>8762</v>
      </c>
      <c r="J1562" s="31" t="n">
        <v>34.1</v>
      </c>
      <c r="K1562" s="26" t="n">
        <v>643.87</v>
      </c>
      <c r="L1562" s="26" t="n">
        <v>154.45</v>
      </c>
      <c r="M1562" s="22" t="s">
        <v>5498</v>
      </c>
      <c r="N1562" s="22" t="n">
        <f aca="false">MATCH(M1562,'Tabela Passaro'!$A$2:$A$1795,0)</f>
        <v>1329</v>
      </c>
      <c r="O1562" s="22" t="str">
        <f aca="false">INDEX('Tabela Passaro'!$C$2:$C$1795,$N1562)</f>
        <v>TERESINA</v>
      </c>
      <c r="P1562" s="22" t="str">
        <f aca="false">INDEX('Tabela Passaro'!$B$2:$B$1795,$N1562)</f>
        <v>PI</v>
      </c>
      <c r="Q1562" s="22" t="n">
        <f aca="false">INDEX('Tabela Passaro'!$F$2:$F$1795,$N1562)</f>
        <v>10</v>
      </c>
      <c r="R1562" s="32" t="n">
        <f aca="false">IF(J1562&lt;=10,INDEX('Tabela Passaro'!$G$2:$G$1795,$N1562),IF(J1562&lt;=30,INDEX('Tabela Passaro'!$H$2:$H$1795,$N1562),IF(J1562&lt;=50,INDEX('Tabela Passaro'!$I$2:$I$1795,$N1562),IF(J1562&lt;=70,INDEX('Tabela Passaro'!$J$2:$J$1795,$N1562),IF(J1562&lt;=100,INDEX('Tabela Passaro'!$K$2:$K$1795,$N1562),INDEX('Tabela Passaro'!$K$2:$K$1795,$N1562)+(J1562-100)*INDEX('Tabela Passaro'!$L$2:$L$1795,$N1562))))))</f>
        <v>221.66</v>
      </c>
      <c r="S1562" s="32" t="n">
        <f aca="false">K1562*INDEX('Tabela Passaro'!$M$2:$M$1795,$N1562)</f>
        <v>3.21935</v>
      </c>
      <c r="T1562" s="32" t="n">
        <f aca="false">K1562*INDEX('Tabela Passaro'!$N$2:$N$1795,$N1562)</f>
        <v>1.28774</v>
      </c>
      <c r="U1562" s="32" t="n">
        <f aca="false">INDEX('Tabela Passaro'!$O$2:$O$1795,$N1562)</f>
        <v>5</v>
      </c>
      <c r="V1562" s="32" t="n">
        <f aca="false">ROUNDUP(J1562/INDEX('Tabela Passaro'!$Q$2:$Q$1795,$N1562),0)*INDEX('Tabela Passaro'!$P$2:$P$1795,$N1562)</f>
        <v>5</v>
      </c>
      <c r="W1562" s="32" t="n">
        <f aca="false">INDEX('Tabela Passaro'!$R$2:$R$1795,$N1562)</f>
        <v>30</v>
      </c>
      <c r="X1562" s="32" t="n">
        <f aca="false">ROUNDUP(J1562/INDEX('Tabela Passaro'!$T$2:$T$1795,$N1562),0)*INDEX('Tabela Passaro'!$S$2:$S$1795,$N1562)</f>
        <v>0</v>
      </c>
      <c r="Y1562" s="32" t="n">
        <f aca="false">INDEX('Tabela Passaro'!$U$2:$U$1795,$N1562)</f>
        <v>0</v>
      </c>
      <c r="Z1562" s="32" t="n">
        <f aca="false">INDEX('Tabela Passaro'!$V$2:$V$1795,$N1562)</f>
        <v>0</v>
      </c>
      <c r="AA1562" s="32" t="n">
        <f aca="false">SUM(R1562:Z1562)</f>
        <v>266.16709</v>
      </c>
      <c r="AB1562" s="33" t="n">
        <f aca="false">INDEX(Premissas!$B$5:$B$13,MATCH(A1562,Premissas!$A$5:$A$13,0))</f>
        <v>0.07</v>
      </c>
      <c r="AC1562" s="32" t="n">
        <f aca="false">AA1562/(1-AB1562)-AA1562</f>
        <v>20.0340820430108</v>
      </c>
      <c r="AD1562" s="32" t="n">
        <f aca="false">ROUND(AA1562+AC1562,2)</f>
        <v>286.2</v>
      </c>
      <c r="AE1562" s="32" t="n">
        <f aca="false">AD1562-L1562</f>
        <v>131.75</v>
      </c>
      <c r="AF1562" s="34" t="n">
        <f aca="false">IF(L1562=0,0,AE1562/L1562)</f>
        <v>0.853026869537067</v>
      </c>
      <c r="AG1562" s="22" t="str">
        <f aca="false">IF(AD1562&lt;L1562,"PASSARO","ATUAL")</f>
        <v>ATUAL</v>
      </c>
      <c r="AH1562" s="22" t="str">
        <f aca="false">IF(P1562&lt;&gt;A1562,"Faixa cadastrada como "&amp;P1562&amp;" na tabela; preço aplicado pela UF do CEP","")</f>
        <v/>
      </c>
      <c r="AI1562" s="26" t="n">
        <v>322.44</v>
      </c>
      <c r="AJ1562" s="22" t="str">
        <f aca="false">INDEX('Tabela Passaro'!$X$2:$X$1795,$N1562)</f>
        <v>CAPITAL</v>
      </c>
    </row>
    <row r="1563" customFormat="false" ht="15" hidden="false" customHeight="false" outlineLevel="0" collapsed="false">
      <c r="A1563" s="22" t="s">
        <v>21</v>
      </c>
      <c r="B1563" s="22" t="n">
        <v>1</v>
      </c>
      <c r="C1563" s="22" t="s">
        <v>167</v>
      </c>
      <c r="D1563" s="22" t="s">
        <v>30</v>
      </c>
      <c r="E1563" s="22" t="s">
        <v>7328</v>
      </c>
      <c r="F1563" s="22" t="n">
        <v>2307451</v>
      </c>
      <c r="G1563" s="30" t="n">
        <v>46238</v>
      </c>
      <c r="H1563" s="22" t="n">
        <v>131310</v>
      </c>
      <c r="I1563" s="22" t="s">
        <v>8763</v>
      </c>
      <c r="J1563" s="31" t="n">
        <v>41.3</v>
      </c>
      <c r="K1563" s="26" t="n">
        <v>749.69</v>
      </c>
      <c r="L1563" s="26" t="n">
        <v>169.45</v>
      </c>
      <c r="M1563" s="22" t="s">
        <v>5498</v>
      </c>
      <c r="N1563" s="22" t="n">
        <f aca="false">MATCH(M1563,'Tabela Passaro'!$A$2:$A$1795,0)</f>
        <v>1329</v>
      </c>
      <c r="O1563" s="22" t="str">
        <f aca="false">INDEX('Tabela Passaro'!$C$2:$C$1795,$N1563)</f>
        <v>TERESINA</v>
      </c>
      <c r="P1563" s="22" t="str">
        <f aca="false">INDEX('Tabela Passaro'!$B$2:$B$1795,$N1563)</f>
        <v>PI</v>
      </c>
      <c r="Q1563" s="22" t="n">
        <f aca="false">INDEX('Tabela Passaro'!$F$2:$F$1795,$N1563)</f>
        <v>10</v>
      </c>
      <c r="R1563" s="32" t="n">
        <f aca="false">IF(J1563&lt;=10,INDEX('Tabela Passaro'!$G$2:$G$1795,$N1563),IF(J1563&lt;=30,INDEX('Tabela Passaro'!$H$2:$H$1795,$N1563),IF(J1563&lt;=50,INDEX('Tabela Passaro'!$I$2:$I$1795,$N1563),IF(J1563&lt;=70,INDEX('Tabela Passaro'!$J$2:$J$1795,$N1563),IF(J1563&lt;=100,INDEX('Tabela Passaro'!$K$2:$K$1795,$N1563),INDEX('Tabela Passaro'!$K$2:$K$1795,$N1563)+(J1563-100)*INDEX('Tabela Passaro'!$L$2:$L$1795,$N1563))))))</f>
        <v>221.66</v>
      </c>
      <c r="S1563" s="32" t="n">
        <f aca="false">K1563*INDEX('Tabela Passaro'!$M$2:$M$1795,$N1563)</f>
        <v>3.74845</v>
      </c>
      <c r="T1563" s="32" t="n">
        <f aca="false">K1563*INDEX('Tabela Passaro'!$N$2:$N$1795,$N1563)</f>
        <v>1.49938</v>
      </c>
      <c r="U1563" s="32" t="n">
        <f aca="false">INDEX('Tabela Passaro'!$O$2:$O$1795,$N1563)</f>
        <v>5</v>
      </c>
      <c r="V1563" s="32" t="n">
        <f aca="false">ROUNDUP(J1563/INDEX('Tabela Passaro'!$Q$2:$Q$1795,$N1563),0)*INDEX('Tabela Passaro'!$P$2:$P$1795,$N1563)</f>
        <v>5</v>
      </c>
      <c r="W1563" s="32" t="n">
        <f aca="false">INDEX('Tabela Passaro'!$R$2:$R$1795,$N1563)</f>
        <v>30</v>
      </c>
      <c r="X1563" s="32" t="n">
        <f aca="false">ROUNDUP(J1563/INDEX('Tabela Passaro'!$T$2:$T$1795,$N1563),0)*INDEX('Tabela Passaro'!$S$2:$S$1795,$N1563)</f>
        <v>0</v>
      </c>
      <c r="Y1563" s="32" t="n">
        <f aca="false">INDEX('Tabela Passaro'!$U$2:$U$1795,$N1563)</f>
        <v>0</v>
      </c>
      <c r="Z1563" s="32" t="n">
        <f aca="false">INDEX('Tabela Passaro'!$V$2:$V$1795,$N1563)</f>
        <v>0</v>
      </c>
      <c r="AA1563" s="32" t="n">
        <f aca="false">SUM(R1563:Z1563)</f>
        <v>266.90783</v>
      </c>
      <c r="AB1563" s="33" t="n">
        <f aca="false">INDEX(Premissas!$B$5:$B$13,MATCH(A1563,Premissas!$A$5:$A$13,0))</f>
        <v>0.07</v>
      </c>
      <c r="AC1563" s="32" t="n">
        <f aca="false">AA1563/(1-AB1563)-AA1563</f>
        <v>20.0898366666667</v>
      </c>
      <c r="AD1563" s="32" t="n">
        <f aca="false">ROUND(AA1563+AC1563,2)</f>
        <v>287</v>
      </c>
      <c r="AE1563" s="32" t="n">
        <f aca="false">AD1563-L1563</f>
        <v>117.55</v>
      </c>
      <c r="AF1563" s="34" t="n">
        <f aca="false">IF(L1563=0,0,AE1563/L1563)</f>
        <v>0.693714960165241</v>
      </c>
      <c r="AG1563" s="22" t="str">
        <f aca="false">IF(AD1563&lt;L1563,"PASSARO","ATUAL")</f>
        <v>ATUAL</v>
      </c>
      <c r="AH1563" s="22" t="str">
        <f aca="false">IF(P1563&lt;&gt;A1563,"Faixa cadastrada como "&amp;P1563&amp;" na tabela; preço aplicado pela UF do CEP","")</f>
        <v/>
      </c>
      <c r="AI1563" s="26" t="n">
        <v>326.85</v>
      </c>
      <c r="AJ1563" s="22" t="str">
        <f aca="false">INDEX('Tabela Passaro'!$X$2:$X$1795,$N1563)</f>
        <v>CAPITAL</v>
      </c>
    </row>
    <row r="1564" customFormat="false" ht="15" hidden="false" customHeight="false" outlineLevel="0" collapsed="false">
      <c r="A1564" s="22" t="s">
        <v>21</v>
      </c>
      <c r="B1564" s="22" t="n">
        <v>1</v>
      </c>
      <c r="C1564" s="22" t="s">
        <v>167</v>
      </c>
      <c r="D1564" s="22" t="s">
        <v>30</v>
      </c>
      <c r="E1564" s="22" t="s">
        <v>7328</v>
      </c>
      <c r="F1564" s="22" t="n">
        <v>2307460</v>
      </c>
      <c r="G1564" s="30" t="n">
        <v>46238</v>
      </c>
      <c r="H1564" s="22" t="n">
        <v>131334</v>
      </c>
      <c r="I1564" s="22" t="s">
        <v>8763</v>
      </c>
      <c r="J1564" s="31" t="n">
        <v>41.3</v>
      </c>
      <c r="K1564" s="26" t="n">
        <v>749.76</v>
      </c>
      <c r="L1564" s="26" t="n">
        <v>169.45</v>
      </c>
      <c r="M1564" s="22" t="s">
        <v>5498</v>
      </c>
      <c r="N1564" s="22" t="n">
        <f aca="false">MATCH(M1564,'Tabela Passaro'!$A$2:$A$1795,0)</f>
        <v>1329</v>
      </c>
      <c r="O1564" s="22" t="str">
        <f aca="false">INDEX('Tabela Passaro'!$C$2:$C$1795,$N1564)</f>
        <v>TERESINA</v>
      </c>
      <c r="P1564" s="22" t="str">
        <f aca="false">INDEX('Tabela Passaro'!$B$2:$B$1795,$N1564)</f>
        <v>PI</v>
      </c>
      <c r="Q1564" s="22" t="n">
        <f aca="false">INDEX('Tabela Passaro'!$F$2:$F$1795,$N1564)</f>
        <v>10</v>
      </c>
      <c r="R1564" s="32" t="n">
        <f aca="false">IF(J1564&lt;=10,INDEX('Tabela Passaro'!$G$2:$G$1795,$N1564),IF(J1564&lt;=30,INDEX('Tabela Passaro'!$H$2:$H$1795,$N1564),IF(J1564&lt;=50,INDEX('Tabela Passaro'!$I$2:$I$1795,$N1564),IF(J1564&lt;=70,INDEX('Tabela Passaro'!$J$2:$J$1795,$N1564),IF(J1564&lt;=100,INDEX('Tabela Passaro'!$K$2:$K$1795,$N1564),INDEX('Tabela Passaro'!$K$2:$K$1795,$N1564)+(J1564-100)*INDEX('Tabela Passaro'!$L$2:$L$1795,$N1564))))))</f>
        <v>221.66</v>
      </c>
      <c r="S1564" s="32" t="n">
        <f aca="false">K1564*INDEX('Tabela Passaro'!$M$2:$M$1795,$N1564)</f>
        <v>3.7488</v>
      </c>
      <c r="T1564" s="32" t="n">
        <f aca="false">K1564*INDEX('Tabela Passaro'!$N$2:$N$1795,$N1564)</f>
        <v>1.49952</v>
      </c>
      <c r="U1564" s="32" t="n">
        <f aca="false">INDEX('Tabela Passaro'!$O$2:$O$1795,$N1564)</f>
        <v>5</v>
      </c>
      <c r="V1564" s="32" t="n">
        <f aca="false">ROUNDUP(J1564/INDEX('Tabela Passaro'!$Q$2:$Q$1795,$N1564),0)*INDEX('Tabela Passaro'!$P$2:$P$1795,$N1564)</f>
        <v>5</v>
      </c>
      <c r="W1564" s="32" t="n">
        <f aca="false">INDEX('Tabela Passaro'!$R$2:$R$1795,$N1564)</f>
        <v>30</v>
      </c>
      <c r="X1564" s="32" t="n">
        <f aca="false">ROUNDUP(J1564/INDEX('Tabela Passaro'!$T$2:$T$1795,$N1564),0)*INDEX('Tabela Passaro'!$S$2:$S$1795,$N1564)</f>
        <v>0</v>
      </c>
      <c r="Y1564" s="32" t="n">
        <f aca="false">INDEX('Tabela Passaro'!$U$2:$U$1795,$N1564)</f>
        <v>0</v>
      </c>
      <c r="Z1564" s="32" t="n">
        <f aca="false">INDEX('Tabela Passaro'!$V$2:$V$1795,$N1564)</f>
        <v>0</v>
      </c>
      <c r="AA1564" s="32" t="n">
        <f aca="false">SUM(R1564:Z1564)</f>
        <v>266.90832</v>
      </c>
      <c r="AB1564" s="33" t="n">
        <f aca="false">INDEX(Premissas!$B$5:$B$13,MATCH(A1564,Premissas!$A$5:$A$13,0))</f>
        <v>0.07</v>
      </c>
      <c r="AC1564" s="32" t="n">
        <f aca="false">AA1564/(1-AB1564)-AA1564</f>
        <v>20.0898735483871</v>
      </c>
      <c r="AD1564" s="32" t="n">
        <f aca="false">ROUND(AA1564+AC1564,2)</f>
        <v>287</v>
      </c>
      <c r="AE1564" s="32" t="n">
        <f aca="false">AD1564-L1564</f>
        <v>117.55</v>
      </c>
      <c r="AF1564" s="34" t="n">
        <f aca="false">IF(L1564=0,0,AE1564/L1564)</f>
        <v>0.693714960165241</v>
      </c>
      <c r="AG1564" s="22" t="str">
        <f aca="false">IF(AD1564&lt;L1564,"PASSARO","ATUAL")</f>
        <v>ATUAL</v>
      </c>
      <c r="AH1564" s="22" t="str">
        <f aca="false">IF(P1564&lt;&gt;A1564,"Faixa cadastrada como "&amp;P1564&amp;" na tabela; preço aplicado pela UF do CEP","")</f>
        <v/>
      </c>
      <c r="AI1564" s="26" t="n">
        <v>326.85</v>
      </c>
      <c r="AJ1564" s="22" t="str">
        <f aca="false">INDEX('Tabela Passaro'!$X$2:$X$1795,$N1564)</f>
        <v>CAPITAL</v>
      </c>
    </row>
    <row r="1565" customFormat="false" ht="15" hidden="false" customHeight="false" outlineLevel="0" collapsed="false">
      <c r="A1565" s="22" t="s">
        <v>21</v>
      </c>
      <c r="B1565" s="22" t="n">
        <v>1</v>
      </c>
      <c r="C1565" s="22" t="s">
        <v>167</v>
      </c>
      <c r="D1565" s="22" t="s">
        <v>30</v>
      </c>
      <c r="E1565" s="22" t="s">
        <v>7328</v>
      </c>
      <c r="F1565" s="22" t="n">
        <v>2307489</v>
      </c>
      <c r="G1565" s="30" t="n">
        <v>46238</v>
      </c>
      <c r="H1565" s="22" t="n">
        <v>131482</v>
      </c>
      <c r="I1565" s="22" t="s">
        <v>8764</v>
      </c>
      <c r="J1565" s="31" t="n">
        <v>66.4</v>
      </c>
      <c r="K1565" s="26" t="n">
        <v>999.91</v>
      </c>
      <c r="L1565" s="26" t="n">
        <v>205.2</v>
      </c>
      <c r="M1565" s="22" t="s">
        <v>5498</v>
      </c>
      <c r="N1565" s="22" t="n">
        <f aca="false">MATCH(M1565,'Tabela Passaro'!$A$2:$A$1795,0)</f>
        <v>1329</v>
      </c>
      <c r="O1565" s="22" t="str">
        <f aca="false">INDEX('Tabela Passaro'!$C$2:$C$1795,$N1565)</f>
        <v>TERESINA</v>
      </c>
      <c r="P1565" s="22" t="str">
        <f aca="false">INDEX('Tabela Passaro'!$B$2:$B$1795,$N1565)</f>
        <v>PI</v>
      </c>
      <c r="Q1565" s="22" t="n">
        <f aca="false">INDEX('Tabela Passaro'!$F$2:$F$1795,$N1565)</f>
        <v>10</v>
      </c>
      <c r="R1565" s="32" t="n">
        <f aca="false">IF(J1565&lt;=10,INDEX('Tabela Passaro'!$G$2:$G$1795,$N1565),IF(J1565&lt;=30,INDEX('Tabela Passaro'!$H$2:$H$1795,$N1565),IF(J1565&lt;=50,INDEX('Tabela Passaro'!$I$2:$I$1795,$N1565),IF(J1565&lt;=70,INDEX('Tabela Passaro'!$J$2:$J$1795,$N1565),IF(J1565&lt;=100,INDEX('Tabela Passaro'!$K$2:$K$1795,$N1565),INDEX('Tabela Passaro'!$K$2:$K$1795,$N1565)+(J1565-100)*INDEX('Tabela Passaro'!$L$2:$L$1795,$N1565))))))</f>
        <v>238.26</v>
      </c>
      <c r="S1565" s="32" t="n">
        <f aca="false">K1565*INDEX('Tabela Passaro'!$M$2:$M$1795,$N1565)</f>
        <v>4.99955</v>
      </c>
      <c r="T1565" s="32" t="n">
        <f aca="false">K1565*INDEX('Tabela Passaro'!$N$2:$N$1795,$N1565)</f>
        <v>1.99982</v>
      </c>
      <c r="U1565" s="32" t="n">
        <f aca="false">INDEX('Tabela Passaro'!$O$2:$O$1795,$N1565)</f>
        <v>5</v>
      </c>
      <c r="V1565" s="32" t="n">
        <f aca="false">ROUNDUP(J1565/INDEX('Tabela Passaro'!$Q$2:$Q$1795,$N1565),0)*INDEX('Tabela Passaro'!$P$2:$P$1795,$N1565)</f>
        <v>5</v>
      </c>
      <c r="W1565" s="32" t="n">
        <f aca="false">INDEX('Tabela Passaro'!$R$2:$R$1795,$N1565)</f>
        <v>30</v>
      </c>
      <c r="X1565" s="32" t="n">
        <f aca="false">ROUNDUP(J1565/INDEX('Tabela Passaro'!$T$2:$T$1795,$N1565),0)*INDEX('Tabela Passaro'!$S$2:$S$1795,$N1565)</f>
        <v>0</v>
      </c>
      <c r="Y1565" s="32" t="n">
        <f aca="false">INDEX('Tabela Passaro'!$U$2:$U$1795,$N1565)</f>
        <v>0</v>
      </c>
      <c r="Z1565" s="32" t="n">
        <f aca="false">INDEX('Tabela Passaro'!$V$2:$V$1795,$N1565)</f>
        <v>0</v>
      </c>
      <c r="AA1565" s="32" t="n">
        <f aca="false">SUM(R1565:Z1565)</f>
        <v>285.25937</v>
      </c>
      <c r="AB1565" s="33" t="n">
        <f aca="false">INDEX(Premissas!$B$5:$B$13,MATCH(A1565,Premissas!$A$5:$A$13,0))</f>
        <v>0.07</v>
      </c>
      <c r="AC1565" s="32" t="n">
        <f aca="false">AA1565/(1-AB1565)-AA1565</f>
        <v>21.4711353763441</v>
      </c>
      <c r="AD1565" s="32" t="n">
        <f aca="false">ROUND(AA1565+AC1565,2)</f>
        <v>306.73</v>
      </c>
      <c r="AE1565" s="32" t="n">
        <f aca="false">AD1565-L1565</f>
        <v>101.53</v>
      </c>
      <c r="AF1565" s="34" t="n">
        <f aca="false">IF(L1565=0,0,AE1565/L1565)</f>
        <v>0.494785575048733</v>
      </c>
      <c r="AG1565" s="22" t="str">
        <f aca="false">IF(AD1565&lt;L1565,"PASSARO","ATUAL")</f>
        <v>ATUAL</v>
      </c>
      <c r="AH1565" s="22" t="str">
        <f aca="false">IF(P1565&lt;&gt;A1565,"Faixa cadastrada como "&amp;P1565&amp;" na tabela; preço aplicado pela UF do CEP","")</f>
        <v/>
      </c>
      <c r="AI1565" s="26" t="n">
        <v>360.16</v>
      </c>
      <c r="AJ1565" s="22" t="str">
        <f aca="false">INDEX('Tabela Passaro'!$X$2:$X$1795,$N1565)</f>
        <v>CAPITAL</v>
      </c>
    </row>
    <row r="1566" customFormat="false" ht="15" hidden="false" customHeight="false" outlineLevel="0" collapsed="false">
      <c r="A1566" s="22" t="s">
        <v>21</v>
      </c>
      <c r="B1566" s="22" t="n">
        <v>1</v>
      </c>
      <c r="C1566" s="22" t="s">
        <v>167</v>
      </c>
      <c r="D1566" s="22" t="s">
        <v>30</v>
      </c>
      <c r="E1566" s="22" t="s">
        <v>7328</v>
      </c>
      <c r="F1566" s="22" t="n">
        <v>2307890</v>
      </c>
      <c r="G1566" s="30" t="n">
        <v>46239</v>
      </c>
      <c r="H1566" s="22" t="n">
        <v>131874</v>
      </c>
      <c r="I1566" s="22" t="s">
        <v>8765</v>
      </c>
      <c r="J1566" s="31" t="n">
        <v>67.8</v>
      </c>
      <c r="K1566" s="26" t="n">
        <v>1223.08</v>
      </c>
      <c r="L1566" s="26" t="n">
        <v>206.97</v>
      </c>
      <c r="M1566" s="22" t="s">
        <v>5498</v>
      </c>
      <c r="N1566" s="22" t="n">
        <f aca="false">MATCH(M1566,'Tabela Passaro'!$A$2:$A$1795,0)</f>
        <v>1329</v>
      </c>
      <c r="O1566" s="22" t="str">
        <f aca="false">INDEX('Tabela Passaro'!$C$2:$C$1795,$N1566)</f>
        <v>TERESINA</v>
      </c>
      <c r="P1566" s="22" t="str">
        <f aca="false">INDEX('Tabela Passaro'!$B$2:$B$1795,$N1566)</f>
        <v>PI</v>
      </c>
      <c r="Q1566" s="22" t="n">
        <f aca="false">INDEX('Tabela Passaro'!$F$2:$F$1795,$N1566)</f>
        <v>10</v>
      </c>
      <c r="R1566" s="32" t="n">
        <f aca="false">IF(J1566&lt;=10,INDEX('Tabela Passaro'!$G$2:$G$1795,$N1566),IF(J1566&lt;=30,INDEX('Tabela Passaro'!$H$2:$H$1795,$N1566),IF(J1566&lt;=50,INDEX('Tabela Passaro'!$I$2:$I$1795,$N1566),IF(J1566&lt;=70,INDEX('Tabela Passaro'!$J$2:$J$1795,$N1566),IF(J1566&lt;=100,INDEX('Tabela Passaro'!$K$2:$K$1795,$N1566),INDEX('Tabela Passaro'!$K$2:$K$1795,$N1566)+(J1566-100)*INDEX('Tabela Passaro'!$L$2:$L$1795,$N1566))))))</f>
        <v>238.26</v>
      </c>
      <c r="S1566" s="32" t="n">
        <f aca="false">K1566*INDEX('Tabela Passaro'!$M$2:$M$1795,$N1566)</f>
        <v>6.1154</v>
      </c>
      <c r="T1566" s="32" t="n">
        <f aca="false">K1566*INDEX('Tabela Passaro'!$N$2:$N$1795,$N1566)</f>
        <v>2.44616</v>
      </c>
      <c r="U1566" s="32" t="n">
        <f aca="false">INDEX('Tabela Passaro'!$O$2:$O$1795,$N1566)</f>
        <v>5</v>
      </c>
      <c r="V1566" s="32" t="n">
        <f aca="false">ROUNDUP(J1566/INDEX('Tabela Passaro'!$Q$2:$Q$1795,$N1566),0)*INDEX('Tabela Passaro'!$P$2:$P$1795,$N1566)</f>
        <v>5</v>
      </c>
      <c r="W1566" s="32" t="n">
        <f aca="false">INDEX('Tabela Passaro'!$R$2:$R$1795,$N1566)</f>
        <v>30</v>
      </c>
      <c r="X1566" s="32" t="n">
        <f aca="false">ROUNDUP(J1566/INDEX('Tabela Passaro'!$T$2:$T$1795,$N1566),0)*INDEX('Tabela Passaro'!$S$2:$S$1795,$N1566)</f>
        <v>0</v>
      </c>
      <c r="Y1566" s="32" t="n">
        <f aca="false">INDEX('Tabela Passaro'!$U$2:$U$1795,$N1566)</f>
        <v>0</v>
      </c>
      <c r="Z1566" s="32" t="n">
        <f aca="false">INDEX('Tabela Passaro'!$V$2:$V$1795,$N1566)</f>
        <v>0</v>
      </c>
      <c r="AA1566" s="32" t="n">
        <f aca="false">SUM(R1566:Z1566)</f>
        <v>286.82156</v>
      </c>
      <c r="AB1566" s="33" t="n">
        <f aca="false">INDEX(Premissas!$B$5:$B$13,MATCH(A1566,Premissas!$A$5:$A$13,0))</f>
        <v>0.07</v>
      </c>
      <c r="AC1566" s="32" t="n">
        <f aca="false">AA1566/(1-AB1566)-AA1566</f>
        <v>21.5887195698925</v>
      </c>
      <c r="AD1566" s="32" t="n">
        <f aca="false">ROUND(AA1566+AC1566,2)</f>
        <v>308.41</v>
      </c>
      <c r="AE1566" s="32" t="n">
        <f aca="false">AD1566-L1566</f>
        <v>101.44</v>
      </c>
      <c r="AF1566" s="34" t="n">
        <f aca="false">IF(L1566=0,0,AE1566/L1566)</f>
        <v>0.49011934096729</v>
      </c>
      <c r="AG1566" s="22" t="str">
        <f aca="false">IF(AD1566&lt;L1566,"PASSARO","ATUAL")</f>
        <v>ATUAL</v>
      </c>
      <c r="AH1566" s="22" t="str">
        <f aca="false">IF(P1566&lt;&gt;A1566,"Faixa cadastrada como "&amp;P1566&amp;" na tabela; preço aplicado pela UF do CEP","")</f>
        <v/>
      </c>
      <c r="AI1566" s="26" t="n">
        <v>362.8</v>
      </c>
      <c r="AJ1566" s="22" t="str">
        <f aca="false">INDEX('Tabela Passaro'!$X$2:$X$1795,$N1566)</f>
        <v>CAPITAL</v>
      </c>
    </row>
    <row r="1567" customFormat="false" ht="15" hidden="false" customHeight="false" outlineLevel="0" collapsed="false">
      <c r="A1567" s="22" t="s">
        <v>21</v>
      </c>
      <c r="B1567" s="22" t="n">
        <v>1</v>
      </c>
      <c r="C1567" s="22" t="s">
        <v>167</v>
      </c>
      <c r="D1567" s="22" t="s">
        <v>30</v>
      </c>
      <c r="E1567" s="22" t="s">
        <v>7328</v>
      </c>
      <c r="F1567" s="22" t="n">
        <v>2307960</v>
      </c>
      <c r="G1567" s="30" t="n">
        <v>46239</v>
      </c>
      <c r="H1567" s="22" t="n">
        <v>131948</v>
      </c>
      <c r="I1567" s="22" t="s">
        <v>8766</v>
      </c>
      <c r="J1567" s="31" t="n">
        <v>61.3</v>
      </c>
      <c r="K1567" s="26" t="n">
        <v>936.15</v>
      </c>
      <c r="L1567" s="26" t="n">
        <v>204.69</v>
      </c>
      <c r="M1567" s="22" t="s">
        <v>5498</v>
      </c>
      <c r="N1567" s="22" t="n">
        <f aca="false">MATCH(M1567,'Tabela Passaro'!$A$2:$A$1795,0)</f>
        <v>1329</v>
      </c>
      <c r="O1567" s="22" t="str">
        <f aca="false">INDEX('Tabela Passaro'!$C$2:$C$1795,$N1567)</f>
        <v>TERESINA</v>
      </c>
      <c r="P1567" s="22" t="str">
        <f aca="false">INDEX('Tabela Passaro'!$B$2:$B$1795,$N1567)</f>
        <v>PI</v>
      </c>
      <c r="Q1567" s="22" t="n">
        <f aca="false">INDEX('Tabela Passaro'!$F$2:$F$1795,$N1567)</f>
        <v>10</v>
      </c>
      <c r="R1567" s="32" t="n">
        <f aca="false">IF(J1567&lt;=10,INDEX('Tabela Passaro'!$G$2:$G$1795,$N1567),IF(J1567&lt;=30,INDEX('Tabela Passaro'!$H$2:$H$1795,$N1567),IF(J1567&lt;=50,INDEX('Tabela Passaro'!$I$2:$I$1795,$N1567),IF(J1567&lt;=70,INDEX('Tabela Passaro'!$J$2:$J$1795,$N1567),IF(J1567&lt;=100,INDEX('Tabela Passaro'!$K$2:$K$1795,$N1567),INDEX('Tabela Passaro'!$K$2:$K$1795,$N1567)+(J1567-100)*INDEX('Tabela Passaro'!$L$2:$L$1795,$N1567))))))</f>
        <v>238.26</v>
      </c>
      <c r="S1567" s="32" t="n">
        <f aca="false">K1567*INDEX('Tabela Passaro'!$M$2:$M$1795,$N1567)</f>
        <v>4.68075</v>
      </c>
      <c r="T1567" s="32" t="n">
        <f aca="false">K1567*INDEX('Tabela Passaro'!$N$2:$N$1795,$N1567)</f>
        <v>1.8723</v>
      </c>
      <c r="U1567" s="32" t="n">
        <f aca="false">INDEX('Tabela Passaro'!$O$2:$O$1795,$N1567)</f>
        <v>5</v>
      </c>
      <c r="V1567" s="32" t="n">
        <f aca="false">ROUNDUP(J1567/INDEX('Tabela Passaro'!$Q$2:$Q$1795,$N1567),0)*INDEX('Tabela Passaro'!$P$2:$P$1795,$N1567)</f>
        <v>5</v>
      </c>
      <c r="W1567" s="32" t="n">
        <f aca="false">INDEX('Tabela Passaro'!$R$2:$R$1795,$N1567)</f>
        <v>30</v>
      </c>
      <c r="X1567" s="32" t="n">
        <f aca="false">ROUNDUP(J1567/INDEX('Tabela Passaro'!$T$2:$T$1795,$N1567),0)*INDEX('Tabela Passaro'!$S$2:$S$1795,$N1567)</f>
        <v>0</v>
      </c>
      <c r="Y1567" s="32" t="n">
        <f aca="false">INDEX('Tabela Passaro'!$U$2:$U$1795,$N1567)</f>
        <v>0</v>
      </c>
      <c r="Z1567" s="32" t="n">
        <f aca="false">INDEX('Tabela Passaro'!$V$2:$V$1795,$N1567)</f>
        <v>0</v>
      </c>
      <c r="AA1567" s="32" t="n">
        <f aca="false">SUM(R1567:Z1567)</f>
        <v>284.81305</v>
      </c>
      <c r="AB1567" s="33" t="n">
        <f aca="false">INDEX(Premissas!$B$5:$B$13,MATCH(A1567,Premissas!$A$5:$A$13,0))</f>
        <v>0.07</v>
      </c>
      <c r="AC1567" s="32" t="n">
        <f aca="false">AA1567/(1-AB1567)-AA1567</f>
        <v>21.4375413978495</v>
      </c>
      <c r="AD1567" s="32" t="n">
        <f aca="false">ROUND(AA1567+AC1567,2)</f>
        <v>306.25</v>
      </c>
      <c r="AE1567" s="32" t="n">
        <f aca="false">AD1567-L1567</f>
        <v>101.56</v>
      </c>
      <c r="AF1567" s="34" t="n">
        <f aca="false">IF(L1567=0,0,AE1567/L1567)</f>
        <v>0.496164932336704</v>
      </c>
      <c r="AG1567" s="22" t="str">
        <f aca="false">IF(AD1567&lt;L1567,"PASSARO","ATUAL")</f>
        <v>ATUAL</v>
      </c>
      <c r="AH1567" s="22" t="str">
        <f aca="false">IF(P1567&lt;&gt;A1567,"Faixa cadastrada como "&amp;P1567&amp;" na tabela; preço aplicado pela UF do CEP","")</f>
        <v/>
      </c>
      <c r="AI1567" s="26" t="n">
        <v>357.12</v>
      </c>
      <c r="AJ1567" s="22" t="str">
        <f aca="false">INDEX('Tabela Passaro'!$X$2:$X$1795,$N1567)</f>
        <v>CAPITAL</v>
      </c>
    </row>
    <row r="1568" customFormat="false" ht="15" hidden="false" customHeight="false" outlineLevel="0" collapsed="false">
      <c r="A1568" s="22" t="s">
        <v>21</v>
      </c>
      <c r="B1568" s="22" t="n">
        <v>1</v>
      </c>
      <c r="C1568" s="22" t="s">
        <v>167</v>
      </c>
      <c r="D1568" s="22" t="s">
        <v>30</v>
      </c>
      <c r="E1568" s="22" t="s">
        <v>7326</v>
      </c>
      <c r="F1568" s="22" t="n">
        <v>522881</v>
      </c>
      <c r="G1568" s="30" t="n">
        <v>46240</v>
      </c>
      <c r="H1568" s="22" t="n">
        <v>621220</v>
      </c>
      <c r="I1568" s="22" t="s">
        <v>8767</v>
      </c>
      <c r="J1568" s="31" t="n">
        <v>16</v>
      </c>
      <c r="K1568" s="26" t="n">
        <v>624.98</v>
      </c>
      <c r="L1568" s="26" t="n">
        <v>139.17</v>
      </c>
      <c r="M1568" s="22" t="s">
        <v>5498</v>
      </c>
      <c r="N1568" s="22" t="n">
        <f aca="false">MATCH(M1568,'Tabela Passaro'!$A$2:$A$1795,0)</f>
        <v>1329</v>
      </c>
      <c r="O1568" s="22" t="str">
        <f aca="false">INDEX('Tabela Passaro'!$C$2:$C$1795,$N1568)</f>
        <v>TERESINA</v>
      </c>
      <c r="P1568" s="22" t="str">
        <f aca="false">INDEX('Tabela Passaro'!$B$2:$B$1795,$N1568)</f>
        <v>PI</v>
      </c>
      <c r="Q1568" s="22" t="n">
        <f aca="false">INDEX('Tabela Passaro'!$F$2:$F$1795,$N1568)</f>
        <v>10</v>
      </c>
      <c r="R1568" s="32" t="n">
        <f aca="false">IF(J1568&lt;=10,INDEX('Tabela Passaro'!$G$2:$G$1795,$N1568),IF(J1568&lt;=30,INDEX('Tabela Passaro'!$H$2:$H$1795,$N1568),IF(J1568&lt;=50,INDEX('Tabela Passaro'!$I$2:$I$1795,$N1568),IF(J1568&lt;=70,INDEX('Tabela Passaro'!$J$2:$J$1795,$N1568),IF(J1568&lt;=100,INDEX('Tabela Passaro'!$K$2:$K$1795,$N1568),INDEX('Tabela Passaro'!$K$2:$K$1795,$N1568)+(J1568-100)*INDEX('Tabela Passaro'!$L$2:$L$1795,$N1568))))))</f>
        <v>199.53</v>
      </c>
      <c r="S1568" s="32" t="n">
        <f aca="false">K1568*INDEX('Tabela Passaro'!$M$2:$M$1795,$N1568)</f>
        <v>3.1249</v>
      </c>
      <c r="T1568" s="32" t="n">
        <f aca="false">K1568*INDEX('Tabela Passaro'!$N$2:$N$1795,$N1568)</f>
        <v>1.24996</v>
      </c>
      <c r="U1568" s="32" t="n">
        <f aca="false">INDEX('Tabela Passaro'!$O$2:$O$1795,$N1568)</f>
        <v>5</v>
      </c>
      <c r="V1568" s="32" t="n">
        <f aca="false">ROUNDUP(J1568/INDEX('Tabela Passaro'!$Q$2:$Q$1795,$N1568),0)*INDEX('Tabela Passaro'!$P$2:$P$1795,$N1568)</f>
        <v>5</v>
      </c>
      <c r="W1568" s="32" t="n">
        <f aca="false">INDEX('Tabela Passaro'!$R$2:$R$1795,$N1568)</f>
        <v>30</v>
      </c>
      <c r="X1568" s="32" t="n">
        <f aca="false">ROUNDUP(J1568/INDEX('Tabela Passaro'!$T$2:$T$1795,$N1568),0)*INDEX('Tabela Passaro'!$S$2:$S$1795,$N1568)</f>
        <v>0</v>
      </c>
      <c r="Y1568" s="32" t="n">
        <f aca="false">INDEX('Tabela Passaro'!$U$2:$U$1795,$N1568)</f>
        <v>0</v>
      </c>
      <c r="Z1568" s="32" t="n">
        <f aca="false">INDEX('Tabela Passaro'!$V$2:$V$1795,$N1568)</f>
        <v>0</v>
      </c>
      <c r="AA1568" s="32" t="n">
        <f aca="false">SUM(R1568:Z1568)</f>
        <v>243.90486</v>
      </c>
      <c r="AB1568" s="33" t="n">
        <f aca="false">INDEX(Premissas!$B$5:$B$13,MATCH(A1568,Premissas!$A$5:$A$13,0))</f>
        <v>0.07</v>
      </c>
      <c r="AC1568" s="32" t="n">
        <f aca="false">AA1568/(1-AB1568)-AA1568</f>
        <v>18.3584303225807</v>
      </c>
      <c r="AD1568" s="32" t="n">
        <f aca="false">ROUND(AA1568+AC1568,2)</f>
        <v>262.26</v>
      </c>
      <c r="AE1568" s="32" t="n">
        <f aca="false">AD1568-L1568</f>
        <v>123.09</v>
      </c>
      <c r="AF1568" s="34" t="n">
        <f aca="false">IF(L1568=0,0,AE1568/L1568)</f>
        <v>0.884457857296831</v>
      </c>
      <c r="AG1568" s="22" t="str">
        <f aca="false">IF(AD1568&lt;L1568,"PASSARO","ATUAL")</f>
        <v>ATUAL</v>
      </c>
      <c r="AH1568" s="22" t="str">
        <f aca="false">IF(P1568&lt;&gt;A1568,"Faixa cadastrada como "&amp;P1568&amp;" na tabela; preço aplicado pela UF do CEP","")</f>
        <v/>
      </c>
      <c r="AI1568" s="26" t="n">
        <v>288.02</v>
      </c>
      <c r="AJ1568" s="22" t="str">
        <f aca="false">INDEX('Tabela Passaro'!$X$2:$X$1795,$N1568)</f>
        <v>CAPITAL</v>
      </c>
    </row>
    <row r="1569" customFormat="false" ht="15" hidden="false" customHeight="false" outlineLevel="0" collapsed="false">
      <c r="A1569" s="22" t="s">
        <v>21</v>
      </c>
      <c r="B1569" s="22" t="n">
        <v>1</v>
      </c>
      <c r="C1569" s="22" t="s">
        <v>167</v>
      </c>
      <c r="D1569" s="22" t="s">
        <v>30</v>
      </c>
      <c r="E1569" s="22" t="s">
        <v>21</v>
      </c>
      <c r="F1569" s="22" t="n">
        <v>7966</v>
      </c>
      <c r="G1569" s="30" t="n">
        <v>46244</v>
      </c>
      <c r="H1569" s="22" t="n">
        <v>128678</v>
      </c>
      <c r="I1569" s="22" t="s">
        <v>8768</v>
      </c>
      <c r="J1569" s="31" t="n">
        <v>30.98</v>
      </c>
      <c r="K1569" s="26" t="n">
        <v>653.41</v>
      </c>
      <c r="L1569" s="26" t="n">
        <v>191.69</v>
      </c>
      <c r="M1569" s="22" t="s">
        <v>5498</v>
      </c>
      <c r="N1569" s="22" t="n">
        <f aca="false">MATCH(M1569,'Tabela Passaro'!$A$2:$A$1795,0)</f>
        <v>1329</v>
      </c>
      <c r="O1569" s="22" t="str">
        <f aca="false">INDEX('Tabela Passaro'!$C$2:$C$1795,$N1569)</f>
        <v>TERESINA</v>
      </c>
      <c r="P1569" s="22" t="str">
        <f aca="false">INDEX('Tabela Passaro'!$B$2:$B$1795,$N1569)</f>
        <v>PI</v>
      </c>
      <c r="Q1569" s="22" t="n">
        <f aca="false">INDEX('Tabela Passaro'!$F$2:$F$1795,$N1569)</f>
        <v>10</v>
      </c>
      <c r="R1569" s="32" t="n">
        <f aca="false">IF(J1569&lt;=10,INDEX('Tabela Passaro'!$G$2:$G$1795,$N1569),IF(J1569&lt;=30,INDEX('Tabela Passaro'!$H$2:$H$1795,$N1569),IF(J1569&lt;=50,INDEX('Tabela Passaro'!$I$2:$I$1795,$N1569),IF(J1569&lt;=70,INDEX('Tabela Passaro'!$J$2:$J$1795,$N1569),IF(J1569&lt;=100,INDEX('Tabela Passaro'!$K$2:$K$1795,$N1569),INDEX('Tabela Passaro'!$K$2:$K$1795,$N1569)+(J1569-100)*INDEX('Tabela Passaro'!$L$2:$L$1795,$N1569))))))</f>
        <v>221.66</v>
      </c>
      <c r="S1569" s="32" t="n">
        <f aca="false">K1569*INDEX('Tabela Passaro'!$M$2:$M$1795,$N1569)</f>
        <v>3.26705</v>
      </c>
      <c r="T1569" s="32" t="n">
        <f aca="false">K1569*INDEX('Tabela Passaro'!$N$2:$N$1795,$N1569)</f>
        <v>1.30682</v>
      </c>
      <c r="U1569" s="32" t="n">
        <f aca="false">INDEX('Tabela Passaro'!$O$2:$O$1795,$N1569)</f>
        <v>5</v>
      </c>
      <c r="V1569" s="32" t="n">
        <f aca="false">ROUNDUP(J1569/INDEX('Tabela Passaro'!$Q$2:$Q$1795,$N1569),0)*INDEX('Tabela Passaro'!$P$2:$P$1795,$N1569)</f>
        <v>5</v>
      </c>
      <c r="W1569" s="32" t="n">
        <f aca="false">INDEX('Tabela Passaro'!$R$2:$R$1795,$N1569)</f>
        <v>30</v>
      </c>
      <c r="X1569" s="32" t="n">
        <f aca="false">ROUNDUP(J1569/INDEX('Tabela Passaro'!$T$2:$T$1795,$N1569),0)*INDEX('Tabela Passaro'!$S$2:$S$1795,$N1569)</f>
        <v>0</v>
      </c>
      <c r="Y1569" s="32" t="n">
        <f aca="false">INDEX('Tabela Passaro'!$U$2:$U$1795,$N1569)</f>
        <v>0</v>
      </c>
      <c r="Z1569" s="32" t="n">
        <f aca="false">INDEX('Tabela Passaro'!$V$2:$V$1795,$N1569)</f>
        <v>0</v>
      </c>
      <c r="AA1569" s="32" t="n">
        <f aca="false">SUM(R1569:Z1569)</f>
        <v>266.23387</v>
      </c>
      <c r="AB1569" s="33" t="n">
        <f aca="false">INDEX(Premissas!$B$5:$B$13,MATCH(A1569,Premissas!$A$5:$A$13,0))</f>
        <v>0.07</v>
      </c>
      <c r="AC1569" s="32" t="n">
        <f aca="false">AA1569/(1-AB1569)-AA1569</f>
        <v>20.0391084946237</v>
      </c>
      <c r="AD1569" s="32" t="n">
        <f aca="false">ROUND(AA1569+AC1569,2)</f>
        <v>286.27</v>
      </c>
      <c r="AE1569" s="32" t="n">
        <f aca="false">AD1569-L1569</f>
        <v>94.58</v>
      </c>
      <c r="AF1569" s="34" t="n">
        <f aca="false">IF(L1569=0,0,AE1569/L1569)</f>
        <v>0.493400803380458</v>
      </c>
      <c r="AG1569" s="22" t="str">
        <f aca="false">IF(AD1569&lt;L1569,"PASSARO","ATUAL")</f>
        <v>ATUAL</v>
      </c>
      <c r="AH1569" s="22" t="str">
        <f aca="false">IF(P1569&lt;&gt;A1569,"Faixa cadastrada como "&amp;P1569&amp;" na tabela; preço aplicado pela UF do CEP","")</f>
        <v/>
      </c>
      <c r="AI1569" s="26" t="n">
        <v>320.59</v>
      </c>
      <c r="AJ1569" s="22" t="str">
        <f aca="false">INDEX('Tabela Passaro'!$X$2:$X$1795,$N1569)</f>
        <v>CAPITAL</v>
      </c>
    </row>
    <row r="1570" customFormat="false" ht="15" hidden="false" customHeight="false" outlineLevel="0" collapsed="false">
      <c r="A1570" s="22" t="s">
        <v>21</v>
      </c>
      <c r="B1570" s="22" t="n">
        <v>1</v>
      </c>
      <c r="C1570" s="22" t="s">
        <v>167</v>
      </c>
      <c r="D1570" s="22" t="s">
        <v>30</v>
      </c>
      <c r="E1570" s="22" t="s">
        <v>7328</v>
      </c>
      <c r="F1570" s="22" t="n">
        <v>2309804</v>
      </c>
      <c r="G1570" s="30" t="n">
        <v>46244</v>
      </c>
      <c r="H1570" s="22" t="n">
        <v>132125</v>
      </c>
      <c r="I1570" s="22" t="s">
        <v>8769</v>
      </c>
      <c r="J1570" s="31" t="n">
        <v>33</v>
      </c>
      <c r="K1570" s="26" t="n">
        <v>766.45</v>
      </c>
      <c r="L1570" s="26" t="n">
        <v>169.59</v>
      </c>
      <c r="M1570" s="22" t="s">
        <v>5498</v>
      </c>
      <c r="N1570" s="22" t="n">
        <f aca="false">MATCH(M1570,'Tabela Passaro'!$A$2:$A$1795,0)</f>
        <v>1329</v>
      </c>
      <c r="O1570" s="22" t="str">
        <f aca="false">INDEX('Tabela Passaro'!$C$2:$C$1795,$N1570)</f>
        <v>TERESINA</v>
      </c>
      <c r="P1570" s="22" t="str">
        <f aca="false">INDEX('Tabela Passaro'!$B$2:$B$1795,$N1570)</f>
        <v>PI</v>
      </c>
      <c r="Q1570" s="22" t="n">
        <f aca="false">INDEX('Tabela Passaro'!$F$2:$F$1795,$N1570)</f>
        <v>10</v>
      </c>
      <c r="R1570" s="32" t="n">
        <f aca="false">IF(J1570&lt;=10,INDEX('Tabela Passaro'!$G$2:$G$1795,$N1570),IF(J1570&lt;=30,INDEX('Tabela Passaro'!$H$2:$H$1795,$N1570),IF(J1570&lt;=50,INDEX('Tabela Passaro'!$I$2:$I$1795,$N1570),IF(J1570&lt;=70,INDEX('Tabela Passaro'!$J$2:$J$1795,$N1570),IF(J1570&lt;=100,INDEX('Tabela Passaro'!$K$2:$K$1795,$N1570),INDEX('Tabela Passaro'!$K$2:$K$1795,$N1570)+(J1570-100)*INDEX('Tabela Passaro'!$L$2:$L$1795,$N1570))))))</f>
        <v>221.66</v>
      </c>
      <c r="S1570" s="32" t="n">
        <f aca="false">K1570*INDEX('Tabela Passaro'!$M$2:$M$1795,$N1570)</f>
        <v>3.83225</v>
      </c>
      <c r="T1570" s="32" t="n">
        <f aca="false">K1570*INDEX('Tabela Passaro'!$N$2:$N$1795,$N1570)</f>
        <v>1.5329</v>
      </c>
      <c r="U1570" s="32" t="n">
        <f aca="false">INDEX('Tabela Passaro'!$O$2:$O$1795,$N1570)</f>
        <v>5</v>
      </c>
      <c r="V1570" s="32" t="n">
        <f aca="false">ROUNDUP(J1570/INDEX('Tabela Passaro'!$Q$2:$Q$1795,$N1570),0)*INDEX('Tabela Passaro'!$P$2:$P$1795,$N1570)</f>
        <v>5</v>
      </c>
      <c r="W1570" s="32" t="n">
        <f aca="false">INDEX('Tabela Passaro'!$R$2:$R$1795,$N1570)</f>
        <v>30</v>
      </c>
      <c r="X1570" s="32" t="n">
        <f aca="false">ROUNDUP(J1570/INDEX('Tabela Passaro'!$T$2:$T$1795,$N1570),0)*INDEX('Tabela Passaro'!$S$2:$S$1795,$N1570)</f>
        <v>0</v>
      </c>
      <c r="Y1570" s="32" t="n">
        <f aca="false">INDEX('Tabela Passaro'!$U$2:$U$1795,$N1570)</f>
        <v>0</v>
      </c>
      <c r="Z1570" s="32" t="n">
        <f aca="false">INDEX('Tabela Passaro'!$V$2:$V$1795,$N1570)</f>
        <v>0</v>
      </c>
      <c r="AA1570" s="32" t="n">
        <f aca="false">SUM(R1570:Z1570)</f>
        <v>267.02515</v>
      </c>
      <c r="AB1570" s="33" t="n">
        <f aca="false">INDEX(Premissas!$B$5:$B$13,MATCH(A1570,Premissas!$A$5:$A$13,0))</f>
        <v>0.07</v>
      </c>
      <c r="AC1570" s="32" t="n">
        <f aca="false">AA1570/(1-AB1570)-AA1570</f>
        <v>20.0986672043011</v>
      </c>
      <c r="AD1570" s="32" t="n">
        <f aca="false">ROUND(AA1570+AC1570,2)</f>
        <v>287.12</v>
      </c>
      <c r="AE1570" s="32" t="n">
        <f aca="false">AD1570-L1570</f>
        <v>117.53</v>
      </c>
      <c r="AF1570" s="34" t="n">
        <f aca="false">IF(L1570=0,0,AE1570/L1570)</f>
        <v>0.693024352850994</v>
      </c>
      <c r="AG1570" s="22" t="str">
        <f aca="false">IF(AD1570&lt;L1570,"PASSARO","ATUAL")</f>
        <v>ATUAL</v>
      </c>
      <c r="AH1570" s="22" t="str">
        <f aca="false">IF(P1570&lt;&gt;A1570,"Faixa cadastrada como "&amp;P1570&amp;" na tabela; preço aplicado pela UF do CEP","")</f>
        <v/>
      </c>
      <c r="AI1570" s="26" t="n">
        <v>322.65</v>
      </c>
      <c r="AJ1570" s="22" t="str">
        <f aca="false">INDEX('Tabela Passaro'!$X$2:$X$1795,$N1570)</f>
        <v>CAPITAL</v>
      </c>
    </row>
    <row r="1571" customFormat="false" ht="15" hidden="false" customHeight="false" outlineLevel="0" collapsed="false">
      <c r="A1571" s="22" t="s">
        <v>21</v>
      </c>
      <c r="B1571" s="22" t="n">
        <v>1</v>
      </c>
      <c r="C1571" s="22" t="s">
        <v>167</v>
      </c>
      <c r="D1571" s="22" t="s">
        <v>30</v>
      </c>
      <c r="E1571" s="22" t="s">
        <v>7328</v>
      </c>
      <c r="F1571" s="22" t="n">
        <v>2311212</v>
      </c>
      <c r="G1571" s="30" t="n">
        <v>46246</v>
      </c>
      <c r="H1571" s="22" t="n">
        <v>132514</v>
      </c>
      <c r="I1571" s="22" t="s">
        <v>8770</v>
      </c>
      <c r="J1571" s="31" t="n">
        <v>66.4</v>
      </c>
      <c r="K1571" s="26" t="n">
        <v>944.85</v>
      </c>
      <c r="L1571" s="26" t="n">
        <v>204.75</v>
      </c>
      <c r="M1571" s="22" t="s">
        <v>5498</v>
      </c>
      <c r="N1571" s="22" t="n">
        <f aca="false">MATCH(M1571,'Tabela Passaro'!$A$2:$A$1795,0)</f>
        <v>1329</v>
      </c>
      <c r="O1571" s="22" t="str">
        <f aca="false">INDEX('Tabela Passaro'!$C$2:$C$1795,$N1571)</f>
        <v>TERESINA</v>
      </c>
      <c r="P1571" s="22" t="str">
        <f aca="false">INDEX('Tabela Passaro'!$B$2:$B$1795,$N1571)</f>
        <v>PI</v>
      </c>
      <c r="Q1571" s="22" t="n">
        <f aca="false">INDEX('Tabela Passaro'!$F$2:$F$1795,$N1571)</f>
        <v>10</v>
      </c>
      <c r="R1571" s="32" t="n">
        <f aca="false">IF(J1571&lt;=10,INDEX('Tabela Passaro'!$G$2:$G$1795,$N1571),IF(J1571&lt;=30,INDEX('Tabela Passaro'!$H$2:$H$1795,$N1571),IF(J1571&lt;=50,INDEX('Tabela Passaro'!$I$2:$I$1795,$N1571),IF(J1571&lt;=70,INDEX('Tabela Passaro'!$J$2:$J$1795,$N1571),IF(J1571&lt;=100,INDEX('Tabela Passaro'!$K$2:$K$1795,$N1571),INDEX('Tabela Passaro'!$K$2:$K$1795,$N1571)+(J1571-100)*INDEX('Tabela Passaro'!$L$2:$L$1795,$N1571))))))</f>
        <v>238.26</v>
      </c>
      <c r="S1571" s="32" t="n">
        <f aca="false">K1571*INDEX('Tabela Passaro'!$M$2:$M$1795,$N1571)</f>
        <v>4.72425</v>
      </c>
      <c r="T1571" s="32" t="n">
        <f aca="false">K1571*INDEX('Tabela Passaro'!$N$2:$N$1795,$N1571)</f>
        <v>1.8897</v>
      </c>
      <c r="U1571" s="32" t="n">
        <f aca="false">INDEX('Tabela Passaro'!$O$2:$O$1795,$N1571)</f>
        <v>5</v>
      </c>
      <c r="V1571" s="32" t="n">
        <f aca="false">ROUNDUP(J1571/INDEX('Tabela Passaro'!$Q$2:$Q$1795,$N1571),0)*INDEX('Tabela Passaro'!$P$2:$P$1795,$N1571)</f>
        <v>5</v>
      </c>
      <c r="W1571" s="32" t="n">
        <f aca="false">INDEX('Tabela Passaro'!$R$2:$R$1795,$N1571)</f>
        <v>30</v>
      </c>
      <c r="X1571" s="32" t="n">
        <f aca="false">ROUNDUP(J1571/INDEX('Tabela Passaro'!$T$2:$T$1795,$N1571),0)*INDEX('Tabela Passaro'!$S$2:$S$1795,$N1571)</f>
        <v>0</v>
      </c>
      <c r="Y1571" s="32" t="n">
        <f aca="false">INDEX('Tabela Passaro'!$U$2:$U$1795,$N1571)</f>
        <v>0</v>
      </c>
      <c r="Z1571" s="32" t="n">
        <f aca="false">INDEX('Tabela Passaro'!$V$2:$V$1795,$N1571)</f>
        <v>0</v>
      </c>
      <c r="AA1571" s="32" t="n">
        <f aca="false">SUM(R1571:Z1571)</f>
        <v>284.87395</v>
      </c>
      <c r="AB1571" s="33" t="n">
        <f aca="false">INDEX(Premissas!$B$5:$B$13,MATCH(A1571,Premissas!$A$5:$A$13,0))</f>
        <v>0.07</v>
      </c>
      <c r="AC1571" s="32" t="n">
        <f aca="false">AA1571/(1-AB1571)-AA1571</f>
        <v>21.4421252688172</v>
      </c>
      <c r="AD1571" s="32" t="n">
        <f aca="false">ROUND(AA1571+AC1571,2)</f>
        <v>306.32</v>
      </c>
      <c r="AE1571" s="32" t="n">
        <f aca="false">AD1571-L1571</f>
        <v>101.57</v>
      </c>
      <c r="AF1571" s="34" t="n">
        <f aca="false">IF(L1571=0,0,AE1571/L1571)</f>
        <v>0.496068376068376</v>
      </c>
      <c r="AG1571" s="22" t="str">
        <f aca="false">IF(AD1571&lt;L1571,"PASSARO","ATUAL")</f>
        <v>ATUAL</v>
      </c>
      <c r="AH1571" s="22" t="str">
        <f aca="false">IF(P1571&lt;&gt;A1571,"Faixa cadastrada como "&amp;P1571&amp;" na tabela; preço aplicado pela UF do CEP","")</f>
        <v/>
      </c>
      <c r="AI1571" s="26" t="n">
        <v>359.63</v>
      </c>
      <c r="AJ1571" s="22" t="str">
        <f aca="false">INDEX('Tabela Passaro'!$X$2:$X$1795,$N1571)</f>
        <v>CAPITAL</v>
      </c>
    </row>
    <row r="1572" customFormat="false" ht="15" hidden="false" customHeight="false" outlineLevel="0" collapsed="false">
      <c r="A1572" s="22" t="s">
        <v>21</v>
      </c>
      <c r="B1572" s="22" t="n">
        <v>1</v>
      </c>
      <c r="C1572" s="22" t="s">
        <v>167</v>
      </c>
      <c r="D1572" s="22" t="s">
        <v>30</v>
      </c>
      <c r="E1572" s="22" t="s">
        <v>7328</v>
      </c>
      <c r="F1572" s="22" t="n">
        <v>2311238</v>
      </c>
      <c r="G1572" s="30" t="n">
        <v>46246</v>
      </c>
      <c r="H1572" s="22" t="n">
        <v>132526</v>
      </c>
      <c r="I1572" s="22" t="s">
        <v>8771</v>
      </c>
      <c r="J1572" s="31" t="n">
        <v>67.8</v>
      </c>
      <c r="K1572" s="26" t="n">
        <v>1098.73</v>
      </c>
      <c r="L1572" s="26" t="n">
        <v>205.98</v>
      </c>
      <c r="M1572" s="22" t="s">
        <v>5498</v>
      </c>
      <c r="N1572" s="22" t="n">
        <f aca="false">MATCH(M1572,'Tabela Passaro'!$A$2:$A$1795,0)</f>
        <v>1329</v>
      </c>
      <c r="O1572" s="22" t="str">
        <f aca="false">INDEX('Tabela Passaro'!$C$2:$C$1795,$N1572)</f>
        <v>TERESINA</v>
      </c>
      <c r="P1572" s="22" t="str">
        <f aca="false">INDEX('Tabela Passaro'!$B$2:$B$1795,$N1572)</f>
        <v>PI</v>
      </c>
      <c r="Q1572" s="22" t="n">
        <f aca="false">INDEX('Tabela Passaro'!$F$2:$F$1795,$N1572)</f>
        <v>10</v>
      </c>
      <c r="R1572" s="32" t="n">
        <f aca="false">IF(J1572&lt;=10,INDEX('Tabela Passaro'!$G$2:$G$1795,$N1572),IF(J1572&lt;=30,INDEX('Tabela Passaro'!$H$2:$H$1795,$N1572),IF(J1572&lt;=50,INDEX('Tabela Passaro'!$I$2:$I$1795,$N1572),IF(J1572&lt;=70,INDEX('Tabela Passaro'!$J$2:$J$1795,$N1572),IF(J1572&lt;=100,INDEX('Tabela Passaro'!$K$2:$K$1795,$N1572),INDEX('Tabela Passaro'!$K$2:$K$1795,$N1572)+(J1572-100)*INDEX('Tabela Passaro'!$L$2:$L$1795,$N1572))))))</f>
        <v>238.26</v>
      </c>
      <c r="S1572" s="32" t="n">
        <f aca="false">K1572*INDEX('Tabela Passaro'!$M$2:$M$1795,$N1572)</f>
        <v>5.49365</v>
      </c>
      <c r="T1572" s="32" t="n">
        <f aca="false">K1572*INDEX('Tabela Passaro'!$N$2:$N$1795,$N1572)</f>
        <v>2.19746</v>
      </c>
      <c r="U1572" s="32" t="n">
        <f aca="false">INDEX('Tabela Passaro'!$O$2:$O$1795,$N1572)</f>
        <v>5</v>
      </c>
      <c r="V1572" s="32" t="n">
        <f aca="false">ROUNDUP(J1572/INDEX('Tabela Passaro'!$Q$2:$Q$1795,$N1572),0)*INDEX('Tabela Passaro'!$P$2:$P$1795,$N1572)</f>
        <v>5</v>
      </c>
      <c r="W1572" s="32" t="n">
        <f aca="false">INDEX('Tabela Passaro'!$R$2:$R$1795,$N1572)</f>
        <v>30</v>
      </c>
      <c r="X1572" s="32" t="n">
        <f aca="false">ROUNDUP(J1572/INDEX('Tabela Passaro'!$T$2:$T$1795,$N1572),0)*INDEX('Tabela Passaro'!$S$2:$S$1795,$N1572)</f>
        <v>0</v>
      </c>
      <c r="Y1572" s="32" t="n">
        <f aca="false">INDEX('Tabela Passaro'!$U$2:$U$1795,$N1572)</f>
        <v>0</v>
      </c>
      <c r="Z1572" s="32" t="n">
        <f aca="false">INDEX('Tabela Passaro'!$V$2:$V$1795,$N1572)</f>
        <v>0</v>
      </c>
      <c r="AA1572" s="32" t="n">
        <f aca="false">SUM(R1572:Z1572)</f>
        <v>285.95111</v>
      </c>
      <c r="AB1572" s="33" t="n">
        <f aca="false">INDEX(Premissas!$B$5:$B$13,MATCH(A1572,Premissas!$A$5:$A$13,0))</f>
        <v>0.07</v>
      </c>
      <c r="AC1572" s="32" t="n">
        <f aca="false">AA1572/(1-AB1572)-AA1572</f>
        <v>21.523201827957</v>
      </c>
      <c r="AD1572" s="32" t="n">
        <f aca="false">ROUND(AA1572+AC1572,2)</f>
        <v>307.47</v>
      </c>
      <c r="AE1572" s="32" t="n">
        <f aca="false">AD1572-L1572</f>
        <v>101.49</v>
      </c>
      <c r="AF1572" s="34" t="n">
        <f aca="false">IF(L1572=0,0,AE1572/L1572)</f>
        <v>0.492717739586368</v>
      </c>
      <c r="AG1572" s="22" t="str">
        <f aca="false">IF(AD1572&lt;L1572,"PASSARO","ATUAL")</f>
        <v>ATUAL</v>
      </c>
      <c r="AH1572" s="22" t="str">
        <f aca="false">IF(P1572&lt;&gt;A1572,"Faixa cadastrada como "&amp;P1572&amp;" na tabela; preço aplicado pela UF do CEP","")</f>
        <v/>
      </c>
      <c r="AI1572" s="26" t="n">
        <v>361.6</v>
      </c>
      <c r="AJ1572" s="22" t="str">
        <f aca="false">INDEX('Tabela Passaro'!$X$2:$X$1795,$N1572)</f>
        <v>CAPITAL</v>
      </c>
    </row>
    <row r="1573" customFormat="false" ht="15" hidden="false" customHeight="false" outlineLevel="0" collapsed="false">
      <c r="A1573" s="22" t="s">
        <v>21</v>
      </c>
      <c r="B1573" s="22" t="n">
        <v>1</v>
      </c>
      <c r="C1573" s="22" t="s">
        <v>167</v>
      </c>
      <c r="D1573" s="22" t="s">
        <v>30</v>
      </c>
      <c r="E1573" s="22" t="s">
        <v>7328</v>
      </c>
      <c r="F1573" s="22" t="n">
        <v>2311255</v>
      </c>
      <c r="G1573" s="30" t="n">
        <v>46246</v>
      </c>
      <c r="H1573" s="22" t="n">
        <v>132568</v>
      </c>
      <c r="I1573" s="22" t="s">
        <v>8751</v>
      </c>
      <c r="J1573" s="31" t="n">
        <v>48</v>
      </c>
      <c r="K1573" s="26" t="n">
        <v>1090.21</v>
      </c>
      <c r="L1573" s="26" t="n">
        <v>172.15</v>
      </c>
      <c r="M1573" s="22" t="s">
        <v>5498</v>
      </c>
      <c r="N1573" s="22" t="n">
        <f aca="false">MATCH(M1573,'Tabela Passaro'!$A$2:$A$1795,0)</f>
        <v>1329</v>
      </c>
      <c r="O1573" s="22" t="str">
        <f aca="false">INDEX('Tabela Passaro'!$C$2:$C$1795,$N1573)</f>
        <v>TERESINA</v>
      </c>
      <c r="P1573" s="22" t="str">
        <f aca="false">INDEX('Tabela Passaro'!$B$2:$B$1795,$N1573)</f>
        <v>PI</v>
      </c>
      <c r="Q1573" s="22" t="n">
        <f aca="false">INDEX('Tabela Passaro'!$F$2:$F$1795,$N1573)</f>
        <v>10</v>
      </c>
      <c r="R1573" s="32" t="n">
        <f aca="false">IF(J1573&lt;=10,INDEX('Tabela Passaro'!$G$2:$G$1795,$N1573),IF(J1573&lt;=30,INDEX('Tabela Passaro'!$H$2:$H$1795,$N1573),IF(J1573&lt;=50,INDEX('Tabela Passaro'!$I$2:$I$1795,$N1573),IF(J1573&lt;=70,INDEX('Tabela Passaro'!$J$2:$J$1795,$N1573),IF(J1573&lt;=100,INDEX('Tabela Passaro'!$K$2:$K$1795,$N1573),INDEX('Tabela Passaro'!$K$2:$K$1795,$N1573)+(J1573-100)*INDEX('Tabela Passaro'!$L$2:$L$1795,$N1573))))))</f>
        <v>221.66</v>
      </c>
      <c r="S1573" s="32" t="n">
        <f aca="false">K1573*INDEX('Tabela Passaro'!$M$2:$M$1795,$N1573)</f>
        <v>5.45105</v>
      </c>
      <c r="T1573" s="32" t="n">
        <f aca="false">K1573*INDEX('Tabela Passaro'!$N$2:$N$1795,$N1573)</f>
        <v>2.18042</v>
      </c>
      <c r="U1573" s="32" t="n">
        <f aca="false">INDEX('Tabela Passaro'!$O$2:$O$1795,$N1573)</f>
        <v>5</v>
      </c>
      <c r="V1573" s="32" t="n">
        <f aca="false">ROUNDUP(J1573/INDEX('Tabela Passaro'!$Q$2:$Q$1795,$N1573),0)*INDEX('Tabela Passaro'!$P$2:$P$1795,$N1573)</f>
        <v>5</v>
      </c>
      <c r="W1573" s="32" t="n">
        <f aca="false">INDEX('Tabela Passaro'!$R$2:$R$1795,$N1573)</f>
        <v>30</v>
      </c>
      <c r="X1573" s="32" t="n">
        <f aca="false">ROUNDUP(J1573/INDEX('Tabela Passaro'!$T$2:$T$1795,$N1573),0)*INDEX('Tabela Passaro'!$S$2:$S$1795,$N1573)</f>
        <v>0</v>
      </c>
      <c r="Y1573" s="32" t="n">
        <f aca="false">INDEX('Tabela Passaro'!$U$2:$U$1795,$N1573)</f>
        <v>0</v>
      </c>
      <c r="Z1573" s="32" t="n">
        <f aca="false">INDEX('Tabela Passaro'!$V$2:$V$1795,$N1573)</f>
        <v>0</v>
      </c>
      <c r="AA1573" s="32" t="n">
        <f aca="false">SUM(R1573:Z1573)</f>
        <v>269.29147</v>
      </c>
      <c r="AB1573" s="33" t="n">
        <f aca="false">INDEX(Premissas!$B$5:$B$13,MATCH(A1573,Premissas!$A$5:$A$13,0))</f>
        <v>0.07</v>
      </c>
      <c r="AC1573" s="32" t="n">
        <f aca="false">AA1573/(1-AB1573)-AA1573</f>
        <v>20.2692504301075</v>
      </c>
      <c r="AD1573" s="32" t="n">
        <f aca="false">ROUND(AA1573+AC1573,2)</f>
        <v>289.56</v>
      </c>
      <c r="AE1573" s="32" t="n">
        <f aca="false">AD1573-L1573</f>
        <v>117.41</v>
      </c>
      <c r="AF1573" s="34" t="n">
        <f aca="false">IF(L1573=0,0,AE1573/L1573)</f>
        <v>0.682021492884113</v>
      </c>
      <c r="AG1573" s="22" t="str">
        <f aca="false">IF(AD1573&lt;L1573,"PASSARO","ATUAL")</f>
        <v>ATUAL</v>
      </c>
      <c r="AH1573" s="22" t="str">
        <f aca="false">IF(P1573&lt;&gt;A1573,"Faixa cadastrada como "&amp;P1573&amp;" na tabela; preço aplicado pela UF do CEP","")</f>
        <v/>
      </c>
      <c r="AI1573" s="26" t="n">
        <v>333.05</v>
      </c>
      <c r="AJ1573" s="22" t="str">
        <f aca="false">INDEX('Tabela Passaro'!$X$2:$X$1795,$N1573)</f>
        <v>CAPITAL</v>
      </c>
    </row>
    <row r="1574" customFormat="false" ht="15" hidden="false" customHeight="false" outlineLevel="0" collapsed="false">
      <c r="A1574" s="22" t="s">
        <v>21</v>
      </c>
      <c r="B1574" s="22" t="n">
        <v>1</v>
      </c>
      <c r="C1574" s="22" t="s">
        <v>167</v>
      </c>
      <c r="D1574" s="22" t="s">
        <v>30</v>
      </c>
      <c r="E1574" s="22" t="s">
        <v>7328</v>
      </c>
      <c r="F1574" s="22" t="n">
        <v>2312396</v>
      </c>
      <c r="G1574" s="30" t="n">
        <v>46248</v>
      </c>
      <c r="H1574" s="22" t="n">
        <v>133286</v>
      </c>
      <c r="I1574" s="22" t="s">
        <v>8772</v>
      </c>
      <c r="J1574" s="31" t="n">
        <v>132.8</v>
      </c>
      <c r="K1574" s="26" t="n">
        <v>2094.98</v>
      </c>
      <c r="L1574" s="26" t="n">
        <v>346.91</v>
      </c>
      <c r="M1574" s="22" t="s">
        <v>5498</v>
      </c>
      <c r="N1574" s="22" t="n">
        <f aca="false">MATCH(M1574,'Tabela Passaro'!$A$2:$A$1795,0)</f>
        <v>1329</v>
      </c>
      <c r="O1574" s="22" t="str">
        <f aca="false">INDEX('Tabela Passaro'!$C$2:$C$1795,$N1574)</f>
        <v>TERESINA</v>
      </c>
      <c r="P1574" s="22" t="str">
        <f aca="false">INDEX('Tabela Passaro'!$B$2:$B$1795,$N1574)</f>
        <v>PI</v>
      </c>
      <c r="Q1574" s="22" t="n">
        <f aca="false">INDEX('Tabela Passaro'!$F$2:$F$1795,$N1574)</f>
        <v>10</v>
      </c>
      <c r="R1574" s="32" t="n">
        <f aca="false">IF(J1574&lt;=10,INDEX('Tabela Passaro'!$G$2:$G$1795,$N1574),IF(J1574&lt;=30,INDEX('Tabela Passaro'!$H$2:$H$1795,$N1574),IF(J1574&lt;=50,INDEX('Tabela Passaro'!$I$2:$I$1795,$N1574),IF(J1574&lt;=70,INDEX('Tabela Passaro'!$J$2:$J$1795,$N1574),IF(J1574&lt;=100,INDEX('Tabela Passaro'!$K$2:$K$1795,$N1574),INDEX('Tabela Passaro'!$K$2:$K$1795,$N1574)+(J1574-100)*INDEX('Tabela Passaro'!$L$2:$L$1795,$N1574))))))</f>
        <v>327.338</v>
      </c>
      <c r="S1574" s="32" t="n">
        <f aca="false">K1574*INDEX('Tabela Passaro'!$M$2:$M$1795,$N1574)</f>
        <v>10.4749</v>
      </c>
      <c r="T1574" s="32" t="n">
        <f aca="false">K1574*INDEX('Tabela Passaro'!$N$2:$N$1795,$N1574)</f>
        <v>4.18996</v>
      </c>
      <c r="U1574" s="32" t="n">
        <f aca="false">INDEX('Tabela Passaro'!$O$2:$O$1795,$N1574)</f>
        <v>5</v>
      </c>
      <c r="V1574" s="32" t="n">
        <f aca="false">ROUNDUP(J1574/INDEX('Tabela Passaro'!$Q$2:$Q$1795,$N1574),0)*INDEX('Tabela Passaro'!$P$2:$P$1795,$N1574)</f>
        <v>10</v>
      </c>
      <c r="W1574" s="32" t="n">
        <f aca="false">INDEX('Tabela Passaro'!$R$2:$R$1795,$N1574)</f>
        <v>30</v>
      </c>
      <c r="X1574" s="32" t="n">
        <f aca="false">ROUNDUP(J1574/INDEX('Tabela Passaro'!$T$2:$T$1795,$N1574),0)*INDEX('Tabela Passaro'!$S$2:$S$1795,$N1574)</f>
        <v>0</v>
      </c>
      <c r="Y1574" s="32" t="n">
        <f aca="false">INDEX('Tabela Passaro'!$U$2:$U$1795,$N1574)</f>
        <v>0</v>
      </c>
      <c r="Z1574" s="32" t="n">
        <f aca="false">INDEX('Tabela Passaro'!$V$2:$V$1795,$N1574)</f>
        <v>0</v>
      </c>
      <c r="AA1574" s="32" t="n">
        <f aca="false">SUM(R1574:Z1574)</f>
        <v>387.00286</v>
      </c>
      <c r="AB1574" s="33" t="n">
        <f aca="false">INDEX(Premissas!$B$5:$B$13,MATCH(A1574,Premissas!$A$5:$A$13,0))</f>
        <v>0.07</v>
      </c>
      <c r="AC1574" s="32" t="n">
        <f aca="false">AA1574/(1-AB1574)-AA1574</f>
        <v>29.1292475268817</v>
      </c>
      <c r="AD1574" s="32" t="n">
        <f aca="false">ROUND(AA1574+AC1574,2)</f>
        <v>416.13</v>
      </c>
      <c r="AE1574" s="32" t="n">
        <f aca="false">AD1574-L1574</f>
        <v>69.22</v>
      </c>
      <c r="AF1574" s="34" t="n">
        <f aca="false">IF(L1574=0,0,AE1574/L1574)</f>
        <v>0.199533020091666</v>
      </c>
      <c r="AG1574" s="22" t="str">
        <f aca="false">IF(AD1574&lt;L1574,"PASSARO","ATUAL")</f>
        <v>ATUAL</v>
      </c>
      <c r="AH1574" s="22" t="str">
        <f aca="false">IF(P1574&lt;&gt;A1574,"Faixa cadastrada como "&amp;P1574&amp;" na tabela; preço aplicado pela UF do CEP","")</f>
        <v/>
      </c>
      <c r="AI1574" s="26" t="n">
        <v>514.67</v>
      </c>
      <c r="AJ1574" s="22" t="str">
        <f aca="false">INDEX('Tabela Passaro'!$X$2:$X$1795,$N1574)</f>
        <v>CAPITAL</v>
      </c>
    </row>
    <row r="1575" customFormat="false" ht="15" hidden="false" customHeight="false" outlineLevel="0" collapsed="false">
      <c r="A1575" s="22" t="s">
        <v>21</v>
      </c>
      <c r="B1575" s="22" t="n">
        <v>1</v>
      </c>
      <c r="C1575" s="22" t="s">
        <v>167</v>
      </c>
      <c r="D1575" s="22" t="s">
        <v>30</v>
      </c>
      <c r="E1575" s="22" t="s">
        <v>7328</v>
      </c>
      <c r="F1575" s="22" t="n">
        <v>2312397</v>
      </c>
      <c r="G1575" s="30" t="n">
        <v>46248</v>
      </c>
      <c r="H1575" s="22" t="n">
        <v>133295</v>
      </c>
      <c r="I1575" s="22" t="s">
        <v>8773</v>
      </c>
      <c r="J1575" s="31" t="n">
        <v>37.59</v>
      </c>
      <c r="K1575" s="26" t="n">
        <v>653.38</v>
      </c>
      <c r="L1575" s="26" t="n">
        <v>168.69</v>
      </c>
      <c r="M1575" s="22" t="s">
        <v>5498</v>
      </c>
      <c r="N1575" s="22" t="n">
        <f aca="false">MATCH(M1575,'Tabela Passaro'!$A$2:$A$1795,0)</f>
        <v>1329</v>
      </c>
      <c r="O1575" s="22" t="str">
        <f aca="false">INDEX('Tabela Passaro'!$C$2:$C$1795,$N1575)</f>
        <v>TERESINA</v>
      </c>
      <c r="P1575" s="22" t="str">
        <f aca="false">INDEX('Tabela Passaro'!$B$2:$B$1795,$N1575)</f>
        <v>PI</v>
      </c>
      <c r="Q1575" s="22" t="n">
        <f aca="false">INDEX('Tabela Passaro'!$F$2:$F$1795,$N1575)</f>
        <v>10</v>
      </c>
      <c r="R1575" s="32" t="n">
        <f aca="false">IF(J1575&lt;=10,INDEX('Tabela Passaro'!$G$2:$G$1795,$N1575),IF(J1575&lt;=30,INDEX('Tabela Passaro'!$H$2:$H$1795,$N1575),IF(J1575&lt;=50,INDEX('Tabela Passaro'!$I$2:$I$1795,$N1575),IF(J1575&lt;=70,INDEX('Tabela Passaro'!$J$2:$J$1795,$N1575),IF(J1575&lt;=100,INDEX('Tabela Passaro'!$K$2:$K$1795,$N1575),INDEX('Tabela Passaro'!$K$2:$K$1795,$N1575)+(J1575-100)*INDEX('Tabela Passaro'!$L$2:$L$1795,$N1575))))))</f>
        <v>221.66</v>
      </c>
      <c r="S1575" s="32" t="n">
        <f aca="false">K1575*INDEX('Tabela Passaro'!$M$2:$M$1795,$N1575)</f>
        <v>3.2669</v>
      </c>
      <c r="T1575" s="32" t="n">
        <f aca="false">K1575*INDEX('Tabela Passaro'!$N$2:$N$1795,$N1575)</f>
        <v>1.30676</v>
      </c>
      <c r="U1575" s="32" t="n">
        <f aca="false">INDEX('Tabela Passaro'!$O$2:$O$1795,$N1575)</f>
        <v>5</v>
      </c>
      <c r="V1575" s="32" t="n">
        <f aca="false">ROUNDUP(J1575/INDEX('Tabela Passaro'!$Q$2:$Q$1795,$N1575),0)*INDEX('Tabela Passaro'!$P$2:$P$1795,$N1575)</f>
        <v>5</v>
      </c>
      <c r="W1575" s="32" t="n">
        <f aca="false">INDEX('Tabela Passaro'!$R$2:$R$1795,$N1575)</f>
        <v>30</v>
      </c>
      <c r="X1575" s="32" t="n">
        <f aca="false">ROUNDUP(J1575/INDEX('Tabela Passaro'!$T$2:$T$1795,$N1575),0)*INDEX('Tabela Passaro'!$S$2:$S$1795,$N1575)</f>
        <v>0</v>
      </c>
      <c r="Y1575" s="32" t="n">
        <f aca="false">INDEX('Tabela Passaro'!$U$2:$U$1795,$N1575)</f>
        <v>0</v>
      </c>
      <c r="Z1575" s="32" t="n">
        <f aca="false">INDEX('Tabela Passaro'!$V$2:$V$1795,$N1575)</f>
        <v>0</v>
      </c>
      <c r="AA1575" s="32" t="n">
        <f aca="false">SUM(R1575:Z1575)</f>
        <v>266.23366</v>
      </c>
      <c r="AB1575" s="33" t="n">
        <f aca="false">INDEX(Premissas!$B$5:$B$13,MATCH(A1575,Premissas!$A$5:$A$13,0))</f>
        <v>0.07</v>
      </c>
      <c r="AC1575" s="32" t="n">
        <f aca="false">AA1575/(1-AB1575)-AA1575</f>
        <v>20.039092688172</v>
      </c>
      <c r="AD1575" s="32" t="n">
        <f aca="false">ROUND(AA1575+AC1575,2)</f>
        <v>286.27</v>
      </c>
      <c r="AE1575" s="32" t="n">
        <f aca="false">AD1575-L1575</f>
        <v>117.58</v>
      </c>
      <c r="AF1575" s="34" t="n">
        <f aca="false">IF(L1575=0,0,AE1575/L1575)</f>
        <v>0.697018199063371</v>
      </c>
      <c r="AG1575" s="22" t="str">
        <f aca="false">IF(AD1575&lt;L1575,"PASSARO","ATUAL")</f>
        <v>ATUAL</v>
      </c>
      <c r="AH1575" s="22" t="str">
        <f aca="false">IF(P1575&lt;&gt;A1575,"Faixa cadastrada como "&amp;P1575&amp;" na tabela; preço aplicado pela UF do CEP","")</f>
        <v/>
      </c>
      <c r="AI1575" s="26" t="n">
        <v>323.98</v>
      </c>
      <c r="AJ1575" s="22" t="str">
        <f aca="false">INDEX('Tabela Passaro'!$X$2:$X$1795,$N1575)</f>
        <v>CAPITAL</v>
      </c>
    </row>
    <row r="1576" customFormat="false" ht="15" hidden="false" customHeight="false" outlineLevel="0" collapsed="false">
      <c r="A1576" s="22" t="s">
        <v>21</v>
      </c>
      <c r="B1576" s="22" t="n">
        <v>1</v>
      </c>
      <c r="C1576" s="22" t="s">
        <v>167</v>
      </c>
      <c r="D1576" s="22" t="s">
        <v>30</v>
      </c>
      <c r="E1576" s="22" t="s">
        <v>7328</v>
      </c>
      <c r="F1576" s="22" t="n">
        <v>2313223</v>
      </c>
      <c r="G1576" s="30" t="n">
        <v>46251</v>
      </c>
      <c r="H1576" s="22" t="n">
        <v>133640</v>
      </c>
      <c r="I1576" s="22" t="s">
        <v>8774</v>
      </c>
      <c r="J1576" s="31" t="n">
        <v>38.2</v>
      </c>
      <c r="K1576" s="26" t="n">
        <v>844.19</v>
      </c>
      <c r="L1576" s="26" t="n">
        <v>170.2</v>
      </c>
      <c r="M1576" s="22" t="s">
        <v>5498</v>
      </c>
      <c r="N1576" s="22" t="n">
        <f aca="false">MATCH(M1576,'Tabela Passaro'!$A$2:$A$1795,0)</f>
        <v>1329</v>
      </c>
      <c r="O1576" s="22" t="str">
        <f aca="false">INDEX('Tabela Passaro'!$C$2:$C$1795,$N1576)</f>
        <v>TERESINA</v>
      </c>
      <c r="P1576" s="22" t="str">
        <f aca="false">INDEX('Tabela Passaro'!$B$2:$B$1795,$N1576)</f>
        <v>PI</v>
      </c>
      <c r="Q1576" s="22" t="n">
        <f aca="false">INDEX('Tabela Passaro'!$F$2:$F$1795,$N1576)</f>
        <v>10</v>
      </c>
      <c r="R1576" s="32" t="n">
        <f aca="false">IF(J1576&lt;=10,INDEX('Tabela Passaro'!$G$2:$G$1795,$N1576),IF(J1576&lt;=30,INDEX('Tabela Passaro'!$H$2:$H$1795,$N1576),IF(J1576&lt;=50,INDEX('Tabela Passaro'!$I$2:$I$1795,$N1576),IF(J1576&lt;=70,INDEX('Tabela Passaro'!$J$2:$J$1795,$N1576),IF(J1576&lt;=100,INDEX('Tabela Passaro'!$K$2:$K$1795,$N1576),INDEX('Tabela Passaro'!$K$2:$K$1795,$N1576)+(J1576-100)*INDEX('Tabela Passaro'!$L$2:$L$1795,$N1576))))))</f>
        <v>221.66</v>
      </c>
      <c r="S1576" s="32" t="n">
        <f aca="false">K1576*INDEX('Tabela Passaro'!$M$2:$M$1795,$N1576)</f>
        <v>4.22095</v>
      </c>
      <c r="T1576" s="32" t="n">
        <f aca="false">K1576*INDEX('Tabela Passaro'!$N$2:$N$1795,$N1576)</f>
        <v>1.68838</v>
      </c>
      <c r="U1576" s="32" t="n">
        <f aca="false">INDEX('Tabela Passaro'!$O$2:$O$1795,$N1576)</f>
        <v>5</v>
      </c>
      <c r="V1576" s="32" t="n">
        <f aca="false">ROUNDUP(J1576/INDEX('Tabela Passaro'!$Q$2:$Q$1795,$N1576),0)*INDEX('Tabela Passaro'!$P$2:$P$1795,$N1576)</f>
        <v>5</v>
      </c>
      <c r="W1576" s="32" t="n">
        <f aca="false">INDEX('Tabela Passaro'!$R$2:$R$1795,$N1576)</f>
        <v>30</v>
      </c>
      <c r="X1576" s="32" t="n">
        <f aca="false">ROUNDUP(J1576/INDEX('Tabela Passaro'!$T$2:$T$1795,$N1576),0)*INDEX('Tabela Passaro'!$S$2:$S$1795,$N1576)</f>
        <v>0</v>
      </c>
      <c r="Y1576" s="32" t="n">
        <f aca="false">INDEX('Tabela Passaro'!$U$2:$U$1795,$N1576)</f>
        <v>0</v>
      </c>
      <c r="Z1576" s="32" t="n">
        <f aca="false">INDEX('Tabela Passaro'!$V$2:$V$1795,$N1576)</f>
        <v>0</v>
      </c>
      <c r="AA1576" s="32" t="n">
        <f aca="false">SUM(R1576:Z1576)</f>
        <v>267.56933</v>
      </c>
      <c r="AB1576" s="33" t="n">
        <f aca="false">INDEX(Premissas!$B$5:$B$13,MATCH(A1576,Premissas!$A$5:$A$13,0))</f>
        <v>0.07</v>
      </c>
      <c r="AC1576" s="32" t="n">
        <f aca="false">AA1576/(1-AB1576)-AA1576</f>
        <v>20.1396269892473</v>
      </c>
      <c r="AD1576" s="32" t="n">
        <f aca="false">ROUND(AA1576+AC1576,2)</f>
        <v>287.71</v>
      </c>
      <c r="AE1576" s="32" t="n">
        <f aca="false">AD1576-L1576</f>
        <v>117.51</v>
      </c>
      <c r="AF1576" s="34" t="n">
        <f aca="false">IF(L1576=0,0,AE1576/L1576)</f>
        <v>0.69042303172738</v>
      </c>
      <c r="AG1576" s="22" t="str">
        <f aca="false">IF(AD1576&lt;L1576,"PASSARO","ATUAL")</f>
        <v>ATUAL</v>
      </c>
      <c r="AH1576" s="22" t="str">
        <f aca="false">IF(P1576&lt;&gt;A1576,"Faixa cadastrada como "&amp;P1576&amp;" na tabela; preço aplicado pela UF do CEP","")</f>
        <v/>
      </c>
      <c r="AI1576" s="26" t="n">
        <v>326.31</v>
      </c>
      <c r="AJ1576" s="22" t="str">
        <f aca="false">INDEX('Tabela Passaro'!$X$2:$X$1795,$N1576)</f>
        <v>CAPITAL</v>
      </c>
    </row>
    <row r="1577" customFormat="false" ht="15" hidden="false" customHeight="false" outlineLevel="0" collapsed="false">
      <c r="A1577" s="22" t="s">
        <v>21</v>
      </c>
      <c r="B1577" s="22" t="n">
        <v>1</v>
      </c>
      <c r="C1577" s="22" t="s">
        <v>167</v>
      </c>
      <c r="D1577" s="22" t="s">
        <v>30</v>
      </c>
      <c r="E1577" s="22" t="s">
        <v>7326</v>
      </c>
      <c r="F1577" s="22" t="n">
        <v>525376</v>
      </c>
      <c r="G1577" s="30" t="n">
        <v>46251</v>
      </c>
      <c r="H1577" s="22" t="n">
        <v>625367</v>
      </c>
      <c r="I1577" s="22" t="s">
        <v>8775</v>
      </c>
      <c r="J1577" s="31" t="n">
        <v>27.6</v>
      </c>
      <c r="K1577" s="26" t="n">
        <v>630.23</v>
      </c>
      <c r="L1577" s="26" t="n">
        <v>139.23</v>
      </c>
      <c r="M1577" s="22" t="s">
        <v>5498</v>
      </c>
      <c r="N1577" s="22" t="n">
        <f aca="false">MATCH(M1577,'Tabela Passaro'!$A$2:$A$1795,0)</f>
        <v>1329</v>
      </c>
      <c r="O1577" s="22" t="str">
        <f aca="false">INDEX('Tabela Passaro'!$C$2:$C$1795,$N1577)</f>
        <v>TERESINA</v>
      </c>
      <c r="P1577" s="22" t="str">
        <f aca="false">INDEX('Tabela Passaro'!$B$2:$B$1795,$N1577)</f>
        <v>PI</v>
      </c>
      <c r="Q1577" s="22" t="n">
        <f aca="false">INDEX('Tabela Passaro'!$F$2:$F$1795,$N1577)</f>
        <v>10</v>
      </c>
      <c r="R1577" s="32" t="n">
        <f aca="false">IF(J1577&lt;=10,INDEX('Tabela Passaro'!$G$2:$G$1795,$N1577),IF(J1577&lt;=30,INDEX('Tabela Passaro'!$H$2:$H$1795,$N1577),IF(J1577&lt;=50,INDEX('Tabela Passaro'!$I$2:$I$1795,$N1577),IF(J1577&lt;=70,INDEX('Tabela Passaro'!$J$2:$J$1795,$N1577),IF(J1577&lt;=100,INDEX('Tabela Passaro'!$K$2:$K$1795,$N1577),INDEX('Tabela Passaro'!$K$2:$K$1795,$N1577)+(J1577-100)*INDEX('Tabela Passaro'!$L$2:$L$1795,$N1577))))))</f>
        <v>199.53</v>
      </c>
      <c r="S1577" s="32" t="n">
        <f aca="false">K1577*INDEX('Tabela Passaro'!$M$2:$M$1795,$N1577)</f>
        <v>3.15115</v>
      </c>
      <c r="T1577" s="32" t="n">
        <f aca="false">K1577*INDEX('Tabela Passaro'!$N$2:$N$1795,$N1577)</f>
        <v>1.26046</v>
      </c>
      <c r="U1577" s="32" t="n">
        <f aca="false">INDEX('Tabela Passaro'!$O$2:$O$1795,$N1577)</f>
        <v>5</v>
      </c>
      <c r="V1577" s="32" t="n">
        <f aca="false">ROUNDUP(J1577/INDEX('Tabela Passaro'!$Q$2:$Q$1795,$N1577),0)*INDEX('Tabela Passaro'!$P$2:$P$1795,$N1577)</f>
        <v>5</v>
      </c>
      <c r="W1577" s="32" t="n">
        <f aca="false">INDEX('Tabela Passaro'!$R$2:$R$1795,$N1577)</f>
        <v>30</v>
      </c>
      <c r="X1577" s="32" t="n">
        <f aca="false">ROUNDUP(J1577/INDEX('Tabela Passaro'!$T$2:$T$1795,$N1577),0)*INDEX('Tabela Passaro'!$S$2:$S$1795,$N1577)</f>
        <v>0</v>
      </c>
      <c r="Y1577" s="32" t="n">
        <f aca="false">INDEX('Tabela Passaro'!$U$2:$U$1795,$N1577)</f>
        <v>0</v>
      </c>
      <c r="Z1577" s="32" t="n">
        <f aca="false">INDEX('Tabela Passaro'!$V$2:$V$1795,$N1577)</f>
        <v>0</v>
      </c>
      <c r="AA1577" s="32" t="n">
        <f aca="false">SUM(R1577:Z1577)</f>
        <v>243.94161</v>
      </c>
      <c r="AB1577" s="33" t="n">
        <f aca="false">INDEX(Premissas!$B$5:$B$13,MATCH(A1577,Premissas!$A$5:$A$13,0))</f>
        <v>0.07</v>
      </c>
      <c r="AC1577" s="32" t="n">
        <f aca="false">AA1577/(1-AB1577)-AA1577</f>
        <v>18.3611964516129</v>
      </c>
      <c r="AD1577" s="32" t="n">
        <f aca="false">ROUND(AA1577+AC1577,2)</f>
        <v>262.3</v>
      </c>
      <c r="AE1577" s="32" t="n">
        <f aca="false">AD1577-L1577</f>
        <v>123.07</v>
      </c>
      <c r="AF1577" s="34" t="n">
        <f aca="false">IF(L1577=0,0,AE1577/L1577)</f>
        <v>0.883933060403649</v>
      </c>
      <c r="AG1577" s="22" t="str">
        <f aca="false">IF(AD1577&lt;L1577,"PASSARO","ATUAL")</f>
        <v>ATUAL</v>
      </c>
      <c r="AH1577" s="22" t="str">
        <f aca="false">IF(P1577&lt;&gt;A1577,"Faixa cadastrada como "&amp;P1577&amp;" na tabela; preço aplicado pela UF do CEP","")</f>
        <v/>
      </c>
      <c r="AI1577" s="26" t="n">
        <v>293.87</v>
      </c>
      <c r="AJ1577" s="22" t="str">
        <f aca="false">INDEX('Tabela Passaro'!$X$2:$X$1795,$N1577)</f>
        <v>CAPITAL</v>
      </c>
    </row>
    <row r="1578" customFormat="false" ht="15" hidden="false" customHeight="false" outlineLevel="0" collapsed="false">
      <c r="A1578" s="22" t="s">
        <v>21</v>
      </c>
      <c r="B1578" s="22" t="n">
        <v>1</v>
      </c>
      <c r="C1578" s="22" t="s">
        <v>167</v>
      </c>
      <c r="D1578" s="22" t="s">
        <v>30</v>
      </c>
      <c r="E1578" s="22" t="s">
        <v>7328</v>
      </c>
      <c r="F1578" s="22" t="n">
        <v>2313825</v>
      </c>
      <c r="G1578" s="30" t="n">
        <v>46253</v>
      </c>
      <c r="H1578" s="22" t="n">
        <v>133915</v>
      </c>
      <c r="I1578" s="22" t="s">
        <v>8776</v>
      </c>
      <c r="J1578" s="31" t="n">
        <v>38.15</v>
      </c>
      <c r="K1578" s="26" t="n">
        <v>581.5</v>
      </c>
      <c r="L1578" s="26" t="n">
        <v>168.12</v>
      </c>
      <c r="M1578" s="22" t="s">
        <v>5498</v>
      </c>
      <c r="N1578" s="22" t="n">
        <f aca="false">MATCH(M1578,'Tabela Passaro'!$A$2:$A$1795,0)</f>
        <v>1329</v>
      </c>
      <c r="O1578" s="22" t="str">
        <f aca="false">INDEX('Tabela Passaro'!$C$2:$C$1795,$N1578)</f>
        <v>TERESINA</v>
      </c>
      <c r="P1578" s="22" t="str">
        <f aca="false">INDEX('Tabela Passaro'!$B$2:$B$1795,$N1578)</f>
        <v>PI</v>
      </c>
      <c r="Q1578" s="22" t="n">
        <f aca="false">INDEX('Tabela Passaro'!$F$2:$F$1795,$N1578)</f>
        <v>10</v>
      </c>
      <c r="R1578" s="32" t="n">
        <f aca="false">IF(J1578&lt;=10,INDEX('Tabela Passaro'!$G$2:$G$1795,$N1578),IF(J1578&lt;=30,INDEX('Tabela Passaro'!$H$2:$H$1795,$N1578),IF(J1578&lt;=50,INDEX('Tabela Passaro'!$I$2:$I$1795,$N1578),IF(J1578&lt;=70,INDEX('Tabela Passaro'!$J$2:$J$1795,$N1578),IF(J1578&lt;=100,INDEX('Tabela Passaro'!$K$2:$K$1795,$N1578),INDEX('Tabela Passaro'!$K$2:$K$1795,$N1578)+(J1578-100)*INDEX('Tabela Passaro'!$L$2:$L$1795,$N1578))))))</f>
        <v>221.66</v>
      </c>
      <c r="S1578" s="32" t="n">
        <f aca="false">K1578*INDEX('Tabela Passaro'!$M$2:$M$1795,$N1578)</f>
        <v>2.9075</v>
      </c>
      <c r="T1578" s="32" t="n">
        <f aca="false">K1578*INDEX('Tabela Passaro'!$N$2:$N$1795,$N1578)</f>
        <v>1.163</v>
      </c>
      <c r="U1578" s="32" t="n">
        <f aca="false">INDEX('Tabela Passaro'!$O$2:$O$1795,$N1578)</f>
        <v>5</v>
      </c>
      <c r="V1578" s="32" t="n">
        <f aca="false">ROUNDUP(J1578/INDEX('Tabela Passaro'!$Q$2:$Q$1795,$N1578),0)*INDEX('Tabela Passaro'!$P$2:$P$1795,$N1578)</f>
        <v>5</v>
      </c>
      <c r="W1578" s="32" t="n">
        <f aca="false">INDEX('Tabela Passaro'!$R$2:$R$1795,$N1578)</f>
        <v>30</v>
      </c>
      <c r="X1578" s="32" t="n">
        <f aca="false">ROUNDUP(J1578/INDEX('Tabela Passaro'!$T$2:$T$1795,$N1578),0)*INDEX('Tabela Passaro'!$S$2:$S$1795,$N1578)</f>
        <v>0</v>
      </c>
      <c r="Y1578" s="32" t="n">
        <f aca="false">INDEX('Tabela Passaro'!$U$2:$U$1795,$N1578)</f>
        <v>0</v>
      </c>
      <c r="Z1578" s="32" t="n">
        <f aca="false">INDEX('Tabela Passaro'!$V$2:$V$1795,$N1578)</f>
        <v>0</v>
      </c>
      <c r="AA1578" s="32" t="n">
        <f aca="false">SUM(R1578:Z1578)</f>
        <v>265.7305</v>
      </c>
      <c r="AB1578" s="33" t="n">
        <f aca="false">INDEX(Premissas!$B$5:$B$13,MATCH(A1578,Premissas!$A$5:$A$13,0))</f>
        <v>0.07</v>
      </c>
      <c r="AC1578" s="32" t="n">
        <f aca="false">AA1578/(1-AB1578)-AA1578</f>
        <v>20.0012204301075</v>
      </c>
      <c r="AD1578" s="32" t="n">
        <f aca="false">ROUND(AA1578+AC1578,2)</f>
        <v>285.73</v>
      </c>
      <c r="AE1578" s="32" t="n">
        <f aca="false">AD1578-L1578</f>
        <v>117.61</v>
      </c>
      <c r="AF1578" s="34" t="n">
        <f aca="false">IF(L1578=0,0,AE1578/L1578)</f>
        <v>0.699559838210802</v>
      </c>
      <c r="AG1578" s="22" t="str">
        <f aca="false">IF(AD1578&lt;L1578,"PASSARO","ATUAL")</f>
        <v>ATUAL</v>
      </c>
      <c r="AH1578" s="22" t="str">
        <f aca="false">IF(P1578&lt;&gt;A1578,"Faixa cadastrada como "&amp;P1578&amp;" na tabela; preço aplicado pela UF do CEP","")</f>
        <v/>
      </c>
      <c r="AI1578" s="26" t="n">
        <v>323.77</v>
      </c>
      <c r="AJ1578" s="22" t="str">
        <f aca="false">INDEX('Tabela Passaro'!$X$2:$X$1795,$N1578)</f>
        <v>CAPITAL</v>
      </c>
    </row>
    <row r="1579" customFormat="false" ht="15" hidden="false" customHeight="false" outlineLevel="0" collapsed="false">
      <c r="A1579" s="22" t="s">
        <v>21</v>
      </c>
      <c r="B1579" s="22" t="n">
        <v>1</v>
      </c>
      <c r="C1579" s="22" t="s">
        <v>167</v>
      </c>
      <c r="D1579" s="22" t="s">
        <v>30</v>
      </c>
      <c r="E1579" s="22" t="s">
        <v>7328</v>
      </c>
      <c r="F1579" s="22" t="n">
        <v>2313833</v>
      </c>
      <c r="G1579" s="30" t="n">
        <v>46253</v>
      </c>
      <c r="H1579" s="22" t="n">
        <v>133927</v>
      </c>
      <c r="I1579" s="22" t="s">
        <v>8777</v>
      </c>
      <c r="J1579" s="31" t="n">
        <v>44.5</v>
      </c>
      <c r="K1579" s="26" t="n">
        <v>847.55</v>
      </c>
      <c r="L1579" s="26" t="n">
        <v>170.23</v>
      </c>
      <c r="M1579" s="22" t="s">
        <v>5498</v>
      </c>
      <c r="N1579" s="22" t="n">
        <f aca="false">MATCH(M1579,'Tabela Passaro'!$A$2:$A$1795,0)</f>
        <v>1329</v>
      </c>
      <c r="O1579" s="22" t="str">
        <f aca="false">INDEX('Tabela Passaro'!$C$2:$C$1795,$N1579)</f>
        <v>TERESINA</v>
      </c>
      <c r="P1579" s="22" t="str">
        <f aca="false">INDEX('Tabela Passaro'!$B$2:$B$1795,$N1579)</f>
        <v>PI</v>
      </c>
      <c r="Q1579" s="22" t="n">
        <f aca="false">INDEX('Tabela Passaro'!$F$2:$F$1795,$N1579)</f>
        <v>10</v>
      </c>
      <c r="R1579" s="32" t="n">
        <f aca="false">IF(J1579&lt;=10,INDEX('Tabela Passaro'!$G$2:$G$1795,$N1579),IF(J1579&lt;=30,INDEX('Tabela Passaro'!$H$2:$H$1795,$N1579),IF(J1579&lt;=50,INDEX('Tabela Passaro'!$I$2:$I$1795,$N1579),IF(J1579&lt;=70,INDEX('Tabela Passaro'!$J$2:$J$1795,$N1579),IF(J1579&lt;=100,INDEX('Tabela Passaro'!$K$2:$K$1795,$N1579),INDEX('Tabela Passaro'!$K$2:$K$1795,$N1579)+(J1579-100)*INDEX('Tabela Passaro'!$L$2:$L$1795,$N1579))))))</f>
        <v>221.66</v>
      </c>
      <c r="S1579" s="32" t="n">
        <f aca="false">K1579*INDEX('Tabela Passaro'!$M$2:$M$1795,$N1579)</f>
        <v>4.23775</v>
      </c>
      <c r="T1579" s="32" t="n">
        <f aca="false">K1579*INDEX('Tabela Passaro'!$N$2:$N$1795,$N1579)</f>
        <v>1.6951</v>
      </c>
      <c r="U1579" s="32" t="n">
        <f aca="false">INDEX('Tabela Passaro'!$O$2:$O$1795,$N1579)</f>
        <v>5</v>
      </c>
      <c r="V1579" s="32" t="n">
        <f aca="false">ROUNDUP(J1579/INDEX('Tabela Passaro'!$Q$2:$Q$1795,$N1579),0)*INDEX('Tabela Passaro'!$P$2:$P$1795,$N1579)</f>
        <v>5</v>
      </c>
      <c r="W1579" s="32" t="n">
        <f aca="false">INDEX('Tabela Passaro'!$R$2:$R$1795,$N1579)</f>
        <v>30</v>
      </c>
      <c r="X1579" s="32" t="n">
        <f aca="false">ROUNDUP(J1579/INDEX('Tabela Passaro'!$T$2:$T$1795,$N1579),0)*INDEX('Tabela Passaro'!$S$2:$S$1795,$N1579)</f>
        <v>0</v>
      </c>
      <c r="Y1579" s="32" t="n">
        <f aca="false">INDEX('Tabela Passaro'!$U$2:$U$1795,$N1579)</f>
        <v>0</v>
      </c>
      <c r="Z1579" s="32" t="n">
        <f aca="false">INDEX('Tabela Passaro'!$V$2:$V$1795,$N1579)</f>
        <v>0</v>
      </c>
      <c r="AA1579" s="32" t="n">
        <f aca="false">SUM(R1579:Z1579)</f>
        <v>267.59285</v>
      </c>
      <c r="AB1579" s="33" t="n">
        <f aca="false">INDEX(Premissas!$B$5:$B$13,MATCH(A1579,Premissas!$A$5:$A$13,0))</f>
        <v>0.07</v>
      </c>
      <c r="AC1579" s="32" t="n">
        <f aca="false">AA1579/(1-AB1579)-AA1579</f>
        <v>20.141397311828</v>
      </c>
      <c r="AD1579" s="32" t="n">
        <f aca="false">ROUND(AA1579+AC1579,2)</f>
        <v>287.73</v>
      </c>
      <c r="AE1579" s="32" t="n">
        <f aca="false">AD1579-L1579</f>
        <v>117.5</v>
      </c>
      <c r="AF1579" s="34" t="n">
        <f aca="false">IF(L1579=0,0,AE1579/L1579)</f>
        <v>0.690242612935441</v>
      </c>
      <c r="AG1579" s="22" t="str">
        <f aca="false">IF(AD1579&lt;L1579,"PASSARO","ATUAL")</f>
        <v>ATUAL</v>
      </c>
      <c r="AH1579" s="22" t="str">
        <f aca="false">IF(P1579&lt;&gt;A1579,"Faixa cadastrada como "&amp;P1579&amp;" na tabela; preço aplicado pela UF do CEP","")</f>
        <v/>
      </c>
      <c r="AI1579" s="26" t="n">
        <v>329.25</v>
      </c>
      <c r="AJ1579" s="22" t="str">
        <f aca="false">INDEX('Tabela Passaro'!$X$2:$X$1795,$N1579)</f>
        <v>CAPITAL</v>
      </c>
    </row>
    <row r="1580" customFormat="false" ht="15" hidden="false" customHeight="false" outlineLevel="0" collapsed="false">
      <c r="A1580" s="22" t="s">
        <v>21</v>
      </c>
      <c r="B1580" s="22" t="n">
        <v>1</v>
      </c>
      <c r="C1580" s="22" t="s">
        <v>167</v>
      </c>
      <c r="D1580" s="22" t="s">
        <v>30</v>
      </c>
      <c r="E1580" s="22" t="s">
        <v>7328</v>
      </c>
      <c r="F1580" s="22" t="n">
        <v>2314395</v>
      </c>
      <c r="G1580" s="30" t="n">
        <v>46254</v>
      </c>
      <c r="H1580" s="22" t="n">
        <v>134059</v>
      </c>
      <c r="I1580" s="22" t="s">
        <v>8778</v>
      </c>
      <c r="J1580" s="31" t="n">
        <v>66.4</v>
      </c>
      <c r="K1580" s="26" t="n">
        <v>1043.74</v>
      </c>
      <c r="L1580" s="26" t="n">
        <v>205.55</v>
      </c>
      <c r="M1580" s="22" t="s">
        <v>5498</v>
      </c>
      <c r="N1580" s="22" t="n">
        <f aca="false">MATCH(M1580,'Tabela Passaro'!$A$2:$A$1795,0)</f>
        <v>1329</v>
      </c>
      <c r="O1580" s="22" t="str">
        <f aca="false">INDEX('Tabela Passaro'!$C$2:$C$1795,$N1580)</f>
        <v>TERESINA</v>
      </c>
      <c r="P1580" s="22" t="str">
        <f aca="false">INDEX('Tabela Passaro'!$B$2:$B$1795,$N1580)</f>
        <v>PI</v>
      </c>
      <c r="Q1580" s="22" t="n">
        <f aca="false">INDEX('Tabela Passaro'!$F$2:$F$1795,$N1580)</f>
        <v>10</v>
      </c>
      <c r="R1580" s="32" t="n">
        <f aca="false">IF(J1580&lt;=10,INDEX('Tabela Passaro'!$G$2:$G$1795,$N1580),IF(J1580&lt;=30,INDEX('Tabela Passaro'!$H$2:$H$1795,$N1580),IF(J1580&lt;=50,INDEX('Tabela Passaro'!$I$2:$I$1795,$N1580),IF(J1580&lt;=70,INDEX('Tabela Passaro'!$J$2:$J$1795,$N1580),IF(J1580&lt;=100,INDEX('Tabela Passaro'!$K$2:$K$1795,$N1580),INDEX('Tabela Passaro'!$K$2:$K$1795,$N1580)+(J1580-100)*INDEX('Tabela Passaro'!$L$2:$L$1795,$N1580))))))</f>
        <v>238.26</v>
      </c>
      <c r="S1580" s="32" t="n">
        <f aca="false">K1580*INDEX('Tabela Passaro'!$M$2:$M$1795,$N1580)</f>
        <v>5.2187</v>
      </c>
      <c r="T1580" s="32" t="n">
        <f aca="false">K1580*INDEX('Tabela Passaro'!$N$2:$N$1795,$N1580)</f>
        <v>2.08748</v>
      </c>
      <c r="U1580" s="32" t="n">
        <f aca="false">INDEX('Tabela Passaro'!$O$2:$O$1795,$N1580)</f>
        <v>5</v>
      </c>
      <c r="V1580" s="32" t="n">
        <f aca="false">ROUNDUP(J1580/INDEX('Tabela Passaro'!$Q$2:$Q$1795,$N1580),0)*INDEX('Tabela Passaro'!$P$2:$P$1795,$N1580)</f>
        <v>5</v>
      </c>
      <c r="W1580" s="32" t="n">
        <f aca="false">INDEX('Tabela Passaro'!$R$2:$R$1795,$N1580)</f>
        <v>30</v>
      </c>
      <c r="X1580" s="32" t="n">
        <f aca="false">ROUNDUP(J1580/INDEX('Tabela Passaro'!$T$2:$T$1795,$N1580),0)*INDEX('Tabela Passaro'!$S$2:$S$1795,$N1580)</f>
        <v>0</v>
      </c>
      <c r="Y1580" s="32" t="n">
        <f aca="false">INDEX('Tabela Passaro'!$U$2:$U$1795,$N1580)</f>
        <v>0</v>
      </c>
      <c r="Z1580" s="32" t="n">
        <f aca="false">INDEX('Tabela Passaro'!$V$2:$V$1795,$N1580)</f>
        <v>0</v>
      </c>
      <c r="AA1580" s="32" t="n">
        <f aca="false">SUM(R1580:Z1580)</f>
        <v>285.56618</v>
      </c>
      <c r="AB1580" s="33" t="n">
        <f aca="false">INDEX(Premissas!$B$5:$B$13,MATCH(A1580,Premissas!$A$5:$A$13,0))</f>
        <v>0.07</v>
      </c>
      <c r="AC1580" s="32" t="n">
        <f aca="false">AA1580/(1-AB1580)-AA1580</f>
        <v>21.4942286021505</v>
      </c>
      <c r="AD1580" s="32" t="n">
        <f aca="false">ROUND(AA1580+AC1580,2)</f>
        <v>307.06</v>
      </c>
      <c r="AE1580" s="32" t="n">
        <f aca="false">AD1580-L1580</f>
        <v>101.51</v>
      </c>
      <c r="AF1580" s="34" t="n">
        <f aca="false">IF(L1580=0,0,AE1580/L1580)</f>
        <v>0.493845779615665</v>
      </c>
      <c r="AG1580" s="22" t="str">
        <f aca="false">IF(AD1580&lt;L1580,"PASSARO","ATUAL")</f>
        <v>ATUAL</v>
      </c>
      <c r="AH1580" s="22" t="str">
        <f aca="false">IF(P1580&lt;&gt;A1580,"Faixa cadastrada como "&amp;P1580&amp;" na tabela; preço aplicado pela UF do CEP","")</f>
        <v/>
      </c>
      <c r="AI1580" s="26" t="n">
        <v>360.58</v>
      </c>
      <c r="AJ1580" s="22" t="str">
        <f aca="false">INDEX('Tabela Passaro'!$X$2:$X$1795,$N1580)</f>
        <v>CAPITAL</v>
      </c>
    </row>
    <row r="1581" customFormat="false" ht="15" hidden="false" customHeight="false" outlineLevel="0" collapsed="false">
      <c r="A1581" s="22" t="s">
        <v>21</v>
      </c>
      <c r="B1581" s="22" t="n">
        <v>1</v>
      </c>
      <c r="C1581" s="22" t="s">
        <v>167</v>
      </c>
      <c r="D1581" s="22" t="s">
        <v>30</v>
      </c>
      <c r="E1581" s="22" t="s">
        <v>20</v>
      </c>
      <c r="F1581" s="22" t="n">
        <v>839937</v>
      </c>
      <c r="G1581" s="30" t="n">
        <v>46258</v>
      </c>
      <c r="H1581" s="22" t="n">
        <v>32622</v>
      </c>
      <c r="I1581" s="22" t="s">
        <v>8779</v>
      </c>
      <c r="J1581" s="31" t="n">
        <v>29.97</v>
      </c>
      <c r="K1581" s="26" t="n">
        <v>536.06</v>
      </c>
      <c r="L1581" s="26" t="n">
        <v>117.51</v>
      </c>
      <c r="M1581" s="22" t="s">
        <v>5498</v>
      </c>
      <c r="N1581" s="22" t="n">
        <f aca="false">MATCH(M1581,'Tabela Passaro'!$A$2:$A$1795,0)</f>
        <v>1329</v>
      </c>
      <c r="O1581" s="22" t="str">
        <f aca="false">INDEX('Tabela Passaro'!$C$2:$C$1795,$N1581)</f>
        <v>TERESINA</v>
      </c>
      <c r="P1581" s="22" t="str">
        <f aca="false">INDEX('Tabela Passaro'!$B$2:$B$1795,$N1581)</f>
        <v>PI</v>
      </c>
      <c r="Q1581" s="22" t="n">
        <f aca="false">INDEX('Tabela Passaro'!$F$2:$F$1795,$N1581)</f>
        <v>10</v>
      </c>
      <c r="R1581" s="32" t="n">
        <f aca="false">IF(J1581&lt;=10,INDEX('Tabela Passaro'!$G$2:$G$1795,$N1581),IF(J1581&lt;=30,INDEX('Tabela Passaro'!$H$2:$H$1795,$N1581),IF(J1581&lt;=50,INDEX('Tabela Passaro'!$I$2:$I$1795,$N1581),IF(J1581&lt;=70,INDEX('Tabela Passaro'!$J$2:$J$1795,$N1581),IF(J1581&lt;=100,INDEX('Tabela Passaro'!$K$2:$K$1795,$N1581),INDEX('Tabela Passaro'!$K$2:$K$1795,$N1581)+(J1581-100)*INDEX('Tabela Passaro'!$L$2:$L$1795,$N1581))))))</f>
        <v>199.53</v>
      </c>
      <c r="S1581" s="32" t="n">
        <f aca="false">K1581*INDEX('Tabela Passaro'!$M$2:$M$1795,$N1581)</f>
        <v>2.6803</v>
      </c>
      <c r="T1581" s="32" t="n">
        <f aca="false">K1581*INDEX('Tabela Passaro'!$N$2:$N$1795,$N1581)</f>
        <v>1.07212</v>
      </c>
      <c r="U1581" s="32" t="n">
        <f aca="false">INDEX('Tabela Passaro'!$O$2:$O$1795,$N1581)</f>
        <v>5</v>
      </c>
      <c r="V1581" s="32" t="n">
        <f aca="false">ROUNDUP(J1581/INDEX('Tabela Passaro'!$Q$2:$Q$1795,$N1581),0)*INDEX('Tabela Passaro'!$P$2:$P$1795,$N1581)</f>
        <v>5</v>
      </c>
      <c r="W1581" s="32" t="n">
        <f aca="false">INDEX('Tabela Passaro'!$R$2:$R$1795,$N1581)</f>
        <v>30</v>
      </c>
      <c r="X1581" s="32" t="n">
        <f aca="false">ROUNDUP(J1581/INDEX('Tabela Passaro'!$T$2:$T$1795,$N1581),0)*INDEX('Tabela Passaro'!$S$2:$S$1795,$N1581)</f>
        <v>0</v>
      </c>
      <c r="Y1581" s="32" t="n">
        <f aca="false">INDEX('Tabela Passaro'!$U$2:$U$1795,$N1581)</f>
        <v>0</v>
      </c>
      <c r="Z1581" s="32" t="n">
        <f aca="false">INDEX('Tabela Passaro'!$V$2:$V$1795,$N1581)</f>
        <v>0</v>
      </c>
      <c r="AA1581" s="32" t="n">
        <f aca="false">SUM(R1581:Z1581)</f>
        <v>243.28242</v>
      </c>
      <c r="AB1581" s="33" t="n">
        <f aca="false">INDEX(Premissas!$B$5:$B$13,MATCH(A1581,Premissas!$A$5:$A$13,0))</f>
        <v>0.07</v>
      </c>
      <c r="AC1581" s="32" t="n">
        <f aca="false">AA1581/(1-AB1581)-AA1581</f>
        <v>18.31158</v>
      </c>
      <c r="AD1581" s="32" t="n">
        <f aca="false">ROUND(AA1581+AC1581,2)</f>
        <v>261.59</v>
      </c>
      <c r="AE1581" s="32" t="n">
        <f aca="false">AD1581-L1581</f>
        <v>144.08</v>
      </c>
      <c r="AF1581" s="34" t="n">
        <f aca="false">IF(L1581=0,0,AE1581/L1581)</f>
        <v>1.226108416305</v>
      </c>
      <c r="AG1581" s="22" t="str">
        <f aca="false">IF(AD1581&lt;L1581,"PASSARO","ATUAL")</f>
        <v>ATUAL</v>
      </c>
      <c r="AH1581" s="22" t="str">
        <f aca="false">IF(P1581&lt;&gt;A1581,"Faixa cadastrada como "&amp;P1581&amp;" na tabela; preço aplicado pela UF do CEP","")</f>
        <v/>
      </c>
      <c r="AI1581" s="26" t="n">
        <v>293.93</v>
      </c>
      <c r="AJ1581" s="22" t="str">
        <f aca="false">INDEX('Tabela Passaro'!$X$2:$X$1795,$N1581)</f>
        <v>CAPITAL</v>
      </c>
    </row>
    <row r="1582" customFormat="false" ht="15" hidden="false" customHeight="false" outlineLevel="0" collapsed="false">
      <c r="A1582" s="22" t="s">
        <v>21</v>
      </c>
      <c r="B1582" s="22" t="n">
        <v>1</v>
      </c>
      <c r="C1582" s="22" t="s">
        <v>167</v>
      </c>
      <c r="D1582" s="22" t="s">
        <v>30</v>
      </c>
      <c r="E1582" s="22" t="s">
        <v>7328</v>
      </c>
      <c r="F1582" s="22" t="n">
        <v>2315627</v>
      </c>
      <c r="G1582" s="30" t="n">
        <v>46258</v>
      </c>
      <c r="H1582" s="22" t="n">
        <v>134354</v>
      </c>
      <c r="I1582" s="22" t="s">
        <v>8780</v>
      </c>
      <c r="J1582" s="31" t="n">
        <v>27.6</v>
      </c>
      <c r="K1582" s="26" t="n">
        <v>722.16</v>
      </c>
      <c r="L1582" s="26" t="n">
        <v>129.15</v>
      </c>
      <c r="M1582" s="22" t="s">
        <v>5498</v>
      </c>
      <c r="N1582" s="22" t="n">
        <f aca="false">MATCH(M1582,'Tabela Passaro'!$A$2:$A$1795,0)</f>
        <v>1329</v>
      </c>
      <c r="O1582" s="22" t="str">
        <f aca="false">INDEX('Tabela Passaro'!$C$2:$C$1795,$N1582)</f>
        <v>TERESINA</v>
      </c>
      <c r="P1582" s="22" t="str">
        <f aca="false">INDEX('Tabela Passaro'!$B$2:$B$1795,$N1582)</f>
        <v>PI</v>
      </c>
      <c r="Q1582" s="22" t="n">
        <f aca="false">INDEX('Tabela Passaro'!$F$2:$F$1795,$N1582)</f>
        <v>10</v>
      </c>
      <c r="R1582" s="32" t="n">
        <f aca="false">IF(J1582&lt;=10,INDEX('Tabela Passaro'!$G$2:$G$1795,$N1582),IF(J1582&lt;=30,INDEX('Tabela Passaro'!$H$2:$H$1795,$N1582),IF(J1582&lt;=50,INDEX('Tabela Passaro'!$I$2:$I$1795,$N1582),IF(J1582&lt;=70,INDEX('Tabela Passaro'!$J$2:$J$1795,$N1582),IF(J1582&lt;=100,INDEX('Tabela Passaro'!$K$2:$K$1795,$N1582),INDEX('Tabela Passaro'!$K$2:$K$1795,$N1582)+(J1582-100)*INDEX('Tabela Passaro'!$L$2:$L$1795,$N1582))))))</f>
        <v>199.53</v>
      </c>
      <c r="S1582" s="32" t="n">
        <f aca="false">K1582*INDEX('Tabela Passaro'!$M$2:$M$1795,$N1582)</f>
        <v>3.6108</v>
      </c>
      <c r="T1582" s="32" t="n">
        <f aca="false">K1582*INDEX('Tabela Passaro'!$N$2:$N$1795,$N1582)</f>
        <v>1.44432</v>
      </c>
      <c r="U1582" s="32" t="n">
        <f aca="false">INDEX('Tabela Passaro'!$O$2:$O$1795,$N1582)</f>
        <v>5</v>
      </c>
      <c r="V1582" s="32" t="n">
        <f aca="false">ROUNDUP(J1582/INDEX('Tabela Passaro'!$Q$2:$Q$1795,$N1582),0)*INDEX('Tabela Passaro'!$P$2:$P$1795,$N1582)</f>
        <v>5</v>
      </c>
      <c r="W1582" s="32" t="n">
        <f aca="false">INDEX('Tabela Passaro'!$R$2:$R$1795,$N1582)</f>
        <v>30</v>
      </c>
      <c r="X1582" s="32" t="n">
        <f aca="false">ROUNDUP(J1582/INDEX('Tabela Passaro'!$T$2:$T$1795,$N1582),0)*INDEX('Tabela Passaro'!$S$2:$S$1795,$N1582)</f>
        <v>0</v>
      </c>
      <c r="Y1582" s="32" t="n">
        <f aca="false">INDEX('Tabela Passaro'!$U$2:$U$1795,$N1582)</f>
        <v>0</v>
      </c>
      <c r="Z1582" s="32" t="n">
        <f aca="false">INDEX('Tabela Passaro'!$V$2:$V$1795,$N1582)</f>
        <v>0</v>
      </c>
      <c r="AA1582" s="32" t="n">
        <f aca="false">SUM(R1582:Z1582)</f>
        <v>244.58512</v>
      </c>
      <c r="AB1582" s="33" t="n">
        <f aca="false">INDEX(Premissas!$B$5:$B$13,MATCH(A1582,Premissas!$A$5:$A$13,0))</f>
        <v>0.07</v>
      </c>
      <c r="AC1582" s="32" t="n">
        <f aca="false">AA1582/(1-AB1582)-AA1582</f>
        <v>18.4096326881721</v>
      </c>
      <c r="AD1582" s="32" t="n">
        <f aca="false">ROUND(AA1582+AC1582,2)</f>
        <v>262.99</v>
      </c>
      <c r="AE1582" s="32" t="n">
        <f aca="false">AD1582-L1582</f>
        <v>133.84</v>
      </c>
      <c r="AF1582" s="34" t="n">
        <f aca="false">IF(L1582=0,0,AE1582/L1582)</f>
        <v>1.03631436314363</v>
      </c>
      <c r="AG1582" s="22" t="str">
        <f aca="false">IF(AD1582&lt;L1582,"PASSARO","ATUAL")</f>
        <v>ATUAL</v>
      </c>
      <c r="AH1582" s="22" t="str">
        <f aca="false">IF(P1582&lt;&gt;A1582,"Faixa cadastrada como "&amp;P1582&amp;" na tabela; preço aplicado pela UF do CEP","")</f>
        <v/>
      </c>
      <c r="AI1582" s="26" t="n">
        <v>294.76</v>
      </c>
      <c r="AJ1582" s="22" t="str">
        <f aca="false">INDEX('Tabela Passaro'!$X$2:$X$1795,$N1582)</f>
        <v>CAPITAL</v>
      </c>
    </row>
    <row r="1583" customFormat="false" ht="15" hidden="false" customHeight="false" outlineLevel="0" collapsed="false">
      <c r="A1583" s="22" t="s">
        <v>21</v>
      </c>
      <c r="B1583" s="22" t="n">
        <v>1</v>
      </c>
      <c r="C1583" s="22" t="s">
        <v>167</v>
      </c>
      <c r="D1583" s="22" t="s">
        <v>30</v>
      </c>
      <c r="E1583" s="22" t="s">
        <v>7328</v>
      </c>
      <c r="F1583" s="22" t="n">
        <v>2315669</v>
      </c>
      <c r="G1583" s="30" t="n">
        <v>46258</v>
      </c>
      <c r="H1583" s="22" t="n">
        <v>134395</v>
      </c>
      <c r="I1583" s="22" t="s">
        <v>8781</v>
      </c>
      <c r="J1583" s="31" t="n">
        <v>27.6</v>
      </c>
      <c r="K1583" s="26" t="n">
        <v>721.23</v>
      </c>
      <c r="L1583" s="26" t="n">
        <v>129.14</v>
      </c>
      <c r="M1583" s="22" t="s">
        <v>5498</v>
      </c>
      <c r="N1583" s="22" t="n">
        <f aca="false">MATCH(M1583,'Tabela Passaro'!$A$2:$A$1795,0)</f>
        <v>1329</v>
      </c>
      <c r="O1583" s="22" t="str">
        <f aca="false">INDEX('Tabela Passaro'!$C$2:$C$1795,$N1583)</f>
        <v>TERESINA</v>
      </c>
      <c r="P1583" s="22" t="str">
        <f aca="false">INDEX('Tabela Passaro'!$B$2:$B$1795,$N1583)</f>
        <v>PI</v>
      </c>
      <c r="Q1583" s="22" t="n">
        <f aca="false">INDEX('Tabela Passaro'!$F$2:$F$1795,$N1583)</f>
        <v>10</v>
      </c>
      <c r="R1583" s="32" t="n">
        <f aca="false">IF(J1583&lt;=10,INDEX('Tabela Passaro'!$G$2:$G$1795,$N1583),IF(J1583&lt;=30,INDEX('Tabela Passaro'!$H$2:$H$1795,$N1583),IF(J1583&lt;=50,INDEX('Tabela Passaro'!$I$2:$I$1795,$N1583),IF(J1583&lt;=70,INDEX('Tabela Passaro'!$J$2:$J$1795,$N1583),IF(J1583&lt;=100,INDEX('Tabela Passaro'!$K$2:$K$1795,$N1583),INDEX('Tabela Passaro'!$K$2:$K$1795,$N1583)+(J1583-100)*INDEX('Tabela Passaro'!$L$2:$L$1795,$N1583))))))</f>
        <v>199.53</v>
      </c>
      <c r="S1583" s="32" t="n">
        <f aca="false">K1583*INDEX('Tabela Passaro'!$M$2:$M$1795,$N1583)</f>
        <v>3.60615</v>
      </c>
      <c r="T1583" s="32" t="n">
        <f aca="false">K1583*INDEX('Tabela Passaro'!$N$2:$N$1795,$N1583)</f>
        <v>1.44246</v>
      </c>
      <c r="U1583" s="32" t="n">
        <f aca="false">INDEX('Tabela Passaro'!$O$2:$O$1795,$N1583)</f>
        <v>5</v>
      </c>
      <c r="V1583" s="32" t="n">
        <f aca="false">ROUNDUP(J1583/INDEX('Tabela Passaro'!$Q$2:$Q$1795,$N1583),0)*INDEX('Tabela Passaro'!$P$2:$P$1795,$N1583)</f>
        <v>5</v>
      </c>
      <c r="W1583" s="32" t="n">
        <f aca="false">INDEX('Tabela Passaro'!$R$2:$R$1795,$N1583)</f>
        <v>30</v>
      </c>
      <c r="X1583" s="32" t="n">
        <f aca="false">ROUNDUP(J1583/INDEX('Tabela Passaro'!$T$2:$T$1795,$N1583),0)*INDEX('Tabela Passaro'!$S$2:$S$1795,$N1583)</f>
        <v>0</v>
      </c>
      <c r="Y1583" s="32" t="n">
        <f aca="false">INDEX('Tabela Passaro'!$U$2:$U$1795,$N1583)</f>
        <v>0</v>
      </c>
      <c r="Z1583" s="32" t="n">
        <f aca="false">INDEX('Tabela Passaro'!$V$2:$V$1795,$N1583)</f>
        <v>0</v>
      </c>
      <c r="AA1583" s="32" t="n">
        <f aca="false">SUM(R1583:Z1583)</f>
        <v>244.57861</v>
      </c>
      <c r="AB1583" s="33" t="n">
        <f aca="false">INDEX(Premissas!$B$5:$B$13,MATCH(A1583,Premissas!$A$5:$A$13,0))</f>
        <v>0.07</v>
      </c>
      <c r="AC1583" s="32" t="n">
        <f aca="false">AA1583/(1-AB1583)-AA1583</f>
        <v>18.4091426881721</v>
      </c>
      <c r="AD1583" s="32" t="n">
        <f aca="false">ROUND(AA1583+AC1583,2)</f>
        <v>262.99</v>
      </c>
      <c r="AE1583" s="32" t="n">
        <f aca="false">AD1583-L1583</f>
        <v>133.85</v>
      </c>
      <c r="AF1583" s="34" t="n">
        <f aca="false">IF(L1583=0,0,AE1583/L1583)</f>
        <v>1.03647204584172</v>
      </c>
      <c r="AG1583" s="22" t="str">
        <f aca="false">IF(AD1583&lt;L1583,"PASSARO","ATUAL")</f>
        <v>ATUAL</v>
      </c>
      <c r="AH1583" s="22" t="str">
        <f aca="false">IF(P1583&lt;&gt;A1583,"Faixa cadastrada como "&amp;P1583&amp;" na tabela; preço aplicado pela UF do CEP","")</f>
        <v/>
      </c>
      <c r="AI1583" s="26" t="n">
        <v>294.75</v>
      </c>
      <c r="AJ1583" s="22" t="str">
        <f aca="false">INDEX('Tabela Passaro'!$X$2:$X$1795,$N1583)</f>
        <v>CAPITAL</v>
      </c>
    </row>
    <row r="1584" customFormat="false" ht="15" hidden="false" customHeight="false" outlineLevel="0" collapsed="false">
      <c r="A1584" s="22" t="s">
        <v>21</v>
      </c>
      <c r="B1584" s="22" t="n">
        <v>1</v>
      </c>
      <c r="C1584" s="22" t="s">
        <v>167</v>
      </c>
      <c r="D1584" s="22" t="s">
        <v>30</v>
      </c>
      <c r="E1584" s="22" t="s">
        <v>7328</v>
      </c>
      <c r="F1584" s="22" t="n">
        <v>2315824</v>
      </c>
      <c r="G1584" s="30" t="n">
        <v>46258</v>
      </c>
      <c r="H1584" s="22" t="n">
        <v>134964</v>
      </c>
      <c r="I1584" s="22" t="s">
        <v>8772</v>
      </c>
      <c r="J1584" s="31" t="n">
        <v>124.2</v>
      </c>
      <c r="K1584" s="26" t="n">
        <v>2063.33</v>
      </c>
      <c r="L1584" s="26" t="n">
        <v>333.51</v>
      </c>
      <c r="M1584" s="22" t="s">
        <v>5498</v>
      </c>
      <c r="N1584" s="22" t="n">
        <f aca="false">MATCH(M1584,'Tabela Passaro'!$A$2:$A$1795,0)</f>
        <v>1329</v>
      </c>
      <c r="O1584" s="22" t="str">
        <f aca="false">INDEX('Tabela Passaro'!$C$2:$C$1795,$N1584)</f>
        <v>TERESINA</v>
      </c>
      <c r="P1584" s="22" t="str">
        <f aca="false">INDEX('Tabela Passaro'!$B$2:$B$1795,$N1584)</f>
        <v>PI</v>
      </c>
      <c r="Q1584" s="22" t="n">
        <f aca="false">INDEX('Tabela Passaro'!$F$2:$F$1795,$N1584)</f>
        <v>10</v>
      </c>
      <c r="R1584" s="32" t="n">
        <f aca="false">IF(J1584&lt;=10,INDEX('Tabela Passaro'!$G$2:$G$1795,$N1584),IF(J1584&lt;=30,INDEX('Tabela Passaro'!$H$2:$H$1795,$N1584),IF(J1584&lt;=50,INDEX('Tabela Passaro'!$I$2:$I$1795,$N1584),IF(J1584&lt;=70,INDEX('Tabela Passaro'!$J$2:$J$1795,$N1584),IF(J1584&lt;=100,INDEX('Tabela Passaro'!$K$2:$K$1795,$N1584),INDEX('Tabela Passaro'!$K$2:$K$1795,$N1584)+(J1584-100)*INDEX('Tabela Passaro'!$L$2:$L$1795,$N1584))))))</f>
        <v>308.332</v>
      </c>
      <c r="S1584" s="32" t="n">
        <f aca="false">K1584*INDEX('Tabela Passaro'!$M$2:$M$1795,$N1584)</f>
        <v>10.31665</v>
      </c>
      <c r="T1584" s="32" t="n">
        <f aca="false">K1584*INDEX('Tabela Passaro'!$N$2:$N$1795,$N1584)</f>
        <v>4.12666</v>
      </c>
      <c r="U1584" s="32" t="n">
        <f aca="false">INDEX('Tabela Passaro'!$O$2:$O$1795,$N1584)</f>
        <v>5</v>
      </c>
      <c r="V1584" s="32" t="n">
        <f aca="false">ROUNDUP(J1584/INDEX('Tabela Passaro'!$Q$2:$Q$1795,$N1584),0)*INDEX('Tabela Passaro'!$P$2:$P$1795,$N1584)</f>
        <v>10</v>
      </c>
      <c r="W1584" s="32" t="n">
        <f aca="false">INDEX('Tabela Passaro'!$R$2:$R$1795,$N1584)</f>
        <v>30</v>
      </c>
      <c r="X1584" s="32" t="n">
        <f aca="false">ROUNDUP(J1584/INDEX('Tabela Passaro'!$T$2:$T$1795,$N1584),0)*INDEX('Tabela Passaro'!$S$2:$S$1795,$N1584)</f>
        <v>0</v>
      </c>
      <c r="Y1584" s="32" t="n">
        <f aca="false">INDEX('Tabela Passaro'!$U$2:$U$1795,$N1584)</f>
        <v>0</v>
      </c>
      <c r="Z1584" s="32" t="n">
        <f aca="false">INDEX('Tabela Passaro'!$V$2:$V$1795,$N1584)</f>
        <v>0</v>
      </c>
      <c r="AA1584" s="32" t="n">
        <f aca="false">SUM(R1584:Z1584)</f>
        <v>367.77531</v>
      </c>
      <c r="AB1584" s="33" t="n">
        <f aca="false">INDEX(Premissas!$B$5:$B$13,MATCH(A1584,Premissas!$A$5:$A$13,0))</f>
        <v>0.07</v>
      </c>
      <c r="AC1584" s="32" t="n">
        <f aca="false">AA1584/(1-AB1584)-AA1584</f>
        <v>27.6820125806452</v>
      </c>
      <c r="AD1584" s="32" t="n">
        <f aca="false">ROUND(AA1584+AC1584,2)</f>
        <v>395.46</v>
      </c>
      <c r="AE1584" s="32" t="n">
        <f aca="false">AD1584-L1584</f>
        <v>61.95</v>
      </c>
      <c r="AF1584" s="34" t="n">
        <f aca="false">IF(L1584=0,0,AE1584/L1584)</f>
        <v>0.185751551677611</v>
      </c>
      <c r="AG1584" s="22" t="str">
        <f aca="false">IF(AD1584&lt;L1584,"PASSARO","ATUAL")</f>
        <v>ATUAL</v>
      </c>
      <c r="AH1584" s="22" t="str">
        <f aca="false">IF(P1584&lt;&gt;A1584,"Faixa cadastrada como "&amp;P1584&amp;" na tabela; preço aplicado pela UF do CEP","")</f>
        <v/>
      </c>
      <c r="AI1584" s="26" t="n">
        <v>487.47</v>
      </c>
      <c r="AJ1584" s="22" t="str">
        <f aca="false">INDEX('Tabela Passaro'!$X$2:$X$1795,$N1584)</f>
        <v>CAPITAL</v>
      </c>
    </row>
    <row r="1585" customFormat="false" ht="15" hidden="false" customHeight="false" outlineLevel="0" collapsed="false">
      <c r="A1585" s="22" t="s">
        <v>21</v>
      </c>
      <c r="B1585" s="22" t="n">
        <v>1</v>
      </c>
      <c r="C1585" s="22" t="s">
        <v>167</v>
      </c>
      <c r="D1585" s="22" t="s">
        <v>30</v>
      </c>
      <c r="E1585" s="22" t="s">
        <v>7328</v>
      </c>
      <c r="F1585" s="22" t="n">
        <v>2315846</v>
      </c>
      <c r="G1585" s="30" t="n">
        <v>46258</v>
      </c>
      <c r="H1585" s="22" t="n">
        <v>135114</v>
      </c>
      <c r="I1585" s="22" t="s">
        <v>8782</v>
      </c>
      <c r="J1585" s="31" t="n">
        <v>27.6</v>
      </c>
      <c r="K1585" s="26" t="n">
        <v>295.46</v>
      </c>
      <c r="L1585" s="26" t="n">
        <v>125.78</v>
      </c>
      <c r="M1585" s="22" t="s">
        <v>5498</v>
      </c>
      <c r="N1585" s="22" t="n">
        <f aca="false">MATCH(M1585,'Tabela Passaro'!$A$2:$A$1795,0)</f>
        <v>1329</v>
      </c>
      <c r="O1585" s="22" t="str">
        <f aca="false">INDEX('Tabela Passaro'!$C$2:$C$1795,$N1585)</f>
        <v>TERESINA</v>
      </c>
      <c r="P1585" s="22" t="str">
        <f aca="false">INDEX('Tabela Passaro'!$B$2:$B$1795,$N1585)</f>
        <v>PI</v>
      </c>
      <c r="Q1585" s="22" t="n">
        <f aca="false">INDEX('Tabela Passaro'!$F$2:$F$1795,$N1585)</f>
        <v>10</v>
      </c>
      <c r="R1585" s="32" t="n">
        <f aca="false">IF(J1585&lt;=10,INDEX('Tabela Passaro'!$G$2:$G$1795,$N1585),IF(J1585&lt;=30,INDEX('Tabela Passaro'!$H$2:$H$1795,$N1585),IF(J1585&lt;=50,INDEX('Tabela Passaro'!$I$2:$I$1795,$N1585),IF(J1585&lt;=70,INDEX('Tabela Passaro'!$J$2:$J$1795,$N1585),IF(J1585&lt;=100,INDEX('Tabela Passaro'!$K$2:$K$1795,$N1585),INDEX('Tabela Passaro'!$K$2:$K$1795,$N1585)+(J1585-100)*INDEX('Tabela Passaro'!$L$2:$L$1795,$N1585))))))</f>
        <v>199.53</v>
      </c>
      <c r="S1585" s="32" t="n">
        <f aca="false">K1585*INDEX('Tabela Passaro'!$M$2:$M$1795,$N1585)</f>
        <v>1.4773</v>
      </c>
      <c r="T1585" s="32" t="n">
        <f aca="false">K1585*INDEX('Tabela Passaro'!$N$2:$N$1795,$N1585)</f>
        <v>0.59092</v>
      </c>
      <c r="U1585" s="32" t="n">
        <f aca="false">INDEX('Tabela Passaro'!$O$2:$O$1795,$N1585)</f>
        <v>5</v>
      </c>
      <c r="V1585" s="32" t="n">
        <f aca="false">ROUNDUP(J1585/INDEX('Tabela Passaro'!$Q$2:$Q$1795,$N1585),0)*INDEX('Tabela Passaro'!$P$2:$P$1795,$N1585)</f>
        <v>5</v>
      </c>
      <c r="W1585" s="32" t="n">
        <f aca="false">INDEX('Tabela Passaro'!$R$2:$R$1795,$N1585)</f>
        <v>30</v>
      </c>
      <c r="X1585" s="32" t="n">
        <f aca="false">ROUNDUP(J1585/INDEX('Tabela Passaro'!$T$2:$T$1795,$N1585),0)*INDEX('Tabela Passaro'!$S$2:$S$1795,$N1585)</f>
        <v>0</v>
      </c>
      <c r="Y1585" s="32" t="n">
        <f aca="false">INDEX('Tabela Passaro'!$U$2:$U$1795,$N1585)</f>
        <v>0</v>
      </c>
      <c r="Z1585" s="32" t="n">
        <f aca="false">INDEX('Tabela Passaro'!$V$2:$V$1795,$N1585)</f>
        <v>0</v>
      </c>
      <c r="AA1585" s="32" t="n">
        <f aca="false">SUM(R1585:Z1585)</f>
        <v>241.59822</v>
      </c>
      <c r="AB1585" s="33" t="n">
        <f aca="false">INDEX(Premissas!$B$5:$B$13,MATCH(A1585,Premissas!$A$5:$A$13,0))</f>
        <v>0.07</v>
      </c>
      <c r="AC1585" s="32" t="n">
        <f aca="false">AA1585/(1-AB1585)-AA1585</f>
        <v>18.1848122580645</v>
      </c>
      <c r="AD1585" s="32" t="n">
        <f aca="false">ROUND(AA1585+AC1585,2)</f>
        <v>259.78</v>
      </c>
      <c r="AE1585" s="32" t="n">
        <f aca="false">AD1585-L1585</f>
        <v>134</v>
      </c>
      <c r="AF1585" s="34" t="n">
        <f aca="false">IF(L1585=0,0,AE1585/L1585)</f>
        <v>1.06535220225791</v>
      </c>
      <c r="AG1585" s="22" t="str">
        <f aca="false">IF(AD1585&lt;L1585,"PASSARO","ATUAL")</f>
        <v>ATUAL</v>
      </c>
      <c r="AH1585" s="22" t="str">
        <f aca="false">IF(P1585&lt;&gt;A1585,"Faixa cadastrada como "&amp;P1585&amp;" na tabela; preço aplicado pela UF do CEP","")</f>
        <v/>
      </c>
      <c r="AI1585" s="26" t="n">
        <v>290.63</v>
      </c>
      <c r="AJ1585" s="22" t="str">
        <f aca="false">INDEX('Tabela Passaro'!$X$2:$X$1795,$N1585)</f>
        <v>CAPITAL</v>
      </c>
    </row>
    <row r="1586" customFormat="false" ht="15" hidden="false" customHeight="false" outlineLevel="0" collapsed="false">
      <c r="A1586" s="22" t="s">
        <v>21</v>
      </c>
      <c r="B1586" s="22" t="n">
        <v>1</v>
      </c>
      <c r="C1586" s="22" t="s">
        <v>167</v>
      </c>
      <c r="D1586" s="22" t="s">
        <v>30</v>
      </c>
      <c r="E1586" s="22" t="s">
        <v>7328</v>
      </c>
      <c r="F1586" s="22" t="n">
        <v>2315810</v>
      </c>
      <c r="G1586" s="30" t="n">
        <v>46258</v>
      </c>
      <c r="H1586" s="22" t="n">
        <v>135322</v>
      </c>
      <c r="I1586" s="22" t="s">
        <v>8783</v>
      </c>
      <c r="J1586" s="31" t="n">
        <v>81.5</v>
      </c>
      <c r="K1586" s="26" t="n">
        <v>1306.97</v>
      </c>
      <c r="L1586" s="26" t="n">
        <v>263.54</v>
      </c>
      <c r="M1586" s="22" t="s">
        <v>5498</v>
      </c>
      <c r="N1586" s="22" t="n">
        <f aca="false">MATCH(M1586,'Tabela Passaro'!$A$2:$A$1795,0)</f>
        <v>1329</v>
      </c>
      <c r="O1586" s="22" t="str">
        <f aca="false">INDEX('Tabela Passaro'!$C$2:$C$1795,$N1586)</f>
        <v>TERESINA</v>
      </c>
      <c r="P1586" s="22" t="str">
        <f aca="false">INDEX('Tabela Passaro'!$B$2:$B$1795,$N1586)</f>
        <v>PI</v>
      </c>
      <c r="Q1586" s="22" t="n">
        <f aca="false">INDEX('Tabela Passaro'!$F$2:$F$1795,$N1586)</f>
        <v>10</v>
      </c>
      <c r="R1586" s="32" t="n">
        <f aca="false">IF(J1586&lt;=10,INDEX('Tabela Passaro'!$G$2:$G$1795,$N1586),IF(J1586&lt;=30,INDEX('Tabela Passaro'!$H$2:$H$1795,$N1586),IF(J1586&lt;=50,INDEX('Tabela Passaro'!$I$2:$I$1795,$N1586),IF(J1586&lt;=70,INDEX('Tabela Passaro'!$J$2:$J$1795,$N1586),IF(J1586&lt;=100,INDEX('Tabela Passaro'!$K$2:$K$1795,$N1586),INDEX('Tabela Passaro'!$K$2:$K$1795,$N1586)+(J1586-100)*INDEX('Tabela Passaro'!$L$2:$L$1795,$N1586))))))</f>
        <v>254.85</v>
      </c>
      <c r="S1586" s="32" t="n">
        <f aca="false">K1586*INDEX('Tabela Passaro'!$M$2:$M$1795,$N1586)</f>
        <v>6.53485</v>
      </c>
      <c r="T1586" s="32" t="n">
        <f aca="false">K1586*INDEX('Tabela Passaro'!$N$2:$N$1795,$N1586)</f>
        <v>2.61394</v>
      </c>
      <c r="U1586" s="32" t="n">
        <f aca="false">INDEX('Tabela Passaro'!$O$2:$O$1795,$N1586)</f>
        <v>5</v>
      </c>
      <c r="V1586" s="32" t="n">
        <f aca="false">ROUNDUP(J1586/INDEX('Tabela Passaro'!$Q$2:$Q$1795,$N1586),0)*INDEX('Tabela Passaro'!$P$2:$P$1795,$N1586)</f>
        <v>5</v>
      </c>
      <c r="W1586" s="32" t="n">
        <f aca="false">INDEX('Tabela Passaro'!$R$2:$R$1795,$N1586)</f>
        <v>30</v>
      </c>
      <c r="X1586" s="32" t="n">
        <f aca="false">ROUNDUP(J1586/INDEX('Tabela Passaro'!$T$2:$T$1795,$N1586),0)*INDEX('Tabela Passaro'!$S$2:$S$1795,$N1586)</f>
        <v>0</v>
      </c>
      <c r="Y1586" s="32" t="n">
        <f aca="false">INDEX('Tabela Passaro'!$U$2:$U$1795,$N1586)</f>
        <v>0</v>
      </c>
      <c r="Z1586" s="32" t="n">
        <f aca="false">INDEX('Tabela Passaro'!$V$2:$V$1795,$N1586)</f>
        <v>0</v>
      </c>
      <c r="AA1586" s="32" t="n">
        <f aca="false">SUM(R1586:Z1586)</f>
        <v>303.99879</v>
      </c>
      <c r="AB1586" s="33" t="n">
        <f aca="false">INDEX(Premissas!$B$5:$B$13,MATCH(A1586,Premissas!$A$5:$A$13,0))</f>
        <v>0.07</v>
      </c>
      <c r="AC1586" s="32" t="n">
        <f aca="false">AA1586/(1-AB1586)-AA1586</f>
        <v>22.8816293548387</v>
      </c>
      <c r="AD1586" s="32" t="n">
        <f aca="false">ROUND(AA1586+AC1586,2)</f>
        <v>326.88</v>
      </c>
      <c r="AE1586" s="32" t="n">
        <f aca="false">AD1586-L1586</f>
        <v>63.34</v>
      </c>
      <c r="AF1586" s="34" t="n">
        <f aca="false">IF(L1586=0,0,AE1586/L1586)</f>
        <v>0.240343021932154</v>
      </c>
      <c r="AG1586" s="22" t="str">
        <f aca="false">IF(AD1586&lt;L1586,"PASSARO","ATUAL")</f>
        <v>ATUAL</v>
      </c>
      <c r="AH1586" s="22" t="str">
        <f aca="false">IF(P1586&lt;&gt;A1586,"Faixa cadastrada como "&amp;P1586&amp;" na tabela; preço aplicado pela UF do CEP","")</f>
        <v/>
      </c>
      <c r="AI1586" s="26" t="n">
        <v>389.17</v>
      </c>
      <c r="AJ1586" s="22" t="str">
        <f aca="false">INDEX('Tabela Passaro'!$X$2:$X$1795,$N1586)</f>
        <v>CAPITAL</v>
      </c>
    </row>
    <row r="1587" customFormat="false" ht="15" hidden="false" customHeight="false" outlineLevel="0" collapsed="false">
      <c r="A1587" s="22" t="s">
        <v>21</v>
      </c>
      <c r="B1587" s="22" t="n">
        <v>1</v>
      </c>
      <c r="C1587" s="22" t="s">
        <v>167</v>
      </c>
      <c r="D1587" s="22" t="s">
        <v>30</v>
      </c>
      <c r="E1587" s="22" t="s">
        <v>7328</v>
      </c>
      <c r="F1587" s="22" t="n">
        <v>2315795</v>
      </c>
      <c r="G1587" s="30" t="n">
        <v>46258</v>
      </c>
      <c r="H1587" s="22" t="n">
        <v>135329</v>
      </c>
      <c r="I1587" s="22" t="s">
        <v>8784</v>
      </c>
      <c r="J1587" s="31" t="n">
        <v>61.3</v>
      </c>
      <c r="K1587" s="26" t="n">
        <v>991.83</v>
      </c>
      <c r="L1587" s="26" t="n">
        <v>205.13</v>
      </c>
      <c r="M1587" s="22" t="s">
        <v>5498</v>
      </c>
      <c r="N1587" s="22" t="n">
        <f aca="false">MATCH(M1587,'Tabela Passaro'!$A$2:$A$1795,0)</f>
        <v>1329</v>
      </c>
      <c r="O1587" s="22" t="str">
        <f aca="false">INDEX('Tabela Passaro'!$C$2:$C$1795,$N1587)</f>
        <v>TERESINA</v>
      </c>
      <c r="P1587" s="22" t="str">
        <f aca="false">INDEX('Tabela Passaro'!$B$2:$B$1795,$N1587)</f>
        <v>PI</v>
      </c>
      <c r="Q1587" s="22" t="n">
        <f aca="false">INDEX('Tabela Passaro'!$F$2:$F$1795,$N1587)</f>
        <v>10</v>
      </c>
      <c r="R1587" s="32" t="n">
        <f aca="false">IF(J1587&lt;=10,INDEX('Tabela Passaro'!$G$2:$G$1795,$N1587),IF(J1587&lt;=30,INDEX('Tabela Passaro'!$H$2:$H$1795,$N1587),IF(J1587&lt;=50,INDEX('Tabela Passaro'!$I$2:$I$1795,$N1587),IF(J1587&lt;=70,INDEX('Tabela Passaro'!$J$2:$J$1795,$N1587),IF(J1587&lt;=100,INDEX('Tabela Passaro'!$K$2:$K$1795,$N1587),INDEX('Tabela Passaro'!$K$2:$K$1795,$N1587)+(J1587-100)*INDEX('Tabela Passaro'!$L$2:$L$1795,$N1587))))))</f>
        <v>238.26</v>
      </c>
      <c r="S1587" s="32" t="n">
        <f aca="false">K1587*INDEX('Tabela Passaro'!$M$2:$M$1795,$N1587)</f>
        <v>4.95915</v>
      </c>
      <c r="T1587" s="32" t="n">
        <f aca="false">K1587*INDEX('Tabela Passaro'!$N$2:$N$1795,$N1587)</f>
        <v>1.98366</v>
      </c>
      <c r="U1587" s="32" t="n">
        <f aca="false">INDEX('Tabela Passaro'!$O$2:$O$1795,$N1587)</f>
        <v>5</v>
      </c>
      <c r="V1587" s="32" t="n">
        <f aca="false">ROUNDUP(J1587/INDEX('Tabela Passaro'!$Q$2:$Q$1795,$N1587),0)*INDEX('Tabela Passaro'!$P$2:$P$1795,$N1587)</f>
        <v>5</v>
      </c>
      <c r="W1587" s="32" t="n">
        <f aca="false">INDEX('Tabela Passaro'!$R$2:$R$1795,$N1587)</f>
        <v>30</v>
      </c>
      <c r="X1587" s="32" t="n">
        <f aca="false">ROUNDUP(J1587/INDEX('Tabela Passaro'!$T$2:$T$1795,$N1587),0)*INDEX('Tabela Passaro'!$S$2:$S$1795,$N1587)</f>
        <v>0</v>
      </c>
      <c r="Y1587" s="32" t="n">
        <f aca="false">INDEX('Tabela Passaro'!$U$2:$U$1795,$N1587)</f>
        <v>0</v>
      </c>
      <c r="Z1587" s="32" t="n">
        <f aca="false">INDEX('Tabela Passaro'!$V$2:$V$1795,$N1587)</f>
        <v>0</v>
      </c>
      <c r="AA1587" s="32" t="n">
        <f aca="false">SUM(R1587:Z1587)</f>
        <v>285.20281</v>
      </c>
      <c r="AB1587" s="33" t="n">
        <f aca="false">INDEX(Premissas!$B$5:$B$13,MATCH(A1587,Premissas!$A$5:$A$13,0))</f>
        <v>0.07</v>
      </c>
      <c r="AC1587" s="32" t="n">
        <f aca="false">AA1587/(1-AB1587)-AA1587</f>
        <v>21.466878172043</v>
      </c>
      <c r="AD1587" s="32" t="n">
        <f aca="false">ROUND(AA1587+AC1587,2)</f>
        <v>306.67</v>
      </c>
      <c r="AE1587" s="32" t="n">
        <f aca="false">AD1587-L1587</f>
        <v>101.54</v>
      </c>
      <c r="AF1587" s="34" t="n">
        <f aca="false">IF(L1587=0,0,AE1587/L1587)</f>
        <v>0.495003168722274</v>
      </c>
      <c r="AG1587" s="22" t="str">
        <f aca="false">IF(AD1587&lt;L1587,"PASSARO","ATUAL")</f>
        <v>ATUAL</v>
      </c>
      <c r="AH1587" s="22" t="str">
        <f aca="false">IF(P1587&lt;&gt;A1587,"Faixa cadastrada como "&amp;P1587&amp;" na tabela; preço aplicado pela UF do CEP","")</f>
        <v/>
      </c>
      <c r="AI1587" s="26" t="n">
        <v>357.66</v>
      </c>
      <c r="AJ1587" s="22" t="str">
        <f aca="false">INDEX('Tabela Passaro'!$X$2:$X$1795,$N1587)</f>
        <v>CAPITAL</v>
      </c>
    </row>
    <row r="1588" customFormat="false" ht="15" hidden="false" customHeight="false" outlineLevel="0" collapsed="false">
      <c r="A1588" s="22" t="s">
        <v>21</v>
      </c>
      <c r="B1588" s="22" t="n">
        <v>1</v>
      </c>
      <c r="C1588" s="22" t="s">
        <v>167</v>
      </c>
      <c r="D1588" s="22" t="s">
        <v>30</v>
      </c>
      <c r="E1588" s="22" t="s">
        <v>7326</v>
      </c>
      <c r="F1588" s="22" t="n">
        <v>526892</v>
      </c>
      <c r="G1588" s="30" t="n">
        <v>46258</v>
      </c>
      <c r="H1588" s="22" t="n">
        <v>627924</v>
      </c>
      <c r="I1588" s="22" t="s">
        <v>8785</v>
      </c>
      <c r="J1588" s="31" t="n">
        <v>11.19</v>
      </c>
      <c r="K1588" s="26" t="n">
        <v>951.18</v>
      </c>
      <c r="L1588" s="26" t="n">
        <v>80.7</v>
      </c>
      <c r="M1588" s="22" t="s">
        <v>5498</v>
      </c>
      <c r="N1588" s="22" t="n">
        <f aca="false">MATCH(M1588,'Tabela Passaro'!$A$2:$A$1795,0)</f>
        <v>1329</v>
      </c>
      <c r="O1588" s="22" t="str">
        <f aca="false">INDEX('Tabela Passaro'!$C$2:$C$1795,$N1588)</f>
        <v>TERESINA</v>
      </c>
      <c r="P1588" s="22" t="str">
        <f aca="false">INDEX('Tabela Passaro'!$B$2:$B$1795,$N1588)</f>
        <v>PI</v>
      </c>
      <c r="Q1588" s="22" t="n">
        <f aca="false">INDEX('Tabela Passaro'!$F$2:$F$1795,$N1588)</f>
        <v>10</v>
      </c>
      <c r="R1588" s="32" t="n">
        <f aca="false">IF(J1588&lt;=10,INDEX('Tabela Passaro'!$G$2:$G$1795,$N1588),IF(J1588&lt;=30,INDEX('Tabela Passaro'!$H$2:$H$1795,$N1588),IF(J1588&lt;=50,INDEX('Tabela Passaro'!$I$2:$I$1795,$N1588),IF(J1588&lt;=70,INDEX('Tabela Passaro'!$J$2:$J$1795,$N1588),IF(J1588&lt;=100,INDEX('Tabela Passaro'!$K$2:$K$1795,$N1588),INDEX('Tabela Passaro'!$K$2:$K$1795,$N1588)+(J1588-100)*INDEX('Tabela Passaro'!$L$2:$L$1795,$N1588))))))</f>
        <v>199.53</v>
      </c>
      <c r="S1588" s="32" t="n">
        <f aca="false">K1588*INDEX('Tabela Passaro'!$M$2:$M$1795,$N1588)</f>
        <v>4.7559</v>
      </c>
      <c r="T1588" s="32" t="n">
        <f aca="false">K1588*INDEX('Tabela Passaro'!$N$2:$N$1795,$N1588)</f>
        <v>1.90236</v>
      </c>
      <c r="U1588" s="32" t="n">
        <f aca="false">INDEX('Tabela Passaro'!$O$2:$O$1795,$N1588)</f>
        <v>5</v>
      </c>
      <c r="V1588" s="32" t="n">
        <f aca="false">ROUNDUP(J1588/INDEX('Tabela Passaro'!$Q$2:$Q$1795,$N1588),0)*INDEX('Tabela Passaro'!$P$2:$P$1795,$N1588)</f>
        <v>5</v>
      </c>
      <c r="W1588" s="32" t="n">
        <f aca="false">INDEX('Tabela Passaro'!$R$2:$R$1795,$N1588)</f>
        <v>30</v>
      </c>
      <c r="X1588" s="32" t="n">
        <f aca="false">ROUNDUP(J1588/INDEX('Tabela Passaro'!$T$2:$T$1795,$N1588),0)*INDEX('Tabela Passaro'!$S$2:$S$1795,$N1588)</f>
        <v>0</v>
      </c>
      <c r="Y1588" s="32" t="n">
        <f aca="false">INDEX('Tabela Passaro'!$U$2:$U$1795,$N1588)</f>
        <v>0</v>
      </c>
      <c r="Z1588" s="32" t="n">
        <f aca="false">INDEX('Tabela Passaro'!$V$2:$V$1795,$N1588)</f>
        <v>0</v>
      </c>
      <c r="AA1588" s="32" t="n">
        <f aca="false">SUM(R1588:Z1588)</f>
        <v>246.18826</v>
      </c>
      <c r="AB1588" s="33" t="n">
        <f aca="false">INDEX(Premissas!$B$5:$B$13,MATCH(A1588,Premissas!$A$5:$A$13,0))</f>
        <v>0.07</v>
      </c>
      <c r="AC1588" s="32" t="n">
        <f aca="false">AA1588/(1-AB1588)-AA1588</f>
        <v>18.530299139785</v>
      </c>
      <c r="AD1588" s="32" t="n">
        <f aca="false">ROUND(AA1588+AC1588,2)</f>
        <v>264.72</v>
      </c>
      <c r="AE1588" s="32" t="n">
        <f aca="false">AD1588-L1588</f>
        <v>184.02</v>
      </c>
      <c r="AF1588" s="34" t="n">
        <f aca="false">IF(L1588=0,0,AE1588/L1588)</f>
        <v>2.28029739776952</v>
      </c>
      <c r="AG1588" s="22" t="str">
        <f aca="false">IF(AD1588&lt;L1588,"PASSARO","ATUAL")</f>
        <v>ATUAL</v>
      </c>
      <c r="AH1588" s="22" t="str">
        <f aca="false">IF(P1588&lt;&gt;A1588,"Faixa cadastrada como "&amp;P1588&amp;" na tabela; preço aplicado pela UF do CEP","")</f>
        <v/>
      </c>
      <c r="AI1588" s="26" t="n">
        <v>289.24</v>
      </c>
      <c r="AJ1588" s="22" t="str">
        <f aca="false">INDEX('Tabela Passaro'!$X$2:$X$1795,$N1588)</f>
        <v>CAPITAL</v>
      </c>
    </row>
    <row r="1589" customFormat="false" ht="15" hidden="false" customHeight="false" outlineLevel="0" collapsed="false">
      <c r="A1589" s="22" t="s">
        <v>21</v>
      </c>
      <c r="B1589" s="22" t="n">
        <v>1</v>
      </c>
      <c r="C1589" s="22" t="s">
        <v>167</v>
      </c>
      <c r="D1589" s="22" t="s">
        <v>30</v>
      </c>
      <c r="E1589" s="22" t="s">
        <v>20</v>
      </c>
      <c r="F1589" s="22" t="n">
        <v>840182</v>
      </c>
      <c r="G1589" s="30" t="n">
        <v>46260</v>
      </c>
      <c r="H1589" s="22" t="n">
        <v>32697</v>
      </c>
      <c r="I1589" s="22" t="s">
        <v>8786</v>
      </c>
      <c r="J1589" s="31" t="n">
        <v>60.9</v>
      </c>
      <c r="K1589" s="26" t="n">
        <v>1183.84</v>
      </c>
      <c r="L1589" s="26" t="n">
        <v>185.68</v>
      </c>
      <c r="M1589" s="22" t="s">
        <v>5498</v>
      </c>
      <c r="N1589" s="22" t="n">
        <f aca="false">MATCH(M1589,'Tabela Passaro'!$A$2:$A$1795,0)</f>
        <v>1329</v>
      </c>
      <c r="O1589" s="22" t="str">
        <f aca="false">INDEX('Tabela Passaro'!$C$2:$C$1795,$N1589)</f>
        <v>TERESINA</v>
      </c>
      <c r="P1589" s="22" t="str">
        <f aca="false">INDEX('Tabela Passaro'!$B$2:$B$1795,$N1589)</f>
        <v>PI</v>
      </c>
      <c r="Q1589" s="22" t="n">
        <f aca="false">INDEX('Tabela Passaro'!$F$2:$F$1795,$N1589)</f>
        <v>10</v>
      </c>
      <c r="R1589" s="32" t="n">
        <f aca="false">IF(J1589&lt;=10,INDEX('Tabela Passaro'!$G$2:$G$1795,$N1589),IF(J1589&lt;=30,INDEX('Tabela Passaro'!$H$2:$H$1795,$N1589),IF(J1589&lt;=50,INDEX('Tabela Passaro'!$I$2:$I$1795,$N1589),IF(J1589&lt;=70,INDEX('Tabela Passaro'!$J$2:$J$1795,$N1589),IF(J1589&lt;=100,INDEX('Tabela Passaro'!$K$2:$K$1795,$N1589),INDEX('Tabela Passaro'!$K$2:$K$1795,$N1589)+(J1589-100)*INDEX('Tabela Passaro'!$L$2:$L$1795,$N1589))))))</f>
        <v>238.26</v>
      </c>
      <c r="S1589" s="32" t="n">
        <f aca="false">K1589*INDEX('Tabela Passaro'!$M$2:$M$1795,$N1589)</f>
        <v>5.9192</v>
      </c>
      <c r="T1589" s="32" t="n">
        <f aca="false">K1589*INDEX('Tabela Passaro'!$N$2:$N$1795,$N1589)</f>
        <v>2.36768</v>
      </c>
      <c r="U1589" s="32" t="n">
        <f aca="false">INDEX('Tabela Passaro'!$O$2:$O$1795,$N1589)</f>
        <v>5</v>
      </c>
      <c r="V1589" s="32" t="n">
        <f aca="false">ROUNDUP(J1589/INDEX('Tabela Passaro'!$Q$2:$Q$1795,$N1589),0)*INDEX('Tabela Passaro'!$P$2:$P$1795,$N1589)</f>
        <v>5</v>
      </c>
      <c r="W1589" s="32" t="n">
        <f aca="false">INDEX('Tabela Passaro'!$R$2:$R$1795,$N1589)</f>
        <v>30</v>
      </c>
      <c r="X1589" s="32" t="n">
        <f aca="false">ROUNDUP(J1589/INDEX('Tabela Passaro'!$T$2:$T$1795,$N1589),0)*INDEX('Tabela Passaro'!$S$2:$S$1795,$N1589)</f>
        <v>0</v>
      </c>
      <c r="Y1589" s="32" t="n">
        <f aca="false">INDEX('Tabela Passaro'!$U$2:$U$1795,$N1589)</f>
        <v>0</v>
      </c>
      <c r="Z1589" s="32" t="n">
        <f aca="false">INDEX('Tabela Passaro'!$V$2:$V$1795,$N1589)</f>
        <v>0</v>
      </c>
      <c r="AA1589" s="32" t="n">
        <f aca="false">SUM(R1589:Z1589)</f>
        <v>286.54688</v>
      </c>
      <c r="AB1589" s="33" t="n">
        <f aca="false">INDEX(Premissas!$B$5:$B$13,MATCH(A1589,Premissas!$A$5:$A$13,0))</f>
        <v>0.07</v>
      </c>
      <c r="AC1589" s="32" t="n">
        <f aca="false">AA1589/(1-AB1589)-AA1589</f>
        <v>21.5680447311828</v>
      </c>
      <c r="AD1589" s="32" t="n">
        <f aca="false">ROUND(AA1589+AC1589,2)</f>
        <v>308.11</v>
      </c>
      <c r="AE1589" s="32" t="n">
        <f aca="false">AD1589-L1589</f>
        <v>122.43</v>
      </c>
      <c r="AF1589" s="34" t="n">
        <f aca="false">IF(L1589=0,0,AE1589/L1589)</f>
        <v>0.65936018957346</v>
      </c>
      <c r="AG1589" s="22" t="str">
        <f aca="false">IF(AD1589&lt;L1589,"PASSARO","ATUAL")</f>
        <v>ATUAL</v>
      </c>
      <c r="AH1589" s="22" t="str">
        <f aca="false">IF(P1589&lt;&gt;A1589,"Faixa cadastrada como "&amp;P1589&amp;" na tabela; preço aplicado pela UF do CEP","")</f>
        <v/>
      </c>
      <c r="AI1589" s="26" t="n">
        <v>359.04</v>
      </c>
      <c r="AJ1589" s="22" t="str">
        <f aca="false">INDEX('Tabela Passaro'!$X$2:$X$1795,$N1589)</f>
        <v>CAPITAL</v>
      </c>
    </row>
    <row r="1590" customFormat="false" ht="15" hidden="false" customHeight="false" outlineLevel="0" collapsed="false">
      <c r="A1590" s="22" t="s">
        <v>21</v>
      </c>
      <c r="B1590" s="22" t="n">
        <v>1</v>
      </c>
      <c r="C1590" s="22" t="s">
        <v>167</v>
      </c>
      <c r="D1590" s="22" t="s">
        <v>30</v>
      </c>
      <c r="E1590" s="22" t="s">
        <v>20</v>
      </c>
      <c r="F1590" s="22" t="n">
        <v>840195</v>
      </c>
      <c r="G1590" s="30" t="n">
        <v>46260</v>
      </c>
      <c r="H1590" s="22" t="n">
        <v>32720</v>
      </c>
      <c r="I1590" s="22" t="s">
        <v>8787</v>
      </c>
      <c r="J1590" s="31" t="n">
        <v>106.8</v>
      </c>
      <c r="K1590" s="26" t="n">
        <v>1413.6</v>
      </c>
      <c r="L1590" s="26" t="n">
        <v>266.2</v>
      </c>
      <c r="M1590" s="22" t="s">
        <v>5498</v>
      </c>
      <c r="N1590" s="22" t="n">
        <f aca="false">MATCH(M1590,'Tabela Passaro'!$A$2:$A$1795,0)</f>
        <v>1329</v>
      </c>
      <c r="O1590" s="22" t="str">
        <f aca="false">INDEX('Tabela Passaro'!$C$2:$C$1795,$N1590)</f>
        <v>TERESINA</v>
      </c>
      <c r="P1590" s="22" t="str">
        <f aca="false">INDEX('Tabela Passaro'!$B$2:$B$1795,$N1590)</f>
        <v>PI</v>
      </c>
      <c r="Q1590" s="22" t="n">
        <f aca="false">INDEX('Tabela Passaro'!$F$2:$F$1795,$N1590)</f>
        <v>10</v>
      </c>
      <c r="R1590" s="32" t="n">
        <f aca="false">IF(J1590&lt;=10,INDEX('Tabela Passaro'!$G$2:$G$1795,$N1590),IF(J1590&lt;=30,INDEX('Tabela Passaro'!$H$2:$H$1795,$N1590),IF(J1590&lt;=50,INDEX('Tabela Passaro'!$I$2:$I$1795,$N1590),IF(J1590&lt;=70,INDEX('Tabela Passaro'!$J$2:$J$1795,$N1590),IF(J1590&lt;=100,INDEX('Tabela Passaro'!$K$2:$K$1795,$N1590),INDEX('Tabela Passaro'!$K$2:$K$1795,$N1590)+(J1590-100)*INDEX('Tabela Passaro'!$L$2:$L$1795,$N1590))))))</f>
        <v>269.878</v>
      </c>
      <c r="S1590" s="32" t="n">
        <f aca="false">K1590*INDEX('Tabela Passaro'!$M$2:$M$1795,$N1590)</f>
        <v>7.068</v>
      </c>
      <c r="T1590" s="32" t="n">
        <f aca="false">K1590*INDEX('Tabela Passaro'!$N$2:$N$1795,$N1590)</f>
        <v>2.8272</v>
      </c>
      <c r="U1590" s="32" t="n">
        <f aca="false">INDEX('Tabela Passaro'!$O$2:$O$1795,$N1590)</f>
        <v>5</v>
      </c>
      <c r="V1590" s="32" t="n">
        <f aca="false">ROUNDUP(J1590/INDEX('Tabela Passaro'!$Q$2:$Q$1795,$N1590),0)*INDEX('Tabela Passaro'!$P$2:$P$1795,$N1590)</f>
        <v>10</v>
      </c>
      <c r="W1590" s="32" t="n">
        <f aca="false">INDEX('Tabela Passaro'!$R$2:$R$1795,$N1590)</f>
        <v>30</v>
      </c>
      <c r="X1590" s="32" t="n">
        <f aca="false">ROUNDUP(J1590/INDEX('Tabela Passaro'!$T$2:$T$1795,$N1590),0)*INDEX('Tabela Passaro'!$S$2:$S$1795,$N1590)</f>
        <v>0</v>
      </c>
      <c r="Y1590" s="32" t="n">
        <f aca="false">INDEX('Tabela Passaro'!$U$2:$U$1795,$N1590)</f>
        <v>0</v>
      </c>
      <c r="Z1590" s="32" t="n">
        <f aca="false">INDEX('Tabela Passaro'!$V$2:$V$1795,$N1590)</f>
        <v>0</v>
      </c>
      <c r="AA1590" s="32" t="n">
        <f aca="false">SUM(R1590:Z1590)</f>
        <v>324.7732</v>
      </c>
      <c r="AB1590" s="33" t="n">
        <f aca="false">INDEX(Premissas!$B$5:$B$13,MATCH(A1590,Premissas!$A$5:$A$13,0))</f>
        <v>0.07</v>
      </c>
      <c r="AC1590" s="32" t="n">
        <f aca="false">AA1590/(1-AB1590)-AA1590</f>
        <v>24.4452946236559</v>
      </c>
      <c r="AD1590" s="32" t="n">
        <f aca="false">ROUND(AA1590+AC1590,2)</f>
        <v>349.22</v>
      </c>
      <c r="AE1590" s="32" t="n">
        <f aca="false">AD1590-L1590</f>
        <v>83.02</v>
      </c>
      <c r="AF1590" s="34" t="n">
        <f aca="false">IF(L1590=0,0,AE1590/L1590)</f>
        <v>0.311870773854245</v>
      </c>
      <c r="AG1590" s="22" t="str">
        <f aca="false">IF(AD1590&lt;L1590,"PASSARO","ATUAL")</f>
        <v>ATUAL</v>
      </c>
      <c r="AH1590" s="22" t="str">
        <f aca="false">IF(P1590&lt;&gt;A1590,"Faixa cadastrada como "&amp;P1590&amp;" na tabela; preço aplicado pela UF do CEP","")</f>
        <v/>
      </c>
      <c r="AI1590" s="26" t="n">
        <v>425.89</v>
      </c>
      <c r="AJ1590" s="22" t="str">
        <f aca="false">INDEX('Tabela Passaro'!$X$2:$X$1795,$N1590)</f>
        <v>CAPITAL</v>
      </c>
    </row>
    <row r="1591" customFormat="false" ht="15" hidden="false" customHeight="false" outlineLevel="0" collapsed="false">
      <c r="A1591" s="22" t="s">
        <v>21</v>
      </c>
      <c r="B1591" s="22" t="n">
        <v>1</v>
      </c>
      <c r="C1591" s="22" t="s">
        <v>167</v>
      </c>
      <c r="D1591" s="22" t="s">
        <v>30</v>
      </c>
      <c r="E1591" s="22" t="s">
        <v>7328</v>
      </c>
      <c r="F1591" s="22" t="n">
        <v>2316512</v>
      </c>
      <c r="G1591" s="30" t="n">
        <v>46260</v>
      </c>
      <c r="H1591" s="22" t="n">
        <v>135851</v>
      </c>
      <c r="I1591" s="22" t="s">
        <v>8788</v>
      </c>
      <c r="J1591" s="31" t="n">
        <v>37.2</v>
      </c>
      <c r="K1591" s="26" t="n">
        <v>599.3</v>
      </c>
      <c r="L1591" s="26" t="n">
        <v>168.27</v>
      </c>
      <c r="M1591" s="22" t="s">
        <v>5498</v>
      </c>
      <c r="N1591" s="22" t="n">
        <f aca="false">MATCH(M1591,'Tabela Passaro'!$A$2:$A$1795,0)</f>
        <v>1329</v>
      </c>
      <c r="O1591" s="22" t="str">
        <f aca="false">INDEX('Tabela Passaro'!$C$2:$C$1795,$N1591)</f>
        <v>TERESINA</v>
      </c>
      <c r="P1591" s="22" t="str">
        <f aca="false">INDEX('Tabela Passaro'!$B$2:$B$1795,$N1591)</f>
        <v>PI</v>
      </c>
      <c r="Q1591" s="22" t="n">
        <f aca="false">INDEX('Tabela Passaro'!$F$2:$F$1795,$N1591)</f>
        <v>10</v>
      </c>
      <c r="R1591" s="32" t="n">
        <f aca="false">IF(J1591&lt;=10,INDEX('Tabela Passaro'!$G$2:$G$1795,$N1591),IF(J1591&lt;=30,INDEX('Tabela Passaro'!$H$2:$H$1795,$N1591),IF(J1591&lt;=50,INDEX('Tabela Passaro'!$I$2:$I$1795,$N1591),IF(J1591&lt;=70,INDEX('Tabela Passaro'!$J$2:$J$1795,$N1591),IF(J1591&lt;=100,INDEX('Tabela Passaro'!$K$2:$K$1795,$N1591),INDEX('Tabela Passaro'!$K$2:$K$1795,$N1591)+(J1591-100)*INDEX('Tabela Passaro'!$L$2:$L$1795,$N1591))))))</f>
        <v>221.66</v>
      </c>
      <c r="S1591" s="32" t="n">
        <f aca="false">K1591*INDEX('Tabela Passaro'!$M$2:$M$1795,$N1591)</f>
        <v>2.9965</v>
      </c>
      <c r="T1591" s="32" t="n">
        <f aca="false">K1591*INDEX('Tabela Passaro'!$N$2:$N$1795,$N1591)</f>
        <v>1.1986</v>
      </c>
      <c r="U1591" s="32" t="n">
        <f aca="false">INDEX('Tabela Passaro'!$O$2:$O$1795,$N1591)</f>
        <v>5</v>
      </c>
      <c r="V1591" s="32" t="n">
        <f aca="false">ROUNDUP(J1591/INDEX('Tabela Passaro'!$Q$2:$Q$1795,$N1591),0)*INDEX('Tabela Passaro'!$P$2:$P$1795,$N1591)</f>
        <v>5</v>
      </c>
      <c r="W1591" s="32" t="n">
        <f aca="false">INDEX('Tabela Passaro'!$R$2:$R$1795,$N1591)</f>
        <v>30</v>
      </c>
      <c r="X1591" s="32" t="n">
        <f aca="false">ROUNDUP(J1591/INDEX('Tabela Passaro'!$T$2:$T$1795,$N1591),0)*INDEX('Tabela Passaro'!$S$2:$S$1795,$N1591)</f>
        <v>0</v>
      </c>
      <c r="Y1591" s="32" t="n">
        <f aca="false">INDEX('Tabela Passaro'!$U$2:$U$1795,$N1591)</f>
        <v>0</v>
      </c>
      <c r="Z1591" s="32" t="n">
        <f aca="false">INDEX('Tabela Passaro'!$V$2:$V$1795,$N1591)</f>
        <v>0</v>
      </c>
      <c r="AA1591" s="32" t="n">
        <f aca="false">SUM(R1591:Z1591)</f>
        <v>265.8551</v>
      </c>
      <c r="AB1591" s="33" t="n">
        <f aca="false">INDEX(Premissas!$B$5:$B$13,MATCH(A1591,Premissas!$A$5:$A$13,0))</f>
        <v>0.07</v>
      </c>
      <c r="AC1591" s="32" t="n">
        <f aca="false">AA1591/(1-AB1591)-AA1591</f>
        <v>20.0105989247312</v>
      </c>
      <c r="AD1591" s="32" t="n">
        <f aca="false">ROUND(AA1591+AC1591,2)</f>
        <v>285.87</v>
      </c>
      <c r="AE1591" s="32" t="n">
        <f aca="false">AD1591-L1591</f>
        <v>117.6</v>
      </c>
      <c r="AF1591" s="34" t="n">
        <f aca="false">IF(L1591=0,0,AE1591/L1591)</f>
        <v>0.698876805134605</v>
      </c>
      <c r="AG1591" s="22" t="str">
        <f aca="false">IF(AD1591&lt;L1591,"PASSARO","ATUAL")</f>
        <v>ATUAL</v>
      </c>
      <c r="AH1591" s="22" t="str">
        <f aca="false">IF(P1591&lt;&gt;A1591,"Faixa cadastrada como "&amp;P1591&amp;" na tabela; preço aplicado pela UF do CEP","")</f>
        <v/>
      </c>
      <c r="AI1591" s="26" t="n">
        <v>323.46</v>
      </c>
      <c r="AJ1591" s="22" t="str">
        <f aca="false">INDEX('Tabela Passaro'!$X$2:$X$1795,$N1591)</f>
        <v>CAPITAL</v>
      </c>
    </row>
    <row r="1592" customFormat="false" ht="15" hidden="false" customHeight="false" outlineLevel="0" collapsed="false">
      <c r="A1592" s="22" t="s">
        <v>21</v>
      </c>
      <c r="B1592" s="22" t="n">
        <v>1</v>
      </c>
      <c r="C1592" s="22" t="s">
        <v>167</v>
      </c>
      <c r="D1592" s="22" t="s">
        <v>30</v>
      </c>
      <c r="E1592" s="22" t="s">
        <v>20</v>
      </c>
      <c r="F1592" s="22" t="n">
        <v>840446</v>
      </c>
      <c r="G1592" s="30" t="n">
        <v>46261</v>
      </c>
      <c r="H1592" s="22" t="n">
        <v>32742</v>
      </c>
      <c r="I1592" s="22" t="s">
        <v>8789</v>
      </c>
      <c r="J1592" s="31" t="n">
        <v>59.8</v>
      </c>
      <c r="K1592" s="26" t="n">
        <v>1027.21</v>
      </c>
      <c r="L1592" s="26" t="n">
        <v>184.27</v>
      </c>
      <c r="M1592" s="22" t="s">
        <v>5498</v>
      </c>
      <c r="N1592" s="22" t="n">
        <f aca="false">MATCH(M1592,'Tabela Passaro'!$A$2:$A$1795,0)</f>
        <v>1329</v>
      </c>
      <c r="O1592" s="22" t="str">
        <f aca="false">INDEX('Tabela Passaro'!$C$2:$C$1795,$N1592)</f>
        <v>TERESINA</v>
      </c>
      <c r="P1592" s="22" t="str">
        <f aca="false">INDEX('Tabela Passaro'!$B$2:$B$1795,$N1592)</f>
        <v>PI</v>
      </c>
      <c r="Q1592" s="22" t="n">
        <f aca="false">INDEX('Tabela Passaro'!$F$2:$F$1795,$N1592)</f>
        <v>10</v>
      </c>
      <c r="R1592" s="32" t="n">
        <f aca="false">IF(J1592&lt;=10,INDEX('Tabela Passaro'!$G$2:$G$1795,$N1592),IF(J1592&lt;=30,INDEX('Tabela Passaro'!$H$2:$H$1795,$N1592),IF(J1592&lt;=50,INDEX('Tabela Passaro'!$I$2:$I$1795,$N1592),IF(J1592&lt;=70,INDEX('Tabela Passaro'!$J$2:$J$1795,$N1592),IF(J1592&lt;=100,INDEX('Tabela Passaro'!$K$2:$K$1795,$N1592),INDEX('Tabela Passaro'!$K$2:$K$1795,$N1592)+(J1592-100)*INDEX('Tabela Passaro'!$L$2:$L$1795,$N1592))))))</f>
        <v>238.26</v>
      </c>
      <c r="S1592" s="32" t="n">
        <f aca="false">K1592*INDEX('Tabela Passaro'!$M$2:$M$1795,$N1592)</f>
        <v>5.13605</v>
      </c>
      <c r="T1592" s="32" t="n">
        <f aca="false">K1592*INDEX('Tabela Passaro'!$N$2:$N$1795,$N1592)</f>
        <v>2.05442</v>
      </c>
      <c r="U1592" s="32" t="n">
        <f aca="false">INDEX('Tabela Passaro'!$O$2:$O$1795,$N1592)</f>
        <v>5</v>
      </c>
      <c r="V1592" s="32" t="n">
        <f aca="false">ROUNDUP(J1592/INDEX('Tabela Passaro'!$Q$2:$Q$1795,$N1592),0)*INDEX('Tabela Passaro'!$P$2:$P$1795,$N1592)</f>
        <v>5</v>
      </c>
      <c r="W1592" s="32" t="n">
        <f aca="false">INDEX('Tabela Passaro'!$R$2:$R$1795,$N1592)</f>
        <v>30</v>
      </c>
      <c r="X1592" s="32" t="n">
        <f aca="false">ROUNDUP(J1592/INDEX('Tabela Passaro'!$T$2:$T$1795,$N1592),0)*INDEX('Tabela Passaro'!$S$2:$S$1795,$N1592)</f>
        <v>0</v>
      </c>
      <c r="Y1592" s="32" t="n">
        <f aca="false">INDEX('Tabela Passaro'!$U$2:$U$1795,$N1592)</f>
        <v>0</v>
      </c>
      <c r="Z1592" s="32" t="n">
        <f aca="false">INDEX('Tabela Passaro'!$V$2:$V$1795,$N1592)</f>
        <v>0</v>
      </c>
      <c r="AA1592" s="32" t="n">
        <f aca="false">SUM(R1592:Z1592)</f>
        <v>285.45047</v>
      </c>
      <c r="AB1592" s="33" t="n">
        <f aca="false">INDEX(Premissas!$B$5:$B$13,MATCH(A1592,Premissas!$A$5:$A$13,0))</f>
        <v>0.07</v>
      </c>
      <c r="AC1592" s="32" t="n">
        <f aca="false">AA1592/(1-AB1592)-AA1592</f>
        <v>21.4855192473119</v>
      </c>
      <c r="AD1592" s="32" t="n">
        <f aca="false">ROUND(AA1592+AC1592,2)</f>
        <v>306.94</v>
      </c>
      <c r="AE1592" s="32" t="n">
        <f aca="false">AD1592-L1592</f>
        <v>122.67</v>
      </c>
      <c r="AF1592" s="34" t="n">
        <f aca="false">IF(L1592=0,0,AE1592/L1592)</f>
        <v>0.665707928583057</v>
      </c>
      <c r="AG1592" s="22" t="str">
        <f aca="false">IF(AD1592&lt;L1592,"PASSARO","ATUAL")</f>
        <v>ATUAL</v>
      </c>
      <c r="AH1592" s="22" t="str">
        <f aca="false">IF(P1592&lt;&gt;A1592,"Faixa cadastrada como "&amp;P1592&amp;" na tabela; preço aplicado pela UF do CEP","")</f>
        <v/>
      </c>
      <c r="AI1592" s="26" t="n">
        <v>357.04</v>
      </c>
      <c r="AJ1592" s="22" t="str">
        <f aca="false">INDEX('Tabela Passaro'!$X$2:$X$1795,$N1592)</f>
        <v>CAPITAL</v>
      </c>
    </row>
    <row r="1593" customFormat="false" ht="15" hidden="false" customHeight="false" outlineLevel="0" collapsed="false">
      <c r="A1593" s="22" t="s">
        <v>21</v>
      </c>
      <c r="B1593" s="22" t="n">
        <v>1</v>
      </c>
      <c r="C1593" s="22" t="s">
        <v>167</v>
      </c>
      <c r="D1593" s="22" t="s">
        <v>30</v>
      </c>
      <c r="E1593" s="22" t="s">
        <v>20</v>
      </c>
      <c r="F1593" s="22" t="n">
        <v>840606</v>
      </c>
      <c r="G1593" s="30" t="n">
        <v>46265</v>
      </c>
      <c r="H1593" s="22" t="n">
        <v>32807</v>
      </c>
      <c r="I1593" s="22" t="s">
        <v>8790</v>
      </c>
      <c r="J1593" s="31" t="n">
        <v>97.2</v>
      </c>
      <c r="K1593" s="26" t="n">
        <v>1808.51</v>
      </c>
      <c r="L1593" s="26" t="n">
        <v>239.25</v>
      </c>
      <c r="M1593" s="22" t="s">
        <v>5498</v>
      </c>
      <c r="N1593" s="22" t="n">
        <f aca="false">MATCH(M1593,'Tabela Passaro'!$A$2:$A$1795,0)</f>
        <v>1329</v>
      </c>
      <c r="O1593" s="22" t="str">
        <f aca="false">INDEX('Tabela Passaro'!$C$2:$C$1795,$N1593)</f>
        <v>TERESINA</v>
      </c>
      <c r="P1593" s="22" t="str">
        <f aca="false">INDEX('Tabela Passaro'!$B$2:$B$1795,$N1593)</f>
        <v>PI</v>
      </c>
      <c r="Q1593" s="22" t="n">
        <f aca="false">INDEX('Tabela Passaro'!$F$2:$F$1795,$N1593)</f>
        <v>10</v>
      </c>
      <c r="R1593" s="32" t="n">
        <f aca="false">IF(J1593&lt;=10,INDEX('Tabela Passaro'!$G$2:$G$1795,$N1593),IF(J1593&lt;=30,INDEX('Tabela Passaro'!$H$2:$H$1795,$N1593),IF(J1593&lt;=50,INDEX('Tabela Passaro'!$I$2:$I$1795,$N1593),IF(J1593&lt;=70,INDEX('Tabela Passaro'!$J$2:$J$1795,$N1593),IF(J1593&lt;=100,INDEX('Tabela Passaro'!$K$2:$K$1795,$N1593),INDEX('Tabela Passaro'!$K$2:$K$1795,$N1593)+(J1593-100)*INDEX('Tabela Passaro'!$L$2:$L$1795,$N1593))))))</f>
        <v>254.85</v>
      </c>
      <c r="S1593" s="32" t="n">
        <f aca="false">K1593*INDEX('Tabela Passaro'!$M$2:$M$1795,$N1593)</f>
        <v>9.04255</v>
      </c>
      <c r="T1593" s="32" t="n">
        <f aca="false">K1593*INDEX('Tabela Passaro'!$N$2:$N$1795,$N1593)</f>
        <v>3.61702</v>
      </c>
      <c r="U1593" s="32" t="n">
        <f aca="false">INDEX('Tabela Passaro'!$O$2:$O$1795,$N1593)</f>
        <v>5</v>
      </c>
      <c r="V1593" s="32" t="n">
        <f aca="false">ROUNDUP(J1593/INDEX('Tabela Passaro'!$Q$2:$Q$1795,$N1593),0)*INDEX('Tabela Passaro'!$P$2:$P$1795,$N1593)</f>
        <v>5</v>
      </c>
      <c r="W1593" s="32" t="n">
        <f aca="false">INDEX('Tabela Passaro'!$R$2:$R$1795,$N1593)</f>
        <v>30</v>
      </c>
      <c r="X1593" s="32" t="n">
        <f aca="false">ROUNDUP(J1593/INDEX('Tabela Passaro'!$T$2:$T$1795,$N1593),0)*INDEX('Tabela Passaro'!$S$2:$S$1795,$N1593)</f>
        <v>0</v>
      </c>
      <c r="Y1593" s="32" t="n">
        <f aca="false">INDEX('Tabela Passaro'!$U$2:$U$1795,$N1593)</f>
        <v>0</v>
      </c>
      <c r="Z1593" s="32" t="n">
        <f aca="false">INDEX('Tabela Passaro'!$V$2:$V$1795,$N1593)</f>
        <v>0</v>
      </c>
      <c r="AA1593" s="32" t="n">
        <f aca="false">SUM(R1593:Z1593)</f>
        <v>307.50957</v>
      </c>
      <c r="AB1593" s="33" t="n">
        <f aca="false">INDEX(Premissas!$B$5:$B$13,MATCH(A1593,Premissas!$A$5:$A$13,0))</f>
        <v>0.07</v>
      </c>
      <c r="AC1593" s="32" t="n">
        <f aca="false">AA1593/(1-AB1593)-AA1593</f>
        <v>23.1458816129032</v>
      </c>
      <c r="AD1593" s="32" t="n">
        <f aca="false">ROUND(AA1593+AC1593,2)</f>
        <v>330.66</v>
      </c>
      <c r="AE1593" s="32" t="n">
        <f aca="false">AD1593-L1593</f>
        <v>91.41</v>
      </c>
      <c r="AF1593" s="34" t="n">
        <f aca="false">IF(L1593=0,0,AE1593/L1593)</f>
        <v>0.382068965517242</v>
      </c>
      <c r="AG1593" s="22" t="str">
        <f aca="false">IF(AD1593&lt;L1593,"PASSARO","ATUAL")</f>
        <v>ATUAL</v>
      </c>
      <c r="AH1593" s="22" t="str">
        <f aca="false">IF(P1593&lt;&gt;A1593,"Faixa cadastrada como "&amp;P1593&amp;" na tabela; preço aplicado pela UF do CEP","")</f>
        <v/>
      </c>
      <c r="AI1593" s="26" t="n">
        <v>401.77</v>
      </c>
      <c r="AJ1593" s="22" t="str">
        <f aca="false">INDEX('Tabela Passaro'!$X$2:$X$1795,$N1593)</f>
        <v>CAPITAL</v>
      </c>
    </row>
    <row r="1594" customFormat="false" ht="15" hidden="false" customHeight="false" outlineLevel="0" collapsed="false">
      <c r="A1594" s="22" t="s">
        <v>21</v>
      </c>
      <c r="B1594" s="22" t="n">
        <v>1</v>
      </c>
      <c r="C1594" s="22" t="s">
        <v>167</v>
      </c>
      <c r="D1594" s="22" t="s">
        <v>30</v>
      </c>
      <c r="E1594" s="22" t="s">
        <v>20</v>
      </c>
      <c r="F1594" s="22" t="n">
        <v>840636</v>
      </c>
      <c r="G1594" s="30" t="n">
        <v>46265</v>
      </c>
      <c r="H1594" s="22" t="n">
        <v>32836</v>
      </c>
      <c r="I1594" s="22" t="s">
        <v>8791</v>
      </c>
      <c r="J1594" s="31" t="n">
        <v>22.4</v>
      </c>
      <c r="K1594" s="26" t="n">
        <v>500.93</v>
      </c>
      <c r="L1594" s="26" t="n">
        <v>117.19</v>
      </c>
      <c r="M1594" s="22" t="s">
        <v>5498</v>
      </c>
      <c r="N1594" s="22" t="n">
        <f aca="false">MATCH(M1594,'Tabela Passaro'!$A$2:$A$1795,0)</f>
        <v>1329</v>
      </c>
      <c r="O1594" s="22" t="str">
        <f aca="false">INDEX('Tabela Passaro'!$C$2:$C$1795,$N1594)</f>
        <v>TERESINA</v>
      </c>
      <c r="P1594" s="22" t="str">
        <f aca="false">INDEX('Tabela Passaro'!$B$2:$B$1795,$N1594)</f>
        <v>PI</v>
      </c>
      <c r="Q1594" s="22" t="n">
        <f aca="false">INDEX('Tabela Passaro'!$F$2:$F$1795,$N1594)</f>
        <v>10</v>
      </c>
      <c r="R1594" s="32" t="n">
        <f aca="false">IF(J1594&lt;=10,INDEX('Tabela Passaro'!$G$2:$G$1795,$N1594),IF(J1594&lt;=30,INDEX('Tabela Passaro'!$H$2:$H$1795,$N1594),IF(J1594&lt;=50,INDEX('Tabela Passaro'!$I$2:$I$1795,$N1594),IF(J1594&lt;=70,INDEX('Tabela Passaro'!$J$2:$J$1795,$N1594),IF(J1594&lt;=100,INDEX('Tabela Passaro'!$K$2:$K$1795,$N1594),INDEX('Tabela Passaro'!$K$2:$K$1795,$N1594)+(J1594-100)*INDEX('Tabela Passaro'!$L$2:$L$1795,$N1594))))))</f>
        <v>199.53</v>
      </c>
      <c r="S1594" s="32" t="n">
        <f aca="false">K1594*INDEX('Tabela Passaro'!$M$2:$M$1795,$N1594)</f>
        <v>2.50465</v>
      </c>
      <c r="T1594" s="32" t="n">
        <f aca="false">K1594*INDEX('Tabela Passaro'!$N$2:$N$1795,$N1594)</f>
        <v>1.00186</v>
      </c>
      <c r="U1594" s="32" t="n">
        <f aca="false">INDEX('Tabela Passaro'!$O$2:$O$1795,$N1594)</f>
        <v>5</v>
      </c>
      <c r="V1594" s="32" t="n">
        <f aca="false">ROUNDUP(J1594/INDEX('Tabela Passaro'!$Q$2:$Q$1795,$N1594),0)*INDEX('Tabela Passaro'!$P$2:$P$1795,$N1594)</f>
        <v>5</v>
      </c>
      <c r="W1594" s="32" t="n">
        <f aca="false">INDEX('Tabela Passaro'!$R$2:$R$1795,$N1594)</f>
        <v>30</v>
      </c>
      <c r="X1594" s="32" t="n">
        <f aca="false">ROUNDUP(J1594/INDEX('Tabela Passaro'!$T$2:$T$1795,$N1594),0)*INDEX('Tabela Passaro'!$S$2:$S$1795,$N1594)</f>
        <v>0</v>
      </c>
      <c r="Y1594" s="32" t="n">
        <f aca="false">INDEX('Tabela Passaro'!$U$2:$U$1795,$N1594)</f>
        <v>0</v>
      </c>
      <c r="Z1594" s="32" t="n">
        <f aca="false">INDEX('Tabela Passaro'!$V$2:$V$1795,$N1594)</f>
        <v>0</v>
      </c>
      <c r="AA1594" s="32" t="n">
        <f aca="false">SUM(R1594:Z1594)</f>
        <v>243.03651</v>
      </c>
      <c r="AB1594" s="33" t="n">
        <f aca="false">INDEX(Premissas!$B$5:$B$13,MATCH(A1594,Premissas!$A$5:$A$13,0))</f>
        <v>0.07</v>
      </c>
      <c r="AC1594" s="32" t="n">
        <f aca="false">AA1594/(1-AB1594)-AA1594</f>
        <v>18.2930706451613</v>
      </c>
      <c r="AD1594" s="32" t="n">
        <f aca="false">ROUND(AA1594+AC1594,2)</f>
        <v>261.33</v>
      </c>
      <c r="AE1594" s="32" t="n">
        <f aca="false">AD1594-L1594</f>
        <v>144.14</v>
      </c>
      <c r="AF1594" s="34" t="n">
        <f aca="false">IF(L1594=0,0,AE1594/L1594)</f>
        <v>1.22996842734022</v>
      </c>
      <c r="AG1594" s="22" t="str">
        <f aca="false">IF(AD1594&lt;L1594,"PASSARO","ATUAL")</f>
        <v>ATUAL</v>
      </c>
      <c r="AH1594" s="22" t="str">
        <f aca="false">IF(P1594&lt;&gt;A1594,"Faixa cadastrada como "&amp;P1594&amp;" na tabela; preço aplicado pela UF do CEP","")</f>
        <v/>
      </c>
      <c r="AI1594" s="26" t="n">
        <v>290.2</v>
      </c>
      <c r="AJ1594" s="22" t="str">
        <f aca="false">INDEX('Tabela Passaro'!$X$2:$X$1795,$N1594)</f>
        <v>CAPITAL</v>
      </c>
    </row>
    <row r="1595" customFormat="false" ht="15" hidden="false" customHeight="false" outlineLevel="0" collapsed="false">
      <c r="A1595" s="22" t="s">
        <v>21</v>
      </c>
      <c r="B1595" s="22" t="n">
        <v>1</v>
      </c>
      <c r="C1595" s="22" t="s">
        <v>167</v>
      </c>
      <c r="D1595" s="22" t="s">
        <v>30</v>
      </c>
      <c r="E1595" s="22" t="s">
        <v>20</v>
      </c>
      <c r="F1595" s="22" t="n">
        <v>840662</v>
      </c>
      <c r="G1595" s="30" t="n">
        <v>46265</v>
      </c>
      <c r="H1595" s="22" t="n">
        <v>32862</v>
      </c>
      <c r="I1595" s="22" t="s">
        <v>8759</v>
      </c>
      <c r="J1595" s="31" t="n">
        <v>36.8</v>
      </c>
      <c r="K1595" s="26" t="n">
        <v>787.61</v>
      </c>
      <c r="L1595" s="26" t="n">
        <v>155.75</v>
      </c>
      <c r="M1595" s="22" t="s">
        <v>5498</v>
      </c>
      <c r="N1595" s="22" t="n">
        <f aca="false">MATCH(M1595,'Tabela Passaro'!$A$2:$A$1795,0)</f>
        <v>1329</v>
      </c>
      <c r="O1595" s="22" t="str">
        <f aca="false">INDEX('Tabela Passaro'!$C$2:$C$1795,$N1595)</f>
        <v>TERESINA</v>
      </c>
      <c r="P1595" s="22" t="str">
        <f aca="false">INDEX('Tabela Passaro'!$B$2:$B$1795,$N1595)</f>
        <v>PI</v>
      </c>
      <c r="Q1595" s="22" t="n">
        <f aca="false">INDEX('Tabela Passaro'!$F$2:$F$1795,$N1595)</f>
        <v>10</v>
      </c>
      <c r="R1595" s="32" t="n">
        <f aca="false">IF(J1595&lt;=10,INDEX('Tabela Passaro'!$G$2:$G$1795,$N1595),IF(J1595&lt;=30,INDEX('Tabela Passaro'!$H$2:$H$1795,$N1595),IF(J1595&lt;=50,INDEX('Tabela Passaro'!$I$2:$I$1795,$N1595),IF(J1595&lt;=70,INDEX('Tabela Passaro'!$J$2:$J$1795,$N1595),IF(J1595&lt;=100,INDEX('Tabela Passaro'!$K$2:$K$1795,$N1595),INDEX('Tabela Passaro'!$K$2:$K$1795,$N1595)+(J1595-100)*INDEX('Tabela Passaro'!$L$2:$L$1795,$N1595))))))</f>
        <v>221.66</v>
      </c>
      <c r="S1595" s="32" t="n">
        <f aca="false">K1595*INDEX('Tabela Passaro'!$M$2:$M$1795,$N1595)</f>
        <v>3.93805</v>
      </c>
      <c r="T1595" s="32" t="n">
        <f aca="false">K1595*INDEX('Tabela Passaro'!$N$2:$N$1795,$N1595)</f>
        <v>1.57522</v>
      </c>
      <c r="U1595" s="32" t="n">
        <f aca="false">INDEX('Tabela Passaro'!$O$2:$O$1795,$N1595)</f>
        <v>5</v>
      </c>
      <c r="V1595" s="32" t="n">
        <f aca="false">ROUNDUP(J1595/INDEX('Tabela Passaro'!$Q$2:$Q$1795,$N1595),0)*INDEX('Tabela Passaro'!$P$2:$P$1795,$N1595)</f>
        <v>5</v>
      </c>
      <c r="W1595" s="32" t="n">
        <f aca="false">INDEX('Tabela Passaro'!$R$2:$R$1795,$N1595)</f>
        <v>30</v>
      </c>
      <c r="X1595" s="32" t="n">
        <f aca="false">ROUNDUP(J1595/INDEX('Tabela Passaro'!$T$2:$T$1795,$N1595),0)*INDEX('Tabela Passaro'!$S$2:$S$1795,$N1595)</f>
        <v>0</v>
      </c>
      <c r="Y1595" s="32" t="n">
        <f aca="false">INDEX('Tabela Passaro'!$U$2:$U$1795,$N1595)</f>
        <v>0</v>
      </c>
      <c r="Z1595" s="32" t="n">
        <f aca="false">INDEX('Tabela Passaro'!$V$2:$V$1795,$N1595)</f>
        <v>0</v>
      </c>
      <c r="AA1595" s="32" t="n">
        <f aca="false">SUM(R1595:Z1595)</f>
        <v>267.17327</v>
      </c>
      <c r="AB1595" s="33" t="n">
        <f aca="false">INDEX(Premissas!$B$5:$B$13,MATCH(A1595,Premissas!$A$5:$A$13,0))</f>
        <v>0.07</v>
      </c>
      <c r="AC1595" s="32" t="n">
        <f aca="false">AA1595/(1-AB1595)-AA1595</f>
        <v>20.1098160215054</v>
      </c>
      <c r="AD1595" s="32" t="n">
        <f aca="false">ROUND(AA1595+AC1595,2)</f>
        <v>287.28</v>
      </c>
      <c r="AE1595" s="32" t="n">
        <f aca="false">AD1595-L1595</f>
        <v>131.53</v>
      </c>
      <c r="AF1595" s="34" t="n">
        <f aca="false">IF(L1595=0,0,AE1595/L1595)</f>
        <v>0.844494382022472</v>
      </c>
      <c r="AG1595" s="22" t="str">
        <f aca="false">IF(AD1595&lt;L1595,"PASSARO","ATUAL")</f>
        <v>ATUAL</v>
      </c>
      <c r="AH1595" s="22" t="str">
        <f aca="false">IF(P1595&lt;&gt;A1595,"Faixa cadastrada como "&amp;P1595&amp;" na tabela; preço aplicado pela UF do CEP","")</f>
        <v/>
      </c>
      <c r="AI1595" s="26" t="n">
        <v>324.79</v>
      </c>
      <c r="AJ1595" s="22" t="str">
        <f aca="false">INDEX('Tabela Passaro'!$X$2:$X$1795,$N1595)</f>
        <v>CAPITAL</v>
      </c>
    </row>
    <row r="1596" customFormat="false" ht="15" hidden="false" customHeight="false" outlineLevel="0" collapsed="false">
      <c r="A1596" s="22" t="s">
        <v>21</v>
      </c>
      <c r="B1596" s="22" t="n">
        <v>1</v>
      </c>
      <c r="C1596" s="22" t="s">
        <v>167</v>
      </c>
      <c r="D1596" s="22" t="s">
        <v>30</v>
      </c>
      <c r="E1596" s="22" t="s">
        <v>20</v>
      </c>
      <c r="F1596" s="22" t="n">
        <v>840659</v>
      </c>
      <c r="G1596" s="30" t="n">
        <v>46265</v>
      </c>
      <c r="H1596" s="22" t="n">
        <v>32863</v>
      </c>
      <c r="I1596" s="22" t="s">
        <v>8792</v>
      </c>
      <c r="J1596" s="31" t="n">
        <v>69</v>
      </c>
      <c r="K1596" s="26" t="n">
        <v>996.69</v>
      </c>
      <c r="L1596" s="26" t="n">
        <v>183.99</v>
      </c>
      <c r="M1596" s="22" t="s">
        <v>5498</v>
      </c>
      <c r="N1596" s="22" t="n">
        <f aca="false">MATCH(M1596,'Tabela Passaro'!$A$2:$A$1795,0)</f>
        <v>1329</v>
      </c>
      <c r="O1596" s="22" t="str">
        <f aca="false">INDEX('Tabela Passaro'!$C$2:$C$1795,$N1596)</f>
        <v>TERESINA</v>
      </c>
      <c r="P1596" s="22" t="str">
        <f aca="false">INDEX('Tabela Passaro'!$B$2:$B$1795,$N1596)</f>
        <v>PI</v>
      </c>
      <c r="Q1596" s="22" t="n">
        <f aca="false">INDEX('Tabela Passaro'!$F$2:$F$1795,$N1596)</f>
        <v>10</v>
      </c>
      <c r="R1596" s="32" t="n">
        <f aca="false">IF(J1596&lt;=10,INDEX('Tabela Passaro'!$G$2:$G$1795,$N1596),IF(J1596&lt;=30,INDEX('Tabela Passaro'!$H$2:$H$1795,$N1596),IF(J1596&lt;=50,INDEX('Tabela Passaro'!$I$2:$I$1795,$N1596),IF(J1596&lt;=70,INDEX('Tabela Passaro'!$J$2:$J$1795,$N1596),IF(J1596&lt;=100,INDEX('Tabela Passaro'!$K$2:$K$1795,$N1596),INDEX('Tabela Passaro'!$K$2:$K$1795,$N1596)+(J1596-100)*INDEX('Tabela Passaro'!$L$2:$L$1795,$N1596))))))</f>
        <v>238.26</v>
      </c>
      <c r="S1596" s="32" t="n">
        <f aca="false">K1596*INDEX('Tabela Passaro'!$M$2:$M$1795,$N1596)</f>
        <v>4.98345</v>
      </c>
      <c r="T1596" s="32" t="n">
        <f aca="false">K1596*INDEX('Tabela Passaro'!$N$2:$N$1795,$N1596)</f>
        <v>1.99338</v>
      </c>
      <c r="U1596" s="32" t="n">
        <f aca="false">INDEX('Tabela Passaro'!$O$2:$O$1795,$N1596)</f>
        <v>5</v>
      </c>
      <c r="V1596" s="32" t="n">
        <f aca="false">ROUNDUP(J1596/INDEX('Tabela Passaro'!$Q$2:$Q$1795,$N1596),0)*INDEX('Tabela Passaro'!$P$2:$P$1795,$N1596)</f>
        <v>5</v>
      </c>
      <c r="W1596" s="32" t="n">
        <f aca="false">INDEX('Tabela Passaro'!$R$2:$R$1795,$N1596)</f>
        <v>30</v>
      </c>
      <c r="X1596" s="32" t="n">
        <f aca="false">ROUNDUP(J1596/INDEX('Tabela Passaro'!$T$2:$T$1795,$N1596),0)*INDEX('Tabela Passaro'!$S$2:$S$1795,$N1596)</f>
        <v>0</v>
      </c>
      <c r="Y1596" s="32" t="n">
        <f aca="false">INDEX('Tabela Passaro'!$U$2:$U$1795,$N1596)</f>
        <v>0</v>
      </c>
      <c r="Z1596" s="32" t="n">
        <f aca="false">INDEX('Tabela Passaro'!$V$2:$V$1795,$N1596)</f>
        <v>0</v>
      </c>
      <c r="AA1596" s="32" t="n">
        <f aca="false">SUM(R1596:Z1596)</f>
        <v>285.23683</v>
      </c>
      <c r="AB1596" s="33" t="n">
        <f aca="false">INDEX(Premissas!$B$5:$B$13,MATCH(A1596,Premissas!$A$5:$A$13,0))</f>
        <v>0.07</v>
      </c>
      <c r="AC1596" s="32" t="n">
        <f aca="false">AA1596/(1-AB1596)-AA1596</f>
        <v>21.4694388172043</v>
      </c>
      <c r="AD1596" s="32" t="n">
        <f aca="false">ROUND(AA1596+AC1596,2)</f>
        <v>306.71</v>
      </c>
      <c r="AE1596" s="32" t="n">
        <f aca="false">AD1596-L1596</f>
        <v>122.72</v>
      </c>
      <c r="AF1596" s="34" t="n">
        <f aca="false">IF(L1596=0,0,AE1596/L1596)</f>
        <v>0.666992771346269</v>
      </c>
      <c r="AG1596" s="22" t="str">
        <f aca="false">IF(AD1596&lt;L1596,"PASSARO","ATUAL")</f>
        <v>ATUAL</v>
      </c>
      <c r="AH1596" s="22" t="str">
        <f aca="false">IF(P1596&lt;&gt;A1596,"Faixa cadastrada como "&amp;P1596&amp;" na tabela; preço aplicado pela UF do CEP","")</f>
        <v/>
      </c>
      <c r="AI1596" s="26" t="n">
        <v>361.1</v>
      </c>
      <c r="AJ1596" s="22" t="str">
        <f aca="false">INDEX('Tabela Passaro'!$X$2:$X$1795,$N1596)</f>
        <v>CAPITAL</v>
      </c>
    </row>
    <row r="1597" customFormat="false" ht="15" hidden="false" customHeight="false" outlineLevel="0" collapsed="false">
      <c r="A1597" s="22" t="s">
        <v>21</v>
      </c>
      <c r="B1597" s="22" t="n">
        <v>1</v>
      </c>
      <c r="C1597" s="22" t="s">
        <v>167</v>
      </c>
      <c r="D1597" s="22" t="s">
        <v>31</v>
      </c>
      <c r="E1597" s="22" t="s">
        <v>7326</v>
      </c>
      <c r="F1597" s="22" t="n">
        <v>12730870</v>
      </c>
      <c r="G1597" s="30" t="n">
        <v>46238</v>
      </c>
      <c r="H1597" s="22" t="n">
        <v>620308</v>
      </c>
      <c r="I1597" s="22" t="s">
        <v>8793</v>
      </c>
      <c r="J1597" s="31" t="n">
        <v>21.1</v>
      </c>
      <c r="K1597" s="26" t="n">
        <v>608.8</v>
      </c>
      <c r="L1597" s="26" t="n">
        <v>93.65</v>
      </c>
      <c r="M1597" s="22" t="s">
        <v>5498</v>
      </c>
      <c r="N1597" s="22" t="n">
        <f aca="false">MATCH(M1597,'Tabela Passaro'!$A$2:$A$1795,0)</f>
        <v>1329</v>
      </c>
      <c r="O1597" s="22" t="str">
        <f aca="false">INDEX('Tabela Passaro'!$C$2:$C$1795,$N1597)</f>
        <v>TERESINA</v>
      </c>
      <c r="P1597" s="22" t="str">
        <f aca="false">INDEX('Tabela Passaro'!$B$2:$B$1795,$N1597)</f>
        <v>PI</v>
      </c>
      <c r="Q1597" s="22" t="n">
        <f aca="false">INDEX('Tabela Passaro'!$F$2:$F$1795,$N1597)</f>
        <v>10</v>
      </c>
      <c r="R1597" s="32" t="n">
        <f aca="false">IF(J1597&lt;=10,INDEX('Tabela Passaro'!$G$2:$G$1795,$N1597),IF(J1597&lt;=30,INDEX('Tabela Passaro'!$H$2:$H$1795,$N1597),IF(J1597&lt;=50,INDEX('Tabela Passaro'!$I$2:$I$1795,$N1597),IF(J1597&lt;=70,INDEX('Tabela Passaro'!$J$2:$J$1795,$N1597),IF(J1597&lt;=100,INDEX('Tabela Passaro'!$K$2:$K$1795,$N1597),INDEX('Tabela Passaro'!$K$2:$K$1795,$N1597)+(J1597-100)*INDEX('Tabela Passaro'!$L$2:$L$1795,$N1597))))))</f>
        <v>199.53</v>
      </c>
      <c r="S1597" s="32" t="n">
        <f aca="false">K1597*INDEX('Tabela Passaro'!$M$2:$M$1795,$N1597)</f>
        <v>3.044</v>
      </c>
      <c r="T1597" s="32" t="n">
        <f aca="false">K1597*INDEX('Tabela Passaro'!$N$2:$N$1795,$N1597)</f>
        <v>1.2176</v>
      </c>
      <c r="U1597" s="32" t="n">
        <f aca="false">INDEX('Tabela Passaro'!$O$2:$O$1795,$N1597)</f>
        <v>5</v>
      </c>
      <c r="V1597" s="32" t="n">
        <f aca="false">ROUNDUP(J1597/INDEX('Tabela Passaro'!$Q$2:$Q$1795,$N1597),0)*INDEX('Tabela Passaro'!$P$2:$P$1795,$N1597)</f>
        <v>5</v>
      </c>
      <c r="W1597" s="32" t="n">
        <f aca="false">INDEX('Tabela Passaro'!$R$2:$R$1795,$N1597)</f>
        <v>30</v>
      </c>
      <c r="X1597" s="32" t="n">
        <f aca="false">ROUNDUP(J1597/INDEX('Tabela Passaro'!$T$2:$T$1795,$N1597),0)*INDEX('Tabela Passaro'!$S$2:$S$1795,$N1597)</f>
        <v>0</v>
      </c>
      <c r="Y1597" s="32" t="n">
        <f aca="false">INDEX('Tabela Passaro'!$U$2:$U$1795,$N1597)</f>
        <v>0</v>
      </c>
      <c r="Z1597" s="32" t="n">
        <f aca="false">INDEX('Tabela Passaro'!$V$2:$V$1795,$N1597)</f>
        <v>0</v>
      </c>
      <c r="AA1597" s="32" t="n">
        <f aca="false">SUM(R1597:Z1597)</f>
        <v>243.7916</v>
      </c>
      <c r="AB1597" s="33" t="n">
        <f aca="false">INDEX(Premissas!$B$5:$B$13,MATCH(A1597,Premissas!$A$5:$A$13,0))</f>
        <v>0.07</v>
      </c>
      <c r="AC1597" s="32" t="n">
        <f aca="false">AA1597/(1-AB1597)-AA1597</f>
        <v>18.3499053763441</v>
      </c>
      <c r="AD1597" s="32" t="n">
        <f aca="false">ROUND(AA1597+AC1597,2)</f>
        <v>262.14</v>
      </c>
      <c r="AE1597" s="32" t="n">
        <f aca="false">AD1597-L1597</f>
        <v>168.49</v>
      </c>
      <c r="AF1597" s="34" t="n">
        <f aca="false">IF(L1597=0,0,AE1597/L1597)</f>
        <v>1.7991457554725</v>
      </c>
      <c r="AG1597" s="22" t="str">
        <f aca="false">IF(AD1597&lt;L1597,"PASSARO","ATUAL")</f>
        <v>ATUAL</v>
      </c>
      <c r="AH1597" s="22" t="str">
        <f aca="false">IF(P1597&lt;&gt;A1597,"Faixa cadastrada como "&amp;P1597&amp;" na tabela; preço aplicado pela UF do CEP","")</f>
        <v/>
      </c>
      <c r="AI1597" s="26" t="n">
        <v>290.76</v>
      </c>
      <c r="AJ1597" s="22" t="str">
        <f aca="false">INDEX('Tabela Passaro'!$X$2:$X$1795,$N1597)</f>
        <v>CAPITAL</v>
      </c>
    </row>
    <row r="1598" customFormat="false" ht="15" hidden="false" customHeight="false" outlineLevel="0" collapsed="false">
      <c r="A1598" s="22" t="s">
        <v>21</v>
      </c>
      <c r="B1598" s="22" t="n">
        <v>1</v>
      </c>
      <c r="C1598" s="22" t="s">
        <v>167</v>
      </c>
      <c r="D1598" s="22" t="s">
        <v>31</v>
      </c>
      <c r="E1598" s="22" t="s">
        <v>7326</v>
      </c>
      <c r="F1598" s="22" t="n">
        <v>12749559</v>
      </c>
      <c r="G1598" s="30" t="n">
        <v>46241</v>
      </c>
      <c r="H1598" s="22" t="n">
        <v>621596</v>
      </c>
      <c r="I1598" s="22" t="s">
        <v>8747</v>
      </c>
      <c r="J1598" s="31" t="n">
        <v>22.4</v>
      </c>
      <c r="K1598" s="26" t="n">
        <v>660.24</v>
      </c>
      <c r="L1598" s="26" t="n">
        <v>92.67</v>
      </c>
      <c r="M1598" s="22" t="s">
        <v>5498</v>
      </c>
      <c r="N1598" s="22" t="n">
        <f aca="false">MATCH(M1598,'Tabela Passaro'!$A$2:$A$1795,0)</f>
        <v>1329</v>
      </c>
      <c r="O1598" s="22" t="str">
        <f aca="false">INDEX('Tabela Passaro'!$C$2:$C$1795,$N1598)</f>
        <v>TERESINA</v>
      </c>
      <c r="P1598" s="22" t="str">
        <f aca="false">INDEX('Tabela Passaro'!$B$2:$B$1795,$N1598)</f>
        <v>PI</v>
      </c>
      <c r="Q1598" s="22" t="n">
        <f aca="false">INDEX('Tabela Passaro'!$F$2:$F$1795,$N1598)</f>
        <v>10</v>
      </c>
      <c r="R1598" s="32" t="n">
        <f aca="false">IF(J1598&lt;=10,INDEX('Tabela Passaro'!$G$2:$G$1795,$N1598),IF(J1598&lt;=30,INDEX('Tabela Passaro'!$H$2:$H$1795,$N1598),IF(J1598&lt;=50,INDEX('Tabela Passaro'!$I$2:$I$1795,$N1598),IF(J1598&lt;=70,INDEX('Tabela Passaro'!$J$2:$J$1795,$N1598),IF(J1598&lt;=100,INDEX('Tabela Passaro'!$K$2:$K$1795,$N1598),INDEX('Tabela Passaro'!$K$2:$K$1795,$N1598)+(J1598-100)*INDEX('Tabela Passaro'!$L$2:$L$1795,$N1598))))))</f>
        <v>199.53</v>
      </c>
      <c r="S1598" s="32" t="n">
        <f aca="false">K1598*INDEX('Tabela Passaro'!$M$2:$M$1795,$N1598)</f>
        <v>3.3012</v>
      </c>
      <c r="T1598" s="32" t="n">
        <f aca="false">K1598*INDEX('Tabela Passaro'!$N$2:$N$1795,$N1598)</f>
        <v>1.32048</v>
      </c>
      <c r="U1598" s="32" t="n">
        <f aca="false">INDEX('Tabela Passaro'!$O$2:$O$1795,$N1598)</f>
        <v>5</v>
      </c>
      <c r="V1598" s="32" t="n">
        <f aca="false">ROUNDUP(J1598/INDEX('Tabela Passaro'!$Q$2:$Q$1795,$N1598),0)*INDEX('Tabela Passaro'!$P$2:$P$1795,$N1598)</f>
        <v>5</v>
      </c>
      <c r="W1598" s="32" t="n">
        <f aca="false">INDEX('Tabela Passaro'!$R$2:$R$1795,$N1598)</f>
        <v>30</v>
      </c>
      <c r="X1598" s="32" t="n">
        <f aca="false">ROUNDUP(J1598/INDEX('Tabela Passaro'!$T$2:$T$1795,$N1598),0)*INDEX('Tabela Passaro'!$S$2:$S$1795,$N1598)</f>
        <v>0</v>
      </c>
      <c r="Y1598" s="32" t="n">
        <f aca="false">INDEX('Tabela Passaro'!$U$2:$U$1795,$N1598)</f>
        <v>0</v>
      </c>
      <c r="Z1598" s="32" t="n">
        <f aca="false">INDEX('Tabela Passaro'!$V$2:$V$1795,$N1598)</f>
        <v>0</v>
      </c>
      <c r="AA1598" s="32" t="n">
        <f aca="false">SUM(R1598:Z1598)</f>
        <v>244.15168</v>
      </c>
      <c r="AB1598" s="33" t="n">
        <f aca="false">INDEX(Premissas!$B$5:$B$13,MATCH(A1598,Premissas!$A$5:$A$13,0))</f>
        <v>0.07</v>
      </c>
      <c r="AC1598" s="32" t="n">
        <f aca="false">AA1598/(1-AB1598)-AA1598</f>
        <v>18.377008172043</v>
      </c>
      <c r="AD1598" s="32" t="n">
        <f aca="false">ROUND(AA1598+AC1598,2)</f>
        <v>262.53</v>
      </c>
      <c r="AE1598" s="32" t="n">
        <f aca="false">AD1598-L1598</f>
        <v>169.86</v>
      </c>
      <c r="AF1598" s="34" t="n">
        <f aca="false">IF(L1598=0,0,AE1598/L1598)</f>
        <v>1.83295564907737</v>
      </c>
      <c r="AG1598" s="22" t="str">
        <f aca="false">IF(AD1598&lt;L1598,"PASSARO","ATUAL")</f>
        <v>ATUAL</v>
      </c>
      <c r="AH1598" s="22" t="str">
        <f aca="false">IF(P1598&lt;&gt;A1598,"Faixa cadastrada como "&amp;P1598&amp;" na tabela; preço aplicado pela UF do CEP","")</f>
        <v/>
      </c>
      <c r="AI1598" s="26" t="n">
        <v>291.74</v>
      </c>
      <c r="AJ1598" s="22" t="str">
        <f aca="false">INDEX('Tabela Passaro'!$X$2:$X$1795,$N1598)</f>
        <v>CAPITAL</v>
      </c>
    </row>
    <row r="1599" customFormat="false" ht="15" hidden="false" customHeight="false" outlineLevel="0" collapsed="false">
      <c r="A1599" s="22" t="s">
        <v>21</v>
      </c>
      <c r="B1599" s="22" t="n">
        <v>1</v>
      </c>
      <c r="C1599" s="22" t="s">
        <v>167</v>
      </c>
      <c r="D1599" s="22" t="s">
        <v>31</v>
      </c>
      <c r="E1599" s="22" t="s">
        <v>7326</v>
      </c>
      <c r="F1599" s="22" t="n">
        <v>12767332</v>
      </c>
      <c r="G1599" s="30" t="n">
        <v>46245</v>
      </c>
      <c r="H1599" s="22" t="n">
        <v>622600</v>
      </c>
      <c r="I1599" s="22" t="s">
        <v>8794</v>
      </c>
      <c r="J1599" s="31" t="n">
        <v>20.8</v>
      </c>
      <c r="K1599" s="26" t="n">
        <v>484.27</v>
      </c>
      <c r="L1599" s="26" t="n">
        <v>92.04</v>
      </c>
      <c r="M1599" s="22" t="s">
        <v>5498</v>
      </c>
      <c r="N1599" s="22" t="n">
        <f aca="false">MATCH(M1599,'Tabela Passaro'!$A$2:$A$1795,0)</f>
        <v>1329</v>
      </c>
      <c r="O1599" s="22" t="str">
        <f aca="false">INDEX('Tabela Passaro'!$C$2:$C$1795,$N1599)</f>
        <v>TERESINA</v>
      </c>
      <c r="P1599" s="22" t="str">
        <f aca="false">INDEX('Tabela Passaro'!$B$2:$B$1795,$N1599)</f>
        <v>PI</v>
      </c>
      <c r="Q1599" s="22" t="n">
        <f aca="false">INDEX('Tabela Passaro'!$F$2:$F$1795,$N1599)</f>
        <v>10</v>
      </c>
      <c r="R1599" s="32" t="n">
        <f aca="false">IF(J1599&lt;=10,INDEX('Tabela Passaro'!$G$2:$G$1795,$N1599),IF(J1599&lt;=30,INDEX('Tabela Passaro'!$H$2:$H$1795,$N1599),IF(J1599&lt;=50,INDEX('Tabela Passaro'!$I$2:$I$1795,$N1599),IF(J1599&lt;=70,INDEX('Tabela Passaro'!$J$2:$J$1795,$N1599),IF(J1599&lt;=100,INDEX('Tabela Passaro'!$K$2:$K$1795,$N1599),INDEX('Tabela Passaro'!$K$2:$K$1795,$N1599)+(J1599-100)*INDEX('Tabela Passaro'!$L$2:$L$1795,$N1599))))))</f>
        <v>199.53</v>
      </c>
      <c r="S1599" s="32" t="n">
        <f aca="false">K1599*INDEX('Tabela Passaro'!$M$2:$M$1795,$N1599)</f>
        <v>2.42135</v>
      </c>
      <c r="T1599" s="32" t="n">
        <f aca="false">K1599*INDEX('Tabela Passaro'!$N$2:$N$1795,$N1599)</f>
        <v>0.96854</v>
      </c>
      <c r="U1599" s="32" t="n">
        <f aca="false">INDEX('Tabela Passaro'!$O$2:$O$1795,$N1599)</f>
        <v>5</v>
      </c>
      <c r="V1599" s="32" t="n">
        <f aca="false">ROUNDUP(J1599/INDEX('Tabela Passaro'!$Q$2:$Q$1795,$N1599),0)*INDEX('Tabela Passaro'!$P$2:$P$1795,$N1599)</f>
        <v>5</v>
      </c>
      <c r="W1599" s="32" t="n">
        <f aca="false">INDEX('Tabela Passaro'!$R$2:$R$1795,$N1599)</f>
        <v>30</v>
      </c>
      <c r="X1599" s="32" t="n">
        <f aca="false">ROUNDUP(J1599/INDEX('Tabela Passaro'!$T$2:$T$1795,$N1599),0)*INDEX('Tabela Passaro'!$S$2:$S$1795,$N1599)</f>
        <v>0</v>
      </c>
      <c r="Y1599" s="32" t="n">
        <f aca="false">INDEX('Tabela Passaro'!$U$2:$U$1795,$N1599)</f>
        <v>0</v>
      </c>
      <c r="Z1599" s="32" t="n">
        <f aca="false">INDEX('Tabela Passaro'!$V$2:$V$1795,$N1599)</f>
        <v>0</v>
      </c>
      <c r="AA1599" s="32" t="n">
        <f aca="false">SUM(R1599:Z1599)</f>
        <v>242.91989</v>
      </c>
      <c r="AB1599" s="33" t="n">
        <f aca="false">INDEX(Premissas!$B$5:$B$13,MATCH(A1599,Premissas!$A$5:$A$13,0))</f>
        <v>0.07</v>
      </c>
      <c r="AC1599" s="32" t="n">
        <f aca="false">AA1599/(1-AB1599)-AA1599</f>
        <v>18.2842927956989</v>
      </c>
      <c r="AD1599" s="32" t="n">
        <f aca="false">ROUND(AA1599+AC1599,2)</f>
        <v>261.2</v>
      </c>
      <c r="AE1599" s="32" t="n">
        <f aca="false">AD1599-L1599</f>
        <v>169.16</v>
      </c>
      <c r="AF1599" s="34" t="n">
        <f aca="false">IF(L1599=0,0,AE1599/L1599)</f>
        <v>1.83789656671013</v>
      </c>
      <c r="AG1599" s="22" t="str">
        <f aca="false">IF(AD1599&lt;L1599,"PASSARO","ATUAL")</f>
        <v>ATUAL</v>
      </c>
      <c r="AH1599" s="22" t="str">
        <f aca="false">IF(P1599&lt;&gt;A1599,"Faixa cadastrada como "&amp;P1599&amp;" na tabela; preço aplicado pela UF do CEP","")</f>
        <v/>
      </c>
      <c r="AI1599" s="26" t="n">
        <v>289.07</v>
      </c>
      <c r="AJ1599" s="22" t="str">
        <f aca="false">INDEX('Tabela Passaro'!$X$2:$X$1795,$N1599)</f>
        <v>CAPITAL</v>
      </c>
    </row>
    <row r="1600" customFormat="false" ht="15" hidden="false" customHeight="false" outlineLevel="0" collapsed="false">
      <c r="A1600" s="22" t="s">
        <v>21</v>
      </c>
      <c r="B1600" s="22" t="n">
        <v>1</v>
      </c>
      <c r="C1600" s="22" t="s">
        <v>167</v>
      </c>
      <c r="D1600" s="22" t="s">
        <v>31</v>
      </c>
      <c r="E1600" s="22" t="s">
        <v>7326</v>
      </c>
      <c r="F1600" s="22" t="n">
        <v>12765913</v>
      </c>
      <c r="G1600" s="30" t="n">
        <v>46245</v>
      </c>
      <c r="H1600" s="22" t="n">
        <v>622625</v>
      </c>
      <c r="I1600" s="22" t="s">
        <v>8795</v>
      </c>
      <c r="J1600" s="31" t="n">
        <v>22.4</v>
      </c>
      <c r="K1600" s="26" t="n">
        <v>495.35</v>
      </c>
      <c r="L1600" s="26" t="n">
        <v>91.85</v>
      </c>
      <c r="M1600" s="22" t="s">
        <v>5498</v>
      </c>
      <c r="N1600" s="22" t="n">
        <f aca="false">MATCH(M1600,'Tabela Passaro'!$A$2:$A$1795,0)</f>
        <v>1329</v>
      </c>
      <c r="O1600" s="22" t="str">
        <f aca="false">INDEX('Tabela Passaro'!$C$2:$C$1795,$N1600)</f>
        <v>TERESINA</v>
      </c>
      <c r="P1600" s="22" t="str">
        <f aca="false">INDEX('Tabela Passaro'!$B$2:$B$1795,$N1600)</f>
        <v>PI</v>
      </c>
      <c r="Q1600" s="22" t="n">
        <f aca="false">INDEX('Tabela Passaro'!$F$2:$F$1795,$N1600)</f>
        <v>10</v>
      </c>
      <c r="R1600" s="32" t="n">
        <f aca="false">IF(J1600&lt;=10,INDEX('Tabela Passaro'!$G$2:$G$1795,$N1600),IF(J1600&lt;=30,INDEX('Tabela Passaro'!$H$2:$H$1795,$N1600),IF(J1600&lt;=50,INDEX('Tabela Passaro'!$I$2:$I$1795,$N1600),IF(J1600&lt;=70,INDEX('Tabela Passaro'!$J$2:$J$1795,$N1600),IF(J1600&lt;=100,INDEX('Tabela Passaro'!$K$2:$K$1795,$N1600),INDEX('Tabela Passaro'!$K$2:$K$1795,$N1600)+(J1600-100)*INDEX('Tabela Passaro'!$L$2:$L$1795,$N1600))))))</f>
        <v>199.53</v>
      </c>
      <c r="S1600" s="32" t="n">
        <f aca="false">K1600*INDEX('Tabela Passaro'!$M$2:$M$1795,$N1600)</f>
        <v>2.47675</v>
      </c>
      <c r="T1600" s="32" t="n">
        <f aca="false">K1600*INDEX('Tabela Passaro'!$N$2:$N$1795,$N1600)</f>
        <v>0.9907</v>
      </c>
      <c r="U1600" s="32" t="n">
        <f aca="false">INDEX('Tabela Passaro'!$O$2:$O$1795,$N1600)</f>
        <v>5</v>
      </c>
      <c r="V1600" s="32" t="n">
        <f aca="false">ROUNDUP(J1600/INDEX('Tabela Passaro'!$Q$2:$Q$1795,$N1600),0)*INDEX('Tabela Passaro'!$P$2:$P$1795,$N1600)</f>
        <v>5</v>
      </c>
      <c r="W1600" s="32" t="n">
        <f aca="false">INDEX('Tabela Passaro'!$R$2:$R$1795,$N1600)</f>
        <v>30</v>
      </c>
      <c r="X1600" s="32" t="n">
        <f aca="false">ROUNDUP(J1600/INDEX('Tabela Passaro'!$T$2:$T$1795,$N1600),0)*INDEX('Tabela Passaro'!$S$2:$S$1795,$N1600)</f>
        <v>0</v>
      </c>
      <c r="Y1600" s="32" t="n">
        <f aca="false">INDEX('Tabela Passaro'!$U$2:$U$1795,$N1600)</f>
        <v>0</v>
      </c>
      <c r="Z1600" s="32" t="n">
        <f aca="false">INDEX('Tabela Passaro'!$V$2:$V$1795,$N1600)</f>
        <v>0</v>
      </c>
      <c r="AA1600" s="32" t="n">
        <f aca="false">SUM(R1600:Z1600)</f>
        <v>242.99745</v>
      </c>
      <c r="AB1600" s="33" t="n">
        <f aca="false">INDEX(Premissas!$B$5:$B$13,MATCH(A1600,Premissas!$A$5:$A$13,0))</f>
        <v>0.07</v>
      </c>
      <c r="AC1600" s="32" t="n">
        <f aca="false">AA1600/(1-AB1600)-AA1600</f>
        <v>18.2901306451613</v>
      </c>
      <c r="AD1600" s="32" t="n">
        <f aca="false">ROUND(AA1600+AC1600,2)</f>
        <v>261.29</v>
      </c>
      <c r="AE1600" s="32" t="n">
        <f aca="false">AD1600-L1600</f>
        <v>169.44</v>
      </c>
      <c r="AF1600" s="34" t="n">
        <f aca="false">IF(L1600=0,0,AE1600/L1600)</f>
        <v>1.84474686989657</v>
      </c>
      <c r="AG1600" s="22" t="str">
        <f aca="false">IF(AD1600&lt;L1600,"PASSARO","ATUAL")</f>
        <v>ATUAL</v>
      </c>
      <c r="AH1600" s="22" t="str">
        <f aca="false">IF(P1600&lt;&gt;A1600,"Faixa cadastrada como "&amp;P1600&amp;" na tabela; preço aplicado pela UF do CEP","")</f>
        <v/>
      </c>
      <c r="AI1600" s="26" t="n">
        <v>290.15</v>
      </c>
      <c r="AJ1600" s="22" t="str">
        <f aca="false">INDEX('Tabela Passaro'!$X$2:$X$1795,$N1600)</f>
        <v>CAPITAL</v>
      </c>
    </row>
    <row r="1601" customFormat="false" ht="15" hidden="false" customHeight="false" outlineLevel="0" collapsed="false">
      <c r="A1601" s="22" t="s">
        <v>21</v>
      </c>
      <c r="B1601" s="22" t="n">
        <v>1</v>
      </c>
      <c r="C1601" s="22" t="s">
        <v>167</v>
      </c>
      <c r="D1601" s="22" t="s">
        <v>31</v>
      </c>
      <c r="E1601" s="22" t="s">
        <v>7326</v>
      </c>
      <c r="F1601" s="22" t="n">
        <v>12773284</v>
      </c>
      <c r="G1601" s="30" t="n">
        <v>46246</v>
      </c>
      <c r="H1601" s="22" t="n">
        <v>623472</v>
      </c>
      <c r="I1601" s="22" t="s">
        <v>8796</v>
      </c>
      <c r="J1601" s="31" t="n">
        <v>21.1</v>
      </c>
      <c r="K1601" s="26" t="n">
        <v>681.32</v>
      </c>
      <c r="L1601" s="26" t="n">
        <v>93.18</v>
      </c>
      <c r="M1601" s="22" t="s">
        <v>5498</v>
      </c>
      <c r="N1601" s="22" t="n">
        <f aca="false">MATCH(M1601,'Tabela Passaro'!$A$2:$A$1795,0)</f>
        <v>1329</v>
      </c>
      <c r="O1601" s="22" t="str">
        <f aca="false">INDEX('Tabela Passaro'!$C$2:$C$1795,$N1601)</f>
        <v>TERESINA</v>
      </c>
      <c r="P1601" s="22" t="str">
        <f aca="false">INDEX('Tabela Passaro'!$B$2:$B$1795,$N1601)</f>
        <v>PI</v>
      </c>
      <c r="Q1601" s="22" t="n">
        <f aca="false">INDEX('Tabela Passaro'!$F$2:$F$1795,$N1601)</f>
        <v>10</v>
      </c>
      <c r="R1601" s="32" t="n">
        <f aca="false">IF(J1601&lt;=10,INDEX('Tabela Passaro'!$G$2:$G$1795,$N1601),IF(J1601&lt;=30,INDEX('Tabela Passaro'!$H$2:$H$1795,$N1601),IF(J1601&lt;=50,INDEX('Tabela Passaro'!$I$2:$I$1795,$N1601),IF(J1601&lt;=70,INDEX('Tabela Passaro'!$J$2:$J$1795,$N1601),IF(J1601&lt;=100,INDEX('Tabela Passaro'!$K$2:$K$1795,$N1601),INDEX('Tabela Passaro'!$K$2:$K$1795,$N1601)+(J1601-100)*INDEX('Tabela Passaro'!$L$2:$L$1795,$N1601))))))</f>
        <v>199.53</v>
      </c>
      <c r="S1601" s="32" t="n">
        <f aca="false">K1601*INDEX('Tabela Passaro'!$M$2:$M$1795,$N1601)</f>
        <v>3.4066</v>
      </c>
      <c r="T1601" s="32" t="n">
        <f aca="false">K1601*INDEX('Tabela Passaro'!$N$2:$N$1795,$N1601)</f>
        <v>1.36264</v>
      </c>
      <c r="U1601" s="32" t="n">
        <f aca="false">INDEX('Tabela Passaro'!$O$2:$O$1795,$N1601)</f>
        <v>5</v>
      </c>
      <c r="V1601" s="32" t="n">
        <f aca="false">ROUNDUP(J1601/INDEX('Tabela Passaro'!$Q$2:$Q$1795,$N1601),0)*INDEX('Tabela Passaro'!$P$2:$P$1795,$N1601)</f>
        <v>5</v>
      </c>
      <c r="W1601" s="32" t="n">
        <f aca="false">INDEX('Tabela Passaro'!$R$2:$R$1795,$N1601)</f>
        <v>30</v>
      </c>
      <c r="X1601" s="32" t="n">
        <f aca="false">ROUNDUP(J1601/INDEX('Tabela Passaro'!$T$2:$T$1795,$N1601),0)*INDEX('Tabela Passaro'!$S$2:$S$1795,$N1601)</f>
        <v>0</v>
      </c>
      <c r="Y1601" s="32" t="n">
        <f aca="false">INDEX('Tabela Passaro'!$U$2:$U$1795,$N1601)</f>
        <v>0</v>
      </c>
      <c r="Z1601" s="32" t="n">
        <f aca="false">INDEX('Tabela Passaro'!$V$2:$V$1795,$N1601)</f>
        <v>0</v>
      </c>
      <c r="AA1601" s="32" t="n">
        <f aca="false">SUM(R1601:Z1601)</f>
        <v>244.29924</v>
      </c>
      <c r="AB1601" s="33" t="n">
        <f aca="false">INDEX(Premissas!$B$5:$B$13,MATCH(A1601,Premissas!$A$5:$A$13,0))</f>
        <v>0.07</v>
      </c>
      <c r="AC1601" s="32" t="n">
        <f aca="false">AA1601/(1-AB1601)-AA1601</f>
        <v>18.3881148387097</v>
      </c>
      <c r="AD1601" s="32" t="n">
        <f aca="false">ROUND(AA1601+AC1601,2)</f>
        <v>262.69</v>
      </c>
      <c r="AE1601" s="32" t="n">
        <f aca="false">AD1601-L1601</f>
        <v>169.51</v>
      </c>
      <c r="AF1601" s="34" t="n">
        <f aca="false">IF(L1601=0,0,AE1601/L1601)</f>
        <v>1.8191672032625</v>
      </c>
      <c r="AG1601" s="22" t="str">
        <f aca="false">IF(AD1601&lt;L1601,"PASSARO","ATUAL")</f>
        <v>ATUAL</v>
      </c>
      <c r="AH1601" s="22" t="str">
        <f aca="false">IF(P1601&lt;&gt;A1601,"Faixa cadastrada como "&amp;P1601&amp;" na tabela; preço aplicado pela UF do CEP","")</f>
        <v/>
      </c>
      <c r="AI1601" s="26" t="n">
        <v>291.46</v>
      </c>
      <c r="AJ1601" s="22" t="str">
        <f aca="false">INDEX('Tabela Passaro'!$X$2:$X$1795,$N1601)</f>
        <v>CAPITAL</v>
      </c>
    </row>
    <row r="1602" customFormat="false" ht="15" hidden="false" customHeight="false" outlineLevel="0" collapsed="false">
      <c r="A1602" s="22" t="s">
        <v>21</v>
      </c>
      <c r="B1602" s="22" t="n">
        <v>1</v>
      </c>
      <c r="C1602" s="22" t="s">
        <v>167</v>
      </c>
      <c r="D1602" s="22" t="s">
        <v>31</v>
      </c>
      <c r="E1602" s="22" t="s">
        <v>7326</v>
      </c>
      <c r="F1602" s="22" t="n">
        <v>12808377</v>
      </c>
      <c r="G1602" s="30" t="n">
        <v>46252</v>
      </c>
      <c r="H1602" s="22" t="n">
        <v>626085</v>
      </c>
      <c r="I1602" s="22" t="s">
        <v>8797</v>
      </c>
      <c r="J1602" s="31" t="n">
        <v>19.5</v>
      </c>
      <c r="K1602" s="26" t="n">
        <v>468.11</v>
      </c>
      <c r="L1602" s="26" t="n">
        <v>81.32</v>
      </c>
      <c r="M1602" s="22" t="s">
        <v>5498</v>
      </c>
      <c r="N1602" s="22" t="n">
        <f aca="false">MATCH(M1602,'Tabela Passaro'!$A$2:$A$1795,0)</f>
        <v>1329</v>
      </c>
      <c r="O1602" s="22" t="str">
        <f aca="false">INDEX('Tabela Passaro'!$C$2:$C$1795,$N1602)</f>
        <v>TERESINA</v>
      </c>
      <c r="P1602" s="22" t="str">
        <f aca="false">INDEX('Tabela Passaro'!$B$2:$B$1795,$N1602)</f>
        <v>PI</v>
      </c>
      <c r="Q1602" s="22" t="n">
        <f aca="false">INDEX('Tabela Passaro'!$F$2:$F$1795,$N1602)</f>
        <v>10</v>
      </c>
      <c r="R1602" s="32" t="n">
        <f aca="false">IF(J1602&lt;=10,INDEX('Tabela Passaro'!$G$2:$G$1795,$N1602),IF(J1602&lt;=30,INDEX('Tabela Passaro'!$H$2:$H$1795,$N1602),IF(J1602&lt;=50,INDEX('Tabela Passaro'!$I$2:$I$1795,$N1602),IF(J1602&lt;=70,INDEX('Tabela Passaro'!$J$2:$J$1795,$N1602),IF(J1602&lt;=100,INDEX('Tabela Passaro'!$K$2:$K$1795,$N1602),INDEX('Tabela Passaro'!$K$2:$K$1795,$N1602)+(J1602-100)*INDEX('Tabela Passaro'!$L$2:$L$1795,$N1602))))))</f>
        <v>199.53</v>
      </c>
      <c r="S1602" s="32" t="n">
        <f aca="false">K1602*INDEX('Tabela Passaro'!$M$2:$M$1795,$N1602)</f>
        <v>2.34055</v>
      </c>
      <c r="T1602" s="32" t="n">
        <f aca="false">K1602*INDEX('Tabela Passaro'!$N$2:$N$1795,$N1602)</f>
        <v>0.93622</v>
      </c>
      <c r="U1602" s="32" t="n">
        <f aca="false">INDEX('Tabela Passaro'!$O$2:$O$1795,$N1602)</f>
        <v>5</v>
      </c>
      <c r="V1602" s="32" t="n">
        <f aca="false">ROUNDUP(J1602/INDEX('Tabela Passaro'!$Q$2:$Q$1795,$N1602),0)*INDEX('Tabela Passaro'!$P$2:$P$1795,$N1602)</f>
        <v>5</v>
      </c>
      <c r="W1602" s="32" t="n">
        <f aca="false">INDEX('Tabela Passaro'!$R$2:$R$1795,$N1602)</f>
        <v>30</v>
      </c>
      <c r="X1602" s="32" t="n">
        <f aca="false">ROUNDUP(J1602/INDEX('Tabela Passaro'!$T$2:$T$1795,$N1602),0)*INDEX('Tabela Passaro'!$S$2:$S$1795,$N1602)</f>
        <v>0</v>
      </c>
      <c r="Y1602" s="32" t="n">
        <f aca="false">INDEX('Tabela Passaro'!$U$2:$U$1795,$N1602)</f>
        <v>0</v>
      </c>
      <c r="Z1602" s="32" t="n">
        <f aca="false">INDEX('Tabela Passaro'!$V$2:$V$1795,$N1602)</f>
        <v>0</v>
      </c>
      <c r="AA1602" s="32" t="n">
        <f aca="false">SUM(R1602:Z1602)</f>
        <v>242.80677</v>
      </c>
      <c r="AB1602" s="33" t="n">
        <f aca="false">INDEX(Premissas!$B$5:$B$13,MATCH(A1602,Premissas!$A$5:$A$13,0))</f>
        <v>0.07</v>
      </c>
      <c r="AC1602" s="32" t="n">
        <f aca="false">AA1602/(1-AB1602)-AA1602</f>
        <v>18.2757783870968</v>
      </c>
      <c r="AD1602" s="32" t="n">
        <f aca="false">ROUND(AA1602+AC1602,2)</f>
        <v>261.08</v>
      </c>
      <c r="AE1602" s="32" t="n">
        <f aca="false">AD1602-L1602</f>
        <v>179.76</v>
      </c>
      <c r="AF1602" s="34" t="n">
        <f aca="false">IF(L1602=0,0,AE1602/L1602)</f>
        <v>2.21052631578947</v>
      </c>
      <c r="AG1602" s="22" t="str">
        <f aca="false">IF(AD1602&lt;L1602,"PASSARO","ATUAL")</f>
        <v>ATUAL</v>
      </c>
      <c r="AH1602" s="22" t="str">
        <f aca="false">IF(P1602&lt;&gt;A1602,"Faixa cadastrada como "&amp;P1602&amp;" na tabela; preço aplicado pela UF do CEP","")</f>
        <v/>
      </c>
      <c r="AI1602" s="26" t="n">
        <v>288.43</v>
      </c>
      <c r="AJ1602" s="22" t="str">
        <f aca="false">INDEX('Tabela Passaro'!$X$2:$X$1795,$N1602)</f>
        <v>CAPITAL</v>
      </c>
    </row>
    <row r="1603" customFormat="false" ht="15" hidden="false" customHeight="false" outlineLevel="0" collapsed="false">
      <c r="A1603" s="22" t="s">
        <v>21</v>
      </c>
      <c r="B1603" s="22" t="n">
        <v>1</v>
      </c>
      <c r="C1603" s="22" t="s">
        <v>167</v>
      </c>
      <c r="D1603" s="22" t="s">
        <v>31</v>
      </c>
      <c r="E1603" s="22" t="s">
        <v>7326</v>
      </c>
      <c r="F1603" s="22" t="n">
        <v>12809372</v>
      </c>
      <c r="G1603" s="30" t="n">
        <v>46252</v>
      </c>
      <c r="H1603" s="22" t="n">
        <v>626120</v>
      </c>
      <c r="I1603" s="22" t="s">
        <v>8798</v>
      </c>
      <c r="J1603" s="31" t="n">
        <v>20.8</v>
      </c>
      <c r="K1603" s="26" t="n">
        <v>565.65</v>
      </c>
      <c r="L1603" s="26" t="n">
        <v>92.06</v>
      </c>
      <c r="M1603" s="22" t="s">
        <v>5498</v>
      </c>
      <c r="N1603" s="22" t="n">
        <f aca="false">MATCH(M1603,'Tabela Passaro'!$A$2:$A$1795,0)</f>
        <v>1329</v>
      </c>
      <c r="O1603" s="22" t="str">
        <f aca="false">INDEX('Tabela Passaro'!$C$2:$C$1795,$N1603)</f>
        <v>TERESINA</v>
      </c>
      <c r="P1603" s="22" t="str">
        <f aca="false">INDEX('Tabela Passaro'!$B$2:$B$1795,$N1603)</f>
        <v>PI</v>
      </c>
      <c r="Q1603" s="22" t="n">
        <f aca="false">INDEX('Tabela Passaro'!$F$2:$F$1795,$N1603)</f>
        <v>10</v>
      </c>
      <c r="R1603" s="32" t="n">
        <f aca="false">IF(J1603&lt;=10,INDEX('Tabela Passaro'!$G$2:$G$1795,$N1603),IF(J1603&lt;=30,INDEX('Tabela Passaro'!$H$2:$H$1795,$N1603),IF(J1603&lt;=50,INDEX('Tabela Passaro'!$I$2:$I$1795,$N1603),IF(J1603&lt;=70,INDEX('Tabela Passaro'!$J$2:$J$1795,$N1603),IF(J1603&lt;=100,INDEX('Tabela Passaro'!$K$2:$K$1795,$N1603),INDEX('Tabela Passaro'!$K$2:$K$1795,$N1603)+(J1603-100)*INDEX('Tabela Passaro'!$L$2:$L$1795,$N1603))))))</f>
        <v>199.53</v>
      </c>
      <c r="S1603" s="32" t="n">
        <f aca="false">K1603*INDEX('Tabela Passaro'!$M$2:$M$1795,$N1603)</f>
        <v>2.82825</v>
      </c>
      <c r="T1603" s="32" t="n">
        <f aca="false">K1603*INDEX('Tabela Passaro'!$N$2:$N$1795,$N1603)</f>
        <v>1.1313</v>
      </c>
      <c r="U1603" s="32" t="n">
        <f aca="false">INDEX('Tabela Passaro'!$O$2:$O$1795,$N1603)</f>
        <v>5</v>
      </c>
      <c r="V1603" s="32" t="n">
        <f aca="false">ROUNDUP(J1603/INDEX('Tabela Passaro'!$Q$2:$Q$1795,$N1603),0)*INDEX('Tabela Passaro'!$P$2:$P$1795,$N1603)</f>
        <v>5</v>
      </c>
      <c r="W1603" s="32" t="n">
        <f aca="false">INDEX('Tabela Passaro'!$R$2:$R$1795,$N1603)</f>
        <v>30</v>
      </c>
      <c r="X1603" s="32" t="n">
        <f aca="false">ROUNDUP(J1603/INDEX('Tabela Passaro'!$T$2:$T$1795,$N1603),0)*INDEX('Tabela Passaro'!$S$2:$S$1795,$N1603)</f>
        <v>0</v>
      </c>
      <c r="Y1603" s="32" t="n">
        <f aca="false">INDEX('Tabela Passaro'!$U$2:$U$1795,$N1603)</f>
        <v>0</v>
      </c>
      <c r="Z1603" s="32" t="n">
        <f aca="false">INDEX('Tabela Passaro'!$V$2:$V$1795,$N1603)</f>
        <v>0</v>
      </c>
      <c r="AA1603" s="32" t="n">
        <f aca="false">SUM(R1603:Z1603)</f>
        <v>243.48955</v>
      </c>
      <c r="AB1603" s="33" t="n">
        <f aca="false">INDEX(Premissas!$B$5:$B$13,MATCH(A1603,Premissas!$A$5:$A$13,0))</f>
        <v>0.07</v>
      </c>
      <c r="AC1603" s="32" t="n">
        <f aca="false">AA1603/(1-AB1603)-AA1603</f>
        <v>18.3271704301076</v>
      </c>
      <c r="AD1603" s="32" t="n">
        <f aca="false">ROUND(AA1603+AC1603,2)</f>
        <v>261.82</v>
      </c>
      <c r="AE1603" s="32" t="n">
        <f aca="false">AD1603-L1603</f>
        <v>169.76</v>
      </c>
      <c r="AF1603" s="34" t="n">
        <f aca="false">IF(L1603=0,0,AE1603/L1603)</f>
        <v>1.84401477297415</v>
      </c>
      <c r="AG1603" s="22" t="str">
        <f aca="false">IF(AD1603&lt;L1603,"PASSARO","ATUAL")</f>
        <v>ATUAL</v>
      </c>
      <c r="AH1603" s="22" t="str">
        <f aca="false">IF(P1603&lt;&gt;A1603,"Faixa cadastrada como "&amp;P1603&amp;" na tabela; preço aplicado pela UF do CEP","")</f>
        <v/>
      </c>
      <c r="AI1603" s="26" t="n">
        <v>289.86</v>
      </c>
      <c r="AJ1603" s="22" t="str">
        <f aca="false">INDEX('Tabela Passaro'!$X$2:$X$1795,$N1603)</f>
        <v>CAPITAL</v>
      </c>
    </row>
    <row r="1604" customFormat="false" ht="15" hidden="false" customHeight="false" outlineLevel="0" collapsed="false">
      <c r="A1604" s="22" t="s">
        <v>21</v>
      </c>
      <c r="B1604" s="22" t="n">
        <v>1</v>
      </c>
      <c r="C1604" s="22" t="s">
        <v>167</v>
      </c>
      <c r="D1604" s="22" t="s">
        <v>31</v>
      </c>
      <c r="E1604" s="22" t="s">
        <v>7326</v>
      </c>
      <c r="F1604" s="22" t="n">
        <v>12829095</v>
      </c>
      <c r="G1604" s="30" t="n">
        <v>46255</v>
      </c>
      <c r="H1604" s="22" t="n">
        <v>627804</v>
      </c>
      <c r="I1604" s="22" t="s">
        <v>8799</v>
      </c>
      <c r="J1604" s="31" t="n">
        <v>20.8</v>
      </c>
      <c r="K1604" s="26" t="n">
        <v>546.81</v>
      </c>
      <c r="L1604" s="26" t="n">
        <v>91.81</v>
      </c>
      <c r="M1604" s="22" t="s">
        <v>5498</v>
      </c>
      <c r="N1604" s="22" t="n">
        <f aca="false">MATCH(M1604,'Tabela Passaro'!$A$2:$A$1795,0)</f>
        <v>1329</v>
      </c>
      <c r="O1604" s="22" t="str">
        <f aca="false">INDEX('Tabela Passaro'!$C$2:$C$1795,$N1604)</f>
        <v>TERESINA</v>
      </c>
      <c r="P1604" s="22" t="str">
        <f aca="false">INDEX('Tabela Passaro'!$B$2:$B$1795,$N1604)</f>
        <v>PI</v>
      </c>
      <c r="Q1604" s="22" t="n">
        <f aca="false">INDEX('Tabela Passaro'!$F$2:$F$1795,$N1604)</f>
        <v>10</v>
      </c>
      <c r="R1604" s="32" t="n">
        <f aca="false">IF(J1604&lt;=10,INDEX('Tabela Passaro'!$G$2:$G$1795,$N1604),IF(J1604&lt;=30,INDEX('Tabela Passaro'!$H$2:$H$1795,$N1604),IF(J1604&lt;=50,INDEX('Tabela Passaro'!$I$2:$I$1795,$N1604),IF(J1604&lt;=70,INDEX('Tabela Passaro'!$J$2:$J$1795,$N1604),IF(J1604&lt;=100,INDEX('Tabela Passaro'!$K$2:$K$1795,$N1604),INDEX('Tabela Passaro'!$K$2:$K$1795,$N1604)+(J1604-100)*INDEX('Tabela Passaro'!$L$2:$L$1795,$N1604))))))</f>
        <v>199.53</v>
      </c>
      <c r="S1604" s="32" t="n">
        <f aca="false">K1604*INDEX('Tabela Passaro'!$M$2:$M$1795,$N1604)</f>
        <v>2.73405</v>
      </c>
      <c r="T1604" s="32" t="n">
        <f aca="false">K1604*INDEX('Tabela Passaro'!$N$2:$N$1795,$N1604)</f>
        <v>1.09362</v>
      </c>
      <c r="U1604" s="32" t="n">
        <f aca="false">INDEX('Tabela Passaro'!$O$2:$O$1795,$N1604)</f>
        <v>5</v>
      </c>
      <c r="V1604" s="32" t="n">
        <f aca="false">ROUNDUP(J1604/INDEX('Tabela Passaro'!$Q$2:$Q$1795,$N1604),0)*INDEX('Tabela Passaro'!$P$2:$P$1795,$N1604)</f>
        <v>5</v>
      </c>
      <c r="W1604" s="32" t="n">
        <f aca="false">INDEX('Tabela Passaro'!$R$2:$R$1795,$N1604)</f>
        <v>30</v>
      </c>
      <c r="X1604" s="32" t="n">
        <f aca="false">ROUNDUP(J1604/INDEX('Tabela Passaro'!$T$2:$T$1795,$N1604),0)*INDEX('Tabela Passaro'!$S$2:$S$1795,$N1604)</f>
        <v>0</v>
      </c>
      <c r="Y1604" s="32" t="n">
        <f aca="false">INDEX('Tabela Passaro'!$U$2:$U$1795,$N1604)</f>
        <v>0</v>
      </c>
      <c r="Z1604" s="32" t="n">
        <f aca="false">INDEX('Tabela Passaro'!$V$2:$V$1795,$N1604)</f>
        <v>0</v>
      </c>
      <c r="AA1604" s="32" t="n">
        <f aca="false">SUM(R1604:Z1604)</f>
        <v>243.35767</v>
      </c>
      <c r="AB1604" s="33" t="n">
        <f aca="false">INDEX(Premissas!$B$5:$B$13,MATCH(A1604,Premissas!$A$5:$A$13,0))</f>
        <v>0.07</v>
      </c>
      <c r="AC1604" s="32" t="n">
        <f aca="false">AA1604/(1-AB1604)-AA1604</f>
        <v>18.3172439784946</v>
      </c>
      <c r="AD1604" s="32" t="n">
        <f aca="false">ROUND(AA1604+AC1604,2)</f>
        <v>261.67</v>
      </c>
      <c r="AE1604" s="32" t="n">
        <f aca="false">AD1604-L1604</f>
        <v>169.86</v>
      </c>
      <c r="AF1604" s="34" t="n">
        <f aca="false">IF(L1604=0,0,AE1604/L1604)</f>
        <v>1.85012525868642</v>
      </c>
      <c r="AG1604" s="22" t="str">
        <f aca="false">IF(AD1604&lt;L1604,"PASSARO","ATUAL")</f>
        <v>ATUAL</v>
      </c>
      <c r="AH1604" s="22" t="str">
        <f aca="false">IF(P1604&lt;&gt;A1604,"Faixa cadastrada como "&amp;P1604&amp;" na tabela; preço aplicado pela UF do CEP","")</f>
        <v/>
      </c>
      <c r="AI1604" s="26" t="n">
        <v>289.68</v>
      </c>
      <c r="AJ1604" s="22" t="str">
        <f aca="false">INDEX('Tabela Passaro'!$X$2:$X$1795,$N1604)</f>
        <v>CAPITAL</v>
      </c>
    </row>
    <row r="1605" customFormat="false" ht="15" hidden="false" customHeight="false" outlineLevel="0" collapsed="false">
      <c r="A1605" s="22" t="s">
        <v>21</v>
      </c>
      <c r="B1605" s="22" t="n">
        <v>1</v>
      </c>
      <c r="C1605" s="22" t="s">
        <v>167</v>
      </c>
      <c r="D1605" s="22" t="s">
        <v>31</v>
      </c>
      <c r="E1605" s="22" t="s">
        <v>7326</v>
      </c>
      <c r="F1605" s="22" t="n">
        <v>12829030</v>
      </c>
      <c r="G1605" s="30" t="n">
        <v>46255</v>
      </c>
      <c r="H1605" s="22" t="n">
        <v>628055</v>
      </c>
      <c r="I1605" s="22" t="s">
        <v>8800</v>
      </c>
      <c r="J1605" s="31" t="n">
        <v>19.5</v>
      </c>
      <c r="K1605" s="26" t="n">
        <v>568.62</v>
      </c>
      <c r="L1605" s="26" t="n">
        <v>82.05</v>
      </c>
      <c r="M1605" s="22" t="s">
        <v>5498</v>
      </c>
      <c r="N1605" s="22" t="n">
        <f aca="false">MATCH(M1605,'Tabela Passaro'!$A$2:$A$1795,0)</f>
        <v>1329</v>
      </c>
      <c r="O1605" s="22" t="str">
        <f aca="false">INDEX('Tabela Passaro'!$C$2:$C$1795,$N1605)</f>
        <v>TERESINA</v>
      </c>
      <c r="P1605" s="22" t="str">
        <f aca="false">INDEX('Tabela Passaro'!$B$2:$B$1795,$N1605)</f>
        <v>PI</v>
      </c>
      <c r="Q1605" s="22" t="n">
        <f aca="false">INDEX('Tabela Passaro'!$F$2:$F$1795,$N1605)</f>
        <v>10</v>
      </c>
      <c r="R1605" s="32" t="n">
        <f aca="false">IF(J1605&lt;=10,INDEX('Tabela Passaro'!$G$2:$G$1795,$N1605),IF(J1605&lt;=30,INDEX('Tabela Passaro'!$H$2:$H$1795,$N1605),IF(J1605&lt;=50,INDEX('Tabela Passaro'!$I$2:$I$1795,$N1605),IF(J1605&lt;=70,INDEX('Tabela Passaro'!$J$2:$J$1795,$N1605),IF(J1605&lt;=100,INDEX('Tabela Passaro'!$K$2:$K$1795,$N1605),INDEX('Tabela Passaro'!$K$2:$K$1795,$N1605)+(J1605-100)*INDEX('Tabela Passaro'!$L$2:$L$1795,$N1605))))))</f>
        <v>199.53</v>
      </c>
      <c r="S1605" s="32" t="n">
        <f aca="false">K1605*INDEX('Tabela Passaro'!$M$2:$M$1795,$N1605)</f>
        <v>2.8431</v>
      </c>
      <c r="T1605" s="32" t="n">
        <f aca="false">K1605*INDEX('Tabela Passaro'!$N$2:$N$1795,$N1605)</f>
        <v>1.13724</v>
      </c>
      <c r="U1605" s="32" t="n">
        <f aca="false">INDEX('Tabela Passaro'!$O$2:$O$1795,$N1605)</f>
        <v>5</v>
      </c>
      <c r="V1605" s="32" t="n">
        <f aca="false">ROUNDUP(J1605/INDEX('Tabela Passaro'!$Q$2:$Q$1795,$N1605),0)*INDEX('Tabela Passaro'!$P$2:$P$1795,$N1605)</f>
        <v>5</v>
      </c>
      <c r="W1605" s="32" t="n">
        <f aca="false">INDEX('Tabela Passaro'!$R$2:$R$1795,$N1605)</f>
        <v>30</v>
      </c>
      <c r="X1605" s="32" t="n">
        <f aca="false">ROUNDUP(J1605/INDEX('Tabela Passaro'!$T$2:$T$1795,$N1605),0)*INDEX('Tabela Passaro'!$S$2:$S$1795,$N1605)</f>
        <v>0</v>
      </c>
      <c r="Y1605" s="32" t="n">
        <f aca="false">INDEX('Tabela Passaro'!$U$2:$U$1795,$N1605)</f>
        <v>0</v>
      </c>
      <c r="Z1605" s="32" t="n">
        <f aca="false">INDEX('Tabela Passaro'!$V$2:$V$1795,$N1605)</f>
        <v>0</v>
      </c>
      <c r="AA1605" s="32" t="n">
        <f aca="false">SUM(R1605:Z1605)</f>
        <v>243.51034</v>
      </c>
      <c r="AB1605" s="33" t="n">
        <f aca="false">INDEX(Premissas!$B$5:$B$13,MATCH(A1605,Premissas!$A$5:$A$13,0))</f>
        <v>0.07</v>
      </c>
      <c r="AC1605" s="32" t="n">
        <f aca="false">AA1605/(1-AB1605)-AA1605</f>
        <v>18.3287352688172</v>
      </c>
      <c r="AD1605" s="32" t="n">
        <f aca="false">ROUND(AA1605+AC1605,2)</f>
        <v>261.84</v>
      </c>
      <c r="AE1605" s="32" t="n">
        <f aca="false">AD1605-L1605</f>
        <v>179.79</v>
      </c>
      <c r="AF1605" s="34" t="n">
        <f aca="false">IF(L1605=0,0,AE1605/L1605)</f>
        <v>2.19122486288848</v>
      </c>
      <c r="AG1605" s="22" t="str">
        <f aca="false">IF(AD1605&lt;L1605,"PASSARO","ATUAL")</f>
        <v>ATUAL</v>
      </c>
      <c r="AH1605" s="22" t="str">
        <f aca="false">IF(P1605&lt;&gt;A1605,"Faixa cadastrada como "&amp;P1605&amp;" na tabela; preço aplicado pela UF do CEP","")</f>
        <v/>
      </c>
      <c r="AI1605" s="26" t="n">
        <v>289.41</v>
      </c>
      <c r="AJ1605" s="22" t="str">
        <f aca="false">INDEX('Tabela Passaro'!$X$2:$X$1795,$N1605)</f>
        <v>CAPITAL</v>
      </c>
    </row>
    <row r="1606" customFormat="false" ht="15" hidden="false" customHeight="false" outlineLevel="0" collapsed="false">
      <c r="A1606" s="22" t="s">
        <v>21</v>
      </c>
      <c r="B1606" s="22" t="n">
        <v>1</v>
      </c>
      <c r="C1606" s="22" t="s">
        <v>167</v>
      </c>
      <c r="D1606" s="22" t="s">
        <v>31</v>
      </c>
      <c r="E1606" s="22" t="s">
        <v>7326</v>
      </c>
      <c r="F1606" s="22" t="n">
        <v>12844983</v>
      </c>
      <c r="G1606" s="30" t="n">
        <v>46259</v>
      </c>
      <c r="H1606" s="22" t="n">
        <v>628944</v>
      </c>
      <c r="I1606" s="22" t="s">
        <v>8801</v>
      </c>
      <c r="J1606" s="31" t="n">
        <v>20.8</v>
      </c>
      <c r="K1606" s="26" t="n">
        <v>641.45</v>
      </c>
      <c r="L1606" s="26" t="n">
        <v>92.43</v>
      </c>
      <c r="M1606" s="22" t="s">
        <v>5498</v>
      </c>
      <c r="N1606" s="22" t="n">
        <f aca="false">MATCH(M1606,'Tabela Passaro'!$A$2:$A$1795,0)</f>
        <v>1329</v>
      </c>
      <c r="O1606" s="22" t="str">
        <f aca="false">INDEX('Tabela Passaro'!$C$2:$C$1795,$N1606)</f>
        <v>TERESINA</v>
      </c>
      <c r="P1606" s="22" t="str">
        <f aca="false">INDEX('Tabela Passaro'!$B$2:$B$1795,$N1606)</f>
        <v>PI</v>
      </c>
      <c r="Q1606" s="22" t="n">
        <f aca="false">INDEX('Tabela Passaro'!$F$2:$F$1795,$N1606)</f>
        <v>10</v>
      </c>
      <c r="R1606" s="32" t="n">
        <f aca="false">IF(J1606&lt;=10,INDEX('Tabela Passaro'!$G$2:$G$1795,$N1606),IF(J1606&lt;=30,INDEX('Tabela Passaro'!$H$2:$H$1795,$N1606),IF(J1606&lt;=50,INDEX('Tabela Passaro'!$I$2:$I$1795,$N1606),IF(J1606&lt;=70,INDEX('Tabela Passaro'!$J$2:$J$1795,$N1606),IF(J1606&lt;=100,INDEX('Tabela Passaro'!$K$2:$K$1795,$N1606),INDEX('Tabela Passaro'!$K$2:$K$1795,$N1606)+(J1606-100)*INDEX('Tabela Passaro'!$L$2:$L$1795,$N1606))))))</f>
        <v>199.53</v>
      </c>
      <c r="S1606" s="32" t="n">
        <f aca="false">K1606*INDEX('Tabela Passaro'!$M$2:$M$1795,$N1606)</f>
        <v>3.20725</v>
      </c>
      <c r="T1606" s="32" t="n">
        <f aca="false">K1606*INDEX('Tabela Passaro'!$N$2:$N$1795,$N1606)</f>
        <v>1.2829</v>
      </c>
      <c r="U1606" s="32" t="n">
        <f aca="false">INDEX('Tabela Passaro'!$O$2:$O$1795,$N1606)</f>
        <v>5</v>
      </c>
      <c r="V1606" s="32" t="n">
        <f aca="false">ROUNDUP(J1606/INDEX('Tabela Passaro'!$Q$2:$Q$1795,$N1606),0)*INDEX('Tabela Passaro'!$P$2:$P$1795,$N1606)</f>
        <v>5</v>
      </c>
      <c r="W1606" s="32" t="n">
        <f aca="false">INDEX('Tabela Passaro'!$R$2:$R$1795,$N1606)</f>
        <v>30</v>
      </c>
      <c r="X1606" s="32" t="n">
        <f aca="false">ROUNDUP(J1606/INDEX('Tabela Passaro'!$T$2:$T$1795,$N1606),0)*INDEX('Tabela Passaro'!$S$2:$S$1795,$N1606)</f>
        <v>0</v>
      </c>
      <c r="Y1606" s="32" t="n">
        <f aca="false">INDEX('Tabela Passaro'!$U$2:$U$1795,$N1606)</f>
        <v>0</v>
      </c>
      <c r="Z1606" s="32" t="n">
        <f aca="false">INDEX('Tabela Passaro'!$V$2:$V$1795,$N1606)</f>
        <v>0</v>
      </c>
      <c r="AA1606" s="32" t="n">
        <f aca="false">SUM(R1606:Z1606)</f>
        <v>244.02015</v>
      </c>
      <c r="AB1606" s="33" t="n">
        <f aca="false">INDEX(Premissas!$B$5:$B$13,MATCH(A1606,Premissas!$A$5:$A$13,0))</f>
        <v>0.07</v>
      </c>
      <c r="AC1606" s="32" t="n">
        <f aca="false">AA1606/(1-AB1606)-AA1606</f>
        <v>18.3671080645162</v>
      </c>
      <c r="AD1606" s="32" t="n">
        <f aca="false">ROUND(AA1606+AC1606,2)</f>
        <v>262.39</v>
      </c>
      <c r="AE1606" s="32" t="n">
        <f aca="false">AD1606-L1606</f>
        <v>169.96</v>
      </c>
      <c r="AF1606" s="34" t="n">
        <f aca="false">IF(L1606=0,0,AE1606/L1606)</f>
        <v>1.83879692740452</v>
      </c>
      <c r="AG1606" s="22" t="str">
        <f aca="false">IF(AD1606&lt;L1606,"PASSARO","ATUAL")</f>
        <v>ATUAL</v>
      </c>
      <c r="AH1606" s="22" t="str">
        <f aca="false">IF(P1606&lt;&gt;A1606,"Faixa cadastrada como "&amp;P1606&amp;" na tabela; preço aplicado pela UF do CEP","")</f>
        <v/>
      </c>
      <c r="AI1606" s="26" t="n">
        <v>290.59</v>
      </c>
      <c r="AJ1606" s="22" t="str">
        <f aca="false">INDEX('Tabela Passaro'!$X$2:$X$1795,$N1606)</f>
        <v>CAPITAL</v>
      </c>
    </row>
    <row r="1607" customFormat="false" ht="15" hidden="false" customHeight="false" outlineLevel="0" collapsed="false">
      <c r="A1607" s="22" t="s">
        <v>21</v>
      </c>
      <c r="B1607" s="22" t="n">
        <v>1</v>
      </c>
      <c r="C1607" s="22" t="s">
        <v>167</v>
      </c>
      <c r="D1607" s="22" t="s">
        <v>31</v>
      </c>
      <c r="E1607" s="22" t="s">
        <v>7326</v>
      </c>
      <c r="F1607" s="22" t="n">
        <v>12851103</v>
      </c>
      <c r="G1607" s="30" t="n">
        <v>46260</v>
      </c>
      <c r="H1607" s="22" t="n">
        <v>629710</v>
      </c>
      <c r="I1607" s="22" t="s">
        <v>8802</v>
      </c>
      <c r="J1607" s="31" t="n">
        <v>19.5</v>
      </c>
      <c r="K1607" s="26" t="n">
        <v>568.62</v>
      </c>
      <c r="L1607" s="26" t="n">
        <v>82.05</v>
      </c>
      <c r="M1607" s="22" t="s">
        <v>5498</v>
      </c>
      <c r="N1607" s="22" t="n">
        <f aca="false">MATCH(M1607,'Tabela Passaro'!$A$2:$A$1795,0)</f>
        <v>1329</v>
      </c>
      <c r="O1607" s="22" t="str">
        <f aca="false">INDEX('Tabela Passaro'!$C$2:$C$1795,$N1607)</f>
        <v>TERESINA</v>
      </c>
      <c r="P1607" s="22" t="str">
        <f aca="false">INDEX('Tabela Passaro'!$B$2:$B$1795,$N1607)</f>
        <v>PI</v>
      </c>
      <c r="Q1607" s="22" t="n">
        <f aca="false">INDEX('Tabela Passaro'!$F$2:$F$1795,$N1607)</f>
        <v>10</v>
      </c>
      <c r="R1607" s="32" t="n">
        <f aca="false">IF(J1607&lt;=10,INDEX('Tabela Passaro'!$G$2:$G$1795,$N1607),IF(J1607&lt;=30,INDEX('Tabela Passaro'!$H$2:$H$1795,$N1607),IF(J1607&lt;=50,INDEX('Tabela Passaro'!$I$2:$I$1795,$N1607),IF(J1607&lt;=70,INDEX('Tabela Passaro'!$J$2:$J$1795,$N1607),IF(J1607&lt;=100,INDEX('Tabela Passaro'!$K$2:$K$1795,$N1607),INDEX('Tabela Passaro'!$K$2:$K$1795,$N1607)+(J1607-100)*INDEX('Tabela Passaro'!$L$2:$L$1795,$N1607))))))</f>
        <v>199.53</v>
      </c>
      <c r="S1607" s="32" t="n">
        <f aca="false">K1607*INDEX('Tabela Passaro'!$M$2:$M$1795,$N1607)</f>
        <v>2.8431</v>
      </c>
      <c r="T1607" s="32" t="n">
        <f aca="false">K1607*INDEX('Tabela Passaro'!$N$2:$N$1795,$N1607)</f>
        <v>1.13724</v>
      </c>
      <c r="U1607" s="32" t="n">
        <f aca="false">INDEX('Tabela Passaro'!$O$2:$O$1795,$N1607)</f>
        <v>5</v>
      </c>
      <c r="V1607" s="32" t="n">
        <f aca="false">ROUNDUP(J1607/INDEX('Tabela Passaro'!$Q$2:$Q$1795,$N1607),0)*INDEX('Tabela Passaro'!$P$2:$P$1795,$N1607)</f>
        <v>5</v>
      </c>
      <c r="W1607" s="32" t="n">
        <f aca="false">INDEX('Tabela Passaro'!$R$2:$R$1795,$N1607)</f>
        <v>30</v>
      </c>
      <c r="X1607" s="32" t="n">
        <f aca="false">ROUNDUP(J1607/INDEX('Tabela Passaro'!$T$2:$T$1795,$N1607),0)*INDEX('Tabela Passaro'!$S$2:$S$1795,$N1607)</f>
        <v>0</v>
      </c>
      <c r="Y1607" s="32" t="n">
        <f aca="false">INDEX('Tabela Passaro'!$U$2:$U$1795,$N1607)</f>
        <v>0</v>
      </c>
      <c r="Z1607" s="32" t="n">
        <f aca="false">INDEX('Tabela Passaro'!$V$2:$V$1795,$N1607)</f>
        <v>0</v>
      </c>
      <c r="AA1607" s="32" t="n">
        <f aca="false">SUM(R1607:Z1607)</f>
        <v>243.51034</v>
      </c>
      <c r="AB1607" s="33" t="n">
        <f aca="false">INDEX(Premissas!$B$5:$B$13,MATCH(A1607,Premissas!$A$5:$A$13,0))</f>
        <v>0.07</v>
      </c>
      <c r="AC1607" s="32" t="n">
        <f aca="false">AA1607/(1-AB1607)-AA1607</f>
        <v>18.3287352688172</v>
      </c>
      <c r="AD1607" s="32" t="n">
        <f aca="false">ROUND(AA1607+AC1607,2)</f>
        <v>261.84</v>
      </c>
      <c r="AE1607" s="32" t="n">
        <f aca="false">AD1607-L1607</f>
        <v>179.79</v>
      </c>
      <c r="AF1607" s="34" t="n">
        <f aca="false">IF(L1607=0,0,AE1607/L1607)</f>
        <v>2.19122486288848</v>
      </c>
      <c r="AG1607" s="22" t="str">
        <f aca="false">IF(AD1607&lt;L1607,"PASSARO","ATUAL")</f>
        <v>ATUAL</v>
      </c>
      <c r="AH1607" s="22" t="str">
        <f aca="false">IF(P1607&lt;&gt;A1607,"Faixa cadastrada como "&amp;P1607&amp;" na tabela; preço aplicado pela UF do CEP","")</f>
        <v/>
      </c>
      <c r="AI1607" s="26" t="n">
        <v>289.41</v>
      </c>
      <c r="AJ1607" s="22" t="str">
        <f aca="false">INDEX('Tabela Passaro'!$X$2:$X$1795,$N1607)</f>
        <v>CAPITAL</v>
      </c>
    </row>
    <row r="1608" customFormat="false" ht="15" hidden="false" customHeight="false" outlineLevel="0" collapsed="false">
      <c r="A1608" s="22" t="s">
        <v>21</v>
      </c>
      <c r="B1608" s="22" t="n">
        <v>2</v>
      </c>
      <c r="C1608" s="22" t="s">
        <v>169</v>
      </c>
      <c r="D1608" s="22" t="s">
        <v>32</v>
      </c>
      <c r="E1608" s="22" t="s">
        <v>7326</v>
      </c>
      <c r="F1608" s="22" t="n">
        <v>902344</v>
      </c>
      <c r="G1608" s="30" t="n">
        <v>46244</v>
      </c>
      <c r="H1608" s="22" t="n">
        <v>622034</v>
      </c>
      <c r="I1608" s="22" t="s">
        <v>8803</v>
      </c>
      <c r="J1608" s="31" t="n">
        <v>67.8</v>
      </c>
      <c r="K1608" s="26" t="n">
        <v>1278.33</v>
      </c>
      <c r="L1608" s="26" t="n">
        <v>271.62</v>
      </c>
      <c r="M1608" s="22" t="s">
        <v>5664</v>
      </c>
      <c r="N1608" s="22" t="n">
        <f aca="false">MATCH(M1608,'Tabela Passaro'!$A$2:$A$1795,0)</f>
        <v>1371</v>
      </c>
      <c r="O1608" s="22" t="str">
        <f aca="false">INDEX('Tabela Passaro'!$C$2:$C$1795,$N1608)</f>
        <v>PARNAIBA</v>
      </c>
      <c r="P1608" s="22" t="str">
        <f aca="false">INDEX('Tabela Passaro'!$B$2:$B$1795,$N1608)</f>
        <v>PI</v>
      </c>
      <c r="Q1608" s="22" t="n">
        <f aca="false">INDEX('Tabela Passaro'!$F$2:$F$1795,$N1608)</f>
        <v>13</v>
      </c>
      <c r="R1608" s="32" t="n">
        <f aca="false">IF(J1608&lt;=10,INDEX('Tabela Passaro'!$G$2:$G$1795,$N1608),IF(J1608&lt;=30,INDEX('Tabela Passaro'!$H$2:$H$1795,$N1608),IF(J1608&lt;=50,INDEX('Tabela Passaro'!$I$2:$I$1795,$N1608),IF(J1608&lt;=70,INDEX('Tabela Passaro'!$J$2:$J$1795,$N1608),IF(J1608&lt;=100,INDEX('Tabela Passaro'!$K$2:$K$1795,$N1608),INDEX('Tabela Passaro'!$K$2:$K$1795,$N1608)+(J1608-100)*INDEX('Tabela Passaro'!$L$2:$L$1795,$N1608))))))</f>
        <v>252.78</v>
      </c>
      <c r="S1608" s="32" t="n">
        <f aca="false">K1608*INDEX('Tabela Passaro'!$M$2:$M$1795,$N1608)</f>
        <v>6.39165</v>
      </c>
      <c r="T1608" s="32" t="n">
        <f aca="false">K1608*INDEX('Tabela Passaro'!$N$2:$N$1795,$N1608)</f>
        <v>2.55666</v>
      </c>
      <c r="U1608" s="32" t="n">
        <f aca="false">INDEX('Tabela Passaro'!$O$2:$O$1795,$N1608)</f>
        <v>5</v>
      </c>
      <c r="V1608" s="32" t="n">
        <f aca="false">ROUNDUP(J1608/INDEX('Tabela Passaro'!$Q$2:$Q$1795,$N1608),0)*INDEX('Tabela Passaro'!$P$2:$P$1795,$N1608)</f>
        <v>5</v>
      </c>
      <c r="W1608" s="32" t="n">
        <f aca="false">INDEX('Tabela Passaro'!$R$2:$R$1795,$N1608)</f>
        <v>30</v>
      </c>
      <c r="X1608" s="32" t="n">
        <f aca="false">ROUNDUP(J1608/INDEX('Tabela Passaro'!$T$2:$T$1795,$N1608),0)*INDEX('Tabela Passaro'!$S$2:$S$1795,$N1608)</f>
        <v>0</v>
      </c>
      <c r="Y1608" s="32" t="n">
        <f aca="false">INDEX('Tabela Passaro'!$U$2:$U$1795,$N1608)</f>
        <v>0</v>
      </c>
      <c r="Z1608" s="32" t="n">
        <f aca="false">INDEX('Tabela Passaro'!$V$2:$V$1795,$N1608)</f>
        <v>0</v>
      </c>
      <c r="AA1608" s="32" t="n">
        <f aca="false">SUM(R1608:Z1608)</f>
        <v>301.72831</v>
      </c>
      <c r="AB1608" s="33" t="n">
        <f aca="false">INDEX(Premissas!$B$5:$B$13,MATCH(A1608,Premissas!$A$5:$A$13,0))</f>
        <v>0.07</v>
      </c>
      <c r="AC1608" s="32" t="n">
        <f aca="false">AA1608/(1-AB1608)-AA1608</f>
        <v>22.7107330107527</v>
      </c>
      <c r="AD1608" s="32" t="n">
        <f aca="false">ROUND(AA1608+AC1608,2)</f>
        <v>324.44</v>
      </c>
      <c r="AE1608" s="32" t="n">
        <f aca="false">AD1608-L1608</f>
        <v>52.82</v>
      </c>
      <c r="AF1608" s="34" t="n">
        <f aca="false">IF(L1608=0,0,AE1608/L1608)</f>
        <v>0.194462852514542</v>
      </c>
      <c r="AG1608" s="22" t="str">
        <f aca="false">IF(AD1608&lt;L1608,"PASSARO","ATUAL")</f>
        <v>ATUAL</v>
      </c>
      <c r="AH1608" s="22" t="str">
        <f aca="false">IF(P1608&lt;&gt;A1608,"Faixa cadastrada como "&amp;P1608&amp;" na tabela; preço aplicado pela UF do CEP","")</f>
        <v/>
      </c>
      <c r="AI1608" s="26" t="n">
        <v>363.64</v>
      </c>
      <c r="AJ1608" s="22" t="str">
        <f aca="false">INDEX('Tabela Passaro'!$X$2:$X$1795,$N1608)</f>
        <v>INTERIOR 1</v>
      </c>
    </row>
    <row r="1609" customFormat="false" ht="15" hidden="false" customHeight="false" outlineLevel="0" collapsed="false">
      <c r="A1609" s="22" t="s">
        <v>21</v>
      </c>
      <c r="B1609" s="22" t="n">
        <v>2</v>
      </c>
      <c r="C1609" s="22" t="s">
        <v>169</v>
      </c>
      <c r="D1609" s="22" t="s">
        <v>32</v>
      </c>
      <c r="E1609" s="22" t="s">
        <v>7326</v>
      </c>
      <c r="F1609" s="22" t="n">
        <v>902357</v>
      </c>
      <c r="G1609" s="30" t="n">
        <v>46244</v>
      </c>
      <c r="H1609" s="22" t="n">
        <v>622156</v>
      </c>
      <c r="I1609" s="22" t="s">
        <v>8804</v>
      </c>
      <c r="J1609" s="31" t="n">
        <v>75.36</v>
      </c>
      <c r="K1609" s="26" t="n">
        <v>2800.81</v>
      </c>
      <c r="L1609" s="26" t="n">
        <v>336.83</v>
      </c>
      <c r="M1609" s="22" t="s">
        <v>5664</v>
      </c>
      <c r="N1609" s="22" t="n">
        <f aca="false">MATCH(M1609,'Tabela Passaro'!$A$2:$A$1795,0)</f>
        <v>1371</v>
      </c>
      <c r="O1609" s="22" t="str">
        <f aca="false">INDEX('Tabela Passaro'!$C$2:$C$1795,$N1609)</f>
        <v>PARNAIBA</v>
      </c>
      <c r="P1609" s="22" t="str">
        <f aca="false">INDEX('Tabela Passaro'!$B$2:$B$1795,$N1609)</f>
        <v>PI</v>
      </c>
      <c r="Q1609" s="22" t="n">
        <f aca="false">INDEX('Tabela Passaro'!$F$2:$F$1795,$N1609)</f>
        <v>13</v>
      </c>
      <c r="R1609" s="32" t="n">
        <f aca="false">IF(J1609&lt;=10,INDEX('Tabela Passaro'!$G$2:$G$1795,$N1609),IF(J1609&lt;=30,INDEX('Tabela Passaro'!$H$2:$H$1795,$N1609),IF(J1609&lt;=50,INDEX('Tabela Passaro'!$I$2:$I$1795,$N1609),IF(J1609&lt;=70,INDEX('Tabela Passaro'!$J$2:$J$1795,$N1609),IF(J1609&lt;=100,INDEX('Tabela Passaro'!$K$2:$K$1795,$N1609),INDEX('Tabela Passaro'!$K$2:$K$1795,$N1609)+(J1609-100)*INDEX('Tabela Passaro'!$L$2:$L$1795,$N1609))))))</f>
        <v>269.38</v>
      </c>
      <c r="S1609" s="32" t="n">
        <f aca="false">K1609*INDEX('Tabela Passaro'!$M$2:$M$1795,$N1609)</f>
        <v>14.00405</v>
      </c>
      <c r="T1609" s="32" t="n">
        <f aca="false">K1609*INDEX('Tabela Passaro'!$N$2:$N$1795,$N1609)</f>
        <v>5.60162</v>
      </c>
      <c r="U1609" s="32" t="n">
        <f aca="false">INDEX('Tabela Passaro'!$O$2:$O$1795,$N1609)</f>
        <v>5</v>
      </c>
      <c r="V1609" s="32" t="n">
        <f aca="false">ROUNDUP(J1609/INDEX('Tabela Passaro'!$Q$2:$Q$1795,$N1609),0)*INDEX('Tabela Passaro'!$P$2:$P$1795,$N1609)</f>
        <v>5</v>
      </c>
      <c r="W1609" s="32" t="n">
        <f aca="false">INDEX('Tabela Passaro'!$R$2:$R$1795,$N1609)</f>
        <v>30</v>
      </c>
      <c r="X1609" s="32" t="n">
        <f aca="false">ROUNDUP(J1609/INDEX('Tabela Passaro'!$T$2:$T$1795,$N1609),0)*INDEX('Tabela Passaro'!$S$2:$S$1795,$N1609)</f>
        <v>0</v>
      </c>
      <c r="Y1609" s="32" t="n">
        <f aca="false">INDEX('Tabela Passaro'!$U$2:$U$1795,$N1609)</f>
        <v>0</v>
      </c>
      <c r="Z1609" s="32" t="n">
        <f aca="false">INDEX('Tabela Passaro'!$V$2:$V$1795,$N1609)</f>
        <v>0</v>
      </c>
      <c r="AA1609" s="32" t="n">
        <f aca="false">SUM(R1609:Z1609)</f>
        <v>328.98567</v>
      </c>
      <c r="AB1609" s="33" t="n">
        <f aca="false">INDEX(Premissas!$B$5:$B$13,MATCH(A1609,Premissas!$A$5:$A$13,0))</f>
        <v>0.07</v>
      </c>
      <c r="AC1609" s="32" t="n">
        <f aca="false">AA1609/(1-AB1609)-AA1609</f>
        <v>24.7623622580645</v>
      </c>
      <c r="AD1609" s="32" t="n">
        <f aca="false">ROUND(AA1609+AC1609,2)</f>
        <v>353.75</v>
      </c>
      <c r="AE1609" s="32" t="n">
        <f aca="false">AD1609-L1609</f>
        <v>16.92</v>
      </c>
      <c r="AF1609" s="34" t="n">
        <f aca="false">IF(L1609=0,0,AE1609/L1609)</f>
        <v>0.0502330552504231</v>
      </c>
      <c r="AG1609" s="22" t="str">
        <f aca="false">IF(AD1609&lt;L1609,"PASSARO","ATUAL")</f>
        <v>ATUAL</v>
      </c>
      <c r="AH1609" s="22" t="str">
        <f aca="false">IF(P1609&lt;&gt;A1609,"Faixa cadastrada como "&amp;P1609&amp;" na tabela; preço aplicado pela UF do CEP","")</f>
        <v/>
      </c>
      <c r="AI1609" s="26" t="n">
        <v>401.04</v>
      </c>
      <c r="AJ1609" s="22" t="str">
        <f aca="false">INDEX('Tabela Passaro'!$X$2:$X$1795,$N1609)</f>
        <v>INTERIOR 1</v>
      </c>
    </row>
    <row r="1610" customFormat="false" ht="15" hidden="false" customHeight="false" outlineLevel="0" collapsed="false">
      <c r="A1610" s="22" t="s">
        <v>21</v>
      </c>
      <c r="B1610" s="22" t="n">
        <v>2</v>
      </c>
      <c r="C1610" s="22" t="s">
        <v>169</v>
      </c>
      <c r="D1610" s="22" t="s">
        <v>30</v>
      </c>
      <c r="E1610" s="22" t="s">
        <v>7326</v>
      </c>
      <c r="F1610" s="22" t="n">
        <v>522270</v>
      </c>
      <c r="G1610" s="30" t="n">
        <v>46238</v>
      </c>
      <c r="H1610" s="22" t="n">
        <v>620127</v>
      </c>
      <c r="I1610" s="22" t="s">
        <v>8805</v>
      </c>
      <c r="J1610" s="31" t="n">
        <v>29.2</v>
      </c>
      <c r="K1610" s="26" t="n">
        <v>564.37</v>
      </c>
      <c r="L1610" s="26" t="n">
        <v>144.33</v>
      </c>
      <c r="M1610" s="22" t="s">
        <v>5664</v>
      </c>
      <c r="N1610" s="22" t="n">
        <f aca="false">MATCH(M1610,'Tabela Passaro'!$A$2:$A$1795,0)</f>
        <v>1371</v>
      </c>
      <c r="O1610" s="22" t="str">
        <f aca="false">INDEX('Tabela Passaro'!$C$2:$C$1795,$N1610)</f>
        <v>PARNAIBA</v>
      </c>
      <c r="P1610" s="22" t="str">
        <f aca="false">INDEX('Tabela Passaro'!$B$2:$B$1795,$N1610)</f>
        <v>PI</v>
      </c>
      <c r="Q1610" s="22" t="n">
        <f aca="false">INDEX('Tabela Passaro'!$F$2:$F$1795,$N1610)</f>
        <v>13</v>
      </c>
      <c r="R1610" s="32" t="n">
        <f aca="false">IF(J1610&lt;=10,INDEX('Tabela Passaro'!$G$2:$G$1795,$N1610),IF(J1610&lt;=30,INDEX('Tabela Passaro'!$H$2:$H$1795,$N1610),IF(J1610&lt;=50,INDEX('Tabela Passaro'!$I$2:$I$1795,$N1610),IF(J1610&lt;=70,INDEX('Tabela Passaro'!$J$2:$J$1795,$N1610),IF(J1610&lt;=100,INDEX('Tabela Passaro'!$K$2:$K$1795,$N1610),INDEX('Tabela Passaro'!$K$2:$K$1795,$N1610)+(J1610-100)*INDEX('Tabela Passaro'!$L$2:$L$1795,$N1610))))))</f>
        <v>214.05</v>
      </c>
      <c r="S1610" s="32" t="n">
        <f aca="false">K1610*INDEX('Tabela Passaro'!$M$2:$M$1795,$N1610)</f>
        <v>2.82185</v>
      </c>
      <c r="T1610" s="32" t="n">
        <f aca="false">K1610*INDEX('Tabela Passaro'!$N$2:$N$1795,$N1610)</f>
        <v>1.12874</v>
      </c>
      <c r="U1610" s="32" t="n">
        <f aca="false">INDEX('Tabela Passaro'!$O$2:$O$1795,$N1610)</f>
        <v>5</v>
      </c>
      <c r="V1610" s="32" t="n">
        <f aca="false">ROUNDUP(J1610/INDEX('Tabela Passaro'!$Q$2:$Q$1795,$N1610),0)*INDEX('Tabela Passaro'!$P$2:$P$1795,$N1610)</f>
        <v>5</v>
      </c>
      <c r="W1610" s="32" t="n">
        <f aca="false">INDEX('Tabela Passaro'!$R$2:$R$1795,$N1610)</f>
        <v>30</v>
      </c>
      <c r="X1610" s="32" t="n">
        <f aca="false">ROUNDUP(J1610/INDEX('Tabela Passaro'!$T$2:$T$1795,$N1610),0)*INDEX('Tabela Passaro'!$S$2:$S$1795,$N1610)</f>
        <v>0</v>
      </c>
      <c r="Y1610" s="32" t="n">
        <f aca="false">INDEX('Tabela Passaro'!$U$2:$U$1795,$N1610)</f>
        <v>0</v>
      </c>
      <c r="Z1610" s="32" t="n">
        <f aca="false">INDEX('Tabela Passaro'!$V$2:$V$1795,$N1610)</f>
        <v>0</v>
      </c>
      <c r="AA1610" s="32" t="n">
        <f aca="false">SUM(R1610:Z1610)</f>
        <v>258.00059</v>
      </c>
      <c r="AB1610" s="33" t="n">
        <f aca="false">INDEX(Premissas!$B$5:$B$13,MATCH(A1610,Premissas!$A$5:$A$13,0))</f>
        <v>0.07</v>
      </c>
      <c r="AC1610" s="32" t="n">
        <f aca="false">AA1610/(1-AB1610)-AA1610</f>
        <v>19.4193992473118</v>
      </c>
      <c r="AD1610" s="32" t="n">
        <f aca="false">ROUND(AA1610+AC1610,2)</f>
        <v>277.42</v>
      </c>
      <c r="AE1610" s="32" t="n">
        <f aca="false">AD1610-L1610</f>
        <v>133.09</v>
      </c>
      <c r="AF1610" s="34" t="n">
        <f aca="false">IF(L1610=0,0,AE1610/L1610)</f>
        <v>0.922122912769348</v>
      </c>
      <c r="AG1610" s="22" t="str">
        <f aca="false">IF(AD1610&lt;L1610,"PASSARO","ATUAL")</f>
        <v>ATUAL</v>
      </c>
      <c r="AH1610" s="22" t="str">
        <f aca="false">IF(P1610&lt;&gt;A1610,"Faixa cadastrada como "&amp;P1610&amp;" na tabela; preço aplicado pela UF do CEP","")</f>
        <v/>
      </c>
      <c r="AI1610" s="26" t="n">
        <v>294.52</v>
      </c>
      <c r="AJ1610" s="22" t="str">
        <f aca="false">INDEX('Tabela Passaro'!$X$2:$X$1795,$N1610)</f>
        <v>INTERIOR 1</v>
      </c>
    </row>
    <row r="1611" customFormat="false" ht="15" hidden="false" customHeight="false" outlineLevel="0" collapsed="false">
      <c r="A1611" s="22" t="s">
        <v>21</v>
      </c>
      <c r="B1611" s="22" t="n">
        <v>2</v>
      </c>
      <c r="C1611" s="22" t="s">
        <v>169</v>
      </c>
      <c r="D1611" s="22" t="s">
        <v>30</v>
      </c>
      <c r="E1611" s="22" t="s">
        <v>7328</v>
      </c>
      <c r="F1611" s="22" t="n">
        <v>2307934</v>
      </c>
      <c r="G1611" s="30" t="n">
        <v>46239</v>
      </c>
      <c r="H1611" s="22" t="n">
        <v>131923</v>
      </c>
      <c r="I1611" s="22" t="s">
        <v>8806</v>
      </c>
      <c r="J1611" s="31" t="n">
        <v>66.4</v>
      </c>
      <c r="K1611" s="26" t="n">
        <v>1085.71</v>
      </c>
      <c r="L1611" s="26" t="n">
        <v>230.14</v>
      </c>
      <c r="M1611" s="22" t="s">
        <v>5664</v>
      </c>
      <c r="N1611" s="22" t="n">
        <f aca="false">MATCH(M1611,'Tabela Passaro'!$A$2:$A$1795,0)</f>
        <v>1371</v>
      </c>
      <c r="O1611" s="22" t="str">
        <f aca="false">INDEX('Tabela Passaro'!$C$2:$C$1795,$N1611)</f>
        <v>PARNAIBA</v>
      </c>
      <c r="P1611" s="22" t="str">
        <f aca="false">INDEX('Tabela Passaro'!$B$2:$B$1795,$N1611)</f>
        <v>PI</v>
      </c>
      <c r="Q1611" s="22" t="n">
        <f aca="false">INDEX('Tabela Passaro'!$F$2:$F$1795,$N1611)</f>
        <v>13</v>
      </c>
      <c r="R1611" s="32" t="n">
        <f aca="false">IF(J1611&lt;=10,INDEX('Tabela Passaro'!$G$2:$G$1795,$N1611),IF(J1611&lt;=30,INDEX('Tabela Passaro'!$H$2:$H$1795,$N1611),IF(J1611&lt;=50,INDEX('Tabela Passaro'!$I$2:$I$1795,$N1611),IF(J1611&lt;=70,INDEX('Tabela Passaro'!$J$2:$J$1795,$N1611),IF(J1611&lt;=100,INDEX('Tabela Passaro'!$K$2:$K$1795,$N1611),INDEX('Tabela Passaro'!$K$2:$K$1795,$N1611)+(J1611-100)*INDEX('Tabela Passaro'!$L$2:$L$1795,$N1611))))))</f>
        <v>252.78</v>
      </c>
      <c r="S1611" s="32" t="n">
        <f aca="false">K1611*INDEX('Tabela Passaro'!$M$2:$M$1795,$N1611)</f>
        <v>5.42855</v>
      </c>
      <c r="T1611" s="32" t="n">
        <f aca="false">K1611*INDEX('Tabela Passaro'!$N$2:$N$1795,$N1611)</f>
        <v>2.17142</v>
      </c>
      <c r="U1611" s="32" t="n">
        <f aca="false">INDEX('Tabela Passaro'!$O$2:$O$1795,$N1611)</f>
        <v>5</v>
      </c>
      <c r="V1611" s="32" t="n">
        <f aca="false">ROUNDUP(J1611/INDEX('Tabela Passaro'!$Q$2:$Q$1795,$N1611),0)*INDEX('Tabela Passaro'!$P$2:$P$1795,$N1611)</f>
        <v>5</v>
      </c>
      <c r="W1611" s="32" t="n">
        <f aca="false">INDEX('Tabela Passaro'!$R$2:$R$1795,$N1611)</f>
        <v>30</v>
      </c>
      <c r="X1611" s="32" t="n">
        <f aca="false">ROUNDUP(J1611/INDEX('Tabela Passaro'!$T$2:$T$1795,$N1611),0)*INDEX('Tabela Passaro'!$S$2:$S$1795,$N1611)</f>
        <v>0</v>
      </c>
      <c r="Y1611" s="32" t="n">
        <f aca="false">INDEX('Tabela Passaro'!$U$2:$U$1795,$N1611)</f>
        <v>0</v>
      </c>
      <c r="Z1611" s="32" t="n">
        <f aca="false">INDEX('Tabela Passaro'!$V$2:$V$1795,$N1611)</f>
        <v>0</v>
      </c>
      <c r="AA1611" s="32" t="n">
        <f aca="false">SUM(R1611:Z1611)</f>
        <v>300.37997</v>
      </c>
      <c r="AB1611" s="33" t="n">
        <f aca="false">INDEX(Premissas!$B$5:$B$13,MATCH(A1611,Premissas!$A$5:$A$13,0))</f>
        <v>0.07</v>
      </c>
      <c r="AC1611" s="32" t="n">
        <f aca="false">AA1611/(1-AB1611)-AA1611</f>
        <v>22.6092450537635</v>
      </c>
      <c r="AD1611" s="32" t="n">
        <f aca="false">ROUND(AA1611+AC1611,2)</f>
        <v>322.99</v>
      </c>
      <c r="AE1611" s="32" t="n">
        <f aca="false">AD1611-L1611</f>
        <v>92.85</v>
      </c>
      <c r="AF1611" s="34" t="n">
        <f aca="false">IF(L1611=0,0,AE1611/L1611)</f>
        <v>0.40345007386808</v>
      </c>
      <c r="AG1611" s="22" t="str">
        <f aca="false">IF(AD1611&lt;L1611,"PASSARO","ATUAL")</f>
        <v>ATUAL</v>
      </c>
      <c r="AH1611" s="22" t="str">
        <f aca="false">IF(P1611&lt;&gt;A1611,"Faixa cadastrada como "&amp;P1611&amp;" na tabela; preço aplicado pela UF do CEP","")</f>
        <v/>
      </c>
      <c r="AI1611" s="26" t="n">
        <v>361.29</v>
      </c>
      <c r="AJ1611" s="22" t="str">
        <f aca="false">INDEX('Tabela Passaro'!$X$2:$X$1795,$N1611)</f>
        <v>INTERIOR 1</v>
      </c>
    </row>
    <row r="1612" customFormat="false" ht="15" hidden="false" customHeight="false" outlineLevel="0" collapsed="false">
      <c r="A1612" s="22" t="s">
        <v>21</v>
      </c>
      <c r="B1612" s="22" t="n">
        <v>2</v>
      </c>
      <c r="C1612" s="22" t="s">
        <v>169</v>
      </c>
      <c r="D1612" s="22" t="s">
        <v>30</v>
      </c>
      <c r="E1612" s="22" t="s">
        <v>7328</v>
      </c>
      <c r="F1612" s="22" t="n">
        <v>2312324</v>
      </c>
      <c r="G1612" s="30" t="n">
        <v>46248</v>
      </c>
      <c r="H1612" s="22" t="n">
        <v>133228</v>
      </c>
      <c r="I1612" s="22" t="s">
        <v>8807</v>
      </c>
      <c r="J1612" s="31" t="n">
        <v>66.4</v>
      </c>
      <c r="K1612" s="26" t="n">
        <v>955.92</v>
      </c>
      <c r="L1612" s="26" t="n">
        <v>229.11</v>
      </c>
      <c r="M1612" s="22" t="s">
        <v>5664</v>
      </c>
      <c r="N1612" s="22" t="n">
        <f aca="false">MATCH(M1612,'Tabela Passaro'!$A$2:$A$1795,0)</f>
        <v>1371</v>
      </c>
      <c r="O1612" s="22" t="str">
        <f aca="false">INDEX('Tabela Passaro'!$C$2:$C$1795,$N1612)</f>
        <v>PARNAIBA</v>
      </c>
      <c r="P1612" s="22" t="str">
        <f aca="false">INDEX('Tabela Passaro'!$B$2:$B$1795,$N1612)</f>
        <v>PI</v>
      </c>
      <c r="Q1612" s="22" t="n">
        <f aca="false">INDEX('Tabela Passaro'!$F$2:$F$1795,$N1612)</f>
        <v>13</v>
      </c>
      <c r="R1612" s="32" t="n">
        <f aca="false">IF(J1612&lt;=10,INDEX('Tabela Passaro'!$G$2:$G$1795,$N1612),IF(J1612&lt;=30,INDEX('Tabela Passaro'!$H$2:$H$1795,$N1612),IF(J1612&lt;=50,INDEX('Tabela Passaro'!$I$2:$I$1795,$N1612),IF(J1612&lt;=70,INDEX('Tabela Passaro'!$J$2:$J$1795,$N1612),IF(J1612&lt;=100,INDEX('Tabela Passaro'!$K$2:$K$1795,$N1612),INDEX('Tabela Passaro'!$K$2:$K$1795,$N1612)+(J1612-100)*INDEX('Tabela Passaro'!$L$2:$L$1795,$N1612))))))</f>
        <v>252.78</v>
      </c>
      <c r="S1612" s="32" t="n">
        <f aca="false">K1612*INDEX('Tabela Passaro'!$M$2:$M$1795,$N1612)</f>
        <v>4.7796</v>
      </c>
      <c r="T1612" s="32" t="n">
        <f aca="false">K1612*INDEX('Tabela Passaro'!$N$2:$N$1795,$N1612)</f>
        <v>1.91184</v>
      </c>
      <c r="U1612" s="32" t="n">
        <f aca="false">INDEX('Tabela Passaro'!$O$2:$O$1795,$N1612)</f>
        <v>5</v>
      </c>
      <c r="V1612" s="32" t="n">
        <f aca="false">ROUNDUP(J1612/INDEX('Tabela Passaro'!$Q$2:$Q$1795,$N1612),0)*INDEX('Tabela Passaro'!$P$2:$P$1795,$N1612)</f>
        <v>5</v>
      </c>
      <c r="W1612" s="32" t="n">
        <f aca="false">INDEX('Tabela Passaro'!$R$2:$R$1795,$N1612)</f>
        <v>30</v>
      </c>
      <c r="X1612" s="32" t="n">
        <f aca="false">ROUNDUP(J1612/INDEX('Tabela Passaro'!$T$2:$T$1795,$N1612),0)*INDEX('Tabela Passaro'!$S$2:$S$1795,$N1612)</f>
        <v>0</v>
      </c>
      <c r="Y1612" s="32" t="n">
        <f aca="false">INDEX('Tabela Passaro'!$U$2:$U$1795,$N1612)</f>
        <v>0</v>
      </c>
      <c r="Z1612" s="32" t="n">
        <f aca="false">INDEX('Tabela Passaro'!$V$2:$V$1795,$N1612)</f>
        <v>0</v>
      </c>
      <c r="AA1612" s="32" t="n">
        <f aca="false">SUM(R1612:Z1612)</f>
        <v>299.47144</v>
      </c>
      <c r="AB1612" s="33" t="n">
        <f aca="false">INDEX(Premissas!$B$5:$B$13,MATCH(A1612,Premissas!$A$5:$A$13,0))</f>
        <v>0.07</v>
      </c>
      <c r="AC1612" s="32" t="n">
        <f aca="false">AA1612/(1-AB1612)-AA1612</f>
        <v>22.5408610752688</v>
      </c>
      <c r="AD1612" s="32" t="n">
        <f aca="false">ROUND(AA1612+AC1612,2)</f>
        <v>322.01</v>
      </c>
      <c r="AE1612" s="32" t="n">
        <f aca="false">AD1612-L1612</f>
        <v>92.9</v>
      </c>
      <c r="AF1612" s="34" t="n">
        <f aca="false">IF(L1612=0,0,AE1612/L1612)</f>
        <v>0.405482082842303</v>
      </c>
      <c r="AG1612" s="22" t="str">
        <f aca="false">IF(AD1612&lt;L1612,"PASSARO","ATUAL")</f>
        <v>ATUAL</v>
      </c>
      <c r="AH1612" s="22" t="str">
        <f aca="false">IF(P1612&lt;&gt;A1612,"Faixa cadastrada como "&amp;P1612&amp;" na tabela; preço aplicado pela UF do CEP","")</f>
        <v/>
      </c>
      <c r="AI1612" s="26" t="n">
        <v>360.04</v>
      </c>
      <c r="AJ1612" s="22" t="str">
        <f aca="false">INDEX('Tabela Passaro'!$X$2:$X$1795,$N1612)</f>
        <v>INTERIOR 1</v>
      </c>
    </row>
    <row r="1613" customFormat="false" ht="15" hidden="false" customHeight="false" outlineLevel="0" collapsed="false">
      <c r="A1613" s="22" t="s">
        <v>21</v>
      </c>
      <c r="B1613" s="22" t="n">
        <v>2</v>
      </c>
      <c r="C1613" s="22" t="s">
        <v>169</v>
      </c>
      <c r="D1613" s="22" t="s">
        <v>30</v>
      </c>
      <c r="E1613" s="22" t="s">
        <v>7328</v>
      </c>
      <c r="F1613" s="22" t="n">
        <v>2312369</v>
      </c>
      <c r="G1613" s="30" t="n">
        <v>46248</v>
      </c>
      <c r="H1613" s="22" t="n">
        <v>133274</v>
      </c>
      <c r="I1613" s="22" t="s">
        <v>8808</v>
      </c>
      <c r="J1613" s="31" t="n">
        <v>51.06</v>
      </c>
      <c r="K1613" s="26" t="n">
        <v>866.46</v>
      </c>
      <c r="L1613" s="26" t="n">
        <v>228.41</v>
      </c>
      <c r="M1613" s="22" t="s">
        <v>5664</v>
      </c>
      <c r="N1613" s="22" t="n">
        <f aca="false">MATCH(M1613,'Tabela Passaro'!$A$2:$A$1795,0)</f>
        <v>1371</v>
      </c>
      <c r="O1613" s="22" t="str">
        <f aca="false">INDEX('Tabela Passaro'!$C$2:$C$1795,$N1613)</f>
        <v>PARNAIBA</v>
      </c>
      <c r="P1613" s="22" t="str">
        <f aca="false">INDEX('Tabela Passaro'!$B$2:$B$1795,$N1613)</f>
        <v>PI</v>
      </c>
      <c r="Q1613" s="22" t="n">
        <f aca="false">INDEX('Tabela Passaro'!$F$2:$F$1795,$N1613)</f>
        <v>13</v>
      </c>
      <c r="R1613" s="32" t="n">
        <f aca="false">IF(J1613&lt;=10,INDEX('Tabela Passaro'!$G$2:$G$1795,$N1613),IF(J1613&lt;=30,INDEX('Tabela Passaro'!$H$2:$H$1795,$N1613),IF(J1613&lt;=50,INDEX('Tabela Passaro'!$I$2:$I$1795,$N1613),IF(J1613&lt;=70,INDEX('Tabela Passaro'!$J$2:$J$1795,$N1613),IF(J1613&lt;=100,INDEX('Tabela Passaro'!$K$2:$K$1795,$N1613),INDEX('Tabela Passaro'!$K$2:$K$1795,$N1613)+(J1613-100)*INDEX('Tabela Passaro'!$L$2:$L$1795,$N1613))))))</f>
        <v>252.78</v>
      </c>
      <c r="S1613" s="32" t="n">
        <f aca="false">K1613*INDEX('Tabela Passaro'!$M$2:$M$1795,$N1613)</f>
        <v>4.3323</v>
      </c>
      <c r="T1613" s="32" t="n">
        <f aca="false">K1613*INDEX('Tabela Passaro'!$N$2:$N$1795,$N1613)</f>
        <v>1.73292</v>
      </c>
      <c r="U1613" s="32" t="n">
        <f aca="false">INDEX('Tabela Passaro'!$O$2:$O$1795,$N1613)</f>
        <v>5</v>
      </c>
      <c r="V1613" s="32" t="n">
        <f aca="false">ROUNDUP(J1613/INDEX('Tabela Passaro'!$Q$2:$Q$1795,$N1613),0)*INDEX('Tabela Passaro'!$P$2:$P$1795,$N1613)</f>
        <v>5</v>
      </c>
      <c r="W1613" s="32" t="n">
        <f aca="false">INDEX('Tabela Passaro'!$R$2:$R$1795,$N1613)</f>
        <v>30</v>
      </c>
      <c r="X1613" s="32" t="n">
        <f aca="false">ROUNDUP(J1613/INDEX('Tabela Passaro'!$T$2:$T$1795,$N1613),0)*INDEX('Tabela Passaro'!$S$2:$S$1795,$N1613)</f>
        <v>0</v>
      </c>
      <c r="Y1613" s="32" t="n">
        <f aca="false">INDEX('Tabela Passaro'!$U$2:$U$1795,$N1613)</f>
        <v>0</v>
      </c>
      <c r="Z1613" s="32" t="n">
        <f aca="false">INDEX('Tabela Passaro'!$V$2:$V$1795,$N1613)</f>
        <v>0</v>
      </c>
      <c r="AA1613" s="32" t="n">
        <f aca="false">SUM(R1613:Z1613)</f>
        <v>298.84522</v>
      </c>
      <c r="AB1613" s="33" t="n">
        <f aca="false">INDEX(Premissas!$B$5:$B$13,MATCH(A1613,Premissas!$A$5:$A$13,0))</f>
        <v>0.07</v>
      </c>
      <c r="AC1613" s="32" t="n">
        <f aca="false">AA1613/(1-AB1613)-AA1613</f>
        <v>22.4937262365592</v>
      </c>
      <c r="AD1613" s="32" t="n">
        <f aca="false">ROUND(AA1613+AC1613,2)</f>
        <v>321.34</v>
      </c>
      <c r="AE1613" s="32" t="n">
        <f aca="false">AD1613-L1613</f>
        <v>92.93</v>
      </c>
      <c r="AF1613" s="34" t="n">
        <f aca="false">IF(L1613=0,0,AE1613/L1613)</f>
        <v>0.406856092115056</v>
      </c>
      <c r="AG1613" s="22" t="str">
        <f aca="false">IF(AD1613&lt;L1613,"PASSARO","ATUAL")</f>
        <v>ATUAL</v>
      </c>
      <c r="AH1613" s="22" t="str">
        <f aca="false">IF(P1613&lt;&gt;A1613,"Faixa cadastrada como "&amp;P1613&amp;" na tabela; preço aplicado pela UF do CEP","")</f>
        <v/>
      </c>
      <c r="AI1613" s="26" t="n">
        <v>351.91</v>
      </c>
      <c r="AJ1613" s="22" t="str">
        <f aca="false">INDEX('Tabela Passaro'!$X$2:$X$1795,$N1613)</f>
        <v>INTERIOR 1</v>
      </c>
    </row>
    <row r="1614" customFormat="false" ht="15" hidden="false" customHeight="false" outlineLevel="0" collapsed="false">
      <c r="A1614" s="22" t="s">
        <v>21</v>
      </c>
      <c r="B1614" s="22" t="n">
        <v>2</v>
      </c>
      <c r="C1614" s="22" t="s">
        <v>169</v>
      </c>
      <c r="D1614" s="22" t="s">
        <v>30</v>
      </c>
      <c r="E1614" s="22" t="s">
        <v>21</v>
      </c>
      <c r="F1614" s="22" t="n">
        <v>7985</v>
      </c>
      <c r="G1614" s="30" t="n">
        <v>46249</v>
      </c>
      <c r="H1614" s="22" t="n">
        <v>4370</v>
      </c>
      <c r="I1614" s="22" t="s">
        <v>8809</v>
      </c>
      <c r="J1614" s="31" t="n">
        <v>64.1</v>
      </c>
      <c r="K1614" s="26" t="n">
        <v>1051.34</v>
      </c>
      <c r="L1614" s="26" t="n">
        <v>261.22</v>
      </c>
      <c r="M1614" s="22" t="s">
        <v>5664</v>
      </c>
      <c r="N1614" s="22" t="n">
        <f aca="false">MATCH(M1614,'Tabela Passaro'!$A$2:$A$1795,0)</f>
        <v>1371</v>
      </c>
      <c r="O1614" s="22" t="str">
        <f aca="false">INDEX('Tabela Passaro'!$C$2:$C$1795,$N1614)</f>
        <v>PARNAIBA</v>
      </c>
      <c r="P1614" s="22" t="str">
        <f aca="false">INDEX('Tabela Passaro'!$B$2:$B$1795,$N1614)</f>
        <v>PI</v>
      </c>
      <c r="Q1614" s="22" t="n">
        <f aca="false">INDEX('Tabela Passaro'!$F$2:$F$1795,$N1614)</f>
        <v>13</v>
      </c>
      <c r="R1614" s="32" t="n">
        <f aca="false">IF(J1614&lt;=10,INDEX('Tabela Passaro'!$G$2:$G$1795,$N1614),IF(J1614&lt;=30,INDEX('Tabela Passaro'!$H$2:$H$1795,$N1614),IF(J1614&lt;=50,INDEX('Tabela Passaro'!$I$2:$I$1795,$N1614),IF(J1614&lt;=70,INDEX('Tabela Passaro'!$J$2:$J$1795,$N1614),IF(J1614&lt;=100,INDEX('Tabela Passaro'!$K$2:$K$1795,$N1614),INDEX('Tabela Passaro'!$K$2:$K$1795,$N1614)+(J1614-100)*INDEX('Tabela Passaro'!$L$2:$L$1795,$N1614))))))</f>
        <v>252.78</v>
      </c>
      <c r="S1614" s="32" t="n">
        <f aca="false">K1614*INDEX('Tabela Passaro'!$M$2:$M$1795,$N1614)</f>
        <v>5.2567</v>
      </c>
      <c r="T1614" s="32" t="n">
        <f aca="false">K1614*INDEX('Tabela Passaro'!$N$2:$N$1795,$N1614)</f>
        <v>2.10268</v>
      </c>
      <c r="U1614" s="32" t="n">
        <f aca="false">INDEX('Tabela Passaro'!$O$2:$O$1795,$N1614)</f>
        <v>5</v>
      </c>
      <c r="V1614" s="32" t="n">
        <f aca="false">ROUNDUP(J1614/INDEX('Tabela Passaro'!$Q$2:$Q$1795,$N1614),0)*INDEX('Tabela Passaro'!$P$2:$P$1795,$N1614)</f>
        <v>5</v>
      </c>
      <c r="W1614" s="32" t="n">
        <f aca="false">INDEX('Tabela Passaro'!$R$2:$R$1795,$N1614)</f>
        <v>30</v>
      </c>
      <c r="X1614" s="32" t="n">
        <f aca="false">ROUNDUP(J1614/INDEX('Tabela Passaro'!$T$2:$T$1795,$N1614),0)*INDEX('Tabela Passaro'!$S$2:$S$1795,$N1614)</f>
        <v>0</v>
      </c>
      <c r="Y1614" s="32" t="n">
        <f aca="false">INDEX('Tabela Passaro'!$U$2:$U$1795,$N1614)</f>
        <v>0</v>
      </c>
      <c r="Z1614" s="32" t="n">
        <f aca="false">INDEX('Tabela Passaro'!$V$2:$V$1795,$N1614)</f>
        <v>0</v>
      </c>
      <c r="AA1614" s="32" t="n">
        <f aca="false">SUM(R1614:Z1614)</f>
        <v>300.13938</v>
      </c>
      <c r="AB1614" s="33" t="n">
        <f aca="false">INDEX(Premissas!$B$5:$B$13,MATCH(A1614,Premissas!$A$5:$A$13,0))</f>
        <v>0.07</v>
      </c>
      <c r="AC1614" s="32" t="n">
        <f aca="false">AA1614/(1-AB1614)-AA1614</f>
        <v>22.5911361290323</v>
      </c>
      <c r="AD1614" s="32" t="n">
        <f aca="false">ROUND(AA1614+AC1614,2)</f>
        <v>322.73</v>
      </c>
      <c r="AE1614" s="32" t="n">
        <f aca="false">AD1614-L1614</f>
        <v>61.51</v>
      </c>
      <c r="AF1614" s="34" t="n">
        <f aca="false">IF(L1614=0,0,AE1614/L1614)</f>
        <v>0.235472015925274</v>
      </c>
      <c r="AG1614" s="22" t="str">
        <f aca="false">IF(AD1614&lt;L1614,"PASSARO","ATUAL")</f>
        <v>ATUAL</v>
      </c>
      <c r="AH1614" s="22" t="str">
        <f aca="false">IF(P1614&lt;&gt;A1614,"Faixa cadastrada como "&amp;P1614&amp;" na tabela; preço aplicado pela UF do CEP","")</f>
        <v/>
      </c>
      <c r="AI1614" s="26" t="n">
        <v>359.99</v>
      </c>
      <c r="AJ1614" s="22" t="str">
        <f aca="false">INDEX('Tabela Passaro'!$X$2:$X$1795,$N1614)</f>
        <v>INTERIOR 1</v>
      </c>
    </row>
    <row r="1615" customFormat="false" ht="15" hidden="false" customHeight="false" outlineLevel="0" collapsed="false">
      <c r="A1615" s="22" t="s">
        <v>21</v>
      </c>
      <c r="B1615" s="22" t="n">
        <v>2</v>
      </c>
      <c r="C1615" s="22" t="s">
        <v>169</v>
      </c>
      <c r="D1615" s="22" t="s">
        <v>30</v>
      </c>
      <c r="E1615" s="22" t="s">
        <v>7328</v>
      </c>
      <c r="F1615" s="22" t="n">
        <v>2313212</v>
      </c>
      <c r="G1615" s="30" t="n">
        <v>46251</v>
      </c>
      <c r="H1615" s="22" t="n">
        <v>133633</v>
      </c>
      <c r="I1615" s="22" t="s">
        <v>8810</v>
      </c>
      <c r="J1615" s="31" t="n">
        <v>66.8</v>
      </c>
      <c r="K1615" s="26" t="n">
        <v>980.47</v>
      </c>
      <c r="L1615" s="26" t="n">
        <v>229.3</v>
      </c>
      <c r="M1615" s="22" t="s">
        <v>5664</v>
      </c>
      <c r="N1615" s="22" t="n">
        <f aca="false">MATCH(M1615,'Tabela Passaro'!$A$2:$A$1795,0)</f>
        <v>1371</v>
      </c>
      <c r="O1615" s="22" t="str">
        <f aca="false">INDEX('Tabela Passaro'!$C$2:$C$1795,$N1615)</f>
        <v>PARNAIBA</v>
      </c>
      <c r="P1615" s="22" t="str">
        <f aca="false">INDEX('Tabela Passaro'!$B$2:$B$1795,$N1615)</f>
        <v>PI</v>
      </c>
      <c r="Q1615" s="22" t="n">
        <f aca="false">INDEX('Tabela Passaro'!$F$2:$F$1795,$N1615)</f>
        <v>13</v>
      </c>
      <c r="R1615" s="32" t="n">
        <f aca="false">IF(J1615&lt;=10,INDEX('Tabela Passaro'!$G$2:$G$1795,$N1615),IF(J1615&lt;=30,INDEX('Tabela Passaro'!$H$2:$H$1795,$N1615),IF(J1615&lt;=50,INDEX('Tabela Passaro'!$I$2:$I$1795,$N1615),IF(J1615&lt;=70,INDEX('Tabela Passaro'!$J$2:$J$1795,$N1615),IF(J1615&lt;=100,INDEX('Tabela Passaro'!$K$2:$K$1795,$N1615),INDEX('Tabela Passaro'!$K$2:$K$1795,$N1615)+(J1615-100)*INDEX('Tabela Passaro'!$L$2:$L$1795,$N1615))))))</f>
        <v>252.78</v>
      </c>
      <c r="S1615" s="32" t="n">
        <f aca="false">K1615*INDEX('Tabela Passaro'!$M$2:$M$1795,$N1615)</f>
        <v>4.90235</v>
      </c>
      <c r="T1615" s="32" t="n">
        <f aca="false">K1615*INDEX('Tabela Passaro'!$N$2:$N$1795,$N1615)</f>
        <v>1.96094</v>
      </c>
      <c r="U1615" s="32" t="n">
        <f aca="false">INDEX('Tabela Passaro'!$O$2:$O$1795,$N1615)</f>
        <v>5</v>
      </c>
      <c r="V1615" s="32" t="n">
        <f aca="false">ROUNDUP(J1615/INDEX('Tabela Passaro'!$Q$2:$Q$1795,$N1615),0)*INDEX('Tabela Passaro'!$P$2:$P$1795,$N1615)</f>
        <v>5</v>
      </c>
      <c r="W1615" s="32" t="n">
        <f aca="false">INDEX('Tabela Passaro'!$R$2:$R$1795,$N1615)</f>
        <v>30</v>
      </c>
      <c r="X1615" s="32" t="n">
        <f aca="false">ROUNDUP(J1615/INDEX('Tabela Passaro'!$T$2:$T$1795,$N1615),0)*INDEX('Tabela Passaro'!$S$2:$S$1795,$N1615)</f>
        <v>0</v>
      </c>
      <c r="Y1615" s="32" t="n">
        <f aca="false">INDEX('Tabela Passaro'!$U$2:$U$1795,$N1615)</f>
        <v>0</v>
      </c>
      <c r="Z1615" s="32" t="n">
        <f aca="false">INDEX('Tabela Passaro'!$V$2:$V$1795,$N1615)</f>
        <v>0</v>
      </c>
      <c r="AA1615" s="32" t="n">
        <f aca="false">SUM(R1615:Z1615)</f>
        <v>299.64329</v>
      </c>
      <c r="AB1615" s="33" t="n">
        <f aca="false">INDEX(Premissas!$B$5:$B$13,MATCH(A1615,Premissas!$A$5:$A$13,0))</f>
        <v>0.07</v>
      </c>
      <c r="AC1615" s="32" t="n">
        <f aca="false">AA1615/(1-AB1615)-AA1615</f>
        <v>22.5537960215054</v>
      </c>
      <c r="AD1615" s="32" t="n">
        <f aca="false">ROUND(AA1615+AC1615,2)</f>
        <v>322.2</v>
      </c>
      <c r="AE1615" s="32" t="n">
        <f aca="false">AD1615-L1615</f>
        <v>92.9</v>
      </c>
      <c r="AF1615" s="34" t="n">
        <f aca="false">IF(L1615=0,0,AE1615/L1615)</f>
        <v>0.405146096816398</v>
      </c>
      <c r="AG1615" s="22" t="str">
        <f aca="false">IF(AD1615&lt;L1615,"PASSARO","ATUAL")</f>
        <v>ATUAL</v>
      </c>
      <c r="AH1615" s="22" t="str">
        <f aca="false">IF(P1615&lt;&gt;A1615,"Faixa cadastrada como "&amp;P1615&amp;" na tabela; preço aplicado pela UF do CEP","")</f>
        <v/>
      </c>
      <c r="AI1615" s="26" t="n">
        <v>360.27</v>
      </c>
      <c r="AJ1615" s="22" t="str">
        <f aca="false">INDEX('Tabela Passaro'!$X$2:$X$1795,$N1615)</f>
        <v>INTERIOR 1</v>
      </c>
    </row>
    <row r="1616" customFormat="false" ht="15" hidden="false" customHeight="false" outlineLevel="0" collapsed="false">
      <c r="A1616" s="22" t="s">
        <v>21</v>
      </c>
      <c r="B1616" s="22" t="n">
        <v>2</v>
      </c>
      <c r="C1616" s="22" t="s">
        <v>169</v>
      </c>
      <c r="D1616" s="22" t="s">
        <v>30</v>
      </c>
      <c r="E1616" s="22" t="s">
        <v>7328</v>
      </c>
      <c r="F1616" s="22" t="n">
        <v>2315782</v>
      </c>
      <c r="G1616" s="30" t="n">
        <v>46258</v>
      </c>
      <c r="H1616" s="22" t="n">
        <v>134942</v>
      </c>
      <c r="I1616" s="22" t="s">
        <v>8811</v>
      </c>
      <c r="J1616" s="31" t="n">
        <v>97.2</v>
      </c>
      <c r="K1616" s="26" t="n">
        <v>1625.19</v>
      </c>
      <c r="L1616" s="26" t="n">
        <v>282.94</v>
      </c>
      <c r="M1616" s="22" t="s">
        <v>5664</v>
      </c>
      <c r="N1616" s="22" t="n">
        <f aca="false">MATCH(M1616,'Tabela Passaro'!$A$2:$A$1795,0)</f>
        <v>1371</v>
      </c>
      <c r="O1616" s="22" t="str">
        <f aca="false">INDEX('Tabela Passaro'!$C$2:$C$1795,$N1616)</f>
        <v>PARNAIBA</v>
      </c>
      <c r="P1616" s="22" t="str">
        <f aca="false">INDEX('Tabela Passaro'!$B$2:$B$1795,$N1616)</f>
        <v>PI</v>
      </c>
      <c r="Q1616" s="22" t="n">
        <f aca="false">INDEX('Tabela Passaro'!$F$2:$F$1795,$N1616)</f>
        <v>13</v>
      </c>
      <c r="R1616" s="32" t="n">
        <f aca="false">IF(J1616&lt;=10,INDEX('Tabela Passaro'!$G$2:$G$1795,$N1616),IF(J1616&lt;=30,INDEX('Tabela Passaro'!$H$2:$H$1795,$N1616),IF(J1616&lt;=50,INDEX('Tabela Passaro'!$I$2:$I$1795,$N1616),IF(J1616&lt;=70,INDEX('Tabela Passaro'!$J$2:$J$1795,$N1616),IF(J1616&lt;=100,INDEX('Tabela Passaro'!$K$2:$K$1795,$N1616),INDEX('Tabela Passaro'!$K$2:$K$1795,$N1616)+(J1616-100)*INDEX('Tabela Passaro'!$L$2:$L$1795,$N1616))))))</f>
        <v>269.38</v>
      </c>
      <c r="S1616" s="32" t="n">
        <f aca="false">K1616*INDEX('Tabela Passaro'!$M$2:$M$1795,$N1616)</f>
        <v>8.12595</v>
      </c>
      <c r="T1616" s="32" t="n">
        <f aca="false">K1616*INDEX('Tabela Passaro'!$N$2:$N$1795,$N1616)</f>
        <v>3.25038</v>
      </c>
      <c r="U1616" s="32" t="n">
        <f aca="false">INDEX('Tabela Passaro'!$O$2:$O$1795,$N1616)</f>
        <v>5</v>
      </c>
      <c r="V1616" s="32" t="n">
        <f aca="false">ROUNDUP(J1616/INDEX('Tabela Passaro'!$Q$2:$Q$1795,$N1616),0)*INDEX('Tabela Passaro'!$P$2:$P$1795,$N1616)</f>
        <v>5</v>
      </c>
      <c r="W1616" s="32" t="n">
        <f aca="false">INDEX('Tabela Passaro'!$R$2:$R$1795,$N1616)</f>
        <v>30</v>
      </c>
      <c r="X1616" s="32" t="n">
        <f aca="false">ROUNDUP(J1616/INDEX('Tabela Passaro'!$T$2:$T$1795,$N1616),0)*INDEX('Tabela Passaro'!$S$2:$S$1795,$N1616)</f>
        <v>0</v>
      </c>
      <c r="Y1616" s="32" t="n">
        <f aca="false">INDEX('Tabela Passaro'!$U$2:$U$1795,$N1616)</f>
        <v>0</v>
      </c>
      <c r="Z1616" s="32" t="n">
        <f aca="false">INDEX('Tabela Passaro'!$V$2:$V$1795,$N1616)</f>
        <v>0</v>
      </c>
      <c r="AA1616" s="32" t="n">
        <f aca="false">SUM(R1616:Z1616)</f>
        <v>320.75633</v>
      </c>
      <c r="AB1616" s="33" t="n">
        <f aca="false">INDEX(Premissas!$B$5:$B$13,MATCH(A1616,Premissas!$A$5:$A$13,0))</f>
        <v>0.07</v>
      </c>
      <c r="AC1616" s="32" t="n">
        <f aca="false">AA1616/(1-AB1616)-AA1616</f>
        <v>24.1429495698925</v>
      </c>
      <c r="AD1616" s="32" t="n">
        <f aca="false">ROUND(AA1616+AC1616,2)</f>
        <v>344.9</v>
      </c>
      <c r="AE1616" s="32" t="n">
        <f aca="false">AD1616-L1616</f>
        <v>61.96</v>
      </c>
      <c r="AF1616" s="34" t="n">
        <f aca="false">IF(L1616=0,0,AE1616/L1616)</f>
        <v>0.218986357531632</v>
      </c>
      <c r="AG1616" s="22" t="str">
        <f aca="false">IF(AD1616&lt;L1616,"PASSARO","ATUAL")</f>
        <v>ATUAL</v>
      </c>
      <c r="AH1616" s="22" t="str">
        <f aca="false">IF(P1616&lt;&gt;A1616,"Faixa cadastrada como "&amp;P1616&amp;" na tabela; preço aplicado pela UF do CEP","")</f>
        <v/>
      </c>
      <c r="AI1616" s="26" t="n">
        <v>400.31</v>
      </c>
      <c r="AJ1616" s="22" t="str">
        <f aca="false">INDEX('Tabela Passaro'!$X$2:$X$1795,$N1616)</f>
        <v>INTERIOR 1</v>
      </c>
    </row>
    <row r="1617" customFormat="false" ht="15" hidden="false" customHeight="false" outlineLevel="0" collapsed="false">
      <c r="A1617" s="22" t="s">
        <v>21</v>
      </c>
      <c r="B1617" s="22" t="n">
        <v>2</v>
      </c>
      <c r="C1617" s="22" t="s">
        <v>169</v>
      </c>
      <c r="D1617" s="22" t="s">
        <v>30</v>
      </c>
      <c r="E1617" s="22" t="s">
        <v>7328</v>
      </c>
      <c r="F1617" s="22" t="n">
        <v>2315830</v>
      </c>
      <c r="G1617" s="30" t="n">
        <v>46258</v>
      </c>
      <c r="H1617" s="22" t="n">
        <v>134989</v>
      </c>
      <c r="I1617" s="22" t="s">
        <v>8812</v>
      </c>
      <c r="J1617" s="31" t="n">
        <v>48</v>
      </c>
      <c r="K1617" s="26" t="n">
        <v>1000.1</v>
      </c>
      <c r="L1617" s="26" t="n">
        <v>180.93</v>
      </c>
      <c r="M1617" s="22" t="s">
        <v>5664</v>
      </c>
      <c r="N1617" s="22" t="n">
        <f aca="false">MATCH(M1617,'Tabela Passaro'!$A$2:$A$1795,0)</f>
        <v>1371</v>
      </c>
      <c r="O1617" s="22" t="str">
        <f aca="false">INDEX('Tabela Passaro'!$C$2:$C$1795,$N1617)</f>
        <v>PARNAIBA</v>
      </c>
      <c r="P1617" s="22" t="str">
        <f aca="false">INDEX('Tabela Passaro'!$B$2:$B$1795,$N1617)</f>
        <v>PI</v>
      </c>
      <c r="Q1617" s="22" t="n">
        <f aca="false">INDEX('Tabela Passaro'!$F$2:$F$1795,$N1617)</f>
        <v>13</v>
      </c>
      <c r="R1617" s="32" t="n">
        <f aca="false">IF(J1617&lt;=10,INDEX('Tabela Passaro'!$G$2:$G$1795,$N1617),IF(J1617&lt;=30,INDEX('Tabela Passaro'!$H$2:$H$1795,$N1617),IF(J1617&lt;=50,INDEX('Tabela Passaro'!$I$2:$I$1795,$N1617),IF(J1617&lt;=70,INDEX('Tabela Passaro'!$J$2:$J$1795,$N1617),IF(J1617&lt;=100,INDEX('Tabela Passaro'!$K$2:$K$1795,$N1617),INDEX('Tabela Passaro'!$K$2:$K$1795,$N1617)+(J1617-100)*INDEX('Tabela Passaro'!$L$2:$L$1795,$N1617))))))</f>
        <v>236.18</v>
      </c>
      <c r="S1617" s="32" t="n">
        <f aca="false">K1617*INDEX('Tabela Passaro'!$M$2:$M$1795,$N1617)</f>
        <v>5.0005</v>
      </c>
      <c r="T1617" s="32" t="n">
        <f aca="false">K1617*INDEX('Tabela Passaro'!$N$2:$N$1795,$N1617)</f>
        <v>2.0002</v>
      </c>
      <c r="U1617" s="32" t="n">
        <f aca="false">INDEX('Tabela Passaro'!$O$2:$O$1795,$N1617)</f>
        <v>5</v>
      </c>
      <c r="V1617" s="32" t="n">
        <f aca="false">ROUNDUP(J1617/INDEX('Tabela Passaro'!$Q$2:$Q$1795,$N1617),0)*INDEX('Tabela Passaro'!$P$2:$P$1795,$N1617)</f>
        <v>5</v>
      </c>
      <c r="W1617" s="32" t="n">
        <f aca="false">INDEX('Tabela Passaro'!$R$2:$R$1795,$N1617)</f>
        <v>30</v>
      </c>
      <c r="X1617" s="32" t="n">
        <f aca="false">ROUNDUP(J1617/INDEX('Tabela Passaro'!$T$2:$T$1795,$N1617),0)*INDEX('Tabela Passaro'!$S$2:$S$1795,$N1617)</f>
        <v>0</v>
      </c>
      <c r="Y1617" s="32" t="n">
        <f aca="false">INDEX('Tabela Passaro'!$U$2:$U$1795,$N1617)</f>
        <v>0</v>
      </c>
      <c r="Z1617" s="32" t="n">
        <f aca="false">INDEX('Tabela Passaro'!$V$2:$V$1795,$N1617)</f>
        <v>0</v>
      </c>
      <c r="AA1617" s="32" t="n">
        <f aca="false">SUM(R1617:Z1617)</f>
        <v>283.1807</v>
      </c>
      <c r="AB1617" s="33" t="n">
        <f aca="false">INDEX(Premissas!$B$5:$B$13,MATCH(A1617,Premissas!$A$5:$A$13,0))</f>
        <v>0.07</v>
      </c>
      <c r="AC1617" s="32" t="n">
        <f aca="false">AA1617/(1-AB1617)-AA1617</f>
        <v>21.314676344086</v>
      </c>
      <c r="AD1617" s="32" t="n">
        <f aca="false">ROUND(AA1617+AC1617,2)</f>
        <v>304.5</v>
      </c>
      <c r="AE1617" s="32" t="n">
        <f aca="false">AD1617-L1617</f>
        <v>123.57</v>
      </c>
      <c r="AF1617" s="34" t="n">
        <f aca="false">IF(L1617=0,0,AE1617/L1617)</f>
        <v>0.682971314873155</v>
      </c>
      <c r="AG1617" s="22" t="str">
        <f aca="false">IF(AD1617&lt;L1617,"PASSARO","ATUAL")</f>
        <v>ATUAL</v>
      </c>
      <c r="AH1617" s="22" t="str">
        <f aca="false">IF(P1617&lt;&gt;A1617,"Faixa cadastrada como "&amp;P1617&amp;" na tabela; preço aplicado pela UF do CEP","")</f>
        <v/>
      </c>
      <c r="AI1617" s="26" t="n">
        <v>332.48</v>
      </c>
      <c r="AJ1617" s="22" t="str">
        <f aca="false">INDEX('Tabela Passaro'!$X$2:$X$1795,$N1617)</f>
        <v>INTERIOR 1</v>
      </c>
    </row>
    <row r="1618" customFormat="false" ht="15" hidden="false" customHeight="false" outlineLevel="0" collapsed="false">
      <c r="A1618" s="22" t="s">
        <v>21</v>
      </c>
      <c r="B1618" s="22" t="n">
        <v>2</v>
      </c>
      <c r="C1618" s="22" t="s">
        <v>169</v>
      </c>
      <c r="D1618" s="22" t="s">
        <v>30</v>
      </c>
      <c r="E1618" s="22" t="s">
        <v>7328</v>
      </c>
      <c r="F1618" s="22" t="n">
        <v>2315834</v>
      </c>
      <c r="G1618" s="30" t="n">
        <v>46258</v>
      </c>
      <c r="H1618" s="22" t="n">
        <v>135101</v>
      </c>
      <c r="I1618" s="22" t="s">
        <v>8813</v>
      </c>
      <c r="J1618" s="31" t="n">
        <v>20.8</v>
      </c>
      <c r="K1618" s="26" t="n">
        <v>660.98</v>
      </c>
      <c r="L1618" s="26" t="n">
        <v>133.93</v>
      </c>
      <c r="M1618" s="22" t="s">
        <v>5664</v>
      </c>
      <c r="N1618" s="22" t="n">
        <f aca="false">MATCH(M1618,'Tabela Passaro'!$A$2:$A$1795,0)</f>
        <v>1371</v>
      </c>
      <c r="O1618" s="22" t="str">
        <f aca="false">INDEX('Tabela Passaro'!$C$2:$C$1795,$N1618)</f>
        <v>PARNAIBA</v>
      </c>
      <c r="P1618" s="22" t="str">
        <f aca="false">INDEX('Tabela Passaro'!$B$2:$B$1795,$N1618)</f>
        <v>PI</v>
      </c>
      <c r="Q1618" s="22" t="n">
        <f aca="false">INDEX('Tabela Passaro'!$F$2:$F$1795,$N1618)</f>
        <v>13</v>
      </c>
      <c r="R1618" s="32" t="n">
        <f aca="false">IF(J1618&lt;=10,INDEX('Tabela Passaro'!$G$2:$G$1795,$N1618),IF(J1618&lt;=30,INDEX('Tabela Passaro'!$H$2:$H$1795,$N1618),IF(J1618&lt;=50,INDEX('Tabela Passaro'!$I$2:$I$1795,$N1618),IF(J1618&lt;=70,INDEX('Tabela Passaro'!$J$2:$J$1795,$N1618),IF(J1618&lt;=100,INDEX('Tabela Passaro'!$K$2:$K$1795,$N1618),INDEX('Tabela Passaro'!$K$2:$K$1795,$N1618)+(J1618-100)*INDEX('Tabela Passaro'!$L$2:$L$1795,$N1618))))))</f>
        <v>214.05</v>
      </c>
      <c r="S1618" s="32" t="n">
        <f aca="false">K1618*INDEX('Tabela Passaro'!$M$2:$M$1795,$N1618)</f>
        <v>3.3049</v>
      </c>
      <c r="T1618" s="32" t="n">
        <f aca="false">K1618*INDEX('Tabela Passaro'!$N$2:$N$1795,$N1618)</f>
        <v>1.32196</v>
      </c>
      <c r="U1618" s="32" t="n">
        <f aca="false">INDEX('Tabela Passaro'!$O$2:$O$1795,$N1618)</f>
        <v>5</v>
      </c>
      <c r="V1618" s="32" t="n">
        <f aca="false">ROUNDUP(J1618/INDEX('Tabela Passaro'!$Q$2:$Q$1795,$N1618),0)*INDEX('Tabela Passaro'!$P$2:$P$1795,$N1618)</f>
        <v>5</v>
      </c>
      <c r="W1618" s="32" t="n">
        <f aca="false">INDEX('Tabela Passaro'!$R$2:$R$1795,$N1618)</f>
        <v>30</v>
      </c>
      <c r="X1618" s="32" t="n">
        <f aca="false">ROUNDUP(J1618/INDEX('Tabela Passaro'!$T$2:$T$1795,$N1618),0)*INDEX('Tabela Passaro'!$S$2:$S$1795,$N1618)</f>
        <v>0</v>
      </c>
      <c r="Y1618" s="32" t="n">
        <f aca="false">INDEX('Tabela Passaro'!$U$2:$U$1795,$N1618)</f>
        <v>0</v>
      </c>
      <c r="Z1618" s="32" t="n">
        <f aca="false">INDEX('Tabela Passaro'!$V$2:$V$1795,$N1618)</f>
        <v>0</v>
      </c>
      <c r="AA1618" s="32" t="n">
        <f aca="false">SUM(R1618:Z1618)</f>
        <v>258.67686</v>
      </c>
      <c r="AB1618" s="33" t="n">
        <f aca="false">INDEX(Premissas!$B$5:$B$13,MATCH(A1618,Premissas!$A$5:$A$13,0))</f>
        <v>0.07</v>
      </c>
      <c r="AC1618" s="32" t="n">
        <f aca="false">AA1618/(1-AB1618)-AA1618</f>
        <v>19.4703012903226</v>
      </c>
      <c r="AD1618" s="32" t="n">
        <f aca="false">ROUND(AA1618+AC1618,2)</f>
        <v>278.15</v>
      </c>
      <c r="AE1618" s="32" t="n">
        <f aca="false">AD1618-L1618</f>
        <v>144.22</v>
      </c>
      <c r="AF1618" s="34" t="n">
        <f aca="false">IF(L1618=0,0,AE1618/L1618)</f>
        <v>1.07683118046741</v>
      </c>
      <c r="AG1618" s="22" t="str">
        <f aca="false">IF(AD1618&lt;L1618,"PASSARO","ATUAL")</f>
        <v>ATUAL</v>
      </c>
      <c r="AH1618" s="22" t="str">
        <f aca="false">IF(P1618&lt;&gt;A1618,"Faixa cadastrada como "&amp;P1618&amp;" na tabela; preço aplicado pela UF do CEP","")</f>
        <v/>
      </c>
      <c r="AI1618" s="26" t="n">
        <v>291.1</v>
      </c>
      <c r="AJ1618" s="22" t="str">
        <f aca="false">INDEX('Tabela Passaro'!$X$2:$X$1795,$N1618)</f>
        <v>INTERIOR 1</v>
      </c>
    </row>
    <row r="1619" customFormat="false" ht="15" hidden="false" customHeight="false" outlineLevel="0" collapsed="false">
      <c r="A1619" s="22" t="s">
        <v>21</v>
      </c>
      <c r="B1619" s="22" t="n">
        <v>2</v>
      </c>
      <c r="C1619" s="22" t="s">
        <v>169</v>
      </c>
      <c r="D1619" s="22" t="s">
        <v>30</v>
      </c>
      <c r="E1619" s="22" t="s">
        <v>20</v>
      </c>
      <c r="F1619" s="22" t="n">
        <v>840451</v>
      </c>
      <c r="G1619" s="30" t="n">
        <v>46261</v>
      </c>
      <c r="H1619" s="22" t="n">
        <v>32749</v>
      </c>
      <c r="I1619" s="22" t="s">
        <v>8814</v>
      </c>
      <c r="J1619" s="31" t="n">
        <v>132.8</v>
      </c>
      <c r="K1619" s="26" t="n">
        <v>2230.78</v>
      </c>
      <c r="L1619" s="26" t="n">
        <v>322.03</v>
      </c>
      <c r="M1619" s="22" t="s">
        <v>5664</v>
      </c>
      <c r="N1619" s="22" t="n">
        <f aca="false">MATCH(M1619,'Tabela Passaro'!$A$2:$A$1795,0)</f>
        <v>1371</v>
      </c>
      <c r="O1619" s="22" t="str">
        <f aca="false">INDEX('Tabela Passaro'!$C$2:$C$1795,$N1619)</f>
        <v>PARNAIBA</v>
      </c>
      <c r="P1619" s="22" t="str">
        <f aca="false">INDEX('Tabela Passaro'!$B$2:$B$1795,$N1619)</f>
        <v>PI</v>
      </c>
      <c r="Q1619" s="22" t="n">
        <f aca="false">INDEX('Tabela Passaro'!$F$2:$F$1795,$N1619)</f>
        <v>13</v>
      </c>
      <c r="R1619" s="32" t="n">
        <f aca="false">IF(J1619&lt;=10,INDEX('Tabela Passaro'!$G$2:$G$1795,$N1619),IF(J1619&lt;=30,INDEX('Tabela Passaro'!$H$2:$H$1795,$N1619),IF(J1619&lt;=50,INDEX('Tabela Passaro'!$I$2:$I$1795,$N1619),IF(J1619&lt;=70,INDEX('Tabela Passaro'!$J$2:$J$1795,$N1619),IF(J1619&lt;=100,INDEX('Tabela Passaro'!$K$2:$K$1795,$N1619),INDEX('Tabela Passaro'!$K$2:$K$1795,$N1619)+(J1619-100)*INDEX('Tabela Passaro'!$L$2:$L$1795,$N1619))))))</f>
        <v>347.772</v>
      </c>
      <c r="S1619" s="32" t="n">
        <f aca="false">K1619*INDEX('Tabela Passaro'!$M$2:$M$1795,$N1619)</f>
        <v>11.1539</v>
      </c>
      <c r="T1619" s="32" t="n">
        <f aca="false">K1619*INDEX('Tabela Passaro'!$N$2:$N$1795,$N1619)</f>
        <v>4.46156</v>
      </c>
      <c r="U1619" s="32" t="n">
        <f aca="false">INDEX('Tabela Passaro'!$O$2:$O$1795,$N1619)</f>
        <v>5</v>
      </c>
      <c r="V1619" s="32" t="n">
        <f aca="false">ROUNDUP(J1619/INDEX('Tabela Passaro'!$Q$2:$Q$1795,$N1619),0)*INDEX('Tabela Passaro'!$P$2:$P$1795,$N1619)</f>
        <v>10</v>
      </c>
      <c r="W1619" s="32" t="n">
        <f aca="false">INDEX('Tabela Passaro'!$R$2:$R$1795,$N1619)</f>
        <v>30</v>
      </c>
      <c r="X1619" s="32" t="n">
        <f aca="false">ROUNDUP(J1619/INDEX('Tabela Passaro'!$T$2:$T$1795,$N1619),0)*INDEX('Tabela Passaro'!$S$2:$S$1795,$N1619)</f>
        <v>0</v>
      </c>
      <c r="Y1619" s="32" t="n">
        <f aca="false">INDEX('Tabela Passaro'!$U$2:$U$1795,$N1619)</f>
        <v>0</v>
      </c>
      <c r="Z1619" s="32" t="n">
        <f aca="false">INDEX('Tabela Passaro'!$V$2:$V$1795,$N1619)</f>
        <v>0</v>
      </c>
      <c r="AA1619" s="32" t="n">
        <f aca="false">SUM(R1619:Z1619)</f>
        <v>408.38746</v>
      </c>
      <c r="AB1619" s="33" t="n">
        <f aca="false">INDEX(Premissas!$B$5:$B$13,MATCH(A1619,Premissas!$A$5:$A$13,0))</f>
        <v>0.07</v>
      </c>
      <c r="AC1619" s="32" t="n">
        <f aca="false">AA1619/(1-AB1619)-AA1619</f>
        <v>30.7388410752689</v>
      </c>
      <c r="AD1619" s="32" t="n">
        <f aca="false">ROUND(AA1619+AC1619,2)</f>
        <v>439.13</v>
      </c>
      <c r="AE1619" s="32" t="n">
        <f aca="false">AD1619-L1619</f>
        <v>117.1</v>
      </c>
      <c r="AF1619" s="34" t="n">
        <f aca="false">IF(L1619=0,0,AE1619/L1619)</f>
        <v>0.363630717635003</v>
      </c>
      <c r="AG1619" s="22" t="str">
        <f aca="false">IF(AD1619&lt;L1619,"PASSARO","ATUAL")</f>
        <v>ATUAL</v>
      </c>
      <c r="AH1619" s="22" t="str">
        <f aca="false">IF(P1619&lt;&gt;A1619,"Faixa cadastrada como "&amp;P1619&amp;" na tabela; preço aplicado pela UF do CEP","")</f>
        <v/>
      </c>
      <c r="AI1619" s="26" t="n">
        <v>523.35</v>
      </c>
      <c r="AJ1619" s="22" t="str">
        <f aca="false">INDEX('Tabela Passaro'!$X$2:$X$1795,$N1619)</f>
        <v>INTERIOR 1</v>
      </c>
    </row>
    <row r="1620" customFormat="false" ht="15" hidden="false" customHeight="false" outlineLevel="0" collapsed="false">
      <c r="A1620" s="22" t="s">
        <v>21</v>
      </c>
      <c r="B1620" s="22" t="n">
        <v>3</v>
      </c>
      <c r="C1620" s="22" t="s">
        <v>171</v>
      </c>
      <c r="D1620" s="22" t="s">
        <v>32</v>
      </c>
      <c r="E1620" s="22" t="s">
        <v>7326</v>
      </c>
      <c r="F1620" s="22" t="n">
        <v>903143</v>
      </c>
      <c r="G1620" s="30" t="n">
        <v>46246</v>
      </c>
      <c r="H1620" s="22" t="n">
        <v>624066</v>
      </c>
      <c r="I1620" s="22" t="s">
        <v>8815</v>
      </c>
      <c r="J1620" s="31" t="n">
        <v>104.7</v>
      </c>
      <c r="K1620" s="26" t="n">
        <v>1702.45</v>
      </c>
      <c r="L1620" s="26" t="n">
        <v>361.88</v>
      </c>
      <c r="M1620" s="22" t="s">
        <v>6179</v>
      </c>
      <c r="N1620" s="22" t="n">
        <f aca="false">MATCH(M1620,'Tabela Passaro'!$A$2:$A$1795,0)</f>
        <v>1502</v>
      </c>
      <c r="O1620" s="22" t="str">
        <f aca="false">INDEX('Tabela Passaro'!$C$2:$C$1795,$N1620)</f>
        <v>PICOS</v>
      </c>
      <c r="P1620" s="22" t="str">
        <f aca="false">INDEX('Tabela Passaro'!$B$2:$B$1795,$N1620)</f>
        <v>PI</v>
      </c>
      <c r="Q1620" s="22" t="n">
        <f aca="false">INDEX('Tabela Passaro'!$F$2:$F$1795,$N1620)</f>
        <v>15</v>
      </c>
      <c r="R1620" s="32" t="n">
        <f aca="false">IF(J1620&lt;=10,INDEX('Tabela Passaro'!$G$2:$G$1795,$N1620),IF(J1620&lt;=30,INDEX('Tabela Passaro'!$H$2:$H$1795,$N1620),IF(J1620&lt;=50,INDEX('Tabela Passaro'!$I$2:$I$1795,$N1620),IF(J1620&lt;=70,INDEX('Tabela Passaro'!$J$2:$J$1795,$N1620),IF(J1620&lt;=100,INDEX('Tabela Passaro'!$K$2:$K$1795,$N1620),INDEX('Tabela Passaro'!$K$2:$K$1795,$N1620)+(J1620-100)*INDEX('Tabela Passaro'!$L$2:$L$1795,$N1620))))))</f>
        <v>308.592</v>
      </c>
      <c r="S1620" s="32" t="n">
        <f aca="false">K1620*INDEX('Tabela Passaro'!$M$2:$M$1795,$N1620)</f>
        <v>8.51225</v>
      </c>
      <c r="T1620" s="32" t="n">
        <f aca="false">K1620*INDEX('Tabela Passaro'!$N$2:$N$1795,$N1620)</f>
        <v>3.4049</v>
      </c>
      <c r="U1620" s="32" t="n">
        <f aca="false">INDEX('Tabela Passaro'!$O$2:$O$1795,$N1620)</f>
        <v>5</v>
      </c>
      <c r="V1620" s="32" t="n">
        <f aca="false">ROUNDUP(J1620/INDEX('Tabela Passaro'!$Q$2:$Q$1795,$N1620),0)*INDEX('Tabela Passaro'!$P$2:$P$1795,$N1620)</f>
        <v>10</v>
      </c>
      <c r="W1620" s="32" t="n">
        <f aca="false">INDEX('Tabela Passaro'!$R$2:$R$1795,$N1620)</f>
        <v>30</v>
      </c>
      <c r="X1620" s="32" t="n">
        <f aca="false">ROUNDUP(J1620/INDEX('Tabela Passaro'!$T$2:$T$1795,$N1620),0)*INDEX('Tabela Passaro'!$S$2:$S$1795,$N1620)</f>
        <v>0</v>
      </c>
      <c r="Y1620" s="32" t="n">
        <f aca="false">INDEX('Tabela Passaro'!$U$2:$U$1795,$N1620)</f>
        <v>0</v>
      </c>
      <c r="Z1620" s="32" t="n">
        <f aca="false">INDEX('Tabela Passaro'!$V$2:$V$1795,$N1620)</f>
        <v>0</v>
      </c>
      <c r="AA1620" s="32" t="n">
        <f aca="false">SUM(R1620:Z1620)</f>
        <v>365.50915</v>
      </c>
      <c r="AB1620" s="33" t="n">
        <f aca="false">INDEX(Premissas!$B$5:$B$13,MATCH(A1620,Premissas!$A$5:$A$13,0))</f>
        <v>0.07</v>
      </c>
      <c r="AC1620" s="32" t="n">
        <f aca="false">AA1620/(1-AB1620)-AA1620</f>
        <v>27.5114413978495</v>
      </c>
      <c r="AD1620" s="32" t="n">
        <f aca="false">ROUND(AA1620+AC1620,2)</f>
        <v>393.02</v>
      </c>
      <c r="AE1620" s="32" t="n">
        <f aca="false">AD1620-L1620</f>
        <v>31.14</v>
      </c>
      <c r="AF1620" s="34" t="n">
        <f aca="false">IF(L1620=0,0,AE1620/L1620)</f>
        <v>0.0860506245164143</v>
      </c>
      <c r="AG1620" s="22" t="str">
        <f aca="false">IF(AD1620&lt;L1620,"PASSARO","ATUAL")</f>
        <v>ATUAL</v>
      </c>
      <c r="AH1620" s="22" t="str">
        <f aca="false">IF(P1620&lt;&gt;A1620,"Faixa cadastrada como "&amp;P1620&amp;" na tabela; preço aplicado pela UF do CEP","")</f>
        <v/>
      </c>
      <c r="AI1620" s="26" t="n">
        <v>455.14</v>
      </c>
      <c r="AJ1620" s="22" t="str">
        <f aca="false">INDEX('Tabela Passaro'!$X$2:$X$1795,$N1620)</f>
        <v>INTERIOR 2</v>
      </c>
    </row>
    <row r="1621" customFormat="false" ht="15" hidden="false" customHeight="false" outlineLevel="0" collapsed="false">
      <c r="A1621" s="22" t="s">
        <v>21</v>
      </c>
      <c r="B1621" s="22" t="n">
        <v>3</v>
      </c>
      <c r="C1621" s="22" t="s">
        <v>171</v>
      </c>
      <c r="D1621" s="22" t="s">
        <v>32</v>
      </c>
      <c r="E1621" s="22" t="s">
        <v>7326</v>
      </c>
      <c r="F1621" s="22" t="n">
        <v>907870</v>
      </c>
      <c r="G1621" s="30" t="n">
        <v>46262</v>
      </c>
      <c r="H1621" s="22" t="n">
        <v>630492</v>
      </c>
      <c r="I1621" s="22" t="s">
        <v>8816</v>
      </c>
      <c r="J1621" s="31" t="n">
        <v>107.7</v>
      </c>
      <c r="K1621" s="26" t="n">
        <v>2016.45</v>
      </c>
      <c r="L1621" s="26" t="n">
        <v>365.95</v>
      </c>
      <c r="M1621" s="22" t="s">
        <v>6179</v>
      </c>
      <c r="N1621" s="22" t="n">
        <f aca="false">MATCH(M1621,'Tabela Passaro'!$A$2:$A$1795,0)</f>
        <v>1502</v>
      </c>
      <c r="O1621" s="22" t="str">
        <f aca="false">INDEX('Tabela Passaro'!$C$2:$C$1795,$N1621)</f>
        <v>PICOS</v>
      </c>
      <c r="P1621" s="22" t="str">
        <f aca="false">INDEX('Tabela Passaro'!$B$2:$B$1795,$N1621)</f>
        <v>PI</v>
      </c>
      <c r="Q1621" s="22" t="n">
        <f aca="false">INDEX('Tabela Passaro'!$F$2:$F$1795,$N1621)</f>
        <v>15</v>
      </c>
      <c r="R1621" s="32" t="n">
        <f aca="false">IF(J1621&lt;=10,INDEX('Tabela Passaro'!$G$2:$G$1795,$N1621),IF(J1621&lt;=30,INDEX('Tabela Passaro'!$H$2:$H$1795,$N1621),IF(J1621&lt;=50,INDEX('Tabela Passaro'!$I$2:$I$1795,$N1621),IF(J1621&lt;=70,INDEX('Tabela Passaro'!$J$2:$J$1795,$N1621),IF(J1621&lt;=100,INDEX('Tabela Passaro'!$K$2:$K$1795,$N1621),INDEX('Tabela Passaro'!$K$2:$K$1795,$N1621)+(J1621-100)*INDEX('Tabela Passaro'!$L$2:$L$1795,$N1621))))))</f>
        <v>316.272</v>
      </c>
      <c r="S1621" s="32" t="n">
        <f aca="false">K1621*INDEX('Tabela Passaro'!$M$2:$M$1795,$N1621)</f>
        <v>10.08225</v>
      </c>
      <c r="T1621" s="32" t="n">
        <f aca="false">K1621*INDEX('Tabela Passaro'!$N$2:$N$1795,$N1621)</f>
        <v>4.0329</v>
      </c>
      <c r="U1621" s="32" t="n">
        <f aca="false">INDEX('Tabela Passaro'!$O$2:$O$1795,$N1621)</f>
        <v>5</v>
      </c>
      <c r="V1621" s="32" t="n">
        <f aca="false">ROUNDUP(J1621/INDEX('Tabela Passaro'!$Q$2:$Q$1795,$N1621),0)*INDEX('Tabela Passaro'!$P$2:$P$1795,$N1621)</f>
        <v>10</v>
      </c>
      <c r="W1621" s="32" t="n">
        <f aca="false">INDEX('Tabela Passaro'!$R$2:$R$1795,$N1621)</f>
        <v>30</v>
      </c>
      <c r="X1621" s="32" t="n">
        <f aca="false">ROUNDUP(J1621/INDEX('Tabela Passaro'!$T$2:$T$1795,$N1621),0)*INDEX('Tabela Passaro'!$S$2:$S$1795,$N1621)</f>
        <v>0</v>
      </c>
      <c r="Y1621" s="32" t="n">
        <f aca="false">INDEX('Tabela Passaro'!$U$2:$U$1795,$N1621)</f>
        <v>0</v>
      </c>
      <c r="Z1621" s="32" t="n">
        <f aca="false">INDEX('Tabela Passaro'!$V$2:$V$1795,$N1621)</f>
        <v>0</v>
      </c>
      <c r="AA1621" s="32" t="n">
        <f aca="false">SUM(R1621:Z1621)</f>
        <v>375.38715</v>
      </c>
      <c r="AB1621" s="33" t="n">
        <f aca="false">INDEX(Premissas!$B$5:$B$13,MATCH(A1621,Premissas!$A$5:$A$13,0))</f>
        <v>0.07</v>
      </c>
      <c r="AC1621" s="32" t="n">
        <f aca="false">AA1621/(1-AB1621)-AA1621</f>
        <v>28.2549467741936</v>
      </c>
      <c r="AD1621" s="32" t="n">
        <f aca="false">ROUND(AA1621+AC1621,2)</f>
        <v>403.64</v>
      </c>
      <c r="AE1621" s="32" t="n">
        <f aca="false">AD1621-L1621</f>
        <v>37.69</v>
      </c>
      <c r="AF1621" s="34" t="n">
        <f aca="false">IF(L1621=0,0,AE1621/L1621)</f>
        <v>0.102992212050827</v>
      </c>
      <c r="AG1621" s="22" t="str">
        <f aca="false">IF(AD1621&lt;L1621,"PASSARO","ATUAL")</f>
        <v>ATUAL</v>
      </c>
      <c r="AH1621" s="22" t="str">
        <f aca="false">IF(P1621&lt;&gt;A1621,"Faixa cadastrada como "&amp;P1621&amp;" na tabela; preço aplicado pela UF do CEP","")</f>
        <v/>
      </c>
      <c r="AI1621" s="26" t="n">
        <v>468.92</v>
      </c>
      <c r="AJ1621" s="22" t="str">
        <f aca="false">INDEX('Tabela Passaro'!$X$2:$X$1795,$N1621)</f>
        <v>INTERIOR 2</v>
      </c>
    </row>
    <row r="1622" customFormat="false" ht="15" hidden="false" customHeight="false" outlineLevel="0" collapsed="false">
      <c r="A1622" s="22" t="s">
        <v>21</v>
      </c>
      <c r="B1622" s="22" t="n">
        <v>3</v>
      </c>
      <c r="C1622" s="22" t="s">
        <v>171</v>
      </c>
      <c r="D1622" s="22" t="s">
        <v>32</v>
      </c>
      <c r="E1622" s="22" t="s">
        <v>7326</v>
      </c>
      <c r="F1622" s="22" t="n">
        <v>908261</v>
      </c>
      <c r="G1622" s="30" t="n">
        <v>46265</v>
      </c>
      <c r="H1622" s="22" t="n">
        <v>630806</v>
      </c>
      <c r="I1622" s="22" t="s">
        <v>8817</v>
      </c>
      <c r="J1622" s="31" t="n">
        <v>107.7</v>
      </c>
      <c r="K1622" s="26" t="n">
        <v>1884.94</v>
      </c>
      <c r="L1622" s="26" t="n">
        <v>364.24</v>
      </c>
      <c r="M1622" s="22" t="s">
        <v>6179</v>
      </c>
      <c r="N1622" s="22" t="n">
        <f aca="false">MATCH(M1622,'Tabela Passaro'!$A$2:$A$1795,0)</f>
        <v>1502</v>
      </c>
      <c r="O1622" s="22" t="str">
        <f aca="false">INDEX('Tabela Passaro'!$C$2:$C$1795,$N1622)</f>
        <v>PICOS</v>
      </c>
      <c r="P1622" s="22" t="str">
        <f aca="false">INDEX('Tabela Passaro'!$B$2:$B$1795,$N1622)</f>
        <v>PI</v>
      </c>
      <c r="Q1622" s="22" t="n">
        <f aca="false">INDEX('Tabela Passaro'!$F$2:$F$1795,$N1622)</f>
        <v>15</v>
      </c>
      <c r="R1622" s="32" t="n">
        <f aca="false">IF(J1622&lt;=10,INDEX('Tabela Passaro'!$G$2:$G$1795,$N1622),IF(J1622&lt;=30,INDEX('Tabela Passaro'!$H$2:$H$1795,$N1622),IF(J1622&lt;=50,INDEX('Tabela Passaro'!$I$2:$I$1795,$N1622),IF(J1622&lt;=70,INDEX('Tabela Passaro'!$J$2:$J$1795,$N1622),IF(J1622&lt;=100,INDEX('Tabela Passaro'!$K$2:$K$1795,$N1622),INDEX('Tabela Passaro'!$K$2:$K$1795,$N1622)+(J1622-100)*INDEX('Tabela Passaro'!$L$2:$L$1795,$N1622))))))</f>
        <v>316.272</v>
      </c>
      <c r="S1622" s="32" t="n">
        <f aca="false">K1622*INDEX('Tabela Passaro'!$M$2:$M$1795,$N1622)</f>
        <v>9.4247</v>
      </c>
      <c r="T1622" s="32" t="n">
        <f aca="false">K1622*INDEX('Tabela Passaro'!$N$2:$N$1795,$N1622)</f>
        <v>3.76988</v>
      </c>
      <c r="U1622" s="32" t="n">
        <f aca="false">INDEX('Tabela Passaro'!$O$2:$O$1795,$N1622)</f>
        <v>5</v>
      </c>
      <c r="V1622" s="32" t="n">
        <f aca="false">ROUNDUP(J1622/INDEX('Tabela Passaro'!$Q$2:$Q$1795,$N1622),0)*INDEX('Tabela Passaro'!$P$2:$P$1795,$N1622)</f>
        <v>10</v>
      </c>
      <c r="W1622" s="32" t="n">
        <f aca="false">INDEX('Tabela Passaro'!$R$2:$R$1795,$N1622)</f>
        <v>30</v>
      </c>
      <c r="X1622" s="32" t="n">
        <f aca="false">ROUNDUP(J1622/INDEX('Tabela Passaro'!$T$2:$T$1795,$N1622),0)*INDEX('Tabela Passaro'!$S$2:$S$1795,$N1622)</f>
        <v>0</v>
      </c>
      <c r="Y1622" s="32" t="n">
        <f aca="false">INDEX('Tabela Passaro'!$U$2:$U$1795,$N1622)</f>
        <v>0</v>
      </c>
      <c r="Z1622" s="32" t="n">
        <f aca="false">INDEX('Tabela Passaro'!$V$2:$V$1795,$N1622)</f>
        <v>0</v>
      </c>
      <c r="AA1622" s="32" t="n">
        <f aca="false">SUM(R1622:Z1622)</f>
        <v>374.46658</v>
      </c>
      <c r="AB1622" s="33" t="n">
        <f aca="false">INDEX(Premissas!$B$5:$B$13,MATCH(A1622,Premissas!$A$5:$A$13,0))</f>
        <v>0.07</v>
      </c>
      <c r="AC1622" s="32" t="n">
        <f aca="false">AA1622/(1-AB1622)-AA1622</f>
        <v>28.1856565591398</v>
      </c>
      <c r="AD1622" s="32" t="n">
        <f aca="false">ROUND(AA1622+AC1622,2)</f>
        <v>402.65</v>
      </c>
      <c r="AE1622" s="32" t="n">
        <f aca="false">AD1622-L1622</f>
        <v>38.41</v>
      </c>
      <c r="AF1622" s="34" t="n">
        <f aca="false">IF(L1622=0,0,AE1622/L1622)</f>
        <v>0.105452448934768</v>
      </c>
      <c r="AG1622" s="22" t="str">
        <f aca="false">IF(AD1622&lt;L1622,"PASSARO","ATUAL")</f>
        <v>ATUAL</v>
      </c>
      <c r="AH1622" s="22" t="str">
        <f aca="false">IF(P1622&lt;&gt;A1622,"Faixa cadastrada como "&amp;P1622&amp;" na tabela; preço aplicado pela UF do CEP","")</f>
        <v/>
      </c>
      <c r="AI1622" s="26" t="n">
        <v>467.65</v>
      </c>
      <c r="AJ1622" s="22" t="str">
        <f aca="false">INDEX('Tabela Passaro'!$X$2:$X$1795,$N1622)</f>
        <v>INTERIOR 2</v>
      </c>
    </row>
    <row r="1623" customFormat="false" ht="15" hidden="false" customHeight="false" outlineLevel="0" collapsed="false">
      <c r="A1623" s="22" t="s">
        <v>21</v>
      </c>
      <c r="B1623" s="22" t="n">
        <v>3</v>
      </c>
      <c r="C1623" s="22" t="s">
        <v>171</v>
      </c>
      <c r="D1623" s="22" t="s">
        <v>30</v>
      </c>
      <c r="E1623" s="22" t="s">
        <v>7328</v>
      </c>
      <c r="F1623" s="22" t="n">
        <v>2312301</v>
      </c>
      <c r="G1623" s="30" t="n">
        <v>46248</v>
      </c>
      <c r="H1623" s="22" t="n">
        <v>133201</v>
      </c>
      <c r="I1623" s="22" t="s">
        <v>8818</v>
      </c>
      <c r="J1623" s="31" t="n">
        <v>26.9</v>
      </c>
      <c r="K1623" s="26" t="n">
        <v>568.61</v>
      </c>
      <c r="L1623" s="26" t="n">
        <v>133.2</v>
      </c>
      <c r="M1623" s="22" t="s">
        <v>6179</v>
      </c>
      <c r="N1623" s="22" t="n">
        <f aca="false">MATCH(M1623,'Tabela Passaro'!$A$2:$A$1795,0)</f>
        <v>1502</v>
      </c>
      <c r="O1623" s="22" t="str">
        <f aca="false">INDEX('Tabela Passaro'!$C$2:$C$1795,$N1623)</f>
        <v>PICOS</v>
      </c>
      <c r="P1623" s="22" t="str">
        <f aca="false">INDEX('Tabela Passaro'!$B$2:$B$1795,$N1623)</f>
        <v>PI</v>
      </c>
      <c r="Q1623" s="22" t="n">
        <f aca="false">INDEX('Tabela Passaro'!$F$2:$F$1795,$N1623)</f>
        <v>15</v>
      </c>
      <c r="R1623" s="32" t="n">
        <f aca="false">IF(J1623&lt;=10,INDEX('Tabela Passaro'!$G$2:$G$1795,$N1623),IF(J1623&lt;=30,INDEX('Tabela Passaro'!$H$2:$H$1795,$N1623),IF(J1623&lt;=50,INDEX('Tabela Passaro'!$I$2:$I$1795,$N1623),IF(J1623&lt;=70,INDEX('Tabela Passaro'!$J$2:$J$1795,$N1623),IF(J1623&lt;=100,INDEX('Tabela Passaro'!$K$2:$K$1795,$N1623),INDEX('Tabela Passaro'!$K$2:$K$1795,$N1623)+(J1623-100)*INDEX('Tabela Passaro'!$L$2:$L$1795,$N1623))))))</f>
        <v>241.23</v>
      </c>
      <c r="S1623" s="32" t="n">
        <f aca="false">K1623*INDEX('Tabela Passaro'!$M$2:$M$1795,$N1623)</f>
        <v>2.84305</v>
      </c>
      <c r="T1623" s="32" t="n">
        <f aca="false">K1623*INDEX('Tabela Passaro'!$N$2:$N$1795,$N1623)</f>
        <v>1.13722</v>
      </c>
      <c r="U1623" s="32" t="n">
        <f aca="false">INDEX('Tabela Passaro'!$O$2:$O$1795,$N1623)</f>
        <v>5</v>
      </c>
      <c r="V1623" s="32" t="n">
        <f aca="false">ROUNDUP(J1623/INDEX('Tabela Passaro'!$Q$2:$Q$1795,$N1623),0)*INDEX('Tabela Passaro'!$P$2:$P$1795,$N1623)</f>
        <v>5</v>
      </c>
      <c r="W1623" s="32" t="n">
        <f aca="false">INDEX('Tabela Passaro'!$R$2:$R$1795,$N1623)</f>
        <v>30</v>
      </c>
      <c r="X1623" s="32" t="n">
        <f aca="false">ROUNDUP(J1623/INDEX('Tabela Passaro'!$T$2:$T$1795,$N1623),0)*INDEX('Tabela Passaro'!$S$2:$S$1795,$N1623)</f>
        <v>0</v>
      </c>
      <c r="Y1623" s="32" t="n">
        <f aca="false">INDEX('Tabela Passaro'!$U$2:$U$1795,$N1623)</f>
        <v>0</v>
      </c>
      <c r="Z1623" s="32" t="n">
        <f aca="false">INDEX('Tabela Passaro'!$V$2:$V$1795,$N1623)</f>
        <v>0</v>
      </c>
      <c r="AA1623" s="32" t="n">
        <f aca="false">SUM(R1623:Z1623)</f>
        <v>285.21027</v>
      </c>
      <c r="AB1623" s="33" t="n">
        <f aca="false">INDEX(Premissas!$B$5:$B$13,MATCH(A1623,Premissas!$A$5:$A$13,0))</f>
        <v>0.07</v>
      </c>
      <c r="AC1623" s="32" t="n">
        <f aca="false">AA1623/(1-AB1623)-AA1623</f>
        <v>21.4674396774194</v>
      </c>
      <c r="AD1623" s="32" t="n">
        <f aca="false">ROUND(AA1623+AC1623,2)</f>
        <v>306.68</v>
      </c>
      <c r="AE1623" s="32" t="n">
        <f aca="false">AD1623-L1623</f>
        <v>173.48</v>
      </c>
      <c r="AF1623" s="34" t="n">
        <f aca="false">IF(L1623=0,0,AE1623/L1623)</f>
        <v>1.3024024024024</v>
      </c>
      <c r="AG1623" s="22" t="str">
        <f aca="false">IF(AD1623&lt;L1623,"PASSARO","ATUAL")</f>
        <v>ATUAL</v>
      </c>
      <c r="AH1623" s="22" t="str">
        <f aca="false">IF(P1623&lt;&gt;A1623,"Faixa cadastrada como "&amp;P1623&amp;" na tabela; preço aplicado pela UF do CEP","")</f>
        <v/>
      </c>
      <c r="AI1623" s="26" t="n">
        <v>323.87</v>
      </c>
      <c r="AJ1623" s="22" t="str">
        <f aca="false">INDEX('Tabela Passaro'!$X$2:$X$1795,$N1623)</f>
        <v>INTERIOR 2</v>
      </c>
    </row>
    <row r="1624" customFormat="false" ht="15" hidden="false" customHeight="false" outlineLevel="0" collapsed="false">
      <c r="A1624" s="22" t="s">
        <v>21</v>
      </c>
      <c r="B1624" s="22" t="n">
        <v>3</v>
      </c>
      <c r="C1624" s="22" t="s">
        <v>171</v>
      </c>
      <c r="D1624" s="22" t="s">
        <v>30</v>
      </c>
      <c r="E1624" s="22" t="s">
        <v>20</v>
      </c>
      <c r="F1624" s="22" t="n">
        <v>839844</v>
      </c>
      <c r="G1624" s="30" t="n">
        <v>46255</v>
      </c>
      <c r="H1624" s="22" t="n">
        <v>32601</v>
      </c>
      <c r="I1624" s="22" t="s">
        <v>8819</v>
      </c>
      <c r="J1624" s="31" t="n">
        <v>37.59</v>
      </c>
      <c r="K1624" s="26" t="n">
        <v>680.55</v>
      </c>
      <c r="L1624" s="26" t="n">
        <v>165.57</v>
      </c>
      <c r="M1624" s="22" t="s">
        <v>6179</v>
      </c>
      <c r="N1624" s="22" t="n">
        <f aca="false">MATCH(M1624,'Tabela Passaro'!$A$2:$A$1795,0)</f>
        <v>1502</v>
      </c>
      <c r="O1624" s="22" t="str">
        <f aca="false">INDEX('Tabela Passaro'!$C$2:$C$1795,$N1624)</f>
        <v>PICOS</v>
      </c>
      <c r="P1624" s="22" t="str">
        <f aca="false">INDEX('Tabela Passaro'!$B$2:$B$1795,$N1624)</f>
        <v>PI</v>
      </c>
      <c r="Q1624" s="22" t="n">
        <f aca="false">INDEX('Tabela Passaro'!$F$2:$F$1795,$N1624)</f>
        <v>15</v>
      </c>
      <c r="R1624" s="32" t="n">
        <f aca="false">IF(J1624&lt;=10,INDEX('Tabela Passaro'!$G$2:$G$1795,$N1624),IF(J1624&lt;=30,INDEX('Tabela Passaro'!$H$2:$H$1795,$N1624),IF(J1624&lt;=50,INDEX('Tabela Passaro'!$I$2:$I$1795,$N1624),IF(J1624&lt;=70,INDEX('Tabela Passaro'!$J$2:$J$1795,$N1624),IF(J1624&lt;=100,INDEX('Tabela Passaro'!$K$2:$K$1795,$N1624),INDEX('Tabela Passaro'!$K$2:$K$1795,$N1624)+(J1624-100)*INDEX('Tabela Passaro'!$L$2:$L$1795,$N1624))))))</f>
        <v>263.36</v>
      </c>
      <c r="S1624" s="32" t="n">
        <f aca="false">K1624*INDEX('Tabela Passaro'!$M$2:$M$1795,$N1624)</f>
        <v>3.40275</v>
      </c>
      <c r="T1624" s="32" t="n">
        <f aca="false">K1624*INDEX('Tabela Passaro'!$N$2:$N$1795,$N1624)</f>
        <v>1.3611</v>
      </c>
      <c r="U1624" s="32" t="n">
        <f aca="false">INDEX('Tabela Passaro'!$O$2:$O$1795,$N1624)</f>
        <v>5</v>
      </c>
      <c r="V1624" s="32" t="n">
        <f aca="false">ROUNDUP(J1624/INDEX('Tabela Passaro'!$Q$2:$Q$1795,$N1624),0)*INDEX('Tabela Passaro'!$P$2:$P$1795,$N1624)</f>
        <v>5</v>
      </c>
      <c r="W1624" s="32" t="n">
        <f aca="false">INDEX('Tabela Passaro'!$R$2:$R$1795,$N1624)</f>
        <v>30</v>
      </c>
      <c r="X1624" s="32" t="n">
        <f aca="false">ROUNDUP(J1624/INDEX('Tabela Passaro'!$T$2:$T$1795,$N1624),0)*INDEX('Tabela Passaro'!$S$2:$S$1795,$N1624)</f>
        <v>0</v>
      </c>
      <c r="Y1624" s="32" t="n">
        <f aca="false">INDEX('Tabela Passaro'!$U$2:$U$1795,$N1624)</f>
        <v>0</v>
      </c>
      <c r="Z1624" s="32" t="n">
        <f aca="false">INDEX('Tabela Passaro'!$V$2:$V$1795,$N1624)</f>
        <v>0</v>
      </c>
      <c r="AA1624" s="32" t="n">
        <f aca="false">SUM(R1624:Z1624)</f>
        <v>308.12385</v>
      </c>
      <c r="AB1624" s="33" t="n">
        <f aca="false">INDEX(Premissas!$B$5:$B$13,MATCH(A1624,Premissas!$A$5:$A$13,0))</f>
        <v>0.07</v>
      </c>
      <c r="AC1624" s="32" t="n">
        <f aca="false">AA1624/(1-AB1624)-AA1624</f>
        <v>23.1921177419355</v>
      </c>
      <c r="AD1624" s="32" t="n">
        <f aca="false">ROUND(AA1624+AC1624,2)</f>
        <v>331.32</v>
      </c>
      <c r="AE1624" s="32" t="n">
        <f aca="false">AD1624-L1624</f>
        <v>165.75</v>
      </c>
      <c r="AF1624" s="34" t="n">
        <f aca="false">IF(L1624=0,0,AE1624/L1624)</f>
        <v>1.00108715346983</v>
      </c>
      <c r="AG1624" s="22" t="str">
        <f aca="false">IF(AD1624&lt;L1624,"PASSARO","ATUAL")</f>
        <v>ATUAL</v>
      </c>
      <c r="AH1624" s="22" t="str">
        <f aca="false">IF(P1624&lt;&gt;A1624,"Faixa cadastrada como "&amp;P1624&amp;" na tabela; preço aplicado pela UF do CEP","")</f>
        <v/>
      </c>
      <c r="AI1624" s="26" t="n">
        <v>355.32</v>
      </c>
      <c r="AJ1624" s="22" t="str">
        <f aca="false">INDEX('Tabela Passaro'!$X$2:$X$1795,$N1624)</f>
        <v>INTERIOR 2</v>
      </c>
    </row>
    <row r="1625" customFormat="false" ht="15" hidden="false" customHeight="false" outlineLevel="0" collapsed="false">
      <c r="A1625" s="22" t="s">
        <v>21</v>
      </c>
      <c r="B1625" s="22" t="n">
        <v>3</v>
      </c>
      <c r="C1625" s="22" t="s">
        <v>171</v>
      </c>
      <c r="D1625" s="22" t="s">
        <v>30</v>
      </c>
      <c r="E1625" s="22" t="s">
        <v>7328</v>
      </c>
      <c r="F1625" s="22" t="n">
        <v>2315692</v>
      </c>
      <c r="G1625" s="30" t="n">
        <v>46258</v>
      </c>
      <c r="H1625" s="22" t="n">
        <v>134420</v>
      </c>
      <c r="I1625" s="22" t="s">
        <v>8820</v>
      </c>
      <c r="J1625" s="31" t="n">
        <v>124.2</v>
      </c>
      <c r="K1625" s="26" t="n">
        <v>2264.07</v>
      </c>
      <c r="L1625" s="26" t="n">
        <v>351.97</v>
      </c>
      <c r="M1625" s="22" t="s">
        <v>6179</v>
      </c>
      <c r="N1625" s="22" t="n">
        <f aca="false">MATCH(M1625,'Tabela Passaro'!$A$2:$A$1795,0)</f>
        <v>1502</v>
      </c>
      <c r="O1625" s="22" t="str">
        <f aca="false">INDEX('Tabela Passaro'!$C$2:$C$1795,$N1625)</f>
        <v>PICOS</v>
      </c>
      <c r="P1625" s="22" t="str">
        <f aca="false">INDEX('Tabela Passaro'!$B$2:$B$1795,$N1625)</f>
        <v>PI</v>
      </c>
      <c r="Q1625" s="22" t="n">
        <f aca="false">INDEX('Tabela Passaro'!$F$2:$F$1795,$N1625)</f>
        <v>15</v>
      </c>
      <c r="R1625" s="32" t="n">
        <f aca="false">IF(J1625&lt;=10,INDEX('Tabela Passaro'!$G$2:$G$1795,$N1625),IF(J1625&lt;=30,INDEX('Tabela Passaro'!$H$2:$H$1795,$N1625),IF(J1625&lt;=50,INDEX('Tabela Passaro'!$I$2:$I$1795,$N1625),IF(J1625&lt;=70,INDEX('Tabela Passaro'!$J$2:$J$1795,$N1625),IF(J1625&lt;=100,INDEX('Tabela Passaro'!$K$2:$K$1795,$N1625),INDEX('Tabela Passaro'!$K$2:$K$1795,$N1625)+(J1625-100)*INDEX('Tabela Passaro'!$L$2:$L$1795,$N1625))))))</f>
        <v>358.512</v>
      </c>
      <c r="S1625" s="32" t="n">
        <f aca="false">K1625*INDEX('Tabela Passaro'!$M$2:$M$1795,$N1625)</f>
        <v>11.32035</v>
      </c>
      <c r="T1625" s="32" t="n">
        <f aca="false">K1625*INDEX('Tabela Passaro'!$N$2:$N$1795,$N1625)</f>
        <v>4.52814</v>
      </c>
      <c r="U1625" s="32" t="n">
        <f aca="false">INDEX('Tabela Passaro'!$O$2:$O$1795,$N1625)</f>
        <v>5</v>
      </c>
      <c r="V1625" s="32" t="n">
        <f aca="false">ROUNDUP(J1625/INDEX('Tabela Passaro'!$Q$2:$Q$1795,$N1625),0)*INDEX('Tabela Passaro'!$P$2:$P$1795,$N1625)</f>
        <v>10</v>
      </c>
      <c r="W1625" s="32" t="n">
        <f aca="false">INDEX('Tabela Passaro'!$R$2:$R$1795,$N1625)</f>
        <v>30</v>
      </c>
      <c r="X1625" s="32" t="n">
        <f aca="false">ROUNDUP(J1625/INDEX('Tabela Passaro'!$T$2:$T$1795,$N1625),0)*INDEX('Tabela Passaro'!$S$2:$S$1795,$N1625)</f>
        <v>0</v>
      </c>
      <c r="Y1625" s="32" t="n">
        <f aca="false">INDEX('Tabela Passaro'!$U$2:$U$1795,$N1625)</f>
        <v>0</v>
      </c>
      <c r="Z1625" s="32" t="n">
        <f aca="false">INDEX('Tabela Passaro'!$V$2:$V$1795,$N1625)</f>
        <v>0</v>
      </c>
      <c r="AA1625" s="32" t="n">
        <f aca="false">SUM(R1625:Z1625)</f>
        <v>419.36049</v>
      </c>
      <c r="AB1625" s="33" t="n">
        <f aca="false">INDEX(Premissas!$B$5:$B$13,MATCH(A1625,Premissas!$A$5:$A$13,0))</f>
        <v>0.07</v>
      </c>
      <c r="AC1625" s="32" t="n">
        <f aca="false">AA1625/(1-AB1625)-AA1625</f>
        <v>31.5647680645162</v>
      </c>
      <c r="AD1625" s="32" t="n">
        <f aca="false">ROUND(AA1625+AC1625,2)</f>
        <v>450.93</v>
      </c>
      <c r="AE1625" s="32" t="n">
        <f aca="false">AD1625-L1625</f>
        <v>98.96</v>
      </c>
      <c r="AF1625" s="34" t="n">
        <f aca="false">IF(L1625=0,0,AE1625/L1625)</f>
        <v>0.281160326164162</v>
      </c>
      <c r="AG1625" s="22" t="str">
        <f aca="false">IF(AD1625&lt;L1625,"PASSARO","ATUAL")</f>
        <v>ATUAL</v>
      </c>
      <c r="AH1625" s="22" t="str">
        <f aca="false">IF(P1625&lt;&gt;A1625,"Faixa cadastrada como "&amp;P1625&amp;" na tabela; preço aplicado pela UF do CEP","")</f>
        <v/>
      </c>
      <c r="AI1625" s="26" t="n">
        <v>530.64</v>
      </c>
      <c r="AJ1625" s="22" t="str">
        <f aca="false">INDEX('Tabela Passaro'!$X$2:$X$1795,$N1625)</f>
        <v>INTERIOR 2</v>
      </c>
    </row>
    <row r="1626" customFormat="false" ht="15" hidden="false" customHeight="false" outlineLevel="0" collapsed="false">
      <c r="A1626" s="22" t="s">
        <v>21</v>
      </c>
      <c r="B1626" s="22" t="n">
        <v>4</v>
      </c>
      <c r="C1626" s="22" t="s">
        <v>172</v>
      </c>
      <c r="D1626" s="22" t="s">
        <v>32</v>
      </c>
      <c r="E1626" s="22" t="s">
        <v>7326</v>
      </c>
      <c r="F1626" s="22" t="n">
        <v>902609</v>
      </c>
      <c r="G1626" s="30" t="n">
        <v>46245</v>
      </c>
      <c r="H1626" s="22" t="n">
        <v>622188</v>
      </c>
      <c r="I1626" s="22" t="s">
        <v>8821</v>
      </c>
      <c r="J1626" s="31" t="n">
        <v>119.8</v>
      </c>
      <c r="K1626" s="26" t="n">
        <v>1996.5</v>
      </c>
      <c r="L1626" s="26" t="n">
        <v>365.68</v>
      </c>
      <c r="M1626" s="22" t="s">
        <v>6361</v>
      </c>
      <c r="N1626" s="22" t="n">
        <f aca="false">MATCH(M1626,'Tabela Passaro'!$A$2:$A$1795,0)</f>
        <v>1548</v>
      </c>
      <c r="O1626" s="22" t="str">
        <f aca="false">INDEX('Tabela Passaro'!$C$2:$C$1795,$N1626)</f>
        <v>VALENCA DO PIAUI</v>
      </c>
      <c r="P1626" s="22" t="str">
        <f aca="false">INDEX('Tabela Passaro'!$B$2:$B$1795,$N1626)</f>
        <v>PI</v>
      </c>
      <c r="Q1626" s="22" t="n">
        <f aca="false">INDEX('Tabela Passaro'!$F$2:$F$1795,$N1626)</f>
        <v>15</v>
      </c>
      <c r="R1626" s="32" t="n">
        <f aca="false">IF(J1626&lt;=10,INDEX('Tabela Passaro'!$G$2:$G$1795,$N1626),IF(J1626&lt;=30,INDEX('Tabela Passaro'!$H$2:$H$1795,$N1626),IF(J1626&lt;=50,INDEX('Tabela Passaro'!$I$2:$I$1795,$N1626),IF(J1626&lt;=70,INDEX('Tabela Passaro'!$J$2:$J$1795,$N1626),IF(J1626&lt;=100,INDEX('Tabela Passaro'!$K$2:$K$1795,$N1626),INDEX('Tabela Passaro'!$K$2:$K$1795,$N1626)+(J1626-100)*INDEX('Tabela Passaro'!$L$2:$L$1795,$N1626))))))</f>
        <v>347.248</v>
      </c>
      <c r="S1626" s="32" t="n">
        <f aca="false">K1626*INDEX('Tabela Passaro'!$M$2:$M$1795,$N1626)</f>
        <v>9.9825</v>
      </c>
      <c r="T1626" s="32" t="n">
        <f aca="false">K1626*INDEX('Tabela Passaro'!$N$2:$N$1795,$N1626)</f>
        <v>3.993</v>
      </c>
      <c r="U1626" s="32" t="n">
        <f aca="false">INDEX('Tabela Passaro'!$O$2:$O$1795,$N1626)</f>
        <v>5</v>
      </c>
      <c r="V1626" s="32" t="n">
        <f aca="false">ROUNDUP(J1626/INDEX('Tabela Passaro'!$Q$2:$Q$1795,$N1626),0)*INDEX('Tabela Passaro'!$P$2:$P$1795,$N1626)</f>
        <v>10</v>
      </c>
      <c r="W1626" s="32" t="n">
        <f aca="false">INDEX('Tabela Passaro'!$R$2:$R$1795,$N1626)</f>
        <v>30</v>
      </c>
      <c r="X1626" s="32" t="n">
        <f aca="false">ROUNDUP(J1626/INDEX('Tabela Passaro'!$T$2:$T$1795,$N1626),0)*INDEX('Tabela Passaro'!$S$2:$S$1795,$N1626)</f>
        <v>0</v>
      </c>
      <c r="Y1626" s="32" t="n">
        <f aca="false">INDEX('Tabela Passaro'!$U$2:$U$1795,$N1626)</f>
        <v>0</v>
      </c>
      <c r="Z1626" s="32" t="n">
        <f aca="false">INDEX('Tabela Passaro'!$V$2:$V$1795,$N1626)</f>
        <v>0</v>
      </c>
      <c r="AA1626" s="32" t="n">
        <f aca="false">SUM(R1626:Z1626)</f>
        <v>406.2235</v>
      </c>
      <c r="AB1626" s="33" t="n">
        <f aca="false">INDEX(Premissas!$B$5:$B$13,MATCH(A1626,Premissas!$A$5:$A$13,0))</f>
        <v>0.07</v>
      </c>
      <c r="AC1626" s="32" t="n">
        <f aca="false">AA1626/(1-AB1626)-AA1626</f>
        <v>30.5759623655914</v>
      </c>
      <c r="AD1626" s="32" t="n">
        <f aca="false">ROUND(AA1626+AC1626,2)</f>
        <v>436.8</v>
      </c>
      <c r="AE1626" s="32" t="n">
        <f aca="false">AD1626-L1626</f>
        <v>71.12</v>
      </c>
      <c r="AF1626" s="34" t="n">
        <f aca="false">IF(L1626=0,0,AE1626/L1626)</f>
        <v>0.194486983154671</v>
      </c>
      <c r="AG1626" s="22" t="str">
        <f aca="false">IF(AD1626&lt;L1626,"PASSARO","ATUAL")</f>
        <v>ATUAL</v>
      </c>
      <c r="AH1626" s="22" t="str">
        <f aca="false">IF(P1626&lt;&gt;A1626,"Faixa cadastrada como "&amp;P1626&amp;" na tabela; preço aplicado pela UF do CEP","")</f>
        <v/>
      </c>
      <c r="AI1626" s="26" t="n">
        <v>512</v>
      </c>
      <c r="AJ1626" s="22" t="str">
        <f aca="false">INDEX('Tabela Passaro'!$X$2:$X$1795,$N1626)</f>
        <v>INTERIOR 2</v>
      </c>
    </row>
    <row r="1627" customFormat="false" ht="15" hidden="false" customHeight="false" outlineLevel="0" collapsed="false">
      <c r="A1627" s="22" t="s">
        <v>21</v>
      </c>
      <c r="B1627" s="22" t="n">
        <v>4</v>
      </c>
      <c r="C1627" s="22" t="s">
        <v>172</v>
      </c>
      <c r="D1627" s="22" t="s">
        <v>30</v>
      </c>
      <c r="E1627" s="22" t="s">
        <v>7326</v>
      </c>
      <c r="F1627" s="22" t="n">
        <v>523822</v>
      </c>
      <c r="G1627" s="30" t="n">
        <v>46245</v>
      </c>
      <c r="H1627" s="22" t="n">
        <v>623721</v>
      </c>
      <c r="I1627" s="22" t="s">
        <v>8821</v>
      </c>
      <c r="J1627" s="31" t="n">
        <v>34.16</v>
      </c>
      <c r="K1627" s="26" t="n">
        <v>1030.86</v>
      </c>
      <c r="L1627" s="26" t="n">
        <v>202.75</v>
      </c>
      <c r="M1627" s="22" t="s">
        <v>6361</v>
      </c>
      <c r="N1627" s="22" t="n">
        <f aca="false">MATCH(M1627,'Tabela Passaro'!$A$2:$A$1795,0)</f>
        <v>1548</v>
      </c>
      <c r="O1627" s="22" t="str">
        <f aca="false">INDEX('Tabela Passaro'!$C$2:$C$1795,$N1627)</f>
        <v>VALENCA DO PIAUI</v>
      </c>
      <c r="P1627" s="22" t="str">
        <f aca="false">INDEX('Tabela Passaro'!$B$2:$B$1795,$N1627)</f>
        <v>PI</v>
      </c>
      <c r="Q1627" s="22" t="n">
        <f aca="false">INDEX('Tabela Passaro'!$F$2:$F$1795,$N1627)</f>
        <v>15</v>
      </c>
      <c r="R1627" s="32" t="n">
        <f aca="false">IF(J1627&lt;=10,INDEX('Tabela Passaro'!$G$2:$G$1795,$N1627),IF(J1627&lt;=30,INDEX('Tabela Passaro'!$H$2:$H$1795,$N1627),IF(J1627&lt;=50,INDEX('Tabela Passaro'!$I$2:$I$1795,$N1627),IF(J1627&lt;=70,INDEX('Tabela Passaro'!$J$2:$J$1795,$N1627),IF(J1627&lt;=100,INDEX('Tabela Passaro'!$K$2:$K$1795,$N1627),INDEX('Tabela Passaro'!$K$2:$K$1795,$N1627)+(J1627-100)*INDEX('Tabela Passaro'!$L$2:$L$1795,$N1627))))))</f>
        <v>263.36</v>
      </c>
      <c r="S1627" s="32" t="n">
        <f aca="false">K1627*INDEX('Tabela Passaro'!$M$2:$M$1795,$N1627)</f>
        <v>5.1543</v>
      </c>
      <c r="T1627" s="32" t="n">
        <f aca="false">K1627*INDEX('Tabela Passaro'!$N$2:$N$1795,$N1627)</f>
        <v>2.06172</v>
      </c>
      <c r="U1627" s="32" t="n">
        <f aca="false">INDEX('Tabela Passaro'!$O$2:$O$1795,$N1627)</f>
        <v>5</v>
      </c>
      <c r="V1627" s="32" t="n">
        <f aca="false">ROUNDUP(J1627/INDEX('Tabela Passaro'!$Q$2:$Q$1795,$N1627),0)*INDEX('Tabela Passaro'!$P$2:$P$1795,$N1627)</f>
        <v>5</v>
      </c>
      <c r="W1627" s="32" t="n">
        <f aca="false">INDEX('Tabela Passaro'!$R$2:$R$1795,$N1627)</f>
        <v>30</v>
      </c>
      <c r="X1627" s="32" t="n">
        <f aca="false">ROUNDUP(J1627/INDEX('Tabela Passaro'!$T$2:$T$1795,$N1627),0)*INDEX('Tabela Passaro'!$S$2:$S$1795,$N1627)</f>
        <v>0</v>
      </c>
      <c r="Y1627" s="32" t="n">
        <f aca="false">INDEX('Tabela Passaro'!$U$2:$U$1795,$N1627)</f>
        <v>0</v>
      </c>
      <c r="Z1627" s="32" t="n">
        <f aca="false">INDEX('Tabela Passaro'!$V$2:$V$1795,$N1627)</f>
        <v>0</v>
      </c>
      <c r="AA1627" s="32" t="n">
        <f aca="false">SUM(R1627:Z1627)</f>
        <v>310.57602</v>
      </c>
      <c r="AB1627" s="33" t="n">
        <f aca="false">INDEX(Premissas!$B$5:$B$13,MATCH(A1627,Premissas!$A$5:$A$13,0))</f>
        <v>0.07</v>
      </c>
      <c r="AC1627" s="32" t="n">
        <f aca="false">AA1627/(1-AB1627)-AA1627</f>
        <v>23.3766896774194</v>
      </c>
      <c r="AD1627" s="32" t="n">
        <f aca="false">ROUND(AA1627+AC1627,2)</f>
        <v>333.95</v>
      </c>
      <c r="AE1627" s="32" t="n">
        <f aca="false">AD1627-L1627</f>
        <v>131.2</v>
      </c>
      <c r="AF1627" s="34" t="n">
        <f aca="false">IF(L1627=0,0,AE1627/L1627)</f>
        <v>0.647102342786683</v>
      </c>
      <c r="AG1627" s="22" t="str">
        <f aca="false">IF(AD1627&lt;L1627,"PASSARO","ATUAL")</f>
        <v>ATUAL</v>
      </c>
      <c r="AH1627" s="22" t="str">
        <f aca="false">IF(P1627&lt;&gt;A1627,"Faixa cadastrada como "&amp;P1627&amp;" na tabela; preço aplicado pela UF do CEP","")</f>
        <v/>
      </c>
      <c r="AI1627" s="26" t="n">
        <v>357.26</v>
      </c>
      <c r="AJ1627" s="22" t="str">
        <f aca="false">INDEX('Tabela Passaro'!$X$2:$X$1795,$N1627)</f>
        <v>INTERIOR 2</v>
      </c>
    </row>
    <row r="1628" customFormat="false" ht="15" hidden="false" customHeight="false" outlineLevel="0" collapsed="false">
      <c r="A1628" s="22" t="s">
        <v>21</v>
      </c>
      <c r="B1628" s="22" t="n">
        <v>4</v>
      </c>
      <c r="C1628" s="22" t="s">
        <v>172</v>
      </c>
      <c r="D1628" s="22" t="s">
        <v>30</v>
      </c>
      <c r="E1628" s="22" t="s">
        <v>7328</v>
      </c>
      <c r="F1628" s="22" t="n">
        <v>2314442</v>
      </c>
      <c r="G1628" s="30" t="n">
        <v>46254</v>
      </c>
      <c r="H1628" s="22" t="n">
        <v>134272</v>
      </c>
      <c r="I1628" s="22" t="s">
        <v>8821</v>
      </c>
      <c r="J1628" s="31" t="n">
        <v>22.3</v>
      </c>
      <c r="K1628" s="26" t="n">
        <v>595.72</v>
      </c>
      <c r="L1628" s="26" t="n">
        <v>133.43</v>
      </c>
      <c r="M1628" s="22" t="s">
        <v>6361</v>
      </c>
      <c r="N1628" s="22" t="n">
        <f aca="false">MATCH(M1628,'Tabela Passaro'!$A$2:$A$1795,0)</f>
        <v>1548</v>
      </c>
      <c r="O1628" s="22" t="str">
        <f aca="false">INDEX('Tabela Passaro'!$C$2:$C$1795,$N1628)</f>
        <v>VALENCA DO PIAUI</v>
      </c>
      <c r="P1628" s="22" t="str">
        <f aca="false">INDEX('Tabela Passaro'!$B$2:$B$1795,$N1628)</f>
        <v>PI</v>
      </c>
      <c r="Q1628" s="22" t="n">
        <f aca="false">INDEX('Tabela Passaro'!$F$2:$F$1795,$N1628)</f>
        <v>15</v>
      </c>
      <c r="R1628" s="32" t="n">
        <f aca="false">IF(J1628&lt;=10,INDEX('Tabela Passaro'!$G$2:$G$1795,$N1628),IF(J1628&lt;=30,INDEX('Tabela Passaro'!$H$2:$H$1795,$N1628),IF(J1628&lt;=50,INDEX('Tabela Passaro'!$I$2:$I$1795,$N1628),IF(J1628&lt;=70,INDEX('Tabela Passaro'!$J$2:$J$1795,$N1628),IF(J1628&lt;=100,INDEX('Tabela Passaro'!$K$2:$K$1795,$N1628),INDEX('Tabela Passaro'!$K$2:$K$1795,$N1628)+(J1628-100)*INDEX('Tabela Passaro'!$L$2:$L$1795,$N1628))))))</f>
        <v>241.23</v>
      </c>
      <c r="S1628" s="32" t="n">
        <f aca="false">K1628*INDEX('Tabela Passaro'!$M$2:$M$1795,$N1628)</f>
        <v>2.9786</v>
      </c>
      <c r="T1628" s="32" t="n">
        <f aca="false">K1628*INDEX('Tabela Passaro'!$N$2:$N$1795,$N1628)</f>
        <v>1.19144</v>
      </c>
      <c r="U1628" s="32" t="n">
        <f aca="false">INDEX('Tabela Passaro'!$O$2:$O$1795,$N1628)</f>
        <v>5</v>
      </c>
      <c r="V1628" s="32" t="n">
        <f aca="false">ROUNDUP(J1628/INDEX('Tabela Passaro'!$Q$2:$Q$1795,$N1628),0)*INDEX('Tabela Passaro'!$P$2:$P$1795,$N1628)</f>
        <v>5</v>
      </c>
      <c r="W1628" s="32" t="n">
        <f aca="false">INDEX('Tabela Passaro'!$R$2:$R$1795,$N1628)</f>
        <v>30</v>
      </c>
      <c r="X1628" s="32" t="n">
        <f aca="false">ROUNDUP(J1628/INDEX('Tabela Passaro'!$T$2:$T$1795,$N1628),0)*INDEX('Tabela Passaro'!$S$2:$S$1795,$N1628)</f>
        <v>0</v>
      </c>
      <c r="Y1628" s="32" t="n">
        <f aca="false">INDEX('Tabela Passaro'!$U$2:$U$1795,$N1628)</f>
        <v>0</v>
      </c>
      <c r="Z1628" s="32" t="n">
        <f aca="false">INDEX('Tabela Passaro'!$V$2:$V$1795,$N1628)</f>
        <v>0</v>
      </c>
      <c r="AA1628" s="32" t="n">
        <f aca="false">SUM(R1628:Z1628)</f>
        <v>285.40004</v>
      </c>
      <c r="AB1628" s="33" t="n">
        <f aca="false">INDEX(Premissas!$B$5:$B$13,MATCH(A1628,Premissas!$A$5:$A$13,0))</f>
        <v>0.07</v>
      </c>
      <c r="AC1628" s="32" t="n">
        <f aca="false">AA1628/(1-AB1628)-AA1628</f>
        <v>21.4817234408602</v>
      </c>
      <c r="AD1628" s="32" t="n">
        <f aca="false">ROUND(AA1628+AC1628,2)</f>
        <v>306.88</v>
      </c>
      <c r="AE1628" s="32" t="n">
        <f aca="false">AD1628-L1628</f>
        <v>173.45</v>
      </c>
      <c r="AF1628" s="34" t="n">
        <f aca="false">IF(L1628=0,0,AE1628/L1628)</f>
        <v>1.29993254890205</v>
      </c>
      <c r="AG1628" s="22" t="str">
        <f aca="false">IF(AD1628&lt;L1628,"PASSARO","ATUAL")</f>
        <v>ATUAL</v>
      </c>
      <c r="AH1628" s="22" t="str">
        <f aca="false">IF(P1628&lt;&gt;A1628,"Faixa cadastrada como "&amp;P1628&amp;" na tabela; preço aplicado pela UF do CEP","")</f>
        <v/>
      </c>
      <c r="AI1628" s="26" t="n">
        <v>322.2</v>
      </c>
      <c r="AJ1628" s="22" t="str">
        <f aca="false">INDEX('Tabela Passaro'!$X$2:$X$1795,$N1628)</f>
        <v>INTERIOR 2</v>
      </c>
    </row>
    <row r="1629" customFormat="false" ht="15" hidden="false" customHeight="false" outlineLevel="0" collapsed="false">
      <c r="A1629" s="22" t="s">
        <v>21</v>
      </c>
      <c r="B1629" s="22" t="n">
        <v>4</v>
      </c>
      <c r="C1629" s="22" t="s">
        <v>172</v>
      </c>
      <c r="D1629" s="22" t="s">
        <v>30</v>
      </c>
      <c r="E1629" s="22" t="s">
        <v>20</v>
      </c>
      <c r="F1629" s="22" t="n">
        <v>840009</v>
      </c>
      <c r="G1629" s="30" t="n">
        <v>46259</v>
      </c>
      <c r="H1629" s="22" t="n">
        <v>32656</v>
      </c>
      <c r="I1629" s="22" t="s">
        <v>8821</v>
      </c>
      <c r="J1629" s="31" t="n">
        <v>27.6</v>
      </c>
      <c r="K1629" s="26" t="n">
        <v>704.23</v>
      </c>
      <c r="L1629" s="26" t="n">
        <v>125.02</v>
      </c>
      <c r="M1629" s="22" t="s">
        <v>6361</v>
      </c>
      <c r="N1629" s="22" t="n">
        <f aca="false">MATCH(M1629,'Tabela Passaro'!$A$2:$A$1795,0)</f>
        <v>1548</v>
      </c>
      <c r="O1629" s="22" t="str">
        <f aca="false">INDEX('Tabela Passaro'!$C$2:$C$1795,$N1629)</f>
        <v>VALENCA DO PIAUI</v>
      </c>
      <c r="P1629" s="22" t="str">
        <f aca="false">INDEX('Tabela Passaro'!$B$2:$B$1795,$N1629)</f>
        <v>PI</v>
      </c>
      <c r="Q1629" s="22" t="n">
        <f aca="false">INDEX('Tabela Passaro'!$F$2:$F$1795,$N1629)</f>
        <v>15</v>
      </c>
      <c r="R1629" s="32" t="n">
        <f aca="false">IF(J1629&lt;=10,INDEX('Tabela Passaro'!$G$2:$G$1795,$N1629),IF(J1629&lt;=30,INDEX('Tabela Passaro'!$H$2:$H$1795,$N1629),IF(J1629&lt;=50,INDEX('Tabela Passaro'!$I$2:$I$1795,$N1629),IF(J1629&lt;=70,INDEX('Tabela Passaro'!$J$2:$J$1795,$N1629),IF(J1629&lt;=100,INDEX('Tabela Passaro'!$K$2:$K$1795,$N1629),INDEX('Tabela Passaro'!$K$2:$K$1795,$N1629)+(J1629-100)*INDEX('Tabela Passaro'!$L$2:$L$1795,$N1629))))))</f>
        <v>241.23</v>
      </c>
      <c r="S1629" s="32" t="n">
        <f aca="false">K1629*INDEX('Tabela Passaro'!$M$2:$M$1795,$N1629)</f>
        <v>3.52115</v>
      </c>
      <c r="T1629" s="32" t="n">
        <f aca="false">K1629*INDEX('Tabela Passaro'!$N$2:$N$1795,$N1629)</f>
        <v>1.40846</v>
      </c>
      <c r="U1629" s="32" t="n">
        <f aca="false">INDEX('Tabela Passaro'!$O$2:$O$1795,$N1629)</f>
        <v>5</v>
      </c>
      <c r="V1629" s="32" t="n">
        <f aca="false">ROUNDUP(J1629/INDEX('Tabela Passaro'!$Q$2:$Q$1795,$N1629),0)*INDEX('Tabela Passaro'!$P$2:$P$1795,$N1629)</f>
        <v>5</v>
      </c>
      <c r="W1629" s="32" t="n">
        <f aca="false">INDEX('Tabela Passaro'!$R$2:$R$1795,$N1629)</f>
        <v>30</v>
      </c>
      <c r="X1629" s="32" t="n">
        <f aca="false">ROUNDUP(J1629/INDEX('Tabela Passaro'!$T$2:$T$1795,$N1629),0)*INDEX('Tabela Passaro'!$S$2:$S$1795,$N1629)</f>
        <v>0</v>
      </c>
      <c r="Y1629" s="32" t="n">
        <f aca="false">INDEX('Tabela Passaro'!$U$2:$U$1795,$N1629)</f>
        <v>0</v>
      </c>
      <c r="Z1629" s="32" t="n">
        <f aca="false">INDEX('Tabela Passaro'!$V$2:$V$1795,$N1629)</f>
        <v>0</v>
      </c>
      <c r="AA1629" s="32" t="n">
        <f aca="false">SUM(R1629:Z1629)</f>
        <v>286.15961</v>
      </c>
      <c r="AB1629" s="33" t="n">
        <f aca="false">INDEX(Premissas!$B$5:$B$13,MATCH(A1629,Premissas!$A$5:$A$13,0))</f>
        <v>0.07</v>
      </c>
      <c r="AC1629" s="32" t="n">
        <f aca="false">AA1629/(1-AB1629)-AA1629</f>
        <v>21.5388953763441</v>
      </c>
      <c r="AD1629" s="32" t="n">
        <f aca="false">ROUND(AA1629+AC1629,2)</f>
        <v>307.7</v>
      </c>
      <c r="AE1629" s="32" t="n">
        <f aca="false">AD1629-L1629</f>
        <v>182.68</v>
      </c>
      <c r="AF1629" s="34" t="n">
        <f aca="false">IF(L1629=0,0,AE1629/L1629)</f>
        <v>1.46120620700688</v>
      </c>
      <c r="AG1629" s="22" t="str">
        <f aca="false">IF(AD1629&lt;L1629,"PASSARO","ATUAL")</f>
        <v>ATUAL</v>
      </c>
      <c r="AH1629" s="22" t="str">
        <f aca="false">IF(P1629&lt;&gt;A1629,"Faixa cadastrada como "&amp;P1629&amp;" na tabela; preço aplicado pela UF do CEP","")</f>
        <v/>
      </c>
      <c r="AI1629" s="26" t="n">
        <v>325.66</v>
      </c>
      <c r="AJ1629" s="22" t="str">
        <f aca="false">INDEX('Tabela Passaro'!$X$2:$X$1795,$N1629)</f>
        <v>INTERIOR 2</v>
      </c>
    </row>
    <row r="1630" customFormat="false" ht="15" hidden="false" customHeight="false" outlineLevel="0" collapsed="false">
      <c r="A1630" s="22" t="s">
        <v>21</v>
      </c>
      <c r="B1630" s="22" t="n">
        <v>4</v>
      </c>
      <c r="C1630" s="22" t="s">
        <v>172</v>
      </c>
      <c r="D1630" s="22" t="s">
        <v>30</v>
      </c>
      <c r="E1630" s="22" t="s">
        <v>7326</v>
      </c>
      <c r="F1630" s="22" t="n">
        <v>527414</v>
      </c>
      <c r="G1630" s="30" t="n">
        <v>46259</v>
      </c>
      <c r="H1630" s="22" t="n">
        <v>629269</v>
      </c>
      <c r="I1630" s="22" t="s">
        <v>8821</v>
      </c>
      <c r="J1630" s="31" t="n">
        <v>65.06</v>
      </c>
      <c r="K1630" s="26" t="n">
        <v>2253.05</v>
      </c>
      <c r="L1630" s="26" t="n">
        <v>275.55</v>
      </c>
      <c r="M1630" s="22" t="s">
        <v>6361</v>
      </c>
      <c r="N1630" s="22" t="n">
        <f aca="false">MATCH(M1630,'Tabela Passaro'!$A$2:$A$1795,0)</f>
        <v>1548</v>
      </c>
      <c r="O1630" s="22" t="str">
        <f aca="false">INDEX('Tabela Passaro'!$C$2:$C$1795,$N1630)</f>
        <v>VALENCA DO PIAUI</v>
      </c>
      <c r="P1630" s="22" t="str">
        <f aca="false">INDEX('Tabela Passaro'!$B$2:$B$1795,$N1630)</f>
        <v>PI</v>
      </c>
      <c r="Q1630" s="22" t="n">
        <f aca="false">INDEX('Tabela Passaro'!$F$2:$F$1795,$N1630)</f>
        <v>15</v>
      </c>
      <c r="R1630" s="32" t="n">
        <f aca="false">IF(J1630&lt;=10,INDEX('Tabela Passaro'!$G$2:$G$1795,$N1630),IF(J1630&lt;=30,INDEX('Tabela Passaro'!$H$2:$H$1795,$N1630),IF(J1630&lt;=50,INDEX('Tabela Passaro'!$I$2:$I$1795,$N1630),IF(J1630&lt;=70,INDEX('Tabela Passaro'!$J$2:$J$1795,$N1630),IF(J1630&lt;=100,INDEX('Tabela Passaro'!$K$2:$K$1795,$N1630),INDEX('Tabela Passaro'!$K$2:$K$1795,$N1630)+(J1630-100)*INDEX('Tabela Passaro'!$L$2:$L$1795,$N1630))))))</f>
        <v>279.96</v>
      </c>
      <c r="S1630" s="32" t="n">
        <f aca="false">K1630*INDEX('Tabela Passaro'!$M$2:$M$1795,$N1630)</f>
        <v>11.26525</v>
      </c>
      <c r="T1630" s="32" t="n">
        <f aca="false">K1630*INDEX('Tabela Passaro'!$N$2:$N$1795,$N1630)</f>
        <v>4.5061</v>
      </c>
      <c r="U1630" s="32" t="n">
        <f aca="false">INDEX('Tabela Passaro'!$O$2:$O$1795,$N1630)</f>
        <v>5</v>
      </c>
      <c r="V1630" s="32" t="n">
        <f aca="false">ROUNDUP(J1630/INDEX('Tabela Passaro'!$Q$2:$Q$1795,$N1630),0)*INDEX('Tabela Passaro'!$P$2:$P$1795,$N1630)</f>
        <v>5</v>
      </c>
      <c r="W1630" s="32" t="n">
        <f aca="false">INDEX('Tabela Passaro'!$R$2:$R$1795,$N1630)</f>
        <v>30</v>
      </c>
      <c r="X1630" s="32" t="n">
        <f aca="false">ROUNDUP(J1630/INDEX('Tabela Passaro'!$T$2:$T$1795,$N1630),0)*INDEX('Tabela Passaro'!$S$2:$S$1795,$N1630)</f>
        <v>0</v>
      </c>
      <c r="Y1630" s="32" t="n">
        <f aca="false">INDEX('Tabela Passaro'!$U$2:$U$1795,$N1630)</f>
        <v>0</v>
      </c>
      <c r="Z1630" s="32" t="n">
        <f aca="false">INDEX('Tabela Passaro'!$V$2:$V$1795,$N1630)</f>
        <v>0</v>
      </c>
      <c r="AA1630" s="32" t="n">
        <f aca="false">SUM(R1630:Z1630)</f>
        <v>335.73135</v>
      </c>
      <c r="AB1630" s="33" t="n">
        <f aca="false">INDEX(Premissas!$B$5:$B$13,MATCH(A1630,Premissas!$A$5:$A$13,0))</f>
        <v>0.07</v>
      </c>
      <c r="AC1630" s="32" t="n">
        <f aca="false">AA1630/(1-AB1630)-AA1630</f>
        <v>25.2701016129033</v>
      </c>
      <c r="AD1630" s="32" t="n">
        <f aca="false">ROUND(AA1630+AC1630,2)</f>
        <v>361</v>
      </c>
      <c r="AE1630" s="32" t="n">
        <f aca="false">AD1630-L1630</f>
        <v>85.45</v>
      </c>
      <c r="AF1630" s="34" t="n">
        <f aca="false">IF(L1630=0,0,AE1630/L1630)</f>
        <v>0.310107058610053</v>
      </c>
      <c r="AG1630" s="22" t="str">
        <f aca="false">IF(AD1630&lt;L1630,"PASSARO","ATUAL")</f>
        <v>ATUAL</v>
      </c>
      <c r="AH1630" s="22" t="str">
        <f aca="false">IF(P1630&lt;&gt;A1630,"Faixa cadastrada como "&amp;P1630&amp;" na tabela; preço aplicado pela UF do CEP","")</f>
        <v/>
      </c>
      <c r="AI1630" s="26" t="n">
        <v>402.87</v>
      </c>
      <c r="AJ1630" s="22" t="str">
        <f aca="false">INDEX('Tabela Passaro'!$X$2:$X$1795,$N1630)</f>
        <v>INTERIOR 2</v>
      </c>
    </row>
    <row r="1631" customFormat="false" ht="15" hidden="false" customHeight="false" outlineLevel="0" collapsed="false">
      <c r="A1631" s="22" t="s">
        <v>21</v>
      </c>
      <c r="B1631" s="22" t="n">
        <v>4</v>
      </c>
      <c r="C1631" s="22" t="s">
        <v>172</v>
      </c>
      <c r="D1631" s="22" t="s">
        <v>30</v>
      </c>
      <c r="E1631" s="22" t="s">
        <v>20</v>
      </c>
      <c r="F1631" s="22" t="n">
        <v>840456</v>
      </c>
      <c r="G1631" s="30" t="n">
        <v>46261</v>
      </c>
      <c r="H1631" s="22" t="n">
        <v>32752</v>
      </c>
      <c r="I1631" s="22" t="s">
        <v>8821</v>
      </c>
      <c r="J1631" s="31" t="n">
        <v>27.6</v>
      </c>
      <c r="K1631" s="26" t="n">
        <v>704.23</v>
      </c>
      <c r="L1631" s="26" t="n">
        <v>125.02</v>
      </c>
      <c r="M1631" s="22" t="s">
        <v>6361</v>
      </c>
      <c r="N1631" s="22" t="n">
        <f aca="false">MATCH(M1631,'Tabela Passaro'!$A$2:$A$1795,0)</f>
        <v>1548</v>
      </c>
      <c r="O1631" s="22" t="str">
        <f aca="false">INDEX('Tabela Passaro'!$C$2:$C$1795,$N1631)</f>
        <v>VALENCA DO PIAUI</v>
      </c>
      <c r="P1631" s="22" t="str">
        <f aca="false">INDEX('Tabela Passaro'!$B$2:$B$1795,$N1631)</f>
        <v>PI</v>
      </c>
      <c r="Q1631" s="22" t="n">
        <f aca="false">INDEX('Tabela Passaro'!$F$2:$F$1795,$N1631)</f>
        <v>15</v>
      </c>
      <c r="R1631" s="32" t="n">
        <f aca="false">IF(J1631&lt;=10,INDEX('Tabela Passaro'!$G$2:$G$1795,$N1631),IF(J1631&lt;=30,INDEX('Tabela Passaro'!$H$2:$H$1795,$N1631),IF(J1631&lt;=50,INDEX('Tabela Passaro'!$I$2:$I$1795,$N1631),IF(J1631&lt;=70,INDEX('Tabela Passaro'!$J$2:$J$1795,$N1631),IF(J1631&lt;=100,INDEX('Tabela Passaro'!$K$2:$K$1795,$N1631),INDEX('Tabela Passaro'!$K$2:$K$1795,$N1631)+(J1631-100)*INDEX('Tabela Passaro'!$L$2:$L$1795,$N1631))))))</f>
        <v>241.23</v>
      </c>
      <c r="S1631" s="32" t="n">
        <f aca="false">K1631*INDEX('Tabela Passaro'!$M$2:$M$1795,$N1631)</f>
        <v>3.52115</v>
      </c>
      <c r="T1631" s="32" t="n">
        <f aca="false">K1631*INDEX('Tabela Passaro'!$N$2:$N$1795,$N1631)</f>
        <v>1.40846</v>
      </c>
      <c r="U1631" s="32" t="n">
        <f aca="false">INDEX('Tabela Passaro'!$O$2:$O$1795,$N1631)</f>
        <v>5</v>
      </c>
      <c r="V1631" s="32" t="n">
        <f aca="false">ROUNDUP(J1631/INDEX('Tabela Passaro'!$Q$2:$Q$1795,$N1631),0)*INDEX('Tabela Passaro'!$P$2:$P$1795,$N1631)</f>
        <v>5</v>
      </c>
      <c r="W1631" s="32" t="n">
        <f aca="false">INDEX('Tabela Passaro'!$R$2:$R$1795,$N1631)</f>
        <v>30</v>
      </c>
      <c r="X1631" s="32" t="n">
        <f aca="false">ROUNDUP(J1631/INDEX('Tabela Passaro'!$T$2:$T$1795,$N1631),0)*INDEX('Tabela Passaro'!$S$2:$S$1795,$N1631)</f>
        <v>0</v>
      </c>
      <c r="Y1631" s="32" t="n">
        <f aca="false">INDEX('Tabela Passaro'!$U$2:$U$1795,$N1631)</f>
        <v>0</v>
      </c>
      <c r="Z1631" s="32" t="n">
        <f aca="false">INDEX('Tabela Passaro'!$V$2:$V$1795,$N1631)</f>
        <v>0</v>
      </c>
      <c r="AA1631" s="32" t="n">
        <f aca="false">SUM(R1631:Z1631)</f>
        <v>286.15961</v>
      </c>
      <c r="AB1631" s="33" t="n">
        <f aca="false">INDEX(Premissas!$B$5:$B$13,MATCH(A1631,Premissas!$A$5:$A$13,0))</f>
        <v>0.07</v>
      </c>
      <c r="AC1631" s="32" t="n">
        <f aca="false">AA1631/(1-AB1631)-AA1631</f>
        <v>21.5388953763441</v>
      </c>
      <c r="AD1631" s="32" t="n">
        <f aca="false">ROUND(AA1631+AC1631,2)</f>
        <v>307.7</v>
      </c>
      <c r="AE1631" s="32" t="n">
        <f aca="false">AD1631-L1631</f>
        <v>182.68</v>
      </c>
      <c r="AF1631" s="34" t="n">
        <f aca="false">IF(L1631=0,0,AE1631/L1631)</f>
        <v>1.46120620700688</v>
      </c>
      <c r="AG1631" s="22" t="str">
        <f aca="false">IF(AD1631&lt;L1631,"PASSARO","ATUAL")</f>
        <v>ATUAL</v>
      </c>
      <c r="AH1631" s="22" t="str">
        <f aca="false">IF(P1631&lt;&gt;A1631,"Faixa cadastrada como "&amp;P1631&amp;" na tabela; preço aplicado pela UF do CEP","")</f>
        <v/>
      </c>
      <c r="AI1631" s="26" t="n">
        <v>325.66</v>
      </c>
      <c r="AJ1631" s="22" t="str">
        <f aca="false">INDEX('Tabela Passaro'!$X$2:$X$1795,$N1631)</f>
        <v>INTERIOR 2</v>
      </c>
    </row>
    <row r="1632" customFormat="false" ht="15" hidden="false" customHeight="false" outlineLevel="0" collapsed="false">
      <c r="A1632" s="22" t="s">
        <v>21</v>
      </c>
      <c r="B1632" s="22" t="n">
        <v>5</v>
      </c>
      <c r="C1632" s="22" t="s">
        <v>174</v>
      </c>
      <c r="D1632" s="22" t="s">
        <v>30</v>
      </c>
      <c r="E1632" s="22" t="s">
        <v>7328</v>
      </c>
      <c r="F1632" s="22" t="n">
        <v>2307917</v>
      </c>
      <c r="G1632" s="30" t="n">
        <v>46239</v>
      </c>
      <c r="H1632" s="22" t="n">
        <v>131890</v>
      </c>
      <c r="I1632" s="22" t="s">
        <v>8822</v>
      </c>
      <c r="J1632" s="31" t="n">
        <v>134.4</v>
      </c>
      <c r="K1632" s="26" t="n">
        <v>2067.44</v>
      </c>
      <c r="L1632" s="26" t="n">
        <v>415.61</v>
      </c>
      <c r="M1632" s="22" t="s">
        <v>5776</v>
      </c>
      <c r="N1632" s="22" t="n">
        <f aca="false">MATCH(M1632,'Tabela Passaro'!$A$2:$A$1795,0)</f>
        <v>1400</v>
      </c>
      <c r="O1632" s="22" t="str">
        <f aca="false">INDEX('Tabela Passaro'!$C$2:$C$1795,$N1632)</f>
        <v>BAIXA GRANDE DO RIBEIRO</v>
      </c>
      <c r="P1632" s="22" t="str">
        <f aca="false">INDEX('Tabela Passaro'!$B$2:$B$1795,$N1632)</f>
        <v>PI</v>
      </c>
      <c r="Q1632" s="22" t="n">
        <f aca="false">INDEX('Tabela Passaro'!$F$2:$F$1795,$N1632)</f>
        <v>15</v>
      </c>
      <c r="R1632" s="32" t="n">
        <f aca="false">IF(J1632&lt;=10,INDEX('Tabela Passaro'!$G$2:$G$1795,$N1632),IF(J1632&lt;=30,INDEX('Tabela Passaro'!$H$2:$H$1795,$N1632),IF(J1632&lt;=50,INDEX('Tabela Passaro'!$I$2:$I$1795,$N1632),IF(J1632&lt;=70,INDEX('Tabela Passaro'!$J$2:$J$1795,$N1632),IF(J1632&lt;=100,INDEX('Tabela Passaro'!$K$2:$K$1795,$N1632),INDEX('Tabela Passaro'!$K$2:$K$1795,$N1632)+(J1632-100)*INDEX('Tabela Passaro'!$L$2:$L$1795,$N1632))))))</f>
        <v>384.624</v>
      </c>
      <c r="S1632" s="32" t="n">
        <f aca="false">K1632*INDEX('Tabela Passaro'!$M$2:$M$1795,$N1632)</f>
        <v>10.3372</v>
      </c>
      <c r="T1632" s="32" t="n">
        <f aca="false">K1632*INDEX('Tabela Passaro'!$N$2:$N$1795,$N1632)</f>
        <v>4.13488</v>
      </c>
      <c r="U1632" s="32" t="n">
        <f aca="false">INDEX('Tabela Passaro'!$O$2:$O$1795,$N1632)</f>
        <v>5</v>
      </c>
      <c r="V1632" s="32" t="n">
        <f aca="false">ROUNDUP(J1632/INDEX('Tabela Passaro'!$Q$2:$Q$1795,$N1632),0)*INDEX('Tabela Passaro'!$P$2:$P$1795,$N1632)</f>
        <v>10</v>
      </c>
      <c r="W1632" s="32" t="n">
        <f aca="false">INDEX('Tabela Passaro'!$R$2:$R$1795,$N1632)</f>
        <v>30</v>
      </c>
      <c r="X1632" s="32" t="n">
        <f aca="false">ROUNDUP(J1632/INDEX('Tabela Passaro'!$T$2:$T$1795,$N1632),0)*INDEX('Tabela Passaro'!$S$2:$S$1795,$N1632)</f>
        <v>0</v>
      </c>
      <c r="Y1632" s="32" t="n">
        <f aca="false">INDEX('Tabela Passaro'!$U$2:$U$1795,$N1632)</f>
        <v>0</v>
      </c>
      <c r="Z1632" s="32" t="n">
        <f aca="false">INDEX('Tabela Passaro'!$V$2:$V$1795,$N1632)</f>
        <v>400</v>
      </c>
      <c r="AA1632" s="32" t="n">
        <f aca="false">SUM(R1632:Z1632)</f>
        <v>844.09608</v>
      </c>
      <c r="AB1632" s="33" t="n">
        <f aca="false">INDEX(Premissas!$B$5:$B$13,MATCH(A1632,Premissas!$A$5:$A$13,0))</f>
        <v>0.07</v>
      </c>
      <c r="AC1632" s="32" t="n">
        <f aca="false">AA1632/(1-AB1632)-AA1632</f>
        <v>63.5341135483872</v>
      </c>
      <c r="AD1632" s="32" t="n">
        <f aca="false">ROUND(AA1632+AC1632,2)</f>
        <v>907.63</v>
      </c>
      <c r="AE1632" s="32" t="n">
        <f aca="false">AD1632-L1632</f>
        <v>492.02</v>
      </c>
      <c r="AF1632" s="34" t="n">
        <f aca="false">IF(L1632=0,0,AE1632/L1632)</f>
        <v>1.18385024421934</v>
      </c>
      <c r="AG1632" s="22" t="str">
        <f aca="false">IF(AD1632&lt;L1632,"PASSARO","ATUAL")</f>
        <v>ATUAL</v>
      </c>
      <c r="AH1632" s="22" t="str">
        <f aca="false">IF(P1632&lt;&gt;A1632,"Faixa cadastrada como "&amp;P1632&amp;" na tabela; preço aplicado pela UF do CEP","")</f>
        <v/>
      </c>
      <c r="AI1632" s="26" t="n">
        <v>995.27</v>
      </c>
      <c r="AJ1632" s="22" t="str">
        <f aca="false">INDEX('Tabela Passaro'!$X$2:$X$1795,$N1632)</f>
        <v>INTERIOR 2</v>
      </c>
    </row>
    <row r="1633" customFormat="false" ht="15" hidden="false" customHeight="false" outlineLevel="0" collapsed="false">
      <c r="A1633" s="22" t="s">
        <v>21</v>
      </c>
      <c r="B1633" s="22" t="n">
        <v>5</v>
      </c>
      <c r="C1633" s="22" t="s">
        <v>174</v>
      </c>
      <c r="D1633" s="22" t="s">
        <v>30</v>
      </c>
      <c r="E1633" s="22" t="s">
        <v>7326</v>
      </c>
      <c r="F1633" s="22" t="n">
        <v>523688</v>
      </c>
      <c r="G1633" s="30" t="n">
        <v>46244</v>
      </c>
      <c r="H1633" s="22" t="n">
        <v>622118</v>
      </c>
      <c r="I1633" s="22" t="s">
        <v>8822</v>
      </c>
      <c r="J1633" s="31" t="n">
        <v>86.5</v>
      </c>
      <c r="K1633" s="26" t="n">
        <v>4316.64</v>
      </c>
      <c r="L1633" s="26" t="n">
        <v>395.19</v>
      </c>
      <c r="M1633" s="22" t="s">
        <v>5776</v>
      </c>
      <c r="N1633" s="22" t="n">
        <f aca="false">MATCH(M1633,'Tabela Passaro'!$A$2:$A$1795,0)</f>
        <v>1400</v>
      </c>
      <c r="O1633" s="22" t="str">
        <f aca="false">INDEX('Tabela Passaro'!$C$2:$C$1795,$N1633)</f>
        <v>BAIXA GRANDE DO RIBEIRO</v>
      </c>
      <c r="P1633" s="22" t="str">
        <f aca="false">INDEX('Tabela Passaro'!$B$2:$B$1795,$N1633)</f>
        <v>PI</v>
      </c>
      <c r="Q1633" s="22" t="n">
        <f aca="false">INDEX('Tabela Passaro'!$F$2:$F$1795,$N1633)</f>
        <v>15</v>
      </c>
      <c r="R1633" s="32" t="n">
        <f aca="false">IF(J1633&lt;=10,INDEX('Tabela Passaro'!$G$2:$G$1795,$N1633),IF(J1633&lt;=30,INDEX('Tabela Passaro'!$H$2:$H$1795,$N1633),IF(J1633&lt;=50,INDEX('Tabela Passaro'!$I$2:$I$1795,$N1633),IF(J1633&lt;=70,INDEX('Tabela Passaro'!$J$2:$J$1795,$N1633),IF(J1633&lt;=100,INDEX('Tabela Passaro'!$K$2:$K$1795,$N1633),INDEX('Tabela Passaro'!$K$2:$K$1795,$N1633)+(J1633-100)*INDEX('Tabela Passaro'!$L$2:$L$1795,$N1633))))))</f>
        <v>296.56</v>
      </c>
      <c r="S1633" s="32" t="n">
        <f aca="false">K1633*INDEX('Tabela Passaro'!$M$2:$M$1795,$N1633)</f>
        <v>21.5832</v>
      </c>
      <c r="T1633" s="32" t="n">
        <f aca="false">K1633*INDEX('Tabela Passaro'!$N$2:$N$1795,$N1633)</f>
        <v>8.63328</v>
      </c>
      <c r="U1633" s="32" t="n">
        <f aca="false">INDEX('Tabela Passaro'!$O$2:$O$1795,$N1633)</f>
        <v>5</v>
      </c>
      <c r="V1633" s="32" t="n">
        <f aca="false">ROUNDUP(J1633/INDEX('Tabela Passaro'!$Q$2:$Q$1795,$N1633),0)*INDEX('Tabela Passaro'!$P$2:$P$1795,$N1633)</f>
        <v>5</v>
      </c>
      <c r="W1633" s="32" t="n">
        <f aca="false">INDEX('Tabela Passaro'!$R$2:$R$1795,$N1633)</f>
        <v>30</v>
      </c>
      <c r="X1633" s="32" t="n">
        <f aca="false">ROUNDUP(J1633/INDEX('Tabela Passaro'!$T$2:$T$1795,$N1633),0)*INDEX('Tabela Passaro'!$S$2:$S$1795,$N1633)</f>
        <v>0</v>
      </c>
      <c r="Y1633" s="32" t="n">
        <f aca="false">INDEX('Tabela Passaro'!$U$2:$U$1795,$N1633)</f>
        <v>0</v>
      </c>
      <c r="Z1633" s="32" t="n">
        <f aca="false">INDEX('Tabela Passaro'!$V$2:$V$1795,$N1633)</f>
        <v>400</v>
      </c>
      <c r="AA1633" s="32" t="n">
        <f aca="false">SUM(R1633:Z1633)</f>
        <v>766.77648</v>
      </c>
      <c r="AB1633" s="33" t="n">
        <f aca="false">INDEX(Premissas!$B$5:$B$13,MATCH(A1633,Premissas!$A$5:$A$13,0))</f>
        <v>0.07</v>
      </c>
      <c r="AC1633" s="32" t="n">
        <f aca="false">AA1633/(1-AB1633)-AA1633</f>
        <v>57.7143587096775</v>
      </c>
      <c r="AD1633" s="32" t="n">
        <f aca="false">ROUND(AA1633+AC1633,2)</f>
        <v>824.49</v>
      </c>
      <c r="AE1633" s="32" t="n">
        <f aca="false">AD1633-L1633</f>
        <v>429.3</v>
      </c>
      <c r="AF1633" s="34" t="n">
        <f aca="false">IF(L1633=0,0,AE1633/L1633)</f>
        <v>1.08631291277613</v>
      </c>
      <c r="AG1633" s="22" t="str">
        <f aca="false">IF(AD1633&lt;L1633,"PASSARO","ATUAL")</f>
        <v>ATUAL</v>
      </c>
      <c r="AH1633" s="22" t="str">
        <f aca="false">IF(P1633&lt;&gt;A1633,"Faixa cadastrada como "&amp;P1633&amp;" na tabela; preço aplicado pela UF do CEP","")</f>
        <v/>
      </c>
      <c r="AI1633" s="26" t="n">
        <v>881.9</v>
      </c>
      <c r="AJ1633" s="22" t="str">
        <f aca="false">INDEX('Tabela Passaro'!$X$2:$X$1795,$N1633)</f>
        <v>INTERIOR 2</v>
      </c>
    </row>
    <row r="1634" customFormat="false" ht="15" hidden="false" customHeight="false" outlineLevel="0" collapsed="false">
      <c r="A1634" s="22" t="s">
        <v>21</v>
      </c>
      <c r="B1634" s="22" t="n">
        <v>5</v>
      </c>
      <c r="C1634" s="22" t="s">
        <v>174</v>
      </c>
      <c r="D1634" s="22" t="s">
        <v>30</v>
      </c>
      <c r="E1634" s="22" t="s">
        <v>7328</v>
      </c>
      <c r="F1634" s="22" t="n">
        <v>2312381</v>
      </c>
      <c r="G1634" s="30" t="n">
        <v>46248</v>
      </c>
      <c r="H1634" s="22" t="n">
        <v>133314</v>
      </c>
      <c r="I1634" s="22" t="s">
        <v>8822</v>
      </c>
      <c r="J1634" s="31" t="n">
        <v>134.4</v>
      </c>
      <c r="K1634" s="26" t="n">
        <v>2345.34</v>
      </c>
      <c r="L1634" s="26" t="n">
        <v>417.8</v>
      </c>
      <c r="M1634" s="22" t="s">
        <v>5776</v>
      </c>
      <c r="N1634" s="22" t="n">
        <f aca="false">MATCH(M1634,'Tabela Passaro'!$A$2:$A$1795,0)</f>
        <v>1400</v>
      </c>
      <c r="O1634" s="22" t="str">
        <f aca="false">INDEX('Tabela Passaro'!$C$2:$C$1795,$N1634)</f>
        <v>BAIXA GRANDE DO RIBEIRO</v>
      </c>
      <c r="P1634" s="22" t="str">
        <f aca="false">INDEX('Tabela Passaro'!$B$2:$B$1795,$N1634)</f>
        <v>PI</v>
      </c>
      <c r="Q1634" s="22" t="n">
        <f aca="false">INDEX('Tabela Passaro'!$F$2:$F$1795,$N1634)</f>
        <v>15</v>
      </c>
      <c r="R1634" s="32" t="n">
        <f aca="false">IF(J1634&lt;=10,INDEX('Tabela Passaro'!$G$2:$G$1795,$N1634),IF(J1634&lt;=30,INDEX('Tabela Passaro'!$H$2:$H$1795,$N1634),IF(J1634&lt;=50,INDEX('Tabela Passaro'!$I$2:$I$1795,$N1634),IF(J1634&lt;=70,INDEX('Tabela Passaro'!$J$2:$J$1795,$N1634),IF(J1634&lt;=100,INDEX('Tabela Passaro'!$K$2:$K$1795,$N1634),INDEX('Tabela Passaro'!$K$2:$K$1795,$N1634)+(J1634-100)*INDEX('Tabela Passaro'!$L$2:$L$1795,$N1634))))))</f>
        <v>384.624</v>
      </c>
      <c r="S1634" s="32" t="n">
        <f aca="false">K1634*INDEX('Tabela Passaro'!$M$2:$M$1795,$N1634)</f>
        <v>11.7267</v>
      </c>
      <c r="T1634" s="32" t="n">
        <f aca="false">K1634*INDEX('Tabela Passaro'!$N$2:$N$1795,$N1634)</f>
        <v>4.69068</v>
      </c>
      <c r="U1634" s="32" t="n">
        <f aca="false">INDEX('Tabela Passaro'!$O$2:$O$1795,$N1634)</f>
        <v>5</v>
      </c>
      <c r="V1634" s="32" t="n">
        <f aca="false">ROUNDUP(J1634/INDEX('Tabela Passaro'!$Q$2:$Q$1795,$N1634),0)*INDEX('Tabela Passaro'!$P$2:$P$1795,$N1634)</f>
        <v>10</v>
      </c>
      <c r="W1634" s="32" t="n">
        <f aca="false">INDEX('Tabela Passaro'!$R$2:$R$1795,$N1634)</f>
        <v>30</v>
      </c>
      <c r="X1634" s="32" t="n">
        <f aca="false">ROUNDUP(J1634/INDEX('Tabela Passaro'!$T$2:$T$1795,$N1634),0)*INDEX('Tabela Passaro'!$S$2:$S$1795,$N1634)</f>
        <v>0</v>
      </c>
      <c r="Y1634" s="32" t="n">
        <f aca="false">INDEX('Tabela Passaro'!$U$2:$U$1795,$N1634)</f>
        <v>0</v>
      </c>
      <c r="Z1634" s="32" t="n">
        <f aca="false">INDEX('Tabela Passaro'!$V$2:$V$1795,$N1634)</f>
        <v>400</v>
      </c>
      <c r="AA1634" s="32" t="n">
        <f aca="false">SUM(R1634:Z1634)</f>
        <v>846.04138</v>
      </c>
      <c r="AB1634" s="33" t="n">
        <f aca="false">INDEX(Premissas!$B$5:$B$13,MATCH(A1634,Premissas!$A$5:$A$13,0))</f>
        <v>0.07</v>
      </c>
      <c r="AC1634" s="32" t="n">
        <f aca="false">AA1634/(1-AB1634)-AA1634</f>
        <v>63.6805339784947</v>
      </c>
      <c r="AD1634" s="32" t="n">
        <f aca="false">ROUND(AA1634+AC1634,2)</f>
        <v>909.72</v>
      </c>
      <c r="AE1634" s="32" t="n">
        <f aca="false">AD1634-L1634</f>
        <v>491.92</v>
      </c>
      <c r="AF1634" s="34" t="n">
        <f aca="false">IF(L1634=0,0,AE1634/L1634)</f>
        <v>1.17740545715653</v>
      </c>
      <c r="AG1634" s="22" t="str">
        <f aca="false">IF(AD1634&lt;L1634,"PASSARO","ATUAL")</f>
        <v>ATUAL</v>
      </c>
      <c r="AH1634" s="22" t="str">
        <f aca="false">IF(P1634&lt;&gt;A1634,"Faixa cadastrada como "&amp;P1634&amp;" na tabela; preço aplicado pela UF do CEP","")</f>
        <v/>
      </c>
      <c r="AI1634" s="26" t="n">
        <v>997.96</v>
      </c>
      <c r="AJ1634" s="22" t="str">
        <f aca="false">INDEX('Tabela Passaro'!$X$2:$X$1795,$N1634)</f>
        <v>INTERIOR 2</v>
      </c>
    </row>
    <row r="1635" customFormat="false" ht="15" hidden="false" customHeight="false" outlineLevel="0" collapsed="false">
      <c r="A1635" s="22" t="s">
        <v>21</v>
      </c>
      <c r="B1635" s="22" t="n">
        <v>5</v>
      </c>
      <c r="C1635" s="22" t="s">
        <v>174</v>
      </c>
      <c r="D1635" s="22" t="s">
        <v>30</v>
      </c>
      <c r="E1635" s="22" t="s">
        <v>7326</v>
      </c>
      <c r="F1635" s="22" t="n">
        <v>525056</v>
      </c>
      <c r="G1635" s="30" t="n">
        <v>46248</v>
      </c>
      <c r="H1635" s="22" t="n">
        <v>624827</v>
      </c>
      <c r="I1635" s="22" t="s">
        <v>8822</v>
      </c>
      <c r="J1635" s="31" t="n">
        <v>27.6</v>
      </c>
      <c r="K1635" s="26" t="n">
        <v>785.34</v>
      </c>
      <c r="L1635" s="26" t="n">
        <v>156.42</v>
      </c>
      <c r="M1635" s="22" t="s">
        <v>5776</v>
      </c>
      <c r="N1635" s="22" t="n">
        <f aca="false">MATCH(M1635,'Tabela Passaro'!$A$2:$A$1795,0)</f>
        <v>1400</v>
      </c>
      <c r="O1635" s="22" t="str">
        <f aca="false">INDEX('Tabela Passaro'!$C$2:$C$1795,$N1635)</f>
        <v>BAIXA GRANDE DO RIBEIRO</v>
      </c>
      <c r="P1635" s="22" t="str">
        <f aca="false">INDEX('Tabela Passaro'!$B$2:$B$1795,$N1635)</f>
        <v>PI</v>
      </c>
      <c r="Q1635" s="22" t="n">
        <f aca="false">INDEX('Tabela Passaro'!$F$2:$F$1795,$N1635)</f>
        <v>15</v>
      </c>
      <c r="R1635" s="32" t="n">
        <f aca="false">IF(J1635&lt;=10,INDEX('Tabela Passaro'!$G$2:$G$1795,$N1635),IF(J1635&lt;=30,INDEX('Tabela Passaro'!$H$2:$H$1795,$N1635),IF(J1635&lt;=50,INDEX('Tabela Passaro'!$I$2:$I$1795,$N1635),IF(J1635&lt;=70,INDEX('Tabela Passaro'!$J$2:$J$1795,$N1635),IF(J1635&lt;=100,INDEX('Tabela Passaro'!$K$2:$K$1795,$N1635),INDEX('Tabela Passaro'!$K$2:$K$1795,$N1635)+(J1635-100)*INDEX('Tabela Passaro'!$L$2:$L$1795,$N1635))))))</f>
        <v>241.23</v>
      </c>
      <c r="S1635" s="32" t="n">
        <f aca="false">K1635*INDEX('Tabela Passaro'!$M$2:$M$1795,$N1635)</f>
        <v>3.9267</v>
      </c>
      <c r="T1635" s="32" t="n">
        <f aca="false">K1635*INDEX('Tabela Passaro'!$N$2:$N$1795,$N1635)</f>
        <v>1.57068</v>
      </c>
      <c r="U1635" s="32" t="n">
        <f aca="false">INDEX('Tabela Passaro'!$O$2:$O$1795,$N1635)</f>
        <v>5</v>
      </c>
      <c r="V1635" s="32" t="n">
        <f aca="false">ROUNDUP(J1635/INDEX('Tabela Passaro'!$Q$2:$Q$1795,$N1635),0)*INDEX('Tabela Passaro'!$P$2:$P$1795,$N1635)</f>
        <v>5</v>
      </c>
      <c r="W1635" s="32" t="n">
        <f aca="false">INDEX('Tabela Passaro'!$R$2:$R$1795,$N1635)</f>
        <v>30</v>
      </c>
      <c r="X1635" s="32" t="n">
        <f aca="false">ROUNDUP(J1635/INDEX('Tabela Passaro'!$T$2:$T$1795,$N1635),0)*INDEX('Tabela Passaro'!$S$2:$S$1795,$N1635)</f>
        <v>0</v>
      </c>
      <c r="Y1635" s="32" t="n">
        <f aca="false">INDEX('Tabela Passaro'!$U$2:$U$1795,$N1635)</f>
        <v>0</v>
      </c>
      <c r="Z1635" s="32" t="n">
        <f aca="false">INDEX('Tabela Passaro'!$V$2:$V$1795,$N1635)</f>
        <v>400</v>
      </c>
      <c r="AA1635" s="32" t="n">
        <f aca="false">SUM(R1635:Z1635)</f>
        <v>686.72738</v>
      </c>
      <c r="AB1635" s="33" t="n">
        <f aca="false">INDEX(Premissas!$B$5:$B$13,MATCH(A1635,Premissas!$A$5:$A$13,0))</f>
        <v>0.07</v>
      </c>
      <c r="AC1635" s="32" t="n">
        <f aca="false">AA1635/(1-AB1635)-AA1635</f>
        <v>51.6891576344086</v>
      </c>
      <c r="AD1635" s="32" t="n">
        <f aca="false">ROUND(AA1635+AC1635,2)</f>
        <v>738.42</v>
      </c>
      <c r="AE1635" s="32" t="n">
        <f aca="false">AD1635-L1635</f>
        <v>582</v>
      </c>
      <c r="AF1635" s="34" t="n">
        <f aca="false">IF(L1635=0,0,AE1635/L1635)</f>
        <v>3.72075182201765</v>
      </c>
      <c r="AG1635" s="22" t="str">
        <f aca="false">IF(AD1635&lt;L1635,"PASSARO","ATUAL")</f>
        <v>ATUAL</v>
      </c>
      <c r="AH1635" s="22" t="str">
        <f aca="false">IF(P1635&lt;&gt;A1635,"Faixa cadastrada como "&amp;P1635&amp;" na tabela; preço aplicado pela UF do CEP","")</f>
        <v/>
      </c>
      <c r="AI1635" s="26" t="n">
        <v>756.56</v>
      </c>
      <c r="AJ1635" s="22" t="str">
        <f aca="false">INDEX('Tabela Passaro'!$X$2:$X$1795,$N1635)</f>
        <v>INTERIOR 2</v>
      </c>
    </row>
    <row r="1636" customFormat="false" ht="15" hidden="false" customHeight="false" outlineLevel="0" collapsed="false">
      <c r="A1636" s="22" t="s">
        <v>21</v>
      </c>
      <c r="B1636" s="22" t="n">
        <v>5</v>
      </c>
      <c r="C1636" s="22" t="s">
        <v>174</v>
      </c>
      <c r="D1636" s="22" t="s">
        <v>30</v>
      </c>
      <c r="E1636" s="22" t="s">
        <v>20</v>
      </c>
      <c r="F1636" s="22" t="n">
        <v>840023</v>
      </c>
      <c r="G1636" s="30" t="n">
        <v>46259</v>
      </c>
      <c r="H1636" s="22" t="n">
        <v>32672</v>
      </c>
      <c r="I1636" s="22" t="s">
        <v>8822</v>
      </c>
      <c r="J1636" s="31" t="n">
        <v>20.8</v>
      </c>
      <c r="K1636" s="26" t="n">
        <v>654.35</v>
      </c>
      <c r="L1636" s="26" t="n">
        <v>136.57</v>
      </c>
      <c r="M1636" s="22" t="s">
        <v>5776</v>
      </c>
      <c r="N1636" s="22" t="n">
        <f aca="false">MATCH(M1636,'Tabela Passaro'!$A$2:$A$1795,0)</f>
        <v>1400</v>
      </c>
      <c r="O1636" s="22" t="str">
        <f aca="false">INDEX('Tabela Passaro'!$C$2:$C$1795,$N1636)</f>
        <v>BAIXA GRANDE DO RIBEIRO</v>
      </c>
      <c r="P1636" s="22" t="str">
        <f aca="false">INDEX('Tabela Passaro'!$B$2:$B$1795,$N1636)</f>
        <v>PI</v>
      </c>
      <c r="Q1636" s="22" t="n">
        <f aca="false">INDEX('Tabela Passaro'!$F$2:$F$1795,$N1636)</f>
        <v>15</v>
      </c>
      <c r="R1636" s="32" t="n">
        <f aca="false">IF(J1636&lt;=10,INDEX('Tabela Passaro'!$G$2:$G$1795,$N1636),IF(J1636&lt;=30,INDEX('Tabela Passaro'!$H$2:$H$1795,$N1636),IF(J1636&lt;=50,INDEX('Tabela Passaro'!$I$2:$I$1795,$N1636),IF(J1636&lt;=70,INDEX('Tabela Passaro'!$J$2:$J$1795,$N1636),IF(J1636&lt;=100,INDEX('Tabela Passaro'!$K$2:$K$1795,$N1636),INDEX('Tabela Passaro'!$K$2:$K$1795,$N1636)+(J1636-100)*INDEX('Tabela Passaro'!$L$2:$L$1795,$N1636))))))</f>
        <v>241.23</v>
      </c>
      <c r="S1636" s="32" t="n">
        <f aca="false">K1636*INDEX('Tabela Passaro'!$M$2:$M$1795,$N1636)</f>
        <v>3.27175</v>
      </c>
      <c r="T1636" s="32" t="n">
        <f aca="false">K1636*INDEX('Tabela Passaro'!$N$2:$N$1795,$N1636)</f>
        <v>1.3087</v>
      </c>
      <c r="U1636" s="32" t="n">
        <f aca="false">INDEX('Tabela Passaro'!$O$2:$O$1795,$N1636)</f>
        <v>5</v>
      </c>
      <c r="V1636" s="32" t="n">
        <f aca="false">ROUNDUP(J1636/INDEX('Tabela Passaro'!$Q$2:$Q$1795,$N1636),0)*INDEX('Tabela Passaro'!$P$2:$P$1795,$N1636)</f>
        <v>5</v>
      </c>
      <c r="W1636" s="32" t="n">
        <f aca="false">INDEX('Tabela Passaro'!$R$2:$R$1795,$N1636)</f>
        <v>30</v>
      </c>
      <c r="X1636" s="32" t="n">
        <f aca="false">ROUNDUP(J1636/INDEX('Tabela Passaro'!$T$2:$T$1795,$N1636),0)*INDEX('Tabela Passaro'!$S$2:$S$1795,$N1636)</f>
        <v>0</v>
      </c>
      <c r="Y1636" s="32" t="n">
        <f aca="false">INDEX('Tabela Passaro'!$U$2:$U$1795,$N1636)</f>
        <v>0</v>
      </c>
      <c r="Z1636" s="32" t="n">
        <f aca="false">INDEX('Tabela Passaro'!$V$2:$V$1795,$N1636)</f>
        <v>400</v>
      </c>
      <c r="AA1636" s="32" t="n">
        <f aca="false">SUM(R1636:Z1636)</f>
        <v>685.81045</v>
      </c>
      <c r="AB1636" s="33" t="n">
        <f aca="false">INDEX(Premissas!$B$5:$B$13,MATCH(A1636,Premissas!$A$5:$A$13,0))</f>
        <v>0.07</v>
      </c>
      <c r="AC1636" s="32" t="n">
        <f aca="false">AA1636/(1-AB1636)-AA1636</f>
        <v>51.6201413978495</v>
      </c>
      <c r="AD1636" s="32" t="n">
        <f aca="false">ROUND(AA1636+AC1636,2)</f>
        <v>737.43</v>
      </c>
      <c r="AE1636" s="32" t="n">
        <f aca="false">AD1636-L1636</f>
        <v>600.86</v>
      </c>
      <c r="AF1636" s="34" t="n">
        <f aca="false">IF(L1636=0,0,AE1636/L1636)</f>
        <v>4.39964853188841</v>
      </c>
      <c r="AG1636" s="22" t="str">
        <f aca="false">IF(AD1636&lt;L1636,"PASSARO","ATUAL")</f>
        <v>ATUAL</v>
      </c>
      <c r="AH1636" s="22" t="str">
        <f aca="false">IF(P1636&lt;&gt;A1636,"Faixa cadastrada como "&amp;P1636&amp;" na tabela; preço aplicado pela UF do CEP","")</f>
        <v/>
      </c>
      <c r="AI1636" s="26" t="n">
        <v>751.9</v>
      </c>
      <c r="AJ1636" s="22" t="str">
        <f aca="false">INDEX('Tabela Passaro'!$X$2:$X$1795,$N1636)</f>
        <v>INTERIOR 2</v>
      </c>
    </row>
    <row r="1637" customFormat="false" ht="15" hidden="false" customHeight="false" outlineLevel="0" collapsed="false">
      <c r="A1637" s="22" t="s">
        <v>21</v>
      </c>
      <c r="B1637" s="22" t="n">
        <v>6</v>
      </c>
      <c r="C1637" s="22" t="s">
        <v>175</v>
      </c>
      <c r="D1637" s="22" t="s">
        <v>30</v>
      </c>
      <c r="E1637" s="22" t="s">
        <v>7326</v>
      </c>
      <c r="F1637" s="22" t="n">
        <v>523811</v>
      </c>
      <c r="G1637" s="30" t="n">
        <v>46245</v>
      </c>
      <c r="H1637" s="22" t="n">
        <v>622316</v>
      </c>
      <c r="I1637" s="22" t="s">
        <v>8823</v>
      </c>
      <c r="J1637" s="31" t="n">
        <v>43.5</v>
      </c>
      <c r="K1637" s="26" t="n">
        <v>857.63</v>
      </c>
      <c r="L1637" s="26" t="n">
        <v>220.56</v>
      </c>
      <c r="M1637" s="22" t="s">
        <v>5810</v>
      </c>
      <c r="N1637" s="22" t="n">
        <f aca="false">MATCH(M1637,'Tabela Passaro'!$A$2:$A$1795,0)</f>
        <v>1409</v>
      </c>
      <c r="O1637" s="22" t="str">
        <f aca="false">INDEX('Tabela Passaro'!$C$2:$C$1795,$N1637)</f>
        <v>BOM JESUS</v>
      </c>
      <c r="P1637" s="22" t="str">
        <f aca="false">INDEX('Tabela Passaro'!$B$2:$B$1795,$N1637)</f>
        <v>PI</v>
      </c>
      <c r="Q1637" s="22" t="n">
        <f aca="false">INDEX('Tabela Passaro'!$F$2:$F$1795,$N1637)</f>
        <v>12</v>
      </c>
      <c r="R1637" s="32" t="n">
        <f aca="false">IF(J1637&lt;=10,INDEX('Tabela Passaro'!$G$2:$G$1795,$N1637),IF(J1637&lt;=30,INDEX('Tabela Passaro'!$H$2:$H$1795,$N1637),IF(J1637&lt;=50,INDEX('Tabela Passaro'!$I$2:$I$1795,$N1637),IF(J1637&lt;=70,INDEX('Tabela Passaro'!$J$2:$J$1795,$N1637),IF(J1637&lt;=100,INDEX('Tabela Passaro'!$K$2:$K$1795,$N1637),INDEX('Tabela Passaro'!$K$2:$K$1795,$N1637)+(J1637-100)*INDEX('Tabela Passaro'!$L$2:$L$1795,$N1637))))))</f>
        <v>263.36</v>
      </c>
      <c r="S1637" s="32" t="n">
        <f aca="false">K1637*INDEX('Tabela Passaro'!$M$2:$M$1795,$N1637)</f>
        <v>4.28815</v>
      </c>
      <c r="T1637" s="32" t="n">
        <f aca="false">K1637*INDEX('Tabela Passaro'!$N$2:$N$1795,$N1637)</f>
        <v>1.71526</v>
      </c>
      <c r="U1637" s="32" t="n">
        <f aca="false">INDEX('Tabela Passaro'!$O$2:$O$1795,$N1637)</f>
        <v>5</v>
      </c>
      <c r="V1637" s="32" t="n">
        <f aca="false">ROUNDUP(J1637/INDEX('Tabela Passaro'!$Q$2:$Q$1795,$N1637),0)*INDEX('Tabela Passaro'!$P$2:$P$1795,$N1637)</f>
        <v>5</v>
      </c>
      <c r="W1637" s="32" t="n">
        <f aca="false">INDEX('Tabela Passaro'!$R$2:$R$1795,$N1637)</f>
        <v>30</v>
      </c>
      <c r="X1637" s="32" t="n">
        <f aca="false">ROUNDUP(J1637/INDEX('Tabela Passaro'!$T$2:$T$1795,$N1637),0)*INDEX('Tabela Passaro'!$S$2:$S$1795,$N1637)</f>
        <v>0</v>
      </c>
      <c r="Y1637" s="32" t="n">
        <f aca="false">INDEX('Tabela Passaro'!$U$2:$U$1795,$N1637)</f>
        <v>0</v>
      </c>
      <c r="Z1637" s="32" t="n">
        <f aca="false">INDEX('Tabela Passaro'!$V$2:$V$1795,$N1637)</f>
        <v>0</v>
      </c>
      <c r="AA1637" s="32" t="n">
        <f aca="false">SUM(R1637:Z1637)</f>
        <v>309.36341</v>
      </c>
      <c r="AB1637" s="33" t="n">
        <f aca="false">INDEX(Premissas!$B$5:$B$13,MATCH(A1637,Premissas!$A$5:$A$13,0))</f>
        <v>0.07</v>
      </c>
      <c r="AC1637" s="32" t="n">
        <f aca="false">AA1637/(1-AB1637)-AA1637</f>
        <v>23.2854179569893</v>
      </c>
      <c r="AD1637" s="32" t="n">
        <f aca="false">ROUND(AA1637+AC1637,2)</f>
        <v>332.65</v>
      </c>
      <c r="AE1637" s="32" t="n">
        <f aca="false">AD1637-L1637</f>
        <v>112.09</v>
      </c>
      <c r="AF1637" s="34" t="n">
        <f aca="false">IF(L1637=0,0,AE1637/L1637)</f>
        <v>0.508206383750453</v>
      </c>
      <c r="AG1637" s="22" t="str">
        <f aca="false">IF(AD1637&lt;L1637,"PASSARO","ATUAL")</f>
        <v>ATUAL</v>
      </c>
      <c r="AH1637" s="22" t="str">
        <f aca="false">IF(P1637&lt;&gt;A1637,"Faixa cadastrada como "&amp;P1637&amp;" na tabela; preço aplicado pela UF do CEP","")</f>
        <v/>
      </c>
      <c r="AI1637" s="26" t="n">
        <v>359.93</v>
      </c>
      <c r="AJ1637" s="22" t="str">
        <f aca="false">INDEX('Tabela Passaro'!$X$2:$X$1795,$N1637)</f>
        <v>INTERIOR 2</v>
      </c>
    </row>
    <row r="1638" customFormat="false" ht="15" hidden="false" customHeight="false" outlineLevel="0" collapsed="false">
      <c r="A1638" s="22" t="s">
        <v>21</v>
      </c>
      <c r="B1638" s="22" t="n">
        <v>6</v>
      </c>
      <c r="C1638" s="22" t="s">
        <v>175</v>
      </c>
      <c r="D1638" s="22" t="s">
        <v>30</v>
      </c>
      <c r="E1638" s="22" t="s">
        <v>7326</v>
      </c>
      <c r="F1638" s="22" t="n">
        <v>524668</v>
      </c>
      <c r="G1638" s="30" t="n">
        <v>46247</v>
      </c>
      <c r="H1638" s="22" t="n">
        <v>624337</v>
      </c>
      <c r="I1638" s="22" t="s">
        <v>8823</v>
      </c>
      <c r="J1638" s="31" t="n">
        <v>43.5</v>
      </c>
      <c r="K1638" s="26" t="n">
        <v>923.85</v>
      </c>
      <c r="L1638" s="26" t="n">
        <v>221.13</v>
      </c>
      <c r="M1638" s="22" t="s">
        <v>5810</v>
      </c>
      <c r="N1638" s="22" t="n">
        <f aca="false">MATCH(M1638,'Tabela Passaro'!$A$2:$A$1795,0)</f>
        <v>1409</v>
      </c>
      <c r="O1638" s="22" t="str">
        <f aca="false">INDEX('Tabela Passaro'!$C$2:$C$1795,$N1638)</f>
        <v>BOM JESUS</v>
      </c>
      <c r="P1638" s="22" t="str">
        <f aca="false">INDEX('Tabela Passaro'!$B$2:$B$1795,$N1638)</f>
        <v>PI</v>
      </c>
      <c r="Q1638" s="22" t="n">
        <f aca="false">INDEX('Tabela Passaro'!$F$2:$F$1795,$N1638)</f>
        <v>12</v>
      </c>
      <c r="R1638" s="32" t="n">
        <f aca="false">IF(J1638&lt;=10,INDEX('Tabela Passaro'!$G$2:$G$1795,$N1638),IF(J1638&lt;=30,INDEX('Tabela Passaro'!$H$2:$H$1795,$N1638),IF(J1638&lt;=50,INDEX('Tabela Passaro'!$I$2:$I$1795,$N1638),IF(J1638&lt;=70,INDEX('Tabela Passaro'!$J$2:$J$1795,$N1638),IF(J1638&lt;=100,INDEX('Tabela Passaro'!$K$2:$K$1795,$N1638),INDEX('Tabela Passaro'!$K$2:$K$1795,$N1638)+(J1638-100)*INDEX('Tabela Passaro'!$L$2:$L$1795,$N1638))))))</f>
        <v>263.36</v>
      </c>
      <c r="S1638" s="32" t="n">
        <f aca="false">K1638*INDEX('Tabela Passaro'!$M$2:$M$1795,$N1638)</f>
        <v>4.61925</v>
      </c>
      <c r="T1638" s="32" t="n">
        <f aca="false">K1638*INDEX('Tabela Passaro'!$N$2:$N$1795,$N1638)</f>
        <v>1.8477</v>
      </c>
      <c r="U1638" s="32" t="n">
        <f aca="false">INDEX('Tabela Passaro'!$O$2:$O$1795,$N1638)</f>
        <v>5</v>
      </c>
      <c r="V1638" s="32" t="n">
        <f aca="false">ROUNDUP(J1638/INDEX('Tabela Passaro'!$Q$2:$Q$1795,$N1638),0)*INDEX('Tabela Passaro'!$P$2:$P$1795,$N1638)</f>
        <v>5</v>
      </c>
      <c r="W1638" s="32" t="n">
        <f aca="false">INDEX('Tabela Passaro'!$R$2:$R$1795,$N1638)</f>
        <v>30</v>
      </c>
      <c r="X1638" s="32" t="n">
        <f aca="false">ROUNDUP(J1638/INDEX('Tabela Passaro'!$T$2:$T$1795,$N1638),0)*INDEX('Tabela Passaro'!$S$2:$S$1795,$N1638)</f>
        <v>0</v>
      </c>
      <c r="Y1638" s="32" t="n">
        <f aca="false">INDEX('Tabela Passaro'!$U$2:$U$1795,$N1638)</f>
        <v>0</v>
      </c>
      <c r="Z1638" s="32" t="n">
        <f aca="false">INDEX('Tabela Passaro'!$V$2:$V$1795,$N1638)</f>
        <v>0</v>
      </c>
      <c r="AA1638" s="32" t="n">
        <f aca="false">SUM(R1638:Z1638)</f>
        <v>309.82695</v>
      </c>
      <c r="AB1638" s="33" t="n">
        <f aca="false">INDEX(Premissas!$B$5:$B$13,MATCH(A1638,Premissas!$A$5:$A$13,0))</f>
        <v>0.07</v>
      </c>
      <c r="AC1638" s="32" t="n">
        <f aca="false">AA1638/(1-AB1638)-AA1638</f>
        <v>23.3203080645162</v>
      </c>
      <c r="AD1638" s="32" t="n">
        <f aca="false">ROUND(AA1638+AC1638,2)</f>
        <v>333.15</v>
      </c>
      <c r="AE1638" s="32" t="n">
        <f aca="false">AD1638-L1638</f>
        <v>112.02</v>
      </c>
      <c r="AF1638" s="34" t="n">
        <f aca="false">IF(L1638=0,0,AE1638/L1638)</f>
        <v>0.506579839913173</v>
      </c>
      <c r="AG1638" s="22" t="str">
        <f aca="false">IF(AD1638&lt;L1638,"PASSARO","ATUAL")</f>
        <v>ATUAL</v>
      </c>
      <c r="AH1638" s="22" t="str">
        <f aca="false">IF(P1638&lt;&gt;A1638,"Faixa cadastrada como "&amp;P1638&amp;" na tabela; preço aplicado pela UF do CEP","")</f>
        <v/>
      </c>
      <c r="AI1638" s="26" t="n">
        <v>360.57</v>
      </c>
      <c r="AJ1638" s="22" t="str">
        <f aca="false">INDEX('Tabela Passaro'!$X$2:$X$1795,$N1638)</f>
        <v>INTERIOR 2</v>
      </c>
    </row>
    <row r="1639" customFormat="false" ht="15" hidden="false" customHeight="false" outlineLevel="0" collapsed="false">
      <c r="A1639" s="22" t="s">
        <v>21</v>
      </c>
      <c r="B1639" s="22" t="n">
        <v>6</v>
      </c>
      <c r="C1639" s="22" t="s">
        <v>175</v>
      </c>
      <c r="D1639" s="22" t="s">
        <v>30</v>
      </c>
      <c r="E1639" s="22" t="s">
        <v>7328</v>
      </c>
      <c r="F1639" s="22" t="n">
        <v>2312312</v>
      </c>
      <c r="G1639" s="30" t="n">
        <v>46248</v>
      </c>
      <c r="H1639" s="22" t="n">
        <v>133217</v>
      </c>
      <c r="I1639" s="22" t="s">
        <v>8823</v>
      </c>
      <c r="J1639" s="31" t="n">
        <v>27.6</v>
      </c>
      <c r="K1639" s="26" t="n">
        <v>658.29</v>
      </c>
      <c r="L1639" s="26" t="n">
        <v>144.47</v>
      </c>
      <c r="M1639" s="22" t="s">
        <v>5810</v>
      </c>
      <c r="N1639" s="22" t="n">
        <f aca="false">MATCH(M1639,'Tabela Passaro'!$A$2:$A$1795,0)</f>
        <v>1409</v>
      </c>
      <c r="O1639" s="22" t="str">
        <f aca="false">INDEX('Tabela Passaro'!$C$2:$C$1795,$N1639)</f>
        <v>BOM JESUS</v>
      </c>
      <c r="P1639" s="22" t="str">
        <f aca="false">INDEX('Tabela Passaro'!$B$2:$B$1795,$N1639)</f>
        <v>PI</v>
      </c>
      <c r="Q1639" s="22" t="n">
        <f aca="false">INDEX('Tabela Passaro'!$F$2:$F$1795,$N1639)</f>
        <v>12</v>
      </c>
      <c r="R1639" s="32" t="n">
        <f aca="false">IF(J1639&lt;=10,INDEX('Tabela Passaro'!$G$2:$G$1795,$N1639),IF(J1639&lt;=30,INDEX('Tabela Passaro'!$H$2:$H$1795,$N1639),IF(J1639&lt;=50,INDEX('Tabela Passaro'!$I$2:$I$1795,$N1639),IF(J1639&lt;=70,INDEX('Tabela Passaro'!$J$2:$J$1795,$N1639),IF(J1639&lt;=100,INDEX('Tabela Passaro'!$K$2:$K$1795,$N1639),INDEX('Tabela Passaro'!$K$2:$K$1795,$N1639)+(J1639-100)*INDEX('Tabela Passaro'!$L$2:$L$1795,$N1639))))))</f>
        <v>241.23</v>
      </c>
      <c r="S1639" s="32" t="n">
        <f aca="false">K1639*INDEX('Tabela Passaro'!$M$2:$M$1795,$N1639)</f>
        <v>3.29145</v>
      </c>
      <c r="T1639" s="32" t="n">
        <f aca="false">K1639*INDEX('Tabela Passaro'!$N$2:$N$1795,$N1639)</f>
        <v>1.31658</v>
      </c>
      <c r="U1639" s="32" t="n">
        <f aca="false">INDEX('Tabela Passaro'!$O$2:$O$1795,$N1639)</f>
        <v>5</v>
      </c>
      <c r="V1639" s="32" t="n">
        <f aca="false">ROUNDUP(J1639/INDEX('Tabela Passaro'!$Q$2:$Q$1795,$N1639),0)*INDEX('Tabela Passaro'!$P$2:$P$1795,$N1639)</f>
        <v>5</v>
      </c>
      <c r="W1639" s="32" t="n">
        <f aca="false">INDEX('Tabela Passaro'!$R$2:$R$1795,$N1639)</f>
        <v>30</v>
      </c>
      <c r="X1639" s="32" t="n">
        <f aca="false">ROUNDUP(J1639/INDEX('Tabela Passaro'!$T$2:$T$1795,$N1639),0)*INDEX('Tabela Passaro'!$S$2:$S$1795,$N1639)</f>
        <v>0</v>
      </c>
      <c r="Y1639" s="32" t="n">
        <f aca="false">INDEX('Tabela Passaro'!$U$2:$U$1795,$N1639)</f>
        <v>0</v>
      </c>
      <c r="Z1639" s="32" t="n">
        <f aca="false">INDEX('Tabela Passaro'!$V$2:$V$1795,$N1639)</f>
        <v>0</v>
      </c>
      <c r="AA1639" s="32" t="n">
        <f aca="false">SUM(R1639:Z1639)</f>
        <v>285.83803</v>
      </c>
      <c r="AB1639" s="33" t="n">
        <f aca="false">INDEX(Premissas!$B$5:$B$13,MATCH(A1639,Premissas!$A$5:$A$13,0))</f>
        <v>0.07</v>
      </c>
      <c r="AC1639" s="32" t="n">
        <f aca="false">AA1639/(1-AB1639)-AA1639</f>
        <v>21.5146904301075</v>
      </c>
      <c r="AD1639" s="32" t="n">
        <f aca="false">ROUND(AA1639+AC1639,2)</f>
        <v>307.35</v>
      </c>
      <c r="AE1639" s="32" t="n">
        <f aca="false">AD1639-L1639</f>
        <v>162.88</v>
      </c>
      <c r="AF1639" s="34" t="n">
        <f aca="false">IF(L1639=0,0,AE1639/L1639)</f>
        <v>1.12743130061605</v>
      </c>
      <c r="AG1639" s="22" t="str">
        <f aca="false">IF(AD1639&lt;L1639,"PASSARO","ATUAL")</f>
        <v>ATUAL</v>
      </c>
      <c r="AH1639" s="22" t="str">
        <f aca="false">IF(P1639&lt;&gt;A1639,"Faixa cadastrada como "&amp;P1639&amp;" na tabela; preço aplicado pela UF do CEP","")</f>
        <v/>
      </c>
      <c r="AI1639" s="26" t="n">
        <v>325.22</v>
      </c>
      <c r="AJ1639" s="22" t="str">
        <f aca="false">INDEX('Tabela Passaro'!$X$2:$X$1795,$N1639)</f>
        <v>INTERIOR 2</v>
      </c>
    </row>
    <row r="1640" customFormat="false" ht="15" hidden="false" customHeight="false" outlineLevel="0" collapsed="false">
      <c r="A1640" s="22" t="s">
        <v>21</v>
      </c>
      <c r="B1640" s="22" t="n">
        <v>6</v>
      </c>
      <c r="C1640" s="22" t="s">
        <v>175</v>
      </c>
      <c r="D1640" s="22" t="s">
        <v>30</v>
      </c>
      <c r="E1640" s="22" t="s">
        <v>7328</v>
      </c>
      <c r="F1640" s="22" t="n">
        <v>2312446</v>
      </c>
      <c r="G1640" s="30" t="n">
        <v>46248</v>
      </c>
      <c r="H1640" s="22" t="n">
        <v>133357</v>
      </c>
      <c r="I1640" s="22" t="s">
        <v>8823</v>
      </c>
      <c r="J1640" s="31" t="n">
        <v>64.1</v>
      </c>
      <c r="K1640" s="26" t="n">
        <v>1251.69</v>
      </c>
      <c r="L1640" s="26" t="n">
        <v>255.72</v>
      </c>
      <c r="M1640" s="22" t="s">
        <v>5810</v>
      </c>
      <c r="N1640" s="22" t="n">
        <f aca="false">MATCH(M1640,'Tabela Passaro'!$A$2:$A$1795,0)</f>
        <v>1409</v>
      </c>
      <c r="O1640" s="22" t="str">
        <f aca="false">INDEX('Tabela Passaro'!$C$2:$C$1795,$N1640)</f>
        <v>BOM JESUS</v>
      </c>
      <c r="P1640" s="22" t="str">
        <f aca="false">INDEX('Tabela Passaro'!$B$2:$B$1795,$N1640)</f>
        <v>PI</v>
      </c>
      <c r="Q1640" s="22" t="n">
        <f aca="false">INDEX('Tabela Passaro'!$F$2:$F$1795,$N1640)</f>
        <v>12</v>
      </c>
      <c r="R1640" s="32" t="n">
        <f aca="false">IF(J1640&lt;=10,INDEX('Tabela Passaro'!$G$2:$G$1795,$N1640),IF(J1640&lt;=30,INDEX('Tabela Passaro'!$H$2:$H$1795,$N1640),IF(J1640&lt;=50,INDEX('Tabela Passaro'!$I$2:$I$1795,$N1640),IF(J1640&lt;=70,INDEX('Tabela Passaro'!$J$2:$J$1795,$N1640),IF(J1640&lt;=100,INDEX('Tabela Passaro'!$K$2:$K$1795,$N1640),INDEX('Tabela Passaro'!$K$2:$K$1795,$N1640)+(J1640-100)*INDEX('Tabela Passaro'!$L$2:$L$1795,$N1640))))))</f>
        <v>279.96</v>
      </c>
      <c r="S1640" s="32" t="n">
        <f aca="false">K1640*INDEX('Tabela Passaro'!$M$2:$M$1795,$N1640)</f>
        <v>6.25845</v>
      </c>
      <c r="T1640" s="32" t="n">
        <f aca="false">K1640*INDEX('Tabela Passaro'!$N$2:$N$1795,$N1640)</f>
        <v>2.50338</v>
      </c>
      <c r="U1640" s="32" t="n">
        <f aca="false">INDEX('Tabela Passaro'!$O$2:$O$1795,$N1640)</f>
        <v>5</v>
      </c>
      <c r="V1640" s="32" t="n">
        <f aca="false">ROUNDUP(J1640/INDEX('Tabela Passaro'!$Q$2:$Q$1795,$N1640),0)*INDEX('Tabela Passaro'!$P$2:$P$1795,$N1640)</f>
        <v>5</v>
      </c>
      <c r="W1640" s="32" t="n">
        <f aca="false">INDEX('Tabela Passaro'!$R$2:$R$1795,$N1640)</f>
        <v>30</v>
      </c>
      <c r="X1640" s="32" t="n">
        <f aca="false">ROUNDUP(J1640/INDEX('Tabela Passaro'!$T$2:$T$1795,$N1640),0)*INDEX('Tabela Passaro'!$S$2:$S$1795,$N1640)</f>
        <v>0</v>
      </c>
      <c r="Y1640" s="32" t="n">
        <f aca="false">INDEX('Tabela Passaro'!$U$2:$U$1795,$N1640)</f>
        <v>0</v>
      </c>
      <c r="Z1640" s="32" t="n">
        <f aca="false">INDEX('Tabela Passaro'!$V$2:$V$1795,$N1640)</f>
        <v>0</v>
      </c>
      <c r="AA1640" s="32" t="n">
        <f aca="false">SUM(R1640:Z1640)</f>
        <v>328.72183</v>
      </c>
      <c r="AB1640" s="33" t="n">
        <f aca="false">INDEX(Premissas!$B$5:$B$13,MATCH(A1640,Premissas!$A$5:$A$13,0))</f>
        <v>0.07</v>
      </c>
      <c r="AC1640" s="32" t="n">
        <f aca="false">AA1640/(1-AB1640)-AA1640</f>
        <v>24.7425033333333</v>
      </c>
      <c r="AD1640" s="32" t="n">
        <f aca="false">ROUND(AA1640+AC1640,2)</f>
        <v>353.46</v>
      </c>
      <c r="AE1640" s="32" t="n">
        <f aca="false">AD1640-L1640</f>
        <v>97.74</v>
      </c>
      <c r="AF1640" s="34" t="n">
        <f aca="false">IF(L1640=0,0,AE1640/L1640)</f>
        <v>0.382214922571563</v>
      </c>
      <c r="AG1640" s="22" t="str">
        <f aca="false">IF(AD1640&lt;L1640,"PASSARO","ATUAL")</f>
        <v>ATUAL</v>
      </c>
      <c r="AH1640" s="22" t="str">
        <f aca="false">IF(P1640&lt;&gt;A1640,"Faixa cadastrada como "&amp;P1640&amp;" na tabela; preço aplicado pela UF do CEP","")</f>
        <v/>
      </c>
      <c r="AI1640" s="26" t="n">
        <v>392.69</v>
      </c>
      <c r="AJ1640" s="22" t="str">
        <f aca="false">INDEX('Tabela Passaro'!$X$2:$X$1795,$N1640)</f>
        <v>INTERIOR 2</v>
      </c>
    </row>
    <row r="1641" customFormat="false" ht="15" hidden="false" customHeight="false" outlineLevel="0" collapsed="false">
      <c r="A1641" s="22" t="s">
        <v>21</v>
      </c>
      <c r="B1641" s="22" t="n">
        <v>6</v>
      </c>
      <c r="C1641" s="22" t="s">
        <v>175</v>
      </c>
      <c r="D1641" s="22" t="s">
        <v>30</v>
      </c>
      <c r="E1641" s="22" t="s">
        <v>20</v>
      </c>
      <c r="F1641" s="22" t="n">
        <v>840196</v>
      </c>
      <c r="G1641" s="30" t="n">
        <v>46260</v>
      </c>
      <c r="H1641" s="22" t="n">
        <v>32721</v>
      </c>
      <c r="I1641" s="22" t="s">
        <v>8823</v>
      </c>
      <c r="J1641" s="31" t="n">
        <v>33</v>
      </c>
      <c r="K1641" s="26" t="n">
        <v>658.1</v>
      </c>
      <c r="L1641" s="26" t="n">
        <v>184.56</v>
      </c>
      <c r="M1641" s="22" t="s">
        <v>5810</v>
      </c>
      <c r="N1641" s="22" t="n">
        <f aca="false">MATCH(M1641,'Tabela Passaro'!$A$2:$A$1795,0)</f>
        <v>1409</v>
      </c>
      <c r="O1641" s="22" t="str">
        <f aca="false">INDEX('Tabela Passaro'!$C$2:$C$1795,$N1641)</f>
        <v>BOM JESUS</v>
      </c>
      <c r="P1641" s="22" t="str">
        <f aca="false">INDEX('Tabela Passaro'!$B$2:$B$1795,$N1641)</f>
        <v>PI</v>
      </c>
      <c r="Q1641" s="22" t="n">
        <f aca="false">INDEX('Tabela Passaro'!$F$2:$F$1795,$N1641)</f>
        <v>12</v>
      </c>
      <c r="R1641" s="32" t="n">
        <f aca="false">IF(J1641&lt;=10,INDEX('Tabela Passaro'!$G$2:$G$1795,$N1641),IF(J1641&lt;=30,INDEX('Tabela Passaro'!$H$2:$H$1795,$N1641),IF(J1641&lt;=50,INDEX('Tabela Passaro'!$I$2:$I$1795,$N1641),IF(J1641&lt;=70,INDEX('Tabela Passaro'!$J$2:$J$1795,$N1641),IF(J1641&lt;=100,INDEX('Tabela Passaro'!$K$2:$K$1795,$N1641),INDEX('Tabela Passaro'!$K$2:$K$1795,$N1641)+(J1641-100)*INDEX('Tabela Passaro'!$L$2:$L$1795,$N1641))))))</f>
        <v>263.36</v>
      </c>
      <c r="S1641" s="32" t="n">
        <f aca="false">K1641*INDEX('Tabela Passaro'!$M$2:$M$1795,$N1641)</f>
        <v>3.2905</v>
      </c>
      <c r="T1641" s="32" t="n">
        <f aca="false">K1641*INDEX('Tabela Passaro'!$N$2:$N$1795,$N1641)</f>
        <v>1.3162</v>
      </c>
      <c r="U1641" s="32" t="n">
        <f aca="false">INDEX('Tabela Passaro'!$O$2:$O$1795,$N1641)</f>
        <v>5</v>
      </c>
      <c r="V1641" s="32" t="n">
        <f aca="false">ROUNDUP(J1641/INDEX('Tabela Passaro'!$Q$2:$Q$1795,$N1641),0)*INDEX('Tabela Passaro'!$P$2:$P$1795,$N1641)</f>
        <v>5</v>
      </c>
      <c r="W1641" s="32" t="n">
        <f aca="false">INDEX('Tabela Passaro'!$R$2:$R$1795,$N1641)</f>
        <v>30</v>
      </c>
      <c r="X1641" s="32" t="n">
        <f aca="false">ROUNDUP(J1641/INDEX('Tabela Passaro'!$T$2:$T$1795,$N1641),0)*INDEX('Tabela Passaro'!$S$2:$S$1795,$N1641)</f>
        <v>0</v>
      </c>
      <c r="Y1641" s="32" t="n">
        <f aca="false">INDEX('Tabela Passaro'!$U$2:$U$1795,$N1641)</f>
        <v>0</v>
      </c>
      <c r="Z1641" s="32" t="n">
        <f aca="false">INDEX('Tabela Passaro'!$V$2:$V$1795,$N1641)</f>
        <v>0</v>
      </c>
      <c r="AA1641" s="32" t="n">
        <f aca="false">SUM(R1641:Z1641)</f>
        <v>307.9667</v>
      </c>
      <c r="AB1641" s="33" t="n">
        <f aca="false">INDEX(Premissas!$B$5:$B$13,MATCH(A1641,Premissas!$A$5:$A$13,0))</f>
        <v>0.07</v>
      </c>
      <c r="AC1641" s="32" t="n">
        <f aca="false">AA1641/(1-AB1641)-AA1641</f>
        <v>23.1802892473119</v>
      </c>
      <c r="AD1641" s="32" t="n">
        <f aca="false">ROUND(AA1641+AC1641,2)</f>
        <v>331.15</v>
      </c>
      <c r="AE1641" s="32" t="n">
        <f aca="false">AD1641-L1641</f>
        <v>146.59</v>
      </c>
      <c r="AF1641" s="34" t="n">
        <f aca="false">IF(L1641=0,0,AE1641/L1641)</f>
        <v>0.794267446900737</v>
      </c>
      <c r="AG1641" s="22" t="str">
        <f aca="false">IF(AD1641&lt;L1641,"PASSARO","ATUAL")</f>
        <v>ATUAL</v>
      </c>
      <c r="AH1641" s="22" t="str">
        <f aca="false">IF(P1641&lt;&gt;A1641,"Faixa cadastrada como "&amp;P1641&amp;" na tabela; preço aplicado pela UF do CEP","")</f>
        <v/>
      </c>
      <c r="AI1641" s="26" t="n">
        <v>352.68</v>
      </c>
      <c r="AJ1641" s="22" t="str">
        <f aca="false">INDEX('Tabela Passaro'!$X$2:$X$1795,$N1641)</f>
        <v>INTERIOR 2</v>
      </c>
    </row>
    <row r="1642" customFormat="false" ht="15" hidden="false" customHeight="false" outlineLevel="0" collapsed="false">
      <c r="A1642" s="22" t="s">
        <v>21</v>
      </c>
      <c r="B1642" s="22" t="n">
        <v>7</v>
      </c>
      <c r="C1642" s="22" t="s">
        <v>176</v>
      </c>
      <c r="D1642" s="22" t="s">
        <v>32</v>
      </c>
      <c r="E1642" s="22" t="s">
        <v>7326</v>
      </c>
      <c r="F1642" s="22" t="n">
        <v>904558</v>
      </c>
      <c r="G1642" s="30" t="n">
        <v>46252</v>
      </c>
      <c r="H1642" s="22" t="n">
        <v>626162</v>
      </c>
      <c r="I1642" s="22" t="s">
        <v>8824</v>
      </c>
      <c r="J1642" s="31" t="n">
        <v>119.8</v>
      </c>
      <c r="K1642" s="26" t="n">
        <v>1809.3</v>
      </c>
      <c r="L1642" s="26" t="n">
        <v>363.27</v>
      </c>
      <c r="M1642" s="22" t="s">
        <v>5678</v>
      </c>
      <c r="N1642" s="22" t="n">
        <f aca="false">MATCH(M1642,'Tabela Passaro'!$A$2:$A$1795,0)</f>
        <v>1375</v>
      </c>
      <c r="O1642" s="22" t="str">
        <f aca="false">INDEX('Tabela Passaro'!$C$2:$C$1795,$N1642)</f>
        <v>PIRIPIRI</v>
      </c>
      <c r="P1642" s="22" t="str">
        <f aca="false">INDEX('Tabela Passaro'!$B$2:$B$1795,$N1642)</f>
        <v>PI</v>
      </c>
      <c r="Q1642" s="22" t="n">
        <f aca="false">INDEX('Tabela Passaro'!$F$2:$F$1795,$N1642)</f>
        <v>13</v>
      </c>
      <c r="R1642" s="32" t="n">
        <f aca="false">IF(J1642&lt;=10,INDEX('Tabela Passaro'!$G$2:$G$1795,$N1642),IF(J1642&lt;=30,INDEX('Tabela Passaro'!$H$2:$H$1795,$N1642),IF(J1642&lt;=50,INDEX('Tabela Passaro'!$I$2:$I$1795,$N1642),IF(J1642&lt;=70,INDEX('Tabela Passaro'!$J$2:$J$1795,$N1642),IF(J1642&lt;=100,INDEX('Tabela Passaro'!$K$2:$K$1795,$N1642),INDEX('Tabela Passaro'!$K$2:$K$1795,$N1642)+(J1642-100)*INDEX('Tabela Passaro'!$L$2:$L$1795,$N1642))))))</f>
        <v>316.702</v>
      </c>
      <c r="S1642" s="32" t="n">
        <f aca="false">K1642*INDEX('Tabela Passaro'!$M$2:$M$1795,$N1642)</f>
        <v>9.0465</v>
      </c>
      <c r="T1642" s="32" t="n">
        <f aca="false">K1642*INDEX('Tabela Passaro'!$N$2:$N$1795,$N1642)</f>
        <v>3.6186</v>
      </c>
      <c r="U1642" s="32" t="n">
        <f aca="false">INDEX('Tabela Passaro'!$O$2:$O$1795,$N1642)</f>
        <v>5</v>
      </c>
      <c r="V1642" s="32" t="n">
        <f aca="false">ROUNDUP(J1642/INDEX('Tabela Passaro'!$Q$2:$Q$1795,$N1642),0)*INDEX('Tabela Passaro'!$P$2:$P$1795,$N1642)</f>
        <v>10</v>
      </c>
      <c r="W1642" s="32" t="n">
        <f aca="false">INDEX('Tabela Passaro'!$R$2:$R$1795,$N1642)</f>
        <v>30</v>
      </c>
      <c r="X1642" s="32" t="n">
        <f aca="false">ROUNDUP(J1642/INDEX('Tabela Passaro'!$T$2:$T$1795,$N1642),0)*INDEX('Tabela Passaro'!$S$2:$S$1795,$N1642)</f>
        <v>0</v>
      </c>
      <c r="Y1642" s="32" t="n">
        <f aca="false">INDEX('Tabela Passaro'!$U$2:$U$1795,$N1642)</f>
        <v>0</v>
      </c>
      <c r="Z1642" s="32" t="n">
        <f aca="false">INDEX('Tabela Passaro'!$V$2:$V$1795,$N1642)</f>
        <v>0</v>
      </c>
      <c r="AA1642" s="32" t="n">
        <f aca="false">SUM(R1642:Z1642)</f>
        <v>374.3671</v>
      </c>
      <c r="AB1642" s="33" t="n">
        <f aca="false">INDEX(Premissas!$B$5:$B$13,MATCH(A1642,Premissas!$A$5:$A$13,0))</f>
        <v>0.07</v>
      </c>
      <c r="AC1642" s="32" t="n">
        <f aca="false">AA1642/(1-AB1642)-AA1642</f>
        <v>28.1781688172043</v>
      </c>
      <c r="AD1642" s="32" t="n">
        <f aca="false">ROUND(AA1642+AC1642,2)</f>
        <v>402.55</v>
      </c>
      <c r="AE1642" s="32" t="n">
        <f aca="false">AD1642-L1642</f>
        <v>39.28</v>
      </c>
      <c r="AF1642" s="34" t="n">
        <f aca="false">IF(L1642=0,0,AE1642/L1642)</f>
        <v>0.108128939906956</v>
      </c>
      <c r="AG1642" s="22" t="str">
        <f aca="false">IF(AD1642&lt;L1642,"PASSARO","ATUAL")</f>
        <v>ATUAL</v>
      </c>
      <c r="AH1642" s="22" t="str">
        <f aca="false">IF(P1642&lt;&gt;A1642,"Faixa cadastrada como "&amp;P1642&amp;" na tabela; preço aplicado pela UF do CEP","")</f>
        <v/>
      </c>
      <c r="AI1642" s="26" t="n">
        <v>475.38</v>
      </c>
      <c r="AJ1642" s="22" t="str">
        <f aca="false">INDEX('Tabela Passaro'!$X$2:$X$1795,$N1642)</f>
        <v>INTERIOR 1</v>
      </c>
    </row>
    <row r="1643" customFormat="false" ht="15" hidden="false" customHeight="false" outlineLevel="0" collapsed="false">
      <c r="A1643" s="22" t="s">
        <v>21</v>
      </c>
      <c r="B1643" s="22" t="n">
        <v>7</v>
      </c>
      <c r="C1643" s="22" t="s">
        <v>176</v>
      </c>
      <c r="D1643" s="22" t="s">
        <v>32</v>
      </c>
      <c r="E1643" s="22" t="s">
        <v>7326</v>
      </c>
      <c r="F1643" s="22" t="n">
        <v>905956</v>
      </c>
      <c r="G1643" s="30" t="n">
        <v>46255</v>
      </c>
      <c r="H1643" s="22" t="n">
        <v>628064</v>
      </c>
      <c r="I1643" s="22" t="s">
        <v>8824</v>
      </c>
      <c r="J1643" s="31" t="n">
        <v>66.4</v>
      </c>
      <c r="K1643" s="26" t="n">
        <v>1077.35</v>
      </c>
      <c r="L1643" s="26" t="n">
        <v>269.03</v>
      </c>
      <c r="M1643" s="22" t="s">
        <v>5678</v>
      </c>
      <c r="N1643" s="22" t="n">
        <f aca="false">MATCH(M1643,'Tabela Passaro'!$A$2:$A$1795,0)</f>
        <v>1375</v>
      </c>
      <c r="O1643" s="22" t="str">
        <f aca="false">INDEX('Tabela Passaro'!$C$2:$C$1795,$N1643)</f>
        <v>PIRIPIRI</v>
      </c>
      <c r="P1643" s="22" t="str">
        <f aca="false">INDEX('Tabela Passaro'!$B$2:$B$1795,$N1643)</f>
        <v>PI</v>
      </c>
      <c r="Q1643" s="22" t="n">
        <f aca="false">INDEX('Tabela Passaro'!$F$2:$F$1795,$N1643)</f>
        <v>13</v>
      </c>
      <c r="R1643" s="32" t="n">
        <f aca="false">IF(J1643&lt;=10,INDEX('Tabela Passaro'!$G$2:$G$1795,$N1643),IF(J1643&lt;=30,INDEX('Tabela Passaro'!$H$2:$H$1795,$N1643),IF(J1643&lt;=50,INDEX('Tabela Passaro'!$I$2:$I$1795,$N1643),IF(J1643&lt;=70,INDEX('Tabela Passaro'!$J$2:$J$1795,$N1643),IF(J1643&lt;=100,INDEX('Tabela Passaro'!$K$2:$K$1795,$N1643),INDEX('Tabela Passaro'!$K$2:$K$1795,$N1643)+(J1643-100)*INDEX('Tabela Passaro'!$L$2:$L$1795,$N1643))))))</f>
        <v>252.78</v>
      </c>
      <c r="S1643" s="32" t="n">
        <f aca="false">K1643*INDEX('Tabela Passaro'!$M$2:$M$1795,$N1643)</f>
        <v>5.38675</v>
      </c>
      <c r="T1643" s="32" t="n">
        <f aca="false">K1643*INDEX('Tabela Passaro'!$N$2:$N$1795,$N1643)</f>
        <v>2.1547</v>
      </c>
      <c r="U1643" s="32" t="n">
        <f aca="false">INDEX('Tabela Passaro'!$O$2:$O$1795,$N1643)</f>
        <v>5</v>
      </c>
      <c r="V1643" s="32" t="n">
        <f aca="false">ROUNDUP(J1643/INDEX('Tabela Passaro'!$Q$2:$Q$1795,$N1643),0)*INDEX('Tabela Passaro'!$P$2:$P$1795,$N1643)</f>
        <v>5</v>
      </c>
      <c r="W1643" s="32" t="n">
        <f aca="false">INDEX('Tabela Passaro'!$R$2:$R$1795,$N1643)</f>
        <v>30</v>
      </c>
      <c r="X1643" s="32" t="n">
        <f aca="false">ROUNDUP(J1643/INDEX('Tabela Passaro'!$T$2:$T$1795,$N1643),0)*INDEX('Tabela Passaro'!$S$2:$S$1795,$N1643)</f>
        <v>0</v>
      </c>
      <c r="Y1643" s="32" t="n">
        <f aca="false">INDEX('Tabela Passaro'!$U$2:$U$1795,$N1643)</f>
        <v>0</v>
      </c>
      <c r="Z1643" s="32" t="n">
        <f aca="false">INDEX('Tabela Passaro'!$V$2:$V$1795,$N1643)</f>
        <v>0</v>
      </c>
      <c r="AA1643" s="32" t="n">
        <f aca="false">SUM(R1643:Z1643)</f>
        <v>300.32145</v>
      </c>
      <c r="AB1643" s="33" t="n">
        <f aca="false">INDEX(Premissas!$B$5:$B$13,MATCH(A1643,Premissas!$A$5:$A$13,0))</f>
        <v>0.07</v>
      </c>
      <c r="AC1643" s="32" t="n">
        <f aca="false">AA1643/(1-AB1643)-AA1643</f>
        <v>22.6048403225807</v>
      </c>
      <c r="AD1643" s="32" t="n">
        <f aca="false">ROUND(AA1643+AC1643,2)</f>
        <v>322.93</v>
      </c>
      <c r="AE1643" s="32" t="n">
        <f aca="false">AD1643-L1643</f>
        <v>53.9</v>
      </c>
      <c r="AF1643" s="34" t="n">
        <f aca="false">IF(L1643=0,0,AE1643/L1643)</f>
        <v>0.200349403412259</v>
      </c>
      <c r="AG1643" s="22" t="str">
        <f aca="false">IF(AD1643&lt;L1643,"PASSARO","ATUAL")</f>
        <v>ATUAL</v>
      </c>
      <c r="AH1643" s="22" t="str">
        <f aca="false">IF(P1643&lt;&gt;A1643,"Faixa cadastrada como "&amp;P1643&amp;" na tabela; preço aplicado pela UF do CEP","")</f>
        <v/>
      </c>
      <c r="AI1643" s="26" t="n">
        <v>361.21</v>
      </c>
      <c r="AJ1643" s="22" t="str">
        <f aca="false">INDEX('Tabela Passaro'!$X$2:$X$1795,$N1643)</f>
        <v>INTERIOR 1</v>
      </c>
    </row>
    <row r="1644" customFormat="false" ht="15" hidden="false" customHeight="false" outlineLevel="0" collapsed="false">
      <c r="A1644" s="22" t="s">
        <v>21</v>
      </c>
      <c r="B1644" s="22" t="n">
        <v>7</v>
      </c>
      <c r="C1644" s="22" t="s">
        <v>176</v>
      </c>
      <c r="D1644" s="22" t="s">
        <v>30</v>
      </c>
      <c r="E1644" s="22" t="s">
        <v>7328</v>
      </c>
      <c r="F1644" s="22" t="n">
        <v>2307457</v>
      </c>
      <c r="G1644" s="30" t="n">
        <v>46238</v>
      </c>
      <c r="H1644" s="22" t="n">
        <v>131315</v>
      </c>
      <c r="I1644" s="22" t="s">
        <v>8824</v>
      </c>
      <c r="J1644" s="31" t="n">
        <v>19.4</v>
      </c>
      <c r="K1644" s="26" t="n">
        <v>455.49</v>
      </c>
      <c r="L1644" s="26" t="n">
        <v>132.32</v>
      </c>
      <c r="M1644" s="22" t="s">
        <v>5678</v>
      </c>
      <c r="N1644" s="22" t="n">
        <f aca="false">MATCH(M1644,'Tabela Passaro'!$A$2:$A$1795,0)</f>
        <v>1375</v>
      </c>
      <c r="O1644" s="22" t="str">
        <f aca="false">INDEX('Tabela Passaro'!$C$2:$C$1795,$N1644)</f>
        <v>PIRIPIRI</v>
      </c>
      <c r="P1644" s="22" t="str">
        <f aca="false">INDEX('Tabela Passaro'!$B$2:$B$1795,$N1644)</f>
        <v>PI</v>
      </c>
      <c r="Q1644" s="22" t="n">
        <f aca="false">INDEX('Tabela Passaro'!$F$2:$F$1795,$N1644)</f>
        <v>13</v>
      </c>
      <c r="R1644" s="32" t="n">
        <f aca="false">IF(J1644&lt;=10,INDEX('Tabela Passaro'!$G$2:$G$1795,$N1644),IF(J1644&lt;=30,INDEX('Tabela Passaro'!$H$2:$H$1795,$N1644),IF(J1644&lt;=50,INDEX('Tabela Passaro'!$I$2:$I$1795,$N1644),IF(J1644&lt;=70,INDEX('Tabela Passaro'!$J$2:$J$1795,$N1644),IF(J1644&lt;=100,INDEX('Tabela Passaro'!$K$2:$K$1795,$N1644),INDEX('Tabela Passaro'!$K$2:$K$1795,$N1644)+(J1644-100)*INDEX('Tabela Passaro'!$L$2:$L$1795,$N1644))))))</f>
        <v>214.05</v>
      </c>
      <c r="S1644" s="32" t="n">
        <f aca="false">K1644*INDEX('Tabela Passaro'!$M$2:$M$1795,$N1644)</f>
        <v>2.27745</v>
      </c>
      <c r="T1644" s="32" t="n">
        <f aca="false">K1644*INDEX('Tabela Passaro'!$N$2:$N$1795,$N1644)</f>
        <v>0.91098</v>
      </c>
      <c r="U1644" s="32" t="n">
        <f aca="false">INDEX('Tabela Passaro'!$O$2:$O$1795,$N1644)</f>
        <v>5</v>
      </c>
      <c r="V1644" s="32" t="n">
        <f aca="false">ROUNDUP(J1644/INDEX('Tabela Passaro'!$Q$2:$Q$1795,$N1644),0)*INDEX('Tabela Passaro'!$P$2:$P$1795,$N1644)</f>
        <v>5</v>
      </c>
      <c r="W1644" s="32" t="n">
        <f aca="false">INDEX('Tabela Passaro'!$R$2:$R$1795,$N1644)</f>
        <v>30</v>
      </c>
      <c r="X1644" s="32" t="n">
        <f aca="false">ROUNDUP(J1644/INDEX('Tabela Passaro'!$T$2:$T$1795,$N1644),0)*INDEX('Tabela Passaro'!$S$2:$S$1795,$N1644)</f>
        <v>0</v>
      </c>
      <c r="Y1644" s="32" t="n">
        <f aca="false">INDEX('Tabela Passaro'!$U$2:$U$1795,$N1644)</f>
        <v>0</v>
      </c>
      <c r="Z1644" s="32" t="n">
        <f aca="false">INDEX('Tabela Passaro'!$V$2:$V$1795,$N1644)</f>
        <v>0</v>
      </c>
      <c r="AA1644" s="32" t="n">
        <f aca="false">SUM(R1644:Z1644)</f>
        <v>257.23843</v>
      </c>
      <c r="AB1644" s="33" t="n">
        <f aca="false">INDEX(Premissas!$B$5:$B$13,MATCH(A1644,Premissas!$A$5:$A$13,0))</f>
        <v>0.07</v>
      </c>
      <c r="AC1644" s="32" t="n">
        <f aca="false">AA1644/(1-AB1644)-AA1644</f>
        <v>19.3620323655914</v>
      </c>
      <c r="AD1644" s="32" t="n">
        <f aca="false">ROUND(AA1644+AC1644,2)</f>
        <v>276.6</v>
      </c>
      <c r="AE1644" s="32" t="n">
        <f aca="false">AD1644-L1644</f>
        <v>144.28</v>
      </c>
      <c r="AF1644" s="34" t="n">
        <f aca="false">IF(L1644=0,0,AE1644/L1644)</f>
        <v>1.0903869407497</v>
      </c>
      <c r="AG1644" s="22" t="str">
        <f aca="false">IF(AD1644&lt;L1644,"PASSARO","ATUAL")</f>
        <v>ATUAL</v>
      </c>
      <c r="AH1644" s="22" t="str">
        <f aca="false">IF(P1644&lt;&gt;A1644,"Faixa cadastrada como "&amp;P1644&amp;" na tabela; preço aplicado pela UF do CEP","")</f>
        <v/>
      </c>
      <c r="AI1644" s="26" t="n">
        <v>288.62</v>
      </c>
      <c r="AJ1644" s="22" t="str">
        <f aca="false">INDEX('Tabela Passaro'!$X$2:$X$1795,$N1644)</f>
        <v>INTERIOR 1</v>
      </c>
    </row>
    <row r="1645" customFormat="false" ht="15" hidden="false" customHeight="false" outlineLevel="0" collapsed="false">
      <c r="A1645" s="22" t="s">
        <v>21</v>
      </c>
      <c r="B1645" s="22" t="n">
        <v>7</v>
      </c>
      <c r="C1645" s="22" t="s">
        <v>176</v>
      </c>
      <c r="D1645" s="22" t="s">
        <v>30</v>
      </c>
      <c r="E1645" s="22" t="s">
        <v>7328</v>
      </c>
      <c r="F1645" s="22" t="n">
        <v>2309879</v>
      </c>
      <c r="G1645" s="30" t="n">
        <v>46244</v>
      </c>
      <c r="H1645" s="22" t="n">
        <v>132358</v>
      </c>
      <c r="I1645" s="22" t="s">
        <v>8824</v>
      </c>
      <c r="J1645" s="31" t="n">
        <v>66.4</v>
      </c>
      <c r="K1645" s="26" t="n">
        <v>974.84</v>
      </c>
      <c r="L1645" s="26" t="n">
        <v>229.26</v>
      </c>
      <c r="M1645" s="22" t="s">
        <v>5678</v>
      </c>
      <c r="N1645" s="22" t="n">
        <f aca="false">MATCH(M1645,'Tabela Passaro'!$A$2:$A$1795,0)</f>
        <v>1375</v>
      </c>
      <c r="O1645" s="22" t="str">
        <f aca="false">INDEX('Tabela Passaro'!$C$2:$C$1795,$N1645)</f>
        <v>PIRIPIRI</v>
      </c>
      <c r="P1645" s="22" t="str">
        <f aca="false">INDEX('Tabela Passaro'!$B$2:$B$1795,$N1645)</f>
        <v>PI</v>
      </c>
      <c r="Q1645" s="22" t="n">
        <f aca="false">INDEX('Tabela Passaro'!$F$2:$F$1795,$N1645)</f>
        <v>13</v>
      </c>
      <c r="R1645" s="32" t="n">
        <f aca="false">IF(J1645&lt;=10,INDEX('Tabela Passaro'!$G$2:$G$1795,$N1645),IF(J1645&lt;=30,INDEX('Tabela Passaro'!$H$2:$H$1795,$N1645),IF(J1645&lt;=50,INDEX('Tabela Passaro'!$I$2:$I$1795,$N1645),IF(J1645&lt;=70,INDEX('Tabela Passaro'!$J$2:$J$1795,$N1645),IF(J1645&lt;=100,INDEX('Tabela Passaro'!$K$2:$K$1795,$N1645),INDEX('Tabela Passaro'!$K$2:$K$1795,$N1645)+(J1645-100)*INDEX('Tabela Passaro'!$L$2:$L$1795,$N1645))))))</f>
        <v>252.78</v>
      </c>
      <c r="S1645" s="32" t="n">
        <f aca="false">K1645*INDEX('Tabela Passaro'!$M$2:$M$1795,$N1645)</f>
        <v>4.8742</v>
      </c>
      <c r="T1645" s="32" t="n">
        <f aca="false">K1645*INDEX('Tabela Passaro'!$N$2:$N$1795,$N1645)</f>
        <v>1.94968</v>
      </c>
      <c r="U1645" s="32" t="n">
        <f aca="false">INDEX('Tabela Passaro'!$O$2:$O$1795,$N1645)</f>
        <v>5</v>
      </c>
      <c r="V1645" s="32" t="n">
        <f aca="false">ROUNDUP(J1645/INDEX('Tabela Passaro'!$Q$2:$Q$1795,$N1645),0)*INDEX('Tabela Passaro'!$P$2:$P$1795,$N1645)</f>
        <v>5</v>
      </c>
      <c r="W1645" s="32" t="n">
        <f aca="false">INDEX('Tabela Passaro'!$R$2:$R$1795,$N1645)</f>
        <v>30</v>
      </c>
      <c r="X1645" s="32" t="n">
        <f aca="false">ROUNDUP(J1645/INDEX('Tabela Passaro'!$T$2:$T$1795,$N1645),0)*INDEX('Tabela Passaro'!$S$2:$S$1795,$N1645)</f>
        <v>0</v>
      </c>
      <c r="Y1645" s="32" t="n">
        <f aca="false">INDEX('Tabela Passaro'!$U$2:$U$1795,$N1645)</f>
        <v>0</v>
      </c>
      <c r="Z1645" s="32" t="n">
        <f aca="false">INDEX('Tabela Passaro'!$V$2:$V$1795,$N1645)</f>
        <v>0</v>
      </c>
      <c r="AA1645" s="32" t="n">
        <f aca="false">SUM(R1645:Z1645)</f>
        <v>299.60388</v>
      </c>
      <c r="AB1645" s="33" t="n">
        <f aca="false">INDEX(Premissas!$B$5:$B$13,MATCH(A1645,Premissas!$A$5:$A$13,0))</f>
        <v>0.07</v>
      </c>
      <c r="AC1645" s="32" t="n">
        <f aca="false">AA1645/(1-AB1645)-AA1645</f>
        <v>22.5508296774194</v>
      </c>
      <c r="AD1645" s="32" t="n">
        <f aca="false">ROUND(AA1645+AC1645,2)</f>
        <v>322.15</v>
      </c>
      <c r="AE1645" s="32" t="n">
        <f aca="false">AD1645-L1645</f>
        <v>92.89</v>
      </c>
      <c r="AF1645" s="34" t="n">
        <f aca="false">IF(L1645=0,0,AE1645/L1645)</f>
        <v>0.405173165837913</v>
      </c>
      <c r="AG1645" s="22" t="str">
        <f aca="false">IF(AD1645&lt;L1645,"PASSARO","ATUAL")</f>
        <v>ATUAL</v>
      </c>
      <c r="AH1645" s="22" t="str">
        <f aca="false">IF(P1645&lt;&gt;A1645,"Faixa cadastrada como "&amp;P1645&amp;" na tabela; preço aplicado pela UF do CEP","")</f>
        <v/>
      </c>
      <c r="AI1645" s="26" t="n">
        <v>360.22</v>
      </c>
      <c r="AJ1645" s="22" t="str">
        <f aca="false">INDEX('Tabela Passaro'!$X$2:$X$1795,$N1645)</f>
        <v>INTERIOR 1</v>
      </c>
    </row>
    <row r="1646" customFormat="false" ht="15" hidden="false" customHeight="false" outlineLevel="0" collapsed="false">
      <c r="A1646" s="22" t="s">
        <v>21</v>
      </c>
      <c r="B1646" s="22" t="n">
        <v>8</v>
      </c>
      <c r="C1646" s="22" t="s">
        <v>178</v>
      </c>
      <c r="D1646" s="22" t="s">
        <v>30</v>
      </c>
      <c r="E1646" s="22" t="s">
        <v>7328</v>
      </c>
      <c r="F1646" s="22" t="n">
        <v>2309833</v>
      </c>
      <c r="G1646" s="30" t="n">
        <v>46244</v>
      </c>
      <c r="H1646" s="22" t="n">
        <v>132172</v>
      </c>
      <c r="I1646" s="22" t="s">
        <v>8825</v>
      </c>
      <c r="J1646" s="31" t="n">
        <v>27.6</v>
      </c>
      <c r="K1646" s="26" t="n">
        <v>783.46</v>
      </c>
      <c r="L1646" s="26" t="n">
        <v>134.91</v>
      </c>
      <c r="M1646" s="22" t="s">
        <v>5553</v>
      </c>
      <c r="N1646" s="22" t="n">
        <f aca="false">MATCH(M1646,'Tabela Passaro'!$A$2:$A$1795,0)</f>
        <v>1343</v>
      </c>
      <c r="O1646" s="22" t="str">
        <f aca="false">INDEX('Tabela Passaro'!$C$2:$C$1795,$N1646)</f>
        <v>CAMPO MAIOR</v>
      </c>
      <c r="P1646" s="22" t="str">
        <f aca="false">INDEX('Tabela Passaro'!$B$2:$B$1795,$N1646)</f>
        <v>PI</v>
      </c>
      <c r="Q1646" s="22" t="n">
        <f aca="false">INDEX('Tabela Passaro'!$F$2:$F$1795,$N1646)</f>
        <v>13</v>
      </c>
      <c r="R1646" s="32" t="n">
        <f aca="false">IF(J1646&lt;=10,INDEX('Tabela Passaro'!$G$2:$G$1795,$N1646),IF(J1646&lt;=30,INDEX('Tabela Passaro'!$H$2:$H$1795,$N1646),IF(J1646&lt;=50,INDEX('Tabela Passaro'!$I$2:$I$1795,$N1646),IF(J1646&lt;=70,INDEX('Tabela Passaro'!$J$2:$J$1795,$N1646),IF(J1646&lt;=100,INDEX('Tabela Passaro'!$K$2:$K$1795,$N1646),INDEX('Tabela Passaro'!$K$2:$K$1795,$N1646)+(J1646-100)*INDEX('Tabela Passaro'!$L$2:$L$1795,$N1646))))))</f>
        <v>214.05</v>
      </c>
      <c r="S1646" s="32" t="n">
        <f aca="false">K1646*INDEX('Tabela Passaro'!$M$2:$M$1795,$N1646)</f>
        <v>3.9173</v>
      </c>
      <c r="T1646" s="32" t="n">
        <f aca="false">K1646*INDEX('Tabela Passaro'!$N$2:$N$1795,$N1646)</f>
        <v>1.56692</v>
      </c>
      <c r="U1646" s="32" t="n">
        <f aca="false">INDEX('Tabela Passaro'!$O$2:$O$1795,$N1646)</f>
        <v>5</v>
      </c>
      <c r="V1646" s="32" t="n">
        <f aca="false">ROUNDUP(J1646/INDEX('Tabela Passaro'!$Q$2:$Q$1795,$N1646),0)*INDEX('Tabela Passaro'!$P$2:$P$1795,$N1646)</f>
        <v>5</v>
      </c>
      <c r="W1646" s="32" t="n">
        <f aca="false">INDEX('Tabela Passaro'!$R$2:$R$1795,$N1646)</f>
        <v>30</v>
      </c>
      <c r="X1646" s="32" t="n">
        <f aca="false">ROUNDUP(J1646/INDEX('Tabela Passaro'!$T$2:$T$1795,$N1646),0)*INDEX('Tabela Passaro'!$S$2:$S$1795,$N1646)</f>
        <v>0</v>
      </c>
      <c r="Y1646" s="32" t="n">
        <f aca="false">INDEX('Tabela Passaro'!$U$2:$U$1795,$N1646)</f>
        <v>0</v>
      </c>
      <c r="Z1646" s="32" t="n">
        <f aca="false">INDEX('Tabela Passaro'!$V$2:$V$1795,$N1646)</f>
        <v>0</v>
      </c>
      <c r="AA1646" s="32" t="n">
        <f aca="false">SUM(R1646:Z1646)</f>
        <v>259.53422</v>
      </c>
      <c r="AB1646" s="33" t="n">
        <f aca="false">INDEX(Premissas!$B$5:$B$13,MATCH(A1646,Premissas!$A$5:$A$13,0))</f>
        <v>0.07</v>
      </c>
      <c r="AC1646" s="32" t="n">
        <f aca="false">AA1646/(1-AB1646)-AA1646</f>
        <v>19.5348337634409</v>
      </c>
      <c r="AD1646" s="32" t="n">
        <f aca="false">ROUND(AA1646+AC1646,2)</f>
        <v>279.07</v>
      </c>
      <c r="AE1646" s="32" t="n">
        <f aca="false">AD1646-L1646</f>
        <v>144.16</v>
      </c>
      <c r="AF1646" s="34" t="n">
        <f aca="false">IF(L1646=0,0,AE1646/L1646)</f>
        <v>1.06856422800385</v>
      </c>
      <c r="AG1646" s="22" t="str">
        <f aca="false">IF(AD1646&lt;L1646,"PASSARO","ATUAL")</f>
        <v>ATUAL</v>
      </c>
      <c r="AH1646" s="22" t="str">
        <f aca="false">IF(P1646&lt;&gt;A1646,"Faixa cadastrada como "&amp;P1646&amp;" na tabela; preço aplicado pela UF do CEP","")</f>
        <v/>
      </c>
      <c r="AI1646" s="26" t="n">
        <v>295.67</v>
      </c>
      <c r="AJ1646" s="22" t="str">
        <f aca="false">INDEX('Tabela Passaro'!$X$2:$X$1795,$N1646)</f>
        <v>INTERIOR 1</v>
      </c>
    </row>
    <row r="1647" customFormat="false" ht="15" hidden="false" customHeight="false" outlineLevel="0" collapsed="false">
      <c r="A1647" s="22" t="s">
        <v>21</v>
      </c>
      <c r="B1647" s="22" t="n">
        <v>8</v>
      </c>
      <c r="C1647" s="22" t="s">
        <v>178</v>
      </c>
      <c r="D1647" s="22" t="s">
        <v>30</v>
      </c>
      <c r="E1647" s="22" t="s">
        <v>7328</v>
      </c>
      <c r="F1647" s="22" t="n">
        <v>2311289</v>
      </c>
      <c r="G1647" s="30" t="n">
        <v>46246</v>
      </c>
      <c r="H1647" s="22" t="n">
        <v>132742</v>
      </c>
      <c r="I1647" s="22" t="s">
        <v>8825</v>
      </c>
      <c r="J1647" s="31" t="n">
        <v>59.9</v>
      </c>
      <c r="K1647" s="26" t="n">
        <v>1081.49</v>
      </c>
      <c r="L1647" s="26" t="n">
        <v>230.11</v>
      </c>
      <c r="M1647" s="22" t="s">
        <v>5553</v>
      </c>
      <c r="N1647" s="22" t="n">
        <f aca="false">MATCH(M1647,'Tabela Passaro'!$A$2:$A$1795,0)</f>
        <v>1343</v>
      </c>
      <c r="O1647" s="22" t="str">
        <f aca="false">INDEX('Tabela Passaro'!$C$2:$C$1795,$N1647)</f>
        <v>CAMPO MAIOR</v>
      </c>
      <c r="P1647" s="22" t="str">
        <f aca="false">INDEX('Tabela Passaro'!$B$2:$B$1795,$N1647)</f>
        <v>PI</v>
      </c>
      <c r="Q1647" s="22" t="n">
        <f aca="false">INDEX('Tabela Passaro'!$F$2:$F$1795,$N1647)</f>
        <v>13</v>
      </c>
      <c r="R1647" s="32" t="n">
        <f aca="false">IF(J1647&lt;=10,INDEX('Tabela Passaro'!$G$2:$G$1795,$N1647),IF(J1647&lt;=30,INDEX('Tabela Passaro'!$H$2:$H$1795,$N1647),IF(J1647&lt;=50,INDEX('Tabela Passaro'!$I$2:$I$1795,$N1647),IF(J1647&lt;=70,INDEX('Tabela Passaro'!$J$2:$J$1795,$N1647),IF(J1647&lt;=100,INDEX('Tabela Passaro'!$K$2:$K$1795,$N1647),INDEX('Tabela Passaro'!$K$2:$K$1795,$N1647)+(J1647-100)*INDEX('Tabela Passaro'!$L$2:$L$1795,$N1647))))))</f>
        <v>252.78</v>
      </c>
      <c r="S1647" s="32" t="n">
        <f aca="false">K1647*INDEX('Tabela Passaro'!$M$2:$M$1795,$N1647)</f>
        <v>5.40745</v>
      </c>
      <c r="T1647" s="32" t="n">
        <f aca="false">K1647*INDEX('Tabela Passaro'!$N$2:$N$1795,$N1647)</f>
        <v>2.16298</v>
      </c>
      <c r="U1647" s="32" t="n">
        <f aca="false">INDEX('Tabela Passaro'!$O$2:$O$1795,$N1647)</f>
        <v>5</v>
      </c>
      <c r="V1647" s="32" t="n">
        <f aca="false">ROUNDUP(J1647/INDEX('Tabela Passaro'!$Q$2:$Q$1795,$N1647),0)*INDEX('Tabela Passaro'!$P$2:$P$1795,$N1647)</f>
        <v>5</v>
      </c>
      <c r="W1647" s="32" t="n">
        <f aca="false">INDEX('Tabela Passaro'!$R$2:$R$1795,$N1647)</f>
        <v>30</v>
      </c>
      <c r="X1647" s="32" t="n">
        <f aca="false">ROUNDUP(J1647/INDEX('Tabela Passaro'!$T$2:$T$1795,$N1647),0)*INDEX('Tabela Passaro'!$S$2:$S$1795,$N1647)</f>
        <v>0</v>
      </c>
      <c r="Y1647" s="32" t="n">
        <f aca="false">INDEX('Tabela Passaro'!$U$2:$U$1795,$N1647)</f>
        <v>0</v>
      </c>
      <c r="Z1647" s="32" t="n">
        <f aca="false">INDEX('Tabela Passaro'!$V$2:$V$1795,$N1647)</f>
        <v>0</v>
      </c>
      <c r="AA1647" s="32" t="n">
        <f aca="false">SUM(R1647:Z1647)</f>
        <v>300.35043</v>
      </c>
      <c r="AB1647" s="33" t="n">
        <f aca="false">INDEX(Premissas!$B$5:$B$13,MATCH(A1647,Premissas!$A$5:$A$13,0))</f>
        <v>0.07</v>
      </c>
      <c r="AC1647" s="32" t="n">
        <f aca="false">AA1647/(1-AB1647)-AA1647</f>
        <v>22.6070216129032</v>
      </c>
      <c r="AD1647" s="32" t="n">
        <f aca="false">ROUND(AA1647+AC1647,2)</f>
        <v>322.96</v>
      </c>
      <c r="AE1647" s="32" t="n">
        <f aca="false">AD1647-L1647</f>
        <v>92.85</v>
      </c>
      <c r="AF1647" s="34" t="n">
        <f aca="false">IF(L1647=0,0,AE1647/L1647)</f>
        <v>0.403502672634827</v>
      </c>
      <c r="AG1647" s="22" t="str">
        <f aca="false">IF(AD1647&lt;L1647,"PASSARO","ATUAL")</f>
        <v>ATUAL</v>
      </c>
      <c r="AH1647" s="22" t="str">
        <f aca="false">IF(P1647&lt;&gt;A1647,"Faixa cadastrada como "&amp;P1647&amp;" na tabela; preço aplicado pela UF do CEP","")</f>
        <v/>
      </c>
      <c r="AI1647" s="26" t="n">
        <v>357.86</v>
      </c>
      <c r="AJ1647" s="22" t="str">
        <f aca="false">INDEX('Tabela Passaro'!$X$2:$X$1795,$N1647)</f>
        <v>INTERIOR 1</v>
      </c>
    </row>
    <row r="1648" customFormat="false" ht="15" hidden="false" customHeight="false" outlineLevel="0" collapsed="false">
      <c r="A1648" s="22" t="s">
        <v>21</v>
      </c>
      <c r="B1648" s="22" t="n">
        <v>8</v>
      </c>
      <c r="C1648" s="22" t="s">
        <v>178</v>
      </c>
      <c r="D1648" s="22" t="s">
        <v>30</v>
      </c>
      <c r="E1648" s="22" t="s">
        <v>7328</v>
      </c>
      <c r="F1648" s="22" t="n">
        <v>2312349</v>
      </c>
      <c r="G1648" s="30" t="n">
        <v>46248</v>
      </c>
      <c r="H1648" s="22" t="n">
        <v>133256</v>
      </c>
      <c r="I1648" s="22" t="s">
        <v>8825</v>
      </c>
      <c r="J1648" s="31" t="n">
        <v>39</v>
      </c>
      <c r="K1648" s="26" t="n">
        <v>670.79</v>
      </c>
      <c r="L1648" s="26" t="n">
        <v>178.33</v>
      </c>
      <c r="M1648" s="22" t="s">
        <v>5553</v>
      </c>
      <c r="N1648" s="22" t="n">
        <f aca="false">MATCH(M1648,'Tabela Passaro'!$A$2:$A$1795,0)</f>
        <v>1343</v>
      </c>
      <c r="O1648" s="22" t="str">
        <f aca="false">INDEX('Tabela Passaro'!$C$2:$C$1795,$N1648)</f>
        <v>CAMPO MAIOR</v>
      </c>
      <c r="P1648" s="22" t="str">
        <f aca="false">INDEX('Tabela Passaro'!$B$2:$B$1795,$N1648)</f>
        <v>PI</v>
      </c>
      <c r="Q1648" s="22" t="n">
        <f aca="false">INDEX('Tabela Passaro'!$F$2:$F$1795,$N1648)</f>
        <v>13</v>
      </c>
      <c r="R1648" s="32" t="n">
        <f aca="false">IF(J1648&lt;=10,INDEX('Tabela Passaro'!$G$2:$G$1795,$N1648),IF(J1648&lt;=30,INDEX('Tabela Passaro'!$H$2:$H$1795,$N1648),IF(J1648&lt;=50,INDEX('Tabela Passaro'!$I$2:$I$1795,$N1648),IF(J1648&lt;=70,INDEX('Tabela Passaro'!$J$2:$J$1795,$N1648),IF(J1648&lt;=100,INDEX('Tabela Passaro'!$K$2:$K$1795,$N1648),INDEX('Tabela Passaro'!$K$2:$K$1795,$N1648)+(J1648-100)*INDEX('Tabela Passaro'!$L$2:$L$1795,$N1648))))))</f>
        <v>236.18</v>
      </c>
      <c r="S1648" s="32" t="n">
        <f aca="false">K1648*INDEX('Tabela Passaro'!$M$2:$M$1795,$N1648)</f>
        <v>3.35395</v>
      </c>
      <c r="T1648" s="32" t="n">
        <f aca="false">K1648*INDEX('Tabela Passaro'!$N$2:$N$1795,$N1648)</f>
        <v>1.34158</v>
      </c>
      <c r="U1648" s="32" t="n">
        <f aca="false">INDEX('Tabela Passaro'!$O$2:$O$1795,$N1648)</f>
        <v>5</v>
      </c>
      <c r="V1648" s="32" t="n">
        <f aca="false">ROUNDUP(J1648/INDEX('Tabela Passaro'!$Q$2:$Q$1795,$N1648),0)*INDEX('Tabela Passaro'!$P$2:$P$1795,$N1648)</f>
        <v>5</v>
      </c>
      <c r="W1648" s="32" t="n">
        <f aca="false">INDEX('Tabela Passaro'!$R$2:$R$1795,$N1648)</f>
        <v>30</v>
      </c>
      <c r="X1648" s="32" t="n">
        <f aca="false">ROUNDUP(J1648/INDEX('Tabela Passaro'!$T$2:$T$1795,$N1648),0)*INDEX('Tabela Passaro'!$S$2:$S$1795,$N1648)</f>
        <v>0</v>
      </c>
      <c r="Y1648" s="32" t="n">
        <f aca="false">INDEX('Tabela Passaro'!$U$2:$U$1795,$N1648)</f>
        <v>0</v>
      </c>
      <c r="Z1648" s="32" t="n">
        <f aca="false">INDEX('Tabela Passaro'!$V$2:$V$1795,$N1648)</f>
        <v>0</v>
      </c>
      <c r="AA1648" s="32" t="n">
        <f aca="false">SUM(R1648:Z1648)</f>
        <v>280.87553</v>
      </c>
      <c r="AB1648" s="33" t="n">
        <f aca="false">INDEX(Premissas!$B$5:$B$13,MATCH(A1648,Premissas!$A$5:$A$13,0))</f>
        <v>0.07</v>
      </c>
      <c r="AC1648" s="32" t="n">
        <f aca="false">AA1648/(1-AB1648)-AA1648</f>
        <v>21.1411689247312</v>
      </c>
      <c r="AD1648" s="32" t="n">
        <f aca="false">ROUND(AA1648+AC1648,2)</f>
        <v>302.02</v>
      </c>
      <c r="AE1648" s="32" t="n">
        <f aca="false">AD1648-L1648</f>
        <v>123.69</v>
      </c>
      <c r="AF1648" s="34" t="n">
        <f aca="false">IF(L1648=0,0,AE1648/L1648)</f>
        <v>0.693601749565412</v>
      </c>
      <c r="AG1648" s="22" t="str">
        <f aca="false">IF(AD1648&lt;L1648,"PASSARO","ATUAL")</f>
        <v>ATUAL</v>
      </c>
      <c r="AH1648" s="22" t="str">
        <f aca="false">IF(P1648&lt;&gt;A1648,"Faixa cadastrada como "&amp;P1648&amp;" na tabela; preço aplicado pela UF do CEP","")</f>
        <v/>
      </c>
      <c r="AI1648" s="26" t="n">
        <v>324.94</v>
      </c>
      <c r="AJ1648" s="22" t="str">
        <f aca="false">INDEX('Tabela Passaro'!$X$2:$X$1795,$N1648)</f>
        <v>INTERIOR 1</v>
      </c>
    </row>
    <row r="1649" customFormat="false" ht="15" hidden="false" customHeight="false" outlineLevel="0" collapsed="false">
      <c r="A1649" s="22" t="s">
        <v>21</v>
      </c>
      <c r="B1649" s="22" t="n">
        <v>8</v>
      </c>
      <c r="C1649" s="22" t="s">
        <v>178</v>
      </c>
      <c r="D1649" s="22" t="s">
        <v>30</v>
      </c>
      <c r="E1649" s="22" t="s">
        <v>7328</v>
      </c>
      <c r="F1649" s="22" t="n">
        <v>2315779</v>
      </c>
      <c r="G1649" s="30" t="n">
        <v>46258</v>
      </c>
      <c r="H1649" s="22" t="n">
        <v>134935</v>
      </c>
      <c r="I1649" s="22" t="s">
        <v>8825</v>
      </c>
      <c r="J1649" s="31" t="n">
        <v>66.4</v>
      </c>
      <c r="K1649" s="26" t="n">
        <v>1043.72</v>
      </c>
      <c r="L1649" s="26" t="n">
        <v>229.81</v>
      </c>
      <c r="M1649" s="22" t="s">
        <v>5553</v>
      </c>
      <c r="N1649" s="22" t="n">
        <f aca="false">MATCH(M1649,'Tabela Passaro'!$A$2:$A$1795,0)</f>
        <v>1343</v>
      </c>
      <c r="O1649" s="22" t="str">
        <f aca="false">INDEX('Tabela Passaro'!$C$2:$C$1795,$N1649)</f>
        <v>CAMPO MAIOR</v>
      </c>
      <c r="P1649" s="22" t="str">
        <f aca="false">INDEX('Tabela Passaro'!$B$2:$B$1795,$N1649)</f>
        <v>PI</v>
      </c>
      <c r="Q1649" s="22" t="n">
        <f aca="false">INDEX('Tabela Passaro'!$F$2:$F$1795,$N1649)</f>
        <v>13</v>
      </c>
      <c r="R1649" s="32" t="n">
        <f aca="false">IF(J1649&lt;=10,INDEX('Tabela Passaro'!$G$2:$G$1795,$N1649),IF(J1649&lt;=30,INDEX('Tabela Passaro'!$H$2:$H$1795,$N1649),IF(J1649&lt;=50,INDEX('Tabela Passaro'!$I$2:$I$1795,$N1649),IF(J1649&lt;=70,INDEX('Tabela Passaro'!$J$2:$J$1795,$N1649),IF(J1649&lt;=100,INDEX('Tabela Passaro'!$K$2:$K$1795,$N1649),INDEX('Tabela Passaro'!$K$2:$K$1795,$N1649)+(J1649-100)*INDEX('Tabela Passaro'!$L$2:$L$1795,$N1649))))))</f>
        <v>252.78</v>
      </c>
      <c r="S1649" s="32" t="n">
        <f aca="false">K1649*INDEX('Tabela Passaro'!$M$2:$M$1795,$N1649)</f>
        <v>5.2186</v>
      </c>
      <c r="T1649" s="32" t="n">
        <f aca="false">K1649*INDEX('Tabela Passaro'!$N$2:$N$1795,$N1649)</f>
        <v>2.08744</v>
      </c>
      <c r="U1649" s="32" t="n">
        <f aca="false">INDEX('Tabela Passaro'!$O$2:$O$1795,$N1649)</f>
        <v>5</v>
      </c>
      <c r="V1649" s="32" t="n">
        <f aca="false">ROUNDUP(J1649/INDEX('Tabela Passaro'!$Q$2:$Q$1795,$N1649),0)*INDEX('Tabela Passaro'!$P$2:$P$1795,$N1649)</f>
        <v>5</v>
      </c>
      <c r="W1649" s="32" t="n">
        <f aca="false">INDEX('Tabela Passaro'!$R$2:$R$1795,$N1649)</f>
        <v>30</v>
      </c>
      <c r="X1649" s="32" t="n">
        <f aca="false">ROUNDUP(J1649/INDEX('Tabela Passaro'!$T$2:$T$1795,$N1649),0)*INDEX('Tabela Passaro'!$S$2:$S$1795,$N1649)</f>
        <v>0</v>
      </c>
      <c r="Y1649" s="32" t="n">
        <f aca="false">INDEX('Tabela Passaro'!$U$2:$U$1795,$N1649)</f>
        <v>0</v>
      </c>
      <c r="Z1649" s="32" t="n">
        <f aca="false">INDEX('Tabela Passaro'!$V$2:$V$1795,$N1649)</f>
        <v>0</v>
      </c>
      <c r="AA1649" s="32" t="n">
        <f aca="false">SUM(R1649:Z1649)</f>
        <v>300.08604</v>
      </c>
      <c r="AB1649" s="33" t="n">
        <f aca="false">INDEX(Premissas!$B$5:$B$13,MATCH(A1649,Premissas!$A$5:$A$13,0))</f>
        <v>0.07</v>
      </c>
      <c r="AC1649" s="32" t="n">
        <f aca="false">AA1649/(1-AB1649)-AA1649</f>
        <v>22.5871212903226</v>
      </c>
      <c r="AD1649" s="32" t="n">
        <f aca="false">ROUND(AA1649+AC1649,2)</f>
        <v>322.67</v>
      </c>
      <c r="AE1649" s="32" t="n">
        <f aca="false">AD1649-L1649</f>
        <v>92.86</v>
      </c>
      <c r="AF1649" s="34" t="n">
        <f aca="false">IF(L1649=0,0,AE1649/L1649)</f>
        <v>0.404072929811584</v>
      </c>
      <c r="AG1649" s="22" t="str">
        <f aca="false">IF(AD1649&lt;L1649,"PASSARO","ATUAL")</f>
        <v>ATUAL</v>
      </c>
      <c r="AH1649" s="22" t="str">
        <f aca="false">IF(P1649&lt;&gt;A1649,"Faixa cadastrada como "&amp;P1649&amp;" na tabela; preço aplicado pela UF do CEP","")</f>
        <v/>
      </c>
      <c r="AI1649" s="26" t="n">
        <v>360.89</v>
      </c>
      <c r="AJ1649" s="22" t="str">
        <f aca="false">INDEX('Tabela Passaro'!$X$2:$X$1795,$N1649)</f>
        <v>INTERIOR 1</v>
      </c>
    </row>
    <row r="1650" customFormat="false" ht="15" hidden="false" customHeight="false" outlineLevel="0" collapsed="false">
      <c r="A1650" s="22" t="s">
        <v>21</v>
      </c>
      <c r="B1650" s="22" t="n">
        <v>9</v>
      </c>
      <c r="C1650" s="22" t="s">
        <v>179</v>
      </c>
      <c r="D1650" s="22" t="s">
        <v>32</v>
      </c>
      <c r="E1650" s="22" t="s">
        <v>7326</v>
      </c>
      <c r="F1650" s="22" t="n">
        <v>900852</v>
      </c>
      <c r="G1650" s="30" t="n">
        <v>46238</v>
      </c>
      <c r="H1650" s="22" t="n">
        <v>619955</v>
      </c>
      <c r="I1650" s="22" t="s">
        <v>8826</v>
      </c>
      <c r="J1650" s="31" t="n">
        <v>104.7</v>
      </c>
      <c r="K1650" s="26" t="n">
        <v>1733.35</v>
      </c>
      <c r="L1650" s="26" t="n">
        <v>362.28</v>
      </c>
      <c r="M1650" s="22" t="s">
        <v>5961</v>
      </c>
      <c r="N1650" s="22" t="n">
        <f aca="false">MATCH(M1650,'Tabela Passaro'!$A$2:$A$1795,0)</f>
        <v>1447</v>
      </c>
      <c r="O1650" s="22" t="str">
        <f aca="false">INDEX('Tabela Passaro'!$C$2:$C$1795,$N1650)</f>
        <v>FLORIANO</v>
      </c>
      <c r="P1650" s="22" t="str">
        <f aca="false">INDEX('Tabela Passaro'!$B$2:$B$1795,$N1650)</f>
        <v>PI</v>
      </c>
      <c r="Q1650" s="22" t="n">
        <f aca="false">INDEX('Tabela Passaro'!$F$2:$F$1795,$N1650)</f>
        <v>15</v>
      </c>
      <c r="R1650" s="32" t="n">
        <f aca="false">IF(J1650&lt;=10,INDEX('Tabela Passaro'!$G$2:$G$1795,$N1650),IF(J1650&lt;=30,INDEX('Tabela Passaro'!$H$2:$H$1795,$N1650),IF(J1650&lt;=50,INDEX('Tabela Passaro'!$I$2:$I$1795,$N1650),IF(J1650&lt;=70,INDEX('Tabela Passaro'!$J$2:$J$1795,$N1650),IF(J1650&lt;=100,INDEX('Tabela Passaro'!$K$2:$K$1795,$N1650),INDEX('Tabela Passaro'!$K$2:$K$1795,$N1650)+(J1650-100)*INDEX('Tabela Passaro'!$L$2:$L$1795,$N1650))))))</f>
        <v>308.592</v>
      </c>
      <c r="S1650" s="32" t="n">
        <f aca="false">K1650*INDEX('Tabela Passaro'!$M$2:$M$1795,$N1650)</f>
        <v>8.66675</v>
      </c>
      <c r="T1650" s="32" t="n">
        <f aca="false">K1650*INDEX('Tabela Passaro'!$N$2:$N$1795,$N1650)</f>
        <v>3.4667</v>
      </c>
      <c r="U1650" s="32" t="n">
        <f aca="false">INDEX('Tabela Passaro'!$O$2:$O$1795,$N1650)</f>
        <v>5</v>
      </c>
      <c r="V1650" s="32" t="n">
        <f aca="false">ROUNDUP(J1650/INDEX('Tabela Passaro'!$Q$2:$Q$1795,$N1650),0)*INDEX('Tabela Passaro'!$P$2:$P$1795,$N1650)</f>
        <v>10</v>
      </c>
      <c r="W1650" s="32" t="n">
        <f aca="false">INDEX('Tabela Passaro'!$R$2:$R$1795,$N1650)</f>
        <v>30</v>
      </c>
      <c r="X1650" s="32" t="n">
        <f aca="false">ROUNDUP(J1650/INDEX('Tabela Passaro'!$T$2:$T$1795,$N1650),0)*INDEX('Tabela Passaro'!$S$2:$S$1795,$N1650)</f>
        <v>0</v>
      </c>
      <c r="Y1650" s="32" t="n">
        <f aca="false">INDEX('Tabela Passaro'!$U$2:$U$1795,$N1650)</f>
        <v>0</v>
      </c>
      <c r="Z1650" s="32" t="n">
        <f aca="false">INDEX('Tabela Passaro'!$V$2:$V$1795,$N1650)</f>
        <v>400</v>
      </c>
      <c r="AA1650" s="32" t="n">
        <f aca="false">SUM(R1650:Z1650)</f>
        <v>765.72545</v>
      </c>
      <c r="AB1650" s="33" t="n">
        <f aca="false">INDEX(Premissas!$B$5:$B$13,MATCH(A1650,Premissas!$A$5:$A$13,0))</f>
        <v>0.07</v>
      </c>
      <c r="AC1650" s="32" t="n">
        <f aca="false">AA1650/(1-AB1650)-AA1650</f>
        <v>57.6352489247313</v>
      </c>
      <c r="AD1650" s="32" t="n">
        <f aca="false">ROUND(AA1650+AC1650,2)</f>
        <v>823.36</v>
      </c>
      <c r="AE1650" s="32" t="n">
        <f aca="false">AD1650-L1650</f>
        <v>461.08</v>
      </c>
      <c r="AF1650" s="34" t="n">
        <f aca="false">IF(L1650=0,0,AE1650/L1650)</f>
        <v>1.27271723528762</v>
      </c>
      <c r="AG1650" s="22" t="str">
        <f aca="false">IF(AD1650&lt;L1650,"PASSARO","ATUAL")</f>
        <v>ATUAL</v>
      </c>
      <c r="AH1650" s="22" t="str">
        <f aca="false">IF(P1650&lt;&gt;A1650,"Faixa cadastrada como "&amp;P1650&amp;" na tabela; preço aplicado pela UF do CEP","")</f>
        <v/>
      </c>
      <c r="AI1650" s="26" t="n">
        <v>885.54</v>
      </c>
      <c r="AJ1650" s="22" t="str">
        <f aca="false">INDEX('Tabela Passaro'!$X$2:$X$1795,$N1650)</f>
        <v>INTERIOR 2</v>
      </c>
    </row>
    <row r="1651" customFormat="false" ht="15" hidden="false" customHeight="false" outlineLevel="0" collapsed="false">
      <c r="A1651" s="22" t="s">
        <v>21</v>
      </c>
      <c r="B1651" s="22" t="n">
        <v>9</v>
      </c>
      <c r="C1651" s="22" t="s">
        <v>179</v>
      </c>
      <c r="D1651" s="22" t="s">
        <v>30</v>
      </c>
      <c r="E1651" s="22" t="s">
        <v>7328</v>
      </c>
      <c r="F1651" s="22" t="n">
        <v>2313803</v>
      </c>
      <c r="G1651" s="30" t="n">
        <v>46253</v>
      </c>
      <c r="H1651" s="22" t="n">
        <v>133893</v>
      </c>
      <c r="I1651" s="22" t="s">
        <v>8827</v>
      </c>
      <c r="J1651" s="31" t="n">
        <v>39</v>
      </c>
      <c r="K1651" s="26" t="n">
        <v>751.09</v>
      </c>
      <c r="L1651" s="26" t="n">
        <v>178.97</v>
      </c>
      <c r="M1651" s="22" t="s">
        <v>5961</v>
      </c>
      <c r="N1651" s="22" t="n">
        <f aca="false">MATCH(M1651,'Tabela Passaro'!$A$2:$A$1795,0)</f>
        <v>1447</v>
      </c>
      <c r="O1651" s="22" t="str">
        <f aca="false">INDEX('Tabela Passaro'!$C$2:$C$1795,$N1651)</f>
        <v>FLORIANO</v>
      </c>
      <c r="P1651" s="22" t="str">
        <f aca="false">INDEX('Tabela Passaro'!$B$2:$B$1795,$N1651)</f>
        <v>PI</v>
      </c>
      <c r="Q1651" s="22" t="n">
        <f aca="false">INDEX('Tabela Passaro'!$F$2:$F$1795,$N1651)</f>
        <v>15</v>
      </c>
      <c r="R1651" s="32" t="n">
        <f aca="false">IF(J1651&lt;=10,INDEX('Tabela Passaro'!$G$2:$G$1795,$N1651),IF(J1651&lt;=30,INDEX('Tabela Passaro'!$H$2:$H$1795,$N1651),IF(J1651&lt;=50,INDEX('Tabela Passaro'!$I$2:$I$1795,$N1651),IF(J1651&lt;=70,INDEX('Tabela Passaro'!$J$2:$J$1795,$N1651),IF(J1651&lt;=100,INDEX('Tabela Passaro'!$K$2:$K$1795,$N1651),INDEX('Tabela Passaro'!$K$2:$K$1795,$N1651)+(J1651-100)*INDEX('Tabela Passaro'!$L$2:$L$1795,$N1651))))))</f>
        <v>263.36</v>
      </c>
      <c r="S1651" s="32" t="n">
        <f aca="false">K1651*INDEX('Tabela Passaro'!$M$2:$M$1795,$N1651)</f>
        <v>3.75545</v>
      </c>
      <c r="T1651" s="32" t="n">
        <f aca="false">K1651*INDEX('Tabela Passaro'!$N$2:$N$1795,$N1651)</f>
        <v>1.50218</v>
      </c>
      <c r="U1651" s="32" t="n">
        <f aca="false">INDEX('Tabela Passaro'!$O$2:$O$1795,$N1651)</f>
        <v>5</v>
      </c>
      <c r="V1651" s="32" t="n">
        <f aca="false">ROUNDUP(J1651/INDEX('Tabela Passaro'!$Q$2:$Q$1795,$N1651),0)*INDEX('Tabela Passaro'!$P$2:$P$1795,$N1651)</f>
        <v>5</v>
      </c>
      <c r="W1651" s="32" t="n">
        <f aca="false">INDEX('Tabela Passaro'!$R$2:$R$1795,$N1651)</f>
        <v>30</v>
      </c>
      <c r="X1651" s="32" t="n">
        <f aca="false">ROUNDUP(J1651/INDEX('Tabela Passaro'!$T$2:$T$1795,$N1651),0)*INDEX('Tabela Passaro'!$S$2:$S$1795,$N1651)</f>
        <v>0</v>
      </c>
      <c r="Y1651" s="32" t="n">
        <f aca="false">INDEX('Tabela Passaro'!$U$2:$U$1795,$N1651)</f>
        <v>0</v>
      </c>
      <c r="Z1651" s="32" t="n">
        <f aca="false">INDEX('Tabela Passaro'!$V$2:$V$1795,$N1651)</f>
        <v>400</v>
      </c>
      <c r="AA1651" s="32" t="n">
        <f aca="false">SUM(R1651:Z1651)</f>
        <v>708.61763</v>
      </c>
      <c r="AB1651" s="33" t="n">
        <f aca="false">INDEX(Premissas!$B$5:$B$13,MATCH(A1651,Premissas!$A$5:$A$13,0))</f>
        <v>0.07</v>
      </c>
      <c r="AC1651" s="32" t="n">
        <f aca="false">AA1651/(1-AB1651)-AA1651</f>
        <v>53.3368108602151</v>
      </c>
      <c r="AD1651" s="32" t="n">
        <f aca="false">ROUND(AA1651+AC1651,2)</f>
        <v>761.95</v>
      </c>
      <c r="AE1651" s="32" t="n">
        <f aca="false">AD1651-L1651</f>
        <v>582.98</v>
      </c>
      <c r="AF1651" s="34" t="n">
        <f aca="false">IF(L1651=0,0,AE1651/L1651)</f>
        <v>3.2574174442644</v>
      </c>
      <c r="AG1651" s="22" t="str">
        <f aca="false">IF(AD1651&lt;L1651,"PASSARO","ATUAL")</f>
        <v>ATUAL</v>
      </c>
      <c r="AH1651" s="22" t="str">
        <f aca="false">IF(P1651&lt;&gt;A1651,"Faixa cadastrada como "&amp;P1651&amp;" na tabela; preço aplicado pela UF do CEP","")</f>
        <v/>
      </c>
      <c r="AI1651" s="26" t="n">
        <v>786.59</v>
      </c>
      <c r="AJ1651" s="22" t="str">
        <f aca="false">INDEX('Tabela Passaro'!$X$2:$X$1795,$N1651)</f>
        <v>INTERIOR 2</v>
      </c>
    </row>
    <row r="1652" customFormat="false" ht="15" hidden="false" customHeight="false" outlineLevel="0" collapsed="false">
      <c r="A1652" s="22" t="s">
        <v>21</v>
      </c>
      <c r="B1652" s="22" t="n">
        <v>9</v>
      </c>
      <c r="C1652" s="22" t="s">
        <v>179</v>
      </c>
      <c r="D1652" s="22" t="s">
        <v>30</v>
      </c>
      <c r="E1652" s="22" t="s">
        <v>7326</v>
      </c>
      <c r="F1652" s="22" t="n">
        <v>527782</v>
      </c>
      <c r="G1652" s="30" t="n">
        <v>46260</v>
      </c>
      <c r="H1652" s="22" t="n">
        <v>629480</v>
      </c>
      <c r="I1652" s="22" t="s">
        <v>8828</v>
      </c>
      <c r="J1652" s="31" t="n">
        <v>40.8</v>
      </c>
      <c r="K1652" s="26" t="n">
        <v>947.43</v>
      </c>
      <c r="L1652" s="26" t="n">
        <v>202.05</v>
      </c>
      <c r="M1652" s="22" t="s">
        <v>5961</v>
      </c>
      <c r="N1652" s="22" t="n">
        <f aca="false">MATCH(M1652,'Tabela Passaro'!$A$2:$A$1795,0)</f>
        <v>1447</v>
      </c>
      <c r="O1652" s="22" t="str">
        <f aca="false">INDEX('Tabela Passaro'!$C$2:$C$1795,$N1652)</f>
        <v>FLORIANO</v>
      </c>
      <c r="P1652" s="22" t="str">
        <f aca="false">INDEX('Tabela Passaro'!$B$2:$B$1795,$N1652)</f>
        <v>PI</v>
      </c>
      <c r="Q1652" s="22" t="n">
        <f aca="false">INDEX('Tabela Passaro'!$F$2:$F$1795,$N1652)</f>
        <v>15</v>
      </c>
      <c r="R1652" s="32" t="n">
        <f aca="false">IF(J1652&lt;=10,INDEX('Tabela Passaro'!$G$2:$G$1795,$N1652),IF(J1652&lt;=30,INDEX('Tabela Passaro'!$H$2:$H$1795,$N1652),IF(J1652&lt;=50,INDEX('Tabela Passaro'!$I$2:$I$1795,$N1652),IF(J1652&lt;=70,INDEX('Tabela Passaro'!$J$2:$J$1795,$N1652),IF(J1652&lt;=100,INDEX('Tabela Passaro'!$K$2:$K$1795,$N1652),INDEX('Tabela Passaro'!$K$2:$K$1795,$N1652)+(J1652-100)*INDEX('Tabela Passaro'!$L$2:$L$1795,$N1652))))))</f>
        <v>263.36</v>
      </c>
      <c r="S1652" s="32" t="n">
        <f aca="false">K1652*INDEX('Tabela Passaro'!$M$2:$M$1795,$N1652)</f>
        <v>4.73715</v>
      </c>
      <c r="T1652" s="32" t="n">
        <f aca="false">K1652*INDEX('Tabela Passaro'!$N$2:$N$1795,$N1652)</f>
        <v>1.89486</v>
      </c>
      <c r="U1652" s="32" t="n">
        <f aca="false">INDEX('Tabela Passaro'!$O$2:$O$1795,$N1652)</f>
        <v>5</v>
      </c>
      <c r="V1652" s="32" t="n">
        <f aca="false">ROUNDUP(J1652/INDEX('Tabela Passaro'!$Q$2:$Q$1795,$N1652),0)*INDEX('Tabela Passaro'!$P$2:$P$1795,$N1652)</f>
        <v>5</v>
      </c>
      <c r="W1652" s="32" t="n">
        <f aca="false">INDEX('Tabela Passaro'!$R$2:$R$1795,$N1652)</f>
        <v>30</v>
      </c>
      <c r="X1652" s="32" t="n">
        <f aca="false">ROUNDUP(J1652/INDEX('Tabela Passaro'!$T$2:$T$1795,$N1652),0)*INDEX('Tabela Passaro'!$S$2:$S$1795,$N1652)</f>
        <v>0</v>
      </c>
      <c r="Y1652" s="32" t="n">
        <f aca="false">INDEX('Tabela Passaro'!$U$2:$U$1795,$N1652)</f>
        <v>0</v>
      </c>
      <c r="Z1652" s="32" t="n">
        <f aca="false">INDEX('Tabela Passaro'!$V$2:$V$1795,$N1652)</f>
        <v>400</v>
      </c>
      <c r="AA1652" s="32" t="n">
        <f aca="false">SUM(R1652:Z1652)</f>
        <v>709.99201</v>
      </c>
      <c r="AB1652" s="33" t="n">
        <f aca="false">INDEX(Premissas!$B$5:$B$13,MATCH(A1652,Premissas!$A$5:$A$13,0))</f>
        <v>0.07</v>
      </c>
      <c r="AC1652" s="32" t="n">
        <f aca="false">AA1652/(1-AB1652)-AA1652</f>
        <v>53.4402588172044</v>
      </c>
      <c r="AD1652" s="32" t="n">
        <f aca="false">ROUND(AA1652+AC1652,2)</f>
        <v>763.43</v>
      </c>
      <c r="AE1652" s="32" t="n">
        <f aca="false">AD1652-L1652</f>
        <v>561.38</v>
      </c>
      <c r="AF1652" s="34" t="n">
        <f aca="false">IF(L1652=0,0,AE1652/L1652)</f>
        <v>2.77842118287553</v>
      </c>
      <c r="AG1652" s="22" t="str">
        <f aca="false">IF(AD1652&lt;L1652,"PASSARO","ATUAL")</f>
        <v>ATUAL</v>
      </c>
      <c r="AH1652" s="22" t="str">
        <f aca="false">IF(P1652&lt;&gt;A1652,"Faixa cadastrada como "&amp;P1652&amp;" na tabela; preço aplicado pela UF do CEP","")</f>
        <v/>
      </c>
      <c r="AI1652" s="26" t="n">
        <v>789.46</v>
      </c>
      <c r="AJ1652" s="22" t="str">
        <f aca="false">INDEX('Tabela Passaro'!$X$2:$X$1795,$N1652)</f>
        <v>INTERIOR 2</v>
      </c>
    </row>
    <row r="1653" customFormat="false" ht="15" hidden="false" customHeight="false" outlineLevel="0" collapsed="false">
      <c r="A1653" s="22" t="s">
        <v>21</v>
      </c>
      <c r="B1653" s="22" t="n">
        <v>10</v>
      </c>
      <c r="C1653" s="22" t="s">
        <v>181</v>
      </c>
      <c r="D1653" s="22" t="s">
        <v>30</v>
      </c>
      <c r="E1653" s="22" t="s">
        <v>7328</v>
      </c>
      <c r="F1653" s="22" t="n">
        <v>2307430</v>
      </c>
      <c r="G1653" s="30" t="n">
        <v>46238</v>
      </c>
      <c r="H1653" s="22" t="n">
        <v>131328</v>
      </c>
      <c r="I1653" s="22" t="s">
        <v>8829</v>
      </c>
      <c r="J1653" s="31" t="n">
        <v>36.9</v>
      </c>
      <c r="K1653" s="26" t="n">
        <v>573.12</v>
      </c>
      <c r="L1653" s="26" t="n">
        <v>177.56</v>
      </c>
      <c r="M1653" s="22" t="s">
        <v>5671</v>
      </c>
      <c r="N1653" s="22" t="n">
        <f aca="false">MATCH(M1653,'Tabela Passaro'!$A$2:$A$1795,0)</f>
        <v>1373</v>
      </c>
      <c r="O1653" s="22" t="str">
        <f aca="false">INDEX('Tabela Passaro'!$C$2:$C$1795,$N1653)</f>
        <v>PEDRO II</v>
      </c>
      <c r="P1653" s="22" t="str">
        <f aca="false">INDEX('Tabela Passaro'!$B$2:$B$1795,$N1653)</f>
        <v>PI</v>
      </c>
      <c r="Q1653" s="22" t="n">
        <f aca="false">INDEX('Tabela Passaro'!$F$2:$F$1795,$N1653)</f>
        <v>13</v>
      </c>
      <c r="R1653" s="32" t="n">
        <f aca="false">IF(J1653&lt;=10,INDEX('Tabela Passaro'!$G$2:$G$1795,$N1653),IF(J1653&lt;=30,INDEX('Tabela Passaro'!$H$2:$H$1795,$N1653),IF(J1653&lt;=50,INDEX('Tabela Passaro'!$I$2:$I$1795,$N1653),IF(J1653&lt;=70,INDEX('Tabela Passaro'!$J$2:$J$1795,$N1653),IF(J1653&lt;=100,INDEX('Tabela Passaro'!$K$2:$K$1795,$N1653),INDEX('Tabela Passaro'!$K$2:$K$1795,$N1653)+(J1653-100)*INDEX('Tabela Passaro'!$L$2:$L$1795,$N1653))))))</f>
        <v>236.18</v>
      </c>
      <c r="S1653" s="32" t="n">
        <f aca="false">K1653*INDEX('Tabela Passaro'!$M$2:$M$1795,$N1653)</f>
        <v>2.8656</v>
      </c>
      <c r="T1653" s="32" t="n">
        <f aca="false">K1653*INDEX('Tabela Passaro'!$N$2:$N$1795,$N1653)</f>
        <v>1.14624</v>
      </c>
      <c r="U1653" s="32" t="n">
        <f aca="false">INDEX('Tabela Passaro'!$O$2:$O$1795,$N1653)</f>
        <v>5</v>
      </c>
      <c r="V1653" s="32" t="n">
        <f aca="false">ROUNDUP(J1653/INDEX('Tabela Passaro'!$Q$2:$Q$1795,$N1653),0)*INDEX('Tabela Passaro'!$P$2:$P$1795,$N1653)</f>
        <v>5</v>
      </c>
      <c r="W1653" s="32" t="n">
        <f aca="false">INDEX('Tabela Passaro'!$R$2:$R$1795,$N1653)</f>
        <v>30</v>
      </c>
      <c r="X1653" s="32" t="n">
        <f aca="false">ROUNDUP(J1653/INDEX('Tabela Passaro'!$T$2:$T$1795,$N1653),0)*INDEX('Tabela Passaro'!$S$2:$S$1795,$N1653)</f>
        <v>0</v>
      </c>
      <c r="Y1653" s="32" t="n">
        <f aca="false">INDEX('Tabela Passaro'!$U$2:$U$1795,$N1653)</f>
        <v>0</v>
      </c>
      <c r="Z1653" s="32" t="n">
        <f aca="false">INDEX('Tabela Passaro'!$V$2:$V$1795,$N1653)</f>
        <v>0</v>
      </c>
      <c r="AA1653" s="32" t="n">
        <f aca="false">SUM(R1653:Z1653)</f>
        <v>280.19184</v>
      </c>
      <c r="AB1653" s="33" t="n">
        <f aca="false">INDEX(Premissas!$B$5:$B$13,MATCH(A1653,Premissas!$A$5:$A$13,0))</f>
        <v>0.07</v>
      </c>
      <c r="AC1653" s="32" t="n">
        <f aca="false">AA1653/(1-AB1653)-AA1653</f>
        <v>21.0897083870968</v>
      </c>
      <c r="AD1653" s="32" t="n">
        <f aca="false">ROUND(AA1653+AC1653,2)</f>
        <v>301.28</v>
      </c>
      <c r="AE1653" s="32" t="n">
        <f aca="false">AD1653-L1653</f>
        <v>123.72</v>
      </c>
      <c r="AF1653" s="34" t="n">
        <f aca="false">IF(L1653=0,0,AE1653/L1653)</f>
        <v>0.696778553728317</v>
      </c>
      <c r="AG1653" s="22" t="str">
        <f aca="false">IF(AD1653&lt;L1653,"PASSARO","ATUAL")</f>
        <v>ATUAL</v>
      </c>
      <c r="AH1653" s="22" t="str">
        <f aca="false">IF(P1653&lt;&gt;A1653,"Faixa cadastrada como "&amp;P1653&amp;" na tabela; preço aplicado pela UF do CEP","")</f>
        <v/>
      </c>
      <c r="AI1653" s="26" t="n">
        <v>323.03</v>
      </c>
      <c r="AJ1653" s="22" t="str">
        <f aca="false">INDEX('Tabela Passaro'!$X$2:$X$1795,$N1653)</f>
        <v>INTERIOR 1</v>
      </c>
    </row>
    <row r="1654" customFormat="false" ht="15" hidden="false" customHeight="false" outlineLevel="0" collapsed="false">
      <c r="A1654" s="22" t="s">
        <v>21</v>
      </c>
      <c r="B1654" s="22" t="n">
        <v>10</v>
      </c>
      <c r="C1654" s="22" t="s">
        <v>181</v>
      </c>
      <c r="D1654" s="22" t="s">
        <v>30</v>
      </c>
      <c r="E1654" s="22" t="s">
        <v>7326</v>
      </c>
      <c r="F1654" s="22" t="n">
        <v>522863</v>
      </c>
      <c r="G1654" s="30" t="n">
        <v>46240</v>
      </c>
      <c r="H1654" s="22" t="n">
        <v>621115</v>
      </c>
      <c r="I1654" s="22" t="s">
        <v>8829</v>
      </c>
      <c r="J1654" s="31" t="n">
        <v>77.35</v>
      </c>
      <c r="K1654" s="26" t="n">
        <v>1462.11</v>
      </c>
      <c r="L1654" s="26" t="n">
        <v>333.48</v>
      </c>
      <c r="M1654" s="22" t="s">
        <v>5671</v>
      </c>
      <c r="N1654" s="22" t="n">
        <f aca="false">MATCH(M1654,'Tabela Passaro'!$A$2:$A$1795,0)</f>
        <v>1373</v>
      </c>
      <c r="O1654" s="22" t="str">
        <f aca="false">INDEX('Tabela Passaro'!$C$2:$C$1795,$N1654)</f>
        <v>PEDRO II</v>
      </c>
      <c r="P1654" s="22" t="str">
        <f aca="false">INDEX('Tabela Passaro'!$B$2:$B$1795,$N1654)</f>
        <v>PI</v>
      </c>
      <c r="Q1654" s="22" t="n">
        <f aca="false">INDEX('Tabela Passaro'!$F$2:$F$1795,$N1654)</f>
        <v>13</v>
      </c>
      <c r="R1654" s="32" t="n">
        <f aca="false">IF(J1654&lt;=10,INDEX('Tabela Passaro'!$G$2:$G$1795,$N1654),IF(J1654&lt;=30,INDEX('Tabela Passaro'!$H$2:$H$1795,$N1654),IF(J1654&lt;=50,INDEX('Tabela Passaro'!$I$2:$I$1795,$N1654),IF(J1654&lt;=70,INDEX('Tabela Passaro'!$J$2:$J$1795,$N1654),IF(J1654&lt;=100,INDEX('Tabela Passaro'!$K$2:$K$1795,$N1654),INDEX('Tabela Passaro'!$K$2:$K$1795,$N1654)+(J1654-100)*INDEX('Tabela Passaro'!$L$2:$L$1795,$N1654))))))</f>
        <v>269.38</v>
      </c>
      <c r="S1654" s="32" t="n">
        <f aca="false">K1654*INDEX('Tabela Passaro'!$M$2:$M$1795,$N1654)</f>
        <v>7.31055</v>
      </c>
      <c r="T1654" s="32" t="n">
        <f aca="false">K1654*INDEX('Tabela Passaro'!$N$2:$N$1795,$N1654)</f>
        <v>2.92422</v>
      </c>
      <c r="U1654" s="32" t="n">
        <f aca="false">INDEX('Tabela Passaro'!$O$2:$O$1795,$N1654)</f>
        <v>5</v>
      </c>
      <c r="V1654" s="32" t="n">
        <f aca="false">ROUNDUP(J1654/INDEX('Tabela Passaro'!$Q$2:$Q$1795,$N1654),0)*INDEX('Tabela Passaro'!$P$2:$P$1795,$N1654)</f>
        <v>5</v>
      </c>
      <c r="W1654" s="32" t="n">
        <f aca="false">INDEX('Tabela Passaro'!$R$2:$R$1795,$N1654)</f>
        <v>30</v>
      </c>
      <c r="X1654" s="32" t="n">
        <f aca="false">ROUNDUP(J1654/INDEX('Tabela Passaro'!$T$2:$T$1795,$N1654),0)*INDEX('Tabela Passaro'!$S$2:$S$1795,$N1654)</f>
        <v>0</v>
      </c>
      <c r="Y1654" s="32" t="n">
        <f aca="false">INDEX('Tabela Passaro'!$U$2:$U$1795,$N1654)</f>
        <v>0</v>
      </c>
      <c r="Z1654" s="32" t="n">
        <f aca="false">INDEX('Tabela Passaro'!$V$2:$V$1795,$N1654)</f>
        <v>0</v>
      </c>
      <c r="AA1654" s="32" t="n">
        <f aca="false">SUM(R1654:Z1654)</f>
        <v>319.61477</v>
      </c>
      <c r="AB1654" s="33" t="n">
        <f aca="false">INDEX(Premissas!$B$5:$B$13,MATCH(A1654,Premissas!$A$5:$A$13,0))</f>
        <v>0.07</v>
      </c>
      <c r="AC1654" s="32" t="n">
        <f aca="false">AA1654/(1-AB1654)-AA1654</f>
        <v>24.0570256989247</v>
      </c>
      <c r="AD1654" s="32" t="n">
        <f aca="false">ROUND(AA1654+AC1654,2)</f>
        <v>343.67</v>
      </c>
      <c r="AE1654" s="32" t="n">
        <f aca="false">AD1654-L1654</f>
        <v>10.19</v>
      </c>
      <c r="AF1654" s="34" t="n">
        <f aca="false">IF(L1654=0,0,AE1654/L1654)</f>
        <v>0.0305565551157491</v>
      </c>
      <c r="AG1654" s="22" t="str">
        <f aca="false">IF(AD1654&lt;L1654,"PASSARO","ATUAL")</f>
        <v>ATUAL</v>
      </c>
      <c r="AH1654" s="22" t="str">
        <f aca="false">IF(P1654&lt;&gt;A1654,"Faixa cadastrada como "&amp;P1654&amp;" na tabela; preço aplicado pela UF do CEP","")</f>
        <v/>
      </c>
      <c r="AI1654" s="26" t="n">
        <v>389.05</v>
      </c>
      <c r="AJ1654" s="22" t="str">
        <f aca="false">INDEX('Tabela Passaro'!$X$2:$X$1795,$N1654)</f>
        <v>INTERIOR 1</v>
      </c>
    </row>
    <row r="1655" customFormat="false" ht="15" hidden="false" customHeight="false" outlineLevel="0" collapsed="false">
      <c r="A1655" s="22" t="s">
        <v>21</v>
      </c>
      <c r="B1655" s="22" t="n">
        <v>10</v>
      </c>
      <c r="C1655" s="22" t="s">
        <v>181</v>
      </c>
      <c r="D1655" s="22" t="s">
        <v>30</v>
      </c>
      <c r="E1655" s="22" t="s">
        <v>7328</v>
      </c>
      <c r="F1655" s="22" t="n">
        <v>2312284</v>
      </c>
      <c r="G1655" s="30" t="n">
        <v>46248</v>
      </c>
      <c r="H1655" s="22" t="n">
        <v>133195</v>
      </c>
      <c r="I1655" s="22" t="s">
        <v>8829</v>
      </c>
      <c r="J1655" s="31" t="n">
        <v>45.3</v>
      </c>
      <c r="K1655" s="26" t="n">
        <v>898.07</v>
      </c>
      <c r="L1655" s="26" t="n">
        <v>180.13</v>
      </c>
      <c r="M1655" s="22" t="s">
        <v>5671</v>
      </c>
      <c r="N1655" s="22" t="n">
        <f aca="false">MATCH(M1655,'Tabela Passaro'!$A$2:$A$1795,0)</f>
        <v>1373</v>
      </c>
      <c r="O1655" s="22" t="str">
        <f aca="false">INDEX('Tabela Passaro'!$C$2:$C$1795,$N1655)</f>
        <v>PEDRO II</v>
      </c>
      <c r="P1655" s="22" t="str">
        <f aca="false">INDEX('Tabela Passaro'!$B$2:$B$1795,$N1655)</f>
        <v>PI</v>
      </c>
      <c r="Q1655" s="22" t="n">
        <f aca="false">INDEX('Tabela Passaro'!$F$2:$F$1795,$N1655)</f>
        <v>13</v>
      </c>
      <c r="R1655" s="32" t="n">
        <f aca="false">IF(J1655&lt;=10,INDEX('Tabela Passaro'!$G$2:$G$1795,$N1655),IF(J1655&lt;=30,INDEX('Tabela Passaro'!$H$2:$H$1795,$N1655),IF(J1655&lt;=50,INDEX('Tabela Passaro'!$I$2:$I$1795,$N1655),IF(J1655&lt;=70,INDEX('Tabela Passaro'!$J$2:$J$1795,$N1655),IF(J1655&lt;=100,INDEX('Tabela Passaro'!$K$2:$K$1795,$N1655),INDEX('Tabela Passaro'!$K$2:$K$1795,$N1655)+(J1655-100)*INDEX('Tabela Passaro'!$L$2:$L$1795,$N1655))))))</f>
        <v>236.18</v>
      </c>
      <c r="S1655" s="32" t="n">
        <f aca="false">K1655*INDEX('Tabela Passaro'!$M$2:$M$1795,$N1655)</f>
        <v>4.49035</v>
      </c>
      <c r="T1655" s="32" t="n">
        <f aca="false">K1655*INDEX('Tabela Passaro'!$N$2:$N$1795,$N1655)</f>
        <v>1.79614</v>
      </c>
      <c r="U1655" s="32" t="n">
        <f aca="false">INDEX('Tabela Passaro'!$O$2:$O$1795,$N1655)</f>
        <v>5</v>
      </c>
      <c r="V1655" s="32" t="n">
        <f aca="false">ROUNDUP(J1655/INDEX('Tabela Passaro'!$Q$2:$Q$1795,$N1655),0)*INDEX('Tabela Passaro'!$P$2:$P$1795,$N1655)</f>
        <v>5</v>
      </c>
      <c r="W1655" s="32" t="n">
        <f aca="false">INDEX('Tabela Passaro'!$R$2:$R$1795,$N1655)</f>
        <v>30</v>
      </c>
      <c r="X1655" s="32" t="n">
        <f aca="false">ROUNDUP(J1655/INDEX('Tabela Passaro'!$T$2:$T$1795,$N1655),0)*INDEX('Tabela Passaro'!$S$2:$S$1795,$N1655)</f>
        <v>0</v>
      </c>
      <c r="Y1655" s="32" t="n">
        <f aca="false">INDEX('Tabela Passaro'!$U$2:$U$1795,$N1655)</f>
        <v>0</v>
      </c>
      <c r="Z1655" s="32" t="n">
        <f aca="false">INDEX('Tabela Passaro'!$V$2:$V$1795,$N1655)</f>
        <v>0</v>
      </c>
      <c r="AA1655" s="32" t="n">
        <f aca="false">SUM(R1655:Z1655)</f>
        <v>282.46649</v>
      </c>
      <c r="AB1655" s="33" t="n">
        <f aca="false">INDEX(Premissas!$B$5:$B$13,MATCH(A1655,Premissas!$A$5:$A$13,0))</f>
        <v>0.07</v>
      </c>
      <c r="AC1655" s="32" t="n">
        <f aca="false">AA1655/(1-AB1655)-AA1655</f>
        <v>21.2609186021506</v>
      </c>
      <c r="AD1655" s="32" t="n">
        <f aca="false">ROUND(AA1655+AC1655,2)</f>
        <v>303.73</v>
      </c>
      <c r="AE1655" s="32" t="n">
        <f aca="false">AD1655-L1655</f>
        <v>123.6</v>
      </c>
      <c r="AF1655" s="34" t="n">
        <f aca="false">IF(L1655=0,0,AE1655/L1655)</f>
        <v>0.686171098650975</v>
      </c>
      <c r="AG1655" s="22" t="str">
        <f aca="false">IF(AD1655&lt;L1655,"PASSARO","ATUAL")</f>
        <v>ATUAL</v>
      </c>
      <c r="AH1655" s="22" t="str">
        <f aca="false">IF(P1655&lt;&gt;A1655,"Faixa cadastrada como "&amp;P1655&amp;" na tabela; preço aplicado pela UF do CEP","")</f>
        <v/>
      </c>
      <c r="AI1655" s="26" t="n">
        <v>330.53</v>
      </c>
      <c r="AJ1655" s="22" t="str">
        <f aca="false">INDEX('Tabela Passaro'!$X$2:$X$1795,$N1655)</f>
        <v>INTERIOR 1</v>
      </c>
    </row>
    <row r="1656" customFormat="false" ht="15" hidden="false" customHeight="false" outlineLevel="0" collapsed="false">
      <c r="A1656" s="22" t="s">
        <v>22</v>
      </c>
      <c r="B1656" s="22" t="n">
        <v>1</v>
      </c>
      <c r="C1656" s="22" t="s">
        <v>182</v>
      </c>
      <c r="D1656" s="22" t="s">
        <v>30</v>
      </c>
      <c r="E1656" s="22" t="s">
        <v>20</v>
      </c>
      <c r="F1656" s="22" t="n">
        <v>837650</v>
      </c>
      <c r="G1656" s="30" t="n">
        <v>46237</v>
      </c>
      <c r="H1656" s="22" t="n">
        <v>32327</v>
      </c>
      <c r="I1656" s="22" t="s">
        <v>8830</v>
      </c>
      <c r="J1656" s="31" t="n">
        <v>30.98</v>
      </c>
      <c r="K1656" s="26" t="n">
        <v>673.72</v>
      </c>
      <c r="L1656" s="26" t="n">
        <v>151.11</v>
      </c>
      <c r="M1656" s="22" t="s">
        <v>6384</v>
      </c>
      <c r="N1656" s="22" t="n">
        <f aca="false">MATCH(M1656,'Tabela Passaro'!$A$2:$A$1795,0)</f>
        <v>1554</v>
      </c>
      <c r="O1656" s="22" t="str">
        <f aca="false">INDEX('Tabela Passaro'!$C$2:$C$1795,$N1656)</f>
        <v>NATAL</v>
      </c>
      <c r="P1656" s="22" t="str">
        <f aca="false">INDEX('Tabela Passaro'!$B$2:$B$1795,$N1656)</f>
        <v>RN</v>
      </c>
      <c r="Q1656" s="22" t="n">
        <f aca="false">INDEX('Tabela Passaro'!$F$2:$F$1795,$N1656)</f>
        <v>9</v>
      </c>
      <c r="R1656" s="32" t="n">
        <f aca="false">IF(J1656&lt;=10,INDEX('Tabela Passaro'!$G$2:$G$1795,$N1656),IF(J1656&lt;=30,INDEX('Tabela Passaro'!$H$2:$H$1795,$N1656),IF(J1656&lt;=50,INDEX('Tabela Passaro'!$I$2:$I$1795,$N1656),IF(J1656&lt;=70,INDEX('Tabela Passaro'!$J$2:$J$1795,$N1656),IF(J1656&lt;=100,INDEX('Tabela Passaro'!$K$2:$K$1795,$N1656),INDEX('Tabela Passaro'!$K$2:$K$1795,$N1656)+(J1656-100)*INDEX('Tabela Passaro'!$L$2:$L$1795,$N1656))))))</f>
        <v>98.42</v>
      </c>
      <c r="S1656" s="32" t="n">
        <f aca="false">K1656*INDEX('Tabela Passaro'!$M$2:$M$1795,$N1656)</f>
        <v>3.3686</v>
      </c>
      <c r="T1656" s="32" t="n">
        <f aca="false">K1656*INDEX('Tabela Passaro'!$N$2:$N$1795,$N1656)</f>
        <v>1.34744</v>
      </c>
      <c r="U1656" s="32" t="n">
        <f aca="false">INDEX('Tabela Passaro'!$O$2:$O$1795,$N1656)</f>
        <v>5</v>
      </c>
      <c r="V1656" s="32" t="n">
        <f aca="false">ROUNDUP(J1656/INDEX('Tabela Passaro'!$Q$2:$Q$1795,$N1656),0)*INDEX('Tabela Passaro'!$P$2:$P$1795,$N1656)</f>
        <v>5</v>
      </c>
      <c r="W1656" s="32" t="n">
        <f aca="false">INDEX('Tabela Passaro'!$R$2:$R$1795,$N1656)</f>
        <v>30</v>
      </c>
      <c r="X1656" s="32" t="n">
        <f aca="false">ROUNDUP(J1656/INDEX('Tabela Passaro'!$T$2:$T$1795,$N1656),0)*INDEX('Tabela Passaro'!$S$2:$S$1795,$N1656)</f>
        <v>0</v>
      </c>
      <c r="Y1656" s="32" t="n">
        <f aca="false">INDEX('Tabela Passaro'!$U$2:$U$1795,$N1656)</f>
        <v>0</v>
      </c>
      <c r="Z1656" s="32" t="n">
        <f aca="false">INDEX('Tabela Passaro'!$V$2:$V$1795,$N1656)</f>
        <v>0</v>
      </c>
      <c r="AA1656" s="32" t="n">
        <f aca="false">SUM(R1656:Z1656)</f>
        <v>143.13604</v>
      </c>
      <c r="AB1656" s="33" t="n">
        <f aca="false">INDEX(Premissas!$B$5:$B$13,MATCH(A1656,Premissas!$A$5:$A$13,0))</f>
        <v>0.07</v>
      </c>
      <c r="AC1656" s="32" t="n">
        <f aca="false">AA1656/(1-AB1656)-AA1656</f>
        <v>10.7736804301075</v>
      </c>
      <c r="AD1656" s="32" t="n">
        <f aca="false">ROUND(AA1656+AC1656,2)</f>
        <v>153.91</v>
      </c>
      <c r="AE1656" s="32" t="n">
        <f aca="false">AD1656-L1656</f>
        <v>2.79999999999998</v>
      </c>
      <c r="AF1656" s="34" t="n">
        <f aca="false">IF(L1656=0,0,AE1656/L1656)</f>
        <v>0.0185295480113823</v>
      </c>
      <c r="AG1656" s="22" t="str">
        <f aca="false">IF(AD1656&lt;L1656,"PASSARO","ATUAL")</f>
        <v>ATUAL</v>
      </c>
      <c r="AH1656" s="22" t="str">
        <f aca="false">IF(P1656&lt;&gt;A1656,"Faixa cadastrada como "&amp;P1656&amp;" na tabela; preço aplicado pela UF do CEP","")</f>
        <v/>
      </c>
      <c r="AI1656" s="26" t="n">
        <v>192.96</v>
      </c>
      <c r="AJ1656" s="22" t="str">
        <f aca="false">INDEX('Tabela Passaro'!$X$2:$X$1795,$N1656)</f>
        <v>CAPITAL</v>
      </c>
    </row>
    <row r="1657" customFormat="false" ht="15" hidden="false" customHeight="false" outlineLevel="0" collapsed="false">
      <c r="A1657" s="22" t="s">
        <v>22</v>
      </c>
      <c r="B1657" s="22" t="n">
        <v>1</v>
      </c>
      <c r="C1657" s="22" t="s">
        <v>182</v>
      </c>
      <c r="D1657" s="22" t="s">
        <v>30</v>
      </c>
      <c r="E1657" s="22" t="s">
        <v>20</v>
      </c>
      <c r="F1657" s="22" t="n">
        <v>837656</v>
      </c>
      <c r="G1657" s="30" t="n">
        <v>46237</v>
      </c>
      <c r="H1657" s="22" t="n">
        <v>32333</v>
      </c>
      <c r="I1657" s="22" t="s">
        <v>8831</v>
      </c>
      <c r="J1657" s="31" t="n">
        <v>79.26</v>
      </c>
      <c r="K1657" s="26" t="n">
        <v>874.25</v>
      </c>
      <c r="L1657" s="26" t="n">
        <v>221.26</v>
      </c>
      <c r="M1657" s="22" t="s">
        <v>6384</v>
      </c>
      <c r="N1657" s="22" t="n">
        <f aca="false">MATCH(M1657,'Tabela Passaro'!$A$2:$A$1795,0)</f>
        <v>1554</v>
      </c>
      <c r="O1657" s="22" t="str">
        <f aca="false">INDEX('Tabela Passaro'!$C$2:$C$1795,$N1657)</f>
        <v>NATAL</v>
      </c>
      <c r="P1657" s="22" t="str">
        <f aca="false">INDEX('Tabela Passaro'!$B$2:$B$1795,$N1657)</f>
        <v>RN</v>
      </c>
      <c r="Q1657" s="22" t="n">
        <f aca="false">INDEX('Tabela Passaro'!$F$2:$F$1795,$N1657)</f>
        <v>9</v>
      </c>
      <c r="R1657" s="32" t="n">
        <f aca="false">IF(J1657&lt;=10,INDEX('Tabela Passaro'!$G$2:$G$1795,$N1657),IF(J1657&lt;=30,INDEX('Tabela Passaro'!$H$2:$H$1795,$N1657),IF(J1657&lt;=50,INDEX('Tabela Passaro'!$I$2:$I$1795,$N1657),IF(J1657&lt;=70,INDEX('Tabela Passaro'!$J$2:$J$1795,$N1657),IF(J1657&lt;=100,INDEX('Tabela Passaro'!$K$2:$K$1795,$N1657),INDEX('Tabela Passaro'!$K$2:$K$1795,$N1657)+(J1657-100)*INDEX('Tabela Passaro'!$L$2:$L$1795,$N1657))))))</f>
        <v>123.46</v>
      </c>
      <c r="S1657" s="32" t="n">
        <f aca="false">K1657*INDEX('Tabela Passaro'!$M$2:$M$1795,$N1657)</f>
        <v>4.37125</v>
      </c>
      <c r="T1657" s="32" t="n">
        <f aca="false">K1657*INDEX('Tabela Passaro'!$N$2:$N$1795,$N1657)</f>
        <v>1.7485</v>
      </c>
      <c r="U1657" s="32" t="n">
        <f aca="false">INDEX('Tabela Passaro'!$O$2:$O$1795,$N1657)</f>
        <v>5</v>
      </c>
      <c r="V1657" s="32" t="n">
        <f aca="false">ROUNDUP(J1657/INDEX('Tabela Passaro'!$Q$2:$Q$1795,$N1657),0)*INDEX('Tabela Passaro'!$P$2:$P$1795,$N1657)</f>
        <v>5</v>
      </c>
      <c r="W1657" s="32" t="n">
        <f aca="false">INDEX('Tabela Passaro'!$R$2:$R$1795,$N1657)</f>
        <v>30</v>
      </c>
      <c r="X1657" s="32" t="n">
        <f aca="false">ROUNDUP(J1657/INDEX('Tabela Passaro'!$T$2:$T$1795,$N1657),0)*INDEX('Tabela Passaro'!$S$2:$S$1795,$N1657)</f>
        <v>0</v>
      </c>
      <c r="Y1657" s="32" t="n">
        <f aca="false">INDEX('Tabela Passaro'!$U$2:$U$1795,$N1657)</f>
        <v>0</v>
      </c>
      <c r="Z1657" s="32" t="n">
        <f aca="false">INDEX('Tabela Passaro'!$V$2:$V$1795,$N1657)</f>
        <v>0</v>
      </c>
      <c r="AA1657" s="32" t="n">
        <f aca="false">SUM(R1657:Z1657)</f>
        <v>169.57975</v>
      </c>
      <c r="AB1657" s="33" t="n">
        <f aca="false">INDEX(Premissas!$B$5:$B$13,MATCH(A1657,Premissas!$A$5:$A$13,0))</f>
        <v>0.07</v>
      </c>
      <c r="AC1657" s="32" t="n">
        <f aca="false">AA1657/(1-AB1657)-AA1657</f>
        <v>12.7640672043011</v>
      </c>
      <c r="AD1657" s="32" t="n">
        <f aca="false">ROUND(AA1657+AC1657,2)</f>
        <v>182.34</v>
      </c>
      <c r="AE1657" s="32" t="n">
        <f aca="false">AD1657-L1657</f>
        <v>-38.92</v>
      </c>
      <c r="AF1657" s="34" t="n">
        <f aca="false">IF(L1657=0,0,AE1657/L1657)</f>
        <v>-0.175901654162524</v>
      </c>
      <c r="AG1657" s="22" t="str">
        <f aca="false">IF(AD1657&lt;L1657,"PASSARO","ATUAL")</f>
        <v>PASSARO</v>
      </c>
      <c r="AH1657" s="22" t="str">
        <f aca="false">IF(P1657&lt;&gt;A1657,"Faixa cadastrada como "&amp;P1657&amp;" na tabela; preço aplicado pela UF do CEP","")</f>
        <v/>
      </c>
      <c r="AI1657" s="26" t="n">
        <v>249.92</v>
      </c>
      <c r="AJ1657" s="22" t="str">
        <f aca="false">INDEX('Tabela Passaro'!$X$2:$X$1795,$N1657)</f>
        <v>CAPITAL</v>
      </c>
    </row>
    <row r="1658" customFormat="false" ht="15" hidden="false" customHeight="false" outlineLevel="0" collapsed="false">
      <c r="A1658" s="22" t="s">
        <v>22</v>
      </c>
      <c r="B1658" s="22" t="n">
        <v>1</v>
      </c>
      <c r="C1658" s="22" t="s">
        <v>182</v>
      </c>
      <c r="D1658" s="22" t="s">
        <v>30</v>
      </c>
      <c r="E1658" s="22" t="s">
        <v>20</v>
      </c>
      <c r="F1658" s="22" t="n">
        <v>837688</v>
      </c>
      <c r="G1658" s="30" t="n">
        <v>46237</v>
      </c>
      <c r="H1658" s="22" t="n">
        <v>32365</v>
      </c>
      <c r="I1658" s="22" t="s">
        <v>8832</v>
      </c>
      <c r="J1658" s="31" t="n">
        <v>22.4</v>
      </c>
      <c r="K1658" s="26" t="n">
        <v>668.9</v>
      </c>
      <c r="L1658" s="26" t="n">
        <v>116.31</v>
      </c>
      <c r="M1658" s="22" t="s">
        <v>6384</v>
      </c>
      <c r="N1658" s="22" t="n">
        <f aca="false">MATCH(M1658,'Tabela Passaro'!$A$2:$A$1795,0)</f>
        <v>1554</v>
      </c>
      <c r="O1658" s="22" t="str">
        <f aca="false">INDEX('Tabela Passaro'!$C$2:$C$1795,$N1658)</f>
        <v>NATAL</v>
      </c>
      <c r="P1658" s="22" t="str">
        <f aca="false">INDEX('Tabela Passaro'!$B$2:$B$1795,$N1658)</f>
        <v>RN</v>
      </c>
      <c r="Q1658" s="22" t="n">
        <f aca="false">INDEX('Tabela Passaro'!$F$2:$F$1795,$N1658)</f>
        <v>9</v>
      </c>
      <c r="R1658" s="32" t="n">
        <f aca="false">IF(J1658&lt;=10,INDEX('Tabela Passaro'!$G$2:$G$1795,$N1658),IF(J1658&lt;=30,INDEX('Tabela Passaro'!$H$2:$H$1795,$N1658),IF(J1658&lt;=50,INDEX('Tabela Passaro'!$I$2:$I$1795,$N1658),IF(J1658&lt;=70,INDEX('Tabela Passaro'!$J$2:$J$1795,$N1658),IF(J1658&lt;=100,INDEX('Tabela Passaro'!$K$2:$K$1795,$N1658),INDEX('Tabela Passaro'!$K$2:$K$1795,$N1658)+(J1658-100)*INDEX('Tabela Passaro'!$L$2:$L$1795,$N1658))))))</f>
        <v>78.39</v>
      </c>
      <c r="S1658" s="32" t="n">
        <f aca="false">K1658*INDEX('Tabela Passaro'!$M$2:$M$1795,$N1658)</f>
        <v>3.3445</v>
      </c>
      <c r="T1658" s="32" t="n">
        <f aca="false">K1658*INDEX('Tabela Passaro'!$N$2:$N$1795,$N1658)</f>
        <v>1.3378</v>
      </c>
      <c r="U1658" s="32" t="n">
        <f aca="false">INDEX('Tabela Passaro'!$O$2:$O$1795,$N1658)</f>
        <v>5</v>
      </c>
      <c r="V1658" s="32" t="n">
        <f aca="false">ROUNDUP(J1658/INDEX('Tabela Passaro'!$Q$2:$Q$1795,$N1658),0)*INDEX('Tabela Passaro'!$P$2:$P$1795,$N1658)</f>
        <v>5</v>
      </c>
      <c r="W1658" s="32" t="n">
        <f aca="false">INDEX('Tabela Passaro'!$R$2:$R$1795,$N1658)</f>
        <v>30</v>
      </c>
      <c r="X1658" s="32" t="n">
        <f aca="false">ROUNDUP(J1658/INDEX('Tabela Passaro'!$T$2:$T$1795,$N1658),0)*INDEX('Tabela Passaro'!$S$2:$S$1795,$N1658)</f>
        <v>0</v>
      </c>
      <c r="Y1658" s="32" t="n">
        <f aca="false">INDEX('Tabela Passaro'!$U$2:$U$1795,$N1658)</f>
        <v>0</v>
      </c>
      <c r="Z1658" s="32" t="n">
        <f aca="false">INDEX('Tabela Passaro'!$V$2:$V$1795,$N1658)</f>
        <v>0</v>
      </c>
      <c r="AA1658" s="32" t="n">
        <f aca="false">SUM(R1658:Z1658)</f>
        <v>123.0723</v>
      </c>
      <c r="AB1658" s="33" t="n">
        <f aca="false">INDEX(Premissas!$B$5:$B$13,MATCH(A1658,Premissas!$A$5:$A$13,0))</f>
        <v>0.07</v>
      </c>
      <c r="AC1658" s="32" t="n">
        <f aca="false">AA1658/(1-AB1658)-AA1658</f>
        <v>9.26350645161291</v>
      </c>
      <c r="AD1658" s="32" t="n">
        <f aca="false">ROUND(AA1658+AC1658,2)</f>
        <v>132.34</v>
      </c>
      <c r="AE1658" s="32" t="n">
        <f aca="false">AD1658-L1658</f>
        <v>16.03</v>
      </c>
      <c r="AF1658" s="34" t="n">
        <f aca="false">IF(L1658=0,0,AE1658/L1658)</f>
        <v>0.137821339523687</v>
      </c>
      <c r="AG1658" s="22" t="str">
        <f aca="false">IF(AD1658&lt;L1658,"PASSARO","ATUAL")</f>
        <v>ATUAL</v>
      </c>
      <c r="AH1658" s="22" t="str">
        <f aca="false">IF(P1658&lt;&gt;A1658,"Faixa cadastrada como "&amp;P1658&amp;" na tabela; preço aplicado pela UF do CEP","")</f>
        <v/>
      </c>
      <c r="AI1658" s="26" t="n">
        <v>164</v>
      </c>
      <c r="AJ1658" s="22" t="str">
        <f aca="false">INDEX('Tabela Passaro'!$X$2:$X$1795,$N1658)</f>
        <v>CAPITAL</v>
      </c>
    </row>
    <row r="1659" customFormat="false" ht="15" hidden="false" customHeight="false" outlineLevel="0" collapsed="false">
      <c r="A1659" s="22" t="s">
        <v>22</v>
      </c>
      <c r="B1659" s="22" t="n">
        <v>1</v>
      </c>
      <c r="C1659" s="22" t="s">
        <v>182</v>
      </c>
      <c r="D1659" s="22" t="s">
        <v>30</v>
      </c>
      <c r="E1659" s="22" t="s">
        <v>20</v>
      </c>
      <c r="F1659" s="22" t="n">
        <v>837758</v>
      </c>
      <c r="G1659" s="30" t="n">
        <v>46238</v>
      </c>
      <c r="H1659" s="22" t="n">
        <v>32397</v>
      </c>
      <c r="I1659" s="22" t="s">
        <v>8833</v>
      </c>
      <c r="J1659" s="31" t="n">
        <v>22.4</v>
      </c>
      <c r="K1659" s="26" t="n">
        <v>478.75</v>
      </c>
      <c r="L1659" s="26" t="n">
        <v>114.6</v>
      </c>
      <c r="M1659" s="22" t="s">
        <v>6384</v>
      </c>
      <c r="N1659" s="22" t="n">
        <f aca="false">MATCH(M1659,'Tabela Passaro'!$A$2:$A$1795,0)</f>
        <v>1554</v>
      </c>
      <c r="O1659" s="22" t="str">
        <f aca="false">INDEX('Tabela Passaro'!$C$2:$C$1795,$N1659)</f>
        <v>NATAL</v>
      </c>
      <c r="P1659" s="22" t="str">
        <f aca="false">INDEX('Tabela Passaro'!$B$2:$B$1795,$N1659)</f>
        <v>RN</v>
      </c>
      <c r="Q1659" s="22" t="n">
        <f aca="false">INDEX('Tabela Passaro'!$F$2:$F$1795,$N1659)</f>
        <v>9</v>
      </c>
      <c r="R1659" s="32" t="n">
        <f aca="false">IF(J1659&lt;=10,INDEX('Tabela Passaro'!$G$2:$G$1795,$N1659),IF(J1659&lt;=30,INDEX('Tabela Passaro'!$H$2:$H$1795,$N1659),IF(J1659&lt;=50,INDEX('Tabela Passaro'!$I$2:$I$1795,$N1659),IF(J1659&lt;=70,INDEX('Tabela Passaro'!$J$2:$J$1795,$N1659),IF(J1659&lt;=100,INDEX('Tabela Passaro'!$K$2:$K$1795,$N1659),INDEX('Tabela Passaro'!$K$2:$K$1795,$N1659)+(J1659-100)*INDEX('Tabela Passaro'!$L$2:$L$1795,$N1659))))))</f>
        <v>78.39</v>
      </c>
      <c r="S1659" s="32" t="n">
        <f aca="false">K1659*INDEX('Tabela Passaro'!$M$2:$M$1795,$N1659)</f>
        <v>2.39375</v>
      </c>
      <c r="T1659" s="32" t="n">
        <f aca="false">K1659*INDEX('Tabela Passaro'!$N$2:$N$1795,$N1659)</f>
        <v>0.9575</v>
      </c>
      <c r="U1659" s="32" t="n">
        <f aca="false">INDEX('Tabela Passaro'!$O$2:$O$1795,$N1659)</f>
        <v>5</v>
      </c>
      <c r="V1659" s="32" t="n">
        <f aca="false">ROUNDUP(J1659/INDEX('Tabela Passaro'!$Q$2:$Q$1795,$N1659),0)*INDEX('Tabela Passaro'!$P$2:$P$1795,$N1659)</f>
        <v>5</v>
      </c>
      <c r="W1659" s="32" t="n">
        <f aca="false">INDEX('Tabela Passaro'!$R$2:$R$1795,$N1659)</f>
        <v>30</v>
      </c>
      <c r="X1659" s="32" t="n">
        <f aca="false">ROUNDUP(J1659/INDEX('Tabela Passaro'!$T$2:$T$1795,$N1659),0)*INDEX('Tabela Passaro'!$S$2:$S$1795,$N1659)</f>
        <v>0</v>
      </c>
      <c r="Y1659" s="32" t="n">
        <f aca="false">INDEX('Tabela Passaro'!$U$2:$U$1795,$N1659)</f>
        <v>0</v>
      </c>
      <c r="Z1659" s="32" t="n">
        <f aca="false">INDEX('Tabela Passaro'!$V$2:$V$1795,$N1659)</f>
        <v>0</v>
      </c>
      <c r="AA1659" s="32" t="n">
        <f aca="false">SUM(R1659:Z1659)</f>
        <v>121.74125</v>
      </c>
      <c r="AB1659" s="33" t="n">
        <f aca="false">INDEX(Premissas!$B$5:$B$13,MATCH(A1659,Premissas!$A$5:$A$13,0))</f>
        <v>0.07</v>
      </c>
      <c r="AC1659" s="32" t="n">
        <f aca="false">AA1659/(1-AB1659)-AA1659</f>
        <v>9.16331989247314</v>
      </c>
      <c r="AD1659" s="32" t="n">
        <f aca="false">ROUND(AA1659+AC1659,2)</f>
        <v>130.9</v>
      </c>
      <c r="AE1659" s="32" t="n">
        <f aca="false">AD1659-L1659</f>
        <v>16.3</v>
      </c>
      <c r="AF1659" s="34" t="n">
        <f aca="false">IF(L1659=0,0,AE1659/L1659)</f>
        <v>0.142233856893543</v>
      </c>
      <c r="AG1659" s="22" t="str">
        <f aca="false">IF(AD1659&lt;L1659,"PASSARO","ATUAL")</f>
        <v>ATUAL</v>
      </c>
      <c r="AH1659" s="22" t="str">
        <f aca="false">IF(P1659&lt;&gt;A1659,"Faixa cadastrada como "&amp;P1659&amp;" na tabela; preço aplicado pela UF do CEP","")</f>
        <v/>
      </c>
      <c r="AI1659" s="26" t="n">
        <v>162.16</v>
      </c>
      <c r="AJ1659" s="22" t="str">
        <f aca="false">INDEX('Tabela Passaro'!$X$2:$X$1795,$N1659)</f>
        <v>CAPITAL</v>
      </c>
    </row>
    <row r="1660" customFormat="false" ht="15" hidden="false" customHeight="false" outlineLevel="0" collapsed="false">
      <c r="A1660" s="22" t="s">
        <v>22</v>
      </c>
      <c r="B1660" s="22" t="n">
        <v>1</v>
      </c>
      <c r="C1660" s="22" t="s">
        <v>182</v>
      </c>
      <c r="D1660" s="22" t="s">
        <v>30</v>
      </c>
      <c r="E1660" s="22" t="s">
        <v>7328</v>
      </c>
      <c r="F1660" s="22" t="n">
        <v>2307462</v>
      </c>
      <c r="G1660" s="30" t="n">
        <v>46238</v>
      </c>
      <c r="H1660" s="22" t="n">
        <v>131457</v>
      </c>
      <c r="I1660" s="22" t="s">
        <v>8834</v>
      </c>
      <c r="J1660" s="31" t="n">
        <v>39.76</v>
      </c>
      <c r="K1660" s="26" t="n">
        <v>765.61</v>
      </c>
      <c r="L1660" s="26" t="n">
        <v>165.36</v>
      </c>
      <c r="M1660" s="22" t="s">
        <v>6384</v>
      </c>
      <c r="N1660" s="22" t="n">
        <f aca="false">MATCH(M1660,'Tabela Passaro'!$A$2:$A$1795,0)</f>
        <v>1554</v>
      </c>
      <c r="O1660" s="22" t="str">
        <f aca="false">INDEX('Tabela Passaro'!$C$2:$C$1795,$N1660)</f>
        <v>NATAL</v>
      </c>
      <c r="P1660" s="22" t="str">
        <f aca="false">INDEX('Tabela Passaro'!$B$2:$B$1795,$N1660)</f>
        <v>RN</v>
      </c>
      <c r="Q1660" s="22" t="n">
        <f aca="false">INDEX('Tabela Passaro'!$F$2:$F$1795,$N1660)</f>
        <v>9</v>
      </c>
      <c r="R1660" s="32" t="n">
        <f aca="false">IF(J1660&lt;=10,INDEX('Tabela Passaro'!$G$2:$G$1795,$N1660),IF(J1660&lt;=30,INDEX('Tabela Passaro'!$H$2:$H$1795,$N1660),IF(J1660&lt;=50,INDEX('Tabela Passaro'!$I$2:$I$1795,$N1660),IF(J1660&lt;=70,INDEX('Tabela Passaro'!$J$2:$J$1795,$N1660),IF(J1660&lt;=100,INDEX('Tabela Passaro'!$K$2:$K$1795,$N1660),INDEX('Tabela Passaro'!$K$2:$K$1795,$N1660)+(J1660-100)*INDEX('Tabela Passaro'!$L$2:$L$1795,$N1660))))))</f>
        <v>98.42</v>
      </c>
      <c r="S1660" s="32" t="n">
        <f aca="false">K1660*INDEX('Tabela Passaro'!$M$2:$M$1795,$N1660)</f>
        <v>3.82805</v>
      </c>
      <c r="T1660" s="32" t="n">
        <f aca="false">K1660*INDEX('Tabela Passaro'!$N$2:$N$1795,$N1660)</f>
        <v>1.53122</v>
      </c>
      <c r="U1660" s="32" t="n">
        <f aca="false">INDEX('Tabela Passaro'!$O$2:$O$1795,$N1660)</f>
        <v>5</v>
      </c>
      <c r="V1660" s="32" t="n">
        <f aca="false">ROUNDUP(J1660/INDEX('Tabela Passaro'!$Q$2:$Q$1795,$N1660),0)*INDEX('Tabela Passaro'!$P$2:$P$1795,$N1660)</f>
        <v>5</v>
      </c>
      <c r="W1660" s="32" t="n">
        <f aca="false">INDEX('Tabela Passaro'!$R$2:$R$1795,$N1660)</f>
        <v>30</v>
      </c>
      <c r="X1660" s="32" t="n">
        <f aca="false">ROUNDUP(J1660/INDEX('Tabela Passaro'!$T$2:$T$1795,$N1660),0)*INDEX('Tabela Passaro'!$S$2:$S$1795,$N1660)</f>
        <v>0</v>
      </c>
      <c r="Y1660" s="32" t="n">
        <f aca="false">INDEX('Tabela Passaro'!$U$2:$U$1795,$N1660)</f>
        <v>0</v>
      </c>
      <c r="Z1660" s="32" t="n">
        <f aca="false">INDEX('Tabela Passaro'!$V$2:$V$1795,$N1660)</f>
        <v>0</v>
      </c>
      <c r="AA1660" s="32" t="n">
        <f aca="false">SUM(R1660:Z1660)</f>
        <v>143.77927</v>
      </c>
      <c r="AB1660" s="33" t="n">
        <f aca="false">INDEX(Premissas!$B$5:$B$13,MATCH(A1660,Premissas!$A$5:$A$13,0))</f>
        <v>0.07</v>
      </c>
      <c r="AC1660" s="32" t="n">
        <f aca="false">AA1660/(1-AB1660)-AA1660</f>
        <v>10.8220955913979</v>
      </c>
      <c r="AD1660" s="32" t="n">
        <f aca="false">ROUND(AA1660+AC1660,2)</f>
        <v>154.6</v>
      </c>
      <c r="AE1660" s="32" t="n">
        <f aca="false">AD1660-L1660</f>
        <v>-10.76</v>
      </c>
      <c r="AF1660" s="34" t="n">
        <f aca="false">IF(L1660=0,0,AE1660/L1660)</f>
        <v>-0.0650701499758105</v>
      </c>
      <c r="AG1660" s="22" t="str">
        <f aca="false">IF(AD1660&lt;L1660,"PASSARO","ATUAL")</f>
        <v>PASSARO</v>
      </c>
      <c r="AH1660" s="22" t="str">
        <f aca="false">IF(P1660&lt;&gt;A1660,"Faixa cadastrada como "&amp;P1660&amp;" na tabela; preço aplicado pela UF do CEP","")</f>
        <v/>
      </c>
      <c r="AI1660" s="26" t="n">
        <v>198.2</v>
      </c>
      <c r="AJ1660" s="22" t="str">
        <f aca="false">INDEX('Tabela Passaro'!$X$2:$X$1795,$N1660)</f>
        <v>CAPITAL</v>
      </c>
    </row>
    <row r="1661" customFormat="false" ht="15" hidden="false" customHeight="false" outlineLevel="0" collapsed="false">
      <c r="A1661" s="22" t="s">
        <v>22</v>
      </c>
      <c r="B1661" s="22" t="n">
        <v>1</v>
      </c>
      <c r="C1661" s="22" t="s">
        <v>182</v>
      </c>
      <c r="D1661" s="22" t="s">
        <v>30</v>
      </c>
      <c r="E1661" s="22" t="s">
        <v>7328</v>
      </c>
      <c r="F1661" s="22" t="n">
        <v>2307485</v>
      </c>
      <c r="G1661" s="30" t="n">
        <v>46238</v>
      </c>
      <c r="H1661" s="22" t="n">
        <v>131478</v>
      </c>
      <c r="I1661" s="22" t="s">
        <v>8835</v>
      </c>
      <c r="J1661" s="31" t="n">
        <v>59.8</v>
      </c>
      <c r="K1661" s="26" t="n">
        <v>1256.82</v>
      </c>
      <c r="L1661" s="26" t="n">
        <v>200.89</v>
      </c>
      <c r="M1661" s="22" t="s">
        <v>6384</v>
      </c>
      <c r="N1661" s="22" t="n">
        <f aca="false">MATCH(M1661,'Tabela Passaro'!$A$2:$A$1795,0)</f>
        <v>1554</v>
      </c>
      <c r="O1661" s="22" t="str">
        <f aca="false">INDEX('Tabela Passaro'!$C$2:$C$1795,$N1661)</f>
        <v>NATAL</v>
      </c>
      <c r="P1661" s="22" t="str">
        <f aca="false">INDEX('Tabela Passaro'!$B$2:$B$1795,$N1661)</f>
        <v>RN</v>
      </c>
      <c r="Q1661" s="22" t="n">
        <f aca="false">INDEX('Tabela Passaro'!$F$2:$F$1795,$N1661)</f>
        <v>9</v>
      </c>
      <c r="R1661" s="32" t="n">
        <f aca="false">IF(J1661&lt;=10,INDEX('Tabela Passaro'!$G$2:$G$1795,$N1661),IF(J1661&lt;=30,INDEX('Tabela Passaro'!$H$2:$H$1795,$N1661),IF(J1661&lt;=50,INDEX('Tabela Passaro'!$I$2:$I$1795,$N1661),IF(J1661&lt;=70,INDEX('Tabela Passaro'!$J$2:$J$1795,$N1661),IF(J1661&lt;=100,INDEX('Tabela Passaro'!$K$2:$K$1795,$N1661),INDEX('Tabela Passaro'!$K$2:$K$1795,$N1661)+(J1661-100)*INDEX('Tabela Passaro'!$L$2:$L$1795,$N1661))))))</f>
        <v>108.44</v>
      </c>
      <c r="S1661" s="32" t="n">
        <f aca="false">K1661*INDEX('Tabela Passaro'!$M$2:$M$1795,$N1661)</f>
        <v>6.2841</v>
      </c>
      <c r="T1661" s="32" t="n">
        <f aca="false">K1661*INDEX('Tabela Passaro'!$N$2:$N$1795,$N1661)</f>
        <v>2.51364</v>
      </c>
      <c r="U1661" s="32" t="n">
        <f aca="false">INDEX('Tabela Passaro'!$O$2:$O$1795,$N1661)</f>
        <v>5</v>
      </c>
      <c r="V1661" s="32" t="n">
        <f aca="false">ROUNDUP(J1661/INDEX('Tabela Passaro'!$Q$2:$Q$1795,$N1661),0)*INDEX('Tabela Passaro'!$P$2:$P$1795,$N1661)</f>
        <v>5</v>
      </c>
      <c r="W1661" s="32" t="n">
        <f aca="false">INDEX('Tabela Passaro'!$R$2:$R$1795,$N1661)</f>
        <v>30</v>
      </c>
      <c r="X1661" s="32" t="n">
        <f aca="false">ROUNDUP(J1661/INDEX('Tabela Passaro'!$T$2:$T$1795,$N1661),0)*INDEX('Tabela Passaro'!$S$2:$S$1795,$N1661)</f>
        <v>0</v>
      </c>
      <c r="Y1661" s="32" t="n">
        <f aca="false">INDEX('Tabela Passaro'!$U$2:$U$1795,$N1661)</f>
        <v>0</v>
      </c>
      <c r="Z1661" s="32" t="n">
        <f aca="false">INDEX('Tabela Passaro'!$V$2:$V$1795,$N1661)</f>
        <v>0</v>
      </c>
      <c r="AA1661" s="32" t="n">
        <f aca="false">SUM(R1661:Z1661)</f>
        <v>157.23774</v>
      </c>
      <c r="AB1661" s="33" t="n">
        <f aca="false">INDEX(Premissas!$B$5:$B$13,MATCH(A1661,Premissas!$A$5:$A$13,0))</f>
        <v>0.07</v>
      </c>
      <c r="AC1661" s="32" t="n">
        <f aca="false">AA1661/(1-AB1661)-AA1661</f>
        <v>11.8350987096774</v>
      </c>
      <c r="AD1661" s="32" t="n">
        <f aca="false">ROUND(AA1661+AC1661,2)</f>
        <v>169.07</v>
      </c>
      <c r="AE1661" s="32" t="n">
        <f aca="false">AD1661-L1661</f>
        <v>-31.82</v>
      </c>
      <c r="AF1661" s="34" t="n">
        <f aca="false">IF(L1661=0,0,AE1661/L1661)</f>
        <v>-0.158395141619792</v>
      </c>
      <c r="AG1661" s="22" t="str">
        <f aca="false">IF(AD1661&lt;L1661,"PASSARO","ATUAL")</f>
        <v>PASSARO</v>
      </c>
      <c r="AH1661" s="22" t="str">
        <f aca="false">IF(P1661&lt;&gt;A1661,"Faixa cadastrada como "&amp;P1661&amp;" na tabela; preço aplicado pela UF do CEP","")</f>
        <v/>
      </c>
      <c r="AI1661" s="26" t="n">
        <v>225.16</v>
      </c>
      <c r="AJ1661" s="22" t="str">
        <f aca="false">INDEX('Tabela Passaro'!$X$2:$X$1795,$N1661)</f>
        <v>CAPITAL</v>
      </c>
    </row>
    <row r="1662" customFormat="false" ht="15" hidden="false" customHeight="false" outlineLevel="0" collapsed="false">
      <c r="A1662" s="22" t="s">
        <v>22</v>
      </c>
      <c r="B1662" s="22" t="n">
        <v>1</v>
      </c>
      <c r="C1662" s="22" t="s">
        <v>182</v>
      </c>
      <c r="D1662" s="22" t="s">
        <v>30</v>
      </c>
      <c r="E1662" s="22" t="s">
        <v>7328</v>
      </c>
      <c r="F1662" s="22" t="n">
        <v>2307484</v>
      </c>
      <c r="G1662" s="30" t="n">
        <v>46238</v>
      </c>
      <c r="H1662" s="22" t="n">
        <v>131481</v>
      </c>
      <c r="I1662" s="22" t="s">
        <v>8836</v>
      </c>
      <c r="J1662" s="31" t="n">
        <v>66.4</v>
      </c>
      <c r="K1662" s="26" t="n">
        <v>1023.89</v>
      </c>
      <c r="L1662" s="26" t="n">
        <v>199.06</v>
      </c>
      <c r="M1662" s="22" t="s">
        <v>6384</v>
      </c>
      <c r="N1662" s="22" t="n">
        <f aca="false">MATCH(M1662,'Tabela Passaro'!$A$2:$A$1795,0)</f>
        <v>1554</v>
      </c>
      <c r="O1662" s="22" t="str">
        <f aca="false">INDEX('Tabela Passaro'!$C$2:$C$1795,$N1662)</f>
        <v>NATAL</v>
      </c>
      <c r="P1662" s="22" t="str">
        <f aca="false">INDEX('Tabela Passaro'!$B$2:$B$1795,$N1662)</f>
        <v>RN</v>
      </c>
      <c r="Q1662" s="22" t="n">
        <f aca="false">INDEX('Tabela Passaro'!$F$2:$F$1795,$N1662)</f>
        <v>9</v>
      </c>
      <c r="R1662" s="32" t="n">
        <f aca="false">IF(J1662&lt;=10,INDEX('Tabela Passaro'!$G$2:$G$1795,$N1662),IF(J1662&lt;=30,INDEX('Tabela Passaro'!$H$2:$H$1795,$N1662),IF(J1662&lt;=50,INDEX('Tabela Passaro'!$I$2:$I$1795,$N1662),IF(J1662&lt;=70,INDEX('Tabela Passaro'!$J$2:$J$1795,$N1662),IF(J1662&lt;=100,INDEX('Tabela Passaro'!$K$2:$K$1795,$N1662),INDEX('Tabela Passaro'!$K$2:$K$1795,$N1662)+(J1662-100)*INDEX('Tabela Passaro'!$L$2:$L$1795,$N1662))))))</f>
        <v>108.44</v>
      </c>
      <c r="S1662" s="32" t="n">
        <f aca="false">K1662*INDEX('Tabela Passaro'!$M$2:$M$1795,$N1662)</f>
        <v>5.11945</v>
      </c>
      <c r="T1662" s="32" t="n">
        <f aca="false">K1662*INDEX('Tabela Passaro'!$N$2:$N$1795,$N1662)</f>
        <v>2.04778</v>
      </c>
      <c r="U1662" s="32" t="n">
        <f aca="false">INDEX('Tabela Passaro'!$O$2:$O$1795,$N1662)</f>
        <v>5</v>
      </c>
      <c r="V1662" s="32" t="n">
        <f aca="false">ROUNDUP(J1662/INDEX('Tabela Passaro'!$Q$2:$Q$1795,$N1662),0)*INDEX('Tabela Passaro'!$P$2:$P$1795,$N1662)</f>
        <v>5</v>
      </c>
      <c r="W1662" s="32" t="n">
        <f aca="false">INDEX('Tabela Passaro'!$R$2:$R$1795,$N1662)</f>
        <v>30</v>
      </c>
      <c r="X1662" s="32" t="n">
        <f aca="false">ROUNDUP(J1662/INDEX('Tabela Passaro'!$T$2:$T$1795,$N1662),0)*INDEX('Tabela Passaro'!$S$2:$S$1795,$N1662)</f>
        <v>0</v>
      </c>
      <c r="Y1662" s="32" t="n">
        <f aca="false">INDEX('Tabela Passaro'!$U$2:$U$1795,$N1662)</f>
        <v>0</v>
      </c>
      <c r="Z1662" s="32" t="n">
        <f aca="false">INDEX('Tabela Passaro'!$V$2:$V$1795,$N1662)</f>
        <v>0</v>
      </c>
      <c r="AA1662" s="32" t="n">
        <f aca="false">SUM(R1662:Z1662)</f>
        <v>155.60723</v>
      </c>
      <c r="AB1662" s="33" t="n">
        <f aca="false">INDEX(Premissas!$B$5:$B$13,MATCH(A1662,Premissas!$A$5:$A$13,0))</f>
        <v>0.07</v>
      </c>
      <c r="AC1662" s="32" t="n">
        <f aca="false">AA1662/(1-AB1662)-AA1662</f>
        <v>11.7123721505376</v>
      </c>
      <c r="AD1662" s="32" t="n">
        <f aca="false">ROUND(AA1662+AC1662,2)</f>
        <v>167.32</v>
      </c>
      <c r="AE1662" s="32" t="n">
        <f aca="false">AD1662-L1662</f>
        <v>-31.74</v>
      </c>
      <c r="AF1662" s="34" t="n">
        <f aca="false">IF(L1662=0,0,AE1662/L1662)</f>
        <v>-0.159449412237516</v>
      </c>
      <c r="AG1662" s="22" t="str">
        <f aca="false">IF(AD1662&lt;L1662,"PASSARO","ATUAL")</f>
        <v>PASSARO</v>
      </c>
      <c r="AH1662" s="22" t="str">
        <f aca="false">IF(P1662&lt;&gt;A1662,"Faixa cadastrada como "&amp;P1662&amp;" na tabela; preço aplicado pela UF do CEP","")</f>
        <v/>
      </c>
      <c r="AI1662" s="26" t="n">
        <v>226.3</v>
      </c>
      <c r="AJ1662" s="22" t="str">
        <f aca="false">INDEX('Tabela Passaro'!$X$2:$X$1795,$N1662)</f>
        <v>CAPITAL</v>
      </c>
    </row>
    <row r="1663" customFormat="false" ht="15" hidden="false" customHeight="false" outlineLevel="0" collapsed="false">
      <c r="A1663" s="22" t="s">
        <v>22</v>
      </c>
      <c r="B1663" s="22" t="n">
        <v>1</v>
      </c>
      <c r="C1663" s="22" t="s">
        <v>182</v>
      </c>
      <c r="D1663" s="22" t="s">
        <v>30</v>
      </c>
      <c r="E1663" s="22" t="s">
        <v>7328</v>
      </c>
      <c r="F1663" s="22" t="n">
        <v>2307940</v>
      </c>
      <c r="G1663" s="30" t="n">
        <v>46239</v>
      </c>
      <c r="H1663" s="22" t="n">
        <v>131927</v>
      </c>
      <c r="I1663" s="22" t="s">
        <v>8837</v>
      </c>
      <c r="J1663" s="31" t="n">
        <v>46.8</v>
      </c>
      <c r="K1663" s="26" t="n">
        <v>796.03</v>
      </c>
      <c r="L1663" s="26" t="n">
        <v>165.6</v>
      </c>
      <c r="M1663" s="22" t="s">
        <v>6384</v>
      </c>
      <c r="N1663" s="22" t="n">
        <f aca="false">MATCH(M1663,'Tabela Passaro'!$A$2:$A$1795,0)</f>
        <v>1554</v>
      </c>
      <c r="O1663" s="22" t="str">
        <f aca="false">INDEX('Tabela Passaro'!$C$2:$C$1795,$N1663)</f>
        <v>NATAL</v>
      </c>
      <c r="P1663" s="22" t="str">
        <f aca="false">INDEX('Tabela Passaro'!$B$2:$B$1795,$N1663)</f>
        <v>RN</v>
      </c>
      <c r="Q1663" s="22" t="n">
        <f aca="false">INDEX('Tabela Passaro'!$F$2:$F$1795,$N1663)</f>
        <v>9</v>
      </c>
      <c r="R1663" s="32" t="n">
        <f aca="false">IF(J1663&lt;=10,INDEX('Tabela Passaro'!$G$2:$G$1795,$N1663),IF(J1663&lt;=30,INDEX('Tabela Passaro'!$H$2:$H$1795,$N1663),IF(J1663&lt;=50,INDEX('Tabela Passaro'!$I$2:$I$1795,$N1663),IF(J1663&lt;=70,INDEX('Tabela Passaro'!$J$2:$J$1795,$N1663),IF(J1663&lt;=100,INDEX('Tabela Passaro'!$K$2:$K$1795,$N1663),INDEX('Tabela Passaro'!$K$2:$K$1795,$N1663)+(J1663-100)*INDEX('Tabela Passaro'!$L$2:$L$1795,$N1663))))))</f>
        <v>98.42</v>
      </c>
      <c r="S1663" s="32" t="n">
        <f aca="false">K1663*INDEX('Tabela Passaro'!$M$2:$M$1795,$N1663)</f>
        <v>3.98015</v>
      </c>
      <c r="T1663" s="32" t="n">
        <f aca="false">K1663*INDEX('Tabela Passaro'!$N$2:$N$1795,$N1663)</f>
        <v>1.59206</v>
      </c>
      <c r="U1663" s="32" t="n">
        <f aca="false">INDEX('Tabela Passaro'!$O$2:$O$1795,$N1663)</f>
        <v>5</v>
      </c>
      <c r="V1663" s="32" t="n">
        <f aca="false">ROUNDUP(J1663/INDEX('Tabela Passaro'!$Q$2:$Q$1795,$N1663),0)*INDEX('Tabela Passaro'!$P$2:$P$1795,$N1663)</f>
        <v>5</v>
      </c>
      <c r="W1663" s="32" t="n">
        <f aca="false">INDEX('Tabela Passaro'!$R$2:$R$1795,$N1663)</f>
        <v>30</v>
      </c>
      <c r="X1663" s="32" t="n">
        <f aca="false">ROUNDUP(J1663/INDEX('Tabela Passaro'!$T$2:$T$1795,$N1663),0)*INDEX('Tabela Passaro'!$S$2:$S$1795,$N1663)</f>
        <v>0</v>
      </c>
      <c r="Y1663" s="32" t="n">
        <f aca="false">INDEX('Tabela Passaro'!$U$2:$U$1795,$N1663)</f>
        <v>0</v>
      </c>
      <c r="Z1663" s="32" t="n">
        <f aca="false">INDEX('Tabela Passaro'!$V$2:$V$1795,$N1663)</f>
        <v>0</v>
      </c>
      <c r="AA1663" s="32" t="n">
        <f aca="false">SUM(R1663:Z1663)</f>
        <v>143.99221</v>
      </c>
      <c r="AB1663" s="33" t="n">
        <f aca="false">INDEX(Premissas!$B$5:$B$13,MATCH(A1663,Premissas!$A$5:$A$13,0))</f>
        <v>0.07</v>
      </c>
      <c r="AC1663" s="32" t="n">
        <f aca="false">AA1663/(1-AB1663)-AA1663</f>
        <v>10.8381233333334</v>
      </c>
      <c r="AD1663" s="32" t="n">
        <f aca="false">ROUND(AA1663+AC1663,2)</f>
        <v>154.83</v>
      </c>
      <c r="AE1663" s="32" t="n">
        <f aca="false">AD1663-L1663</f>
        <v>-10.77</v>
      </c>
      <c r="AF1663" s="34" t="n">
        <f aca="false">IF(L1663=0,0,AE1663/L1663)</f>
        <v>-0.0650362318840579</v>
      </c>
      <c r="AG1663" s="22" t="str">
        <f aca="false">IF(AD1663&lt;L1663,"PASSARO","ATUAL")</f>
        <v>PASSARO</v>
      </c>
      <c r="AH1663" s="22" t="str">
        <f aca="false">IF(P1663&lt;&gt;A1663,"Faixa cadastrada como "&amp;P1663&amp;" na tabela; preço aplicado pela UF do CEP","")</f>
        <v/>
      </c>
      <c r="AI1663" s="26" t="n">
        <v>201.89</v>
      </c>
      <c r="AJ1663" s="22" t="str">
        <f aca="false">INDEX('Tabela Passaro'!$X$2:$X$1795,$N1663)</f>
        <v>CAPITAL</v>
      </c>
    </row>
    <row r="1664" customFormat="false" ht="15" hidden="false" customHeight="false" outlineLevel="0" collapsed="false">
      <c r="A1664" s="22" t="s">
        <v>22</v>
      </c>
      <c r="B1664" s="22" t="n">
        <v>1</v>
      </c>
      <c r="C1664" s="22" t="s">
        <v>182</v>
      </c>
      <c r="D1664" s="22" t="s">
        <v>30</v>
      </c>
      <c r="E1664" s="22" t="s">
        <v>7326</v>
      </c>
      <c r="F1664" s="22" t="n">
        <v>523076</v>
      </c>
      <c r="G1664" s="30" t="n">
        <v>46241</v>
      </c>
      <c r="H1664" s="22" t="n">
        <v>621370</v>
      </c>
      <c r="I1664" s="22" t="s">
        <v>8838</v>
      </c>
      <c r="J1664" s="31" t="n">
        <v>39.1</v>
      </c>
      <c r="K1664" s="26" t="n">
        <v>820.91</v>
      </c>
      <c r="L1664" s="26" t="n">
        <v>187.34</v>
      </c>
      <c r="M1664" s="22" t="s">
        <v>6384</v>
      </c>
      <c r="N1664" s="22" t="n">
        <f aca="false">MATCH(M1664,'Tabela Passaro'!$A$2:$A$1795,0)</f>
        <v>1554</v>
      </c>
      <c r="O1664" s="22" t="str">
        <f aca="false">INDEX('Tabela Passaro'!$C$2:$C$1795,$N1664)</f>
        <v>NATAL</v>
      </c>
      <c r="P1664" s="22" t="str">
        <f aca="false">INDEX('Tabela Passaro'!$B$2:$B$1795,$N1664)</f>
        <v>RN</v>
      </c>
      <c r="Q1664" s="22" t="n">
        <f aca="false">INDEX('Tabela Passaro'!$F$2:$F$1795,$N1664)</f>
        <v>9</v>
      </c>
      <c r="R1664" s="32" t="n">
        <f aca="false">IF(J1664&lt;=10,INDEX('Tabela Passaro'!$G$2:$G$1795,$N1664),IF(J1664&lt;=30,INDEX('Tabela Passaro'!$H$2:$H$1795,$N1664),IF(J1664&lt;=50,INDEX('Tabela Passaro'!$I$2:$I$1795,$N1664),IF(J1664&lt;=70,INDEX('Tabela Passaro'!$J$2:$J$1795,$N1664),IF(J1664&lt;=100,INDEX('Tabela Passaro'!$K$2:$K$1795,$N1664),INDEX('Tabela Passaro'!$K$2:$K$1795,$N1664)+(J1664-100)*INDEX('Tabela Passaro'!$L$2:$L$1795,$N1664))))))</f>
        <v>98.42</v>
      </c>
      <c r="S1664" s="32" t="n">
        <f aca="false">K1664*INDEX('Tabela Passaro'!$M$2:$M$1795,$N1664)</f>
        <v>4.10455</v>
      </c>
      <c r="T1664" s="32" t="n">
        <f aca="false">K1664*INDEX('Tabela Passaro'!$N$2:$N$1795,$N1664)</f>
        <v>1.64182</v>
      </c>
      <c r="U1664" s="32" t="n">
        <f aca="false">INDEX('Tabela Passaro'!$O$2:$O$1795,$N1664)</f>
        <v>5</v>
      </c>
      <c r="V1664" s="32" t="n">
        <f aca="false">ROUNDUP(J1664/INDEX('Tabela Passaro'!$Q$2:$Q$1795,$N1664),0)*INDEX('Tabela Passaro'!$P$2:$P$1795,$N1664)</f>
        <v>5</v>
      </c>
      <c r="W1664" s="32" t="n">
        <f aca="false">INDEX('Tabela Passaro'!$R$2:$R$1795,$N1664)</f>
        <v>30</v>
      </c>
      <c r="X1664" s="32" t="n">
        <f aca="false">ROUNDUP(J1664/INDEX('Tabela Passaro'!$T$2:$T$1795,$N1664),0)*INDEX('Tabela Passaro'!$S$2:$S$1795,$N1664)</f>
        <v>0</v>
      </c>
      <c r="Y1664" s="32" t="n">
        <f aca="false">INDEX('Tabela Passaro'!$U$2:$U$1795,$N1664)</f>
        <v>0</v>
      </c>
      <c r="Z1664" s="32" t="n">
        <f aca="false">INDEX('Tabela Passaro'!$V$2:$V$1795,$N1664)</f>
        <v>0</v>
      </c>
      <c r="AA1664" s="32" t="n">
        <f aca="false">SUM(R1664:Z1664)</f>
        <v>144.16637</v>
      </c>
      <c r="AB1664" s="33" t="n">
        <f aca="false">INDEX(Premissas!$B$5:$B$13,MATCH(A1664,Premissas!$A$5:$A$13,0))</f>
        <v>0.07</v>
      </c>
      <c r="AC1664" s="32" t="n">
        <f aca="false">AA1664/(1-AB1664)-AA1664</f>
        <v>10.8512321505376</v>
      </c>
      <c r="AD1664" s="32" t="n">
        <f aca="false">ROUND(AA1664+AC1664,2)</f>
        <v>155.02</v>
      </c>
      <c r="AE1664" s="32" t="n">
        <f aca="false">AD1664-L1664</f>
        <v>-32.32</v>
      </c>
      <c r="AF1664" s="34" t="n">
        <f aca="false">IF(L1664=0,0,AE1664/L1664)</f>
        <v>-0.172520550870076</v>
      </c>
      <c r="AG1664" s="22" t="str">
        <f aca="false">IF(AD1664&lt;L1664,"PASSARO","ATUAL")</f>
        <v>PASSARO</v>
      </c>
      <c r="AH1664" s="22" t="str">
        <f aca="false">IF(P1664&lt;&gt;A1664,"Faixa cadastrada como "&amp;P1664&amp;" na tabela; preço aplicado pela UF do CEP","")</f>
        <v/>
      </c>
      <c r="AI1664" s="26" t="n">
        <v>198.74</v>
      </c>
      <c r="AJ1664" s="22" t="str">
        <f aca="false">INDEX('Tabela Passaro'!$X$2:$X$1795,$N1664)</f>
        <v>CAPITAL</v>
      </c>
    </row>
    <row r="1665" customFormat="false" ht="15" hidden="false" customHeight="false" outlineLevel="0" collapsed="false">
      <c r="A1665" s="22" t="s">
        <v>22</v>
      </c>
      <c r="B1665" s="22" t="n">
        <v>1</v>
      </c>
      <c r="C1665" s="22" t="s">
        <v>182</v>
      </c>
      <c r="D1665" s="22" t="s">
        <v>30</v>
      </c>
      <c r="E1665" s="22" t="s">
        <v>7328</v>
      </c>
      <c r="F1665" s="22" t="n">
        <v>2309795</v>
      </c>
      <c r="G1665" s="30" t="n">
        <v>46244</v>
      </c>
      <c r="H1665" s="22" t="n">
        <v>132162</v>
      </c>
      <c r="I1665" s="22" t="s">
        <v>8839</v>
      </c>
      <c r="J1665" s="31" t="n">
        <v>61.3</v>
      </c>
      <c r="K1665" s="26" t="n">
        <v>1209.79</v>
      </c>
      <c r="L1665" s="26" t="n">
        <v>200.52</v>
      </c>
      <c r="M1665" s="22" t="s">
        <v>6384</v>
      </c>
      <c r="N1665" s="22" t="n">
        <f aca="false">MATCH(M1665,'Tabela Passaro'!$A$2:$A$1795,0)</f>
        <v>1554</v>
      </c>
      <c r="O1665" s="22" t="str">
        <f aca="false">INDEX('Tabela Passaro'!$C$2:$C$1795,$N1665)</f>
        <v>NATAL</v>
      </c>
      <c r="P1665" s="22" t="str">
        <f aca="false">INDEX('Tabela Passaro'!$B$2:$B$1795,$N1665)</f>
        <v>RN</v>
      </c>
      <c r="Q1665" s="22" t="n">
        <f aca="false">INDEX('Tabela Passaro'!$F$2:$F$1795,$N1665)</f>
        <v>9</v>
      </c>
      <c r="R1665" s="32" t="n">
        <f aca="false">IF(J1665&lt;=10,INDEX('Tabela Passaro'!$G$2:$G$1795,$N1665),IF(J1665&lt;=30,INDEX('Tabela Passaro'!$H$2:$H$1795,$N1665),IF(J1665&lt;=50,INDEX('Tabela Passaro'!$I$2:$I$1795,$N1665),IF(J1665&lt;=70,INDEX('Tabela Passaro'!$J$2:$J$1795,$N1665),IF(J1665&lt;=100,INDEX('Tabela Passaro'!$K$2:$K$1795,$N1665),INDEX('Tabela Passaro'!$K$2:$K$1795,$N1665)+(J1665-100)*INDEX('Tabela Passaro'!$L$2:$L$1795,$N1665))))))</f>
        <v>108.44</v>
      </c>
      <c r="S1665" s="32" t="n">
        <f aca="false">K1665*INDEX('Tabela Passaro'!$M$2:$M$1795,$N1665)</f>
        <v>6.04895</v>
      </c>
      <c r="T1665" s="32" t="n">
        <f aca="false">K1665*INDEX('Tabela Passaro'!$N$2:$N$1795,$N1665)</f>
        <v>2.41958</v>
      </c>
      <c r="U1665" s="32" t="n">
        <f aca="false">INDEX('Tabela Passaro'!$O$2:$O$1795,$N1665)</f>
        <v>5</v>
      </c>
      <c r="V1665" s="32" t="n">
        <f aca="false">ROUNDUP(J1665/INDEX('Tabela Passaro'!$Q$2:$Q$1795,$N1665),0)*INDEX('Tabela Passaro'!$P$2:$P$1795,$N1665)</f>
        <v>5</v>
      </c>
      <c r="W1665" s="32" t="n">
        <f aca="false">INDEX('Tabela Passaro'!$R$2:$R$1795,$N1665)</f>
        <v>30</v>
      </c>
      <c r="X1665" s="32" t="n">
        <f aca="false">ROUNDUP(J1665/INDEX('Tabela Passaro'!$T$2:$T$1795,$N1665),0)*INDEX('Tabela Passaro'!$S$2:$S$1795,$N1665)</f>
        <v>0</v>
      </c>
      <c r="Y1665" s="32" t="n">
        <f aca="false">INDEX('Tabela Passaro'!$U$2:$U$1795,$N1665)</f>
        <v>0</v>
      </c>
      <c r="Z1665" s="32" t="n">
        <f aca="false">INDEX('Tabela Passaro'!$V$2:$V$1795,$N1665)</f>
        <v>0</v>
      </c>
      <c r="AA1665" s="32" t="n">
        <f aca="false">SUM(R1665:Z1665)</f>
        <v>156.90853</v>
      </c>
      <c r="AB1665" s="33" t="n">
        <f aca="false">INDEX(Premissas!$B$5:$B$13,MATCH(A1665,Premissas!$A$5:$A$13,0))</f>
        <v>0.07</v>
      </c>
      <c r="AC1665" s="32" t="n">
        <f aca="false">AA1665/(1-AB1665)-AA1665</f>
        <v>11.8103194623656</v>
      </c>
      <c r="AD1665" s="32" t="n">
        <f aca="false">ROUND(AA1665+AC1665,2)</f>
        <v>168.72</v>
      </c>
      <c r="AE1665" s="32" t="n">
        <f aca="false">AD1665-L1665</f>
        <v>-31.8</v>
      </c>
      <c r="AF1665" s="34" t="n">
        <f aca="false">IF(L1665=0,0,AE1665/L1665)</f>
        <v>-0.158587672052663</v>
      </c>
      <c r="AG1665" s="22" t="str">
        <f aca="false">IF(AD1665&lt;L1665,"PASSARO","ATUAL")</f>
        <v>PASSARO</v>
      </c>
      <c r="AH1665" s="22" t="str">
        <f aca="false">IF(P1665&lt;&gt;A1665,"Faixa cadastrada como "&amp;P1665&amp;" na tabela; preço aplicado pela UF do CEP","")</f>
        <v/>
      </c>
      <c r="AI1665" s="26" t="n">
        <v>225.68</v>
      </c>
      <c r="AJ1665" s="22" t="str">
        <f aca="false">INDEX('Tabela Passaro'!$X$2:$X$1795,$N1665)</f>
        <v>CAPITAL</v>
      </c>
    </row>
    <row r="1666" customFormat="false" ht="15" hidden="false" customHeight="false" outlineLevel="0" collapsed="false">
      <c r="A1666" s="22" t="s">
        <v>22</v>
      </c>
      <c r="B1666" s="22" t="n">
        <v>1</v>
      </c>
      <c r="C1666" s="22" t="s">
        <v>182</v>
      </c>
      <c r="D1666" s="22" t="s">
        <v>30</v>
      </c>
      <c r="E1666" s="22" t="s">
        <v>7328</v>
      </c>
      <c r="F1666" s="22" t="n">
        <v>2311254</v>
      </c>
      <c r="G1666" s="30" t="n">
        <v>46246</v>
      </c>
      <c r="H1666" s="22" t="n">
        <v>132542</v>
      </c>
      <c r="I1666" s="22" t="s">
        <v>8838</v>
      </c>
      <c r="J1666" s="31" t="n">
        <v>28.1</v>
      </c>
      <c r="K1666" s="26" t="n">
        <v>565.39</v>
      </c>
      <c r="L1666" s="26" t="n">
        <v>124.74</v>
      </c>
      <c r="M1666" s="22" t="s">
        <v>6384</v>
      </c>
      <c r="N1666" s="22" t="n">
        <f aca="false">MATCH(M1666,'Tabela Passaro'!$A$2:$A$1795,0)</f>
        <v>1554</v>
      </c>
      <c r="O1666" s="22" t="str">
        <f aca="false">INDEX('Tabela Passaro'!$C$2:$C$1795,$N1666)</f>
        <v>NATAL</v>
      </c>
      <c r="P1666" s="22" t="str">
        <f aca="false">INDEX('Tabela Passaro'!$B$2:$B$1795,$N1666)</f>
        <v>RN</v>
      </c>
      <c r="Q1666" s="22" t="n">
        <f aca="false">INDEX('Tabela Passaro'!$F$2:$F$1795,$N1666)</f>
        <v>9</v>
      </c>
      <c r="R1666" s="32" t="n">
        <f aca="false">IF(J1666&lt;=10,INDEX('Tabela Passaro'!$G$2:$G$1795,$N1666),IF(J1666&lt;=30,INDEX('Tabela Passaro'!$H$2:$H$1795,$N1666),IF(J1666&lt;=50,INDEX('Tabela Passaro'!$I$2:$I$1795,$N1666),IF(J1666&lt;=70,INDEX('Tabela Passaro'!$J$2:$J$1795,$N1666),IF(J1666&lt;=100,INDEX('Tabela Passaro'!$K$2:$K$1795,$N1666),INDEX('Tabela Passaro'!$K$2:$K$1795,$N1666)+(J1666-100)*INDEX('Tabela Passaro'!$L$2:$L$1795,$N1666))))))</f>
        <v>78.39</v>
      </c>
      <c r="S1666" s="32" t="n">
        <f aca="false">K1666*INDEX('Tabela Passaro'!$M$2:$M$1795,$N1666)</f>
        <v>2.82695</v>
      </c>
      <c r="T1666" s="32" t="n">
        <f aca="false">K1666*INDEX('Tabela Passaro'!$N$2:$N$1795,$N1666)</f>
        <v>1.13078</v>
      </c>
      <c r="U1666" s="32" t="n">
        <f aca="false">INDEX('Tabela Passaro'!$O$2:$O$1795,$N1666)</f>
        <v>5</v>
      </c>
      <c r="V1666" s="32" t="n">
        <f aca="false">ROUNDUP(J1666/INDEX('Tabela Passaro'!$Q$2:$Q$1795,$N1666),0)*INDEX('Tabela Passaro'!$P$2:$P$1795,$N1666)</f>
        <v>5</v>
      </c>
      <c r="W1666" s="32" t="n">
        <f aca="false">INDEX('Tabela Passaro'!$R$2:$R$1795,$N1666)</f>
        <v>30</v>
      </c>
      <c r="X1666" s="32" t="n">
        <f aca="false">ROUNDUP(J1666/INDEX('Tabela Passaro'!$T$2:$T$1795,$N1666),0)*INDEX('Tabela Passaro'!$S$2:$S$1795,$N1666)</f>
        <v>0</v>
      </c>
      <c r="Y1666" s="32" t="n">
        <f aca="false">INDEX('Tabela Passaro'!$U$2:$U$1795,$N1666)</f>
        <v>0</v>
      </c>
      <c r="Z1666" s="32" t="n">
        <f aca="false">INDEX('Tabela Passaro'!$V$2:$V$1795,$N1666)</f>
        <v>0</v>
      </c>
      <c r="AA1666" s="32" t="n">
        <f aca="false">SUM(R1666:Z1666)</f>
        <v>122.34773</v>
      </c>
      <c r="AB1666" s="33" t="n">
        <f aca="false">INDEX(Premissas!$B$5:$B$13,MATCH(A1666,Premissas!$A$5:$A$13,0))</f>
        <v>0.07</v>
      </c>
      <c r="AC1666" s="32" t="n">
        <f aca="false">AA1666/(1-AB1666)-AA1666</f>
        <v>9.2089689247312</v>
      </c>
      <c r="AD1666" s="32" t="n">
        <f aca="false">ROUND(AA1666+AC1666,2)</f>
        <v>131.56</v>
      </c>
      <c r="AE1666" s="32" t="n">
        <f aca="false">AD1666-L1666</f>
        <v>6.82000000000001</v>
      </c>
      <c r="AF1666" s="34" t="n">
        <f aca="false">IF(L1666=0,0,AE1666/L1666)</f>
        <v>0.0546737213403881</v>
      </c>
      <c r="AG1666" s="22" t="str">
        <f aca="false">IF(AD1666&lt;L1666,"PASSARO","ATUAL")</f>
        <v>ATUAL</v>
      </c>
      <c r="AH1666" s="22" t="str">
        <f aca="false">IF(P1666&lt;&gt;A1666,"Faixa cadastrada como "&amp;P1666&amp;" na tabela; preço aplicado pela UF do CEP","")</f>
        <v/>
      </c>
      <c r="AI1666" s="26" t="n">
        <v>165.9</v>
      </c>
      <c r="AJ1666" s="22" t="str">
        <f aca="false">INDEX('Tabela Passaro'!$X$2:$X$1795,$N1666)</f>
        <v>CAPITAL</v>
      </c>
    </row>
    <row r="1667" customFormat="false" ht="15" hidden="false" customHeight="false" outlineLevel="0" collapsed="false">
      <c r="A1667" s="22" t="s">
        <v>22</v>
      </c>
      <c r="B1667" s="22" t="n">
        <v>1</v>
      </c>
      <c r="C1667" s="22" t="s">
        <v>182</v>
      </c>
      <c r="D1667" s="22" t="s">
        <v>30</v>
      </c>
      <c r="E1667" s="22" t="s">
        <v>7328</v>
      </c>
      <c r="F1667" s="22" t="n">
        <v>2312281</v>
      </c>
      <c r="G1667" s="30" t="n">
        <v>46248</v>
      </c>
      <c r="H1667" s="22" t="n">
        <v>133178</v>
      </c>
      <c r="I1667" s="22" t="s">
        <v>8840</v>
      </c>
      <c r="J1667" s="31" t="n">
        <v>51.06</v>
      </c>
      <c r="K1667" s="26" t="n">
        <v>920.72</v>
      </c>
      <c r="L1667" s="26" t="n">
        <v>198.23</v>
      </c>
      <c r="M1667" s="22" t="s">
        <v>6384</v>
      </c>
      <c r="N1667" s="22" t="n">
        <f aca="false">MATCH(M1667,'Tabela Passaro'!$A$2:$A$1795,0)</f>
        <v>1554</v>
      </c>
      <c r="O1667" s="22" t="str">
        <f aca="false">INDEX('Tabela Passaro'!$C$2:$C$1795,$N1667)</f>
        <v>NATAL</v>
      </c>
      <c r="P1667" s="22" t="str">
        <f aca="false">INDEX('Tabela Passaro'!$B$2:$B$1795,$N1667)</f>
        <v>RN</v>
      </c>
      <c r="Q1667" s="22" t="n">
        <f aca="false">INDEX('Tabela Passaro'!$F$2:$F$1795,$N1667)</f>
        <v>9</v>
      </c>
      <c r="R1667" s="32" t="n">
        <f aca="false">IF(J1667&lt;=10,INDEX('Tabela Passaro'!$G$2:$G$1795,$N1667),IF(J1667&lt;=30,INDEX('Tabela Passaro'!$H$2:$H$1795,$N1667),IF(J1667&lt;=50,INDEX('Tabela Passaro'!$I$2:$I$1795,$N1667),IF(J1667&lt;=70,INDEX('Tabela Passaro'!$J$2:$J$1795,$N1667),IF(J1667&lt;=100,INDEX('Tabela Passaro'!$K$2:$K$1795,$N1667),INDEX('Tabela Passaro'!$K$2:$K$1795,$N1667)+(J1667-100)*INDEX('Tabela Passaro'!$L$2:$L$1795,$N1667))))))</f>
        <v>108.44</v>
      </c>
      <c r="S1667" s="32" t="n">
        <f aca="false">K1667*INDEX('Tabela Passaro'!$M$2:$M$1795,$N1667)</f>
        <v>4.6036</v>
      </c>
      <c r="T1667" s="32" t="n">
        <f aca="false">K1667*INDEX('Tabela Passaro'!$N$2:$N$1795,$N1667)</f>
        <v>1.84144</v>
      </c>
      <c r="U1667" s="32" t="n">
        <f aca="false">INDEX('Tabela Passaro'!$O$2:$O$1795,$N1667)</f>
        <v>5</v>
      </c>
      <c r="V1667" s="32" t="n">
        <f aca="false">ROUNDUP(J1667/INDEX('Tabela Passaro'!$Q$2:$Q$1795,$N1667),0)*INDEX('Tabela Passaro'!$P$2:$P$1795,$N1667)</f>
        <v>5</v>
      </c>
      <c r="W1667" s="32" t="n">
        <f aca="false">INDEX('Tabela Passaro'!$R$2:$R$1795,$N1667)</f>
        <v>30</v>
      </c>
      <c r="X1667" s="32" t="n">
        <f aca="false">ROUNDUP(J1667/INDEX('Tabela Passaro'!$T$2:$T$1795,$N1667),0)*INDEX('Tabela Passaro'!$S$2:$S$1795,$N1667)</f>
        <v>0</v>
      </c>
      <c r="Y1667" s="32" t="n">
        <f aca="false">INDEX('Tabela Passaro'!$U$2:$U$1795,$N1667)</f>
        <v>0</v>
      </c>
      <c r="Z1667" s="32" t="n">
        <f aca="false">INDEX('Tabela Passaro'!$V$2:$V$1795,$N1667)</f>
        <v>0</v>
      </c>
      <c r="AA1667" s="32" t="n">
        <f aca="false">SUM(R1667:Z1667)</f>
        <v>154.88504</v>
      </c>
      <c r="AB1667" s="33" t="n">
        <f aca="false">INDEX(Premissas!$B$5:$B$13,MATCH(A1667,Premissas!$A$5:$A$13,0))</f>
        <v>0.07</v>
      </c>
      <c r="AC1667" s="32" t="n">
        <f aca="false">AA1667/(1-AB1667)-AA1667</f>
        <v>11.6580137634409</v>
      </c>
      <c r="AD1667" s="32" t="n">
        <f aca="false">ROUND(AA1667+AC1667,2)</f>
        <v>166.54</v>
      </c>
      <c r="AE1667" s="32" t="n">
        <f aca="false">AD1667-L1667</f>
        <v>-31.69</v>
      </c>
      <c r="AF1667" s="34" t="n">
        <f aca="false">IF(L1667=0,0,AE1667/L1667)</f>
        <v>-0.159864803511073</v>
      </c>
      <c r="AG1667" s="22" t="str">
        <f aca="false">IF(AD1667&lt;L1667,"PASSARO","ATUAL")</f>
        <v>PASSARO</v>
      </c>
      <c r="AH1667" s="22" t="str">
        <f aca="false">IF(P1667&lt;&gt;A1667,"Faixa cadastrada como "&amp;P1667&amp;" na tabela; preço aplicado pela UF do CEP","")</f>
        <v/>
      </c>
      <c r="AI1667" s="26" t="n">
        <v>218.04</v>
      </c>
      <c r="AJ1667" s="22" t="str">
        <f aca="false">INDEX('Tabela Passaro'!$X$2:$X$1795,$N1667)</f>
        <v>CAPITAL</v>
      </c>
    </row>
    <row r="1668" customFormat="false" ht="15" hidden="false" customHeight="false" outlineLevel="0" collapsed="false">
      <c r="A1668" s="22" t="s">
        <v>22</v>
      </c>
      <c r="B1668" s="22" t="n">
        <v>1</v>
      </c>
      <c r="C1668" s="22" t="s">
        <v>182</v>
      </c>
      <c r="D1668" s="22" t="s">
        <v>30</v>
      </c>
      <c r="E1668" s="22" t="s">
        <v>7328</v>
      </c>
      <c r="F1668" s="22" t="n">
        <v>2312364</v>
      </c>
      <c r="G1668" s="30" t="n">
        <v>46248</v>
      </c>
      <c r="H1668" s="22" t="n">
        <v>133268</v>
      </c>
      <c r="I1668" s="22" t="s">
        <v>8841</v>
      </c>
      <c r="J1668" s="31" t="n">
        <v>46.8</v>
      </c>
      <c r="K1668" s="26" t="n">
        <v>597.09</v>
      </c>
      <c r="L1668" s="26" t="n">
        <v>164.03</v>
      </c>
      <c r="M1668" s="22" t="s">
        <v>6384</v>
      </c>
      <c r="N1668" s="22" t="n">
        <f aca="false">MATCH(M1668,'Tabela Passaro'!$A$2:$A$1795,0)</f>
        <v>1554</v>
      </c>
      <c r="O1668" s="22" t="str">
        <f aca="false">INDEX('Tabela Passaro'!$C$2:$C$1795,$N1668)</f>
        <v>NATAL</v>
      </c>
      <c r="P1668" s="22" t="str">
        <f aca="false">INDEX('Tabela Passaro'!$B$2:$B$1795,$N1668)</f>
        <v>RN</v>
      </c>
      <c r="Q1668" s="22" t="n">
        <f aca="false">INDEX('Tabela Passaro'!$F$2:$F$1795,$N1668)</f>
        <v>9</v>
      </c>
      <c r="R1668" s="32" t="n">
        <f aca="false">IF(J1668&lt;=10,INDEX('Tabela Passaro'!$G$2:$G$1795,$N1668),IF(J1668&lt;=30,INDEX('Tabela Passaro'!$H$2:$H$1795,$N1668),IF(J1668&lt;=50,INDEX('Tabela Passaro'!$I$2:$I$1795,$N1668),IF(J1668&lt;=70,INDEX('Tabela Passaro'!$J$2:$J$1795,$N1668),IF(J1668&lt;=100,INDEX('Tabela Passaro'!$K$2:$K$1795,$N1668),INDEX('Tabela Passaro'!$K$2:$K$1795,$N1668)+(J1668-100)*INDEX('Tabela Passaro'!$L$2:$L$1795,$N1668))))))</f>
        <v>98.42</v>
      </c>
      <c r="S1668" s="32" t="n">
        <f aca="false">K1668*INDEX('Tabela Passaro'!$M$2:$M$1795,$N1668)</f>
        <v>2.98545</v>
      </c>
      <c r="T1668" s="32" t="n">
        <f aca="false">K1668*INDEX('Tabela Passaro'!$N$2:$N$1795,$N1668)</f>
        <v>1.19418</v>
      </c>
      <c r="U1668" s="32" t="n">
        <f aca="false">INDEX('Tabela Passaro'!$O$2:$O$1795,$N1668)</f>
        <v>5</v>
      </c>
      <c r="V1668" s="32" t="n">
        <f aca="false">ROUNDUP(J1668/INDEX('Tabela Passaro'!$Q$2:$Q$1795,$N1668),0)*INDEX('Tabela Passaro'!$P$2:$P$1795,$N1668)</f>
        <v>5</v>
      </c>
      <c r="W1668" s="32" t="n">
        <f aca="false">INDEX('Tabela Passaro'!$R$2:$R$1795,$N1668)</f>
        <v>30</v>
      </c>
      <c r="X1668" s="32" t="n">
        <f aca="false">ROUNDUP(J1668/INDEX('Tabela Passaro'!$T$2:$T$1795,$N1668),0)*INDEX('Tabela Passaro'!$S$2:$S$1795,$N1668)</f>
        <v>0</v>
      </c>
      <c r="Y1668" s="32" t="n">
        <f aca="false">INDEX('Tabela Passaro'!$U$2:$U$1795,$N1668)</f>
        <v>0</v>
      </c>
      <c r="Z1668" s="32" t="n">
        <f aca="false">INDEX('Tabela Passaro'!$V$2:$V$1795,$N1668)</f>
        <v>0</v>
      </c>
      <c r="AA1668" s="32" t="n">
        <f aca="false">SUM(R1668:Z1668)</f>
        <v>142.59963</v>
      </c>
      <c r="AB1668" s="33" t="n">
        <f aca="false">INDEX(Premissas!$B$5:$B$13,MATCH(A1668,Premissas!$A$5:$A$13,0))</f>
        <v>0.07</v>
      </c>
      <c r="AC1668" s="32" t="n">
        <f aca="false">AA1668/(1-AB1668)-AA1668</f>
        <v>10.733305483871</v>
      </c>
      <c r="AD1668" s="32" t="n">
        <f aca="false">ROUND(AA1668+AC1668,2)</f>
        <v>153.33</v>
      </c>
      <c r="AE1668" s="32" t="n">
        <f aca="false">AD1668-L1668</f>
        <v>-10.7</v>
      </c>
      <c r="AF1668" s="34" t="n">
        <f aca="false">IF(L1668=0,0,AE1668/L1668)</f>
        <v>-0.0652319697616289</v>
      </c>
      <c r="AG1668" s="22" t="str">
        <f aca="false">IF(AD1668&lt;L1668,"PASSARO","ATUAL")</f>
        <v>PASSARO</v>
      </c>
      <c r="AH1668" s="22" t="str">
        <f aca="false">IF(P1668&lt;&gt;A1668,"Faixa cadastrada como "&amp;P1668&amp;" na tabela; preço aplicado pela UF do CEP","")</f>
        <v/>
      </c>
      <c r="AI1668" s="26" t="n">
        <v>199.96</v>
      </c>
      <c r="AJ1668" s="22" t="str">
        <f aca="false">INDEX('Tabela Passaro'!$X$2:$X$1795,$N1668)</f>
        <v>CAPITAL</v>
      </c>
    </row>
    <row r="1669" customFormat="false" ht="15" hidden="false" customHeight="false" outlineLevel="0" collapsed="false">
      <c r="A1669" s="22" t="s">
        <v>22</v>
      </c>
      <c r="B1669" s="22" t="n">
        <v>1</v>
      </c>
      <c r="C1669" s="22" t="s">
        <v>182</v>
      </c>
      <c r="D1669" s="22" t="s">
        <v>30</v>
      </c>
      <c r="E1669" s="22" t="s">
        <v>7328</v>
      </c>
      <c r="F1669" s="22" t="n">
        <v>2312431</v>
      </c>
      <c r="G1669" s="30" t="n">
        <v>46248</v>
      </c>
      <c r="H1669" s="22" t="n">
        <v>133329</v>
      </c>
      <c r="I1669" s="22" t="s">
        <v>8842</v>
      </c>
      <c r="J1669" s="31" t="n">
        <v>66.8</v>
      </c>
      <c r="K1669" s="26" t="n">
        <v>814.13</v>
      </c>
      <c r="L1669" s="26" t="n">
        <v>197.4</v>
      </c>
      <c r="M1669" s="22" t="s">
        <v>6384</v>
      </c>
      <c r="N1669" s="22" t="n">
        <f aca="false">MATCH(M1669,'Tabela Passaro'!$A$2:$A$1795,0)</f>
        <v>1554</v>
      </c>
      <c r="O1669" s="22" t="str">
        <f aca="false">INDEX('Tabela Passaro'!$C$2:$C$1795,$N1669)</f>
        <v>NATAL</v>
      </c>
      <c r="P1669" s="22" t="str">
        <f aca="false">INDEX('Tabela Passaro'!$B$2:$B$1795,$N1669)</f>
        <v>RN</v>
      </c>
      <c r="Q1669" s="22" t="n">
        <f aca="false">INDEX('Tabela Passaro'!$F$2:$F$1795,$N1669)</f>
        <v>9</v>
      </c>
      <c r="R1669" s="32" t="n">
        <f aca="false">IF(J1669&lt;=10,INDEX('Tabela Passaro'!$G$2:$G$1795,$N1669),IF(J1669&lt;=30,INDEX('Tabela Passaro'!$H$2:$H$1795,$N1669),IF(J1669&lt;=50,INDEX('Tabela Passaro'!$I$2:$I$1795,$N1669),IF(J1669&lt;=70,INDEX('Tabela Passaro'!$J$2:$J$1795,$N1669),IF(J1669&lt;=100,INDEX('Tabela Passaro'!$K$2:$K$1795,$N1669),INDEX('Tabela Passaro'!$K$2:$K$1795,$N1669)+(J1669-100)*INDEX('Tabela Passaro'!$L$2:$L$1795,$N1669))))))</f>
        <v>108.44</v>
      </c>
      <c r="S1669" s="32" t="n">
        <f aca="false">K1669*INDEX('Tabela Passaro'!$M$2:$M$1795,$N1669)</f>
        <v>4.07065</v>
      </c>
      <c r="T1669" s="32" t="n">
        <f aca="false">K1669*INDEX('Tabela Passaro'!$N$2:$N$1795,$N1669)</f>
        <v>1.62826</v>
      </c>
      <c r="U1669" s="32" t="n">
        <f aca="false">INDEX('Tabela Passaro'!$O$2:$O$1795,$N1669)</f>
        <v>5</v>
      </c>
      <c r="V1669" s="32" t="n">
        <f aca="false">ROUNDUP(J1669/INDEX('Tabela Passaro'!$Q$2:$Q$1795,$N1669),0)*INDEX('Tabela Passaro'!$P$2:$P$1795,$N1669)</f>
        <v>5</v>
      </c>
      <c r="W1669" s="32" t="n">
        <f aca="false">INDEX('Tabela Passaro'!$R$2:$R$1795,$N1669)</f>
        <v>30</v>
      </c>
      <c r="X1669" s="32" t="n">
        <f aca="false">ROUNDUP(J1669/INDEX('Tabela Passaro'!$T$2:$T$1795,$N1669),0)*INDEX('Tabela Passaro'!$S$2:$S$1795,$N1669)</f>
        <v>0</v>
      </c>
      <c r="Y1669" s="32" t="n">
        <f aca="false">INDEX('Tabela Passaro'!$U$2:$U$1795,$N1669)</f>
        <v>0</v>
      </c>
      <c r="Z1669" s="32" t="n">
        <f aca="false">INDEX('Tabela Passaro'!$V$2:$V$1795,$N1669)</f>
        <v>0</v>
      </c>
      <c r="AA1669" s="32" t="n">
        <f aca="false">SUM(R1669:Z1669)</f>
        <v>154.13891</v>
      </c>
      <c r="AB1669" s="33" t="n">
        <f aca="false">INDEX(Premissas!$B$5:$B$13,MATCH(A1669,Premissas!$A$5:$A$13,0))</f>
        <v>0.07</v>
      </c>
      <c r="AC1669" s="32" t="n">
        <f aca="false">AA1669/(1-AB1669)-AA1669</f>
        <v>11.6018534408602</v>
      </c>
      <c r="AD1669" s="32" t="n">
        <f aca="false">ROUND(AA1669+AC1669,2)</f>
        <v>165.74</v>
      </c>
      <c r="AE1669" s="32" t="n">
        <f aca="false">AD1669-L1669</f>
        <v>-31.66</v>
      </c>
      <c r="AF1669" s="34" t="n">
        <f aca="false">IF(L1669=0,0,AE1669/L1669)</f>
        <v>-0.160385005065856</v>
      </c>
      <c r="AG1669" s="22" t="str">
        <f aca="false">IF(AD1669&lt;L1669,"PASSARO","ATUAL")</f>
        <v>PASSARO</v>
      </c>
      <c r="AH1669" s="22" t="str">
        <f aca="false">IF(P1669&lt;&gt;A1669,"Faixa cadastrada como "&amp;P1669&amp;" na tabela; preço aplicado pela UF do CEP","")</f>
        <v/>
      </c>
      <c r="AI1669" s="26" t="n">
        <v>224.27</v>
      </c>
      <c r="AJ1669" s="22" t="str">
        <f aca="false">INDEX('Tabela Passaro'!$X$2:$X$1795,$N1669)</f>
        <v>CAPITAL</v>
      </c>
    </row>
    <row r="1670" customFormat="false" ht="15" hidden="false" customHeight="false" outlineLevel="0" collapsed="false">
      <c r="A1670" s="22" t="s">
        <v>22</v>
      </c>
      <c r="B1670" s="22" t="n">
        <v>1</v>
      </c>
      <c r="C1670" s="22" t="s">
        <v>182</v>
      </c>
      <c r="D1670" s="22" t="s">
        <v>30</v>
      </c>
      <c r="E1670" s="22" t="s">
        <v>7328</v>
      </c>
      <c r="F1670" s="22" t="n">
        <v>2312458</v>
      </c>
      <c r="G1670" s="30" t="n">
        <v>46248</v>
      </c>
      <c r="H1670" s="22" t="n">
        <v>133365</v>
      </c>
      <c r="I1670" s="22" t="s">
        <v>8843</v>
      </c>
      <c r="J1670" s="31" t="n">
        <v>46.8</v>
      </c>
      <c r="K1670" s="26" t="n">
        <v>750.44</v>
      </c>
      <c r="L1670" s="26" t="n">
        <v>165.24</v>
      </c>
      <c r="M1670" s="22" t="s">
        <v>6384</v>
      </c>
      <c r="N1670" s="22" t="n">
        <f aca="false">MATCH(M1670,'Tabela Passaro'!$A$2:$A$1795,0)</f>
        <v>1554</v>
      </c>
      <c r="O1670" s="22" t="str">
        <f aca="false">INDEX('Tabela Passaro'!$C$2:$C$1795,$N1670)</f>
        <v>NATAL</v>
      </c>
      <c r="P1670" s="22" t="str">
        <f aca="false">INDEX('Tabela Passaro'!$B$2:$B$1795,$N1670)</f>
        <v>RN</v>
      </c>
      <c r="Q1670" s="22" t="n">
        <f aca="false">INDEX('Tabela Passaro'!$F$2:$F$1795,$N1670)</f>
        <v>9</v>
      </c>
      <c r="R1670" s="32" t="n">
        <f aca="false">IF(J1670&lt;=10,INDEX('Tabela Passaro'!$G$2:$G$1795,$N1670),IF(J1670&lt;=30,INDEX('Tabela Passaro'!$H$2:$H$1795,$N1670),IF(J1670&lt;=50,INDEX('Tabela Passaro'!$I$2:$I$1795,$N1670),IF(J1670&lt;=70,INDEX('Tabela Passaro'!$J$2:$J$1795,$N1670),IF(J1670&lt;=100,INDEX('Tabela Passaro'!$K$2:$K$1795,$N1670),INDEX('Tabela Passaro'!$K$2:$K$1795,$N1670)+(J1670-100)*INDEX('Tabela Passaro'!$L$2:$L$1795,$N1670))))))</f>
        <v>98.42</v>
      </c>
      <c r="S1670" s="32" t="n">
        <f aca="false">K1670*INDEX('Tabela Passaro'!$M$2:$M$1795,$N1670)</f>
        <v>3.7522</v>
      </c>
      <c r="T1670" s="32" t="n">
        <f aca="false">K1670*INDEX('Tabela Passaro'!$N$2:$N$1795,$N1670)</f>
        <v>1.50088</v>
      </c>
      <c r="U1670" s="32" t="n">
        <f aca="false">INDEX('Tabela Passaro'!$O$2:$O$1795,$N1670)</f>
        <v>5</v>
      </c>
      <c r="V1670" s="32" t="n">
        <f aca="false">ROUNDUP(J1670/INDEX('Tabela Passaro'!$Q$2:$Q$1795,$N1670),0)*INDEX('Tabela Passaro'!$P$2:$P$1795,$N1670)</f>
        <v>5</v>
      </c>
      <c r="W1670" s="32" t="n">
        <f aca="false">INDEX('Tabela Passaro'!$R$2:$R$1795,$N1670)</f>
        <v>30</v>
      </c>
      <c r="X1670" s="32" t="n">
        <f aca="false">ROUNDUP(J1670/INDEX('Tabela Passaro'!$T$2:$T$1795,$N1670),0)*INDEX('Tabela Passaro'!$S$2:$S$1795,$N1670)</f>
        <v>0</v>
      </c>
      <c r="Y1670" s="32" t="n">
        <f aca="false">INDEX('Tabela Passaro'!$U$2:$U$1795,$N1670)</f>
        <v>0</v>
      </c>
      <c r="Z1670" s="32" t="n">
        <f aca="false">INDEX('Tabela Passaro'!$V$2:$V$1795,$N1670)</f>
        <v>0</v>
      </c>
      <c r="AA1670" s="32" t="n">
        <f aca="false">SUM(R1670:Z1670)</f>
        <v>143.67308</v>
      </c>
      <c r="AB1670" s="33" t="n">
        <f aca="false">INDEX(Premissas!$B$5:$B$13,MATCH(A1670,Premissas!$A$5:$A$13,0))</f>
        <v>0.07</v>
      </c>
      <c r="AC1670" s="32" t="n">
        <f aca="false">AA1670/(1-AB1670)-AA1670</f>
        <v>10.8141027956989</v>
      </c>
      <c r="AD1670" s="32" t="n">
        <f aca="false">ROUND(AA1670+AC1670,2)</f>
        <v>154.49</v>
      </c>
      <c r="AE1670" s="32" t="n">
        <f aca="false">AD1670-L1670</f>
        <v>-10.75</v>
      </c>
      <c r="AF1670" s="34" t="n">
        <f aca="false">IF(L1670=0,0,AE1670/L1670)</f>
        <v>-0.0650568869523118</v>
      </c>
      <c r="AG1670" s="22" t="str">
        <f aca="false">IF(AD1670&lt;L1670,"PASSARO","ATUAL")</f>
        <v>PASSARO</v>
      </c>
      <c r="AH1670" s="22" t="str">
        <f aca="false">IF(P1670&lt;&gt;A1670,"Faixa cadastrada como "&amp;P1670&amp;" na tabela; preço aplicado pela UF do CEP","")</f>
        <v/>
      </c>
      <c r="AI1670" s="26" t="n">
        <v>201.45</v>
      </c>
      <c r="AJ1670" s="22" t="str">
        <f aca="false">INDEX('Tabela Passaro'!$X$2:$X$1795,$N1670)</f>
        <v>CAPITAL</v>
      </c>
    </row>
    <row r="1671" customFormat="false" ht="15" hidden="false" customHeight="false" outlineLevel="0" collapsed="false">
      <c r="A1671" s="22" t="s">
        <v>22</v>
      </c>
      <c r="B1671" s="22" t="n">
        <v>1</v>
      </c>
      <c r="C1671" s="22" t="s">
        <v>182</v>
      </c>
      <c r="D1671" s="22" t="s">
        <v>30</v>
      </c>
      <c r="E1671" s="22" t="s">
        <v>7326</v>
      </c>
      <c r="F1671" s="22" t="n">
        <v>525000</v>
      </c>
      <c r="G1671" s="30" t="n">
        <v>46248</v>
      </c>
      <c r="H1671" s="22" t="n">
        <v>625208</v>
      </c>
      <c r="I1671" s="22" t="s">
        <v>8844</v>
      </c>
      <c r="J1671" s="31" t="n">
        <v>11.19</v>
      </c>
      <c r="K1671" s="26" t="n">
        <v>934.98</v>
      </c>
      <c r="L1671" s="26" t="n">
        <v>79.42</v>
      </c>
      <c r="M1671" s="22" t="s">
        <v>6384</v>
      </c>
      <c r="N1671" s="22" t="n">
        <f aca="false">MATCH(M1671,'Tabela Passaro'!$A$2:$A$1795,0)</f>
        <v>1554</v>
      </c>
      <c r="O1671" s="22" t="str">
        <f aca="false">INDEX('Tabela Passaro'!$C$2:$C$1795,$N1671)</f>
        <v>NATAL</v>
      </c>
      <c r="P1671" s="22" t="str">
        <f aca="false">INDEX('Tabela Passaro'!$B$2:$B$1795,$N1671)</f>
        <v>RN</v>
      </c>
      <c r="Q1671" s="22" t="n">
        <f aca="false">INDEX('Tabela Passaro'!$F$2:$F$1795,$N1671)</f>
        <v>9</v>
      </c>
      <c r="R1671" s="32" t="n">
        <f aca="false">IF(J1671&lt;=10,INDEX('Tabela Passaro'!$G$2:$G$1795,$N1671),IF(J1671&lt;=30,INDEX('Tabela Passaro'!$H$2:$H$1795,$N1671),IF(J1671&lt;=50,INDEX('Tabela Passaro'!$I$2:$I$1795,$N1671),IF(J1671&lt;=70,INDEX('Tabela Passaro'!$J$2:$J$1795,$N1671),IF(J1671&lt;=100,INDEX('Tabela Passaro'!$K$2:$K$1795,$N1671),INDEX('Tabela Passaro'!$K$2:$K$1795,$N1671)+(J1671-100)*INDEX('Tabela Passaro'!$L$2:$L$1795,$N1671))))))</f>
        <v>78.39</v>
      </c>
      <c r="S1671" s="32" t="n">
        <f aca="false">K1671*INDEX('Tabela Passaro'!$M$2:$M$1795,$N1671)</f>
        <v>4.6749</v>
      </c>
      <c r="T1671" s="32" t="n">
        <f aca="false">K1671*INDEX('Tabela Passaro'!$N$2:$N$1795,$N1671)</f>
        <v>1.86996</v>
      </c>
      <c r="U1671" s="32" t="n">
        <f aca="false">INDEX('Tabela Passaro'!$O$2:$O$1795,$N1671)</f>
        <v>5</v>
      </c>
      <c r="V1671" s="32" t="n">
        <f aca="false">ROUNDUP(J1671/INDEX('Tabela Passaro'!$Q$2:$Q$1795,$N1671),0)*INDEX('Tabela Passaro'!$P$2:$P$1795,$N1671)</f>
        <v>5</v>
      </c>
      <c r="W1671" s="32" t="n">
        <f aca="false">INDEX('Tabela Passaro'!$R$2:$R$1795,$N1671)</f>
        <v>30</v>
      </c>
      <c r="X1671" s="32" t="n">
        <f aca="false">ROUNDUP(J1671/INDEX('Tabela Passaro'!$T$2:$T$1795,$N1671),0)*INDEX('Tabela Passaro'!$S$2:$S$1795,$N1671)</f>
        <v>0</v>
      </c>
      <c r="Y1671" s="32" t="n">
        <f aca="false">INDEX('Tabela Passaro'!$U$2:$U$1795,$N1671)</f>
        <v>0</v>
      </c>
      <c r="Z1671" s="32" t="n">
        <f aca="false">INDEX('Tabela Passaro'!$V$2:$V$1795,$N1671)</f>
        <v>0</v>
      </c>
      <c r="AA1671" s="32" t="n">
        <f aca="false">SUM(R1671:Z1671)</f>
        <v>124.93486</v>
      </c>
      <c r="AB1671" s="33" t="n">
        <f aca="false">INDEX(Premissas!$B$5:$B$13,MATCH(A1671,Premissas!$A$5:$A$13,0))</f>
        <v>0.07</v>
      </c>
      <c r="AC1671" s="32" t="n">
        <f aca="false">AA1671/(1-AB1671)-AA1671</f>
        <v>9.40369913978496</v>
      </c>
      <c r="AD1671" s="32" t="n">
        <f aca="false">ROUND(AA1671+AC1671,2)</f>
        <v>134.34</v>
      </c>
      <c r="AE1671" s="32" t="n">
        <f aca="false">AD1671-L1671</f>
        <v>54.92</v>
      </c>
      <c r="AF1671" s="34" t="n">
        <f aca="false">IF(L1671=0,0,AE1671/L1671)</f>
        <v>0.691513472676908</v>
      </c>
      <c r="AG1671" s="22" t="str">
        <f aca="false">IF(AD1671&lt;L1671,"PASSARO","ATUAL")</f>
        <v>ATUAL</v>
      </c>
      <c r="AH1671" s="22" t="str">
        <f aca="false">IF(P1671&lt;&gt;A1671,"Faixa cadastrada como "&amp;P1671&amp;" na tabela; preço aplicado pela UF do CEP","")</f>
        <v/>
      </c>
      <c r="AI1671" s="26" t="n">
        <v>161.25</v>
      </c>
      <c r="AJ1671" s="22" t="str">
        <f aca="false">INDEX('Tabela Passaro'!$X$2:$X$1795,$N1671)</f>
        <v>CAPITAL</v>
      </c>
    </row>
    <row r="1672" customFormat="false" ht="15" hidden="false" customHeight="false" outlineLevel="0" collapsed="false">
      <c r="A1672" s="22" t="s">
        <v>22</v>
      </c>
      <c r="B1672" s="22" t="n">
        <v>1</v>
      </c>
      <c r="C1672" s="22" t="s">
        <v>182</v>
      </c>
      <c r="D1672" s="22" t="s">
        <v>30</v>
      </c>
      <c r="E1672" s="22" t="s">
        <v>7328</v>
      </c>
      <c r="F1672" s="22" t="n">
        <v>2313227</v>
      </c>
      <c r="G1672" s="30" t="n">
        <v>46251</v>
      </c>
      <c r="H1672" s="22" t="n">
        <v>133644</v>
      </c>
      <c r="I1672" s="22" t="s">
        <v>8845</v>
      </c>
      <c r="J1672" s="31" t="n">
        <v>51.06</v>
      </c>
      <c r="K1672" s="26" t="n">
        <v>991.62</v>
      </c>
      <c r="L1672" s="26" t="n">
        <v>198.8</v>
      </c>
      <c r="M1672" s="22" t="s">
        <v>6384</v>
      </c>
      <c r="N1672" s="22" t="n">
        <f aca="false">MATCH(M1672,'Tabela Passaro'!$A$2:$A$1795,0)</f>
        <v>1554</v>
      </c>
      <c r="O1672" s="22" t="str">
        <f aca="false">INDEX('Tabela Passaro'!$C$2:$C$1795,$N1672)</f>
        <v>NATAL</v>
      </c>
      <c r="P1672" s="22" t="str">
        <f aca="false">INDEX('Tabela Passaro'!$B$2:$B$1795,$N1672)</f>
        <v>RN</v>
      </c>
      <c r="Q1672" s="22" t="n">
        <f aca="false">INDEX('Tabela Passaro'!$F$2:$F$1795,$N1672)</f>
        <v>9</v>
      </c>
      <c r="R1672" s="32" t="n">
        <f aca="false">IF(J1672&lt;=10,INDEX('Tabela Passaro'!$G$2:$G$1795,$N1672),IF(J1672&lt;=30,INDEX('Tabela Passaro'!$H$2:$H$1795,$N1672),IF(J1672&lt;=50,INDEX('Tabela Passaro'!$I$2:$I$1795,$N1672),IF(J1672&lt;=70,INDEX('Tabela Passaro'!$J$2:$J$1795,$N1672),IF(J1672&lt;=100,INDEX('Tabela Passaro'!$K$2:$K$1795,$N1672),INDEX('Tabela Passaro'!$K$2:$K$1795,$N1672)+(J1672-100)*INDEX('Tabela Passaro'!$L$2:$L$1795,$N1672))))))</f>
        <v>108.44</v>
      </c>
      <c r="S1672" s="32" t="n">
        <f aca="false">K1672*INDEX('Tabela Passaro'!$M$2:$M$1795,$N1672)</f>
        <v>4.9581</v>
      </c>
      <c r="T1672" s="32" t="n">
        <f aca="false">K1672*INDEX('Tabela Passaro'!$N$2:$N$1795,$N1672)</f>
        <v>1.98324</v>
      </c>
      <c r="U1672" s="32" t="n">
        <f aca="false">INDEX('Tabela Passaro'!$O$2:$O$1795,$N1672)</f>
        <v>5</v>
      </c>
      <c r="V1672" s="32" t="n">
        <f aca="false">ROUNDUP(J1672/INDEX('Tabela Passaro'!$Q$2:$Q$1795,$N1672),0)*INDEX('Tabela Passaro'!$P$2:$P$1795,$N1672)</f>
        <v>5</v>
      </c>
      <c r="W1672" s="32" t="n">
        <f aca="false">INDEX('Tabela Passaro'!$R$2:$R$1795,$N1672)</f>
        <v>30</v>
      </c>
      <c r="X1672" s="32" t="n">
        <f aca="false">ROUNDUP(J1672/INDEX('Tabela Passaro'!$T$2:$T$1795,$N1672),0)*INDEX('Tabela Passaro'!$S$2:$S$1795,$N1672)</f>
        <v>0</v>
      </c>
      <c r="Y1672" s="32" t="n">
        <f aca="false">INDEX('Tabela Passaro'!$U$2:$U$1795,$N1672)</f>
        <v>0</v>
      </c>
      <c r="Z1672" s="32" t="n">
        <f aca="false">INDEX('Tabela Passaro'!$V$2:$V$1795,$N1672)</f>
        <v>0</v>
      </c>
      <c r="AA1672" s="32" t="n">
        <f aca="false">SUM(R1672:Z1672)</f>
        <v>155.38134</v>
      </c>
      <c r="AB1672" s="33" t="n">
        <f aca="false">INDEX(Premissas!$B$5:$B$13,MATCH(A1672,Premissas!$A$5:$A$13,0))</f>
        <v>0.07</v>
      </c>
      <c r="AC1672" s="32" t="n">
        <f aca="false">AA1672/(1-AB1672)-AA1672</f>
        <v>11.6953696774194</v>
      </c>
      <c r="AD1672" s="32" t="n">
        <f aca="false">ROUND(AA1672+AC1672,2)</f>
        <v>167.08</v>
      </c>
      <c r="AE1672" s="32" t="n">
        <f aca="false">AD1672-L1672</f>
        <v>-31.72</v>
      </c>
      <c r="AF1672" s="34" t="n">
        <f aca="false">IF(L1672=0,0,AE1672/L1672)</f>
        <v>-0.159557344064386</v>
      </c>
      <c r="AG1672" s="22" t="str">
        <f aca="false">IF(AD1672&lt;L1672,"PASSARO","ATUAL")</f>
        <v>PASSARO</v>
      </c>
      <c r="AH1672" s="22" t="str">
        <f aca="false">IF(P1672&lt;&gt;A1672,"Faixa cadastrada como "&amp;P1672&amp;" na tabela; preço aplicado pela UF do CEP","")</f>
        <v/>
      </c>
      <c r="AI1672" s="26" t="n">
        <v>218.73</v>
      </c>
      <c r="AJ1672" s="22" t="str">
        <f aca="false">INDEX('Tabela Passaro'!$X$2:$X$1795,$N1672)</f>
        <v>CAPITAL</v>
      </c>
    </row>
    <row r="1673" customFormat="false" ht="15" hidden="false" customHeight="false" outlineLevel="0" collapsed="false">
      <c r="A1673" s="22" t="s">
        <v>22</v>
      </c>
      <c r="B1673" s="22" t="n">
        <v>1</v>
      </c>
      <c r="C1673" s="22" t="s">
        <v>182</v>
      </c>
      <c r="D1673" s="22" t="s">
        <v>30</v>
      </c>
      <c r="E1673" s="22" t="s">
        <v>7328</v>
      </c>
      <c r="F1673" s="22" t="n">
        <v>2313244</v>
      </c>
      <c r="G1673" s="30" t="n">
        <v>46251</v>
      </c>
      <c r="H1673" s="22" t="n">
        <v>133665</v>
      </c>
      <c r="I1673" s="22" t="s">
        <v>8846</v>
      </c>
      <c r="J1673" s="31" t="n">
        <v>51.06</v>
      </c>
      <c r="K1673" s="26" t="n">
        <v>882.64</v>
      </c>
      <c r="L1673" s="26" t="n">
        <v>197.94</v>
      </c>
      <c r="M1673" s="22" t="s">
        <v>6384</v>
      </c>
      <c r="N1673" s="22" t="n">
        <f aca="false">MATCH(M1673,'Tabela Passaro'!$A$2:$A$1795,0)</f>
        <v>1554</v>
      </c>
      <c r="O1673" s="22" t="str">
        <f aca="false">INDEX('Tabela Passaro'!$C$2:$C$1795,$N1673)</f>
        <v>NATAL</v>
      </c>
      <c r="P1673" s="22" t="str">
        <f aca="false">INDEX('Tabela Passaro'!$B$2:$B$1795,$N1673)</f>
        <v>RN</v>
      </c>
      <c r="Q1673" s="22" t="n">
        <f aca="false">INDEX('Tabela Passaro'!$F$2:$F$1795,$N1673)</f>
        <v>9</v>
      </c>
      <c r="R1673" s="32" t="n">
        <f aca="false">IF(J1673&lt;=10,INDEX('Tabela Passaro'!$G$2:$G$1795,$N1673),IF(J1673&lt;=30,INDEX('Tabela Passaro'!$H$2:$H$1795,$N1673),IF(J1673&lt;=50,INDEX('Tabela Passaro'!$I$2:$I$1795,$N1673),IF(J1673&lt;=70,INDEX('Tabela Passaro'!$J$2:$J$1795,$N1673),IF(J1673&lt;=100,INDEX('Tabela Passaro'!$K$2:$K$1795,$N1673),INDEX('Tabela Passaro'!$K$2:$K$1795,$N1673)+(J1673-100)*INDEX('Tabela Passaro'!$L$2:$L$1795,$N1673))))))</f>
        <v>108.44</v>
      </c>
      <c r="S1673" s="32" t="n">
        <f aca="false">K1673*INDEX('Tabela Passaro'!$M$2:$M$1795,$N1673)</f>
        <v>4.4132</v>
      </c>
      <c r="T1673" s="32" t="n">
        <f aca="false">K1673*INDEX('Tabela Passaro'!$N$2:$N$1795,$N1673)</f>
        <v>1.76528</v>
      </c>
      <c r="U1673" s="32" t="n">
        <f aca="false">INDEX('Tabela Passaro'!$O$2:$O$1795,$N1673)</f>
        <v>5</v>
      </c>
      <c r="V1673" s="32" t="n">
        <f aca="false">ROUNDUP(J1673/INDEX('Tabela Passaro'!$Q$2:$Q$1795,$N1673),0)*INDEX('Tabela Passaro'!$P$2:$P$1795,$N1673)</f>
        <v>5</v>
      </c>
      <c r="W1673" s="32" t="n">
        <f aca="false">INDEX('Tabela Passaro'!$R$2:$R$1795,$N1673)</f>
        <v>30</v>
      </c>
      <c r="X1673" s="32" t="n">
        <f aca="false">ROUNDUP(J1673/INDEX('Tabela Passaro'!$T$2:$T$1795,$N1673),0)*INDEX('Tabela Passaro'!$S$2:$S$1795,$N1673)</f>
        <v>0</v>
      </c>
      <c r="Y1673" s="32" t="n">
        <f aca="false">INDEX('Tabela Passaro'!$U$2:$U$1795,$N1673)</f>
        <v>0</v>
      </c>
      <c r="Z1673" s="32" t="n">
        <f aca="false">INDEX('Tabela Passaro'!$V$2:$V$1795,$N1673)</f>
        <v>0</v>
      </c>
      <c r="AA1673" s="32" t="n">
        <f aca="false">SUM(R1673:Z1673)</f>
        <v>154.61848</v>
      </c>
      <c r="AB1673" s="33" t="n">
        <f aca="false">INDEX(Premissas!$B$5:$B$13,MATCH(A1673,Premissas!$A$5:$A$13,0))</f>
        <v>0.07</v>
      </c>
      <c r="AC1673" s="32" t="n">
        <f aca="false">AA1673/(1-AB1673)-AA1673</f>
        <v>11.6379501075269</v>
      </c>
      <c r="AD1673" s="32" t="n">
        <f aca="false">ROUND(AA1673+AC1673,2)</f>
        <v>166.26</v>
      </c>
      <c r="AE1673" s="32" t="n">
        <f aca="false">AD1673-L1673</f>
        <v>-31.68</v>
      </c>
      <c r="AF1673" s="34" t="n">
        <f aca="false">IF(L1673=0,0,AE1673/L1673)</f>
        <v>-0.160048499545317</v>
      </c>
      <c r="AG1673" s="22" t="str">
        <f aca="false">IF(AD1673&lt;L1673,"PASSARO","ATUAL")</f>
        <v>PASSARO</v>
      </c>
      <c r="AH1673" s="22" t="str">
        <f aca="false">IF(P1673&lt;&gt;A1673,"Faixa cadastrada como "&amp;P1673&amp;" na tabela; preço aplicado pela UF do CEP","")</f>
        <v/>
      </c>
      <c r="AI1673" s="26" t="n">
        <v>217.67</v>
      </c>
      <c r="AJ1673" s="22" t="str">
        <f aca="false">INDEX('Tabela Passaro'!$X$2:$X$1795,$N1673)</f>
        <v>CAPITAL</v>
      </c>
    </row>
    <row r="1674" customFormat="false" ht="15" hidden="false" customHeight="false" outlineLevel="0" collapsed="false">
      <c r="A1674" s="22" t="s">
        <v>22</v>
      </c>
      <c r="B1674" s="22" t="n">
        <v>1</v>
      </c>
      <c r="C1674" s="22" t="s">
        <v>182</v>
      </c>
      <c r="D1674" s="22" t="s">
        <v>30</v>
      </c>
      <c r="E1674" s="22" t="s">
        <v>7326</v>
      </c>
      <c r="F1674" s="22" t="n">
        <v>525366</v>
      </c>
      <c r="G1674" s="30" t="n">
        <v>46251</v>
      </c>
      <c r="H1674" s="22" t="n">
        <v>625356</v>
      </c>
      <c r="I1674" s="22" t="s">
        <v>8847</v>
      </c>
      <c r="J1674" s="31" t="n">
        <v>29.2</v>
      </c>
      <c r="K1674" s="26" t="n">
        <v>514.92</v>
      </c>
      <c r="L1674" s="26" t="n">
        <v>134.84</v>
      </c>
      <c r="M1674" s="22" t="s">
        <v>6384</v>
      </c>
      <c r="N1674" s="22" t="n">
        <f aca="false">MATCH(M1674,'Tabela Passaro'!$A$2:$A$1795,0)</f>
        <v>1554</v>
      </c>
      <c r="O1674" s="22" t="str">
        <f aca="false">INDEX('Tabela Passaro'!$C$2:$C$1795,$N1674)</f>
        <v>NATAL</v>
      </c>
      <c r="P1674" s="22" t="str">
        <f aca="false">INDEX('Tabela Passaro'!$B$2:$B$1795,$N1674)</f>
        <v>RN</v>
      </c>
      <c r="Q1674" s="22" t="n">
        <f aca="false">INDEX('Tabela Passaro'!$F$2:$F$1795,$N1674)</f>
        <v>9</v>
      </c>
      <c r="R1674" s="32" t="n">
        <f aca="false">IF(J1674&lt;=10,INDEX('Tabela Passaro'!$G$2:$G$1795,$N1674),IF(J1674&lt;=30,INDEX('Tabela Passaro'!$H$2:$H$1795,$N1674),IF(J1674&lt;=50,INDEX('Tabela Passaro'!$I$2:$I$1795,$N1674),IF(J1674&lt;=70,INDEX('Tabela Passaro'!$J$2:$J$1795,$N1674),IF(J1674&lt;=100,INDEX('Tabela Passaro'!$K$2:$K$1795,$N1674),INDEX('Tabela Passaro'!$K$2:$K$1795,$N1674)+(J1674-100)*INDEX('Tabela Passaro'!$L$2:$L$1795,$N1674))))))</f>
        <v>78.39</v>
      </c>
      <c r="S1674" s="32" t="n">
        <f aca="false">K1674*INDEX('Tabela Passaro'!$M$2:$M$1795,$N1674)</f>
        <v>2.5746</v>
      </c>
      <c r="T1674" s="32" t="n">
        <f aca="false">K1674*INDEX('Tabela Passaro'!$N$2:$N$1795,$N1674)</f>
        <v>1.02984</v>
      </c>
      <c r="U1674" s="32" t="n">
        <f aca="false">INDEX('Tabela Passaro'!$O$2:$O$1795,$N1674)</f>
        <v>5</v>
      </c>
      <c r="V1674" s="32" t="n">
        <f aca="false">ROUNDUP(J1674/INDEX('Tabela Passaro'!$Q$2:$Q$1795,$N1674),0)*INDEX('Tabela Passaro'!$P$2:$P$1795,$N1674)</f>
        <v>5</v>
      </c>
      <c r="W1674" s="32" t="n">
        <f aca="false">INDEX('Tabela Passaro'!$R$2:$R$1795,$N1674)</f>
        <v>30</v>
      </c>
      <c r="X1674" s="32" t="n">
        <f aca="false">ROUNDUP(J1674/INDEX('Tabela Passaro'!$T$2:$T$1795,$N1674),0)*INDEX('Tabela Passaro'!$S$2:$S$1795,$N1674)</f>
        <v>0</v>
      </c>
      <c r="Y1674" s="32" t="n">
        <f aca="false">INDEX('Tabela Passaro'!$U$2:$U$1795,$N1674)</f>
        <v>0</v>
      </c>
      <c r="Z1674" s="32" t="n">
        <f aca="false">INDEX('Tabela Passaro'!$V$2:$V$1795,$N1674)</f>
        <v>0</v>
      </c>
      <c r="AA1674" s="32" t="n">
        <f aca="false">SUM(R1674:Z1674)</f>
        <v>121.99444</v>
      </c>
      <c r="AB1674" s="33" t="n">
        <f aca="false">INDEX(Premissas!$B$5:$B$13,MATCH(A1674,Premissas!$A$5:$A$13,0))</f>
        <v>0.07</v>
      </c>
      <c r="AC1674" s="32" t="n">
        <f aca="false">AA1674/(1-AB1674)-AA1674</f>
        <v>9.18237720430108</v>
      </c>
      <c r="AD1674" s="32" t="n">
        <f aca="false">ROUND(AA1674+AC1674,2)</f>
        <v>131.18</v>
      </c>
      <c r="AE1674" s="32" t="n">
        <f aca="false">AD1674-L1674</f>
        <v>-3.66</v>
      </c>
      <c r="AF1674" s="34" t="n">
        <f aca="false">IF(L1674=0,0,AE1674/L1674)</f>
        <v>-0.0271432809255414</v>
      </c>
      <c r="AG1674" s="22" t="str">
        <f aca="false">IF(AD1674&lt;L1674,"PASSARO","ATUAL")</f>
        <v>PASSARO</v>
      </c>
      <c r="AH1674" s="22" t="str">
        <f aca="false">IF(P1674&lt;&gt;A1674,"Faixa cadastrada como "&amp;P1674&amp;" na tabela; preço aplicado pela UF do CEP","")</f>
        <v/>
      </c>
      <c r="AI1674" s="26" t="n">
        <v>165.9</v>
      </c>
      <c r="AJ1674" s="22" t="str">
        <f aca="false">INDEX('Tabela Passaro'!$X$2:$X$1795,$N1674)</f>
        <v>CAPITAL</v>
      </c>
    </row>
    <row r="1675" customFormat="false" ht="15" hidden="false" customHeight="false" outlineLevel="0" collapsed="false">
      <c r="A1675" s="22" t="s">
        <v>22</v>
      </c>
      <c r="B1675" s="22" t="n">
        <v>1</v>
      </c>
      <c r="C1675" s="22" t="s">
        <v>182</v>
      </c>
      <c r="D1675" s="22" t="s">
        <v>30</v>
      </c>
      <c r="E1675" s="22" t="s">
        <v>20</v>
      </c>
      <c r="F1675" s="22" t="n">
        <v>839396</v>
      </c>
      <c r="G1675" s="30" t="n">
        <v>46252</v>
      </c>
      <c r="H1675" s="22" t="n">
        <v>32534</v>
      </c>
      <c r="I1675" s="22" t="s">
        <v>8848</v>
      </c>
      <c r="J1675" s="31" t="n">
        <v>79.26</v>
      </c>
      <c r="K1675" s="26" t="n">
        <v>1136.58</v>
      </c>
      <c r="L1675" s="26" t="n">
        <v>223.61</v>
      </c>
      <c r="M1675" s="22" t="s">
        <v>6384</v>
      </c>
      <c r="N1675" s="22" t="n">
        <f aca="false">MATCH(M1675,'Tabela Passaro'!$A$2:$A$1795,0)</f>
        <v>1554</v>
      </c>
      <c r="O1675" s="22" t="str">
        <f aca="false">INDEX('Tabela Passaro'!$C$2:$C$1795,$N1675)</f>
        <v>NATAL</v>
      </c>
      <c r="P1675" s="22" t="str">
        <f aca="false">INDEX('Tabela Passaro'!$B$2:$B$1795,$N1675)</f>
        <v>RN</v>
      </c>
      <c r="Q1675" s="22" t="n">
        <f aca="false">INDEX('Tabela Passaro'!$F$2:$F$1795,$N1675)</f>
        <v>9</v>
      </c>
      <c r="R1675" s="32" t="n">
        <f aca="false">IF(J1675&lt;=10,INDEX('Tabela Passaro'!$G$2:$G$1795,$N1675),IF(J1675&lt;=30,INDEX('Tabela Passaro'!$H$2:$H$1795,$N1675),IF(J1675&lt;=50,INDEX('Tabela Passaro'!$I$2:$I$1795,$N1675),IF(J1675&lt;=70,INDEX('Tabela Passaro'!$J$2:$J$1795,$N1675),IF(J1675&lt;=100,INDEX('Tabela Passaro'!$K$2:$K$1795,$N1675),INDEX('Tabela Passaro'!$K$2:$K$1795,$N1675)+(J1675-100)*INDEX('Tabela Passaro'!$L$2:$L$1795,$N1675))))))</f>
        <v>123.46</v>
      </c>
      <c r="S1675" s="32" t="n">
        <f aca="false">K1675*INDEX('Tabela Passaro'!$M$2:$M$1795,$N1675)</f>
        <v>5.6829</v>
      </c>
      <c r="T1675" s="32" t="n">
        <f aca="false">K1675*INDEX('Tabela Passaro'!$N$2:$N$1795,$N1675)</f>
        <v>2.27316</v>
      </c>
      <c r="U1675" s="32" t="n">
        <f aca="false">INDEX('Tabela Passaro'!$O$2:$O$1795,$N1675)</f>
        <v>5</v>
      </c>
      <c r="V1675" s="32" t="n">
        <f aca="false">ROUNDUP(J1675/INDEX('Tabela Passaro'!$Q$2:$Q$1795,$N1675),0)*INDEX('Tabela Passaro'!$P$2:$P$1795,$N1675)</f>
        <v>5</v>
      </c>
      <c r="W1675" s="32" t="n">
        <f aca="false">INDEX('Tabela Passaro'!$R$2:$R$1795,$N1675)</f>
        <v>30</v>
      </c>
      <c r="X1675" s="32" t="n">
        <f aca="false">ROUNDUP(J1675/INDEX('Tabela Passaro'!$T$2:$T$1795,$N1675),0)*INDEX('Tabela Passaro'!$S$2:$S$1795,$N1675)</f>
        <v>0</v>
      </c>
      <c r="Y1675" s="32" t="n">
        <f aca="false">INDEX('Tabela Passaro'!$U$2:$U$1795,$N1675)</f>
        <v>0</v>
      </c>
      <c r="Z1675" s="32" t="n">
        <f aca="false">INDEX('Tabela Passaro'!$V$2:$V$1795,$N1675)</f>
        <v>0</v>
      </c>
      <c r="AA1675" s="32" t="n">
        <f aca="false">SUM(R1675:Z1675)</f>
        <v>171.41606</v>
      </c>
      <c r="AB1675" s="33" t="n">
        <f aca="false">INDEX(Premissas!$B$5:$B$13,MATCH(A1675,Premissas!$A$5:$A$13,0))</f>
        <v>0.07</v>
      </c>
      <c r="AC1675" s="32" t="n">
        <f aca="false">AA1675/(1-AB1675)-AA1675</f>
        <v>12.9022840860215</v>
      </c>
      <c r="AD1675" s="32" t="n">
        <f aca="false">ROUND(AA1675+AC1675,2)</f>
        <v>184.32</v>
      </c>
      <c r="AE1675" s="32" t="n">
        <f aca="false">AD1675-L1675</f>
        <v>-39.29</v>
      </c>
      <c r="AF1675" s="34" t="n">
        <f aca="false">IF(L1675=0,0,AE1675/L1675)</f>
        <v>-0.175707705379903</v>
      </c>
      <c r="AG1675" s="22" t="str">
        <f aca="false">IF(AD1675&lt;L1675,"PASSARO","ATUAL")</f>
        <v>PASSARO</v>
      </c>
      <c r="AH1675" s="22" t="str">
        <f aca="false">IF(P1675&lt;&gt;A1675,"Faixa cadastrada como "&amp;P1675&amp;" na tabela; preço aplicado pela UF do CEP","")</f>
        <v/>
      </c>
      <c r="AI1675" s="26" t="n">
        <v>252.46</v>
      </c>
      <c r="AJ1675" s="22" t="str">
        <f aca="false">INDEX('Tabela Passaro'!$X$2:$X$1795,$N1675)</f>
        <v>CAPITAL</v>
      </c>
    </row>
    <row r="1676" customFormat="false" ht="15" hidden="false" customHeight="false" outlineLevel="0" collapsed="false">
      <c r="A1676" s="22" t="s">
        <v>22</v>
      </c>
      <c r="B1676" s="22" t="n">
        <v>1</v>
      </c>
      <c r="C1676" s="22" t="s">
        <v>182</v>
      </c>
      <c r="D1676" s="22" t="s">
        <v>30</v>
      </c>
      <c r="E1676" s="22" t="s">
        <v>7326</v>
      </c>
      <c r="F1676" s="22" t="n">
        <v>526114</v>
      </c>
      <c r="G1676" s="30" t="n">
        <v>46253</v>
      </c>
      <c r="H1676" s="22" t="n">
        <v>627012</v>
      </c>
      <c r="I1676" s="22" t="s">
        <v>8849</v>
      </c>
      <c r="J1676" s="31" t="n">
        <v>50.9</v>
      </c>
      <c r="K1676" s="26" t="n">
        <v>1775.45</v>
      </c>
      <c r="L1676" s="26" t="n">
        <v>238.59</v>
      </c>
      <c r="M1676" s="22" t="s">
        <v>6384</v>
      </c>
      <c r="N1676" s="22" t="n">
        <f aca="false">MATCH(M1676,'Tabela Passaro'!$A$2:$A$1795,0)</f>
        <v>1554</v>
      </c>
      <c r="O1676" s="22" t="str">
        <f aca="false">INDEX('Tabela Passaro'!$C$2:$C$1795,$N1676)</f>
        <v>NATAL</v>
      </c>
      <c r="P1676" s="22" t="str">
        <f aca="false">INDEX('Tabela Passaro'!$B$2:$B$1795,$N1676)</f>
        <v>RN</v>
      </c>
      <c r="Q1676" s="22" t="n">
        <f aca="false">INDEX('Tabela Passaro'!$F$2:$F$1795,$N1676)</f>
        <v>9</v>
      </c>
      <c r="R1676" s="32" t="n">
        <f aca="false">IF(J1676&lt;=10,INDEX('Tabela Passaro'!$G$2:$G$1795,$N1676),IF(J1676&lt;=30,INDEX('Tabela Passaro'!$H$2:$H$1795,$N1676),IF(J1676&lt;=50,INDEX('Tabela Passaro'!$I$2:$I$1795,$N1676),IF(J1676&lt;=70,INDEX('Tabela Passaro'!$J$2:$J$1795,$N1676),IF(J1676&lt;=100,INDEX('Tabela Passaro'!$K$2:$K$1795,$N1676),INDEX('Tabela Passaro'!$K$2:$K$1795,$N1676)+(J1676-100)*INDEX('Tabela Passaro'!$L$2:$L$1795,$N1676))))))</f>
        <v>108.44</v>
      </c>
      <c r="S1676" s="32" t="n">
        <f aca="false">K1676*INDEX('Tabela Passaro'!$M$2:$M$1795,$N1676)</f>
        <v>8.87725</v>
      </c>
      <c r="T1676" s="32" t="n">
        <f aca="false">K1676*INDEX('Tabela Passaro'!$N$2:$N$1795,$N1676)</f>
        <v>3.5509</v>
      </c>
      <c r="U1676" s="32" t="n">
        <f aca="false">INDEX('Tabela Passaro'!$O$2:$O$1795,$N1676)</f>
        <v>5</v>
      </c>
      <c r="V1676" s="32" t="n">
        <f aca="false">ROUNDUP(J1676/INDEX('Tabela Passaro'!$Q$2:$Q$1795,$N1676),0)*INDEX('Tabela Passaro'!$P$2:$P$1795,$N1676)</f>
        <v>5</v>
      </c>
      <c r="W1676" s="32" t="n">
        <f aca="false">INDEX('Tabela Passaro'!$R$2:$R$1795,$N1676)</f>
        <v>30</v>
      </c>
      <c r="X1676" s="32" t="n">
        <f aca="false">ROUNDUP(J1676/INDEX('Tabela Passaro'!$T$2:$T$1795,$N1676),0)*INDEX('Tabela Passaro'!$S$2:$S$1795,$N1676)</f>
        <v>0</v>
      </c>
      <c r="Y1676" s="32" t="n">
        <f aca="false">INDEX('Tabela Passaro'!$U$2:$U$1795,$N1676)</f>
        <v>0</v>
      </c>
      <c r="Z1676" s="32" t="n">
        <f aca="false">INDEX('Tabela Passaro'!$V$2:$V$1795,$N1676)</f>
        <v>0</v>
      </c>
      <c r="AA1676" s="32" t="n">
        <f aca="false">SUM(R1676:Z1676)</f>
        <v>160.86815</v>
      </c>
      <c r="AB1676" s="33" t="n">
        <f aca="false">INDEX(Premissas!$B$5:$B$13,MATCH(A1676,Premissas!$A$5:$A$13,0))</f>
        <v>0.07</v>
      </c>
      <c r="AC1676" s="32" t="n">
        <f aca="false">AA1676/(1-AB1676)-AA1676</f>
        <v>12.1083553763441</v>
      </c>
      <c r="AD1676" s="32" t="n">
        <f aca="false">ROUND(AA1676+AC1676,2)</f>
        <v>172.98</v>
      </c>
      <c r="AE1676" s="32" t="n">
        <f aca="false">AD1676-L1676</f>
        <v>-65.61</v>
      </c>
      <c r="AF1676" s="34" t="n">
        <f aca="false">IF(L1676=0,0,AE1676/L1676)</f>
        <v>-0.274990569596379</v>
      </c>
      <c r="AG1676" s="22" t="str">
        <f aca="false">IF(AD1676&lt;L1676,"PASSARO","ATUAL")</f>
        <v>PASSARO</v>
      </c>
      <c r="AH1676" s="22" t="str">
        <f aca="false">IF(P1676&lt;&gt;A1676,"Faixa cadastrada como "&amp;P1676&amp;" na tabela; preço aplicado pela UF do CEP","")</f>
        <v/>
      </c>
      <c r="AI1676" s="26" t="n">
        <v>225.83</v>
      </c>
      <c r="AJ1676" s="22" t="str">
        <f aca="false">INDEX('Tabela Passaro'!$X$2:$X$1795,$N1676)</f>
        <v>CAPITAL</v>
      </c>
    </row>
    <row r="1677" customFormat="false" ht="15" hidden="false" customHeight="false" outlineLevel="0" collapsed="false">
      <c r="A1677" s="22" t="s">
        <v>22</v>
      </c>
      <c r="B1677" s="22" t="n">
        <v>1</v>
      </c>
      <c r="C1677" s="22" t="s">
        <v>182</v>
      </c>
      <c r="D1677" s="22" t="s">
        <v>30</v>
      </c>
      <c r="E1677" s="22" t="s">
        <v>20</v>
      </c>
      <c r="F1677" s="22" t="n">
        <v>839938</v>
      </c>
      <c r="G1677" s="30" t="n">
        <v>46258</v>
      </c>
      <c r="H1677" s="22" t="n">
        <v>32629</v>
      </c>
      <c r="I1677" s="22" t="s">
        <v>8850</v>
      </c>
      <c r="J1677" s="31" t="n">
        <v>27.6</v>
      </c>
      <c r="K1677" s="26" t="n">
        <v>795.45</v>
      </c>
      <c r="L1677" s="26" t="n">
        <v>117.45</v>
      </c>
      <c r="M1677" s="22" t="s">
        <v>6384</v>
      </c>
      <c r="N1677" s="22" t="n">
        <f aca="false">MATCH(M1677,'Tabela Passaro'!$A$2:$A$1795,0)</f>
        <v>1554</v>
      </c>
      <c r="O1677" s="22" t="str">
        <f aca="false">INDEX('Tabela Passaro'!$C$2:$C$1795,$N1677)</f>
        <v>NATAL</v>
      </c>
      <c r="P1677" s="22" t="str">
        <f aca="false">INDEX('Tabela Passaro'!$B$2:$B$1795,$N1677)</f>
        <v>RN</v>
      </c>
      <c r="Q1677" s="22" t="n">
        <f aca="false">INDEX('Tabela Passaro'!$F$2:$F$1795,$N1677)</f>
        <v>9</v>
      </c>
      <c r="R1677" s="32" t="n">
        <f aca="false">IF(J1677&lt;=10,INDEX('Tabela Passaro'!$G$2:$G$1795,$N1677),IF(J1677&lt;=30,INDEX('Tabela Passaro'!$H$2:$H$1795,$N1677),IF(J1677&lt;=50,INDEX('Tabela Passaro'!$I$2:$I$1795,$N1677),IF(J1677&lt;=70,INDEX('Tabela Passaro'!$J$2:$J$1795,$N1677),IF(J1677&lt;=100,INDEX('Tabela Passaro'!$K$2:$K$1795,$N1677),INDEX('Tabela Passaro'!$K$2:$K$1795,$N1677)+(J1677-100)*INDEX('Tabela Passaro'!$L$2:$L$1795,$N1677))))))</f>
        <v>78.39</v>
      </c>
      <c r="S1677" s="32" t="n">
        <f aca="false">K1677*INDEX('Tabela Passaro'!$M$2:$M$1795,$N1677)</f>
        <v>3.97725</v>
      </c>
      <c r="T1677" s="32" t="n">
        <f aca="false">K1677*INDEX('Tabela Passaro'!$N$2:$N$1795,$N1677)</f>
        <v>1.5909</v>
      </c>
      <c r="U1677" s="32" t="n">
        <f aca="false">INDEX('Tabela Passaro'!$O$2:$O$1795,$N1677)</f>
        <v>5</v>
      </c>
      <c r="V1677" s="32" t="n">
        <f aca="false">ROUNDUP(J1677/INDEX('Tabela Passaro'!$Q$2:$Q$1795,$N1677),0)*INDEX('Tabela Passaro'!$P$2:$P$1795,$N1677)</f>
        <v>5</v>
      </c>
      <c r="W1677" s="32" t="n">
        <f aca="false">INDEX('Tabela Passaro'!$R$2:$R$1795,$N1677)</f>
        <v>30</v>
      </c>
      <c r="X1677" s="32" t="n">
        <f aca="false">ROUNDUP(J1677/INDEX('Tabela Passaro'!$T$2:$T$1795,$N1677),0)*INDEX('Tabela Passaro'!$S$2:$S$1795,$N1677)</f>
        <v>0</v>
      </c>
      <c r="Y1677" s="32" t="n">
        <f aca="false">INDEX('Tabela Passaro'!$U$2:$U$1795,$N1677)</f>
        <v>0</v>
      </c>
      <c r="Z1677" s="32" t="n">
        <f aca="false">INDEX('Tabela Passaro'!$V$2:$V$1795,$N1677)</f>
        <v>0</v>
      </c>
      <c r="AA1677" s="32" t="n">
        <f aca="false">SUM(R1677:Z1677)</f>
        <v>123.95815</v>
      </c>
      <c r="AB1677" s="33" t="n">
        <f aca="false">INDEX(Premissas!$B$5:$B$13,MATCH(A1677,Premissas!$A$5:$A$13,0))</f>
        <v>0.07</v>
      </c>
      <c r="AC1677" s="32" t="n">
        <f aca="false">AA1677/(1-AB1677)-AA1677</f>
        <v>9.33018333333335</v>
      </c>
      <c r="AD1677" s="32" t="n">
        <f aca="false">ROUND(AA1677+AC1677,2)</f>
        <v>133.29</v>
      </c>
      <c r="AE1677" s="32" t="n">
        <f aca="false">AD1677-L1677</f>
        <v>15.84</v>
      </c>
      <c r="AF1677" s="34" t="n">
        <f aca="false">IF(L1677=0,0,AE1677/L1677)</f>
        <v>0.134865900383142</v>
      </c>
      <c r="AG1677" s="22" t="str">
        <f aca="false">IF(AD1677&lt;L1677,"PASSARO","ATUAL")</f>
        <v>ATUAL</v>
      </c>
      <c r="AH1677" s="22" t="str">
        <f aca="false">IF(P1677&lt;&gt;A1677,"Faixa cadastrada como "&amp;P1677&amp;" na tabela; preço aplicado pela UF do CEP","")</f>
        <v/>
      </c>
      <c r="AI1677" s="26" t="n">
        <v>167.64</v>
      </c>
      <c r="AJ1677" s="22" t="str">
        <f aca="false">INDEX('Tabela Passaro'!$X$2:$X$1795,$N1677)</f>
        <v>CAPITAL</v>
      </c>
    </row>
    <row r="1678" customFormat="false" ht="15" hidden="false" customHeight="false" outlineLevel="0" collapsed="false">
      <c r="A1678" s="22" t="s">
        <v>22</v>
      </c>
      <c r="B1678" s="22" t="n">
        <v>1</v>
      </c>
      <c r="C1678" s="22" t="s">
        <v>182</v>
      </c>
      <c r="D1678" s="22" t="s">
        <v>30</v>
      </c>
      <c r="E1678" s="22" t="s">
        <v>20</v>
      </c>
      <c r="F1678" s="22" t="n">
        <v>839960</v>
      </c>
      <c r="G1678" s="30" t="n">
        <v>46258</v>
      </c>
      <c r="H1678" s="22" t="n">
        <v>32639</v>
      </c>
      <c r="I1678" s="22" t="s">
        <v>8851</v>
      </c>
      <c r="J1678" s="31" t="n">
        <v>26</v>
      </c>
      <c r="K1678" s="26" t="n">
        <v>655.02</v>
      </c>
      <c r="L1678" s="26" t="n">
        <v>116.19</v>
      </c>
      <c r="M1678" s="22" t="s">
        <v>6384</v>
      </c>
      <c r="N1678" s="22" t="n">
        <f aca="false">MATCH(M1678,'Tabela Passaro'!$A$2:$A$1795,0)</f>
        <v>1554</v>
      </c>
      <c r="O1678" s="22" t="str">
        <f aca="false">INDEX('Tabela Passaro'!$C$2:$C$1795,$N1678)</f>
        <v>NATAL</v>
      </c>
      <c r="P1678" s="22" t="str">
        <f aca="false">INDEX('Tabela Passaro'!$B$2:$B$1795,$N1678)</f>
        <v>RN</v>
      </c>
      <c r="Q1678" s="22" t="n">
        <f aca="false">INDEX('Tabela Passaro'!$F$2:$F$1795,$N1678)</f>
        <v>9</v>
      </c>
      <c r="R1678" s="32" t="n">
        <f aca="false">IF(J1678&lt;=10,INDEX('Tabela Passaro'!$G$2:$G$1795,$N1678),IF(J1678&lt;=30,INDEX('Tabela Passaro'!$H$2:$H$1795,$N1678),IF(J1678&lt;=50,INDEX('Tabela Passaro'!$I$2:$I$1795,$N1678),IF(J1678&lt;=70,INDEX('Tabela Passaro'!$J$2:$J$1795,$N1678),IF(J1678&lt;=100,INDEX('Tabela Passaro'!$K$2:$K$1795,$N1678),INDEX('Tabela Passaro'!$K$2:$K$1795,$N1678)+(J1678-100)*INDEX('Tabela Passaro'!$L$2:$L$1795,$N1678))))))</f>
        <v>78.39</v>
      </c>
      <c r="S1678" s="32" t="n">
        <f aca="false">K1678*INDEX('Tabela Passaro'!$M$2:$M$1795,$N1678)</f>
        <v>3.2751</v>
      </c>
      <c r="T1678" s="32" t="n">
        <f aca="false">K1678*INDEX('Tabela Passaro'!$N$2:$N$1795,$N1678)</f>
        <v>1.31004</v>
      </c>
      <c r="U1678" s="32" t="n">
        <f aca="false">INDEX('Tabela Passaro'!$O$2:$O$1795,$N1678)</f>
        <v>5</v>
      </c>
      <c r="V1678" s="32" t="n">
        <f aca="false">ROUNDUP(J1678/INDEX('Tabela Passaro'!$Q$2:$Q$1795,$N1678),0)*INDEX('Tabela Passaro'!$P$2:$P$1795,$N1678)</f>
        <v>5</v>
      </c>
      <c r="W1678" s="32" t="n">
        <f aca="false">INDEX('Tabela Passaro'!$R$2:$R$1795,$N1678)</f>
        <v>30</v>
      </c>
      <c r="X1678" s="32" t="n">
        <f aca="false">ROUNDUP(J1678/INDEX('Tabela Passaro'!$T$2:$T$1795,$N1678),0)*INDEX('Tabela Passaro'!$S$2:$S$1795,$N1678)</f>
        <v>0</v>
      </c>
      <c r="Y1678" s="32" t="n">
        <f aca="false">INDEX('Tabela Passaro'!$U$2:$U$1795,$N1678)</f>
        <v>0</v>
      </c>
      <c r="Z1678" s="32" t="n">
        <f aca="false">INDEX('Tabela Passaro'!$V$2:$V$1795,$N1678)</f>
        <v>0</v>
      </c>
      <c r="AA1678" s="32" t="n">
        <f aca="false">SUM(R1678:Z1678)</f>
        <v>122.97514</v>
      </c>
      <c r="AB1678" s="33" t="n">
        <f aca="false">INDEX(Premissas!$B$5:$B$13,MATCH(A1678,Premissas!$A$5:$A$13,0))</f>
        <v>0.07</v>
      </c>
      <c r="AC1678" s="32" t="n">
        <f aca="false">AA1678/(1-AB1678)-AA1678</f>
        <v>9.25619333333334</v>
      </c>
      <c r="AD1678" s="32" t="n">
        <f aca="false">ROUND(AA1678+AC1678,2)</f>
        <v>132.23</v>
      </c>
      <c r="AE1678" s="32" t="n">
        <f aca="false">AD1678-L1678</f>
        <v>16.04</v>
      </c>
      <c r="AF1678" s="34" t="n">
        <f aca="false">IF(L1678=0,0,AE1678/L1678)</f>
        <v>0.138049746105517</v>
      </c>
      <c r="AG1678" s="22" t="str">
        <f aca="false">IF(AD1678&lt;L1678,"PASSARO","ATUAL")</f>
        <v>ATUAL</v>
      </c>
      <c r="AH1678" s="22" t="str">
        <f aca="false">IF(P1678&lt;&gt;A1678,"Faixa cadastrada como "&amp;P1678&amp;" na tabela; preço aplicado pela UF do CEP","")</f>
        <v/>
      </c>
      <c r="AI1678" s="26" t="n">
        <v>165.32</v>
      </c>
      <c r="AJ1678" s="22" t="str">
        <f aca="false">INDEX('Tabela Passaro'!$X$2:$X$1795,$N1678)</f>
        <v>CAPITAL</v>
      </c>
    </row>
    <row r="1679" customFormat="false" ht="15" hidden="false" customHeight="false" outlineLevel="0" collapsed="false">
      <c r="A1679" s="22" t="s">
        <v>22</v>
      </c>
      <c r="B1679" s="22" t="n">
        <v>1</v>
      </c>
      <c r="C1679" s="22" t="s">
        <v>182</v>
      </c>
      <c r="D1679" s="22" t="s">
        <v>30</v>
      </c>
      <c r="E1679" s="22" t="s">
        <v>7326</v>
      </c>
      <c r="F1679" s="22" t="n">
        <v>526891</v>
      </c>
      <c r="G1679" s="30" t="n">
        <v>46258</v>
      </c>
      <c r="H1679" s="22" t="n">
        <v>627936</v>
      </c>
      <c r="I1679" s="22" t="s">
        <v>8852</v>
      </c>
      <c r="J1679" s="31" t="n">
        <v>8.21</v>
      </c>
      <c r="K1679" s="26" t="n">
        <v>801.16</v>
      </c>
      <c r="L1679" s="26" t="n">
        <v>78.29</v>
      </c>
      <c r="M1679" s="22" t="s">
        <v>6384</v>
      </c>
      <c r="N1679" s="22" t="n">
        <f aca="false">MATCH(M1679,'Tabela Passaro'!$A$2:$A$1795,0)</f>
        <v>1554</v>
      </c>
      <c r="O1679" s="22" t="str">
        <f aca="false">INDEX('Tabela Passaro'!$C$2:$C$1795,$N1679)</f>
        <v>NATAL</v>
      </c>
      <c r="P1679" s="22" t="str">
        <f aca="false">INDEX('Tabela Passaro'!$B$2:$B$1795,$N1679)</f>
        <v>RN</v>
      </c>
      <c r="Q1679" s="22" t="n">
        <f aca="false">INDEX('Tabela Passaro'!$F$2:$F$1795,$N1679)</f>
        <v>9</v>
      </c>
      <c r="R1679" s="32" t="n">
        <f aca="false">IF(J1679&lt;=10,INDEX('Tabela Passaro'!$G$2:$G$1795,$N1679),IF(J1679&lt;=30,INDEX('Tabela Passaro'!$H$2:$H$1795,$N1679),IF(J1679&lt;=50,INDEX('Tabela Passaro'!$I$2:$I$1795,$N1679),IF(J1679&lt;=70,INDEX('Tabela Passaro'!$J$2:$J$1795,$N1679),IF(J1679&lt;=100,INDEX('Tabela Passaro'!$K$2:$K$1795,$N1679),INDEX('Tabela Passaro'!$K$2:$K$1795,$N1679)+(J1679-100)*INDEX('Tabela Passaro'!$L$2:$L$1795,$N1679))))))</f>
        <v>68.37</v>
      </c>
      <c r="S1679" s="32" t="n">
        <f aca="false">K1679*INDEX('Tabela Passaro'!$M$2:$M$1795,$N1679)</f>
        <v>4.0058</v>
      </c>
      <c r="T1679" s="32" t="n">
        <f aca="false">K1679*INDEX('Tabela Passaro'!$N$2:$N$1795,$N1679)</f>
        <v>1.60232</v>
      </c>
      <c r="U1679" s="32" t="n">
        <f aca="false">INDEX('Tabela Passaro'!$O$2:$O$1795,$N1679)</f>
        <v>5</v>
      </c>
      <c r="V1679" s="32" t="n">
        <f aca="false">ROUNDUP(J1679/INDEX('Tabela Passaro'!$Q$2:$Q$1795,$N1679),0)*INDEX('Tabela Passaro'!$P$2:$P$1795,$N1679)</f>
        <v>5</v>
      </c>
      <c r="W1679" s="32" t="n">
        <f aca="false">INDEX('Tabela Passaro'!$R$2:$R$1795,$N1679)</f>
        <v>30</v>
      </c>
      <c r="X1679" s="32" t="n">
        <f aca="false">ROUNDUP(J1679/INDEX('Tabela Passaro'!$T$2:$T$1795,$N1679),0)*INDEX('Tabela Passaro'!$S$2:$S$1795,$N1679)</f>
        <v>0</v>
      </c>
      <c r="Y1679" s="32" t="n">
        <f aca="false">INDEX('Tabela Passaro'!$U$2:$U$1795,$N1679)</f>
        <v>0</v>
      </c>
      <c r="Z1679" s="32" t="n">
        <f aca="false">INDEX('Tabela Passaro'!$V$2:$V$1795,$N1679)</f>
        <v>0</v>
      </c>
      <c r="AA1679" s="32" t="n">
        <f aca="false">SUM(R1679:Z1679)</f>
        <v>113.97812</v>
      </c>
      <c r="AB1679" s="33" t="n">
        <f aca="false">INDEX(Premissas!$B$5:$B$13,MATCH(A1679,Premissas!$A$5:$A$13,0))</f>
        <v>0.07</v>
      </c>
      <c r="AC1679" s="32" t="n">
        <f aca="false">AA1679/(1-AB1679)-AA1679</f>
        <v>8.5789982795699</v>
      </c>
      <c r="AD1679" s="32" t="n">
        <f aca="false">ROUND(AA1679+AC1679,2)</f>
        <v>122.56</v>
      </c>
      <c r="AE1679" s="32" t="n">
        <f aca="false">AD1679-L1679</f>
        <v>44.27</v>
      </c>
      <c r="AF1679" s="34" t="n">
        <f aca="false">IF(L1679=0,0,AE1679/L1679)</f>
        <v>0.565461744794993</v>
      </c>
      <c r="AG1679" s="22" t="str">
        <f aca="false">IF(AD1679&lt;L1679,"PASSARO","ATUAL")</f>
        <v>ATUAL</v>
      </c>
      <c r="AH1679" s="22" t="str">
        <f aca="false">IF(P1679&lt;&gt;A1679,"Faixa cadastrada como "&amp;P1679&amp;" na tabela; preço aplicado pela UF do CEP","")</f>
        <v/>
      </c>
      <c r="AI1679" s="26" t="n">
        <v>145.98</v>
      </c>
      <c r="AJ1679" s="22" t="str">
        <f aca="false">INDEX('Tabela Passaro'!$X$2:$X$1795,$N1679)</f>
        <v>CAPITAL</v>
      </c>
    </row>
    <row r="1680" customFormat="false" ht="15" hidden="false" customHeight="false" outlineLevel="0" collapsed="false">
      <c r="A1680" s="22" t="s">
        <v>22</v>
      </c>
      <c r="B1680" s="22" t="n">
        <v>1</v>
      </c>
      <c r="C1680" s="22" t="s">
        <v>182</v>
      </c>
      <c r="D1680" s="22" t="s">
        <v>30</v>
      </c>
      <c r="E1680" s="22" t="s">
        <v>20</v>
      </c>
      <c r="F1680" s="22" t="n">
        <v>840025</v>
      </c>
      <c r="G1680" s="30" t="n">
        <v>46259</v>
      </c>
      <c r="H1680" s="22" t="n">
        <v>32674</v>
      </c>
      <c r="I1680" s="22" t="s">
        <v>8853</v>
      </c>
      <c r="J1680" s="31" t="n">
        <v>19.4</v>
      </c>
      <c r="K1680" s="26" t="n">
        <v>546.78</v>
      </c>
      <c r="L1680" s="26" t="n">
        <v>115.22</v>
      </c>
      <c r="M1680" s="22" t="s">
        <v>6384</v>
      </c>
      <c r="N1680" s="22" t="n">
        <f aca="false">MATCH(M1680,'Tabela Passaro'!$A$2:$A$1795,0)</f>
        <v>1554</v>
      </c>
      <c r="O1680" s="22" t="str">
        <f aca="false">INDEX('Tabela Passaro'!$C$2:$C$1795,$N1680)</f>
        <v>NATAL</v>
      </c>
      <c r="P1680" s="22" t="str">
        <f aca="false">INDEX('Tabela Passaro'!$B$2:$B$1795,$N1680)</f>
        <v>RN</v>
      </c>
      <c r="Q1680" s="22" t="n">
        <f aca="false">INDEX('Tabela Passaro'!$F$2:$F$1795,$N1680)</f>
        <v>9</v>
      </c>
      <c r="R1680" s="32" t="n">
        <f aca="false">IF(J1680&lt;=10,INDEX('Tabela Passaro'!$G$2:$G$1795,$N1680),IF(J1680&lt;=30,INDEX('Tabela Passaro'!$H$2:$H$1795,$N1680),IF(J1680&lt;=50,INDEX('Tabela Passaro'!$I$2:$I$1795,$N1680),IF(J1680&lt;=70,INDEX('Tabela Passaro'!$J$2:$J$1795,$N1680),IF(J1680&lt;=100,INDEX('Tabela Passaro'!$K$2:$K$1795,$N1680),INDEX('Tabela Passaro'!$K$2:$K$1795,$N1680)+(J1680-100)*INDEX('Tabela Passaro'!$L$2:$L$1795,$N1680))))))</f>
        <v>78.39</v>
      </c>
      <c r="S1680" s="32" t="n">
        <f aca="false">K1680*INDEX('Tabela Passaro'!$M$2:$M$1795,$N1680)</f>
        <v>2.7339</v>
      </c>
      <c r="T1680" s="32" t="n">
        <f aca="false">K1680*INDEX('Tabela Passaro'!$N$2:$N$1795,$N1680)</f>
        <v>1.09356</v>
      </c>
      <c r="U1680" s="32" t="n">
        <f aca="false">INDEX('Tabela Passaro'!$O$2:$O$1795,$N1680)</f>
        <v>5</v>
      </c>
      <c r="V1680" s="32" t="n">
        <f aca="false">ROUNDUP(J1680/INDEX('Tabela Passaro'!$Q$2:$Q$1795,$N1680),0)*INDEX('Tabela Passaro'!$P$2:$P$1795,$N1680)</f>
        <v>5</v>
      </c>
      <c r="W1680" s="32" t="n">
        <f aca="false">INDEX('Tabela Passaro'!$R$2:$R$1795,$N1680)</f>
        <v>30</v>
      </c>
      <c r="X1680" s="32" t="n">
        <f aca="false">ROUNDUP(J1680/INDEX('Tabela Passaro'!$T$2:$T$1795,$N1680),0)*INDEX('Tabela Passaro'!$S$2:$S$1795,$N1680)</f>
        <v>0</v>
      </c>
      <c r="Y1680" s="32" t="n">
        <f aca="false">INDEX('Tabela Passaro'!$U$2:$U$1795,$N1680)</f>
        <v>0</v>
      </c>
      <c r="Z1680" s="32" t="n">
        <f aca="false">INDEX('Tabela Passaro'!$V$2:$V$1795,$N1680)</f>
        <v>0</v>
      </c>
      <c r="AA1680" s="32" t="n">
        <f aca="false">SUM(R1680:Z1680)</f>
        <v>122.21746</v>
      </c>
      <c r="AB1680" s="33" t="n">
        <f aca="false">INDEX(Premissas!$B$5:$B$13,MATCH(A1680,Premissas!$A$5:$A$13,0))</f>
        <v>0.07</v>
      </c>
      <c r="AC1680" s="32" t="n">
        <f aca="false">AA1680/(1-AB1680)-AA1680</f>
        <v>9.19916365591398</v>
      </c>
      <c r="AD1680" s="32" t="n">
        <f aca="false">ROUND(AA1680+AC1680,2)</f>
        <v>131.42</v>
      </c>
      <c r="AE1680" s="32" t="n">
        <f aca="false">AD1680-L1680</f>
        <v>16.2</v>
      </c>
      <c r="AF1680" s="34" t="n">
        <f aca="false">IF(L1680=0,0,AE1680/L1680)</f>
        <v>0.140600590175317</v>
      </c>
      <c r="AG1680" s="22" t="str">
        <f aca="false">IF(AD1680&lt;L1680,"PASSARO","ATUAL")</f>
        <v>ATUAL</v>
      </c>
      <c r="AH1680" s="22" t="str">
        <f aca="false">IF(P1680&lt;&gt;A1680,"Faixa cadastrada como "&amp;P1680&amp;" na tabela; preço aplicado pela UF do CEP","")</f>
        <v/>
      </c>
      <c r="AI1680" s="26" t="n">
        <v>161.37</v>
      </c>
      <c r="AJ1680" s="22" t="str">
        <f aca="false">INDEX('Tabela Passaro'!$X$2:$X$1795,$N1680)</f>
        <v>CAPITAL</v>
      </c>
    </row>
    <row r="1681" customFormat="false" ht="15" hidden="false" customHeight="false" outlineLevel="0" collapsed="false">
      <c r="A1681" s="22" t="s">
        <v>22</v>
      </c>
      <c r="B1681" s="22" t="n">
        <v>1</v>
      </c>
      <c r="C1681" s="22" t="s">
        <v>182</v>
      </c>
      <c r="D1681" s="22" t="s">
        <v>30</v>
      </c>
      <c r="E1681" s="22" t="s">
        <v>20</v>
      </c>
      <c r="F1681" s="22" t="n">
        <v>840169</v>
      </c>
      <c r="G1681" s="30" t="n">
        <v>46260</v>
      </c>
      <c r="H1681" s="22" t="n">
        <v>32686</v>
      </c>
      <c r="I1681" s="22" t="s">
        <v>8854</v>
      </c>
      <c r="J1681" s="31" t="n">
        <v>17.2</v>
      </c>
      <c r="K1681" s="26" t="n">
        <v>364.47</v>
      </c>
      <c r="L1681" s="26" t="n">
        <v>113.57</v>
      </c>
      <c r="M1681" s="22" t="s">
        <v>6384</v>
      </c>
      <c r="N1681" s="22" t="n">
        <f aca="false">MATCH(M1681,'Tabela Passaro'!$A$2:$A$1795,0)</f>
        <v>1554</v>
      </c>
      <c r="O1681" s="22" t="str">
        <f aca="false">INDEX('Tabela Passaro'!$C$2:$C$1795,$N1681)</f>
        <v>NATAL</v>
      </c>
      <c r="P1681" s="22" t="str">
        <f aca="false">INDEX('Tabela Passaro'!$B$2:$B$1795,$N1681)</f>
        <v>RN</v>
      </c>
      <c r="Q1681" s="22" t="n">
        <f aca="false">INDEX('Tabela Passaro'!$F$2:$F$1795,$N1681)</f>
        <v>9</v>
      </c>
      <c r="R1681" s="32" t="n">
        <f aca="false">IF(J1681&lt;=10,INDEX('Tabela Passaro'!$G$2:$G$1795,$N1681),IF(J1681&lt;=30,INDEX('Tabela Passaro'!$H$2:$H$1795,$N1681),IF(J1681&lt;=50,INDEX('Tabela Passaro'!$I$2:$I$1795,$N1681),IF(J1681&lt;=70,INDEX('Tabela Passaro'!$J$2:$J$1795,$N1681),IF(J1681&lt;=100,INDEX('Tabela Passaro'!$K$2:$K$1795,$N1681),INDEX('Tabela Passaro'!$K$2:$K$1795,$N1681)+(J1681-100)*INDEX('Tabela Passaro'!$L$2:$L$1795,$N1681))))))</f>
        <v>78.39</v>
      </c>
      <c r="S1681" s="32" t="n">
        <f aca="false">K1681*INDEX('Tabela Passaro'!$M$2:$M$1795,$N1681)</f>
        <v>1.82235</v>
      </c>
      <c r="T1681" s="32" t="n">
        <f aca="false">K1681*INDEX('Tabela Passaro'!$N$2:$N$1795,$N1681)</f>
        <v>0.72894</v>
      </c>
      <c r="U1681" s="32" t="n">
        <f aca="false">INDEX('Tabela Passaro'!$O$2:$O$1795,$N1681)</f>
        <v>5</v>
      </c>
      <c r="V1681" s="32" t="n">
        <f aca="false">ROUNDUP(J1681/INDEX('Tabela Passaro'!$Q$2:$Q$1795,$N1681),0)*INDEX('Tabela Passaro'!$P$2:$P$1795,$N1681)</f>
        <v>5</v>
      </c>
      <c r="W1681" s="32" t="n">
        <f aca="false">INDEX('Tabela Passaro'!$R$2:$R$1795,$N1681)</f>
        <v>30</v>
      </c>
      <c r="X1681" s="32" t="n">
        <f aca="false">ROUNDUP(J1681/INDEX('Tabela Passaro'!$T$2:$T$1795,$N1681),0)*INDEX('Tabela Passaro'!$S$2:$S$1795,$N1681)</f>
        <v>0</v>
      </c>
      <c r="Y1681" s="32" t="n">
        <f aca="false">INDEX('Tabela Passaro'!$U$2:$U$1795,$N1681)</f>
        <v>0</v>
      </c>
      <c r="Z1681" s="32" t="n">
        <f aca="false">INDEX('Tabela Passaro'!$V$2:$V$1795,$N1681)</f>
        <v>0</v>
      </c>
      <c r="AA1681" s="32" t="n">
        <f aca="false">SUM(R1681:Z1681)</f>
        <v>120.94129</v>
      </c>
      <c r="AB1681" s="33" t="n">
        <f aca="false">INDEX(Premissas!$B$5:$B$13,MATCH(A1681,Premissas!$A$5:$A$13,0))</f>
        <v>0.07</v>
      </c>
      <c r="AC1681" s="32" t="n">
        <f aca="false">AA1681/(1-AB1681)-AA1681</f>
        <v>9.10310784946238</v>
      </c>
      <c r="AD1681" s="32" t="n">
        <f aca="false">ROUND(AA1681+AC1681,2)</f>
        <v>130.04</v>
      </c>
      <c r="AE1681" s="32" t="n">
        <f aca="false">AD1681-L1681</f>
        <v>16.47</v>
      </c>
      <c r="AF1681" s="34" t="n">
        <f aca="false">IF(L1681=0,0,AE1681/L1681)</f>
        <v>0.145020692084177</v>
      </c>
      <c r="AG1681" s="22" t="str">
        <f aca="false">IF(AD1681&lt;L1681,"PASSARO","ATUAL")</f>
        <v>ATUAL</v>
      </c>
      <c r="AH1681" s="22" t="str">
        <f aca="false">IF(P1681&lt;&gt;A1681,"Faixa cadastrada como "&amp;P1681&amp;" na tabela; preço aplicado pela UF do CEP","")</f>
        <v/>
      </c>
      <c r="AI1681" s="26" t="n">
        <v>158.63</v>
      </c>
      <c r="AJ1681" s="22" t="str">
        <f aca="false">INDEX('Tabela Passaro'!$X$2:$X$1795,$N1681)</f>
        <v>CAPITAL</v>
      </c>
    </row>
    <row r="1682" customFormat="false" ht="15" hidden="false" customHeight="false" outlineLevel="0" collapsed="false">
      <c r="A1682" s="22" t="s">
        <v>22</v>
      </c>
      <c r="B1682" s="22" t="n">
        <v>1</v>
      </c>
      <c r="C1682" s="22" t="s">
        <v>182</v>
      </c>
      <c r="D1682" s="22" t="s">
        <v>30</v>
      </c>
      <c r="E1682" s="22" t="s">
        <v>20</v>
      </c>
      <c r="F1682" s="22" t="n">
        <v>840181</v>
      </c>
      <c r="G1682" s="30" t="n">
        <v>46260</v>
      </c>
      <c r="H1682" s="22" t="n">
        <v>32698</v>
      </c>
      <c r="I1682" s="22" t="s">
        <v>8855</v>
      </c>
      <c r="J1682" s="31" t="n">
        <v>51.06</v>
      </c>
      <c r="K1682" s="26" t="n">
        <v>842.86</v>
      </c>
      <c r="L1682" s="26" t="n">
        <v>176.61</v>
      </c>
      <c r="M1682" s="22" t="s">
        <v>6384</v>
      </c>
      <c r="N1682" s="22" t="n">
        <f aca="false">MATCH(M1682,'Tabela Passaro'!$A$2:$A$1795,0)</f>
        <v>1554</v>
      </c>
      <c r="O1682" s="22" t="str">
        <f aca="false">INDEX('Tabela Passaro'!$C$2:$C$1795,$N1682)</f>
        <v>NATAL</v>
      </c>
      <c r="P1682" s="22" t="str">
        <f aca="false">INDEX('Tabela Passaro'!$B$2:$B$1795,$N1682)</f>
        <v>RN</v>
      </c>
      <c r="Q1682" s="22" t="n">
        <f aca="false">INDEX('Tabela Passaro'!$F$2:$F$1795,$N1682)</f>
        <v>9</v>
      </c>
      <c r="R1682" s="32" t="n">
        <f aca="false">IF(J1682&lt;=10,INDEX('Tabela Passaro'!$G$2:$G$1795,$N1682),IF(J1682&lt;=30,INDEX('Tabela Passaro'!$H$2:$H$1795,$N1682),IF(J1682&lt;=50,INDEX('Tabela Passaro'!$I$2:$I$1795,$N1682),IF(J1682&lt;=70,INDEX('Tabela Passaro'!$J$2:$J$1795,$N1682),IF(J1682&lt;=100,INDEX('Tabela Passaro'!$K$2:$K$1795,$N1682),INDEX('Tabela Passaro'!$K$2:$K$1795,$N1682)+(J1682-100)*INDEX('Tabela Passaro'!$L$2:$L$1795,$N1682))))))</f>
        <v>108.44</v>
      </c>
      <c r="S1682" s="32" t="n">
        <f aca="false">K1682*INDEX('Tabela Passaro'!$M$2:$M$1795,$N1682)</f>
        <v>4.2143</v>
      </c>
      <c r="T1682" s="32" t="n">
        <f aca="false">K1682*INDEX('Tabela Passaro'!$N$2:$N$1795,$N1682)</f>
        <v>1.68572</v>
      </c>
      <c r="U1682" s="32" t="n">
        <f aca="false">INDEX('Tabela Passaro'!$O$2:$O$1795,$N1682)</f>
        <v>5</v>
      </c>
      <c r="V1682" s="32" t="n">
        <f aca="false">ROUNDUP(J1682/INDEX('Tabela Passaro'!$Q$2:$Q$1795,$N1682),0)*INDEX('Tabela Passaro'!$P$2:$P$1795,$N1682)</f>
        <v>5</v>
      </c>
      <c r="W1682" s="32" t="n">
        <f aca="false">INDEX('Tabela Passaro'!$R$2:$R$1795,$N1682)</f>
        <v>30</v>
      </c>
      <c r="X1682" s="32" t="n">
        <f aca="false">ROUNDUP(J1682/INDEX('Tabela Passaro'!$T$2:$T$1795,$N1682),0)*INDEX('Tabela Passaro'!$S$2:$S$1795,$N1682)</f>
        <v>0</v>
      </c>
      <c r="Y1682" s="32" t="n">
        <f aca="false">INDEX('Tabela Passaro'!$U$2:$U$1795,$N1682)</f>
        <v>0</v>
      </c>
      <c r="Z1682" s="32" t="n">
        <f aca="false">INDEX('Tabela Passaro'!$V$2:$V$1795,$N1682)</f>
        <v>0</v>
      </c>
      <c r="AA1682" s="32" t="n">
        <f aca="false">SUM(R1682:Z1682)</f>
        <v>154.34002</v>
      </c>
      <c r="AB1682" s="33" t="n">
        <f aca="false">INDEX(Premissas!$B$5:$B$13,MATCH(A1682,Premissas!$A$5:$A$13,0))</f>
        <v>0.07</v>
      </c>
      <c r="AC1682" s="32" t="n">
        <f aca="false">AA1682/(1-AB1682)-AA1682</f>
        <v>11.6169907526882</v>
      </c>
      <c r="AD1682" s="32" t="n">
        <f aca="false">ROUND(AA1682+AC1682,2)</f>
        <v>165.96</v>
      </c>
      <c r="AE1682" s="32" t="n">
        <f aca="false">AD1682-L1682</f>
        <v>-10.65</v>
      </c>
      <c r="AF1682" s="34" t="n">
        <f aca="false">IF(L1682=0,0,AE1682/L1682)</f>
        <v>-0.0603023611347036</v>
      </c>
      <c r="AG1682" s="22" t="str">
        <f aca="false">IF(AD1682&lt;L1682,"PASSARO","ATUAL")</f>
        <v>PASSARO</v>
      </c>
      <c r="AH1682" s="22" t="str">
        <f aca="false">IF(P1682&lt;&gt;A1682,"Faixa cadastrada como "&amp;P1682&amp;" na tabela; preço aplicado pela UF do CEP","")</f>
        <v/>
      </c>
      <c r="AI1682" s="26" t="n">
        <v>217.29</v>
      </c>
      <c r="AJ1682" s="22" t="str">
        <f aca="false">INDEX('Tabela Passaro'!$X$2:$X$1795,$N1682)</f>
        <v>CAPITAL</v>
      </c>
    </row>
    <row r="1683" customFormat="false" ht="15" hidden="false" customHeight="false" outlineLevel="0" collapsed="false">
      <c r="A1683" s="22" t="s">
        <v>22</v>
      </c>
      <c r="B1683" s="22" t="n">
        <v>1</v>
      </c>
      <c r="C1683" s="22" t="s">
        <v>182</v>
      </c>
      <c r="D1683" s="22" t="s">
        <v>30</v>
      </c>
      <c r="E1683" s="22" t="s">
        <v>7326</v>
      </c>
      <c r="F1683" s="22" t="n">
        <v>528317</v>
      </c>
      <c r="G1683" s="30" t="n">
        <v>46262</v>
      </c>
      <c r="H1683" s="22" t="n">
        <v>630312</v>
      </c>
      <c r="I1683" s="22" t="s">
        <v>8856</v>
      </c>
      <c r="J1683" s="31" t="n">
        <v>56.2</v>
      </c>
      <c r="K1683" s="26" t="n">
        <v>1949.83</v>
      </c>
      <c r="L1683" s="26" t="n">
        <v>240.06</v>
      </c>
      <c r="M1683" s="22" t="s">
        <v>6384</v>
      </c>
      <c r="N1683" s="22" t="n">
        <f aca="false">MATCH(M1683,'Tabela Passaro'!$A$2:$A$1795,0)</f>
        <v>1554</v>
      </c>
      <c r="O1683" s="22" t="str">
        <f aca="false">INDEX('Tabela Passaro'!$C$2:$C$1795,$N1683)</f>
        <v>NATAL</v>
      </c>
      <c r="P1683" s="22" t="str">
        <f aca="false">INDEX('Tabela Passaro'!$B$2:$B$1795,$N1683)</f>
        <v>RN</v>
      </c>
      <c r="Q1683" s="22" t="n">
        <f aca="false">INDEX('Tabela Passaro'!$F$2:$F$1795,$N1683)</f>
        <v>9</v>
      </c>
      <c r="R1683" s="32" t="n">
        <f aca="false">IF(J1683&lt;=10,INDEX('Tabela Passaro'!$G$2:$G$1795,$N1683),IF(J1683&lt;=30,INDEX('Tabela Passaro'!$H$2:$H$1795,$N1683),IF(J1683&lt;=50,INDEX('Tabela Passaro'!$I$2:$I$1795,$N1683),IF(J1683&lt;=70,INDEX('Tabela Passaro'!$J$2:$J$1795,$N1683),IF(J1683&lt;=100,INDEX('Tabela Passaro'!$K$2:$K$1795,$N1683),INDEX('Tabela Passaro'!$K$2:$K$1795,$N1683)+(J1683-100)*INDEX('Tabela Passaro'!$L$2:$L$1795,$N1683))))))</f>
        <v>108.44</v>
      </c>
      <c r="S1683" s="32" t="n">
        <f aca="false">K1683*INDEX('Tabela Passaro'!$M$2:$M$1795,$N1683)</f>
        <v>9.74915</v>
      </c>
      <c r="T1683" s="32" t="n">
        <f aca="false">K1683*INDEX('Tabela Passaro'!$N$2:$N$1795,$N1683)</f>
        <v>3.89966</v>
      </c>
      <c r="U1683" s="32" t="n">
        <f aca="false">INDEX('Tabela Passaro'!$O$2:$O$1795,$N1683)</f>
        <v>5</v>
      </c>
      <c r="V1683" s="32" t="n">
        <f aca="false">ROUNDUP(J1683/INDEX('Tabela Passaro'!$Q$2:$Q$1795,$N1683),0)*INDEX('Tabela Passaro'!$P$2:$P$1795,$N1683)</f>
        <v>5</v>
      </c>
      <c r="W1683" s="32" t="n">
        <f aca="false">INDEX('Tabela Passaro'!$R$2:$R$1795,$N1683)</f>
        <v>30</v>
      </c>
      <c r="X1683" s="32" t="n">
        <f aca="false">ROUNDUP(J1683/INDEX('Tabela Passaro'!$T$2:$T$1795,$N1683),0)*INDEX('Tabela Passaro'!$S$2:$S$1795,$N1683)</f>
        <v>0</v>
      </c>
      <c r="Y1683" s="32" t="n">
        <f aca="false">INDEX('Tabela Passaro'!$U$2:$U$1795,$N1683)</f>
        <v>0</v>
      </c>
      <c r="Z1683" s="32" t="n">
        <f aca="false">INDEX('Tabela Passaro'!$V$2:$V$1795,$N1683)</f>
        <v>0</v>
      </c>
      <c r="AA1683" s="32" t="n">
        <f aca="false">SUM(R1683:Z1683)</f>
        <v>162.08881</v>
      </c>
      <c r="AB1683" s="33" t="n">
        <f aca="false">INDEX(Premissas!$B$5:$B$13,MATCH(A1683,Premissas!$A$5:$A$13,0))</f>
        <v>0.07</v>
      </c>
      <c r="AC1683" s="32" t="n">
        <f aca="false">AA1683/(1-AB1683)-AA1683</f>
        <v>12.2002330107527</v>
      </c>
      <c r="AD1683" s="32" t="n">
        <f aca="false">ROUND(AA1683+AC1683,2)</f>
        <v>174.29</v>
      </c>
      <c r="AE1683" s="32" t="n">
        <f aca="false">AD1683-L1683</f>
        <v>-65.77</v>
      </c>
      <c r="AF1683" s="34" t="n">
        <f aca="false">IF(L1683=0,0,AE1683/L1683)</f>
        <v>-0.273973173373323</v>
      </c>
      <c r="AG1683" s="22" t="str">
        <f aca="false">IF(AD1683&lt;L1683,"PASSARO","ATUAL")</f>
        <v>PASSARO</v>
      </c>
      <c r="AH1683" s="22" t="str">
        <f aca="false">IF(P1683&lt;&gt;A1683,"Faixa cadastrada como "&amp;P1683&amp;" na tabela; preço aplicado pela UF do CEP","")</f>
        <v/>
      </c>
      <c r="AI1683" s="26" t="n">
        <v>230.42</v>
      </c>
      <c r="AJ1683" s="22" t="str">
        <f aca="false">INDEX('Tabela Passaro'!$X$2:$X$1795,$N1683)</f>
        <v>CAPITAL</v>
      </c>
    </row>
    <row r="1684" customFormat="false" ht="15" hidden="false" customHeight="false" outlineLevel="0" collapsed="false">
      <c r="A1684" s="22" t="s">
        <v>22</v>
      </c>
      <c r="B1684" s="22" t="n">
        <v>1</v>
      </c>
      <c r="C1684" s="22" t="s">
        <v>182</v>
      </c>
      <c r="D1684" s="22" t="s">
        <v>30</v>
      </c>
      <c r="E1684" s="22" t="s">
        <v>20</v>
      </c>
      <c r="F1684" s="22" t="n">
        <v>840592</v>
      </c>
      <c r="G1684" s="30" t="n">
        <v>46265</v>
      </c>
      <c r="H1684" s="22" t="n">
        <v>32793</v>
      </c>
      <c r="I1684" s="22" t="s">
        <v>8857</v>
      </c>
      <c r="J1684" s="31" t="n">
        <v>17.2</v>
      </c>
      <c r="K1684" s="26" t="n">
        <v>392.49</v>
      </c>
      <c r="L1684" s="26" t="n">
        <v>113.82</v>
      </c>
      <c r="M1684" s="22" t="s">
        <v>6384</v>
      </c>
      <c r="N1684" s="22" t="n">
        <f aca="false">MATCH(M1684,'Tabela Passaro'!$A$2:$A$1795,0)</f>
        <v>1554</v>
      </c>
      <c r="O1684" s="22" t="str">
        <f aca="false">INDEX('Tabela Passaro'!$C$2:$C$1795,$N1684)</f>
        <v>NATAL</v>
      </c>
      <c r="P1684" s="22" t="str">
        <f aca="false">INDEX('Tabela Passaro'!$B$2:$B$1795,$N1684)</f>
        <v>RN</v>
      </c>
      <c r="Q1684" s="22" t="n">
        <f aca="false">INDEX('Tabela Passaro'!$F$2:$F$1795,$N1684)</f>
        <v>9</v>
      </c>
      <c r="R1684" s="32" t="n">
        <f aca="false">IF(J1684&lt;=10,INDEX('Tabela Passaro'!$G$2:$G$1795,$N1684),IF(J1684&lt;=30,INDEX('Tabela Passaro'!$H$2:$H$1795,$N1684),IF(J1684&lt;=50,INDEX('Tabela Passaro'!$I$2:$I$1795,$N1684),IF(J1684&lt;=70,INDEX('Tabela Passaro'!$J$2:$J$1795,$N1684),IF(J1684&lt;=100,INDEX('Tabela Passaro'!$K$2:$K$1795,$N1684),INDEX('Tabela Passaro'!$K$2:$K$1795,$N1684)+(J1684-100)*INDEX('Tabela Passaro'!$L$2:$L$1795,$N1684))))))</f>
        <v>78.39</v>
      </c>
      <c r="S1684" s="32" t="n">
        <f aca="false">K1684*INDEX('Tabela Passaro'!$M$2:$M$1795,$N1684)</f>
        <v>1.96245</v>
      </c>
      <c r="T1684" s="32" t="n">
        <f aca="false">K1684*INDEX('Tabela Passaro'!$N$2:$N$1795,$N1684)</f>
        <v>0.78498</v>
      </c>
      <c r="U1684" s="32" t="n">
        <f aca="false">INDEX('Tabela Passaro'!$O$2:$O$1795,$N1684)</f>
        <v>5</v>
      </c>
      <c r="V1684" s="32" t="n">
        <f aca="false">ROUNDUP(J1684/INDEX('Tabela Passaro'!$Q$2:$Q$1795,$N1684),0)*INDEX('Tabela Passaro'!$P$2:$P$1795,$N1684)</f>
        <v>5</v>
      </c>
      <c r="W1684" s="32" t="n">
        <f aca="false">INDEX('Tabela Passaro'!$R$2:$R$1795,$N1684)</f>
        <v>30</v>
      </c>
      <c r="X1684" s="32" t="n">
        <f aca="false">ROUNDUP(J1684/INDEX('Tabela Passaro'!$T$2:$T$1795,$N1684),0)*INDEX('Tabela Passaro'!$S$2:$S$1795,$N1684)</f>
        <v>0</v>
      </c>
      <c r="Y1684" s="32" t="n">
        <f aca="false">INDEX('Tabela Passaro'!$U$2:$U$1795,$N1684)</f>
        <v>0</v>
      </c>
      <c r="Z1684" s="32" t="n">
        <f aca="false">INDEX('Tabela Passaro'!$V$2:$V$1795,$N1684)</f>
        <v>0</v>
      </c>
      <c r="AA1684" s="32" t="n">
        <f aca="false">SUM(R1684:Z1684)</f>
        <v>121.13743</v>
      </c>
      <c r="AB1684" s="33" t="n">
        <f aca="false">INDEX(Premissas!$B$5:$B$13,MATCH(A1684,Premissas!$A$5:$A$13,0))</f>
        <v>0.07</v>
      </c>
      <c r="AC1684" s="32" t="n">
        <f aca="false">AA1684/(1-AB1684)-AA1684</f>
        <v>9.11787107526882</v>
      </c>
      <c r="AD1684" s="32" t="n">
        <f aca="false">ROUND(AA1684+AC1684,2)</f>
        <v>130.26</v>
      </c>
      <c r="AE1684" s="32" t="n">
        <f aca="false">AD1684-L1684</f>
        <v>16.44</v>
      </c>
      <c r="AF1684" s="34" t="n">
        <f aca="false">IF(L1684=0,0,AE1684/L1684)</f>
        <v>0.144438587243015</v>
      </c>
      <c r="AG1684" s="22" t="str">
        <f aca="false">IF(AD1684&lt;L1684,"PASSARO","ATUAL")</f>
        <v>ATUAL</v>
      </c>
      <c r="AH1684" s="22" t="str">
        <f aca="false">IF(P1684&lt;&gt;A1684,"Faixa cadastrada como "&amp;P1684&amp;" na tabela; preço aplicado pela UF do CEP","")</f>
        <v/>
      </c>
      <c r="AI1684" s="26" t="n">
        <v>158.91</v>
      </c>
      <c r="AJ1684" s="22" t="str">
        <f aca="false">INDEX('Tabela Passaro'!$X$2:$X$1795,$N1684)</f>
        <v>CAPITAL</v>
      </c>
    </row>
    <row r="1685" customFormat="false" ht="15" hidden="false" customHeight="false" outlineLevel="0" collapsed="false">
      <c r="A1685" s="22" t="s">
        <v>22</v>
      </c>
      <c r="B1685" s="22" t="n">
        <v>1</v>
      </c>
      <c r="C1685" s="22" t="s">
        <v>182</v>
      </c>
      <c r="D1685" s="22" t="s">
        <v>31</v>
      </c>
      <c r="E1685" s="22" t="s">
        <v>7326</v>
      </c>
      <c r="F1685" s="22" t="n">
        <v>12743880</v>
      </c>
      <c r="G1685" s="30" t="n">
        <v>46240</v>
      </c>
      <c r="H1685" s="22" t="n">
        <v>621005</v>
      </c>
      <c r="I1685" s="22" t="s">
        <v>8858</v>
      </c>
      <c r="J1685" s="31" t="n">
        <v>21.75</v>
      </c>
      <c r="K1685" s="26" t="n">
        <v>470.68</v>
      </c>
      <c r="L1685" s="26" t="n">
        <v>96.63</v>
      </c>
      <c r="M1685" s="22" t="s">
        <v>6384</v>
      </c>
      <c r="N1685" s="22" t="n">
        <f aca="false">MATCH(M1685,'Tabela Passaro'!$A$2:$A$1795,0)</f>
        <v>1554</v>
      </c>
      <c r="O1685" s="22" t="str">
        <f aca="false">INDEX('Tabela Passaro'!$C$2:$C$1795,$N1685)</f>
        <v>NATAL</v>
      </c>
      <c r="P1685" s="22" t="str">
        <f aca="false">INDEX('Tabela Passaro'!$B$2:$B$1795,$N1685)</f>
        <v>RN</v>
      </c>
      <c r="Q1685" s="22" t="n">
        <f aca="false">INDEX('Tabela Passaro'!$F$2:$F$1795,$N1685)</f>
        <v>9</v>
      </c>
      <c r="R1685" s="32" t="n">
        <f aca="false">IF(J1685&lt;=10,INDEX('Tabela Passaro'!$G$2:$G$1795,$N1685),IF(J1685&lt;=30,INDEX('Tabela Passaro'!$H$2:$H$1795,$N1685),IF(J1685&lt;=50,INDEX('Tabela Passaro'!$I$2:$I$1795,$N1685),IF(J1685&lt;=70,INDEX('Tabela Passaro'!$J$2:$J$1795,$N1685),IF(J1685&lt;=100,INDEX('Tabela Passaro'!$K$2:$K$1795,$N1685),INDEX('Tabela Passaro'!$K$2:$K$1795,$N1685)+(J1685-100)*INDEX('Tabela Passaro'!$L$2:$L$1795,$N1685))))))</f>
        <v>78.39</v>
      </c>
      <c r="S1685" s="32" t="n">
        <f aca="false">K1685*INDEX('Tabela Passaro'!$M$2:$M$1795,$N1685)</f>
        <v>2.3534</v>
      </c>
      <c r="T1685" s="32" t="n">
        <f aca="false">K1685*INDEX('Tabela Passaro'!$N$2:$N$1795,$N1685)</f>
        <v>0.94136</v>
      </c>
      <c r="U1685" s="32" t="n">
        <f aca="false">INDEX('Tabela Passaro'!$O$2:$O$1795,$N1685)</f>
        <v>5</v>
      </c>
      <c r="V1685" s="32" t="n">
        <f aca="false">ROUNDUP(J1685/INDEX('Tabela Passaro'!$Q$2:$Q$1795,$N1685),0)*INDEX('Tabela Passaro'!$P$2:$P$1795,$N1685)</f>
        <v>5</v>
      </c>
      <c r="W1685" s="32" t="n">
        <f aca="false">INDEX('Tabela Passaro'!$R$2:$R$1795,$N1685)</f>
        <v>30</v>
      </c>
      <c r="X1685" s="32" t="n">
        <f aca="false">ROUNDUP(J1685/INDEX('Tabela Passaro'!$T$2:$T$1795,$N1685),0)*INDEX('Tabela Passaro'!$S$2:$S$1795,$N1685)</f>
        <v>0</v>
      </c>
      <c r="Y1685" s="32" t="n">
        <f aca="false">INDEX('Tabela Passaro'!$U$2:$U$1795,$N1685)</f>
        <v>0</v>
      </c>
      <c r="Z1685" s="32" t="n">
        <f aca="false">INDEX('Tabela Passaro'!$V$2:$V$1795,$N1685)</f>
        <v>0</v>
      </c>
      <c r="AA1685" s="32" t="n">
        <f aca="false">SUM(R1685:Z1685)</f>
        <v>121.68476</v>
      </c>
      <c r="AB1685" s="33" t="n">
        <f aca="false">INDEX(Premissas!$B$5:$B$13,MATCH(A1685,Premissas!$A$5:$A$13,0))</f>
        <v>0.07</v>
      </c>
      <c r="AC1685" s="32" t="n">
        <f aca="false">AA1685/(1-AB1685)-AA1685</f>
        <v>9.15906795698926</v>
      </c>
      <c r="AD1685" s="32" t="n">
        <f aca="false">ROUND(AA1685+AC1685,2)</f>
        <v>130.84</v>
      </c>
      <c r="AE1685" s="32" t="n">
        <f aca="false">AD1685-L1685</f>
        <v>34.21</v>
      </c>
      <c r="AF1685" s="34" t="n">
        <f aca="false">IF(L1685=0,0,AE1685/L1685)</f>
        <v>0.354030839283866</v>
      </c>
      <c r="AG1685" s="22" t="str">
        <f aca="false">IF(AD1685&lt;L1685,"PASSARO","ATUAL")</f>
        <v>ATUAL</v>
      </c>
      <c r="AH1685" s="22" t="str">
        <f aca="false">IF(P1685&lt;&gt;A1685,"Faixa cadastrada como "&amp;P1685&amp;" na tabela; preço aplicado pela UF do CEP","")</f>
        <v/>
      </c>
      <c r="AI1685" s="26" t="n">
        <v>161.6</v>
      </c>
      <c r="AJ1685" s="22" t="str">
        <f aca="false">INDEX('Tabela Passaro'!$X$2:$X$1795,$N1685)</f>
        <v>CAPITAL</v>
      </c>
    </row>
    <row r="1686" customFormat="false" ht="15" hidden="false" customHeight="false" outlineLevel="0" collapsed="false">
      <c r="A1686" s="22" t="s">
        <v>22</v>
      </c>
      <c r="B1686" s="22" t="n">
        <v>1</v>
      </c>
      <c r="C1686" s="22" t="s">
        <v>182</v>
      </c>
      <c r="D1686" s="22" t="s">
        <v>31</v>
      </c>
      <c r="E1686" s="22" t="s">
        <v>7326</v>
      </c>
      <c r="F1686" s="22" t="n">
        <v>12768018</v>
      </c>
      <c r="G1686" s="30" t="n">
        <v>46245</v>
      </c>
      <c r="H1686" s="22" t="n">
        <v>622617</v>
      </c>
      <c r="I1686" s="22" t="s">
        <v>8859</v>
      </c>
      <c r="J1686" s="31" t="n">
        <v>15.15</v>
      </c>
      <c r="K1686" s="26" t="n">
        <v>248.44</v>
      </c>
      <c r="L1686" s="26" t="n">
        <v>52.43</v>
      </c>
      <c r="M1686" s="22" t="s">
        <v>6384</v>
      </c>
      <c r="N1686" s="22" t="n">
        <f aca="false">MATCH(M1686,'Tabela Passaro'!$A$2:$A$1795,0)</f>
        <v>1554</v>
      </c>
      <c r="O1686" s="22" t="str">
        <f aca="false">INDEX('Tabela Passaro'!$C$2:$C$1795,$N1686)</f>
        <v>NATAL</v>
      </c>
      <c r="P1686" s="22" t="str">
        <f aca="false">INDEX('Tabela Passaro'!$B$2:$B$1795,$N1686)</f>
        <v>RN</v>
      </c>
      <c r="Q1686" s="22" t="n">
        <f aca="false">INDEX('Tabela Passaro'!$F$2:$F$1795,$N1686)</f>
        <v>9</v>
      </c>
      <c r="R1686" s="32" t="n">
        <f aca="false">IF(J1686&lt;=10,INDEX('Tabela Passaro'!$G$2:$G$1795,$N1686),IF(J1686&lt;=30,INDEX('Tabela Passaro'!$H$2:$H$1795,$N1686),IF(J1686&lt;=50,INDEX('Tabela Passaro'!$I$2:$I$1795,$N1686),IF(J1686&lt;=70,INDEX('Tabela Passaro'!$J$2:$J$1795,$N1686),IF(J1686&lt;=100,INDEX('Tabela Passaro'!$K$2:$K$1795,$N1686),INDEX('Tabela Passaro'!$K$2:$K$1795,$N1686)+(J1686-100)*INDEX('Tabela Passaro'!$L$2:$L$1795,$N1686))))))</f>
        <v>78.39</v>
      </c>
      <c r="S1686" s="32" t="n">
        <f aca="false">K1686*INDEX('Tabela Passaro'!$M$2:$M$1795,$N1686)</f>
        <v>1.2422</v>
      </c>
      <c r="T1686" s="32" t="n">
        <f aca="false">K1686*INDEX('Tabela Passaro'!$N$2:$N$1795,$N1686)</f>
        <v>0.49688</v>
      </c>
      <c r="U1686" s="32" t="n">
        <f aca="false">INDEX('Tabela Passaro'!$O$2:$O$1795,$N1686)</f>
        <v>5</v>
      </c>
      <c r="V1686" s="32" t="n">
        <f aca="false">ROUNDUP(J1686/INDEX('Tabela Passaro'!$Q$2:$Q$1795,$N1686),0)*INDEX('Tabela Passaro'!$P$2:$P$1795,$N1686)</f>
        <v>5</v>
      </c>
      <c r="W1686" s="32" t="n">
        <f aca="false">INDEX('Tabela Passaro'!$R$2:$R$1795,$N1686)</f>
        <v>30</v>
      </c>
      <c r="X1686" s="32" t="n">
        <f aca="false">ROUNDUP(J1686/INDEX('Tabela Passaro'!$T$2:$T$1795,$N1686),0)*INDEX('Tabela Passaro'!$S$2:$S$1795,$N1686)</f>
        <v>0</v>
      </c>
      <c r="Y1686" s="32" t="n">
        <f aca="false">INDEX('Tabela Passaro'!$U$2:$U$1795,$N1686)</f>
        <v>0</v>
      </c>
      <c r="Z1686" s="32" t="n">
        <f aca="false">INDEX('Tabela Passaro'!$V$2:$V$1795,$N1686)</f>
        <v>0</v>
      </c>
      <c r="AA1686" s="32" t="n">
        <f aca="false">SUM(R1686:Z1686)</f>
        <v>120.12908</v>
      </c>
      <c r="AB1686" s="33" t="n">
        <f aca="false">INDEX(Premissas!$B$5:$B$13,MATCH(A1686,Premissas!$A$5:$A$13,0))</f>
        <v>0.07</v>
      </c>
      <c r="AC1686" s="32" t="n">
        <f aca="false">AA1686/(1-AB1686)-AA1686</f>
        <v>9.04197376344088</v>
      </c>
      <c r="AD1686" s="32" t="n">
        <f aca="false">ROUND(AA1686+AC1686,2)</f>
        <v>129.17</v>
      </c>
      <c r="AE1686" s="32" t="n">
        <f aca="false">AD1686-L1686</f>
        <v>76.74</v>
      </c>
      <c r="AF1686" s="34" t="n">
        <f aca="false">IF(L1686=0,0,AE1686/L1686)</f>
        <v>1.46366584016784</v>
      </c>
      <c r="AG1686" s="22" t="str">
        <f aca="false">IF(AD1686&lt;L1686,"PASSARO","ATUAL")</f>
        <v>ATUAL</v>
      </c>
      <c r="AH1686" s="22" t="str">
        <f aca="false">IF(P1686&lt;&gt;A1686,"Faixa cadastrada como "&amp;P1686&amp;" na tabela; preço aplicado pela UF do CEP","")</f>
        <v/>
      </c>
      <c r="AI1686" s="26" t="n">
        <v>156.54</v>
      </c>
      <c r="AJ1686" s="22" t="str">
        <f aca="false">INDEX('Tabela Passaro'!$X$2:$X$1795,$N1686)</f>
        <v>CAPITAL</v>
      </c>
    </row>
    <row r="1687" customFormat="false" ht="15" hidden="false" customHeight="false" outlineLevel="0" collapsed="false">
      <c r="A1687" s="22" t="s">
        <v>22</v>
      </c>
      <c r="B1687" s="22" t="n">
        <v>1</v>
      </c>
      <c r="C1687" s="22" t="s">
        <v>182</v>
      </c>
      <c r="D1687" s="22" t="s">
        <v>31</v>
      </c>
      <c r="E1687" s="22" t="s">
        <v>7326</v>
      </c>
      <c r="F1687" s="22" t="n">
        <v>12773267</v>
      </c>
      <c r="G1687" s="30" t="n">
        <v>46246</v>
      </c>
      <c r="H1687" s="22" t="n">
        <v>623466</v>
      </c>
      <c r="I1687" s="22" t="s">
        <v>8860</v>
      </c>
      <c r="J1687" s="31" t="n">
        <v>18.7</v>
      </c>
      <c r="K1687" s="26" t="n">
        <v>344.18</v>
      </c>
      <c r="L1687" s="26" t="n">
        <v>89.35</v>
      </c>
      <c r="M1687" s="22" t="s">
        <v>6384</v>
      </c>
      <c r="N1687" s="22" t="n">
        <f aca="false">MATCH(M1687,'Tabela Passaro'!$A$2:$A$1795,0)</f>
        <v>1554</v>
      </c>
      <c r="O1687" s="22" t="str">
        <f aca="false">INDEX('Tabela Passaro'!$C$2:$C$1795,$N1687)</f>
        <v>NATAL</v>
      </c>
      <c r="P1687" s="22" t="str">
        <f aca="false">INDEX('Tabela Passaro'!$B$2:$B$1795,$N1687)</f>
        <v>RN</v>
      </c>
      <c r="Q1687" s="22" t="n">
        <f aca="false">INDEX('Tabela Passaro'!$F$2:$F$1795,$N1687)</f>
        <v>9</v>
      </c>
      <c r="R1687" s="32" t="n">
        <f aca="false">IF(J1687&lt;=10,INDEX('Tabela Passaro'!$G$2:$G$1795,$N1687),IF(J1687&lt;=30,INDEX('Tabela Passaro'!$H$2:$H$1795,$N1687),IF(J1687&lt;=50,INDEX('Tabela Passaro'!$I$2:$I$1795,$N1687),IF(J1687&lt;=70,INDEX('Tabela Passaro'!$J$2:$J$1795,$N1687),IF(J1687&lt;=100,INDEX('Tabela Passaro'!$K$2:$K$1795,$N1687),INDEX('Tabela Passaro'!$K$2:$K$1795,$N1687)+(J1687-100)*INDEX('Tabela Passaro'!$L$2:$L$1795,$N1687))))))</f>
        <v>78.39</v>
      </c>
      <c r="S1687" s="32" t="n">
        <f aca="false">K1687*INDEX('Tabela Passaro'!$M$2:$M$1795,$N1687)</f>
        <v>1.7209</v>
      </c>
      <c r="T1687" s="32" t="n">
        <f aca="false">K1687*INDEX('Tabela Passaro'!$N$2:$N$1795,$N1687)</f>
        <v>0.68836</v>
      </c>
      <c r="U1687" s="32" t="n">
        <f aca="false">INDEX('Tabela Passaro'!$O$2:$O$1795,$N1687)</f>
        <v>5</v>
      </c>
      <c r="V1687" s="32" t="n">
        <f aca="false">ROUNDUP(J1687/INDEX('Tabela Passaro'!$Q$2:$Q$1795,$N1687),0)*INDEX('Tabela Passaro'!$P$2:$P$1795,$N1687)</f>
        <v>5</v>
      </c>
      <c r="W1687" s="32" t="n">
        <f aca="false">INDEX('Tabela Passaro'!$R$2:$R$1795,$N1687)</f>
        <v>30</v>
      </c>
      <c r="X1687" s="32" t="n">
        <f aca="false">ROUNDUP(J1687/INDEX('Tabela Passaro'!$T$2:$T$1795,$N1687),0)*INDEX('Tabela Passaro'!$S$2:$S$1795,$N1687)</f>
        <v>0</v>
      </c>
      <c r="Y1687" s="32" t="n">
        <f aca="false">INDEX('Tabela Passaro'!$U$2:$U$1795,$N1687)</f>
        <v>0</v>
      </c>
      <c r="Z1687" s="32" t="n">
        <f aca="false">INDEX('Tabela Passaro'!$V$2:$V$1795,$N1687)</f>
        <v>0</v>
      </c>
      <c r="AA1687" s="32" t="n">
        <f aca="false">SUM(R1687:Z1687)</f>
        <v>120.79926</v>
      </c>
      <c r="AB1687" s="33" t="n">
        <f aca="false">INDEX(Premissas!$B$5:$B$13,MATCH(A1687,Premissas!$A$5:$A$13,0))</f>
        <v>0.07</v>
      </c>
      <c r="AC1687" s="32" t="n">
        <f aca="false">AA1687/(1-AB1687)-AA1687</f>
        <v>9.09241741935486</v>
      </c>
      <c r="AD1687" s="32" t="n">
        <f aca="false">ROUND(AA1687+AC1687,2)</f>
        <v>129.89</v>
      </c>
      <c r="AE1687" s="32" t="n">
        <f aca="false">AD1687-L1687</f>
        <v>40.54</v>
      </c>
      <c r="AF1687" s="34" t="n">
        <f aca="false">IF(L1687=0,0,AE1687/L1687)</f>
        <v>0.453721320649133</v>
      </c>
      <c r="AG1687" s="22" t="str">
        <f aca="false">IF(AD1687&lt;L1687,"PASSARO","ATUAL")</f>
        <v>ATUAL</v>
      </c>
      <c r="AH1687" s="22" t="str">
        <f aca="false">IF(P1687&lt;&gt;A1687,"Faixa cadastrada como "&amp;P1687&amp;" na tabela; preço aplicado pela UF do CEP","")</f>
        <v/>
      </c>
      <c r="AI1687" s="26" t="n">
        <v>158.92</v>
      </c>
      <c r="AJ1687" s="22" t="str">
        <f aca="false">INDEX('Tabela Passaro'!$X$2:$X$1795,$N1687)</f>
        <v>CAPITAL</v>
      </c>
    </row>
    <row r="1688" customFormat="false" ht="15" hidden="false" customHeight="false" outlineLevel="0" collapsed="false">
      <c r="A1688" s="22" t="s">
        <v>22</v>
      </c>
      <c r="B1688" s="22" t="n">
        <v>1</v>
      </c>
      <c r="C1688" s="22" t="s">
        <v>182</v>
      </c>
      <c r="D1688" s="22" t="s">
        <v>31</v>
      </c>
      <c r="E1688" s="22" t="s">
        <v>7326</v>
      </c>
      <c r="F1688" s="22" t="n">
        <v>12773633</v>
      </c>
      <c r="G1688" s="30" t="n">
        <v>46246</v>
      </c>
      <c r="H1688" s="22" t="n">
        <v>624004</v>
      </c>
      <c r="I1688" s="22" t="s">
        <v>8861</v>
      </c>
      <c r="J1688" s="31" t="n">
        <v>22.4</v>
      </c>
      <c r="K1688" s="26" t="n">
        <v>754.15</v>
      </c>
      <c r="L1688" s="26" t="n">
        <v>104.91</v>
      </c>
      <c r="M1688" s="22" t="s">
        <v>6384</v>
      </c>
      <c r="N1688" s="22" t="n">
        <f aca="false">MATCH(M1688,'Tabela Passaro'!$A$2:$A$1795,0)</f>
        <v>1554</v>
      </c>
      <c r="O1688" s="22" t="str">
        <f aca="false">INDEX('Tabela Passaro'!$C$2:$C$1795,$N1688)</f>
        <v>NATAL</v>
      </c>
      <c r="P1688" s="22" t="str">
        <f aca="false">INDEX('Tabela Passaro'!$B$2:$B$1795,$N1688)</f>
        <v>RN</v>
      </c>
      <c r="Q1688" s="22" t="n">
        <f aca="false">INDEX('Tabela Passaro'!$F$2:$F$1795,$N1688)</f>
        <v>9</v>
      </c>
      <c r="R1688" s="32" t="n">
        <f aca="false">IF(J1688&lt;=10,INDEX('Tabela Passaro'!$G$2:$G$1795,$N1688),IF(J1688&lt;=30,INDEX('Tabela Passaro'!$H$2:$H$1795,$N1688),IF(J1688&lt;=50,INDEX('Tabela Passaro'!$I$2:$I$1795,$N1688),IF(J1688&lt;=70,INDEX('Tabela Passaro'!$J$2:$J$1795,$N1688),IF(J1688&lt;=100,INDEX('Tabela Passaro'!$K$2:$K$1795,$N1688),INDEX('Tabela Passaro'!$K$2:$K$1795,$N1688)+(J1688-100)*INDEX('Tabela Passaro'!$L$2:$L$1795,$N1688))))))</f>
        <v>78.39</v>
      </c>
      <c r="S1688" s="32" t="n">
        <f aca="false">K1688*INDEX('Tabela Passaro'!$M$2:$M$1795,$N1688)</f>
        <v>3.77075</v>
      </c>
      <c r="T1688" s="32" t="n">
        <f aca="false">K1688*INDEX('Tabela Passaro'!$N$2:$N$1795,$N1688)</f>
        <v>1.5083</v>
      </c>
      <c r="U1688" s="32" t="n">
        <f aca="false">INDEX('Tabela Passaro'!$O$2:$O$1795,$N1688)</f>
        <v>5</v>
      </c>
      <c r="V1688" s="32" t="n">
        <f aca="false">ROUNDUP(J1688/INDEX('Tabela Passaro'!$Q$2:$Q$1795,$N1688),0)*INDEX('Tabela Passaro'!$P$2:$P$1795,$N1688)</f>
        <v>5</v>
      </c>
      <c r="W1688" s="32" t="n">
        <f aca="false">INDEX('Tabela Passaro'!$R$2:$R$1795,$N1688)</f>
        <v>30</v>
      </c>
      <c r="X1688" s="32" t="n">
        <f aca="false">ROUNDUP(J1688/INDEX('Tabela Passaro'!$T$2:$T$1795,$N1688),0)*INDEX('Tabela Passaro'!$S$2:$S$1795,$N1688)</f>
        <v>0</v>
      </c>
      <c r="Y1688" s="32" t="n">
        <f aca="false">INDEX('Tabela Passaro'!$U$2:$U$1795,$N1688)</f>
        <v>0</v>
      </c>
      <c r="Z1688" s="32" t="n">
        <f aca="false">INDEX('Tabela Passaro'!$V$2:$V$1795,$N1688)</f>
        <v>0</v>
      </c>
      <c r="AA1688" s="32" t="n">
        <f aca="false">SUM(R1688:Z1688)</f>
        <v>123.66905</v>
      </c>
      <c r="AB1688" s="33" t="n">
        <f aca="false">INDEX(Premissas!$B$5:$B$13,MATCH(A1688,Premissas!$A$5:$A$13,0))</f>
        <v>0.07</v>
      </c>
      <c r="AC1688" s="32" t="n">
        <f aca="false">AA1688/(1-AB1688)-AA1688</f>
        <v>9.30842311827959</v>
      </c>
      <c r="AD1688" s="32" t="n">
        <f aca="false">ROUND(AA1688+AC1688,2)</f>
        <v>132.98</v>
      </c>
      <c r="AE1688" s="32" t="n">
        <f aca="false">AD1688-L1688</f>
        <v>28.07</v>
      </c>
      <c r="AF1688" s="34" t="n">
        <f aca="false">IF(L1688=0,0,AE1688/L1688)</f>
        <v>0.267562672767134</v>
      </c>
      <c r="AG1688" s="22" t="str">
        <f aca="false">IF(AD1688&lt;L1688,"PASSARO","ATUAL")</f>
        <v>ATUAL</v>
      </c>
      <c r="AH1688" s="22" t="str">
        <f aca="false">IF(P1688&lt;&gt;A1688,"Faixa cadastrada como "&amp;P1688&amp;" na tabela; preço aplicado pela UF do CEP","")</f>
        <v/>
      </c>
      <c r="AI1688" s="26" t="n">
        <v>164.83</v>
      </c>
      <c r="AJ1688" s="22" t="str">
        <f aca="false">INDEX('Tabela Passaro'!$X$2:$X$1795,$N1688)</f>
        <v>CAPITAL</v>
      </c>
    </row>
    <row r="1689" customFormat="false" ht="15" hidden="false" customHeight="false" outlineLevel="0" collapsed="false">
      <c r="A1689" s="22" t="s">
        <v>22</v>
      </c>
      <c r="B1689" s="22" t="n">
        <v>1</v>
      </c>
      <c r="C1689" s="22" t="s">
        <v>182</v>
      </c>
      <c r="D1689" s="22" t="s">
        <v>31</v>
      </c>
      <c r="E1689" s="22" t="s">
        <v>7326</v>
      </c>
      <c r="F1689" s="22" t="n">
        <v>12773600</v>
      </c>
      <c r="G1689" s="30" t="n">
        <v>46246</v>
      </c>
      <c r="H1689" s="22" t="n">
        <v>624183</v>
      </c>
      <c r="I1689" s="22" t="s">
        <v>8862</v>
      </c>
      <c r="J1689" s="31" t="n">
        <v>19.4</v>
      </c>
      <c r="K1689" s="26" t="n">
        <v>461.41</v>
      </c>
      <c r="L1689" s="26" t="n">
        <v>90.45</v>
      </c>
      <c r="M1689" s="22" t="s">
        <v>6384</v>
      </c>
      <c r="N1689" s="22" t="n">
        <f aca="false">MATCH(M1689,'Tabela Passaro'!$A$2:$A$1795,0)</f>
        <v>1554</v>
      </c>
      <c r="O1689" s="22" t="str">
        <f aca="false">INDEX('Tabela Passaro'!$C$2:$C$1795,$N1689)</f>
        <v>NATAL</v>
      </c>
      <c r="P1689" s="22" t="str">
        <f aca="false">INDEX('Tabela Passaro'!$B$2:$B$1795,$N1689)</f>
        <v>RN</v>
      </c>
      <c r="Q1689" s="22" t="n">
        <f aca="false">INDEX('Tabela Passaro'!$F$2:$F$1795,$N1689)</f>
        <v>9</v>
      </c>
      <c r="R1689" s="32" t="n">
        <f aca="false">IF(J1689&lt;=10,INDEX('Tabela Passaro'!$G$2:$G$1795,$N1689),IF(J1689&lt;=30,INDEX('Tabela Passaro'!$H$2:$H$1795,$N1689),IF(J1689&lt;=50,INDEX('Tabela Passaro'!$I$2:$I$1795,$N1689),IF(J1689&lt;=70,INDEX('Tabela Passaro'!$J$2:$J$1795,$N1689),IF(J1689&lt;=100,INDEX('Tabela Passaro'!$K$2:$K$1795,$N1689),INDEX('Tabela Passaro'!$K$2:$K$1795,$N1689)+(J1689-100)*INDEX('Tabela Passaro'!$L$2:$L$1795,$N1689))))))</f>
        <v>78.39</v>
      </c>
      <c r="S1689" s="32" t="n">
        <f aca="false">K1689*INDEX('Tabela Passaro'!$M$2:$M$1795,$N1689)</f>
        <v>2.30705</v>
      </c>
      <c r="T1689" s="32" t="n">
        <f aca="false">K1689*INDEX('Tabela Passaro'!$N$2:$N$1795,$N1689)</f>
        <v>0.92282</v>
      </c>
      <c r="U1689" s="32" t="n">
        <f aca="false">INDEX('Tabela Passaro'!$O$2:$O$1795,$N1689)</f>
        <v>5</v>
      </c>
      <c r="V1689" s="32" t="n">
        <f aca="false">ROUNDUP(J1689/INDEX('Tabela Passaro'!$Q$2:$Q$1795,$N1689),0)*INDEX('Tabela Passaro'!$P$2:$P$1795,$N1689)</f>
        <v>5</v>
      </c>
      <c r="W1689" s="32" t="n">
        <f aca="false">INDEX('Tabela Passaro'!$R$2:$R$1795,$N1689)</f>
        <v>30</v>
      </c>
      <c r="X1689" s="32" t="n">
        <f aca="false">ROUNDUP(J1689/INDEX('Tabela Passaro'!$T$2:$T$1795,$N1689),0)*INDEX('Tabela Passaro'!$S$2:$S$1795,$N1689)</f>
        <v>0</v>
      </c>
      <c r="Y1689" s="32" t="n">
        <f aca="false">INDEX('Tabela Passaro'!$U$2:$U$1795,$N1689)</f>
        <v>0</v>
      </c>
      <c r="Z1689" s="32" t="n">
        <f aca="false">INDEX('Tabela Passaro'!$V$2:$V$1795,$N1689)</f>
        <v>0</v>
      </c>
      <c r="AA1689" s="32" t="n">
        <f aca="false">SUM(R1689:Z1689)</f>
        <v>121.61987</v>
      </c>
      <c r="AB1689" s="33" t="n">
        <f aca="false">INDEX(Premissas!$B$5:$B$13,MATCH(A1689,Premissas!$A$5:$A$13,0))</f>
        <v>0.07</v>
      </c>
      <c r="AC1689" s="32" t="n">
        <f aca="false">AA1689/(1-AB1689)-AA1689</f>
        <v>9.15418376344088</v>
      </c>
      <c r="AD1689" s="32" t="n">
        <f aca="false">ROUND(AA1689+AC1689,2)</f>
        <v>130.77</v>
      </c>
      <c r="AE1689" s="32" t="n">
        <f aca="false">AD1689-L1689</f>
        <v>40.32</v>
      </c>
      <c r="AF1689" s="34" t="n">
        <f aca="false">IF(L1689=0,0,AE1689/L1689)</f>
        <v>0.445771144278607</v>
      </c>
      <c r="AG1689" s="22" t="str">
        <f aca="false">IF(AD1689&lt;L1689,"PASSARO","ATUAL")</f>
        <v>ATUAL</v>
      </c>
      <c r="AH1689" s="22" t="str">
        <f aca="false">IF(P1689&lt;&gt;A1689,"Faixa cadastrada como "&amp;P1689&amp;" na tabela; preço aplicado pela UF do CEP","")</f>
        <v/>
      </c>
      <c r="AI1689" s="26" t="n">
        <v>160.54</v>
      </c>
      <c r="AJ1689" s="22" t="str">
        <f aca="false">INDEX('Tabela Passaro'!$X$2:$X$1795,$N1689)</f>
        <v>CAPITAL</v>
      </c>
    </row>
    <row r="1690" customFormat="false" ht="15" hidden="false" customHeight="false" outlineLevel="0" collapsed="false">
      <c r="A1690" s="22" t="s">
        <v>22</v>
      </c>
      <c r="B1690" s="22" t="n">
        <v>1</v>
      </c>
      <c r="C1690" s="22" t="s">
        <v>182</v>
      </c>
      <c r="D1690" s="22" t="s">
        <v>31</v>
      </c>
      <c r="E1690" s="22" t="s">
        <v>7326</v>
      </c>
      <c r="F1690" s="22" t="n">
        <v>12845076</v>
      </c>
      <c r="G1690" s="30" t="n">
        <v>46259</v>
      </c>
      <c r="H1690" s="22" t="n">
        <v>628930</v>
      </c>
      <c r="I1690" s="22" t="s">
        <v>8863</v>
      </c>
      <c r="J1690" s="31" t="n">
        <v>21.55</v>
      </c>
      <c r="K1690" s="26" t="n">
        <v>389.33</v>
      </c>
      <c r="L1690" s="26" t="n">
        <v>89.47</v>
      </c>
      <c r="M1690" s="22" t="s">
        <v>6384</v>
      </c>
      <c r="N1690" s="22" t="n">
        <f aca="false">MATCH(M1690,'Tabela Passaro'!$A$2:$A$1795,0)</f>
        <v>1554</v>
      </c>
      <c r="O1690" s="22" t="str">
        <f aca="false">INDEX('Tabela Passaro'!$C$2:$C$1795,$N1690)</f>
        <v>NATAL</v>
      </c>
      <c r="P1690" s="22" t="str">
        <f aca="false">INDEX('Tabela Passaro'!$B$2:$B$1795,$N1690)</f>
        <v>RN</v>
      </c>
      <c r="Q1690" s="22" t="n">
        <f aca="false">INDEX('Tabela Passaro'!$F$2:$F$1795,$N1690)</f>
        <v>9</v>
      </c>
      <c r="R1690" s="32" t="n">
        <f aca="false">IF(J1690&lt;=10,INDEX('Tabela Passaro'!$G$2:$G$1795,$N1690),IF(J1690&lt;=30,INDEX('Tabela Passaro'!$H$2:$H$1795,$N1690),IF(J1690&lt;=50,INDEX('Tabela Passaro'!$I$2:$I$1795,$N1690),IF(J1690&lt;=70,INDEX('Tabela Passaro'!$J$2:$J$1795,$N1690),IF(J1690&lt;=100,INDEX('Tabela Passaro'!$K$2:$K$1795,$N1690),INDEX('Tabela Passaro'!$K$2:$K$1795,$N1690)+(J1690-100)*INDEX('Tabela Passaro'!$L$2:$L$1795,$N1690))))))</f>
        <v>78.39</v>
      </c>
      <c r="S1690" s="32" t="n">
        <f aca="false">K1690*INDEX('Tabela Passaro'!$M$2:$M$1795,$N1690)</f>
        <v>1.94665</v>
      </c>
      <c r="T1690" s="32" t="n">
        <f aca="false">K1690*INDEX('Tabela Passaro'!$N$2:$N$1795,$N1690)</f>
        <v>0.77866</v>
      </c>
      <c r="U1690" s="32" t="n">
        <f aca="false">INDEX('Tabela Passaro'!$O$2:$O$1795,$N1690)</f>
        <v>5</v>
      </c>
      <c r="V1690" s="32" t="n">
        <f aca="false">ROUNDUP(J1690/INDEX('Tabela Passaro'!$Q$2:$Q$1795,$N1690),0)*INDEX('Tabela Passaro'!$P$2:$P$1795,$N1690)</f>
        <v>5</v>
      </c>
      <c r="W1690" s="32" t="n">
        <f aca="false">INDEX('Tabela Passaro'!$R$2:$R$1795,$N1690)</f>
        <v>30</v>
      </c>
      <c r="X1690" s="32" t="n">
        <f aca="false">ROUNDUP(J1690/INDEX('Tabela Passaro'!$T$2:$T$1795,$N1690),0)*INDEX('Tabela Passaro'!$S$2:$S$1795,$N1690)</f>
        <v>0</v>
      </c>
      <c r="Y1690" s="32" t="n">
        <f aca="false">INDEX('Tabela Passaro'!$U$2:$U$1795,$N1690)</f>
        <v>0</v>
      </c>
      <c r="Z1690" s="32" t="n">
        <f aca="false">INDEX('Tabela Passaro'!$V$2:$V$1795,$N1690)</f>
        <v>0</v>
      </c>
      <c r="AA1690" s="32" t="n">
        <f aca="false">SUM(R1690:Z1690)</f>
        <v>121.11531</v>
      </c>
      <c r="AB1690" s="33" t="n">
        <f aca="false">INDEX(Premissas!$B$5:$B$13,MATCH(A1690,Premissas!$A$5:$A$13,0))</f>
        <v>0.07</v>
      </c>
      <c r="AC1690" s="32" t="n">
        <f aca="false">AA1690/(1-AB1690)-AA1690</f>
        <v>9.11620612903226</v>
      </c>
      <c r="AD1690" s="32" t="n">
        <f aca="false">ROUND(AA1690+AC1690,2)</f>
        <v>130.23</v>
      </c>
      <c r="AE1690" s="32" t="n">
        <f aca="false">AD1690-L1690</f>
        <v>40.76</v>
      </c>
      <c r="AF1690" s="34" t="n">
        <f aca="false">IF(L1690=0,0,AE1690/L1690)</f>
        <v>0.455571700011177</v>
      </c>
      <c r="AG1690" s="22" t="str">
        <f aca="false">IF(AD1690&lt;L1690,"PASSARO","ATUAL")</f>
        <v>ATUAL</v>
      </c>
      <c r="AH1690" s="22" t="str">
        <f aca="false">IF(P1690&lt;&gt;A1690,"Faixa cadastrada como "&amp;P1690&amp;" na tabela; preço aplicado pela UF do CEP","")</f>
        <v/>
      </c>
      <c r="AI1690" s="26" t="n">
        <v>160.81</v>
      </c>
      <c r="AJ1690" s="22" t="str">
        <f aca="false">INDEX('Tabela Passaro'!$X$2:$X$1795,$N1690)</f>
        <v>CAPITAL</v>
      </c>
    </row>
    <row r="1691" customFormat="false" ht="15" hidden="false" customHeight="false" outlineLevel="0" collapsed="false">
      <c r="A1691" s="22" t="s">
        <v>22</v>
      </c>
      <c r="B1691" s="22" t="n">
        <v>1</v>
      </c>
      <c r="C1691" s="22" t="s">
        <v>182</v>
      </c>
      <c r="D1691" s="22" t="s">
        <v>31</v>
      </c>
      <c r="E1691" s="22" t="s">
        <v>7326</v>
      </c>
      <c r="F1691" s="22" t="n">
        <v>12844429</v>
      </c>
      <c r="G1691" s="30" t="n">
        <v>46259</v>
      </c>
      <c r="H1691" s="22" t="n">
        <v>628981</v>
      </c>
      <c r="I1691" s="22" t="s">
        <v>8864</v>
      </c>
      <c r="J1691" s="31" t="n">
        <v>7.8</v>
      </c>
      <c r="K1691" s="26" t="n">
        <v>254.22</v>
      </c>
      <c r="L1691" s="26" t="n">
        <v>32.42</v>
      </c>
      <c r="M1691" s="22" t="s">
        <v>6384</v>
      </c>
      <c r="N1691" s="22" t="n">
        <f aca="false">MATCH(M1691,'Tabela Passaro'!$A$2:$A$1795,0)</f>
        <v>1554</v>
      </c>
      <c r="O1691" s="22" t="str">
        <f aca="false">INDEX('Tabela Passaro'!$C$2:$C$1795,$N1691)</f>
        <v>NATAL</v>
      </c>
      <c r="P1691" s="22" t="str">
        <f aca="false">INDEX('Tabela Passaro'!$B$2:$B$1795,$N1691)</f>
        <v>RN</v>
      </c>
      <c r="Q1691" s="22" t="n">
        <f aca="false">INDEX('Tabela Passaro'!$F$2:$F$1795,$N1691)</f>
        <v>9</v>
      </c>
      <c r="R1691" s="32" t="n">
        <f aca="false">IF(J1691&lt;=10,INDEX('Tabela Passaro'!$G$2:$G$1795,$N1691),IF(J1691&lt;=30,INDEX('Tabela Passaro'!$H$2:$H$1795,$N1691),IF(J1691&lt;=50,INDEX('Tabela Passaro'!$I$2:$I$1795,$N1691),IF(J1691&lt;=70,INDEX('Tabela Passaro'!$J$2:$J$1795,$N1691),IF(J1691&lt;=100,INDEX('Tabela Passaro'!$K$2:$K$1795,$N1691),INDEX('Tabela Passaro'!$K$2:$K$1795,$N1691)+(J1691-100)*INDEX('Tabela Passaro'!$L$2:$L$1795,$N1691))))))</f>
        <v>68.37</v>
      </c>
      <c r="S1691" s="32" t="n">
        <f aca="false">K1691*INDEX('Tabela Passaro'!$M$2:$M$1795,$N1691)</f>
        <v>1.2711</v>
      </c>
      <c r="T1691" s="32" t="n">
        <f aca="false">K1691*INDEX('Tabela Passaro'!$N$2:$N$1795,$N1691)</f>
        <v>0.50844</v>
      </c>
      <c r="U1691" s="32" t="n">
        <f aca="false">INDEX('Tabela Passaro'!$O$2:$O$1795,$N1691)</f>
        <v>5</v>
      </c>
      <c r="V1691" s="32" t="n">
        <f aca="false">ROUNDUP(J1691/INDEX('Tabela Passaro'!$Q$2:$Q$1795,$N1691),0)*INDEX('Tabela Passaro'!$P$2:$P$1795,$N1691)</f>
        <v>5</v>
      </c>
      <c r="W1691" s="32" t="n">
        <f aca="false">INDEX('Tabela Passaro'!$R$2:$R$1795,$N1691)</f>
        <v>30</v>
      </c>
      <c r="X1691" s="32" t="n">
        <f aca="false">ROUNDUP(J1691/INDEX('Tabela Passaro'!$T$2:$T$1795,$N1691),0)*INDEX('Tabela Passaro'!$S$2:$S$1795,$N1691)</f>
        <v>0</v>
      </c>
      <c r="Y1691" s="32" t="n">
        <f aca="false">INDEX('Tabela Passaro'!$U$2:$U$1795,$N1691)</f>
        <v>0</v>
      </c>
      <c r="Z1691" s="32" t="n">
        <f aca="false">INDEX('Tabela Passaro'!$V$2:$V$1795,$N1691)</f>
        <v>0</v>
      </c>
      <c r="AA1691" s="32" t="n">
        <f aca="false">SUM(R1691:Z1691)</f>
        <v>110.14954</v>
      </c>
      <c r="AB1691" s="33" t="n">
        <f aca="false">INDEX(Premissas!$B$5:$B$13,MATCH(A1691,Premissas!$A$5:$A$13,0))</f>
        <v>0.07</v>
      </c>
      <c r="AC1691" s="32" t="n">
        <f aca="false">AA1691/(1-AB1691)-AA1691</f>
        <v>8.29082559139786</v>
      </c>
      <c r="AD1691" s="32" t="n">
        <f aca="false">ROUND(AA1691+AC1691,2)</f>
        <v>118.44</v>
      </c>
      <c r="AE1691" s="32" t="n">
        <f aca="false">AD1691-L1691</f>
        <v>86.02</v>
      </c>
      <c r="AF1691" s="34" t="n">
        <f aca="false">IF(L1691=0,0,AE1691/L1691)</f>
        <v>2.6533004318322</v>
      </c>
      <c r="AG1691" s="22" t="str">
        <f aca="false">IF(AD1691&lt;L1691,"PASSARO","ATUAL")</f>
        <v>ATUAL</v>
      </c>
      <c r="AH1691" s="22" t="str">
        <f aca="false">IF(P1691&lt;&gt;A1691,"Faixa cadastrada como "&amp;P1691&amp;" na tabela; preço aplicado pela UF do CEP","")</f>
        <v/>
      </c>
      <c r="AI1691" s="26" t="n">
        <v>140.2</v>
      </c>
      <c r="AJ1691" s="22" t="str">
        <f aca="false">INDEX('Tabela Passaro'!$X$2:$X$1795,$N1691)</f>
        <v>CAPITAL</v>
      </c>
    </row>
    <row r="1692" customFormat="false" ht="15" hidden="false" customHeight="false" outlineLevel="0" collapsed="false">
      <c r="A1692" s="22" t="s">
        <v>22</v>
      </c>
      <c r="B1692" s="22" t="n">
        <v>2</v>
      </c>
      <c r="C1692" s="22" t="s">
        <v>184</v>
      </c>
      <c r="D1692" s="22" t="s">
        <v>30</v>
      </c>
      <c r="E1692" s="22" t="s">
        <v>7328</v>
      </c>
      <c r="F1692" s="22" t="n">
        <v>2307908</v>
      </c>
      <c r="G1692" s="30" t="n">
        <v>46239</v>
      </c>
      <c r="H1692" s="22" t="n">
        <v>131882</v>
      </c>
      <c r="I1692" s="22" t="s">
        <v>8865</v>
      </c>
      <c r="J1692" s="31" t="n">
        <v>51.06</v>
      </c>
      <c r="K1692" s="26" t="n">
        <v>957.49</v>
      </c>
      <c r="L1692" s="26" t="n">
        <v>222.79</v>
      </c>
      <c r="M1692" s="22" t="s">
        <v>6864</v>
      </c>
      <c r="N1692" s="22" t="n">
        <f aca="false">MATCH(M1692,'Tabela Passaro'!$A$2:$A$1795,0)</f>
        <v>1679</v>
      </c>
      <c r="O1692" s="22" t="str">
        <f aca="false">INDEX('Tabela Passaro'!$C$2:$C$1795,$N1692)</f>
        <v>PARNAMIRIM</v>
      </c>
      <c r="P1692" s="22" t="str">
        <f aca="false">INDEX('Tabela Passaro'!$B$2:$B$1795,$N1692)</f>
        <v>RN</v>
      </c>
      <c r="Q1692" s="22" t="n">
        <f aca="false">INDEX('Tabela Passaro'!$F$2:$F$1795,$N1692)</f>
        <v>9</v>
      </c>
      <c r="R1692" s="32" t="n">
        <f aca="false">IF(J1692&lt;=10,INDEX('Tabela Passaro'!$G$2:$G$1795,$N1692),IF(J1692&lt;=30,INDEX('Tabela Passaro'!$H$2:$H$1795,$N1692),IF(J1692&lt;=50,INDEX('Tabela Passaro'!$I$2:$I$1795,$N1692),IF(J1692&lt;=70,INDEX('Tabela Passaro'!$J$2:$J$1795,$N1692),IF(J1692&lt;=100,INDEX('Tabela Passaro'!$K$2:$K$1795,$N1692),INDEX('Tabela Passaro'!$K$2:$K$1795,$N1692)+(J1692-100)*INDEX('Tabela Passaro'!$L$2:$L$1795,$N1692))))))</f>
        <v>156.46</v>
      </c>
      <c r="S1692" s="32" t="n">
        <f aca="false">K1692*INDEX('Tabela Passaro'!$M$2:$M$1795,$N1692)</f>
        <v>4.78745</v>
      </c>
      <c r="T1692" s="32" t="n">
        <f aca="false">K1692*INDEX('Tabela Passaro'!$N$2:$N$1795,$N1692)</f>
        <v>1.91498</v>
      </c>
      <c r="U1692" s="32" t="n">
        <f aca="false">INDEX('Tabela Passaro'!$O$2:$O$1795,$N1692)</f>
        <v>5</v>
      </c>
      <c r="V1692" s="32" t="n">
        <f aca="false">ROUNDUP(J1692/INDEX('Tabela Passaro'!$Q$2:$Q$1795,$N1692),0)*INDEX('Tabela Passaro'!$P$2:$P$1795,$N1692)</f>
        <v>5</v>
      </c>
      <c r="W1692" s="32" t="n">
        <f aca="false">INDEX('Tabela Passaro'!$R$2:$R$1795,$N1692)</f>
        <v>30</v>
      </c>
      <c r="X1692" s="32" t="n">
        <f aca="false">ROUNDUP(J1692/INDEX('Tabela Passaro'!$T$2:$T$1795,$N1692),0)*INDEX('Tabela Passaro'!$S$2:$S$1795,$N1692)</f>
        <v>0</v>
      </c>
      <c r="Y1692" s="32" t="n">
        <f aca="false">INDEX('Tabela Passaro'!$U$2:$U$1795,$N1692)</f>
        <v>0</v>
      </c>
      <c r="Z1692" s="32" t="n">
        <f aca="false">INDEX('Tabela Passaro'!$V$2:$V$1795,$N1692)</f>
        <v>0</v>
      </c>
      <c r="AA1692" s="32" t="n">
        <f aca="false">SUM(R1692:Z1692)</f>
        <v>203.16243</v>
      </c>
      <c r="AB1692" s="33" t="n">
        <f aca="false">INDEX(Premissas!$B$5:$B$13,MATCH(A1692,Premissas!$A$5:$A$13,0))</f>
        <v>0.07</v>
      </c>
      <c r="AC1692" s="32" t="n">
        <f aca="false">AA1692/(1-AB1692)-AA1692</f>
        <v>15.2917958064516</v>
      </c>
      <c r="AD1692" s="32" t="n">
        <f aca="false">ROUND(AA1692+AC1692,2)</f>
        <v>218.45</v>
      </c>
      <c r="AE1692" s="32" t="n">
        <f aca="false">AD1692-L1692</f>
        <v>-4.34</v>
      </c>
      <c r="AF1692" s="34" t="n">
        <f aca="false">IF(L1692=0,0,AE1692/L1692)</f>
        <v>-0.0194802280174155</v>
      </c>
      <c r="AG1692" s="22" t="str">
        <f aca="false">IF(AD1692&lt;L1692,"PASSARO","ATUAL")</f>
        <v>PASSARO</v>
      </c>
      <c r="AH1692" s="22" t="str">
        <f aca="false">IF(P1692&lt;&gt;A1692,"Faixa cadastrada como "&amp;P1692&amp;" na tabela; preço aplicado pela UF do CEP","")</f>
        <v/>
      </c>
      <c r="AI1692" s="26" t="n">
        <v>262.31</v>
      </c>
      <c r="AJ1692" s="22" t="str">
        <f aca="false">INDEX('Tabela Passaro'!$X$2:$X$1795,$N1692)</f>
        <v>INTERIOR 2</v>
      </c>
    </row>
    <row r="1693" customFormat="false" ht="15" hidden="false" customHeight="false" outlineLevel="0" collapsed="false">
      <c r="A1693" s="22" t="s">
        <v>22</v>
      </c>
      <c r="B1693" s="22" t="n">
        <v>2</v>
      </c>
      <c r="C1693" s="22" t="s">
        <v>184</v>
      </c>
      <c r="D1693" s="22" t="s">
        <v>30</v>
      </c>
      <c r="E1693" s="22" t="s">
        <v>7328</v>
      </c>
      <c r="F1693" s="22" t="n">
        <v>2307921</v>
      </c>
      <c r="G1693" s="30" t="n">
        <v>46239</v>
      </c>
      <c r="H1693" s="22" t="n">
        <v>131894</v>
      </c>
      <c r="I1693" s="22" t="s">
        <v>8866</v>
      </c>
      <c r="J1693" s="31" t="n">
        <v>109.6</v>
      </c>
      <c r="K1693" s="26" t="n">
        <v>1732.59</v>
      </c>
      <c r="L1693" s="26" t="n">
        <v>312.82</v>
      </c>
      <c r="M1693" s="22" t="s">
        <v>6864</v>
      </c>
      <c r="N1693" s="22" t="n">
        <f aca="false">MATCH(M1693,'Tabela Passaro'!$A$2:$A$1795,0)</f>
        <v>1679</v>
      </c>
      <c r="O1693" s="22" t="str">
        <f aca="false">INDEX('Tabela Passaro'!$C$2:$C$1795,$N1693)</f>
        <v>PARNAMIRIM</v>
      </c>
      <c r="P1693" s="22" t="str">
        <f aca="false">INDEX('Tabela Passaro'!$B$2:$B$1795,$N1693)</f>
        <v>RN</v>
      </c>
      <c r="Q1693" s="22" t="n">
        <f aca="false">INDEX('Tabela Passaro'!$F$2:$F$1795,$N1693)</f>
        <v>9</v>
      </c>
      <c r="R1693" s="32" t="n">
        <f aca="false">IF(J1693&lt;=10,INDEX('Tabela Passaro'!$G$2:$G$1795,$N1693),IF(J1693&lt;=30,INDEX('Tabela Passaro'!$H$2:$H$1795,$N1693),IF(J1693&lt;=50,INDEX('Tabela Passaro'!$I$2:$I$1795,$N1693),IF(J1693&lt;=70,INDEX('Tabela Passaro'!$J$2:$J$1795,$N1693),IF(J1693&lt;=100,INDEX('Tabela Passaro'!$K$2:$K$1795,$N1693),INDEX('Tabela Passaro'!$K$2:$K$1795,$N1693)+(J1693-100)*INDEX('Tabela Passaro'!$L$2:$L$1795,$N1693))))))</f>
        <v>192.504</v>
      </c>
      <c r="S1693" s="32" t="n">
        <f aca="false">K1693*INDEX('Tabela Passaro'!$M$2:$M$1795,$N1693)</f>
        <v>8.66295</v>
      </c>
      <c r="T1693" s="32" t="n">
        <f aca="false">K1693*INDEX('Tabela Passaro'!$N$2:$N$1795,$N1693)</f>
        <v>3.46518</v>
      </c>
      <c r="U1693" s="32" t="n">
        <f aca="false">INDEX('Tabela Passaro'!$O$2:$O$1795,$N1693)</f>
        <v>5</v>
      </c>
      <c r="V1693" s="32" t="n">
        <f aca="false">ROUNDUP(J1693/INDEX('Tabela Passaro'!$Q$2:$Q$1795,$N1693),0)*INDEX('Tabela Passaro'!$P$2:$P$1795,$N1693)</f>
        <v>10</v>
      </c>
      <c r="W1693" s="32" t="n">
        <f aca="false">INDEX('Tabela Passaro'!$R$2:$R$1795,$N1693)</f>
        <v>30</v>
      </c>
      <c r="X1693" s="32" t="n">
        <f aca="false">ROUNDUP(J1693/INDEX('Tabela Passaro'!$T$2:$T$1795,$N1693),0)*INDEX('Tabela Passaro'!$S$2:$S$1795,$N1693)</f>
        <v>0</v>
      </c>
      <c r="Y1693" s="32" t="n">
        <f aca="false">INDEX('Tabela Passaro'!$U$2:$U$1795,$N1693)</f>
        <v>0</v>
      </c>
      <c r="Z1693" s="32" t="n">
        <f aca="false">INDEX('Tabela Passaro'!$V$2:$V$1795,$N1693)</f>
        <v>0</v>
      </c>
      <c r="AA1693" s="32" t="n">
        <f aca="false">SUM(R1693:Z1693)</f>
        <v>249.63213</v>
      </c>
      <c r="AB1693" s="33" t="n">
        <f aca="false">INDEX(Premissas!$B$5:$B$13,MATCH(A1693,Premissas!$A$5:$A$13,0))</f>
        <v>0.07</v>
      </c>
      <c r="AC1693" s="32" t="n">
        <f aca="false">AA1693/(1-AB1693)-AA1693</f>
        <v>18.7895151612904</v>
      </c>
      <c r="AD1693" s="32" t="n">
        <f aca="false">ROUND(AA1693+AC1693,2)</f>
        <v>268.42</v>
      </c>
      <c r="AE1693" s="32" t="n">
        <f aca="false">AD1693-L1693</f>
        <v>-44.4</v>
      </c>
      <c r="AF1693" s="34" t="n">
        <f aca="false">IF(L1693=0,0,AE1693/L1693)</f>
        <v>-0.141934658909277</v>
      </c>
      <c r="AG1693" s="22" t="str">
        <f aca="false">IF(AD1693&lt;L1693,"PASSARO","ATUAL")</f>
        <v>PASSARO</v>
      </c>
      <c r="AH1693" s="22" t="str">
        <f aca="false">IF(P1693&lt;&gt;A1693,"Faixa cadastrada como "&amp;P1693&amp;" na tabela; preço aplicado pela UF do CEP","")</f>
        <v/>
      </c>
      <c r="AI1693" s="26" t="n">
        <v>347.43</v>
      </c>
      <c r="AJ1693" s="22" t="str">
        <f aca="false">INDEX('Tabela Passaro'!$X$2:$X$1795,$N1693)</f>
        <v>INTERIOR 2</v>
      </c>
    </row>
    <row r="1694" customFormat="false" ht="15" hidden="false" customHeight="false" outlineLevel="0" collapsed="false">
      <c r="A1694" s="22" t="s">
        <v>22</v>
      </c>
      <c r="B1694" s="22" t="n">
        <v>2</v>
      </c>
      <c r="C1694" s="22" t="s">
        <v>184</v>
      </c>
      <c r="D1694" s="22" t="s">
        <v>30</v>
      </c>
      <c r="E1694" s="22" t="s">
        <v>7326</v>
      </c>
      <c r="F1694" s="22" t="n">
        <v>523720</v>
      </c>
      <c r="G1694" s="30" t="n">
        <v>46244</v>
      </c>
      <c r="H1694" s="22" t="n">
        <v>622515</v>
      </c>
      <c r="I1694" s="22" t="s">
        <v>8867</v>
      </c>
      <c r="J1694" s="31" t="n">
        <v>33</v>
      </c>
      <c r="K1694" s="26" t="n">
        <v>573.36</v>
      </c>
      <c r="L1694" s="26" t="n">
        <v>193.19</v>
      </c>
      <c r="M1694" s="22" t="s">
        <v>6864</v>
      </c>
      <c r="N1694" s="22" t="n">
        <f aca="false">MATCH(M1694,'Tabela Passaro'!$A$2:$A$1795,0)</f>
        <v>1679</v>
      </c>
      <c r="O1694" s="22" t="str">
        <f aca="false">INDEX('Tabela Passaro'!$C$2:$C$1795,$N1694)</f>
        <v>PARNAMIRIM</v>
      </c>
      <c r="P1694" s="22" t="str">
        <f aca="false">INDEX('Tabela Passaro'!$B$2:$B$1795,$N1694)</f>
        <v>RN</v>
      </c>
      <c r="Q1694" s="22" t="n">
        <f aca="false">INDEX('Tabela Passaro'!$F$2:$F$1795,$N1694)</f>
        <v>9</v>
      </c>
      <c r="R1694" s="32" t="n">
        <f aca="false">IF(J1694&lt;=10,INDEX('Tabela Passaro'!$G$2:$G$1795,$N1694),IF(J1694&lt;=30,INDEX('Tabela Passaro'!$H$2:$H$1795,$N1694),IF(J1694&lt;=50,INDEX('Tabela Passaro'!$I$2:$I$1795,$N1694),IF(J1694&lt;=70,INDEX('Tabela Passaro'!$J$2:$J$1795,$N1694),IF(J1694&lt;=100,INDEX('Tabela Passaro'!$K$2:$K$1795,$N1694),INDEX('Tabela Passaro'!$K$2:$K$1795,$N1694)+(J1694-100)*INDEX('Tabela Passaro'!$L$2:$L$1795,$N1694))))))</f>
        <v>146.44</v>
      </c>
      <c r="S1694" s="32" t="n">
        <f aca="false">K1694*INDEX('Tabela Passaro'!$M$2:$M$1795,$N1694)</f>
        <v>2.8668</v>
      </c>
      <c r="T1694" s="32" t="n">
        <f aca="false">K1694*INDEX('Tabela Passaro'!$N$2:$N$1795,$N1694)</f>
        <v>1.14672</v>
      </c>
      <c r="U1694" s="32" t="n">
        <f aca="false">INDEX('Tabela Passaro'!$O$2:$O$1795,$N1694)</f>
        <v>5</v>
      </c>
      <c r="V1694" s="32" t="n">
        <f aca="false">ROUNDUP(J1694/INDEX('Tabela Passaro'!$Q$2:$Q$1795,$N1694),0)*INDEX('Tabela Passaro'!$P$2:$P$1795,$N1694)</f>
        <v>5</v>
      </c>
      <c r="W1694" s="32" t="n">
        <f aca="false">INDEX('Tabela Passaro'!$R$2:$R$1795,$N1694)</f>
        <v>30</v>
      </c>
      <c r="X1694" s="32" t="n">
        <f aca="false">ROUNDUP(J1694/INDEX('Tabela Passaro'!$T$2:$T$1795,$N1694),0)*INDEX('Tabela Passaro'!$S$2:$S$1795,$N1694)</f>
        <v>0</v>
      </c>
      <c r="Y1694" s="32" t="n">
        <f aca="false">INDEX('Tabela Passaro'!$U$2:$U$1795,$N1694)</f>
        <v>0</v>
      </c>
      <c r="Z1694" s="32" t="n">
        <f aca="false">INDEX('Tabela Passaro'!$V$2:$V$1795,$N1694)</f>
        <v>0</v>
      </c>
      <c r="AA1694" s="32" t="n">
        <f aca="false">SUM(R1694:Z1694)</f>
        <v>190.45352</v>
      </c>
      <c r="AB1694" s="33" t="n">
        <f aca="false">INDEX(Premissas!$B$5:$B$13,MATCH(A1694,Premissas!$A$5:$A$13,0))</f>
        <v>0.07</v>
      </c>
      <c r="AC1694" s="32" t="n">
        <f aca="false">AA1694/(1-AB1694)-AA1694</f>
        <v>14.3352111827957</v>
      </c>
      <c r="AD1694" s="32" t="n">
        <f aca="false">ROUND(AA1694+AC1694,2)</f>
        <v>204.79</v>
      </c>
      <c r="AE1694" s="32" t="n">
        <f aca="false">AD1694-L1694</f>
        <v>11.6</v>
      </c>
      <c r="AF1694" s="34" t="n">
        <f aca="false">IF(L1694=0,0,AE1694/L1694)</f>
        <v>0.0600445157616854</v>
      </c>
      <c r="AG1694" s="22" t="str">
        <f aca="false">IF(AD1694&lt;L1694,"PASSARO","ATUAL")</f>
        <v>ATUAL</v>
      </c>
      <c r="AH1694" s="22" t="str">
        <f aca="false">IF(P1694&lt;&gt;A1694,"Faixa cadastrada como "&amp;P1694&amp;" na tabela; preço aplicado pela UF do CEP","")</f>
        <v/>
      </c>
      <c r="AI1694" s="26" t="n">
        <v>236.87</v>
      </c>
      <c r="AJ1694" s="22" t="str">
        <f aca="false">INDEX('Tabela Passaro'!$X$2:$X$1795,$N1694)</f>
        <v>INTERIOR 2</v>
      </c>
    </row>
    <row r="1695" customFormat="false" ht="15" hidden="false" customHeight="false" outlineLevel="0" collapsed="false">
      <c r="A1695" s="22" t="s">
        <v>22</v>
      </c>
      <c r="B1695" s="22" t="n">
        <v>2</v>
      </c>
      <c r="C1695" s="22" t="s">
        <v>184</v>
      </c>
      <c r="D1695" s="22" t="s">
        <v>30</v>
      </c>
      <c r="E1695" s="22" t="s">
        <v>7328</v>
      </c>
      <c r="F1695" s="22" t="n">
        <v>2311256</v>
      </c>
      <c r="G1695" s="30" t="n">
        <v>46246</v>
      </c>
      <c r="H1695" s="22" t="n">
        <v>132570</v>
      </c>
      <c r="I1695" s="22" t="s">
        <v>8868</v>
      </c>
      <c r="J1695" s="31" t="n">
        <v>48</v>
      </c>
      <c r="K1695" s="26" t="n">
        <v>1193.02</v>
      </c>
      <c r="L1695" s="26" t="n">
        <v>177.19</v>
      </c>
      <c r="M1695" s="22" t="s">
        <v>6864</v>
      </c>
      <c r="N1695" s="22" t="n">
        <f aca="false">MATCH(M1695,'Tabela Passaro'!$A$2:$A$1795,0)</f>
        <v>1679</v>
      </c>
      <c r="O1695" s="22" t="str">
        <f aca="false">INDEX('Tabela Passaro'!$C$2:$C$1795,$N1695)</f>
        <v>PARNAMIRIM</v>
      </c>
      <c r="P1695" s="22" t="str">
        <f aca="false">INDEX('Tabela Passaro'!$B$2:$B$1795,$N1695)</f>
        <v>RN</v>
      </c>
      <c r="Q1695" s="22" t="n">
        <f aca="false">INDEX('Tabela Passaro'!$F$2:$F$1795,$N1695)</f>
        <v>9</v>
      </c>
      <c r="R1695" s="32" t="n">
        <f aca="false">IF(J1695&lt;=10,INDEX('Tabela Passaro'!$G$2:$G$1795,$N1695),IF(J1695&lt;=30,INDEX('Tabela Passaro'!$H$2:$H$1795,$N1695),IF(J1695&lt;=50,INDEX('Tabela Passaro'!$I$2:$I$1795,$N1695),IF(J1695&lt;=70,INDEX('Tabela Passaro'!$J$2:$J$1795,$N1695),IF(J1695&lt;=100,INDEX('Tabela Passaro'!$K$2:$K$1795,$N1695),INDEX('Tabela Passaro'!$K$2:$K$1795,$N1695)+(J1695-100)*INDEX('Tabela Passaro'!$L$2:$L$1795,$N1695))))))</f>
        <v>146.44</v>
      </c>
      <c r="S1695" s="32" t="n">
        <f aca="false">K1695*INDEX('Tabela Passaro'!$M$2:$M$1795,$N1695)</f>
        <v>5.9651</v>
      </c>
      <c r="T1695" s="32" t="n">
        <f aca="false">K1695*INDEX('Tabela Passaro'!$N$2:$N$1795,$N1695)</f>
        <v>2.38604</v>
      </c>
      <c r="U1695" s="32" t="n">
        <f aca="false">INDEX('Tabela Passaro'!$O$2:$O$1795,$N1695)</f>
        <v>5</v>
      </c>
      <c r="V1695" s="32" t="n">
        <f aca="false">ROUNDUP(J1695/INDEX('Tabela Passaro'!$Q$2:$Q$1795,$N1695),0)*INDEX('Tabela Passaro'!$P$2:$P$1795,$N1695)</f>
        <v>5</v>
      </c>
      <c r="W1695" s="32" t="n">
        <f aca="false">INDEX('Tabela Passaro'!$R$2:$R$1795,$N1695)</f>
        <v>30</v>
      </c>
      <c r="X1695" s="32" t="n">
        <f aca="false">ROUNDUP(J1695/INDEX('Tabela Passaro'!$T$2:$T$1795,$N1695),0)*INDEX('Tabela Passaro'!$S$2:$S$1795,$N1695)</f>
        <v>0</v>
      </c>
      <c r="Y1695" s="32" t="n">
        <f aca="false">INDEX('Tabela Passaro'!$U$2:$U$1795,$N1695)</f>
        <v>0</v>
      </c>
      <c r="Z1695" s="32" t="n">
        <f aca="false">INDEX('Tabela Passaro'!$V$2:$V$1795,$N1695)</f>
        <v>0</v>
      </c>
      <c r="AA1695" s="32" t="n">
        <f aca="false">SUM(R1695:Z1695)</f>
        <v>194.79114</v>
      </c>
      <c r="AB1695" s="33" t="n">
        <f aca="false">INDEX(Premissas!$B$5:$B$13,MATCH(A1695,Premissas!$A$5:$A$13,0))</f>
        <v>0.07</v>
      </c>
      <c r="AC1695" s="32" t="n">
        <f aca="false">AA1695/(1-AB1695)-AA1695</f>
        <v>14.6616987096774</v>
      </c>
      <c r="AD1695" s="32" t="n">
        <f aca="false">ROUND(AA1695+AC1695,2)</f>
        <v>209.45</v>
      </c>
      <c r="AE1695" s="32" t="n">
        <f aca="false">AD1695-L1695</f>
        <v>32.26</v>
      </c>
      <c r="AF1695" s="34" t="n">
        <f aca="false">IF(L1695=0,0,AE1695/L1695)</f>
        <v>0.182064450589762</v>
      </c>
      <c r="AG1695" s="22" t="str">
        <f aca="false">IF(AD1695&lt;L1695,"PASSARO","ATUAL")</f>
        <v>ATUAL</v>
      </c>
      <c r="AH1695" s="22" t="str">
        <f aca="false">IF(P1695&lt;&gt;A1695,"Faixa cadastrada como "&amp;P1695&amp;" na tabela; preço aplicado pela UF do CEP","")</f>
        <v/>
      </c>
      <c r="AI1695" s="26" t="n">
        <v>250.13</v>
      </c>
      <c r="AJ1695" s="22" t="str">
        <f aca="false">INDEX('Tabela Passaro'!$X$2:$X$1795,$N1695)</f>
        <v>INTERIOR 2</v>
      </c>
    </row>
    <row r="1696" customFormat="false" ht="15" hidden="false" customHeight="false" outlineLevel="0" collapsed="false">
      <c r="A1696" s="22" t="s">
        <v>22</v>
      </c>
      <c r="B1696" s="22" t="n">
        <v>2</v>
      </c>
      <c r="C1696" s="22" t="s">
        <v>184</v>
      </c>
      <c r="D1696" s="22" t="s">
        <v>30</v>
      </c>
      <c r="E1696" s="22" t="s">
        <v>7326</v>
      </c>
      <c r="F1696" s="22" t="n">
        <v>524475</v>
      </c>
      <c r="G1696" s="30" t="n">
        <v>46246</v>
      </c>
      <c r="H1696" s="22" t="n">
        <v>623917</v>
      </c>
      <c r="I1696" s="22" t="s">
        <v>8869</v>
      </c>
      <c r="J1696" s="31" t="n">
        <v>25.8</v>
      </c>
      <c r="K1696" s="26" t="n">
        <v>475.34</v>
      </c>
      <c r="L1696" s="26" t="n">
        <v>141.31</v>
      </c>
      <c r="M1696" s="22" t="s">
        <v>6864</v>
      </c>
      <c r="N1696" s="22" t="n">
        <f aca="false">MATCH(M1696,'Tabela Passaro'!$A$2:$A$1795,0)</f>
        <v>1679</v>
      </c>
      <c r="O1696" s="22" t="str">
        <f aca="false">INDEX('Tabela Passaro'!$C$2:$C$1795,$N1696)</f>
        <v>PARNAMIRIM</v>
      </c>
      <c r="P1696" s="22" t="str">
        <f aca="false">INDEX('Tabela Passaro'!$B$2:$B$1795,$N1696)</f>
        <v>RN</v>
      </c>
      <c r="Q1696" s="22" t="n">
        <f aca="false">INDEX('Tabela Passaro'!$F$2:$F$1795,$N1696)</f>
        <v>9</v>
      </c>
      <c r="R1696" s="32" t="n">
        <f aca="false">IF(J1696&lt;=10,INDEX('Tabela Passaro'!$G$2:$G$1795,$N1696),IF(J1696&lt;=30,INDEX('Tabela Passaro'!$H$2:$H$1795,$N1696),IF(J1696&lt;=50,INDEX('Tabela Passaro'!$I$2:$I$1795,$N1696),IF(J1696&lt;=70,INDEX('Tabela Passaro'!$J$2:$J$1795,$N1696),IF(J1696&lt;=100,INDEX('Tabela Passaro'!$K$2:$K$1795,$N1696),INDEX('Tabela Passaro'!$K$2:$K$1795,$N1696)+(J1696-100)*INDEX('Tabela Passaro'!$L$2:$L$1795,$N1696))))))</f>
        <v>126.41</v>
      </c>
      <c r="S1696" s="32" t="n">
        <f aca="false">K1696*INDEX('Tabela Passaro'!$M$2:$M$1795,$N1696)</f>
        <v>2.3767</v>
      </c>
      <c r="T1696" s="32" t="n">
        <f aca="false">K1696*INDEX('Tabela Passaro'!$N$2:$N$1795,$N1696)</f>
        <v>0.95068</v>
      </c>
      <c r="U1696" s="32" t="n">
        <f aca="false">INDEX('Tabela Passaro'!$O$2:$O$1795,$N1696)</f>
        <v>5</v>
      </c>
      <c r="V1696" s="32" t="n">
        <f aca="false">ROUNDUP(J1696/INDEX('Tabela Passaro'!$Q$2:$Q$1795,$N1696),0)*INDEX('Tabela Passaro'!$P$2:$P$1795,$N1696)</f>
        <v>5</v>
      </c>
      <c r="W1696" s="32" t="n">
        <f aca="false">INDEX('Tabela Passaro'!$R$2:$R$1795,$N1696)</f>
        <v>30</v>
      </c>
      <c r="X1696" s="32" t="n">
        <f aca="false">ROUNDUP(J1696/INDEX('Tabela Passaro'!$T$2:$T$1795,$N1696),0)*INDEX('Tabela Passaro'!$S$2:$S$1795,$N1696)</f>
        <v>0</v>
      </c>
      <c r="Y1696" s="32" t="n">
        <f aca="false">INDEX('Tabela Passaro'!$U$2:$U$1795,$N1696)</f>
        <v>0</v>
      </c>
      <c r="Z1696" s="32" t="n">
        <f aca="false">INDEX('Tabela Passaro'!$V$2:$V$1795,$N1696)</f>
        <v>0</v>
      </c>
      <c r="AA1696" s="32" t="n">
        <f aca="false">SUM(R1696:Z1696)</f>
        <v>169.73738</v>
      </c>
      <c r="AB1696" s="33" t="n">
        <f aca="false">INDEX(Premissas!$B$5:$B$13,MATCH(A1696,Premissas!$A$5:$A$13,0))</f>
        <v>0.07</v>
      </c>
      <c r="AC1696" s="32" t="n">
        <f aca="false">AA1696/(1-AB1696)-AA1696</f>
        <v>12.775931827957</v>
      </c>
      <c r="AD1696" s="32" t="n">
        <f aca="false">ROUND(AA1696+AC1696,2)</f>
        <v>182.51</v>
      </c>
      <c r="AE1696" s="32" t="n">
        <f aca="false">AD1696-L1696</f>
        <v>41.2</v>
      </c>
      <c r="AF1696" s="34" t="n">
        <f aca="false">IF(L1696=0,0,AE1696/L1696)</f>
        <v>0.291557568466492</v>
      </c>
      <c r="AG1696" s="22" t="str">
        <f aca="false">IF(AD1696&lt;L1696,"PASSARO","ATUAL")</f>
        <v>ATUAL</v>
      </c>
      <c r="AH1696" s="22" t="str">
        <f aca="false">IF(P1696&lt;&gt;A1696,"Faixa cadastrada como "&amp;P1696&amp;" na tabela; preço aplicado pela UF do CEP","")</f>
        <v/>
      </c>
      <c r="AI1696" s="26" t="n">
        <v>207.48</v>
      </c>
      <c r="AJ1696" s="22" t="str">
        <f aca="false">INDEX('Tabela Passaro'!$X$2:$X$1795,$N1696)</f>
        <v>INTERIOR 2</v>
      </c>
    </row>
    <row r="1697" customFormat="false" ht="15" hidden="false" customHeight="false" outlineLevel="0" collapsed="false">
      <c r="A1697" s="22" t="s">
        <v>22</v>
      </c>
      <c r="B1697" s="22" t="n">
        <v>2</v>
      </c>
      <c r="C1697" s="22" t="s">
        <v>184</v>
      </c>
      <c r="D1697" s="22" t="s">
        <v>30</v>
      </c>
      <c r="E1697" s="22" t="s">
        <v>7326</v>
      </c>
      <c r="F1697" s="22" t="n">
        <v>524492</v>
      </c>
      <c r="G1697" s="30" t="n">
        <v>46246</v>
      </c>
      <c r="H1697" s="22" t="n">
        <v>624152</v>
      </c>
      <c r="I1697" s="22" t="s">
        <v>8870</v>
      </c>
      <c r="J1697" s="31" t="n">
        <v>41</v>
      </c>
      <c r="K1697" s="26" t="n">
        <v>637.73</v>
      </c>
      <c r="L1697" s="26" t="n">
        <v>193.73</v>
      </c>
      <c r="M1697" s="22" t="s">
        <v>6864</v>
      </c>
      <c r="N1697" s="22" t="n">
        <f aca="false">MATCH(M1697,'Tabela Passaro'!$A$2:$A$1795,0)</f>
        <v>1679</v>
      </c>
      <c r="O1697" s="22" t="str">
        <f aca="false">INDEX('Tabela Passaro'!$C$2:$C$1795,$N1697)</f>
        <v>PARNAMIRIM</v>
      </c>
      <c r="P1697" s="22" t="str">
        <f aca="false">INDEX('Tabela Passaro'!$B$2:$B$1795,$N1697)</f>
        <v>RN</v>
      </c>
      <c r="Q1697" s="22" t="n">
        <f aca="false">INDEX('Tabela Passaro'!$F$2:$F$1795,$N1697)</f>
        <v>9</v>
      </c>
      <c r="R1697" s="32" t="n">
        <f aca="false">IF(J1697&lt;=10,INDEX('Tabela Passaro'!$G$2:$G$1795,$N1697),IF(J1697&lt;=30,INDEX('Tabela Passaro'!$H$2:$H$1795,$N1697),IF(J1697&lt;=50,INDEX('Tabela Passaro'!$I$2:$I$1795,$N1697),IF(J1697&lt;=70,INDEX('Tabela Passaro'!$J$2:$J$1795,$N1697),IF(J1697&lt;=100,INDEX('Tabela Passaro'!$K$2:$K$1795,$N1697),INDEX('Tabela Passaro'!$K$2:$K$1795,$N1697)+(J1697-100)*INDEX('Tabela Passaro'!$L$2:$L$1795,$N1697))))))</f>
        <v>146.44</v>
      </c>
      <c r="S1697" s="32" t="n">
        <f aca="false">K1697*INDEX('Tabela Passaro'!$M$2:$M$1795,$N1697)</f>
        <v>3.18865</v>
      </c>
      <c r="T1697" s="32" t="n">
        <f aca="false">K1697*INDEX('Tabela Passaro'!$N$2:$N$1795,$N1697)</f>
        <v>1.27546</v>
      </c>
      <c r="U1697" s="32" t="n">
        <f aca="false">INDEX('Tabela Passaro'!$O$2:$O$1795,$N1697)</f>
        <v>5</v>
      </c>
      <c r="V1697" s="32" t="n">
        <f aca="false">ROUNDUP(J1697/INDEX('Tabela Passaro'!$Q$2:$Q$1795,$N1697),0)*INDEX('Tabela Passaro'!$P$2:$P$1795,$N1697)</f>
        <v>5</v>
      </c>
      <c r="W1697" s="32" t="n">
        <f aca="false">INDEX('Tabela Passaro'!$R$2:$R$1795,$N1697)</f>
        <v>30</v>
      </c>
      <c r="X1697" s="32" t="n">
        <f aca="false">ROUNDUP(J1697/INDEX('Tabela Passaro'!$T$2:$T$1795,$N1697),0)*INDEX('Tabela Passaro'!$S$2:$S$1795,$N1697)</f>
        <v>0</v>
      </c>
      <c r="Y1697" s="32" t="n">
        <f aca="false">INDEX('Tabela Passaro'!$U$2:$U$1795,$N1697)</f>
        <v>0</v>
      </c>
      <c r="Z1697" s="32" t="n">
        <f aca="false">INDEX('Tabela Passaro'!$V$2:$V$1795,$N1697)</f>
        <v>0</v>
      </c>
      <c r="AA1697" s="32" t="n">
        <f aca="false">SUM(R1697:Z1697)</f>
        <v>190.90411</v>
      </c>
      <c r="AB1697" s="33" t="n">
        <f aca="false">INDEX(Premissas!$B$5:$B$13,MATCH(A1697,Premissas!$A$5:$A$13,0))</f>
        <v>0.07</v>
      </c>
      <c r="AC1697" s="32" t="n">
        <f aca="false">AA1697/(1-AB1697)-AA1697</f>
        <v>14.3691265591398</v>
      </c>
      <c r="AD1697" s="32" t="n">
        <f aca="false">ROUND(AA1697+AC1697,2)</f>
        <v>205.27</v>
      </c>
      <c r="AE1697" s="32" t="n">
        <f aca="false">AD1697-L1697</f>
        <v>11.54</v>
      </c>
      <c r="AF1697" s="34" t="n">
        <f aca="false">IF(L1697=0,0,AE1697/L1697)</f>
        <v>0.0595674392195325</v>
      </c>
      <c r="AG1697" s="22" t="str">
        <f aca="false">IF(AD1697&lt;L1697,"PASSARO","ATUAL")</f>
        <v>ATUAL</v>
      </c>
      <c r="AH1697" s="22" t="str">
        <f aca="false">IF(P1697&lt;&gt;A1697,"Faixa cadastrada como "&amp;P1697&amp;" na tabela; preço aplicado pela UF do CEP","")</f>
        <v/>
      </c>
      <c r="AI1697" s="26" t="n">
        <v>241.37</v>
      </c>
      <c r="AJ1697" s="22" t="str">
        <f aca="false">INDEX('Tabela Passaro'!$X$2:$X$1795,$N1697)</f>
        <v>INTERIOR 2</v>
      </c>
    </row>
    <row r="1698" customFormat="false" ht="15" hidden="false" customHeight="false" outlineLevel="0" collapsed="false">
      <c r="A1698" s="22" t="s">
        <v>22</v>
      </c>
      <c r="B1698" s="22" t="n">
        <v>2</v>
      </c>
      <c r="C1698" s="22" t="s">
        <v>184</v>
      </c>
      <c r="D1698" s="22" t="s">
        <v>30</v>
      </c>
      <c r="E1698" s="22" t="s">
        <v>7328</v>
      </c>
      <c r="F1698" s="22" t="n">
        <v>2312268</v>
      </c>
      <c r="G1698" s="30" t="n">
        <v>46248</v>
      </c>
      <c r="H1698" s="22" t="n">
        <v>133183</v>
      </c>
      <c r="I1698" s="22" t="s">
        <v>8871</v>
      </c>
      <c r="J1698" s="31" t="n">
        <v>27.6</v>
      </c>
      <c r="K1698" s="26" t="n">
        <v>640.29</v>
      </c>
      <c r="L1698" s="26" t="n">
        <v>131.66</v>
      </c>
      <c r="M1698" s="22" t="s">
        <v>6864</v>
      </c>
      <c r="N1698" s="22" t="n">
        <f aca="false">MATCH(M1698,'Tabela Passaro'!$A$2:$A$1795,0)</f>
        <v>1679</v>
      </c>
      <c r="O1698" s="22" t="str">
        <f aca="false">INDEX('Tabela Passaro'!$C$2:$C$1795,$N1698)</f>
        <v>PARNAMIRIM</v>
      </c>
      <c r="P1698" s="22" t="str">
        <f aca="false">INDEX('Tabela Passaro'!$B$2:$B$1795,$N1698)</f>
        <v>RN</v>
      </c>
      <c r="Q1698" s="22" t="n">
        <f aca="false">INDEX('Tabela Passaro'!$F$2:$F$1795,$N1698)</f>
        <v>9</v>
      </c>
      <c r="R1698" s="32" t="n">
        <f aca="false">IF(J1698&lt;=10,INDEX('Tabela Passaro'!$G$2:$G$1795,$N1698),IF(J1698&lt;=30,INDEX('Tabela Passaro'!$H$2:$H$1795,$N1698),IF(J1698&lt;=50,INDEX('Tabela Passaro'!$I$2:$I$1795,$N1698),IF(J1698&lt;=70,INDEX('Tabela Passaro'!$J$2:$J$1795,$N1698),IF(J1698&lt;=100,INDEX('Tabela Passaro'!$K$2:$K$1795,$N1698),INDEX('Tabela Passaro'!$K$2:$K$1795,$N1698)+(J1698-100)*INDEX('Tabela Passaro'!$L$2:$L$1795,$N1698))))))</f>
        <v>126.41</v>
      </c>
      <c r="S1698" s="32" t="n">
        <f aca="false">K1698*INDEX('Tabela Passaro'!$M$2:$M$1795,$N1698)</f>
        <v>3.20145</v>
      </c>
      <c r="T1698" s="32" t="n">
        <f aca="false">K1698*INDEX('Tabela Passaro'!$N$2:$N$1795,$N1698)</f>
        <v>1.28058</v>
      </c>
      <c r="U1698" s="32" t="n">
        <f aca="false">INDEX('Tabela Passaro'!$O$2:$O$1795,$N1698)</f>
        <v>5</v>
      </c>
      <c r="V1698" s="32" t="n">
        <f aca="false">ROUNDUP(J1698/INDEX('Tabela Passaro'!$Q$2:$Q$1795,$N1698),0)*INDEX('Tabela Passaro'!$P$2:$P$1795,$N1698)</f>
        <v>5</v>
      </c>
      <c r="W1698" s="32" t="n">
        <f aca="false">INDEX('Tabela Passaro'!$R$2:$R$1795,$N1698)</f>
        <v>30</v>
      </c>
      <c r="X1698" s="32" t="n">
        <f aca="false">ROUNDUP(J1698/INDEX('Tabela Passaro'!$T$2:$T$1795,$N1698),0)*INDEX('Tabela Passaro'!$S$2:$S$1795,$N1698)</f>
        <v>0</v>
      </c>
      <c r="Y1698" s="32" t="n">
        <f aca="false">INDEX('Tabela Passaro'!$U$2:$U$1795,$N1698)</f>
        <v>0</v>
      </c>
      <c r="Z1698" s="32" t="n">
        <f aca="false">INDEX('Tabela Passaro'!$V$2:$V$1795,$N1698)</f>
        <v>0</v>
      </c>
      <c r="AA1698" s="32" t="n">
        <f aca="false">SUM(R1698:Z1698)</f>
        <v>170.89203</v>
      </c>
      <c r="AB1698" s="33" t="n">
        <f aca="false">INDEX(Premissas!$B$5:$B$13,MATCH(A1698,Premissas!$A$5:$A$13,0))</f>
        <v>0.07</v>
      </c>
      <c r="AC1698" s="32" t="n">
        <f aca="false">AA1698/(1-AB1698)-AA1698</f>
        <v>12.862840967742</v>
      </c>
      <c r="AD1698" s="32" t="n">
        <f aca="false">ROUND(AA1698+AC1698,2)</f>
        <v>183.75</v>
      </c>
      <c r="AE1698" s="32" t="n">
        <f aca="false">AD1698-L1698</f>
        <v>52.09</v>
      </c>
      <c r="AF1698" s="34" t="n">
        <f aca="false">IF(L1698=0,0,AE1698/L1698)</f>
        <v>0.39564028558408</v>
      </c>
      <c r="AG1698" s="22" t="str">
        <f aca="false">IF(AD1698&lt;L1698,"PASSARO","ATUAL")</f>
        <v>ATUAL</v>
      </c>
      <c r="AH1698" s="22" t="str">
        <f aca="false">IF(P1698&lt;&gt;A1698,"Faixa cadastrada como "&amp;P1698&amp;" na tabela; preço aplicado pela UF do CEP","")</f>
        <v/>
      </c>
      <c r="AI1698" s="26" t="n">
        <v>210.05</v>
      </c>
      <c r="AJ1698" s="22" t="str">
        <f aca="false">INDEX('Tabela Passaro'!$X$2:$X$1795,$N1698)</f>
        <v>INTERIOR 2</v>
      </c>
    </row>
    <row r="1699" customFormat="false" ht="15" hidden="false" customHeight="false" outlineLevel="0" collapsed="false">
      <c r="A1699" s="22" t="s">
        <v>22</v>
      </c>
      <c r="B1699" s="22" t="n">
        <v>2</v>
      </c>
      <c r="C1699" s="22" t="s">
        <v>184</v>
      </c>
      <c r="D1699" s="22" t="s">
        <v>30</v>
      </c>
      <c r="E1699" s="22" t="s">
        <v>7328</v>
      </c>
      <c r="F1699" s="22" t="n">
        <v>2312285</v>
      </c>
      <c r="G1699" s="30" t="n">
        <v>46248</v>
      </c>
      <c r="H1699" s="22" t="n">
        <v>133187</v>
      </c>
      <c r="I1699" s="22" t="s">
        <v>8872</v>
      </c>
      <c r="J1699" s="31" t="n">
        <v>51.06</v>
      </c>
      <c r="K1699" s="26" t="n">
        <v>983.81</v>
      </c>
      <c r="L1699" s="26" t="n">
        <v>223.01</v>
      </c>
      <c r="M1699" s="22" t="s">
        <v>6864</v>
      </c>
      <c r="N1699" s="22" t="n">
        <f aca="false">MATCH(M1699,'Tabela Passaro'!$A$2:$A$1795,0)</f>
        <v>1679</v>
      </c>
      <c r="O1699" s="22" t="str">
        <f aca="false">INDEX('Tabela Passaro'!$C$2:$C$1795,$N1699)</f>
        <v>PARNAMIRIM</v>
      </c>
      <c r="P1699" s="22" t="str">
        <f aca="false">INDEX('Tabela Passaro'!$B$2:$B$1795,$N1699)</f>
        <v>RN</v>
      </c>
      <c r="Q1699" s="22" t="n">
        <f aca="false">INDEX('Tabela Passaro'!$F$2:$F$1795,$N1699)</f>
        <v>9</v>
      </c>
      <c r="R1699" s="32" t="n">
        <f aca="false">IF(J1699&lt;=10,INDEX('Tabela Passaro'!$G$2:$G$1795,$N1699),IF(J1699&lt;=30,INDEX('Tabela Passaro'!$H$2:$H$1795,$N1699),IF(J1699&lt;=50,INDEX('Tabela Passaro'!$I$2:$I$1795,$N1699),IF(J1699&lt;=70,INDEX('Tabela Passaro'!$J$2:$J$1795,$N1699),IF(J1699&lt;=100,INDEX('Tabela Passaro'!$K$2:$K$1795,$N1699),INDEX('Tabela Passaro'!$K$2:$K$1795,$N1699)+(J1699-100)*INDEX('Tabela Passaro'!$L$2:$L$1795,$N1699))))))</f>
        <v>156.46</v>
      </c>
      <c r="S1699" s="32" t="n">
        <f aca="false">K1699*INDEX('Tabela Passaro'!$M$2:$M$1795,$N1699)</f>
        <v>4.91905</v>
      </c>
      <c r="T1699" s="32" t="n">
        <f aca="false">K1699*INDEX('Tabela Passaro'!$N$2:$N$1795,$N1699)</f>
        <v>1.96762</v>
      </c>
      <c r="U1699" s="32" t="n">
        <f aca="false">INDEX('Tabela Passaro'!$O$2:$O$1795,$N1699)</f>
        <v>5</v>
      </c>
      <c r="V1699" s="32" t="n">
        <f aca="false">ROUNDUP(J1699/INDEX('Tabela Passaro'!$Q$2:$Q$1795,$N1699),0)*INDEX('Tabela Passaro'!$P$2:$P$1795,$N1699)</f>
        <v>5</v>
      </c>
      <c r="W1699" s="32" t="n">
        <f aca="false">INDEX('Tabela Passaro'!$R$2:$R$1795,$N1699)</f>
        <v>30</v>
      </c>
      <c r="X1699" s="32" t="n">
        <f aca="false">ROUNDUP(J1699/INDEX('Tabela Passaro'!$T$2:$T$1795,$N1699),0)*INDEX('Tabela Passaro'!$S$2:$S$1795,$N1699)</f>
        <v>0</v>
      </c>
      <c r="Y1699" s="32" t="n">
        <f aca="false">INDEX('Tabela Passaro'!$U$2:$U$1795,$N1699)</f>
        <v>0</v>
      </c>
      <c r="Z1699" s="32" t="n">
        <f aca="false">INDEX('Tabela Passaro'!$V$2:$V$1795,$N1699)</f>
        <v>0</v>
      </c>
      <c r="AA1699" s="32" t="n">
        <f aca="false">SUM(R1699:Z1699)</f>
        <v>203.34667</v>
      </c>
      <c r="AB1699" s="33" t="n">
        <f aca="false">INDEX(Premissas!$B$5:$B$13,MATCH(A1699,Premissas!$A$5:$A$13,0))</f>
        <v>0.07</v>
      </c>
      <c r="AC1699" s="32" t="n">
        <f aca="false">AA1699/(1-AB1699)-AA1699</f>
        <v>15.3056633333333</v>
      </c>
      <c r="AD1699" s="32" t="n">
        <f aca="false">ROUND(AA1699+AC1699,2)</f>
        <v>218.65</v>
      </c>
      <c r="AE1699" s="32" t="n">
        <f aca="false">AD1699-L1699</f>
        <v>-4.35999999999999</v>
      </c>
      <c r="AF1699" s="34" t="n">
        <f aca="false">IF(L1699=0,0,AE1699/L1699)</f>
        <v>-0.019550692794045</v>
      </c>
      <c r="AG1699" s="22" t="str">
        <f aca="false">IF(AD1699&lt;L1699,"PASSARO","ATUAL")</f>
        <v>PASSARO</v>
      </c>
      <c r="AH1699" s="22" t="str">
        <f aca="false">IF(P1699&lt;&gt;A1699,"Faixa cadastrada como "&amp;P1699&amp;" na tabela; preço aplicado pela UF do CEP","")</f>
        <v/>
      </c>
      <c r="AI1699" s="26" t="n">
        <v>262.56</v>
      </c>
      <c r="AJ1699" s="22" t="str">
        <f aca="false">INDEX('Tabela Passaro'!$X$2:$X$1795,$N1699)</f>
        <v>INTERIOR 2</v>
      </c>
    </row>
    <row r="1700" customFormat="false" ht="15" hidden="false" customHeight="false" outlineLevel="0" collapsed="false">
      <c r="A1700" s="22" t="s">
        <v>22</v>
      </c>
      <c r="B1700" s="22" t="n">
        <v>2</v>
      </c>
      <c r="C1700" s="22" t="s">
        <v>184</v>
      </c>
      <c r="D1700" s="22" t="s">
        <v>30</v>
      </c>
      <c r="E1700" s="22" t="s">
        <v>7328</v>
      </c>
      <c r="F1700" s="22" t="n">
        <v>2312422</v>
      </c>
      <c r="G1700" s="30" t="n">
        <v>46248</v>
      </c>
      <c r="H1700" s="22" t="n">
        <v>133333</v>
      </c>
      <c r="I1700" s="22" t="s">
        <v>8873</v>
      </c>
      <c r="J1700" s="31" t="n">
        <v>45.4</v>
      </c>
      <c r="K1700" s="26" t="n">
        <v>587.36</v>
      </c>
      <c r="L1700" s="26" t="n">
        <v>172.4</v>
      </c>
      <c r="M1700" s="22" t="s">
        <v>6864</v>
      </c>
      <c r="N1700" s="22" t="n">
        <f aca="false">MATCH(M1700,'Tabela Passaro'!$A$2:$A$1795,0)</f>
        <v>1679</v>
      </c>
      <c r="O1700" s="22" t="str">
        <f aca="false">INDEX('Tabela Passaro'!$C$2:$C$1795,$N1700)</f>
        <v>PARNAMIRIM</v>
      </c>
      <c r="P1700" s="22" t="str">
        <f aca="false">INDEX('Tabela Passaro'!$B$2:$B$1795,$N1700)</f>
        <v>RN</v>
      </c>
      <c r="Q1700" s="22" t="n">
        <f aca="false">INDEX('Tabela Passaro'!$F$2:$F$1795,$N1700)</f>
        <v>9</v>
      </c>
      <c r="R1700" s="32" t="n">
        <f aca="false">IF(J1700&lt;=10,INDEX('Tabela Passaro'!$G$2:$G$1795,$N1700),IF(J1700&lt;=30,INDEX('Tabela Passaro'!$H$2:$H$1795,$N1700),IF(J1700&lt;=50,INDEX('Tabela Passaro'!$I$2:$I$1795,$N1700),IF(J1700&lt;=70,INDEX('Tabela Passaro'!$J$2:$J$1795,$N1700),IF(J1700&lt;=100,INDEX('Tabela Passaro'!$K$2:$K$1795,$N1700),INDEX('Tabela Passaro'!$K$2:$K$1795,$N1700)+(J1700-100)*INDEX('Tabela Passaro'!$L$2:$L$1795,$N1700))))))</f>
        <v>146.44</v>
      </c>
      <c r="S1700" s="32" t="n">
        <f aca="false">K1700*INDEX('Tabela Passaro'!$M$2:$M$1795,$N1700)</f>
        <v>2.9368</v>
      </c>
      <c r="T1700" s="32" t="n">
        <f aca="false">K1700*INDEX('Tabela Passaro'!$N$2:$N$1795,$N1700)</f>
        <v>1.17472</v>
      </c>
      <c r="U1700" s="32" t="n">
        <f aca="false">INDEX('Tabela Passaro'!$O$2:$O$1795,$N1700)</f>
        <v>5</v>
      </c>
      <c r="V1700" s="32" t="n">
        <f aca="false">ROUNDUP(J1700/INDEX('Tabela Passaro'!$Q$2:$Q$1795,$N1700),0)*INDEX('Tabela Passaro'!$P$2:$P$1795,$N1700)</f>
        <v>5</v>
      </c>
      <c r="W1700" s="32" t="n">
        <f aca="false">INDEX('Tabela Passaro'!$R$2:$R$1795,$N1700)</f>
        <v>30</v>
      </c>
      <c r="X1700" s="32" t="n">
        <f aca="false">ROUNDUP(J1700/INDEX('Tabela Passaro'!$T$2:$T$1795,$N1700),0)*INDEX('Tabela Passaro'!$S$2:$S$1795,$N1700)</f>
        <v>0</v>
      </c>
      <c r="Y1700" s="32" t="n">
        <f aca="false">INDEX('Tabela Passaro'!$U$2:$U$1795,$N1700)</f>
        <v>0</v>
      </c>
      <c r="Z1700" s="32" t="n">
        <f aca="false">INDEX('Tabela Passaro'!$V$2:$V$1795,$N1700)</f>
        <v>0</v>
      </c>
      <c r="AA1700" s="32" t="n">
        <f aca="false">SUM(R1700:Z1700)</f>
        <v>190.55152</v>
      </c>
      <c r="AB1700" s="33" t="n">
        <f aca="false">INDEX(Premissas!$B$5:$B$13,MATCH(A1700,Premissas!$A$5:$A$13,0))</f>
        <v>0.07</v>
      </c>
      <c r="AC1700" s="32" t="n">
        <f aca="false">AA1700/(1-AB1700)-AA1700</f>
        <v>14.3425875268817</v>
      </c>
      <c r="AD1700" s="32" t="n">
        <f aca="false">ROUND(AA1700+AC1700,2)</f>
        <v>204.89</v>
      </c>
      <c r="AE1700" s="32" t="n">
        <f aca="false">AD1700-L1700</f>
        <v>32.49</v>
      </c>
      <c r="AF1700" s="34" t="n">
        <f aca="false">IF(L1700=0,0,AE1700/L1700)</f>
        <v>0.188457076566125</v>
      </c>
      <c r="AG1700" s="22" t="str">
        <f aca="false">IF(AD1700&lt;L1700,"PASSARO","ATUAL")</f>
        <v>ATUAL</v>
      </c>
      <c r="AH1700" s="22" t="str">
        <f aca="false">IF(P1700&lt;&gt;A1700,"Faixa cadastrada como "&amp;P1700&amp;" na tabela; preço aplicado pela UF do CEP","")</f>
        <v/>
      </c>
      <c r="AI1700" s="26" t="n">
        <v>243.3</v>
      </c>
      <c r="AJ1700" s="22" t="str">
        <f aca="false">INDEX('Tabela Passaro'!$X$2:$X$1795,$N1700)</f>
        <v>INTERIOR 2</v>
      </c>
    </row>
    <row r="1701" customFormat="false" ht="15" hidden="false" customHeight="false" outlineLevel="0" collapsed="false">
      <c r="A1701" s="22" t="s">
        <v>22</v>
      </c>
      <c r="B1701" s="22" t="n">
        <v>2</v>
      </c>
      <c r="C1701" s="22" t="s">
        <v>184</v>
      </c>
      <c r="D1701" s="22" t="s">
        <v>30</v>
      </c>
      <c r="E1701" s="22" t="s">
        <v>7326</v>
      </c>
      <c r="F1701" s="22" t="n">
        <v>525339</v>
      </c>
      <c r="G1701" s="30" t="n">
        <v>46251</v>
      </c>
      <c r="H1701" s="22" t="n">
        <v>625370</v>
      </c>
      <c r="I1701" s="22" t="s">
        <v>8874</v>
      </c>
      <c r="J1701" s="31" t="n">
        <v>60.1</v>
      </c>
      <c r="K1701" s="26" t="n">
        <v>1336.02</v>
      </c>
      <c r="L1701" s="26" t="n">
        <v>260.94</v>
      </c>
      <c r="M1701" s="22" t="s">
        <v>6864</v>
      </c>
      <c r="N1701" s="22" t="n">
        <f aca="false">MATCH(M1701,'Tabela Passaro'!$A$2:$A$1795,0)</f>
        <v>1679</v>
      </c>
      <c r="O1701" s="22" t="str">
        <f aca="false">INDEX('Tabela Passaro'!$C$2:$C$1795,$N1701)</f>
        <v>PARNAMIRIM</v>
      </c>
      <c r="P1701" s="22" t="str">
        <f aca="false">INDEX('Tabela Passaro'!$B$2:$B$1795,$N1701)</f>
        <v>RN</v>
      </c>
      <c r="Q1701" s="22" t="n">
        <f aca="false">INDEX('Tabela Passaro'!$F$2:$F$1795,$N1701)</f>
        <v>9</v>
      </c>
      <c r="R1701" s="32" t="n">
        <f aca="false">IF(J1701&lt;=10,INDEX('Tabela Passaro'!$G$2:$G$1795,$N1701),IF(J1701&lt;=30,INDEX('Tabela Passaro'!$H$2:$H$1795,$N1701),IF(J1701&lt;=50,INDEX('Tabela Passaro'!$I$2:$I$1795,$N1701),IF(J1701&lt;=70,INDEX('Tabela Passaro'!$J$2:$J$1795,$N1701),IF(J1701&lt;=100,INDEX('Tabela Passaro'!$K$2:$K$1795,$N1701),INDEX('Tabela Passaro'!$K$2:$K$1795,$N1701)+(J1701-100)*INDEX('Tabela Passaro'!$L$2:$L$1795,$N1701))))))</f>
        <v>156.46</v>
      </c>
      <c r="S1701" s="32" t="n">
        <f aca="false">K1701*INDEX('Tabela Passaro'!$M$2:$M$1795,$N1701)</f>
        <v>6.6801</v>
      </c>
      <c r="T1701" s="32" t="n">
        <f aca="false">K1701*INDEX('Tabela Passaro'!$N$2:$N$1795,$N1701)</f>
        <v>2.67204</v>
      </c>
      <c r="U1701" s="32" t="n">
        <f aca="false">INDEX('Tabela Passaro'!$O$2:$O$1795,$N1701)</f>
        <v>5</v>
      </c>
      <c r="V1701" s="32" t="n">
        <f aca="false">ROUNDUP(J1701/INDEX('Tabela Passaro'!$Q$2:$Q$1795,$N1701),0)*INDEX('Tabela Passaro'!$P$2:$P$1795,$N1701)</f>
        <v>5</v>
      </c>
      <c r="W1701" s="32" t="n">
        <f aca="false">INDEX('Tabela Passaro'!$R$2:$R$1795,$N1701)</f>
        <v>30</v>
      </c>
      <c r="X1701" s="32" t="n">
        <f aca="false">ROUNDUP(J1701/INDEX('Tabela Passaro'!$T$2:$T$1795,$N1701),0)*INDEX('Tabela Passaro'!$S$2:$S$1795,$N1701)</f>
        <v>0</v>
      </c>
      <c r="Y1701" s="32" t="n">
        <f aca="false">INDEX('Tabela Passaro'!$U$2:$U$1795,$N1701)</f>
        <v>0</v>
      </c>
      <c r="Z1701" s="32" t="n">
        <f aca="false">INDEX('Tabela Passaro'!$V$2:$V$1795,$N1701)</f>
        <v>0</v>
      </c>
      <c r="AA1701" s="32" t="n">
        <f aca="false">SUM(R1701:Z1701)</f>
        <v>205.81214</v>
      </c>
      <c r="AB1701" s="33" t="n">
        <f aca="false">INDEX(Premissas!$B$5:$B$13,MATCH(A1701,Premissas!$A$5:$A$13,0))</f>
        <v>0.07</v>
      </c>
      <c r="AC1701" s="32" t="n">
        <f aca="false">AA1701/(1-AB1701)-AA1701</f>
        <v>15.491236344086</v>
      </c>
      <c r="AD1701" s="32" t="n">
        <f aca="false">ROUND(AA1701+AC1701,2)</f>
        <v>221.3</v>
      </c>
      <c r="AE1701" s="32" t="n">
        <f aca="false">AD1701-L1701</f>
        <v>-39.64</v>
      </c>
      <c r="AF1701" s="34" t="n">
        <f aca="false">IF(L1701=0,0,AE1701/L1701)</f>
        <v>-0.151912317007741</v>
      </c>
      <c r="AG1701" s="22" t="str">
        <f aca="false">IF(AD1701&lt;L1701,"PASSARO","ATUAL")</f>
        <v>PASSARO</v>
      </c>
      <c r="AH1701" s="22" t="str">
        <f aca="false">IF(P1701&lt;&gt;A1701,"Faixa cadastrada como "&amp;P1701&amp;" na tabela; preço aplicado pela UF do CEP","")</f>
        <v/>
      </c>
      <c r="AI1701" s="26" t="n">
        <v>270.33</v>
      </c>
      <c r="AJ1701" s="22" t="str">
        <f aca="false">INDEX('Tabela Passaro'!$X$2:$X$1795,$N1701)</f>
        <v>INTERIOR 2</v>
      </c>
    </row>
    <row r="1702" customFormat="false" ht="15" hidden="false" customHeight="false" outlineLevel="0" collapsed="false">
      <c r="A1702" s="22" t="s">
        <v>22</v>
      </c>
      <c r="B1702" s="22" t="n">
        <v>2</v>
      </c>
      <c r="C1702" s="22" t="s">
        <v>184</v>
      </c>
      <c r="D1702" s="22" t="s">
        <v>30</v>
      </c>
      <c r="E1702" s="22" t="s">
        <v>20</v>
      </c>
      <c r="F1702" s="22" t="n">
        <v>839636</v>
      </c>
      <c r="G1702" s="30" t="n">
        <v>46254</v>
      </c>
      <c r="H1702" s="22" t="n">
        <v>32565</v>
      </c>
      <c r="I1702" s="22" t="s">
        <v>8875</v>
      </c>
      <c r="J1702" s="31" t="n">
        <v>73.3</v>
      </c>
      <c r="K1702" s="26" t="n">
        <v>1218.22</v>
      </c>
      <c r="L1702" s="26" t="n">
        <v>243.53</v>
      </c>
      <c r="M1702" s="22" t="s">
        <v>6864</v>
      </c>
      <c r="N1702" s="22" t="n">
        <f aca="false">MATCH(M1702,'Tabela Passaro'!$A$2:$A$1795,0)</f>
        <v>1679</v>
      </c>
      <c r="O1702" s="22" t="str">
        <f aca="false">INDEX('Tabela Passaro'!$C$2:$C$1795,$N1702)</f>
        <v>PARNAMIRIM</v>
      </c>
      <c r="P1702" s="22" t="str">
        <f aca="false">INDEX('Tabela Passaro'!$B$2:$B$1795,$N1702)</f>
        <v>RN</v>
      </c>
      <c r="Q1702" s="22" t="n">
        <f aca="false">INDEX('Tabela Passaro'!$F$2:$F$1795,$N1702)</f>
        <v>9</v>
      </c>
      <c r="R1702" s="32" t="n">
        <f aca="false">IF(J1702&lt;=10,INDEX('Tabela Passaro'!$G$2:$G$1795,$N1702),IF(J1702&lt;=30,INDEX('Tabela Passaro'!$H$2:$H$1795,$N1702),IF(J1702&lt;=50,INDEX('Tabela Passaro'!$I$2:$I$1795,$N1702),IF(J1702&lt;=70,INDEX('Tabela Passaro'!$J$2:$J$1795,$N1702),IF(J1702&lt;=100,INDEX('Tabela Passaro'!$K$2:$K$1795,$N1702),INDEX('Tabela Passaro'!$K$2:$K$1795,$N1702)+(J1702-100)*INDEX('Tabela Passaro'!$L$2:$L$1795,$N1702))))))</f>
        <v>171.48</v>
      </c>
      <c r="S1702" s="32" t="n">
        <f aca="false">K1702*INDEX('Tabela Passaro'!$M$2:$M$1795,$N1702)</f>
        <v>6.0911</v>
      </c>
      <c r="T1702" s="32" t="n">
        <f aca="false">K1702*INDEX('Tabela Passaro'!$N$2:$N$1795,$N1702)</f>
        <v>2.43644</v>
      </c>
      <c r="U1702" s="32" t="n">
        <f aca="false">INDEX('Tabela Passaro'!$O$2:$O$1795,$N1702)</f>
        <v>5</v>
      </c>
      <c r="V1702" s="32" t="n">
        <f aca="false">ROUNDUP(J1702/INDEX('Tabela Passaro'!$Q$2:$Q$1795,$N1702),0)*INDEX('Tabela Passaro'!$P$2:$P$1795,$N1702)</f>
        <v>5</v>
      </c>
      <c r="W1702" s="32" t="n">
        <f aca="false">INDEX('Tabela Passaro'!$R$2:$R$1795,$N1702)</f>
        <v>30</v>
      </c>
      <c r="X1702" s="32" t="n">
        <f aca="false">ROUNDUP(J1702/INDEX('Tabela Passaro'!$T$2:$T$1795,$N1702),0)*INDEX('Tabela Passaro'!$S$2:$S$1795,$N1702)</f>
        <v>0</v>
      </c>
      <c r="Y1702" s="32" t="n">
        <f aca="false">INDEX('Tabela Passaro'!$U$2:$U$1795,$N1702)</f>
        <v>0</v>
      </c>
      <c r="Z1702" s="32" t="n">
        <f aca="false">INDEX('Tabela Passaro'!$V$2:$V$1795,$N1702)</f>
        <v>0</v>
      </c>
      <c r="AA1702" s="32" t="n">
        <f aca="false">SUM(R1702:Z1702)</f>
        <v>220.00754</v>
      </c>
      <c r="AB1702" s="33" t="n">
        <f aca="false">INDEX(Premissas!$B$5:$B$13,MATCH(A1702,Premissas!$A$5:$A$13,0))</f>
        <v>0.07</v>
      </c>
      <c r="AC1702" s="32" t="n">
        <f aca="false">AA1702/(1-AB1702)-AA1702</f>
        <v>16.559707311828</v>
      </c>
      <c r="AD1702" s="32" t="n">
        <f aca="false">ROUND(AA1702+AC1702,2)</f>
        <v>236.57</v>
      </c>
      <c r="AE1702" s="32" t="n">
        <f aca="false">AD1702-L1702</f>
        <v>-6.96000000000001</v>
      </c>
      <c r="AF1702" s="34" t="n">
        <f aca="false">IF(L1702=0,0,AE1702/L1702)</f>
        <v>-0.028579641111978</v>
      </c>
      <c r="AG1702" s="22" t="str">
        <f aca="false">IF(AD1702&lt;L1702,"PASSARO","ATUAL")</f>
        <v>PASSARO</v>
      </c>
      <c r="AH1702" s="22" t="str">
        <f aca="false">IF(P1702&lt;&gt;A1702,"Faixa cadastrada como "&amp;P1702&amp;" na tabela; preço aplicado pela UF do CEP","")</f>
        <v/>
      </c>
      <c r="AI1702" s="26" t="n">
        <v>294.26</v>
      </c>
      <c r="AJ1702" s="22" t="str">
        <f aca="false">INDEX('Tabela Passaro'!$X$2:$X$1795,$N1702)</f>
        <v>INTERIOR 2</v>
      </c>
    </row>
    <row r="1703" customFormat="false" ht="15" hidden="false" customHeight="false" outlineLevel="0" collapsed="false">
      <c r="A1703" s="22" t="s">
        <v>22</v>
      </c>
      <c r="B1703" s="22" t="n">
        <v>2</v>
      </c>
      <c r="C1703" s="22" t="s">
        <v>184</v>
      </c>
      <c r="D1703" s="22" t="s">
        <v>30</v>
      </c>
      <c r="E1703" s="22" t="s">
        <v>7328</v>
      </c>
      <c r="F1703" s="22" t="n">
        <v>2315817</v>
      </c>
      <c r="G1703" s="30" t="n">
        <v>46258</v>
      </c>
      <c r="H1703" s="22" t="n">
        <v>134963</v>
      </c>
      <c r="I1703" s="22" t="s">
        <v>8876</v>
      </c>
      <c r="J1703" s="31" t="n">
        <v>34.4</v>
      </c>
      <c r="K1703" s="26" t="n">
        <v>724.41</v>
      </c>
      <c r="L1703" s="26" t="n">
        <v>173.47</v>
      </c>
      <c r="M1703" s="22" t="s">
        <v>6864</v>
      </c>
      <c r="N1703" s="22" t="n">
        <f aca="false">MATCH(M1703,'Tabela Passaro'!$A$2:$A$1795,0)</f>
        <v>1679</v>
      </c>
      <c r="O1703" s="22" t="str">
        <f aca="false">INDEX('Tabela Passaro'!$C$2:$C$1795,$N1703)</f>
        <v>PARNAMIRIM</v>
      </c>
      <c r="P1703" s="22" t="str">
        <f aca="false">INDEX('Tabela Passaro'!$B$2:$B$1795,$N1703)</f>
        <v>RN</v>
      </c>
      <c r="Q1703" s="22" t="n">
        <f aca="false">INDEX('Tabela Passaro'!$F$2:$F$1795,$N1703)</f>
        <v>9</v>
      </c>
      <c r="R1703" s="32" t="n">
        <f aca="false">IF(J1703&lt;=10,INDEX('Tabela Passaro'!$G$2:$G$1795,$N1703),IF(J1703&lt;=30,INDEX('Tabela Passaro'!$H$2:$H$1795,$N1703),IF(J1703&lt;=50,INDEX('Tabela Passaro'!$I$2:$I$1795,$N1703),IF(J1703&lt;=70,INDEX('Tabela Passaro'!$J$2:$J$1795,$N1703),IF(J1703&lt;=100,INDEX('Tabela Passaro'!$K$2:$K$1795,$N1703),INDEX('Tabela Passaro'!$K$2:$K$1795,$N1703)+(J1703-100)*INDEX('Tabela Passaro'!$L$2:$L$1795,$N1703))))))</f>
        <v>146.44</v>
      </c>
      <c r="S1703" s="32" t="n">
        <f aca="false">K1703*INDEX('Tabela Passaro'!$M$2:$M$1795,$N1703)</f>
        <v>3.62205</v>
      </c>
      <c r="T1703" s="32" t="n">
        <f aca="false">K1703*INDEX('Tabela Passaro'!$N$2:$N$1795,$N1703)</f>
        <v>1.44882</v>
      </c>
      <c r="U1703" s="32" t="n">
        <f aca="false">INDEX('Tabela Passaro'!$O$2:$O$1795,$N1703)</f>
        <v>5</v>
      </c>
      <c r="V1703" s="32" t="n">
        <f aca="false">ROUNDUP(J1703/INDEX('Tabela Passaro'!$Q$2:$Q$1795,$N1703),0)*INDEX('Tabela Passaro'!$P$2:$P$1795,$N1703)</f>
        <v>5</v>
      </c>
      <c r="W1703" s="32" t="n">
        <f aca="false">INDEX('Tabela Passaro'!$R$2:$R$1795,$N1703)</f>
        <v>30</v>
      </c>
      <c r="X1703" s="32" t="n">
        <f aca="false">ROUNDUP(J1703/INDEX('Tabela Passaro'!$T$2:$T$1795,$N1703),0)*INDEX('Tabela Passaro'!$S$2:$S$1795,$N1703)</f>
        <v>0</v>
      </c>
      <c r="Y1703" s="32" t="n">
        <f aca="false">INDEX('Tabela Passaro'!$U$2:$U$1795,$N1703)</f>
        <v>0</v>
      </c>
      <c r="Z1703" s="32" t="n">
        <f aca="false">INDEX('Tabela Passaro'!$V$2:$V$1795,$N1703)</f>
        <v>0</v>
      </c>
      <c r="AA1703" s="32" t="n">
        <f aca="false">SUM(R1703:Z1703)</f>
        <v>191.51087</v>
      </c>
      <c r="AB1703" s="33" t="n">
        <f aca="false">INDEX(Premissas!$B$5:$B$13,MATCH(A1703,Premissas!$A$5:$A$13,0))</f>
        <v>0.07</v>
      </c>
      <c r="AC1703" s="32" t="n">
        <f aca="false">AA1703/(1-AB1703)-AA1703</f>
        <v>14.4147966666667</v>
      </c>
      <c r="AD1703" s="32" t="n">
        <f aca="false">ROUND(AA1703+AC1703,2)</f>
        <v>205.93</v>
      </c>
      <c r="AE1703" s="32" t="n">
        <f aca="false">AD1703-L1703</f>
        <v>32.46</v>
      </c>
      <c r="AF1703" s="34" t="n">
        <f aca="false">IF(L1703=0,0,AE1703/L1703)</f>
        <v>0.187121692511674</v>
      </c>
      <c r="AG1703" s="22" t="str">
        <f aca="false">IF(AD1703&lt;L1703,"PASSARO","ATUAL")</f>
        <v>ATUAL</v>
      </c>
      <c r="AH1703" s="22" t="str">
        <f aca="false">IF(P1703&lt;&gt;A1703,"Faixa cadastrada como "&amp;P1703&amp;" na tabela; preço aplicado pela UF do CEP","")</f>
        <v/>
      </c>
      <c r="AI1703" s="26" t="n">
        <v>239.3</v>
      </c>
      <c r="AJ1703" s="22" t="str">
        <f aca="false">INDEX('Tabela Passaro'!$X$2:$X$1795,$N1703)</f>
        <v>INTERIOR 2</v>
      </c>
    </row>
    <row r="1704" customFormat="false" ht="15" hidden="false" customHeight="false" outlineLevel="0" collapsed="false">
      <c r="A1704" s="22" t="s">
        <v>22</v>
      </c>
      <c r="B1704" s="22" t="n">
        <v>2</v>
      </c>
      <c r="C1704" s="22" t="s">
        <v>184</v>
      </c>
      <c r="D1704" s="22" t="s">
        <v>30</v>
      </c>
      <c r="E1704" s="22" t="s">
        <v>7326</v>
      </c>
      <c r="F1704" s="22" t="n">
        <v>527347</v>
      </c>
      <c r="G1704" s="30" t="n">
        <v>46259</v>
      </c>
      <c r="H1704" s="22" t="n">
        <v>628800</v>
      </c>
      <c r="I1704" s="22" t="s">
        <v>8877</v>
      </c>
      <c r="J1704" s="31" t="n">
        <v>73.1</v>
      </c>
      <c r="K1704" s="26" t="n">
        <v>1121.24</v>
      </c>
      <c r="L1704" s="26" t="n">
        <v>320.37</v>
      </c>
      <c r="M1704" s="22" t="s">
        <v>6864</v>
      </c>
      <c r="N1704" s="22" t="n">
        <f aca="false">MATCH(M1704,'Tabela Passaro'!$A$2:$A$1795,0)</f>
        <v>1679</v>
      </c>
      <c r="O1704" s="22" t="str">
        <f aca="false">INDEX('Tabela Passaro'!$C$2:$C$1795,$N1704)</f>
        <v>PARNAMIRIM</v>
      </c>
      <c r="P1704" s="22" t="str">
        <f aca="false">INDEX('Tabela Passaro'!$B$2:$B$1795,$N1704)</f>
        <v>RN</v>
      </c>
      <c r="Q1704" s="22" t="n">
        <f aca="false">INDEX('Tabela Passaro'!$F$2:$F$1795,$N1704)</f>
        <v>9</v>
      </c>
      <c r="R1704" s="32" t="n">
        <f aca="false">IF(J1704&lt;=10,INDEX('Tabela Passaro'!$G$2:$G$1795,$N1704),IF(J1704&lt;=30,INDEX('Tabela Passaro'!$H$2:$H$1795,$N1704),IF(J1704&lt;=50,INDEX('Tabela Passaro'!$I$2:$I$1795,$N1704),IF(J1704&lt;=70,INDEX('Tabela Passaro'!$J$2:$J$1795,$N1704),IF(J1704&lt;=100,INDEX('Tabela Passaro'!$K$2:$K$1795,$N1704),INDEX('Tabela Passaro'!$K$2:$K$1795,$N1704)+(J1704-100)*INDEX('Tabela Passaro'!$L$2:$L$1795,$N1704))))))</f>
        <v>171.48</v>
      </c>
      <c r="S1704" s="32" t="n">
        <f aca="false">K1704*INDEX('Tabela Passaro'!$M$2:$M$1795,$N1704)</f>
        <v>5.6062</v>
      </c>
      <c r="T1704" s="32" t="n">
        <f aca="false">K1704*INDEX('Tabela Passaro'!$N$2:$N$1795,$N1704)</f>
        <v>2.24248</v>
      </c>
      <c r="U1704" s="32" t="n">
        <f aca="false">INDEX('Tabela Passaro'!$O$2:$O$1795,$N1704)</f>
        <v>5</v>
      </c>
      <c r="V1704" s="32" t="n">
        <f aca="false">ROUNDUP(J1704/INDEX('Tabela Passaro'!$Q$2:$Q$1795,$N1704),0)*INDEX('Tabela Passaro'!$P$2:$P$1795,$N1704)</f>
        <v>5</v>
      </c>
      <c r="W1704" s="32" t="n">
        <f aca="false">INDEX('Tabela Passaro'!$R$2:$R$1795,$N1704)</f>
        <v>30</v>
      </c>
      <c r="X1704" s="32" t="n">
        <f aca="false">ROUNDUP(J1704/INDEX('Tabela Passaro'!$T$2:$T$1795,$N1704),0)*INDEX('Tabela Passaro'!$S$2:$S$1795,$N1704)</f>
        <v>0</v>
      </c>
      <c r="Y1704" s="32" t="n">
        <f aca="false">INDEX('Tabela Passaro'!$U$2:$U$1795,$N1704)</f>
        <v>0</v>
      </c>
      <c r="Z1704" s="32" t="n">
        <f aca="false">INDEX('Tabela Passaro'!$V$2:$V$1795,$N1704)</f>
        <v>0</v>
      </c>
      <c r="AA1704" s="32" t="n">
        <f aca="false">SUM(R1704:Z1704)</f>
        <v>219.32868</v>
      </c>
      <c r="AB1704" s="33" t="n">
        <f aca="false">INDEX(Premissas!$B$5:$B$13,MATCH(A1704,Premissas!$A$5:$A$13,0))</f>
        <v>0.07</v>
      </c>
      <c r="AC1704" s="32" t="n">
        <f aca="false">AA1704/(1-AB1704)-AA1704</f>
        <v>16.5086103225807</v>
      </c>
      <c r="AD1704" s="32" t="n">
        <f aca="false">ROUND(AA1704+AC1704,2)</f>
        <v>235.84</v>
      </c>
      <c r="AE1704" s="32" t="n">
        <f aca="false">AD1704-L1704</f>
        <v>-84.53</v>
      </c>
      <c r="AF1704" s="34" t="n">
        <f aca="false">IF(L1704=0,0,AE1704/L1704)</f>
        <v>-0.26385117208228</v>
      </c>
      <c r="AG1704" s="22" t="str">
        <f aca="false">IF(AD1704&lt;L1704,"PASSARO","ATUAL")</f>
        <v>PASSARO</v>
      </c>
      <c r="AH1704" s="22" t="str">
        <f aca="false">IF(P1704&lt;&gt;A1704,"Faixa cadastrada como "&amp;P1704&amp;" na tabela; preço aplicado pela UF do CEP","")</f>
        <v/>
      </c>
      <c r="AI1704" s="26" t="n">
        <v>293.32</v>
      </c>
      <c r="AJ1704" s="22" t="str">
        <f aca="false">INDEX('Tabela Passaro'!$X$2:$X$1795,$N1704)</f>
        <v>INTERIOR 2</v>
      </c>
    </row>
    <row r="1705" customFormat="false" ht="15" hidden="false" customHeight="false" outlineLevel="0" collapsed="false">
      <c r="A1705" s="22" t="s">
        <v>22</v>
      </c>
      <c r="B1705" s="22" t="n">
        <v>2</v>
      </c>
      <c r="C1705" s="22" t="s">
        <v>184</v>
      </c>
      <c r="D1705" s="22" t="s">
        <v>30</v>
      </c>
      <c r="E1705" s="22" t="s">
        <v>7326</v>
      </c>
      <c r="F1705" s="22" t="n">
        <v>528328</v>
      </c>
      <c r="G1705" s="30" t="n">
        <v>46262</v>
      </c>
      <c r="H1705" s="22" t="n">
        <v>630325</v>
      </c>
      <c r="I1705" s="22" t="s">
        <v>8878</v>
      </c>
      <c r="J1705" s="31" t="n">
        <v>27.05</v>
      </c>
      <c r="K1705" s="26" t="n">
        <v>586.24</v>
      </c>
      <c r="L1705" s="26" t="n">
        <v>142.26</v>
      </c>
      <c r="M1705" s="22" t="s">
        <v>6864</v>
      </c>
      <c r="N1705" s="22" t="n">
        <f aca="false">MATCH(M1705,'Tabela Passaro'!$A$2:$A$1795,0)</f>
        <v>1679</v>
      </c>
      <c r="O1705" s="22" t="str">
        <f aca="false">INDEX('Tabela Passaro'!$C$2:$C$1795,$N1705)</f>
        <v>PARNAMIRIM</v>
      </c>
      <c r="P1705" s="22" t="str">
        <f aca="false">INDEX('Tabela Passaro'!$B$2:$B$1795,$N1705)</f>
        <v>RN</v>
      </c>
      <c r="Q1705" s="22" t="n">
        <f aca="false">INDEX('Tabela Passaro'!$F$2:$F$1795,$N1705)</f>
        <v>9</v>
      </c>
      <c r="R1705" s="32" t="n">
        <f aca="false">IF(J1705&lt;=10,INDEX('Tabela Passaro'!$G$2:$G$1795,$N1705),IF(J1705&lt;=30,INDEX('Tabela Passaro'!$H$2:$H$1795,$N1705),IF(J1705&lt;=50,INDEX('Tabela Passaro'!$I$2:$I$1795,$N1705),IF(J1705&lt;=70,INDEX('Tabela Passaro'!$J$2:$J$1795,$N1705),IF(J1705&lt;=100,INDEX('Tabela Passaro'!$K$2:$K$1795,$N1705),INDEX('Tabela Passaro'!$K$2:$K$1795,$N1705)+(J1705-100)*INDEX('Tabela Passaro'!$L$2:$L$1795,$N1705))))))</f>
        <v>126.41</v>
      </c>
      <c r="S1705" s="32" t="n">
        <f aca="false">K1705*INDEX('Tabela Passaro'!$M$2:$M$1795,$N1705)</f>
        <v>2.9312</v>
      </c>
      <c r="T1705" s="32" t="n">
        <f aca="false">K1705*INDEX('Tabela Passaro'!$N$2:$N$1795,$N1705)</f>
        <v>1.17248</v>
      </c>
      <c r="U1705" s="32" t="n">
        <f aca="false">INDEX('Tabela Passaro'!$O$2:$O$1795,$N1705)</f>
        <v>5</v>
      </c>
      <c r="V1705" s="32" t="n">
        <f aca="false">ROUNDUP(J1705/INDEX('Tabela Passaro'!$Q$2:$Q$1795,$N1705),0)*INDEX('Tabela Passaro'!$P$2:$P$1795,$N1705)</f>
        <v>5</v>
      </c>
      <c r="W1705" s="32" t="n">
        <f aca="false">INDEX('Tabela Passaro'!$R$2:$R$1795,$N1705)</f>
        <v>30</v>
      </c>
      <c r="X1705" s="32" t="n">
        <f aca="false">ROUNDUP(J1705/INDEX('Tabela Passaro'!$T$2:$T$1795,$N1705),0)*INDEX('Tabela Passaro'!$S$2:$S$1795,$N1705)</f>
        <v>0</v>
      </c>
      <c r="Y1705" s="32" t="n">
        <f aca="false">INDEX('Tabela Passaro'!$U$2:$U$1795,$N1705)</f>
        <v>0</v>
      </c>
      <c r="Z1705" s="32" t="n">
        <f aca="false">INDEX('Tabela Passaro'!$V$2:$V$1795,$N1705)</f>
        <v>0</v>
      </c>
      <c r="AA1705" s="32" t="n">
        <f aca="false">SUM(R1705:Z1705)</f>
        <v>170.51368</v>
      </c>
      <c r="AB1705" s="33" t="n">
        <f aca="false">INDEX(Premissas!$B$5:$B$13,MATCH(A1705,Premissas!$A$5:$A$13,0))</f>
        <v>0.07</v>
      </c>
      <c r="AC1705" s="32" t="n">
        <f aca="false">AA1705/(1-AB1705)-AA1705</f>
        <v>12.8343630107527</v>
      </c>
      <c r="AD1705" s="32" t="n">
        <f aca="false">ROUND(AA1705+AC1705,2)</f>
        <v>183.35</v>
      </c>
      <c r="AE1705" s="32" t="n">
        <f aca="false">AD1705-L1705</f>
        <v>41.09</v>
      </c>
      <c r="AF1705" s="34" t="n">
        <f aca="false">IF(L1705=0,0,AE1705/L1705)</f>
        <v>0.288837340081541</v>
      </c>
      <c r="AG1705" s="22" t="str">
        <f aca="false">IF(AD1705&lt;L1705,"PASSARO","ATUAL")</f>
        <v>ATUAL</v>
      </c>
      <c r="AH1705" s="22" t="str">
        <f aca="false">IF(P1705&lt;&gt;A1705,"Faixa cadastrada como "&amp;P1705&amp;" na tabela; preço aplicado pela UF do CEP","")</f>
        <v/>
      </c>
      <c r="AI1705" s="26" t="n">
        <v>209.52</v>
      </c>
      <c r="AJ1705" s="22" t="str">
        <f aca="false">INDEX('Tabela Passaro'!$X$2:$X$1795,$N1705)</f>
        <v>INTERIOR 2</v>
      </c>
    </row>
    <row r="1706" customFormat="false" ht="15" hidden="false" customHeight="false" outlineLevel="0" collapsed="false">
      <c r="A1706" s="22" t="s">
        <v>22</v>
      </c>
      <c r="B1706" s="22" t="n">
        <v>2</v>
      </c>
      <c r="C1706" s="22" t="s">
        <v>184</v>
      </c>
      <c r="D1706" s="22" t="s">
        <v>30</v>
      </c>
      <c r="E1706" s="22" t="s">
        <v>20</v>
      </c>
      <c r="F1706" s="22" t="n">
        <v>840608</v>
      </c>
      <c r="G1706" s="30" t="n">
        <v>46265</v>
      </c>
      <c r="H1706" s="22" t="n">
        <v>32809</v>
      </c>
      <c r="I1706" s="22" t="s">
        <v>8879</v>
      </c>
      <c r="J1706" s="31" t="n">
        <v>27.6</v>
      </c>
      <c r="K1706" s="26" t="n">
        <v>671.62</v>
      </c>
      <c r="L1706" s="26" t="n">
        <v>122.33</v>
      </c>
      <c r="M1706" s="22" t="s">
        <v>6864</v>
      </c>
      <c r="N1706" s="22" t="n">
        <f aca="false">MATCH(M1706,'Tabela Passaro'!$A$2:$A$1795,0)</f>
        <v>1679</v>
      </c>
      <c r="O1706" s="22" t="str">
        <f aca="false">INDEX('Tabela Passaro'!$C$2:$C$1795,$N1706)</f>
        <v>PARNAMIRIM</v>
      </c>
      <c r="P1706" s="22" t="str">
        <f aca="false">INDEX('Tabela Passaro'!$B$2:$B$1795,$N1706)</f>
        <v>RN</v>
      </c>
      <c r="Q1706" s="22" t="n">
        <f aca="false">INDEX('Tabela Passaro'!$F$2:$F$1795,$N1706)</f>
        <v>9</v>
      </c>
      <c r="R1706" s="32" t="n">
        <f aca="false">IF(J1706&lt;=10,INDEX('Tabela Passaro'!$G$2:$G$1795,$N1706),IF(J1706&lt;=30,INDEX('Tabela Passaro'!$H$2:$H$1795,$N1706),IF(J1706&lt;=50,INDEX('Tabela Passaro'!$I$2:$I$1795,$N1706),IF(J1706&lt;=70,INDEX('Tabela Passaro'!$J$2:$J$1795,$N1706),IF(J1706&lt;=100,INDEX('Tabela Passaro'!$K$2:$K$1795,$N1706),INDEX('Tabela Passaro'!$K$2:$K$1795,$N1706)+(J1706-100)*INDEX('Tabela Passaro'!$L$2:$L$1795,$N1706))))))</f>
        <v>126.41</v>
      </c>
      <c r="S1706" s="32" t="n">
        <f aca="false">K1706*INDEX('Tabela Passaro'!$M$2:$M$1795,$N1706)</f>
        <v>3.3581</v>
      </c>
      <c r="T1706" s="32" t="n">
        <f aca="false">K1706*INDEX('Tabela Passaro'!$N$2:$N$1795,$N1706)</f>
        <v>1.34324</v>
      </c>
      <c r="U1706" s="32" t="n">
        <f aca="false">INDEX('Tabela Passaro'!$O$2:$O$1795,$N1706)</f>
        <v>5</v>
      </c>
      <c r="V1706" s="32" t="n">
        <f aca="false">ROUNDUP(J1706/INDEX('Tabela Passaro'!$Q$2:$Q$1795,$N1706),0)*INDEX('Tabela Passaro'!$P$2:$P$1795,$N1706)</f>
        <v>5</v>
      </c>
      <c r="W1706" s="32" t="n">
        <f aca="false">INDEX('Tabela Passaro'!$R$2:$R$1795,$N1706)</f>
        <v>30</v>
      </c>
      <c r="X1706" s="32" t="n">
        <f aca="false">ROUNDUP(J1706/INDEX('Tabela Passaro'!$T$2:$T$1795,$N1706),0)*INDEX('Tabela Passaro'!$S$2:$S$1795,$N1706)</f>
        <v>0</v>
      </c>
      <c r="Y1706" s="32" t="n">
        <f aca="false">INDEX('Tabela Passaro'!$U$2:$U$1795,$N1706)</f>
        <v>0</v>
      </c>
      <c r="Z1706" s="32" t="n">
        <f aca="false">INDEX('Tabela Passaro'!$V$2:$V$1795,$N1706)</f>
        <v>0</v>
      </c>
      <c r="AA1706" s="32" t="n">
        <f aca="false">SUM(R1706:Z1706)</f>
        <v>171.11134</v>
      </c>
      <c r="AB1706" s="33" t="n">
        <f aca="false">INDEX(Premissas!$B$5:$B$13,MATCH(A1706,Premissas!$A$5:$A$13,0))</f>
        <v>0.07</v>
      </c>
      <c r="AC1706" s="32" t="n">
        <f aca="false">AA1706/(1-AB1706)-AA1706</f>
        <v>12.879348172043</v>
      </c>
      <c r="AD1706" s="32" t="n">
        <f aca="false">ROUND(AA1706+AC1706,2)</f>
        <v>183.99</v>
      </c>
      <c r="AE1706" s="32" t="n">
        <f aca="false">AD1706-L1706</f>
        <v>61.66</v>
      </c>
      <c r="AF1706" s="34" t="n">
        <f aca="false">IF(L1706=0,0,AE1706/L1706)</f>
        <v>0.504046431782882</v>
      </c>
      <c r="AG1706" s="22" t="str">
        <f aca="false">IF(AD1706&lt;L1706,"PASSARO","ATUAL")</f>
        <v>ATUAL</v>
      </c>
      <c r="AH1706" s="22" t="str">
        <f aca="false">IF(P1706&lt;&gt;A1706,"Faixa cadastrada como "&amp;P1706&amp;" na tabela; preço aplicado pela UF do CEP","")</f>
        <v/>
      </c>
      <c r="AI1706" s="26" t="n">
        <v>210.35</v>
      </c>
      <c r="AJ1706" s="22" t="str">
        <f aca="false">INDEX('Tabela Passaro'!$X$2:$X$1795,$N1706)</f>
        <v>INTERIOR 2</v>
      </c>
    </row>
    <row r="1707" customFormat="false" ht="15" hidden="false" customHeight="false" outlineLevel="0" collapsed="false">
      <c r="A1707" s="22" t="s">
        <v>22</v>
      </c>
      <c r="B1707" s="22" t="n">
        <v>2</v>
      </c>
      <c r="C1707" s="22" t="s">
        <v>184</v>
      </c>
      <c r="D1707" s="22" t="s">
        <v>31</v>
      </c>
      <c r="E1707" s="22" t="s">
        <v>7326</v>
      </c>
      <c r="F1707" s="22" t="n">
        <v>12756002</v>
      </c>
      <c r="G1707" s="30" t="n">
        <v>46244</v>
      </c>
      <c r="H1707" s="22" t="n">
        <v>621876</v>
      </c>
      <c r="I1707" s="22" t="s">
        <v>8880</v>
      </c>
      <c r="J1707" s="31" t="n">
        <v>21.75</v>
      </c>
      <c r="K1707" s="26" t="n">
        <v>473.09</v>
      </c>
      <c r="L1707" s="26" t="n">
        <v>82.7</v>
      </c>
      <c r="M1707" s="22" t="s">
        <v>6864</v>
      </c>
      <c r="N1707" s="22" t="n">
        <f aca="false">MATCH(M1707,'Tabela Passaro'!$A$2:$A$1795,0)</f>
        <v>1679</v>
      </c>
      <c r="O1707" s="22" t="str">
        <f aca="false">INDEX('Tabela Passaro'!$C$2:$C$1795,$N1707)</f>
        <v>PARNAMIRIM</v>
      </c>
      <c r="P1707" s="22" t="str">
        <f aca="false">INDEX('Tabela Passaro'!$B$2:$B$1795,$N1707)</f>
        <v>RN</v>
      </c>
      <c r="Q1707" s="22" t="n">
        <f aca="false">INDEX('Tabela Passaro'!$F$2:$F$1795,$N1707)</f>
        <v>9</v>
      </c>
      <c r="R1707" s="32" t="n">
        <f aca="false">IF(J1707&lt;=10,INDEX('Tabela Passaro'!$G$2:$G$1795,$N1707),IF(J1707&lt;=30,INDEX('Tabela Passaro'!$H$2:$H$1795,$N1707),IF(J1707&lt;=50,INDEX('Tabela Passaro'!$I$2:$I$1795,$N1707),IF(J1707&lt;=70,INDEX('Tabela Passaro'!$J$2:$J$1795,$N1707),IF(J1707&lt;=100,INDEX('Tabela Passaro'!$K$2:$K$1795,$N1707),INDEX('Tabela Passaro'!$K$2:$K$1795,$N1707)+(J1707-100)*INDEX('Tabela Passaro'!$L$2:$L$1795,$N1707))))))</f>
        <v>126.41</v>
      </c>
      <c r="S1707" s="32" t="n">
        <f aca="false">K1707*INDEX('Tabela Passaro'!$M$2:$M$1795,$N1707)</f>
        <v>2.36545</v>
      </c>
      <c r="T1707" s="32" t="n">
        <f aca="false">K1707*INDEX('Tabela Passaro'!$N$2:$N$1795,$N1707)</f>
        <v>0.94618</v>
      </c>
      <c r="U1707" s="32" t="n">
        <f aca="false">INDEX('Tabela Passaro'!$O$2:$O$1795,$N1707)</f>
        <v>5</v>
      </c>
      <c r="V1707" s="32" t="n">
        <f aca="false">ROUNDUP(J1707/INDEX('Tabela Passaro'!$Q$2:$Q$1795,$N1707),0)*INDEX('Tabela Passaro'!$P$2:$P$1795,$N1707)</f>
        <v>5</v>
      </c>
      <c r="W1707" s="32" t="n">
        <f aca="false">INDEX('Tabela Passaro'!$R$2:$R$1795,$N1707)</f>
        <v>30</v>
      </c>
      <c r="X1707" s="32" t="n">
        <f aca="false">ROUNDUP(J1707/INDEX('Tabela Passaro'!$T$2:$T$1795,$N1707),0)*INDEX('Tabela Passaro'!$S$2:$S$1795,$N1707)</f>
        <v>0</v>
      </c>
      <c r="Y1707" s="32" t="n">
        <f aca="false">INDEX('Tabela Passaro'!$U$2:$U$1795,$N1707)</f>
        <v>0</v>
      </c>
      <c r="Z1707" s="32" t="n">
        <f aca="false">INDEX('Tabela Passaro'!$V$2:$V$1795,$N1707)</f>
        <v>0</v>
      </c>
      <c r="AA1707" s="32" t="n">
        <f aca="false">SUM(R1707:Z1707)</f>
        <v>169.72163</v>
      </c>
      <c r="AB1707" s="33" t="n">
        <f aca="false">INDEX(Premissas!$B$5:$B$13,MATCH(A1707,Premissas!$A$5:$A$13,0))</f>
        <v>0.07</v>
      </c>
      <c r="AC1707" s="32" t="n">
        <f aca="false">AA1707/(1-AB1707)-AA1707</f>
        <v>12.774746344086</v>
      </c>
      <c r="AD1707" s="32" t="n">
        <f aca="false">ROUND(AA1707+AC1707,2)</f>
        <v>182.5</v>
      </c>
      <c r="AE1707" s="32" t="n">
        <f aca="false">AD1707-L1707</f>
        <v>99.8</v>
      </c>
      <c r="AF1707" s="34" t="n">
        <f aca="false">IF(L1707=0,0,AE1707/L1707)</f>
        <v>1.20677146311971</v>
      </c>
      <c r="AG1707" s="22" t="str">
        <f aca="false">IF(AD1707&lt;L1707,"PASSARO","ATUAL")</f>
        <v>ATUAL</v>
      </c>
      <c r="AH1707" s="22" t="str">
        <f aca="false">IF(P1707&lt;&gt;A1707,"Faixa cadastrada como "&amp;P1707&amp;" na tabela; preço aplicado pela UF do CEP","")</f>
        <v/>
      </c>
      <c r="AI1707" s="26" t="n">
        <v>205.52</v>
      </c>
      <c r="AJ1707" s="22" t="str">
        <f aca="false">INDEX('Tabela Passaro'!$X$2:$X$1795,$N1707)</f>
        <v>INTERIOR 2</v>
      </c>
    </row>
    <row r="1708" customFormat="false" ht="15" hidden="false" customHeight="false" outlineLevel="0" collapsed="false">
      <c r="A1708" s="22" t="s">
        <v>22</v>
      </c>
      <c r="B1708" s="22" t="n">
        <v>2</v>
      </c>
      <c r="C1708" s="22" t="s">
        <v>184</v>
      </c>
      <c r="D1708" s="22" t="s">
        <v>31</v>
      </c>
      <c r="E1708" s="22" t="s">
        <v>7326</v>
      </c>
      <c r="F1708" s="22" t="n">
        <v>12766716</v>
      </c>
      <c r="G1708" s="30" t="n">
        <v>46245</v>
      </c>
      <c r="H1708" s="22" t="n">
        <v>622582</v>
      </c>
      <c r="I1708" s="22" t="s">
        <v>8881</v>
      </c>
      <c r="J1708" s="31" t="n">
        <v>17.2</v>
      </c>
      <c r="K1708" s="26" t="n">
        <v>317.54</v>
      </c>
      <c r="L1708" s="26" t="n">
        <v>75.51</v>
      </c>
      <c r="M1708" s="22" t="s">
        <v>6864</v>
      </c>
      <c r="N1708" s="22" t="n">
        <f aca="false">MATCH(M1708,'Tabela Passaro'!$A$2:$A$1795,0)</f>
        <v>1679</v>
      </c>
      <c r="O1708" s="22" t="str">
        <f aca="false">INDEX('Tabela Passaro'!$C$2:$C$1795,$N1708)</f>
        <v>PARNAMIRIM</v>
      </c>
      <c r="P1708" s="22" t="str">
        <f aca="false">INDEX('Tabela Passaro'!$B$2:$B$1795,$N1708)</f>
        <v>RN</v>
      </c>
      <c r="Q1708" s="22" t="n">
        <f aca="false">INDEX('Tabela Passaro'!$F$2:$F$1795,$N1708)</f>
        <v>9</v>
      </c>
      <c r="R1708" s="32" t="n">
        <f aca="false">IF(J1708&lt;=10,INDEX('Tabela Passaro'!$G$2:$G$1795,$N1708),IF(J1708&lt;=30,INDEX('Tabela Passaro'!$H$2:$H$1795,$N1708),IF(J1708&lt;=50,INDEX('Tabela Passaro'!$I$2:$I$1795,$N1708),IF(J1708&lt;=70,INDEX('Tabela Passaro'!$J$2:$J$1795,$N1708),IF(J1708&lt;=100,INDEX('Tabela Passaro'!$K$2:$K$1795,$N1708),INDEX('Tabela Passaro'!$K$2:$K$1795,$N1708)+(J1708-100)*INDEX('Tabela Passaro'!$L$2:$L$1795,$N1708))))))</f>
        <v>126.41</v>
      </c>
      <c r="S1708" s="32" t="n">
        <f aca="false">K1708*INDEX('Tabela Passaro'!$M$2:$M$1795,$N1708)</f>
        <v>1.5877</v>
      </c>
      <c r="T1708" s="32" t="n">
        <f aca="false">K1708*INDEX('Tabela Passaro'!$N$2:$N$1795,$N1708)</f>
        <v>0.63508</v>
      </c>
      <c r="U1708" s="32" t="n">
        <f aca="false">INDEX('Tabela Passaro'!$O$2:$O$1795,$N1708)</f>
        <v>5</v>
      </c>
      <c r="V1708" s="32" t="n">
        <f aca="false">ROUNDUP(J1708/INDEX('Tabela Passaro'!$Q$2:$Q$1795,$N1708),0)*INDEX('Tabela Passaro'!$P$2:$P$1795,$N1708)</f>
        <v>5</v>
      </c>
      <c r="W1708" s="32" t="n">
        <f aca="false">INDEX('Tabela Passaro'!$R$2:$R$1795,$N1708)</f>
        <v>30</v>
      </c>
      <c r="X1708" s="32" t="n">
        <f aca="false">ROUNDUP(J1708/INDEX('Tabela Passaro'!$T$2:$T$1795,$N1708),0)*INDEX('Tabela Passaro'!$S$2:$S$1795,$N1708)</f>
        <v>0</v>
      </c>
      <c r="Y1708" s="32" t="n">
        <f aca="false">INDEX('Tabela Passaro'!$U$2:$U$1795,$N1708)</f>
        <v>0</v>
      </c>
      <c r="Z1708" s="32" t="n">
        <f aca="false">INDEX('Tabela Passaro'!$V$2:$V$1795,$N1708)</f>
        <v>0</v>
      </c>
      <c r="AA1708" s="32" t="n">
        <f aca="false">SUM(R1708:Z1708)</f>
        <v>168.63278</v>
      </c>
      <c r="AB1708" s="33" t="n">
        <f aca="false">INDEX(Premissas!$B$5:$B$13,MATCH(A1708,Premissas!$A$5:$A$13,0))</f>
        <v>0.07</v>
      </c>
      <c r="AC1708" s="32" t="n">
        <f aca="false">AA1708/(1-AB1708)-AA1708</f>
        <v>12.6927898924731</v>
      </c>
      <c r="AD1708" s="32" t="n">
        <f aca="false">ROUND(AA1708+AC1708,2)</f>
        <v>181.33</v>
      </c>
      <c r="AE1708" s="32" t="n">
        <f aca="false">AD1708-L1708</f>
        <v>105.82</v>
      </c>
      <c r="AF1708" s="34" t="n">
        <f aca="false">IF(L1708=0,0,AE1708/L1708)</f>
        <v>1.4014037875778</v>
      </c>
      <c r="AG1708" s="22" t="str">
        <f aca="false">IF(AD1708&lt;L1708,"PASSARO","ATUAL")</f>
        <v>ATUAL</v>
      </c>
      <c r="AH1708" s="22" t="str">
        <f aca="false">IF(P1708&lt;&gt;A1708,"Faixa cadastrada como "&amp;P1708&amp;" na tabela; preço aplicado pela UF do CEP","")</f>
        <v/>
      </c>
      <c r="AI1708" s="26" t="n">
        <v>202.08</v>
      </c>
      <c r="AJ1708" s="22" t="str">
        <f aca="false">INDEX('Tabela Passaro'!$X$2:$X$1795,$N1708)</f>
        <v>INTERIOR 2</v>
      </c>
    </row>
    <row r="1709" customFormat="false" ht="15" hidden="false" customHeight="false" outlineLevel="0" collapsed="false">
      <c r="A1709" s="22" t="s">
        <v>22</v>
      </c>
      <c r="B1709" s="22" t="n">
        <v>2</v>
      </c>
      <c r="C1709" s="22" t="s">
        <v>184</v>
      </c>
      <c r="D1709" s="22" t="s">
        <v>31</v>
      </c>
      <c r="E1709" s="22" t="s">
        <v>7326</v>
      </c>
      <c r="F1709" s="22" t="n">
        <v>12766254</v>
      </c>
      <c r="G1709" s="30" t="n">
        <v>46245</v>
      </c>
      <c r="H1709" s="22" t="n">
        <v>622642</v>
      </c>
      <c r="I1709" s="22" t="s">
        <v>8876</v>
      </c>
      <c r="J1709" s="31" t="n">
        <v>17.2</v>
      </c>
      <c r="K1709" s="26" t="n">
        <v>339.84</v>
      </c>
      <c r="L1709" s="26" t="n">
        <v>75.58</v>
      </c>
      <c r="M1709" s="22" t="s">
        <v>6864</v>
      </c>
      <c r="N1709" s="22" t="n">
        <f aca="false">MATCH(M1709,'Tabela Passaro'!$A$2:$A$1795,0)</f>
        <v>1679</v>
      </c>
      <c r="O1709" s="22" t="str">
        <f aca="false">INDEX('Tabela Passaro'!$C$2:$C$1795,$N1709)</f>
        <v>PARNAMIRIM</v>
      </c>
      <c r="P1709" s="22" t="str">
        <f aca="false">INDEX('Tabela Passaro'!$B$2:$B$1795,$N1709)</f>
        <v>RN</v>
      </c>
      <c r="Q1709" s="22" t="n">
        <f aca="false">INDEX('Tabela Passaro'!$F$2:$F$1795,$N1709)</f>
        <v>9</v>
      </c>
      <c r="R1709" s="32" t="n">
        <f aca="false">IF(J1709&lt;=10,INDEX('Tabela Passaro'!$G$2:$G$1795,$N1709),IF(J1709&lt;=30,INDEX('Tabela Passaro'!$H$2:$H$1795,$N1709),IF(J1709&lt;=50,INDEX('Tabela Passaro'!$I$2:$I$1795,$N1709),IF(J1709&lt;=70,INDEX('Tabela Passaro'!$J$2:$J$1795,$N1709),IF(J1709&lt;=100,INDEX('Tabela Passaro'!$K$2:$K$1795,$N1709),INDEX('Tabela Passaro'!$K$2:$K$1795,$N1709)+(J1709-100)*INDEX('Tabela Passaro'!$L$2:$L$1795,$N1709))))))</f>
        <v>126.41</v>
      </c>
      <c r="S1709" s="32" t="n">
        <f aca="false">K1709*INDEX('Tabela Passaro'!$M$2:$M$1795,$N1709)</f>
        <v>1.6992</v>
      </c>
      <c r="T1709" s="32" t="n">
        <f aca="false">K1709*INDEX('Tabela Passaro'!$N$2:$N$1795,$N1709)</f>
        <v>0.67968</v>
      </c>
      <c r="U1709" s="32" t="n">
        <f aca="false">INDEX('Tabela Passaro'!$O$2:$O$1795,$N1709)</f>
        <v>5</v>
      </c>
      <c r="V1709" s="32" t="n">
        <f aca="false">ROUNDUP(J1709/INDEX('Tabela Passaro'!$Q$2:$Q$1795,$N1709),0)*INDEX('Tabela Passaro'!$P$2:$P$1795,$N1709)</f>
        <v>5</v>
      </c>
      <c r="W1709" s="32" t="n">
        <f aca="false">INDEX('Tabela Passaro'!$R$2:$R$1795,$N1709)</f>
        <v>30</v>
      </c>
      <c r="X1709" s="32" t="n">
        <f aca="false">ROUNDUP(J1709/INDEX('Tabela Passaro'!$T$2:$T$1795,$N1709),0)*INDEX('Tabela Passaro'!$S$2:$S$1795,$N1709)</f>
        <v>0</v>
      </c>
      <c r="Y1709" s="32" t="n">
        <f aca="false">INDEX('Tabela Passaro'!$U$2:$U$1795,$N1709)</f>
        <v>0</v>
      </c>
      <c r="Z1709" s="32" t="n">
        <f aca="false">INDEX('Tabela Passaro'!$V$2:$V$1795,$N1709)</f>
        <v>0</v>
      </c>
      <c r="AA1709" s="32" t="n">
        <f aca="false">SUM(R1709:Z1709)</f>
        <v>168.78888</v>
      </c>
      <c r="AB1709" s="33" t="n">
        <f aca="false">INDEX(Premissas!$B$5:$B$13,MATCH(A1709,Premissas!$A$5:$A$13,0))</f>
        <v>0.07</v>
      </c>
      <c r="AC1709" s="32" t="n">
        <f aca="false">AA1709/(1-AB1709)-AA1709</f>
        <v>12.7045393548387</v>
      </c>
      <c r="AD1709" s="32" t="n">
        <f aca="false">ROUND(AA1709+AC1709,2)</f>
        <v>181.49</v>
      </c>
      <c r="AE1709" s="32" t="n">
        <f aca="false">AD1709-L1709</f>
        <v>105.91</v>
      </c>
      <c r="AF1709" s="34" t="n">
        <f aca="false">IF(L1709=0,0,AE1709/L1709)</f>
        <v>1.40129663932257</v>
      </c>
      <c r="AG1709" s="22" t="str">
        <f aca="false">IF(AD1709&lt;L1709,"PASSARO","ATUAL")</f>
        <v>ATUAL</v>
      </c>
      <c r="AH1709" s="22" t="str">
        <f aca="false">IF(P1709&lt;&gt;A1709,"Faixa cadastrada como "&amp;P1709&amp;" na tabela; preço aplicado pela UF do CEP","")</f>
        <v/>
      </c>
      <c r="AI1709" s="26" t="n">
        <v>202.3</v>
      </c>
      <c r="AJ1709" s="22" t="str">
        <f aca="false">INDEX('Tabela Passaro'!$X$2:$X$1795,$N1709)</f>
        <v>INTERIOR 2</v>
      </c>
    </row>
    <row r="1710" customFormat="false" ht="15" hidden="false" customHeight="false" outlineLevel="0" collapsed="false">
      <c r="A1710" s="22" t="s">
        <v>22</v>
      </c>
      <c r="B1710" s="22" t="n">
        <v>2</v>
      </c>
      <c r="C1710" s="22" t="s">
        <v>184</v>
      </c>
      <c r="D1710" s="22" t="s">
        <v>31</v>
      </c>
      <c r="E1710" s="22" t="s">
        <v>7326</v>
      </c>
      <c r="F1710" s="22" t="n">
        <v>12766257</v>
      </c>
      <c r="G1710" s="30" t="n">
        <v>46245</v>
      </c>
      <c r="H1710" s="22" t="n">
        <v>622643</v>
      </c>
      <c r="I1710" s="22" t="s">
        <v>8876</v>
      </c>
      <c r="J1710" s="31" t="n">
        <v>17.2</v>
      </c>
      <c r="K1710" s="26" t="n">
        <v>339.84</v>
      </c>
      <c r="L1710" s="26" t="n">
        <v>75.58</v>
      </c>
      <c r="M1710" s="22" t="s">
        <v>6864</v>
      </c>
      <c r="N1710" s="22" t="n">
        <f aca="false">MATCH(M1710,'Tabela Passaro'!$A$2:$A$1795,0)</f>
        <v>1679</v>
      </c>
      <c r="O1710" s="22" t="str">
        <f aca="false">INDEX('Tabela Passaro'!$C$2:$C$1795,$N1710)</f>
        <v>PARNAMIRIM</v>
      </c>
      <c r="P1710" s="22" t="str">
        <f aca="false">INDEX('Tabela Passaro'!$B$2:$B$1795,$N1710)</f>
        <v>RN</v>
      </c>
      <c r="Q1710" s="22" t="n">
        <f aca="false">INDEX('Tabela Passaro'!$F$2:$F$1795,$N1710)</f>
        <v>9</v>
      </c>
      <c r="R1710" s="32" t="n">
        <f aca="false">IF(J1710&lt;=10,INDEX('Tabela Passaro'!$G$2:$G$1795,$N1710),IF(J1710&lt;=30,INDEX('Tabela Passaro'!$H$2:$H$1795,$N1710),IF(J1710&lt;=50,INDEX('Tabela Passaro'!$I$2:$I$1795,$N1710),IF(J1710&lt;=70,INDEX('Tabela Passaro'!$J$2:$J$1795,$N1710),IF(J1710&lt;=100,INDEX('Tabela Passaro'!$K$2:$K$1795,$N1710),INDEX('Tabela Passaro'!$K$2:$K$1795,$N1710)+(J1710-100)*INDEX('Tabela Passaro'!$L$2:$L$1795,$N1710))))))</f>
        <v>126.41</v>
      </c>
      <c r="S1710" s="32" t="n">
        <f aca="false">K1710*INDEX('Tabela Passaro'!$M$2:$M$1795,$N1710)</f>
        <v>1.6992</v>
      </c>
      <c r="T1710" s="32" t="n">
        <f aca="false">K1710*INDEX('Tabela Passaro'!$N$2:$N$1795,$N1710)</f>
        <v>0.67968</v>
      </c>
      <c r="U1710" s="32" t="n">
        <f aca="false">INDEX('Tabela Passaro'!$O$2:$O$1795,$N1710)</f>
        <v>5</v>
      </c>
      <c r="V1710" s="32" t="n">
        <f aca="false">ROUNDUP(J1710/INDEX('Tabela Passaro'!$Q$2:$Q$1795,$N1710),0)*INDEX('Tabela Passaro'!$P$2:$P$1795,$N1710)</f>
        <v>5</v>
      </c>
      <c r="W1710" s="32" t="n">
        <f aca="false">INDEX('Tabela Passaro'!$R$2:$R$1795,$N1710)</f>
        <v>30</v>
      </c>
      <c r="X1710" s="32" t="n">
        <f aca="false">ROUNDUP(J1710/INDEX('Tabela Passaro'!$T$2:$T$1795,$N1710),0)*INDEX('Tabela Passaro'!$S$2:$S$1795,$N1710)</f>
        <v>0</v>
      </c>
      <c r="Y1710" s="32" t="n">
        <f aca="false">INDEX('Tabela Passaro'!$U$2:$U$1795,$N1710)</f>
        <v>0</v>
      </c>
      <c r="Z1710" s="32" t="n">
        <f aca="false">INDEX('Tabela Passaro'!$V$2:$V$1795,$N1710)</f>
        <v>0</v>
      </c>
      <c r="AA1710" s="32" t="n">
        <f aca="false">SUM(R1710:Z1710)</f>
        <v>168.78888</v>
      </c>
      <c r="AB1710" s="33" t="n">
        <f aca="false">INDEX(Premissas!$B$5:$B$13,MATCH(A1710,Premissas!$A$5:$A$13,0))</f>
        <v>0.07</v>
      </c>
      <c r="AC1710" s="32" t="n">
        <f aca="false">AA1710/(1-AB1710)-AA1710</f>
        <v>12.7045393548387</v>
      </c>
      <c r="AD1710" s="32" t="n">
        <f aca="false">ROUND(AA1710+AC1710,2)</f>
        <v>181.49</v>
      </c>
      <c r="AE1710" s="32" t="n">
        <f aca="false">AD1710-L1710</f>
        <v>105.91</v>
      </c>
      <c r="AF1710" s="34" t="n">
        <f aca="false">IF(L1710=0,0,AE1710/L1710)</f>
        <v>1.40129663932257</v>
      </c>
      <c r="AG1710" s="22" t="str">
        <f aca="false">IF(AD1710&lt;L1710,"PASSARO","ATUAL")</f>
        <v>ATUAL</v>
      </c>
      <c r="AH1710" s="22" t="str">
        <f aca="false">IF(P1710&lt;&gt;A1710,"Faixa cadastrada como "&amp;P1710&amp;" na tabela; preço aplicado pela UF do CEP","")</f>
        <v/>
      </c>
      <c r="AI1710" s="26" t="n">
        <v>202.3</v>
      </c>
      <c r="AJ1710" s="22" t="str">
        <f aca="false">INDEX('Tabela Passaro'!$X$2:$X$1795,$N1710)</f>
        <v>INTERIOR 2</v>
      </c>
    </row>
    <row r="1711" customFormat="false" ht="15" hidden="false" customHeight="false" outlineLevel="0" collapsed="false">
      <c r="A1711" s="22" t="s">
        <v>22</v>
      </c>
      <c r="B1711" s="22" t="n">
        <v>2</v>
      </c>
      <c r="C1711" s="22" t="s">
        <v>184</v>
      </c>
      <c r="D1711" s="22" t="s">
        <v>31</v>
      </c>
      <c r="E1711" s="22" t="s">
        <v>7326</v>
      </c>
      <c r="F1711" s="22" t="n">
        <v>12823009</v>
      </c>
      <c r="G1711" s="30" t="n">
        <v>46254</v>
      </c>
      <c r="H1711" s="22" t="n">
        <v>627574</v>
      </c>
      <c r="I1711" s="22" t="s">
        <v>8882</v>
      </c>
      <c r="J1711" s="31" t="n">
        <v>19.5</v>
      </c>
      <c r="K1711" s="26" t="n">
        <v>535.92</v>
      </c>
      <c r="L1711" s="26" t="n">
        <v>95.26</v>
      </c>
      <c r="M1711" s="22" t="s">
        <v>6864</v>
      </c>
      <c r="N1711" s="22" t="n">
        <f aca="false">MATCH(M1711,'Tabela Passaro'!$A$2:$A$1795,0)</f>
        <v>1679</v>
      </c>
      <c r="O1711" s="22" t="str">
        <f aca="false">INDEX('Tabela Passaro'!$C$2:$C$1795,$N1711)</f>
        <v>PARNAMIRIM</v>
      </c>
      <c r="P1711" s="22" t="str">
        <f aca="false">INDEX('Tabela Passaro'!$B$2:$B$1795,$N1711)</f>
        <v>RN</v>
      </c>
      <c r="Q1711" s="22" t="n">
        <f aca="false">INDEX('Tabela Passaro'!$F$2:$F$1795,$N1711)</f>
        <v>9</v>
      </c>
      <c r="R1711" s="32" t="n">
        <f aca="false">IF(J1711&lt;=10,INDEX('Tabela Passaro'!$G$2:$G$1795,$N1711),IF(J1711&lt;=30,INDEX('Tabela Passaro'!$H$2:$H$1795,$N1711),IF(J1711&lt;=50,INDEX('Tabela Passaro'!$I$2:$I$1795,$N1711),IF(J1711&lt;=70,INDEX('Tabela Passaro'!$J$2:$J$1795,$N1711),IF(J1711&lt;=100,INDEX('Tabela Passaro'!$K$2:$K$1795,$N1711),INDEX('Tabela Passaro'!$K$2:$K$1795,$N1711)+(J1711-100)*INDEX('Tabela Passaro'!$L$2:$L$1795,$N1711))))))</f>
        <v>126.41</v>
      </c>
      <c r="S1711" s="32" t="n">
        <f aca="false">K1711*INDEX('Tabela Passaro'!$M$2:$M$1795,$N1711)</f>
        <v>2.6796</v>
      </c>
      <c r="T1711" s="32" t="n">
        <f aca="false">K1711*INDEX('Tabela Passaro'!$N$2:$N$1795,$N1711)</f>
        <v>1.07184</v>
      </c>
      <c r="U1711" s="32" t="n">
        <f aca="false">INDEX('Tabela Passaro'!$O$2:$O$1795,$N1711)</f>
        <v>5</v>
      </c>
      <c r="V1711" s="32" t="n">
        <f aca="false">ROUNDUP(J1711/INDEX('Tabela Passaro'!$Q$2:$Q$1795,$N1711),0)*INDEX('Tabela Passaro'!$P$2:$P$1795,$N1711)</f>
        <v>5</v>
      </c>
      <c r="W1711" s="32" t="n">
        <f aca="false">INDEX('Tabela Passaro'!$R$2:$R$1795,$N1711)</f>
        <v>30</v>
      </c>
      <c r="X1711" s="32" t="n">
        <f aca="false">ROUNDUP(J1711/INDEX('Tabela Passaro'!$T$2:$T$1795,$N1711),0)*INDEX('Tabela Passaro'!$S$2:$S$1795,$N1711)</f>
        <v>0</v>
      </c>
      <c r="Y1711" s="32" t="n">
        <f aca="false">INDEX('Tabela Passaro'!$U$2:$U$1795,$N1711)</f>
        <v>0</v>
      </c>
      <c r="Z1711" s="32" t="n">
        <f aca="false">INDEX('Tabela Passaro'!$V$2:$V$1795,$N1711)</f>
        <v>0</v>
      </c>
      <c r="AA1711" s="32" t="n">
        <f aca="false">SUM(R1711:Z1711)</f>
        <v>170.16144</v>
      </c>
      <c r="AB1711" s="33" t="n">
        <f aca="false">INDEX(Premissas!$B$5:$B$13,MATCH(A1711,Premissas!$A$5:$A$13,0))</f>
        <v>0.07</v>
      </c>
      <c r="AC1711" s="32" t="n">
        <f aca="false">AA1711/(1-AB1711)-AA1711</f>
        <v>12.8078503225807</v>
      </c>
      <c r="AD1711" s="32" t="n">
        <f aca="false">ROUND(AA1711+AC1711,2)</f>
        <v>182.97</v>
      </c>
      <c r="AE1711" s="32" t="n">
        <f aca="false">AD1711-L1711</f>
        <v>87.71</v>
      </c>
      <c r="AF1711" s="34" t="n">
        <f aca="false">IF(L1711=0,0,AE1711/L1711)</f>
        <v>0.920743229057317</v>
      </c>
      <c r="AG1711" s="22" t="str">
        <f aca="false">IF(AD1711&lt;L1711,"PASSARO","ATUAL")</f>
        <v>ATUAL</v>
      </c>
      <c r="AH1711" s="22" t="str">
        <f aca="false">IF(P1711&lt;&gt;A1711,"Faixa cadastrada como "&amp;P1711&amp;" na tabela; preço aplicado pela UF do CEP","")</f>
        <v/>
      </c>
      <c r="AI1711" s="26" t="n">
        <v>205.16</v>
      </c>
      <c r="AJ1711" s="22" t="str">
        <f aca="false">INDEX('Tabela Passaro'!$X$2:$X$1795,$N1711)</f>
        <v>INTERIOR 2</v>
      </c>
    </row>
    <row r="1712" customFormat="false" ht="15" hidden="false" customHeight="false" outlineLevel="0" collapsed="false">
      <c r="A1712" s="22" t="s">
        <v>22</v>
      </c>
      <c r="B1712" s="22" t="n">
        <v>2</v>
      </c>
      <c r="C1712" s="22" t="s">
        <v>184</v>
      </c>
      <c r="D1712" s="22" t="s">
        <v>31</v>
      </c>
      <c r="E1712" s="22" t="s">
        <v>7326</v>
      </c>
      <c r="F1712" s="22" t="n">
        <v>12835687</v>
      </c>
      <c r="G1712" s="30" t="n">
        <v>46258</v>
      </c>
      <c r="H1712" s="22" t="n">
        <v>628201</v>
      </c>
      <c r="I1712" s="22" t="s">
        <v>8883</v>
      </c>
      <c r="J1712" s="31" t="n">
        <v>22.4</v>
      </c>
      <c r="K1712" s="26" t="n">
        <v>583.58</v>
      </c>
      <c r="L1712" s="26" t="n">
        <v>95.17</v>
      </c>
      <c r="M1712" s="22" t="s">
        <v>6864</v>
      </c>
      <c r="N1712" s="22" t="n">
        <f aca="false">MATCH(M1712,'Tabela Passaro'!$A$2:$A$1795,0)</f>
        <v>1679</v>
      </c>
      <c r="O1712" s="22" t="str">
        <f aca="false">INDEX('Tabela Passaro'!$C$2:$C$1795,$N1712)</f>
        <v>PARNAMIRIM</v>
      </c>
      <c r="P1712" s="22" t="str">
        <f aca="false">INDEX('Tabela Passaro'!$B$2:$B$1795,$N1712)</f>
        <v>RN</v>
      </c>
      <c r="Q1712" s="22" t="n">
        <f aca="false">INDEX('Tabela Passaro'!$F$2:$F$1795,$N1712)</f>
        <v>9</v>
      </c>
      <c r="R1712" s="32" t="n">
        <f aca="false">IF(J1712&lt;=10,INDEX('Tabela Passaro'!$G$2:$G$1795,$N1712),IF(J1712&lt;=30,INDEX('Tabela Passaro'!$H$2:$H$1795,$N1712),IF(J1712&lt;=50,INDEX('Tabela Passaro'!$I$2:$I$1795,$N1712),IF(J1712&lt;=70,INDEX('Tabela Passaro'!$J$2:$J$1795,$N1712),IF(J1712&lt;=100,INDEX('Tabela Passaro'!$K$2:$K$1795,$N1712),INDEX('Tabela Passaro'!$K$2:$K$1795,$N1712)+(J1712-100)*INDEX('Tabela Passaro'!$L$2:$L$1795,$N1712))))))</f>
        <v>126.41</v>
      </c>
      <c r="S1712" s="32" t="n">
        <f aca="false">K1712*INDEX('Tabela Passaro'!$M$2:$M$1795,$N1712)</f>
        <v>2.9179</v>
      </c>
      <c r="T1712" s="32" t="n">
        <f aca="false">K1712*INDEX('Tabela Passaro'!$N$2:$N$1795,$N1712)</f>
        <v>1.16716</v>
      </c>
      <c r="U1712" s="32" t="n">
        <f aca="false">INDEX('Tabela Passaro'!$O$2:$O$1795,$N1712)</f>
        <v>5</v>
      </c>
      <c r="V1712" s="32" t="n">
        <f aca="false">ROUNDUP(J1712/INDEX('Tabela Passaro'!$Q$2:$Q$1795,$N1712),0)*INDEX('Tabela Passaro'!$P$2:$P$1795,$N1712)</f>
        <v>5</v>
      </c>
      <c r="W1712" s="32" t="n">
        <f aca="false">INDEX('Tabela Passaro'!$R$2:$R$1795,$N1712)</f>
        <v>30</v>
      </c>
      <c r="X1712" s="32" t="n">
        <f aca="false">ROUNDUP(J1712/INDEX('Tabela Passaro'!$T$2:$T$1795,$N1712),0)*INDEX('Tabela Passaro'!$S$2:$S$1795,$N1712)</f>
        <v>0</v>
      </c>
      <c r="Y1712" s="32" t="n">
        <f aca="false">INDEX('Tabela Passaro'!$U$2:$U$1795,$N1712)</f>
        <v>0</v>
      </c>
      <c r="Z1712" s="32" t="n">
        <f aca="false">INDEX('Tabela Passaro'!$V$2:$V$1795,$N1712)</f>
        <v>0</v>
      </c>
      <c r="AA1712" s="32" t="n">
        <f aca="false">SUM(R1712:Z1712)</f>
        <v>170.49506</v>
      </c>
      <c r="AB1712" s="33" t="n">
        <f aca="false">INDEX(Premissas!$B$5:$B$13,MATCH(A1712,Premissas!$A$5:$A$13,0))</f>
        <v>0.07</v>
      </c>
      <c r="AC1712" s="32" t="n">
        <f aca="false">AA1712/(1-AB1712)-AA1712</f>
        <v>12.8329615053763</v>
      </c>
      <c r="AD1712" s="32" t="n">
        <f aca="false">ROUND(AA1712+AC1712,2)</f>
        <v>183.33</v>
      </c>
      <c r="AE1712" s="32" t="n">
        <f aca="false">AD1712-L1712</f>
        <v>88.16</v>
      </c>
      <c r="AF1712" s="34" t="n">
        <f aca="false">IF(L1712=0,0,AE1712/L1712)</f>
        <v>0.92634233476936</v>
      </c>
      <c r="AG1712" s="22" t="str">
        <f aca="false">IF(AD1712&lt;L1712,"PASSARO","ATUAL")</f>
        <v>ATUAL</v>
      </c>
      <c r="AH1712" s="22" t="str">
        <f aca="false">IF(P1712&lt;&gt;A1712,"Faixa cadastrada como "&amp;P1712&amp;" na tabela; preço aplicado pela UF do CEP","")</f>
        <v/>
      </c>
      <c r="AI1712" s="26" t="n">
        <v>207.08</v>
      </c>
      <c r="AJ1712" s="22" t="str">
        <f aca="false">INDEX('Tabela Passaro'!$X$2:$X$1795,$N1712)</f>
        <v>INTERIOR 2</v>
      </c>
    </row>
    <row r="1713" customFormat="false" ht="15" hidden="false" customHeight="false" outlineLevel="0" collapsed="false">
      <c r="A1713" s="22" t="s">
        <v>22</v>
      </c>
      <c r="B1713" s="22" t="n">
        <v>3</v>
      </c>
      <c r="C1713" s="22" t="s">
        <v>186</v>
      </c>
      <c r="D1713" s="22" t="s">
        <v>30</v>
      </c>
      <c r="E1713" s="22" t="s">
        <v>7399</v>
      </c>
      <c r="F1713" s="22" t="n">
        <v>261310</v>
      </c>
      <c r="G1713" s="30" t="n">
        <v>46237</v>
      </c>
      <c r="H1713" s="22" t="n">
        <v>32039</v>
      </c>
      <c r="I1713" s="22" t="s">
        <v>8884</v>
      </c>
      <c r="J1713" s="31" t="n">
        <v>51.06</v>
      </c>
      <c r="K1713" s="26" t="n">
        <v>924.34</v>
      </c>
      <c r="L1713" s="26" t="n">
        <v>231.3</v>
      </c>
      <c r="M1713" s="22" t="s">
        <v>6540</v>
      </c>
      <c r="N1713" s="22" t="n">
        <f aca="false">MATCH(M1713,'Tabela Passaro'!$A$2:$A$1795,0)</f>
        <v>1594</v>
      </c>
      <c r="O1713" s="22" t="str">
        <f aca="false">INDEX('Tabela Passaro'!$C$2:$C$1795,$N1713)</f>
        <v>MOSSORO</v>
      </c>
      <c r="P1713" s="22" t="str">
        <f aca="false">INDEX('Tabela Passaro'!$B$2:$B$1795,$N1713)</f>
        <v>RN</v>
      </c>
      <c r="Q1713" s="22" t="n">
        <f aca="false">INDEX('Tabela Passaro'!$F$2:$F$1795,$N1713)</f>
        <v>12</v>
      </c>
      <c r="R1713" s="32" t="n">
        <f aca="false">IF(J1713&lt;=10,INDEX('Tabela Passaro'!$G$2:$G$1795,$N1713),IF(J1713&lt;=30,INDEX('Tabela Passaro'!$H$2:$H$1795,$N1713),IF(J1713&lt;=50,INDEX('Tabela Passaro'!$I$2:$I$1795,$N1713),IF(J1713&lt;=70,INDEX('Tabela Passaro'!$J$2:$J$1795,$N1713),IF(J1713&lt;=100,INDEX('Tabela Passaro'!$K$2:$K$1795,$N1713),INDEX('Tabela Passaro'!$K$2:$K$1795,$N1713)+(J1713-100)*INDEX('Tabela Passaro'!$L$2:$L$1795,$N1713))))))</f>
        <v>139.62</v>
      </c>
      <c r="S1713" s="32" t="n">
        <f aca="false">K1713*INDEX('Tabela Passaro'!$M$2:$M$1795,$N1713)</f>
        <v>4.6217</v>
      </c>
      <c r="T1713" s="32" t="n">
        <f aca="false">K1713*INDEX('Tabela Passaro'!$N$2:$N$1795,$N1713)</f>
        <v>1.84868</v>
      </c>
      <c r="U1713" s="32" t="n">
        <f aca="false">INDEX('Tabela Passaro'!$O$2:$O$1795,$N1713)</f>
        <v>5</v>
      </c>
      <c r="V1713" s="32" t="n">
        <f aca="false">ROUNDUP(J1713/INDEX('Tabela Passaro'!$Q$2:$Q$1795,$N1713),0)*INDEX('Tabela Passaro'!$P$2:$P$1795,$N1713)</f>
        <v>5</v>
      </c>
      <c r="W1713" s="32" t="n">
        <f aca="false">INDEX('Tabela Passaro'!$R$2:$R$1795,$N1713)</f>
        <v>30</v>
      </c>
      <c r="X1713" s="32" t="n">
        <f aca="false">ROUNDUP(J1713/INDEX('Tabela Passaro'!$T$2:$T$1795,$N1713),0)*INDEX('Tabela Passaro'!$S$2:$S$1795,$N1713)</f>
        <v>0</v>
      </c>
      <c r="Y1713" s="32" t="n">
        <f aca="false">INDEX('Tabela Passaro'!$U$2:$U$1795,$N1713)</f>
        <v>0</v>
      </c>
      <c r="Z1713" s="32" t="n">
        <f aca="false">INDEX('Tabela Passaro'!$V$2:$V$1795,$N1713)</f>
        <v>0</v>
      </c>
      <c r="AA1713" s="32" t="n">
        <f aca="false">SUM(R1713:Z1713)</f>
        <v>186.09038</v>
      </c>
      <c r="AB1713" s="33" t="n">
        <f aca="false">INDEX(Premissas!$B$5:$B$13,MATCH(A1713,Premissas!$A$5:$A$13,0))</f>
        <v>0.07</v>
      </c>
      <c r="AC1713" s="32" t="n">
        <f aca="false">AA1713/(1-AB1713)-AA1713</f>
        <v>14.0068027956989</v>
      </c>
      <c r="AD1713" s="32" t="n">
        <f aca="false">ROUND(AA1713+AC1713,2)</f>
        <v>200.1</v>
      </c>
      <c r="AE1713" s="32" t="n">
        <f aca="false">AD1713-L1713</f>
        <v>-31.2</v>
      </c>
      <c r="AF1713" s="34" t="n">
        <f aca="false">IF(L1713=0,0,AE1713/L1713)</f>
        <v>-0.134889753566796</v>
      </c>
      <c r="AG1713" s="22" t="str">
        <f aca="false">IF(AD1713&lt;L1713,"PASSARO","ATUAL")</f>
        <v>PASSARO</v>
      </c>
      <c r="AH1713" s="22" t="str">
        <f aca="false">IF(P1713&lt;&gt;A1713,"Faixa cadastrada como "&amp;P1713&amp;" na tabela; preço aplicado pela UF do CEP","")</f>
        <v/>
      </c>
      <c r="AI1713" s="26" t="n">
        <v>240.92</v>
      </c>
      <c r="AJ1713" s="22" t="str">
        <f aca="false">INDEX('Tabela Passaro'!$X$2:$X$1795,$N1713)</f>
        <v>INTERIOR 1</v>
      </c>
    </row>
    <row r="1714" customFormat="false" ht="15" hidden="false" customHeight="false" outlineLevel="0" collapsed="false">
      <c r="A1714" s="22" t="s">
        <v>22</v>
      </c>
      <c r="B1714" s="22" t="n">
        <v>3</v>
      </c>
      <c r="C1714" s="22" t="s">
        <v>186</v>
      </c>
      <c r="D1714" s="22" t="s">
        <v>30</v>
      </c>
      <c r="E1714" s="22" t="s">
        <v>7326</v>
      </c>
      <c r="F1714" s="22" t="n">
        <v>521728</v>
      </c>
      <c r="G1714" s="30" t="n">
        <v>46237</v>
      </c>
      <c r="H1714" s="22" t="n">
        <v>619000</v>
      </c>
      <c r="I1714" s="22" t="s">
        <v>8885</v>
      </c>
      <c r="J1714" s="31" t="n">
        <v>124.2</v>
      </c>
      <c r="K1714" s="26" t="n">
        <v>2014.13</v>
      </c>
      <c r="L1714" s="26" t="n">
        <v>464.44</v>
      </c>
      <c r="M1714" s="22" t="s">
        <v>6540</v>
      </c>
      <c r="N1714" s="22" t="n">
        <f aca="false">MATCH(M1714,'Tabela Passaro'!$A$2:$A$1795,0)</f>
        <v>1594</v>
      </c>
      <c r="O1714" s="22" t="str">
        <f aca="false">INDEX('Tabela Passaro'!$C$2:$C$1795,$N1714)</f>
        <v>MOSSORO</v>
      </c>
      <c r="P1714" s="22" t="str">
        <f aca="false">INDEX('Tabela Passaro'!$B$2:$B$1795,$N1714)</f>
        <v>RN</v>
      </c>
      <c r="Q1714" s="22" t="n">
        <f aca="false">INDEX('Tabela Passaro'!$F$2:$F$1795,$N1714)</f>
        <v>12</v>
      </c>
      <c r="R1714" s="32" t="n">
        <f aca="false">IF(J1714&lt;=10,INDEX('Tabela Passaro'!$G$2:$G$1795,$N1714),IF(J1714&lt;=30,INDEX('Tabela Passaro'!$H$2:$H$1795,$N1714),IF(J1714&lt;=50,INDEX('Tabela Passaro'!$I$2:$I$1795,$N1714),IF(J1714&lt;=70,INDEX('Tabela Passaro'!$J$2:$J$1795,$N1714),IF(J1714&lt;=100,INDEX('Tabela Passaro'!$K$2:$K$1795,$N1714),INDEX('Tabela Passaro'!$K$2:$K$1795,$N1714)+(J1714-100)*INDEX('Tabela Passaro'!$L$2:$L$1795,$N1714))))))</f>
        <v>204.492</v>
      </c>
      <c r="S1714" s="32" t="n">
        <f aca="false">K1714*INDEX('Tabela Passaro'!$M$2:$M$1795,$N1714)</f>
        <v>10.07065</v>
      </c>
      <c r="T1714" s="32" t="n">
        <f aca="false">K1714*INDEX('Tabela Passaro'!$N$2:$N$1795,$N1714)</f>
        <v>4.02826</v>
      </c>
      <c r="U1714" s="32" t="n">
        <f aca="false">INDEX('Tabela Passaro'!$O$2:$O$1795,$N1714)</f>
        <v>5</v>
      </c>
      <c r="V1714" s="32" t="n">
        <f aca="false">ROUNDUP(J1714/INDEX('Tabela Passaro'!$Q$2:$Q$1795,$N1714),0)*INDEX('Tabela Passaro'!$P$2:$P$1795,$N1714)</f>
        <v>10</v>
      </c>
      <c r="W1714" s="32" t="n">
        <f aca="false">INDEX('Tabela Passaro'!$R$2:$R$1795,$N1714)</f>
        <v>30</v>
      </c>
      <c r="X1714" s="32" t="n">
        <f aca="false">ROUNDUP(J1714/INDEX('Tabela Passaro'!$T$2:$T$1795,$N1714),0)*INDEX('Tabela Passaro'!$S$2:$S$1795,$N1714)</f>
        <v>0</v>
      </c>
      <c r="Y1714" s="32" t="n">
        <f aca="false">INDEX('Tabela Passaro'!$U$2:$U$1795,$N1714)</f>
        <v>0</v>
      </c>
      <c r="Z1714" s="32" t="n">
        <f aca="false">INDEX('Tabela Passaro'!$V$2:$V$1795,$N1714)</f>
        <v>0</v>
      </c>
      <c r="AA1714" s="32" t="n">
        <f aca="false">SUM(R1714:Z1714)</f>
        <v>263.59091</v>
      </c>
      <c r="AB1714" s="33" t="n">
        <f aca="false">INDEX(Premissas!$B$5:$B$13,MATCH(A1714,Premissas!$A$5:$A$13,0))</f>
        <v>0.07</v>
      </c>
      <c r="AC1714" s="32" t="n">
        <f aca="false">AA1714/(1-AB1714)-AA1714</f>
        <v>19.8401760215054</v>
      </c>
      <c r="AD1714" s="32" t="n">
        <f aca="false">ROUND(AA1714+AC1714,2)</f>
        <v>283.43</v>
      </c>
      <c r="AE1714" s="32" t="n">
        <f aca="false">AD1714-L1714</f>
        <v>-181.01</v>
      </c>
      <c r="AF1714" s="34" t="n">
        <f aca="false">IF(L1714=0,0,AE1714/L1714)</f>
        <v>-0.389738179312721</v>
      </c>
      <c r="AG1714" s="22" t="str">
        <f aca="false">IF(AD1714&lt;L1714,"PASSARO","ATUAL")</f>
        <v>PASSARO</v>
      </c>
      <c r="AH1714" s="22" t="str">
        <f aca="false">IF(P1714&lt;&gt;A1714,"Faixa cadastrada como "&amp;P1714&amp;" na tabela; preço aplicado pela UF do CEP","")</f>
        <v/>
      </c>
      <c r="AI1714" s="26" t="n">
        <v>371.33</v>
      </c>
      <c r="AJ1714" s="22" t="str">
        <f aca="false">INDEX('Tabela Passaro'!$X$2:$X$1795,$N1714)</f>
        <v>INTERIOR 1</v>
      </c>
    </row>
    <row r="1715" customFormat="false" ht="15" hidden="false" customHeight="false" outlineLevel="0" collapsed="false">
      <c r="A1715" s="22" t="s">
        <v>22</v>
      </c>
      <c r="B1715" s="22" t="n">
        <v>3</v>
      </c>
      <c r="C1715" s="22" t="s">
        <v>186</v>
      </c>
      <c r="D1715" s="22" t="s">
        <v>30</v>
      </c>
      <c r="E1715" s="22" t="s">
        <v>20</v>
      </c>
      <c r="F1715" s="22" t="n">
        <v>838974</v>
      </c>
      <c r="G1715" s="30" t="n">
        <v>46247</v>
      </c>
      <c r="H1715" s="22" t="n">
        <v>32503</v>
      </c>
      <c r="I1715" s="22" t="s">
        <v>8886</v>
      </c>
      <c r="J1715" s="31" t="n">
        <v>17.9</v>
      </c>
      <c r="K1715" s="26" t="n">
        <v>364.35</v>
      </c>
      <c r="L1715" s="26" t="n">
        <v>131.56</v>
      </c>
      <c r="M1715" s="22" t="s">
        <v>6540</v>
      </c>
      <c r="N1715" s="22" t="n">
        <f aca="false">MATCH(M1715,'Tabela Passaro'!$A$2:$A$1795,0)</f>
        <v>1594</v>
      </c>
      <c r="O1715" s="22" t="str">
        <f aca="false">INDEX('Tabela Passaro'!$C$2:$C$1795,$N1715)</f>
        <v>MOSSORO</v>
      </c>
      <c r="P1715" s="22" t="str">
        <f aca="false">INDEX('Tabela Passaro'!$B$2:$B$1795,$N1715)</f>
        <v>RN</v>
      </c>
      <c r="Q1715" s="22" t="n">
        <f aca="false">INDEX('Tabela Passaro'!$F$2:$F$1795,$N1715)</f>
        <v>12</v>
      </c>
      <c r="R1715" s="32" t="n">
        <f aca="false">IF(J1715&lt;=10,INDEX('Tabela Passaro'!$G$2:$G$1795,$N1715),IF(J1715&lt;=30,INDEX('Tabela Passaro'!$H$2:$H$1795,$N1715),IF(J1715&lt;=50,INDEX('Tabela Passaro'!$I$2:$I$1795,$N1715),IF(J1715&lt;=70,INDEX('Tabela Passaro'!$J$2:$J$1795,$N1715),IF(J1715&lt;=100,INDEX('Tabela Passaro'!$K$2:$K$1795,$N1715),INDEX('Tabela Passaro'!$K$2:$K$1795,$N1715)+(J1715-100)*INDEX('Tabela Passaro'!$L$2:$L$1795,$N1715))))))</f>
        <v>109.56</v>
      </c>
      <c r="S1715" s="32" t="n">
        <f aca="false">K1715*INDEX('Tabela Passaro'!$M$2:$M$1795,$N1715)</f>
        <v>1.82175</v>
      </c>
      <c r="T1715" s="32" t="n">
        <f aca="false">K1715*INDEX('Tabela Passaro'!$N$2:$N$1795,$N1715)</f>
        <v>0.7287</v>
      </c>
      <c r="U1715" s="32" t="n">
        <f aca="false">INDEX('Tabela Passaro'!$O$2:$O$1795,$N1715)</f>
        <v>5</v>
      </c>
      <c r="V1715" s="32" t="n">
        <f aca="false">ROUNDUP(J1715/INDEX('Tabela Passaro'!$Q$2:$Q$1795,$N1715),0)*INDEX('Tabela Passaro'!$P$2:$P$1795,$N1715)</f>
        <v>5</v>
      </c>
      <c r="W1715" s="32" t="n">
        <f aca="false">INDEX('Tabela Passaro'!$R$2:$R$1795,$N1715)</f>
        <v>30</v>
      </c>
      <c r="X1715" s="32" t="n">
        <f aca="false">ROUNDUP(J1715/INDEX('Tabela Passaro'!$T$2:$T$1795,$N1715),0)*INDEX('Tabela Passaro'!$S$2:$S$1795,$N1715)</f>
        <v>0</v>
      </c>
      <c r="Y1715" s="32" t="n">
        <f aca="false">INDEX('Tabela Passaro'!$U$2:$U$1795,$N1715)</f>
        <v>0</v>
      </c>
      <c r="Z1715" s="32" t="n">
        <f aca="false">INDEX('Tabela Passaro'!$V$2:$V$1795,$N1715)</f>
        <v>0</v>
      </c>
      <c r="AA1715" s="32" t="n">
        <f aca="false">SUM(R1715:Z1715)</f>
        <v>152.11045</v>
      </c>
      <c r="AB1715" s="33" t="n">
        <f aca="false">INDEX(Premissas!$B$5:$B$13,MATCH(A1715,Premissas!$A$5:$A$13,0))</f>
        <v>0.07</v>
      </c>
      <c r="AC1715" s="32" t="n">
        <f aca="false">AA1715/(1-AB1715)-AA1715</f>
        <v>11.449173655914</v>
      </c>
      <c r="AD1715" s="32" t="n">
        <f aca="false">ROUND(AA1715+AC1715,2)</f>
        <v>163.56</v>
      </c>
      <c r="AE1715" s="32" t="n">
        <f aca="false">AD1715-L1715</f>
        <v>32</v>
      </c>
      <c r="AF1715" s="34" t="n">
        <f aca="false">IF(L1715=0,0,AE1715/L1715)</f>
        <v>0.243235025843722</v>
      </c>
      <c r="AG1715" s="22" t="str">
        <f aca="false">IF(AD1715&lt;L1715,"PASSARO","ATUAL")</f>
        <v>ATUAL</v>
      </c>
      <c r="AH1715" s="22" t="str">
        <f aca="false">IF(P1715&lt;&gt;A1715,"Faixa cadastrada como "&amp;P1715&amp;" na tabela; preço aplicado pela UF do CEP","")</f>
        <v/>
      </c>
      <c r="AI1715" s="26" t="n">
        <v>181.48</v>
      </c>
      <c r="AJ1715" s="22" t="str">
        <f aca="false">INDEX('Tabela Passaro'!$X$2:$X$1795,$N1715)</f>
        <v>INTERIOR 1</v>
      </c>
    </row>
    <row r="1716" customFormat="false" ht="15" hidden="false" customHeight="false" outlineLevel="0" collapsed="false">
      <c r="A1716" s="22" t="s">
        <v>22</v>
      </c>
      <c r="B1716" s="22" t="n">
        <v>3</v>
      </c>
      <c r="C1716" s="22" t="s">
        <v>186</v>
      </c>
      <c r="D1716" s="22" t="s">
        <v>30</v>
      </c>
      <c r="E1716" s="22" t="s">
        <v>7326</v>
      </c>
      <c r="F1716" s="22" t="n">
        <v>526158</v>
      </c>
      <c r="G1716" s="30" t="n">
        <v>46253</v>
      </c>
      <c r="H1716" s="22" t="n">
        <v>627343</v>
      </c>
      <c r="I1716" s="22" t="s">
        <v>8887</v>
      </c>
      <c r="J1716" s="31" t="n">
        <v>76.8</v>
      </c>
      <c r="K1716" s="26" t="n">
        <v>1373.28</v>
      </c>
      <c r="L1716" s="26" t="n">
        <v>359.95</v>
      </c>
      <c r="M1716" s="22" t="s">
        <v>6540</v>
      </c>
      <c r="N1716" s="22" t="n">
        <f aca="false">MATCH(M1716,'Tabela Passaro'!$A$2:$A$1795,0)</f>
        <v>1594</v>
      </c>
      <c r="O1716" s="22" t="str">
        <f aca="false">INDEX('Tabela Passaro'!$C$2:$C$1795,$N1716)</f>
        <v>MOSSORO</v>
      </c>
      <c r="P1716" s="22" t="str">
        <f aca="false">INDEX('Tabela Passaro'!$B$2:$B$1795,$N1716)</f>
        <v>RN</v>
      </c>
      <c r="Q1716" s="22" t="n">
        <f aca="false">INDEX('Tabela Passaro'!$F$2:$F$1795,$N1716)</f>
        <v>12</v>
      </c>
      <c r="R1716" s="32" t="n">
        <f aca="false">IF(J1716&lt;=10,INDEX('Tabela Passaro'!$G$2:$G$1795,$N1716),IF(J1716&lt;=30,INDEX('Tabela Passaro'!$H$2:$H$1795,$N1716),IF(J1716&lt;=50,INDEX('Tabela Passaro'!$I$2:$I$1795,$N1716),IF(J1716&lt;=70,INDEX('Tabela Passaro'!$J$2:$J$1795,$N1716),IF(J1716&lt;=100,INDEX('Tabela Passaro'!$K$2:$K$1795,$N1716),INDEX('Tabela Passaro'!$K$2:$K$1795,$N1716)+(J1716-100)*INDEX('Tabela Passaro'!$L$2:$L$1795,$N1716))))))</f>
        <v>154.64</v>
      </c>
      <c r="S1716" s="32" t="n">
        <f aca="false">K1716*INDEX('Tabela Passaro'!$M$2:$M$1795,$N1716)</f>
        <v>6.8664</v>
      </c>
      <c r="T1716" s="32" t="n">
        <f aca="false">K1716*INDEX('Tabela Passaro'!$N$2:$N$1795,$N1716)</f>
        <v>2.74656</v>
      </c>
      <c r="U1716" s="32" t="n">
        <f aca="false">INDEX('Tabela Passaro'!$O$2:$O$1795,$N1716)</f>
        <v>5</v>
      </c>
      <c r="V1716" s="32" t="n">
        <f aca="false">ROUNDUP(J1716/INDEX('Tabela Passaro'!$Q$2:$Q$1795,$N1716),0)*INDEX('Tabela Passaro'!$P$2:$P$1795,$N1716)</f>
        <v>5</v>
      </c>
      <c r="W1716" s="32" t="n">
        <f aca="false">INDEX('Tabela Passaro'!$R$2:$R$1795,$N1716)</f>
        <v>30</v>
      </c>
      <c r="X1716" s="32" t="n">
        <f aca="false">ROUNDUP(J1716/INDEX('Tabela Passaro'!$T$2:$T$1795,$N1716),0)*INDEX('Tabela Passaro'!$S$2:$S$1795,$N1716)</f>
        <v>0</v>
      </c>
      <c r="Y1716" s="32" t="n">
        <f aca="false">INDEX('Tabela Passaro'!$U$2:$U$1795,$N1716)</f>
        <v>0</v>
      </c>
      <c r="Z1716" s="32" t="n">
        <f aca="false">INDEX('Tabela Passaro'!$V$2:$V$1795,$N1716)</f>
        <v>0</v>
      </c>
      <c r="AA1716" s="32" t="n">
        <f aca="false">SUM(R1716:Z1716)</f>
        <v>204.25296</v>
      </c>
      <c r="AB1716" s="33" t="n">
        <f aca="false">INDEX(Premissas!$B$5:$B$13,MATCH(A1716,Premissas!$A$5:$A$13,0))</f>
        <v>0.07</v>
      </c>
      <c r="AC1716" s="32" t="n">
        <f aca="false">AA1716/(1-AB1716)-AA1716</f>
        <v>15.3738787096774</v>
      </c>
      <c r="AD1716" s="32" t="n">
        <f aca="false">ROUND(AA1716+AC1716,2)</f>
        <v>219.63</v>
      </c>
      <c r="AE1716" s="32" t="n">
        <f aca="false">AD1716-L1716</f>
        <v>-140.32</v>
      </c>
      <c r="AF1716" s="34" t="n">
        <f aca="false">IF(L1716=0,0,AE1716/L1716)</f>
        <v>-0.389831921100153</v>
      </c>
      <c r="AG1716" s="22" t="str">
        <f aca="false">IF(AD1716&lt;L1716,"PASSARO","ATUAL")</f>
        <v>PASSARO</v>
      </c>
      <c r="AH1716" s="22" t="str">
        <f aca="false">IF(P1716&lt;&gt;A1716,"Faixa cadastrada como "&amp;P1716&amp;" na tabela; preço aplicado pela UF do CEP","")</f>
        <v/>
      </c>
      <c r="AI1716" s="26" t="n">
        <v>276.16</v>
      </c>
      <c r="AJ1716" s="22" t="str">
        <f aca="false">INDEX('Tabela Passaro'!$X$2:$X$1795,$N1716)</f>
        <v>INTERIOR 1</v>
      </c>
    </row>
    <row r="1717" customFormat="false" ht="15" hidden="false" customHeight="false" outlineLevel="0" collapsed="false">
      <c r="A1717" s="22" t="s">
        <v>22</v>
      </c>
      <c r="B1717" s="22" t="n">
        <v>3</v>
      </c>
      <c r="C1717" s="22" t="s">
        <v>186</v>
      </c>
      <c r="D1717" s="22" t="s">
        <v>30</v>
      </c>
      <c r="E1717" s="22" t="s">
        <v>7328</v>
      </c>
      <c r="F1717" s="22" t="n">
        <v>2314398</v>
      </c>
      <c r="G1717" s="30" t="n">
        <v>46254</v>
      </c>
      <c r="H1717" s="22" t="n">
        <v>134062</v>
      </c>
      <c r="I1717" s="22" t="s">
        <v>8888</v>
      </c>
      <c r="J1717" s="31" t="n">
        <v>51.06</v>
      </c>
      <c r="K1717" s="26" t="n">
        <v>1065.4</v>
      </c>
      <c r="L1717" s="26" t="n">
        <v>246.86</v>
      </c>
      <c r="M1717" s="22" t="s">
        <v>6540</v>
      </c>
      <c r="N1717" s="22" t="n">
        <f aca="false">MATCH(M1717,'Tabela Passaro'!$A$2:$A$1795,0)</f>
        <v>1594</v>
      </c>
      <c r="O1717" s="22" t="str">
        <f aca="false">INDEX('Tabela Passaro'!$C$2:$C$1795,$N1717)</f>
        <v>MOSSORO</v>
      </c>
      <c r="P1717" s="22" t="str">
        <f aca="false">INDEX('Tabela Passaro'!$B$2:$B$1795,$N1717)</f>
        <v>RN</v>
      </c>
      <c r="Q1717" s="22" t="n">
        <f aca="false">INDEX('Tabela Passaro'!$F$2:$F$1795,$N1717)</f>
        <v>12</v>
      </c>
      <c r="R1717" s="32" t="n">
        <f aca="false">IF(J1717&lt;=10,INDEX('Tabela Passaro'!$G$2:$G$1795,$N1717),IF(J1717&lt;=30,INDEX('Tabela Passaro'!$H$2:$H$1795,$N1717),IF(J1717&lt;=50,INDEX('Tabela Passaro'!$I$2:$I$1795,$N1717),IF(J1717&lt;=70,INDEX('Tabela Passaro'!$J$2:$J$1795,$N1717),IF(J1717&lt;=100,INDEX('Tabela Passaro'!$K$2:$K$1795,$N1717),INDEX('Tabela Passaro'!$K$2:$K$1795,$N1717)+(J1717-100)*INDEX('Tabela Passaro'!$L$2:$L$1795,$N1717))))))</f>
        <v>139.62</v>
      </c>
      <c r="S1717" s="32" t="n">
        <f aca="false">K1717*INDEX('Tabela Passaro'!$M$2:$M$1795,$N1717)</f>
        <v>5.327</v>
      </c>
      <c r="T1717" s="32" t="n">
        <f aca="false">K1717*INDEX('Tabela Passaro'!$N$2:$N$1795,$N1717)</f>
        <v>2.1308</v>
      </c>
      <c r="U1717" s="32" t="n">
        <f aca="false">INDEX('Tabela Passaro'!$O$2:$O$1795,$N1717)</f>
        <v>5</v>
      </c>
      <c r="V1717" s="32" t="n">
        <f aca="false">ROUNDUP(J1717/INDEX('Tabela Passaro'!$Q$2:$Q$1795,$N1717),0)*INDEX('Tabela Passaro'!$P$2:$P$1795,$N1717)</f>
        <v>5</v>
      </c>
      <c r="W1717" s="32" t="n">
        <f aca="false">INDEX('Tabela Passaro'!$R$2:$R$1795,$N1717)</f>
        <v>30</v>
      </c>
      <c r="X1717" s="32" t="n">
        <f aca="false">ROUNDUP(J1717/INDEX('Tabela Passaro'!$T$2:$T$1795,$N1717),0)*INDEX('Tabela Passaro'!$S$2:$S$1795,$N1717)</f>
        <v>0</v>
      </c>
      <c r="Y1717" s="32" t="n">
        <f aca="false">INDEX('Tabela Passaro'!$U$2:$U$1795,$N1717)</f>
        <v>0</v>
      </c>
      <c r="Z1717" s="32" t="n">
        <f aca="false">INDEX('Tabela Passaro'!$V$2:$V$1795,$N1717)</f>
        <v>0</v>
      </c>
      <c r="AA1717" s="32" t="n">
        <f aca="false">SUM(R1717:Z1717)</f>
        <v>187.0778</v>
      </c>
      <c r="AB1717" s="33" t="n">
        <f aca="false">INDEX(Premissas!$B$5:$B$13,MATCH(A1717,Premissas!$A$5:$A$13,0))</f>
        <v>0.07</v>
      </c>
      <c r="AC1717" s="32" t="n">
        <f aca="false">AA1717/(1-AB1717)-AA1717</f>
        <v>14.0811247311828</v>
      </c>
      <c r="AD1717" s="32" t="n">
        <f aca="false">ROUND(AA1717+AC1717,2)</f>
        <v>201.16</v>
      </c>
      <c r="AE1717" s="32" t="n">
        <f aca="false">AD1717-L1717</f>
        <v>-45.7</v>
      </c>
      <c r="AF1717" s="34" t="n">
        <f aca="false">IF(L1717=0,0,AE1717/L1717)</f>
        <v>-0.185125172162359</v>
      </c>
      <c r="AG1717" s="22" t="str">
        <f aca="false">IF(AD1717&lt;L1717,"PASSARO","ATUAL")</f>
        <v>PASSARO</v>
      </c>
      <c r="AH1717" s="22" t="str">
        <f aca="false">IF(P1717&lt;&gt;A1717,"Faixa cadastrada como "&amp;P1717&amp;" na tabela; preço aplicado pela UF do CEP","")</f>
        <v/>
      </c>
      <c r="AI1717" s="26" t="n">
        <v>242.29</v>
      </c>
      <c r="AJ1717" s="22" t="str">
        <f aca="false">INDEX('Tabela Passaro'!$X$2:$X$1795,$N1717)</f>
        <v>INTERIOR 1</v>
      </c>
    </row>
    <row r="1718" customFormat="false" ht="15" hidden="false" customHeight="false" outlineLevel="0" collapsed="false">
      <c r="A1718" s="22" t="s">
        <v>22</v>
      </c>
      <c r="B1718" s="22" t="n">
        <v>3</v>
      </c>
      <c r="C1718" s="22" t="s">
        <v>186</v>
      </c>
      <c r="D1718" s="22" t="s">
        <v>30</v>
      </c>
      <c r="E1718" s="22" t="s">
        <v>7328</v>
      </c>
      <c r="F1718" s="22" t="n">
        <v>2315731</v>
      </c>
      <c r="G1718" s="30" t="n">
        <v>46258</v>
      </c>
      <c r="H1718" s="22" t="n">
        <v>134903</v>
      </c>
      <c r="I1718" s="22" t="s">
        <v>8889</v>
      </c>
      <c r="J1718" s="31" t="n">
        <v>29.2</v>
      </c>
      <c r="K1718" s="26" t="n">
        <v>549.79</v>
      </c>
      <c r="L1718" s="26" t="n">
        <v>140.44</v>
      </c>
      <c r="M1718" s="22" t="s">
        <v>6540</v>
      </c>
      <c r="N1718" s="22" t="n">
        <f aca="false">MATCH(M1718,'Tabela Passaro'!$A$2:$A$1795,0)</f>
        <v>1594</v>
      </c>
      <c r="O1718" s="22" t="str">
        <f aca="false">INDEX('Tabela Passaro'!$C$2:$C$1795,$N1718)</f>
        <v>MOSSORO</v>
      </c>
      <c r="P1718" s="22" t="str">
        <f aca="false">INDEX('Tabela Passaro'!$B$2:$B$1795,$N1718)</f>
        <v>RN</v>
      </c>
      <c r="Q1718" s="22" t="n">
        <f aca="false">INDEX('Tabela Passaro'!$F$2:$F$1795,$N1718)</f>
        <v>12</v>
      </c>
      <c r="R1718" s="32" t="n">
        <f aca="false">IF(J1718&lt;=10,INDEX('Tabela Passaro'!$G$2:$G$1795,$N1718),IF(J1718&lt;=30,INDEX('Tabela Passaro'!$H$2:$H$1795,$N1718),IF(J1718&lt;=50,INDEX('Tabela Passaro'!$I$2:$I$1795,$N1718),IF(J1718&lt;=70,INDEX('Tabela Passaro'!$J$2:$J$1795,$N1718),IF(J1718&lt;=100,INDEX('Tabela Passaro'!$K$2:$K$1795,$N1718),INDEX('Tabela Passaro'!$K$2:$K$1795,$N1718)+(J1718-100)*INDEX('Tabela Passaro'!$L$2:$L$1795,$N1718))))))</f>
        <v>109.56</v>
      </c>
      <c r="S1718" s="32" t="n">
        <f aca="false">K1718*INDEX('Tabela Passaro'!$M$2:$M$1795,$N1718)</f>
        <v>2.74895</v>
      </c>
      <c r="T1718" s="32" t="n">
        <f aca="false">K1718*INDEX('Tabela Passaro'!$N$2:$N$1795,$N1718)</f>
        <v>1.09958</v>
      </c>
      <c r="U1718" s="32" t="n">
        <f aca="false">INDEX('Tabela Passaro'!$O$2:$O$1795,$N1718)</f>
        <v>5</v>
      </c>
      <c r="V1718" s="32" t="n">
        <f aca="false">ROUNDUP(J1718/INDEX('Tabela Passaro'!$Q$2:$Q$1795,$N1718),0)*INDEX('Tabela Passaro'!$P$2:$P$1795,$N1718)</f>
        <v>5</v>
      </c>
      <c r="W1718" s="32" t="n">
        <f aca="false">INDEX('Tabela Passaro'!$R$2:$R$1795,$N1718)</f>
        <v>30</v>
      </c>
      <c r="X1718" s="32" t="n">
        <f aca="false">ROUNDUP(J1718/INDEX('Tabela Passaro'!$T$2:$T$1795,$N1718),0)*INDEX('Tabela Passaro'!$S$2:$S$1795,$N1718)</f>
        <v>0</v>
      </c>
      <c r="Y1718" s="32" t="n">
        <f aca="false">INDEX('Tabela Passaro'!$U$2:$U$1795,$N1718)</f>
        <v>0</v>
      </c>
      <c r="Z1718" s="32" t="n">
        <f aca="false">INDEX('Tabela Passaro'!$V$2:$V$1795,$N1718)</f>
        <v>0</v>
      </c>
      <c r="AA1718" s="32" t="n">
        <f aca="false">SUM(R1718:Z1718)</f>
        <v>153.40853</v>
      </c>
      <c r="AB1718" s="33" t="n">
        <f aca="false">INDEX(Premissas!$B$5:$B$13,MATCH(A1718,Premissas!$A$5:$A$13,0))</f>
        <v>0.07</v>
      </c>
      <c r="AC1718" s="32" t="n">
        <f aca="false">AA1718/(1-AB1718)-AA1718</f>
        <v>11.5468786021505</v>
      </c>
      <c r="AD1718" s="32" t="n">
        <f aca="false">ROUND(AA1718+AC1718,2)</f>
        <v>164.96</v>
      </c>
      <c r="AE1718" s="32" t="n">
        <f aca="false">AD1718-L1718</f>
        <v>24.52</v>
      </c>
      <c r="AF1718" s="34" t="n">
        <f aca="false">IF(L1718=0,0,AE1718/L1718)</f>
        <v>0.174594132725719</v>
      </c>
      <c r="AG1718" s="22" t="str">
        <f aca="false">IF(AD1718&lt;L1718,"PASSARO","ATUAL")</f>
        <v>ATUAL</v>
      </c>
      <c r="AH1718" s="22" t="str">
        <f aca="false">IF(P1718&lt;&gt;A1718,"Faixa cadastrada como "&amp;P1718&amp;" na tabela; preço aplicado pela UF do CEP","")</f>
        <v/>
      </c>
      <c r="AI1718" s="26" t="n">
        <v>189.08</v>
      </c>
      <c r="AJ1718" s="22" t="str">
        <f aca="false">INDEX('Tabela Passaro'!$X$2:$X$1795,$N1718)</f>
        <v>INTERIOR 1</v>
      </c>
    </row>
    <row r="1719" customFormat="false" ht="15" hidden="false" customHeight="false" outlineLevel="0" collapsed="false">
      <c r="A1719" s="22" t="s">
        <v>22</v>
      </c>
      <c r="B1719" s="22" t="n">
        <v>3</v>
      </c>
      <c r="C1719" s="22" t="s">
        <v>186</v>
      </c>
      <c r="D1719" s="22" t="s">
        <v>30</v>
      </c>
      <c r="E1719" s="22" t="s">
        <v>7326</v>
      </c>
      <c r="F1719" s="22" t="n">
        <v>528321</v>
      </c>
      <c r="G1719" s="30" t="n">
        <v>46262</v>
      </c>
      <c r="H1719" s="22" t="n">
        <v>630316</v>
      </c>
      <c r="I1719" s="22" t="s">
        <v>8890</v>
      </c>
      <c r="J1719" s="31" t="n">
        <v>63.1</v>
      </c>
      <c r="K1719" s="26" t="n">
        <v>2415.79</v>
      </c>
      <c r="L1719" s="26" t="n">
        <v>295.09</v>
      </c>
      <c r="M1719" s="22" t="s">
        <v>6540</v>
      </c>
      <c r="N1719" s="22" t="n">
        <f aca="false">MATCH(M1719,'Tabela Passaro'!$A$2:$A$1795,0)</f>
        <v>1594</v>
      </c>
      <c r="O1719" s="22" t="str">
        <f aca="false">INDEX('Tabela Passaro'!$C$2:$C$1795,$N1719)</f>
        <v>MOSSORO</v>
      </c>
      <c r="P1719" s="22" t="str">
        <f aca="false">INDEX('Tabela Passaro'!$B$2:$B$1795,$N1719)</f>
        <v>RN</v>
      </c>
      <c r="Q1719" s="22" t="n">
        <f aca="false">INDEX('Tabela Passaro'!$F$2:$F$1795,$N1719)</f>
        <v>12</v>
      </c>
      <c r="R1719" s="32" t="n">
        <f aca="false">IF(J1719&lt;=10,INDEX('Tabela Passaro'!$G$2:$G$1795,$N1719),IF(J1719&lt;=30,INDEX('Tabela Passaro'!$H$2:$H$1795,$N1719),IF(J1719&lt;=50,INDEX('Tabela Passaro'!$I$2:$I$1795,$N1719),IF(J1719&lt;=70,INDEX('Tabela Passaro'!$J$2:$J$1795,$N1719),IF(J1719&lt;=100,INDEX('Tabela Passaro'!$K$2:$K$1795,$N1719),INDEX('Tabela Passaro'!$K$2:$K$1795,$N1719)+(J1719-100)*INDEX('Tabela Passaro'!$L$2:$L$1795,$N1719))))))</f>
        <v>139.62</v>
      </c>
      <c r="S1719" s="32" t="n">
        <f aca="false">K1719*INDEX('Tabela Passaro'!$M$2:$M$1795,$N1719)</f>
        <v>12.07895</v>
      </c>
      <c r="T1719" s="32" t="n">
        <f aca="false">K1719*INDEX('Tabela Passaro'!$N$2:$N$1795,$N1719)</f>
        <v>4.83158</v>
      </c>
      <c r="U1719" s="32" t="n">
        <f aca="false">INDEX('Tabela Passaro'!$O$2:$O$1795,$N1719)</f>
        <v>5</v>
      </c>
      <c r="V1719" s="32" t="n">
        <f aca="false">ROUNDUP(J1719/INDEX('Tabela Passaro'!$Q$2:$Q$1795,$N1719),0)*INDEX('Tabela Passaro'!$P$2:$P$1795,$N1719)</f>
        <v>5</v>
      </c>
      <c r="W1719" s="32" t="n">
        <f aca="false">INDEX('Tabela Passaro'!$R$2:$R$1795,$N1719)</f>
        <v>30</v>
      </c>
      <c r="X1719" s="32" t="n">
        <f aca="false">ROUNDUP(J1719/INDEX('Tabela Passaro'!$T$2:$T$1795,$N1719),0)*INDEX('Tabela Passaro'!$S$2:$S$1795,$N1719)</f>
        <v>0</v>
      </c>
      <c r="Y1719" s="32" t="n">
        <f aca="false">INDEX('Tabela Passaro'!$U$2:$U$1795,$N1719)</f>
        <v>0</v>
      </c>
      <c r="Z1719" s="32" t="n">
        <f aca="false">INDEX('Tabela Passaro'!$V$2:$V$1795,$N1719)</f>
        <v>0</v>
      </c>
      <c r="AA1719" s="32" t="n">
        <f aca="false">SUM(R1719:Z1719)</f>
        <v>196.53053</v>
      </c>
      <c r="AB1719" s="33" t="n">
        <f aca="false">INDEX(Premissas!$B$5:$B$13,MATCH(A1719,Premissas!$A$5:$A$13,0))</f>
        <v>0.07</v>
      </c>
      <c r="AC1719" s="32" t="n">
        <f aca="false">AA1719/(1-AB1719)-AA1719</f>
        <v>14.7926205376344</v>
      </c>
      <c r="AD1719" s="32" t="n">
        <f aca="false">ROUND(AA1719+AC1719,2)</f>
        <v>211.32</v>
      </c>
      <c r="AE1719" s="32" t="n">
        <f aca="false">AD1719-L1719</f>
        <v>-83.77</v>
      </c>
      <c r="AF1719" s="34" t="n">
        <f aca="false">IF(L1719=0,0,AE1719/L1719)</f>
        <v>-0.283879494391542</v>
      </c>
      <c r="AG1719" s="22" t="str">
        <f aca="false">IF(AD1719&lt;L1719,"PASSARO","ATUAL")</f>
        <v>PASSARO</v>
      </c>
      <c r="AH1719" s="22" t="str">
        <f aca="false">IF(P1719&lt;&gt;A1719,"Faixa cadastrada como "&amp;P1719&amp;" na tabela; preço aplicado pela UF do CEP","")</f>
        <v/>
      </c>
      <c r="AI1719" s="26" t="n">
        <v>261.16</v>
      </c>
      <c r="AJ1719" s="22" t="str">
        <f aca="false">INDEX('Tabela Passaro'!$X$2:$X$1795,$N1719)</f>
        <v>INTERIOR 1</v>
      </c>
    </row>
    <row r="1720" customFormat="false" ht="15" hidden="false" customHeight="false" outlineLevel="0" collapsed="false">
      <c r="A1720" s="22" t="s">
        <v>22</v>
      </c>
      <c r="B1720" s="22" t="n">
        <v>4</v>
      </c>
      <c r="C1720" s="22" t="s">
        <v>188</v>
      </c>
      <c r="D1720" s="22" t="s">
        <v>33</v>
      </c>
      <c r="E1720" s="22" t="s">
        <v>7399</v>
      </c>
      <c r="F1720" s="22" t="n">
        <v>1851829</v>
      </c>
      <c r="G1720" s="30" t="n">
        <v>46247</v>
      </c>
      <c r="H1720" s="22" t="n">
        <v>133384</v>
      </c>
      <c r="I1720" s="22" t="s">
        <v>8891</v>
      </c>
      <c r="J1720" s="31" t="n">
        <v>67.8</v>
      </c>
      <c r="K1720" s="26" t="n">
        <v>1249.9</v>
      </c>
      <c r="L1720" s="26" t="n">
        <v>269.99</v>
      </c>
      <c r="M1720" s="22" t="s">
        <v>6450</v>
      </c>
      <c r="N1720" s="22" t="n">
        <f aca="false">MATCH(M1720,'Tabela Passaro'!$A$2:$A$1795,0)</f>
        <v>1571</v>
      </c>
      <c r="O1720" s="22" t="str">
        <f aca="false">INDEX('Tabela Passaro'!$C$2:$C$1795,$N1720)</f>
        <v>EXTREMOZ</v>
      </c>
      <c r="P1720" s="22" t="str">
        <f aca="false">INDEX('Tabela Passaro'!$B$2:$B$1795,$N1720)</f>
        <v>RN</v>
      </c>
      <c r="Q1720" s="22" t="n">
        <f aca="false">INDEX('Tabela Passaro'!$F$2:$F$1795,$N1720)</f>
        <v>12</v>
      </c>
      <c r="R1720" s="32" t="n">
        <f aca="false">IF(J1720&lt;=10,INDEX('Tabela Passaro'!$G$2:$G$1795,$N1720),IF(J1720&lt;=30,INDEX('Tabela Passaro'!$H$2:$H$1795,$N1720),IF(J1720&lt;=50,INDEX('Tabela Passaro'!$I$2:$I$1795,$N1720),IF(J1720&lt;=70,INDEX('Tabela Passaro'!$J$2:$J$1795,$N1720),IF(J1720&lt;=100,INDEX('Tabela Passaro'!$K$2:$K$1795,$N1720),INDEX('Tabela Passaro'!$K$2:$K$1795,$N1720)+(J1720-100)*INDEX('Tabela Passaro'!$L$2:$L$1795,$N1720))))))</f>
        <v>139.62</v>
      </c>
      <c r="S1720" s="32" t="n">
        <f aca="false">K1720*INDEX('Tabela Passaro'!$M$2:$M$1795,$N1720)</f>
        <v>6.2495</v>
      </c>
      <c r="T1720" s="32" t="n">
        <f aca="false">K1720*INDEX('Tabela Passaro'!$N$2:$N$1795,$N1720)</f>
        <v>2.4998</v>
      </c>
      <c r="U1720" s="32" t="n">
        <f aca="false">INDEX('Tabela Passaro'!$O$2:$O$1795,$N1720)</f>
        <v>5</v>
      </c>
      <c r="V1720" s="32" t="n">
        <f aca="false">ROUNDUP(J1720/INDEX('Tabela Passaro'!$Q$2:$Q$1795,$N1720),0)*INDEX('Tabela Passaro'!$P$2:$P$1795,$N1720)</f>
        <v>5</v>
      </c>
      <c r="W1720" s="32" t="n">
        <f aca="false">INDEX('Tabela Passaro'!$R$2:$R$1795,$N1720)</f>
        <v>30</v>
      </c>
      <c r="X1720" s="32" t="n">
        <f aca="false">ROUNDUP(J1720/INDEX('Tabela Passaro'!$T$2:$T$1795,$N1720),0)*INDEX('Tabela Passaro'!$S$2:$S$1795,$N1720)</f>
        <v>0</v>
      </c>
      <c r="Y1720" s="32" t="n">
        <f aca="false">INDEX('Tabela Passaro'!$U$2:$U$1795,$N1720)</f>
        <v>0</v>
      </c>
      <c r="Z1720" s="32" t="n">
        <f aca="false">INDEX('Tabela Passaro'!$V$2:$V$1795,$N1720)</f>
        <v>0</v>
      </c>
      <c r="AA1720" s="32" t="n">
        <f aca="false">SUM(R1720:Z1720)</f>
        <v>188.3693</v>
      </c>
      <c r="AB1720" s="33" t="n">
        <f aca="false">INDEX(Premissas!$B$5:$B$13,MATCH(A1720,Premissas!$A$5:$A$13,0))</f>
        <v>0.07</v>
      </c>
      <c r="AC1720" s="32" t="n">
        <f aca="false">AA1720/(1-AB1720)-AA1720</f>
        <v>14.1783344086022</v>
      </c>
      <c r="AD1720" s="32" t="n">
        <f aca="false">ROUND(AA1720+AC1720,2)</f>
        <v>202.55</v>
      </c>
      <c r="AE1720" s="32" t="n">
        <f aca="false">AD1720-L1720</f>
        <v>-67.44</v>
      </c>
      <c r="AF1720" s="34" t="n">
        <f aca="false">IF(L1720=0,0,AE1720/L1720)</f>
        <v>-0.249787029149228</v>
      </c>
      <c r="AG1720" s="22" t="str">
        <f aca="false">IF(AD1720&lt;L1720,"PASSARO","ATUAL")</f>
        <v>PASSARO</v>
      </c>
      <c r="AH1720" s="22" t="str">
        <f aca="false">IF(P1720&lt;&gt;A1720,"Faixa cadastrada como "&amp;P1720&amp;" na tabela; preço aplicado pela UF do CEP","")</f>
        <v/>
      </c>
      <c r="AI1720" s="26" t="n">
        <v>251.82</v>
      </c>
      <c r="AJ1720" s="22" t="str">
        <f aca="false">INDEX('Tabela Passaro'!$X$2:$X$1795,$N1720)</f>
        <v>INTERIOR 1</v>
      </c>
    </row>
    <row r="1721" customFormat="false" ht="15" hidden="false" customHeight="false" outlineLevel="0" collapsed="false">
      <c r="A1721" s="22" t="s">
        <v>22</v>
      </c>
      <c r="B1721" s="22" t="n">
        <v>4</v>
      </c>
      <c r="C1721" s="22" t="s">
        <v>188</v>
      </c>
      <c r="D1721" s="22" t="s">
        <v>30</v>
      </c>
      <c r="E1721" s="22" t="s">
        <v>20</v>
      </c>
      <c r="F1721" s="22" t="n">
        <v>837671</v>
      </c>
      <c r="G1721" s="30" t="n">
        <v>46237</v>
      </c>
      <c r="H1721" s="22" t="n">
        <v>32348</v>
      </c>
      <c r="I1721" s="22" t="s">
        <v>8891</v>
      </c>
      <c r="J1721" s="31" t="n">
        <v>45.4</v>
      </c>
      <c r="K1721" s="26" t="n">
        <v>651.09</v>
      </c>
      <c r="L1721" s="26" t="n">
        <v>180.9</v>
      </c>
      <c r="M1721" s="22" t="s">
        <v>6450</v>
      </c>
      <c r="N1721" s="22" t="n">
        <f aca="false">MATCH(M1721,'Tabela Passaro'!$A$2:$A$1795,0)</f>
        <v>1571</v>
      </c>
      <c r="O1721" s="22" t="str">
        <f aca="false">INDEX('Tabela Passaro'!$C$2:$C$1795,$N1721)</f>
        <v>EXTREMOZ</v>
      </c>
      <c r="P1721" s="22" t="str">
        <f aca="false">INDEX('Tabela Passaro'!$B$2:$B$1795,$N1721)</f>
        <v>RN</v>
      </c>
      <c r="Q1721" s="22" t="n">
        <f aca="false">INDEX('Tabela Passaro'!$F$2:$F$1795,$N1721)</f>
        <v>12</v>
      </c>
      <c r="R1721" s="32" t="n">
        <f aca="false">IF(J1721&lt;=10,INDEX('Tabela Passaro'!$G$2:$G$1795,$N1721),IF(J1721&lt;=30,INDEX('Tabela Passaro'!$H$2:$H$1795,$N1721),IF(J1721&lt;=50,INDEX('Tabela Passaro'!$I$2:$I$1795,$N1721),IF(J1721&lt;=70,INDEX('Tabela Passaro'!$J$2:$J$1795,$N1721),IF(J1721&lt;=100,INDEX('Tabela Passaro'!$K$2:$K$1795,$N1721),INDEX('Tabela Passaro'!$K$2:$K$1795,$N1721)+(J1721-100)*INDEX('Tabela Passaro'!$L$2:$L$1795,$N1721))))))</f>
        <v>129.6</v>
      </c>
      <c r="S1721" s="32" t="n">
        <f aca="false">K1721*INDEX('Tabela Passaro'!$M$2:$M$1795,$N1721)</f>
        <v>3.25545</v>
      </c>
      <c r="T1721" s="32" t="n">
        <f aca="false">K1721*INDEX('Tabela Passaro'!$N$2:$N$1795,$N1721)</f>
        <v>1.30218</v>
      </c>
      <c r="U1721" s="32" t="n">
        <f aca="false">INDEX('Tabela Passaro'!$O$2:$O$1795,$N1721)</f>
        <v>5</v>
      </c>
      <c r="V1721" s="32" t="n">
        <f aca="false">ROUNDUP(J1721/INDEX('Tabela Passaro'!$Q$2:$Q$1795,$N1721),0)*INDEX('Tabela Passaro'!$P$2:$P$1795,$N1721)</f>
        <v>5</v>
      </c>
      <c r="W1721" s="32" t="n">
        <f aca="false">INDEX('Tabela Passaro'!$R$2:$R$1795,$N1721)</f>
        <v>30</v>
      </c>
      <c r="X1721" s="32" t="n">
        <f aca="false">ROUNDUP(J1721/INDEX('Tabela Passaro'!$T$2:$T$1795,$N1721),0)*INDEX('Tabela Passaro'!$S$2:$S$1795,$N1721)</f>
        <v>0</v>
      </c>
      <c r="Y1721" s="32" t="n">
        <f aca="false">INDEX('Tabela Passaro'!$U$2:$U$1795,$N1721)</f>
        <v>0</v>
      </c>
      <c r="Z1721" s="32" t="n">
        <f aca="false">INDEX('Tabela Passaro'!$V$2:$V$1795,$N1721)</f>
        <v>0</v>
      </c>
      <c r="AA1721" s="32" t="n">
        <f aca="false">SUM(R1721:Z1721)</f>
        <v>174.15763</v>
      </c>
      <c r="AB1721" s="33" t="n">
        <f aca="false">INDEX(Premissas!$B$5:$B$13,MATCH(A1721,Premissas!$A$5:$A$13,0))</f>
        <v>0.07</v>
      </c>
      <c r="AC1721" s="32" t="n">
        <f aca="false">AA1721/(1-AB1721)-AA1721</f>
        <v>13.1086388172043</v>
      </c>
      <c r="AD1721" s="32" t="n">
        <f aca="false">ROUND(AA1721+AC1721,2)</f>
        <v>187.27</v>
      </c>
      <c r="AE1721" s="32" t="n">
        <f aca="false">AD1721-L1721</f>
        <v>6.37</v>
      </c>
      <c r="AF1721" s="34" t="n">
        <f aca="false">IF(L1721=0,0,AE1721/L1721)</f>
        <v>0.0352128247650636</v>
      </c>
      <c r="AG1721" s="22" t="str">
        <f aca="false">IF(AD1721&lt;L1721,"PASSARO","ATUAL")</f>
        <v>ATUAL</v>
      </c>
      <c r="AH1721" s="22" t="str">
        <f aca="false">IF(P1721&lt;&gt;A1721,"Faixa cadastrada como "&amp;P1721&amp;" na tabela; preço aplicado pela UF do CEP","")</f>
        <v/>
      </c>
      <c r="AI1721" s="26" t="n">
        <v>222.86</v>
      </c>
      <c r="AJ1721" s="22" t="str">
        <f aca="false">INDEX('Tabela Passaro'!$X$2:$X$1795,$N1721)</f>
        <v>INTERIOR 1</v>
      </c>
    </row>
    <row r="1722" customFormat="false" ht="15" hidden="false" customHeight="false" outlineLevel="0" collapsed="false">
      <c r="A1722" s="22" t="s">
        <v>22</v>
      </c>
      <c r="B1722" s="22" t="n">
        <v>4</v>
      </c>
      <c r="C1722" s="22" t="s">
        <v>188</v>
      </c>
      <c r="D1722" s="22" t="s">
        <v>30</v>
      </c>
      <c r="E1722" s="22" t="s">
        <v>7399</v>
      </c>
      <c r="F1722" s="22" t="n">
        <v>261712</v>
      </c>
      <c r="G1722" s="30" t="n">
        <v>46247</v>
      </c>
      <c r="H1722" s="22" t="n">
        <v>130619</v>
      </c>
      <c r="I1722" s="22" t="s">
        <v>8891</v>
      </c>
      <c r="J1722" s="31" t="n">
        <v>51.06</v>
      </c>
      <c r="K1722" s="26" t="n">
        <v>993.8</v>
      </c>
      <c r="L1722" s="26" t="n">
        <v>279.88</v>
      </c>
      <c r="M1722" s="22" t="s">
        <v>6450</v>
      </c>
      <c r="N1722" s="22" t="n">
        <f aca="false">MATCH(M1722,'Tabela Passaro'!$A$2:$A$1795,0)</f>
        <v>1571</v>
      </c>
      <c r="O1722" s="22" t="str">
        <f aca="false">INDEX('Tabela Passaro'!$C$2:$C$1795,$N1722)</f>
        <v>EXTREMOZ</v>
      </c>
      <c r="P1722" s="22" t="str">
        <f aca="false">INDEX('Tabela Passaro'!$B$2:$B$1795,$N1722)</f>
        <v>RN</v>
      </c>
      <c r="Q1722" s="22" t="n">
        <f aca="false">INDEX('Tabela Passaro'!$F$2:$F$1795,$N1722)</f>
        <v>12</v>
      </c>
      <c r="R1722" s="32" t="n">
        <f aca="false">IF(J1722&lt;=10,INDEX('Tabela Passaro'!$G$2:$G$1795,$N1722),IF(J1722&lt;=30,INDEX('Tabela Passaro'!$H$2:$H$1795,$N1722),IF(J1722&lt;=50,INDEX('Tabela Passaro'!$I$2:$I$1795,$N1722),IF(J1722&lt;=70,INDEX('Tabela Passaro'!$J$2:$J$1795,$N1722),IF(J1722&lt;=100,INDEX('Tabela Passaro'!$K$2:$K$1795,$N1722),INDEX('Tabela Passaro'!$K$2:$K$1795,$N1722)+(J1722-100)*INDEX('Tabela Passaro'!$L$2:$L$1795,$N1722))))))</f>
        <v>139.62</v>
      </c>
      <c r="S1722" s="32" t="n">
        <f aca="false">K1722*INDEX('Tabela Passaro'!$M$2:$M$1795,$N1722)</f>
        <v>4.969</v>
      </c>
      <c r="T1722" s="32" t="n">
        <f aca="false">K1722*INDEX('Tabela Passaro'!$N$2:$N$1795,$N1722)</f>
        <v>1.9876</v>
      </c>
      <c r="U1722" s="32" t="n">
        <f aca="false">INDEX('Tabela Passaro'!$O$2:$O$1795,$N1722)</f>
        <v>5</v>
      </c>
      <c r="V1722" s="32" t="n">
        <f aca="false">ROUNDUP(J1722/INDEX('Tabela Passaro'!$Q$2:$Q$1795,$N1722),0)*INDEX('Tabela Passaro'!$P$2:$P$1795,$N1722)</f>
        <v>5</v>
      </c>
      <c r="W1722" s="32" t="n">
        <f aca="false">INDEX('Tabela Passaro'!$R$2:$R$1795,$N1722)</f>
        <v>30</v>
      </c>
      <c r="X1722" s="32" t="n">
        <f aca="false">ROUNDUP(J1722/INDEX('Tabela Passaro'!$T$2:$T$1795,$N1722),0)*INDEX('Tabela Passaro'!$S$2:$S$1795,$N1722)</f>
        <v>0</v>
      </c>
      <c r="Y1722" s="32" t="n">
        <f aca="false">INDEX('Tabela Passaro'!$U$2:$U$1795,$N1722)</f>
        <v>0</v>
      </c>
      <c r="Z1722" s="32" t="n">
        <f aca="false">INDEX('Tabela Passaro'!$V$2:$V$1795,$N1722)</f>
        <v>0</v>
      </c>
      <c r="AA1722" s="32" t="n">
        <f aca="false">SUM(R1722:Z1722)</f>
        <v>186.5766</v>
      </c>
      <c r="AB1722" s="33" t="n">
        <f aca="false">INDEX(Premissas!$B$5:$B$13,MATCH(A1722,Premissas!$A$5:$A$13,0))</f>
        <v>0.07</v>
      </c>
      <c r="AC1722" s="32" t="n">
        <f aca="false">AA1722/(1-AB1722)-AA1722</f>
        <v>14.0434</v>
      </c>
      <c r="AD1722" s="32" t="n">
        <f aca="false">ROUND(AA1722+AC1722,2)</f>
        <v>200.62</v>
      </c>
      <c r="AE1722" s="32" t="n">
        <f aca="false">AD1722-L1722</f>
        <v>-79.26</v>
      </c>
      <c r="AF1722" s="34" t="n">
        <f aca="false">IF(L1722=0,0,AE1722/L1722)</f>
        <v>-0.283192796912963</v>
      </c>
      <c r="AG1722" s="22" t="str">
        <f aca="false">IF(AD1722&lt;L1722,"PASSARO","ATUAL")</f>
        <v>PASSARO</v>
      </c>
      <c r="AH1722" s="22" t="str">
        <f aca="false">IF(P1722&lt;&gt;A1722,"Faixa cadastrada como "&amp;P1722&amp;" na tabela; preço aplicado pela UF do CEP","")</f>
        <v/>
      </c>
      <c r="AI1722" s="26" t="n">
        <v>241.6</v>
      </c>
      <c r="AJ1722" s="22" t="str">
        <f aca="false">INDEX('Tabela Passaro'!$X$2:$X$1795,$N1722)</f>
        <v>INTERIOR 1</v>
      </c>
    </row>
    <row r="1723" customFormat="false" ht="15" hidden="false" customHeight="false" outlineLevel="0" collapsed="false">
      <c r="A1723" s="22" t="s">
        <v>22</v>
      </c>
      <c r="B1723" s="22" t="n">
        <v>4</v>
      </c>
      <c r="C1723" s="22" t="s">
        <v>188</v>
      </c>
      <c r="D1723" s="22" t="s">
        <v>30</v>
      </c>
      <c r="E1723" s="22" t="s">
        <v>7326</v>
      </c>
      <c r="F1723" s="22" t="n">
        <v>527031</v>
      </c>
      <c r="G1723" s="30" t="n">
        <v>46258</v>
      </c>
      <c r="H1723" s="22" t="n">
        <v>628161</v>
      </c>
      <c r="I1723" s="22" t="s">
        <v>8891</v>
      </c>
      <c r="J1723" s="31" t="n">
        <v>64.1</v>
      </c>
      <c r="K1723" s="26" t="n">
        <v>1230.26</v>
      </c>
      <c r="L1723" s="26" t="n">
        <v>285</v>
      </c>
      <c r="M1723" s="22" t="s">
        <v>6450</v>
      </c>
      <c r="N1723" s="22" t="n">
        <f aca="false">MATCH(M1723,'Tabela Passaro'!$A$2:$A$1795,0)</f>
        <v>1571</v>
      </c>
      <c r="O1723" s="22" t="str">
        <f aca="false">INDEX('Tabela Passaro'!$C$2:$C$1795,$N1723)</f>
        <v>EXTREMOZ</v>
      </c>
      <c r="P1723" s="22" t="str">
        <f aca="false">INDEX('Tabela Passaro'!$B$2:$B$1795,$N1723)</f>
        <v>RN</v>
      </c>
      <c r="Q1723" s="22" t="n">
        <f aca="false">INDEX('Tabela Passaro'!$F$2:$F$1795,$N1723)</f>
        <v>12</v>
      </c>
      <c r="R1723" s="32" t="n">
        <f aca="false">IF(J1723&lt;=10,INDEX('Tabela Passaro'!$G$2:$G$1795,$N1723),IF(J1723&lt;=30,INDEX('Tabela Passaro'!$H$2:$H$1795,$N1723),IF(J1723&lt;=50,INDEX('Tabela Passaro'!$I$2:$I$1795,$N1723),IF(J1723&lt;=70,INDEX('Tabela Passaro'!$J$2:$J$1795,$N1723),IF(J1723&lt;=100,INDEX('Tabela Passaro'!$K$2:$K$1795,$N1723),INDEX('Tabela Passaro'!$K$2:$K$1795,$N1723)+(J1723-100)*INDEX('Tabela Passaro'!$L$2:$L$1795,$N1723))))))</f>
        <v>139.62</v>
      </c>
      <c r="S1723" s="32" t="n">
        <f aca="false">K1723*INDEX('Tabela Passaro'!$M$2:$M$1795,$N1723)</f>
        <v>6.1513</v>
      </c>
      <c r="T1723" s="32" t="n">
        <f aca="false">K1723*INDEX('Tabela Passaro'!$N$2:$N$1795,$N1723)</f>
        <v>2.46052</v>
      </c>
      <c r="U1723" s="32" t="n">
        <f aca="false">INDEX('Tabela Passaro'!$O$2:$O$1795,$N1723)</f>
        <v>5</v>
      </c>
      <c r="V1723" s="32" t="n">
        <f aca="false">ROUNDUP(J1723/INDEX('Tabela Passaro'!$Q$2:$Q$1795,$N1723),0)*INDEX('Tabela Passaro'!$P$2:$P$1795,$N1723)</f>
        <v>5</v>
      </c>
      <c r="W1723" s="32" t="n">
        <f aca="false">INDEX('Tabela Passaro'!$R$2:$R$1795,$N1723)</f>
        <v>30</v>
      </c>
      <c r="X1723" s="32" t="n">
        <f aca="false">ROUNDUP(J1723/INDEX('Tabela Passaro'!$T$2:$T$1795,$N1723),0)*INDEX('Tabela Passaro'!$S$2:$S$1795,$N1723)</f>
        <v>0</v>
      </c>
      <c r="Y1723" s="32" t="n">
        <f aca="false">INDEX('Tabela Passaro'!$U$2:$U$1795,$N1723)</f>
        <v>0</v>
      </c>
      <c r="Z1723" s="32" t="n">
        <f aca="false">INDEX('Tabela Passaro'!$V$2:$V$1795,$N1723)</f>
        <v>0</v>
      </c>
      <c r="AA1723" s="32" t="n">
        <f aca="false">SUM(R1723:Z1723)</f>
        <v>188.23182</v>
      </c>
      <c r="AB1723" s="33" t="n">
        <f aca="false">INDEX(Premissas!$B$5:$B$13,MATCH(A1723,Premissas!$A$5:$A$13,0))</f>
        <v>0.07</v>
      </c>
      <c r="AC1723" s="32" t="n">
        <f aca="false">AA1723/(1-AB1723)-AA1723</f>
        <v>14.1679864516129</v>
      </c>
      <c r="AD1723" s="32" t="n">
        <f aca="false">ROUND(AA1723+AC1723,2)</f>
        <v>202.4</v>
      </c>
      <c r="AE1723" s="32" t="n">
        <f aca="false">AD1723-L1723</f>
        <v>-82.6</v>
      </c>
      <c r="AF1723" s="34" t="n">
        <f aca="false">IF(L1723=0,0,AE1723/L1723)</f>
        <v>-0.289824561403509</v>
      </c>
      <c r="AG1723" s="22" t="str">
        <f aca="false">IF(AD1723&lt;L1723,"PASSARO","ATUAL")</f>
        <v>PASSARO</v>
      </c>
      <c r="AH1723" s="22" t="str">
        <f aca="false">IF(P1723&lt;&gt;A1723,"Faixa cadastrada como "&amp;P1723&amp;" na tabela; preço aplicado pela UF do CEP","")</f>
        <v/>
      </c>
      <c r="AI1723" s="26" t="n">
        <v>250.17</v>
      </c>
      <c r="AJ1723" s="22" t="str">
        <f aca="false">INDEX('Tabela Passaro'!$X$2:$X$1795,$N1723)</f>
        <v>INTERIOR 1</v>
      </c>
    </row>
    <row r="1724" customFormat="false" ht="15" hidden="false" customHeight="false" outlineLevel="0" collapsed="false">
      <c r="A1724" s="22" t="s">
        <v>22</v>
      </c>
      <c r="B1724" s="22" t="n">
        <v>4</v>
      </c>
      <c r="C1724" s="22" t="s">
        <v>188</v>
      </c>
      <c r="D1724" s="22" t="s">
        <v>34</v>
      </c>
      <c r="E1724" s="22" t="s">
        <v>7399</v>
      </c>
      <c r="F1724" s="22" t="n">
        <v>665815</v>
      </c>
      <c r="G1724" s="30" t="n">
        <v>46256</v>
      </c>
      <c r="H1724" s="22" t="n">
        <v>7867</v>
      </c>
      <c r="I1724" s="22" t="s">
        <v>8891</v>
      </c>
      <c r="J1724" s="31" t="n">
        <v>36.9</v>
      </c>
      <c r="K1724" s="26" t="n">
        <v>665.24</v>
      </c>
      <c r="L1724" s="26" t="n">
        <v>195.68</v>
      </c>
      <c r="M1724" s="22" t="s">
        <v>6450</v>
      </c>
      <c r="N1724" s="22" t="n">
        <f aca="false">MATCH(M1724,'Tabela Passaro'!$A$2:$A$1795,0)</f>
        <v>1571</v>
      </c>
      <c r="O1724" s="22" t="str">
        <f aca="false">INDEX('Tabela Passaro'!$C$2:$C$1795,$N1724)</f>
        <v>EXTREMOZ</v>
      </c>
      <c r="P1724" s="22" t="str">
        <f aca="false">INDEX('Tabela Passaro'!$B$2:$B$1795,$N1724)</f>
        <v>RN</v>
      </c>
      <c r="Q1724" s="22" t="n">
        <f aca="false">INDEX('Tabela Passaro'!$F$2:$F$1795,$N1724)</f>
        <v>12</v>
      </c>
      <c r="R1724" s="32" t="n">
        <f aca="false">IF(J1724&lt;=10,INDEX('Tabela Passaro'!$G$2:$G$1795,$N1724),IF(J1724&lt;=30,INDEX('Tabela Passaro'!$H$2:$H$1795,$N1724),IF(J1724&lt;=50,INDEX('Tabela Passaro'!$I$2:$I$1795,$N1724),IF(J1724&lt;=70,INDEX('Tabela Passaro'!$J$2:$J$1795,$N1724),IF(J1724&lt;=100,INDEX('Tabela Passaro'!$K$2:$K$1795,$N1724),INDEX('Tabela Passaro'!$K$2:$K$1795,$N1724)+(J1724-100)*INDEX('Tabela Passaro'!$L$2:$L$1795,$N1724))))))</f>
        <v>129.6</v>
      </c>
      <c r="S1724" s="32" t="n">
        <f aca="false">K1724*INDEX('Tabela Passaro'!$M$2:$M$1795,$N1724)</f>
        <v>3.3262</v>
      </c>
      <c r="T1724" s="32" t="n">
        <f aca="false">K1724*INDEX('Tabela Passaro'!$N$2:$N$1795,$N1724)</f>
        <v>1.33048</v>
      </c>
      <c r="U1724" s="32" t="n">
        <f aca="false">INDEX('Tabela Passaro'!$O$2:$O$1795,$N1724)</f>
        <v>5</v>
      </c>
      <c r="V1724" s="32" t="n">
        <f aca="false">ROUNDUP(J1724/INDEX('Tabela Passaro'!$Q$2:$Q$1795,$N1724),0)*INDEX('Tabela Passaro'!$P$2:$P$1795,$N1724)</f>
        <v>5</v>
      </c>
      <c r="W1724" s="32" t="n">
        <f aca="false">INDEX('Tabela Passaro'!$R$2:$R$1795,$N1724)</f>
        <v>30</v>
      </c>
      <c r="X1724" s="32" t="n">
        <f aca="false">ROUNDUP(J1724/INDEX('Tabela Passaro'!$T$2:$T$1795,$N1724),0)*INDEX('Tabela Passaro'!$S$2:$S$1795,$N1724)</f>
        <v>0</v>
      </c>
      <c r="Y1724" s="32" t="n">
        <f aca="false">INDEX('Tabela Passaro'!$U$2:$U$1795,$N1724)</f>
        <v>0</v>
      </c>
      <c r="Z1724" s="32" t="n">
        <f aca="false">INDEX('Tabela Passaro'!$V$2:$V$1795,$N1724)</f>
        <v>0</v>
      </c>
      <c r="AA1724" s="32" t="n">
        <f aca="false">SUM(R1724:Z1724)</f>
        <v>174.25668</v>
      </c>
      <c r="AB1724" s="33" t="n">
        <f aca="false">INDEX(Premissas!$B$5:$B$13,MATCH(A1724,Premissas!$A$5:$A$13,0))</f>
        <v>0.07</v>
      </c>
      <c r="AC1724" s="32" t="n">
        <f aca="false">AA1724/(1-AB1724)-AA1724</f>
        <v>13.1160941935484</v>
      </c>
      <c r="AD1724" s="32" t="n">
        <f aca="false">ROUND(AA1724+AC1724,2)</f>
        <v>187.37</v>
      </c>
      <c r="AE1724" s="32" t="n">
        <f aca="false">AD1724-L1724</f>
        <v>-8.31</v>
      </c>
      <c r="AF1724" s="34" t="n">
        <f aca="false">IF(L1724=0,0,AE1724/L1724)</f>
        <v>-0.0424672935404743</v>
      </c>
      <c r="AG1724" s="22" t="str">
        <f aca="false">IF(AD1724&lt;L1724,"PASSARO","ATUAL")</f>
        <v>PASSARO</v>
      </c>
      <c r="AH1724" s="22" t="str">
        <f aca="false">IF(P1724&lt;&gt;A1724,"Faixa cadastrada como "&amp;P1724&amp;" na tabela; preço aplicado pela UF do CEP","")</f>
        <v/>
      </c>
      <c r="AI1724" s="26" t="n">
        <v>218.64</v>
      </c>
      <c r="AJ1724" s="22" t="str">
        <f aca="false">INDEX('Tabela Passaro'!$X$2:$X$1795,$N1724)</f>
        <v>INTERIOR 1</v>
      </c>
    </row>
    <row r="1725" customFormat="false" ht="15" hidden="false" customHeight="false" outlineLevel="0" collapsed="false">
      <c r="A1725" s="22" t="s">
        <v>22</v>
      </c>
      <c r="B1725" s="22" t="n">
        <v>5</v>
      </c>
      <c r="C1725" s="22" t="s">
        <v>190</v>
      </c>
      <c r="D1725" s="22" t="s">
        <v>33</v>
      </c>
      <c r="E1725" s="22" t="s">
        <v>7399</v>
      </c>
      <c r="F1725" s="22" t="n">
        <v>1846618</v>
      </c>
      <c r="G1725" s="30" t="n">
        <v>46240</v>
      </c>
      <c r="H1725" s="22" t="n">
        <v>132187</v>
      </c>
      <c r="I1725" s="22" t="s">
        <v>8892</v>
      </c>
      <c r="J1725" s="31" t="n">
        <v>69.11</v>
      </c>
      <c r="K1725" s="26" t="n">
        <v>1186.9</v>
      </c>
      <c r="L1725" s="26" t="n">
        <v>269.65</v>
      </c>
      <c r="M1725" s="22" t="s">
        <v>6443</v>
      </c>
      <c r="N1725" s="22" t="n">
        <f aca="false">MATCH(M1725,'Tabela Passaro'!$A$2:$A$1795,0)</f>
        <v>1569</v>
      </c>
      <c r="O1725" s="22" t="str">
        <f aca="false">INDEX('Tabela Passaro'!$C$2:$C$1795,$N1725)</f>
        <v>CEARA-MIRIM</v>
      </c>
      <c r="P1725" s="22" t="str">
        <f aca="false">INDEX('Tabela Passaro'!$B$2:$B$1795,$N1725)</f>
        <v>RN</v>
      </c>
      <c r="Q1725" s="22" t="n">
        <f aca="false">INDEX('Tabela Passaro'!$F$2:$F$1795,$N1725)</f>
        <v>12</v>
      </c>
      <c r="R1725" s="32" t="n">
        <f aca="false">IF(J1725&lt;=10,INDEX('Tabela Passaro'!$G$2:$G$1795,$N1725),IF(J1725&lt;=30,INDEX('Tabela Passaro'!$H$2:$H$1795,$N1725),IF(J1725&lt;=50,INDEX('Tabela Passaro'!$I$2:$I$1795,$N1725),IF(J1725&lt;=70,INDEX('Tabela Passaro'!$J$2:$J$1795,$N1725),IF(J1725&lt;=100,INDEX('Tabela Passaro'!$K$2:$K$1795,$N1725),INDEX('Tabela Passaro'!$K$2:$K$1795,$N1725)+(J1725-100)*INDEX('Tabela Passaro'!$L$2:$L$1795,$N1725))))))</f>
        <v>139.62</v>
      </c>
      <c r="S1725" s="32" t="n">
        <f aca="false">K1725*INDEX('Tabela Passaro'!$M$2:$M$1795,$N1725)</f>
        <v>5.9345</v>
      </c>
      <c r="T1725" s="32" t="n">
        <f aca="false">K1725*INDEX('Tabela Passaro'!$N$2:$N$1795,$N1725)</f>
        <v>2.3738</v>
      </c>
      <c r="U1725" s="32" t="n">
        <f aca="false">INDEX('Tabela Passaro'!$O$2:$O$1795,$N1725)</f>
        <v>5</v>
      </c>
      <c r="V1725" s="32" t="n">
        <f aca="false">ROUNDUP(J1725/INDEX('Tabela Passaro'!$Q$2:$Q$1795,$N1725),0)*INDEX('Tabela Passaro'!$P$2:$P$1795,$N1725)</f>
        <v>5</v>
      </c>
      <c r="W1725" s="32" t="n">
        <f aca="false">INDEX('Tabela Passaro'!$R$2:$R$1795,$N1725)</f>
        <v>30</v>
      </c>
      <c r="X1725" s="32" t="n">
        <f aca="false">ROUNDUP(J1725/INDEX('Tabela Passaro'!$T$2:$T$1795,$N1725),0)*INDEX('Tabela Passaro'!$S$2:$S$1795,$N1725)</f>
        <v>0</v>
      </c>
      <c r="Y1725" s="32" t="n">
        <f aca="false">INDEX('Tabela Passaro'!$U$2:$U$1795,$N1725)</f>
        <v>0</v>
      </c>
      <c r="Z1725" s="32" t="n">
        <f aca="false">INDEX('Tabela Passaro'!$V$2:$V$1795,$N1725)</f>
        <v>0</v>
      </c>
      <c r="AA1725" s="32" t="n">
        <f aca="false">SUM(R1725:Z1725)</f>
        <v>187.9283</v>
      </c>
      <c r="AB1725" s="33" t="n">
        <f aca="false">INDEX(Premissas!$B$5:$B$13,MATCH(A1725,Premissas!$A$5:$A$13,0))</f>
        <v>0.07</v>
      </c>
      <c r="AC1725" s="32" t="n">
        <f aca="false">AA1725/(1-AB1725)-AA1725</f>
        <v>14.1451408602151</v>
      </c>
      <c r="AD1725" s="32" t="n">
        <f aca="false">ROUND(AA1725+AC1725,2)</f>
        <v>202.07</v>
      </c>
      <c r="AE1725" s="32" t="n">
        <f aca="false">AD1725-L1725</f>
        <v>-67.58</v>
      </c>
      <c r="AF1725" s="34" t="n">
        <f aca="false">IF(L1725=0,0,AE1725/L1725)</f>
        <v>-0.250621175597997</v>
      </c>
      <c r="AG1725" s="22" t="str">
        <f aca="false">IF(AD1725&lt;L1725,"PASSARO","ATUAL")</f>
        <v>PASSARO</v>
      </c>
      <c r="AH1725" s="22" t="str">
        <f aca="false">IF(P1725&lt;&gt;A1725,"Faixa cadastrada como "&amp;P1725&amp;" na tabela; preço aplicado pela UF do CEP","")</f>
        <v/>
      </c>
      <c r="AI1725" s="26" t="n">
        <v>252.17</v>
      </c>
      <c r="AJ1725" s="22" t="str">
        <f aca="false">INDEX('Tabela Passaro'!$X$2:$X$1795,$N1725)</f>
        <v>INTERIOR 1</v>
      </c>
    </row>
    <row r="1726" customFormat="false" ht="15" hidden="false" customHeight="false" outlineLevel="0" collapsed="false">
      <c r="A1726" s="22" t="s">
        <v>22</v>
      </c>
      <c r="B1726" s="22" t="n">
        <v>5</v>
      </c>
      <c r="C1726" s="22" t="s">
        <v>190</v>
      </c>
      <c r="D1726" s="22" t="s">
        <v>33</v>
      </c>
      <c r="E1726" s="22" t="s">
        <v>7399</v>
      </c>
      <c r="F1726" s="22" t="n">
        <v>1860415</v>
      </c>
      <c r="G1726" s="30" t="n">
        <v>46260</v>
      </c>
      <c r="H1726" s="22" t="n">
        <v>135955</v>
      </c>
      <c r="I1726" s="22" t="s">
        <v>8892</v>
      </c>
      <c r="J1726" s="31" t="n">
        <v>4.6</v>
      </c>
      <c r="K1726" s="26" t="n">
        <v>435.57</v>
      </c>
      <c r="L1726" s="26" t="n">
        <v>95.7</v>
      </c>
      <c r="M1726" s="22" t="s">
        <v>6443</v>
      </c>
      <c r="N1726" s="22" t="n">
        <f aca="false">MATCH(M1726,'Tabela Passaro'!$A$2:$A$1795,0)</f>
        <v>1569</v>
      </c>
      <c r="O1726" s="22" t="str">
        <f aca="false">INDEX('Tabela Passaro'!$C$2:$C$1795,$N1726)</f>
        <v>CEARA-MIRIM</v>
      </c>
      <c r="P1726" s="22" t="str">
        <f aca="false">INDEX('Tabela Passaro'!$B$2:$B$1795,$N1726)</f>
        <v>RN</v>
      </c>
      <c r="Q1726" s="22" t="n">
        <f aca="false">INDEX('Tabela Passaro'!$F$2:$F$1795,$N1726)</f>
        <v>12</v>
      </c>
      <c r="R1726" s="32" t="n">
        <f aca="false">IF(J1726&lt;=10,INDEX('Tabela Passaro'!$G$2:$G$1795,$N1726),IF(J1726&lt;=30,INDEX('Tabela Passaro'!$H$2:$H$1795,$N1726),IF(J1726&lt;=50,INDEX('Tabela Passaro'!$I$2:$I$1795,$N1726),IF(J1726&lt;=70,INDEX('Tabela Passaro'!$J$2:$J$1795,$N1726),IF(J1726&lt;=100,INDEX('Tabela Passaro'!$K$2:$K$1795,$N1726),INDEX('Tabela Passaro'!$K$2:$K$1795,$N1726)+(J1726-100)*INDEX('Tabela Passaro'!$L$2:$L$1795,$N1726))))))</f>
        <v>99.55</v>
      </c>
      <c r="S1726" s="32" t="n">
        <f aca="false">K1726*INDEX('Tabela Passaro'!$M$2:$M$1795,$N1726)</f>
        <v>2.17785</v>
      </c>
      <c r="T1726" s="32" t="n">
        <f aca="false">K1726*INDEX('Tabela Passaro'!$N$2:$N$1795,$N1726)</f>
        <v>0.87114</v>
      </c>
      <c r="U1726" s="32" t="n">
        <f aca="false">INDEX('Tabela Passaro'!$O$2:$O$1795,$N1726)</f>
        <v>5</v>
      </c>
      <c r="V1726" s="32" t="n">
        <f aca="false">ROUNDUP(J1726/INDEX('Tabela Passaro'!$Q$2:$Q$1795,$N1726),0)*INDEX('Tabela Passaro'!$P$2:$P$1795,$N1726)</f>
        <v>5</v>
      </c>
      <c r="W1726" s="32" t="n">
        <f aca="false">INDEX('Tabela Passaro'!$R$2:$R$1795,$N1726)</f>
        <v>30</v>
      </c>
      <c r="X1726" s="32" t="n">
        <f aca="false">ROUNDUP(J1726/INDEX('Tabela Passaro'!$T$2:$T$1795,$N1726),0)*INDEX('Tabela Passaro'!$S$2:$S$1795,$N1726)</f>
        <v>0</v>
      </c>
      <c r="Y1726" s="32" t="n">
        <f aca="false">INDEX('Tabela Passaro'!$U$2:$U$1795,$N1726)</f>
        <v>0</v>
      </c>
      <c r="Z1726" s="32" t="n">
        <f aca="false">INDEX('Tabela Passaro'!$V$2:$V$1795,$N1726)</f>
        <v>0</v>
      </c>
      <c r="AA1726" s="32" t="n">
        <f aca="false">SUM(R1726:Z1726)</f>
        <v>142.59899</v>
      </c>
      <c r="AB1726" s="33" t="n">
        <f aca="false">INDEX(Premissas!$B$5:$B$13,MATCH(A1726,Premissas!$A$5:$A$13,0))</f>
        <v>0.07</v>
      </c>
      <c r="AC1726" s="32" t="n">
        <f aca="false">AA1726/(1-AB1726)-AA1726</f>
        <v>10.733257311828</v>
      </c>
      <c r="AD1726" s="32" t="n">
        <f aca="false">ROUND(AA1726+AC1726,2)</f>
        <v>153.33</v>
      </c>
      <c r="AE1726" s="32" t="n">
        <f aca="false">AD1726-L1726</f>
        <v>57.63</v>
      </c>
      <c r="AF1726" s="34" t="n">
        <f aca="false">IF(L1726=0,0,AE1726/L1726)</f>
        <v>0.602194357366771</v>
      </c>
      <c r="AG1726" s="22" t="str">
        <f aca="false">IF(AD1726&lt;L1726,"PASSARO","ATUAL")</f>
        <v>ATUAL</v>
      </c>
      <c r="AH1726" s="22" t="str">
        <f aca="false">IF(P1726&lt;&gt;A1726,"Faixa cadastrada como "&amp;P1726&amp;" na tabela; preço aplicado pela UF do CEP","")</f>
        <v/>
      </c>
      <c r="AI1726" s="26" t="n">
        <v>163.35</v>
      </c>
      <c r="AJ1726" s="22" t="str">
        <f aca="false">INDEX('Tabela Passaro'!$X$2:$X$1795,$N1726)</f>
        <v>INTERIOR 1</v>
      </c>
    </row>
    <row r="1727" customFormat="false" ht="15" hidden="false" customHeight="false" outlineLevel="0" collapsed="false">
      <c r="A1727" s="22" t="s">
        <v>22</v>
      </c>
      <c r="B1727" s="22" t="n">
        <v>5</v>
      </c>
      <c r="C1727" s="22" t="s">
        <v>190</v>
      </c>
      <c r="D1727" s="22" t="s">
        <v>33</v>
      </c>
      <c r="E1727" s="22" t="s">
        <v>7399</v>
      </c>
      <c r="F1727" s="22" t="n">
        <v>1863407</v>
      </c>
      <c r="G1727" s="30" t="n">
        <v>46265</v>
      </c>
      <c r="H1727" s="22" t="n">
        <v>136595</v>
      </c>
      <c r="I1727" s="22" t="s">
        <v>8892</v>
      </c>
      <c r="J1727" s="31" t="n">
        <v>66.8</v>
      </c>
      <c r="K1727" s="26" t="n">
        <v>941.09</v>
      </c>
      <c r="L1727" s="26" t="n">
        <v>268.33</v>
      </c>
      <c r="M1727" s="22" t="s">
        <v>6443</v>
      </c>
      <c r="N1727" s="22" t="n">
        <f aca="false">MATCH(M1727,'Tabela Passaro'!$A$2:$A$1795,0)</f>
        <v>1569</v>
      </c>
      <c r="O1727" s="22" t="str">
        <f aca="false">INDEX('Tabela Passaro'!$C$2:$C$1795,$N1727)</f>
        <v>CEARA-MIRIM</v>
      </c>
      <c r="P1727" s="22" t="str">
        <f aca="false">INDEX('Tabela Passaro'!$B$2:$B$1795,$N1727)</f>
        <v>RN</v>
      </c>
      <c r="Q1727" s="22" t="n">
        <f aca="false">INDEX('Tabela Passaro'!$F$2:$F$1795,$N1727)</f>
        <v>12</v>
      </c>
      <c r="R1727" s="32" t="n">
        <f aca="false">IF(J1727&lt;=10,INDEX('Tabela Passaro'!$G$2:$G$1795,$N1727),IF(J1727&lt;=30,INDEX('Tabela Passaro'!$H$2:$H$1795,$N1727),IF(J1727&lt;=50,INDEX('Tabela Passaro'!$I$2:$I$1795,$N1727),IF(J1727&lt;=70,INDEX('Tabela Passaro'!$J$2:$J$1795,$N1727),IF(J1727&lt;=100,INDEX('Tabela Passaro'!$K$2:$K$1795,$N1727),INDEX('Tabela Passaro'!$K$2:$K$1795,$N1727)+(J1727-100)*INDEX('Tabela Passaro'!$L$2:$L$1795,$N1727))))))</f>
        <v>139.62</v>
      </c>
      <c r="S1727" s="32" t="n">
        <f aca="false">K1727*INDEX('Tabela Passaro'!$M$2:$M$1795,$N1727)</f>
        <v>4.70545</v>
      </c>
      <c r="T1727" s="32" t="n">
        <f aca="false">K1727*INDEX('Tabela Passaro'!$N$2:$N$1795,$N1727)</f>
        <v>1.88218</v>
      </c>
      <c r="U1727" s="32" t="n">
        <f aca="false">INDEX('Tabela Passaro'!$O$2:$O$1795,$N1727)</f>
        <v>5</v>
      </c>
      <c r="V1727" s="32" t="n">
        <f aca="false">ROUNDUP(J1727/INDEX('Tabela Passaro'!$Q$2:$Q$1795,$N1727),0)*INDEX('Tabela Passaro'!$P$2:$P$1795,$N1727)</f>
        <v>5</v>
      </c>
      <c r="W1727" s="32" t="n">
        <f aca="false">INDEX('Tabela Passaro'!$R$2:$R$1795,$N1727)</f>
        <v>30</v>
      </c>
      <c r="X1727" s="32" t="n">
        <f aca="false">ROUNDUP(J1727/INDEX('Tabela Passaro'!$T$2:$T$1795,$N1727),0)*INDEX('Tabela Passaro'!$S$2:$S$1795,$N1727)</f>
        <v>0</v>
      </c>
      <c r="Y1727" s="32" t="n">
        <f aca="false">INDEX('Tabela Passaro'!$U$2:$U$1795,$N1727)</f>
        <v>0</v>
      </c>
      <c r="Z1727" s="32" t="n">
        <f aca="false">INDEX('Tabela Passaro'!$V$2:$V$1795,$N1727)</f>
        <v>0</v>
      </c>
      <c r="AA1727" s="32" t="n">
        <f aca="false">SUM(R1727:Z1727)</f>
        <v>186.20763</v>
      </c>
      <c r="AB1727" s="33" t="n">
        <f aca="false">INDEX(Premissas!$B$5:$B$13,MATCH(A1727,Premissas!$A$5:$A$13,0))</f>
        <v>0.07</v>
      </c>
      <c r="AC1727" s="32" t="n">
        <f aca="false">AA1727/(1-AB1727)-AA1727</f>
        <v>14.0156280645161</v>
      </c>
      <c r="AD1727" s="32" t="n">
        <f aca="false">ROUND(AA1727+AC1727,2)</f>
        <v>200.22</v>
      </c>
      <c r="AE1727" s="32" t="n">
        <f aca="false">AD1727-L1727</f>
        <v>-68.11</v>
      </c>
      <c r="AF1727" s="34" t="n">
        <f aca="false">IF(L1727=0,0,AE1727/L1727)</f>
        <v>-0.253829240114784</v>
      </c>
      <c r="AG1727" s="22" t="str">
        <f aca="false">IF(AD1727&lt;L1727,"PASSARO","ATUAL")</f>
        <v>PASSARO</v>
      </c>
      <c r="AH1727" s="22" t="str">
        <f aca="false">IF(P1727&lt;&gt;A1727,"Faixa cadastrada como "&amp;P1727&amp;" na tabela; preço aplicado pela UF do CEP","")</f>
        <v/>
      </c>
      <c r="AI1727" s="26" t="n">
        <v>248.34</v>
      </c>
      <c r="AJ1727" s="22" t="str">
        <f aca="false">INDEX('Tabela Passaro'!$X$2:$X$1795,$N1727)</f>
        <v>INTERIOR 1</v>
      </c>
    </row>
    <row r="1728" customFormat="false" ht="15" hidden="false" customHeight="false" outlineLevel="0" collapsed="false">
      <c r="A1728" s="22" t="s">
        <v>22</v>
      </c>
      <c r="B1728" s="22" t="n">
        <v>5</v>
      </c>
      <c r="C1728" s="22" t="s">
        <v>190</v>
      </c>
      <c r="D1728" s="22" t="s">
        <v>30</v>
      </c>
      <c r="E1728" s="22" t="s">
        <v>7328</v>
      </c>
      <c r="F1728" s="22" t="n">
        <v>2315770</v>
      </c>
      <c r="G1728" s="30" t="n">
        <v>46258</v>
      </c>
      <c r="H1728" s="22" t="n">
        <v>134930</v>
      </c>
      <c r="I1728" s="22" t="s">
        <v>8892</v>
      </c>
      <c r="J1728" s="31" t="n">
        <v>43.5</v>
      </c>
      <c r="K1728" s="26" t="n">
        <v>937.44</v>
      </c>
      <c r="L1728" s="26" t="n">
        <v>193.1</v>
      </c>
      <c r="M1728" s="22" t="s">
        <v>6443</v>
      </c>
      <c r="N1728" s="22" t="n">
        <f aca="false">MATCH(M1728,'Tabela Passaro'!$A$2:$A$1795,0)</f>
        <v>1569</v>
      </c>
      <c r="O1728" s="22" t="str">
        <f aca="false">INDEX('Tabela Passaro'!$C$2:$C$1795,$N1728)</f>
        <v>CEARA-MIRIM</v>
      </c>
      <c r="P1728" s="22" t="str">
        <f aca="false">INDEX('Tabela Passaro'!$B$2:$B$1795,$N1728)</f>
        <v>RN</v>
      </c>
      <c r="Q1728" s="22" t="n">
        <f aca="false">INDEX('Tabela Passaro'!$F$2:$F$1795,$N1728)</f>
        <v>12</v>
      </c>
      <c r="R1728" s="32" t="n">
        <f aca="false">IF(J1728&lt;=10,INDEX('Tabela Passaro'!$G$2:$G$1795,$N1728),IF(J1728&lt;=30,INDEX('Tabela Passaro'!$H$2:$H$1795,$N1728),IF(J1728&lt;=50,INDEX('Tabela Passaro'!$I$2:$I$1795,$N1728),IF(J1728&lt;=70,INDEX('Tabela Passaro'!$J$2:$J$1795,$N1728),IF(J1728&lt;=100,INDEX('Tabela Passaro'!$K$2:$K$1795,$N1728),INDEX('Tabela Passaro'!$K$2:$K$1795,$N1728)+(J1728-100)*INDEX('Tabela Passaro'!$L$2:$L$1795,$N1728))))))</f>
        <v>129.6</v>
      </c>
      <c r="S1728" s="32" t="n">
        <f aca="false">K1728*INDEX('Tabela Passaro'!$M$2:$M$1795,$N1728)</f>
        <v>4.6872</v>
      </c>
      <c r="T1728" s="32" t="n">
        <f aca="false">K1728*INDEX('Tabela Passaro'!$N$2:$N$1795,$N1728)</f>
        <v>1.87488</v>
      </c>
      <c r="U1728" s="32" t="n">
        <f aca="false">INDEX('Tabela Passaro'!$O$2:$O$1795,$N1728)</f>
        <v>5</v>
      </c>
      <c r="V1728" s="32" t="n">
        <f aca="false">ROUNDUP(J1728/INDEX('Tabela Passaro'!$Q$2:$Q$1795,$N1728),0)*INDEX('Tabela Passaro'!$P$2:$P$1795,$N1728)</f>
        <v>5</v>
      </c>
      <c r="W1728" s="32" t="n">
        <f aca="false">INDEX('Tabela Passaro'!$R$2:$R$1795,$N1728)</f>
        <v>30</v>
      </c>
      <c r="X1728" s="32" t="n">
        <f aca="false">ROUNDUP(J1728/INDEX('Tabela Passaro'!$T$2:$T$1795,$N1728),0)*INDEX('Tabela Passaro'!$S$2:$S$1795,$N1728)</f>
        <v>0</v>
      </c>
      <c r="Y1728" s="32" t="n">
        <f aca="false">INDEX('Tabela Passaro'!$U$2:$U$1795,$N1728)</f>
        <v>0</v>
      </c>
      <c r="Z1728" s="32" t="n">
        <f aca="false">INDEX('Tabela Passaro'!$V$2:$V$1795,$N1728)</f>
        <v>0</v>
      </c>
      <c r="AA1728" s="32" t="n">
        <f aca="false">SUM(R1728:Z1728)</f>
        <v>176.16208</v>
      </c>
      <c r="AB1728" s="33" t="n">
        <f aca="false">INDEX(Premissas!$B$5:$B$13,MATCH(A1728,Premissas!$A$5:$A$13,0))</f>
        <v>0.07</v>
      </c>
      <c r="AC1728" s="32" t="n">
        <f aca="false">AA1728/(1-AB1728)-AA1728</f>
        <v>13.2595113978495</v>
      </c>
      <c r="AD1728" s="32" t="n">
        <f aca="false">ROUND(AA1728+AC1728,2)</f>
        <v>189.42</v>
      </c>
      <c r="AE1728" s="32" t="n">
        <f aca="false">AD1728-L1728</f>
        <v>-3.68000000000001</v>
      </c>
      <c r="AF1728" s="34" t="n">
        <f aca="false">IF(L1728=0,0,AE1728/L1728)</f>
        <v>-0.0190574831693423</v>
      </c>
      <c r="AG1728" s="22" t="str">
        <f aca="false">IF(AD1728&lt;L1728,"PASSARO","ATUAL")</f>
        <v>PASSARO</v>
      </c>
      <c r="AH1728" s="22" t="str">
        <f aca="false">IF(P1728&lt;&gt;A1728,"Faixa cadastrada como "&amp;P1728&amp;" na tabela; preço aplicado pela UF do CEP","")</f>
        <v/>
      </c>
      <c r="AI1728" s="26" t="n">
        <v>224.66</v>
      </c>
      <c r="AJ1728" s="22" t="str">
        <f aca="false">INDEX('Tabela Passaro'!$X$2:$X$1795,$N1728)</f>
        <v>INTERIOR 1</v>
      </c>
    </row>
    <row r="1729" customFormat="false" ht="15" hidden="false" customHeight="false" outlineLevel="0" collapsed="false">
      <c r="A1729" s="22" t="s">
        <v>22</v>
      </c>
      <c r="B1729" s="22" t="n">
        <v>6</v>
      </c>
      <c r="C1729" s="22" t="s">
        <v>192</v>
      </c>
      <c r="D1729" s="22" t="s">
        <v>30</v>
      </c>
      <c r="E1729" s="22" t="s">
        <v>7326</v>
      </c>
      <c r="F1729" s="22" t="n">
        <v>526138</v>
      </c>
      <c r="G1729" s="30" t="n">
        <v>46253</v>
      </c>
      <c r="H1729" s="22" t="n">
        <v>627150</v>
      </c>
      <c r="I1729" s="22" t="s">
        <v>8893</v>
      </c>
      <c r="J1729" s="31" t="n">
        <v>45.3</v>
      </c>
      <c r="K1729" s="26" t="n">
        <v>824.23</v>
      </c>
      <c r="L1729" s="26" t="n">
        <v>195.32</v>
      </c>
      <c r="M1729" s="22" t="s">
        <v>2497</v>
      </c>
      <c r="N1729" s="22" t="n">
        <f aca="false">MATCH(M1729,'Tabela Passaro'!$A$2:$A$1795,0)</f>
        <v>560</v>
      </c>
      <c r="O1729" s="22" t="str">
        <f aca="false">INDEX('Tabela Passaro'!$C$2:$C$1795,$N1729)</f>
        <v>SAO GONCALO DO AMARANTE</v>
      </c>
      <c r="P1729" s="22" t="str">
        <f aca="false">INDEX('Tabela Passaro'!$B$2:$B$1795,$N1729)</f>
        <v>CE</v>
      </c>
      <c r="Q1729" s="22" t="n">
        <f aca="false">INDEX('Tabela Passaro'!$F$2:$F$1795,$N1729)</f>
        <v>12</v>
      </c>
      <c r="R1729" s="32" t="n">
        <f aca="false">IF(J1729&lt;=10,INDEX('Tabela Passaro'!$G$2:$G$1795,$N1729),IF(J1729&lt;=30,INDEX('Tabela Passaro'!$H$2:$H$1795,$N1729),IF(J1729&lt;=50,INDEX('Tabela Passaro'!$I$2:$I$1795,$N1729),IF(J1729&lt;=70,INDEX('Tabela Passaro'!$J$2:$J$1795,$N1729),IF(J1729&lt;=100,INDEX('Tabela Passaro'!$K$2:$K$1795,$N1729),INDEX('Tabela Passaro'!$K$2:$K$1795,$N1729)+(J1729-100)*INDEX('Tabela Passaro'!$L$2:$L$1795,$N1729))))))</f>
        <v>129.6</v>
      </c>
      <c r="S1729" s="32" t="n">
        <f aca="false">K1729*INDEX('Tabela Passaro'!$M$2:$M$1795,$N1729)</f>
        <v>4.12115</v>
      </c>
      <c r="T1729" s="32" t="n">
        <f aca="false">K1729*INDEX('Tabela Passaro'!$N$2:$N$1795,$N1729)</f>
        <v>1.64846</v>
      </c>
      <c r="U1729" s="32" t="n">
        <f aca="false">INDEX('Tabela Passaro'!$O$2:$O$1795,$N1729)</f>
        <v>5</v>
      </c>
      <c r="V1729" s="32" t="n">
        <f aca="false">ROUNDUP(J1729/INDEX('Tabela Passaro'!$Q$2:$Q$1795,$N1729),0)*INDEX('Tabela Passaro'!$P$2:$P$1795,$N1729)</f>
        <v>5</v>
      </c>
      <c r="W1729" s="32" t="n">
        <f aca="false">INDEX('Tabela Passaro'!$R$2:$R$1795,$N1729)</f>
        <v>30</v>
      </c>
      <c r="X1729" s="32" t="n">
        <f aca="false">ROUNDUP(J1729/INDEX('Tabela Passaro'!$T$2:$T$1795,$N1729),0)*INDEX('Tabela Passaro'!$S$2:$S$1795,$N1729)</f>
        <v>0</v>
      </c>
      <c r="Y1729" s="32" t="n">
        <f aca="false">INDEX('Tabela Passaro'!$U$2:$U$1795,$N1729)</f>
        <v>0</v>
      </c>
      <c r="Z1729" s="32" t="n">
        <f aca="false">INDEX('Tabela Passaro'!$V$2:$V$1795,$N1729)</f>
        <v>0</v>
      </c>
      <c r="AA1729" s="32" t="n">
        <f aca="false">SUM(R1729:Z1729)</f>
        <v>175.36961</v>
      </c>
      <c r="AB1729" s="33" t="n">
        <f aca="false">INDEX(Premissas!$B$5:$B$13,MATCH(A1729,Premissas!$A$5:$A$13,0))</f>
        <v>0.07</v>
      </c>
      <c r="AC1729" s="32" t="n">
        <f aca="false">AA1729/(1-AB1729)-AA1729</f>
        <v>13.1998631182796</v>
      </c>
      <c r="AD1729" s="32" t="n">
        <f aca="false">ROUND(AA1729+AC1729,2)</f>
        <v>188.57</v>
      </c>
      <c r="AE1729" s="32" t="n">
        <f aca="false">AD1729-L1729</f>
        <v>-6.75</v>
      </c>
      <c r="AF1729" s="34" t="n">
        <f aca="false">IF(L1729=0,0,AE1729/L1729)</f>
        <v>-0.0345586729469588</v>
      </c>
      <c r="AG1729" s="22" t="str">
        <f aca="false">IF(AD1729&lt;L1729,"PASSARO","ATUAL")</f>
        <v>PASSARO</v>
      </c>
      <c r="AH1729" s="22" t="str">
        <f aca="false">IF(P1729&lt;&gt;A1729,"Faixa cadastrada como "&amp;P1729&amp;" na tabela; preço aplicado pela UF do CEP","")</f>
        <v>Faixa cadastrada como CE na tabela; preço aplicado pela UF do CEP</v>
      </c>
      <c r="AI1729" s="26" t="n">
        <v>261.94</v>
      </c>
      <c r="AJ1729" s="22" t="str">
        <f aca="false">INDEX('Tabela Passaro'!$X$2:$X$1795,$N1729)</f>
        <v>INTERIOR 1</v>
      </c>
    </row>
    <row r="1730" customFormat="false" ht="15" hidden="false" customHeight="false" outlineLevel="0" collapsed="false">
      <c r="A1730" s="22" t="s">
        <v>22</v>
      </c>
      <c r="B1730" s="22" t="n">
        <v>6</v>
      </c>
      <c r="C1730" s="22" t="s">
        <v>192</v>
      </c>
      <c r="D1730" s="22" t="s">
        <v>30</v>
      </c>
      <c r="E1730" s="22" t="s">
        <v>7328</v>
      </c>
      <c r="F1730" s="22" t="n">
        <v>2315673</v>
      </c>
      <c r="G1730" s="30" t="n">
        <v>46258</v>
      </c>
      <c r="H1730" s="22" t="n">
        <v>134399</v>
      </c>
      <c r="I1730" s="22" t="s">
        <v>8894</v>
      </c>
      <c r="J1730" s="31" t="n">
        <v>37.2</v>
      </c>
      <c r="K1730" s="26" t="n">
        <v>603.54</v>
      </c>
      <c r="L1730" s="26" t="n">
        <v>172.52</v>
      </c>
      <c r="M1730" s="22" t="s">
        <v>2497</v>
      </c>
      <c r="N1730" s="22" t="n">
        <f aca="false">MATCH(M1730,'Tabela Passaro'!$A$2:$A$1795,0)</f>
        <v>560</v>
      </c>
      <c r="O1730" s="22" t="str">
        <f aca="false">INDEX('Tabela Passaro'!$C$2:$C$1795,$N1730)</f>
        <v>SAO GONCALO DO AMARANTE</v>
      </c>
      <c r="P1730" s="22" t="str">
        <f aca="false">INDEX('Tabela Passaro'!$B$2:$B$1795,$N1730)</f>
        <v>CE</v>
      </c>
      <c r="Q1730" s="22" t="n">
        <f aca="false">INDEX('Tabela Passaro'!$F$2:$F$1795,$N1730)</f>
        <v>12</v>
      </c>
      <c r="R1730" s="32" t="n">
        <f aca="false">IF(J1730&lt;=10,INDEX('Tabela Passaro'!$G$2:$G$1795,$N1730),IF(J1730&lt;=30,INDEX('Tabela Passaro'!$H$2:$H$1795,$N1730),IF(J1730&lt;=50,INDEX('Tabela Passaro'!$I$2:$I$1795,$N1730),IF(J1730&lt;=70,INDEX('Tabela Passaro'!$J$2:$J$1795,$N1730),IF(J1730&lt;=100,INDEX('Tabela Passaro'!$K$2:$K$1795,$N1730),INDEX('Tabela Passaro'!$K$2:$K$1795,$N1730)+(J1730-100)*INDEX('Tabela Passaro'!$L$2:$L$1795,$N1730))))))</f>
        <v>129.6</v>
      </c>
      <c r="S1730" s="32" t="n">
        <f aca="false">K1730*INDEX('Tabela Passaro'!$M$2:$M$1795,$N1730)</f>
        <v>3.0177</v>
      </c>
      <c r="T1730" s="32" t="n">
        <f aca="false">K1730*INDEX('Tabela Passaro'!$N$2:$N$1795,$N1730)</f>
        <v>1.20708</v>
      </c>
      <c r="U1730" s="32" t="n">
        <f aca="false">INDEX('Tabela Passaro'!$O$2:$O$1795,$N1730)</f>
        <v>5</v>
      </c>
      <c r="V1730" s="32" t="n">
        <f aca="false">ROUNDUP(J1730/INDEX('Tabela Passaro'!$Q$2:$Q$1795,$N1730),0)*INDEX('Tabela Passaro'!$P$2:$P$1795,$N1730)</f>
        <v>5</v>
      </c>
      <c r="W1730" s="32" t="n">
        <f aca="false">INDEX('Tabela Passaro'!$R$2:$R$1795,$N1730)</f>
        <v>30</v>
      </c>
      <c r="X1730" s="32" t="n">
        <f aca="false">ROUNDUP(J1730/INDEX('Tabela Passaro'!$T$2:$T$1795,$N1730),0)*INDEX('Tabela Passaro'!$S$2:$S$1795,$N1730)</f>
        <v>0</v>
      </c>
      <c r="Y1730" s="32" t="n">
        <f aca="false">INDEX('Tabela Passaro'!$U$2:$U$1795,$N1730)</f>
        <v>0</v>
      </c>
      <c r="Z1730" s="32" t="n">
        <f aca="false">INDEX('Tabela Passaro'!$V$2:$V$1795,$N1730)</f>
        <v>0</v>
      </c>
      <c r="AA1730" s="32" t="n">
        <f aca="false">SUM(R1730:Z1730)</f>
        <v>173.82478</v>
      </c>
      <c r="AB1730" s="33" t="n">
        <f aca="false">INDEX(Premissas!$B$5:$B$13,MATCH(A1730,Premissas!$A$5:$A$13,0))</f>
        <v>0.07</v>
      </c>
      <c r="AC1730" s="32" t="n">
        <f aca="false">AA1730/(1-AB1730)-AA1730</f>
        <v>13.0835855913979</v>
      </c>
      <c r="AD1730" s="32" t="n">
        <f aca="false">ROUND(AA1730+AC1730,2)</f>
        <v>186.91</v>
      </c>
      <c r="AE1730" s="32" t="n">
        <f aca="false">AD1730-L1730</f>
        <v>14.39</v>
      </c>
      <c r="AF1730" s="34" t="n">
        <f aca="false">IF(L1730=0,0,AE1730/L1730)</f>
        <v>0.0834106190586598</v>
      </c>
      <c r="AG1730" s="22" t="str">
        <f aca="false">IF(AD1730&lt;L1730,"PASSARO","ATUAL")</f>
        <v>ATUAL</v>
      </c>
      <c r="AH1730" s="22" t="str">
        <f aca="false">IF(P1730&lt;&gt;A1730,"Faixa cadastrada como "&amp;P1730&amp;" na tabela; preço aplicado pela UF do CEP","")</f>
        <v>Faixa cadastrada como CE na tabela; preço aplicado pela UF do CEP</v>
      </c>
      <c r="AI1730" s="26" t="n">
        <v>255.94</v>
      </c>
      <c r="AJ1730" s="22" t="str">
        <f aca="false">INDEX('Tabela Passaro'!$X$2:$X$1795,$N1730)</f>
        <v>INTERIOR 1</v>
      </c>
    </row>
    <row r="1731" customFormat="false" ht="15" hidden="false" customHeight="false" outlineLevel="0" collapsed="false">
      <c r="A1731" s="22" t="s">
        <v>22</v>
      </c>
      <c r="B1731" s="22" t="n">
        <v>6</v>
      </c>
      <c r="C1731" s="22" t="s">
        <v>192</v>
      </c>
      <c r="D1731" s="22" t="s">
        <v>30</v>
      </c>
      <c r="E1731" s="22" t="s">
        <v>20</v>
      </c>
      <c r="F1731" s="22" t="n">
        <v>840006</v>
      </c>
      <c r="G1731" s="30" t="n">
        <v>46259</v>
      </c>
      <c r="H1731" s="22" t="n">
        <v>32653</v>
      </c>
      <c r="I1731" s="22" t="s">
        <v>8895</v>
      </c>
      <c r="J1731" s="31" t="n">
        <v>39</v>
      </c>
      <c r="K1731" s="26" t="n">
        <v>724.53</v>
      </c>
      <c r="L1731" s="26" t="n">
        <v>161.16</v>
      </c>
      <c r="M1731" s="22" t="s">
        <v>2497</v>
      </c>
      <c r="N1731" s="22" t="n">
        <f aca="false">MATCH(M1731,'Tabela Passaro'!$A$2:$A$1795,0)</f>
        <v>560</v>
      </c>
      <c r="O1731" s="22" t="str">
        <f aca="false">INDEX('Tabela Passaro'!$C$2:$C$1795,$N1731)</f>
        <v>SAO GONCALO DO AMARANTE</v>
      </c>
      <c r="P1731" s="22" t="str">
        <f aca="false">INDEX('Tabela Passaro'!$B$2:$B$1795,$N1731)</f>
        <v>CE</v>
      </c>
      <c r="Q1731" s="22" t="n">
        <f aca="false">INDEX('Tabela Passaro'!$F$2:$F$1795,$N1731)</f>
        <v>12</v>
      </c>
      <c r="R1731" s="32" t="n">
        <f aca="false">IF(J1731&lt;=10,INDEX('Tabela Passaro'!$G$2:$G$1795,$N1731),IF(J1731&lt;=30,INDEX('Tabela Passaro'!$H$2:$H$1795,$N1731),IF(J1731&lt;=50,INDEX('Tabela Passaro'!$I$2:$I$1795,$N1731),IF(J1731&lt;=70,INDEX('Tabela Passaro'!$J$2:$J$1795,$N1731),IF(J1731&lt;=100,INDEX('Tabela Passaro'!$K$2:$K$1795,$N1731),INDEX('Tabela Passaro'!$K$2:$K$1795,$N1731)+(J1731-100)*INDEX('Tabela Passaro'!$L$2:$L$1795,$N1731))))))</f>
        <v>129.6</v>
      </c>
      <c r="S1731" s="32" t="n">
        <f aca="false">K1731*INDEX('Tabela Passaro'!$M$2:$M$1795,$N1731)</f>
        <v>3.62265</v>
      </c>
      <c r="T1731" s="32" t="n">
        <f aca="false">K1731*INDEX('Tabela Passaro'!$N$2:$N$1795,$N1731)</f>
        <v>1.44906</v>
      </c>
      <c r="U1731" s="32" t="n">
        <f aca="false">INDEX('Tabela Passaro'!$O$2:$O$1795,$N1731)</f>
        <v>5</v>
      </c>
      <c r="V1731" s="32" t="n">
        <f aca="false">ROUNDUP(J1731/INDEX('Tabela Passaro'!$Q$2:$Q$1795,$N1731),0)*INDEX('Tabela Passaro'!$P$2:$P$1795,$N1731)</f>
        <v>5</v>
      </c>
      <c r="W1731" s="32" t="n">
        <f aca="false">INDEX('Tabela Passaro'!$R$2:$R$1795,$N1731)</f>
        <v>30</v>
      </c>
      <c r="X1731" s="32" t="n">
        <f aca="false">ROUNDUP(J1731/INDEX('Tabela Passaro'!$T$2:$T$1795,$N1731),0)*INDEX('Tabela Passaro'!$S$2:$S$1795,$N1731)</f>
        <v>0</v>
      </c>
      <c r="Y1731" s="32" t="n">
        <f aca="false">INDEX('Tabela Passaro'!$U$2:$U$1795,$N1731)</f>
        <v>0</v>
      </c>
      <c r="Z1731" s="32" t="n">
        <f aca="false">INDEX('Tabela Passaro'!$V$2:$V$1795,$N1731)</f>
        <v>0</v>
      </c>
      <c r="AA1731" s="32" t="n">
        <f aca="false">SUM(R1731:Z1731)</f>
        <v>174.67171</v>
      </c>
      <c r="AB1731" s="33" t="n">
        <f aca="false">INDEX(Premissas!$B$5:$B$13,MATCH(A1731,Premissas!$A$5:$A$13,0))</f>
        <v>0.07</v>
      </c>
      <c r="AC1731" s="32" t="n">
        <f aca="false">AA1731/(1-AB1731)-AA1731</f>
        <v>13.1473330107527</v>
      </c>
      <c r="AD1731" s="32" t="n">
        <f aca="false">ROUND(AA1731+AC1731,2)</f>
        <v>187.82</v>
      </c>
      <c r="AE1731" s="32" t="n">
        <f aca="false">AD1731-L1731</f>
        <v>26.66</v>
      </c>
      <c r="AF1731" s="34" t="n">
        <f aca="false">IF(L1731=0,0,AE1731/L1731)</f>
        <v>0.165425663936461</v>
      </c>
      <c r="AG1731" s="22" t="str">
        <f aca="false">IF(AD1731&lt;L1731,"PASSARO","ATUAL")</f>
        <v>ATUAL</v>
      </c>
      <c r="AH1731" s="22" t="str">
        <f aca="false">IF(P1731&lt;&gt;A1731,"Faixa cadastrada como "&amp;P1731&amp;" na tabela; preço aplicado pela UF do CEP","")</f>
        <v>Faixa cadastrada como CE na tabela; preço aplicado pela UF do CEP</v>
      </c>
      <c r="AI1731" s="26" t="n">
        <v>257.59</v>
      </c>
      <c r="AJ1731" s="22" t="str">
        <f aca="false">INDEX('Tabela Passaro'!$X$2:$X$1795,$N1731)</f>
        <v>INTERIOR 1</v>
      </c>
    </row>
    <row r="1732" customFormat="false" ht="15" hidden="false" customHeight="false" outlineLevel="0" collapsed="false">
      <c r="A1732" s="22" t="s">
        <v>22</v>
      </c>
      <c r="B1732" s="22" t="n">
        <v>6</v>
      </c>
      <c r="C1732" s="22" t="s">
        <v>192</v>
      </c>
      <c r="D1732" s="22" t="s">
        <v>30</v>
      </c>
      <c r="E1732" s="22" t="s">
        <v>20</v>
      </c>
      <c r="F1732" s="22" t="n">
        <v>840638</v>
      </c>
      <c r="G1732" s="30" t="n">
        <v>46265</v>
      </c>
      <c r="H1732" s="22" t="n">
        <v>32838</v>
      </c>
      <c r="I1732" s="22" t="s">
        <v>8896</v>
      </c>
      <c r="J1732" s="31" t="n">
        <v>32.9</v>
      </c>
      <c r="K1732" s="26" t="n">
        <v>597.69</v>
      </c>
      <c r="L1732" s="26" t="n">
        <v>160.02</v>
      </c>
      <c r="M1732" s="22" t="s">
        <v>2497</v>
      </c>
      <c r="N1732" s="22" t="n">
        <f aca="false">MATCH(M1732,'Tabela Passaro'!$A$2:$A$1795,0)</f>
        <v>560</v>
      </c>
      <c r="O1732" s="22" t="str">
        <f aca="false">INDEX('Tabela Passaro'!$C$2:$C$1795,$N1732)</f>
        <v>SAO GONCALO DO AMARANTE</v>
      </c>
      <c r="P1732" s="22" t="str">
        <f aca="false">INDEX('Tabela Passaro'!$B$2:$B$1795,$N1732)</f>
        <v>CE</v>
      </c>
      <c r="Q1732" s="22" t="n">
        <f aca="false">INDEX('Tabela Passaro'!$F$2:$F$1795,$N1732)</f>
        <v>12</v>
      </c>
      <c r="R1732" s="32" t="n">
        <f aca="false">IF(J1732&lt;=10,INDEX('Tabela Passaro'!$G$2:$G$1795,$N1732),IF(J1732&lt;=30,INDEX('Tabela Passaro'!$H$2:$H$1795,$N1732),IF(J1732&lt;=50,INDEX('Tabela Passaro'!$I$2:$I$1795,$N1732),IF(J1732&lt;=70,INDEX('Tabela Passaro'!$J$2:$J$1795,$N1732),IF(J1732&lt;=100,INDEX('Tabela Passaro'!$K$2:$K$1795,$N1732),INDEX('Tabela Passaro'!$K$2:$K$1795,$N1732)+(J1732-100)*INDEX('Tabela Passaro'!$L$2:$L$1795,$N1732))))))</f>
        <v>129.6</v>
      </c>
      <c r="S1732" s="32" t="n">
        <f aca="false">K1732*INDEX('Tabela Passaro'!$M$2:$M$1795,$N1732)</f>
        <v>2.98845</v>
      </c>
      <c r="T1732" s="32" t="n">
        <f aca="false">K1732*INDEX('Tabela Passaro'!$N$2:$N$1795,$N1732)</f>
        <v>1.19538</v>
      </c>
      <c r="U1732" s="32" t="n">
        <f aca="false">INDEX('Tabela Passaro'!$O$2:$O$1795,$N1732)</f>
        <v>5</v>
      </c>
      <c r="V1732" s="32" t="n">
        <f aca="false">ROUNDUP(J1732/INDEX('Tabela Passaro'!$Q$2:$Q$1795,$N1732),0)*INDEX('Tabela Passaro'!$P$2:$P$1795,$N1732)</f>
        <v>5</v>
      </c>
      <c r="W1732" s="32" t="n">
        <f aca="false">INDEX('Tabela Passaro'!$R$2:$R$1795,$N1732)</f>
        <v>30</v>
      </c>
      <c r="X1732" s="32" t="n">
        <f aca="false">ROUNDUP(J1732/INDEX('Tabela Passaro'!$T$2:$T$1795,$N1732),0)*INDEX('Tabela Passaro'!$S$2:$S$1795,$N1732)</f>
        <v>0</v>
      </c>
      <c r="Y1732" s="32" t="n">
        <f aca="false">INDEX('Tabela Passaro'!$U$2:$U$1795,$N1732)</f>
        <v>0</v>
      </c>
      <c r="Z1732" s="32" t="n">
        <f aca="false">INDEX('Tabela Passaro'!$V$2:$V$1795,$N1732)</f>
        <v>0</v>
      </c>
      <c r="AA1732" s="32" t="n">
        <f aca="false">SUM(R1732:Z1732)</f>
        <v>173.78383</v>
      </c>
      <c r="AB1732" s="33" t="n">
        <f aca="false">INDEX(Premissas!$B$5:$B$13,MATCH(A1732,Premissas!$A$5:$A$13,0))</f>
        <v>0.07</v>
      </c>
      <c r="AC1732" s="32" t="n">
        <f aca="false">AA1732/(1-AB1732)-AA1732</f>
        <v>13.0805033333334</v>
      </c>
      <c r="AD1732" s="32" t="n">
        <f aca="false">ROUND(AA1732+AC1732,2)</f>
        <v>186.86</v>
      </c>
      <c r="AE1732" s="32" t="n">
        <f aca="false">AD1732-L1732</f>
        <v>26.84</v>
      </c>
      <c r="AF1732" s="34" t="n">
        <f aca="false">IF(L1732=0,0,AE1732/L1732)</f>
        <v>0.167729033870766</v>
      </c>
      <c r="AG1732" s="22" t="str">
        <f aca="false">IF(AD1732&lt;L1732,"PASSARO","ATUAL")</f>
        <v>ATUAL</v>
      </c>
      <c r="AH1732" s="22" t="str">
        <f aca="false">IF(P1732&lt;&gt;A1732,"Faixa cadastrada como "&amp;P1732&amp;" na tabela; preço aplicado pela UF do CEP","")</f>
        <v>Faixa cadastrada como CE na tabela; preço aplicado pela UF do CEP</v>
      </c>
      <c r="AI1732" s="26" t="n">
        <v>253.46</v>
      </c>
      <c r="AJ1732" s="22" t="str">
        <f aca="false">INDEX('Tabela Passaro'!$X$2:$X$1795,$N1732)</f>
        <v>INTERIOR 1</v>
      </c>
    </row>
    <row r="1733" customFormat="false" ht="15" hidden="false" customHeight="false" outlineLevel="0" collapsed="false">
      <c r="A1733" s="22" t="s">
        <v>22</v>
      </c>
      <c r="B1733" s="22" t="n">
        <v>7</v>
      </c>
      <c r="C1733" s="22" t="s">
        <v>193</v>
      </c>
      <c r="D1733" s="22" t="s">
        <v>30</v>
      </c>
      <c r="E1733" s="22" t="s">
        <v>20</v>
      </c>
      <c r="F1733" s="22" t="n">
        <v>837955</v>
      </c>
      <c r="G1733" s="30" t="n">
        <v>46239</v>
      </c>
      <c r="H1733" s="22" t="n">
        <v>32401</v>
      </c>
      <c r="I1733" s="22" t="s">
        <v>8897</v>
      </c>
      <c r="J1733" s="31" t="n">
        <v>65</v>
      </c>
      <c r="K1733" s="26" t="n">
        <v>1352.58</v>
      </c>
      <c r="L1733" s="26" t="n">
        <v>262.72</v>
      </c>
      <c r="M1733" s="22" t="s">
        <v>6739</v>
      </c>
      <c r="N1733" s="22" t="n">
        <f aca="false">MATCH(M1733,'Tabela Passaro'!$A$2:$A$1795,0)</f>
        <v>1647</v>
      </c>
      <c r="O1733" s="22" t="str">
        <f aca="false">INDEX('Tabela Passaro'!$C$2:$C$1795,$N1733)</f>
        <v>CURRAIS NOVOS</v>
      </c>
      <c r="P1733" s="22" t="str">
        <f aca="false">INDEX('Tabela Passaro'!$B$2:$B$1795,$N1733)</f>
        <v>RN</v>
      </c>
      <c r="Q1733" s="22" t="n">
        <f aca="false">INDEX('Tabela Passaro'!$F$2:$F$1795,$N1733)</f>
        <v>14</v>
      </c>
      <c r="R1733" s="32" t="n">
        <f aca="false">IF(J1733&lt;=10,INDEX('Tabela Passaro'!$G$2:$G$1795,$N1733),IF(J1733&lt;=30,INDEX('Tabela Passaro'!$H$2:$H$1795,$N1733),IF(J1733&lt;=50,INDEX('Tabela Passaro'!$I$2:$I$1795,$N1733),IF(J1733&lt;=70,INDEX('Tabela Passaro'!$J$2:$J$1795,$N1733),IF(J1733&lt;=100,INDEX('Tabela Passaro'!$K$2:$K$1795,$N1733),INDEX('Tabela Passaro'!$K$2:$K$1795,$N1733)+(J1733-100)*INDEX('Tabela Passaro'!$L$2:$L$1795,$N1733))))))</f>
        <v>156.46</v>
      </c>
      <c r="S1733" s="32" t="n">
        <f aca="false">K1733*INDEX('Tabela Passaro'!$M$2:$M$1795,$N1733)</f>
        <v>6.7629</v>
      </c>
      <c r="T1733" s="32" t="n">
        <f aca="false">K1733*INDEX('Tabela Passaro'!$N$2:$N$1795,$N1733)</f>
        <v>2.70516</v>
      </c>
      <c r="U1733" s="32" t="n">
        <f aca="false">INDEX('Tabela Passaro'!$O$2:$O$1795,$N1733)</f>
        <v>5</v>
      </c>
      <c r="V1733" s="32" t="n">
        <f aca="false">ROUNDUP(J1733/INDEX('Tabela Passaro'!$Q$2:$Q$1795,$N1733),0)*INDEX('Tabela Passaro'!$P$2:$P$1795,$N1733)</f>
        <v>5</v>
      </c>
      <c r="W1733" s="32" t="n">
        <f aca="false">INDEX('Tabela Passaro'!$R$2:$R$1795,$N1733)</f>
        <v>30</v>
      </c>
      <c r="X1733" s="32" t="n">
        <f aca="false">ROUNDUP(J1733/INDEX('Tabela Passaro'!$T$2:$T$1795,$N1733),0)*INDEX('Tabela Passaro'!$S$2:$S$1795,$N1733)</f>
        <v>0</v>
      </c>
      <c r="Y1733" s="32" t="n">
        <f aca="false">INDEX('Tabela Passaro'!$U$2:$U$1795,$N1733)</f>
        <v>0</v>
      </c>
      <c r="Z1733" s="32" t="n">
        <f aca="false">INDEX('Tabela Passaro'!$V$2:$V$1795,$N1733)</f>
        <v>250</v>
      </c>
      <c r="AA1733" s="32" t="n">
        <f aca="false">SUM(R1733:Z1733)</f>
        <v>455.92806</v>
      </c>
      <c r="AB1733" s="33" t="n">
        <f aca="false">INDEX(Premissas!$B$5:$B$13,MATCH(A1733,Premissas!$A$5:$A$13,0))</f>
        <v>0.07</v>
      </c>
      <c r="AC1733" s="32" t="n">
        <f aca="false">AA1733/(1-AB1733)-AA1733</f>
        <v>34.3171658064517</v>
      </c>
      <c r="AD1733" s="32" t="n">
        <f aca="false">ROUND(AA1733+AC1733,2)</f>
        <v>490.25</v>
      </c>
      <c r="AE1733" s="32" t="n">
        <f aca="false">AD1733-L1733</f>
        <v>227.53</v>
      </c>
      <c r="AF1733" s="34" t="n">
        <f aca="false">IF(L1733=0,0,AE1733/L1733)</f>
        <v>0.866055115712546</v>
      </c>
      <c r="AG1733" s="22" t="str">
        <f aca="false">IF(AD1733&lt;L1733,"PASSARO","ATUAL")</f>
        <v>ATUAL</v>
      </c>
      <c r="AH1733" s="22" t="str">
        <f aca="false">IF(P1733&lt;&gt;A1733,"Faixa cadastrada como "&amp;P1733&amp;" na tabela; preço aplicado pela UF do CEP","")</f>
        <v/>
      </c>
      <c r="AI1733" s="26" t="n">
        <v>541.24</v>
      </c>
      <c r="AJ1733" s="22" t="str">
        <f aca="false">INDEX('Tabela Passaro'!$X$2:$X$1795,$N1733)</f>
        <v>INTERIOR 2</v>
      </c>
    </row>
    <row r="1734" customFormat="false" ht="15" hidden="false" customHeight="false" outlineLevel="0" collapsed="false">
      <c r="A1734" s="22" t="s">
        <v>22</v>
      </c>
      <c r="B1734" s="22" t="n">
        <v>7</v>
      </c>
      <c r="C1734" s="22" t="s">
        <v>193</v>
      </c>
      <c r="D1734" s="22" t="s">
        <v>30</v>
      </c>
      <c r="E1734" s="22" t="s">
        <v>7326</v>
      </c>
      <c r="F1734" s="22" t="n">
        <v>526046</v>
      </c>
      <c r="G1734" s="30" t="n">
        <v>46253</v>
      </c>
      <c r="H1734" s="22" t="n">
        <v>625933</v>
      </c>
      <c r="I1734" s="22" t="s">
        <v>8897</v>
      </c>
      <c r="J1734" s="31" t="n">
        <v>43.5</v>
      </c>
      <c r="K1734" s="26" t="n">
        <v>906.67</v>
      </c>
      <c r="L1734" s="26" t="n">
        <v>233.46</v>
      </c>
      <c r="M1734" s="22" t="s">
        <v>6739</v>
      </c>
      <c r="N1734" s="22" t="n">
        <f aca="false">MATCH(M1734,'Tabela Passaro'!$A$2:$A$1795,0)</f>
        <v>1647</v>
      </c>
      <c r="O1734" s="22" t="str">
        <f aca="false">INDEX('Tabela Passaro'!$C$2:$C$1795,$N1734)</f>
        <v>CURRAIS NOVOS</v>
      </c>
      <c r="P1734" s="22" t="str">
        <f aca="false">INDEX('Tabela Passaro'!$B$2:$B$1795,$N1734)</f>
        <v>RN</v>
      </c>
      <c r="Q1734" s="22" t="n">
        <f aca="false">INDEX('Tabela Passaro'!$F$2:$F$1795,$N1734)</f>
        <v>14</v>
      </c>
      <c r="R1734" s="32" t="n">
        <f aca="false">IF(J1734&lt;=10,INDEX('Tabela Passaro'!$G$2:$G$1795,$N1734),IF(J1734&lt;=30,INDEX('Tabela Passaro'!$H$2:$H$1795,$N1734),IF(J1734&lt;=50,INDEX('Tabela Passaro'!$I$2:$I$1795,$N1734),IF(J1734&lt;=70,INDEX('Tabela Passaro'!$J$2:$J$1795,$N1734),IF(J1734&lt;=100,INDEX('Tabela Passaro'!$K$2:$K$1795,$N1734),INDEX('Tabela Passaro'!$K$2:$K$1795,$N1734)+(J1734-100)*INDEX('Tabela Passaro'!$L$2:$L$1795,$N1734))))))</f>
        <v>146.44</v>
      </c>
      <c r="S1734" s="32" t="n">
        <f aca="false">K1734*INDEX('Tabela Passaro'!$M$2:$M$1795,$N1734)</f>
        <v>4.53335</v>
      </c>
      <c r="T1734" s="32" t="n">
        <f aca="false">K1734*INDEX('Tabela Passaro'!$N$2:$N$1795,$N1734)</f>
        <v>1.81334</v>
      </c>
      <c r="U1734" s="32" t="n">
        <f aca="false">INDEX('Tabela Passaro'!$O$2:$O$1795,$N1734)</f>
        <v>5</v>
      </c>
      <c r="V1734" s="32" t="n">
        <f aca="false">ROUNDUP(J1734/INDEX('Tabela Passaro'!$Q$2:$Q$1795,$N1734),0)*INDEX('Tabela Passaro'!$P$2:$P$1795,$N1734)</f>
        <v>5</v>
      </c>
      <c r="W1734" s="32" t="n">
        <f aca="false">INDEX('Tabela Passaro'!$R$2:$R$1795,$N1734)</f>
        <v>30</v>
      </c>
      <c r="X1734" s="32" t="n">
        <f aca="false">ROUNDUP(J1734/INDEX('Tabela Passaro'!$T$2:$T$1795,$N1734),0)*INDEX('Tabela Passaro'!$S$2:$S$1795,$N1734)</f>
        <v>0</v>
      </c>
      <c r="Y1734" s="32" t="n">
        <f aca="false">INDEX('Tabela Passaro'!$U$2:$U$1795,$N1734)</f>
        <v>0</v>
      </c>
      <c r="Z1734" s="32" t="n">
        <f aca="false">INDEX('Tabela Passaro'!$V$2:$V$1795,$N1734)</f>
        <v>250</v>
      </c>
      <c r="AA1734" s="32" t="n">
        <f aca="false">SUM(R1734:Z1734)</f>
        <v>442.78669</v>
      </c>
      <c r="AB1734" s="33" t="n">
        <f aca="false">INDEX(Premissas!$B$5:$B$13,MATCH(A1734,Premissas!$A$5:$A$13,0))</f>
        <v>0.07</v>
      </c>
      <c r="AC1734" s="32" t="n">
        <f aca="false">AA1734/(1-AB1734)-AA1734</f>
        <v>33.3280304301076</v>
      </c>
      <c r="AD1734" s="32" t="n">
        <f aca="false">ROUND(AA1734+AC1734,2)</f>
        <v>476.11</v>
      </c>
      <c r="AE1734" s="32" t="n">
        <f aca="false">AD1734-L1734</f>
        <v>242.65</v>
      </c>
      <c r="AF1734" s="34" t="n">
        <f aca="false">IF(L1734=0,0,AE1734/L1734)</f>
        <v>1.03936434506982</v>
      </c>
      <c r="AG1734" s="22" t="str">
        <f aca="false">IF(AD1734&lt;L1734,"PASSARO","ATUAL")</f>
        <v>ATUAL</v>
      </c>
      <c r="AH1734" s="22" t="str">
        <f aca="false">IF(P1734&lt;&gt;A1734,"Faixa cadastrada como "&amp;P1734&amp;" na tabela; preço aplicado pela UF do CEP","")</f>
        <v/>
      </c>
      <c r="AI1734" s="26" t="n">
        <v>514.24</v>
      </c>
      <c r="AJ1734" s="22" t="str">
        <f aca="false">INDEX('Tabela Passaro'!$X$2:$X$1795,$N1734)</f>
        <v>INTERIOR 2</v>
      </c>
    </row>
    <row r="1735" customFormat="false" ht="15" hidden="false" customHeight="false" outlineLevel="0" collapsed="false">
      <c r="A1735" s="22" t="s">
        <v>22</v>
      </c>
      <c r="B1735" s="22" t="n">
        <v>7</v>
      </c>
      <c r="C1735" s="22" t="s">
        <v>193</v>
      </c>
      <c r="D1735" s="22" t="s">
        <v>30</v>
      </c>
      <c r="E1735" s="22" t="s">
        <v>20</v>
      </c>
      <c r="F1735" s="22" t="n">
        <v>840478</v>
      </c>
      <c r="G1735" s="30" t="n">
        <v>46262</v>
      </c>
      <c r="H1735" s="22" t="n">
        <v>32763</v>
      </c>
      <c r="I1735" s="22" t="s">
        <v>8897</v>
      </c>
      <c r="J1735" s="31" t="n">
        <v>27.6</v>
      </c>
      <c r="K1735" s="26" t="n">
        <v>767.57</v>
      </c>
      <c r="L1735" s="26" t="n">
        <v>147.17</v>
      </c>
      <c r="M1735" s="22" t="s">
        <v>6739</v>
      </c>
      <c r="N1735" s="22" t="n">
        <f aca="false">MATCH(M1735,'Tabela Passaro'!$A$2:$A$1795,0)</f>
        <v>1647</v>
      </c>
      <c r="O1735" s="22" t="str">
        <f aca="false">INDEX('Tabela Passaro'!$C$2:$C$1795,$N1735)</f>
        <v>CURRAIS NOVOS</v>
      </c>
      <c r="P1735" s="22" t="str">
        <f aca="false">INDEX('Tabela Passaro'!$B$2:$B$1795,$N1735)</f>
        <v>RN</v>
      </c>
      <c r="Q1735" s="22" t="n">
        <f aca="false">INDEX('Tabela Passaro'!$F$2:$F$1795,$N1735)</f>
        <v>14</v>
      </c>
      <c r="R1735" s="32" t="n">
        <f aca="false">IF(J1735&lt;=10,INDEX('Tabela Passaro'!$G$2:$G$1795,$N1735),IF(J1735&lt;=30,INDEX('Tabela Passaro'!$H$2:$H$1795,$N1735),IF(J1735&lt;=50,INDEX('Tabela Passaro'!$I$2:$I$1795,$N1735),IF(J1735&lt;=70,INDEX('Tabela Passaro'!$J$2:$J$1795,$N1735),IF(J1735&lt;=100,INDEX('Tabela Passaro'!$K$2:$K$1795,$N1735),INDEX('Tabela Passaro'!$K$2:$K$1795,$N1735)+(J1735-100)*INDEX('Tabela Passaro'!$L$2:$L$1795,$N1735))))))</f>
        <v>126.41</v>
      </c>
      <c r="S1735" s="32" t="n">
        <f aca="false">K1735*INDEX('Tabela Passaro'!$M$2:$M$1795,$N1735)</f>
        <v>3.83785</v>
      </c>
      <c r="T1735" s="32" t="n">
        <f aca="false">K1735*INDEX('Tabela Passaro'!$N$2:$N$1795,$N1735)</f>
        <v>1.53514</v>
      </c>
      <c r="U1735" s="32" t="n">
        <f aca="false">INDEX('Tabela Passaro'!$O$2:$O$1795,$N1735)</f>
        <v>5</v>
      </c>
      <c r="V1735" s="32" t="n">
        <f aca="false">ROUNDUP(J1735/INDEX('Tabela Passaro'!$Q$2:$Q$1795,$N1735),0)*INDEX('Tabela Passaro'!$P$2:$P$1795,$N1735)</f>
        <v>5</v>
      </c>
      <c r="W1735" s="32" t="n">
        <f aca="false">INDEX('Tabela Passaro'!$R$2:$R$1795,$N1735)</f>
        <v>30</v>
      </c>
      <c r="X1735" s="32" t="n">
        <f aca="false">ROUNDUP(J1735/INDEX('Tabela Passaro'!$T$2:$T$1795,$N1735),0)*INDEX('Tabela Passaro'!$S$2:$S$1795,$N1735)</f>
        <v>0</v>
      </c>
      <c r="Y1735" s="32" t="n">
        <f aca="false">INDEX('Tabela Passaro'!$U$2:$U$1795,$N1735)</f>
        <v>0</v>
      </c>
      <c r="Z1735" s="32" t="n">
        <f aca="false">INDEX('Tabela Passaro'!$V$2:$V$1795,$N1735)</f>
        <v>250</v>
      </c>
      <c r="AA1735" s="32" t="n">
        <f aca="false">SUM(R1735:Z1735)</f>
        <v>421.78299</v>
      </c>
      <c r="AB1735" s="33" t="n">
        <f aca="false">INDEX(Premissas!$B$5:$B$13,MATCH(A1735,Premissas!$A$5:$A$13,0))</f>
        <v>0.07</v>
      </c>
      <c r="AC1735" s="32" t="n">
        <f aca="false">AA1735/(1-AB1735)-AA1735</f>
        <v>31.7471067741936</v>
      </c>
      <c r="AD1735" s="32" t="n">
        <f aca="false">ROUND(AA1735+AC1735,2)</f>
        <v>453.53</v>
      </c>
      <c r="AE1735" s="32" t="n">
        <f aca="false">AD1735-L1735</f>
        <v>306.36</v>
      </c>
      <c r="AF1735" s="34" t="n">
        <f aca="false">IF(L1735=0,0,AE1735/L1735)</f>
        <v>2.08167425426378</v>
      </c>
      <c r="AG1735" s="22" t="str">
        <f aca="false">IF(AD1735&lt;L1735,"PASSARO","ATUAL")</f>
        <v>ATUAL</v>
      </c>
      <c r="AH1735" s="22" t="str">
        <f aca="false">IF(P1735&lt;&gt;A1735,"Faixa cadastrada como "&amp;P1735&amp;" na tabela; preço aplicado pela UF do CEP","")</f>
        <v/>
      </c>
      <c r="AI1735" s="26" t="n">
        <v>480.09</v>
      </c>
      <c r="AJ1735" s="22" t="str">
        <f aca="false">INDEX('Tabela Passaro'!$X$2:$X$1795,$N1735)</f>
        <v>INTERIOR 2</v>
      </c>
    </row>
    <row r="1736" customFormat="false" ht="15" hidden="false" customHeight="false" outlineLevel="0" collapsed="false">
      <c r="A1736" s="22" t="s">
        <v>22</v>
      </c>
      <c r="B1736" s="22" t="n">
        <v>8</v>
      </c>
      <c r="C1736" s="22" t="s">
        <v>194</v>
      </c>
      <c r="D1736" s="22" t="s">
        <v>30</v>
      </c>
      <c r="E1736" s="22" t="s">
        <v>7328</v>
      </c>
      <c r="F1736" s="22" t="n">
        <v>2309883</v>
      </c>
      <c r="G1736" s="30" t="n">
        <v>46244</v>
      </c>
      <c r="H1736" s="22" t="n">
        <v>132363</v>
      </c>
      <c r="I1736" s="22" t="s">
        <v>8898</v>
      </c>
      <c r="J1736" s="31" t="n">
        <v>20.9</v>
      </c>
      <c r="K1736" s="26" t="n">
        <v>574.53</v>
      </c>
      <c r="L1736" s="26" t="n">
        <v>140.64</v>
      </c>
      <c r="M1736" s="22" t="s">
        <v>6609</v>
      </c>
      <c r="N1736" s="22" t="n">
        <f aca="false">MATCH(M1736,'Tabela Passaro'!$A$2:$A$1795,0)</f>
        <v>1612</v>
      </c>
      <c r="O1736" s="22" t="str">
        <f aca="false">INDEX('Tabela Passaro'!$C$2:$C$1795,$N1736)</f>
        <v>SAO JOSE DE MIPIBU</v>
      </c>
      <c r="P1736" s="22" t="str">
        <f aca="false">INDEX('Tabela Passaro'!$B$2:$B$1795,$N1736)</f>
        <v>RN</v>
      </c>
      <c r="Q1736" s="22" t="n">
        <f aca="false">INDEX('Tabela Passaro'!$F$2:$F$1795,$N1736)</f>
        <v>12</v>
      </c>
      <c r="R1736" s="32" t="n">
        <f aca="false">IF(J1736&lt;=10,INDEX('Tabela Passaro'!$G$2:$G$1795,$N1736),IF(J1736&lt;=30,INDEX('Tabela Passaro'!$H$2:$H$1795,$N1736),IF(J1736&lt;=50,INDEX('Tabela Passaro'!$I$2:$I$1795,$N1736),IF(J1736&lt;=70,INDEX('Tabela Passaro'!$J$2:$J$1795,$N1736),IF(J1736&lt;=100,INDEX('Tabela Passaro'!$K$2:$K$1795,$N1736),INDEX('Tabela Passaro'!$K$2:$K$1795,$N1736)+(J1736-100)*INDEX('Tabela Passaro'!$L$2:$L$1795,$N1736))))))</f>
        <v>109.56</v>
      </c>
      <c r="S1736" s="32" t="n">
        <f aca="false">K1736*INDEX('Tabela Passaro'!$M$2:$M$1795,$N1736)</f>
        <v>2.87265</v>
      </c>
      <c r="T1736" s="32" t="n">
        <f aca="false">K1736*INDEX('Tabela Passaro'!$N$2:$N$1795,$N1736)</f>
        <v>1.14906</v>
      </c>
      <c r="U1736" s="32" t="n">
        <f aca="false">INDEX('Tabela Passaro'!$O$2:$O$1795,$N1736)</f>
        <v>5</v>
      </c>
      <c r="V1736" s="32" t="n">
        <f aca="false">ROUNDUP(J1736/INDEX('Tabela Passaro'!$Q$2:$Q$1795,$N1736),0)*INDEX('Tabela Passaro'!$P$2:$P$1795,$N1736)</f>
        <v>5</v>
      </c>
      <c r="W1736" s="32" t="n">
        <f aca="false">INDEX('Tabela Passaro'!$R$2:$R$1795,$N1736)</f>
        <v>30</v>
      </c>
      <c r="X1736" s="32" t="n">
        <f aca="false">ROUNDUP(J1736/INDEX('Tabela Passaro'!$T$2:$T$1795,$N1736),0)*INDEX('Tabela Passaro'!$S$2:$S$1795,$N1736)</f>
        <v>0</v>
      </c>
      <c r="Y1736" s="32" t="n">
        <f aca="false">INDEX('Tabela Passaro'!$U$2:$U$1795,$N1736)</f>
        <v>0</v>
      </c>
      <c r="Z1736" s="32" t="n">
        <f aca="false">INDEX('Tabela Passaro'!$V$2:$V$1795,$N1736)</f>
        <v>0</v>
      </c>
      <c r="AA1736" s="32" t="n">
        <f aca="false">SUM(R1736:Z1736)</f>
        <v>153.58171</v>
      </c>
      <c r="AB1736" s="33" t="n">
        <f aca="false">INDEX(Premissas!$B$5:$B$13,MATCH(A1736,Premissas!$A$5:$A$13,0))</f>
        <v>0.07</v>
      </c>
      <c r="AC1736" s="32" t="n">
        <f aca="false">AA1736/(1-AB1736)-AA1736</f>
        <v>11.559913655914</v>
      </c>
      <c r="AD1736" s="32" t="n">
        <f aca="false">ROUND(AA1736+AC1736,2)</f>
        <v>165.14</v>
      </c>
      <c r="AE1736" s="32" t="n">
        <f aca="false">AD1736-L1736</f>
        <v>24.5</v>
      </c>
      <c r="AF1736" s="34" t="n">
        <f aca="false">IF(L1736=0,0,AE1736/L1736)</f>
        <v>0.174203640500569</v>
      </c>
      <c r="AG1736" s="22" t="str">
        <f aca="false">IF(AD1736&lt;L1736,"PASSARO","ATUAL")</f>
        <v>ATUAL</v>
      </c>
      <c r="AH1736" s="22" t="str">
        <f aca="false">IF(P1736&lt;&gt;A1736,"Faixa cadastrada como "&amp;P1736&amp;" na tabela; preço aplicado pela UF do CEP","")</f>
        <v/>
      </c>
      <c r="AI1736" s="26" t="n">
        <v>184.97</v>
      </c>
      <c r="AJ1736" s="22" t="str">
        <f aca="false">INDEX('Tabela Passaro'!$X$2:$X$1795,$N1736)</f>
        <v>INTERIOR 1</v>
      </c>
    </row>
    <row r="1737" customFormat="false" ht="15" hidden="false" customHeight="false" outlineLevel="0" collapsed="false">
      <c r="A1737" s="22" t="s">
        <v>22</v>
      </c>
      <c r="B1737" s="22" t="n">
        <v>8</v>
      </c>
      <c r="C1737" s="22" t="s">
        <v>194</v>
      </c>
      <c r="D1737" s="22" t="s">
        <v>30</v>
      </c>
      <c r="E1737" s="22" t="s">
        <v>20</v>
      </c>
      <c r="F1737" s="22" t="n">
        <v>840434</v>
      </c>
      <c r="G1737" s="30" t="n">
        <v>46261</v>
      </c>
      <c r="H1737" s="22" t="n">
        <v>32731</v>
      </c>
      <c r="I1737" s="22" t="s">
        <v>8898</v>
      </c>
      <c r="J1737" s="31" t="n">
        <v>35.3</v>
      </c>
      <c r="K1737" s="26" t="n">
        <v>710.46</v>
      </c>
      <c r="L1737" s="26" t="n">
        <v>181.42</v>
      </c>
      <c r="M1737" s="22" t="s">
        <v>6609</v>
      </c>
      <c r="N1737" s="22" t="n">
        <f aca="false">MATCH(M1737,'Tabela Passaro'!$A$2:$A$1795,0)</f>
        <v>1612</v>
      </c>
      <c r="O1737" s="22" t="str">
        <f aca="false">INDEX('Tabela Passaro'!$C$2:$C$1795,$N1737)</f>
        <v>SAO JOSE DE MIPIBU</v>
      </c>
      <c r="P1737" s="22" t="str">
        <f aca="false">INDEX('Tabela Passaro'!$B$2:$B$1795,$N1737)</f>
        <v>RN</v>
      </c>
      <c r="Q1737" s="22" t="n">
        <f aca="false">INDEX('Tabela Passaro'!$F$2:$F$1795,$N1737)</f>
        <v>12</v>
      </c>
      <c r="R1737" s="32" t="n">
        <f aca="false">IF(J1737&lt;=10,INDEX('Tabela Passaro'!$G$2:$G$1795,$N1737),IF(J1737&lt;=30,INDEX('Tabela Passaro'!$H$2:$H$1795,$N1737),IF(J1737&lt;=50,INDEX('Tabela Passaro'!$I$2:$I$1795,$N1737),IF(J1737&lt;=70,INDEX('Tabela Passaro'!$J$2:$J$1795,$N1737),IF(J1737&lt;=100,INDEX('Tabela Passaro'!$K$2:$K$1795,$N1737),INDEX('Tabela Passaro'!$K$2:$K$1795,$N1737)+(J1737-100)*INDEX('Tabela Passaro'!$L$2:$L$1795,$N1737))))))</f>
        <v>129.6</v>
      </c>
      <c r="S1737" s="32" t="n">
        <f aca="false">K1737*INDEX('Tabela Passaro'!$M$2:$M$1795,$N1737)</f>
        <v>3.5523</v>
      </c>
      <c r="T1737" s="32" t="n">
        <f aca="false">K1737*INDEX('Tabela Passaro'!$N$2:$N$1795,$N1737)</f>
        <v>1.42092</v>
      </c>
      <c r="U1737" s="32" t="n">
        <f aca="false">INDEX('Tabela Passaro'!$O$2:$O$1795,$N1737)</f>
        <v>5</v>
      </c>
      <c r="V1737" s="32" t="n">
        <f aca="false">ROUNDUP(J1737/INDEX('Tabela Passaro'!$Q$2:$Q$1795,$N1737),0)*INDEX('Tabela Passaro'!$P$2:$P$1795,$N1737)</f>
        <v>5</v>
      </c>
      <c r="W1737" s="32" t="n">
        <f aca="false">INDEX('Tabela Passaro'!$R$2:$R$1795,$N1737)</f>
        <v>30</v>
      </c>
      <c r="X1737" s="32" t="n">
        <f aca="false">ROUNDUP(J1737/INDEX('Tabela Passaro'!$T$2:$T$1795,$N1737),0)*INDEX('Tabela Passaro'!$S$2:$S$1795,$N1737)</f>
        <v>0</v>
      </c>
      <c r="Y1737" s="32" t="n">
        <f aca="false">INDEX('Tabela Passaro'!$U$2:$U$1795,$N1737)</f>
        <v>0</v>
      </c>
      <c r="Z1737" s="32" t="n">
        <f aca="false">INDEX('Tabela Passaro'!$V$2:$V$1795,$N1737)</f>
        <v>0</v>
      </c>
      <c r="AA1737" s="32" t="n">
        <f aca="false">SUM(R1737:Z1737)</f>
        <v>174.57322</v>
      </c>
      <c r="AB1737" s="33" t="n">
        <f aca="false">INDEX(Premissas!$B$5:$B$13,MATCH(A1737,Premissas!$A$5:$A$13,0))</f>
        <v>0.07</v>
      </c>
      <c r="AC1737" s="32" t="n">
        <f aca="false">AA1737/(1-AB1737)-AA1737</f>
        <v>13.1399197849462</v>
      </c>
      <c r="AD1737" s="32" t="n">
        <f aca="false">ROUND(AA1737+AC1737,2)</f>
        <v>187.71</v>
      </c>
      <c r="AE1737" s="32" t="n">
        <f aca="false">AD1737-L1737</f>
        <v>6.29000000000002</v>
      </c>
      <c r="AF1737" s="34" t="n">
        <f aca="false">IF(L1737=0,0,AE1737/L1737)</f>
        <v>0.0346709293352443</v>
      </c>
      <c r="AG1737" s="22" t="str">
        <f aca="false">IF(AD1737&lt;L1737,"PASSARO","ATUAL")</f>
        <v>ATUAL</v>
      </c>
      <c r="AH1737" s="22" t="str">
        <f aca="false">IF(P1737&lt;&gt;A1737,"Faixa cadastrada como "&amp;P1737&amp;" na tabela; preço aplicado pela UF do CEP","")</f>
        <v/>
      </c>
      <c r="AI1737" s="26" t="n">
        <v>218.6</v>
      </c>
      <c r="AJ1737" s="22" t="str">
        <f aca="false">INDEX('Tabela Passaro'!$X$2:$X$1795,$N1737)</f>
        <v>INTERIOR 1</v>
      </c>
    </row>
    <row r="1738" customFormat="false" ht="15" hidden="false" customHeight="false" outlineLevel="0" collapsed="false">
      <c r="A1738" s="22" t="s">
        <v>22</v>
      </c>
      <c r="B1738" s="22" t="n">
        <v>8</v>
      </c>
      <c r="C1738" s="22" t="s">
        <v>194</v>
      </c>
      <c r="D1738" s="22" t="s">
        <v>30</v>
      </c>
      <c r="E1738" s="22" t="s">
        <v>20</v>
      </c>
      <c r="F1738" s="22" t="n">
        <v>840627</v>
      </c>
      <c r="G1738" s="30" t="n">
        <v>46265</v>
      </c>
      <c r="H1738" s="22" t="n">
        <v>32826</v>
      </c>
      <c r="I1738" s="22" t="s">
        <v>8898</v>
      </c>
      <c r="J1738" s="31" t="n">
        <v>37.6</v>
      </c>
      <c r="K1738" s="26" t="n">
        <v>595.74</v>
      </c>
      <c r="L1738" s="26" t="n">
        <v>180.4</v>
      </c>
      <c r="M1738" s="22" t="s">
        <v>6609</v>
      </c>
      <c r="N1738" s="22" t="n">
        <f aca="false">MATCH(M1738,'Tabela Passaro'!$A$2:$A$1795,0)</f>
        <v>1612</v>
      </c>
      <c r="O1738" s="22" t="str">
        <f aca="false">INDEX('Tabela Passaro'!$C$2:$C$1795,$N1738)</f>
        <v>SAO JOSE DE MIPIBU</v>
      </c>
      <c r="P1738" s="22" t="str">
        <f aca="false">INDEX('Tabela Passaro'!$B$2:$B$1795,$N1738)</f>
        <v>RN</v>
      </c>
      <c r="Q1738" s="22" t="n">
        <f aca="false">INDEX('Tabela Passaro'!$F$2:$F$1795,$N1738)</f>
        <v>12</v>
      </c>
      <c r="R1738" s="32" t="n">
        <f aca="false">IF(J1738&lt;=10,INDEX('Tabela Passaro'!$G$2:$G$1795,$N1738),IF(J1738&lt;=30,INDEX('Tabela Passaro'!$H$2:$H$1795,$N1738),IF(J1738&lt;=50,INDEX('Tabela Passaro'!$I$2:$I$1795,$N1738),IF(J1738&lt;=70,INDEX('Tabela Passaro'!$J$2:$J$1795,$N1738),IF(J1738&lt;=100,INDEX('Tabela Passaro'!$K$2:$K$1795,$N1738),INDEX('Tabela Passaro'!$K$2:$K$1795,$N1738)+(J1738-100)*INDEX('Tabela Passaro'!$L$2:$L$1795,$N1738))))))</f>
        <v>129.6</v>
      </c>
      <c r="S1738" s="32" t="n">
        <f aca="false">K1738*INDEX('Tabela Passaro'!$M$2:$M$1795,$N1738)</f>
        <v>2.9787</v>
      </c>
      <c r="T1738" s="32" t="n">
        <f aca="false">K1738*INDEX('Tabela Passaro'!$N$2:$N$1795,$N1738)</f>
        <v>1.19148</v>
      </c>
      <c r="U1738" s="32" t="n">
        <f aca="false">INDEX('Tabela Passaro'!$O$2:$O$1795,$N1738)</f>
        <v>5</v>
      </c>
      <c r="V1738" s="32" t="n">
        <f aca="false">ROUNDUP(J1738/INDEX('Tabela Passaro'!$Q$2:$Q$1795,$N1738),0)*INDEX('Tabela Passaro'!$P$2:$P$1795,$N1738)</f>
        <v>5</v>
      </c>
      <c r="W1738" s="32" t="n">
        <f aca="false">INDEX('Tabela Passaro'!$R$2:$R$1795,$N1738)</f>
        <v>30</v>
      </c>
      <c r="X1738" s="32" t="n">
        <f aca="false">ROUNDUP(J1738/INDEX('Tabela Passaro'!$T$2:$T$1795,$N1738),0)*INDEX('Tabela Passaro'!$S$2:$S$1795,$N1738)</f>
        <v>0</v>
      </c>
      <c r="Y1738" s="32" t="n">
        <f aca="false">INDEX('Tabela Passaro'!$U$2:$U$1795,$N1738)</f>
        <v>0</v>
      </c>
      <c r="Z1738" s="32" t="n">
        <f aca="false">INDEX('Tabela Passaro'!$V$2:$V$1795,$N1738)</f>
        <v>0</v>
      </c>
      <c r="AA1738" s="32" t="n">
        <f aca="false">SUM(R1738:Z1738)</f>
        <v>173.77018</v>
      </c>
      <c r="AB1738" s="33" t="n">
        <f aca="false">INDEX(Premissas!$B$5:$B$13,MATCH(A1738,Premissas!$A$5:$A$13,0))</f>
        <v>0.07</v>
      </c>
      <c r="AC1738" s="32" t="n">
        <f aca="false">AA1738/(1-AB1738)-AA1738</f>
        <v>13.0794759139785</v>
      </c>
      <c r="AD1738" s="32" t="n">
        <f aca="false">ROUND(AA1738+AC1738,2)</f>
        <v>186.85</v>
      </c>
      <c r="AE1738" s="32" t="n">
        <f aca="false">AD1738-L1738</f>
        <v>6.44999999999999</v>
      </c>
      <c r="AF1738" s="34" t="n">
        <f aca="false">IF(L1738=0,0,AE1738/L1738)</f>
        <v>0.0357538802660753</v>
      </c>
      <c r="AG1738" s="22" t="str">
        <f aca="false">IF(AD1738&lt;L1738,"PASSARO","ATUAL")</f>
        <v>ATUAL</v>
      </c>
      <c r="AH1738" s="22" t="str">
        <f aca="false">IF(P1738&lt;&gt;A1738,"Faixa cadastrada como "&amp;P1738&amp;" na tabela; preço aplicado pela UF do CEP","")</f>
        <v/>
      </c>
      <c r="AI1738" s="26" t="n">
        <v>218.45</v>
      </c>
      <c r="AJ1738" s="22" t="str">
        <f aca="false">INDEX('Tabela Passaro'!$X$2:$X$1795,$N1738)</f>
        <v>INTERIOR 1</v>
      </c>
    </row>
    <row r="1739" customFormat="false" ht="15" hidden="false" customHeight="false" outlineLevel="0" collapsed="false">
      <c r="A1739" s="22" t="s">
        <v>22</v>
      </c>
      <c r="B1739" s="22" t="n">
        <v>9</v>
      </c>
      <c r="C1739" s="22" t="s">
        <v>195</v>
      </c>
      <c r="D1739" s="22" t="s">
        <v>30</v>
      </c>
      <c r="E1739" s="22" t="s">
        <v>7326</v>
      </c>
      <c r="F1739" s="22" t="n">
        <v>523834</v>
      </c>
      <c r="G1739" s="30" t="n">
        <v>46245</v>
      </c>
      <c r="H1739" s="22" t="n">
        <v>623256</v>
      </c>
      <c r="I1739" s="22" t="s">
        <v>8899</v>
      </c>
      <c r="J1739" s="31" t="n">
        <v>29.2</v>
      </c>
      <c r="K1739" s="26" t="n">
        <v>533.18</v>
      </c>
      <c r="L1739" s="26" t="n">
        <v>150.88</v>
      </c>
      <c r="M1739" s="22" t="s">
        <v>6706</v>
      </c>
      <c r="N1739" s="22" t="n">
        <f aca="false">MATCH(M1739,'Tabela Passaro'!$A$2:$A$1795,0)</f>
        <v>1638</v>
      </c>
      <c r="O1739" s="22" t="str">
        <f aca="false">INDEX('Tabela Passaro'!$C$2:$C$1795,$N1739)</f>
        <v>CAICO</v>
      </c>
      <c r="P1739" s="22" t="str">
        <f aca="false">INDEX('Tabela Passaro'!$B$2:$B$1795,$N1739)</f>
        <v>RN</v>
      </c>
      <c r="Q1739" s="22" t="n">
        <f aca="false">INDEX('Tabela Passaro'!$F$2:$F$1795,$N1739)</f>
        <v>14</v>
      </c>
      <c r="R1739" s="32" t="n">
        <f aca="false">IF(J1739&lt;=10,INDEX('Tabela Passaro'!$G$2:$G$1795,$N1739),IF(J1739&lt;=30,INDEX('Tabela Passaro'!$H$2:$H$1795,$N1739),IF(J1739&lt;=50,INDEX('Tabela Passaro'!$I$2:$I$1795,$N1739),IF(J1739&lt;=70,INDEX('Tabela Passaro'!$J$2:$J$1795,$N1739),IF(J1739&lt;=100,INDEX('Tabela Passaro'!$K$2:$K$1795,$N1739),INDEX('Tabela Passaro'!$K$2:$K$1795,$N1739)+(J1739-100)*INDEX('Tabela Passaro'!$L$2:$L$1795,$N1739))))))</f>
        <v>126.41</v>
      </c>
      <c r="S1739" s="32" t="n">
        <f aca="false">K1739*INDEX('Tabela Passaro'!$M$2:$M$1795,$N1739)</f>
        <v>2.6659</v>
      </c>
      <c r="T1739" s="32" t="n">
        <f aca="false">K1739*INDEX('Tabela Passaro'!$N$2:$N$1795,$N1739)</f>
        <v>1.06636</v>
      </c>
      <c r="U1739" s="32" t="n">
        <f aca="false">INDEX('Tabela Passaro'!$O$2:$O$1795,$N1739)</f>
        <v>5</v>
      </c>
      <c r="V1739" s="32" t="n">
        <f aca="false">ROUNDUP(J1739/INDEX('Tabela Passaro'!$Q$2:$Q$1795,$N1739),0)*INDEX('Tabela Passaro'!$P$2:$P$1795,$N1739)</f>
        <v>5</v>
      </c>
      <c r="W1739" s="32" t="n">
        <f aca="false">INDEX('Tabela Passaro'!$R$2:$R$1795,$N1739)</f>
        <v>30</v>
      </c>
      <c r="X1739" s="32" t="n">
        <f aca="false">ROUNDUP(J1739/INDEX('Tabela Passaro'!$T$2:$T$1795,$N1739),0)*INDEX('Tabela Passaro'!$S$2:$S$1795,$N1739)</f>
        <v>0</v>
      </c>
      <c r="Y1739" s="32" t="n">
        <f aca="false">INDEX('Tabela Passaro'!$U$2:$U$1795,$N1739)</f>
        <v>0</v>
      </c>
      <c r="Z1739" s="32" t="n">
        <f aca="false">INDEX('Tabela Passaro'!$V$2:$V$1795,$N1739)</f>
        <v>250</v>
      </c>
      <c r="AA1739" s="32" t="n">
        <f aca="false">SUM(R1739:Z1739)</f>
        <v>420.14226</v>
      </c>
      <c r="AB1739" s="33" t="n">
        <f aca="false">INDEX(Premissas!$B$5:$B$13,MATCH(A1739,Premissas!$A$5:$A$13,0))</f>
        <v>0.07</v>
      </c>
      <c r="AC1739" s="32" t="n">
        <f aca="false">AA1739/(1-AB1739)-AA1739</f>
        <v>31.623610967742</v>
      </c>
      <c r="AD1739" s="32" t="n">
        <f aca="false">ROUND(AA1739+AC1739,2)</f>
        <v>451.77</v>
      </c>
      <c r="AE1739" s="32" t="n">
        <f aca="false">AD1739-L1739</f>
        <v>300.89</v>
      </c>
      <c r="AF1739" s="34" t="n">
        <f aca="false">IF(L1739=0,0,AE1739/L1739)</f>
        <v>1.99423382820785</v>
      </c>
      <c r="AG1739" s="22" t="str">
        <f aca="false">IF(AD1739&lt;L1739,"PASSARO","ATUAL")</f>
        <v>ATUAL</v>
      </c>
      <c r="AH1739" s="22" t="str">
        <f aca="false">IF(P1739&lt;&gt;A1739,"Faixa cadastrada como "&amp;P1739&amp;" na tabela; preço aplicado pela UF do CEP","")</f>
        <v/>
      </c>
      <c r="AI1739" s="26" t="n">
        <v>478.79</v>
      </c>
      <c r="AJ1739" s="22" t="str">
        <f aca="false">INDEX('Tabela Passaro'!$X$2:$X$1795,$N1739)</f>
        <v>INTERIOR 2</v>
      </c>
    </row>
    <row r="1740" customFormat="false" ht="15" hidden="false" customHeight="false" outlineLevel="0" collapsed="false">
      <c r="A1740" s="22" t="s">
        <v>22</v>
      </c>
      <c r="B1740" s="22" t="n">
        <v>9</v>
      </c>
      <c r="C1740" s="22" t="s">
        <v>195</v>
      </c>
      <c r="D1740" s="22" t="s">
        <v>30</v>
      </c>
      <c r="E1740" s="22" t="s">
        <v>7328</v>
      </c>
      <c r="F1740" s="22" t="n">
        <v>2311261</v>
      </c>
      <c r="G1740" s="30" t="n">
        <v>46246</v>
      </c>
      <c r="H1740" s="22" t="n">
        <v>132714</v>
      </c>
      <c r="I1740" s="22" t="s">
        <v>8899</v>
      </c>
      <c r="J1740" s="31" t="n">
        <v>49.6</v>
      </c>
      <c r="K1740" s="26" t="n">
        <v>916.07</v>
      </c>
      <c r="L1740" s="26" t="n">
        <v>192.93</v>
      </c>
      <c r="M1740" s="22" t="s">
        <v>6706</v>
      </c>
      <c r="N1740" s="22" t="n">
        <f aca="false">MATCH(M1740,'Tabela Passaro'!$A$2:$A$1795,0)</f>
        <v>1638</v>
      </c>
      <c r="O1740" s="22" t="str">
        <f aca="false">INDEX('Tabela Passaro'!$C$2:$C$1795,$N1740)</f>
        <v>CAICO</v>
      </c>
      <c r="P1740" s="22" t="str">
        <f aca="false">INDEX('Tabela Passaro'!$B$2:$B$1795,$N1740)</f>
        <v>RN</v>
      </c>
      <c r="Q1740" s="22" t="n">
        <f aca="false">INDEX('Tabela Passaro'!$F$2:$F$1795,$N1740)</f>
        <v>14</v>
      </c>
      <c r="R1740" s="32" t="n">
        <f aca="false">IF(J1740&lt;=10,INDEX('Tabela Passaro'!$G$2:$G$1795,$N1740),IF(J1740&lt;=30,INDEX('Tabela Passaro'!$H$2:$H$1795,$N1740),IF(J1740&lt;=50,INDEX('Tabela Passaro'!$I$2:$I$1795,$N1740),IF(J1740&lt;=70,INDEX('Tabela Passaro'!$J$2:$J$1795,$N1740),IF(J1740&lt;=100,INDEX('Tabela Passaro'!$K$2:$K$1795,$N1740),INDEX('Tabela Passaro'!$K$2:$K$1795,$N1740)+(J1740-100)*INDEX('Tabela Passaro'!$L$2:$L$1795,$N1740))))))</f>
        <v>146.44</v>
      </c>
      <c r="S1740" s="32" t="n">
        <f aca="false">K1740*INDEX('Tabela Passaro'!$M$2:$M$1795,$N1740)</f>
        <v>4.58035</v>
      </c>
      <c r="T1740" s="32" t="n">
        <f aca="false">K1740*INDEX('Tabela Passaro'!$N$2:$N$1795,$N1740)</f>
        <v>1.83214</v>
      </c>
      <c r="U1740" s="32" t="n">
        <f aca="false">INDEX('Tabela Passaro'!$O$2:$O$1795,$N1740)</f>
        <v>5</v>
      </c>
      <c r="V1740" s="32" t="n">
        <f aca="false">ROUNDUP(J1740/INDEX('Tabela Passaro'!$Q$2:$Q$1795,$N1740),0)*INDEX('Tabela Passaro'!$P$2:$P$1795,$N1740)</f>
        <v>5</v>
      </c>
      <c r="W1740" s="32" t="n">
        <f aca="false">INDEX('Tabela Passaro'!$R$2:$R$1795,$N1740)</f>
        <v>30</v>
      </c>
      <c r="X1740" s="32" t="n">
        <f aca="false">ROUNDUP(J1740/INDEX('Tabela Passaro'!$T$2:$T$1795,$N1740),0)*INDEX('Tabela Passaro'!$S$2:$S$1795,$N1740)</f>
        <v>0</v>
      </c>
      <c r="Y1740" s="32" t="n">
        <f aca="false">INDEX('Tabela Passaro'!$U$2:$U$1795,$N1740)</f>
        <v>0</v>
      </c>
      <c r="Z1740" s="32" t="n">
        <f aca="false">INDEX('Tabela Passaro'!$V$2:$V$1795,$N1740)</f>
        <v>250</v>
      </c>
      <c r="AA1740" s="32" t="n">
        <f aca="false">SUM(R1740:Z1740)</f>
        <v>442.85249</v>
      </c>
      <c r="AB1740" s="33" t="n">
        <f aca="false">INDEX(Premissas!$B$5:$B$13,MATCH(A1740,Premissas!$A$5:$A$13,0))</f>
        <v>0.07</v>
      </c>
      <c r="AC1740" s="32" t="n">
        <f aca="false">AA1740/(1-AB1740)-AA1740</f>
        <v>33.3329831182796</v>
      </c>
      <c r="AD1740" s="32" t="n">
        <f aca="false">ROUND(AA1740+AC1740,2)</f>
        <v>476.19</v>
      </c>
      <c r="AE1740" s="32" t="n">
        <f aca="false">AD1740-L1740</f>
        <v>283.26</v>
      </c>
      <c r="AF1740" s="34" t="n">
        <f aca="false">IF(L1740=0,0,AE1740/L1740)</f>
        <v>1.46820090188151</v>
      </c>
      <c r="AG1740" s="22" t="str">
        <f aca="false">IF(AD1740&lt;L1740,"PASSARO","ATUAL")</f>
        <v>ATUAL</v>
      </c>
      <c r="AH1740" s="22" t="str">
        <f aca="false">IF(P1740&lt;&gt;A1740,"Faixa cadastrada como "&amp;P1740&amp;" na tabela; preço aplicado pela UF do CEP","")</f>
        <v/>
      </c>
      <c r="AI1740" s="26" t="n">
        <v>517.23</v>
      </c>
      <c r="AJ1740" s="22" t="str">
        <f aca="false">INDEX('Tabela Passaro'!$X$2:$X$1795,$N1740)</f>
        <v>INTERIOR 2</v>
      </c>
    </row>
    <row r="1741" customFormat="false" ht="15" hidden="false" customHeight="false" outlineLevel="0" collapsed="false">
      <c r="A1741" s="22" t="s">
        <v>22</v>
      </c>
      <c r="B1741" s="22" t="n">
        <v>9</v>
      </c>
      <c r="C1741" s="22" t="s">
        <v>195</v>
      </c>
      <c r="D1741" s="22" t="s">
        <v>30</v>
      </c>
      <c r="E1741" s="22" t="s">
        <v>20</v>
      </c>
      <c r="F1741" s="22" t="n">
        <v>840484</v>
      </c>
      <c r="G1741" s="30" t="n">
        <v>46262</v>
      </c>
      <c r="H1741" s="22" t="n">
        <v>32769</v>
      </c>
      <c r="I1741" s="22" t="s">
        <v>8899</v>
      </c>
      <c r="J1741" s="31" t="n">
        <v>27.4</v>
      </c>
      <c r="K1741" s="26" t="n">
        <v>524.69</v>
      </c>
      <c r="L1741" s="26" t="n">
        <v>132.99</v>
      </c>
      <c r="M1741" s="22" t="s">
        <v>6706</v>
      </c>
      <c r="N1741" s="22" t="n">
        <f aca="false">MATCH(M1741,'Tabela Passaro'!$A$2:$A$1795,0)</f>
        <v>1638</v>
      </c>
      <c r="O1741" s="22" t="str">
        <f aca="false">INDEX('Tabela Passaro'!$C$2:$C$1795,$N1741)</f>
        <v>CAICO</v>
      </c>
      <c r="P1741" s="22" t="str">
        <f aca="false">INDEX('Tabela Passaro'!$B$2:$B$1795,$N1741)</f>
        <v>RN</v>
      </c>
      <c r="Q1741" s="22" t="n">
        <f aca="false">INDEX('Tabela Passaro'!$F$2:$F$1795,$N1741)</f>
        <v>14</v>
      </c>
      <c r="R1741" s="32" t="n">
        <f aca="false">IF(J1741&lt;=10,INDEX('Tabela Passaro'!$G$2:$G$1795,$N1741),IF(J1741&lt;=30,INDEX('Tabela Passaro'!$H$2:$H$1795,$N1741),IF(J1741&lt;=50,INDEX('Tabela Passaro'!$I$2:$I$1795,$N1741),IF(J1741&lt;=70,INDEX('Tabela Passaro'!$J$2:$J$1795,$N1741),IF(J1741&lt;=100,INDEX('Tabela Passaro'!$K$2:$K$1795,$N1741),INDEX('Tabela Passaro'!$K$2:$K$1795,$N1741)+(J1741-100)*INDEX('Tabela Passaro'!$L$2:$L$1795,$N1741))))))</f>
        <v>126.41</v>
      </c>
      <c r="S1741" s="32" t="n">
        <f aca="false">K1741*INDEX('Tabela Passaro'!$M$2:$M$1795,$N1741)</f>
        <v>2.62345</v>
      </c>
      <c r="T1741" s="32" t="n">
        <f aca="false">K1741*INDEX('Tabela Passaro'!$N$2:$N$1795,$N1741)</f>
        <v>1.04938</v>
      </c>
      <c r="U1741" s="32" t="n">
        <f aca="false">INDEX('Tabela Passaro'!$O$2:$O$1795,$N1741)</f>
        <v>5</v>
      </c>
      <c r="V1741" s="32" t="n">
        <f aca="false">ROUNDUP(J1741/INDEX('Tabela Passaro'!$Q$2:$Q$1795,$N1741),0)*INDEX('Tabela Passaro'!$P$2:$P$1795,$N1741)</f>
        <v>5</v>
      </c>
      <c r="W1741" s="32" t="n">
        <f aca="false">INDEX('Tabela Passaro'!$R$2:$R$1795,$N1741)</f>
        <v>30</v>
      </c>
      <c r="X1741" s="32" t="n">
        <f aca="false">ROUNDUP(J1741/INDEX('Tabela Passaro'!$T$2:$T$1795,$N1741),0)*INDEX('Tabela Passaro'!$S$2:$S$1795,$N1741)</f>
        <v>0</v>
      </c>
      <c r="Y1741" s="32" t="n">
        <f aca="false">INDEX('Tabela Passaro'!$U$2:$U$1795,$N1741)</f>
        <v>0</v>
      </c>
      <c r="Z1741" s="32" t="n">
        <f aca="false">INDEX('Tabela Passaro'!$V$2:$V$1795,$N1741)</f>
        <v>250</v>
      </c>
      <c r="AA1741" s="32" t="n">
        <f aca="false">SUM(R1741:Z1741)</f>
        <v>420.08283</v>
      </c>
      <c r="AB1741" s="33" t="n">
        <f aca="false">INDEX(Premissas!$B$5:$B$13,MATCH(A1741,Premissas!$A$5:$A$13,0))</f>
        <v>0.07</v>
      </c>
      <c r="AC1741" s="32" t="n">
        <f aca="false">AA1741/(1-AB1741)-AA1741</f>
        <v>31.6191377419355</v>
      </c>
      <c r="AD1741" s="32" t="n">
        <f aca="false">ROUND(AA1741+AC1741,2)</f>
        <v>451.7</v>
      </c>
      <c r="AE1741" s="32" t="n">
        <f aca="false">AD1741-L1741</f>
        <v>318.71</v>
      </c>
      <c r="AF1741" s="34" t="n">
        <f aca="false">IF(L1741=0,0,AE1741/L1741)</f>
        <v>2.39649597714114</v>
      </c>
      <c r="AG1741" s="22" t="str">
        <f aca="false">IF(AD1741&lt;L1741,"PASSARO","ATUAL")</f>
        <v>ATUAL</v>
      </c>
      <c r="AH1741" s="22" t="str">
        <f aca="false">IF(P1741&lt;&gt;A1741,"Faixa cadastrada como "&amp;P1741&amp;" na tabela; preço aplicado pela UF do CEP","")</f>
        <v/>
      </c>
      <c r="AI1741" s="26" t="n">
        <v>477.74</v>
      </c>
      <c r="AJ1741" s="22" t="str">
        <f aca="false">INDEX('Tabela Passaro'!$X$2:$X$1795,$N1741)</f>
        <v>INTERIOR 2</v>
      </c>
    </row>
    <row r="1742" customFormat="false" ht="15" hidden="false" customHeight="false" outlineLevel="0" collapsed="false">
      <c r="A1742" s="22" t="s">
        <v>22</v>
      </c>
      <c r="B1742" s="22" t="n">
        <v>10</v>
      </c>
      <c r="C1742" s="22" t="s">
        <v>196</v>
      </c>
      <c r="D1742" s="22" t="s">
        <v>30</v>
      </c>
      <c r="E1742" s="22" t="s">
        <v>7326</v>
      </c>
      <c r="F1742" s="22" t="n">
        <v>524708</v>
      </c>
      <c r="G1742" s="30" t="n">
        <v>46247</v>
      </c>
      <c r="H1742" s="22" t="n">
        <v>624569</v>
      </c>
      <c r="I1742" s="22" t="s">
        <v>8900</v>
      </c>
      <c r="J1742" s="31" t="n">
        <v>70</v>
      </c>
      <c r="K1742" s="26" t="n">
        <v>2022.14</v>
      </c>
      <c r="L1742" s="26" t="n">
        <v>318.96</v>
      </c>
      <c r="M1742" s="22" t="s">
        <v>6575</v>
      </c>
      <c r="N1742" s="22" t="n">
        <f aca="false">MATCH(M1742,'Tabela Passaro'!$A$2:$A$1795,0)</f>
        <v>1603</v>
      </c>
      <c r="O1742" s="22" t="str">
        <f aca="false">INDEX('Tabela Passaro'!$C$2:$C$1795,$N1742)</f>
        <v>PENDENCIAS</v>
      </c>
      <c r="P1742" s="22" t="str">
        <f aca="false">INDEX('Tabela Passaro'!$B$2:$B$1795,$N1742)</f>
        <v>RN</v>
      </c>
      <c r="Q1742" s="22" t="n">
        <f aca="false">INDEX('Tabela Passaro'!$F$2:$F$1795,$N1742)</f>
        <v>12</v>
      </c>
      <c r="R1742" s="32" t="n">
        <f aca="false">IF(J1742&lt;=10,INDEX('Tabela Passaro'!$G$2:$G$1795,$N1742),IF(J1742&lt;=30,INDEX('Tabela Passaro'!$H$2:$H$1795,$N1742),IF(J1742&lt;=50,INDEX('Tabela Passaro'!$I$2:$I$1795,$N1742),IF(J1742&lt;=70,INDEX('Tabela Passaro'!$J$2:$J$1795,$N1742),IF(J1742&lt;=100,INDEX('Tabela Passaro'!$K$2:$K$1795,$N1742),INDEX('Tabela Passaro'!$K$2:$K$1795,$N1742)+(J1742-100)*INDEX('Tabela Passaro'!$L$2:$L$1795,$N1742))))))</f>
        <v>139.62</v>
      </c>
      <c r="S1742" s="32" t="n">
        <f aca="false">K1742*INDEX('Tabela Passaro'!$M$2:$M$1795,$N1742)</f>
        <v>10.1107</v>
      </c>
      <c r="T1742" s="32" t="n">
        <f aca="false">K1742*INDEX('Tabela Passaro'!$N$2:$N$1795,$N1742)</f>
        <v>4.04428</v>
      </c>
      <c r="U1742" s="32" t="n">
        <f aca="false">INDEX('Tabela Passaro'!$O$2:$O$1795,$N1742)</f>
        <v>5</v>
      </c>
      <c r="V1742" s="32" t="n">
        <f aca="false">ROUNDUP(J1742/INDEX('Tabela Passaro'!$Q$2:$Q$1795,$N1742),0)*INDEX('Tabela Passaro'!$P$2:$P$1795,$N1742)</f>
        <v>5</v>
      </c>
      <c r="W1742" s="32" t="n">
        <f aca="false">INDEX('Tabela Passaro'!$R$2:$R$1795,$N1742)</f>
        <v>30</v>
      </c>
      <c r="X1742" s="32" t="n">
        <f aca="false">ROUNDUP(J1742/INDEX('Tabela Passaro'!$T$2:$T$1795,$N1742),0)*INDEX('Tabela Passaro'!$S$2:$S$1795,$N1742)</f>
        <v>0</v>
      </c>
      <c r="Y1742" s="32" t="n">
        <f aca="false">INDEX('Tabela Passaro'!$U$2:$U$1795,$N1742)</f>
        <v>0</v>
      </c>
      <c r="Z1742" s="32" t="n">
        <f aca="false">INDEX('Tabela Passaro'!$V$2:$V$1795,$N1742)</f>
        <v>250</v>
      </c>
      <c r="AA1742" s="32" t="n">
        <f aca="false">SUM(R1742:Z1742)</f>
        <v>443.77498</v>
      </c>
      <c r="AB1742" s="33" t="n">
        <f aca="false">INDEX(Premissas!$B$5:$B$13,MATCH(A1742,Premissas!$A$5:$A$13,0))</f>
        <v>0.07</v>
      </c>
      <c r="AC1742" s="32" t="n">
        <f aca="false">AA1742/(1-AB1742)-AA1742</f>
        <v>33.4024178494624</v>
      </c>
      <c r="AD1742" s="32" t="n">
        <f aca="false">ROUND(AA1742+AC1742,2)</f>
        <v>477.18</v>
      </c>
      <c r="AE1742" s="32" t="n">
        <f aca="false">AD1742-L1742</f>
        <v>158.22</v>
      </c>
      <c r="AF1742" s="34" t="n">
        <f aca="false">IF(L1742=0,0,AE1742/L1742)</f>
        <v>0.496049661399549</v>
      </c>
      <c r="AG1742" s="22" t="str">
        <f aca="false">IF(AD1742&lt;L1742,"PASSARO","ATUAL")</f>
        <v>ATUAL</v>
      </c>
      <c r="AH1742" s="22" t="str">
        <f aca="false">IF(P1742&lt;&gt;A1742,"Faixa cadastrada como "&amp;P1742&amp;" na tabela; preço aplicado pela UF do CEP","")</f>
        <v/>
      </c>
      <c r="AI1742" s="26" t="n">
        <v>529.07</v>
      </c>
      <c r="AJ1742" s="22" t="str">
        <f aca="false">INDEX('Tabela Passaro'!$X$2:$X$1795,$N1742)</f>
        <v>INTERIOR 1</v>
      </c>
    </row>
    <row r="1743" customFormat="false" ht="15" hidden="false" customHeight="false" outlineLevel="0" collapsed="false">
      <c r="A1743" s="22" t="s">
        <v>23</v>
      </c>
      <c r="B1743" s="22" t="n">
        <v>1</v>
      </c>
      <c r="C1743" s="22" t="s">
        <v>198</v>
      </c>
      <c r="D1743" s="22" t="s">
        <v>33</v>
      </c>
      <c r="E1743" s="22" t="s">
        <v>7399</v>
      </c>
      <c r="F1743" s="22" t="n">
        <v>1855835</v>
      </c>
      <c r="G1743" s="30" t="n">
        <v>46253</v>
      </c>
      <c r="H1743" s="22" t="n">
        <v>134098</v>
      </c>
      <c r="I1743" s="22" t="s">
        <v>8901</v>
      </c>
      <c r="J1743" s="31" t="n">
        <v>15.11</v>
      </c>
      <c r="K1743" s="26" t="n">
        <v>386.7</v>
      </c>
      <c r="L1743" s="26" t="n">
        <v>122.42</v>
      </c>
      <c r="M1743" s="22" t="s">
        <v>7020</v>
      </c>
      <c r="N1743" s="22" t="n">
        <f aca="false">MATCH(M1743,'Tabela Passaro'!$A$2:$A$1795,0)</f>
        <v>1720</v>
      </c>
      <c r="O1743" s="22" t="str">
        <f aca="false">INDEX('Tabela Passaro'!$C$2:$C$1795,$N1743)</f>
        <v>ARACAJU</v>
      </c>
      <c r="P1743" s="22" t="str">
        <f aca="false">INDEX('Tabela Passaro'!$B$2:$B$1795,$N1743)</f>
        <v>SE</v>
      </c>
      <c r="Q1743" s="22" t="n">
        <f aca="false">INDEX('Tabela Passaro'!$F$2:$F$1795,$N1743)</f>
        <v>7</v>
      </c>
      <c r="R1743" s="32" t="n">
        <f aca="false">IF(J1743&lt;=10,INDEX('Tabela Passaro'!$G$2:$G$1795,$N1743),IF(J1743&lt;=30,INDEX('Tabela Passaro'!$H$2:$H$1795,$N1743),IF(J1743&lt;=50,INDEX('Tabela Passaro'!$I$2:$I$1795,$N1743),IF(J1743&lt;=70,INDEX('Tabela Passaro'!$J$2:$J$1795,$N1743),IF(J1743&lt;=100,INDEX('Tabela Passaro'!$K$2:$K$1795,$N1743),INDEX('Tabela Passaro'!$K$2:$K$1795,$N1743)+(J1743-100)*INDEX('Tabela Passaro'!$L$2:$L$1795,$N1743))))))</f>
        <v>59.04</v>
      </c>
      <c r="S1743" s="32" t="n">
        <f aca="false">K1743*INDEX('Tabela Passaro'!$M$2:$M$1795,$N1743)</f>
        <v>1.9335</v>
      </c>
      <c r="T1743" s="32" t="n">
        <f aca="false">K1743*INDEX('Tabela Passaro'!$N$2:$N$1795,$N1743)</f>
        <v>0.7734</v>
      </c>
      <c r="U1743" s="32" t="n">
        <f aca="false">INDEX('Tabela Passaro'!$O$2:$O$1795,$N1743)</f>
        <v>5</v>
      </c>
      <c r="V1743" s="32" t="n">
        <f aca="false">ROUNDUP(J1743/INDEX('Tabela Passaro'!$Q$2:$Q$1795,$N1743),0)*INDEX('Tabela Passaro'!$P$2:$P$1795,$N1743)</f>
        <v>5</v>
      </c>
      <c r="W1743" s="32" t="n">
        <f aca="false">INDEX('Tabela Passaro'!$R$2:$R$1795,$N1743)</f>
        <v>30</v>
      </c>
      <c r="X1743" s="32" t="n">
        <f aca="false">ROUNDUP(J1743/INDEX('Tabela Passaro'!$T$2:$T$1795,$N1743),0)*INDEX('Tabela Passaro'!$S$2:$S$1795,$N1743)</f>
        <v>0</v>
      </c>
      <c r="Y1743" s="32" t="n">
        <f aca="false">INDEX('Tabela Passaro'!$U$2:$U$1795,$N1743)</f>
        <v>0</v>
      </c>
      <c r="Z1743" s="32" t="n">
        <f aca="false">INDEX('Tabela Passaro'!$V$2:$V$1795,$N1743)</f>
        <v>0</v>
      </c>
      <c r="AA1743" s="32" t="n">
        <f aca="false">SUM(R1743:Z1743)</f>
        <v>101.7469</v>
      </c>
      <c r="AB1743" s="33" t="n">
        <f aca="false">INDEX(Premissas!$B$5:$B$13,MATCH(A1743,Premissas!$A$5:$A$13,0))</f>
        <v>0.07</v>
      </c>
      <c r="AC1743" s="32" t="n">
        <f aca="false">AA1743/(1-AB1743)-AA1743</f>
        <v>7.65836881720431</v>
      </c>
      <c r="AD1743" s="32" t="n">
        <f aca="false">ROUND(AA1743+AC1743,2)</f>
        <v>109.41</v>
      </c>
      <c r="AE1743" s="32" t="n">
        <f aca="false">AD1743-L1743</f>
        <v>-13.01</v>
      </c>
      <c r="AF1743" s="34" t="n">
        <f aca="false">IF(L1743=0,0,AE1743/L1743)</f>
        <v>-0.106273484724718</v>
      </c>
      <c r="AG1743" s="22" t="str">
        <f aca="false">IF(AD1743&lt;L1743,"PASSARO","ATUAL")</f>
        <v>PASSARO</v>
      </c>
      <c r="AH1743" s="22" t="str">
        <f aca="false">IF(P1743&lt;&gt;A1743,"Faixa cadastrada como "&amp;P1743&amp;" na tabela; preço aplicado pela UF do CEP","")</f>
        <v/>
      </c>
      <c r="AI1743" s="26" t="n">
        <v>124.06</v>
      </c>
      <c r="AJ1743" s="22" t="str">
        <f aca="false">INDEX('Tabela Passaro'!$X$2:$X$1795,$N1743)</f>
        <v>CAPITAL</v>
      </c>
    </row>
    <row r="1744" customFormat="false" ht="15" hidden="false" customHeight="false" outlineLevel="0" collapsed="false">
      <c r="A1744" s="22" t="s">
        <v>23</v>
      </c>
      <c r="B1744" s="22" t="n">
        <v>1</v>
      </c>
      <c r="C1744" s="22" t="s">
        <v>198</v>
      </c>
      <c r="D1744" s="22" t="s">
        <v>30</v>
      </c>
      <c r="E1744" s="22" t="s">
        <v>20</v>
      </c>
      <c r="F1744" s="22" t="n">
        <v>837663</v>
      </c>
      <c r="G1744" s="30" t="n">
        <v>46237</v>
      </c>
      <c r="H1744" s="22" t="n">
        <v>32340</v>
      </c>
      <c r="I1744" s="22" t="s">
        <v>8902</v>
      </c>
      <c r="J1744" s="31" t="n">
        <v>66.8</v>
      </c>
      <c r="K1744" s="26" t="n">
        <v>842.32</v>
      </c>
      <c r="L1744" s="26" t="n">
        <v>159.83</v>
      </c>
      <c r="M1744" s="22" t="s">
        <v>7020</v>
      </c>
      <c r="N1744" s="22" t="n">
        <f aca="false">MATCH(M1744,'Tabela Passaro'!$A$2:$A$1795,0)</f>
        <v>1720</v>
      </c>
      <c r="O1744" s="22" t="str">
        <f aca="false">INDEX('Tabela Passaro'!$C$2:$C$1795,$N1744)</f>
        <v>ARACAJU</v>
      </c>
      <c r="P1744" s="22" t="str">
        <f aca="false">INDEX('Tabela Passaro'!$B$2:$B$1795,$N1744)</f>
        <v>SE</v>
      </c>
      <c r="Q1744" s="22" t="n">
        <f aca="false">INDEX('Tabela Passaro'!$F$2:$F$1795,$N1744)</f>
        <v>7</v>
      </c>
      <c r="R1744" s="32" t="n">
        <f aca="false">IF(J1744&lt;=10,INDEX('Tabela Passaro'!$G$2:$G$1795,$N1744),IF(J1744&lt;=30,INDEX('Tabela Passaro'!$H$2:$H$1795,$N1744),IF(J1744&lt;=50,INDEX('Tabela Passaro'!$I$2:$I$1795,$N1744),IF(J1744&lt;=70,INDEX('Tabela Passaro'!$J$2:$J$1795,$N1744),IF(J1744&lt;=100,INDEX('Tabela Passaro'!$K$2:$K$1795,$N1744),INDEX('Tabela Passaro'!$K$2:$K$1795,$N1744)+(J1744-100)*INDEX('Tabela Passaro'!$L$2:$L$1795,$N1744))))))</f>
        <v>82.08</v>
      </c>
      <c r="S1744" s="32" t="n">
        <f aca="false">K1744*INDEX('Tabela Passaro'!$M$2:$M$1795,$N1744)</f>
        <v>4.2116</v>
      </c>
      <c r="T1744" s="32" t="n">
        <f aca="false">K1744*INDEX('Tabela Passaro'!$N$2:$N$1795,$N1744)</f>
        <v>1.68464</v>
      </c>
      <c r="U1744" s="32" t="n">
        <f aca="false">INDEX('Tabela Passaro'!$O$2:$O$1795,$N1744)</f>
        <v>5</v>
      </c>
      <c r="V1744" s="32" t="n">
        <f aca="false">ROUNDUP(J1744/INDEX('Tabela Passaro'!$Q$2:$Q$1795,$N1744),0)*INDEX('Tabela Passaro'!$P$2:$P$1795,$N1744)</f>
        <v>5</v>
      </c>
      <c r="W1744" s="32" t="n">
        <f aca="false">INDEX('Tabela Passaro'!$R$2:$R$1795,$N1744)</f>
        <v>30</v>
      </c>
      <c r="X1744" s="32" t="n">
        <f aca="false">ROUNDUP(J1744/INDEX('Tabela Passaro'!$T$2:$T$1795,$N1744),0)*INDEX('Tabela Passaro'!$S$2:$S$1795,$N1744)</f>
        <v>0</v>
      </c>
      <c r="Y1744" s="32" t="n">
        <f aca="false">INDEX('Tabela Passaro'!$U$2:$U$1795,$N1744)</f>
        <v>0</v>
      </c>
      <c r="Z1744" s="32" t="n">
        <f aca="false">INDEX('Tabela Passaro'!$V$2:$V$1795,$N1744)</f>
        <v>0</v>
      </c>
      <c r="AA1744" s="32" t="n">
        <f aca="false">SUM(R1744:Z1744)</f>
        <v>127.97624</v>
      </c>
      <c r="AB1744" s="33" t="n">
        <f aca="false">INDEX(Premissas!$B$5:$B$13,MATCH(A1744,Premissas!$A$5:$A$13,0))</f>
        <v>0.07</v>
      </c>
      <c r="AC1744" s="32" t="n">
        <f aca="false">AA1744/(1-AB1744)-AA1744</f>
        <v>9.63262021505376</v>
      </c>
      <c r="AD1744" s="32" t="n">
        <f aca="false">ROUND(AA1744+AC1744,2)</f>
        <v>137.61</v>
      </c>
      <c r="AE1744" s="32" t="n">
        <f aca="false">AD1744-L1744</f>
        <v>-22.22</v>
      </c>
      <c r="AF1744" s="34" t="n">
        <f aca="false">IF(L1744=0,0,AE1744/L1744)</f>
        <v>-0.139022711631108</v>
      </c>
      <c r="AG1744" s="22" t="str">
        <f aca="false">IF(AD1744&lt;L1744,"PASSARO","ATUAL")</f>
        <v>PASSARO</v>
      </c>
      <c r="AH1744" s="22" t="str">
        <f aca="false">IF(P1744&lt;&gt;A1744,"Faixa cadastrada como "&amp;P1744&amp;" na tabela; preço aplicado pela UF do CEP","")</f>
        <v/>
      </c>
      <c r="AI1744" s="26" t="n">
        <v>178.19</v>
      </c>
      <c r="AJ1744" s="22" t="str">
        <f aca="false">INDEX('Tabela Passaro'!$X$2:$X$1795,$N1744)</f>
        <v>CAPITAL</v>
      </c>
    </row>
    <row r="1745" customFormat="false" ht="15" hidden="false" customHeight="false" outlineLevel="0" collapsed="false">
      <c r="A1745" s="22" t="s">
        <v>23</v>
      </c>
      <c r="B1745" s="22" t="n">
        <v>1</v>
      </c>
      <c r="C1745" s="22" t="s">
        <v>198</v>
      </c>
      <c r="D1745" s="22" t="s">
        <v>30</v>
      </c>
      <c r="E1745" s="22" t="s">
        <v>7328</v>
      </c>
      <c r="F1745" s="22" t="n">
        <v>2307422</v>
      </c>
      <c r="G1745" s="30" t="n">
        <v>46238</v>
      </c>
      <c r="H1745" s="22" t="n">
        <v>131283</v>
      </c>
      <c r="I1745" s="22" t="s">
        <v>8903</v>
      </c>
      <c r="J1745" s="31" t="n">
        <v>39.76</v>
      </c>
      <c r="K1745" s="26" t="n">
        <v>700.27</v>
      </c>
      <c r="L1745" s="26" t="n">
        <v>151.13</v>
      </c>
      <c r="M1745" s="22" t="s">
        <v>7020</v>
      </c>
      <c r="N1745" s="22" t="n">
        <f aca="false">MATCH(M1745,'Tabela Passaro'!$A$2:$A$1795,0)</f>
        <v>1720</v>
      </c>
      <c r="O1745" s="22" t="str">
        <f aca="false">INDEX('Tabela Passaro'!$C$2:$C$1795,$N1745)</f>
        <v>ARACAJU</v>
      </c>
      <c r="P1745" s="22" t="str">
        <f aca="false">INDEX('Tabela Passaro'!$B$2:$B$1795,$N1745)</f>
        <v>SE</v>
      </c>
      <c r="Q1745" s="22" t="n">
        <f aca="false">INDEX('Tabela Passaro'!$F$2:$F$1795,$N1745)</f>
        <v>7</v>
      </c>
      <c r="R1745" s="32" t="n">
        <f aca="false">IF(J1745&lt;=10,INDEX('Tabela Passaro'!$G$2:$G$1795,$N1745),IF(J1745&lt;=30,INDEX('Tabela Passaro'!$H$2:$H$1795,$N1745),IF(J1745&lt;=50,INDEX('Tabela Passaro'!$I$2:$I$1795,$N1745),IF(J1745&lt;=70,INDEX('Tabela Passaro'!$J$2:$J$1795,$N1745),IF(J1745&lt;=100,INDEX('Tabela Passaro'!$K$2:$K$1795,$N1745),INDEX('Tabela Passaro'!$K$2:$K$1795,$N1745)+(J1745-100)*INDEX('Tabela Passaro'!$L$2:$L$1795,$N1745))))))</f>
        <v>70.56</v>
      </c>
      <c r="S1745" s="32" t="n">
        <f aca="false">K1745*INDEX('Tabela Passaro'!$M$2:$M$1795,$N1745)</f>
        <v>3.50135</v>
      </c>
      <c r="T1745" s="32" t="n">
        <f aca="false">K1745*INDEX('Tabela Passaro'!$N$2:$N$1795,$N1745)</f>
        <v>1.40054</v>
      </c>
      <c r="U1745" s="32" t="n">
        <f aca="false">INDEX('Tabela Passaro'!$O$2:$O$1795,$N1745)</f>
        <v>5</v>
      </c>
      <c r="V1745" s="32" t="n">
        <f aca="false">ROUNDUP(J1745/INDEX('Tabela Passaro'!$Q$2:$Q$1795,$N1745),0)*INDEX('Tabela Passaro'!$P$2:$P$1795,$N1745)</f>
        <v>5</v>
      </c>
      <c r="W1745" s="32" t="n">
        <f aca="false">INDEX('Tabela Passaro'!$R$2:$R$1795,$N1745)</f>
        <v>30</v>
      </c>
      <c r="X1745" s="32" t="n">
        <f aca="false">ROUNDUP(J1745/INDEX('Tabela Passaro'!$T$2:$T$1795,$N1745),0)*INDEX('Tabela Passaro'!$S$2:$S$1795,$N1745)</f>
        <v>0</v>
      </c>
      <c r="Y1745" s="32" t="n">
        <f aca="false">INDEX('Tabela Passaro'!$U$2:$U$1795,$N1745)</f>
        <v>0</v>
      </c>
      <c r="Z1745" s="32" t="n">
        <f aca="false">INDEX('Tabela Passaro'!$V$2:$V$1795,$N1745)</f>
        <v>0</v>
      </c>
      <c r="AA1745" s="32" t="n">
        <f aca="false">SUM(R1745:Z1745)</f>
        <v>115.46189</v>
      </c>
      <c r="AB1745" s="33" t="n">
        <f aca="false">INDEX(Premissas!$B$5:$B$13,MATCH(A1745,Premissas!$A$5:$A$13,0))</f>
        <v>0.07</v>
      </c>
      <c r="AC1745" s="32" t="n">
        <f aca="false">AA1745/(1-AB1745)-AA1745</f>
        <v>8.69067989247313</v>
      </c>
      <c r="AD1745" s="32" t="n">
        <f aca="false">ROUND(AA1745+AC1745,2)</f>
        <v>124.15</v>
      </c>
      <c r="AE1745" s="32" t="n">
        <f aca="false">AD1745-L1745</f>
        <v>-26.98</v>
      </c>
      <c r="AF1745" s="34" t="n">
        <f aca="false">IF(L1745=0,0,AE1745/L1745)</f>
        <v>-0.178521802421756</v>
      </c>
      <c r="AG1745" s="22" t="str">
        <f aca="false">IF(AD1745&lt;L1745,"PASSARO","ATUAL")</f>
        <v>PASSARO</v>
      </c>
      <c r="AH1745" s="22" t="str">
        <f aca="false">IF(P1745&lt;&gt;A1745,"Faixa cadastrada como "&amp;P1745&amp;" na tabela; preço aplicado pela UF do CEP","")</f>
        <v/>
      </c>
      <c r="AI1745" s="26" t="n">
        <v>151.23</v>
      </c>
      <c r="AJ1745" s="22" t="str">
        <f aca="false">INDEX('Tabela Passaro'!$X$2:$X$1795,$N1745)</f>
        <v>CAPITAL</v>
      </c>
    </row>
    <row r="1746" customFormat="false" ht="15" hidden="false" customHeight="false" outlineLevel="0" collapsed="false">
      <c r="A1746" s="22" t="s">
        <v>23</v>
      </c>
      <c r="B1746" s="22" t="n">
        <v>1</v>
      </c>
      <c r="C1746" s="22" t="s">
        <v>198</v>
      </c>
      <c r="D1746" s="22" t="s">
        <v>30</v>
      </c>
      <c r="E1746" s="22" t="s">
        <v>7328</v>
      </c>
      <c r="F1746" s="22" t="n">
        <v>2307415</v>
      </c>
      <c r="G1746" s="30" t="n">
        <v>46238</v>
      </c>
      <c r="H1746" s="22" t="n">
        <v>131323</v>
      </c>
      <c r="I1746" s="22" t="s">
        <v>8904</v>
      </c>
      <c r="J1746" s="31" t="n">
        <v>79.26</v>
      </c>
      <c r="K1746" s="26" t="n">
        <v>893.7</v>
      </c>
      <c r="L1746" s="26" t="n">
        <v>223.34</v>
      </c>
      <c r="M1746" s="22" t="s">
        <v>7020</v>
      </c>
      <c r="N1746" s="22" t="n">
        <f aca="false">MATCH(M1746,'Tabela Passaro'!$A$2:$A$1795,0)</f>
        <v>1720</v>
      </c>
      <c r="O1746" s="22" t="str">
        <f aca="false">INDEX('Tabela Passaro'!$C$2:$C$1795,$N1746)</f>
        <v>ARACAJU</v>
      </c>
      <c r="P1746" s="22" t="str">
        <f aca="false">INDEX('Tabela Passaro'!$B$2:$B$1795,$N1746)</f>
        <v>SE</v>
      </c>
      <c r="Q1746" s="22" t="n">
        <f aca="false">INDEX('Tabela Passaro'!$F$2:$F$1795,$N1746)</f>
        <v>7</v>
      </c>
      <c r="R1746" s="32" t="n">
        <f aca="false">IF(J1746&lt;=10,INDEX('Tabela Passaro'!$G$2:$G$1795,$N1746),IF(J1746&lt;=30,INDEX('Tabela Passaro'!$H$2:$H$1795,$N1746),IF(J1746&lt;=50,INDEX('Tabela Passaro'!$I$2:$I$1795,$N1746),IF(J1746&lt;=70,INDEX('Tabela Passaro'!$J$2:$J$1795,$N1746),IF(J1746&lt;=100,INDEX('Tabela Passaro'!$K$2:$K$1795,$N1746),INDEX('Tabela Passaro'!$K$2:$K$1795,$N1746)+(J1746-100)*INDEX('Tabela Passaro'!$L$2:$L$1795,$N1746))))))</f>
        <v>99.36</v>
      </c>
      <c r="S1746" s="32" t="n">
        <f aca="false">K1746*INDEX('Tabela Passaro'!$M$2:$M$1795,$N1746)</f>
        <v>4.4685</v>
      </c>
      <c r="T1746" s="32" t="n">
        <f aca="false">K1746*INDEX('Tabela Passaro'!$N$2:$N$1795,$N1746)</f>
        <v>1.7874</v>
      </c>
      <c r="U1746" s="32" t="n">
        <f aca="false">INDEX('Tabela Passaro'!$O$2:$O$1795,$N1746)</f>
        <v>5</v>
      </c>
      <c r="V1746" s="32" t="n">
        <f aca="false">ROUNDUP(J1746/INDEX('Tabela Passaro'!$Q$2:$Q$1795,$N1746),0)*INDEX('Tabela Passaro'!$P$2:$P$1795,$N1746)</f>
        <v>5</v>
      </c>
      <c r="W1746" s="32" t="n">
        <f aca="false">INDEX('Tabela Passaro'!$R$2:$R$1795,$N1746)</f>
        <v>30</v>
      </c>
      <c r="X1746" s="32" t="n">
        <f aca="false">ROUNDUP(J1746/INDEX('Tabela Passaro'!$T$2:$T$1795,$N1746),0)*INDEX('Tabela Passaro'!$S$2:$S$1795,$N1746)</f>
        <v>0</v>
      </c>
      <c r="Y1746" s="32" t="n">
        <f aca="false">INDEX('Tabela Passaro'!$U$2:$U$1795,$N1746)</f>
        <v>0</v>
      </c>
      <c r="Z1746" s="32" t="n">
        <f aca="false">INDEX('Tabela Passaro'!$V$2:$V$1795,$N1746)</f>
        <v>0</v>
      </c>
      <c r="AA1746" s="32" t="n">
        <f aca="false">SUM(R1746:Z1746)</f>
        <v>145.6159</v>
      </c>
      <c r="AB1746" s="33" t="n">
        <f aca="false">INDEX(Premissas!$B$5:$B$13,MATCH(A1746,Premissas!$A$5:$A$13,0))</f>
        <v>0.07</v>
      </c>
      <c r="AC1746" s="32" t="n">
        <f aca="false">AA1746/(1-AB1746)-AA1746</f>
        <v>10.9603365591398</v>
      </c>
      <c r="AD1746" s="32" t="n">
        <f aca="false">ROUND(AA1746+AC1746,2)</f>
        <v>156.58</v>
      </c>
      <c r="AE1746" s="32" t="n">
        <f aca="false">AD1746-L1746</f>
        <v>-66.76</v>
      </c>
      <c r="AF1746" s="34" t="n">
        <f aca="false">IF(L1746=0,0,AE1746/L1746)</f>
        <v>-0.298916450255216</v>
      </c>
      <c r="AG1746" s="22" t="str">
        <f aca="false">IF(AD1746&lt;L1746,"PASSARO","ATUAL")</f>
        <v>PASSARO</v>
      </c>
      <c r="AH1746" s="22" t="str">
        <f aca="false">IF(P1746&lt;&gt;A1746,"Faixa cadastrada como "&amp;P1746&amp;" na tabela; preço aplicado pela UF do CEP","")</f>
        <v/>
      </c>
      <c r="AI1746" s="26" t="n">
        <v>203.77</v>
      </c>
      <c r="AJ1746" s="22" t="str">
        <f aca="false">INDEX('Tabela Passaro'!$X$2:$X$1795,$N1746)</f>
        <v>CAPITAL</v>
      </c>
    </row>
    <row r="1747" customFormat="false" ht="15" hidden="false" customHeight="false" outlineLevel="0" collapsed="false">
      <c r="A1747" s="22" t="s">
        <v>23</v>
      </c>
      <c r="B1747" s="22" t="n">
        <v>1</v>
      </c>
      <c r="C1747" s="22" t="s">
        <v>198</v>
      </c>
      <c r="D1747" s="22" t="s">
        <v>30</v>
      </c>
      <c r="E1747" s="22" t="s">
        <v>7328</v>
      </c>
      <c r="F1747" s="22" t="n">
        <v>2307472</v>
      </c>
      <c r="G1747" s="30" t="n">
        <v>46238</v>
      </c>
      <c r="H1747" s="22" t="n">
        <v>131468</v>
      </c>
      <c r="I1747" s="22" t="s">
        <v>8905</v>
      </c>
      <c r="J1747" s="31" t="n">
        <v>79.26</v>
      </c>
      <c r="K1747" s="26" t="n">
        <v>898.7</v>
      </c>
      <c r="L1747" s="26" t="n">
        <v>223.39</v>
      </c>
      <c r="M1747" s="22" t="s">
        <v>7020</v>
      </c>
      <c r="N1747" s="22" t="n">
        <f aca="false">MATCH(M1747,'Tabela Passaro'!$A$2:$A$1795,0)</f>
        <v>1720</v>
      </c>
      <c r="O1747" s="22" t="str">
        <f aca="false">INDEX('Tabela Passaro'!$C$2:$C$1795,$N1747)</f>
        <v>ARACAJU</v>
      </c>
      <c r="P1747" s="22" t="str">
        <f aca="false">INDEX('Tabela Passaro'!$B$2:$B$1795,$N1747)</f>
        <v>SE</v>
      </c>
      <c r="Q1747" s="22" t="n">
        <f aca="false">INDEX('Tabela Passaro'!$F$2:$F$1795,$N1747)</f>
        <v>7</v>
      </c>
      <c r="R1747" s="32" t="n">
        <f aca="false">IF(J1747&lt;=10,INDEX('Tabela Passaro'!$G$2:$G$1795,$N1747),IF(J1747&lt;=30,INDEX('Tabela Passaro'!$H$2:$H$1795,$N1747),IF(J1747&lt;=50,INDEX('Tabela Passaro'!$I$2:$I$1795,$N1747),IF(J1747&lt;=70,INDEX('Tabela Passaro'!$J$2:$J$1795,$N1747),IF(J1747&lt;=100,INDEX('Tabela Passaro'!$K$2:$K$1795,$N1747),INDEX('Tabela Passaro'!$K$2:$K$1795,$N1747)+(J1747-100)*INDEX('Tabela Passaro'!$L$2:$L$1795,$N1747))))))</f>
        <v>99.36</v>
      </c>
      <c r="S1747" s="32" t="n">
        <f aca="false">K1747*INDEX('Tabela Passaro'!$M$2:$M$1795,$N1747)</f>
        <v>4.4935</v>
      </c>
      <c r="T1747" s="32" t="n">
        <f aca="false">K1747*INDEX('Tabela Passaro'!$N$2:$N$1795,$N1747)</f>
        <v>1.7974</v>
      </c>
      <c r="U1747" s="32" t="n">
        <f aca="false">INDEX('Tabela Passaro'!$O$2:$O$1795,$N1747)</f>
        <v>5</v>
      </c>
      <c r="V1747" s="32" t="n">
        <f aca="false">ROUNDUP(J1747/INDEX('Tabela Passaro'!$Q$2:$Q$1795,$N1747),0)*INDEX('Tabela Passaro'!$P$2:$P$1795,$N1747)</f>
        <v>5</v>
      </c>
      <c r="W1747" s="32" t="n">
        <f aca="false">INDEX('Tabela Passaro'!$R$2:$R$1795,$N1747)</f>
        <v>30</v>
      </c>
      <c r="X1747" s="32" t="n">
        <f aca="false">ROUNDUP(J1747/INDEX('Tabela Passaro'!$T$2:$T$1795,$N1747),0)*INDEX('Tabela Passaro'!$S$2:$S$1795,$N1747)</f>
        <v>0</v>
      </c>
      <c r="Y1747" s="32" t="n">
        <f aca="false">INDEX('Tabela Passaro'!$U$2:$U$1795,$N1747)</f>
        <v>0</v>
      </c>
      <c r="Z1747" s="32" t="n">
        <f aca="false">INDEX('Tabela Passaro'!$V$2:$V$1795,$N1747)</f>
        <v>0</v>
      </c>
      <c r="AA1747" s="32" t="n">
        <f aca="false">SUM(R1747:Z1747)</f>
        <v>145.6509</v>
      </c>
      <c r="AB1747" s="33" t="n">
        <f aca="false">INDEX(Premissas!$B$5:$B$13,MATCH(A1747,Premissas!$A$5:$A$13,0))</f>
        <v>0.07</v>
      </c>
      <c r="AC1747" s="32" t="n">
        <f aca="false">AA1747/(1-AB1747)-AA1747</f>
        <v>10.9629709677419</v>
      </c>
      <c r="AD1747" s="32" t="n">
        <f aca="false">ROUND(AA1747+AC1747,2)</f>
        <v>156.61</v>
      </c>
      <c r="AE1747" s="32" t="n">
        <f aca="false">AD1747-L1747</f>
        <v>-66.78</v>
      </c>
      <c r="AF1747" s="34" t="n">
        <f aca="false">IF(L1747=0,0,AE1747/L1747)</f>
        <v>-0.298939075160034</v>
      </c>
      <c r="AG1747" s="22" t="str">
        <f aca="false">IF(AD1747&lt;L1747,"PASSARO","ATUAL")</f>
        <v>PASSARO</v>
      </c>
      <c r="AH1747" s="22" t="str">
        <f aca="false">IF(P1747&lt;&gt;A1747,"Faixa cadastrada como "&amp;P1747&amp;" na tabela; preço aplicado pela UF do CEP","")</f>
        <v/>
      </c>
      <c r="AI1747" s="26" t="n">
        <v>203.82</v>
      </c>
      <c r="AJ1747" s="22" t="str">
        <f aca="false">INDEX('Tabela Passaro'!$X$2:$X$1795,$N1747)</f>
        <v>CAPITAL</v>
      </c>
    </row>
    <row r="1748" customFormat="false" ht="15" hidden="false" customHeight="false" outlineLevel="0" collapsed="false">
      <c r="A1748" s="22" t="s">
        <v>23</v>
      </c>
      <c r="B1748" s="22" t="n">
        <v>1</v>
      </c>
      <c r="C1748" s="22" t="s">
        <v>198</v>
      </c>
      <c r="D1748" s="22" t="s">
        <v>30</v>
      </c>
      <c r="E1748" s="22" t="s">
        <v>20</v>
      </c>
      <c r="F1748" s="22" t="n">
        <v>837956</v>
      </c>
      <c r="G1748" s="30" t="n">
        <v>46239</v>
      </c>
      <c r="H1748" s="22" t="n">
        <v>32402</v>
      </c>
      <c r="I1748" s="22" t="s">
        <v>8906</v>
      </c>
      <c r="J1748" s="31" t="n">
        <v>30.9</v>
      </c>
      <c r="K1748" s="26" t="n">
        <v>443.1</v>
      </c>
      <c r="L1748" s="26" t="n">
        <v>137.07</v>
      </c>
      <c r="M1748" s="22" t="s">
        <v>7020</v>
      </c>
      <c r="N1748" s="22" t="n">
        <f aca="false">MATCH(M1748,'Tabela Passaro'!$A$2:$A$1795,0)</f>
        <v>1720</v>
      </c>
      <c r="O1748" s="22" t="str">
        <f aca="false">INDEX('Tabela Passaro'!$C$2:$C$1795,$N1748)</f>
        <v>ARACAJU</v>
      </c>
      <c r="P1748" s="22" t="str">
        <f aca="false">INDEX('Tabela Passaro'!$B$2:$B$1795,$N1748)</f>
        <v>SE</v>
      </c>
      <c r="Q1748" s="22" t="n">
        <f aca="false">INDEX('Tabela Passaro'!$F$2:$F$1795,$N1748)</f>
        <v>7</v>
      </c>
      <c r="R1748" s="32" t="n">
        <f aca="false">IF(J1748&lt;=10,INDEX('Tabela Passaro'!$G$2:$G$1795,$N1748),IF(J1748&lt;=30,INDEX('Tabela Passaro'!$H$2:$H$1795,$N1748),IF(J1748&lt;=50,INDEX('Tabela Passaro'!$I$2:$I$1795,$N1748),IF(J1748&lt;=70,INDEX('Tabela Passaro'!$J$2:$J$1795,$N1748),IF(J1748&lt;=100,INDEX('Tabela Passaro'!$K$2:$K$1795,$N1748),INDEX('Tabela Passaro'!$K$2:$K$1795,$N1748)+(J1748-100)*INDEX('Tabela Passaro'!$L$2:$L$1795,$N1748))))))</f>
        <v>70.56</v>
      </c>
      <c r="S1748" s="32" t="n">
        <f aca="false">K1748*INDEX('Tabela Passaro'!$M$2:$M$1795,$N1748)</f>
        <v>2.2155</v>
      </c>
      <c r="T1748" s="32" t="n">
        <f aca="false">K1748*INDEX('Tabela Passaro'!$N$2:$N$1795,$N1748)</f>
        <v>0.8862</v>
      </c>
      <c r="U1748" s="32" t="n">
        <f aca="false">INDEX('Tabela Passaro'!$O$2:$O$1795,$N1748)</f>
        <v>5</v>
      </c>
      <c r="V1748" s="32" t="n">
        <f aca="false">ROUNDUP(J1748/INDEX('Tabela Passaro'!$Q$2:$Q$1795,$N1748),0)*INDEX('Tabela Passaro'!$P$2:$P$1795,$N1748)</f>
        <v>5</v>
      </c>
      <c r="W1748" s="32" t="n">
        <f aca="false">INDEX('Tabela Passaro'!$R$2:$R$1795,$N1748)</f>
        <v>30</v>
      </c>
      <c r="X1748" s="32" t="n">
        <f aca="false">ROUNDUP(J1748/INDEX('Tabela Passaro'!$T$2:$T$1795,$N1748),0)*INDEX('Tabela Passaro'!$S$2:$S$1795,$N1748)</f>
        <v>0</v>
      </c>
      <c r="Y1748" s="32" t="n">
        <f aca="false">INDEX('Tabela Passaro'!$U$2:$U$1795,$N1748)</f>
        <v>0</v>
      </c>
      <c r="Z1748" s="32" t="n">
        <f aca="false">INDEX('Tabela Passaro'!$V$2:$V$1795,$N1748)</f>
        <v>0</v>
      </c>
      <c r="AA1748" s="32" t="n">
        <f aca="false">SUM(R1748:Z1748)</f>
        <v>113.6617</v>
      </c>
      <c r="AB1748" s="33" t="n">
        <f aca="false">INDEX(Premissas!$B$5:$B$13,MATCH(A1748,Premissas!$A$5:$A$13,0))</f>
        <v>0.07</v>
      </c>
      <c r="AC1748" s="32" t="n">
        <f aca="false">AA1748/(1-AB1748)-AA1748</f>
        <v>8.55518172043011</v>
      </c>
      <c r="AD1748" s="32" t="n">
        <f aca="false">ROUND(AA1748+AC1748,2)</f>
        <v>122.22</v>
      </c>
      <c r="AE1748" s="32" t="n">
        <f aca="false">AD1748-L1748</f>
        <v>-14.85</v>
      </c>
      <c r="AF1748" s="34" t="n">
        <f aca="false">IF(L1748=0,0,AE1748/L1748)</f>
        <v>-0.108338804990151</v>
      </c>
      <c r="AG1748" s="22" t="str">
        <f aca="false">IF(AD1748&lt;L1748,"PASSARO","ATUAL")</f>
        <v>PASSARO</v>
      </c>
      <c r="AH1748" s="22" t="str">
        <f aca="false">IF(P1748&lt;&gt;A1748,"Faixa cadastrada como "&amp;P1748&amp;" na tabela; preço aplicado pela UF do CEP","")</f>
        <v/>
      </c>
      <c r="AI1748" s="26" t="n">
        <v>144.38</v>
      </c>
      <c r="AJ1748" s="22" t="str">
        <f aca="false">INDEX('Tabela Passaro'!$X$2:$X$1795,$N1748)</f>
        <v>CAPITAL</v>
      </c>
    </row>
    <row r="1749" customFormat="false" ht="15" hidden="false" customHeight="false" outlineLevel="0" collapsed="false">
      <c r="A1749" s="22" t="s">
        <v>23</v>
      </c>
      <c r="B1749" s="22" t="n">
        <v>1</v>
      </c>
      <c r="C1749" s="22" t="s">
        <v>198</v>
      </c>
      <c r="D1749" s="22" t="s">
        <v>30</v>
      </c>
      <c r="E1749" s="22" t="s">
        <v>20</v>
      </c>
      <c r="F1749" s="22" t="n">
        <v>838170</v>
      </c>
      <c r="G1749" s="30" t="n">
        <v>46241</v>
      </c>
      <c r="H1749" s="22" t="n">
        <v>32430</v>
      </c>
      <c r="I1749" s="22" t="s">
        <v>8907</v>
      </c>
      <c r="J1749" s="31" t="n">
        <v>69.74</v>
      </c>
      <c r="K1749" s="26" t="n">
        <v>1046.7</v>
      </c>
      <c r="L1749" s="26" t="n">
        <v>161.67</v>
      </c>
      <c r="M1749" s="22" t="s">
        <v>7020</v>
      </c>
      <c r="N1749" s="22" t="n">
        <f aca="false">MATCH(M1749,'Tabela Passaro'!$A$2:$A$1795,0)</f>
        <v>1720</v>
      </c>
      <c r="O1749" s="22" t="str">
        <f aca="false">INDEX('Tabela Passaro'!$C$2:$C$1795,$N1749)</f>
        <v>ARACAJU</v>
      </c>
      <c r="P1749" s="22" t="str">
        <f aca="false">INDEX('Tabela Passaro'!$B$2:$B$1795,$N1749)</f>
        <v>SE</v>
      </c>
      <c r="Q1749" s="22" t="n">
        <f aca="false">INDEX('Tabela Passaro'!$F$2:$F$1795,$N1749)</f>
        <v>7</v>
      </c>
      <c r="R1749" s="32" t="n">
        <f aca="false">IF(J1749&lt;=10,INDEX('Tabela Passaro'!$G$2:$G$1795,$N1749),IF(J1749&lt;=30,INDEX('Tabela Passaro'!$H$2:$H$1795,$N1749),IF(J1749&lt;=50,INDEX('Tabela Passaro'!$I$2:$I$1795,$N1749),IF(J1749&lt;=70,INDEX('Tabela Passaro'!$J$2:$J$1795,$N1749),IF(J1749&lt;=100,INDEX('Tabela Passaro'!$K$2:$K$1795,$N1749),INDEX('Tabela Passaro'!$K$2:$K$1795,$N1749)+(J1749-100)*INDEX('Tabela Passaro'!$L$2:$L$1795,$N1749))))))</f>
        <v>82.08</v>
      </c>
      <c r="S1749" s="32" t="n">
        <f aca="false">K1749*INDEX('Tabela Passaro'!$M$2:$M$1795,$N1749)</f>
        <v>5.2335</v>
      </c>
      <c r="T1749" s="32" t="n">
        <f aca="false">K1749*INDEX('Tabela Passaro'!$N$2:$N$1795,$N1749)</f>
        <v>2.0934</v>
      </c>
      <c r="U1749" s="32" t="n">
        <f aca="false">INDEX('Tabela Passaro'!$O$2:$O$1795,$N1749)</f>
        <v>5</v>
      </c>
      <c r="V1749" s="32" t="n">
        <f aca="false">ROUNDUP(J1749/INDEX('Tabela Passaro'!$Q$2:$Q$1795,$N1749),0)*INDEX('Tabela Passaro'!$P$2:$P$1795,$N1749)</f>
        <v>5</v>
      </c>
      <c r="W1749" s="32" t="n">
        <f aca="false">INDEX('Tabela Passaro'!$R$2:$R$1795,$N1749)</f>
        <v>30</v>
      </c>
      <c r="X1749" s="32" t="n">
        <f aca="false">ROUNDUP(J1749/INDEX('Tabela Passaro'!$T$2:$T$1795,$N1749),0)*INDEX('Tabela Passaro'!$S$2:$S$1795,$N1749)</f>
        <v>0</v>
      </c>
      <c r="Y1749" s="32" t="n">
        <f aca="false">INDEX('Tabela Passaro'!$U$2:$U$1795,$N1749)</f>
        <v>0</v>
      </c>
      <c r="Z1749" s="32" t="n">
        <f aca="false">INDEX('Tabela Passaro'!$V$2:$V$1795,$N1749)</f>
        <v>0</v>
      </c>
      <c r="AA1749" s="32" t="n">
        <f aca="false">SUM(R1749:Z1749)</f>
        <v>129.4069</v>
      </c>
      <c r="AB1749" s="33" t="n">
        <f aca="false">INDEX(Premissas!$B$5:$B$13,MATCH(A1749,Premissas!$A$5:$A$13,0))</f>
        <v>0.07</v>
      </c>
      <c r="AC1749" s="32" t="n">
        <f aca="false">AA1749/(1-AB1749)-AA1749</f>
        <v>9.74030430107527</v>
      </c>
      <c r="AD1749" s="32" t="n">
        <f aca="false">ROUND(AA1749+AC1749,2)</f>
        <v>139.15</v>
      </c>
      <c r="AE1749" s="32" t="n">
        <f aca="false">AD1749-L1749</f>
        <v>-22.52</v>
      </c>
      <c r="AF1749" s="34" t="n">
        <f aca="false">IF(L1749=0,0,AE1749/L1749)</f>
        <v>-0.139296096987691</v>
      </c>
      <c r="AG1749" s="22" t="str">
        <f aca="false">IF(AD1749&lt;L1749,"PASSARO","ATUAL")</f>
        <v>PASSARO</v>
      </c>
      <c r="AH1749" s="22" t="str">
        <f aca="false">IF(P1749&lt;&gt;A1749,"Faixa cadastrada como "&amp;P1749&amp;" na tabela; preço aplicado pela UF do CEP","")</f>
        <v/>
      </c>
      <c r="AI1749" s="26" t="n">
        <v>181.62</v>
      </c>
      <c r="AJ1749" s="22" t="str">
        <f aca="false">INDEX('Tabela Passaro'!$X$2:$X$1795,$N1749)</f>
        <v>CAPITAL</v>
      </c>
    </row>
    <row r="1750" customFormat="false" ht="15" hidden="false" customHeight="false" outlineLevel="0" collapsed="false">
      <c r="A1750" s="22" t="s">
        <v>23</v>
      </c>
      <c r="B1750" s="22" t="n">
        <v>1</v>
      </c>
      <c r="C1750" s="22" t="s">
        <v>198</v>
      </c>
      <c r="D1750" s="22" t="s">
        <v>30</v>
      </c>
      <c r="E1750" s="22" t="s">
        <v>7328</v>
      </c>
      <c r="F1750" s="22" t="n">
        <v>2309847</v>
      </c>
      <c r="G1750" s="30" t="n">
        <v>46244</v>
      </c>
      <c r="H1750" s="22" t="n">
        <v>132329</v>
      </c>
      <c r="I1750" s="22" t="s">
        <v>8908</v>
      </c>
      <c r="J1750" s="31" t="n">
        <v>43.5</v>
      </c>
      <c r="K1750" s="26" t="n">
        <v>983.38</v>
      </c>
      <c r="L1750" s="26" t="n">
        <v>153.38</v>
      </c>
      <c r="M1750" s="22" t="s">
        <v>7020</v>
      </c>
      <c r="N1750" s="22" t="n">
        <f aca="false">MATCH(M1750,'Tabela Passaro'!$A$2:$A$1795,0)</f>
        <v>1720</v>
      </c>
      <c r="O1750" s="22" t="str">
        <f aca="false">INDEX('Tabela Passaro'!$C$2:$C$1795,$N1750)</f>
        <v>ARACAJU</v>
      </c>
      <c r="P1750" s="22" t="str">
        <f aca="false">INDEX('Tabela Passaro'!$B$2:$B$1795,$N1750)</f>
        <v>SE</v>
      </c>
      <c r="Q1750" s="22" t="n">
        <f aca="false">INDEX('Tabela Passaro'!$F$2:$F$1795,$N1750)</f>
        <v>7</v>
      </c>
      <c r="R1750" s="32" t="n">
        <f aca="false">IF(J1750&lt;=10,INDEX('Tabela Passaro'!$G$2:$G$1795,$N1750),IF(J1750&lt;=30,INDEX('Tabela Passaro'!$H$2:$H$1795,$N1750),IF(J1750&lt;=50,INDEX('Tabela Passaro'!$I$2:$I$1795,$N1750),IF(J1750&lt;=70,INDEX('Tabela Passaro'!$J$2:$J$1795,$N1750),IF(J1750&lt;=100,INDEX('Tabela Passaro'!$K$2:$K$1795,$N1750),INDEX('Tabela Passaro'!$K$2:$K$1795,$N1750)+(J1750-100)*INDEX('Tabela Passaro'!$L$2:$L$1795,$N1750))))))</f>
        <v>70.56</v>
      </c>
      <c r="S1750" s="32" t="n">
        <f aca="false">K1750*INDEX('Tabela Passaro'!$M$2:$M$1795,$N1750)</f>
        <v>4.9169</v>
      </c>
      <c r="T1750" s="32" t="n">
        <f aca="false">K1750*INDEX('Tabela Passaro'!$N$2:$N$1795,$N1750)</f>
        <v>1.96676</v>
      </c>
      <c r="U1750" s="32" t="n">
        <f aca="false">INDEX('Tabela Passaro'!$O$2:$O$1795,$N1750)</f>
        <v>5</v>
      </c>
      <c r="V1750" s="32" t="n">
        <f aca="false">ROUNDUP(J1750/INDEX('Tabela Passaro'!$Q$2:$Q$1795,$N1750),0)*INDEX('Tabela Passaro'!$P$2:$P$1795,$N1750)</f>
        <v>5</v>
      </c>
      <c r="W1750" s="32" t="n">
        <f aca="false">INDEX('Tabela Passaro'!$R$2:$R$1795,$N1750)</f>
        <v>30</v>
      </c>
      <c r="X1750" s="32" t="n">
        <f aca="false">ROUNDUP(J1750/INDEX('Tabela Passaro'!$T$2:$T$1795,$N1750),0)*INDEX('Tabela Passaro'!$S$2:$S$1795,$N1750)</f>
        <v>0</v>
      </c>
      <c r="Y1750" s="32" t="n">
        <f aca="false">INDEX('Tabela Passaro'!$U$2:$U$1795,$N1750)</f>
        <v>0</v>
      </c>
      <c r="Z1750" s="32" t="n">
        <f aca="false">INDEX('Tabela Passaro'!$V$2:$V$1795,$N1750)</f>
        <v>0</v>
      </c>
      <c r="AA1750" s="32" t="n">
        <f aca="false">SUM(R1750:Z1750)</f>
        <v>117.44366</v>
      </c>
      <c r="AB1750" s="33" t="n">
        <f aca="false">INDEX(Premissas!$B$5:$B$13,MATCH(A1750,Premissas!$A$5:$A$13,0))</f>
        <v>0.07</v>
      </c>
      <c r="AC1750" s="32" t="n">
        <f aca="false">AA1750/(1-AB1750)-AA1750</f>
        <v>8.8398453763441</v>
      </c>
      <c r="AD1750" s="32" t="n">
        <f aca="false">ROUND(AA1750+AC1750,2)</f>
        <v>126.28</v>
      </c>
      <c r="AE1750" s="32" t="n">
        <f aca="false">AD1750-L1750</f>
        <v>-27.1</v>
      </c>
      <c r="AF1750" s="34" t="n">
        <f aca="false">IF(L1750=0,0,AE1750/L1750)</f>
        <v>-0.176685356630591</v>
      </c>
      <c r="AG1750" s="22" t="str">
        <f aca="false">IF(AD1750&lt;L1750,"PASSARO","ATUAL")</f>
        <v>PASSARO</v>
      </c>
      <c r="AH1750" s="22" t="str">
        <f aca="false">IF(P1750&lt;&gt;A1750,"Faixa cadastrada como "&amp;P1750&amp;" na tabela; preço aplicado pela UF do CEP","")</f>
        <v/>
      </c>
      <c r="AI1750" s="26" t="n">
        <v>155.9</v>
      </c>
      <c r="AJ1750" s="22" t="str">
        <f aca="false">INDEX('Tabela Passaro'!$X$2:$X$1795,$N1750)</f>
        <v>CAPITAL</v>
      </c>
    </row>
    <row r="1751" customFormat="false" ht="15" hidden="false" customHeight="false" outlineLevel="0" collapsed="false">
      <c r="A1751" s="22" t="s">
        <v>23</v>
      </c>
      <c r="B1751" s="22" t="n">
        <v>1</v>
      </c>
      <c r="C1751" s="22" t="s">
        <v>198</v>
      </c>
      <c r="D1751" s="22" t="s">
        <v>30</v>
      </c>
      <c r="E1751" s="22" t="s">
        <v>7328</v>
      </c>
      <c r="F1751" s="22" t="n">
        <v>2309860</v>
      </c>
      <c r="G1751" s="30" t="n">
        <v>46244</v>
      </c>
      <c r="H1751" s="22" t="n">
        <v>132349</v>
      </c>
      <c r="I1751" s="22" t="s">
        <v>8909</v>
      </c>
      <c r="J1751" s="31" t="n">
        <v>62.9</v>
      </c>
      <c r="K1751" s="26" t="n">
        <v>1028.75</v>
      </c>
      <c r="L1751" s="26" t="n">
        <v>179.04</v>
      </c>
      <c r="M1751" s="22" t="s">
        <v>7020</v>
      </c>
      <c r="N1751" s="22" t="n">
        <f aca="false">MATCH(M1751,'Tabela Passaro'!$A$2:$A$1795,0)</f>
        <v>1720</v>
      </c>
      <c r="O1751" s="22" t="str">
        <f aca="false">INDEX('Tabela Passaro'!$C$2:$C$1795,$N1751)</f>
        <v>ARACAJU</v>
      </c>
      <c r="P1751" s="22" t="str">
        <f aca="false">INDEX('Tabela Passaro'!$B$2:$B$1795,$N1751)</f>
        <v>SE</v>
      </c>
      <c r="Q1751" s="22" t="n">
        <f aca="false">INDEX('Tabela Passaro'!$F$2:$F$1795,$N1751)</f>
        <v>7</v>
      </c>
      <c r="R1751" s="32" t="n">
        <f aca="false">IF(J1751&lt;=10,INDEX('Tabela Passaro'!$G$2:$G$1795,$N1751),IF(J1751&lt;=30,INDEX('Tabela Passaro'!$H$2:$H$1795,$N1751),IF(J1751&lt;=50,INDEX('Tabela Passaro'!$I$2:$I$1795,$N1751),IF(J1751&lt;=70,INDEX('Tabela Passaro'!$J$2:$J$1795,$N1751),IF(J1751&lt;=100,INDEX('Tabela Passaro'!$K$2:$K$1795,$N1751),INDEX('Tabela Passaro'!$K$2:$K$1795,$N1751)+(J1751-100)*INDEX('Tabela Passaro'!$L$2:$L$1795,$N1751))))))</f>
        <v>82.08</v>
      </c>
      <c r="S1751" s="32" t="n">
        <f aca="false">K1751*INDEX('Tabela Passaro'!$M$2:$M$1795,$N1751)</f>
        <v>5.14375</v>
      </c>
      <c r="T1751" s="32" t="n">
        <f aca="false">K1751*INDEX('Tabela Passaro'!$N$2:$N$1795,$N1751)</f>
        <v>2.0575</v>
      </c>
      <c r="U1751" s="32" t="n">
        <f aca="false">INDEX('Tabela Passaro'!$O$2:$O$1795,$N1751)</f>
        <v>5</v>
      </c>
      <c r="V1751" s="32" t="n">
        <f aca="false">ROUNDUP(J1751/INDEX('Tabela Passaro'!$Q$2:$Q$1795,$N1751),0)*INDEX('Tabela Passaro'!$P$2:$P$1795,$N1751)</f>
        <v>5</v>
      </c>
      <c r="W1751" s="32" t="n">
        <f aca="false">INDEX('Tabela Passaro'!$R$2:$R$1795,$N1751)</f>
        <v>30</v>
      </c>
      <c r="X1751" s="32" t="n">
        <f aca="false">ROUNDUP(J1751/INDEX('Tabela Passaro'!$T$2:$T$1795,$N1751),0)*INDEX('Tabela Passaro'!$S$2:$S$1795,$N1751)</f>
        <v>0</v>
      </c>
      <c r="Y1751" s="32" t="n">
        <f aca="false">INDEX('Tabela Passaro'!$U$2:$U$1795,$N1751)</f>
        <v>0</v>
      </c>
      <c r="Z1751" s="32" t="n">
        <f aca="false">INDEX('Tabela Passaro'!$V$2:$V$1795,$N1751)</f>
        <v>0</v>
      </c>
      <c r="AA1751" s="32" t="n">
        <f aca="false">SUM(R1751:Z1751)</f>
        <v>129.28125</v>
      </c>
      <c r="AB1751" s="33" t="n">
        <f aca="false">INDEX(Premissas!$B$5:$B$13,MATCH(A1751,Premissas!$A$5:$A$13,0))</f>
        <v>0.07</v>
      </c>
      <c r="AC1751" s="32" t="n">
        <f aca="false">AA1751/(1-AB1751)-AA1751</f>
        <v>9.73084677419357</v>
      </c>
      <c r="AD1751" s="32" t="n">
        <f aca="false">ROUND(AA1751+AC1751,2)</f>
        <v>139.01</v>
      </c>
      <c r="AE1751" s="32" t="n">
        <f aca="false">AD1751-L1751</f>
        <v>-40.03</v>
      </c>
      <c r="AF1751" s="34" t="n">
        <f aca="false">IF(L1751=0,0,AE1751/L1751)</f>
        <v>-0.223581322609473</v>
      </c>
      <c r="AG1751" s="22" t="str">
        <f aca="false">IF(AD1751&lt;L1751,"PASSARO","ATUAL")</f>
        <v>PASSARO</v>
      </c>
      <c r="AH1751" s="22" t="str">
        <f aca="false">IF(P1751&lt;&gt;A1751,"Faixa cadastrada como "&amp;P1751&amp;" na tabela; preço aplicado pela UF do CEP","")</f>
        <v/>
      </c>
      <c r="AI1751" s="26" t="n">
        <v>178.06</v>
      </c>
      <c r="AJ1751" s="22" t="str">
        <f aca="false">INDEX('Tabela Passaro'!$X$2:$X$1795,$N1751)</f>
        <v>CAPITAL</v>
      </c>
    </row>
    <row r="1752" customFormat="false" ht="15" hidden="false" customHeight="false" outlineLevel="0" collapsed="false">
      <c r="A1752" s="22" t="s">
        <v>23</v>
      </c>
      <c r="B1752" s="22" t="n">
        <v>1</v>
      </c>
      <c r="C1752" s="22" t="s">
        <v>198</v>
      </c>
      <c r="D1752" s="22" t="s">
        <v>30</v>
      </c>
      <c r="E1752" s="22" t="s">
        <v>7328</v>
      </c>
      <c r="F1752" s="22" t="n">
        <v>2309876</v>
      </c>
      <c r="G1752" s="30" t="n">
        <v>46244</v>
      </c>
      <c r="H1752" s="22" t="n">
        <v>132364</v>
      </c>
      <c r="I1752" s="22" t="s">
        <v>8910</v>
      </c>
      <c r="J1752" s="31" t="n">
        <v>79.8</v>
      </c>
      <c r="K1752" s="26" t="n">
        <v>1442.5</v>
      </c>
      <c r="L1752" s="26" t="n">
        <v>227.69</v>
      </c>
      <c r="M1752" s="22" t="s">
        <v>7020</v>
      </c>
      <c r="N1752" s="22" t="n">
        <f aca="false">MATCH(M1752,'Tabela Passaro'!$A$2:$A$1795,0)</f>
        <v>1720</v>
      </c>
      <c r="O1752" s="22" t="str">
        <f aca="false">INDEX('Tabela Passaro'!$C$2:$C$1795,$N1752)</f>
        <v>ARACAJU</v>
      </c>
      <c r="P1752" s="22" t="str">
        <f aca="false">INDEX('Tabela Passaro'!$B$2:$B$1795,$N1752)</f>
        <v>SE</v>
      </c>
      <c r="Q1752" s="22" t="n">
        <f aca="false">INDEX('Tabela Passaro'!$F$2:$F$1795,$N1752)</f>
        <v>7</v>
      </c>
      <c r="R1752" s="32" t="n">
        <f aca="false">IF(J1752&lt;=10,INDEX('Tabela Passaro'!$G$2:$G$1795,$N1752),IF(J1752&lt;=30,INDEX('Tabela Passaro'!$H$2:$H$1795,$N1752),IF(J1752&lt;=50,INDEX('Tabela Passaro'!$I$2:$I$1795,$N1752),IF(J1752&lt;=70,INDEX('Tabela Passaro'!$J$2:$J$1795,$N1752),IF(J1752&lt;=100,INDEX('Tabela Passaro'!$K$2:$K$1795,$N1752),INDEX('Tabela Passaro'!$K$2:$K$1795,$N1752)+(J1752-100)*INDEX('Tabela Passaro'!$L$2:$L$1795,$N1752))))))</f>
        <v>99.36</v>
      </c>
      <c r="S1752" s="32" t="n">
        <f aca="false">K1752*INDEX('Tabela Passaro'!$M$2:$M$1795,$N1752)</f>
        <v>7.2125</v>
      </c>
      <c r="T1752" s="32" t="n">
        <f aca="false">K1752*INDEX('Tabela Passaro'!$N$2:$N$1795,$N1752)</f>
        <v>2.885</v>
      </c>
      <c r="U1752" s="32" t="n">
        <f aca="false">INDEX('Tabela Passaro'!$O$2:$O$1795,$N1752)</f>
        <v>5</v>
      </c>
      <c r="V1752" s="32" t="n">
        <f aca="false">ROUNDUP(J1752/INDEX('Tabela Passaro'!$Q$2:$Q$1795,$N1752),0)*INDEX('Tabela Passaro'!$P$2:$P$1795,$N1752)</f>
        <v>5</v>
      </c>
      <c r="W1752" s="32" t="n">
        <f aca="false">INDEX('Tabela Passaro'!$R$2:$R$1795,$N1752)</f>
        <v>30</v>
      </c>
      <c r="X1752" s="32" t="n">
        <f aca="false">ROUNDUP(J1752/INDEX('Tabela Passaro'!$T$2:$T$1795,$N1752),0)*INDEX('Tabela Passaro'!$S$2:$S$1795,$N1752)</f>
        <v>0</v>
      </c>
      <c r="Y1752" s="32" t="n">
        <f aca="false">INDEX('Tabela Passaro'!$U$2:$U$1795,$N1752)</f>
        <v>0</v>
      </c>
      <c r="Z1752" s="32" t="n">
        <f aca="false">INDEX('Tabela Passaro'!$V$2:$V$1795,$N1752)</f>
        <v>0</v>
      </c>
      <c r="AA1752" s="32" t="n">
        <f aca="false">SUM(R1752:Z1752)</f>
        <v>149.4575</v>
      </c>
      <c r="AB1752" s="33" t="n">
        <f aca="false">INDEX(Premissas!$B$5:$B$13,MATCH(A1752,Premissas!$A$5:$A$13,0))</f>
        <v>0.07</v>
      </c>
      <c r="AC1752" s="32" t="n">
        <f aca="false">AA1752/(1-AB1752)-AA1752</f>
        <v>11.2494892473118</v>
      </c>
      <c r="AD1752" s="32" t="n">
        <f aca="false">ROUND(AA1752+AC1752,2)</f>
        <v>160.71</v>
      </c>
      <c r="AE1752" s="32" t="n">
        <f aca="false">AD1752-L1752</f>
        <v>-66.98</v>
      </c>
      <c r="AF1752" s="34" t="n">
        <f aca="false">IF(L1752=0,0,AE1752/L1752)</f>
        <v>-0.294171900390882</v>
      </c>
      <c r="AG1752" s="22" t="str">
        <f aca="false">IF(AD1752&lt;L1752,"PASSARO","ATUAL")</f>
        <v>PASSARO</v>
      </c>
      <c r="AH1752" s="22" t="str">
        <f aca="false">IF(P1752&lt;&gt;A1752,"Faixa cadastrada como "&amp;P1752&amp;" na tabela; preço aplicado pela UF do CEP","")</f>
        <v/>
      </c>
      <c r="AI1752" s="26" t="n">
        <v>209.08</v>
      </c>
      <c r="AJ1752" s="22" t="str">
        <f aca="false">INDEX('Tabela Passaro'!$X$2:$X$1795,$N1752)</f>
        <v>CAPITAL</v>
      </c>
    </row>
    <row r="1753" customFormat="false" ht="15" hidden="false" customHeight="false" outlineLevel="0" collapsed="false">
      <c r="A1753" s="22" t="s">
        <v>23</v>
      </c>
      <c r="B1753" s="22" t="n">
        <v>1</v>
      </c>
      <c r="C1753" s="22" t="s">
        <v>198</v>
      </c>
      <c r="D1753" s="22" t="s">
        <v>30</v>
      </c>
      <c r="E1753" s="22" t="s">
        <v>7328</v>
      </c>
      <c r="F1753" s="22" t="n">
        <v>2309909</v>
      </c>
      <c r="G1753" s="30" t="n">
        <v>46244</v>
      </c>
      <c r="H1753" s="22" t="n">
        <v>132389</v>
      </c>
      <c r="I1753" s="22" t="s">
        <v>8911</v>
      </c>
      <c r="J1753" s="31" t="n">
        <v>47.1</v>
      </c>
      <c r="K1753" s="26" t="n">
        <v>753.24</v>
      </c>
      <c r="L1753" s="26" t="n">
        <v>151.55</v>
      </c>
      <c r="M1753" s="22" t="s">
        <v>7020</v>
      </c>
      <c r="N1753" s="22" t="n">
        <f aca="false">MATCH(M1753,'Tabela Passaro'!$A$2:$A$1795,0)</f>
        <v>1720</v>
      </c>
      <c r="O1753" s="22" t="str">
        <f aca="false">INDEX('Tabela Passaro'!$C$2:$C$1795,$N1753)</f>
        <v>ARACAJU</v>
      </c>
      <c r="P1753" s="22" t="str">
        <f aca="false">INDEX('Tabela Passaro'!$B$2:$B$1795,$N1753)</f>
        <v>SE</v>
      </c>
      <c r="Q1753" s="22" t="n">
        <f aca="false">INDEX('Tabela Passaro'!$F$2:$F$1795,$N1753)</f>
        <v>7</v>
      </c>
      <c r="R1753" s="32" t="n">
        <f aca="false">IF(J1753&lt;=10,INDEX('Tabela Passaro'!$G$2:$G$1795,$N1753),IF(J1753&lt;=30,INDEX('Tabela Passaro'!$H$2:$H$1795,$N1753),IF(J1753&lt;=50,INDEX('Tabela Passaro'!$I$2:$I$1795,$N1753),IF(J1753&lt;=70,INDEX('Tabela Passaro'!$J$2:$J$1795,$N1753),IF(J1753&lt;=100,INDEX('Tabela Passaro'!$K$2:$K$1795,$N1753),INDEX('Tabela Passaro'!$K$2:$K$1795,$N1753)+(J1753-100)*INDEX('Tabela Passaro'!$L$2:$L$1795,$N1753))))))</f>
        <v>70.56</v>
      </c>
      <c r="S1753" s="32" t="n">
        <f aca="false">K1753*INDEX('Tabela Passaro'!$M$2:$M$1795,$N1753)</f>
        <v>3.7662</v>
      </c>
      <c r="T1753" s="32" t="n">
        <f aca="false">K1753*INDEX('Tabela Passaro'!$N$2:$N$1795,$N1753)</f>
        <v>1.50648</v>
      </c>
      <c r="U1753" s="32" t="n">
        <f aca="false">INDEX('Tabela Passaro'!$O$2:$O$1795,$N1753)</f>
        <v>5</v>
      </c>
      <c r="V1753" s="32" t="n">
        <f aca="false">ROUNDUP(J1753/INDEX('Tabela Passaro'!$Q$2:$Q$1795,$N1753),0)*INDEX('Tabela Passaro'!$P$2:$P$1795,$N1753)</f>
        <v>5</v>
      </c>
      <c r="W1753" s="32" t="n">
        <f aca="false">INDEX('Tabela Passaro'!$R$2:$R$1795,$N1753)</f>
        <v>30</v>
      </c>
      <c r="X1753" s="32" t="n">
        <f aca="false">ROUNDUP(J1753/INDEX('Tabela Passaro'!$T$2:$T$1795,$N1753),0)*INDEX('Tabela Passaro'!$S$2:$S$1795,$N1753)</f>
        <v>0</v>
      </c>
      <c r="Y1753" s="32" t="n">
        <f aca="false">INDEX('Tabela Passaro'!$U$2:$U$1795,$N1753)</f>
        <v>0</v>
      </c>
      <c r="Z1753" s="32" t="n">
        <f aca="false">INDEX('Tabela Passaro'!$V$2:$V$1795,$N1753)</f>
        <v>0</v>
      </c>
      <c r="AA1753" s="32" t="n">
        <f aca="false">SUM(R1753:Z1753)</f>
        <v>115.83268</v>
      </c>
      <c r="AB1753" s="33" t="n">
        <f aca="false">INDEX(Premissas!$B$5:$B$13,MATCH(A1753,Premissas!$A$5:$A$13,0))</f>
        <v>0.07</v>
      </c>
      <c r="AC1753" s="32" t="n">
        <f aca="false">AA1753/(1-AB1753)-AA1753</f>
        <v>8.71858881720431</v>
      </c>
      <c r="AD1753" s="32" t="n">
        <f aca="false">ROUND(AA1753+AC1753,2)</f>
        <v>124.55</v>
      </c>
      <c r="AE1753" s="32" t="n">
        <f aca="false">AD1753-L1753</f>
        <v>-27</v>
      </c>
      <c r="AF1753" s="34" t="n">
        <f aca="false">IF(L1753=0,0,AE1753/L1753)</f>
        <v>-0.178159023424612</v>
      </c>
      <c r="AG1753" s="22" t="str">
        <f aca="false">IF(AD1753&lt;L1753,"PASSARO","ATUAL")</f>
        <v>PASSARO</v>
      </c>
      <c r="AH1753" s="22" t="str">
        <f aca="false">IF(P1753&lt;&gt;A1753,"Faixa cadastrada como "&amp;P1753&amp;" na tabela; preço aplicado pela UF do CEP","")</f>
        <v/>
      </c>
      <c r="AI1753" s="26" t="n">
        <v>155.61</v>
      </c>
      <c r="AJ1753" s="22" t="str">
        <f aca="false">INDEX('Tabela Passaro'!$X$2:$X$1795,$N1753)</f>
        <v>CAPITAL</v>
      </c>
    </row>
    <row r="1754" customFormat="false" ht="15" hidden="false" customHeight="false" outlineLevel="0" collapsed="false">
      <c r="A1754" s="22" t="s">
        <v>23</v>
      </c>
      <c r="B1754" s="22" t="n">
        <v>1</v>
      </c>
      <c r="C1754" s="22" t="s">
        <v>198</v>
      </c>
      <c r="D1754" s="22" t="s">
        <v>30</v>
      </c>
      <c r="E1754" s="22" t="s">
        <v>7326</v>
      </c>
      <c r="F1754" s="22" t="n">
        <v>523672</v>
      </c>
      <c r="G1754" s="30" t="n">
        <v>46244</v>
      </c>
      <c r="H1754" s="22" t="n">
        <v>621826</v>
      </c>
      <c r="I1754" s="22" t="s">
        <v>8912</v>
      </c>
      <c r="J1754" s="31" t="n">
        <v>234</v>
      </c>
      <c r="K1754" s="26" t="n">
        <v>3265.3</v>
      </c>
      <c r="L1754" s="26" t="n">
        <v>546.02</v>
      </c>
      <c r="M1754" s="22" t="s">
        <v>7020</v>
      </c>
      <c r="N1754" s="22" t="n">
        <f aca="false">MATCH(M1754,'Tabela Passaro'!$A$2:$A$1795,0)</f>
        <v>1720</v>
      </c>
      <c r="O1754" s="22" t="str">
        <f aca="false">INDEX('Tabela Passaro'!$C$2:$C$1795,$N1754)</f>
        <v>ARACAJU</v>
      </c>
      <c r="P1754" s="22" t="str">
        <f aca="false">INDEX('Tabela Passaro'!$B$2:$B$1795,$N1754)</f>
        <v>SE</v>
      </c>
      <c r="Q1754" s="22" t="n">
        <f aca="false">INDEX('Tabela Passaro'!$F$2:$F$1795,$N1754)</f>
        <v>7</v>
      </c>
      <c r="R1754" s="32" t="n">
        <f aca="false">IF(J1754&lt;=10,INDEX('Tabela Passaro'!$G$2:$G$1795,$N1754),IF(J1754&lt;=30,INDEX('Tabela Passaro'!$H$2:$H$1795,$N1754),IF(J1754&lt;=50,INDEX('Tabela Passaro'!$I$2:$I$1795,$N1754),IF(J1754&lt;=70,INDEX('Tabela Passaro'!$J$2:$J$1795,$N1754),IF(J1754&lt;=100,INDEX('Tabela Passaro'!$K$2:$K$1795,$N1754),INDEX('Tabela Passaro'!$K$2:$K$1795,$N1754)+(J1754-100)*INDEX('Tabela Passaro'!$L$2:$L$1795,$N1754))))))</f>
        <v>289.64</v>
      </c>
      <c r="S1754" s="32" t="n">
        <f aca="false">K1754*INDEX('Tabela Passaro'!$M$2:$M$1795,$N1754)</f>
        <v>16.3265</v>
      </c>
      <c r="T1754" s="32" t="n">
        <f aca="false">K1754*INDEX('Tabela Passaro'!$N$2:$N$1795,$N1754)</f>
        <v>6.5306</v>
      </c>
      <c r="U1754" s="32" t="n">
        <f aca="false">INDEX('Tabela Passaro'!$O$2:$O$1795,$N1754)</f>
        <v>5</v>
      </c>
      <c r="V1754" s="32" t="n">
        <f aca="false">ROUNDUP(J1754/INDEX('Tabela Passaro'!$Q$2:$Q$1795,$N1754),0)*INDEX('Tabela Passaro'!$P$2:$P$1795,$N1754)</f>
        <v>15</v>
      </c>
      <c r="W1754" s="32" t="n">
        <f aca="false">INDEX('Tabela Passaro'!$R$2:$R$1795,$N1754)</f>
        <v>30</v>
      </c>
      <c r="X1754" s="32" t="n">
        <f aca="false">ROUNDUP(J1754/INDEX('Tabela Passaro'!$T$2:$T$1795,$N1754),0)*INDEX('Tabela Passaro'!$S$2:$S$1795,$N1754)</f>
        <v>0</v>
      </c>
      <c r="Y1754" s="32" t="n">
        <f aca="false">INDEX('Tabela Passaro'!$U$2:$U$1795,$N1754)</f>
        <v>0</v>
      </c>
      <c r="Z1754" s="32" t="n">
        <f aca="false">INDEX('Tabela Passaro'!$V$2:$V$1795,$N1754)</f>
        <v>0</v>
      </c>
      <c r="AA1754" s="32" t="n">
        <f aca="false">SUM(R1754:Z1754)</f>
        <v>362.4971</v>
      </c>
      <c r="AB1754" s="33" t="n">
        <f aca="false">INDEX(Premissas!$B$5:$B$13,MATCH(A1754,Premissas!$A$5:$A$13,0))</f>
        <v>0.07</v>
      </c>
      <c r="AC1754" s="32" t="n">
        <f aca="false">AA1754/(1-AB1754)-AA1754</f>
        <v>27.2847279569893</v>
      </c>
      <c r="AD1754" s="32" t="n">
        <f aca="false">ROUND(AA1754+AC1754,2)</f>
        <v>389.78</v>
      </c>
      <c r="AE1754" s="32" t="n">
        <f aca="false">AD1754-L1754</f>
        <v>-156.24</v>
      </c>
      <c r="AF1754" s="34" t="n">
        <f aca="false">IF(L1754=0,0,AE1754/L1754)</f>
        <v>-0.286143364711915</v>
      </c>
      <c r="AG1754" s="22" t="str">
        <f aca="false">IF(AD1754&lt;L1754,"PASSARO","ATUAL")</f>
        <v>PASSARO</v>
      </c>
      <c r="AH1754" s="22" t="str">
        <f aca="false">IF(P1754&lt;&gt;A1754,"Faixa cadastrada como "&amp;P1754&amp;" na tabela; preço aplicado pela UF do CEP","")</f>
        <v/>
      </c>
      <c r="AI1754" s="26" t="n">
        <v>542.52</v>
      </c>
      <c r="AJ1754" s="22" t="str">
        <f aca="false">INDEX('Tabela Passaro'!$X$2:$X$1795,$N1754)</f>
        <v>CAPITAL</v>
      </c>
    </row>
    <row r="1755" customFormat="false" ht="15" hidden="false" customHeight="false" outlineLevel="0" collapsed="false">
      <c r="A1755" s="22" t="s">
        <v>23</v>
      </c>
      <c r="B1755" s="22" t="n">
        <v>1</v>
      </c>
      <c r="C1755" s="22" t="s">
        <v>198</v>
      </c>
      <c r="D1755" s="22" t="s">
        <v>30</v>
      </c>
      <c r="E1755" s="22" t="s">
        <v>7326</v>
      </c>
      <c r="F1755" s="22" t="n">
        <v>523686</v>
      </c>
      <c r="G1755" s="30" t="n">
        <v>46244</v>
      </c>
      <c r="H1755" s="22" t="n">
        <v>622116</v>
      </c>
      <c r="I1755" s="22" t="s">
        <v>8913</v>
      </c>
      <c r="J1755" s="31" t="n">
        <v>75.36</v>
      </c>
      <c r="K1755" s="26" t="n">
        <v>2375.96</v>
      </c>
      <c r="L1755" s="26" t="n">
        <v>283.4</v>
      </c>
      <c r="M1755" s="22" t="s">
        <v>7020</v>
      </c>
      <c r="N1755" s="22" t="n">
        <f aca="false">MATCH(M1755,'Tabela Passaro'!$A$2:$A$1795,0)</f>
        <v>1720</v>
      </c>
      <c r="O1755" s="22" t="str">
        <f aca="false">INDEX('Tabela Passaro'!$C$2:$C$1795,$N1755)</f>
        <v>ARACAJU</v>
      </c>
      <c r="P1755" s="22" t="str">
        <f aca="false">INDEX('Tabela Passaro'!$B$2:$B$1795,$N1755)</f>
        <v>SE</v>
      </c>
      <c r="Q1755" s="22" t="n">
        <f aca="false">INDEX('Tabela Passaro'!$F$2:$F$1795,$N1755)</f>
        <v>7</v>
      </c>
      <c r="R1755" s="32" t="n">
        <f aca="false">IF(J1755&lt;=10,INDEX('Tabela Passaro'!$G$2:$G$1795,$N1755),IF(J1755&lt;=30,INDEX('Tabela Passaro'!$H$2:$H$1795,$N1755),IF(J1755&lt;=50,INDEX('Tabela Passaro'!$I$2:$I$1795,$N1755),IF(J1755&lt;=70,INDEX('Tabela Passaro'!$J$2:$J$1795,$N1755),IF(J1755&lt;=100,INDEX('Tabela Passaro'!$K$2:$K$1795,$N1755),INDEX('Tabela Passaro'!$K$2:$K$1795,$N1755)+(J1755-100)*INDEX('Tabela Passaro'!$L$2:$L$1795,$N1755))))))</f>
        <v>99.36</v>
      </c>
      <c r="S1755" s="32" t="n">
        <f aca="false">K1755*INDEX('Tabela Passaro'!$M$2:$M$1795,$N1755)</f>
        <v>11.8798</v>
      </c>
      <c r="T1755" s="32" t="n">
        <f aca="false">K1755*INDEX('Tabela Passaro'!$N$2:$N$1795,$N1755)</f>
        <v>4.75192</v>
      </c>
      <c r="U1755" s="32" t="n">
        <f aca="false">INDEX('Tabela Passaro'!$O$2:$O$1795,$N1755)</f>
        <v>5</v>
      </c>
      <c r="V1755" s="32" t="n">
        <f aca="false">ROUNDUP(J1755/INDEX('Tabela Passaro'!$Q$2:$Q$1795,$N1755),0)*INDEX('Tabela Passaro'!$P$2:$P$1795,$N1755)</f>
        <v>5</v>
      </c>
      <c r="W1755" s="32" t="n">
        <f aca="false">INDEX('Tabela Passaro'!$R$2:$R$1795,$N1755)</f>
        <v>30</v>
      </c>
      <c r="X1755" s="32" t="n">
        <f aca="false">ROUNDUP(J1755/INDEX('Tabela Passaro'!$T$2:$T$1795,$N1755),0)*INDEX('Tabela Passaro'!$S$2:$S$1795,$N1755)</f>
        <v>0</v>
      </c>
      <c r="Y1755" s="32" t="n">
        <f aca="false">INDEX('Tabela Passaro'!$U$2:$U$1795,$N1755)</f>
        <v>0</v>
      </c>
      <c r="Z1755" s="32" t="n">
        <f aca="false">INDEX('Tabela Passaro'!$V$2:$V$1795,$N1755)</f>
        <v>0</v>
      </c>
      <c r="AA1755" s="32" t="n">
        <f aca="false">SUM(R1755:Z1755)</f>
        <v>155.99172</v>
      </c>
      <c r="AB1755" s="33" t="n">
        <f aca="false">INDEX(Premissas!$B$5:$B$13,MATCH(A1755,Premissas!$A$5:$A$13,0))</f>
        <v>0.07</v>
      </c>
      <c r="AC1755" s="32" t="n">
        <f aca="false">AA1755/(1-AB1755)-AA1755</f>
        <v>11.7413122580645</v>
      </c>
      <c r="AD1755" s="32" t="n">
        <f aca="false">ROUND(AA1755+AC1755,2)</f>
        <v>167.73</v>
      </c>
      <c r="AE1755" s="32" t="n">
        <f aca="false">AD1755-L1755</f>
        <v>-115.67</v>
      </c>
      <c r="AF1755" s="34" t="n">
        <f aca="false">IF(L1755=0,0,AE1755/L1755)</f>
        <v>-0.408151023288638</v>
      </c>
      <c r="AG1755" s="22" t="str">
        <f aca="false">IF(AD1755&lt;L1755,"PASSARO","ATUAL")</f>
        <v>PASSARO</v>
      </c>
      <c r="AH1755" s="22" t="str">
        <f aca="false">IF(P1755&lt;&gt;A1755,"Faixa cadastrada como "&amp;P1755&amp;" na tabela; preço aplicado pela UF do CEP","")</f>
        <v/>
      </c>
      <c r="AI1755" s="26" t="n">
        <v>216.18</v>
      </c>
      <c r="AJ1755" s="22" t="str">
        <f aca="false">INDEX('Tabela Passaro'!$X$2:$X$1795,$N1755)</f>
        <v>CAPITAL</v>
      </c>
    </row>
    <row r="1756" customFormat="false" ht="15" hidden="false" customHeight="false" outlineLevel="0" collapsed="false">
      <c r="A1756" s="22" t="s">
        <v>23</v>
      </c>
      <c r="B1756" s="22" t="n">
        <v>1</v>
      </c>
      <c r="C1756" s="22" t="s">
        <v>198</v>
      </c>
      <c r="D1756" s="22" t="s">
        <v>30</v>
      </c>
      <c r="E1756" s="22" t="s">
        <v>7326</v>
      </c>
      <c r="F1756" s="22" t="n">
        <v>523693</v>
      </c>
      <c r="G1756" s="30" t="n">
        <v>46244</v>
      </c>
      <c r="H1756" s="22" t="n">
        <v>622121</v>
      </c>
      <c r="I1756" s="22" t="s">
        <v>8914</v>
      </c>
      <c r="J1756" s="31" t="n">
        <v>16.3</v>
      </c>
      <c r="K1756" s="26" t="n">
        <v>1103.08</v>
      </c>
      <c r="L1756" s="26" t="n">
        <v>130.77</v>
      </c>
      <c r="M1756" s="22" t="s">
        <v>7020</v>
      </c>
      <c r="N1756" s="22" t="n">
        <f aca="false">MATCH(M1756,'Tabela Passaro'!$A$2:$A$1795,0)</f>
        <v>1720</v>
      </c>
      <c r="O1756" s="22" t="str">
        <f aca="false">INDEX('Tabela Passaro'!$C$2:$C$1795,$N1756)</f>
        <v>ARACAJU</v>
      </c>
      <c r="P1756" s="22" t="str">
        <f aca="false">INDEX('Tabela Passaro'!$B$2:$B$1795,$N1756)</f>
        <v>SE</v>
      </c>
      <c r="Q1756" s="22" t="n">
        <f aca="false">INDEX('Tabela Passaro'!$F$2:$F$1795,$N1756)</f>
        <v>7</v>
      </c>
      <c r="R1756" s="32" t="n">
        <f aca="false">IF(J1756&lt;=10,INDEX('Tabela Passaro'!$G$2:$G$1795,$N1756),IF(J1756&lt;=30,INDEX('Tabela Passaro'!$H$2:$H$1795,$N1756),IF(J1756&lt;=50,INDEX('Tabela Passaro'!$I$2:$I$1795,$N1756),IF(J1756&lt;=70,INDEX('Tabela Passaro'!$J$2:$J$1795,$N1756),IF(J1756&lt;=100,INDEX('Tabela Passaro'!$K$2:$K$1795,$N1756),INDEX('Tabela Passaro'!$K$2:$K$1795,$N1756)+(J1756-100)*INDEX('Tabela Passaro'!$L$2:$L$1795,$N1756))))))</f>
        <v>59.04</v>
      </c>
      <c r="S1756" s="32" t="n">
        <f aca="false">K1756*INDEX('Tabela Passaro'!$M$2:$M$1795,$N1756)</f>
        <v>5.5154</v>
      </c>
      <c r="T1756" s="32" t="n">
        <f aca="false">K1756*INDEX('Tabela Passaro'!$N$2:$N$1795,$N1756)</f>
        <v>2.20616</v>
      </c>
      <c r="U1756" s="32" t="n">
        <f aca="false">INDEX('Tabela Passaro'!$O$2:$O$1795,$N1756)</f>
        <v>5</v>
      </c>
      <c r="V1756" s="32" t="n">
        <f aca="false">ROUNDUP(J1756/INDEX('Tabela Passaro'!$Q$2:$Q$1795,$N1756),0)*INDEX('Tabela Passaro'!$P$2:$P$1795,$N1756)</f>
        <v>5</v>
      </c>
      <c r="W1756" s="32" t="n">
        <f aca="false">INDEX('Tabela Passaro'!$R$2:$R$1795,$N1756)</f>
        <v>30</v>
      </c>
      <c r="X1756" s="32" t="n">
        <f aca="false">ROUNDUP(J1756/INDEX('Tabela Passaro'!$T$2:$T$1795,$N1756),0)*INDEX('Tabela Passaro'!$S$2:$S$1795,$N1756)</f>
        <v>0</v>
      </c>
      <c r="Y1756" s="32" t="n">
        <f aca="false">INDEX('Tabela Passaro'!$U$2:$U$1795,$N1756)</f>
        <v>0</v>
      </c>
      <c r="Z1756" s="32" t="n">
        <f aca="false">INDEX('Tabela Passaro'!$V$2:$V$1795,$N1756)</f>
        <v>0</v>
      </c>
      <c r="AA1756" s="32" t="n">
        <f aca="false">SUM(R1756:Z1756)</f>
        <v>106.76156</v>
      </c>
      <c r="AB1756" s="33" t="n">
        <f aca="false">INDEX(Premissas!$B$5:$B$13,MATCH(A1756,Premissas!$A$5:$A$13,0))</f>
        <v>0.07</v>
      </c>
      <c r="AC1756" s="32" t="n">
        <f aca="false">AA1756/(1-AB1756)-AA1756</f>
        <v>8.03581634408603</v>
      </c>
      <c r="AD1756" s="32" t="n">
        <f aca="false">ROUND(AA1756+AC1756,2)</f>
        <v>114.8</v>
      </c>
      <c r="AE1756" s="32" t="n">
        <f aca="false">AD1756-L1756</f>
        <v>-15.97</v>
      </c>
      <c r="AF1756" s="34" t="n">
        <f aca="false">IF(L1756=0,0,AE1756/L1756)</f>
        <v>-0.122122811042288</v>
      </c>
      <c r="AG1756" s="22" t="str">
        <f aca="false">IF(AD1756&lt;L1756,"PASSARO","ATUAL")</f>
        <v>PASSARO</v>
      </c>
      <c r="AH1756" s="22" t="str">
        <f aca="false">IF(P1756&lt;&gt;A1756,"Faixa cadastrada como "&amp;P1756&amp;" na tabela; preço aplicado pela UF do CEP","")</f>
        <v/>
      </c>
      <c r="AI1756" s="26" t="n">
        <v>131.48</v>
      </c>
      <c r="AJ1756" s="22" t="str">
        <f aca="false">INDEX('Tabela Passaro'!$X$2:$X$1795,$N1756)</f>
        <v>CAPITAL</v>
      </c>
    </row>
    <row r="1757" customFormat="false" ht="15" hidden="false" customHeight="false" outlineLevel="0" collapsed="false">
      <c r="A1757" s="22" t="s">
        <v>23</v>
      </c>
      <c r="B1757" s="22" t="n">
        <v>1</v>
      </c>
      <c r="C1757" s="22" t="s">
        <v>198</v>
      </c>
      <c r="D1757" s="22" t="s">
        <v>30</v>
      </c>
      <c r="E1757" s="22" t="s">
        <v>7326</v>
      </c>
      <c r="F1757" s="22" t="n">
        <v>523738</v>
      </c>
      <c r="G1757" s="30" t="n">
        <v>46244</v>
      </c>
      <c r="H1757" s="22" t="n">
        <v>622533</v>
      </c>
      <c r="I1757" s="22" t="s">
        <v>8915</v>
      </c>
      <c r="J1757" s="31" t="n">
        <v>25.8</v>
      </c>
      <c r="K1757" s="26" t="n">
        <v>485.57</v>
      </c>
      <c r="L1757" s="26" t="n">
        <v>125.52</v>
      </c>
      <c r="M1757" s="22" t="s">
        <v>7020</v>
      </c>
      <c r="N1757" s="22" t="n">
        <f aca="false">MATCH(M1757,'Tabela Passaro'!$A$2:$A$1795,0)</f>
        <v>1720</v>
      </c>
      <c r="O1757" s="22" t="str">
        <f aca="false">INDEX('Tabela Passaro'!$C$2:$C$1795,$N1757)</f>
        <v>ARACAJU</v>
      </c>
      <c r="P1757" s="22" t="str">
        <f aca="false">INDEX('Tabela Passaro'!$B$2:$B$1795,$N1757)</f>
        <v>SE</v>
      </c>
      <c r="Q1757" s="22" t="n">
        <f aca="false">INDEX('Tabela Passaro'!$F$2:$F$1795,$N1757)</f>
        <v>7</v>
      </c>
      <c r="R1757" s="32" t="n">
        <f aca="false">IF(J1757&lt;=10,INDEX('Tabela Passaro'!$G$2:$G$1795,$N1757),IF(J1757&lt;=30,INDEX('Tabela Passaro'!$H$2:$H$1795,$N1757),IF(J1757&lt;=50,INDEX('Tabela Passaro'!$I$2:$I$1795,$N1757),IF(J1757&lt;=70,INDEX('Tabela Passaro'!$J$2:$J$1795,$N1757),IF(J1757&lt;=100,INDEX('Tabela Passaro'!$K$2:$K$1795,$N1757),INDEX('Tabela Passaro'!$K$2:$K$1795,$N1757)+(J1757-100)*INDEX('Tabela Passaro'!$L$2:$L$1795,$N1757))))))</f>
        <v>59.04</v>
      </c>
      <c r="S1757" s="32" t="n">
        <f aca="false">K1757*INDEX('Tabela Passaro'!$M$2:$M$1795,$N1757)</f>
        <v>2.42785</v>
      </c>
      <c r="T1757" s="32" t="n">
        <f aca="false">K1757*INDEX('Tabela Passaro'!$N$2:$N$1795,$N1757)</f>
        <v>0.97114</v>
      </c>
      <c r="U1757" s="32" t="n">
        <f aca="false">INDEX('Tabela Passaro'!$O$2:$O$1795,$N1757)</f>
        <v>5</v>
      </c>
      <c r="V1757" s="32" t="n">
        <f aca="false">ROUNDUP(J1757/INDEX('Tabela Passaro'!$Q$2:$Q$1795,$N1757),0)*INDEX('Tabela Passaro'!$P$2:$P$1795,$N1757)</f>
        <v>5</v>
      </c>
      <c r="W1757" s="32" t="n">
        <f aca="false">INDEX('Tabela Passaro'!$R$2:$R$1795,$N1757)</f>
        <v>30</v>
      </c>
      <c r="X1757" s="32" t="n">
        <f aca="false">ROUNDUP(J1757/INDEX('Tabela Passaro'!$T$2:$T$1795,$N1757),0)*INDEX('Tabela Passaro'!$S$2:$S$1795,$N1757)</f>
        <v>0</v>
      </c>
      <c r="Y1757" s="32" t="n">
        <f aca="false">INDEX('Tabela Passaro'!$U$2:$U$1795,$N1757)</f>
        <v>0</v>
      </c>
      <c r="Z1757" s="32" t="n">
        <f aca="false">INDEX('Tabela Passaro'!$V$2:$V$1795,$N1757)</f>
        <v>0</v>
      </c>
      <c r="AA1757" s="32" t="n">
        <f aca="false">SUM(R1757:Z1757)</f>
        <v>102.43899</v>
      </c>
      <c r="AB1757" s="33" t="n">
        <f aca="false">INDEX(Premissas!$B$5:$B$13,MATCH(A1757,Premissas!$A$5:$A$13,0))</f>
        <v>0.07</v>
      </c>
      <c r="AC1757" s="32" t="n">
        <f aca="false">AA1757/(1-AB1757)-AA1757</f>
        <v>7.71046161290323</v>
      </c>
      <c r="AD1757" s="32" t="n">
        <f aca="false">ROUND(AA1757+AC1757,2)</f>
        <v>110.15</v>
      </c>
      <c r="AE1757" s="32" t="n">
        <f aca="false">AD1757-L1757</f>
        <v>-15.37</v>
      </c>
      <c r="AF1757" s="34" t="n">
        <f aca="false">IF(L1757=0,0,AE1757/L1757)</f>
        <v>-0.122450605481198</v>
      </c>
      <c r="AG1757" s="22" t="str">
        <f aca="false">IF(AD1757&lt;L1757,"PASSARO","ATUAL")</f>
        <v>PASSARO</v>
      </c>
      <c r="AH1757" s="22" t="str">
        <f aca="false">IF(P1757&lt;&gt;A1757,"Faixa cadastrada como "&amp;P1757&amp;" na tabela; preço aplicado pela UF do CEP","")</f>
        <v/>
      </c>
      <c r="AI1757" s="26" t="n">
        <v>129.86</v>
      </c>
      <c r="AJ1757" s="22" t="str">
        <f aca="false">INDEX('Tabela Passaro'!$X$2:$X$1795,$N1757)</f>
        <v>CAPITAL</v>
      </c>
    </row>
    <row r="1758" customFormat="false" ht="15" hidden="false" customHeight="false" outlineLevel="0" collapsed="false">
      <c r="A1758" s="22" t="s">
        <v>23</v>
      </c>
      <c r="B1758" s="22" t="n">
        <v>1</v>
      </c>
      <c r="C1758" s="22" t="s">
        <v>198</v>
      </c>
      <c r="D1758" s="22" t="s">
        <v>30</v>
      </c>
      <c r="E1758" s="22" t="s">
        <v>7326</v>
      </c>
      <c r="F1758" s="22" t="n">
        <v>523833</v>
      </c>
      <c r="G1758" s="30" t="n">
        <v>46245</v>
      </c>
      <c r="H1758" s="22" t="n">
        <v>623257</v>
      </c>
      <c r="I1758" s="22" t="s">
        <v>8916</v>
      </c>
      <c r="J1758" s="31" t="n">
        <v>45.4</v>
      </c>
      <c r="K1758" s="26" t="n">
        <v>603.94</v>
      </c>
      <c r="L1758" s="26" t="n">
        <v>170.76</v>
      </c>
      <c r="M1758" s="22" t="s">
        <v>7020</v>
      </c>
      <c r="N1758" s="22" t="n">
        <f aca="false">MATCH(M1758,'Tabela Passaro'!$A$2:$A$1795,0)</f>
        <v>1720</v>
      </c>
      <c r="O1758" s="22" t="str">
        <f aca="false">INDEX('Tabela Passaro'!$C$2:$C$1795,$N1758)</f>
        <v>ARACAJU</v>
      </c>
      <c r="P1758" s="22" t="str">
        <f aca="false">INDEX('Tabela Passaro'!$B$2:$B$1795,$N1758)</f>
        <v>SE</v>
      </c>
      <c r="Q1758" s="22" t="n">
        <f aca="false">INDEX('Tabela Passaro'!$F$2:$F$1795,$N1758)</f>
        <v>7</v>
      </c>
      <c r="R1758" s="32" t="n">
        <f aca="false">IF(J1758&lt;=10,INDEX('Tabela Passaro'!$G$2:$G$1795,$N1758),IF(J1758&lt;=30,INDEX('Tabela Passaro'!$H$2:$H$1795,$N1758),IF(J1758&lt;=50,INDEX('Tabela Passaro'!$I$2:$I$1795,$N1758),IF(J1758&lt;=70,INDEX('Tabela Passaro'!$J$2:$J$1795,$N1758),IF(J1758&lt;=100,INDEX('Tabela Passaro'!$K$2:$K$1795,$N1758),INDEX('Tabela Passaro'!$K$2:$K$1795,$N1758)+(J1758-100)*INDEX('Tabela Passaro'!$L$2:$L$1795,$N1758))))))</f>
        <v>70.56</v>
      </c>
      <c r="S1758" s="32" t="n">
        <f aca="false">K1758*INDEX('Tabela Passaro'!$M$2:$M$1795,$N1758)</f>
        <v>3.0197</v>
      </c>
      <c r="T1758" s="32" t="n">
        <f aca="false">K1758*INDEX('Tabela Passaro'!$N$2:$N$1795,$N1758)</f>
        <v>1.20788</v>
      </c>
      <c r="U1758" s="32" t="n">
        <f aca="false">INDEX('Tabela Passaro'!$O$2:$O$1795,$N1758)</f>
        <v>5</v>
      </c>
      <c r="V1758" s="32" t="n">
        <f aca="false">ROUNDUP(J1758/INDEX('Tabela Passaro'!$Q$2:$Q$1795,$N1758),0)*INDEX('Tabela Passaro'!$P$2:$P$1795,$N1758)</f>
        <v>5</v>
      </c>
      <c r="W1758" s="32" t="n">
        <f aca="false">INDEX('Tabela Passaro'!$R$2:$R$1795,$N1758)</f>
        <v>30</v>
      </c>
      <c r="X1758" s="32" t="n">
        <f aca="false">ROUNDUP(J1758/INDEX('Tabela Passaro'!$T$2:$T$1795,$N1758),0)*INDEX('Tabela Passaro'!$S$2:$S$1795,$N1758)</f>
        <v>0</v>
      </c>
      <c r="Y1758" s="32" t="n">
        <f aca="false">INDEX('Tabela Passaro'!$U$2:$U$1795,$N1758)</f>
        <v>0</v>
      </c>
      <c r="Z1758" s="32" t="n">
        <f aca="false">INDEX('Tabela Passaro'!$V$2:$V$1795,$N1758)</f>
        <v>0</v>
      </c>
      <c r="AA1758" s="32" t="n">
        <f aca="false">SUM(R1758:Z1758)</f>
        <v>114.78758</v>
      </c>
      <c r="AB1758" s="33" t="n">
        <f aca="false">INDEX(Premissas!$B$5:$B$13,MATCH(A1758,Premissas!$A$5:$A$13,0))</f>
        <v>0.07</v>
      </c>
      <c r="AC1758" s="32" t="n">
        <f aca="false">AA1758/(1-AB1758)-AA1758</f>
        <v>8.6399253763441</v>
      </c>
      <c r="AD1758" s="32" t="n">
        <f aca="false">ROUND(AA1758+AC1758,2)</f>
        <v>123.43</v>
      </c>
      <c r="AE1758" s="32" t="n">
        <f aca="false">AD1758-L1758</f>
        <v>-47.33</v>
      </c>
      <c r="AF1758" s="34" t="n">
        <f aca="false">IF(L1758=0,0,AE1758/L1758)</f>
        <v>-0.27717263996252</v>
      </c>
      <c r="AG1758" s="22" t="str">
        <f aca="false">IF(AD1758&lt;L1758,"PASSARO","ATUAL")</f>
        <v>PASSARO</v>
      </c>
      <c r="AH1758" s="22" t="str">
        <f aca="false">IF(P1758&lt;&gt;A1758,"Faixa cadastrada como "&amp;P1758&amp;" na tabela; preço aplicado pela UF do CEP","")</f>
        <v/>
      </c>
      <c r="AI1758" s="26" t="n">
        <v>153.2</v>
      </c>
      <c r="AJ1758" s="22" t="str">
        <f aca="false">INDEX('Tabela Passaro'!$X$2:$X$1795,$N1758)</f>
        <v>CAPITAL</v>
      </c>
    </row>
    <row r="1759" customFormat="false" ht="15" hidden="false" customHeight="false" outlineLevel="0" collapsed="false">
      <c r="A1759" s="22" t="s">
        <v>23</v>
      </c>
      <c r="B1759" s="22" t="n">
        <v>1</v>
      </c>
      <c r="C1759" s="22" t="s">
        <v>198</v>
      </c>
      <c r="D1759" s="22" t="s">
        <v>30</v>
      </c>
      <c r="E1759" s="22" t="s">
        <v>7328</v>
      </c>
      <c r="F1759" s="22" t="n">
        <v>2311232</v>
      </c>
      <c r="G1759" s="30" t="n">
        <v>46246</v>
      </c>
      <c r="H1759" s="22" t="n">
        <v>132500</v>
      </c>
      <c r="I1759" s="22" t="s">
        <v>8917</v>
      </c>
      <c r="J1759" s="31" t="n">
        <v>73</v>
      </c>
      <c r="K1759" s="26" t="n">
        <v>1320.06</v>
      </c>
      <c r="L1759" s="26" t="n">
        <v>226.72</v>
      </c>
      <c r="M1759" s="22" t="s">
        <v>7020</v>
      </c>
      <c r="N1759" s="22" t="n">
        <f aca="false">MATCH(M1759,'Tabela Passaro'!$A$2:$A$1795,0)</f>
        <v>1720</v>
      </c>
      <c r="O1759" s="22" t="str">
        <f aca="false">INDEX('Tabela Passaro'!$C$2:$C$1795,$N1759)</f>
        <v>ARACAJU</v>
      </c>
      <c r="P1759" s="22" t="str">
        <f aca="false">INDEX('Tabela Passaro'!$B$2:$B$1795,$N1759)</f>
        <v>SE</v>
      </c>
      <c r="Q1759" s="22" t="n">
        <f aca="false">INDEX('Tabela Passaro'!$F$2:$F$1795,$N1759)</f>
        <v>7</v>
      </c>
      <c r="R1759" s="32" t="n">
        <f aca="false">IF(J1759&lt;=10,INDEX('Tabela Passaro'!$G$2:$G$1795,$N1759),IF(J1759&lt;=30,INDEX('Tabela Passaro'!$H$2:$H$1795,$N1759),IF(J1759&lt;=50,INDEX('Tabela Passaro'!$I$2:$I$1795,$N1759),IF(J1759&lt;=70,INDEX('Tabela Passaro'!$J$2:$J$1795,$N1759),IF(J1759&lt;=100,INDEX('Tabela Passaro'!$K$2:$K$1795,$N1759),INDEX('Tabela Passaro'!$K$2:$K$1795,$N1759)+(J1759-100)*INDEX('Tabela Passaro'!$L$2:$L$1795,$N1759))))))</f>
        <v>99.36</v>
      </c>
      <c r="S1759" s="32" t="n">
        <f aca="false">K1759*INDEX('Tabela Passaro'!$M$2:$M$1795,$N1759)</f>
        <v>6.6003</v>
      </c>
      <c r="T1759" s="32" t="n">
        <f aca="false">K1759*INDEX('Tabela Passaro'!$N$2:$N$1795,$N1759)</f>
        <v>2.64012</v>
      </c>
      <c r="U1759" s="32" t="n">
        <f aca="false">INDEX('Tabela Passaro'!$O$2:$O$1795,$N1759)</f>
        <v>5</v>
      </c>
      <c r="V1759" s="32" t="n">
        <f aca="false">ROUNDUP(J1759/INDEX('Tabela Passaro'!$Q$2:$Q$1795,$N1759),0)*INDEX('Tabela Passaro'!$P$2:$P$1795,$N1759)</f>
        <v>5</v>
      </c>
      <c r="W1759" s="32" t="n">
        <f aca="false">INDEX('Tabela Passaro'!$R$2:$R$1795,$N1759)</f>
        <v>30</v>
      </c>
      <c r="X1759" s="32" t="n">
        <f aca="false">ROUNDUP(J1759/INDEX('Tabela Passaro'!$T$2:$T$1795,$N1759),0)*INDEX('Tabela Passaro'!$S$2:$S$1795,$N1759)</f>
        <v>0</v>
      </c>
      <c r="Y1759" s="32" t="n">
        <f aca="false">INDEX('Tabela Passaro'!$U$2:$U$1795,$N1759)</f>
        <v>0</v>
      </c>
      <c r="Z1759" s="32" t="n">
        <f aca="false">INDEX('Tabela Passaro'!$V$2:$V$1795,$N1759)</f>
        <v>0</v>
      </c>
      <c r="AA1759" s="32" t="n">
        <f aca="false">SUM(R1759:Z1759)</f>
        <v>148.60042</v>
      </c>
      <c r="AB1759" s="33" t="n">
        <f aca="false">INDEX(Premissas!$B$5:$B$13,MATCH(A1759,Premissas!$A$5:$A$13,0))</f>
        <v>0.07</v>
      </c>
      <c r="AC1759" s="32" t="n">
        <f aca="false">AA1759/(1-AB1759)-AA1759</f>
        <v>11.1849778494624</v>
      </c>
      <c r="AD1759" s="32" t="n">
        <f aca="false">ROUND(AA1759+AC1759,2)</f>
        <v>159.79</v>
      </c>
      <c r="AE1759" s="32" t="n">
        <f aca="false">AD1759-L1759</f>
        <v>-66.93</v>
      </c>
      <c r="AF1759" s="34" t="n">
        <f aca="false">IF(L1759=0,0,AE1759/L1759)</f>
        <v>-0.295209950599859</v>
      </c>
      <c r="AG1759" s="22" t="str">
        <f aca="false">IF(AD1759&lt;L1759,"PASSARO","ATUAL")</f>
        <v>PASSARO</v>
      </c>
      <c r="AH1759" s="22" t="str">
        <f aca="false">IF(P1759&lt;&gt;A1759,"Faixa cadastrada como "&amp;P1759&amp;" na tabela; preço aplicado pela UF do CEP","")</f>
        <v/>
      </c>
      <c r="AI1759" s="26" t="n">
        <v>204.51</v>
      </c>
      <c r="AJ1759" s="22" t="str">
        <f aca="false">INDEX('Tabela Passaro'!$X$2:$X$1795,$N1759)</f>
        <v>CAPITAL</v>
      </c>
    </row>
    <row r="1760" customFormat="false" ht="15" hidden="false" customHeight="false" outlineLevel="0" collapsed="false">
      <c r="A1760" s="22" t="s">
        <v>23</v>
      </c>
      <c r="B1760" s="22" t="n">
        <v>1</v>
      </c>
      <c r="C1760" s="22" t="s">
        <v>198</v>
      </c>
      <c r="D1760" s="22" t="s">
        <v>30</v>
      </c>
      <c r="E1760" s="22" t="s">
        <v>7328</v>
      </c>
      <c r="F1760" s="22" t="n">
        <v>2312283</v>
      </c>
      <c r="G1760" s="30" t="n">
        <v>46248</v>
      </c>
      <c r="H1760" s="22" t="n">
        <v>133186</v>
      </c>
      <c r="I1760" s="22" t="s">
        <v>8918</v>
      </c>
      <c r="J1760" s="31" t="n">
        <v>37.59</v>
      </c>
      <c r="K1760" s="26" t="n">
        <v>663.01</v>
      </c>
      <c r="L1760" s="26" t="n">
        <v>150.84</v>
      </c>
      <c r="M1760" s="22" t="s">
        <v>7020</v>
      </c>
      <c r="N1760" s="22" t="n">
        <f aca="false">MATCH(M1760,'Tabela Passaro'!$A$2:$A$1795,0)</f>
        <v>1720</v>
      </c>
      <c r="O1760" s="22" t="str">
        <f aca="false">INDEX('Tabela Passaro'!$C$2:$C$1795,$N1760)</f>
        <v>ARACAJU</v>
      </c>
      <c r="P1760" s="22" t="str">
        <f aca="false">INDEX('Tabela Passaro'!$B$2:$B$1795,$N1760)</f>
        <v>SE</v>
      </c>
      <c r="Q1760" s="22" t="n">
        <f aca="false">INDEX('Tabela Passaro'!$F$2:$F$1795,$N1760)</f>
        <v>7</v>
      </c>
      <c r="R1760" s="32" t="n">
        <f aca="false">IF(J1760&lt;=10,INDEX('Tabela Passaro'!$G$2:$G$1795,$N1760),IF(J1760&lt;=30,INDEX('Tabela Passaro'!$H$2:$H$1795,$N1760),IF(J1760&lt;=50,INDEX('Tabela Passaro'!$I$2:$I$1795,$N1760),IF(J1760&lt;=70,INDEX('Tabela Passaro'!$J$2:$J$1795,$N1760),IF(J1760&lt;=100,INDEX('Tabela Passaro'!$K$2:$K$1795,$N1760),INDEX('Tabela Passaro'!$K$2:$K$1795,$N1760)+(J1760-100)*INDEX('Tabela Passaro'!$L$2:$L$1795,$N1760))))))</f>
        <v>70.56</v>
      </c>
      <c r="S1760" s="32" t="n">
        <f aca="false">K1760*INDEX('Tabela Passaro'!$M$2:$M$1795,$N1760)</f>
        <v>3.31505</v>
      </c>
      <c r="T1760" s="32" t="n">
        <f aca="false">K1760*INDEX('Tabela Passaro'!$N$2:$N$1795,$N1760)</f>
        <v>1.32602</v>
      </c>
      <c r="U1760" s="32" t="n">
        <f aca="false">INDEX('Tabela Passaro'!$O$2:$O$1795,$N1760)</f>
        <v>5</v>
      </c>
      <c r="V1760" s="32" t="n">
        <f aca="false">ROUNDUP(J1760/INDEX('Tabela Passaro'!$Q$2:$Q$1795,$N1760),0)*INDEX('Tabela Passaro'!$P$2:$P$1795,$N1760)</f>
        <v>5</v>
      </c>
      <c r="W1760" s="32" t="n">
        <f aca="false">INDEX('Tabela Passaro'!$R$2:$R$1795,$N1760)</f>
        <v>30</v>
      </c>
      <c r="X1760" s="32" t="n">
        <f aca="false">ROUNDUP(J1760/INDEX('Tabela Passaro'!$T$2:$T$1795,$N1760),0)*INDEX('Tabela Passaro'!$S$2:$S$1795,$N1760)</f>
        <v>0</v>
      </c>
      <c r="Y1760" s="32" t="n">
        <f aca="false">INDEX('Tabela Passaro'!$U$2:$U$1795,$N1760)</f>
        <v>0</v>
      </c>
      <c r="Z1760" s="32" t="n">
        <f aca="false">INDEX('Tabela Passaro'!$V$2:$V$1795,$N1760)</f>
        <v>0</v>
      </c>
      <c r="AA1760" s="32" t="n">
        <f aca="false">SUM(R1760:Z1760)</f>
        <v>115.20107</v>
      </c>
      <c r="AB1760" s="33" t="n">
        <f aca="false">INDEX(Premissas!$B$5:$B$13,MATCH(A1760,Premissas!$A$5:$A$13,0))</f>
        <v>0.07</v>
      </c>
      <c r="AC1760" s="32" t="n">
        <f aca="false">AA1760/(1-AB1760)-AA1760</f>
        <v>8.6710482795699</v>
      </c>
      <c r="AD1760" s="32" t="n">
        <f aca="false">ROUND(AA1760+AC1760,2)</f>
        <v>123.87</v>
      </c>
      <c r="AE1760" s="32" t="n">
        <f aca="false">AD1760-L1760</f>
        <v>-26.97</v>
      </c>
      <c r="AF1760" s="34" t="n">
        <f aca="false">IF(L1760=0,0,AE1760/L1760)</f>
        <v>-0.178798727128083</v>
      </c>
      <c r="AG1760" s="22" t="str">
        <f aca="false">IF(AD1760&lt;L1760,"PASSARO","ATUAL")</f>
        <v>PASSARO</v>
      </c>
      <c r="AH1760" s="22" t="str">
        <f aca="false">IF(P1760&lt;&gt;A1760,"Faixa cadastrada como "&amp;P1760&amp;" na tabela; preço aplicado pela UF do CEP","")</f>
        <v/>
      </c>
      <c r="AI1760" s="26" t="n">
        <v>149.9</v>
      </c>
      <c r="AJ1760" s="22" t="str">
        <f aca="false">INDEX('Tabela Passaro'!$X$2:$X$1795,$N1760)</f>
        <v>CAPITAL</v>
      </c>
    </row>
    <row r="1761" customFormat="false" ht="15" hidden="false" customHeight="false" outlineLevel="0" collapsed="false">
      <c r="A1761" s="22" t="s">
        <v>23</v>
      </c>
      <c r="B1761" s="22" t="n">
        <v>1</v>
      </c>
      <c r="C1761" s="22" t="s">
        <v>198</v>
      </c>
      <c r="D1761" s="22" t="s">
        <v>30</v>
      </c>
      <c r="E1761" s="22" t="s">
        <v>7328</v>
      </c>
      <c r="F1761" s="22" t="n">
        <v>2312321</v>
      </c>
      <c r="G1761" s="30" t="n">
        <v>46248</v>
      </c>
      <c r="H1761" s="22" t="n">
        <v>133233</v>
      </c>
      <c r="I1761" s="22" t="s">
        <v>8919</v>
      </c>
      <c r="J1761" s="31" t="n">
        <v>34.4</v>
      </c>
      <c r="K1761" s="26" t="n">
        <v>587.33</v>
      </c>
      <c r="L1761" s="26" t="n">
        <v>150.24</v>
      </c>
      <c r="M1761" s="22" t="s">
        <v>7020</v>
      </c>
      <c r="N1761" s="22" t="n">
        <f aca="false">MATCH(M1761,'Tabela Passaro'!$A$2:$A$1795,0)</f>
        <v>1720</v>
      </c>
      <c r="O1761" s="22" t="str">
        <f aca="false">INDEX('Tabela Passaro'!$C$2:$C$1795,$N1761)</f>
        <v>ARACAJU</v>
      </c>
      <c r="P1761" s="22" t="str">
        <f aca="false">INDEX('Tabela Passaro'!$B$2:$B$1795,$N1761)</f>
        <v>SE</v>
      </c>
      <c r="Q1761" s="22" t="n">
        <f aca="false">INDEX('Tabela Passaro'!$F$2:$F$1795,$N1761)</f>
        <v>7</v>
      </c>
      <c r="R1761" s="32" t="n">
        <f aca="false">IF(J1761&lt;=10,INDEX('Tabela Passaro'!$G$2:$G$1795,$N1761),IF(J1761&lt;=30,INDEX('Tabela Passaro'!$H$2:$H$1795,$N1761),IF(J1761&lt;=50,INDEX('Tabela Passaro'!$I$2:$I$1795,$N1761),IF(J1761&lt;=70,INDEX('Tabela Passaro'!$J$2:$J$1795,$N1761),IF(J1761&lt;=100,INDEX('Tabela Passaro'!$K$2:$K$1795,$N1761),INDEX('Tabela Passaro'!$K$2:$K$1795,$N1761)+(J1761-100)*INDEX('Tabela Passaro'!$L$2:$L$1795,$N1761))))))</f>
        <v>70.56</v>
      </c>
      <c r="S1761" s="32" t="n">
        <f aca="false">K1761*INDEX('Tabela Passaro'!$M$2:$M$1795,$N1761)</f>
        <v>2.93665</v>
      </c>
      <c r="T1761" s="32" t="n">
        <f aca="false">K1761*INDEX('Tabela Passaro'!$N$2:$N$1795,$N1761)</f>
        <v>1.17466</v>
      </c>
      <c r="U1761" s="32" t="n">
        <f aca="false">INDEX('Tabela Passaro'!$O$2:$O$1795,$N1761)</f>
        <v>5</v>
      </c>
      <c r="V1761" s="32" t="n">
        <f aca="false">ROUNDUP(J1761/INDEX('Tabela Passaro'!$Q$2:$Q$1795,$N1761),0)*INDEX('Tabela Passaro'!$P$2:$P$1795,$N1761)</f>
        <v>5</v>
      </c>
      <c r="W1761" s="32" t="n">
        <f aca="false">INDEX('Tabela Passaro'!$R$2:$R$1795,$N1761)</f>
        <v>30</v>
      </c>
      <c r="X1761" s="32" t="n">
        <f aca="false">ROUNDUP(J1761/INDEX('Tabela Passaro'!$T$2:$T$1795,$N1761),0)*INDEX('Tabela Passaro'!$S$2:$S$1795,$N1761)</f>
        <v>0</v>
      </c>
      <c r="Y1761" s="32" t="n">
        <f aca="false">INDEX('Tabela Passaro'!$U$2:$U$1795,$N1761)</f>
        <v>0</v>
      </c>
      <c r="Z1761" s="32" t="n">
        <f aca="false">INDEX('Tabela Passaro'!$V$2:$V$1795,$N1761)</f>
        <v>0</v>
      </c>
      <c r="AA1761" s="32" t="n">
        <f aca="false">SUM(R1761:Z1761)</f>
        <v>114.67131</v>
      </c>
      <c r="AB1761" s="33" t="n">
        <f aca="false">INDEX(Premissas!$B$5:$B$13,MATCH(A1761,Premissas!$A$5:$A$13,0))</f>
        <v>0.07</v>
      </c>
      <c r="AC1761" s="32" t="n">
        <f aca="false">AA1761/(1-AB1761)-AA1761</f>
        <v>8.63117387096776</v>
      </c>
      <c r="AD1761" s="32" t="n">
        <f aca="false">ROUND(AA1761+AC1761,2)</f>
        <v>123.3</v>
      </c>
      <c r="AE1761" s="32" t="n">
        <f aca="false">AD1761-L1761</f>
        <v>-26.94</v>
      </c>
      <c r="AF1761" s="34" t="n">
        <f aca="false">IF(L1761=0,0,AE1761/L1761)</f>
        <v>-0.179313099041534</v>
      </c>
      <c r="AG1761" s="22" t="str">
        <f aca="false">IF(AD1761&lt;L1761,"PASSARO","ATUAL")</f>
        <v>PASSARO</v>
      </c>
      <c r="AH1761" s="22" t="str">
        <f aca="false">IF(P1761&lt;&gt;A1761,"Faixa cadastrada como "&amp;P1761&amp;" na tabela; preço aplicado pela UF do CEP","")</f>
        <v/>
      </c>
      <c r="AI1761" s="26" t="n">
        <v>147.72</v>
      </c>
      <c r="AJ1761" s="22" t="str">
        <f aca="false">INDEX('Tabela Passaro'!$X$2:$X$1795,$N1761)</f>
        <v>CAPITAL</v>
      </c>
    </row>
    <row r="1762" customFormat="false" ht="15" hidden="false" customHeight="false" outlineLevel="0" collapsed="false">
      <c r="A1762" s="22" t="s">
        <v>23</v>
      </c>
      <c r="B1762" s="22" t="n">
        <v>1</v>
      </c>
      <c r="C1762" s="22" t="s">
        <v>198</v>
      </c>
      <c r="D1762" s="22" t="s">
        <v>30</v>
      </c>
      <c r="E1762" s="22" t="s">
        <v>7328</v>
      </c>
      <c r="F1762" s="22" t="n">
        <v>2312327</v>
      </c>
      <c r="G1762" s="30" t="n">
        <v>46248</v>
      </c>
      <c r="H1762" s="22" t="n">
        <v>133234</v>
      </c>
      <c r="I1762" s="22" t="s">
        <v>8920</v>
      </c>
      <c r="J1762" s="31" t="n">
        <v>51.06</v>
      </c>
      <c r="K1762" s="26" t="n">
        <v>843.81</v>
      </c>
      <c r="L1762" s="26" t="n">
        <v>177.59</v>
      </c>
      <c r="M1762" s="22" t="s">
        <v>7020</v>
      </c>
      <c r="N1762" s="22" t="n">
        <f aca="false">MATCH(M1762,'Tabela Passaro'!$A$2:$A$1795,0)</f>
        <v>1720</v>
      </c>
      <c r="O1762" s="22" t="str">
        <f aca="false">INDEX('Tabela Passaro'!$C$2:$C$1795,$N1762)</f>
        <v>ARACAJU</v>
      </c>
      <c r="P1762" s="22" t="str">
        <f aca="false">INDEX('Tabela Passaro'!$B$2:$B$1795,$N1762)</f>
        <v>SE</v>
      </c>
      <c r="Q1762" s="22" t="n">
        <f aca="false">INDEX('Tabela Passaro'!$F$2:$F$1795,$N1762)</f>
        <v>7</v>
      </c>
      <c r="R1762" s="32" t="n">
        <f aca="false">IF(J1762&lt;=10,INDEX('Tabela Passaro'!$G$2:$G$1795,$N1762),IF(J1762&lt;=30,INDEX('Tabela Passaro'!$H$2:$H$1795,$N1762),IF(J1762&lt;=50,INDEX('Tabela Passaro'!$I$2:$I$1795,$N1762),IF(J1762&lt;=70,INDEX('Tabela Passaro'!$J$2:$J$1795,$N1762),IF(J1762&lt;=100,INDEX('Tabela Passaro'!$K$2:$K$1795,$N1762),INDEX('Tabela Passaro'!$K$2:$K$1795,$N1762)+(J1762-100)*INDEX('Tabela Passaro'!$L$2:$L$1795,$N1762))))))</f>
        <v>82.08</v>
      </c>
      <c r="S1762" s="32" t="n">
        <f aca="false">K1762*INDEX('Tabela Passaro'!$M$2:$M$1795,$N1762)</f>
        <v>4.21905</v>
      </c>
      <c r="T1762" s="32" t="n">
        <f aca="false">K1762*INDEX('Tabela Passaro'!$N$2:$N$1795,$N1762)</f>
        <v>1.68762</v>
      </c>
      <c r="U1762" s="32" t="n">
        <f aca="false">INDEX('Tabela Passaro'!$O$2:$O$1795,$N1762)</f>
        <v>5</v>
      </c>
      <c r="V1762" s="32" t="n">
        <f aca="false">ROUNDUP(J1762/INDEX('Tabela Passaro'!$Q$2:$Q$1795,$N1762),0)*INDEX('Tabela Passaro'!$P$2:$P$1795,$N1762)</f>
        <v>5</v>
      </c>
      <c r="W1762" s="32" t="n">
        <f aca="false">INDEX('Tabela Passaro'!$R$2:$R$1795,$N1762)</f>
        <v>30</v>
      </c>
      <c r="X1762" s="32" t="n">
        <f aca="false">ROUNDUP(J1762/INDEX('Tabela Passaro'!$T$2:$T$1795,$N1762),0)*INDEX('Tabela Passaro'!$S$2:$S$1795,$N1762)</f>
        <v>0</v>
      </c>
      <c r="Y1762" s="32" t="n">
        <f aca="false">INDEX('Tabela Passaro'!$U$2:$U$1795,$N1762)</f>
        <v>0</v>
      </c>
      <c r="Z1762" s="32" t="n">
        <f aca="false">INDEX('Tabela Passaro'!$V$2:$V$1795,$N1762)</f>
        <v>0</v>
      </c>
      <c r="AA1762" s="32" t="n">
        <f aca="false">SUM(R1762:Z1762)</f>
        <v>127.98667</v>
      </c>
      <c r="AB1762" s="33" t="n">
        <f aca="false">INDEX(Premissas!$B$5:$B$13,MATCH(A1762,Premissas!$A$5:$A$13,0))</f>
        <v>0.07</v>
      </c>
      <c r="AC1762" s="32" t="n">
        <f aca="false">AA1762/(1-AB1762)-AA1762</f>
        <v>9.63340526881723</v>
      </c>
      <c r="AD1762" s="32" t="n">
        <f aca="false">ROUND(AA1762+AC1762,2)</f>
        <v>137.62</v>
      </c>
      <c r="AE1762" s="32" t="n">
        <f aca="false">AD1762-L1762</f>
        <v>-39.97</v>
      </c>
      <c r="AF1762" s="34" t="n">
        <f aca="false">IF(L1762=0,0,AE1762/L1762)</f>
        <v>-0.225068979109184</v>
      </c>
      <c r="AG1762" s="22" t="str">
        <f aca="false">IF(AD1762&lt;L1762,"PASSARO","ATUAL")</f>
        <v>PASSARO</v>
      </c>
      <c r="AH1762" s="22" t="str">
        <f aca="false">IF(P1762&lt;&gt;A1762,"Faixa cadastrada como "&amp;P1762&amp;" na tabela; preço aplicado pela UF do CEP","")</f>
        <v/>
      </c>
      <c r="AI1762" s="26" t="n">
        <v>170.95</v>
      </c>
      <c r="AJ1762" s="22" t="str">
        <f aca="false">INDEX('Tabela Passaro'!$X$2:$X$1795,$N1762)</f>
        <v>CAPITAL</v>
      </c>
    </row>
    <row r="1763" customFormat="false" ht="15" hidden="false" customHeight="false" outlineLevel="0" collapsed="false">
      <c r="A1763" s="22" t="s">
        <v>23</v>
      </c>
      <c r="B1763" s="22" t="n">
        <v>1</v>
      </c>
      <c r="C1763" s="22" t="s">
        <v>198</v>
      </c>
      <c r="D1763" s="22" t="s">
        <v>30</v>
      </c>
      <c r="E1763" s="22" t="s">
        <v>7328</v>
      </c>
      <c r="F1763" s="22" t="n">
        <v>2312436</v>
      </c>
      <c r="G1763" s="30" t="n">
        <v>46248</v>
      </c>
      <c r="H1763" s="22" t="n">
        <v>133348</v>
      </c>
      <c r="I1763" s="22" t="s">
        <v>8921</v>
      </c>
      <c r="J1763" s="31" t="n">
        <v>79.26</v>
      </c>
      <c r="K1763" s="26" t="n">
        <v>968.7</v>
      </c>
      <c r="L1763" s="26" t="n">
        <v>223.93</v>
      </c>
      <c r="M1763" s="22" t="s">
        <v>7020</v>
      </c>
      <c r="N1763" s="22" t="n">
        <f aca="false">MATCH(M1763,'Tabela Passaro'!$A$2:$A$1795,0)</f>
        <v>1720</v>
      </c>
      <c r="O1763" s="22" t="str">
        <f aca="false">INDEX('Tabela Passaro'!$C$2:$C$1795,$N1763)</f>
        <v>ARACAJU</v>
      </c>
      <c r="P1763" s="22" t="str">
        <f aca="false">INDEX('Tabela Passaro'!$B$2:$B$1795,$N1763)</f>
        <v>SE</v>
      </c>
      <c r="Q1763" s="22" t="n">
        <f aca="false">INDEX('Tabela Passaro'!$F$2:$F$1795,$N1763)</f>
        <v>7</v>
      </c>
      <c r="R1763" s="32" t="n">
        <f aca="false">IF(J1763&lt;=10,INDEX('Tabela Passaro'!$G$2:$G$1795,$N1763),IF(J1763&lt;=30,INDEX('Tabela Passaro'!$H$2:$H$1795,$N1763),IF(J1763&lt;=50,INDEX('Tabela Passaro'!$I$2:$I$1795,$N1763),IF(J1763&lt;=70,INDEX('Tabela Passaro'!$J$2:$J$1795,$N1763),IF(J1763&lt;=100,INDEX('Tabela Passaro'!$K$2:$K$1795,$N1763),INDEX('Tabela Passaro'!$K$2:$K$1795,$N1763)+(J1763-100)*INDEX('Tabela Passaro'!$L$2:$L$1795,$N1763))))))</f>
        <v>99.36</v>
      </c>
      <c r="S1763" s="32" t="n">
        <f aca="false">K1763*INDEX('Tabela Passaro'!$M$2:$M$1795,$N1763)</f>
        <v>4.8435</v>
      </c>
      <c r="T1763" s="32" t="n">
        <f aca="false">K1763*INDEX('Tabela Passaro'!$N$2:$N$1795,$N1763)</f>
        <v>1.9374</v>
      </c>
      <c r="U1763" s="32" t="n">
        <f aca="false">INDEX('Tabela Passaro'!$O$2:$O$1795,$N1763)</f>
        <v>5</v>
      </c>
      <c r="V1763" s="32" t="n">
        <f aca="false">ROUNDUP(J1763/INDEX('Tabela Passaro'!$Q$2:$Q$1795,$N1763),0)*INDEX('Tabela Passaro'!$P$2:$P$1795,$N1763)</f>
        <v>5</v>
      </c>
      <c r="W1763" s="32" t="n">
        <f aca="false">INDEX('Tabela Passaro'!$R$2:$R$1795,$N1763)</f>
        <v>30</v>
      </c>
      <c r="X1763" s="32" t="n">
        <f aca="false">ROUNDUP(J1763/INDEX('Tabela Passaro'!$T$2:$T$1795,$N1763),0)*INDEX('Tabela Passaro'!$S$2:$S$1795,$N1763)</f>
        <v>0</v>
      </c>
      <c r="Y1763" s="32" t="n">
        <f aca="false">INDEX('Tabela Passaro'!$U$2:$U$1795,$N1763)</f>
        <v>0</v>
      </c>
      <c r="Z1763" s="32" t="n">
        <f aca="false">INDEX('Tabela Passaro'!$V$2:$V$1795,$N1763)</f>
        <v>0</v>
      </c>
      <c r="AA1763" s="32" t="n">
        <f aca="false">SUM(R1763:Z1763)</f>
        <v>146.1409</v>
      </c>
      <c r="AB1763" s="33" t="n">
        <f aca="false">INDEX(Premissas!$B$5:$B$13,MATCH(A1763,Premissas!$A$5:$A$13,0))</f>
        <v>0.07</v>
      </c>
      <c r="AC1763" s="32" t="n">
        <f aca="false">AA1763/(1-AB1763)-AA1763</f>
        <v>10.999852688172</v>
      </c>
      <c r="AD1763" s="32" t="n">
        <f aca="false">ROUND(AA1763+AC1763,2)</f>
        <v>157.14</v>
      </c>
      <c r="AE1763" s="32" t="n">
        <f aca="false">AD1763-L1763</f>
        <v>-66.79</v>
      </c>
      <c r="AF1763" s="34" t="n">
        <f aca="false">IF(L1763=0,0,AE1763/L1763)</f>
        <v>-0.298262849997767</v>
      </c>
      <c r="AG1763" s="22" t="str">
        <f aca="false">IF(AD1763&lt;L1763,"PASSARO","ATUAL")</f>
        <v>PASSARO</v>
      </c>
      <c r="AH1763" s="22" t="str">
        <f aca="false">IF(P1763&lt;&gt;A1763,"Faixa cadastrada como "&amp;P1763&amp;" na tabela; preço aplicado pela UF do CEP","")</f>
        <v/>
      </c>
      <c r="AI1763" s="26" t="n">
        <v>204.49</v>
      </c>
      <c r="AJ1763" s="22" t="str">
        <f aca="false">INDEX('Tabela Passaro'!$X$2:$X$1795,$N1763)</f>
        <v>CAPITAL</v>
      </c>
    </row>
    <row r="1764" customFormat="false" ht="15" hidden="false" customHeight="false" outlineLevel="0" collapsed="false">
      <c r="A1764" s="22" t="s">
        <v>23</v>
      </c>
      <c r="B1764" s="22" t="n">
        <v>1</v>
      </c>
      <c r="C1764" s="22" t="s">
        <v>198</v>
      </c>
      <c r="D1764" s="22" t="s">
        <v>30</v>
      </c>
      <c r="E1764" s="22" t="s">
        <v>7326</v>
      </c>
      <c r="F1764" s="22" t="n">
        <v>524998</v>
      </c>
      <c r="G1764" s="30" t="n">
        <v>46248</v>
      </c>
      <c r="H1764" s="22" t="n">
        <v>625206</v>
      </c>
      <c r="I1764" s="22" t="s">
        <v>8922</v>
      </c>
      <c r="J1764" s="31" t="n">
        <v>22</v>
      </c>
      <c r="K1764" s="26" t="n">
        <v>871.22</v>
      </c>
      <c r="L1764" s="26" t="n">
        <v>128.8</v>
      </c>
      <c r="M1764" s="22" t="s">
        <v>7020</v>
      </c>
      <c r="N1764" s="22" t="n">
        <f aca="false">MATCH(M1764,'Tabela Passaro'!$A$2:$A$1795,0)</f>
        <v>1720</v>
      </c>
      <c r="O1764" s="22" t="str">
        <f aca="false">INDEX('Tabela Passaro'!$C$2:$C$1795,$N1764)</f>
        <v>ARACAJU</v>
      </c>
      <c r="P1764" s="22" t="str">
        <f aca="false">INDEX('Tabela Passaro'!$B$2:$B$1795,$N1764)</f>
        <v>SE</v>
      </c>
      <c r="Q1764" s="22" t="n">
        <f aca="false">INDEX('Tabela Passaro'!$F$2:$F$1795,$N1764)</f>
        <v>7</v>
      </c>
      <c r="R1764" s="32" t="n">
        <f aca="false">IF(J1764&lt;=10,INDEX('Tabela Passaro'!$G$2:$G$1795,$N1764),IF(J1764&lt;=30,INDEX('Tabela Passaro'!$H$2:$H$1795,$N1764),IF(J1764&lt;=50,INDEX('Tabela Passaro'!$I$2:$I$1795,$N1764),IF(J1764&lt;=70,INDEX('Tabela Passaro'!$J$2:$J$1795,$N1764),IF(J1764&lt;=100,INDEX('Tabela Passaro'!$K$2:$K$1795,$N1764),INDEX('Tabela Passaro'!$K$2:$K$1795,$N1764)+(J1764-100)*INDEX('Tabela Passaro'!$L$2:$L$1795,$N1764))))))</f>
        <v>59.04</v>
      </c>
      <c r="S1764" s="32" t="n">
        <f aca="false">K1764*INDEX('Tabela Passaro'!$M$2:$M$1795,$N1764)</f>
        <v>4.3561</v>
      </c>
      <c r="T1764" s="32" t="n">
        <f aca="false">K1764*INDEX('Tabela Passaro'!$N$2:$N$1795,$N1764)</f>
        <v>1.74244</v>
      </c>
      <c r="U1764" s="32" t="n">
        <f aca="false">INDEX('Tabela Passaro'!$O$2:$O$1795,$N1764)</f>
        <v>5</v>
      </c>
      <c r="V1764" s="32" t="n">
        <f aca="false">ROUNDUP(J1764/INDEX('Tabela Passaro'!$Q$2:$Q$1795,$N1764),0)*INDEX('Tabela Passaro'!$P$2:$P$1795,$N1764)</f>
        <v>5</v>
      </c>
      <c r="W1764" s="32" t="n">
        <f aca="false">INDEX('Tabela Passaro'!$R$2:$R$1795,$N1764)</f>
        <v>30</v>
      </c>
      <c r="X1764" s="32" t="n">
        <f aca="false">ROUNDUP(J1764/INDEX('Tabela Passaro'!$T$2:$T$1795,$N1764),0)*INDEX('Tabela Passaro'!$S$2:$S$1795,$N1764)</f>
        <v>0</v>
      </c>
      <c r="Y1764" s="32" t="n">
        <f aca="false">INDEX('Tabela Passaro'!$U$2:$U$1795,$N1764)</f>
        <v>0</v>
      </c>
      <c r="Z1764" s="32" t="n">
        <f aca="false">INDEX('Tabela Passaro'!$V$2:$V$1795,$N1764)</f>
        <v>0</v>
      </c>
      <c r="AA1764" s="32" t="n">
        <f aca="false">SUM(R1764:Z1764)</f>
        <v>105.13854</v>
      </c>
      <c r="AB1764" s="33" t="n">
        <f aca="false">INDEX(Premissas!$B$5:$B$13,MATCH(A1764,Premissas!$A$5:$A$13,0))</f>
        <v>0.07</v>
      </c>
      <c r="AC1764" s="32" t="n">
        <f aca="false">AA1764/(1-AB1764)-AA1764</f>
        <v>7.9136535483871</v>
      </c>
      <c r="AD1764" s="32" t="n">
        <f aca="false">ROUND(AA1764+AC1764,2)</f>
        <v>113.05</v>
      </c>
      <c r="AE1764" s="32" t="n">
        <f aca="false">AD1764-L1764</f>
        <v>-15.75</v>
      </c>
      <c r="AF1764" s="34" t="n">
        <f aca="false">IF(L1764=0,0,AE1764/L1764)</f>
        <v>-0.122282608695652</v>
      </c>
      <c r="AG1764" s="22" t="str">
        <f aca="false">IF(AD1764&lt;L1764,"PASSARO","ATUAL")</f>
        <v>PASSARO</v>
      </c>
      <c r="AH1764" s="22" t="str">
        <f aca="false">IF(P1764&lt;&gt;A1764,"Faixa cadastrada como "&amp;P1764&amp;" na tabela; preço aplicado pela UF do CEP","")</f>
        <v/>
      </c>
      <c r="AI1764" s="26" t="n">
        <v>131.66</v>
      </c>
      <c r="AJ1764" s="22" t="str">
        <f aca="false">INDEX('Tabela Passaro'!$X$2:$X$1795,$N1764)</f>
        <v>CAPITAL</v>
      </c>
    </row>
    <row r="1765" customFormat="false" ht="15" hidden="false" customHeight="false" outlineLevel="0" collapsed="false">
      <c r="A1765" s="22" t="s">
        <v>23</v>
      </c>
      <c r="B1765" s="22" t="n">
        <v>1</v>
      </c>
      <c r="C1765" s="22" t="s">
        <v>198</v>
      </c>
      <c r="D1765" s="22" t="s">
        <v>30</v>
      </c>
      <c r="E1765" s="22" t="s">
        <v>7328</v>
      </c>
      <c r="F1765" s="22" t="n">
        <v>2313189</v>
      </c>
      <c r="G1765" s="30" t="n">
        <v>46251</v>
      </c>
      <c r="H1765" s="22" t="n">
        <v>133608</v>
      </c>
      <c r="I1765" s="22" t="s">
        <v>8923</v>
      </c>
      <c r="J1765" s="31" t="n">
        <v>37.59</v>
      </c>
      <c r="K1765" s="26" t="n">
        <v>687.02</v>
      </c>
      <c r="L1765" s="26" t="n">
        <v>151.03</v>
      </c>
      <c r="M1765" s="22" t="s">
        <v>7020</v>
      </c>
      <c r="N1765" s="22" t="n">
        <f aca="false">MATCH(M1765,'Tabela Passaro'!$A$2:$A$1795,0)</f>
        <v>1720</v>
      </c>
      <c r="O1765" s="22" t="str">
        <f aca="false">INDEX('Tabela Passaro'!$C$2:$C$1795,$N1765)</f>
        <v>ARACAJU</v>
      </c>
      <c r="P1765" s="22" t="str">
        <f aca="false">INDEX('Tabela Passaro'!$B$2:$B$1795,$N1765)</f>
        <v>SE</v>
      </c>
      <c r="Q1765" s="22" t="n">
        <f aca="false">INDEX('Tabela Passaro'!$F$2:$F$1795,$N1765)</f>
        <v>7</v>
      </c>
      <c r="R1765" s="32" t="n">
        <f aca="false">IF(J1765&lt;=10,INDEX('Tabela Passaro'!$G$2:$G$1795,$N1765),IF(J1765&lt;=30,INDEX('Tabela Passaro'!$H$2:$H$1795,$N1765),IF(J1765&lt;=50,INDEX('Tabela Passaro'!$I$2:$I$1795,$N1765),IF(J1765&lt;=70,INDEX('Tabela Passaro'!$J$2:$J$1795,$N1765),IF(J1765&lt;=100,INDEX('Tabela Passaro'!$K$2:$K$1795,$N1765),INDEX('Tabela Passaro'!$K$2:$K$1795,$N1765)+(J1765-100)*INDEX('Tabela Passaro'!$L$2:$L$1795,$N1765))))))</f>
        <v>70.56</v>
      </c>
      <c r="S1765" s="32" t="n">
        <f aca="false">K1765*INDEX('Tabela Passaro'!$M$2:$M$1795,$N1765)</f>
        <v>3.4351</v>
      </c>
      <c r="T1765" s="32" t="n">
        <f aca="false">K1765*INDEX('Tabela Passaro'!$N$2:$N$1795,$N1765)</f>
        <v>1.37404</v>
      </c>
      <c r="U1765" s="32" t="n">
        <f aca="false">INDEX('Tabela Passaro'!$O$2:$O$1795,$N1765)</f>
        <v>5</v>
      </c>
      <c r="V1765" s="32" t="n">
        <f aca="false">ROUNDUP(J1765/INDEX('Tabela Passaro'!$Q$2:$Q$1795,$N1765),0)*INDEX('Tabela Passaro'!$P$2:$P$1795,$N1765)</f>
        <v>5</v>
      </c>
      <c r="W1765" s="32" t="n">
        <f aca="false">INDEX('Tabela Passaro'!$R$2:$R$1795,$N1765)</f>
        <v>30</v>
      </c>
      <c r="X1765" s="32" t="n">
        <f aca="false">ROUNDUP(J1765/INDEX('Tabela Passaro'!$T$2:$T$1795,$N1765),0)*INDEX('Tabela Passaro'!$S$2:$S$1795,$N1765)</f>
        <v>0</v>
      </c>
      <c r="Y1765" s="32" t="n">
        <f aca="false">INDEX('Tabela Passaro'!$U$2:$U$1795,$N1765)</f>
        <v>0</v>
      </c>
      <c r="Z1765" s="32" t="n">
        <f aca="false">INDEX('Tabela Passaro'!$V$2:$V$1795,$N1765)</f>
        <v>0</v>
      </c>
      <c r="AA1765" s="32" t="n">
        <f aca="false">SUM(R1765:Z1765)</f>
        <v>115.36914</v>
      </c>
      <c r="AB1765" s="33" t="n">
        <f aca="false">INDEX(Premissas!$B$5:$B$13,MATCH(A1765,Premissas!$A$5:$A$13,0))</f>
        <v>0.07</v>
      </c>
      <c r="AC1765" s="32" t="n">
        <f aca="false">AA1765/(1-AB1765)-AA1765</f>
        <v>8.68369870967743</v>
      </c>
      <c r="AD1765" s="32" t="n">
        <f aca="false">ROUND(AA1765+AC1765,2)</f>
        <v>124.05</v>
      </c>
      <c r="AE1765" s="32" t="n">
        <f aca="false">AD1765-L1765</f>
        <v>-26.98</v>
      </c>
      <c r="AF1765" s="34" t="n">
        <f aca="false">IF(L1765=0,0,AE1765/L1765)</f>
        <v>-0.178640005296961</v>
      </c>
      <c r="AG1765" s="22" t="str">
        <f aca="false">IF(AD1765&lt;L1765,"PASSARO","ATUAL")</f>
        <v>PASSARO</v>
      </c>
      <c r="AH1765" s="22" t="str">
        <f aca="false">IF(P1765&lt;&gt;A1765,"Faixa cadastrada como "&amp;P1765&amp;" na tabela; preço aplicado pela UF do CEP","")</f>
        <v/>
      </c>
      <c r="AI1765" s="26" t="n">
        <v>150.13</v>
      </c>
      <c r="AJ1765" s="22" t="str">
        <f aca="false">INDEX('Tabela Passaro'!$X$2:$X$1795,$N1765)</f>
        <v>CAPITAL</v>
      </c>
    </row>
    <row r="1766" customFormat="false" ht="15" hidden="false" customHeight="false" outlineLevel="0" collapsed="false">
      <c r="A1766" s="22" t="s">
        <v>23</v>
      </c>
      <c r="B1766" s="22" t="n">
        <v>1</v>
      </c>
      <c r="C1766" s="22" t="s">
        <v>198</v>
      </c>
      <c r="D1766" s="22" t="s">
        <v>30</v>
      </c>
      <c r="E1766" s="22" t="s">
        <v>7328</v>
      </c>
      <c r="F1766" s="22" t="n">
        <v>2313191</v>
      </c>
      <c r="G1766" s="30" t="n">
        <v>46251</v>
      </c>
      <c r="H1766" s="22" t="n">
        <v>133610</v>
      </c>
      <c r="I1766" s="22" t="s">
        <v>8924</v>
      </c>
      <c r="J1766" s="31" t="n">
        <v>29.2</v>
      </c>
      <c r="K1766" s="26" t="n">
        <v>501.88</v>
      </c>
      <c r="L1766" s="26" t="n">
        <v>115.8</v>
      </c>
      <c r="M1766" s="22" t="s">
        <v>7020</v>
      </c>
      <c r="N1766" s="22" t="n">
        <f aca="false">MATCH(M1766,'Tabela Passaro'!$A$2:$A$1795,0)</f>
        <v>1720</v>
      </c>
      <c r="O1766" s="22" t="str">
        <f aca="false">INDEX('Tabela Passaro'!$C$2:$C$1795,$N1766)</f>
        <v>ARACAJU</v>
      </c>
      <c r="P1766" s="22" t="str">
        <f aca="false">INDEX('Tabela Passaro'!$B$2:$B$1795,$N1766)</f>
        <v>SE</v>
      </c>
      <c r="Q1766" s="22" t="n">
        <f aca="false">INDEX('Tabela Passaro'!$F$2:$F$1795,$N1766)</f>
        <v>7</v>
      </c>
      <c r="R1766" s="32" t="n">
        <f aca="false">IF(J1766&lt;=10,INDEX('Tabela Passaro'!$G$2:$G$1795,$N1766),IF(J1766&lt;=30,INDEX('Tabela Passaro'!$H$2:$H$1795,$N1766),IF(J1766&lt;=50,INDEX('Tabela Passaro'!$I$2:$I$1795,$N1766),IF(J1766&lt;=70,INDEX('Tabela Passaro'!$J$2:$J$1795,$N1766),IF(J1766&lt;=100,INDEX('Tabela Passaro'!$K$2:$K$1795,$N1766),INDEX('Tabela Passaro'!$K$2:$K$1795,$N1766)+(J1766-100)*INDEX('Tabela Passaro'!$L$2:$L$1795,$N1766))))))</f>
        <v>59.04</v>
      </c>
      <c r="S1766" s="32" t="n">
        <f aca="false">K1766*INDEX('Tabela Passaro'!$M$2:$M$1795,$N1766)</f>
        <v>2.5094</v>
      </c>
      <c r="T1766" s="32" t="n">
        <f aca="false">K1766*INDEX('Tabela Passaro'!$N$2:$N$1795,$N1766)</f>
        <v>1.00376</v>
      </c>
      <c r="U1766" s="32" t="n">
        <f aca="false">INDEX('Tabela Passaro'!$O$2:$O$1795,$N1766)</f>
        <v>5</v>
      </c>
      <c r="V1766" s="32" t="n">
        <f aca="false">ROUNDUP(J1766/INDEX('Tabela Passaro'!$Q$2:$Q$1795,$N1766),0)*INDEX('Tabela Passaro'!$P$2:$P$1795,$N1766)</f>
        <v>5</v>
      </c>
      <c r="W1766" s="32" t="n">
        <f aca="false">INDEX('Tabela Passaro'!$R$2:$R$1795,$N1766)</f>
        <v>30</v>
      </c>
      <c r="X1766" s="32" t="n">
        <f aca="false">ROUNDUP(J1766/INDEX('Tabela Passaro'!$T$2:$T$1795,$N1766),0)*INDEX('Tabela Passaro'!$S$2:$S$1795,$N1766)</f>
        <v>0</v>
      </c>
      <c r="Y1766" s="32" t="n">
        <f aca="false">INDEX('Tabela Passaro'!$U$2:$U$1795,$N1766)</f>
        <v>0</v>
      </c>
      <c r="Z1766" s="32" t="n">
        <f aca="false">INDEX('Tabela Passaro'!$V$2:$V$1795,$N1766)</f>
        <v>0</v>
      </c>
      <c r="AA1766" s="32" t="n">
        <f aca="false">SUM(R1766:Z1766)</f>
        <v>102.55316</v>
      </c>
      <c r="AB1766" s="33" t="n">
        <f aca="false">INDEX(Premissas!$B$5:$B$13,MATCH(A1766,Premissas!$A$5:$A$13,0))</f>
        <v>0.07</v>
      </c>
      <c r="AC1766" s="32" t="n">
        <f aca="false">AA1766/(1-AB1766)-AA1766</f>
        <v>7.71905505376346</v>
      </c>
      <c r="AD1766" s="32" t="n">
        <f aca="false">ROUND(AA1766+AC1766,2)</f>
        <v>110.27</v>
      </c>
      <c r="AE1766" s="32" t="n">
        <f aca="false">AD1766-L1766</f>
        <v>-5.53</v>
      </c>
      <c r="AF1766" s="34" t="n">
        <f aca="false">IF(L1766=0,0,AE1766/L1766)</f>
        <v>-0.0477547495682211</v>
      </c>
      <c r="AG1766" s="22" t="str">
        <f aca="false">IF(AD1766&lt;L1766,"PASSARO","ATUAL")</f>
        <v>PASSARO</v>
      </c>
      <c r="AH1766" s="22" t="str">
        <f aca="false">IF(P1766&lt;&gt;A1766,"Faixa cadastrada como "&amp;P1766&amp;" na tabela; preço aplicado pela UF do CEP","")</f>
        <v/>
      </c>
      <c r="AI1766" s="26" t="n">
        <v>131.95</v>
      </c>
      <c r="AJ1766" s="22" t="str">
        <f aca="false">INDEX('Tabela Passaro'!$X$2:$X$1795,$N1766)</f>
        <v>CAPITAL</v>
      </c>
    </row>
    <row r="1767" customFormat="false" ht="15" hidden="false" customHeight="false" outlineLevel="0" collapsed="false">
      <c r="A1767" s="22" t="s">
        <v>23</v>
      </c>
      <c r="B1767" s="22" t="n">
        <v>1</v>
      </c>
      <c r="C1767" s="22" t="s">
        <v>198</v>
      </c>
      <c r="D1767" s="22" t="s">
        <v>30</v>
      </c>
      <c r="E1767" s="22" t="s">
        <v>7326</v>
      </c>
      <c r="F1767" s="22" t="n">
        <v>525362</v>
      </c>
      <c r="G1767" s="30" t="n">
        <v>46251</v>
      </c>
      <c r="H1767" s="22" t="n">
        <v>625352</v>
      </c>
      <c r="I1767" s="22" t="s">
        <v>8925</v>
      </c>
      <c r="J1767" s="31" t="n">
        <v>51.06</v>
      </c>
      <c r="K1767" s="26" t="n">
        <v>917.34</v>
      </c>
      <c r="L1767" s="26" t="n">
        <v>209.73</v>
      </c>
      <c r="M1767" s="22" t="s">
        <v>7020</v>
      </c>
      <c r="N1767" s="22" t="n">
        <f aca="false">MATCH(M1767,'Tabela Passaro'!$A$2:$A$1795,0)</f>
        <v>1720</v>
      </c>
      <c r="O1767" s="22" t="str">
        <f aca="false">INDEX('Tabela Passaro'!$C$2:$C$1795,$N1767)</f>
        <v>ARACAJU</v>
      </c>
      <c r="P1767" s="22" t="str">
        <f aca="false">INDEX('Tabela Passaro'!$B$2:$B$1795,$N1767)</f>
        <v>SE</v>
      </c>
      <c r="Q1767" s="22" t="n">
        <f aca="false">INDEX('Tabela Passaro'!$F$2:$F$1795,$N1767)</f>
        <v>7</v>
      </c>
      <c r="R1767" s="32" t="n">
        <f aca="false">IF(J1767&lt;=10,INDEX('Tabela Passaro'!$G$2:$G$1795,$N1767),IF(J1767&lt;=30,INDEX('Tabela Passaro'!$H$2:$H$1795,$N1767),IF(J1767&lt;=50,INDEX('Tabela Passaro'!$I$2:$I$1795,$N1767),IF(J1767&lt;=70,INDEX('Tabela Passaro'!$J$2:$J$1795,$N1767),IF(J1767&lt;=100,INDEX('Tabela Passaro'!$K$2:$K$1795,$N1767),INDEX('Tabela Passaro'!$K$2:$K$1795,$N1767)+(J1767-100)*INDEX('Tabela Passaro'!$L$2:$L$1795,$N1767))))))</f>
        <v>82.08</v>
      </c>
      <c r="S1767" s="32" t="n">
        <f aca="false">K1767*INDEX('Tabela Passaro'!$M$2:$M$1795,$N1767)</f>
        <v>4.5867</v>
      </c>
      <c r="T1767" s="32" t="n">
        <f aca="false">K1767*INDEX('Tabela Passaro'!$N$2:$N$1795,$N1767)</f>
        <v>1.83468</v>
      </c>
      <c r="U1767" s="32" t="n">
        <f aca="false">INDEX('Tabela Passaro'!$O$2:$O$1795,$N1767)</f>
        <v>5</v>
      </c>
      <c r="V1767" s="32" t="n">
        <f aca="false">ROUNDUP(J1767/INDEX('Tabela Passaro'!$Q$2:$Q$1795,$N1767),0)*INDEX('Tabela Passaro'!$P$2:$P$1795,$N1767)</f>
        <v>5</v>
      </c>
      <c r="W1767" s="32" t="n">
        <f aca="false">INDEX('Tabela Passaro'!$R$2:$R$1795,$N1767)</f>
        <v>30</v>
      </c>
      <c r="X1767" s="32" t="n">
        <f aca="false">ROUNDUP(J1767/INDEX('Tabela Passaro'!$T$2:$T$1795,$N1767),0)*INDEX('Tabela Passaro'!$S$2:$S$1795,$N1767)</f>
        <v>0</v>
      </c>
      <c r="Y1767" s="32" t="n">
        <f aca="false">INDEX('Tabela Passaro'!$U$2:$U$1795,$N1767)</f>
        <v>0</v>
      </c>
      <c r="Z1767" s="32" t="n">
        <f aca="false">INDEX('Tabela Passaro'!$V$2:$V$1795,$N1767)</f>
        <v>0</v>
      </c>
      <c r="AA1767" s="32" t="n">
        <f aca="false">SUM(R1767:Z1767)</f>
        <v>128.50138</v>
      </c>
      <c r="AB1767" s="33" t="n">
        <f aca="false">INDEX(Premissas!$B$5:$B$13,MATCH(A1767,Premissas!$A$5:$A$13,0))</f>
        <v>0.07</v>
      </c>
      <c r="AC1767" s="32" t="n">
        <f aca="false">AA1767/(1-AB1767)-AA1767</f>
        <v>9.67214688172044</v>
      </c>
      <c r="AD1767" s="32" t="n">
        <f aca="false">ROUND(AA1767+AC1767,2)</f>
        <v>138.17</v>
      </c>
      <c r="AE1767" s="32" t="n">
        <f aca="false">AD1767-L1767</f>
        <v>-71.56</v>
      </c>
      <c r="AF1767" s="34" t="n">
        <f aca="false">IF(L1767=0,0,AE1767/L1767)</f>
        <v>-0.341200591236352</v>
      </c>
      <c r="AG1767" s="22" t="str">
        <f aca="false">IF(AD1767&lt;L1767,"PASSARO","ATUAL")</f>
        <v>PASSARO</v>
      </c>
      <c r="AH1767" s="22" t="str">
        <f aca="false">IF(P1767&lt;&gt;A1767,"Faixa cadastrada como "&amp;P1767&amp;" na tabela; preço aplicado pela UF do CEP","")</f>
        <v/>
      </c>
      <c r="AI1767" s="26" t="n">
        <v>171.66</v>
      </c>
      <c r="AJ1767" s="22" t="str">
        <f aca="false">INDEX('Tabela Passaro'!$X$2:$X$1795,$N1767)</f>
        <v>CAPITAL</v>
      </c>
    </row>
    <row r="1768" customFormat="false" ht="15" hidden="false" customHeight="false" outlineLevel="0" collapsed="false">
      <c r="A1768" s="22" t="s">
        <v>23</v>
      </c>
      <c r="B1768" s="22" t="n">
        <v>1</v>
      </c>
      <c r="C1768" s="22" t="s">
        <v>198</v>
      </c>
      <c r="D1768" s="22" t="s">
        <v>30</v>
      </c>
      <c r="E1768" s="22" t="s">
        <v>7328</v>
      </c>
      <c r="F1768" s="22" t="n">
        <v>2313808</v>
      </c>
      <c r="G1768" s="30" t="n">
        <v>46253</v>
      </c>
      <c r="H1768" s="22" t="n">
        <v>133900</v>
      </c>
      <c r="I1768" s="22" t="s">
        <v>8926</v>
      </c>
      <c r="J1768" s="31" t="n">
        <v>39.9</v>
      </c>
      <c r="K1768" s="26" t="n">
        <v>739.38</v>
      </c>
      <c r="L1768" s="26" t="n">
        <v>151.45</v>
      </c>
      <c r="M1768" s="22" t="s">
        <v>7020</v>
      </c>
      <c r="N1768" s="22" t="n">
        <f aca="false">MATCH(M1768,'Tabela Passaro'!$A$2:$A$1795,0)</f>
        <v>1720</v>
      </c>
      <c r="O1768" s="22" t="str">
        <f aca="false">INDEX('Tabela Passaro'!$C$2:$C$1795,$N1768)</f>
        <v>ARACAJU</v>
      </c>
      <c r="P1768" s="22" t="str">
        <f aca="false">INDEX('Tabela Passaro'!$B$2:$B$1795,$N1768)</f>
        <v>SE</v>
      </c>
      <c r="Q1768" s="22" t="n">
        <f aca="false">INDEX('Tabela Passaro'!$F$2:$F$1795,$N1768)</f>
        <v>7</v>
      </c>
      <c r="R1768" s="32" t="n">
        <f aca="false">IF(J1768&lt;=10,INDEX('Tabela Passaro'!$G$2:$G$1795,$N1768),IF(J1768&lt;=30,INDEX('Tabela Passaro'!$H$2:$H$1795,$N1768),IF(J1768&lt;=50,INDEX('Tabela Passaro'!$I$2:$I$1795,$N1768),IF(J1768&lt;=70,INDEX('Tabela Passaro'!$J$2:$J$1795,$N1768),IF(J1768&lt;=100,INDEX('Tabela Passaro'!$K$2:$K$1795,$N1768),INDEX('Tabela Passaro'!$K$2:$K$1795,$N1768)+(J1768-100)*INDEX('Tabela Passaro'!$L$2:$L$1795,$N1768))))))</f>
        <v>70.56</v>
      </c>
      <c r="S1768" s="32" t="n">
        <f aca="false">K1768*INDEX('Tabela Passaro'!$M$2:$M$1795,$N1768)</f>
        <v>3.6969</v>
      </c>
      <c r="T1768" s="32" t="n">
        <f aca="false">K1768*INDEX('Tabela Passaro'!$N$2:$N$1795,$N1768)</f>
        <v>1.47876</v>
      </c>
      <c r="U1768" s="32" t="n">
        <f aca="false">INDEX('Tabela Passaro'!$O$2:$O$1795,$N1768)</f>
        <v>5</v>
      </c>
      <c r="V1768" s="32" t="n">
        <f aca="false">ROUNDUP(J1768/INDEX('Tabela Passaro'!$Q$2:$Q$1795,$N1768),0)*INDEX('Tabela Passaro'!$P$2:$P$1795,$N1768)</f>
        <v>5</v>
      </c>
      <c r="W1768" s="32" t="n">
        <f aca="false">INDEX('Tabela Passaro'!$R$2:$R$1795,$N1768)</f>
        <v>30</v>
      </c>
      <c r="X1768" s="32" t="n">
        <f aca="false">ROUNDUP(J1768/INDEX('Tabela Passaro'!$T$2:$T$1795,$N1768),0)*INDEX('Tabela Passaro'!$S$2:$S$1795,$N1768)</f>
        <v>0</v>
      </c>
      <c r="Y1768" s="32" t="n">
        <f aca="false">INDEX('Tabela Passaro'!$U$2:$U$1795,$N1768)</f>
        <v>0</v>
      </c>
      <c r="Z1768" s="32" t="n">
        <f aca="false">INDEX('Tabela Passaro'!$V$2:$V$1795,$N1768)</f>
        <v>0</v>
      </c>
      <c r="AA1768" s="32" t="n">
        <f aca="false">SUM(R1768:Z1768)</f>
        <v>115.73566</v>
      </c>
      <c r="AB1768" s="33" t="n">
        <f aca="false">INDEX(Premissas!$B$5:$B$13,MATCH(A1768,Premissas!$A$5:$A$13,0))</f>
        <v>0.07</v>
      </c>
      <c r="AC1768" s="32" t="n">
        <f aca="false">AA1768/(1-AB1768)-AA1768</f>
        <v>8.71128623655915</v>
      </c>
      <c r="AD1768" s="32" t="n">
        <f aca="false">ROUND(AA1768+AC1768,2)</f>
        <v>124.45</v>
      </c>
      <c r="AE1768" s="32" t="n">
        <f aca="false">AD1768-L1768</f>
        <v>-27</v>
      </c>
      <c r="AF1768" s="34" t="n">
        <f aca="false">IF(L1768=0,0,AE1768/L1768)</f>
        <v>-0.178276658963354</v>
      </c>
      <c r="AG1768" s="22" t="str">
        <f aca="false">IF(AD1768&lt;L1768,"PASSARO","ATUAL")</f>
        <v>PASSARO</v>
      </c>
      <c r="AH1768" s="22" t="str">
        <f aca="false">IF(P1768&lt;&gt;A1768,"Faixa cadastrada como "&amp;P1768&amp;" na tabela; preço aplicado pela UF do CEP","")</f>
        <v/>
      </c>
      <c r="AI1768" s="26" t="n">
        <v>151.61</v>
      </c>
      <c r="AJ1768" s="22" t="str">
        <f aca="false">INDEX('Tabela Passaro'!$X$2:$X$1795,$N1768)</f>
        <v>CAPITAL</v>
      </c>
    </row>
    <row r="1769" customFormat="false" ht="15" hidden="false" customHeight="false" outlineLevel="0" collapsed="false">
      <c r="A1769" s="22" t="s">
        <v>23</v>
      </c>
      <c r="B1769" s="22" t="n">
        <v>1</v>
      </c>
      <c r="C1769" s="22" t="s">
        <v>198</v>
      </c>
      <c r="D1769" s="22" t="s">
        <v>30</v>
      </c>
      <c r="E1769" s="22" t="s">
        <v>7326</v>
      </c>
      <c r="F1769" s="22" t="n">
        <v>526043</v>
      </c>
      <c r="G1769" s="30" t="n">
        <v>46253</v>
      </c>
      <c r="H1769" s="22" t="n">
        <v>625928</v>
      </c>
      <c r="I1769" s="22" t="s">
        <v>8927</v>
      </c>
      <c r="J1769" s="31" t="n">
        <v>119.8</v>
      </c>
      <c r="K1769" s="26" t="n">
        <v>1719.47</v>
      </c>
      <c r="L1769" s="26" t="n">
        <v>341.14</v>
      </c>
      <c r="M1769" s="22" t="s">
        <v>7020</v>
      </c>
      <c r="N1769" s="22" t="n">
        <f aca="false">MATCH(M1769,'Tabela Passaro'!$A$2:$A$1795,0)</f>
        <v>1720</v>
      </c>
      <c r="O1769" s="22" t="str">
        <f aca="false">INDEX('Tabela Passaro'!$C$2:$C$1795,$N1769)</f>
        <v>ARACAJU</v>
      </c>
      <c r="P1769" s="22" t="str">
        <f aca="false">INDEX('Tabela Passaro'!$B$2:$B$1795,$N1769)</f>
        <v>SE</v>
      </c>
      <c r="Q1769" s="22" t="n">
        <f aca="false">INDEX('Tabela Passaro'!$F$2:$F$1795,$N1769)</f>
        <v>7</v>
      </c>
      <c r="R1769" s="32" t="n">
        <f aca="false">IF(J1769&lt;=10,INDEX('Tabela Passaro'!$G$2:$G$1795,$N1769),IF(J1769&lt;=30,INDEX('Tabela Passaro'!$H$2:$H$1795,$N1769),IF(J1769&lt;=50,INDEX('Tabela Passaro'!$I$2:$I$1795,$N1769),IF(J1769&lt;=70,INDEX('Tabela Passaro'!$J$2:$J$1795,$N1769),IF(J1769&lt;=100,INDEX('Tabela Passaro'!$K$2:$K$1795,$N1769),INDEX('Tabela Passaro'!$K$2:$K$1795,$N1769)+(J1769-100)*INDEX('Tabela Passaro'!$L$2:$L$1795,$N1769))))))</f>
        <v>127.476</v>
      </c>
      <c r="S1769" s="32" t="n">
        <f aca="false">K1769*INDEX('Tabela Passaro'!$M$2:$M$1795,$N1769)</f>
        <v>8.59735</v>
      </c>
      <c r="T1769" s="32" t="n">
        <f aca="false">K1769*INDEX('Tabela Passaro'!$N$2:$N$1795,$N1769)</f>
        <v>3.43894</v>
      </c>
      <c r="U1769" s="32" t="n">
        <f aca="false">INDEX('Tabela Passaro'!$O$2:$O$1795,$N1769)</f>
        <v>5</v>
      </c>
      <c r="V1769" s="32" t="n">
        <f aca="false">ROUNDUP(J1769/INDEX('Tabela Passaro'!$Q$2:$Q$1795,$N1769),0)*INDEX('Tabela Passaro'!$P$2:$P$1795,$N1769)</f>
        <v>10</v>
      </c>
      <c r="W1769" s="32" t="n">
        <f aca="false">INDEX('Tabela Passaro'!$R$2:$R$1795,$N1769)</f>
        <v>30</v>
      </c>
      <c r="X1769" s="32" t="n">
        <f aca="false">ROUNDUP(J1769/INDEX('Tabela Passaro'!$T$2:$T$1795,$N1769),0)*INDEX('Tabela Passaro'!$S$2:$S$1795,$N1769)</f>
        <v>0</v>
      </c>
      <c r="Y1769" s="32" t="n">
        <f aca="false">INDEX('Tabela Passaro'!$U$2:$U$1795,$N1769)</f>
        <v>0</v>
      </c>
      <c r="Z1769" s="32" t="n">
        <f aca="false">INDEX('Tabela Passaro'!$V$2:$V$1795,$N1769)</f>
        <v>0</v>
      </c>
      <c r="AA1769" s="32" t="n">
        <f aca="false">SUM(R1769:Z1769)</f>
        <v>184.51229</v>
      </c>
      <c r="AB1769" s="33" t="n">
        <f aca="false">INDEX(Premissas!$B$5:$B$13,MATCH(A1769,Premissas!$A$5:$A$13,0))</f>
        <v>0.07</v>
      </c>
      <c r="AC1769" s="32" t="n">
        <f aca="false">AA1769/(1-AB1769)-AA1769</f>
        <v>13.888021827957</v>
      </c>
      <c r="AD1769" s="32" t="n">
        <f aca="false">ROUND(AA1769+AC1769,2)</f>
        <v>198.4</v>
      </c>
      <c r="AE1769" s="32" t="n">
        <f aca="false">AD1769-L1769</f>
        <v>-142.74</v>
      </c>
      <c r="AF1769" s="34" t="n">
        <f aca="false">IF(L1769=0,0,AE1769/L1769)</f>
        <v>-0.418420589787184</v>
      </c>
      <c r="AG1769" s="22" t="str">
        <f aca="false">IF(AD1769&lt;L1769,"PASSARO","ATUAL")</f>
        <v>PASSARO</v>
      </c>
      <c r="AH1769" s="22" t="str">
        <f aca="false">IF(P1769&lt;&gt;A1769,"Faixa cadastrada como "&amp;P1769&amp;" na tabela; preço aplicado pela UF do CEP","")</f>
        <v/>
      </c>
      <c r="AI1769" s="26" t="n">
        <v>270.55</v>
      </c>
      <c r="AJ1769" s="22" t="str">
        <f aca="false">INDEX('Tabela Passaro'!$X$2:$X$1795,$N1769)</f>
        <v>CAPITAL</v>
      </c>
    </row>
    <row r="1770" customFormat="false" ht="15" hidden="false" customHeight="false" outlineLevel="0" collapsed="false">
      <c r="A1770" s="22" t="s">
        <v>23</v>
      </c>
      <c r="B1770" s="22" t="n">
        <v>1</v>
      </c>
      <c r="C1770" s="22" t="s">
        <v>198</v>
      </c>
      <c r="D1770" s="22" t="s">
        <v>30</v>
      </c>
      <c r="E1770" s="22" t="s">
        <v>7326</v>
      </c>
      <c r="F1770" s="22" t="n">
        <v>526045</v>
      </c>
      <c r="G1770" s="30" t="n">
        <v>46253</v>
      </c>
      <c r="H1770" s="22" t="n">
        <v>625930</v>
      </c>
      <c r="I1770" s="22" t="s">
        <v>8928</v>
      </c>
      <c r="J1770" s="31" t="n">
        <v>73.1</v>
      </c>
      <c r="K1770" s="26" t="n">
        <v>1138.02</v>
      </c>
      <c r="L1770" s="26" t="n">
        <v>272.87</v>
      </c>
      <c r="M1770" s="22" t="s">
        <v>7020</v>
      </c>
      <c r="N1770" s="22" t="n">
        <f aca="false">MATCH(M1770,'Tabela Passaro'!$A$2:$A$1795,0)</f>
        <v>1720</v>
      </c>
      <c r="O1770" s="22" t="str">
        <f aca="false">INDEX('Tabela Passaro'!$C$2:$C$1795,$N1770)</f>
        <v>ARACAJU</v>
      </c>
      <c r="P1770" s="22" t="str">
        <f aca="false">INDEX('Tabela Passaro'!$B$2:$B$1795,$N1770)</f>
        <v>SE</v>
      </c>
      <c r="Q1770" s="22" t="n">
        <f aca="false">INDEX('Tabela Passaro'!$F$2:$F$1795,$N1770)</f>
        <v>7</v>
      </c>
      <c r="R1770" s="32" t="n">
        <f aca="false">IF(J1770&lt;=10,INDEX('Tabela Passaro'!$G$2:$G$1795,$N1770),IF(J1770&lt;=30,INDEX('Tabela Passaro'!$H$2:$H$1795,$N1770),IF(J1770&lt;=50,INDEX('Tabela Passaro'!$I$2:$I$1795,$N1770),IF(J1770&lt;=70,INDEX('Tabela Passaro'!$J$2:$J$1795,$N1770),IF(J1770&lt;=100,INDEX('Tabela Passaro'!$K$2:$K$1795,$N1770),INDEX('Tabela Passaro'!$K$2:$K$1795,$N1770)+(J1770-100)*INDEX('Tabela Passaro'!$L$2:$L$1795,$N1770))))))</f>
        <v>99.36</v>
      </c>
      <c r="S1770" s="32" t="n">
        <f aca="false">K1770*INDEX('Tabela Passaro'!$M$2:$M$1795,$N1770)</f>
        <v>5.6901</v>
      </c>
      <c r="T1770" s="32" t="n">
        <f aca="false">K1770*INDEX('Tabela Passaro'!$N$2:$N$1795,$N1770)</f>
        <v>2.27604</v>
      </c>
      <c r="U1770" s="32" t="n">
        <f aca="false">INDEX('Tabela Passaro'!$O$2:$O$1795,$N1770)</f>
        <v>5</v>
      </c>
      <c r="V1770" s="32" t="n">
        <f aca="false">ROUNDUP(J1770/INDEX('Tabela Passaro'!$Q$2:$Q$1795,$N1770),0)*INDEX('Tabela Passaro'!$P$2:$P$1795,$N1770)</f>
        <v>5</v>
      </c>
      <c r="W1770" s="32" t="n">
        <f aca="false">INDEX('Tabela Passaro'!$R$2:$R$1795,$N1770)</f>
        <v>30</v>
      </c>
      <c r="X1770" s="32" t="n">
        <f aca="false">ROUNDUP(J1770/INDEX('Tabela Passaro'!$T$2:$T$1795,$N1770),0)*INDEX('Tabela Passaro'!$S$2:$S$1795,$N1770)</f>
        <v>0</v>
      </c>
      <c r="Y1770" s="32" t="n">
        <f aca="false">INDEX('Tabela Passaro'!$U$2:$U$1795,$N1770)</f>
        <v>0</v>
      </c>
      <c r="Z1770" s="32" t="n">
        <f aca="false">INDEX('Tabela Passaro'!$V$2:$V$1795,$N1770)</f>
        <v>0</v>
      </c>
      <c r="AA1770" s="32" t="n">
        <f aca="false">SUM(R1770:Z1770)</f>
        <v>147.32614</v>
      </c>
      <c r="AB1770" s="33" t="n">
        <f aca="false">INDEX(Premissas!$B$5:$B$13,MATCH(A1770,Premissas!$A$5:$A$13,0))</f>
        <v>0.07</v>
      </c>
      <c r="AC1770" s="32" t="n">
        <f aca="false">AA1770/(1-AB1770)-AA1770</f>
        <v>11.0890643010753</v>
      </c>
      <c r="AD1770" s="32" t="n">
        <f aca="false">ROUND(AA1770+AC1770,2)</f>
        <v>158.42</v>
      </c>
      <c r="AE1770" s="32" t="n">
        <f aca="false">AD1770-L1770</f>
        <v>-114.45</v>
      </c>
      <c r="AF1770" s="34" t="n">
        <f aca="false">IF(L1770=0,0,AE1770/L1770)</f>
        <v>-0.419430498039359</v>
      </c>
      <c r="AG1770" s="22" t="str">
        <f aca="false">IF(AD1770&lt;L1770,"PASSARO","ATUAL")</f>
        <v>PASSARO</v>
      </c>
      <c r="AH1770" s="22" t="str">
        <f aca="false">IF(P1770&lt;&gt;A1770,"Faixa cadastrada como "&amp;P1770&amp;" na tabela; preço aplicado pela UF do CEP","")</f>
        <v/>
      </c>
      <c r="AI1770" s="26" t="n">
        <v>203.23</v>
      </c>
      <c r="AJ1770" s="22" t="str">
        <f aca="false">INDEX('Tabela Passaro'!$X$2:$X$1795,$N1770)</f>
        <v>CAPITAL</v>
      </c>
    </row>
    <row r="1771" customFormat="false" ht="15" hidden="false" customHeight="false" outlineLevel="0" collapsed="false">
      <c r="A1771" s="22" t="s">
        <v>23</v>
      </c>
      <c r="B1771" s="22" t="n">
        <v>1</v>
      </c>
      <c r="C1771" s="22" t="s">
        <v>198</v>
      </c>
      <c r="D1771" s="22" t="s">
        <v>30</v>
      </c>
      <c r="E1771" s="22" t="s">
        <v>7328</v>
      </c>
      <c r="F1771" s="22" t="n">
        <v>2314456</v>
      </c>
      <c r="G1771" s="30" t="n">
        <v>46254</v>
      </c>
      <c r="H1771" s="22" t="n">
        <v>134282</v>
      </c>
      <c r="I1771" s="22" t="s">
        <v>8929</v>
      </c>
      <c r="J1771" s="31" t="n">
        <v>46.8</v>
      </c>
      <c r="K1771" s="26" t="n">
        <v>783.48</v>
      </c>
      <c r="L1771" s="26" t="n">
        <v>151.79</v>
      </c>
      <c r="M1771" s="22" t="s">
        <v>7020</v>
      </c>
      <c r="N1771" s="22" t="n">
        <f aca="false">MATCH(M1771,'Tabela Passaro'!$A$2:$A$1795,0)</f>
        <v>1720</v>
      </c>
      <c r="O1771" s="22" t="str">
        <f aca="false">INDEX('Tabela Passaro'!$C$2:$C$1795,$N1771)</f>
        <v>ARACAJU</v>
      </c>
      <c r="P1771" s="22" t="str">
        <f aca="false">INDEX('Tabela Passaro'!$B$2:$B$1795,$N1771)</f>
        <v>SE</v>
      </c>
      <c r="Q1771" s="22" t="n">
        <f aca="false">INDEX('Tabela Passaro'!$F$2:$F$1795,$N1771)</f>
        <v>7</v>
      </c>
      <c r="R1771" s="32" t="n">
        <f aca="false">IF(J1771&lt;=10,INDEX('Tabela Passaro'!$G$2:$G$1795,$N1771),IF(J1771&lt;=30,INDEX('Tabela Passaro'!$H$2:$H$1795,$N1771),IF(J1771&lt;=50,INDEX('Tabela Passaro'!$I$2:$I$1795,$N1771),IF(J1771&lt;=70,INDEX('Tabela Passaro'!$J$2:$J$1795,$N1771),IF(J1771&lt;=100,INDEX('Tabela Passaro'!$K$2:$K$1795,$N1771),INDEX('Tabela Passaro'!$K$2:$K$1795,$N1771)+(J1771-100)*INDEX('Tabela Passaro'!$L$2:$L$1795,$N1771))))))</f>
        <v>70.56</v>
      </c>
      <c r="S1771" s="32" t="n">
        <f aca="false">K1771*INDEX('Tabela Passaro'!$M$2:$M$1795,$N1771)</f>
        <v>3.9174</v>
      </c>
      <c r="T1771" s="32" t="n">
        <f aca="false">K1771*INDEX('Tabela Passaro'!$N$2:$N$1795,$N1771)</f>
        <v>1.56696</v>
      </c>
      <c r="U1771" s="32" t="n">
        <f aca="false">INDEX('Tabela Passaro'!$O$2:$O$1795,$N1771)</f>
        <v>5</v>
      </c>
      <c r="V1771" s="32" t="n">
        <f aca="false">ROUNDUP(J1771/INDEX('Tabela Passaro'!$Q$2:$Q$1795,$N1771),0)*INDEX('Tabela Passaro'!$P$2:$P$1795,$N1771)</f>
        <v>5</v>
      </c>
      <c r="W1771" s="32" t="n">
        <f aca="false">INDEX('Tabela Passaro'!$R$2:$R$1795,$N1771)</f>
        <v>30</v>
      </c>
      <c r="X1771" s="32" t="n">
        <f aca="false">ROUNDUP(J1771/INDEX('Tabela Passaro'!$T$2:$T$1795,$N1771),0)*INDEX('Tabela Passaro'!$S$2:$S$1795,$N1771)</f>
        <v>0</v>
      </c>
      <c r="Y1771" s="32" t="n">
        <f aca="false">INDEX('Tabela Passaro'!$U$2:$U$1795,$N1771)</f>
        <v>0</v>
      </c>
      <c r="Z1771" s="32" t="n">
        <f aca="false">INDEX('Tabela Passaro'!$V$2:$V$1795,$N1771)</f>
        <v>0</v>
      </c>
      <c r="AA1771" s="32" t="n">
        <f aca="false">SUM(R1771:Z1771)</f>
        <v>116.04436</v>
      </c>
      <c r="AB1771" s="33" t="n">
        <f aca="false">INDEX(Premissas!$B$5:$B$13,MATCH(A1771,Premissas!$A$5:$A$13,0))</f>
        <v>0.07</v>
      </c>
      <c r="AC1771" s="32" t="n">
        <f aca="false">AA1771/(1-AB1771)-AA1771</f>
        <v>8.73452172043011</v>
      </c>
      <c r="AD1771" s="32" t="n">
        <f aca="false">ROUND(AA1771+AC1771,2)</f>
        <v>124.78</v>
      </c>
      <c r="AE1771" s="32" t="n">
        <f aca="false">AD1771-L1771</f>
        <v>-27.01</v>
      </c>
      <c r="AF1771" s="34" t="n">
        <f aca="false">IF(L1771=0,0,AE1771/L1771)</f>
        <v>-0.177943211015218</v>
      </c>
      <c r="AG1771" s="22" t="str">
        <f aca="false">IF(AD1771&lt;L1771,"PASSARO","ATUAL")</f>
        <v>PASSARO</v>
      </c>
      <c r="AH1771" s="22" t="str">
        <f aca="false">IF(P1771&lt;&gt;A1771,"Faixa cadastrada como "&amp;P1771&amp;" na tabela; preço aplicado pela UF do CEP","")</f>
        <v/>
      </c>
      <c r="AI1771" s="26" t="n">
        <v>155.42</v>
      </c>
      <c r="AJ1771" s="22" t="str">
        <f aca="false">INDEX('Tabela Passaro'!$X$2:$X$1795,$N1771)</f>
        <v>CAPITAL</v>
      </c>
    </row>
    <row r="1772" customFormat="false" ht="15" hidden="false" customHeight="false" outlineLevel="0" collapsed="false">
      <c r="A1772" s="22" t="s">
        <v>23</v>
      </c>
      <c r="B1772" s="22" t="n">
        <v>1</v>
      </c>
      <c r="C1772" s="22" t="s">
        <v>198</v>
      </c>
      <c r="D1772" s="22" t="s">
        <v>30</v>
      </c>
      <c r="E1772" s="22" t="s">
        <v>20</v>
      </c>
      <c r="F1772" s="22" t="n">
        <v>839930</v>
      </c>
      <c r="G1772" s="30" t="n">
        <v>46258</v>
      </c>
      <c r="H1772" s="22" t="n">
        <v>32617</v>
      </c>
      <c r="I1772" s="22" t="s">
        <v>8930</v>
      </c>
      <c r="J1772" s="31" t="n">
        <v>22.3</v>
      </c>
      <c r="K1772" s="26" t="n">
        <v>598.83</v>
      </c>
      <c r="L1772" s="26" t="n">
        <v>108.49</v>
      </c>
      <c r="M1772" s="22" t="s">
        <v>7020</v>
      </c>
      <c r="N1772" s="22" t="n">
        <f aca="false">MATCH(M1772,'Tabela Passaro'!$A$2:$A$1795,0)</f>
        <v>1720</v>
      </c>
      <c r="O1772" s="22" t="str">
        <f aca="false">INDEX('Tabela Passaro'!$C$2:$C$1795,$N1772)</f>
        <v>ARACAJU</v>
      </c>
      <c r="P1772" s="22" t="str">
        <f aca="false">INDEX('Tabela Passaro'!$B$2:$B$1795,$N1772)</f>
        <v>SE</v>
      </c>
      <c r="Q1772" s="22" t="n">
        <f aca="false">INDEX('Tabela Passaro'!$F$2:$F$1795,$N1772)</f>
        <v>7</v>
      </c>
      <c r="R1772" s="32" t="n">
        <f aca="false">IF(J1772&lt;=10,INDEX('Tabela Passaro'!$G$2:$G$1795,$N1772),IF(J1772&lt;=30,INDEX('Tabela Passaro'!$H$2:$H$1795,$N1772),IF(J1772&lt;=50,INDEX('Tabela Passaro'!$I$2:$I$1795,$N1772),IF(J1772&lt;=70,INDEX('Tabela Passaro'!$J$2:$J$1795,$N1772),IF(J1772&lt;=100,INDEX('Tabela Passaro'!$K$2:$K$1795,$N1772),INDEX('Tabela Passaro'!$K$2:$K$1795,$N1772)+(J1772-100)*INDEX('Tabela Passaro'!$L$2:$L$1795,$N1772))))))</f>
        <v>59.04</v>
      </c>
      <c r="S1772" s="32" t="n">
        <f aca="false">K1772*INDEX('Tabela Passaro'!$M$2:$M$1795,$N1772)</f>
        <v>2.99415</v>
      </c>
      <c r="T1772" s="32" t="n">
        <f aca="false">K1772*INDEX('Tabela Passaro'!$N$2:$N$1795,$N1772)</f>
        <v>1.19766</v>
      </c>
      <c r="U1772" s="32" t="n">
        <f aca="false">INDEX('Tabela Passaro'!$O$2:$O$1795,$N1772)</f>
        <v>5</v>
      </c>
      <c r="V1772" s="32" t="n">
        <f aca="false">ROUNDUP(J1772/INDEX('Tabela Passaro'!$Q$2:$Q$1795,$N1772),0)*INDEX('Tabela Passaro'!$P$2:$P$1795,$N1772)</f>
        <v>5</v>
      </c>
      <c r="W1772" s="32" t="n">
        <f aca="false">INDEX('Tabela Passaro'!$R$2:$R$1795,$N1772)</f>
        <v>30</v>
      </c>
      <c r="X1772" s="32" t="n">
        <f aca="false">ROUNDUP(J1772/INDEX('Tabela Passaro'!$T$2:$T$1795,$N1772),0)*INDEX('Tabela Passaro'!$S$2:$S$1795,$N1772)</f>
        <v>0</v>
      </c>
      <c r="Y1772" s="32" t="n">
        <f aca="false">INDEX('Tabela Passaro'!$U$2:$U$1795,$N1772)</f>
        <v>0</v>
      </c>
      <c r="Z1772" s="32" t="n">
        <f aca="false">INDEX('Tabela Passaro'!$V$2:$V$1795,$N1772)</f>
        <v>0</v>
      </c>
      <c r="AA1772" s="32" t="n">
        <f aca="false">SUM(R1772:Z1772)</f>
        <v>103.23181</v>
      </c>
      <c r="AB1772" s="33" t="n">
        <f aca="false">INDEX(Premissas!$B$5:$B$13,MATCH(A1772,Premissas!$A$5:$A$13,0))</f>
        <v>0.07</v>
      </c>
      <c r="AC1772" s="32" t="n">
        <f aca="false">AA1772/(1-AB1772)-AA1772</f>
        <v>7.77013623655915</v>
      </c>
      <c r="AD1772" s="32" t="n">
        <f aca="false">ROUND(AA1772+AC1772,2)</f>
        <v>111</v>
      </c>
      <c r="AE1772" s="32" t="n">
        <f aca="false">AD1772-L1772</f>
        <v>2.51000000000001</v>
      </c>
      <c r="AF1772" s="34" t="n">
        <f aca="false">IF(L1772=0,0,AE1772/L1772)</f>
        <v>0.0231357728822934</v>
      </c>
      <c r="AG1772" s="22" t="str">
        <f aca="false">IF(AD1772&lt;L1772,"PASSARO","ATUAL")</f>
        <v>ATUAL</v>
      </c>
      <c r="AH1772" s="22" t="str">
        <f aca="false">IF(P1772&lt;&gt;A1772,"Faixa cadastrada como "&amp;P1772&amp;" na tabela; preço aplicado pela UF do CEP","")</f>
        <v/>
      </c>
      <c r="AI1772" s="26" t="n">
        <v>129.5</v>
      </c>
      <c r="AJ1772" s="22" t="str">
        <f aca="false">INDEX('Tabela Passaro'!$X$2:$X$1795,$N1772)</f>
        <v>CAPITAL</v>
      </c>
    </row>
    <row r="1773" customFormat="false" ht="15" hidden="false" customHeight="false" outlineLevel="0" collapsed="false">
      <c r="A1773" s="22" t="s">
        <v>23</v>
      </c>
      <c r="B1773" s="22" t="n">
        <v>1</v>
      </c>
      <c r="C1773" s="22" t="s">
        <v>198</v>
      </c>
      <c r="D1773" s="22" t="s">
        <v>30</v>
      </c>
      <c r="E1773" s="22" t="s">
        <v>7328</v>
      </c>
      <c r="F1773" s="22" t="n">
        <v>2315723</v>
      </c>
      <c r="G1773" s="30" t="n">
        <v>46258</v>
      </c>
      <c r="H1773" s="22" t="n">
        <v>134447</v>
      </c>
      <c r="I1773" s="22" t="s">
        <v>8931</v>
      </c>
      <c r="J1773" s="31" t="n">
        <v>51.06</v>
      </c>
      <c r="K1773" s="26" t="n">
        <v>936.84</v>
      </c>
      <c r="L1773" s="26" t="n">
        <v>178.32</v>
      </c>
      <c r="M1773" s="22" t="s">
        <v>7020</v>
      </c>
      <c r="N1773" s="22" t="n">
        <f aca="false">MATCH(M1773,'Tabela Passaro'!$A$2:$A$1795,0)</f>
        <v>1720</v>
      </c>
      <c r="O1773" s="22" t="str">
        <f aca="false">INDEX('Tabela Passaro'!$C$2:$C$1795,$N1773)</f>
        <v>ARACAJU</v>
      </c>
      <c r="P1773" s="22" t="str">
        <f aca="false">INDEX('Tabela Passaro'!$B$2:$B$1795,$N1773)</f>
        <v>SE</v>
      </c>
      <c r="Q1773" s="22" t="n">
        <f aca="false">INDEX('Tabela Passaro'!$F$2:$F$1795,$N1773)</f>
        <v>7</v>
      </c>
      <c r="R1773" s="32" t="n">
        <f aca="false">IF(J1773&lt;=10,INDEX('Tabela Passaro'!$G$2:$G$1795,$N1773),IF(J1773&lt;=30,INDEX('Tabela Passaro'!$H$2:$H$1795,$N1773),IF(J1773&lt;=50,INDEX('Tabela Passaro'!$I$2:$I$1795,$N1773),IF(J1773&lt;=70,INDEX('Tabela Passaro'!$J$2:$J$1795,$N1773),IF(J1773&lt;=100,INDEX('Tabela Passaro'!$K$2:$K$1795,$N1773),INDEX('Tabela Passaro'!$K$2:$K$1795,$N1773)+(J1773-100)*INDEX('Tabela Passaro'!$L$2:$L$1795,$N1773))))))</f>
        <v>82.08</v>
      </c>
      <c r="S1773" s="32" t="n">
        <f aca="false">K1773*INDEX('Tabela Passaro'!$M$2:$M$1795,$N1773)</f>
        <v>4.6842</v>
      </c>
      <c r="T1773" s="32" t="n">
        <f aca="false">K1773*INDEX('Tabela Passaro'!$N$2:$N$1795,$N1773)</f>
        <v>1.87368</v>
      </c>
      <c r="U1773" s="32" t="n">
        <f aca="false">INDEX('Tabela Passaro'!$O$2:$O$1795,$N1773)</f>
        <v>5</v>
      </c>
      <c r="V1773" s="32" t="n">
        <f aca="false">ROUNDUP(J1773/INDEX('Tabela Passaro'!$Q$2:$Q$1795,$N1773),0)*INDEX('Tabela Passaro'!$P$2:$P$1795,$N1773)</f>
        <v>5</v>
      </c>
      <c r="W1773" s="32" t="n">
        <f aca="false">INDEX('Tabela Passaro'!$R$2:$R$1795,$N1773)</f>
        <v>30</v>
      </c>
      <c r="X1773" s="32" t="n">
        <f aca="false">ROUNDUP(J1773/INDEX('Tabela Passaro'!$T$2:$T$1795,$N1773),0)*INDEX('Tabela Passaro'!$S$2:$S$1795,$N1773)</f>
        <v>0</v>
      </c>
      <c r="Y1773" s="32" t="n">
        <f aca="false">INDEX('Tabela Passaro'!$U$2:$U$1795,$N1773)</f>
        <v>0</v>
      </c>
      <c r="Z1773" s="32" t="n">
        <f aca="false">INDEX('Tabela Passaro'!$V$2:$V$1795,$N1773)</f>
        <v>0</v>
      </c>
      <c r="AA1773" s="32" t="n">
        <f aca="false">SUM(R1773:Z1773)</f>
        <v>128.63788</v>
      </c>
      <c r="AB1773" s="33" t="n">
        <f aca="false">INDEX(Premissas!$B$5:$B$13,MATCH(A1773,Premissas!$A$5:$A$13,0))</f>
        <v>0.07</v>
      </c>
      <c r="AC1773" s="32" t="n">
        <f aca="false">AA1773/(1-AB1773)-AA1773</f>
        <v>9.68242107526882</v>
      </c>
      <c r="AD1773" s="32" t="n">
        <f aca="false">ROUND(AA1773+AC1773,2)</f>
        <v>138.32</v>
      </c>
      <c r="AE1773" s="32" t="n">
        <f aca="false">AD1773-L1773</f>
        <v>-40</v>
      </c>
      <c r="AF1773" s="34" t="n">
        <f aca="false">IF(L1773=0,0,AE1773/L1773)</f>
        <v>-0.224315836698071</v>
      </c>
      <c r="AG1773" s="22" t="str">
        <f aca="false">IF(AD1773&lt;L1773,"PASSARO","ATUAL")</f>
        <v>PASSARO</v>
      </c>
      <c r="AH1773" s="22" t="str">
        <f aca="false">IF(P1773&lt;&gt;A1773,"Faixa cadastrada como "&amp;P1773&amp;" na tabela; preço aplicado pela UF do CEP","")</f>
        <v/>
      </c>
      <c r="AI1773" s="26" t="n">
        <v>171.85</v>
      </c>
      <c r="AJ1773" s="22" t="str">
        <f aca="false">INDEX('Tabela Passaro'!$X$2:$X$1795,$N1773)</f>
        <v>CAPITAL</v>
      </c>
    </row>
    <row r="1774" customFormat="false" ht="15" hidden="false" customHeight="false" outlineLevel="0" collapsed="false">
      <c r="A1774" s="22" t="s">
        <v>23</v>
      </c>
      <c r="B1774" s="22" t="n">
        <v>1</v>
      </c>
      <c r="C1774" s="22" t="s">
        <v>198</v>
      </c>
      <c r="D1774" s="22" t="s">
        <v>30</v>
      </c>
      <c r="E1774" s="22" t="s">
        <v>7328</v>
      </c>
      <c r="F1774" s="22" t="n">
        <v>2315725</v>
      </c>
      <c r="G1774" s="30" t="n">
        <v>46258</v>
      </c>
      <c r="H1774" s="22" t="n">
        <v>134901</v>
      </c>
      <c r="I1774" s="22" t="s">
        <v>8932</v>
      </c>
      <c r="J1774" s="31" t="n">
        <v>39.76</v>
      </c>
      <c r="K1774" s="26" t="n">
        <v>779.66</v>
      </c>
      <c r="L1774" s="26" t="n">
        <v>151.76</v>
      </c>
      <c r="M1774" s="22" t="s">
        <v>7020</v>
      </c>
      <c r="N1774" s="22" t="n">
        <f aca="false">MATCH(M1774,'Tabela Passaro'!$A$2:$A$1795,0)</f>
        <v>1720</v>
      </c>
      <c r="O1774" s="22" t="str">
        <f aca="false">INDEX('Tabela Passaro'!$C$2:$C$1795,$N1774)</f>
        <v>ARACAJU</v>
      </c>
      <c r="P1774" s="22" t="str">
        <f aca="false">INDEX('Tabela Passaro'!$B$2:$B$1795,$N1774)</f>
        <v>SE</v>
      </c>
      <c r="Q1774" s="22" t="n">
        <f aca="false">INDEX('Tabela Passaro'!$F$2:$F$1795,$N1774)</f>
        <v>7</v>
      </c>
      <c r="R1774" s="32" t="n">
        <f aca="false">IF(J1774&lt;=10,INDEX('Tabela Passaro'!$G$2:$G$1795,$N1774),IF(J1774&lt;=30,INDEX('Tabela Passaro'!$H$2:$H$1795,$N1774),IF(J1774&lt;=50,INDEX('Tabela Passaro'!$I$2:$I$1795,$N1774),IF(J1774&lt;=70,INDEX('Tabela Passaro'!$J$2:$J$1795,$N1774),IF(J1774&lt;=100,INDEX('Tabela Passaro'!$K$2:$K$1795,$N1774),INDEX('Tabela Passaro'!$K$2:$K$1795,$N1774)+(J1774-100)*INDEX('Tabela Passaro'!$L$2:$L$1795,$N1774))))))</f>
        <v>70.56</v>
      </c>
      <c r="S1774" s="32" t="n">
        <f aca="false">K1774*INDEX('Tabela Passaro'!$M$2:$M$1795,$N1774)</f>
        <v>3.8983</v>
      </c>
      <c r="T1774" s="32" t="n">
        <f aca="false">K1774*INDEX('Tabela Passaro'!$N$2:$N$1795,$N1774)</f>
        <v>1.55932</v>
      </c>
      <c r="U1774" s="32" t="n">
        <f aca="false">INDEX('Tabela Passaro'!$O$2:$O$1795,$N1774)</f>
        <v>5</v>
      </c>
      <c r="V1774" s="32" t="n">
        <f aca="false">ROUNDUP(J1774/INDEX('Tabela Passaro'!$Q$2:$Q$1795,$N1774),0)*INDEX('Tabela Passaro'!$P$2:$P$1795,$N1774)</f>
        <v>5</v>
      </c>
      <c r="W1774" s="32" t="n">
        <f aca="false">INDEX('Tabela Passaro'!$R$2:$R$1795,$N1774)</f>
        <v>30</v>
      </c>
      <c r="X1774" s="32" t="n">
        <f aca="false">ROUNDUP(J1774/INDEX('Tabela Passaro'!$T$2:$T$1795,$N1774),0)*INDEX('Tabela Passaro'!$S$2:$S$1795,$N1774)</f>
        <v>0</v>
      </c>
      <c r="Y1774" s="32" t="n">
        <f aca="false">INDEX('Tabela Passaro'!$U$2:$U$1795,$N1774)</f>
        <v>0</v>
      </c>
      <c r="Z1774" s="32" t="n">
        <f aca="false">INDEX('Tabela Passaro'!$V$2:$V$1795,$N1774)</f>
        <v>0</v>
      </c>
      <c r="AA1774" s="32" t="n">
        <f aca="false">SUM(R1774:Z1774)</f>
        <v>116.01762</v>
      </c>
      <c r="AB1774" s="33" t="n">
        <f aca="false">INDEX(Premissas!$B$5:$B$13,MATCH(A1774,Premissas!$A$5:$A$13,0))</f>
        <v>0.07</v>
      </c>
      <c r="AC1774" s="32" t="n">
        <f aca="false">AA1774/(1-AB1774)-AA1774</f>
        <v>8.73250903225808</v>
      </c>
      <c r="AD1774" s="32" t="n">
        <f aca="false">ROUND(AA1774+AC1774,2)</f>
        <v>124.75</v>
      </c>
      <c r="AE1774" s="32" t="n">
        <f aca="false">AD1774-L1774</f>
        <v>-27.01</v>
      </c>
      <c r="AF1774" s="34" t="n">
        <f aca="false">IF(L1774=0,0,AE1774/L1774)</f>
        <v>-0.177978386926726</v>
      </c>
      <c r="AG1774" s="22" t="str">
        <f aca="false">IF(AD1774&lt;L1774,"PASSARO","ATUAL")</f>
        <v>PASSARO</v>
      </c>
      <c r="AH1774" s="22" t="str">
        <f aca="false">IF(P1774&lt;&gt;A1774,"Faixa cadastrada como "&amp;P1774&amp;" na tabela; preço aplicado pela UF do CEP","")</f>
        <v/>
      </c>
      <c r="AI1774" s="26" t="n">
        <v>152</v>
      </c>
      <c r="AJ1774" s="22" t="str">
        <f aca="false">INDEX('Tabela Passaro'!$X$2:$X$1795,$N1774)</f>
        <v>CAPITAL</v>
      </c>
    </row>
    <row r="1775" customFormat="false" ht="15" hidden="false" customHeight="false" outlineLevel="0" collapsed="false">
      <c r="A1775" s="22" t="s">
        <v>23</v>
      </c>
      <c r="B1775" s="22" t="n">
        <v>1</v>
      </c>
      <c r="C1775" s="22" t="s">
        <v>198</v>
      </c>
      <c r="D1775" s="22" t="s">
        <v>30</v>
      </c>
      <c r="E1775" s="22" t="s">
        <v>7326</v>
      </c>
      <c r="F1775" s="22" t="n">
        <v>526912</v>
      </c>
      <c r="G1775" s="30" t="n">
        <v>46258</v>
      </c>
      <c r="H1775" s="22" t="n">
        <v>627944</v>
      </c>
      <c r="I1775" s="22" t="s">
        <v>8933</v>
      </c>
      <c r="J1775" s="31" t="n">
        <v>16</v>
      </c>
      <c r="K1775" s="26" t="n">
        <v>678.71</v>
      </c>
      <c r="L1775" s="26" t="n">
        <v>127.15</v>
      </c>
      <c r="M1775" s="22" t="s">
        <v>7020</v>
      </c>
      <c r="N1775" s="22" t="n">
        <f aca="false">MATCH(M1775,'Tabela Passaro'!$A$2:$A$1795,0)</f>
        <v>1720</v>
      </c>
      <c r="O1775" s="22" t="str">
        <f aca="false">INDEX('Tabela Passaro'!$C$2:$C$1795,$N1775)</f>
        <v>ARACAJU</v>
      </c>
      <c r="P1775" s="22" t="str">
        <f aca="false">INDEX('Tabela Passaro'!$B$2:$B$1795,$N1775)</f>
        <v>SE</v>
      </c>
      <c r="Q1775" s="22" t="n">
        <f aca="false">INDEX('Tabela Passaro'!$F$2:$F$1795,$N1775)</f>
        <v>7</v>
      </c>
      <c r="R1775" s="32" t="n">
        <f aca="false">IF(J1775&lt;=10,INDEX('Tabela Passaro'!$G$2:$G$1795,$N1775),IF(J1775&lt;=30,INDEX('Tabela Passaro'!$H$2:$H$1795,$N1775),IF(J1775&lt;=50,INDEX('Tabela Passaro'!$I$2:$I$1795,$N1775),IF(J1775&lt;=70,INDEX('Tabela Passaro'!$J$2:$J$1795,$N1775),IF(J1775&lt;=100,INDEX('Tabela Passaro'!$K$2:$K$1795,$N1775),INDEX('Tabela Passaro'!$K$2:$K$1795,$N1775)+(J1775-100)*INDEX('Tabela Passaro'!$L$2:$L$1795,$N1775))))))</f>
        <v>59.04</v>
      </c>
      <c r="S1775" s="32" t="n">
        <f aca="false">K1775*INDEX('Tabela Passaro'!$M$2:$M$1795,$N1775)</f>
        <v>3.39355</v>
      </c>
      <c r="T1775" s="32" t="n">
        <f aca="false">K1775*INDEX('Tabela Passaro'!$N$2:$N$1795,$N1775)</f>
        <v>1.35742</v>
      </c>
      <c r="U1775" s="32" t="n">
        <f aca="false">INDEX('Tabela Passaro'!$O$2:$O$1795,$N1775)</f>
        <v>5</v>
      </c>
      <c r="V1775" s="32" t="n">
        <f aca="false">ROUNDUP(J1775/INDEX('Tabela Passaro'!$Q$2:$Q$1795,$N1775),0)*INDEX('Tabela Passaro'!$P$2:$P$1795,$N1775)</f>
        <v>5</v>
      </c>
      <c r="W1775" s="32" t="n">
        <f aca="false">INDEX('Tabela Passaro'!$R$2:$R$1795,$N1775)</f>
        <v>30</v>
      </c>
      <c r="X1775" s="32" t="n">
        <f aca="false">ROUNDUP(J1775/INDEX('Tabela Passaro'!$T$2:$T$1795,$N1775),0)*INDEX('Tabela Passaro'!$S$2:$S$1795,$N1775)</f>
        <v>0</v>
      </c>
      <c r="Y1775" s="32" t="n">
        <f aca="false">INDEX('Tabela Passaro'!$U$2:$U$1795,$N1775)</f>
        <v>0</v>
      </c>
      <c r="Z1775" s="32" t="n">
        <f aca="false">INDEX('Tabela Passaro'!$V$2:$V$1795,$N1775)</f>
        <v>0</v>
      </c>
      <c r="AA1775" s="32" t="n">
        <f aca="false">SUM(R1775:Z1775)</f>
        <v>103.79097</v>
      </c>
      <c r="AB1775" s="33" t="n">
        <f aca="false">INDEX(Premissas!$B$5:$B$13,MATCH(A1775,Premissas!$A$5:$A$13,0))</f>
        <v>0.07</v>
      </c>
      <c r="AC1775" s="32" t="n">
        <f aca="false">AA1775/(1-AB1775)-AA1775</f>
        <v>7.81222354838711</v>
      </c>
      <c r="AD1775" s="32" t="n">
        <f aca="false">ROUND(AA1775+AC1775,2)</f>
        <v>111.6</v>
      </c>
      <c r="AE1775" s="32" t="n">
        <f aca="false">AD1775-L1775</f>
        <v>-15.55</v>
      </c>
      <c r="AF1775" s="34" t="n">
        <f aca="false">IF(L1775=0,0,AE1775/L1775)</f>
        <v>-0.122296500196618</v>
      </c>
      <c r="AG1775" s="22" t="str">
        <f aca="false">IF(AD1775&lt;L1775,"PASSARO","ATUAL")</f>
        <v>PASSARO</v>
      </c>
      <c r="AH1775" s="22" t="str">
        <f aca="false">IF(P1775&lt;&gt;A1775,"Faixa cadastrada como "&amp;P1775&amp;" na tabela; preço aplicado pela UF do CEP","")</f>
        <v/>
      </c>
      <c r="AI1775" s="26" t="n">
        <v>126.89</v>
      </c>
      <c r="AJ1775" s="22" t="str">
        <f aca="false">INDEX('Tabela Passaro'!$X$2:$X$1795,$N1775)</f>
        <v>CAPITAL</v>
      </c>
    </row>
    <row r="1776" customFormat="false" ht="15" hidden="false" customHeight="false" outlineLevel="0" collapsed="false">
      <c r="A1776" s="22" t="s">
        <v>23</v>
      </c>
      <c r="B1776" s="22" t="n">
        <v>1</v>
      </c>
      <c r="C1776" s="22" t="s">
        <v>198</v>
      </c>
      <c r="D1776" s="22" t="s">
        <v>30</v>
      </c>
      <c r="E1776" s="22" t="s">
        <v>20</v>
      </c>
      <c r="F1776" s="22" t="n">
        <v>840035</v>
      </c>
      <c r="G1776" s="30" t="n">
        <v>46259</v>
      </c>
      <c r="H1776" s="22" t="n">
        <v>32684</v>
      </c>
      <c r="I1776" s="22" t="s">
        <v>8934</v>
      </c>
      <c r="J1776" s="31" t="n">
        <v>107.7</v>
      </c>
      <c r="K1776" s="26" t="n">
        <v>1740.61</v>
      </c>
      <c r="L1776" s="26" t="n">
        <v>227.95</v>
      </c>
      <c r="M1776" s="22" t="s">
        <v>7020</v>
      </c>
      <c r="N1776" s="22" t="n">
        <f aca="false">MATCH(M1776,'Tabela Passaro'!$A$2:$A$1795,0)</f>
        <v>1720</v>
      </c>
      <c r="O1776" s="22" t="str">
        <f aca="false">INDEX('Tabela Passaro'!$C$2:$C$1795,$N1776)</f>
        <v>ARACAJU</v>
      </c>
      <c r="P1776" s="22" t="str">
        <f aca="false">INDEX('Tabela Passaro'!$B$2:$B$1795,$N1776)</f>
        <v>SE</v>
      </c>
      <c r="Q1776" s="22" t="n">
        <f aca="false">INDEX('Tabela Passaro'!$F$2:$F$1795,$N1776)</f>
        <v>7</v>
      </c>
      <c r="R1776" s="32" t="n">
        <f aca="false">IF(J1776&lt;=10,INDEX('Tabela Passaro'!$G$2:$G$1795,$N1776),IF(J1776&lt;=30,INDEX('Tabela Passaro'!$H$2:$H$1795,$N1776),IF(J1776&lt;=50,INDEX('Tabela Passaro'!$I$2:$I$1795,$N1776),IF(J1776&lt;=70,INDEX('Tabela Passaro'!$J$2:$J$1795,$N1776),IF(J1776&lt;=100,INDEX('Tabela Passaro'!$K$2:$K$1795,$N1776),INDEX('Tabela Passaro'!$K$2:$K$1795,$N1776)+(J1776-100)*INDEX('Tabela Passaro'!$L$2:$L$1795,$N1776))))))</f>
        <v>110.294</v>
      </c>
      <c r="S1776" s="32" t="n">
        <f aca="false">K1776*INDEX('Tabela Passaro'!$M$2:$M$1795,$N1776)</f>
        <v>8.70305</v>
      </c>
      <c r="T1776" s="32" t="n">
        <f aca="false">K1776*INDEX('Tabela Passaro'!$N$2:$N$1795,$N1776)</f>
        <v>3.48122</v>
      </c>
      <c r="U1776" s="32" t="n">
        <f aca="false">INDEX('Tabela Passaro'!$O$2:$O$1795,$N1776)</f>
        <v>5</v>
      </c>
      <c r="V1776" s="32" t="n">
        <f aca="false">ROUNDUP(J1776/INDEX('Tabela Passaro'!$Q$2:$Q$1795,$N1776),0)*INDEX('Tabela Passaro'!$P$2:$P$1795,$N1776)</f>
        <v>10</v>
      </c>
      <c r="W1776" s="32" t="n">
        <f aca="false">INDEX('Tabela Passaro'!$R$2:$R$1795,$N1776)</f>
        <v>30</v>
      </c>
      <c r="X1776" s="32" t="n">
        <f aca="false">ROUNDUP(J1776/INDEX('Tabela Passaro'!$T$2:$T$1795,$N1776),0)*INDEX('Tabela Passaro'!$S$2:$S$1795,$N1776)</f>
        <v>0</v>
      </c>
      <c r="Y1776" s="32" t="n">
        <f aca="false">INDEX('Tabela Passaro'!$U$2:$U$1795,$N1776)</f>
        <v>0</v>
      </c>
      <c r="Z1776" s="32" t="n">
        <f aca="false">INDEX('Tabela Passaro'!$V$2:$V$1795,$N1776)</f>
        <v>0</v>
      </c>
      <c r="AA1776" s="32" t="n">
        <f aca="false">SUM(R1776:Z1776)</f>
        <v>167.47827</v>
      </c>
      <c r="AB1776" s="33" t="n">
        <f aca="false">INDEX(Premissas!$B$5:$B$13,MATCH(A1776,Premissas!$A$5:$A$13,0))</f>
        <v>0.07</v>
      </c>
      <c r="AC1776" s="32" t="n">
        <f aca="false">AA1776/(1-AB1776)-AA1776</f>
        <v>12.6058912903226</v>
      </c>
      <c r="AD1776" s="32" t="n">
        <f aca="false">ROUND(AA1776+AC1776,2)</f>
        <v>180.08</v>
      </c>
      <c r="AE1776" s="32" t="n">
        <f aca="false">AD1776-L1776</f>
        <v>-47.87</v>
      </c>
      <c r="AF1776" s="34" t="n">
        <f aca="false">IF(L1776=0,0,AE1776/L1776)</f>
        <v>-0.210002193463479</v>
      </c>
      <c r="AG1776" s="22" t="str">
        <f aca="false">IF(AD1776&lt;L1776,"PASSARO","ATUAL")</f>
        <v>PASSARO</v>
      </c>
      <c r="AH1776" s="22" t="str">
        <f aca="false">IF(P1776&lt;&gt;A1776,"Faixa cadastrada como "&amp;P1776&amp;" na tabela; preço aplicado pela UF do CEP","")</f>
        <v/>
      </c>
      <c r="AI1776" s="26" t="n">
        <v>244.13</v>
      </c>
      <c r="AJ1776" s="22" t="str">
        <f aca="false">INDEX('Tabela Passaro'!$X$2:$X$1795,$N1776)</f>
        <v>CAPITAL</v>
      </c>
    </row>
    <row r="1777" customFormat="false" ht="15" hidden="false" customHeight="false" outlineLevel="0" collapsed="false">
      <c r="A1777" s="22" t="s">
        <v>23</v>
      </c>
      <c r="B1777" s="22" t="n">
        <v>1</v>
      </c>
      <c r="C1777" s="22" t="s">
        <v>198</v>
      </c>
      <c r="D1777" s="22" t="s">
        <v>30</v>
      </c>
      <c r="E1777" s="22" t="s">
        <v>7326</v>
      </c>
      <c r="F1777" s="22" t="n">
        <v>527361</v>
      </c>
      <c r="G1777" s="30" t="n">
        <v>46259</v>
      </c>
      <c r="H1777" s="22" t="n">
        <v>628814</v>
      </c>
      <c r="I1777" s="22" t="s">
        <v>8935</v>
      </c>
      <c r="J1777" s="31" t="n">
        <v>45.4</v>
      </c>
      <c r="K1777" s="26" t="n">
        <v>606.77</v>
      </c>
      <c r="L1777" s="26" t="n">
        <v>170.78</v>
      </c>
      <c r="M1777" s="22" t="s">
        <v>7020</v>
      </c>
      <c r="N1777" s="22" t="n">
        <f aca="false">MATCH(M1777,'Tabela Passaro'!$A$2:$A$1795,0)</f>
        <v>1720</v>
      </c>
      <c r="O1777" s="22" t="str">
        <f aca="false">INDEX('Tabela Passaro'!$C$2:$C$1795,$N1777)</f>
        <v>ARACAJU</v>
      </c>
      <c r="P1777" s="22" t="str">
        <f aca="false">INDEX('Tabela Passaro'!$B$2:$B$1795,$N1777)</f>
        <v>SE</v>
      </c>
      <c r="Q1777" s="22" t="n">
        <f aca="false">INDEX('Tabela Passaro'!$F$2:$F$1795,$N1777)</f>
        <v>7</v>
      </c>
      <c r="R1777" s="32" t="n">
        <f aca="false">IF(J1777&lt;=10,INDEX('Tabela Passaro'!$G$2:$G$1795,$N1777),IF(J1777&lt;=30,INDEX('Tabela Passaro'!$H$2:$H$1795,$N1777),IF(J1777&lt;=50,INDEX('Tabela Passaro'!$I$2:$I$1795,$N1777),IF(J1777&lt;=70,INDEX('Tabela Passaro'!$J$2:$J$1795,$N1777),IF(J1777&lt;=100,INDEX('Tabela Passaro'!$K$2:$K$1795,$N1777),INDEX('Tabela Passaro'!$K$2:$K$1795,$N1777)+(J1777-100)*INDEX('Tabela Passaro'!$L$2:$L$1795,$N1777))))))</f>
        <v>70.56</v>
      </c>
      <c r="S1777" s="32" t="n">
        <f aca="false">K1777*INDEX('Tabela Passaro'!$M$2:$M$1795,$N1777)</f>
        <v>3.03385</v>
      </c>
      <c r="T1777" s="32" t="n">
        <f aca="false">K1777*INDEX('Tabela Passaro'!$N$2:$N$1795,$N1777)</f>
        <v>1.21354</v>
      </c>
      <c r="U1777" s="32" t="n">
        <f aca="false">INDEX('Tabela Passaro'!$O$2:$O$1795,$N1777)</f>
        <v>5</v>
      </c>
      <c r="V1777" s="32" t="n">
        <f aca="false">ROUNDUP(J1777/INDEX('Tabela Passaro'!$Q$2:$Q$1795,$N1777),0)*INDEX('Tabela Passaro'!$P$2:$P$1795,$N1777)</f>
        <v>5</v>
      </c>
      <c r="W1777" s="32" t="n">
        <f aca="false">INDEX('Tabela Passaro'!$R$2:$R$1795,$N1777)</f>
        <v>30</v>
      </c>
      <c r="X1777" s="32" t="n">
        <f aca="false">ROUNDUP(J1777/INDEX('Tabela Passaro'!$T$2:$T$1795,$N1777),0)*INDEX('Tabela Passaro'!$S$2:$S$1795,$N1777)</f>
        <v>0</v>
      </c>
      <c r="Y1777" s="32" t="n">
        <f aca="false">INDEX('Tabela Passaro'!$U$2:$U$1795,$N1777)</f>
        <v>0</v>
      </c>
      <c r="Z1777" s="32" t="n">
        <f aca="false">INDEX('Tabela Passaro'!$V$2:$V$1795,$N1777)</f>
        <v>0</v>
      </c>
      <c r="AA1777" s="32" t="n">
        <f aca="false">SUM(R1777:Z1777)</f>
        <v>114.80739</v>
      </c>
      <c r="AB1777" s="33" t="n">
        <f aca="false">INDEX(Premissas!$B$5:$B$13,MATCH(A1777,Premissas!$A$5:$A$13,0))</f>
        <v>0.07</v>
      </c>
      <c r="AC1777" s="32" t="n">
        <f aca="false">AA1777/(1-AB1777)-AA1777</f>
        <v>8.64141645161291</v>
      </c>
      <c r="AD1777" s="32" t="n">
        <f aca="false">ROUND(AA1777+AC1777,2)</f>
        <v>123.45</v>
      </c>
      <c r="AE1777" s="32" t="n">
        <f aca="false">AD1777-L1777</f>
        <v>-47.33</v>
      </c>
      <c r="AF1777" s="34" t="n">
        <f aca="false">IF(L1777=0,0,AE1777/L1777)</f>
        <v>-0.277140180348987</v>
      </c>
      <c r="AG1777" s="22" t="str">
        <f aca="false">IF(AD1777&lt;L1777,"PASSARO","ATUAL")</f>
        <v>PASSARO</v>
      </c>
      <c r="AH1777" s="22" t="str">
        <f aca="false">IF(P1777&lt;&gt;A1777,"Faixa cadastrada como "&amp;P1777&amp;" na tabela; preço aplicado pela UF do CEP","")</f>
        <v/>
      </c>
      <c r="AI1777" s="26" t="n">
        <v>153.23</v>
      </c>
      <c r="AJ1777" s="22" t="str">
        <f aca="false">INDEX('Tabela Passaro'!$X$2:$X$1795,$N1777)</f>
        <v>CAPITAL</v>
      </c>
    </row>
    <row r="1778" customFormat="false" ht="15" hidden="false" customHeight="false" outlineLevel="0" collapsed="false">
      <c r="A1778" s="22" t="s">
        <v>23</v>
      </c>
      <c r="B1778" s="22" t="n">
        <v>1</v>
      </c>
      <c r="C1778" s="22" t="s">
        <v>198</v>
      </c>
      <c r="D1778" s="22" t="s">
        <v>30</v>
      </c>
      <c r="E1778" s="22" t="s">
        <v>20</v>
      </c>
      <c r="F1778" s="22" t="n">
        <v>840180</v>
      </c>
      <c r="G1778" s="30" t="n">
        <v>46260</v>
      </c>
      <c r="H1778" s="22" t="n">
        <v>32695</v>
      </c>
      <c r="I1778" s="22" t="s">
        <v>8936</v>
      </c>
      <c r="J1778" s="31" t="n">
        <v>27.5</v>
      </c>
      <c r="K1778" s="26" t="n">
        <v>497.15</v>
      </c>
      <c r="L1778" s="26" t="n">
        <v>107.58</v>
      </c>
      <c r="M1778" s="22" t="s">
        <v>7020</v>
      </c>
      <c r="N1778" s="22" t="n">
        <f aca="false">MATCH(M1778,'Tabela Passaro'!$A$2:$A$1795,0)</f>
        <v>1720</v>
      </c>
      <c r="O1778" s="22" t="str">
        <f aca="false">INDEX('Tabela Passaro'!$C$2:$C$1795,$N1778)</f>
        <v>ARACAJU</v>
      </c>
      <c r="P1778" s="22" t="str">
        <f aca="false">INDEX('Tabela Passaro'!$B$2:$B$1795,$N1778)</f>
        <v>SE</v>
      </c>
      <c r="Q1778" s="22" t="n">
        <f aca="false">INDEX('Tabela Passaro'!$F$2:$F$1795,$N1778)</f>
        <v>7</v>
      </c>
      <c r="R1778" s="32" t="n">
        <f aca="false">IF(J1778&lt;=10,INDEX('Tabela Passaro'!$G$2:$G$1795,$N1778),IF(J1778&lt;=30,INDEX('Tabela Passaro'!$H$2:$H$1795,$N1778),IF(J1778&lt;=50,INDEX('Tabela Passaro'!$I$2:$I$1795,$N1778),IF(J1778&lt;=70,INDEX('Tabela Passaro'!$J$2:$J$1795,$N1778),IF(J1778&lt;=100,INDEX('Tabela Passaro'!$K$2:$K$1795,$N1778),INDEX('Tabela Passaro'!$K$2:$K$1795,$N1778)+(J1778-100)*INDEX('Tabela Passaro'!$L$2:$L$1795,$N1778))))))</f>
        <v>59.04</v>
      </c>
      <c r="S1778" s="32" t="n">
        <f aca="false">K1778*INDEX('Tabela Passaro'!$M$2:$M$1795,$N1778)</f>
        <v>2.48575</v>
      </c>
      <c r="T1778" s="32" t="n">
        <f aca="false">K1778*INDEX('Tabela Passaro'!$N$2:$N$1795,$N1778)</f>
        <v>0.9943</v>
      </c>
      <c r="U1778" s="32" t="n">
        <f aca="false">INDEX('Tabela Passaro'!$O$2:$O$1795,$N1778)</f>
        <v>5</v>
      </c>
      <c r="V1778" s="32" t="n">
        <f aca="false">ROUNDUP(J1778/INDEX('Tabela Passaro'!$Q$2:$Q$1795,$N1778),0)*INDEX('Tabela Passaro'!$P$2:$P$1795,$N1778)</f>
        <v>5</v>
      </c>
      <c r="W1778" s="32" t="n">
        <f aca="false">INDEX('Tabela Passaro'!$R$2:$R$1795,$N1778)</f>
        <v>30</v>
      </c>
      <c r="X1778" s="32" t="n">
        <f aca="false">ROUNDUP(J1778/INDEX('Tabela Passaro'!$T$2:$T$1795,$N1778),0)*INDEX('Tabela Passaro'!$S$2:$S$1795,$N1778)</f>
        <v>0</v>
      </c>
      <c r="Y1778" s="32" t="n">
        <f aca="false">INDEX('Tabela Passaro'!$U$2:$U$1795,$N1778)</f>
        <v>0</v>
      </c>
      <c r="Z1778" s="32" t="n">
        <f aca="false">INDEX('Tabela Passaro'!$V$2:$V$1795,$N1778)</f>
        <v>0</v>
      </c>
      <c r="AA1778" s="32" t="n">
        <f aca="false">SUM(R1778:Z1778)</f>
        <v>102.52005</v>
      </c>
      <c r="AB1778" s="33" t="n">
        <f aca="false">INDEX(Premissas!$B$5:$B$13,MATCH(A1778,Premissas!$A$5:$A$13,0))</f>
        <v>0.07</v>
      </c>
      <c r="AC1778" s="32" t="n">
        <f aca="false">AA1778/(1-AB1778)-AA1778</f>
        <v>7.71656290322581</v>
      </c>
      <c r="AD1778" s="32" t="n">
        <f aca="false">ROUND(AA1778+AC1778,2)</f>
        <v>110.24</v>
      </c>
      <c r="AE1778" s="32" t="n">
        <f aca="false">AD1778-L1778</f>
        <v>2.66</v>
      </c>
      <c r="AF1778" s="34" t="n">
        <f aca="false">IF(L1778=0,0,AE1778/L1778)</f>
        <v>0.0247257854619817</v>
      </c>
      <c r="AG1778" s="22" t="str">
        <f aca="false">IF(AD1778&lt;L1778,"PASSARO","ATUAL")</f>
        <v>ATUAL</v>
      </c>
      <c r="AH1778" s="22" t="str">
        <f aca="false">IF(P1778&lt;&gt;A1778,"Faixa cadastrada como "&amp;P1778&amp;" na tabela; preço aplicado pela UF do CEP","")</f>
        <v/>
      </c>
      <c r="AI1778" s="26" t="n">
        <v>130.94</v>
      </c>
      <c r="AJ1778" s="22" t="str">
        <f aca="false">INDEX('Tabela Passaro'!$X$2:$X$1795,$N1778)</f>
        <v>CAPITAL</v>
      </c>
    </row>
    <row r="1779" customFormat="false" ht="15" hidden="false" customHeight="false" outlineLevel="0" collapsed="false">
      <c r="A1779" s="22" t="s">
        <v>23</v>
      </c>
      <c r="B1779" s="22" t="n">
        <v>1</v>
      </c>
      <c r="C1779" s="22" t="s">
        <v>198</v>
      </c>
      <c r="D1779" s="22" t="s">
        <v>30</v>
      </c>
      <c r="E1779" s="22" t="s">
        <v>20</v>
      </c>
      <c r="F1779" s="22" t="n">
        <v>840191</v>
      </c>
      <c r="G1779" s="30" t="n">
        <v>46260</v>
      </c>
      <c r="H1779" s="22" t="n">
        <v>32706</v>
      </c>
      <c r="I1779" s="22" t="s">
        <v>8937</v>
      </c>
      <c r="J1779" s="31" t="n">
        <v>27.5</v>
      </c>
      <c r="K1779" s="26" t="n">
        <v>478.4</v>
      </c>
      <c r="L1779" s="26" t="n">
        <v>107.41</v>
      </c>
      <c r="M1779" s="22" t="s">
        <v>7020</v>
      </c>
      <c r="N1779" s="22" t="n">
        <f aca="false">MATCH(M1779,'Tabela Passaro'!$A$2:$A$1795,0)</f>
        <v>1720</v>
      </c>
      <c r="O1779" s="22" t="str">
        <f aca="false">INDEX('Tabela Passaro'!$C$2:$C$1795,$N1779)</f>
        <v>ARACAJU</v>
      </c>
      <c r="P1779" s="22" t="str">
        <f aca="false">INDEX('Tabela Passaro'!$B$2:$B$1795,$N1779)</f>
        <v>SE</v>
      </c>
      <c r="Q1779" s="22" t="n">
        <f aca="false">INDEX('Tabela Passaro'!$F$2:$F$1795,$N1779)</f>
        <v>7</v>
      </c>
      <c r="R1779" s="32" t="n">
        <f aca="false">IF(J1779&lt;=10,INDEX('Tabela Passaro'!$G$2:$G$1795,$N1779),IF(J1779&lt;=30,INDEX('Tabela Passaro'!$H$2:$H$1795,$N1779),IF(J1779&lt;=50,INDEX('Tabela Passaro'!$I$2:$I$1795,$N1779),IF(J1779&lt;=70,INDEX('Tabela Passaro'!$J$2:$J$1795,$N1779),IF(J1779&lt;=100,INDEX('Tabela Passaro'!$K$2:$K$1795,$N1779),INDEX('Tabela Passaro'!$K$2:$K$1795,$N1779)+(J1779-100)*INDEX('Tabela Passaro'!$L$2:$L$1795,$N1779))))))</f>
        <v>59.04</v>
      </c>
      <c r="S1779" s="32" t="n">
        <f aca="false">K1779*INDEX('Tabela Passaro'!$M$2:$M$1795,$N1779)</f>
        <v>2.392</v>
      </c>
      <c r="T1779" s="32" t="n">
        <f aca="false">K1779*INDEX('Tabela Passaro'!$N$2:$N$1795,$N1779)</f>
        <v>0.9568</v>
      </c>
      <c r="U1779" s="32" t="n">
        <f aca="false">INDEX('Tabela Passaro'!$O$2:$O$1795,$N1779)</f>
        <v>5</v>
      </c>
      <c r="V1779" s="32" t="n">
        <f aca="false">ROUNDUP(J1779/INDEX('Tabela Passaro'!$Q$2:$Q$1795,$N1779),0)*INDEX('Tabela Passaro'!$P$2:$P$1795,$N1779)</f>
        <v>5</v>
      </c>
      <c r="W1779" s="32" t="n">
        <f aca="false">INDEX('Tabela Passaro'!$R$2:$R$1795,$N1779)</f>
        <v>30</v>
      </c>
      <c r="X1779" s="32" t="n">
        <f aca="false">ROUNDUP(J1779/INDEX('Tabela Passaro'!$T$2:$T$1795,$N1779),0)*INDEX('Tabela Passaro'!$S$2:$S$1795,$N1779)</f>
        <v>0</v>
      </c>
      <c r="Y1779" s="32" t="n">
        <f aca="false">INDEX('Tabela Passaro'!$U$2:$U$1795,$N1779)</f>
        <v>0</v>
      </c>
      <c r="Z1779" s="32" t="n">
        <f aca="false">INDEX('Tabela Passaro'!$V$2:$V$1795,$N1779)</f>
        <v>0</v>
      </c>
      <c r="AA1779" s="32" t="n">
        <f aca="false">SUM(R1779:Z1779)</f>
        <v>102.3888</v>
      </c>
      <c r="AB1779" s="33" t="n">
        <f aca="false">INDEX(Premissas!$B$5:$B$13,MATCH(A1779,Premissas!$A$5:$A$13,0))</f>
        <v>0.07</v>
      </c>
      <c r="AC1779" s="32" t="n">
        <f aca="false">AA1779/(1-AB1779)-AA1779</f>
        <v>7.70668387096775</v>
      </c>
      <c r="AD1779" s="32" t="n">
        <f aca="false">ROUND(AA1779+AC1779,2)</f>
        <v>110.1</v>
      </c>
      <c r="AE1779" s="32" t="n">
        <f aca="false">AD1779-L1779</f>
        <v>2.69</v>
      </c>
      <c r="AF1779" s="34" t="n">
        <f aca="false">IF(L1779=0,0,AE1779/L1779)</f>
        <v>0.0250442230704776</v>
      </c>
      <c r="AG1779" s="22" t="str">
        <f aca="false">IF(AD1779&lt;L1779,"PASSARO","ATUAL")</f>
        <v>ATUAL</v>
      </c>
      <c r="AH1779" s="22" t="str">
        <f aca="false">IF(P1779&lt;&gt;A1779,"Faixa cadastrada como "&amp;P1779&amp;" na tabela; preço aplicado pela UF do CEP","")</f>
        <v/>
      </c>
      <c r="AI1779" s="26" t="n">
        <v>130.76</v>
      </c>
      <c r="AJ1779" s="22" t="str">
        <f aca="false">INDEX('Tabela Passaro'!$X$2:$X$1795,$N1779)</f>
        <v>CAPITAL</v>
      </c>
    </row>
    <row r="1780" customFormat="false" ht="15" hidden="false" customHeight="false" outlineLevel="0" collapsed="false">
      <c r="A1780" s="22" t="s">
        <v>23</v>
      </c>
      <c r="B1780" s="22" t="n">
        <v>1</v>
      </c>
      <c r="C1780" s="22" t="s">
        <v>198</v>
      </c>
      <c r="D1780" s="22" t="s">
        <v>30</v>
      </c>
      <c r="E1780" s="22" t="s">
        <v>20</v>
      </c>
      <c r="F1780" s="22" t="n">
        <v>840190</v>
      </c>
      <c r="G1780" s="30" t="n">
        <v>46260</v>
      </c>
      <c r="H1780" s="22" t="n">
        <v>32719</v>
      </c>
      <c r="I1780" s="22" t="s">
        <v>8938</v>
      </c>
      <c r="J1780" s="31" t="n">
        <v>26.9</v>
      </c>
      <c r="K1780" s="26" t="n">
        <v>442.2</v>
      </c>
      <c r="L1780" s="26" t="n">
        <v>107.08</v>
      </c>
      <c r="M1780" s="22" t="s">
        <v>7020</v>
      </c>
      <c r="N1780" s="22" t="n">
        <f aca="false">MATCH(M1780,'Tabela Passaro'!$A$2:$A$1795,0)</f>
        <v>1720</v>
      </c>
      <c r="O1780" s="22" t="str">
        <f aca="false">INDEX('Tabela Passaro'!$C$2:$C$1795,$N1780)</f>
        <v>ARACAJU</v>
      </c>
      <c r="P1780" s="22" t="str">
        <f aca="false">INDEX('Tabela Passaro'!$B$2:$B$1795,$N1780)</f>
        <v>SE</v>
      </c>
      <c r="Q1780" s="22" t="n">
        <f aca="false">INDEX('Tabela Passaro'!$F$2:$F$1795,$N1780)</f>
        <v>7</v>
      </c>
      <c r="R1780" s="32" t="n">
        <f aca="false">IF(J1780&lt;=10,INDEX('Tabela Passaro'!$G$2:$G$1795,$N1780),IF(J1780&lt;=30,INDEX('Tabela Passaro'!$H$2:$H$1795,$N1780),IF(J1780&lt;=50,INDEX('Tabela Passaro'!$I$2:$I$1795,$N1780),IF(J1780&lt;=70,INDEX('Tabela Passaro'!$J$2:$J$1795,$N1780),IF(J1780&lt;=100,INDEX('Tabela Passaro'!$K$2:$K$1795,$N1780),INDEX('Tabela Passaro'!$K$2:$K$1795,$N1780)+(J1780-100)*INDEX('Tabela Passaro'!$L$2:$L$1795,$N1780))))))</f>
        <v>59.04</v>
      </c>
      <c r="S1780" s="32" t="n">
        <f aca="false">K1780*INDEX('Tabela Passaro'!$M$2:$M$1795,$N1780)</f>
        <v>2.211</v>
      </c>
      <c r="T1780" s="32" t="n">
        <f aca="false">K1780*INDEX('Tabela Passaro'!$N$2:$N$1795,$N1780)</f>
        <v>0.8844</v>
      </c>
      <c r="U1780" s="32" t="n">
        <f aca="false">INDEX('Tabela Passaro'!$O$2:$O$1795,$N1780)</f>
        <v>5</v>
      </c>
      <c r="V1780" s="32" t="n">
        <f aca="false">ROUNDUP(J1780/INDEX('Tabela Passaro'!$Q$2:$Q$1795,$N1780),0)*INDEX('Tabela Passaro'!$P$2:$P$1795,$N1780)</f>
        <v>5</v>
      </c>
      <c r="W1780" s="32" t="n">
        <f aca="false">INDEX('Tabela Passaro'!$R$2:$R$1795,$N1780)</f>
        <v>30</v>
      </c>
      <c r="X1780" s="32" t="n">
        <f aca="false">ROUNDUP(J1780/INDEX('Tabela Passaro'!$T$2:$T$1795,$N1780),0)*INDEX('Tabela Passaro'!$S$2:$S$1795,$N1780)</f>
        <v>0</v>
      </c>
      <c r="Y1780" s="32" t="n">
        <f aca="false">INDEX('Tabela Passaro'!$U$2:$U$1795,$N1780)</f>
        <v>0</v>
      </c>
      <c r="Z1780" s="32" t="n">
        <f aca="false">INDEX('Tabela Passaro'!$V$2:$V$1795,$N1780)</f>
        <v>0</v>
      </c>
      <c r="AA1780" s="32" t="n">
        <f aca="false">SUM(R1780:Z1780)</f>
        <v>102.1354</v>
      </c>
      <c r="AB1780" s="33" t="n">
        <f aca="false">INDEX(Premissas!$B$5:$B$13,MATCH(A1780,Premissas!$A$5:$A$13,0))</f>
        <v>0.07</v>
      </c>
      <c r="AC1780" s="32" t="n">
        <f aca="false">AA1780/(1-AB1780)-AA1780</f>
        <v>7.68761075268819</v>
      </c>
      <c r="AD1780" s="32" t="n">
        <f aca="false">ROUND(AA1780+AC1780,2)</f>
        <v>109.82</v>
      </c>
      <c r="AE1780" s="32" t="n">
        <f aca="false">AD1780-L1780</f>
        <v>2.74</v>
      </c>
      <c r="AF1780" s="34" t="n">
        <f aca="false">IF(L1780=0,0,AE1780/L1780)</f>
        <v>0.0255883451624953</v>
      </c>
      <c r="AG1780" s="22" t="str">
        <f aca="false">IF(AD1780&lt;L1780,"PASSARO","ATUAL")</f>
        <v>ATUAL</v>
      </c>
      <c r="AH1780" s="22" t="str">
        <f aca="false">IF(P1780&lt;&gt;A1780,"Faixa cadastrada como "&amp;P1780&amp;" na tabela; preço aplicado pela UF do CEP","")</f>
        <v/>
      </c>
      <c r="AI1780" s="26" t="n">
        <v>129.92</v>
      </c>
      <c r="AJ1780" s="22" t="str">
        <f aca="false">INDEX('Tabela Passaro'!$X$2:$X$1795,$N1780)</f>
        <v>CAPITAL</v>
      </c>
    </row>
    <row r="1781" customFormat="false" ht="15" hidden="false" customHeight="false" outlineLevel="0" collapsed="false">
      <c r="A1781" s="22" t="s">
        <v>23</v>
      </c>
      <c r="B1781" s="22" t="n">
        <v>1</v>
      </c>
      <c r="C1781" s="22" t="s">
        <v>198</v>
      </c>
      <c r="D1781" s="22" t="s">
        <v>30</v>
      </c>
      <c r="E1781" s="22" t="s">
        <v>7328</v>
      </c>
      <c r="F1781" s="22" t="n">
        <v>2316549</v>
      </c>
      <c r="G1781" s="30" t="n">
        <v>46260</v>
      </c>
      <c r="H1781" s="22" t="n">
        <v>135859</v>
      </c>
      <c r="I1781" s="22" t="s">
        <v>8939</v>
      </c>
      <c r="J1781" s="31" t="n">
        <v>69</v>
      </c>
      <c r="K1781" s="26" t="n">
        <v>962.75</v>
      </c>
      <c r="L1781" s="26" t="n">
        <v>178.53</v>
      </c>
      <c r="M1781" s="22" t="s">
        <v>7020</v>
      </c>
      <c r="N1781" s="22" t="n">
        <f aca="false">MATCH(M1781,'Tabela Passaro'!$A$2:$A$1795,0)</f>
        <v>1720</v>
      </c>
      <c r="O1781" s="22" t="str">
        <f aca="false">INDEX('Tabela Passaro'!$C$2:$C$1795,$N1781)</f>
        <v>ARACAJU</v>
      </c>
      <c r="P1781" s="22" t="str">
        <f aca="false">INDEX('Tabela Passaro'!$B$2:$B$1795,$N1781)</f>
        <v>SE</v>
      </c>
      <c r="Q1781" s="22" t="n">
        <f aca="false">INDEX('Tabela Passaro'!$F$2:$F$1795,$N1781)</f>
        <v>7</v>
      </c>
      <c r="R1781" s="32" t="n">
        <f aca="false">IF(J1781&lt;=10,INDEX('Tabela Passaro'!$G$2:$G$1795,$N1781),IF(J1781&lt;=30,INDEX('Tabela Passaro'!$H$2:$H$1795,$N1781),IF(J1781&lt;=50,INDEX('Tabela Passaro'!$I$2:$I$1795,$N1781),IF(J1781&lt;=70,INDEX('Tabela Passaro'!$J$2:$J$1795,$N1781),IF(J1781&lt;=100,INDEX('Tabela Passaro'!$K$2:$K$1795,$N1781),INDEX('Tabela Passaro'!$K$2:$K$1795,$N1781)+(J1781-100)*INDEX('Tabela Passaro'!$L$2:$L$1795,$N1781))))))</f>
        <v>82.08</v>
      </c>
      <c r="S1781" s="32" t="n">
        <f aca="false">K1781*INDEX('Tabela Passaro'!$M$2:$M$1795,$N1781)</f>
        <v>4.81375</v>
      </c>
      <c r="T1781" s="32" t="n">
        <f aca="false">K1781*INDEX('Tabela Passaro'!$N$2:$N$1795,$N1781)</f>
        <v>1.9255</v>
      </c>
      <c r="U1781" s="32" t="n">
        <f aca="false">INDEX('Tabela Passaro'!$O$2:$O$1795,$N1781)</f>
        <v>5</v>
      </c>
      <c r="V1781" s="32" t="n">
        <f aca="false">ROUNDUP(J1781/INDEX('Tabela Passaro'!$Q$2:$Q$1795,$N1781),0)*INDEX('Tabela Passaro'!$P$2:$P$1795,$N1781)</f>
        <v>5</v>
      </c>
      <c r="W1781" s="32" t="n">
        <f aca="false">INDEX('Tabela Passaro'!$R$2:$R$1795,$N1781)</f>
        <v>30</v>
      </c>
      <c r="X1781" s="32" t="n">
        <f aca="false">ROUNDUP(J1781/INDEX('Tabela Passaro'!$T$2:$T$1795,$N1781),0)*INDEX('Tabela Passaro'!$S$2:$S$1795,$N1781)</f>
        <v>0</v>
      </c>
      <c r="Y1781" s="32" t="n">
        <f aca="false">INDEX('Tabela Passaro'!$U$2:$U$1795,$N1781)</f>
        <v>0</v>
      </c>
      <c r="Z1781" s="32" t="n">
        <f aca="false">INDEX('Tabela Passaro'!$V$2:$V$1795,$N1781)</f>
        <v>0</v>
      </c>
      <c r="AA1781" s="32" t="n">
        <f aca="false">SUM(R1781:Z1781)</f>
        <v>128.81925</v>
      </c>
      <c r="AB1781" s="33" t="n">
        <f aca="false">INDEX(Premissas!$B$5:$B$13,MATCH(A1781,Premissas!$A$5:$A$13,0))</f>
        <v>0.07</v>
      </c>
      <c r="AC1781" s="32" t="n">
        <f aca="false">AA1781/(1-AB1781)-AA1781</f>
        <v>9.69607258064517</v>
      </c>
      <c r="AD1781" s="32" t="n">
        <f aca="false">ROUND(AA1781+AC1781,2)</f>
        <v>138.52</v>
      </c>
      <c r="AE1781" s="32" t="n">
        <f aca="false">AD1781-L1781</f>
        <v>-40.01</v>
      </c>
      <c r="AF1781" s="34" t="n">
        <f aca="false">IF(L1781=0,0,AE1781/L1781)</f>
        <v>-0.224107993054389</v>
      </c>
      <c r="AG1781" s="22" t="str">
        <f aca="false">IF(AD1781&lt;L1781,"PASSARO","ATUAL")</f>
        <v>PASSARO</v>
      </c>
      <c r="AH1781" s="22" t="str">
        <f aca="false">IF(P1781&lt;&gt;A1781,"Faixa cadastrada como "&amp;P1781&amp;" na tabela; preço aplicado pela UF do CEP","")</f>
        <v/>
      </c>
      <c r="AI1781" s="26" t="n">
        <v>180.33</v>
      </c>
      <c r="AJ1781" s="22" t="str">
        <f aca="false">INDEX('Tabela Passaro'!$X$2:$X$1795,$N1781)</f>
        <v>CAPITAL</v>
      </c>
    </row>
    <row r="1782" customFormat="false" ht="15" hidden="false" customHeight="false" outlineLevel="0" collapsed="false">
      <c r="A1782" s="22" t="s">
        <v>23</v>
      </c>
      <c r="B1782" s="22" t="n">
        <v>1</v>
      </c>
      <c r="C1782" s="22" t="s">
        <v>198</v>
      </c>
      <c r="D1782" s="22" t="s">
        <v>30</v>
      </c>
      <c r="E1782" s="22" t="s">
        <v>7328</v>
      </c>
      <c r="F1782" s="22" t="n">
        <v>2316556</v>
      </c>
      <c r="G1782" s="30" t="n">
        <v>46260</v>
      </c>
      <c r="H1782" s="22" t="n">
        <v>135869</v>
      </c>
      <c r="I1782" s="22" t="s">
        <v>8940</v>
      </c>
      <c r="J1782" s="31" t="n">
        <v>33</v>
      </c>
      <c r="K1782" s="26" t="n">
        <v>679.99</v>
      </c>
      <c r="L1782" s="26" t="n">
        <v>150.97</v>
      </c>
      <c r="M1782" s="22" t="s">
        <v>7020</v>
      </c>
      <c r="N1782" s="22" t="n">
        <f aca="false">MATCH(M1782,'Tabela Passaro'!$A$2:$A$1795,0)</f>
        <v>1720</v>
      </c>
      <c r="O1782" s="22" t="str">
        <f aca="false">INDEX('Tabela Passaro'!$C$2:$C$1795,$N1782)</f>
        <v>ARACAJU</v>
      </c>
      <c r="P1782" s="22" t="str">
        <f aca="false">INDEX('Tabela Passaro'!$B$2:$B$1795,$N1782)</f>
        <v>SE</v>
      </c>
      <c r="Q1782" s="22" t="n">
        <f aca="false">INDEX('Tabela Passaro'!$F$2:$F$1795,$N1782)</f>
        <v>7</v>
      </c>
      <c r="R1782" s="32" t="n">
        <f aca="false">IF(J1782&lt;=10,INDEX('Tabela Passaro'!$G$2:$G$1795,$N1782),IF(J1782&lt;=30,INDEX('Tabela Passaro'!$H$2:$H$1795,$N1782),IF(J1782&lt;=50,INDEX('Tabela Passaro'!$I$2:$I$1795,$N1782),IF(J1782&lt;=70,INDEX('Tabela Passaro'!$J$2:$J$1795,$N1782),IF(J1782&lt;=100,INDEX('Tabela Passaro'!$K$2:$K$1795,$N1782),INDEX('Tabela Passaro'!$K$2:$K$1795,$N1782)+(J1782-100)*INDEX('Tabela Passaro'!$L$2:$L$1795,$N1782))))))</f>
        <v>70.56</v>
      </c>
      <c r="S1782" s="32" t="n">
        <f aca="false">K1782*INDEX('Tabela Passaro'!$M$2:$M$1795,$N1782)</f>
        <v>3.39995</v>
      </c>
      <c r="T1782" s="32" t="n">
        <f aca="false">K1782*INDEX('Tabela Passaro'!$N$2:$N$1795,$N1782)</f>
        <v>1.35998</v>
      </c>
      <c r="U1782" s="32" t="n">
        <f aca="false">INDEX('Tabela Passaro'!$O$2:$O$1795,$N1782)</f>
        <v>5</v>
      </c>
      <c r="V1782" s="32" t="n">
        <f aca="false">ROUNDUP(J1782/INDEX('Tabela Passaro'!$Q$2:$Q$1795,$N1782),0)*INDEX('Tabela Passaro'!$P$2:$P$1795,$N1782)</f>
        <v>5</v>
      </c>
      <c r="W1782" s="32" t="n">
        <f aca="false">INDEX('Tabela Passaro'!$R$2:$R$1795,$N1782)</f>
        <v>30</v>
      </c>
      <c r="X1782" s="32" t="n">
        <f aca="false">ROUNDUP(J1782/INDEX('Tabela Passaro'!$T$2:$T$1795,$N1782),0)*INDEX('Tabela Passaro'!$S$2:$S$1795,$N1782)</f>
        <v>0</v>
      </c>
      <c r="Y1782" s="32" t="n">
        <f aca="false">INDEX('Tabela Passaro'!$U$2:$U$1795,$N1782)</f>
        <v>0</v>
      </c>
      <c r="Z1782" s="32" t="n">
        <f aca="false">INDEX('Tabela Passaro'!$V$2:$V$1795,$N1782)</f>
        <v>0</v>
      </c>
      <c r="AA1782" s="32" t="n">
        <f aca="false">SUM(R1782:Z1782)</f>
        <v>115.31993</v>
      </c>
      <c r="AB1782" s="33" t="n">
        <f aca="false">INDEX(Premissas!$B$5:$B$13,MATCH(A1782,Premissas!$A$5:$A$13,0))</f>
        <v>0.07</v>
      </c>
      <c r="AC1782" s="32" t="n">
        <f aca="false">AA1782/(1-AB1782)-AA1782</f>
        <v>8.6799947311828</v>
      </c>
      <c r="AD1782" s="32" t="n">
        <f aca="false">ROUND(AA1782+AC1782,2)</f>
        <v>124</v>
      </c>
      <c r="AE1782" s="32" t="n">
        <f aca="false">AD1782-L1782</f>
        <v>-26.97</v>
      </c>
      <c r="AF1782" s="34" t="n">
        <f aca="false">IF(L1782=0,0,AE1782/L1782)</f>
        <v>-0.17864476386037</v>
      </c>
      <c r="AG1782" s="22" t="str">
        <f aca="false">IF(AD1782&lt;L1782,"PASSARO","ATUAL")</f>
        <v>PASSARO</v>
      </c>
      <c r="AH1782" s="22" t="str">
        <f aca="false">IF(P1782&lt;&gt;A1782,"Faixa cadastrada como "&amp;P1782&amp;" na tabela; preço aplicado pela UF do CEP","")</f>
        <v/>
      </c>
      <c r="AI1782" s="26" t="n">
        <v>147.65</v>
      </c>
      <c r="AJ1782" s="22" t="str">
        <f aca="false">INDEX('Tabela Passaro'!$X$2:$X$1795,$N1782)</f>
        <v>CAPITAL</v>
      </c>
    </row>
    <row r="1783" customFormat="false" ht="15" hidden="false" customHeight="false" outlineLevel="0" collapsed="false">
      <c r="A1783" s="22" t="s">
        <v>23</v>
      </c>
      <c r="B1783" s="22" t="n">
        <v>1</v>
      </c>
      <c r="C1783" s="22" t="s">
        <v>198</v>
      </c>
      <c r="D1783" s="22" t="s">
        <v>30</v>
      </c>
      <c r="E1783" s="22" t="s">
        <v>7326</v>
      </c>
      <c r="F1783" s="22" t="n">
        <v>527783</v>
      </c>
      <c r="G1783" s="30" t="n">
        <v>46260</v>
      </c>
      <c r="H1783" s="22" t="n">
        <v>629481</v>
      </c>
      <c r="I1783" s="22" t="s">
        <v>8941</v>
      </c>
      <c r="J1783" s="31" t="n">
        <v>53.3</v>
      </c>
      <c r="K1783" s="26" t="n">
        <v>870.03</v>
      </c>
      <c r="L1783" s="26" t="n">
        <v>209.33</v>
      </c>
      <c r="M1783" s="22" t="s">
        <v>7020</v>
      </c>
      <c r="N1783" s="22" t="n">
        <f aca="false">MATCH(M1783,'Tabela Passaro'!$A$2:$A$1795,0)</f>
        <v>1720</v>
      </c>
      <c r="O1783" s="22" t="str">
        <f aca="false">INDEX('Tabela Passaro'!$C$2:$C$1795,$N1783)</f>
        <v>ARACAJU</v>
      </c>
      <c r="P1783" s="22" t="str">
        <f aca="false">INDEX('Tabela Passaro'!$B$2:$B$1795,$N1783)</f>
        <v>SE</v>
      </c>
      <c r="Q1783" s="22" t="n">
        <f aca="false">INDEX('Tabela Passaro'!$F$2:$F$1795,$N1783)</f>
        <v>7</v>
      </c>
      <c r="R1783" s="32" t="n">
        <f aca="false">IF(J1783&lt;=10,INDEX('Tabela Passaro'!$G$2:$G$1795,$N1783),IF(J1783&lt;=30,INDEX('Tabela Passaro'!$H$2:$H$1795,$N1783),IF(J1783&lt;=50,INDEX('Tabela Passaro'!$I$2:$I$1795,$N1783),IF(J1783&lt;=70,INDEX('Tabela Passaro'!$J$2:$J$1795,$N1783),IF(J1783&lt;=100,INDEX('Tabela Passaro'!$K$2:$K$1795,$N1783),INDEX('Tabela Passaro'!$K$2:$K$1795,$N1783)+(J1783-100)*INDEX('Tabela Passaro'!$L$2:$L$1795,$N1783))))))</f>
        <v>82.08</v>
      </c>
      <c r="S1783" s="32" t="n">
        <f aca="false">K1783*INDEX('Tabela Passaro'!$M$2:$M$1795,$N1783)</f>
        <v>4.35015</v>
      </c>
      <c r="T1783" s="32" t="n">
        <f aca="false">K1783*INDEX('Tabela Passaro'!$N$2:$N$1795,$N1783)</f>
        <v>1.74006</v>
      </c>
      <c r="U1783" s="32" t="n">
        <f aca="false">INDEX('Tabela Passaro'!$O$2:$O$1795,$N1783)</f>
        <v>5</v>
      </c>
      <c r="V1783" s="32" t="n">
        <f aca="false">ROUNDUP(J1783/INDEX('Tabela Passaro'!$Q$2:$Q$1795,$N1783),0)*INDEX('Tabela Passaro'!$P$2:$P$1795,$N1783)</f>
        <v>5</v>
      </c>
      <c r="W1783" s="32" t="n">
        <f aca="false">INDEX('Tabela Passaro'!$R$2:$R$1795,$N1783)</f>
        <v>30</v>
      </c>
      <c r="X1783" s="32" t="n">
        <f aca="false">ROUNDUP(J1783/INDEX('Tabela Passaro'!$T$2:$T$1795,$N1783),0)*INDEX('Tabela Passaro'!$S$2:$S$1795,$N1783)</f>
        <v>0</v>
      </c>
      <c r="Y1783" s="32" t="n">
        <f aca="false">INDEX('Tabela Passaro'!$U$2:$U$1795,$N1783)</f>
        <v>0</v>
      </c>
      <c r="Z1783" s="32" t="n">
        <f aca="false">INDEX('Tabela Passaro'!$V$2:$V$1795,$N1783)</f>
        <v>0</v>
      </c>
      <c r="AA1783" s="32" t="n">
        <f aca="false">SUM(R1783:Z1783)</f>
        <v>128.17021</v>
      </c>
      <c r="AB1783" s="33" t="n">
        <f aca="false">INDEX(Premissas!$B$5:$B$13,MATCH(A1783,Premissas!$A$5:$A$13,0))</f>
        <v>0.07</v>
      </c>
      <c r="AC1783" s="32" t="n">
        <f aca="false">AA1783/(1-AB1783)-AA1783</f>
        <v>9.64722010752689</v>
      </c>
      <c r="AD1783" s="32" t="n">
        <f aca="false">ROUND(AA1783+AC1783,2)</f>
        <v>137.82</v>
      </c>
      <c r="AE1783" s="32" t="n">
        <f aca="false">AD1783-L1783</f>
        <v>-71.51</v>
      </c>
      <c r="AF1783" s="34" t="n">
        <f aca="false">IF(L1783=0,0,AE1783/L1783)</f>
        <v>-0.341613719963694</v>
      </c>
      <c r="AG1783" s="22" t="str">
        <f aca="false">IF(AD1783&lt;L1783,"PASSARO","ATUAL")</f>
        <v>PASSARO</v>
      </c>
      <c r="AH1783" s="22" t="str">
        <f aca="false">IF(P1783&lt;&gt;A1783,"Faixa cadastrada como "&amp;P1783&amp;" na tabela; preço aplicado pela UF do CEP","")</f>
        <v/>
      </c>
      <c r="AI1783" s="26" t="n">
        <v>172.17</v>
      </c>
      <c r="AJ1783" s="22" t="str">
        <f aca="false">INDEX('Tabela Passaro'!$X$2:$X$1795,$N1783)</f>
        <v>CAPITAL</v>
      </c>
    </row>
    <row r="1784" customFormat="false" ht="15" hidden="false" customHeight="false" outlineLevel="0" collapsed="false">
      <c r="A1784" s="22" t="s">
        <v>23</v>
      </c>
      <c r="B1784" s="22" t="n">
        <v>1</v>
      </c>
      <c r="C1784" s="22" t="s">
        <v>198</v>
      </c>
      <c r="D1784" s="22" t="s">
        <v>30</v>
      </c>
      <c r="E1784" s="22" t="s">
        <v>20</v>
      </c>
      <c r="F1784" s="22" t="n">
        <v>840433</v>
      </c>
      <c r="G1784" s="30" t="n">
        <v>46261</v>
      </c>
      <c r="H1784" s="22" t="n">
        <v>32730</v>
      </c>
      <c r="I1784" s="22" t="s">
        <v>8942</v>
      </c>
      <c r="J1784" s="31" t="n">
        <v>120.4</v>
      </c>
      <c r="K1784" s="26" t="n">
        <v>2217.75</v>
      </c>
      <c r="L1784" s="26" t="n">
        <v>241.52</v>
      </c>
      <c r="M1784" s="22" t="s">
        <v>7020</v>
      </c>
      <c r="N1784" s="22" t="n">
        <f aca="false">MATCH(M1784,'Tabela Passaro'!$A$2:$A$1795,0)</f>
        <v>1720</v>
      </c>
      <c r="O1784" s="22" t="str">
        <f aca="false">INDEX('Tabela Passaro'!$C$2:$C$1795,$N1784)</f>
        <v>ARACAJU</v>
      </c>
      <c r="P1784" s="22" t="str">
        <f aca="false">INDEX('Tabela Passaro'!$B$2:$B$1795,$N1784)</f>
        <v>SE</v>
      </c>
      <c r="Q1784" s="22" t="n">
        <f aca="false">INDEX('Tabela Passaro'!$F$2:$F$1795,$N1784)</f>
        <v>7</v>
      </c>
      <c r="R1784" s="32" t="n">
        <f aca="false">IF(J1784&lt;=10,INDEX('Tabela Passaro'!$G$2:$G$1795,$N1784),IF(J1784&lt;=30,INDEX('Tabela Passaro'!$H$2:$H$1795,$N1784),IF(J1784&lt;=50,INDEX('Tabela Passaro'!$I$2:$I$1795,$N1784),IF(J1784&lt;=70,INDEX('Tabela Passaro'!$J$2:$J$1795,$N1784),IF(J1784&lt;=100,INDEX('Tabela Passaro'!$K$2:$K$1795,$N1784),INDEX('Tabela Passaro'!$K$2:$K$1795,$N1784)+(J1784-100)*INDEX('Tabela Passaro'!$L$2:$L$1795,$N1784))))))</f>
        <v>128.328</v>
      </c>
      <c r="S1784" s="32" t="n">
        <f aca="false">K1784*INDEX('Tabela Passaro'!$M$2:$M$1795,$N1784)</f>
        <v>11.08875</v>
      </c>
      <c r="T1784" s="32" t="n">
        <f aca="false">K1784*INDEX('Tabela Passaro'!$N$2:$N$1795,$N1784)</f>
        <v>4.4355</v>
      </c>
      <c r="U1784" s="32" t="n">
        <f aca="false">INDEX('Tabela Passaro'!$O$2:$O$1795,$N1784)</f>
        <v>5</v>
      </c>
      <c r="V1784" s="32" t="n">
        <f aca="false">ROUNDUP(J1784/INDEX('Tabela Passaro'!$Q$2:$Q$1795,$N1784),0)*INDEX('Tabela Passaro'!$P$2:$P$1795,$N1784)</f>
        <v>10</v>
      </c>
      <c r="W1784" s="32" t="n">
        <f aca="false">INDEX('Tabela Passaro'!$R$2:$R$1795,$N1784)</f>
        <v>30</v>
      </c>
      <c r="X1784" s="32" t="n">
        <f aca="false">ROUNDUP(J1784/INDEX('Tabela Passaro'!$T$2:$T$1795,$N1784),0)*INDEX('Tabela Passaro'!$S$2:$S$1795,$N1784)</f>
        <v>0</v>
      </c>
      <c r="Y1784" s="32" t="n">
        <f aca="false">INDEX('Tabela Passaro'!$U$2:$U$1795,$N1784)</f>
        <v>0</v>
      </c>
      <c r="Z1784" s="32" t="n">
        <f aca="false">INDEX('Tabela Passaro'!$V$2:$V$1795,$N1784)</f>
        <v>0</v>
      </c>
      <c r="AA1784" s="32" t="n">
        <f aca="false">SUM(R1784:Z1784)</f>
        <v>188.85225</v>
      </c>
      <c r="AB1784" s="33" t="n">
        <f aca="false">INDEX(Premissas!$B$5:$B$13,MATCH(A1784,Premissas!$A$5:$A$13,0))</f>
        <v>0.07</v>
      </c>
      <c r="AC1784" s="32" t="n">
        <f aca="false">AA1784/(1-AB1784)-AA1784</f>
        <v>14.214685483871</v>
      </c>
      <c r="AD1784" s="32" t="n">
        <f aca="false">ROUND(AA1784+AC1784,2)</f>
        <v>203.07</v>
      </c>
      <c r="AE1784" s="32" t="n">
        <f aca="false">AD1784-L1784</f>
        <v>-38.45</v>
      </c>
      <c r="AF1784" s="34" t="n">
        <f aca="false">IF(L1784=0,0,AE1784/L1784)</f>
        <v>-0.159200066247102</v>
      </c>
      <c r="AG1784" s="22" t="str">
        <f aca="false">IF(AD1784&lt;L1784,"PASSARO","ATUAL")</f>
        <v>PASSARO</v>
      </c>
      <c r="AH1784" s="22" t="str">
        <f aca="false">IF(P1784&lt;&gt;A1784,"Faixa cadastrada como "&amp;P1784&amp;" na tabela; preço aplicado pela UF do CEP","")</f>
        <v/>
      </c>
      <c r="AI1784" s="26" t="n">
        <v>276.89</v>
      </c>
      <c r="AJ1784" s="22" t="str">
        <f aca="false">INDEX('Tabela Passaro'!$X$2:$X$1795,$N1784)</f>
        <v>CAPITAL</v>
      </c>
    </row>
    <row r="1785" customFormat="false" ht="15" hidden="false" customHeight="false" outlineLevel="0" collapsed="false">
      <c r="A1785" s="22" t="s">
        <v>23</v>
      </c>
      <c r="B1785" s="22" t="n">
        <v>1</v>
      </c>
      <c r="C1785" s="22" t="s">
        <v>198</v>
      </c>
      <c r="D1785" s="22" t="s">
        <v>30</v>
      </c>
      <c r="E1785" s="22" t="s">
        <v>20</v>
      </c>
      <c r="F1785" s="22" t="n">
        <v>840452</v>
      </c>
      <c r="G1785" s="30" t="n">
        <v>46261</v>
      </c>
      <c r="H1785" s="22" t="n">
        <v>32748</v>
      </c>
      <c r="I1785" s="22" t="s">
        <v>8943</v>
      </c>
      <c r="J1785" s="31" t="n">
        <v>37.2</v>
      </c>
      <c r="K1785" s="26" t="n">
        <v>531.64</v>
      </c>
      <c r="L1785" s="26" t="n">
        <v>137.85</v>
      </c>
      <c r="M1785" s="22" t="s">
        <v>7020</v>
      </c>
      <c r="N1785" s="22" t="n">
        <f aca="false">MATCH(M1785,'Tabela Passaro'!$A$2:$A$1795,0)</f>
        <v>1720</v>
      </c>
      <c r="O1785" s="22" t="str">
        <f aca="false">INDEX('Tabela Passaro'!$C$2:$C$1795,$N1785)</f>
        <v>ARACAJU</v>
      </c>
      <c r="P1785" s="22" t="str">
        <f aca="false">INDEX('Tabela Passaro'!$B$2:$B$1795,$N1785)</f>
        <v>SE</v>
      </c>
      <c r="Q1785" s="22" t="n">
        <f aca="false">INDEX('Tabela Passaro'!$F$2:$F$1795,$N1785)</f>
        <v>7</v>
      </c>
      <c r="R1785" s="32" t="n">
        <f aca="false">IF(J1785&lt;=10,INDEX('Tabela Passaro'!$G$2:$G$1795,$N1785),IF(J1785&lt;=30,INDEX('Tabela Passaro'!$H$2:$H$1795,$N1785),IF(J1785&lt;=50,INDEX('Tabela Passaro'!$I$2:$I$1795,$N1785),IF(J1785&lt;=70,INDEX('Tabela Passaro'!$J$2:$J$1795,$N1785),IF(J1785&lt;=100,INDEX('Tabela Passaro'!$K$2:$K$1795,$N1785),INDEX('Tabela Passaro'!$K$2:$K$1795,$N1785)+(J1785-100)*INDEX('Tabela Passaro'!$L$2:$L$1795,$N1785))))))</f>
        <v>70.56</v>
      </c>
      <c r="S1785" s="32" t="n">
        <f aca="false">K1785*INDEX('Tabela Passaro'!$M$2:$M$1795,$N1785)</f>
        <v>2.6582</v>
      </c>
      <c r="T1785" s="32" t="n">
        <f aca="false">K1785*INDEX('Tabela Passaro'!$N$2:$N$1795,$N1785)</f>
        <v>1.06328</v>
      </c>
      <c r="U1785" s="32" t="n">
        <f aca="false">INDEX('Tabela Passaro'!$O$2:$O$1795,$N1785)</f>
        <v>5</v>
      </c>
      <c r="V1785" s="32" t="n">
        <f aca="false">ROUNDUP(J1785/INDEX('Tabela Passaro'!$Q$2:$Q$1795,$N1785),0)*INDEX('Tabela Passaro'!$P$2:$P$1795,$N1785)</f>
        <v>5</v>
      </c>
      <c r="W1785" s="32" t="n">
        <f aca="false">INDEX('Tabela Passaro'!$R$2:$R$1795,$N1785)</f>
        <v>30</v>
      </c>
      <c r="X1785" s="32" t="n">
        <f aca="false">ROUNDUP(J1785/INDEX('Tabela Passaro'!$T$2:$T$1795,$N1785),0)*INDEX('Tabela Passaro'!$S$2:$S$1795,$N1785)</f>
        <v>0</v>
      </c>
      <c r="Y1785" s="32" t="n">
        <f aca="false">INDEX('Tabela Passaro'!$U$2:$U$1795,$N1785)</f>
        <v>0</v>
      </c>
      <c r="Z1785" s="32" t="n">
        <f aca="false">INDEX('Tabela Passaro'!$V$2:$V$1795,$N1785)</f>
        <v>0</v>
      </c>
      <c r="AA1785" s="32" t="n">
        <f aca="false">SUM(R1785:Z1785)</f>
        <v>114.28148</v>
      </c>
      <c r="AB1785" s="33" t="n">
        <f aca="false">INDEX(Premissas!$B$5:$B$13,MATCH(A1785,Premissas!$A$5:$A$13,0))</f>
        <v>0.07</v>
      </c>
      <c r="AC1785" s="32" t="n">
        <f aca="false">AA1785/(1-AB1785)-AA1785</f>
        <v>8.601831827957</v>
      </c>
      <c r="AD1785" s="32" t="n">
        <f aca="false">ROUND(AA1785+AC1785,2)</f>
        <v>122.88</v>
      </c>
      <c r="AE1785" s="32" t="n">
        <f aca="false">AD1785-L1785</f>
        <v>-14.97</v>
      </c>
      <c r="AF1785" s="34" t="n">
        <f aca="false">IF(L1785=0,0,AE1785/L1785)</f>
        <v>-0.108596300326442</v>
      </c>
      <c r="AG1785" s="22" t="str">
        <f aca="false">IF(AD1785&lt;L1785,"PASSARO","ATUAL")</f>
        <v>PASSARO</v>
      </c>
      <c r="AH1785" s="22" t="str">
        <f aca="false">IF(P1785&lt;&gt;A1785,"Faixa cadastrada como "&amp;P1785&amp;" na tabela; preço aplicado pela UF do CEP","")</f>
        <v/>
      </c>
      <c r="AI1785" s="26" t="n">
        <v>148.63</v>
      </c>
      <c r="AJ1785" s="22" t="str">
        <f aca="false">INDEX('Tabela Passaro'!$X$2:$X$1795,$N1785)</f>
        <v>CAPITAL</v>
      </c>
    </row>
    <row r="1786" customFormat="false" ht="15" hidden="false" customHeight="false" outlineLevel="0" collapsed="false">
      <c r="A1786" s="22" t="s">
        <v>23</v>
      </c>
      <c r="B1786" s="22" t="n">
        <v>1</v>
      </c>
      <c r="C1786" s="22" t="s">
        <v>198</v>
      </c>
      <c r="D1786" s="22" t="s">
        <v>30</v>
      </c>
      <c r="E1786" s="22" t="s">
        <v>20</v>
      </c>
      <c r="F1786" s="22" t="n">
        <v>839677</v>
      </c>
      <c r="G1786" s="30" t="n">
        <v>46262</v>
      </c>
      <c r="H1786" s="22" t="n">
        <v>32758</v>
      </c>
      <c r="I1786" s="22" t="s">
        <v>8944</v>
      </c>
      <c r="J1786" s="31" t="n">
        <v>134.4</v>
      </c>
      <c r="K1786" s="26" t="n">
        <v>2180.77</v>
      </c>
      <c r="L1786" s="26" t="n">
        <v>251.42</v>
      </c>
      <c r="M1786" s="22" t="s">
        <v>7020</v>
      </c>
      <c r="N1786" s="22" t="n">
        <f aca="false">MATCH(M1786,'Tabela Passaro'!$A$2:$A$1795,0)</f>
        <v>1720</v>
      </c>
      <c r="O1786" s="22" t="str">
        <f aca="false">INDEX('Tabela Passaro'!$C$2:$C$1795,$N1786)</f>
        <v>ARACAJU</v>
      </c>
      <c r="P1786" s="22" t="str">
        <f aca="false">INDEX('Tabela Passaro'!$B$2:$B$1795,$N1786)</f>
        <v>SE</v>
      </c>
      <c r="Q1786" s="22" t="n">
        <f aca="false">INDEX('Tabela Passaro'!$F$2:$F$1795,$N1786)</f>
        <v>7</v>
      </c>
      <c r="R1786" s="32" t="n">
        <f aca="false">IF(J1786&lt;=10,INDEX('Tabela Passaro'!$G$2:$G$1795,$N1786),IF(J1786&lt;=30,INDEX('Tabela Passaro'!$H$2:$H$1795,$N1786),IF(J1786&lt;=50,INDEX('Tabela Passaro'!$I$2:$I$1795,$N1786),IF(J1786&lt;=70,INDEX('Tabela Passaro'!$J$2:$J$1795,$N1786),IF(J1786&lt;=100,INDEX('Tabela Passaro'!$K$2:$K$1795,$N1786),INDEX('Tabela Passaro'!$K$2:$K$1795,$N1786)+(J1786-100)*INDEX('Tabela Passaro'!$L$2:$L$1795,$N1786))))))</f>
        <v>148.208</v>
      </c>
      <c r="S1786" s="32" t="n">
        <f aca="false">K1786*INDEX('Tabela Passaro'!$M$2:$M$1795,$N1786)</f>
        <v>10.90385</v>
      </c>
      <c r="T1786" s="32" t="n">
        <f aca="false">K1786*INDEX('Tabela Passaro'!$N$2:$N$1795,$N1786)</f>
        <v>4.36154</v>
      </c>
      <c r="U1786" s="32" t="n">
        <f aca="false">INDEX('Tabela Passaro'!$O$2:$O$1795,$N1786)</f>
        <v>5</v>
      </c>
      <c r="V1786" s="32" t="n">
        <f aca="false">ROUNDUP(J1786/INDEX('Tabela Passaro'!$Q$2:$Q$1795,$N1786),0)*INDEX('Tabela Passaro'!$P$2:$P$1795,$N1786)</f>
        <v>10</v>
      </c>
      <c r="W1786" s="32" t="n">
        <f aca="false">INDEX('Tabela Passaro'!$R$2:$R$1795,$N1786)</f>
        <v>30</v>
      </c>
      <c r="X1786" s="32" t="n">
        <f aca="false">ROUNDUP(J1786/INDEX('Tabela Passaro'!$T$2:$T$1795,$N1786),0)*INDEX('Tabela Passaro'!$S$2:$S$1795,$N1786)</f>
        <v>0</v>
      </c>
      <c r="Y1786" s="32" t="n">
        <f aca="false">INDEX('Tabela Passaro'!$U$2:$U$1795,$N1786)</f>
        <v>0</v>
      </c>
      <c r="Z1786" s="32" t="n">
        <f aca="false">INDEX('Tabela Passaro'!$V$2:$V$1795,$N1786)</f>
        <v>0</v>
      </c>
      <c r="AA1786" s="32" t="n">
        <f aca="false">SUM(R1786:Z1786)</f>
        <v>208.47339</v>
      </c>
      <c r="AB1786" s="33" t="n">
        <f aca="false">INDEX(Premissas!$B$5:$B$13,MATCH(A1786,Premissas!$A$5:$A$13,0))</f>
        <v>0.07</v>
      </c>
      <c r="AC1786" s="32" t="n">
        <f aca="false">AA1786/(1-AB1786)-AA1786</f>
        <v>15.691545483871</v>
      </c>
      <c r="AD1786" s="32" t="n">
        <f aca="false">ROUND(AA1786+AC1786,2)</f>
        <v>224.16</v>
      </c>
      <c r="AE1786" s="32" t="n">
        <f aca="false">AD1786-L1786</f>
        <v>-27.26</v>
      </c>
      <c r="AF1786" s="34" t="n">
        <f aca="false">IF(L1786=0,0,AE1786/L1786)</f>
        <v>-0.108424150823323</v>
      </c>
      <c r="AG1786" s="22" t="str">
        <f aca="false">IF(AD1786&lt;L1786,"PASSARO","ATUAL")</f>
        <v>PASSARO</v>
      </c>
      <c r="AH1786" s="22" t="str">
        <f aca="false">IF(P1786&lt;&gt;A1786,"Faixa cadastrada como "&amp;P1786&amp;" na tabela; preço aplicado pela UF do CEP","")</f>
        <v/>
      </c>
      <c r="AI1786" s="26" t="n">
        <v>307.39</v>
      </c>
      <c r="AJ1786" s="22" t="str">
        <f aca="false">INDEX('Tabela Passaro'!$X$2:$X$1795,$N1786)</f>
        <v>CAPITAL</v>
      </c>
    </row>
    <row r="1787" customFormat="false" ht="15" hidden="false" customHeight="false" outlineLevel="0" collapsed="false">
      <c r="A1787" s="22" t="s">
        <v>23</v>
      </c>
      <c r="B1787" s="22" t="n">
        <v>1</v>
      </c>
      <c r="C1787" s="22" t="s">
        <v>198</v>
      </c>
      <c r="D1787" s="22" t="s">
        <v>30</v>
      </c>
      <c r="E1787" s="22" t="s">
        <v>20</v>
      </c>
      <c r="F1787" s="22" t="n">
        <v>840480</v>
      </c>
      <c r="G1787" s="30" t="n">
        <v>46262</v>
      </c>
      <c r="H1787" s="22" t="n">
        <v>32765</v>
      </c>
      <c r="I1787" s="22" t="s">
        <v>8945</v>
      </c>
      <c r="J1787" s="31" t="n">
        <v>51.06</v>
      </c>
      <c r="K1787" s="26" t="n">
        <v>925.37</v>
      </c>
      <c r="L1787" s="26" t="n">
        <v>160.58</v>
      </c>
      <c r="M1787" s="22" t="s">
        <v>7020</v>
      </c>
      <c r="N1787" s="22" t="n">
        <f aca="false">MATCH(M1787,'Tabela Passaro'!$A$2:$A$1795,0)</f>
        <v>1720</v>
      </c>
      <c r="O1787" s="22" t="str">
        <f aca="false">INDEX('Tabela Passaro'!$C$2:$C$1795,$N1787)</f>
        <v>ARACAJU</v>
      </c>
      <c r="P1787" s="22" t="str">
        <f aca="false">INDEX('Tabela Passaro'!$B$2:$B$1795,$N1787)</f>
        <v>SE</v>
      </c>
      <c r="Q1787" s="22" t="n">
        <f aca="false">INDEX('Tabela Passaro'!$F$2:$F$1795,$N1787)</f>
        <v>7</v>
      </c>
      <c r="R1787" s="32" t="n">
        <f aca="false">IF(J1787&lt;=10,INDEX('Tabela Passaro'!$G$2:$G$1795,$N1787),IF(J1787&lt;=30,INDEX('Tabela Passaro'!$H$2:$H$1795,$N1787),IF(J1787&lt;=50,INDEX('Tabela Passaro'!$I$2:$I$1795,$N1787),IF(J1787&lt;=70,INDEX('Tabela Passaro'!$J$2:$J$1795,$N1787),IF(J1787&lt;=100,INDEX('Tabela Passaro'!$K$2:$K$1795,$N1787),INDEX('Tabela Passaro'!$K$2:$K$1795,$N1787)+(J1787-100)*INDEX('Tabela Passaro'!$L$2:$L$1795,$N1787))))))</f>
        <v>82.08</v>
      </c>
      <c r="S1787" s="32" t="n">
        <f aca="false">K1787*INDEX('Tabela Passaro'!$M$2:$M$1795,$N1787)</f>
        <v>4.62685</v>
      </c>
      <c r="T1787" s="32" t="n">
        <f aca="false">K1787*INDEX('Tabela Passaro'!$N$2:$N$1795,$N1787)</f>
        <v>1.85074</v>
      </c>
      <c r="U1787" s="32" t="n">
        <f aca="false">INDEX('Tabela Passaro'!$O$2:$O$1795,$N1787)</f>
        <v>5</v>
      </c>
      <c r="V1787" s="32" t="n">
        <f aca="false">ROUNDUP(J1787/INDEX('Tabela Passaro'!$Q$2:$Q$1795,$N1787),0)*INDEX('Tabela Passaro'!$P$2:$P$1795,$N1787)</f>
        <v>5</v>
      </c>
      <c r="W1787" s="32" t="n">
        <f aca="false">INDEX('Tabela Passaro'!$R$2:$R$1795,$N1787)</f>
        <v>30</v>
      </c>
      <c r="X1787" s="32" t="n">
        <f aca="false">ROUNDUP(J1787/INDEX('Tabela Passaro'!$T$2:$T$1795,$N1787),0)*INDEX('Tabela Passaro'!$S$2:$S$1795,$N1787)</f>
        <v>0</v>
      </c>
      <c r="Y1787" s="32" t="n">
        <f aca="false">INDEX('Tabela Passaro'!$U$2:$U$1795,$N1787)</f>
        <v>0</v>
      </c>
      <c r="Z1787" s="32" t="n">
        <f aca="false">INDEX('Tabela Passaro'!$V$2:$V$1795,$N1787)</f>
        <v>0</v>
      </c>
      <c r="AA1787" s="32" t="n">
        <f aca="false">SUM(R1787:Z1787)</f>
        <v>128.55759</v>
      </c>
      <c r="AB1787" s="33" t="n">
        <f aca="false">INDEX(Premissas!$B$5:$B$13,MATCH(A1787,Premissas!$A$5:$A$13,0))</f>
        <v>0.07</v>
      </c>
      <c r="AC1787" s="32" t="n">
        <f aca="false">AA1787/(1-AB1787)-AA1787</f>
        <v>9.67637774193548</v>
      </c>
      <c r="AD1787" s="32" t="n">
        <f aca="false">ROUND(AA1787+AC1787,2)</f>
        <v>138.23</v>
      </c>
      <c r="AE1787" s="32" t="n">
        <f aca="false">AD1787-L1787</f>
        <v>-22.35</v>
      </c>
      <c r="AF1787" s="34" t="n">
        <f aca="false">IF(L1787=0,0,AE1787/L1787)</f>
        <v>-0.139182961763607</v>
      </c>
      <c r="AG1787" s="22" t="str">
        <f aca="false">IF(AD1787&lt;L1787,"PASSARO","ATUAL")</f>
        <v>PASSARO</v>
      </c>
      <c r="AH1787" s="22" t="str">
        <f aca="false">IF(P1787&lt;&gt;A1787,"Faixa cadastrada como "&amp;P1787&amp;" na tabela; preço aplicado pela UF do CEP","")</f>
        <v/>
      </c>
      <c r="AI1787" s="26" t="n">
        <v>171.74</v>
      </c>
      <c r="AJ1787" s="22" t="str">
        <f aca="false">INDEX('Tabela Passaro'!$X$2:$X$1795,$N1787)</f>
        <v>CAPITAL</v>
      </c>
    </row>
    <row r="1788" customFormat="false" ht="15" hidden="false" customHeight="false" outlineLevel="0" collapsed="false">
      <c r="A1788" s="22" t="s">
        <v>23</v>
      </c>
      <c r="B1788" s="22" t="n">
        <v>1</v>
      </c>
      <c r="C1788" s="22" t="s">
        <v>198</v>
      </c>
      <c r="D1788" s="22" t="s">
        <v>30</v>
      </c>
      <c r="E1788" s="22" t="s">
        <v>7326</v>
      </c>
      <c r="F1788" s="22" t="n">
        <v>528134</v>
      </c>
      <c r="G1788" s="30" t="n">
        <v>46262</v>
      </c>
      <c r="H1788" s="22" t="n">
        <v>629606</v>
      </c>
      <c r="I1788" s="22" t="s">
        <v>8946</v>
      </c>
      <c r="J1788" s="31" t="n">
        <v>29</v>
      </c>
      <c r="K1788" s="26" t="n">
        <v>855.37</v>
      </c>
      <c r="L1788" s="26" t="n">
        <v>128.67</v>
      </c>
      <c r="M1788" s="22" t="s">
        <v>7020</v>
      </c>
      <c r="N1788" s="22" t="n">
        <f aca="false">MATCH(M1788,'Tabela Passaro'!$A$2:$A$1795,0)</f>
        <v>1720</v>
      </c>
      <c r="O1788" s="22" t="str">
        <f aca="false">INDEX('Tabela Passaro'!$C$2:$C$1795,$N1788)</f>
        <v>ARACAJU</v>
      </c>
      <c r="P1788" s="22" t="str">
        <f aca="false">INDEX('Tabela Passaro'!$B$2:$B$1795,$N1788)</f>
        <v>SE</v>
      </c>
      <c r="Q1788" s="22" t="n">
        <f aca="false">INDEX('Tabela Passaro'!$F$2:$F$1795,$N1788)</f>
        <v>7</v>
      </c>
      <c r="R1788" s="32" t="n">
        <f aca="false">IF(J1788&lt;=10,INDEX('Tabela Passaro'!$G$2:$G$1795,$N1788),IF(J1788&lt;=30,INDEX('Tabela Passaro'!$H$2:$H$1795,$N1788),IF(J1788&lt;=50,INDEX('Tabela Passaro'!$I$2:$I$1795,$N1788),IF(J1788&lt;=70,INDEX('Tabela Passaro'!$J$2:$J$1795,$N1788),IF(J1788&lt;=100,INDEX('Tabela Passaro'!$K$2:$K$1795,$N1788),INDEX('Tabela Passaro'!$K$2:$K$1795,$N1788)+(J1788-100)*INDEX('Tabela Passaro'!$L$2:$L$1795,$N1788))))))</f>
        <v>59.04</v>
      </c>
      <c r="S1788" s="32" t="n">
        <f aca="false">K1788*INDEX('Tabela Passaro'!$M$2:$M$1795,$N1788)</f>
        <v>4.27685</v>
      </c>
      <c r="T1788" s="32" t="n">
        <f aca="false">K1788*INDEX('Tabela Passaro'!$N$2:$N$1795,$N1788)</f>
        <v>1.71074</v>
      </c>
      <c r="U1788" s="32" t="n">
        <f aca="false">INDEX('Tabela Passaro'!$O$2:$O$1795,$N1788)</f>
        <v>5</v>
      </c>
      <c r="V1788" s="32" t="n">
        <f aca="false">ROUNDUP(J1788/INDEX('Tabela Passaro'!$Q$2:$Q$1795,$N1788),0)*INDEX('Tabela Passaro'!$P$2:$P$1795,$N1788)</f>
        <v>5</v>
      </c>
      <c r="W1788" s="32" t="n">
        <f aca="false">INDEX('Tabela Passaro'!$R$2:$R$1795,$N1788)</f>
        <v>30</v>
      </c>
      <c r="X1788" s="32" t="n">
        <f aca="false">ROUNDUP(J1788/INDEX('Tabela Passaro'!$T$2:$T$1795,$N1788),0)*INDEX('Tabela Passaro'!$S$2:$S$1795,$N1788)</f>
        <v>0</v>
      </c>
      <c r="Y1788" s="32" t="n">
        <f aca="false">INDEX('Tabela Passaro'!$U$2:$U$1795,$N1788)</f>
        <v>0</v>
      </c>
      <c r="Z1788" s="32" t="n">
        <f aca="false">INDEX('Tabela Passaro'!$V$2:$V$1795,$N1788)</f>
        <v>0</v>
      </c>
      <c r="AA1788" s="32" t="n">
        <f aca="false">SUM(R1788:Z1788)</f>
        <v>105.02759</v>
      </c>
      <c r="AB1788" s="33" t="n">
        <f aca="false">INDEX(Premissas!$B$5:$B$13,MATCH(A1788,Premissas!$A$5:$A$13,0))</f>
        <v>0.07</v>
      </c>
      <c r="AC1788" s="32" t="n">
        <f aca="false">AA1788/(1-AB1788)-AA1788</f>
        <v>7.90530247311828</v>
      </c>
      <c r="AD1788" s="32" t="n">
        <f aca="false">ROUND(AA1788+AC1788,2)</f>
        <v>112.93</v>
      </c>
      <c r="AE1788" s="32" t="n">
        <f aca="false">AD1788-L1788</f>
        <v>-15.74</v>
      </c>
      <c r="AF1788" s="34" t="n">
        <f aca="false">IF(L1788=0,0,AE1788/L1788)</f>
        <v>-0.122328437087122</v>
      </c>
      <c r="AG1788" s="22" t="str">
        <f aca="false">IF(AD1788&lt;L1788,"PASSARO","ATUAL")</f>
        <v>PASSARO</v>
      </c>
      <c r="AH1788" s="22" t="str">
        <f aca="false">IF(P1788&lt;&gt;A1788,"Faixa cadastrada como "&amp;P1788&amp;" na tabela; preço aplicado pela UF do CEP","")</f>
        <v/>
      </c>
      <c r="AI1788" s="26" t="n">
        <v>134.89</v>
      </c>
      <c r="AJ1788" s="22" t="str">
        <f aca="false">INDEX('Tabela Passaro'!$X$2:$X$1795,$N1788)</f>
        <v>CAPITAL</v>
      </c>
    </row>
    <row r="1789" customFormat="false" ht="15" hidden="false" customHeight="false" outlineLevel="0" collapsed="false">
      <c r="A1789" s="22" t="s">
        <v>23</v>
      </c>
      <c r="B1789" s="22" t="n">
        <v>1</v>
      </c>
      <c r="C1789" s="22" t="s">
        <v>198</v>
      </c>
      <c r="D1789" s="22" t="s">
        <v>30</v>
      </c>
      <c r="E1789" s="22" t="s">
        <v>20</v>
      </c>
      <c r="F1789" s="22" t="n">
        <v>840601</v>
      </c>
      <c r="G1789" s="30" t="n">
        <v>46265</v>
      </c>
      <c r="H1789" s="22" t="n">
        <v>32800</v>
      </c>
      <c r="I1789" s="22" t="s">
        <v>8947</v>
      </c>
      <c r="J1789" s="31" t="n">
        <v>20.8</v>
      </c>
      <c r="K1789" s="26" t="n">
        <v>439.66</v>
      </c>
      <c r="L1789" s="26" t="n">
        <v>107.06</v>
      </c>
      <c r="M1789" s="22" t="s">
        <v>7020</v>
      </c>
      <c r="N1789" s="22" t="n">
        <f aca="false">MATCH(M1789,'Tabela Passaro'!$A$2:$A$1795,0)</f>
        <v>1720</v>
      </c>
      <c r="O1789" s="22" t="str">
        <f aca="false">INDEX('Tabela Passaro'!$C$2:$C$1795,$N1789)</f>
        <v>ARACAJU</v>
      </c>
      <c r="P1789" s="22" t="str">
        <f aca="false">INDEX('Tabela Passaro'!$B$2:$B$1795,$N1789)</f>
        <v>SE</v>
      </c>
      <c r="Q1789" s="22" t="n">
        <f aca="false">INDEX('Tabela Passaro'!$F$2:$F$1795,$N1789)</f>
        <v>7</v>
      </c>
      <c r="R1789" s="32" t="n">
        <f aca="false">IF(J1789&lt;=10,INDEX('Tabela Passaro'!$G$2:$G$1795,$N1789),IF(J1789&lt;=30,INDEX('Tabela Passaro'!$H$2:$H$1795,$N1789),IF(J1789&lt;=50,INDEX('Tabela Passaro'!$I$2:$I$1795,$N1789),IF(J1789&lt;=70,INDEX('Tabela Passaro'!$J$2:$J$1795,$N1789),IF(J1789&lt;=100,INDEX('Tabela Passaro'!$K$2:$K$1795,$N1789),INDEX('Tabela Passaro'!$K$2:$K$1795,$N1789)+(J1789-100)*INDEX('Tabela Passaro'!$L$2:$L$1795,$N1789))))))</f>
        <v>59.04</v>
      </c>
      <c r="S1789" s="32" t="n">
        <f aca="false">K1789*INDEX('Tabela Passaro'!$M$2:$M$1795,$N1789)</f>
        <v>2.1983</v>
      </c>
      <c r="T1789" s="32" t="n">
        <f aca="false">K1789*INDEX('Tabela Passaro'!$N$2:$N$1795,$N1789)</f>
        <v>0.87932</v>
      </c>
      <c r="U1789" s="32" t="n">
        <f aca="false">INDEX('Tabela Passaro'!$O$2:$O$1795,$N1789)</f>
        <v>5</v>
      </c>
      <c r="V1789" s="32" t="n">
        <f aca="false">ROUNDUP(J1789/INDEX('Tabela Passaro'!$Q$2:$Q$1795,$N1789),0)*INDEX('Tabela Passaro'!$P$2:$P$1795,$N1789)</f>
        <v>5</v>
      </c>
      <c r="W1789" s="32" t="n">
        <f aca="false">INDEX('Tabela Passaro'!$R$2:$R$1795,$N1789)</f>
        <v>30</v>
      </c>
      <c r="X1789" s="32" t="n">
        <f aca="false">ROUNDUP(J1789/INDEX('Tabela Passaro'!$T$2:$T$1795,$N1789),0)*INDEX('Tabela Passaro'!$S$2:$S$1795,$N1789)</f>
        <v>0</v>
      </c>
      <c r="Y1789" s="32" t="n">
        <f aca="false">INDEX('Tabela Passaro'!$U$2:$U$1795,$N1789)</f>
        <v>0</v>
      </c>
      <c r="Z1789" s="32" t="n">
        <f aca="false">INDEX('Tabela Passaro'!$V$2:$V$1795,$N1789)</f>
        <v>0</v>
      </c>
      <c r="AA1789" s="32" t="n">
        <f aca="false">SUM(R1789:Z1789)</f>
        <v>102.11762</v>
      </c>
      <c r="AB1789" s="33" t="n">
        <f aca="false">INDEX(Premissas!$B$5:$B$13,MATCH(A1789,Premissas!$A$5:$A$13,0))</f>
        <v>0.07</v>
      </c>
      <c r="AC1789" s="32" t="n">
        <f aca="false">AA1789/(1-AB1789)-AA1789</f>
        <v>7.68627247311829</v>
      </c>
      <c r="AD1789" s="32" t="n">
        <f aca="false">ROUND(AA1789+AC1789,2)</f>
        <v>109.8</v>
      </c>
      <c r="AE1789" s="32" t="n">
        <f aca="false">AD1789-L1789</f>
        <v>2.74</v>
      </c>
      <c r="AF1789" s="34" t="n">
        <f aca="false">IF(L1789=0,0,AE1789/L1789)</f>
        <v>0.0255931253502708</v>
      </c>
      <c r="AG1789" s="22" t="str">
        <f aca="false">IF(AD1789&lt;L1789,"PASSARO","ATUAL")</f>
        <v>ATUAL</v>
      </c>
      <c r="AH1789" s="22" t="str">
        <f aca="false">IF(P1789&lt;&gt;A1789,"Faixa cadastrada como "&amp;P1789&amp;" na tabela; preço aplicado pela UF do CEP","")</f>
        <v/>
      </c>
      <c r="AI1789" s="26" t="n">
        <v>127</v>
      </c>
      <c r="AJ1789" s="22" t="str">
        <f aca="false">INDEX('Tabela Passaro'!$X$2:$X$1795,$N1789)</f>
        <v>CAPITAL</v>
      </c>
    </row>
    <row r="1790" customFormat="false" ht="15" hidden="false" customHeight="false" outlineLevel="0" collapsed="false">
      <c r="A1790" s="22" t="s">
        <v>23</v>
      </c>
      <c r="B1790" s="22" t="n">
        <v>1</v>
      </c>
      <c r="C1790" s="22" t="s">
        <v>198</v>
      </c>
      <c r="D1790" s="22" t="s">
        <v>30</v>
      </c>
      <c r="E1790" s="22" t="s">
        <v>20</v>
      </c>
      <c r="F1790" s="22" t="n">
        <v>840655</v>
      </c>
      <c r="G1790" s="30" t="n">
        <v>46265</v>
      </c>
      <c r="H1790" s="22" t="n">
        <v>32859</v>
      </c>
      <c r="I1790" s="22" t="s">
        <v>8948</v>
      </c>
      <c r="J1790" s="31" t="n">
        <v>37.6</v>
      </c>
      <c r="K1790" s="26" t="n">
        <v>613.52</v>
      </c>
      <c r="L1790" s="26" t="n">
        <v>138.59</v>
      </c>
      <c r="M1790" s="22" t="s">
        <v>7020</v>
      </c>
      <c r="N1790" s="22" t="n">
        <f aca="false">MATCH(M1790,'Tabela Passaro'!$A$2:$A$1795,0)</f>
        <v>1720</v>
      </c>
      <c r="O1790" s="22" t="str">
        <f aca="false">INDEX('Tabela Passaro'!$C$2:$C$1795,$N1790)</f>
        <v>ARACAJU</v>
      </c>
      <c r="P1790" s="22" t="str">
        <f aca="false">INDEX('Tabela Passaro'!$B$2:$B$1795,$N1790)</f>
        <v>SE</v>
      </c>
      <c r="Q1790" s="22" t="n">
        <f aca="false">INDEX('Tabela Passaro'!$F$2:$F$1795,$N1790)</f>
        <v>7</v>
      </c>
      <c r="R1790" s="32" t="n">
        <f aca="false">IF(J1790&lt;=10,INDEX('Tabela Passaro'!$G$2:$G$1795,$N1790),IF(J1790&lt;=30,INDEX('Tabela Passaro'!$H$2:$H$1795,$N1790),IF(J1790&lt;=50,INDEX('Tabela Passaro'!$I$2:$I$1795,$N1790),IF(J1790&lt;=70,INDEX('Tabela Passaro'!$J$2:$J$1795,$N1790),IF(J1790&lt;=100,INDEX('Tabela Passaro'!$K$2:$K$1795,$N1790),INDEX('Tabela Passaro'!$K$2:$K$1795,$N1790)+(J1790-100)*INDEX('Tabela Passaro'!$L$2:$L$1795,$N1790))))))</f>
        <v>70.56</v>
      </c>
      <c r="S1790" s="32" t="n">
        <f aca="false">K1790*INDEX('Tabela Passaro'!$M$2:$M$1795,$N1790)</f>
        <v>3.0676</v>
      </c>
      <c r="T1790" s="32" t="n">
        <f aca="false">K1790*INDEX('Tabela Passaro'!$N$2:$N$1795,$N1790)</f>
        <v>1.22704</v>
      </c>
      <c r="U1790" s="32" t="n">
        <f aca="false">INDEX('Tabela Passaro'!$O$2:$O$1795,$N1790)</f>
        <v>5</v>
      </c>
      <c r="V1790" s="32" t="n">
        <f aca="false">ROUNDUP(J1790/INDEX('Tabela Passaro'!$Q$2:$Q$1795,$N1790),0)*INDEX('Tabela Passaro'!$P$2:$P$1795,$N1790)</f>
        <v>5</v>
      </c>
      <c r="W1790" s="32" t="n">
        <f aca="false">INDEX('Tabela Passaro'!$R$2:$R$1795,$N1790)</f>
        <v>30</v>
      </c>
      <c r="X1790" s="32" t="n">
        <f aca="false">ROUNDUP(J1790/INDEX('Tabela Passaro'!$T$2:$T$1795,$N1790),0)*INDEX('Tabela Passaro'!$S$2:$S$1795,$N1790)</f>
        <v>0</v>
      </c>
      <c r="Y1790" s="32" t="n">
        <f aca="false">INDEX('Tabela Passaro'!$U$2:$U$1795,$N1790)</f>
        <v>0</v>
      </c>
      <c r="Z1790" s="32" t="n">
        <f aca="false">INDEX('Tabela Passaro'!$V$2:$V$1795,$N1790)</f>
        <v>0</v>
      </c>
      <c r="AA1790" s="32" t="n">
        <f aca="false">SUM(R1790:Z1790)</f>
        <v>114.85464</v>
      </c>
      <c r="AB1790" s="33" t="n">
        <f aca="false">INDEX(Premissas!$B$5:$B$13,MATCH(A1790,Premissas!$A$5:$A$13,0))</f>
        <v>0.07</v>
      </c>
      <c r="AC1790" s="32" t="n">
        <f aca="false">AA1790/(1-AB1790)-AA1790</f>
        <v>8.64497290322582</v>
      </c>
      <c r="AD1790" s="32" t="n">
        <f aca="false">ROUND(AA1790+AC1790,2)</f>
        <v>123.5</v>
      </c>
      <c r="AE1790" s="32" t="n">
        <f aca="false">AD1790-L1790</f>
        <v>-15.09</v>
      </c>
      <c r="AF1790" s="34" t="n">
        <f aca="false">IF(L1790=0,0,AE1790/L1790)</f>
        <v>-0.108882314741323</v>
      </c>
      <c r="AG1790" s="22" t="str">
        <f aca="false">IF(AD1790&lt;L1790,"PASSARO","ATUAL")</f>
        <v>PASSARO</v>
      </c>
      <c r="AH1790" s="22" t="str">
        <f aca="false">IF(P1790&lt;&gt;A1790,"Faixa cadastrada como "&amp;P1790&amp;" na tabela; preço aplicado pela UF do CEP","")</f>
        <v/>
      </c>
      <c r="AI1790" s="26" t="n">
        <v>149.42</v>
      </c>
      <c r="AJ1790" s="22" t="str">
        <f aca="false">INDEX('Tabela Passaro'!$X$2:$X$1795,$N1790)</f>
        <v>CAPITAL</v>
      </c>
    </row>
    <row r="1791" customFormat="false" ht="15" hidden="false" customHeight="false" outlineLevel="0" collapsed="false">
      <c r="A1791" s="22" t="s">
        <v>23</v>
      </c>
      <c r="B1791" s="22" t="n">
        <v>1</v>
      </c>
      <c r="C1791" s="22" t="s">
        <v>198</v>
      </c>
      <c r="D1791" s="22" t="s">
        <v>31</v>
      </c>
      <c r="E1791" s="22" t="s">
        <v>7326</v>
      </c>
      <c r="F1791" s="22" t="n">
        <v>12730005</v>
      </c>
      <c r="G1791" s="30" t="n">
        <v>46238</v>
      </c>
      <c r="H1791" s="22" t="n">
        <v>619910</v>
      </c>
      <c r="I1791" s="22" t="s">
        <v>8949</v>
      </c>
      <c r="J1791" s="31" t="n">
        <v>20.8</v>
      </c>
      <c r="K1791" s="26" t="n">
        <v>538.03</v>
      </c>
      <c r="L1791" s="26" t="n">
        <v>86.82</v>
      </c>
      <c r="M1791" s="22" t="s">
        <v>7020</v>
      </c>
      <c r="N1791" s="22" t="n">
        <f aca="false">MATCH(M1791,'Tabela Passaro'!$A$2:$A$1795,0)</f>
        <v>1720</v>
      </c>
      <c r="O1791" s="22" t="str">
        <f aca="false">INDEX('Tabela Passaro'!$C$2:$C$1795,$N1791)</f>
        <v>ARACAJU</v>
      </c>
      <c r="P1791" s="22" t="str">
        <f aca="false">INDEX('Tabela Passaro'!$B$2:$B$1795,$N1791)</f>
        <v>SE</v>
      </c>
      <c r="Q1791" s="22" t="n">
        <f aca="false">INDEX('Tabela Passaro'!$F$2:$F$1795,$N1791)</f>
        <v>7</v>
      </c>
      <c r="R1791" s="32" t="n">
        <f aca="false">IF(J1791&lt;=10,INDEX('Tabela Passaro'!$G$2:$G$1795,$N1791),IF(J1791&lt;=30,INDEX('Tabela Passaro'!$H$2:$H$1795,$N1791),IF(J1791&lt;=50,INDEX('Tabela Passaro'!$I$2:$I$1795,$N1791),IF(J1791&lt;=70,INDEX('Tabela Passaro'!$J$2:$J$1795,$N1791),IF(J1791&lt;=100,INDEX('Tabela Passaro'!$K$2:$K$1795,$N1791),INDEX('Tabela Passaro'!$K$2:$K$1795,$N1791)+(J1791-100)*INDEX('Tabela Passaro'!$L$2:$L$1795,$N1791))))))</f>
        <v>59.04</v>
      </c>
      <c r="S1791" s="32" t="n">
        <f aca="false">K1791*INDEX('Tabela Passaro'!$M$2:$M$1795,$N1791)</f>
        <v>2.69015</v>
      </c>
      <c r="T1791" s="32" t="n">
        <f aca="false">K1791*INDEX('Tabela Passaro'!$N$2:$N$1795,$N1791)</f>
        <v>1.07606</v>
      </c>
      <c r="U1791" s="32" t="n">
        <f aca="false">INDEX('Tabela Passaro'!$O$2:$O$1795,$N1791)</f>
        <v>5</v>
      </c>
      <c r="V1791" s="32" t="n">
        <f aca="false">ROUNDUP(J1791/INDEX('Tabela Passaro'!$Q$2:$Q$1795,$N1791),0)*INDEX('Tabela Passaro'!$P$2:$P$1795,$N1791)</f>
        <v>5</v>
      </c>
      <c r="W1791" s="32" t="n">
        <f aca="false">INDEX('Tabela Passaro'!$R$2:$R$1795,$N1791)</f>
        <v>30</v>
      </c>
      <c r="X1791" s="32" t="n">
        <f aca="false">ROUNDUP(J1791/INDEX('Tabela Passaro'!$T$2:$T$1795,$N1791),0)*INDEX('Tabela Passaro'!$S$2:$S$1795,$N1791)</f>
        <v>0</v>
      </c>
      <c r="Y1791" s="32" t="n">
        <f aca="false">INDEX('Tabela Passaro'!$U$2:$U$1795,$N1791)</f>
        <v>0</v>
      </c>
      <c r="Z1791" s="32" t="n">
        <f aca="false">INDEX('Tabela Passaro'!$V$2:$V$1795,$N1791)</f>
        <v>0</v>
      </c>
      <c r="AA1791" s="32" t="n">
        <f aca="false">SUM(R1791:Z1791)</f>
        <v>102.80621</v>
      </c>
      <c r="AB1791" s="33" t="n">
        <f aca="false">INDEX(Premissas!$B$5:$B$13,MATCH(A1791,Premissas!$A$5:$A$13,0))</f>
        <v>0.07</v>
      </c>
      <c r="AC1791" s="32" t="n">
        <f aca="false">AA1791/(1-AB1791)-AA1791</f>
        <v>7.738101827957</v>
      </c>
      <c r="AD1791" s="32" t="n">
        <f aca="false">ROUND(AA1791+AC1791,2)</f>
        <v>110.54</v>
      </c>
      <c r="AE1791" s="32" t="n">
        <f aca="false">AD1791-L1791</f>
        <v>23.72</v>
      </c>
      <c r="AF1791" s="34" t="n">
        <f aca="false">IF(L1791=0,0,AE1791/L1791)</f>
        <v>0.273208938032712</v>
      </c>
      <c r="AG1791" s="22" t="str">
        <f aca="false">IF(AD1791&lt;L1791,"PASSARO","ATUAL")</f>
        <v>ATUAL</v>
      </c>
      <c r="AH1791" s="22" t="str">
        <f aca="false">IF(P1791&lt;&gt;A1791,"Faixa cadastrada como "&amp;P1791&amp;" na tabela; preço aplicado pela UF do CEP","")</f>
        <v/>
      </c>
      <c r="AI1791" s="26" t="n">
        <v>127.95</v>
      </c>
      <c r="AJ1791" s="22" t="str">
        <f aca="false">INDEX('Tabela Passaro'!$X$2:$X$1795,$N1791)</f>
        <v>CAPITAL</v>
      </c>
    </row>
    <row r="1792" customFormat="false" ht="15" hidden="false" customHeight="false" outlineLevel="0" collapsed="false">
      <c r="A1792" s="22" t="s">
        <v>23</v>
      </c>
      <c r="B1792" s="22" t="n">
        <v>1</v>
      </c>
      <c r="C1792" s="22" t="s">
        <v>198</v>
      </c>
      <c r="D1792" s="22" t="s">
        <v>31</v>
      </c>
      <c r="E1792" s="22" t="s">
        <v>7326</v>
      </c>
      <c r="F1792" s="22" t="n">
        <v>12749542</v>
      </c>
      <c r="G1792" s="30" t="n">
        <v>46241</v>
      </c>
      <c r="H1792" s="22" t="n">
        <v>621446</v>
      </c>
      <c r="I1792" s="22" t="s">
        <v>8950</v>
      </c>
      <c r="J1792" s="31" t="n">
        <v>22.4</v>
      </c>
      <c r="K1792" s="26" t="n">
        <v>609.1</v>
      </c>
      <c r="L1792" s="26" t="n">
        <v>87.42</v>
      </c>
      <c r="M1792" s="22" t="s">
        <v>7020</v>
      </c>
      <c r="N1792" s="22" t="n">
        <f aca="false">MATCH(M1792,'Tabela Passaro'!$A$2:$A$1795,0)</f>
        <v>1720</v>
      </c>
      <c r="O1792" s="22" t="str">
        <f aca="false">INDEX('Tabela Passaro'!$C$2:$C$1795,$N1792)</f>
        <v>ARACAJU</v>
      </c>
      <c r="P1792" s="22" t="str">
        <f aca="false">INDEX('Tabela Passaro'!$B$2:$B$1795,$N1792)</f>
        <v>SE</v>
      </c>
      <c r="Q1792" s="22" t="n">
        <f aca="false">INDEX('Tabela Passaro'!$F$2:$F$1795,$N1792)</f>
        <v>7</v>
      </c>
      <c r="R1792" s="32" t="n">
        <f aca="false">IF(J1792&lt;=10,INDEX('Tabela Passaro'!$G$2:$G$1795,$N1792),IF(J1792&lt;=30,INDEX('Tabela Passaro'!$H$2:$H$1795,$N1792),IF(J1792&lt;=50,INDEX('Tabela Passaro'!$I$2:$I$1795,$N1792),IF(J1792&lt;=70,INDEX('Tabela Passaro'!$J$2:$J$1795,$N1792),IF(J1792&lt;=100,INDEX('Tabela Passaro'!$K$2:$K$1795,$N1792),INDEX('Tabela Passaro'!$K$2:$K$1795,$N1792)+(J1792-100)*INDEX('Tabela Passaro'!$L$2:$L$1795,$N1792))))))</f>
        <v>59.04</v>
      </c>
      <c r="S1792" s="32" t="n">
        <f aca="false">K1792*INDEX('Tabela Passaro'!$M$2:$M$1795,$N1792)</f>
        <v>3.0455</v>
      </c>
      <c r="T1792" s="32" t="n">
        <f aca="false">K1792*INDEX('Tabela Passaro'!$N$2:$N$1795,$N1792)</f>
        <v>1.2182</v>
      </c>
      <c r="U1792" s="32" t="n">
        <f aca="false">INDEX('Tabela Passaro'!$O$2:$O$1795,$N1792)</f>
        <v>5</v>
      </c>
      <c r="V1792" s="32" t="n">
        <f aca="false">ROUNDUP(J1792/INDEX('Tabela Passaro'!$Q$2:$Q$1795,$N1792),0)*INDEX('Tabela Passaro'!$P$2:$P$1795,$N1792)</f>
        <v>5</v>
      </c>
      <c r="W1792" s="32" t="n">
        <f aca="false">INDEX('Tabela Passaro'!$R$2:$R$1795,$N1792)</f>
        <v>30</v>
      </c>
      <c r="X1792" s="32" t="n">
        <f aca="false">ROUNDUP(J1792/INDEX('Tabela Passaro'!$T$2:$T$1795,$N1792),0)*INDEX('Tabela Passaro'!$S$2:$S$1795,$N1792)</f>
        <v>0</v>
      </c>
      <c r="Y1792" s="32" t="n">
        <f aca="false">INDEX('Tabela Passaro'!$U$2:$U$1795,$N1792)</f>
        <v>0</v>
      </c>
      <c r="Z1792" s="32" t="n">
        <f aca="false">INDEX('Tabela Passaro'!$V$2:$V$1795,$N1792)</f>
        <v>0</v>
      </c>
      <c r="AA1792" s="32" t="n">
        <f aca="false">SUM(R1792:Z1792)</f>
        <v>103.3037</v>
      </c>
      <c r="AB1792" s="33" t="n">
        <f aca="false">INDEX(Premissas!$B$5:$B$13,MATCH(A1792,Premissas!$A$5:$A$13,0))</f>
        <v>0.07</v>
      </c>
      <c r="AC1792" s="32" t="n">
        <f aca="false">AA1792/(1-AB1792)-AA1792</f>
        <v>7.77554731182796</v>
      </c>
      <c r="AD1792" s="32" t="n">
        <f aca="false">ROUND(AA1792+AC1792,2)</f>
        <v>111.08</v>
      </c>
      <c r="AE1792" s="32" t="n">
        <f aca="false">AD1792-L1792</f>
        <v>23.66</v>
      </c>
      <c r="AF1792" s="34" t="n">
        <f aca="false">IF(L1792=0,0,AE1792/L1792)</f>
        <v>0.270647449096317</v>
      </c>
      <c r="AG1792" s="22" t="str">
        <f aca="false">IF(AD1792&lt;L1792,"PASSARO","ATUAL")</f>
        <v>ATUAL</v>
      </c>
      <c r="AH1792" s="22" t="str">
        <f aca="false">IF(P1792&lt;&gt;A1792,"Faixa cadastrada como "&amp;P1792&amp;" na tabela; preço aplicado pela UF do CEP","")</f>
        <v/>
      </c>
      <c r="AI1792" s="26" t="n">
        <v>129.6</v>
      </c>
      <c r="AJ1792" s="22" t="str">
        <f aca="false">INDEX('Tabela Passaro'!$X$2:$X$1795,$N1792)</f>
        <v>CAPITAL</v>
      </c>
    </row>
    <row r="1793" customFormat="false" ht="15" hidden="false" customHeight="false" outlineLevel="0" collapsed="false">
      <c r="A1793" s="22" t="s">
        <v>23</v>
      </c>
      <c r="B1793" s="22" t="n">
        <v>1</v>
      </c>
      <c r="C1793" s="22" t="s">
        <v>198</v>
      </c>
      <c r="D1793" s="22" t="s">
        <v>31</v>
      </c>
      <c r="E1793" s="22" t="s">
        <v>7326</v>
      </c>
      <c r="F1793" s="22" t="n">
        <v>12767904</v>
      </c>
      <c r="G1793" s="30" t="n">
        <v>46245</v>
      </c>
      <c r="H1793" s="22" t="n">
        <v>622203</v>
      </c>
      <c r="I1793" s="22" t="s">
        <v>8918</v>
      </c>
      <c r="J1793" s="31" t="n">
        <v>22.09</v>
      </c>
      <c r="K1793" s="26" t="n">
        <v>412.3</v>
      </c>
      <c r="L1793" s="26" t="n">
        <v>86.05</v>
      </c>
      <c r="M1793" s="22" t="s">
        <v>7020</v>
      </c>
      <c r="N1793" s="22" t="n">
        <f aca="false">MATCH(M1793,'Tabela Passaro'!$A$2:$A$1795,0)</f>
        <v>1720</v>
      </c>
      <c r="O1793" s="22" t="str">
        <f aca="false">INDEX('Tabela Passaro'!$C$2:$C$1795,$N1793)</f>
        <v>ARACAJU</v>
      </c>
      <c r="P1793" s="22" t="str">
        <f aca="false">INDEX('Tabela Passaro'!$B$2:$B$1795,$N1793)</f>
        <v>SE</v>
      </c>
      <c r="Q1793" s="22" t="n">
        <f aca="false">INDEX('Tabela Passaro'!$F$2:$F$1795,$N1793)</f>
        <v>7</v>
      </c>
      <c r="R1793" s="32" t="n">
        <f aca="false">IF(J1793&lt;=10,INDEX('Tabela Passaro'!$G$2:$G$1795,$N1793),IF(J1793&lt;=30,INDEX('Tabela Passaro'!$H$2:$H$1795,$N1793),IF(J1793&lt;=50,INDEX('Tabela Passaro'!$I$2:$I$1795,$N1793),IF(J1793&lt;=70,INDEX('Tabela Passaro'!$J$2:$J$1795,$N1793),IF(J1793&lt;=100,INDEX('Tabela Passaro'!$K$2:$K$1795,$N1793),INDEX('Tabela Passaro'!$K$2:$K$1795,$N1793)+(J1793-100)*INDEX('Tabela Passaro'!$L$2:$L$1795,$N1793))))))</f>
        <v>59.04</v>
      </c>
      <c r="S1793" s="32" t="n">
        <f aca="false">K1793*INDEX('Tabela Passaro'!$M$2:$M$1795,$N1793)</f>
        <v>2.0615</v>
      </c>
      <c r="T1793" s="32" t="n">
        <f aca="false">K1793*INDEX('Tabela Passaro'!$N$2:$N$1795,$N1793)</f>
        <v>0.8246</v>
      </c>
      <c r="U1793" s="32" t="n">
        <f aca="false">INDEX('Tabela Passaro'!$O$2:$O$1795,$N1793)</f>
        <v>5</v>
      </c>
      <c r="V1793" s="32" t="n">
        <f aca="false">ROUNDUP(J1793/INDEX('Tabela Passaro'!$Q$2:$Q$1795,$N1793),0)*INDEX('Tabela Passaro'!$P$2:$P$1795,$N1793)</f>
        <v>5</v>
      </c>
      <c r="W1793" s="32" t="n">
        <f aca="false">INDEX('Tabela Passaro'!$R$2:$R$1795,$N1793)</f>
        <v>30</v>
      </c>
      <c r="X1793" s="32" t="n">
        <f aca="false">ROUNDUP(J1793/INDEX('Tabela Passaro'!$T$2:$T$1795,$N1793),0)*INDEX('Tabela Passaro'!$S$2:$S$1795,$N1793)</f>
        <v>0</v>
      </c>
      <c r="Y1793" s="32" t="n">
        <f aca="false">INDEX('Tabela Passaro'!$U$2:$U$1795,$N1793)</f>
        <v>0</v>
      </c>
      <c r="Z1793" s="32" t="n">
        <f aca="false">INDEX('Tabela Passaro'!$V$2:$V$1795,$N1793)</f>
        <v>0</v>
      </c>
      <c r="AA1793" s="32" t="n">
        <f aca="false">SUM(R1793:Z1793)</f>
        <v>101.9261</v>
      </c>
      <c r="AB1793" s="33" t="n">
        <f aca="false">INDEX(Premissas!$B$5:$B$13,MATCH(A1793,Premissas!$A$5:$A$13,0))</f>
        <v>0.07</v>
      </c>
      <c r="AC1793" s="32" t="n">
        <f aca="false">AA1793/(1-AB1793)-AA1793</f>
        <v>7.67185698924732</v>
      </c>
      <c r="AD1793" s="32" t="n">
        <f aca="false">ROUND(AA1793+AC1793,2)</f>
        <v>109.6</v>
      </c>
      <c r="AE1793" s="32" t="n">
        <f aca="false">AD1793-L1793</f>
        <v>23.55</v>
      </c>
      <c r="AF1793" s="34" t="n">
        <f aca="false">IF(L1793=0,0,AE1793/L1793)</f>
        <v>0.273678094131319</v>
      </c>
      <c r="AG1793" s="22" t="str">
        <f aca="false">IF(AD1793&lt;L1793,"PASSARO","ATUAL")</f>
        <v>ATUAL</v>
      </c>
      <c r="AH1793" s="22" t="str">
        <f aca="false">IF(P1793&lt;&gt;A1793,"Faixa cadastrada como "&amp;P1793&amp;" na tabela; preço aplicado pela UF do CEP","")</f>
        <v/>
      </c>
      <c r="AI1793" s="26" t="n">
        <v>127.7</v>
      </c>
      <c r="AJ1793" s="22" t="str">
        <f aca="false">INDEX('Tabela Passaro'!$X$2:$X$1795,$N1793)</f>
        <v>CAPITAL</v>
      </c>
    </row>
    <row r="1794" customFormat="false" ht="15" hidden="false" customHeight="false" outlineLevel="0" collapsed="false">
      <c r="A1794" s="22" t="s">
        <v>23</v>
      </c>
      <c r="B1794" s="22" t="n">
        <v>1</v>
      </c>
      <c r="C1794" s="22" t="s">
        <v>198</v>
      </c>
      <c r="D1794" s="22" t="s">
        <v>31</v>
      </c>
      <c r="E1794" s="22" t="s">
        <v>7326</v>
      </c>
      <c r="F1794" s="22" t="n">
        <v>12766271</v>
      </c>
      <c r="G1794" s="30" t="n">
        <v>46245</v>
      </c>
      <c r="H1794" s="22" t="n">
        <v>622645</v>
      </c>
      <c r="I1794" s="22" t="s">
        <v>8951</v>
      </c>
      <c r="J1794" s="31" t="n">
        <v>19.4</v>
      </c>
      <c r="K1794" s="26" t="n">
        <v>392.31</v>
      </c>
      <c r="L1794" s="26" t="n">
        <v>86.14</v>
      </c>
      <c r="M1794" s="22" t="s">
        <v>7020</v>
      </c>
      <c r="N1794" s="22" t="n">
        <f aca="false">MATCH(M1794,'Tabela Passaro'!$A$2:$A$1795,0)</f>
        <v>1720</v>
      </c>
      <c r="O1794" s="22" t="str">
        <f aca="false">INDEX('Tabela Passaro'!$C$2:$C$1795,$N1794)</f>
        <v>ARACAJU</v>
      </c>
      <c r="P1794" s="22" t="str">
        <f aca="false">INDEX('Tabela Passaro'!$B$2:$B$1795,$N1794)</f>
        <v>SE</v>
      </c>
      <c r="Q1794" s="22" t="n">
        <f aca="false">INDEX('Tabela Passaro'!$F$2:$F$1795,$N1794)</f>
        <v>7</v>
      </c>
      <c r="R1794" s="32" t="n">
        <f aca="false">IF(J1794&lt;=10,INDEX('Tabela Passaro'!$G$2:$G$1795,$N1794),IF(J1794&lt;=30,INDEX('Tabela Passaro'!$H$2:$H$1795,$N1794),IF(J1794&lt;=50,INDEX('Tabela Passaro'!$I$2:$I$1795,$N1794),IF(J1794&lt;=70,INDEX('Tabela Passaro'!$J$2:$J$1795,$N1794),IF(J1794&lt;=100,INDEX('Tabela Passaro'!$K$2:$K$1795,$N1794),INDEX('Tabela Passaro'!$K$2:$K$1795,$N1794)+(J1794-100)*INDEX('Tabela Passaro'!$L$2:$L$1795,$N1794))))))</f>
        <v>59.04</v>
      </c>
      <c r="S1794" s="32" t="n">
        <f aca="false">K1794*INDEX('Tabela Passaro'!$M$2:$M$1795,$N1794)</f>
        <v>1.96155</v>
      </c>
      <c r="T1794" s="32" t="n">
        <f aca="false">K1794*INDEX('Tabela Passaro'!$N$2:$N$1795,$N1794)</f>
        <v>0.78462</v>
      </c>
      <c r="U1794" s="32" t="n">
        <f aca="false">INDEX('Tabela Passaro'!$O$2:$O$1795,$N1794)</f>
        <v>5</v>
      </c>
      <c r="V1794" s="32" t="n">
        <f aca="false">ROUNDUP(J1794/INDEX('Tabela Passaro'!$Q$2:$Q$1795,$N1794),0)*INDEX('Tabela Passaro'!$P$2:$P$1795,$N1794)</f>
        <v>5</v>
      </c>
      <c r="W1794" s="32" t="n">
        <f aca="false">INDEX('Tabela Passaro'!$R$2:$R$1795,$N1794)</f>
        <v>30</v>
      </c>
      <c r="X1794" s="32" t="n">
        <f aca="false">ROUNDUP(J1794/INDEX('Tabela Passaro'!$T$2:$T$1795,$N1794),0)*INDEX('Tabela Passaro'!$S$2:$S$1795,$N1794)</f>
        <v>0</v>
      </c>
      <c r="Y1794" s="32" t="n">
        <f aca="false">INDEX('Tabela Passaro'!$U$2:$U$1795,$N1794)</f>
        <v>0</v>
      </c>
      <c r="Z1794" s="32" t="n">
        <f aca="false">INDEX('Tabela Passaro'!$V$2:$V$1795,$N1794)</f>
        <v>0</v>
      </c>
      <c r="AA1794" s="32" t="n">
        <f aca="false">SUM(R1794:Z1794)</f>
        <v>101.78617</v>
      </c>
      <c r="AB1794" s="33" t="n">
        <f aca="false">INDEX(Premissas!$B$5:$B$13,MATCH(A1794,Premissas!$A$5:$A$13,0))</f>
        <v>0.07</v>
      </c>
      <c r="AC1794" s="32" t="n">
        <f aca="false">AA1794/(1-AB1794)-AA1794</f>
        <v>7.66132462365592</v>
      </c>
      <c r="AD1794" s="32" t="n">
        <f aca="false">ROUND(AA1794+AC1794,2)</f>
        <v>109.45</v>
      </c>
      <c r="AE1794" s="32" t="n">
        <f aca="false">AD1794-L1794</f>
        <v>23.31</v>
      </c>
      <c r="AF1794" s="34" t="n">
        <f aca="false">IF(L1794=0,0,AE1794/L1794)</f>
        <v>0.270605990248433</v>
      </c>
      <c r="AG1794" s="22" t="str">
        <f aca="false">IF(AD1794&lt;L1794,"PASSARO","ATUAL")</f>
        <v>ATUAL</v>
      </c>
      <c r="AH1794" s="22" t="str">
        <f aca="false">IF(P1794&lt;&gt;A1794,"Faixa cadastrada como "&amp;P1794&amp;" na tabela; preço aplicado pela UF do CEP","")</f>
        <v/>
      </c>
      <c r="AI1794" s="26" t="n">
        <v>126.05</v>
      </c>
      <c r="AJ1794" s="22" t="str">
        <f aca="false">INDEX('Tabela Passaro'!$X$2:$X$1795,$N1794)</f>
        <v>CAPITAL</v>
      </c>
    </row>
    <row r="1795" customFormat="false" ht="15" hidden="false" customHeight="false" outlineLevel="0" collapsed="false">
      <c r="A1795" s="22" t="s">
        <v>23</v>
      </c>
      <c r="B1795" s="22" t="n">
        <v>1</v>
      </c>
      <c r="C1795" s="22" t="s">
        <v>198</v>
      </c>
      <c r="D1795" s="22" t="s">
        <v>31</v>
      </c>
      <c r="E1795" s="22" t="s">
        <v>7326</v>
      </c>
      <c r="F1795" s="22" t="n">
        <v>12809393</v>
      </c>
      <c r="G1795" s="30" t="n">
        <v>46252</v>
      </c>
      <c r="H1795" s="22" t="n">
        <v>626090</v>
      </c>
      <c r="I1795" s="22" t="s">
        <v>8952</v>
      </c>
      <c r="J1795" s="31" t="n">
        <v>22.09</v>
      </c>
      <c r="K1795" s="26" t="n">
        <v>416.11</v>
      </c>
      <c r="L1795" s="26" t="n">
        <v>85.83</v>
      </c>
      <c r="M1795" s="22" t="s">
        <v>7020</v>
      </c>
      <c r="N1795" s="22" t="n">
        <f aca="false">MATCH(M1795,'Tabela Passaro'!$A$2:$A$1795,0)</f>
        <v>1720</v>
      </c>
      <c r="O1795" s="22" t="str">
        <f aca="false">INDEX('Tabela Passaro'!$C$2:$C$1795,$N1795)</f>
        <v>ARACAJU</v>
      </c>
      <c r="P1795" s="22" t="str">
        <f aca="false">INDEX('Tabela Passaro'!$B$2:$B$1795,$N1795)</f>
        <v>SE</v>
      </c>
      <c r="Q1795" s="22" t="n">
        <f aca="false">INDEX('Tabela Passaro'!$F$2:$F$1795,$N1795)</f>
        <v>7</v>
      </c>
      <c r="R1795" s="32" t="n">
        <f aca="false">IF(J1795&lt;=10,INDEX('Tabela Passaro'!$G$2:$G$1795,$N1795),IF(J1795&lt;=30,INDEX('Tabela Passaro'!$H$2:$H$1795,$N1795),IF(J1795&lt;=50,INDEX('Tabela Passaro'!$I$2:$I$1795,$N1795),IF(J1795&lt;=70,INDEX('Tabela Passaro'!$J$2:$J$1795,$N1795),IF(J1795&lt;=100,INDEX('Tabela Passaro'!$K$2:$K$1795,$N1795),INDEX('Tabela Passaro'!$K$2:$K$1795,$N1795)+(J1795-100)*INDEX('Tabela Passaro'!$L$2:$L$1795,$N1795))))))</f>
        <v>59.04</v>
      </c>
      <c r="S1795" s="32" t="n">
        <f aca="false">K1795*INDEX('Tabela Passaro'!$M$2:$M$1795,$N1795)</f>
        <v>2.08055</v>
      </c>
      <c r="T1795" s="32" t="n">
        <f aca="false">K1795*INDEX('Tabela Passaro'!$N$2:$N$1795,$N1795)</f>
        <v>0.83222</v>
      </c>
      <c r="U1795" s="32" t="n">
        <f aca="false">INDEX('Tabela Passaro'!$O$2:$O$1795,$N1795)</f>
        <v>5</v>
      </c>
      <c r="V1795" s="32" t="n">
        <f aca="false">ROUNDUP(J1795/INDEX('Tabela Passaro'!$Q$2:$Q$1795,$N1795),0)*INDEX('Tabela Passaro'!$P$2:$P$1795,$N1795)</f>
        <v>5</v>
      </c>
      <c r="W1795" s="32" t="n">
        <f aca="false">INDEX('Tabela Passaro'!$R$2:$R$1795,$N1795)</f>
        <v>30</v>
      </c>
      <c r="X1795" s="32" t="n">
        <f aca="false">ROUNDUP(J1795/INDEX('Tabela Passaro'!$T$2:$T$1795,$N1795),0)*INDEX('Tabela Passaro'!$S$2:$S$1795,$N1795)</f>
        <v>0</v>
      </c>
      <c r="Y1795" s="32" t="n">
        <f aca="false">INDEX('Tabela Passaro'!$U$2:$U$1795,$N1795)</f>
        <v>0</v>
      </c>
      <c r="Z1795" s="32" t="n">
        <f aca="false">INDEX('Tabela Passaro'!$V$2:$V$1795,$N1795)</f>
        <v>0</v>
      </c>
      <c r="AA1795" s="32" t="n">
        <f aca="false">SUM(R1795:Z1795)</f>
        <v>101.95277</v>
      </c>
      <c r="AB1795" s="33" t="n">
        <f aca="false">INDEX(Premissas!$B$5:$B$13,MATCH(A1795,Premissas!$A$5:$A$13,0))</f>
        <v>0.07</v>
      </c>
      <c r="AC1795" s="32" t="n">
        <f aca="false">AA1795/(1-AB1795)-AA1795</f>
        <v>7.67386440860216</v>
      </c>
      <c r="AD1795" s="32" t="n">
        <f aca="false">ROUND(AA1795+AC1795,2)</f>
        <v>109.63</v>
      </c>
      <c r="AE1795" s="32" t="n">
        <f aca="false">AD1795-L1795</f>
        <v>23.8</v>
      </c>
      <c r="AF1795" s="34" t="n">
        <f aca="false">IF(L1795=0,0,AE1795/L1795)</f>
        <v>0.277292322031924</v>
      </c>
      <c r="AG1795" s="22" t="str">
        <f aca="false">IF(AD1795&lt;L1795,"PASSARO","ATUAL")</f>
        <v>ATUAL</v>
      </c>
      <c r="AH1795" s="22" t="str">
        <f aca="false">IF(P1795&lt;&gt;A1795,"Faixa cadastrada como "&amp;P1795&amp;" na tabela; preço aplicado pela UF do CEP","")</f>
        <v/>
      </c>
      <c r="AI1795" s="26" t="n">
        <v>127.74</v>
      </c>
      <c r="AJ1795" s="22" t="str">
        <f aca="false">INDEX('Tabela Passaro'!$X$2:$X$1795,$N1795)</f>
        <v>CAPITAL</v>
      </c>
    </row>
    <row r="1796" customFormat="false" ht="15" hidden="false" customHeight="false" outlineLevel="0" collapsed="false">
      <c r="A1796" s="22" t="s">
        <v>23</v>
      </c>
      <c r="B1796" s="22" t="n">
        <v>1</v>
      </c>
      <c r="C1796" s="22" t="s">
        <v>198</v>
      </c>
      <c r="D1796" s="22" t="s">
        <v>31</v>
      </c>
      <c r="E1796" s="22" t="s">
        <v>7326</v>
      </c>
      <c r="F1796" s="22" t="n">
        <v>12844474</v>
      </c>
      <c r="G1796" s="30" t="n">
        <v>46259</v>
      </c>
      <c r="H1796" s="22" t="n">
        <v>628954</v>
      </c>
      <c r="I1796" s="22" t="s">
        <v>8953</v>
      </c>
      <c r="J1796" s="31" t="n">
        <v>19.5</v>
      </c>
      <c r="K1796" s="26" t="n">
        <v>438.1</v>
      </c>
      <c r="L1796" s="26" t="n">
        <v>76.16</v>
      </c>
      <c r="M1796" s="22" t="s">
        <v>7020</v>
      </c>
      <c r="N1796" s="22" t="n">
        <f aca="false">MATCH(M1796,'Tabela Passaro'!$A$2:$A$1795,0)</f>
        <v>1720</v>
      </c>
      <c r="O1796" s="22" t="str">
        <f aca="false">INDEX('Tabela Passaro'!$C$2:$C$1795,$N1796)</f>
        <v>ARACAJU</v>
      </c>
      <c r="P1796" s="22" t="str">
        <f aca="false">INDEX('Tabela Passaro'!$B$2:$B$1795,$N1796)</f>
        <v>SE</v>
      </c>
      <c r="Q1796" s="22" t="n">
        <f aca="false">INDEX('Tabela Passaro'!$F$2:$F$1795,$N1796)</f>
        <v>7</v>
      </c>
      <c r="R1796" s="32" t="n">
        <f aca="false">IF(J1796&lt;=10,INDEX('Tabela Passaro'!$G$2:$G$1795,$N1796),IF(J1796&lt;=30,INDEX('Tabela Passaro'!$H$2:$H$1795,$N1796),IF(J1796&lt;=50,INDEX('Tabela Passaro'!$I$2:$I$1795,$N1796),IF(J1796&lt;=70,INDEX('Tabela Passaro'!$J$2:$J$1795,$N1796),IF(J1796&lt;=100,INDEX('Tabela Passaro'!$K$2:$K$1795,$N1796),INDEX('Tabela Passaro'!$K$2:$K$1795,$N1796)+(J1796-100)*INDEX('Tabela Passaro'!$L$2:$L$1795,$N1796))))))</f>
        <v>59.04</v>
      </c>
      <c r="S1796" s="32" t="n">
        <f aca="false">K1796*INDEX('Tabela Passaro'!$M$2:$M$1795,$N1796)</f>
        <v>2.1905</v>
      </c>
      <c r="T1796" s="32" t="n">
        <f aca="false">K1796*INDEX('Tabela Passaro'!$N$2:$N$1795,$N1796)</f>
        <v>0.8762</v>
      </c>
      <c r="U1796" s="32" t="n">
        <f aca="false">INDEX('Tabela Passaro'!$O$2:$O$1795,$N1796)</f>
        <v>5</v>
      </c>
      <c r="V1796" s="32" t="n">
        <f aca="false">ROUNDUP(J1796/INDEX('Tabela Passaro'!$Q$2:$Q$1795,$N1796),0)*INDEX('Tabela Passaro'!$P$2:$P$1795,$N1796)</f>
        <v>5</v>
      </c>
      <c r="W1796" s="32" t="n">
        <f aca="false">INDEX('Tabela Passaro'!$R$2:$R$1795,$N1796)</f>
        <v>30</v>
      </c>
      <c r="X1796" s="32" t="n">
        <f aca="false">ROUNDUP(J1796/INDEX('Tabela Passaro'!$T$2:$T$1795,$N1796),0)*INDEX('Tabela Passaro'!$S$2:$S$1795,$N1796)</f>
        <v>0</v>
      </c>
      <c r="Y1796" s="32" t="n">
        <f aca="false">INDEX('Tabela Passaro'!$U$2:$U$1795,$N1796)</f>
        <v>0</v>
      </c>
      <c r="Z1796" s="32" t="n">
        <f aca="false">INDEX('Tabela Passaro'!$V$2:$V$1795,$N1796)</f>
        <v>0</v>
      </c>
      <c r="AA1796" s="32" t="n">
        <f aca="false">SUM(R1796:Z1796)</f>
        <v>102.1067</v>
      </c>
      <c r="AB1796" s="33" t="n">
        <f aca="false">INDEX(Premissas!$B$5:$B$13,MATCH(A1796,Premissas!$A$5:$A$13,0))</f>
        <v>0.07</v>
      </c>
      <c r="AC1796" s="32" t="n">
        <f aca="false">AA1796/(1-AB1796)-AA1796</f>
        <v>7.68545053763441</v>
      </c>
      <c r="AD1796" s="32" t="n">
        <f aca="false">ROUND(AA1796+AC1796,2)</f>
        <v>109.79</v>
      </c>
      <c r="AE1796" s="32" t="n">
        <f aca="false">AD1796-L1796</f>
        <v>33.63</v>
      </c>
      <c r="AF1796" s="34" t="n">
        <f aca="false">IF(L1796=0,0,AE1796/L1796)</f>
        <v>0.441570378151261</v>
      </c>
      <c r="AG1796" s="22" t="str">
        <f aca="false">IF(AD1796&lt;L1796,"PASSARO","ATUAL")</f>
        <v>ATUAL</v>
      </c>
      <c r="AH1796" s="22" t="str">
        <f aca="false">IF(P1796&lt;&gt;A1796,"Faixa cadastrada como "&amp;P1796&amp;" na tabela; preço aplicado pela UF do CEP","")</f>
        <v/>
      </c>
      <c r="AI1796" s="26" t="n">
        <v>126.5</v>
      </c>
      <c r="AJ1796" s="22" t="str">
        <f aca="false">INDEX('Tabela Passaro'!$X$2:$X$1795,$N1796)</f>
        <v>CAPITAL</v>
      </c>
    </row>
    <row r="1797" customFormat="false" ht="15" hidden="false" customHeight="false" outlineLevel="0" collapsed="false">
      <c r="A1797" s="22" t="s">
        <v>23</v>
      </c>
      <c r="B1797" s="22" t="n">
        <v>1</v>
      </c>
      <c r="C1797" s="22" t="s">
        <v>198</v>
      </c>
      <c r="D1797" s="22" t="s">
        <v>31</v>
      </c>
      <c r="E1797" s="22" t="s">
        <v>7326</v>
      </c>
      <c r="F1797" s="22" t="n">
        <v>12856578</v>
      </c>
      <c r="G1797" s="30" t="n">
        <v>46261</v>
      </c>
      <c r="H1797" s="22" t="n">
        <v>629880</v>
      </c>
      <c r="I1797" s="22" t="s">
        <v>8954</v>
      </c>
      <c r="J1797" s="31" t="n">
        <v>19.5</v>
      </c>
      <c r="K1797" s="26" t="n">
        <v>483</v>
      </c>
      <c r="L1797" s="26" t="n">
        <v>76.66</v>
      </c>
      <c r="M1797" s="22" t="s">
        <v>7020</v>
      </c>
      <c r="N1797" s="22" t="n">
        <f aca="false">MATCH(M1797,'Tabela Passaro'!$A$2:$A$1795,0)</f>
        <v>1720</v>
      </c>
      <c r="O1797" s="22" t="str">
        <f aca="false">INDEX('Tabela Passaro'!$C$2:$C$1795,$N1797)</f>
        <v>ARACAJU</v>
      </c>
      <c r="P1797" s="22" t="str">
        <f aca="false">INDEX('Tabela Passaro'!$B$2:$B$1795,$N1797)</f>
        <v>SE</v>
      </c>
      <c r="Q1797" s="22" t="n">
        <f aca="false">INDEX('Tabela Passaro'!$F$2:$F$1795,$N1797)</f>
        <v>7</v>
      </c>
      <c r="R1797" s="32" t="n">
        <f aca="false">IF(J1797&lt;=10,INDEX('Tabela Passaro'!$G$2:$G$1795,$N1797),IF(J1797&lt;=30,INDEX('Tabela Passaro'!$H$2:$H$1795,$N1797),IF(J1797&lt;=50,INDEX('Tabela Passaro'!$I$2:$I$1795,$N1797),IF(J1797&lt;=70,INDEX('Tabela Passaro'!$J$2:$J$1795,$N1797),IF(J1797&lt;=100,INDEX('Tabela Passaro'!$K$2:$K$1795,$N1797),INDEX('Tabela Passaro'!$K$2:$K$1795,$N1797)+(J1797-100)*INDEX('Tabela Passaro'!$L$2:$L$1795,$N1797))))))</f>
        <v>59.04</v>
      </c>
      <c r="S1797" s="32" t="n">
        <f aca="false">K1797*INDEX('Tabela Passaro'!$M$2:$M$1795,$N1797)</f>
        <v>2.415</v>
      </c>
      <c r="T1797" s="32" t="n">
        <f aca="false">K1797*INDEX('Tabela Passaro'!$N$2:$N$1795,$N1797)</f>
        <v>0.966</v>
      </c>
      <c r="U1797" s="32" t="n">
        <f aca="false">INDEX('Tabela Passaro'!$O$2:$O$1795,$N1797)</f>
        <v>5</v>
      </c>
      <c r="V1797" s="32" t="n">
        <f aca="false">ROUNDUP(J1797/INDEX('Tabela Passaro'!$Q$2:$Q$1795,$N1797),0)*INDEX('Tabela Passaro'!$P$2:$P$1795,$N1797)</f>
        <v>5</v>
      </c>
      <c r="W1797" s="32" t="n">
        <f aca="false">INDEX('Tabela Passaro'!$R$2:$R$1795,$N1797)</f>
        <v>30</v>
      </c>
      <c r="X1797" s="32" t="n">
        <f aca="false">ROUNDUP(J1797/INDEX('Tabela Passaro'!$T$2:$T$1795,$N1797),0)*INDEX('Tabela Passaro'!$S$2:$S$1795,$N1797)</f>
        <v>0</v>
      </c>
      <c r="Y1797" s="32" t="n">
        <f aca="false">INDEX('Tabela Passaro'!$U$2:$U$1795,$N1797)</f>
        <v>0</v>
      </c>
      <c r="Z1797" s="32" t="n">
        <f aca="false">INDEX('Tabela Passaro'!$V$2:$V$1795,$N1797)</f>
        <v>0</v>
      </c>
      <c r="AA1797" s="32" t="n">
        <f aca="false">SUM(R1797:Z1797)</f>
        <v>102.421</v>
      </c>
      <c r="AB1797" s="33" t="n">
        <f aca="false">INDEX(Premissas!$B$5:$B$13,MATCH(A1797,Premissas!$A$5:$A$13,0))</f>
        <v>0.07</v>
      </c>
      <c r="AC1797" s="32" t="n">
        <f aca="false">AA1797/(1-AB1797)-AA1797</f>
        <v>7.70910752688172</v>
      </c>
      <c r="AD1797" s="32" t="n">
        <f aca="false">ROUND(AA1797+AC1797,2)</f>
        <v>110.13</v>
      </c>
      <c r="AE1797" s="32" t="n">
        <f aca="false">AD1797-L1797</f>
        <v>33.47</v>
      </c>
      <c r="AF1797" s="34" t="n">
        <f aca="false">IF(L1797=0,0,AE1797/L1797)</f>
        <v>0.436603182885468</v>
      </c>
      <c r="AG1797" s="22" t="str">
        <f aca="false">IF(AD1797&lt;L1797,"PASSARO","ATUAL")</f>
        <v>ATUAL</v>
      </c>
      <c r="AH1797" s="22" t="str">
        <f aca="false">IF(P1797&lt;&gt;A1797,"Faixa cadastrada como "&amp;P1797&amp;" na tabela; preço aplicado pela UF do CEP","")</f>
        <v/>
      </c>
      <c r="AI1797" s="26" t="n">
        <v>126.93</v>
      </c>
      <c r="AJ1797" s="22" t="str">
        <f aca="false">INDEX('Tabela Passaro'!$X$2:$X$1795,$N1797)</f>
        <v>CAPITAL</v>
      </c>
    </row>
    <row r="1798" customFormat="false" ht="15" hidden="false" customHeight="false" outlineLevel="0" collapsed="false">
      <c r="A1798" s="22" t="s">
        <v>23</v>
      </c>
      <c r="B1798" s="22" t="n">
        <v>2</v>
      </c>
      <c r="C1798" s="22" t="s">
        <v>200</v>
      </c>
      <c r="D1798" s="22" t="s">
        <v>30</v>
      </c>
      <c r="E1798" s="22" t="s">
        <v>20</v>
      </c>
      <c r="F1798" s="22" t="n">
        <v>837665</v>
      </c>
      <c r="G1798" s="30" t="n">
        <v>46237</v>
      </c>
      <c r="H1798" s="22" t="n">
        <v>32342</v>
      </c>
      <c r="I1798" s="22" t="s">
        <v>8955</v>
      </c>
      <c r="J1798" s="31" t="n">
        <v>30.98</v>
      </c>
      <c r="K1798" s="26" t="n">
        <v>714.57</v>
      </c>
      <c r="L1798" s="26" t="n">
        <v>150.28</v>
      </c>
      <c r="M1798" s="22" t="s">
        <v>7023</v>
      </c>
      <c r="N1798" s="22" t="n">
        <f aca="false">MATCH(M1798,'Tabela Passaro'!$A$2:$A$1795,0)</f>
        <v>1721</v>
      </c>
      <c r="O1798" s="22" t="str">
        <f aca="false">INDEX('Tabela Passaro'!$C$2:$C$1795,$N1798)</f>
        <v>NOSSA SENHORA DO SOCORRO</v>
      </c>
      <c r="P1798" s="22" t="str">
        <f aca="false">INDEX('Tabela Passaro'!$B$2:$B$1795,$N1798)</f>
        <v>SE</v>
      </c>
      <c r="Q1798" s="22" t="n">
        <f aca="false">INDEX('Tabela Passaro'!$F$2:$F$1795,$N1798)</f>
        <v>7</v>
      </c>
      <c r="R1798" s="32" t="n">
        <f aca="false">IF(J1798&lt;=10,INDEX('Tabela Passaro'!$G$2:$G$1795,$N1798),IF(J1798&lt;=30,INDEX('Tabela Passaro'!$H$2:$H$1795,$N1798),IF(J1798&lt;=50,INDEX('Tabela Passaro'!$I$2:$I$1795,$N1798),IF(J1798&lt;=70,INDEX('Tabela Passaro'!$J$2:$J$1795,$N1798),IF(J1798&lt;=100,INDEX('Tabela Passaro'!$K$2:$K$1795,$N1798),INDEX('Tabela Passaro'!$K$2:$K$1795,$N1798)+(J1798-100)*INDEX('Tabela Passaro'!$L$2:$L$1795,$N1798))))))</f>
        <v>70.56</v>
      </c>
      <c r="S1798" s="32" t="n">
        <f aca="false">K1798*INDEX('Tabela Passaro'!$M$2:$M$1795,$N1798)</f>
        <v>3.57285</v>
      </c>
      <c r="T1798" s="32" t="n">
        <f aca="false">K1798*INDEX('Tabela Passaro'!$N$2:$N$1795,$N1798)</f>
        <v>1.42914</v>
      </c>
      <c r="U1798" s="32" t="n">
        <f aca="false">INDEX('Tabela Passaro'!$O$2:$O$1795,$N1798)</f>
        <v>5</v>
      </c>
      <c r="V1798" s="32" t="n">
        <f aca="false">ROUNDUP(J1798/INDEX('Tabela Passaro'!$Q$2:$Q$1795,$N1798),0)*INDEX('Tabela Passaro'!$P$2:$P$1795,$N1798)</f>
        <v>5</v>
      </c>
      <c r="W1798" s="32" t="n">
        <f aca="false">INDEX('Tabela Passaro'!$R$2:$R$1795,$N1798)</f>
        <v>30</v>
      </c>
      <c r="X1798" s="32" t="n">
        <f aca="false">ROUNDUP(J1798/INDEX('Tabela Passaro'!$T$2:$T$1795,$N1798),0)*INDEX('Tabela Passaro'!$S$2:$S$1795,$N1798)</f>
        <v>0</v>
      </c>
      <c r="Y1798" s="32" t="n">
        <f aca="false">INDEX('Tabela Passaro'!$U$2:$U$1795,$N1798)</f>
        <v>0</v>
      </c>
      <c r="Z1798" s="32" t="n">
        <f aca="false">INDEX('Tabela Passaro'!$V$2:$V$1795,$N1798)</f>
        <v>0</v>
      </c>
      <c r="AA1798" s="32" t="n">
        <f aca="false">SUM(R1798:Z1798)</f>
        <v>115.56199</v>
      </c>
      <c r="AB1798" s="33" t="n">
        <f aca="false">INDEX(Premissas!$B$5:$B$13,MATCH(A1798,Premissas!$A$5:$A$13,0))</f>
        <v>0.07</v>
      </c>
      <c r="AC1798" s="32" t="n">
        <f aca="false">AA1798/(1-AB1798)-AA1798</f>
        <v>8.69821430107528</v>
      </c>
      <c r="AD1798" s="32" t="n">
        <f aca="false">ROUND(AA1798+AC1798,2)</f>
        <v>124.26</v>
      </c>
      <c r="AE1798" s="32" t="n">
        <f aca="false">AD1798-L1798</f>
        <v>-26.02</v>
      </c>
      <c r="AF1798" s="34" t="n">
        <f aca="false">IF(L1798=0,0,AE1798/L1798)</f>
        <v>-0.173143465531009</v>
      </c>
      <c r="AG1798" s="22" t="str">
        <f aca="false">IF(AD1798&lt;L1798,"PASSARO","ATUAL")</f>
        <v>PASSARO</v>
      </c>
      <c r="AH1798" s="22" t="str">
        <f aca="false">IF(P1798&lt;&gt;A1798,"Faixa cadastrada como "&amp;P1798&amp;" na tabela; preço aplicado pela UF do CEP","")</f>
        <v/>
      </c>
      <c r="AI1798" s="26" t="n">
        <v>147.01</v>
      </c>
      <c r="AJ1798" s="22" t="str">
        <f aca="false">INDEX('Tabela Passaro'!$X$2:$X$1795,$N1798)</f>
        <v>CAPITAL</v>
      </c>
    </row>
    <row r="1799" customFormat="false" ht="15" hidden="false" customHeight="false" outlineLevel="0" collapsed="false">
      <c r="A1799" s="22" t="s">
        <v>23</v>
      </c>
      <c r="B1799" s="22" t="n">
        <v>2</v>
      </c>
      <c r="C1799" s="22" t="s">
        <v>200</v>
      </c>
      <c r="D1799" s="22" t="s">
        <v>30</v>
      </c>
      <c r="E1799" s="22" t="s">
        <v>7328</v>
      </c>
      <c r="F1799" s="22" t="n">
        <v>2307915</v>
      </c>
      <c r="G1799" s="30" t="n">
        <v>46239</v>
      </c>
      <c r="H1799" s="22" t="n">
        <v>131888</v>
      </c>
      <c r="I1799" s="22" t="s">
        <v>8956</v>
      </c>
      <c r="J1799" s="31" t="n">
        <v>51.06</v>
      </c>
      <c r="K1799" s="26" t="n">
        <v>971.84</v>
      </c>
      <c r="L1799" s="26" t="n">
        <v>202.87</v>
      </c>
      <c r="M1799" s="22" t="s">
        <v>7023</v>
      </c>
      <c r="N1799" s="22" t="n">
        <f aca="false">MATCH(M1799,'Tabela Passaro'!$A$2:$A$1795,0)</f>
        <v>1721</v>
      </c>
      <c r="O1799" s="22" t="str">
        <f aca="false">INDEX('Tabela Passaro'!$C$2:$C$1795,$N1799)</f>
        <v>NOSSA SENHORA DO SOCORRO</v>
      </c>
      <c r="P1799" s="22" t="str">
        <f aca="false">INDEX('Tabela Passaro'!$B$2:$B$1795,$N1799)</f>
        <v>SE</v>
      </c>
      <c r="Q1799" s="22" t="n">
        <f aca="false">INDEX('Tabela Passaro'!$F$2:$F$1795,$N1799)</f>
        <v>7</v>
      </c>
      <c r="R1799" s="32" t="n">
        <f aca="false">IF(J1799&lt;=10,INDEX('Tabela Passaro'!$G$2:$G$1795,$N1799),IF(J1799&lt;=30,INDEX('Tabela Passaro'!$H$2:$H$1795,$N1799),IF(J1799&lt;=50,INDEX('Tabela Passaro'!$I$2:$I$1795,$N1799),IF(J1799&lt;=70,INDEX('Tabela Passaro'!$J$2:$J$1795,$N1799),IF(J1799&lt;=100,INDEX('Tabela Passaro'!$K$2:$K$1795,$N1799),INDEX('Tabela Passaro'!$K$2:$K$1795,$N1799)+(J1799-100)*INDEX('Tabela Passaro'!$L$2:$L$1795,$N1799))))))</f>
        <v>82.08</v>
      </c>
      <c r="S1799" s="32" t="n">
        <f aca="false">K1799*INDEX('Tabela Passaro'!$M$2:$M$1795,$N1799)</f>
        <v>4.8592</v>
      </c>
      <c r="T1799" s="32" t="n">
        <f aca="false">K1799*INDEX('Tabela Passaro'!$N$2:$N$1795,$N1799)</f>
        <v>1.94368</v>
      </c>
      <c r="U1799" s="32" t="n">
        <f aca="false">INDEX('Tabela Passaro'!$O$2:$O$1795,$N1799)</f>
        <v>5</v>
      </c>
      <c r="V1799" s="32" t="n">
        <f aca="false">ROUNDUP(J1799/INDEX('Tabela Passaro'!$Q$2:$Q$1795,$N1799),0)*INDEX('Tabela Passaro'!$P$2:$P$1795,$N1799)</f>
        <v>5</v>
      </c>
      <c r="W1799" s="32" t="n">
        <f aca="false">INDEX('Tabela Passaro'!$R$2:$R$1795,$N1799)</f>
        <v>30</v>
      </c>
      <c r="X1799" s="32" t="n">
        <f aca="false">ROUNDUP(J1799/INDEX('Tabela Passaro'!$T$2:$T$1795,$N1799),0)*INDEX('Tabela Passaro'!$S$2:$S$1795,$N1799)</f>
        <v>0</v>
      </c>
      <c r="Y1799" s="32" t="n">
        <f aca="false">INDEX('Tabela Passaro'!$U$2:$U$1795,$N1799)</f>
        <v>0</v>
      </c>
      <c r="Z1799" s="32" t="n">
        <f aca="false">INDEX('Tabela Passaro'!$V$2:$V$1795,$N1799)</f>
        <v>0</v>
      </c>
      <c r="AA1799" s="32" t="n">
        <f aca="false">SUM(R1799:Z1799)</f>
        <v>128.88288</v>
      </c>
      <c r="AB1799" s="33" t="n">
        <f aca="false">INDEX(Premissas!$B$5:$B$13,MATCH(A1799,Premissas!$A$5:$A$13,0))</f>
        <v>0.07</v>
      </c>
      <c r="AC1799" s="32" t="n">
        <f aca="false">AA1799/(1-AB1799)-AA1799</f>
        <v>9.70086193548389</v>
      </c>
      <c r="AD1799" s="32" t="n">
        <f aca="false">ROUND(AA1799+AC1799,2)</f>
        <v>138.58</v>
      </c>
      <c r="AE1799" s="32" t="n">
        <f aca="false">AD1799-L1799</f>
        <v>-64.29</v>
      </c>
      <c r="AF1799" s="34" t="n">
        <f aca="false">IF(L1799=0,0,AE1799/L1799)</f>
        <v>-0.316902449844728</v>
      </c>
      <c r="AG1799" s="22" t="str">
        <f aca="false">IF(AD1799&lt;L1799,"PASSARO","ATUAL")</f>
        <v>PASSARO</v>
      </c>
      <c r="AH1799" s="22" t="str">
        <f aca="false">IF(P1799&lt;&gt;A1799,"Faixa cadastrada como "&amp;P1799&amp;" na tabela; preço aplicado pela UF do CEP","")</f>
        <v/>
      </c>
      <c r="AI1799" s="26" t="n">
        <v>172.19</v>
      </c>
      <c r="AJ1799" s="22" t="str">
        <f aca="false">INDEX('Tabela Passaro'!$X$2:$X$1795,$N1799)</f>
        <v>CAPITAL</v>
      </c>
    </row>
    <row r="1800" customFormat="false" ht="15" hidden="false" customHeight="false" outlineLevel="0" collapsed="false">
      <c r="A1800" s="22" t="s">
        <v>23</v>
      </c>
      <c r="B1800" s="22" t="n">
        <v>2</v>
      </c>
      <c r="C1800" s="22" t="s">
        <v>200</v>
      </c>
      <c r="D1800" s="22" t="s">
        <v>30</v>
      </c>
      <c r="E1800" s="22" t="s">
        <v>20</v>
      </c>
      <c r="F1800" s="22" t="n">
        <v>838164</v>
      </c>
      <c r="G1800" s="30" t="n">
        <v>46241</v>
      </c>
      <c r="H1800" s="22" t="n">
        <v>32424</v>
      </c>
      <c r="I1800" s="22" t="s">
        <v>8957</v>
      </c>
      <c r="J1800" s="31" t="n">
        <v>37.59</v>
      </c>
      <c r="K1800" s="26" t="n">
        <v>698.77</v>
      </c>
      <c r="L1800" s="26" t="n">
        <v>150.15</v>
      </c>
      <c r="M1800" s="22" t="s">
        <v>7023</v>
      </c>
      <c r="N1800" s="22" t="n">
        <f aca="false">MATCH(M1800,'Tabela Passaro'!$A$2:$A$1795,0)</f>
        <v>1721</v>
      </c>
      <c r="O1800" s="22" t="str">
        <f aca="false">INDEX('Tabela Passaro'!$C$2:$C$1795,$N1800)</f>
        <v>NOSSA SENHORA DO SOCORRO</v>
      </c>
      <c r="P1800" s="22" t="str">
        <f aca="false">INDEX('Tabela Passaro'!$B$2:$B$1795,$N1800)</f>
        <v>SE</v>
      </c>
      <c r="Q1800" s="22" t="n">
        <f aca="false">INDEX('Tabela Passaro'!$F$2:$F$1795,$N1800)</f>
        <v>7</v>
      </c>
      <c r="R1800" s="32" t="n">
        <f aca="false">IF(J1800&lt;=10,INDEX('Tabela Passaro'!$G$2:$G$1795,$N1800),IF(J1800&lt;=30,INDEX('Tabela Passaro'!$H$2:$H$1795,$N1800),IF(J1800&lt;=50,INDEX('Tabela Passaro'!$I$2:$I$1795,$N1800),IF(J1800&lt;=70,INDEX('Tabela Passaro'!$J$2:$J$1795,$N1800),IF(J1800&lt;=100,INDEX('Tabela Passaro'!$K$2:$K$1795,$N1800),INDEX('Tabela Passaro'!$K$2:$K$1795,$N1800)+(J1800-100)*INDEX('Tabela Passaro'!$L$2:$L$1795,$N1800))))))</f>
        <v>70.56</v>
      </c>
      <c r="S1800" s="32" t="n">
        <f aca="false">K1800*INDEX('Tabela Passaro'!$M$2:$M$1795,$N1800)</f>
        <v>3.49385</v>
      </c>
      <c r="T1800" s="32" t="n">
        <f aca="false">K1800*INDEX('Tabela Passaro'!$N$2:$N$1795,$N1800)</f>
        <v>1.39754</v>
      </c>
      <c r="U1800" s="32" t="n">
        <f aca="false">INDEX('Tabela Passaro'!$O$2:$O$1795,$N1800)</f>
        <v>5</v>
      </c>
      <c r="V1800" s="32" t="n">
        <f aca="false">ROUNDUP(J1800/INDEX('Tabela Passaro'!$Q$2:$Q$1795,$N1800),0)*INDEX('Tabela Passaro'!$P$2:$P$1795,$N1800)</f>
        <v>5</v>
      </c>
      <c r="W1800" s="32" t="n">
        <f aca="false">INDEX('Tabela Passaro'!$R$2:$R$1795,$N1800)</f>
        <v>30</v>
      </c>
      <c r="X1800" s="32" t="n">
        <f aca="false">ROUNDUP(J1800/INDEX('Tabela Passaro'!$T$2:$T$1795,$N1800),0)*INDEX('Tabela Passaro'!$S$2:$S$1795,$N1800)</f>
        <v>0</v>
      </c>
      <c r="Y1800" s="32" t="n">
        <f aca="false">INDEX('Tabela Passaro'!$U$2:$U$1795,$N1800)</f>
        <v>0</v>
      </c>
      <c r="Z1800" s="32" t="n">
        <f aca="false">INDEX('Tabela Passaro'!$V$2:$V$1795,$N1800)</f>
        <v>0</v>
      </c>
      <c r="AA1800" s="32" t="n">
        <f aca="false">SUM(R1800:Z1800)</f>
        <v>115.45139</v>
      </c>
      <c r="AB1800" s="33" t="n">
        <f aca="false">INDEX(Premissas!$B$5:$B$13,MATCH(A1800,Premissas!$A$5:$A$13,0))</f>
        <v>0.07</v>
      </c>
      <c r="AC1800" s="32" t="n">
        <f aca="false">AA1800/(1-AB1800)-AA1800</f>
        <v>8.68988956989249</v>
      </c>
      <c r="AD1800" s="32" t="n">
        <f aca="false">ROUND(AA1800+AC1800,2)</f>
        <v>124.14</v>
      </c>
      <c r="AE1800" s="32" t="n">
        <f aca="false">AD1800-L1800</f>
        <v>-26.01</v>
      </c>
      <c r="AF1800" s="34" t="n">
        <f aca="false">IF(L1800=0,0,AE1800/L1800)</f>
        <v>-0.173226773226773</v>
      </c>
      <c r="AG1800" s="22" t="str">
        <f aca="false">IF(AD1800&lt;L1800,"PASSARO","ATUAL")</f>
        <v>PASSARO</v>
      </c>
      <c r="AH1800" s="22" t="str">
        <f aca="false">IF(P1800&lt;&gt;A1800,"Faixa cadastrada como "&amp;P1800&amp;" na tabela; preço aplicado pela UF do CEP","")</f>
        <v/>
      </c>
      <c r="AI1800" s="26" t="n">
        <v>150.25</v>
      </c>
      <c r="AJ1800" s="22" t="str">
        <f aca="false">INDEX('Tabela Passaro'!$X$2:$X$1795,$N1800)</f>
        <v>CAPITAL</v>
      </c>
    </row>
    <row r="1801" customFormat="false" ht="15" hidden="false" customHeight="false" outlineLevel="0" collapsed="false">
      <c r="A1801" s="22" t="s">
        <v>23</v>
      </c>
      <c r="B1801" s="22" t="n">
        <v>2</v>
      </c>
      <c r="C1801" s="22" t="s">
        <v>200</v>
      </c>
      <c r="D1801" s="22" t="s">
        <v>30</v>
      </c>
      <c r="E1801" s="22" t="s">
        <v>7326</v>
      </c>
      <c r="F1801" s="22" t="n">
        <v>523068</v>
      </c>
      <c r="G1801" s="30" t="n">
        <v>46241</v>
      </c>
      <c r="H1801" s="22" t="n">
        <v>621362</v>
      </c>
      <c r="I1801" s="22" t="s">
        <v>8958</v>
      </c>
      <c r="J1801" s="31" t="n">
        <v>76.8</v>
      </c>
      <c r="K1801" s="26" t="n">
        <v>1294.88</v>
      </c>
      <c r="L1801" s="26" t="n">
        <v>292.34</v>
      </c>
      <c r="M1801" s="22" t="s">
        <v>7023</v>
      </c>
      <c r="N1801" s="22" t="n">
        <f aca="false">MATCH(M1801,'Tabela Passaro'!$A$2:$A$1795,0)</f>
        <v>1721</v>
      </c>
      <c r="O1801" s="22" t="str">
        <f aca="false">INDEX('Tabela Passaro'!$C$2:$C$1795,$N1801)</f>
        <v>NOSSA SENHORA DO SOCORRO</v>
      </c>
      <c r="P1801" s="22" t="str">
        <f aca="false">INDEX('Tabela Passaro'!$B$2:$B$1795,$N1801)</f>
        <v>SE</v>
      </c>
      <c r="Q1801" s="22" t="n">
        <f aca="false">INDEX('Tabela Passaro'!$F$2:$F$1795,$N1801)</f>
        <v>7</v>
      </c>
      <c r="R1801" s="32" t="n">
        <f aca="false">IF(J1801&lt;=10,INDEX('Tabela Passaro'!$G$2:$G$1795,$N1801),IF(J1801&lt;=30,INDEX('Tabela Passaro'!$H$2:$H$1795,$N1801),IF(J1801&lt;=50,INDEX('Tabela Passaro'!$I$2:$I$1795,$N1801),IF(J1801&lt;=70,INDEX('Tabela Passaro'!$J$2:$J$1795,$N1801),IF(J1801&lt;=100,INDEX('Tabela Passaro'!$K$2:$K$1795,$N1801),INDEX('Tabela Passaro'!$K$2:$K$1795,$N1801)+(J1801-100)*INDEX('Tabela Passaro'!$L$2:$L$1795,$N1801))))))</f>
        <v>99.36</v>
      </c>
      <c r="S1801" s="32" t="n">
        <f aca="false">K1801*INDEX('Tabela Passaro'!$M$2:$M$1795,$N1801)</f>
        <v>6.4744</v>
      </c>
      <c r="T1801" s="32" t="n">
        <f aca="false">K1801*INDEX('Tabela Passaro'!$N$2:$N$1795,$N1801)</f>
        <v>2.58976</v>
      </c>
      <c r="U1801" s="32" t="n">
        <f aca="false">INDEX('Tabela Passaro'!$O$2:$O$1795,$N1801)</f>
        <v>5</v>
      </c>
      <c r="V1801" s="32" t="n">
        <f aca="false">ROUNDUP(J1801/INDEX('Tabela Passaro'!$Q$2:$Q$1795,$N1801),0)*INDEX('Tabela Passaro'!$P$2:$P$1795,$N1801)</f>
        <v>5</v>
      </c>
      <c r="W1801" s="32" t="n">
        <f aca="false">INDEX('Tabela Passaro'!$R$2:$R$1795,$N1801)</f>
        <v>30</v>
      </c>
      <c r="X1801" s="32" t="n">
        <f aca="false">ROUNDUP(J1801/INDEX('Tabela Passaro'!$T$2:$T$1795,$N1801),0)*INDEX('Tabela Passaro'!$S$2:$S$1795,$N1801)</f>
        <v>0</v>
      </c>
      <c r="Y1801" s="32" t="n">
        <f aca="false">INDEX('Tabela Passaro'!$U$2:$U$1795,$N1801)</f>
        <v>0</v>
      </c>
      <c r="Z1801" s="32" t="n">
        <f aca="false">INDEX('Tabela Passaro'!$V$2:$V$1795,$N1801)</f>
        <v>0</v>
      </c>
      <c r="AA1801" s="32" t="n">
        <f aca="false">SUM(R1801:Z1801)</f>
        <v>148.42416</v>
      </c>
      <c r="AB1801" s="33" t="n">
        <f aca="false">INDEX(Premissas!$B$5:$B$13,MATCH(A1801,Premissas!$A$5:$A$13,0))</f>
        <v>0.07</v>
      </c>
      <c r="AC1801" s="32" t="n">
        <f aca="false">AA1801/(1-AB1801)-AA1801</f>
        <v>11.1717109677419</v>
      </c>
      <c r="AD1801" s="32" t="n">
        <f aca="false">ROUND(AA1801+AC1801,2)</f>
        <v>159.6</v>
      </c>
      <c r="AE1801" s="32" t="n">
        <f aca="false">AD1801-L1801</f>
        <v>-132.74</v>
      </c>
      <c r="AF1801" s="34" t="n">
        <f aca="false">IF(L1801=0,0,AE1801/L1801)</f>
        <v>-0.454060340699186</v>
      </c>
      <c r="AG1801" s="22" t="str">
        <f aca="false">IF(AD1801&lt;L1801,"PASSARO","ATUAL")</f>
        <v>PASSARO</v>
      </c>
      <c r="AH1801" s="22" t="str">
        <f aca="false">IF(P1801&lt;&gt;A1801,"Faixa cadastrada como "&amp;P1801&amp;" na tabela; preço aplicado pela UF do CEP","")</f>
        <v/>
      </c>
      <c r="AI1801" s="26" t="n">
        <v>206.2</v>
      </c>
      <c r="AJ1801" s="22" t="str">
        <f aca="false">INDEX('Tabela Passaro'!$X$2:$X$1795,$N1801)</f>
        <v>CAPITAL</v>
      </c>
    </row>
    <row r="1802" customFormat="false" ht="15" hidden="false" customHeight="false" outlineLevel="0" collapsed="false">
      <c r="A1802" s="22" t="s">
        <v>23</v>
      </c>
      <c r="B1802" s="22" t="n">
        <v>2</v>
      </c>
      <c r="C1802" s="22" t="s">
        <v>200</v>
      </c>
      <c r="D1802" s="22" t="s">
        <v>30</v>
      </c>
      <c r="E1802" s="22" t="s">
        <v>7326</v>
      </c>
      <c r="F1802" s="22" t="n">
        <v>523067</v>
      </c>
      <c r="G1802" s="30" t="n">
        <v>46241</v>
      </c>
      <c r="H1802" s="22" t="n">
        <v>621363</v>
      </c>
      <c r="I1802" s="22" t="s">
        <v>8958</v>
      </c>
      <c r="J1802" s="31" t="n">
        <v>46.7</v>
      </c>
      <c r="K1802" s="26" t="n">
        <v>800.06</v>
      </c>
      <c r="L1802" s="26" t="n">
        <v>181.51</v>
      </c>
      <c r="M1802" s="22" t="s">
        <v>7023</v>
      </c>
      <c r="N1802" s="22" t="n">
        <f aca="false">MATCH(M1802,'Tabela Passaro'!$A$2:$A$1795,0)</f>
        <v>1721</v>
      </c>
      <c r="O1802" s="22" t="str">
        <f aca="false">INDEX('Tabela Passaro'!$C$2:$C$1795,$N1802)</f>
        <v>NOSSA SENHORA DO SOCORRO</v>
      </c>
      <c r="P1802" s="22" t="str">
        <f aca="false">INDEX('Tabela Passaro'!$B$2:$B$1795,$N1802)</f>
        <v>SE</v>
      </c>
      <c r="Q1802" s="22" t="n">
        <f aca="false">INDEX('Tabela Passaro'!$F$2:$F$1795,$N1802)</f>
        <v>7</v>
      </c>
      <c r="R1802" s="32" t="n">
        <f aca="false">IF(J1802&lt;=10,INDEX('Tabela Passaro'!$G$2:$G$1795,$N1802),IF(J1802&lt;=30,INDEX('Tabela Passaro'!$H$2:$H$1795,$N1802),IF(J1802&lt;=50,INDEX('Tabela Passaro'!$I$2:$I$1795,$N1802),IF(J1802&lt;=70,INDEX('Tabela Passaro'!$J$2:$J$1795,$N1802),IF(J1802&lt;=100,INDEX('Tabela Passaro'!$K$2:$K$1795,$N1802),INDEX('Tabela Passaro'!$K$2:$K$1795,$N1802)+(J1802-100)*INDEX('Tabela Passaro'!$L$2:$L$1795,$N1802))))))</f>
        <v>70.56</v>
      </c>
      <c r="S1802" s="32" t="n">
        <f aca="false">K1802*INDEX('Tabela Passaro'!$M$2:$M$1795,$N1802)</f>
        <v>4.0003</v>
      </c>
      <c r="T1802" s="32" t="n">
        <f aca="false">K1802*INDEX('Tabela Passaro'!$N$2:$N$1795,$N1802)</f>
        <v>1.60012</v>
      </c>
      <c r="U1802" s="32" t="n">
        <f aca="false">INDEX('Tabela Passaro'!$O$2:$O$1795,$N1802)</f>
        <v>5</v>
      </c>
      <c r="V1802" s="32" t="n">
        <f aca="false">ROUNDUP(J1802/INDEX('Tabela Passaro'!$Q$2:$Q$1795,$N1802),0)*INDEX('Tabela Passaro'!$P$2:$P$1795,$N1802)</f>
        <v>5</v>
      </c>
      <c r="W1802" s="32" t="n">
        <f aca="false">INDEX('Tabela Passaro'!$R$2:$R$1795,$N1802)</f>
        <v>30</v>
      </c>
      <c r="X1802" s="32" t="n">
        <f aca="false">ROUNDUP(J1802/INDEX('Tabela Passaro'!$T$2:$T$1795,$N1802),0)*INDEX('Tabela Passaro'!$S$2:$S$1795,$N1802)</f>
        <v>0</v>
      </c>
      <c r="Y1802" s="32" t="n">
        <f aca="false">INDEX('Tabela Passaro'!$U$2:$U$1795,$N1802)</f>
        <v>0</v>
      </c>
      <c r="Z1802" s="32" t="n">
        <f aca="false">INDEX('Tabela Passaro'!$V$2:$V$1795,$N1802)</f>
        <v>0</v>
      </c>
      <c r="AA1802" s="32" t="n">
        <f aca="false">SUM(R1802:Z1802)</f>
        <v>116.16042</v>
      </c>
      <c r="AB1802" s="33" t="n">
        <f aca="false">INDEX(Premissas!$B$5:$B$13,MATCH(A1802,Premissas!$A$5:$A$13,0))</f>
        <v>0.07</v>
      </c>
      <c r="AC1802" s="32" t="n">
        <f aca="false">AA1802/(1-AB1802)-AA1802</f>
        <v>8.74325741935485</v>
      </c>
      <c r="AD1802" s="32" t="n">
        <f aca="false">ROUND(AA1802+AC1802,2)</f>
        <v>124.9</v>
      </c>
      <c r="AE1802" s="32" t="n">
        <f aca="false">AD1802-L1802</f>
        <v>-56.61</v>
      </c>
      <c r="AF1802" s="34" t="n">
        <f aca="false">IF(L1802=0,0,AE1802/L1802)</f>
        <v>-0.311883642774503</v>
      </c>
      <c r="AG1802" s="22" t="str">
        <f aca="false">IF(AD1802&lt;L1802,"PASSARO","ATUAL")</f>
        <v>PASSARO</v>
      </c>
      <c r="AH1802" s="22" t="str">
        <f aca="false">IF(P1802&lt;&gt;A1802,"Faixa cadastrada como "&amp;P1802&amp;" na tabela; preço aplicado pela UF do CEP","")</f>
        <v/>
      </c>
      <c r="AI1802" s="26" t="n">
        <v>155.58</v>
      </c>
      <c r="AJ1802" s="22" t="str">
        <f aca="false">INDEX('Tabela Passaro'!$X$2:$X$1795,$N1802)</f>
        <v>CAPITAL</v>
      </c>
    </row>
    <row r="1803" customFormat="false" ht="15" hidden="false" customHeight="false" outlineLevel="0" collapsed="false">
      <c r="A1803" s="22" t="s">
        <v>23</v>
      </c>
      <c r="B1803" s="22" t="n">
        <v>2</v>
      </c>
      <c r="C1803" s="22" t="s">
        <v>200</v>
      </c>
      <c r="D1803" s="22" t="s">
        <v>30</v>
      </c>
      <c r="E1803" s="22" t="s">
        <v>7328</v>
      </c>
      <c r="F1803" s="22" t="n">
        <v>2312433</v>
      </c>
      <c r="G1803" s="30" t="n">
        <v>46248</v>
      </c>
      <c r="H1803" s="22" t="n">
        <v>133354</v>
      </c>
      <c r="I1803" s="22" t="s">
        <v>8959</v>
      </c>
      <c r="J1803" s="31" t="n">
        <v>66.8</v>
      </c>
      <c r="K1803" s="26" t="n">
        <v>925.94</v>
      </c>
      <c r="L1803" s="26" t="n">
        <v>202.5</v>
      </c>
      <c r="M1803" s="22" t="s">
        <v>7023</v>
      </c>
      <c r="N1803" s="22" t="n">
        <f aca="false">MATCH(M1803,'Tabela Passaro'!$A$2:$A$1795,0)</f>
        <v>1721</v>
      </c>
      <c r="O1803" s="22" t="str">
        <f aca="false">INDEX('Tabela Passaro'!$C$2:$C$1795,$N1803)</f>
        <v>NOSSA SENHORA DO SOCORRO</v>
      </c>
      <c r="P1803" s="22" t="str">
        <f aca="false">INDEX('Tabela Passaro'!$B$2:$B$1795,$N1803)</f>
        <v>SE</v>
      </c>
      <c r="Q1803" s="22" t="n">
        <f aca="false">INDEX('Tabela Passaro'!$F$2:$F$1795,$N1803)</f>
        <v>7</v>
      </c>
      <c r="R1803" s="32" t="n">
        <f aca="false">IF(J1803&lt;=10,INDEX('Tabela Passaro'!$G$2:$G$1795,$N1803),IF(J1803&lt;=30,INDEX('Tabela Passaro'!$H$2:$H$1795,$N1803),IF(J1803&lt;=50,INDEX('Tabela Passaro'!$I$2:$I$1795,$N1803),IF(J1803&lt;=70,INDEX('Tabela Passaro'!$J$2:$J$1795,$N1803),IF(J1803&lt;=100,INDEX('Tabela Passaro'!$K$2:$K$1795,$N1803),INDEX('Tabela Passaro'!$K$2:$K$1795,$N1803)+(J1803-100)*INDEX('Tabela Passaro'!$L$2:$L$1795,$N1803))))))</f>
        <v>82.08</v>
      </c>
      <c r="S1803" s="32" t="n">
        <f aca="false">K1803*INDEX('Tabela Passaro'!$M$2:$M$1795,$N1803)</f>
        <v>4.6297</v>
      </c>
      <c r="T1803" s="32" t="n">
        <f aca="false">K1803*INDEX('Tabela Passaro'!$N$2:$N$1795,$N1803)</f>
        <v>1.85188</v>
      </c>
      <c r="U1803" s="32" t="n">
        <f aca="false">INDEX('Tabela Passaro'!$O$2:$O$1795,$N1803)</f>
        <v>5</v>
      </c>
      <c r="V1803" s="32" t="n">
        <f aca="false">ROUNDUP(J1803/INDEX('Tabela Passaro'!$Q$2:$Q$1795,$N1803),0)*INDEX('Tabela Passaro'!$P$2:$P$1795,$N1803)</f>
        <v>5</v>
      </c>
      <c r="W1803" s="32" t="n">
        <f aca="false">INDEX('Tabela Passaro'!$R$2:$R$1795,$N1803)</f>
        <v>30</v>
      </c>
      <c r="X1803" s="32" t="n">
        <f aca="false">ROUNDUP(J1803/INDEX('Tabela Passaro'!$T$2:$T$1795,$N1803),0)*INDEX('Tabela Passaro'!$S$2:$S$1795,$N1803)</f>
        <v>0</v>
      </c>
      <c r="Y1803" s="32" t="n">
        <f aca="false">INDEX('Tabela Passaro'!$U$2:$U$1795,$N1803)</f>
        <v>0</v>
      </c>
      <c r="Z1803" s="32" t="n">
        <f aca="false">INDEX('Tabela Passaro'!$V$2:$V$1795,$N1803)</f>
        <v>0</v>
      </c>
      <c r="AA1803" s="32" t="n">
        <f aca="false">SUM(R1803:Z1803)</f>
        <v>128.56158</v>
      </c>
      <c r="AB1803" s="33" t="n">
        <f aca="false">INDEX(Premissas!$B$5:$B$13,MATCH(A1803,Premissas!$A$5:$A$13,0))</f>
        <v>0.07</v>
      </c>
      <c r="AC1803" s="32" t="n">
        <f aca="false">AA1803/(1-AB1803)-AA1803</f>
        <v>9.67667806451613</v>
      </c>
      <c r="AD1803" s="32" t="n">
        <f aca="false">ROUND(AA1803+AC1803,2)</f>
        <v>138.24</v>
      </c>
      <c r="AE1803" s="32" t="n">
        <f aca="false">AD1803-L1803</f>
        <v>-64.26</v>
      </c>
      <c r="AF1803" s="34" t="n">
        <f aca="false">IF(L1803=0,0,AE1803/L1803)</f>
        <v>-0.317333333333333</v>
      </c>
      <c r="AG1803" s="22" t="str">
        <f aca="false">IF(AD1803&lt;L1803,"PASSARO","ATUAL")</f>
        <v>PASSARO</v>
      </c>
      <c r="AH1803" s="22" t="str">
        <f aca="false">IF(P1803&lt;&gt;A1803,"Faixa cadastrada como "&amp;P1803&amp;" na tabela; preço aplicado pela UF do CEP","")</f>
        <v/>
      </c>
      <c r="AI1803" s="26" t="n">
        <v>179</v>
      </c>
      <c r="AJ1803" s="22" t="str">
        <f aca="false">INDEX('Tabela Passaro'!$X$2:$X$1795,$N1803)</f>
        <v>CAPITAL</v>
      </c>
    </row>
    <row r="1804" customFormat="false" ht="15" hidden="false" customHeight="false" outlineLevel="0" collapsed="false">
      <c r="A1804" s="22" t="s">
        <v>23</v>
      </c>
      <c r="B1804" s="22" t="n">
        <v>2</v>
      </c>
      <c r="C1804" s="22" t="s">
        <v>200</v>
      </c>
      <c r="D1804" s="22" t="s">
        <v>30</v>
      </c>
      <c r="E1804" s="22" t="s">
        <v>7326</v>
      </c>
      <c r="F1804" s="22" t="n">
        <v>525023</v>
      </c>
      <c r="G1804" s="30" t="n">
        <v>46248</v>
      </c>
      <c r="H1804" s="22" t="n">
        <v>624796</v>
      </c>
      <c r="I1804" s="22" t="s">
        <v>8960</v>
      </c>
      <c r="J1804" s="31" t="n">
        <v>129.3</v>
      </c>
      <c r="K1804" s="26" t="n">
        <v>1776.61</v>
      </c>
      <c r="L1804" s="26" t="n">
        <v>375.72</v>
      </c>
      <c r="M1804" s="22" t="s">
        <v>7023</v>
      </c>
      <c r="N1804" s="22" t="n">
        <f aca="false">MATCH(M1804,'Tabela Passaro'!$A$2:$A$1795,0)</f>
        <v>1721</v>
      </c>
      <c r="O1804" s="22" t="str">
        <f aca="false">INDEX('Tabela Passaro'!$C$2:$C$1795,$N1804)</f>
        <v>NOSSA SENHORA DO SOCORRO</v>
      </c>
      <c r="P1804" s="22" t="str">
        <f aca="false">INDEX('Tabela Passaro'!$B$2:$B$1795,$N1804)</f>
        <v>SE</v>
      </c>
      <c r="Q1804" s="22" t="n">
        <f aca="false">INDEX('Tabela Passaro'!$F$2:$F$1795,$N1804)</f>
        <v>7</v>
      </c>
      <c r="R1804" s="32" t="n">
        <f aca="false">IF(J1804&lt;=10,INDEX('Tabela Passaro'!$G$2:$G$1795,$N1804),IF(J1804&lt;=30,INDEX('Tabela Passaro'!$H$2:$H$1795,$N1804),IF(J1804&lt;=50,INDEX('Tabela Passaro'!$I$2:$I$1795,$N1804),IF(J1804&lt;=70,INDEX('Tabela Passaro'!$J$2:$J$1795,$N1804),IF(J1804&lt;=100,INDEX('Tabela Passaro'!$K$2:$K$1795,$N1804),INDEX('Tabela Passaro'!$K$2:$K$1795,$N1804)+(J1804-100)*INDEX('Tabela Passaro'!$L$2:$L$1795,$N1804))))))</f>
        <v>140.966</v>
      </c>
      <c r="S1804" s="32" t="n">
        <f aca="false">K1804*INDEX('Tabela Passaro'!$M$2:$M$1795,$N1804)</f>
        <v>8.88305</v>
      </c>
      <c r="T1804" s="32" t="n">
        <f aca="false">K1804*INDEX('Tabela Passaro'!$N$2:$N$1795,$N1804)</f>
        <v>3.55322</v>
      </c>
      <c r="U1804" s="32" t="n">
        <f aca="false">INDEX('Tabela Passaro'!$O$2:$O$1795,$N1804)</f>
        <v>5</v>
      </c>
      <c r="V1804" s="32" t="n">
        <f aca="false">ROUNDUP(J1804/INDEX('Tabela Passaro'!$Q$2:$Q$1795,$N1804),0)*INDEX('Tabela Passaro'!$P$2:$P$1795,$N1804)</f>
        <v>10</v>
      </c>
      <c r="W1804" s="32" t="n">
        <f aca="false">INDEX('Tabela Passaro'!$R$2:$R$1795,$N1804)</f>
        <v>30</v>
      </c>
      <c r="X1804" s="32" t="n">
        <f aca="false">ROUNDUP(J1804/INDEX('Tabela Passaro'!$T$2:$T$1795,$N1804),0)*INDEX('Tabela Passaro'!$S$2:$S$1795,$N1804)</f>
        <v>0</v>
      </c>
      <c r="Y1804" s="32" t="n">
        <f aca="false">INDEX('Tabela Passaro'!$U$2:$U$1795,$N1804)</f>
        <v>0</v>
      </c>
      <c r="Z1804" s="32" t="n">
        <f aca="false">INDEX('Tabela Passaro'!$V$2:$V$1795,$N1804)</f>
        <v>0</v>
      </c>
      <c r="AA1804" s="32" t="n">
        <f aca="false">SUM(R1804:Z1804)</f>
        <v>198.40227</v>
      </c>
      <c r="AB1804" s="33" t="n">
        <f aca="false">INDEX(Premissas!$B$5:$B$13,MATCH(A1804,Premissas!$A$5:$A$13,0))</f>
        <v>0.07</v>
      </c>
      <c r="AC1804" s="32" t="n">
        <f aca="false">AA1804/(1-AB1804)-AA1804</f>
        <v>14.9335041935484</v>
      </c>
      <c r="AD1804" s="32" t="n">
        <f aca="false">ROUND(AA1804+AC1804,2)</f>
        <v>213.34</v>
      </c>
      <c r="AE1804" s="32" t="n">
        <f aca="false">AD1804-L1804</f>
        <v>-162.38</v>
      </c>
      <c r="AF1804" s="34" t="n">
        <f aca="false">IF(L1804=0,0,AE1804/L1804)</f>
        <v>-0.432183540934739</v>
      </c>
      <c r="AG1804" s="22" t="str">
        <f aca="false">IF(AD1804&lt;L1804,"PASSARO","ATUAL")</f>
        <v>PASSARO</v>
      </c>
      <c r="AH1804" s="22" t="str">
        <f aca="false">IF(P1804&lt;&gt;A1804,"Faixa cadastrada como "&amp;P1804&amp;" na tabela; preço aplicado pela UF do CEP","")</f>
        <v/>
      </c>
      <c r="AI1804" s="26" t="n">
        <v>292.29</v>
      </c>
      <c r="AJ1804" s="22" t="str">
        <f aca="false">INDEX('Tabela Passaro'!$X$2:$X$1795,$N1804)</f>
        <v>CAPITAL</v>
      </c>
    </row>
    <row r="1805" customFormat="false" ht="15" hidden="false" customHeight="false" outlineLevel="0" collapsed="false">
      <c r="A1805" s="22" t="s">
        <v>23</v>
      </c>
      <c r="B1805" s="22" t="n">
        <v>2</v>
      </c>
      <c r="C1805" s="22" t="s">
        <v>200</v>
      </c>
      <c r="D1805" s="22" t="s">
        <v>30</v>
      </c>
      <c r="E1805" s="22" t="s">
        <v>7326</v>
      </c>
      <c r="F1805" s="22" t="n">
        <v>525379</v>
      </c>
      <c r="G1805" s="30" t="n">
        <v>46251</v>
      </c>
      <c r="H1805" s="22" t="n">
        <v>625368</v>
      </c>
      <c r="I1805" s="22" t="s">
        <v>8961</v>
      </c>
      <c r="J1805" s="31" t="n">
        <v>124.2</v>
      </c>
      <c r="K1805" s="26" t="n">
        <v>2262.47</v>
      </c>
      <c r="L1805" s="26" t="n">
        <v>371.3</v>
      </c>
      <c r="M1805" s="22" t="s">
        <v>7023</v>
      </c>
      <c r="N1805" s="22" t="n">
        <f aca="false">MATCH(M1805,'Tabela Passaro'!$A$2:$A$1795,0)</f>
        <v>1721</v>
      </c>
      <c r="O1805" s="22" t="str">
        <f aca="false">INDEX('Tabela Passaro'!$C$2:$C$1795,$N1805)</f>
        <v>NOSSA SENHORA DO SOCORRO</v>
      </c>
      <c r="P1805" s="22" t="str">
        <f aca="false">INDEX('Tabela Passaro'!$B$2:$B$1795,$N1805)</f>
        <v>SE</v>
      </c>
      <c r="Q1805" s="22" t="n">
        <f aca="false">INDEX('Tabela Passaro'!$F$2:$F$1795,$N1805)</f>
        <v>7</v>
      </c>
      <c r="R1805" s="32" t="n">
        <f aca="false">IF(J1805&lt;=10,INDEX('Tabela Passaro'!$G$2:$G$1795,$N1805),IF(J1805&lt;=30,INDEX('Tabela Passaro'!$H$2:$H$1795,$N1805),IF(J1805&lt;=50,INDEX('Tabela Passaro'!$I$2:$I$1795,$N1805),IF(J1805&lt;=70,INDEX('Tabela Passaro'!$J$2:$J$1795,$N1805),IF(J1805&lt;=100,INDEX('Tabela Passaro'!$K$2:$K$1795,$N1805),INDEX('Tabela Passaro'!$K$2:$K$1795,$N1805)+(J1805-100)*INDEX('Tabela Passaro'!$L$2:$L$1795,$N1805))))))</f>
        <v>133.724</v>
      </c>
      <c r="S1805" s="32" t="n">
        <f aca="false">K1805*INDEX('Tabela Passaro'!$M$2:$M$1795,$N1805)</f>
        <v>11.31235</v>
      </c>
      <c r="T1805" s="32" t="n">
        <f aca="false">K1805*INDEX('Tabela Passaro'!$N$2:$N$1795,$N1805)</f>
        <v>4.52494</v>
      </c>
      <c r="U1805" s="32" t="n">
        <f aca="false">INDEX('Tabela Passaro'!$O$2:$O$1795,$N1805)</f>
        <v>5</v>
      </c>
      <c r="V1805" s="32" t="n">
        <f aca="false">ROUNDUP(J1805/INDEX('Tabela Passaro'!$Q$2:$Q$1795,$N1805),0)*INDEX('Tabela Passaro'!$P$2:$P$1795,$N1805)</f>
        <v>10</v>
      </c>
      <c r="W1805" s="32" t="n">
        <f aca="false">INDEX('Tabela Passaro'!$R$2:$R$1795,$N1805)</f>
        <v>30</v>
      </c>
      <c r="X1805" s="32" t="n">
        <f aca="false">ROUNDUP(J1805/INDEX('Tabela Passaro'!$T$2:$T$1795,$N1805),0)*INDEX('Tabela Passaro'!$S$2:$S$1795,$N1805)</f>
        <v>0</v>
      </c>
      <c r="Y1805" s="32" t="n">
        <f aca="false">INDEX('Tabela Passaro'!$U$2:$U$1795,$N1805)</f>
        <v>0</v>
      </c>
      <c r="Z1805" s="32" t="n">
        <f aca="false">INDEX('Tabela Passaro'!$V$2:$V$1795,$N1805)</f>
        <v>0</v>
      </c>
      <c r="AA1805" s="32" t="n">
        <f aca="false">SUM(R1805:Z1805)</f>
        <v>194.56129</v>
      </c>
      <c r="AB1805" s="33" t="n">
        <f aca="false">INDEX(Premissas!$B$5:$B$13,MATCH(A1805,Premissas!$A$5:$A$13,0))</f>
        <v>0.07</v>
      </c>
      <c r="AC1805" s="32" t="n">
        <f aca="false">AA1805/(1-AB1805)-AA1805</f>
        <v>14.644398172043</v>
      </c>
      <c r="AD1805" s="32" t="n">
        <f aca="false">ROUND(AA1805+AC1805,2)</f>
        <v>209.21</v>
      </c>
      <c r="AE1805" s="32" t="n">
        <f aca="false">AD1805-L1805</f>
        <v>-162.09</v>
      </c>
      <c r="AF1805" s="34" t="n">
        <f aca="false">IF(L1805=0,0,AE1805/L1805)</f>
        <v>-0.436547266361433</v>
      </c>
      <c r="AG1805" s="22" t="str">
        <f aca="false">IF(AD1805&lt;L1805,"PASSARO","ATUAL")</f>
        <v>PASSARO</v>
      </c>
      <c r="AH1805" s="22" t="str">
        <f aca="false">IF(P1805&lt;&gt;A1805,"Faixa cadastrada como "&amp;P1805&amp;" na tabela; preço aplicado pela UF do CEP","")</f>
        <v/>
      </c>
      <c r="AI1805" s="26" t="n">
        <v>285.8</v>
      </c>
      <c r="AJ1805" s="22" t="str">
        <f aca="false">INDEX('Tabela Passaro'!$X$2:$X$1795,$N1805)</f>
        <v>CAPITAL</v>
      </c>
    </row>
    <row r="1806" customFormat="false" ht="15" hidden="false" customHeight="false" outlineLevel="0" collapsed="false">
      <c r="A1806" s="22" t="s">
        <v>23</v>
      </c>
      <c r="B1806" s="22" t="n">
        <v>2</v>
      </c>
      <c r="C1806" s="22" t="s">
        <v>200</v>
      </c>
      <c r="D1806" s="22" t="s">
        <v>30</v>
      </c>
      <c r="E1806" s="22" t="s">
        <v>20</v>
      </c>
      <c r="F1806" s="22" t="n">
        <v>840628</v>
      </c>
      <c r="G1806" s="30" t="n">
        <v>46265</v>
      </c>
      <c r="H1806" s="22" t="n">
        <v>32831</v>
      </c>
      <c r="I1806" s="22" t="s">
        <v>8962</v>
      </c>
      <c r="J1806" s="31" t="n">
        <v>79.26</v>
      </c>
      <c r="K1806" s="26" t="n">
        <v>1052.31</v>
      </c>
      <c r="L1806" s="26" t="n">
        <v>219.26</v>
      </c>
      <c r="M1806" s="22" t="s">
        <v>7023</v>
      </c>
      <c r="N1806" s="22" t="n">
        <f aca="false">MATCH(M1806,'Tabela Passaro'!$A$2:$A$1795,0)</f>
        <v>1721</v>
      </c>
      <c r="O1806" s="22" t="str">
        <f aca="false">INDEX('Tabela Passaro'!$C$2:$C$1795,$N1806)</f>
        <v>NOSSA SENHORA DO SOCORRO</v>
      </c>
      <c r="P1806" s="22" t="str">
        <f aca="false">INDEX('Tabela Passaro'!$B$2:$B$1795,$N1806)</f>
        <v>SE</v>
      </c>
      <c r="Q1806" s="22" t="n">
        <f aca="false">INDEX('Tabela Passaro'!$F$2:$F$1795,$N1806)</f>
        <v>7</v>
      </c>
      <c r="R1806" s="32" t="n">
        <f aca="false">IF(J1806&lt;=10,INDEX('Tabela Passaro'!$G$2:$G$1795,$N1806),IF(J1806&lt;=30,INDEX('Tabela Passaro'!$H$2:$H$1795,$N1806),IF(J1806&lt;=50,INDEX('Tabela Passaro'!$I$2:$I$1795,$N1806),IF(J1806&lt;=70,INDEX('Tabela Passaro'!$J$2:$J$1795,$N1806),IF(J1806&lt;=100,INDEX('Tabela Passaro'!$K$2:$K$1795,$N1806),INDEX('Tabela Passaro'!$K$2:$K$1795,$N1806)+(J1806-100)*INDEX('Tabela Passaro'!$L$2:$L$1795,$N1806))))))</f>
        <v>99.36</v>
      </c>
      <c r="S1806" s="32" t="n">
        <f aca="false">K1806*INDEX('Tabela Passaro'!$M$2:$M$1795,$N1806)</f>
        <v>5.26155</v>
      </c>
      <c r="T1806" s="32" t="n">
        <f aca="false">K1806*INDEX('Tabela Passaro'!$N$2:$N$1795,$N1806)</f>
        <v>2.10462</v>
      </c>
      <c r="U1806" s="32" t="n">
        <f aca="false">INDEX('Tabela Passaro'!$O$2:$O$1795,$N1806)</f>
        <v>5</v>
      </c>
      <c r="V1806" s="32" t="n">
        <f aca="false">ROUNDUP(J1806/INDEX('Tabela Passaro'!$Q$2:$Q$1795,$N1806),0)*INDEX('Tabela Passaro'!$P$2:$P$1795,$N1806)</f>
        <v>5</v>
      </c>
      <c r="W1806" s="32" t="n">
        <f aca="false">INDEX('Tabela Passaro'!$R$2:$R$1795,$N1806)</f>
        <v>30</v>
      </c>
      <c r="X1806" s="32" t="n">
        <f aca="false">ROUNDUP(J1806/INDEX('Tabela Passaro'!$T$2:$T$1795,$N1806),0)*INDEX('Tabela Passaro'!$S$2:$S$1795,$N1806)</f>
        <v>0</v>
      </c>
      <c r="Y1806" s="32" t="n">
        <f aca="false">INDEX('Tabela Passaro'!$U$2:$U$1795,$N1806)</f>
        <v>0</v>
      </c>
      <c r="Z1806" s="32" t="n">
        <f aca="false">INDEX('Tabela Passaro'!$V$2:$V$1795,$N1806)</f>
        <v>0</v>
      </c>
      <c r="AA1806" s="32" t="n">
        <f aca="false">SUM(R1806:Z1806)</f>
        <v>146.72617</v>
      </c>
      <c r="AB1806" s="33" t="n">
        <f aca="false">INDEX(Premissas!$B$5:$B$13,MATCH(A1806,Premissas!$A$5:$A$13,0))</f>
        <v>0.07</v>
      </c>
      <c r="AC1806" s="32" t="n">
        <f aca="false">AA1806/(1-AB1806)-AA1806</f>
        <v>11.0439052688172</v>
      </c>
      <c r="AD1806" s="32" t="n">
        <f aca="false">ROUND(AA1806+AC1806,2)</f>
        <v>157.77</v>
      </c>
      <c r="AE1806" s="32" t="n">
        <f aca="false">AD1806-L1806</f>
        <v>-61.49</v>
      </c>
      <c r="AF1806" s="34" t="n">
        <f aca="false">IF(L1806=0,0,AE1806/L1806)</f>
        <v>-0.280443309313144</v>
      </c>
      <c r="AG1806" s="22" t="str">
        <f aca="false">IF(AD1806&lt;L1806,"PASSARO","ATUAL")</f>
        <v>PASSARO</v>
      </c>
      <c r="AH1806" s="22" t="str">
        <f aca="false">IF(P1806&lt;&gt;A1806,"Faixa cadastrada como "&amp;P1806&amp;" na tabela; preço aplicado pela UF do CEP","")</f>
        <v/>
      </c>
      <c r="AI1806" s="26" t="n">
        <v>205.3</v>
      </c>
      <c r="AJ1806" s="22" t="str">
        <f aca="false">INDEX('Tabela Passaro'!$X$2:$X$1795,$N1806)</f>
        <v>CAPITAL</v>
      </c>
    </row>
    <row r="1807" customFormat="false" ht="15" hidden="false" customHeight="false" outlineLevel="0" collapsed="false">
      <c r="A1807" s="22" t="s">
        <v>23</v>
      </c>
      <c r="B1807" s="22" t="n">
        <v>3</v>
      </c>
      <c r="C1807" s="22" t="s">
        <v>202</v>
      </c>
      <c r="D1807" s="22" t="s">
        <v>30</v>
      </c>
      <c r="E1807" s="22" t="s">
        <v>7326</v>
      </c>
      <c r="F1807" s="22" t="n">
        <v>521734</v>
      </c>
      <c r="G1807" s="30" t="n">
        <v>46237</v>
      </c>
      <c r="H1807" s="22" t="n">
        <v>619011</v>
      </c>
      <c r="I1807" s="22" t="s">
        <v>8963</v>
      </c>
      <c r="J1807" s="31" t="n">
        <v>76.8</v>
      </c>
      <c r="K1807" s="26" t="n">
        <v>1370.24</v>
      </c>
      <c r="L1807" s="26" t="n">
        <v>330.43</v>
      </c>
      <c r="M1807" s="22" t="s">
        <v>4032</v>
      </c>
      <c r="N1807" s="22" t="n">
        <f aca="false">MATCH(M1807,'Tabela Passaro'!$A$2:$A$1795,0)</f>
        <v>951</v>
      </c>
      <c r="O1807" s="22" t="str">
        <f aca="false">INDEX('Tabela Passaro'!$C$2:$C$1795,$N1807)</f>
        <v>ITABAIANA</v>
      </c>
      <c r="P1807" s="22" t="str">
        <f aca="false">INDEX('Tabela Passaro'!$B$2:$B$1795,$N1807)</f>
        <v>PB</v>
      </c>
      <c r="Q1807" s="22" t="n">
        <f aca="false">INDEX('Tabela Passaro'!$F$2:$F$1795,$N1807)</f>
        <v>12</v>
      </c>
      <c r="R1807" s="32" t="n">
        <f aca="false">IF(J1807&lt;=10,INDEX('Tabela Passaro'!$G$2:$G$1795,$N1807),IF(J1807&lt;=30,INDEX('Tabela Passaro'!$H$2:$H$1795,$N1807),IF(J1807&lt;=50,INDEX('Tabela Passaro'!$I$2:$I$1795,$N1807),IF(J1807&lt;=70,INDEX('Tabela Passaro'!$J$2:$J$1795,$N1807),IF(J1807&lt;=100,INDEX('Tabela Passaro'!$K$2:$K$1795,$N1807),INDEX('Tabela Passaro'!$K$2:$K$1795,$N1807)+(J1807-100)*INDEX('Tabela Passaro'!$L$2:$L$1795,$N1807))))))</f>
        <v>126.93</v>
      </c>
      <c r="S1807" s="32" t="n">
        <f aca="false">K1807*INDEX('Tabela Passaro'!$M$2:$M$1795,$N1807)</f>
        <v>6.8512</v>
      </c>
      <c r="T1807" s="32" t="n">
        <f aca="false">K1807*INDEX('Tabela Passaro'!$N$2:$N$1795,$N1807)</f>
        <v>2.74048</v>
      </c>
      <c r="U1807" s="32" t="n">
        <f aca="false">INDEX('Tabela Passaro'!$O$2:$O$1795,$N1807)</f>
        <v>5</v>
      </c>
      <c r="V1807" s="32" t="n">
        <f aca="false">ROUNDUP(J1807/INDEX('Tabela Passaro'!$Q$2:$Q$1795,$N1807),0)*INDEX('Tabela Passaro'!$P$2:$P$1795,$N1807)</f>
        <v>5</v>
      </c>
      <c r="W1807" s="32" t="n">
        <f aca="false">INDEX('Tabela Passaro'!$R$2:$R$1795,$N1807)</f>
        <v>30</v>
      </c>
      <c r="X1807" s="32" t="n">
        <f aca="false">ROUNDUP(J1807/INDEX('Tabela Passaro'!$T$2:$T$1795,$N1807),0)*INDEX('Tabela Passaro'!$S$2:$S$1795,$N1807)</f>
        <v>0</v>
      </c>
      <c r="Y1807" s="32" t="n">
        <f aca="false">INDEX('Tabela Passaro'!$U$2:$U$1795,$N1807)</f>
        <v>0</v>
      </c>
      <c r="Z1807" s="32" t="n">
        <f aca="false">INDEX('Tabela Passaro'!$V$2:$V$1795,$N1807)</f>
        <v>0</v>
      </c>
      <c r="AA1807" s="32" t="n">
        <f aca="false">SUM(R1807:Z1807)</f>
        <v>176.52168</v>
      </c>
      <c r="AB1807" s="33" t="n">
        <f aca="false">INDEX(Premissas!$B$5:$B$13,MATCH(A1807,Premissas!$A$5:$A$13,0))</f>
        <v>0.07</v>
      </c>
      <c r="AC1807" s="32" t="n">
        <f aca="false">AA1807/(1-AB1807)-AA1807</f>
        <v>13.2865780645161</v>
      </c>
      <c r="AD1807" s="32" t="n">
        <f aca="false">ROUND(AA1807+AC1807,2)</f>
        <v>189.81</v>
      </c>
      <c r="AE1807" s="32" t="n">
        <f aca="false">AD1807-L1807</f>
        <v>-140.62</v>
      </c>
      <c r="AF1807" s="34" t="n">
        <f aca="false">IF(L1807=0,0,AE1807/L1807)</f>
        <v>-0.425566685833611</v>
      </c>
      <c r="AG1807" s="22" t="str">
        <f aca="false">IF(AD1807&lt;L1807,"PASSARO","ATUAL")</f>
        <v>PASSARO</v>
      </c>
      <c r="AH1807" s="22" t="str">
        <f aca="false">IF(P1807&lt;&gt;A1807,"Faixa cadastrada como "&amp;P1807&amp;" na tabela; preço aplicado pela UF do CEP","")</f>
        <v>Faixa cadastrada como PB na tabela; preço aplicado pela UF do CEP</v>
      </c>
      <c r="AI1807" s="26" t="n">
        <v>249.64</v>
      </c>
      <c r="AJ1807" s="22" t="str">
        <f aca="false">INDEX('Tabela Passaro'!$X$2:$X$1795,$N1807)</f>
        <v>INTERIOR 1</v>
      </c>
    </row>
    <row r="1808" customFormat="false" ht="15" hidden="false" customHeight="false" outlineLevel="0" collapsed="false">
      <c r="A1808" s="22" t="s">
        <v>23</v>
      </c>
      <c r="B1808" s="22" t="n">
        <v>3</v>
      </c>
      <c r="C1808" s="22" t="s">
        <v>202</v>
      </c>
      <c r="D1808" s="22" t="s">
        <v>30</v>
      </c>
      <c r="E1808" s="22" t="s">
        <v>7328</v>
      </c>
      <c r="F1808" s="22" t="n">
        <v>2307433</v>
      </c>
      <c r="G1808" s="30" t="n">
        <v>46238</v>
      </c>
      <c r="H1808" s="22" t="n">
        <v>131292</v>
      </c>
      <c r="I1808" s="22" t="s">
        <v>8964</v>
      </c>
      <c r="J1808" s="31" t="n">
        <v>34.4</v>
      </c>
      <c r="K1808" s="26" t="n">
        <v>646.55</v>
      </c>
      <c r="L1808" s="26" t="n">
        <v>177.08</v>
      </c>
      <c r="M1808" s="22" t="s">
        <v>4032</v>
      </c>
      <c r="N1808" s="22" t="n">
        <f aca="false">MATCH(M1808,'Tabela Passaro'!$A$2:$A$1795,0)</f>
        <v>951</v>
      </c>
      <c r="O1808" s="22" t="str">
        <f aca="false">INDEX('Tabela Passaro'!$C$2:$C$1795,$N1808)</f>
        <v>ITABAIANA</v>
      </c>
      <c r="P1808" s="22" t="str">
        <f aca="false">INDEX('Tabela Passaro'!$B$2:$B$1795,$N1808)</f>
        <v>PB</v>
      </c>
      <c r="Q1808" s="22" t="n">
        <f aca="false">INDEX('Tabela Passaro'!$F$2:$F$1795,$N1808)</f>
        <v>12</v>
      </c>
      <c r="R1808" s="32" t="n">
        <f aca="false">IF(J1808&lt;=10,INDEX('Tabela Passaro'!$G$2:$G$1795,$N1808),IF(J1808&lt;=30,INDEX('Tabela Passaro'!$H$2:$H$1795,$N1808),IF(J1808&lt;=50,INDEX('Tabela Passaro'!$I$2:$I$1795,$N1808),IF(J1808&lt;=70,INDEX('Tabela Passaro'!$J$2:$J$1795,$N1808),IF(J1808&lt;=100,INDEX('Tabela Passaro'!$K$2:$K$1795,$N1808),INDEX('Tabela Passaro'!$K$2:$K$1795,$N1808)+(J1808-100)*INDEX('Tabela Passaro'!$L$2:$L$1795,$N1808))))))</f>
        <v>98.13</v>
      </c>
      <c r="S1808" s="32" t="n">
        <f aca="false">K1808*INDEX('Tabela Passaro'!$M$2:$M$1795,$N1808)</f>
        <v>3.23275</v>
      </c>
      <c r="T1808" s="32" t="n">
        <f aca="false">K1808*INDEX('Tabela Passaro'!$N$2:$N$1795,$N1808)</f>
        <v>1.2931</v>
      </c>
      <c r="U1808" s="32" t="n">
        <f aca="false">INDEX('Tabela Passaro'!$O$2:$O$1795,$N1808)</f>
        <v>5</v>
      </c>
      <c r="V1808" s="32" t="n">
        <f aca="false">ROUNDUP(J1808/INDEX('Tabela Passaro'!$Q$2:$Q$1795,$N1808),0)*INDEX('Tabela Passaro'!$P$2:$P$1795,$N1808)</f>
        <v>5</v>
      </c>
      <c r="W1808" s="32" t="n">
        <f aca="false">INDEX('Tabela Passaro'!$R$2:$R$1795,$N1808)</f>
        <v>30</v>
      </c>
      <c r="X1808" s="32" t="n">
        <f aca="false">ROUNDUP(J1808/INDEX('Tabela Passaro'!$T$2:$T$1795,$N1808),0)*INDEX('Tabela Passaro'!$S$2:$S$1795,$N1808)</f>
        <v>0</v>
      </c>
      <c r="Y1808" s="32" t="n">
        <f aca="false">INDEX('Tabela Passaro'!$U$2:$U$1795,$N1808)</f>
        <v>0</v>
      </c>
      <c r="Z1808" s="32" t="n">
        <f aca="false">INDEX('Tabela Passaro'!$V$2:$V$1795,$N1808)</f>
        <v>0</v>
      </c>
      <c r="AA1808" s="32" t="n">
        <f aca="false">SUM(R1808:Z1808)</f>
        <v>142.65585</v>
      </c>
      <c r="AB1808" s="33" t="n">
        <f aca="false">INDEX(Premissas!$B$5:$B$13,MATCH(A1808,Premissas!$A$5:$A$13,0))</f>
        <v>0.07</v>
      </c>
      <c r="AC1808" s="32" t="n">
        <f aca="false">AA1808/(1-AB1808)-AA1808</f>
        <v>10.7375370967742</v>
      </c>
      <c r="AD1808" s="32" t="n">
        <f aca="false">ROUND(AA1808+AC1808,2)</f>
        <v>153.39</v>
      </c>
      <c r="AE1808" s="32" t="n">
        <f aca="false">AD1808-L1808</f>
        <v>-23.69</v>
      </c>
      <c r="AF1808" s="34" t="n">
        <f aca="false">IF(L1808=0,0,AE1808/L1808)</f>
        <v>-0.133781341766433</v>
      </c>
      <c r="AG1808" s="22" t="str">
        <f aca="false">IF(AD1808&lt;L1808,"PASSARO","ATUAL")</f>
        <v>PASSARO</v>
      </c>
      <c r="AH1808" s="22" t="str">
        <f aca="false">IF(P1808&lt;&gt;A1808,"Faixa cadastrada como "&amp;P1808&amp;" na tabela; preço aplicado pela UF do CEP","")</f>
        <v>Faixa cadastrada como PB na tabela; preço aplicado pela UF do CEP</v>
      </c>
      <c r="AI1808" s="26" t="n">
        <v>191</v>
      </c>
      <c r="AJ1808" s="22" t="str">
        <f aca="false">INDEX('Tabela Passaro'!$X$2:$X$1795,$N1808)</f>
        <v>INTERIOR 1</v>
      </c>
    </row>
    <row r="1809" customFormat="false" ht="15" hidden="false" customHeight="false" outlineLevel="0" collapsed="false">
      <c r="A1809" s="22" t="s">
        <v>23</v>
      </c>
      <c r="B1809" s="22" t="n">
        <v>3</v>
      </c>
      <c r="C1809" s="22" t="s">
        <v>202</v>
      </c>
      <c r="D1809" s="22" t="s">
        <v>30</v>
      </c>
      <c r="E1809" s="22" t="s">
        <v>7328</v>
      </c>
      <c r="F1809" s="22" t="n">
        <v>2312401</v>
      </c>
      <c r="G1809" s="30" t="n">
        <v>46248</v>
      </c>
      <c r="H1809" s="22" t="n">
        <v>133297</v>
      </c>
      <c r="I1809" s="22" t="s">
        <v>8965</v>
      </c>
      <c r="J1809" s="31" t="n">
        <v>38.6</v>
      </c>
      <c r="K1809" s="26" t="n">
        <v>618.69</v>
      </c>
      <c r="L1809" s="26" t="n">
        <v>176.86</v>
      </c>
      <c r="M1809" s="22" t="s">
        <v>4032</v>
      </c>
      <c r="N1809" s="22" t="n">
        <f aca="false">MATCH(M1809,'Tabela Passaro'!$A$2:$A$1795,0)</f>
        <v>951</v>
      </c>
      <c r="O1809" s="22" t="str">
        <f aca="false">INDEX('Tabela Passaro'!$C$2:$C$1795,$N1809)</f>
        <v>ITABAIANA</v>
      </c>
      <c r="P1809" s="22" t="str">
        <f aca="false">INDEX('Tabela Passaro'!$B$2:$B$1795,$N1809)</f>
        <v>PB</v>
      </c>
      <c r="Q1809" s="22" t="n">
        <f aca="false">INDEX('Tabela Passaro'!$F$2:$F$1795,$N1809)</f>
        <v>12</v>
      </c>
      <c r="R1809" s="32" t="n">
        <f aca="false">IF(J1809&lt;=10,INDEX('Tabela Passaro'!$G$2:$G$1795,$N1809),IF(J1809&lt;=30,INDEX('Tabela Passaro'!$H$2:$H$1795,$N1809),IF(J1809&lt;=50,INDEX('Tabela Passaro'!$I$2:$I$1795,$N1809),IF(J1809&lt;=70,INDEX('Tabela Passaro'!$J$2:$J$1795,$N1809),IF(J1809&lt;=100,INDEX('Tabela Passaro'!$K$2:$K$1795,$N1809),INDEX('Tabela Passaro'!$K$2:$K$1795,$N1809)+(J1809-100)*INDEX('Tabela Passaro'!$L$2:$L$1795,$N1809))))))</f>
        <v>98.13</v>
      </c>
      <c r="S1809" s="32" t="n">
        <f aca="false">K1809*INDEX('Tabela Passaro'!$M$2:$M$1795,$N1809)</f>
        <v>3.09345</v>
      </c>
      <c r="T1809" s="32" t="n">
        <f aca="false">K1809*INDEX('Tabela Passaro'!$N$2:$N$1795,$N1809)</f>
        <v>1.23738</v>
      </c>
      <c r="U1809" s="32" t="n">
        <f aca="false">INDEX('Tabela Passaro'!$O$2:$O$1795,$N1809)</f>
        <v>5</v>
      </c>
      <c r="V1809" s="32" t="n">
        <f aca="false">ROUNDUP(J1809/INDEX('Tabela Passaro'!$Q$2:$Q$1795,$N1809),0)*INDEX('Tabela Passaro'!$P$2:$P$1795,$N1809)</f>
        <v>5</v>
      </c>
      <c r="W1809" s="32" t="n">
        <f aca="false">INDEX('Tabela Passaro'!$R$2:$R$1795,$N1809)</f>
        <v>30</v>
      </c>
      <c r="X1809" s="32" t="n">
        <f aca="false">ROUNDUP(J1809/INDEX('Tabela Passaro'!$T$2:$T$1795,$N1809),0)*INDEX('Tabela Passaro'!$S$2:$S$1795,$N1809)</f>
        <v>0</v>
      </c>
      <c r="Y1809" s="32" t="n">
        <f aca="false">INDEX('Tabela Passaro'!$U$2:$U$1795,$N1809)</f>
        <v>0</v>
      </c>
      <c r="Z1809" s="32" t="n">
        <f aca="false">INDEX('Tabela Passaro'!$V$2:$V$1795,$N1809)</f>
        <v>0</v>
      </c>
      <c r="AA1809" s="32" t="n">
        <f aca="false">SUM(R1809:Z1809)</f>
        <v>142.46083</v>
      </c>
      <c r="AB1809" s="33" t="n">
        <f aca="false">INDEX(Premissas!$B$5:$B$13,MATCH(A1809,Premissas!$A$5:$A$13,0))</f>
        <v>0.07</v>
      </c>
      <c r="AC1809" s="32" t="n">
        <f aca="false">AA1809/(1-AB1809)-AA1809</f>
        <v>10.722858172043</v>
      </c>
      <c r="AD1809" s="32" t="n">
        <f aca="false">ROUND(AA1809+AC1809,2)</f>
        <v>153.18</v>
      </c>
      <c r="AE1809" s="32" t="n">
        <f aca="false">AD1809-L1809</f>
        <v>-23.68</v>
      </c>
      <c r="AF1809" s="34" t="n">
        <f aca="false">IF(L1809=0,0,AE1809/L1809)</f>
        <v>-0.133891213389121</v>
      </c>
      <c r="AG1809" s="22" t="str">
        <f aca="false">IF(AD1809&lt;L1809,"PASSARO","ATUAL")</f>
        <v>PASSARO</v>
      </c>
      <c r="AH1809" s="22" t="str">
        <f aca="false">IF(P1809&lt;&gt;A1809,"Faixa cadastrada como "&amp;P1809&amp;" na tabela; preço aplicado pela UF do CEP","")</f>
        <v>Faixa cadastrada como PB na tabela; preço aplicado pela UF do CEP</v>
      </c>
      <c r="AI1809" s="26" t="n">
        <v>192.66</v>
      </c>
      <c r="AJ1809" s="22" t="str">
        <f aca="false">INDEX('Tabela Passaro'!$X$2:$X$1795,$N1809)</f>
        <v>INTERIOR 1</v>
      </c>
    </row>
    <row r="1810" customFormat="false" ht="15" hidden="false" customHeight="false" outlineLevel="0" collapsed="false">
      <c r="A1810" s="22" t="s">
        <v>23</v>
      </c>
      <c r="B1810" s="22" t="n">
        <v>3</v>
      </c>
      <c r="C1810" s="22" t="s">
        <v>202</v>
      </c>
      <c r="D1810" s="22" t="s">
        <v>30</v>
      </c>
      <c r="E1810" s="22" t="s">
        <v>7328</v>
      </c>
      <c r="F1810" s="22" t="n">
        <v>2312439</v>
      </c>
      <c r="G1810" s="30" t="n">
        <v>46248</v>
      </c>
      <c r="H1810" s="22" t="n">
        <v>133350</v>
      </c>
      <c r="I1810" s="22" t="s">
        <v>8966</v>
      </c>
      <c r="J1810" s="31" t="n">
        <v>69.3</v>
      </c>
      <c r="K1810" s="26" t="n">
        <v>1085.52</v>
      </c>
      <c r="L1810" s="26" t="n">
        <v>228.03</v>
      </c>
      <c r="M1810" s="22" t="s">
        <v>4032</v>
      </c>
      <c r="N1810" s="22" t="n">
        <f aca="false">MATCH(M1810,'Tabela Passaro'!$A$2:$A$1795,0)</f>
        <v>951</v>
      </c>
      <c r="O1810" s="22" t="str">
        <f aca="false">INDEX('Tabela Passaro'!$C$2:$C$1795,$N1810)</f>
        <v>ITABAIANA</v>
      </c>
      <c r="P1810" s="22" t="str">
        <f aca="false">INDEX('Tabela Passaro'!$B$2:$B$1795,$N1810)</f>
        <v>PB</v>
      </c>
      <c r="Q1810" s="22" t="n">
        <f aca="false">INDEX('Tabela Passaro'!$F$2:$F$1795,$N1810)</f>
        <v>12</v>
      </c>
      <c r="R1810" s="32" t="n">
        <f aca="false">IF(J1810&lt;=10,INDEX('Tabela Passaro'!$G$2:$G$1795,$N1810),IF(J1810&lt;=30,INDEX('Tabela Passaro'!$H$2:$H$1795,$N1810),IF(J1810&lt;=50,INDEX('Tabela Passaro'!$I$2:$I$1795,$N1810),IF(J1810&lt;=70,INDEX('Tabela Passaro'!$J$2:$J$1795,$N1810),IF(J1810&lt;=100,INDEX('Tabela Passaro'!$K$2:$K$1795,$N1810),INDEX('Tabela Passaro'!$K$2:$K$1795,$N1810)+(J1810-100)*INDEX('Tabela Passaro'!$L$2:$L$1795,$N1810))))))</f>
        <v>109.65</v>
      </c>
      <c r="S1810" s="32" t="n">
        <f aca="false">K1810*INDEX('Tabela Passaro'!$M$2:$M$1795,$N1810)</f>
        <v>5.4276</v>
      </c>
      <c r="T1810" s="32" t="n">
        <f aca="false">K1810*INDEX('Tabela Passaro'!$N$2:$N$1795,$N1810)</f>
        <v>2.17104</v>
      </c>
      <c r="U1810" s="32" t="n">
        <f aca="false">INDEX('Tabela Passaro'!$O$2:$O$1795,$N1810)</f>
        <v>5</v>
      </c>
      <c r="V1810" s="32" t="n">
        <f aca="false">ROUNDUP(J1810/INDEX('Tabela Passaro'!$Q$2:$Q$1795,$N1810),0)*INDEX('Tabela Passaro'!$P$2:$P$1795,$N1810)</f>
        <v>5</v>
      </c>
      <c r="W1810" s="32" t="n">
        <f aca="false">INDEX('Tabela Passaro'!$R$2:$R$1795,$N1810)</f>
        <v>30</v>
      </c>
      <c r="X1810" s="32" t="n">
        <f aca="false">ROUNDUP(J1810/INDEX('Tabela Passaro'!$T$2:$T$1795,$N1810),0)*INDEX('Tabela Passaro'!$S$2:$S$1795,$N1810)</f>
        <v>0</v>
      </c>
      <c r="Y1810" s="32" t="n">
        <f aca="false">INDEX('Tabela Passaro'!$U$2:$U$1795,$N1810)</f>
        <v>0</v>
      </c>
      <c r="Z1810" s="32" t="n">
        <f aca="false">INDEX('Tabela Passaro'!$V$2:$V$1795,$N1810)</f>
        <v>0</v>
      </c>
      <c r="AA1810" s="32" t="n">
        <f aca="false">SUM(R1810:Z1810)</f>
        <v>157.24864</v>
      </c>
      <c r="AB1810" s="33" t="n">
        <f aca="false">INDEX(Premissas!$B$5:$B$13,MATCH(A1810,Premissas!$A$5:$A$13,0))</f>
        <v>0.07</v>
      </c>
      <c r="AC1810" s="32" t="n">
        <f aca="false">AA1810/(1-AB1810)-AA1810</f>
        <v>11.8359191397849</v>
      </c>
      <c r="AD1810" s="32" t="n">
        <f aca="false">ROUND(AA1810+AC1810,2)</f>
        <v>169.08</v>
      </c>
      <c r="AE1810" s="32" t="n">
        <f aca="false">AD1810-L1810</f>
        <v>-58.95</v>
      </c>
      <c r="AF1810" s="34" t="n">
        <f aca="false">IF(L1810=0,0,AE1810/L1810)</f>
        <v>-0.258518615971583</v>
      </c>
      <c r="AG1810" s="22" t="str">
        <f aca="false">IF(AD1810&lt;L1810,"PASSARO","ATUAL")</f>
        <v>PASSARO</v>
      </c>
      <c r="AH1810" s="22" t="str">
        <f aca="false">IF(P1810&lt;&gt;A1810,"Faixa cadastrada como "&amp;P1810&amp;" na tabela; preço aplicado pela UF do CEP","")</f>
        <v>Faixa cadastrada como PB na tabela; preço aplicado pela UF do CEP</v>
      </c>
      <c r="AI1810" s="26" t="n">
        <v>224.71</v>
      </c>
      <c r="AJ1810" s="22" t="str">
        <f aca="false">INDEX('Tabela Passaro'!$X$2:$X$1795,$N1810)</f>
        <v>INTERIOR 1</v>
      </c>
    </row>
    <row r="1811" customFormat="false" ht="15" hidden="false" customHeight="false" outlineLevel="0" collapsed="false">
      <c r="A1811" s="22" t="s">
        <v>23</v>
      </c>
      <c r="B1811" s="22" t="n">
        <v>3</v>
      </c>
      <c r="C1811" s="22" t="s">
        <v>202</v>
      </c>
      <c r="D1811" s="22" t="s">
        <v>30</v>
      </c>
      <c r="E1811" s="22" t="s">
        <v>7328</v>
      </c>
      <c r="F1811" s="22" t="n">
        <v>2312453</v>
      </c>
      <c r="G1811" s="30" t="n">
        <v>46248</v>
      </c>
      <c r="H1811" s="22" t="n">
        <v>133361</v>
      </c>
      <c r="I1811" s="22" t="s">
        <v>8967</v>
      </c>
      <c r="J1811" s="31" t="n">
        <v>51.06</v>
      </c>
      <c r="K1811" s="26" t="n">
        <v>932.98</v>
      </c>
      <c r="L1811" s="26" t="n">
        <v>226.81</v>
      </c>
      <c r="M1811" s="22" t="s">
        <v>4032</v>
      </c>
      <c r="N1811" s="22" t="n">
        <f aca="false">MATCH(M1811,'Tabela Passaro'!$A$2:$A$1795,0)</f>
        <v>951</v>
      </c>
      <c r="O1811" s="22" t="str">
        <f aca="false">INDEX('Tabela Passaro'!$C$2:$C$1795,$N1811)</f>
        <v>ITABAIANA</v>
      </c>
      <c r="P1811" s="22" t="str">
        <f aca="false">INDEX('Tabela Passaro'!$B$2:$B$1795,$N1811)</f>
        <v>PB</v>
      </c>
      <c r="Q1811" s="22" t="n">
        <f aca="false">INDEX('Tabela Passaro'!$F$2:$F$1795,$N1811)</f>
        <v>12</v>
      </c>
      <c r="R1811" s="32" t="n">
        <f aca="false">IF(J1811&lt;=10,INDEX('Tabela Passaro'!$G$2:$G$1795,$N1811),IF(J1811&lt;=30,INDEX('Tabela Passaro'!$H$2:$H$1795,$N1811),IF(J1811&lt;=50,INDEX('Tabela Passaro'!$I$2:$I$1795,$N1811),IF(J1811&lt;=70,INDEX('Tabela Passaro'!$J$2:$J$1795,$N1811),IF(J1811&lt;=100,INDEX('Tabela Passaro'!$K$2:$K$1795,$N1811),INDEX('Tabela Passaro'!$K$2:$K$1795,$N1811)+(J1811-100)*INDEX('Tabela Passaro'!$L$2:$L$1795,$N1811))))))</f>
        <v>109.65</v>
      </c>
      <c r="S1811" s="32" t="n">
        <f aca="false">K1811*INDEX('Tabela Passaro'!$M$2:$M$1795,$N1811)</f>
        <v>4.6649</v>
      </c>
      <c r="T1811" s="32" t="n">
        <f aca="false">K1811*INDEX('Tabela Passaro'!$N$2:$N$1795,$N1811)</f>
        <v>1.86596</v>
      </c>
      <c r="U1811" s="32" t="n">
        <f aca="false">INDEX('Tabela Passaro'!$O$2:$O$1795,$N1811)</f>
        <v>5</v>
      </c>
      <c r="V1811" s="32" t="n">
        <f aca="false">ROUNDUP(J1811/INDEX('Tabela Passaro'!$Q$2:$Q$1795,$N1811),0)*INDEX('Tabela Passaro'!$P$2:$P$1795,$N1811)</f>
        <v>5</v>
      </c>
      <c r="W1811" s="32" t="n">
        <f aca="false">INDEX('Tabela Passaro'!$R$2:$R$1795,$N1811)</f>
        <v>30</v>
      </c>
      <c r="X1811" s="32" t="n">
        <f aca="false">ROUNDUP(J1811/INDEX('Tabela Passaro'!$T$2:$T$1795,$N1811),0)*INDEX('Tabela Passaro'!$S$2:$S$1795,$N1811)</f>
        <v>0</v>
      </c>
      <c r="Y1811" s="32" t="n">
        <f aca="false">INDEX('Tabela Passaro'!$U$2:$U$1795,$N1811)</f>
        <v>0</v>
      </c>
      <c r="Z1811" s="32" t="n">
        <f aca="false">INDEX('Tabela Passaro'!$V$2:$V$1795,$N1811)</f>
        <v>0</v>
      </c>
      <c r="AA1811" s="32" t="n">
        <f aca="false">SUM(R1811:Z1811)</f>
        <v>156.18086</v>
      </c>
      <c r="AB1811" s="33" t="n">
        <f aca="false">INDEX(Premissas!$B$5:$B$13,MATCH(A1811,Premissas!$A$5:$A$13,0))</f>
        <v>0.07</v>
      </c>
      <c r="AC1811" s="32" t="n">
        <f aca="false">AA1811/(1-AB1811)-AA1811</f>
        <v>11.7555486021506</v>
      </c>
      <c r="AD1811" s="32" t="n">
        <f aca="false">ROUND(AA1811+AC1811,2)</f>
        <v>167.94</v>
      </c>
      <c r="AE1811" s="32" t="n">
        <f aca="false">AD1811-L1811</f>
        <v>-58.87</v>
      </c>
      <c r="AF1811" s="34" t="n">
        <f aca="false">IF(L1811=0,0,AE1811/L1811)</f>
        <v>-0.259556456946343</v>
      </c>
      <c r="AG1811" s="22" t="str">
        <f aca="false">IF(AD1811&lt;L1811,"PASSARO","ATUAL")</f>
        <v>PASSARO</v>
      </c>
      <c r="AH1811" s="22" t="str">
        <f aca="false">IF(P1811&lt;&gt;A1811,"Faixa cadastrada como "&amp;P1811&amp;" na tabela; preço aplicado pela UF do CEP","")</f>
        <v>Faixa cadastrada como PB na tabela; preço aplicado pela UF do CEP</v>
      </c>
      <c r="AI1811" s="26" t="n">
        <v>214.52</v>
      </c>
      <c r="AJ1811" s="22" t="str">
        <f aca="false">INDEX('Tabela Passaro'!$X$2:$X$1795,$N1811)</f>
        <v>INTERIOR 1</v>
      </c>
    </row>
    <row r="1812" customFormat="false" ht="15" hidden="false" customHeight="false" outlineLevel="0" collapsed="false">
      <c r="A1812" s="22" t="s">
        <v>23</v>
      </c>
      <c r="B1812" s="22" t="n">
        <v>3</v>
      </c>
      <c r="C1812" s="22" t="s">
        <v>202</v>
      </c>
      <c r="D1812" s="22" t="s">
        <v>30</v>
      </c>
      <c r="E1812" s="22" t="s">
        <v>7328</v>
      </c>
      <c r="F1812" s="22" t="n">
        <v>2315712</v>
      </c>
      <c r="G1812" s="30" t="n">
        <v>46258</v>
      </c>
      <c r="H1812" s="22" t="n">
        <v>135344</v>
      </c>
      <c r="I1812" s="22" t="s">
        <v>8968</v>
      </c>
      <c r="J1812" s="31" t="n">
        <v>94.8</v>
      </c>
      <c r="K1812" s="26" t="n">
        <v>1473.5</v>
      </c>
      <c r="L1812" s="26" t="n">
        <v>279.63</v>
      </c>
      <c r="M1812" s="22" t="s">
        <v>4032</v>
      </c>
      <c r="N1812" s="22" t="n">
        <f aca="false">MATCH(M1812,'Tabela Passaro'!$A$2:$A$1795,0)</f>
        <v>951</v>
      </c>
      <c r="O1812" s="22" t="str">
        <f aca="false">INDEX('Tabela Passaro'!$C$2:$C$1795,$N1812)</f>
        <v>ITABAIANA</v>
      </c>
      <c r="P1812" s="22" t="str">
        <f aca="false">INDEX('Tabela Passaro'!$B$2:$B$1795,$N1812)</f>
        <v>PB</v>
      </c>
      <c r="Q1812" s="22" t="n">
        <f aca="false">INDEX('Tabela Passaro'!$F$2:$F$1795,$N1812)</f>
        <v>12</v>
      </c>
      <c r="R1812" s="32" t="n">
        <f aca="false">IF(J1812&lt;=10,INDEX('Tabela Passaro'!$G$2:$G$1795,$N1812),IF(J1812&lt;=30,INDEX('Tabela Passaro'!$H$2:$H$1795,$N1812),IF(J1812&lt;=50,INDEX('Tabela Passaro'!$I$2:$I$1795,$N1812),IF(J1812&lt;=70,INDEX('Tabela Passaro'!$J$2:$J$1795,$N1812),IF(J1812&lt;=100,INDEX('Tabela Passaro'!$K$2:$K$1795,$N1812),INDEX('Tabela Passaro'!$K$2:$K$1795,$N1812)+(J1812-100)*INDEX('Tabela Passaro'!$L$2:$L$1795,$N1812))))))</f>
        <v>126.93</v>
      </c>
      <c r="S1812" s="32" t="n">
        <f aca="false">K1812*INDEX('Tabela Passaro'!$M$2:$M$1795,$N1812)</f>
        <v>7.3675</v>
      </c>
      <c r="T1812" s="32" t="n">
        <f aca="false">K1812*INDEX('Tabela Passaro'!$N$2:$N$1795,$N1812)</f>
        <v>2.947</v>
      </c>
      <c r="U1812" s="32" t="n">
        <f aca="false">INDEX('Tabela Passaro'!$O$2:$O$1795,$N1812)</f>
        <v>5</v>
      </c>
      <c r="V1812" s="32" t="n">
        <f aca="false">ROUNDUP(J1812/INDEX('Tabela Passaro'!$Q$2:$Q$1795,$N1812),0)*INDEX('Tabela Passaro'!$P$2:$P$1795,$N1812)</f>
        <v>5</v>
      </c>
      <c r="W1812" s="32" t="n">
        <f aca="false">INDEX('Tabela Passaro'!$R$2:$R$1795,$N1812)</f>
        <v>30</v>
      </c>
      <c r="X1812" s="32" t="n">
        <f aca="false">ROUNDUP(J1812/INDEX('Tabela Passaro'!$T$2:$T$1795,$N1812),0)*INDEX('Tabela Passaro'!$S$2:$S$1795,$N1812)</f>
        <v>0</v>
      </c>
      <c r="Y1812" s="32" t="n">
        <f aca="false">INDEX('Tabela Passaro'!$U$2:$U$1795,$N1812)</f>
        <v>0</v>
      </c>
      <c r="Z1812" s="32" t="n">
        <f aca="false">INDEX('Tabela Passaro'!$V$2:$V$1795,$N1812)</f>
        <v>0</v>
      </c>
      <c r="AA1812" s="32" t="n">
        <f aca="false">SUM(R1812:Z1812)</f>
        <v>177.2445</v>
      </c>
      <c r="AB1812" s="33" t="n">
        <f aca="false">INDEX(Premissas!$B$5:$B$13,MATCH(A1812,Premissas!$A$5:$A$13,0))</f>
        <v>0.07</v>
      </c>
      <c r="AC1812" s="32" t="n">
        <f aca="false">AA1812/(1-AB1812)-AA1812</f>
        <v>13.3409838709678</v>
      </c>
      <c r="AD1812" s="32" t="n">
        <f aca="false">ROUND(AA1812+AC1812,2)</f>
        <v>190.59</v>
      </c>
      <c r="AE1812" s="32" t="n">
        <f aca="false">AD1812-L1812</f>
        <v>-89.04</v>
      </c>
      <c r="AF1812" s="34" t="n">
        <f aca="false">IF(L1812=0,0,AE1812/L1812)</f>
        <v>-0.318420770303616</v>
      </c>
      <c r="AG1812" s="22" t="str">
        <f aca="false">IF(AD1812&lt;L1812,"PASSARO","ATUAL")</f>
        <v>PASSARO</v>
      </c>
      <c r="AH1812" s="22" t="str">
        <f aca="false">IF(P1812&lt;&gt;A1812,"Faixa cadastrada como "&amp;P1812&amp;" na tabela; preço aplicado pela UF do CEP","")</f>
        <v>Faixa cadastrada como PB na tabela; preço aplicado pela UF do CEP</v>
      </c>
      <c r="AI1812" s="26" t="n">
        <v>259.35</v>
      </c>
      <c r="AJ1812" s="22" t="str">
        <f aca="false">INDEX('Tabela Passaro'!$X$2:$X$1795,$N1812)</f>
        <v>INTERIOR 1</v>
      </c>
    </row>
    <row r="1813" customFormat="false" ht="15" hidden="false" customHeight="false" outlineLevel="0" collapsed="false">
      <c r="A1813" s="22" t="s">
        <v>23</v>
      </c>
      <c r="B1813" s="22" t="n">
        <v>4</v>
      </c>
      <c r="C1813" s="22" t="s">
        <v>203</v>
      </c>
      <c r="D1813" s="22" t="s">
        <v>30</v>
      </c>
      <c r="E1813" s="22" t="s">
        <v>7328</v>
      </c>
      <c r="F1813" s="22" t="n">
        <v>2307469</v>
      </c>
      <c r="G1813" s="30" t="n">
        <v>46238</v>
      </c>
      <c r="H1813" s="22" t="n">
        <v>131463</v>
      </c>
      <c r="I1813" s="22" t="s">
        <v>8969</v>
      </c>
      <c r="J1813" s="31" t="n">
        <v>27.6</v>
      </c>
      <c r="K1813" s="26" t="n">
        <v>646.32</v>
      </c>
      <c r="L1813" s="26" t="n">
        <v>133.83</v>
      </c>
      <c r="M1813" s="22" t="s">
        <v>7288</v>
      </c>
      <c r="N1813" s="22" t="n">
        <f aca="false">MATCH(M1813,'Tabela Passaro'!$A$2:$A$1795,0)</f>
        <v>1791</v>
      </c>
      <c r="O1813" s="22" t="str">
        <f aca="false">INDEX('Tabela Passaro'!$C$2:$C$1795,$N1813)</f>
        <v>SIMAO DIAS</v>
      </c>
      <c r="P1813" s="22" t="str">
        <f aca="false">INDEX('Tabela Passaro'!$B$2:$B$1795,$N1813)</f>
        <v>SE</v>
      </c>
      <c r="Q1813" s="22" t="n">
        <f aca="false">INDEX('Tabela Passaro'!$F$2:$F$1795,$N1813)</f>
        <v>10</v>
      </c>
      <c r="R1813" s="32" t="n">
        <f aca="false">IF(J1813&lt;=10,INDEX('Tabela Passaro'!$G$2:$G$1795,$N1813),IF(J1813&lt;=30,INDEX('Tabela Passaro'!$H$2:$H$1795,$N1813),IF(J1813&lt;=50,INDEX('Tabela Passaro'!$I$2:$I$1795,$N1813),IF(J1813&lt;=70,INDEX('Tabela Passaro'!$J$2:$J$1795,$N1813),IF(J1813&lt;=100,INDEX('Tabela Passaro'!$K$2:$K$1795,$N1813),INDEX('Tabela Passaro'!$K$2:$K$1795,$N1813)+(J1813-100)*INDEX('Tabela Passaro'!$L$2:$L$1795,$N1813))))))</f>
        <v>103.1</v>
      </c>
      <c r="S1813" s="32" t="n">
        <f aca="false">K1813*INDEX('Tabela Passaro'!$M$2:$M$1795,$N1813)</f>
        <v>3.2316</v>
      </c>
      <c r="T1813" s="32" t="n">
        <f aca="false">K1813*INDEX('Tabela Passaro'!$N$2:$N$1795,$N1813)</f>
        <v>1.29264</v>
      </c>
      <c r="U1813" s="32" t="n">
        <f aca="false">INDEX('Tabela Passaro'!$O$2:$O$1795,$N1813)</f>
        <v>5</v>
      </c>
      <c r="V1813" s="32" t="n">
        <f aca="false">ROUNDUP(J1813/INDEX('Tabela Passaro'!$Q$2:$Q$1795,$N1813),0)*INDEX('Tabela Passaro'!$P$2:$P$1795,$N1813)</f>
        <v>5</v>
      </c>
      <c r="W1813" s="32" t="n">
        <f aca="false">INDEX('Tabela Passaro'!$R$2:$R$1795,$N1813)</f>
        <v>30</v>
      </c>
      <c r="X1813" s="32" t="n">
        <f aca="false">ROUNDUP(J1813/INDEX('Tabela Passaro'!$T$2:$T$1795,$N1813),0)*INDEX('Tabela Passaro'!$S$2:$S$1795,$N1813)</f>
        <v>0</v>
      </c>
      <c r="Y1813" s="32" t="n">
        <f aca="false">INDEX('Tabela Passaro'!$U$2:$U$1795,$N1813)</f>
        <v>0</v>
      </c>
      <c r="Z1813" s="32" t="n">
        <f aca="false">INDEX('Tabela Passaro'!$V$2:$V$1795,$N1813)</f>
        <v>0</v>
      </c>
      <c r="AA1813" s="32" t="n">
        <f aca="false">SUM(R1813:Z1813)</f>
        <v>147.62424</v>
      </c>
      <c r="AB1813" s="33" t="n">
        <f aca="false">INDEX(Premissas!$B$5:$B$13,MATCH(A1813,Premissas!$A$5:$A$13,0))</f>
        <v>0.07</v>
      </c>
      <c r="AC1813" s="32" t="n">
        <f aca="false">AA1813/(1-AB1813)-AA1813</f>
        <v>11.1115019354839</v>
      </c>
      <c r="AD1813" s="32" t="n">
        <f aca="false">ROUND(AA1813+AC1813,2)</f>
        <v>158.74</v>
      </c>
      <c r="AE1813" s="32" t="n">
        <f aca="false">AD1813-L1813</f>
        <v>24.91</v>
      </c>
      <c r="AF1813" s="34" t="n">
        <f aca="false">IF(L1813=0,0,AE1813/L1813)</f>
        <v>0.186131659568109</v>
      </c>
      <c r="AG1813" s="22" t="str">
        <f aca="false">IF(AD1813&lt;L1813,"PASSARO","ATUAL")</f>
        <v>ATUAL</v>
      </c>
      <c r="AH1813" s="22" t="str">
        <f aca="false">IF(P1813&lt;&gt;A1813,"Faixa cadastrada como "&amp;P1813&amp;" na tabela; preço aplicado pela UF do CEP","")</f>
        <v/>
      </c>
      <c r="AI1813" s="26" t="n">
        <v>164.16</v>
      </c>
      <c r="AJ1813" s="22" t="str">
        <f aca="false">INDEX('Tabela Passaro'!$X$2:$X$1795,$N1813)</f>
        <v>INTERIOR 2</v>
      </c>
    </row>
    <row r="1814" customFormat="false" ht="15" hidden="false" customHeight="false" outlineLevel="0" collapsed="false">
      <c r="A1814" s="22" t="s">
        <v>23</v>
      </c>
      <c r="B1814" s="22" t="n">
        <v>4</v>
      </c>
      <c r="C1814" s="22" t="s">
        <v>203</v>
      </c>
      <c r="D1814" s="22" t="s">
        <v>30</v>
      </c>
      <c r="E1814" s="22" t="s">
        <v>7328</v>
      </c>
      <c r="F1814" s="22" t="n">
        <v>2307491</v>
      </c>
      <c r="G1814" s="30" t="n">
        <v>46238</v>
      </c>
      <c r="H1814" s="22" t="n">
        <v>131484</v>
      </c>
      <c r="I1814" s="22" t="s">
        <v>8969</v>
      </c>
      <c r="J1814" s="31" t="n">
        <v>27.6</v>
      </c>
      <c r="K1814" s="26" t="n">
        <v>700.36</v>
      </c>
      <c r="L1814" s="26" t="n">
        <v>134.25</v>
      </c>
      <c r="M1814" s="22" t="s">
        <v>7288</v>
      </c>
      <c r="N1814" s="22" t="n">
        <f aca="false">MATCH(M1814,'Tabela Passaro'!$A$2:$A$1795,0)</f>
        <v>1791</v>
      </c>
      <c r="O1814" s="22" t="str">
        <f aca="false">INDEX('Tabela Passaro'!$C$2:$C$1795,$N1814)</f>
        <v>SIMAO DIAS</v>
      </c>
      <c r="P1814" s="22" t="str">
        <f aca="false">INDEX('Tabela Passaro'!$B$2:$B$1795,$N1814)</f>
        <v>SE</v>
      </c>
      <c r="Q1814" s="22" t="n">
        <f aca="false">INDEX('Tabela Passaro'!$F$2:$F$1795,$N1814)</f>
        <v>10</v>
      </c>
      <c r="R1814" s="32" t="n">
        <f aca="false">IF(J1814&lt;=10,INDEX('Tabela Passaro'!$G$2:$G$1795,$N1814),IF(J1814&lt;=30,INDEX('Tabela Passaro'!$H$2:$H$1795,$N1814),IF(J1814&lt;=50,INDEX('Tabela Passaro'!$I$2:$I$1795,$N1814),IF(J1814&lt;=70,INDEX('Tabela Passaro'!$J$2:$J$1795,$N1814),IF(J1814&lt;=100,INDEX('Tabela Passaro'!$K$2:$K$1795,$N1814),INDEX('Tabela Passaro'!$K$2:$K$1795,$N1814)+(J1814-100)*INDEX('Tabela Passaro'!$L$2:$L$1795,$N1814))))))</f>
        <v>103.1</v>
      </c>
      <c r="S1814" s="32" t="n">
        <f aca="false">K1814*INDEX('Tabela Passaro'!$M$2:$M$1795,$N1814)</f>
        <v>3.5018</v>
      </c>
      <c r="T1814" s="32" t="n">
        <f aca="false">K1814*INDEX('Tabela Passaro'!$N$2:$N$1795,$N1814)</f>
        <v>1.40072</v>
      </c>
      <c r="U1814" s="32" t="n">
        <f aca="false">INDEX('Tabela Passaro'!$O$2:$O$1795,$N1814)</f>
        <v>5</v>
      </c>
      <c r="V1814" s="32" t="n">
        <f aca="false">ROUNDUP(J1814/INDEX('Tabela Passaro'!$Q$2:$Q$1795,$N1814),0)*INDEX('Tabela Passaro'!$P$2:$P$1795,$N1814)</f>
        <v>5</v>
      </c>
      <c r="W1814" s="32" t="n">
        <f aca="false">INDEX('Tabela Passaro'!$R$2:$R$1795,$N1814)</f>
        <v>30</v>
      </c>
      <c r="X1814" s="32" t="n">
        <f aca="false">ROUNDUP(J1814/INDEX('Tabela Passaro'!$T$2:$T$1795,$N1814),0)*INDEX('Tabela Passaro'!$S$2:$S$1795,$N1814)</f>
        <v>0</v>
      </c>
      <c r="Y1814" s="32" t="n">
        <f aca="false">INDEX('Tabela Passaro'!$U$2:$U$1795,$N1814)</f>
        <v>0</v>
      </c>
      <c r="Z1814" s="32" t="n">
        <f aca="false">INDEX('Tabela Passaro'!$V$2:$V$1795,$N1814)</f>
        <v>0</v>
      </c>
      <c r="AA1814" s="32" t="n">
        <f aca="false">SUM(R1814:Z1814)</f>
        <v>148.00252</v>
      </c>
      <c r="AB1814" s="33" t="n">
        <f aca="false">INDEX(Premissas!$B$5:$B$13,MATCH(A1814,Premissas!$A$5:$A$13,0))</f>
        <v>0.07</v>
      </c>
      <c r="AC1814" s="32" t="n">
        <f aca="false">AA1814/(1-AB1814)-AA1814</f>
        <v>11.1399746236559</v>
      </c>
      <c r="AD1814" s="32" t="n">
        <f aca="false">ROUND(AA1814+AC1814,2)</f>
        <v>159.14</v>
      </c>
      <c r="AE1814" s="32" t="n">
        <f aca="false">AD1814-L1814</f>
        <v>24.89</v>
      </c>
      <c r="AF1814" s="34" t="n">
        <f aca="false">IF(L1814=0,0,AE1814/L1814)</f>
        <v>0.185400372439479</v>
      </c>
      <c r="AG1814" s="22" t="str">
        <f aca="false">IF(AD1814&lt;L1814,"PASSARO","ATUAL")</f>
        <v>ATUAL</v>
      </c>
      <c r="AH1814" s="22" t="str">
        <f aca="false">IF(P1814&lt;&gt;A1814,"Faixa cadastrada como "&amp;P1814&amp;" na tabela; preço aplicado pela UF do CEP","")</f>
        <v/>
      </c>
      <c r="AI1814" s="26" t="n">
        <v>164.68</v>
      </c>
      <c r="AJ1814" s="22" t="str">
        <f aca="false">INDEX('Tabela Passaro'!$X$2:$X$1795,$N1814)</f>
        <v>INTERIOR 2</v>
      </c>
    </row>
    <row r="1815" customFormat="false" ht="15" hidden="false" customHeight="false" outlineLevel="0" collapsed="false">
      <c r="A1815" s="22" t="s">
        <v>23</v>
      </c>
      <c r="B1815" s="22" t="n">
        <v>4</v>
      </c>
      <c r="C1815" s="22" t="s">
        <v>203</v>
      </c>
      <c r="D1815" s="22" t="s">
        <v>30</v>
      </c>
      <c r="E1815" s="22" t="s">
        <v>7326</v>
      </c>
      <c r="F1815" s="22" t="n">
        <v>523845</v>
      </c>
      <c r="G1815" s="30" t="n">
        <v>46245</v>
      </c>
      <c r="H1815" s="22" t="n">
        <v>623575</v>
      </c>
      <c r="I1815" s="22" t="s">
        <v>8969</v>
      </c>
      <c r="J1815" s="31" t="n">
        <v>110.8</v>
      </c>
      <c r="K1815" s="26" t="n">
        <v>1696.12</v>
      </c>
      <c r="L1815" s="26" t="n">
        <v>397.29</v>
      </c>
      <c r="M1815" s="22" t="s">
        <v>7288</v>
      </c>
      <c r="N1815" s="22" t="n">
        <f aca="false">MATCH(M1815,'Tabela Passaro'!$A$2:$A$1795,0)</f>
        <v>1791</v>
      </c>
      <c r="O1815" s="22" t="str">
        <f aca="false">INDEX('Tabela Passaro'!$C$2:$C$1795,$N1815)</f>
        <v>SIMAO DIAS</v>
      </c>
      <c r="P1815" s="22" t="str">
        <f aca="false">INDEX('Tabela Passaro'!$B$2:$B$1795,$N1815)</f>
        <v>SE</v>
      </c>
      <c r="Q1815" s="22" t="n">
        <f aca="false">INDEX('Tabela Passaro'!$F$2:$F$1795,$N1815)</f>
        <v>10</v>
      </c>
      <c r="R1815" s="32" t="n">
        <f aca="false">IF(J1815&lt;=10,INDEX('Tabela Passaro'!$G$2:$G$1795,$N1815),IF(J1815&lt;=30,INDEX('Tabela Passaro'!$H$2:$H$1795,$N1815),IF(J1815&lt;=50,INDEX('Tabela Passaro'!$I$2:$I$1795,$N1815),IF(J1815&lt;=70,INDEX('Tabela Passaro'!$J$2:$J$1795,$N1815),IF(J1815&lt;=100,INDEX('Tabela Passaro'!$K$2:$K$1795,$N1815),INDEX('Tabela Passaro'!$K$2:$K$1795,$N1815)+(J1815-100)*INDEX('Tabela Passaro'!$L$2:$L$1795,$N1815))))))</f>
        <v>165.668</v>
      </c>
      <c r="S1815" s="32" t="n">
        <f aca="false">K1815*INDEX('Tabela Passaro'!$M$2:$M$1795,$N1815)</f>
        <v>8.4806</v>
      </c>
      <c r="T1815" s="32" t="n">
        <f aca="false">K1815*INDEX('Tabela Passaro'!$N$2:$N$1795,$N1815)</f>
        <v>3.39224</v>
      </c>
      <c r="U1815" s="32" t="n">
        <f aca="false">INDEX('Tabela Passaro'!$O$2:$O$1795,$N1815)</f>
        <v>5</v>
      </c>
      <c r="V1815" s="32" t="n">
        <f aca="false">ROUNDUP(J1815/INDEX('Tabela Passaro'!$Q$2:$Q$1795,$N1815),0)*INDEX('Tabela Passaro'!$P$2:$P$1795,$N1815)</f>
        <v>10</v>
      </c>
      <c r="W1815" s="32" t="n">
        <f aca="false">INDEX('Tabela Passaro'!$R$2:$R$1795,$N1815)</f>
        <v>30</v>
      </c>
      <c r="X1815" s="32" t="n">
        <f aca="false">ROUNDUP(J1815/INDEX('Tabela Passaro'!$T$2:$T$1795,$N1815),0)*INDEX('Tabela Passaro'!$S$2:$S$1795,$N1815)</f>
        <v>0</v>
      </c>
      <c r="Y1815" s="32" t="n">
        <f aca="false">INDEX('Tabela Passaro'!$U$2:$U$1795,$N1815)</f>
        <v>0</v>
      </c>
      <c r="Z1815" s="32" t="n">
        <f aca="false">INDEX('Tabela Passaro'!$V$2:$V$1795,$N1815)</f>
        <v>0</v>
      </c>
      <c r="AA1815" s="32" t="n">
        <f aca="false">SUM(R1815:Z1815)</f>
        <v>222.54084</v>
      </c>
      <c r="AB1815" s="33" t="n">
        <f aca="false">INDEX(Premissas!$B$5:$B$13,MATCH(A1815,Premissas!$A$5:$A$13,0))</f>
        <v>0.07</v>
      </c>
      <c r="AC1815" s="32" t="n">
        <f aca="false">AA1815/(1-AB1815)-AA1815</f>
        <v>16.7503858064516</v>
      </c>
      <c r="AD1815" s="32" t="n">
        <f aca="false">ROUND(AA1815+AC1815,2)</f>
        <v>239.29</v>
      </c>
      <c r="AE1815" s="32" t="n">
        <f aca="false">AD1815-L1815</f>
        <v>-158</v>
      </c>
      <c r="AF1815" s="34" t="n">
        <f aca="false">IF(L1815=0,0,AE1815/L1815)</f>
        <v>-0.397694379420574</v>
      </c>
      <c r="AG1815" s="22" t="str">
        <f aca="false">IF(AD1815&lt;L1815,"PASSARO","ATUAL")</f>
        <v>PASSARO</v>
      </c>
      <c r="AH1815" s="22" t="str">
        <f aca="false">IF(P1815&lt;&gt;A1815,"Faixa cadastrada como "&amp;P1815&amp;" na tabela; preço aplicado pela UF do CEP","")</f>
        <v/>
      </c>
      <c r="AI1815" s="26" t="n">
        <v>290.64</v>
      </c>
      <c r="AJ1815" s="22" t="str">
        <f aca="false">INDEX('Tabela Passaro'!$X$2:$X$1795,$N1815)</f>
        <v>INTERIOR 2</v>
      </c>
    </row>
    <row r="1816" customFormat="false" ht="15" hidden="false" customHeight="false" outlineLevel="0" collapsed="false">
      <c r="A1816" s="22" t="s">
        <v>23</v>
      </c>
      <c r="B1816" s="22" t="n">
        <v>4</v>
      </c>
      <c r="C1816" s="22" t="s">
        <v>203</v>
      </c>
      <c r="D1816" s="22" t="s">
        <v>30</v>
      </c>
      <c r="E1816" s="22" t="s">
        <v>7326</v>
      </c>
      <c r="F1816" s="22" t="n">
        <v>523882</v>
      </c>
      <c r="G1816" s="30" t="n">
        <v>46245</v>
      </c>
      <c r="H1816" s="22" t="n">
        <v>623729</v>
      </c>
      <c r="I1816" s="22" t="s">
        <v>8969</v>
      </c>
      <c r="J1816" s="31" t="n">
        <v>10.48</v>
      </c>
      <c r="K1816" s="26" t="n">
        <v>1086.29</v>
      </c>
      <c r="L1816" s="26" t="n">
        <v>96.59</v>
      </c>
      <c r="M1816" s="22" t="s">
        <v>7288</v>
      </c>
      <c r="N1816" s="22" t="n">
        <f aca="false">MATCH(M1816,'Tabela Passaro'!$A$2:$A$1795,0)</f>
        <v>1791</v>
      </c>
      <c r="O1816" s="22" t="str">
        <f aca="false">INDEX('Tabela Passaro'!$C$2:$C$1795,$N1816)</f>
        <v>SIMAO DIAS</v>
      </c>
      <c r="P1816" s="22" t="str">
        <f aca="false">INDEX('Tabela Passaro'!$B$2:$B$1795,$N1816)</f>
        <v>SE</v>
      </c>
      <c r="Q1816" s="22" t="n">
        <f aca="false">INDEX('Tabela Passaro'!$F$2:$F$1795,$N1816)</f>
        <v>10</v>
      </c>
      <c r="R1816" s="32" t="n">
        <f aca="false">IF(J1816&lt;=10,INDEX('Tabela Passaro'!$G$2:$G$1795,$N1816),IF(J1816&lt;=30,INDEX('Tabela Passaro'!$H$2:$H$1795,$N1816),IF(J1816&lt;=50,INDEX('Tabela Passaro'!$I$2:$I$1795,$N1816),IF(J1816&lt;=70,INDEX('Tabela Passaro'!$J$2:$J$1795,$N1816),IF(J1816&lt;=100,INDEX('Tabela Passaro'!$K$2:$K$1795,$N1816),INDEX('Tabela Passaro'!$K$2:$K$1795,$N1816)+(J1816-100)*INDEX('Tabela Passaro'!$L$2:$L$1795,$N1816))))))</f>
        <v>103.1</v>
      </c>
      <c r="S1816" s="32" t="n">
        <f aca="false">K1816*INDEX('Tabela Passaro'!$M$2:$M$1795,$N1816)</f>
        <v>5.43145</v>
      </c>
      <c r="T1816" s="32" t="n">
        <f aca="false">K1816*INDEX('Tabela Passaro'!$N$2:$N$1795,$N1816)</f>
        <v>2.17258</v>
      </c>
      <c r="U1816" s="32" t="n">
        <f aca="false">INDEX('Tabela Passaro'!$O$2:$O$1795,$N1816)</f>
        <v>5</v>
      </c>
      <c r="V1816" s="32" t="n">
        <f aca="false">ROUNDUP(J1816/INDEX('Tabela Passaro'!$Q$2:$Q$1795,$N1816),0)*INDEX('Tabela Passaro'!$P$2:$P$1795,$N1816)</f>
        <v>5</v>
      </c>
      <c r="W1816" s="32" t="n">
        <f aca="false">INDEX('Tabela Passaro'!$R$2:$R$1795,$N1816)</f>
        <v>30</v>
      </c>
      <c r="X1816" s="32" t="n">
        <f aca="false">ROUNDUP(J1816/INDEX('Tabela Passaro'!$T$2:$T$1795,$N1816),0)*INDEX('Tabela Passaro'!$S$2:$S$1795,$N1816)</f>
        <v>0</v>
      </c>
      <c r="Y1816" s="32" t="n">
        <f aca="false">INDEX('Tabela Passaro'!$U$2:$U$1795,$N1816)</f>
        <v>0</v>
      </c>
      <c r="Z1816" s="32" t="n">
        <f aca="false">INDEX('Tabela Passaro'!$V$2:$V$1795,$N1816)</f>
        <v>0</v>
      </c>
      <c r="AA1816" s="32" t="n">
        <f aca="false">SUM(R1816:Z1816)</f>
        <v>150.70403</v>
      </c>
      <c r="AB1816" s="33" t="n">
        <f aca="false">INDEX(Premissas!$B$5:$B$13,MATCH(A1816,Premissas!$A$5:$A$13,0))</f>
        <v>0.07</v>
      </c>
      <c r="AC1816" s="32" t="n">
        <f aca="false">AA1816/(1-AB1816)-AA1816</f>
        <v>11.3433140860215</v>
      </c>
      <c r="AD1816" s="32" t="n">
        <f aca="false">ROUND(AA1816+AC1816,2)</f>
        <v>162.05</v>
      </c>
      <c r="AE1816" s="32" t="n">
        <f aca="false">AD1816-L1816</f>
        <v>65.46</v>
      </c>
      <c r="AF1816" s="34" t="n">
        <f aca="false">IF(L1816=0,0,AE1816/L1816)</f>
        <v>0.677709907857956</v>
      </c>
      <c r="AG1816" s="22" t="str">
        <f aca="false">IF(AD1816&lt;L1816,"PASSARO","ATUAL")</f>
        <v>ATUAL</v>
      </c>
      <c r="AH1816" s="22" t="str">
        <f aca="false">IF(P1816&lt;&gt;A1816,"Faixa cadastrada como "&amp;P1816&amp;" na tabela; preço aplicado pela UF do CEP","")</f>
        <v/>
      </c>
      <c r="AI1816" s="26" t="n">
        <v>160.19</v>
      </c>
      <c r="AJ1816" s="22" t="str">
        <f aca="false">INDEX('Tabela Passaro'!$X$2:$X$1795,$N1816)</f>
        <v>INTERIOR 2</v>
      </c>
    </row>
    <row r="1817" customFormat="false" ht="15" hidden="false" customHeight="false" outlineLevel="0" collapsed="false">
      <c r="A1817" s="22" t="s">
        <v>23</v>
      </c>
      <c r="B1817" s="22" t="n">
        <v>4</v>
      </c>
      <c r="C1817" s="22" t="s">
        <v>203</v>
      </c>
      <c r="D1817" s="22" t="s">
        <v>30</v>
      </c>
      <c r="E1817" s="22" t="s">
        <v>7326</v>
      </c>
      <c r="F1817" s="22" t="n">
        <v>524478</v>
      </c>
      <c r="G1817" s="30" t="n">
        <v>46246</v>
      </c>
      <c r="H1817" s="22" t="n">
        <v>623926</v>
      </c>
      <c r="I1817" s="22" t="s">
        <v>8969</v>
      </c>
      <c r="J1817" s="31" t="n">
        <v>42.4</v>
      </c>
      <c r="K1817" s="26" t="n">
        <v>674.53</v>
      </c>
      <c r="L1817" s="26" t="n">
        <v>199.72</v>
      </c>
      <c r="M1817" s="22" t="s">
        <v>7288</v>
      </c>
      <c r="N1817" s="22" t="n">
        <f aca="false">MATCH(M1817,'Tabela Passaro'!$A$2:$A$1795,0)</f>
        <v>1791</v>
      </c>
      <c r="O1817" s="22" t="str">
        <f aca="false">INDEX('Tabela Passaro'!$C$2:$C$1795,$N1817)</f>
        <v>SIMAO DIAS</v>
      </c>
      <c r="P1817" s="22" t="str">
        <f aca="false">INDEX('Tabela Passaro'!$B$2:$B$1795,$N1817)</f>
        <v>SE</v>
      </c>
      <c r="Q1817" s="22" t="n">
        <f aca="false">INDEX('Tabela Passaro'!$F$2:$F$1795,$N1817)</f>
        <v>10</v>
      </c>
      <c r="R1817" s="32" t="n">
        <f aca="false">IF(J1817&lt;=10,INDEX('Tabela Passaro'!$G$2:$G$1795,$N1817),IF(J1817&lt;=30,INDEX('Tabela Passaro'!$H$2:$H$1795,$N1817),IF(J1817&lt;=50,INDEX('Tabela Passaro'!$I$2:$I$1795,$N1817),IF(J1817&lt;=70,INDEX('Tabela Passaro'!$J$2:$J$1795,$N1817),IF(J1817&lt;=100,INDEX('Tabela Passaro'!$K$2:$K$1795,$N1817),INDEX('Tabela Passaro'!$K$2:$K$1795,$N1817)+(J1817-100)*INDEX('Tabela Passaro'!$L$2:$L$1795,$N1817))))))</f>
        <v>114.62</v>
      </c>
      <c r="S1817" s="32" t="n">
        <f aca="false">K1817*INDEX('Tabela Passaro'!$M$2:$M$1795,$N1817)</f>
        <v>3.37265</v>
      </c>
      <c r="T1817" s="32" t="n">
        <f aca="false">K1817*INDEX('Tabela Passaro'!$N$2:$N$1795,$N1817)</f>
        <v>1.34906</v>
      </c>
      <c r="U1817" s="32" t="n">
        <f aca="false">INDEX('Tabela Passaro'!$O$2:$O$1795,$N1817)</f>
        <v>5</v>
      </c>
      <c r="V1817" s="32" t="n">
        <f aca="false">ROUNDUP(J1817/INDEX('Tabela Passaro'!$Q$2:$Q$1795,$N1817),0)*INDEX('Tabela Passaro'!$P$2:$P$1795,$N1817)</f>
        <v>5</v>
      </c>
      <c r="W1817" s="32" t="n">
        <f aca="false">INDEX('Tabela Passaro'!$R$2:$R$1795,$N1817)</f>
        <v>30</v>
      </c>
      <c r="X1817" s="32" t="n">
        <f aca="false">ROUNDUP(J1817/INDEX('Tabela Passaro'!$T$2:$T$1795,$N1817),0)*INDEX('Tabela Passaro'!$S$2:$S$1795,$N1817)</f>
        <v>0</v>
      </c>
      <c r="Y1817" s="32" t="n">
        <f aca="false">INDEX('Tabela Passaro'!$U$2:$U$1795,$N1817)</f>
        <v>0</v>
      </c>
      <c r="Z1817" s="32" t="n">
        <f aca="false">INDEX('Tabela Passaro'!$V$2:$V$1795,$N1817)</f>
        <v>0</v>
      </c>
      <c r="AA1817" s="32" t="n">
        <f aca="false">SUM(R1817:Z1817)</f>
        <v>159.34171</v>
      </c>
      <c r="AB1817" s="33" t="n">
        <f aca="false">INDEX(Premissas!$B$5:$B$13,MATCH(A1817,Premissas!$A$5:$A$13,0))</f>
        <v>0.07</v>
      </c>
      <c r="AC1817" s="32" t="n">
        <f aca="false">AA1817/(1-AB1817)-AA1817</f>
        <v>11.9934620430108</v>
      </c>
      <c r="AD1817" s="32" t="n">
        <f aca="false">ROUND(AA1817+AC1817,2)</f>
        <v>171.34</v>
      </c>
      <c r="AE1817" s="32" t="n">
        <f aca="false">AD1817-L1817</f>
        <v>-28.38</v>
      </c>
      <c r="AF1817" s="34" t="n">
        <f aca="false">IF(L1817=0,0,AE1817/L1817)</f>
        <v>-0.142098938513919</v>
      </c>
      <c r="AG1817" s="22" t="str">
        <f aca="false">IF(AD1817&lt;L1817,"PASSARO","ATUAL")</f>
        <v>PASSARO</v>
      </c>
      <c r="AH1817" s="22" t="str">
        <f aca="false">IF(P1817&lt;&gt;A1817,"Faixa cadastrada como "&amp;P1817&amp;" na tabela; preço aplicado pela UF do CEP","")</f>
        <v/>
      </c>
      <c r="AI1817" s="26" t="n">
        <v>184.22</v>
      </c>
      <c r="AJ1817" s="22" t="str">
        <f aca="false">INDEX('Tabela Passaro'!$X$2:$X$1795,$N1817)</f>
        <v>INTERIOR 2</v>
      </c>
    </row>
    <row r="1818" customFormat="false" ht="15" hidden="false" customHeight="false" outlineLevel="0" collapsed="false">
      <c r="A1818" s="22" t="s">
        <v>23</v>
      </c>
      <c r="B1818" s="22" t="n">
        <v>4</v>
      </c>
      <c r="C1818" s="22" t="s">
        <v>203</v>
      </c>
      <c r="D1818" s="22" t="s">
        <v>30</v>
      </c>
      <c r="E1818" s="22" t="s">
        <v>7328</v>
      </c>
      <c r="F1818" s="22" t="n">
        <v>2316551</v>
      </c>
      <c r="G1818" s="30" t="n">
        <v>46260</v>
      </c>
      <c r="H1818" s="22" t="n">
        <v>135863</v>
      </c>
      <c r="I1818" s="22" t="s">
        <v>8969</v>
      </c>
      <c r="J1818" s="31" t="n">
        <v>49.6</v>
      </c>
      <c r="K1818" s="26" t="n">
        <v>922.3</v>
      </c>
      <c r="L1818" s="26" t="n">
        <v>179.27</v>
      </c>
      <c r="M1818" s="22" t="s">
        <v>7288</v>
      </c>
      <c r="N1818" s="22" t="n">
        <f aca="false">MATCH(M1818,'Tabela Passaro'!$A$2:$A$1795,0)</f>
        <v>1791</v>
      </c>
      <c r="O1818" s="22" t="str">
        <f aca="false">INDEX('Tabela Passaro'!$C$2:$C$1795,$N1818)</f>
        <v>SIMAO DIAS</v>
      </c>
      <c r="P1818" s="22" t="str">
        <f aca="false">INDEX('Tabela Passaro'!$B$2:$B$1795,$N1818)</f>
        <v>SE</v>
      </c>
      <c r="Q1818" s="22" t="n">
        <f aca="false">INDEX('Tabela Passaro'!$F$2:$F$1795,$N1818)</f>
        <v>10</v>
      </c>
      <c r="R1818" s="32" t="n">
        <f aca="false">IF(J1818&lt;=10,INDEX('Tabela Passaro'!$G$2:$G$1795,$N1818),IF(J1818&lt;=30,INDEX('Tabela Passaro'!$H$2:$H$1795,$N1818),IF(J1818&lt;=50,INDEX('Tabela Passaro'!$I$2:$I$1795,$N1818),IF(J1818&lt;=70,INDEX('Tabela Passaro'!$J$2:$J$1795,$N1818),IF(J1818&lt;=100,INDEX('Tabela Passaro'!$K$2:$K$1795,$N1818),INDEX('Tabela Passaro'!$K$2:$K$1795,$N1818)+(J1818-100)*INDEX('Tabela Passaro'!$L$2:$L$1795,$N1818))))))</f>
        <v>114.62</v>
      </c>
      <c r="S1818" s="32" t="n">
        <f aca="false">K1818*INDEX('Tabela Passaro'!$M$2:$M$1795,$N1818)</f>
        <v>4.6115</v>
      </c>
      <c r="T1818" s="32" t="n">
        <f aca="false">K1818*INDEX('Tabela Passaro'!$N$2:$N$1795,$N1818)</f>
        <v>1.8446</v>
      </c>
      <c r="U1818" s="32" t="n">
        <f aca="false">INDEX('Tabela Passaro'!$O$2:$O$1795,$N1818)</f>
        <v>5</v>
      </c>
      <c r="V1818" s="32" t="n">
        <f aca="false">ROUNDUP(J1818/INDEX('Tabela Passaro'!$Q$2:$Q$1795,$N1818),0)*INDEX('Tabela Passaro'!$P$2:$P$1795,$N1818)</f>
        <v>5</v>
      </c>
      <c r="W1818" s="32" t="n">
        <f aca="false">INDEX('Tabela Passaro'!$R$2:$R$1795,$N1818)</f>
        <v>30</v>
      </c>
      <c r="X1818" s="32" t="n">
        <f aca="false">ROUNDUP(J1818/INDEX('Tabela Passaro'!$T$2:$T$1795,$N1818),0)*INDEX('Tabela Passaro'!$S$2:$S$1795,$N1818)</f>
        <v>0</v>
      </c>
      <c r="Y1818" s="32" t="n">
        <f aca="false">INDEX('Tabela Passaro'!$U$2:$U$1795,$N1818)</f>
        <v>0</v>
      </c>
      <c r="Z1818" s="32" t="n">
        <f aca="false">INDEX('Tabela Passaro'!$V$2:$V$1795,$N1818)</f>
        <v>0</v>
      </c>
      <c r="AA1818" s="32" t="n">
        <f aca="false">SUM(R1818:Z1818)</f>
        <v>161.0761</v>
      </c>
      <c r="AB1818" s="33" t="n">
        <f aca="false">INDEX(Premissas!$B$5:$B$13,MATCH(A1818,Premissas!$A$5:$A$13,0))</f>
        <v>0.07</v>
      </c>
      <c r="AC1818" s="32" t="n">
        <f aca="false">AA1818/(1-AB1818)-AA1818</f>
        <v>12.1240075268817</v>
      </c>
      <c r="AD1818" s="32" t="n">
        <f aca="false">ROUND(AA1818+AC1818,2)</f>
        <v>173.2</v>
      </c>
      <c r="AE1818" s="32" t="n">
        <f aca="false">AD1818-L1818</f>
        <v>-6.07000000000002</v>
      </c>
      <c r="AF1818" s="34" t="n">
        <f aca="false">IF(L1818=0,0,AE1818/L1818)</f>
        <v>-0.0338595414737548</v>
      </c>
      <c r="AG1818" s="22" t="str">
        <f aca="false">IF(AD1818&lt;L1818,"PASSARO","ATUAL")</f>
        <v>PASSARO</v>
      </c>
      <c r="AH1818" s="22" t="str">
        <f aca="false">IF(P1818&lt;&gt;A1818,"Faixa cadastrada como "&amp;P1818&amp;" na tabela; preço aplicado pela UF do CEP","")</f>
        <v/>
      </c>
      <c r="AI1818" s="26" t="n">
        <v>190</v>
      </c>
      <c r="AJ1818" s="22" t="str">
        <f aca="false">INDEX('Tabela Passaro'!$X$2:$X$1795,$N1818)</f>
        <v>INTERIOR 2</v>
      </c>
    </row>
    <row r="1819" customFormat="false" ht="15" hidden="false" customHeight="false" outlineLevel="0" collapsed="false">
      <c r="A1819" s="22" t="s">
        <v>23</v>
      </c>
      <c r="B1819" s="22" t="n">
        <v>5</v>
      </c>
      <c r="C1819" s="22" t="s">
        <v>204</v>
      </c>
      <c r="D1819" s="22" t="s">
        <v>30</v>
      </c>
      <c r="E1819" s="22" t="s">
        <v>7326</v>
      </c>
      <c r="F1819" s="22" t="n">
        <v>522626</v>
      </c>
      <c r="G1819" s="30" t="n">
        <v>46239</v>
      </c>
      <c r="H1819" s="22" t="n">
        <v>620528</v>
      </c>
      <c r="I1819" s="22" t="s">
        <v>8970</v>
      </c>
      <c r="J1819" s="31" t="n">
        <v>33</v>
      </c>
      <c r="K1819" s="26" t="n">
        <v>735.78</v>
      </c>
      <c r="L1819" s="26" t="n">
        <v>180.96</v>
      </c>
      <c r="M1819" s="22" t="s">
        <v>7143</v>
      </c>
      <c r="N1819" s="22" t="n">
        <f aca="false">MATCH(M1819,'Tabela Passaro'!$A$2:$A$1795,0)</f>
        <v>1753</v>
      </c>
      <c r="O1819" s="22" t="str">
        <f aca="false">INDEX('Tabela Passaro'!$C$2:$C$1795,$N1819)</f>
        <v>BARRA DOS COQUEIROS</v>
      </c>
      <c r="P1819" s="22" t="str">
        <f aca="false">INDEX('Tabela Passaro'!$B$2:$B$1795,$N1819)</f>
        <v>SE</v>
      </c>
      <c r="Q1819" s="22" t="n">
        <f aca="false">INDEX('Tabela Passaro'!$F$2:$F$1795,$N1819)</f>
        <v>12</v>
      </c>
      <c r="R1819" s="32" t="n">
        <f aca="false">IF(J1819&lt;=10,INDEX('Tabela Passaro'!$G$2:$G$1795,$N1819),IF(J1819&lt;=30,INDEX('Tabela Passaro'!$H$2:$H$1795,$N1819),IF(J1819&lt;=50,INDEX('Tabela Passaro'!$I$2:$I$1795,$N1819),IF(J1819&lt;=70,INDEX('Tabela Passaro'!$J$2:$J$1795,$N1819),IF(J1819&lt;=100,INDEX('Tabela Passaro'!$K$2:$K$1795,$N1819),INDEX('Tabela Passaro'!$K$2:$K$1795,$N1819)+(J1819-100)*INDEX('Tabela Passaro'!$L$2:$L$1795,$N1819))))))</f>
        <v>114.62</v>
      </c>
      <c r="S1819" s="32" t="n">
        <f aca="false">K1819*INDEX('Tabela Passaro'!$M$2:$M$1795,$N1819)</f>
        <v>3.6789</v>
      </c>
      <c r="T1819" s="32" t="n">
        <f aca="false">K1819*INDEX('Tabela Passaro'!$N$2:$N$1795,$N1819)</f>
        <v>1.47156</v>
      </c>
      <c r="U1819" s="32" t="n">
        <f aca="false">INDEX('Tabela Passaro'!$O$2:$O$1795,$N1819)</f>
        <v>5</v>
      </c>
      <c r="V1819" s="32" t="n">
        <f aca="false">ROUNDUP(J1819/INDEX('Tabela Passaro'!$Q$2:$Q$1795,$N1819),0)*INDEX('Tabela Passaro'!$P$2:$P$1795,$N1819)</f>
        <v>5</v>
      </c>
      <c r="W1819" s="32" t="n">
        <f aca="false">INDEX('Tabela Passaro'!$R$2:$R$1795,$N1819)</f>
        <v>30</v>
      </c>
      <c r="X1819" s="32" t="n">
        <f aca="false">ROUNDUP(J1819/INDEX('Tabela Passaro'!$T$2:$T$1795,$N1819),0)*INDEX('Tabela Passaro'!$S$2:$S$1795,$N1819)</f>
        <v>0</v>
      </c>
      <c r="Y1819" s="32" t="n">
        <f aca="false">INDEX('Tabela Passaro'!$U$2:$U$1795,$N1819)</f>
        <v>0</v>
      </c>
      <c r="Z1819" s="32" t="n">
        <f aca="false">INDEX('Tabela Passaro'!$V$2:$V$1795,$N1819)</f>
        <v>0</v>
      </c>
      <c r="AA1819" s="32" t="n">
        <f aca="false">SUM(R1819:Z1819)</f>
        <v>159.77046</v>
      </c>
      <c r="AB1819" s="33" t="n">
        <f aca="false">INDEX(Premissas!$B$5:$B$13,MATCH(A1819,Premissas!$A$5:$A$13,0))</f>
        <v>0.07</v>
      </c>
      <c r="AC1819" s="32" t="n">
        <f aca="false">AA1819/(1-AB1819)-AA1819</f>
        <v>12.0257335483871</v>
      </c>
      <c r="AD1819" s="32" t="n">
        <f aca="false">ROUND(AA1819+AC1819,2)</f>
        <v>171.8</v>
      </c>
      <c r="AE1819" s="32" t="n">
        <f aca="false">AD1819-L1819</f>
        <v>-9.16</v>
      </c>
      <c r="AF1819" s="34" t="n">
        <f aca="false">IF(L1819=0,0,AE1819/L1819)</f>
        <v>-0.0506189213085765</v>
      </c>
      <c r="AG1819" s="22" t="str">
        <f aca="false">IF(AD1819&lt;L1819,"PASSARO","ATUAL")</f>
        <v>PASSARO</v>
      </c>
      <c r="AH1819" s="22" t="str">
        <f aca="false">IF(P1819&lt;&gt;A1819,"Faixa cadastrada como "&amp;P1819&amp;" na tabela; preço aplicado pela UF do CEP","")</f>
        <v/>
      </c>
      <c r="AI1819" s="26" t="n">
        <v>179.97</v>
      </c>
      <c r="AJ1819" s="22" t="str">
        <f aca="false">INDEX('Tabela Passaro'!$X$2:$X$1795,$N1819)</f>
        <v>INTERIOR 2</v>
      </c>
    </row>
    <row r="1820" customFormat="false" ht="15" hidden="false" customHeight="false" outlineLevel="0" collapsed="false">
      <c r="A1820" s="22" t="s">
        <v>23</v>
      </c>
      <c r="B1820" s="22" t="n">
        <v>5</v>
      </c>
      <c r="C1820" s="22" t="s">
        <v>204</v>
      </c>
      <c r="D1820" s="22" t="s">
        <v>30</v>
      </c>
      <c r="E1820" s="22" t="s">
        <v>7328</v>
      </c>
      <c r="F1820" s="22" t="n">
        <v>2311251</v>
      </c>
      <c r="G1820" s="30" t="n">
        <v>46246</v>
      </c>
      <c r="H1820" s="22" t="n">
        <v>132539</v>
      </c>
      <c r="I1820" s="22" t="s">
        <v>8971</v>
      </c>
      <c r="J1820" s="31" t="n">
        <v>37.5</v>
      </c>
      <c r="K1820" s="26" t="n">
        <v>630.62</v>
      </c>
      <c r="L1820" s="26" t="n">
        <v>160.08</v>
      </c>
      <c r="M1820" s="22" t="s">
        <v>7143</v>
      </c>
      <c r="N1820" s="22" t="n">
        <f aca="false">MATCH(M1820,'Tabela Passaro'!$A$2:$A$1795,0)</f>
        <v>1753</v>
      </c>
      <c r="O1820" s="22" t="str">
        <f aca="false">INDEX('Tabela Passaro'!$C$2:$C$1795,$N1820)</f>
        <v>BARRA DOS COQUEIROS</v>
      </c>
      <c r="P1820" s="22" t="str">
        <f aca="false">INDEX('Tabela Passaro'!$B$2:$B$1795,$N1820)</f>
        <v>SE</v>
      </c>
      <c r="Q1820" s="22" t="n">
        <f aca="false">INDEX('Tabela Passaro'!$F$2:$F$1795,$N1820)</f>
        <v>12</v>
      </c>
      <c r="R1820" s="32" t="n">
        <f aca="false">IF(J1820&lt;=10,INDEX('Tabela Passaro'!$G$2:$G$1795,$N1820),IF(J1820&lt;=30,INDEX('Tabela Passaro'!$H$2:$H$1795,$N1820),IF(J1820&lt;=50,INDEX('Tabela Passaro'!$I$2:$I$1795,$N1820),IF(J1820&lt;=70,INDEX('Tabela Passaro'!$J$2:$J$1795,$N1820),IF(J1820&lt;=100,INDEX('Tabela Passaro'!$K$2:$K$1795,$N1820),INDEX('Tabela Passaro'!$K$2:$K$1795,$N1820)+(J1820-100)*INDEX('Tabela Passaro'!$L$2:$L$1795,$N1820))))))</f>
        <v>114.62</v>
      </c>
      <c r="S1820" s="32" t="n">
        <f aca="false">K1820*INDEX('Tabela Passaro'!$M$2:$M$1795,$N1820)</f>
        <v>3.1531</v>
      </c>
      <c r="T1820" s="32" t="n">
        <f aca="false">K1820*INDEX('Tabela Passaro'!$N$2:$N$1795,$N1820)</f>
        <v>1.26124</v>
      </c>
      <c r="U1820" s="32" t="n">
        <f aca="false">INDEX('Tabela Passaro'!$O$2:$O$1795,$N1820)</f>
        <v>5</v>
      </c>
      <c r="V1820" s="32" t="n">
        <f aca="false">ROUNDUP(J1820/INDEX('Tabela Passaro'!$Q$2:$Q$1795,$N1820),0)*INDEX('Tabela Passaro'!$P$2:$P$1795,$N1820)</f>
        <v>5</v>
      </c>
      <c r="W1820" s="32" t="n">
        <f aca="false">INDEX('Tabela Passaro'!$R$2:$R$1795,$N1820)</f>
        <v>30</v>
      </c>
      <c r="X1820" s="32" t="n">
        <f aca="false">ROUNDUP(J1820/INDEX('Tabela Passaro'!$T$2:$T$1795,$N1820),0)*INDEX('Tabela Passaro'!$S$2:$S$1795,$N1820)</f>
        <v>0</v>
      </c>
      <c r="Y1820" s="32" t="n">
        <f aca="false">INDEX('Tabela Passaro'!$U$2:$U$1795,$N1820)</f>
        <v>0</v>
      </c>
      <c r="Z1820" s="32" t="n">
        <f aca="false">INDEX('Tabela Passaro'!$V$2:$V$1795,$N1820)</f>
        <v>0</v>
      </c>
      <c r="AA1820" s="32" t="n">
        <f aca="false">SUM(R1820:Z1820)</f>
        <v>159.03434</v>
      </c>
      <c r="AB1820" s="33" t="n">
        <f aca="false">INDEX(Premissas!$B$5:$B$13,MATCH(A1820,Premissas!$A$5:$A$13,0))</f>
        <v>0.07</v>
      </c>
      <c r="AC1820" s="32" t="n">
        <f aca="false">AA1820/(1-AB1820)-AA1820</f>
        <v>11.9703266666667</v>
      </c>
      <c r="AD1820" s="32" t="n">
        <f aca="false">ROUND(AA1820+AC1820,2)</f>
        <v>171</v>
      </c>
      <c r="AE1820" s="32" t="n">
        <f aca="false">AD1820-L1820</f>
        <v>10.92</v>
      </c>
      <c r="AF1820" s="34" t="n">
        <f aca="false">IF(L1820=0,0,AE1820/L1820)</f>
        <v>0.0682158920539729</v>
      </c>
      <c r="AG1820" s="22" t="str">
        <f aca="false">IF(AD1820&lt;L1820,"PASSARO","ATUAL")</f>
        <v>ATUAL</v>
      </c>
      <c r="AH1820" s="22" t="str">
        <f aca="false">IF(P1820&lt;&gt;A1820,"Faixa cadastrada como "&amp;P1820&amp;" na tabela; preço aplicado pela UF do CEP","")</f>
        <v/>
      </c>
      <c r="AI1820" s="26" t="n">
        <v>181.37</v>
      </c>
      <c r="AJ1820" s="22" t="str">
        <f aca="false">INDEX('Tabela Passaro'!$X$2:$X$1795,$N1820)</f>
        <v>INTERIOR 2</v>
      </c>
    </row>
    <row r="1821" customFormat="false" ht="15" hidden="false" customHeight="false" outlineLevel="0" collapsed="false">
      <c r="A1821" s="22" t="s">
        <v>23</v>
      </c>
      <c r="B1821" s="22" t="n">
        <v>5</v>
      </c>
      <c r="C1821" s="22" t="s">
        <v>204</v>
      </c>
      <c r="D1821" s="22" t="s">
        <v>30</v>
      </c>
      <c r="E1821" s="22" t="s">
        <v>7326</v>
      </c>
      <c r="F1821" s="22" t="n">
        <v>525350</v>
      </c>
      <c r="G1821" s="30" t="n">
        <v>46251</v>
      </c>
      <c r="H1821" s="22" t="n">
        <v>625634</v>
      </c>
      <c r="I1821" s="22" t="s">
        <v>8972</v>
      </c>
      <c r="J1821" s="31" t="n">
        <v>22</v>
      </c>
      <c r="K1821" s="26" t="n">
        <v>953.51</v>
      </c>
      <c r="L1821" s="26" t="n">
        <v>136.3</v>
      </c>
      <c r="M1821" s="22" t="s">
        <v>7143</v>
      </c>
      <c r="N1821" s="22" t="n">
        <f aca="false">MATCH(M1821,'Tabela Passaro'!$A$2:$A$1795,0)</f>
        <v>1753</v>
      </c>
      <c r="O1821" s="22" t="str">
        <f aca="false">INDEX('Tabela Passaro'!$C$2:$C$1795,$N1821)</f>
        <v>BARRA DOS COQUEIROS</v>
      </c>
      <c r="P1821" s="22" t="str">
        <f aca="false">INDEX('Tabela Passaro'!$B$2:$B$1795,$N1821)</f>
        <v>SE</v>
      </c>
      <c r="Q1821" s="22" t="n">
        <f aca="false">INDEX('Tabela Passaro'!$F$2:$F$1795,$N1821)</f>
        <v>12</v>
      </c>
      <c r="R1821" s="32" t="n">
        <f aca="false">IF(J1821&lt;=10,INDEX('Tabela Passaro'!$G$2:$G$1795,$N1821),IF(J1821&lt;=30,INDEX('Tabela Passaro'!$H$2:$H$1795,$N1821),IF(J1821&lt;=50,INDEX('Tabela Passaro'!$I$2:$I$1795,$N1821),IF(J1821&lt;=70,INDEX('Tabela Passaro'!$J$2:$J$1795,$N1821),IF(J1821&lt;=100,INDEX('Tabela Passaro'!$K$2:$K$1795,$N1821),INDEX('Tabela Passaro'!$K$2:$K$1795,$N1821)+(J1821-100)*INDEX('Tabela Passaro'!$L$2:$L$1795,$N1821))))))</f>
        <v>103.1</v>
      </c>
      <c r="S1821" s="32" t="n">
        <f aca="false">K1821*INDEX('Tabela Passaro'!$M$2:$M$1795,$N1821)</f>
        <v>4.76755</v>
      </c>
      <c r="T1821" s="32" t="n">
        <f aca="false">K1821*INDEX('Tabela Passaro'!$N$2:$N$1795,$N1821)</f>
        <v>1.90702</v>
      </c>
      <c r="U1821" s="32" t="n">
        <f aca="false">INDEX('Tabela Passaro'!$O$2:$O$1795,$N1821)</f>
        <v>5</v>
      </c>
      <c r="V1821" s="32" t="n">
        <f aca="false">ROUNDUP(J1821/INDEX('Tabela Passaro'!$Q$2:$Q$1795,$N1821),0)*INDEX('Tabela Passaro'!$P$2:$P$1795,$N1821)</f>
        <v>5</v>
      </c>
      <c r="W1821" s="32" t="n">
        <f aca="false">INDEX('Tabela Passaro'!$R$2:$R$1795,$N1821)</f>
        <v>30</v>
      </c>
      <c r="X1821" s="32" t="n">
        <f aca="false">ROUNDUP(J1821/INDEX('Tabela Passaro'!$T$2:$T$1795,$N1821),0)*INDEX('Tabela Passaro'!$S$2:$S$1795,$N1821)</f>
        <v>0</v>
      </c>
      <c r="Y1821" s="32" t="n">
        <f aca="false">INDEX('Tabela Passaro'!$U$2:$U$1795,$N1821)</f>
        <v>0</v>
      </c>
      <c r="Z1821" s="32" t="n">
        <f aca="false">INDEX('Tabela Passaro'!$V$2:$V$1795,$N1821)</f>
        <v>0</v>
      </c>
      <c r="AA1821" s="32" t="n">
        <f aca="false">SUM(R1821:Z1821)</f>
        <v>149.77457</v>
      </c>
      <c r="AB1821" s="33" t="n">
        <f aca="false">INDEX(Premissas!$B$5:$B$13,MATCH(A1821,Premissas!$A$5:$A$13,0))</f>
        <v>0.07</v>
      </c>
      <c r="AC1821" s="32" t="n">
        <f aca="false">AA1821/(1-AB1821)-AA1821</f>
        <v>11.2733547311828</v>
      </c>
      <c r="AD1821" s="32" t="n">
        <f aca="false">ROUND(AA1821+AC1821,2)</f>
        <v>161.05</v>
      </c>
      <c r="AE1821" s="32" t="n">
        <f aca="false">AD1821-L1821</f>
        <v>24.75</v>
      </c>
      <c r="AF1821" s="34" t="n">
        <f aca="false">IF(L1821=0,0,AE1821/L1821)</f>
        <v>0.181584739545121</v>
      </c>
      <c r="AG1821" s="22" t="str">
        <f aca="false">IF(AD1821&lt;L1821,"PASSARO","ATUAL")</f>
        <v>ATUAL</v>
      </c>
      <c r="AH1821" s="22" t="str">
        <f aca="false">IF(P1821&lt;&gt;A1821,"Faixa cadastrada como "&amp;P1821&amp;" na tabela; preço aplicado pela UF do CEP","")</f>
        <v/>
      </c>
      <c r="AI1821" s="26" t="n">
        <v>164.23</v>
      </c>
      <c r="AJ1821" s="22" t="str">
        <f aca="false">INDEX('Tabela Passaro'!$X$2:$X$1795,$N1821)</f>
        <v>INTERIOR 2</v>
      </c>
    </row>
    <row r="1822" customFormat="false" ht="15" hidden="false" customHeight="false" outlineLevel="0" collapsed="false">
      <c r="A1822" s="22" t="s">
        <v>23</v>
      </c>
      <c r="B1822" s="22" t="n">
        <v>5</v>
      </c>
      <c r="C1822" s="22" t="s">
        <v>204</v>
      </c>
      <c r="D1822" s="22" t="s">
        <v>30</v>
      </c>
      <c r="E1822" s="22" t="s">
        <v>20</v>
      </c>
      <c r="F1822" s="22" t="n">
        <v>839530</v>
      </c>
      <c r="G1822" s="30" t="n">
        <v>46253</v>
      </c>
      <c r="H1822" s="22" t="n">
        <v>32553</v>
      </c>
      <c r="I1822" s="22" t="s">
        <v>8973</v>
      </c>
      <c r="J1822" s="31" t="n">
        <v>34.4</v>
      </c>
      <c r="K1822" s="26" t="n">
        <v>649.01</v>
      </c>
      <c r="L1822" s="26" t="n">
        <v>149.7</v>
      </c>
      <c r="M1822" s="22" t="s">
        <v>7143</v>
      </c>
      <c r="N1822" s="22" t="n">
        <f aca="false">MATCH(M1822,'Tabela Passaro'!$A$2:$A$1795,0)</f>
        <v>1753</v>
      </c>
      <c r="O1822" s="22" t="str">
        <f aca="false">INDEX('Tabela Passaro'!$C$2:$C$1795,$N1822)</f>
        <v>BARRA DOS COQUEIROS</v>
      </c>
      <c r="P1822" s="22" t="str">
        <f aca="false">INDEX('Tabela Passaro'!$B$2:$B$1795,$N1822)</f>
        <v>SE</v>
      </c>
      <c r="Q1822" s="22" t="n">
        <f aca="false">INDEX('Tabela Passaro'!$F$2:$F$1795,$N1822)</f>
        <v>12</v>
      </c>
      <c r="R1822" s="32" t="n">
        <f aca="false">IF(J1822&lt;=10,INDEX('Tabela Passaro'!$G$2:$G$1795,$N1822),IF(J1822&lt;=30,INDEX('Tabela Passaro'!$H$2:$H$1795,$N1822),IF(J1822&lt;=50,INDEX('Tabela Passaro'!$I$2:$I$1795,$N1822),IF(J1822&lt;=70,INDEX('Tabela Passaro'!$J$2:$J$1795,$N1822),IF(J1822&lt;=100,INDEX('Tabela Passaro'!$K$2:$K$1795,$N1822),INDEX('Tabela Passaro'!$K$2:$K$1795,$N1822)+(J1822-100)*INDEX('Tabela Passaro'!$L$2:$L$1795,$N1822))))))</f>
        <v>114.62</v>
      </c>
      <c r="S1822" s="32" t="n">
        <f aca="false">K1822*INDEX('Tabela Passaro'!$M$2:$M$1795,$N1822)</f>
        <v>3.24505</v>
      </c>
      <c r="T1822" s="32" t="n">
        <f aca="false">K1822*INDEX('Tabela Passaro'!$N$2:$N$1795,$N1822)</f>
        <v>1.29802</v>
      </c>
      <c r="U1822" s="32" t="n">
        <f aca="false">INDEX('Tabela Passaro'!$O$2:$O$1795,$N1822)</f>
        <v>5</v>
      </c>
      <c r="V1822" s="32" t="n">
        <f aca="false">ROUNDUP(J1822/INDEX('Tabela Passaro'!$Q$2:$Q$1795,$N1822),0)*INDEX('Tabela Passaro'!$P$2:$P$1795,$N1822)</f>
        <v>5</v>
      </c>
      <c r="W1822" s="32" t="n">
        <f aca="false">INDEX('Tabela Passaro'!$R$2:$R$1795,$N1822)</f>
        <v>30</v>
      </c>
      <c r="X1822" s="32" t="n">
        <f aca="false">ROUNDUP(J1822/INDEX('Tabela Passaro'!$T$2:$T$1795,$N1822),0)*INDEX('Tabela Passaro'!$S$2:$S$1795,$N1822)</f>
        <v>0</v>
      </c>
      <c r="Y1822" s="32" t="n">
        <f aca="false">INDEX('Tabela Passaro'!$U$2:$U$1795,$N1822)</f>
        <v>0</v>
      </c>
      <c r="Z1822" s="32" t="n">
        <f aca="false">INDEX('Tabela Passaro'!$V$2:$V$1795,$N1822)</f>
        <v>0</v>
      </c>
      <c r="AA1822" s="32" t="n">
        <f aca="false">SUM(R1822:Z1822)</f>
        <v>159.16307</v>
      </c>
      <c r="AB1822" s="33" t="n">
        <f aca="false">INDEX(Premissas!$B$5:$B$13,MATCH(A1822,Premissas!$A$5:$A$13,0))</f>
        <v>0.07</v>
      </c>
      <c r="AC1822" s="32" t="n">
        <f aca="false">AA1822/(1-AB1822)-AA1822</f>
        <v>11.9800160215054</v>
      </c>
      <c r="AD1822" s="32" t="n">
        <f aca="false">ROUND(AA1822+AC1822,2)</f>
        <v>171.14</v>
      </c>
      <c r="AE1822" s="32" t="n">
        <f aca="false">AD1822-L1822</f>
        <v>21.44</v>
      </c>
      <c r="AF1822" s="34" t="n">
        <f aca="false">IF(L1822=0,0,AE1822/L1822)</f>
        <v>0.143219772879092</v>
      </c>
      <c r="AG1822" s="22" t="str">
        <f aca="false">IF(AD1822&lt;L1822,"PASSARO","ATUAL")</f>
        <v>ATUAL</v>
      </c>
      <c r="AH1822" s="22" t="str">
        <f aca="false">IF(P1822&lt;&gt;A1822,"Faixa cadastrada como "&amp;P1822&amp;" na tabela; preço aplicado pela UF do CEP","")</f>
        <v/>
      </c>
      <c r="AI1822" s="26" t="n">
        <v>180.1</v>
      </c>
      <c r="AJ1822" s="22" t="str">
        <f aca="false">INDEX('Tabela Passaro'!$X$2:$X$1795,$N1822)</f>
        <v>INTERIOR 2</v>
      </c>
    </row>
    <row r="1823" customFormat="false" ht="15" hidden="false" customHeight="false" outlineLevel="0" collapsed="false">
      <c r="A1823" s="22" t="s">
        <v>23</v>
      </c>
      <c r="B1823" s="22" t="n">
        <v>5</v>
      </c>
      <c r="C1823" s="22" t="s">
        <v>204</v>
      </c>
      <c r="D1823" s="22" t="s">
        <v>30</v>
      </c>
      <c r="E1823" s="22" t="s">
        <v>7328</v>
      </c>
      <c r="F1823" s="22" t="n">
        <v>2313777</v>
      </c>
      <c r="G1823" s="30" t="n">
        <v>46253</v>
      </c>
      <c r="H1823" s="22" t="n">
        <v>133862</v>
      </c>
      <c r="I1823" s="22" t="s">
        <v>8970</v>
      </c>
      <c r="J1823" s="31" t="n">
        <v>38.15</v>
      </c>
      <c r="K1823" s="26" t="n">
        <v>622.07</v>
      </c>
      <c r="L1823" s="26" t="n">
        <v>160.01</v>
      </c>
      <c r="M1823" s="22" t="s">
        <v>7143</v>
      </c>
      <c r="N1823" s="22" t="n">
        <f aca="false">MATCH(M1823,'Tabela Passaro'!$A$2:$A$1795,0)</f>
        <v>1753</v>
      </c>
      <c r="O1823" s="22" t="str">
        <f aca="false">INDEX('Tabela Passaro'!$C$2:$C$1795,$N1823)</f>
        <v>BARRA DOS COQUEIROS</v>
      </c>
      <c r="P1823" s="22" t="str">
        <f aca="false">INDEX('Tabela Passaro'!$B$2:$B$1795,$N1823)</f>
        <v>SE</v>
      </c>
      <c r="Q1823" s="22" t="n">
        <f aca="false">INDEX('Tabela Passaro'!$F$2:$F$1795,$N1823)</f>
        <v>12</v>
      </c>
      <c r="R1823" s="32" t="n">
        <f aca="false">IF(J1823&lt;=10,INDEX('Tabela Passaro'!$G$2:$G$1795,$N1823),IF(J1823&lt;=30,INDEX('Tabela Passaro'!$H$2:$H$1795,$N1823),IF(J1823&lt;=50,INDEX('Tabela Passaro'!$I$2:$I$1795,$N1823),IF(J1823&lt;=70,INDEX('Tabela Passaro'!$J$2:$J$1795,$N1823),IF(J1823&lt;=100,INDEX('Tabela Passaro'!$K$2:$K$1795,$N1823),INDEX('Tabela Passaro'!$K$2:$K$1795,$N1823)+(J1823-100)*INDEX('Tabela Passaro'!$L$2:$L$1795,$N1823))))))</f>
        <v>114.62</v>
      </c>
      <c r="S1823" s="32" t="n">
        <f aca="false">K1823*INDEX('Tabela Passaro'!$M$2:$M$1795,$N1823)</f>
        <v>3.11035</v>
      </c>
      <c r="T1823" s="32" t="n">
        <f aca="false">K1823*INDEX('Tabela Passaro'!$N$2:$N$1795,$N1823)</f>
        <v>1.24414</v>
      </c>
      <c r="U1823" s="32" t="n">
        <f aca="false">INDEX('Tabela Passaro'!$O$2:$O$1795,$N1823)</f>
        <v>5</v>
      </c>
      <c r="V1823" s="32" t="n">
        <f aca="false">ROUNDUP(J1823/INDEX('Tabela Passaro'!$Q$2:$Q$1795,$N1823),0)*INDEX('Tabela Passaro'!$P$2:$P$1795,$N1823)</f>
        <v>5</v>
      </c>
      <c r="W1823" s="32" t="n">
        <f aca="false">INDEX('Tabela Passaro'!$R$2:$R$1795,$N1823)</f>
        <v>30</v>
      </c>
      <c r="X1823" s="32" t="n">
        <f aca="false">ROUNDUP(J1823/INDEX('Tabela Passaro'!$T$2:$T$1795,$N1823),0)*INDEX('Tabela Passaro'!$S$2:$S$1795,$N1823)</f>
        <v>0</v>
      </c>
      <c r="Y1823" s="32" t="n">
        <f aca="false">INDEX('Tabela Passaro'!$U$2:$U$1795,$N1823)</f>
        <v>0</v>
      </c>
      <c r="Z1823" s="32" t="n">
        <f aca="false">INDEX('Tabela Passaro'!$V$2:$V$1795,$N1823)</f>
        <v>0</v>
      </c>
      <c r="AA1823" s="32" t="n">
        <f aca="false">SUM(R1823:Z1823)</f>
        <v>158.97449</v>
      </c>
      <c r="AB1823" s="33" t="n">
        <f aca="false">INDEX(Premissas!$B$5:$B$13,MATCH(A1823,Premissas!$A$5:$A$13,0))</f>
        <v>0.07</v>
      </c>
      <c r="AC1823" s="32" t="n">
        <f aca="false">AA1823/(1-AB1823)-AA1823</f>
        <v>11.965821827957</v>
      </c>
      <c r="AD1823" s="32" t="n">
        <f aca="false">ROUND(AA1823+AC1823,2)</f>
        <v>170.94</v>
      </c>
      <c r="AE1823" s="32" t="n">
        <f aca="false">AD1823-L1823</f>
        <v>10.93</v>
      </c>
      <c r="AF1823" s="34" t="n">
        <f aca="false">IF(L1823=0,0,AE1823/L1823)</f>
        <v>0.0683082307355791</v>
      </c>
      <c r="AG1823" s="22" t="str">
        <f aca="false">IF(AD1823&lt;L1823,"PASSARO","ATUAL")</f>
        <v>ATUAL</v>
      </c>
      <c r="AH1823" s="22" t="str">
        <f aca="false">IF(P1823&lt;&gt;A1823,"Faixa cadastrada como "&amp;P1823&amp;" na tabela; preço aplicado pela UF do CEP","")</f>
        <v/>
      </c>
      <c r="AI1823" s="26" t="n">
        <v>181.77</v>
      </c>
      <c r="AJ1823" s="22" t="str">
        <f aca="false">INDEX('Tabela Passaro'!$X$2:$X$1795,$N1823)</f>
        <v>INTERIOR 2</v>
      </c>
    </row>
    <row r="1824" customFormat="false" ht="15" hidden="false" customHeight="false" outlineLevel="0" collapsed="false">
      <c r="A1824" s="22" t="s">
        <v>23</v>
      </c>
      <c r="B1824" s="22" t="n">
        <v>5</v>
      </c>
      <c r="C1824" s="22" t="s">
        <v>204</v>
      </c>
      <c r="D1824" s="22" t="s">
        <v>31</v>
      </c>
      <c r="E1824" s="22" t="s">
        <v>7326</v>
      </c>
      <c r="F1824" s="22" t="n">
        <v>12790661</v>
      </c>
      <c r="G1824" s="30" t="n">
        <v>46248</v>
      </c>
      <c r="H1824" s="22" t="n">
        <v>624955</v>
      </c>
      <c r="I1824" s="22" t="s">
        <v>8974</v>
      </c>
      <c r="J1824" s="31" t="n">
        <v>17.8</v>
      </c>
      <c r="K1824" s="26" t="n">
        <v>389.56</v>
      </c>
      <c r="L1824" s="26" t="n">
        <v>70.4</v>
      </c>
      <c r="M1824" s="22" t="s">
        <v>7143</v>
      </c>
      <c r="N1824" s="22" t="n">
        <f aca="false">MATCH(M1824,'Tabela Passaro'!$A$2:$A$1795,0)</f>
        <v>1753</v>
      </c>
      <c r="O1824" s="22" t="str">
        <f aca="false">INDEX('Tabela Passaro'!$C$2:$C$1795,$N1824)</f>
        <v>BARRA DOS COQUEIROS</v>
      </c>
      <c r="P1824" s="22" t="str">
        <f aca="false">INDEX('Tabela Passaro'!$B$2:$B$1795,$N1824)</f>
        <v>SE</v>
      </c>
      <c r="Q1824" s="22" t="n">
        <f aca="false">INDEX('Tabela Passaro'!$F$2:$F$1795,$N1824)</f>
        <v>12</v>
      </c>
      <c r="R1824" s="32" t="n">
        <f aca="false">IF(J1824&lt;=10,INDEX('Tabela Passaro'!$G$2:$G$1795,$N1824),IF(J1824&lt;=30,INDEX('Tabela Passaro'!$H$2:$H$1795,$N1824),IF(J1824&lt;=50,INDEX('Tabela Passaro'!$I$2:$I$1795,$N1824),IF(J1824&lt;=70,INDEX('Tabela Passaro'!$J$2:$J$1795,$N1824),IF(J1824&lt;=100,INDEX('Tabela Passaro'!$K$2:$K$1795,$N1824),INDEX('Tabela Passaro'!$K$2:$K$1795,$N1824)+(J1824-100)*INDEX('Tabela Passaro'!$L$2:$L$1795,$N1824))))))</f>
        <v>103.1</v>
      </c>
      <c r="S1824" s="32" t="n">
        <f aca="false">K1824*INDEX('Tabela Passaro'!$M$2:$M$1795,$N1824)</f>
        <v>1.9478</v>
      </c>
      <c r="T1824" s="32" t="n">
        <f aca="false">K1824*INDEX('Tabela Passaro'!$N$2:$N$1795,$N1824)</f>
        <v>0.77912</v>
      </c>
      <c r="U1824" s="32" t="n">
        <f aca="false">INDEX('Tabela Passaro'!$O$2:$O$1795,$N1824)</f>
        <v>5</v>
      </c>
      <c r="V1824" s="32" t="n">
        <f aca="false">ROUNDUP(J1824/INDEX('Tabela Passaro'!$Q$2:$Q$1795,$N1824),0)*INDEX('Tabela Passaro'!$P$2:$P$1795,$N1824)</f>
        <v>5</v>
      </c>
      <c r="W1824" s="32" t="n">
        <f aca="false">INDEX('Tabela Passaro'!$R$2:$R$1795,$N1824)</f>
        <v>30</v>
      </c>
      <c r="X1824" s="32" t="n">
        <f aca="false">ROUNDUP(J1824/INDEX('Tabela Passaro'!$T$2:$T$1795,$N1824),0)*INDEX('Tabela Passaro'!$S$2:$S$1795,$N1824)</f>
        <v>0</v>
      </c>
      <c r="Y1824" s="32" t="n">
        <f aca="false">INDEX('Tabela Passaro'!$U$2:$U$1795,$N1824)</f>
        <v>0</v>
      </c>
      <c r="Z1824" s="32" t="n">
        <f aca="false">INDEX('Tabela Passaro'!$V$2:$V$1795,$N1824)</f>
        <v>0</v>
      </c>
      <c r="AA1824" s="32" t="n">
        <f aca="false">SUM(R1824:Z1824)</f>
        <v>145.82692</v>
      </c>
      <c r="AB1824" s="33" t="n">
        <f aca="false">INDEX(Premissas!$B$5:$B$13,MATCH(A1824,Premissas!$A$5:$A$13,0))</f>
        <v>0.07</v>
      </c>
      <c r="AC1824" s="32" t="n">
        <f aca="false">AA1824/(1-AB1824)-AA1824</f>
        <v>10.9762197849462</v>
      </c>
      <c r="AD1824" s="32" t="n">
        <f aca="false">ROUND(AA1824+AC1824,2)</f>
        <v>156.8</v>
      </c>
      <c r="AE1824" s="32" t="n">
        <f aca="false">AD1824-L1824</f>
        <v>86.4</v>
      </c>
      <c r="AF1824" s="34" t="n">
        <f aca="false">IF(L1824=0,0,AE1824/L1824)</f>
        <v>1.22727272727273</v>
      </c>
      <c r="AG1824" s="22" t="str">
        <f aca="false">IF(AD1824&lt;L1824,"PASSARO","ATUAL")</f>
        <v>ATUAL</v>
      </c>
      <c r="AH1824" s="22" t="str">
        <f aca="false">IF(P1824&lt;&gt;A1824,"Faixa cadastrada como "&amp;P1824&amp;" na tabela; preço aplicado pela UF do CEP","")</f>
        <v/>
      </c>
      <c r="AI1824" s="26" t="n">
        <v>156.83</v>
      </c>
      <c r="AJ1824" s="22" t="str">
        <f aca="false">INDEX('Tabela Passaro'!$X$2:$X$1795,$N1824)</f>
        <v>INTERIOR 2</v>
      </c>
    </row>
    <row r="1825" customFormat="false" ht="15" hidden="false" customHeight="false" outlineLevel="0" collapsed="false">
      <c r="A1825" s="22" t="s">
        <v>23</v>
      </c>
      <c r="B1825" s="22" t="n">
        <v>6</v>
      </c>
      <c r="C1825" s="22" t="s">
        <v>205</v>
      </c>
      <c r="D1825" s="22" t="s">
        <v>30</v>
      </c>
      <c r="E1825" s="22" t="s">
        <v>20</v>
      </c>
      <c r="F1825" s="22" t="n">
        <v>838420</v>
      </c>
      <c r="G1825" s="30" t="n">
        <v>46244</v>
      </c>
      <c r="H1825" s="22" t="n">
        <v>32466</v>
      </c>
      <c r="I1825" s="22" t="s">
        <v>8975</v>
      </c>
      <c r="J1825" s="31" t="n">
        <v>37.59</v>
      </c>
      <c r="K1825" s="26" t="n">
        <v>698.77</v>
      </c>
      <c r="L1825" s="26" t="n">
        <v>150.15</v>
      </c>
      <c r="M1825" s="22" t="s">
        <v>7026</v>
      </c>
      <c r="N1825" s="22" t="n">
        <f aca="false">MATCH(M1825,'Tabela Passaro'!$A$2:$A$1795,0)</f>
        <v>1722</v>
      </c>
      <c r="O1825" s="22" t="str">
        <f aca="false">INDEX('Tabela Passaro'!$C$2:$C$1795,$N1825)</f>
        <v>SAO CRISTOVAO</v>
      </c>
      <c r="P1825" s="22" t="str">
        <f aca="false">INDEX('Tabela Passaro'!$B$2:$B$1795,$N1825)</f>
        <v>SE</v>
      </c>
      <c r="Q1825" s="22" t="n">
        <f aca="false">INDEX('Tabela Passaro'!$F$2:$F$1795,$N1825)</f>
        <v>7</v>
      </c>
      <c r="R1825" s="32" t="n">
        <f aca="false">IF(J1825&lt;=10,INDEX('Tabela Passaro'!$G$2:$G$1795,$N1825),IF(J1825&lt;=30,INDEX('Tabela Passaro'!$H$2:$H$1795,$N1825),IF(J1825&lt;=50,INDEX('Tabela Passaro'!$I$2:$I$1795,$N1825),IF(J1825&lt;=70,INDEX('Tabela Passaro'!$J$2:$J$1795,$N1825),IF(J1825&lt;=100,INDEX('Tabela Passaro'!$K$2:$K$1795,$N1825),INDEX('Tabela Passaro'!$K$2:$K$1795,$N1825)+(J1825-100)*INDEX('Tabela Passaro'!$L$2:$L$1795,$N1825))))))</f>
        <v>70.56</v>
      </c>
      <c r="S1825" s="32" t="n">
        <f aca="false">K1825*INDEX('Tabela Passaro'!$M$2:$M$1795,$N1825)</f>
        <v>3.49385</v>
      </c>
      <c r="T1825" s="32" t="n">
        <f aca="false">K1825*INDEX('Tabela Passaro'!$N$2:$N$1795,$N1825)</f>
        <v>1.39754</v>
      </c>
      <c r="U1825" s="32" t="n">
        <f aca="false">INDEX('Tabela Passaro'!$O$2:$O$1795,$N1825)</f>
        <v>5</v>
      </c>
      <c r="V1825" s="32" t="n">
        <f aca="false">ROUNDUP(J1825/INDEX('Tabela Passaro'!$Q$2:$Q$1795,$N1825),0)*INDEX('Tabela Passaro'!$P$2:$P$1795,$N1825)</f>
        <v>5</v>
      </c>
      <c r="W1825" s="32" t="n">
        <f aca="false">INDEX('Tabela Passaro'!$R$2:$R$1795,$N1825)</f>
        <v>30</v>
      </c>
      <c r="X1825" s="32" t="n">
        <f aca="false">ROUNDUP(J1825/INDEX('Tabela Passaro'!$T$2:$T$1795,$N1825),0)*INDEX('Tabela Passaro'!$S$2:$S$1795,$N1825)</f>
        <v>0</v>
      </c>
      <c r="Y1825" s="32" t="n">
        <f aca="false">INDEX('Tabela Passaro'!$U$2:$U$1795,$N1825)</f>
        <v>0</v>
      </c>
      <c r="Z1825" s="32" t="n">
        <f aca="false">INDEX('Tabela Passaro'!$V$2:$V$1795,$N1825)</f>
        <v>0</v>
      </c>
      <c r="AA1825" s="32" t="n">
        <f aca="false">SUM(R1825:Z1825)</f>
        <v>115.45139</v>
      </c>
      <c r="AB1825" s="33" t="n">
        <f aca="false">INDEX(Premissas!$B$5:$B$13,MATCH(A1825,Premissas!$A$5:$A$13,0))</f>
        <v>0.07</v>
      </c>
      <c r="AC1825" s="32" t="n">
        <f aca="false">AA1825/(1-AB1825)-AA1825</f>
        <v>8.68988956989249</v>
      </c>
      <c r="AD1825" s="32" t="n">
        <f aca="false">ROUND(AA1825+AC1825,2)</f>
        <v>124.14</v>
      </c>
      <c r="AE1825" s="32" t="n">
        <f aca="false">AD1825-L1825</f>
        <v>-26.01</v>
      </c>
      <c r="AF1825" s="34" t="n">
        <f aca="false">IF(L1825=0,0,AE1825/L1825)</f>
        <v>-0.173226773226773</v>
      </c>
      <c r="AG1825" s="22" t="str">
        <f aca="false">IF(AD1825&lt;L1825,"PASSARO","ATUAL")</f>
        <v>PASSARO</v>
      </c>
      <c r="AH1825" s="22" t="str">
        <f aca="false">IF(P1825&lt;&gt;A1825,"Faixa cadastrada como "&amp;P1825&amp;" na tabela; preço aplicado pela UF do CEP","")</f>
        <v/>
      </c>
      <c r="AI1825" s="26" t="n">
        <v>150.25</v>
      </c>
      <c r="AJ1825" s="22" t="str">
        <f aca="false">INDEX('Tabela Passaro'!$X$2:$X$1795,$N1825)</f>
        <v>CAPITAL</v>
      </c>
    </row>
    <row r="1826" customFormat="false" ht="15" hidden="false" customHeight="false" outlineLevel="0" collapsed="false">
      <c r="A1826" s="22" t="s">
        <v>23</v>
      </c>
      <c r="B1826" s="22" t="n">
        <v>6</v>
      </c>
      <c r="C1826" s="22" t="s">
        <v>205</v>
      </c>
      <c r="D1826" s="22" t="s">
        <v>30</v>
      </c>
      <c r="E1826" s="22" t="s">
        <v>20</v>
      </c>
      <c r="F1826" s="22" t="n">
        <v>839071</v>
      </c>
      <c r="G1826" s="30" t="n">
        <v>46248</v>
      </c>
      <c r="H1826" s="22" t="n">
        <v>32512</v>
      </c>
      <c r="I1826" s="22" t="s">
        <v>8976</v>
      </c>
      <c r="J1826" s="31" t="n">
        <v>45.4</v>
      </c>
      <c r="K1826" s="26" t="n">
        <v>592.76</v>
      </c>
      <c r="L1826" s="26" t="n">
        <v>149.18</v>
      </c>
      <c r="M1826" s="22" t="s">
        <v>7026</v>
      </c>
      <c r="N1826" s="22" t="n">
        <f aca="false">MATCH(M1826,'Tabela Passaro'!$A$2:$A$1795,0)</f>
        <v>1722</v>
      </c>
      <c r="O1826" s="22" t="str">
        <f aca="false">INDEX('Tabela Passaro'!$C$2:$C$1795,$N1826)</f>
        <v>SAO CRISTOVAO</v>
      </c>
      <c r="P1826" s="22" t="str">
        <f aca="false">INDEX('Tabela Passaro'!$B$2:$B$1795,$N1826)</f>
        <v>SE</v>
      </c>
      <c r="Q1826" s="22" t="n">
        <f aca="false">INDEX('Tabela Passaro'!$F$2:$F$1795,$N1826)</f>
        <v>7</v>
      </c>
      <c r="R1826" s="32" t="n">
        <f aca="false">IF(J1826&lt;=10,INDEX('Tabela Passaro'!$G$2:$G$1795,$N1826),IF(J1826&lt;=30,INDEX('Tabela Passaro'!$H$2:$H$1795,$N1826),IF(J1826&lt;=50,INDEX('Tabela Passaro'!$I$2:$I$1795,$N1826),IF(J1826&lt;=70,INDEX('Tabela Passaro'!$J$2:$J$1795,$N1826),IF(J1826&lt;=100,INDEX('Tabela Passaro'!$K$2:$K$1795,$N1826),INDEX('Tabela Passaro'!$K$2:$K$1795,$N1826)+(J1826-100)*INDEX('Tabela Passaro'!$L$2:$L$1795,$N1826))))))</f>
        <v>70.56</v>
      </c>
      <c r="S1826" s="32" t="n">
        <f aca="false">K1826*INDEX('Tabela Passaro'!$M$2:$M$1795,$N1826)</f>
        <v>2.9638</v>
      </c>
      <c r="T1826" s="32" t="n">
        <f aca="false">K1826*INDEX('Tabela Passaro'!$N$2:$N$1795,$N1826)</f>
        <v>1.18552</v>
      </c>
      <c r="U1826" s="32" t="n">
        <f aca="false">INDEX('Tabela Passaro'!$O$2:$O$1795,$N1826)</f>
        <v>5</v>
      </c>
      <c r="V1826" s="32" t="n">
        <f aca="false">ROUNDUP(J1826/INDEX('Tabela Passaro'!$Q$2:$Q$1795,$N1826),0)*INDEX('Tabela Passaro'!$P$2:$P$1795,$N1826)</f>
        <v>5</v>
      </c>
      <c r="W1826" s="32" t="n">
        <f aca="false">INDEX('Tabela Passaro'!$R$2:$R$1795,$N1826)</f>
        <v>30</v>
      </c>
      <c r="X1826" s="32" t="n">
        <f aca="false">ROUNDUP(J1826/INDEX('Tabela Passaro'!$T$2:$T$1795,$N1826),0)*INDEX('Tabela Passaro'!$S$2:$S$1795,$N1826)</f>
        <v>0</v>
      </c>
      <c r="Y1826" s="32" t="n">
        <f aca="false">INDEX('Tabela Passaro'!$U$2:$U$1795,$N1826)</f>
        <v>0</v>
      </c>
      <c r="Z1826" s="32" t="n">
        <f aca="false">INDEX('Tabela Passaro'!$V$2:$V$1795,$N1826)</f>
        <v>0</v>
      </c>
      <c r="AA1826" s="32" t="n">
        <f aca="false">SUM(R1826:Z1826)</f>
        <v>114.70932</v>
      </c>
      <c r="AB1826" s="33" t="n">
        <f aca="false">INDEX(Premissas!$B$5:$B$13,MATCH(A1826,Premissas!$A$5:$A$13,0))</f>
        <v>0.07</v>
      </c>
      <c r="AC1826" s="32" t="n">
        <f aca="false">AA1826/(1-AB1826)-AA1826</f>
        <v>8.63403483870968</v>
      </c>
      <c r="AD1826" s="32" t="n">
        <f aca="false">ROUND(AA1826+AC1826,2)</f>
        <v>123.34</v>
      </c>
      <c r="AE1826" s="32" t="n">
        <f aca="false">AD1826-L1826</f>
        <v>-25.84</v>
      </c>
      <c r="AF1826" s="34" t="n">
        <f aca="false">IF(L1826=0,0,AE1826/L1826)</f>
        <v>-0.173213567502346</v>
      </c>
      <c r="AG1826" s="22" t="str">
        <f aca="false">IF(AD1826&lt;L1826,"PASSARO","ATUAL")</f>
        <v>PASSARO</v>
      </c>
      <c r="AH1826" s="22" t="str">
        <f aca="false">IF(P1826&lt;&gt;A1826,"Faixa cadastrada como "&amp;P1826&amp;" na tabela; preço aplicado pela UF do CEP","")</f>
        <v/>
      </c>
      <c r="AI1826" s="26" t="n">
        <v>153.09</v>
      </c>
      <c r="AJ1826" s="22" t="str">
        <f aca="false">INDEX('Tabela Passaro'!$X$2:$X$1795,$N1826)</f>
        <v>CAPITAL</v>
      </c>
    </row>
    <row r="1827" customFormat="false" ht="15" hidden="false" customHeight="false" outlineLevel="0" collapsed="false">
      <c r="A1827" s="22" t="s">
        <v>23</v>
      </c>
      <c r="B1827" s="22" t="n">
        <v>6</v>
      </c>
      <c r="C1827" s="22" t="s">
        <v>205</v>
      </c>
      <c r="D1827" s="22" t="s">
        <v>31</v>
      </c>
      <c r="E1827" s="22" t="s">
        <v>7326</v>
      </c>
      <c r="F1827" s="22" t="n">
        <v>112492</v>
      </c>
      <c r="G1827" s="30" t="n">
        <v>46239</v>
      </c>
      <c r="H1827" s="22" t="n">
        <v>590890</v>
      </c>
      <c r="I1827" s="22" t="s">
        <v>8977</v>
      </c>
      <c r="J1827" s="31" t="n">
        <v>20.8</v>
      </c>
      <c r="K1827" s="26" t="n">
        <v>454.86</v>
      </c>
      <c r="L1827" s="26" t="n">
        <v>98.87</v>
      </c>
      <c r="M1827" s="22" t="s">
        <v>7026</v>
      </c>
      <c r="N1827" s="22" t="n">
        <f aca="false">MATCH(M1827,'Tabela Passaro'!$A$2:$A$1795,0)</f>
        <v>1722</v>
      </c>
      <c r="O1827" s="22" t="str">
        <f aca="false">INDEX('Tabela Passaro'!$C$2:$C$1795,$N1827)</f>
        <v>SAO CRISTOVAO</v>
      </c>
      <c r="P1827" s="22" t="str">
        <f aca="false">INDEX('Tabela Passaro'!$B$2:$B$1795,$N1827)</f>
        <v>SE</v>
      </c>
      <c r="Q1827" s="22" t="n">
        <f aca="false">INDEX('Tabela Passaro'!$F$2:$F$1795,$N1827)</f>
        <v>7</v>
      </c>
      <c r="R1827" s="32" t="n">
        <f aca="false">IF(J1827&lt;=10,INDEX('Tabela Passaro'!$G$2:$G$1795,$N1827),IF(J1827&lt;=30,INDEX('Tabela Passaro'!$H$2:$H$1795,$N1827),IF(J1827&lt;=50,INDEX('Tabela Passaro'!$I$2:$I$1795,$N1827),IF(J1827&lt;=70,INDEX('Tabela Passaro'!$J$2:$J$1795,$N1827),IF(J1827&lt;=100,INDEX('Tabela Passaro'!$K$2:$K$1795,$N1827),INDEX('Tabela Passaro'!$K$2:$K$1795,$N1827)+(J1827-100)*INDEX('Tabela Passaro'!$L$2:$L$1795,$N1827))))))</f>
        <v>59.04</v>
      </c>
      <c r="S1827" s="32" t="n">
        <f aca="false">K1827*INDEX('Tabela Passaro'!$M$2:$M$1795,$N1827)</f>
        <v>2.2743</v>
      </c>
      <c r="T1827" s="32" t="n">
        <f aca="false">K1827*INDEX('Tabela Passaro'!$N$2:$N$1795,$N1827)</f>
        <v>0.90972</v>
      </c>
      <c r="U1827" s="32" t="n">
        <f aca="false">INDEX('Tabela Passaro'!$O$2:$O$1795,$N1827)</f>
        <v>5</v>
      </c>
      <c r="V1827" s="32" t="n">
        <f aca="false">ROUNDUP(J1827/INDEX('Tabela Passaro'!$Q$2:$Q$1795,$N1827),0)*INDEX('Tabela Passaro'!$P$2:$P$1795,$N1827)</f>
        <v>5</v>
      </c>
      <c r="W1827" s="32" t="n">
        <f aca="false">INDEX('Tabela Passaro'!$R$2:$R$1795,$N1827)</f>
        <v>30</v>
      </c>
      <c r="X1827" s="32" t="n">
        <f aca="false">ROUNDUP(J1827/INDEX('Tabela Passaro'!$T$2:$T$1795,$N1827),0)*INDEX('Tabela Passaro'!$S$2:$S$1795,$N1827)</f>
        <v>0</v>
      </c>
      <c r="Y1827" s="32" t="n">
        <f aca="false">INDEX('Tabela Passaro'!$U$2:$U$1795,$N1827)</f>
        <v>0</v>
      </c>
      <c r="Z1827" s="32" t="n">
        <f aca="false">INDEX('Tabela Passaro'!$V$2:$V$1795,$N1827)</f>
        <v>0</v>
      </c>
      <c r="AA1827" s="32" t="n">
        <f aca="false">SUM(R1827:Z1827)</f>
        <v>102.22402</v>
      </c>
      <c r="AB1827" s="33" t="n">
        <f aca="false">INDEX(Premissas!$B$5:$B$13,MATCH(A1827,Premissas!$A$5:$A$13,0))</f>
        <v>0.07</v>
      </c>
      <c r="AC1827" s="32" t="n">
        <f aca="false">AA1827/(1-AB1827)-AA1827</f>
        <v>7.69428107526882</v>
      </c>
      <c r="AD1827" s="32" t="n">
        <f aca="false">ROUND(AA1827+AC1827,2)</f>
        <v>109.92</v>
      </c>
      <c r="AE1827" s="32" t="n">
        <f aca="false">AD1827-L1827</f>
        <v>11.05</v>
      </c>
      <c r="AF1827" s="34" t="n">
        <f aca="false">IF(L1827=0,0,AE1827/L1827)</f>
        <v>0.111762921007383</v>
      </c>
      <c r="AG1827" s="22" t="str">
        <f aca="false">IF(AD1827&lt;L1827,"PASSARO","ATUAL")</f>
        <v>ATUAL</v>
      </c>
      <c r="AH1827" s="22" t="str">
        <f aca="false">IF(P1827&lt;&gt;A1827,"Faixa cadastrada como "&amp;P1827&amp;" na tabela; preço aplicado pela UF do CEP","")</f>
        <v/>
      </c>
      <c r="AI1827" s="26" t="n">
        <v>127.14</v>
      </c>
      <c r="AJ1827" s="22" t="str">
        <f aca="false">INDEX('Tabela Passaro'!$X$2:$X$1795,$N1827)</f>
        <v>CAPITAL</v>
      </c>
    </row>
    <row r="1828" customFormat="false" ht="15" hidden="false" customHeight="false" outlineLevel="0" collapsed="false">
      <c r="A1828" s="22" t="s">
        <v>23</v>
      </c>
      <c r="B1828" s="22" t="n">
        <v>6</v>
      </c>
      <c r="C1828" s="22" t="s">
        <v>205</v>
      </c>
      <c r="D1828" s="22" t="s">
        <v>31</v>
      </c>
      <c r="E1828" s="22" t="s">
        <v>7326</v>
      </c>
      <c r="F1828" s="22" t="n">
        <v>112493</v>
      </c>
      <c r="G1828" s="30" t="n">
        <v>46239</v>
      </c>
      <c r="H1828" s="22" t="n">
        <v>590893</v>
      </c>
      <c r="I1828" s="22" t="s">
        <v>8975</v>
      </c>
      <c r="J1828" s="31" t="n">
        <v>22.09</v>
      </c>
      <c r="K1828" s="26" t="n">
        <v>484.98</v>
      </c>
      <c r="L1828" s="26" t="n">
        <v>98.75</v>
      </c>
      <c r="M1828" s="22" t="s">
        <v>7026</v>
      </c>
      <c r="N1828" s="22" t="n">
        <f aca="false">MATCH(M1828,'Tabela Passaro'!$A$2:$A$1795,0)</f>
        <v>1722</v>
      </c>
      <c r="O1828" s="22" t="str">
        <f aca="false">INDEX('Tabela Passaro'!$C$2:$C$1795,$N1828)</f>
        <v>SAO CRISTOVAO</v>
      </c>
      <c r="P1828" s="22" t="str">
        <f aca="false">INDEX('Tabela Passaro'!$B$2:$B$1795,$N1828)</f>
        <v>SE</v>
      </c>
      <c r="Q1828" s="22" t="n">
        <f aca="false">INDEX('Tabela Passaro'!$F$2:$F$1795,$N1828)</f>
        <v>7</v>
      </c>
      <c r="R1828" s="32" t="n">
        <f aca="false">IF(J1828&lt;=10,INDEX('Tabela Passaro'!$G$2:$G$1795,$N1828),IF(J1828&lt;=30,INDEX('Tabela Passaro'!$H$2:$H$1795,$N1828),IF(J1828&lt;=50,INDEX('Tabela Passaro'!$I$2:$I$1795,$N1828),IF(J1828&lt;=70,INDEX('Tabela Passaro'!$J$2:$J$1795,$N1828),IF(J1828&lt;=100,INDEX('Tabela Passaro'!$K$2:$K$1795,$N1828),INDEX('Tabela Passaro'!$K$2:$K$1795,$N1828)+(J1828-100)*INDEX('Tabela Passaro'!$L$2:$L$1795,$N1828))))))</f>
        <v>59.04</v>
      </c>
      <c r="S1828" s="32" t="n">
        <f aca="false">K1828*INDEX('Tabela Passaro'!$M$2:$M$1795,$N1828)</f>
        <v>2.4249</v>
      </c>
      <c r="T1828" s="32" t="n">
        <f aca="false">K1828*INDEX('Tabela Passaro'!$N$2:$N$1795,$N1828)</f>
        <v>0.96996</v>
      </c>
      <c r="U1828" s="32" t="n">
        <f aca="false">INDEX('Tabela Passaro'!$O$2:$O$1795,$N1828)</f>
        <v>5</v>
      </c>
      <c r="V1828" s="32" t="n">
        <f aca="false">ROUNDUP(J1828/INDEX('Tabela Passaro'!$Q$2:$Q$1795,$N1828),0)*INDEX('Tabela Passaro'!$P$2:$P$1795,$N1828)</f>
        <v>5</v>
      </c>
      <c r="W1828" s="32" t="n">
        <f aca="false">INDEX('Tabela Passaro'!$R$2:$R$1795,$N1828)</f>
        <v>30</v>
      </c>
      <c r="X1828" s="32" t="n">
        <f aca="false">ROUNDUP(J1828/INDEX('Tabela Passaro'!$T$2:$T$1795,$N1828),0)*INDEX('Tabela Passaro'!$S$2:$S$1795,$N1828)</f>
        <v>0</v>
      </c>
      <c r="Y1828" s="32" t="n">
        <f aca="false">INDEX('Tabela Passaro'!$U$2:$U$1795,$N1828)</f>
        <v>0</v>
      </c>
      <c r="Z1828" s="32" t="n">
        <f aca="false">INDEX('Tabela Passaro'!$V$2:$V$1795,$N1828)</f>
        <v>0</v>
      </c>
      <c r="AA1828" s="32" t="n">
        <f aca="false">SUM(R1828:Z1828)</f>
        <v>102.43486</v>
      </c>
      <c r="AB1828" s="33" t="n">
        <f aca="false">INDEX(Premissas!$B$5:$B$13,MATCH(A1828,Premissas!$A$5:$A$13,0))</f>
        <v>0.07</v>
      </c>
      <c r="AC1828" s="32" t="n">
        <f aca="false">AA1828/(1-AB1828)-AA1828</f>
        <v>7.71015075268818</v>
      </c>
      <c r="AD1828" s="32" t="n">
        <f aca="false">ROUND(AA1828+AC1828,2)</f>
        <v>110.15</v>
      </c>
      <c r="AE1828" s="32" t="n">
        <f aca="false">AD1828-L1828</f>
        <v>11.4</v>
      </c>
      <c r="AF1828" s="34" t="n">
        <f aca="false">IF(L1828=0,0,AE1828/L1828)</f>
        <v>0.115443037974684</v>
      </c>
      <c r="AG1828" s="22" t="str">
        <f aca="false">IF(AD1828&lt;L1828,"PASSARO","ATUAL")</f>
        <v>ATUAL</v>
      </c>
      <c r="AH1828" s="22" t="str">
        <f aca="false">IF(P1828&lt;&gt;A1828,"Faixa cadastrada como "&amp;P1828&amp;" na tabela; preço aplicado pela UF do CEP","")</f>
        <v/>
      </c>
      <c r="AI1828" s="26" t="n">
        <v>128.4</v>
      </c>
      <c r="AJ1828" s="22" t="str">
        <f aca="false">INDEX('Tabela Passaro'!$X$2:$X$1795,$N1828)</f>
        <v>CAPITAL</v>
      </c>
    </row>
    <row r="1829" customFormat="false" ht="15" hidden="false" customHeight="false" outlineLevel="0" collapsed="false">
      <c r="A1829" s="22" t="s">
        <v>23</v>
      </c>
      <c r="B1829" s="22" t="n">
        <v>7</v>
      </c>
      <c r="C1829" s="22" t="s">
        <v>207</v>
      </c>
      <c r="D1829" s="22" t="s">
        <v>30</v>
      </c>
      <c r="E1829" s="22" t="s">
        <v>20</v>
      </c>
      <c r="F1829" s="22" t="n">
        <v>837682</v>
      </c>
      <c r="G1829" s="30" t="n">
        <v>46237</v>
      </c>
      <c r="H1829" s="22" t="n">
        <v>32359</v>
      </c>
      <c r="I1829" s="22" t="s">
        <v>8978</v>
      </c>
      <c r="J1829" s="31" t="n">
        <v>45</v>
      </c>
      <c r="K1829" s="26" t="n">
        <v>674.31</v>
      </c>
      <c r="L1829" s="26" t="n">
        <v>169.11</v>
      </c>
      <c r="M1829" s="22" t="s">
        <v>7132</v>
      </c>
      <c r="N1829" s="22" t="n">
        <f aca="false">MATCH(M1829,'Tabela Passaro'!$A$2:$A$1795,0)</f>
        <v>1750</v>
      </c>
      <c r="O1829" s="22" t="str">
        <f aca="false">INDEX('Tabela Passaro'!$C$2:$C$1795,$N1829)</f>
        <v>UMBAUBA</v>
      </c>
      <c r="P1829" s="22" t="str">
        <f aca="false">INDEX('Tabela Passaro'!$B$2:$B$1795,$N1829)</f>
        <v>SE</v>
      </c>
      <c r="Q1829" s="22" t="n">
        <f aca="false">INDEX('Tabela Passaro'!$F$2:$F$1795,$N1829)</f>
        <v>10</v>
      </c>
      <c r="R1829" s="32" t="n">
        <f aca="false">IF(J1829&lt;=10,INDEX('Tabela Passaro'!$G$2:$G$1795,$N1829),IF(J1829&lt;=30,INDEX('Tabela Passaro'!$H$2:$H$1795,$N1829),IF(J1829&lt;=50,INDEX('Tabela Passaro'!$I$2:$I$1795,$N1829),IF(J1829&lt;=70,INDEX('Tabela Passaro'!$J$2:$J$1795,$N1829),IF(J1829&lt;=100,INDEX('Tabela Passaro'!$K$2:$K$1795,$N1829),INDEX('Tabela Passaro'!$K$2:$K$1795,$N1829)+(J1829-100)*INDEX('Tabela Passaro'!$L$2:$L$1795,$N1829))))))</f>
        <v>98.13</v>
      </c>
      <c r="S1829" s="32" t="n">
        <f aca="false">K1829*INDEX('Tabela Passaro'!$M$2:$M$1795,$N1829)</f>
        <v>3.37155</v>
      </c>
      <c r="T1829" s="32" t="n">
        <f aca="false">K1829*INDEX('Tabela Passaro'!$N$2:$N$1795,$N1829)</f>
        <v>1.34862</v>
      </c>
      <c r="U1829" s="32" t="n">
        <f aca="false">INDEX('Tabela Passaro'!$O$2:$O$1795,$N1829)</f>
        <v>5</v>
      </c>
      <c r="V1829" s="32" t="n">
        <f aca="false">ROUNDUP(J1829/INDEX('Tabela Passaro'!$Q$2:$Q$1795,$N1829),0)*INDEX('Tabela Passaro'!$P$2:$P$1795,$N1829)</f>
        <v>5</v>
      </c>
      <c r="W1829" s="32" t="n">
        <f aca="false">INDEX('Tabela Passaro'!$R$2:$R$1795,$N1829)</f>
        <v>30</v>
      </c>
      <c r="X1829" s="32" t="n">
        <f aca="false">ROUNDUP(J1829/INDEX('Tabela Passaro'!$T$2:$T$1795,$N1829),0)*INDEX('Tabela Passaro'!$S$2:$S$1795,$N1829)</f>
        <v>0</v>
      </c>
      <c r="Y1829" s="32" t="n">
        <f aca="false">INDEX('Tabela Passaro'!$U$2:$U$1795,$N1829)</f>
        <v>0</v>
      </c>
      <c r="Z1829" s="32" t="n">
        <f aca="false">INDEX('Tabela Passaro'!$V$2:$V$1795,$N1829)</f>
        <v>0</v>
      </c>
      <c r="AA1829" s="32" t="n">
        <f aca="false">SUM(R1829:Z1829)</f>
        <v>142.85017</v>
      </c>
      <c r="AB1829" s="33" t="n">
        <f aca="false">INDEX(Premissas!$B$5:$B$13,MATCH(A1829,Premissas!$A$5:$A$13,0))</f>
        <v>0.07</v>
      </c>
      <c r="AC1829" s="32" t="n">
        <f aca="false">AA1829/(1-AB1829)-AA1829</f>
        <v>10.7521633333334</v>
      </c>
      <c r="AD1829" s="32" t="n">
        <f aca="false">ROUND(AA1829+AC1829,2)</f>
        <v>153.6</v>
      </c>
      <c r="AE1829" s="32" t="n">
        <f aca="false">AD1829-L1829</f>
        <v>-15.51</v>
      </c>
      <c r="AF1829" s="34" t="n">
        <f aca="false">IF(L1829=0,0,AE1829/L1829)</f>
        <v>-0.0917154514812845</v>
      </c>
      <c r="AG1829" s="22" t="str">
        <f aca="false">IF(AD1829&lt;L1829,"PASSARO","ATUAL")</f>
        <v>PASSARO</v>
      </c>
      <c r="AH1829" s="22" t="str">
        <f aca="false">IF(P1829&lt;&gt;A1829,"Faixa cadastrada como "&amp;P1829&amp;" na tabela; preço aplicado pela UF do CEP","")</f>
        <v/>
      </c>
      <c r="AI1829" s="26" t="n">
        <v>167.26</v>
      </c>
      <c r="AJ1829" s="22" t="str">
        <f aca="false">INDEX('Tabela Passaro'!$X$2:$X$1795,$N1829)</f>
        <v>INTERIOR 1</v>
      </c>
    </row>
    <row r="1830" customFormat="false" ht="15" hidden="false" customHeight="false" outlineLevel="0" collapsed="false">
      <c r="A1830" s="22" t="s">
        <v>23</v>
      </c>
      <c r="B1830" s="22" t="n">
        <v>7</v>
      </c>
      <c r="C1830" s="22" t="s">
        <v>207</v>
      </c>
      <c r="D1830" s="22" t="s">
        <v>30</v>
      </c>
      <c r="E1830" s="22" t="s">
        <v>7326</v>
      </c>
      <c r="F1830" s="22" t="n">
        <v>526142</v>
      </c>
      <c r="G1830" s="30" t="n">
        <v>46253</v>
      </c>
      <c r="H1830" s="22" t="n">
        <v>627154</v>
      </c>
      <c r="I1830" s="22" t="s">
        <v>8978</v>
      </c>
      <c r="J1830" s="31" t="n">
        <v>119.8</v>
      </c>
      <c r="K1830" s="26" t="n">
        <v>1681.13</v>
      </c>
      <c r="L1830" s="26" t="n">
        <v>412.28</v>
      </c>
      <c r="M1830" s="22" t="s">
        <v>7132</v>
      </c>
      <c r="N1830" s="22" t="n">
        <f aca="false">MATCH(M1830,'Tabela Passaro'!$A$2:$A$1795,0)</f>
        <v>1750</v>
      </c>
      <c r="O1830" s="22" t="str">
        <f aca="false">INDEX('Tabela Passaro'!$C$2:$C$1795,$N1830)</f>
        <v>UMBAUBA</v>
      </c>
      <c r="P1830" s="22" t="str">
        <f aca="false">INDEX('Tabela Passaro'!$B$2:$B$1795,$N1830)</f>
        <v>SE</v>
      </c>
      <c r="Q1830" s="22" t="n">
        <f aca="false">INDEX('Tabela Passaro'!$F$2:$F$1795,$N1830)</f>
        <v>10</v>
      </c>
      <c r="R1830" s="32" t="n">
        <f aca="false">IF(J1830&lt;=10,INDEX('Tabela Passaro'!$G$2:$G$1795,$N1830),IF(J1830&lt;=30,INDEX('Tabela Passaro'!$H$2:$H$1795,$N1830),IF(J1830&lt;=50,INDEX('Tabela Passaro'!$I$2:$I$1795,$N1830),IF(J1830&lt;=70,INDEX('Tabela Passaro'!$J$2:$J$1795,$N1830),IF(J1830&lt;=100,INDEX('Tabela Passaro'!$K$2:$K$1795,$N1830),INDEX('Tabela Passaro'!$K$2:$K$1795,$N1830)+(J1830-100)*INDEX('Tabela Passaro'!$L$2:$L$1795,$N1830))))))</f>
        <v>165.144</v>
      </c>
      <c r="S1830" s="32" t="n">
        <f aca="false">K1830*INDEX('Tabela Passaro'!$M$2:$M$1795,$N1830)</f>
        <v>8.40565</v>
      </c>
      <c r="T1830" s="32" t="n">
        <f aca="false">K1830*INDEX('Tabela Passaro'!$N$2:$N$1795,$N1830)</f>
        <v>3.36226</v>
      </c>
      <c r="U1830" s="32" t="n">
        <f aca="false">INDEX('Tabela Passaro'!$O$2:$O$1795,$N1830)</f>
        <v>5</v>
      </c>
      <c r="V1830" s="32" t="n">
        <f aca="false">ROUNDUP(J1830/INDEX('Tabela Passaro'!$Q$2:$Q$1795,$N1830),0)*INDEX('Tabela Passaro'!$P$2:$P$1795,$N1830)</f>
        <v>10</v>
      </c>
      <c r="W1830" s="32" t="n">
        <f aca="false">INDEX('Tabela Passaro'!$R$2:$R$1795,$N1830)</f>
        <v>30</v>
      </c>
      <c r="X1830" s="32" t="n">
        <f aca="false">ROUNDUP(J1830/INDEX('Tabela Passaro'!$T$2:$T$1795,$N1830),0)*INDEX('Tabela Passaro'!$S$2:$S$1795,$N1830)</f>
        <v>0</v>
      </c>
      <c r="Y1830" s="32" t="n">
        <f aca="false">INDEX('Tabela Passaro'!$U$2:$U$1795,$N1830)</f>
        <v>0</v>
      </c>
      <c r="Z1830" s="32" t="n">
        <f aca="false">INDEX('Tabela Passaro'!$V$2:$V$1795,$N1830)</f>
        <v>0</v>
      </c>
      <c r="AA1830" s="32" t="n">
        <f aca="false">SUM(R1830:Z1830)</f>
        <v>221.91191</v>
      </c>
      <c r="AB1830" s="33" t="n">
        <f aca="false">INDEX(Premissas!$B$5:$B$13,MATCH(A1830,Premissas!$A$5:$A$13,0))</f>
        <v>0.07</v>
      </c>
      <c r="AC1830" s="32" t="n">
        <f aca="false">AA1830/(1-AB1830)-AA1830</f>
        <v>16.7030469892473</v>
      </c>
      <c r="AD1830" s="32" t="n">
        <f aca="false">ROUND(AA1830+AC1830,2)</f>
        <v>238.61</v>
      </c>
      <c r="AE1830" s="32" t="n">
        <f aca="false">AD1830-L1830</f>
        <v>-173.67</v>
      </c>
      <c r="AF1830" s="34" t="n">
        <f aca="false">IF(L1830=0,0,AE1830/L1830)</f>
        <v>-0.421242844668672</v>
      </c>
      <c r="AG1830" s="22" t="str">
        <f aca="false">IF(AD1830&lt;L1830,"PASSARO","ATUAL")</f>
        <v>PASSARO</v>
      </c>
      <c r="AH1830" s="22" t="str">
        <f aca="false">IF(P1830&lt;&gt;A1830,"Faixa cadastrada como "&amp;P1830&amp;" na tabela; preço aplicado pela UF do CEP","")</f>
        <v/>
      </c>
      <c r="AI1830" s="26" t="n">
        <v>296.18</v>
      </c>
      <c r="AJ1830" s="22" t="str">
        <f aca="false">INDEX('Tabela Passaro'!$X$2:$X$1795,$N1830)</f>
        <v>INTERIOR 1</v>
      </c>
    </row>
    <row r="1831" customFormat="false" ht="15" hidden="false" customHeight="false" outlineLevel="0" collapsed="false">
      <c r="A1831" s="22" t="s">
        <v>23</v>
      </c>
      <c r="B1831" s="22" t="n">
        <v>7</v>
      </c>
      <c r="C1831" s="22" t="s">
        <v>207</v>
      </c>
      <c r="D1831" s="22" t="s">
        <v>30</v>
      </c>
      <c r="E1831" s="22" t="s">
        <v>7326</v>
      </c>
      <c r="F1831" s="22" t="n">
        <v>527040</v>
      </c>
      <c r="G1831" s="30" t="n">
        <v>46258</v>
      </c>
      <c r="H1831" s="22" t="n">
        <v>628170</v>
      </c>
      <c r="I1831" s="22" t="s">
        <v>8978</v>
      </c>
      <c r="J1831" s="31" t="n">
        <v>33</v>
      </c>
      <c r="K1831" s="26" t="n">
        <v>730.47</v>
      </c>
      <c r="L1831" s="26" t="n">
        <v>200.2</v>
      </c>
      <c r="M1831" s="22" t="s">
        <v>7132</v>
      </c>
      <c r="N1831" s="22" t="n">
        <f aca="false">MATCH(M1831,'Tabela Passaro'!$A$2:$A$1795,0)</f>
        <v>1750</v>
      </c>
      <c r="O1831" s="22" t="str">
        <f aca="false">INDEX('Tabela Passaro'!$C$2:$C$1795,$N1831)</f>
        <v>UMBAUBA</v>
      </c>
      <c r="P1831" s="22" t="str">
        <f aca="false">INDEX('Tabela Passaro'!$B$2:$B$1795,$N1831)</f>
        <v>SE</v>
      </c>
      <c r="Q1831" s="22" t="n">
        <f aca="false">INDEX('Tabela Passaro'!$F$2:$F$1795,$N1831)</f>
        <v>10</v>
      </c>
      <c r="R1831" s="32" t="n">
        <f aca="false">IF(J1831&lt;=10,INDEX('Tabela Passaro'!$G$2:$G$1795,$N1831),IF(J1831&lt;=30,INDEX('Tabela Passaro'!$H$2:$H$1795,$N1831),IF(J1831&lt;=50,INDEX('Tabela Passaro'!$I$2:$I$1795,$N1831),IF(J1831&lt;=70,INDEX('Tabela Passaro'!$J$2:$J$1795,$N1831),IF(J1831&lt;=100,INDEX('Tabela Passaro'!$K$2:$K$1795,$N1831),INDEX('Tabela Passaro'!$K$2:$K$1795,$N1831)+(J1831-100)*INDEX('Tabela Passaro'!$L$2:$L$1795,$N1831))))))</f>
        <v>98.13</v>
      </c>
      <c r="S1831" s="32" t="n">
        <f aca="false">K1831*INDEX('Tabela Passaro'!$M$2:$M$1795,$N1831)</f>
        <v>3.65235</v>
      </c>
      <c r="T1831" s="32" t="n">
        <f aca="false">K1831*INDEX('Tabela Passaro'!$N$2:$N$1795,$N1831)</f>
        <v>1.46094</v>
      </c>
      <c r="U1831" s="32" t="n">
        <f aca="false">INDEX('Tabela Passaro'!$O$2:$O$1795,$N1831)</f>
        <v>5</v>
      </c>
      <c r="V1831" s="32" t="n">
        <f aca="false">ROUNDUP(J1831/INDEX('Tabela Passaro'!$Q$2:$Q$1795,$N1831),0)*INDEX('Tabela Passaro'!$P$2:$P$1795,$N1831)</f>
        <v>5</v>
      </c>
      <c r="W1831" s="32" t="n">
        <f aca="false">INDEX('Tabela Passaro'!$R$2:$R$1795,$N1831)</f>
        <v>30</v>
      </c>
      <c r="X1831" s="32" t="n">
        <f aca="false">ROUNDUP(J1831/INDEX('Tabela Passaro'!$T$2:$T$1795,$N1831),0)*INDEX('Tabela Passaro'!$S$2:$S$1795,$N1831)</f>
        <v>0</v>
      </c>
      <c r="Y1831" s="32" t="n">
        <f aca="false">INDEX('Tabela Passaro'!$U$2:$U$1795,$N1831)</f>
        <v>0</v>
      </c>
      <c r="Z1831" s="32" t="n">
        <f aca="false">INDEX('Tabela Passaro'!$V$2:$V$1795,$N1831)</f>
        <v>0</v>
      </c>
      <c r="AA1831" s="32" t="n">
        <f aca="false">SUM(R1831:Z1831)</f>
        <v>143.24329</v>
      </c>
      <c r="AB1831" s="33" t="n">
        <f aca="false">INDEX(Premissas!$B$5:$B$13,MATCH(A1831,Premissas!$A$5:$A$13,0))</f>
        <v>0.07</v>
      </c>
      <c r="AC1831" s="32" t="n">
        <f aca="false">AA1831/(1-AB1831)-AA1831</f>
        <v>10.7817530107527</v>
      </c>
      <c r="AD1831" s="32" t="n">
        <f aca="false">ROUND(AA1831+AC1831,2)</f>
        <v>154.03</v>
      </c>
      <c r="AE1831" s="32" t="n">
        <f aca="false">AD1831-L1831</f>
        <v>-46.17</v>
      </c>
      <c r="AF1831" s="34" t="n">
        <f aca="false">IF(L1831=0,0,AE1831/L1831)</f>
        <v>-0.230619380619381</v>
      </c>
      <c r="AG1831" s="22" t="str">
        <f aca="false">IF(AD1831&lt;L1831,"PASSARO","ATUAL")</f>
        <v>PASSARO</v>
      </c>
      <c r="AH1831" s="22" t="str">
        <f aca="false">IF(P1831&lt;&gt;A1831,"Faixa cadastrada como "&amp;P1831&amp;" na tabela; preço aplicado pela UF do CEP","")</f>
        <v/>
      </c>
      <c r="AI1831" s="26" t="n">
        <v>161.99</v>
      </c>
      <c r="AJ1831" s="22" t="str">
        <f aca="false">INDEX('Tabela Passaro'!$X$2:$X$1795,$N1831)</f>
        <v>INTERIOR 1</v>
      </c>
    </row>
    <row r="1832" customFormat="false" ht="15" hidden="false" customHeight="false" outlineLevel="0" collapsed="false">
      <c r="A1832" s="22" t="s">
        <v>23</v>
      </c>
      <c r="B1832" s="22" t="n">
        <v>8</v>
      </c>
      <c r="C1832" s="22" t="s">
        <v>208</v>
      </c>
      <c r="D1832" s="22" t="s">
        <v>30</v>
      </c>
      <c r="E1832" s="22" t="s">
        <v>7328</v>
      </c>
      <c r="F1832" s="22" t="n">
        <v>2315730</v>
      </c>
      <c r="G1832" s="30" t="n">
        <v>46258</v>
      </c>
      <c r="H1832" s="22" t="n">
        <v>134454</v>
      </c>
      <c r="I1832" s="22" t="s">
        <v>8979</v>
      </c>
      <c r="J1832" s="31" t="n">
        <v>124.2</v>
      </c>
      <c r="K1832" s="26" t="n">
        <v>2075.46</v>
      </c>
      <c r="L1832" s="26" t="n">
        <v>346.78</v>
      </c>
      <c r="M1832" s="22" t="s">
        <v>7254</v>
      </c>
      <c r="N1832" s="22" t="n">
        <f aca="false">MATCH(M1832,'Tabela Passaro'!$A$2:$A$1795,0)</f>
        <v>1782</v>
      </c>
      <c r="O1832" s="22" t="str">
        <f aca="false">INDEX('Tabela Passaro'!$C$2:$C$1795,$N1832)</f>
        <v>POCO VERDE</v>
      </c>
      <c r="P1832" s="22" t="str">
        <f aca="false">INDEX('Tabela Passaro'!$B$2:$B$1795,$N1832)</f>
        <v>SE</v>
      </c>
      <c r="Q1832" s="22" t="n">
        <f aca="false">INDEX('Tabela Passaro'!$F$2:$F$1795,$N1832)</f>
        <v>12</v>
      </c>
      <c r="R1832" s="32" t="n">
        <f aca="false">IF(J1832&lt;=10,INDEX('Tabela Passaro'!$G$2:$G$1795,$N1832),IF(J1832&lt;=30,INDEX('Tabela Passaro'!$H$2:$H$1795,$N1832),IF(J1832&lt;=50,INDEX('Tabela Passaro'!$I$2:$I$1795,$N1832),IF(J1832&lt;=70,INDEX('Tabela Passaro'!$J$2:$J$1795,$N1832),IF(J1832&lt;=100,INDEX('Tabela Passaro'!$K$2:$K$1795,$N1832),INDEX('Tabela Passaro'!$K$2:$K$1795,$N1832)+(J1832-100)*INDEX('Tabela Passaro'!$L$2:$L$1795,$N1832))))))</f>
        <v>193.272</v>
      </c>
      <c r="S1832" s="32" t="n">
        <f aca="false">K1832*INDEX('Tabela Passaro'!$M$2:$M$1795,$N1832)</f>
        <v>10.3773</v>
      </c>
      <c r="T1832" s="32" t="n">
        <f aca="false">K1832*INDEX('Tabela Passaro'!$N$2:$N$1795,$N1832)</f>
        <v>4.15092</v>
      </c>
      <c r="U1832" s="32" t="n">
        <f aca="false">INDEX('Tabela Passaro'!$O$2:$O$1795,$N1832)</f>
        <v>5</v>
      </c>
      <c r="V1832" s="32" t="n">
        <f aca="false">ROUNDUP(J1832/INDEX('Tabela Passaro'!$Q$2:$Q$1795,$N1832),0)*INDEX('Tabela Passaro'!$P$2:$P$1795,$N1832)</f>
        <v>10</v>
      </c>
      <c r="W1832" s="32" t="n">
        <f aca="false">INDEX('Tabela Passaro'!$R$2:$R$1795,$N1832)</f>
        <v>30</v>
      </c>
      <c r="X1832" s="32" t="n">
        <f aca="false">ROUNDUP(J1832/INDEX('Tabela Passaro'!$T$2:$T$1795,$N1832),0)*INDEX('Tabela Passaro'!$S$2:$S$1795,$N1832)</f>
        <v>0</v>
      </c>
      <c r="Y1832" s="32" t="n">
        <f aca="false">INDEX('Tabela Passaro'!$U$2:$U$1795,$N1832)</f>
        <v>0</v>
      </c>
      <c r="Z1832" s="32" t="n">
        <f aca="false">INDEX('Tabela Passaro'!$V$2:$V$1795,$N1832)</f>
        <v>0</v>
      </c>
      <c r="AA1832" s="32" t="n">
        <f aca="false">SUM(R1832:Z1832)</f>
        <v>252.80022</v>
      </c>
      <c r="AB1832" s="33" t="n">
        <f aca="false">INDEX(Premissas!$B$5:$B$13,MATCH(A1832,Premissas!$A$5:$A$13,0))</f>
        <v>0.07</v>
      </c>
      <c r="AC1832" s="32" t="n">
        <f aca="false">AA1832/(1-AB1832)-AA1832</f>
        <v>19.0279735483871</v>
      </c>
      <c r="AD1832" s="32" t="n">
        <f aca="false">ROUND(AA1832+AC1832,2)</f>
        <v>271.83</v>
      </c>
      <c r="AE1832" s="32" t="n">
        <f aca="false">AD1832-L1832</f>
        <v>-74.95</v>
      </c>
      <c r="AF1832" s="34" t="n">
        <f aca="false">IF(L1832=0,0,AE1832/L1832)</f>
        <v>-0.216131264778822</v>
      </c>
      <c r="AG1832" s="22" t="str">
        <f aca="false">IF(AD1832&lt;L1832,"PASSARO","ATUAL")</f>
        <v>PASSARO</v>
      </c>
      <c r="AH1832" s="22" t="str">
        <f aca="false">IF(P1832&lt;&gt;A1832,"Faixa cadastrada como "&amp;P1832&amp;" na tabela; preço aplicado pela UF do CEP","")</f>
        <v/>
      </c>
      <c r="AI1832" s="26" t="n">
        <v>334.51</v>
      </c>
      <c r="AJ1832" s="22" t="str">
        <f aca="false">INDEX('Tabela Passaro'!$X$2:$X$1795,$N1832)</f>
        <v>INTERIOR 2</v>
      </c>
    </row>
    <row r="1833" customFormat="false" ht="15" hidden="false" customHeight="false" outlineLevel="0" collapsed="false">
      <c r="A1833" s="22" t="s">
        <v>23</v>
      </c>
      <c r="B1833" s="22" t="n">
        <v>8</v>
      </c>
      <c r="C1833" s="22" t="s">
        <v>208</v>
      </c>
      <c r="D1833" s="22" t="s">
        <v>30</v>
      </c>
      <c r="E1833" s="22" t="s">
        <v>20</v>
      </c>
      <c r="F1833" s="22" t="n">
        <v>840008</v>
      </c>
      <c r="G1833" s="30" t="n">
        <v>46259</v>
      </c>
      <c r="H1833" s="22" t="n">
        <v>32655</v>
      </c>
      <c r="I1833" s="22" t="s">
        <v>8979</v>
      </c>
      <c r="J1833" s="31" t="n">
        <v>22.4</v>
      </c>
      <c r="K1833" s="26" t="n">
        <v>582.05</v>
      </c>
      <c r="L1833" s="26" t="n">
        <v>126.33</v>
      </c>
      <c r="M1833" s="22" t="s">
        <v>7254</v>
      </c>
      <c r="N1833" s="22" t="n">
        <f aca="false">MATCH(M1833,'Tabela Passaro'!$A$2:$A$1795,0)</f>
        <v>1782</v>
      </c>
      <c r="O1833" s="22" t="str">
        <f aca="false">INDEX('Tabela Passaro'!$C$2:$C$1795,$N1833)</f>
        <v>POCO VERDE</v>
      </c>
      <c r="P1833" s="22" t="str">
        <f aca="false">INDEX('Tabela Passaro'!$B$2:$B$1795,$N1833)</f>
        <v>SE</v>
      </c>
      <c r="Q1833" s="22" t="n">
        <f aca="false">INDEX('Tabela Passaro'!$F$2:$F$1795,$N1833)</f>
        <v>12</v>
      </c>
      <c r="R1833" s="32" t="n">
        <f aca="false">IF(J1833&lt;=10,INDEX('Tabela Passaro'!$G$2:$G$1795,$N1833),IF(J1833&lt;=30,INDEX('Tabela Passaro'!$H$2:$H$1795,$N1833),IF(J1833&lt;=50,INDEX('Tabela Passaro'!$I$2:$I$1795,$N1833),IF(J1833&lt;=70,INDEX('Tabela Passaro'!$J$2:$J$1795,$N1833),IF(J1833&lt;=100,INDEX('Tabela Passaro'!$K$2:$K$1795,$N1833),INDEX('Tabela Passaro'!$K$2:$K$1795,$N1833)+(J1833-100)*INDEX('Tabela Passaro'!$L$2:$L$1795,$N1833))))))</f>
        <v>103.1</v>
      </c>
      <c r="S1833" s="32" t="n">
        <f aca="false">K1833*INDEX('Tabela Passaro'!$M$2:$M$1795,$N1833)</f>
        <v>2.91025</v>
      </c>
      <c r="T1833" s="32" t="n">
        <f aca="false">K1833*INDEX('Tabela Passaro'!$N$2:$N$1795,$N1833)</f>
        <v>1.1641</v>
      </c>
      <c r="U1833" s="32" t="n">
        <f aca="false">INDEX('Tabela Passaro'!$O$2:$O$1795,$N1833)</f>
        <v>5</v>
      </c>
      <c r="V1833" s="32" t="n">
        <f aca="false">ROUNDUP(J1833/INDEX('Tabela Passaro'!$Q$2:$Q$1795,$N1833),0)*INDEX('Tabela Passaro'!$P$2:$P$1795,$N1833)</f>
        <v>5</v>
      </c>
      <c r="W1833" s="32" t="n">
        <f aca="false">INDEX('Tabela Passaro'!$R$2:$R$1795,$N1833)</f>
        <v>30</v>
      </c>
      <c r="X1833" s="32" t="n">
        <f aca="false">ROUNDUP(J1833/INDEX('Tabela Passaro'!$T$2:$T$1795,$N1833),0)*INDEX('Tabela Passaro'!$S$2:$S$1795,$N1833)</f>
        <v>0</v>
      </c>
      <c r="Y1833" s="32" t="n">
        <f aca="false">INDEX('Tabela Passaro'!$U$2:$U$1795,$N1833)</f>
        <v>0</v>
      </c>
      <c r="Z1833" s="32" t="n">
        <f aca="false">INDEX('Tabela Passaro'!$V$2:$V$1795,$N1833)</f>
        <v>0</v>
      </c>
      <c r="AA1833" s="32" t="n">
        <f aca="false">SUM(R1833:Z1833)</f>
        <v>147.17435</v>
      </c>
      <c r="AB1833" s="33" t="n">
        <f aca="false">INDEX(Premissas!$B$5:$B$13,MATCH(A1833,Premissas!$A$5:$A$13,0))</f>
        <v>0.07</v>
      </c>
      <c r="AC1833" s="32" t="n">
        <f aca="false">AA1833/(1-AB1833)-AA1833</f>
        <v>11.0776392473119</v>
      </c>
      <c r="AD1833" s="32" t="n">
        <f aca="false">ROUND(AA1833+AC1833,2)</f>
        <v>158.25</v>
      </c>
      <c r="AE1833" s="32" t="n">
        <f aca="false">AD1833-L1833</f>
        <v>31.92</v>
      </c>
      <c r="AF1833" s="34" t="n">
        <f aca="false">IF(L1833=0,0,AE1833/L1833)</f>
        <v>0.252671574447875</v>
      </c>
      <c r="AG1833" s="22" t="str">
        <f aca="false">IF(AD1833&lt;L1833,"PASSARO","ATUAL")</f>
        <v>ATUAL</v>
      </c>
      <c r="AH1833" s="22" t="str">
        <f aca="false">IF(P1833&lt;&gt;A1833,"Faixa cadastrada como "&amp;P1833&amp;" na tabela; preço aplicado pela UF do CEP","")</f>
        <v/>
      </c>
      <c r="AI1833" s="26" t="n">
        <v>161.12</v>
      </c>
      <c r="AJ1833" s="22" t="str">
        <f aca="false">INDEX('Tabela Passaro'!$X$2:$X$1795,$N1833)</f>
        <v>INTERIOR 2</v>
      </c>
    </row>
    <row r="1834" customFormat="false" ht="15" hidden="false" customHeight="false" outlineLevel="0" collapsed="false">
      <c r="A1834" s="22" t="s">
        <v>23</v>
      </c>
      <c r="B1834" s="22" t="n">
        <v>8</v>
      </c>
      <c r="C1834" s="22" t="s">
        <v>208</v>
      </c>
      <c r="D1834" s="22" t="s">
        <v>30</v>
      </c>
      <c r="E1834" s="22" t="s">
        <v>7328</v>
      </c>
      <c r="F1834" s="22" t="n">
        <v>2316513</v>
      </c>
      <c r="G1834" s="30" t="n">
        <v>46260</v>
      </c>
      <c r="H1834" s="22" t="n">
        <v>135853</v>
      </c>
      <c r="I1834" s="22" t="s">
        <v>8979</v>
      </c>
      <c r="J1834" s="31" t="n">
        <v>63</v>
      </c>
      <c r="K1834" s="26" t="n">
        <v>1391.39</v>
      </c>
      <c r="L1834" s="26" t="n">
        <v>230.45</v>
      </c>
      <c r="M1834" s="22" t="s">
        <v>7254</v>
      </c>
      <c r="N1834" s="22" t="n">
        <f aca="false">MATCH(M1834,'Tabela Passaro'!$A$2:$A$1795,0)</f>
        <v>1782</v>
      </c>
      <c r="O1834" s="22" t="str">
        <f aca="false">INDEX('Tabela Passaro'!$C$2:$C$1795,$N1834)</f>
        <v>POCO VERDE</v>
      </c>
      <c r="P1834" s="22" t="str">
        <f aca="false">INDEX('Tabela Passaro'!$B$2:$B$1795,$N1834)</f>
        <v>SE</v>
      </c>
      <c r="Q1834" s="22" t="n">
        <f aca="false">INDEX('Tabela Passaro'!$F$2:$F$1795,$N1834)</f>
        <v>12</v>
      </c>
      <c r="R1834" s="32" t="n">
        <f aca="false">IF(J1834&lt;=10,INDEX('Tabela Passaro'!$G$2:$G$1795,$N1834),IF(J1834&lt;=30,INDEX('Tabela Passaro'!$H$2:$H$1795,$N1834),IF(J1834&lt;=50,INDEX('Tabela Passaro'!$I$2:$I$1795,$N1834),IF(J1834&lt;=70,INDEX('Tabela Passaro'!$J$2:$J$1795,$N1834),IF(J1834&lt;=100,INDEX('Tabela Passaro'!$K$2:$K$1795,$N1834),INDEX('Tabela Passaro'!$K$2:$K$1795,$N1834)+(J1834-100)*INDEX('Tabela Passaro'!$L$2:$L$1795,$N1834))))))</f>
        <v>126.14</v>
      </c>
      <c r="S1834" s="32" t="n">
        <f aca="false">K1834*INDEX('Tabela Passaro'!$M$2:$M$1795,$N1834)</f>
        <v>6.95695</v>
      </c>
      <c r="T1834" s="32" t="n">
        <f aca="false">K1834*INDEX('Tabela Passaro'!$N$2:$N$1795,$N1834)</f>
        <v>2.78278</v>
      </c>
      <c r="U1834" s="32" t="n">
        <f aca="false">INDEX('Tabela Passaro'!$O$2:$O$1795,$N1834)</f>
        <v>5</v>
      </c>
      <c r="V1834" s="32" t="n">
        <f aca="false">ROUNDUP(J1834/INDEX('Tabela Passaro'!$Q$2:$Q$1795,$N1834),0)*INDEX('Tabela Passaro'!$P$2:$P$1795,$N1834)</f>
        <v>5</v>
      </c>
      <c r="W1834" s="32" t="n">
        <f aca="false">INDEX('Tabela Passaro'!$R$2:$R$1795,$N1834)</f>
        <v>30</v>
      </c>
      <c r="X1834" s="32" t="n">
        <f aca="false">ROUNDUP(J1834/INDEX('Tabela Passaro'!$T$2:$T$1795,$N1834),0)*INDEX('Tabela Passaro'!$S$2:$S$1795,$N1834)</f>
        <v>0</v>
      </c>
      <c r="Y1834" s="32" t="n">
        <f aca="false">INDEX('Tabela Passaro'!$U$2:$U$1795,$N1834)</f>
        <v>0</v>
      </c>
      <c r="Z1834" s="32" t="n">
        <f aca="false">INDEX('Tabela Passaro'!$V$2:$V$1795,$N1834)</f>
        <v>0</v>
      </c>
      <c r="AA1834" s="32" t="n">
        <f aca="false">SUM(R1834:Z1834)</f>
        <v>175.87973</v>
      </c>
      <c r="AB1834" s="33" t="n">
        <f aca="false">INDEX(Premissas!$B$5:$B$13,MATCH(A1834,Premissas!$A$5:$A$13,0))</f>
        <v>0.07</v>
      </c>
      <c r="AC1834" s="32" t="n">
        <f aca="false">AA1834/(1-AB1834)-AA1834</f>
        <v>13.2382592473118</v>
      </c>
      <c r="AD1834" s="32" t="n">
        <f aca="false">ROUND(AA1834+AC1834,2)</f>
        <v>189.12</v>
      </c>
      <c r="AE1834" s="32" t="n">
        <f aca="false">AD1834-L1834</f>
        <v>-41.33</v>
      </c>
      <c r="AF1834" s="34" t="n">
        <f aca="false">IF(L1834=0,0,AE1834/L1834)</f>
        <v>-0.179344760251681</v>
      </c>
      <c r="AG1834" s="22" t="str">
        <f aca="false">IF(AD1834&lt;L1834,"PASSARO","ATUAL")</f>
        <v>PASSARO</v>
      </c>
      <c r="AH1834" s="22" t="str">
        <f aca="false">IF(P1834&lt;&gt;A1834,"Faixa cadastrada como "&amp;P1834&amp;" na tabela; preço aplicado pela UF do CEP","")</f>
        <v/>
      </c>
      <c r="AI1834" s="26" t="n">
        <v>213.36</v>
      </c>
      <c r="AJ1834" s="22" t="str">
        <f aca="false">INDEX('Tabela Passaro'!$X$2:$X$1795,$N1834)</f>
        <v>INTERIOR 2</v>
      </c>
    </row>
    <row r="1835" customFormat="false" ht="15" hidden="false" customHeight="false" outlineLevel="0" collapsed="false">
      <c r="A1835" s="22" t="s">
        <v>23</v>
      </c>
      <c r="B1835" s="22" t="n">
        <v>9</v>
      </c>
      <c r="C1835" s="22" t="s">
        <v>209</v>
      </c>
      <c r="D1835" s="22" t="s">
        <v>30</v>
      </c>
      <c r="E1835" s="22" t="s">
        <v>20</v>
      </c>
      <c r="F1835" s="22" t="n">
        <v>837962</v>
      </c>
      <c r="G1835" s="30" t="n">
        <v>46239</v>
      </c>
      <c r="H1835" s="22" t="n">
        <v>32408</v>
      </c>
      <c r="I1835" s="22" t="s">
        <v>8980</v>
      </c>
      <c r="J1835" s="31" t="n">
        <v>36.8</v>
      </c>
      <c r="K1835" s="26" t="n">
        <v>668.27</v>
      </c>
      <c r="L1835" s="26" t="n">
        <v>169.06</v>
      </c>
      <c r="M1835" s="22" t="s">
        <v>7228</v>
      </c>
      <c r="N1835" s="22" t="n">
        <f aca="false">MATCH(M1835,'Tabela Passaro'!$A$2:$A$1795,0)</f>
        <v>1775</v>
      </c>
      <c r="O1835" s="22" t="str">
        <f aca="false">INDEX('Tabela Passaro'!$C$2:$C$1795,$N1835)</f>
        <v>NOSSA SENHORA DA GLORIA</v>
      </c>
      <c r="P1835" s="22" t="str">
        <f aca="false">INDEX('Tabela Passaro'!$B$2:$B$1795,$N1835)</f>
        <v>SE</v>
      </c>
      <c r="Q1835" s="22" t="n">
        <f aca="false">INDEX('Tabela Passaro'!$F$2:$F$1795,$N1835)</f>
        <v>12</v>
      </c>
      <c r="R1835" s="32" t="n">
        <f aca="false">IF(J1835&lt;=10,INDEX('Tabela Passaro'!$G$2:$G$1795,$N1835),IF(J1835&lt;=30,INDEX('Tabela Passaro'!$H$2:$H$1795,$N1835),IF(J1835&lt;=50,INDEX('Tabela Passaro'!$I$2:$I$1795,$N1835),IF(J1835&lt;=70,INDEX('Tabela Passaro'!$J$2:$J$1795,$N1835),IF(J1835&lt;=100,INDEX('Tabela Passaro'!$K$2:$K$1795,$N1835),INDEX('Tabela Passaro'!$K$2:$K$1795,$N1835)+(J1835-100)*INDEX('Tabela Passaro'!$L$2:$L$1795,$N1835))))))</f>
        <v>114.62</v>
      </c>
      <c r="S1835" s="32" t="n">
        <f aca="false">K1835*INDEX('Tabela Passaro'!$M$2:$M$1795,$N1835)</f>
        <v>3.34135</v>
      </c>
      <c r="T1835" s="32" t="n">
        <f aca="false">K1835*INDEX('Tabela Passaro'!$N$2:$N$1795,$N1835)</f>
        <v>1.33654</v>
      </c>
      <c r="U1835" s="32" t="n">
        <f aca="false">INDEX('Tabela Passaro'!$O$2:$O$1795,$N1835)</f>
        <v>5</v>
      </c>
      <c r="V1835" s="32" t="n">
        <f aca="false">ROUNDUP(J1835/INDEX('Tabela Passaro'!$Q$2:$Q$1795,$N1835),0)*INDEX('Tabela Passaro'!$P$2:$P$1795,$N1835)</f>
        <v>5</v>
      </c>
      <c r="W1835" s="32" t="n">
        <f aca="false">INDEX('Tabela Passaro'!$R$2:$R$1795,$N1835)</f>
        <v>30</v>
      </c>
      <c r="X1835" s="32" t="n">
        <f aca="false">ROUNDUP(J1835/INDEX('Tabela Passaro'!$T$2:$T$1795,$N1835),0)*INDEX('Tabela Passaro'!$S$2:$S$1795,$N1835)</f>
        <v>0</v>
      </c>
      <c r="Y1835" s="32" t="n">
        <f aca="false">INDEX('Tabela Passaro'!$U$2:$U$1795,$N1835)</f>
        <v>0</v>
      </c>
      <c r="Z1835" s="32" t="n">
        <f aca="false">INDEX('Tabela Passaro'!$V$2:$V$1795,$N1835)</f>
        <v>0</v>
      </c>
      <c r="AA1835" s="32" t="n">
        <f aca="false">SUM(R1835:Z1835)</f>
        <v>159.29789</v>
      </c>
      <c r="AB1835" s="33" t="n">
        <f aca="false">INDEX(Premissas!$B$5:$B$13,MATCH(A1835,Premissas!$A$5:$A$13,0))</f>
        <v>0.07</v>
      </c>
      <c r="AC1835" s="32" t="n">
        <f aca="false">AA1835/(1-AB1835)-AA1835</f>
        <v>11.9901637634409</v>
      </c>
      <c r="AD1835" s="32" t="n">
        <f aca="false">ROUND(AA1835+AC1835,2)</f>
        <v>171.29</v>
      </c>
      <c r="AE1835" s="32" t="n">
        <f aca="false">AD1835-L1835</f>
        <v>2.22999999999999</v>
      </c>
      <c r="AF1835" s="34" t="n">
        <f aca="false">IF(L1835=0,0,AE1835/L1835)</f>
        <v>0.0131905832248905</v>
      </c>
      <c r="AG1835" s="22" t="str">
        <f aca="false">IF(AD1835&lt;L1835,"PASSARO","ATUAL")</f>
        <v>ATUAL</v>
      </c>
      <c r="AH1835" s="22" t="str">
        <f aca="false">IF(P1835&lt;&gt;A1835,"Faixa cadastrada como "&amp;P1835&amp;" na tabela; preço aplicado pela UF do CEP","")</f>
        <v/>
      </c>
      <c r="AI1835" s="26" t="n">
        <v>181.25</v>
      </c>
      <c r="AJ1835" s="22" t="str">
        <f aca="false">INDEX('Tabela Passaro'!$X$2:$X$1795,$N1835)</f>
        <v>INTERIOR 2</v>
      </c>
    </row>
    <row r="1836" customFormat="false" ht="15" hidden="false" customHeight="false" outlineLevel="0" collapsed="false">
      <c r="A1836" s="22" t="s">
        <v>23</v>
      </c>
      <c r="B1836" s="22" t="n">
        <v>9</v>
      </c>
      <c r="C1836" s="22" t="s">
        <v>209</v>
      </c>
      <c r="D1836" s="22" t="s">
        <v>30</v>
      </c>
      <c r="E1836" s="22" t="s">
        <v>7328</v>
      </c>
      <c r="F1836" s="22" t="n">
        <v>2312379</v>
      </c>
      <c r="G1836" s="30" t="n">
        <v>46248</v>
      </c>
      <c r="H1836" s="22" t="n">
        <v>133313</v>
      </c>
      <c r="I1836" s="22" t="s">
        <v>8980</v>
      </c>
      <c r="J1836" s="31" t="n">
        <v>19.4</v>
      </c>
      <c r="K1836" s="26" t="n">
        <v>461.45</v>
      </c>
      <c r="L1836" s="26" t="n">
        <v>132.36</v>
      </c>
      <c r="M1836" s="22" t="s">
        <v>7228</v>
      </c>
      <c r="N1836" s="22" t="n">
        <f aca="false">MATCH(M1836,'Tabela Passaro'!$A$2:$A$1795,0)</f>
        <v>1775</v>
      </c>
      <c r="O1836" s="22" t="str">
        <f aca="false">INDEX('Tabela Passaro'!$C$2:$C$1795,$N1836)</f>
        <v>NOSSA SENHORA DA GLORIA</v>
      </c>
      <c r="P1836" s="22" t="str">
        <f aca="false">INDEX('Tabela Passaro'!$B$2:$B$1795,$N1836)</f>
        <v>SE</v>
      </c>
      <c r="Q1836" s="22" t="n">
        <f aca="false">INDEX('Tabela Passaro'!$F$2:$F$1795,$N1836)</f>
        <v>12</v>
      </c>
      <c r="R1836" s="32" t="n">
        <f aca="false">IF(J1836&lt;=10,INDEX('Tabela Passaro'!$G$2:$G$1795,$N1836),IF(J1836&lt;=30,INDEX('Tabela Passaro'!$H$2:$H$1795,$N1836),IF(J1836&lt;=50,INDEX('Tabela Passaro'!$I$2:$I$1795,$N1836),IF(J1836&lt;=70,INDEX('Tabela Passaro'!$J$2:$J$1795,$N1836),IF(J1836&lt;=100,INDEX('Tabela Passaro'!$K$2:$K$1795,$N1836),INDEX('Tabela Passaro'!$K$2:$K$1795,$N1836)+(J1836-100)*INDEX('Tabela Passaro'!$L$2:$L$1795,$N1836))))))</f>
        <v>103.1</v>
      </c>
      <c r="S1836" s="32" t="n">
        <f aca="false">K1836*INDEX('Tabela Passaro'!$M$2:$M$1795,$N1836)</f>
        <v>2.30725</v>
      </c>
      <c r="T1836" s="32" t="n">
        <f aca="false">K1836*INDEX('Tabela Passaro'!$N$2:$N$1795,$N1836)</f>
        <v>0.9229</v>
      </c>
      <c r="U1836" s="32" t="n">
        <f aca="false">INDEX('Tabela Passaro'!$O$2:$O$1795,$N1836)</f>
        <v>5</v>
      </c>
      <c r="V1836" s="32" t="n">
        <f aca="false">ROUNDUP(J1836/INDEX('Tabela Passaro'!$Q$2:$Q$1795,$N1836),0)*INDEX('Tabela Passaro'!$P$2:$P$1795,$N1836)</f>
        <v>5</v>
      </c>
      <c r="W1836" s="32" t="n">
        <f aca="false">INDEX('Tabela Passaro'!$R$2:$R$1795,$N1836)</f>
        <v>30</v>
      </c>
      <c r="X1836" s="32" t="n">
        <f aca="false">ROUNDUP(J1836/INDEX('Tabela Passaro'!$T$2:$T$1795,$N1836),0)*INDEX('Tabela Passaro'!$S$2:$S$1795,$N1836)</f>
        <v>0</v>
      </c>
      <c r="Y1836" s="32" t="n">
        <f aca="false">INDEX('Tabela Passaro'!$U$2:$U$1795,$N1836)</f>
        <v>0</v>
      </c>
      <c r="Z1836" s="32" t="n">
        <f aca="false">INDEX('Tabela Passaro'!$V$2:$V$1795,$N1836)</f>
        <v>0</v>
      </c>
      <c r="AA1836" s="32" t="n">
        <f aca="false">SUM(R1836:Z1836)</f>
        <v>146.33015</v>
      </c>
      <c r="AB1836" s="33" t="n">
        <f aca="false">INDEX(Premissas!$B$5:$B$13,MATCH(A1836,Premissas!$A$5:$A$13,0))</f>
        <v>0.07</v>
      </c>
      <c r="AC1836" s="32" t="n">
        <f aca="false">AA1836/(1-AB1836)-AA1836</f>
        <v>11.014097311828</v>
      </c>
      <c r="AD1836" s="32" t="n">
        <f aca="false">ROUND(AA1836+AC1836,2)</f>
        <v>157.34</v>
      </c>
      <c r="AE1836" s="32" t="n">
        <f aca="false">AD1836-L1836</f>
        <v>24.98</v>
      </c>
      <c r="AF1836" s="34" t="n">
        <f aca="false">IF(L1836=0,0,AE1836/L1836)</f>
        <v>0.188727712299788</v>
      </c>
      <c r="AG1836" s="22" t="str">
        <f aca="false">IF(AD1836&lt;L1836,"PASSARO","ATUAL")</f>
        <v>ATUAL</v>
      </c>
      <c r="AH1836" s="22" t="str">
        <f aca="false">IF(P1836&lt;&gt;A1836,"Faixa cadastrada como "&amp;P1836&amp;" na tabela; preço aplicado pela UF do CEP","")</f>
        <v/>
      </c>
      <c r="AI1836" s="26" t="n">
        <v>158.5</v>
      </c>
      <c r="AJ1836" s="22" t="str">
        <f aca="false">INDEX('Tabela Passaro'!$X$2:$X$1795,$N1836)</f>
        <v>INTERIOR 2</v>
      </c>
    </row>
    <row r="1837" customFormat="false" ht="15" hidden="false" customHeight="false" outlineLevel="0" collapsed="false">
      <c r="A1837" s="22" t="s">
        <v>23</v>
      </c>
      <c r="B1837" s="22" t="n">
        <v>9</v>
      </c>
      <c r="C1837" s="22" t="s">
        <v>209</v>
      </c>
      <c r="D1837" s="22" t="s">
        <v>30</v>
      </c>
      <c r="E1837" s="22" t="s">
        <v>7328</v>
      </c>
      <c r="F1837" s="22" t="n">
        <v>2313256</v>
      </c>
      <c r="G1837" s="30" t="n">
        <v>46251</v>
      </c>
      <c r="H1837" s="22" t="n">
        <v>133697</v>
      </c>
      <c r="I1837" s="22" t="s">
        <v>8980</v>
      </c>
      <c r="J1837" s="31" t="n">
        <v>44.5</v>
      </c>
      <c r="K1837" s="26" t="n">
        <v>856.78</v>
      </c>
      <c r="L1837" s="26" t="n">
        <v>178.74</v>
      </c>
      <c r="M1837" s="22" t="s">
        <v>7228</v>
      </c>
      <c r="N1837" s="22" t="n">
        <f aca="false">MATCH(M1837,'Tabela Passaro'!$A$2:$A$1795,0)</f>
        <v>1775</v>
      </c>
      <c r="O1837" s="22" t="str">
        <f aca="false">INDEX('Tabela Passaro'!$C$2:$C$1795,$N1837)</f>
        <v>NOSSA SENHORA DA GLORIA</v>
      </c>
      <c r="P1837" s="22" t="str">
        <f aca="false">INDEX('Tabela Passaro'!$B$2:$B$1795,$N1837)</f>
        <v>SE</v>
      </c>
      <c r="Q1837" s="22" t="n">
        <f aca="false">INDEX('Tabela Passaro'!$F$2:$F$1795,$N1837)</f>
        <v>12</v>
      </c>
      <c r="R1837" s="32" t="n">
        <f aca="false">IF(J1837&lt;=10,INDEX('Tabela Passaro'!$G$2:$G$1795,$N1837),IF(J1837&lt;=30,INDEX('Tabela Passaro'!$H$2:$H$1795,$N1837),IF(J1837&lt;=50,INDEX('Tabela Passaro'!$I$2:$I$1795,$N1837),IF(J1837&lt;=70,INDEX('Tabela Passaro'!$J$2:$J$1795,$N1837),IF(J1837&lt;=100,INDEX('Tabela Passaro'!$K$2:$K$1795,$N1837),INDEX('Tabela Passaro'!$K$2:$K$1795,$N1837)+(J1837-100)*INDEX('Tabela Passaro'!$L$2:$L$1795,$N1837))))))</f>
        <v>114.62</v>
      </c>
      <c r="S1837" s="32" t="n">
        <f aca="false">K1837*INDEX('Tabela Passaro'!$M$2:$M$1795,$N1837)</f>
        <v>4.2839</v>
      </c>
      <c r="T1837" s="32" t="n">
        <f aca="false">K1837*INDEX('Tabela Passaro'!$N$2:$N$1795,$N1837)</f>
        <v>1.71356</v>
      </c>
      <c r="U1837" s="32" t="n">
        <f aca="false">INDEX('Tabela Passaro'!$O$2:$O$1795,$N1837)</f>
        <v>5</v>
      </c>
      <c r="V1837" s="32" t="n">
        <f aca="false">ROUNDUP(J1837/INDEX('Tabela Passaro'!$Q$2:$Q$1795,$N1837),0)*INDEX('Tabela Passaro'!$P$2:$P$1795,$N1837)</f>
        <v>5</v>
      </c>
      <c r="W1837" s="32" t="n">
        <f aca="false">INDEX('Tabela Passaro'!$R$2:$R$1795,$N1837)</f>
        <v>30</v>
      </c>
      <c r="X1837" s="32" t="n">
        <f aca="false">ROUNDUP(J1837/INDEX('Tabela Passaro'!$T$2:$T$1795,$N1837),0)*INDEX('Tabela Passaro'!$S$2:$S$1795,$N1837)</f>
        <v>0</v>
      </c>
      <c r="Y1837" s="32" t="n">
        <f aca="false">INDEX('Tabela Passaro'!$U$2:$U$1795,$N1837)</f>
        <v>0</v>
      </c>
      <c r="Z1837" s="32" t="n">
        <f aca="false">INDEX('Tabela Passaro'!$V$2:$V$1795,$N1837)</f>
        <v>0</v>
      </c>
      <c r="AA1837" s="32" t="n">
        <f aca="false">SUM(R1837:Z1837)</f>
        <v>160.61746</v>
      </c>
      <c r="AB1837" s="33" t="n">
        <f aca="false">INDEX(Premissas!$B$5:$B$13,MATCH(A1837,Premissas!$A$5:$A$13,0))</f>
        <v>0.07</v>
      </c>
      <c r="AC1837" s="32" t="n">
        <f aca="false">AA1837/(1-AB1837)-AA1837</f>
        <v>12.0894862365591</v>
      </c>
      <c r="AD1837" s="32" t="n">
        <f aca="false">ROUND(AA1837+AC1837,2)</f>
        <v>172.71</v>
      </c>
      <c r="AE1837" s="32" t="n">
        <f aca="false">AD1837-L1837</f>
        <v>-6.03</v>
      </c>
      <c r="AF1837" s="34" t="n">
        <f aca="false">IF(L1837=0,0,AE1837/L1837)</f>
        <v>-0.0337361530715005</v>
      </c>
      <c r="AG1837" s="22" t="str">
        <f aca="false">IF(AD1837&lt;L1837,"PASSARO","ATUAL")</f>
        <v>PASSARO</v>
      </c>
      <c r="AH1837" s="22" t="str">
        <f aca="false">IF(P1837&lt;&gt;A1837,"Faixa cadastrada como "&amp;P1837&amp;" na tabela; preço aplicado pela UF do CEP","")</f>
        <v/>
      </c>
      <c r="AI1837" s="26" t="n">
        <v>186.95</v>
      </c>
      <c r="AJ1837" s="22" t="str">
        <f aca="false">INDEX('Tabela Passaro'!$X$2:$X$1795,$N1837)</f>
        <v>INTERIOR 2</v>
      </c>
    </row>
    <row r="1838" customFormat="false" ht="15" hidden="false" customHeight="false" outlineLevel="0" collapsed="false">
      <c r="A1838" s="22" t="s">
        <v>23</v>
      </c>
      <c r="B1838" s="22" t="n">
        <v>10</v>
      </c>
      <c r="C1838" s="22" t="s">
        <v>210</v>
      </c>
      <c r="D1838" s="22" t="s">
        <v>30</v>
      </c>
      <c r="E1838" s="22" t="s">
        <v>7326</v>
      </c>
      <c r="F1838" s="22" t="n">
        <v>528289</v>
      </c>
      <c r="G1838" s="30" t="n">
        <v>46262</v>
      </c>
      <c r="H1838" s="22" t="n">
        <v>629825</v>
      </c>
      <c r="I1838" s="22" t="s">
        <v>8981</v>
      </c>
      <c r="J1838" s="31" t="n">
        <v>49.6</v>
      </c>
      <c r="K1838" s="26" t="n">
        <v>950.91</v>
      </c>
      <c r="L1838" s="26" t="n">
        <v>202.08</v>
      </c>
      <c r="M1838" s="22" t="s">
        <v>7166</v>
      </c>
      <c r="N1838" s="22" t="n">
        <f aca="false">MATCH(M1838,'Tabela Passaro'!$A$2:$A$1795,0)</f>
        <v>1759</v>
      </c>
      <c r="O1838" s="22" t="str">
        <f aca="false">INDEX('Tabela Passaro'!$C$2:$C$1795,$N1838)</f>
        <v>CRISTINAPOLIS</v>
      </c>
      <c r="P1838" s="22" t="str">
        <f aca="false">INDEX('Tabela Passaro'!$B$2:$B$1795,$N1838)</f>
        <v>SE</v>
      </c>
      <c r="Q1838" s="22" t="n">
        <f aca="false">INDEX('Tabela Passaro'!$F$2:$F$1795,$N1838)</f>
        <v>10</v>
      </c>
      <c r="R1838" s="32" t="n">
        <f aca="false">IF(J1838&lt;=10,INDEX('Tabela Passaro'!$G$2:$G$1795,$N1838),IF(J1838&lt;=30,INDEX('Tabela Passaro'!$H$2:$H$1795,$N1838),IF(J1838&lt;=50,INDEX('Tabela Passaro'!$I$2:$I$1795,$N1838),IF(J1838&lt;=70,INDEX('Tabela Passaro'!$J$2:$J$1795,$N1838),IF(J1838&lt;=100,INDEX('Tabela Passaro'!$K$2:$K$1795,$N1838),INDEX('Tabela Passaro'!$K$2:$K$1795,$N1838)+(J1838-100)*INDEX('Tabela Passaro'!$L$2:$L$1795,$N1838))))))</f>
        <v>114.62</v>
      </c>
      <c r="S1838" s="32" t="n">
        <f aca="false">K1838*INDEX('Tabela Passaro'!$M$2:$M$1795,$N1838)</f>
        <v>4.75455</v>
      </c>
      <c r="T1838" s="32" t="n">
        <f aca="false">K1838*INDEX('Tabela Passaro'!$N$2:$N$1795,$N1838)</f>
        <v>1.90182</v>
      </c>
      <c r="U1838" s="32" t="n">
        <f aca="false">INDEX('Tabela Passaro'!$O$2:$O$1795,$N1838)</f>
        <v>5</v>
      </c>
      <c r="V1838" s="32" t="n">
        <f aca="false">ROUNDUP(J1838/INDEX('Tabela Passaro'!$Q$2:$Q$1795,$N1838),0)*INDEX('Tabela Passaro'!$P$2:$P$1795,$N1838)</f>
        <v>5</v>
      </c>
      <c r="W1838" s="32" t="n">
        <f aca="false">INDEX('Tabela Passaro'!$R$2:$R$1795,$N1838)</f>
        <v>30</v>
      </c>
      <c r="X1838" s="32" t="n">
        <f aca="false">ROUNDUP(J1838/INDEX('Tabela Passaro'!$T$2:$T$1795,$N1838),0)*INDEX('Tabela Passaro'!$S$2:$S$1795,$N1838)</f>
        <v>0</v>
      </c>
      <c r="Y1838" s="32" t="n">
        <f aca="false">INDEX('Tabela Passaro'!$U$2:$U$1795,$N1838)</f>
        <v>0</v>
      </c>
      <c r="Z1838" s="32" t="n">
        <f aca="false">INDEX('Tabela Passaro'!$V$2:$V$1795,$N1838)</f>
        <v>0</v>
      </c>
      <c r="AA1838" s="32" t="n">
        <f aca="false">SUM(R1838:Z1838)</f>
        <v>161.27637</v>
      </c>
      <c r="AB1838" s="33" t="n">
        <f aca="false">INDEX(Premissas!$B$5:$B$13,MATCH(A1838,Premissas!$A$5:$A$13,0))</f>
        <v>0.07</v>
      </c>
      <c r="AC1838" s="32" t="n">
        <f aca="false">AA1838/(1-AB1838)-AA1838</f>
        <v>12.1390816129032</v>
      </c>
      <c r="AD1838" s="32" t="n">
        <f aca="false">ROUND(AA1838+AC1838,2)</f>
        <v>173.42</v>
      </c>
      <c r="AE1838" s="32" t="n">
        <f aca="false">AD1838-L1838</f>
        <v>-28.66</v>
      </c>
      <c r="AF1838" s="34" t="n">
        <f aca="false">IF(L1838=0,0,AE1838/L1838)</f>
        <v>-0.141825019794141</v>
      </c>
      <c r="AG1838" s="22" t="str">
        <f aca="false">IF(AD1838&lt;L1838,"PASSARO","ATUAL")</f>
        <v>PASSARO</v>
      </c>
      <c r="AH1838" s="22" t="str">
        <f aca="false">IF(P1838&lt;&gt;A1838,"Faixa cadastrada como "&amp;P1838&amp;" na tabela; preço aplicado pela UF do CEP","")</f>
        <v/>
      </c>
      <c r="AI1838" s="26" t="n">
        <v>190.28</v>
      </c>
      <c r="AJ1838" s="22" t="str">
        <f aca="false">INDEX('Tabela Passaro'!$X$2:$X$1795,$N1838)</f>
        <v>INTERIOR 2</v>
      </c>
    </row>
    <row r="1839" customFormat="false" ht="15" hidden="false" customHeight="false" outlineLevel="0" collapsed="false">
      <c r="A1839" s="22" t="s">
        <v>23</v>
      </c>
      <c r="B1839" s="22" t="n">
        <v>10</v>
      </c>
      <c r="C1839" s="22" t="s">
        <v>210</v>
      </c>
      <c r="D1839" s="22" t="s">
        <v>30</v>
      </c>
      <c r="E1839" s="22" t="s">
        <v>7326</v>
      </c>
      <c r="F1839" s="22" t="n">
        <v>528309</v>
      </c>
      <c r="G1839" s="30" t="n">
        <v>46262</v>
      </c>
      <c r="H1839" s="22" t="n">
        <v>630149</v>
      </c>
      <c r="I1839" s="22" t="s">
        <v>8981</v>
      </c>
      <c r="J1839" s="31" t="n">
        <v>174.3</v>
      </c>
      <c r="K1839" s="26" t="n">
        <v>2508.79</v>
      </c>
      <c r="L1839" s="26" t="n">
        <v>510.82</v>
      </c>
      <c r="M1839" s="22" t="s">
        <v>7166</v>
      </c>
      <c r="N1839" s="22" t="n">
        <f aca="false">MATCH(M1839,'Tabela Passaro'!$A$2:$A$1795,0)</f>
        <v>1759</v>
      </c>
      <c r="O1839" s="22" t="str">
        <f aca="false">INDEX('Tabela Passaro'!$C$2:$C$1795,$N1839)</f>
        <v>CRISTINAPOLIS</v>
      </c>
      <c r="P1839" s="22" t="str">
        <f aca="false">INDEX('Tabela Passaro'!$B$2:$B$1795,$N1839)</f>
        <v>SE</v>
      </c>
      <c r="Q1839" s="22" t="n">
        <f aca="false">INDEX('Tabela Passaro'!$F$2:$F$1795,$N1839)</f>
        <v>10</v>
      </c>
      <c r="R1839" s="32" t="n">
        <f aca="false">IF(J1839&lt;=10,INDEX('Tabela Passaro'!$G$2:$G$1795,$N1839),IF(J1839&lt;=30,INDEX('Tabela Passaro'!$H$2:$H$1795,$N1839),IF(J1839&lt;=50,INDEX('Tabela Passaro'!$I$2:$I$1795,$N1839),IF(J1839&lt;=70,INDEX('Tabela Passaro'!$J$2:$J$1795,$N1839),IF(J1839&lt;=100,INDEX('Tabela Passaro'!$K$2:$K$1795,$N1839),INDEX('Tabela Passaro'!$K$2:$K$1795,$N1839)+(J1839-100)*INDEX('Tabela Passaro'!$L$2:$L$1795,$N1839))))))</f>
        <v>296.478</v>
      </c>
      <c r="S1839" s="32" t="n">
        <f aca="false">K1839*INDEX('Tabela Passaro'!$M$2:$M$1795,$N1839)</f>
        <v>12.54395</v>
      </c>
      <c r="T1839" s="32" t="n">
        <f aca="false">K1839*INDEX('Tabela Passaro'!$N$2:$N$1795,$N1839)</f>
        <v>5.01758</v>
      </c>
      <c r="U1839" s="32" t="n">
        <f aca="false">INDEX('Tabela Passaro'!$O$2:$O$1795,$N1839)</f>
        <v>5</v>
      </c>
      <c r="V1839" s="32" t="n">
        <f aca="false">ROUNDUP(J1839/INDEX('Tabela Passaro'!$Q$2:$Q$1795,$N1839),0)*INDEX('Tabela Passaro'!$P$2:$P$1795,$N1839)</f>
        <v>10</v>
      </c>
      <c r="W1839" s="32" t="n">
        <f aca="false">INDEX('Tabela Passaro'!$R$2:$R$1795,$N1839)</f>
        <v>30</v>
      </c>
      <c r="X1839" s="32" t="n">
        <f aca="false">ROUNDUP(J1839/INDEX('Tabela Passaro'!$T$2:$T$1795,$N1839),0)*INDEX('Tabela Passaro'!$S$2:$S$1795,$N1839)</f>
        <v>0</v>
      </c>
      <c r="Y1839" s="32" t="n">
        <f aca="false">INDEX('Tabela Passaro'!$U$2:$U$1795,$N1839)</f>
        <v>0</v>
      </c>
      <c r="Z1839" s="32" t="n">
        <f aca="false">INDEX('Tabela Passaro'!$V$2:$V$1795,$N1839)</f>
        <v>0</v>
      </c>
      <c r="AA1839" s="32" t="n">
        <f aca="false">SUM(R1839:Z1839)</f>
        <v>359.03953</v>
      </c>
      <c r="AB1839" s="33" t="n">
        <f aca="false">INDEX(Premissas!$B$5:$B$13,MATCH(A1839,Premissas!$A$5:$A$13,0))</f>
        <v>0.07</v>
      </c>
      <c r="AC1839" s="32" t="n">
        <f aca="false">AA1839/(1-AB1839)-AA1839</f>
        <v>27.0244807526882</v>
      </c>
      <c r="AD1839" s="32" t="n">
        <f aca="false">ROUND(AA1839+AC1839,2)</f>
        <v>386.06</v>
      </c>
      <c r="AE1839" s="32" t="n">
        <f aca="false">AD1839-L1839</f>
        <v>-124.76</v>
      </c>
      <c r="AF1839" s="34" t="n">
        <f aca="false">IF(L1839=0,0,AE1839/L1839)</f>
        <v>-0.244234759797972</v>
      </c>
      <c r="AG1839" s="22" t="str">
        <f aca="false">IF(AD1839&lt;L1839,"PASSARO","ATUAL")</f>
        <v>PASSARO</v>
      </c>
      <c r="AH1839" s="22" t="str">
        <f aca="false">IF(P1839&lt;&gt;A1839,"Faixa cadastrada como "&amp;P1839&amp;" na tabela; preço aplicado pela UF do CEP","")</f>
        <v/>
      </c>
      <c r="AI1839" s="26" t="n">
        <v>487.88</v>
      </c>
      <c r="AJ1839" s="22" t="str">
        <f aca="false">INDEX('Tabela Passaro'!$X$2:$X$1795,$N1839)</f>
        <v>INTERIOR 2</v>
      </c>
    </row>
  </sheetData>
  <autoFilter ref="A1:AJ1839"/>
  <conditionalFormatting sqref="AG2:AG1839">
    <cfRule type="cellIs" priority="2" operator="equal" aboveAverage="0" equalAverage="0" bottom="0" percent="0" rank="0" text="" dxfId="0">
      <formula>"PASSARO"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2026-10-08T18:30:34Z</dcterms:created>
  <dc:creator>openpyxl</dc:creator>
  <dc:description/>
  <dc:language>en-US</dc:language>
  <cp:lastModifiedBy/>
  <dcterms:modified xsi:type="dcterms:W3CDTF">2026-10-08T18:30:37Z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